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Baeu\PycharmProjects\MatchZeit\MatchZeit\data\"/>
    </mc:Choice>
  </mc:AlternateContent>
  <xr:revisionPtr revIDLastSave="0" documentId="13_ncr:1_{BF49B8D1-3AF0-44B5-9A91-C798CF1BA63C}" xr6:coauthVersionLast="47" xr6:coauthVersionMax="47" xr10:uidLastSave="{00000000-0000-0000-0000-000000000000}"/>
  <bookViews>
    <workbookView xWindow="23929" yWindow="-113" windowWidth="24267" windowHeight="13023" activeTab="1" xr2:uid="{7EFED72D-615B-41B3-9D18-8F711F3D5022}"/>
  </bookViews>
  <sheets>
    <sheet name="Anleitung" sheetId="10" r:id="rId1"/>
    <sheet name="Programme_Grunddaten" sheetId="9" r:id="rId2"/>
    <sheet name="programme_info" sheetId="1" r:id="rId3"/>
    <sheet name="bewertungen" sheetId="3" r:id="rId4"/>
    <sheet name="kriterien" sheetId="2" r:id="rId5"/>
    <sheet name="fragen" sheetId="4" r:id="rId6"/>
    <sheet name="antwortmapping"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B3" i="1"/>
  <c r="C3" i="1"/>
  <c r="D3" i="1"/>
  <c r="E3" i="1"/>
  <c r="F3" i="1"/>
  <c r="G3" i="1"/>
  <c r="H3" i="1"/>
  <c r="I3" i="1"/>
  <c r="A4" i="1"/>
  <c r="B4" i="1"/>
  <c r="C4" i="1"/>
  <c r="D4" i="1"/>
  <c r="E4" i="1"/>
  <c r="F4" i="1"/>
  <c r="G4" i="1"/>
  <c r="H4" i="1"/>
  <c r="I4" i="1"/>
  <c r="A5" i="1"/>
  <c r="B5" i="1"/>
  <c r="C5" i="1"/>
  <c r="D5" i="1"/>
  <c r="E5" i="1"/>
  <c r="F5" i="1"/>
  <c r="G5" i="1"/>
  <c r="H5" i="1"/>
  <c r="I5" i="1"/>
  <c r="A6" i="1"/>
  <c r="B6" i="1"/>
  <c r="C6" i="1"/>
  <c r="D6" i="1"/>
  <c r="E6" i="1"/>
  <c r="F6" i="1"/>
  <c r="G6" i="1"/>
  <c r="H6" i="1"/>
  <c r="I6" i="1"/>
  <c r="A7" i="1"/>
  <c r="B7" i="1"/>
  <c r="C7" i="1"/>
  <c r="D7" i="1"/>
  <c r="E7" i="1"/>
  <c r="F7" i="1"/>
  <c r="G7" i="1"/>
  <c r="H7" i="1"/>
  <c r="I7" i="1"/>
  <c r="A8" i="1"/>
  <c r="B8" i="1"/>
  <c r="C8" i="1"/>
  <c r="D8" i="1"/>
  <c r="E8" i="1"/>
  <c r="F8" i="1"/>
  <c r="G8" i="1"/>
  <c r="H8" i="1"/>
  <c r="I8" i="1"/>
  <c r="A9" i="1"/>
  <c r="B9" i="1"/>
  <c r="C9" i="1"/>
  <c r="D9" i="1"/>
  <c r="E9" i="1"/>
  <c r="F9" i="1"/>
  <c r="G9" i="1"/>
  <c r="H9" i="1"/>
  <c r="I9" i="1"/>
  <c r="A10" i="1"/>
  <c r="B10" i="1"/>
  <c r="C10" i="1"/>
  <c r="D10" i="1"/>
  <c r="E10" i="1"/>
  <c r="F10" i="1"/>
  <c r="G10" i="1"/>
  <c r="H10" i="1"/>
  <c r="I10" i="1"/>
  <c r="A11" i="1"/>
  <c r="B11" i="1"/>
  <c r="C11" i="1"/>
  <c r="D11" i="1"/>
  <c r="E11" i="1"/>
  <c r="F11" i="1"/>
  <c r="G11" i="1"/>
  <c r="H11" i="1"/>
  <c r="I11" i="1"/>
  <c r="A12" i="1"/>
  <c r="B12" i="1"/>
  <c r="C12" i="1"/>
  <c r="D12" i="1"/>
  <c r="E12" i="1"/>
  <c r="F12" i="1"/>
  <c r="G12" i="1"/>
  <c r="H12" i="1"/>
  <c r="I12" i="1"/>
  <c r="A13" i="1"/>
  <c r="B13" i="1"/>
  <c r="C13" i="1"/>
  <c r="D13" i="1"/>
  <c r="E13" i="1"/>
  <c r="F13" i="1"/>
  <c r="G13" i="1"/>
  <c r="H13" i="1"/>
  <c r="I13" i="1"/>
  <c r="A14" i="1"/>
  <c r="B14" i="1"/>
  <c r="C14" i="1"/>
  <c r="D14" i="1"/>
  <c r="E14" i="1"/>
  <c r="F14" i="1"/>
  <c r="G14" i="1"/>
  <c r="H14" i="1"/>
  <c r="I14" i="1"/>
  <c r="A15" i="1"/>
  <c r="B15" i="1"/>
  <c r="C15" i="1"/>
  <c r="D15" i="1"/>
  <c r="E15" i="1"/>
  <c r="F15" i="1"/>
  <c r="G15" i="1"/>
  <c r="H15" i="1"/>
  <c r="I15" i="1"/>
  <c r="A16" i="1"/>
  <c r="B16" i="1"/>
  <c r="C16" i="1"/>
  <c r="D16" i="1"/>
  <c r="E16" i="1"/>
  <c r="F16" i="1"/>
  <c r="G16" i="1"/>
  <c r="H16" i="1"/>
  <c r="I16" i="1"/>
  <c r="A17" i="1"/>
  <c r="B17" i="1"/>
  <c r="C17" i="1"/>
  <c r="D17" i="1"/>
  <c r="E17" i="1"/>
  <c r="F17" i="1"/>
  <c r="G17" i="1"/>
  <c r="H17" i="1"/>
  <c r="I17" i="1"/>
  <c r="A18" i="1"/>
  <c r="B18" i="1"/>
  <c r="C18" i="1"/>
  <c r="D18" i="1"/>
  <c r="E18" i="1"/>
  <c r="F18" i="1"/>
  <c r="G18" i="1"/>
  <c r="H18" i="1"/>
  <c r="I18" i="1"/>
  <c r="A19" i="1"/>
  <c r="B19" i="1"/>
  <c r="C19" i="1"/>
  <c r="D19" i="1"/>
  <c r="E19" i="1"/>
  <c r="F19" i="1"/>
  <c r="G19" i="1"/>
  <c r="H19" i="1"/>
  <c r="I19" i="1"/>
  <c r="A20" i="1"/>
  <c r="B20" i="1"/>
  <c r="C20" i="1"/>
  <c r="D20" i="1"/>
  <c r="E20" i="1"/>
  <c r="F20" i="1"/>
  <c r="G20" i="1"/>
  <c r="H20" i="1"/>
  <c r="I20" i="1"/>
  <c r="A21" i="1"/>
  <c r="B21" i="1"/>
  <c r="C21" i="1"/>
  <c r="D21" i="1"/>
  <c r="E21" i="1"/>
  <c r="F21" i="1"/>
  <c r="G21" i="1"/>
  <c r="H21" i="1"/>
  <c r="I21" i="1"/>
  <c r="A22" i="1"/>
  <c r="B22" i="1"/>
  <c r="C22" i="1"/>
  <c r="D22" i="1"/>
  <c r="E22" i="1"/>
  <c r="F22" i="1"/>
  <c r="G22" i="1"/>
  <c r="H22" i="1"/>
  <c r="I22" i="1"/>
  <c r="A23" i="1"/>
  <c r="B23" i="1"/>
  <c r="C23" i="1"/>
  <c r="D23" i="1"/>
  <c r="E23" i="1"/>
  <c r="F23" i="1"/>
  <c r="G23" i="1"/>
  <c r="H23" i="1"/>
  <c r="I23" i="1"/>
  <c r="A24" i="1"/>
  <c r="B24" i="1"/>
  <c r="C24" i="1"/>
  <c r="D24" i="1"/>
  <c r="E24" i="1"/>
  <c r="F24" i="1"/>
  <c r="G24" i="1"/>
  <c r="H24" i="1"/>
  <c r="I24" i="1"/>
  <c r="A25" i="1"/>
  <c r="B25" i="1"/>
  <c r="C25" i="1"/>
  <c r="D25" i="1"/>
  <c r="E25" i="1"/>
  <c r="F25" i="1"/>
  <c r="G25" i="1"/>
  <c r="H25" i="1"/>
  <c r="I25" i="1"/>
  <c r="A26" i="1"/>
  <c r="B26" i="1"/>
  <c r="C26" i="1"/>
  <c r="D26" i="1"/>
  <c r="E26" i="1"/>
  <c r="F26" i="1"/>
  <c r="G26" i="1"/>
  <c r="H26" i="1"/>
  <c r="I26" i="1"/>
  <c r="A27" i="1"/>
  <c r="B27" i="1"/>
  <c r="C27" i="1"/>
  <c r="D27" i="1"/>
  <c r="E27" i="1"/>
  <c r="F27" i="1"/>
  <c r="G27" i="1"/>
  <c r="H27" i="1"/>
  <c r="I27" i="1"/>
  <c r="A28" i="1"/>
  <c r="B28" i="1"/>
  <c r="C28" i="1"/>
  <c r="D28" i="1"/>
  <c r="E28" i="1"/>
  <c r="F28" i="1"/>
  <c r="G28" i="1"/>
  <c r="H28" i="1"/>
  <c r="I28" i="1"/>
  <c r="A29" i="1"/>
  <c r="B29" i="1"/>
  <c r="C29" i="1"/>
  <c r="D29" i="1"/>
  <c r="E29" i="1"/>
  <c r="F29" i="1"/>
  <c r="G29" i="1"/>
  <c r="H29" i="1"/>
  <c r="I29" i="1"/>
  <c r="A30" i="1"/>
  <c r="B30" i="1"/>
  <c r="C30" i="1"/>
  <c r="D30" i="1"/>
  <c r="E30" i="1"/>
  <c r="F30" i="1"/>
  <c r="G30" i="1"/>
  <c r="H30" i="1"/>
  <c r="I30" i="1"/>
  <c r="A31" i="1"/>
  <c r="B31" i="1"/>
  <c r="C31" i="1"/>
  <c r="D31" i="1"/>
  <c r="E31" i="1"/>
  <c r="F31" i="1"/>
  <c r="G31" i="1"/>
  <c r="H31" i="1"/>
  <c r="I31" i="1"/>
  <c r="A32" i="1"/>
  <c r="B32" i="1"/>
  <c r="C32" i="1"/>
  <c r="D32" i="1"/>
  <c r="E32" i="1"/>
  <c r="F32" i="1"/>
  <c r="G32" i="1"/>
  <c r="H32" i="1"/>
  <c r="I32" i="1"/>
  <c r="A33" i="1"/>
  <c r="B33" i="1"/>
  <c r="C33" i="1"/>
  <c r="D33" i="1"/>
  <c r="E33" i="1"/>
  <c r="F33" i="1"/>
  <c r="G33" i="1"/>
  <c r="H33" i="1"/>
  <c r="I33" i="1"/>
  <c r="A34" i="1"/>
  <c r="B34" i="1"/>
  <c r="C34" i="1"/>
  <c r="D34" i="1"/>
  <c r="E34" i="1"/>
  <c r="F34" i="1"/>
  <c r="G34" i="1"/>
  <c r="H34" i="1"/>
  <c r="I34" i="1"/>
  <c r="A35" i="1"/>
  <c r="B35" i="1"/>
  <c r="C35" i="1"/>
  <c r="D35" i="1"/>
  <c r="E35" i="1"/>
  <c r="F35" i="1"/>
  <c r="G35" i="1"/>
  <c r="H35" i="1"/>
  <c r="I35" i="1"/>
  <c r="A36" i="1"/>
  <c r="B36" i="1"/>
  <c r="C36" i="1"/>
  <c r="D36" i="1"/>
  <c r="E36" i="1"/>
  <c r="F36" i="1"/>
  <c r="G36" i="1"/>
  <c r="H36" i="1"/>
  <c r="I36" i="1"/>
  <c r="A37" i="1"/>
  <c r="B37" i="1"/>
  <c r="C37" i="1"/>
  <c r="D37" i="1"/>
  <c r="E37" i="1"/>
  <c r="F37" i="1"/>
  <c r="G37" i="1"/>
  <c r="H37" i="1"/>
  <c r="I37" i="1"/>
  <c r="A38" i="1"/>
  <c r="B38" i="1"/>
  <c r="C38" i="1"/>
  <c r="D38" i="1"/>
  <c r="E38" i="1"/>
  <c r="F38" i="1"/>
  <c r="G38" i="1"/>
  <c r="H38" i="1"/>
  <c r="I38" i="1"/>
  <c r="A39" i="1"/>
  <c r="B39" i="1"/>
  <c r="C39" i="1"/>
  <c r="D39" i="1"/>
  <c r="E39" i="1"/>
  <c r="F39" i="1"/>
  <c r="G39" i="1"/>
  <c r="H39" i="1"/>
  <c r="I39" i="1"/>
  <c r="A40" i="1"/>
  <c r="B40" i="1"/>
  <c r="C40" i="1"/>
  <c r="D40" i="1"/>
  <c r="E40" i="1"/>
  <c r="F40" i="1"/>
  <c r="G40" i="1"/>
  <c r="H40" i="1"/>
  <c r="I40" i="1"/>
  <c r="A41" i="1"/>
  <c r="B41" i="1"/>
  <c r="C41" i="1"/>
  <c r="D41" i="1"/>
  <c r="E41" i="1"/>
  <c r="F41" i="1"/>
  <c r="G41" i="1"/>
  <c r="H41" i="1"/>
  <c r="I41" i="1"/>
  <c r="A42" i="1"/>
  <c r="B42" i="1"/>
  <c r="C42" i="1"/>
  <c r="D42" i="1"/>
  <c r="E42" i="1"/>
  <c r="F42" i="1"/>
  <c r="G42" i="1"/>
  <c r="H42" i="1"/>
  <c r="I42" i="1"/>
  <c r="A43" i="1"/>
  <c r="B43" i="1"/>
  <c r="C43" i="1"/>
  <c r="D43" i="1"/>
  <c r="E43" i="1"/>
  <c r="F43" i="1"/>
  <c r="G43" i="1"/>
  <c r="H43" i="1"/>
  <c r="I43" i="1"/>
  <c r="A44" i="1"/>
  <c r="B44" i="1"/>
  <c r="C44" i="1"/>
  <c r="D44" i="1"/>
  <c r="E44" i="1"/>
  <c r="F44" i="1"/>
  <c r="G44" i="1"/>
  <c r="H44" i="1"/>
  <c r="I44" i="1"/>
  <c r="A45" i="1"/>
  <c r="B45" i="1"/>
  <c r="C45" i="1"/>
  <c r="D45" i="1"/>
  <c r="E45" i="1"/>
  <c r="F45" i="1"/>
  <c r="G45" i="1"/>
  <c r="H45" i="1"/>
  <c r="I45" i="1"/>
  <c r="A46" i="1"/>
  <c r="B46" i="1"/>
  <c r="C46" i="1"/>
  <c r="D46" i="1"/>
  <c r="E46" i="1"/>
  <c r="F46" i="1"/>
  <c r="G46" i="1"/>
  <c r="H46" i="1"/>
  <c r="I46" i="1"/>
  <c r="A47" i="1"/>
  <c r="B47" i="1"/>
  <c r="C47" i="1"/>
  <c r="D47" i="1"/>
  <c r="E47" i="1"/>
  <c r="F47" i="1"/>
  <c r="G47" i="1"/>
  <c r="H47" i="1"/>
  <c r="I47" i="1"/>
  <c r="A48" i="1"/>
  <c r="B48" i="1"/>
  <c r="C48" i="1"/>
  <c r="D48" i="1"/>
  <c r="E48" i="1"/>
  <c r="F48" i="1"/>
  <c r="G48" i="1"/>
  <c r="H48" i="1"/>
  <c r="I48" i="1"/>
  <c r="A49" i="1"/>
  <c r="B49" i="1"/>
  <c r="C49" i="1"/>
  <c r="D49" i="1"/>
  <c r="E49" i="1"/>
  <c r="F49" i="1"/>
  <c r="G49" i="1"/>
  <c r="H49" i="1"/>
  <c r="I49" i="1"/>
  <c r="A50" i="1"/>
  <c r="B50" i="1"/>
  <c r="C50" i="1"/>
  <c r="D50" i="1"/>
  <c r="E50" i="1"/>
  <c r="F50" i="1"/>
  <c r="G50" i="1"/>
  <c r="H50" i="1"/>
  <c r="I50" i="1"/>
  <c r="A51" i="1"/>
  <c r="B51" i="1"/>
  <c r="C51" i="1"/>
  <c r="D51" i="1"/>
  <c r="E51" i="1"/>
  <c r="F51" i="1"/>
  <c r="G51" i="1"/>
  <c r="H51" i="1"/>
  <c r="I51" i="1"/>
  <c r="A52" i="1"/>
  <c r="B52" i="1"/>
  <c r="C52" i="1"/>
  <c r="D52" i="1"/>
  <c r="E52" i="1"/>
  <c r="F52" i="1"/>
  <c r="G52" i="1"/>
  <c r="H52" i="1"/>
  <c r="I52" i="1"/>
  <c r="A53" i="1"/>
  <c r="B53" i="1"/>
  <c r="C53" i="1"/>
  <c r="D53" i="1"/>
  <c r="E53" i="1"/>
  <c r="F53" i="1"/>
  <c r="G53" i="1"/>
  <c r="H53" i="1"/>
  <c r="I53" i="1"/>
  <c r="A54" i="1"/>
  <c r="B54" i="1"/>
  <c r="C54" i="1"/>
  <c r="D54" i="1"/>
  <c r="E54" i="1"/>
  <c r="F54" i="1"/>
  <c r="G54" i="1"/>
  <c r="H54" i="1"/>
  <c r="I54" i="1"/>
  <c r="A55" i="1"/>
  <c r="B55" i="1"/>
  <c r="C55" i="1"/>
  <c r="D55" i="1"/>
  <c r="E55" i="1"/>
  <c r="F55" i="1"/>
  <c r="G55" i="1"/>
  <c r="H55" i="1"/>
  <c r="I55" i="1"/>
  <c r="A56" i="1"/>
  <c r="B56" i="1"/>
  <c r="C56" i="1"/>
  <c r="D56" i="1"/>
  <c r="E56" i="1"/>
  <c r="F56" i="1"/>
  <c r="G56" i="1"/>
  <c r="H56" i="1"/>
  <c r="I56" i="1"/>
  <c r="A57" i="1"/>
  <c r="B57" i="1"/>
  <c r="C57" i="1"/>
  <c r="D57" i="1"/>
  <c r="E57" i="1"/>
  <c r="F57" i="1"/>
  <c r="G57" i="1"/>
  <c r="H57" i="1"/>
  <c r="I57" i="1"/>
  <c r="A58" i="1"/>
  <c r="B58" i="1"/>
  <c r="C58" i="1"/>
  <c r="D58" i="1"/>
  <c r="E58" i="1"/>
  <c r="F58" i="1"/>
  <c r="G58" i="1"/>
  <c r="H58" i="1"/>
  <c r="I58" i="1"/>
  <c r="A59" i="1"/>
  <c r="B59" i="1"/>
  <c r="C59" i="1"/>
  <c r="D59" i="1"/>
  <c r="E59" i="1"/>
  <c r="F59" i="1"/>
  <c r="G59" i="1"/>
  <c r="H59" i="1"/>
  <c r="I59" i="1"/>
  <c r="A60" i="1"/>
  <c r="B60" i="1"/>
  <c r="C60" i="1"/>
  <c r="D60" i="1"/>
  <c r="E60" i="1"/>
  <c r="F60" i="1"/>
  <c r="G60" i="1"/>
  <c r="H60" i="1"/>
  <c r="I60" i="1"/>
  <c r="A61" i="1"/>
  <c r="B61" i="1"/>
  <c r="C61" i="1"/>
  <c r="D61" i="1"/>
  <c r="E61" i="1"/>
  <c r="F61" i="1"/>
  <c r="G61" i="1"/>
  <c r="H61" i="1"/>
  <c r="I61" i="1"/>
  <c r="A62" i="1"/>
  <c r="B62" i="1"/>
  <c r="C62" i="1"/>
  <c r="D62" i="1"/>
  <c r="E62" i="1"/>
  <c r="F62" i="1"/>
  <c r="G62" i="1"/>
  <c r="H62" i="1"/>
  <c r="I62" i="1"/>
  <c r="A63" i="1"/>
  <c r="B63" i="1"/>
  <c r="C63" i="1"/>
  <c r="D63" i="1"/>
  <c r="E63" i="1"/>
  <c r="F63" i="1"/>
  <c r="G63" i="1"/>
  <c r="H63" i="1"/>
  <c r="I63" i="1"/>
  <c r="A64" i="1"/>
  <c r="B64" i="1"/>
  <c r="C64" i="1"/>
  <c r="D64" i="1"/>
  <c r="E64" i="1"/>
  <c r="F64" i="1"/>
  <c r="G64" i="1"/>
  <c r="H64" i="1"/>
  <c r="I64" i="1"/>
  <c r="A65" i="1"/>
  <c r="B65" i="1"/>
  <c r="C65" i="1"/>
  <c r="D65" i="1"/>
  <c r="E65" i="1"/>
  <c r="F65" i="1"/>
  <c r="G65" i="1"/>
  <c r="H65" i="1"/>
  <c r="I65" i="1"/>
  <c r="A66" i="1"/>
  <c r="B66" i="1"/>
  <c r="C66" i="1"/>
  <c r="D66" i="1"/>
  <c r="E66" i="1"/>
  <c r="F66" i="1"/>
  <c r="G66" i="1"/>
  <c r="H66" i="1"/>
  <c r="I66" i="1"/>
  <c r="A67" i="1"/>
  <c r="B67" i="1"/>
  <c r="C67" i="1"/>
  <c r="D67" i="1"/>
  <c r="E67" i="1"/>
  <c r="F67" i="1"/>
  <c r="G67" i="1"/>
  <c r="H67" i="1"/>
  <c r="I67" i="1"/>
  <c r="A68" i="1"/>
  <c r="B68" i="1"/>
  <c r="C68" i="1"/>
  <c r="D68" i="1"/>
  <c r="E68" i="1"/>
  <c r="F68" i="1"/>
  <c r="G68" i="1"/>
  <c r="H68" i="1"/>
  <c r="I68" i="1"/>
  <c r="A69" i="1"/>
  <c r="B69" i="1"/>
  <c r="C69" i="1"/>
  <c r="D69" i="1"/>
  <c r="E69" i="1"/>
  <c r="F69" i="1"/>
  <c r="G69" i="1"/>
  <c r="H69" i="1"/>
  <c r="I69" i="1"/>
  <c r="A70" i="1"/>
  <c r="B70" i="1"/>
  <c r="C70" i="1"/>
  <c r="D70" i="1"/>
  <c r="E70" i="1"/>
  <c r="F70" i="1"/>
  <c r="G70" i="1"/>
  <c r="H70" i="1"/>
  <c r="I70" i="1"/>
  <c r="A71" i="1"/>
  <c r="B71" i="1"/>
  <c r="C71" i="1"/>
  <c r="D71" i="1"/>
  <c r="E71" i="1"/>
  <c r="F71" i="1"/>
  <c r="G71" i="1"/>
  <c r="H71" i="1"/>
  <c r="I71" i="1"/>
  <c r="A72" i="1"/>
  <c r="B72" i="1"/>
  <c r="C72" i="1"/>
  <c r="D72" i="1"/>
  <c r="E72" i="1"/>
  <c r="F72" i="1"/>
  <c r="G72" i="1"/>
  <c r="H72" i="1"/>
  <c r="I72" i="1"/>
  <c r="A73" i="1"/>
  <c r="B73" i="1"/>
  <c r="C73" i="1"/>
  <c r="D73" i="1"/>
  <c r="E73" i="1"/>
  <c r="F73" i="1"/>
  <c r="G73" i="1"/>
  <c r="H73" i="1"/>
  <c r="I73" i="1"/>
  <c r="A74" i="1"/>
  <c r="B74" i="1"/>
  <c r="C74" i="1"/>
  <c r="D74" i="1"/>
  <c r="E74" i="1"/>
  <c r="F74" i="1"/>
  <c r="G74" i="1"/>
  <c r="H74" i="1"/>
  <c r="I74" i="1"/>
  <c r="A75" i="1"/>
  <c r="B75" i="1"/>
  <c r="C75" i="1"/>
  <c r="D75" i="1"/>
  <c r="E75" i="1"/>
  <c r="F75" i="1"/>
  <c r="G75" i="1"/>
  <c r="H75" i="1"/>
  <c r="I75" i="1"/>
  <c r="A76" i="1"/>
  <c r="B76" i="1"/>
  <c r="C76" i="1"/>
  <c r="D76" i="1"/>
  <c r="E76" i="1"/>
  <c r="F76" i="1"/>
  <c r="G76" i="1"/>
  <c r="H76" i="1"/>
  <c r="I76" i="1"/>
  <c r="A77" i="1"/>
  <c r="B77" i="1"/>
  <c r="C77" i="1"/>
  <c r="D77" i="1"/>
  <c r="E77" i="1"/>
  <c r="F77" i="1"/>
  <c r="G77" i="1"/>
  <c r="H77" i="1"/>
  <c r="I77" i="1"/>
  <c r="A78" i="1"/>
  <c r="B78" i="1"/>
  <c r="C78" i="1"/>
  <c r="D78" i="1"/>
  <c r="E78" i="1"/>
  <c r="F78" i="1"/>
  <c r="G78" i="1"/>
  <c r="H78" i="1"/>
  <c r="I78" i="1"/>
  <c r="A79" i="1"/>
  <c r="B79" i="1"/>
  <c r="C79" i="1"/>
  <c r="D79" i="1"/>
  <c r="E79" i="1"/>
  <c r="F79" i="1"/>
  <c r="G79" i="1"/>
  <c r="H79" i="1"/>
  <c r="I79" i="1"/>
  <c r="A80" i="1"/>
  <c r="B80" i="1"/>
  <c r="C80" i="1"/>
  <c r="D80" i="1"/>
  <c r="E80" i="1"/>
  <c r="F80" i="1"/>
  <c r="G80" i="1"/>
  <c r="H80" i="1"/>
  <c r="I80" i="1"/>
  <c r="A81" i="1"/>
  <c r="B81" i="1"/>
  <c r="C81" i="1"/>
  <c r="D81" i="1"/>
  <c r="E81" i="1"/>
  <c r="F81" i="1"/>
  <c r="G81" i="1"/>
  <c r="H81" i="1"/>
  <c r="I81" i="1"/>
  <c r="A82" i="1"/>
  <c r="B82" i="1"/>
  <c r="C82" i="1"/>
  <c r="D82" i="1"/>
  <c r="E82" i="1"/>
  <c r="F82" i="1"/>
  <c r="G82" i="1"/>
  <c r="H82" i="1"/>
  <c r="I82" i="1"/>
  <c r="A83" i="1"/>
  <c r="B83" i="1"/>
  <c r="C83" i="1"/>
  <c r="D83" i="1"/>
  <c r="E83" i="1"/>
  <c r="F83" i="1"/>
  <c r="G83" i="1"/>
  <c r="H83" i="1"/>
  <c r="I83" i="1"/>
  <c r="A84" i="1"/>
  <c r="B84" i="1"/>
  <c r="C84" i="1"/>
  <c r="D84" i="1"/>
  <c r="E84" i="1"/>
  <c r="F84" i="1"/>
  <c r="G84" i="1"/>
  <c r="H84" i="1"/>
  <c r="I84" i="1"/>
  <c r="A85" i="1"/>
  <c r="B85" i="1"/>
  <c r="C85" i="1"/>
  <c r="D85" i="1"/>
  <c r="E85" i="1"/>
  <c r="F85" i="1"/>
  <c r="G85" i="1"/>
  <c r="H85" i="1"/>
  <c r="I85" i="1"/>
  <c r="A86" i="1"/>
  <c r="B86" i="1"/>
  <c r="C86" i="1"/>
  <c r="D86" i="1"/>
  <c r="E86" i="1"/>
  <c r="F86" i="1"/>
  <c r="G86" i="1"/>
  <c r="H86" i="1"/>
  <c r="I86" i="1"/>
  <c r="A87" i="1"/>
  <c r="B87" i="1"/>
  <c r="C87" i="1"/>
  <c r="D87" i="1"/>
  <c r="E87" i="1"/>
  <c r="F87" i="1"/>
  <c r="G87" i="1"/>
  <c r="H87" i="1"/>
  <c r="I87" i="1"/>
  <c r="A88" i="1"/>
  <c r="B88" i="1"/>
  <c r="C88" i="1"/>
  <c r="D88" i="1"/>
  <c r="E88" i="1"/>
  <c r="F88" i="1"/>
  <c r="G88" i="1"/>
  <c r="H88" i="1"/>
  <c r="I88" i="1"/>
  <c r="A89" i="1"/>
  <c r="B89" i="1"/>
  <c r="C89" i="1"/>
  <c r="D89" i="1"/>
  <c r="E89" i="1"/>
  <c r="F89" i="1"/>
  <c r="G89" i="1"/>
  <c r="H89" i="1"/>
  <c r="I89" i="1"/>
  <c r="A90" i="1"/>
  <c r="B90" i="1"/>
  <c r="C90" i="1"/>
  <c r="D90" i="1"/>
  <c r="E90" i="1"/>
  <c r="F90" i="1"/>
  <c r="G90" i="1"/>
  <c r="H90" i="1"/>
  <c r="I90" i="1"/>
  <c r="A91" i="1"/>
  <c r="B91" i="1"/>
  <c r="C91" i="1"/>
  <c r="D91" i="1"/>
  <c r="E91" i="1"/>
  <c r="F91" i="1"/>
  <c r="G91" i="1"/>
  <c r="H91" i="1"/>
  <c r="I91" i="1"/>
  <c r="A92" i="1"/>
  <c r="B92" i="1"/>
  <c r="C92" i="1"/>
  <c r="D92" i="1"/>
  <c r="E92" i="1"/>
  <c r="F92" i="1"/>
  <c r="G92" i="1"/>
  <c r="H92" i="1"/>
  <c r="I92" i="1"/>
  <c r="A93" i="1"/>
  <c r="B93" i="1"/>
  <c r="C93" i="1"/>
  <c r="D93" i="1"/>
  <c r="E93" i="1"/>
  <c r="F93" i="1"/>
  <c r="G93" i="1"/>
  <c r="H93" i="1"/>
  <c r="I93" i="1"/>
  <c r="A94" i="1"/>
  <c r="B94" i="1"/>
  <c r="C94" i="1"/>
  <c r="D94" i="1"/>
  <c r="E94" i="1"/>
  <c r="F94" i="1"/>
  <c r="G94" i="1"/>
  <c r="H94" i="1"/>
  <c r="I94" i="1"/>
  <c r="A95" i="1"/>
  <c r="B95" i="1"/>
  <c r="C95" i="1"/>
  <c r="D95" i="1"/>
  <c r="E95" i="1"/>
  <c r="F95" i="1"/>
  <c r="G95" i="1"/>
  <c r="H95" i="1"/>
  <c r="I95" i="1"/>
  <c r="A96" i="1"/>
  <c r="B96" i="1"/>
  <c r="C96" i="1"/>
  <c r="D96" i="1"/>
  <c r="E96" i="1"/>
  <c r="F96" i="1"/>
  <c r="G96" i="1"/>
  <c r="H96" i="1"/>
  <c r="I96" i="1"/>
  <c r="A97" i="1"/>
  <c r="B97" i="1"/>
  <c r="C97" i="1"/>
  <c r="D97" i="1"/>
  <c r="E97" i="1"/>
  <c r="F97" i="1"/>
  <c r="G97" i="1"/>
  <c r="H97" i="1"/>
  <c r="I97" i="1"/>
  <c r="A98" i="1"/>
  <c r="B98" i="1"/>
  <c r="C98" i="1"/>
  <c r="D98" i="1"/>
  <c r="E98" i="1"/>
  <c r="F98" i="1"/>
  <c r="G98" i="1"/>
  <c r="H98" i="1"/>
  <c r="I98" i="1"/>
  <c r="A99" i="1"/>
  <c r="B99" i="1"/>
  <c r="C99" i="1"/>
  <c r="D99" i="1"/>
  <c r="E99" i="1"/>
  <c r="F99" i="1"/>
  <c r="G99" i="1"/>
  <c r="H99" i="1"/>
  <c r="I99" i="1"/>
  <c r="A100" i="1"/>
  <c r="B100" i="1"/>
  <c r="C100" i="1"/>
  <c r="D100" i="1"/>
  <c r="E100" i="1"/>
  <c r="F100" i="1"/>
  <c r="G100" i="1"/>
  <c r="H100" i="1"/>
  <c r="I100" i="1"/>
  <c r="A101" i="1"/>
  <c r="B101" i="1"/>
  <c r="C101" i="1"/>
  <c r="D101" i="1"/>
  <c r="E101" i="1"/>
  <c r="F101" i="1"/>
  <c r="G101" i="1"/>
  <c r="H101" i="1"/>
  <c r="I101" i="1"/>
  <c r="A102" i="1"/>
  <c r="B102" i="1"/>
  <c r="C102" i="1"/>
  <c r="D102" i="1"/>
  <c r="E102" i="1"/>
  <c r="F102" i="1"/>
  <c r="G102" i="1"/>
  <c r="H102" i="1"/>
  <c r="I102" i="1"/>
  <c r="A103" i="1"/>
  <c r="B103" i="1"/>
  <c r="C103" i="1"/>
  <c r="D103" i="1"/>
  <c r="E103" i="1"/>
  <c r="F103" i="1"/>
  <c r="G103" i="1"/>
  <c r="H103" i="1"/>
  <c r="I103" i="1"/>
  <c r="A104" i="1"/>
  <c r="B104" i="1"/>
  <c r="C104" i="1"/>
  <c r="D104" i="1"/>
  <c r="E104" i="1"/>
  <c r="F104" i="1"/>
  <c r="G104" i="1"/>
  <c r="H104" i="1"/>
  <c r="I104" i="1"/>
  <c r="A105" i="1"/>
  <c r="B105" i="1"/>
  <c r="C105" i="1"/>
  <c r="D105" i="1"/>
  <c r="E105" i="1"/>
  <c r="F105" i="1"/>
  <c r="G105" i="1"/>
  <c r="H105" i="1"/>
  <c r="I105" i="1"/>
  <c r="A106" i="1"/>
  <c r="B106" i="1"/>
  <c r="C106" i="1"/>
  <c r="D106" i="1"/>
  <c r="E106" i="1"/>
  <c r="F106" i="1"/>
  <c r="G106" i="1"/>
  <c r="H106" i="1"/>
  <c r="I106" i="1"/>
  <c r="A107" i="1"/>
  <c r="B107" i="1"/>
  <c r="C107" i="1"/>
  <c r="D107" i="1"/>
  <c r="E107" i="1"/>
  <c r="F107" i="1"/>
  <c r="G107" i="1"/>
  <c r="H107" i="1"/>
  <c r="I107" i="1"/>
  <c r="A108" i="1"/>
  <c r="B108" i="1"/>
  <c r="C108" i="1"/>
  <c r="D108" i="1"/>
  <c r="E108" i="1"/>
  <c r="F108" i="1"/>
  <c r="G108" i="1"/>
  <c r="H108" i="1"/>
  <c r="I108" i="1"/>
  <c r="A109" i="1"/>
  <c r="B109" i="1"/>
  <c r="C109" i="1"/>
  <c r="D109" i="1"/>
  <c r="E109" i="1"/>
  <c r="F109" i="1"/>
  <c r="G109" i="1"/>
  <c r="H109" i="1"/>
  <c r="I109" i="1"/>
  <c r="A110" i="1"/>
  <c r="B110" i="1"/>
  <c r="C110" i="1"/>
  <c r="D110" i="1"/>
  <c r="E110" i="1"/>
  <c r="F110" i="1"/>
  <c r="G110" i="1"/>
  <c r="H110" i="1"/>
  <c r="I110" i="1"/>
  <c r="A111" i="1"/>
  <c r="B111" i="1"/>
  <c r="C111" i="1"/>
  <c r="D111" i="1"/>
  <c r="E111" i="1"/>
  <c r="F111" i="1"/>
  <c r="G111" i="1"/>
  <c r="H111" i="1"/>
  <c r="I111" i="1"/>
  <c r="A112" i="1"/>
  <c r="B112" i="1"/>
  <c r="C112" i="1"/>
  <c r="D112" i="1"/>
  <c r="E112" i="1"/>
  <c r="F112" i="1"/>
  <c r="G112" i="1"/>
  <c r="H112" i="1"/>
  <c r="I112" i="1"/>
  <c r="A113" i="1"/>
  <c r="B113" i="1"/>
  <c r="C113" i="1"/>
  <c r="D113" i="1"/>
  <c r="E113" i="1"/>
  <c r="F113" i="1"/>
  <c r="G113" i="1"/>
  <c r="H113" i="1"/>
  <c r="I113" i="1"/>
  <c r="A114" i="1"/>
  <c r="B114" i="1"/>
  <c r="C114" i="1"/>
  <c r="D114" i="1"/>
  <c r="E114" i="1"/>
  <c r="F114" i="1"/>
  <c r="G114" i="1"/>
  <c r="H114" i="1"/>
  <c r="I114" i="1"/>
  <c r="A115" i="1"/>
  <c r="B115" i="1"/>
  <c r="C115" i="1"/>
  <c r="D115" i="1"/>
  <c r="E115" i="1"/>
  <c r="F115" i="1"/>
  <c r="G115" i="1"/>
  <c r="H115" i="1"/>
  <c r="I115" i="1"/>
  <c r="A116" i="1"/>
  <c r="B116" i="1"/>
  <c r="C116" i="1"/>
  <c r="D116" i="1"/>
  <c r="E116" i="1"/>
  <c r="F116" i="1"/>
  <c r="G116" i="1"/>
  <c r="H116" i="1"/>
  <c r="I116" i="1"/>
  <c r="A117" i="1"/>
  <c r="B117" i="1"/>
  <c r="C117" i="1"/>
  <c r="D117" i="1"/>
  <c r="E117" i="1"/>
  <c r="F117" i="1"/>
  <c r="G117" i="1"/>
  <c r="H117" i="1"/>
  <c r="I117" i="1"/>
  <c r="A118" i="1"/>
  <c r="B118" i="1"/>
  <c r="C118" i="1"/>
  <c r="D118" i="1"/>
  <c r="E118" i="1"/>
  <c r="F118" i="1"/>
  <c r="G118" i="1"/>
  <c r="H118" i="1"/>
  <c r="I118" i="1"/>
  <c r="A119" i="1"/>
  <c r="B119" i="1"/>
  <c r="C119" i="1"/>
  <c r="D119" i="1"/>
  <c r="E119" i="1"/>
  <c r="F119" i="1"/>
  <c r="G119" i="1"/>
  <c r="H119" i="1"/>
  <c r="I119" i="1"/>
  <c r="A120" i="1"/>
  <c r="B120" i="1"/>
  <c r="C120" i="1"/>
  <c r="D120" i="1"/>
  <c r="E120" i="1"/>
  <c r="F120" i="1"/>
  <c r="G120" i="1"/>
  <c r="H120" i="1"/>
  <c r="I120" i="1"/>
  <c r="A121" i="1"/>
  <c r="B121" i="1"/>
  <c r="C121" i="1"/>
  <c r="D121" i="1"/>
  <c r="E121" i="1"/>
  <c r="F121" i="1"/>
  <c r="G121" i="1"/>
  <c r="H121" i="1"/>
  <c r="I121" i="1"/>
  <c r="A122" i="1"/>
  <c r="B122" i="1"/>
  <c r="C122" i="1"/>
  <c r="D122" i="1"/>
  <c r="E122" i="1"/>
  <c r="F122" i="1"/>
  <c r="G122" i="1"/>
  <c r="H122" i="1"/>
  <c r="I122" i="1"/>
  <c r="A123" i="1"/>
  <c r="B123" i="1"/>
  <c r="C123" i="1"/>
  <c r="D123" i="1"/>
  <c r="E123" i="1"/>
  <c r="F123" i="1"/>
  <c r="G123" i="1"/>
  <c r="H123" i="1"/>
  <c r="I123" i="1"/>
  <c r="A124" i="1"/>
  <c r="B124" i="1"/>
  <c r="C124" i="1"/>
  <c r="D124" i="1"/>
  <c r="E124" i="1"/>
  <c r="F124" i="1"/>
  <c r="G124" i="1"/>
  <c r="H124" i="1"/>
  <c r="I124" i="1"/>
  <c r="A125" i="1"/>
  <c r="B125" i="1"/>
  <c r="C125" i="1"/>
  <c r="D125" i="1"/>
  <c r="E125" i="1"/>
  <c r="F125" i="1"/>
  <c r="G125" i="1"/>
  <c r="H125" i="1"/>
  <c r="I125" i="1"/>
  <c r="A126" i="1"/>
  <c r="B126" i="1"/>
  <c r="C126" i="1"/>
  <c r="D126" i="1"/>
  <c r="E126" i="1"/>
  <c r="F126" i="1"/>
  <c r="G126" i="1"/>
  <c r="H126" i="1"/>
  <c r="I126" i="1"/>
  <c r="A127" i="1"/>
  <c r="B127" i="1"/>
  <c r="C127" i="1"/>
  <c r="D127" i="1"/>
  <c r="E127" i="1"/>
  <c r="F127" i="1"/>
  <c r="G127" i="1"/>
  <c r="H127" i="1"/>
  <c r="I127" i="1"/>
  <c r="A128" i="1"/>
  <c r="B128" i="1"/>
  <c r="C128" i="1"/>
  <c r="D128" i="1"/>
  <c r="E128" i="1"/>
  <c r="F128" i="1"/>
  <c r="G128" i="1"/>
  <c r="H128" i="1"/>
  <c r="I128" i="1"/>
  <c r="A129" i="1"/>
  <c r="B129" i="1"/>
  <c r="C129" i="1"/>
  <c r="D129" i="1"/>
  <c r="E129" i="1"/>
  <c r="F129" i="1"/>
  <c r="G129" i="1"/>
  <c r="H129" i="1"/>
  <c r="I129" i="1"/>
  <c r="A130" i="1"/>
  <c r="B130" i="1"/>
  <c r="C130" i="1"/>
  <c r="D130" i="1"/>
  <c r="E130" i="1"/>
  <c r="F130" i="1"/>
  <c r="G130" i="1"/>
  <c r="H130" i="1"/>
  <c r="I130" i="1"/>
  <c r="A131" i="1"/>
  <c r="B131" i="1"/>
  <c r="C131" i="1"/>
  <c r="D131" i="1"/>
  <c r="E131" i="1"/>
  <c r="F131" i="1"/>
  <c r="G131" i="1"/>
  <c r="H131" i="1"/>
  <c r="I131" i="1"/>
  <c r="A132" i="1"/>
  <c r="B132" i="1"/>
  <c r="C132" i="1"/>
  <c r="D132" i="1"/>
  <c r="E132" i="1"/>
  <c r="F132" i="1"/>
  <c r="G132" i="1"/>
  <c r="H132" i="1"/>
  <c r="I132" i="1"/>
  <c r="A133" i="1"/>
  <c r="B133" i="1"/>
  <c r="C133" i="1"/>
  <c r="D133" i="1"/>
  <c r="E133" i="1"/>
  <c r="F133" i="1"/>
  <c r="G133" i="1"/>
  <c r="H133" i="1"/>
  <c r="I133" i="1"/>
  <c r="A134" i="1"/>
  <c r="B134" i="1"/>
  <c r="C134" i="1"/>
  <c r="D134" i="1"/>
  <c r="E134" i="1"/>
  <c r="F134" i="1"/>
  <c r="G134" i="1"/>
  <c r="H134" i="1"/>
  <c r="I134" i="1"/>
  <c r="A135" i="1"/>
  <c r="B135" i="1"/>
  <c r="C135" i="1"/>
  <c r="D135" i="1"/>
  <c r="E135" i="1"/>
  <c r="F135" i="1"/>
  <c r="G135" i="1"/>
  <c r="H135" i="1"/>
  <c r="I135" i="1"/>
  <c r="A136" i="1"/>
  <c r="B136" i="1"/>
  <c r="C136" i="1"/>
  <c r="D136" i="1"/>
  <c r="E136" i="1"/>
  <c r="F136" i="1"/>
  <c r="G136" i="1"/>
  <c r="H136" i="1"/>
  <c r="I136" i="1"/>
  <c r="A137" i="1"/>
  <c r="B137" i="1"/>
  <c r="C137" i="1"/>
  <c r="D137" i="1"/>
  <c r="E137" i="1"/>
  <c r="F137" i="1"/>
  <c r="G137" i="1"/>
  <c r="H137" i="1"/>
  <c r="I137" i="1"/>
  <c r="A138" i="1"/>
  <c r="B138" i="1"/>
  <c r="C138" i="1"/>
  <c r="D138" i="1"/>
  <c r="E138" i="1"/>
  <c r="F138" i="1"/>
  <c r="G138" i="1"/>
  <c r="H138" i="1"/>
  <c r="I138" i="1"/>
  <c r="A139" i="1"/>
  <c r="B139" i="1"/>
  <c r="C139" i="1"/>
  <c r="D139" i="1"/>
  <c r="E139" i="1"/>
  <c r="F139" i="1"/>
  <c r="G139" i="1"/>
  <c r="H139" i="1"/>
  <c r="I139" i="1"/>
  <c r="A140" i="1"/>
  <c r="B140" i="1"/>
  <c r="C140" i="1"/>
  <c r="D140" i="1"/>
  <c r="E140" i="1"/>
  <c r="F140" i="1"/>
  <c r="G140" i="1"/>
  <c r="H140" i="1"/>
  <c r="I140" i="1"/>
  <c r="A141" i="1"/>
  <c r="B141" i="1"/>
  <c r="C141" i="1"/>
  <c r="D141" i="1"/>
  <c r="E141" i="1"/>
  <c r="F141" i="1"/>
  <c r="G141" i="1"/>
  <c r="H141" i="1"/>
  <c r="I141" i="1"/>
  <c r="A142" i="1"/>
  <c r="B142" i="1"/>
  <c r="C142" i="1"/>
  <c r="D142" i="1"/>
  <c r="E142" i="1"/>
  <c r="F142" i="1"/>
  <c r="G142" i="1"/>
  <c r="H142" i="1"/>
  <c r="I142" i="1"/>
  <c r="A143" i="1"/>
  <c r="B143" i="1"/>
  <c r="C143" i="1"/>
  <c r="D143" i="1"/>
  <c r="E143" i="1"/>
  <c r="F143" i="1"/>
  <c r="G143" i="1"/>
  <c r="H143" i="1"/>
  <c r="I143" i="1"/>
  <c r="A144" i="1"/>
  <c r="B144" i="1"/>
  <c r="C144" i="1"/>
  <c r="D144" i="1"/>
  <c r="E144" i="1"/>
  <c r="F144" i="1"/>
  <c r="G144" i="1"/>
  <c r="H144" i="1"/>
  <c r="I144" i="1"/>
  <c r="A145" i="1"/>
  <c r="B145" i="1"/>
  <c r="C145" i="1"/>
  <c r="D145" i="1"/>
  <c r="E145" i="1"/>
  <c r="F145" i="1"/>
  <c r="G145" i="1"/>
  <c r="H145" i="1"/>
  <c r="I145" i="1"/>
  <c r="A146" i="1"/>
  <c r="B146" i="1"/>
  <c r="C146" i="1"/>
  <c r="D146" i="1"/>
  <c r="E146" i="1"/>
  <c r="F146" i="1"/>
  <c r="G146" i="1"/>
  <c r="H146" i="1"/>
  <c r="I146" i="1"/>
  <c r="A147" i="1"/>
  <c r="B147" i="1"/>
  <c r="C147" i="1"/>
  <c r="D147" i="1"/>
  <c r="E147" i="1"/>
  <c r="F147" i="1"/>
  <c r="G147" i="1"/>
  <c r="H147" i="1"/>
  <c r="I147" i="1"/>
  <c r="A148" i="1"/>
  <c r="B148" i="1"/>
  <c r="C148" i="1"/>
  <c r="D148" i="1"/>
  <c r="E148" i="1"/>
  <c r="F148" i="1"/>
  <c r="G148" i="1"/>
  <c r="H148" i="1"/>
  <c r="I148" i="1"/>
  <c r="A149" i="1"/>
  <c r="B149" i="1"/>
  <c r="C149" i="1"/>
  <c r="D149" i="1"/>
  <c r="E149" i="1"/>
  <c r="F149" i="1"/>
  <c r="G149" i="1"/>
  <c r="H149" i="1"/>
  <c r="I149" i="1"/>
  <c r="A150" i="1"/>
  <c r="B150" i="1"/>
  <c r="C150" i="1"/>
  <c r="D150" i="1"/>
  <c r="E150" i="1"/>
  <c r="F150" i="1"/>
  <c r="G150" i="1"/>
  <c r="H150" i="1"/>
  <c r="I150" i="1"/>
  <c r="A151" i="1"/>
  <c r="B151" i="1"/>
  <c r="C151" i="1"/>
  <c r="D151" i="1"/>
  <c r="E151" i="1"/>
  <c r="F151" i="1"/>
  <c r="G151" i="1"/>
  <c r="H151" i="1"/>
  <c r="I151" i="1"/>
  <c r="A152" i="1"/>
  <c r="B152" i="1"/>
  <c r="C152" i="1"/>
  <c r="D152" i="1"/>
  <c r="E152" i="1"/>
  <c r="F152" i="1"/>
  <c r="G152" i="1"/>
  <c r="H152" i="1"/>
  <c r="I152" i="1"/>
  <c r="A153" i="1"/>
  <c r="B153" i="1"/>
  <c r="C153" i="1"/>
  <c r="D153" i="1"/>
  <c r="E153" i="1"/>
  <c r="F153" i="1"/>
  <c r="G153" i="1"/>
  <c r="H153" i="1"/>
  <c r="I153" i="1"/>
  <c r="A154" i="1"/>
  <c r="B154" i="1"/>
  <c r="C154" i="1"/>
  <c r="D154" i="1"/>
  <c r="E154" i="1"/>
  <c r="F154" i="1"/>
  <c r="G154" i="1"/>
  <c r="H154" i="1"/>
  <c r="I154" i="1"/>
  <c r="A155" i="1"/>
  <c r="B155" i="1"/>
  <c r="C155" i="1"/>
  <c r="D155" i="1"/>
  <c r="E155" i="1"/>
  <c r="F155" i="1"/>
  <c r="G155" i="1"/>
  <c r="H155" i="1"/>
  <c r="I155" i="1"/>
  <c r="A156" i="1"/>
  <c r="B156" i="1"/>
  <c r="C156" i="1"/>
  <c r="D156" i="1"/>
  <c r="E156" i="1"/>
  <c r="F156" i="1"/>
  <c r="G156" i="1"/>
  <c r="H156" i="1"/>
  <c r="I156" i="1"/>
  <c r="A157" i="1"/>
  <c r="B157" i="1"/>
  <c r="C157" i="1"/>
  <c r="D157" i="1"/>
  <c r="E157" i="1"/>
  <c r="F157" i="1"/>
  <c r="G157" i="1"/>
  <c r="H157" i="1"/>
  <c r="I157" i="1"/>
  <c r="A158" i="1"/>
  <c r="B158" i="1"/>
  <c r="C158" i="1"/>
  <c r="D158" i="1"/>
  <c r="E158" i="1"/>
  <c r="F158" i="1"/>
  <c r="G158" i="1"/>
  <c r="H158" i="1"/>
  <c r="I158" i="1"/>
  <c r="A159" i="1"/>
  <c r="B159" i="1"/>
  <c r="C159" i="1"/>
  <c r="D159" i="1"/>
  <c r="E159" i="1"/>
  <c r="F159" i="1"/>
  <c r="G159" i="1"/>
  <c r="H159" i="1"/>
  <c r="I159" i="1"/>
  <c r="A160" i="1"/>
  <c r="B160" i="1"/>
  <c r="C160" i="1"/>
  <c r="D160" i="1"/>
  <c r="E160" i="1"/>
  <c r="F160" i="1"/>
  <c r="G160" i="1"/>
  <c r="H160" i="1"/>
  <c r="I160" i="1"/>
  <c r="A161" i="1"/>
  <c r="B161" i="1"/>
  <c r="C161" i="1"/>
  <c r="D161" i="1"/>
  <c r="E161" i="1"/>
  <c r="F161" i="1"/>
  <c r="G161" i="1"/>
  <c r="H161" i="1"/>
  <c r="I161" i="1"/>
  <c r="A162" i="1"/>
  <c r="B162" i="1"/>
  <c r="C162" i="1"/>
  <c r="D162" i="1"/>
  <c r="E162" i="1"/>
  <c r="F162" i="1"/>
  <c r="G162" i="1"/>
  <c r="H162" i="1"/>
  <c r="I162" i="1"/>
  <c r="A163" i="1"/>
  <c r="B163" i="1"/>
  <c r="C163" i="1"/>
  <c r="D163" i="1"/>
  <c r="E163" i="1"/>
  <c r="F163" i="1"/>
  <c r="G163" i="1"/>
  <c r="H163" i="1"/>
  <c r="I163" i="1"/>
  <c r="A164" i="1"/>
  <c r="B164" i="1"/>
  <c r="C164" i="1"/>
  <c r="D164" i="1"/>
  <c r="E164" i="1"/>
  <c r="F164" i="1"/>
  <c r="G164" i="1"/>
  <c r="H164" i="1"/>
  <c r="I164" i="1"/>
  <c r="A165" i="1"/>
  <c r="B165" i="1"/>
  <c r="C165" i="1"/>
  <c r="D165" i="1"/>
  <c r="E165" i="1"/>
  <c r="F165" i="1"/>
  <c r="G165" i="1"/>
  <c r="H165" i="1"/>
  <c r="I165" i="1"/>
  <c r="A166" i="1"/>
  <c r="B166" i="1"/>
  <c r="C166" i="1"/>
  <c r="D166" i="1"/>
  <c r="E166" i="1"/>
  <c r="F166" i="1"/>
  <c r="G166" i="1"/>
  <c r="H166" i="1"/>
  <c r="I166" i="1"/>
  <c r="A167" i="1"/>
  <c r="B167" i="1"/>
  <c r="C167" i="1"/>
  <c r="D167" i="1"/>
  <c r="E167" i="1"/>
  <c r="F167" i="1"/>
  <c r="G167" i="1"/>
  <c r="H167" i="1"/>
  <c r="I167" i="1"/>
  <c r="A168" i="1"/>
  <c r="B168" i="1"/>
  <c r="C168" i="1"/>
  <c r="D168" i="1"/>
  <c r="E168" i="1"/>
  <c r="F168" i="1"/>
  <c r="G168" i="1"/>
  <c r="H168" i="1"/>
  <c r="I168" i="1"/>
  <c r="A169" i="1"/>
  <c r="B169" i="1"/>
  <c r="C169" i="1"/>
  <c r="D169" i="1"/>
  <c r="E169" i="1"/>
  <c r="F169" i="1"/>
  <c r="G169" i="1"/>
  <c r="H169" i="1"/>
  <c r="I169" i="1"/>
  <c r="A170" i="1"/>
  <c r="B170" i="1"/>
  <c r="C170" i="1"/>
  <c r="D170" i="1"/>
  <c r="E170" i="1"/>
  <c r="F170" i="1"/>
  <c r="G170" i="1"/>
  <c r="H170" i="1"/>
  <c r="I170" i="1"/>
  <c r="A171" i="1"/>
  <c r="B171" i="1"/>
  <c r="C171" i="1"/>
  <c r="D171" i="1"/>
  <c r="E171" i="1"/>
  <c r="F171" i="1"/>
  <c r="G171" i="1"/>
  <c r="H171" i="1"/>
  <c r="I171" i="1"/>
  <c r="A172" i="1"/>
  <c r="B172" i="1"/>
  <c r="C172" i="1"/>
  <c r="D172" i="1"/>
  <c r="E172" i="1"/>
  <c r="F172" i="1"/>
  <c r="G172" i="1"/>
  <c r="H172" i="1"/>
  <c r="I172" i="1"/>
  <c r="A173" i="1"/>
  <c r="B173" i="1"/>
  <c r="C173" i="1"/>
  <c r="D173" i="1"/>
  <c r="E173" i="1"/>
  <c r="F173" i="1"/>
  <c r="G173" i="1"/>
  <c r="H173" i="1"/>
  <c r="I173" i="1"/>
  <c r="A174" i="1"/>
  <c r="B174" i="1"/>
  <c r="C174" i="1"/>
  <c r="D174" i="1"/>
  <c r="E174" i="1"/>
  <c r="F174" i="1"/>
  <c r="G174" i="1"/>
  <c r="H174" i="1"/>
  <c r="I174" i="1"/>
  <c r="A175" i="1"/>
  <c r="B175" i="1"/>
  <c r="C175" i="1"/>
  <c r="D175" i="1"/>
  <c r="E175" i="1"/>
  <c r="F175" i="1"/>
  <c r="G175" i="1"/>
  <c r="H175" i="1"/>
  <c r="I175" i="1"/>
  <c r="A176" i="1"/>
  <c r="B176" i="1"/>
  <c r="C176" i="1"/>
  <c r="D176" i="1"/>
  <c r="E176" i="1"/>
  <c r="F176" i="1"/>
  <c r="G176" i="1"/>
  <c r="H176" i="1"/>
  <c r="I176" i="1"/>
  <c r="A177" i="1"/>
  <c r="B177" i="1"/>
  <c r="C177" i="1"/>
  <c r="D177" i="1"/>
  <c r="E177" i="1"/>
  <c r="F177" i="1"/>
  <c r="G177" i="1"/>
  <c r="H177" i="1"/>
  <c r="I177" i="1"/>
  <c r="A178" i="1"/>
  <c r="B178" i="1"/>
  <c r="C178" i="1"/>
  <c r="D178" i="1"/>
  <c r="E178" i="1"/>
  <c r="F178" i="1"/>
  <c r="G178" i="1"/>
  <c r="H178" i="1"/>
  <c r="I178" i="1"/>
  <c r="A179" i="1"/>
  <c r="B179" i="1"/>
  <c r="C179" i="1"/>
  <c r="D179" i="1"/>
  <c r="E179" i="1"/>
  <c r="F179" i="1"/>
  <c r="G179" i="1"/>
  <c r="H179" i="1"/>
  <c r="I179" i="1"/>
  <c r="A180" i="1"/>
  <c r="B180" i="1"/>
  <c r="C180" i="1"/>
  <c r="D180" i="1"/>
  <c r="E180" i="1"/>
  <c r="F180" i="1"/>
  <c r="G180" i="1"/>
  <c r="H180" i="1"/>
  <c r="I180" i="1"/>
  <c r="A181" i="1"/>
  <c r="B181" i="1"/>
  <c r="C181" i="1"/>
  <c r="D181" i="1"/>
  <c r="E181" i="1"/>
  <c r="F181" i="1"/>
  <c r="G181" i="1"/>
  <c r="H181" i="1"/>
  <c r="I181" i="1"/>
  <c r="A182" i="1"/>
  <c r="B182" i="1"/>
  <c r="C182" i="1"/>
  <c r="D182" i="1"/>
  <c r="E182" i="1"/>
  <c r="F182" i="1"/>
  <c r="G182" i="1"/>
  <c r="H182" i="1"/>
  <c r="I182" i="1"/>
  <c r="A183" i="1"/>
  <c r="B183" i="1"/>
  <c r="C183" i="1"/>
  <c r="D183" i="1"/>
  <c r="E183" i="1"/>
  <c r="F183" i="1"/>
  <c r="G183" i="1"/>
  <c r="H183" i="1"/>
  <c r="I183" i="1"/>
  <c r="A184" i="1"/>
  <c r="B184" i="1"/>
  <c r="C184" i="1"/>
  <c r="D184" i="1"/>
  <c r="E184" i="1"/>
  <c r="F184" i="1"/>
  <c r="G184" i="1"/>
  <c r="H184" i="1"/>
  <c r="I184" i="1"/>
  <c r="A185" i="1"/>
  <c r="B185" i="1"/>
  <c r="C185" i="1"/>
  <c r="D185" i="1"/>
  <c r="E185" i="1"/>
  <c r="F185" i="1"/>
  <c r="G185" i="1"/>
  <c r="H185" i="1"/>
  <c r="I185" i="1"/>
  <c r="A186" i="1"/>
  <c r="B186" i="1"/>
  <c r="C186" i="1"/>
  <c r="D186" i="1"/>
  <c r="E186" i="1"/>
  <c r="F186" i="1"/>
  <c r="G186" i="1"/>
  <c r="H186" i="1"/>
  <c r="I186" i="1"/>
  <c r="A187" i="1"/>
  <c r="B187" i="1"/>
  <c r="C187" i="1"/>
  <c r="D187" i="1"/>
  <c r="E187" i="1"/>
  <c r="F187" i="1"/>
  <c r="G187" i="1"/>
  <c r="H187" i="1"/>
  <c r="I187" i="1"/>
  <c r="A188" i="1"/>
  <c r="B188" i="1"/>
  <c r="C188" i="1"/>
  <c r="D188" i="1"/>
  <c r="E188" i="1"/>
  <c r="F188" i="1"/>
  <c r="G188" i="1"/>
  <c r="H188" i="1"/>
  <c r="I188" i="1"/>
  <c r="A189" i="1"/>
  <c r="B189" i="1"/>
  <c r="C189" i="1"/>
  <c r="D189" i="1"/>
  <c r="E189" i="1"/>
  <c r="F189" i="1"/>
  <c r="G189" i="1"/>
  <c r="H189" i="1"/>
  <c r="I189" i="1"/>
  <c r="A190" i="1"/>
  <c r="B190" i="1"/>
  <c r="C190" i="1"/>
  <c r="D190" i="1"/>
  <c r="E190" i="1"/>
  <c r="F190" i="1"/>
  <c r="G190" i="1"/>
  <c r="H190" i="1"/>
  <c r="I190" i="1"/>
  <c r="A191" i="1"/>
  <c r="B191" i="1"/>
  <c r="C191" i="1"/>
  <c r="D191" i="1"/>
  <c r="E191" i="1"/>
  <c r="F191" i="1"/>
  <c r="G191" i="1"/>
  <c r="H191" i="1"/>
  <c r="I191" i="1"/>
  <c r="A192" i="1"/>
  <c r="B192" i="1"/>
  <c r="C192" i="1"/>
  <c r="D192" i="1"/>
  <c r="E192" i="1"/>
  <c r="F192" i="1"/>
  <c r="G192" i="1"/>
  <c r="H192" i="1"/>
  <c r="I192" i="1"/>
  <c r="A193" i="1"/>
  <c r="B193" i="1"/>
  <c r="C193" i="1"/>
  <c r="D193" i="1"/>
  <c r="E193" i="1"/>
  <c r="F193" i="1"/>
  <c r="G193" i="1"/>
  <c r="H193" i="1"/>
  <c r="I193" i="1"/>
  <c r="A194" i="1"/>
  <c r="B194" i="1"/>
  <c r="C194" i="1"/>
  <c r="D194" i="1"/>
  <c r="E194" i="1"/>
  <c r="F194" i="1"/>
  <c r="G194" i="1"/>
  <c r="H194" i="1"/>
  <c r="I194" i="1"/>
  <c r="A195" i="1"/>
  <c r="B195" i="1"/>
  <c r="C195" i="1"/>
  <c r="D195" i="1"/>
  <c r="E195" i="1"/>
  <c r="F195" i="1"/>
  <c r="G195" i="1"/>
  <c r="H195" i="1"/>
  <c r="I195" i="1"/>
  <c r="A196" i="1"/>
  <c r="B196" i="1"/>
  <c r="C196" i="1"/>
  <c r="D196" i="1"/>
  <c r="E196" i="1"/>
  <c r="F196" i="1"/>
  <c r="G196" i="1"/>
  <c r="H196" i="1"/>
  <c r="I196" i="1"/>
  <c r="A197" i="1"/>
  <c r="B197" i="1"/>
  <c r="C197" i="1"/>
  <c r="D197" i="1"/>
  <c r="E197" i="1"/>
  <c r="F197" i="1"/>
  <c r="G197" i="1"/>
  <c r="H197" i="1"/>
  <c r="I197" i="1"/>
  <c r="A198" i="1"/>
  <c r="B198" i="1"/>
  <c r="C198" i="1"/>
  <c r="D198" i="1"/>
  <c r="E198" i="1"/>
  <c r="F198" i="1"/>
  <c r="G198" i="1"/>
  <c r="H198" i="1"/>
  <c r="I198" i="1"/>
  <c r="A199" i="1"/>
  <c r="B199" i="1"/>
  <c r="C199" i="1"/>
  <c r="D199" i="1"/>
  <c r="E199" i="1"/>
  <c r="F199" i="1"/>
  <c r="G199" i="1"/>
  <c r="H199" i="1"/>
  <c r="I199" i="1"/>
  <c r="A200" i="1"/>
  <c r="B200" i="1"/>
  <c r="C200" i="1"/>
  <c r="D200" i="1"/>
  <c r="E200" i="1"/>
  <c r="F200" i="1"/>
  <c r="G200" i="1"/>
  <c r="H200" i="1"/>
  <c r="I200" i="1"/>
  <c r="A201" i="1"/>
  <c r="B201" i="1"/>
  <c r="C201" i="1"/>
  <c r="D201" i="1"/>
  <c r="E201" i="1"/>
  <c r="F201" i="1"/>
  <c r="G201" i="1"/>
  <c r="H201" i="1"/>
  <c r="I201" i="1"/>
  <c r="A202" i="1"/>
  <c r="B202" i="1"/>
  <c r="C202" i="1"/>
  <c r="D202" i="1"/>
  <c r="E202" i="1"/>
  <c r="F202" i="1"/>
  <c r="G202" i="1"/>
  <c r="H202" i="1"/>
  <c r="I202" i="1"/>
  <c r="A203" i="1"/>
  <c r="B203" i="1"/>
  <c r="C203" i="1"/>
  <c r="D203" i="1"/>
  <c r="E203" i="1"/>
  <c r="F203" i="1"/>
  <c r="G203" i="1"/>
  <c r="H203" i="1"/>
  <c r="I203" i="1"/>
  <c r="A204" i="1"/>
  <c r="B204" i="1"/>
  <c r="C204" i="1"/>
  <c r="D204" i="1"/>
  <c r="E204" i="1"/>
  <c r="F204" i="1"/>
  <c r="G204" i="1"/>
  <c r="H204" i="1"/>
  <c r="I204" i="1"/>
  <c r="A205" i="1"/>
  <c r="B205" i="1"/>
  <c r="C205" i="1"/>
  <c r="D205" i="1"/>
  <c r="E205" i="1"/>
  <c r="F205" i="1"/>
  <c r="G205" i="1"/>
  <c r="H205" i="1"/>
  <c r="I205" i="1"/>
  <c r="A206" i="1"/>
  <c r="B206" i="1"/>
  <c r="C206" i="1"/>
  <c r="D206" i="1"/>
  <c r="E206" i="1"/>
  <c r="F206" i="1"/>
  <c r="G206" i="1"/>
  <c r="H206" i="1"/>
  <c r="I206" i="1"/>
  <c r="A207" i="1"/>
  <c r="B207" i="1"/>
  <c r="C207" i="1"/>
  <c r="D207" i="1"/>
  <c r="E207" i="1"/>
  <c r="F207" i="1"/>
  <c r="G207" i="1"/>
  <c r="H207" i="1"/>
  <c r="I207" i="1"/>
  <c r="A208" i="1"/>
  <c r="B208" i="1"/>
  <c r="C208" i="1"/>
  <c r="D208" i="1"/>
  <c r="E208" i="1"/>
  <c r="F208" i="1"/>
  <c r="G208" i="1"/>
  <c r="H208" i="1"/>
  <c r="I208" i="1"/>
  <c r="A209" i="1"/>
  <c r="B209" i="1"/>
  <c r="C209" i="1"/>
  <c r="D209" i="1"/>
  <c r="E209" i="1"/>
  <c r="F209" i="1"/>
  <c r="G209" i="1"/>
  <c r="H209" i="1"/>
  <c r="I209" i="1"/>
  <c r="A210" i="1"/>
  <c r="B210" i="1"/>
  <c r="C210" i="1"/>
  <c r="D210" i="1"/>
  <c r="E210" i="1"/>
  <c r="F210" i="1"/>
  <c r="G210" i="1"/>
  <c r="H210" i="1"/>
  <c r="I210" i="1"/>
  <c r="A211" i="1"/>
  <c r="B211" i="1"/>
  <c r="C211" i="1"/>
  <c r="D211" i="1"/>
  <c r="E211" i="1"/>
  <c r="F211" i="1"/>
  <c r="G211" i="1"/>
  <c r="H211" i="1"/>
  <c r="I211" i="1"/>
  <c r="A212" i="1"/>
  <c r="B212" i="1"/>
  <c r="C212" i="1"/>
  <c r="D212" i="1"/>
  <c r="E212" i="1"/>
  <c r="F212" i="1"/>
  <c r="G212" i="1"/>
  <c r="H212" i="1"/>
  <c r="I212" i="1"/>
  <c r="A213" i="1"/>
  <c r="B213" i="1"/>
  <c r="C213" i="1"/>
  <c r="D213" i="1"/>
  <c r="E213" i="1"/>
  <c r="F213" i="1"/>
  <c r="G213" i="1"/>
  <c r="H213" i="1"/>
  <c r="I213" i="1"/>
  <c r="A214" i="1"/>
  <c r="B214" i="1"/>
  <c r="C214" i="1"/>
  <c r="D214" i="1"/>
  <c r="E214" i="1"/>
  <c r="F214" i="1"/>
  <c r="G214" i="1"/>
  <c r="H214" i="1"/>
  <c r="I214" i="1"/>
  <c r="A215" i="1"/>
  <c r="B215" i="1"/>
  <c r="C215" i="1"/>
  <c r="D215" i="1"/>
  <c r="E215" i="1"/>
  <c r="F215" i="1"/>
  <c r="G215" i="1"/>
  <c r="H215" i="1"/>
  <c r="I215" i="1"/>
  <c r="A216" i="1"/>
  <c r="B216" i="1"/>
  <c r="C216" i="1"/>
  <c r="D216" i="1"/>
  <c r="E216" i="1"/>
  <c r="F216" i="1"/>
  <c r="G216" i="1"/>
  <c r="H216" i="1"/>
  <c r="I216" i="1"/>
  <c r="A217" i="1"/>
  <c r="B217" i="1"/>
  <c r="C217" i="1"/>
  <c r="D217" i="1"/>
  <c r="E217" i="1"/>
  <c r="F217" i="1"/>
  <c r="G217" i="1"/>
  <c r="H217" i="1"/>
  <c r="I217" i="1"/>
  <c r="A218" i="1"/>
  <c r="B218" i="1"/>
  <c r="C218" i="1"/>
  <c r="D218" i="1"/>
  <c r="E218" i="1"/>
  <c r="F218" i="1"/>
  <c r="G218" i="1"/>
  <c r="H218" i="1"/>
  <c r="I218" i="1"/>
  <c r="A219" i="1"/>
  <c r="B219" i="1"/>
  <c r="C219" i="1"/>
  <c r="D219" i="1"/>
  <c r="E219" i="1"/>
  <c r="F219" i="1"/>
  <c r="G219" i="1"/>
  <c r="H219" i="1"/>
  <c r="I219" i="1"/>
  <c r="A220" i="1"/>
  <c r="B220" i="1"/>
  <c r="C220" i="1"/>
  <c r="D220" i="1"/>
  <c r="E220" i="1"/>
  <c r="F220" i="1"/>
  <c r="G220" i="1"/>
  <c r="H220" i="1"/>
  <c r="I220" i="1"/>
  <c r="A221" i="1"/>
  <c r="B221" i="1"/>
  <c r="C221" i="1"/>
  <c r="D221" i="1"/>
  <c r="E221" i="1"/>
  <c r="F221" i="1"/>
  <c r="G221" i="1"/>
  <c r="H221" i="1"/>
  <c r="I221" i="1"/>
  <c r="A222" i="1"/>
  <c r="B222" i="1"/>
  <c r="C222" i="1"/>
  <c r="D222" i="1"/>
  <c r="E222" i="1"/>
  <c r="F222" i="1"/>
  <c r="G222" i="1"/>
  <c r="H222" i="1"/>
  <c r="I222" i="1"/>
  <c r="A223" i="1"/>
  <c r="B223" i="1"/>
  <c r="C223" i="1"/>
  <c r="D223" i="1"/>
  <c r="E223" i="1"/>
  <c r="F223" i="1"/>
  <c r="G223" i="1"/>
  <c r="H223" i="1"/>
  <c r="I223" i="1"/>
  <c r="A224" i="1"/>
  <c r="B224" i="1"/>
  <c r="C224" i="1"/>
  <c r="D224" i="1"/>
  <c r="E224" i="1"/>
  <c r="F224" i="1"/>
  <c r="G224" i="1"/>
  <c r="H224" i="1"/>
  <c r="I224" i="1"/>
  <c r="A225" i="1"/>
  <c r="B225" i="1"/>
  <c r="C225" i="1"/>
  <c r="D225" i="1"/>
  <c r="E225" i="1"/>
  <c r="F225" i="1"/>
  <c r="G225" i="1"/>
  <c r="H225" i="1"/>
  <c r="I225" i="1"/>
  <c r="A226" i="1"/>
  <c r="B226" i="1"/>
  <c r="C226" i="1"/>
  <c r="D226" i="1"/>
  <c r="E226" i="1"/>
  <c r="F226" i="1"/>
  <c r="G226" i="1"/>
  <c r="H226" i="1"/>
  <c r="I226" i="1"/>
  <c r="A227" i="1"/>
  <c r="B227" i="1"/>
  <c r="C227" i="1"/>
  <c r="D227" i="1"/>
  <c r="E227" i="1"/>
  <c r="F227" i="1"/>
  <c r="G227" i="1"/>
  <c r="H227" i="1"/>
  <c r="I227" i="1"/>
  <c r="A228" i="1"/>
  <c r="B228" i="1"/>
  <c r="C228" i="1"/>
  <c r="D228" i="1"/>
  <c r="E228" i="1"/>
  <c r="F228" i="1"/>
  <c r="G228" i="1"/>
  <c r="H228" i="1"/>
  <c r="I228" i="1"/>
  <c r="A229" i="1"/>
  <c r="B229" i="1"/>
  <c r="C229" i="1"/>
  <c r="D229" i="1"/>
  <c r="E229" i="1"/>
  <c r="F229" i="1"/>
  <c r="G229" i="1"/>
  <c r="H229" i="1"/>
  <c r="I229" i="1"/>
  <c r="A230" i="1"/>
  <c r="B230" i="1"/>
  <c r="C230" i="1"/>
  <c r="D230" i="1"/>
  <c r="E230" i="1"/>
  <c r="F230" i="1"/>
  <c r="G230" i="1"/>
  <c r="H230" i="1"/>
  <c r="I230" i="1"/>
  <c r="A231" i="1"/>
  <c r="B231" i="1"/>
  <c r="C231" i="1"/>
  <c r="D231" i="1"/>
  <c r="E231" i="1"/>
  <c r="F231" i="1"/>
  <c r="G231" i="1"/>
  <c r="H231" i="1"/>
  <c r="I231" i="1"/>
  <c r="A232" i="1"/>
  <c r="B232" i="1"/>
  <c r="C232" i="1"/>
  <c r="D232" i="1"/>
  <c r="E232" i="1"/>
  <c r="F232" i="1"/>
  <c r="G232" i="1"/>
  <c r="H232" i="1"/>
  <c r="I232" i="1"/>
  <c r="A233" i="1"/>
  <c r="B233" i="1"/>
  <c r="C233" i="1"/>
  <c r="D233" i="1"/>
  <c r="E233" i="1"/>
  <c r="F233" i="1"/>
  <c r="G233" i="1"/>
  <c r="H233" i="1"/>
  <c r="I233" i="1"/>
  <c r="A234" i="1"/>
  <c r="B234" i="1"/>
  <c r="C234" i="1"/>
  <c r="D234" i="1"/>
  <c r="E234" i="1"/>
  <c r="F234" i="1"/>
  <c r="G234" i="1"/>
  <c r="H234" i="1"/>
  <c r="I234" i="1"/>
  <c r="A235" i="1"/>
  <c r="B235" i="1"/>
  <c r="C235" i="1"/>
  <c r="D235" i="1"/>
  <c r="E235" i="1"/>
  <c r="F235" i="1"/>
  <c r="G235" i="1"/>
  <c r="H235" i="1"/>
  <c r="I235" i="1"/>
  <c r="A236" i="1"/>
  <c r="B236" i="1"/>
  <c r="C236" i="1"/>
  <c r="D236" i="1"/>
  <c r="E236" i="1"/>
  <c r="F236" i="1"/>
  <c r="G236" i="1"/>
  <c r="H236" i="1"/>
  <c r="I236" i="1"/>
  <c r="A237" i="1"/>
  <c r="B237" i="1"/>
  <c r="C237" i="1"/>
  <c r="D237" i="1"/>
  <c r="E237" i="1"/>
  <c r="F237" i="1"/>
  <c r="G237" i="1"/>
  <c r="H237" i="1"/>
  <c r="I237" i="1"/>
  <c r="A238" i="1"/>
  <c r="B238" i="1"/>
  <c r="C238" i="1"/>
  <c r="D238" i="1"/>
  <c r="E238" i="1"/>
  <c r="F238" i="1"/>
  <c r="G238" i="1"/>
  <c r="H238" i="1"/>
  <c r="I238" i="1"/>
  <c r="A239" i="1"/>
  <c r="B239" i="1"/>
  <c r="C239" i="1"/>
  <c r="D239" i="1"/>
  <c r="E239" i="1"/>
  <c r="F239" i="1"/>
  <c r="G239" i="1"/>
  <c r="H239" i="1"/>
  <c r="I239" i="1"/>
  <c r="A240" i="1"/>
  <c r="B240" i="1"/>
  <c r="C240" i="1"/>
  <c r="D240" i="1"/>
  <c r="E240" i="1"/>
  <c r="F240" i="1"/>
  <c r="G240" i="1"/>
  <c r="H240" i="1"/>
  <c r="I240" i="1"/>
  <c r="A241" i="1"/>
  <c r="B241" i="1"/>
  <c r="C241" i="1"/>
  <c r="D241" i="1"/>
  <c r="E241" i="1"/>
  <c r="F241" i="1"/>
  <c r="G241" i="1"/>
  <c r="H241" i="1"/>
  <c r="I241" i="1"/>
  <c r="A242" i="1"/>
  <c r="B242" i="1"/>
  <c r="C242" i="1"/>
  <c r="D242" i="1"/>
  <c r="E242" i="1"/>
  <c r="F242" i="1"/>
  <c r="G242" i="1"/>
  <c r="H242" i="1"/>
  <c r="I242" i="1"/>
  <c r="A243" i="1"/>
  <c r="B243" i="1"/>
  <c r="C243" i="1"/>
  <c r="D243" i="1"/>
  <c r="E243" i="1"/>
  <c r="F243" i="1"/>
  <c r="G243" i="1"/>
  <c r="H243" i="1"/>
  <c r="I243" i="1"/>
  <c r="A244" i="1"/>
  <c r="B244" i="1"/>
  <c r="C244" i="1"/>
  <c r="D244" i="1"/>
  <c r="E244" i="1"/>
  <c r="F244" i="1"/>
  <c r="G244" i="1"/>
  <c r="H244" i="1"/>
  <c r="I244" i="1"/>
  <c r="A245" i="1"/>
  <c r="B245" i="1"/>
  <c r="C245" i="1"/>
  <c r="D245" i="1"/>
  <c r="E245" i="1"/>
  <c r="F245" i="1"/>
  <c r="G245" i="1"/>
  <c r="H245" i="1"/>
  <c r="I245" i="1"/>
  <c r="A246" i="1"/>
  <c r="B246" i="1"/>
  <c r="C246" i="1"/>
  <c r="D246" i="1"/>
  <c r="E246" i="1"/>
  <c r="F246" i="1"/>
  <c r="G246" i="1"/>
  <c r="H246" i="1"/>
  <c r="I246" i="1"/>
  <c r="A247" i="1"/>
  <c r="B247" i="1"/>
  <c r="C247" i="1"/>
  <c r="D247" i="1"/>
  <c r="E247" i="1"/>
  <c r="F247" i="1"/>
  <c r="G247" i="1"/>
  <c r="H247" i="1"/>
  <c r="I247" i="1"/>
  <c r="A248" i="1"/>
  <c r="B248" i="1"/>
  <c r="C248" i="1"/>
  <c r="D248" i="1"/>
  <c r="E248" i="1"/>
  <c r="F248" i="1"/>
  <c r="G248" i="1"/>
  <c r="H248" i="1"/>
  <c r="I248" i="1"/>
  <c r="A249" i="1"/>
  <c r="B249" i="1"/>
  <c r="C249" i="1"/>
  <c r="D249" i="1"/>
  <c r="E249" i="1"/>
  <c r="F249" i="1"/>
  <c r="G249" i="1"/>
  <c r="H249" i="1"/>
  <c r="I249" i="1"/>
  <c r="A250" i="1"/>
  <c r="B250" i="1"/>
  <c r="C250" i="1"/>
  <c r="D250" i="1"/>
  <c r="E250" i="1"/>
  <c r="F250" i="1"/>
  <c r="G250" i="1"/>
  <c r="H250" i="1"/>
  <c r="I250" i="1"/>
  <c r="A251" i="1"/>
  <c r="B251" i="1"/>
  <c r="C251" i="1"/>
  <c r="D251" i="1"/>
  <c r="E251" i="1"/>
  <c r="F251" i="1"/>
  <c r="G251" i="1"/>
  <c r="H251" i="1"/>
  <c r="I251" i="1"/>
  <c r="A252" i="1"/>
  <c r="B252" i="1"/>
  <c r="C252" i="1"/>
  <c r="D252" i="1"/>
  <c r="E252" i="1"/>
  <c r="F252" i="1"/>
  <c r="G252" i="1"/>
  <c r="H252" i="1"/>
  <c r="I252" i="1"/>
  <c r="A253" i="1"/>
  <c r="B253" i="1"/>
  <c r="C253" i="1"/>
  <c r="D253" i="1"/>
  <c r="E253" i="1"/>
  <c r="F253" i="1"/>
  <c r="G253" i="1"/>
  <c r="H253" i="1"/>
  <c r="I253" i="1"/>
  <c r="A254" i="1"/>
  <c r="B254" i="1"/>
  <c r="C254" i="1"/>
  <c r="D254" i="1"/>
  <c r="E254" i="1"/>
  <c r="F254" i="1"/>
  <c r="G254" i="1"/>
  <c r="H254" i="1"/>
  <c r="I254" i="1"/>
  <c r="A255" i="1"/>
  <c r="B255" i="1"/>
  <c r="C255" i="1"/>
  <c r="D255" i="1"/>
  <c r="E255" i="1"/>
  <c r="F255" i="1"/>
  <c r="G255" i="1"/>
  <c r="H255" i="1"/>
  <c r="I255" i="1"/>
  <c r="A256" i="1"/>
  <c r="B256" i="1"/>
  <c r="C256" i="1"/>
  <c r="D256" i="1"/>
  <c r="E256" i="1"/>
  <c r="F256" i="1"/>
  <c r="G256" i="1"/>
  <c r="H256" i="1"/>
  <c r="I256" i="1"/>
  <c r="A257" i="1"/>
  <c r="B257" i="1"/>
  <c r="C257" i="1"/>
  <c r="D257" i="1"/>
  <c r="E257" i="1"/>
  <c r="F257" i="1"/>
  <c r="G257" i="1"/>
  <c r="H257" i="1"/>
  <c r="I257" i="1"/>
  <c r="A258" i="1"/>
  <c r="B258" i="1"/>
  <c r="C258" i="1"/>
  <c r="D258" i="1"/>
  <c r="E258" i="1"/>
  <c r="F258" i="1"/>
  <c r="G258" i="1"/>
  <c r="H258" i="1"/>
  <c r="I258" i="1"/>
  <c r="A259" i="1"/>
  <c r="B259" i="1"/>
  <c r="C259" i="1"/>
  <c r="D259" i="1"/>
  <c r="E259" i="1"/>
  <c r="F259" i="1"/>
  <c r="G259" i="1"/>
  <c r="H259" i="1"/>
  <c r="I259" i="1"/>
  <c r="A260" i="1"/>
  <c r="B260" i="1"/>
  <c r="C260" i="1"/>
  <c r="D260" i="1"/>
  <c r="E260" i="1"/>
  <c r="F260" i="1"/>
  <c r="G260" i="1"/>
  <c r="H260" i="1"/>
  <c r="I260" i="1"/>
  <c r="A261" i="1"/>
  <c r="B261" i="1"/>
  <c r="C261" i="1"/>
  <c r="D261" i="1"/>
  <c r="E261" i="1"/>
  <c r="F261" i="1"/>
  <c r="G261" i="1"/>
  <c r="H261" i="1"/>
  <c r="I261" i="1"/>
  <c r="A262" i="1"/>
  <c r="B262" i="1"/>
  <c r="C262" i="1"/>
  <c r="D262" i="1"/>
  <c r="E262" i="1"/>
  <c r="F262" i="1"/>
  <c r="G262" i="1"/>
  <c r="H262" i="1"/>
  <c r="I262" i="1"/>
  <c r="A263" i="1"/>
  <c r="B263" i="1"/>
  <c r="C263" i="1"/>
  <c r="D263" i="1"/>
  <c r="E263" i="1"/>
  <c r="F263" i="1"/>
  <c r="G263" i="1"/>
  <c r="H263" i="1"/>
  <c r="I263" i="1"/>
  <c r="A264" i="1"/>
  <c r="B264" i="1"/>
  <c r="C264" i="1"/>
  <c r="D264" i="1"/>
  <c r="E264" i="1"/>
  <c r="F264" i="1"/>
  <c r="G264" i="1"/>
  <c r="H264" i="1"/>
  <c r="I264" i="1"/>
  <c r="A265" i="1"/>
  <c r="B265" i="1"/>
  <c r="C265" i="1"/>
  <c r="D265" i="1"/>
  <c r="E265" i="1"/>
  <c r="F265" i="1"/>
  <c r="G265" i="1"/>
  <c r="H265" i="1"/>
  <c r="I265" i="1"/>
  <c r="A266" i="1"/>
  <c r="B266" i="1"/>
  <c r="C266" i="1"/>
  <c r="D266" i="1"/>
  <c r="E266" i="1"/>
  <c r="F266" i="1"/>
  <c r="G266" i="1"/>
  <c r="H266" i="1"/>
  <c r="I266" i="1"/>
  <c r="A267" i="1"/>
  <c r="B267" i="1"/>
  <c r="C267" i="1"/>
  <c r="D267" i="1"/>
  <c r="E267" i="1"/>
  <c r="F267" i="1"/>
  <c r="G267" i="1"/>
  <c r="H267" i="1"/>
  <c r="I267" i="1"/>
  <c r="A268" i="1"/>
  <c r="B268" i="1"/>
  <c r="C268" i="1"/>
  <c r="D268" i="1"/>
  <c r="E268" i="1"/>
  <c r="F268" i="1"/>
  <c r="G268" i="1"/>
  <c r="H268" i="1"/>
  <c r="I268" i="1"/>
  <c r="A269" i="1"/>
  <c r="B269" i="1"/>
  <c r="C269" i="1"/>
  <c r="D269" i="1"/>
  <c r="E269" i="1"/>
  <c r="F269" i="1"/>
  <c r="G269" i="1"/>
  <c r="H269" i="1"/>
  <c r="I269" i="1"/>
  <c r="A270" i="1"/>
  <c r="B270" i="1"/>
  <c r="C270" i="1"/>
  <c r="D270" i="1"/>
  <c r="E270" i="1"/>
  <c r="F270" i="1"/>
  <c r="G270" i="1"/>
  <c r="H270" i="1"/>
  <c r="I270" i="1"/>
  <c r="A271" i="1"/>
  <c r="B271" i="1"/>
  <c r="C271" i="1"/>
  <c r="D271" i="1"/>
  <c r="E271" i="1"/>
  <c r="F271" i="1"/>
  <c r="G271" i="1"/>
  <c r="H271" i="1"/>
  <c r="I271" i="1"/>
  <c r="A272" i="1"/>
  <c r="B272" i="1"/>
  <c r="C272" i="1"/>
  <c r="D272" i="1"/>
  <c r="E272" i="1"/>
  <c r="F272" i="1"/>
  <c r="G272" i="1"/>
  <c r="H272" i="1"/>
  <c r="I272" i="1"/>
  <c r="A273" i="1"/>
  <c r="B273" i="1"/>
  <c r="C273" i="1"/>
  <c r="D273" i="1"/>
  <c r="E273" i="1"/>
  <c r="F273" i="1"/>
  <c r="G273" i="1"/>
  <c r="H273" i="1"/>
  <c r="I273" i="1"/>
  <c r="A274" i="1"/>
  <c r="B274" i="1"/>
  <c r="C274" i="1"/>
  <c r="D274" i="1"/>
  <c r="E274" i="1"/>
  <c r="F274" i="1"/>
  <c r="G274" i="1"/>
  <c r="H274" i="1"/>
  <c r="I274" i="1"/>
  <c r="A275" i="1"/>
  <c r="B275" i="1"/>
  <c r="C275" i="1"/>
  <c r="D275" i="1"/>
  <c r="E275" i="1"/>
  <c r="F275" i="1"/>
  <c r="G275" i="1"/>
  <c r="H275" i="1"/>
  <c r="I275" i="1"/>
  <c r="A276" i="1"/>
  <c r="B276" i="1"/>
  <c r="C276" i="1"/>
  <c r="D276" i="1"/>
  <c r="E276" i="1"/>
  <c r="F276" i="1"/>
  <c r="G276" i="1"/>
  <c r="H276" i="1"/>
  <c r="I276" i="1"/>
  <c r="A277" i="1"/>
  <c r="B277" i="1"/>
  <c r="C277" i="1"/>
  <c r="D277" i="1"/>
  <c r="E277" i="1"/>
  <c r="F277" i="1"/>
  <c r="G277" i="1"/>
  <c r="H277" i="1"/>
  <c r="I277" i="1"/>
  <c r="A278" i="1"/>
  <c r="B278" i="1"/>
  <c r="C278" i="1"/>
  <c r="D278" i="1"/>
  <c r="E278" i="1"/>
  <c r="F278" i="1"/>
  <c r="G278" i="1"/>
  <c r="H278" i="1"/>
  <c r="I278" i="1"/>
  <c r="A279" i="1"/>
  <c r="B279" i="1"/>
  <c r="C279" i="1"/>
  <c r="D279" i="1"/>
  <c r="E279" i="1"/>
  <c r="F279" i="1"/>
  <c r="G279" i="1"/>
  <c r="H279" i="1"/>
  <c r="I279" i="1"/>
  <c r="A280" i="1"/>
  <c r="B280" i="1"/>
  <c r="C280" i="1"/>
  <c r="D280" i="1"/>
  <c r="E280" i="1"/>
  <c r="F280" i="1"/>
  <c r="G280" i="1"/>
  <c r="H280" i="1"/>
  <c r="I280" i="1"/>
  <c r="A281" i="1"/>
  <c r="B281" i="1"/>
  <c r="C281" i="1"/>
  <c r="D281" i="1"/>
  <c r="E281" i="1"/>
  <c r="F281" i="1"/>
  <c r="G281" i="1"/>
  <c r="H281" i="1"/>
  <c r="I281" i="1"/>
  <c r="A282" i="1"/>
  <c r="B282" i="1"/>
  <c r="C282" i="1"/>
  <c r="D282" i="1"/>
  <c r="E282" i="1"/>
  <c r="F282" i="1"/>
  <c r="G282" i="1"/>
  <c r="H282" i="1"/>
  <c r="I282" i="1"/>
  <c r="A283" i="1"/>
  <c r="B283" i="1"/>
  <c r="C283" i="1"/>
  <c r="D283" i="1"/>
  <c r="E283" i="1"/>
  <c r="F283" i="1"/>
  <c r="G283" i="1"/>
  <c r="H283" i="1"/>
  <c r="I283" i="1"/>
  <c r="A284" i="1"/>
  <c r="B284" i="1"/>
  <c r="C284" i="1"/>
  <c r="D284" i="1"/>
  <c r="E284" i="1"/>
  <c r="F284" i="1"/>
  <c r="G284" i="1"/>
  <c r="H284" i="1"/>
  <c r="I284" i="1"/>
  <c r="A285" i="1"/>
  <c r="B285" i="1"/>
  <c r="C285" i="1"/>
  <c r="D285" i="1"/>
  <c r="E285" i="1"/>
  <c r="F285" i="1"/>
  <c r="G285" i="1"/>
  <c r="H285" i="1"/>
  <c r="I285" i="1"/>
  <c r="A286" i="1"/>
  <c r="B286" i="1"/>
  <c r="C286" i="1"/>
  <c r="D286" i="1"/>
  <c r="E286" i="1"/>
  <c r="F286" i="1"/>
  <c r="G286" i="1"/>
  <c r="H286" i="1"/>
  <c r="I286" i="1"/>
  <c r="A287" i="1"/>
  <c r="B287" i="1"/>
  <c r="C287" i="1"/>
  <c r="D287" i="1"/>
  <c r="E287" i="1"/>
  <c r="F287" i="1"/>
  <c r="G287" i="1"/>
  <c r="H287" i="1"/>
  <c r="I287" i="1"/>
  <c r="A288" i="1"/>
  <c r="B288" i="1"/>
  <c r="C288" i="1"/>
  <c r="D288" i="1"/>
  <c r="E288" i="1"/>
  <c r="F288" i="1"/>
  <c r="G288" i="1"/>
  <c r="H288" i="1"/>
  <c r="I288" i="1"/>
  <c r="A289" i="1"/>
  <c r="B289" i="1"/>
  <c r="C289" i="1"/>
  <c r="D289" i="1"/>
  <c r="E289" i="1"/>
  <c r="F289" i="1"/>
  <c r="G289" i="1"/>
  <c r="H289" i="1"/>
  <c r="I289" i="1"/>
  <c r="A290" i="1"/>
  <c r="B290" i="1"/>
  <c r="C290" i="1"/>
  <c r="D290" i="1"/>
  <c r="E290" i="1"/>
  <c r="F290" i="1"/>
  <c r="G290" i="1"/>
  <c r="H290" i="1"/>
  <c r="I290" i="1"/>
  <c r="A291" i="1"/>
  <c r="B291" i="1"/>
  <c r="C291" i="1"/>
  <c r="D291" i="1"/>
  <c r="E291" i="1"/>
  <c r="F291" i="1"/>
  <c r="G291" i="1"/>
  <c r="H291" i="1"/>
  <c r="I291" i="1"/>
  <c r="A292" i="1"/>
  <c r="B292" i="1"/>
  <c r="C292" i="1"/>
  <c r="D292" i="1"/>
  <c r="E292" i="1"/>
  <c r="F292" i="1"/>
  <c r="G292" i="1"/>
  <c r="H292" i="1"/>
  <c r="I292" i="1"/>
  <c r="A293" i="1"/>
  <c r="B293" i="1"/>
  <c r="C293" i="1"/>
  <c r="D293" i="1"/>
  <c r="E293" i="1"/>
  <c r="F293" i="1"/>
  <c r="G293" i="1"/>
  <c r="H293" i="1"/>
  <c r="I293" i="1"/>
  <c r="A294" i="1"/>
  <c r="B294" i="1"/>
  <c r="C294" i="1"/>
  <c r="D294" i="1"/>
  <c r="E294" i="1"/>
  <c r="F294" i="1"/>
  <c r="G294" i="1"/>
  <c r="H294" i="1"/>
  <c r="I294" i="1"/>
  <c r="A295" i="1"/>
  <c r="B295" i="1"/>
  <c r="C295" i="1"/>
  <c r="D295" i="1"/>
  <c r="E295" i="1"/>
  <c r="F295" i="1"/>
  <c r="G295" i="1"/>
  <c r="H295" i="1"/>
  <c r="I295" i="1"/>
  <c r="A296" i="1"/>
  <c r="B296" i="1"/>
  <c r="C296" i="1"/>
  <c r="D296" i="1"/>
  <c r="E296" i="1"/>
  <c r="F296" i="1"/>
  <c r="G296" i="1"/>
  <c r="H296" i="1"/>
  <c r="I296" i="1"/>
  <c r="A297" i="1"/>
  <c r="B297" i="1"/>
  <c r="C297" i="1"/>
  <c r="D297" i="1"/>
  <c r="E297" i="1"/>
  <c r="F297" i="1"/>
  <c r="G297" i="1"/>
  <c r="H297" i="1"/>
  <c r="I297" i="1"/>
  <c r="A298" i="1"/>
  <c r="B298" i="1"/>
  <c r="C298" i="1"/>
  <c r="D298" i="1"/>
  <c r="E298" i="1"/>
  <c r="F298" i="1"/>
  <c r="G298" i="1"/>
  <c r="H298" i="1"/>
  <c r="I298" i="1"/>
  <c r="A299" i="1"/>
  <c r="B299" i="1"/>
  <c r="C299" i="1"/>
  <c r="D299" i="1"/>
  <c r="E299" i="1"/>
  <c r="F299" i="1"/>
  <c r="G299" i="1"/>
  <c r="H299" i="1"/>
  <c r="I299" i="1"/>
  <c r="A300" i="1"/>
  <c r="B300" i="1"/>
  <c r="C300" i="1"/>
  <c r="D300" i="1"/>
  <c r="E300" i="1"/>
  <c r="F300" i="1"/>
  <c r="G300" i="1"/>
  <c r="H300" i="1"/>
  <c r="I300" i="1"/>
  <c r="A301" i="1"/>
  <c r="B301" i="1"/>
  <c r="C301" i="1"/>
  <c r="D301" i="1"/>
  <c r="E301" i="1"/>
  <c r="F301" i="1"/>
  <c r="G301" i="1"/>
  <c r="H301" i="1"/>
  <c r="I301" i="1"/>
  <c r="A302" i="1"/>
  <c r="B302" i="1"/>
  <c r="C302" i="1"/>
  <c r="D302" i="1"/>
  <c r="E302" i="1"/>
  <c r="F302" i="1"/>
  <c r="G302" i="1"/>
  <c r="H302" i="1"/>
  <c r="I302" i="1"/>
  <c r="A303" i="1"/>
  <c r="B303" i="1"/>
  <c r="C303" i="1"/>
  <c r="D303" i="1"/>
  <c r="E303" i="1"/>
  <c r="F303" i="1"/>
  <c r="G303" i="1"/>
  <c r="H303" i="1"/>
  <c r="I303" i="1"/>
  <c r="A304" i="1"/>
  <c r="B304" i="1"/>
  <c r="C304" i="1"/>
  <c r="D304" i="1"/>
  <c r="E304" i="1"/>
  <c r="F304" i="1"/>
  <c r="G304" i="1"/>
  <c r="H304" i="1"/>
  <c r="I304" i="1"/>
  <c r="A305" i="1"/>
  <c r="B305" i="1"/>
  <c r="C305" i="1"/>
  <c r="D305" i="1"/>
  <c r="E305" i="1"/>
  <c r="F305" i="1"/>
  <c r="G305" i="1"/>
  <c r="H305" i="1"/>
  <c r="I305" i="1"/>
  <c r="A306" i="1"/>
  <c r="B306" i="1"/>
  <c r="C306" i="1"/>
  <c r="D306" i="1"/>
  <c r="E306" i="1"/>
  <c r="F306" i="1"/>
  <c r="G306" i="1"/>
  <c r="H306" i="1"/>
  <c r="I306" i="1"/>
  <c r="A307" i="1"/>
  <c r="B307" i="1"/>
  <c r="C307" i="1"/>
  <c r="D307" i="1"/>
  <c r="E307" i="1"/>
  <c r="F307" i="1"/>
  <c r="G307" i="1"/>
  <c r="H307" i="1"/>
  <c r="I307" i="1"/>
  <c r="A308" i="1"/>
  <c r="B308" i="1"/>
  <c r="C308" i="1"/>
  <c r="D308" i="1"/>
  <c r="E308" i="1"/>
  <c r="F308" i="1"/>
  <c r="G308" i="1"/>
  <c r="H308" i="1"/>
  <c r="I308" i="1"/>
  <c r="A309" i="1"/>
  <c r="B309" i="1"/>
  <c r="C309" i="1"/>
  <c r="D309" i="1"/>
  <c r="E309" i="1"/>
  <c r="F309" i="1"/>
  <c r="G309" i="1"/>
  <c r="H309" i="1"/>
  <c r="I309" i="1"/>
  <c r="A310" i="1"/>
  <c r="B310" i="1"/>
  <c r="C310" i="1"/>
  <c r="D310" i="1"/>
  <c r="E310" i="1"/>
  <c r="F310" i="1"/>
  <c r="G310" i="1"/>
  <c r="H310" i="1"/>
  <c r="I310" i="1"/>
  <c r="A311" i="1"/>
  <c r="B311" i="1"/>
  <c r="C311" i="1"/>
  <c r="D311" i="1"/>
  <c r="E311" i="1"/>
  <c r="F311" i="1"/>
  <c r="G311" i="1"/>
  <c r="H311" i="1"/>
  <c r="I311" i="1"/>
  <c r="A312" i="1"/>
  <c r="B312" i="1"/>
  <c r="C312" i="1"/>
  <c r="D312" i="1"/>
  <c r="E312" i="1"/>
  <c r="F312" i="1"/>
  <c r="G312" i="1"/>
  <c r="H312" i="1"/>
  <c r="I312" i="1"/>
  <c r="A313" i="1"/>
  <c r="B313" i="1"/>
  <c r="C313" i="1"/>
  <c r="D313" i="1"/>
  <c r="E313" i="1"/>
  <c r="F313" i="1"/>
  <c r="G313" i="1"/>
  <c r="H313" i="1"/>
  <c r="I313" i="1"/>
  <c r="A314" i="1"/>
  <c r="B314" i="1"/>
  <c r="C314" i="1"/>
  <c r="D314" i="1"/>
  <c r="E314" i="1"/>
  <c r="F314" i="1"/>
  <c r="G314" i="1"/>
  <c r="H314" i="1"/>
  <c r="I314" i="1"/>
  <c r="A315" i="1"/>
  <c r="B315" i="1"/>
  <c r="C315" i="1"/>
  <c r="D315" i="1"/>
  <c r="E315" i="1"/>
  <c r="F315" i="1"/>
  <c r="G315" i="1"/>
  <c r="H315" i="1"/>
  <c r="I315" i="1"/>
  <c r="A316" i="1"/>
  <c r="B316" i="1"/>
  <c r="C316" i="1"/>
  <c r="D316" i="1"/>
  <c r="E316" i="1"/>
  <c r="F316" i="1"/>
  <c r="G316" i="1"/>
  <c r="H316" i="1"/>
  <c r="I316" i="1"/>
  <c r="A317" i="1"/>
  <c r="B317" i="1"/>
  <c r="C317" i="1"/>
  <c r="D317" i="1"/>
  <c r="E317" i="1"/>
  <c r="F317" i="1"/>
  <c r="G317" i="1"/>
  <c r="H317" i="1"/>
  <c r="I317" i="1"/>
  <c r="A318" i="1"/>
  <c r="B318" i="1"/>
  <c r="C318" i="1"/>
  <c r="D318" i="1"/>
  <c r="E318" i="1"/>
  <c r="F318" i="1"/>
  <c r="G318" i="1"/>
  <c r="H318" i="1"/>
  <c r="I318" i="1"/>
  <c r="A319" i="1"/>
  <c r="B319" i="1"/>
  <c r="C319" i="1"/>
  <c r="D319" i="1"/>
  <c r="E319" i="1"/>
  <c r="F319" i="1"/>
  <c r="G319" i="1"/>
  <c r="H319" i="1"/>
  <c r="I319" i="1"/>
  <c r="A320" i="1"/>
  <c r="B320" i="1"/>
  <c r="C320" i="1"/>
  <c r="D320" i="1"/>
  <c r="E320" i="1"/>
  <c r="F320" i="1"/>
  <c r="G320" i="1"/>
  <c r="H320" i="1"/>
  <c r="I320" i="1"/>
  <c r="A321" i="1"/>
  <c r="B321" i="1"/>
  <c r="C321" i="1"/>
  <c r="D321" i="1"/>
  <c r="E321" i="1"/>
  <c r="F321" i="1"/>
  <c r="G321" i="1"/>
  <c r="H321" i="1"/>
  <c r="I321" i="1"/>
  <c r="A322" i="1"/>
  <c r="B322" i="1"/>
  <c r="C322" i="1"/>
  <c r="D322" i="1"/>
  <c r="E322" i="1"/>
  <c r="F322" i="1"/>
  <c r="G322" i="1"/>
  <c r="H322" i="1"/>
  <c r="I322" i="1"/>
  <c r="A323" i="1"/>
  <c r="B323" i="1"/>
  <c r="C323" i="1"/>
  <c r="D323" i="1"/>
  <c r="E323" i="1"/>
  <c r="F323" i="1"/>
  <c r="G323" i="1"/>
  <c r="H323" i="1"/>
  <c r="I323" i="1"/>
  <c r="A324" i="1"/>
  <c r="B324" i="1"/>
  <c r="C324" i="1"/>
  <c r="D324" i="1"/>
  <c r="E324" i="1"/>
  <c r="F324" i="1"/>
  <c r="G324" i="1"/>
  <c r="H324" i="1"/>
  <c r="I324" i="1"/>
  <c r="A325" i="1"/>
  <c r="B325" i="1"/>
  <c r="C325" i="1"/>
  <c r="D325" i="1"/>
  <c r="E325" i="1"/>
  <c r="F325" i="1"/>
  <c r="G325" i="1"/>
  <c r="H325" i="1"/>
  <c r="I325" i="1"/>
  <c r="A326" i="1"/>
  <c r="B326" i="1"/>
  <c r="C326" i="1"/>
  <c r="D326" i="1"/>
  <c r="E326" i="1"/>
  <c r="F326" i="1"/>
  <c r="G326" i="1"/>
  <c r="H326" i="1"/>
  <c r="I326" i="1"/>
  <c r="A327" i="1"/>
  <c r="B327" i="1"/>
  <c r="C327" i="1"/>
  <c r="D327" i="1"/>
  <c r="E327" i="1"/>
  <c r="F327" i="1"/>
  <c r="G327" i="1"/>
  <c r="H327" i="1"/>
  <c r="I327" i="1"/>
  <c r="A328" i="1"/>
  <c r="B328" i="1"/>
  <c r="C328" i="1"/>
  <c r="D328" i="1"/>
  <c r="E328" i="1"/>
  <c r="F328" i="1"/>
  <c r="G328" i="1"/>
  <c r="H328" i="1"/>
  <c r="I328" i="1"/>
  <c r="A329" i="1"/>
  <c r="B329" i="1"/>
  <c r="C329" i="1"/>
  <c r="D329" i="1"/>
  <c r="E329" i="1"/>
  <c r="F329" i="1"/>
  <c r="G329" i="1"/>
  <c r="H329" i="1"/>
  <c r="I329" i="1"/>
  <c r="A330" i="1"/>
  <c r="B330" i="1"/>
  <c r="C330" i="1"/>
  <c r="D330" i="1"/>
  <c r="E330" i="1"/>
  <c r="F330" i="1"/>
  <c r="G330" i="1"/>
  <c r="H330" i="1"/>
  <c r="I330" i="1"/>
  <c r="A331" i="1"/>
  <c r="B331" i="1"/>
  <c r="C331" i="1"/>
  <c r="D331" i="1"/>
  <c r="E331" i="1"/>
  <c r="F331" i="1"/>
  <c r="G331" i="1"/>
  <c r="H331" i="1"/>
  <c r="I331" i="1"/>
  <c r="A332" i="1"/>
  <c r="B332" i="1"/>
  <c r="C332" i="1"/>
  <c r="D332" i="1"/>
  <c r="E332" i="1"/>
  <c r="F332" i="1"/>
  <c r="G332" i="1"/>
  <c r="H332" i="1"/>
  <c r="I332" i="1"/>
  <c r="A333" i="1"/>
  <c r="B333" i="1"/>
  <c r="C333" i="1"/>
  <c r="D333" i="1"/>
  <c r="E333" i="1"/>
  <c r="F333" i="1"/>
  <c r="G333" i="1"/>
  <c r="H333" i="1"/>
  <c r="I333" i="1"/>
  <c r="A334" i="1"/>
  <c r="B334" i="1"/>
  <c r="C334" i="1"/>
  <c r="D334" i="1"/>
  <c r="E334" i="1"/>
  <c r="F334" i="1"/>
  <c r="G334" i="1"/>
  <c r="H334" i="1"/>
  <c r="I334" i="1"/>
  <c r="A335" i="1"/>
  <c r="B335" i="1"/>
  <c r="C335" i="1"/>
  <c r="D335" i="1"/>
  <c r="E335" i="1"/>
  <c r="F335" i="1"/>
  <c r="G335" i="1"/>
  <c r="H335" i="1"/>
  <c r="I335" i="1"/>
  <c r="A336" i="1"/>
  <c r="B336" i="1"/>
  <c r="C336" i="1"/>
  <c r="D336" i="1"/>
  <c r="E336" i="1"/>
  <c r="F336" i="1"/>
  <c r="G336" i="1"/>
  <c r="H336" i="1"/>
  <c r="I336" i="1"/>
  <c r="A337" i="1"/>
  <c r="B337" i="1"/>
  <c r="C337" i="1"/>
  <c r="D337" i="1"/>
  <c r="E337" i="1"/>
  <c r="F337" i="1"/>
  <c r="G337" i="1"/>
  <c r="H337" i="1"/>
  <c r="I337" i="1"/>
  <c r="A338" i="1"/>
  <c r="B338" i="1"/>
  <c r="C338" i="1"/>
  <c r="D338" i="1"/>
  <c r="E338" i="1"/>
  <c r="F338" i="1"/>
  <c r="G338" i="1"/>
  <c r="H338" i="1"/>
  <c r="I338" i="1"/>
  <c r="A339" i="1"/>
  <c r="B339" i="1"/>
  <c r="C339" i="1"/>
  <c r="D339" i="1"/>
  <c r="E339" i="1"/>
  <c r="F339" i="1"/>
  <c r="G339" i="1"/>
  <c r="H339" i="1"/>
  <c r="I339" i="1"/>
  <c r="A340" i="1"/>
  <c r="B340" i="1"/>
  <c r="C340" i="1"/>
  <c r="D340" i="1"/>
  <c r="E340" i="1"/>
  <c r="F340" i="1"/>
  <c r="G340" i="1"/>
  <c r="H340" i="1"/>
  <c r="I340" i="1"/>
  <c r="A341" i="1"/>
  <c r="B341" i="1"/>
  <c r="C341" i="1"/>
  <c r="D341" i="1"/>
  <c r="E341" i="1"/>
  <c r="F341" i="1"/>
  <c r="G341" i="1"/>
  <c r="H341" i="1"/>
  <c r="I341" i="1"/>
  <c r="A342" i="1"/>
  <c r="B342" i="1"/>
  <c r="C342" i="1"/>
  <c r="D342" i="1"/>
  <c r="E342" i="1"/>
  <c r="F342" i="1"/>
  <c r="G342" i="1"/>
  <c r="H342" i="1"/>
  <c r="I342" i="1"/>
  <c r="A343" i="1"/>
  <c r="B343" i="1"/>
  <c r="C343" i="1"/>
  <c r="D343" i="1"/>
  <c r="E343" i="1"/>
  <c r="F343" i="1"/>
  <c r="G343" i="1"/>
  <c r="H343" i="1"/>
  <c r="I343" i="1"/>
  <c r="A344" i="1"/>
  <c r="B344" i="1"/>
  <c r="C344" i="1"/>
  <c r="D344" i="1"/>
  <c r="E344" i="1"/>
  <c r="F344" i="1"/>
  <c r="G344" i="1"/>
  <c r="H344" i="1"/>
  <c r="I344" i="1"/>
  <c r="A345" i="1"/>
  <c r="B345" i="1"/>
  <c r="C345" i="1"/>
  <c r="D345" i="1"/>
  <c r="E345" i="1"/>
  <c r="F345" i="1"/>
  <c r="G345" i="1"/>
  <c r="H345" i="1"/>
  <c r="I345" i="1"/>
  <c r="A346" i="1"/>
  <c r="B346" i="1"/>
  <c r="C346" i="1"/>
  <c r="D346" i="1"/>
  <c r="E346" i="1"/>
  <c r="F346" i="1"/>
  <c r="G346" i="1"/>
  <c r="H346" i="1"/>
  <c r="I346" i="1"/>
  <c r="A347" i="1"/>
  <c r="B347" i="1"/>
  <c r="C347" i="1"/>
  <c r="D347" i="1"/>
  <c r="E347" i="1"/>
  <c r="F347" i="1"/>
  <c r="G347" i="1"/>
  <c r="H347" i="1"/>
  <c r="I347" i="1"/>
  <c r="A348" i="1"/>
  <c r="B348" i="1"/>
  <c r="C348" i="1"/>
  <c r="D348" i="1"/>
  <c r="E348" i="1"/>
  <c r="F348" i="1"/>
  <c r="G348" i="1"/>
  <c r="H348" i="1"/>
  <c r="I348" i="1"/>
  <c r="A349" i="1"/>
  <c r="B349" i="1"/>
  <c r="C349" i="1"/>
  <c r="D349" i="1"/>
  <c r="E349" i="1"/>
  <c r="F349" i="1"/>
  <c r="G349" i="1"/>
  <c r="H349" i="1"/>
  <c r="I349" i="1"/>
  <c r="A350" i="1"/>
  <c r="B350" i="1"/>
  <c r="C350" i="1"/>
  <c r="D350" i="1"/>
  <c r="E350" i="1"/>
  <c r="F350" i="1"/>
  <c r="G350" i="1"/>
  <c r="H350" i="1"/>
  <c r="I350" i="1"/>
  <c r="A351" i="1"/>
  <c r="B351" i="1"/>
  <c r="C351" i="1"/>
  <c r="D351" i="1"/>
  <c r="E351" i="1"/>
  <c r="F351" i="1"/>
  <c r="G351" i="1"/>
  <c r="H351" i="1"/>
  <c r="I351" i="1"/>
  <c r="A352" i="1"/>
  <c r="B352" i="1"/>
  <c r="C352" i="1"/>
  <c r="D352" i="1"/>
  <c r="E352" i="1"/>
  <c r="F352" i="1"/>
  <c r="G352" i="1"/>
  <c r="H352" i="1"/>
  <c r="I352" i="1"/>
  <c r="A353" i="1"/>
  <c r="B353" i="1"/>
  <c r="C353" i="1"/>
  <c r="D353" i="1"/>
  <c r="E353" i="1"/>
  <c r="F353" i="1"/>
  <c r="G353" i="1"/>
  <c r="H353" i="1"/>
  <c r="I353" i="1"/>
  <c r="A354" i="1"/>
  <c r="B354" i="1"/>
  <c r="C354" i="1"/>
  <c r="D354" i="1"/>
  <c r="E354" i="1"/>
  <c r="F354" i="1"/>
  <c r="G354" i="1"/>
  <c r="H354" i="1"/>
  <c r="I354" i="1"/>
  <c r="A355" i="1"/>
  <c r="B355" i="1"/>
  <c r="C355" i="1"/>
  <c r="D355" i="1"/>
  <c r="E355" i="1"/>
  <c r="F355" i="1"/>
  <c r="G355" i="1"/>
  <c r="H355" i="1"/>
  <c r="I355" i="1"/>
  <c r="A356" i="1"/>
  <c r="B356" i="1"/>
  <c r="C356" i="1"/>
  <c r="D356" i="1"/>
  <c r="E356" i="1"/>
  <c r="F356" i="1"/>
  <c r="G356" i="1"/>
  <c r="H356" i="1"/>
  <c r="I356" i="1"/>
  <c r="A357" i="1"/>
  <c r="B357" i="1"/>
  <c r="C357" i="1"/>
  <c r="D357" i="1"/>
  <c r="E357" i="1"/>
  <c r="F357" i="1"/>
  <c r="G357" i="1"/>
  <c r="H357" i="1"/>
  <c r="I357" i="1"/>
  <c r="A358" i="1"/>
  <c r="B358" i="1"/>
  <c r="C358" i="1"/>
  <c r="D358" i="1"/>
  <c r="E358" i="1"/>
  <c r="F358" i="1"/>
  <c r="G358" i="1"/>
  <c r="H358" i="1"/>
  <c r="I358" i="1"/>
  <c r="A359" i="1"/>
  <c r="B359" i="1"/>
  <c r="C359" i="1"/>
  <c r="D359" i="1"/>
  <c r="E359" i="1"/>
  <c r="F359" i="1"/>
  <c r="G359" i="1"/>
  <c r="H359" i="1"/>
  <c r="I359" i="1"/>
  <c r="A360" i="1"/>
  <c r="B360" i="1"/>
  <c r="C360" i="1"/>
  <c r="D360" i="1"/>
  <c r="E360" i="1"/>
  <c r="F360" i="1"/>
  <c r="G360" i="1"/>
  <c r="H360" i="1"/>
  <c r="I360" i="1"/>
  <c r="A361" i="1"/>
  <c r="B361" i="1"/>
  <c r="C361" i="1"/>
  <c r="D361" i="1"/>
  <c r="E361" i="1"/>
  <c r="F361" i="1"/>
  <c r="G361" i="1"/>
  <c r="H361" i="1"/>
  <c r="I361" i="1"/>
  <c r="A362" i="1"/>
  <c r="B362" i="1"/>
  <c r="C362" i="1"/>
  <c r="D362" i="1"/>
  <c r="E362" i="1"/>
  <c r="F362" i="1"/>
  <c r="G362" i="1"/>
  <c r="H362" i="1"/>
  <c r="I362" i="1"/>
  <c r="A363" i="1"/>
  <c r="B363" i="1"/>
  <c r="C363" i="1"/>
  <c r="D363" i="1"/>
  <c r="E363" i="1"/>
  <c r="F363" i="1"/>
  <c r="G363" i="1"/>
  <c r="H363" i="1"/>
  <c r="I363" i="1"/>
  <c r="A364" i="1"/>
  <c r="B364" i="1"/>
  <c r="C364" i="1"/>
  <c r="D364" i="1"/>
  <c r="E364" i="1"/>
  <c r="F364" i="1"/>
  <c r="G364" i="1"/>
  <c r="H364" i="1"/>
  <c r="I364" i="1"/>
  <c r="A365" i="1"/>
  <c r="B365" i="1"/>
  <c r="C365" i="1"/>
  <c r="D365" i="1"/>
  <c r="E365" i="1"/>
  <c r="F365" i="1"/>
  <c r="G365" i="1"/>
  <c r="H365" i="1"/>
  <c r="I365" i="1"/>
  <c r="A366" i="1"/>
  <c r="B366" i="1"/>
  <c r="C366" i="1"/>
  <c r="D366" i="1"/>
  <c r="E366" i="1"/>
  <c r="F366" i="1"/>
  <c r="G366" i="1"/>
  <c r="H366" i="1"/>
  <c r="I366" i="1"/>
  <c r="A367" i="1"/>
  <c r="B367" i="1"/>
  <c r="C367" i="1"/>
  <c r="D367" i="1"/>
  <c r="E367" i="1"/>
  <c r="F367" i="1"/>
  <c r="G367" i="1"/>
  <c r="H367" i="1"/>
  <c r="I367" i="1"/>
  <c r="A368" i="1"/>
  <c r="B368" i="1"/>
  <c r="C368" i="1"/>
  <c r="D368" i="1"/>
  <c r="E368" i="1"/>
  <c r="F368" i="1"/>
  <c r="G368" i="1"/>
  <c r="H368" i="1"/>
  <c r="I368" i="1"/>
  <c r="A369" i="1"/>
  <c r="B369" i="1"/>
  <c r="C369" i="1"/>
  <c r="D369" i="1"/>
  <c r="E369" i="1"/>
  <c r="F369" i="1"/>
  <c r="G369" i="1"/>
  <c r="H369" i="1"/>
  <c r="I369" i="1"/>
  <c r="A370" i="1"/>
  <c r="B370" i="1"/>
  <c r="C370" i="1"/>
  <c r="D370" i="1"/>
  <c r="E370" i="1"/>
  <c r="F370" i="1"/>
  <c r="G370" i="1"/>
  <c r="H370" i="1"/>
  <c r="I370" i="1"/>
  <c r="A371" i="1"/>
  <c r="B371" i="1"/>
  <c r="C371" i="1"/>
  <c r="D371" i="1"/>
  <c r="E371" i="1"/>
  <c r="F371" i="1"/>
  <c r="G371" i="1"/>
  <c r="H371" i="1"/>
  <c r="I371" i="1"/>
  <c r="A372" i="1"/>
  <c r="B372" i="1"/>
  <c r="C372" i="1"/>
  <c r="D372" i="1"/>
  <c r="E372" i="1"/>
  <c r="F372" i="1"/>
  <c r="G372" i="1"/>
  <c r="H372" i="1"/>
  <c r="I372" i="1"/>
  <c r="A373" i="1"/>
  <c r="B373" i="1"/>
  <c r="C373" i="1"/>
  <c r="D373" i="1"/>
  <c r="E373" i="1"/>
  <c r="F373" i="1"/>
  <c r="G373" i="1"/>
  <c r="H373" i="1"/>
  <c r="I373" i="1"/>
  <c r="A374" i="1"/>
  <c r="B374" i="1"/>
  <c r="C374" i="1"/>
  <c r="D374" i="1"/>
  <c r="E374" i="1"/>
  <c r="F374" i="1"/>
  <c r="G374" i="1"/>
  <c r="H374" i="1"/>
  <c r="I374" i="1"/>
  <c r="A375" i="1"/>
  <c r="B375" i="1"/>
  <c r="C375" i="1"/>
  <c r="D375" i="1"/>
  <c r="E375" i="1"/>
  <c r="F375" i="1"/>
  <c r="G375" i="1"/>
  <c r="H375" i="1"/>
  <c r="I375" i="1"/>
  <c r="A376" i="1"/>
  <c r="B376" i="1"/>
  <c r="C376" i="1"/>
  <c r="D376" i="1"/>
  <c r="E376" i="1"/>
  <c r="F376" i="1"/>
  <c r="G376" i="1"/>
  <c r="H376" i="1"/>
  <c r="I376" i="1"/>
  <c r="A377" i="1"/>
  <c r="B377" i="1"/>
  <c r="C377" i="1"/>
  <c r="D377" i="1"/>
  <c r="E377" i="1"/>
  <c r="F377" i="1"/>
  <c r="G377" i="1"/>
  <c r="H377" i="1"/>
  <c r="I377" i="1"/>
  <c r="A378" i="1"/>
  <c r="B378" i="1"/>
  <c r="C378" i="1"/>
  <c r="D378" i="1"/>
  <c r="E378" i="1"/>
  <c r="F378" i="1"/>
  <c r="G378" i="1"/>
  <c r="H378" i="1"/>
  <c r="I378" i="1"/>
  <c r="A379" i="1"/>
  <c r="B379" i="1"/>
  <c r="C379" i="1"/>
  <c r="D379" i="1"/>
  <c r="E379" i="1"/>
  <c r="F379" i="1"/>
  <c r="G379" i="1"/>
  <c r="H379" i="1"/>
  <c r="I379" i="1"/>
  <c r="A380" i="1"/>
  <c r="B380" i="1"/>
  <c r="C380" i="1"/>
  <c r="D380" i="1"/>
  <c r="E380" i="1"/>
  <c r="F380" i="1"/>
  <c r="G380" i="1"/>
  <c r="H380" i="1"/>
  <c r="I380" i="1"/>
  <c r="A381" i="1"/>
  <c r="B381" i="1"/>
  <c r="C381" i="1"/>
  <c r="D381" i="1"/>
  <c r="E381" i="1"/>
  <c r="F381" i="1"/>
  <c r="G381" i="1"/>
  <c r="H381" i="1"/>
  <c r="I381" i="1"/>
  <c r="A382" i="1"/>
  <c r="B382" i="1"/>
  <c r="C382" i="1"/>
  <c r="D382" i="1"/>
  <c r="E382" i="1"/>
  <c r="F382" i="1"/>
  <c r="G382" i="1"/>
  <c r="H382" i="1"/>
  <c r="I382" i="1"/>
  <c r="A383" i="1"/>
  <c r="B383" i="1"/>
  <c r="C383" i="1"/>
  <c r="D383" i="1"/>
  <c r="E383" i="1"/>
  <c r="F383" i="1"/>
  <c r="G383" i="1"/>
  <c r="H383" i="1"/>
  <c r="I383" i="1"/>
  <c r="A384" i="1"/>
  <c r="B384" i="1"/>
  <c r="C384" i="1"/>
  <c r="D384" i="1"/>
  <c r="E384" i="1"/>
  <c r="F384" i="1"/>
  <c r="G384" i="1"/>
  <c r="H384" i="1"/>
  <c r="I384" i="1"/>
  <c r="A385" i="1"/>
  <c r="B385" i="1"/>
  <c r="C385" i="1"/>
  <c r="D385" i="1"/>
  <c r="E385" i="1"/>
  <c r="F385" i="1"/>
  <c r="G385" i="1"/>
  <c r="H385" i="1"/>
  <c r="I385" i="1"/>
  <c r="A386" i="1"/>
  <c r="B386" i="1"/>
  <c r="C386" i="1"/>
  <c r="D386" i="1"/>
  <c r="E386" i="1"/>
  <c r="F386" i="1"/>
  <c r="G386" i="1"/>
  <c r="H386" i="1"/>
  <c r="I386" i="1"/>
  <c r="A387" i="1"/>
  <c r="B387" i="1"/>
  <c r="C387" i="1"/>
  <c r="D387" i="1"/>
  <c r="E387" i="1"/>
  <c r="F387" i="1"/>
  <c r="G387" i="1"/>
  <c r="H387" i="1"/>
  <c r="I387" i="1"/>
  <c r="A388" i="1"/>
  <c r="B388" i="1"/>
  <c r="C388" i="1"/>
  <c r="D388" i="1"/>
  <c r="E388" i="1"/>
  <c r="F388" i="1"/>
  <c r="G388" i="1"/>
  <c r="H388" i="1"/>
  <c r="I388" i="1"/>
  <c r="A389" i="1"/>
  <c r="B389" i="1"/>
  <c r="C389" i="1"/>
  <c r="D389" i="1"/>
  <c r="E389" i="1"/>
  <c r="F389" i="1"/>
  <c r="G389" i="1"/>
  <c r="H389" i="1"/>
  <c r="I389" i="1"/>
  <c r="A390" i="1"/>
  <c r="B390" i="1"/>
  <c r="C390" i="1"/>
  <c r="D390" i="1"/>
  <c r="E390" i="1"/>
  <c r="F390" i="1"/>
  <c r="G390" i="1"/>
  <c r="H390" i="1"/>
  <c r="I390" i="1"/>
  <c r="A391" i="1"/>
  <c r="B391" i="1"/>
  <c r="C391" i="1"/>
  <c r="D391" i="1"/>
  <c r="E391" i="1"/>
  <c r="F391" i="1"/>
  <c r="G391" i="1"/>
  <c r="H391" i="1"/>
  <c r="I391" i="1"/>
  <c r="A392" i="1"/>
  <c r="B392" i="1"/>
  <c r="C392" i="1"/>
  <c r="D392" i="1"/>
  <c r="E392" i="1"/>
  <c r="F392" i="1"/>
  <c r="G392" i="1"/>
  <c r="H392" i="1"/>
  <c r="I392" i="1"/>
  <c r="A393" i="1"/>
  <c r="B393" i="1"/>
  <c r="C393" i="1"/>
  <c r="D393" i="1"/>
  <c r="E393" i="1"/>
  <c r="F393" i="1"/>
  <c r="G393" i="1"/>
  <c r="H393" i="1"/>
  <c r="I393" i="1"/>
  <c r="A394" i="1"/>
  <c r="B394" i="1"/>
  <c r="C394" i="1"/>
  <c r="D394" i="1"/>
  <c r="E394" i="1"/>
  <c r="F394" i="1"/>
  <c r="G394" i="1"/>
  <c r="H394" i="1"/>
  <c r="I394" i="1"/>
  <c r="A395" i="1"/>
  <c r="B395" i="1"/>
  <c r="C395" i="1"/>
  <c r="D395" i="1"/>
  <c r="E395" i="1"/>
  <c r="F395" i="1"/>
  <c r="G395" i="1"/>
  <c r="H395" i="1"/>
  <c r="I395" i="1"/>
  <c r="A396" i="1"/>
  <c r="B396" i="1"/>
  <c r="C396" i="1"/>
  <c r="D396" i="1"/>
  <c r="E396" i="1"/>
  <c r="F396" i="1"/>
  <c r="G396" i="1"/>
  <c r="H396" i="1"/>
  <c r="I396" i="1"/>
  <c r="A397" i="1"/>
  <c r="B397" i="1"/>
  <c r="C397" i="1"/>
  <c r="D397" i="1"/>
  <c r="E397" i="1"/>
  <c r="F397" i="1"/>
  <c r="G397" i="1"/>
  <c r="H397" i="1"/>
  <c r="I397" i="1"/>
  <c r="A398" i="1"/>
  <c r="B398" i="1"/>
  <c r="C398" i="1"/>
  <c r="D398" i="1"/>
  <c r="E398" i="1"/>
  <c r="F398" i="1"/>
  <c r="G398" i="1"/>
  <c r="H398" i="1"/>
  <c r="I398" i="1"/>
  <c r="A399" i="1"/>
  <c r="B399" i="1"/>
  <c r="C399" i="1"/>
  <c r="D399" i="1"/>
  <c r="E399" i="1"/>
  <c r="F399" i="1"/>
  <c r="G399" i="1"/>
  <c r="H399" i="1"/>
  <c r="I399" i="1"/>
  <c r="A400" i="1"/>
  <c r="B400" i="1"/>
  <c r="C400" i="1"/>
  <c r="D400" i="1"/>
  <c r="E400" i="1"/>
  <c r="F400" i="1"/>
  <c r="G400" i="1"/>
  <c r="H400" i="1"/>
  <c r="I400" i="1"/>
  <c r="A401" i="1"/>
  <c r="B401" i="1"/>
  <c r="C401" i="1"/>
  <c r="D401" i="1"/>
  <c r="E401" i="1"/>
  <c r="F401" i="1"/>
  <c r="G401" i="1"/>
  <c r="H401" i="1"/>
  <c r="I401" i="1"/>
  <c r="A402" i="1"/>
  <c r="B402" i="1"/>
  <c r="C402" i="1"/>
  <c r="D402" i="1"/>
  <c r="E402" i="1"/>
  <c r="F402" i="1"/>
  <c r="G402" i="1"/>
  <c r="H402" i="1"/>
  <c r="I402" i="1"/>
  <c r="A403" i="1"/>
  <c r="B403" i="1"/>
  <c r="C403" i="1"/>
  <c r="D403" i="1"/>
  <c r="E403" i="1"/>
  <c r="F403" i="1"/>
  <c r="G403" i="1"/>
  <c r="H403" i="1"/>
  <c r="I403" i="1"/>
  <c r="A404" i="1"/>
  <c r="B404" i="1"/>
  <c r="C404" i="1"/>
  <c r="D404" i="1"/>
  <c r="E404" i="1"/>
  <c r="F404" i="1"/>
  <c r="G404" i="1"/>
  <c r="H404" i="1"/>
  <c r="I404" i="1"/>
  <c r="A405" i="1"/>
  <c r="B405" i="1"/>
  <c r="C405" i="1"/>
  <c r="D405" i="1"/>
  <c r="E405" i="1"/>
  <c r="F405" i="1"/>
  <c r="G405" i="1"/>
  <c r="H405" i="1"/>
  <c r="I405" i="1"/>
  <c r="A406" i="1"/>
  <c r="B406" i="1"/>
  <c r="C406" i="1"/>
  <c r="D406" i="1"/>
  <c r="E406" i="1"/>
  <c r="F406" i="1"/>
  <c r="G406" i="1"/>
  <c r="H406" i="1"/>
  <c r="I406" i="1"/>
  <c r="A407" i="1"/>
  <c r="B407" i="1"/>
  <c r="C407" i="1"/>
  <c r="D407" i="1"/>
  <c r="E407" i="1"/>
  <c r="F407" i="1"/>
  <c r="G407" i="1"/>
  <c r="H407" i="1"/>
  <c r="I407" i="1"/>
  <c r="A408" i="1"/>
  <c r="B408" i="1"/>
  <c r="C408" i="1"/>
  <c r="D408" i="1"/>
  <c r="E408" i="1"/>
  <c r="F408" i="1"/>
  <c r="G408" i="1"/>
  <c r="H408" i="1"/>
  <c r="I408" i="1"/>
  <c r="A409" i="1"/>
  <c r="B409" i="1"/>
  <c r="C409" i="1"/>
  <c r="D409" i="1"/>
  <c r="E409" i="1"/>
  <c r="F409" i="1"/>
  <c r="G409" i="1"/>
  <c r="H409" i="1"/>
  <c r="I409" i="1"/>
  <c r="A410" i="1"/>
  <c r="B410" i="1"/>
  <c r="C410" i="1"/>
  <c r="D410" i="1"/>
  <c r="E410" i="1"/>
  <c r="F410" i="1"/>
  <c r="G410" i="1"/>
  <c r="H410" i="1"/>
  <c r="I410" i="1"/>
  <c r="A411" i="1"/>
  <c r="B411" i="1"/>
  <c r="C411" i="1"/>
  <c r="D411" i="1"/>
  <c r="E411" i="1"/>
  <c r="F411" i="1"/>
  <c r="G411" i="1"/>
  <c r="H411" i="1"/>
  <c r="I411" i="1"/>
  <c r="A412" i="1"/>
  <c r="B412" i="1"/>
  <c r="C412" i="1"/>
  <c r="D412" i="1"/>
  <c r="E412" i="1"/>
  <c r="F412" i="1"/>
  <c r="G412" i="1"/>
  <c r="H412" i="1"/>
  <c r="I412" i="1"/>
  <c r="A413" i="1"/>
  <c r="B413" i="1"/>
  <c r="C413" i="1"/>
  <c r="D413" i="1"/>
  <c r="E413" i="1"/>
  <c r="F413" i="1"/>
  <c r="G413" i="1"/>
  <c r="H413" i="1"/>
  <c r="I413" i="1"/>
  <c r="A414" i="1"/>
  <c r="B414" i="1"/>
  <c r="C414" i="1"/>
  <c r="D414" i="1"/>
  <c r="E414" i="1"/>
  <c r="F414" i="1"/>
  <c r="G414" i="1"/>
  <c r="H414" i="1"/>
  <c r="I414" i="1"/>
  <c r="A415" i="1"/>
  <c r="B415" i="1"/>
  <c r="C415" i="1"/>
  <c r="D415" i="1"/>
  <c r="E415" i="1"/>
  <c r="F415" i="1"/>
  <c r="G415" i="1"/>
  <c r="H415" i="1"/>
  <c r="I415" i="1"/>
  <c r="A416" i="1"/>
  <c r="B416" i="1"/>
  <c r="C416" i="1"/>
  <c r="D416" i="1"/>
  <c r="E416" i="1"/>
  <c r="F416" i="1"/>
  <c r="G416" i="1"/>
  <c r="H416" i="1"/>
  <c r="I416" i="1"/>
  <c r="A417" i="1"/>
  <c r="B417" i="1"/>
  <c r="C417" i="1"/>
  <c r="D417" i="1"/>
  <c r="E417" i="1"/>
  <c r="F417" i="1"/>
  <c r="G417" i="1"/>
  <c r="H417" i="1"/>
  <c r="I417" i="1"/>
  <c r="A418" i="1"/>
  <c r="B418" i="1"/>
  <c r="C418" i="1"/>
  <c r="D418" i="1"/>
  <c r="E418" i="1"/>
  <c r="F418" i="1"/>
  <c r="G418" i="1"/>
  <c r="H418" i="1"/>
  <c r="I418" i="1"/>
  <c r="A419" i="1"/>
  <c r="B419" i="1"/>
  <c r="C419" i="1"/>
  <c r="D419" i="1"/>
  <c r="E419" i="1"/>
  <c r="F419" i="1"/>
  <c r="G419" i="1"/>
  <c r="H419" i="1"/>
  <c r="I419" i="1"/>
  <c r="A420" i="1"/>
  <c r="B420" i="1"/>
  <c r="C420" i="1"/>
  <c r="D420" i="1"/>
  <c r="E420" i="1"/>
  <c r="F420" i="1"/>
  <c r="G420" i="1"/>
  <c r="H420" i="1"/>
  <c r="I420" i="1"/>
  <c r="A421" i="1"/>
  <c r="B421" i="1"/>
  <c r="C421" i="1"/>
  <c r="D421" i="1"/>
  <c r="E421" i="1"/>
  <c r="F421" i="1"/>
  <c r="G421" i="1"/>
  <c r="H421" i="1"/>
  <c r="I421" i="1"/>
  <c r="A422" i="1"/>
  <c r="B422" i="1"/>
  <c r="C422" i="1"/>
  <c r="D422" i="1"/>
  <c r="E422" i="1"/>
  <c r="F422" i="1"/>
  <c r="G422" i="1"/>
  <c r="H422" i="1"/>
  <c r="I422" i="1"/>
  <c r="A423" i="1"/>
  <c r="B423" i="1"/>
  <c r="C423" i="1"/>
  <c r="D423" i="1"/>
  <c r="E423" i="1"/>
  <c r="F423" i="1"/>
  <c r="G423" i="1"/>
  <c r="H423" i="1"/>
  <c r="I423" i="1"/>
  <c r="A424" i="1"/>
  <c r="B424" i="1"/>
  <c r="C424" i="1"/>
  <c r="D424" i="1"/>
  <c r="E424" i="1"/>
  <c r="F424" i="1"/>
  <c r="G424" i="1"/>
  <c r="H424" i="1"/>
  <c r="I424" i="1"/>
  <c r="A425" i="1"/>
  <c r="B425" i="1"/>
  <c r="C425" i="1"/>
  <c r="D425" i="1"/>
  <c r="E425" i="1"/>
  <c r="F425" i="1"/>
  <c r="G425" i="1"/>
  <c r="H425" i="1"/>
  <c r="I425" i="1"/>
  <c r="A426" i="1"/>
  <c r="B426" i="1"/>
  <c r="C426" i="1"/>
  <c r="D426" i="1"/>
  <c r="E426" i="1"/>
  <c r="F426" i="1"/>
  <c r="G426" i="1"/>
  <c r="H426" i="1"/>
  <c r="I426" i="1"/>
  <c r="A427" i="1"/>
  <c r="B427" i="1"/>
  <c r="C427" i="1"/>
  <c r="D427" i="1"/>
  <c r="E427" i="1"/>
  <c r="F427" i="1"/>
  <c r="G427" i="1"/>
  <c r="H427" i="1"/>
  <c r="I427" i="1"/>
  <c r="A428" i="1"/>
  <c r="B428" i="1"/>
  <c r="C428" i="1"/>
  <c r="D428" i="1"/>
  <c r="E428" i="1"/>
  <c r="F428" i="1"/>
  <c r="G428" i="1"/>
  <c r="H428" i="1"/>
  <c r="I428" i="1"/>
  <c r="A429" i="1"/>
  <c r="B429" i="1"/>
  <c r="C429" i="1"/>
  <c r="D429" i="1"/>
  <c r="E429" i="1"/>
  <c r="F429" i="1"/>
  <c r="G429" i="1"/>
  <c r="H429" i="1"/>
  <c r="I429" i="1"/>
  <c r="A430" i="1"/>
  <c r="B430" i="1"/>
  <c r="C430" i="1"/>
  <c r="D430" i="1"/>
  <c r="E430" i="1"/>
  <c r="F430" i="1"/>
  <c r="G430" i="1"/>
  <c r="H430" i="1"/>
  <c r="I430" i="1"/>
  <c r="A431" i="1"/>
  <c r="B431" i="1"/>
  <c r="C431" i="1"/>
  <c r="D431" i="1"/>
  <c r="E431" i="1"/>
  <c r="F431" i="1"/>
  <c r="G431" i="1"/>
  <c r="H431" i="1"/>
  <c r="I431" i="1"/>
  <c r="A432" i="1"/>
  <c r="B432" i="1"/>
  <c r="C432" i="1"/>
  <c r="D432" i="1"/>
  <c r="E432" i="1"/>
  <c r="F432" i="1"/>
  <c r="G432" i="1"/>
  <c r="H432" i="1"/>
  <c r="I432" i="1"/>
  <c r="A433" i="1"/>
  <c r="B433" i="1"/>
  <c r="C433" i="1"/>
  <c r="D433" i="1"/>
  <c r="E433" i="1"/>
  <c r="F433" i="1"/>
  <c r="G433" i="1"/>
  <c r="H433" i="1"/>
  <c r="I433" i="1"/>
  <c r="A434" i="1"/>
  <c r="B434" i="1"/>
  <c r="C434" i="1"/>
  <c r="D434" i="1"/>
  <c r="E434" i="1"/>
  <c r="F434" i="1"/>
  <c r="G434" i="1"/>
  <c r="H434" i="1"/>
  <c r="I434" i="1"/>
  <c r="A435" i="1"/>
  <c r="B435" i="1"/>
  <c r="C435" i="1"/>
  <c r="D435" i="1"/>
  <c r="E435" i="1"/>
  <c r="F435" i="1"/>
  <c r="G435" i="1"/>
  <c r="H435" i="1"/>
  <c r="I435" i="1"/>
  <c r="A436" i="1"/>
  <c r="B436" i="1"/>
  <c r="C436" i="1"/>
  <c r="D436" i="1"/>
  <c r="E436" i="1"/>
  <c r="F436" i="1"/>
  <c r="G436" i="1"/>
  <c r="H436" i="1"/>
  <c r="I436" i="1"/>
  <c r="A437" i="1"/>
  <c r="B437" i="1"/>
  <c r="C437" i="1"/>
  <c r="D437" i="1"/>
  <c r="E437" i="1"/>
  <c r="F437" i="1"/>
  <c r="G437" i="1"/>
  <c r="H437" i="1"/>
  <c r="I437" i="1"/>
  <c r="A438" i="1"/>
  <c r="B438" i="1"/>
  <c r="C438" i="1"/>
  <c r="D438" i="1"/>
  <c r="E438" i="1"/>
  <c r="F438" i="1"/>
  <c r="G438" i="1"/>
  <c r="H438" i="1"/>
  <c r="I438" i="1"/>
  <c r="A439" i="1"/>
  <c r="B439" i="1"/>
  <c r="C439" i="1"/>
  <c r="D439" i="1"/>
  <c r="E439" i="1"/>
  <c r="F439" i="1"/>
  <c r="G439" i="1"/>
  <c r="H439" i="1"/>
  <c r="I439" i="1"/>
  <c r="A440" i="1"/>
  <c r="B440" i="1"/>
  <c r="C440" i="1"/>
  <c r="D440" i="1"/>
  <c r="E440" i="1"/>
  <c r="F440" i="1"/>
  <c r="G440" i="1"/>
  <c r="H440" i="1"/>
  <c r="I440" i="1"/>
  <c r="A441" i="1"/>
  <c r="B441" i="1"/>
  <c r="C441" i="1"/>
  <c r="D441" i="1"/>
  <c r="E441" i="1"/>
  <c r="F441" i="1"/>
  <c r="G441" i="1"/>
  <c r="H441" i="1"/>
  <c r="I441" i="1"/>
  <c r="A442" i="1"/>
  <c r="B442" i="1"/>
  <c r="C442" i="1"/>
  <c r="D442" i="1"/>
  <c r="E442" i="1"/>
  <c r="F442" i="1"/>
  <c r="G442" i="1"/>
  <c r="H442" i="1"/>
  <c r="I442" i="1"/>
  <c r="A443" i="1"/>
  <c r="B443" i="1"/>
  <c r="C443" i="1"/>
  <c r="D443" i="1"/>
  <c r="E443" i="1"/>
  <c r="F443" i="1"/>
  <c r="G443" i="1"/>
  <c r="H443" i="1"/>
  <c r="I443" i="1"/>
  <c r="A444" i="1"/>
  <c r="B444" i="1"/>
  <c r="C444" i="1"/>
  <c r="D444" i="1"/>
  <c r="E444" i="1"/>
  <c r="F444" i="1"/>
  <c r="G444" i="1"/>
  <c r="H444" i="1"/>
  <c r="I444" i="1"/>
  <c r="A445" i="1"/>
  <c r="B445" i="1"/>
  <c r="C445" i="1"/>
  <c r="D445" i="1"/>
  <c r="E445" i="1"/>
  <c r="F445" i="1"/>
  <c r="G445" i="1"/>
  <c r="H445" i="1"/>
  <c r="I445" i="1"/>
  <c r="A446" i="1"/>
  <c r="B446" i="1"/>
  <c r="C446" i="1"/>
  <c r="D446" i="1"/>
  <c r="E446" i="1"/>
  <c r="F446" i="1"/>
  <c r="G446" i="1"/>
  <c r="H446" i="1"/>
  <c r="I446" i="1"/>
  <c r="A447" i="1"/>
  <c r="B447" i="1"/>
  <c r="C447" i="1"/>
  <c r="D447" i="1"/>
  <c r="E447" i="1"/>
  <c r="F447" i="1"/>
  <c r="G447" i="1"/>
  <c r="H447" i="1"/>
  <c r="I447" i="1"/>
  <c r="A448" i="1"/>
  <c r="B448" i="1"/>
  <c r="C448" i="1"/>
  <c r="D448" i="1"/>
  <c r="E448" i="1"/>
  <c r="F448" i="1"/>
  <c r="G448" i="1"/>
  <c r="H448" i="1"/>
  <c r="I448" i="1"/>
  <c r="A449" i="1"/>
  <c r="B449" i="1"/>
  <c r="C449" i="1"/>
  <c r="D449" i="1"/>
  <c r="E449" i="1"/>
  <c r="F449" i="1"/>
  <c r="G449" i="1"/>
  <c r="H449" i="1"/>
  <c r="I449" i="1"/>
  <c r="A450" i="1"/>
  <c r="B450" i="1"/>
  <c r="C450" i="1"/>
  <c r="D450" i="1"/>
  <c r="E450" i="1"/>
  <c r="F450" i="1"/>
  <c r="G450" i="1"/>
  <c r="H450" i="1"/>
  <c r="I450" i="1"/>
  <c r="A451" i="1"/>
  <c r="B451" i="1"/>
  <c r="C451" i="1"/>
  <c r="D451" i="1"/>
  <c r="E451" i="1"/>
  <c r="F451" i="1"/>
  <c r="G451" i="1"/>
  <c r="H451" i="1"/>
  <c r="I451" i="1"/>
  <c r="A452" i="1"/>
  <c r="B452" i="1"/>
  <c r="C452" i="1"/>
  <c r="D452" i="1"/>
  <c r="E452" i="1"/>
  <c r="F452" i="1"/>
  <c r="G452" i="1"/>
  <c r="H452" i="1"/>
  <c r="I452" i="1"/>
  <c r="A453" i="1"/>
  <c r="B453" i="1"/>
  <c r="C453" i="1"/>
  <c r="D453" i="1"/>
  <c r="E453" i="1"/>
  <c r="F453" i="1"/>
  <c r="G453" i="1"/>
  <c r="H453" i="1"/>
  <c r="I453" i="1"/>
  <c r="A454" i="1"/>
  <c r="B454" i="1"/>
  <c r="C454" i="1"/>
  <c r="D454" i="1"/>
  <c r="E454" i="1"/>
  <c r="F454" i="1"/>
  <c r="G454" i="1"/>
  <c r="H454" i="1"/>
  <c r="I454" i="1"/>
  <c r="A455" i="1"/>
  <c r="B455" i="1"/>
  <c r="C455" i="1"/>
  <c r="D455" i="1"/>
  <c r="E455" i="1"/>
  <c r="F455" i="1"/>
  <c r="G455" i="1"/>
  <c r="H455" i="1"/>
  <c r="I455" i="1"/>
  <c r="A456" i="1"/>
  <c r="B456" i="1"/>
  <c r="C456" i="1"/>
  <c r="D456" i="1"/>
  <c r="E456" i="1"/>
  <c r="F456" i="1"/>
  <c r="G456" i="1"/>
  <c r="H456" i="1"/>
  <c r="I456" i="1"/>
  <c r="A457" i="1"/>
  <c r="B457" i="1"/>
  <c r="C457" i="1"/>
  <c r="D457" i="1"/>
  <c r="E457" i="1"/>
  <c r="F457" i="1"/>
  <c r="G457" i="1"/>
  <c r="H457" i="1"/>
  <c r="I457" i="1"/>
  <c r="A458" i="1"/>
  <c r="B458" i="1"/>
  <c r="C458" i="1"/>
  <c r="D458" i="1"/>
  <c r="E458" i="1"/>
  <c r="F458" i="1"/>
  <c r="G458" i="1"/>
  <c r="H458" i="1"/>
  <c r="I458" i="1"/>
  <c r="A459" i="1"/>
  <c r="B459" i="1"/>
  <c r="C459" i="1"/>
  <c r="D459" i="1"/>
  <c r="E459" i="1"/>
  <c r="F459" i="1"/>
  <c r="G459" i="1"/>
  <c r="H459" i="1"/>
  <c r="I459" i="1"/>
  <c r="A460" i="1"/>
  <c r="B460" i="1"/>
  <c r="C460" i="1"/>
  <c r="D460" i="1"/>
  <c r="E460" i="1"/>
  <c r="F460" i="1"/>
  <c r="G460" i="1"/>
  <c r="H460" i="1"/>
  <c r="I460" i="1"/>
  <c r="A461" i="1"/>
  <c r="B461" i="1"/>
  <c r="C461" i="1"/>
  <c r="D461" i="1"/>
  <c r="E461" i="1"/>
  <c r="F461" i="1"/>
  <c r="G461" i="1"/>
  <c r="H461" i="1"/>
  <c r="I461" i="1"/>
  <c r="A462" i="1"/>
  <c r="B462" i="1"/>
  <c r="C462" i="1"/>
  <c r="D462" i="1"/>
  <c r="E462" i="1"/>
  <c r="F462" i="1"/>
  <c r="G462" i="1"/>
  <c r="H462" i="1"/>
  <c r="I462" i="1"/>
  <c r="A463" i="1"/>
  <c r="B463" i="1"/>
  <c r="C463" i="1"/>
  <c r="D463" i="1"/>
  <c r="E463" i="1"/>
  <c r="F463" i="1"/>
  <c r="G463" i="1"/>
  <c r="H463" i="1"/>
  <c r="I463" i="1"/>
  <c r="A464" i="1"/>
  <c r="B464" i="1"/>
  <c r="C464" i="1"/>
  <c r="D464" i="1"/>
  <c r="E464" i="1"/>
  <c r="F464" i="1"/>
  <c r="G464" i="1"/>
  <c r="H464" i="1"/>
  <c r="I464" i="1"/>
  <c r="A465" i="1"/>
  <c r="B465" i="1"/>
  <c r="C465" i="1"/>
  <c r="D465" i="1"/>
  <c r="E465" i="1"/>
  <c r="F465" i="1"/>
  <c r="G465" i="1"/>
  <c r="H465" i="1"/>
  <c r="I465" i="1"/>
  <c r="A466" i="1"/>
  <c r="B466" i="1"/>
  <c r="C466" i="1"/>
  <c r="D466" i="1"/>
  <c r="E466" i="1"/>
  <c r="F466" i="1"/>
  <c r="G466" i="1"/>
  <c r="H466" i="1"/>
  <c r="I466" i="1"/>
  <c r="A467" i="1"/>
  <c r="B467" i="1"/>
  <c r="C467" i="1"/>
  <c r="D467" i="1"/>
  <c r="E467" i="1"/>
  <c r="F467" i="1"/>
  <c r="G467" i="1"/>
  <c r="H467" i="1"/>
  <c r="I467" i="1"/>
  <c r="A468" i="1"/>
  <c r="B468" i="1"/>
  <c r="C468" i="1"/>
  <c r="D468" i="1"/>
  <c r="E468" i="1"/>
  <c r="F468" i="1"/>
  <c r="G468" i="1"/>
  <c r="H468" i="1"/>
  <c r="I468" i="1"/>
  <c r="A469" i="1"/>
  <c r="B469" i="1"/>
  <c r="C469" i="1"/>
  <c r="D469" i="1"/>
  <c r="E469" i="1"/>
  <c r="F469" i="1"/>
  <c r="G469" i="1"/>
  <c r="H469" i="1"/>
  <c r="I469" i="1"/>
  <c r="A470" i="1"/>
  <c r="B470" i="1"/>
  <c r="C470" i="1"/>
  <c r="D470" i="1"/>
  <c r="E470" i="1"/>
  <c r="F470" i="1"/>
  <c r="G470" i="1"/>
  <c r="H470" i="1"/>
  <c r="I470" i="1"/>
  <c r="A471" i="1"/>
  <c r="B471" i="1"/>
  <c r="C471" i="1"/>
  <c r="D471" i="1"/>
  <c r="E471" i="1"/>
  <c r="F471" i="1"/>
  <c r="G471" i="1"/>
  <c r="H471" i="1"/>
  <c r="I471" i="1"/>
  <c r="A472" i="1"/>
  <c r="B472" i="1"/>
  <c r="C472" i="1"/>
  <c r="D472" i="1"/>
  <c r="E472" i="1"/>
  <c r="F472" i="1"/>
  <c r="G472" i="1"/>
  <c r="H472" i="1"/>
  <c r="I472" i="1"/>
  <c r="A473" i="1"/>
  <c r="B473" i="1"/>
  <c r="C473" i="1"/>
  <c r="D473" i="1"/>
  <c r="E473" i="1"/>
  <c r="F473" i="1"/>
  <c r="G473" i="1"/>
  <c r="H473" i="1"/>
  <c r="I473" i="1"/>
  <c r="A474" i="1"/>
  <c r="B474" i="1"/>
  <c r="C474" i="1"/>
  <c r="D474" i="1"/>
  <c r="E474" i="1"/>
  <c r="F474" i="1"/>
  <c r="G474" i="1"/>
  <c r="H474" i="1"/>
  <c r="I474" i="1"/>
  <c r="A475" i="1"/>
  <c r="B475" i="1"/>
  <c r="C475" i="1"/>
  <c r="D475" i="1"/>
  <c r="E475" i="1"/>
  <c r="F475" i="1"/>
  <c r="G475" i="1"/>
  <c r="H475" i="1"/>
  <c r="I475" i="1"/>
  <c r="A476" i="1"/>
  <c r="B476" i="1"/>
  <c r="C476" i="1"/>
  <c r="D476" i="1"/>
  <c r="E476" i="1"/>
  <c r="F476" i="1"/>
  <c r="G476" i="1"/>
  <c r="H476" i="1"/>
  <c r="I476" i="1"/>
  <c r="A477" i="1"/>
  <c r="B477" i="1"/>
  <c r="C477" i="1"/>
  <c r="D477" i="1"/>
  <c r="E477" i="1"/>
  <c r="F477" i="1"/>
  <c r="G477" i="1"/>
  <c r="H477" i="1"/>
  <c r="I477" i="1"/>
  <c r="A478" i="1"/>
  <c r="B478" i="1"/>
  <c r="C478" i="1"/>
  <c r="D478" i="1"/>
  <c r="E478" i="1"/>
  <c r="F478" i="1"/>
  <c r="G478" i="1"/>
  <c r="H478" i="1"/>
  <c r="I478" i="1"/>
  <c r="A479" i="1"/>
  <c r="B479" i="1"/>
  <c r="C479" i="1"/>
  <c r="D479" i="1"/>
  <c r="E479" i="1"/>
  <c r="F479" i="1"/>
  <c r="G479" i="1"/>
  <c r="H479" i="1"/>
  <c r="I479" i="1"/>
  <c r="A480" i="1"/>
  <c r="B480" i="1"/>
  <c r="C480" i="1"/>
  <c r="D480" i="1"/>
  <c r="E480" i="1"/>
  <c r="F480" i="1"/>
  <c r="G480" i="1"/>
  <c r="H480" i="1"/>
  <c r="I480" i="1"/>
  <c r="A481" i="1"/>
  <c r="B481" i="1"/>
  <c r="C481" i="1"/>
  <c r="D481" i="1"/>
  <c r="E481" i="1"/>
  <c r="F481" i="1"/>
  <c r="G481" i="1"/>
  <c r="H481" i="1"/>
  <c r="I481" i="1"/>
  <c r="A482" i="1"/>
  <c r="B482" i="1"/>
  <c r="C482" i="1"/>
  <c r="D482" i="1"/>
  <c r="E482" i="1"/>
  <c r="F482" i="1"/>
  <c r="G482" i="1"/>
  <c r="H482" i="1"/>
  <c r="I482" i="1"/>
  <c r="A483" i="1"/>
  <c r="B483" i="1"/>
  <c r="C483" i="1"/>
  <c r="D483" i="1"/>
  <c r="E483" i="1"/>
  <c r="F483" i="1"/>
  <c r="G483" i="1"/>
  <c r="H483" i="1"/>
  <c r="I483" i="1"/>
  <c r="A484" i="1"/>
  <c r="B484" i="1"/>
  <c r="C484" i="1"/>
  <c r="D484" i="1"/>
  <c r="E484" i="1"/>
  <c r="F484" i="1"/>
  <c r="G484" i="1"/>
  <c r="H484" i="1"/>
  <c r="I484" i="1"/>
  <c r="A485" i="1"/>
  <c r="B485" i="1"/>
  <c r="C485" i="1"/>
  <c r="D485" i="1"/>
  <c r="E485" i="1"/>
  <c r="F485" i="1"/>
  <c r="G485" i="1"/>
  <c r="H485" i="1"/>
  <c r="I485" i="1"/>
  <c r="A486" i="1"/>
  <c r="B486" i="1"/>
  <c r="C486" i="1"/>
  <c r="D486" i="1"/>
  <c r="E486" i="1"/>
  <c r="F486" i="1"/>
  <c r="G486" i="1"/>
  <c r="H486" i="1"/>
  <c r="I486" i="1"/>
  <c r="A487" i="1"/>
  <c r="B487" i="1"/>
  <c r="C487" i="1"/>
  <c r="D487" i="1"/>
  <c r="E487" i="1"/>
  <c r="F487" i="1"/>
  <c r="G487" i="1"/>
  <c r="H487" i="1"/>
  <c r="I487" i="1"/>
  <c r="A488" i="1"/>
  <c r="B488" i="1"/>
  <c r="C488" i="1"/>
  <c r="D488" i="1"/>
  <c r="E488" i="1"/>
  <c r="F488" i="1"/>
  <c r="G488" i="1"/>
  <c r="H488" i="1"/>
  <c r="I488" i="1"/>
  <c r="A489" i="1"/>
  <c r="B489" i="1"/>
  <c r="C489" i="1"/>
  <c r="D489" i="1"/>
  <c r="E489" i="1"/>
  <c r="F489" i="1"/>
  <c r="G489" i="1"/>
  <c r="H489" i="1"/>
  <c r="I489" i="1"/>
  <c r="A490" i="1"/>
  <c r="B490" i="1"/>
  <c r="C490" i="1"/>
  <c r="D490" i="1"/>
  <c r="E490" i="1"/>
  <c r="F490" i="1"/>
  <c r="G490" i="1"/>
  <c r="H490" i="1"/>
  <c r="I490" i="1"/>
  <c r="A491" i="1"/>
  <c r="B491" i="1"/>
  <c r="C491" i="1"/>
  <c r="D491" i="1"/>
  <c r="E491" i="1"/>
  <c r="F491" i="1"/>
  <c r="G491" i="1"/>
  <c r="H491" i="1"/>
  <c r="I491" i="1"/>
  <c r="A492" i="1"/>
  <c r="B492" i="1"/>
  <c r="C492" i="1"/>
  <c r="D492" i="1"/>
  <c r="E492" i="1"/>
  <c r="F492" i="1"/>
  <c r="G492" i="1"/>
  <c r="H492" i="1"/>
  <c r="I492" i="1"/>
  <c r="A493" i="1"/>
  <c r="B493" i="1"/>
  <c r="C493" i="1"/>
  <c r="D493" i="1"/>
  <c r="E493" i="1"/>
  <c r="F493" i="1"/>
  <c r="G493" i="1"/>
  <c r="H493" i="1"/>
  <c r="I493" i="1"/>
  <c r="A494" i="1"/>
  <c r="B494" i="1"/>
  <c r="C494" i="1"/>
  <c r="D494" i="1"/>
  <c r="E494" i="1"/>
  <c r="F494" i="1"/>
  <c r="G494" i="1"/>
  <c r="H494" i="1"/>
  <c r="I494" i="1"/>
  <c r="A495" i="1"/>
  <c r="B495" i="1"/>
  <c r="C495" i="1"/>
  <c r="D495" i="1"/>
  <c r="E495" i="1"/>
  <c r="F495" i="1"/>
  <c r="G495" i="1"/>
  <c r="H495" i="1"/>
  <c r="I495" i="1"/>
  <c r="A496" i="1"/>
  <c r="B496" i="1"/>
  <c r="C496" i="1"/>
  <c r="D496" i="1"/>
  <c r="E496" i="1"/>
  <c r="F496" i="1"/>
  <c r="G496" i="1"/>
  <c r="H496" i="1"/>
  <c r="I496" i="1"/>
  <c r="A497" i="1"/>
  <c r="B497" i="1"/>
  <c r="C497" i="1"/>
  <c r="D497" i="1"/>
  <c r="E497" i="1"/>
  <c r="F497" i="1"/>
  <c r="G497" i="1"/>
  <c r="H497" i="1"/>
  <c r="I497" i="1"/>
  <c r="A498" i="1"/>
  <c r="B498" i="1"/>
  <c r="C498" i="1"/>
  <c r="D498" i="1"/>
  <c r="E498" i="1"/>
  <c r="F498" i="1"/>
  <c r="G498" i="1"/>
  <c r="H498" i="1"/>
  <c r="I498" i="1"/>
  <c r="A499" i="1"/>
  <c r="B499" i="1"/>
  <c r="C499" i="1"/>
  <c r="D499" i="1"/>
  <c r="E499" i="1"/>
  <c r="F499" i="1"/>
  <c r="G499" i="1"/>
  <c r="H499" i="1"/>
  <c r="I499" i="1"/>
  <c r="A500" i="1"/>
  <c r="B500" i="1"/>
  <c r="C500" i="1"/>
  <c r="D500" i="1"/>
  <c r="E500" i="1"/>
  <c r="F500" i="1"/>
  <c r="G500" i="1"/>
  <c r="H500" i="1"/>
  <c r="I500" i="1"/>
  <c r="A501" i="1"/>
  <c r="B501" i="1"/>
  <c r="C501" i="1"/>
  <c r="D501" i="1"/>
  <c r="E501" i="1"/>
  <c r="F501" i="1"/>
  <c r="G501" i="1"/>
  <c r="H501" i="1"/>
  <c r="I501" i="1"/>
  <c r="A502" i="1"/>
  <c r="B502" i="1"/>
  <c r="C502" i="1"/>
  <c r="D502" i="1"/>
  <c r="E502" i="1"/>
  <c r="F502" i="1"/>
  <c r="G502" i="1"/>
  <c r="H502" i="1"/>
  <c r="I502" i="1"/>
  <c r="A503" i="1"/>
  <c r="B503" i="1"/>
  <c r="C503" i="1"/>
  <c r="D503" i="1"/>
  <c r="E503" i="1"/>
  <c r="F503" i="1"/>
  <c r="G503" i="1"/>
  <c r="H503" i="1"/>
  <c r="I503" i="1"/>
  <c r="A504" i="1"/>
  <c r="B504" i="1"/>
  <c r="C504" i="1"/>
  <c r="D504" i="1"/>
  <c r="E504" i="1"/>
  <c r="F504" i="1"/>
  <c r="G504" i="1"/>
  <c r="H504" i="1"/>
  <c r="I504" i="1"/>
  <c r="A505" i="1"/>
  <c r="B505" i="1"/>
  <c r="C505" i="1"/>
  <c r="D505" i="1"/>
  <c r="E505" i="1"/>
  <c r="F505" i="1"/>
  <c r="G505" i="1"/>
  <c r="H505" i="1"/>
  <c r="I505" i="1"/>
  <c r="A506" i="1"/>
  <c r="B506" i="1"/>
  <c r="C506" i="1"/>
  <c r="D506" i="1"/>
  <c r="E506" i="1"/>
  <c r="F506" i="1"/>
  <c r="G506" i="1"/>
  <c r="H506" i="1"/>
  <c r="I506" i="1"/>
  <c r="A507" i="1"/>
  <c r="B507" i="1"/>
  <c r="C507" i="1"/>
  <c r="D507" i="1"/>
  <c r="E507" i="1"/>
  <c r="F507" i="1"/>
  <c r="G507" i="1"/>
  <c r="H507" i="1"/>
  <c r="I507" i="1"/>
  <c r="A508" i="1"/>
  <c r="B508" i="1"/>
  <c r="C508" i="1"/>
  <c r="D508" i="1"/>
  <c r="E508" i="1"/>
  <c r="F508" i="1"/>
  <c r="G508" i="1"/>
  <c r="H508" i="1"/>
  <c r="I508" i="1"/>
  <c r="A509" i="1"/>
  <c r="B509" i="1"/>
  <c r="C509" i="1"/>
  <c r="D509" i="1"/>
  <c r="E509" i="1"/>
  <c r="F509" i="1"/>
  <c r="G509" i="1"/>
  <c r="H509" i="1"/>
  <c r="I509" i="1"/>
  <c r="A510" i="1"/>
  <c r="B510" i="1"/>
  <c r="C510" i="1"/>
  <c r="D510" i="1"/>
  <c r="E510" i="1"/>
  <c r="F510" i="1"/>
  <c r="G510" i="1"/>
  <c r="H510" i="1"/>
  <c r="I510" i="1"/>
  <c r="A511" i="1"/>
  <c r="B511" i="1"/>
  <c r="C511" i="1"/>
  <c r="D511" i="1"/>
  <c r="E511" i="1"/>
  <c r="F511" i="1"/>
  <c r="G511" i="1"/>
  <c r="H511" i="1"/>
  <c r="I511" i="1"/>
  <c r="A512" i="1"/>
  <c r="B512" i="1"/>
  <c r="C512" i="1"/>
  <c r="D512" i="1"/>
  <c r="E512" i="1"/>
  <c r="F512" i="1"/>
  <c r="G512" i="1"/>
  <c r="H512" i="1"/>
  <c r="I512" i="1"/>
  <c r="A513" i="1"/>
  <c r="B513" i="1"/>
  <c r="C513" i="1"/>
  <c r="D513" i="1"/>
  <c r="E513" i="1"/>
  <c r="F513" i="1"/>
  <c r="G513" i="1"/>
  <c r="H513" i="1"/>
  <c r="I513" i="1"/>
  <c r="A514" i="1"/>
  <c r="B514" i="1"/>
  <c r="C514" i="1"/>
  <c r="D514" i="1"/>
  <c r="E514" i="1"/>
  <c r="F514" i="1"/>
  <c r="G514" i="1"/>
  <c r="H514" i="1"/>
  <c r="I514" i="1"/>
  <c r="A515" i="1"/>
  <c r="B515" i="1"/>
  <c r="C515" i="1"/>
  <c r="D515" i="1"/>
  <c r="E515" i="1"/>
  <c r="F515" i="1"/>
  <c r="G515" i="1"/>
  <c r="H515" i="1"/>
  <c r="I515" i="1"/>
  <c r="A516" i="1"/>
  <c r="B516" i="1"/>
  <c r="C516" i="1"/>
  <c r="D516" i="1"/>
  <c r="E516" i="1"/>
  <c r="F516" i="1"/>
  <c r="G516" i="1"/>
  <c r="H516" i="1"/>
  <c r="I516" i="1"/>
  <c r="A517" i="1"/>
  <c r="B517" i="1"/>
  <c r="C517" i="1"/>
  <c r="D517" i="1"/>
  <c r="E517" i="1"/>
  <c r="F517" i="1"/>
  <c r="G517" i="1"/>
  <c r="H517" i="1"/>
  <c r="I517" i="1"/>
  <c r="A518" i="1"/>
  <c r="B518" i="1"/>
  <c r="C518" i="1"/>
  <c r="D518" i="1"/>
  <c r="E518" i="1"/>
  <c r="F518" i="1"/>
  <c r="G518" i="1"/>
  <c r="H518" i="1"/>
  <c r="I518" i="1"/>
  <c r="A519" i="1"/>
  <c r="B519" i="1"/>
  <c r="C519" i="1"/>
  <c r="D519" i="1"/>
  <c r="E519" i="1"/>
  <c r="F519" i="1"/>
  <c r="G519" i="1"/>
  <c r="H519" i="1"/>
  <c r="I519" i="1"/>
  <c r="A520" i="1"/>
  <c r="B520" i="1"/>
  <c r="C520" i="1"/>
  <c r="D520" i="1"/>
  <c r="E520" i="1"/>
  <c r="F520" i="1"/>
  <c r="G520" i="1"/>
  <c r="H520" i="1"/>
  <c r="I520" i="1"/>
  <c r="A521" i="1"/>
  <c r="B521" i="1"/>
  <c r="C521" i="1"/>
  <c r="D521" i="1"/>
  <c r="E521" i="1"/>
  <c r="F521" i="1"/>
  <c r="G521" i="1"/>
  <c r="H521" i="1"/>
  <c r="I521" i="1"/>
  <c r="A522" i="1"/>
  <c r="B522" i="1"/>
  <c r="C522" i="1"/>
  <c r="D522" i="1"/>
  <c r="E522" i="1"/>
  <c r="F522" i="1"/>
  <c r="G522" i="1"/>
  <c r="H522" i="1"/>
  <c r="I522" i="1"/>
  <c r="A523" i="1"/>
  <c r="B523" i="1"/>
  <c r="C523" i="1"/>
  <c r="D523" i="1"/>
  <c r="E523" i="1"/>
  <c r="F523" i="1"/>
  <c r="G523" i="1"/>
  <c r="H523" i="1"/>
  <c r="I523" i="1"/>
  <c r="A524" i="1"/>
  <c r="B524" i="1"/>
  <c r="C524" i="1"/>
  <c r="D524" i="1"/>
  <c r="E524" i="1"/>
  <c r="F524" i="1"/>
  <c r="G524" i="1"/>
  <c r="H524" i="1"/>
  <c r="I524" i="1"/>
  <c r="A525" i="1"/>
  <c r="B525" i="1"/>
  <c r="C525" i="1"/>
  <c r="D525" i="1"/>
  <c r="E525" i="1"/>
  <c r="F525" i="1"/>
  <c r="G525" i="1"/>
  <c r="H525" i="1"/>
  <c r="I525" i="1"/>
  <c r="A526" i="1"/>
  <c r="B526" i="1"/>
  <c r="C526" i="1"/>
  <c r="D526" i="1"/>
  <c r="E526" i="1"/>
  <c r="F526" i="1"/>
  <c r="G526" i="1"/>
  <c r="H526" i="1"/>
  <c r="I526" i="1"/>
  <c r="A527" i="1"/>
  <c r="B527" i="1"/>
  <c r="C527" i="1"/>
  <c r="D527" i="1"/>
  <c r="E527" i="1"/>
  <c r="F527" i="1"/>
  <c r="G527" i="1"/>
  <c r="H527" i="1"/>
  <c r="I527" i="1"/>
  <c r="A528" i="1"/>
  <c r="B528" i="1"/>
  <c r="C528" i="1"/>
  <c r="D528" i="1"/>
  <c r="E528" i="1"/>
  <c r="F528" i="1"/>
  <c r="G528" i="1"/>
  <c r="H528" i="1"/>
  <c r="I528" i="1"/>
  <c r="A529" i="1"/>
  <c r="B529" i="1"/>
  <c r="C529" i="1"/>
  <c r="D529" i="1"/>
  <c r="E529" i="1"/>
  <c r="F529" i="1"/>
  <c r="G529" i="1"/>
  <c r="H529" i="1"/>
  <c r="I529" i="1"/>
  <c r="A530" i="1"/>
  <c r="B530" i="1"/>
  <c r="C530" i="1"/>
  <c r="D530" i="1"/>
  <c r="E530" i="1"/>
  <c r="F530" i="1"/>
  <c r="G530" i="1"/>
  <c r="H530" i="1"/>
  <c r="I530" i="1"/>
  <c r="A531" i="1"/>
  <c r="B531" i="1"/>
  <c r="C531" i="1"/>
  <c r="D531" i="1"/>
  <c r="E531" i="1"/>
  <c r="F531" i="1"/>
  <c r="G531" i="1"/>
  <c r="H531" i="1"/>
  <c r="I531" i="1"/>
  <c r="A532" i="1"/>
  <c r="B532" i="1"/>
  <c r="C532" i="1"/>
  <c r="D532" i="1"/>
  <c r="E532" i="1"/>
  <c r="F532" i="1"/>
  <c r="G532" i="1"/>
  <c r="H532" i="1"/>
  <c r="I532" i="1"/>
  <c r="A533" i="1"/>
  <c r="B533" i="1"/>
  <c r="C533" i="1"/>
  <c r="D533" i="1"/>
  <c r="E533" i="1"/>
  <c r="F533" i="1"/>
  <c r="G533" i="1"/>
  <c r="H533" i="1"/>
  <c r="I533" i="1"/>
  <c r="A534" i="1"/>
  <c r="B534" i="1"/>
  <c r="C534" i="1"/>
  <c r="D534" i="1"/>
  <c r="E534" i="1"/>
  <c r="F534" i="1"/>
  <c r="G534" i="1"/>
  <c r="H534" i="1"/>
  <c r="I534" i="1"/>
  <c r="A535" i="1"/>
  <c r="B535" i="1"/>
  <c r="C535" i="1"/>
  <c r="D535" i="1"/>
  <c r="E535" i="1"/>
  <c r="F535" i="1"/>
  <c r="G535" i="1"/>
  <c r="H535" i="1"/>
  <c r="I535" i="1"/>
  <c r="A536" i="1"/>
  <c r="B536" i="1"/>
  <c r="C536" i="1"/>
  <c r="D536" i="1"/>
  <c r="E536" i="1"/>
  <c r="F536" i="1"/>
  <c r="G536" i="1"/>
  <c r="H536" i="1"/>
  <c r="I536" i="1"/>
  <c r="A537" i="1"/>
  <c r="B537" i="1"/>
  <c r="C537" i="1"/>
  <c r="D537" i="1"/>
  <c r="E537" i="1"/>
  <c r="F537" i="1"/>
  <c r="G537" i="1"/>
  <c r="H537" i="1"/>
  <c r="I537" i="1"/>
  <c r="A538" i="1"/>
  <c r="B538" i="1"/>
  <c r="C538" i="1"/>
  <c r="D538" i="1"/>
  <c r="E538" i="1"/>
  <c r="F538" i="1"/>
  <c r="G538" i="1"/>
  <c r="H538" i="1"/>
  <c r="I538" i="1"/>
  <c r="A539" i="1"/>
  <c r="B539" i="1"/>
  <c r="C539" i="1"/>
  <c r="D539" i="1"/>
  <c r="E539" i="1"/>
  <c r="F539" i="1"/>
  <c r="G539" i="1"/>
  <c r="H539" i="1"/>
  <c r="I539" i="1"/>
  <c r="A540" i="1"/>
  <c r="B540" i="1"/>
  <c r="C540" i="1"/>
  <c r="D540" i="1"/>
  <c r="E540" i="1"/>
  <c r="F540" i="1"/>
  <c r="G540" i="1"/>
  <c r="H540" i="1"/>
  <c r="I540" i="1"/>
  <c r="A541" i="1"/>
  <c r="B541" i="1"/>
  <c r="C541" i="1"/>
  <c r="D541" i="1"/>
  <c r="E541" i="1"/>
  <c r="F541" i="1"/>
  <c r="G541" i="1"/>
  <c r="H541" i="1"/>
  <c r="I541" i="1"/>
  <c r="A542" i="1"/>
  <c r="B542" i="1"/>
  <c r="C542" i="1"/>
  <c r="D542" i="1"/>
  <c r="E542" i="1"/>
  <c r="F542" i="1"/>
  <c r="G542" i="1"/>
  <c r="H542" i="1"/>
  <c r="I542" i="1"/>
  <c r="A543" i="1"/>
  <c r="B543" i="1"/>
  <c r="C543" i="1"/>
  <c r="D543" i="1"/>
  <c r="E543" i="1"/>
  <c r="F543" i="1"/>
  <c r="G543" i="1"/>
  <c r="H543" i="1"/>
  <c r="I543" i="1"/>
  <c r="A544" i="1"/>
  <c r="B544" i="1"/>
  <c r="C544" i="1"/>
  <c r="D544" i="1"/>
  <c r="E544" i="1"/>
  <c r="F544" i="1"/>
  <c r="G544" i="1"/>
  <c r="H544" i="1"/>
  <c r="I544" i="1"/>
  <c r="A545" i="1"/>
  <c r="B545" i="1"/>
  <c r="C545" i="1"/>
  <c r="D545" i="1"/>
  <c r="E545" i="1"/>
  <c r="F545" i="1"/>
  <c r="G545" i="1"/>
  <c r="H545" i="1"/>
  <c r="I545" i="1"/>
  <c r="A546" i="1"/>
  <c r="B546" i="1"/>
  <c r="C546" i="1"/>
  <c r="D546" i="1"/>
  <c r="E546" i="1"/>
  <c r="F546" i="1"/>
  <c r="G546" i="1"/>
  <c r="H546" i="1"/>
  <c r="I546" i="1"/>
  <c r="A547" i="1"/>
  <c r="B547" i="1"/>
  <c r="C547" i="1"/>
  <c r="D547" i="1"/>
  <c r="E547" i="1"/>
  <c r="F547" i="1"/>
  <c r="G547" i="1"/>
  <c r="H547" i="1"/>
  <c r="I547" i="1"/>
  <c r="A548" i="1"/>
  <c r="B548" i="1"/>
  <c r="C548" i="1"/>
  <c r="D548" i="1"/>
  <c r="E548" i="1"/>
  <c r="F548" i="1"/>
  <c r="G548" i="1"/>
  <c r="H548" i="1"/>
  <c r="I548" i="1"/>
  <c r="A549" i="1"/>
  <c r="B549" i="1"/>
  <c r="C549" i="1"/>
  <c r="D549" i="1"/>
  <c r="E549" i="1"/>
  <c r="F549" i="1"/>
  <c r="G549" i="1"/>
  <c r="H549" i="1"/>
  <c r="I549" i="1"/>
  <c r="A550" i="1"/>
  <c r="B550" i="1"/>
  <c r="C550" i="1"/>
  <c r="D550" i="1"/>
  <c r="E550" i="1"/>
  <c r="F550" i="1"/>
  <c r="G550" i="1"/>
  <c r="H550" i="1"/>
  <c r="I550" i="1"/>
  <c r="A551" i="1"/>
  <c r="B551" i="1"/>
  <c r="C551" i="1"/>
  <c r="D551" i="1"/>
  <c r="E551" i="1"/>
  <c r="F551" i="1"/>
  <c r="G551" i="1"/>
  <c r="H551" i="1"/>
  <c r="I551" i="1"/>
  <c r="A552" i="1"/>
  <c r="B552" i="1"/>
  <c r="C552" i="1"/>
  <c r="D552" i="1"/>
  <c r="E552" i="1"/>
  <c r="F552" i="1"/>
  <c r="G552" i="1"/>
  <c r="H552" i="1"/>
  <c r="I552" i="1"/>
  <c r="A553" i="1"/>
  <c r="B553" i="1"/>
  <c r="C553" i="1"/>
  <c r="D553" i="1"/>
  <c r="E553" i="1"/>
  <c r="F553" i="1"/>
  <c r="G553" i="1"/>
  <c r="H553" i="1"/>
  <c r="I553" i="1"/>
  <c r="A554" i="1"/>
  <c r="B554" i="1"/>
  <c r="C554" i="1"/>
  <c r="D554" i="1"/>
  <c r="E554" i="1"/>
  <c r="F554" i="1"/>
  <c r="G554" i="1"/>
  <c r="H554" i="1"/>
  <c r="I554" i="1"/>
  <c r="A555" i="1"/>
  <c r="B555" i="1"/>
  <c r="C555" i="1"/>
  <c r="D555" i="1"/>
  <c r="E555" i="1"/>
  <c r="F555" i="1"/>
  <c r="G555" i="1"/>
  <c r="H555" i="1"/>
  <c r="I555" i="1"/>
  <c r="A556" i="1"/>
  <c r="B556" i="1"/>
  <c r="C556" i="1"/>
  <c r="D556" i="1"/>
  <c r="E556" i="1"/>
  <c r="F556" i="1"/>
  <c r="G556" i="1"/>
  <c r="H556" i="1"/>
  <c r="I556" i="1"/>
  <c r="A557" i="1"/>
  <c r="B557" i="1"/>
  <c r="C557" i="1"/>
  <c r="D557" i="1"/>
  <c r="E557" i="1"/>
  <c r="F557" i="1"/>
  <c r="G557" i="1"/>
  <c r="H557" i="1"/>
  <c r="I557" i="1"/>
  <c r="A558" i="1"/>
  <c r="B558" i="1"/>
  <c r="C558" i="1"/>
  <c r="D558" i="1"/>
  <c r="E558" i="1"/>
  <c r="F558" i="1"/>
  <c r="G558" i="1"/>
  <c r="H558" i="1"/>
  <c r="I558" i="1"/>
  <c r="A559" i="1"/>
  <c r="B559" i="1"/>
  <c r="C559" i="1"/>
  <c r="D559" i="1"/>
  <c r="E559" i="1"/>
  <c r="F559" i="1"/>
  <c r="G559" i="1"/>
  <c r="H559" i="1"/>
  <c r="I559" i="1"/>
  <c r="A560" i="1"/>
  <c r="B560" i="1"/>
  <c r="C560" i="1"/>
  <c r="D560" i="1"/>
  <c r="E560" i="1"/>
  <c r="F560" i="1"/>
  <c r="G560" i="1"/>
  <c r="H560" i="1"/>
  <c r="I560" i="1"/>
  <c r="A561" i="1"/>
  <c r="B561" i="1"/>
  <c r="C561" i="1"/>
  <c r="D561" i="1"/>
  <c r="E561" i="1"/>
  <c r="F561" i="1"/>
  <c r="G561" i="1"/>
  <c r="H561" i="1"/>
  <c r="I561" i="1"/>
  <c r="A562" i="1"/>
  <c r="B562" i="1"/>
  <c r="C562" i="1"/>
  <c r="D562" i="1"/>
  <c r="E562" i="1"/>
  <c r="F562" i="1"/>
  <c r="G562" i="1"/>
  <c r="H562" i="1"/>
  <c r="I562" i="1"/>
  <c r="A563" i="1"/>
  <c r="B563" i="1"/>
  <c r="C563" i="1"/>
  <c r="D563" i="1"/>
  <c r="E563" i="1"/>
  <c r="F563" i="1"/>
  <c r="G563" i="1"/>
  <c r="H563" i="1"/>
  <c r="I563" i="1"/>
  <c r="A564" i="1"/>
  <c r="B564" i="1"/>
  <c r="C564" i="1"/>
  <c r="D564" i="1"/>
  <c r="E564" i="1"/>
  <c r="F564" i="1"/>
  <c r="G564" i="1"/>
  <c r="H564" i="1"/>
  <c r="I564" i="1"/>
  <c r="A565" i="1"/>
  <c r="B565" i="1"/>
  <c r="C565" i="1"/>
  <c r="D565" i="1"/>
  <c r="E565" i="1"/>
  <c r="F565" i="1"/>
  <c r="G565" i="1"/>
  <c r="H565" i="1"/>
  <c r="I565" i="1"/>
  <c r="A566" i="1"/>
  <c r="B566" i="1"/>
  <c r="C566" i="1"/>
  <c r="D566" i="1"/>
  <c r="E566" i="1"/>
  <c r="F566" i="1"/>
  <c r="G566" i="1"/>
  <c r="H566" i="1"/>
  <c r="I566" i="1"/>
  <c r="A567" i="1"/>
  <c r="B567" i="1"/>
  <c r="C567" i="1"/>
  <c r="D567" i="1"/>
  <c r="E567" i="1"/>
  <c r="F567" i="1"/>
  <c r="G567" i="1"/>
  <c r="H567" i="1"/>
  <c r="I567" i="1"/>
  <c r="A568" i="1"/>
  <c r="B568" i="1"/>
  <c r="C568" i="1"/>
  <c r="D568" i="1"/>
  <c r="E568" i="1"/>
  <c r="F568" i="1"/>
  <c r="G568" i="1"/>
  <c r="H568" i="1"/>
  <c r="I568" i="1"/>
  <c r="A569" i="1"/>
  <c r="B569" i="1"/>
  <c r="C569" i="1"/>
  <c r="D569" i="1"/>
  <c r="E569" i="1"/>
  <c r="F569" i="1"/>
  <c r="G569" i="1"/>
  <c r="H569" i="1"/>
  <c r="I569" i="1"/>
  <c r="A570" i="1"/>
  <c r="B570" i="1"/>
  <c r="C570" i="1"/>
  <c r="D570" i="1"/>
  <c r="E570" i="1"/>
  <c r="F570" i="1"/>
  <c r="G570" i="1"/>
  <c r="H570" i="1"/>
  <c r="I570" i="1"/>
  <c r="A571" i="1"/>
  <c r="B571" i="1"/>
  <c r="C571" i="1"/>
  <c r="D571" i="1"/>
  <c r="E571" i="1"/>
  <c r="F571" i="1"/>
  <c r="G571" i="1"/>
  <c r="H571" i="1"/>
  <c r="I571" i="1"/>
  <c r="A572" i="1"/>
  <c r="B572" i="1"/>
  <c r="C572" i="1"/>
  <c r="D572" i="1"/>
  <c r="E572" i="1"/>
  <c r="F572" i="1"/>
  <c r="G572" i="1"/>
  <c r="H572" i="1"/>
  <c r="I572" i="1"/>
  <c r="A573" i="1"/>
  <c r="B573" i="1"/>
  <c r="C573" i="1"/>
  <c r="D573" i="1"/>
  <c r="E573" i="1"/>
  <c r="F573" i="1"/>
  <c r="G573" i="1"/>
  <c r="H573" i="1"/>
  <c r="I573" i="1"/>
  <c r="A574" i="1"/>
  <c r="B574" i="1"/>
  <c r="C574" i="1"/>
  <c r="D574" i="1"/>
  <c r="E574" i="1"/>
  <c r="F574" i="1"/>
  <c r="G574" i="1"/>
  <c r="H574" i="1"/>
  <c r="I574" i="1"/>
  <c r="A575" i="1"/>
  <c r="B575" i="1"/>
  <c r="C575" i="1"/>
  <c r="D575" i="1"/>
  <c r="E575" i="1"/>
  <c r="F575" i="1"/>
  <c r="G575" i="1"/>
  <c r="H575" i="1"/>
  <c r="I575" i="1"/>
  <c r="A576" i="1"/>
  <c r="B576" i="1"/>
  <c r="C576" i="1"/>
  <c r="D576" i="1"/>
  <c r="E576" i="1"/>
  <c r="F576" i="1"/>
  <c r="G576" i="1"/>
  <c r="H576" i="1"/>
  <c r="I576" i="1"/>
  <c r="A577" i="1"/>
  <c r="B577" i="1"/>
  <c r="C577" i="1"/>
  <c r="D577" i="1"/>
  <c r="E577" i="1"/>
  <c r="F577" i="1"/>
  <c r="G577" i="1"/>
  <c r="H577" i="1"/>
  <c r="I577" i="1"/>
  <c r="A578" i="1"/>
  <c r="B578" i="1"/>
  <c r="C578" i="1"/>
  <c r="D578" i="1"/>
  <c r="E578" i="1"/>
  <c r="F578" i="1"/>
  <c r="G578" i="1"/>
  <c r="H578" i="1"/>
  <c r="I578" i="1"/>
  <c r="A579" i="1"/>
  <c r="B579" i="1"/>
  <c r="C579" i="1"/>
  <c r="D579" i="1"/>
  <c r="E579" i="1"/>
  <c r="F579" i="1"/>
  <c r="G579" i="1"/>
  <c r="H579" i="1"/>
  <c r="I579" i="1"/>
  <c r="A580" i="1"/>
  <c r="B580" i="1"/>
  <c r="C580" i="1"/>
  <c r="D580" i="1"/>
  <c r="E580" i="1"/>
  <c r="F580" i="1"/>
  <c r="G580" i="1"/>
  <c r="H580" i="1"/>
  <c r="I580" i="1"/>
  <c r="A581" i="1"/>
  <c r="B581" i="1"/>
  <c r="C581" i="1"/>
  <c r="D581" i="1"/>
  <c r="E581" i="1"/>
  <c r="F581" i="1"/>
  <c r="G581" i="1"/>
  <c r="H581" i="1"/>
  <c r="I581" i="1"/>
  <c r="A582" i="1"/>
  <c r="B582" i="1"/>
  <c r="C582" i="1"/>
  <c r="D582" i="1"/>
  <c r="E582" i="1"/>
  <c r="F582" i="1"/>
  <c r="G582" i="1"/>
  <c r="H582" i="1"/>
  <c r="I582" i="1"/>
  <c r="A583" i="1"/>
  <c r="B583" i="1"/>
  <c r="C583" i="1"/>
  <c r="D583" i="1"/>
  <c r="E583" i="1"/>
  <c r="F583" i="1"/>
  <c r="G583" i="1"/>
  <c r="H583" i="1"/>
  <c r="I583" i="1"/>
  <c r="A584" i="1"/>
  <c r="B584" i="1"/>
  <c r="C584" i="1"/>
  <c r="D584" i="1"/>
  <c r="E584" i="1"/>
  <c r="F584" i="1"/>
  <c r="G584" i="1"/>
  <c r="H584" i="1"/>
  <c r="I584" i="1"/>
  <c r="A585" i="1"/>
  <c r="B585" i="1"/>
  <c r="C585" i="1"/>
  <c r="D585" i="1"/>
  <c r="E585" i="1"/>
  <c r="F585" i="1"/>
  <c r="G585" i="1"/>
  <c r="H585" i="1"/>
  <c r="I585" i="1"/>
  <c r="A586" i="1"/>
  <c r="B586" i="1"/>
  <c r="C586" i="1"/>
  <c r="D586" i="1"/>
  <c r="E586" i="1"/>
  <c r="F586" i="1"/>
  <c r="G586" i="1"/>
  <c r="H586" i="1"/>
  <c r="I586" i="1"/>
  <c r="A587" i="1"/>
  <c r="B587" i="1"/>
  <c r="C587" i="1"/>
  <c r="D587" i="1"/>
  <c r="E587" i="1"/>
  <c r="F587" i="1"/>
  <c r="G587" i="1"/>
  <c r="H587" i="1"/>
  <c r="I587" i="1"/>
  <c r="A588" i="1"/>
  <c r="B588" i="1"/>
  <c r="C588" i="1"/>
  <c r="D588" i="1"/>
  <c r="E588" i="1"/>
  <c r="F588" i="1"/>
  <c r="G588" i="1"/>
  <c r="H588" i="1"/>
  <c r="I588" i="1"/>
  <c r="A589" i="1"/>
  <c r="B589" i="1"/>
  <c r="C589" i="1"/>
  <c r="D589" i="1"/>
  <c r="E589" i="1"/>
  <c r="F589" i="1"/>
  <c r="G589" i="1"/>
  <c r="H589" i="1"/>
  <c r="I589" i="1"/>
  <c r="A590" i="1"/>
  <c r="B590" i="1"/>
  <c r="C590" i="1"/>
  <c r="D590" i="1"/>
  <c r="E590" i="1"/>
  <c r="F590" i="1"/>
  <c r="G590" i="1"/>
  <c r="H590" i="1"/>
  <c r="I590" i="1"/>
  <c r="A591" i="1"/>
  <c r="B591" i="1"/>
  <c r="C591" i="1"/>
  <c r="D591" i="1"/>
  <c r="E591" i="1"/>
  <c r="F591" i="1"/>
  <c r="G591" i="1"/>
  <c r="H591" i="1"/>
  <c r="I591" i="1"/>
  <c r="A592" i="1"/>
  <c r="B592" i="1"/>
  <c r="C592" i="1"/>
  <c r="D592" i="1"/>
  <c r="E592" i="1"/>
  <c r="F592" i="1"/>
  <c r="G592" i="1"/>
  <c r="H592" i="1"/>
  <c r="I592" i="1"/>
  <c r="A593" i="1"/>
  <c r="B593" i="1"/>
  <c r="C593" i="1"/>
  <c r="D593" i="1"/>
  <c r="E593" i="1"/>
  <c r="F593" i="1"/>
  <c r="G593" i="1"/>
  <c r="H593" i="1"/>
  <c r="I593" i="1"/>
  <c r="A594" i="1"/>
  <c r="B594" i="1"/>
  <c r="C594" i="1"/>
  <c r="D594" i="1"/>
  <c r="E594" i="1"/>
  <c r="F594" i="1"/>
  <c r="G594" i="1"/>
  <c r="H594" i="1"/>
  <c r="I594" i="1"/>
  <c r="A595" i="1"/>
  <c r="B595" i="1"/>
  <c r="C595" i="1"/>
  <c r="D595" i="1"/>
  <c r="E595" i="1"/>
  <c r="F595" i="1"/>
  <c r="G595" i="1"/>
  <c r="H595" i="1"/>
  <c r="I595" i="1"/>
  <c r="A596" i="1"/>
  <c r="B596" i="1"/>
  <c r="C596" i="1"/>
  <c r="D596" i="1"/>
  <c r="E596" i="1"/>
  <c r="F596" i="1"/>
  <c r="G596" i="1"/>
  <c r="H596" i="1"/>
  <c r="I596" i="1"/>
  <c r="A597" i="1"/>
  <c r="B597" i="1"/>
  <c r="C597" i="1"/>
  <c r="D597" i="1"/>
  <c r="E597" i="1"/>
  <c r="F597" i="1"/>
  <c r="G597" i="1"/>
  <c r="H597" i="1"/>
  <c r="I597" i="1"/>
  <c r="A598" i="1"/>
  <c r="B598" i="1"/>
  <c r="C598" i="1"/>
  <c r="D598" i="1"/>
  <c r="E598" i="1"/>
  <c r="F598" i="1"/>
  <c r="G598" i="1"/>
  <c r="H598" i="1"/>
  <c r="I598" i="1"/>
  <c r="A599" i="1"/>
  <c r="B599" i="1"/>
  <c r="C599" i="1"/>
  <c r="D599" i="1"/>
  <c r="E599" i="1"/>
  <c r="F599" i="1"/>
  <c r="G599" i="1"/>
  <c r="H599" i="1"/>
  <c r="I599" i="1"/>
  <c r="A600" i="1"/>
  <c r="B600" i="1"/>
  <c r="C600" i="1"/>
  <c r="D600" i="1"/>
  <c r="E600" i="1"/>
  <c r="F600" i="1"/>
  <c r="G600" i="1"/>
  <c r="H600" i="1"/>
  <c r="I600" i="1"/>
  <c r="A601" i="1"/>
  <c r="B601" i="1"/>
  <c r="C601" i="1"/>
  <c r="D601" i="1"/>
  <c r="E601" i="1"/>
  <c r="F601" i="1"/>
  <c r="G601" i="1"/>
  <c r="H601" i="1"/>
  <c r="I601" i="1"/>
  <c r="A602" i="1"/>
  <c r="B602" i="1"/>
  <c r="C602" i="1"/>
  <c r="D602" i="1"/>
  <c r="E602" i="1"/>
  <c r="F602" i="1"/>
  <c r="G602" i="1"/>
  <c r="H602" i="1"/>
  <c r="I602" i="1"/>
  <c r="A603" i="1"/>
  <c r="B603" i="1"/>
  <c r="C603" i="1"/>
  <c r="D603" i="1"/>
  <c r="E603" i="1"/>
  <c r="F603" i="1"/>
  <c r="G603" i="1"/>
  <c r="H603" i="1"/>
  <c r="I603" i="1"/>
  <c r="A604" i="1"/>
  <c r="B604" i="1"/>
  <c r="C604" i="1"/>
  <c r="D604" i="1"/>
  <c r="E604" i="1"/>
  <c r="F604" i="1"/>
  <c r="G604" i="1"/>
  <c r="H604" i="1"/>
  <c r="I604" i="1"/>
  <c r="A605" i="1"/>
  <c r="B605" i="1"/>
  <c r="C605" i="1"/>
  <c r="D605" i="1"/>
  <c r="E605" i="1"/>
  <c r="F605" i="1"/>
  <c r="G605" i="1"/>
  <c r="H605" i="1"/>
  <c r="I605" i="1"/>
  <c r="A606" i="1"/>
  <c r="B606" i="1"/>
  <c r="C606" i="1"/>
  <c r="D606" i="1"/>
  <c r="E606" i="1"/>
  <c r="F606" i="1"/>
  <c r="G606" i="1"/>
  <c r="H606" i="1"/>
  <c r="I606" i="1"/>
  <c r="A607" i="1"/>
  <c r="B607" i="1"/>
  <c r="C607" i="1"/>
  <c r="D607" i="1"/>
  <c r="E607" i="1"/>
  <c r="F607" i="1"/>
  <c r="G607" i="1"/>
  <c r="H607" i="1"/>
  <c r="I607" i="1"/>
  <c r="A608" i="1"/>
  <c r="B608" i="1"/>
  <c r="C608" i="1"/>
  <c r="D608" i="1"/>
  <c r="E608" i="1"/>
  <c r="F608" i="1"/>
  <c r="G608" i="1"/>
  <c r="H608" i="1"/>
  <c r="I608" i="1"/>
  <c r="A609" i="1"/>
  <c r="B609" i="1"/>
  <c r="C609" i="1"/>
  <c r="D609" i="1"/>
  <c r="E609" i="1"/>
  <c r="F609" i="1"/>
  <c r="G609" i="1"/>
  <c r="H609" i="1"/>
  <c r="I609" i="1"/>
  <c r="A610" i="1"/>
  <c r="B610" i="1"/>
  <c r="C610" i="1"/>
  <c r="D610" i="1"/>
  <c r="E610" i="1"/>
  <c r="F610" i="1"/>
  <c r="G610" i="1"/>
  <c r="H610" i="1"/>
  <c r="I610" i="1"/>
  <c r="A611" i="1"/>
  <c r="B611" i="1"/>
  <c r="C611" i="1"/>
  <c r="D611" i="1"/>
  <c r="E611" i="1"/>
  <c r="F611" i="1"/>
  <c r="G611" i="1"/>
  <c r="H611" i="1"/>
  <c r="I611" i="1"/>
  <c r="A612" i="1"/>
  <c r="B612" i="1"/>
  <c r="C612" i="1"/>
  <c r="D612" i="1"/>
  <c r="E612" i="1"/>
  <c r="F612" i="1"/>
  <c r="G612" i="1"/>
  <c r="H612" i="1"/>
  <c r="I612" i="1"/>
  <c r="A613" i="1"/>
  <c r="B613" i="1"/>
  <c r="C613" i="1"/>
  <c r="D613" i="1"/>
  <c r="E613" i="1"/>
  <c r="F613" i="1"/>
  <c r="G613" i="1"/>
  <c r="H613" i="1"/>
  <c r="I613" i="1"/>
  <c r="A614" i="1"/>
  <c r="B614" i="1"/>
  <c r="C614" i="1"/>
  <c r="D614" i="1"/>
  <c r="E614" i="1"/>
  <c r="F614" i="1"/>
  <c r="G614" i="1"/>
  <c r="H614" i="1"/>
  <c r="I614" i="1"/>
  <c r="A615" i="1"/>
  <c r="B615" i="1"/>
  <c r="C615" i="1"/>
  <c r="D615" i="1"/>
  <c r="E615" i="1"/>
  <c r="F615" i="1"/>
  <c r="G615" i="1"/>
  <c r="H615" i="1"/>
  <c r="I615" i="1"/>
  <c r="A616" i="1"/>
  <c r="B616" i="1"/>
  <c r="C616" i="1"/>
  <c r="D616" i="1"/>
  <c r="E616" i="1"/>
  <c r="F616" i="1"/>
  <c r="G616" i="1"/>
  <c r="H616" i="1"/>
  <c r="I616" i="1"/>
  <c r="A617" i="1"/>
  <c r="B617" i="1"/>
  <c r="C617" i="1"/>
  <c r="D617" i="1"/>
  <c r="E617" i="1"/>
  <c r="F617" i="1"/>
  <c r="G617" i="1"/>
  <c r="H617" i="1"/>
  <c r="I617" i="1"/>
  <c r="A618" i="1"/>
  <c r="B618" i="1"/>
  <c r="C618" i="1"/>
  <c r="D618" i="1"/>
  <c r="E618" i="1"/>
  <c r="F618" i="1"/>
  <c r="G618" i="1"/>
  <c r="H618" i="1"/>
  <c r="I618" i="1"/>
  <c r="A619" i="1"/>
  <c r="B619" i="1"/>
  <c r="C619" i="1"/>
  <c r="D619" i="1"/>
  <c r="E619" i="1"/>
  <c r="F619" i="1"/>
  <c r="G619" i="1"/>
  <c r="H619" i="1"/>
  <c r="I619" i="1"/>
  <c r="A620" i="1"/>
  <c r="B620" i="1"/>
  <c r="C620" i="1"/>
  <c r="D620" i="1"/>
  <c r="E620" i="1"/>
  <c r="F620" i="1"/>
  <c r="G620" i="1"/>
  <c r="H620" i="1"/>
  <c r="I620" i="1"/>
  <c r="A621" i="1"/>
  <c r="B621" i="1"/>
  <c r="C621" i="1"/>
  <c r="D621" i="1"/>
  <c r="E621" i="1"/>
  <c r="F621" i="1"/>
  <c r="G621" i="1"/>
  <c r="H621" i="1"/>
  <c r="I621" i="1"/>
  <c r="A622" i="1"/>
  <c r="B622" i="1"/>
  <c r="C622" i="1"/>
  <c r="D622" i="1"/>
  <c r="E622" i="1"/>
  <c r="F622" i="1"/>
  <c r="G622" i="1"/>
  <c r="H622" i="1"/>
  <c r="I622" i="1"/>
  <c r="A623" i="1"/>
  <c r="B623" i="1"/>
  <c r="C623" i="1"/>
  <c r="D623" i="1"/>
  <c r="E623" i="1"/>
  <c r="F623" i="1"/>
  <c r="G623" i="1"/>
  <c r="H623" i="1"/>
  <c r="I623" i="1"/>
  <c r="A624" i="1"/>
  <c r="B624" i="1"/>
  <c r="C624" i="1"/>
  <c r="D624" i="1"/>
  <c r="E624" i="1"/>
  <c r="F624" i="1"/>
  <c r="G624" i="1"/>
  <c r="H624" i="1"/>
  <c r="I624" i="1"/>
  <c r="A625" i="1"/>
  <c r="B625" i="1"/>
  <c r="C625" i="1"/>
  <c r="D625" i="1"/>
  <c r="E625" i="1"/>
  <c r="F625" i="1"/>
  <c r="G625" i="1"/>
  <c r="H625" i="1"/>
  <c r="I625" i="1"/>
  <c r="A626" i="1"/>
  <c r="B626" i="1"/>
  <c r="C626" i="1"/>
  <c r="D626" i="1"/>
  <c r="E626" i="1"/>
  <c r="F626" i="1"/>
  <c r="G626" i="1"/>
  <c r="H626" i="1"/>
  <c r="I626" i="1"/>
  <c r="A627" i="1"/>
  <c r="B627" i="1"/>
  <c r="C627" i="1"/>
  <c r="D627" i="1"/>
  <c r="E627" i="1"/>
  <c r="F627" i="1"/>
  <c r="G627" i="1"/>
  <c r="H627" i="1"/>
  <c r="I627" i="1"/>
  <c r="A628" i="1"/>
  <c r="B628" i="1"/>
  <c r="C628" i="1"/>
  <c r="D628" i="1"/>
  <c r="E628" i="1"/>
  <c r="F628" i="1"/>
  <c r="G628" i="1"/>
  <c r="H628" i="1"/>
  <c r="I628" i="1"/>
  <c r="A629" i="1"/>
  <c r="B629" i="1"/>
  <c r="C629" i="1"/>
  <c r="D629" i="1"/>
  <c r="E629" i="1"/>
  <c r="F629" i="1"/>
  <c r="G629" i="1"/>
  <c r="H629" i="1"/>
  <c r="I629" i="1"/>
  <c r="A630" i="1"/>
  <c r="B630" i="1"/>
  <c r="C630" i="1"/>
  <c r="D630" i="1"/>
  <c r="E630" i="1"/>
  <c r="F630" i="1"/>
  <c r="G630" i="1"/>
  <c r="H630" i="1"/>
  <c r="I630" i="1"/>
  <c r="A631" i="1"/>
  <c r="B631" i="1"/>
  <c r="C631" i="1"/>
  <c r="D631" i="1"/>
  <c r="E631" i="1"/>
  <c r="F631" i="1"/>
  <c r="G631" i="1"/>
  <c r="H631" i="1"/>
  <c r="I631" i="1"/>
  <c r="A632" i="1"/>
  <c r="B632" i="1"/>
  <c r="C632" i="1"/>
  <c r="D632" i="1"/>
  <c r="E632" i="1"/>
  <c r="F632" i="1"/>
  <c r="G632" i="1"/>
  <c r="H632" i="1"/>
  <c r="I632" i="1"/>
  <c r="A633" i="1"/>
  <c r="B633" i="1"/>
  <c r="C633" i="1"/>
  <c r="D633" i="1"/>
  <c r="E633" i="1"/>
  <c r="F633" i="1"/>
  <c r="G633" i="1"/>
  <c r="H633" i="1"/>
  <c r="I633" i="1"/>
  <c r="A634" i="1"/>
  <c r="B634" i="1"/>
  <c r="C634" i="1"/>
  <c r="D634" i="1"/>
  <c r="E634" i="1"/>
  <c r="F634" i="1"/>
  <c r="G634" i="1"/>
  <c r="H634" i="1"/>
  <c r="I634" i="1"/>
  <c r="A635" i="1"/>
  <c r="B635" i="1"/>
  <c r="C635" i="1"/>
  <c r="D635" i="1"/>
  <c r="E635" i="1"/>
  <c r="F635" i="1"/>
  <c r="G635" i="1"/>
  <c r="H635" i="1"/>
  <c r="I635" i="1"/>
  <c r="A636" i="1"/>
  <c r="B636" i="1"/>
  <c r="C636" i="1"/>
  <c r="D636" i="1"/>
  <c r="E636" i="1"/>
  <c r="F636" i="1"/>
  <c r="G636" i="1"/>
  <c r="H636" i="1"/>
  <c r="I636" i="1"/>
  <c r="A637" i="1"/>
  <c r="B637" i="1"/>
  <c r="C637" i="1"/>
  <c r="D637" i="1"/>
  <c r="E637" i="1"/>
  <c r="F637" i="1"/>
  <c r="G637" i="1"/>
  <c r="H637" i="1"/>
  <c r="I637" i="1"/>
  <c r="A638" i="1"/>
  <c r="B638" i="1"/>
  <c r="C638" i="1"/>
  <c r="D638" i="1"/>
  <c r="E638" i="1"/>
  <c r="F638" i="1"/>
  <c r="G638" i="1"/>
  <c r="H638" i="1"/>
  <c r="I638" i="1"/>
  <c r="A639" i="1"/>
  <c r="B639" i="1"/>
  <c r="C639" i="1"/>
  <c r="D639" i="1"/>
  <c r="E639" i="1"/>
  <c r="F639" i="1"/>
  <c r="G639" i="1"/>
  <c r="H639" i="1"/>
  <c r="I639" i="1"/>
  <c r="A640" i="1"/>
  <c r="B640" i="1"/>
  <c r="C640" i="1"/>
  <c r="D640" i="1"/>
  <c r="E640" i="1"/>
  <c r="F640" i="1"/>
  <c r="G640" i="1"/>
  <c r="H640" i="1"/>
  <c r="I640" i="1"/>
  <c r="A641" i="1"/>
  <c r="B641" i="1"/>
  <c r="C641" i="1"/>
  <c r="D641" i="1"/>
  <c r="E641" i="1"/>
  <c r="F641" i="1"/>
  <c r="G641" i="1"/>
  <c r="H641" i="1"/>
  <c r="I641" i="1"/>
  <c r="A642" i="1"/>
  <c r="B642" i="1"/>
  <c r="C642" i="1"/>
  <c r="D642" i="1"/>
  <c r="E642" i="1"/>
  <c r="F642" i="1"/>
  <c r="G642" i="1"/>
  <c r="H642" i="1"/>
  <c r="I642" i="1"/>
  <c r="A643" i="1"/>
  <c r="B643" i="1"/>
  <c r="C643" i="1"/>
  <c r="D643" i="1"/>
  <c r="E643" i="1"/>
  <c r="F643" i="1"/>
  <c r="G643" i="1"/>
  <c r="H643" i="1"/>
  <c r="I643" i="1"/>
  <c r="A644" i="1"/>
  <c r="B644" i="1"/>
  <c r="C644" i="1"/>
  <c r="D644" i="1"/>
  <c r="E644" i="1"/>
  <c r="F644" i="1"/>
  <c r="G644" i="1"/>
  <c r="H644" i="1"/>
  <c r="I644" i="1"/>
  <c r="A645" i="1"/>
  <c r="B645" i="1"/>
  <c r="C645" i="1"/>
  <c r="D645" i="1"/>
  <c r="E645" i="1"/>
  <c r="F645" i="1"/>
  <c r="G645" i="1"/>
  <c r="H645" i="1"/>
  <c r="I645" i="1"/>
  <c r="A646" i="1"/>
  <c r="B646" i="1"/>
  <c r="C646" i="1"/>
  <c r="D646" i="1"/>
  <c r="E646" i="1"/>
  <c r="F646" i="1"/>
  <c r="G646" i="1"/>
  <c r="H646" i="1"/>
  <c r="I646" i="1"/>
  <c r="A647" i="1"/>
  <c r="B647" i="1"/>
  <c r="C647" i="1"/>
  <c r="D647" i="1"/>
  <c r="E647" i="1"/>
  <c r="F647" i="1"/>
  <c r="G647" i="1"/>
  <c r="H647" i="1"/>
  <c r="I647" i="1"/>
  <c r="A648" i="1"/>
  <c r="B648" i="1"/>
  <c r="C648" i="1"/>
  <c r="D648" i="1"/>
  <c r="E648" i="1"/>
  <c r="F648" i="1"/>
  <c r="G648" i="1"/>
  <c r="H648" i="1"/>
  <c r="I648" i="1"/>
  <c r="A649" i="1"/>
  <c r="B649" i="1"/>
  <c r="C649" i="1"/>
  <c r="D649" i="1"/>
  <c r="E649" i="1"/>
  <c r="F649" i="1"/>
  <c r="G649" i="1"/>
  <c r="H649" i="1"/>
  <c r="I649" i="1"/>
  <c r="A650" i="1"/>
  <c r="B650" i="1"/>
  <c r="C650" i="1"/>
  <c r="D650" i="1"/>
  <c r="E650" i="1"/>
  <c r="F650" i="1"/>
  <c r="G650" i="1"/>
  <c r="H650" i="1"/>
  <c r="I650" i="1"/>
  <c r="A651" i="1"/>
  <c r="B651" i="1"/>
  <c r="C651" i="1"/>
  <c r="D651" i="1"/>
  <c r="E651" i="1"/>
  <c r="F651" i="1"/>
  <c r="G651" i="1"/>
  <c r="H651" i="1"/>
  <c r="I651" i="1"/>
  <c r="A652" i="1"/>
  <c r="B652" i="1"/>
  <c r="C652" i="1"/>
  <c r="D652" i="1"/>
  <c r="E652" i="1"/>
  <c r="F652" i="1"/>
  <c r="G652" i="1"/>
  <c r="H652" i="1"/>
  <c r="I652" i="1"/>
  <c r="A653" i="1"/>
  <c r="B653" i="1"/>
  <c r="C653" i="1"/>
  <c r="D653" i="1"/>
  <c r="E653" i="1"/>
  <c r="F653" i="1"/>
  <c r="G653" i="1"/>
  <c r="H653" i="1"/>
  <c r="I653" i="1"/>
  <c r="A654" i="1"/>
  <c r="B654" i="1"/>
  <c r="C654" i="1"/>
  <c r="D654" i="1"/>
  <c r="E654" i="1"/>
  <c r="F654" i="1"/>
  <c r="G654" i="1"/>
  <c r="H654" i="1"/>
  <c r="I654" i="1"/>
  <c r="A655" i="1"/>
  <c r="B655" i="1"/>
  <c r="C655" i="1"/>
  <c r="D655" i="1"/>
  <c r="E655" i="1"/>
  <c r="F655" i="1"/>
  <c r="G655" i="1"/>
  <c r="H655" i="1"/>
  <c r="I655" i="1"/>
  <c r="A656" i="1"/>
  <c r="B656" i="1"/>
  <c r="C656" i="1"/>
  <c r="D656" i="1"/>
  <c r="E656" i="1"/>
  <c r="F656" i="1"/>
  <c r="G656" i="1"/>
  <c r="H656" i="1"/>
  <c r="I656" i="1"/>
  <c r="A657" i="1"/>
  <c r="B657" i="1"/>
  <c r="C657" i="1"/>
  <c r="D657" i="1"/>
  <c r="E657" i="1"/>
  <c r="F657" i="1"/>
  <c r="G657" i="1"/>
  <c r="H657" i="1"/>
  <c r="I657" i="1"/>
  <c r="A658" i="1"/>
  <c r="B658" i="1"/>
  <c r="C658" i="1"/>
  <c r="D658" i="1"/>
  <c r="E658" i="1"/>
  <c r="F658" i="1"/>
  <c r="G658" i="1"/>
  <c r="H658" i="1"/>
  <c r="I658" i="1"/>
  <c r="A659" i="1"/>
  <c r="B659" i="1"/>
  <c r="C659" i="1"/>
  <c r="D659" i="1"/>
  <c r="E659" i="1"/>
  <c r="F659" i="1"/>
  <c r="G659" i="1"/>
  <c r="H659" i="1"/>
  <c r="I659" i="1"/>
  <c r="A660" i="1"/>
  <c r="B660" i="1"/>
  <c r="C660" i="1"/>
  <c r="D660" i="1"/>
  <c r="E660" i="1"/>
  <c r="F660" i="1"/>
  <c r="G660" i="1"/>
  <c r="H660" i="1"/>
  <c r="I660" i="1"/>
  <c r="A661" i="1"/>
  <c r="B661" i="1"/>
  <c r="C661" i="1"/>
  <c r="D661" i="1"/>
  <c r="E661" i="1"/>
  <c r="F661" i="1"/>
  <c r="G661" i="1"/>
  <c r="H661" i="1"/>
  <c r="I661" i="1"/>
  <c r="A662" i="1"/>
  <c r="B662" i="1"/>
  <c r="C662" i="1"/>
  <c r="D662" i="1"/>
  <c r="E662" i="1"/>
  <c r="F662" i="1"/>
  <c r="G662" i="1"/>
  <c r="H662" i="1"/>
  <c r="I662" i="1"/>
  <c r="A663" i="1"/>
  <c r="B663" i="1"/>
  <c r="C663" i="1"/>
  <c r="D663" i="1"/>
  <c r="E663" i="1"/>
  <c r="F663" i="1"/>
  <c r="G663" i="1"/>
  <c r="H663" i="1"/>
  <c r="I663" i="1"/>
  <c r="A664" i="1"/>
  <c r="B664" i="1"/>
  <c r="C664" i="1"/>
  <c r="D664" i="1"/>
  <c r="E664" i="1"/>
  <c r="F664" i="1"/>
  <c r="G664" i="1"/>
  <c r="H664" i="1"/>
  <c r="I664" i="1"/>
  <c r="A665" i="1"/>
  <c r="B665" i="1"/>
  <c r="C665" i="1"/>
  <c r="D665" i="1"/>
  <c r="E665" i="1"/>
  <c r="F665" i="1"/>
  <c r="G665" i="1"/>
  <c r="H665" i="1"/>
  <c r="I665" i="1"/>
  <c r="A666" i="1"/>
  <c r="B666" i="1"/>
  <c r="C666" i="1"/>
  <c r="D666" i="1"/>
  <c r="E666" i="1"/>
  <c r="F666" i="1"/>
  <c r="G666" i="1"/>
  <c r="H666" i="1"/>
  <c r="I666" i="1"/>
  <c r="A667" i="1"/>
  <c r="B667" i="1"/>
  <c r="C667" i="1"/>
  <c r="D667" i="1"/>
  <c r="E667" i="1"/>
  <c r="F667" i="1"/>
  <c r="G667" i="1"/>
  <c r="H667" i="1"/>
  <c r="I667" i="1"/>
  <c r="A668" i="1"/>
  <c r="B668" i="1"/>
  <c r="C668" i="1"/>
  <c r="D668" i="1"/>
  <c r="E668" i="1"/>
  <c r="F668" i="1"/>
  <c r="G668" i="1"/>
  <c r="H668" i="1"/>
  <c r="I668" i="1"/>
  <c r="A669" i="1"/>
  <c r="B669" i="1"/>
  <c r="C669" i="1"/>
  <c r="D669" i="1"/>
  <c r="E669" i="1"/>
  <c r="F669" i="1"/>
  <c r="G669" i="1"/>
  <c r="H669" i="1"/>
  <c r="I669" i="1"/>
  <c r="A670" i="1"/>
  <c r="B670" i="1"/>
  <c r="C670" i="1"/>
  <c r="D670" i="1"/>
  <c r="E670" i="1"/>
  <c r="F670" i="1"/>
  <c r="G670" i="1"/>
  <c r="H670" i="1"/>
  <c r="I670" i="1"/>
  <c r="A671" i="1"/>
  <c r="B671" i="1"/>
  <c r="C671" i="1"/>
  <c r="D671" i="1"/>
  <c r="E671" i="1"/>
  <c r="F671" i="1"/>
  <c r="G671" i="1"/>
  <c r="H671" i="1"/>
  <c r="I671" i="1"/>
  <c r="A672" i="1"/>
  <c r="B672" i="1"/>
  <c r="C672" i="1"/>
  <c r="D672" i="1"/>
  <c r="E672" i="1"/>
  <c r="F672" i="1"/>
  <c r="G672" i="1"/>
  <c r="H672" i="1"/>
  <c r="I672" i="1"/>
  <c r="A673" i="1"/>
  <c r="B673" i="1"/>
  <c r="C673" i="1"/>
  <c r="D673" i="1"/>
  <c r="E673" i="1"/>
  <c r="F673" i="1"/>
  <c r="G673" i="1"/>
  <c r="H673" i="1"/>
  <c r="I673" i="1"/>
  <c r="A674" i="1"/>
  <c r="B674" i="1"/>
  <c r="C674" i="1"/>
  <c r="D674" i="1"/>
  <c r="E674" i="1"/>
  <c r="F674" i="1"/>
  <c r="G674" i="1"/>
  <c r="H674" i="1"/>
  <c r="I674" i="1"/>
  <c r="A675" i="1"/>
  <c r="B675" i="1"/>
  <c r="C675" i="1"/>
  <c r="D675" i="1"/>
  <c r="E675" i="1"/>
  <c r="F675" i="1"/>
  <c r="G675" i="1"/>
  <c r="H675" i="1"/>
  <c r="I675" i="1"/>
  <c r="A676" i="1"/>
  <c r="B676" i="1"/>
  <c r="C676" i="1"/>
  <c r="D676" i="1"/>
  <c r="E676" i="1"/>
  <c r="F676" i="1"/>
  <c r="G676" i="1"/>
  <c r="H676" i="1"/>
  <c r="I676" i="1"/>
  <c r="A677" i="1"/>
  <c r="B677" i="1"/>
  <c r="C677" i="1"/>
  <c r="D677" i="1"/>
  <c r="E677" i="1"/>
  <c r="F677" i="1"/>
  <c r="G677" i="1"/>
  <c r="H677" i="1"/>
  <c r="I677" i="1"/>
  <c r="A678" i="1"/>
  <c r="B678" i="1"/>
  <c r="C678" i="1"/>
  <c r="D678" i="1"/>
  <c r="E678" i="1"/>
  <c r="F678" i="1"/>
  <c r="G678" i="1"/>
  <c r="H678" i="1"/>
  <c r="I678" i="1"/>
  <c r="A679" i="1"/>
  <c r="B679" i="1"/>
  <c r="C679" i="1"/>
  <c r="D679" i="1"/>
  <c r="E679" i="1"/>
  <c r="F679" i="1"/>
  <c r="G679" i="1"/>
  <c r="H679" i="1"/>
  <c r="I679" i="1"/>
  <c r="A680" i="1"/>
  <c r="B680" i="1"/>
  <c r="C680" i="1"/>
  <c r="D680" i="1"/>
  <c r="E680" i="1"/>
  <c r="F680" i="1"/>
  <c r="G680" i="1"/>
  <c r="H680" i="1"/>
  <c r="I680" i="1"/>
  <c r="A681" i="1"/>
  <c r="B681" i="1"/>
  <c r="C681" i="1"/>
  <c r="D681" i="1"/>
  <c r="E681" i="1"/>
  <c r="F681" i="1"/>
  <c r="G681" i="1"/>
  <c r="H681" i="1"/>
  <c r="I681" i="1"/>
  <c r="A682" i="1"/>
  <c r="B682" i="1"/>
  <c r="C682" i="1"/>
  <c r="D682" i="1"/>
  <c r="E682" i="1"/>
  <c r="F682" i="1"/>
  <c r="G682" i="1"/>
  <c r="H682" i="1"/>
  <c r="I682" i="1"/>
  <c r="A683" i="1"/>
  <c r="B683" i="1"/>
  <c r="C683" i="1"/>
  <c r="D683" i="1"/>
  <c r="E683" i="1"/>
  <c r="F683" i="1"/>
  <c r="G683" i="1"/>
  <c r="H683" i="1"/>
  <c r="I683" i="1"/>
  <c r="A684" i="1"/>
  <c r="B684" i="1"/>
  <c r="C684" i="1"/>
  <c r="D684" i="1"/>
  <c r="E684" i="1"/>
  <c r="F684" i="1"/>
  <c r="G684" i="1"/>
  <c r="H684" i="1"/>
  <c r="I684" i="1"/>
  <c r="A685" i="1"/>
  <c r="B685" i="1"/>
  <c r="C685" i="1"/>
  <c r="D685" i="1"/>
  <c r="E685" i="1"/>
  <c r="F685" i="1"/>
  <c r="G685" i="1"/>
  <c r="H685" i="1"/>
  <c r="I685" i="1"/>
  <c r="A686" i="1"/>
  <c r="B686" i="1"/>
  <c r="C686" i="1"/>
  <c r="D686" i="1"/>
  <c r="E686" i="1"/>
  <c r="F686" i="1"/>
  <c r="G686" i="1"/>
  <c r="H686" i="1"/>
  <c r="I686" i="1"/>
  <c r="A687" i="1"/>
  <c r="B687" i="1"/>
  <c r="C687" i="1"/>
  <c r="D687" i="1"/>
  <c r="E687" i="1"/>
  <c r="F687" i="1"/>
  <c r="G687" i="1"/>
  <c r="H687" i="1"/>
  <c r="I687" i="1"/>
  <c r="A688" i="1"/>
  <c r="B688" i="1"/>
  <c r="C688" i="1"/>
  <c r="D688" i="1"/>
  <c r="E688" i="1"/>
  <c r="F688" i="1"/>
  <c r="G688" i="1"/>
  <c r="H688" i="1"/>
  <c r="I688" i="1"/>
  <c r="A689" i="1"/>
  <c r="B689" i="1"/>
  <c r="C689" i="1"/>
  <c r="D689" i="1"/>
  <c r="E689" i="1"/>
  <c r="F689" i="1"/>
  <c r="G689" i="1"/>
  <c r="H689" i="1"/>
  <c r="I689" i="1"/>
  <c r="A690" i="1"/>
  <c r="B690" i="1"/>
  <c r="C690" i="1"/>
  <c r="D690" i="1"/>
  <c r="E690" i="1"/>
  <c r="F690" i="1"/>
  <c r="G690" i="1"/>
  <c r="H690" i="1"/>
  <c r="I690" i="1"/>
  <c r="A691" i="1"/>
  <c r="B691" i="1"/>
  <c r="C691" i="1"/>
  <c r="D691" i="1"/>
  <c r="E691" i="1"/>
  <c r="F691" i="1"/>
  <c r="G691" i="1"/>
  <c r="H691" i="1"/>
  <c r="I691" i="1"/>
  <c r="A692" i="1"/>
  <c r="B692" i="1"/>
  <c r="C692" i="1"/>
  <c r="D692" i="1"/>
  <c r="E692" i="1"/>
  <c r="F692" i="1"/>
  <c r="G692" i="1"/>
  <c r="H692" i="1"/>
  <c r="I692" i="1"/>
  <c r="A693" i="1"/>
  <c r="B693" i="1"/>
  <c r="C693" i="1"/>
  <c r="D693" i="1"/>
  <c r="E693" i="1"/>
  <c r="F693" i="1"/>
  <c r="G693" i="1"/>
  <c r="H693" i="1"/>
  <c r="I693" i="1"/>
  <c r="A694" i="1"/>
  <c r="B694" i="1"/>
  <c r="C694" i="1"/>
  <c r="D694" i="1"/>
  <c r="E694" i="1"/>
  <c r="F694" i="1"/>
  <c r="G694" i="1"/>
  <c r="H694" i="1"/>
  <c r="I694" i="1"/>
  <c r="A695" i="1"/>
  <c r="B695" i="1"/>
  <c r="C695" i="1"/>
  <c r="D695" i="1"/>
  <c r="E695" i="1"/>
  <c r="F695" i="1"/>
  <c r="G695" i="1"/>
  <c r="H695" i="1"/>
  <c r="I695" i="1"/>
  <c r="A696" i="1"/>
  <c r="B696" i="1"/>
  <c r="C696" i="1"/>
  <c r="D696" i="1"/>
  <c r="E696" i="1"/>
  <c r="F696" i="1"/>
  <c r="G696" i="1"/>
  <c r="H696" i="1"/>
  <c r="I696" i="1"/>
  <c r="A697" i="1"/>
  <c r="B697" i="1"/>
  <c r="C697" i="1"/>
  <c r="D697" i="1"/>
  <c r="E697" i="1"/>
  <c r="F697" i="1"/>
  <c r="G697" i="1"/>
  <c r="H697" i="1"/>
  <c r="I697" i="1"/>
  <c r="A698" i="1"/>
  <c r="B698" i="1"/>
  <c r="C698" i="1"/>
  <c r="D698" i="1"/>
  <c r="E698" i="1"/>
  <c r="F698" i="1"/>
  <c r="G698" i="1"/>
  <c r="H698" i="1"/>
  <c r="I698" i="1"/>
  <c r="A699" i="1"/>
  <c r="B699" i="1"/>
  <c r="C699" i="1"/>
  <c r="D699" i="1"/>
  <c r="E699" i="1"/>
  <c r="F699" i="1"/>
  <c r="G699" i="1"/>
  <c r="H699" i="1"/>
  <c r="I699" i="1"/>
  <c r="A700" i="1"/>
  <c r="B700" i="1"/>
  <c r="C700" i="1"/>
  <c r="D700" i="1"/>
  <c r="E700" i="1"/>
  <c r="F700" i="1"/>
  <c r="G700" i="1"/>
  <c r="H700" i="1"/>
  <c r="I700" i="1"/>
  <c r="A701" i="1"/>
  <c r="B701" i="1"/>
  <c r="C701" i="1"/>
  <c r="D701" i="1"/>
  <c r="E701" i="1"/>
  <c r="F701" i="1"/>
  <c r="G701" i="1"/>
  <c r="H701" i="1"/>
  <c r="I701" i="1"/>
  <c r="A702" i="1"/>
  <c r="B702" i="1"/>
  <c r="C702" i="1"/>
  <c r="D702" i="1"/>
  <c r="E702" i="1"/>
  <c r="F702" i="1"/>
  <c r="G702" i="1"/>
  <c r="H702" i="1"/>
  <c r="I702" i="1"/>
  <c r="A703" i="1"/>
  <c r="B703" i="1"/>
  <c r="C703" i="1"/>
  <c r="D703" i="1"/>
  <c r="E703" i="1"/>
  <c r="F703" i="1"/>
  <c r="G703" i="1"/>
  <c r="H703" i="1"/>
  <c r="I703" i="1"/>
  <c r="A704" i="1"/>
  <c r="B704" i="1"/>
  <c r="C704" i="1"/>
  <c r="D704" i="1"/>
  <c r="E704" i="1"/>
  <c r="F704" i="1"/>
  <c r="G704" i="1"/>
  <c r="H704" i="1"/>
  <c r="I704" i="1"/>
  <c r="A705" i="1"/>
  <c r="B705" i="1"/>
  <c r="C705" i="1"/>
  <c r="D705" i="1"/>
  <c r="E705" i="1"/>
  <c r="F705" i="1"/>
  <c r="G705" i="1"/>
  <c r="H705" i="1"/>
  <c r="I705" i="1"/>
  <c r="A706" i="1"/>
  <c r="B706" i="1"/>
  <c r="C706" i="1"/>
  <c r="D706" i="1"/>
  <c r="E706" i="1"/>
  <c r="F706" i="1"/>
  <c r="G706" i="1"/>
  <c r="H706" i="1"/>
  <c r="I706" i="1"/>
  <c r="A707" i="1"/>
  <c r="B707" i="1"/>
  <c r="C707" i="1"/>
  <c r="D707" i="1"/>
  <c r="E707" i="1"/>
  <c r="F707" i="1"/>
  <c r="G707" i="1"/>
  <c r="H707" i="1"/>
  <c r="I707" i="1"/>
  <c r="A708" i="1"/>
  <c r="B708" i="1"/>
  <c r="C708" i="1"/>
  <c r="D708" i="1"/>
  <c r="E708" i="1"/>
  <c r="F708" i="1"/>
  <c r="G708" i="1"/>
  <c r="H708" i="1"/>
  <c r="I708" i="1"/>
  <c r="A709" i="1"/>
  <c r="B709" i="1"/>
  <c r="C709" i="1"/>
  <c r="D709" i="1"/>
  <c r="E709" i="1"/>
  <c r="F709" i="1"/>
  <c r="G709" i="1"/>
  <c r="H709" i="1"/>
  <c r="I709" i="1"/>
  <c r="A710" i="1"/>
  <c r="B710" i="1"/>
  <c r="C710" i="1"/>
  <c r="D710" i="1"/>
  <c r="E710" i="1"/>
  <c r="F710" i="1"/>
  <c r="G710" i="1"/>
  <c r="H710" i="1"/>
  <c r="I710" i="1"/>
  <c r="A711" i="1"/>
  <c r="B711" i="1"/>
  <c r="C711" i="1"/>
  <c r="D711" i="1"/>
  <c r="E711" i="1"/>
  <c r="F711" i="1"/>
  <c r="G711" i="1"/>
  <c r="H711" i="1"/>
  <c r="I711" i="1"/>
  <c r="A712" i="1"/>
  <c r="B712" i="1"/>
  <c r="C712" i="1"/>
  <c r="D712" i="1"/>
  <c r="E712" i="1"/>
  <c r="F712" i="1"/>
  <c r="G712" i="1"/>
  <c r="H712" i="1"/>
  <c r="I712" i="1"/>
  <c r="A713" i="1"/>
  <c r="B713" i="1"/>
  <c r="C713" i="1"/>
  <c r="D713" i="1"/>
  <c r="E713" i="1"/>
  <c r="F713" i="1"/>
  <c r="G713" i="1"/>
  <c r="H713" i="1"/>
  <c r="I713" i="1"/>
  <c r="A714" i="1"/>
  <c r="B714" i="1"/>
  <c r="C714" i="1"/>
  <c r="D714" i="1"/>
  <c r="E714" i="1"/>
  <c r="F714" i="1"/>
  <c r="G714" i="1"/>
  <c r="H714" i="1"/>
  <c r="I714" i="1"/>
  <c r="A715" i="1"/>
  <c r="B715" i="1"/>
  <c r="C715" i="1"/>
  <c r="D715" i="1"/>
  <c r="E715" i="1"/>
  <c r="F715" i="1"/>
  <c r="G715" i="1"/>
  <c r="H715" i="1"/>
  <c r="I715" i="1"/>
  <c r="A716" i="1"/>
  <c r="B716" i="1"/>
  <c r="C716" i="1"/>
  <c r="D716" i="1"/>
  <c r="E716" i="1"/>
  <c r="F716" i="1"/>
  <c r="G716" i="1"/>
  <c r="H716" i="1"/>
  <c r="I716" i="1"/>
  <c r="A717" i="1"/>
  <c r="B717" i="1"/>
  <c r="C717" i="1"/>
  <c r="D717" i="1"/>
  <c r="E717" i="1"/>
  <c r="F717" i="1"/>
  <c r="G717" i="1"/>
  <c r="H717" i="1"/>
  <c r="I717" i="1"/>
  <c r="A718" i="1"/>
  <c r="B718" i="1"/>
  <c r="C718" i="1"/>
  <c r="D718" i="1"/>
  <c r="E718" i="1"/>
  <c r="F718" i="1"/>
  <c r="G718" i="1"/>
  <c r="H718" i="1"/>
  <c r="I718" i="1"/>
  <c r="A719" i="1"/>
  <c r="B719" i="1"/>
  <c r="C719" i="1"/>
  <c r="D719" i="1"/>
  <c r="E719" i="1"/>
  <c r="F719" i="1"/>
  <c r="G719" i="1"/>
  <c r="H719" i="1"/>
  <c r="I719" i="1"/>
  <c r="A720" i="1"/>
  <c r="B720" i="1"/>
  <c r="C720" i="1"/>
  <c r="D720" i="1"/>
  <c r="E720" i="1"/>
  <c r="F720" i="1"/>
  <c r="G720" i="1"/>
  <c r="H720" i="1"/>
  <c r="I720" i="1"/>
  <c r="A721" i="1"/>
  <c r="B721" i="1"/>
  <c r="C721" i="1"/>
  <c r="D721" i="1"/>
  <c r="E721" i="1"/>
  <c r="F721" i="1"/>
  <c r="G721" i="1"/>
  <c r="H721" i="1"/>
  <c r="I721" i="1"/>
  <c r="A722" i="1"/>
  <c r="B722" i="1"/>
  <c r="C722" i="1"/>
  <c r="D722" i="1"/>
  <c r="E722" i="1"/>
  <c r="F722" i="1"/>
  <c r="G722" i="1"/>
  <c r="H722" i="1"/>
  <c r="I722" i="1"/>
  <c r="A723" i="1"/>
  <c r="B723" i="1"/>
  <c r="C723" i="1"/>
  <c r="D723" i="1"/>
  <c r="E723" i="1"/>
  <c r="F723" i="1"/>
  <c r="G723" i="1"/>
  <c r="H723" i="1"/>
  <c r="I723" i="1"/>
  <c r="A724" i="1"/>
  <c r="B724" i="1"/>
  <c r="C724" i="1"/>
  <c r="D724" i="1"/>
  <c r="E724" i="1"/>
  <c r="F724" i="1"/>
  <c r="G724" i="1"/>
  <c r="H724" i="1"/>
  <c r="I724" i="1"/>
  <c r="A725" i="1"/>
  <c r="B725" i="1"/>
  <c r="C725" i="1"/>
  <c r="D725" i="1"/>
  <c r="E725" i="1"/>
  <c r="F725" i="1"/>
  <c r="G725" i="1"/>
  <c r="H725" i="1"/>
  <c r="I725" i="1"/>
  <c r="A726" i="1"/>
  <c r="B726" i="1"/>
  <c r="C726" i="1"/>
  <c r="D726" i="1"/>
  <c r="E726" i="1"/>
  <c r="F726" i="1"/>
  <c r="G726" i="1"/>
  <c r="H726" i="1"/>
  <c r="I726" i="1"/>
  <c r="A727" i="1"/>
  <c r="B727" i="1"/>
  <c r="C727" i="1"/>
  <c r="D727" i="1"/>
  <c r="E727" i="1"/>
  <c r="F727" i="1"/>
  <c r="G727" i="1"/>
  <c r="H727" i="1"/>
  <c r="I727" i="1"/>
  <c r="A728" i="1"/>
  <c r="B728" i="1"/>
  <c r="C728" i="1"/>
  <c r="D728" i="1"/>
  <c r="E728" i="1"/>
  <c r="F728" i="1"/>
  <c r="G728" i="1"/>
  <c r="H728" i="1"/>
  <c r="I728" i="1"/>
  <c r="A729" i="1"/>
  <c r="B729" i="1"/>
  <c r="C729" i="1"/>
  <c r="D729" i="1"/>
  <c r="E729" i="1"/>
  <c r="F729" i="1"/>
  <c r="G729" i="1"/>
  <c r="H729" i="1"/>
  <c r="I729" i="1"/>
  <c r="A730" i="1"/>
  <c r="B730" i="1"/>
  <c r="C730" i="1"/>
  <c r="D730" i="1"/>
  <c r="E730" i="1"/>
  <c r="F730" i="1"/>
  <c r="G730" i="1"/>
  <c r="H730" i="1"/>
  <c r="I730" i="1"/>
  <c r="A731" i="1"/>
  <c r="B731" i="1"/>
  <c r="C731" i="1"/>
  <c r="D731" i="1"/>
  <c r="E731" i="1"/>
  <c r="F731" i="1"/>
  <c r="G731" i="1"/>
  <c r="H731" i="1"/>
  <c r="I731" i="1"/>
  <c r="A732" i="1"/>
  <c r="B732" i="1"/>
  <c r="C732" i="1"/>
  <c r="D732" i="1"/>
  <c r="E732" i="1"/>
  <c r="F732" i="1"/>
  <c r="G732" i="1"/>
  <c r="H732" i="1"/>
  <c r="I732" i="1"/>
  <c r="A733" i="1"/>
  <c r="B733" i="1"/>
  <c r="C733" i="1"/>
  <c r="D733" i="1"/>
  <c r="E733" i="1"/>
  <c r="F733" i="1"/>
  <c r="G733" i="1"/>
  <c r="H733" i="1"/>
  <c r="I733" i="1"/>
  <c r="A734" i="1"/>
  <c r="B734" i="1"/>
  <c r="C734" i="1"/>
  <c r="D734" i="1"/>
  <c r="E734" i="1"/>
  <c r="F734" i="1"/>
  <c r="G734" i="1"/>
  <c r="H734" i="1"/>
  <c r="I734" i="1"/>
  <c r="A735" i="1"/>
  <c r="B735" i="1"/>
  <c r="C735" i="1"/>
  <c r="D735" i="1"/>
  <c r="E735" i="1"/>
  <c r="F735" i="1"/>
  <c r="G735" i="1"/>
  <c r="H735" i="1"/>
  <c r="I735" i="1"/>
  <c r="A736" i="1"/>
  <c r="B736" i="1"/>
  <c r="C736" i="1"/>
  <c r="D736" i="1"/>
  <c r="E736" i="1"/>
  <c r="F736" i="1"/>
  <c r="G736" i="1"/>
  <c r="H736" i="1"/>
  <c r="I736" i="1"/>
  <c r="A737" i="1"/>
  <c r="B737" i="1"/>
  <c r="C737" i="1"/>
  <c r="D737" i="1"/>
  <c r="E737" i="1"/>
  <c r="F737" i="1"/>
  <c r="G737" i="1"/>
  <c r="H737" i="1"/>
  <c r="I737" i="1"/>
  <c r="A738" i="1"/>
  <c r="B738" i="1"/>
  <c r="C738" i="1"/>
  <c r="D738" i="1"/>
  <c r="E738" i="1"/>
  <c r="F738" i="1"/>
  <c r="G738" i="1"/>
  <c r="H738" i="1"/>
  <c r="I738" i="1"/>
  <c r="A739" i="1"/>
  <c r="B739" i="1"/>
  <c r="C739" i="1"/>
  <c r="D739" i="1"/>
  <c r="E739" i="1"/>
  <c r="F739" i="1"/>
  <c r="G739" i="1"/>
  <c r="H739" i="1"/>
  <c r="I739" i="1"/>
  <c r="A740" i="1"/>
  <c r="B740" i="1"/>
  <c r="C740" i="1"/>
  <c r="D740" i="1"/>
  <c r="E740" i="1"/>
  <c r="F740" i="1"/>
  <c r="G740" i="1"/>
  <c r="H740" i="1"/>
  <c r="I740" i="1"/>
  <c r="A741" i="1"/>
  <c r="B741" i="1"/>
  <c r="C741" i="1"/>
  <c r="D741" i="1"/>
  <c r="E741" i="1"/>
  <c r="F741" i="1"/>
  <c r="G741" i="1"/>
  <c r="H741" i="1"/>
  <c r="I741" i="1"/>
  <c r="A742" i="1"/>
  <c r="B742" i="1"/>
  <c r="C742" i="1"/>
  <c r="D742" i="1"/>
  <c r="E742" i="1"/>
  <c r="F742" i="1"/>
  <c r="G742" i="1"/>
  <c r="H742" i="1"/>
  <c r="I742" i="1"/>
  <c r="A743" i="1"/>
  <c r="B743" i="1"/>
  <c r="C743" i="1"/>
  <c r="D743" i="1"/>
  <c r="E743" i="1"/>
  <c r="F743" i="1"/>
  <c r="G743" i="1"/>
  <c r="H743" i="1"/>
  <c r="I743" i="1"/>
  <c r="A744" i="1"/>
  <c r="B744" i="1"/>
  <c r="C744" i="1"/>
  <c r="D744" i="1"/>
  <c r="E744" i="1"/>
  <c r="F744" i="1"/>
  <c r="G744" i="1"/>
  <c r="H744" i="1"/>
  <c r="I744" i="1"/>
  <c r="A745" i="1"/>
  <c r="B745" i="1"/>
  <c r="C745" i="1"/>
  <c r="D745" i="1"/>
  <c r="E745" i="1"/>
  <c r="F745" i="1"/>
  <c r="G745" i="1"/>
  <c r="H745" i="1"/>
  <c r="I745" i="1"/>
  <c r="A746" i="1"/>
  <c r="B746" i="1"/>
  <c r="C746" i="1"/>
  <c r="D746" i="1"/>
  <c r="E746" i="1"/>
  <c r="F746" i="1"/>
  <c r="G746" i="1"/>
  <c r="H746" i="1"/>
  <c r="I746" i="1"/>
  <c r="A747" i="1"/>
  <c r="B747" i="1"/>
  <c r="C747" i="1"/>
  <c r="D747" i="1"/>
  <c r="E747" i="1"/>
  <c r="F747" i="1"/>
  <c r="G747" i="1"/>
  <c r="H747" i="1"/>
  <c r="I747" i="1"/>
  <c r="A748" i="1"/>
  <c r="B748" i="1"/>
  <c r="C748" i="1"/>
  <c r="D748" i="1"/>
  <c r="E748" i="1"/>
  <c r="F748" i="1"/>
  <c r="G748" i="1"/>
  <c r="H748" i="1"/>
  <c r="I748" i="1"/>
  <c r="A749" i="1"/>
  <c r="B749" i="1"/>
  <c r="C749" i="1"/>
  <c r="D749" i="1"/>
  <c r="E749" i="1"/>
  <c r="F749" i="1"/>
  <c r="G749" i="1"/>
  <c r="H749" i="1"/>
  <c r="I749" i="1"/>
  <c r="A750" i="1"/>
  <c r="B750" i="1"/>
  <c r="C750" i="1"/>
  <c r="D750" i="1"/>
  <c r="E750" i="1"/>
  <c r="F750" i="1"/>
  <c r="G750" i="1"/>
  <c r="H750" i="1"/>
  <c r="I750" i="1"/>
  <c r="A751" i="1"/>
  <c r="B751" i="1"/>
  <c r="C751" i="1"/>
  <c r="D751" i="1"/>
  <c r="E751" i="1"/>
  <c r="F751" i="1"/>
  <c r="G751" i="1"/>
  <c r="H751" i="1"/>
  <c r="I751" i="1"/>
  <c r="A752" i="1"/>
  <c r="B752" i="1"/>
  <c r="C752" i="1"/>
  <c r="D752" i="1"/>
  <c r="E752" i="1"/>
  <c r="F752" i="1"/>
  <c r="G752" i="1"/>
  <c r="H752" i="1"/>
  <c r="I752" i="1"/>
  <c r="A753" i="1"/>
  <c r="B753" i="1"/>
  <c r="C753" i="1"/>
  <c r="D753" i="1"/>
  <c r="E753" i="1"/>
  <c r="F753" i="1"/>
  <c r="G753" i="1"/>
  <c r="H753" i="1"/>
  <c r="I753" i="1"/>
  <c r="A754" i="1"/>
  <c r="B754" i="1"/>
  <c r="C754" i="1"/>
  <c r="D754" i="1"/>
  <c r="E754" i="1"/>
  <c r="F754" i="1"/>
  <c r="G754" i="1"/>
  <c r="H754" i="1"/>
  <c r="I754" i="1"/>
  <c r="A755" i="1"/>
  <c r="B755" i="1"/>
  <c r="C755" i="1"/>
  <c r="D755" i="1"/>
  <c r="E755" i="1"/>
  <c r="F755" i="1"/>
  <c r="G755" i="1"/>
  <c r="H755" i="1"/>
  <c r="I755" i="1"/>
  <c r="A756" i="1"/>
  <c r="B756" i="1"/>
  <c r="C756" i="1"/>
  <c r="D756" i="1"/>
  <c r="E756" i="1"/>
  <c r="F756" i="1"/>
  <c r="G756" i="1"/>
  <c r="H756" i="1"/>
  <c r="I756" i="1"/>
  <c r="A757" i="1"/>
  <c r="B757" i="1"/>
  <c r="C757" i="1"/>
  <c r="D757" i="1"/>
  <c r="E757" i="1"/>
  <c r="F757" i="1"/>
  <c r="G757" i="1"/>
  <c r="H757" i="1"/>
  <c r="I757" i="1"/>
  <c r="A758" i="1"/>
  <c r="B758" i="1"/>
  <c r="C758" i="1"/>
  <c r="D758" i="1"/>
  <c r="E758" i="1"/>
  <c r="F758" i="1"/>
  <c r="G758" i="1"/>
  <c r="H758" i="1"/>
  <c r="I758" i="1"/>
  <c r="A759" i="1"/>
  <c r="B759" i="1"/>
  <c r="C759" i="1"/>
  <c r="D759" i="1"/>
  <c r="E759" i="1"/>
  <c r="F759" i="1"/>
  <c r="G759" i="1"/>
  <c r="H759" i="1"/>
  <c r="I759" i="1"/>
  <c r="A760" i="1"/>
  <c r="B760" i="1"/>
  <c r="C760" i="1"/>
  <c r="D760" i="1"/>
  <c r="E760" i="1"/>
  <c r="F760" i="1"/>
  <c r="G760" i="1"/>
  <c r="H760" i="1"/>
  <c r="I760" i="1"/>
  <c r="A761" i="1"/>
  <c r="B761" i="1"/>
  <c r="C761" i="1"/>
  <c r="D761" i="1"/>
  <c r="E761" i="1"/>
  <c r="F761" i="1"/>
  <c r="G761" i="1"/>
  <c r="H761" i="1"/>
  <c r="I761" i="1"/>
  <c r="A762" i="1"/>
  <c r="B762" i="1"/>
  <c r="C762" i="1"/>
  <c r="D762" i="1"/>
  <c r="E762" i="1"/>
  <c r="F762" i="1"/>
  <c r="G762" i="1"/>
  <c r="H762" i="1"/>
  <c r="I762" i="1"/>
  <c r="A763" i="1"/>
  <c r="B763" i="1"/>
  <c r="C763" i="1"/>
  <c r="D763" i="1"/>
  <c r="E763" i="1"/>
  <c r="F763" i="1"/>
  <c r="G763" i="1"/>
  <c r="H763" i="1"/>
  <c r="I763" i="1"/>
  <c r="A764" i="1"/>
  <c r="B764" i="1"/>
  <c r="C764" i="1"/>
  <c r="D764" i="1"/>
  <c r="E764" i="1"/>
  <c r="F764" i="1"/>
  <c r="G764" i="1"/>
  <c r="H764" i="1"/>
  <c r="I764" i="1"/>
  <c r="A765" i="1"/>
  <c r="B765" i="1"/>
  <c r="C765" i="1"/>
  <c r="D765" i="1"/>
  <c r="E765" i="1"/>
  <c r="F765" i="1"/>
  <c r="G765" i="1"/>
  <c r="H765" i="1"/>
  <c r="I765" i="1"/>
  <c r="A766" i="1"/>
  <c r="B766" i="1"/>
  <c r="C766" i="1"/>
  <c r="D766" i="1"/>
  <c r="E766" i="1"/>
  <c r="F766" i="1"/>
  <c r="G766" i="1"/>
  <c r="H766" i="1"/>
  <c r="I766" i="1"/>
  <c r="A767" i="1"/>
  <c r="B767" i="1"/>
  <c r="C767" i="1"/>
  <c r="D767" i="1"/>
  <c r="E767" i="1"/>
  <c r="F767" i="1"/>
  <c r="G767" i="1"/>
  <c r="H767" i="1"/>
  <c r="I767" i="1"/>
  <c r="A768" i="1"/>
  <c r="B768" i="1"/>
  <c r="C768" i="1"/>
  <c r="D768" i="1"/>
  <c r="E768" i="1"/>
  <c r="F768" i="1"/>
  <c r="G768" i="1"/>
  <c r="H768" i="1"/>
  <c r="I768" i="1"/>
  <c r="A769" i="1"/>
  <c r="B769" i="1"/>
  <c r="C769" i="1"/>
  <c r="D769" i="1"/>
  <c r="E769" i="1"/>
  <c r="F769" i="1"/>
  <c r="G769" i="1"/>
  <c r="H769" i="1"/>
  <c r="I769" i="1"/>
  <c r="A770" i="1"/>
  <c r="B770" i="1"/>
  <c r="C770" i="1"/>
  <c r="D770" i="1"/>
  <c r="E770" i="1"/>
  <c r="F770" i="1"/>
  <c r="G770" i="1"/>
  <c r="H770" i="1"/>
  <c r="I770" i="1"/>
  <c r="A771" i="1"/>
  <c r="B771" i="1"/>
  <c r="C771" i="1"/>
  <c r="D771" i="1"/>
  <c r="E771" i="1"/>
  <c r="F771" i="1"/>
  <c r="G771" i="1"/>
  <c r="H771" i="1"/>
  <c r="I771" i="1"/>
  <c r="A772" i="1"/>
  <c r="B772" i="1"/>
  <c r="C772" i="1"/>
  <c r="D772" i="1"/>
  <c r="E772" i="1"/>
  <c r="F772" i="1"/>
  <c r="G772" i="1"/>
  <c r="H772" i="1"/>
  <c r="I772" i="1"/>
  <c r="A773" i="1"/>
  <c r="B773" i="1"/>
  <c r="C773" i="1"/>
  <c r="D773" i="1"/>
  <c r="E773" i="1"/>
  <c r="F773" i="1"/>
  <c r="G773" i="1"/>
  <c r="H773" i="1"/>
  <c r="I773" i="1"/>
  <c r="A774" i="1"/>
  <c r="B774" i="1"/>
  <c r="C774" i="1"/>
  <c r="D774" i="1"/>
  <c r="E774" i="1"/>
  <c r="F774" i="1"/>
  <c r="G774" i="1"/>
  <c r="H774" i="1"/>
  <c r="I774" i="1"/>
  <c r="A775" i="1"/>
  <c r="B775" i="1"/>
  <c r="C775" i="1"/>
  <c r="D775" i="1"/>
  <c r="E775" i="1"/>
  <c r="F775" i="1"/>
  <c r="G775" i="1"/>
  <c r="H775" i="1"/>
  <c r="I775" i="1"/>
  <c r="A776" i="1"/>
  <c r="B776" i="1"/>
  <c r="C776" i="1"/>
  <c r="D776" i="1"/>
  <c r="E776" i="1"/>
  <c r="F776" i="1"/>
  <c r="G776" i="1"/>
  <c r="H776" i="1"/>
  <c r="I776" i="1"/>
  <c r="A777" i="1"/>
  <c r="B777" i="1"/>
  <c r="C777" i="1"/>
  <c r="D777" i="1"/>
  <c r="E777" i="1"/>
  <c r="F777" i="1"/>
  <c r="G777" i="1"/>
  <c r="H777" i="1"/>
  <c r="I777" i="1"/>
  <c r="A778" i="1"/>
  <c r="B778" i="1"/>
  <c r="C778" i="1"/>
  <c r="D778" i="1"/>
  <c r="E778" i="1"/>
  <c r="F778" i="1"/>
  <c r="G778" i="1"/>
  <c r="H778" i="1"/>
  <c r="I778" i="1"/>
  <c r="A779" i="1"/>
  <c r="B779" i="1"/>
  <c r="C779" i="1"/>
  <c r="D779" i="1"/>
  <c r="E779" i="1"/>
  <c r="F779" i="1"/>
  <c r="G779" i="1"/>
  <c r="H779" i="1"/>
  <c r="I779" i="1"/>
  <c r="A780" i="1"/>
  <c r="B780" i="1"/>
  <c r="C780" i="1"/>
  <c r="D780" i="1"/>
  <c r="E780" i="1"/>
  <c r="F780" i="1"/>
  <c r="G780" i="1"/>
  <c r="H780" i="1"/>
  <c r="I780" i="1"/>
  <c r="A781" i="1"/>
  <c r="B781" i="1"/>
  <c r="C781" i="1"/>
  <c r="D781" i="1"/>
  <c r="E781" i="1"/>
  <c r="F781" i="1"/>
  <c r="G781" i="1"/>
  <c r="H781" i="1"/>
  <c r="I781" i="1"/>
  <c r="A782" i="1"/>
  <c r="B782" i="1"/>
  <c r="C782" i="1"/>
  <c r="D782" i="1"/>
  <c r="E782" i="1"/>
  <c r="F782" i="1"/>
  <c r="G782" i="1"/>
  <c r="H782" i="1"/>
  <c r="I782" i="1"/>
  <c r="A783" i="1"/>
  <c r="B783" i="1"/>
  <c r="C783" i="1"/>
  <c r="D783" i="1"/>
  <c r="E783" i="1"/>
  <c r="F783" i="1"/>
  <c r="G783" i="1"/>
  <c r="H783" i="1"/>
  <c r="I783" i="1"/>
  <c r="A784" i="1"/>
  <c r="B784" i="1"/>
  <c r="C784" i="1"/>
  <c r="D784" i="1"/>
  <c r="E784" i="1"/>
  <c r="F784" i="1"/>
  <c r="G784" i="1"/>
  <c r="H784" i="1"/>
  <c r="I784" i="1"/>
  <c r="A785" i="1"/>
  <c r="B785" i="1"/>
  <c r="C785" i="1"/>
  <c r="D785" i="1"/>
  <c r="E785" i="1"/>
  <c r="F785" i="1"/>
  <c r="G785" i="1"/>
  <c r="H785" i="1"/>
  <c r="I785" i="1"/>
  <c r="A786" i="1"/>
  <c r="B786" i="1"/>
  <c r="C786" i="1"/>
  <c r="D786" i="1"/>
  <c r="E786" i="1"/>
  <c r="F786" i="1"/>
  <c r="G786" i="1"/>
  <c r="H786" i="1"/>
  <c r="I786" i="1"/>
  <c r="A787" i="1"/>
  <c r="B787" i="1"/>
  <c r="C787" i="1"/>
  <c r="D787" i="1"/>
  <c r="E787" i="1"/>
  <c r="F787" i="1"/>
  <c r="G787" i="1"/>
  <c r="H787" i="1"/>
  <c r="I787" i="1"/>
  <c r="A788" i="1"/>
  <c r="B788" i="1"/>
  <c r="C788" i="1"/>
  <c r="D788" i="1"/>
  <c r="E788" i="1"/>
  <c r="F788" i="1"/>
  <c r="G788" i="1"/>
  <c r="H788" i="1"/>
  <c r="I788" i="1"/>
  <c r="A789" i="1"/>
  <c r="B789" i="1"/>
  <c r="C789" i="1"/>
  <c r="D789" i="1"/>
  <c r="E789" i="1"/>
  <c r="F789" i="1"/>
  <c r="G789" i="1"/>
  <c r="H789" i="1"/>
  <c r="I789" i="1"/>
  <c r="A790" i="1"/>
  <c r="B790" i="1"/>
  <c r="C790" i="1"/>
  <c r="D790" i="1"/>
  <c r="E790" i="1"/>
  <c r="F790" i="1"/>
  <c r="G790" i="1"/>
  <c r="H790" i="1"/>
  <c r="I790" i="1"/>
  <c r="A791" i="1"/>
  <c r="B791" i="1"/>
  <c r="C791" i="1"/>
  <c r="D791" i="1"/>
  <c r="E791" i="1"/>
  <c r="F791" i="1"/>
  <c r="G791" i="1"/>
  <c r="H791" i="1"/>
  <c r="I791" i="1"/>
  <c r="A792" i="1"/>
  <c r="B792" i="1"/>
  <c r="C792" i="1"/>
  <c r="D792" i="1"/>
  <c r="E792" i="1"/>
  <c r="F792" i="1"/>
  <c r="G792" i="1"/>
  <c r="H792" i="1"/>
  <c r="I792" i="1"/>
  <c r="A793" i="1"/>
  <c r="B793" i="1"/>
  <c r="C793" i="1"/>
  <c r="D793" i="1"/>
  <c r="E793" i="1"/>
  <c r="F793" i="1"/>
  <c r="G793" i="1"/>
  <c r="H793" i="1"/>
  <c r="I793" i="1"/>
  <c r="A794" i="1"/>
  <c r="B794" i="1"/>
  <c r="C794" i="1"/>
  <c r="D794" i="1"/>
  <c r="E794" i="1"/>
  <c r="F794" i="1"/>
  <c r="G794" i="1"/>
  <c r="H794" i="1"/>
  <c r="I794" i="1"/>
  <c r="A795" i="1"/>
  <c r="B795" i="1"/>
  <c r="C795" i="1"/>
  <c r="D795" i="1"/>
  <c r="E795" i="1"/>
  <c r="F795" i="1"/>
  <c r="G795" i="1"/>
  <c r="H795" i="1"/>
  <c r="I795" i="1"/>
  <c r="A796" i="1"/>
  <c r="B796" i="1"/>
  <c r="C796" i="1"/>
  <c r="D796" i="1"/>
  <c r="E796" i="1"/>
  <c r="F796" i="1"/>
  <c r="G796" i="1"/>
  <c r="H796" i="1"/>
  <c r="I796" i="1"/>
  <c r="A797" i="1"/>
  <c r="B797" i="1"/>
  <c r="C797" i="1"/>
  <c r="D797" i="1"/>
  <c r="E797" i="1"/>
  <c r="F797" i="1"/>
  <c r="G797" i="1"/>
  <c r="H797" i="1"/>
  <c r="I797" i="1"/>
  <c r="A798" i="1"/>
  <c r="B798" i="1"/>
  <c r="C798" i="1"/>
  <c r="D798" i="1"/>
  <c r="E798" i="1"/>
  <c r="F798" i="1"/>
  <c r="G798" i="1"/>
  <c r="H798" i="1"/>
  <c r="I798" i="1"/>
  <c r="A799" i="1"/>
  <c r="B799" i="1"/>
  <c r="C799" i="1"/>
  <c r="D799" i="1"/>
  <c r="E799" i="1"/>
  <c r="F799" i="1"/>
  <c r="G799" i="1"/>
  <c r="H799" i="1"/>
  <c r="I799" i="1"/>
  <c r="A800" i="1"/>
  <c r="B800" i="1"/>
  <c r="C800" i="1"/>
  <c r="D800" i="1"/>
  <c r="E800" i="1"/>
  <c r="F800" i="1"/>
  <c r="G800" i="1"/>
  <c r="H800" i="1"/>
  <c r="I800" i="1"/>
  <c r="A801" i="1"/>
  <c r="B801" i="1"/>
  <c r="C801" i="1"/>
  <c r="D801" i="1"/>
  <c r="E801" i="1"/>
  <c r="F801" i="1"/>
  <c r="G801" i="1"/>
  <c r="H801" i="1"/>
  <c r="I801" i="1"/>
  <c r="A802" i="1"/>
  <c r="B802" i="1"/>
  <c r="C802" i="1"/>
  <c r="D802" i="1"/>
  <c r="E802" i="1"/>
  <c r="F802" i="1"/>
  <c r="G802" i="1"/>
  <c r="H802" i="1"/>
  <c r="I802" i="1"/>
  <c r="A803" i="1"/>
  <c r="B803" i="1"/>
  <c r="C803" i="1"/>
  <c r="D803" i="1"/>
  <c r="E803" i="1"/>
  <c r="F803" i="1"/>
  <c r="G803" i="1"/>
  <c r="H803" i="1"/>
  <c r="I803" i="1"/>
  <c r="A804" i="1"/>
  <c r="B804" i="1"/>
  <c r="C804" i="1"/>
  <c r="D804" i="1"/>
  <c r="E804" i="1"/>
  <c r="F804" i="1"/>
  <c r="G804" i="1"/>
  <c r="H804" i="1"/>
  <c r="I804" i="1"/>
  <c r="A805" i="1"/>
  <c r="B805" i="1"/>
  <c r="C805" i="1"/>
  <c r="D805" i="1"/>
  <c r="E805" i="1"/>
  <c r="F805" i="1"/>
  <c r="G805" i="1"/>
  <c r="H805" i="1"/>
  <c r="I805" i="1"/>
  <c r="A806" i="1"/>
  <c r="B806" i="1"/>
  <c r="C806" i="1"/>
  <c r="D806" i="1"/>
  <c r="E806" i="1"/>
  <c r="F806" i="1"/>
  <c r="G806" i="1"/>
  <c r="H806" i="1"/>
  <c r="I806" i="1"/>
  <c r="A807" i="1"/>
  <c r="B807" i="1"/>
  <c r="C807" i="1"/>
  <c r="D807" i="1"/>
  <c r="E807" i="1"/>
  <c r="F807" i="1"/>
  <c r="G807" i="1"/>
  <c r="H807" i="1"/>
  <c r="I807" i="1"/>
  <c r="A808" i="1"/>
  <c r="B808" i="1"/>
  <c r="C808" i="1"/>
  <c r="D808" i="1"/>
  <c r="E808" i="1"/>
  <c r="F808" i="1"/>
  <c r="G808" i="1"/>
  <c r="H808" i="1"/>
  <c r="I808" i="1"/>
  <c r="A809" i="1"/>
  <c r="B809" i="1"/>
  <c r="C809" i="1"/>
  <c r="D809" i="1"/>
  <c r="E809" i="1"/>
  <c r="F809" i="1"/>
  <c r="G809" i="1"/>
  <c r="H809" i="1"/>
  <c r="I809" i="1"/>
  <c r="A810" i="1"/>
  <c r="B810" i="1"/>
  <c r="C810" i="1"/>
  <c r="D810" i="1"/>
  <c r="E810" i="1"/>
  <c r="F810" i="1"/>
  <c r="G810" i="1"/>
  <c r="H810" i="1"/>
  <c r="I810" i="1"/>
  <c r="A811" i="1"/>
  <c r="B811" i="1"/>
  <c r="C811" i="1"/>
  <c r="D811" i="1"/>
  <c r="E811" i="1"/>
  <c r="F811" i="1"/>
  <c r="G811" i="1"/>
  <c r="H811" i="1"/>
  <c r="I811" i="1"/>
  <c r="A812" i="1"/>
  <c r="B812" i="1"/>
  <c r="C812" i="1"/>
  <c r="D812" i="1"/>
  <c r="E812" i="1"/>
  <c r="F812" i="1"/>
  <c r="G812" i="1"/>
  <c r="H812" i="1"/>
  <c r="I812" i="1"/>
  <c r="A813" i="1"/>
  <c r="B813" i="1"/>
  <c r="C813" i="1"/>
  <c r="D813" i="1"/>
  <c r="E813" i="1"/>
  <c r="F813" i="1"/>
  <c r="G813" i="1"/>
  <c r="H813" i="1"/>
  <c r="I813" i="1"/>
  <c r="A814" i="1"/>
  <c r="B814" i="1"/>
  <c r="C814" i="1"/>
  <c r="D814" i="1"/>
  <c r="E814" i="1"/>
  <c r="F814" i="1"/>
  <c r="G814" i="1"/>
  <c r="H814" i="1"/>
  <c r="I814" i="1"/>
  <c r="A815" i="1"/>
  <c r="B815" i="1"/>
  <c r="C815" i="1"/>
  <c r="D815" i="1"/>
  <c r="E815" i="1"/>
  <c r="F815" i="1"/>
  <c r="G815" i="1"/>
  <c r="H815" i="1"/>
  <c r="I815" i="1"/>
  <c r="A816" i="1"/>
  <c r="B816" i="1"/>
  <c r="C816" i="1"/>
  <c r="D816" i="1"/>
  <c r="E816" i="1"/>
  <c r="F816" i="1"/>
  <c r="G816" i="1"/>
  <c r="H816" i="1"/>
  <c r="I816" i="1"/>
  <c r="A817" i="1"/>
  <c r="B817" i="1"/>
  <c r="C817" i="1"/>
  <c r="D817" i="1"/>
  <c r="E817" i="1"/>
  <c r="F817" i="1"/>
  <c r="G817" i="1"/>
  <c r="H817" i="1"/>
  <c r="I817" i="1"/>
  <c r="A818" i="1"/>
  <c r="B818" i="1"/>
  <c r="C818" i="1"/>
  <c r="D818" i="1"/>
  <c r="E818" i="1"/>
  <c r="F818" i="1"/>
  <c r="G818" i="1"/>
  <c r="H818" i="1"/>
  <c r="I818" i="1"/>
  <c r="A819" i="1"/>
  <c r="B819" i="1"/>
  <c r="C819" i="1"/>
  <c r="D819" i="1"/>
  <c r="E819" i="1"/>
  <c r="F819" i="1"/>
  <c r="G819" i="1"/>
  <c r="H819" i="1"/>
  <c r="I819" i="1"/>
  <c r="A820" i="1"/>
  <c r="B820" i="1"/>
  <c r="C820" i="1"/>
  <c r="D820" i="1"/>
  <c r="E820" i="1"/>
  <c r="F820" i="1"/>
  <c r="G820" i="1"/>
  <c r="H820" i="1"/>
  <c r="I820" i="1"/>
  <c r="A821" i="1"/>
  <c r="B821" i="1"/>
  <c r="C821" i="1"/>
  <c r="D821" i="1"/>
  <c r="E821" i="1"/>
  <c r="F821" i="1"/>
  <c r="G821" i="1"/>
  <c r="H821" i="1"/>
  <c r="I821" i="1"/>
  <c r="A822" i="1"/>
  <c r="B822" i="1"/>
  <c r="C822" i="1"/>
  <c r="D822" i="1"/>
  <c r="E822" i="1"/>
  <c r="F822" i="1"/>
  <c r="G822" i="1"/>
  <c r="H822" i="1"/>
  <c r="I822" i="1"/>
  <c r="A823" i="1"/>
  <c r="B823" i="1"/>
  <c r="C823" i="1"/>
  <c r="D823" i="1"/>
  <c r="E823" i="1"/>
  <c r="F823" i="1"/>
  <c r="G823" i="1"/>
  <c r="H823" i="1"/>
  <c r="I823" i="1"/>
  <c r="A824" i="1"/>
  <c r="B824" i="1"/>
  <c r="C824" i="1"/>
  <c r="D824" i="1"/>
  <c r="E824" i="1"/>
  <c r="F824" i="1"/>
  <c r="G824" i="1"/>
  <c r="H824" i="1"/>
  <c r="I824" i="1"/>
  <c r="A825" i="1"/>
  <c r="B825" i="1"/>
  <c r="C825" i="1"/>
  <c r="D825" i="1"/>
  <c r="E825" i="1"/>
  <c r="F825" i="1"/>
  <c r="G825" i="1"/>
  <c r="H825" i="1"/>
  <c r="I825" i="1"/>
  <c r="A826" i="1"/>
  <c r="B826" i="1"/>
  <c r="C826" i="1"/>
  <c r="D826" i="1"/>
  <c r="E826" i="1"/>
  <c r="F826" i="1"/>
  <c r="G826" i="1"/>
  <c r="H826" i="1"/>
  <c r="I826" i="1"/>
  <c r="A827" i="1"/>
  <c r="B827" i="1"/>
  <c r="C827" i="1"/>
  <c r="D827" i="1"/>
  <c r="E827" i="1"/>
  <c r="F827" i="1"/>
  <c r="G827" i="1"/>
  <c r="H827" i="1"/>
  <c r="I827" i="1"/>
  <c r="A828" i="1"/>
  <c r="B828" i="1"/>
  <c r="C828" i="1"/>
  <c r="D828" i="1"/>
  <c r="E828" i="1"/>
  <c r="F828" i="1"/>
  <c r="G828" i="1"/>
  <c r="H828" i="1"/>
  <c r="I828" i="1"/>
  <c r="A829" i="1"/>
  <c r="B829" i="1"/>
  <c r="C829" i="1"/>
  <c r="D829" i="1"/>
  <c r="E829" i="1"/>
  <c r="F829" i="1"/>
  <c r="G829" i="1"/>
  <c r="H829" i="1"/>
  <c r="I829" i="1"/>
  <c r="A830" i="1"/>
  <c r="B830" i="1"/>
  <c r="C830" i="1"/>
  <c r="D830" i="1"/>
  <c r="E830" i="1"/>
  <c r="F830" i="1"/>
  <c r="G830" i="1"/>
  <c r="H830" i="1"/>
  <c r="I830" i="1"/>
  <c r="A831" i="1"/>
  <c r="B831" i="1"/>
  <c r="C831" i="1"/>
  <c r="D831" i="1"/>
  <c r="E831" i="1"/>
  <c r="F831" i="1"/>
  <c r="G831" i="1"/>
  <c r="H831" i="1"/>
  <c r="I831" i="1"/>
  <c r="A832" i="1"/>
  <c r="B832" i="1"/>
  <c r="C832" i="1"/>
  <c r="D832" i="1"/>
  <c r="E832" i="1"/>
  <c r="F832" i="1"/>
  <c r="G832" i="1"/>
  <c r="H832" i="1"/>
  <c r="I832" i="1"/>
  <c r="A833" i="1"/>
  <c r="B833" i="1"/>
  <c r="C833" i="1"/>
  <c r="D833" i="1"/>
  <c r="E833" i="1"/>
  <c r="F833" i="1"/>
  <c r="G833" i="1"/>
  <c r="H833" i="1"/>
  <c r="I833" i="1"/>
  <c r="A834" i="1"/>
  <c r="B834" i="1"/>
  <c r="C834" i="1"/>
  <c r="D834" i="1"/>
  <c r="E834" i="1"/>
  <c r="F834" i="1"/>
  <c r="G834" i="1"/>
  <c r="H834" i="1"/>
  <c r="I834" i="1"/>
  <c r="A835" i="1"/>
  <c r="B835" i="1"/>
  <c r="C835" i="1"/>
  <c r="D835" i="1"/>
  <c r="E835" i="1"/>
  <c r="F835" i="1"/>
  <c r="G835" i="1"/>
  <c r="H835" i="1"/>
  <c r="I835" i="1"/>
  <c r="A836" i="1"/>
  <c r="B836" i="1"/>
  <c r="C836" i="1"/>
  <c r="D836" i="1"/>
  <c r="E836" i="1"/>
  <c r="F836" i="1"/>
  <c r="G836" i="1"/>
  <c r="H836" i="1"/>
  <c r="I836" i="1"/>
  <c r="A837" i="1"/>
  <c r="B837" i="1"/>
  <c r="C837" i="1"/>
  <c r="D837" i="1"/>
  <c r="E837" i="1"/>
  <c r="F837" i="1"/>
  <c r="G837" i="1"/>
  <c r="H837" i="1"/>
  <c r="I837" i="1"/>
  <c r="A838" i="1"/>
  <c r="B838" i="1"/>
  <c r="C838" i="1"/>
  <c r="D838" i="1"/>
  <c r="E838" i="1"/>
  <c r="F838" i="1"/>
  <c r="G838" i="1"/>
  <c r="H838" i="1"/>
  <c r="I838" i="1"/>
  <c r="A839" i="1"/>
  <c r="B839" i="1"/>
  <c r="C839" i="1"/>
  <c r="D839" i="1"/>
  <c r="E839" i="1"/>
  <c r="F839" i="1"/>
  <c r="G839" i="1"/>
  <c r="H839" i="1"/>
  <c r="I839" i="1"/>
  <c r="A840" i="1"/>
  <c r="B840" i="1"/>
  <c r="C840" i="1"/>
  <c r="D840" i="1"/>
  <c r="E840" i="1"/>
  <c r="F840" i="1"/>
  <c r="G840" i="1"/>
  <c r="H840" i="1"/>
  <c r="I840" i="1"/>
  <c r="A841" i="1"/>
  <c r="B841" i="1"/>
  <c r="C841" i="1"/>
  <c r="D841" i="1"/>
  <c r="E841" i="1"/>
  <c r="F841" i="1"/>
  <c r="G841" i="1"/>
  <c r="H841" i="1"/>
  <c r="I841" i="1"/>
  <c r="A842" i="1"/>
  <c r="B842" i="1"/>
  <c r="C842" i="1"/>
  <c r="D842" i="1"/>
  <c r="E842" i="1"/>
  <c r="F842" i="1"/>
  <c r="G842" i="1"/>
  <c r="H842" i="1"/>
  <c r="I842" i="1"/>
  <c r="A843" i="1"/>
  <c r="B843" i="1"/>
  <c r="C843" i="1"/>
  <c r="D843" i="1"/>
  <c r="E843" i="1"/>
  <c r="F843" i="1"/>
  <c r="G843" i="1"/>
  <c r="H843" i="1"/>
  <c r="I843" i="1"/>
  <c r="A844" i="1"/>
  <c r="B844" i="1"/>
  <c r="C844" i="1"/>
  <c r="D844" i="1"/>
  <c r="E844" i="1"/>
  <c r="F844" i="1"/>
  <c r="G844" i="1"/>
  <c r="H844" i="1"/>
  <c r="I844" i="1"/>
  <c r="A845" i="1"/>
  <c r="B845" i="1"/>
  <c r="C845" i="1"/>
  <c r="D845" i="1"/>
  <c r="E845" i="1"/>
  <c r="F845" i="1"/>
  <c r="G845" i="1"/>
  <c r="H845" i="1"/>
  <c r="I845" i="1"/>
  <c r="A846" i="1"/>
  <c r="B846" i="1"/>
  <c r="C846" i="1"/>
  <c r="D846" i="1"/>
  <c r="E846" i="1"/>
  <c r="F846" i="1"/>
  <c r="G846" i="1"/>
  <c r="H846" i="1"/>
  <c r="I846" i="1"/>
  <c r="A847" i="1"/>
  <c r="B847" i="1"/>
  <c r="C847" i="1"/>
  <c r="D847" i="1"/>
  <c r="E847" i="1"/>
  <c r="F847" i="1"/>
  <c r="G847" i="1"/>
  <c r="H847" i="1"/>
  <c r="I847" i="1"/>
  <c r="A848" i="1"/>
  <c r="B848" i="1"/>
  <c r="C848" i="1"/>
  <c r="D848" i="1"/>
  <c r="E848" i="1"/>
  <c r="F848" i="1"/>
  <c r="G848" i="1"/>
  <c r="H848" i="1"/>
  <c r="I848" i="1"/>
  <c r="A849" i="1"/>
  <c r="B849" i="1"/>
  <c r="C849" i="1"/>
  <c r="D849" i="1"/>
  <c r="E849" i="1"/>
  <c r="F849" i="1"/>
  <c r="G849" i="1"/>
  <c r="H849" i="1"/>
  <c r="I849" i="1"/>
  <c r="A850" i="1"/>
  <c r="B850" i="1"/>
  <c r="C850" i="1"/>
  <c r="D850" i="1"/>
  <c r="E850" i="1"/>
  <c r="F850" i="1"/>
  <c r="G850" i="1"/>
  <c r="H850" i="1"/>
  <c r="I850" i="1"/>
  <c r="A851" i="1"/>
  <c r="B851" i="1"/>
  <c r="C851" i="1"/>
  <c r="D851" i="1"/>
  <c r="E851" i="1"/>
  <c r="F851" i="1"/>
  <c r="G851" i="1"/>
  <c r="H851" i="1"/>
  <c r="I851" i="1"/>
  <c r="A852" i="1"/>
  <c r="B852" i="1"/>
  <c r="C852" i="1"/>
  <c r="D852" i="1"/>
  <c r="E852" i="1"/>
  <c r="F852" i="1"/>
  <c r="G852" i="1"/>
  <c r="H852" i="1"/>
  <c r="I852" i="1"/>
  <c r="A853" i="1"/>
  <c r="B853" i="1"/>
  <c r="C853" i="1"/>
  <c r="D853" i="1"/>
  <c r="E853" i="1"/>
  <c r="F853" i="1"/>
  <c r="G853" i="1"/>
  <c r="H853" i="1"/>
  <c r="I853" i="1"/>
  <c r="A854" i="1"/>
  <c r="B854" i="1"/>
  <c r="C854" i="1"/>
  <c r="D854" i="1"/>
  <c r="E854" i="1"/>
  <c r="F854" i="1"/>
  <c r="G854" i="1"/>
  <c r="H854" i="1"/>
  <c r="I854" i="1"/>
  <c r="A855" i="1"/>
  <c r="B855" i="1"/>
  <c r="C855" i="1"/>
  <c r="D855" i="1"/>
  <c r="E855" i="1"/>
  <c r="F855" i="1"/>
  <c r="G855" i="1"/>
  <c r="H855" i="1"/>
  <c r="I855" i="1"/>
  <c r="A856" i="1"/>
  <c r="B856" i="1"/>
  <c r="C856" i="1"/>
  <c r="D856" i="1"/>
  <c r="E856" i="1"/>
  <c r="F856" i="1"/>
  <c r="G856" i="1"/>
  <c r="H856" i="1"/>
  <c r="I856" i="1"/>
  <c r="A857" i="1"/>
  <c r="B857" i="1"/>
  <c r="C857" i="1"/>
  <c r="D857" i="1"/>
  <c r="E857" i="1"/>
  <c r="F857" i="1"/>
  <c r="G857" i="1"/>
  <c r="H857" i="1"/>
  <c r="I857" i="1"/>
  <c r="A858" i="1"/>
  <c r="B858" i="1"/>
  <c r="C858" i="1"/>
  <c r="D858" i="1"/>
  <c r="E858" i="1"/>
  <c r="F858" i="1"/>
  <c r="G858" i="1"/>
  <c r="H858" i="1"/>
  <c r="I858" i="1"/>
  <c r="A859" i="1"/>
  <c r="B859" i="1"/>
  <c r="C859" i="1"/>
  <c r="D859" i="1"/>
  <c r="E859" i="1"/>
  <c r="F859" i="1"/>
  <c r="G859" i="1"/>
  <c r="H859" i="1"/>
  <c r="I859" i="1"/>
  <c r="A860" i="1"/>
  <c r="B860" i="1"/>
  <c r="C860" i="1"/>
  <c r="D860" i="1"/>
  <c r="E860" i="1"/>
  <c r="F860" i="1"/>
  <c r="G860" i="1"/>
  <c r="H860" i="1"/>
  <c r="I860" i="1"/>
  <c r="A861" i="1"/>
  <c r="B861" i="1"/>
  <c r="C861" i="1"/>
  <c r="D861" i="1"/>
  <c r="E861" i="1"/>
  <c r="F861" i="1"/>
  <c r="G861" i="1"/>
  <c r="H861" i="1"/>
  <c r="I861" i="1"/>
  <c r="A862" i="1"/>
  <c r="B862" i="1"/>
  <c r="C862" i="1"/>
  <c r="D862" i="1"/>
  <c r="E862" i="1"/>
  <c r="F862" i="1"/>
  <c r="G862" i="1"/>
  <c r="H862" i="1"/>
  <c r="I862" i="1"/>
  <c r="A863" i="1"/>
  <c r="B863" i="1"/>
  <c r="C863" i="1"/>
  <c r="D863" i="1"/>
  <c r="E863" i="1"/>
  <c r="F863" i="1"/>
  <c r="G863" i="1"/>
  <c r="H863" i="1"/>
  <c r="I863" i="1"/>
  <c r="A864" i="1"/>
  <c r="B864" i="1"/>
  <c r="C864" i="1"/>
  <c r="D864" i="1"/>
  <c r="E864" i="1"/>
  <c r="F864" i="1"/>
  <c r="G864" i="1"/>
  <c r="H864" i="1"/>
  <c r="I864" i="1"/>
  <c r="A865" i="1"/>
  <c r="B865" i="1"/>
  <c r="C865" i="1"/>
  <c r="D865" i="1"/>
  <c r="E865" i="1"/>
  <c r="F865" i="1"/>
  <c r="G865" i="1"/>
  <c r="H865" i="1"/>
  <c r="I865" i="1"/>
  <c r="A866" i="1"/>
  <c r="B866" i="1"/>
  <c r="C866" i="1"/>
  <c r="D866" i="1"/>
  <c r="E866" i="1"/>
  <c r="F866" i="1"/>
  <c r="G866" i="1"/>
  <c r="H866" i="1"/>
  <c r="I866" i="1"/>
  <c r="A867" i="1"/>
  <c r="B867" i="1"/>
  <c r="C867" i="1"/>
  <c r="D867" i="1"/>
  <c r="E867" i="1"/>
  <c r="F867" i="1"/>
  <c r="G867" i="1"/>
  <c r="H867" i="1"/>
  <c r="I867" i="1"/>
  <c r="A868" i="1"/>
  <c r="B868" i="1"/>
  <c r="C868" i="1"/>
  <c r="D868" i="1"/>
  <c r="E868" i="1"/>
  <c r="F868" i="1"/>
  <c r="G868" i="1"/>
  <c r="H868" i="1"/>
  <c r="I868" i="1"/>
  <c r="A869" i="1"/>
  <c r="B869" i="1"/>
  <c r="C869" i="1"/>
  <c r="D869" i="1"/>
  <c r="E869" i="1"/>
  <c r="F869" i="1"/>
  <c r="G869" i="1"/>
  <c r="H869" i="1"/>
  <c r="I869" i="1"/>
  <c r="A870" i="1"/>
  <c r="B870" i="1"/>
  <c r="C870" i="1"/>
  <c r="D870" i="1"/>
  <c r="E870" i="1"/>
  <c r="F870" i="1"/>
  <c r="G870" i="1"/>
  <c r="H870" i="1"/>
  <c r="I870" i="1"/>
  <c r="A871" i="1"/>
  <c r="B871" i="1"/>
  <c r="C871" i="1"/>
  <c r="D871" i="1"/>
  <c r="E871" i="1"/>
  <c r="F871" i="1"/>
  <c r="G871" i="1"/>
  <c r="H871" i="1"/>
  <c r="I871" i="1"/>
  <c r="A872" i="1"/>
  <c r="B872" i="1"/>
  <c r="C872" i="1"/>
  <c r="D872" i="1"/>
  <c r="E872" i="1"/>
  <c r="F872" i="1"/>
  <c r="G872" i="1"/>
  <c r="H872" i="1"/>
  <c r="I872" i="1"/>
  <c r="A873" i="1"/>
  <c r="B873" i="1"/>
  <c r="C873" i="1"/>
  <c r="D873" i="1"/>
  <c r="E873" i="1"/>
  <c r="F873" i="1"/>
  <c r="G873" i="1"/>
  <c r="H873" i="1"/>
  <c r="I873" i="1"/>
  <c r="A874" i="1"/>
  <c r="B874" i="1"/>
  <c r="C874" i="1"/>
  <c r="D874" i="1"/>
  <c r="E874" i="1"/>
  <c r="F874" i="1"/>
  <c r="G874" i="1"/>
  <c r="H874" i="1"/>
  <c r="I874" i="1"/>
  <c r="A875" i="1"/>
  <c r="B875" i="1"/>
  <c r="C875" i="1"/>
  <c r="D875" i="1"/>
  <c r="E875" i="1"/>
  <c r="F875" i="1"/>
  <c r="G875" i="1"/>
  <c r="H875" i="1"/>
  <c r="I875" i="1"/>
  <c r="A876" i="1"/>
  <c r="B876" i="1"/>
  <c r="C876" i="1"/>
  <c r="D876" i="1"/>
  <c r="E876" i="1"/>
  <c r="F876" i="1"/>
  <c r="G876" i="1"/>
  <c r="H876" i="1"/>
  <c r="I876" i="1"/>
  <c r="A877" i="1"/>
  <c r="B877" i="1"/>
  <c r="C877" i="1"/>
  <c r="D877" i="1"/>
  <c r="E877" i="1"/>
  <c r="F877" i="1"/>
  <c r="G877" i="1"/>
  <c r="H877" i="1"/>
  <c r="I877" i="1"/>
  <c r="A878" i="1"/>
  <c r="B878" i="1"/>
  <c r="C878" i="1"/>
  <c r="D878" i="1"/>
  <c r="E878" i="1"/>
  <c r="F878" i="1"/>
  <c r="G878" i="1"/>
  <c r="H878" i="1"/>
  <c r="I878" i="1"/>
  <c r="A879" i="1"/>
  <c r="B879" i="1"/>
  <c r="C879" i="1"/>
  <c r="D879" i="1"/>
  <c r="E879" i="1"/>
  <c r="F879" i="1"/>
  <c r="G879" i="1"/>
  <c r="H879" i="1"/>
  <c r="I879" i="1"/>
  <c r="A880" i="1"/>
  <c r="B880" i="1"/>
  <c r="C880" i="1"/>
  <c r="D880" i="1"/>
  <c r="E880" i="1"/>
  <c r="F880" i="1"/>
  <c r="G880" i="1"/>
  <c r="H880" i="1"/>
  <c r="I880" i="1"/>
  <c r="A881" i="1"/>
  <c r="B881" i="1"/>
  <c r="C881" i="1"/>
  <c r="D881" i="1"/>
  <c r="E881" i="1"/>
  <c r="F881" i="1"/>
  <c r="G881" i="1"/>
  <c r="H881" i="1"/>
  <c r="I881" i="1"/>
  <c r="A882" i="1"/>
  <c r="B882" i="1"/>
  <c r="C882" i="1"/>
  <c r="D882" i="1"/>
  <c r="E882" i="1"/>
  <c r="F882" i="1"/>
  <c r="G882" i="1"/>
  <c r="H882" i="1"/>
  <c r="I882" i="1"/>
  <c r="A883" i="1"/>
  <c r="B883" i="1"/>
  <c r="C883" i="1"/>
  <c r="D883" i="1"/>
  <c r="E883" i="1"/>
  <c r="F883" i="1"/>
  <c r="G883" i="1"/>
  <c r="H883" i="1"/>
  <c r="I883" i="1"/>
  <c r="A884" i="1"/>
  <c r="B884" i="1"/>
  <c r="C884" i="1"/>
  <c r="D884" i="1"/>
  <c r="E884" i="1"/>
  <c r="F884" i="1"/>
  <c r="G884" i="1"/>
  <c r="H884" i="1"/>
  <c r="I884" i="1"/>
  <c r="A885" i="1"/>
  <c r="B885" i="1"/>
  <c r="C885" i="1"/>
  <c r="D885" i="1"/>
  <c r="E885" i="1"/>
  <c r="F885" i="1"/>
  <c r="G885" i="1"/>
  <c r="H885" i="1"/>
  <c r="I885" i="1"/>
  <c r="A886" i="1"/>
  <c r="B886" i="1"/>
  <c r="C886" i="1"/>
  <c r="D886" i="1"/>
  <c r="E886" i="1"/>
  <c r="F886" i="1"/>
  <c r="G886" i="1"/>
  <c r="H886" i="1"/>
  <c r="I886" i="1"/>
  <c r="A887" i="1"/>
  <c r="B887" i="1"/>
  <c r="C887" i="1"/>
  <c r="D887" i="1"/>
  <c r="E887" i="1"/>
  <c r="F887" i="1"/>
  <c r="G887" i="1"/>
  <c r="H887" i="1"/>
  <c r="I887" i="1"/>
  <c r="A888" i="1"/>
  <c r="B888" i="1"/>
  <c r="C888" i="1"/>
  <c r="D888" i="1"/>
  <c r="E888" i="1"/>
  <c r="F888" i="1"/>
  <c r="G888" i="1"/>
  <c r="H888" i="1"/>
  <c r="I888" i="1"/>
  <c r="A889" i="1"/>
  <c r="B889" i="1"/>
  <c r="C889" i="1"/>
  <c r="D889" i="1"/>
  <c r="E889" i="1"/>
  <c r="F889" i="1"/>
  <c r="G889" i="1"/>
  <c r="H889" i="1"/>
  <c r="I889" i="1"/>
  <c r="A890" i="1"/>
  <c r="B890" i="1"/>
  <c r="C890" i="1"/>
  <c r="D890" i="1"/>
  <c r="E890" i="1"/>
  <c r="F890" i="1"/>
  <c r="G890" i="1"/>
  <c r="H890" i="1"/>
  <c r="I890" i="1"/>
  <c r="A891" i="1"/>
  <c r="B891" i="1"/>
  <c r="C891" i="1"/>
  <c r="D891" i="1"/>
  <c r="E891" i="1"/>
  <c r="F891" i="1"/>
  <c r="G891" i="1"/>
  <c r="H891" i="1"/>
  <c r="I891" i="1"/>
  <c r="A892" i="1"/>
  <c r="B892" i="1"/>
  <c r="C892" i="1"/>
  <c r="D892" i="1"/>
  <c r="E892" i="1"/>
  <c r="F892" i="1"/>
  <c r="G892" i="1"/>
  <c r="H892" i="1"/>
  <c r="I892" i="1"/>
  <c r="A893" i="1"/>
  <c r="B893" i="1"/>
  <c r="C893" i="1"/>
  <c r="D893" i="1"/>
  <c r="E893" i="1"/>
  <c r="F893" i="1"/>
  <c r="G893" i="1"/>
  <c r="H893" i="1"/>
  <c r="I893" i="1"/>
  <c r="A894" i="1"/>
  <c r="B894" i="1"/>
  <c r="C894" i="1"/>
  <c r="D894" i="1"/>
  <c r="E894" i="1"/>
  <c r="F894" i="1"/>
  <c r="G894" i="1"/>
  <c r="H894" i="1"/>
  <c r="I894" i="1"/>
  <c r="A895" i="1"/>
  <c r="B895" i="1"/>
  <c r="C895" i="1"/>
  <c r="D895" i="1"/>
  <c r="E895" i="1"/>
  <c r="F895" i="1"/>
  <c r="G895" i="1"/>
  <c r="H895" i="1"/>
  <c r="I895" i="1"/>
  <c r="A896" i="1"/>
  <c r="B896" i="1"/>
  <c r="C896" i="1"/>
  <c r="D896" i="1"/>
  <c r="E896" i="1"/>
  <c r="F896" i="1"/>
  <c r="G896" i="1"/>
  <c r="H896" i="1"/>
  <c r="I896" i="1"/>
  <c r="A897" i="1"/>
  <c r="B897" i="1"/>
  <c r="C897" i="1"/>
  <c r="D897" i="1"/>
  <c r="E897" i="1"/>
  <c r="F897" i="1"/>
  <c r="G897" i="1"/>
  <c r="H897" i="1"/>
  <c r="I897" i="1"/>
  <c r="A898" i="1"/>
  <c r="B898" i="1"/>
  <c r="C898" i="1"/>
  <c r="D898" i="1"/>
  <c r="E898" i="1"/>
  <c r="F898" i="1"/>
  <c r="G898" i="1"/>
  <c r="H898" i="1"/>
  <c r="I898" i="1"/>
  <c r="A899" i="1"/>
  <c r="B899" i="1"/>
  <c r="C899" i="1"/>
  <c r="D899" i="1"/>
  <c r="E899" i="1"/>
  <c r="F899" i="1"/>
  <c r="G899" i="1"/>
  <c r="H899" i="1"/>
  <c r="I899" i="1"/>
  <c r="A900" i="1"/>
  <c r="B900" i="1"/>
  <c r="C900" i="1"/>
  <c r="D900" i="1"/>
  <c r="E900" i="1"/>
  <c r="F900" i="1"/>
  <c r="G900" i="1"/>
  <c r="H900" i="1"/>
  <c r="I900" i="1"/>
  <c r="A901" i="1"/>
  <c r="B901" i="1"/>
  <c r="C901" i="1"/>
  <c r="D901" i="1"/>
  <c r="E901" i="1"/>
  <c r="F901" i="1"/>
  <c r="G901" i="1"/>
  <c r="H901" i="1"/>
  <c r="I901" i="1"/>
  <c r="A902" i="1"/>
  <c r="B902" i="1"/>
  <c r="C902" i="1"/>
  <c r="D902" i="1"/>
  <c r="E902" i="1"/>
  <c r="F902" i="1"/>
  <c r="G902" i="1"/>
  <c r="H902" i="1"/>
  <c r="I902" i="1"/>
  <c r="A903" i="1"/>
  <c r="B903" i="1"/>
  <c r="C903" i="1"/>
  <c r="D903" i="1"/>
  <c r="E903" i="1"/>
  <c r="F903" i="1"/>
  <c r="G903" i="1"/>
  <c r="H903" i="1"/>
  <c r="I903" i="1"/>
  <c r="A904" i="1"/>
  <c r="B904" i="1"/>
  <c r="C904" i="1"/>
  <c r="D904" i="1"/>
  <c r="E904" i="1"/>
  <c r="F904" i="1"/>
  <c r="G904" i="1"/>
  <c r="H904" i="1"/>
  <c r="I904" i="1"/>
  <c r="A905" i="1"/>
  <c r="B905" i="1"/>
  <c r="C905" i="1"/>
  <c r="D905" i="1"/>
  <c r="E905" i="1"/>
  <c r="F905" i="1"/>
  <c r="G905" i="1"/>
  <c r="H905" i="1"/>
  <c r="I905" i="1"/>
  <c r="A906" i="1"/>
  <c r="B906" i="1"/>
  <c r="C906" i="1"/>
  <c r="D906" i="1"/>
  <c r="E906" i="1"/>
  <c r="F906" i="1"/>
  <c r="G906" i="1"/>
  <c r="H906" i="1"/>
  <c r="I906" i="1"/>
  <c r="A907" i="1"/>
  <c r="B907" i="1"/>
  <c r="C907" i="1"/>
  <c r="D907" i="1"/>
  <c r="E907" i="1"/>
  <c r="F907" i="1"/>
  <c r="G907" i="1"/>
  <c r="H907" i="1"/>
  <c r="I907" i="1"/>
  <c r="A908" i="1"/>
  <c r="B908" i="1"/>
  <c r="C908" i="1"/>
  <c r="D908" i="1"/>
  <c r="E908" i="1"/>
  <c r="F908" i="1"/>
  <c r="G908" i="1"/>
  <c r="H908" i="1"/>
  <c r="I908" i="1"/>
  <c r="A909" i="1"/>
  <c r="B909" i="1"/>
  <c r="C909" i="1"/>
  <c r="D909" i="1"/>
  <c r="E909" i="1"/>
  <c r="F909" i="1"/>
  <c r="G909" i="1"/>
  <c r="H909" i="1"/>
  <c r="I909" i="1"/>
  <c r="A910" i="1"/>
  <c r="B910" i="1"/>
  <c r="C910" i="1"/>
  <c r="D910" i="1"/>
  <c r="E910" i="1"/>
  <c r="F910" i="1"/>
  <c r="G910" i="1"/>
  <c r="H910" i="1"/>
  <c r="I910" i="1"/>
  <c r="A911" i="1"/>
  <c r="B911" i="1"/>
  <c r="C911" i="1"/>
  <c r="D911" i="1"/>
  <c r="E911" i="1"/>
  <c r="F911" i="1"/>
  <c r="G911" i="1"/>
  <c r="H911" i="1"/>
  <c r="I911" i="1"/>
  <c r="A912" i="1"/>
  <c r="B912" i="1"/>
  <c r="C912" i="1"/>
  <c r="D912" i="1"/>
  <c r="E912" i="1"/>
  <c r="F912" i="1"/>
  <c r="G912" i="1"/>
  <c r="H912" i="1"/>
  <c r="I912" i="1"/>
  <c r="A913" i="1"/>
  <c r="B913" i="1"/>
  <c r="C913" i="1"/>
  <c r="D913" i="1"/>
  <c r="E913" i="1"/>
  <c r="F913" i="1"/>
  <c r="G913" i="1"/>
  <c r="H913" i="1"/>
  <c r="I913" i="1"/>
  <c r="A914" i="1"/>
  <c r="B914" i="1"/>
  <c r="C914" i="1"/>
  <c r="D914" i="1"/>
  <c r="E914" i="1"/>
  <c r="F914" i="1"/>
  <c r="G914" i="1"/>
  <c r="H914" i="1"/>
  <c r="I914" i="1"/>
  <c r="A915" i="1"/>
  <c r="B915" i="1"/>
  <c r="C915" i="1"/>
  <c r="D915" i="1"/>
  <c r="E915" i="1"/>
  <c r="F915" i="1"/>
  <c r="G915" i="1"/>
  <c r="H915" i="1"/>
  <c r="I915" i="1"/>
  <c r="A916" i="1"/>
  <c r="B916" i="1"/>
  <c r="C916" i="1"/>
  <c r="D916" i="1"/>
  <c r="E916" i="1"/>
  <c r="F916" i="1"/>
  <c r="G916" i="1"/>
  <c r="H916" i="1"/>
  <c r="I916" i="1"/>
  <c r="A917" i="1"/>
  <c r="B917" i="1"/>
  <c r="C917" i="1"/>
  <c r="D917" i="1"/>
  <c r="E917" i="1"/>
  <c r="F917" i="1"/>
  <c r="G917" i="1"/>
  <c r="H917" i="1"/>
  <c r="I917" i="1"/>
  <c r="A918" i="1"/>
  <c r="B918" i="1"/>
  <c r="C918" i="1"/>
  <c r="D918" i="1"/>
  <c r="E918" i="1"/>
  <c r="F918" i="1"/>
  <c r="G918" i="1"/>
  <c r="H918" i="1"/>
  <c r="I918" i="1"/>
  <c r="A919" i="1"/>
  <c r="B919" i="1"/>
  <c r="C919" i="1"/>
  <c r="D919" i="1"/>
  <c r="E919" i="1"/>
  <c r="F919" i="1"/>
  <c r="G919" i="1"/>
  <c r="H919" i="1"/>
  <c r="I919" i="1"/>
  <c r="A920" i="1"/>
  <c r="B920" i="1"/>
  <c r="C920" i="1"/>
  <c r="D920" i="1"/>
  <c r="E920" i="1"/>
  <c r="F920" i="1"/>
  <c r="G920" i="1"/>
  <c r="H920" i="1"/>
  <c r="I920" i="1"/>
  <c r="A921" i="1"/>
  <c r="B921" i="1"/>
  <c r="C921" i="1"/>
  <c r="D921" i="1"/>
  <c r="E921" i="1"/>
  <c r="F921" i="1"/>
  <c r="G921" i="1"/>
  <c r="H921" i="1"/>
  <c r="I921" i="1"/>
  <c r="A922" i="1"/>
  <c r="B922" i="1"/>
  <c r="C922" i="1"/>
  <c r="D922" i="1"/>
  <c r="E922" i="1"/>
  <c r="F922" i="1"/>
  <c r="G922" i="1"/>
  <c r="H922" i="1"/>
  <c r="I922" i="1"/>
  <c r="A923" i="1"/>
  <c r="B923" i="1"/>
  <c r="C923" i="1"/>
  <c r="D923" i="1"/>
  <c r="E923" i="1"/>
  <c r="F923" i="1"/>
  <c r="G923" i="1"/>
  <c r="H923" i="1"/>
  <c r="I923" i="1"/>
  <c r="A924" i="1"/>
  <c r="B924" i="1"/>
  <c r="C924" i="1"/>
  <c r="D924" i="1"/>
  <c r="E924" i="1"/>
  <c r="F924" i="1"/>
  <c r="G924" i="1"/>
  <c r="H924" i="1"/>
  <c r="I924" i="1"/>
  <c r="A925" i="1"/>
  <c r="B925" i="1"/>
  <c r="C925" i="1"/>
  <c r="D925" i="1"/>
  <c r="E925" i="1"/>
  <c r="F925" i="1"/>
  <c r="G925" i="1"/>
  <c r="H925" i="1"/>
  <c r="I925" i="1"/>
  <c r="A926" i="1"/>
  <c r="B926" i="1"/>
  <c r="C926" i="1"/>
  <c r="D926" i="1"/>
  <c r="E926" i="1"/>
  <c r="F926" i="1"/>
  <c r="G926" i="1"/>
  <c r="H926" i="1"/>
  <c r="I926" i="1"/>
  <c r="A927" i="1"/>
  <c r="B927" i="1"/>
  <c r="C927" i="1"/>
  <c r="D927" i="1"/>
  <c r="E927" i="1"/>
  <c r="F927" i="1"/>
  <c r="G927" i="1"/>
  <c r="H927" i="1"/>
  <c r="I927" i="1"/>
  <c r="A928" i="1"/>
  <c r="B928" i="1"/>
  <c r="C928" i="1"/>
  <c r="D928" i="1"/>
  <c r="E928" i="1"/>
  <c r="F928" i="1"/>
  <c r="G928" i="1"/>
  <c r="H928" i="1"/>
  <c r="I928" i="1"/>
  <c r="A929" i="1"/>
  <c r="B929" i="1"/>
  <c r="C929" i="1"/>
  <c r="D929" i="1"/>
  <c r="E929" i="1"/>
  <c r="F929" i="1"/>
  <c r="G929" i="1"/>
  <c r="H929" i="1"/>
  <c r="I929" i="1"/>
  <c r="A930" i="1"/>
  <c r="B930" i="1"/>
  <c r="C930" i="1"/>
  <c r="D930" i="1"/>
  <c r="E930" i="1"/>
  <c r="F930" i="1"/>
  <c r="G930" i="1"/>
  <c r="H930" i="1"/>
  <c r="I930" i="1"/>
  <c r="A931" i="1"/>
  <c r="B931" i="1"/>
  <c r="C931" i="1"/>
  <c r="D931" i="1"/>
  <c r="E931" i="1"/>
  <c r="F931" i="1"/>
  <c r="G931" i="1"/>
  <c r="H931" i="1"/>
  <c r="I931" i="1"/>
  <c r="A932" i="1"/>
  <c r="B932" i="1"/>
  <c r="C932" i="1"/>
  <c r="D932" i="1"/>
  <c r="E932" i="1"/>
  <c r="F932" i="1"/>
  <c r="G932" i="1"/>
  <c r="H932" i="1"/>
  <c r="I932" i="1"/>
  <c r="A933" i="1"/>
  <c r="B933" i="1"/>
  <c r="C933" i="1"/>
  <c r="D933" i="1"/>
  <c r="E933" i="1"/>
  <c r="F933" i="1"/>
  <c r="G933" i="1"/>
  <c r="H933" i="1"/>
  <c r="I933" i="1"/>
  <c r="A934" i="1"/>
  <c r="B934" i="1"/>
  <c r="C934" i="1"/>
  <c r="D934" i="1"/>
  <c r="E934" i="1"/>
  <c r="F934" i="1"/>
  <c r="G934" i="1"/>
  <c r="H934" i="1"/>
  <c r="I934" i="1"/>
  <c r="A935" i="1"/>
  <c r="B935" i="1"/>
  <c r="C935" i="1"/>
  <c r="D935" i="1"/>
  <c r="E935" i="1"/>
  <c r="F935" i="1"/>
  <c r="G935" i="1"/>
  <c r="H935" i="1"/>
  <c r="I935" i="1"/>
  <c r="A936" i="1"/>
  <c r="B936" i="1"/>
  <c r="C936" i="1"/>
  <c r="D936" i="1"/>
  <c r="E936" i="1"/>
  <c r="F936" i="1"/>
  <c r="G936" i="1"/>
  <c r="H936" i="1"/>
  <c r="I936" i="1"/>
  <c r="A937" i="1"/>
  <c r="B937" i="1"/>
  <c r="C937" i="1"/>
  <c r="D937" i="1"/>
  <c r="E937" i="1"/>
  <c r="F937" i="1"/>
  <c r="G937" i="1"/>
  <c r="H937" i="1"/>
  <c r="I937" i="1"/>
  <c r="A938" i="1"/>
  <c r="B938" i="1"/>
  <c r="C938" i="1"/>
  <c r="D938" i="1"/>
  <c r="E938" i="1"/>
  <c r="F938" i="1"/>
  <c r="G938" i="1"/>
  <c r="H938" i="1"/>
  <c r="I938" i="1"/>
  <c r="A939" i="1"/>
  <c r="B939" i="1"/>
  <c r="C939" i="1"/>
  <c r="D939" i="1"/>
  <c r="E939" i="1"/>
  <c r="F939" i="1"/>
  <c r="G939" i="1"/>
  <c r="H939" i="1"/>
  <c r="I939" i="1"/>
  <c r="A940" i="1"/>
  <c r="B940" i="1"/>
  <c r="C940" i="1"/>
  <c r="D940" i="1"/>
  <c r="E940" i="1"/>
  <c r="F940" i="1"/>
  <c r="G940" i="1"/>
  <c r="H940" i="1"/>
  <c r="I940" i="1"/>
  <c r="A941" i="1"/>
  <c r="B941" i="1"/>
  <c r="C941" i="1"/>
  <c r="D941" i="1"/>
  <c r="E941" i="1"/>
  <c r="F941" i="1"/>
  <c r="G941" i="1"/>
  <c r="H941" i="1"/>
  <c r="I941" i="1"/>
  <c r="A942" i="1"/>
  <c r="B942" i="1"/>
  <c r="C942" i="1"/>
  <c r="D942" i="1"/>
  <c r="E942" i="1"/>
  <c r="F942" i="1"/>
  <c r="G942" i="1"/>
  <c r="H942" i="1"/>
  <c r="I942" i="1"/>
  <c r="A943" i="1"/>
  <c r="B943" i="1"/>
  <c r="C943" i="1"/>
  <c r="D943" i="1"/>
  <c r="E943" i="1"/>
  <c r="F943" i="1"/>
  <c r="G943" i="1"/>
  <c r="H943" i="1"/>
  <c r="I943" i="1"/>
  <c r="A944" i="1"/>
  <c r="B944" i="1"/>
  <c r="C944" i="1"/>
  <c r="D944" i="1"/>
  <c r="E944" i="1"/>
  <c r="F944" i="1"/>
  <c r="G944" i="1"/>
  <c r="H944" i="1"/>
  <c r="I944" i="1"/>
  <c r="A945" i="1"/>
  <c r="B945" i="1"/>
  <c r="C945" i="1"/>
  <c r="D945" i="1"/>
  <c r="E945" i="1"/>
  <c r="F945" i="1"/>
  <c r="G945" i="1"/>
  <c r="H945" i="1"/>
  <c r="I945" i="1"/>
  <c r="A946" i="1"/>
  <c r="B946" i="1"/>
  <c r="C946" i="1"/>
  <c r="D946" i="1"/>
  <c r="E946" i="1"/>
  <c r="F946" i="1"/>
  <c r="G946" i="1"/>
  <c r="H946" i="1"/>
  <c r="I946" i="1"/>
  <c r="A947" i="1"/>
  <c r="B947" i="1"/>
  <c r="C947" i="1"/>
  <c r="D947" i="1"/>
  <c r="E947" i="1"/>
  <c r="F947" i="1"/>
  <c r="G947" i="1"/>
  <c r="H947" i="1"/>
  <c r="I947" i="1"/>
  <c r="A948" i="1"/>
  <c r="B948" i="1"/>
  <c r="C948" i="1"/>
  <c r="D948" i="1"/>
  <c r="E948" i="1"/>
  <c r="F948" i="1"/>
  <c r="G948" i="1"/>
  <c r="H948" i="1"/>
  <c r="I948" i="1"/>
  <c r="A949" i="1"/>
  <c r="B949" i="1"/>
  <c r="C949" i="1"/>
  <c r="D949" i="1"/>
  <c r="E949" i="1"/>
  <c r="F949" i="1"/>
  <c r="G949" i="1"/>
  <c r="H949" i="1"/>
  <c r="I949" i="1"/>
  <c r="A950" i="1"/>
  <c r="B950" i="1"/>
  <c r="C950" i="1"/>
  <c r="D950" i="1"/>
  <c r="E950" i="1"/>
  <c r="F950" i="1"/>
  <c r="G950" i="1"/>
  <c r="H950" i="1"/>
  <c r="I950" i="1"/>
  <c r="A951" i="1"/>
  <c r="B951" i="1"/>
  <c r="C951" i="1"/>
  <c r="D951" i="1"/>
  <c r="E951" i="1"/>
  <c r="F951" i="1"/>
  <c r="G951" i="1"/>
  <c r="H951" i="1"/>
  <c r="I951" i="1"/>
  <c r="A952" i="1"/>
  <c r="B952" i="1"/>
  <c r="C952" i="1"/>
  <c r="D952" i="1"/>
  <c r="E952" i="1"/>
  <c r="F952" i="1"/>
  <c r="G952" i="1"/>
  <c r="H952" i="1"/>
  <c r="I952" i="1"/>
  <c r="A953" i="1"/>
  <c r="B953" i="1"/>
  <c r="C953" i="1"/>
  <c r="D953" i="1"/>
  <c r="E953" i="1"/>
  <c r="F953" i="1"/>
  <c r="G953" i="1"/>
  <c r="H953" i="1"/>
  <c r="I953" i="1"/>
  <c r="A954" i="1"/>
  <c r="B954" i="1"/>
  <c r="C954" i="1"/>
  <c r="D954" i="1"/>
  <c r="E954" i="1"/>
  <c r="F954" i="1"/>
  <c r="G954" i="1"/>
  <c r="H954" i="1"/>
  <c r="I954" i="1"/>
  <c r="A955" i="1"/>
  <c r="B955" i="1"/>
  <c r="C955" i="1"/>
  <c r="D955" i="1"/>
  <c r="E955" i="1"/>
  <c r="F955" i="1"/>
  <c r="G955" i="1"/>
  <c r="H955" i="1"/>
  <c r="I955" i="1"/>
  <c r="A956" i="1"/>
  <c r="B956" i="1"/>
  <c r="C956" i="1"/>
  <c r="D956" i="1"/>
  <c r="E956" i="1"/>
  <c r="F956" i="1"/>
  <c r="G956" i="1"/>
  <c r="H956" i="1"/>
  <c r="I956" i="1"/>
  <c r="A957" i="1"/>
  <c r="B957" i="1"/>
  <c r="C957" i="1"/>
  <c r="D957" i="1"/>
  <c r="E957" i="1"/>
  <c r="F957" i="1"/>
  <c r="G957" i="1"/>
  <c r="H957" i="1"/>
  <c r="I957" i="1"/>
  <c r="A958" i="1"/>
  <c r="B958" i="1"/>
  <c r="C958" i="1"/>
  <c r="D958" i="1"/>
  <c r="E958" i="1"/>
  <c r="F958" i="1"/>
  <c r="G958" i="1"/>
  <c r="H958" i="1"/>
  <c r="I958" i="1"/>
  <c r="A959" i="1"/>
  <c r="B959" i="1"/>
  <c r="C959" i="1"/>
  <c r="D959" i="1"/>
  <c r="E959" i="1"/>
  <c r="F959" i="1"/>
  <c r="G959" i="1"/>
  <c r="H959" i="1"/>
  <c r="I959" i="1"/>
  <c r="A960" i="1"/>
  <c r="B960" i="1"/>
  <c r="C960" i="1"/>
  <c r="D960" i="1"/>
  <c r="E960" i="1"/>
  <c r="F960" i="1"/>
  <c r="G960" i="1"/>
  <c r="H960" i="1"/>
  <c r="I960" i="1"/>
  <c r="A961" i="1"/>
  <c r="B961" i="1"/>
  <c r="C961" i="1"/>
  <c r="D961" i="1"/>
  <c r="E961" i="1"/>
  <c r="F961" i="1"/>
  <c r="G961" i="1"/>
  <c r="H961" i="1"/>
  <c r="I961" i="1"/>
  <c r="A962" i="1"/>
  <c r="B962" i="1"/>
  <c r="C962" i="1"/>
  <c r="D962" i="1"/>
  <c r="E962" i="1"/>
  <c r="F962" i="1"/>
  <c r="G962" i="1"/>
  <c r="H962" i="1"/>
  <c r="I962" i="1"/>
  <c r="A963" i="1"/>
  <c r="B963" i="1"/>
  <c r="C963" i="1"/>
  <c r="D963" i="1"/>
  <c r="E963" i="1"/>
  <c r="F963" i="1"/>
  <c r="G963" i="1"/>
  <c r="H963" i="1"/>
  <c r="I963" i="1"/>
  <c r="A964" i="1"/>
  <c r="B964" i="1"/>
  <c r="C964" i="1"/>
  <c r="D964" i="1"/>
  <c r="E964" i="1"/>
  <c r="F964" i="1"/>
  <c r="G964" i="1"/>
  <c r="H964" i="1"/>
  <c r="I964" i="1"/>
  <c r="A965" i="1"/>
  <c r="B965" i="1"/>
  <c r="C965" i="1"/>
  <c r="D965" i="1"/>
  <c r="E965" i="1"/>
  <c r="F965" i="1"/>
  <c r="G965" i="1"/>
  <c r="H965" i="1"/>
  <c r="I965" i="1"/>
  <c r="A966" i="1"/>
  <c r="B966" i="1"/>
  <c r="C966" i="1"/>
  <c r="D966" i="1"/>
  <c r="E966" i="1"/>
  <c r="F966" i="1"/>
  <c r="G966" i="1"/>
  <c r="H966" i="1"/>
  <c r="I966" i="1"/>
  <c r="A967" i="1"/>
  <c r="B967" i="1"/>
  <c r="C967" i="1"/>
  <c r="D967" i="1"/>
  <c r="E967" i="1"/>
  <c r="F967" i="1"/>
  <c r="G967" i="1"/>
  <c r="H967" i="1"/>
  <c r="I967" i="1"/>
  <c r="A968" i="1"/>
  <c r="B968" i="1"/>
  <c r="C968" i="1"/>
  <c r="D968" i="1"/>
  <c r="E968" i="1"/>
  <c r="F968" i="1"/>
  <c r="G968" i="1"/>
  <c r="H968" i="1"/>
  <c r="I968" i="1"/>
  <c r="A969" i="1"/>
  <c r="B969" i="1"/>
  <c r="C969" i="1"/>
  <c r="D969" i="1"/>
  <c r="E969" i="1"/>
  <c r="F969" i="1"/>
  <c r="G969" i="1"/>
  <c r="H969" i="1"/>
  <c r="I969" i="1"/>
  <c r="A970" i="1"/>
  <c r="B970" i="1"/>
  <c r="C970" i="1"/>
  <c r="D970" i="1"/>
  <c r="E970" i="1"/>
  <c r="F970" i="1"/>
  <c r="G970" i="1"/>
  <c r="H970" i="1"/>
  <c r="I970" i="1"/>
  <c r="A971" i="1"/>
  <c r="B971" i="1"/>
  <c r="C971" i="1"/>
  <c r="D971" i="1"/>
  <c r="E971" i="1"/>
  <c r="F971" i="1"/>
  <c r="G971" i="1"/>
  <c r="H971" i="1"/>
  <c r="I971" i="1"/>
  <c r="A972" i="1"/>
  <c r="B972" i="1"/>
  <c r="C972" i="1"/>
  <c r="D972" i="1"/>
  <c r="E972" i="1"/>
  <c r="F972" i="1"/>
  <c r="G972" i="1"/>
  <c r="H972" i="1"/>
  <c r="I972" i="1"/>
  <c r="A973" i="1"/>
  <c r="B973" i="1"/>
  <c r="C973" i="1"/>
  <c r="D973" i="1"/>
  <c r="E973" i="1"/>
  <c r="F973" i="1"/>
  <c r="G973" i="1"/>
  <c r="H973" i="1"/>
  <c r="I973" i="1"/>
  <c r="A974" i="1"/>
  <c r="B974" i="1"/>
  <c r="C974" i="1"/>
  <c r="D974" i="1"/>
  <c r="E974" i="1"/>
  <c r="F974" i="1"/>
  <c r="G974" i="1"/>
  <c r="H974" i="1"/>
  <c r="I974" i="1"/>
  <c r="A975" i="1"/>
  <c r="B975" i="1"/>
  <c r="C975" i="1"/>
  <c r="D975" i="1"/>
  <c r="E975" i="1"/>
  <c r="F975" i="1"/>
  <c r="G975" i="1"/>
  <c r="H975" i="1"/>
  <c r="I975" i="1"/>
  <c r="A976" i="1"/>
  <c r="B976" i="1"/>
  <c r="C976" i="1"/>
  <c r="D976" i="1"/>
  <c r="E976" i="1"/>
  <c r="F976" i="1"/>
  <c r="G976" i="1"/>
  <c r="H976" i="1"/>
  <c r="I976" i="1"/>
  <c r="A977" i="1"/>
  <c r="B977" i="1"/>
  <c r="C977" i="1"/>
  <c r="D977" i="1"/>
  <c r="E977" i="1"/>
  <c r="F977" i="1"/>
  <c r="G977" i="1"/>
  <c r="H977" i="1"/>
  <c r="I977" i="1"/>
  <c r="A978" i="1"/>
  <c r="B978" i="1"/>
  <c r="C978" i="1"/>
  <c r="D978" i="1"/>
  <c r="E978" i="1"/>
  <c r="F978" i="1"/>
  <c r="G978" i="1"/>
  <c r="H978" i="1"/>
  <c r="I978" i="1"/>
  <c r="A979" i="1"/>
  <c r="B979" i="1"/>
  <c r="C979" i="1"/>
  <c r="D979" i="1"/>
  <c r="E979" i="1"/>
  <c r="F979" i="1"/>
  <c r="G979" i="1"/>
  <c r="H979" i="1"/>
  <c r="I979" i="1"/>
  <c r="A980" i="1"/>
  <c r="B980" i="1"/>
  <c r="C980" i="1"/>
  <c r="D980" i="1"/>
  <c r="E980" i="1"/>
  <c r="F980" i="1"/>
  <c r="G980" i="1"/>
  <c r="H980" i="1"/>
  <c r="I980" i="1"/>
  <c r="A981" i="1"/>
  <c r="B981" i="1"/>
  <c r="C981" i="1"/>
  <c r="D981" i="1"/>
  <c r="E981" i="1"/>
  <c r="F981" i="1"/>
  <c r="G981" i="1"/>
  <c r="H981" i="1"/>
  <c r="I981" i="1"/>
  <c r="A982" i="1"/>
  <c r="B982" i="1"/>
  <c r="C982" i="1"/>
  <c r="D982" i="1"/>
  <c r="E982" i="1"/>
  <c r="F982" i="1"/>
  <c r="G982" i="1"/>
  <c r="H982" i="1"/>
  <c r="I982" i="1"/>
  <c r="A983" i="1"/>
  <c r="B983" i="1"/>
  <c r="C983" i="1"/>
  <c r="D983" i="1"/>
  <c r="E983" i="1"/>
  <c r="F983" i="1"/>
  <c r="G983" i="1"/>
  <c r="H983" i="1"/>
  <c r="I983" i="1"/>
  <c r="A984" i="1"/>
  <c r="B984" i="1"/>
  <c r="C984" i="1"/>
  <c r="D984" i="1"/>
  <c r="E984" i="1"/>
  <c r="F984" i="1"/>
  <c r="G984" i="1"/>
  <c r="H984" i="1"/>
  <c r="I984" i="1"/>
  <c r="A985" i="1"/>
  <c r="B985" i="1"/>
  <c r="C985" i="1"/>
  <c r="D985" i="1"/>
  <c r="E985" i="1"/>
  <c r="F985" i="1"/>
  <c r="G985" i="1"/>
  <c r="H985" i="1"/>
  <c r="I985" i="1"/>
  <c r="A986" i="1"/>
  <c r="B986" i="1"/>
  <c r="C986" i="1"/>
  <c r="D986" i="1"/>
  <c r="E986" i="1"/>
  <c r="F986" i="1"/>
  <c r="G986" i="1"/>
  <c r="H986" i="1"/>
  <c r="I986" i="1"/>
  <c r="A987" i="1"/>
  <c r="B987" i="1"/>
  <c r="C987" i="1"/>
  <c r="D987" i="1"/>
  <c r="E987" i="1"/>
  <c r="F987" i="1"/>
  <c r="G987" i="1"/>
  <c r="H987" i="1"/>
  <c r="I987" i="1"/>
  <c r="A988" i="1"/>
  <c r="B988" i="1"/>
  <c r="C988" i="1"/>
  <c r="D988" i="1"/>
  <c r="E988" i="1"/>
  <c r="F988" i="1"/>
  <c r="G988" i="1"/>
  <c r="H988" i="1"/>
  <c r="I988" i="1"/>
  <c r="A989" i="1"/>
  <c r="B989" i="1"/>
  <c r="C989" i="1"/>
  <c r="D989" i="1"/>
  <c r="E989" i="1"/>
  <c r="F989" i="1"/>
  <c r="G989" i="1"/>
  <c r="H989" i="1"/>
  <c r="I989" i="1"/>
  <c r="A990" i="1"/>
  <c r="B990" i="1"/>
  <c r="C990" i="1"/>
  <c r="D990" i="1"/>
  <c r="E990" i="1"/>
  <c r="F990" i="1"/>
  <c r="G990" i="1"/>
  <c r="H990" i="1"/>
  <c r="I990" i="1"/>
  <c r="A991" i="1"/>
  <c r="B991" i="1"/>
  <c r="C991" i="1"/>
  <c r="D991" i="1"/>
  <c r="E991" i="1"/>
  <c r="F991" i="1"/>
  <c r="G991" i="1"/>
  <c r="H991" i="1"/>
  <c r="I991" i="1"/>
  <c r="A992" i="1"/>
  <c r="B992" i="1"/>
  <c r="C992" i="1"/>
  <c r="D992" i="1"/>
  <c r="E992" i="1"/>
  <c r="F992" i="1"/>
  <c r="G992" i="1"/>
  <c r="H992" i="1"/>
  <c r="I992" i="1"/>
  <c r="A993" i="1"/>
  <c r="B993" i="1"/>
  <c r="C993" i="1"/>
  <c r="D993" i="1"/>
  <c r="E993" i="1"/>
  <c r="F993" i="1"/>
  <c r="G993" i="1"/>
  <c r="H993" i="1"/>
  <c r="I993" i="1"/>
  <c r="A994" i="1"/>
  <c r="B994" i="1"/>
  <c r="C994" i="1"/>
  <c r="D994" i="1"/>
  <c r="E994" i="1"/>
  <c r="F994" i="1"/>
  <c r="G994" i="1"/>
  <c r="H994" i="1"/>
  <c r="I994" i="1"/>
  <c r="A995" i="1"/>
  <c r="B995" i="1"/>
  <c r="C995" i="1"/>
  <c r="D995" i="1"/>
  <c r="E995" i="1"/>
  <c r="F995" i="1"/>
  <c r="G995" i="1"/>
  <c r="H995" i="1"/>
  <c r="I995" i="1"/>
  <c r="A996" i="1"/>
  <c r="B996" i="1"/>
  <c r="C996" i="1"/>
  <c r="D996" i="1"/>
  <c r="E996" i="1"/>
  <c r="F996" i="1"/>
  <c r="G996" i="1"/>
  <c r="H996" i="1"/>
  <c r="I996" i="1"/>
  <c r="A997" i="1"/>
  <c r="B997" i="1"/>
  <c r="C997" i="1"/>
  <c r="D997" i="1"/>
  <c r="E997" i="1"/>
  <c r="F997" i="1"/>
  <c r="G997" i="1"/>
  <c r="H997" i="1"/>
  <c r="I997" i="1"/>
  <c r="A998" i="1"/>
  <c r="B998" i="1"/>
  <c r="C998" i="1"/>
  <c r="D998" i="1"/>
  <c r="E998" i="1"/>
  <c r="F998" i="1"/>
  <c r="G998" i="1"/>
  <c r="H998" i="1"/>
  <c r="I998" i="1"/>
  <c r="A999" i="1"/>
  <c r="B999" i="1"/>
  <c r="C999" i="1"/>
  <c r="D999" i="1"/>
  <c r="E999" i="1"/>
  <c r="F999" i="1"/>
  <c r="G999" i="1"/>
  <c r="H999" i="1"/>
  <c r="I999" i="1"/>
  <c r="A18" i="3"/>
  <c r="B18" i="3"/>
  <c r="C18" i="3"/>
  <c r="D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G18" i="3"/>
  <c r="AH18" i="3"/>
  <c r="AI18" i="3"/>
  <c r="AJ18" i="3"/>
  <c r="AK18" i="3"/>
  <c r="AL18" i="3"/>
  <c r="AM18" i="3"/>
  <c r="AN18" i="3"/>
  <c r="A19" i="3"/>
  <c r="B19" i="3"/>
  <c r="C19" i="3"/>
  <c r="D19" i="3"/>
  <c r="E1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AG19" i="3"/>
  <c r="AH19" i="3"/>
  <c r="AI19" i="3"/>
  <c r="AJ19" i="3"/>
  <c r="AK19" i="3"/>
  <c r="AL19" i="3"/>
  <c r="AM19" i="3"/>
  <c r="AN19" i="3"/>
  <c r="A20" i="3"/>
  <c r="B20" i="3"/>
  <c r="C20" i="3"/>
  <c r="D20" i="3"/>
  <c r="E20" i="3"/>
  <c r="F20" i="3"/>
  <c r="G20" i="3"/>
  <c r="H20" i="3"/>
  <c r="I20" i="3"/>
  <c r="J20" i="3"/>
  <c r="K20" i="3"/>
  <c r="L20" i="3"/>
  <c r="M20" i="3"/>
  <c r="N20" i="3"/>
  <c r="O20" i="3"/>
  <c r="P20" i="3"/>
  <c r="Q20" i="3"/>
  <c r="R20" i="3"/>
  <c r="S20" i="3"/>
  <c r="T20" i="3"/>
  <c r="U20" i="3"/>
  <c r="V20" i="3"/>
  <c r="W20" i="3"/>
  <c r="X20" i="3"/>
  <c r="Y20" i="3"/>
  <c r="Z20" i="3"/>
  <c r="AA20" i="3"/>
  <c r="AB20" i="3"/>
  <c r="AC20" i="3"/>
  <c r="AD20" i="3"/>
  <c r="AE20" i="3"/>
  <c r="AF20" i="3"/>
  <c r="AG20" i="3"/>
  <c r="AH20" i="3"/>
  <c r="AI20" i="3"/>
  <c r="AJ20" i="3"/>
  <c r="AK20" i="3"/>
  <c r="AL20" i="3"/>
  <c r="AM20" i="3"/>
  <c r="AN20" i="3"/>
  <c r="A21" i="3"/>
  <c r="B21" i="3"/>
  <c r="C21" i="3"/>
  <c r="D21" i="3"/>
  <c r="E21" i="3"/>
  <c r="F21" i="3"/>
  <c r="G21" i="3"/>
  <c r="H21" i="3"/>
  <c r="I21" i="3"/>
  <c r="J21" i="3"/>
  <c r="K21" i="3"/>
  <c r="L21" i="3"/>
  <c r="M21" i="3"/>
  <c r="N21" i="3"/>
  <c r="O21" i="3"/>
  <c r="P21" i="3"/>
  <c r="Q21" i="3"/>
  <c r="R21" i="3"/>
  <c r="S21" i="3"/>
  <c r="T21" i="3"/>
  <c r="U21" i="3"/>
  <c r="V21" i="3"/>
  <c r="W21" i="3"/>
  <c r="X21" i="3"/>
  <c r="Y21" i="3"/>
  <c r="Z21" i="3"/>
  <c r="AA21" i="3"/>
  <c r="AB21" i="3"/>
  <c r="AC21" i="3"/>
  <c r="AD21" i="3"/>
  <c r="AE21" i="3"/>
  <c r="AF21" i="3"/>
  <c r="AG21" i="3"/>
  <c r="AH21" i="3"/>
  <c r="AI21" i="3"/>
  <c r="AJ21" i="3"/>
  <c r="AK21" i="3"/>
  <c r="AL21" i="3"/>
  <c r="AM21" i="3"/>
  <c r="AN21" i="3"/>
  <c r="A22" i="3"/>
  <c r="B22" i="3"/>
  <c r="C22" i="3"/>
  <c r="D22" i="3"/>
  <c r="E22" i="3"/>
  <c r="F22" i="3"/>
  <c r="G22" i="3"/>
  <c r="H22" i="3"/>
  <c r="I22" i="3"/>
  <c r="J22" i="3"/>
  <c r="K22" i="3"/>
  <c r="L22" i="3"/>
  <c r="M22" i="3"/>
  <c r="N22" i="3"/>
  <c r="O22" i="3"/>
  <c r="P22" i="3"/>
  <c r="Q22" i="3"/>
  <c r="R22" i="3"/>
  <c r="S22" i="3"/>
  <c r="T22" i="3"/>
  <c r="U22" i="3"/>
  <c r="V22" i="3"/>
  <c r="W22" i="3"/>
  <c r="X22" i="3"/>
  <c r="Y22" i="3"/>
  <c r="Z22" i="3"/>
  <c r="AA22" i="3"/>
  <c r="AB22" i="3"/>
  <c r="AC22" i="3"/>
  <c r="AD22" i="3"/>
  <c r="AE22" i="3"/>
  <c r="AF22" i="3"/>
  <c r="AG22" i="3"/>
  <c r="AH22" i="3"/>
  <c r="AI22" i="3"/>
  <c r="AJ22" i="3"/>
  <c r="AK22" i="3"/>
  <c r="AL22" i="3"/>
  <c r="AM22" i="3"/>
  <c r="AN22" i="3"/>
  <c r="A23" i="3"/>
  <c r="B23" i="3"/>
  <c r="C23" i="3"/>
  <c r="D23" i="3"/>
  <c r="E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AG23" i="3"/>
  <c r="AH23" i="3"/>
  <c r="AI23" i="3"/>
  <c r="AJ23" i="3"/>
  <c r="AK23" i="3"/>
  <c r="AL23" i="3"/>
  <c r="AM23" i="3"/>
  <c r="AN23" i="3"/>
  <c r="A24" i="3"/>
  <c r="B24" i="3"/>
  <c r="C24" i="3"/>
  <c r="D24" i="3"/>
  <c r="E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AG24" i="3"/>
  <c r="AH24" i="3"/>
  <c r="AI24" i="3"/>
  <c r="AJ24" i="3"/>
  <c r="AK24" i="3"/>
  <c r="AL24" i="3"/>
  <c r="AM24" i="3"/>
  <c r="AN24" i="3"/>
  <c r="A25" i="3"/>
  <c r="B25" i="3"/>
  <c r="C25" i="3"/>
  <c r="D25" i="3"/>
  <c r="E25" i="3"/>
  <c r="F25" i="3"/>
  <c r="G25" i="3"/>
  <c r="H25" i="3"/>
  <c r="I25" i="3"/>
  <c r="J25" i="3"/>
  <c r="K25" i="3"/>
  <c r="L25" i="3"/>
  <c r="M25" i="3"/>
  <c r="N25" i="3"/>
  <c r="O25" i="3"/>
  <c r="P25" i="3"/>
  <c r="Q25" i="3"/>
  <c r="R25" i="3"/>
  <c r="S25" i="3"/>
  <c r="T25" i="3"/>
  <c r="U25" i="3"/>
  <c r="V25" i="3"/>
  <c r="W25" i="3"/>
  <c r="X25" i="3"/>
  <c r="Y25" i="3"/>
  <c r="Z25" i="3"/>
  <c r="AA25" i="3"/>
  <c r="AB25" i="3"/>
  <c r="AC25" i="3"/>
  <c r="AD25" i="3"/>
  <c r="AE25" i="3"/>
  <c r="AF25" i="3"/>
  <c r="AG25" i="3"/>
  <c r="AH25" i="3"/>
  <c r="AI25" i="3"/>
  <c r="AJ25" i="3"/>
  <c r="AK25" i="3"/>
  <c r="AL25" i="3"/>
  <c r="AM25" i="3"/>
  <c r="AN25" i="3"/>
  <c r="A26" i="3"/>
  <c r="B26" i="3"/>
  <c r="C26" i="3"/>
  <c r="D26" i="3"/>
  <c r="E26" i="3"/>
  <c r="F26" i="3"/>
  <c r="G26" i="3"/>
  <c r="H26" i="3"/>
  <c r="I26" i="3"/>
  <c r="J26" i="3"/>
  <c r="K26" i="3"/>
  <c r="L26" i="3"/>
  <c r="M26" i="3"/>
  <c r="N26" i="3"/>
  <c r="O26" i="3"/>
  <c r="P26" i="3"/>
  <c r="Q26" i="3"/>
  <c r="R26" i="3"/>
  <c r="S26" i="3"/>
  <c r="T26" i="3"/>
  <c r="U26" i="3"/>
  <c r="V26" i="3"/>
  <c r="W26" i="3"/>
  <c r="X26" i="3"/>
  <c r="Y26" i="3"/>
  <c r="Z26" i="3"/>
  <c r="AA26" i="3"/>
  <c r="AB26" i="3"/>
  <c r="AC26" i="3"/>
  <c r="AD26" i="3"/>
  <c r="AE26" i="3"/>
  <c r="AF26" i="3"/>
  <c r="AG26" i="3"/>
  <c r="AH26" i="3"/>
  <c r="AI26" i="3"/>
  <c r="AJ26" i="3"/>
  <c r="AK26" i="3"/>
  <c r="AL26" i="3"/>
  <c r="AM26" i="3"/>
  <c r="AN26" i="3"/>
  <c r="A27" i="3"/>
  <c r="B27" i="3"/>
  <c r="C27" i="3"/>
  <c r="D27" i="3"/>
  <c r="E27" i="3"/>
  <c r="F27" i="3"/>
  <c r="G27" i="3"/>
  <c r="H27" i="3"/>
  <c r="I27" i="3"/>
  <c r="J27" i="3"/>
  <c r="K27" i="3"/>
  <c r="L27" i="3"/>
  <c r="M27" i="3"/>
  <c r="N27" i="3"/>
  <c r="O27" i="3"/>
  <c r="P27" i="3"/>
  <c r="Q27" i="3"/>
  <c r="R27" i="3"/>
  <c r="S27" i="3"/>
  <c r="T27" i="3"/>
  <c r="U27" i="3"/>
  <c r="V27" i="3"/>
  <c r="W27" i="3"/>
  <c r="X27" i="3"/>
  <c r="Y27" i="3"/>
  <c r="Z27" i="3"/>
  <c r="AA27" i="3"/>
  <c r="AB27" i="3"/>
  <c r="AC27" i="3"/>
  <c r="AD27" i="3"/>
  <c r="AE27" i="3"/>
  <c r="AF27" i="3"/>
  <c r="AG27" i="3"/>
  <c r="AH27" i="3"/>
  <c r="AI27" i="3"/>
  <c r="AJ27" i="3"/>
  <c r="AK27" i="3"/>
  <c r="AL27" i="3"/>
  <c r="AM27" i="3"/>
  <c r="AN27" i="3"/>
  <c r="A28" i="3"/>
  <c r="B28" i="3"/>
  <c r="C28" i="3"/>
  <c r="D28" i="3"/>
  <c r="E28" i="3"/>
  <c r="F28" i="3"/>
  <c r="G28" i="3"/>
  <c r="H28" i="3"/>
  <c r="I28" i="3"/>
  <c r="J28" i="3"/>
  <c r="K28" i="3"/>
  <c r="L28" i="3"/>
  <c r="M28" i="3"/>
  <c r="N28" i="3"/>
  <c r="O28" i="3"/>
  <c r="P28" i="3"/>
  <c r="Q28" i="3"/>
  <c r="R28" i="3"/>
  <c r="S28" i="3"/>
  <c r="T28" i="3"/>
  <c r="U28" i="3"/>
  <c r="V28" i="3"/>
  <c r="W28" i="3"/>
  <c r="X28" i="3"/>
  <c r="Y28" i="3"/>
  <c r="Z28" i="3"/>
  <c r="AA28" i="3"/>
  <c r="AB28" i="3"/>
  <c r="AC28" i="3"/>
  <c r="AD28" i="3"/>
  <c r="AE28" i="3"/>
  <c r="AF28" i="3"/>
  <c r="AG28" i="3"/>
  <c r="AH28" i="3"/>
  <c r="AI28" i="3"/>
  <c r="AJ28" i="3"/>
  <c r="AK28" i="3"/>
  <c r="AL28" i="3"/>
  <c r="AM28" i="3"/>
  <c r="AN28" i="3"/>
  <c r="A29" i="3"/>
  <c r="B29" i="3"/>
  <c r="C29" i="3"/>
  <c r="D29" i="3"/>
  <c r="E29" i="3"/>
  <c r="F29" i="3"/>
  <c r="G29" i="3"/>
  <c r="H29" i="3"/>
  <c r="I29" i="3"/>
  <c r="J29" i="3"/>
  <c r="K29" i="3"/>
  <c r="L29" i="3"/>
  <c r="M29" i="3"/>
  <c r="N29" i="3"/>
  <c r="O29" i="3"/>
  <c r="P29" i="3"/>
  <c r="Q29" i="3"/>
  <c r="R29" i="3"/>
  <c r="S29" i="3"/>
  <c r="T29" i="3"/>
  <c r="U29" i="3"/>
  <c r="V29" i="3"/>
  <c r="W29" i="3"/>
  <c r="X29" i="3"/>
  <c r="Y29" i="3"/>
  <c r="Z29" i="3"/>
  <c r="AA29" i="3"/>
  <c r="AB29" i="3"/>
  <c r="AC29" i="3"/>
  <c r="AD29" i="3"/>
  <c r="AE29" i="3"/>
  <c r="AF29" i="3"/>
  <c r="AG29" i="3"/>
  <c r="AH29" i="3"/>
  <c r="AI29" i="3"/>
  <c r="AJ29" i="3"/>
  <c r="AK29" i="3"/>
  <c r="AL29" i="3"/>
  <c r="AM29" i="3"/>
  <c r="AN29" i="3"/>
  <c r="A30" i="3"/>
  <c r="B30" i="3"/>
  <c r="C30" i="3"/>
  <c r="D30" i="3"/>
  <c r="E30" i="3"/>
  <c r="F30" i="3"/>
  <c r="G30" i="3"/>
  <c r="H30" i="3"/>
  <c r="I30" i="3"/>
  <c r="J30" i="3"/>
  <c r="K30" i="3"/>
  <c r="L30" i="3"/>
  <c r="M30" i="3"/>
  <c r="N30" i="3"/>
  <c r="O30" i="3"/>
  <c r="P30" i="3"/>
  <c r="Q30" i="3"/>
  <c r="R30" i="3"/>
  <c r="S30" i="3"/>
  <c r="T30" i="3"/>
  <c r="U30" i="3"/>
  <c r="V30" i="3"/>
  <c r="W30" i="3"/>
  <c r="X30" i="3"/>
  <c r="Y30" i="3"/>
  <c r="Z30" i="3"/>
  <c r="AA30" i="3"/>
  <c r="AB30" i="3"/>
  <c r="AC30" i="3"/>
  <c r="AD30" i="3"/>
  <c r="AE30" i="3"/>
  <c r="AF30" i="3"/>
  <c r="AG30" i="3"/>
  <c r="AH30" i="3"/>
  <c r="AI30" i="3"/>
  <c r="AJ30" i="3"/>
  <c r="AK30" i="3"/>
  <c r="AL30" i="3"/>
  <c r="AM30" i="3"/>
  <c r="AN30" i="3"/>
  <c r="A31" i="3"/>
  <c r="B31" i="3"/>
  <c r="C31" i="3"/>
  <c r="D31" i="3"/>
  <c r="E31" i="3"/>
  <c r="F31" i="3"/>
  <c r="G31" i="3"/>
  <c r="H31" i="3"/>
  <c r="I31" i="3"/>
  <c r="J31" i="3"/>
  <c r="K31" i="3"/>
  <c r="L31" i="3"/>
  <c r="M31" i="3"/>
  <c r="N31" i="3"/>
  <c r="O31" i="3"/>
  <c r="P31" i="3"/>
  <c r="Q31" i="3"/>
  <c r="R31" i="3"/>
  <c r="S31" i="3"/>
  <c r="T31" i="3"/>
  <c r="U31" i="3"/>
  <c r="V31" i="3"/>
  <c r="W31" i="3"/>
  <c r="X31" i="3"/>
  <c r="Y31" i="3"/>
  <c r="Z31" i="3"/>
  <c r="AA31" i="3"/>
  <c r="AB31" i="3"/>
  <c r="AC31" i="3"/>
  <c r="AD31" i="3"/>
  <c r="AE31" i="3"/>
  <c r="AF31" i="3"/>
  <c r="AG31" i="3"/>
  <c r="AH31" i="3"/>
  <c r="AI31" i="3"/>
  <c r="AJ31" i="3"/>
  <c r="AK31" i="3"/>
  <c r="AL31" i="3"/>
  <c r="AM31" i="3"/>
  <c r="AN31" i="3"/>
  <c r="A32" i="3"/>
  <c r="B32" i="3"/>
  <c r="C32" i="3"/>
  <c r="D32" i="3"/>
  <c r="E32" i="3"/>
  <c r="F32" i="3"/>
  <c r="G32" i="3"/>
  <c r="H32" i="3"/>
  <c r="I32" i="3"/>
  <c r="J32" i="3"/>
  <c r="K32" i="3"/>
  <c r="L32" i="3"/>
  <c r="M32" i="3"/>
  <c r="N32" i="3"/>
  <c r="O32" i="3"/>
  <c r="P32" i="3"/>
  <c r="Q32" i="3"/>
  <c r="R32" i="3"/>
  <c r="S32" i="3"/>
  <c r="T32" i="3"/>
  <c r="U32" i="3"/>
  <c r="V32" i="3"/>
  <c r="W32" i="3"/>
  <c r="X32" i="3"/>
  <c r="Y32" i="3"/>
  <c r="Z32" i="3"/>
  <c r="AA32" i="3"/>
  <c r="AB32" i="3"/>
  <c r="AC32" i="3"/>
  <c r="AD32" i="3"/>
  <c r="AE32" i="3"/>
  <c r="AF32" i="3"/>
  <c r="AG32" i="3"/>
  <c r="AH32" i="3"/>
  <c r="AI32" i="3"/>
  <c r="AJ32" i="3"/>
  <c r="AK32" i="3"/>
  <c r="AL32" i="3"/>
  <c r="AM32" i="3"/>
  <c r="AN32" i="3"/>
  <c r="A33" i="3"/>
  <c r="B33" i="3"/>
  <c r="C33" i="3"/>
  <c r="D33" i="3"/>
  <c r="E33" i="3"/>
  <c r="F33" i="3"/>
  <c r="G33" i="3"/>
  <c r="H33" i="3"/>
  <c r="I33" i="3"/>
  <c r="J33" i="3"/>
  <c r="K33" i="3"/>
  <c r="L33" i="3"/>
  <c r="M33" i="3"/>
  <c r="N33" i="3"/>
  <c r="O33" i="3"/>
  <c r="P33" i="3"/>
  <c r="Q33" i="3"/>
  <c r="R33" i="3"/>
  <c r="S33" i="3"/>
  <c r="T33" i="3"/>
  <c r="U33" i="3"/>
  <c r="V33" i="3"/>
  <c r="W33" i="3"/>
  <c r="X33" i="3"/>
  <c r="Y33" i="3"/>
  <c r="Z33" i="3"/>
  <c r="AA33" i="3"/>
  <c r="AB33" i="3"/>
  <c r="AC33" i="3"/>
  <c r="AD33" i="3"/>
  <c r="AE33" i="3"/>
  <c r="AF33" i="3"/>
  <c r="AG33" i="3"/>
  <c r="AH33" i="3"/>
  <c r="AI33" i="3"/>
  <c r="AJ33" i="3"/>
  <c r="AK33" i="3"/>
  <c r="AL33" i="3"/>
  <c r="AM33" i="3"/>
  <c r="AN33" i="3"/>
  <c r="A34" i="3"/>
  <c r="B34" i="3"/>
  <c r="C34" i="3"/>
  <c r="D34" i="3"/>
  <c r="E34" i="3"/>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AH34" i="3"/>
  <c r="AI34" i="3"/>
  <c r="AJ34" i="3"/>
  <c r="AK34" i="3"/>
  <c r="AL34" i="3"/>
  <c r="AM34" i="3"/>
  <c r="AN34" i="3"/>
  <c r="A35" i="3"/>
  <c r="B35" i="3"/>
  <c r="C35" i="3"/>
  <c r="D35" i="3"/>
  <c r="E35" i="3"/>
  <c r="F35" i="3"/>
  <c r="G35" i="3"/>
  <c r="H35" i="3"/>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AK35" i="3"/>
  <c r="AL35" i="3"/>
  <c r="AM35" i="3"/>
  <c r="AN35" i="3"/>
  <c r="A36" i="3"/>
  <c r="B36" i="3"/>
  <c r="C36"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37" i="3"/>
  <c r="B37" i="3"/>
  <c r="C37" i="3"/>
  <c r="D37" i="3"/>
  <c r="E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A38" i="3"/>
  <c r="B38" i="3"/>
  <c r="C38" i="3"/>
  <c r="D38" i="3"/>
  <c r="E38" i="3"/>
  <c r="F38" i="3"/>
  <c r="G38" i="3"/>
  <c r="H38" i="3"/>
  <c r="I38" i="3"/>
  <c r="J38" i="3"/>
  <c r="K38" i="3"/>
  <c r="L38" i="3"/>
  <c r="M38" i="3"/>
  <c r="N38" i="3"/>
  <c r="O38" i="3"/>
  <c r="P38" i="3"/>
  <c r="Q38" i="3"/>
  <c r="R38" i="3"/>
  <c r="S38" i="3"/>
  <c r="T38" i="3"/>
  <c r="U38" i="3"/>
  <c r="V38" i="3"/>
  <c r="W38" i="3"/>
  <c r="X38" i="3"/>
  <c r="Y38" i="3"/>
  <c r="Z38" i="3"/>
  <c r="AA38" i="3"/>
  <c r="AB38" i="3"/>
  <c r="AC38" i="3"/>
  <c r="AD38" i="3"/>
  <c r="AE38" i="3"/>
  <c r="AF38" i="3"/>
  <c r="AG38" i="3"/>
  <c r="AH38" i="3"/>
  <c r="AI38" i="3"/>
  <c r="AJ38" i="3"/>
  <c r="AK38" i="3"/>
  <c r="AL38" i="3"/>
  <c r="AM38" i="3"/>
  <c r="AN38" i="3"/>
  <c r="A39" i="3"/>
  <c r="B39" i="3"/>
  <c r="C39" i="3"/>
  <c r="D39" i="3"/>
  <c r="E39" i="3"/>
  <c r="F39" i="3"/>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A40" i="3"/>
  <c r="B40" i="3"/>
  <c r="C40"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AK40" i="3"/>
  <c r="AL40" i="3"/>
  <c r="AM40" i="3"/>
  <c r="AN40" i="3"/>
  <c r="A41" i="3"/>
  <c r="B41" i="3"/>
  <c r="C41" i="3"/>
  <c r="D41" i="3"/>
  <c r="E41" i="3"/>
  <c r="F41" i="3"/>
  <c r="G41" i="3"/>
  <c r="H41" i="3"/>
  <c r="I41" i="3"/>
  <c r="J41" i="3"/>
  <c r="K41" i="3"/>
  <c r="L41" i="3"/>
  <c r="M41" i="3"/>
  <c r="N41" i="3"/>
  <c r="O41" i="3"/>
  <c r="P41" i="3"/>
  <c r="Q41" i="3"/>
  <c r="R41" i="3"/>
  <c r="S41" i="3"/>
  <c r="T41" i="3"/>
  <c r="U41" i="3"/>
  <c r="V41" i="3"/>
  <c r="W41" i="3"/>
  <c r="X41" i="3"/>
  <c r="Y41" i="3"/>
  <c r="Z41" i="3"/>
  <c r="AA41" i="3"/>
  <c r="AB41" i="3"/>
  <c r="AC41" i="3"/>
  <c r="AD41" i="3"/>
  <c r="AE41" i="3"/>
  <c r="AF41" i="3"/>
  <c r="AG41" i="3"/>
  <c r="AH41" i="3"/>
  <c r="AI41" i="3"/>
  <c r="AJ41" i="3"/>
  <c r="AK41" i="3"/>
  <c r="AL41" i="3"/>
  <c r="AM41" i="3"/>
  <c r="AN41" i="3"/>
  <c r="A42" i="3"/>
  <c r="B42" i="3"/>
  <c r="C42" i="3"/>
  <c r="D42" i="3"/>
  <c r="E42" i="3"/>
  <c r="F42" i="3"/>
  <c r="G42" i="3"/>
  <c r="H42" i="3"/>
  <c r="I42" i="3"/>
  <c r="J42" i="3"/>
  <c r="K42" i="3"/>
  <c r="L42" i="3"/>
  <c r="M42" i="3"/>
  <c r="N42" i="3"/>
  <c r="O42" i="3"/>
  <c r="P42" i="3"/>
  <c r="Q42" i="3"/>
  <c r="R42" i="3"/>
  <c r="S42" i="3"/>
  <c r="T42" i="3"/>
  <c r="U42" i="3"/>
  <c r="V42" i="3"/>
  <c r="W42" i="3"/>
  <c r="X42" i="3"/>
  <c r="Y42" i="3"/>
  <c r="Z42" i="3"/>
  <c r="AA42" i="3"/>
  <c r="AB42" i="3"/>
  <c r="AC42" i="3"/>
  <c r="AD42" i="3"/>
  <c r="AE42" i="3"/>
  <c r="AF42" i="3"/>
  <c r="AG42" i="3"/>
  <c r="AH42" i="3"/>
  <c r="AI42" i="3"/>
  <c r="AJ42" i="3"/>
  <c r="AK42" i="3"/>
  <c r="AL42" i="3"/>
  <c r="AM42" i="3"/>
  <c r="AN42" i="3"/>
  <c r="A43" i="3"/>
  <c r="B43" i="3"/>
  <c r="C43" i="3"/>
  <c r="D43" i="3"/>
  <c r="E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AH43" i="3"/>
  <c r="AI43" i="3"/>
  <c r="AJ43" i="3"/>
  <c r="AK43" i="3"/>
  <c r="AL43" i="3"/>
  <c r="AM43" i="3"/>
  <c r="AN43" i="3"/>
  <c r="A44" i="3"/>
  <c r="B44" i="3"/>
  <c r="C44" i="3"/>
  <c r="D44" i="3"/>
  <c r="E44" i="3"/>
  <c r="F44" i="3"/>
  <c r="G44" i="3"/>
  <c r="H44" i="3"/>
  <c r="I44" i="3"/>
  <c r="J44" i="3"/>
  <c r="K44" i="3"/>
  <c r="L44" i="3"/>
  <c r="M44" i="3"/>
  <c r="N44" i="3"/>
  <c r="O44" i="3"/>
  <c r="P44" i="3"/>
  <c r="Q44" i="3"/>
  <c r="R44" i="3"/>
  <c r="S44" i="3"/>
  <c r="T44" i="3"/>
  <c r="U44" i="3"/>
  <c r="V44" i="3"/>
  <c r="W44" i="3"/>
  <c r="X44" i="3"/>
  <c r="Y44" i="3"/>
  <c r="Z44" i="3"/>
  <c r="AA44" i="3"/>
  <c r="AB44" i="3"/>
  <c r="AC44" i="3"/>
  <c r="AD44" i="3"/>
  <c r="AE44" i="3"/>
  <c r="AF44" i="3"/>
  <c r="AG44" i="3"/>
  <c r="AH44" i="3"/>
  <c r="AI44" i="3"/>
  <c r="AJ44" i="3"/>
  <c r="AK44" i="3"/>
  <c r="AL44" i="3"/>
  <c r="AM44" i="3"/>
  <c r="AN44" i="3"/>
  <c r="A45" i="3"/>
  <c r="B45" i="3"/>
  <c r="C45" i="3"/>
  <c r="D45" i="3"/>
  <c r="E45" i="3"/>
  <c r="F45" i="3"/>
  <c r="G45" i="3"/>
  <c r="H45" i="3"/>
  <c r="I45" i="3"/>
  <c r="J45" i="3"/>
  <c r="K45" i="3"/>
  <c r="L45" i="3"/>
  <c r="M45" i="3"/>
  <c r="N45" i="3"/>
  <c r="O45" i="3"/>
  <c r="P45" i="3"/>
  <c r="Q45" i="3"/>
  <c r="R45" i="3"/>
  <c r="S45" i="3"/>
  <c r="T45" i="3"/>
  <c r="U45" i="3"/>
  <c r="V45" i="3"/>
  <c r="W45" i="3"/>
  <c r="X45" i="3"/>
  <c r="Y45" i="3"/>
  <c r="Z45" i="3"/>
  <c r="AA45" i="3"/>
  <c r="AB45" i="3"/>
  <c r="AC45" i="3"/>
  <c r="AD45" i="3"/>
  <c r="AE45" i="3"/>
  <c r="AF45" i="3"/>
  <c r="AG45" i="3"/>
  <c r="AH45" i="3"/>
  <c r="AI45" i="3"/>
  <c r="AJ45" i="3"/>
  <c r="AK45" i="3"/>
  <c r="AL45" i="3"/>
  <c r="AM45" i="3"/>
  <c r="AN45" i="3"/>
  <c r="A46" i="3"/>
  <c r="B46" i="3"/>
  <c r="C46" i="3"/>
  <c r="D46" i="3"/>
  <c r="E46" i="3"/>
  <c r="F46" i="3"/>
  <c r="G46" i="3"/>
  <c r="H46" i="3"/>
  <c r="I46" i="3"/>
  <c r="J46" i="3"/>
  <c r="K46" i="3"/>
  <c r="L46" i="3"/>
  <c r="M46" i="3"/>
  <c r="N46" i="3"/>
  <c r="O46" i="3"/>
  <c r="P46" i="3"/>
  <c r="Q46" i="3"/>
  <c r="R46" i="3"/>
  <c r="S46" i="3"/>
  <c r="T46" i="3"/>
  <c r="U46" i="3"/>
  <c r="V46" i="3"/>
  <c r="W46" i="3"/>
  <c r="X46" i="3"/>
  <c r="Y46" i="3"/>
  <c r="Z46" i="3"/>
  <c r="AA46" i="3"/>
  <c r="AB46" i="3"/>
  <c r="AC46" i="3"/>
  <c r="AD46" i="3"/>
  <c r="AE46" i="3"/>
  <c r="AF46" i="3"/>
  <c r="AG46" i="3"/>
  <c r="AH46" i="3"/>
  <c r="AI46" i="3"/>
  <c r="AJ46" i="3"/>
  <c r="AK46" i="3"/>
  <c r="AL46" i="3"/>
  <c r="AM46" i="3"/>
  <c r="AN46" i="3"/>
  <c r="A47" i="3"/>
  <c r="B47" i="3"/>
  <c r="C47" i="3"/>
  <c r="D47" i="3"/>
  <c r="E47" i="3"/>
  <c r="F47" i="3"/>
  <c r="G47" i="3"/>
  <c r="H47" i="3"/>
  <c r="I47" i="3"/>
  <c r="J47" i="3"/>
  <c r="K47" i="3"/>
  <c r="L47" i="3"/>
  <c r="M47" i="3"/>
  <c r="N47" i="3"/>
  <c r="O47" i="3"/>
  <c r="P47" i="3"/>
  <c r="Q47" i="3"/>
  <c r="R47" i="3"/>
  <c r="S47" i="3"/>
  <c r="T47" i="3"/>
  <c r="U47" i="3"/>
  <c r="V47" i="3"/>
  <c r="W47" i="3"/>
  <c r="X47" i="3"/>
  <c r="Y47" i="3"/>
  <c r="Z47" i="3"/>
  <c r="AA47" i="3"/>
  <c r="AB47" i="3"/>
  <c r="AC47" i="3"/>
  <c r="AD47" i="3"/>
  <c r="AE47" i="3"/>
  <c r="AF47" i="3"/>
  <c r="AG47" i="3"/>
  <c r="AH47" i="3"/>
  <c r="AI47" i="3"/>
  <c r="AJ47" i="3"/>
  <c r="AK47" i="3"/>
  <c r="AL47" i="3"/>
  <c r="AM47" i="3"/>
  <c r="AN47" i="3"/>
  <c r="A48" i="3"/>
  <c r="B48" i="3"/>
  <c r="C48" i="3"/>
  <c r="D48" i="3"/>
  <c r="E48" i="3"/>
  <c r="F48" i="3"/>
  <c r="G48" i="3"/>
  <c r="H48" i="3"/>
  <c r="I48" i="3"/>
  <c r="J48" i="3"/>
  <c r="K48" i="3"/>
  <c r="L48" i="3"/>
  <c r="M48" i="3"/>
  <c r="N48" i="3"/>
  <c r="O48" i="3"/>
  <c r="P48" i="3"/>
  <c r="Q48" i="3"/>
  <c r="R48" i="3"/>
  <c r="S48" i="3"/>
  <c r="T48" i="3"/>
  <c r="U48" i="3"/>
  <c r="V48" i="3"/>
  <c r="W48" i="3"/>
  <c r="X48" i="3"/>
  <c r="Y48" i="3"/>
  <c r="Z48" i="3"/>
  <c r="AA48" i="3"/>
  <c r="AB48" i="3"/>
  <c r="AC48" i="3"/>
  <c r="AD48" i="3"/>
  <c r="AE48" i="3"/>
  <c r="AF48" i="3"/>
  <c r="AG48" i="3"/>
  <c r="AH48" i="3"/>
  <c r="AI48" i="3"/>
  <c r="AJ48" i="3"/>
  <c r="AK48" i="3"/>
  <c r="AL48" i="3"/>
  <c r="AM48" i="3"/>
  <c r="AN48" i="3"/>
  <c r="A49" i="3"/>
  <c r="B49" i="3"/>
  <c r="C49" i="3"/>
  <c r="D49" i="3"/>
  <c r="E49" i="3"/>
  <c r="F49" i="3"/>
  <c r="G49" i="3"/>
  <c r="H49" i="3"/>
  <c r="I49" i="3"/>
  <c r="J49" i="3"/>
  <c r="K49" i="3"/>
  <c r="L49" i="3"/>
  <c r="M49" i="3"/>
  <c r="N49" i="3"/>
  <c r="O49" i="3"/>
  <c r="P49" i="3"/>
  <c r="Q49" i="3"/>
  <c r="R49" i="3"/>
  <c r="S49" i="3"/>
  <c r="T49" i="3"/>
  <c r="U49" i="3"/>
  <c r="V49" i="3"/>
  <c r="W49" i="3"/>
  <c r="X49" i="3"/>
  <c r="Y49" i="3"/>
  <c r="Z49" i="3"/>
  <c r="AA49" i="3"/>
  <c r="AB49" i="3"/>
  <c r="AC49" i="3"/>
  <c r="AD49" i="3"/>
  <c r="AE49" i="3"/>
  <c r="AF49" i="3"/>
  <c r="AG49" i="3"/>
  <c r="AH49" i="3"/>
  <c r="AI49" i="3"/>
  <c r="AJ49" i="3"/>
  <c r="AK49" i="3"/>
  <c r="AL49" i="3"/>
  <c r="AM49" i="3"/>
  <c r="AN49" i="3"/>
  <c r="A50" i="3"/>
  <c r="B50" i="3"/>
  <c r="C50" i="3"/>
  <c r="D50" i="3"/>
  <c r="E50" i="3"/>
  <c r="F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AH50" i="3"/>
  <c r="AI50" i="3"/>
  <c r="AJ50" i="3"/>
  <c r="AK50" i="3"/>
  <c r="AL50" i="3"/>
  <c r="AM50" i="3"/>
  <c r="AN50" i="3"/>
  <c r="A51" i="3"/>
  <c r="B51" i="3"/>
  <c r="C51" i="3"/>
  <c r="D51" i="3"/>
  <c r="E51" i="3"/>
  <c r="F51" i="3"/>
  <c r="G51" i="3"/>
  <c r="H51" i="3"/>
  <c r="I51" i="3"/>
  <c r="J51" i="3"/>
  <c r="K51" i="3"/>
  <c r="L51" i="3"/>
  <c r="M51" i="3"/>
  <c r="N51" i="3"/>
  <c r="O51" i="3"/>
  <c r="P51" i="3"/>
  <c r="Q51" i="3"/>
  <c r="R51" i="3"/>
  <c r="S51" i="3"/>
  <c r="T51" i="3"/>
  <c r="U51" i="3"/>
  <c r="V51" i="3"/>
  <c r="W51" i="3"/>
  <c r="X51" i="3"/>
  <c r="Y51" i="3"/>
  <c r="Z51" i="3"/>
  <c r="AA51" i="3"/>
  <c r="AB51" i="3"/>
  <c r="AC51" i="3"/>
  <c r="AD51" i="3"/>
  <c r="AE51" i="3"/>
  <c r="AF51" i="3"/>
  <c r="AG51" i="3"/>
  <c r="AH51" i="3"/>
  <c r="AI51" i="3"/>
  <c r="AJ51" i="3"/>
  <c r="AK51" i="3"/>
  <c r="AL51" i="3"/>
  <c r="AM51" i="3"/>
  <c r="AN51" i="3"/>
  <c r="A52" i="3"/>
  <c r="B52" i="3"/>
  <c r="C52" i="3"/>
  <c r="D52" i="3"/>
  <c r="E52" i="3"/>
  <c r="F52" i="3"/>
  <c r="G52" i="3"/>
  <c r="H52" i="3"/>
  <c r="I52" i="3"/>
  <c r="J52" i="3"/>
  <c r="K52" i="3"/>
  <c r="L52" i="3"/>
  <c r="M52" i="3"/>
  <c r="N52" i="3"/>
  <c r="O52" i="3"/>
  <c r="P52" i="3"/>
  <c r="Q52" i="3"/>
  <c r="R52" i="3"/>
  <c r="S52" i="3"/>
  <c r="T52" i="3"/>
  <c r="U52" i="3"/>
  <c r="V52" i="3"/>
  <c r="W52" i="3"/>
  <c r="X52" i="3"/>
  <c r="Y52" i="3"/>
  <c r="Z52" i="3"/>
  <c r="AA52" i="3"/>
  <c r="AB52" i="3"/>
  <c r="AC52" i="3"/>
  <c r="AD52" i="3"/>
  <c r="AE52" i="3"/>
  <c r="AF52" i="3"/>
  <c r="AG52" i="3"/>
  <c r="AH52" i="3"/>
  <c r="AI52" i="3"/>
  <c r="AJ52" i="3"/>
  <c r="AK52" i="3"/>
  <c r="AL52" i="3"/>
  <c r="AM52" i="3"/>
  <c r="AN52" i="3"/>
  <c r="A53" i="3"/>
  <c r="B53" i="3"/>
  <c r="C53" i="3"/>
  <c r="D53" i="3"/>
  <c r="E53" i="3"/>
  <c r="F53"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AK53" i="3"/>
  <c r="AL53" i="3"/>
  <c r="AM53" i="3"/>
  <c r="AN53" i="3"/>
  <c r="A54" i="3"/>
  <c r="B54" i="3"/>
  <c r="C54" i="3"/>
  <c r="D54" i="3"/>
  <c r="E54" i="3"/>
  <c r="F54" i="3"/>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AN54" i="3"/>
  <c r="A55" i="3"/>
  <c r="B55" i="3"/>
  <c r="C55" i="3"/>
  <c r="D55" i="3"/>
  <c r="E55" i="3"/>
  <c r="F55" i="3"/>
  <c r="G55" i="3"/>
  <c r="H55" i="3"/>
  <c r="I55" i="3"/>
  <c r="J55" i="3"/>
  <c r="K55" i="3"/>
  <c r="L55" i="3"/>
  <c r="M55" i="3"/>
  <c r="N55" i="3"/>
  <c r="O55" i="3"/>
  <c r="P55" i="3"/>
  <c r="Q55" i="3"/>
  <c r="R55" i="3"/>
  <c r="S55" i="3"/>
  <c r="T55" i="3"/>
  <c r="U55" i="3"/>
  <c r="V55" i="3"/>
  <c r="W55" i="3"/>
  <c r="X55" i="3"/>
  <c r="Y55" i="3"/>
  <c r="Z55" i="3"/>
  <c r="AA55" i="3"/>
  <c r="AB55" i="3"/>
  <c r="AC55" i="3"/>
  <c r="AD55" i="3"/>
  <c r="AE55" i="3"/>
  <c r="AF55" i="3"/>
  <c r="AG55" i="3"/>
  <c r="AH55" i="3"/>
  <c r="AI55" i="3"/>
  <c r="AJ55" i="3"/>
  <c r="AK55" i="3"/>
  <c r="AL55" i="3"/>
  <c r="AM55" i="3"/>
  <c r="AN55" i="3"/>
  <c r="A56" i="3"/>
  <c r="B56" i="3"/>
  <c r="C56" i="3"/>
  <c r="D56" i="3"/>
  <c r="E56" i="3"/>
  <c r="F56" i="3"/>
  <c r="G56" i="3"/>
  <c r="H56" i="3"/>
  <c r="I56" i="3"/>
  <c r="J56" i="3"/>
  <c r="K56" i="3"/>
  <c r="L56" i="3"/>
  <c r="M56" i="3"/>
  <c r="N56" i="3"/>
  <c r="O56" i="3"/>
  <c r="P56" i="3"/>
  <c r="Q56" i="3"/>
  <c r="R56" i="3"/>
  <c r="S56" i="3"/>
  <c r="T56" i="3"/>
  <c r="U56" i="3"/>
  <c r="V56" i="3"/>
  <c r="W56" i="3"/>
  <c r="X56" i="3"/>
  <c r="Y56" i="3"/>
  <c r="Z56" i="3"/>
  <c r="AA56" i="3"/>
  <c r="AB56" i="3"/>
  <c r="AC56" i="3"/>
  <c r="AD56" i="3"/>
  <c r="AE56" i="3"/>
  <c r="AF56" i="3"/>
  <c r="AG56" i="3"/>
  <c r="AH56" i="3"/>
  <c r="AI56" i="3"/>
  <c r="AJ56" i="3"/>
  <c r="AK56" i="3"/>
  <c r="AL56" i="3"/>
  <c r="AM56" i="3"/>
  <c r="AN56" i="3"/>
  <c r="A57" i="3"/>
  <c r="B57" i="3"/>
  <c r="C57" i="3"/>
  <c r="D57" i="3"/>
  <c r="E57" i="3"/>
  <c r="F57" i="3"/>
  <c r="G57" i="3"/>
  <c r="H57" i="3"/>
  <c r="I57" i="3"/>
  <c r="J57" i="3"/>
  <c r="K57" i="3"/>
  <c r="L57" i="3"/>
  <c r="M57" i="3"/>
  <c r="N57" i="3"/>
  <c r="O57" i="3"/>
  <c r="P57" i="3"/>
  <c r="Q57" i="3"/>
  <c r="R57" i="3"/>
  <c r="S57" i="3"/>
  <c r="T57" i="3"/>
  <c r="U57" i="3"/>
  <c r="V57" i="3"/>
  <c r="W57" i="3"/>
  <c r="X57" i="3"/>
  <c r="Y57" i="3"/>
  <c r="Z57" i="3"/>
  <c r="AA57" i="3"/>
  <c r="AB57" i="3"/>
  <c r="AC57" i="3"/>
  <c r="AD57" i="3"/>
  <c r="AE57" i="3"/>
  <c r="AF57" i="3"/>
  <c r="AG57" i="3"/>
  <c r="AH57" i="3"/>
  <c r="AI57" i="3"/>
  <c r="AJ57" i="3"/>
  <c r="AK57" i="3"/>
  <c r="AL57" i="3"/>
  <c r="AM57" i="3"/>
  <c r="AN57" i="3"/>
  <c r="A58" i="3"/>
  <c r="B58" i="3"/>
  <c r="C58" i="3"/>
  <c r="D58" i="3"/>
  <c r="E58" i="3"/>
  <c r="F58" i="3"/>
  <c r="G58" i="3"/>
  <c r="H58" i="3"/>
  <c r="I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AK58" i="3"/>
  <c r="AL58" i="3"/>
  <c r="AM58" i="3"/>
  <c r="AN58" i="3"/>
  <c r="A59" i="3"/>
  <c r="B59" i="3"/>
  <c r="C59" i="3"/>
  <c r="D59" i="3"/>
  <c r="E59" i="3"/>
  <c r="F59" i="3"/>
  <c r="G59" i="3"/>
  <c r="H59"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AN59" i="3"/>
  <c r="A60" i="3"/>
  <c r="B60" i="3"/>
  <c r="C60" i="3"/>
  <c r="D60" i="3"/>
  <c r="E60" i="3"/>
  <c r="F60" i="3"/>
  <c r="G60" i="3"/>
  <c r="H60" i="3"/>
  <c r="I60" i="3"/>
  <c r="J60" i="3"/>
  <c r="K60" i="3"/>
  <c r="L60" i="3"/>
  <c r="M60" i="3"/>
  <c r="N60" i="3"/>
  <c r="O60" i="3"/>
  <c r="P60" i="3"/>
  <c r="Q60" i="3"/>
  <c r="R60" i="3"/>
  <c r="S60" i="3"/>
  <c r="T60" i="3"/>
  <c r="U60" i="3"/>
  <c r="V60" i="3"/>
  <c r="W60" i="3"/>
  <c r="X60" i="3"/>
  <c r="Y60" i="3"/>
  <c r="Z60" i="3"/>
  <c r="AA60" i="3"/>
  <c r="AB60" i="3"/>
  <c r="AC60" i="3"/>
  <c r="AD60" i="3"/>
  <c r="AE60" i="3"/>
  <c r="AF60" i="3"/>
  <c r="AG60" i="3"/>
  <c r="AH60" i="3"/>
  <c r="AI60" i="3"/>
  <c r="AJ60" i="3"/>
  <c r="AK60" i="3"/>
  <c r="AL60" i="3"/>
  <c r="AM60" i="3"/>
  <c r="AN60" i="3"/>
  <c r="A61" i="3"/>
  <c r="B61" i="3"/>
  <c r="C61" i="3"/>
  <c r="D61" i="3"/>
  <c r="E61" i="3"/>
  <c r="F61" i="3"/>
  <c r="G61" i="3"/>
  <c r="H61" i="3"/>
  <c r="I61" i="3"/>
  <c r="J61" i="3"/>
  <c r="K61" i="3"/>
  <c r="L61" i="3"/>
  <c r="M61" i="3"/>
  <c r="N61" i="3"/>
  <c r="O61" i="3"/>
  <c r="P61" i="3"/>
  <c r="Q61" i="3"/>
  <c r="R61" i="3"/>
  <c r="S61" i="3"/>
  <c r="T61" i="3"/>
  <c r="U61" i="3"/>
  <c r="V61" i="3"/>
  <c r="W61" i="3"/>
  <c r="X61" i="3"/>
  <c r="Y61" i="3"/>
  <c r="Z61" i="3"/>
  <c r="AA61" i="3"/>
  <c r="AB61" i="3"/>
  <c r="AC61" i="3"/>
  <c r="AD61" i="3"/>
  <c r="AE61" i="3"/>
  <c r="AF61" i="3"/>
  <c r="AG61" i="3"/>
  <c r="AH61" i="3"/>
  <c r="AI61" i="3"/>
  <c r="AJ61" i="3"/>
  <c r="AK61" i="3"/>
  <c r="AL61" i="3"/>
  <c r="AM61" i="3"/>
  <c r="AN61" i="3"/>
  <c r="A62" i="3"/>
  <c r="B62" i="3"/>
  <c r="C62" i="3"/>
  <c r="D62" i="3"/>
  <c r="E62" i="3"/>
  <c r="F62" i="3"/>
  <c r="G62" i="3"/>
  <c r="H62" i="3"/>
  <c r="I62" i="3"/>
  <c r="J62" i="3"/>
  <c r="K62" i="3"/>
  <c r="L62" i="3"/>
  <c r="M62" i="3"/>
  <c r="N62" i="3"/>
  <c r="O62" i="3"/>
  <c r="P62" i="3"/>
  <c r="Q62" i="3"/>
  <c r="R62" i="3"/>
  <c r="S62" i="3"/>
  <c r="T62" i="3"/>
  <c r="U62" i="3"/>
  <c r="V62" i="3"/>
  <c r="W62" i="3"/>
  <c r="X62" i="3"/>
  <c r="Y62" i="3"/>
  <c r="Z62" i="3"/>
  <c r="AA62" i="3"/>
  <c r="AB62" i="3"/>
  <c r="AC62" i="3"/>
  <c r="AD62" i="3"/>
  <c r="AE62" i="3"/>
  <c r="AF62" i="3"/>
  <c r="AG62" i="3"/>
  <c r="AH62" i="3"/>
  <c r="AI62" i="3"/>
  <c r="AJ62" i="3"/>
  <c r="AK62" i="3"/>
  <c r="AL62" i="3"/>
  <c r="AM62" i="3"/>
  <c r="AN62" i="3"/>
  <c r="A63" i="3"/>
  <c r="B63" i="3"/>
  <c r="C63" i="3"/>
  <c r="D63" i="3"/>
  <c r="E63" i="3"/>
  <c r="F63" i="3"/>
  <c r="G63" i="3"/>
  <c r="H63" i="3"/>
  <c r="I63" i="3"/>
  <c r="J63" i="3"/>
  <c r="K63" i="3"/>
  <c r="L63" i="3"/>
  <c r="M63" i="3"/>
  <c r="N63" i="3"/>
  <c r="O63" i="3"/>
  <c r="P63" i="3"/>
  <c r="Q63" i="3"/>
  <c r="R63" i="3"/>
  <c r="S63" i="3"/>
  <c r="T63" i="3"/>
  <c r="U63" i="3"/>
  <c r="V63" i="3"/>
  <c r="W63" i="3"/>
  <c r="X63" i="3"/>
  <c r="Y63" i="3"/>
  <c r="Z63" i="3"/>
  <c r="AA63" i="3"/>
  <c r="AB63" i="3"/>
  <c r="AC63" i="3"/>
  <c r="AD63" i="3"/>
  <c r="AE63" i="3"/>
  <c r="AF63" i="3"/>
  <c r="AG63" i="3"/>
  <c r="AH63" i="3"/>
  <c r="AI63" i="3"/>
  <c r="AJ63" i="3"/>
  <c r="AK63" i="3"/>
  <c r="AL63" i="3"/>
  <c r="AM63" i="3"/>
  <c r="AN63" i="3"/>
  <c r="A64" i="3"/>
  <c r="B64" i="3"/>
  <c r="C64" i="3"/>
  <c r="D64" i="3"/>
  <c r="E64" i="3"/>
  <c r="F64" i="3"/>
  <c r="G64" i="3"/>
  <c r="H64" i="3"/>
  <c r="I64" i="3"/>
  <c r="J64" i="3"/>
  <c r="K64" i="3"/>
  <c r="L64" i="3"/>
  <c r="M64" i="3"/>
  <c r="N64" i="3"/>
  <c r="O64" i="3"/>
  <c r="P64" i="3"/>
  <c r="Q64" i="3"/>
  <c r="R64" i="3"/>
  <c r="S64" i="3"/>
  <c r="T64" i="3"/>
  <c r="U64" i="3"/>
  <c r="V64" i="3"/>
  <c r="W64" i="3"/>
  <c r="X64" i="3"/>
  <c r="Y64" i="3"/>
  <c r="Z64" i="3"/>
  <c r="AA64" i="3"/>
  <c r="AB64" i="3"/>
  <c r="AC64" i="3"/>
  <c r="AD64" i="3"/>
  <c r="AE64" i="3"/>
  <c r="AF64" i="3"/>
  <c r="AG64" i="3"/>
  <c r="AH64" i="3"/>
  <c r="AI64" i="3"/>
  <c r="AJ64" i="3"/>
  <c r="AK64" i="3"/>
  <c r="AL64" i="3"/>
  <c r="AM64" i="3"/>
  <c r="AN64" i="3"/>
  <c r="A65" i="3"/>
  <c r="B65" i="3"/>
  <c r="C65" i="3"/>
  <c r="D65" i="3"/>
  <c r="E65" i="3"/>
  <c r="F65" i="3"/>
  <c r="G65" i="3"/>
  <c r="H65" i="3"/>
  <c r="I65" i="3"/>
  <c r="J65" i="3"/>
  <c r="K65" i="3"/>
  <c r="L65" i="3"/>
  <c r="M65" i="3"/>
  <c r="N65" i="3"/>
  <c r="O65" i="3"/>
  <c r="P65" i="3"/>
  <c r="Q65" i="3"/>
  <c r="R65" i="3"/>
  <c r="S65" i="3"/>
  <c r="T65" i="3"/>
  <c r="U65" i="3"/>
  <c r="V65" i="3"/>
  <c r="W65" i="3"/>
  <c r="X65" i="3"/>
  <c r="Y65" i="3"/>
  <c r="Z65" i="3"/>
  <c r="AA65" i="3"/>
  <c r="AB65" i="3"/>
  <c r="AC65" i="3"/>
  <c r="AD65" i="3"/>
  <c r="AE65" i="3"/>
  <c r="AF65" i="3"/>
  <c r="AG65" i="3"/>
  <c r="AH65" i="3"/>
  <c r="AI65" i="3"/>
  <c r="AJ65" i="3"/>
  <c r="AK65" i="3"/>
  <c r="AL65" i="3"/>
  <c r="AM65" i="3"/>
  <c r="AN65" i="3"/>
  <c r="A66" i="3"/>
  <c r="B66" i="3"/>
  <c r="C66" i="3"/>
  <c r="D66" i="3"/>
  <c r="E66" i="3"/>
  <c r="F66" i="3"/>
  <c r="G66" i="3"/>
  <c r="H66" i="3"/>
  <c r="I66" i="3"/>
  <c r="J66" i="3"/>
  <c r="K66" i="3"/>
  <c r="L66" i="3"/>
  <c r="M66" i="3"/>
  <c r="N66" i="3"/>
  <c r="O66" i="3"/>
  <c r="P66" i="3"/>
  <c r="Q66" i="3"/>
  <c r="R66" i="3"/>
  <c r="S66" i="3"/>
  <c r="T66" i="3"/>
  <c r="U66" i="3"/>
  <c r="V66" i="3"/>
  <c r="W66" i="3"/>
  <c r="X66" i="3"/>
  <c r="Y66" i="3"/>
  <c r="Z66" i="3"/>
  <c r="AA66" i="3"/>
  <c r="AB66" i="3"/>
  <c r="AC66" i="3"/>
  <c r="AD66" i="3"/>
  <c r="AE66" i="3"/>
  <c r="AF66" i="3"/>
  <c r="AG66" i="3"/>
  <c r="AH66" i="3"/>
  <c r="AI66" i="3"/>
  <c r="AJ66" i="3"/>
  <c r="AK66" i="3"/>
  <c r="AL66" i="3"/>
  <c r="AM66" i="3"/>
  <c r="AN66" i="3"/>
  <c r="A67" i="3"/>
  <c r="B67" i="3"/>
  <c r="C67" i="3"/>
  <c r="D67" i="3"/>
  <c r="E67" i="3"/>
  <c r="F67" i="3"/>
  <c r="G67" i="3"/>
  <c r="H67" i="3"/>
  <c r="I67" i="3"/>
  <c r="J67" i="3"/>
  <c r="K67" i="3"/>
  <c r="L67" i="3"/>
  <c r="M67" i="3"/>
  <c r="N67" i="3"/>
  <c r="O67" i="3"/>
  <c r="P67" i="3"/>
  <c r="Q67" i="3"/>
  <c r="R67" i="3"/>
  <c r="S67" i="3"/>
  <c r="T67" i="3"/>
  <c r="U67" i="3"/>
  <c r="V67" i="3"/>
  <c r="W67" i="3"/>
  <c r="X67" i="3"/>
  <c r="Y67" i="3"/>
  <c r="Z67" i="3"/>
  <c r="AA67" i="3"/>
  <c r="AB67" i="3"/>
  <c r="AC67" i="3"/>
  <c r="AD67" i="3"/>
  <c r="AE67" i="3"/>
  <c r="AF67" i="3"/>
  <c r="AG67" i="3"/>
  <c r="AH67" i="3"/>
  <c r="AI67" i="3"/>
  <c r="AJ67" i="3"/>
  <c r="AK67" i="3"/>
  <c r="AL67" i="3"/>
  <c r="AM67" i="3"/>
  <c r="AN67" i="3"/>
  <c r="A68" i="3"/>
  <c r="B68" i="3"/>
  <c r="C68" i="3"/>
  <c r="D68" i="3"/>
  <c r="E68" i="3"/>
  <c r="F68" i="3"/>
  <c r="G68" i="3"/>
  <c r="H68" i="3"/>
  <c r="I68" i="3"/>
  <c r="J68" i="3"/>
  <c r="K68" i="3"/>
  <c r="L68" i="3"/>
  <c r="M68" i="3"/>
  <c r="N68" i="3"/>
  <c r="O68" i="3"/>
  <c r="P68" i="3"/>
  <c r="Q68" i="3"/>
  <c r="R68" i="3"/>
  <c r="S68" i="3"/>
  <c r="T68" i="3"/>
  <c r="U68" i="3"/>
  <c r="V68" i="3"/>
  <c r="W68" i="3"/>
  <c r="X68" i="3"/>
  <c r="Y68" i="3"/>
  <c r="Z68" i="3"/>
  <c r="AA68" i="3"/>
  <c r="AB68" i="3"/>
  <c r="AC68" i="3"/>
  <c r="AD68" i="3"/>
  <c r="AE68" i="3"/>
  <c r="AF68" i="3"/>
  <c r="AG68" i="3"/>
  <c r="AH68" i="3"/>
  <c r="AI68" i="3"/>
  <c r="AJ68" i="3"/>
  <c r="AK68" i="3"/>
  <c r="AL68" i="3"/>
  <c r="AM68" i="3"/>
  <c r="AN68" i="3"/>
  <c r="A69" i="3"/>
  <c r="B69" i="3"/>
  <c r="C69" i="3"/>
  <c r="D69" i="3"/>
  <c r="E69" i="3"/>
  <c r="F69" i="3"/>
  <c r="G69" i="3"/>
  <c r="H69" i="3"/>
  <c r="I69" i="3"/>
  <c r="J69" i="3"/>
  <c r="K69" i="3"/>
  <c r="L69" i="3"/>
  <c r="M69" i="3"/>
  <c r="N69" i="3"/>
  <c r="O69" i="3"/>
  <c r="P69" i="3"/>
  <c r="Q69" i="3"/>
  <c r="R69" i="3"/>
  <c r="S69" i="3"/>
  <c r="T69" i="3"/>
  <c r="U69" i="3"/>
  <c r="V69" i="3"/>
  <c r="W69" i="3"/>
  <c r="X69" i="3"/>
  <c r="Y69" i="3"/>
  <c r="Z69" i="3"/>
  <c r="AA69" i="3"/>
  <c r="AB69" i="3"/>
  <c r="AC69" i="3"/>
  <c r="AD69" i="3"/>
  <c r="AE69" i="3"/>
  <c r="AF69" i="3"/>
  <c r="AG69" i="3"/>
  <c r="AH69" i="3"/>
  <c r="AI69" i="3"/>
  <c r="AJ69" i="3"/>
  <c r="AK69" i="3"/>
  <c r="AL69" i="3"/>
  <c r="AM69" i="3"/>
  <c r="AN69" i="3"/>
  <c r="A70" i="3"/>
  <c r="B70" i="3"/>
  <c r="C70" i="3"/>
  <c r="D70" i="3"/>
  <c r="E70" i="3"/>
  <c r="F70" i="3"/>
  <c r="G70" i="3"/>
  <c r="H70" i="3"/>
  <c r="I70" i="3"/>
  <c r="J70" i="3"/>
  <c r="K70" i="3"/>
  <c r="L70" i="3"/>
  <c r="M70" i="3"/>
  <c r="N70" i="3"/>
  <c r="O70" i="3"/>
  <c r="P70" i="3"/>
  <c r="Q70" i="3"/>
  <c r="R70" i="3"/>
  <c r="S70" i="3"/>
  <c r="T70" i="3"/>
  <c r="U70" i="3"/>
  <c r="V70" i="3"/>
  <c r="W70" i="3"/>
  <c r="X70" i="3"/>
  <c r="Y70" i="3"/>
  <c r="Z70" i="3"/>
  <c r="AA70" i="3"/>
  <c r="AB70" i="3"/>
  <c r="AC70" i="3"/>
  <c r="AD70" i="3"/>
  <c r="AE70" i="3"/>
  <c r="AF70" i="3"/>
  <c r="AG70" i="3"/>
  <c r="AH70" i="3"/>
  <c r="AI70" i="3"/>
  <c r="AJ70" i="3"/>
  <c r="AK70" i="3"/>
  <c r="AL70" i="3"/>
  <c r="AM70" i="3"/>
  <c r="AN70" i="3"/>
  <c r="A71" i="3"/>
  <c r="B71" i="3"/>
  <c r="C71" i="3"/>
  <c r="D71" i="3"/>
  <c r="E71" i="3"/>
  <c r="F71" i="3"/>
  <c r="G71" i="3"/>
  <c r="H71" i="3"/>
  <c r="I71" i="3"/>
  <c r="J71" i="3"/>
  <c r="K71" i="3"/>
  <c r="L71" i="3"/>
  <c r="M71" i="3"/>
  <c r="N71" i="3"/>
  <c r="O71" i="3"/>
  <c r="P71" i="3"/>
  <c r="Q71" i="3"/>
  <c r="R71" i="3"/>
  <c r="S71" i="3"/>
  <c r="T71" i="3"/>
  <c r="U71" i="3"/>
  <c r="V71" i="3"/>
  <c r="W71" i="3"/>
  <c r="X71" i="3"/>
  <c r="Y71" i="3"/>
  <c r="Z71" i="3"/>
  <c r="AA71" i="3"/>
  <c r="AB71" i="3"/>
  <c r="AC71" i="3"/>
  <c r="AD71" i="3"/>
  <c r="AE71" i="3"/>
  <c r="AF71" i="3"/>
  <c r="AG71" i="3"/>
  <c r="AH71" i="3"/>
  <c r="AI71" i="3"/>
  <c r="AJ71" i="3"/>
  <c r="AK71" i="3"/>
  <c r="AL71" i="3"/>
  <c r="AM71" i="3"/>
  <c r="AN71" i="3"/>
  <c r="A72" i="3"/>
  <c r="B72" i="3"/>
  <c r="C72" i="3"/>
  <c r="D72" i="3"/>
  <c r="E72" i="3"/>
  <c r="F72" i="3"/>
  <c r="G72" i="3"/>
  <c r="H72" i="3"/>
  <c r="I72" i="3"/>
  <c r="J72" i="3"/>
  <c r="K72" i="3"/>
  <c r="L72" i="3"/>
  <c r="M72" i="3"/>
  <c r="N72" i="3"/>
  <c r="O72" i="3"/>
  <c r="P72" i="3"/>
  <c r="Q72" i="3"/>
  <c r="R72" i="3"/>
  <c r="S72" i="3"/>
  <c r="T72" i="3"/>
  <c r="U72" i="3"/>
  <c r="V72" i="3"/>
  <c r="W72" i="3"/>
  <c r="X72" i="3"/>
  <c r="Y72" i="3"/>
  <c r="Z72" i="3"/>
  <c r="AA72" i="3"/>
  <c r="AB72" i="3"/>
  <c r="AC72" i="3"/>
  <c r="AD72" i="3"/>
  <c r="AE72" i="3"/>
  <c r="AF72" i="3"/>
  <c r="AG72" i="3"/>
  <c r="AH72" i="3"/>
  <c r="AI72" i="3"/>
  <c r="AJ72" i="3"/>
  <c r="AK72" i="3"/>
  <c r="AL72" i="3"/>
  <c r="AM72" i="3"/>
  <c r="AN72" i="3"/>
  <c r="A73" i="3"/>
  <c r="B73" i="3"/>
  <c r="C73" i="3"/>
  <c r="D73" i="3"/>
  <c r="E73" i="3"/>
  <c r="F73" i="3"/>
  <c r="G73" i="3"/>
  <c r="H73" i="3"/>
  <c r="I73" i="3"/>
  <c r="J73" i="3"/>
  <c r="K73" i="3"/>
  <c r="L73" i="3"/>
  <c r="M73" i="3"/>
  <c r="N73" i="3"/>
  <c r="O73" i="3"/>
  <c r="P73" i="3"/>
  <c r="Q73" i="3"/>
  <c r="R73" i="3"/>
  <c r="S73" i="3"/>
  <c r="T73" i="3"/>
  <c r="U73" i="3"/>
  <c r="V73" i="3"/>
  <c r="W73" i="3"/>
  <c r="X73" i="3"/>
  <c r="Y73" i="3"/>
  <c r="Z73" i="3"/>
  <c r="AA73" i="3"/>
  <c r="AB73" i="3"/>
  <c r="AC73" i="3"/>
  <c r="AD73" i="3"/>
  <c r="AE73" i="3"/>
  <c r="AF73" i="3"/>
  <c r="AG73" i="3"/>
  <c r="AH73" i="3"/>
  <c r="AI73" i="3"/>
  <c r="AJ73" i="3"/>
  <c r="AK73" i="3"/>
  <c r="AL73" i="3"/>
  <c r="AM73" i="3"/>
  <c r="AN73" i="3"/>
  <c r="A74" i="3"/>
  <c r="B74" i="3"/>
  <c r="C74" i="3"/>
  <c r="D74" i="3"/>
  <c r="E74" i="3"/>
  <c r="F74" i="3"/>
  <c r="G74" i="3"/>
  <c r="H74" i="3"/>
  <c r="I74" i="3"/>
  <c r="J74" i="3"/>
  <c r="K74" i="3"/>
  <c r="L74" i="3"/>
  <c r="M74" i="3"/>
  <c r="N74" i="3"/>
  <c r="O74" i="3"/>
  <c r="P74" i="3"/>
  <c r="Q74" i="3"/>
  <c r="R74" i="3"/>
  <c r="S74" i="3"/>
  <c r="T74" i="3"/>
  <c r="U74" i="3"/>
  <c r="V74" i="3"/>
  <c r="W74" i="3"/>
  <c r="X74" i="3"/>
  <c r="Y74" i="3"/>
  <c r="Z74" i="3"/>
  <c r="AA74" i="3"/>
  <c r="AB74" i="3"/>
  <c r="AC74" i="3"/>
  <c r="AD74" i="3"/>
  <c r="AE74" i="3"/>
  <c r="AF74" i="3"/>
  <c r="AG74" i="3"/>
  <c r="AH74" i="3"/>
  <c r="AI74" i="3"/>
  <c r="AJ74" i="3"/>
  <c r="AK74" i="3"/>
  <c r="AL74" i="3"/>
  <c r="AM74" i="3"/>
  <c r="AN74" i="3"/>
  <c r="A75" i="3"/>
  <c r="B75" i="3"/>
  <c r="C75" i="3"/>
  <c r="D75" i="3"/>
  <c r="E75" i="3"/>
  <c r="F75" i="3"/>
  <c r="G75" i="3"/>
  <c r="H75" i="3"/>
  <c r="I75" i="3"/>
  <c r="J75" i="3"/>
  <c r="K75" i="3"/>
  <c r="L75" i="3"/>
  <c r="M75" i="3"/>
  <c r="N75" i="3"/>
  <c r="O75" i="3"/>
  <c r="P75" i="3"/>
  <c r="Q75" i="3"/>
  <c r="R75" i="3"/>
  <c r="S75" i="3"/>
  <c r="T75" i="3"/>
  <c r="U75" i="3"/>
  <c r="V75" i="3"/>
  <c r="W75" i="3"/>
  <c r="X75" i="3"/>
  <c r="Y75" i="3"/>
  <c r="Z75" i="3"/>
  <c r="AA75" i="3"/>
  <c r="AB75" i="3"/>
  <c r="AC75" i="3"/>
  <c r="AD75" i="3"/>
  <c r="AE75" i="3"/>
  <c r="AF75" i="3"/>
  <c r="AG75" i="3"/>
  <c r="AH75" i="3"/>
  <c r="AI75" i="3"/>
  <c r="AJ75" i="3"/>
  <c r="AK75" i="3"/>
  <c r="AL75" i="3"/>
  <c r="AM75" i="3"/>
  <c r="AN75" i="3"/>
  <c r="A76" i="3"/>
  <c r="B76" i="3"/>
  <c r="C76" i="3"/>
  <c r="D76" i="3"/>
  <c r="E76" i="3"/>
  <c r="F76" i="3"/>
  <c r="G76" i="3"/>
  <c r="H76" i="3"/>
  <c r="I76" i="3"/>
  <c r="J76" i="3"/>
  <c r="K76" i="3"/>
  <c r="L76" i="3"/>
  <c r="M76" i="3"/>
  <c r="N76" i="3"/>
  <c r="O76" i="3"/>
  <c r="P76" i="3"/>
  <c r="Q76" i="3"/>
  <c r="R76" i="3"/>
  <c r="S76" i="3"/>
  <c r="T76" i="3"/>
  <c r="U76" i="3"/>
  <c r="V76" i="3"/>
  <c r="W76" i="3"/>
  <c r="X76" i="3"/>
  <c r="Y76" i="3"/>
  <c r="Z76" i="3"/>
  <c r="AA76" i="3"/>
  <c r="AB76" i="3"/>
  <c r="AC76" i="3"/>
  <c r="AD76" i="3"/>
  <c r="AE76" i="3"/>
  <c r="AF76" i="3"/>
  <c r="AG76" i="3"/>
  <c r="AH76" i="3"/>
  <c r="AI76" i="3"/>
  <c r="AJ76" i="3"/>
  <c r="AK76" i="3"/>
  <c r="AL76" i="3"/>
  <c r="AM76" i="3"/>
  <c r="AN76" i="3"/>
  <c r="A77" i="3"/>
  <c r="B77" i="3"/>
  <c r="C77" i="3"/>
  <c r="D77" i="3"/>
  <c r="E77" i="3"/>
  <c r="F77" i="3"/>
  <c r="G77" i="3"/>
  <c r="H77" i="3"/>
  <c r="I77" i="3"/>
  <c r="J77" i="3"/>
  <c r="K77" i="3"/>
  <c r="L77" i="3"/>
  <c r="M77" i="3"/>
  <c r="N77" i="3"/>
  <c r="O77" i="3"/>
  <c r="P77" i="3"/>
  <c r="Q77" i="3"/>
  <c r="R77" i="3"/>
  <c r="S77" i="3"/>
  <c r="T77" i="3"/>
  <c r="U77" i="3"/>
  <c r="V77" i="3"/>
  <c r="W77" i="3"/>
  <c r="X77" i="3"/>
  <c r="Y77" i="3"/>
  <c r="Z77" i="3"/>
  <c r="AA77" i="3"/>
  <c r="AB77" i="3"/>
  <c r="AC77" i="3"/>
  <c r="AD77" i="3"/>
  <c r="AE77" i="3"/>
  <c r="AF77" i="3"/>
  <c r="AG77" i="3"/>
  <c r="AH77" i="3"/>
  <c r="AI77" i="3"/>
  <c r="AJ77" i="3"/>
  <c r="AK77" i="3"/>
  <c r="AL77" i="3"/>
  <c r="AM77" i="3"/>
  <c r="AN77" i="3"/>
  <c r="A78" i="3"/>
  <c r="B78" i="3"/>
  <c r="C78" i="3"/>
  <c r="D78" i="3"/>
  <c r="E78" i="3"/>
  <c r="F78" i="3"/>
  <c r="G78" i="3"/>
  <c r="H78" i="3"/>
  <c r="I78" i="3"/>
  <c r="J78" i="3"/>
  <c r="K78" i="3"/>
  <c r="L78" i="3"/>
  <c r="M78" i="3"/>
  <c r="N78" i="3"/>
  <c r="O78" i="3"/>
  <c r="P78" i="3"/>
  <c r="Q78" i="3"/>
  <c r="R78" i="3"/>
  <c r="S78" i="3"/>
  <c r="T78" i="3"/>
  <c r="U78" i="3"/>
  <c r="V78" i="3"/>
  <c r="W78" i="3"/>
  <c r="X78" i="3"/>
  <c r="Y78" i="3"/>
  <c r="Z78" i="3"/>
  <c r="AA78" i="3"/>
  <c r="AB78" i="3"/>
  <c r="AC78" i="3"/>
  <c r="AD78" i="3"/>
  <c r="AE78" i="3"/>
  <c r="AF78" i="3"/>
  <c r="AG78" i="3"/>
  <c r="AH78" i="3"/>
  <c r="AI78" i="3"/>
  <c r="AJ78" i="3"/>
  <c r="AK78" i="3"/>
  <c r="AL78" i="3"/>
  <c r="AM78" i="3"/>
  <c r="AN78" i="3"/>
  <c r="A79" i="3"/>
  <c r="B79" i="3"/>
  <c r="C79" i="3"/>
  <c r="D79" i="3"/>
  <c r="E79" i="3"/>
  <c r="F79" i="3"/>
  <c r="G79" i="3"/>
  <c r="H79" i="3"/>
  <c r="I79" i="3"/>
  <c r="J79" i="3"/>
  <c r="K79" i="3"/>
  <c r="L79" i="3"/>
  <c r="M79" i="3"/>
  <c r="N79" i="3"/>
  <c r="O79" i="3"/>
  <c r="P79" i="3"/>
  <c r="Q79" i="3"/>
  <c r="R79" i="3"/>
  <c r="S79" i="3"/>
  <c r="T79" i="3"/>
  <c r="U79" i="3"/>
  <c r="V79" i="3"/>
  <c r="W79" i="3"/>
  <c r="X79" i="3"/>
  <c r="Y79" i="3"/>
  <c r="Z79" i="3"/>
  <c r="AA79" i="3"/>
  <c r="AB79" i="3"/>
  <c r="AC79" i="3"/>
  <c r="AD79" i="3"/>
  <c r="AE79" i="3"/>
  <c r="AF79" i="3"/>
  <c r="AG79" i="3"/>
  <c r="AH79" i="3"/>
  <c r="AI79" i="3"/>
  <c r="AJ79" i="3"/>
  <c r="AK79" i="3"/>
  <c r="AL79" i="3"/>
  <c r="AM79" i="3"/>
  <c r="AN79" i="3"/>
  <c r="A80" i="3"/>
  <c r="B80" i="3"/>
  <c r="C80" i="3"/>
  <c r="D80" i="3"/>
  <c r="E80" i="3"/>
  <c r="F80" i="3"/>
  <c r="G80" i="3"/>
  <c r="H80" i="3"/>
  <c r="I80" i="3"/>
  <c r="J80" i="3"/>
  <c r="K80" i="3"/>
  <c r="L80" i="3"/>
  <c r="M80" i="3"/>
  <c r="N80" i="3"/>
  <c r="O80" i="3"/>
  <c r="P80" i="3"/>
  <c r="Q80" i="3"/>
  <c r="R80" i="3"/>
  <c r="S80" i="3"/>
  <c r="T80" i="3"/>
  <c r="U80" i="3"/>
  <c r="V80" i="3"/>
  <c r="W80" i="3"/>
  <c r="X80" i="3"/>
  <c r="Y80" i="3"/>
  <c r="Z80" i="3"/>
  <c r="AA80" i="3"/>
  <c r="AB80" i="3"/>
  <c r="AC80" i="3"/>
  <c r="AD80" i="3"/>
  <c r="AE80" i="3"/>
  <c r="AF80" i="3"/>
  <c r="AG80" i="3"/>
  <c r="AH80" i="3"/>
  <c r="AI80" i="3"/>
  <c r="AJ80" i="3"/>
  <c r="AK80" i="3"/>
  <c r="AL80" i="3"/>
  <c r="AM80" i="3"/>
  <c r="AN80" i="3"/>
  <c r="A81" i="3"/>
  <c r="B81" i="3"/>
  <c r="C81" i="3"/>
  <c r="D81" i="3"/>
  <c r="E81" i="3"/>
  <c r="F81" i="3"/>
  <c r="G81" i="3"/>
  <c r="H81" i="3"/>
  <c r="I81" i="3"/>
  <c r="J81" i="3"/>
  <c r="K81" i="3"/>
  <c r="L81" i="3"/>
  <c r="M81" i="3"/>
  <c r="N81" i="3"/>
  <c r="O81" i="3"/>
  <c r="P81" i="3"/>
  <c r="Q81" i="3"/>
  <c r="R81" i="3"/>
  <c r="S81" i="3"/>
  <c r="T81" i="3"/>
  <c r="U81" i="3"/>
  <c r="V81" i="3"/>
  <c r="W81" i="3"/>
  <c r="X81" i="3"/>
  <c r="Y81" i="3"/>
  <c r="Z81" i="3"/>
  <c r="AA81" i="3"/>
  <c r="AB81" i="3"/>
  <c r="AC81" i="3"/>
  <c r="AD81" i="3"/>
  <c r="AE81" i="3"/>
  <c r="AF81" i="3"/>
  <c r="AG81" i="3"/>
  <c r="AH81" i="3"/>
  <c r="AI81" i="3"/>
  <c r="AJ81" i="3"/>
  <c r="AK81" i="3"/>
  <c r="AL81" i="3"/>
  <c r="AM81" i="3"/>
  <c r="AN81" i="3"/>
  <c r="A82" i="3"/>
  <c r="B82" i="3"/>
  <c r="C82" i="3"/>
  <c r="D82" i="3"/>
  <c r="E82" i="3"/>
  <c r="F82" i="3"/>
  <c r="G82" i="3"/>
  <c r="H82" i="3"/>
  <c r="I82" i="3"/>
  <c r="J82" i="3"/>
  <c r="K82" i="3"/>
  <c r="L82" i="3"/>
  <c r="M82" i="3"/>
  <c r="N82" i="3"/>
  <c r="O82" i="3"/>
  <c r="P82" i="3"/>
  <c r="Q82" i="3"/>
  <c r="R82" i="3"/>
  <c r="S82" i="3"/>
  <c r="T82" i="3"/>
  <c r="U82" i="3"/>
  <c r="V82" i="3"/>
  <c r="W82" i="3"/>
  <c r="X82" i="3"/>
  <c r="Y82" i="3"/>
  <c r="Z82" i="3"/>
  <c r="AA82" i="3"/>
  <c r="AB82" i="3"/>
  <c r="AC82" i="3"/>
  <c r="AD82" i="3"/>
  <c r="AE82" i="3"/>
  <c r="AF82" i="3"/>
  <c r="AG82" i="3"/>
  <c r="AH82" i="3"/>
  <c r="AI82" i="3"/>
  <c r="AJ82" i="3"/>
  <c r="AK82" i="3"/>
  <c r="AL82" i="3"/>
  <c r="AM82" i="3"/>
  <c r="AN82" i="3"/>
  <c r="A83" i="3"/>
  <c r="B83" i="3"/>
  <c r="C83" i="3"/>
  <c r="D83" i="3"/>
  <c r="E83" i="3"/>
  <c r="F83" i="3"/>
  <c r="G83" i="3"/>
  <c r="H83" i="3"/>
  <c r="I83" i="3"/>
  <c r="J83" i="3"/>
  <c r="K83" i="3"/>
  <c r="L83" i="3"/>
  <c r="M83" i="3"/>
  <c r="N83" i="3"/>
  <c r="O83" i="3"/>
  <c r="P83" i="3"/>
  <c r="Q83" i="3"/>
  <c r="R83" i="3"/>
  <c r="S83" i="3"/>
  <c r="T83" i="3"/>
  <c r="U83" i="3"/>
  <c r="V83" i="3"/>
  <c r="W83" i="3"/>
  <c r="X83" i="3"/>
  <c r="Y83" i="3"/>
  <c r="Z83" i="3"/>
  <c r="AA83" i="3"/>
  <c r="AB83" i="3"/>
  <c r="AC83" i="3"/>
  <c r="AD83" i="3"/>
  <c r="AE83" i="3"/>
  <c r="AF83" i="3"/>
  <c r="AG83" i="3"/>
  <c r="AH83" i="3"/>
  <c r="AI83" i="3"/>
  <c r="AJ83" i="3"/>
  <c r="AK83" i="3"/>
  <c r="AL83" i="3"/>
  <c r="AM83" i="3"/>
  <c r="AN83" i="3"/>
  <c r="A84" i="3"/>
  <c r="B84" i="3"/>
  <c r="C84" i="3"/>
  <c r="D84" i="3"/>
  <c r="E84" i="3"/>
  <c r="F84" i="3"/>
  <c r="G84" i="3"/>
  <c r="H84" i="3"/>
  <c r="I84" i="3"/>
  <c r="J84" i="3"/>
  <c r="K84" i="3"/>
  <c r="L84" i="3"/>
  <c r="M84" i="3"/>
  <c r="N84" i="3"/>
  <c r="O84" i="3"/>
  <c r="P84" i="3"/>
  <c r="Q84" i="3"/>
  <c r="R84" i="3"/>
  <c r="S84" i="3"/>
  <c r="T84" i="3"/>
  <c r="U84" i="3"/>
  <c r="V84" i="3"/>
  <c r="W84" i="3"/>
  <c r="X84" i="3"/>
  <c r="Y84" i="3"/>
  <c r="Z84" i="3"/>
  <c r="AA84" i="3"/>
  <c r="AB84" i="3"/>
  <c r="AC84" i="3"/>
  <c r="AD84" i="3"/>
  <c r="AE84" i="3"/>
  <c r="AF84" i="3"/>
  <c r="AG84" i="3"/>
  <c r="AH84" i="3"/>
  <c r="AI84" i="3"/>
  <c r="AJ84" i="3"/>
  <c r="AK84" i="3"/>
  <c r="AL84" i="3"/>
  <c r="AM84" i="3"/>
  <c r="AN84" i="3"/>
  <c r="A85" i="3"/>
  <c r="B85" i="3"/>
  <c r="C85" i="3"/>
  <c r="D85" i="3"/>
  <c r="E85" i="3"/>
  <c r="F85" i="3"/>
  <c r="G85" i="3"/>
  <c r="H85" i="3"/>
  <c r="I85" i="3"/>
  <c r="J85" i="3"/>
  <c r="K85" i="3"/>
  <c r="L85" i="3"/>
  <c r="M85" i="3"/>
  <c r="N85" i="3"/>
  <c r="O85" i="3"/>
  <c r="P85" i="3"/>
  <c r="Q85" i="3"/>
  <c r="R85" i="3"/>
  <c r="S85" i="3"/>
  <c r="T85" i="3"/>
  <c r="U85" i="3"/>
  <c r="V85" i="3"/>
  <c r="W85" i="3"/>
  <c r="X85" i="3"/>
  <c r="Y85" i="3"/>
  <c r="Z85" i="3"/>
  <c r="AA85" i="3"/>
  <c r="AB85" i="3"/>
  <c r="AC85" i="3"/>
  <c r="AD85" i="3"/>
  <c r="AE85" i="3"/>
  <c r="AF85" i="3"/>
  <c r="AG85" i="3"/>
  <c r="AH85" i="3"/>
  <c r="AI85" i="3"/>
  <c r="AJ85" i="3"/>
  <c r="AK85" i="3"/>
  <c r="AL85" i="3"/>
  <c r="AM85" i="3"/>
  <c r="AN85" i="3"/>
  <c r="A86" i="3"/>
  <c r="B86" i="3"/>
  <c r="C86" i="3"/>
  <c r="D86" i="3"/>
  <c r="E86" i="3"/>
  <c r="F86" i="3"/>
  <c r="G86" i="3"/>
  <c r="H86" i="3"/>
  <c r="I86" i="3"/>
  <c r="J86" i="3"/>
  <c r="K86" i="3"/>
  <c r="L86" i="3"/>
  <c r="M86" i="3"/>
  <c r="N86" i="3"/>
  <c r="O86" i="3"/>
  <c r="P86" i="3"/>
  <c r="Q86" i="3"/>
  <c r="R86" i="3"/>
  <c r="S86" i="3"/>
  <c r="T86" i="3"/>
  <c r="U86" i="3"/>
  <c r="V86" i="3"/>
  <c r="W86" i="3"/>
  <c r="X86" i="3"/>
  <c r="Y86" i="3"/>
  <c r="Z86" i="3"/>
  <c r="AA86" i="3"/>
  <c r="AB86" i="3"/>
  <c r="AC86" i="3"/>
  <c r="AD86" i="3"/>
  <c r="AE86" i="3"/>
  <c r="AF86" i="3"/>
  <c r="AG86" i="3"/>
  <c r="AH86" i="3"/>
  <c r="AI86" i="3"/>
  <c r="AJ86" i="3"/>
  <c r="AK86" i="3"/>
  <c r="AL86" i="3"/>
  <c r="AM86" i="3"/>
  <c r="AN86" i="3"/>
  <c r="A87" i="3"/>
  <c r="B87" i="3"/>
  <c r="C87" i="3"/>
  <c r="D87" i="3"/>
  <c r="E87" i="3"/>
  <c r="F87" i="3"/>
  <c r="G87" i="3"/>
  <c r="H87" i="3"/>
  <c r="I87" i="3"/>
  <c r="J87" i="3"/>
  <c r="K87" i="3"/>
  <c r="L87" i="3"/>
  <c r="M87" i="3"/>
  <c r="N87" i="3"/>
  <c r="O87" i="3"/>
  <c r="P87" i="3"/>
  <c r="Q87" i="3"/>
  <c r="R87" i="3"/>
  <c r="S87" i="3"/>
  <c r="T87" i="3"/>
  <c r="U87" i="3"/>
  <c r="V87" i="3"/>
  <c r="W87" i="3"/>
  <c r="X87" i="3"/>
  <c r="Y87" i="3"/>
  <c r="Z87" i="3"/>
  <c r="AA87" i="3"/>
  <c r="AB87" i="3"/>
  <c r="AC87" i="3"/>
  <c r="AD87" i="3"/>
  <c r="AE87" i="3"/>
  <c r="AF87" i="3"/>
  <c r="AG87" i="3"/>
  <c r="AH87" i="3"/>
  <c r="AI87" i="3"/>
  <c r="AJ87" i="3"/>
  <c r="AK87" i="3"/>
  <c r="AL87" i="3"/>
  <c r="AM87" i="3"/>
  <c r="AN87" i="3"/>
  <c r="A88" i="3"/>
  <c r="B88" i="3"/>
  <c r="C88" i="3"/>
  <c r="D88" i="3"/>
  <c r="E88" i="3"/>
  <c r="F88" i="3"/>
  <c r="G88" i="3"/>
  <c r="H88" i="3"/>
  <c r="I88" i="3"/>
  <c r="J88" i="3"/>
  <c r="K88" i="3"/>
  <c r="L88" i="3"/>
  <c r="M88" i="3"/>
  <c r="N88" i="3"/>
  <c r="O88" i="3"/>
  <c r="P88" i="3"/>
  <c r="Q88" i="3"/>
  <c r="R88" i="3"/>
  <c r="S88" i="3"/>
  <c r="T88" i="3"/>
  <c r="U88" i="3"/>
  <c r="V88" i="3"/>
  <c r="W88" i="3"/>
  <c r="X88" i="3"/>
  <c r="Y88" i="3"/>
  <c r="Z88" i="3"/>
  <c r="AA88" i="3"/>
  <c r="AB88" i="3"/>
  <c r="AC88" i="3"/>
  <c r="AD88" i="3"/>
  <c r="AE88" i="3"/>
  <c r="AF88" i="3"/>
  <c r="AG88" i="3"/>
  <c r="AH88" i="3"/>
  <c r="AI88" i="3"/>
  <c r="AJ88" i="3"/>
  <c r="AK88" i="3"/>
  <c r="AL88" i="3"/>
  <c r="AM88" i="3"/>
  <c r="AN88" i="3"/>
  <c r="A89" i="3"/>
  <c r="B89" i="3"/>
  <c r="C89" i="3"/>
  <c r="D89" i="3"/>
  <c r="E89" i="3"/>
  <c r="F89" i="3"/>
  <c r="G89" i="3"/>
  <c r="H89" i="3"/>
  <c r="I89" i="3"/>
  <c r="J89" i="3"/>
  <c r="K89" i="3"/>
  <c r="L89" i="3"/>
  <c r="M89" i="3"/>
  <c r="N89" i="3"/>
  <c r="O89" i="3"/>
  <c r="P89" i="3"/>
  <c r="Q89" i="3"/>
  <c r="R89" i="3"/>
  <c r="S89" i="3"/>
  <c r="T89" i="3"/>
  <c r="U89" i="3"/>
  <c r="V89" i="3"/>
  <c r="W89" i="3"/>
  <c r="X89" i="3"/>
  <c r="Y89" i="3"/>
  <c r="Z89" i="3"/>
  <c r="AA89" i="3"/>
  <c r="AB89" i="3"/>
  <c r="AC89" i="3"/>
  <c r="AD89" i="3"/>
  <c r="AE89" i="3"/>
  <c r="AF89" i="3"/>
  <c r="AG89" i="3"/>
  <c r="AH89" i="3"/>
  <c r="AI89" i="3"/>
  <c r="AJ89" i="3"/>
  <c r="AK89" i="3"/>
  <c r="AL89" i="3"/>
  <c r="AM89" i="3"/>
  <c r="AN89" i="3"/>
  <c r="A90" i="3"/>
  <c r="B90" i="3"/>
  <c r="C90" i="3"/>
  <c r="D90" i="3"/>
  <c r="E90" i="3"/>
  <c r="F90" i="3"/>
  <c r="G90" i="3"/>
  <c r="H90" i="3"/>
  <c r="I90" i="3"/>
  <c r="J90" i="3"/>
  <c r="K90" i="3"/>
  <c r="L90" i="3"/>
  <c r="M90" i="3"/>
  <c r="N90" i="3"/>
  <c r="O90" i="3"/>
  <c r="P90" i="3"/>
  <c r="Q90" i="3"/>
  <c r="R90" i="3"/>
  <c r="S90" i="3"/>
  <c r="T90" i="3"/>
  <c r="U90" i="3"/>
  <c r="V90" i="3"/>
  <c r="W90" i="3"/>
  <c r="X90" i="3"/>
  <c r="Y90" i="3"/>
  <c r="Z90" i="3"/>
  <c r="AA90" i="3"/>
  <c r="AB90" i="3"/>
  <c r="AC90" i="3"/>
  <c r="AD90" i="3"/>
  <c r="AE90" i="3"/>
  <c r="AF90" i="3"/>
  <c r="AG90" i="3"/>
  <c r="AH90" i="3"/>
  <c r="AI90" i="3"/>
  <c r="AJ90" i="3"/>
  <c r="AK90" i="3"/>
  <c r="AL90" i="3"/>
  <c r="AM90" i="3"/>
  <c r="AN90" i="3"/>
  <c r="A91" i="3"/>
  <c r="B91" i="3"/>
  <c r="C91" i="3"/>
  <c r="D91" i="3"/>
  <c r="E91" i="3"/>
  <c r="F91" i="3"/>
  <c r="G91" i="3"/>
  <c r="H91" i="3"/>
  <c r="I91" i="3"/>
  <c r="J91" i="3"/>
  <c r="K91" i="3"/>
  <c r="L91" i="3"/>
  <c r="M91" i="3"/>
  <c r="N91" i="3"/>
  <c r="O91" i="3"/>
  <c r="P91" i="3"/>
  <c r="Q91" i="3"/>
  <c r="R91" i="3"/>
  <c r="S91" i="3"/>
  <c r="T91" i="3"/>
  <c r="U91" i="3"/>
  <c r="V91" i="3"/>
  <c r="W91" i="3"/>
  <c r="X91" i="3"/>
  <c r="Y91" i="3"/>
  <c r="Z91" i="3"/>
  <c r="AA91" i="3"/>
  <c r="AB91" i="3"/>
  <c r="AC91" i="3"/>
  <c r="AD91" i="3"/>
  <c r="AE91" i="3"/>
  <c r="AF91" i="3"/>
  <c r="AG91" i="3"/>
  <c r="AH91" i="3"/>
  <c r="AI91" i="3"/>
  <c r="AJ91" i="3"/>
  <c r="AK91" i="3"/>
  <c r="AL91" i="3"/>
  <c r="AM91" i="3"/>
  <c r="AN91" i="3"/>
  <c r="A92" i="3"/>
  <c r="B92"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AK92" i="3"/>
  <c r="AL92" i="3"/>
  <c r="AM92" i="3"/>
  <c r="AN92" i="3"/>
  <c r="A93" i="3"/>
  <c r="B93" i="3"/>
  <c r="C93" i="3"/>
  <c r="D93" i="3"/>
  <c r="E93" i="3"/>
  <c r="F93" i="3"/>
  <c r="G93"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AI93" i="3"/>
  <c r="AJ93" i="3"/>
  <c r="AK93" i="3"/>
  <c r="AL93" i="3"/>
  <c r="AM93" i="3"/>
  <c r="AN93" i="3"/>
  <c r="A94" i="3"/>
  <c r="B94" i="3"/>
  <c r="C94" i="3"/>
  <c r="D94" i="3"/>
  <c r="E94" i="3"/>
  <c r="F94" i="3"/>
  <c r="G94" i="3"/>
  <c r="H94" i="3"/>
  <c r="I94" i="3"/>
  <c r="J94" i="3"/>
  <c r="K94" i="3"/>
  <c r="L94" i="3"/>
  <c r="M94" i="3"/>
  <c r="N94" i="3"/>
  <c r="O94" i="3"/>
  <c r="P94" i="3"/>
  <c r="Q94" i="3"/>
  <c r="R94" i="3"/>
  <c r="S94" i="3"/>
  <c r="T94" i="3"/>
  <c r="U94" i="3"/>
  <c r="V94" i="3"/>
  <c r="W94" i="3"/>
  <c r="X94" i="3"/>
  <c r="Y94" i="3"/>
  <c r="Z94" i="3"/>
  <c r="AA94" i="3"/>
  <c r="AB94" i="3"/>
  <c r="AC94" i="3"/>
  <c r="AD94" i="3"/>
  <c r="AE94" i="3"/>
  <c r="AF94" i="3"/>
  <c r="AG94" i="3"/>
  <c r="AH94" i="3"/>
  <c r="AI94" i="3"/>
  <c r="AJ94" i="3"/>
  <c r="AK94" i="3"/>
  <c r="AL94" i="3"/>
  <c r="AM94" i="3"/>
  <c r="AN94" i="3"/>
  <c r="A95" i="3"/>
  <c r="B95" i="3"/>
  <c r="C95" i="3"/>
  <c r="D95" i="3"/>
  <c r="E95" i="3"/>
  <c r="F95" i="3"/>
  <c r="G95" i="3"/>
  <c r="H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5" i="3"/>
  <c r="AJ95" i="3"/>
  <c r="AK95" i="3"/>
  <c r="AL95" i="3"/>
  <c r="AM95" i="3"/>
  <c r="AN95" i="3"/>
  <c r="A96" i="3"/>
  <c r="B96" i="3"/>
  <c r="C96" i="3"/>
  <c r="D96" i="3"/>
  <c r="E96" i="3"/>
  <c r="F96" i="3"/>
  <c r="G96" i="3"/>
  <c r="H96" i="3"/>
  <c r="I96" i="3"/>
  <c r="J96" i="3"/>
  <c r="K96" i="3"/>
  <c r="L96" i="3"/>
  <c r="M96" i="3"/>
  <c r="N96" i="3"/>
  <c r="O96" i="3"/>
  <c r="P96" i="3"/>
  <c r="Q96" i="3"/>
  <c r="R96" i="3"/>
  <c r="S96" i="3"/>
  <c r="T96" i="3"/>
  <c r="U96" i="3"/>
  <c r="V96" i="3"/>
  <c r="W96" i="3"/>
  <c r="X96" i="3"/>
  <c r="Y96" i="3"/>
  <c r="Z96" i="3"/>
  <c r="AA96" i="3"/>
  <c r="AB96" i="3"/>
  <c r="AC96" i="3"/>
  <c r="AD96" i="3"/>
  <c r="AE96" i="3"/>
  <c r="AF96" i="3"/>
  <c r="AG96" i="3"/>
  <c r="AH96" i="3"/>
  <c r="AI96" i="3"/>
  <c r="AJ96" i="3"/>
  <c r="AK96" i="3"/>
  <c r="AL96" i="3"/>
  <c r="AM96" i="3"/>
  <c r="AN96" i="3"/>
  <c r="A97" i="3"/>
  <c r="B97" i="3"/>
  <c r="C97" i="3"/>
  <c r="D97" i="3"/>
  <c r="E97" i="3"/>
  <c r="F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AK97" i="3"/>
  <c r="AL97" i="3"/>
  <c r="AM97" i="3"/>
  <c r="AN97" i="3"/>
  <c r="A98" i="3"/>
  <c r="B98" i="3"/>
  <c r="C98" i="3"/>
  <c r="D98" i="3"/>
  <c r="E98" i="3"/>
  <c r="F98" i="3"/>
  <c r="G98" i="3"/>
  <c r="H98" i="3"/>
  <c r="I98" i="3"/>
  <c r="J98" i="3"/>
  <c r="K98" i="3"/>
  <c r="L98" i="3"/>
  <c r="M98" i="3"/>
  <c r="N98" i="3"/>
  <c r="O98" i="3"/>
  <c r="P98" i="3"/>
  <c r="Q98" i="3"/>
  <c r="R98" i="3"/>
  <c r="S98" i="3"/>
  <c r="T98" i="3"/>
  <c r="U98" i="3"/>
  <c r="V98" i="3"/>
  <c r="W98" i="3"/>
  <c r="X98" i="3"/>
  <c r="Y98" i="3"/>
  <c r="Z98" i="3"/>
  <c r="AA98" i="3"/>
  <c r="AB98" i="3"/>
  <c r="AC98" i="3"/>
  <c r="AD98" i="3"/>
  <c r="AE98" i="3"/>
  <c r="AF98" i="3"/>
  <c r="AG98" i="3"/>
  <c r="AH98" i="3"/>
  <c r="AI98" i="3"/>
  <c r="AJ98" i="3"/>
  <c r="AK98" i="3"/>
  <c r="AL98" i="3"/>
  <c r="AM98" i="3"/>
  <c r="AN98" i="3"/>
  <c r="A99" i="3"/>
  <c r="B99" i="3"/>
  <c r="C99" i="3"/>
  <c r="D99" i="3"/>
  <c r="E99" i="3"/>
  <c r="F99" i="3"/>
  <c r="G99" i="3"/>
  <c r="H99" i="3"/>
  <c r="I99" i="3"/>
  <c r="J99" i="3"/>
  <c r="K99" i="3"/>
  <c r="L99" i="3"/>
  <c r="M99" i="3"/>
  <c r="N99" i="3"/>
  <c r="O99" i="3"/>
  <c r="P99" i="3"/>
  <c r="Q99" i="3"/>
  <c r="R99" i="3"/>
  <c r="S99" i="3"/>
  <c r="T99" i="3"/>
  <c r="U99" i="3"/>
  <c r="V99" i="3"/>
  <c r="W99" i="3"/>
  <c r="X99" i="3"/>
  <c r="Y99" i="3"/>
  <c r="Z99" i="3"/>
  <c r="AA99" i="3"/>
  <c r="AB99" i="3"/>
  <c r="AC99" i="3"/>
  <c r="AD99" i="3"/>
  <c r="AE99" i="3"/>
  <c r="AF99" i="3"/>
  <c r="AG99" i="3"/>
  <c r="AH99" i="3"/>
  <c r="AI99" i="3"/>
  <c r="AJ99" i="3"/>
  <c r="AK99" i="3"/>
  <c r="AL99" i="3"/>
  <c r="AM99" i="3"/>
  <c r="AN99" i="3"/>
  <c r="A100" i="3"/>
  <c r="B100" i="3"/>
  <c r="C100" i="3"/>
  <c r="D100" i="3"/>
  <c r="E100" i="3"/>
  <c r="F100" i="3"/>
  <c r="G100" i="3"/>
  <c r="H100" i="3"/>
  <c r="I100" i="3"/>
  <c r="J100" i="3"/>
  <c r="K100"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K100" i="3"/>
  <c r="AL100" i="3"/>
  <c r="AM100" i="3"/>
  <c r="AN100" i="3"/>
  <c r="A101" i="3"/>
  <c r="B101" i="3"/>
  <c r="C101" i="3"/>
  <c r="D101" i="3"/>
  <c r="E101" i="3"/>
  <c r="F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K101" i="3"/>
  <c r="AL101" i="3"/>
  <c r="AM101" i="3"/>
  <c r="AN101" i="3"/>
  <c r="A102" i="3"/>
  <c r="B102" i="3"/>
  <c r="C102" i="3"/>
  <c r="D102" i="3"/>
  <c r="E102" i="3"/>
  <c r="F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K102" i="3"/>
  <c r="AL102" i="3"/>
  <c r="AM102" i="3"/>
  <c r="AN102" i="3"/>
  <c r="A103" i="3"/>
  <c r="B103" i="3"/>
  <c r="C103" i="3"/>
  <c r="D103" i="3"/>
  <c r="E103" i="3"/>
  <c r="F103" i="3"/>
  <c r="G103" i="3"/>
  <c r="H103" i="3"/>
  <c r="I103" i="3"/>
  <c r="J103" i="3"/>
  <c r="K103"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K103" i="3"/>
  <c r="AL103" i="3"/>
  <c r="AM103" i="3"/>
  <c r="AN103" i="3"/>
  <c r="A104" i="3"/>
  <c r="B104" i="3"/>
  <c r="C104" i="3"/>
  <c r="D104" i="3"/>
  <c r="E104" i="3"/>
  <c r="F104" i="3"/>
  <c r="G104" i="3"/>
  <c r="H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K104" i="3"/>
  <c r="AL104" i="3"/>
  <c r="AM104" i="3"/>
  <c r="AN104" i="3"/>
  <c r="A105" i="3"/>
  <c r="B105" i="3"/>
  <c r="C105" i="3"/>
  <c r="D105" i="3"/>
  <c r="E105" i="3"/>
  <c r="F105" i="3"/>
  <c r="G105" i="3"/>
  <c r="H105" i="3"/>
  <c r="I105" i="3"/>
  <c r="J105" i="3"/>
  <c r="K105"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K105" i="3"/>
  <c r="AL105" i="3"/>
  <c r="AM105" i="3"/>
  <c r="AN105" i="3"/>
  <c r="A106" i="3"/>
  <c r="B106" i="3"/>
  <c r="C106" i="3"/>
  <c r="D106" i="3"/>
  <c r="E106" i="3"/>
  <c r="F106" i="3"/>
  <c r="G106" i="3"/>
  <c r="H106" i="3"/>
  <c r="I106" i="3"/>
  <c r="J106" i="3"/>
  <c r="K106"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K106" i="3"/>
  <c r="AL106" i="3"/>
  <c r="AM106" i="3"/>
  <c r="AN106" i="3"/>
  <c r="A107" i="3"/>
  <c r="B107" i="3"/>
  <c r="C107" i="3"/>
  <c r="D107" i="3"/>
  <c r="E107" i="3"/>
  <c r="F107"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K107" i="3"/>
  <c r="AL107" i="3"/>
  <c r="AM107" i="3"/>
  <c r="AN107" i="3"/>
  <c r="A108" i="3"/>
  <c r="B108" i="3"/>
  <c r="C108" i="3"/>
  <c r="D108" i="3"/>
  <c r="E108" i="3"/>
  <c r="F108"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K108" i="3"/>
  <c r="AL108" i="3"/>
  <c r="AM108" i="3"/>
  <c r="AN108" i="3"/>
  <c r="A109" i="3"/>
  <c r="B109" i="3"/>
  <c r="C109" i="3"/>
  <c r="D109" i="3"/>
  <c r="E109" i="3"/>
  <c r="F109"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K109" i="3"/>
  <c r="AL109" i="3"/>
  <c r="AM109" i="3"/>
  <c r="AN109" i="3"/>
  <c r="A110" i="3"/>
  <c r="B110" i="3"/>
  <c r="C110" i="3"/>
  <c r="D110" i="3"/>
  <c r="E110" i="3"/>
  <c r="F110" i="3"/>
  <c r="G110" i="3"/>
  <c r="H110" i="3"/>
  <c r="I110" i="3"/>
  <c r="J110" i="3"/>
  <c r="K110"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AK110" i="3"/>
  <c r="AL110" i="3"/>
  <c r="AM110" i="3"/>
  <c r="AN110" i="3"/>
  <c r="A111" i="3"/>
  <c r="B111" i="3"/>
  <c r="C111" i="3"/>
  <c r="D111" i="3"/>
  <c r="E111" i="3"/>
  <c r="F111" i="3"/>
  <c r="G111" i="3"/>
  <c r="H111" i="3"/>
  <c r="I111" i="3"/>
  <c r="J111" i="3"/>
  <c r="K111"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K111" i="3"/>
  <c r="AL111" i="3"/>
  <c r="AM111" i="3"/>
  <c r="AN111" i="3"/>
  <c r="A112" i="3"/>
  <c r="B112" i="3"/>
  <c r="C112" i="3"/>
  <c r="D112" i="3"/>
  <c r="E112" i="3"/>
  <c r="F112" i="3"/>
  <c r="G112" i="3"/>
  <c r="H112" i="3"/>
  <c r="I112" i="3"/>
  <c r="J112" i="3"/>
  <c r="K112"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K112" i="3"/>
  <c r="AL112" i="3"/>
  <c r="AM112" i="3"/>
  <c r="AN112" i="3"/>
  <c r="A113" i="3"/>
  <c r="B113" i="3"/>
  <c r="C113" i="3"/>
  <c r="D113" i="3"/>
  <c r="E113" i="3"/>
  <c r="F113" i="3"/>
  <c r="G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K113" i="3"/>
  <c r="AL113" i="3"/>
  <c r="AM113" i="3"/>
  <c r="AN113" i="3"/>
  <c r="A114" i="3"/>
  <c r="B114" i="3"/>
  <c r="C114" i="3"/>
  <c r="D114" i="3"/>
  <c r="E114" i="3"/>
  <c r="F114" i="3"/>
  <c r="G114" i="3"/>
  <c r="H114" i="3"/>
  <c r="I114" i="3"/>
  <c r="J114" i="3"/>
  <c r="K114"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K114" i="3"/>
  <c r="AL114" i="3"/>
  <c r="AM114" i="3"/>
  <c r="AN114" i="3"/>
  <c r="A115" i="3"/>
  <c r="B115" i="3"/>
  <c r="C115" i="3"/>
  <c r="D115" i="3"/>
  <c r="E115" i="3"/>
  <c r="F115" i="3"/>
  <c r="G115" i="3"/>
  <c r="H115" i="3"/>
  <c r="I115" i="3"/>
  <c r="J115" i="3"/>
  <c r="K115"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AK115" i="3"/>
  <c r="AL115" i="3"/>
  <c r="AM115" i="3"/>
  <c r="AN115" i="3"/>
  <c r="A116" i="3"/>
  <c r="B116" i="3"/>
  <c r="C116" i="3"/>
  <c r="D116" i="3"/>
  <c r="E116" i="3"/>
  <c r="F116" i="3"/>
  <c r="G116" i="3"/>
  <c r="H116" i="3"/>
  <c r="I116" i="3"/>
  <c r="J116" i="3"/>
  <c r="K116"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K116" i="3"/>
  <c r="AL116" i="3"/>
  <c r="AM116" i="3"/>
  <c r="AN116" i="3"/>
  <c r="A117" i="3"/>
  <c r="B117" i="3"/>
  <c r="C117" i="3"/>
  <c r="D117" i="3"/>
  <c r="E117" i="3"/>
  <c r="F117" i="3"/>
  <c r="G117" i="3"/>
  <c r="H117" i="3"/>
  <c r="I117" i="3"/>
  <c r="J117" i="3"/>
  <c r="K117"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AK117" i="3"/>
  <c r="AL117" i="3"/>
  <c r="AM117" i="3"/>
  <c r="AN117" i="3"/>
  <c r="A118" i="3"/>
  <c r="B118" i="3"/>
  <c r="C118" i="3"/>
  <c r="D118" i="3"/>
  <c r="E118" i="3"/>
  <c r="F118" i="3"/>
  <c r="G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K118" i="3"/>
  <c r="AL118" i="3"/>
  <c r="AM118" i="3"/>
  <c r="AN118" i="3"/>
  <c r="A119" i="3"/>
  <c r="B119" i="3"/>
  <c r="C119" i="3"/>
  <c r="D119" i="3"/>
  <c r="E119" i="3"/>
  <c r="F119" i="3"/>
  <c r="G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K119" i="3"/>
  <c r="AL119" i="3"/>
  <c r="AM119" i="3"/>
  <c r="AN119" i="3"/>
  <c r="A120" i="3"/>
  <c r="B120" i="3"/>
  <c r="C120" i="3"/>
  <c r="D120" i="3"/>
  <c r="E120" i="3"/>
  <c r="F120" i="3"/>
  <c r="G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K120" i="3"/>
  <c r="AL120" i="3"/>
  <c r="AM120" i="3"/>
  <c r="AN120" i="3"/>
  <c r="A121" i="3"/>
  <c r="B121" i="3"/>
  <c r="C121" i="3"/>
  <c r="D121" i="3"/>
  <c r="E121" i="3"/>
  <c r="F121" i="3"/>
  <c r="G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K121" i="3"/>
  <c r="AL121" i="3"/>
  <c r="AM121" i="3"/>
  <c r="AN121" i="3"/>
  <c r="A122" i="3"/>
  <c r="B122" i="3"/>
  <c r="C122" i="3"/>
  <c r="D122" i="3"/>
  <c r="E122" i="3"/>
  <c r="F122" i="3"/>
  <c r="G122" i="3"/>
  <c r="H122"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K122" i="3"/>
  <c r="AL122" i="3"/>
  <c r="AM122" i="3"/>
  <c r="AN122" i="3"/>
  <c r="A123" i="3"/>
  <c r="B123" i="3"/>
  <c r="C123" i="3"/>
  <c r="D123" i="3"/>
  <c r="E123" i="3"/>
  <c r="F123" i="3"/>
  <c r="G123" i="3"/>
  <c r="H123" i="3"/>
  <c r="I123" i="3"/>
  <c r="J123" i="3"/>
  <c r="K123"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K123" i="3"/>
  <c r="AL123" i="3"/>
  <c r="AM123" i="3"/>
  <c r="AN123" i="3"/>
  <c r="A124" i="3"/>
  <c r="B124" i="3"/>
  <c r="C124" i="3"/>
  <c r="D124" i="3"/>
  <c r="E124" i="3"/>
  <c r="F124" i="3"/>
  <c r="G124" i="3"/>
  <c r="H124" i="3"/>
  <c r="I124" i="3"/>
  <c r="J124" i="3"/>
  <c r="K124"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K124" i="3"/>
  <c r="AL124" i="3"/>
  <c r="AM124" i="3"/>
  <c r="AN124" i="3"/>
  <c r="A125" i="3"/>
  <c r="B125" i="3"/>
  <c r="C125" i="3"/>
  <c r="D125" i="3"/>
  <c r="E125" i="3"/>
  <c r="F125" i="3"/>
  <c r="G125" i="3"/>
  <c r="H125" i="3"/>
  <c r="I125" i="3"/>
  <c r="J125" i="3"/>
  <c r="K125"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K125" i="3"/>
  <c r="AL125" i="3"/>
  <c r="AM125" i="3"/>
  <c r="AN125" i="3"/>
  <c r="A126" i="3"/>
  <c r="B126" i="3"/>
  <c r="C126" i="3"/>
  <c r="D126" i="3"/>
  <c r="E126" i="3"/>
  <c r="F126" i="3"/>
  <c r="G126" i="3"/>
  <c r="H126" i="3"/>
  <c r="I126" i="3"/>
  <c r="J126" i="3"/>
  <c r="K126"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K126" i="3"/>
  <c r="AL126" i="3"/>
  <c r="AM126" i="3"/>
  <c r="AN126" i="3"/>
  <c r="A127" i="3"/>
  <c r="B127" i="3"/>
  <c r="C127" i="3"/>
  <c r="D127" i="3"/>
  <c r="E127" i="3"/>
  <c r="F127" i="3"/>
  <c r="G127" i="3"/>
  <c r="H127" i="3"/>
  <c r="I127" i="3"/>
  <c r="J127" i="3"/>
  <c r="K127"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K127" i="3"/>
  <c r="AL127" i="3"/>
  <c r="AM127" i="3"/>
  <c r="AN127" i="3"/>
  <c r="A128" i="3"/>
  <c r="B128" i="3"/>
  <c r="C128" i="3"/>
  <c r="D128" i="3"/>
  <c r="E128" i="3"/>
  <c r="F128" i="3"/>
  <c r="G128" i="3"/>
  <c r="H128" i="3"/>
  <c r="I128" i="3"/>
  <c r="J128" i="3"/>
  <c r="K128"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K128" i="3"/>
  <c r="AL128" i="3"/>
  <c r="AM128" i="3"/>
  <c r="AN128" i="3"/>
  <c r="A129" i="3"/>
  <c r="B129" i="3"/>
  <c r="C129" i="3"/>
  <c r="D129" i="3"/>
  <c r="E129" i="3"/>
  <c r="F129" i="3"/>
  <c r="G129" i="3"/>
  <c r="H129" i="3"/>
  <c r="I129" i="3"/>
  <c r="J129" i="3"/>
  <c r="K129"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AK129" i="3"/>
  <c r="AL129" i="3"/>
  <c r="AM129" i="3"/>
  <c r="AN129" i="3"/>
  <c r="A130" i="3"/>
  <c r="B130" i="3"/>
  <c r="C130" i="3"/>
  <c r="D130" i="3"/>
  <c r="E130" i="3"/>
  <c r="F130" i="3"/>
  <c r="G130" i="3"/>
  <c r="H130" i="3"/>
  <c r="I130" i="3"/>
  <c r="J130" i="3"/>
  <c r="K130" i="3"/>
  <c r="L130" i="3"/>
  <c r="M130" i="3"/>
  <c r="N130" i="3"/>
  <c r="O130" i="3"/>
  <c r="P130" i="3"/>
  <c r="Q130" i="3"/>
  <c r="R130" i="3"/>
  <c r="S130" i="3"/>
  <c r="T130" i="3"/>
  <c r="U130" i="3"/>
  <c r="V130" i="3"/>
  <c r="W130" i="3"/>
  <c r="X130" i="3"/>
  <c r="Y130" i="3"/>
  <c r="Z130" i="3"/>
  <c r="AA130" i="3"/>
  <c r="AB130" i="3"/>
  <c r="AC130" i="3"/>
  <c r="AD130" i="3"/>
  <c r="AE130" i="3"/>
  <c r="AF130" i="3"/>
  <c r="AG130" i="3"/>
  <c r="AH130" i="3"/>
  <c r="AI130" i="3"/>
  <c r="AJ130" i="3"/>
  <c r="AK130" i="3"/>
  <c r="AL130" i="3"/>
  <c r="AM130" i="3"/>
  <c r="AN130" i="3"/>
  <c r="A131" i="3"/>
  <c r="B131" i="3"/>
  <c r="C131" i="3"/>
  <c r="D131" i="3"/>
  <c r="E131" i="3"/>
  <c r="F131" i="3"/>
  <c r="G131" i="3"/>
  <c r="H131" i="3"/>
  <c r="I131" i="3"/>
  <c r="J131" i="3"/>
  <c r="K131"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K131" i="3"/>
  <c r="AL131" i="3"/>
  <c r="AM131" i="3"/>
  <c r="AN131" i="3"/>
  <c r="A132" i="3"/>
  <c r="B132" i="3"/>
  <c r="C132" i="3"/>
  <c r="D132" i="3"/>
  <c r="E132" i="3"/>
  <c r="F132" i="3"/>
  <c r="G132" i="3"/>
  <c r="H132" i="3"/>
  <c r="I132" i="3"/>
  <c r="J132" i="3"/>
  <c r="K132" i="3"/>
  <c r="L132" i="3"/>
  <c r="M132" i="3"/>
  <c r="N132" i="3"/>
  <c r="O132" i="3"/>
  <c r="P132" i="3"/>
  <c r="Q132" i="3"/>
  <c r="R132" i="3"/>
  <c r="S132" i="3"/>
  <c r="T132" i="3"/>
  <c r="U132" i="3"/>
  <c r="V132" i="3"/>
  <c r="W132" i="3"/>
  <c r="X132" i="3"/>
  <c r="Y132" i="3"/>
  <c r="Z132" i="3"/>
  <c r="AA132" i="3"/>
  <c r="AB132" i="3"/>
  <c r="AC132" i="3"/>
  <c r="AD132" i="3"/>
  <c r="AE132" i="3"/>
  <c r="AF132" i="3"/>
  <c r="AG132" i="3"/>
  <c r="AH132" i="3"/>
  <c r="AI132" i="3"/>
  <c r="AJ132" i="3"/>
  <c r="AK132" i="3"/>
  <c r="AL132" i="3"/>
  <c r="AM132" i="3"/>
  <c r="AN132" i="3"/>
  <c r="A133" i="3"/>
  <c r="B133" i="3"/>
  <c r="C133" i="3"/>
  <c r="D133" i="3"/>
  <c r="E133" i="3"/>
  <c r="F133" i="3"/>
  <c r="G133" i="3"/>
  <c r="H133" i="3"/>
  <c r="I133" i="3"/>
  <c r="J133" i="3"/>
  <c r="K133"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K133" i="3"/>
  <c r="AL133" i="3"/>
  <c r="AM133" i="3"/>
  <c r="AN133" i="3"/>
  <c r="A134" i="3"/>
  <c r="B134" i="3"/>
  <c r="C134" i="3"/>
  <c r="D134" i="3"/>
  <c r="E134" i="3"/>
  <c r="F134" i="3"/>
  <c r="G134" i="3"/>
  <c r="H134" i="3"/>
  <c r="I134" i="3"/>
  <c r="J134" i="3"/>
  <c r="K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K134" i="3"/>
  <c r="AL134" i="3"/>
  <c r="AM134" i="3"/>
  <c r="AN134" i="3"/>
  <c r="A135" i="3"/>
  <c r="B135" i="3"/>
  <c r="C135" i="3"/>
  <c r="D135" i="3"/>
  <c r="E135" i="3"/>
  <c r="F135" i="3"/>
  <c r="G135" i="3"/>
  <c r="H135" i="3"/>
  <c r="I135" i="3"/>
  <c r="J135" i="3"/>
  <c r="K135"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K135" i="3"/>
  <c r="AL135" i="3"/>
  <c r="AM135" i="3"/>
  <c r="AN135" i="3"/>
  <c r="A136" i="3"/>
  <c r="B136" i="3"/>
  <c r="C136" i="3"/>
  <c r="D136" i="3"/>
  <c r="E136" i="3"/>
  <c r="F136" i="3"/>
  <c r="G136" i="3"/>
  <c r="H136"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K136" i="3"/>
  <c r="AL136" i="3"/>
  <c r="AM136" i="3"/>
  <c r="AN136" i="3"/>
  <c r="A137" i="3"/>
  <c r="B137" i="3"/>
  <c r="C137" i="3"/>
  <c r="D137" i="3"/>
  <c r="E137" i="3"/>
  <c r="F137" i="3"/>
  <c r="G137" i="3"/>
  <c r="H137" i="3"/>
  <c r="I137" i="3"/>
  <c r="J137" i="3"/>
  <c r="K137"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K137" i="3"/>
  <c r="AL137" i="3"/>
  <c r="AM137" i="3"/>
  <c r="AN137" i="3"/>
  <c r="A138" i="3"/>
  <c r="B138" i="3"/>
  <c r="C138" i="3"/>
  <c r="D138" i="3"/>
  <c r="E138" i="3"/>
  <c r="F138" i="3"/>
  <c r="G138" i="3"/>
  <c r="H138" i="3"/>
  <c r="I138" i="3"/>
  <c r="J138" i="3"/>
  <c r="K138"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K138" i="3"/>
  <c r="AL138" i="3"/>
  <c r="AM138" i="3"/>
  <c r="AN138" i="3"/>
  <c r="A139" i="3"/>
  <c r="B139" i="3"/>
  <c r="C139" i="3"/>
  <c r="D139" i="3"/>
  <c r="E139" i="3"/>
  <c r="F139" i="3"/>
  <c r="G139" i="3"/>
  <c r="H139" i="3"/>
  <c r="I139" i="3"/>
  <c r="J139" i="3"/>
  <c r="K139"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K139" i="3"/>
  <c r="AL139" i="3"/>
  <c r="AM139" i="3"/>
  <c r="AN139" i="3"/>
  <c r="A140" i="3"/>
  <c r="B140" i="3"/>
  <c r="C140" i="3"/>
  <c r="D140" i="3"/>
  <c r="E140" i="3"/>
  <c r="F140" i="3"/>
  <c r="G140" i="3"/>
  <c r="H140" i="3"/>
  <c r="I140" i="3"/>
  <c r="J140" i="3"/>
  <c r="K140"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K140" i="3"/>
  <c r="AL140" i="3"/>
  <c r="AM140" i="3"/>
  <c r="AN140" i="3"/>
  <c r="A141" i="3"/>
  <c r="B141" i="3"/>
  <c r="C141" i="3"/>
  <c r="D141" i="3"/>
  <c r="E141" i="3"/>
  <c r="F141" i="3"/>
  <c r="G141" i="3"/>
  <c r="H141"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K141" i="3"/>
  <c r="AL141" i="3"/>
  <c r="AM141" i="3"/>
  <c r="AN141" i="3"/>
  <c r="A142" i="3"/>
  <c r="B142" i="3"/>
  <c r="C142" i="3"/>
  <c r="D142" i="3"/>
  <c r="E142" i="3"/>
  <c r="F142" i="3"/>
  <c r="G142" i="3"/>
  <c r="H142" i="3"/>
  <c r="I142" i="3"/>
  <c r="J142" i="3"/>
  <c r="K142"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K142" i="3"/>
  <c r="AL142" i="3"/>
  <c r="AM142" i="3"/>
  <c r="AN142" i="3"/>
  <c r="A143" i="3"/>
  <c r="B143" i="3"/>
  <c r="C143" i="3"/>
  <c r="D143" i="3"/>
  <c r="E143" i="3"/>
  <c r="F143" i="3"/>
  <c r="G143" i="3"/>
  <c r="H143" i="3"/>
  <c r="I143" i="3"/>
  <c r="J143" i="3"/>
  <c r="K143"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K143" i="3"/>
  <c r="AL143" i="3"/>
  <c r="AM143" i="3"/>
  <c r="AN143" i="3"/>
  <c r="A144" i="3"/>
  <c r="B144" i="3"/>
  <c r="C144" i="3"/>
  <c r="D144" i="3"/>
  <c r="E144" i="3"/>
  <c r="F144" i="3"/>
  <c r="G144" i="3"/>
  <c r="H144" i="3"/>
  <c r="I144" i="3"/>
  <c r="J144" i="3"/>
  <c r="K144"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AK144" i="3"/>
  <c r="AL144" i="3"/>
  <c r="AM144" i="3"/>
  <c r="AN144" i="3"/>
  <c r="A145" i="3"/>
  <c r="B145" i="3"/>
  <c r="C145" i="3"/>
  <c r="D145" i="3"/>
  <c r="E145" i="3"/>
  <c r="F145" i="3"/>
  <c r="G145" i="3"/>
  <c r="H145" i="3"/>
  <c r="I145" i="3"/>
  <c r="J145" i="3"/>
  <c r="K145"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K145" i="3"/>
  <c r="AL145" i="3"/>
  <c r="AM145" i="3"/>
  <c r="AN145" i="3"/>
  <c r="A146" i="3"/>
  <c r="B146" i="3"/>
  <c r="C146" i="3"/>
  <c r="D146" i="3"/>
  <c r="E146" i="3"/>
  <c r="F146" i="3"/>
  <c r="G146" i="3"/>
  <c r="H146" i="3"/>
  <c r="I146" i="3"/>
  <c r="J146" i="3"/>
  <c r="K146"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AK146" i="3"/>
  <c r="AL146" i="3"/>
  <c r="AM146" i="3"/>
  <c r="AN146" i="3"/>
  <c r="A147" i="3"/>
  <c r="B147" i="3"/>
  <c r="C147" i="3"/>
  <c r="D147" i="3"/>
  <c r="E147" i="3"/>
  <c r="F147" i="3"/>
  <c r="G147" i="3"/>
  <c r="H147" i="3"/>
  <c r="I147" i="3"/>
  <c r="J147" i="3"/>
  <c r="K147"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AK147" i="3"/>
  <c r="AL147" i="3"/>
  <c r="AM147" i="3"/>
  <c r="AN147" i="3"/>
  <c r="A148" i="3"/>
  <c r="B148" i="3"/>
  <c r="C148" i="3"/>
  <c r="D148" i="3"/>
  <c r="E148" i="3"/>
  <c r="F148" i="3"/>
  <c r="G148" i="3"/>
  <c r="H148" i="3"/>
  <c r="I148" i="3"/>
  <c r="J148" i="3"/>
  <c r="K148"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AK148" i="3"/>
  <c r="AL148" i="3"/>
  <c r="AM148" i="3"/>
  <c r="AN148" i="3"/>
  <c r="A149" i="3"/>
  <c r="B149" i="3"/>
  <c r="C149" i="3"/>
  <c r="D149" i="3"/>
  <c r="E149" i="3"/>
  <c r="F149" i="3"/>
  <c r="G149" i="3"/>
  <c r="H149" i="3"/>
  <c r="I149" i="3"/>
  <c r="J149" i="3"/>
  <c r="K149" i="3"/>
  <c r="L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AK149" i="3"/>
  <c r="AL149" i="3"/>
  <c r="AM149" i="3"/>
  <c r="AN149" i="3"/>
  <c r="A150" i="3"/>
  <c r="B150" i="3"/>
  <c r="C150" i="3"/>
  <c r="D150" i="3"/>
  <c r="E150" i="3"/>
  <c r="F150" i="3"/>
  <c r="G150" i="3"/>
  <c r="H150" i="3"/>
  <c r="I150" i="3"/>
  <c r="J150" i="3"/>
  <c r="K150"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K150" i="3"/>
  <c r="AL150" i="3"/>
  <c r="AM150" i="3"/>
  <c r="AN150" i="3"/>
  <c r="A151" i="3"/>
  <c r="B151" i="3"/>
  <c r="C151" i="3"/>
  <c r="D151" i="3"/>
  <c r="E151" i="3"/>
  <c r="F151" i="3"/>
  <c r="G151" i="3"/>
  <c r="H151" i="3"/>
  <c r="I151" i="3"/>
  <c r="J151" i="3"/>
  <c r="K151"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AK151" i="3"/>
  <c r="AL151" i="3"/>
  <c r="AM151" i="3"/>
  <c r="AN151" i="3"/>
  <c r="A152" i="3"/>
  <c r="B152" i="3"/>
  <c r="C152" i="3"/>
  <c r="D152" i="3"/>
  <c r="E152" i="3"/>
  <c r="F152" i="3"/>
  <c r="G152" i="3"/>
  <c r="H152" i="3"/>
  <c r="I152" i="3"/>
  <c r="J152" i="3"/>
  <c r="K152" i="3"/>
  <c r="L152" i="3"/>
  <c r="M152" i="3"/>
  <c r="N152" i="3"/>
  <c r="O152" i="3"/>
  <c r="P152" i="3"/>
  <c r="Q152" i="3"/>
  <c r="R152" i="3"/>
  <c r="S152" i="3"/>
  <c r="T152" i="3"/>
  <c r="U152" i="3"/>
  <c r="V152" i="3"/>
  <c r="W152" i="3"/>
  <c r="X152" i="3"/>
  <c r="Y152" i="3"/>
  <c r="Z152" i="3"/>
  <c r="AA152" i="3"/>
  <c r="AB152" i="3"/>
  <c r="AC152" i="3"/>
  <c r="AD152" i="3"/>
  <c r="AE152" i="3"/>
  <c r="AF152" i="3"/>
  <c r="AG152" i="3"/>
  <c r="AH152" i="3"/>
  <c r="AI152" i="3"/>
  <c r="AJ152" i="3"/>
  <c r="AK152" i="3"/>
  <c r="AL152" i="3"/>
  <c r="AM152" i="3"/>
  <c r="AN152" i="3"/>
  <c r="A153" i="3"/>
  <c r="B153" i="3"/>
  <c r="C153" i="3"/>
  <c r="D153" i="3"/>
  <c r="E153" i="3"/>
  <c r="F153" i="3"/>
  <c r="G153" i="3"/>
  <c r="H153" i="3"/>
  <c r="I153" i="3"/>
  <c r="J153" i="3"/>
  <c r="K153" i="3"/>
  <c r="L153" i="3"/>
  <c r="M153" i="3"/>
  <c r="N153" i="3"/>
  <c r="O153" i="3"/>
  <c r="P153" i="3"/>
  <c r="Q153" i="3"/>
  <c r="R153" i="3"/>
  <c r="S153" i="3"/>
  <c r="T153" i="3"/>
  <c r="U153" i="3"/>
  <c r="V153" i="3"/>
  <c r="W153" i="3"/>
  <c r="X153" i="3"/>
  <c r="Y153" i="3"/>
  <c r="Z153" i="3"/>
  <c r="AA153" i="3"/>
  <c r="AB153" i="3"/>
  <c r="AC153" i="3"/>
  <c r="AD153" i="3"/>
  <c r="AE153" i="3"/>
  <c r="AF153" i="3"/>
  <c r="AG153" i="3"/>
  <c r="AH153" i="3"/>
  <c r="AI153" i="3"/>
  <c r="AJ153" i="3"/>
  <c r="AK153" i="3"/>
  <c r="AL153" i="3"/>
  <c r="AM153" i="3"/>
  <c r="AN153" i="3"/>
  <c r="A154" i="3"/>
  <c r="B154" i="3"/>
  <c r="C154" i="3"/>
  <c r="D154" i="3"/>
  <c r="E154" i="3"/>
  <c r="F154" i="3"/>
  <c r="G154" i="3"/>
  <c r="H154" i="3"/>
  <c r="I154" i="3"/>
  <c r="J154" i="3"/>
  <c r="K154"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AK154" i="3"/>
  <c r="AL154" i="3"/>
  <c r="AM154" i="3"/>
  <c r="AN154" i="3"/>
  <c r="A155" i="3"/>
  <c r="B155" i="3"/>
  <c r="C155" i="3"/>
  <c r="D155" i="3"/>
  <c r="E155" i="3"/>
  <c r="F155" i="3"/>
  <c r="G155" i="3"/>
  <c r="H155" i="3"/>
  <c r="I155" i="3"/>
  <c r="J155" i="3"/>
  <c r="K155"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K155" i="3"/>
  <c r="AL155" i="3"/>
  <c r="AM155" i="3"/>
  <c r="AN155" i="3"/>
  <c r="A156" i="3"/>
  <c r="B156" i="3"/>
  <c r="C156" i="3"/>
  <c r="D156" i="3"/>
  <c r="E156" i="3"/>
  <c r="F156" i="3"/>
  <c r="G156" i="3"/>
  <c r="H156" i="3"/>
  <c r="I156" i="3"/>
  <c r="J156" i="3"/>
  <c r="K156"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AK156" i="3"/>
  <c r="AL156" i="3"/>
  <c r="AM156" i="3"/>
  <c r="AN156" i="3"/>
  <c r="A157" i="3"/>
  <c r="B157" i="3"/>
  <c r="C157" i="3"/>
  <c r="D157" i="3"/>
  <c r="E157" i="3"/>
  <c r="F157" i="3"/>
  <c r="G157" i="3"/>
  <c r="H157" i="3"/>
  <c r="I157" i="3"/>
  <c r="J157" i="3"/>
  <c r="K157"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AK157" i="3"/>
  <c r="AL157" i="3"/>
  <c r="AM157" i="3"/>
  <c r="AN157" i="3"/>
  <c r="A158" i="3"/>
  <c r="B158" i="3"/>
  <c r="C158" i="3"/>
  <c r="D158" i="3"/>
  <c r="E158" i="3"/>
  <c r="F158" i="3"/>
  <c r="G158" i="3"/>
  <c r="H158" i="3"/>
  <c r="I158" i="3"/>
  <c r="J158" i="3"/>
  <c r="K158"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K158" i="3"/>
  <c r="AL158" i="3"/>
  <c r="AM158" i="3"/>
  <c r="AN158" i="3"/>
  <c r="A159" i="3"/>
  <c r="B159" i="3"/>
  <c r="C159" i="3"/>
  <c r="D159" i="3"/>
  <c r="E159" i="3"/>
  <c r="F159" i="3"/>
  <c r="G159" i="3"/>
  <c r="H159" i="3"/>
  <c r="I159" i="3"/>
  <c r="J159" i="3"/>
  <c r="K159"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AK159" i="3"/>
  <c r="AL159" i="3"/>
  <c r="AM159" i="3"/>
  <c r="AN159" i="3"/>
  <c r="A160" i="3"/>
  <c r="B160" i="3"/>
  <c r="C160" i="3"/>
  <c r="D160" i="3"/>
  <c r="E160" i="3"/>
  <c r="F160" i="3"/>
  <c r="G160" i="3"/>
  <c r="H160" i="3"/>
  <c r="I160" i="3"/>
  <c r="J160" i="3"/>
  <c r="K160"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AK160" i="3"/>
  <c r="AL160" i="3"/>
  <c r="AM160" i="3"/>
  <c r="AN160" i="3"/>
  <c r="A161" i="3"/>
  <c r="B161" i="3"/>
  <c r="C161" i="3"/>
  <c r="D161" i="3"/>
  <c r="E161" i="3"/>
  <c r="F161" i="3"/>
  <c r="G161" i="3"/>
  <c r="H161" i="3"/>
  <c r="I161" i="3"/>
  <c r="J161" i="3"/>
  <c r="K161"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AK161" i="3"/>
  <c r="AL161" i="3"/>
  <c r="AM161" i="3"/>
  <c r="AN161" i="3"/>
  <c r="A162" i="3"/>
  <c r="B162" i="3"/>
  <c r="C162" i="3"/>
  <c r="D162" i="3"/>
  <c r="E162" i="3"/>
  <c r="F162" i="3"/>
  <c r="G162" i="3"/>
  <c r="H162" i="3"/>
  <c r="I162" i="3"/>
  <c r="J162" i="3"/>
  <c r="K162"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AK162" i="3"/>
  <c r="AL162" i="3"/>
  <c r="AM162" i="3"/>
  <c r="AN162" i="3"/>
  <c r="A163" i="3"/>
  <c r="B163" i="3"/>
  <c r="C163" i="3"/>
  <c r="D163" i="3"/>
  <c r="E163" i="3"/>
  <c r="F163" i="3"/>
  <c r="G163" i="3"/>
  <c r="H163" i="3"/>
  <c r="I163" i="3"/>
  <c r="J163" i="3"/>
  <c r="K163" i="3"/>
  <c r="L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AK163" i="3"/>
  <c r="AL163" i="3"/>
  <c r="AM163" i="3"/>
  <c r="AN163" i="3"/>
  <c r="A164" i="3"/>
  <c r="B164" i="3"/>
  <c r="C164" i="3"/>
  <c r="D164" i="3"/>
  <c r="E164" i="3"/>
  <c r="F164" i="3"/>
  <c r="G164" i="3"/>
  <c r="H164" i="3"/>
  <c r="I164" i="3"/>
  <c r="J164" i="3"/>
  <c r="K164"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AK164" i="3"/>
  <c r="AL164" i="3"/>
  <c r="AM164" i="3"/>
  <c r="AN164" i="3"/>
  <c r="A165" i="3"/>
  <c r="B165" i="3"/>
  <c r="C165" i="3"/>
  <c r="D165" i="3"/>
  <c r="E165" i="3"/>
  <c r="F165" i="3"/>
  <c r="G165" i="3"/>
  <c r="H165" i="3"/>
  <c r="I165" i="3"/>
  <c r="J165" i="3"/>
  <c r="K165"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K165" i="3"/>
  <c r="AL165" i="3"/>
  <c r="AM165" i="3"/>
  <c r="AN165" i="3"/>
  <c r="A166" i="3"/>
  <c r="B166" i="3"/>
  <c r="C166" i="3"/>
  <c r="D166" i="3"/>
  <c r="E166" i="3"/>
  <c r="F166" i="3"/>
  <c r="G166" i="3"/>
  <c r="H166" i="3"/>
  <c r="I166" i="3"/>
  <c r="J166" i="3"/>
  <c r="K166"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K166" i="3"/>
  <c r="AL166" i="3"/>
  <c r="AM166" i="3"/>
  <c r="AN166" i="3"/>
  <c r="A167" i="3"/>
  <c r="B167" i="3"/>
  <c r="C167" i="3"/>
  <c r="D167" i="3"/>
  <c r="E167" i="3"/>
  <c r="F167" i="3"/>
  <c r="G167" i="3"/>
  <c r="H167" i="3"/>
  <c r="I167" i="3"/>
  <c r="J167" i="3"/>
  <c r="K167"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AK167" i="3"/>
  <c r="AL167" i="3"/>
  <c r="AM167" i="3"/>
  <c r="AN167" i="3"/>
  <c r="A168" i="3"/>
  <c r="B168" i="3"/>
  <c r="C168" i="3"/>
  <c r="D168" i="3"/>
  <c r="E168" i="3"/>
  <c r="F168" i="3"/>
  <c r="G168" i="3"/>
  <c r="H168" i="3"/>
  <c r="I168" i="3"/>
  <c r="J168" i="3"/>
  <c r="K168"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AK168" i="3"/>
  <c r="AL168" i="3"/>
  <c r="AM168" i="3"/>
  <c r="AN168" i="3"/>
  <c r="A169" i="3"/>
  <c r="B169" i="3"/>
  <c r="C169" i="3"/>
  <c r="D169" i="3"/>
  <c r="E169" i="3"/>
  <c r="F169" i="3"/>
  <c r="G169" i="3"/>
  <c r="H169" i="3"/>
  <c r="I169" i="3"/>
  <c r="J169" i="3"/>
  <c r="K169"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AK169" i="3"/>
  <c r="AL169" i="3"/>
  <c r="AM169" i="3"/>
  <c r="AN169" i="3"/>
  <c r="A170" i="3"/>
  <c r="B170" i="3"/>
  <c r="C170" i="3"/>
  <c r="D170" i="3"/>
  <c r="E170" i="3"/>
  <c r="F170" i="3"/>
  <c r="G170" i="3"/>
  <c r="H170" i="3"/>
  <c r="I170" i="3"/>
  <c r="J170" i="3"/>
  <c r="K170"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AK170" i="3"/>
  <c r="AL170" i="3"/>
  <c r="AM170" i="3"/>
  <c r="AN170" i="3"/>
  <c r="A171" i="3"/>
  <c r="B171" i="3"/>
  <c r="C171" i="3"/>
  <c r="D171" i="3"/>
  <c r="E171" i="3"/>
  <c r="F171" i="3"/>
  <c r="G171" i="3"/>
  <c r="H171" i="3"/>
  <c r="I171" i="3"/>
  <c r="J171" i="3"/>
  <c r="K171"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AK171" i="3"/>
  <c r="AL171" i="3"/>
  <c r="AM171" i="3"/>
  <c r="AN171" i="3"/>
  <c r="A172" i="3"/>
  <c r="B172" i="3"/>
  <c r="C172" i="3"/>
  <c r="D172" i="3"/>
  <c r="E172" i="3"/>
  <c r="F172" i="3"/>
  <c r="G172" i="3"/>
  <c r="H172" i="3"/>
  <c r="I172" i="3"/>
  <c r="J172" i="3"/>
  <c r="K172"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AK172" i="3"/>
  <c r="AL172" i="3"/>
  <c r="AM172" i="3"/>
  <c r="AN172" i="3"/>
  <c r="A173" i="3"/>
  <c r="B173" i="3"/>
  <c r="C173" i="3"/>
  <c r="D173" i="3"/>
  <c r="E173" i="3"/>
  <c r="F173" i="3"/>
  <c r="G173" i="3"/>
  <c r="H173" i="3"/>
  <c r="I173" i="3"/>
  <c r="J173" i="3"/>
  <c r="K173"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AK173" i="3"/>
  <c r="AL173" i="3"/>
  <c r="AM173" i="3"/>
  <c r="AN173" i="3"/>
  <c r="A174" i="3"/>
  <c r="B174" i="3"/>
  <c r="C174" i="3"/>
  <c r="D174" i="3"/>
  <c r="E174" i="3"/>
  <c r="F174" i="3"/>
  <c r="G174" i="3"/>
  <c r="H174" i="3"/>
  <c r="I174" i="3"/>
  <c r="J174" i="3"/>
  <c r="K174"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AK174" i="3"/>
  <c r="AL174" i="3"/>
  <c r="AM174" i="3"/>
  <c r="AN174" i="3"/>
  <c r="A175" i="3"/>
  <c r="B175" i="3"/>
  <c r="C175" i="3"/>
  <c r="D175" i="3"/>
  <c r="E175" i="3"/>
  <c r="F175" i="3"/>
  <c r="G175" i="3"/>
  <c r="H175" i="3"/>
  <c r="I175" i="3"/>
  <c r="J175" i="3"/>
  <c r="K175"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AK175" i="3"/>
  <c r="AL175" i="3"/>
  <c r="AM175" i="3"/>
  <c r="AN175" i="3"/>
  <c r="A176" i="3"/>
  <c r="B176" i="3"/>
  <c r="C176" i="3"/>
  <c r="D176" i="3"/>
  <c r="E176" i="3"/>
  <c r="F176" i="3"/>
  <c r="G176" i="3"/>
  <c r="H176" i="3"/>
  <c r="I176" i="3"/>
  <c r="J176" i="3"/>
  <c r="K176"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AK176" i="3"/>
  <c r="AL176" i="3"/>
  <c r="AM176" i="3"/>
  <c r="AN176" i="3"/>
  <c r="A177" i="3"/>
  <c r="B177" i="3"/>
  <c r="C177" i="3"/>
  <c r="D177" i="3"/>
  <c r="E177" i="3"/>
  <c r="F177" i="3"/>
  <c r="G177" i="3"/>
  <c r="H177" i="3"/>
  <c r="I177" i="3"/>
  <c r="J177" i="3"/>
  <c r="K177"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AK177" i="3"/>
  <c r="AL177" i="3"/>
  <c r="AM177" i="3"/>
  <c r="AN177" i="3"/>
  <c r="A178" i="3"/>
  <c r="B178" i="3"/>
  <c r="C178" i="3"/>
  <c r="D178" i="3"/>
  <c r="E178" i="3"/>
  <c r="F178" i="3"/>
  <c r="G178" i="3"/>
  <c r="H178" i="3"/>
  <c r="I178" i="3"/>
  <c r="J178" i="3"/>
  <c r="K178"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AK178" i="3"/>
  <c r="AL178" i="3"/>
  <c r="AM178" i="3"/>
  <c r="AN178" i="3"/>
  <c r="A179" i="3"/>
  <c r="B179" i="3"/>
  <c r="C179" i="3"/>
  <c r="D179" i="3"/>
  <c r="E179" i="3"/>
  <c r="F179" i="3"/>
  <c r="G179" i="3"/>
  <c r="H179" i="3"/>
  <c r="I179" i="3"/>
  <c r="J179" i="3"/>
  <c r="K179"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AK179" i="3"/>
  <c r="AL179" i="3"/>
  <c r="AM179" i="3"/>
  <c r="AN179" i="3"/>
  <c r="A180" i="3"/>
  <c r="B180" i="3"/>
  <c r="C180" i="3"/>
  <c r="D180" i="3"/>
  <c r="E180" i="3"/>
  <c r="F180" i="3"/>
  <c r="G180" i="3"/>
  <c r="H180" i="3"/>
  <c r="I180" i="3"/>
  <c r="J180" i="3"/>
  <c r="K180"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AK180" i="3"/>
  <c r="AL180" i="3"/>
  <c r="AM180" i="3"/>
  <c r="AN180" i="3"/>
  <c r="A181" i="3"/>
  <c r="B181" i="3"/>
  <c r="C181" i="3"/>
  <c r="D181" i="3"/>
  <c r="E181" i="3"/>
  <c r="F181" i="3"/>
  <c r="G181" i="3"/>
  <c r="H181" i="3"/>
  <c r="I181" i="3"/>
  <c r="J181" i="3"/>
  <c r="K181"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AK181" i="3"/>
  <c r="AL181" i="3"/>
  <c r="AM181" i="3"/>
  <c r="AN181" i="3"/>
  <c r="A182" i="3"/>
  <c r="B182" i="3"/>
  <c r="C182" i="3"/>
  <c r="D182" i="3"/>
  <c r="E182" i="3"/>
  <c r="F182" i="3"/>
  <c r="G182" i="3"/>
  <c r="H182" i="3"/>
  <c r="I182" i="3"/>
  <c r="J182" i="3"/>
  <c r="K182"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AK182" i="3"/>
  <c r="AL182" i="3"/>
  <c r="AM182" i="3"/>
  <c r="AN182" i="3"/>
  <c r="A183" i="3"/>
  <c r="B183" i="3"/>
  <c r="C183" i="3"/>
  <c r="D183" i="3"/>
  <c r="E183" i="3"/>
  <c r="F183" i="3"/>
  <c r="G183" i="3"/>
  <c r="H183" i="3"/>
  <c r="I183" i="3"/>
  <c r="J183" i="3"/>
  <c r="K183"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AK183" i="3"/>
  <c r="AL183" i="3"/>
  <c r="AM183" i="3"/>
  <c r="AN183" i="3"/>
  <c r="A184" i="3"/>
  <c r="B184" i="3"/>
  <c r="C184" i="3"/>
  <c r="D184" i="3"/>
  <c r="E184" i="3"/>
  <c r="F184" i="3"/>
  <c r="G184" i="3"/>
  <c r="H184" i="3"/>
  <c r="I184" i="3"/>
  <c r="J184" i="3"/>
  <c r="K184"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AK184" i="3"/>
  <c r="AL184" i="3"/>
  <c r="AM184" i="3"/>
  <c r="AN184" i="3"/>
  <c r="A185" i="3"/>
  <c r="B185" i="3"/>
  <c r="C185" i="3"/>
  <c r="D185" i="3"/>
  <c r="E185" i="3"/>
  <c r="F185" i="3"/>
  <c r="G185" i="3"/>
  <c r="H185" i="3"/>
  <c r="I185" i="3"/>
  <c r="J185" i="3"/>
  <c r="K185"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AK185" i="3"/>
  <c r="AL185" i="3"/>
  <c r="AM185" i="3"/>
  <c r="AN185" i="3"/>
  <c r="A186" i="3"/>
  <c r="B186" i="3"/>
  <c r="C186" i="3"/>
  <c r="D186" i="3"/>
  <c r="E186" i="3"/>
  <c r="F186" i="3"/>
  <c r="G186" i="3"/>
  <c r="H186" i="3"/>
  <c r="I186" i="3"/>
  <c r="J186" i="3"/>
  <c r="K186"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AK186" i="3"/>
  <c r="AL186" i="3"/>
  <c r="AM186" i="3"/>
  <c r="AN186" i="3"/>
  <c r="A187" i="3"/>
  <c r="B187" i="3"/>
  <c r="C187" i="3"/>
  <c r="D187" i="3"/>
  <c r="E187" i="3"/>
  <c r="F187" i="3"/>
  <c r="G187" i="3"/>
  <c r="H187" i="3"/>
  <c r="I187" i="3"/>
  <c r="J187" i="3"/>
  <c r="K187"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AK187" i="3"/>
  <c r="AL187" i="3"/>
  <c r="AM187" i="3"/>
  <c r="AN187" i="3"/>
  <c r="A188" i="3"/>
  <c r="B188" i="3"/>
  <c r="C188" i="3"/>
  <c r="D188" i="3"/>
  <c r="E188" i="3"/>
  <c r="F188" i="3"/>
  <c r="G188" i="3"/>
  <c r="H188" i="3"/>
  <c r="I188" i="3"/>
  <c r="J188" i="3"/>
  <c r="K188"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AK188" i="3"/>
  <c r="AL188" i="3"/>
  <c r="AM188" i="3"/>
  <c r="AN188" i="3"/>
  <c r="A189" i="3"/>
  <c r="B189" i="3"/>
  <c r="C189" i="3"/>
  <c r="D189" i="3"/>
  <c r="E189" i="3"/>
  <c r="F189" i="3"/>
  <c r="G189" i="3"/>
  <c r="H189" i="3"/>
  <c r="I189" i="3"/>
  <c r="J189" i="3"/>
  <c r="K189"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K189" i="3"/>
  <c r="AL189" i="3"/>
  <c r="AM189" i="3"/>
  <c r="AN189" i="3"/>
  <c r="A190" i="3"/>
  <c r="B190" i="3"/>
  <c r="C190" i="3"/>
  <c r="D190" i="3"/>
  <c r="E190" i="3"/>
  <c r="F190" i="3"/>
  <c r="G190" i="3"/>
  <c r="H190" i="3"/>
  <c r="I190" i="3"/>
  <c r="J190" i="3"/>
  <c r="K190"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AK190" i="3"/>
  <c r="AL190" i="3"/>
  <c r="AM190" i="3"/>
  <c r="AN190" i="3"/>
  <c r="A191" i="3"/>
  <c r="B191" i="3"/>
  <c r="C191" i="3"/>
  <c r="D191" i="3"/>
  <c r="E191" i="3"/>
  <c r="F191" i="3"/>
  <c r="G191" i="3"/>
  <c r="H191" i="3"/>
  <c r="I191" i="3"/>
  <c r="J191" i="3"/>
  <c r="K191"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AK191" i="3"/>
  <c r="AL191" i="3"/>
  <c r="AM191" i="3"/>
  <c r="AN191" i="3"/>
  <c r="A192" i="3"/>
  <c r="B192" i="3"/>
  <c r="C192" i="3"/>
  <c r="D192" i="3"/>
  <c r="E192" i="3"/>
  <c r="F192" i="3"/>
  <c r="G192" i="3"/>
  <c r="H192" i="3"/>
  <c r="I192" i="3"/>
  <c r="J192" i="3"/>
  <c r="K192"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AK192" i="3"/>
  <c r="AL192" i="3"/>
  <c r="AM192" i="3"/>
  <c r="AN192" i="3"/>
  <c r="A193" i="3"/>
  <c r="B193" i="3"/>
  <c r="C193" i="3"/>
  <c r="D193" i="3"/>
  <c r="E193" i="3"/>
  <c r="F193" i="3"/>
  <c r="G193" i="3"/>
  <c r="H193" i="3"/>
  <c r="I193" i="3"/>
  <c r="J193" i="3"/>
  <c r="K193"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AK193" i="3"/>
  <c r="AL193" i="3"/>
  <c r="AM193" i="3"/>
  <c r="AN193" i="3"/>
  <c r="A194" i="3"/>
  <c r="B194" i="3"/>
  <c r="C194" i="3"/>
  <c r="D194" i="3"/>
  <c r="E194" i="3"/>
  <c r="F194" i="3"/>
  <c r="G194" i="3"/>
  <c r="H194" i="3"/>
  <c r="I194" i="3"/>
  <c r="J194" i="3"/>
  <c r="K194"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AK194" i="3"/>
  <c r="AL194" i="3"/>
  <c r="AM194" i="3"/>
  <c r="AN194" i="3"/>
  <c r="A195" i="3"/>
  <c r="B195" i="3"/>
  <c r="C195" i="3"/>
  <c r="D195" i="3"/>
  <c r="E195" i="3"/>
  <c r="F195" i="3"/>
  <c r="G195" i="3"/>
  <c r="H195" i="3"/>
  <c r="I195" i="3"/>
  <c r="J195" i="3"/>
  <c r="K195"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AK195" i="3"/>
  <c r="AL195" i="3"/>
  <c r="AM195" i="3"/>
  <c r="AN195" i="3"/>
  <c r="A196" i="3"/>
  <c r="B196" i="3"/>
  <c r="C196" i="3"/>
  <c r="D196" i="3"/>
  <c r="E196" i="3"/>
  <c r="F196" i="3"/>
  <c r="G196" i="3"/>
  <c r="H196" i="3"/>
  <c r="I196" i="3"/>
  <c r="J196" i="3"/>
  <c r="K196"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AK196" i="3"/>
  <c r="AL196" i="3"/>
  <c r="AM196" i="3"/>
  <c r="AN196" i="3"/>
  <c r="A197" i="3"/>
  <c r="B197" i="3"/>
  <c r="C197" i="3"/>
  <c r="D197" i="3"/>
  <c r="E197" i="3"/>
  <c r="F197" i="3"/>
  <c r="G197" i="3"/>
  <c r="H197" i="3"/>
  <c r="I197" i="3"/>
  <c r="J197" i="3"/>
  <c r="K197"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AK197" i="3"/>
  <c r="AL197" i="3"/>
  <c r="AM197" i="3"/>
  <c r="AN197" i="3"/>
  <c r="A198" i="3"/>
  <c r="B198" i="3"/>
  <c r="C198" i="3"/>
  <c r="D198" i="3"/>
  <c r="E198" i="3"/>
  <c r="F198" i="3"/>
  <c r="G198" i="3"/>
  <c r="H198" i="3"/>
  <c r="I198" i="3"/>
  <c r="J198" i="3"/>
  <c r="K198"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AK198" i="3"/>
  <c r="AL198" i="3"/>
  <c r="AM198" i="3"/>
  <c r="AN198" i="3"/>
  <c r="A199" i="3"/>
  <c r="B199" i="3"/>
  <c r="C199" i="3"/>
  <c r="D199" i="3"/>
  <c r="E199" i="3"/>
  <c r="F199" i="3"/>
  <c r="G199" i="3"/>
  <c r="H199" i="3"/>
  <c r="I199" i="3"/>
  <c r="J199" i="3"/>
  <c r="K199"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AK199" i="3"/>
  <c r="AL199" i="3"/>
  <c r="AM199" i="3"/>
  <c r="AN199" i="3"/>
  <c r="A200" i="3"/>
  <c r="B200" i="3"/>
  <c r="C200" i="3"/>
  <c r="D200" i="3"/>
  <c r="E200" i="3"/>
  <c r="F200" i="3"/>
  <c r="G200" i="3"/>
  <c r="H200" i="3"/>
  <c r="I200" i="3"/>
  <c r="J200" i="3"/>
  <c r="K200"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AK200" i="3"/>
  <c r="AL200" i="3"/>
  <c r="AM200" i="3"/>
  <c r="AN200" i="3"/>
  <c r="A201" i="3"/>
  <c r="B201" i="3"/>
  <c r="C201" i="3"/>
  <c r="D201" i="3"/>
  <c r="E201" i="3"/>
  <c r="F201" i="3"/>
  <c r="G201" i="3"/>
  <c r="H201" i="3"/>
  <c r="I201" i="3"/>
  <c r="J201" i="3"/>
  <c r="K201"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AK201" i="3"/>
  <c r="AL201" i="3"/>
  <c r="AM201" i="3"/>
  <c r="AN201" i="3"/>
  <c r="A202" i="3"/>
  <c r="B202" i="3"/>
  <c r="C202" i="3"/>
  <c r="D202" i="3"/>
  <c r="E202" i="3"/>
  <c r="F202" i="3"/>
  <c r="G202" i="3"/>
  <c r="H202" i="3"/>
  <c r="I202" i="3"/>
  <c r="J202" i="3"/>
  <c r="K202"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AK202" i="3"/>
  <c r="AL202" i="3"/>
  <c r="AM202" i="3"/>
  <c r="AN202" i="3"/>
  <c r="A203" i="3"/>
  <c r="B203" i="3"/>
  <c r="C203" i="3"/>
  <c r="D203" i="3"/>
  <c r="E203" i="3"/>
  <c r="F203" i="3"/>
  <c r="G203" i="3"/>
  <c r="H203" i="3"/>
  <c r="I203" i="3"/>
  <c r="J203" i="3"/>
  <c r="K203"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AK203" i="3"/>
  <c r="AL203" i="3"/>
  <c r="AM203" i="3"/>
  <c r="AN203" i="3"/>
  <c r="A204" i="3"/>
  <c r="B204" i="3"/>
  <c r="C204" i="3"/>
  <c r="D204" i="3"/>
  <c r="E204" i="3"/>
  <c r="F204" i="3"/>
  <c r="G204" i="3"/>
  <c r="H204" i="3"/>
  <c r="I204" i="3"/>
  <c r="J204" i="3"/>
  <c r="K204"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AK204" i="3"/>
  <c r="AL204" i="3"/>
  <c r="AM204" i="3"/>
  <c r="AN204" i="3"/>
  <c r="A205" i="3"/>
  <c r="B205" i="3"/>
  <c r="C205" i="3"/>
  <c r="D205" i="3"/>
  <c r="E205" i="3"/>
  <c r="F205" i="3"/>
  <c r="G205" i="3"/>
  <c r="H205" i="3"/>
  <c r="I205" i="3"/>
  <c r="J205" i="3"/>
  <c r="K205"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AK205" i="3"/>
  <c r="AL205" i="3"/>
  <c r="AM205" i="3"/>
  <c r="AN205" i="3"/>
  <c r="A206" i="3"/>
  <c r="B206" i="3"/>
  <c r="C206" i="3"/>
  <c r="D206" i="3"/>
  <c r="E206" i="3"/>
  <c r="F206" i="3"/>
  <c r="G206" i="3"/>
  <c r="H206" i="3"/>
  <c r="I206" i="3"/>
  <c r="J206" i="3"/>
  <c r="K206"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AK206" i="3"/>
  <c r="AL206" i="3"/>
  <c r="AM206" i="3"/>
  <c r="AN206" i="3"/>
  <c r="A207" i="3"/>
  <c r="B207" i="3"/>
  <c r="C207" i="3"/>
  <c r="D207" i="3"/>
  <c r="E207" i="3"/>
  <c r="F207" i="3"/>
  <c r="G207" i="3"/>
  <c r="H207" i="3"/>
  <c r="I207" i="3"/>
  <c r="J207" i="3"/>
  <c r="K207"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AK207" i="3"/>
  <c r="AL207" i="3"/>
  <c r="AM207" i="3"/>
  <c r="AN207" i="3"/>
  <c r="A208" i="3"/>
  <c r="B208" i="3"/>
  <c r="C208" i="3"/>
  <c r="D208" i="3"/>
  <c r="E208" i="3"/>
  <c r="F208" i="3"/>
  <c r="G208" i="3"/>
  <c r="H208" i="3"/>
  <c r="I208" i="3"/>
  <c r="J208" i="3"/>
  <c r="K208"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AK208" i="3"/>
  <c r="AL208" i="3"/>
  <c r="AM208" i="3"/>
  <c r="AN208" i="3"/>
  <c r="A209" i="3"/>
  <c r="B209" i="3"/>
  <c r="C209" i="3"/>
  <c r="D209" i="3"/>
  <c r="E209" i="3"/>
  <c r="F209" i="3"/>
  <c r="G209" i="3"/>
  <c r="H209" i="3"/>
  <c r="I209" i="3"/>
  <c r="J209" i="3"/>
  <c r="K209"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AK209" i="3"/>
  <c r="AL209" i="3"/>
  <c r="AM209" i="3"/>
  <c r="AN209" i="3"/>
  <c r="A210" i="3"/>
  <c r="B210" i="3"/>
  <c r="C210" i="3"/>
  <c r="D210" i="3"/>
  <c r="E210" i="3"/>
  <c r="F210" i="3"/>
  <c r="G210" i="3"/>
  <c r="H210" i="3"/>
  <c r="I210" i="3"/>
  <c r="J210" i="3"/>
  <c r="K210"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AK210" i="3"/>
  <c r="AL210" i="3"/>
  <c r="AM210" i="3"/>
  <c r="AN210" i="3"/>
  <c r="A211" i="3"/>
  <c r="B211" i="3"/>
  <c r="C211" i="3"/>
  <c r="D211" i="3"/>
  <c r="E211" i="3"/>
  <c r="F211" i="3"/>
  <c r="G211" i="3"/>
  <c r="H211" i="3"/>
  <c r="I211" i="3"/>
  <c r="J211" i="3"/>
  <c r="K211"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AK211" i="3"/>
  <c r="AL211" i="3"/>
  <c r="AM211" i="3"/>
  <c r="AN211" i="3"/>
  <c r="A212" i="3"/>
  <c r="B212" i="3"/>
  <c r="C212" i="3"/>
  <c r="D212" i="3"/>
  <c r="E212" i="3"/>
  <c r="F212" i="3"/>
  <c r="G212" i="3"/>
  <c r="H212" i="3"/>
  <c r="I212" i="3"/>
  <c r="J212" i="3"/>
  <c r="K212"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AK212" i="3"/>
  <c r="AL212" i="3"/>
  <c r="AM212" i="3"/>
  <c r="AN212" i="3"/>
  <c r="A213" i="3"/>
  <c r="B213" i="3"/>
  <c r="C213" i="3"/>
  <c r="D213" i="3"/>
  <c r="E213" i="3"/>
  <c r="F213" i="3"/>
  <c r="G213" i="3"/>
  <c r="H213" i="3"/>
  <c r="I213" i="3"/>
  <c r="J213" i="3"/>
  <c r="K213"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AK213" i="3"/>
  <c r="AL213" i="3"/>
  <c r="AM213" i="3"/>
  <c r="AN213" i="3"/>
  <c r="A214" i="3"/>
  <c r="B214" i="3"/>
  <c r="C214" i="3"/>
  <c r="D214" i="3"/>
  <c r="E214" i="3"/>
  <c r="F214" i="3"/>
  <c r="G214" i="3"/>
  <c r="H214" i="3"/>
  <c r="I214" i="3"/>
  <c r="J214" i="3"/>
  <c r="K214"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AK214" i="3"/>
  <c r="AL214" i="3"/>
  <c r="AM214" i="3"/>
  <c r="AN214" i="3"/>
  <c r="A215" i="3"/>
  <c r="B215" i="3"/>
  <c r="C215" i="3"/>
  <c r="D215" i="3"/>
  <c r="E215" i="3"/>
  <c r="F215" i="3"/>
  <c r="G215" i="3"/>
  <c r="H215" i="3"/>
  <c r="I215" i="3"/>
  <c r="J215" i="3"/>
  <c r="K215"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AK215" i="3"/>
  <c r="AL215" i="3"/>
  <c r="AM215" i="3"/>
  <c r="AN215" i="3"/>
  <c r="A216" i="3"/>
  <c r="B216" i="3"/>
  <c r="C216" i="3"/>
  <c r="D216" i="3"/>
  <c r="E216" i="3"/>
  <c r="F216" i="3"/>
  <c r="G216" i="3"/>
  <c r="H216" i="3"/>
  <c r="I216" i="3"/>
  <c r="J216" i="3"/>
  <c r="K216"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AK216" i="3"/>
  <c r="AL216" i="3"/>
  <c r="AM216" i="3"/>
  <c r="AN216" i="3"/>
  <c r="A217" i="3"/>
  <c r="B217" i="3"/>
  <c r="C217" i="3"/>
  <c r="D217" i="3"/>
  <c r="E217" i="3"/>
  <c r="F217" i="3"/>
  <c r="G217" i="3"/>
  <c r="H217" i="3"/>
  <c r="I217" i="3"/>
  <c r="J217" i="3"/>
  <c r="K217"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AK217" i="3"/>
  <c r="AL217" i="3"/>
  <c r="AM217" i="3"/>
  <c r="AN217" i="3"/>
  <c r="A218" i="3"/>
  <c r="B218" i="3"/>
  <c r="C218" i="3"/>
  <c r="D218" i="3"/>
  <c r="E218" i="3"/>
  <c r="F218" i="3"/>
  <c r="G218" i="3"/>
  <c r="H218" i="3"/>
  <c r="I218" i="3"/>
  <c r="J218" i="3"/>
  <c r="K218"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AK218" i="3"/>
  <c r="AL218" i="3"/>
  <c r="AM218" i="3"/>
  <c r="AN218" i="3"/>
  <c r="A219" i="3"/>
  <c r="B219" i="3"/>
  <c r="C219" i="3"/>
  <c r="D219" i="3"/>
  <c r="E219" i="3"/>
  <c r="F219" i="3"/>
  <c r="G219" i="3"/>
  <c r="H219" i="3"/>
  <c r="I219" i="3"/>
  <c r="J219" i="3"/>
  <c r="K219"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AK219" i="3"/>
  <c r="AL219" i="3"/>
  <c r="AM219" i="3"/>
  <c r="AN219" i="3"/>
  <c r="A220" i="3"/>
  <c r="B220" i="3"/>
  <c r="C220" i="3"/>
  <c r="D220" i="3"/>
  <c r="E220" i="3"/>
  <c r="F220" i="3"/>
  <c r="G220" i="3"/>
  <c r="H220" i="3"/>
  <c r="I220" i="3"/>
  <c r="J220" i="3"/>
  <c r="K220"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AK220" i="3"/>
  <c r="AL220" i="3"/>
  <c r="AM220" i="3"/>
  <c r="AN220" i="3"/>
  <c r="A221" i="3"/>
  <c r="B221" i="3"/>
  <c r="C221" i="3"/>
  <c r="D221" i="3"/>
  <c r="E221" i="3"/>
  <c r="F221" i="3"/>
  <c r="G221" i="3"/>
  <c r="H221" i="3"/>
  <c r="I221" i="3"/>
  <c r="J221" i="3"/>
  <c r="K221"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AK221" i="3"/>
  <c r="AL221" i="3"/>
  <c r="AM221" i="3"/>
  <c r="AN221" i="3"/>
  <c r="A222" i="3"/>
  <c r="B222" i="3"/>
  <c r="C222" i="3"/>
  <c r="D222" i="3"/>
  <c r="E222" i="3"/>
  <c r="F222" i="3"/>
  <c r="G222" i="3"/>
  <c r="H222" i="3"/>
  <c r="I222" i="3"/>
  <c r="J222" i="3"/>
  <c r="K222"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K222" i="3"/>
  <c r="AL222" i="3"/>
  <c r="AM222" i="3"/>
  <c r="AN222" i="3"/>
  <c r="A223" i="3"/>
  <c r="B223" i="3"/>
  <c r="C223" i="3"/>
  <c r="D223" i="3"/>
  <c r="E223" i="3"/>
  <c r="F223" i="3"/>
  <c r="G223" i="3"/>
  <c r="H223" i="3"/>
  <c r="I223" i="3"/>
  <c r="J223" i="3"/>
  <c r="K223"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AK223" i="3"/>
  <c r="AL223" i="3"/>
  <c r="AM223" i="3"/>
  <c r="AN223" i="3"/>
  <c r="A224" i="3"/>
  <c r="B224" i="3"/>
  <c r="C224" i="3"/>
  <c r="D224" i="3"/>
  <c r="E224" i="3"/>
  <c r="F224" i="3"/>
  <c r="G224" i="3"/>
  <c r="H224" i="3"/>
  <c r="I224" i="3"/>
  <c r="J224" i="3"/>
  <c r="K224"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AK224" i="3"/>
  <c r="AL224" i="3"/>
  <c r="AM224" i="3"/>
  <c r="AN224" i="3"/>
  <c r="A225" i="3"/>
  <c r="B225" i="3"/>
  <c r="C225" i="3"/>
  <c r="D225" i="3"/>
  <c r="E225" i="3"/>
  <c r="F225" i="3"/>
  <c r="G225" i="3"/>
  <c r="H225" i="3"/>
  <c r="I225" i="3"/>
  <c r="J225" i="3"/>
  <c r="K225"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AK225" i="3"/>
  <c r="AL225" i="3"/>
  <c r="AM225" i="3"/>
  <c r="AN225" i="3"/>
  <c r="A226" i="3"/>
  <c r="B226" i="3"/>
  <c r="C226" i="3"/>
  <c r="D226" i="3"/>
  <c r="E226" i="3"/>
  <c r="F226" i="3"/>
  <c r="G226" i="3"/>
  <c r="H226" i="3"/>
  <c r="I226" i="3"/>
  <c r="J226" i="3"/>
  <c r="K226"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AK226" i="3"/>
  <c r="AL226" i="3"/>
  <c r="AM226" i="3"/>
  <c r="AN226" i="3"/>
  <c r="A227" i="3"/>
  <c r="B227" i="3"/>
  <c r="C227" i="3"/>
  <c r="D227" i="3"/>
  <c r="E227" i="3"/>
  <c r="F227" i="3"/>
  <c r="G227" i="3"/>
  <c r="H227" i="3"/>
  <c r="I227" i="3"/>
  <c r="J227" i="3"/>
  <c r="K227"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AK227" i="3"/>
  <c r="AL227" i="3"/>
  <c r="AM227" i="3"/>
  <c r="AN227" i="3"/>
  <c r="A228" i="3"/>
  <c r="B228" i="3"/>
  <c r="C228" i="3"/>
  <c r="D228" i="3"/>
  <c r="E228" i="3"/>
  <c r="F228" i="3"/>
  <c r="G228" i="3"/>
  <c r="H228" i="3"/>
  <c r="I228" i="3"/>
  <c r="J228" i="3"/>
  <c r="K228"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AK228" i="3"/>
  <c r="AL228" i="3"/>
  <c r="AM228" i="3"/>
  <c r="AN228" i="3"/>
  <c r="A229" i="3"/>
  <c r="B229" i="3"/>
  <c r="C229" i="3"/>
  <c r="D229" i="3"/>
  <c r="E229" i="3"/>
  <c r="F229" i="3"/>
  <c r="G229" i="3"/>
  <c r="H229" i="3"/>
  <c r="I229" i="3"/>
  <c r="J229" i="3"/>
  <c r="K229"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AK229" i="3"/>
  <c r="AL229" i="3"/>
  <c r="AM229" i="3"/>
  <c r="AN229" i="3"/>
  <c r="A230" i="3"/>
  <c r="B230" i="3"/>
  <c r="C230" i="3"/>
  <c r="D230" i="3"/>
  <c r="E230" i="3"/>
  <c r="F230" i="3"/>
  <c r="G230" i="3"/>
  <c r="H230" i="3"/>
  <c r="I230" i="3"/>
  <c r="J230" i="3"/>
  <c r="K230"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AK230" i="3"/>
  <c r="AL230" i="3"/>
  <c r="AM230" i="3"/>
  <c r="AN230" i="3"/>
  <c r="A231" i="3"/>
  <c r="B231" i="3"/>
  <c r="C231" i="3"/>
  <c r="D231" i="3"/>
  <c r="E231" i="3"/>
  <c r="F231" i="3"/>
  <c r="G231" i="3"/>
  <c r="H231" i="3"/>
  <c r="I231" i="3"/>
  <c r="J231" i="3"/>
  <c r="K231"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AK231" i="3"/>
  <c r="AL231" i="3"/>
  <c r="AM231" i="3"/>
  <c r="AN231" i="3"/>
  <c r="A232" i="3"/>
  <c r="B232" i="3"/>
  <c r="C232" i="3"/>
  <c r="D232" i="3"/>
  <c r="E232" i="3"/>
  <c r="F232" i="3"/>
  <c r="G232" i="3"/>
  <c r="H232" i="3"/>
  <c r="I232" i="3"/>
  <c r="J232" i="3"/>
  <c r="K232"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AK232" i="3"/>
  <c r="AL232" i="3"/>
  <c r="AM232" i="3"/>
  <c r="AN232" i="3"/>
  <c r="A233" i="3"/>
  <c r="B233" i="3"/>
  <c r="C233" i="3"/>
  <c r="D233" i="3"/>
  <c r="E233" i="3"/>
  <c r="F233" i="3"/>
  <c r="G233" i="3"/>
  <c r="H233" i="3"/>
  <c r="I233" i="3"/>
  <c r="J233" i="3"/>
  <c r="K233"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AK233" i="3"/>
  <c r="AL233" i="3"/>
  <c r="AM233" i="3"/>
  <c r="AN233" i="3"/>
  <c r="A234" i="3"/>
  <c r="B234" i="3"/>
  <c r="C234" i="3"/>
  <c r="D234" i="3"/>
  <c r="E234" i="3"/>
  <c r="F234" i="3"/>
  <c r="G234" i="3"/>
  <c r="H234" i="3"/>
  <c r="I234" i="3"/>
  <c r="J234" i="3"/>
  <c r="K234"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AK234" i="3"/>
  <c r="AL234" i="3"/>
  <c r="AM234" i="3"/>
  <c r="AN234" i="3"/>
  <c r="A235" i="3"/>
  <c r="B235" i="3"/>
  <c r="C235" i="3"/>
  <c r="D235" i="3"/>
  <c r="E235" i="3"/>
  <c r="F235" i="3"/>
  <c r="G235" i="3"/>
  <c r="H235" i="3"/>
  <c r="I235" i="3"/>
  <c r="J235" i="3"/>
  <c r="K235"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AK235" i="3"/>
  <c r="AL235" i="3"/>
  <c r="AM235" i="3"/>
  <c r="AN235" i="3"/>
  <c r="A236" i="3"/>
  <c r="B236" i="3"/>
  <c r="C236" i="3"/>
  <c r="D236" i="3"/>
  <c r="E236" i="3"/>
  <c r="F236" i="3"/>
  <c r="G236" i="3"/>
  <c r="H236" i="3"/>
  <c r="I236" i="3"/>
  <c r="J236" i="3"/>
  <c r="K236"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AK236" i="3"/>
  <c r="AL236" i="3"/>
  <c r="AM236" i="3"/>
  <c r="AN236" i="3"/>
  <c r="A237" i="3"/>
  <c r="B237" i="3"/>
  <c r="C237" i="3"/>
  <c r="D237" i="3"/>
  <c r="E237" i="3"/>
  <c r="F237" i="3"/>
  <c r="G237" i="3"/>
  <c r="H237" i="3"/>
  <c r="I237" i="3"/>
  <c r="J237" i="3"/>
  <c r="K237"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AK237" i="3"/>
  <c r="AL237" i="3"/>
  <c r="AM237" i="3"/>
  <c r="AN237" i="3"/>
  <c r="A238" i="3"/>
  <c r="B238" i="3"/>
  <c r="C238" i="3"/>
  <c r="D238" i="3"/>
  <c r="E238" i="3"/>
  <c r="F238" i="3"/>
  <c r="G238" i="3"/>
  <c r="H238" i="3"/>
  <c r="I238" i="3"/>
  <c r="J238" i="3"/>
  <c r="K238"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AK238" i="3"/>
  <c r="AL238" i="3"/>
  <c r="AM238" i="3"/>
  <c r="AN238" i="3"/>
  <c r="A239" i="3"/>
  <c r="B239" i="3"/>
  <c r="C239" i="3"/>
  <c r="D239" i="3"/>
  <c r="E239" i="3"/>
  <c r="F239" i="3"/>
  <c r="G239" i="3"/>
  <c r="H239" i="3"/>
  <c r="I239" i="3"/>
  <c r="J239" i="3"/>
  <c r="K239"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AK239" i="3"/>
  <c r="AL239" i="3"/>
  <c r="AM239" i="3"/>
  <c r="AN239" i="3"/>
  <c r="A240" i="3"/>
  <c r="B240" i="3"/>
  <c r="C240" i="3"/>
  <c r="D240" i="3"/>
  <c r="E240" i="3"/>
  <c r="F240" i="3"/>
  <c r="G240" i="3"/>
  <c r="H240" i="3"/>
  <c r="I240" i="3"/>
  <c r="J240" i="3"/>
  <c r="K240"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AK240" i="3"/>
  <c r="AL240" i="3"/>
  <c r="AM240" i="3"/>
  <c r="AN240" i="3"/>
  <c r="A241" i="3"/>
  <c r="B241" i="3"/>
  <c r="C241" i="3"/>
  <c r="D241" i="3"/>
  <c r="E241" i="3"/>
  <c r="F241" i="3"/>
  <c r="G241" i="3"/>
  <c r="H241" i="3"/>
  <c r="I241" i="3"/>
  <c r="J241" i="3"/>
  <c r="K241"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AK241" i="3"/>
  <c r="AL241" i="3"/>
  <c r="AM241" i="3"/>
  <c r="AN241" i="3"/>
  <c r="A242" i="3"/>
  <c r="B242" i="3"/>
  <c r="C242" i="3"/>
  <c r="D242" i="3"/>
  <c r="E242" i="3"/>
  <c r="F242" i="3"/>
  <c r="G242" i="3"/>
  <c r="H242" i="3"/>
  <c r="I242" i="3"/>
  <c r="J242" i="3"/>
  <c r="K242"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AK242" i="3"/>
  <c r="AL242" i="3"/>
  <c r="AM242" i="3"/>
  <c r="AN242" i="3"/>
  <c r="A243" i="3"/>
  <c r="B243" i="3"/>
  <c r="C243" i="3"/>
  <c r="D243" i="3"/>
  <c r="E243" i="3"/>
  <c r="F243" i="3"/>
  <c r="G243" i="3"/>
  <c r="H243" i="3"/>
  <c r="I243" i="3"/>
  <c r="J243" i="3"/>
  <c r="K243"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AK243" i="3"/>
  <c r="AL243" i="3"/>
  <c r="AM243" i="3"/>
  <c r="AN243" i="3"/>
  <c r="A244" i="3"/>
  <c r="B244" i="3"/>
  <c r="C244" i="3"/>
  <c r="D244" i="3"/>
  <c r="E244" i="3"/>
  <c r="F244" i="3"/>
  <c r="G244" i="3"/>
  <c r="H244" i="3"/>
  <c r="I244" i="3"/>
  <c r="J244" i="3"/>
  <c r="K244"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AK244" i="3"/>
  <c r="AL244" i="3"/>
  <c r="AM244" i="3"/>
  <c r="AN244" i="3"/>
  <c r="A245" i="3"/>
  <c r="B245" i="3"/>
  <c r="C245" i="3"/>
  <c r="D245" i="3"/>
  <c r="E245" i="3"/>
  <c r="F245" i="3"/>
  <c r="G245" i="3"/>
  <c r="H245" i="3"/>
  <c r="I245" i="3"/>
  <c r="J245" i="3"/>
  <c r="K245"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AK245" i="3"/>
  <c r="AL245" i="3"/>
  <c r="AM245" i="3"/>
  <c r="AN245" i="3"/>
  <c r="A246" i="3"/>
  <c r="B246" i="3"/>
  <c r="C246" i="3"/>
  <c r="D246" i="3"/>
  <c r="E246" i="3"/>
  <c r="F246" i="3"/>
  <c r="G246" i="3"/>
  <c r="H246" i="3"/>
  <c r="I246" i="3"/>
  <c r="J246" i="3"/>
  <c r="K246"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AK246" i="3"/>
  <c r="AL246" i="3"/>
  <c r="AM246" i="3"/>
  <c r="AN246" i="3"/>
  <c r="A247" i="3"/>
  <c r="B247" i="3"/>
  <c r="C247" i="3"/>
  <c r="D247" i="3"/>
  <c r="E247" i="3"/>
  <c r="F247" i="3"/>
  <c r="G247" i="3"/>
  <c r="H247" i="3"/>
  <c r="I247" i="3"/>
  <c r="J247" i="3"/>
  <c r="K247"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AK247" i="3"/>
  <c r="AL247" i="3"/>
  <c r="AM247" i="3"/>
  <c r="AN247" i="3"/>
  <c r="A248" i="3"/>
  <c r="B248" i="3"/>
  <c r="C248" i="3"/>
  <c r="D248" i="3"/>
  <c r="E248" i="3"/>
  <c r="F248" i="3"/>
  <c r="G248" i="3"/>
  <c r="H248" i="3"/>
  <c r="I248" i="3"/>
  <c r="J248" i="3"/>
  <c r="K248"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AK248" i="3"/>
  <c r="AL248" i="3"/>
  <c r="AM248" i="3"/>
  <c r="AN248" i="3"/>
  <c r="A249" i="3"/>
  <c r="B249" i="3"/>
  <c r="C249" i="3"/>
  <c r="D249" i="3"/>
  <c r="E249" i="3"/>
  <c r="F249" i="3"/>
  <c r="G249" i="3"/>
  <c r="H249" i="3"/>
  <c r="I249" i="3"/>
  <c r="J249" i="3"/>
  <c r="K249" i="3"/>
  <c r="L249" i="3"/>
  <c r="M249" i="3"/>
  <c r="N249" i="3"/>
  <c r="O249" i="3"/>
  <c r="P249" i="3"/>
  <c r="Q249" i="3"/>
  <c r="R249" i="3"/>
  <c r="S249" i="3"/>
  <c r="T249" i="3"/>
  <c r="U249" i="3"/>
  <c r="V249" i="3"/>
  <c r="W249" i="3"/>
  <c r="X249" i="3"/>
  <c r="Y249" i="3"/>
  <c r="Z249" i="3"/>
  <c r="AA249" i="3"/>
  <c r="AB249" i="3"/>
  <c r="AC249" i="3"/>
  <c r="AD249" i="3"/>
  <c r="AE249" i="3"/>
  <c r="AF249" i="3"/>
  <c r="AG249" i="3"/>
  <c r="AH249" i="3"/>
  <c r="AI249" i="3"/>
  <c r="AJ249" i="3"/>
  <c r="AK249" i="3"/>
  <c r="AL249" i="3"/>
  <c r="AM249" i="3"/>
  <c r="AN249" i="3"/>
  <c r="A250" i="3"/>
  <c r="B250" i="3"/>
  <c r="C250" i="3"/>
  <c r="D250" i="3"/>
  <c r="E250" i="3"/>
  <c r="F250" i="3"/>
  <c r="G250" i="3"/>
  <c r="H250" i="3"/>
  <c r="I250" i="3"/>
  <c r="J250" i="3"/>
  <c r="K250" i="3"/>
  <c r="L250" i="3"/>
  <c r="M250" i="3"/>
  <c r="N250" i="3"/>
  <c r="O250" i="3"/>
  <c r="P250" i="3"/>
  <c r="Q250" i="3"/>
  <c r="R250" i="3"/>
  <c r="S250" i="3"/>
  <c r="T250" i="3"/>
  <c r="U250" i="3"/>
  <c r="V250" i="3"/>
  <c r="W250" i="3"/>
  <c r="X250" i="3"/>
  <c r="Y250" i="3"/>
  <c r="Z250" i="3"/>
  <c r="AA250" i="3"/>
  <c r="AB250" i="3"/>
  <c r="AC250" i="3"/>
  <c r="AD250" i="3"/>
  <c r="AE250" i="3"/>
  <c r="AF250" i="3"/>
  <c r="AG250" i="3"/>
  <c r="AH250" i="3"/>
  <c r="AI250" i="3"/>
  <c r="AJ250" i="3"/>
  <c r="AK250" i="3"/>
  <c r="AL250" i="3"/>
  <c r="AM250" i="3"/>
  <c r="AN250" i="3"/>
  <c r="A251" i="3"/>
  <c r="B251" i="3"/>
  <c r="C251" i="3"/>
  <c r="D251" i="3"/>
  <c r="E251" i="3"/>
  <c r="F251" i="3"/>
  <c r="G251" i="3"/>
  <c r="H251" i="3"/>
  <c r="I251" i="3"/>
  <c r="J251" i="3"/>
  <c r="K251" i="3"/>
  <c r="L251" i="3"/>
  <c r="M251" i="3"/>
  <c r="N251" i="3"/>
  <c r="O251" i="3"/>
  <c r="P251" i="3"/>
  <c r="Q251" i="3"/>
  <c r="R251" i="3"/>
  <c r="S251" i="3"/>
  <c r="T251" i="3"/>
  <c r="U251" i="3"/>
  <c r="V251" i="3"/>
  <c r="W251" i="3"/>
  <c r="X251" i="3"/>
  <c r="Y251" i="3"/>
  <c r="Z251" i="3"/>
  <c r="AA251" i="3"/>
  <c r="AB251" i="3"/>
  <c r="AC251" i="3"/>
  <c r="AD251" i="3"/>
  <c r="AE251" i="3"/>
  <c r="AF251" i="3"/>
  <c r="AG251" i="3"/>
  <c r="AH251" i="3"/>
  <c r="AI251" i="3"/>
  <c r="AJ251" i="3"/>
  <c r="AK251" i="3"/>
  <c r="AL251" i="3"/>
  <c r="AM251" i="3"/>
  <c r="AN251" i="3"/>
  <c r="A252" i="3"/>
  <c r="B252" i="3"/>
  <c r="C252" i="3"/>
  <c r="D252" i="3"/>
  <c r="E252" i="3"/>
  <c r="F252" i="3"/>
  <c r="G252" i="3"/>
  <c r="H252" i="3"/>
  <c r="I252" i="3"/>
  <c r="J252" i="3"/>
  <c r="K252" i="3"/>
  <c r="L252" i="3"/>
  <c r="M252" i="3"/>
  <c r="N252" i="3"/>
  <c r="O252" i="3"/>
  <c r="P252" i="3"/>
  <c r="Q252" i="3"/>
  <c r="R252" i="3"/>
  <c r="S252" i="3"/>
  <c r="T252" i="3"/>
  <c r="U252" i="3"/>
  <c r="V252" i="3"/>
  <c r="W252" i="3"/>
  <c r="X252" i="3"/>
  <c r="Y252" i="3"/>
  <c r="Z252" i="3"/>
  <c r="AA252" i="3"/>
  <c r="AB252" i="3"/>
  <c r="AC252" i="3"/>
  <c r="AD252" i="3"/>
  <c r="AE252" i="3"/>
  <c r="AF252" i="3"/>
  <c r="AG252" i="3"/>
  <c r="AH252" i="3"/>
  <c r="AI252" i="3"/>
  <c r="AJ252" i="3"/>
  <c r="AK252" i="3"/>
  <c r="AL252" i="3"/>
  <c r="AM252" i="3"/>
  <c r="AN252" i="3"/>
  <c r="A253" i="3"/>
  <c r="B253" i="3"/>
  <c r="C253" i="3"/>
  <c r="D253" i="3"/>
  <c r="E253" i="3"/>
  <c r="F253" i="3"/>
  <c r="G253" i="3"/>
  <c r="H253" i="3"/>
  <c r="I253" i="3"/>
  <c r="J253" i="3"/>
  <c r="K253" i="3"/>
  <c r="L253" i="3"/>
  <c r="M253" i="3"/>
  <c r="N253" i="3"/>
  <c r="O253" i="3"/>
  <c r="P253" i="3"/>
  <c r="Q253" i="3"/>
  <c r="R253" i="3"/>
  <c r="S253" i="3"/>
  <c r="T253" i="3"/>
  <c r="U253" i="3"/>
  <c r="V253" i="3"/>
  <c r="W253" i="3"/>
  <c r="X253" i="3"/>
  <c r="Y253" i="3"/>
  <c r="Z253" i="3"/>
  <c r="AA253" i="3"/>
  <c r="AB253" i="3"/>
  <c r="AC253" i="3"/>
  <c r="AD253" i="3"/>
  <c r="AE253" i="3"/>
  <c r="AF253" i="3"/>
  <c r="AG253" i="3"/>
  <c r="AH253" i="3"/>
  <c r="AI253" i="3"/>
  <c r="AJ253" i="3"/>
  <c r="AK253" i="3"/>
  <c r="AL253" i="3"/>
  <c r="AM253" i="3"/>
  <c r="AN253" i="3"/>
  <c r="A254" i="3"/>
  <c r="B254" i="3"/>
  <c r="C254" i="3"/>
  <c r="D254" i="3"/>
  <c r="E254" i="3"/>
  <c r="F254" i="3"/>
  <c r="G254" i="3"/>
  <c r="H254" i="3"/>
  <c r="I254" i="3"/>
  <c r="J254" i="3"/>
  <c r="K254" i="3"/>
  <c r="L254" i="3"/>
  <c r="M254" i="3"/>
  <c r="N254" i="3"/>
  <c r="O254" i="3"/>
  <c r="P254" i="3"/>
  <c r="Q254" i="3"/>
  <c r="R254" i="3"/>
  <c r="S254" i="3"/>
  <c r="T254" i="3"/>
  <c r="U254" i="3"/>
  <c r="V254" i="3"/>
  <c r="W254" i="3"/>
  <c r="X254" i="3"/>
  <c r="Y254" i="3"/>
  <c r="Z254" i="3"/>
  <c r="AA254" i="3"/>
  <c r="AB254" i="3"/>
  <c r="AC254" i="3"/>
  <c r="AD254" i="3"/>
  <c r="AE254" i="3"/>
  <c r="AF254" i="3"/>
  <c r="AG254" i="3"/>
  <c r="AH254" i="3"/>
  <c r="AI254" i="3"/>
  <c r="AJ254" i="3"/>
  <c r="AK254" i="3"/>
  <c r="AL254" i="3"/>
  <c r="AM254" i="3"/>
  <c r="AN254" i="3"/>
  <c r="A255" i="3"/>
  <c r="B255" i="3"/>
  <c r="C255" i="3"/>
  <c r="D255" i="3"/>
  <c r="E255" i="3"/>
  <c r="F255" i="3"/>
  <c r="G255" i="3"/>
  <c r="H255" i="3"/>
  <c r="I255" i="3"/>
  <c r="J255" i="3"/>
  <c r="K255" i="3"/>
  <c r="L255" i="3"/>
  <c r="M255" i="3"/>
  <c r="N255" i="3"/>
  <c r="O255" i="3"/>
  <c r="P255" i="3"/>
  <c r="Q255" i="3"/>
  <c r="R255" i="3"/>
  <c r="S255" i="3"/>
  <c r="T255" i="3"/>
  <c r="U255" i="3"/>
  <c r="V255" i="3"/>
  <c r="W255" i="3"/>
  <c r="X255" i="3"/>
  <c r="Y255" i="3"/>
  <c r="Z255" i="3"/>
  <c r="AA255" i="3"/>
  <c r="AB255" i="3"/>
  <c r="AC255" i="3"/>
  <c r="AD255" i="3"/>
  <c r="AE255" i="3"/>
  <c r="AF255" i="3"/>
  <c r="AG255" i="3"/>
  <c r="AH255" i="3"/>
  <c r="AI255" i="3"/>
  <c r="AJ255" i="3"/>
  <c r="AK255" i="3"/>
  <c r="AL255" i="3"/>
  <c r="AM255" i="3"/>
  <c r="AN255" i="3"/>
  <c r="A256" i="3"/>
  <c r="B256" i="3"/>
  <c r="C256" i="3"/>
  <c r="D256" i="3"/>
  <c r="E256" i="3"/>
  <c r="F256" i="3"/>
  <c r="G256" i="3"/>
  <c r="H256" i="3"/>
  <c r="I256" i="3"/>
  <c r="J256" i="3"/>
  <c r="K256" i="3"/>
  <c r="L256" i="3"/>
  <c r="M256" i="3"/>
  <c r="N256" i="3"/>
  <c r="O256" i="3"/>
  <c r="P256" i="3"/>
  <c r="Q256" i="3"/>
  <c r="R256" i="3"/>
  <c r="S256" i="3"/>
  <c r="T256" i="3"/>
  <c r="U256" i="3"/>
  <c r="V256" i="3"/>
  <c r="W256" i="3"/>
  <c r="X256" i="3"/>
  <c r="Y256" i="3"/>
  <c r="Z256" i="3"/>
  <c r="AA256" i="3"/>
  <c r="AB256" i="3"/>
  <c r="AC256" i="3"/>
  <c r="AD256" i="3"/>
  <c r="AE256" i="3"/>
  <c r="AF256" i="3"/>
  <c r="AG256" i="3"/>
  <c r="AH256" i="3"/>
  <c r="AI256" i="3"/>
  <c r="AJ256" i="3"/>
  <c r="AK256" i="3"/>
  <c r="AL256" i="3"/>
  <c r="AM256" i="3"/>
  <c r="AN256" i="3"/>
  <c r="A257" i="3"/>
  <c r="B257" i="3"/>
  <c r="C257" i="3"/>
  <c r="D257" i="3"/>
  <c r="E257" i="3"/>
  <c r="F257" i="3"/>
  <c r="G257" i="3"/>
  <c r="H257" i="3"/>
  <c r="I257" i="3"/>
  <c r="J257" i="3"/>
  <c r="K257" i="3"/>
  <c r="L257" i="3"/>
  <c r="M257" i="3"/>
  <c r="N257" i="3"/>
  <c r="O257" i="3"/>
  <c r="P257" i="3"/>
  <c r="Q257" i="3"/>
  <c r="R257" i="3"/>
  <c r="S257" i="3"/>
  <c r="T257" i="3"/>
  <c r="U257" i="3"/>
  <c r="V257" i="3"/>
  <c r="W257" i="3"/>
  <c r="X257" i="3"/>
  <c r="Y257" i="3"/>
  <c r="Z257" i="3"/>
  <c r="AA257" i="3"/>
  <c r="AB257" i="3"/>
  <c r="AC257" i="3"/>
  <c r="AD257" i="3"/>
  <c r="AE257" i="3"/>
  <c r="AF257" i="3"/>
  <c r="AG257" i="3"/>
  <c r="AH257" i="3"/>
  <c r="AI257" i="3"/>
  <c r="AJ257" i="3"/>
  <c r="AK257" i="3"/>
  <c r="AL257" i="3"/>
  <c r="AM257" i="3"/>
  <c r="AN257" i="3"/>
  <c r="A258" i="3"/>
  <c r="B258" i="3"/>
  <c r="C258" i="3"/>
  <c r="D258" i="3"/>
  <c r="E258" i="3"/>
  <c r="F258" i="3"/>
  <c r="G258" i="3"/>
  <c r="H258" i="3"/>
  <c r="I258" i="3"/>
  <c r="J258" i="3"/>
  <c r="K258" i="3"/>
  <c r="L258" i="3"/>
  <c r="M258" i="3"/>
  <c r="N258" i="3"/>
  <c r="O258" i="3"/>
  <c r="P258" i="3"/>
  <c r="Q258" i="3"/>
  <c r="R258" i="3"/>
  <c r="S258" i="3"/>
  <c r="T258" i="3"/>
  <c r="U258" i="3"/>
  <c r="V258" i="3"/>
  <c r="W258" i="3"/>
  <c r="X258" i="3"/>
  <c r="Y258" i="3"/>
  <c r="Z258" i="3"/>
  <c r="AA258" i="3"/>
  <c r="AB258" i="3"/>
  <c r="AC258" i="3"/>
  <c r="AD258" i="3"/>
  <c r="AE258" i="3"/>
  <c r="AF258" i="3"/>
  <c r="AG258" i="3"/>
  <c r="AH258" i="3"/>
  <c r="AI258" i="3"/>
  <c r="AJ258" i="3"/>
  <c r="AK258" i="3"/>
  <c r="AL258" i="3"/>
  <c r="AM258" i="3"/>
  <c r="AN258" i="3"/>
  <c r="A259" i="3"/>
  <c r="B259" i="3"/>
  <c r="C259" i="3"/>
  <c r="D259" i="3"/>
  <c r="E259" i="3"/>
  <c r="F259" i="3"/>
  <c r="G259" i="3"/>
  <c r="H259" i="3"/>
  <c r="I259" i="3"/>
  <c r="J259" i="3"/>
  <c r="K259" i="3"/>
  <c r="L259" i="3"/>
  <c r="M259" i="3"/>
  <c r="N259" i="3"/>
  <c r="O259" i="3"/>
  <c r="P259" i="3"/>
  <c r="Q259" i="3"/>
  <c r="R259" i="3"/>
  <c r="S259" i="3"/>
  <c r="T259" i="3"/>
  <c r="U259" i="3"/>
  <c r="V259" i="3"/>
  <c r="W259" i="3"/>
  <c r="X259" i="3"/>
  <c r="Y259" i="3"/>
  <c r="Z259" i="3"/>
  <c r="AA259" i="3"/>
  <c r="AB259" i="3"/>
  <c r="AC259" i="3"/>
  <c r="AD259" i="3"/>
  <c r="AE259" i="3"/>
  <c r="AF259" i="3"/>
  <c r="AG259" i="3"/>
  <c r="AH259" i="3"/>
  <c r="AI259" i="3"/>
  <c r="AJ259" i="3"/>
  <c r="AK259" i="3"/>
  <c r="AL259" i="3"/>
  <c r="AM259" i="3"/>
  <c r="AN259" i="3"/>
  <c r="A260" i="3"/>
  <c r="B260" i="3"/>
  <c r="C260" i="3"/>
  <c r="D260" i="3"/>
  <c r="E260" i="3"/>
  <c r="F260" i="3"/>
  <c r="G260" i="3"/>
  <c r="H260" i="3"/>
  <c r="I260" i="3"/>
  <c r="J260" i="3"/>
  <c r="K260"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AK260" i="3"/>
  <c r="AL260" i="3"/>
  <c r="AM260" i="3"/>
  <c r="AN260" i="3"/>
  <c r="A261" i="3"/>
  <c r="B261" i="3"/>
  <c r="C261" i="3"/>
  <c r="D261" i="3"/>
  <c r="E261" i="3"/>
  <c r="F261" i="3"/>
  <c r="G261" i="3"/>
  <c r="H261" i="3"/>
  <c r="I261" i="3"/>
  <c r="J261" i="3"/>
  <c r="K261" i="3"/>
  <c r="L261" i="3"/>
  <c r="M261" i="3"/>
  <c r="N261" i="3"/>
  <c r="O261" i="3"/>
  <c r="P261" i="3"/>
  <c r="Q261" i="3"/>
  <c r="R261" i="3"/>
  <c r="S261" i="3"/>
  <c r="T261" i="3"/>
  <c r="U261" i="3"/>
  <c r="V261" i="3"/>
  <c r="W261" i="3"/>
  <c r="X261" i="3"/>
  <c r="Y261" i="3"/>
  <c r="Z261" i="3"/>
  <c r="AA261" i="3"/>
  <c r="AB261" i="3"/>
  <c r="AC261" i="3"/>
  <c r="AD261" i="3"/>
  <c r="AE261" i="3"/>
  <c r="AF261" i="3"/>
  <c r="AG261" i="3"/>
  <c r="AH261" i="3"/>
  <c r="AI261" i="3"/>
  <c r="AJ261" i="3"/>
  <c r="AK261" i="3"/>
  <c r="AL261" i="3"/>
  <c r="AM261" i="3"/>
  <c r="AN261" i="3"/>
  <c r="A262" i="3"/>
  <c r="B262" i="3"/>
  <c r="C262" i="3"/>
  <c r="D262" i="3"/>
  <c r="E262" i="3"/>
  <c r="F262" i="3"/>
  <c r="G262" i="3"/>
  <c r="H262" i="3"/>
  <c r="I262" i="3"/>
  <c r="J262" i="3"/>
  <c r="K262" i="3"/>
  <c r="L262" i="3"/>
  <c r="M262" i="3"/>
  <c r="N262" i="3"/>
  <c r="O262" i="3"/>
  <c r="P262" i="3"/>
  <c r="Q262" i="3"/>
  <c r="R262" i="3"/>
  <c r="S262" i="3"/>
  <c r="T262" i="3"/>
  <c r="U262" i="3"/>
  <c r="V262" i="3"/>
  <c r="W262" i="3"/>
  <c r="X262" i="3"/>
  <c r="Y262" i="3"/>
  <c r="Z262" i="3"/>
  <c r="AA262" i="3"/>
  <c r="AB262" i="3"/>
  <c r="AC262" i="3"/>
  <c r="AD262" i="3"/>
  <c r="AE262" i="3"/>
  <c r="AF262" i="3"/>
  <c r="AG262" i="3"/>
  <c r="AH262" i="3"/>
  <c r="AI262" i="3"/>
  <c r="AJ262" i="3"/>
  <c r="AK262" i="3"/>
  <c r="AL262" i="3"/>
  <c r="AM262" i="3"/>
  <c r="AN262" i="3"/>
  <c r="A263" i="3"/>
  <c r="B263" i="3"/>
  <c r="C263" i="3"/>
  <c r="D263" i="3"/>
  <c r="E263" i="3"/>
  <c r="F263" i="3"/>
  <c r="G263" i="3"/>
  <c r="H263" i="3"/>
  <c r="I263" i="3"/>
  <c r="J263" i="3"/>
  <c r="K263" i="3"/>
  <c r="L263" i="3"/>
  <c r="M263" i="3"/>
  <c r="N263" i="3"/>
  <c r="O263" i="3"/>
  <c r="P263" i="3"/>
  <c r="Q263" i="3"/>
  <c r="R263" i="3"/>
  <c r="S263" i="3"/>
  <c r="T263" i="3"/>
  <c r="U263" i="3"/>
  <c r="V263" i="3"/>
  <c r="W263" i="3"/>
  <c r="X263" i="3"/>
  <c r="Y263" i="3"/>
  <c r="Z263" i="3"/>
  <c r="AA263" i="3"/>
  <c r="AB263" i="3"/>
  <c r="AC263" i="3"/>
  <c r="AD263" i="3"/>
  <c r="AE263" i="3"/>
  <c r="AF263" i="3"/>
  <c r="AG263" i="3"/>
  <c r="AH263" i="3"/>
  <c r="AI263" i="3"/>
  <c r="AJ263" i="3"/>
  <c r="AK263" i="3"/>
  <c r="AL263" i="3"/>
  <c r="AM263" i="3"/>
  <c r="AN263" i="3"/>
  <c r="A264" i="3"/>
  <c r="B264" i="3"/>
  <c r="C264" i="3"/>
  <c r="D264" i="3"/>
  <c r="E264" i="3"/>
  <c r="F264" i="3"/>
  <c r="G264" i="3"/>
  <c r="H264" i="3"/>
  <c r="I264" i="3"/>
  <c r="J264" i="3"/>
  <c r="K264" i="3"/>
  <c r="L264" i="3"/>
  <c r="M264" i="3"/>
  <c r="N264" i="3"/>
  <c r="O264" i="3"/>
  <c r="P264" i="3"/>
  <c r="Q264" i="3"/>
  <c r="R264" i="3"/>
  <c r="S264" i="3"/>
  <c r="T264" i="3"/>
  <c r="U264" i="3"/>
  <c r="V264" i="3"/>
  <c r="W264" i="3"/>
  <c r="X264" i="3"/>
  <c r="Y264" i="3"/>
  <c r="Z264" i="3"/>
  <c r="AA264" i="3"/>
  <c r="AB264" i="3"/>
  <c r="AC264" i="3"/>
  <c r="AD264" i="3"/>
  <c r="AE264" i="3"/>
  <c r="AF264" i="3"/>
  <c r="AG264" i="3"/>
  <c r="AH264" i="3"/>
  <c r="AI264" i="3"/>
  <c r="AJ264" i="3"/>
  <c r="AK264" i="3"/>
  <c r="AL264" i="3"/>
  <c r="AM264" i="3"/>
  <c r="AN264" i="3"/>
  <c r="A265" i="3"/>
  <c r="B265" i="3"/>
  <c r="C265" i="3"/>
  <c r="D265" i="3"/>
  <c r="E265" i="3"/>
  <c r="F265" i="3"/>
  <c r="G265" i="3"/>
  <c r="H265" i="3"/>
  <c r="I265" i="3"/>
  <c r="J265" i="3"/>
  <c r="K265" i="3"/>
  <c r="L265" i="3"/>
  <c r="M265" i="3"/>
  <c r="N265" i="3"/>
  <c r="O265" i="3"/>
  <c r="P265" i="3"/>
  <c r="Q265" i="3"/>
  <c r="R265" i="3"/>
  <c r="S265" i="3"/>
  <c r="T265" i="3"/>
  <c r="U265" i="3"/>
  <c r="V265" i="3"/>
  <c r="W265" i="3"/>
  <c r="X265" i="3"/>
  <c r="Y265" i="3"/>
  <c r="Z265" i="3"/>
  <c r="AA265" i="3"/>
  <c r="AB265" i="3"/>
  <c r="AC265" i="3"/>
  <c r="AD265" i="3"/>
  <c r="AE265" i="3"/>
  <c r="AF265" i="3"/>
  <c r="AG265" i="3"/>
  <c r="AH265" i="3"/>
  <c r="AI265" i="3"/>
  <c r="AJ265" i="3"/>
  <c r="AK265" i="3"/>
  <c r="AL265" i="3"/>
  <c r="AM265" i="3"/>
  <c r="AN265" i="3"/>
  <c r="A266" i="3"/>
  <c r="B266" i="3"/>
  <c r="C266" i="3"/>
  <c r="D266" i="3"/>
  <c r="E266" i="3"/>
  <c r="F266" i="3"/>
  <c r="G266" i="3"/>
  <c r="H266" i="3"/>
  <c r="I266" i="3"/>
  <c r="J266" i="3"/>
  <c r="K266" i="3"/>
  <c r="L266" i="3"/>
  <c r="M266" i="3"/>
  <c r="N266" i="3"/>
  <c r="O266" i="3"/>
  <c r="P266" i="3"/>
  <c r="Q266" i="3"/>
  <c r="R266" i="3"/>
  <c r="S266" i="3"/>
  <c r="T266" i="3"/>
  <c r="U266" i="3"/>
  <c r="V266" i="3"/>
  <c r="W266" i="3"/>
  <c r="X266" i="3"/>
  <c r="Y266" i="3"/>
  <c r="Z266" i="3"/>
  <c r="AA266" i="3"/>
  <c r="AB266" i="3"/>
  <c r="AC266" i="3"/>
  <c r="AD266" i="3"/>
  <c r="AE266" i="3"/>
  <c r="AF266" i="3"/>
  <c r="AG266" i="3"/>
  <c r="AH266" i="3"/>
  <c r="AI266" i="3"/>
  <c r="AJ266" i="3"/>
  <c r="AK266" i="3"/>
  <c r="AL266" i="3"/>
  <c r="AM266" i="3"/>
  <c r="AN266" i="3"/>
  <c r="A267" i="3"/>
  <c r="B267" i="3"/>
  <c r="C267" i="3"/>
  <c r="D267" i="3"/>
  <c r="E267" i="3"/>
  <c r="F267" i="3"/>
  <c r="G267" i="3"/>
  <c r="H267" i="3"/>
  <c r="I267" i="3"/>
  <c r="J267" i="3"/>
  <c r="K267" i="3"/>
  <c r="L267" i="3"/>
  <c r="M267" i="3"/>
  <c r="N267" i="3"/>
  <c r="O267" i="3"/>
  <c r="P267" i="3"/>
  <c r="Q267" i="3"/>
  <c r="R267" i="3"/>
  <c r="S267" i="3"/>
  <c r="T267" i="3"/>
  <c r="U267" i="3"/>
  <c r="V267" i="3"/>
  <c r="W267" i="3"/>
  <c r="X267" i="3"/>
  <c r="Y267" i="3"/>
  <c r="Z267" i="3"/>
  <c r="AA267" i="3"/>
  <c r="AB267" i="3"/>
  <c r="AC267" i="3"/>
  <c r="AD267" i="3"/>
  <c r="AE267" i="3"/>
  <c r="AF267" i="3"/>
  <c r="AG267" i="3"/>
  <c r="AH267" i="3"/>
  <c r="AI267" i="3"/>
  <c r="AJ267" i="3"/>
  <c r="AK267" i="3"/>
  <c r="AL267" i="3"/>
  <c r="AM267" i="3"/>
  <c r="AN267" i="3"/>
  <c r="A268" i="3"/>
  <c r="B268" i="3"/>
  <c r="C268" i="3"/>
  <c r="D268" i="3"/>
  <c r="E268" i="3"/>
  <c r="F268" i="3"/>
  <c r="G268" i="3"/>
  <c r="H268" i="3"/>
  <c r="I268" i="3"/>
  <c r="J268" i="3"/>
  <c r="K268" i="3"/>
  <c r="L268" i="3"/>
  <c r="M268" i="3"/>
  <c r="N268" i="3"/>
  <c r="O268" i="3"/>
  <c r="P268" i="3"/>
  <c r="Q268" i="3"/>
  <c r="R268" i="3"/>
  <c r="S268" i="3"/>
  <c r="T268" i="3"/>
  <c r="U268" i="3"/>
  <c r="V268" i="3"/>
  <c r="W268" i="3"/>
  <c r="X268" i="3"/>
  <c r="Y268" i="3"/>
  <c r="Z268" i="3"/>
  <c r="AA268" i="3"/>
  <c r="AB268" i="3"/>
  <c r="AC268" i="3"/>
  <c r="AD268" i="3"/>
  <c r="AE268" i="3"/>
  <c r="AF268" i="3"/>
  <c r="AG268" i="3"/>
  <c r="AH268" i="3"/>
  <c r="AI268" i="3"/>
  <c r="AJ268" i="3"/>
  <c r="AK268" i="3"/>
  <c r="AL268" i="3"/>
  <c r="AM268" i="3"/>
  <c r="AN268" i="3"/>
  <c r="A269" i="3"/>
  <c r="B269" i="3"/>
  <c r="C269" i="3"/>
  <c r="D269" i="3"/>
  <c r="E269" i="3"/>
  <c r="F269" i="3"/>
  <c r="G269" i="3"/>
  <c r="H269" i="3"/>
  <c r="I269" i="3"/>
  <c r="J269" i="3"/>
  <c r="K269" i="3"/>
  <c r="L269" i="3"/>
  <c r="M269" i="3"/>
  <c r="N269" i="3"/>
  <c r="O269" i="3"/>
  <c r="P269" i="3"/>
  <c r="Q269" i="3"/>
  <c r="R269" i="3"/>
  <c r="S269" i="3"/>
  <c r="T269" i="3"/>
  <c r="U269" i="3"/>
  <c r="V269" i="3"/>
  <c r="W269" i="3"/>
  <c r="X269" i="3"/>
  <c r="Y269" i="3"/>
  <c r="Z269" i="3"/>
  <c r="AA269" i="3"/>
  <c r="AB269" i="3"/>
  <c r="AC269" i="3"/>
  <c r="AD269" i="3"/>
  <c r="AE269" i="3"/>
  <c r="AF269" i="3"/>
  <c r="AG269" i="3"/>
  <c r="AH269" i="3"/>
  <c r="AI269" i="3"/>
  <c r="AJ269" i="3"/>
  <c r="AK269" i="3"/>
  <c r="AL269" i="3"/>
  <c r="AM269" i="3"/>
  <c r="AN269" i="3"/>
  <c r="A270" i="3"/>
  <c r="B270" i="3"/>
  <c r="C270" i="3"/>
  <c r="D270" i="3"/>
  <c r="E270" i="3"/>
  <c r="F270" i="3"/>
  <c r="G270" i="3"/>
  <c r="H270" i="3"/>
  <c r="I270" i="3"/>
  <c r="J270" i="3"/>
  <c r="K270" i="3"/>
  <c r="L270" i="3"/>
  <c r="M270" i="3"/>
  <c r="N270" i="3"/>
  <c r="O270" i="3"/>
  <c r="P270" i="3"/>
  <c r="Q270" i="3"/>
  <c r="R270" i="3"/>
  <c r="S270" i="3"/>
  <c r="T270" i="3"/>
  <c r="U270" i="3"/>
  <c r="V270" i="3"/>
  <c r="W270" i="3"/>
  <c r="X270" i="3"/>
  <c r="Y270" i="3"/>
  <c r="Z270" i="3"/>
  <c r="AA270" i="3"/>
  <c r="AB270" i="3"/>
  <c r="AC270" i="3"/>
  <c r="AD270" i="3"/>
  <c r="AE270" i="3"/>
  <c r="AF270" i="3"/>
  <c r="AG270" i="3"/>
  <c r="AH270" i="3"/>
  <c r="AI270" i="3"/>
  <c r="AJ270" i="3"/>
  <c r="AK270" i="3"/>
  <c r="AL270" i="3"/>
  <c r="AM270" i="3"/>
  <c r="AN270" i="3"/>
  <c r="A271" i="3"/>
  <c r="B271" i="3"/>
  <c r="C271" i="3"/>
  <c r="D271" i="3"/>
  <c r="E271" i="3"/>
  <c r="F271" i="3"/>
  <c r="G271" i="3"/>
  <c r="H271" i="3"/>
  <c r="I271" i="3"/>
  <c r="J271" i="3"/>
  <c r="K271" i="3"/>
  <c r="L271" i="3"/>
  <c r="M271" i="3"/>
  <c r="N271" i="3"/>
  <c r="O271" i="3"/>
  <c r="P271" i="3"/>
  <c r="Q271" i="3"/>
  <c r="R271" i="3"/>
  <c r="S271" i="3"/>
  <c r="T271" i="3"/>
  <c r="U271" i="3"/>
  <c r="V271" i="3"/>
  <c r="W271" i="3"/>
  <c r="X271" i="3"/>
  <c r="Y271" i="3"/>
  <c r="Z271" i="3"/>
  <c r="AA271" i="3"/>
  <c r="AB271" i="3"/>
  <c r="AC271" i="3"/>
  <c r="AD271" i="3"/>
  <c r="AE271" i="3"/>
  <c r="AF271" i="3"/>
  <c r="AG271" i="3"/>
  <c r="AH271" i="3"/>
  <c r="AI271" i="3"/>
  <c r="AJ271" i="3"/>
  <c r="AK271" i="3"/>
  <c r="AL271" i="3"/>
  <c r="AM271" i="3"/>
  <c r="AN271" i="3"/>
  <c r="A272" i="3"/>
  <c r="B272" i="3"/>
  <c r="C272" i="3"/>
  <c r="D272" i="3"/>
  <c r="E272" i="3"/>
  <c r="F272" i="3"/>
  <c r="G272" i="3"/>
  <c r="H272" i="3"/>
  <c r="I272" i="3"/>
  <c r="J272" i="3"/>
  <c r="K272" i="3"/>
  <c r="L272" i="3"/>
  <c r="M272" i="3"/>
  <c r="N272" i="3"/>
  <c r="O272" i="3"/>
  <c r="P272" i="3"/>
  <c r="Q272" i="3"/>
  <c r="R272" i="3"/>
  <c r="S272" i="3"/>
  <c r="T272" i="3"/>
  <c r="U272" i="3"/>
  <c r="V272" i="3"/>
  <c r="W272" i="3"/>
  <c r="X272" i="3"/>
  <c r="Y272" i="3"/>
  <c r="Z272" i="3"/>
  <c r="AA272" i="3"/>
  <c r="AB272" i="3"/>
  <c r="AC272" i="3"/>
  <c r="AD272" i="3"/>
  <c r="AE272" i="3"/>
  <c r="AF272" i="3"/>
  <c r="AG272" i="3"/>
  <c r="AH272" i="3"/>
  <c r="AI272" i="3"/>
  <c r="AJ272" i="3"/>
  <c r="AK272" i="3"/>
  <c r="AL272" i="3"/>
  <c r="AM272" i="3"/>
  <c r="AN272" i="3"/>
  <c r="A273" i="3"/>
  <c r="B273" i="3"/>
  <c r="C273" i="3"/>
  <c r="D273" i="3"/>
  <c r="E273" i="3"/>
  <c r="F273" i="3"/>
  <c r="G273" i="3"/>
  <c r="H273" i="3"/>
  <c r="I273" i="3"/>
  <c r="J273" i="3"/>
  <c r="K273" i="3"/>
  <c r="L273" i="3"/>
  <c r="M273" i="3"/>
  <c r="N273" i="3"/>
  <c r="O273" i="3"/>
  <c r="P273" i="3"/>
  <c r="Q273" i="3"/>
  <c r="R273" i="3"/>
  <c r="S273" i="3"/>
  <c r="T273" i="3"/>
  <c r="U273" i="3"/>
  <c r="V273" i="3"/>
  <c r="W273" i="3"/>
  <c r="X273" i="3"/>
  <c r="Y273" i="3"/>
  <c r="Z273" i="3"/>
  <c r="AA273" i="3"/>
  <c r="AB273" i="3"/>
  <c r="AC273" i="3"/>
  <c r="AD273" i="3"/>
  <c r="AE273" i="3"/>
  <c r="AF273" i="3"/>
  <c r="AG273" i="3"/>
  <c r="AH273" i="3"/>
  <c r="AI273" i="3"/>
  <c r="AJ273" i="3"/>
  <c r="AK273" i="3"/>
  <c r="AL273" i="3"/>
  <c r="AM273" i="3"/>
  <c r="AN273" i="3"/>
  <c r="A274" i="3"/>
  <c r="B274" i="3"/>
  <c r="C274" i="3"/>
  <c r="D274" i="3"/>
  <c r="E274" i="3"/>
  <c r="F274" i="3"/>
  <c r="G274" i="3"/>
  <c r="H274" i="3"/>
  <c r="I274" i="3"/>
  <c r="J274" i="3"/>
  <c r="K274" i="3"/>
  <c r="L274" i="3"/>
  <c r="M274" i="3"/>
  <c r="N274" i="3"/>
  <c r="O274" i="3"/>
  <c r="P274" i="3"/>
  <c r="Q274" i="3"/>
  <c r="R274" i="3"/>
  <c r="S274" i="3"/>
  <c r="T274" i="3"/>
  <c r="U274" i="3"/>
  <c r="V274" i="3"/>
  <c r="W274" i="3"/>
  <c r="X274" i="3"/>
  <c r="Y274" i="3"/>
  <c r="Z274" i="3"/>
  <c r="AA274" i="3"/>
  <c r="AB274" i="3"/>
  <c r="AC274" i="3"/>
  <c r="AD274" i="3"/>
  <c r="AE274" i="3"/>
  <c r="AF274" i="3"/>
  <c r="AG274" i="3"/>
  <c r="AH274" i="3"/>
  <c r="AI274" i="3"/>
  <c r="AJ274" i="3"/>
  <c r="AK274" i="3"/>
  <c r="AL274" i="3"/>
  <c r="AM274" i="3"/>
  <c r="AN274" i="3"/>
  <c r="A275" i="3"/>
  <c r="B275" i="3"/>
  <c r="C275" i="3"/>
  <c r="D275" i="3"/>
  <c r="E275" i="3"/>
  <c r="F275" i="3"/>
  <c r="G275" i="3"/>
  <c r="H275" i="3"/>
  <c r="I275" i="3"/>
  <c r="J275" i="3"/>
  <c r="K275" i="3"/>
  <c r="L275" i="3"/>
  <c r="M275" i="3"/>
  <c r="N275" i="3"/>
  <c r="O275" i="3"/>
  <c r="P275" i="3"/>
  <c r="Q275" i="3"/>
  <c r="R275" i="3"/>
  <c r="S275" i="3"/>
  <c r="T275" i="3"/>
  <c r="U275" i="3"/>
  <c r="V275" i="3"/>
  <c r="W275" i="3"/>
  <c r="X275" i="3"/>
  <c r="Y275" i="3"/>
  <c r="Z275" i="3"/>
  <c r="AA275" i="3"/>
  <c r="AB275" i="3"/>
  <c r="AC275" i="3"/>
  <c r="AD275" i="3"/>
  <c r="AE275" i="3"/>
  <c r="AF275" i="3"/>
  <c r="AG275" i="3"/>
  <c r="AH275" i="3"/>
  <c r="AI275" i="3"/>
  <c r="AJ275" i="3"/>
  <c r="AK275" i="3"/>
  <c r="AL275" i="3"/>
  <c r="AM275" i="3"/>
  <c r="AN275" i="3"/>
  <c r="A276" i="3"/>
  <c r="B276" i="3"/>
  <c r="C276" i="3"/>
  <c r="D276" i="3"/>
  <c r="E276" i="3"/>
  <c r="F276" i="3"/>
  <c r="G276" i="3"/>
  <c r="H276" i="3"/>
  <c r="I276" i="3"/>
  <c r="J276" i="3"/>
  <c r="K276" i="3"/>
  <c r="L276" i="3"/>
  <c r="M276" i="3"/>
  <c r="N276" i="3"/>
  <c r="O276" i="3"/>
  <c r="P276" i="3"/>
  <c r="Q276" i="3"/>
  <c r="R276" i="3"/>
  <c r="S276" i="3"/>
  <c r="T276" i="3"/>
  <c r="U276" i="3"/>
  <c r="V276" i="3"/>
  <c r="W276" i="3"/>
  <c r="X276" i="3"/>
  <c r="Y276" i="3"/>
  <c r="Z276" i="3"/>
  <c r="AA276" i="3"/>
  <c r="AB276" i="3"/>
  <c r="AC276" i="3"/>
  <c r="AD276" i="3"/>
  <c r="AE276" i="3"/>
  <c r="AF276" i="3"/>
  <c r="AG276" i="3"/>
  <c r="AH276" i="3"/>
  <c r="AI276" i="3"/>
  <c r="AJ276" i="3"/>
  <c r="AK276" i="3"/>
  <c r="AL276" i="3"/>
  <c r="AM276" i="3"/>
  <c r="AN276" i="3"/>
  <c r="A277" i="3"/>
  <c r="B277" i="3"/>
  <c r="C277" i="3"/>
  <c r="D277" i="3"/>
  <c r="E277" i="3"/>
  <c r="F277" i="3"/>
  <c r="G277" i="3"/>
  <c r="H277" i="3"/>
  <c r="I277" i="3"/>
  <c r="J277" i="3"/>
  <c r="K277" i="3"/>
  <c r="L277" i="3"/>
  <c r="M277" i="3"/>
  <c r="N277" i="3"/>
  <c r="O277" i="3"/>
  <c r="P277" i="3"/>
  <c r="Q277" i="3"/>
  <c r="R277" i="3"/>
  <c r="S277" i="3"/>
  <c r="T277" i="3"/>
  <c r="U277" i="3"/>
  <c r="V277" i="3"/>
  <c r="W277" i="3"/>
  <c r="X277" i="3"/>
  <c r="Y277" i="3"/>
  <c r="Z277" i="3"/>
  <c r="AA277" i="3"/>
  <c r="AB277" i="3"/>
  <c r="AC277" i="3"/>
  <c r="AD277" i="3"/>
  <c r="AE277" i="3"/>
  <c r="AF277" i="3"/>
  <c r="AG277" i="3"/>
  <c r="AH277" i="3"/>
  <c r="AI277" i="3"/>
  <c r="AJ277" i="3"/>
  <c r="AK277" i="3"/>
  <c r="AL277" i="3"/>
  <c r="AM277" i="3"/>
  <c r="AN277" i="3"/>
  <c r="A278" i="3"/>
  <c r="B278" i="3"/>
  <c r="C278" i="3"/>
  <c r="D278" i="3"/>
  <c r="E278" i="3"/>
  <c r="F278" i="3"/>
  <c r="G278" i="3"/>
  <c r="H278" i="3"/>
  <c r="I278" i="3"/>
  <c r="J278" i="3"/>
  <c r="K278" i="3"/>
  <c r="L278" i="3"/>
  <c r="M278" i="3"/>
  <c r="N278" i="3"/>
  <c r="O278" i="3"/>
  <c r="P278" i="3"/>
  <c r="Q278" i="3"/>
  <c r="R278" i="3"/>
  <c r="S278" i="3"/>
  <c r="T278" i="3"/>
  <c r="U278" i="3"/>
  <c r="V278" i="3"/>
  <c r="W278" i="3"/>
  <c r="X278" i="3"/>
  <c r="Y278" i="3"/>
  <c r="Z278" i="3"/>
  <c r="AA278" i="3"/>
  <c r="AB278" i="3"/>
  <c r="AC278" i="3"/>
  <c r="AD278" i="3"/>
  <c r="AE278" i="3"/>
  <c r="AF278" i="3"/>
  <c r="AG278" i="3"/>
  <c r="AH278" i="3"/>
  <c r="AI278" i="3"/>
  <c r="AJ278" i="3"/>
  <c r="AK278" i="3"/>
  <c r="AL278" i="3"/>
  <c r="AM278" i="3"/>
  <c r="AN278" i="3"/>
  <c r="A279" i="3"/>
  <c r="B279" i="3"/>
  <c r="C279" i="3"/>
  <c r="D279" i="3"/>
  <c r="E279" i="3"/>
  <c r="F279" i="3"/>
  <c r="G279" i="3"/>
  <c r="H279" i="3"/>
  <c r="I279" i="3"/>
  <c r="J279" i="3"/>
  <c r="K279" i="3"/>
  <c r="L279" i="3"/>
  <c r="M279" i="3"/>
  <c r="N279" i="3"/>
  <c r="O279" i="3"/>
  <c r="P279" i="3"/>
  <c r="Q279" i="3"/>
  <c r="R279" i="3"/>
  <c r="S279" i="3"/>
  <c r="T279" i="3"/>
  <c r="U279" i="3"/>
  <c r="V279" i="3"/>
  <c r="W279" i="3"/>
  <c r="X279" i="3"/>
  <c r="Y279" i="3"/>
  <c r="Z279" i="3"/>
  <c r="AA279" i="3"/>
  <c r="AB279" i="3"/>
  <c r="AC279" i="3"/>
  <c r="AD279" i="3"/>
  <c r="AE279" i="3"/>
  <c r="AF279" i="3"/>
  <c r="AG279" i="3"/>
  <c r="AH279" i="3"/>
  <c r="AI279" i="3"/>
  <c r="AJ279" i="3"/>
  <c r="AK279" i="3"/>
  <c r="AL279" i="3"/>
  <c r="AM279" i="3"/>
  <c r="AN279" i="3"/>
  <c r="A280" i="3"/>
  <c r="B280" i="3"/>
  <c r="C280" i="3"/>
  <c r="D280" i="3"/>
  <c r="E280" i="3"/>
  <c r="F280" i="3"/>
  <c r="G280" i="3"/>
  <c r="H280" i="3"/>
  <c r="I280" i="3"/>
  <c r="J280" i="3"/>
  <c r="K280" i="3"/>
  <c r="L280" i="3"/>
  <c r="M280" i="3"/>
  <c r="N280" i="3"/>
  <c r="O280" i="3"/>
  <c r="P280" i="3"/>
  <c r="Q280" i="3"/>
  <c r="R280" i="3"/>
  <c r="S280" i="3"/>
  <c r="T280" i="3"/>
  <c r="U280" i="3"/>
  <c r="V280" i="3"/>
  <c r="W280" i="3"/>
  <c r="X280" i="3"/>
  <c r="Y280" i="3"/>
  <c r="Z280" i="3"/>
  <c r="AA280" i="3"/>
  <c r="AB280" i="3"/>
  <c r="AC280" i="3"/>
  <c r="AD280" i="3"/>
  <c r="AE280" i="3"/>
  <c r="AF280" i="3"/>
  <c r="AG280" i="3"/>
  <c r="AH280" i="3"/>
  <c r="AI280" i="3"/>
  <c r="AJ280" i="3"/>
  <c r="AK280" i="3"/>
  <c r="AL280" i="3"/>
  <c r="AM280" i="3"/>
  <c r="AN280" i="3"/>
  <c r="A281" i="3"/>
  <c r="B281" i="3"/>
  <c r="C281" i="3"/>
  <c r="D281" i="3"/>
  <c r="E281" i="3"/>
  <c r="F281" i="3"/>
  <c r="G281" i="3"/>
  <c r="H281" i="3"/>
  <c r="I281" i="3"/>
  <c r="J281" i="3"/>
  <c r="K281" i="3"/>
  <c r="L281" i="3"/>
  <c r="M281" i="3"/>
  <c r="N281" i="3"/>
  <c r="O281" i="3"/>
  <c r="P281" i="3"/>
  <c r="Q281" i="3"/>
  <c r="R281" i="3"/>
  <c r="S281" i="3"/>
  <c r="T281" i="3"/>
  <c r="U281" i="3"/>
  <c r="V281" i="3"/>
  <c r="W281" i="3"/>
  <c r="X281" i="3"/>
  <c r="Y281" i="3"/>
  <c r="Z281" i="3"/>
  <c r="AA281" i="3"/>
  <c r="AB281" i="3"/>
  <c r="AC281" i="3"/>
  <c r="AD281" i="3"/>
  <c r="AE281" i="3"/>
  <c r="AF281" i="3"/>
  <c r="AG281" i="3"/>
  <c r="AH281" i="3"/>
  <c r="AI281" i="3"/>
  <c r="AJ281" i="3"/>
  <c r="AK281" i="3"/>
  <c r="AL281" i="3"/>
  <c r="AM281" i="3"/>
  <c r="AN281" i="3"/>
  <c r="A282" i="3"/>
  <c r="B282" i="3"/>
  <c r="C282" i="3"/>
  <c r="D282" i="3"/>
  <c r="E282" i="3"/>
  <c r="F282" i="3"/>
  <c r="G282" i="3"/>
  <c r="H282" i="3"/>
  <c r="I282" i="3"/>
  <c r="J282" i="3"/>
  <c r="K282" i="3"/>
  <c r="L282" i="3"/>
  <c r="M282" i="3"/>
  <c r="N282" i="3"/>
  <c r="O282" i="3"/>
  <c r="P282" i="3"/>
  <c r="Q282" i="3"/>
  <c r="R282" i="3"/>
  <c r="S282" i="3"/>
  <c r="T282" i="3"/>
  <c r="U282" i="3"/>
  <c r="V282" i="3"/>
  <c r="W282" i="3"/>
  <c r="X282" i="3"/>
  <c r="Y282" i="3"/>
  <c r="Z282" i="3"/>
  <c r="AA282" i="3"/>
  <c r="AB282" i="3"/>
  <c r="AC282" i="3"/>
  <c r="AD282" i="3"/>
  <c r="AE282" i="3"/>
  <c r="AF282" i="3"/>
  <c r="AG282" i="3"/>
  <c r="AH282" i="3"/>
  <c r="AI282" i="3"/>
  <c r="AJ282" i="3"/>
  <c r="AK282" i="3"/>
  <c r="AL282" i="3"/>
  <c r="AM282" i="3"/>
  <c r="AN282" i="3"/>
  <c r="A283" i="3"/>
  <c r="B283" i="3"/>
  <c r="C283" i="3"/>
  <c r="D283" i="3"/>
  <c r="E283" i="3"/>
  <c r="F283" i="3"/>
  <c r="G283" i="3"/>
  <c r="H283" i="3"/>
  <c r="I283" i="3"/>
  <c r="J283" i="3"/>
  <c r="K283" i="3"/>
  <c r="L283" i="3"/>
  <c r="M283" i="3"/>
  <c r="N283" i="3"/>
  <c r="O283" i="3"/>
  <c r="P283" i="3"/>
  <c r="Q283" i="3"/>
  <c r="R283" i="3"/>
  <c r="S283" i="3"/>
  <c r="T283" i="3"/>
  <c r="U283" i="3"/>
  <c r="V283" i="3"/>
  <c r="W283" i="3"/>
  <c r="X283" i="3"/>
  <c r="Y283" i="3"/>
  <c r="Z283" i="3"/>
  <c r="AA283" i="3"/>
  <c r="AB283" i="3"/>
  <c r="AC283" i="3"/>
  <c r="AD283" i="3"/>
  <c r="AE283" i="3"/>
  <c r="AF283" i="3"/>
  <c r="AG283" i="3"/>
  <c r="AH283" i="3"/>
  <c r="AI283" i="3"/>
  <c r="AJ283" i="3"/>
  <c r="AK283" i="3"/>
  <c r="AL283" i="3"/>
  <c r="AM283" i="3"/>
  <c r="AN283" i="3"/>
  <c r="A284" i="3"/>
  <c r="B284" i="3"/>
  <c r="C284" i="3"/>
  <c r="D284" i="3"/>
  <c r="E284" i="3"/>
  <c r="F284" i="3"/>
  <c r="G284" i="3"/>
  <c r="H284" i="3"/>
  <c r="I284" i="3"/>
  <c r="J284" i="3"/>
  <c r="K284" i="3"/>
  <c r="L284" i="3"/>
  <c r="M284" i="3"/>
  <c r="N284" i="3"/>
  <c r="O284" i="3"/>
  <c r="P284" i="3"/>
  <c r="Q284" i="3"/>
  <c r="R284" i="3"/>
  <c r="S284" i="3"/>
  <c r="T284" i="3"/>
  <c r="U284" i="3"/>
  <c r="V284" i="3"/>
  <c r="W284" i="3"/>
  <c r="X284" i="3"/>
  <c r="Y284" i="3"/>
  <c r="Z284" i="3"/>
  <c r="AA284" i="3"/>
  <c r="AB284" i="3"/>
  <c r="AC284" i="3"/>
  <c r="AD284" i="3"/>
  <c r="AE284" i="3"/>
  <c r="AF284" i="3"/>
  <c r="AG284" i="3"/>
  <c r="AH284" i="3"/>
  <c r="AI284" i="3"/>
  <c r="AJ284" i="3"/>
  <c r="AK284" i="3"/>
  <c r="AL284" i="3"/>
  <c r="AM284" i="3"/>
  <c r="AN284" i="3"/>
  <c r="A285" i="3"/>
  <c r="B285" i="3"/>
  <c r="C285" i="3"/>
  <c r="D285" i="3"/>
  <c r="E285" i="3"/>
  <c r="F285" i="3"/>
  <c r="G285" i="3"/>
  <c r="H285" i="3"/>
  <c r="I285" i="3"/>
  <c r="J285" i="3"/>
  <c r="K285" i="3"/>
  <c r="L285" i="3"/>
  <c r="M285" i="3"/>
  <c r="N285" i="3"/>
  <c r="O285" i="3"/>
  <c r="P285" i="3"/>
  <c r="Q285" i="3"/>
  <c r="R285" i="3"/>
  <c r="S285" i="3"/>
  <c r="T285" i="3"/>
  <c r="U285" i="3"/>
  <c r="V285" i="3"/>
  <c r="W285" i="3"/>
  <c r="X285" i="3"/>
  <c r="Y285" i="3"/>
  <c r="Z285" i="3"/>
  <c r="AA285" i="3"/>
  <c r="AB285" i="3"/>
  <c r="AC285" i="3"/>
  <c r="AD285" i="3"/>
  <c r="AE285" i="3"/>
  <c r="AF285" i="3"/>
  <c r="AG285" i="3"/>
  <c r="AH285" i="3"/>
  <c r="AI285" i="3"/>
  <c r="AJ285" i="3"/>
  <c r="AK285" i="3"/>
  <c r="AL285" i="3"/>
  <c r="AM285" i="3"/>
  <c r="AN285" i="3"/>
  <c r="A286" i="3"/>
  <c r="B286" i="3"/>
  <c r="C286" i="3"/>
  <c r="D286" i="3"/>
  <c r="E286" i="3"/>
  <c r="F286" i="3"/>
  <c r="G286" i="3"/>
  <c r="H286" i="3"/>
  <c r="I286" i="3"/>
  <c r="J286" i="3"/>
  <c r="K286" i="3"/>
  <c r="L286" i="3"/>
  <c r="M286" i="3"/>
  <c r="N286" i="3"/>
  <c r="O286" i="3"/>
  <c r="P286" i="3"/>
  <c r="Q286" i="3"/>
  <c r="R286" i="3"/>
  <c r="S286" i="3"/>
  <c r="T286" i="3"/>
  <c r="U286" i="3"/>
  <c r="V286" i="3"/>
  <c r="W286" i="3"/>
  <c r="X286" i="3"/>
  <c r="Y286" i="3"/>
  <c r="Z286" i="3"/>
  <c r="AA286" i="3"/>
  <c r="AB286" i="3"/>
  <c r="AC286" i="3"/>
  <c r="AD286" i="3"/>
  <c r="AE286" i="3"/>
  <c r="AF286" i="3"/>
  <c r="AG286" i="3"/>
  <c r="AH286" i="3"/>
  <c r="AI286" i="3"/>
  <c r="AJ286" i="3"/>
  <c r="AK286" i="3"/>
  <c r="AL286" i="3"/>
  <c r="AM286" i="3"/>
  <c r="AN286" i="3"/>
  <c r="A287" i="3"/>
  <c r="B287" i="3"/>
  <c r="C287" i="3"/>
  <c r="D287" i="3"/>
  <c r="E287" i="3"/>
  <c r="F287" i="3"/>
  <c r="G287" i="3"/>
  <c r="H287" i="3"/>
  <c r="I287" i="3"/>
  <c r="J287" i="3"/>
  <c r="K287" i="3"/>
  <c r="L287" i="3"/>
  <c r="M287" i="3"/>
  <c r="N287" i="3"/>
  <c r="O287" i="3"/>
  <c r="P287" i="3"/>
  <c r="Q287" i="3"/>
  <c r="R287" i="3"/>
  <c r="S287" i="3"/>
  <c r="T287" i="3"/>
  <c r="U287" i="3"/>
  <c r="V287" i="3"/>
  <c r="W287" i="3"/>
  <c r="X287" i="3"/>
  <c r="Y287" i="3"/>
  <c r="Z287" i="3"/>
  <c r="AA287" i="3"/>
  <c r="AB287" i="3"/>
  <c r="AC287" i="3"/>
  <c r="AD287" i="3"/>
  <c r="AE287" i="3"/>
  <c r="AF287" i="3"/>
  <c r="AG287" i="3"/>
  <c r="AH287" i="3"/>
  <c r="AI287" i="3"/>
  <c r="AJ287" i="3"/>
  <c r="AK287" i="3"/>
  <c r="AL287" i="3"/>
  <c r="AM287" i="3"/>
  <c r="AN287" i="3"/>
  <c r="A288" i="3"/>
  <c r="B288" i="3"/>
  <c r="C288" i="3"/>
  <c r="D288" i="3"/>
  <c r="E288" i="3"/>
  <c r="F288" i="3"/>
  <c r="G288" i="3"/>
  <c r="H288" i="3"/>
  <c r="I288" i="3"/>
  <c r="J288" i="3"/>
  <c r="K288" i="3"/>
  <c r="L288" i="3"/>
  <c r="M288" i="3"/>
  <c r="N288" i="3"/>
  <c r="O288" i="3"/>
  <c r="P288" i="3"/>
  <c r="Q288" i="3"/>
  <c r="R288" i="3"/>
  <c r="S288" i="3"/>
  <c r="T288" i="3"/>
  <c r="U288" i="3"/>
  <c r="V288" i="3"/>
  <c r="W288" i="3"/>
  <c r="X288" i="3"/>
  <c r="Y288" i="3"/>
  <c r="Z288" i="3"/>
  <c r="AA288" i="3"/>
  <c r="AB288" i="3"/>
  <c r="AC288" i="3"/>
  <c r="AD288" i="3"/>
  <c r="AE288" i="3"/>
  <c r="AF288" i="3"/>
  <c r="AG288" i="3"/>
  <c r="AH288" i="3"/>
  <c r="AI288" i="3"/>
  <c r="AJ288" i="3"/>
  <c r="AK288" i="3"/>
  <c r="AL288" i="3"/>
  <c r="AM288" i="3"/>
  <c r="AN288" i="3"/>
  <c r="A289" i="3"/>
  <c r="B289" i="3"/>
  <c r="C289" i="3"/>
  <c r="D289" i="3"/>
  <c r="E289" i="3"/>
  <c r="F289" i="3"/>
  <c r="G289" i="3"/>
  <c r="H289" i="3"/>
  <c r="I289" i="3"/>
  <c r="J289" i="3"/>
  <c r="K289" i="3"/>
  <c r="L289" i="3"/>
  <c r="M289" i="3"/>
  <c r="N289" i="3"/>
  <c r="O289" i="3"/>
  <c r="P289" i="3"/>
  <c r="Q289" i="3"/>
  <c r="R289" i="3"/>
  <c r="S289" i="3"/>
  <c r="T289" i="3"/>
  <c r="U289" i="3"/>
  <c r="V289" i="3"/>
  <c r="W289" i="3"/>
  <c r="X289" i="3"/>
  <c r="Y289" i="3"/>
  <c r="Z289" i="3"/>
  <c r="AA289" i="3"/>
  <c r="AB289" i="3"/>
  <c r="AC289" i="3"/>
  <c r="AD289" i="3"/>
  <c r="AE289" i="3"/>
  <c r="AF289" i="3"/>
  <c r="AG289" i="3"/>
  <c r="AH289" i="3"/>
  <c r="AI289" i="3"/>
  <c r="AJ289" i="3"/>
  <c r="AK289" i="3"/>
  <c r="AL289" i="3"/>
  <c r="AM289" i="3"/>
  <c r="AN289" i="3"/>
  <c r="A290" i="3"/>
  <c r="B290" i="3"/>
  <c r="C290" i="3"/>
  <c r="D290" i="3"/>
  <c r="E290" i="3"/>
  <c r="F290" i="3"/>
  <c r="G290" i="3"/>
  <c r="H290" i="3"/>
  <c r="I290" i="3"/>
  <c r="J290" i="3"/>
  <c r="K290" i="3"/>
  <c r="L290" i="3"/>
  <c r="M290" i="3"/>
  <c r="N290" i="3"/>
  <c r="O290" i="3"/>
  <c r="P290" i="3"/>
  <c r="Q290" i="3"/>
  <c r="R290" i="3"/>
  <c r="S290" i="3"/>
  <c r="T290" i="3"/>
  <c r="U290" i="3"/>
  <c r="V290" i="3"/>
  <c r="W290" i="3"/>
  <c r="X290" i="3"/>
  <c r="Y290" i="3"/>
  <c r="Z290" i="3"/>
  <c r="AA290" i="3"/>
  <c r="AB290" i="3"/>
  <c r="AC290" i="3"/>
  <c r="AD290" i="3"/>
  <c r="AE290" i="3"/>
  <c r="AF290" i="3"/>
  <c r="AG290" i="3"/>
  <c r="AH290" i="3"/>
  <c r="AI290" i="3"/>
  <c r="AJ290" i="3"/>
  <c r="AK290" i="3"/>
  <c r="AL290" i="3"/>
  <c r="AM290" i="3"/>
  <c r="AN290" i="3"/>
  <c r="A291" i="3"/>
  <c r="B291" i="3"/>
  <c r="C291" i="3"/>
  <c r="D291" i="3"/>
  <c r="E291" i="3"/>
  <c r="F291" i="3"/>
  <c r="G291" i="3"/>
  <c r="H291" i="3"/>
  <c r="I291" i="3"/>
  <c r="J291" i="3"/>
  <c r="K291" i="3"/>
  <c r="L291" i="3"/>
  <c r="M291" i="3"/>
  <c r="N291" i="3"/>
  <c r="O291" i="3"/>
  <c r="P291" i="3"/>
  <c r="Q291" i="3"/>
  <c r="R291" i="3"/>
  <c r="S291" i="3"/>
  <c r="T291" i="3"/>
  <c r="U291" i="3"/>
  <c r="V291" i="3"/>
  <c r="W291" i="3"/>
  <c r="X291" i="3"/>
  <c r="Y291" i="3"/>
  <c r="Z291" i="3"/>
  <c r="AA291" i="3"/>
  <c r="AB291" i="3"/>
  <c r="AC291" i="3"/>
  <c r="AD291" i="3"/>
  <c r="AE291" i="3"/>
  <c r="AF291" i="3"/>
  <c r="AG291" i="3"/>
  <c r="AH291" i="3"/>
  <c r="AI291" i="3"/>
  <c r="AJ291" i="3"/>
  <c r="AK291" i="3"/>
  <c r="AL291" i="3"/>
  <c r="AM291" i="3"/>
  <c r="AN291" i="3"/>
  <c r="A292" i="3"/>
  <c r="B292" i="3"/>
  <c r="C292" i="3"/>
  <c r="D292" i="3"/>
  <c r="E292" i="3"/>
  <c r="F292" i="3"/>
  <c r="G292" i="3"/>
  <c r="H292" i="3"/>
  <c r="I292" i="3"/>
  <c r="J292" i="3"/>
  <c r="K292" i="3"/>
  <c r="L292" i="3"/>
  <c r="M292" i="3"/>
  <c r="N292" i="3"/>
  <c r="O292" i="3"/>
  <c r="P292" i="3"/>
  <c r="Q292" i="3"/>
  <c r="R292" i="3"/>
  <c r="S292" i="3"/>
  <c r="T292" i="3"/>
  <c r="U292" i="3"/>
  <c r="V292" i="3"/>
  <c r="W292" i="3"/>
  <c r="X292" i="3"/>
  <c r="Y292" i="3"/>
  <c r="Z292" i="3"/>
  <c r="AA292" i="3"/>
  <c r="AB292" i="3"/>
  <c r="AC292" i="3"/>
  <c r="AD292" i="3"/>
  <c r="AE292" i="3"/>
  <c r="AF292" i="3"/>
  <c r="AG292" i="3"/>
  <c r="AH292" i="3"/>
  <c r="AI292" i="3"/>
  <c r="AJ292" i="3"/>
  <c r="AK292" i="3"/>
  <c r="AL292" i="3"/>
  <c r="AM292" i="3"/>
  <c r="AN292" i="3"/>
  <c r="A293" i="3"/>
  <c r="B293" i="3"/>
  <c r="C293" i="3"/>
  <c r="D293" i="3"/>
  <c r="E293" i="3"/>
  <c r="F293" i="3"/>
  <c r="G293" i="3"/>
  <c r="H293" i="3"/>
  <c r="I293" i="3"/>
  <c r="J293" i="3"/>
  <c r="K293" i="3"/>
  <c r="L293" i="3"/>
  <c r="M293" i="3"/>
  <c r="N293" i="3"/>
  <c r="O293" i="3"/>
  <c r="P293" i="3"/>
  <c r="Q293" i="3"/>
  <c r="R293" i="3"/>
  <c r="S293" i="3"/>
  <c r="T293" i="3"/>
  <c r="U293" i="3"/>
  <c r="V293" i="3"/>
  <c r="W293" i="3"/>
  <c r="X293" i="3"/>
  <c r="Y293" i="3"/>
  <c r="Z293" i="3"/>
  <c r="AA293" i="3"/>
  <c r="AB293" i="3"/>
  <c r="AC293" i="3"/>
  <c r="AD293" i="3"/>
  <c r="AE293" i="3"/>
  <c r="AF293" i="3"/>
  <c r="AG293" i="3"/>
  <c r="AH293" i="3"/>
  <c r="AI293" i="3"/>
  <c r="AJ293" i="3"/>
  <c r="AK293" i="3"/>
  <c r="AL293" i="3"/>
  <c r="AM293" i="3"/>
  <c r="AN293" i="3"/>
  <c r="A294" i="3"/>
  <c r="B294" i="3"/>
  <c r="C294" i="3"/>
  <c r="D294" i="3"/>
  <c r="E294" i="3"/>
  <c r="F294" i="3"/>
  <c r="G294" i="3"/>
  <c r="H294" i="3"/>
  <c r="I294" i="3"/>
  <c r="J294" i="3"/>
  <c r="K294" i="3"/>
  <c r="L294" i="3"/>
  <c r="M294" i="3"/>
  <c r="N294" i="3"/>
  <c r="O294" i="3"/>
  <c r="P294" i="3"/>
  <c r="Q294" i="3"/>
  <c r="R294" i="3"/>
  <c r="S294" i="3"/>
  <c r="T294" i="3"/>
  <c r="U294" i="3"/>
  <c r="V294" i="3"/>
  <c r="W294" i="3"/>
  <c r="X294" i="3"/>
  <c r="Y294" i="3"/>
  <c r="Z294" i="3"/>
  <c r="AA294" i="3"/>
  <c r="AB294" i="3"/>
  <c r="AC294" i="3"/>
  <c r="AD294" i="3"/>
  <c r="AE294" i="3"/>
  <c r="AF294" i="3"/>
  <c r="AG294" i="3"/>
  <c r="AH294" i="3"/>
  <c r="AI294" i="3"/>
  <c r="AJ294" i="3"/>
  <c r="AK294" i="3"/>
  <c r="AL294" i="3"/>
  <c r="AM294" i="3"/>
  <c r="AN294" i="3"/>
  <c r="A295" i="3"/>
  <c r="B295" i="3"/>
  <c r="C295" i="3"/>
  <c r="D295" i="3"/>
  <c r="E295" i="3"/>
  <c r="F295" i="3"/>
  <c r="G295" i="3"/>
  <c r="H295" i="3"/>
  <c r="I295" i="3"/>
  <c r="J295" i="3"/>
  <c r="K295" i="3"/>
  <c r="L295" i="3"/>
  <c r="M295" i="3"/>
  <c r="N295" i="3"/>
  <c r="O295" i="3"/>
  <c r="P295" i="3"/>
  <c r="Q295" i="3"/>
  <c r="R295" i="3"/>
  <c r="S295" i="3"/>
  <c r="T295" i="3"/>
  <c r="U295" i="3"/>
  <c r="V295" i="3"/>
  <c r="W295" i="3"/>
  <c r="X295" i="3"/>
  <c r="Y295" i="3"/>
  <c r="Z295" i="3"/>
  <c r="AA295" i="3"/>
  <c r="AB295" i="3"/>
  <c r="AC295" i="3"/>
  <c r="AD295" i="3"/>
  <c r="AE295" i="3"/>
  <c r="AF295" i="3"/>
  <c r="AG295" i="3"/>
  <c r="AH295" i="3"/>
  <c r="AI295" i="3"/>
  <c r="AJ295" i="3"/>
  <c r="AK295" i="3"/>
  <c r="AL295" i="3"/>
  <c r="AM295" i="3"/>
  <c r="AN295" i="3"/>
  <c r="A296" i="3"/>
  <c r="B296" i="3"/>
  <c r="C296" i="3"/>
  <c r="D296" i="3"/>
  <c r="E296" i="3"/>
  <c r="F296" i="3"/>
  <c r="G296" i="3"/>
  <c r="H296" i="3"/>
  <c r="I296" i="3"/>
  <c r="J296" i="3"/>
  <c r="K296" i="3"/>
  <c r="L296" i="3"/>
  <c r="M296" i="3"/>
  <c r="N296" i="3"/>
  <c r="O296" i="3"/>
  <c r="P296" i="3"/>
  <c r="Q296" i="3"/>
  <c r="R296" i="3"/>
  <c r="S296" i="3"/>
  <c r="T296" i="3"/>
  <c r="U296" i="3"/>
  <c r="V296" i="3"/>
  <c r="W296" i="3"/>
  <c r="X296" i="3"/>
  <c r="Y296" i="3"/>
  <c r="Z296" i="3"/>
  <c r="AA296" i="3"/>
  <c r="AB296" i="3"/>
  <c r="AC296" i="3"/>
  <c r="AD296" i="3"/>
  <c r="AE296" i="3"/>
  <c r="AF296" i="3"/>
  <c r="AG296" i="3"/>
  <c r="AH296" i="3"/>
  <c r="AI296" i="3"/>
  <c r="AJ296" i="3"/>
  <c r="AK296" i="3"/>
  <c r="AL296" i="3"/>
  <c r="AM296" i="3"/>
  <c r="AN296" i="3"/>
  <c r="A297" i="3"/>
  <c r="B297" i="3"/>
  <c r="C297" i="3"/>
  <c r="D297" i="3"/>
  <c r="E297" i="3"/>
  <c r="F297" i="3"/>
  <c r="G297" i="3"/>
  <c r="H297" i="3"/>
  <c r="I297" i="3"/>
  <c r="J297" i="3"/>
  <c r="K297" i="3"/>
  <c r="L297" i="3"/>
  <c r="M297" i="3"/>
  <c r="N297" i="3"/>
  <c r="O297" i="3"/>
  <c r="P297" i="3"/>
  <c r="Q297" i="3"/>
  <c r="R297" i="3"/>
  <c r="S297" i="3"/>
  <c r="T297" i="3"/>
  <c r="U297" i="3"/>
  <c r="V297" i="3"/>
  <c r="W297" i="3"/>
  <c r="X297" i="3"/>
  <c r="Y297" i="3"/>
  <c r="Z297" i="3"/>
  <c r="AA297" i="3"/>
  <c r="AB297" i="3"/>
  <c r="AC297" i="3"/>
  <c r="AD297" i="3"/>
  <c r="AE297" i="3"/>
  <c r="AF297" i="3"/>
  <c r="AG297" i="3"/>
  <c r="AH297" i="3"/>
  <c r="AI297" i="3"/>
  <c r="AJ297" i="3"/>
  <c r="AK297" i="3"/>
  <c r="AL297" i="3"/>
  <c r="AM297" i="3"/>
  <c r="AN297" i="3"/>
  <c r="A298" i="3"/>
  <c r="B298" i="3"/>
  <c r="C298" i="3"/>
  <c r="D298" i="3"/>
  <c r="E298" i="3"/>
  <c r="F298" i="3"/>
  <c r="G298" i="3"/>
  <c r="H298" i="3"/>
  <c r="I298" i="3"/>
  <c r="J298" i="3"/>
  <c r="K298" i="3"/>
  <c r="L298" i="3"/>
  <c r="M298" i="3"/>
  <c r="N298" i="3"/>
  <c r="O298" i="3"/>
  <c r="P298" i="3"/>
  <c r="Q298" i="3"/>
  <c r="R298" i="3"/>
  <c r="S298" i="3"/>
  <c r="T298" i="3"/>
  <c r="U298" i="3"/>
  <c r="V298" i="3"/>
  <c r="W298" i="3"/>
  <c r="X298" i="3"/>
  <c r="Y298" i="3"/>
  <c r="Z298" i="3"/>
  <c r="AA298" i="3"/>
  <c r="AB298" i="3"/>
  <c r="AC298" i="3"/>
  <c r="AD298" i="3"/>
  <c r="AE298" i="3"/>
  <c r="AF298" i="3"/>
  <c r="AG298" i="3"/>
  <c r="AH298" i="3"/>
  <c r="AI298" i="3"/>
  <c r="AJ298" i="3"/>
  <c r="AK298" i="3"/>
  <c r="AL298" i="3"/>
  <c r="AM298" i="3"/>
  <c r="AN298" i="3"/>
  <c r="A299" i="3"/>
  <c r="B299" i="3"/>
  <c r="C299" i="3"/>
  <c r="D299" i="3"/>
  <c r="E299" i="3"/>
  <c r="F299" i="3"/>
  <c r="G299" i="3"/>
  <c r="H299" i="3"/>
  <c r="I299" i="3"/>
  <c r="J299" i="3"/>
  <c r="K299" i="3"/>
  <c r="L299" i="3"/>
  <c r="M299" i="3"/>
  <c r="N299" i="3"/>
  <c r="O299" i="3"/>
  <c r="P299" i="3"/>
  <c r="Q299" i="3"/>
  <c r="R299" i="3"/>
  <c r="S299" i="3"/>
  <c r="T299" i="3"/>
  <c r="U299" i="3"/>
  <c r="V299" i="3"/>
  <c r="W299" i="3"/>
  <c r="X299" i="3"/>
  <c r="Y299" i="3"/>
  <c r="Z299" i="3"/>
  <c r="AA299" i="3"/>
  <c r="AB299" i="3"/>
  <c r="AC299" i="3"/>
  <c r="AD299" i="3"/>
  <c r="AE299" i="3"/>
  <c r="AF299" i="3"/>
  <c r="AG299" i="3"/>
  <c r="AH299" i="3"/>
  <c r="AI299" i="3"/>
  <c r="AJ299" i="3"/>
  <c r="AK299" i="3"/>
  <c r="AL299" i="3"/>
  <c r="AM299" i="3"/>
  <c r="AN299" i="3"/>
  <c r="A300" i="3"/>
  <c r="B300" i="3"/>
  <c r="C300" i="3"/>
  <c r="D300" i="3"/>
  <c r="E300" i="3"/>
  <c r="F300" i="3"/>
  <c r="G300" i="3"/>
  <c r="H300" i="3"/>
  <c r="I300" i="3"/>
  <c r="J300" i="3"/>
  <c r="K300" i="3"/>
  <c r="L300" i="3"/>
  <c r="M300" i="3"/>
  <c r="N300" i="3"/>
  <c r="O300" i="3"/>
  <c r="P300" i="3"/>
  <c r="Q300" i="3"/>
  <c r="R300" i="3"/>
  <c r="S300" i="3"/>
  <c r="T300" i="3"/>
  <c r="U300" i="3"/>
  <c r="V300" i="3"/>
  <c r="W300" i="3"/>
  <c r="X300" i="3"/>
  <c r="Y300" i="3"/>
  <c r="Z300" i="3"/>
  <c r="AA300" i="3"/>
  <c r="AB300" i="3"/>
  <c r="AC300" i="3"/>
  <c r="AD300" i="3"/>
  <c r="AE300" i="3"/>
  <c r="AF300" i="3"/>
  <c r="AG300" i="3"/>
  <c r="AH300" i="3"/>
  <c r="AI300" i="3"/>
  <c r="AJ300" i="3"/>
  <c r="AK300" i="3"/>
  <c r="AL300" i="3"/>
  <c r="AM300" i="3"/>
  <c r="AN300" i="3"/>
  <c r="A301" i="3"/>
  <c r="B301" i="3"/>
  <c r="C301" i="3"/>
  <c r="D301" i="3"/>
  <c r="E301" i="3"/>
  <c r="F301" i="3"/>
  <c r="G301" i="3"/>
  <c r="H301" i="3"/>
  <c r="I301" i="3"/>
  <c r="J301" i="3"/>
  <c r="K301" i="3"/>
  <c r="L301" i="3"/>
  <c r="M301" i="3"/>
  <c r="N301" i="3"/>
  <c r="O301" i="3"/>
  <c r="P301" i="3"/>
  <c r="Q301" i="3"/>
  <c r="R301" i="3"/>
  <c r="S301" i="3"/>
  <c r="T301" i="3"/>
  <c r="U301" i="3"/>
  <c r="V301" i="3"/>
  <c r="W301" i="3"/>
  <c r="X301" i="3"/>
  <c r="Y301" i="3"/>
  <c r="Z301" i="3"/>
  <c r="AA301" i="3"/>
  <c r="AB301" i="3"/>
  <c r="AC301" i="3"/>
  <c r="AD301" i="3"/>
  <c r="AE301" i="3"/>
  <c r="AF301" i="3"/>
  <c r="AG301" i="3"/>
  <c r="AH301" i="3"/>
  <c r="AI301" i="3"/>
  <c r="AJ301" i="3"/>
  <c r="AK301" i="3"/>
  <c r="AL301" i="3"/>
  <c r="AM301" i="3"/>
  <c r="AN301" i="3"/>
  <c r="A302" i="3"/>
  <c r="B302" i="3"/>
  <c r="C302" i="3"/>
  <c r="D302" i="3"/>
  <c r="E302" i="3"/>
  <c r="F302" i="3"/>
  <c r="G302" i="3"/>
  <c r="H302" i="3"/>
  <c r="I302" i="3"/>
  <c r="J302" i="3"/>
  <c r="K302" i="3"/>
  <c r="L302" i="3"/>
  <c r="M302" i="3"/>
  <c r="N302" i="3"/>
  <c r="O302" i="3"/>
  <c r="P302" i="3"/>
  <c r="Q302" i="3"/>
  <c r="R302" i="3"/>
  <c r="S302" i="3"/>
  <c r="T302" i="3"/>
  <c r="U302" i="3"/>
  <c r="V302" i="3"/>
  <c r="W302" i="3"/>
  <c r="X302" i="3"/>
  <c r="Y302" i="3"/>
  <c r="Z302" i="3"/>
  <c r="AA302" i="3"/>
  <c r="AB302" i="3"/>
  <c r="AC302" i="3"/>
  <c r="AD302" i="3"/>
  <c r="AE302" i="3"/>
  <c r="AF302" i="3"/>
  <c r="AG302" i="3"/>
  <c r="AH302" i="3"/>
  <c r="AI302" i="3"/>
  <c r="AJ302" i="3"/>
  <c r="AK302" i="3"/>
  <c r="AL302" i="3"/>
  <c r="AM302" i="3"/>
  <c r="AN302" i="3"/>
  <c r="A303" i="3"/>
  <c r="B303" i="3"/>
  <c r="C303" i="3"/>
  <c r="D303" i="3"/>
  <c r="E303" i="3"/>
  <c r="F303" i="3"/>
  <c r="G303" i="3"/>
  <c r="H303" i="3"/>
  <c r="I303" i="3"/>
  <c r="J303" i="3"/>
  <c r="K303" i="3"/>
  <c r="L303" i="3"/>
  <c r="M303" i="3"/>
  <c r="N303" i="3"/>
  <c r="O303" i="3"/>
  <c r="P303" i="3"/>
  <c r="Q303" i="3"/>
  <c r="R303" i="3"/>
  <c r="S303" i="3"/>
  <c r="T303" i="3"/>
  <c r="U303" i="3"/>
  <c r="V303" i="3"/>
  <c r="W303" i="3"/>
  <c r="X303" i="3"/>
  <c r="Y303" i="3"/>
  <c r="Z303" i="3"/>
  <c r="AA303" i="3"/>
  <c r="AB303" i="3"/>
  <c r="AC303" i="3"/>
  <c r="AD303" i="3"/>
  <c r="AE303" i="3"/>
  <c r="AF303" i="3"/>
  <c r="AG303" i="3"/>
  <c r="AH303" i="3"/>
  <c r="AI303" i="3"/>
  <c r="AJ303" i="3"/>
  <c r="AK303" i="3"/>
  <c r="AL303" i="3"/>
  <c r="AM303" i="3"/>
  <c r="AN303" i="3"/>
  <c r="A304" i="3"/>
  <c r="B304" i="3"/>
  <c r="C304" i="3"/>
  <c r="D304" i="3"/>
  <c r="E304" i="3"/>
  <c r="F304" i="3"/>
  <c r="G304" i="3"/>
  <c r="H304" i="3"/>
  <c r="I304" i="3"/>
  <c r="J304" i="3"/>
  <c r="K304" i="3"/>
  <c r="L304" i="3"/>
  <c r="M304" i="3"/>
  <c r="N304" i="3"/>
  <c r="O304" i="3"/>
  <c r="P304" i="3"/>
  <c r="Q304" i="3"/>
  <c r="R304" i="3"/>
  <c r="S304" i="3"/>
  <c r="T304" i="3"/>
  <c r="U304" i="3"/>
  <c r="V304" i="3"/>
  <c r="W304" i="3"/>
  <c r="X304" i="3"/>
  <c r="Y304" i="3"/>
  <c r="Z304" i="3"/>
  <c r="AA304" i="3"/>
  <c r="AB304" i="3"/>
  <c r="AC304" i="3"/>
  <c r="AD304" i="3"/>
  <c r="AE304" i="3"/>
  <c r="AF304" i="3"/>
  <c r="AG304" i="3"/>
  <c r="AH304" i="3"/>
  <c r="AI304" i="3"/>
  <c r="AJ304" i="3"/>
  <c r="AK304" i="3"/>
  <c r="AL304" i="3"/>
  <c r="AM304" i="3"/>
  <c r="AN304" i="3"/>
  <c r="A305" i="3"/>
  <c r="B305" i="3"/>
  <c r="C305" i="3"/>
  <c r="D305" i="3"/>
  <c r="E305" i="3"/>
  <c r="F305" i="3"/>
  <c r="G305" i="3"/>
  <c r="H305" i="3"/>
  <c r="I305" i="3"/>
  <c r="J305" i="3"/>
  <c r="K305" i="3"/>
  <c r="L305" i="3"/>
  <c r="M305" i="3"/>
  <c r="N305" i="3"/>
  <c r="O305" i="3"/>
  <c r="P305" i="3"/>
  <c r="Q305" i="3"/>
  <c r="R305" i="3"/>
  <c r="S305" i="3"/>
  <c r="T305" i="3"/>
  <c r="U305" i="3"/>
  <c r="V305" i="3"/>
  <c r="W305" i="3"/>
  <c r="X305" i="3"/>
  <c r="Y305" i="3"/>
  <c r="Z305" i="3"/>
  <c r="AA305" i="3"/>
  <c r="AB305" i="3"/>
  <c r="AC305" i="3"/>
  <c r="AD305" i="3"/>
  <c r="AE305" i="3"/>
  <c r="AF305" i="3"/>
  <c r="AG305" i="3"/>
  <c r="AH305" i="3"/>
  <c r="AI305" i="3"/>
  <c r="AJ305" i="3"/>
  <c r="AK305" i="3"/>
  <c r="AL305" i="3"/>
  <c r="AM305" i="3"/>
  <c r="AN305" i="3"/>
  <c r="A306" i="3"/>
  <c r="B306" i="3"/>
  <c r="C306" i="3"/>
  <c r="D306" i="3"/>
  <c r="E306" i="3"/>
  <c r="F306" i="3"/>
  <c r="G306" i="3"/>
  <c r="H306" i="3"/>
  <c r="I306" i="3"/>
  <c r="J306" i="3"/>
  <c r="K306" i="3"/>
  <c r="L306" i="3"/>
  <c r="M306" i="3"/>
  <c r="N306" i="3"/>
  <c r="O306" i="3"/>
  <c r="P306" i="3"/>
  <c r="Q306" i="3"/>
  <c r="R306" i="3"/>
  <c r="S306" i="3"/>
  <c r="T306" i="3"/>
  <c r="U306" i="3"/>
  <c r="V306" i="3"/>
  <c r="W306" i="3"/>
  <c r="X306" i="3"/>
  <c r="Y306" i="3"/>
  <c r="Z306" i="3"/>
  <c r="AA306" i="3"/>
  <c r="AB306" i="3"/>
  <c r="AC306" i="3"/>
  <c r="AD306" i="3"/>
  <c r="AE306" i="3"/>
  <c r="AF306" i="3"/>
  <c r="AG306" i="3"/>
  <c r="AH306" i="3"/>
  <c r="AI306" i="3"/>
  <c r="AJ306" i="3"/>
  <c r="AK306" i="3"/>
  <c r="AL306" i="3"/>
  <c r="AM306" i="3"/>
  <c r="AN306" i="3"/>
  <c r="A307" i="3"/>
  <c r="B307" i="3"/>
  <c r="C307" i="3"/>
  <c r="D307" i="3"/>
  <c r="E307" i="3"/>
  <c r="F307" i="3"/>
  <c r="G307" i="3"/>
  <c r="H307" i="3"/>
  <c r="I307" i="3"/>
  <c r="J307" i="3"/>
  <c r="K307" i="3"/>
  <c r="L307" i="3"/>
  <c r="M307" i="3"/>
  <c r="N307" i="3"/>
  <c r="O307" i="3"/>
  <c r="P307" i="3"/>
  <c r="Q307" i="3"/>
  <c r="R307" i="3"/>
  <c r="S307" i="3"/>
  <c r="T307" i="3"/>
  <c r="U307" i="3"/>
  <c r="V307" i="3"/>
  <c r="W307" i="3"/>
  <c r="X307" i="3"/>
  <c r="Y307" i="3"/>
  <c r="Z307" i="3"/>
  <c r="AA307" i="3"/>
  <c r="AB307" i="3"/>
  <c r="AC307" i="3"/>
  <c r="AD307" i="3"/>
  <c r="AE307" i="3"/>
  <c r="AF307" i="3"/>
  <c r="AG307" i="3"/>
  <c r="AH307" i="3"/>
  <c r="AI307" i="3"/>
  <c r="AJ307" i="3"/>
  <c r="AK307" i="3"/>
  <c r="AL307" i="3"/>
  <c r="AM307" i="3"/>
  <c r="AN307" i="3"/>
  <c r="A308" i="3"/>
  <c r="B308" i="3"/>
  <c r="C308" i="3"/>
  <c r="D308" i="3"/>
  <c r="E308" i="3"/>
  <c r="F308" i="3"/>
  <c r="G308" i="3"/>
  <c r="H308" i="3"/>
  <c r="I308" i="3"/>
  <c r="J308" i="3"/>
  <c r="K308" i="3"/>
  <c r="L308" i="3"/>
  <c r="M308" i="3"/>
  <c r="N308" i="3"/>
  <c r="O308" i="3"/>
  <c r="P308" i="3"/>
  <c r="Q308" i="3"/>
  <c r="R308" i="3"/>
  <c r="S308" i="3"/>
  <c r="T308" i="3"/>
  <c r="U308" i="3"/>
  <c r="V308" i="3"/>
  <c r="W308" i="3"/>
  <c r="X308" i="3"/>
  <c r="Y308" i="3"/>
  <c r="Z308" i="3"/>
  <c r="AA308" i="3"/>
  <c r="AB308" i="3"/>
  <c r="AC308" i="3"/>
  <c r="AD308" i="3"/>
  <c r="AE308" i="3"/>
  <c r="AF308" i="3"/>
  <c r="AG308" i="3"/>
  <c r="AH308" i="3"/>
  <c r="AI308" i="3"/>
  <c r="AJ308" i="3"/>
  <c r="AK308" i="3"/>
  <c r="AL308" i="3"/>
  <c r="AM308" i="3"/>
  <c r="AN308" i="3"/>
  <c r="A309" i="3"/>
  <c r="B309" i="3"/>
  <c r="C309" i="3"/>
  <c r="D309" i="3"/>
  <c r="E309" i="3"/>
  <c r="F309" i="3"/>
  <c r="G309" i="3"/>
  <c r="H309" i="3"/>
  <c r="I309" i="3"/>
  <c r="J309" i="3"/>
  <c r="K309" i="3"/>
  <c r="L309" i="3"/>
  <c r="M309" i="3"/>
  <c r="N309" i="3"/>
  <c r="O309" i="3"/>
  <c r="P309" i="3"/>
  <c r="Q309" i="3"/>
  <c r="R309" i="3"/>
  <c r="S309" i="3"/>
  <c r="T309" i="3"/>
  <c r="U309" i="3"/>
  <c r="V309" i="3"/>
  <c r="W309" i="3"/>
  <c r="X309" i="3"/>
  <c r="Y309" i="3"/>
  <c r="Z309" i="3"/>
  <c r="AA309" i="3"/>
  <c r="AB309" i="3"/>
  <c r="AC309" i="3"/>
  <c r="AD309" i="3"/>
  <c r="AE309" i="3"/>
  <c r="AF309" i="3"/>
  <c r="AG309" i="3"/>
  <c r="AH309" i="3"/>
  <c r="AI309" i="3"/>
  <c r="AJ309" i="3"/>
  <c r="AK309" i="3"/>
  <c r="AL309" i="3"/>
  <c r="AM309" i="3"/>
  <c r="AN309" i="3"/>
  <c r="A310" i="3"/>
  <c r="B310" i="3"/>
  <c r="C310" i="3"/>
  <c r="D310" i="3"/>
  <c r="E310" i="3"/>
  <c r="F310" i="3"/>
  <c r="G310" i="3"/>
  <c r="H310" i="3"/>
  <c r="I310" i="3"/>
  <c r="J310" i="3"/>
  <c r="K310" i="3"/>
  <c r="L310" i="3"/>
  <c r="M310" i="3"/>
  <c r="N310" i="3"/>
  <c r="O310" i="3"/>
  <c r="P310" i="3"/>
  <c r="Q310" i="3"/>
  <c r="R310" i="3"/>
  <c r="S310" i="3"/>
  <c r="T310" i="3"/>
  <c r="U310" i="3"/>
  <c r="V310" i="3"/>
  <c r="W310" i="3"/>
  <c r="X310" i="3"/>
  <c r="Y310" i="3"/>
  <c r="Z310" i="3"/>
  <c r="AA310" i="3"/>
  <c r="AB310" i="3"/>
  <c r="AC310" i="3"/>
  <c r="AD310" i="3"/>
  <c r="AE310" i="3"/>
  <c r="AF310" i="3"/>
  <c r="AG310" i="3"/>
  <c r="AH310" i="3"/>
  <c r="AI310" i="3"/>
  <c r="AJ310" i="3"/>
  <c r="AK310" i="3"/>
  <c r="AL310" i="3"/>
  <c r="AM310" i="3"/>
  <c r="AN310" i="3"/>
  <c r="A311" i="3"/>
  <c r="B311" i="3"/>
  <c r="C311" i="3"/>
  <c r="D311" i="3"/>
  <c r="E311" i="3"/>
  <c r="F311" i="3"/>
  <c r="G311" i="3"/>
  <c r="H311" i="3"/>
  <c r="I311" i="3"/>
  <c r="J311" i="3"/>
  <c r="K311" i="3"/>
  <c r="L311" i="3"/>
  <c r="M311" i="3"/>
  <c r="N311" i="3"/>
  <c r="O311" i="3"/>
  <c r="P311" i="3"/>
  <c r="Q311" i="3"/>
  <c r="R311" i="3"/>
  <c r="S311" i="3"/>
  <c r="T311" i="3"/>
  <c r="U311" i="3"/>
  <c r="V311" i="3"/>
  <c r="W311" i="3"/>
  <c r="X311" i="3"/>
  <c r="Y311" i="3"/>
  <c r="Z311" i="3"/>
  <c r="AA311" i="3"/>
  <c r="AB311" i="3"/>
  <c r="AC311" i="3"/>
  <c r="AD311" i="3"/>
  <c r="AE311" i="3"/>
  <c r="AF311" i="3"/>
  <c r="AG311" i="3"/>
  <c r="AH311" i="3"/>
  <c r="AI311" i="3"/>
  <c r="AJ311" i="3"/>
  <c r="AK311" i="3"/>
  <c r="AL311" i="3"/>
  <c r="AM311" i="3"/>
  <c r="AN311" i="3"/>
  <c r="A312" i="3"/>
  <c r="B312" i="3"/>
  <c r="C312" i="3"/>
  <c r="D312" i="3"/>
  <c r="E312" i="3"/>
  <c r="F312" i="3"/>
  <c r="G312" i="3"/>
  <c r="H312" i="3"/>
  <c r="I312" i="3"/>
  <c r="J312" i="3"/>
  <c r="K312" i="3"/>
  <c r="L312" i="3"/>
  <c r="M312" i="3"/>
  <c r="N312" i="3"/>
  <c r="O312" i="3"/>
  <c r="P312" i="3"/>
  <c r="Q312" i="3"/>
  <c r="R312" i="3"/>
  <c r="S312" i="3"/>
  <c r="T312" i="3"/>
  <c r="U312" i="3"/>
  <c r="V312" i="3"/>
  <c r="W312" i="3"/>
  <c r="X312" i="3"/>
  <c r="Y312" i="3"/>
  <c r="Z312" i="3"/>
  <c r="AA312" i="3"/>
  <c r="AB312" i="3"/>
  <c r="AC312" i="3"/>
  <c r="AD312" i="3"/>
  <c r="AE312" i="3"/>
  <c r="AF312" i="3"/>
  <c r="AG312" i="3"/>
  <c r="AH312" i="3"/>
  <c r="AI312" i="3"/>
  <c r="AJ312" i="3"/>
  <c r="AK312" i="3"/>
  <c r="AL312" i="3"/>
  <c r="AM312" i="3"/>
  <c r="AN312" i="3"/>
  <c r="A313" i="3"/>
  <c r="B313" i="3"/>
  <c r="C313" i="3"/>
  <c r="D313" i="3"/>
  <c r="E313" i="3"/>
  <c r="F313" i="3"/>
  <c r="G313" i="3"/>
  <c r="H313" i="3"/>
  <c r="I313" i="3"/>
  <c r="J313" i="3"/>
  <c r="K313" i="3"/>
  <c r="L313" i="3"/>
  <c r="M313" i="3"/>
  <c r="N313" i="3"/>
  <c r="O313" i="3"/>
  <c r="P313" i="3"/>
  <c r="Q313" i="3"/>
  <c r="R313" i="3"/>
  <c r="S313" i="3"/>
  <c r="T313" i="3"/>
  <c r="U313" i="3"/>
  <c r="V313" i="3"/>
  <c r="W313" i="3"/>
  <c r="X313" i="3"/>
  <c r="Y313" i="3"/>
  <c r="Z313" i="3"/>
  <c r="AA313" i="3"/>
  <c r="AB313" i="3"/>
  <c r="AC313" i="3"/>
  <c r="AD313" i="3"/>
  <c r="AE313" i="3"/>
  <c r="AF313" i="3"/>
  <c r="AG313" i="3"/>
  <c r="AH313" i="3"/>
  <c r="AI313" i="3"/>
  <c r="AJ313" i="3"/>
  <c r="AK313" i="3"/>
  <c r="AL313" i="3"/>
  <c r="AM313" i="3"/>
  <c r="AN313" i="3"/>
  <c r="A314" i="3"/>
  <c r="B314" i="3"/>
  <c r="C314" i="3"/>
  <c r="D314" i="3"/>
  <c r="E314" i="3"/>
  <c r="F314" i="3"/>
  <c r="G314" i="3"/>
  <c r="H314" i="3"/>
  <c r="I314" i="3"/>
  <c r="J314" i="3"/>
  <c r="K314"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AK314" i="3"/>
  <c r="AL314" i="3"/>
  <c r="AM314" i="3"/>
  <c r="AN314" i="3"/>
  <c r="A315" i="3"/>
  <c r="B315" i="3"/>
  <c r="C315" i="3"/>
  <c r="D315" i="3"/>
  <c r="E315" i="3"/>
  <c r="F315" i="3"/>
  <c r="G315" i="3"/>
  <c r="H315" i="3"/>
  <c r="I315" i="3"/>
  <c r="J315" i="3"/>
  <c r="K315" i="3"/>
  <c r="L315" i="3"/>
  <c r="M315" i="3"/>
  <c r="N315" i="3"/>
  <c r="O315" i="3"/>
  <c r="P315" i="3"/>
  <c r="Q315" i="3"/>
  <c r="R315" i="3"/>
  <c r="S315" i="3"/>
  <c r="T315" i="3"/>
  <c r="U315" i="3"/>
  <c r="V315" i="3"/>
  <c r="W315" i="3"/>
  <c r="X315" i="3"/>
  <c r="Y315" i="3"/>
  <c r="Z315" i="3"/>
  <c r="AA315" i="3"/>
  <c r="AB315" i="3"/>
  <c r="AC315" i="3"/>
  <c r="AD315" i="3"/>
  <c r="AE315" i="3"/>
  <c r="AF315" i="3"/>
  <c r="AG315" i="3"/>
  <c r="AH315" i="3"/>
  <c r="AI315" i="3"/>
  <c r="AJ315" i="3"/>
  <c r="AK315" i="3"/>
  <c r="AL315" i="3"/>
  <c r="AM315" i="3"/>
  <c r="AN315" i="3"/>
  <c r="A316" i="3"/>
  <c r="B316" i="3"/>
  <c r="C316" i="3"/>
  <c r="D316" i="3"/>
  <c r="E316" i="3"/>
  <c r="F316" i="3"/>
  <c r="G316" i="3"/>
  <c r="H316" i="3"/>
  <c r="I316" i="3"/>
  <c r="J316" i="3"/>
  <c r="K316" i="3"/>
  <c r="L316" i="3"/>
  <c r="M316" i="3"/>
  <c r="N316" i="3"/>
  <c r="O316" i="3"/>
  <c r="P316" i="3"/>
  <c r="Q316" i="3"/>
  <c r="R316" i="3"/>
  <c r="S316" i="3"/>
  <c r="T316" i="3"/>
  <c r="U316" i="3"/>
  <c r="V316" i="3"/>
  <c r="W316" i="3"/>
  <c r="X316" i="3"/>
  <c r="Y316" i="3"/>
  <c r="Z316" i="3"/>
  <c r="AA316" i="3"/>
  <c r="AB316" i="3"/>
  <c r="AC316" i="3"/>
  <c r="AD316" i="3"/>
  <c r="AE316" i="3"/>
  <c r="AF316" i="3"/>
  <c r="AG316" i="3"/>
  <c r="AH316" i="3"/>
  <c r="AI316" i="3"/>
  <c r="AJ316" i="3"/>
  <c r="AK316" i="3"/>
  <c r="AL316" i="3"/>
  <c r="AM316" i="3"/>
  <c r="AN316" i="3"/>
  <c r="A317" i="3"/>
  <c r="B317" i="3"/>
  <c r="C317" i="3"/>
  <c r="D317" i="3"/>
  <c r="E317" i="3"/>
  <c r="F317" i="3"/>
  <c r="G317" i="3"/>
  <c r="H317" i="3"/>
  <c r="I317" i="3"/>
  <c r="J317" i="3"/>
  <c r="K317" i="3"/>
  <c r="L317" i="3"/>
  <c r="M317" i="3"/>
  <c r="N317" i="3"/>
  <c r="O317" i="3"/>
  <c r="P317" i="3"/>
  <c r="Q317" i="3"/>
  <c r="R317" i="3"/>
  <c r="S317" i="3"/>
  <c r="T317" i="3"/>
  <c r="U317" i="3"/>
  <c r="V317" i="3"/>
  <c r="W317" i="3"/>
  <c r="X317" i="3"/>
  <c r="Y317" i="3"/>
  <c r="Z317" i="3"/>
  <c r="AA317" i="3"/>
  <c r="AB317" i="3"/>
  <c r="AC317" i="3"/>
  <c r="AD317" i="3"/>
  <c r="AE317" i="3"/>
  <c r="AF317" i="3"/>
  <c r="AG317" i="3"/>
  <c r="AH317" i="3"/>
  <c r="AI317" i="3"/>
  <c r="AJ317" i="3"/>
  <c r="AK317" i="3"/>
  <c r="AL317" i="3"/>
  <c r="AM317" i="3"/>
  <c r="AN317" i="3"/>
  <c r="A318" i="3"/>
  <c r="B318" i="3"/>
  <c r="C318" i="3"/>
  <c r="D318" i="3"/>
  <c r="E318" i="3"/>
  <c r="F318" i="3"/>
  <c r="G318" i="3"/>
  <c r="H318" i="3"/>
  <c r="I318" i="3"/>
  <c r="J318" i="3"/>
  <c r="K318" i="3"/>
  <c r="L318" i="3"/>
  <c r="M318" i="3"/>
  <c r="N318" i="3"/>
  <c r="O318" i="3"/>
  <c r="P318" i="3"/>
  <c r="Q318" i="3"/>
  <c r="R318" i="3"/>
  <c r="S318" i="3"/>
  <c r="T318" i="3"/>
  <c r="U318" i="3"/>
  <c r="V318" i="3"/>
  <c r="W318" i="3"/>
  <c r="X318" i="3"/>
  <c r="Y318" i="3"/>
  <c r="Z318" i="3"/>
  <c r="AA318" i="3"/>
  <c r="AB318" i="3"/>
  <c r="AC318" i="3"/>
  <c r="AD318" i="3"/>
  <c r="AE318" i="3"/>
  <c r="AF318" i="3"/>
  <c r="AG318" i="3"/>
  <c r="AH318" i="3"/>
  <c r="AI318" i="3"/>
  <c r="AJ318" i="3"/>
  <c r="AK318" i="3"/>
  <c r="AL318" i="3"/>
  <c r="AM318" i="3"/>
  <c r="AN318" i="3"/>
  <c r="A319" i="3"/>
  <c r="B319" i="3"/>
  <c r="C319" i="3"/>
  <c r="D319" i="3"/>
  <c r="E319" i="3"/>
  <c r="F319" i="3"/>
  <c r="G319" i="3"/>
  <c r="H319" i="3"/>
  <c r="I319" i="3"/>
  <c r="J319" i="3"/>
  <c r="K319" i="3"/>
  <c r="L319" i="3"/>
  <c r="M319" i="3"/>
  <c r="N319" i="3"/>
  <c r="O319" i="3"/>
  <c r="P319" i="3"/>
  <c r="Q319" i="3"/>
  <c r="R319" i="3"/>
  <c r="S319" i="3"/>
  <c r="T319" i="3"/>
  <c r="U319" i="3"/>
  <c r="V319" i="3"/>
  <c r="W319" i="3"/>
  <c r="X319" i="3"/>
  <c r="Y319" i="3"/>
  <c r="Z319" i="3"/>
  <c r="AA319" i="3"/>
  <c r="AB319" i="3"/>
  <c r="AC319" i="3"/>
  <c r="AD319" i="3"/>
  <c r="AE319" i="3"/>
  <c r="AF319" i="3"/>
  <c r="AG319" i="3"/>
  <c r="AH319" i="3"/>
  <c r="AI319" i="3"/>
  <c r="AJ319" i="3"/>
  <c r="AK319" i="3"/>
  <c r="AL319" i="3"/>
  <c r="AM319" i="3"/>
  <c r="AN319" i="3"/>
  <c r="A320" i="3"/>
  <c r="B320" i="3"/>
  <c r="C320" i="3"/>
  <c r="D320" i="3"/>
  <c r="E320" i="3"/>
  <c r="F320" i="3"/>
  <c r="G320" i="3"/>
  <c r="H320" i="3"/>
  <c r="I320" i="3"/>
  <c r="J320" i="3"/>
  <c r="K320" i="3"/>
  <c r="L320" i="3"/>
  <c r="M320" i="3"/>
  <c r="N320" i="3"/>
  <c r="O320" i="3"/>
  <c r="P320" i="3"/>
  <c r="Q320" i="3"/>
  <c r="R320" i="3"/>
  <c r="S320" i="3"/>
  <c r="T320" i="3"/>
  <c r="U320" i="3"/>
  <c r="V320" i="3"/>
  <c r="W320" i="3"/>
  <c r="X320" i="3"/>
  <c r="Y320" i="3"/>
  <c r="Z320" i="3"/>
  <c r="AA320" i="3"/>
  <c r="AB320" i="3"/>
  <c r="AC320" i="3"/>
  <c r="AD320" i="3"/>
  <c r="AE320" i="3"/>
  <c r="AF320" i="3"/>
  <c r="AG320" i="3"/>
  <c r="AH320" i="3"/>
  <c r="AI320" i="3"/>
  <c r="AJ320" i="3"/>
  <c r="AK320" i="3"/>
  <c r="AL320" i="3"/>
  <c r="AM320" i="3"/>
  <c r="AN320" i="3"/>
  <c r="A321" i="3"/>
  <c r="B321" i="3"/>
  <c r="C321" i="3"/>
  <c r="D321" i="3"/>
  <c r="E321" i="3"/>
  <c r="F321" i="3"/>
  <c r="G321" i="3"/>
  <c r="H321" i="3"/>
  <c r="I321" i="3"/>
  <c r="J321" i="3"/>
  <c r="K321"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AK321" i="3"/>
  <c r="AL321" i="3"/>
  <c r="AM321" i="3"/>
  <c r="AN321" i="3"/>
  <c r="A322" i="3"/>
  <c r="B322" i="3"/>
  <c r="C322" i="3"/>
  <c r="D322" i="3"/>
  <c r="E322" i="3"/>
  <c r="F322" i="3"/>
  <c r="G322" i="3"/>
  <c r="H322" i="3"/>
  <c r="I322" i="3"/>
  <c r="J322" i="3"/>
  <c r="K322" i="3"/>
  <c r="L322" i="3"/>
  <c r="M322" i="3"/>
  <c r="N322" i="3"/>
  <c r="O322" i="3"/>
  <c r="P322" i="3"/>
  <c r="Q322" i="3"/>
  <c r="R322" i="3"/>
  <c r="S322" i="3"/>
  <c r="T322" i="3"/>
  <c r="U322" i="3"/>
  <c r="V322" i="3"/>
  <c r="W322" i="3"/>
  <c r="X322" i="3"/>
  <c r="Y322" i="3"/>
  <c r="Z322" i="3"/>
  <c r="AA322" i="3"/>
  <c r="AB322" i="3"/>
  <c r="AC322" i="3"/>
  <c r="AD322" i="3"/>
  <c r="AE322" i="3"/>
  <c r="AF322" i="3"/>
  <c r="AG322" i="3"/>
  <c r="AH322" i="3"/>
  <c r="AI322" i="3"/>
  <c r="AJ322" i="3"/>
  <c r="AK322" i="3"/>
  <c r="AL322" i="3"/>
  <c r="AM322" i="3"/>
  <c r="AN322" i="3"/>
  <c r="A323" i="3"/>
  <c r="B323" i="3"/>
  <c r="C323" i="3"/>
  <c r="D323" i="3"/>
  <c r="E323" i="3"/>
  <c r="F323" i="3"/>
  <c r="G323" i="3"/>
  <c r="H323" i="3"/>
  <c r="I323" i="3"/>
  <c r="J323" i="3"/>
  <c r="K323" i="3"/>
  <c r="L323" i="3"/>
  <c r="M323" i="3"/>
  <c r="N323" i="3"/>
  <c r="O323" i="3"/>
  <c r="P323" i="3"/>
  <c r="Q323" i="3"/>
  <c r="R323" i="3"/>
  <c r="S323" i="3"/>
  <c r="T323" i="3"/>
  <c r="U323" i="3"/>
  <c r="V323" i="3"/>
  <c r="W323" i="3"/>
  <c r="X323" i="3"/>
  <c r="Y323" i="3"/>
  <c r="Z323" i="3"/>
  <c r="AA323" i="3"/>
  <c r="AB323" i="3"/>
  <c r="AC323" i="3"/>
  <c r="AD323" i="3"/>
  <c r="AE323" i="3"/>
  <c r="AF323" i="3"/>
  <c r="AG323" i="3"/>
  <c r="AH323" i="3"/>
  <c r="AI323" i="3"/>
  <c r="AJ323" i="3"/>
  <c r="AK323" i="3"/>
  <c r="AL323" i="3"/>
  <c r="AM323" i="3"/>
  <c r="AN323" i="3"/>
  <c r="A324" i="3"/>
  <c r="B324" i="3"/>
  <c r="C324" i="3"/>
  <c r="D324" i="3"/>
  <c r="E324" i="3"/>
  <c r="F324" i="3"/>
  <c r="G324" i="3"/>
  <c r="H324" i="3"/>
  <c r="I324" i="3"/>
  <c r="J324" i="3"/>
  <c r="K324" i="3"/>
  <c r="L324" i="3"/>
  <c r="M324" i="3"/>
  <c r="N324" i="3"/>
  <c r="O324" i="3"/>
  <c r="P324" i="3"/>
  <c r="Q324" i="3"/>
  <c r="R324" i="3"/>
  <c r="S324" i="3"/>
  <c r="T324" i="3"/>
  <c r="U324" i="3"/>
  <c r="V324" i="3"/>
  <c r="W324" i="3"/>
  <c r="X324" i="3"/>
  <c r="Y324" i="3"/>
  <c r="Z324" i="3"/>
  <c r="AA324" i="3"/>
  <c r="AB324" i="3"/>
  <c r="AC324" i="3"/>
  <c r="AD324" i="3"/>
  <c r="AE324" i="3"/>
  <c r="AF324" i="3"/>
  <c r="AG324" i="3"/>
  <c r="AH324" i="3"/>
  <c r="AI324" i="3"/>
  <c r="AJ324" i="3"/>
  <c r="AK324" i="3"/>
  <c r="AL324" i="3"/>
  <c r="AM324" i="3"/>
  <c r="AN324" i="3"/>
  <c r="A325" i="3"/>
  <c r="B325" i="3"/>
  <c r="C325" i="3"/>
  <c r="D325" i="3"/>
  <c r="E325" i="3"/>
  <c r="F325" i="3"/>
  <c r="G325" i="3"/>
  <c r="H325" i="3"/>
  <c r="I325" i="3"/>
  <c r="J325" i="3"/>
  <c r="K325" i="3"/>
  <c r="L325" i="3"/>
  <c r="M325" i="3"/>
  <c r="N325" i="3"/>
  <c r="O325" i="3"/>
  <c r="P325" i="3"/>
  <c r="Q325" i="3"/>
  <c r="R325" i="3"/>
  <c r="S325" i="3"/>
  <c r="T325" i="3"/>
  <c r="U325" i="3"/>
  <c r="V325" i="3"/>
  <c r="W325" i="3"/>
  <c r="X325" i="3"/>
  <c r="Y325" i="3"/>
  <c r="Z325" i="3"/>
  <c r="AA325" i="3"/>
  <c r="AB325" i="3"/>
  <c r="AC325" i="3"/>
  <c r="AD325" i="3"/>
  <c r="AE325" i="3"/>
  <c r="AF325" i="3"/>
  <c r="AG325" i="3"/>
  <c r="AH325" i="3"/>
  <c r="AI325" i="3"/>
  <c r="AJ325" i="3"/>
  <c r="AK325" i="3"/>
  <c r="AL325" i="3"/>
  <c r="AM325" i="3"/>
  <c r="AN325" i="3"/>
  <c r="A326" i="3"/>
  <c r="B326" i="3"/>
  <c r="C326" i="3"/>
  <c r="D326" i="3"/>
  <c r="E326" i="3"/>
  <c r="F326" i="3"/>
  <c r="G326" i="3"/>
  <c r="H326" i="3"/>
  <c r="I326" i="3"/>
  <c r="J326" i="3"/>
  <c r="K326" i="3"/>
  <c r="L326" i="3"/>
  <c r="M326" i="3"/>
  <c r="N326" i="3"/>
  <c r="O326" i="3"/>
  <c r="P326" i="3"/>
  <c r="Q326" i="3"/>
  <c r="R326" i="3"/>
  <c r="S326" i="3"/>
  <c r="T326" i="3"/>
  <c r="U326" i="3"/>
  <c r="V326" i="3"/>
  <c r="W326" i="3"/>
  <c r="X326" i="3"/>
  <c r="Y326" i="3"/>
  <c r="Z326" i="3"/>
  <c r="AA326" i="3"/>
  <c r="AB326" i="3"/>
  <c r="AC326" i="3"/>
  <c r="AD326" i="3"/>
  <c r="AE326" i="3"/>
  <c r="AF326" i="3"/>
  <c r="AG326" i="3"/>
  <c r="AH326" i="3"/>
  <c r="AI326" i="3"/>
  <c r="AJ326" i="3"/>
  <c r="AK326" i="3"/>
  <c r="AL326" i="3"/>
  <c r="AM326" i="3"/>
  <c r="AN326" i="3"/>
  <c r="A327" i="3"/>
  <c r="B327" i="3"/>
  <c r="C327" i="3"/>
  <c r="D327" i="3"/>
  <c r="E327" i="3"/>
  <c r="F327" i="3"/>
  <c r="G327" i="3"/>
  <c r="H327" i="3"/>
  <c r="I327" i="3"/>
  <c r="J327" i="3"/>
  <c r="K327" i="3"/>
  <c r="L327" i="3"/>
  <c r="M327" i="3"/>
  <c r="N327" i="3"/>
  <c r="O327" i="3"/>
  <c r="P327" i="3"/>
  <c r="Q327" i="3"/>
  <c r="R327" i="3"/>
  <c r="S327" i="3"/>
  <c r="T327" i="3"/>
  <c r="U327" i="3"/>
  <c r="V327" i="3"/>
  <c r="W327" i="3"/>
  <c r="X327" i="3"/>
  <c r="Y327" i="3"/>
  <c r="Z327" i="3"/>
  <c r="AA327" i="3"/>
  <c r="AB327" i="3"/>
  <c r="AC327" i="3"/>
  <c r="AD327" i="3"/>
  <c r="AE327" i="3"/>
  <c r="AF327" i="3"/>
  <c r="AG327" i="3"/>
  <c r="AH327" i="3"/>
  <c r="AI327" i="3"/>
  <c r="AJ327" i="3"/>
  <c r="AK327" i="3"/>
  <c r="AL327" i="3"/>
  <c r="AM327" i="3"/>
  <c r="AN327" i="3"/>
  <c r="A328" i="3"/>
  <c r="B328" i="3"/>
  <c r="C328" i="3"/>
  <c r="D328" i="3"/>
  <c r="E328" i="3"/>
  <c r="F328" i="3"/>
  <c r="G328" i="3"/>
  <c r="H328" i="3"/>
  <c r="I328" i="3"/>
  <c r="J328" i="3"/>
  <c r="K328" i="3"/>
  <c r="L328" i="3"/>
  <c r="M328" i="3"/>
  <c r="N328" i="3"/>
  <c r="O328" i="3"/>
  <c r="P328" i="3"/>
  <c r="Q328" i="3"/>
  <c r="R328" i="3"/>
  <c r="S328" i="3"/>
  <c r="T328" i="3"/>
  <c r="U328" i="3"/>
  <c r="V328" i="3"/>
  <c r="W328" i="3"/>
  <c r="X328" i="3"/>
  <c r="Y328" i="3"/>
  <c r="Z328" i="3"/>
  <c r="AA328" i="3"/>
  <c r="AB328" i="3"/>
  <c r="AC328" i="3"/>
  <c r="AD328" i="3"/>
  <c r="AE328" i="3"/>
  <c r="AF328" i="3"/>
  <c r="AG328" i="3"/>
  <c r="AH328" i="3"/>
  <c r="AI328" i="3"/>
  <c r="AJ328" i="3"/>
  <c r="AK328" i="3"/>
  <c r="AL328" i="3"/>
  <c r="AM328" i="3"/>
  <c r="AN328" i="3"/>
  <c r="A329" i="3"/>
  <c r="B329" i="3"/>
  <c r="C329" i="3"/>
  <c r="D329" i="3"/>
  <c r="E329" i="3"/>
  <c r="F329" i="3"/>
  <c r="G329" i="3"/>
  <c r="H329" i="3"/>
  <c r="I329" i="3"/>
  <c r="J329" i="3"/>
  <c r="K329" i="3"/>
  <c r="L329" i="3"/>
  <c r="M329" i="3"/>
  <c r="N329" i="3"/>
  <c r="O329" i="3"/>
  <c r="P329" i="3"/>
  <c r="Q329" i="3"/>
  <c r="R329" i="3"/>
  <c r="S329" i="3"/>
  <c r="T329" i="3"/>
  <c r="U329" i="3"/>
  <c r="V329" i="3"/>
  <c r="W329" i="3"/>
  <c r="X329" i="3"/>
  <c r="Y329" i="3"/>
  <c r="Z329" i="3"/>
  <c r="AA329" i="3"/>
  <c r="AB329" i="3"/>
  <c r="AC329" i="3"/>
  <c r="AD329" i="3"/>
  <c r="AE329" i="3"/>
  <c r="AF329" i="3"/>
  <c r="AG329" i="3"/>
  <c r="AH329" i="3"/>
  <c r="AI329" i="3"/>
  <c r="AJ329" i="3"/>
  <c r="AK329" i="3"/>
  <c r="AL329" i="3"/>
  <c r="AM329" i="3"/>
  <c r="AN329" i="3"/>
  <c r="A330" i="3"/>
  <c r="B330" i="3"/>
  <c r="C330" i="3"/>
  <c r="D330" i="3"/>
  <c r="E330" i="3"/>
  <c r="F330" i="3"/>
  <c r="G330" i="3"/>
  <c r="H330" i="3"/>
  <c r="I330" i="3"/>
  <c r="J330" i="3"/>
  <c r="K330" i="3"/>
  <c r="L330" i="3"/>
  <c r="M330" i="3"/>
  <c r="N330" i="3"/>
  <c r="O330" i="3"/>
  <c r="P330" i="3"/>
  <c r="Q330" i="3"/>
  <c r="R330" i="3"/>
  <c r="S330" i="3"/>
  <c r="T330" i="3"/>
  <c r="U330" i="3"/>
  <c r="V330" i="3"/>
  <c r="W330" i="3"/>
  <c r="X330" i="3"/>
  <c r="Y330" i="3"/>
  <c r="Z330" i="3"/>
  <c r="AA330" i="3"/>
  <c r="AB330" i="3"/>
  <c r="AC330" i="3"/>
  <c r="AD330" i="3"/>
  <c r="AE330" i="3"/>
  <c r="AF330" i="3"/>
  <c r="AG330" i="3"/>
  <c r="AH330" i="3"/>
  <c r="AI330" i="3"/>
  <c r="AJ330" i="3"/>
  <c r="AK330" i="3"/>
  <c r="AL330" i="3"/>
  <c r="AM330" i="3"/>
  <c r="AN330" i="3"/>
  <c r="A331" i="3"/>
  <c r="B331" i="3"/>
  <c r="C331" i="3"/>
  <c r="D331" i="3"/>
  <c r="E331" i="3"/>
  <c r="F331" i="3"/>
  <c r="G331" i="3"/>
  <c r="H331" i="3"/>
  <c r="I331" i="3"/>
  <c r="J331" i="3"/>
  <c r="K331" i="3"/>
  <c r="L331" i="3"/>
  <c r="M331" i="3"/>
  <c r="N331" i="3"/>
  <c r="O331" i="3"/>
  <c r="P331" i="3"/>
  <c r="Q331" i="3"/>
  <c r="R331" i="3"/>
  <c r="S331" i="3"/>
  <c r="T331" i="3"/>
  <c r="U331" i="3"/>
  <c r="V331" i="3"/>
  <c r="W331" i="3"/>
  <c r="X331" i="3"/>
  <c r="Y331" i="3"/>
  <c r="Z331" i="3"/>
  <c r="AA331" i="3"/>
  <c r="AB331" i="3"/>
  <c r="AC331" i="3"/>
  <c r="AD331" i="3"/>
  <c r="AE331" i="3"/>
  <c r="AF331" i="3"/>
  <c r="AG331" i="3"/>
  <c r="AH331" i="3"/>
  <c r="AI331" i="3"/>
  <c r="AJ331" i="3"/>
  <c r="AK331" i="3"/>
  <c r="AL331" i="3"/>
  <c r="AM331" i="3"/>
  <c r="AN331" i="3"/>
  <c r="A332" i="3"/>
  <c r="B332" i="3"/>
  <c r="C332" i="3"/>
  <c r="D332" i="3"/>
  <c r="E332" i="3"/>
  <c r="F332" i="3"/>
  <c r="G332" i="3"/>
  <c r="H332" i="3"/>
  <c r="I332" i="3"/>
  <c r="J332" i="3"/>
  <c r="K332" i="3"/>
  <c r="L332" i="3"/>
  <c r="M332" i="3"/>
  <c r="N332" i="3"/>
  <c r="O332" i="3"/>
  <c r="P332" i="3"/>
  <c r="Q332" i="3"/>
  <c r="R332" i="3"/>
  <c r="S332" i="3"/>
  <c r="T332" i="3"/>
  <c r="U332" i="3"/>
  <c r="V332" i="3"/>
  <c r="W332" i="3"/>
  <c r="X332" i="3"/>
  <c r="Y332" i="3"/>
  <c r="Z332" i="3"/>
  <c r="AA332" i="3"/>
  <c r="AB332" i="3"/>
  <c r="AC332" i="3"/>
  <c r="AD332" i="3"/>
  <c r="AE332" i="3"/>
  <c r="AF332" i="3"/>
  <c r="AG332" i="3"/>
  <c r="AH332" i="3"/>
  <c r="AI332" i="3"/>
  <c r="AJ332" i="3"/>
  <c r="AK332" i="3"/>
  <c r="AL332" i="3"/>
  <c r="AM332" i="3"/>
  <c r="AN332" i="3"/>
  <c r="A333" i="3"/>
  <c r="B333" i="3"/>
  <c r="C333" i="3"/>
  <c r="D333" i="3"/>
  <c r="E333" i="3"/>
  <c r="F333" i="3"/>
  <c r="G333" i="3"/>
  <c r="H333" i="3"/>
  <c r="I333" i="3"/>
  <c r="J333" i="3"/>
  <c r="K333" i="3"/>
  <c r="L333" i="3"/>
  <c r="M333" i="3"/>
  <c r="N333" i="3"/>
  <c r="O333" i="3"/>
  <c r="P333" i="3"/>
  <c r="Q333" i="3"/>
  <c r="R333" i="3"/>
  <c r="S333" i="3"/>
  <c r="T333" i="3"/>
  <c r="U333" i="3"/>
  <c r="V333" i="3"/>
  <c r="W333" i="3"/>
  <c r="X333" i="3"/>
  <c r="Y333" i="3"/>
  <c r="Z333" i="3"/>
  <c r="AA333" i="3"/>
  <c r="AB333" i="3"/>
  <c r="AC333" i="3"/>
  <c r="AD333" i="3"/>
  <c r="AE333" i="3"/>
  <c r="AF333" i="3"/>
  <c r="AG333" i="3"/>
  <c r="AH333" i="3"/>
  <c r="AI333" i="3"/>
  <c r="AJ333" i="3"/>
  <c r="AK333" i="3"/>
  <c r="AL333" i="3"/>
  <c r="AM333" i="3"/>
  <c r="AN333" i="3"/>
  <c r="A334" i="3"/>
  <c r="B334" i="3"/>
  <c r="C334" i="3"/>
  <c r="D334" i="3"/>
  <c r="E334" i="3"/>
  <c r="F334" i="3"/>
  <c r="G334" i="3"/>
  <c r="H334" i="3"/>
  <c r="I334" i="3"/>
  <c r="J334" i="3"/>
  <c r="K334" i="3"/>
  <c r="L334" i="3"/>
  <c r="M334" i="3"/>
  <c r="N334" i="3"/>
  <c r="O334" i="3"/>
  <c r="P334" i="3"/>
  <c r="Q334" i="3"/>
  <c r="R334" i="3"/>
  <c r="S334" i="3"/>
  <c r="T334" i="3"/>
  <c r="U334" i="3"/>
  <c r="V334" i="3"/>
  <c r="W334" i="3"/>
  <c r="X334" i="3"/>
  <c r="Y334" i="3"/>
  <c r="Z334" i="3"/>
  <c r="AA334" i="3"/>
  <c r="AB334" i="3"/>
  <c r="AC334" i="3"/>
  <c r="AD334" i="3"/>
  <c r="AE334" i="3"/>
  <c r="AF334" i="3"/>
  <c r="AG334" i="3"/>
  <c r="AH334" i="3"/>
  <c r="AI334" i="3"/>
  <c r="AJ334" i="3"/>
  <c r="AK334" i="3"/>
  <c r="AL334" i="3"/>
  <c r="AM334" i="3"/>
  <c r="AN334" i="3"/>
  <c r="A335" i="3"/>
  <c r="B335" i="3"/>
  <c r="C335" i="3"/>
  <c r="D335" i="3"/>
  <c r="E335" i="3"/>
  <c r="F335" i="3"/>
  <c r="G335" i="3"/>
  <c r="H335" i="3"/>
  <c r="I335" i="3"/>
  <c r="J335" i="3"/>
  <c r="K335" i="3"/>
  <c r="L335" i="3"/>
  <c r="M335" i="3"/>
  <c r="N335" i="3"/>
  <c r="O335" i="3"/>
  <c r="P335" i="3"/>
  <c r="Q335" i="3"/>
  <c r="R335" i="3"/>
  <c r="S335" i="3"/>
  <c r="T335" i="3"/>
  <c r="U335" i="3"/>
  <c r="V335" i="3"/>
  <c r="W335" i="3"/>
  <c r="X335" i="3"/>
  <c r="Y335" i="3"/>
  <c r="Z335" i="3"/>
  <c r="AA335" i="3"/>
  <c r="AB335" i="3"/>
  <c r="AC335" i="3"/>
  <c r="AD335" i="3"/>
  <c r="AE335" i="3"/>
  <c r="AF335" i="3"/>
  <c r="AG335" i="3"/>
  <c r="AH335" i="3"/>
  <c r="AI335" i="3"/>
  <c r="AJ335" i="3"/>
  <c r="AK335" i="3"/>
  <c r="AL335" i="3"/>
  <c r="AM335" i="3"/>
  <c r="AN335" i="3"/>
  <c r="A336" i="3"/>
  <c r="B336" i="3"/>
  <c r="C336" i="3"/>
  <c r="D336" i="3"/>
  <c r="E336" i="3"/>
  <c r="F336" i="3"/>
  <c r="G336" i="3"/>
  <c r="H336" i="3"/>
  <c r="I336" i="3"/>
  <c r="J336" i="3"/>
  <c r="K336" i="3"/>
  <c r="L336" i="3"/>
  <c r="M336" i="3"/>
  <c r="N336" i="3"/>
  <c r="O336" i="3"/>
  <c r="P336" i="3"/>
  <c r="Q336" i="3"/>
  <c r="R336" i="3"/>
  <c r="S336" i="3"/>
  <c r="T336" i="3"/>
  <c r="U336" i="3"/>
  <c r="V336" i="3"/>
  <c r="W336" i="3"/>
  <c r="X336" i="3"/>
  <c r="Y336" i="3"/>
  <c r="Z336" i="3"/>
  <c r="AA336" i="3"/>
  <c r="AB336" i="3"/>
  <c r="AC336" i="3"/>
  <c r="AD336" i="3"/>
  <c r="AE336" i="3"/>
  <c r="AF336" i="3"/>
  <c r="AG336" i="3"/>
  <c r="AH336" i="3"/>
  <c r="AI336" i="3"/>
  <c r="AJ336" i="3"/>
  <c r="AK336" i="3"/>
  <c r="AL336" i="3"/>
  <c r="AM336" i="3"/>
  <c r="AN336" i="3"/>
  <c r="A337" i="3"/>
  <c r="B337" i="3"/>
  <c r="C337" i="3"/>
  <c r="D337" i="3"/>
  <c r="E337" i="3"/>
  <c r="F337" i="3"/>
  <c r="G337" i="3"/>
  <c r="H337" i="3"/>
  <c r="I337" i="3"/>
  <c r="J337" i="3"/>
  <c r="K337" i="3"/>
  <c r="L337" i="3"/>
  <c r="M337" i="3"/>
  <c r="N337" i="3"/>
  <c r="O337" i="3"/>
  <c r="P337" i="3"/>
  <c r="Q337" i="3"/>
  <c r="R337" i="3"/>
  <c r="S337" i="3"/>
  <c r="T337" i="3"/>
  <c r="U337" i="3"/>
  <c r="V337" i="3"/>
  <c r="W337" i="3"/>
  <c r="X337" i="3"/>
  <c r="Y337" i="3"/>
  <c r="Z337" i="3"/>
  <c r="AA337" i="3"/>
  <c r="AB337" i="3"/>
  <c r="AC337" i="3"/>
  <c r="AD337" i="3"/>
  <c r="AE337" i="3"/>
  <c r="AF337" i="3"/>
  <c r="AG337" i="3"/>
  <c r="AH337" i="3"/>
  <c r="AI337" i="3"/>
  <c r="AJ337" i="3"/>
  <c r="AK337" i="3"/>
  <c r="AL337" i="3"/>
  <c r="AM337" i="3"/>
  <c r="AN337" i="3"/>
  <c r="A338" i="3"/>
  <c r="B338" i="3"/>
  <c r="C338" i="3"/>
  <c r="D338" i="3"/>
  <c r="E338" i="3"/>
  <c r="F338" i="3"/>
  <c r="G338" i="3"/>
  <c r="H338" i="3"/>
  <c r="I338" i="3"/>
  <c r="J338" i="3"/>
  <c r="K338" i="3"/>
  <c r="L338" i="3"/>
  <c r="M338" i="3"/>
  <c r="N338" i="3"/>
  <c r="O338" i="3"/>
  <c r="P338" i="3"/>
  <c r="Q338" i="3"/>
  <c r="R338" i="3"/>
  <c r="S338" i="3"/>
  <c r="T338" i="3"/>
  <c r="U338" i="3"/>
  <c r="V338" i="3"/>
  <c r="W338" i="3"/>
  <c r="X338" i="3"/>
  <c r="Y338" i="3"/>
  <c r="Z338" i="3"/>
  <c r="AA338" i="3"/>
  <c r="AB338" i="3"/>
  <c r="AC338" i="3"/>
  <c r="AD338" i="3"/>
  <c r="AE338" i="3"/>
  <c r="AF338" i="3"/>
  <c r="AG338" i="3"/>
  <c r="AH338" i="3"/>
  <c r="AI338" i="3"/>
  <c r="AJ338" i="3"/>
  <c r="AK338" i="3"/>
  <c r="AL338" i="3"/>
  <c r="AM338" i="3"/>
  <c r="AN338" i="3"/>
  <c r="A339" i="3"/>
  <c r="B339" i="3"/>
  <c r="C339" i="3"/>
  <c r="D339" i="3"/>
  <c r="E339" i="3"/>
  <c r="F339" i="3"/>
  <c r="G339" i="3"/>
  <c r="H339" i="3"/>
  <c r="I339" i="3"/>
  <c r="J339" i="3"/>
  <c r="K339" i="3"/>
  <c r="L339" i="3"/>
  <c r="M339" i="3"/>
  <c r="N339" i="3"/>
  <c r="O339" i="3"/>
  <c r="P339" i="3"/>
  <c r="Q339" i="3"/>
  <c r="R339" i="3"/>
  <c r="S339" i="3"/>
  <c r="T339" i="3"/>
  <c r="U339" i="3"/>
  <c r="V339" i="3"/>
  <c r="W339" i="3"/>
  <c r="X339" i="3"/>
  <c r="Y339" i="3"/>
  <c r="Z339" i="3"/>
  <c r="AA339" i="3"/>
  <c r="AB339" i="3"/>
  <c r="AC339" i="3"/>
  <c r="AD339" i="3"/>
  <c r="AE339" i="3"/>
  <c r="AF339" i="3"/>
  <c r="AG339" i="3"/>
  <c r="AH339" i="3"/>
  <c r="AI339" i="3"/>
  <c r="AJ339" i="3"/>
  <c r="AK339" i="3"/>
  <c r="AL339" i="3"/>
  <c r="AM339" i="3"/>
  <c r="AN339" i="3"/>
  <c r="A340" i="3"/>
  <c r="B340" i="3"/>
  <c r="C340" i="3"/>
  <c r="D340" i="3"/>
  <c r="E340" i="3"/>
  <c r="F340" i="3"/>
  <c r="G340" i="3"/>
  <c r="H340" i="3"/>
  <c r="I340" i="3"/>
  <c r="J340" i="3"/>
  <c r="K340" i="3"/>
  <c r="L340" i="3"/>
  <c r="M340" i="3"/>
  <c r="N340" i="3"/>
  <c r="O340" i="3"/>
  <c r="P340" i="3"/>
  <c r="Q340" i="3"/>
  <c r="R340" i="3"/>
  <c r="S340" i="3"/>
  <c r="T340" i="3"/>
  <c r="U340" i="3"/>
  <c r="V340" i="3"/>
  <c r="W340" i="3"/>
  <c r="X340" i="3"/>
  <c r="Y340" i="3"/>
  <c r="Z340" i="3"/>
  <c r="AA340" i="3"/>
  <c r="AB340" i="3"/>
  <c r="AC340" i="3"/>
  <c r="AD340" i="3"/>
  <c r="AE340" i="3"/>
  <c r="AF340" i="3"/>
  <c r="AG340" i="3"/>
  <c r="AH340" i="3"/>
  <c r="AI340" i="3"/>
  <c r="AJ340" i="3"/>
  <c r="AK340" i="3"/>
  <c r="AL340" i="3"/>
  <c r="AM340" i="3"/>
  <c r="AN340" i="3"/>
  <c r="A341" i="3"/>
  <c r="B341" i="3"/>
  <c r="C341" i="3"/>
  <c r="D341" i="3"/>
  <c r="E341" i="3"/>
  <c r="F341" i="3"/>
  <c r="G341" i="3"/>
  <c r="H341" i="3"/>
  <c r="I341" i="3"/>
  <c r="J341" i="3"/>
  <c r="K341" i="3"/>
  <c r="L341" i="3"/>
  <c r="M341" i="3"/>
  <c r="N341" i="3"/>
  <c r="O341" i="3"/>
  <c r="P341" i="3"/>
  <c r="Q341" i="3"/>
  <c r="R341" i="3"/>
  <c r="S341" i="3"/>
  <c r="T341" i="3"/>
  <c r="U341" i="3"/>
  <c r="V341" i="3"/>
  <c r="W341" i="3"/>
  <c r="X341" i="3"/>
  <c r="Y341" i="3"/>
  <c r="Z341" i="3"/>
  <c r="AA341" i="3"/>
  <c r="AB341" i="3"/>
  <c r="AC341" i="3"/>
  <c r="AD341" i="3"/>
  <c r="AE341" i="3"/>
  <c r="AF341" i="3"/>
  <c r="AG341" i="3"/>
  <c r="AH341" i="3"/>
  <c r="AI341" i="3"/>
  <c r="AJ341" i="3"/>
  <c r="AK341" i="3"/>
  <c r="AL341" i="3"/>
  <c r="AM341" i="3"/>
  <c r="AN341" i="3"/>
  <c r="A342" i="3"/>
  <c r="B342" i="3"/>
  <c r="C342" i="3"/>
  <c r="D342" i="3"/>
  <c r="E342" i="3"/>
  <c r="F342" i="3"/>
  <c r="G342" i="3"/>
  <c r="H342" i="3"/>
  <c r="I342" i="3"/>
  <c r="J342" i="3"/>
  <c r="K342" i="3"/>
  <c r="L342" i="3"/>
  <c r="M342" i="3"/>
  <c r="N342" i="3"/>
  <c r="O342" i="3"/>
  <c r="P342" i="3"/>
  <c r="Q342" i="3"/>
  <c r="R342" i="3"/>
  <c r="S342" i="3"/>
  <c r="T342" i="3"/>
  <c r="U342" i="3"/>
  <c r="V342" i="3"/>
  <c r="W342" i="3"/>
  <c r="X342" i="3"/>
  <c r="Y342" i="3"/>
  <c r="Z342" i="3"/>
  <c r="AA342" i="3"/>
  <c r="AB342" i="3"/>
  <c r="AC342" i="3"/>
  <c r="AD342" i="3"/>
  <c r="AE342" i="3"/>
  <c r="AF342" i="3"/>
  <c r="AG342" i="3"/>
  <c r="AH342" i="3"/>
  <c r="AI342" i="3"/>
  <c r="AJ342" i="3"/>
  <c r="AK342" i="3"/>
  <c r="AL342" i="3"/>
  <c r="AM342" i="3"/>
  <c r="AN342" i="3"/>
  <c r="A343" i="3"/>
  <c r="B343" i="3"/>
  <c r="C343" i="3"/>
  <c r="D343" i="3"/>
  <c r="E343" i="3"/>
  <c r="F343" i="3"/>
  <c r="G343" i="3"/>
  <c r="H343" i="3"/>
  <c r="I343" i="3"/>
  <c r="J343" i="3"/>
  <c r="K343" i="3"/>
  <c r="L343" i="3"/>
  <c r="M343" i="3"/>
  <c r="N343" i="3"/>
  <c r="O343" i="3"/>
  <c r="P343" i="3"/>
  <c r="Q343" i="3"/>
  <c r="R343" i="3"/>
  <c r="S343" i="3"/>
  <c r="T343" i="3"/>
  <c r="U343" i="3"/>
  <c r="V343" i="3"/>
  <c r="W343" i="3"/>
  <c r="X343" i="3"/>
  <c r="Y343" i="3"/>
  <c r="Z343" i="3"/>
  <c r="AA343" i="3"/>
  <c r="AB343" i="3"/>
  <c r="AC343" i="3"/>
  <c r="AD343" i="3"/>
  <c r="AE343" i="3"/>
  <c r="AF343" i="3"/>
  <c r="AG343" i="3"/>
  <c r="AH343" i="3"/>
  <c r="AI343" i="3"/>
  <c r="AJ343" i="3"/>
  <c r="AK343" i="3"/>
  <c r="AL343" i="3"/>
  <c r="AM343" i="3"/>
  <c r="AN343" i="3"/>
  <c r="A344" i="3"/>
  <c r="B344" i="3"/>
  <c r="C344" i="3"/>
  <c r="D344" i="3"/>
  <c r="E344" i="3"/>
  <c r="F344" i="3"/>
  <c r="G344" i="3"/>
  <c r="H344" i="3"/>
  <c r="I344" i="3"/>
  <c r="J344" i="3"/>
  <c r="K344" i="3"/>
  <c r="L344" i="3"/>
  <c r="M344" i="3"/>
  <c r="N344" i="3"/>
  <c r="O344" i="3"/>
  <c r="P344" i="3"/>
  <c r="Q344" i="3"/>
  <c r="R344" i="3"/>
  <c r="S344" i="3"/>
  <c r="T344" i="3"/>
  <c r="U344" i="3"/>
  <c r="V344" i="3"/>
  <c r="W344" i="3"/>
  <c r="X344" i="3"/>
  <c r="Y344" i="3"/>
  <c r="Z344" i="3"/>
  <c r="AA344" i="3"/>
  <c r="AB344" i="3"/>
  <c r="AC344" i="3"/>
  <c r="AD344" i="3"/>
  <c r="AE344" i="3"/>
  <c r="AF344" i="3"/>
  <c r="AG344" i="3"/>
  <c r="AH344" i="3"/>
  <c r="AI344" i="3"/>
  <c r="AJ344" i="3"/>
  <c r="AK344" i="3"/>
  <c r="AL344" i="3"/>
  <c r="AM344" i="3"/>
  <c r="AN344" i="3"/>
  <c r="A345" i="3"/>
  <c r="B345" i="3"/>
  <c r="C345" i="3"/>
  <c r="D345" i="3"/>
  <c r="E345" i="3"/>
  <c r="F345" i="3"/>
  <c r="G345" i="3"/>
  <c r="H345" i="3"/>
  <c r="I345" i="3"/>
  <c r="J345" i="3"/>
  <c r="K345" i="3"/>
  <c r="L345" i="3"/>
  <c r="M345" i="3"/>
  <c r="N345" i="3"/>
  <c r="O345" i="3"/>
  <c r="P345" i="3"/>
  <c r="Q345" i="3"/>
  <c r="R345" i="3"/>
  <c r="S345" i="3"/>
  <c r="T345" i="3"/>
  <c r="U345" i="3"/>
  <c r="V345" i="3"/>
  <c r="W345" i="3"/>
  <c r="X345" i="3"/>
  <c r="Y345" i="3"/>
  <c r="Z345" i="3"/>
  <c r="AA345" i="3"/>
  <c r="AB345" i="3"/>
  <c r="AC345" i="3"/>
  <c r="AD345" i="3"/>
  <c r="AE345" i="3"/>
  <c r="AF345" i="3"/>
  <c r="AG345" i="3"/>
  <c r="AH345" i="3"/>
  <c r="AI345" i="3"/>
  <c r="AJ345" i="3"/>
  <c r="AK345" i="3"/>
  <c r="AL345" i="3"/>
  <c r="AM345" i="3"/>
  <c r="AN345" i="3"/>
  <c r="A346" i="3"/>
  <c r="B346" i="3"/>
  <c r="C346" i="3"/>
  <c r="D346" i="3"/>
  <c r="E346" i="3"/>
  <c r="F346" i="3"/>
  <c r="G346" i="3"/>
  <c r="H346" i="3"/>
  <c r="I346" i="3"/>
  <c r="J346" i="3"/>
  <c r="K346" i="3"/>
  <c r="L346" i="3"/>
  <c r="M346" i="3"/>
  <c r="N346" i="3"/>
  <c r="O346" i="3"/>
  <c r="P346" i="3"/>
  <c r="Q346" i="3"/>
  <c r="R346" i="3"/>
  <c r="S346" i="3"/>
  <c r="T346" i="3"/>
  <c r="U346" i="3"/>
  <c r="V346" i="3"/>
  <c r="W346" i="3"/>
  <c r="X346" i="3"/>
  <c r="Y346" i="3"/>
  <c r="Z346" i="3"/>
  <c r="AA346" i="3"/>
  <c r="AB346" i="3"/>
  <c r="AC346" i="3"/>
  <c r="AD346" i="3"/>
  <c r="AE346" i="3"/>
  <c r="AF346" i="3"/>
  <c r="AG346" i="3"/>
  <c r="AH346" i="3"/>
  <c r="AI346" i="3"/>
  <c r="AJ346" i="3"/>
  <c r="AK346" i="3"/>
  <c r="AL346" i="3"/>
  <c r="AM346" i="3"/>
  <c r="AN346" i="3"/>
  <c r="A347" i="3"/>
  <c r="B347" i="3"/>
  <c r="C347" i="3"/>
  <c r="D347" i="3"/>
  <c r="E347" i="3"/>
  <c r="F347" i="3"/>
  <c r="G347" i="3"/>
  <c r="H347" i="3"/>
  <c r="I347" i="3"/>
  <c r="J347" i="3"/>
  <c r="K347" i="3"/>
  <c r="L347" i="3"/>
  <c r="M347" i="3"/>
  <c r="N347" i="3"/>
  <c r="O347" i="3"/>
  <c r="P347" i="3"/>
  <c r="Q347" i="3"/>
  <c r="R347" i="3"/>
  <c r="S347" i="3"/>
  <c r="T347" i="3"/>
  <c r="U347" i="3"/>
  <c r="V347" i="3"/>
  <c r="W347" i="3"/>
  <c r="X347" i="3"/>
  <c r="Y347" i="3"/>
  <c r="Z347" i="3"/>
  <c r="AA347" i="3"/>
  <c r="AB347" i="3"/>
  <c r="AC347" i="3"/>
  <c r="AD347" i="3"/>
  <c r="AE347" i="3"/>
  <c r="AF347" i="3"/>
  <c r="AG347" i="3"/>
  <c r="AH347" i="3"/>
  <c r="AI347" i="3"/>
  <c r="AJ347" i="3"/>
  <c r="AK347" i="3"/>
  <c r="AL347" i="3"/>
  <c r="AM347" i="3"/>
  <c r="AN347" i="3"/>
  <c r="A348" i="3"/>
  <c r="B348" i="3"/>
  <c r="C348" i="3"/>
  <c r="D348" i="3"/>
  <c r="E348" i="3"/>
  <c r="F348" i="3"/>
  <c r="G348" i="3"/>
  <c r="H348" i="3"/>
  <c r="I348" i="3"/>
  <c r="J348" i="3"/>
  <c r="K348" i="3"/>
  <c r="L348" i="3"/>
  <c r="M348" i="3"/>
  <c r="N348" i="3"/>
  <c r="O348" i="3"/>
  <c r="P348" i="3"/>
  <c r="Q348" i="3"/>
  <c r="R348" i="3"/>
  <c r="S348" i="3"/>
  <c r="T348" i="3"/>
  <c r="U348" i="3"/>
  <c r="V348" i="3"/>
  <c r="W348" i="3"/>
  <c r="X348" i="3"/>
  <c r="Y348" i="3"/>
  <c r="Z348" i="3"/>
  <c r="AA348" i="3"/>
  <c r="AB348" i="3"/>
  <c r="AC348" i="3"/>
  <c r="AD348" i="3"/>
  <c r="AE348" i="3"/>
  <c r="AF348" i="3"/>
  <c r="AG348" i="3"/>
  <c r="AH348" i="3"/>
  <c r="AI348" i="3"/>
  <c r="AJ348" i="3"/>
  <c r="AK348" i="3"/>
  <c r="AL348" i="3"/>
  <c r="AM348" i="3"/>
  <c r="AN348" i="3"/>
  <c r="A349" i="3"/>
  <c r="B349" i="3"/>
  <c r="C349" i="3"/>
  <c r="D349" i="3"/>
  <c r="E349" i="3"/>
  <c r="F349" i="3"/>
  <c r="G349" i="3"/>
  <c r="H349" i="3"/>
  <c r="I349" i="3"/>
  <c r="J349" i="3"/>
  <c r="K349" i="3"/>
  <c r="L349" i="3"/>
  <c r="M349" i="3"/>
  <c r="N349" i="3"/>
  <c r="O349" i="3"/>
  <c r="P349" i="3"/>
  <c r="Q349" i="3"/>
  <c r="R349" i="3"/>
  <c r="S349" i="3"/>
  <c r="T349" i="3"/>
  <c r="U349" i="3"/>
  <c r="V349" i="3"/>
  <c r="W349" i="3"/>
  <c r="X349" i="3"/>
  <c r="Y349" i="3"/>
  <c r="Z349" i="3"/>
  <c r="AA349" i="3"/>
  <c r="AB349" i="3"/>
  <c r="AC349" i="3"/>
  <c r="AD349" i="3"/>
  <c r="AE349" i="3"/>
  <c r="AF349" i="3"/>
  <c r="AG349" i="3"/>
  <c r="AH349" i="3"/>
  <c r="AI349" i="3"/>
  <c r="AJ349" i="3"/>
  <c r="AK349" i="3"/>
  <c r="AL349" i="3"/>
  <c r="AM349" i="3"/>
  <c r="AN349" i="3"/>
  <c r="A350" i="3"/>
  <c r="B350" i="3"/>
  <c r="C350" i="3"/>
  <c r="D350" i="3"/>
  <c r="E350" i="3"/>
  <c r="F350" i="3"/>
  <c r="G350" i="3"/>
  <c r="H350" i="3"/>
  <c r="I350" i="3"/>
  <c r="J350" i="3"/>
  <c r="K350" i="3"/>
  <c r="L350" i="3"/>
  <c r="M350" i="3"/>
  <c r="N350" i="3"/>
  <c r="O350" i="3"/>
  <c r="P350" i="3"/>
  <c r="Q350" i="3"/>
  <c r="R350" i="3"/>
  <c r="S350" i="3"/>
  <c r="T350" i="3"/>
  <c r="U350" i="3"/>
  <c r="V350" i="3"/>
  <c r="W350" i="3"/>
  <c r="X350" i="3"/>
  <c r="Y350" i="3"/>
  <c r="Z350" i="3"/>
  <c r="AA350" i="3"/>
  <c r="AB350" i="3"/>
  <c r="AC350" i="3"/>
  <c r="AD350" i="3"/>
  <c r="AE350" i="3"/>
  <c r="AF350" i="3"/>
  <c r="AG350" i="3"/>
  <c r="AH350" i="3"/>
  <c r="AI350" i="3"/>
  <c r="AJ350" i="3"/>
  <c r="AK350" i="3"/>
  <c r="AL350" i="3"/>
  <c r="AM350" i="3"/>
  <c r="AN350" i="3"/>
  <c r="A351" i="3"/>
  <c r="B351" i="3"/>
  <c r="C351" i="3"/>
  <c r="D351" i="3"/>
  <c r="E351" i="3"/>
  <c r="F351" i="3"/>
  <c r="G351" i="3"/>
  <c r="H351" i="3"/>
  <c r="I351" i="3"/>
  <c r="J351" i="3"/>
  <c r="K351" i="3"/>
  <c r="L351" i="3"/>
  <c r="M351" i="3"/>
  <c r="N351" i="3"/>
  <c r="O351" i="3"/>
  <c r="P351" i="3"/>
  <c r="Q351" i="3"/>
  <c r="R351" i="3"/>
  <c r="S351" i="3"/>
  <c r="T351" i="3"/>
  <c r="U351" i="3"/>
  <c r="V351" i="3"/>
  <c r="W351" i="3"/>
  <c r="X351" i="3"/>
  <c r="Y351" i="3"/>
  <c r="Z351" i="3"/>
  <c r="AA351" i="3"/>
  <c r="AB351" i="3"/>
  <c r="AC351" i="3"/>
  <c r="AD351" i="3"/>
  <c r="AE351" i="3"/>
  <c r="AF351" i="3"/>
  <c r="AG351" i="3"/>
  <c r="AH351" i="3"/>
  <c r="AI351" i="3"/>
  <c r="AJ351" i="3"/>
  <c r="AK351" i="3"/>
  <c r="AL351" i="3"/>
  <c r="AM351" i="3"/>
  <c r="AN351" i="3"/>
  <c r="A352" i="3"/>
  <c r="B352" i="3"/>
  <c r="C352" i="3"/>
  <c r="D352" i="3"/>
  <c r="E352" i="3"/>
  <c r="F352" i="3"/>
  <c r="G352" i="3"/>
  <c r="H352" i="3"/>
  <c r="I352" i="3"/>
  <c r="J352" i="3"/>
  <c r="K352" i="3"/>
  <c r="L352" i="3"/>
  <c r="M352" i="3"/>
  <c r="N352" i="3"/>
  <c r="O352" i="3"/>
  <c r="P352" i="3"/>
  <c r="Q352" i="3"/>
  <c r="R352" i="3"/>
  <c r="S352" i="3"/>
  <c r="T352" i="3"/>
  <c r="U352" i="3"/>
  <c r="V352" i="3"/>
  <c r="W352" i="3"/>
  <c r="X352" i="3"/>
  <c r="Y352" i="3"/>
  <c r="Z352" i="3"/>
  <c r="AA352" i="3"/>
  <c r="AB352" i="3"/>
  <c r="AC352" i="3"/>
  <c r="AD352" i="3"/>
  <c r="AE352" i="3"/>
  <c r="AF352" i="3"/>
  <c r="AG352" i="3"/>
  <c r="AH352" i="3"/>
  <c r="AI352" i="3"/>
  <c r="AJ352" i="3"/>
  <c r="AK352" i="3"/>
  <c r="AL352" i="3"/>
  <c r="AM352" i="3"/>
  <c r="AN352" i="3"/>
  <c r="A353" i="3"/>
  <c r="B353" i="3"/>
  <c r="C353" i="3"/>
  <c r="D353" i="3"/>
  <c r="E353" i="3"/>
  <c r="F353" i="3"/>
  <c r="G353" i="3"/>
  <c r="H353" i="3"/>
  <c r="I353" i="3"/>
  <c r="J353" i="3"/>
  <c r="K353" i="3"/>
  <c r="L353" i="3"/>
  <c r="M353" i="3"/>
  <c r="N353" i="3"/>
  <c r="O353" i="3"/>
  <c r="P353" i="3"/>
  <c r="Q353" i="3"/>
  <c r="R353" i="3"/>
  <c r="S353" i="3"/>
  <c r="T353" i="3"/>
  <c r="U353" i="3"/>
  <c r="V353" i="3"/>
  <c r="W353" i="3"/>
  <c r="X353" i="3"/>
  <c r="Y353" i="3"/>
  <c r="Z353" i="3"/>
  <c r="AA353" i="3"/>
  <c r="AB353" i="3"/>
  <c r="AC353" i="3"/>
  <c r="AD353" i="3"/>
  <c r="AE353" i="3"/>
  <c r="AF353" i="3"/>
  <c r="AG353" i="3"/>
  <c r="AH353" i="3"/>
  <c r="AI353" i="3"/>
  <c r="AJ353" i="3"/>
  <c r="AK353" i="3"/>
  <c r="AL353" i="3"/>
  <c r="AM353" i="3"/>
  <c r="AN353" i="3"/>
  <c r="A354" i="3"/>
  <c r="B354" i="3"/>
  <c r="C354" i="3"/>
  <c r="D354" i="3"/>
  <c r="E354" i="3"/>
  <c r="F354" i="3"/>
  <c r="G354" i="3"/>
  <c r="H354" i="3"/>
  <c r="I354" i="3"/>
  <c r="J354" i="3"/>
  <c r="K354" i="3"/>
  <c r="L354" i="3"/>
  <c r="M354" i="3"/>
  <c r="N354" i="3"/>
  <c r="O354" i="3"/>
  <c r="P354" i="3"/>
  <c r="Q354" i="3"/>
  <c r="R354" i="3"/>
  <c r="S354" i="3"/>
  <c r="T354" i="3"/>
  <c r="U354" i="3"/>
  <c r="V354" i="3"/>
  <c r="W354" i="3"/>
  <c r="X354" i="3"/>
  <c r="Y354" i="3"/>
  <c r="Z354" i="3"/>
  <c r="AA354" i="3"/>
  <c r="AB354" i="3"/>
  <c r="AC354" i="3"/>
  <c r="AD354" i="3"/>
  <c r="AE354" i="3"/>
  <c r="AF354" i="3"/>
  <c r="AG354" i="3"/>
  <c r="AH354" i="3"/>
  <c r="AI354" i="3"/>
  <c r="AJ354" i="3"/>
  <c r="AK354" i="3"/>
  <c r="AL354" i="3"/>
  <c r="AM354" i="3"/>
  <c r="AN354" i="3"/>
  <c r="A355" i="3"/>
  <c r="B355" i="3"/>
  <c r="C355" i="3"/>
  <c r="D355" i="3"/>
  <c r="E355" i="3"/>
  <c r="F355" i="3"/>
  <c r="G355" i="3"/>
  <c r="H355" i="3"/>
  <c r="I355" i="3"/>
  <c r="J355" i="3"/>
  <c r="K355" i="3"/>
  <c r="L355" i="3"/>
  <c r="M355" i="3"/>
  <c r="N355" i="3"/>
  <c r="O355" i="3"/>
  <c r="P355" i="3"/>
  <c r="Q355" i="3"/>
  <c r="R355" i="3"/>
  <c r="S355" i="3"/>
  <c r="T355" i="3"/>
  <c r="U355" i="3"/>
  <c r="V355" i="3"/>
  <c r="W355" i="3"/>
  <c r="X355" i="3"/>
  <c r="Y355" i="3"/>
  <c r="Z355" i="3"/>
  <c r="AA355" i="3"/>
  <c r="AB355" i="3"/>
  <c r="AC355" i="3"/>
  <c r="AD355" i="3"/>
  <c r="AE355" i="3"/>
  <c r="AF355" i="3"/>
  <c r="AG355" i="3"/>
  <c r="AH355" i="3"/>
  <c r="AI355" i="3"/>
  <c r="AJ355" i="3"/>
  <c r="AK355" i="3"/>
  <c r="AL355" i="3"/>
  <c r="AM355" i="3"/>
  <c r="AN355" i="3"/>
  <c r="A356" i="3"/>
  <c r="B356" i="3"/>
  <c r="C356" i="3"/>
  <c r="D356" i="3"/>
  <c r="E356" i="3"/>
  <c r="F356" i="3"/>
  <c r="G356" i="3"/>
  <c r="H356" i="3"/>
  <c r="I356" i="3"/>
  <c r="J356" i="3"/>
  <c r="K356" i="3"/>
  <c r="L356" i="3"/>
  <c r="M356" i="3"/>
  <c r="N356" i="3"/>
  <c r="O356" i="3"/>
  <c r="P356" i="3"/>
  <c r="Q356" i="3"/>
  <c r="R356" i="3"/>
  <c r="S356" i="3"/>
  <c r="T356" i="3"/>
  <c r="U356" i="3"/>
  <c r="V356" i="3"/>
  <c r="W356" i="3"/>
  <c r="X356" i="3"/>
  <c r="Y356" i="3"/>
  <c r="Z356" i="3"/>
  <c r="AA356" i="3"/>
  <c r="AB356" i="3"/>
  <c r="AC356" i="3"/>
  <c r="AD356" i="3"/>
  <c r="AE356" i="3"/>
  <c r="AF356" i="3"/>
  <c r="AG356" i="3"/>
  <c r="AH356" i="3"/>
  <c r="AI356" i="3"/>
  <c r="AJ356" i="3"/>
  <c r="AK356" i="3"/>
  <c r="AL356" i="3"/>
  <c r="AM356" i="3"/>
  <c r="AN356" i="3"/>
  <c r="A357" i="3"/>
  <c r="B357" i="3"/>
  <c r="C357" i="3"/>
  <c r="D357" i="3"/>
  <c r="E357" i="3"/>
  <c r="F357" i="3"/>
  <c r="G357" i="3"/>
  <c r="H357" i="3"/>
  <c r="I357" i="3"/>
  <c r="J357" i="3"/>
  <c r="K357" i="3"/>
  <c r="L357" i="3"/>
  <c r="M357" i="3"/>
  <c r="N357" i="3"/>
  <c r="O357" i="3"/>
  <c r="P357" i="3"/>
  <c r="Q357" i="3"/>
  <c r="R357" i="3"/>
  <c r="S357" i="3"/>
  <c r="T357" i="3"/>
  <c r="U357" i="3"/>
  <c r="V357" i="3"/>
  <c r="W357" i="3"/>
  <c r="X357" i="3"/>
  <c r="Y357" i="3"/>
  <c r="Z357" i="3"/>
  <c r="AA357" i="3"/>
  <c r="AB357" i="3"/>
  <c r="AC357" i="3"/>
  <c r="AD357" i="3"/>
  <c r="AE357" i="3"/>
  <c r="AF357" i="3"/>
  <c r="AG357" i="3"/>
  <c r="AH357" i="3"/>
  <c r="AI357" i="3"/>
  <c r="AJ357" i="3"/>
  <c r="AK357" i="3"/>
  <c r="AL357" i="3"/>
  <c r="AM357" i="3"/>
  <c r="AN357" i="3"/>
  <c r="A358" i="3"/>
  <c r="B358" i="3"/>
  <c r="C358" i="3"/>
  <c r="D358" i="3"/>
  <c r="E358" i="3"/>
  <c r="F358" i="3"/>
  <c r="G358" i="3"/>
  <c r="H358" i="3"/>
  <c r="I358" i="3"/>
  <c r="J358" i="3"/>
  <c r="K358" i="3"/>
  <c r="L358" i="3"/>
  <c r="M358" i="3"/>
  <c r="N358" i="3"/>
  <c r="O358" i="3"/>
  <c r="P358" i="3"/>
  <c r="Q358" i="3"/>
  <c r="R358" i="3"/>
  <c r="S358" i="3"/>
  <c r="T358" i="3"/>
  <c r="U358" i="3"/>
  <c r="V358" i="3"/>
  <c r="W358" i="3"/>
  <c r="X358" i="3"/>
  <c r="Y358" i="3"/>
  <c r="Z358" i="3"/>
  <c r="AA358" i="3"/>
  <c r="AB358" i="3"/>
  <c r="AC358" i="3"/>
  <c r="AD358" i="3"/>
  <c r="AE358" i="3"/>
  <c r="AF358" i="3"/>
  <c r="AG358" i="3"/>
  <c r="AH358" i="3"/>
  <c r="AI358" i="3"/>
  <c r="AJ358" i="3"/>
  <c r="AK358" i="3"/>
  <c r="AL358" i="3"/>
  <c r="AM358" i="3"/>
  <c r="AN358" i="3"/>
  <c r="A359" i="3"/>
  <c r="B359" i="3"/>
  <c r="C359" i="3"/>
  <c r="D359" i="3"/>
  <c r="E359" i="3"/>
  <c r="F359" i="3"/>
  <c r="G359" i="3"/>
  <c r="H359" i="3"/>
  <c r="I359" i="3"/>
  <c r="J359" i="3"/>
  <c r="K359" i="3"/>
  <c r="L359" i="3"/>
  <c r="M359" i="3"/>
  <c r="N359" i="3"/>
  <c r="O359" i="3"/>
  <c r="P359" i="3"/>
  <c r="Q359" i="3"/>
  <c r="R359" i="3"/>
  <c r="S359" i="3"/>
  <c r="T359" i="3"/>
  <c r="U359" i="3"/>
  <c r="V359" i="3"/>
  <c r="W359" i="3"/>
  <c r="X359" i="3"/>
  <c r="Y359" i="3"/>
  <c r="Z359" i="3"/>
  <c r="AA359" i="3"/>
  <c r="AB359" i="3"/>
  <c r="AC359" i="3"/>
  <c r="AD359" i="3"/>
  <c r="AE359" i="3"/>
  <c r="AF359" i="3"/>
  <c r="AG359" i="3"/>
  <c r="AH359" i="3"/>
  <c r="AI359" i="3"/>
  <c r="AJ359" i="3"/>
  <c r="AK359" i="3"/>
  <c r="AL359" i="3"/>
  <c r="AM359" i="3"/>
  <c r="AN359" i="3"/>
  <c r="A360" i="3"/>
  <c r="B360" i="3"/>
  <c r="C360" i="3"/>
  <c r="D360" i="3"/>
  <c r="E360" i="3"/>
  <c r="F360" i="3"/>
  <c r="G360" i="3"/>
  <c r="H360" i="3"/>
  <c r="I360" i="3"/>
  <c r="J360" i="3"/>
  <c r="K360" i="3"/>
  <c r="L360" i="3"/>
  <c r="M360" i="3"/>
  <c r="N360" i="3"/>
  <c r="O360" i="3"/>
  <c r="P360" i="3"/>
  <c r="Q360" i="3"/>
  <c r="R360" i="3"/>
  <c r="S360" i="3"/>
  <c r="T360" i="3"/>
  <c r="U360" i="3"/>
  <c r="V360" i="3"/>
  <c r="W360" i="3"/>
  <c r="X360" i="3"/>
  <c r="Y360" i="3"/>
  <c r="Z360" i="3"/>
  <c r="AA360" i="3"/>
  <c r="AB360" i="3"/>
  <c r="AC360" i="3"/>
  <c r="AD360" i="3"/>
  <c r="AE360" i="3"/>
  <c r="AF360" i="3"/>
  <c r="AG360" i="3"/>
  <c r="AH360" i="3"/>
  <c r="AI360" i="3"/>
  <c r="AJ360" i="3"/>
  <c r="AK360" i="3"/>
  <c r="AL360" i="3"/>
  <c r="AM360" i="3"/>
  <c r="AN360" i="3"/>
  <c r="A361" i="3"/>
  <c r="B361" i="3"/>
  <c r="C361" i="3"/>
  <c r="D361" i="3"/>
  <c r="E361" i="3"/>
  <c r="F361" i="3"/>
  <c r="G361" i="3"/>
  <c r="H361" i="3"/>
  <c r="I361" i="3"/>
  <c r="J361" i="3"/>
  <c r="K361" i="3"/>
  <c r="L361" i="3"/>
  <c r="M361" i="3"/>
  <c r="N361" i="3"/>
  <c r="O361" i="3"/>
  <c r="P361" i="3"/>
  <c r="Q361" i="3"/>
  <c r="R361" i="3"/>
  <c r="S361" i="3"/>
  <c r="T361" i="3"/>
  <c r="U361" i="3"/>
  <c r="V361" i="3"/>
  <c r="W361" i="3"/>
  <c r="X361" i="3"/>
  <c r="Y361" i="3"/>
  <c r="Z361" i="3"/>
  <c r="AA361" i="3"/>
  <c r="AB361" i="3"/>
  <c r="AC361" i="3"/>
  <c r="AD361" i="3"/>
  <c r="AE361" i="3"/>
  <c r="AF361" i="3"/>
  <c r="AG361" i="3"/>
  <c r="AH361" i="3"/>
  <c r="AI361" i="3"/>
  <c r="AJ361" i="3"/>
  <c r="AK361" i="3"/>
  <c r="AL361" i="3"/>
  <c r="AM361" i="3"/>
  <c r="AN361" i="3"/>
  <c r="A362" i="3"/>
  <c r="B362" i="3"/>
  <c r="C362" i="3"/>
  <c r="D362" i="3"/>
  <c r="E362" i="3"/>
  <c r="F362" i="3"/>
  <c r="G362" i="3"/>
  <c r="H362" i="3"/>
  <c r="I362" i="3"/>
  <c r="J362" i="3"/>
  <c r="K362" i="3"/>
  <c r="L362" i="3"/>
  <c r="M362" i="3"/>
  <c r="N362" i="3"/>
  <c r="O362" i="3"/>
  <c r="P362" i="3"/>
  <c r="Q362" i="3"/>
  <c r="R362" i="3"/>
  <c r="S362" i="3"/>
  <c r="T362" i="3"/>
  <c r="U362" i="3"/>
  <c r="V362" i="3"/>
  <c r="W362" i="3"/>
  <c r="X362" i="3"/>
  <c r="Y362" i="3"/>
  <c r="Z362" i="3"/>
  <c r="AA362" i="3"/>
  <c r="AB362" i="3"/>
  <c r="AC362" i="3"/>
  <c r="AD362" i="3"/>
  <c r="AE362" i="3"/>
  <c r="AF362" i="3"/>
  <c r="AG362" i="3"/>
  <c r="AH362" i="3"/>
  <c r="AI362" i="3"/>
  <c r="AJ362" i="3"/>
  <c r="AK362" i="3"/>
  <c r="AL362" i="3"/>
  <c r="AM362" i="3"/>
  <c r="AN362" i="3"/>
  <c r="A363" i="3"/>
  <c r="B363" i="3"/>
  <c r="C363" i="3"/>
  <c r="D363" i="3"/>
  <c r="E363" i="3"/>
  <c r="F363" i="3"/>
  <c r="G363" i="3"/>
  <c r="H363" i="3"/>
  <c r="I363" i="3"/>
  <c r="J363" i="3"/>
  <c r="K363" i="3"/>
  <c r="L363" i="3"/>
  <c r="M363" i="3"/>
  <c r="N363" i="3"/>
  <c r="O363" i="3"/>
  <c r="P363" i="3"/>
  <c r="Q363" i="3"/>
  <c r="R363" i="3"/>
  <c r="S363" i="3"/>
  <c r="T363" i="3"/>
  <c r="U363" i="3"/>
  <c r="V363" i="3"/>
  <c r="W363" i="3"/>
  <c r="X363" i="3"/>
  <c r="Y363" i="3"/>
  <c r="Z363" i="3"/>
  <c r="AA363" i="3"/>
  <c r="AB363" i="3"/>
  <c r="AC363" i="3"/>
  <c r="AD363" i="3"/>
  <c r="AE363" i="3"/>
  <c r="AF363" i="3"/>
  <c r="AG363" i="3"/>
  <c r="AH363" i="3"/>
  <c r="AI363" i="3"/>
  <c r="AJ363" i="3"/>
  <c r="AK363" i="3"/>
  <c r="AL363" i="3"/>
  <c r="AM363" i="3"/>
  <c r="AN363" i="3"/>
  <c r="A364" i="3"/>
  <c r="B364" i="3"/>
  <c r="C364" i="3"/>
  <c r="D364" i="3"/>
  <c r="E364" i="3"/>
  <c r="F364" i="3"/>
  <c r="G364" i="3"/>
  <c r="H364" i="3"/>
  <c r="I364" i="3"/>
  <c r="J364" i="3"/>
  <c r="K364" i="3"/>
  <c r="L364" i="3"/>
  <c r="M364" i="3"/>
  <c r="N364" i="3"/>
  <c r="O364" i="3"/>
  <c r="P364" i="3"/>
  <c r="Q364" i="3"/>
  <c r="R364" i="3"/>
  <c r="S364" i="3"/>
  <c r="T364" i="3"/>
  <c r="U364" i="3"/>
  <c r="V364" i="3"/>
  <c r="W364" i="3"/>
  <c r="X364" i="3"/>
  <c r="Y364" i="3"/>
  <c r="Z364" i="3"/>
  <c r="AA364" i="3"/>
  <c r="AB364" i="3"/>
  <c r="AC364" i="3"/>
  <c r="AD364" i="3"/>
  <c r="AE364" i="3"/>
  <c r="AF364" i="3"/>
  <c r="AG364" i="3"/>
  <c r="AH364" i="3"/>
  <c r="AI364" i="3"/>
  <c r="AJ364" i="3"/>
  <c r="AK364" i="3"/>
  <c r="AL364" i="3"/>
  <c r="AM364" i="3"/>
  <c r="AN364" i="3"/>
  <c r="A365" i="3"/>
  <c r="B365" i="3"/>
  <c r="C365" i="3"/>
  <c r="D365" i="3"/>
  <c r="E365" i="3"/>
  <c r="F365" i="3"/>
  <c r="G365" i="3"/>
  <c r="H365" i="3"/>
  <c r="I365" i="3"/>
  <c r="J365" i="3"/>
  <c r="K365" i="3"/>
  <c r="L365" i="3"/>
  <c r="M365" i="3"/>
  <c r="N365" i="3"/>
  <c r="O365" i="3"/>
  <c r="P365" i="3"/>
  <c r="Q365" i="3"/>
  <c r="R365" i="3"/>
  <c r="S365" i="3"/>
  <c r="T365" i="3"/>
  <c r="U365" i="3"/>
  <c r="V365" i="3"/>
  <c r="W365" i="3"/>
  <c r="X365" i="3"/>
  <c r="Y365" i="3"/>
  <c r="Z365" i="3"/>
  <c r="AA365" i="3"/>
  <c r="AB365" i="3"/>
  <c r="AC365" i="3"/>
  <c r="AD365" i="3"/>
  <c r="AE365" i="3"/>
  <c r="AF365" i="3"/>
  <c r="AG365" i="3"/>
  <c r="AH365" i="3"/>
  <c r="AI365" i="3"/>
  <c r="AJ365" i="3"/>
  <c r="AK365" i="3"/>
  <c r="AL365" i="3"/>
  <c r="AM365" i="3"/>
  <c r="AN365" i="3"/>
  <c r="A366" i="3"/>
  <c r="B366" i="3"/>
  <c r="C366" i="3"/>
  <c r="D366" i="3"/>
  <c r="E366" i="3"/>
  <c r="F366" i="3"/>
  <c r="G366" i="3"/>
  <c r="H366" i="3"/>
  <c r="I366" i="3"/>
  <c r="J366" i="3"/>
  <c r="K366" i="3"/>
  <c r="L366" i="3"/>
  <c r="M366" i="3"/>
  <c r="N366" i="3"/>
  <c r="O366" i="3"/>
  <c r="P366" i="3"/>
  <c r="Q366" i="3"/>
  <c r="R366" i="3"/>
  <c r="S366" i="3"/>
  <c r="T366" i="3"/>
  <c r="U366" i="3"/>
  <c r="V366" i="3"/>
  <c r="W366" i="3"/>
  <c r="X366" i="3"/>
  <c r="Y366" i="3"/>
  <c r="Z366" i="3"/>
  <c r="AA366" i="3"/>
  <c r="AB366" i="3"/>
  <c r="AC366" i="3"/>
  <c r="AD366" i="3"/>
  <c r="AE366" i="3"/>
  <c r="AF366" i="3"/>
  <c r="AG366" i="3"/>
  <c r="AH366" i="3"/>
  <c r="AI366" i="3"/>
  <c r="AJ366" i="3"/>
  <c r="AK366" i="3"/>
  <c r="AL366" i="3"/>
  <c r="AM366" i="3"/>
  <c r="AN366" i="3"/>
  <c r="A367" i="3"/>
  <c r="B367" i="3"/>
  <c r="C367" i="3"/>
  <c r="D367" i="3"/>
  <c r="E367" i="3"/>
  <c r="F367" i="3"/>
  <c r="G367" i="3"/>
  <c r="H367" i="3"/>
  <c r="I367" i="3"/>
  <c r="J367" i="3"/>
  <c r="K367" i="3"/>
  <c r="L367" i="3"/>
  <c r="M367" i="3"/>
  <c r="N367" i="3"/>
  <c r="O367" i="3"/>
  <c r="P367" i="3"/>
  <c r="Q367" i="3"/>
  <c r="R367" i="3"/>
  <c r="S367" i="3"/>
  <c r="T367" i="3"/>
  <c r="U367" i="3"/>
  <c r="V367" i="3"/>
  <c r="W367" i="3"/>
  <c r="X367" i="3"/>
  <c r="Y367" i="3"/>
  <c r="Z367" i="3"/>
  <c r="AA367" i="3"/>
  <c r="AB367" i="3"/>
  <c r="AC367" i="3"/>
  <c r="AD367" i="3"/>
  <c r="AE367" i="3"/>
  <c r="AF367" i="3"/>
  <c r="AG367" i="3"/>
  <c r="AH367" i="3"/>
  <c r="AI367" i="3"/>
  <c r="AJ367" i="3"/>
  <c r="AK367" i="3"/>
  <c r="AL367" i="3"/>
  <c r="AM367" i="3"/>
  <c r="AN367" i="3"/>
  <c r="A368" i="3"/>
  <c r="B368" i="3"/>
  <c r="C368" i="3"/>
  <c r="D368" i="3"/>
  <c r="E368" i="3"/>
  <c r="F368" i="3"/>
  <c r="G368" i="3"/>
  <c r="H368" i="3"/>
  <c r="I368" i="3"/>
  <c r="J368" i="3"/>
  <c r="K368" i="3"/>
  <c r="L368" i="3"/>
  <c r="M368" i="3"/>
  <c r="N368" i="3"/>
  <c r="O368" i="3"/>
  <c r="P368" i="3"/>
  <c r="Q368" i="3"/>
  <c r="R368" i="3"/>
  <c r="S368" i="3"/>
  <c r="T368" i="3"/>
  <c r="U368" i="3"/>
  <c r="V368" i="3"/>
  <c r="W368" i="3"/>
  <c r="X368" i="3"/>
  <c r="Y368" i="3"/>
  <c r="Z368" i="3"/>
  <c r="AA368" i="3"/>
  <c r="AB368" i="3"/>
  <c r="AC368" i="3"/>
  <c r="AD368" i="3"/>
  <c r="AE368" i="3"/>
  <c r="AF368" i="3"/>
  <c r="AG368" i="3"/>
  <c r="AH368" i="3"/>
  <c r="AI368" i="3"/>
  <c r="AJ368" i="3"/>
  <c r="AK368" i="3"/>
  <c r="AL368" i="3"/>
  <c r="AM368" i="3"/>
  <c r="AN368" i="3"/>
  <c r="A369" i="3"/>
  <c r="B369" i="3"/>
  <c r="C369" i="3"/>
  <c r="D369" i="3"/>
  <c r="E369" i="3"/>
  <c r="F369" i="3"/>
  <c r="G369" i="3"/>
  <c r="H369" i="3"/>
  <c r="I369" i="3"/>
  <c r="J369" i="3"/>
  <c r="K369" i="3"/>
  <c r="L369" i="3"/>
  <c r="M369" i="3"/>
  <c r="N369" i="3"/>
  <c r="O369" i="3"/>
  <c r="P369" i="3"/>
  <c r="Q369" i="3"/>
  <c r="R369" i="3"/>
  <c r="S369" i="3"/>
  <c r="T369" i="3"/>
  <c r="U369" i="3"/>
  <c r="V369" i="3"/>
  <c r="W369" i="3"/>
  <c r="X369" i="3"/>
  <c r="Y369" i="3"/>
  <c r="Z369" i="3"/>
  <c r="AA369" i="3"/>
  <c r="AB369" i="3"/>
  <c r="AC369" i="3"/>
  <c r="AD369" i="3"/>
  <c r="AE369" i="3"/>
  <c r="AF369" i="3"/>
  <c r="AG369" i="3"/>
  <c r="AH369" i="3"/>
  <c r="AI369" i="3"/>
  <c r="AJ369" i="3"/>
  <c r="AK369" i="3"/>
  <c r="AL369" i="3"/>
  <c r="AM369" i="3"/>
  <c r="AN369" i="3"/>
  <c r="A370" i="3"/>
  <c r="B370" i="3"/>
  <c r="C370" i="3"/>
  <c r="D370" i="3"/>
  <c r="E370" i="3"/>
  <c r="F370" i="3"/>
  <c r="G370" i="3"/>
  <c r="H370" i="3"/>
  <c r="I370" i="3"/>
  <c r="J370" i="3"/>
  <c r="K370" i="3"/>
  <c r="L370" i="3"/>
  <c r="M370" i="3"/>
  <c r="N370" i="3"/>
  <c r="O370" i="3"/>
  <c r="P370" i="3"/>
  <c r="Q370" i="3"/>
  <c r="R370" i="3"/>
  <c r="S370" i="3"/>
  <c r="T370" i="3"/>
  <c r="U370" i="3"/>
  <c r="V370" i="3"/>
  <c r="W370" i="3"/>
  <c r="X370" i="3"/>
  <c r="Y370" i="3"/>
  <c r="Z370" i="3"/>
  <c r="AA370" i="3"/>
  <c r="AB370" i="3"/>
  <c r="AC370" i="3"/>
  <c r="AD370" i="3"/>
  <c r="AE370" i="3"/>
  <c r="AF370" i="3"/>
  <c r="AG370" i="3"/>
  <c r="AH370" i="3"/>
  <c r="AI370" i="3"/>
  <c r="AJ370" i="3"/>
  <c r="AK370" i="3"/>
  <c r="AL370" i="3"/>
  <c r="AM370" i="3"/>
  <c r="AN370" i="3"/>
  <c r="A371" i="3"/>
  <c r="B371" i="3"/>
  <c r="C371" i="3"/>
  <c r="D371" i="3"/>
  <c r="E371" i="3"/>
  <c r="F371" i="3"/>
  <c r="G371" i="3"/>
  <c r="H371" i="3"/>
  <c r="I371" i="3"/>
  <c r="J371" i="3"/>
  <c r="K371" i="3"/>
  <c r="L371" i="3"/>
  <c r="M371" i="3"/>
  <c r="N371" i="3"/>
  <c r="O371" i="3"/>
  <c r="P371" i="3"/>
  <c r="Q371" i="3"/>
  <c r="R371" i="3"/>
  <c r="S371" i="3"/>
  <c r="T371" i="3"/>
  <c r="U371" i="3"/>
  <c r="V371" i="3"/>
  <c r="W371" i="3"/>
  <c r="X371" i="3"/>
  <c r="Y371" i="3"/>
  <c r="Z371" i="3"/>
  <c r="AA371" i="3"/>
  <c r="AB371" i="3"/>
  <c r="AC371" i="3"/>
  <c r="AD371" i="3"/>
  <c r="AE371" i="3"/>
  <c r="AF371" i="3"/>
  <c r="AG371" i="3"/>
  <c r="AH371" i="3"/>
  <c r="AI371" i="3"/>
  <c r="AJ371" i="3"/>
  <c r="AK371" i="3"/>
  <c r="AL371" i="3"/>
  <c r="AM371" i="3"/>
  <c r="AN371" i="3"/>
  <c r="A372" i="3"/>
  <c r="B372" i="3"/>
  <c r="C372" i="3"/>
  <c r="D372" i="3"/>
  <c r="E372" i="3"/>
  <c r="F372" i="3"/>
  <c r="G372" i="3"/>
  <c r="H372" i="3"/>
  <c r="I372" i="3"/>
  <c r="J372" i="3"/>
  <c r="K372" i="3"/>
  <c r="L372" i="3"/>
  <c r="M372" i="3"/>
  <c r="N372" i="3"/>
  <c r="O372" i="3"/>
  <c r="P372" i="3"/>
  <c r="Q372" i="3"/>
  <c r="R372" i="3"/>
  <c r="S372" i="3"/>
  <c r="T372" i="3"/>
  <c r="U372" i="3"/>
  <c r="V372" i="3"/>
  <c r="W372" i="3"/>
  <c r="X372" i="3"/>
  <c r="Y372" i="3"/>
  <c r="Z372" i="3"/>
  <c r="AA372" i="3"/>
  <c r="AB372" i="3"/>
  <c r="AC372" i="3"/>
  <c r="AD372" i="3"/>
  <c r="AE372" i="3"/>
  <c r="AF372" i="3"/>
  <c r="AG372" i="3"/>
  <c r="AH372" i="3"/>
  <c r="AI372" i="3"/>
  <c r="AJ372" i="3"/>
  <c r="AK372" i="3"/>
  <c r="AL372" i="3"/>
  <c r="AM372" i="3"/>
  <c r="AN372" i="3"/>
  <c r="A373" i="3"/>
  <c r="B373" i="3"/>
  <c r="C373" i="3"/>
  <c r="D373" i="3"/>
  <c r="E373" i="3"/>
  <c r="F373" i="3"/>
  <c r="G373" i="3"/>
  <c r="H373" i="3"/>
  <c r="I373" i="3"/>
  <c r="J373" i="3"/>
  <c r="K373" i="3"/>
  <c r="L373" i="3"/>
  <c r="M373" i="3"/>
  <c r="N373" i="3"/>
  <c r="O373" i="3"/>
  <c r="P373" i="3"/>
  <c r="Q373" i="3"/>
  <c r="R373" i="3"/>
  <c r="S373" i="3"/>
  <c r="T373" i="3"/>
  <c r="U373" i="3"/>
  <c r="V373" i="3"/>
  <c r="W373" i="3"/>
  <c r="X373" i="3"/>
  <c r="Y373" i="3"/>
  <c r="Z373" i="3"/>
  <c r="AA373" i="3"/>
  <c r="AB373" i="3"/>
  <c r="AC373" i="3"/>
  <c r="AD373" i="3"/>
  <c r="AE373" i="3"/>
  <c r="AF373" i="3"/>
  <c r="AG373" i="3"/>
  <c r="AH373" i="3"/>
  <c r="AI373" i="3"/>
  <c r="AJ373" i="3"/>
  <c r="AK373" i="3"/>
  <c r="AL373" i="3"/>
  <c r="AM373" i="3"/>
  <c r="AN373" i="3"/>
  <c r="A374" i="3"/>
  <c r="B374" i="3"/>
  <c r="C374" i="3"/>
  <c r="D374" i="3"/>
  <c r="E374" i="3"/>
  <c r="F374" i="3"/>
  <c r="G374" i="3"/>
  <c r="H374" i="3"/>
  <c r="I374" i="3"/>
  <c r="J374" i="3"/>
  <c r="K374" i="3"/>
  <c r="L374" i="3"/>
  <c r="M374" i="3"/>
  <c r="N374" i="3"/>
  <c r="O374" i="3"/>
  <c r="P374" i="3"/>
  <c r="Q374" i="3"/>
  <c r="R374" i="3"/>
  <c r="S374" i="3"/>
  <c r="T374" i="3"/>
  <c r="U374" i="3"/>
  <c r="V374" i="3"/>
  <c r="W374" i="3"/>
  <c r="X374" i="3"/>
  <c r="Y374" i="3"/>
  <c r="Z374" i="3"/>
  <c r="AA374" i="3"/>
  <c r="AB374" i="3"/>
  <c r="AC374" i="3"/>
  <c r="AD374" i="3"/>
  <c r="AE374" i="3"/>
  <c r="AF374" i="3"/>
  <c r="AG374" i="3"/>
  <c r="AH374" i="3"/>
  <c r="AI374" i="3"/>
  <c r="AJ374" i="3"/>
  <c r="AK374" i="3"/>
  <c r="AL374" i="3"/>
  <c r="AM374" i="3"/>
  <c r="AN374" i="3"/>
  <c r="A375" i="3"/>
  <c r="B375" i="3"/>
  <c r="C375" i="3"/>
  <c r="D375" i="3"/>
  <c r="E375" i="3"/>
  <c r="F375" i="3"/>
  <c r="G375" i="3"/>
  <c r="H375" i="3"/>
  <c r="I375" i="3"/>
  <c r="J375" i="3"/>
  <c r="K375" i="3"/>
  <c r="L375" i="3"/>
  <c r="M375" i="3"/>
  <c r="N375" i="3"/>
  <c r="O375" i="3"/>
  <c r="P375" i="3"/>
  <c r="Q375" i="3"/>
  <c r="R375" i="3"/>
  <c r="S375" i="3"/>
  <c r="T375" i="3"/>
  <c r="U375" i="3"/>
  <c r="V375" i="3"/>
  <c r="W375" i="3"/>
  <c r="X375" i="3"/>
  <c r="Y375" i="3"/>
  <c r="Z375" i="3"/>
  <c r="AA375" i="3"/>
  <c r="AB375" i="3"/>
  <c r="AC375" i="3"/>
  <c r="AD375" i="3"/>
  <c r="AE375" i="3"/>
  <c r="AF375" i="3"/>
  <c r="AG375" i="3"/>
  <c r="AH375" i="3"/>
  <c r="AI375" i="3"/>
  <c r="AJ375" i="3"/>
  <c r="AK375" i="3"/>
  <c r="AL375" i="3"/>
  <c r="AM375" i="3"/>
  <c r="AN375" i="3"/>
  <c r="A376" i="3"/>
  <c r="B376" i="3"/>
  <c r="C376" i="3"/>
  <c r="D376" i="3"/>
  <c r="E376" i="3"/>
  <c r="F376" i="3"/>
  <c r="G376" i="3"/>
  <c r="H376" i="3"/>
  <c r="I376" i="3"/>
  <c r="J376" i="3"/>
  <c r="K376" i="3"/>
  <c r="L376" i="3"/>
  <c r="M376" i="3"/>
  <c r="N376" i="3"/>
  <c r="O376" i="3"/>
  <c r="P376" i="3"/>
  <c r="Q376" i="3"/>
  <c r="R376" i="3"/>
  <c r="S376" i="3"/>
  <c r="T376" i="3"/>
  <c r="U376" i="3"/>
  <c r="V376" i="3"/>
  <c r="W376" i="3"/>
  <c r="X376" i="3"/>
  <c r="Y376" i="3"/>
  <c r="Z376" i="3"/>
  <c r="AA376" i="3"/>
  <c r="AB376" i="3"/>
  <c r="AC376" i="3"/>
  <c r="AD376" i="3"/>
  <c r="AE376" i="3"/>
  <c r="AF376" i="3"/>
  <c r="AG376" i="3"/>
  <c r="AH376" i="3"/>
  <c r="AI376" i="3"/>
  <c r="AJ376" i="3"/>
  <c r="AK376" i="3"/>
  <c r="AL376" i="3"/>
  <c r="AM376" i="3"/>
  <c r="AN376" i="3"/>
  <c r="A377" i="3"/>
  <c r="B377" i="3"/>
  <c r="C377" i="3"/>
  <c r="D377" i="3"/>
  <c r="E377" i="3"/>
  <c r="F377" i="3"/>
  <c r="G377" i="3"/>
  <c r="H377" i="3"/>
  <c r="I377" i="3"/>
  <c r="J377" i="3"/>
  <c r="K377" i="3"/>
  <c r="L377" i="3"/>
  <c r="M377" i="3"/>
  <c r="N377" i="3"/>
  <c r="O377" i="3"/>
  <c r="P377" i="3"/>
  <c r="Q377" i="3"/>
  <c r="R377" i="3"/>
  <c r="S377" i="3"/>
  <c r="T377" i="3"/>
  <c r="U377" i="3"/>
  <c r="V377" i="3"/>
  <c r="W377" i="3"/>
  <c r="X377" i="3"/>
  <c r="Y377" i="3"/>
  <c r="Z377" i="3"/>
  <c r="AA377" i="3"/>
  <c r="AB377" i="3"/>
  <c r="AC377" i="3"/>
  <c r="AD377" i="3"/>
  <c r="AE377" i="3"/>
  <c r="AF377" i="3"/>
  <c r="AG377" i="3"/>
  <c r="AH377" i="3"/>
  <c r="AI377" i="3"/>
  <c r="AJ377" i="3"/>
  <c r="AK377" i="3"/>
  <c r="AL377" i="3"/>
  <c r="AM377" i="3"/>
  <c r="AN377" i="3"/>
  <c r="A378" i="3"/>
  <c r="B378" i="3"/>
  <c r="C378" i="3"/>
  <c r="D378" i="3"/>
  <c r="E378" i="3"/>
  <c r="F378" i="3"/>
  <c r="G378" i="3"/>
  <c r="H378" i="3"/>
  <c r="I378" i="3"/>
  <c r="J378" i="3"/>
  <c r="K378" i="3"/>
  <c r="L378" i="3"/>
  <c r="M378" i="3"/>
  <c r="N378" i="3"/>
  <c r="O378" i="3"/>
  <c r="P378" i="3"/>
  <c r="Q378" i="3"/>
  <c r="R378" i="3"/>
  <c r="S378" i="3"/>
  <c r="T378" i="3"/>
  <c r="U378" i="3"/>
  <c r="V378" i="3"/>
  <c r="W378" i="3"/>
  <c r="X378" i="3"/>
  <c r="Y378" i="3"/>
  <c r="Z378" i="3"/>
  <c r="AA378" i="3"/>
  <c r="AB378" i="3"/>
  <c r="AC378" i="3"/>
  <c r="AD378" i="3"/>
  <c r="AE378" i="3"/>
  <c r="AF378" i="3"/>
  <c r="AG378" i="3"/>
  <c r="AH378" i="3"/>
  <c r="AI378" i="3"/>
  <c r="AJ378" i="3"/>
  <c r="AK378" i="3"/>
  <c r="AL378" i="3"/>
  <c r="AM378" i="3"/>
  <c r="AN378" i="3"/>
  <c r="A379" i="3"/>
  <c r="B379" i="3"/>
  <c r="C379" i="3"/>
  <c r="D379" i="3"/>
  <c r="E379" i="3"/>
  <c r="F379" i="3"/>
  <c r="G379" i="3"/>
  <c r="H379" i="3"/>
  <c r="I379" i="3"/>
  <c r="J379" i="3"/>
  <c r="K379" i="3"/>
  <c r="L379" i="3"/>
  <c r="M379" i="3"/>
  <c r="N379" i="3"/>
  <c r="O379" i="3"/>
  <c r="P379" i="3"/>
  <c r="Q379" i="3"/>
  <c r="R379" i="3"/>
  <c r="S379" i="3"/>
  <c r="T379" i="3"/>
  <c r="U379" i="3"/>
  <c r="V379" i="3"/>
  <c r="W379" i="3"/>
  <c r="X379" i="3"/>
  <c r="Y379" i="3"/>
  <c r="Z379" i="3"/>
  <c r="AA379" i="3"/>
  <c r="AB379" i="3"/>
  <c r="AC379" i="3"/>
  <c r="AD379" i="3"/>
  <c r="AE379" i="3"/>
  <c r="AF379" i="3"/>
  <c r="AG379" i="3"/>
  <c r="AH379" i="3"/>
  <c r="AI379" i="3"/>
  <c r="AJ379" i="3"/>
  <c r="AK379" i="3"/>
  <c r="AL379" i="3"/>
  <c r="AM379" i="3"/>
  <c r="AN379" i="3"/>
  <c r="A380" i="3"/>
  <c r="B380" i="3"/>
  <c r="C380" i="3"/>
  <c r="D380" i="3"/>
  <c r="E380" i="3"/>
  <c r="F380" i="3"/>
  <c r="G380" i="3"/>
  <c r="H380" i="3"/>
  <c r="I380" i="3"/>
  <c r="J380" i="3"/>
  <c r="K380" i="3"/>
  <c r="L380" i="3"/>
  <c r="M380" i="3"/>
  <c r="N380" i="3"/>
  <c r="O380" i="3"/>
  <c r="P380" i="3"/>
  <c r="Q380" i="3"/>
  <c r="R380" i="3"/>
  <c r="S380" i="3"/>
  <c r="T380" i="3"/>
  <c r="U380" i="3"/>
  <c r="V380" i="3"/>
  <c r="W380" i="3"/>
  <c r="X380" i="3"/>
  <c r="Y380" i="3"/>
  <c r="Z380" i="3"/>
  <c r="AA380" i="3"/>
  <c r="AB380" i="3"/>
  <c r="AC380" i="3"/>
  <c r="AD380" i="3"/>
  <c r="AE380" i="3"/>
  <c r="AF380" i="3"/>
  <c r="AG380" i="3"/>
  <c r="AH380" i="3"/>
  <c r="AI380" i="3"/>
  <c r="AJ380" i="3"/>
  <c r="AK380" i="3"/>
  <c r="AL380" i="3"/>
  <c r="AM380" i="3"/>
  <c r="AN380" i="3"/>
  <c r="A381" i="3"/>
  <c r="B381" i="3"/>
  <c r="C381" i="3"/>
  <c r="D381" i="3"/>
  <c r="E381" i="3"/>
  <c r="F381" i="3"/>
  <c r="G381" i="3"/>
  <c r="H381" i="3"/>
  <c r="I381" i="3"/>
  <c r="J381" i="3"/>
  <c r="K381" i="3"/>
  <c r="L381" i="3"/>
  <c r="M381" i="3"/>
  <c r="N381" i="3"/>
  <c r="O381" i="3"/>
  <c r="P381" i="3"/>
  <c r="Q381" i="3"/>
  <c r="R381" i="3"/>
  <c r="S381" i="3"/>
  <c r="T381" i="3"/>
  <c r="U381" i="3"/>
  <c r="V381" i="3"/>
  <c r="W381" i="3"/>
  <c r="X381" i="3"/>
  <c r="Y381" i="3"/>
  <c r="Z381" i="3"/>
  <c r="AA381" i="3"/>
  <c r="AB381" i="3"/>
  <c r="AC381" i="3"/>
  <c r="AD381" i="3"/>
  <c r="AE381" i="3"/>
  <c r="AF381" i="3"/>
  <c r="AG381" i="3"/>
  <c r="AH381" i="3"/>
  <c r="AI381" i="3"/>
  <c r="AJ381" i="3"/>
  <c r="AK381" i="3"/>
  <c r="AL381" i="3"/>
  <c r="AM381" i="3"/>
  <c r="AN381" i="3"/>
  <c r="A382" i="3"/>
  <c r="B382" i="3"/>
  <c r="C382" i="3"/>
  <c r="D382" i="3"/>
  <c r="E382" i="3"/>
  <c r="F382" i="3"/>
  <c r="G382" i="3"/>
  <c r="H382" i="3"/>
  <c r="I382" i="3"/>
  <c r="J382" i="3"/>
  <c r="K382" i="3"/>
  <c r="L382" i="3"/>
  <c r="M382" i="3"/>
  <c r="N382" i="3"/>
  <c r="O382" i="3"/>
  <c r="P382" i="3"/>
  <c r="Q382" i="3"/>
  <c r="R382" i="3"/>
  <c r="S382" i="3"/>
  <c r="T382" i="3"/>
  <c r="U382" i="3"/>
  <c r="V382" i="3"/>
  <c r="W382" i="3"/>
  <c r="X382" i="3"/>
  <c r="Y382" i="3"/>
  <c r="Z382" i="3"/>
  <c r="AA382" i="3"/>
  <c r="AB382" i="3"/>
  <c r="AC382" i="3"/>
  <c r="AD382" i="3"/>
  <c r="AE382" i="3"/>
  <c r="AF382" i="3"/>
  <c r="AG382" i="3"/>
  <c r="AH382" i="3"/>
  <c r="AI382" i="3"/>
  <c r="AJ382" i="3"/>
  <c r="AK382" i="3"/>
  <c r="AL382" i="3"/>
  <c r="AM382" i="3"/>
  <c r="AN382" i="3"/>
  <c r="A383" i="3"/>
  <c r="B383" i="3"/>
  <c r="C383" i="3"/>
  <c r="D383" i="3"/>
  <c r="E383" i="3"/>
  <c r="F383" i="3"/>
  <c r="G383" i="3"/>
  <c r="H383" i="3"/>
  <c r="I383" i="3"/>
  <c r="J383" i="3"/>
  <c r="K383" i="3"/>
  <c r="L383" i="3"/>
  <c r="M383" i="3"/>
  <c r="N383" i="3"/>
  <c r="O383" i="3"/>
  <c r="P383" i="3"/>
  <c r="Q383" i="3"/>
  <c r="R383" i="3"/>
  <c r="S383" i="3"/>
  <c r="T383" i="3"/>
  <c r="U383" i="3"/>
  <c r="V383" i="3"/>
  <c r="W383" i="3"/>
  <c r="X383" i="3"/>
  <c r="Y383" i="3"/>
  <c r="Z383" i="3"/>
  <c r="AA383" i="3"/>
  <c r="AB383" i="3"/>
  <c r="AC383" i="3"/>
  <c r="AD383" i="3"/>
  <c r="AE383" i="3"/>
  <c r="AF383" i="3"/>
  <c r="AG383" i="3"/>
  <c r="AH383" i="3"/>
  <c r="AI383" i="3"/>
  <c r="AJ383" i="3"/>
  <c r="AK383" i="3"/>
  <c r="AL383" i="3"/>
  <c r="AM383" i="3"/>
  <c r="AN383" i="3"/>
  <c r="A384" i="3"/>
  <c r="B384" i="3"/>
  <c r="C384" i="3"/>
  <c r="D384" i="3"/>
  <c r="E384" i="3"/>
  <c r="F384" i="3"/>
  <c r="G384" i="3"/>
  <c r="H384" i="3"/>
  <c r="I384" i="3"/>
  <c r="J384" i="3"/>
  <c r="K384" i="3"/>
  <c r="L384" i="3"/>
  <c r="M384" i="3"/>
  <c r="N384" i="3"/>
  <c r="O384" i="3"/>
  <c r="P384" i="3"/>
  <c r="Q384" i="3"/>
  <c r="R384" i="3"/>
  <c r="S384" i="3"/>
  <c r="T384" i="3"/>
  <c r="U384" i="3"/>
  <c r="V384" i="3"/>
  <c r="W384" i="3"/>
  <c r="X384" i="3"/>
  <c r="Y384" i="3"/>
  <c r="Z384" i="3"/>
  <c r="AA384" i="3"/>
  <c r="AB384" i="3"/>
  <c r="AC384" i="3"/>
  <c r="AD384" i="3"/>
  <c r="AE384" i="3"/>
  <c r="AF384" i="3"/>
  <c r="AG384" i="3"/>
  <c r="AH384" i="3"/>
  <c r="AI384" i="3"/>
  <c r="AJ384" i="3"/>
  <c r="AK384" i="3"/>
  <c r="AL384" i="3"/>
  <c r="AM384" i="3"/>
  <c r="AN384" i="3"/>
  <c r="A385" i="3"/>
  <c r="B385" i="3"/>
  <c r="C385" i="3"/>
  <c r="D385" i="3"/>
  <c r="E385" i="3"/>
  <c r="F385" i="3"/>
  <c r="G385" i="3"/>
  <c r="H385" i="3"/>
  <c r="I385" i="3"/>
  <c r="J385" i="3"/>
  <c r="K385" i="3"/>
  <c r="L385" i="3"/>
  <c r="M385" i="3"/>
  <c r="N385" i="3"/>
  <c r="O385" i="3"/>
  <c r="P385" i="3"/>
  <c r="Q385" i="3"/>
  <c r="R385" i="3"/>
  <c r="S385" i="3"/>
  <c r="T385" i="3"/>
  <c r="U385" i="3"/>
  <c r="V385" i="3"/>
  <c r="W385" i="3"/>
  <c r="X385" i="3"/>
  <c r="Y385" i="3"/>
  <c r="Z385" i="3"/>
  <c r="AA385" i="3"/>
  <c r="AB385" i="3"/>
  <c r="AC385" i="3"/>
  <c r="AD385" i="3"/>
  <c r="AE385" i="3"/>
  <c r="AF385" i="3"/>
  <c r="AG385" i="3"/>
  <c r="AH385" i="3"/>
  <c r="AI385" i="3"/>
  <c r="AJ385" i="3"/>
  <c r="AK385" i="3"/>
  <c r="AL385" i="3"/>
  <c r="AM385" i="3"/>
  <c r="AN385" i="3"/>
  <c r="A386" i="3"/>
  <c r="B386" i="3"/>
  <c r="C386" i="3"/>
  <c r="D386" i="3"/>
  <c r="E386" i="3"/>
  <c r="F386" i="3"/>
  <c r="G386" i="3"/>
  <c r="H386" i="3"/>
  <c r="I386" i="3"/>
  <c r="J386" i="3"/>
  <c r="K386" i="3"/>
  <c r="L386" i="3"/>
  <c r="M386" i="3"/>
  <c r="N386" i="3"/>
  <c r="O386" i="3"/>
  <c r="P386" i="3"/>
  <c r="Q386" i="3"/>
  <c r="R386" i="3"/>
  <c r="S386" i="3"/>
  <c r="T386" i="3"/>
  <c r="U386" i="3"/>
  <c r="V386" i="3"/>
  <c r="W386" i="3"/>
  <c r="X386" i="3"/>
  <c r="Y386" i="3"/>
  <c r="Z386" i="3"/>
  <c r="AA386" i="3"/>
  <c r="AB386" i="3"/>
  <c r="AC386" i="3"/>
  <c r="AD386" i="3"/>
  <c r="AE386" i="3"/>
  <c r="AF386" i="3"/>
  <c r="AG386" i="3"/>
  <c r="AH386" i="3"/>
  <c r="AI386" i="3"/>
  <c r="AJ386" i="3"/>
  <c r="AK386" i="3"/>
  <c r="AL386" i="3"/>
  <c r="AM386" i="3"/>
  <c r="AN386" i="3"/>
  <c r="A387" i="3"/>
  <c r="B387" i="3"/>
  <c r="C387" i="3"/>
  <c r="D387" i="3"/>
  <c r="E387" i="3"/>
  <c r="F387" i="3"/>
  <c r="G387" i="3"/>
  <c r="H387" i="3"/>
  <c r="I387" i="3"/>
  <c r="J387" i="3"/>
  <c r="K387" i="3"/>
  <c r="L387" i="3"/>
  <c r="M387" i="3"/>
  <c r="N387" i="3"/>
  <c r="O387" i="3"/>
  <c r="P387" i="3"/>
  <c r="Q387" i="3"/>
  <c r="R387" i="3"/>
  <c r="S387" i="3"/>
  <c r="T387" i="3"/>
  <c r="U387" i="3"/>
  <c r="V387" i="3"/>
  <c r="W387" i="3"/>
  <c r="X387" i="3"/>
  <c r="Y387" i="3"/>
  <c r="Z387" i="3"/>
  <c r="AA387" i="3"/>
  <c r="AB387" i="3"/>
  <c r="AC387" i="3"/>
  <c r="AD387" i="3"/>
  <c r="AE387" i="3"/>
  <c r="AF387" i="3"/>
  <c r="AG387" i="3"/>
  <c r="AH387" i="3"/>
  <c r="AI387" i="3"/>
  <c r="AJ387" i="3"/>
  <c r="AK387" i="3"/>
  <c r="AL387" i="3"/>
  <c r="AM387" i="3"/>
  <c r="AN387" i="3"/>
  <c r="A388" i="3"/>
  <c r="B388" i="3"/>
  <c r="C388" i="3"/>
  <c r="D388" i="3"/>
  <c r="E388" i="3"/>
  <c r="F388" i="3"/>
  <c r="G388" i="3"/>
  <c r="H388" i="3"/>
  <c r="I388" i="3"/>
  <c r="J388" i="3"/>
  <c r="K388" i="3"/>
  <c r="L388" i="3"/>
  <c r="M388" i="3"/>
  <c r="N388" i="3"/>
  <c r="O388" i="3"/>
  <c r="P388" i="3"/>
  <c r="Q388" i="3"/>
  <c r="R388" i="3"/>
  <c r="S388" i="3"/>
  <c r="T388" i="3"/>
  <c r="U388" i="3"/>
  <c r="V388" i="3"/>
  <c r="W388" i="3"/>
  <c r="X388" i="3"/>
  <c r="Y388" i="3"/>
  <c r="Z388" i="3"/>
  <c r="AA388" i="3"/>
  <c r="AB388" i="3"/>
  <c r="AC388" i="3"/>
  <c r="AD388" i="3"/>
  <c r="AE388" i="3"/>
  <c r="AF388" i="3"/>
  <c r="AG388" i="3"/>
  <c r="AH388" i="3"/>
  <c r="AI388" i="3"/>
  <c r="AJ388" i="3"/>
  <c r="AK388" i="3"/>
  <c r="AL388" i="3"/>
  <c r="AM388" i="3"/>
  <c r="AN388" i="3"/>
  <c r="A389" i="3"/>
  <c r="B389" i="3"/>
  <c r="C389" i="3"/>
  <c r="D389" i="3"/>
  <c r="E389" i="3"/>
  <c r="F389" i="3"/>
  <c r="G389" i="3"/>
  <c r="H389" i="3"/>
  <c r="I389" i="3"/>
  <c r="J389" i="3"/>
  <c r="K389" i="3"/>
  <c r="L389" i="3"/>
  <c r="M389" i="3"/>
  <c r="N389" i="3"/>
  <c r="O389" i="3"/>
  <c r="P389" i="3"/>
  <c r="Q389" i="3"/>
  <c r="R389" i="3"/>
  <c r="S389" i="3"/>
  <c r="T389" i="3"/>
  <c r="U389" i="3"/>
  <c r="V389" i="3"/>
  <c r="W389" i="3"/>
  <c r="X389" i="3"/>
  <c r="Y389" i="3"/>
  <c r="Z389" i="3"/>
  <c r="AA389" i="3"/>
  <c r="AB389" i="3"/>
  <c r="AC389" i="3"/>
  <c r="AD389" i="3"/>
  <c r="AE389" i="3"/>
  <c r="AF389" i="3"/>
  <c r="AG389" i="3"/>
  <c r="AH389" i="3"/>
  <c r="AI389" i="3"/>
  <c r="AJ389" i="3"/>
  <c r="AK389" i="3"/>
  <c r="AL389" i="3"/>
  <c r="AM389" i="3"/>
  <c r="AN389" i="3"/>
  <c r="A390" i="3"/>
  <c r="B390" i="3"/>
  <c r="C390" i="3"/>
  <c r="D390" i="3"/>
  <c r="E390" i="3"/>
  <c r="F390" i="3"/>
  <c r="G390" i="3"/>
  <c r="H390" i="3"/>
  <c r="I390" i="3"/>
  <c r="J390" i="3"/>
  <c r="K390" i="3"/>
  <c r="L390" i="3"/>
  <c r="M390" i="3"/>
  <c r="N390" i="3"/>
  <c r="O390" i="3"/>
  <c r="P390" i="3"/>
  <c r="Q390" i="3"/>
  <c r="R390" i="3"/>
  <c r="S390" i="3"/>
  <c r="T390" i="3"/>
  <c r="U390" i="3"/>
  <c r="V390" i="3"/>
  <c r="W390" i="3"/>
  <c r="X390" i="3"/>
  <c r="Y390" i="3"/>
  <c r="Z390" i="3"/>
  <c r="AA390" i="3"/>
  <c r="AB390" i="3"/>
  <c r="AC390" i="3"/>
  <c r="AD390" i="3"/>
  <c r="AE390" i="3"/>
  <c r="AF390" i="3"/>
  <c r="AG390" i="3"/>
  <c r="AH390" i="3"/>
  <c r="AI390" i="3"/>
  <c r="AJ390" i="3"/>
  <c r="AK390" i="3"/>
  <c r="AL390" i="3"/>
  <c r="AM390" i="3"/>
  <c r="AN390" i="3"/>
  <c r="A391" i="3"/>
  <c r="B391" i="3"/>
  <c r="C391" i="3"/>
  <c r="D391" i="3"/>
  <c r="E391" i="3"/>
  <c r="F391" i="3"/>
  <c r="G391" i="3"/>
  <c r="H391" i="3"/>
  <c r="I391" i="3"/>
  <c r="J391" i="3"/>
  <c r="K391" i="3"/>
  <c r="L391" i="3"/>
  <c r="M391" i="3"/>
  <c r="N391" i="3"/>
  <c r="O391" i="3"/>
  <c r="P391" i="3"/>
  <c r="Q391" i="3"/>
  <c r="R391" i="3"/>
  <c r="S391" i="3"/>
  <c r="T391" i="3"/>
  <c r="U391" i="3"/>
  <c r="V391" i="3"/>
  <c r="W391" i="3"/>
  <c r="X391" i="3"/>
  <c r="Y391" i="3"/>
  <c r="Z391" i="3"/>
  <c r="AA391" i="3"/>
  <c r="AB391" i="3"/>
  <c r="AC391" i="3"/>
  <c r="AD391" i="3"/>
  <c r="AE391" i="3"/>
  <c r="AF391" i="3"/>
  <c r="AG391" i="3"/>
  <c r="AH391" i="3"/>
  <c r="AI391" i="3"/>
  <c r="AJ391" i="3"/>
  <c r="AK391" i="3"/>
  <c r="AL391" i="3"/>
  <c r="AM391" i="3"/>
  <c r="AN391" i="3"/>
  <c r="A392" i="3"/>
  <c r="B392" i="3"/>
  <c r="C392" i="3"/>
  <c r="D392" i="3"/>
  <c r="E392" i="3"/>
  <c r="F392" i="3"/>
  <c r="G392" i="3"/>
  <c r="H392" i="3"/>
  <c r="I392" i="3"/>
  <c r="J392" i="3"/>
  <c r="K392" i="3"/>
  <c r="L392" i="3"/>
  <c r="M392" i="3"/>
  <c r="N392" i="3"/>
  <c r="O392" i="3"/>
  <c r="P392" i="3"/>
  <c r="Q392" i="3"/>
  <c r="R392" i="3"/>
  <c r="S392" i="3"/>
  <c r="T392" i="3"/>
  <c r="U392" i="3"/>
  <c r="V392" i="3"/>
  <c r="W392" i="3"/>
  <c r="X392" i="3"/>
  <c r="Y392" i="3"/>
  <c r="Z392" i="3"/>
  <c r="AA392" i="3"/>
  <c r="AB392" i="3"/>
  <c r="AC392" i="3"/>
  <c r="AD392" i="3"/>
  <c r="AE392" i="3"/>
  <c r="AF392" i="3"/>
  <c r="AG392" i="3"/>
  <c r="AH392" i="3"/>
  <c r="AI392" i="3"/>
  <c r="AJ392" i="3"/>
  <c r="AK392" i="3"/>
  <c r="AL392" i="3"/>
  <c r="AM392" i="3"/>
  <c r="AN392" i="3"/>
  <c r="A393" i="3"/>
  <c r="B393" i="3"/>
  <c r="C393" i="3"/>
  <c r="D393" i="3"/>
  <c r="E393" i="3"/>
  <c r="F393" i="3"/>
  <c r="G393" i="3"/>
  <c r="H393" i="3"/>
  <c r="I393" i="3"/>
  <c r="J393" i="3"/>
  <c r="K393" i="3"/>
  <c r="L393" i="3"/>
  <c r="M393" i="3"/>
  <c r="N393" i="3"/>
  <c r="O393" i="3"/>
  <c r="P393" i="3"/>
  <c r="Q393" i="3"/>
  <c r="R393" i="3"/>
  <c r="S393" i="3"/>
  <c r="T393" i="3"/>
  <c r="U393" i="3"/>
  <c r="V393" i="3"/>
  <c r="W393" i="3"/>
  <c r="X393" i="3"/>
  <c r="Y393" i="3"/>
  <c r="Z393" i="3"/>
  <c r="AA393" i="3"/>
  <c r="AB393" i="3"/>
  <c r="AC393" i="3"/>
  <c r="AD393" i="3"/>
  <c r="AE393" i="3"/>
  <c r="AF393" i="3"/>
  <c r="AG393" i="3"/>
  <c r="AH393" i="3"/>
  <c r="AI393" i="3"/>
  <c r="AJ393" i="3"/>
  <c r="AK393" i="3"/>
  <c r="AL393" i="3"/>
  <c r="AM393" i="3"/>
  <c r="AN393" i="3"/>
  <c r="A394" i="3"/>
  <c r="B394" i="3"/>
  <c r="C394" i="3"/>
  <c r="D394" i="3"/>
  <c r="E394" i="3"/>
  <c r="F394" i="3"/>
  <c r="G394" i="3"/>
  <c r="H394" i="3"/>
  <c r="I394" i="3"/>
  <c r="J394" i="3"/>
  <c r="K394" i="3"/>
  <c r="L394" i="3"/>
  <c r="M394" i="3"/>
  <c r="N394" i="3"/>
  <c r="O394" i="3"/>
  <c r="P394" i="3"/>
  <c r="Q394" i="3"/>
  <c r="R394" i="3"/>
  <c r="S394" i="3"/>
  <c r="T394" i="3"/>
  <c r="U394" i="3"/>
  <c r="V394" i="3"/>
  <c r="W394" i="3"/>
  <c r="X394" i="3"/>
  <c r="Y394" i="3"/>
  <c r="Z394" i="3"/>
  <c r="AA394" i="3"/>
  <c r="AB394" i="3"/>
  <c r="AC394" i="3"/>
  <c r="AD394" i="3"/>
  <c r="AE394" i="3"/>
  <c r="AF394" i="3"/>
  <c r="AG394" i="3"/>
  <c r="AH394" i="3"/>
  <c r="AI394" i="3"/>
  <c r="AJ394" i="3"/>
  <c r="AK394" i="3"/>
  <c r="AL394" i="3"/>
  <c r="AM394" i="3"/>
  <c r="AN394" i="3"/>
  <c r="A395" i="3"/>
  <c r="B395" i="3"/>
  <c r="C395" i="3"/>
  <c r="D395" i="3"/>
  <c r="E395" i="3"/>
  <c r="F395" i="3"/>
  <c r="G395" i="3"/>
  <c r="H395" i="3"/>
  <c r="I395" i="3"/>
  <c r="J395" i="3"/>
  <c r="K395" i="3"/>
  <c r="L395" i="3"/>
  <c r="M395" i="3"/>
  <c r="N395" i="3"/>
  <c r="O395" i="3"/>
  <c r="P395" i="3"/>
  <c r="Q395" i="3"/>
  <c r="R395" i="3"/>
  <c r="S395" i="3"/>
  <c r="T395" i="3"/>
  <c r="U395" i="3"/>
  <c r="V395" i="3"/>
  <c r="W395" i="3"/>
  <c r="X395" i="3"/>
  <c r="Y395" i="3"/>
  <c r="Z395" i="3"/>
  <c r="AA395" i="3"/>
  <c r="AB395" i="3"/>
  <c r="AC395" i="3"/>
  <c r="AD395" i="3"/>
  <c r="AE395" i="3"/>
  <c r="AF395" i="3"/>
  <c r="AG395" i="3"/>
  <c r="AH395" i="3"/>
  <c r="AI395" i="3"/>
  <c r="AJ395" i="3"/>
  <c r="AK395" i="3"/>
  <c r="AL395" i="3"/>
  <c r="AM395" i="3"/>
  <c r="AN395" i="3"/>
  <c r="A396" i="3"/>
  <c r="B396" i="3"/>
  <c r="C396" i="3"/>
  <c r="D396" i="3"/>
  <c r="E396" i="3"/>
  <c r="F396" i="3"/>
  <c r="G396" i="3"/>
  <c r="H396" i="3"/>
  <c r="I396" i="3"/>
  <c r="J396" i="3"/>
  <c r="K396" i="3"/>
  <c r="L396" i="3"/>
  <c r="M396" i="3"/>
  <c r="N396" i="3"/>
  <c r="O396" i="3"/>
  <c r="P396" i="3"/>
  <c r="Q396" i="3"/>
  <c r="R396" i="3"/>
  <c r="S396" i="3"/>
  <c r="T396" i="3"/>
  <c r="U396" i="3"/>
  <c r="V396" i="3"/>
  <c r="W396" i="3"/>
  <c r="X396" i="3"/>
  <c r="Y396" i="3"/>
  <c r="Z396" i="3"/>
  <c r="AA396" i="3"/>
  <c r="AB396" i="3"/>
  <c r="AC396" i="3"/>
  <c r="AD396" i="3"/>
  <c r="AE396" i="3"/>
  <c r="AF396" i="3"/>
  <c r="AG396" i="3"/>
  <c r="AH396" i="3"/>
  <c r="AI396" i="3"/>
  <c r="AJ396" i="3"/>
  <c r="AK396" i="3"/>
  <c r="AL396" i="3"/>
  <c r="AM396" i="3"/>
  <c r="AN396" i="3"/>
  <c r="A397" i="3"/>
  <c r="B397" i="3"/>
  <c r="C397" i="3"/>
  <c r="D397" i="3"/>
  <c r="E397" i="3"/>
  <c r="F397" i="3"/>
  <c r="G397" i="3"/>
  <c r="H397" i="3"/>
  <c r="I397" i="3"/>
  <c r="J397" i="3"/>
  <c r="K397" i="3"/>
  <c r="L397" i="3"/>
  <c r="M397" i="3"/>
  <c r="N397" i="3"/>
  <c r="O397" i="3"/>
  <c r="P397" i="3"/>
  <c r="Q397" i="3"/>
  <c r="R397" i="3"/>
  <c r="S397" i="3"/>
  <c r="T397" i="3"/>
  <c r="U397" i="3"/>
  <c r="V397" i="3"/>
  <c r="W397" i="3"/>
  <c r="X397" i="3"/>
  <c r="Y397" i="3"/>
  <c r="Z397" i="3"/>
  <c r="AA397" i="3"/>
  <c r="AB397" i="3"/>
  <c r="AC397" i="3"/>
  <c r="AD397" i="3"/>
  <c r="AE397" i="3"/>
  <c r="AF397" i="3"/>
  <c r="AG397" i="3"/>
  <c r="AH397" i="3"/>
  <c r="AI397" i="3"/>
  <c r="AJ397" i="3"/>
  <c r="AK397" i="3"/>
  <c r="AL397" i="3"/>
  <c r="AM397" i="3"/>
  <c r="AN397" i="3"/>
  <c r="A398" i="3"/>
  <c r="B398" i="3"/>
  <c r="C398" i="3"/>
  <c r="D398" i="3"/>
  <c r="E398" i="3"/>
  <c r="F398" i="3"/>
  <c r="G398" i="3"/>
  <c r="H398" i="3"/>
  <c r="I398" i="3"/>
  <c r="J398" i="3"/>
  <c r="K398" i="3"/>
  <c r="L398" i="3"/>
  <c r="M398" i="3"/>
  <c r="N398" i="3"/>
  <c r="O398" i="3"/>
  <c r="P398" i="3"/>
  <c r="Q398" i="3"/>
  <c r="R398" i="3"/>
  <c r="S398" i="3"/>
  <c r="T398" i="3"/>
  <c r="U398" i="3"/>
  <c r="V398" i="3"/>
  <c r="W398" i="3"/>
  <c r="X398" i="3"/>
  <c r="Y398" i="3"/>
  <c r="Z398" i="3"/>
  <c r="AA398" i="3"/>
  <c r="AB398" i="3"/>
  <c r="AC398" i="3"/>
  <c r="AD398" i="3"/>
  <c r="AE398" i="3"/>
  <c r="AF398" i="3"/>
  <c r="AG398" i="3"/>
  <c r="AH398" i="3"/>
  <c r="AI398" i="3"/>
  <c r="AJ398" i="3"/>
  <c r="AK398" i="3"/>
  <c r="AL398" i="3"/>
  <c r="AM398" i="3"/>
  <c r="AN398" i="3"/>
  <c r="A399" i="3"/>
  <c r="B399" i="3"/>
  <c r="C399" i="3"/>
  <c r="D399" i="3"/>
  <c r="E399" i="3"/>
  <c r="F399" i="3"/>
  <c r="G399" i="3"/>
  <c r="H399" i="3"/>
  <c r="I399" i="3"/>
  <c r="J399" i="3"/>
  <c r="K399" i="3"/>
  <c r="L399" i="3"/>
  <c r="M399" i="3"/>
  <c r="N399" i="3"/>
  <c r="O399" i="3"/>
  <c r="P399" i="3"/>
  <c r="Q399" i="3"/>
  <c r="R399" i="3"/>
  <c r="S399" i="3"/>
  <c r="T399" i="3"/>
  <c r="U399" i="3"/>
  <c r="V399" i="3"/>
  <c r="W399" i="3"/>
  <c r="X399" i="3"/>
  <c r="Y399" i="3"/>
  <c r="Z399" i="3"/>
  <c r="AA399" i="3"/>
  <c r="AB399" i="3"/>
  <c r="AC399" i="3"/>
  <c r="AD399" i="3"/>
  <c r="AE399" i="3"/>
  <c r="AF399" i="3"/>
  <c r="AG399" i="3"/>
  <c r="AH399" i="3"/>
  <c r="AI399" i="3"/>
  <c r="AJ399" i="3"/>
  <c r="AK399" i="3"/>
  <c r="AL399" i="3"/>
  <c r="AM399" i="3"/>
  <c r="AN399" i="3"/>
  <c r="A400" i="3"/>
  <c r="B400" i="3"/>
  <c r="C400" i="3"/>
  <c r="D400" i="3"/>
  <c r="E400" i="3"/>
  <c r="F400" i="3"/>
  <c r="G400" i="3"/>
  <c r="H400" i="3"/>
  <c r="I400" i="3"/>
  <c r="J400" i="3"/>
  <c r="K400" i="3"/>
  <c r="L400" i="3"/>
  <c r="M400" i="3"/>
  <c r="N400" i="3"/>
  <c r="O400" i="3"/>
  <c r="P400" i="3"/>
  <c r="Q400" i="3"/>
  <c r="R400" i="3"/>
  <c r="S400" i="3"/>
  <c r="T400" i="3"/>
  <c r="U400" i="3"/>
  <c r="V400" i="3"/>
  <c r="W400" i="3"/>
  <c r="X400" i="3"/>
  <c r="Y400" i="3"/>
  <c r="Z400" i="3"/>
  <c r="AA400" i="3"/>
  <c r="AB400" i="3"/>
  <c r="AC400" i="3"/>
  <c r="AD400" i="3"/>
  <c r="AE400" i="3"/>
  <c r="AF400" i="3"/>
  <c r="AG400" i="3"/>
  <c r="AH400" i="3"/>
  <c r="AI400" i="3"/>
  <c r="AJ400" i="3"/>
  <c r="AK400" i="3"/>
  <c r="AL400" i="3"/>
  <c r="AM400" i="3"/>
  <c r="AN400" i="3"/>
  <c r="A401" i="3"/>
  <c r="B401" i="3"/>
  <c r="C401" i="3"/>
  <c r="D401" i="3"/>
  <c r="E401" i="3"/>
  <c r="F401" i="3"/>
  <c r="G401" i="3"/>
  <c r="H401" i="3"/>
  <c r="I401" i="3"/>
  <c r="J401" i="3"/>
  <c r="K401" i="3"/>
  <c r="L401" i="3"/>
  <c r="M401" i="3"/>
  <c r="N401" i="3"/>
  <c r="O401" i="3"/>
  <c r="P401" i="3"/>
  <c r="Q401" i="3"/>
  <c r="R401" i="3"/>
  <c r="S401" i="3"/>
  <c r="T401" i="3"/>
  <c r="U401" i="3"/>
  <c r="V401" i="3"/>
  <c r="W401" i="3"/>
  <c r="X401" i="3"/>
  <c r="Y401" i="3"/>
  <c r="Z401" i="3"/>
  <c r="AA401" i="3"/>
  <c r="AB401" i="3"/>
  <c r="AC401" i="3"/>
  <c r="AD401" i="3"/>
  <c r="AE401" i="3"/>
  <c r="AF401" i="3"/>
  <c r="AG401" i="3"/>
  <c r="AH401" i="3"/>
  <c r="AI401" i="3"/>
  <c r="AJ401" i="3"/>
  <c r="AK401" i="3"/>
  <c r="AL401" i="3"/>
  <c r="AM401" i="3"/>
  <c r="AN401" i="3"/>
  <c r="A402" i="3"/>
  <c r="B402" i="3"/>
  <c r="C402" i="3"/>
  <c r="D402" i="3"/>
  <c r="E402" i="3"/>
  <c r="F402" i="3"/>
  <c r="G402" i="3"/>
  <c r="H402" i="3"/>
  <c r="I402" i="3"/>
  <c r="J402" i="3"/>
  <c r="K402" i="3"/>
  <c r="L402" i="3"/>
  <c r="M402" i="3"/>
  <c r="N402" i="3"/>
  <c r="O402" i="3"/>
  <c r="P402" i="3"/>
  <c r="Q402" i="3"/>
  <c r="R402" i="3"/>
  <c r="S402" i="3"/>
  <c r="T402" i="3"/>
  <c r="U402" i="3"/>
  <c r="V402" i="3"/>
  <c r="W402" i="3"/>
  <c r="X402" i="3"/>
  <c r="Y402" i="3"/>
  <c r="Z402" i="3"/>
  <c r="AA402" i="3"/>
  <c r="AB402" i="3"/>
  <c r="AC402" i="3"/>
  <c r="AD402" i="3"/>
  <c r="AE402" i="3"/>
  <c r="AF402" i="3"/>
  <c r="AG402" i="3"/>
  <c r="AH402" i="3"/>
  <c r="AI402" i="3"/>
  <c r="AJ402" i="3"/>
  <c r="AK402" i="3"/>
  <c r="AL402" i="3"/>
  <c r="AM402" i="3"/>
  <c r="AN402" i="3"/>
  <c r="A403" i="3"/>
  <c r="B403" i="3"/>
  <c r="C403" i="3"/>
  <c r="D403" i="3"/>
  <c r="E403" i="3"/>
  <c r="F403" i="3"/>
  <c r="G403" i="3"/>
  <c r="H403" i="3"/>
  <c r="I403" i="3"/>
  <c r="J403" i="3"/>
  <c r="K403" i="3"/>
  <c r="L403" i="3"/>
  <c r="M403" i="3"/>
  <c r="N403" i="3"/>
  <c r="O403" i="3"/>
  <c r="P403" i="3"/>
  <c r="Q403" i="3"/>
  <c r="R403" i="3"/>
  <c r="S403" i="3"/>
  <c r="T403" i="3"/>
  <c r="U403" i="3"/>
  <c r="V403" i="3"/>
  <c r="W403" i="3"/>
  <c r="X403" i="3"/>
  <c r="Y403" i="3"/>
  <c r="Z403" i="3"/>
  <c r="AA403" i="3"/>
  <c r="AB403" i="3"/>
  <c r="AC403" i="3"/>
  <c r="AD403" i="3"/>
  <c r="AE403" i="3"/>
  <c r="AF403" i="3"/>
  <c r="AG403" i="3"/>
  <c r="AH403" i="3"/>
  <c r="AI403" i="3"/>
  <c r="AJ403" i="3"/>
  <c r="AK403" i="3"/>
  <c r="AL403" i="3"/>
  <c r="AM403" i="3"/>
  <c r="AN403" i="3"/>
  <c r="A404" i="3"/>
  <c r="B404" i="3"/>
  <c r="C404" i="3"/>
  <c r="D404" i="3"/>
  <c r="E404" i="3"/>
  <c r="F404" i="3"/>
  <c r="G404" i="3"/>
  <c r="H404" i="3"/>
  <c r="I404" i="3"/>
  <c r="J404" i="3"/>
  <c r="K404" i="3"/>
  <c r="L404" i="3"/>
  <c r="M404" i="3"/>
  <c r="N404" i="3"/>
  <c r="O404" i="3"/>
  <c r="P404" i="3"/>
  <c r="Q404" i="3"/>
  <c r="R404" i="3"/>
  <c r="S404" i="3"/>
  <c r="T404" i="3"/>
  <c r="U404" i="3"/>
  <c r="V404" i="3"/>
  <c r="W404" i="3"/>
  <c r="X404" i="3"/>
  <c r="Y404" i="3"/>
  <c r="Z404" i="3"/>
  <c r="AA404" i="3"/>
  <c r="AB404" i="3"/>
  <c r="AC404" i="3"/>
  <c r="AD404" i="3"/>
  <c r="AE404" i="3"/>
  <c r="AF404" i="3"/>
  <c r="AG404" i="3"/>
  <c r="AH404" i="3"/>
  <c r="AI404" i="3"/>
  <c r="AJ404" i="3"/>
  <c r="AK404" i="3"/>
  <c r="AL404" i="3"/>
  <c r="AM404" i="3"/>
  <c r="AN404" i="3"/>
  <c r="A405" i="3"/>
  <c r="B405" i="3"/>
  <c r="C405" i="3"/>
  <c r="D405" i="3"/>
  <c r="E405" i="3"/>
  <c r="F405" i="3"/>
  <c r="G405" i="3"/>
  <c r="H405" i="3"/>
  <c r="I405" i="3"/>
  <c r="J405" i="3"/>
  <c r="K405" i="3"/>
  <c r="L405" i="3"/>
  <c r="M405" i="3"/>
  <c r="N405" i="3"/>
  <c r="O405" i="3"/>
  <c r="P405" i="3"/>
  <c r="Q405" i="3"/>
  <c r="R405" i="3"/>
  <c r="S405" i="3"/>
  <c r="T405" i="3"/>
  <c r="U405" i="3"/>
  <c r="V405" i="3"/>
  <c r="W405" i="3"/>
  <c r="X405" i="3"/>
  <c r="Y405" i="3"/>
  <c r="Z405" i="3"/>
  <c r="AA405" i="3"/>
  <c r="AB405" i="3"/>
  <c r="AC405" i="3"/>
  <c r="AD405" i="3"/>
  <c r="AE405" i="3"/>
  <c r="AF405" i="3"/>
  <c r="AG405" i="3"/>
  <c r="AH405" i="3"/>
  <c r="AI405" i="3"/>
  <c r="AJ405" i="3"/>
  <c r="AK405" i="3"/>
  <c r="AL405" i="3"/>
  <c r="AM405" i="3"/>
  <c r="AN405" i="3"/>
  <c r="A406" i="3"/>
  <c r="B406" i="3"/>
  <c r="C406" i="3"/>
  <c r="D406" i="3"/>
  <c r="E406" i="3"/>
  <c r="F406" i="3"/>
  <c r="G406" i="3"/>
  <c r="H406" i="3"/>
  <c r="I406" i="3"/>
  <c r="J406" i="3"/>
  <c r="K406" i="3"/>
  <c r="L406" i="3"/>
  <c r="M406" i="3"/>
  <c r="N406" i="3"/>
  <c r="O406" i="3"/>
  <c r="P406" i="3"/>
  <c r="Q406" i="3"/>
  <c r="R406" i="3"/>
  <c r="S406" i="3"/>
  <c r="T406" i="3"/>
  <c r="U406" i="3"/>
  <c r="V406" i="3"/>
  <c r="W406" i="3"/>
  <c r="X406" i="3"/>
  <c r="Y406" i="3"/>
  <c r="Z406" i="3"/>
  <c r="AA406" i="3"/>
  <c r="AB406" i="3"/>
  <c r="AC406" i="3"/>
  <c r="AD406" i="3"/>
  <c r="AE406" i="3"/>
  <c r="AF406" i="3"/>
  <c r="AG406" i="3"/>
  <c r="AH406" i="3"/>
  <c r="AI406" i="3"/>
  <c r="AJ406" i="3"/>
  <c r="AK406" i="3"/>
  <c r="AL406" i="3"/>
  <c r="AM406" i="3"/>
  <c r="AN406" i="3"/>
  <c r="A407" i="3"/>
  <c r="B407" i="3"/>
  <c r="C407" i="3"/>
  <c r="D407" i="3"/>
  <c r="E407" i="3"/>
  <c r="F407" i="3"/>
  <c r="G407" i="3"/>
  <c r="H407" i="3"/>
  <c r="I407" i="3"/>
  <c r="J407" i="3"/>
  <c r="K407" i="3"/>
  <c r="L407" i="3"/>
  <c r="M407" i="3"/>
  <c r="N407" i="3"/>
  <c r="O407" i="3"/>
  <c r="P407" i="3"/>
  <c r="Q407" i="3"/>
  <c r="R407" i="3"/>
  <c r="S407" i="3"/>
  <c r="T407" i="3"/>
  <c r="U407" i="3"/>
  <c r="V407" i="3"/>
  <c r="W407" i="3"/>
  <c r="X407" i="3"/>
  <c r="Y407" i="3"/>
  <c r="Z407" i="3"/>
  <c r="AA407" i="3"/>
  <c r="AB407" i="3"/>
  <c r="AC407" i="3"/>
  <c r="AD407" i="3"/>
  <c r="AE407" i="3"/>
  <c r="AF407" i="3"/>
  <c r="AG407" i="3"/>
  <c r="AH407" i="3"/>
  <c r="AI407" i="3"/>
  <c r="AJ407" i="3"/>
  <c r="AK407" i="3"/>
  <c r="AL407" i="3"/>
  <c r="AM407" i="3"/>
  <c r="AN407" i="3"/>
  <c r="A408" i="3"/>
  <c r="B408" i="3"/>
  <c r="C408" i="3"/>
  <c r="D408" i="3"/>
  <c r="E408" i="3"/>
  <c r="F408" i="3"/>
  <c r="G408" i="3"/>
  <c r="H408" i="3"/>
  <c r="I408" i="3"/>
  <c r="J408" i="3"/>
  <c r="K408" i="3"/>
  <c r="L408" i="3"/>
  <c r="M408" i="3"/>
  <c r="N408" i="3"/>
  <c r="O408" i="3"/>
  <c r="P408" i="3"/>
  <c r="Q408" i="3"/>
  <c r="R408" i="3"/>
  <c r="S408" i="3"/>
  <c r="T408" i="3"/>
  <c r="U408" i="3"/>
  <c r="V408" i="3"/>
  <c r="W408" i="3"/>
  <c r="X408" i="3"/>
  <c r="Y408" i="3"/>
  <c r="Z408" i="3"/>
  <c r="AA408" i="3"/>
  <c r="AB408" i="3"/>
  <c r="AC408" i="3"/>
  <c r="AD408" i="3"/>
  <c r="AE408" i="3"/>
  <c r="AF408" i="3"/>
  <c r="AG408" i="3"/>
  <c r="AH408" i="3"/>
  <c r="AI408" i="3"/>
  <c r="AJ408" i="3"/>
  <c r="AK408" i="3"/>
  <c r="AL408" i="3"/>
  <c r="AM408" i="3"/>
  <c r="AN408" i="3"/>
  <c r="A409" i="3"/>
  <c r="B409" i="3"/>
  <c r="C409" i="3"/>
  <c r="D409" i="3"/>
  <c r="E409" i="3"/>
  <c r="F409" i="3"/>
  <c r="G409" i="3"/>
  <c r="H409" i="3"/>
  <c r="I409" i="3"/>
  <c r="J409" i="3"/>
  <c r="K409" i="3"/>
  <c r="L409" i="3"/>
  <c r="M409" i="3"/>
  <c r="N409" i="3"/>
  <c r="O409" i="3"/>
  <c r="P409" i="3"/>
  <c r="Q409" i="3"/>
  <c r="R409" i="3"/>
  <c r="S409" i="3"/>
  <c r="T409" i="3"/>
  <c r="U409" i="3"/>
  <c r="V409" i="3"/>
  <c r="W409" i="3"/>
  <c r="X409" i="3"/>
  <c r="Y409" i="3"/>
  <c r="Z409" i="3"/>
  <c r="AA409" i="3"/>
  <c r="AB409" i="3"/>
  <c r="AC409" i="3"/>
  <c r="AD409" i="3"/>
  <c r="AE409" i="3"/>
  <c r="AF409" i="3"/>
  <c r="AG409" i="3"/>
  <c r="AH409" i="3"/>
  <c r="AI409" i="3"/>
  <c r="AJ409" i="3"/>
  <c r="AK409" i="3"/>
  <c r="AL409" i="3"/>
  <c r="AM409" i="3"/>
  <c r="AN409" i="3"/>
  <c r="A410" i="3"/>
  <c r="B410" i="3"/>
  <c r="C410" i="3"/>
  <c r="D410" i="3"/>
  <c r="E410" i="3"/>
  <c r="F410" i="3"/>
  <c r="G410" i="3"/>
  <c r="H410" i="3"/>
  <c r="I410" i="3"/>
  <c r="J410" i="3"/>
  <c r="K410" i="3"/>
  <c r="L410" i="3"/>
  <c r="M410" i="3"/>
  <c r="N410" i="3"/>
  <c r="O410" i="3"/>
  <c r="P410" i="3"/>
  <c r="Q410" i="3"/>
  <c r="R410" i="3"/>
  <c r="S410" i="3"/>
  <c r="T410" i="3"/>
  <c r="U410" i="3"/>
  <c r="V410" i="3"/>
  <c r="W410" i="3"/>
  <c r="X410" i="3"/>
  <c r="Y410" i="3"/>
  <c r="Z410" i="3"/>
  <c r="AA410" i="3"/>
  <c r="AB410" i="3"/>
  <c r="AC410" i="3"/>
  <c r="AD410" i="3"/>
  <c r="AE410" i="3"/>
  <c r="AF410" i="3"/>
  <c r="AG410" i="3"/>
  <c r="AH410" i="3"/>
  <c r="AI410" i="3"/>
  <c r="AJ410" i="3"/>
  <c r="AK410" i="3"/>
  <c r="AL410" i="3"/>
  <c r="AM410" i="3"/>
  <c r="AN410" i="3"/>
  <c r="A411" i="3"/>
  <c r="B411" i="3"/>
  <c r="C411" i="3"/>
  <c r="D411" i="3"/>
  <c r="E411" i="3"/>
  <c r="F411" i="3"/>
  <c r="G411" i="3"/>
  <c r="H411" i="3"/>
  <c r="I411" i="3"/>
  <c r="J411" i="3"/>
  <c r="K411" i="3"/>
  <c r="L411" i="3"/>
  <c r="M411" i="3"/>
  <c r="N411" i="3"/>
  <c r="O411" i="3"/>
  <c r="P411" i="3"/>
  <c r="Q411" i="3"/>
  <c r="R411" i="3"/>
  <c r="S411" i="3"/>
  <c r="T411" i="3"/>
  <c r="U411" i="3"/>
  <c r="V411" i="3"/>
  <c r="W411" i="3"/>
  <c r="X411" i="3"/>
  <c r="Y411" i="3"/>
  <c r="Z411" i="3"/>
  <c r="AA411" i="3"/>
  <c r="AB411" i="3"/>
  <c r="AC411" i="3"/>
  <c r="AD411" i="3"/>
  <c r="AE411" i="3"/>
  <c r="AF411" i="3"/>
  <c r="AG411" i="3"/>
  <c r="AH411" i="3"/>
  <c r="AI411" i="3"/>
  <c r="AJ411" i="3"/>
  <c r="AK411" i="3"/>
  <c r="AL411" i="3"/>
  <c r="AM411" i="3"/>
  <c r="AN411" i="3"/>
  <c r="A412" i="3"/>
  <c r="B412" i="3"/>
  <c r="C412" i="3"/>
  <c r="D412" i="3"/>
  <c r="E412" i="3"/>
  <c r="F412" i="3"/>
  <c r="G412" i="3"/>
  <c r="H412" i="3"/>
  <c r="I412" i="3"/>
  <c r="J412" i="3"/>
  <c r="K412" i="3"/>
  <c r="L412" i="3"/>
  <c r="M412" i="3"/>
  <c r="N412" i="3"/>
  <c r="O412" i="3"/>
  <c r="P412" i="3"/>
  <c r="Q412" i="3"/>
  <c r="R412" i="3"/>
  <c r="S412" i="3"/>
  <c r="T412" i="3"/>
  <c r="U412" i="3"/>
  <c r="V412" i="3"/>
  <c r="W412" i="3"/>
  <c r="X412" i="3"/>
  <c r="Y412" i="3"/>
  <c r="Z412" i="3"/>
  <c r="AA412" i="3"/>
  <c r="AB412" i="3"/>
  <c r="AC412" i="3"/>
  <c r="AD412" i="3"/>
  <c r="AE412" i="3"/>
  <c r="AF412" i="3"/>
  <c r="AG412" i="3"/>
  <c r="AH412" i="3"/>
  <c r="AI412" i="3"/>
  <c r="AJ412" i="3"/>
  <c r="AK412" i="3"/>
  <c r="AL412" i="3"/>
  <c r="AM412" i="3"/>
  <c r="AN412" i="3"/>
  <c r="A413" i="3"/>
  <c r="B413" i="3"/>
  <c r="C413" i="3"/>
  <c r="D413" i="3"/>
  <c r="E413" i="3"/>
  <c r="F413" i="3"/>
  <c r="G413" i="3"/>
  <c r="H413" i="3"/>
  <c r="I413" i="3"/>
  <c r="J413" i="3"/>
  <c r="K413" i="3"/>
  <c r="L413" i="3"/>
  <c r="M413" i="3"/>
  <c r="N413" i="3"/>
  <c r="O413" i="3"/>
  <c r="P413" i="3"/>
  <c r="Q413" i="3"/>
  <c r="R413" i="3"/>
  <c r="S413" i="3"/>
  <c r="T413" i="3"/>
  <c r="U413" i="3"/>
  <c r="V413" i="3"/>
  <c r="W413" i="3"/>
  <c r="X413" i="3"/>
  <c r="Y413" i="3"/>
  <c r="Z413" i="3"/>
  <c r="AA413" i="3"/>
  <c r="AB413" i="3"/>
  <c r="AC413" i="3"/>
  <c r="AD413" i="3"/>
  <c r="AE413" i="3"/>
  <c r="AF413" i="3"/>
  <c r="AG413" i="3"/>
  <c r="AH413" i="3"/>
  <c r="AI413" i="3"/>
  <c r="AJ413" i="3"/>
  <c r="AK413" i="3"/>
  <c r="AL413" i="3"/>
  <c r="AM413" i="3"/>
  <c r="AN413" i="3"/>
  <c r="A414" i="3"/>
  <c r="B414" i="3"/>
  <c r="C414" i="3"/>
  <c r="D414" i="3"/>
  <c r="E414" i="3"/>
  <c r="F414" i="3"/>
  <c r="G414" i="3"/>
  <c r="H414" i="3"/>
  <c r="I414" i="3"/>
  <c r="J414" i="3"/>
  <c r="K414" i="3"/>
  <c r="L414" i="3"/>
  <c r="M414" i="3"/>
  <c r="N414" i="3"/>
  <c r="O414" i="3"/>
  <c r="P414" i="3"/>
  <c r="Q414" i="3"/>
  <c r="R414" i="3"/>
  <c r="S414" i="3"/>
  <c r="T414" i="3"/>
  <c r="U414" i="3"/>
  <c r="V414" i="3"/>
  <c r="W414" i="3"/>
  <c r="X414" i="3"/>
  <c r="Y414" i="3"/>
  <c r="Z414" i="3"/>
  <c r="AA414" i="3"/>
  <c r="AB414" i="3"/>
  <c r="AC414" i="3"/>
  <c r="AD414" i="3"/>
  <c r="AE414" i="3"/>
  <c r="AF414" i="3"/>
  <c r="AG414" i="3"/>
  <c r="AH414" i="3"/>
  <c r="AI414" i="3"/>
  <c r="AJ414" i="3"/>
  <c r="AK414" i="3"/>
  <c r="AL414" i="3"/>
  <c r="AM414" i="3"/>
  <c r="AN414" i="3"/>
  <c r="A415" i="3"/>
  <c r="B415" i="3"/>
  <c r="C415" i="3"/>
  <c r="D415" i="3"/>
  <c r="E415" i="3"/>
  <c r="F415" i="3"/>
  <c r="G415" i="3"/>
  <c r="H415" i="3"/>
  <c r="I415" i="3"/>
  <c r="J415" i="3"/>
  <c r="K415" i="3"/>
  <c r="L415" i="3"/>
  <c r="M415" i="3"/>
  <c r="N415" i="3"/>
  <c r="O415" i="3"/>
  <c r="P415" i="3"/>
  <c r="Q415" i="3"/>
  <c r="R415" i="3"/>
  <c r="S415" i="3"/>
  <c r="T415" i="3"/>
  <c r="U415" i="3"/>
  <c r="V415" i="3"/>
  <c r="W415" i="3"/>
  <c r="X415" i="3"/>
  <c r="Y415" i="3"/>
  <c r="Z415" i="3"/>
  <c r="AA415" i="3"/>
  <c r="AB415" i="3"/>
  <c r="AC415" i="3"/>
  <c r="AD415" i="3"/>
  <c r="AE415" i="3"/>
  <c r="AF415" i="3"/>
  <c r="AG415" i="3"/>
  <c r="AH415" i="3"/>
  <c r="AI415" i="3"/>
  <c r="AJ415" i="3"/>
  <c r="AK415" i="3"/>
  <c r="AL415" i="3"/>
  <c r="AM415" i="3"/>
  <c r="AN415" i="3"/>
  <c r="A416" i="3"/>
  <c r="B416" i="3"/>
  <c r="C416" i="3"/>
  <c r="D416" i="3"/>
  <c r="E416" i="3"/>
  <c r="F416" i="3"/>
  <c r="G416" i="3"/>
  <c r="H416" i="3"/>
  <c r="I416" i="3"/>
  <c r="J416" i="3"/>
  <c r="K416" i="3"/>
  <c r="L416" i="3"/>
  <c r="M416" i="3"/>
  <c r="N416" i="3"/>
  <c r="O416" i="3"/>
  <c r="P416" i="3"/>
  <c r="Q416" i="3"/>
  <c r="R416" i="3"/>
  <c r="S416" i="3"/>
  <c r="T416" i="3"/>
  <c r="U416" i="3"/>
  <c r="V416" i="3"/>
  <c r="W416" i="3"/>
  <c r="X416" i="3"/>
  <c r="Y416" i="3"/>
  <c r="Z416" i="3"/>
  <c r="AA416" i="3"/>
  <c r="AB416" i="3"/>
  <c r="AC416" i="3"/>
  <c r="AD416" i="3"/>
  <c r="AE416" i="3"/>
  <c r="AF416" i="3"/>
  <c r="AG416" i="3"/>
  <c r="AH416" i="3"/>
  <c r="AI416" i="3"/>
  <c r="AJ416" i="3"/>
  <c r="AK416" i="3"/>
  <c r="AL416" i="3"/>
  <c r="AM416" i="3"/>
  <c r="AN416" i="3"/>
  <c r="A417" i="3"/>
  <c r="B417" i="3"/>
  <c r="C417" i="3"/>
  <c r="D417" i="3"/>
  <c r="E417" i="3"/>
  <c r="F417" i="3"/>
  <c r="G417" i="3"/>
  <c r="H417" i="3"/>
  <c r="I417" i="3"/>
  <c r="J417" i="3"/>
  <c r="K417" i="3"/>
  <c r="L417" i="3"/>
  <c r="M417" i="3"/>
  <c r="N417" i="3"/>
  <c r="O417" i="3"/>
  <c r="P417" i="3"/>
  <c r="Q417" i="3"/>
  <c r="R417" i="3"/>
  <c r="S417" i="3"/>
  <c r="T417" i="3"/>
  <c r="U417" i="3"/>
  <c r="V417" i="3"/>
  <c r="W417" i="3"/>
  <c r="X417" i="3"/>
  <c r="Y417" i="3"/>
  <c r="Z417" i="3"/>
  <c r="AA417" i="3"/>
  <c r="AB417" i="3"/>
  <c r="AC417" i="3"/>
  <c r="AD417" i="3"/>
  <c r="AE417" i="3"/>
  <c r="AF417" i="3"/>
  <c r="AG417" i="3"/>
  <c r="AH417" i="3"/>
  <c r="AI417" i="3"/>
  <c r="AJ417" i="3"/>
  <c r="AK417" i="3"/>
  <c r="AL417" i="3"/>
  <c r="AM417" i="3"/>
  <c r="AN417" i="3"/>
  <c r="A418" i="3"/>
  <c r="B418" i="3"/>
  <c r="C418" i="3"/>
  <c r="D418" i="3"/>
  <c r="E418" i="3"/>
  <c r="F418" i="3"/>
  <c r="G418" i="3"/>
  <c r="H418" i="3"/>
  <c r="I418" i="3"/>
  <c r="J418" i="3"/>
  <c r="K418" i="3"/>
  <c r="L418" i="3"/>
  <c r="M418" i="3"/>
  <c r="N418" i="3"/>
  <c r="O418" i="3"/>
  <c r="P418" i="3"/>
  <c r="Q418" i="3"/>
  <c r="R418" i="3"/>
  <c r="S418" i="3"/>
  <c r="T418" i="3"/>
  <c r="U418" i="3"/>
  <c r="V418" i="3"/>
  <c r="W418" i="3"/>
  <c r="X418" i="3"/>
  <c r="Y418" i="3"/>
  <c r="Z418" i="3"/>
  <c r="AA418" i="3"/>
  <c r="AB418" i="3"/>
  <c r="AC418" i="3"/>
  <c r="AD418" i="3"/>
  <c r="AE418" i="3"/>
  <c r="AF418" i="3"/>
  <c r="AG418" i="3"/>
  <c r="AH418" i="3"/>
  <c r="AI418" i="3"/>
  <c r="AJ418" i="3"/>
  <c r="AK418" i="3"/>
  <c r="AL418" i="3"/>
  <c r="AM418" i="3"/>
  <c r="AN418" i="3"/>
  <c r="A419" i="3"/>
  <c r="B419" i="3"/>
  <c r="C419" i="3"/>
  <c r="D419" i="3"/>
  <c r="E419" i="3"/>
  <c r="F419" i="3"/>
  <c r="G419" i="3"/>
  <c r="H419" i="3"/>
  <c r="I419" i="3"/>
  <c r="J419" i="3"/>
  <c r="K419" i="3"/>
  <c r="L419" i="3"/>
  <c r="M419" i="3"/>
  <c r="N419" i="3"/>
  <c r="O419" i="3"/>
  <c r="P419" i="3"/>
  <c r="Q419" i="3"/>
  <c r="R419" i="3"/>
  <c r="S419" i="3"/>
  <c r="T419" i="3"/>
  <c r="U419" i="3"/>
  <c r="V419" i="3"/>
  <c r="W419" i="3"/>
  <c r="X419" i="3"/>
  <c r="Y419" i="3"/>
  <c r="Z419" i="3"/>
  <c r="AA419" i="3"/>
  <c r="AB419" i="3"/>
  <c r="AC419" i="3"/>
  <c r="AD419" i="3"/>
  <c r="AE419" i="3"/>
  <c r="AF419" i="3"/>
  <c r="AG419" i="3"/>
  <c r="AH419" i="3"/>
  <c r="AI419" i="3"/>
  <c r="AJ419" i="3"/>
  <c r="AK419" i="3"/>
  <c r="AL419" i="3"/>
  <c r="AM419" i="3"/>
  <c r="AN419" i="3"/>
  <c r="A420" i="3"/>
  <c r="B420" i="3"/>
  <c r="C420" i="3"/>
  <c r="D420" i="3"/>
  <c r="E420" i="3"/>
  <c r="F420" i="3"/>
  <c r="G420" i="3"/>
  <c r="H420" i="3"/>
  <c r="I420" i="3"/>
  <c r="J420" i="3"/>
  <c r="K420" i="3"/>
  <c r="L420" i="3"/>
  <c r="M420" i="3"/>
  <c r="N420" i="3"/>
  <c r="O420" i="3"/>
  <c r="P420" i="3"/>
  <c r="Q420" i="3"/>
  <c r="R420" i="3"/>
  <c r="S420" i="3"/>
  <c r="T420" i="3"/>
  <c r="U420" i="3"/>
  <c r="V420" i="3"/>
  <c r="W420" i="3"/>
  <c r="X420" i="3"/>
  <c r="Y420" i="3"/>
  <c r="Z420" i="3"/>
  <c r="AA420" i="3"/>
  <c r="AB420" i="3"/>
  <c r="AC420" i="3"/>
  <c r="AD420" i="3"/>
  <c r="AE420" i="3"/>
  <c r="AF420" i="3"/>
  <c r="AG420" i="3"/>
  <c r="AH420" i="3"/>
  <c r="AI420" i="3"/>
  <c r="AJ420" i="3"/>
  <c r="AK420" i="3"/>
  <c r="AL420" i="3"/>
  <c r="AM420" i="3"/>
  <c r="AN420" i="3"/>
  <c r="A421" i="3"/>
  <c r="B421" i="3"/>
  <c r="C421" i="3"/>
  <c r="D421" i="3"/>
  <c r="E421" i="3"/>
  <c r="F421" i="3"/>
  <c r="G421" i="3"/>
  <c r="H421" i="3"/>
  <c r="I421" i="3"/>
  <c r="J421" i="3"/>
  <c r="K421" i="3"/>
  <c r="L421" i="3"/>
  <c r="M421" i="3"/>
  <c r="N421" i="3"/>
  <c r="O421" i="3"/>
  <c r="P421" i="3"/>
  <c r="Q421" i="3"/>
  <c r="R421" i="3"/>
  <c r="S421" i="3"/>
  <c r="T421" i="3"/>
  <c r="U421" i="3"/>
  <c r="V421" i="3"/>
  <c r="W421" i="3"/>
  <c r="X421" i="3"/>
  <c r="Y421" i="3"/>
  <c r="Z421" i="3"/>
  <c r="AA421" i="3"/>
  <c r="AB421" i="3"/>
  <c r="AC421" i="3"/>
  <c r="AD421" i="3"/>
  <c r="AE421" i="3"/>
  <c r="AF421" i="3"/>
  <c r="AG421" i="3"/>
  <c r="AH421" i="3"/>
  <c r="AI421" i="3"/>
  <c r="AJ421" i="3"/>
  <c r="AK421" i="3"/>
  <c r="AL421" i="3"/>
  <c r="AM421" i="3"/>
  <c r="AN421" i="3"/>
  <c r="A422" i="3"/>
  <c r="B422" i="3"/>
  <c r="C422" i="3"/>
  <c r="D422" i="3"/>
  <c r="E422" i="3"/>
  <c r="F422" i="3"/>
  <c r="G422" i="3"/>
  <c r="H422" i="3"/>
  <c r="I422" i="3"/>
  <c r="J422" i="3"/>
  <c r="K422" i="3"/>
  <c r="L422" i="3"/>
  <c r="M422" i="3"/>
  <c r="N422" i="3"/>
  <c r="O422" i="3"/>
  <c r="P422" i="3"/>
  <c r="Q422" i="3"/>
  <c r="R422" i="3"/>
  <c r="S422" i="3"/>
  <c r="T422" i="3"/>
  <c r="U422" i="3"/>
  <c r="V422" i="3"/>
  <c r="W422" i="3"/>
  <c r="X422" i="3"/>
  <c r="Y422" i="3"/>
  <c r="Z422" i="3"/>
  <c r="AA422" i="3"/>
  <c r="AB422" i="3"/>
  <c r="AC422" i="3"/>
  <c r="AD422" i="3"/>
  <c r="AE422" i="3"/>
  <c r="AF422" i="3"/>
  <c r="AG422" i="3"/>
  <c r="AH422" i="3"/>
  <c r="AI422" i="3"/>
  <c r="AJ422" i="3"/>
  <c r="AK422" i="3"/>
  <c r="AL422" i="3"/>
  <c r="AM422" i="3"/>
  <c r="AN422" i="3"/>
  <c r="A423" i="3"/>
  <c r="B423" i="3"/>
  <c r="C423" i="3"/>
  <c r="D423" i="3"/>
  <c r="E423" i="3"/>
  <c r="F423" i="3"/>
  <c r="G423" i="3"/>
  <c r="H423" i="3"/>
  <c r="I423" i="3"/>
  <c r="J423" i="3"/>
  <c r="K423" i="3"/>
  <c r="L423" i="3"/>
  <c r="M423" i="3"/>
  <c r="N423" i="3"/>
  <c r="O423" i="3"/>
  <c r="P423" i="3"/>
  <c r="Q423" i="3"/>
  <c r="R423" i="3"/>
  <c r="S423" i="3"/>
  <c r="T423" i="3"/>
  <c r="U423" i="3"/>
  <c r="V423" i="3"/>
  <c r="W423" i="3"/>
  <c r="X423" i="3"/>
  <c r="Y423" i="3"/>
  <c r="Z423" i="3"/>
  <c r="AA423" i="3"/>
  <c r="AB423" i="3"/>
  <c r="AC423" i="3"/>
  <c r="AD423" i="3"/>
  <c r="AE423" i="3"/>
  <c r="AF423" i="3"/>
  <c r="AG423" i="3"/>
  <c r="AH423" i="3"/>
  <c r="AI423" i="3"/>
  <c r="AJ423" i="3"/>
  <c r="AK423" i="3"/>
  <c r="AL423" i="3"/>
  <c r="AM423" i="3"/>
  <c r="AN423" i="3"/>
  <c r="A424" i="3"/>
  <c r="B424" i="3"/>
  <c r="C424" i="3"/>
  <c r="D424" i="3"/>
  <c r="E424" i="3"/>
  <c r="F424" i="3"/>
  <c r="G424" i="3"/>
  <c r="H424" i="3"/>
  <c r="I424" i="3"/>
  <c r="J424" i="3"/>
  <c r="K424" i="3"/>
  <c r="L424" i="3"/>
  <c r="M424" i="3"/>
  <c r="N424" i="3"/>
  <c r="O424" i="3"/>
  <c r="P424" i="3"/>
  <c r="Q424" i="3"/>
  <c r="R424" i="3"/>
  <c r="S424" i="3"/>
  <c r="T424" i="3"/>
  <c r="U424" i="3"/>
  <c r="V424" i="3"/>
  <c r="W424" i="3"/>
  <c r="X424" i="3"/>
  <c r="Y424" i="3"/>
  <c r="Z424" i="3"/>
  <c r="AA424" i="3"/>
  <c r="AB424" i="3"/>
  <c r="AC424" i="3"/>
  <c r="AD424" i="3"/>
  <c r="AE424" i="3"/>
  <c r="AF424" i="3"/>
  <c r="AG424" i="3"/>
  <c r="AH424" i="3"/>
  <c r="AI424" i="3"/>
  <c r="AJ424" i="3"/>
  <c r="AK424" i="3"/>
  <c r="AL424" i="3"/>
  <c r="AM424" i="3"/>
  <c r="AN424" i="3"/>
  <c r="A425" i="3"/>
  <c r="B425" i="3"/>
  <c r="C425" i="3"/>
  <c r="D425" i="3"/>
  <c r="E425" i="3"/>
  <c r="F425" i="3"/>
  <c r="G425" i="3"/>
  <c r="H425" i="3"/>
  <c r="I425" i="3"/>
  <c r="J425" i="3"/>
  <c r="K425" i="3"/>
  <c r="L425" i="3"/>
  <c r="M425" i="3"/>
  <c r="N425" i="3"/>
  <c r="O425" i="3"/>
  <c r="P425" i="3"/>
  <c r="Q425" i="3"/>
  <c r="R425" i="3"/>
  <c r="S425" i="3"/>
  <c r="T425" i="3"/>
  <c r="U425" i="3"/>
  <c r="V425" i="3"/>
  <c r="W425" i="3"/>
  <c r="X425" i="3"/>
  <c r="Y425" i="3"/>
  <c r="Z425" i="3"/>
  <c r="AA425" i="3"/>
  <c r="AB425" i="3"/>
  <c r="AC425" i="3"/>
  <c r="AD425" i="3"/>
  <c r="AE425" i="3"/>
  <c r="AF425" i="3"/>
  <c r="AG425" i="3"/>
  <c r="AH425" i="3"/>
  <c r="AI425" i="3"/>
  <c r="AJ425" i="3"/>
  <c r="AK425" i="3"/>
  <c r="AL425" i="3"/>
  <c r="AM425" i="3"/>
  <c r="AN425" i="3"/>
  <c r="A426" i="3"/>
  <c r="B426" i="3"/>
  <c r="C426" i="3"/>
  <c r="D426" i="3"/>
  <c r="E426" i="3"/>
  <c r="F426" i="3"/>
  <c r="G426" i="3"/>
  <c r="H426" i="3"/>
  <c r="I426" i="3"/>
  <c r="J426" i="3"/>
  <c r="K426" i="3"/>
  <c r="L426" i="3"/>
  <c r="M426" i="3"/>
  <c r="N426" i="3"/>
  <c r="O426" i="3"/>
  <c r="P426" i="3"/>
  <c r="Q426" i="3"/>
  <c r="R426" i="3"/>
  <c r="S426" i="3"/>
  <c r="T426" i="3"/>
  <c r="U426" i="3"/>
  <c r="V426" i="3"/>
  <c r="W426" i="3"/>
  <c r="X426" i="3"/>
  <c r="Y426" i="3"/>
  <c r="Z426" i="3"/>
  <c r="AA426" i="3"/>
  <c r="AB426" i="3"/>
  <c r="AC426" i="3"/>
  <c r="AD426" i="3"/>
  <c r="AE426" i="3"/>
  <c r="AF426" i="3"/>
  <c r="AG426" i="3"/>
  <c r="AH426" i="3"/>
  <c r="AI426" i="3"/>
  <c r="AJ426" i="3"/>
  <c r="AK426" i="3"/>
  <c r="AL426" i="3"/>
  <c r="AM426" i="3"/>
  <c r="AN426" i="3"/>
  <c r="A427" i="3"/>
  <c r="B427" i="3"/>
  <c r="C427" i="3"/>
  <c r="D427" i="3"/>
  <c r="E427" i="3"/>
  <c r="F427" i="3"/>
  <c r="G427" i="3"/>
  <c r="H427" i="3"/>
  <c r="I427" i="3"/>
  <c r="J427" i="3"/>
  <c r="K427" i="3"/>
  <c r="L427" i="3"/>
  <c r="M427" i="3"/>
  <c r="N427" i="3"/>
  <c r="O427" i="3"/>
  <c r="P427" i="3"/>
  <c r="Q427" i="3"/>
  <c r="R427" i="3"/>
  <c r="S427" i="3"/>
  <c r="T427" i="3"/>
  <c r="U427" i="3"/>
  <c r="V427" i="3"/>
  <c r="W427" i="3"/>
  <c r="X427" i="3"/>
  <c r="Y427" i="3"/>
  <c r="Z427" i="3"/>
  <c r="AA427" i="3"/>
  <c r="AB427" i="3"/>
  <c r="AC427" i="3"/>
  <c r="AD427" i="3"/>
  <c r="AE427" i="3"/>
  <c r="AF427" i="3"/>
  <c r="AG427" i="3"/>
  <c r="AH427" i="3"/>
  <c r="AI427" i="3"/>
  <c r="AJ427" i="3"/>
  <c r="AK427" i="3"/>
  <c r="AL427" i="3"/>
  <c r="AM427" i="3"/>
  <c r="AN427" i="3"/>
  <c r="A428" i="3"/>
  <c r="B428" i="3"/>
  <c r="C428" i="3"/>
  <c r="D428" i="3"/>
  <c r="E428" i="3"/>
  <c r="F428" i="3"/>
  <c r="G428" i="3"/>
  <c r="H428" i="3"/>
  <c r="I428" i="3"/>
  <c r="J428" i="3"/>
  <c r="K428" i="3"/>
  <c r="L428" i="3"/>
  <c r="M428" i="3"/>
  <c r="N428" i="3"/>
  <c r="O428" i="3"/>
  <c r="P428" i="3"/>
  <c r="Q428" i="3"/>
  <c r="R428" i="3"/>
  <c r="S428" i="3"/>
  <c r="T428" i="3"/>
  <c r="U428" i="3"/>
  <c r="V428" i="3"/>
  <c r="W428" i="3"/>
  <c r="X428" i="3"/>
  <c r="Y428" i="3"/>
  <c r="Z428" i="3"/>
  <c r="AA428" i="3"/>
  <c r="AB428" i="3"/>
  <c r="AC428" i="3"/>
  <c r="AD428" i="3"/>
  <c r="AE428" i="3"/>
  <c r="AF428" i="3"/>
  <c r="AG428" i="3"/>
  <c r="AH428" i="3"/>
  <c r="AI428" i="3"/>
  <c r="AJ428" i="3"/>
  <c r="AK428" i="3"/>
  <c r="AL428" i="3"/>
  <c r="AM428" i="3"/>
  <c r="AN428" i="3"/>
  <c r="A429" i="3"/>
  <c r="B429" i="3"/>
  <c r="C429" i="3"/>
  <c r="D429" i="3"/>
  <c r="E429" i="3"/>
  <c r="F429" i="3"/>
  <c r="G429" i="3"/>
  <c r="H429" i="3"/>
  <c r="I429" i="3"/>
  <c r="J429" i="3"/>
  <c r="K429" i="3"/>
  <c r="L429" i="3"/>
  <c r="M429" i="3"/>
  <c r="N429" i="3"/>
  <c r="O429" i="3"/>
  <c r="P429" i="3"/>
  <c r="Q429" i="3"/>
  <c r="R429" i="3"/>
  <c r="S429" i="3"/>
  <c r="T429" i="3"/>
  <c r="U429" i="3"/>
  <c r="V429" i="3"/>
  <c r="W429" i="3"/>
  <c r="X429" i="3"/>
  <c r="Y429" i="3"/>
  <c r="Z429" i="3"/>
  <c r="AA429" i="3"/>
  <c r="AB429" i="3"/>
  <c r="AC429" i="3"/>
  <c r="AD429" i="3"/>
  <c r="AE429" i="3"/>
  <c r="AF429" i="3"/>
  <c r="AG429" i="3"/>
  <c r="AH429" i="3"/>
  <c r="AI429" i="3"/>
  <c r="AJ429" i="3"/>
  <c r="AK429" i="3"/>
  <c r="AL429" i="3"/>
  <c r="AM429" i="3"/>
  <c r="AN429" i="3"/>
  <c r="A430" i="3"/>
  <c r="B430" i="3"/>
  <c r="C430" i="3"/>
  <c r="D430" i="3"/>
  <c r="E430" i="3"/>
  <c r="F430" i="3"/>
  <c r="G430" i="3"/>
  <c r="H430" i="3"/>
  <c r="I430" i="3"/>
  <c r="J430" i="3"/>
  <c r="K430" i="3"/>
  <c r="L430" i="3"/>
  <c r="M430" i="3"/>
  <c r="N430" i="3"/>
  <c r="O430" i="3"/>
  <c r="P430" i="3"/>
  <c r="Q430" i="3"/>
  <c r="R430" i="3"/>
  <c r="S430" i="3"/>
  <c r="T430" i="3"/>
  <c r="U430" i="3"/>
  <c r="V430" i="3"/>
  <c r="W430" i="3"/>
  <c r="X430" i="3"/>
  <c r="Y430" i="3"/>
  <c r="Z430" i="3"/>
  <c r="AA430" i="3"/>
  <c r="AB430" i="3"/>
  <c r="AC430" i="3"/>
  <c r="AD430" i="3"/>
  <c r="AE430" i="3"/>
  <c r="AF430" i="3"/>
  <c r="AG430" i="3"/>
  <c r="AH430" i="3"/>
  <c r="AI430" i="3"/>
  <c r="AJ430" i="3"/>
  <c r="AK430" i="3"/>
  <c r="AL430" i="3"/>
  <c r="AM430" i="3"/>
  <c r="AN430" i="3"/>
  <c r="A431" i="3"/>
  <c r="B431" i="3"/>
  <c r="C431" i="3"/>
  <c r="D431" i="3"/>
  <c r="E431" i="3"/>
  <c r="F431" i="3"/>
  <c r="G431" i="3"/>
  <c r="H431" i="3"/>
  <c r="I431" i="3"/>
  <c r="J431" i="3"/>
  <c r="K431" i="3"/>
  <c r="L431" i="3"/>
  <c r="M431" i="3"/>
  <c r="N431" i="3"/>
  <c r="O431" i="3"/>
  <c r="P431" i="3"/>
  <c r="Q431" i="3"/>
  <c r="R431" i="3"/>
  <c r="S431" i="3"/>
  <c r="T431" i="3"/>
  <c r="U431" i="3"/>
  <c r="V431" i="3"/>
  <c r="W431" i="3"/>
  <c r="X431" i="3"/>
  <c r="Y431" i="3"/>
  <c r="Z431" i="3"/>
  <c r="AA431" i="3"/>
  <c r="AB431" i="3"/>
  <c r="AC431" i="3"/>
  <c r="AD431" i="3"/>
  <c r="AE431" i="3"/>
  <c r="AF431" i="3"/>
  <c r="AG431" i="3"/>
  <c r="AH431" i="3"/>
  <c r="AI431" i="3"/>
  <c r="AJ431" i="3"/>
  <c r="AK431" i="3"/>
  <c r="AL431" i="3"/>
  <c r="AM431" i="3"/>
  <c r="AN431" i="3"/>
  <c r="A432" i="3"/>
  <c r="B432" i="3"/>
  <c r="C432" i="3"/>
  <c r="D432" i="3"/>
  <c r="E432" i="3"/>
  <c r="F432" i="3"/>
  <c r="G432" i="3"/>
  <c r="H432" i="3"/>
  <c r="I432" i="3"/>
  <c r="J432" i="3"/>
  <c r="K432" i="3"/>
  <c r="L432" i="3"/>
  <c r="M432" i="3"/>
  <c r="N432" i="3"/>
  <c r="O432" i="3"/>
  <c r="P432" i="3"/>
  <c r="Q432" i="3"/>
  <c r="R432" i="3"/>
  <c r="S432" i="3"/>
  <c r="T432" i="3"/>
  <c r="U432" i="3"/>
  <c r="V432" i="3"/>
  <c r="W432" i="3"/>
  <c r="X432" i="3"/>
  <c r="Y432" i="3"/>
  <c r="Z432" i="3"/>
  <c r="AA432" i="3"/>
  <c r="AB432" i="3"/>
  <c r="AC432" i="3"/>
  <c r="AD432" i="3"/>
  <c r="AE432" i="3"/>
  <c r="AF432" i="3"/>
  <c r="AG432" i="3"/>
  <c r="AH432" i="3"/>
  <c r="AI432" i="3"/>
  <c r="AJ432" i="3"/>
  <c r="AK432" i="3"/>
  <c r="AL432" i="3"/>
  <c r="AM432" i="3"/>
  <c r="AN432" i="3"/>
  <c r="A433" i="3"/>
  <c r="B433" i="3"/>
  <c r="C433" i="3"/>
  <c r="D433" i="3"/>
  <c r="E433" i="3"/>
  <c r="F433" i="3"/>
  <c r="G433" i="3"/>
  <c r="H433" i="3"/>
  <c r="I433" i="3"/>
  <c r="J433" i="3"/>
  <c r="K433" i="3"/>
  <c r="L433" i="3"/>
  <c r="M433" i="3"/>
  <c r="N433" i="3"/>
  <c r="O433" i="3"/>
  <c r="P433" i="3"/>
  <c r="Q433" i="3"/>
  <c r="R433" i="3"/>
  <c r="S433" i="3"/>
  <c r="T433" i="3"/>
  <c r="U433" i="3"/>
  <c r="V433" i="3"/>
  <c r="W433" i="3"/>
  <c r="X433" i="3"/>
  <c r="Y433" i="3"/>
  <c r="Z433" i="3"/>
  <c r="AA433" i="3"/>
  <c r="AB433" i="3"/>
  <c r="AC433" i="3"/>
  <c r="AD433" i="3"/>
  <c r="AE433" i="3"/>
  <c r="AF433" i="3"/>
  <c r="AG433" i="3"/>
  <c r="AH433" i="3"/>
  <c r="AI433" i="3"/>
  <c r="AJ433" i="3"/>
  <c r="AK433" i="3"/>
  <c r="AL433" i="3"/>
  <c r="AM433" i="3"/>
  <c r="AN433" i="3"/>
  <c r="A434" i="3"/>
  <c r="B434" i="3"/>
  <c r="C434" i="3"/>
  <c r="D434" i="3"/>
  <c r="E434" i="3"/>
  <c r="F434" i="3"/>
  <c r="G434" i="3"/>
  <c r="H434" i="3"/>
  <c r="I434" i="3"/>
  <c r="J434" i="3"/>
  <c r="K434" i="3"/>
  <c r="L434" i="3"/>
  <c r="M434" i="3"/>
  <c r="N434" i="3"/>
  <c r="O434" i="3"/>
  <c r="P434" i="3"/>
  <c r="Q434" i="3"/>
  <c r="R434" i="3"/>
  <c r="S434" i="3"/>
  <c r="T434" i="3"/>
  <c r="U434" i="3"/>
  <c r="V434" i="3"/>
  <c r="W434" i="3"/>
  <c r="X434" i="3"/>
  <c r="Y434" i="3"/>
  <c r="Z434" i="3"/>
  <c r="AA434" i="3"/>
  <c r="AB434" i="3"/>
  <c r="AC434" i="3"/>
  <c r="AD434" i="3"/>
  <c r="AE434" i="3"/>
  <c r="AF434" i="3"/>
  <c r="AG434" i="3"/>
  <c r="AH434" i="3"/>
  <c r="AI434" i="3"/>
  <c r="AJ434" i="3"/>
  <c r="AK434" i="3"/>
  <c r="AL434" i="3"/>
  <c r="AM434" i="3"/>
  <c r="AN434" i="3"/>
  <c r="A435" i="3"/>
  <c r="B435" i="3"/>
  <c r="C435" i="3"/>
  <c r="D435" i="3"/>
  <c r="E435" i="3"/>
  <c r="F435" i="3"/>
  <c r="G435" i="3"/>
  <c r="H435" i="3"/>
  <c r="I435" i="3"/>
  <c r="J435" i="3"/>
  <c r="K435" i="3"/>
  <c r="L435" i="3"/>
  <c r="M435" i="3"/>
  <c r="N435" i="3"/>
  <c r="O435" i="3"/>
  <c r="P435" i="3"/>
  <c r="Q435" i="3"/>
  <c r="R435" i="3"/>
  <c r="S435" i="3"/>
  <c r="T435" i="3"/>
  <c r="U435" i="3"/>
  <c r="V435" i="3"/>
  <c r="W435" i="3"/>
  <c r="X435" i="3"/>
  <c r="Y435" i="3"/>
  <c r="Z435" i="3"/>
  <c r="AA435" i="3"/>
  <c r="AB435" i="3"/>
  <c r="AC435" i="3"/>
  <c r="AD435" i="3"/>
  <c r="AE435" i="3"/>
  <c r="AF435" i="3"/>
  <c r="AG435" i="3"/>
  <c r="AH435" i="3"/>
  <c r="AI435" i="3"/>
  <c r="AJ435" i="3"/>
  <c r="AK435" i="3"/>
  <c r="AL435" i="3"/>
  <c r="AM435" i="3"/>
  <c r="AN435" i="3"/>
  <c r="A436" i="3"/>
  <c r="B436" i="3"/>
  <c r="C436" i="3"/>
  <c r="D436" i="3"/>
  <c r="E436" i="3"/>
  <c r="F436" i="3"/>
  <c r="G436" i="3"/>
  <c r="H436" i="3"/>
  <c r="I436" i="3"/>
  <c r="J436" i="3"/>
  <c r="K436" i="3"/>
  <c r="L436" i="3"/>
  <c r="M436" i="3"/>
  <c r="N436" i="3"/>
  <c r="O436" i="3"/>
  <c r="P436" i="3"/>
  <c r="Q436" i="3"/>
  <c r="R436" i="3"/>
  <c r="S436" i="3"/>
  <c r="T436" i="3"/>
  <c r="U436" i="3"/>
  <c r="V436" i="3"/>
  <c r="W436" i="3"/>
  <c r="X436" i="3"/>
  <c r="Y436" i="3"/>
  <c r="Z436" i="3"/>
  <c r="AA436" i="3"/>
  <c r="AB436" i="3"/>
  <c r="AC436" i="3"/>
  <c r="AD436" i="3"/>
  <c r="AE436" i="3"/>
  <c r="AF436" i="3"/>
  <c r="AG436" i="3"/>
  <c r="AH436" i="3"/>
  <c r="AI436" i="3"/>
  <c r="AJ436" i="3"/>
  <c r="AK436" i="3"/>
  <c r="AL436" i="3"/>
  <c r="AM436" i="3"/>
  <c r="AN436" i="3"/>
  <c r="A437" i="3"/>
  <c r="B437" i="3"/>
  <c r="C437" i="3"/>
  <c r="D437" i="3"/>
  <c r="E437" i="3"/>
  <c r="F437" i="3"/>
  <c r="G437" i="3"/>
  <c r="H437" i="3"/>
  <c r="I437" i="3"/>
  <c r="J437" i="3"/>
  <c r="K437" i="3"/>
  <c r="L437" i="3"/>
  <c r="M437" i="3"/>
  <c r="N437" i="3"/>
  <c r="O437" i="3"/>
  <c r="P437" i="3"/>
  <c r="Q437" i="3"/>
  <c r="R437" i="3"/>
  <c r="S437" i="3"/>
  <c r="T437" i="3"/>
  <c r="U437" i="3"/>
  <c r="V437" i="3"/>
  <c r="W437" i="3"/>
  <c r="X437" i="3"/>
  <c r="Y437" i="3"/>
  <c r="Z437" i="3"/>
  <c r="AA437" i="3"/>
  <c r="AB437" i="3"/>
  <c r="AC437" i="3"/>
  <c r="AD437" i="3"/>
  <c r="AE437" i="3"/>
  <c r="AF437" i="3"/>
  <c r="AG437" i="3"/>
  <c r="AH437" i="3"/>
  <c r="AI437" i="3"/>
  <c r="AJ437" i="3"/>
  <c r="AK437" i="3"/>
  <c r="AL437" i="3"/>
  <c r="AM437" i="3"/>
  <c r="AN437" i="3"/>
  <c r="A438" i="3"/>
  <c r="B438" i="3"/>
  <c r="C438" i="3"/>
  <c r="D438" i="3"/>
  <c r="E438" i="3"/>
  <c r="F438" i="3"/>
  <c r="G438" i="3"/>
  <c r="H438" i="3"/>
  <c r="I438" i="3"/>
  <c r="J438" i="3"/>
  <c r="K438" i="3"/>
  <c r="L438" i="3"/>
  <c r="M438" i="3"/>
  <c r="N438" i="3"/>
  <c r="O438" i="3"/>
  <c r="P438" i="3"/>
  <c r="Q438" i="3"/>
  <c r="R438" i="3"/>
  <c r="S438" i="3"/>
  <c r="T438" i="3"/>
  <c r="U438" i="3"/>
  <c r="V438" i="3"/>
  <c r="W438" i="3"/>
  <c r="X438" i="3"/>
  <c r="Y438" i="3"/>
  <c r="Z438" i="3"/>
  <c r="AA438" i="3"/>
  <c r="AB438" i="3"/>
  <c r="AC438" i="3"/>
  <c r="AD438" i="3"/>
  <c r="AE438" i="3"/>
  <c r="AF438" i="3"/>
  <c r="AG438" i="3"/>
  <c r="AH438" i="3"/>
  <c r="AI438" i="3"/>
  <c r="AJ438" i="3"/>
  <c r="AK438" i="3"/>
  <c r="AL438" i="3"/>
  <c r="AM438" i="3"/>
  <c r="AN438" i="3"/>
  <c r="A439" i="3"/>
  <c r="B439" i="3"/>
  <c r="C439" i="3"/>
  <c r="D439" i="3"/>
  <c r="E439" i="3"/>
  <c r="F439" i="3"/>
  <c r="G439" i="3"/>
  <c r="H439" i="3"/>
  <c r="I439" i="3"/>
  <c r="J439" i="3"/>
  <c r="K439" i="3"/>
  <c r="L439" i="3"/>
  <c r="M439" i="3"/>
  <c r="N439" i="3"/>
  <c r="O439" i="3"/>
  <c r="P439" i="3"/>
  <c r="Q439" i="3"/>
  <c r="R439" i="3"/>
  <c r="S439" i="3"/>
  <c r="T439" i="3"/>
  <c r="U439" i="3"/>
  <c r="V439" i="3"/>
  <c r="W439" i="3"/>
  <c r="X439" i="3"/>
  <c r="Y439" i="3"/>
  <c r="Z439" i="3"/>
  <c r="AA439" i="3"/>
  <c r="AB439" i="3"/>
  <c r="AC439" i="3"/>
  <c r="AD439" i="3"/>
  <c r="AE439" i="3"/>
  <c r="AF439" i="3"/>
  <c r="AG439" i="3"/>
  <c r="AH439" i="3"/>
  <c r="AI439" i="3"/>
  <c r="AJ439" i="3"/>
  <c r="AK439" i="3"/>
  <c r="AL439" i="3"/>
  <c r="AM439" i="3"/>
  <c r="AN439" i="3"/>
  <c r="A440" i="3"/>
  <c r="B440" i="3"/>
  <c r="C440" i="3"/>
  <c r="D440" i="3"/>
  <c r="E440" i="3"/>
  <c r="F440" i="3"/>
  <c r="G440" i="3"/>
  <c r="H440" i="3"/>
  <c r="I440" i="3"/>
  <c r="J440" i="3"/>
  <c r="K440" i="3"/>
  <c r="L440" i="3"/>
  <c r="M440" i="3"/>
  <c r="N440" i="3"/>
  <c r="O440" i="3"/>
  <c r="P440" i="3"/>
  <c r="Q440" i="3"/>
  <c r="R440" i="3"/>
  <c r="S440" i="3"/>
  <c r="T440" i="3"/>
  <c r="U440" i="3"/>
  <c r="V440" i="3"/>
  <c r="W440" i="3"/>
  <c r="X440" i="3"/>
  <c r="Y440" i="3"/>
  <c r="Z440" i="3"/>
  <c r="AA440" i="3"/>
  <c r="AB440" i="3"/>
  <c r="AC440" i="3"/>
  <c r="AD440" i="3"/>
  <c r="AE440" i="3"/>
  <c r="AF440" i="3"/>
  <c r="AG440" i="3"/>
  <c r="AH440" i="3"/>
  <c r="AI440" i="3"/>
  <c r="AJ440" i="3"/>
  <c r="AK440" i="3"/>
  <c r="AL440" i="3"/>
  <c r="AM440" i="3"/>
  <c r="AN440" i="3"/>
  <c r="A441" i="3"/>
  <c r="B441" i="3"/>
  <c r="C441" i="3"/>
  <c r="D441" i="3"/>
  <c r="E441" i="3"/>
  <c r="F441" i="3"/>
  <c r="G441" i="3"/>
  <c r="H441" i="3"/>
  <c r="I441" i="3"/>
  <c r="J441" i="3"/>
  <c r="K441" i="3"/>
  <c r="L441" i="3"/>
  <c r="M441" i="3"/>
  <c r="N441" i="3"/>
  <c r="O441" i="3"/>
  <c r="P441" i="3"/>
  <c r="Q441" i="3"/>
  <c r="R441" i="3"/>
  <c r="S441" i="3"/>
  <c r="T441" i="3"/>
  <c r="U441" i="3"/>
  <c r="V441" i="3"/>
  <c r="W441" i="3"/>
  <c r="X441" i="3"/>
  <c r="Y441" i="3"/>
  <c r="Z441" i="3"/>
  <c r="AA441" i="3"/>
  <c r="AB441" i="3"/>
  <c r="AC441" i="3"/>
  <c r="AD441" i="3"/>
  <c r="AE441" i="3"/>
  <c r="AF441" i="3"/>
  <c r="AG441" i="3"/>
  <c r="AH441" i="3"/>
  <c r="AI441" i="3"/>
  <c r="AJ441" i="3"/>
  <c r="AK441" i="3"/>
  <c r="AL441" i="3"/>
  <c r="AM441" i="3"/>
  <c r="AN441" i="3"/>
  <c r="A442" i="3"/>
  <c r="B442" i="3"/>
  <c r="C442" i="3"/>
  <c r="D442" i="3"/>
  <c r="E442" i="3"/>
  <c r="F442" i="3"/>
  <c r="G442" i="3"/>
  <c r="H442" i="3"/>
  <c r="I442" i="3"/>
  <c r="J442" i="3"/>
  <c r="K442" i="3"/>
  <c r="L442" i="3"/>
  <c r="M442" i="3"/>
  <c r="N442" i="3"/>
  <c r="O442" i="3"/>
  <c r="P442" i="3"/>
  <c r="Q442" i="3"/>
  <c r="R442" i="3"/>
  <c r="S442" i="3"/>
  <c r="T442" i="3"/>
  <c r="U442" i="3"/>
  <c r="V442" i="3"/>
  <c r="W442" i="3"/>
  <c r="X442" i="3"/>
  <c r="Y442" i="3"/>
  <c r="Z442" i="3"/>
  <c r="AA442" i="3"/>
  <c r="AB442" i="3"/>
  <c r="AC442" i="3"/>
  <c r="AD442" i="3"/>
  <c r="AE442" i="3"/>
  <c r="AF442" i="3"/>
  <c r="AG442" i="3"/>
  <c r="AH442" i="3"/>
  <c r="AI442" i="3"/>
  <c r="AJ442" i="3"/>
  <c r="AK442" i="3"/>
  <c r="AL442" i="3"/>
  <c r="AM442" i="3"/>
  <c r="AN442" i="3"/>
  <c r="A443" i="3"/>
  <c r="B443" i="3"/>
  <c r="C443" i="3"/>
  <c r="D443" i="3"/>
  <c r="E443" i="3"/>
  <c r="F443" i="3"/>
  <c r="G443" i="3"/>
  <c r="H443" i="3"/>
  <c r="I443" i="3"/>
  <c r="J443" i="3"/>
  <c r="K443" i="3"/>
  <c r="L443" i="3"/>
  <c r="M443" i="3"/>
  <c r="N443" i="3"/>
  <c r="O443" i="3"/>
  <c r="P443" i="3"/>
  <c r="Q443" i="3"/>
  <c r="R443" i="3"/>
  <c r="S443" i="3"/>
  <c r="T443" i="3"/>
  <c r="U443" i="3"/>
  <c r="V443" i="3"/>
  <c r="W443" i="3"/>
  <c r="X443" i="3"/>
  <c r="Y443" i="3"/>
  <c r="Z443" i="3"/>
  <c r="AA443" i="3"/>
  <c r="AB443" i="3"/>
  <c r="AC443" i="3"/>
  <c r="AD443" i="3"/>
  <c r="AE443" i="3"/>
  <c r="AF443" i="3"/>
  <c r="AG443" i="3"/>
  <c r="AH443" i="3"/>
  <c r="AI443" i="3"/>
  <c r="AJ443" i="3"/>
  <c r="AK443" i="3"/>
  <c r="AL443" i="3"/>
  <c r="AM443" i="3"/>
  <c r="AN443" i="3"/>
  <c r="A444" i="3"/>
  <c r="B444" i="3"/>
  <c r="C444" i="3"/>
  <c r="D444" i="3"/>
  <c r="E444" i="3"/>
  <c r="F444" i="3"/>
  <c r="G444" i="3"/>
  <c r="H444" i="3"/>
  <c r="I444" i="3"/>
  <c r="J444" i="3"/>
  <c r="K444" i="3"/>
  <c r="L444" i="3"/>
  <c r="M444" i="3"/>
  <c r="N444" i="3"/>
  <c r="O444" i="3"/>
  <c r="P444" i="3"/>
  <c r="Q444" i="3"/>
  <c r="R444" i="3"/>
  <c r="S444" i="3"/>
  <c r="T444" i="3"/>
  <c r="U444" i="3"/>
  <c r="V444" i="3"/>
  <c r="W444" i="3"/>
  <c r="X444" i="3"/>
  <c r="Y444" i="3"/>
  <c r="Z444" i="3"/>
  <c r="AA444" i="3"/>
  <c r="AB444" i="3"/>
  <c r="AC444" i="3"/>
  <c r="AD444" i="3"/>
  <c r="AE444" i="3"/>
  <c r="AF444" i="3"/>
  <c r="AG444" i="3"/>
  <c r="AH444" i="3"/>
  <c r="AI444" i="3"/>
  <c r="AJ444" i="3"/>
  <c r="AK444" i="3"/>
  <c r="AL444" i="3"/>
  <c r="AM444" i="3"/>
  <c r="AN444" i="3"/>
  <c r="A445" i="3"/>
  <c r="B445" i="3"/>
  <c r="C445" i="3"/>
  <c r="D445" i="3"/>
  <c r="E445" i="3"/>
  <c r="F445" i="3"/>
  <c r="G445" i="3"/>
  <c r="H445" i="3"/>
  <c r="I445" i="3"/>
  <c r="J445" i="3"/>
  <c r="K445" i="3"/>
  <c r="L445" i="3"/>
  <c r="M445" i="3"/>
  <c r="N445" i="3"/>
  <c r="O445" i="3"/>
  <c r="P445" i="3"/>
  <c r="Q445" i="3"/>
  <c r="R445" i="3"/>
  <c r="S445" i="3"/>
  <c r="T445" i="3"/>
  <c r="U445" i="3"/>
  <c r="V445" i="3"/>
  <c r="W445" i="3"/>
  <c r="X445" i="3"/>
  <c r="Y445" i="3"/>
  <c r="Z445" i="3"/>
  <c r="AA445" i="3"/>
  <c r="AB445" i="3"/>
  <c r="AC445" i="3"/>
  <c r="AD445" i="3"/>
  <c r="AE445" i="3"/>
  <c r="AF445" i="3"/>
  <c r="AG445" i="3"/>
  <c r="AH445" i="3"/>
  <c r="AI445" i="3"/>
  <c r="AJ445" i="3"/>
  <c r="AK445" i="3"/>
  <c r="AL445" i="3"/>
  <c r="AM445" i="3"/>
  <c r="AN445" i="3"/>
  <c r="A446" i="3"/>
  <c r="B446" i="3"/>
  <c r="C446" i="3"/>
  <c r="D446" i="3"/>
  <c r="E446" i="3"/>
  <c r="F446" i="3"/>
  <c r="G446" i="3"/>
  <c r="H446" i="3"/>
  <c r="I446" i="3"/>
  <c r="J446" i="3"/>
  <c r="K446" i="3"/>
  <c r="L446" i="3"/>
  <c r="M446" i="3"/>
  <c r="N446" i="3"/>
  <c r="O446" i="3"/>
  <c r="P446" i="3"/>
  <c r="Q446" i="3"/>
  <c r="R446" i="3"/>
  <c r="S446" i="3"/>
  <c r="T446" i="3"/>
  <c r="U446" i="3"/>
  <c r="V446" i="3"/>
  <c r="W446" i="3"/>
  <c r="X446" i="3"/>
  <c r="Y446" i="3"/>
  <c r="Z446" i="3"/>
  <c r="AA446" i="3"/>
  <c r="AB446" i="3"/>
  <c r="AC446" i="3"/>
  <c r="AD446" i="3"/>
  <c r="AE446" i="3"/>
  <c r="AF446" i="3"/>
  <c r="AG446" i="3"/>
  <c r="AH446" i="3"/>
  <c r="AI446" i="3"/>
  <c r="AJ446" i="3"/>
  <c r="AK446" i="3"/>
  <c r="AL446" i="3"/>
  <c r="AM446" i="3"/>
  <c r="AN446" i="3"/>
  <c r="A447" i="3"/>
  <c r="B447" i="3"/>
  <c r="C447" i="3"/>
  <c r="D447" i="3"/>
  <c r="E447" i="3"/>
  <c r="F447" i="3"/>
  <c r="G447" i="3"/>
  <c r="H447" i="3"/>
  <c r="I447" i="3"/>
  <c r="J447" i="3"/>
  <c r="K447" i="3"/>
  <c r="L447" i="3"/>
  <c r="M447" i="3"/>
  <c r="N447" i="3"/>
  <c r="O447" i="3"/>
  <c r="P447" i="3"/>
  <c r="Q447" i="3"/>
  <c r="R447" i="3"/>
  <c r="S447" i="3"/>
  <c r="T447" i="3"/>
  <c r="U447" i="3"/>
  <c r="V447" i="3"/>
  <c r="W447" i="3"/>
  <c r="X447" i="3"/>
  <c r="Y447" i="3"/>
  <c r="Z447" i="3"/>
  <c r="AA447" i="3"/>
  <c r="AB447" i="3"/>
  <c r="AC447" i="3"/>
  <c r="AD447" i="3"/>
  <c r="AE447" i="3"/>
  <c r="AF447" i="3"/>
  <c r="AG447" i="3"/>
  <c r="AH447" i="3"/>
  <c r="AI447" i="3"/>
  <c r="AJ447" i="3"/>
  <c r="AK447" i="3"/>
  <c r="AL447" i="3"/>
  <c r="AM447" i="3"/>
  <c r="AN447" i="3"/>
  <c r="A448" i="3"/>
  <c r="B448" i="3"/>
  <c r="C448" i="3"/>
  <c r="D448" i="3"/>
  <c r="E448" i="3"/>
  <c r="F448" i="3"/>
  <c r="G448" i="3"/>
  <c r="H448" i="3"/>
  <c r="I448" i="3"/>
  <c r="J448" i="3"/>
  <c r="K448" i="3"/>
  <c r="L448" i="3"/>
  <c r="M448" i="3"/>
  <c r="N448" i="3"/>
  <c r="O448" i="3"/>
  <c r="P448" i="3"/>
  <c r="Q448" i="3"/>
  <c r="R448" i="3"/>
  <c r="S448" i="3"/>
  <c r="T448" i="3"/>
  <c r="U448" i="3"/>
  <c r="V448" i="3"/>
  <c r="W448" i="3"/>
  <c r="X448" i="3"/>
  <c r="Y448" i="3"/>
  <c r="Z448" i="3"/>
  <c r="AA448" i="3"/>
  <c r="AB448" i="3"/>
  <c r="AC448" i="3"/>
  <c r="AD448" i="3"/>
  <c r="AE448" i="3"/>
  <c r="AF448" i="3"/>
  <c r="AG448" i="3"/>
  <c r="AH448" i="3"/>
  <c r="AI448" i="3"/>
  <c r="AJ448" i="3"/>
  <c r="AK448" i="3"/>
  <c r="AL448" i="3"/>
  <c r="AM448" i="3"/>
  <c r="AN448" i="3"/>
  <c r="A449" i="3"/>
  <c r="B449" i="3"/>
  <c r="C449" i="3"/>
  <c r="D449" i="3"/>
  <c r="E449" i="3"/>
  <c r="F449" i="3"/>
  <c r="G449" i="3"/>
  <c r="H449" i="3"/>
  <c r="I449" i="3"/>
  <c r="J449" i="3"/>
  <c r="K449" i="3"/>
  <c r="L449" i="3"/>
  <c r="M449" i="3"/>
  <c r="N449" i="3"/>
  <c r="O449" i="3"/>
  <c r="P449" i="3"/>
  <c r="Q449" i="3"/>
  <c r="R449" i="3"/>
  <c r="S449" i="3"/>
  <c r="T449" i="3"/>
  <c r="U449" i="3"/>
  <c r="V449" i="3"/>
  <c r="W449" i="3"/>
  <c r="X449" i="3"/>
  <c r="Y449" i="3"/>
  <c r="Z449" i="3"/>
  <c r="AA449" i="3"/>
  <c r="AB449" i="3"/>
  <c r="AC449" i="3"/>
  <c r="AD449" i="3"/>
  <c r="AE449" i="3"/>
  <c r="AF449" i="3"/>
  <c r="AG449" i="3"/>
  <c r="AH449" i="3"/>
  <c r="AI449" i="3"/>
  <c r="AJ449" i="3"/>
  <c r="AK449" i="3"/>
  <c r="AL449" i="3"/>
  <c r="AM449" i="3"/>
  <c r="AN449" i="3"/>
  <c r="A450" i="3"/>
  <c r="B450" i="3"/>
  <c r="C450" i="3"/>
  <c r="D450" i="3"/>
  <c r="E450" i="3"/>
  <c r="F450" i="3"/>
  <c r="G450" i="3"/>
  <c r="H450" i="3"/>
  <c r="I450" i="3"/>
  <c r="J450" i="3"/>
  <c r="K450" i="3"/>
  <c r="L450" i="3"/>
  <c r="M450" i="3"/>
  <c r="N450" i="3"/>
  <c r="O450" i="3"/>
  <c r="P450" i="3"/>
  <c r="Q450" i="3"/>
  <c r="R450" i="3"/>
  <c r="S450" i="3"/>
  <c r="T450" i="3"/>
  <c r="U450" i="3"/>
  <c r="V450" i="3"/>
  <c r="W450" i="3"/>
  <c r="X450" i="3"/>
  <c r="Y450" i="3"/>
  <c r="Z450" i="3"/>
  <c r="AA450" i="3"/>
  <c r="AB450" i="3"/>
  <c r="AC450" i="3"/>
  <c r="AD450" i="3"/>
  <c r="AE450" i="3"/>
  <c r="AF450" i="3"/>
  <c r="AG450" i="3"/>
  <c r="AH450" i="3"/>
  <c r="AI450" i="3"/>
  <c r="AJ450" i="3"/>
  <c r="AK450" i="3"/>
  <c r="AL450" i="3"/>
  <c r="AM450" i="3"/>
  <c r="AN450" i="3"/>
  <c r="A451" i="3"/>
  <c r="B451" i="3"/>
  <c r="C451" i="3"/>
  <c r="D451" i="3"/>
  <c r="E451" i="3"/>
  <c r="F451" i="3"/>
  <c r="G451" i="3"/>
  <c r="H451" i="3"/>
  <c r="I451" i="3"/>
  <c r="J451" i="3"/>
  <c r="K451" i="3"/>
  <c r="L451" i="3"/>
  <c r="M451" i="3"/>
  <c r="N451" i="3"/>
  <c r="O451" i="3"/>
  <c r="P451" i="3"/>
  <c r="Q451" i="3"/>
  <c r="R451" i="3"/>
  <c r="S451" i="3"/>
  <c r="T451" i="3"/>
  <c r="U451" i="3"/>
  <c r="V451" i="3"/>
  <c r="W451" i="3"/>
  <c r="X451" i="3"/>
  <c r="Y451" i="3"/>
  <c r="Z451" i="3"/>
  <c r="AA451" i="3"/>
  <c r="AB451" i="3"/>
  <c r="AC451" i="3"/>
  <c r="AD451" i="3"/>
  <c r="AE451" i="3"/>
  <c r="AF451" i="3"/>
  <c r="AG451" i="3"/>
  <c r="AH451" i="3"/>
  <c r="AI451" i="3"/>
  <c r="AJ451" i="3"/>
  <c r="AK451" i="3"/>
  <c r="AL451" i="3"/>
  <c r="AM451" i="3"/>
  <c r="AN451" i="3"/>
  <c r="A452" i="3"/>
  <c r="B452" i="3"/>
  <c r="C452" i="3"/>
  <c r="D452" i="3"/>
  <c r="E452" i="3"/>
  <c r="F452" i="3"/>
  <c r="G452" i="3"/>
  <c r="H452" i="3"/>
  <c r="I452" i="3"/>
  <c r="J452" i="3"/>
  <c r="K452" i="3"/>
  <c r="L452" i="3"/>
  <c r="M452" i="3"/>
  <c r="N452" i="3"/>
  <c r="O452" i="3"/>
  <c r="P452" i="3"/>
  <c r="Q452" i="3"/>
  <c r="R452" i="3"/>
  <c r="S452" i="3"/>
  <c r="T452" i="3"/>
  <c r="U452" i="3"/>
  <c r="V452" i="3"/>
  <c r="W452" i="3"/>
  <c r="X452" i="3"/>
  <c r="Y452" i="3"/>
  <c r="Z452" i="3"/>
  <c r="AA452" i="3"/>
  <c r="AB452" i="3"/>
  <c r="AC452" i="3"/>
  <c r="AD452" i="3"/>
  <c r="AE452" i="3"/>
  <c r="AF452" i="3"/>
  <c r="AG452" i="3"/>
  <c r="AH452" i="3"/>
  <c r="AI452" i="3"/>
  <c r="AJ452" i="3"/>
  <c r="AK452" i="3"/>
  <c r="AL452" i="3"/>
  <c r="AM452" i="3"/>
  <c r="AN452" i="3"/>
  <c r="A453" i="3"/>
  <c r="B453" i="3"/>
  <c r="C453" i="3"/>
  <c r="D453" i="3"/>
  <c r="E453" i="3"/>
  <c r="F453" i="3"/>
  <c r="G453" i="3"/>
  <c r="H453" i="3"/>
  <c r="I453" i="3"/>
  <c r="J453" i="3"/>
  <c r="K453" i="3"/>
  <c r="L453" i="3"/>
  <c r="M453" i="3"/>
  <c r="N453" i="3"/>
  <c r="O453" i="3"/>
  <c r="P453" i="3"/>
  <c r="Q453" i="3"/>
  <c r="R453" i="3"/>
  <c r="S453" i="3"/>
  <c r="T453" i="3"/>
  <c r="U453" i="3"/>
  <c r="V453" i="3"/>
  <c r="W453" i="3"/>
  <c r="X453" i="3"/>
  <c r="Y453" i="3"/>
  <c r="Z453" i="3"/>
  <c r="AA453" i="3"/>
  <c r="AB453" i="3"/>
  <c r="AC453" i="3"/>
  <c r="AD453" i="3"/>
  <c r="AE453" i="3"/>
  <c r="AF453" i="3"/>
  <c r="AG453" i="3"/>
  <c r="AH453" i="3"/>
  <c r="AI453" i="3"/>
  <c r="AJ453" i="3"/>
  <c r="AK453" i="3"/>
  <c r="AL453" i="3"/>
  <c r="AM453" i="3"/>
  <c r="AN453" i="3"/>
  <c r="A454" i="3"/>
  <c r="B454" i="3"/>
  <c r="C454" i="3"/>
  <c r="D454" i="3"/>
  <c r="E454" i="3"/>
  <c r="F454" i="3"/>
  <c r="G454" i="3"/>
  <c r="H454" i="3"/>
  <c r="I454" i="3"/>
  <c r="J454" i="3"/>
  <c r="K454" i="3"/>
  <c r="L454" i="3"/>
  <c r="M454" i="3"/>
  <c r="N454" i="3"/>
  <c r="O454" i="3"/>
  <c r="P454" i="3"/>
  <c r="Q454" i="3"/>
  <c r="R454" i="3"/>
  <c r="S454" i="3"/>
  <c r="T454" i="3"/>
  <c r="U454" i="3"/>
  <c r="V454" i="3"/>
  <c r="W454" i="3"/>
  <c r="X454" i="3"/>
  <c r="Y454" i="3"/>
  <c r="Z454" i="3"/>
  <c r="AA454" i="3"/>
  <c r="AB454" i="3"/>
  <c r="AC454" i="3"/>
  <c r="AD454" i="3"/>
  <c r="AE454" i="3"/>
  <c r="AF454" i="3"/>
  <c r="AG454" i="3"/>
  <c r="AH454" i="3"/>
  <c r="AI454" i="3"/>
  <c r="AJ454" i="3"/>
  <c r="AK454" i="3"/>
  <c r="AL454" i="3"/>
  <c r="AM454" i="3"/>
  <c r="AN454" i="3"/>
  <c r="A455" i="3"/>
  <c r="B455" i="3"/>
  <c r="C455" i="3"/>
  <c r="D455" i="3"/>
  <c r="E455" i="3"/>
  <c r="F455" i="3"/>
  <c r="G455" i="3"/>
  <c r="H455" i="3"/>
  <c r="I455" i="3"/>
  <c r="J455" i="3"/>
  <c r="K455" i="3"/>
  <c r="L455" i="3"/>
  <c r="M455" i="3"/>
  <c r="N455" i="3"/>
  <c r="O455" i="3"/>
  <c r="P455" i="3"/>
  <c r="Q455" i="3"/>
  <c r="R455" i="3"/>
  <c r="S455" i="3"/>
  <c r="T455" i="3"/>
  <c r="U455" i="3"/>
  <c r="V455" i="3"/>
  <c r="W455" i="3"/>
  <c r="X455" i="3"/>
  <c r="Y455" i="3"/>
  <c r="Z455" i="3"/>
  <c r="AA455" i="3"/>
  <c r="AB455" i="3"/>
  <c r="AC455" i="3"/>
  <c r="AD455" i="3"/>
  <c r="AE455" i="3"/>
  <c r="AF455" i="3"/>
  <c r="AG455" i="3"/>
  <c r="AH455" i="3"/>
  <c r="AI455" i="3"/>
  <c r="AJ455" i="3"/>
  <c r="AK455" i="3"/>
  <c r="AL455" i="3"/>
  <c r="AM455" i="3"/>
  <c r="AN455" i="3"/>
  <c r="A456" i="3"/>
  <c r="B456" i="3"/>
  <c r="C456" i="3"/>
  <c r="D456" i="3"/>
  <c r="E456" i="3"/>
  <c r="F456" i="3"/>
  <c r="G456" i="3"/>
  <c r="H456" i="3"/>
  <c r="I456" i="3"/>
  <c r="J456" i="3"/>
  <c r="K456" i="3"/>
  <c r="L456" i="3"/>
  <c r="M456" i="3"/>
  <c r="N456" i="3"/>
  <c r="O456" i="3"/>
  <c r="P456" i="3"/>
  <c r="Q456" i="3"/>
  <c r="R456" i="3"/>
  <c r="S456" i="3"/>
  <c r="T456" i="3"/>
  <c r="U456" i="3"/>
  <c r="V456" i="3"/>
  <c r="W456" i="3"/>
  <c r="X456" i="3"/>
  <c r="Y456" i="3"/>
  <c r="Z456" i="3"/>
  <c r="AA456" i="3"/>
  <c r="AB456" i="3"/>
  <c r="AC456" i="3"/>
  <c r="AD456" i="3"/>
  <c r="AE456" i="3"/>
  <c r="AF456" i="3"/>
  <c r="AG456" i="3"/>
  <c r="AH456" i="3"/>
  <c r="AI456" i="3"/>
  <c r="AJ456" i="3"/>
  <c r="AK456" i="3"/>
  <c r="AL456" i="3"/>
  <c r="AM456" i="3"/>
  <c r="AN456" i="3"/>
  <c r="A457" i="3"/>
  <c r="B457" i="3"/>
  <c r="C457" i="3"/>
  <c r="D457" i="3"/>
  <c r="E457" i="3"/>
  <c r="F457" i="3"/>
  <c r="G457" i="3"/>
  <c r="H457" i="3"/>
  <c r="I457" i="3"/>
  <c r="J457" i="3"/>
  <c r="K457" i="3"/>
  <c r="L457" i="3"/>
  <c r="M457" i="3"/>
  <c r="N457" i="3"/>
  <c r="O457" i="3"/>
  <c r="P457" i="3"/>
  <c r="Q457" i="3"/>
  <c r="R457" i="3"/>
  <c r="S457" i="3"/>
  <c r="T457" i="3"/>
  <c r="U457" i="3"/>
  <c r="V457" i="3"/>
  <c r="W457" i="3"/>
  <c r="X457" i="3"/>
  <c r="Y457" i="3"/>
  <c r="Z457" i="3"/>
  <c r="AA457" i="3"/>
  <c r="AB457" i="3"/>
  <c r="AC457" i="3"/>
  <c r="AD457" i="3"/>
  <c r="AE457" i="3"/>
  <c r="AF457" i="3"/>
  <c r="AG457" i="3"/>
  <c r="AH457" i="3"/>
  <c r="AI457" i="3"/>
  <c r="AJ457" i="3"/>
  <c r="AK457" i="3"/>
  <c r="AL457" i="3"/>
  <c r="AM457" i="3"/>
  <c r="AN457" i="3"/>
  <c r="A458" i="3"/>
  <c r="B458" i="3"/>
  <c r="C458" i="3"/>
  <c r="D458" i="3"/>
  <c r="E458" i="3"/>
  <c r="F458" i="3"/>
  <c r="G458" i="3"/>
  <c r="H458" i="3"/>
  <c r="I458" i="3"/>
  <c r="J458" i="3"/>
  <c r="K458" i="3"/>
  <c r="L458" i="3"/>
  <c r="M458" i="3"/>
  <c r="N458" i="3"/>
  <c r="O458" i="3"/>
  <c r="P458" i="3"/>
  <c r="Q458" i="3"/>
  <c r="R458" i="3"/>
  <c r="S458" i="3"/>
  <c r="T458" i="3"/>
  <c r="U458" i="3"/>
  <c r="V458" i="3"/>
  <c r="W458" i="3"/>
  <c r="X458" i="3"/>
  <c r="Y458" i="3"/>
  <c r="Z458" i="3"/>
  <c r="AA458" i="3"/>
  <c r="AB458" i="3"/>
  <c r="AC458" i="3"/>
  <c r="AD458" i="3"/>
  <c r="AE458" i="3"/>
  <c r="AF458" i="3"/>
  <c r="AG458" i="3"/>
  <c r="AH458" i="3"/>
  <c r="AI458" i="3"/>
  <c r="AJ458" i="3"/>
  <c r="AK458" i="3"/>
  <c r="AL458" i="3"/>
  <c r="AM458" i="3"/>
  <c r="AN458" i="3"/>
  <c r="A459" i="3"/>
  <c r="B459" i="3"/>
  <c r="C459" i="3"/>
  <c r="D459" i="3"/>
  <c r="E459" i="3"/>
  <c r="F459" i="3"/>
  <c r="G459" i="3"/>
  <c r="H459" i="3"/>
  <c r="I459" i="3"/>
  <c r="J459" i="3"/>
  <c r="K459" i="3"/>
  <c r="L459" i="3"/>
  <c r="M459" i="3"/>
  <c r="N459" i="3"/>
  <c r="O459" i="3"/>
  <c r="P459" i="3"/>
  <c r="Q459" i="3"/>
  <c r="R459" i="3"/>
  <c r="S459" i="3"/>
  <c r="T459" i="3"/>
  <c r="U459" i="3"/>
  <c r="V459" i="3"/>
  <c r="W459" i="3"/>
  <c r="X459" i="3"/>
  <c r="Y459" i="3"/>
  <c r="Z459" i="3"/>
  <c r="AA459" i="3"/>
  <c r="AB459" i="3"/>
  <c r="AC459" i="3"/>
  <c r="AD459" i="3"/>
  <c r="AE459" i="3"/>
  <c r="AF459" i="3"/>
  <c r="AG459" i="3"/>
  <c r="AH459" i="3"/>
  <c r="AI459" i="3"/>
  <c r="AJ459" i="3"/>
  <c r="AK459" i="3"/>
  <c r="AL459" i="3"/>
  <c r="AM459" i="3"/>
  <c r="AN459" i="3"/>
  <c r="A460" i="3"/>
  <c r="B460" i="3"/>
  <c r="C460" i="3"/>
  <c r="D460" i="3"/>
  <c r="E460" i="3"/>
  <c r="F460" i="3"/>
  <c r="G460" i="3"/>
  <c r="H460" i="3"/>
  <c r="I460" i="3"/>
  <c r="J460" i="3"/>
  <c r="K460" i="3"/>
  <c r="L460" i="3"/>
  <c r="M460" i="3"/>
  <c r="N460" i="3"/>
  <c r="O460" i="3"/>
  <c r="P460" i="3"/>
  <c r="Q460" i="3"/>
  <c r="R460" i="3"/>
  <c r="S460" i="3"/>
  <c r="T460" i="3"/>
  <c r="U460" i="3"/>
  <c r="V460" i="3"/>
  <c r="W460" i="3"/>
  <c r="X460" i="3"/>
  <c r="Y460" i="3"/>
  <c r="Z460" i="3"/>
  <c r="AA460" i="3"/>
  <c r="AB460" i="3"/>
  <c r="AC460" i="3"/>
  <c r="AD460" i="3"/>
  <c r="AE460" i="3"/>
  <c r="AF460" i="3"/>
  <c r="AG460" i="3"/>
  <c r="AH460" i="3"/>
  <c r="AI460" i="3"/>
  <c r="AJ460" i="3"/>
  <c r="AK460" i="3"/>
  <c r="AL460" i="3"/>
  <c r="AM460" i="3"/>
  <c r="AN460" i="3"/>
  <c r="A461" i="3"/>
  <c r="B461" i="3"/>
  <c r="C461" i="3"/>
  <c r="D461" i="3"/>
  <c r="E461" i="3"/>
  <c r="F461" i="3"/>
  <c r="G461" i="3"/>
  <c r="H461" i="3"/>
  <c r="I461" i="3"/>
  <c r="J461" i="3"/>
  <c r="K461" i="3"/>
  <c r="L461" i="3"/>
  <c r="M461" i="3"/>
  <c r="N461" i="3"/>
  <c r="O461" i="3"/>
  <c r="P461" i="3"/>
  <c r="Q461" i="3"/>
  <c r="R461" i="3"/>
  <c r="S461" i="3"/>
  <c r="T461" i="3"/>
  <c r="U461" i="3"/>
  <c r="V461" i="3"/>
  <c r="W461" i="3"/>
  <c r="X461" i="3"/>
  <c r="Y461" i="3"/>
  <c r="Z461" i="3"/>
  <c r="AA461" i="3"/>
  <c r="AB461" i="3"/>
  <c r="AC461" i="3"/>
  <c r="AD461" i="3"/>
  <c r="AE461" i="3"/>
  <c r="AF461" i="3"/>
  <c r="AG461" i="3"/>
  <c r="AH461" i="3"/>
  <c r="AI461" i="3"/>
  <c r="AJ461" i="3"/>
  <c r="AK461" i="3"/>
  <c r="AL461" i="3"/>
  <c r="AM461" i="3"/>
  <c r="AN461" i="3"/>
  <c r="A462" i="3"/>
  <c r="B462" i="3"/>
  <c r="C462" i="3"/>
  <c r="D462" i="3"/>
  <c r="E462" i="3"/>
  <c r="F462" i="3"/>
  <c r="G462" i="3"/>
  <c r="H462" i="3"/>
  <c r="I462" i="3"/>
  <c r="J462" i="3"/>
  <c r="K462" i="3"/>
  <c r="L462" i="3"/>
  <c r="M462" i="3"/>
  <c r="N462" i="3"/>
  <c r="O462" i="3"/>
  <c r="P462" i="3"/>
  <c r="Q462" i="3"/>
  <c r="R462" i="3"/>
  <c r="S462" i="3"/>
  <c r="T462" i="3"/>
  <c r="U462" i="3"/>
  <c r="V462" i="3"/>
  <c r="W462" i="3"/>
  <c r="X462" i="3"/>
  <c r="Y462" i="3"/>
  <c r="Z462" i="3"/>
  <c r="AA462" i="3"/>
  <c r="AB462" i="3"/>
  <c r="AC462" i="3"/>
  <c r="AD462" i="3"/>
  <c r="AE462" i="3"/>
  <c r="AF462" i="3"/>
  <c r="AG462" i="3"/>
  <c r="AH462" i="3"/>
  <c r="AI462" i="3"/>
  <c r="AJ462" i="3"/>
  <c r="AK462" i="3"/>
  <c r="AL462" i="3"/>
  <c r="AM462" i="3"/>
  <c r="AN462" i="3"/>
  <c r="A463" i="3"/>
  <c r="B463" i="3"/>
  <c r="C463" i="3"/>
  <c r="D463" i="3"/>
  <c r="E463" i="3"/>
  <c r="F463" i="3"/>
  <c r="G463" i="3"/>
  <c r="H463" i="3"/>
  <c r="I463" i="3"/>
  <c r="J463" i="3"/>
  <c r="K463" i="3"/>
  <c r="L463" i="3"/>
  <c r="M463" i="3"/>
  <c r="N463" i="3"/>
  <c r="O463" i="3"/>
  <c r="P463" i="3"/>
  <c r="Q463" i="3"/>
  <c r="R463" i="3"/>
  <c r="S463" i="3"/>
  <c r="T463" i="3"/>
  <c r="U463" i="3"/>
  <c r="V463" i="3"/>
  <c r="W463" i="3"/>
  <c r="X463" i="3"/>
  <c r="Y463" i="3"/>
  <c r="Z463" i="3"/>
  <c r="AA463" i="3"/>
  <c r="AB463" i="3"/>
  <c r="AC463" i="3"/>
  <c r="AD463" i="3"/>
  <c r="AE463" i="3"/>
  <c r="AF463" i="3"/>
  <c r="AG463" i="3"/>
  <c r="AH463" i="3"/>
  <c r="AI463" i="3"/>
  <c r="AJ463" i="3"/>
  <c r="AK463" i="3"/>
  <c r="AL463" i="3"/>
  <c r="AM463" i="3"/>
  <c r="AN463" i="3"/>
  <c r="A464" i="3"/>
  <c r="B464" i="3"/>
  <c r="C464" i="3"/>
  <c r="D464" i="3"/>
  <c r="E464" i="3"/>
  <c r="F464" i="3"/>
  <c r="G464" i="3"/>
  <c r="H464" i="3"/>
  <c r="I464" i="3"/>
  <c r="J464" i="3"/>
  <c r="K464" i="3"/>
  <c r="L464" i="3"/>
  <c r="M464" i="3"/>
  <c r="N464" i="3"/>
  <c r="O464" i="3"/>
  <c r="P464" i="3"/>
  <c r="Q464" i="3"/>
  <c r="R464" i="3"/>
  <c r="S464" i="3"/>
  <c r="T464" i="3"/>
  <c r="U464" i="3"/>
  <c r="V464" i="3"/>
  <c r="W464" i="3"/>
  <c r="X464" i="3"/>
  <c r="Y464" i="3"/>
  <c r="Z464" i="3"/>
  <c r="AA464" i="3"/>
  <c r="AB464" i="3"/>
  <c r="AC464" i="3"/>
  <c r="AD464" i="3"/>
  <c r="AE464" i="3"/>
  <c r="AF464" i="3"/>
  <c r="AG464" i="3"/>
  <c r="AH464" i="3"/>
  <c r="AI464" i="3"/>
  <c r="AJ464" i="3"/>
  <c r="AK464" i="3"/>
  <c r="AL464" i="3"/>
  <c r="AM464" i="3"/>
  <c r="AN464" i="3"/>
  <c r="A465" i="3"/>
  <c r="B465" i="3"/>
  <c r="C465" i="3"/>
  <c r="D465" i="3"/>
  <c r="E465" i="3"/>
  <c r="F465" i="3"/>
  <c r="G465" i="3"/>
  <c r="H465" i="3"/>
  <c r="I465" i="3"/>
  <c r="J465" i="3"/>
  <c r="K465" i="3"/>
  <c r="L465" i="3"/>
  <c r="M465" i="3"/>
  <c r="N465" i="3"/>
  <c r="O465" i="3"/>
  <c r="P465" i="3"/>
  <c r="Q465" i="3"/>
  <c r="R465" i="3"/>
  <c r="S465" i="3"/>
  <c r="T465" i="3"/>
  <c r="U465" i="3"/>
  <c r="V465" i="3"/>
  <c r="W465" i="3"/>
  <c r="X465" i="3"/>
  <c r="Y465" i="3"/>
  <c r="Z465" i="3"/>
  <c r="AA465" i="3"/>
  <c r="AB465" i="3"/>
  <c r="AC465" i="3"/>
  <c r="AD465" i="3"/>
  <c r="AE465" i="3"/>
  <c r="AF465" i="3"/>
  <c r="AG465" i="3"/>
  <c r="AH465" i="3"/>
  <c r="AI465" i="3"/>
  <c r="AJ465" i="3"/>
  <c r="AK465" i="3"/>
  <c r="AL465" i="3"/>
  <c r="AM465" i="3"/>
  <c r="AN465" i="3"/>
  <c r="A466" i="3"/>
  <c r="B466" i="3"/>
  <c r="C466" i="3"/>
  <c r="D466" i="3"/>
  <c r="E466" i="3"/>
  <c r="F466" i="3"/>
  <c r="G466" i="3"/>
  <c r="H466" i="3"/>
  <c r="I466" i="3"/>
  <c r="J466" i="3"/>
  <c r="K466" i="3"/>
  <c r="L466" i="3"/>
  <c r="M466" i="3"/>
  <c r="N466" i="3"/>
  <c r="O466" i="3"/>
  <c r="P466" i="3"/>
  <c r="Q466" i="3"/>
  <c r="R466" i="3"/>
  <c r="S466" i="3"/>
  <c r="T466" i="3"/>
  <c r="U466" i="3"/>
  <c r="V466" i="3"/>
  <c r="W466" i="3"/>
  <c r="X466" i="3"/>
  <c r="Y466" i="3"/>
  <c r="Z466" i="3"/>
  <c r="AA466" i="3"/>
  <c r="AB466" i="3"/>
  <c r="AC466" i="3"/>
  <c r="AD466" i="3"/>
  <c r="AE466" i="3"/>
  <c r="AF466" i="3"/>
  <c r="AG466" i="3"/>
  <c r="AH466" i="3"/>
  <c r="AI466" i="3"/>
  <c r="AJ466" i="3"/>
  <c r="AK466" i="3"/>
  <c r="AL466" i="3"/>
  <c r="AM466" i="3"/>
  <c r="AN466" i="3"/>
  <c r="A467" i="3"/>
  <c r="B467" i="3"/>
  <c r="C467" i="3"/>
  <c r="D467" i="3"/>
  <c r="E467" i="3"/>
  <c r="F467" i="3"/>
  <c r="G467" i="3"/>
  <c r="H467" i="3"/>
  <c r="I467" i="3"/>
  <c r="J467" i="3"/>
  <c r="K467" i="3"/>
  <c r="L467" i="3"/>
  <c r="M467" i="3"/>
  <c r="N467" i="3"/>
  <c r="O467" i="3"/>
  <c r="P467" i="3"/>
  <c r="Q467" i="3"/>
  <c r="R467" i="3"/>
  <c r="S467" i="3"/>
  <c r="T467" i="3"/>
  <c r="U467" i="3"/>
  <c r="V467" i="3"/>
  <c r="W467" i="3"/>
  <c r="X467" i="3"/>
  <c r="Y467" i="3"/>
  <c r="Z467" i="3"/>
  <c r="AA467" i="3"/>
  <c r="AB467" i="3"/>
  <c r="AC467" i="3"/>
  <c r="AD467" i="3"/>
  <c r="AE467" i="3"/>
  <c r="AF467" i="3"/>
  <c r="AG467" i="3"/>
  <c r="AH467" i="3"/>
  <c r="AI467" i="3"/>
  <c r="AJ467" i="3"/>
  <c r="AK467" i="3"/>
  <c r="AL467" i="3"/>
  <c r="AM467" i="3"/>
  <c r="AN467" i="3"/>
  <c r="A468" i="3"/>
  <c r="B468" i="3"/>
  <c r="C468" i="3"/>
  <c r="D468" i="3"/>
  <c r="E468" i="3"/>
  <c r="F468" i="3"/>
  <c r="G468" i="3"/>
  <c r="H468" i="3"/>
  <c r="I468" i="3"/>
  <c r="J468" i="3"/>
  <c r="K468" i="3"/>
  <c r="L468" i="3"/>
  <c r="M468" i="3"/>
  <c r="N468" i="3"/>
  <c r="O468" i="3"/>
  <c r="P468" i="3"/>
  <c r="Q468" i="3"/>
  <c r="R468" i="3"/>
  <c r="S468" i="3"/>
  <c r="T468" i="3"/>
  <c r="U468" i="3"/>
  <c r="V468" i="3"/>
  <c r="W468" i="3"/>
  <c r="X468" i="3"/>
  <c r="Y468" i="3"/>
  <c r="Z468" i="3"/>
  <c r="AA468" i="3"/>
  <c r="AB468" i="3"/>
  <c r="AC468" i="3"/>
  <c r="AD468" i="3"/>
  <c r="AE468" i="3"/>
  <c r="AF468" i="3"/>
  <c r="AG468" i="3"/>
  <c r="AH468" i="3"/>
  <c r="AI468" i="3"/>
  <c r="AJ468" i="3"/>
  <c r="AK468" i="3"/>
  <c r="AL468" i="3"/>
  <c r="AM468" i="3"/>
  <c r="AN468" i="3"/>
  <c r="A469" i="3"/>
  <c r="B469" i="3"/>
  <c r="C469" i="3"/>
  <c r="D469" i="3"/>
  <c r="E469" i="3"/>
  <c r="F469" i="3"/>
  <c r="G469" i="3"/>
  <c r="H469" i="3"/>
  <c r="I469" i="3"/>
  <c r="J469" i="3"/>
  <c r="K469" i="3"/>
  <c r="L469" i="3"/>
  <c r="M469" i="3"/>
  <c r="N469" i="3"/>
  <c r="O469" i="3"/>
  <c r="P469" i="3"/>
  <c r="Q469" i="3"/>
  <c r="R469" i="3"/>
  <c r="S469" i="3"/>
  <c r="T469" i="3"/>
  <c r="U469" i="3"/>
  <c r="V469" i="3"/>
  <c r="W469" i="3"/>
  <c r="X469" i="3"/>
  <c r="Y469" i="3"/>
  <c r="Z469" i="3"/>
  <c r="AA469" i="3"/>
  <c r="AB469" i="3"/>
  <c r="AC469" i="3"/>
  <c r="AD469" i="3"/>
  <c r="AE469" i="3"/>
  <c r="AF469" i="3"/>
  <c r="AG469" i="3"/>
  <c r="AH469" i="3"/>
  <c r="AI469" i="3"/>
  <c r="AJ469" i="3"/>
  <c r="AK469" i="3"/>
  <c r="AL469" i="3"/>
  <c r="AM469" i="3"/>
  <c r="AN469" i="3"/>
  <c r="A470" i="3"/>
  <c r="B470" i="3"/>
  <c r="C470" i="3"/>
  <c r="D470" i="3"/>
  <c r="E470" i="3"/>
  <c r="F470" i="3"/>
  <c r="G470" i="3"/>
  <c r="H470" i="3"/>
  <c r="I470" i="3"/>
  <c r="J470" i="3"/>
  <c r="K470" i="3"/>
  <c r="L470" i="3"/>
  <c r="M470" i="3"/>
  <c r="N470" i="3"/>
  <c r="O470" i="3"/>
  <c r="P470" i="3"/>
  <c r="Q470" i="3"/>
  <c r="R470" i="3"/>
  <c r="S470" i="3"/>
  <c r="T470" i="3"/>
  <c r="U470" i="3"/>
  <c r="V470" i="3"/>
  <c r="W470" i="3"/>
  <c r="X470" i="3"/>
  <c r="Y470" i="3"/>
  <c r="Z470" i="3"/>
  <c r="AA470" i="3"/>
  <c r="AB470" i="3"/>
  <c r="AC470" i="3"/>
  <c r="AD470" i="3"/>
  <c r="AE470" i="3"/>
  <c r="AF470" i="3"/>
  <c r="AG470" i="3"/>
  <c r="AH470" i="3"/>
  <c r="AI470" i="3"/>
  <c r="AJ470" i="3"/>
  <c r="AK470" i="3"/>
  <c r="AL470" i="3"/>
  <c r="AM470" i="3"/>
  <c r="AN470" i="3"/>
  <c r="A471" i="3"/>
  <c r="B471" i="3"/>
  <c r="C471" i="3"/>
  <c r="D471" i="3"/>
  <c r="E471" i="3"/>
  <c r="F471" i="3"/>
  <c r="G471" i="3"/>
  <c r="H471" i="3"/>
  <c r="I471" i="3"/>
  <c r="J471" i="3"/>
  <c r="K471" i="3"/>
  <c r="L471" i="3"/>
  <c r="M471" i="3"/>
  <c r="N471" i="3"/>
  <c r="O471" i="3"/>
  <c r="P471" i="3"/>
  <c r="Q471" i="3"/>
  <c r="R471" i="3"/>
  <c r="S471" i="3"/>
  <c r="T471" i="3"/>
  <c r="U471" i="3"/>
  <c r="V471" i="3"/>
  <c r="W471" i="3"/>
  <c r="X471" i="3"/>
  <c r="Y471" i="3"/>
  <c r="Z471" i="3"/>
  <c r="AA471" i="3"/>
  <c r="AB471" i="3"/>
  <c r="AC471" i="3"/>
  <c r="AD471" i="3"/>
  <c r="AE471" i="3"/>
  <c r="AF471" i="3"/>
  <c r="AG471" i="3"/>
  <c r="AH471" i="3"/>
  <c r="AI471" i="3"/>
  <c r="AJ471" i="3"/>
  <c r="AK471" i="3"/>
  <c r="AL471" i="3"/>
  <c r="AM471" i="3"/>
  <c r="AN471" i="3"/>
  <c r="A472" i="3"/>
  <c r="B472" i="3"/>
  <c r="C472" i="3"/>
  <c r="D472" i="3"/>
  <c r="E472" i="3"/>
  <c r="F472" i="3"/>
  <c r="G472" i="3"/>
  <c r="H472" i="3"/>
  <c r="I472" i="3"/>
  <c r="J472" i="3"/>
  <c r="K472" i="3"/>
  <c r="L472" i="3"/>
  <c r="M472" i="3"/>
  <c r="N472" i="3"/>
  <c r="O472" i="3"/>
  <c r="P472" i="3"/>
  <c r="Q472" i="3"/>
  <c r="R472" i="3"/>
  <c r="S472" i="3"/>
  <c r="T472" i="3"/>
  <c r="U472" i="3"/>
  <c r="V472" i="3"/>
  <c r="W472" i="3"/>
  <c r="X472" i="3"/>
  <c r="Y472" i="3"/>
  <c r="Z472" i="3"/>
  <c r="AA472" i="3"/>
  <c r="AB472" i="3"/>
  <c r="AC472" i="3"/>
  <c r="AD472" i="3"/>
  <c r="AE472" i="3"/>
  <c r="AF472" i="3"/>
  <c r="AG472" i="3"/>
  <c r="AH472" i="3"/>
  <c r="AI472" i="3"/>
  <c r="AJ472" i="3"/>
  <c r="AK472" i="3"/>
  <c r="AL472" i="3"/>
  <c r="AM472" i="3"/>
  <c r="AN472" i="3"/>
  <c r="A473" i="3"/>
  <c r="B473" i="3"/>
  <c r="C473" i="3"/>
  <c r="D473" i="3"/>
  <c r="E473" i="3"/>
  <c r="F473" i="3"/>
  <c r="G473" i="3"/>
  <c r="H473" i="3"/>
  <c r="I473" i="3"/>
  <c r="J473" i="3"/>
  <c r="K473" i="3"/>
  <c r="L473" i="3"/>
  <c r="M473" i="3"/>
  <c r="N473" i="3"/>
  <c r="O473" i="3"/>
  <c r="P473" i="3"/>
  <c r="Q473" i="3"/>
  <c r="R473" i="3"/>
  <c r="S473" i="3"/>
  <c r="T473" i="3"/>
  <c r="U473" i="3"/>
  <c r="V473" i="3"/>
  <c r="W473" i="3"/>
  <c r="X473" i="3"/>
  <c r="Y473" i="3"/>
  <c r="Z473" i="3"/>
  <c r="AA473" i="3"/>
  <c r="AB473" i="3"/>
  <c r="AC473" i="3"/>
  <c r="AD473" i="3"/>
  <c r="AE473" i="3"/>
  <c r="AF473" i="3"/>
  <c r="AG473" i="3"/>
  <c r="AH473" i="3"/>
  <c r="AI473" i="3"/>
  <c r="AJ473" i="3"/>
  <c r="AK473" i="3"/>
  <c r="AL473" i="3"/>
  <c r="AM473" i="3"/>
  <c r="AN473" i="3"/>
  <c r="A474" i="3"/>
  <c r="B474" i="3"/>
  <c r="C474" i="3"/>
  <c r="D474" i="3"/>
  <c r="E474" i="3"/>
  <c r="F474" i="3"/>
  <c r="G474" i="3"/>
  <c r="H474" i="3"/>
  <c r="I474" i="3"/>
  <c r="J474" i="3"/>
  <c r="K474" i="3"/>
  <c r="L474" i="3"/>
  <c r="M474" i="3"/>
  <c r="N474" i="3"/>
  <c r="O474" i="3"/>
  <c r="P474" i="3"/>
  <c r="Q474" i="3"/>
  <c r="R474" i="3"/>
  <c r="S474" i="3"/>
  <c r="T474" i="3"/>
  <c r="U474" i="3"/>
  <c r="V474" i="3"/>
  <c r="W474" i="3"/>
  <c r="X474" i="3"/>
  <c r="Y474" i="3"/>
  <c r="Z474" i="3"/>
  <c r="AA474" i="3"/>
  <c r="AB474" i="3"/>
  <c r="AC474" i="3"/>
  <c r="AD474" i="3"/>
  <c r="AE474" i="3"/>
  <c r="AF474" i="3"/>
  <c r="AG474" i="3"/>
  <c r="AH474" i="3"/>
  <c r="AI474" i="3"/>
  <c r="AJ474" i="3"/>
  <c r="AK474" i="3"/>
  <c r="AL474" i="3"/>
  <c r="AM474" i="3"/>
  <c r="AN474" i="3"/>
  <c r="A475" i="3"/>
  <c r="B475" i="3"/>
  <c r="C475" i="3"/>
  <c r="D475" i="3"/>
  <c r="E475" i="3"/>
  <c r="F475" i="3"/>
  <c r="G475" i="3"/>
  <c r="H475" i="3"/>
  <c r="I475" i="3"/>
  <c r="J475" i="3"/>
  <c r="K475" i="3"/>
  <c r="L475" i="3"/>
  <c r="M475" i="3"/>
  <c r="N475" i="3"/>
  <c r="O475" i="3"/>
  <c r="P475" i="3"/>
  <c r="Q475" i="3"/>
  <c r="R475" i="3"/>
  <c r="S475" i="3"/>
  <c r="T475" i="3"/>
  <c r="U475" i="3"/>
  <c r="V475" i="3"/>
  <c r="W475" i="3"/>
  <c r="X475" i="3"/>
  <c r="Y475" i="3"/>
  <c r="Z475" i="3"/>
  <c r="AA475" i="3"/>
  <c r="AB475" i="3"/>
  <c r="AC475" i="3"/>
  <c r="AD475" i="3"/>
  <c r="AE475" i="3"/>
  <c r="AF475" i="3"/>
  <c r="AG475" i="3"/>
  <c r="AH475" i="3"/>
  <c r="AI475" i="3"/>
  <c r="AJ475" i="3"/>
  <c r="AK475" i="3"/>
  <c r="AL475" i="3"/>
  <c r="AM475" i="3"/>
  <c r="AN475" i="3"/>
  <c r="A476" i="3"/>
  <c r="B476" i="3"/>
  <c r="C476" i="3"/>
  <c r="D476" i="3"/>
  <c r="E476" i="3"/>
  <c r="F476" i="3"/>
  <c r="G476" i="3"/>
  <c r="H476" i="3"/>
  <c r="I476" i="3"/>
  <c r="J476" i="3"/>
  <c r="K476" i="3"/>
  <c r="L476" i="3"/>
  <c r="M476" i="3"/>
  <c r="N476" i="3"/>
  <c r="O476" i="3"/>
  <c r="P476" i="3"/>
  <c r="Q476" i="3"/>
  <c r="R476" i="3"/>
  <c r="S476" i="3"/>
  <c r="T476" i="3"/>
  <c r="U476" i="3"/>
  <c r="V476" i="3"/>
  <c r="W476" i="3"/>
  <c r="X476" i="3"/>
  <c r="Y476" i="3"/>
  <c r="Z476" i="3"/>
  <c r="AA476" i="3"/>
  <c r="AB476" i="3"/>
  <c r="AC476" i="3"/>
  <c r="AD476" i="3"/>
  <c r="AE476" i="3"/>
  <c r="AF476" i="3"/>
  <c r="AG476" i="3"/>
  <c r="AH476" i="3"/>
  <c r="AI476" i="3"/>
  <c r="AJ476" i="3"/>
  <c r="AK476" i="3"/>
  <c r="AL476" i="3"/>
  <c r="AM476" i="3"/>
  <c r="AN476" i="3"/>
  <c r="A477" i="3"/>
  <c r="B477" i="3"/>
  <c r="C477" i="3"/>
  <c r="D477" i="3"/>
  <c r="E477" i="3"/>
  <c r="F477" i="3"/>
  <c r="G477" i="3"/>
  <c r="H477" i="3"/>
  <c r="I477" i="3"/>
  <c r="J477" i="3"/>
  <c r="K477" i="3"/>
  <c r="L477" i="3"/>
  <c r="M477" i="3"/>
  <c r="N477" i="3"/>
  <c r="O477" i="3"/>
  <c r="P477" i="3"/>
  <c r="Q477" i="3"/>
  <c r="R477" i="3"/>
  <c r="S477" i="3"/>
  <c r="T477" i="3"/>
  <c r="U477" i="3"/>
  <c r="V477" i="3"/>
  <c r="W477" i="3"/>
  <c r="X477" i="3"/>
  <c r="Y477" i="3"/>
  <c r="Z477" i="3"/>
  <c r="AA477" i="3"/>
  <c r="AB477" i="3"/>
  <c r="AC477" i="3"/>
  <c r="AD477" i="3"/>
  <c r="AE477" i="3"/>
  <c r="AF477" i="3"/>
  <c r="AG477" i="3"/>
  <c r="AH477" i="3"/>
  <c r="AI477" i="3"/>
  <c r="AJ477" i="3"/>
  <c r="AK477" i="3"/>
  <c r="AL477" i="3"/>
  <c r="AM477" i="3"/>
  <c r="AN477" i="3"/>
  <c r="A478" i="3"/>
  <c r="B478" i="3"/>
  <c r="C478" i="3"/>
  <c r="D478" i="3"/>
  <c r="E478" i="3"/>
  <c r="F478" i="3"/>
  <c r="G478" i="3"/>
  <c r="H478" i="3"/>
  <c r="I478" i="3"/>
  <c r="J478" i="3"/>
  <c r="K478" i="3"/>
  <c r="L478" i="3"/>
  <c r="M478" i="3"/>
  <c r="N478" i="3"/>
  <c r="O478" i="3"/>
  <c r="P478" i="3"/>
  <c r="Q478" i="3"/>
  <c r="R478" i="3"/>
  <c r="S478" i="3"/>
  <c r="T478" i="3"/>
  <c r="U478" i="3"/>
  <c r="V478" i="3"/>
  <c r="W478" i="3"/>
  <c r="X478" i="3"/>
  <c r="Y478" i="3"/>
  <c r="Z478" i="3"/>
  <c r="AA478" i="3"/>
  <c r="AB478" i="3"/>
  <c r="AC478" i="3"/>
  <c r="AD478" i="3"/>
  <c r="AE478" i="3"/>
  <c r="AF478" i="3"/>
  <c r="AG478" i="3"/>
  <c r="AH478" i="3"/>
  <c r="AI478" i="3"/>
  <c r="AJ478" i="3"/>
  <c r="AK478" i="3"/>
  <c r="AL478" i="3"/>
  <c r="AM478" i="3"/>
  <c r="AN478" i="3"/>
  <c r="A479" i="3"/>
  <c r="B479" i="3"/>
  <c r="C479" i="3"/>
  <c r="D479" i="3"/>
  <c r="E479" i="3"/>
  <c r="F479" i="3"/>
  <c r="G479" i="3"/>
  <c r="H479" i="3"/>
  <c r="I479" i="3"/>
  <c r="J479" i="3"/>
  <c r="K479" i="3"/>
  <c r="L479" i="3"/>
  <c r="M479" i="3"/>
  <c r="N479" i="3"/>
  <c r="O479" i="3"/>
  <c r="P479" i="3"/>
  <c r="Q479" i="3"/>
  <c r="R479" i="3"/>
  <c r="S479" i="3"/>
  <c r="T479" i="3"/>
  <c r="U479" i="3"/>
  <c r="V479" i="3"/>
  <c r="W479" i="3"/>
  <c r="X479" i="3"/>
  <c r="Y479" i="3"/>
  <c r="Z479" i="3"/>
  <c r="AA479" i="3"/>
  <c r="AB479" i="3"/>
  <c r="AC479" i="3"/>
  <c r="AD479" i="3"/>
  <c r="AE479" i="3"/>
  <c r="AF479" i="3"/>
  <c r="AG479" i="3"/>
  <c r="AH479" i="3"/>
  <c r="AI479" i="3"/>
  <c r="AJ479" i="3"/>
  <c r="AK479" i="3"/>
  <c r="AL479" i="3"/>
  <c r="AM479" i="3"/>
  <c r="AN479" i="3"/>
  <c r="A480" i="3"/>
  <c r="B480" i="3"/>
  <c r="C480" i="3"/>
  <c r="D480" i="3"/>
  <c r="E480" i="3"/>
  <c r="F480" i="3"/>
  <c r="G480" i="3"/>
  <c r="H480" i="3"/>
  <c r="I480" i="3"/>
  <c r="J480" i="3"/>
  <c r="K480" i="3"/>
  <c r="L480" i="3"/>
  <c r="M480" i="3"/>
  <c r="N480" i="3"/>
  <c r="O480" i="3"/>
  <c r="P480" i="3"/>
  <c r="Q480" i="3"/>
  <c r="R480" i="3"/>
  <c r="S480" i="3"/>
  <c r="T480" i="3"/>
  <c r="U480" i="3"/>
  <c r="V480" i="3"/>
  <c r="W480" i="3"/>
  <c r="X480" i="3"/>
  <c r="Y480" i="3"/>
  <c r="Z480" i="3"/>
  <c r="AA480" i="3"/>
  <c r="AB480" i="3"/>
  <c r="AC480" i="3"/>
  <c r="AD480" i="3"/>
  <c r="AE480" i="3"/>
  <c r="AF480" i="3"/>
  <c r="AG480" i="3"/>
  <c r="AH480" i="3"/>
  <c r="AI480" i="3"/>
  <c r="AJ480" i="3"/>
  <c r="AK480" i="3"/>
  <c r="AL480" i="3"/>
  <c r="AM480" i="3"/>
  <c r="AN480" i="3"/>
  <c r="A481" i="3"/>
  <c r="B481" i="3"/>
  <c r="C481" i="3"/>
  <c r="D481" i="3"/>
  <c r="E481" i="3"/>
  <c r="F481" i="3"/>
  <c r="G481" i="3"/>
  <c r="H481" i="3"/>
  <c r="I481" i="3"/>
  <c r="J481" i="3"/>
  <c r="K481" i="3"/>
  <c r="L481" i="3"/>
  <c r="M481" i="3"/>
  <c r="N481" i="3"/>
  <c r="O481" i="3"/>
  <c r="P481" i="3"/>
  <c r="Q481" i="3"/>
  <c r="R481" i="3"/>
  <c r="S481" i="3"/>
  <c r="T481" i="3"/>
  <c r="U481" i="3"/>
  <c r="V481" i="3"/>
  <c r="W481" i="3"/>
  <c r="X481" i="3"/>
  <c r="Y481" i="3"/>
  <c r="Z481" i="3"/>
  <c r="AA481" i="3"/>
  <c r="AB481" i="3"/>
  <c r="AC481" i="3"/>
  <c r="AD481" i="3"/>
  <c r="AE481" i="3"/>
  <c r="AF481" i="3"/>
  <c r="AG481" i="3"/>
  <c r="AH481" i="3"/>
  <c r="AI481" i="3"/>
  <c r="AJ481" i="3"/>
  <c r="AK481" i="3"/>
  <c r="AL481" i="3"/>
  <c r="AM481" i="3"/>
  <c r="AN481" i="3"/>
  <c r="A482" i="3"/>
  <c r="B482" i="3"/>
  <c r="C482" i="3"/>
  <c r="D482" i="3"/>
  <c r="E482" i="3"/>
  <c r="F482" i="3"/>
  <c r="G482" i="3"/>
  <c r="H482" i="3"/>
  <c r="I482" i="3"/>
  <c r="J482" i="3"/>
  <c r="K482" i="3"/>
  <c r="L482" i="3"/>
  <c r="M482" i="3"/>
  <c r="N482" i="3"/>
  <c r="O482" i="3"/>
  <c r="P482" i="3"/>
  <c r="Q482" i="3"/>
  <c r="R482" i="3"/>
  <c r="S482" i="3"/>
  <c r="T482" i="3"/>
  <c r="U482" i="3"/>
  <c r="V482" i="3"/>
  <c r="W482" i="3"/>
  <c r="X482" i="3"/>
  <c r="Y482" i="3"/>
  <c r="Z482" i="3"/>
  <c r="AA482" i="3"/>
  <c r="AB482" i="3"/>
  <c r="AC482" i="3"/>
  <c r="AD482" i="3"/>
  <c r="AE482" i="3"/>
  <c r="AF482" i="3"/>
  <c r="AG482" i="3"/>
  <c r="AH482" i="3"/>
  <c r="AI482" i="3"/>
  <c r="AJ482" i="3"/>
  <c r="AK482" i="3"/>
  <c r="AL482" i="3"/>
  <c r="AM482" i="3"/>
  <c r="AN482" i="3"/>
  <c r="A483" i="3"/>
  <c r="B483" i="3"/>
  <c r="C483" i="3"/>
  <c r="D483" i="3"/>
  <c r="E483" i="3"/>
  <c r="F483" i="3"/>
  <c r="G483" i="3"/>
  <c r="H483" i="3"/>
  <c r="I483" i="3"/>
  <c r="J483" i="3"/>
  <c r="K483" i="3"/>
  <c r="L483" i="3"/>
  <c r="M483" i="3"/>
  <c r="N483" i="3"/>
  <c r="O483" i="3"/>
  <c r="P483" i="3"/>
  <c r="Q483" i="3"/>
  <c r="R483" i="3"/>
  <c r="S483" i="3"/>
  <c r="T483" i="3"/>
  <c r="U483" i="3"/>
  <c r="V483" i="3"/>
  <c r="W483" i="3"/>
  <c r="X483" i="3"/>
  <c r="Y483" i="3"/>
  <c r="Z483" i="3"/>
  <c r="AA483" i="3"/>
  <c r="AB483" i="3"/>
  <c r="AC483" i="3"/>
  <c r="AD483" i="3"/>
  <c r="AE483" i="3"/>
  <c r="AF483" i="3"/>
  <c r="AG483" i="3"/>
  <c r="AH483" i="3"/>
  <c r="AI483" i="3"/>
  <c r="AJ483" i="3"/>
  <c r="AK483" i="3"/>
  <c r="AL483" i="3"/>
  <c r="AM483" i="3"/>
  <c r="AN483" i="3"/>
  <c r="A484" i="3"/>
  <c r="B484" i="3"/>
  <c r="C484" i="3"/>
  <c r="D484" i="3"/>
  <c r="E484" i="3"/>
  <c r="F484" i="3"/>
  <c r="G484" i="3"/>
  <c r="H484" i="3"/>
  <c r="I484" i="3"/>
  <c r="J484" i="3"/>
  <c r="K484" i="3"/>
  <c r="L484" i="3"/>
  <c r="M484" i="3"/>
  <c r="N484" i="3"/>
  <c r="O484" i="3"/>
  <c r="P484" i="3"/>
  <c r="Q484" i="3"/>
  <c r="R484" i="3"/>
  <c r="S484" i="3"/>
  <c r="T484" i="3"/>
  <c r="U484" i="3"/>
  <c r="V484" i="3"/>
  <c r="W484" i="3"/>
  <c r="X484" i="3"/>
  <c r="Y484" i="3"/>
  <c r="Z484" i="3"/>
  <c r="AA484" i="3"/>
  <c r="AB484" i="3"/>
  <c r="AC484" i="3"/>
  <c r="AD484" i="3"/>
  <c r="AE484" i="3"/>
  <c r="AF484" i="3"/>
  <c r="AG484" i="3"/>
  <c r="AH484" i="3"/>
  <c r="AI484" i="3"/>
  <c r="AJ484" i="3"/>
  <c r="AK484" i="3"/>
  <c r="AL484" i="3"/>
  <c r="AM484" i="3"/>
  <c r="AN484" i="3"/>
  <c r="A485" i="3"/>
  <c r="B485" i="3"/>
  <c r="C485" i="3"/>
  <c r="D485" i="3"/>
  <c r="E485" i="3"/>
  <c r="F485" i="3"/>
  <c r="G485" i="3"/>
  <c r="H485" i="3"/>
  <c r="I485" i="3"/>
  <c r="J485" i="3"/>
  <c r="K485" i="3"/>
  <c r="L485" i="3"/>
  <c r="M485" i="3"/>
  <c r="N485" i="3"/>
  <c r="O485" i="3"/>
  <c r="P485" i="3"/>
  <c r="Q485" i="3"/>
  <c r="R485" i="3"/>
  <c r="S485" i="3"/>
  <c r="T485" i="3"/>
  <c r="U485" i="3"/>
  <c r="V485" i="3"/>
  <c r="W485" i="3"/>
  <c r="X485" i="3"/>
  <c r="Y485" i="3"/>
  <c r="Z485" i="3"/>
  <c r="AA485" i="3"/>
  <c r="AB485" i="3"/>
  <c r="AC485" i="3"/>
  <c r="AD485" i="3"/>
  <c r="AE485" i="3"/>
  <c r="AF485" i="3"/>
  <c r="AG485" i="3"/>
  <c r="AH485" i="3"/>
  <c r="AI485" i="3"/>
  <c r="AJ485" i="3"/>
  <c r="AK485" i="3"/>
  <c r="AL485" i="3"/>
  <c r="AM485" i="3"/>
  <c r="AN485" i="3"/>
  <c r="A486" i="3"/>
  <c r="B486" i="3"/>
  <c r="C486" i="3"/>
  <c r="D486" i="3"/>
  <c r="E486" i="3"/>
  <c r="F486" i="3"/>
  <c r="G486" i="3"/>
  <c r="H486" i="3"/>
  <c r="I486" i="3"/>
  <c r="J486" i="3"/>
  <c r="K486" i="3"/>
  <c r="L486" i="3"/>
  <c r="M486" i="3"/>
  <c r="N486" i="3"/>
  <c r="O486" i="3"/>
  <c r="P486" i="3"/>
  <c r="Q486" i="3"/>
  <c r="R486" i="3"/>
  <c r="S486" i="3"/>
  <c r="T486" i="3"/>
  <c r="U486" i="3"/>
  <c r="V486" i="3"/>
  <c r="W486" i="3"/>
  <c r="X486" i="3"/>
  <c r="Y486" i="3"/>
  <c r="Z486" i="3"/>
  <c r="AA486" i="3"/>
  <c r="AB486" i="3"/>
  <c r="AC486" i="3"/>
  <c r="AD486" i="3"/>
  <c r="AE486" i="3"/>
  <c r="AF486" i="3"/>
  <c r="AG486" i="3"/>
  <c r="AH486" i="3"/>
  <c r="AI486" i="3"/>
  <c r="AJ486" i="3"/>
  <c r="AK486" i="3"/>
  <c r="AL486" i="3"/>
  <c r="AM486" i="3"/>
  <c r="AN486" i="3"/>
  <c r="A487" i="3"/>
  <c r="B487" i="3"/>
  <c r="C487" i="3"/>
  <c r="D487" i="3"/>
  <c r="E487" i="3"/>
  <c r="F487" i="3"/>
  <c r="G487" i="3"/>
  <c r="H487" i="3"/>
  <c r="I487" i="3"/>
  <c r="J487" i="3"/>
  <c r="K487" i="3"/>
  <c r="L487" i="3"/>
  <c r="M487" i="3"/>
  <c r="N487" i="3"/>
  <c r="O487" i="3"/>
  <c r="P487" i="3"/>
  <c r="Q487" i="3"/>
  <c r="R487" i="3"/>
  <c r="S487" i="3"/>
  <c r="T487" i="3"/>
  <c r="U487" i="3"/>
  <c r="V487" i="3"/>
  <c r="W487" i="3"/>
  <c r="X487" i="3"/>
  <c r="Y487" i="3"/>
  <c r="Z487" i="3"/>
  <c r="AA487" i="3"/>
  <c r="AB487" i="3"/>
  <c r="AC487" i="3"/>
  <c r="AD487" i="3"/>
  <c r="AE487" i="3"/>
  <c r="AF487" i="3"/>
  <c r="AG487" i="3"/>
  <c r="AH487" i="3"/>
  <c r="AI487" i="3"/>
  <c r="AJ487" i="3"/>
  <c r="AK487" i="3"/>
  <c r="AL487" i="3"/>
  <c r="AM487" i="3"/>
  <c r="AN487" i="3"/>
  <c r="A488" i="3"/>
  <c r="B488" i="3"/>
  <c r="C488" i="3"/>
  <c r="D488" i="3"/>
  <c r="E488" i="3"/>
  <c r="F488" i="3"/>
  <c r="G488" i="3"/>
  <c r="H488" i="3"/>
  <c r="I488" i="3"/>
  <c r="J488" i="3"/>
  <c r="K488" i="3"/>
  <c r="L488" i="3"/>
  <c r="M488" i="3"/>
  <c r="N488" i="3"/>
  <c r="O488" i="3"/>
  <c r="P488" i="3"/>
  <c r="Q488" i="3"/>
  <c r="R488" i="3"/>
  <c r="S488" i="3"/>
  <c r="T488" i="3"/>
  <c r="U488" i="3"/>
  <c r="V488" i="3"/>
  <c r="W488" i="3"/>
  <c r="X488" i="3"/>
  <c r="Y488" i="3"/>
  <c r="Z488" i="3"/>
  <c r="AA488" i="3"/>
  <c r="AB488" i="3"/>
  <c r="AC488" i="3"/>
  <c r="AD488" i="3"/>
  <c r="AE488" i="3"/>
  <c r="AF488" i="3"/>
  <c r="AG488" i="3"/>
  <c r="AH488" i="3"/>
  <c r="AI488" i="3"/>
  <c r="AJ488" i="3"/>
  <c r="AK488" i="3"/>
  <c r="AL488" i="3"/>
  <c r="AM488" i="3"/>
  <c r="AN488" i="3"/>
  <c r="A489" i="3"/>
  <c r="B489" i="3"/>
  <c r="C489" i="3"/>
  <c r="D489" i="3"/>
  <c r="E489" i="3"/>
  <c r="F489" i="3"/>
  <c r="G489" i="3"/>
  <c r="H489" i="3"/>
  <c r="I489" i="3"/>
  <c r="J489" i="3"/>
  <c r="K489" i="3"/>
  <c r="L489" i="3"/>
  <c r="M489" i="3"/>
  <c r="N489" i="3"/>
  <c r="O489" i="3"/>
  <c r="P489" i="3"/>
  <c r="Q489" i="3"/>
  <c r="R489" i="3"/>
  <c r="S489" i="3"/>
  <c r="T489" i="3"/>
  <c r="U489" i="3"/>
  <c r="V489" i="3"/>
  <c r="W489" i="3"/>
  <c r="X489" i="3"/>
  <c r="Y489" i="3"/>
  <c r="Z489" i="3"/>
  <c r="AA489" i="3"/>
  <c r="AB489" i="3"/>
  <c r="AC489" i="3"/>
  <c r="AD489" i="3"/>
  <c r="AE489" i="3"/>
  <c r="AF489" i="3"/>
  <c r="AG489" i="3"/>
  <c r="AH489" i="3"/>
  <c r="AI489" i="3"/>
  <c r="AJ489" i="3"/>
  <c r="AK489" i="3"/>
  <c r="AL489" i="3"/>
  <c r="AM489" i="3"/>
  <c r="AN489" i="3"/>
  <c r="A490" i="3"/>
  <c r="B490" i="3"/>
  <c r="C490" i="3"/>
  <c r="D490" i="3"/>
  <c r="E490" i="3"/>
  <c r="F490" i="3"/>
  <c r="G490" i="3"/>
  <c r="H490" i="3"/>
  <c r="I490" i="3"/>
  <c r="J490" i="3"/>
  <c r="K490" i="3"/>
  <c r="L490" i="3"/>
  <c r="M490" i="3"/>
  <c r="N490" i="3"/>
  <c r="O490" i="3"/>
  <c r="P490" i="3"/>
  <c r="Q490" i="3"/>
  <c r="R490" i="3"/>
  <c r="S490" i="3"/>
  <c r="T490" i="3"/>
  <c r="U490" i="3"/>
  <c r="V490" i="3"/>
  <c r="W490" i="3"/>
  <c r="X490" i="3"/>
  <c r="Y490" i="3"/>
  <c r="Z490" i="3"/>
  <c r="AA490" i="3"/>
  <c r="AB490" i="3"/>
  <c r="AC490" i="3"/>
  <c r="AD490" i="3"/>
  <c r="AE490" i="3"/>
  <c r="AF490" i="3"/>
  <c r="AG490" i="3"/>
  <c r="AH490" i="3"/>
  <c r="AI490" i="3"/>
  <c r="AJ490" i="3"/>
  <c r="AK490" i="3"/>
  <c r="AL490" i="3"/>
  <c r="AM490" i="3"/>
  <c r="AN490" i="3"/>
  <c r="A491" i="3"/>
  <c r="B491" i="3"/>
  <c r="C491" i="3"/>
  <c r="D491" i="3"/>
  <c r="E491" i="3"/>
  <c r="F491" i="3"/>
  <c r="G491" i="3"/>
  <c r="H491" i="3"/>
  <c r="I491" i="3"/>
  <c r="J491" i="3"/>
  <c r="K491" i="3"/>
  <c r="L491" i="3"/>
  <c r="M491" i="3"/>
  <c r="N491" i="3"/>
  <c r="O491" i="3"/>
  <c r="P491" i="3"/>
  <c r="Q491" i="3"/>
  <c r="R491" i="3"/>
  <c r="S491" i="3"/>
  <c r="T491" i="3"/>
  <c r="U491" i="3"/>
  <c r="V491" i="3"/>
  <c r="W491" i="3"/>
  <c r="X491" i="3"/>
  <c r="Y491" i="3"/>
  <c r="Z491" i="3"/>
  <c r="AA491" i="3"/>
  <c r="AB491" i="3"/>
  <c r="AC491" i="3"/>
  <c r="AD491" i="3"/>
  <c r="AE491" i="3"/>
  <c r="AF491" i="3"/>
  <c r="AG491" i="3"/>
  <c r="AH491" i="3"/>
  <c r="AI491" i="3"/>
  <c r="AJ491" i="3"/>
  <c r="AK491" i="3"/>
  <c r="AL491" i="3"/>
  <c r="AM491" i="3"/>
  <c r="AN491" i="3"/>
  <c r="A492" i="3"/>
  <c r="B492" i="3"/>
  <c r="C492" i="3"/>
  <c r="D492" i="3"/>
  <c r="E492" i="3"/>
  <c r="F492" i="3"/>
  <c r="G492" i="3"/>
  <c r="H492" i="3"/>
  <c r="I492" i="3"/>
  <c r="J492" i="3"/>
  <c r="K492" i="3"/>
  <c r="L492" i="3"/>
  <c r="M492" i="3"/>
  <c r="N492" i="3"/>
  <c r="O492" i="3"/>
  <c r="P492" i="3"/>
  <c r="Q492" i="3"/>
  <c r="R492" i="3"/>
  <c r="S492" i="3"/>
  <c r="T492" i="3"/>
  <c r="U492" i="3"/>
  <c r="V492" i="3"/>
  <c r="W492" i="3"/>
  <c r="X492" i="3"/>
  <c r="Y492" i="3"/>
  <c r="Z492" i="3"/>
  <c r="AA492" i="3"/>
  <c r="AB492" i="3"/>
  <c r="AC492" i="3"/>
  <c r="AD492" i="3"/>
  <c r="AE492" i="3"/>
  <c r="AF492" i="3"/>
  <c r="AG492" i="3"/>
  <c r="AH492" i="3"/>
  <c r="AI492" i="3"/>
  <c r="AJ492" i="3"/>
  <c r="AK492" i="3"/>
  <c r="AL492" i="3"/>
  <c r="AM492" i="3"/>
  <c r="AN492" i="3"/>
  <c r="A493" i="3"/>
  <c r="B493" i="3"/>
  <c r="C493" i="3"/>
  <c r="D493" i="3"/>
  <c r="E493" i="3"/>
  <c r="F493" i="3"/>
  <c r="G493" i="3"/>
  <c r="H493" i="3"/>
  <c r="I493" i="3"/>
  <c r="J493" i="3"/>
  <c r="K493" i="3"/>
  <c r="L493" i="3"/>
  <c r="M493" i="3"/>
  <c r="N493" i="3"/>
  <c r="O493" i="3"/>
  <c r="P493" i="3"/>
  <c r="Q493" i="3"/>
  <c r="R493" i="3"/>
  <c r="S493" i="3"/>
  <c r="T493" i="3"/>
  <c r="U493" i="3"/>
  <c r="V493" i="3"/>
  <c r="W493" i="3"/>
  <c r="X493" i="3"/>
  <c r="Y493" i="3"/>
  <c r="Z493" i="3"/>
  <c r="AA493" i="3"/>
  <c r="AB493" i="3"/>
  <c r="AC493" i="3"/>
  <c r="AD493" i="3"/>
  <c r="AE493" i="3"/>
  <c r="AF493" i="3"/>
  <c r="AG493" i="3"/>
  <c r="AH493" i="3"/>
  <c r="AI493" i="3"/>
  <c r="AJ493" i="3"/>
  <c r="AK493" i="3"/>
  <c r="AL493" i="3"/>
  <c r="AM493" i="3"/>
  <c r="AN493" i="3"/>
  <c r="A494" i="3"/>
  <c r="B494" i="3"/>
  <c r="C494" i="3"/>
  <c r="D494" i="3"/>
  <c r="E494" i="3"/>
  <c r="F494" i="3"/>
  <c r="G494" i="3"/>
  <c r="H494" i="3"/>
  <c r="I494" i="3"/>
  <c r="J494" i="3"/>
  <c r="K494" i="3"/>
  <c r="L494" i="3"/>
  <c r="M494" i="3"/>
  <c r="N494" i="3"/>
  <c r="O494" i="3"/>
  <c r="P494" i="3"/>
  <c r="Q494" i="3"/>
  <c r="R494" i="3"/>
  <c r="S494" i="3"/>
  <c r="T494" i="3"/>
  <c r="U494" i="3"/>
  <c r="V494" i="3"/>
  <c r="W494" i="3"/>
  <c r="X494" i="3"/>
  <c r="Y494" i="3"/>
  <c r="Z494" i="3"/>
  <c r="AA494" i="3"/>
  <c r="AB494" i="3"/>
  <c r="AC494" i="3"/>
  <c r="AD494" i="3"/>
  <c r="AE494" i="3"/>
  <c r="AF494" i="3"/>
  <c r="AG494" i="3"/>
  <c r="AH494" i="3"/>
  <c r="AI494" i="3"/>
  <c r="AJ494" i="3"/>
  <c r="AK494" i="3"/>
  <c r="AL494" i="3"/>
  <c r="AM494" i="3"/>
  <c r="AN494" i="3"/>
  <c r="A495" i="3"/>
  <c r="B495" i="3"/>
  <c r="C495" i="3"/>
  <c r="D495" i="3"/>
  <c r="E495" i="3"/>
  <c r="F495" i="3"/>
  <c r="G495" i="3"/>
  <c r="H495" i="3"/>
  <c r="I495" i="3"/>
  <c r="J495" i="3"/>
  <c r="K495" i="3"/>
  <c r="L495" i="3"/>
  <c r="M495" i="3"/>
  <c r="N495" i="3"/>
  <c r="O495" i="3"/>
  <c r="P495" i="3"/>
  <c r="Q495" i="3"/>
  <c r="R495" i="3"/>
  <c r="S495" i="3"/>
  <c r="T495" i="3"/>
  <c r="U495" i="3"/>
  <c r="V495" i="3"/>
  <c r="W495" i="3"/>
  <c r="X495" i="3"/>
  <c r="Y495" i="3"/>
  <c r="Z495" i="3"/>
  <c r="AA495" i="3"/>
  <c r="AB495" i="3"/>
  <c r="AC495" i="3"/>
  <c r="AD495" i="3"/>
  <c r="AE495" i="3"/>
  <c r="AF495" i="3"/>
  <c r="AG495" i="3"/>
  <c r="AH495" i="3"/>
  <c r="AI495" i="3"/>
  <c r="AJ495" i="3"/>
  <c r="AK495" i="3"/>
  <c r="AL495" i="3"/>
  <c r="AM495" i="3"/>
  <c r="AN495" i="3"/>
  <c r="A496" i="3"/>
  <c r="B496" i="3"/>
  <c r="C496" i="3"/>
  <c r="D496" i="3"/>
  <c r="E496" i="3"/>
  <c r="F496" i="3"/>
  <c r="G496" i="3"/>
  <c r="H496" i="3"/>
  <c r="I496" i="3"/>
  <c r="J496" i="3"/>
  <c r="K496" i="3"/>
  <c r="L496" i="3"/>
  <c r="M496" i="3"/>
  <c r="N496" i="3"/>
  <c r="O496" i="3"/>
  <c r="P496" i="3"/>
  <c r="Q496" i="3"/>
  <c r="R496" i="3"/>
  <c r="S496" i="3"/>
  <c r="T496" i="3"/>
  <c r="U496" i="3"/>
  <c r="V496" i="3"/>
  <c r="W496" i="3"/>
  <c r="X496" i="3"/>
  <c r="Y496" i="3"/>
  <c r="Z496" i="3"/>
  <c r="AA496" i="3"/>
  <c r="AB496" i="3"/>
  <c r="AC496" i="3"/>
  <c r="AD496" i="3"/>
  <c r="AE496" i="3"/>
  <c r="AF496" i="3"/>
  <c r="AG496" i="3"/>
  <c r="AH496" i="3"/>
  <c r="AI496" i="3"/>
  <c r="AJ496" i="3"/>
  <c r="AK496" i="3"/>
  <c r="AL496" i="3"/>
  <c r="AM496" i="3"/>
  <c r="AN496" i="3"/>
  <c r="A497" i="3"/>
  <c r="B497" i="3"/>
  <c r="C497" i="3"/>
  <c r="D497" i="3"/>
  <c r="E497" i="3"/>
  <c r="F497" i="3"/>
  <c r="G497" i="3"/>
  <c r="H497" i="3"/>
  <c r="I497" i="3"/>
  <c r="J497" i="3"/>
  <c r="K497" i="3"/>
  <c r="L497" i="3"/>
  <c r="M497" i="3"/>
  <c r="N497" i="3"/>
  <c r="O497" i="3"/>
  <c r="P497" i="3"/>
  <c r="Q497" i="3"/>
  <c r="R497" i="3"/>
  <c r="S497" i="3"/>
  <c r="T497" i="3"/>
  <c r="U497" i="3"/>
  <c r="V497" i="3"/>
  <c r="W497" i="3"/>
  <c r="X497" i="3"/>
  <c r="Y497" i="3"/>
  <c r="Z497" i="3"/>
  <c r="AA497" i="3"/>
  <c r="AB497" i="3"/>
  <c r="AC497" i="3"/>
  <c r="AD497" i="3"/>
  <c r="AE497" i="3"/>
  <c r="AF497" i="3"/>
  <c r="AG497" i="3"/>
  <c r="AH497" i="3"/>
  <c r="AI497" i="3"/>
  <c r="AJ497" i="3"/>
  <c r="AK497" i="3"/>
  <c r="AL497" i="3"/>
  <c r="AM497" i="3"/>
  <c r="AN497" i="3"/>
  <c r="A498" i="3"/>
  <c r="B498" i="3"/>
  <c r="C498" i="3"/>
  <c r="D498" i="3"/>
  <c r="E498" i="3"/>
  <c r="F498" i="3"/>
  <c r="G498" i="3"/>
  <c r="H498" i="3"/>
  <c r="I498" i="3"/>
  <c r="J498" i="3"/>
  <c r="K498" i="3"/>
  <c r="L498" i="3"/>
  <c r="M498" i="3"/>
  <c r="N498" i="3"/>
  <c r="O498" i="3"/>
  <c r="P498" i="3"/>
  <c r="Q498" i="3"/>
  <c r="R498" i="3"/>
  <c r="S498" i="3"/>
  <c r="T498" i="3"/>
  <c r="U498" i="3"/>
  <c r="V498" i="3"/>
  <c r="W498" i="3"/>
  <c r="X498" i="3"/>
  <c r="Y498" i="3"/>
  <c r="Z498" i="3"/>
  <c r="AA498" i="3"/>
  <c r="AB498" i="3"/>
  <c r="AC498" i="3"/>
  <c r="AD498" i="3"/>
  <c r="AE498" i="3"/>
  <c r="AF498" i="3"/>
  <c r="AG498" i="3"/>
  <c r="AH498" i="3"/>
  <c r="AI498" i="3"/>
  <c r="AJ498" i="3"/>
  <c r="AK498" i="3"/>
  <c r="AL498" i="3"/>
  <c r="AM498" i="3"/>
  <c r="AN498" i="3"/>
  <c r="A499" i="3"/>
  <c r="B499" i="3"/>
  <c r="C499" i="3"/>
  <c r="D499" i="3"/>
  <c r="E499" i="3"/>
  <c r="F499" i="3"/>
  <c r="G499" i="3"/>
  <c r="H499" i="3"/>
  <c r="I499" i="3"/>
  <c r="J499" i="3"/>
  <c r="K499" i="3"/>
  <c r="L499" i="3"/>
  <c r="M499" i="3"/>
  <c r="N499" i="3"/>
  <c r="O499" i="3"/>
  <c r="P499" i="3"/>
  <c r="Q499" i="3"/>
  <c r="R499" i="3"/>
  <c r="S499" i="3"/>
  <c r="T499" i="3"/>
  <c r="U499" i="3"/>
  <c r="V499" i="3"/>
  <c r="W499" i="3"/>
  <c r="X499" i="3"/>
  <c r="Y499" i="3"/>
  <c r="Z499" i="3"/>
  <c r="AA499" i="3"/>
  <c r="AB499" i="3"/>
  <c r="AC499" i="3"/>
  <c r="AD499" i="3"/>
  <c r="AE499" i="3"/>
  <c r="AF499" i="3"/>
  <c r="AG499" i="3"/>
  <c r="AH499" i="3"/>
  <c r="AI499" i="3"/>
  <c r="AJ499" i="3"/>
  <c r="AK499" i="3"/>
  <c r="AL499" i="3"/>
  <c r="AM499" i="3"/>
  <c r="AN499" i="3"/>
  <c r="A500" i="3"/>
  <c r="B500" i="3"/>
  <c r="C500" i="3"/>
  <c r="D500" i="3"/>
  <c r="E500" i="3"/>
  <c r="F500" i="3"/>
  <c r="G500" i="3"/>
  <c r="H500" i="3"/>
  <c r="I500" i="3"/>
  <c r="J500" i="3"/>
  <c r="K500" i="3"/>
  <c r="L500" i="3"/>
  <c r="M500" i="3"/>
  <c r="N500" i="3"/>
  <c r="O500" i="3"/>
  <c r="P500" i="3"/>
  <c r="Q500" i="3"/>
  <c r="R500" i="3"/>
  <c r="S500" i="3"/>
  <c r="T500" i="3"/>
  <c r="U500" i="3"/>
  <c r="V500" i="3"/>
  <c r="W500" i="3"/>
  <c r="X500" i="3"/>
  <c r="Y500" i="3"/>
  <c r="Z500" i="3"/>
  <c r="AA500" i="3"/>
  <c r="AB500" i="3"/>
  <c r="AC500" i="3"/>
  <c r="AD500" i="3"/>
  <c r="AE500" i="3"/>
  <c r="AF500" i="3"/>
  <c r="AG500" i="3"/>
  <c r="AH500" i="3"/>
  <c r="AI500" i="3"/>
  <c r="AJ500" i="3"/>
  <c r="AK500" i="3"/>
  <c r="AL500" i="3"/>
  <c r="AM500" i="3"/>
  <c r="AN500" i="3"/>
  <c r="A501" i="3"/>
  <c r="B501" i="3"/>
  <c r="C501" i="3"/>
  <c r="D501" i="3"/>
  <c r="E501" i="3"/>
  <c r="F501" i="3"/>
  <c r="G501" i="3"/>
  <c r="H501" i="3"/>
  <c r="I501" i="3"/>
  <c r="J501" i="3"/>
  <c r="K501" i="3"/>
  <c r="L501" i="3"/>
  <c r="M501" i="3"/>
  <c r="N501" i="3"/>
  <c r="O501" i="3"/>
  <c r="P501" i="3"/>
  <c r="Q501" i="3"/>
  <c r="R501" i="3"/>
  <c r="S501" i="3"/>
  <c r="T501" i="3"/>
  <c r="U501" i="3"/>
  <c r="V501" i="3"/>
  <c r="W501" i="3"/>
  <c r="X501" i="3"/>
  <c r="Y501" i="3"/>
  <c r="Z501" i="3"/>
  <c r="AA501" i="3"/>
  <c r="AB501" i="3"/>
  <c r="AC501" i="3"/>
  <c r="AD501" i="3"/>
  <c r="AE501" i="3"/>
  <c r="AF501" i="3"/>
  <c r="AG501" i="3"/>
  <c r="AH501" i="3"/>
  <c r="AI501" i="3"/>
  <c r="AJ501" i="3"/>
  <c r="AK501" i="3"/>
  <c r="AL501" i="3"/>
  <c r="AM501" i="3"/>
  <c r="AN501" i="3"/>
  <c r="A502" i="3"/>
  <c r="B502" i="3"/>
  <c r="C502" i="3"/>
  <c r="D502" i="3"/>
  <c r="E502" i="3"/>
  <c r="F502" i="3"/>
  <c r="G502" i="3"/>
  <c r="H502" i="3"/>
  <c r="I502" i="3"/>
  <c r="J502" i="3"/>
  <c r="K502" i="3"/>
  <c r="L502" i="3"/>
  <c r="M502" i="3"/>
  <c r="N502" i="3"/>
  <c r="O502" i="3"/>
  <c r="P502" i="3"/>
  <c r="Q502" i="3"/>
  <c r="R502" i="3"/>
  <c r="S502" i="3"/>
  <c r="T502" i="3"/>
  <c r="U502" i="3"/>
  <c r="V502" i="3"/>
  <c r="W502" i="3"/>
  <c r="X502" i="3"/>
  <c r="Y502" i="3"/>
  <c r="Z502" i="3"/>
  <c r="AA502" i="3"/>
  <c r="AB502" i="3"/>
  <c r="AC502" i="3"/>
  <c r="AD502" i="3"/>
  <c r="AE502" i="3"/>
  <c r="AF502" i="3"/>
  <c r="AG502" i="3"/>
  <c r="AH502" i="3"/>
  <c r="AI502" i="3"/>
  <c r="AJ502" i="3"/>
  <c r="AK502" i="3"/>
  <c r="AL502" i="3"/>
  <c r="AM502" i="3"/>
  <c r="AN502" i="3"/>
  <c r="A503" i="3"/>
  <c r="B503" i="3"/>
  <c r="C503" i="3"/>
  <c r="D503" i="3"/>
  <c r="E503" i="3"/>
  <c r="F503" i="3"/>
  <c r="G503" i="3"/>
  <c r="H503" i="3"/>
  <c r="I503" i="3"/>
  <c r="J503" i="3"/>
  <c r="K503" i="3"/>
  <c r="L503" i="3"/>
  <c r="M503" i="3"/>
  <c r="N503" i="3"/>
  <c r="O503" i="3"/>
  <c r="P503" i="3"/>
  <c r="Q503" i="3"/>
  <c r="R503" i="3"/>
  <c r="S503" i="3"/>
  <c r="T503" i="3"/>
  <c r="U503" i="3"/>
  <c r="V503" i="3"/>
  <c r="W503" i="3"/>
  <c r="X503" i="3"/>
  <c r="Y503" i="3"/>
  <c r="Z503" i="3"/>
  <c r="AA503" i="3"/>
  <c r="AB503" i="3"/>
  <c r="AC503" i="3"/>
  <c r="AD503" i="3"/>
  <c r="AE503" i="3"/>
  <c r="AF503" i="3"/>
  <c r="AG503" i="3"/>
  <c r="AH503" i="3"/>
  <c r="AI503" i="3"/>
  <c r="AJ503" i="3"/>
  <c r="AK503" i="3"/>
  <c r="AL503" i="3"/>
  <c r="AM503" i="3"/>
  <c r="AN503" i="3"/>
  <c r="A504" i="3"/>
  <c r="B504" i="3"/>
  <c r="C504" i="3"/>
  <c r="D504" i="3"/>
  <c r="E504" i="3"/>
  <c r="F504" i="3"/>
  <c r="G504" i="3"/>
  <c r="H504" i="3"/>
  <c r="I504" i="3"/>
  <c r="J504" i="3"/>
  <c r="K504" i="3"/>
  <c r="L504" i="3"/>
  <c r="M504" i="3"/>
  <c r="N504" i="3"/>
  <c r="O504" i="3"/>
  <c r="P504" i="3"/>
  <c r="Q504" i="3"/>
  <c r="R504" i="3"/>
  <c r="S504" i="3"/>
  <c r="T504" i="3"/>
  <c r="U504" i="3"/>
  <c r="V504" i="3"/>
  <c r="W504" i="3"/>
  <c r="X504" i="3"/>
  <c r="Y504" i="3"/>
  <c r="Z504" i="3"/>
  <c r="AA504" i="3"/>
  <c r="AB504" i="3"/>
  <c r="AC504" i="3"/>
  <c r="AD504" i="3"/>
  <c r="AE504" i="3"/>
  <c r="AF504" i="3"/>
  <c r="AG504" i="3"/>
  <c r="AH504" i="3"/>
  <c r="AI504" i="3"/>
  <c r="AJ504" i="3"/>
  <c r="AK504" i="3"/>
  <c r="AL504" i="3"/>
  <c r="AM504" i="3"/>
  <c r="AN504" i="3"/>
  <c r="A505" i="3"/>
  <c r="B505" i="3"/>
  <c r="C505" i="3"/>
  <c r="D505" i="3"/>
  <c r="E505" i="3"/>
  <c r="F505" i="3"/>
  <c r="G505" i="3"/>
  <c r="H505" i="3"/>
  <c r="I505" i="3"/>
  <c r="J505" i="3"/>
  <c r="K505" i="3"/>
  <c r="L505" i="3"/>
  <c r="M505" i="3"/>
  <c r="N505" i="3"/>
  <c r="O505" i="3"/>
  <c r="P505" i="3"/>
  <c r="Q505" i="3"/>
  <c r="R505" i="3"/>
  <c r="S505" i="3"/>
  <c r="T505" i="3"/>
  <c r="U505" i="3"/>
  <c r="V505" i="3"/>
  <c r="W505" i="3"/>
  <c r="X505" i="3"/>
  <c r="Y505" i="3"/>
  <c r="Z505" i="3"/>
  <c r="AA505" i="3"/>
  <c r="AB505" i="3"/>
  <c r="AC505" i="3"/>
  <c r="AD505" i="3"/>
  <c r="AE505" i="3"/>
  <c r="AF505" i="3"/>
  <c r="AG505" i="3"/>
  <c r="AH505" i="3"/>
  <c r="AI505" i="3"/>
  <c r="AJ505" i="3"/>
  <c r="AK505" i="3"/>
  <c r="AL505" i="3"/>
  <c r="AM505" i="3"/>
  <c r="AN505" i="3"/>
  <c r="A506" i="3"/>
  <c r="B506" i="3"/>
  <c r="C506" i="3"/>
  <c r="D506" i="3"/>
  <c r="E506" i="3"/>
  <c r="F506" i="3"/>
  <c r="G506" i="3"/>
  <c r="H506" i="3"/>
  <c r="I506" i="3"/>
  <c r="J506" i="3"/>
  <c r="K506" i="3"/>
  <c r="L506" i="3"/>
  <c r="M506" i="3"/>
  <c r="N506" i="3"/>
  <c r="O506" i="3"/>
  <c r="P506" i="3"/>
  <c r="Q506" i="3"/>
  <c r="R506" i="3"/>
  <c r="S506" i="3"/>
  <c r="T506" i="3"/>
  <c r="U506" i="3"/>
  <c r="V506" i="3"/>
  <c r="W506" i="3"/>
  <c r="X506" i="3"/>
  <c r="Y506" i="3"/>
  <c r="Z506" i="3"/>
  <c r="AA506" i="3"/>
  <c r="AB506" i="3"/>
  <c r="AC506" i="3"/>
  <c r="AD506" i="3"/>
  <c r="AE506" i="3"/>
  <c r="AF506" i="3"/>
  <c r="AG506" i="3"/>
  <c r="AH506" i="3"/>
  <c r="AI506" i="3"/>
  <c r="AJ506" i="3"/>
  <c r="AK506" i="3"/>
  <c r="AL506" i="3"/>
  <c r="AM506" i="3"/>
  <c r="AN506" i="3"/>
  <c r="A507" i="3"/>
  <c r="B507" i="3"/>
  <c r="C507" i="3"/>
  <c r="D507" i="3"/>
  <c r="E507" i="3"/>
  <c r="F507" i="3"/>
  <c r="G507" i="3"/>
  <c r="H507" i="3"/>
  <c r="I507" i="3"/>
  <c r="J507" i="3"/>
  <c r="K507" i="3"/>
  <c r="L507" i="3"/>
  <c r="M507" i="3"/>
  <c r="N507" i="3"/>
  <c r="O507" i="3"/>
  <c r="P507" i="3"/>
  <c r="Q507" i="3"/>
  <c r="R507" i="3"/>
  <c r="S507" i="3"/>
  <c r="T507" i="3"/>
  <c r="U507" i="3"/>
  <c r="V507" i="3"/>
  <c r="W507" i="3"/>
  <c r="X507" i="3"/>
  <c r="Y507" i="3"/>
  <c r="Z507" i="3"/>
  <c r="AA507" i="3"/>
  <c r="AB507" i="3"/>
  <c r="AC507" i="3"/>
  <c r="AD507" i="3"/>
  <c r="AE507" i="3"/>
  <c r="AF507" i="3"/>
  <c r="AG507" i="3"/>
  <c r="AH507" i="3"/>
  <c r="AI507" i="3"/>
  <c r="AJ507" i="3"/>
  <c r="AK507" i="3"/>
  <c r="AL507" i="3"/>
  <c r="AM507" i="3"/>
  <c r="AN507" i="3"/>
  <c r="A508" i="3"/>
  <c r="B508" i="3"/>
  <c r="C508" i="3"/>
  <c r="D508" i="3"/>
  <c r="E508" i="3"/>
  <c r="F508" i="3"/>
  <c r="G508" i="3"/>
  <c r="H508" i="3"/>
  <c r="I508" i="3"/>
  <c r="J508" i="3"/>
  <c r="K508" i="3"/>
  <c r="L508" i="3"/>
  <c r="M508" i="3"/>
  <c r="N508" i="3"/>
  <c r="O508" i="3"/>
  <c r="P508" i="3"/>
  <c r="Q508" i="3"/>
  <c r="R508" i="3"/>
  <c r="S508" i="3"/>
  <c r="T508" i="3"/>
  <c r="U508" i="3"/>
  <c r="V508" i="3"/>
  <c r="W508" i="3"/>
  <c r="X508" i="3"/>
  <c r="Y508" i="3"/>
  <c r="Z508" i="3"/>
  <c r="AA508" i="3"/>
  <c r="AB508" i="3"/>
  <c r="AC508" i="3"/>
  <c r="AD508" i="3"/>
  <c r="AE508" i="3"/>
  <c r="AF508" i="3"/>
  <c r="AG508" i="3"/>
  <c r="AH508" i="3"/>
  <c r="AI508" i="3"/>
  <c r="AJ508" i="3"/>
  <c r="AK508" i="3"/>
  <c r="AL508" i="3"/>
  <c r="AM508" i="3"/>
  <c r="AN508" i="3"/>
  <c r="A509" i="3"/>
  <c r="B509" i="3"/>
  <c r="C509" i="3"/>
  <c r="D509" i="3"/>
  <c r="E509" i="3"/>
  <c r="F509" i="3"/>
  <c r="G509" i="3"/>
  <c r="H509" i="3"/>
  <c r="I509" i="3"/>
  <c r="J509" i="3"/>
  <c r="K509" i="3"/>
  <c r="L509" i="3"/>
  <c r="M509" i="3"/>
  <c r="N509" i="3"/>
  <c r="O509" i="3"/>
  <c r="P509" i="3"/>
  <c r="Q509" i="3"/>
  <c r="R509" i="3"/>
  <c r="S509" i="3"/>
  <c r="T509" i="3"/>
  <c r="U509" i="3"/>
  <c r="V509" i="3"/>
  <c r="W509" i="3"/>
  <c r="X509" i="3"/>
  <c r="Y509" i="3"/>
  <c r="Z509" i="3"/>
  <c r="AA509" i="3"/>
  <c r="AB509" i="3"/>
  <c r="AC509" i="3"/>
  <c r="AD509" i="3"/>
  <c r="AE509" i="3"/>
  <c r="AF509" i="3"/>
  <c r="AG509" i="3"/>
  <c r="AH509" i="3"/>
  <c r="AI509" i="3"/>
  <c r="AJ509" i="3"/>
  <c r="AK509" i="3"/>
  <c r="AL509" i="3"/>
  <c r="AM509" i="3"/>
  <c r="AN509" i="3"/>
  <c r="A510" i="3"/>
  <c r="B510" i="3"/>
  <c r="C510" i="3"/>
  <c r="D510" i="3"/>
  <c r="E510" i="3"/>
  <c r="F510" i="3"/>
  <c r="G510" i="3"/>
  <c r="H510" i="3"/>
  <c r="I510" i="3"/>
  <c r="J510" i="3"/>
  <c r="K510" i="3"/>
  <c r="L510" i="3"/>
  <c r="M510" i="3"/>
  <c r="N510" i="3"/>
  <c r="O510" i="3"/>
  <c r="P510" i="3"/>
  <c r="Q510" i="3"/>
  <c r="R510" i="3"/>
  <c r="S510" i="3"/>
  <c r="T510" i="3"/>
  <c r="U510" i="3"/>
  <c r="V510" i="3"/>
  <c r="W510" i="3"/>
  <c r="X510" i="3"/>
  <c r="Y510" i="3"/>
  <c r="Z510" i="3"/>
  <c r="AA510" i="3"/>
  <c r="AB510" i="3"/>
  <c r="AC510" i="3"/>
  <c r="AD510" i="3"/>
  <c r="AE510" i="3"/>
  <c r="AF510" i="3"/>
  <c r="AG510" i="3"/>
  <c r="AH510" i="3"/>
  <c r="AI510" i="3"/>
  <c r="AJ510" i="3"/>
  <c r="AK510" i="3"/>
  <c r="AL510" i="3"/>
  <c r="AM510" i="3"/>
  <c r="AN510" i="3"/>
  <c r="A511" i="3"/>
  <c r="B511" i="3"/>
  <c r="C511" i="3"/>
  <c r="D511" i="3"/>
  <c r="E511" i="3"/>
  <c r="F511" i="3"/>
  <c r="G511" i="3"/>
  <c r="H511" i="3"/>
  <c r="I511" i="3"/>
  <c r="J511" i="3"/>
  <c r="K511" i="3"/>
  <c r="L511" i="3"/>
  <c r="M511" i="3"/>
  <c r="N511" i="3"/>
  <c r="O511" i="3"/>
  <c r="P511" i="3"/>
  <c r="Q511" i="3"/>
  <c r="R511" i="3"/>
  <c r="S511" i="3"/>
  <c r="T511" i="3"/>
  <c r="U511" i="3"/>
  <c r="V511" i="3"/>
  <c r="W511" i="3"/>
  <c r="X511" i="3"/>
  <c r="Y511" i="3"/>
  <c r="Z511" i="3"/>
  <c r="AA511" i="3"/>
  <c r="AB511" i="3"/>
  <c r="AC511" i="3"/>
  <c r="AD511" i="3"/>
  <c r="AE511" i="3"/>
  <c r="AF511" i="3"/>
  <c r="AG511" i="3"/>
  <c r="AH511" i="3"/>
  <c r="AI511" i="3"/>
  <c r="AJ511" i="3"/>
  <c r="AK511" i="3"/>
  <c r="AL511" i="3"/>
  <c r="AM511" i="3"/>
  <c r="AN511" i="3"/>
  <c r="A512" i="3"/>
  <c r="B512" i="3"/>
  <c r="C512" i="3"/>
  <c r="D512" i="3"/>
  <c r="E512" i="3"/>
  <c r="F512" i="3"/>
  <c r="G512" i="3"/>
  <c r="H512" i="3"/>
  <c r="I512" i="3"/>
  <c r="J512" i="3"/>
  <c r="K512" i="3"/>
  <c r="L512" i="3"/>
  <c r="M512" i="3"/>
  <c r="N512" i="3"/>
  <c r="O512" i="3"/>
  <c r="P512" i="3"/>
  <c r="Q512" i="3"/>
  <c r="R512" i="3"/>
  <c r="S512" i="3"/>
  <c r="T512" i="3"/>
  <c r="U512" i="3"/>
  <c r="V512" i="3"/>
  <c r="W512" i="3"/>
  <c r="X512" i="3"/>
  <c r="Y512" i="3"/>
  <c r="Z512" i="3"/>
  <c r="AA512" i="3"/>
  <c r="AB512" i="3"/>
  <c r="AC512" i="3"/>
  <c r="AD512" i="3"/>
  <c r="AE512" i="3"/>
  <c r="AF512" i="3"/>
  <c r="AG512" i="3"/>
  <c r="AH512" i="3"/>
  <c r="AI512" i="3"/>
  <c r="AJ512" i="3"/>
  <c r="AK512" i="3"/>
  <c r="AL512" i="3"/>
  <c r="AM512" i="3"/>
  <c r="AN512" i="3"/>
  <c r="A513" i="3"/>
  <c r="B513" i="3"/>
  <c r="C513" i="3"/>
  <c r="D513" i="3"/>
  <c r="E513" i="3"/>
  <c r="F513" i="3"/>
  <c r="G513" i="3"/>
  <c r="H513" i="3"/>
  <c r="I513" i="3"/>
  <c r="J513" i="3"/>
  <c r="K513" i="3"/>
  <c r="L513" i="3"/>
  <c r="M513" i="3"/>
  <c r="N513" i="3"/>
  <c r="O513" i="3"/>
  <c r="P513" i="3"/>
  <c r="Q513" i="3"/>
  <c r="R513" i="3"/>
  <c r="S513" i="3"/>
  <c r="T513" i="3"/>
  <c r="U513" i="3"/>
  <c r="V513" i="3"/>
  <c r="W513" i="3"/>
  <c r="X513" i="3"/>
  <c r="Y513" i="3"/>
  <c r="Z513" i="3"/>
  <c r="AA513" i="3"/>
  <c r="AB513" i="3"/>
  <c r="AC513" i="3"/>
  <c r="AD513" i="3"/>
  <c r="AE513" i="3"/>
  <c r="AF513" i="3"/>
  <c r="AG513" i="3"/>
  <c r="AH513" i="3"/>
  <c r="AI513" i="3"/>
  <c r="AJ513" i="3"/>
  <c r="AK513" i="3"/>
  <c r="AL513" i="3"/>
  <c r="AM513" i="3"/>
  <c r="AN513" i="3"/>
  <c r="A514" i="3"/>
  <c r="B514" i="3"/>
  <c r="C514" i="3"/>
  <c r="D514" i="3"/>
  <c r="E514" i="3"/>
  <c r="F514" i="3"/>
  <c r="G514" i="3"/>
  <c r="H514" i="3"/>
  <c r="I514" i="3"/>
  <c r="J514" i="3"/>
  <c r="K514" i="3"/>
  <c r="L514" i="3"/>
  <c r="M514" i="3"/>
  <c r="N514" i="3"/>
  <c r="O514" i="3"/>
  <c r="P514" i="3"/>
  <c r="Q514" i="3"/>
  <c r="R514" i="3"/>
  <c r="S514" i="3"/>
  <c r="T514" i="3"/>
  <c r="U514" i="3"/>
  <c r="V514" i="3"/>
  <c r="W514" i="3"/>
  <c r="X514" i="3"/>
  <c r="Y514" i="3"/>
  <c r="Z514" i="3"/>
  <c r="AA514" i="3"/>
  <c r="AB514" i="3"/>
  <c r="AC514" i="3"/>
  <c r="AD514" i="3"/>
  <c r="AE514" i="3"/>
  <c r="AF514" i="3"/>
  <c r="AG514" i="3"/>
  <c r="AH514" i="3"/>
  <c r="AI514" i="3"/>
  <c r="AJ514" i="3"/>
  <c r="AK514" i="3"/>
  <c r="AL514" i="3"/>
  <c r="AM514" i="3"/>
  <c r="AN514" i="3"/>
  <c r="A515" i="3"/>
  <c r="B515" i="3"/>
  <c r="C515" i="3"/>
  <c r="D515" i="3"/>
  <c r="E515" i="3"/>
  <c r="F515" i="3"/>
  <c r="G515" i="3"/>
  <c r="H515" i="3"/>
  <c r="I515" i="3"/>
  <c r="J515" i="3"/>
  <c r="K515" i="3"/>
  <c r="L515" i="3"/>
  <c r="M515" i="3"/>
  <c r="N515" i="3"/>
  <c r="O515" i="3"/>
  <c r="P515" i="3"/>
  <c r="Q515" i="3"/>
  <c r="R515" i="3"/>
  <c r="S515" i="3"/>
  <c r="T515" i="3"/>
  <c r="U515" i="3"/>
  <c r="V515" i="3"/>
  <c r="W515" i="3"/>
  <c r="X515" i="3"/>
  <c r="Y515" i="3"/>
  <c r="Z515" i="3"/>
  <c r="AA515" i="3"/>
  <c r="AB515" i="3"/>
  <c r="AC515" i="3"/>
  <c r="AD515" i="3"/>
  <c r="AE515" i="3"/>
  <c r="AF515" i="3"/>
  <c r="AG515" i="3"/>
  <c r="AH515" i="3"/>
  <c r="AI515" i="3"/>
  <c r="AJ515" i="3"/>
  <c r="AK515" i="3"/>
  <c r="AL515" i="3"/>
  <c r="AM515" i="3"/>
  <c r="AN515" i="3"/>
  <c r="A516" i="3"/>
  <c r="B516" i="3"/>
  <c r="C516" i="3"/>
  <c r="D516" i="3"/>
  <c r="E516" i="3"/>
  <c r="F516" i="3"/>
  <c r="G516" i="3"/>
  <c r="H516" i="3"/>
  <c r="I516" i="3"/>
  <c r="J516" i="3"/>
  <c r="K516" i="3"/>
  <c r="L516" i="3"/>
  <c r="M516" i="3"/>
  <c r="N516" i="3"/>
  <c r="O516" i="3"/>
  <c r="P516" i="3"/>
  <c r="Q516" i="3"/>
  <c r="R516" i="3"/>
  <c r="S516" i="3"/>
  <c r="T516" i="3"/>
  <c r="U516" i="3"/>
  <c r="V516" i="3"/>
  <c r="W516" i="3"/>
  <c r="X516" i="3"/>
  <c r="Y516" i="3"/>
  <c r="Z516" i="3"/>
  <c r="AA516" i="3"/>
  <c r="AB516" i="3"/>
  <c r="AC516" i="3"/>
  <c r="AD516" i="3"/>
  <c r="AE516" i="3"/>
  <c r="AF516" i="3"/>
  <c r="AG516" i="3"/>
  <c r="AH516" i="3"/>
  <c r="AI516" i="3"/>
  <c r="AJ516" i="3"/>
  <c r="AK516" i="3"/>
  <c r="AL516" i="3"/>
  <c r="AM516" i="3"/>
  <c r="AN516" i="3"/>
  <c r="A517" i="3"/>
  <c r="B517" i="3"/>
  <c r="C517" i="3"/>
  <c r="D517" i="3"/>
  <c r="E517" i="3"/>
  <c r="F517" i="3"/>
  <c r="G517" i="3"/>
  <c r="H517" i="3"/>
  <c r="I517" i="3"/>
  <c r="J517" i="3"/>
  <c r="K517" i="3"/>
  <c r="L517" i="3"/>
  <c r="M517" i="3"/>
  <c r="N517" i="3"/>
  <c r="O517" i="3"/>
  <c r="P517" i="3"/>
  <c r="Q517" i="3"/>
  <c r="R517" i="3"/>
  <c r="S517" i="3"/>
  <c r="T517" i="3"/>
  <c r="U517" i="3"/>
  <c r="V517" i="3"/>
  <c r="W517" i="3"/>
  <c r="X517" i="3"/>
  <c r="Y517" i="3"/>
  <c r="Z517" i="3"/>
  <c r="AA517" i="3"/>
  <c r="AB517" i="3"/>
  <c r="AC517" i="3"/>
  <c r="AD517" i="3"/>
  <c r="AE517" i="3"/>
  <c r="AF517" i="3"/>
  <c r="AG517" i="3"/>
  <c r="AH517" i="3"/>
  <c r="AI517" i="3"/>
  <c r="AJ517" i="3"/>
  <c r="AK517" i="3"/>
  <c r="AL517" i="3"/>
  <c r="AM517" i="3"/>
  <c r="AN517" i="3"/>
  <c r="A518" i="3"/>
  <c r="B518" i="3"/>
  <c r="C518" i="3"/>
  <c r="D518" i="3"/>
  <c r="E518" i="3"/>
  <c r="F518" i="3"/>
  <c r="G518" i="3"/>
  <c r="H518" i="3"/>
  <c r="I518" i="3"/>
  <c r="J518" i="3"/>
  <c r="K518" i="3"/>
  <c r="L518" i="3"/>
  <c r="M518" i="3"/>
  <c r="N518" i="3"/>
  <c r="O518" i="3"/>
  <c r="P518" i="3"/>
  <c r="Q518" i="3"/>
  <c r="R518" i="3"/>
  <c r="S518" i="3"/>
  <c r="T518" i="3"/>
  <c r="U518" i="3"/>
  <c r="V518" i="3"/>
  <c r="W518" i="3"/>
  <c r="X518" i="3"/>
  <c r="Y518" i="3"/>
  <c r="Z518" i="3"/>
  <c r="AA518" i="3"/>
  <c r="AB518" i="3"/>
  <c r="AC518" i="3"/>
  <c r="AD518" i="3"/>
  <c r="AE518" i="3"/>
  <c r="AF518" i="3"/>
  <c r="AG518" i="3"/>
  <c r="AH518" i="3"/>
  <c r="AI518" i="3"/>
  <c r="AJ518" i="3"/>
  <c r="AK518" i="3"/>
  <c r="AL518" i="3"/>
  <c r="AM518" i="3"/>
  <c r="AN518" i="3"/>
  <c r="A519" i="3"/>
  <c r="B519" i="3"/>
  <c r="C519" i="3"/>
  <c r="D519" i="3"/>
  <c r="E519" i="3"/>
  <c r="F519" i="3"/>
  <c r="G519" i="3"/>
  <c r="H519" i="3"/>
  <c r="I519" i="3"/>
  <c r="J519" i="3"/>
  <c r="K519" i="3"/>
  <c r="L519" i="3"/>
  <c r="M519" i="3"/>
  <c r="N519" i="3"/>
  <c r="O519" i="3"/>
  <c r="P519" i="3"/>
  <c r="Q519" i="3"/>
  <c r="R519" i="3"/>
  <c r="S519" i="3"/>
  <c r="T519" i="3"/>
  <c r="U519" i="3"/>
  <c r="V519" i="3"/>
  <c r="W519" i="3"/>
  <c r="X519" i="3"/>
  <c r="Y519" i="3"/>
  <c r="Z519" i="3"/>
  <c r="AA519" i="3"/>
  <c r="AB519" i="3"/>
  <c r="AC519" i="3"/>
  <c r="AD519" i="3"/>
  <c r="AE519" i="3"/>
  <c r="AF519" i="3"/>
  <c r="AG519" i="3"/>
  <c r="AH519" i="3"/>
  <c r="AI519" i="3"/>
  <c r="AJ519" i="3"/>
  <c r="AK519" i="3"/>
  <c r="AL519" i="3"/>
  <c r="AM519" i="3"/>
  <c r="AN519" i="3"/>
  <c r="A520" i="3"/>
  <c r="B520" i="3"/>
  <c r="C520" i="3"/>
  <c r="D520" i="3"/>
  <c r="E520" i="3"/>
  <c r="F520" i="3"/>
  <c r="G520" i="3"/>
  <c r="H520" i="3"/>
  <c r="I520" i="3"/>
  <c r="J520" i="3"/>
  <c r="K520" i="3"/>
  <c r="L520" i="3"/>
  <c r="M520" i="3"/>
  <c r="N520" i="3"/>
  <c r="O520" i="3"/>
  <c r="P520" i="3"/>
  <c r="Q520" i="3"/>
  <c r="R520" i="3"/>
  <c r="S520" i="3"/>
  <c r="T520" i="3"/>
  <c r="U520" i="3"/>
  <c r="V520" i="3"/>
  <c r="W520" i="3"/>
  <c r="X520" i="3"/>
  <c r="Y520" i="3"/>
  <c r="Z520" i="3"/>
  <c r="AA520" i="3"/>
  <c r="AB520" i="3"/>
  <c r="AC520" i="3"/>
  <c r="AD520" i="3"/>
  <c r="AE520" i="3"/>
  <c r="AF520" i="3"/>
  <c r="AG520" i="3"/>
  <c r="AH520" i="3"/>
  <c r="AI520" i="3"/>
  <c r="AJ520" i="3"/>
  <c r="AK520" i="3"/>
  <c r="AL520" i="3"/>
  <c r="AM520" i="3"/>
  <c r="AN520" i="3"/>
  <c r="A521" i="3"/>
  <c r="B521" i="3"/>
  <c r="C521" i="3"/>
  <c r="D521" i="3"/>
  <c r="E521" i="3"/>
  <c r="F521" i="3"/>
  <c r="G521" i="3"/>
  <c r="H521" i="3"/>
  <c r="I521" i="3"/>
  <c r="J521" i="3"/>
  <c r="K521" i="3"/>
  <c r="L521" i="3"/>
  <c r="M521" i="3"/>
  <c r="N521" i="3"/>
  <c r="O521" i="3"/>
  <c r="P521" i="3"/>
  <c r="Q521" i="3"/>
  <c r="R521" i="3"/>
  <c r="S521" i="3"/>
  <c r="T521" i="3"/>
  <c r="U521" i="3"/>
  <c r="V521" i="3"/>
  <c r="W521" i="3"/>
  <c r="X521" i="3"/>
  <c r="Y521" i="3"/>
  <c r="Z521" i="3"/>
  <c r="AA521" i="3"/>
  <c r="AB521" i="3"/>
  <c r="AC521" i="3"/>
  <c r="AD521" i="3"/>
  <c r="AE521" i="3"/>
  <c r="AF521" i="3"/>
  <c r="AG521" i="3"/>
  <c r="AH521" i="3"/>
  <c r="AI521" i="3"/>
  <c r="AJ521" i="3"/>
  <c r="AK521" i="3"/>
  <c r="AL521" i="3"/>
  <c r="AM521" i="3"/>
  <c r="AN521" i="3"/>
  <c r="A522" i="3"/>
  <c r="B522" i="3"/>
  <c r="C522" i="3"/>
  <c r="D522" i="3"/>
  <c r="E522" i="3"/>
  <c r="F522" i="3"/>
  <c r="G522" i="3"/>
  <c r="H522" i="3"/>
  <c r="I522" i="3"/>
  <c r="J522" i="3"/>
  <c r="K522" i="3"/>
  <c r="L522" i="3"/>
  <c r="M522" i="3"/>
  <c r="N522" i="3"/>
  <c r="O522" i="3"/>
  <c r="P522" i="3"/>
  <c r="Q522" i="3"/>
  <c r="R522" i="3"/>
  <c r="S522" i="3"/>
  <c r="T522" i="3"/>
  <c r="U522" i="3"/>
  <c r="V522" i="3"/>
  <c r="W522" i="3"/>
  <c r="X522" i="3"/>
  <c r="Y522" i="3"/>
  <c r="Z522" i="3"/>
  <c r="AA522" i="3"/>
  <c r="AB522" i="3"/>
  <c r="AC522" i="3"/>
  <c r="AD522" i="3"/>
  <c r="AE522" i="3"/>
  <c r="AF522" i="3"/>
  <c r="AG522" i="3"/>
  <c r="AH522" i="3"/>
  <c r="AI522" i="3"/>
  <c r="AJ522" i="3"/>
  <c r="AK522" i="3"/>
  <c r="AL522" i="3"/>
  <c r="AM522" i="3"/>
  <c r="AN522" i="3"/>
  <c r="A523" i="3"/>
  <c r="B523" i="3"/>
  <c r="C523" i="3"/>
  <c r="D523" i="3"/>
  <c r="E523" i="3"/>
  <c r="F523" i="3"/>
  <c r="G523" i="3"/>
  <c r="H523" i="3"/>
  <c r="I523" i="3"/>
  <c r="J523" i="3"/>
  <c r="K523" i="3"/>
  <c r="L523" i="3"/>
  <c r="M523" i="3"/>
  <c r="N523" i="3"/>
  <c r="O523" i="3"/>
  <c r="P523" i="3"/>
  <c r="Q523" i="3"/>
  <c r="R523" i="3"/>
  <c r="S523" i="3"/>
  <c r="T523" i="3"/>
  <c r="U523" i="3"/>
  <c r="V523" i="3"/>
  <c r="W523" i="3"/>
  <c r="X523" i="3"/>
  <c r="Y523" i="3"/>
  <c r="Z523" i="3"/>
  <c r="AA523" i="3"/>
  <c r="AB523" i="3"/>
  <c r="AC523" i="3"/>
  <c r="AD523" i="3"/>
  <c r="AE523" i="3"/>
  <c r="AF523" i="3"/>
  <c r="AG523" i="3"/>
  <c r="AH523" i="3"/>
  <c r="AI523" i="3"/>
  <c r="AJ523" i="3"/>
  <c r="AK523" i="3"/>
  <c r="AL523" i="3"/>
  <c r="AM523" i="3"/>
  <c r="AN523" i="3"/>
  <c r="A524" i="3"/>
  <c r="B524" i="3"/>
  <c r="C524" i="3"/>
  <c r="D524" i="3"/>
  <c r="E524" i="3"/>
  <c r="F524" i="3"/>
  <c r="G524" i="3"/>
  <c r="H524" i="3"/>
  <c r="I524" i="3"/>
  <c r="J524" i="3"/>
  <c r="K524" i="3"/>
  <c r="L524" i="3"/>
  <c r="M524" i="3"/>
  <c r="N524" i="3"/>
  <c r="O524" i="3"/>
  <c r="P524" i="3"/>
  <c r="Q524" i="3"/>
  <c r="R524" i="3"/>
  <c r="S524" i="3"/>
  <c r="T524" i="3"/>
  <c r="U524" i="3"/>
  <c r="V524" i="3"/>
  <c r="W524" i="3"/>
  <c r="X524" i="3"/>
  <c r="Y524" i="3"/>
  <c r="Z524" i="3"/>
  <c r="AA524" i="3"/>
  <c r="AB524" i="3"/>
  <c r="AC524" i="3"/>
  <c r="AD524" i="3"/>
  <c r="AE524" i="3"/>
  <c r="AF524" i="3"/>
  <c r="AG524" i="3"/>
  <c r="AH524" i="3"/>
  <c r="AI524" i="3"/>
  <c r="AJ524" i="3"/>
  <c r="AK524" i="3"/>
  <c r="AL524" i="3"/>
  <c r="AM524" i="3"/>
  <c r="AN524" i="3"/>
  <c r="A525" i="3"/>
  <c r="B525" i="3"/>
  <c r="C525" i="3"/>
  <c r="D525" i="3"/>
  <c r="E525" i="3"/>
  <c r="F525" i="3"/>
  <c r="G525" i="3"/>
  <c r="H525" i="3"/>
  <c r="I525" i="3"/>
  <c r="J525" i="3"/>
  <c r="K525" i="3"/>
  <c r="L525" i="3"/>
  <c r="M525" i="3"/>
  <c r="N525" i="3"/>
  <c r="O525" i="3"/>
  <c r="P525" i="3"/>
  <c r="Q525" i="3"/>
  <c r="R525" i="3"/>
  <c r="S525" i="3"/>
  <c r="T525" i="3"/>
  <c r="U525" i="3"/>
  <c r="V525" i="3"/>
  <c r="W525" i="3"/>
  <c r="X525" i="3"/>
  <c r="Y525" i="3"/>
  <c r="Z525" i="3"/>
  <c r="AA525" i="3"/>
  <c r="AB525" i="3"/>
  <c r="AC525" i="3"/>
  <c r="AD525" i="3"/>
  <c r="AE525" i="3"/>
  <c r="AF525" i="3"/>
  <c r="AG525" i="3"/>
  <c r="AH525" i="3"/>
  <c r="AI525" i="3"/>
  <c r="AJ525" i="3"/>
  <c r="AK525" i="3"/>
  <c r="AL525" i="3"/>
  <c r="AM525" i="3"/>
  <c r="AN525" i="3"/>
  <c r="A526" i="3"/>
  <c r="B526" i="3"/>
  <c r="C526" i="3"/>
  <c r="D526" i="3"/>
  <c r="E526" i="3"/>
  <c r="F526" i="3"/>
  <c r="G526" i="3"/>
  <c r="H526" i="3"/>
  <c r="I526" i="3"/>
  <c r="J526" i="3"/>
  <c r="K526" i="3"/>
  <c r="L526" i="3"/>
  <c r="M526" i="3"/>
  <c r="N526" i="3"/>
  <c r="O526" i="3"/>
  <c r="P526" i="3"/>
  <c r="Q526" i="3"/>
  <c r="R526" i="3"/>
  <c r="S526" i="3"/>
  <c r="T526" i="3"/>
  <c r="U526" i="3"/>
  <c r="V526" i="3"/>
  <c r="W526" i="3"/>
  <c r="X526" i="3"/>
  <c r="Y526" i="3"/>
  <c r="Z526" i="3"/>
  <c r="AA526" i="3"/>
  <c r="AB526" i="3"/>
  <c r="AC526" i="3"/>
  <c r="AD526" i="3"/>
  <c r="AE526" i="3"/>
  <c r="AF526" i="3"/>
  <c r="AG526" i="3"/>
  <c r="AH526" i="3"/>
  <c r="AI526" i="3"/>
  <c r="AJ526" i="3"/>
  <c r="AK526" i="3"/>
  <c r="AL526" i="3"/>
  <c r="AM526" i="3"/>
  <c r="AN526" i="3"/>
  <c r="A527" i="3"/>
  <c r="B527" i="3"/>
  <c r="C527" i="3"/>
  <c r="D527" i="3"/>
  <c r="E527" i="3"/>
  <c r="F527" i="3"/>
  <c r="G527" i="3"/>
  <c r="H527" i="3"/>
  <c r="I527" i="3"/>
  <c r="J527" i="3"/>
  <c r="K527" i="3"/>
  <c r="L527" i="3"/>
  <c r="M527" i="3"/>
  <c r="N527" i="3"/>
  <c r="O527" i="3"/>
  <c r="P527" i="3"/>
  <c r="Q527" i="3"/>
  <c r="R527" i="3"/>
  <c r="S527" i="3"/>
  <c r="T527" i="3"/>
  <c r="U527" i="3"/>
  <c r="V527" i="3"/>
  <c r="W527" i="3"/>
  <c r="X527" i="3"/>
  <c r="Y527" i="3"/>
  <c r="Z527" i="3"/>
  <c r="AA527" i="3"/>
  <c r="AB527" i="3"/>
  <c r="AC527" i="3"/>
  <c r="AD527" i="3"/>
  <c r="AE527" i="3"/>
  <c r="AF527" i="3"/>
  <c r="AG527" i="3"/>
  <c r="AH527" i="3"/>
  <c r="AI527" i="3"/>
  <c r="AJ527" i="3"/>
  <c r="AK527" i="3"/>
  <c r="AL527" i="3"/>
  <c r="AM527" i="3"/>
  <c r="AN527" i="3"/>
  <c r="A528" i="3"/>
  <c r="B528" i="3"/>
  <c r="C528" i="3"/>
  <c r="D528" i="3"/>
  <c r="E528" i="3"/>
  <c r="F528" i="3"/>
  <c r="G528" i="3"/>
  <c r="H528" i="3"/>
  <c r="I528" i="3"/>
  <c r="J528" i="3"/>
  <c r="K528" i="3"/>
  <c r="L528" i="3"/>
  <c r="M528" i="3"/>
  <c r="N528" i="3"/>
  <c r="O528" i="3"/>
  <c r="P528" i="3"/>
  <c r="Q528" i="3"/>
  <c r="R528" i="3"/>
  <c r="S528" i="3"/>
  <c r="T528" i="3"/>
  <c r="U528" i="3"/>
  <c r="V528" i="3"/>
  <c r="W528" i="3"/>
  <c r="X528" i="3"/>
  <c r="Y528" i="3"/>
  <c r="Z528" i="3"/>
  <c r="AA528" i="3"/>
  <c r="AB528" i="3"/>
  <c r="AC528" i="3"/>
  <c r="AD528" i="3"/>
  <c r="AE528" i="3"/>
  <c r="AF528" i="3"/>
  <c r="AG528" i="3"/>
  <c r="AH528" i="3"/>
  <c r="AI528" i="3"/>
  <c r="AJ528" i="3"/>
  <c r="AK528" i="3"/>
  <c r="AL528" i="3"/>
  <c r="AM528" i="3"/>
  <c r="AN528" i="3"/>
  <c r="A529" i="3"/>
  <c r="B529" i="3"/>
  <c r="C529" i="3"/>
  <c r="D529" i="3"/>
  <c r="E529" i="3"/>
  <c r="F529" i="3"/>
  <c r="G529" i="3"/>
  <c r="H529" i="3"/>
  <c r="I529" i="3"/>
  <c r="J529" i="3"/>
  <c r="K529" i="3"/>
  <c r="L529" i="3"/>
  <c r="M529" i="3"/>
  <c r="N529" i="3"/>
  <c r="O529" i="3"/>
  <c r="P529" i="3"/>
  <c r="Q529" i="3"/>
  <c r="R529" i="3"/>
  <c r="S529" i="3"/>
  <c r="T529" i="3"/>
  <c r="U529" i="3"/>
  <c r="V529" i="3"/>
  <c r="W529" i="3"/>
  <c r="X529" i="3"/>
  <c r="Y529" i="3"/>
  <c r="Z529" i="3"/>
  <c r="AA529" i="3"/>
  <c r="AB529" i="3"/>
  <c r="AC529" i="3"/>
  <c r="AD529" i="3"/>
  <c r="AE529" i="3"/>
  <c r="AF529" i="3"/>
  <c r="AG529" i="3"/>
  <c r="AH529" i="3"/>
  <c r="AI529" i="3"/>
  <c r="AJ529" i="3"/>
  <c r="AK529" i="3"/>
  <c r="AL529" i="3"/>
  <c r="AM529" i="3"/>
  <c r="AN529" i="3"/>
  <c r="A530" i="3"/>
  <c r="B530" i="3"/>
  <c r="C530" i="3"/>
  <c r="D530" i="3"/>
  <c r="E530" i="3"/>
  <c r="F530" i="3"/>
  <c r="G530" i="3"/>
  <c r="H530" i="3"/>
  <c r="I530" i="3"/>
  <c r="J530" i="3"/>
  <c r="K530" i="3"/>
  <c r="L530" i="3"/>
  <c r="M530" i="3"/>
  <c r="N530" i="3"/>
  <c r="O530" i="3"/>
  <c r="P530" i="3"/>
  <c r="Q530" i="3"/>
  <c r="R530" i="3"/>
  <c r="S530" i="3"/>
  <c r="T530" i="3"/>
  <c r="U530" i="3"/>
  <c r="V530" i="3"/>
  <c r="W530" i="3"/>
  <c r="X530" i="3"/>
  <c r="Y530" i="3"/>
  <c r="Z530" i="3"/>
  <c r="AA530" i="3"/>
  <c r="AB530" i="3"/>
  <c r="AC530" i="3"/>
  <c r="AD530" i="3"/>
  <c r="AE530" i="3"/>
  <c r="AF530" i="3"/>
  <c r="AG530" i="3"/>
  <c r="AH530" i="3"/>
  <c r="AI530" i="3"/>
  <c r="AJ530" i="3"/>
  <c r="AK530" i="3"/>
  <c r="AL530" i="3"/>
  <c r="AM530" i="3"/>
  <c r="AN530" i="3"/>
  <c r="A531" i="3"/>
  <c r="B531" i="3"/>
  <c r="C531" i="3"/>
  <c r="D531" i="3"/>
  <c r="E531" i="3"/>
  <c r="F531" i="3"/>
  <c r="G531" i="3"/>
  <c r="H531" i="3"/>
  <c r="I531" i="3"/>
  <c r="J531" i="3"/>
  <c r="K531" i="3"/>
  <c r="L531" i="3"/>
  <c r="M531" i="3"/>
  <c r="N531" i="3"/>
  <c r="O531" i="3"/>
  <c r="P531" i="3"/>
  <c r="Q531" i="3"/>
  <c r="R531" i="3"/>
  <c r="S531" i="3"/>
  <c r="T531" i="3"/>
  <c r="U531" i="3"/>
  <c r="V531" i="3"/>
  <c r="W531" i="3"/>
  <c r="X531" i="3"/>
  <c r="Y531" i="3"/>
  <c r="Z531" i="3"/>
  <c r="AA531" i="3"/>
  <c r="AB531" i="3"/>
  <c r="AC531" i="3"/>
  <c r="AD531" i="3"/>
  <c r="AE531" i="3"/>
  <c r="AF531" i="3"/>
  <c r="AG531" i="3"/>
  <c r="AH531" i="3"/>
  <c r="AI531" i="3"/>
  <c r="AJ531" i="3"/>
  <c r="AK531" i="3"/>
  <c r="AL531" i="3"/>
  <c r="AM531" i="3"/>
  <c r="AN531" i="3"/>
  <c r="A532" i="3"/>
  <c r="B532" i="3"/>
  <c r="C532" i="3"/>
  <c r="D532" i="3"/>
  <c r="E532" i="3"/>
  <c r="F532" i="3"/>
  <c r="G532" i="3"/>
  <c r="H532" i="3"/>
  <c r="I532" i="3"/>
  <c r="J532" i="3"/>
  <c r="K532" i="3"/>
  <c r="L532" i="3"/>
  <c r="M532" i="3"/>
  <c r="N532" i="3"/>
  <c r="O532" i="3"/>
  <c r="P532" i="3"/>
  <c r="Q532" i="3"/>
  <c r="R532" i="3"/>
  <c r="S532" i="3"/>
  <c r="T532" i="3"/>
  <c r="U532" i="3"/>
  <c r="V532" i="3"/>
  <c r="W532" i="3"/>
  <c r="X532" i="3"/>
  <c r="Y532" i="3"/>
  <c r="Z532" i="3"/>
  <c r="AA532" i="3"/>
  <c r="AB532" i="3"/>
  <c r="AC532" i="3"/>
  <c r="AD532" i="3"/>
  <c r="AE532" i="3"/>
  <c r="AF532" i="3"/>
  <c r="AG532" i="3"/>
  <c r="AH532" i="3"/>
  <c r="AI532" i="3"/>
  <c r="AJ532" i="3"/>
  <c r="AK532" i="3"/>
  <c r="AL532" i="3"/>
  <c r="AM532" i="3"/>
  <c r="AN532" i="3"/>
  <c r="A533" i="3"/>
  <c r="B533" i="3"/>
  <c r="C533" i="3"/>
  <c r="D533" i="3"/>
  <c r="E533" i="3"/>
  <c r="F533" i="3"/>
  <c r="G533" i="3"/>
  <c r="H533" i="3"/>
  <c r="I533" i="3"/>
  <c r="J533" i="3"/>
  <c r="K533" i="3"/>
  <c r="L533" i="3"/>
  <c r="M533" i="3"/>
  <c r="N533" i="3"/>
  <c r="O533" i="3"/>
  <c r="P533" i="3"/>
  <c r="Q533" i="3"/>
  <c r="R533" i="3"/>
  <c r="S533" i="3"/>
  <c r="T533" i="3"/>
  <c r="U533" i="3"/>
  <c r="V533" i="3"/>
  <c r="W533" i="3"/>
  <c r="X533" i="3"/>
  <c r="Y533" i="3"/>
  <c r="Z533" i="3"/>
  <c r="AA533" i="3"/>
  <c r="AB533" i="3"/>
  <c r="AC533" i="3"/>
  <c r="AD533" i="3"/>
  <c r="AE533" i="3"/>
  <c r="AF533" i="3"/>
  <c r="AG533" i="3"/>
  <c r="AH533" i="3"/>
  <c r="AI533" i="3"/>
  <c r="AJ533" i="3"/>
  <c r="AK533" i="3"/>
  <c r="AL533" i="3"/>
  <c r="AM533" i="3"/>
  <c r="AN533" i="3"/>
  <c r="A534" i="3"/>
  <c r="B534" i="3"/>
  <c r="C534" i="3"/>
  <c r="D534" i="3"/>
  <c r="E534" i="3"/>
  <c r="F534" i="3"/>
  <c r="G534" i="3"/>
  <c r="H534" i="3"/>
  <c r="I534" i="3"/>
  <c r="J534" i="3"/>
  <c r="K534" i="3"/>
  <c r="L534" i="3"/>
  <c r="M534" i="3"/>
  <c r="N534" i="3"/>
  <c r="O534" i="3"/>
  <c r="P534" i="3"/>
  <c r="Q534" i="3"/>
  <c r="R534" i="3"/>
  <c r="S534" i="3"/>
  <c r="T534" i="3"/>
  <c r="U534" i="3"/>
  <c r="V534" i="3"/>
  <c r="W534" i="3"/>
  <c r="X534" i="3"/>
  <c r="Y534" i="3"/>
  <c r="Z534" i="3"/>
  <c r="AA534" i="3"/>
  <c r="AB534" i="3"/>
  <c r="AC534" i="3"/>
  <c r="AD534" i="3"/>
  <c r="AE534" i="3"/>
  <c r="AF534" i="3"/>
  <c r="AG534" i="3"/>
  <c r="AH534" i="3"/>
  <c r="AI534" i="3"/>
  <c r="AJ534" i="3"/>
  <c r="AK534" i="3"/>
  <c r="AL534" i="3"/>
  <c r="AM534" i="3"/>
  <c r="AN534" i="3"/>
  <c r="A535" i="3"/>
  <c r="B535" i="3"/>
  <c r="C535" i="3"/>
  <c r="D535" i="3"/>
  <c r="E535" i="3"/>
  <c r="F535" i="3"/>
  <c r="G535" i="3"/>
  <c r="H535" i="3"/>
  <c r="I535" i="3"/>
  <c r="J535" i="3"/>
  <c r="K535" i="3"/>
  <c r="L535" i="3"/>
  <c r="M535" i="3"/>
  <c r="N535" i="3"/>
  <c r="O535" i="3"/>
  <c r="P535" i="3"/>
  <c r="Q535" i="3"/>
  <c r="R535" i="3"/>
  <c r="S535" i="3"/>
  <c r="T535" i="3"/>
  <c r="U535" i="3"/>
  <c r="V535" i="3"/>
  <c r="W535" i="3"/>
  <c r="X535" i="3"/>
  <c r="Y535" i="3"/>
  <c r="Z535" i="3"/>
  <c r="AA535" i="3"/>
  <c r="AB535" i="3"/>
  <c r="AC535" i="3"/>
  <c r="AD535" i="3"/>
  <c r="AE535" i="3"/>
  <c r="AF535" i="3"/>
  <c r="AG535" i="3"/>
  <c r="AH535" i="3"/>
  <c r="AI535" i="3"/>
  <c r="AJ535" i="3"/>
  <c r="AK535" i="3"/>
  <c r="AL535" i="3"/>
  <c r="AM535" i="3"/>
  <c r="AN535" i="3"/>
  <c r="A536" i="3"/>
  <c r="B536" i="3"/>
  <c r="C536" i="3"/>
  <c r="D536" i="3"/>
  <c r="E536" i="3"/>
  <c r="F536" i="3"/>
  <c r="G536" i="3"/>
  <c r="H536" i="3"/>
  <c r="I536" i="3"/>
  <c r="J536" i="3"/>
  <c r="K536" i="3"/>
  <c r="L536" i="3"/>
  <c r="M536" i="3"/>
  <c r="N536" i="3"/>
  <c r="O536" i="3"/>
  <c r="P536" i="3"/>
  <c r="Q536" i="3"/>
  <c r="R536" i="3"/>
  <c r="S536" i="3"/>
  <c r="T536" i="3"/>
  <c r="U536" i="3"/>
  <c r="V536" i="3"/>
  <c r="W536" i="3"/>
  <c r="X536" i="3"/>
  <c r="Y536" i="3"/>
  <c r="Z536" i="3"/>
  <c r="AA536" i="3"/>
  <c r="AB536" i="3"/>
  <c r="AC536" i="3"/>
  <c r="AD536" i="3"/>
  <c r="AE536" i="3"/>
  <c r="AF536" i="3"/>
  <c r="AG536" i="3"/>
  <c r="AH536" i="3"/>
  <c r="AI536" i="3"/>
  <c r="AJ536" i="3"/>
  <c r="AK536" i="3"/>
  <c r="AL536" i="3"/>
  <c r="AM536" i="3"/>
  <c r="AN536" i="3"/>
  <c r="A537" i="3"/>
  <c r="B537" i="3"/>
  <c r="C537" i="3"/>
  <c r="D537" i="3"/>
  <c r="E537" i="3"/>
  <c r="F537" i="3"/>
  <c r="G537" i="3"/>
  <c r="H537" i="3"/>
  <c r="I537" i="3"/>
  <c r="J537" i="3"/>
  <c r="K537" i="3"/>
  <c r="L537" i="3"/>
  <c r="M537" i="3"/>
  <c r="N537" i="3"/>
  <c r="O537" i="3"/>
  <c r="P537" i="3"/>
  <c r="Q537" i="3"/>
  <c r="R537" i="3"/>
  <c r="S537" i="3"/>
  <c r="T537" i="3"/>
  <c r="U537" i="3"/>
  <c r="V537" i="3"/>
  <c r="W537" i="3"/>
  <c r="X537" i="3"/>
  <c r="Y537" i="3"/>
  <c r="Z537" i="3"/>
  <c r="AA537" i="3"/>
  <c r="AB537" i="3"/>
  <c r="AC537" i="3"/>
  <c r="AD537" i="3"/>
  <c r="AE537" i="3"/>
  <c r="AF537" i="3"/>
  <c r="AG537" i="3"/>
  <c r="AH537" i="3"/>
  <c r="AI537" i="3"/>
  <c r="AJ537" i="3"/>
  <c r="AK537" i="3"/>
  <c r="AL537" i="3"/>
  <c r="AM537" i="3"/>
  <c r="AN537" i="3"/>
  <c r="A538" i="3"/>
  <c r="B538" i="3"/>
  <c r="C538" i="3"/>
  <c r="D538" i="3"/>
  <c r="E538" i="3"/>
  <c r="F538" i="3"/>
  <c r="G538" i="3"/>
  <c r="H538" i="3"/>
  <c r="I538" i="3"/>
  <c r="J538" i="3"/>
  <c r="K538" i="3"/>
  <c r="L538" i="3"/>
  <c r="M538" i="3"/>
  <c r="N538" i="3"/>
  <c r="O538" i="3"/>
  <c r="P538" i="3"/>
  <c r="Q538" i="3"/>
  <c r="R538" i="3"/>
  <c r="S538" i="3"/>
  <c r="T538" i="3"/>
  <c r="U538" i="3"/>
  <c r="V538" i="3"/>
  <c r="W538" i="3"/>
  <c r="X538" i="3"/>
  <c r="Y538" i="3"/>
  <c r="Z538" i="3"/>
  <c r="AA538" i="3"/>
  <c r="AB538" i="3"/>
  <c r="AC538" i="3"/>
  <c r="AD538" i="3"/>
  <c r="AE538" i="3"/>
  <c r="AF538" i="3"/>
  <c r="AG538" i="3"/>
  <c r="AH538" i="3"/>
  <c r="AI538" i="3"/>
  <c r="AJ538" i="3"/>
  <c r="AK538" i="3"/>
  <c r="AL538" i="3"/>
  <c r="AM538" i="3"/>
  <c r="AN538" i="3"/>
  <c r="A539" i="3"/>
  <c r="B539" i="3"/>
  <c r="C539" i="3"/>
  <c r="D539" i="3"/>
  <c r="E539" i="3"/>
  <c r="F539" i="3"/>
  <c r="G539" i="3"/>
  <c r="H539" i="3"/>
  <c r="I539" i="3"/>
  <c r="J539" i="3"/>
  <c r="K539" i="3"/>
  <c r="L539" i="3"/>
  <c r="M539" i="3"/>
  <c r="N539" i="3"/>
  <c r="O539" i="3"/>
  <c r="P539" i="3"/>
  <c r="Q539" i="3"/>
  <c r="R539" i="3"/>
  <c r="S539" i="3"/>
  <c r="T539" i="3"/>
  <c r="U539" i="3"/>
  <c r="V539" i="3"/>
  <c r="W539" i="3"/>
  <c r="X539" i="3"/>
  <c r="Y539" i="3"/>
  <c r="Z539" i="3"/>
  <c r="AA539" i="3"/>
  <c r="AB539" i="3"/>
  <c r="AC539" i="3"/>
  <c r="AD539" i="3"/>
  <c r="AE539" i="3"/>
  <c r="AF539" i="3"/>
  <c r="AG539" i="3"/>
  <c r="AH539" i="3"/>
  <c r="AI539" i="3"/>
  <c r="AJ539" i="3"/>
  <c r="AK539" i="3"/>
  <c r="AL539" i="3"/>
  <c r="AM539" i="3"/>
  <c r="AN539" i="3"/>
  <c r="A540" i="3"/>
  <c r="B540" i="3"/>
  <c r="C540" i="3"/>
  <c r="D540" i="3"/>
  <c r="E540" i="3"/>
  <c r="F540" i="3"/>
  <c r="G540" i="3"/>
  <c r="H540" i="3"/>
  <c r="I540" i="3"/>
  <c r="J540" i="3"/>
  <c r="K540" i="3"/>
  <c r="L540" i="3"/>
  <c r="M540" i="3"/>
  <c r="N540" i="3"/>
  <c r="O540" i="3"/>
  <c r="P540" i="3"/>
  <c r="Q540" i="3"/>
  <c r="R540" i="3"/>
  <c r="S540" i="3"/>
  <c r="T540" i="3"/>
  <c r="U540" i="3"/>
  <c r="V540" i="3"/>
  <c r="W540" i="3"/>
  <c r="X540" i="3"/>
  <c r="Y540" i="3"/>
  <c r="Z540" i="3"/>
  <c r="AA540" i="3"/>
  <c r="AB540" i="3"/>
  <c r="AC540" i="3"/>
  <c r="AD540" i="3"/>
  <c r="AE540" i="3"/>
  <c r="AF540" i="3"/>
  <c r="AG540" i="3"/>
  <c r="AH540" i="3"/>
  <c r="AI540" i="3"/>
  <c r="AJ540" i="3"/>
  <c r="AK540" i="3"/>
  <c r="AL540" i="3"/>
  <c r="AM540" i="3"/>
  <c r="AN540" i="3"/>
  <c r="A541" i="3"/>
  <c r="B541" i="3"/>
  <c r="C541" i="3"/>
  <c r="D541" i="3"/>
  <c r="E541" i="3"/>
  <c r="F541" i="3"/>
  <c r="G541" i="3"/>
  <c r="H541" i="3"/>
  <c r="I541" i="3"/>
  <c r="J541" i="3"/>
  <c r="K541" i="3"/>
  <c r="L541" i="3"/>
  <c r="M541" i="3"/>
  <c r="N541" i="3"/>
  <c r="O541" i="3"/>
  <c r="P541" i="3"/>
  <c r="Q541" i="3"/>
  <c r="R541" i="3"/>
  <c r="S541" i="3"/>
  <c r="T541" i="3"/>
  <c r="U541" i="3"/>
  <c r="V541" i="3"/>
  <c r="W541" i="3"/>
  <c r="X541" i="3"/>
  <c r="Y541" i="3"/>
  <c r="Z541" i="3"/>
  <c r="AA541" i="3"/>
  <c r="AB541" i="3"/>
  <c r="AC541" i="3"/>
  <c r="AD541" i="3"/>
  <c r="AE541" i="3"/>
  <c r="AF541" i="3"/>
  <c r="AG541" i="3"/>
  <c r="AH541" i="3"/>
  <c r="AI541" i="3"/>
  <c r="AJ541" i="3"/>
  <c r="AK541" i="3"/>
  <c r="AL541" i="3"/>
  <c r="AM541" i="3"/>
  <c r="AN541" i="3"/>
  <c r="A542" i="3"/>
  <c r="B542" i="3"/>
  <c r="C542" i="3"/>
  <c r="D542" i="3"/>
  <c r="E542" i="3"/>
  <c r="F542" i="3"/>
  <c r="G542" i="3"/>
  <c r="H542" i="3"/>
  <c r="I542" i="3"/>
  <c r="J542" i="3"/>
  <c r="K542" i="3"/>
  <c r="L542" i="3"/>
  <c r="M542" i="3"/>
  <c r="N542" i="3"/>
  <c r="O542" i="3"/>
  <c r="P542" i="3"/>
  <c r="Q542" i="3"/>
  <c r="R542" i="3"/>
  <c r="S542" i="3"/>
  <c r="T542" i="3"/>
  <c r="U542" i="3"/>
  <c r="V542" i="3"/>
  <c r="W542" i="3"/>
  <c r="X542" i="3"/>
  <c r="Y542" i="3"/>
  <c r="Z542" i="3"/>
  <c r="AA542" i="3"/>
  <c r="AB542" i="3"/>
  <c r="AC542" i="3"/>
  <c r="AD542" i="3"/>
  <c r="AE542" i="3"/>
  <c r="AF542" i="3"/>
  <c r="AG542" i="3"/>
  <c r="AH542" i="3"/>
  <c r="AI542" i="3"/>
  <c r="AJ542" i="3"/>
  <c r="AK542" i="3"/>
  <c r="AL542" i="3"/>
  <c r="AM542" i="3"/>
  <c r="AN542" i="3"/>
  <c r="A543" i="3"/>
  <c r="B543" i="3"/>
  <c r="C543" i="3"/>
  <c r="D543" i="3"/>
  <c r="E543" i="3"/>
  <c r="F543" i="3"/>
  <c r="G543" i="3"/>
  <c r="H543" i="3"/>
  <c r="I543" i="3"/>
  <c r="J543" i="3"/>
  <c r="K543" i="3"/>
  <c r="L543" i="3"/>
  <c r="M543" i="3"/>
  <c r="N543" i="3"/>
  <c r="O543" i="3"/>
  <c r="P543" i="3"/>
  <c r="Q543" i="3"/>
  <c r="R543" i="3"/>
  <c r="S543" i="3"/>
  <c r="T543" i="3"/>
  <c r="U543" i="3"/>
  <c r="V543" i="3"/>
  <c r="W543" i="3"/>
  <c r="X543" i="3"/>
  <c r="Y543" i="3"/>
  <c r="Z543" i="3"/>
  <c r="AA543" i="3"/>
  <c r="AB543" i="3"/>
  <c r="AC543" i="3"/>
  <c r="AD543" i="3"/>
  <c r="AE543" i="3"/>
  <c r="AF543" i="3"/>
  <c r="AG543" i="3"/>
  <c r="AH543" i="3"/>
  <c r="AI543" i="3"/>
  <c r="AJ543" i="3"/>
  <c r="AK543" i="3"/>
  <c r="AL543" i="3"/>
  <c r="AM543" i="3"/>
  <c r="AN543" i="3"/>
  <c r="A544" i="3"/>
  <c r="B544" i="3"/>
  <c r="C544" i="3"/>
  <c r="D544" i="3"/>
  <c r="E544" i="3"/>
  <c r="F544" i="3"/>
  <c r="G544" i="3"/>
  <c r="H544" i="3"/>
  <c r="I544" i="3"/>
  <c r="J544" i="3"/>
  <c r="K544" i="3"/>
  <c r="L544" i="3"/>
  <c r="M544" i="3"/>
  <c r="N544" i="3"/>
  <c r="O544" i="3"/>
  <c r="P544" i="3"/>
  <c r="Q544" i="3"/>
  <c r="R544" i="3"/>
  <c r="S544" i="3"/>
  <c r="T544" i="3"/>
  <c r="U544" i="3"/>
  <c r="V544" i="3"/>
  <c r="W544" i="3"/>
  <c r="X544" i="3"/>
  <c r="Y544" i="3"/>
  <c r="Z544" i="3"/>
  <c r="AA544" i="3"/>
  <c r="AB544" i="3"/>
  <c r="AC544" i="3"/>
  <c r="AD544" i="3"/>
  <c r="AE544" i="3"/>
  <c r="AF544" i="3"/>
  <c r="AG544" i="3"/>
  <c r="AH544" i="3"/>
  <c r="AI544" i="3"/>
  <c r="AJ544" i="3"/>
  <c r="AK544" i="3"/>
  <c r="AL544" i="3"/>
  <c r="AM544" i="3"/>
  <c r="AN544" i="3"/>
  <c r="A545" i="3"/>
  <c r="B545" i="3"/>
  <c r="C545" i="3"/>
  <c r="D545" i="3"/>
  <c r="E545" i="3"/>
  <c r="F545" i="3"/>
  <c r="G545" i="3"/>
  <c r="H545" i="3"/>
  <c r="I545" i="3"/>
  <c r="J545" i="3"/>
  <c r="K545" i="3"/>
  <c r="L545" i="3"/>
  <c r="M545" i="3"/>
  <c r="N545" i="3"/>
  <c r="O545" i="3"/>
  <c r="P545" i="3"/>
  <c r="Q545" i="3"/>
  <c r="R545" i="3"/>
  <c r="S545" i="3"/>
  <c r="T545" i="3"/>
  <c r="U545" i="3"/>
  <c r="V545" i="3"/>
  <c r="W545" i="3"/>
  <c r="X545" i="3"/>
  <c r="Y545" i="3"/>
  <c r="Z545" i="3"/>
  <c r="AA545" i="3"/>
  <c r="AB545" i="3"/>
  <c r="AC545" i="3"/>
  <c r="AD545" i="3"/>
  <c r="AE545" i="3"/>
  <c r="AF545" i="3"/>
  <c r="AG545" i="3"/>
  <c r="AH545" i="3"/>
  <c r="AI545" i="3"/>
  <c r="AJ545" i="3"/>
  <c r="AK545" i="3"/>
  <c r="AL545" i="3"/>
  <c r="AM545" i="3"/>
  <c r="AN545" i="3"/>
  <c r="A546" i="3"/>
  <c r="B546" i="3"/>
  <c r="C546" i="3"/>
  <c r="D546" i="3"/>
  <c r="E546" i="3"/>
  <c r="F546" i="3"/>
  <c r="G546" i="3"/>
  <c r="H546" i="3"/>
  <c r="I546" i="3"/>
  <c r="J546" i="3"/>
  <c r="K546" i="3"/>
  <c r="L546" i="3"/>
  <c r="M546" i="3"/>
  <c r="N546" i="3"/>
  <c r="O546" i="3"/>
  <c r="P546" i="3"/>
  <c r="Q546" i="3"/>
  <c r="R546" i="3"/>
  <c r="S546" i="3"/>
  <c r="T546" i="3"/>
  <c r="U546" i="3"/>
  <c r="V546" i="3"/>
  <c r="W546" i="3"/>
  <c r="X546" i="3"/>
  <c r="Y546" i="3"/>
  <c r="Z546" i="3"/>
  <c r="AA546" i="3"/>
  <c r="AB546" i="3"/>
  <c r="AC546" i="3"/>
  <c r="AD546" i="3"/>
  <c r="AE546" i="3"/>
  <c r="AF546" i="3"/>
  <c r="AG546" i="3"/>
  <c r="AH546" i="3"/>
  <c r="AI546" i="3"/>
  <c r="AJ546" i="3"/>
  <c r="AK546" i="3"/>
  <c r="AL546" i="3"/>
  <c r="AM546" i="3"/>
  <c r="AN546" i="3"/>
  <c r="A547" i="3"/>
  <c r="B547" i="3"/>
  <c r="C547" i="3"/>
  <c r="D547" i="3"/>
  <c r="E547" i="3"/>
  <c r="F547" i="3"/>
  <c r="G547" i="3"/>
  <c r="H547" i="3"/>
  <c r="I547" i="3"/>
  <c r="J547" i="3"/>
  <c r="K547" i="3"/>
  <c r="L547" i="3"/>
  <c r="M547" i="3"/>
  <c r="N547" i="3"/>
  <c r="O547" i="3"/>
  <c r="P547" i="3"/>
  <c r="Q547" i="3"/>
  <c r="R547" i="3"/>
  <c r="S547" i="3"/>
  <c r="T547" i="3"/>
  <c r="U547" i="3"/>
  <c r="V547" i="3"/>
  <c r="W547" i="3"/>
  <c r="X547" i="3"/>
  <c r="Y547" i="3"/>
  <c r="Z547" i="3"/>
  <c r="AA547" i="3"/>
  <c r="AB547" i="3"/>
  <c r="AC547" i="3"/>
  <c r="AD547" i="3"/>
  <c r="AE547" i="3"/>
  <c r="AF547" i="3"/>
  <c r="AG547" i="3"/>
  <c r="AH547" i="3"/>
  <c r="AI547" i="3"/>
  <c r="AJ547" i="3"/>
  <c r="AK547" i="3"/>
  <c r="AL547" i="3"/>
  <c r="AM547" i="3"/>
  <c r="AN547" i="3"/>
  <c r="A548" i="3"/>
  <c r="B548" i="3"/>
  <c r="C548" i="3"/>
  <c r="D548" i="3"/>
  <c r="E548" i="3"/>
  <c r="F548" i="3"/>
  <c r="G548" i="3"/>
  <c r="H548" i="3"/>
  <c r="I548" i="3"/>
  <c r="J548" i="3"/>
  <c r="K548" i="3"/>
  <c r="L548" i="3"/>
  <c r="M548" i="3"/>
  <c r="N548" i="3"/>
  <c r="O548" i="3"/>
  <c r="P548" i="3"/>
  <c r="Q548" i="3"/>
  <c r="R548" i="3"/>
  <c r="S548" i="3"/>
  <c r="T548" i="3"/>
  <c r="U548" i="3"/>
  <c r="V548" i="3"/>
  <c r="W548" i="3"/>
  <c r="X548" i="3"/>
  <c r="Y548" i="3"/>
  <c r="Z548" i="3"/>
  <c r="AA548" i="3"/>
  <c r="AB548" i="3"/>
  <c r="AC548" i="3"/>
  <c r="AD548" i="3"/>
  <c r="AE548" i="3"/>
  <c r="AF548" i="3"/>
  <c r="AG548" i="3"/>
  <c r="AH548" i="3"/>
  <c r="AI548" i="3"/>
  <c r="AJ548" i="3"/>
  <c r="AK548" i="3"/>
  <c r="AL548" i="3"/>
  <c r="AM548" i="3"/>
  <c r="AN548" i="3"/>
  <c r="A549" i="3"/>
  <c r="B549" i="3"/>
  <c r="C549" i="3"/>
  <c r="D549" i="3"/>
  <c r="E549" i="3"/>
  <c r="F549" i="3"/>
  <c r="G549" i="3"/>
  <c r="H549" i="3"/>
  <c r="I549" i="3"/>
  <c r="J549" i="3"/>
  <c r="K549" i="3"/>
  <c r="L549" i="3"/>
  <c r="M549" i="3"/>
  <c r="N549" i="3"/>
  <c r="O549" i="3"/>
  <c r="P549" i="3"/>
  <c r="Q549" i="3"/>
  <c r="R549" i="3"/>
  <c r="S549" i="3"/>
  <c r="T549" i="3"/>
  <c r="U549" i="3"/>
  <c r="V549" i="3"/>
  <c r="W549" i="3"/>
  <c r="X549" i="3"/>
  <c r="Y549" i="3"/>
  <c r="Z549" i="3"/>
  <c r="AA549" i="3"/>
  <c r="AB549" i="3"/>
  <c r="AC549" i="3"/>
  <c r="AD549" i="3"/>
  <c r="AE549" i="3"/>
  <c r="AF549" i="3"/>
  <c r="AG549" i="3"/>
  <c r="AH549" i="3"/>
  <c r="AI549" i="3"/>
  <c r="AJ549" i="3"/>
  <c r="AK549" i="3"/>
  <c r="AL549" i="3"/>
  <c r="AM549" i="3"/>
  <c r="AN549" i="3"/>
  <c r="A550" i="3"/>
  <c r="B550" i="3"/>
  <c r="C550" i="3"/>
  <c r="D550" i="3"/>
  <c r="E550" i="3"/>
  <c r="F550" i="3"/>
  <c r="G550" i="3"/>
  <c r="H550" i="3"/>
  <c r="I550" i="3"/>
  <c r="J550" i="3"/>
  <c r="K550" i="3"/>
  <c r="L550" i="3"/>
  <c r="M550" i="3"/>
  <c r="N550" i="3"/>
  <c r="O550" i="3"/>
  <c r="P550" i="3"/>
  <c r="Q550" i="3"/>
  <c r="R550" i="3"/>
  <c r="S550" i="3"/>
  <c r="T550" i="3"/>
  <c r="U550" i="3"/>
  <c r="V550" i="3"/>
  <c r="W550" i="3"/>
  <c r="X550" i="3"/>
  <c r="Y550" i="3"/>
  <c r="Z550" i="3"/>
  <c r="AA550" i="3"/>
  <c r="AB550" i="3"/>
  <c r="AC550" i="3"/>
  <c r="AD550" i="3"/>
  <c r="AE550" i="3"/>
  <c r="AF550" i="3"/>
  <c r="AG550" i="3"/>
  <c r="AH550" i="3"/>
  <c r="AI550" i="3"/>
  <c r="AJ550" i="3"/>
  <c r="AK550" i="3"/>
  <c r="AL550" i="3"/>
  <c r="AM550" i="3"/>
  <c r="AN550" i="3"/>
  <c r="A551" i="3"/>
  <c r="B551" i="3"/>
  <c r="C551" i="3"/>
  <c r="D551" i="3"/>
  <c r="E551" i="3"/>
  <c r="F551" i="3"/>
  <c r="G551" i="3"/>
  <c r="H551" i="3"/>
  <c r="I551" i="3"/>
  <c r="J551" i="3"/>
  <c r="K551" i="3"/>
  <c r="L551" i="3"/>
  <c r="M551" i="3"/>
  <c r="N551" i="3"/>
  <c r="O551" i="3"/>
  <c r="P551" i="3"/>
  <c r="Q551" i="3"/>
  <c r="R551" i="3"/>
  <c r="S551" i="3"/>
  <c r="T551" i="3"/>
  <c r="U551" i="3"/>
  <c r="V551" i="3"/>
  <c r="W551" i="3"/>
  <c r="X551" i="3"/>
  <c r="Y551" i="3"/>
  <c r="Z551" i="3"/>
  <c r="AA551" i="3"/>
  <c r="AB551" i="3"/>
  <c r="AC551" i="3"/>
  <c r="AD551" i="3"/>
  <c r="AE551" i="3"/>
  <c r="AF551" i="3"/>
  <c r="AG551" i="3"/>
  <c r="AH551" i="3"/>
  <c r="AI551" i="3"/>
  <c r="AJ551" i="3"/>
  <c r="AK551" i="3"/>
  <c r="AL551" i="3"/>
  <c r="AM551" i="3"/>
  <c r="AN551" i="3"/>
  <c r="A552" i="3"/>
  <c r="B552" i="3"/>
  <c r="C552" i="3"/>
  <c r="D552" i="3"/>
  <c r="E552" i="3"/>
  <c r="F552" i="3"/>
  <c r="G552" i="3"/>
  <c r="H552" i="3"/>
  <c r="I552" i="3"/>
  <c r="J552" i="3"/>
  <c r="K552" i="3"/>
  <c r="L552" i="3"/>
  <c r="M552" i="3"/>
  <c r="N552" i="3"/>
  <c r="O552" i="3"/>
  <c r="P552" i="3"/>
  <c r="Q552" i="3"/>
  <c r="R552" i="3"/>
  <c r="S552" i="3"/>
  <c r="T552" i="3"/>
  <c r="U552" i="3"/>
  <c r="V552" i="3"/>
  <c r="W552" i="3"/>
  <c r="X552" i="3"/>
  <c r="Y552" i="3"/>
  <c r="Z552" i="3"/>
  <c r="AA552" i="3"/>
  <c r="AB552" i="3"/>
  <c r="AC552" i="3"/>
  <c r="AD552" i="3"/>
  <c r="AE552" i="3"/>
  <c r="AF552" i="3"/>
  <c r="AG552" i="3"/>
  <c r="AH552" i="3"/>
  <c r="AI552" i="3"/>
  <c r="AJ552" i="3"/>
  <c r="AK552" i="3"/>
  <c r="AL552" i="3"/>
  <c r="AM552" i="3"/>
  <c r="AN552" i="3"/>
  <c r="A553" i="3"/>
  <c r="B553" i="3"/>
  <c r="C553" i="3"/>
  <c r="D553" i="3"/>
  <c r="E553" i="3"/>
  <c r="F553" i="3"/>
  <c r="G553" i="3"/>
  <c r="H553" i="3"/>
  <c r="I553" i="3"/>
  <c r="J553" i="3"/>
  <c r="K553" i="3"/>
  <c r="L553" i="3"/>
  <c r="M553" i="3"/>
  <c r="N553" i="3"/>
  <c r="O553" i="3"/>
  <c r="P553" i="3"/>
  <c r="Q553" i="3"/>
  <c r="R553" i="3"/>
  <c r="S553" i="3"/>
  <c r="T553" i="3"/>
  <c r="U553" i="3"/>
  <c r="V553" i="3"/>
  <c r="W553" i="3"/>
  <c r="X553" i="3"/>
  <c r="Y553" i="3"/>
  <c r="Z553" i="3"/>
  <c r="AA553" i="3"/>
  <c r="AB553" i="3"/>
  <c r="AC553" i="3"/>
  <c r="AD553" i="3"/>
  <c r="AE553" i="3"/>
  <c r="AF553" i="3"/>
  <c r="AG553" i="3"/>
  <c r="AH553" i="3"/>
  <c r="AI553" i="3"/>
  <c r="AJ553" i="3"/>
  <c r="AK553" i="3"/>
  <c r="AL553" i="3"/>
  <c r="AM553" i="3"/>
  <c r="AN553" i="3"/>
  <c r="A554" i="3"/>
  <c r="B554" i="3"/>
  <c r="C554" i="3"/>
  <c r="D554" i="3"/>
  <c r="E554" i="3"/>
  <c r="F554" i="3"/>
  <c r="G554" i="3"/>
  <c r="H554" i="3"/>
  <c r="I554" i="3"/>
  <c r="J554" i="3"/>
  <c r="K554" i="3"/>
  <c r="L554" i="3"/>
  <c r="M554" i="3"/>
  <c r="N554" i="3"/>
  <c r="O554" i="3"/>
  <c r="P554" i="3"/>
  <c r="Q554" i="3"/>
  <c r="R554" i="3"/>
  <c r="S554" i="3"/>
  <c r="T554" i="3"/>
  <c r="U554" i="3"/>
  <c r="V554" i="3"/>
  <c r="W554" i="3"/>
  <c r="X554" i="3"/>
  <c r="Y554" i="3"/>
  <c r="Z554" i="3"/>
  <c r="AA554" i="3"/>
  <c r="AB554" i="3"/>
  <c r="AC554" i="3"/>
  <c r="AD554" i="3"/>
  <c r="AE554" i="3"/>
  <c r="AF554" i="3"/>
  <c r="AG554" i="3"/>
  <c r="AH554" i="3"/>
  <c r="AI554" i="3"/>
  <c r="AJ554" i="3"/>
  <c r="AK554" i="3"/>
  <c r="AL554" i="3"/>
  <c r="AM554" i="3"/>
  <c r="AN554" i="3"/>
  <c r="A555" i="3"/>
  <c r="B555" i="3"/>
  <c r="C555" i="3"/>
  <c r="D555" i="3"/>
  <c r="E555" i="3"/>
  <c r="F555" i="3"/>
  <c r="G555" i="3"/>
  <c r="H555" i="3"/>
  <c r="I555" i="3"/>
  <c r="J555" i="3"/>
  <c r="K555" i="3"/>
  <c r="L555" i="3"/>
  <c r="M555" i="3"/>
  <c r="N555" i="3"/>
  <c r="O555" i="3"/>
  <c r="P555" i="3"/>
  <c r="Q555" i="3"/>
  <c r="R555" i="3"/>
  <c r="S555" i="3"/>
  <c r="T555" i="3"/>
  <c r="U555" i="3"/>
  <c r="V555" i="3"/>
  <c r="W555" i="3"/>
  <c r="X555" i="3"/>
  <c r="Y555" i="3"/>
  <c r="Z555" i="3"/>
  <c r="AA555" i="3"/>
  <c r="AB555" i="3"/>
  <c r="AC555" i="3"/>
  <c r="AD555" i="3"/>
  <c r="AE555" i="3"/>
  <c r="AF555" i="3"/>
  <c r="AG555" i="3"/>
  <c r="AH555" i="3"/>
  <c r="AI555" i="3"/>
  <c r="AJ555" i="3"/>
  <c r="AK555" i="3"/>
  <c r="AL555" i="3"/>
  <c r="AM555" i="3"/>
  <c r="AN555" i="3"/>
  <c r="A556" i="3"/>
  <c r="B556" i="3"/>
  <c r="C556" i="3"/>
  <c r="D556" i="3"/>
  <c r="E556" i="3"/>
  <c r="F556" i="3"/>
  <c r="G556" i="3"/>
  <c r="H556" i="3"/>
  <c r="I556" i="3"/>
  <c r="J556" i="3"/>
  <c r="K556" i="3"/>
  <c r="L556" i="3"/>
  <c r="M556" i="3"/>
  <c r="N556" i="3"/>
  <c r="O556" i="3"/>
  <c r="P556" i="3"/>
  <c r="Q556" i="3"/>
  <c r="R556" i="3"/>
  <c r="S556" i="3"/>
  <c r="T556" i="3"/>
  <c r="U556" i="3"/>
  <c r="V556" i="3"/>
  <c r="W556" i="3"/>
  <c r="X556" i="3"/>
  <c r="Y556" i="3"/>
  <c r="Z556" i="3"/>
  <c r="AA556" i="3"/>
  <c r="AB556" i="3"/>
  <c r="AC556" i="3"/>
  <c r="AD556" i="3"/>
  <c r="AE556" i="3"/>
  <c r="AF556" i="3"/>
  <c r="AG556" i="3"/>
  <c r="AH556" i="3"/>
  <c r="AI556" i="3"/>
  <c r="AJ556" i="3"/>
  <c r="AK556" i="3"/>
  <c r="AL556" i="3"/>
  <c r="AM556" i="3"/>
  <c r="AN556" i="3"/>
  <c r="A557" i="3"/>
  <c r="B557" i="3"/>
  <c r="C557" i="3"/>
  <c r="D557" i="3"/>
  <c r="E557" i="3"/>
  <c r="F557" i="3"/>
  <c r="G557" i="3"/>
  <c r="H557" i="3"/>
  <c r="I557" i="3"/>
  <c r="J557" i="3"/>
  <c r="K557" i="3"/>
  <c r="L557" i="3"/>
  <c r="M557" i="3"/>
  <c r="N557" i="3"/>
  <c r="O557" i="3"/>
  <c r="P557" i="3"/>
  <c r="Q557" i="3"/>
  <c r="R557" i="3"/>
  <c r="S557" i="3"/>
  <c r="T557" i="3"/>
  <c r="U557" i="3"/>
  <c r="V557" i="3"/>
  <c r="W557" i="3"/>
  <c r="X557" i="3"/>
  <c r="Y557" i="3"/>
  <c r="Z557" i="3"/>
  <c r="AA557" i="3"/>
  <c r="AB557" i="3"/>
  <c r="AC557" i="3"/>
  <c r="AD557" i="3"/>
  <c r="AE557" i="3"/>
  <c r="AF557" i="3"/>
  <c r="AG557" i="3"/>
  <c r="AH557" i="3"/>
  <c r="AI557" i="3"/>
  <c r="AJ557" i="3"/>
  <c r="AK557" i="3"/>
  <c r="AL557" i="3"/>
  <c r="AM557" i="3"/>
  <c r="AN557" i="3"/>
  <c r="A558" i="3"/>
  <c r="B558" i="3"/>
  <c r="C558" i="3"/>
  <c r="D558" i="3"/>
  <c r="E558" i="3"/>
  <c r="F558" i="3"/>
  <c r="G558" i="3"/>
  <c r="H558" i="3"/>
  <c r="I558" i="3"/>
  <c r="J558" i="3"/>
  <c r="K558" i="3"/>
  <c r="L558" i="3"/>
  <c r="M558" i="3"/>
  <c r="N558" i="3"/>
  <c r="O558" i="3"/>
  <c r="P558" i="3"/>
  <c r="Q558" i="3"/>
  <c r="R558" i="3"/>
  <c r="S558" i="3"/>
  <c r="T558" i="3"/>
  <c r="U558" i="3"/>
  <c r="V558" i="3"/>
  <c r="W558" i="3"/>
  <c r="X558" i="3"/>
  <c r="Y558" i="3"/>
  <c r="Z558" i="3"/>
  <c r="AA558" i="3"/>
  <c r="AB558" i="3"/>
  <c r="AC558" i="3"/>
  <c r="AD558" i="3"/>
  <c r="AE558" i="3"/>
  <c r="AF558" i="3"/>
  <c r="AG558" i="3"/>
  <c r="AH558" i="3"/>
  <c r="AI558" i="3"/>
  <c r="AJ558" i="3"/>
  <c r="AK558" i="3"/>
  <c r="AL558" i="3"/>
  <c r="AM558" i="3"/>
  <c r="AN558" i="3"/>
  <c r="A559" i="3"/>
  <c r="B559" i="3"/>
  <c r="C559" i="3"/>
  <c r="D559" i="3"/>
  <c r="E559" i="3"/>
  <c r="F559" i="3"/>
  <c r="G559" i="3"/>
  <c r="H559" i="3"/>
  <c r="I559" i="3"/>
  <c r="J559" i="3"/>
  <c r="K559" i="3"/>
  <c r="L559" i="3"/>
  <c r="M559" i="3"/>
  <c r="N559" i="3"/>
  <c r="O559" i="3"/>
  <c r="P559" i="3"/>
  <c r="Q559" i="3"/>
  <c r="R559" i="3"/>
  <c r="S559" i="3"/>
  <c r="T559" i="3"/>
  <c r="U559" i="3"/>
  <c r="V559" i="3"/>
  <c r="W559" i="3"/>
  <c r="X559" i="3"/>
  <c r="Y559" i="3"/>
  <c r="Z559" i="3"/>
  <c r="AA559" i="3"/>
  <c r="AB559" i="3"/>
  <c r="AC559" i="3"/>
  <c r="AD559" i="3"/>
  <c r="AE559" i="3"/>
  <c r="AF559" i="3"/>
  <c r="AG559" i="3"/>
  <c r="AH559" i="3"/>
  <c r="AI559" i="3"/>
  <c r="AJ559" i="3"/>
  <c r="AK559" i="3"/>
  <c r="AL559" i="3"/>
  <c r="AM559" i="3"/>
  <c r="AN559" i="3"/>
  <c r="A560" i="3"/>
  <c r="B560" i="3"/>
  <c r="C560" i="3"/>
  <c r="D560" i="3"/>
  <c r="E560" i="3"/>
  <c r="F560" i="3"/>
  <c r="G560" i="3"/>
  <c r="H560" i="3"/>
  <c r="I560" i="3"/>
  <c r="J560" i="3"/>
  <c r="K560" i="3"/>
  <c r="L560" i="3"/>
  <c r="M560" i="3"/>
  <c r="N560" i="3"/>
  <c r="O560" i="3"/>
  <c r="P560" i="3"/>
  <c r="Q560" i="3"/>
  <c r="R560" i="3"/>
  <c r="S560" i="3"/>
  <c r="T560" i="3"/>
  <c r="U560" i="3"/>
  <c r="V560" i="3"/>
  <c r="W560" i="3"/>
  <c r="X560" i="3"/>
  <c r="Y560" i="3"/>
  <c r="Z560" i="3"/>
  <c r="AA560" i="3"/>
  <c r="AB560" i="3"/>
  <c r="AC560" i="3"/>
  <c r="AD560" i="3"/>
  <c r="AE560" i="3"/>
  <c r="AF560" i="3"/>
  <c r="AG560" i="3"/>
  <c r="AH560" i="3"/>
  <c r="AI560" i="3"/>
  <c r="AJ560" i="3"/>
  <c r="AK560" i="3"/>
  <c r="AL560" i="3"/>
  <c r="AM560" i="3"/>
  <c r="AN560" i="3"/>
  <c r="A561" i="3"/>
  <c r="B561" i="3"/>
  <c r="C561" i="3"/>
  <c r="D561" i="3"/>
  <c r="E561" i="3"/>
  <c r="F561" i="3"/>
  <c r="G561" i="3"/>
  <c r="H561" i="3"/>
  <c r="I561" i="3"/>
  <c r="J561" i="3"/>
  <c r="K561" i="3"/>
  <c r="L561" i="3"/>
  <c r="M561" i="3"/>
  <c r="N561" i="3"/>
  <c r="O561" i="3"/>
  <c r="P561" i="3"/>
  <c r="Q561" i="3"/>
  <c r="R561" i="3"/>
  <c r="S561" i="3"/>
  <c r="T561" i="3"/>
  <c r="U561" i="3"/>
  <c r="V561" i="3"/>
  <c r="W561" i="3"/>
  <c r="X561" i="3"/>
  <c r="Y561" i="3"/>
  <c r="Z561" i="3"/>
  <c r="AA561" i="3"/>
  <c r="AB561" i="3"/>
  <c r="AC561" i="3"/>
  <c r="AD561" i="3"/>
  <c r="AE561" i="3"/>
  <c r="AF561" i="3"/>
  <c r="AG561" i="3"/>
  <c r="AH561" i="3"/>
  <c r="AI561" i="3"/>
  <c r="AJ561" i="3"/>
  <c r="AK561" i="3"/>
  <c r="AL561" i="3"/>
  <c r="AM561" i="3"/>
  <c r="AN561" i="3"/>
  <c r="A562" i="3"/>
  <c r="B562" i="3"/>
  <c r="C562" i="3"/>
  <c r="D562" i="3"/>
  <c r="E562" i="3"/>
  <c r="F562" i="3"/>
  <c r="G562" i="3"/>
  <c r="H562" i="3"/>
  <c r="I562" i="3"/>
  <c r="J562" i="3"/>
  <c r="K562" i="3"/>
  <c r="L562" i="3"/>
  <c r="M562" i="3"/>
  <c r="N562" i="3"/>
  <c r="O562" i="3"/>
  <c r="P562" i="3"/>
  <c r="Q562" i="3"/>
  <c r="R562" i="3"/>
  <c r="S562" i="3"/>
  <c r="T562" i="3"/>
  <c r="U562" i="3"/>
  <c r="V562" i="3"/>
  <c r="W562" i="3"/>
  <c r="X562" i="3"/>
  <c r="Y562" i="3"/>
  <c r="Z562" i="3"/>
  <c r="AA562" i="3"/>
  <c r="AB562" i="3"/>
  <c r="AC562" i="3"/>
  <c r="AD562" i="3"/>
  <c r="AE562" i="3"/>
  <c r="AF562" i="3"/>
  <c r="AG562" i="3"/>
  <c r="AH562" i="3"/>
  <c r="AI562" i="3"/>
  <c r="AJ562" i="3"/>
  <c r="AK562" i="3"/>
  <c r="AL562" i="3"/>
  <c r="AM562" i="3"/>
  <c r="AN562" i="3"/>
  <c r="A563" i="3"/>
  <c r="B563" i="3"/>
  <c r="C563" i="3"/>
  <c r="D563" i="3"/>
  <c r="E563" i="3"/>
  <c r="F563" i="3"/>
  <c r="G563" i="3"/>
  <c r="H563" i="3"/>
  <c r="I563" i="3"/>
  <c r="J563" i="3"/>
  <c r="K563" i="3"/>
  <c r="L563" i="3"/>
  <c r="M563" i="3"/>
  <c r="N563" i="3"/>
  <c r="O563" i="3"/>
  <c r="P563" i="3"/>
  <c r="Q563" i="3"/>
  <c r="R563" i="3"/>
  <c r="S563" i="3"/>
  <c r="T563" i="3"/>
  <c r="U563" i="3"/>
  <c r="V563" i="3"/>
  <c r="W563" i="3"/>
  <c r="X563" i="3"/>
  <c r="Y563" i="3"/>
  <c r="Z563" i="3"/>
  <c r="AA563" i="3"/>
  <c r="AB563" i="3"/>
  <c r="AC563" i="3"/>
  <c r="AD563" i="3"/>
  <c r="AE563" i="3"/>
  <c r="AF563" i="3"/>
  <c r="AG563" i="3"/>
  <c r="AH563" i="3"/>
  <c r="AI563" i="3"/>
  <c r="AJ563" i="3"/>
  <c r="AK563" i="3"/>
  <c r="AL563" i="3"/>
  <c r="AM563" i="3"/>
  <c r="AN563" i="3"/>
  <c r="A564" i="3"/>
  <c r="B564" i="3"/>
  <c r="C564" i="3"/>
  <c r="D564" i="3"/>
  <c r="E564" i="3"/>
  <c r="F564" i="3"/>
  <c r="G564" i="3"/>
  <c r="H564" i="3"/>
  <c r="I564" i="3"/>
  <c r="J564" i="3"/>
  <c r="K564" i="3"/>
  <c r="L564" i="3"/>
  <c r="M564" i="3"/>
  <c r="N564" i="3"/>
  <c r="O564" i="3"/>
  <c r="P564" i="3"/>
  <c r="Q564" i="3"/>
  <c r="R564" i="3"/>
  <c r="S564" i="3"/>
  <c r="T564" i="3"/>
  <c r="U564" i="3"/>
  <c r="V564" i="3"/>
  <c r="W564" i="3"/>
  <c r="X564" i="3"/>
  <c r="Y564" i="3"/>
  <c r="Z564" i="3"/>
  <c r="AA564" i="3"/>
  <c r="AB564" i="3"/>
  <c r="AC564" i="3"/>
  <c r="AD564" i="3"/>
  <c r="AE564" i="3"/>
  <c r="AF564" i="3"/>
  <c r="AG564" i="3"/>
  <c r="AH564" i="3"/>
  <c r="AI564" i="3"/>
  <c r="AJ564" i="3"/>
  <c r="AK564" i="3"/>
  <c r="AL564" i="3"/>
  <c r="AM564" i="3"/>
  <c r="AN564" i="3"/>
  <c r="A565" i="3"/>
  <c r="B565" i="3"/>
  <c r="C565" i="3"/>
  <c r="D565" i="3"/>
  <c r="E565" i="3"/>
  <c r="F565" i="3"/>
  <c r="G565" i="3"/>
  <c r="H565" i="3"/>
  <c r="I565" i="3"/>
  <c r="J565" i="3"/>
  <c r="K565" i="3"/>
  <c r="L565" i="3"/>
  <c r="M565" i="3"/>
  <c r="N565" i="3"/>
  <c r="O565" i="3"/>
  <c r="P565" i="3"/>
  <c r="Q565" i="3"/>
  <c r="R565" i="3"/>
  <c r="S565" i="3"/>
  <c r="T565" i="3"/>
  <c r="U565" i="3"/>
  <c r="V565" i="3"/>
  <c r="W565" i="3"/>
  <c r="X565" i="3"/>
  <c r="Y565" i="3"/>
  <c r="Z565" i="3"/>
  <c r="AA565" i="3"/>
  <c r="AB565" i="3"/>
  <c r="AC565" i="3"/>
  <c r="AD565" i="3"/>
  <c r="AE565" i="3"/>
  <c r="AF565" i="3"/>
  <c r="AG565" i="3"/>
  <c r="AH565" i="3"/>
  <c r="AI565" i="3"/>
  <c r="AJ565" i="3"/>
  <c r="AK565" i="3"/>
  <c r="AL565" i="3"/>
  <c r="AM565" i="3"/>
  <c r="AN565" i="3"/>
  <c r="A566" i="3"/>
  <c r="B566" i="3"/>
  <c r="C566" i="3"/>
  <c r="D566" i="3"/>
  <c r="E566" i="3"/>
  <c r="F566" i="3"/>
  <c r="G566" i="3"/>
  <c r="H566" i="3"/>
  <c r="I566" i="3"/>
  <c r="J566" i="3"/>
  <c r="K566" i="3"/>
  <c r="L566" i="3"/>
  <c r="M566" i="3"/>
  <c r="N566" i="3"/>
  <c r="O566" i="3"/>
  <c r="P566" i="3"/>
  <c r="Q566" i="3"/>
  <c r="R566" i="3"/>
  <c r="S566" i="3"/>
  <c r="T566" i="3"/>
  <c r="U566" i="3"/>
  <c r="V566" i="3"/>
  <c r="W566" i="3"/>
  <c r="X566" i="3"/>
  <c r="Y566" i="3"/>
  <c r="Z566" i="3"/>
  <c r="AA566" i="3"/>
  <c r="AB566" i="3"/>
  <c r="AC566" i="3"/>
  <c r="AD566" i="3"/>
  <c r="AE566" i="3"/>
  <c r="AF566" i="3"/>
  <c r="AG566" i="3"/>
  <c r="AH566" i="3"/>
  <c r="AI566" i="3"/>
  <c r="AJ566" i="3"/>
  <c r="AK566" i="3"/>
  <c r="AL566" i="3"/>
  <c r="AM566" i="3"/>
  <c r="AN566" i="3"/>
  <c r="A567" i="3"/>
  <c r="B567" i="3"/>
  <c r="C567" i="3"/>
  <c r="D567" i="3"/>
  <c r="E567" i="3"/>
  <c r="F567" i="3"/>
  <c r="G567" i="3"/>
  <c r="H567" i="3"/>
  <c r="I567" i="3"/>
  <c r="J567" i="3"/>
  <c r="K567" i="3"/>
  <c r="L567" i="3"/>
  <c r="M567" i="3"/>
  <c r="N567" i="3"/>
  <c r="O567" i="3"/>
  <c r="P567" i="3"/>
  <c r="Q567" i="3"/>
  <c r="R567" i="3"/>
  <c r="S567" i="3"/>
  <c r="T567" i="3"/>
  <c r="U567" i="3"/>
  <c r="V567" i="3"/>
  <c r="W567" i="3"/>
  <c r="X567" i="3"/>
  <c r="Y567" i="3"/>
  <c r="Z567" i="3"/>
  <c r="AA567" i="3"/>
  <c r="AB567" i="3"/>
  <c r="AC567" i="3"/>
  <c r="AD567" i="3"/>
  <c r="AE567" i="3"/>
  <c r="AF567" i="3"/>
  <c r="AG567" i="3"/>
  <c r="AH567" i="3"/>
  <c r="AI567" i="3"/>
  <c r="AJ567" i="3"/>
  <c r="AK567" i="3"/>
  <c r="AL567" i="3"/>
  <c r="AM567" i="3"/>
  <c r="AN567" i="3"/>
  <c r="A568" i="3"/>
  <c r="B568" i="3"/>
  <c r="C568" i="3"/>
  <c r="D568" i="3"/>
  <c r="E568" i="3"/>
  <c r="F568" i="3"/>
  <c r="G568" i="3"/>
  <c r="H568" i="3"/>
  <c r="I568" i="3"/>
  <c r="J568" i="3"/>
  <c r="K568" i="3"/>
  <c r="L568" i="3"/>
  <c r="M568" i="3"/>
  <c r="N568" i="3"/>
  <c r="O568" i="3"/>
  <c r="P568" i="3"/>
  <c r="Q568" i="3"/>
  <c r="R568" i="3"/>
  <c r="S568" i="3"/>
  <c r="T568" i="3"/>
  <c r="U568" i="3"/>
  <c r="V568" i="3"/>
  <c r="W568" i="3"/>
  <c r="X568" i="3"/>
  <c r="Y568" i="3"/>
  <c r="Z568" i="3"/>
  <c r="AA568" i="3"/>
  <c r="AB568" i="3"/>
  <c r="AC568" i="3"/>
  <c r="AD568" i="3"/>
  <c r="AE568" i="3"/>
  <c r="AF568" i="3"/>
  <c r="AG568" i="3"/>
  <c r="AH568" i="3"/>
  <c r="AI568" i="3"/>
  <c r="AJ568" i="3"/>
  <c r="AK568" i="3"/>
  <c r="AL568" i="3"/>
  <c r="AM568" i="3"/>
  <c r="AN568" i="3"/>
  <c r="A569" i="3"/>
  <c r="B569" i="3"/>
  <c r="C569" i="3"/>
  <c r="D569" i="3"/>
  <c r="E569" i="3"/>
  <c r="F569" i="3"/>
  <c r="G569" i="3"/>
  <c r="H569" i="3"/>
  <c r="I569" i="3"/>
  <c r="J569" i="3"/>
  <c r="K569" i="3"/>
  <c r="L569" i="3"/>
  <c r="M569" i="3"/>
  <c r="N569" i="3"/>
  <c r="O569" i="3"/>
  <c r="P569" i="3"/>
  <c r="Q569" i="3"/>
  <c r="R569" i="3"/>
  <c r="S569" i="3"/>
  <c r="T569" i="3"/>
  <c r="U569" i="3"/>
  <c r="V569" i="3"/>
  <c r="W569" i="3"/>
  <c r="X569" i="3"/>
  <c r="Y569" i="3"/>
  <c r="Z569" i="3"/>
  <c r="AA569" i="3"/>
  <c r="AB569" i="3"/>
  <c r="AC569" i="3"/>
  <c r="AD569" i="3"/>
  <c r="AE569" i="3"/>
  <c r="AF569" i="3"/>
  <c r="AG569" i="3"/>
  <c r="AH569" i="3"/>
  <c r="AI569" i="3"/>
  <c r="AJ569" i="3"/>
  <c r="AK569" i="3"/>
  <c r="AL569" i="3"/>
  <c r="AM569" i="3"/>
  <c r="AN569" i="3"/>
  <c r="A570" i="3"/>
  <c r="B570" i="3"/>
  <c r="C570" i="3"/>
  <c r="D570" i="3"/>
  <c r="E570" i="3"/>
  <c r="F570" i="3"/>
  <c r="G570" i="3"/>
  <c r="H570" i="3"/>
  <c r="I570" i="3"/>
  <c r="J570" i="3"/>
  <c r="K570" i="3"/>
  <c r="L570" i="3"/>
  <c r="M570" i="3"/>
  <c r="N570" i="3"/>
  <c r="O570" i="3"/>
  <c r="P570" i="3"/>
  <c r="Q570" i="3"/>
  <c r="R570" i="3"/>
  <c r="S570" i="3"/>
  <c r="T570" i="3"/>
  <c r="U570" i="3"/>
  <c r="V570" i="3"/>
  <c r="W570" i="3"/>
  <c r="X570" i="3"/>
  <c r="Y570" i="3"/>
  <c r="Z570" i="3"/>
  <c r="AA570" i="3"/>
  <c r="AB570" i="3"/>
  <c r="AC570" i="3"/>
  <c r="AD570" i="3"/>
  <c r="AE570" i="3"/>
  <c r="AF570" i="3"/>
  <c r="AG570" i="3"/>
  <c r="AH570" i="3"/>
  <c r="AI570" i="3"/>
  <c r="AJ570" i="3"/>
  <c r="AK570" i="3"/>
  <c r="AL570" i="3"/>
  <c r="AM570" i="3"/>
  <c r="AN570" i="3"/>
  <c r="A571" i="3"/>
  <c r="B571" i="3"/>
  <c r="C571" i="3"/>
  <c r="D571" i="3"/>
  <c r="E571" i="3"/>
  <c r="F571" i="3"/>
  <c r="G571" i="3"/>
  <c r="H571" i="3"/>
  <c r="I571" i="3"/>
  <c r="J571" i="3"/>
  <c r="K571" i="3"/>
  <c r="L571" i="3"/>
  <c r="M571" i="3"/>
  <c r="N571" i="3"/>
  <c r="O571" i="3"/>
  <c r="P571" i="3"/>
  <c r="Q571" i="3"/>
  <c r="R571" i="3"/>
  <c r="S571" i="3"/>
  <c r="T571" i="3"/>
  <c r="U571" i="3"/>
  <c r="V571" i="3"/>
  <c r="W571" i="3"/>
  <c r="X571" i="3"/>
  <c r="Y571" i="3"/>
  <c r="Z571" i="3"/>
  <c r="AA571" i="3"/>
  <c r="AB571" i="3"/>
  <c r="AC571" i="3"/>
  <c r="AD571" i="3"/>
  <c r="AE571" i="3"/>
  <c r="AF571" i="3"/>
  <c r="AG571" i="3"/>
  <c r="AH571" i="3"/>
  <c r="AI571" i="3"/>
  <c r="AJ571" i="3"/>
  <c r="AK571" i="3"/>
  <c r="AL571" i="3"/>
  <c r="AM571" i="3"/>
  <c r="AN571" i="3"/>
  <c r="A572" i="3"/>
  <c r="B572" i="3"/>
  <c r="C572" i="3"/>
  <c r="D572" i="3"/>
  <c r="E572" i="3"/>
  <c r="F572" i="3"/>
  <c r="G572" i="3"/>
  <c r="H572" i="3"/>
  <c r="I572" i="3"/>
  <c r="J572" i="3"/>
  <c r="K572" i="3"/>
  <c r="L572" i="3"/>
  <c r="M572" i="3"/>
  <c r="N572" i="3"/>
  <c r="O572" i="3"/>
  <c r="P572" i="3"/>
  <c r="Q572" i="3"/>
  <c r="R572" i="3"/>
  <c r="S572" i="3"/>
  <c r="T572" i="3"/>
  <c r="U572" i="3"/>
  <c r="V572" i="3"/>
  <c r="W572" i="3"/>
  <c r="X572" i="3"/>
  <c r="Y572" i="3"/>
  <c r="Z572" i="3"/>
  <c r="AA572" i="3"/>
  <c r="AB572" i="3"/>
  <c r="AC572" i="3"/>
  <c r="AD572" i="3"/>
  <c r="AE572" i="3"/>
  <c r="AF572" i="3"/>
  <c r="AG572" i="3"/>
  <c r="AH572" i="3"/>
  <c r="AI572" i="3"/>
  <c r="AJ572" i="3"/>
  <c r="AK572" i="3"/>
  <c r="AL572" i="3"/>
  <c r="AM572" i="3"/>
  <c r="AN572" i="3"/>
  <c r="A573" i="3"/>
  <c r="B573" i="3"/>
  <c r="C573" i="3"/>
  <c r="D573" i="3"/>
  <c r="E573" i="3"/>
  <c r="F573" i="3"/>
  <c r="G573" i="3"/>
  <c r="H573" i="3"/>
  <c r="I573" i="3"/>
  <c r="J573" i="3"/>
  <c r="K573" i="3"/>
  <c r="L573" i="3"/>
  <c r="M573" i="3"/>
  <c r="N573" i="3"/>
  <c r="O573" i="3"/>
  <c r="P573" i="3"/>
  <c r="Q573" i="3"/>
  <c r="R573" i="3"/>
  <c r="S573" i="3"/>
  <c r="T573" i="3"/>
  <c r="U573" i="3"/>
  <c r="V573" i="3"/>
  <c r="W573" i="3"/>
  <c r="X573" i="3"/>
  <c r="Y573" i="3"/>
  <c r="Z573" i="3"/>
  <c r="AA573" i="3"/>
  <c r="AB573" i="3"/>
  <c r="AC573" i="3"/>
  <c r="AD573" i="3"/>
  <c r="AE573" i="3"/>
  <c r="AF573" i="3"/>
  <c r="AG573" i="3"/>
  <c r="AH573" i="3"/>
  <c r="AI573" i="3"/>
  <c r="AJ573" i="3"/>
  <c r="AK573" i="3"/>
  <c r="AL573" i="3"/>
  <c r="AM573" i="3"/>
  <c r="AN573" i="3"/>
  <c r="A574" i="3"/>
  <c r="B574" i="3"/>
  <c r="C574" i="3"/>
  <c r="D574" i="3"/>
  <c r="E574" i="3"/>
  <c r="F574" i="3"/>
  <c r="G574" i="3"/>
  <c r="H574" i="3"/>
  <c r="I574" i="3"/>
  <c r="J574" i="3"/>
  <c r="K574" i="3"/>
  <c r="L574" i="3"/>
  <c r="M574" i="3"/>
  <c r="N574" i="3"/>
  <c r="O574" i="3"/>
  <c r="P574" i="3"/>
  <c r="Q574" i="3"/>
  <c r="R574" i="3"/>
  <c r="S574" i="3"/>
  <c r="T574" i="3"/>
  <c r="U574" i="3"/>
  <c r="V574" i="3"/>
  <c r="W574" i="3"/>
  <c r="X574" i="3"/>
  <c r="Y574" i="3"/>
  <c r="Z574" i="3"/>
  <c r="AA574" i="3"/>
  <c r="AB574" i="3"/>
  <c r="AC574" i="3"/>
  <c r="AD574" i="3"/>
  <c r="AE574" i="3"/>
  <c r="AF574" i="3"/>
  <c r="AG574" i="3"/>
  <c r="AH574" i="3"/>
  <c r="AI574" i="3"/>
  <c r="AJ574" i="3"/>
  <c r="AK574" i="3"/>
  <c r="AL574" i="3"/>
  <c r="AM574" i="3"/>
  <c r="AN574" i="3"/>
  <c r="A575" i="3"/>
  <c r="B575" i="3"/>
  <c r="C575" i="3"/>
  <c r="D575" i="3"/>
  <c r="E575" i="3"/>
  <c r="F575" i="3"/>
  <c r="G575" i="3"/>
  <c r="H575" i="3"/>
  <c r="I575" i="3"/>
  <c r="J575" i="3"/>
  <c r="K575" i="3"/>
  <c r="L575" i="3"/>
  <c r="M575" i="3"/>
  <c r="N575" i="3"/>
  <c r="O575" i="3"/>
  <c r="P575" i="3"/>
  <c r="Q575" i="3"/>
  <c r="R575" i="3"/>
  <c r="S575" i="3"/>
  <c r="T575" i="3"/>
  <c r="U575" i="3"/>
  <c r="V575" i="3"/>
  <c r="W575" i="3"/>
  <c r="X575" i="3"/>
  <c r="Y575" i="3"/>
  <c r="Z575" i="3"/>
  <c r="AA575" i="3"/>
  <c r="AB575" i="3"/>
  <c r="AC575" i="3"/>
  <c r="AD575" i="3"/>
  <c r="AE575" i="3"/>
  <c r="AF575" i="3"/>
  <c r="AG575" i="3"/>
  <c r="AH575" i="3"/>
  <c r="AI575" i="3"/>
  <c r="AJ575" i="3"/>
  <c r="AK575" i="3"/>
  <c r="AL575" i="3"/>
  <c r="AM575" i="3"/>
  <c r="AN575" i="3"/>
  <c r="A576" i="3"/>
  <c r="B576" i="3"/>
  <c r="C576" i="3"/>
  <c r="D576" i="3"/>
  <c r="E576" i="3"/>
  <c r="F576" i="3"/>
  <c r="G576" i="3"/>
  <c r="H576" i="3"/>
  <c r="I576" i="3"/>
  <c r="J576" i="3"/>
  <c r="K576" i="3"/>
  <c r="L576" i="3"/>
  <c r="M576" i="3"/>
  <c r="N576" i="3"/>
  <c r="O576" i="3"/>
  <c r="P576" i="3"/>
  <c r="Q576" i="3"/>
  <c r="R576" i="3"/>
  <c r="S576" i="3"/>
  <c r="T576" i="3"/>
  <c r="U576" i="3"/>
  <c r="V576" i="3"/>
  <c r="W576" i="3"/>
  <c r="X576" i="3"/>
  <c r="Y576" i="3"/>
  <c r="Z576" i="3"/>
  <c r="AA576" i="3"/>
  <c r="AB576" i="3"/>
  <c r="AC576" i="3"/>
  <c r="AD576" i="3"/>
  <c r="AE576" i="3"/>
  <c r="AF576" i="3"/>
  <c r="AG576" i="3"/>
  <c r="AH576" i="3"/>
  <c r="AI576" i="3"/>
  <c r="AJ576" i="3"/>
  <c r="AK576" i="3"/>
  <c r="AL576" i="3"/>
  <c r="AM576" i="3"/>
  <c r="AN576" i="3"/>
  <c r="A577" i="3"/>
  <c r="B577" i="3"/>
  <c r="C577" i="3"/>
  <c r="D577" i="3"/>
  <c r="E577" i="3"/>
  <c r="F577" i="3"/>
  <c r="G577" i="3"/>
  <c r="H577" i="3"/>
  <c r="I577" i="3"/>
  <c r="J577" i="3"/>
  <c r="K577" i="3"/>
  <c r="L577" i="3"/>
  <c r="M577" i="3"/>
  <c r="N577" i="3"/>
  <c r="O577" i="3"/>
  <c r="P577" i="3"/>
  <c r="Q577" i="3"/>
  <c r="R577" i="3"/>
  <c r="S577" i="3"/>
  <c r="T577" i="3"/>
  <c r="U577" i="3"/>
  <c r="V577" i="3"/>
  <c r="W577" i="3"/>
  <c r="X577" i="3"/>
  <c r="Y577" i="3"/>
  <c r="Z577" i="3"/>
  <c r="AA577" i="3"/>
  <c r="AB577" i="3"/>
  <c r="AC577" i="3"/>
  <c r="AD577" i="3"/>
  <c r="AE577" i="3"/>
  <c r="AF577" i="3"/>
  <c r="AG577" i="3"/>
  <c r="AH577" i="3"/>
  <c r="AI577" i="3"/>
  <c r="AJ577" i="3"/>
  <c r="AK577" i="3"/>
  <c r="AL577" i="3"/>
  <c r="AM577" i="3"/>
  <c r="AN577" i="3"/>
  <c r="A578" i="3"/>
  <c r="B578" i="3"/>
  <c r="C578" i="3"/>
  <c r="D578" i="3"/>
  <c r="E578" i="3"/>
  <c r="F578" i="3"/>
  <c r="G578" i="3"/>
  <c r="H578" i="3"/>
  <c r="I578" i="3"/>
  <c r="J578" i="3"/>
  <c r="K578" i="3"/>
  <c r="L578" i="3"/>
  <c r="M578" i="3"/>
  <c r="N578" i="3"/>
  <c r="O578" i="3"/>
  <c r="P578" i="3"/>
  <c r="Q578" i="3"/>
  <c r="R578" i="3"/>
  <c r="S578" i="3"/>
  <c r="T578" i="3"/>
  <c r="U578" i="3"/>
  <c r="V578" i="3"/>
  <c r="W578" i="3"/>
  <c r="X578" i="3"/>
  <c r="Y578" i="3"/>
  <c r="Z578" i="3"/>
  <c r="AA578" i="3"/>
  <c r="AB578" i="3"/>
  <c r="AC578" i="3"/>
  <c r="AD578" i="3"/>
  <c r="AE578" i="3"/>
  <c r="AF578" i="3"/>
  <c r="AG578" i="3"/>
  <c r="AH578" i="3"/>
  <c r="AI578" i="3"/>
  <c r="AJ578" i="3"/>
  <c r="AK578" i="3"/>
  <c r="AL578" i="3"/>
  <c r="AM578" i="3"/>
  <c r="AN578" i="3"/>
  <c r="A579" i="3"/>
  <c r="B579" i="3"/>
  <c r="C579" i="3"/>
  <c r="D579" i="3"/>
  <c r="E579" i="3"/>
  <c r="F579" i="3"/>
  <c r="G579" i="3"/>
  <c r="H579" i="3"/>
  <c r="I579" i="3"/>
  <c r="J579" i="3"/>
  <c r="K579" i="3"/>
  <c r="L579" i="3"/>
  <c r="M579" i="3"/>
  <c r="N579" i="3"/>
  <c r="O579" i="3"/>
  <c r="P579" i="3"/>
  <c r="Q579" i="3"/>
  <c r="R579" i="3"/>
  <c r="S579" i="3"/>
  <c r="T579" i="3"/>
  <c r="U579" i="3"/>
  <c r="V579" i="3"/>
  <c r="W579" i="3"/>
  <c r="X579" i="3"/>
  <c r="Y579" i="3"/>
  <c r="Z579" i="3"/>
  <c r="AA579" i="3"/>
  <c r="AB579" i="3"/>
  <c r="AC579" i="3"/>
  <c r="AD579" i="3"/>
  <c r="AE579" i="3"/>
  <c r="AF579" i="3"/>
  <c r="AG579" i="3"/>
  <c r="AH579" i="3"/>
  <c r="AI579" i="3"/>
  <c r="AJ579" i="3"/>
  <c r="AK579" i="3"/>
  <c r="AL579" i="3"/>
  <c r="AM579" i="3"/>
  <c r="AN579" i="3"/>
  <c r="A580" i="3"/>
  <c r="B580" i="3"/>
  <c r="C580" i="3"/>
  <c r="D580" i="3"/>
  <c r="E580" i="3"/>
  <c r="F580" i="3"/>
  <c r="G580" i="3"/>
  <c r="H580" i="3"/>
  <c r="I580" i="3"/>
  <c r="J580" i="3"/>
  <c r="K580" i="3"/>
  <c r="L580" i="3"/>
  <c r="M580" i="3"/>
  <c r="N580" i="3"/>
  <c r="O580" i="3"/>
  <c r="P580" i="3"/>
  <c r="Q580" i="3"/>
  <c r="R580" i="3"/>
  <c r="S580" i="3"/>
  <c r="T580" i="3"/>
  <c r="U580" i="3"/>
  <c r="V580" i="3"/>
  <c r="W580" i="3"/>
  <c r="X580" i="3"/>
  <c r="Y580" i="3"/>
  <c r="Z580" i="3"/>
  <c r="AA580" i="3"/>
  <c r="AB580" i="3"/>
  <c r="AC580" i="3"/>
  <c r="AD580" i="3"/>
  <c r="AE580" i="3"/>
  <c r="AF580" i="3"/>
  <c r="AG580" i="3"/>
  <c r="AH580" i="3"/>
  <c r="AI580" i="3"/>
  <c r="AJ580" i="3"/>
  <c r="AK580" i="3"/>
  <c r="AL580" i="3"/>
  <c r="AM580" i="3"/>
  <c r="AN580" i="3"/>
  <c r="A581" i="3"/>
  <c r="B581" i="3"/>
  <c r="C581" i="3"/>
  <c r="D581" i="3"/>
  <c r="E581" i="3"/>
  <c r="F581" i="3"/>
  <c r="G581" i="3"/>
  <c r="H581" i="3"/>
  <c r="I581" i="3"/>
  <c r="J581" i="3"/>
  <c r="K581" i="3"/>
  <c r="L581" i="3"/>
  <c r="M581" i="3"/>
  <c r="N581" i="3"/>
  <c r="O581" i="3"/>
  <c r="P581" i="3"/>
  <c r="Q581" i="3"/>
  <c r="R581" i="3"/>
  <c r="S581" i="3"/>
  <c r="T581" i="3"/>
  <c r="U581" i="3"/>
  <c r="V581" i="3"/>
  <c r="W581" i="3"/>
  <c r="X581" i="3"/>
  <c r="Y581" i="3"/>
  <c r="Z581" i="3"/>
  <c r="AA581" i="3"/>
  <c r="AB581" i="3"/>
  <c r="AC581" i="3"/>
  <c r="AD581" i="3"/>
  <c r="AE581" i="3"/>
  <c r="AF581" i="3"/>
  <c r="AG581" i="3"/>
  <c r="AH581" i="3"/>
  <c r="AI581" i="3"/>
  <c r="AJ581" i="3"/>
  <c r="AK581" i="3"/>
  <c r="AL581" i="3"/>
  <c r="AM581" i="3"/>
  <c r="AN581" i="3"/>
  <c r="A582" i="3"/>
  <c r="B582" i="3"/>
  <c r="C582" i="3"/>
  <c r="D582" i="3"/>
  <c r="E582" i="3"/>
  <c r="F582" i="3"/>
  <c r="G582" i="3"/>
  <c r="H582" i="3"/>
  <c r="I582" i="3"/>
  <c r="J582" i="3"/>
  <c r="K582" i="3"/>
  <c r="L582" i="3"/>
  <c r="M582" i="3"/>
  <c r="N582" i="3"/>
  <c r="O582" i="3"/>
  <c r="P582" i="3"/>
  <c r="Q582" i="3"/>
  <c r="R582" i="3"/>
  <c r="S582" i="3"/>
  <c r="T582" i="3"/>
  <c r="U582" i="3"/>
  <c r="V582" i="3"/>
  <c r="W582" i="3"/>
  <c r="X582" i="3"/>
  <c r="Y582" i="3"/>
  <c r="Z582" i="3"/>
  <c r="AA582" i="3"/>
  <c r="AB582" i="3"/>
  <c r="AC582" i="3"/>
  <c r="AD582" i="3"/>
  <c r="AE582" i="3"/>
  <c r="AF582" i="3"/>
  <c r="AG582" i="3"/>
  <c r="AH582" i="3"/>
  <c r="AI582" i="3"/>
  <c r="AJ582" i="3"/>
  <c r="AK582" i="3"/>
  <c r="AL582" i="3"/>
  <c r="AM582" i="3"/>
  <c r="AN582" i="3"/>
  <c r="A583" i="3"/>
  <c r="B583" i="3"/>
  <c r="C583" i="3"/>
  <c r="D583" i="3"/>
  <c r="E583" i="3"/>
  <c r="F583" i="3"/>
  <c r="G583" i="3"/>
  <c r="H583" i="3"/>
  <c r="I583" i="3"/>
  <c r="J583" i="3"/>
  <c r="K583" i="3"/>
  <c r="L583" i="3"/>
  <c r="M583" i="3"/>
  <c r="N583" i="3"/>
  <c r="O583" i="3"/>
  <c r="P583" i="3"/>
  <c r="Q583" i="3"/>
  <c r="R583" i="3"/>
  <c r="S583" i="3"/>
  <c r="T583" i="3"/>
  <c r="U583" i="3"/>
  <c r="V583" i="3"/>
  <c r="W583" i="3"/>
  <c r="X583" i="3"/>
  <c r="Y583" i="3"/>
  <c r="Z583" i="3"/>
  <c r="AA583" i="3"/>
  <c r="AB583" i="3"/>
  <c r="AC583" i="3"/>
  <c r="AD583" i="3"/>
  <c r="AE583" i="3"/>
  <c r="AF583" i="3"/>
  <c r="AG583" i="3"/>
  <c r="AH583" i="3"/>
  <c r="AI583" i="3"/>
  <c r="AJ583" i="3"/>
  <c r="AK583" i="3"/>
  <c r="AL583" i="3"/>
  <c r="AM583" i="3"/>
  <c r="AN583" i="3"/>
  <c r="A584" i="3"/>
  <c r="B584" i="3"/>
  <c r="C584" i="3"/>
  <c r="D584" i="3"/>
  <c r="E584" i="3"/>
  <c r="F584" i="3"/>
  <c r="G584" i="3"/>
  <c r="H584" i="3"/>
  <c r="I584" i="3"/>
  <c r="J584" i="3"/>
  <c r="K584" i="3"/>
  <c r="L584" i="3"/>
  <c r="M584" i="3"/>
  <c r="N584" i="3"/>
  <c r="O584" i="3"/>
  <c r="P584" i="3"/>
  <c r="Q584" i="3"/>
  <c r="R584" i="3"/>
  <c r="S584" i="3"/>
  <c r="T584" i="3"/>
  <c r="U584" i="3"/>
  <c r="V584" i="3"/>
  <c r="W584" i="3"/>
  <c r="X584" i="3"/>
  <c r="Y584" i="3"/>
  <c r="Z584" i="3"/>
  <c r="AA584" i="3"/>
  <c r="AB584" i="3"/>
  <c r="AC584" i="3"/>
  <c r="AD584" i="3"/>
  <c r="AE584" i="3"/>
  <c r="AF584" i="3"/>
  <c r="AG584" i="3"/>
  <c r="AH584" i="3"/>
  <c r="AI584" i="3"/>
  <c r="AJ584" i="3"/>
  <c r="AK584" i="3"/>
  <c r="AL584" i="3"/>
  <c r="AM584" i="3"/>
  <c r="AN584" i="3"/>
  <c r="A585" i="3"/>
  <c r="B585" i="3"/>
  <c r="C585" i="3"/>
  <c r="D585" i="3"/>
  <c r="E585" i="3"/>
  <c r="F585" i="3"/>
  <c r="G585" i="3"/>
  <c r="H585" i="3"/>
  <c r="I585" i="3"/>
  <c r="J585" i="3"/>
  <c r="K585" i="3"/>
  <c r="L585" i="3"/>
  <c r="M585" i="3"/>
  <c r="N585" i="3"/>
  <c r="O585" i="3"/>
  <c r="P585" i="3"/>
  <c r="Q585" i="3"/>
  <c r="R585" i="3"/>
  <c r="S585" i="3"/>
  <c r="T585" i="3"/>
  <c r="U585" i="3"/>
  <c r="V585" i="3"/>
  <c r="W585" i="3"/>
  <c r="X585" i="3"/>
  <c r="Y585" i="3"/>
  <c r="Z585" i="3"/>
  <c r="AA585" i="3"/>
  <c r="AB585" i="3"/>
  <c r="AC585" i="3"/>
  <c r="AD585" i="3"/>
  <c r="AE585" i="3"/>
  <c r="AF585" i="3"/>
  <c r="AG585" i="3"/>
  <c r="AH585" i="3"/>
  <c r="AI585" i="3"/>
  <c r="AJ585" i="3"/>
  <c r="AK585" i="3"/>
  <c r="AL585" i="3"/>
  <c r="AM585" i="3"/>
  <c r="AN585" i="3"/>
  <c r="A586" i="3"/>
  <c r="B586" i="3"/>
  <c r="C586" i="3"/>
  <c r="D586" i="3"/>
  <c r="E586" i="3"/>
  <c r="F586" i="3"/>
  <c r="G586" i="3"/>
  <c r="H586" i="3"/>
  <c r="I586" i="3"/>
  <c r="J586" i="3"/>
  <c r="K586" i="3"/>
  <c r="L586" i="3"/>
  <c r="M586" i="3"/>
  <c r="N586" i="3"/>
  <c r="O586" i="3"/>
  <c r="P586" i="3"/>
  <c r="Q586" i="3"/>
  <c r="R586" i="3"/>
  <c r="S586" i="3"/>
  <c r="T586" i="3"/>
  <c r="U586" i="3"/>
  <c r="V586" i="3"/>
  <c r="W586" i="3"/>
  <c r="X586" i="3"/>
  <c r="Y586" i="3"/>
  <c r="Z586" i="3"/>
  <c r="AA586" i="3"/>
  <c r="AB586" i="3"/>
  <c r="AC586" i="3"/>
  <c r="AD586" i="3"/>
  <c r="AE586" i="3"/>
  <c r="AF586" i="3"/>
  <c r="AG586" i="3"/>
  <c r="AH586" i="3"/>
  <c r="AI586" i="3"/>
  <c r="AJ586" i="3"/>
  <c r="AK586" i="3"/>
  <c r="AL586" i="3"/>
  <c r="AM586" i="3"/>
  <c r="AN586" i="3"/>
  <c r="A587" i="3"/>
  <c r="B587" i="3"/>
  <c r="C587" i="3"/>
  <c r="D587" i="3"/>
  <c r="E587" i="3"/>
  <c r="F587" i="3"/>
  <c r="G587" i="3"/>
  <c r="H587" i="3"/>
  <c r="I587" i="3"/>
  <c r="J587" i="3"/>
  <c r="K587" i="3"/>
  <c r="L587" i="3"/>
  <c r="M587" i="3"/>
  <c r="N587" i="3"/>
  <c r="O587" i="3"/>
  <c r="P587" i="3"/>
  <c r="Q587" i="3"/>
  <c r="R587" i="3"/>
  <c r="S587" i="3"/>
  <c r="T587" i="3"/>
  <c r="U587" i="3"/>
  <c r="V587" i="3"/>
  <c r="W587" i="3"/>
  <c r="X587" i="3"/>
  <c r="Y587" i="3"/>
  <c r="Z587" i="3"/>
  <c r="AA587" i="3"/>
  <c r="AB587" i="3"/>
  <c r="AC587" i="3"/>
  <c r="AD587" i="3"/>
  <c r="AE587" i="3"/>
  <c r="AF587" i="3"/>
  <c r="AG587" i="3"/>
  <c r="AH587" i="3"/>
  <c r="AI587" i="3"/>
  <c r="AJ587" i="3"/>
  <c r="AK587" i="3"/>
  <c r="AL587" i="3"/>
  <c r="AM587" i="3"/>
  <c r="AN587" i="3"/>
  <c r="A588" i="3"/>
  <c r="B588" i="3"/>
  <c r="C588" i="3"/>
  <c r="D588" i="3"/>
  <c r="E588" i="3"/>
  <c r="F588" i="3"/>
  <c r="G588" i="3"/>
  <c r="H588" i="3"/>
  <c r="I588" i="3"/>
  <c r="J588" i="3"/>
  <c r="K588" i="3"/>
  <c r="L588" i="3"/>
  <c r="M588" i="3"/>
  <c r="N588" i="3"/>
  <c r="O588" i="3"/>
  <c r="P588" i="3"/>
  <c r="Q588" i="3"/>
  <c r="R588" i="3"/>
  <c r="S588" i="3"/>
  <c r="T588" i="3"/>
  <c r="U588" i="3"/>
  <c r="V588" i="3"/>
  <c r="W588" i="3"/>
  <c r="X588" i="3"/>
  <c r="Y588" i="3"/>
  <c r="Z588" i="3"/>
  <c r="AA588" i="3"/>
  <c r="AB588" i="3"/>
  <c r="AC588" i="3"/>
  <c r="AD588" i="3"/>
  <c r="AE588" i="3"/>
  <c r="AF588" i="3"/>
  <c r="AG588" i="3"/>
  <c r="AH588" i="3"/>
  <c r="AI588" i="3"/>
  <c r="AJ588" i="3"/>
  <c r="AK588" i="3"/>
  <c r="AL588" i="3"/>
  <c r="AM588" i="3"/>
  <c r="AN588" i="3"/>
  <c r="A589" i="3"/>
  <c r="B589" i="3"/>
  <c r="C589" i="3"/>
  <c r="D589" i="3"/>
  <c r="E589" i="3"/>
  <c r="F589" i="3"/>
  <c r="G589" i="3"/>
  <c r="H589" i="3"/>
  <c r="I589" i="3"/>
  <c r="J589" i="3"/>
  <c r="K589" i="3"/>
  <c r="L589" i="3"/>
  <c r="M589" i="3"/>
  <c r="N589" i="3"/>
  <c r="O589" i="3"/>
  <c r="P589" i="3"/>
  <c r="Q589" i="3"/>
  <c r="R589" i="3"/>
  <c r="S589" i="3"/>
  <c r="T589" i="3"/>
  <c r="U589" i="3"/>
  <c r="V589" i="3"/>
  <c r="W589" i="3"/>
  <c r="X589" i="3"/>
  <c r="Y589" i="3"/>
  <c r="Z589" i="3"/>
  <c r="AA589" i="3"/>
  <c r="AB589" i="3"/>
  <c r="AC589" i="3"/>
  <c r="AD589" i="3"/>
  <c r="AE589" i="3"/>
  <c r="AF589" i="3"/>
  <c r="AG589" i="3"/>
  <c r="AH589" i="3"/>
  <c r="AI589" i="3"/>
  <c r="AJ589" i="3"/>
  <c r="AK589" i="3"/>
  <c r="AL589" i="3"/>
  <c r="AM589" i="3"/>
  <c r="AN589" i="3"/>
  <c r="A590" i="3"/>
  <c r="B590" i="3"/>
  <c r="C590" i="3"/>
  <c r="D590" i="3"/>
  <c r="E590" i="3"/>
  <c r="F590" i="3"/>
  <c r="G590" i="3"/>
  <c r="H590" i="3"/>
  <c r="I590" i="3"/>
  <c r="J590" i="3"/>
  <c r="K590" i="3"/>
  <c r="L590" i="3"/>
  <c r="M590" i="3"/>
  <c r="N590" i="3"/>
  <c r="O590" i="3"/>
  <c r="P590" i="3"/>
  <c r="Q590" i="3"/>
  <c r="R590" i="3"/>
  <c r="S590" i="3"/>
  <c r="T590" i="3"/>
  <c r="U590" i="3"/>
  <c r="V590" i="3"/>
  <c r="W590" i="3"/>
  <c r="X590" i="3"/>
  <c r="Y590" i="3"/>
  <c r="Z590" i="3"/>
  <c r="AA590" i="3"/>
  <c r="AB590" i="3"/>
  <c r="AC590" i="3"/>
  <c r="AD590" i="3"/>
  <c r="AE590" i="3"/>
  <c r="AF590" i="3"/>
  <c r="AG590" i="3"/>
  <c r="AH590" i="3"/>
  <c r="AI590" i="3"/>
  <c r="AJ590" i="3"/>
  <c r="AK590" i="3"/>
  <c r="AL590" i="3"/>
  <c r="AM590" i="3"/>
  <c r="AN590" i="3"/>
  <c r="A591" i="3"/>
  <c r="B591" i="3"/>
  <c r="C591" i="3"/>
  <c r="D591" i="3"/>
  <c r="E591" i="3"/>
  <c r="F591" i="3"/>
  <c r="G591" i="3"/>
  <c r="H591" i="3"/>
  <c r="I591" i="3"/>
  <c r="J591" i="3"/>
  <c r="K591" i="3"/>
  <c r="L591" i="3"/>
  <c r="M591" i="3"/>
  <c r="N591" i="3"/>
  <c r="O591" i="3"/>
  <c r="P591" i="3"/>
  <c r="Q591" i="3"/>
  <c r="R591" i="3"/>
  <c r="S591" i="3"/>
  <c r="T591" i="3"/>
  <c r="U591" i="3"/>
  <c r="V591" i="3"/>
  <c r="W591" i="3"/>
  <c r="X591" i="3"/>
  <c r="Y591" i="3"/>
  <c r="Z591" i="3"/>
  <c r="AA591" i="3"/>
  <c r="AB591" i="3"/>
  <c r="AC591" i="3"/>
  <c r="AD591" i="3"/>
  <c r="AE591" i="3"/>
  <c r="AF591" i="3"/>
  <c r="AG591" i="3"/>
  <c r="AH591" i="3"/>
  <c r="AI591" i="3"/>
  <c r="AJ591" i="3"/>
  <c r="AK591" i="3"/>
  <c r="AL591" i="3"/>
  <c r="AM591" i="3"/>
  <c r="AN591" i="3"/>
  <c r="A592" i="3"/>
  <c r="B592" i="3"/>
  <c r="C592" i="3"/>
  <c r="D592" i="3"/>
  <c r="E592" i="3"/>
  <c r="F592" i="3"/>
  <c r="G592" i="3"/>
  <c r="H592" i="3"/>
  <c r="I592" i="3"/>
  <c r="J592" i="3"/>
  <c r="K592" i="3"/>
  <c r="L592" i="3"/>
  <c r="M592" i="3"/>
  <c r="N592" i="3"/>
  <c r="O592" i="3"/>
  <c r="P592" i="3"/>
  <c r="Q592" i="3"/>
  <c r="R592" i="3"/>
  <c r="S592" i="3"/>
  <c r="T592" i="3"/>
  <c r="U592" i="3"/>
  <c r="V592" i="3"/>
  <c r="W592" i="3"/>
  <c r="X592" i="3"/>
  <c r="Y592" i="3"/>
  <c r="Z592" i="3"/>
  <c r="AA592" i="3"/>
  <c r="AB592" i="3"/>
  <c r="AC592" i="3"/>
  <c r="AD592" i="3"/>
  <c r="AE592" i="3"/>
  <c r="AF592" i="3"/>
  <c r="AG592" i="3"/>
  <c r="AH592" i="3"/>
  <c r="AI592" i="3"/>
  <c r="AJ592" i="3"/>
  <c r="AK592" i="3"/>
  <c r="AL592" i="3"/>
  <c r="AM592" i="3"/>
  <c r="AN592" i="3"/>
  <c r="A593" i="3"/>
  <c r="B593" i="3"/>
  <c r="C593" i="3"/>
  <c r="D593" i="3"/>
  <c r="E593" i="3"/>
  <c r="F593" i="3"/>
  <c r="G593" i="3"/>
  <c r="H593" i="3"/>
  <c r="I593" i="3"/>
  <c r="J593" i="3"/>
  <c r="K593" i="3"/>
  <c r="L593" i="3"/>
  <c r="M593" i="3"/>
  <c r="N593" i="3"/>
  <c r="O593" i="3"/>
  <c r="P593" i="3"/>
  <c r="Q593" i="3"/>
  <c r="R593" i="3"/>
  <c r="S593" i="3"/>
  <c r="T593" i="3"/>
  <c r="U593" i="3"/>
  <c r="V593" i="3"/>
  <c r="W593" i="3"/>
  <c r="X593" i="3"/>
  <c r="Y593" i="3"/>
  <c r="Z593" i="3"/>
  <c r="AA593" i="3"/>
  <c r="AB593" i="3"/>
  <c r="AC593" i="3"/>
  <c r="AD593" i="3"/>
  <c r="AE593" i="3"/>
  <c r="AF593" i="3"/>
  <c r="AG593" i="3"/>
  <c r="AH593" i="3"/>
  <c r="AI593" i="3"/>
  <c r="AJ593" i="3"/>
  <c r="AK593" i="3"/>
  <c r="AL593" i="3"/>
  <c r="AM593" i="3"/>
  <c r="AN593" i="3"/>
  <c r="A594" i="3"/>
  <c r="B594" i="3"/>
  <c r="C594" i="3"/>
  <c r="D594" i="3"/>
  <c r="E594" i="3"/>
  <c r="F594" i="3"/>
  <c r="G594" i="3"/>
  <c r="H594" i="3"/>
  <c r="I594" i="3"/>
  <c r="J594" i="3"/>
  <c r="K594" i="3"/>
  <c r="L594" i="3"/>
  <c r="M594" i="3"/>
  <c r="N594" i="3"/>
  <c r="O594" i="3"/>
  <c r="P594" i="3"/>
  <c r="Q594" i="3"/>
  <c r="R594" i="3"/>
  <c r="S594" i="3"/>
  <c r="T594" i="3"/>
  <c r="U594" i="3"/>
  <c r="V594" i="3"/>
  <c r="W594" i="3"/>
  <c r="X594" i="3"/>
  <c r="Y594" i="3"/>
  <c r="Z594" i="3"/>
  <c r="AA594" i="3"/>
  <c r="AB594" i="3"/>
  <c r="AC594" i="3"/>
  <c r="AD594" i="3"/>
  <c r="AE594" i="3"/>
  <c r="AF594" i="3"/>
  <c r="AG594" i="3"/>
  <c r="AH594" i="3"/>
  <c r="AI594" i="3"/>
  <c r="AJ594" i="3"/>
  <c r="AK594" i="3"/>
  <c r="AL594" i="3"/>
  <c r="AM594" i="3"/>
  <c r="AN594" i="3"/>
  <c r="A595" i="3"/>
  <c r="B595" i="3"/>
  <c r="C595" i="3"/>
  <c r="D595" i="3"/>
  <c r="E595" i="3"/>
  <c r="F595" i="3"/>
  <c r="G595" i="3"/>
  <c r="H595" i="3"/>
  <c r="I595" i="3"/>
  <c r="J595" i="3"/>
  <c r="K595" i="3"/>
  <c r="L595" i="3"/>
  <c r="M595" i="3"/>
  <c r="N595" i="3"/>
  <c r="O595" i="3"/>
  <c r="P595" i="3"/>
  <c r="Q595" i="3"/>
  <c r="R595" i="3"/>
  <c r="S595" i="3"/>
  <c r="T595" i="3"/>
  <c r="U595" i="3"/>
  <c r="V595" i="3"/>
  <c r="W595" i="3"/>
  <c r="X595" i="3"/>
  <c r="Y595" i="3"/>
  <c r="Z595" i="3"/>
  <c r="AA595" i="3"/>
  <c r="AB595" i="3"/>
  <c r="AC595" i="3"/>
  <c r="AD595" i="3"/>
  <c r="AE595" i="3"/>
  <c r="AF595" i="3"/>
  <c r="AG595" i="3"/>
  <c r="AH595" i="3"/>
  <c r="AI595" i="3"/>
  <c r="AJ595" i="3"/>
  <c r="AK595" i="3"/>
  <c r="AL595" i="3"/>
  <c r="AM595" i="3"/>
  <c r="AN595" i="3"/>
  <c r="A596" i="3"/>
  <c r="B596" i="3"/>
  <c r="C596" i="3"/>
  <c r="D596" i="3"/>
  <c r="E596" i="3"/>
  <c r="F596" i="3"/>
  <c r="G596" i="3"/>
  <c r="H596" i="3"/>
  <c r="I596" i="3"/>
  <c r="J596" i="3"/>
  <c r="K596" i="3"/>
  <c r="L596" i="3"/>
  <c r="M596" i="3"/>
  <c r="N596" i="3"/>
  <c r="O596" i="3"/>
  <c r="P596" i="3"/>
  <c r="Q596" i="3"/>
  <c r="R596" i="3"/>
  <c r="S596" i="3"/>
  <c r="T596" i="3"/>
  <c r="U596" i="3"/>
  <c r="V596" i="3"/>
  <c r="W596" i="3"/>
  <c r="X596" i="3"/>
  <c r="Y596" i="3"/>
  <c r="Z596" i="3"/>
  <c r="AA596" i="3"/>
  <c r="AB596" i="3"/>
  <c r="AC596" i="3"/>
  <c r="AD596" i="3"/>
  <c r="AE596" i="3"/>
  <c r="AF596" i="3"/>
  <c r="AG596" i="3"/>
  <c r="AH596" i="3"/>
  <c r="AI596" i="3"/>
  <c r="AJ596" i="3"/>
  <c r="AK596" i="3"/>
  <c r="AL596" i="3"/>
  <c r="AM596" i="3"/>
  <c r="AN596" i="3"/>
  <c r="A597" i="3"/>
  <c r="B597" i="3"/>
  <c r="C597" i="3"/>
  <c r="D597" i="3"/>
  <c r="E597" i="3"/>
  <c r="F597" i="3"/>
  <c r="G597" i="3"/>
  <c r="H597" i="3"/>
  <c r="I597" i="3"/>
  <c r="J597" i="3"/>
  <c r="K597" i="3"/>
  <c r="L597" i="3"/>
  <c r="M597" i="3"/>
  <c r="N597" i="3"/>
  <c r="O597" i="3"/>
  <c r="P597" i="3"/>
  <c r="Q597" i="3"/>
  <c r="R597" i="3"/>
  <c r="S597" i="3"/>
  <c r="T597" i="3"/>
  <c r="U597" i="3"/>
  <c r="V597" i="3"/>
  <c r="W597" i="3"/>
  <c r="X597" i="3"/>
  <c r="Y597" i="3"/>
  <c r="Z597" i="3"/>
  <c r="AA597" i="3"/>
  <c r="AB597" i="3"/>
  <c r="AC597" i="3"/>
  <c r="AD597" i="3"/>
  <c r="AE597" i="3"/>
  <c r="AF597" i="3"/>
  <c r="AG597" i="3"/>
  <c r="AH597" i="3"/>
  <c r="AI597" i="3"/>
  <c r="AJ597" i="3"/>
  <c r="AK597" i="3"/>
  <c r="AL597" i="3"/>
  <c r="AM597" i="3"/>
  <c r="AN597" i="3"/>
  <c r="A598" i="3"/>
  <c r="B598" i="3"/>
  <c r="C598" i="3"/>
  <c r="D598" i="3"/>
  <c r="E598" i="3"/>
  <c r="F598" i="3"/>
  <c r="G598" i="3"/>
  <c r="H598" i="3"/>
  <c r="I598" i="3"/>
  <c r="J598" i="3"/>
  <c r="K598" i="3"/>
  <c r="L598" i="3"/>
  <c r="M598" i="3"/>
  <c r="N598" i="3"/>
  <c r="O598" i="3"/>
  <c r="P598" i="3"/>
  <c r="Q598" i="3"/>
  <c r="R598" i="3"/>
  <c r="S598" i="3"/>
  <c r="T598" i="3"/>
  <c r="U598" i="3"/>
  <c r="V598" i="3"/>
  <c r="W598" i="3"/>
  <c r="X598" i="3"/>
  <c r="Y598" i="3"/>
  <c r="Z598" i="3"/>
  <c r="AA598" i="3"/>
  <c r="AB598" i="3"/>
  <c r="AC598" i="3"/>
  <c r="AD598" i="3"/>
  <c r="AE598" i="3"/>
  <c r="AF598" i="3"/>
  <c r="AG598" i="3"/>
  <c r="AH598" i="3"/>
  <c r="AI598" i="3"/>
  <c r="AJ598" i="3"/>
  <c r="AK598" i="3"/>
  <c r="AL598" i="3"/>
  <c r="AM598" i="3"/>
  <c r="AN598" i="3"/>
  <c r="A599" i="3"/>
  <c r="B599" i="3"/>
  <c r="C599" i="3"/>
  <c r="D599" i="3"/>
  <c r="E599" i="3"/>
  <c r="F599" i="3"/>
  <c r="G599" i="3"/>
  <c r="H599" i="3"/>
  <c r="I599" i="3"/>
  <c r="J599" i="3"/>
  <c r="K599" i="3"/>
  <c r="L599" i="3"/>
  <c r="M599" i="3"/>
  <c r="N599" i="3"/>
  <c r="O599" i="3"/>
  <c r="P599" i="3"/>
  <c r="Q599" i="3"/>
  <c r="R599" i="3"/>
  <c r="S599" i="3"/>
  <c r="T599" i="3"/>
  <c r="U599" i="3"/>
  <c r="V599" i="3"/>
  <c r="W599" i="3"/>
  <c r="X599" i="3"/>
  <c r="Y599" i="3"/>
  <c r="Z599" i="3"/>
  <c r="AA599" i="3"/>
  <c r="AB599" i="3"/>
  <c r="AC599" i="3"/>
  <c r="AD599" i="3"/>
  <c r="AE599" i="3"/>
  <c r="AF599" i="3"/>
  <c r="AG599" i="3"/>
  <c r="AH599" i="3"/>
  <c r="AI599" i="3"/>
  <c r="AJ599" i="3"/>
  <c r="AK599" i="3"/>
  <c r="AL599" i="3"/>
  <c r="AM599" i="3"/>
  <c r="AN599" i="3"/>
  <c r="A600" i="3"/>
  <c r="B600" i="3"/>
  <c r="C600" i="3"/>
  <c r="D600" i="3"/>
  <c r="E600" i="3"/>
  <c r="F600" i="3"/>
  <c r="G600" i="3"/>
  <c r="H600" i="3"/>
  <c r="I600" i="3"/>
  <c r="J600" i="3"/>
  <c r="K600" i="3"/>
  <c r="L600" i="3"/>
  <c r="M600" i="3"/>
  <c r="N600" i="3"/>
  <c r="O600" i="3"/>
  <c r="P600" i="3"/>
  <c r="Q600" i="3"/>
  <c r="R600" i="3"/>
  <c r="S600" i="3"/>
  <c r="T600" i="3"/>
  <c r="U600" i="3"/>
  <c r="V600" i="3"/>
  <c r="W600" i="3"/>
  <c r="X600" i="3"/>
  <c r="Y600" i="3"/>
  <c r="Z600" i="3"/>
  <c r="AA600" i="3"/>
  <c r="AB600" i="3"/>
  <c r="AC600" i="3"/>
  <c r="AD600" i="3"/>
  <c r="AE600" i="3"/>
  <c r="AF600" i="3"/>
  <c r="AG600" i="3"/>
  <c r="AH600" i="3"/>
  <c r="AI600" i="3"/>
  <c r="AJ600" i="3"/>
  <c r="AK600" i="3"/>
  <c r="AL600" i="3"/>
  <c r="AM600" i="3"/>
  <c r="AN600" i="3"/>
  <c r="A601" i="3"/>
  <c r="B601" i="3"/>
  <c r="C601" i="3"/>
  <c r="D601" i="3"/>
  <c r="E601" i="3"/>
  <c r="F601" i="3"/>
  <c r="G601" i="3"/>
  <c r="H601" i="3"/>
  <c r="I601" i="3"/>
  <c r="J601" i="3"/>
  <c r="K601" i="3"/>
  <c r="L601" i="3"/>
  <c r="M601" i="3"/>
  <c r="N601" i="3"/>
  <c r="O601" i="3"/>
  <c r="P601" i="3"/>
  <c r="Q601" i="3"/>
  <c r="R601" i="3"/>
  <c r="S601" i="3"/>
  <c r="T601" i="3"/>
  <c r="U601" i="3"/>
  <c r="V601" i="3"/>
  <c r="W601" i="3"/>
  <c r="X601" i="3"/>
  <c r="Y601" i="3"/>
  <c r="Z601" i="3"/>
  <c r="AA601" i="3"/>
  <c r="AB601" i="3"/>
  <c r="AC601" i="3"/>
  <c r="AD601" i="3"/>
  <c r="AE601" i="3"/>
  <c r="AF601" i="3"/>
  <c r="AG601" i="3"/>
  <c r="AH601" i="3"/>
  <c r="AI601" i="3"/>
  <c r="AJ601" i="3"/>
  <c r="AK601" i="3"/>
  <c r="AL601" i="3"/>
  <c r="AM601" i="3"/>
  <c r="AN601" i="3"/>
  <c r="A602" i="3"/>
  <c r="B602" i="3"/>
  <c r="C602" i="3"/>
  <c r="D602" i="3"/>
  <c r="E602" i="3"/>
  <c r="F602" i="3"/>
  <c r="G602" i="3"/>
  <c r="H602" i="3"/>
  <c r="I602" i="3"/>
  <c r="J602" i="3"/>
  <c r="K602" i="3"/>
  <c r="L602" i="3"/>
  <c r="M602" i="3"/>
  <c r="N602" i="3"/>
  <c r="O602" i="3"/>
  <c r="P602" i="3"/>
  <c r="Q602" i="3"/>
  <c r="R602" i="3"/>
  <c r="S602" i="3"/>
  <c r="T602" i="3"/>
  <c r="U602" i="3"/>
  <c r="V602" i="3"/>
  <c r="W602" i="3"/>
  <c r="X602" i="3"/>
  <c r="Y602" i="3"/>
  <c r="Z602" i="3"/>
  <c r="AA602" i="3"/>
  <c r="AB602" i="3"/>
  <c r="AC602" i="3"/>
  <c r="AD602" i="3"/>
  <c r="AE602" i="3"/>
  <c r="AF602" i="3"/>
  <c r="AG602" i="3"/>
  <c r="AH602" i="3"/>
  <c r="AI602" i="3"/>
  <c r="AJ602" i="3"/>
  <c r="AK602" i="3"/>
  <c r="AL602" i="3"/>
  <c r="AM602" i="3"/>
  <c r="AN602" i="3"/>
  <c r="A603" i="3"/>
  <c r="B603" i="3"/>
  <c r="C603" i="3"/>
  <c r="D603" i="3"/>
  <c r="E603" i="3"/>
  <c r="F603" i="3"/>
  <c r="G603" i="3"/>
  <c r="H603" i="3"/>
  <c r="I603" i="3"/>
  <c r="J603" i="3"/>
  <c r="K603" i="3"/>
  <c r="L603" i="3"/>
  <c r="M603" i="3"/>
  <c r="N603" i="3"/>
  <c r="O603" i="3"/>
  <c r="P603" i="3"/>
  <c r="Q603" i="3"/>
  <c r="R603" i="3"/>
  <c r="S603" i="3"/>
  <c r="T603" i="3"/>
  <c r="U603" i="3"/>
  <c r="V603" i="3"/>
  <c r="W603" i="3"/>
  <c r="X603" i="3"/>
  <c r="Y603" i="3"/>
  <c r="Z603" i="3"/>
  <c r="AA603" i="3"/>
  <c r="AB603" i="3"/>
  <c r="AC603" i="3"/>
  <c r="AD603" i="3"/>
  <c r="AE603" i="3"/>
  <c r="AF603" i="3"/>
  <c r="AG603" i="3"/>
  <c r="AH603" i="3"/>
  <c r="AI603" i="3"/>
  <c r="AJ603" i="3"/>
  <c r="AK603" i="3"/>
  <c r="AL603" i="3"/>
  <c r="AM603" i="3"/>
  <c r="AN603" i="3"/>
  <c r="A604" i="3"/>
  <c r="B604" i="3"/>
  <c r="C604" i="3"/>
  <c r="D604" i="3"/>
  <c r="E604" i="3"/>
  <c r="F604" i="3"/>
  <c r="G604" i="3"/>
  <c r="H604" i="3"/>
  <c r="I604" i="3"/>
  <c r="J604" i="3"/>
  <c r="K604" i="3"/>
  <c r="L604" i="3"/>
  <c r="M604" i="3"/>
  <c r="N604" i="3"/>
  <c r="O604" i="3"/>
  <c r="P604" i="3"/>
  <c r="Q604" i="3"/>
  <c r="R604" i="3"/>
  <c r="S604" i="3"/>
  <c r="T604" i="3"/>
  <c r="U604" i="3"/>
  <c r="V604" i="3"/>
  <c r="W604" i="3"/>
  <c r="X604" i="3"/>
  <c r="Y604" i="3"/>
  <c r="Z604" i="3"/>
  <c r="AA604" i="3"/>
  <c r="AB604" i="3"/>
  <c r="AC604" i="3"/>
  <c r="AD604" i="3"/>
  <c r="AE604" i="3"/>
  <c r="AF604" i="3"/>
  <c r="AG604" i="3"/>
  <c r="AH604" i="3"/>
  <c r="AI604" i="3"/>
  <c r="AJ604" i="3"/>
  <c r="AK604" i="3"/>
  <c r="AL604" i="3"/>
  <c r="AM604" i="3"/>
  <c r="AN604" i="3"/>
  <c r="A605" i="3"/>
  <c r="B605" i="3"/>
  <c r="C605" i="3"/>
  <c r="D605" i="3"/>
  <c r="E605" i="3"/>
  <c r="F605" i="3"/>
  <c r="G605" i="3"/>
  <c r="H605" i="3"/>
  <c r="I605" i="3"/>
  <c r="J605" i="3"/>
  <c r="K605" i="3"/>
  <c r="L605" i="3"/>
  <c r="M605" i="3"/>
  <c r="N605" i="3"/>
  <c r="O605" i="3"/>
  <c r="P605" i="3"/>
  <c r="Q605" i="3"/>
  <c r="R605" i="3"/>
  <c r="S605" i="3"/>
  <c r="T605" i="3"/>
  <c r="U605" i="3"/>
  <c r="V605" i="3"/>
  <c r="W605" i="3"/>
  <c r="X605" i="3"/>
  <c r="Y605" i="3"/>
  <c r="Z605" i="3"/>
  <c r="AA605" i="3"/>
  <c r="AB605" i="3"/>
  <c r="AC605" i="3"/>
  <c r="AD605" i="3"/>
  <c r="AE605" i="3"/>
  <c r="AF605" i="3"/>
  <c r="AG605" i="3"/>
  <c r="AH605" i="3"/>
  <c r="AI605" i="3"/>
  <c r="AJ605" i="3"/>
  <c r="AK605" i="3"/>
  <c r="AL605" i="3"/>
  <c r="AM605" i="3"/>
  <c r="AN605" i="3"/>
  <c r="A606" i="3"/>
  <c r="B606" i="3"/>
  <c r="C606" i="3"/>
  <c r="D606" i="3"/>
  <c r="E606" i="3"/>
  <c r="F606" i="3"/>
  <c r="G606" i="3"/>
  <c r="H606" i="3"/>
  <c r="I606" i="3"/>
  <c r="J606" i="3"/>
  <c r="K606" i="3"/>
  <c r="L606" i="3"/>
  <c r="M606" i="3"/>
  <c r="N606" i="3"/>
  <c r="O606" i="3"/>
  <c r="P606" i="3"/>
  <c r="Q606" i="3"/>
  <c r="R606" i="3"/>
  <c r="S606" i="3"/>
  <c r="T606" i="3"/>
  <c r="U606" i="3"/>
  <c r="V606" i="3"/>
  <c r="W606" i="3"/>
  <c r="X606" i="3"/>
  <c r="Y606" i="3"/>
  <c r="Z606" i="3"/>
  <c r="AA606" i="3"/>
  <c r="AB606" i="3"/>
  <c r="AC606" i="3"/>
  <c r="AD606" i="3"/>
  <c r="AE606" i="3"/>
  <c r="AF606" i="3"/>
  <c r="AG606" i="3"/>
  <c r="AH606" i="3"/>
  <c r="AI606" i="3"/>
  <c r="AJ606" i="3"/>
  <c r="AK606" i="3"/>
  <c r="AL606" i="3"/>
  <c r="AM606" i="3"/>
  <c r="AN606" i="3"/>
  <c r="A607" i="3"/>
  <c r="B607" i="3"/>
  <c r="C607" i="3"/>
  <c r="D607" i="3"/>
  <c r="E607" i="3"/>
  <c r="F607" i="3"/>
  <c r="G607" i="3"/>
  <c r="H607" i="3"/>
  <c r="I607" i="3"/>
  <c r="J607" i="3"/>
  <c r="K607" i="3"/>
  <c r="L607" i="3"/>
  <c r="M607" i="3"/>
  <c r="N607" i="3"/>
  <c r="O607" i="3"/>
  <c r="P607" i="3"/>
  <c r="Q607" i="3"/>
  <c r="R607" i="3"/>
  <c r="S607" i="3"/>
  <c r="T607" i="3"/>
  <c r="U607" i="3"/>
  <c r="V607" i="3"/>
  <c r="W607" i="3"/>
  <c r="X607" i="3"/>
  <c r="Y607" i="3"/>
  <c r="Z607" i="3"/>
  <c r="AA607" i="3"/>
  <c r="AB607" i="3"/>
  <c r="AC607" i="3"/>
  <c r="AD607" i="3"/>
  <c r="AE607" i="3"/>
  <c r="AF607" i="3"/>
  <c r="AG607" i="3"/>
  <c r="AH607" i="3"/>
  <c r="AI607" i="3"/>
  <c r="AJ607" i="3"/>
  <c r="AK607" i="3"/>
  <c r="AL607" i="3"/>
  <c r="AM607" i="3"/>
  <c r="AN607" i="3"/>
  <c r="A608" i="3"/>
  <c r="B608" i="3"/>
  <c r="C608" i="3"/>
  <c r="D608" i="3"/>
  <c r="E608" i="3"/>
  <c r="F608" i="3"/>
  <c r="G608" i="3"/>
  <c r="H608" i="3"/>
  <c r="I608" i="3"/>
  <c r="J608" i="3"/>
  <c r="K608" i="3"/>
  <c r="L608" i="3"/>
  <c r="M608" i="3"/>
  <c r="N608" i="3"/>
  <c r="O608" i="3"/>
  <c r="P608" i="3"/>
  <c r="Q608" i="3"/>
  <c r="R608" i="3"/>
  <c r="S608" i="3"/>
  <c r="T608" i="3"/>
  <c r="U608" i="3"/>
  <c r="V608" i="3"/>
  <c r="W608" i="3"/>
  <c r="X608" i="3"/>
  <c r="Y608" i="3"/>
  <c r="Z608" i="3"/>
  <c r="AA608" i="3"/>
  <c r="AB608" i="3"/>
  <c r="AC608" i="3"/>
  <c r="AD608" i="3"/>
  <c r="AE608" i="3"/>
  <c r="AF608" i="3"/>
  <c r="AG608" i="3"/>
  <c r="AH608" i="3"/>
  <c r="AI608" i="3"/>
  <c r="AJ608" i="3"/>
  <c r="AK608" i="3"/>
  <c r="AL608" i="3"/>
  <c r="AM608" i="3"/>
  <c r="AN608" i="3"/>
  <c r="A609" i="3"/>
  <c r="B609" i="3"/>
  <c r="C609" i="3"/>
  <c r="D609" i="3"/>
  <c r="E609" i="3"/>
  <c r="F609" i="3"/>
  <c r="G609" i="3"/>
  <c r="H609" i="3"/>
  <c r="I609" i="3"/>
  <c r="J609" i="3"/>
  <c r="K609" i="3"/>
  <c r="L609" i="3"/>
  <c r="M609" i="3"/>
  <c r="N609" i="3"/>
  <c r="O609" i="3"/>
  <c r="P609" i="3"/>
  <c r="Q609" i="3"/>
  <c r="R609" i="3"/>
  <c r="S609" i="3"/>
  <c r="T609" i="3"/>
  <c r="U609" i="3"/>
  <c r="V609" i="3"/>
  <c r="W609" i="3"/>
  <c r="X609" i="3"/>
  <c r="Y609" i="3"/>
  <c r="Z609" i="3"/>
  <c r="AA609" i="3"/>
  <c r="AB609" i="3"/>
  <c r="AC609" i="3"/>
  <c r="AD609" i="3"/>
  <c r="AE609" i="3"/>
  <c r="AF609" i="3"/>
  <c r="AG609" i="3"/>
  <c r="AH609" i="3"/>
  <c r="AI609" i="3"/>
  <c r="AJ609" i="3"/>
  <c r="AK609" i="3"/>
  <c r="AL609" i="3"/>
  <c r="AM609" i="3"/>
  <c r="AN609" i="3"/>
  <c r="A610" i="3"/>
  <c r="B610" i="3"/>
  <c r="C610" i="3"/>
  <c r="D610" i="3"/>
  <c r="E610" i="3"/>
  <c r="F610" i="3"/>
  <c r="G610" i="3"/>
  <c r="H610" i="3"/>
  <c r="I610" i="3"/>
  <c r="J610" i="3"/>
  <c r="K610" i="3"/>
  <c r="L610" i="3"/>
  <c r="M610" i="3"/>
  <c r="N610" i="3"/>
  <c r="O610" i="3"/>
  <c r="P610" i="3"/>
  <c r="Q610" i="3"/>
  <c r="R610" i="3"/>
  <c r="S610" i="3"/>
  <c r="T610" i="3"/>
  <c r="U610" i="3"/>
  <c r="V610" i="3"/>
  <c r="W610" i="3"/>
  <c r="X610" i="3"/>
  <c r="Y610" i="3"/>
  <c r="Z610" i="3"/>
  <c r="AA610" i="3"/>
  <c r="AB610" i="3"/>
  <c r="AC610" i="3"/>
  <c r="AD610" i="3"/>
  <c r="AE610" i="3"/>
  <c r="AF610" i="3"/>
  <c r="AG610" i="3"/>
  <c r="AH610" i="3"/>
  <c r="AI610" i="3"/>
  <c r="AJ610" i="3"/>
  <c r="AK610" i="3"/>
  <c r="AL610" i="3"/>
  <c r="AM610" i="3"/>
  <c r="AN610" i="3"/>
  <c r="A611" i="3"/>
  <c r="B611" i="3"/>
  <c r="C611" i="3"/>
  <c r="D611" i="3"/>
  <c r="E611" i="3"/>
  <c r="F611" i="3"/>
  <c r="G611" i="3"/>
  <c r="H611" i="3"/>
  <c r="I611" i="3"/>
  <c r="J611" i="3"/>
  <c r="K611" i="3"/>
  <c r="L611" i="3"/>
  <c r="M611" i="3"/>
  <c r="N611" i="3"/>
  <c r="O611" i="3"/>
  <c r="P611" i="3"/>
  <c r="Q611" i="3"/>
  <c r="R611" i="3"/>
  <c r="S611" i="3"/>
  <c r="T611" i="3"/>
  <c r="U611" i="3"/>
  <c r="V611" i="3"/>
  <c r="W611" i="3"/>
  <c r="X611" i="3"/>
  <c r="Y611" i="3"/>
  <c r="Z611" i="3"/>
  <c r="AA611" i="3"/>
  <c r="AB611" i="3"/>
  <c r="AC611" i="3"/>
  <c r="AD611" i="3"/>
  <c r="AE611" i="3"/>
  <c r="AF611" i="3"/>
  <c r="AG611" i="3"/>
  <c r="AH611" i="3"/>
  <c r="AI611" i="3"/>
  <c r="AJ611" i="3"/>
  <c r="AK611" i="3"/>
  <c r="AL611" i="3"/>
  <c r="AM611" i="3"/>
  <c r="AN611" i="3"/>
  <c r="A612" i="3"/>
  <c r="B612" i="3"/>
  <c r="C612" i="3"/>
  <c r="D612" i="3"/>
  <c r="E612" i="3"/>
  <c r="F612" i="3"/>
  <c r="G612" i="3"/>
  <c r="H612" i="3"/>
  <c r="I612" i="3"/>
  <c r="J612" i="3"/>
  <c r="K612" i="3"/>
  <c r="L612" i="3"/>
  <c r="M612" i="3"/>
  <c r="N612" i="3"/>
  <c r="O612" i="3"/>
  <c r="P612" i="3"/>
  <c r="Q612" i="3"/>
  <c r="R612" i="3"/>
  <c r="S612" i="3"/>
  <c r="T612" i="3"/>
  <c r="U612" i="3"/>
  <c r="V612" i="3"/>
  <c r="W612" i="3"/>
  <c r="X612" i="3"/>
  <c r="Y612" i="3"/>
  <c r="Z612" i="3"/>
  <c r="AA612" i="3"/>
  <c r="AB612" i="3"/>
  <c r="AC612" i="3"/>
  <c r="AD612" i="3"/>
  <c r="AE612" i="3"/>
  <c r="AF612" i="3"/>
  <c r="AG612" i="3"/>
  <c r="AH612" i="3"/>
  <c r="AI612" i="3"/>
  <c r="AJ612" i="3"/>
  <c r="AK612" i="3"/>
  <c r="AL612" i="3"/>
  <c r="AM612" i="3"/>
  <c r="AN612" i="3"/>
  <c r="A613" i="3"/>
  <c r="B613" i="3"/>
  <c r="C613" i="3"/>
  <c r="D613" i="3"/>
  <c r="E613" i="3"/>
  <c r="F613" i="3"/>
  <c r="G613" i="3"/>
  <c r="H613" i="3"/>
  <c r="I613" i="3"/>
  <c r="J613" i="3"/>
  <c r="K613" i="3"/>
  <c r="L613" i="3"/>
  <c r="M613" i="3"/>
  <c r="N613" i="3"/>
  <c r="O613" i="3"/>
  <c r="P613" i="3"/>
  <c r="Q613" i="3"/>
  <c r="R613" i="3"/>
  <c r="S613" i="3"/>
  <c r="T613" i="3"/>
  <c r="U613" i="3"/>
  <c r="V613" i="3"/>
  <c r="W613" i="3"/>
  <c r="X613" i="3"/>
  <c r="Y613" i="3"/>
  <c r="Z613" i="3"/>
  <c r="AA613" i="3"/>
  <c r="AB613" i="3"/>
  <c r="AC613" i="3"/>
  <c r="AD613" i="3"/>
  <c r="AE613" i="3"/>
  <c r="AF613" i="3"/>
  <c r="AG613" i="3"/>
  <c r="AH613" i="3"/>
  <c r="AI613" i="3"/>
  <c r="AJ613" i="3"/>
  <c r="AK613" i="3"/>
  <c r="AL613" i="3"/>
  <c r="AM613" i="3"/>
  <c r="AN613" i="3"/>
  <c r="A614" i="3"/>
  <c r="B614" i="3"/>
  <c r="C614" i="3"/>
  <c r="D614" i="3"/>
  <c r="E614" i="3"/>
  <c r="F614" i="3"/>
  <c r="G614" i="3"/>
  <c r="H614" i="3"/>
  <c r="I614" i="3"/>
  <c r="J614" i="3"/>
  <c r="K614" i="3"/>
  <c r="L614" i="3"/>
  <c r="M614" i="3"/>
  <c r="N614" i="3"/>
  <c r="O614" i="3"/>
  <c r="P614" i="3"/>
  <c r="Q614" i="3"/>
  <c r="R614" i="3"/>
  <c r="S614" i="3"/>
  <c r="T614" i="3"/>
  <c r="U614" i="3"/>
  <c r="V614" i="3"/>
  <c r="W614" i="3"/>
  <c r="X614" i="3"/>
  <c r="Y614" i="3"/>
  <c r="Z614" i="3"/>
  <c r="AA614" i="3"/>
  <c r="AB614" i="3"/>
  <c r="AC614" i="3"/>
  <c r="AD614" i="3"/>
  <c r="AE614" i="3"/>
  <c r="AF614" i="3"/>
  <c r="AG614" i="3"/>
  <c r="AH614" i="3"/>
  <c r="AI614" i="3"/>
  <c r="AJ614" i="3"/>
  <c r="AK614" i="3"/>
  <c r="AL614" i="3"/>
  <c r="AM614" i="3"/>
  <c r="AN614" i="3"/>
  <c r="A615" i="3"/>
  <c r="B615" i="3"/>
  <c r="C615" i="3"/>
  <c r="D615" i="3"/>
  <c r="E615" i="3"/>
  <c r="F615" i="3"/>
  <c r="G615" i="3"/>
  <c r="H615" i="3"/>
  <c r="I615" i="3"/>
  <c r="J615" i="3"/>
  <c r="K615" i="3"/>
  <c r="L615" i="3"/>
  <c r="M615" i="3"/>
  <c r="N615" i="3"/>
  <c r="O615" i="3"/>
  <c r="P615" i="3"/>
  <c r="Q615" i="3"/>
  <c r="R615" i="3"/>
  <c r="S615" i="3"/>
  <c r="T615" i="3"/>
  <c r="U615" i="3"/>
  <c r="V615" i="3"/>
  <c r="W615" i="3"/>
  <c r="X615" i="3"/>
  <c r="Y615" i="3"/>
  <c r="Z615" i="3"/>
  <c r="AA615" i="3"/>
  <c r="AB615" i="3"/>
  <c r="AC615" i="3"/>
  <c r="AD615" i="3"/>
  <c r="AE615" i="3"/>
  <c r="AF615" i="3"/>
  <c r="AG615" i="3"/>
  <c r="AH615" i="3"/>
  <c r="AI615" i="3"/>
  <c r="AJ615" i="3"/>
  <c r="AK615" i="3"/>
  <c r="AL615" i="3"/>
  <c r="AM615" i="3"/>
  <c r="AN615" i="3"/>
  <c r="A616" i="3"/>
  <c r="B616" i="3"/>
  <c r="C616" i="3"/>
  <c r="D616" i="3"/>
  <c r="E616" i="3"/>
  <c r="F616" i="3"/>
  <c r="G616" i="3"/>
  <c r="H616" i="3"/>
  <c r="I616" i="3"/>
  <c r="J616" i="3"/>
  <c r="K616" i="3"/>
  <c r="L616" i="3"/>
  <c r="M616" i="3"/>
  <c r="N616" i="3"/>
  <c r="O616" i="3"/>
  <c r="P616" i="3"/>
  <c r="Q616" i="3"/>
  <c r="R616" i="3"/>
  <c r="S616" i="3"/>
  <c r="T616" i="3"/>
  <c r="U616" i="3"/>
  <c r="V616" i="3"/>
  <c r="W616" i="3"/>
  <c r="X616" i="3"/>
  <c r="Y616" i="3"/>
  <c r="Z616" i="3"/>
  <c r="AA616" i="3"/>
  <c r="AB616" i="3"/>
  <c r="AC616" i="3"/>
  <c r="AD616" i="3"/>
  <c r="AE616" i="3"/>
  <c r="AF616" i="3"/>
  <c r="AG616" i="3"/>
  <c r="AH616" i="3"/>
  <c r="AI616" i="3"/>
  <c r="AJ616" i="3"/>
  <c r="AK616" i="3"/>
  <c r="AL616" i="3"/>
  <c r="AM616" i="3"/>
  <c r="AN616" i="3"/>
  <c r="A617" i="3"/>
  <c r="B617" i="3"/>
  <c r="C617" i="3"/>
  <c r="D617" i="3"/>
  <c r="E617" i="3"/>
  <c r="F617" i="3"/>
  <c r="G617" i="3"/>
  <c r="H617" i="3"/>
  <c r="I617" i="3"/>
  <c r="J617" i="3"/>
  <c r="K617" i="3"/>
  <c r="L617" i="3"/>
  <c r="M617" i="3"/>
  <c r="N617" i="3"/>
  <c r="O617" i="3"/>
  <c r="P617" i="3"/>
  <c r="Q617" i="3"/>
  <c r="R617" i="3"/>
  <c r="S617" i="3"/>
  <c r="T617" i="3"/>
  <c r="U617" i="3"/>
  <c r="V617" i="3"/>
  <c r="W617" i="3"/>
  <c r="X617" i="3"/>
  <c r="Y617" i="3"/>
  <c r="Z617" i="3"/>
  <c r="AA617" i="3"/>
  <c r="AB617" i="3"/>
  <c r="AC617" i="3"/>
  <c r="AD617" i="3"/>
  <c r="AE617" i="3"/>
  <c r="AF617" i="3"/>
  <c r="AG617" i="3"/>
  <c r="AH617" i="3"/>
  <c r="AI617" i="3"/>
  <c r="AJ617" i="3"/>
  <c r="AK617" i="3"/>
  <c r="AL617" i="3"/>
  <c r="AM617" i="3"/>
  <c r="AN617" i="3"/>
  <c r="A618" i="3"/>
  <c r="B618" i="3"/>
  <c r="C618" i="3"/>
  <c r="D618" i="3"/>
  <c r="E618" i="3"/>
  <c r="F618" i="3"/>
  <c r="G618" i="3"/>
  <c r="H618" i="3"/>
  <c r="I618" i="3"/>
  <c r="J618" i="3"/>
  <c r="K618" i="3"/>
  <c r="L618" i="3"/>
  <c r="M618" i="3"/>
  <c r="N618" i="3"/>
  <c r="O618" i="3"/>
  <c r="P618" i="3"/>
  <c r="Q618" i="3"/>
  <c r="R618" i="3"/>
  <c r="S618" i="3"/>
  <c r="T618" i="3"/>
  <c r="U618" i="3"/>
  <c r="V618" i="3"/>
  <c r="W618" i="3"/>
  <c r="X618" i="3"/>
  <c r="Y618" i="3"/>
  <c r="Z618" i="3"/>
  <c r="AA618" i="3"/>
  <c r="AB618" i="3"/>
  <c r="AC618" i="3"/>
  <c r="AD618" i="3"/>
  <c r="AE618" i="3"/>
  <c r="AF618" i="3"/>
  <c r="AG618" i="3"/>
  <c r="AH618" i="3"/>
  <c r="AI618" i="3"/>
  <c r="AJ618" i="3"/>
  <c r="AK618" i="3"/>
  <c r="AL618" i="3"/>
  <c r="AM618" i="3"/>
  <c r="AN618" i="3"/>
  <c r="A619" i="3"/>
  <c r="B619" i="3"/>
  <c r="C619" i="3"/>
  <c r="D619" i="3"/>
  <c r="E619" i="3"/>
  <c r="F619" i="3"/>
  <c r="G619" i="3"/>
  <c r="H619" i="3"/>
  <c r="I619" i="3"/>
  <c r="J619" i="3"/>
  <c r="K619" i="3"/>
  <c r="L619" i="3"/>
  <c r="M619" i="3"/>
  <c r="N619" i="3"/>
  <c r="O619" i="3"/>
  <c r="P619" i="3"/>
  <c r="Q619" i="3"/>
  <c r="R619" i="3"/>
  <c r="S619" i="3"/>
  <c r="T619" i="3"/>
  <c r="U619" i="3"/>
  <c r="V619" i="3"/>
  <c r="W619" i="3"/>
  <c r="X619" i="3"/>
  <c r="Y619" i="3"/>
  <c r="Z619" i="3"/>
  <c r="AA619" i="3"/>
  <c r="AB619" i="3"/>
  <c r="AC619" i="3"/>
  <c r="AD619" i="3"/>
  <c r="AE619" i="3"/>
  <c r="AF619" i="3"/>
  <c r="AG619" i="3"/>
  <c r="AH619" i="3"/>
  <c r="AI619" i="3"/>
  <c r="AJ619" i="3"/>
  <c r="AK619" i="3"/>
  <c r="AL619" i="3"/>
  <c r="AM619" i="3"/>
  <c r="AN619" i="3"/>
  <c r="A620" i="3"/>
  <c r="B620" i="3"/>
  <c r="C620" i="3"/>
  <c r="D620" i="3"/>
  <c r="E620" i="3"/>
  <c r="F620" i="3"/>
  <c r="G620" i="3"/>
  <c r="H620" i="3"/>
  <c r="I620" i="3"/>
  <c r="J620" i="3"/>
  <c r="K620" i="3"/>
  <c r="L620" i="3"/>
  <c r="M620" i="3"/>
  <c r="N620" i="3"/>
  <c r="O620" i="3"/>
  <c r="P620" i="3"/>
  <c r="Q620" i="3"/>
  <c r="R620" i="3"/>
  <c r="S620" i="3"/>
  <c r="T620" i="3"/>
  <c r="U620" i="3"/>
  <c r="V620" i="3"/>
  <c r="W620" i="3"/>
  <c r="X620" i="3"/>
  <c r="Y620" i="3"/>
  <c r="Z620" i="3"/>
  <c r="AA620" i="3"/>
  <c r="AB620" i="3"/>
  <c r="AC620" i="3"/>
  <c r="AD620" i="3"/>
  <c r="AE620" i="3"/>
  <c r="AF620" i="3"/>
  <c r="AG620" i="3"/>
  <c r="AH620" i="3"/>
  <c r="AI620" i="3"/>
  <c r="AJ620" i="3"/>
  <c r="AK620" i="3"/>
  <c r="AL620" i="3"/>
  <c r="AM620" i="3"/>
  <c r="AN620" i="3"/>
  <c r="A621" i="3"/>
  <c r="B621" i="3"/>
  <c r="C621" i="3"/>
  <c r="D621" i="3"/>
  <c r="E621" i="3"/>
  <c r="F621" i="3"/>
  <c r="G621" i="3"/>
  <c r="H621" i="3"/>
  <c r="I621" i="3"/>
  <c r="J621" i="3"/>
  <c r="K621" i="3"/>
  <c r="L621" i="3"/>
  <c r="M621" i="3"/>
  <c r="N621" i="3"/>
  <c r="O621" i="3"/>
  <c r="P621" i="3"/>
  <c r="Q621" i="3"/>
  <c r="R621" i="3"/>
  <c r="S621" i="3"/>
  <c r="T621" i="3"/>
  <c r="U621" i="3"/>
  <c r="V621" i="3"/>
  <c r="W621" i="3"/>
  <c r="X621" i="3"/>
  <c r="Y621" i="3"/>
  <c r="Z621" i="3"/>
  <c r="AA621" i="3"/>
  <c r="AB621" i="3"/>
  <c r="AC621" i="3"/>
  <c r="AD621" i="3"/>
  <c r="AE621" i="3"/>
  <c r="AF621" i="3"/>
  <c r="AG621" i="3"/>
  <c r="AH621" i="3"/>
  <c r="AI621" i="3"/>
  <c r="AJ621" i="3"/>
  <c r="AK621" i="3"/>
  <c r="AL621" i="3"/>
  <c r="AM621" i="3"/>
  <c r="AN621" i="3"/>
  <c r="A622" i="3"/>
  <c r="B622" i="3"/>
  <c r="C622" i="3"/>
  <c r="D622" i="3"/>
  <c r="E622" i="3"/>
  <c r="F622" i="3"/>
  <c r="G622" i="3"/>
  <c r="H622" i="3"/>
  <c r="I622" i="3"/>
  <c r="J622" i="3"/>
  <c r="K622" i="3"/>
  <c r="L622" i="3"/>
  <c r="M622" i="3"/>
  <c r="N622" i="3"/>
  <c r="O622" i="3"/>
  <c r="P622" i="3"/>
  <c r="Q622" i="3"/>
  <c r="R622" i="3"/>
  <c r="S622" i="3"/>
  <c r="T622" i="3"/>
  <c r="U622" i="3"/>
  <c r="V622" i="3"/>
  <c r="W622" i="3"/>
  <c r="X622" i="3"/>
  <c r="Y622" i="3"/>
  <c r="Z622" i="3"/>
  <c r="AA622" i="3"/>
  <c r="AB622" i="3"/>
  <c r="AC622" i="3"/>
  <c r="AD622" i="3"/>
  <c r="AE622" i="3"/>
  <c r="AF622" i="3"/>
  <c r="AG622" i="3"/>
  <c r="AH622" i="3"/>
  <c r="AI622" i="3"/>
  <c r="AJ622" i="3"/>
  <c r="AK622" i="3"/>
  <c r="AL622" i="3"/>
  <c r="AM622" i="3"/>
  <c r="AN622" i="3"/>
  <c r="A623" i="3"/>
  <c r="B623" i="3"/>
  <c r="C623" i="3"/>
  <c r="D623" i="3"/>
  <c r="E623" i="3"/>
  <c r="F623" i="3"/>
  <c r="G623" i="3"/>
  <c r="H623" i="3"/>
  <c r="I623" i="3"/>
  <c r="J623" i="3"/>
  <c r="K623" i="3"/>
  <c r="L623" i="3"/>
  <c r="M623" i="3"/>
  <c r="N623" i="3"/>
  <c r="O623" i="3"/>
  <c r="P623" i="3"/>
  <c r="Q623" i="3"/>
  <c r="R623" i="3"/>
  <c r="S623" i="3"/>
  <c r="T623" i="3"/>
  <c r="U623" i="3"/>
  <c r="V623" i="3"/>
  <c r="W623" i="3"/>
  <c r="X623" i="3"/>
  <c r="Y623" i="3"/>
  <c r="Z623" i="3"/>
  <c r="AA623" i="3"/>
  <c r="AB623" i="3"/>
  <c r="AC623" i="3"/>
  <c r="AD623" i="3"/>
  <c r="AE623" i="3"/>
  <c r="AF623" i="3"/>
  <c r="AG623" i="3"/>
  <c r="AH623" i="3"/>
  <c r="AI623" i="3"/>
  <c r="AJ623" i="3"/>
  <c r="AK623" i="3"/>
  <c r="AL623" i="3"/>
  <c r="AM623" i="3"/>
  <c r="AN623" i="3"/>
  <c r="A624" i="3"/>
  <c r="B624" i="3"/>
  <c r="C624" i="3"/>
  <c r="D624" i="3"/>
  <c r="E624" i="3"/>
  <c r="F624" i="3"/>
  <c r="G624" i="3"/>
  <c r="H624" i="3"/>
  <c r="I624" i="3"/>
  <c r="J624" i="3"/>
  <c r="K624" i="3"/>
  <c r="L624" i="3"/>
  <c r="M624" i="3"/>
  <c r="N624" i="3"/>
  <c r="O624" i="3"/>
  <c r="P624" i="3"/>
  <c r="Q624" i="3"/>
  <c r="R624" i="3"/>
  <c r="S624" i="3"/>
  <c r="T624" i="3"/>
  <c r="U624" i="3"/>
  <c r="V624" i="3"/>
  <c r="W624" i="3"/>
  <c r="X624" i="3"/>
  <c r="Y624" i="3"/>
  <c r="Z624" i="3"/>
  <c r="AA624" i="3"/>
  <c r="AB624" i="3"/>
  <c r="AC624" i="3"/>
  <c r="AD624" i="3"/>
  <c r="AE624" i="3"/>
  <c r="AF624" i="3"/>
  <c r="AG624" i="3"/>
  <c r="AH624" i="3"/>
  <c r="AI624" i="3"/>
  <c r="AJ624" i="3"/>
  <c r="AK624" i="3"/>
  <c r="AL624" i="3"/>
  <c r="AM624" i="3"/>
  <c r="AN624" i="3"/>
  <c r="A625" i="3"/>
  <c r="B625" i="3"/>
  <c r="C625" i="3"/>
  <c r="D625" i="3"/>
  <c r="E625" i="3"/>
  <c r="F625" i="3"/>
  <c r="G625" i="3"/>
  <c r="H625" i="3"/>
  <c r="I625" i="3"/>
  <c r="J625" i="3"/>
  <c r="K625" i="3"/>
  <c r="L625" i="3"/>
  <c r="M625" i="3"/>
  <c r="N625" i="3"/>
  <c r="O625" i="3"/>
  <c r="P625" i="3"/>
  <c r="Q625" i="3"/>
  <c r="R625" i="3"/>
  <c r="S625" i="3"/>
  <c r="T625" i="3"/>
  <c r="U625" i="3"/>
  <c r="V625" i="3"/>
  <c r="W625" i="3"/>
  <c r="X625" i="3"/>
  <c r="Y625" i="3"/>
  <c r="Z625" i="3"/>
  <c r="AA625" i="3"/>
  <c r="AB625" i="3"/>
  <c r="AC625" i="3"/>
  <c r="AD625" i="3"/>
  <c r="AE625" i="3"/>
  <c r="AF625" i="3"/>
  <c r="AG625" i="3"/>
  <c r="AH625" i="3"/>
  <c r="AI625" i="3"/>
  <c r="AJ625" i="3"/>
  <c r="AK625" i="3"/>
  <c r="AL625" i="3"/>
  <c r="AM625" i="3"/>
  <c r="AN625" i="3"/>
  <c r="A626" i="3"/>
  <c r="B626" i="3"/>
  <c r="C626" i="3"/>
  <c r="D626" i="3"/>
  <c r="E626" i="3"/>
  <c r="F626" i="3"/>
  <c r="G626" i="3"/>
  <c r="H626" i="3"/>
  <c r="I626" i="3"/>
  <c r="J626" i="3"/>
  <c r="K626" i="3"/>
  <c r="L626" i="3"/>
  <c r="M626" i="3"/>
  <c r="N626" i="3"/>
  <c r="O626" i="3"/>
  <c r="P626" i="3"/>
  <c r="Q626" i="3"/>
  <c r="R626" i="3"/>
  <c r="S626" i="3"/>
  <c r="T626" i="3"/>
  <c r="U626" i="3"/>
  <c r="V626" i="3"/>
  <c r="W626" i="3"/>
  <c r="X626" i="3"/>
  <c r="Y626" i="3"/>
  <c r="Z626" i="3"/>
  <c r="AA626" i="3"/>
  <c r="AB626" i="3"/>
  <c r="AC626" i="3"/>
  <c r="AD626" i="3"/>
  <c r="AE626" i="3"/>
  <c r="AF626" i="3"/>
  <c r="AG626" i="3"/>
  <c r="AH626" i="3"/>
  <c r="AI626" i="3"/>
  <c r="AJ626" i="3"/>
  <c r="AK626" i="3"/>
  <c r="AL626" i="3"/>
  <c r="AM626" i="3"/>
  <c r="AN626" i="3"/>
  <c r="A627" i="3"/>
  <c r="B627" i="3"/>
  <c r="C627" i="3"/>
  <c r="D627" i="3"/>
  <c r="E627" i="3"/>
  <c r="F627" i="3"/>
  <c r="G627" i="3"/>
  <c r="H627" i="3"/>
  <c r="I627" i="3"/>
  <c r="J627" i="3"/>
  <c r="K627" i="3"/>
  <c r="L627" i="3"/>
  <c r="M627" i="3"/>
  <c r="N627" i="3"/>
  <c r="O627" i="3"/>
  <c r="P627" i="3"/>
  <c r="Q627" i="3"/>
  <c r="R627" i="3"/>
  <c r="S627" i="3"/>
  <c r="T627" i="3"/>
  <c r="U627" i="3"/>
  <c r="V627" i="3"/>
  <c r="W627" i="3"/>
  <c r="X627" i="3"/>
  <c r="Y627" i="3"/>
  <c r="Z627" i="3"/>
  <c r="AA627" i="3"/>
  <c r="AB627" i="3"/>
  <c r="AC627" i="3"/>
  <c r="AD627" i="3"/>
  <c r="AE627" i="3"/>
  <c r="AF627" i="3"/>
  <c r="AG627" i="3"/>
  <c r="AH627" i="3"/>
  <c r="AI627" i="3"/>
  <c r="AJ627" i="3"/>
  <c r="AK627" i="3"/>
  <c r="AL627" i="3"/>
  <c r="AM627" i="3"/>
  <c r="AN627" i="3"/>
  <c r="A628" i="3"/>
  <c r="B628" i="3"/>
  <c r="C628" i="3"/>
  <c r="D628" i="3"/>
  <c r="E628" i="3"/>
  <c r="F628" i="3"/>
  <c r="G628" i="3"/>
  <c r="H628" i="3"/>
  <c r="I628" i="3"/>
  <c r="J628" i="3"/>
  <c r="K628" i="3"/>
  <c r="L628" i="3"/>
  <c r="M628" i="3"/>
  <c r="N628" i="3"/>
  <c r="O628" i="3"/>
  <c r="P628" i="3"/>
  <c r="Q628" i="3"/>
  <c r="R628" i="3"/>
  <c r="S628" i="3"/>
  <c r="T628" i="3"/>
  <c r="U628" i="3"/>
  <c r="V628" i="3"/>
  <c r="W628" i="3"/>
  <c r="X628" i="3"/>
  <c r="Y628" i="3"/>
  <c r="Z628" i="3"/>
  <c r="AA628" i="3"/>
  <c r="AB628" i="3"/>
  <c r="AC628" i="3"/>
  <c r="AD628" i="3"/>
  <c r="AE628" i="3"/>
  <c r="AF628" i="3"/>
  <c r="AG628" i="3"/>
  <c r="AH628" i="3"/>
  <c r="AI628" i="3"/>
  <c r="AJ628" i="3"/>
  <c r="AK628" i="3"/>
  <c r="AL628" i="3"/>
  <c r="AM628" i="3"/>
  <c r="AN628" i="3"/>
  <c r="A629" i="3"/>
  <c r="B629" i="3"/>
  <c r="C629" i="3"/>
  <c r="D629" i="3"/>
  <c r="E629" i="3"/>
  <c r="F629" i="3"/>
  <c r="G629" i="3"/>
  <c r="H629" i="3"/>
  <c r="I629" i="3"/>
  <c r="J629" i="3"/>
  <c r="K629" i="3"/>
  <c r="L629" i="3"/>
  <c r="M629" i="3"/>
  <c r="N629" i="3"/>
  <c r="O629" i="3"/>
  <c r="P629" i="3"/>
  <c r="Q629" i="3"/>
  <c r="R629" i="3"/>
  <c r="S629" i="3"/>
  <c r="T629" i="3"/>
  <c r="U629" i="3"/>
  <c r="V629" i="3"/>
  <c r="W629" i="3"/>
  <c r="X629" i="3"/>
  <c r="Y629" i="3"/>
  <c r="Z629" i="3"/>
  <c r="AA629" i="3"/>
  <c r="AB629" i="3"/>
  <c r="AC629" i="3"/>
  <c r="AD629" i="3"/>
  <c r="AE629" i="3"/>
  <c r="AF629" i="3"/>
  <c r="AG629" i="3"/>
  <c r="AH629" i="3"/>
  <c r="AI629" i="3"/>
  <c r="AJ629" i="3"/>
  <c r="AK629" i="3"/>
  <c r="AL629" i="3"/>
  <c r="AM629" i="3"/>
  <c r="AN629" i="3"/>
  <c r="A630" i="3"/>
  <c r="B630" i="3"/>
  <c r="C630" i="3"/>
  <c r="D630" i="3"/>
  <c r="E630" i="3"/>
  <c r="F630" i="3"/>
  <c r="G630" i="3"/>
  <c r="H630" i="3"/>
  <c r="I630" i="3"/>
  <c r="J630" i="3"/>
  <c r="K630" i="3"/>
  <c r="L630" i="3"/>
  <c r="M630" i="3"/>
  <c r="N630" i="3"/>
  <c r="O630" i="3"/>
  <c r="P630" i="3"/>
  <c r="Q630" i="3"/>
  <c r="R630" i="3"/>
  <c r="S630" i="3"/>
  <c r="T630" i="3"/>
  <c r="U630" i="3"/>
  <c r="V630" i="3"/>
  <c r="W630" i="3"/>
  <c r="X630" i="3"/>
  <c r="Y630" i="3"/>
  <c r="Z630" i="3"/>
  <c r="AA630" i="3"/>
  <c r="AB630" i="3"/>
  <c r="AC630" i="3"/>
  <c r="AD630" i="3"/>
  <c r="AE630" i="3"/>
  <c r="AF630" i="3"/>
  <c r="AG630" i="3"/>
  <c r="AH630" i="3"/>
  <c r="AI630" i="3"/>
  <c r="AJ630" i="3"/>
  <c r="AK630" i="3"/>
  <c r="AL630" i="3"/>
  <c r="AM630" i="3"/>
  <c r="AN630" i="3"/>
  <c r="A631" i="3"/>
  <c r="B631" i="3"/>
  <c r="C631" i="3"/>
  <c r="D631" i="3"/>
  <c r="E631" i="3"/>
  <c r="F631" i="3"/>
  <c r="G631" i="3"/>
  <c r="H631" i="3"/>
  <c r="I631" i="3"/>
  <c r="J631" i="3"/>
  <c r="K631" i="3"/>
  <c r="L631" i="3"/>
  <c r="M631" i="3"/>
  <c r="N631" i="3"/>
  <c r="O631" i="3"/>
  <c r="P631" i="3"/>
  <c r="Q631" i="3"/>
  <c r="R631" i="3"/>
  <c r="S631" i="3"/>
  <c r="T631" i="3"/>
  <c r="U631" i="3"/>
  <c r="V631" i="3"/>
  <c r="W631" i="3"/>
  <c r="X631" i="3"/>
  <c r="Y631" i="3"/>
  <c r="Z631" i="3"/>
  <c r="AA631" i="3"/>
  <c r="AB631" i="3"/>
  <c r="AC631" i="3"/>
  <c r="AD631" i="3"/>
  <c r="AE631" i="3"/>
  <c r="AF631" i="3"/>
  <c r="AG631" i="3"/>
  <c r="AH631" i="3"/>
  <c r="AI631" i="3"/>
  <c r="AJ631" i="3"/>
  <c r="AK631" i="3"/>
  <c r="AL631" i="3"/>
  <c r="AM631" i="3"/>
  <c r="AN631" i="3"/>
  <c r="A632" i="3"/>
  <c r="B632" i="3"/>
  <c r="C632" i="3"/>
  <c r="D632" i="3"/>
  <c r="E632" i="3"/>
  <c r="F632" i="3"/>
  <c r="G632" i="3"/>
  <c r="H632" i="3"/>
  <c r="I632" i="3"/>
  <c r="J632" i="3"/>
  <c r="K632" i="3"/>
  <c r="L632" i="3"/>
  <c r="M632" i="3"/>
  <c r="N632" i="3"/>
  <c r="O632" i="3"/>
  <c r="P632" i="3"/>
  <c r="Q632" i="3"/>
  <c r="R632" i="3"/>
  <c r="S632" i="3"/>
  <c r="T632" i="3"/>
  <c r="U632" i="3"/>
  <c r="V632" i="3"/>
  <c r="W632" i="3"/>
  <c r="X632" i="3"/>
  <c r="Y632" i="3"/>
  <c r="Z632" i="3"/>
  <c r="AA632" i="3"/>
  <c r="AB632" i="3"/>
  <c r="AC632" i="3"/>
  <c r="AD632" i="3"/>
  <c r="AE632" i="3"/>
  <c r="AF632" i="3"/>
  <c r="AG632" i="3"/>
  <c r="AH632" i="3"/>
  <c r="AI632" i="3"/>
  <c r="AJ632" i="3"/>
  <c r="AK632" i="3"/>
  <c r="AL632" i="3"/>
  <c r="AM632" i="3"/>
  <c r="AN632" i="3"/>
  <c r="A633" i="3"/>
  <c r="B633" i="3"/>
  <c r="C633" i="3"/>
  <c r="D633" i="3"/>
  <c r="E633" i="3"/>
  <c r="F633" i="3"/>
  <c r="G633" i="3"/>
  <c r="H633" i="3"/>
  <c r="I633" i="3"/>
  <c r="J633" i="3"/>
  <c r="K633" i="3"/>
  <c r="L633" i="3"/>
  <c r="M633" i="3"/>
  <c r="N633" i="3"/>
  <c r="O633" i="3"/>
  <c r="P633" i="3"/>
  <c r="Q633" i="3"/>
  <c r="R633" i="3"/>
  <c r="S633" i="3"/>
  <c r="T633" i="3"/>
  <c r="U633" i="3"/>
  <c r="V633" i="3"/>
  <c r="W633" i="3"/>
  <c r="X633" i="3"/>
  <c r="Y633" i="3"/>
  <c r="Z633" i="3"/>
  <c r="AA633" i="3"/>
  <c r="AB633" i="3"/>
  <c r="AC633" i="3"/>
  <c r="AD633" i="3"/>
  <c r="AE633" i="3"/>
  <c r="AF633" i="3"/>
  <c r="AG633" i="3"/>
  <c r="AH633" i="3"/>
  <c r="AI633" i="3"/>
  <c r="AJ633" i="3"/>
  <c r="AK633" i="3"/>
  <c r="AL633" i="3"/>
  <c r="AM633" i="3"/>
  <c r="AN633" i="3"/>
  <c r="A634" i="3"/>
  <c r="B634" i="3"/>
  <c r="C634" i="3"/>
  <c r="D634" i="3"/>
  <c r="E634" i="3"/>
  <c r="F634" i="3"/>
  <c r="G634" i="3"/>
  <c r="H634" i="3"/>
  <c r="I634" i="3"/>
  <c r="J634" i="3"/>
  <c r="K634" i="3"/>
  <c r="L634" i="3"/>
  <c r="M634" i="3"/>
  <c r="N634" i="3"/>
  <c r="O634" i="3"/>
  <c r="P634" i="3"/>
  <c r="Q634" i="3"/>
  <c r="R634" i="3"/>
  <c r="S634" i="3"/>
  <c r="T634" i="3"/>
  <c r="U634" i="3"/>
  <c r="V634" i="3"/>
  <c r="W634" i="3"/>
  <c r="X634" i="3"/>
  <c r="Y634" i="3"/>
  <c r="Z634" i="3"/>
  <c r="AA634" i="3"/>
  <c r="AB634" i="3"/>
  <c r="AC634" i="3"/>
  <c r="AD634" i="3"/>
  <c r="AE634" i="3"/>
  <c r="AF634" i="3"/>
  <c r="AG634" i="3"/>
  <c r="AH634" i="3"/>
  <c r="AI634" i="3"/>
  <c r="AJ634" i="3"/>
  <c r="AK634" i="3"/>
  <c r="AL634" i="3"/>
  <c r="AM634" i="3"/>
  <c r="AN634" i="3"/>
  <c r="A635" i="3"/>
  <c r="B635" i="3"/>
  <c r="C635" i="3"/>
  <c r="D635" i="3"/>
  <c r="E635" i="3"/>
  <c r="F635" i="3"/>
  <c r="G635" i="3"/>
  <c r="H635" i="3"/>
  <c r="I635" i="3"/>
  <c r="J635" i="3"/>
  <c r="K635" i="3"/>
  <c r="L635" i="3"/>
  <c r="M635" i="3"/>
  <c r="N635" i="3"/>
  <c r="O635" i="3"/>
  <c r="P635" i="3"/>
  <c r="Q635" i="3"/>
  <c r="R635" i="3"/>
  <c r="S635" i="3"/>
  <c r="T635" i="3"/>
  <c r="U635" i="3"/>
  <c r="V635" i="3"/>
  <c r="W635" i="3"/>
  <c r="X635" i="3"/>
  <c r="Y635" i="3"/>
  <c r="Z635" i="3"/>
  <c r="AA635" i="3"/>
  <c r="AB635" i="3"/>
  <c r="AC635" i="3"/>
  <c r="AD635" i="3"/>
  <c r="AE635" i="3"/>
  <c r="AF635" i="3"/>
  <c r="AG635" i="3"/>
  <c r="AH635" i="3"/>
  <c r="AI635" i="3"/>
  <c r="AJ635" i="3"/>
  <c r="AK635" i="3"/>
  <c r="AL635" i="3"/>
  <c r="AM635" i="3"/>
  <c r="AN635" i="3"/>
  <c r="A636" i="3"/>
  <c r="B636" i="3"/>
  <c r="C636" i="3"/>
  <c r="D636" i="3"/>
  <c r="E636" i="3"/>
  <c r="F636" i="3"/>
  <c r="G636" i="3"/>
  <c r="H636" i="3"/>
  <c r="I636" i="3"/>
  <c r="J636" i="3"/>
  <c r="K636" i="3"/>
  <c r="L636" i="3"/>
  <c r="M636" i="3"/>
  <c r="N636" i="3"/>
  <c r="O636" i="3"/>
  <c r="P636" i="3"/>
  <c r="Q636" i="3"/>
  <c r="R636" i="3"/>
  <c r="S636" i="3"/>
  <c r="T636" i="3"/>
  <c r="U636" i="3"/>
  <c r="V636" i="3"/>
  <c r="W636" i="3"/>
  <c r="X636" i="3"/>
  <c r="Y636" i="3"/>
  <c r="Z636" i="3"/>
  <c r="AA636" i="3"/>
  <c r="AB636" i="3"/>
  <c r="AC636" i="3"/>
  <c r="AD636" i="3"/>
  <c r="AE636" i="3"/>
  <c r="AF636" i="3"/>
  <c r="AG636" i="3"/>
  <c r="AH636" i="3"/>
  <c r="AI636" i="3"/>
  <c r="AJ636" i="3"/>
  <c r="AK636" i="3"/>
  <c r="AL636" i="3"/>
  <c r="AM636" i="3"/>
  <c r="AN636" i="3"/>
  <c r="A637" i="3"/>
  <c r="B637" i="3"/>
  <c r="C637" i="3"/>
  <c r="D637" i="3"/>
  <c r="E637" i="3"/>
  <c r="F637" i="3"/>
  <c r="G637" i="3"/>
  <c r="H637" i="3"/>
  <c r="I637" i="3"/>
  <c r="J637" i="3"/>
  <c r="K637" i="3"/>
  <c r="L637" i="3"/>
  <c r="M637" i="3"/>
  <c r="N637" i="3"/>
  <c r="O637" i="3"/>
  <c r="P637" i="3"/>
  <c r="Q637" i="3"/>
  <c r="R637" i="3"/>
  <c r="S637" i="3"/>
  <c r="T637" i="3"/>
  <c r="U637" i="3"/>
  <c r="V637" i="3"/>
  <c r="W637" i="3"/>
  <c r="X637" i="3"/>
  <c r="Y637" i="3"/>
  <c r="Z637" i="3"/>
  <c r="AA637" i="3"/>
  <c r="AB637" i="3"/>
  <c r="AC637" i="3"/>
  <c r="AD637" i="3"/>
  <c r="AE637" i="3"/>
  <c r="AF637" i="3"/>
  <c r="AG637" i="3"/>
  <c r="AH637" i="3"/>
  <c r="AI637" i="3"/>
  <c r="AJ637" i="3"/>
  <c r="AK637" i="3"/>
  <c r="AL637" i="3"/>
  <c r="AM637" i="3"/>
  <c r="AN637" i="3"/>
  <c r="A638" i="3"/>
  <c r="B638" i="3"/>
  <c r="C638" i="3"/>
  <c r="D638" i="3"/>
  <c r="E638" i="3"/>
  <c r="F638" i="3"/>
  <c r="G638" i="3"/>
  <c r="H638" i="3"/>
  <c r="I638" i="3"/>
  <c r="J638" i="3"/>
  <c r="K638" i="3"/>
  <c r="L638" i="3"/>
  <c r="M638" i="3"/>
  <c r="N638" i="3"/>
  <c r="O638" i="3"/>
  <c r="P638" i="3"/>
  <c r="Q638" i="3"/>
  <c r="R638" i="3"/>
  <c r="S638" i="3"/>
  <c r="T638" i="3"/>
  <c r="U638" i="3"/>
  <c r="V638" i="3"/>
  <c r="W638" i="3"/>
  <c r="X638" i="3"/>
  <c r="Y638" i="3"/>
  <c r="Z638" i="3"/>
  <c r="AA638" i="3"/>
  <c r="AB638" i="3"/>
  <c r="AC638" i="3"/>
  <c r="AD638" i="3"/>
  <c r="AE638" i="3"/>
  <c r="AF638" i="3"/>
  <c r="AG638" i="3"/>
  <c r="AH638" i="3"/>
  <c r="AI638" i="3"/>
  <c r="AJ638" i="3"/>
  <c r="AK638" i="3"/>
  <c r="AL638" i="3"/>
  <c r="AM638" i="3"/>
  <c r="AN638" i="3"/>
  <c r="A639" i="3"/>
  <c r="B639" i="3"/>
  <c r="C639" i="3"/>
  <c r="D639" i="3"/>
  <c r="E639" i="3"/>
  <c r="F639" i="3"/>
  <c r="G639" i="3"/>
  <c r="H639" i="3"/>
  <c r="I639" i="3"/>
  <c r="J639" i="3"/>
  <c r="K639" i="3"/>
  <c r="L639" i="3"/>
  <c r="M639" i="3"/>
  <c r="N639" i="3"/>
  <c r="O639" i="3"/>
  <c r="P639" i="3"/>
  <c r="Q639" i="3"/>
  <c r="R639" i="3"/>
  <c r="S639" i="3"/>
  <c r="T639" i="3"/>
  <c r="U639" i="3"/>
  <c r="V639" i="3"/>
  <c r="W639" i="3"/>
  <c r="X639" i="3"/>
  <c r="Y639" i="3"/>
  <c r="Z639" i="3"/>
  <c r="AA639" i="3"/>
  <c r="AB639" i="3"/>
  <c r="AC639" i="3"/>
  <c r="AD639" i="3"/>
  <c r="AE639" i="3"/>
  <c r="AF639" i="3"/>
  <c r="AG639" i="3"/>
  <c r="AH639" i="3"/>
  <c r="AI639" i="3"/>
  <c r="AJ639" i="3"/>
  <c r="AK639" i="3"/>
  <c r="AL639" i="3"/>
  <c r="AM639" i="3"/>
  <c r="AN639" i="3"/>
  <c r="A640" i="3"/>
  <c r="B640" i="3"/>
  <c r="C640" i="3"/>
  <c r="D640" i="3"/>
  <c r="E640" i="3"/>
  <c r="F640" i="3"/>
  <c r="G640" i="3"/>
  <c r="H640" i="3"/>
  <c r="I640" i="3"/>
  <c r="J640" i="3"/>
  <c r="K640" i="3"/>
  <c r="L640" i="3"/>
  <c r="M640" i="3"/>
  <c r="N640" i="3"/>
  <c r="O640" i="3"/>
  <c r="P640" i="3"/>
  <c r="Q640" i="3"/>
  <c r="R640" i="3"/>
  <c r="S640" i="3"/>
  <c r="T640" i="3"/>
  <c r="U640" i="3"/>
  <c r="V640" i="3"/>
  <c r="W640" i="3"/>
  <c r="X640" i="3"/>
  <c r="Y640" i="3"/>
  <c r="Z640" i="3"/>
  <c r="AA640" i="3"/>
  <c r="AB640" i="3"/>
  <c r="AC640" i="3"/>
  <c r="AD640" i="3"/>
  <c r="AE640" i="3"/>
  <c r="AF640" i="3"/>
  <c r="AG640" i="3"/>
  <c r="AH640" i="3"/>
  <c r="AI640" i="3"/>
  <c r="AJ640" i="3"/>
  <c r="AK640" i="3"/>
  <c r="AL640" i="3"/>
  <c r="AM640" i="3"/>
  <c r="AN640" i="3"/>
  <c r="A641" i="3"/>
  <c r="B641" i="3"/>
  <c r="C641" i="3"/>
  <c r="D641" i="3"/>
  <c r="E641" i="3"/>
  <c r="F641" i="3"/>
  <c r="G641" i="3"/>
  <c r="H641" i="3"/>
  <c r="I641" i="3"/>
  <c r="J641" i="3"/>
  <c r="K641" i="3"/>
  <c r="L641" i="3"/>
  <c r="M641" i="3"/>
  <c r="N641" i="3"/>
  <c r="O641" i="3"/>
  <c r="P641" i="3"/>
  <c r="Q641" i="3"/>
  <c r="R641" i="3"/>
  <c r="S641" i="3"/>
  <c r="T641" i="3"/>
  <c r="U641" i="3"/>
  <c r="V641" i="3"/>
  <c r="W641" i="3"/>
  <c r="X641" i="3"/>
  <c r="Y641" i="3"/>
  <c r="Z641" i="3"/>
  <c r="AA641" i="3"/>
  <c r="AB641" i="3"/>
  <c r="AC641" i="3"/>
  <c r="AD641" i="3"/>
  <c r="AE641" i="3"/>
  <c r="AF641" i="3"/>
  <c r="AG641" i="3"/>
  <c r="AH641" i="3"/>
  <c r="AI641" i="3"/>
  <c r="AJ641" i="3"/>
  <c r="AK641" i="3"/>
  <c r="AL641" i="3"/>
  <c r="AM641" i="3"/>
  <c r="AN641" i="3"/>
  <c r="A642" i="3"/>
  <c r="B642" i="3"/>
  <c r="C642" i="3"/>
  <c r="D642" i="3"/>
  <c r="E642" i="3"/>
  <c r="F642" i="3"/>
  <c r="G642" i="3"/>
  <c r="H642" i="3"/>
  <c r="I642" i="3"/>
  <c r="J642" i="3"/>
  <c r="K642" i="3"/>
  <c r="L642" i="3"/>
  <c r="M642" i="3"/>
  <c r="N642" i="3"/>
  <c r="O642" i="3"/>
  <c r="P642" i="3"/>
  <c r="Q642" i="3"/>
  <c r="R642" i="3"/>
  <c r="S642" i="3"/>
  <c r="T642" i="3"/>
  <c r="U642" i="3"/>
  <c r="V642" i="3"/>
  <c r="W642" i="3"/>
  <c r="X642" i="3"/>
  <c r="Y642" i="3"/>
  <c r="Z642" i="3"/>
  <c r="AA642" i="3"/>
  <c r="AB642" i="3"/>
  <c r="AC642" i="3"/>
  <c r="AD642" i="3"/>
  <c r="AE642" i="3"/>
  <c r="AF642" i="3"/>
  <c r="AG642" i="3"/>
  <c r="AH642" i="3"/>
  <c r="AI642" i="3"/>
  <c r="AJ642" i="3"/>
  <c r="AK642" i="3"/>
  <c r="AL642" i="3"/>
  <c r="AM642" i="3"/>
  <c r="AN642" i="3"/>
  <c r="A643" i="3"/>
  <c r="B643" i="3"/>
  <c r="C643" i="3"/>
  <c r="D643" i="3"/>
  <c r="E643" i="3"/>
  <c r="F643" i="3"/>
  <c r="G643" i="3"/>
  <c r="H643" i="3"/>
  <c r="I643" i="3"/>
  <c r="J643" i="3"/>
  <c r="K643" i="3"/>
  <c r="L643" i="3"/>
  <c r="M643" i="3"/>
  <c r="N643" i="3"/>
  <c r="O643" i="3"/>
  <c r="P643" i="3"/>
  <c r="Q643" i="3"/>
  <c r="R643" i="3"/>
  <c r="S643" i="3"/>
  <c r="T643" i="3"/>
  <c r="U643" i="3"/>
  <c r="V643" i="3"/>
  <c r="W643" i="3"/>
  <c r="X643" i="3"/>
  <c r="Y643" i="3"/>
  <c r="Z643" i="3"/>
  <c r="AA643" i="3"/>
  <c r="AB643" i="3"/>
  <c r="AC643" i="3"/>
  <c r="AD643" i="3"/>
  <c r="AE643" i="3"/>
  <c r="AF643" i="3"/>
  <c r="AG643" i="3"/>
  <c r="AH643" i="3"/>
  <c r="AI643" i="3"/>
  <c r="AJ643" i="3"/>
  <c r="AK643" i="3"/>
  <c r="AL643" i="3"/>
  <c r="AM643" i="3"/>
  <c r="AN643" i="3"/>
  <c r="A644" i="3"/>
  <c r="B644" i="3"/>
  <c r="C644" i="3"/>
  <c r="D644" i="3"/>
  <c r="E644" i="3"/>
  <c r="F644" i="3"/>
  <c r="G644" i="3"/>
  <c r="H644" i="3"/>
  <c r="I644" i="3"/>
  <c r="J644" i="3"/>
  <c r="K644" i="3"/>
  <c r="L644" i="3"/>
  <c r="M644" i="3"/>
  <c r="N644" i="3"/>
  <c r="O644" i="3"/>
  <c r="P644" i="3"/>
  <c r="Q644" i="3"/>
  <c r="R644" i="3"/>
  <c r="S644" i="3"/>
  <c r="T644" i="3"/>
  <c r="U644" i="3"/>
  <c r="V644" i="3"/>
  <c r="W644" i="3"/>
  <c r="X644" i="3"/>
  <c r="Y644" i="3"/>
  <c r="Z644" i="3"/>
  <c r="AA644" i="3"/>
  <c r="AB644" i="3"/>
  <c r="AC644" i="3"/>
  <c r="AD644" i="3"/>
  <c r="AE644" i="3"/>
  <c r="AF644" i="3"/>
  <c r="AG644" i="3"/>
  <c r="AH644" i="3"/>
  <c r="AI644" i="3"/>
  <c r="AJ644" i="3"/>
  <c r="AK644" i="3"/>
  <c r="AL644" i="3"/>
  <c r="AM644" i="3"/>
  <c r="AN644" i="3"/>
  <c r="A645" i="3"/>
  <c r="B645" i="3"/>
  <c r="C645" i="3"/>
  <c r="D645" i="3"/>
  <c r="E645" i="3"/>
  <c r="F645" i="3"/>
  <c r="G645" i="3"/>
  <c r="H645" i="3"/>
  <c r="I645" i="3"/>
  <c r="J645" i="3"/>
  <c r="K645" i="3"/>
  <c r="L645" i="3"/>
  <c r="M645" i="3"/>
  <c r="N645" i="3"/>
  <c r="O645" i="3"/>
  <c r="P645" i="3"/>
  <c r="Q645" i="3"/>
  <c r="R645" i="3"/>
  <c r="S645" i="3"/>
  <c r="T645" i="3"/>
  <c r="U645" i="3"/>
  <c r="V645" i="3"/>
  <c r="W645" i="3"/>
  <c r="X645" i="3"/>
  <c r="Y645" i="3"/>
  <c r="Z645" i="3"/>
  <c r="AA645" i="3"/>
  <c r="AB645" i="3"/>
  <c r="AC645" i="3"/>
  <c r="AD645" i="3"/>
  <c r="AE645" i="3"/>
  <c r="AF645" i="3"/>
  <c r="AG645" i="3"/>
  <c r="AH645" i="3"/>
  <c r="AI645" i="3"/>
  <c r="AJ645" i="3"/>
  <c r="AK645" i="3"/>
  <c r="AL645" i="3"/>
  <c r="AM645" i="3"/>
  <c r="AN645" i="3"/>
  <c r="A646" i="3"/>
  <c r="B646" i="3"/>
  <c r="C646" i="3"/>
  <c r="D646" i="3"/>
  <c r="E646" i="3"/>
  <c r="F646" i="3"/>
  <c r="G646" i="3"/>
  <c r="H646" i="3"/>
  <c r="I646" i="3"/>
  <c r="J646" i="3"/>
  <c r="K646" i="3"/>
  <c r="L646" i="3"/>
  <c r="M646" i="3"/>
  <c r="N646" i="3"/>
  <c r="O646" i="3"/>
  <c r="P646" i="3"/>
  <c r="Q646" i="3"/>
  <c r="R646" i="3"/>
  <c r="S646" i="3"/>
  <c r="T646" i="3"/>
  <c r="U646" i="3"/>
  <c r="V646" i="3"/>
  <c r="W646" i="3"/>
  <c r="X646" i="3"/>
  <c r="Y646" i="3"/>
  <c r="Z646" i="3"/>
  <c r="AA646" i="3"/>
  <c r="AB646" i="3"/>
  <c r="AC646" i="3"/>
  <c r="AD646" i="3"/>
  <c r="AE646" i="3"/>
  <c r="AF646" i="3"/>
  <c r="AG646" i="3"/>
  <c r="AH646" i="3"/>
  <c r="AI646" i="3"/>
  <c r="AJ646" i="3"/>
  <c r="AK646" i="3"/>
  <c r="AL646" i="3"/>
  <c r="AM646" i="3"/>
  <c r="AN646" i="3"/>
  <c r="A647" i="3"/>
  <c r="B647" i="3"/>
  <c r="C647" i="3"/>
  <c r="D647" i="3"/>
  <c r="E647" i="3"/>
  <c r="F647" i="3"/>
  <c r="G647" i="3"/>
  <c r="H647" i="3"/>
  <c r="I647" i="3"/>
  <c r="J647" i="3"/>
  <c r="K647" i="3"/>
  <c r="L647" i="3"/>
  <c r="M647" i="3"/>
  <c r="N647" i="3"/>
  <c r="O647" i="3"/>
  <c r="P647" i="3"/>
  <c r="Q647" i="3"/>
  <c r="R647" i="3"/>
  <c r="S647" i="3"/>
  <c r="T647" i="3"/>
  <c r="U647" i="3"/>
  <c r="V647" i="3"/>
  <c r="W647" i="3"/>
  <c r="X647" i="3"/>
  <c r="Y647" i="3"/>
  <c r="Z647" i="3"/>
  <c r="AA647" i="3"/>
  <c r="AB647" i="3"/>
  <c r="AC647" i="3"/>
  <c r="AD647" i="3"/>
  <c r="AE647" i="3"/>
  <c r="AF647" i="3"/>
  <c r="AG647" i="3"/>
  <c r="AH647" i="3"/>
  <c r="AI647" i="3"/>
  <c r="AJ647" i="3"/>
  <c r="AK647" i="3"/>
  <c r="AL647" i="3"/>
  <c r="AM647" i="3"/>
  <c r="AN647" i="3"/>
  <c r="A648" i="3"/>
  <c r="B648" i="3"/>
  <c r="C648" i="3"/>
  <c r="D648" i="3"/>
  <c r="E648" i="3"/>
  <c r="F648" i="3"/>
  <c r="G648" i="3"/>
  <c r="H648" i="3"/>
  <c r="I648" i="3"/>
  <c r="J648" i="3"/>
  <c r="K648" i="3"/>
  <c r="L648" i="3"/>
  <c r="M648" i="3"/>
  <c r="N648" i="3"/>
  <c r="O648" i="3"/>
  <c r="P648" i="3"/>
  <c r="Q648" i="3"/>
  <c r="R648" i="3"/>
  <c r="S648" i="3"/>
  <c r="T648" i="3"/>
  <c r="U648" i="3"/>
  <c r="V648" i="3"/>
  <c r="W648" i="3"/>
  <c r="X648" i="3"/>
  <c r="Y648" i="3"/>
  <c r="Z648" i="3"/>
  <c r="AA648" i="3"/>
  <c r="AB648" i="3"/>
  <c r="AC648" i="3"/>
  <c r="AD648" i="3"/>
  <c r="AE648" i="3"/>
  <c r="AF648" i="3"/>
  <c r="AG648" i="3"/>
  <c r="AH648" i="3"/>
  <c r="AI648" i="3"/>
  <c r="AJ648" i="3"/>
  <c r="AK648" i="3"/>
  <c r="AL648" i="3"/>
  <c r="AM648" i="3"/>
  <c r="AN648" i="3"/>
  <c r="A649" i="3"/>
  <c r="B649" i="3"/>
  <c r="C649" i="3"/>
  <c r="D649" i="3"/>
  <c r="E649" i="3"/>
  <c r="F649" i="3"/>
  <c r="G649" i="3"/>
  <c r="H649" i="3"/>
  <c r="I649" i="3"/>
  <c r="J649" i="3"/>
  <c r="K649" i="3"/>
  <c r="L649" i="3"/>
  <c r="M649" i="3"/>
  <c r="N649" i="3"/>
  <c r="O649" i="3"/>
  <c r="P649" i="3"/>
  <c r="Q649" i="3"/>
  <c r="R649" i="3"/>
  <c r="S649" i="3"/>
  <c r="T649" i="3"/>
  <c r="U649" i="3"/>
  <c r="V649" i="3"/>
  <c r="W649" i="3"/>
  <c r="X649" i="3"/>
  <c r="Y649" i="3"/>
  <c r="Z649" i="3"/>
  <c r="AA649" i="3"/>
  <c r="AB649" i="3"/>
  <c r="AC649" i="3"/>
  <c r="AD649" i="3"/>
  <c r="AE649" i="3"/>
  <c r="AF649" i="3"/>
  <c r="AG649" i="3"/>
  <c r="AH649" i="3"/>
  <c r="AI649" i="3"/>
  <c r="AJ649" i="3"/>
  <c r="AK649" i="3"/>
  <c r="AL649" i="3"/>
  <c r="AM649" i="3"/>
  <c r="AN649" i="3"/>
  <c r="A650" i="3"/>
  <c r="B650" i="3"/>
  <c r="C650" i="3"/>
  <c r="D650" i="3"/>
  <c r="E650" i="3"/>
  <c r="F650" i="3"/>
  <c r="G650" i="3"/>
  <c r="H650" i="3"/>
  <c r="I650" i="3"/>
  <c r="J650" i="3"/>
  <c r="K650" i="3"/>
  <c r="L650" i="3"/>
  <c r="M650" i="3"/>
  <c r="N650" i="3"/>
  <c r="O650" i="3"/>
  <c r="P650" i="3"/>
  <c r="Q650" i="3"/>
  <c r="R650" i="3"/>
  <c r="S650" i="3"/>
  <c r="T650" i="3"/>
  <c r="U650" i="3"/>
  <c r="V650" i="3"/>
  <c r="W650" i="3"/>
  <c r="X650" i="3"/>
  <c r="Y650" i="3"/>
  <c r="Z650" i="3"/>
  <c r="AA650" i="3"/>
  <c r="AB650" i="3"/>
  <c r="AC650" i="3"/>
  <c r="AD650" i="3"/>
  <c r="AE650" i="3"/>
  <c r="AF650" i="3"/>
  <c r="AG650" i="3"/>
  <c r="AH650" i="3"/>
  <c r="AI650" i="3"/>
  <c r="AJ650" i="3"/>
  <c r="AK650" i="3"/>
  <c r="AL650" i="3"/>
  <c r="AM650" i="3"/>
  <c r="AN650" i="3"/>
  <c r="A651" i="3"/>
  <c r="B651" i="3"/>
  <c r="C651" i="3"/>
  <c r="D651" i="3"/>
  <c r="E651" i="3"/>
  <c r="F651" i="3"/>
  <c r="G651" i="3"/>
  <c r="H651" i="3"/>
  <c r="I651" i="3"/>
  <c r="J651" i="3"/>
  <c r="K651" i="3"/>
  <c r="L651" i="3"/>
  <c r="M651" i="3"/>
  <c r="N651" i="3"/>
  <c r="O651" i="3"/>
  <c r="P651" i="3"/>
  <c r="Q651" i="3"/>
  <c r="R651" i="3"/>
  <c r="S651" i="3"/>
  <c r="T651" i="3"/>
  <c r="U651" i="3"/>
  <c r="V651" i="3"/>
  <c r="W651" i="3"/>
  <c r="X651" i="3"/>
  <c r="Y651" i="3"/>
  <c r="Z651" i="3"/>
  <c r="AA651" i="3"/>
  <c r="AB651" i="3"/>
  <c r="AC651" i="3"/>
  <c r="AD651" i="3"/>
  <c r="AE651" i="3"/>
  <c r="AF651" i="3"/>
  <c r="AG651" i="3"/>
  <c r="AH651" i="3"/>
  <c r="AI651" i="3"/>
  <c r="AJ651" i="3"/>
  <c r="AK651" i="3"/>
  <c r="AL651" i="3"/>
  <c r="AM651" i="3"/>
  <c r="AN651" i="3"/>
  <c r="A652" i="3"/>
  <c r="B652" i="3"/>
  <c r="C652" i="3"/>
  <c r="D652" i="3"/>
  <c r="E652" i="3"/>
  <c r="F652" i="3"/>
  <c r="G652" i="3"/>
  <c r="H652" i="3"/>
  <c r="I652" i="3"/>
  <c r="J652" i="3"/>
  <c r="K652" i="3"/>
  <c r="L652" i="3"/>
  <c r="M652" i="3"/>
  <c r="N652" i="3"/>
  <c r="O652" i="3"/>
  <c r="P652" i="3"/>
  <c r="Q652" i="3"/>
  <c r="R652" i="3"/>
  <c r="S652" i="3"/>
  <c r="T652" i="3"/>
  <c r="U652" i="3"/>
  <c r="V652" i="3"/>
  <c r="W652" i="3"/>
  <c r="X652" i="3"/>
  <c r="Y652" i="3"/>
  <c r="Z652" i="3"/>
  <c r="AA652" i="3"/>
  <c r="AB652" i="3"/>
  <c r="AC652" i="3"/>
  <c r="AD652" i="3"/>
  <c r="AE652" i="3"/>
  <c r="AF652" i="3"/>
  <c r="AG652" i="3"/>
  <c r="AH652" i="3"/>
  <c r="AI652" i="3"/>
  <c r="AJ652" i="3"/>
  <c r="AK652" i="3"/>
  <c r="AL652" i="3"/>
  <c r="AM652" i="3"/>
  <c r="AN652" i="3"/>
  <c r="A653" i="3"/>
  <c r="B653" i="3"/>
  <c r="C653" i="3"/>
  <c r="D653" i="3"/>
  <c r="E653" i="3"/>
  <c r="F653" i="3"/>
  <c r="G653" i="3"/>
  <c r="H653" i="3"/>
  <c r="I653" i="3"/>
  <c r="J653" i="3"/>
  <c r="K653" i="3"/>
  <c r="L653" i="3"/>
  <c r="M653" i="3"/>
  <c r="N653" i="3"/>
  <c r="O653" i="3"/>
  <c r="P653" i="3"/>
  <c r="Q653" i="3"/>
  <c r="R653" i="3"/>
  <c r="S653" i="3"/>
  <c r="T653" i="3"/>
  <c r="U653" i="3"/>
  <c r="V653" i="3"/>
  <c r="W653" i="3"/>
  <c r="X653" i="3"/>
  <c r="Y653" i="3"/>
  <c r="Z653" i="3"/>
  <c r="AA653" i="3"/>
  <c r="AB653" i="3"/>
  <c r="AC653" i="3"/>
  <c r="AD653" i="3"/>
  <c r="AE653" i="3"/>
  <c r="AF653" i="3"/>
  <c r="AG653" i="3"/>
  <c r="AH653" i="3"/>
  <c r="AI653" i="3"/>
  <c r="AJ653" i="3"/>
  <c r="AK653" i="3"/>
  <c r="AL653" i="3"/>
  <c r="AM653" i="3"/>
  <c r="AN653" i="3"/>
  <c r="A654" i="3"/>
  <c r="B654" i="3"/>
  <c r="C654" i="3"/>
  <c r="D654" i="3"/>
  <c r="E654" i="3"/>
  <c r="F654" i="3"/>
  <c r="G654" i="3"/>
  <c r="H654" i="3"/>
  <c r="I654" i="3"/>
  <c r="J654" i="3"/>
  <c r="K654" i="3"/>
  <c r="L654" i="3"/>
  <c r="M654" i="3"/>
  <c r="N654" i="3"/>
  <c r="O654" i="3"/>
  <c r="P654" i="3"/>
  <c r="Q654" i="3"/>
  <c r="R654" i="3"/>
  <c r="S654" i="3"/>
  <c r="T654" i="3"/>
  <c r="U654" i="3"/>
  <c r="V654" i="3"/>
  <c r="W654" i="3"/>
  <c r="X654" i="3"/>
  <c r="Y654" i="3"/>
  <c r="Z654" i="3"/>
  <c r="AA654" i="3"/>
  <c r="AB654" i="3"/>
  <c r="AC654" i="3"/>
  <c r="AD654" i="3"/>
  <c r="AE654" i="3"/>
  <c r="AF654" i="3"/>
  <c r="AG654" i="3"/>
  <c r="AH654" i="3"/>
  <c r="AI654" i="3"/>
  <c r="AJ654" i="3"/>
  <c r="AK654" i="3"/>
  <c r="AL654" i="3"/>
  <c r="AM654" i="3"/>
  <c r="AN654" i="3"/>
  <c r="A655" i="3"/>
  <c r="B655" i="3"/>
  <c r="C655" i="3"/>
  <c r="D655" i="3"/>
  <c r="E655" i="3"/>
  <c r="F655" i="3"/>
  <c r="G655" i="3"/>
  <c r="H655" i="3"/>
  <c r="I655" i="3"/>
  <c r="J655" i="3"/>
  <c r="K655" i="3"/>
  <c r="L655" i="3"/>
  <c r="M655" i="3"/>
  <c r="N655" i="3"/>
  <c r="O655" i="3"/>
  <c r="P655" i="3"/>
  <c r="Q655" i="3"/>
  <c r="R655" i="3"/>
  <c r="S655" i="3"/>
  <c r="T655" i="3"/>
  <c r="U655" i="3"/>
  <c r="V655" i="3"/>
  <c r="W655" i="3"/>
  <c r="X655" i="3"/>
  <c r="Y655" i="3"/>
  <c r="Z655" i="3"/>
  <c r="AA655" i="3"/>
  <c r="AB655" i="3"/>
  <c r="AC655" i="3"/>
  <c r="AD655" i="3"/>
  <c r="AE655" i="3"/>
  <c r="AF655" i="3"/>
  <c r="AG655" i="3"/>
  <c r="AH655" i="3"/>
  <c r="AI655" i="3"/>
  <c r="AJ655" i="3"/>
  <c r="AK655" i="3"/>
  <c r="AL655" i="3"/>
  <c r="AM655" i="3"/>
  <c r="AN655" i="3"/>
  <c r="A656" i="3"/>
  <c r="B656" i="3"/>
  <c r="C656" i="3"/>
  <c r="D656" i="3"/>
  <c r="E656" i="3"/>
  <c r="F656" i="3"/>
  <c r="G656" i="3"/>
  <c r="H656" i="3"/>
  <c r="I656" i="3"/>
  <c r="J656" i="3"/>
  <c r="K656" i="3"/>
  <c r="L656" i="3"/>
  <c r="M656" i="3"/>
  <c r="N656" i="3"/>
  <c r="O656" i="3"/>
  <c r="P656" i="3"/>
  <c r="Q656" i="3"/>
  <c r="R656" i="3"/>
  <c r="S656" i="3"/>
  <c r="T656" i="3"/>
  <c r="U656" i="3"/>
  <c r="V656" i="3"/>
  <c r="W656" i="3"/>
  <c r="X656" i="3"/>
  <c r="Y656" i="3"/>
  <c r="Z656" i="3"/>
  <c r="AA656" i="3"/>
  <c r="AB656" i="3"/>
  <c r="AC656" i="3"/>
  <c r="AD656" i="3"/>
  <c r="AE656" i="3"/>
  <c r="AF656" i="3"/>
  <c r="AG656" i="3"/>
  <c r="AH656" i="3"/>
  <c r="AI656" i="3"/>
  <c r="AJ656" i="3"/>
  <c r="AK656" i="3"/>
  <c r="AL656" i="3"/>
  <c r="AM656" i="3"/>
  <c r="AN656" i="3"/>
  <c r="A657" i="3"/>
  <c r="B657" i="3"/>
  <c r="C657" i="3"/>
  <c r="D657" i="3"/>
  <c r="E657" i="3"/>
  <c r="F657" i="3"/>
  <c r="G657" i="3"/>
  <c r="H657" i="3"/>
  <c r="I657" i="3"/>
  <c r="J657" i="3"/>
  <c r="K657" i="3"/>
  <c r="L657" i="3"/>
  <c r="M657" i="3"/>
  <c r="N657" i="3"/>
  <c r="O657" i="3"/>
  <c r="P657" i="3"/>
  <c r="Q657" i="3"/>
  <c r="R657" i="3"/>
  <c r="S657" i="3"/>
  <c r="T657" i="3"/>
  <c r="U657" i="3"/>
  <c r="V657" i="3"/>
  <c r="W657" i="3"/>
  <c r="X657" i="3"/>
  <c r="Y657" i="3"/>
  <c r="Z657" i="3"/>
  <c r="AA657" i="3"/>
  <c r="AB657" i="3"/>
  <c r="AC657" i="3"/>
  <c r="AD657" i="3"/>
  <c r="AE657" i="3"/>
  <c r="AF657" i="3"/>
  <c r="AG657" i="3"/>
  <c r="AH657" i="3"/>
  <c r="AI657" i="3"/>
  <c r="AJ657" i="3"/>
  <c r="AK657" i="3"/>
  <c r="AL657" i="3"/>
  <c r="AM657" i="3"/>
  <c r="AN657" i="3"/>
  <c r="A658" i="3"/>
  <c r="B658" i="3"/>
  <c r="C658" i="3"/>
  <c r="D658" i="3"/>
  <c r="E658" i="3"/>
  <c r="F658" i="3"/>
  <c r="G658" i="3"/>
  <c r="H658" i="3"/>
  <c r="I658" i="3"/>
  <c r="J658" i="3"/>
  <c r="K658" i="3"/>
  <c r="L658" i="3"/>
  <c r="M658" i="3"/>
  <c r="N658" i="3"/>
  <c r="O658" i="3"/>
  <c r="P658" i="3"/>
  <c r="Q658" i="3"/>
  <c r="R658" i="3"/>
  <c r="S658" i="3"/>
  <c r="T658" i="3"/>
  <c r="U658" i="3"/>
  <c r="V658" i="3"/>
  <c r="W658" i="3"/>
  <c r="X658" i="3"/>
  <c r="Y658" i="3"/>
  <c r="Z658" i="3"/>
  <c r="AA658" i="3"/>
  <c r="AB658" i="3"/>
  <c r="AC658" i="3"/>
  <c r="AD658" i="3"/>
  <c r="AE658" i="3"/>
  <c r="AF658" i="3"/>
  <c r="AG658" i="3"/>
  <c r="AH658" i="3"/>
  <c r="AI658" i="3"/>
  <c r="AJ658" i="3"/>
  <c r="AK658" i="3"/>
  <c r="AL658" i="3"/>
  <c r="AM658" i="3"/>
  <c r="AN658" i="3"/>
  <c r="A659" i="3"/>
  <c r="B659" i="3"/>
  <c r="C659" i="3"/>
  <c r="D659" i="3"/>
  <c r="E659" i="3"/>
  <c r="F659" i="3"/>
  <c r="G659" i="3"/>
  <c r="H659" i="3"/>
  <c r="I659" i="3"/>
  <c r="J659" i="3"/>
  <c r="K659" i="3"/>
  <c r="L659" i="3"/>
  <c r="M659" i="3"/>
  <c r="N659" i="3"/>
  <c r="O659" i="3"/>
  <c r="P659" i="3"/>
  <c r="Q659" i="3"/>
  <c r="R659" i="3"/>
  <c r="S659" i="3"/>
  <c r="T659" i="3"/>
  <c r="U659" i="3"/>
  <c r="V659" i="3"/>
  <c r="W659" i="3"/>
  <c r="X659" i="3"/>
  <c r="Y659" i="3"/>
  <c r="Z659" i="3"/>
  <c r="AA659" i="3"/>
  <c r="AB659" i="3"/>
  <c r="AC659" i="3"/>
  <c r="AD659" i="3"/>
  <c r="AE659" i="3"/>
  <c r="AF659" i="3"/>
  <c r="AG659" i="3"/>
  <c r="AH659" i="3"/>
  <c r="AI659" i="3"/>
  <c r="AJ659" i="3"/>
  <c r="AK659" i="3"/>
  <c r="AL659" i="3"/>
  <c r="AM659" i="3"/>
  <c r="AN659" i="3"/>
  <c r="A660" i="3"/>
  <c r="B660" i="3"/>
  <c r="C660" i="3"/>
  <c r="D660" i="3"/>
  <c r="E660" i="3"/>
  <c r="F660" i="3"/>
  <c r="G660" i="3"/>
  <c r="H660" i="3"/>
  <c r="I660" i="3"/>
  <c r="J660" i="3"/>
  <c r="K660" i="3"/>
  <c r="L660" i="3"/>
  <c r="M660" i="3"/>
  <c r="N660" i="3"/>
  <c r="O660" i="3"/>
  <c r="P660" i="3"/>
  <c r="Q660" i="3"/>
  <c r="R660" i="3"/>
  <c r="S660" i="3"/>
  <c r="T660" i="3"/>
  <c r="U660" i="3"/>
  <c r="V660" i="3"/>
  <c r="W660" i="3"/>
  <c r="X660" i="3"/>
  <c r="Y660" i="3"/>
  <c r="Z660" i="3"/>
  <c r="AA660" i="3"/>
  <c r="AB660" i="3"/>
  <c r="AC660" i="3"/>
  <c r="AD660" i="3"/>
  <c r="AE660" i="3"/>
  <c r="AF660" i="3"/>
  <c r="AG660" i="3"/>
  <c r="AH660" i="3"/>
  <c r="AI660" i="3"/>
  <c r="AJ660" i="3"/>
  <c r="AK660" i="3"/>
  <c r="AL660" i="3"/>
  <c r="AM660" i="3"/>
  <c r="AN660" i="3"/>
  <c r="A661" i="3"/>
  <c r="B661" i="3"/>
  <c r="C661" i="3"/>
  <c r="D661" i="3"/>
  <c r="E661" i="3"/>
  <c r="F661" i="3"/>
  <c r="G661" i="3"/>
  <c r="H661" i="3"/>
  <c r="I661" i="3"/>
  <c r="J661" i="3"/>
  <c r="K661" i="3"/>
  <c r="L661" i="3"/>
  <c r="M661" i="3"/>
  <c r="N661" i="3"/>
  <c r="O661" i="3"/>
  <c r="P661" i="3"/>
  <c r="Q661" i="3"/>
  <c r="R661" i="3"/>
  <c r="S661" i="3"/>
  <c r="T661" i="3"/>
  <c r="U661" i="3"/>
  <c r="V661" i="3"/>
  <c r="W661" i="3"/>
  <c r="X661" i="3"/>
  <c r="Y661" i="3"/>
  <c r="Z661" i="3"/>
  <c r="AA661" i="3"/>
  <c r="AB661" i="3"/>
  <c r="AC661" i="3"/>
  <c r="AD661" i="3"/>
  <c r="AE661" i="3"/>
  <c r="AF661" i="3"/>
  <c r="AG661" i="3"/>
  <c r="AH661" i="3"/>
  <c r="AI661" i="3"/>
  <c r="AJ661" i="3"/>
  <c r="AK661" i="3"/>
  <c r="AL661" i="3"/>
  <c r="AM661" i="3"/>
  <c r="AN661" i="3"/>
  <c r="A662" i="3"/>
  <c r="B662" i="3"/>
  <c r="C662" i="3"/>
  <c r="D662" i="3"/>
  <c r="E662" i="3"/>
  <c r="F662" i="3"/>
  <c r="G662" i="3"/>
  <c r="H662" i="3"/>
  <c r="I662" i="3"/>
  <c r="J662" i="3"/>
  <c r="K662" i="3"/>
  <c r="L662" i="3"/>
  <c r="M662" i="3"/>
  <c r="N662" i="3"/>
  <c r="O662" i="3"/>
  <c r="P662" i="3"/>
  <c r="Q662" i="3"/>
  <c r="R662" i="3"/>
  <c r="S662" i="3"/>
  <c r="T662" i="3"/>
  <c r="U662" i="3"/>
  <c r="V662" i="3"/>
  <c r="W662" i="3"/>
  <c r="X662" i="3"/>
  <c r="Y662" i="3"/>
  <c r="Z662" i="3"/>
  <c r="AA662" i="3"/>
  <c r="AB662" i="3"/>
  <c r="AC662" i="3"/>
  <c r="AD662" i="3"/>
  <c r="AE662" i="3"/>
  <c r="AF662" i="3"/>
  <c r="AG662" i="3"/>
  <c r="AH662" i="3"/>
  <c r="AI662" i="3"/>
  <c r="AJ662" i="3"/>
  <c r="AK662" i="3"/>
  <c r="AL662" i="3"/>
  <c r="AM662" i="3"/>
  <c r="AN662" i="3"/>
  <c r="A663" i="3"/>
  <c r="B663" i="3"/>
  <c r="C663" i="3"/>
  <c r="D663" i="3"/>
  <c r="E663" i="3"/>
  <c r="F663" i="3"/>
  <c r="G663" i="3"/>
  <c r="H663" i="3"/>
  <c r="I663" i="3"/>
  <c r="J663" i="3"/>
  <c r="K663" i="3"/>
  <c r="L663" i="3"/>
  <c r="M663" i="3"/>
  <c r="N663" i="3"/>
  <c r="O663" i="3"/>
  <c r="P663" i="3"/>
  <c r="Q663" i="3"/>
  <c r="R663" i="3"/>
  <c r="S663" i="3"/>
  <c r="T663" i="3"/>
  <c r="U663" i="3"/>
  <c r="V663" i="3"/>
  <c r="W663" i="3"/>
  <c r="X663" i="3"/>
  <c r="Y663" i="3"/>
  <c r="Z663" i="3"/>
  <c r="AA663" i="3"/>
  <c r="AB663" i="3"/>
  <c r="AC663" i="3"/>
  <c r="AD663" i="3"/>
  <c r="AE663" i="3"/>
  <c r="AF663" i="3"/>
  <c r="AG663" i="3"/>
  <c r="AH663" i="3"/>
  <c r="AI663" i="3"/>
  <c r="AJ663" i="3"/>
  <c r="AK663" i="3"/>
  <c r="AL663" i="3"/>
  <c r="AM663" i="3"/>
  <c r="AN663" i="3"/>
  <c r="A664" i="3"/>
  <c r="B664" i="3"/>
  <c r="C664" i="3"/>
  <c r="D664" i="3"/>
  <c r="E664" i="3"/>
  <c r="F664" i="3"/>
  <c r="G664" i="3"/>
  <c r="H664" i="3"/>
  <c r="I664" i="3"/>
  <c r="J664" i="3"/>
  <c r="K664" i="3"/>
  <c r="L664" i="3"/>
  <c r="M664" i="3"/>
  <c r="N664" i="3"/>
  <c r="O664" i="3"/>
  <c r="P664" i="3"/>
  <c r="Q664" i="3"/>
  <c r="R664" i="3"/>
  <c r="S664" i="3"/>
  <c r="T664" i="3"/>
  <c r="U664" i="3"/>
  <c r="V664" i="3"/>
  <c r="W664" i="3"/>
  <c r="X664" i="3"/>
  <c r="Y664" i="3"/>
  <c r="Z664" i="3"/>
  <c r="AA664" i="3"/>
  <c r="AB664" i="3"/>
  <c r="AC664" i="3"/>
  <c r="AD664" i="3"/>
  <c r="AE664" i="3"/>
  <c r="AF664" i="3"/>
  <c r="AG664" i="3"/>
  <c r="AH664" i="3"/>
  <c r="AI664" i="3"/>
  <c r="AJ664" i="3"/>
  <c r="AK664" i="3"/>
  <c r="AL664" i="3"/>
  <c r="AM664" i="3"/>
  <c r="AN664" i="3"/>
  <c r="A665" i="3"/>
  <c r="B665" i="3"/>
  <c r="C665" i="3"/>
  <c r="D665" i="3"/>
  <c r="E665" i="3"/>
  <c r="F665" i="3"/>
  <c r="G665" i="3"/>
  <c r="H665" i="3"/>
  <c r="I665" i="3"/>
  <c r="J665" i="3"/>
  <c r="K665" i="3"/>
  <c r="L665" i="3"/>
  <c r="M665" i="3"/>
  <c r="N665" i="3"/>
  <c r="O665" i="3"/>
  <c r="P665" i="3"/>
  <c r="Q665" i="3"/>
  <c r="R665" i="3"/>
  <c r="S665" i="3"/>
  <c r="T665" i="3"/>
  <c r="U665" i="3"/>
  <c r="V665" i="3"/>
  <c r="W665" i="3"/>
  <c r="X665" i="3"/>
  <c r="Y665" i="3"/>
  <c r="Z665" i="3"/>
  <c r="AA665" i="3"/>
  <c r="AB665" i="3"/>
  <c r="AC665" i="3"/>
  <c r="AD665" i="3"/>
  <c r="AE665" i="3"/>
  <c r="AF665" i="3"/>
  <c r="AG665" i="3"/>
  <c r="AH665" i="3"/>
  <c r="AI665" i="3"/>
  <c r="AJ665" i="3"/>
  <c r="AK665" i="3"/>
  <c r="AL665" i="3"/>
  <c r="AM665" i="3"/>
  <c r="AN665" i="3"/>
  <c r="A666" i="3"/>
  <c r="B666" i="3"/>
  <c r="C666" i="3"/>
  <c r="D666" i="3"/>
  <c r="E666" i="3"/>
  <c r="F666" i="3"/>
  <c r="G666" i="3"/>
  <c r="H666" i="3"/>
  <c r="I666" i="3"/>
  <c r="J666" i="3"/>
  <c r="K666" i="3"/>
  <c r="L666" i="3"/>
  <c r="M666" i="3"/>
  <c r="N666" i="3"/>
  <c r="O666" i="3"/>
  <c r="P666" i="3"/>
  <c r="Q666" i="3"/>
  <c r="R666" i="3"/>
  <c r="S666" i="3"/>
  <c r="T666" i="3"/>
  <c r="U666" i="3"/>
  <c r="V666" i="3"/>
  <c r="W666" i="3"/>
  <c r="X666" i="3"/>
  <c r="Y666" i="3"/>
  <c r="Z666" i="3"/>
  <c r="AA666" i="3"/>
  <c r="AB666" i="3"/>
  <c r="AC666" i="3"/>
  <c r="AD666" i="3"/>
  <c r="AE666" i="3"/>
  <c r="AF666" i="3"/>
  <c r="AG666" i="3"/>
  <c r="AH666" i="3"/>
  <c r="AI666" i="3"/>
  <c r="AJ666" i="3"/>
  <c r="AK666" i="3"/>
  <c r="AL666" i="3"/>
  <c r="AM666" i="3"/>
  <c r="AN666" i="3"/>
  <c r="A667" i="3"/>
  <c r="B667" i="3"/>
  <c r="C667" i="3"/>
  <c r="D667" i="3"/>
  <c r="E667" i="3"/>
  <c r="F667" i="3"/>
  <c r="G667" i="3"/>
  <c r="H667" i="3"/>
  <c r="I667" i="3"/>
  <c r="J667" i="3"/>
  <c r="K667" i="3"/>
  <c r="L667" i="3"/>
  <c r="M667" i="3"/>
  <c r="N667" i="3"/>
  <c r="O667" i="3"/>
  <c r="P667" i="3"/>
  <c r="Q667" i="3"/>
  <c r="R667" i="3"/>
  <c r="S667" i="3"/>
  <c r="T667" i="3"/>
  <c r="U667" i="3"/>
  <c r="V667" i="3"/>
  <c r="W667" i="3"/>
  <c r="X667" i="3"/>
  <c r="Y667" i="3"/>
  <c r="Z667" i="3"/>
  <c r="AA667" i="3"/>
  <c r="AB667" i="3"/>
  <c r="AC667" i="3"/>
  <c r="AD667" i="3"/>
  <c r="AE667" i="3"/>
  <c r="AF667" i="3"/>
  <c r="AG667" i="3"/>
  <c r="AH667" i="3"/>
  <c r="AI667" i="3"/>
  <c r="AJ667" i="3"/>
  <c r="AK667" i="3"/>
  <c r="AL667" i="3"/>
  <c r="AM667" i="3"/>
  <c r="AN667" i="3"/>
  <c r="A668" i="3"/>
  <c r="B668" i="3"/>
  <c r="C668" i="3"/>
  <c r="D668" i="3"/>
  <c r="E668" i="3"/>
  <c r="F668" i="3"/>
  <c r="G668" i="3"/>
  <c r="H668" i="3"/>
  <c r="I668" i="3"/>
  <c r="J668" i="3"/>
  <c r="K668" i="3"/>
  <c r="L668" i="3"/>
  <c r="M668" i="3"/>
  <c r="N668" i="3"/>
  <c r="O668" i="3"/>
  <c r="P668" i="3"/>
  <c r="Q668" i="3"/>
  <c r="R668" i="3"/>
  <c r="S668" i="3"/>
  <c r="T668" i="3"/>
  <c r="U668" i="3"/>
  <c r="V668" i="3"/>
  <c r="W668" i="3"/>
  <c r="X668" i="3"/>
  <c r="Y668" i="3"/>
  <c r="Z668" i="3"/>
  <c r="AA668" i="3"/>
  <c r="AB668" i="3"/>
  <c r="AC668" i="3"/>
  <c r="AD668" i="3"/>
  <c r="AE668" i="3"/>
  <c r="AF668" i="3"/>
  <c r="AG668" i="3"/>
  <c r="AH668" i="3"/>
  <c r="AI668" i="3"/>
  <c r="AJ668" i="3"/>
  <c r="AK668" i="3"/>
  <c r="AL668" i="3"/>
  <c r="AM668" i="3"/>
  <c r="AN668" i="3"/>
  <c r="A669" i="3"/>
  <c r="B669" i="3"/>
  <c r="C669" i="3"/>
  <c r="D669" i="3"/>
  <c r="E669" i="3"/>
  <c r="F669" i="3"/>
  <c r="G669" i="3"/>
  <c r="H669" i="3"/>
  <c r="I669" i="3"/>
  <c r="J669" i="3"/>
  <c r="K669" i="3"/>
  <c r="L669" i="3"/>
  <c r="M669" i="3"/>
  <c r="N669" i="3"/>
  <c r="O669" i="3"/>
  <c r="P669" i="3"/>
  <c r="Q669" i="3"/>
  <c r="R669" i="3"/>
  <c r="S669" i="3"/>
  <c r="T669" i="3"/>
  <c r="U669" i="3"/>
  <c r="V669" i="3"/>
  <c r="W669" i="3"/>
  <c r="X669" i="3"/>
  <c r="Y669" i="3"/>
  <c r="Z669" i="3"/>
  <c r="AA669" i="3"/>
  <c r="AB669" i="3"/>
  <c r="AC669" i="3"/>
  <c r="AD669" i="3"/>
  <c r="AE669" i="3"/>
  <c r="AF669" i="3"/>
  <c r="AG669" i="3"/>
  <c r="AH669" i="3"/>
  <c r="AI669" i="3"/>
  <c r="AJ669" i="3"/>
  <c r="AK669" i="3"/>
  <c r="AL669" i="3"/>
  <c r="AM669" i="3"/>
  <c r="AN669" i="3"/>
  <c r="A670" i="3"/>
  <c r="B670" i="3"/>
  <c r="C670" i="3"/>
  <c r="D670" i="3"/>
  <c r="E670" i="3"/>
  <c r="F670" i="3"/>
  <c r="G670" i="3"/>
  <c r="H670" i="3"/>
  <c r="I670" i="3"/>
  <c r="J670" i="3"/>
  <c r="K670" i="3"/>
  <c r="L670" i="3"/>
  <c r="M670" i="3"/>
  <c r="N670" i="3"/>
  <c r="O670" i="3"/>
  <c r="P670" i="3"/>
  <c r="Q670" i="3"/>
  <c r="R670" i="3"/>
  <c r="S670" i="3"/>
  <c r="T670" i="3"/>
  <c r="U670" i="3"/>
  <c r="V670" i="3"/>
  <c r="W670" i="3"/>
  <c r="X670" i="3"/>
  <c r="Y670" i="3"/>
  <c r="Z670" i="3"/>
  <c r="AA670" i="3"/>
  <c r="AB670" i="3"/>
  <c r="AC670" i="3"/>
  <c r="AD670" i="3"/>
  <c r="AE670" i="3"/>
  <c r="AF670" i="3"/>
  <c r="AG670" i="3"/>
  <c r="AH670" i="3"/>
  <c r="AI670" i="3"/>
  <c r="AJ670" i="3"/>
  <c r="AK670" i="3"/>
  <c r="AL670" i="3"/>
  <c r="AM670" i="3"/>
  <c r="AN670" i="3"/>
  <c r="A671" i="3"/>
  <c r="B671" i="3"/>
  <c r="C671" i="3"/>
  <c r="D671" i="3"/>
  <c r="E671" i="3"/>
  <c r="F671" i="3"/>
  <c r="G671" i="3"/>
  <c r="H671" i="3"/>
  <c r="I671" i="3"/>
  <c r="J671" i="3"/>
  <c r="K671" i="3"/>
  <c r="L671" i="3"/>
  <c r="M671" i="3"/>
  <c r="N671" i="3"/>
  <c r="O671" i="3"/>
  <c r="P671" i="3"/>
  <c r="Q671" i="3"/>
  <c r="R671" i="3"/>
  <c r="S671" i="3"/>
  <c r="T671" i="3"/>
  <c r="U671" i="3"/>
  <c r="V671" i="3"/>
  <c r="W671" i="3"/>
  <c r="X671" i="3"/>
  <c r="Y671" i="3"/>
  <c r="Z671" i="3"/>
  <c r="AA671" i="3"/>
  <c r="AB671" i="3"/>
  <c r="AC671" i="3"/>
  <c r="AD671" i="3"/>
  <c r="AE671" i="3"/>
  <c r="AF671" i="3"/>
  <c r="AG671" i="3"/>
  <c r="AH671" i="3"/>
  <c r="AI671" i="3"/>
  <c r="AJ671" i="3"/>
  <c r="AK671" i="3"/>
  <c r="AL671" i="3"/>
  <c r="AM671" i="3"/>
  <c r="AN671" i="3"/>
  <c r="A672" i="3"/>
  <c r="B672" i="3"/>
  <c r="C672" i="3"/>
  <c r="D672" i="3"/>
  <c r="E672" i="3"/>
  <c r="F672" i="3"/>
  <c r="G672" i="3"/>
  <c r="H672" i="3"/>
  <c r="I672" i="3"/>
  <c r="J672" i="3"/>
  <c r="K672" i="3"/>
  <c r="L672" i="3"/>
  <c r="M672" i="3"/>
  <c r="N672" i="3"/>
  <c r="O672" i="3"/>
  <c r="P672" i="3"/>
  <c r="Q672" i="3"/>
  <c r="R672" i="3"/>
  <c r="S672" i="3"/>
  <c r="T672" i="3"/>
  <c r="U672" i="3"/>
  <c r="V672" i="3"/>
  <c r="W672" i="3"/>
  <c r="X672" i="3"/>
  <c r="Y672" i="3"/>
  <c r="Z672" i="3"/>
  <c r="AA672" i="3"/>
  <c r="AB672" i="3"/>
  <c r="AC672" i="3"/>
  <c r="AD672" i="3"/>
  <c r="AE672" i="3"/>
  <c r="AF672" i="3"/>
  <c r="AG672" i="3"/>
  <c r="AH672" i="3"/>
  <c r="AI672" i="3"/>
  <c r="AJ672" i="3"/>
  <c r="AK672" i="3"/>
  <c r="AL672" i="3"/>
  <c r="AM672" i="3"/>
  <c r="AN672" i="3"/>
  <c r="A673" i="3"/>
  <c r="B673" i="3"/>
  <c r="C673" i="3"/>
  <c r="D673" i="3"/>
  <c r="E673" i="3"/>
  <c r="F673" i="3"/>
  <c r="G673" i="3"/>
  <c r="H673" i="3"/>
  <c r="I673" i="3"/>
  <c r="J673" i="3"/>
  <c r="K673" i="3"/>
  <c r="L673" i="3"/>
  <c r="M673" i="3"/>
  <c r="N673" i="3"/>
  <c r="O673" i="3"/>
  <c r="P673" i="3"/>
  <c r="Q673" i="3"/>
  <c r="R673" i="3"/>
  <c r="S673" i="3"/>
  <c r="T673" i="3"/>
  <c r="U673" i="3"/>
  <c r="V673" i="3"/>
  <c r="W673" i="3"/>
  <c r="X673" i="3"/>
  <c r="Y673" i="3"/>
  <c r="Z673" i="3"/>
  <c r="AA673" i="3"/>
  <c r="AB673" i="3"/>
  <c r="AC673" i="3"/>
  <c r="AD673" i="3"/>
  <c r="AE673" i="3"/>
  <c r="AF673" i="3"/>
  <c r="AG673" i="3"/>
  <c r="AH673" i="3"/>
  <c r="AI673" i="3"/>
  <c r="AJ673" i="3"/>
  <c r="AK673" i="3"/>
  <c r="AL673" i="3"/>
  <c r="AM673" i="3"/>
  <c r="AN673" i="3"/>
  <c r="A674" i="3"/>
  <c r="B674" i="3"/>
  <c r="C674" i="3"/>
  <c r="D674" i="3"/>
  <c r="E674" i="3"/>
  <c r="F674" i="3"/>
  <c r="G674" i="3"/>
  <c r="H674" i="3"/>
  <c r="I674" i="3"/>
  <c r="J674" i="3"/>
  <c r="K674" i="3"/>
  <c r="L674" i="3"/>
  <c r="M674" i="3"/>
  <c r="N674" i="3"/>
  <c r="O674" i="3"/>
  <c r="P674" i="3"/>
  <c r="Q674" i="3"/>
  <c r="R674" i="3"/>
  <c r="S674" i="3"/>
  <c r="T674" i="3"/>
  <c r="U674" i="3"/>
  <c r="V674" i="3"/>
  <c r="W674" i="3"/>
  <c r="X674" i="3"/>
  <c r="Y674" i="3"/>
  <c r="Z674" i="3"/>
  <c r="AA674" i="3"/>
  <c r="AB674" i="3"/>
  <c r="AC674" i="3"/>
  <c r="AD674" i="3"/>
  <c r="AE674" i="3"/>
  <c r="AF674" i="3"/>
  <c r="AG674" i="3"/>
  <c r="AH674" i="3"/>
  <c r="AI674" i="3"/>
  <c r="AJ674" i="3"/>
  <c r="AK674" i="3"/>
  <c r="AL674" i="3"/>
  <c r="AM674" i="3"/>
  <c r="AN674" i="3"/>
  <c r="A675" i="3"/>
  <c r="B675" i="3"/>
  <c r="C675" i="3"/>
  <c r="D675" i="3"/>
  <c r="E675" i="3"/>
  <c r="F675" i="3"/>
  <c r="G675" i="3"/>
  <c r="H675" i="3"/>
  <c r="I675" i="3"/>
  <c r="J675" i="3"/>
  <c r="K675" i="3"/>
  <c r="L675" i="3"/>
  <c r="M675" i="3"/>
  <c r="N675" i="3"/>
  <c r="O675" i="3"/>
  <c r="P675" i="3"/>
  <c r="Q675" i="3"/>
  <c r="R675" i="3"/>
  <c r="S675" i="3"/>
  <c r="T675" i="3"/>
  <c r="U675" i="3"/>
  <c r="V675" i="3"/>
  <c r="W675" i="3"/>
  <c r="X675" i="3"/>
  <c r="Y675" i="3"/>
  <c r="Z675" i="3"/>
  <c r="AA675" i="3"/>
  <c r="AB675" i="3"/>
  <c r="AC675" i="3"/>
  <c r="AD675" i="3"/>
  <c r="AE675" i="3"/>
  <c r="AF675" i="3"/>
  <c r="AG675" i="3"/>
  <c r="AH675" i="3"/>
  <c r="AI675" i="3"/>
  <c r="AJ675" i="3"/>
  <c r="AK675" i="3"/>
  <c r="AL675" i="3"/>
  <c r="AM675" i="3"/>
  <c r="AN675" i="3"/>
  <c r="A676" i="3"/>
  <c r="B676" i="3"/>
  <c r="C676" i="3"/>
  <c r="D676" i="3"/>
  <c r="E676" i="3"/>
  <c r="F676" i="3"/>
  <c r="G676" i="3"/>
  <c r="H676" i="3"/>
  <c r="I676" i="3"/>
  <c r="J676" i="3"/>
  <c r="K676" i="3"/>
  <c r="L676" i="3"/>
  <c r="M676" i="3"/>
  <c r="N676" i="3"/>
  <c r="O676" i="3"/>
  <c r="P676" i="3"/>
  <c r="Q676" i="3"/>
  <c r="R676" i="3"/>
  <c r="S676" i="3"/>
  <c r="T676" i="3"/>
  <c r="U676" i="3"/>
  <c r="V676" i="3"/>
  <c r="W676" i="3"/>
  <c r="X676" i="3"/>
  <c r="Y676" i="3"/>
  <c r="Z676" i="3"/>
  <c r="AA676" i="3"/>
  <c r="AB676" i="3"/>
  <c r="AC676" i="3"/>
  <c r="AD676" i="3"/>
  <c r="AE676" i="3"/>
  <c r="AF676" i="3"/>
  <c r="AG676" i="3"/>
  <c r="AH676" i="3"/>
  <c r="AI676" i="3"/>
  <c r="AJ676" i="3"/>
  <c r="AK676" i="3"/>
  <c r="AL676" i="3"/>
  <c r="AM676" i="3"/>
  <c r="AN676" i="3"/>
  <c r="A677" i="3"/>
  <c r="B677" i="3"/>
  <c r="C677" i="3"/>
  <c r="D677" i="3"/>
  <c r="E677" i="3"/>
  <c r="F677" i="3"/>
  <c r="G677" i="3"/>
  <c r="H677" i="3"/>
  <c r="I677" i="3"/>
  <c r="J677" i="3"/>
  <c r="K677" i="3"/>
  <c r="L677" i="3"/>
  <c r="M677" i="3"/>
  <c r="N677" i="3"/>
  <c r="O677" i="3"/>
  <c r="P677" i="3"/>
  <c r="Q677" i="3"/>
  <c r="R677" i="3"/>
  <c r="S677" i="3"/>
  <c r="T677" i="3"/>
  <c r="U677" i="3"/>
  <c r="V677" i="3"/>
  <c r="W677" i="3"/>
  <c r="X677" i="3"/>
  <c r="Y677" i="3"/>
  <c r="Z677" i="3"/>
  <c r="AA677" i="3"/>
  <c r="AB677" i="3"/>
  <c r="AC677" i="3"/>
  <c r="AD677" i="3"/>
  <c r="AE677" i="3"/>
  <c r="AF677" i="3"/>
  <c r="AG677" i="3"/>
  <c r="AH677" i="3"/>
  <c r="AI677" i="3"/>
  <c r="AJ677" i="3"/>
  <c r="AK677" i="3"/>
  <c r="AL677" i="3"/>
  <c r="AM677" i="3"/>
  <c r="AN677" i="3"/>
  <c r="A678" i="3"/>
  <c r="B678" i="3"/>
  <c r="C678" i="3"/>
  <c r="D678" i="3"/>
  <c r="E678" i="3"/>
  <c r="F678" i="3"/>
  <c r="G678" i="3"/>
  <c r="H678" i="3"/>
  <c r="I678" i="3"/>
  <c r="J678" i="3"/>
  <c r="K678" i="3"/>
  <c r="L678" i="3"/>
  <c r="M678" i="3"/>
  <c r="N678" i="3"/>
  <c r="O678" i="3"/>
  <c r="P678" i="3"/>
  <c r="Q678" i="3"/>
  <c r="R678" i="3"/>
  <c r="S678" i="3"/>
  <c r="T678" i="3"/>
  <c r="U678" i="3"/>
  <c r="V678" i="3"/>
  <c r="W678" i="3"/>
  <c r="X678" i="3"/>
  <c r="Y678" i="3"/>
  <c r="Z678" i="3"/>
  <c r="AA678" i="3"/>
  <c r="AB678" i="3"/>
  <c r="AC678" i="3"/>
  <c r="AD678" i="3"/>
  <c r="AE678" i="3"/>
  <c r="AF678" i="3"/>
  <c r="AG678" i="3"/>
  <c r="AH678" i="3"/>
  <c r="AI678" i="3"/>
  <c r="AJ678" i="3"/>
  <c r="AK678" i="3"/>
  <c r="AL678" i="3"/>
  <c r="AM678" i="3"/>
  <c r="AN678" i="3"/>
  <c r="A679" i="3"/>
  <c r="B679" i="3"/>
  <c r="C679" i="3"/>
  <c r="D679" i="3"/>
  <c r="E679" i="3"/>
  <c r="F679" i="3"/>
  <c r="G679" i="3"/>
  <c r="H679" i="3"/>
  <c r="I679" i="3"/>
  <c r="J679" i="3"/>
  <c r="K679" i="3"/>
  <c r="L679" i="3"/>
  <c r="M679" i="3"/>
  <c r="N679" i="3"/>
  <c r="O679" i="3"/>
  <c r="P679" i="3"/>
  <c r="Q679" i="3"/>
  <c r="R679" i="3"/>
  <c r="S679" i="3"/>
  <c r="T679" i="3"/>
  <c r="U679" i="3"/>
  <c r="V679" i="3"/>
  <c r="W679" i="3"/>
  <c r="X679" i="3"/>
  <c r="Y679" i="3"/>
  <c r="Z679" i="3"/>
  <c r="AA679" i="3"/>
  <c r="AB679" i="3"/>
  <c r="AC679" i="3"/>
  <c r="AD679" i="3"/>
  <c r="AE679" i="3"/>
  <c r="AF679" i="3"/>
  <c r="AG679" i="3"/>
  <c r="AH679" i="3"/>
  <c r="AI679" i="3"/>
  <c r="AJ679" i="3"/>
  <c r="AK679" i="3"/>
  <c r="AL679" i="3"/>
  <c r="AM679" i="3"/>
  <c r="AN679" i="3"/>
  <c r="A680" i="3"/>
  <c r="B680" i="3"/>
  <c r="C680" i="3"/>
  <c r="D680" i="3"/>
  <c r="E680" i="3"/>
  <c r="F680" i="3"/>
  <c r="G680" i="3"/>
  <c r="H680" i="3"/>
  <c r="I680" i="3"/>
  <c r="J680" i="3"/>
  <c r="K680" i="3"/>
  <c r="L680" i="3"/>
  <c r="M680" i="3"/>
  <c r="N680" i="3"/>
  <c r="O680" i="3"/>
  <c r="P680" i="3"/>
  <c r="Q680" i="3"/>
  <c r="R680" i="3"/>
  <c r="S680" i="3"/>
  <c r="T680" i="3"/>
  <c r="U680" i="3"/>
  <c r="V680" i="3"/>
  <c r="W680" i="3"/>
  <c r="X680" i="3"/>
  <c r="Y680" i="3"/>
  <c r="Z680" i="3"/>
  <c r="AA680" i="3"/>
  <c r="AB680" i="3"/>
  <c r="AC680" i="3"/>
  <c r="AD680" i="3"/>
  <c r="AE680" i="3"/>
  <c r="AF680" i="3"/>
  <c r="AG680" i="3"/>
  <c r="AH680" i="3"/>
  <c r="AI680" i="3"/>
  <c r="AJ680" i="3"/>
  <c r="AK680" i="3"/>
  <c r="AL680" i="3"/>
  <c r="AM680" i="3"/>
  <c r="AN680" i="3"/>
  <c r="A681" i="3"/>
  <c r="B681" i="3"/>
  <c r="C681" i="3"/>
  <c r="D681" i="3"/>
  <c r="E681" i="3"/>
  <c r="F681" i="3"/>
  <c r="G681" i="3"/>
  <c r="H681" i="3"/>
  <c r="I681" i="3"/>
  <c r="J681" i="3"/>
  <c r="K681" i="3"/>
  <c r="L681" i="3"/>
  <c r="M681" i="3"/>
  <c r="N681" i="3"/>
  <c r="O681" i="3"/>
  <c r="P681" i="3"/>
  <c r="Q681" i="3"/>
  <c r="R681" i="3"/>
  <c r="S681" i="3"/>
  <c r="T681" i="3"/>
  <c r="U681" i="3"/>
  <c r="V681" i="3"/>
  <c r="W681" i="3"/>
  <c r="X681" i="3"/>
  <c r="Y681" i="3"/>
  <c r="Z681" i="3"/>
  <c r="AA681" i="3"/>
  <c r="AB681" i="3"/>
  <c r="AC681" i="3"/>
  <c r="AD681" i="3"/>
  <c r="AE681" i="3"/>
  <c r="AF681" i="3"/>
  <c r="AG681" i="3"/>
  <c r="AH681" i="3"/>
  <c r="AI681" i="3"/>
  <c r="AJ681" i="3"/>
  <c r="AK681" i="3"/>
  <c r="AL681" i="3"/>
  <c r="AM681" i="3"/>
  <c r="AN681" i="3"/>
  <c r="A682" i="3"/>
  <c r="B682" i="3"/>
  <c r="C682" i="3"/>
  <c r="D682" i="3"/>
  <c r="E682" i="3"/>
  <c r="F682" i="3"/>
  <c r="G682" i="3"/>
  <c r="H682" i="3"/>
  <c r="I682" i="3"/>
  <c r="J682" i="3"/>
  <c r="K682" i="3"/>
  <c r="L682" i="3"/>
  <c r="M682" i="3"/>
  <c r="N682" i="3"/>
  <c r="O682" i="3"/>
  <c r="P682" i="3"/>
  <c r="Q682" i="3"/>
  <c r="R682" i="3"/>
  <c r="S682" i="3"/>
  <c r="T682" i="3"/>
  <c r="U682" i="3"/>
  <c r="V682" i="3"/>
  <c r="W682" i="3"/>
  <c r="X682" i="3"/>
  <c r="Y682" i="3"/>
  <c r="Z682" i="3"/>
  <c r="AA682" i="3"/>
  <c r="AB682" i="3"/>
  <c r="AC682" i="3"/>
  <c r="AD682" i="3"/>
  <c r="AE682" i="3"/>
  <c r="AF682" i="3"/>
  <c r="AG682" i="3"/>
  <c r="AH682" i="3"/>
  <c r="AI682" i="3"/>
  <c r="AJ682" i="3"/>
  <c r="AK682" i="3"/>
  <c r="AL682" i="3"/>
  <c r="AM682" i="3"/>
  <c r="AN682" i="3"/>
  <c r="A683" i="3"/>
  <c r="B683" i="3"/>
  <c r="C683" i="3"/>
  <c r="D683" i="3"/>
  <c r="E683" i="3"/>
  <c r="F683" i="3"/>
  <c r="G683" i="3"/>
  <c r="H683" i="3"/>
  <c r="I683" i="3"/>
  <c r="J683" i="3"/>
  <c r="K683" i="3"/>
  <c r="L683" i="3"/>
  <c r="M683" i="3"/>
  <c r="N683" i="3"/>
  <c r="O683" i="3"/>
  <c r="P683" i="3"/>
  <c r="Q683" i="3"/>
  <c r="R683" i="3"/>
  <c r="S683" i="3"/>
  <c r="T683" i="3"/>
  <c r="U683" i="3"/>
  <c r="V683" i="3"/>
  <c r="W683" i="3"/>
  <c r="X683" i="3"/>
  <c r="Y683" i="3"/>
  <c r="Z683" i="3"/>
  <c r="AA683" i="3"/>
  <c r="AB683" i="3"/>
  <c r="AC683" i="3"/>
  <c r="AD683" i="3"/>
  <c r="AE683" i="3"/>
  <c r="AF683" i="3"/>
  <c r="AG683" i="3"/>
  <c r="AH683" i="3"/>
  <c r="AI683" i="3"/>
  <c r="AJ683" i="3"/>
  <c r="AK683" i="3"/>
  <c r="AL683" i="3"/>
  <c r="AM683" i="3"/>
  <c r="AN683" i="3"/>
  <c r="A684" i="3"/>
  <c r="B684" i="3"/>
  <c r="C684" i="3"/>
  <c r="D684" i="3"/>
  <c r="E684" i="3"/>
  <c r="F684" i="3"/>
  <c r="G684" i="3"/>
  <c r="H684" i="3"/>
  <c r="I684" i="3"/>
  <c r="J684" i="3"/>
  <c r="K684" i="3"/>
  <c r="L684" i="3"/>
  <c r="M684" i="3"/>
  <c r="N684" i="3"/>
  <c r="O684" i="3"/>
  <c r="P684" i="3"/>
  <c r="Q684" i="3"/>
  <c r="R684" i="3"/>
  <c r="S684" i="3"/>
  <c r="T684" i="3"/>
  <c r="U684" i="3"/>
  <c r="V684" i="3"/>
  <c r="W684" i="3"/>
  <c r="X684" i="3"/>
  <c r="Y684" i="3"/>
  <c r="Z684" i="3"/>
  <c r="AA684" i="3"/>
  <c r="AB684" i="3"/>
  <c r="AC684" i="3"/>
  <c r="AD684" i="3"/>
  <c r="AE684" i="3"/>
  <c r="AF684" i="3"/>
  <c r="AG684" i="3"/>
  <c r="AH684" i="3"/>
  <c r="AI684" i="3"/>
  <c r="AJ684" i="3"/>
  <c r="AK684" i="3"/>
  <c r="AL684" i="3"/>
  <c r="AM684" i="3"/>
  <c r="AN684" i="3"/>
  <c r="A685" i="3"/>
  <c r="B685" i="3"/>
  <c r="C685" i="3"/>
  <c r="D685" i="3"/>
  <c r="E685" i="3"/>
  <c r="F685" i="3"/>
  <c r="G685" i="3"/>
  <c r="H685" i="3"/>
  <c r="I685" i="3"/>
  <c r="J685" i="3"/>
  <c r="K685" i="3"/>
  <c r="L685" i="3"/>
  <c r="M685" i="3"/>
  <c r="N685" i="3"/>
  <c r="O685" i="3"/>
  <c r="P685" i="3"/>
  <c r="Q685" i="3"/>
  <c r="R685" i="3"/>
  <c r="S685" i="3"/>
  <c r="T685" i="3"/>
  <c r="U685" i="3"/>
  <c r="V685" i="3"/>
  <c r="W685" i="3"/>
  <c r="X685" i="3"/>
  <c r="Y685" i="3"/>
  <c r="Z685" i="3"/>
  <c r="AA685" i="3"/>
  <c r="AB685" i="3"/>
  <c r="AC685" i="3"/>
  <c r="AD685" i="3"/>
  <c r="AE685" i="3"/>
  <c r="AF685" i="3"/>
  <c r="AG685" i="3"/>
  <c r="AH685" i="3"/>
  <c r="AI685" i="3"/>
  <c r="AJ685" i="3"/>
  <c r="AK685" i="3"/>
  <c r="AL685" i="3"/>
  <c r="AM685" i="3"/>
  <c r="AN685" i="3"/>
  <c r="A686" i="3"/>
  <c r="B686" i="3"/>
  <c r="C686" i="3"/>
  <c r="D686" i="3"/>
  <c r="E686" i="3"/>
  <c r="F686" i="3"/>
  <c r="G686" i="3"/>
  <c r="H686" i="3"/>
  <c r="I686" i="3"/>
  <c r="J686" i="3"/>
  <c r="K686" i="3"/>
  <c r="L686" i="3"/>
  <c r="M686" i="3"/>
  <c r="N686" i="3"/>
  <c r="O686" i="3"/>
  <c r="P686" i="3"/>
  <c r="Q686" i="3"/>
  <c r="R686" i="3"/>
  <c r="S686" i="3"/>
  <c r="T686" i="3"/>
  <c r="U686" i="3"/>
  <c r="V686" i="3"/>
  <c r="W686" i="3"/>
  <c r="X686" i="3"/>
  <c r="Y686" i="3"/>
  <c r="Z686" i="3"/>
  <c r="AA686" i="3"/>
  <c r="AB686" i="3"/>
  <c r="AC686" i="3"/>
  <c r="AD686" i="3"/>
  <c r="AE686" i="3"/>
  <c r="AF686" i="3"/>
  <c r="AG686" i="3"/>
  <c r="AH686" i="3"/>
  <c r="AI686" i="3"/>
  <c r="AJ686" i="3"/>
  <c r="AK686" i="3"/>
  <c r="AL686" i="3"/>
  <c r="AM686" i="3"/>
  <c r="AN686" i="3"/>
  <c r="A687" i="3"/>
  <c r="B687" i="3"/>
  <c r="C687" i="3"/>
  <c r="D687" i="3"/>
  <c r="E687" i="3"/>
  <c r="F687" i="3"/>
  <c r="G687" i="3"/>
  <c r="H687" i="3"/>
  <c r="I687" i="3"/>
  <c r="J687" i="3"/>
  <c r="K687" i="3"/>
  <c r="L687" i="3"/>
  <c r="M687" i="3"/>
  <c r="N687" i="3"/>
  <c r="O687" i="3"/>
  <c r="P687" i="3"/>
  <c r="Q687" i="3"/>
  <c r="R687" i="3"/>
  <c r="S687" i="3"/>
  <c r="T687" i="3"/>
  <c r="U687" i="3"/>
  <c r="V687" i="3"/>
  <c r="W687" i="3"/>
  <c r="X687" i="3"/>
  <c r="Y687" i="3"/>
  <c r="Z687" i="3"/>
  <c r="AA687" i="3"/>
  <c r="AB687" i="3"/>
  <c r="AC687" i="3"/>
  <c r="AD687" i="3"/>
  <c r="AE687" i="3"/>
  <c r="AF687" i="3"/>
  <c r="AG687" i="3"/>
  <c r="AH687" i="3"/>
  <c r="AI687" i="3"/>
  <c r="AJ687" i="3"/>
  <c r="AK687" i="3"/>
  <c r="AL687" i="3"/>
  <c r="AM687" i="3"/>
  <c r="AN687" i="3"/>
  <c r="A688" i="3"/>
  <c r="B688" i="3"/>
  <c r="C688" i="3"/>
  <c r="D688" i="3"/>
  <c r="E688" i="3"/>
  <c r="F688" i="3"/>
  <c r="G688" i="3"/>
  <c r="H688" i="3"/>
  <c r="I688" i="3"/>
  <c r="J688" i="3"/>
  <c r="K688" i="3"/>
  <c r="L688" i="3"/>
  <c r="M688" i="3"/>
  <c r="N688" i="3"/>
  <c r="O688" i="3"/>
  <c r="P688" i="3"/>
  <c r="Q688" i="3"/>
  <c r="R688" i="3"/>
  <c r="S688" i="3"/>
  <c r="T688" i="3"/>
  <c r="U688" i="3"/>
  <c r="V688" i="3"/>
  <c r="W688" i="3"/>
  <c r="X688" i="3"/>
  <c r="Y688" i="3"/>
  <c r="Z688" i="3"/>
  <c r="AA688" i="3"/>
  <c r="AB688" i="3"/>
  <c r="AC688" i="3"/>
  <c r="AD688" i="3"/>
  <c r="AE688" i="3"/>
  <c r="AF688" i="3"/>
  <c r="AG688" i="3"/>
  <c r="AH688" i="3"/>
  <c r="AI688" i="3"/>
  <c r="AJ688" i="3"/>
  <c r="AK688" i="3"/>
  <c r="AL688" i="3"/>
  <c r="AM688" i="3"/>
  <c r="AN688" i="3"/>
  <c r="A689" i="3"/>
  <c r="B689" i="3"/>
  <c r="C689" i="3"/>
  <c r="D689" i="3"/>
  <c r="E689" i="3"/>
  <c r="F689" i="3"/>
  <c r="G689" i="3"/>
  <c r="H689" i="3"/>
  <c r="I689" i="3"/>
  <c r="J689" i="3"/>
  <c r="K689" i="3"/>
  <c r="L689" i="3"/>
  <c r="M689" i="3"/>
  <c r="N689" i="3"/>
  <c r="O689" i="3"/>
  <c r="P689" i="3"/>
  <c r="Q689" i="3"/>
  <c r="R689" i="3"/>
  <c r="S689" i="3"/>
  <c r="T689" i="3"/>
  <c r="U689" i="3"/>
  <c r="V689" i="3"/>
  <c r="W689" i="3"/>
  <c r="X689" i="3"/>
  <c r="Y689" i="3"/>
  <c r="Z689" i="3"/>
  <c r="AA689" i="3"/>
  <c r="AB689" i="3"/>
  <c r="AC689" i="3"/>
  <c r="AD689" i="3"/>
  <c r="AE689" i="3"/>
  <c r="AF689" i="3"/>
  <c r="AG689" i="3"/>
  <c r="AH689" i="3"/>
  <c r="AI689" i="3"/>
  <c r="AJ689" i="3"/>
  <c r="AK689" i="3"/>
  <c r="AL689" i="3"/>
  <c r="AM689" i="3"/>
  <c r="AN689" i="3"/>
  <c r="A690" i="3"/>
  <c r="B690" i="3"/>
  <c r="C690" i="3"/>
  <c r="D690" i="3"/>
  <c r="E690" i="3"/>
  <c r="F690" i="3"/>
  <c r="G690" i="3"/>
  <c r="H690" i="3"/>
  <c r="I690" i="3"/>
  <c r="J690" i="3"/>
  <c r="K690" i="3"/>
  <c r="L690" i="3"/>
  <c r="M690" i="3"/>
  <c r="N690" i="3"/>
  <c r="O690" i="3"/>
  <c r="P690" i="3"/>
  <c r="Q690" i="3"/>
  <c r="R690" i="3"/>
  <c r="S690" i="3"/>
  <c r="T690" i="3"/>
  <c r="U690" i="3"/>
  <c r="V690" i="3"/>
  <c r="W690" i="3"/>
  <c r="X690" i="3"/>
  <c r="Y690" i="3"/>
  <c r="Z690" i="3"/>
  <c r="AA690" i="3"/>
  <c r="AB690" i="3"/>
  <c r="AC690" i="3"/>
  <c r="AD690" i="3"/>
  <c r="AE690" i="3"/>
  <c r="AF690" i="3"/>
  <c r="AG690" i="3"/>
  <c r="AH690" i="3"/>
  <c r="AI690" i="3"/>
  <c r="AJ690" i="3"/>
  <c r="AK690" i="3"/>
  <c r="AL690" i="3"/>
  <c r="AM690" i="3"/>
  <c r="AN690" i="3"/>
  <c r="A691" i="3"/>
  <c r="B691" i="3"/>
  <c r="C691" i="3"/>
  <c r="D691" i="3"/>
  <c r="E691" i="3"/>
  <c r="F691" i="3"/>
  <c r="G691" i="3"/>
  <c r="H691" i="3"/>
  <c r="I691" i="3"/>
  <c r="J691" i="3"/>
  <c r="K691" i="3"/>
  <c r="L691" i="3"/>
  <c r="M691" i="3"/>
  <c r="N691" i="3"/>
  <c r="O691" i="3"/>
  <c r="P691" i="3"/>
  <c r="Q691" i="3"/>
  <c r="R691" i="3"/>
  <c r="S691" i="3"/>
  <c r="T691" i="3"/>
  <c r="U691" i="3"/>
  <c r="V691" i="3"/>
  <c r="W691" i="3"/>
  <c r="X691" i="3"/>
  <c r="Y691" i="3"/>
  <c r="Z691" i="3"/>
  <c r="AA691" i="3"/>
  <c r="AB691" i="3"/>
  <c r="AC691" i="3"/>
  <c r="AD691" i="3"/>
  <c r="AE691" i="3"/>
  <c r="AF691" i="3"/>
  <c r="AG691" i="3"/>
  <c r="AH691" i="3"/>
  <c r="AI691" i="3"/>
  <c r="AJ691" i="3"/>
  <c r="AK691" i="3"/>
  <c r="AL691" i="3"/>
  <c r="AM691" i="3"/>
  <c r="AN691" i="3"/>
  <c r="A692" i="3"/>
  <c r="B692" i="3"/>
  <c r="C692" i="3"/>
  <c r="D692" i="3"/>
  <c r="E692" i="3"/>
  <c r="F692" i="3"/>
  <c r="G692" i="3"/>
  <c r="H692" i="3"/>
  <c r="I692" i="3"/>
  <c r="J692" i="3"/>
  <c r="K692" i="3"/>
  <c r="L692" i="3"/>
  <c r="M692" i="3"/>
  <c r="N692" i="3"/>
  <c r="O692" i="3"/>
  <c r="P692" i="3"/>
  <c r="Q692" i="3"/>
  <c r="R692" i="3"/>
  <c r="S692" i="3"/>
  <c r="T692" i="3"/>
  <c r="U692" i="3"/>
  <c r="V692" i="3"/>
  <c r="W692" i="3"/>
  <c r="X692" i="3"/>
  <c r="Y692" i="3"/>
  <c r="Z692" i="3"/>
  <c r="AA692" i="3"/>
  <c r="AB692" i="3"/>
  <c r="AC692" i="3"/>
  <c r="AD692" i="3"/>
  <c r="AE692" i="3"/>
  <c r="AF692" i="3"/>
  <c r="AG692" i="3"/>
  <c r="AH692" i="3"/>
  <c r="AI692" i="3"/>
  <c r="AJ692" i="3"/>
  <c r="AK692" i="3"/>
  <c r="AL692" i="3"/>
  <c r="AM692" i="3"/>
  <c r="AN692" i="3"/>
  <c r="A693" i="3"/>
  <c r="B693" i="3"/>
  <c r="C693" i="3"/>
  <c r="D693" i="3"/>
  <c r="E693" i="3"/>
  <c r="F693" i="3"/>
  <c r="G693" i="3"/>
  <c r="H693" i="3"/>
  <c r="I693" i="3"/>
  <c r="J693" i="3"/>
  <c r="K693" i="3"/>
  <c r="L693" i="3"/>
  <c r="M693" i="3"/>
  <c r="N693" i="3"/>
  <c r="O693" i="3"/>
  <c r="P693" i="3"/>
  <c r="Q693" i="3"/>
  <c r="R693" i="3"/>
  <c r="S693" i="3"/>
  <c r="T693" i="3"/>
  <c r="U693" i="3"/>
  <c r="V693" i="3"/>
  <c r="W693" i="3"/>
  <c r="X693" i="3"/>
  <c r="Y693" i="3"/>
  <c r="Z693" i="3"/>
  <c r="AA693" i="3"/>
  <c r="AB693" i="3"/>
  <c r="AC693" i="3"/>
  <c r="AD693" i="3"/>
  <c r="AE693" i="3"/>
  <c r="AF693" i="3"/>
  <c r="AG693" i="3"/>
  <c r="AH693" i="3"/>
  <c r="AI693" i="3"/>
  <c r="AJ693" i="3"/>
  <c r="AK693" i="3"/>
  <c r="AL693" i="3"/>
  <c r="AM693" i="3"/>
  <c r="AN693" i="3"/>
  <c r="A694" i="3"/>
  <c r="B694" i="3"/>
  <c r="C694" i="3"/>
  <c r="D694" i="3"/>
  <c r="E694" i="3"/>
  <c r="F694" i="3"/>
  <c r="G694" i="3"/>
  <c r="H694" i="3"/>
  <c r="I694" i="3"/>
  <c r="J694" i="3"/>
  <c r="K694" i="3"/>
  <c r="L694" i="3"/>
  <c r="M694" i="3"/>
  <c r="N694" i="3"/>
  <c r="O694" i="3"/>
  <c r="P694" i="3"/>
  <c r="Q694" i="3"/>
  <c r="R694" i="3"/>
  <c r="S694" i="3"/>
  <c r="T694" i="3"/>
  <c r="U694" i="3"/>
  <c r="V694" i="3"/>
  <c r="W694" i="3"/>
  <c r="X694" i="3"/>
  <c r="Y694" i="3"/>
  <c r="Z694" i="3"/>
  <c r="AA694" i="3"/>
  <c r="AB694" i="3"/>
  <c r="AC694" i="3"/>
  <c r="AD694" i="3"/>
  <c r="AE694" i="3"/>
  <c r="AF694" i="3"/>
  <c r="AG694" i="3"/>
  <c r="AH694" i="3"/>
  <c r="AI694" i="3"/>
  <c r="AJ694" i="3"/>
  <c r="AK694" i="3"/>
  <c r="AL694" i="3"/>
  <c r="AM694" i="3"/>
  <c r="AN694" i="3"/>
  <c r="A695" i="3"/>
  <c r="B695" i="3"/>
  <c r="C695" i="3"/>
  <c r="D695" i="3"/>
  <c r="E695" i="3"/>
  <c r="F695" i="3"/>
  <c r="G695" i="3"/>
  <c r="H695" i="3"/>
  <c r="I695" i="3"/>
  <c r="J695" i="3"/>
  <c r="K695" i="3"/>
  <c r="L695" i="3"/>
  <c r="M695" i="3"/>
  <c r="N695" i="3"/>
  <c r="O695" i="3"/>
  <c r="P695" i="3"/>
  <c r="Q695" i="3"/>
  <c r="R695" i="3"/>
  <c r="S695" i="3"/>
  <c r="T695" i="3"/>
  <c r="U695" i="3"/>
  <c r="V695" i="3"/>
  <c r="W695" i="3"/>
  <c r="X695" i="3"/>
  <c r="Y695" i="3"/>
  <c r="Z695" i="3"/>
  <c r="AA695" i="3"/>
  <c r="AB695" i="3"/>
  <c r="AC695" i="3"/>
  <c r="AD695" i="3"/>
  <c r="AE695" i="3"/>
  <c r="AF695" i="3"/>
  <c r="AG695" i="3"/>
  <c r="AH695" i="3"/>
  <c r="AI695" i="3"/>
  <c r="AJ695" i="3"/>
  <c r="AK695" i="3"/>
  <c r="AL695" i="3"/>
  <c r="AM695" i="3"/>
  <c r="AN695" i="3"/>
  <c r="A696" i="3"/>
  <c r="B696" i="3"/>
  <c r="C696" i="3"/>
  <c r="D696" i="3"/>
  <c r="E696" i="3"/>
  <c r="F696" i="3"/>
  <c r="G696" i="3"/>
  <c r="H696" i="3"/>
  <c r="I696" i="3"/>
  <c r="J696" i="3"/>
  <c r="K696" i="3"/>
  <c r="L696" i="3"/>
  <c r="M696" i="3"/>
  <c r="N696" i="3"/>
  <c r="O696" i="3"/>
  <c r="P696" i="3"/>
  <c r="Q696" i="3"/>
  <c r="R696" i="3"/>
  <c r="S696" i="3"/>
  <c r="T696" i="3"/>
  <c r="U696" i="3"/>
  <c r="V696" i="3"/>
  <c r="W696" i="3"/>
  <c r="X696" i="3"/>
  <c r="Y696" i="3"/>
  <c r="Z696" i="3"/>
  <c r="AA696" i="3"/>
  <c r="AB696" i="3"/>
  <c r="AC696" i="3"/>
  <c r="AD696" i="3"/>
  <c r="AE696" i="3"/>
  <c r="AF696" i="3"/>
  <c r="AG696" i="3"/>
  <c r="AH696" i="3"/>
  <c r="AI696" i="3"/>
  <c r="AJ696" i="3"/>
  <c r="AK696" i="3"/>
  <c r="AL696" i="3"/>
  <c r="AM696" i="3"/>
  <c r="AN696" i="3"/>
  <c r="A697" i="3"/>
  <c r="B697" i="3"/>
  <c r="C697" i="3"/>
  <c r="D697" i="3"/>
  <c r="E697" i="3"/>
  <c r="F697" i="3"/>
  <c r="G697" i="3"/>
  <c r="H697" i="3"/>
  <c r="I697" i="3"/>
  <c r="J697" i="3"/>
  <c r="K697" i="3"/>
  <c r="L697" i="3"/>
  <c r="M697" i="3"/>
  <c r="N697" i="3"/>
  <c r="O697" i="3"/>
  <c r="P697" i="3"/>
  <c r="Q697" i="3"/>
  <c r="R697" i="3"/>
  <c r="S697" i="3"/>
  <c r="T697" i="3"/>
  <c r="U697" i="3"/>
  <c r="V697" i="3"/>
  <c r="W697" i="3"/>
  <c r="X697" i="3"/>
  <c r="Y697" i="3"/>
  <c r="Z697" i="3"/>
  <c r="AA697" i="3"/>
  <c r="AB697" i="3"/>
  <c r="AC697" i="3"/>
  <c r="AD697" i="3"/>
  <c r="AE697" i="3"/>
  <c r="AF697" i="3"/>
  <c r="AG697" i="3"/>
  <c r="AH697" i="3"/>
  <c r="AI697" i="3"/>
  <c r="AJ697" i="3"/>
  <c r="AK697" i="3"/>
  <c r="AL697" i="3"/>
  <c r="AM697" i="3"/>
  <c r="AN697" i="3"/>
  <c r="A698" i="3"/>
  <c r="B698" i="3"/>
  <c r="C698" i="3"/>
  <c r="D698" i="3"/>
  <c r="E698" i="3"/>
  <c r="F698" i="3"/>
  <c r="G698" i="3"/>
  <c r="H698" i="3"/>
  <c r="I698" i="3"/>
  <c r="J698" i="3"/>
  <c r="K698" i="3"/>
  <c r="L698" i="3"/>
  <c r="M698" i="3"/>
  <c r="N698" i="3"/>
  <c r="O698" i="3"/>
  <c r="P698" i="3"/>
  <c r="Q698" i="3"/>
  <c r="R698" i="3"/>
  <c r="S698" i="3"/>
  <c r="T698" i="3"/>
  <c r="U698" i="3"/>
  <c r="V698" i="3"/>
  <c r="W698" i="3"/>
  <c r="X698" i="3"/>
  <c r="Y698" i="3"/>
  <c r="Z698" i="3"/>
  <c r="AA698" i="3"/>
  <c r="AB698" i="3"/>
  <c r="AC698" i="3"/>
  <c r="AD698" i="3"/>
  <c r="AE698" i="3"/>
  <c r="AF698" i="3"/>
  <c r="AG698" i="3"/>
  <c r="AH698" i="3"/>
  <c r="AI698" i="3"/>
  <c r="AJ698" i="3"/>
  <c r="AK698" i="3"/>
  <c r="AL698" i="3"/>
  <c r="AM698" i="3"/>
  <c r="AN698" i="3"/>
  <c r="A699" i="3"/>
  <c r="B699" i="3"/>
  <c r="C699" i="3"/>
  <c r="D699" i="3"/>
  <c r="E699" i="3"/>
  <c r="F699" i="3"/>
  <c r="G699" i="3"/>
  <c r="H699" i="3"/>
  <c r="I699" i="3"/>
  <c r="J699" i="3"/>
  <c r="K699" i="3"/>
  <c r="L699" i="3"/>
  <c r="M699" i="3"/>
  <c r="N699" i="3"/>
  <c r="O699" i="3"/>
  <c r="P699" i="3"/>
  <c r="Q699" i="3"/>
  <c r="R699" i="3"/>
  <c r="S699" i="3"/>
  <c r="T699" i="3"/>
  <c r="U699" i="3"/>
  <c r="V699" i="3"/>
  <c r="W699" i="3"/>
  <c r="X699" i="3"/>
  <c r="Y699" i="3"/>
  <c r="Z699" i="3"/>
  <c r="AA699" i="3"/>
  <c r="AB699" i="3"/>
  <c r="AC699" i="3"/>
  <c r="AD699" i="3"/>
  <c r="AE699" i="3"/>
  <c r="AF699" i="3"/>
  <c r="AG699" i="3"/>
  <c r="AH699" i="3"/>
  <c r="AI699" i="3"/>
  <c r="AJ699" i="3"/>
  <c r="AK699" i="3"/>
  <c r="AL699" i="3"/>
  <c r="AM699" i="3"/>
  <c r="AN699" i="3"/>
  <c r="A700" i="3"/>
  <c r="B700" i="3"/>
  <c r="C700" i="3"/>
  <c r="D700" i="3"/>
  <c r="E700" i="3"/>
  <c r="F700" i="3"/>
  <c r="G700" i="3"/>
  <c r="H700" i="3"/>
  <c r="I700" i="3"/>
  <c r="J700" i="3"/>
  <c r="K700" i="3"/>
  <c r="L700" i="3"/>
  <c r="M700" i="3"/>
  <c r="N700" i="3"/>
  <c r="O700" i="3"/>
  <c r="P700" i="3"/>
  <c r="Q700" i="3"/>
  <c r="R700" i="3"/>
  <c r="S700" i="3"/>
  <c r="T700" i="3"/>
  <c r="U700" i="3"/>
  <c r="V700" i="3"/>
  <c r="W700" i="3"/>
  <c r="X700" i="3"/>
  <c r="Y700" i="3"/>
  <c r="Z700" i="3"/>
  <c r="AA700" i="3"/>
  <c r="AB700" i="3"/>
  <c r="AC700" i="3"/>
  <c r="AD700" i="3"/>
  <c r="AE700" i="3"/>
  <c r="AF700" i="3"/>
  <c r="AG700" i="3"/>
  <c r="AH700" i="3"/>
  <c r="AI700" i="3"/>
  <c r="AJ700" i="3"/>
  <c r="AK700" i="3"/>
  <c r="AL700" i="3"/>
  <c r="AM700" i="3"/>
  <c r="AN700" i="3"/>
  <c r="A701" i="3"/>
  <c r="B701" i="3"/>
  <c r="C701" i="3"/>
  <c r="D701" i="3"/>
  <c r="E701" i="3"/>
  <c r="F701" i="3"/>
  <c r="G701" i="3"/>
  <c r="H701" i="3"/>
  <c r="I701" i="3"/>
  <c r="J701" i="3"/>
  <c r="K701" i="3"/>
  <c r="L701" i="3"/>
  <c r="M701" i="3"/>
  <c r="N701" i="3"/>
  <c r="O701" i="3"/>
  <c r="P701" i="3"/>
  <c r="Q701" i="3"/>
  <c r="R701" i="3"/>
  <c r="S701" i="3"/>
  <c r="T701" i="3"/>
  <c r="U701" i="3"/>
  <c r="V701" i="3"/>
  <c r="W701" i="3"/>
  <c r="X701" i="3"/>
  <c r="Y701" i="3"/>
  <c r="Z701" i="3"/>
  <c r="AA701" i="3"/>
  <c r="AB701" i="3"/>
  <c r="AC701" i="3"/>
  <c r="AD701" i="3"/>
  <c r="AE701" i="3"/>
  <c r="AF701" i="3"/>
  <c r="AG701" i="3"/>
  <c r="AH701" i="3"/>
  <c r="AI701" i="3"/>
  <c r="AJ701" i="3"/>
  <c r="AK701" i="3"/>
  <c r="AL701" i="3"/>
  <c r="AM701" i="3"/>
  <c r="AN701" i="3"/>
  <c r="A702" i="3"/>
  <c r="B702" i="3"/>
  <c r="C702" i="3"/>
  <c r="D702" i="3"/>
  <c r="E702" i="3"/>
  <c r="F702" i="3"/>
  <c r="G702" i="3"/>
  <c r="H702" i="3"/>
  <c r="I702" i="3"/>
  <c r="J702" i="3"/>
  <c r="K702" i="3"/>
  <c r="L702" i="3"/>
  <c r="M702" i="3"/>
  <c r="N702" i="3"/>
  <c r="O702" i="3"/>
  <c r="P702" i="3"/>
  <c r="Q702" i="3"/>
  <c r="R702" i="3"/>
  <c r="S702" i="3"/>
  <c r="T702" i="3"/>
  <c r="U702" i="3"/>
  <c r="V702" i="3"/>
  <c r="W702" i="3"/>
  <c r="X702" i="3"/>
  <c r="Y702" i="3"/>
  <c r="Z702" i="3"/>
  <c r="AA702" i="3"/>
  <c r="AB702" i="3"/>
  <c r="AC702" i="3"/>
  <c r="AD702" i="3"/>
  <c r="AE702" i="3"/>
  <c r="AF702" i="3"/>
  <c r="AG702" i="3"/>
  <c r="AH702" i="3"/>
  <c r="AI702" i="3"/>
  <c r="AJ702" i="3"/>
  <c r="AK702" i="3"/>
  <c r="AL702" i="3"/>
  <c r="AM702" i="3"/>
  <c r="AN702" i="3"/>
  <c r="A703" i="3"/>
  <c r="B703" i="3"/>
  <c r="C703" i="3"/>
  <c r="D703" i="3"/>
  <c r="E703" i="3"/>
  <c r="F703" i="3"/>
  <c r="G703" i="3"/>
  <c r="H703" i="3"/>
  <c r="I703" i="3"/>
  <c r="J703" i="3"/>
  <c r="K703" i="3"/>
  <c r="L703" i="3"/>
  <c r="M703" i="3"/>
  <c r="N703" i="3"/>
  <c r="O703" i="3"/>
  <c r="P703" i="3"/>
  <c r="Q703" i="3"/>
  <c r="R703" i="3"/>
  <c r="S703" i="3"/>
  <c r="T703" i="3"/>
  <c r="U703" i="3"/>
  <c r="V703" i="3"/>
  <c r="W703" i="3"/>
  <c r="X703" i="3"/>
  <c r="Y703" i="3"/>
  <c r="Z703" i="3"/>
  <c r="AA703" i="3"/>
  <c r="AB703" i="3"/>
  <c r="AC703" i="3"/>
  <c r="AD703" i="3"/>
  <c r="AE703" i="3"/>
  <c r="AF703" i="3"/>
  <c r="AG703" i="3"/>
  <c r="AH703" i="3"/>
  <c r="AI703" i="3"/>
  <c r="AJ703" i="3"/>
  <c r="AK703" i="3"/>
  <c r="AL703" i="3"/>
  <c r="AM703" i="3"/>
  <c r="AN703" i="3"/>
  <c r="A704" i="3"/>
  <c r="B704" i="3"/>
  <c r="C704" i="3"/>
  <c r="D704" i="3"/>
  <c r="E704" i="3"/>
  <c r="F704" i="3"/>
  <c r="G704" i="3"/>
  <c r="H704" i="3"/>
  <c r="I704" i="3"/>
  <c r="J704" i="3"/>
  <c r="K704" i="3"/>
  <c r="L704" i="3"/>
  <c r="M704" i="3"/>
  <c r="N704" i="3"/>
  <c r="O704" i="3"/>
  <c r="P704" i="3"/>
  <c r="Q704" i="3"/>
  <c r="R704" i="3"/>
  <c r="S704" i="3"/>
  <c r="T704" i="3"/>
  <c r="U704" i="3"/>
  <c r="V704" i="3"/>
  <c r="W704" i="3"/>
  <c r="X704" i="3"/>
  <c r="Y704" i="3"/>
  <c r="Z704" i="3"/>
  <c r="AA704" i="3"/>
  <c r="AB704" i="3"/>
  <c r="AC704" i="3"/>
  <c r="AD704" i="3"/>
  <c r="AE704" i="3"/>
  <c r="AF704" i="3"/>
  <c r="AG704" i="3"/>
  <c r="AH704" i="3"/>
  <c r="AI704" i="3"/>
  <c r="AJ704" i="3"/>
  <c r="AK704" i="3"/>
  <c r="AL704" i="3"/>
  <c r="AM704" i="3"/>
  <c r="AN704" i="3"/>
  <c r="A705" i="3"/>
  <c r="B705" i="3"/>
  <c r="C705" i="3"/>
  <c r="D705" i="3"/>
  <c r="E705" i="3"/>
  <c r="F705" i="3"/>
  <c r="G705" i="3"/>
  <c r="H705" i="3"/>
  <c r="I705" i="3"/>
  <c r="J705" i="3"/>
  <c r="K705" i="3"/>
  <c r="L705" i="3"/>
  <c r="M705" i="3"/>
  <c r="N705" i="3"/>
  <c r="O705" i="3"/>
  <c r="P705" i="3"/>
  <c r="Q705" i="3"/>
  <c r="R705" i="3"/>
  <c r="S705" i="3"/>
  <c r="T705" i="3"/>
  <c r="U705" i="3"/>
  <c r="V705" i="3"/>
  <c r="W705" i="3"/>
  <c r="X705" i="3"/>
  <c r="Y705" i="3"/>
  <c r="Z705" i="3"/>
  <c r="AA705" i="3"/>
  <c r="AB705" i="3"/>
  <c r="AC705" i="3"/>
  <c r="AD705" i="3"/>
  <c r="AE705" i="3"/>
  <c r="AF705" i="3"/>
  <c r="AG705" i="3"/>
  <c r="AH705" i="3"/>
  <c r="AI705" i="3"/>
  <c r="AJ705" i="3"/>
  <c r="AK705" i="3"/>
  <c r="AL705" i="3"/>
  <c r="AM705" i="3"/>
  <c r="AN705" i="3"/>
  <c r="A706" i="3"/>
  <c r="B706" i="3"/>
  <c r="C706" i="3"/>
  <c r="D706" i="3"/>
  <c r="E706" i="3"/>
  <c r="F706" i="3"/>
  <c r="G706" i="3"/>
  <c r="H706" i="3"/>
  <c r="I706" i="3"/>
  <c r="J706" i="3"/>
  <c r="K706" i="3"/>
  <c r="L706" i="3"/>
  <c r="M706" i="3"/>
  <c r="N706" i="3"/>
  <c r="O706" i="3"/>
  <c r="P706" i="3"/>
  <c r="Q706" i="3"/>
  <c r="R706" i="3"/>
  <c r="S706" i="3"/>
  <c r="T706" i="3"/>
  <c r="U706" i="3"/>
  <c r="V706" i="3"/>
  <c r="W706" i="3"/>
  <c r="X706" i="3"/>
  <c r="Y706" i="3"/>
  <c r="Z706" i="3"/>
  <c r="AA706" i="3"/>
  <c r="AB706" i="3"/>
  <c r="AC706" i="3"/>
  <c r="AD706" i="3"/>
  <c r="AE706" i="3"/>
  <c r="AF706" i="3"/>
  <c r="AG706" i="3"/>
  <c r="AH706" i="3"/>
  <c r="AI706" i="3"/>
  <c r="AJ706" i="3"/>
  <c r="AK706" i="3"/>
  <c r="AL706" i="3"/>
  <c r="AM706" i="3"/>
  <c r="AN706" i="3"/>
  <c r="A707" i="3"/>
  <c r="B707" i="3"/>
  <c r="C707" i="3"/>
  <c r="D707" i="3"/>
  <c r="E707" i="3"/>
  <c r="F707" i="3"/>
  <c r="G707" i="3"/>
  <c r="H707" i="3"/>
  <c r="I707" i="3"/>
  <c r="J707" i="3"/>
  <c r="K707" i="3"/>
  <c r="L707" i="3"/>
  <c r="M707" i="3"/>
  <c r="N707" i="3"/>
  <c r="O707" i="3"/>
  <c r="P707" i="3"/>
  <c r="Q707" i="3"/>
  <c r="R707" i="3"/>
  <c r="S707" i="3"/>
  <c r="T707" i="3"/>
  <c r="U707" i="3"/>
  <c r="V707" i="3"/>
  <c r="W707" i="3"/>
  <c r="X707" i="3"/>
  <c r="Y707" i="3"/>
  <c r="Z707" i="3"/>
  <c r="AA707" i="3"/>
  <c r="AB707" i="3"/>
  <c r="AC707" i="3"/>
  <c r="AD707" i="3"/>
  <c r="AE707" i="3"/>
  <c r="AF707" i="3"/>
  <c r="AG707" i="3"/>
  <c r="AH707" i="3"/>
  <c r="AI707" i="3"/>
  <c r="AJ707" i="3"/>
  <c r="AK707" i="3"/>
  <c r="AL707" i="3"/>
  <c r="AM707" i="3"/>
  <c r="AN707" i="3"/>
  <c r="A708" i="3"/>
  <c r="B708" i="3"/>
  <c r="C708" i="3"/>
  <c r="D708" i="3"/>
  <c r="E708" i="3"/>
  <c r="F708" i="3"/>
  <c r="G708" i="3"/>
  <c r="H708" i="3"/>
  <c r="I708" i="3"/>
  <c r="J708" i="3"/>
  <c r="K708" i="3"/>
  <c r="L708" i="3"/>
  <c r="M708" i="3"/>
  <c r="N708" i="3"/>
  <c r="O708" i="3"/>
  <c r="P708" i="3"/>
  <c r="Q708" i="3"/>
  <c r="R708" i="3"/>
  <c r="S708" i="3"/>
  <c r="T708" i="3"/>
  <c r="U708" i="3"/>
  <c r="V708" i="3"/>
  <c r="W708" i="3"/>
  <c r="X708" i="3"/>
  <c r="Y708" i="3"/>
  <c r="Z708" i="3"/>
  <c r="AA708" i="3"/>
  <c r="AB708" i="3"/>
  <c r="AC708" i="3"/>
  <c r="AD708" i="3"/>
  <c r="AE708" i="3"/>
  <c r="AF708" i="3"/>
  <c r="AG708" i="3"/>
  <c r="AH708" i="3"/>
  <c r="AI708" i="3"/>
  <c r="AJ708" i="3"/>
  <c r="AK708" i="3"/>
  <c r="AL708" i="3"/>
  <c r="AM708" i="3"/>
  <c r="AN708" i="3"/>
  <c r="A709" i="3"/>
  <c r="B709" i="3"/>
  <c r="C709" i="3"/>
  <c r="D709" i="3"/>
  <c r="E709" i="3"/>
  <c r="F709" i="3"/>
  <c r="G709" i="3"/>
  <c r="H709" i="3"/>
  <c r="I709" i="3"/>
  <c r="J709" i="3"/>
  <c r="K709" i="3"/>
  <c r="L709" i="3"/>
  <c r="M709" i="3"/>
  <c r="N709" i="3"/>
  <c r="O709" i="3"/>
  <c r="P709" i="3"/>
  <c r="Q709" i="3"/>
  <c r="R709" i="3"/>
  <c r="S709" i="3"/>
  <c r="T709" i="3"/>
  <c r="U709" i="3"/>
  <c r="V709" i="3"/>
  <c r="W709" i="3"/>
  <c r="X709" i="3"/>
  <c r="Y709" i="3"/>
  <c r="Z709" i="3"/>
  <c r="AA709" i="3"/>
  <c r="AB709" i="3"/>
  <c r="AC709" i="3"/>
  <c r="AD709" i="3"/>
  <c r="AE709" i="3"/>
  <c r="AF709" i="3"/>
  <c r="AG709" i="3"/>
  <c r="AH709" i="3"/>
  <c r="AI709" i="3"/>
  <c r="AJ709" i="3"/>
  <c r="AK709" i="3"/>
  <c r="AL709" i="3"/>
  <c r="AM709" i="3"/>
  <c r="AN709" i="3"/>
  <c r="A710" i="3"/>
  <c r="B710" i="3"/>
  <c r="C710" i="3"/>
  <c r="D710" i="3"/>
  <c r="E710" i="3"/>
  <c r="F710" i="3"/>
  <c r="G710" i="3"/>
  <c r="H710" i="3"/>
  <c r="I710" i="3"/>
  <c r="J710" i="3"/>
  <c r="K710" i="3"/>
  <c r="L710" i="3"/>
  <c r="M710" i="3"/>
  <c r="N710" i="3"/>
  <c r="O710" i="3"/>
  <c r="P710" i="3"/>
  <c r="Q710" i="3"/>
  <c r="R710" i="3"/>
  <c r="S710" i="3"/>
  <c r="T710" i="3"/>
  <c r="U710" i="3"/>
  <c r="V710" i="3"/>
  <c r="W710" i="3"/>
  <c r="X710" i="3"/>
  <c r="Y710" i="3"/>
  <c r="Z710" i="3"/>
  <c r="AA710" i="3"/>
  <c r="AB710" i="3"/>
  <c r="AC710" i="3"/>
  <c r="AD710" i="3"/>
  <c r="AE710" i="3"/>
  <c r="AF710" i="3"/>
  <c r="AG710" i="3"/>
  <c r="AH710" i="3"/>
  <c r="AI710" i="3"/>
  <c r="AJ710" i="3"/>
  <c r="AK710" i="3"/>
  <c r="AL710" i="3"/>
  <c r="AM710" i="3"/>
  <c r="AN710" i="3"/>
  <c r="A711" i="3"/>
  <c r="B711" i="3"/>
  <c r="C711" i="3"/>
  <c r="D711" i="3"/>
  <c r="E711" i="3"/>
  <c r="F711" i="3"/>
  <c r="G711" i="3"/>
  <c r="H711" i="3"/>
  <c r="I711" i="3"/>
  <c r="J711" i="3"/>
  <c r="K711" i="3"/>
  <c r="L711" i="3"/>
  <c r="M711" i="3"/>
  <c r="N711" i="3"/>
  <c r="O711" i="3"/>
  <c r="P711" i="3"/>
  <c r="Q711" i="3"/>
  <c r="R711" i="3"/>
  <c r="S711" i="3"/>
  <c r="T711" i="3"/>
  <c r="U711" i="3"/>
  <c r="V711" i="3"/>
  <c r="W711" i="3"/>
  <c r="X711" i="3"/>
  <c r="Y711" i="3"/>
  <c r="Z711" i="3"/>
  <c r="AA711" i="3"/>
  <c r="AB711" i="3"/>
  <c r="AC711" i="3"/>
  <c r="AD711" i="3"/>
  <c r="AE711" i="3"/>
  <c r="AF711" i="3"/>
  <c r="AG711" i="3"/>
  <c r="AH711" i="3"/>
  <c r="AI711" i="3"/>
  <c r="AJ711" i="3"/>
  <c r="AK711" i="3"/>
  <c r="AL711" i="3"/>
  <c r="AM711" i="3"/>
  <c r="AN711" i="3"/>
  <c r="A712" i="3"/>
  <c r="B712" i="3"/>
  <c r="C712" i="3"/>
  <c r="D712" i="3"/>
  <c r="E712" i="3"/>
  <c r="F712" i="3"/>
  <c r="G712" i="3"/>
  <c r="H712" i="3"/>
  <c r="I712" i="3"/>
  <c r="J712" i="3"/>
  <c r="K712" i="3"/>
  <c r="L712" i="3"/>
  <c r="M712" i="3"/>
  <c r="N712" i="3"/>
  <c r="O712" i="3"/>
  <c r="P712" i="3"/>
  <c r="Q712" i="3"/>
  <c r="R712" i="3"/>
  <c r="S712" i="3"/>
  <c r="T712" i="3"/>
  <c r="U712" i="3"/>
  <c r="V712" i="3"/>
  <c r="W712" i="3"/>
  <c r="X712" i="3"/>
  <c r="Y712" i="3"/>
  <c r="Z712" i="3"/>
  <c r="AA712" i="3"/>
  <c r="AB712" i="3"/>
  <c r="AC712" i="3"/>
  <c r="AD712" i="3"/>
  <c r="AE712" i="3"/>
  <c r="AF712" i="3"/>
  <c r="AG712" i="3"/>
  <c r="AH712" i="3"/>
  <c r="AI712" i="3"/>
  <c r="AJ712" i="3"/>
  <c r="AK712" i="3"/>
  <c r="AL712" i="3"/>
  <c r="AM712" i="3"/>
  <c r="AN712" i="3"/>
  <c r="A713" i="3"/>
  <c r="B713" i="3"/>
  <c r="C713" i="3"/>
  <c r="D713" i="3"/>
  <c r="E713" i="3"/>
  <c r="F713" i="3"/>
  <c r="G713" i="3"/>
  <c r="H713" i="3"/>
  <c r="I713" i="3"/>
  <c r="J713" i="3"/>
  <c r="K713" i="3"/>
  <c r="L713" i="3"/>
  <c r="M713" i="3"/>
  <c r="N713" i="3"/>
  <c r="O713" i="3"/>
  <c r="P713" i="3"/>
  <c r="Q713" i="3"/>
  <c r="R713" i="3"/>
  <c r="S713" i="3"/>
  <c r="T713" i="3"/>
  <c r="U713" i="3"/>
  <c r="V713" i="3"/>
  <c r="W713" i="3"/>
  <c r="X713" i="3"/>
  <c r="Y713" i="3"/>
  <c r="Z713" i="3"/>
  <c r="AA713" i="3"/>
  <c r="AB713" i="3"/>
  <c r="AC713" i="3"/>
  <c r="AD713" i="3"/>
  <c r="AE713" i="3"/>
  <c r="AF713" i="3"/>
  <c r="AG713" i="3"/>
  <c r="AH713" i="3"/>
  <c r="AI713" i="3"/>
  <c r="AJ713" i="3"/>
  <c r="AK713" i="3"/>
  <c r="AL713" i="3"/>
  <c r="AM713" i="3"/>
  <c r="AN713" i="3"/>
  <c r="A714" i="3"/>
  <c r="B714" i="3"/>
  <c r="C714" i="3"/>
  <c r="D714" i="3"/>
  <c r="E714" i="3"/>
  <c r="F714" i="3"/>
  <c r="G714" i="3"/>
  <c r="H714" i="3"/>
  <c r="I714" i="3"/>
  <c r="J714" i="3"/>
  <c r="K714" i="3"/>
  <c r="L714" i="3"/>
  <c r="M714" i="3"/>
  <c r="N714" i="3"/>
  <c r="O714" i="3"/>
  <c r="P714" i="3"/>
  <c r="Q714" i="3"/>
  <c r="R714" i="3"/>
  <c r="S714" i="3"/>
  <c r="T714" i="3"/>
  <c r="U714" i="3"/>
  <c r="V714" i="3"/>
  <c r="W714" i="3"/>
  <c r="X714" i="3"/>
  <c r="Y714" i="3"/>
  <c r="Z714" i="3"/>
  <c r="AA714" i="3"/>
  <c r="AB714" i="3"/>
  <c r="AC714" i="3"/>
  <c r="AD714" i="3"/>
  <c r="AE714" i="3"/>
  <c r="AF714" i="3"/>
  <c r="AG714" i="3"/>
  <c r="AH714" i="3"/>
  <c r="AI714" i="3"/>
  <c r="AJ714" i="3"/>
  <c r="AK714" i="3"/>
  <c r="AL714" i="3"/>
  <c r="AM714" i="3"/>
  <c r="AN714" i="3"/>
  <c r="A715" i="3"/>
  <c r="B715" i="3"/>
  <c r="C715" i="3"/>
  <c r="D715" i="3"/>
  <c r="E715" i="3"/>
  <c r="F715" i="3"/>
  <c r="G715" i="3"/>
  <c r="H715" i="3"/>
  <c r="I715" i="3"/>
  <c r="J715" i="3"/>
  <c r="K715" i="3"/>
  <c r="L715" i="3"/>
  <c r="M715" i="3"/>
  <c r="N715" i="3"/>
  <c r="O715" i="3"/>
  <c r="P715" i="3"/>
  <c r="Q715" i="3"/>
  <c r="R715" i="3"/>
  <c r="S715" i="3"/>
  <c r="T715" i="3"/>
  <c r="U715" i="3"/>
  <c r="V715" i="3"/>
  <c r="W715" i="3"/>
  <c r="X715" i="3"/>
  <c r="Y715" i="3"/>
  <c r="Z715" i="3"/>
  <c r="AA715" i="3"/>
  <c r="AB715" i="3"/>
  <c r="AC715" i="3"/>
  <c r="AD715" i="3"/>
  <c r="AE715" i="3"/>
  <c r="AF715" i="3"/>
  <c r="AG715" i="3"/>
  <c r="AH715" i="3"/>
  <c r="AI715" i="3"/>
  <c r="AJ715" i="3"/>
  <c r="AK715" i="3"/>
  <c r="AL715" i="3"/>
  <c r="AM715" i="3"/>
  <c r="AN715" i="3"/>
  <c r="A716" i="3"/>
  <c r="B716" i="3"/>
  <c r="C716" i="3"/>
  <c r="D716" i="3"/>
  <c r="E716" i="3"/>
  <c r="F716" i="3"/>
  <c r="G716" i="3"/>
  <c r="H716" i="3"/>
  <c r="I716" i="3"/>
  <c r="J716" i="3"/>
  <c r="K716" i="3"/>
  <c r="L716" i="3"/>
  <c r="M716" i="3"/>
  <c r="N716" i="3"/>
  <c r="O716" i="3"/>
  <c r="P716" i="3"/>
  <c r="Q716" i="3"/>
  <c r="R716" i="3"/>
  <c r="S716" i="3"/>
  <c r="T716" i="3"/>
  <c r="U716" i="3"/>
  <c r="V716" i="3"/>
  <c r="W716" i="3"/>
  <c r="X716" i="3"/>
  <c r="Y716" i="3"/>
  <c r="Z716" i="3"/>
  <c r="AA716" i="3"/>
  <c r="AB716" i="3"/>
  <c r="AC716" i="3"/>
  <c r="AD716" i="3"/>
  <c r="AE716" i="3"/>
  <c r="AF716" i="3"/>
  <c r="AG716" i="3"/>
  <c r="AH716" i="3"/>
  <c r="AI716" i="3"/>
  <c r="AJ716" i="3"/>
  <c r="AK716" i="3"/>
  <c r="AL716" i="3"/>
  <c r="AM716" i="3"/>
  <c r="AN716" i="3"/>
  <c r="A717" i="3"/>
  <c r="B717" i="3"/>
  <c r="C717" i="3"/>
  <c r="D717" i="3"/>
  <c r="E717" i="3"/>
  <c r="F717" i="3"/>
  <c r="G717" i="3"/>
  <c r="H717" i="3"/>
  <c r="I717" i="3"/>
  <c r="J717" i="3"/>
  <c r="K717" i="3"/>
  <c r="L717" i="3"/>
  <c r="M717" i="3"/>
  <c r="N717" i="3"/>
  <c r="O717" i="3"/>
  <c r="P717" i="3"/>
  <c r="Q717" i="3"/>
  <c r="R717" i="3"/>
  <c r="S717" i="3"/>
  <c r="T717" i="3"/>
  <c r="U717" i="3"/>
  <c r="V717" i="3"/>
  <c r="W717" i="3"/>
  <c r="X717" i="3"/>
  <c r="Y717" i="3"/>
  <c r="Z717" i="3"/>
  <c r="AA717" i="3"/>
  <c r="AB717" i="3"/>
  <c r="AC717" i="3"/>
  <c r="AD717" i="3"/>
  <c r="AE717" i="3"/>
  <c r="AF717" i="3"/>
  <c r="AG717" i="3"/>
  <c r="AH717" i="3"/>
  <c r="AI717" i="3"/>
  <c r="AJ717" i="3"/>
  <c r="AK717" i="3"/>
  <c r="AL717" i="3"/>
  <c r="AM717" i="3"/>
  <c r="AN717" i="3"/>
  <c r="A718" i="3"/>
  <c r="B718" i="3"/>
  <c r="C718" i="3"/>
  <c r="D718" i="3"/>
  <c r="E718" i="3"/>
  <c r="F718" i="3"/>
  <c r="G718" i="3"/>
  <c r="H718" i="3"/>
  <c r="I718" i="3"/>
  <c r="J718" i="3"/>
  <c r="K718" i="3"/>
  <c r="L718" i="3"/>
  <c r="M718" i="3"/>
  <c r="N718" i="3"/>
  <c r="O718" i="3"/>
  <c r="P718" i="3"/>
  <c r="Q718" i="3"/>
  <c r="R718" i="3"/>
  <c r="S718" i="3"/>
  <c r="T718" i="3"/>
  <c r="U718" i="3"/>
  <c r="V718" i="3"/>
  <c r="W718" i="3"/>
  <c r="X718" i="3"/>
  <c r="Y718" i="3"/>
  <c r="Z718" i="3"/>
  <c r="AA718" i="3"/>
  <c r="AB718" i="3"/>
  <c r="AC718" i="3"/>
  <c r="AD718" i="3"/>
  <c r="AE718" i="3"/>
  <c r="AF718" i="3"/>
  <c r="AG718" i="3"/>
  <c r="AH718" i="3"/>
  <c r="AI718" i="3"/>
  <c r="AJ718" i="3"/>
  <c r="AK718" i="3"/>
  <c r="AL718" i="3"/>
  <c r="AM718" i="3"/>
  <c r="AN718" i="3"/>
  <c r="A719" i="3"/>
  <c r="B719" i="3"/>
  <c r="C719" i="3"/>
  <c r="D719" i="3"/>
  <c r="E719" i="3"/>
  <c r="F719" i="3"/>
  <c r="G719" i="3"/>
  <c r="H719" i="3"/>
  <c r="I719" i="3"/>
  <c r="J719" i="3"/>
  <c r="K719" i="3"/>
  <c r="L719" i="3"/>
  <c r="M719" i="3"/>
  <c r="N719" i="3"/>
  <c r="O719" i="3"/>
  <c r="P719" i="3"/>
  <c r="Q719" i="3"/>
  <c r="R719" i="3"/>
  <c r="S719" i="3"/>
  <c r="T719" i="3"/>
  <c r="U719" i="3"/>
  <c r="V719" i="3"/>
  <c r="W719" i="3"/>
  <c r="X719" i="3"/>
  <c r="Y719" i="3"/>
  <c r="Z719" i="3"/>
  <c r="AA719" i="3"/>
  <c r="AB719" i="3"/>
  <c r="AC719" i="3"/>
  <c r="AD719" i="3"/>
  <c r="AE719" i="3"/>
  <c r="AF719" i="3"/>
  <c r="AG719" i="3"/>
  <c r="AH719" i="3"/>
  <c r="AI719" i="3"/>
  <c r="AJ719" i="3"/>
  <c r="AK719" i="3"/>
  <c r="AL719" i="3"/>
  <c r="AM719" i="3"/>
  <c r="AN719" i="3"/>
  <c r="A720" i="3"/>
  <c r="B720" i="3"/>
  <c r="C720" i="3"/>
  <c r="D720" i="3"/>
  <c r="E720" i="3"/>
  <c r="F720" i="3"/>
  <c r="G720" i="3"/>
  <c r="H720" i="3"/>
  <c r="I720" i="3"/>
  <c r="J720" i="3"/>
  <c r="K720" i="3"/>
  <c r="L720" i="3"/>
  <c r="M720" i="3"/>
  <c r="N720" i="3"/>
  <c r="O720" i="3"/>
  <c r="P720" i="3"/>
  <c r="Q720" i="3"/>
  <c r="R720" i="3"/>
  <c r="S720" i="3"/>
  <c r="T720" i="3"/>
  <c r="U720" i="3"/>
  <c r="V720" i="3"/>
  <c r="W720" i="3"/>
  <c r="X720" i="3"/>
  <c r="Y720" i="3"/>
  <c r="Z720" i="3"/>
  <c r="AA720" i="3"/>
  <c r="AB720" i="3"/>
  <c r="AC720" i="3"/>
  <c r="AD720" i="3"/>
  <c r="AE720" i="3"/>
  <c r="AF720" i="3"/>
  <c r="AG720" i="3"/>
  <c r="AH720" i="3"/>
  <c r="AI720" i="3"/>
  <c r="AJ720" i="3"/>
  <c r="AK720" i="3"/>
  <c r="AL720" i="3"/>
  <c r="AM720" i="3"/>
  <c r="AN720" i="3"/>
  <c r="A721" i="3"/>
  <c r="B721" i="3"/>
  <c r="C721" i="3"/>
  <c r="D721" i="3"/>
  <c r="E721" i="3"/>
  <c r="F721" i="3"/>
  <c r="G721" i="3"/>
  <c r="H721" i="3"/>
  <c r="I721" i="3"/>
  <c r="J721" i="3"/>
  <c r="K721" i="3"/>
  <c r="L721" i="3"/>
  <c r="M721" i="3"/>
  <c r="N721" i="3"/>
  <c r="O721" i="3"/>
  <c r="P721" i="3"/>
  <c r="Q721" i="3"/>
  <c r="R721" i="3"/>
  <c r="S721" i="3"/>
  <c r="T721" i="3"/>
  <c r="U721" i="3"/>
  <c r="V721" i="3"/>
  <c r="W721" i="3"/>
  <c r="X721" i="3"/>
  <c r="Y721" i="3"/>
  <c r="Z721" i="3"/>
  <c r="AA721" i="3"/>
  <c r="AB721" i="3"/>
  <c r="AC721" i="3"/>
  <c r="AD721" i="3"/>
  <c r="AE721" i="3"/>
  <c r="AF721" i="3"/>
  <c r="AG721" i="3"/>
  <c r="AH721" i="3"/>
  <c r="AI721" i="3"/>
  <c r="AJ721" i="3"/>
  <c r="AK721" i="3"/>
  <c r="AL721" i="3"/>
  <c r="AM721" i="3"/>
  <c r="AN721" i="3"/>
  <c r="A722" i="3"/>
  <c r="B722" i="3"/>
  <c r="C722" i="3"/>
  <c r="D722" i="3"/>
  <c r="E722" i="3"/>
  <c r="F722" i="3"/>
  <c r="G722" i="3"/>
  <c r="H722" i="3"/>
  <c r="I722" i="3"/>
  <c r="J722" i="3"/>
  <c r="K722" i="3"/>
  <c r="L722" i="3"/>
  <c r="M722" i="3"/>
  <c r="N722" i="3"/>
  <c r="O722" i="3"/>
  <c r="P722" i="3"/>
  <c r="Q722" i="3"/>
  <c r="R722" i="3"/>
  <c r="S722" i="3"/>
  <c r="T722" i="3"/>
  <c r="U722" i="3"/>
  <c r="V722" i="3"/>
  <c r="W722" i="3"/>
  <c r="X722" i="3"/>
  <c r="Y722" i="3"/>
  <c r="Z722" i="3"/>
  <c r="AA722" i="3"/>
  <c r="AB722" i="3"/>
  <c r="AC722" i="3"/>
  <c r="AD722" i="3"/>
  <c r="AE722" i="3"/>
  <c r="AF722" i="3"/>
  <c r="AG722" i="3"/>
  <c r="AH722" i="3"/>
  <c r="AI722" i="3"/>
  <c r="AJ722" i="3"/>
  <c r="AK722" i="3"/>
  <c r="AL722" i="3"/>
  <c r="AM722" i="3"/>
  <c r="AN722" i="3"/>
  <c r="A723" i="3"/>
  <c r="B723" i="3"/>
  <c r="C723" i="3"/>
  <c r="D723" i="3"/>
  <c r="E723" i="3"/>
  <c r="F723" i="3"/>
  <c r="G723" i="3"/>
  <c r="H723" i="3"/>
  <c r="I723" i="3"/>
  <c r="J723" i="3"/>
  <c r="K723" i="3"/>
  <c r="L723" i="3"/>
  <c r="M723" i="3"/>
  <c r="N723" i="3"/>
  <c r="O723" i="3"/>
  <c r="P723" i="3"/>
  <c r="Q723" i="3"/>
  <c r="R723" i="3"/>
  <c r="S723" i="3"/>
  <c r="T723" i="3"/>
  <c r="U723" i="3"/>
  <c r="V723" i="3"/>
  <c r="W723" i="3"/>
  <c r="X723" i="3"/>
  <c r="Y723" i="3"/>
  <c r="Z723" i="3"/>
  <c r="AA723" i="3"/>
  <c r="AB723" i="3"/>
  <c r="AC723" i="3"/>
  <c r="AD723" i="3"/>
  <c r="AE723" i="3"/>
  <c r="AF723" i="3"/>
  <c r="AG723" i="3"/>
  <c r="AH723" i="3"/>
  <c r="AI723" i="3"/>
  <c r="AJ723" i="3"/>
  <c r="AK723" i="3"/>
  <c r="AL723" i="3"/>
  <c r="AM723" i="3"/>
  <c r="AN723" i="3"/>
  <c r="A724" i="3"/>
  <c r="B724" i="3"/>
  <c r="C724" i="3"/>
  <c r="D724" i="3"/>
  <c r="E724" i="3"/>
  <c r="F724" i="3"/>
  <c r="G724" i="3"/>
  <c r="H724" i="3"/>
  <c r="I724" i="3"/>
  <c r="J724" i="3"/>
  <c r="K724" i="3"/>
  <c r="L724" i="3"/>
  <c r="M724" i="3"/>
  <c r="N724" i="3"/>
  <c r="O724" i="3"/>
  <c r="P724" i="3"/>
  <c r="Q724" i="3"/>
  <c r="R724" i="3"/>
  <c r="S724" i="3"/>
  <c r="T724" i="3"/>
  <c r="U724" i="3"/>
  <c r="V724" i="3"/>
  <c r="W724" i="3"/>
  <c r="X724" i="3"/>
  <c r="Y724" i="3"/>
  <c r="Z724" i="3"/>
  <c r="AA724" i="3"/>
  <c r="AB724" i="3"/>
  <c r="AC724" i="3"/>
  <c r="AD724" i="3"/>
  <c r="AE724" i="3"/>
  <c r="AF724" i="3"/>
  <c r="AG724" i="3"/>
  <c r="AH724" i="3"/>
  <c r="AI724" i="3"/>
  <c r="AJ724" i="3"/>
  <c r="AK724" i="3"/>
  <c r="AL724" i="3"/>
  <c r="AM724" i="3"/>
  <c r="AN724" i="3"/>
  <c r="A725" i="3"/>
  <c r="B725" i="3"/>
  <c r="C725" i="3"/>
  <c r="D725" i="3"/>
  <c r="E725" i="3"/>
  <c r="F725" i="3"/>
  <c r="G725" i="3"/>
  <c r="H725" i="3"/>
  <c r="I725" i="3"/>
  <c r="J725" i="3"/>
  <c r="K725" i="3"/>
  <c r="L725" i="3"/>
  <c r="M725" i="3"/>
  <c r="N725" i="3"/>
  <c r="O725" i="3"/>
  <c r="P725" i="3"/>
  <c r="Q725" i="3"/>
  <c r="R725" i="3"/>
  <c r="S725" i="3"/>
  <c r="T725" i="3"/>
  <c r="U725" i="3"/>
  <c r="V725" i="3"/>
  <c r="W725" i="3"/>
  <c r="X725" i="3"/>
  <c r="Y725" i="3"/>
  <c r="Z725" i="3"/>
  <c r="AA725" i="3"/>
  <c r="AB725" i="3"/>
  <c r="AC725" i="3"/>
  <c r="AD725" i="3"/>
  <c r="AE725" i="3"/>
  <c r="AF725" i="3"/>
  <c r="AG725" i="3"/>
  <c r="AH725" i="3"/>
  <c r="AI725" i="3"/>
  <c r="AJ725" i="3"/>
  <c r="AK725" i="3"/>
  <c r="AL725" i="3"/>
  <c r="AM725" i="3"/>
  <c r="AN725" i="3"/>
  <c r="A726" i="3"/>
  <c r="B726" i="3"/>
  <c r="C726" i="3"/>
  <c r="D726" i="3"/>
  <c r="E726" i="3"/>
  <c r="F726" i="3"/>
  <c r="G726" i="3"/>
  <c r="H726" i="3"/>
  <c r="I726" i="3"/>
  <c r="J726" i="3"/>
  <c r="K726" i="3"/>
  <c r="L726" i="3"/>
  <c r="M726" i="3"/>
  <c r="N726" i="3"/>
  <c r="O726" i="3"/>
  <c r="P726" i="3"/>
  <c r="Q726" i="3"/>
  <c r="R726" i="3"/>
  <c r="S726" i="3"/>
  <c r="T726" i="3"/>
  <c r="U726" i="3"/>
  <c r="V726" i="3"/>
  <c r="W726" i="3"/>
  <c r="X726" i="3"/>
  <c r="Y726" i="3"/>
  <c r="Z726" i="3"/>
  <c r="AA726" i="3"/>
  <c r="AB726" i="3"/>
  <c r="AC726" i="3"/>
  <c r="AD726" i="3"/>
  <c r="AE726" i="3"/>
  <c r="AF726" i="3"/>
  <c r="AG726" i="3"/>
  <c r="AH726" i="3"/>
  <c r="AI726" i="3"/>
  <c r="AJ726" i="3"/>
  <c r="AK726" i="3"/>
  <c r="AL726" i="3"/>
  <c r="AM726" i="3"/>
  <c r="AN726" i="3"/>
  <c r="A727" i="3"/>
  <c r="B727" i="3"/>
  <c r="C727" i="3"/>
  <c r="D727" i="3"/>
  <c r="E727" i="3"/>
  <c r="F727" i="3"/>
  <c r="G727" i="3"/>
  <c r="H727" i="3"/>
  <c r="I727" i="3"/>
  <c r="J727" i="3"/>
  <c r="K727" i="3"/>
  <c r="L727" i="3"/>
  <c r="M727" i="3"/>
  <c r="N727" i="3"/>
  <c r="O727" i="3"/>
  <c r="P727" i="3"/>
  <c r="Q727" i="3"/>
  <c r="R727" i="3"/>
  <c r="S727" i="3"/>
  <c r="T727" i="3"/>
  <c r="U727" i="3"/>
  <c r="V727" i="3"/>
  <c r="W727" i="3"/>
  <c r="X727" i="3"/>
  <c r="Y727" i="3"/>
  <c r="Z727" i="3"/>
  <c r="AA727" i="3"/>
  <c r="AB727" i="3"/>
  <c r="AC727" i="3"/>
  <c r="AD727" i="3"/>
  <c r="AE727" i="3"/>
  <c r="AF727" i="3"/>
  <c r="AG727" i="3"/>
  <c r="AH727" i="3"/>
  <c r="AI727" i="3"/>
  <c r="AJ727" i="3"/>
  <c r="AK727" i="3"/>
  <c r="AL727" i="3"/>
  <c r="AM727" i="3"/>
  <c r="AN727" i="3"/>
  <c r="A728" i="3"/>
  <c r="B728" i="3"/>
  <c r="C728" i="3"/>
  <c r="D728" i="3"/>
  <c r="E728" i="3"/>
  <c r="F728" i="3"/>
  <c r="G728" i="3"/>
  <c r="H728" i="3"/>
  <c r="I728" i="3"/>
  <c r="J728" i="3"/>
  <c r="K728" i="3"/>
  <c r="L728" i="3"/>
  <c r="M728" i="3"/>
  <c r="N728" i="3"/>
  <c r="O728" i="3"/>
  <c r="P728" i="3"/>
  <c r="Q728" i="3"/>
  <c r="R728" i="3"/>
  <c r="S728" i="3"/>
  <c r="T728" i="3"/>
  <c r="U728" i="3"/>
  <c r="V728" i="3"/>
  <c r="W728" i="3"/>
  <c r="X728" i="3"/>
  <c r="Y728" i="3"/>
  <c r="Z728" i="3"/>
  <c r="AA728" i="3"/>
  <c r="AB728" i="3"/>
  <c r="AC728" i="3"/>
  <c r="AD728" i="3"/>
  <c r="AE728" i="3"/>
  <c r="AF728" i="3"/>
  <c r="AG728" i="3"/>
  <c r="AH728" i="3"/>
  <c r="AI728" i="3"/>
  <c r="AJ728" i="3"/>
  <c r="AK728" i="3"/>
  <c r="AL728" i="3"/>
  <c r="AM728" i="3"/>
  <c r="AN728" i="3"/>
  <c r="A729" i="3"/>
  <c r="B729" i="3"/>
  <c r="C729" i="3"/>
  <c r="D729" i="3"/>
  <c r="E729" i="3"/>
  <c r="F729" i="3"/>
  <c r="G729" i="3"/>
  <c r="H729" i="3"/>
  <c r="I729" i="3"/>
  <c r="J729" i="3"/>
  <c r="K729" i="3"/>
  <c r="L729" i="3"/>
  <c r="M729" i="3"/>
  <c r="N729" i="3"/>
  <c r="O729" i="3"/>
  <c r="P729" i="3"/>
  <c r="Q729" i="3"/>
  <c r="R729" i="3"/>
  <c r="S729" i="3"/>
  <c r="T729" i="3"/>
  <c r="U729" i="3"/>
  <c r="V729" i="3"/>
  <c r="W729" i="3"/>
  <c r="X729" i="3"/>
  <c r="Y729" i="3"/>
  <c r="Z729" i="3"/>
  <c r="AA729" i="3"/>
  <c r="AB729" i="3"/>
  <c r="AC729" i="3"/>
  <c r="AD729" i="3"/>
  <c r="AE729" i="3"/>
  <c r="AF729" i="3"/>
  <c r="AG729" i="3"/>
  <c r="AH729" i="3"/>
  <c r="AI729" i="3"/>
  <c r="AJ729" i="3"/>
  <c r="AK729" i="3"/>
  <c r="AL729" i="3"/>
  <c r="AM729" i="3"/>
  <c r="AN729" i="3"/>
  <c r="A730" i="3"/>
  <c r="B730" i="3"/>
  <c r="C730" i="3"/>
  <c r="D730" i="3"/>
  <c r="E730" i="3"/>
  <c r="F730" i="3"/>
  <c r="G730" i="3"/>
  <c r="H730" i="3"/>
  <c r="I730" i="3"/>
  <c r="J730" i="3"/>
  <c r="K730" i="3"/>
  <c r="L730" i="3"/>
  <c r="M730" i="3"/>
  <c r="N730" i="3"/>
  <c r="O730" i="3"/>
  <c r="P730" i="3"/>
  <c r="Q730" i="3"/>
  <c r="R730" i="3"/>
  <c r="S730" i="3"/>
  <c r="T730" i="3"/>
  <c r="U730" i="3"/>
  <c r="V730" i="3"/>
  <c r="W730" i="3"/>
  <c r="X730" i="3"/>
  <c r="Y730" i="3"/>
  <c r="Z730" i="3"/>
  <c r="AA730" i="3"/>
  <c r="AB730" i="3"/>
  <c r="AC730" i="3"/>
  <c r="AD730" i="3"/>
  <c r="AE730" i="3"/>
  <c r="AF730" i="3"/>
  <c r="AG730" i="3"/>
  <c r="AH730" i="3"/>
  <c r="AI730" i="3"/>
  <c r="AJ730" i="3"/>
  <c r="AK730" i="3"/>
  <c r="AL730" i="3"/>
  <c r="AM730" i="3"/>
  <c r="AN730" i="3"/>
  <c r="A731" i="3"/>
  <c r="B731" i="3"/>
  <c r="C731" i="3"/>
  <c r="D731" i="3"/>
  <c r="E731" i="3"/>
  <c r="F731" i="3"/>
  <c r="G731" i="3"/>
  <c r="H731" i="3"/>
  <c r="I731" i="3"/>
  <c r="J731" i="3"/>
  <c r="K731" i="3"/>
  <c r="L731" i="3"/>
  <c r="M731" i="3"/>
  <c r="N731" i="3"/>
  <c r="O731" i="3"/>
  <c r="P731" i="3"/>
  <c r="Q731" i="3"/>
  <c r="R731" i="3"/>
  <c r="S731" i="3"/>
  <c r="T731" i="3"/>
  <c r="U731" i="3"/>
  <c r="V731" i="3"/>
  <c r="W731" i="3"/>
  <c r="X731" i="3"/>
  <c r="Y731" i="3"/>
  <c r="Z731" i="3"/>
  <c r="AA731" i="3"/>
  <c r="AB731" i="3"/>
  <c r="AC731" i="3"/>
  <c r="AD731" i="3"/>
  <c r="AE731" i="3"/>
  <c r="AF731" i="3"/>
  <c r="AG731" i="3"/>
  <c r="AH731" i="3"/>
  <c r="AI731" i="3"/>
  <c r="AJ731" i="3"/>
  <c r="AK731" i="3"/>
  <c r="AL731" i="3"/>
  <c r="AM731" i="3"/>
  <c r="AN731" i="3"/>
  <c r="A732" i="3"/>
  <c r="B732" i="3"/>
  <c r="C732" i="3"/>
  <c r="D732" i="3"/>
  <c r="E732" i="3"/>
  <c r="F732" i="3"/>
  <c r="G732" i="3"/>
  <c r="H732" i="3"/>
  <c r="I732" i="3"/>
  <c r="J732" i="3"/>
  <c r="K732" i="3"/>
  <c r="L732" i="3"/>
  <c r="M732" i="3"/>
  <c r="N732" i="3"/>
  <c r="O732" i="3"/>
  <c r="P732" i="3"/>
  <c r="Q732" i="3"/>
  <c r="R732" i="3"/>
  <c r="S732" i="3"/>
  <c r="T732" i="3"/>
  <c r="U732" i="3"/>
  <c r="V732" i="3"/>
  <c r="W732" i="3"/>
  <c r="X732" i="3"/>
  <c r="Y732" i="3"/>
  <c r="Z732" i="3"/>
  <c r="AA732" i="3"/>
  <c r="AB732" i="3"/>
  <c r="AC732" i="3"/>
  <c r="AD732" i="3"/>
  <c r="AE732" i="3"/>
  <c r="AF732" i="3"/>
  <c r="AG732" i="3"/>
  <c r="AH732" i="3"/>
  <c r="AI732" i="3"/>
  <c r="AJ732" i="3"/>
  <c r="AK732" i="3"/>
  <c r="AL732" i="3"/>
  <c r="AM732" i="3"/>
  <c r="AN732" i="3"/>
  <c r="A733" i="3"/>
  <c r="B733" i="3"/>
  <c r="C733" i="3"/>
  <c r="D733" i="3"/>
  <c r="E733" i="3"/>
  <c r="F733" i="3"/>
  <c r="G733" i="3"/>
  <c r="H733" i="3"/>
  <c r="I733" i="3"/>
  <c r="J733" i="3"/>
  <c r="K733" i="3"/>
  <c r="L733" i="3"/>
  <c r="M733" i="3"/>
  <c r="N733" i="3"/>
  <c r="O733" i="3"/>
  <c r="P733" i="3"/>
  <c r="Q733" i="3"/>
  <c r="R733" i="3"/>
  <c r="S733" i="3"/>
  <c r="T733" i="3"/>
  <c r="U733" i="3"/>
  <c r="V733" i="3"/>
  <c r="W733" i="3"/>
  <c r="X733" i="3"/>
  <c r="Y733" i="3"/>
  <c r="Z733" i="3"/>
  <c r="AA733" i="3"/>
  <c r="AB733" i="3"/>
  <c r="AC733" i="3"/>
  <c r="AD733" i="3"/>
  <c r="AE733" i="3"/>
  <c r="AF733" i="3"/>
  <c r="AG733" i="3"/>
  <c r="AH733" i="3"/>
  <c r="AI733" i="3"/>
  <c r="AJ733" i="3"/>
  <c r="AK733" i="3"/>
  <c r="AL733" i="3"/>
  <c r="AM733" i="3"/>
  <c r="AN733" i="3"/>
  <c r="A734" i="3"/>
  <c r="B734" i="3"/>
  <c r="C734" i="3"/>
  <c r="D734" i="3"/>
  <c r="E734" i="3"/>
  <c r="F734" i="3"/>
  <c r="G734" i="3"/>
  <c r="H734" i="3"/>
  <c r="I734" i="3"/>
  <c r="J734" i="3"/>
  <c r="K734" i="3"/>
  <c r="L734" i="3"/>
  <c r="M734" i="3"/>
  <c r="N734" i="3"/>
  <c r="O734" i="3"/>
  <c r="P734" i="3"/>
  <c r="Q734" i="3"/>
  <c r="R734" i="3"/>
  <c r="S734" i="3"/>
  <c r="T734" i="3"/>
  <c r="U734" i="3"/>
  <c r="V734" i="3"/>
  <c r="W734" i="3"/>
  <c r="X734" i="3"/>
  <c r="Y734" i="3"/>
  <c r="Z734" i="3"/>
  <c r="AA734" i="3"/>
  <c r="AB734" i="3"/>
  <c r="AC734" i="3"/>
  <c r="AD734" i="3"/>
  <c r="AE734" i="3"/>
  <c r="AF734" i="3"/>
  <c r="AG734" i="3"/>
  <c r="AH734" i="3"/>
  <c r="AI734" i="3"/>
  <c r="AJ734" i="3"/>
  <c r="AK734" i="3"/>
  <c r="AL734" i="3"/>
  <c r="AM734" i="3"/>
  <c r="AN734" i="3"/>
  <c r="A735" i="3"/>
  <c r="B735" i="3"/>
  <c r="C735" i="3"/>
  <c r="D735" i="3"/>
  <c r="E735" i="3"/>
  <c r="F735" i="3"/>
  <c r="G735" i="3"/>
  <c r="H735" i="3"/>
  <c r="I735" i="3"/>
  <c r="J735" i="3"/>
  <c r="K735" i="3"/>
  <c r="L735" i="3"/>
  <c r="M735" i="3"/>
  <c r="N735" i="3"/>
  <c r="O735" i="3"/>
  <c r="P735" i="3"/>
  <c r="Q735" i="3"/>
  <c r="R735" i="3"/>
  <c r="S735" i="3"/>
  <c r="T735" i="3"/>
  <c r="U735" i="3"/>
  <c r="V735" i="3"/>
  <c r="W735" i="3"/>
  <c r="X735" i="3"/>
  <c r="Y735" i="3"/>
  <c r="Z735" i="3"/>
  <c r="AA735" i="3"/>
  <c r="AB735" i="3"/>
  <c r="AC735" i="3"/>
  <c r="AD735" i="3"/>
  <c r="AE735" i="3"/>
  <c r="AF735" i="3"/>
  <c r="AG735" i="3"/>
  <c r="AH735" i="3"/>
  <c r="AI735" i="3"/>
  <c r="AJ735" i="3"/>
  <c r="AK735" i="3"/>
  <c r="AL735" i="3"/>
  <c r="AM735" i="3"/>
  <c r="AN735" i="3"/>
  <c r="A736" i="3"/>
  <c r="B736" i="3"/>
  <c r="C736" i="3"/>
  <c r="D736" i="3"/>
  <c r="E736" i="3"/>
  <c r="F736" i="3"/>
  <c r="G736" i="3"/>
  <c r="H736" i="3"/>
  <c r="I736" i="3"/>
  <c r="J736" i="3"/>
  <c r="K736" i="3"/>
  <c r="L736" i="3"/>
  <c r="M736" i="3"/>
  <c r="N736" i="3"/>
  <c r="O736" i="3"/>
  <c r="P736" i="3"/>
  <c r="Q736" i="3"/>
  <c r="R736" i="3"/>
  <c r="S736" i="3"/>
  <c r="T736" i="3"/>
  <c r="U736" i="3"/>
  <c r="V736" i="3"/>
  <c r="W736" i="3"/>
  <c r="X736" i="3"/>
  <c r="Y736" i="3"/>
  <c r="Z736" i="3"/>
  <c r="AA736" i="3"/>
  <c r="AB736" i="3"/>
  <c r="AC736" i="3"/>
  <c r="AD736" i="3"/>
  <c r="AE736" i="3"/>
  <c r="AF736" i="3"/>
  <c r="AG736" i="3"/>
  <c r="AH736" i="3"/>
  <c r="AI736" i="3"/>
  <c r="AJ736" i="3"/>
  <c r="AK736" i="3"/>
  <c r="AL736" i="3"/>
  <c r="AM736" i="3"/>
  <c r="AN736" i="3"/>
  <c r="A737" i="3"/>
  <c r="B737" i="3"/>
  <c r="C737" i="3"/>
  <c r="D737" i="3"/>
  <c r="E737" i="3"/>
  <c r="F737" i="3"/>
  <c r="G737" i="3"/>
  <c r="H737" i="3"/>
  <c r="I737" i="3"/>
  <c r="J737" i="3"/>
  <c r="K737" i="3"/>
  <c r="L737" i="3"/>
  <c r="M737" i="3"/>
  <c r="N737" i="3"/>
  <c r="O737" i="3"/>
  <c r="P737" i="3"/>
  <c r="Q737" i="3"/>
  <c r="R737" i="3"/>
  <c r="S737" i="3"/>
  <c r="T737" i="3"/>
  <c r="U737" i="3"/>
  <c r="V737" i="3"/>
  <c r="W737" i="3"/>
  <c r="X737" i="3"/>
  <c r="Y737" i="3"/>
  <c r="Z737" i="3"/>
  <c r="AA737" i="3"/>
  <c r="AB737" i="3"/>
  <c r="AC737" i="3"/>
  <c r="AD737" i="3"/>
  <c r="AE737" i="3"/>
  <c r="AF737" i="3"/>
  <c r="AG737" i="3"/>
  <c r="AH737" i="3"/>
  <c r="AI737" i="3"/>
  <c r="AJ737" i="3"/>
  <c r="AK737" i="3"/>
  <c r="AL737" i="3"/>
  <c r="AM737" i="3"/>
  <c r="AN737" i="3"/>
  <c r="A738" i="3"/>
  <c r="B738" i="3"/>
  <c r="C738" i="3"/>
  <c r="D738" i="3"/>
  <c r="E738" i="3"/>
  <c r="F738" i="3"/>
  <c r="G738" i="3"/>
  <c r="H738" i="3"/>
  <c r="I738" i="3"/>
  <c r="J738" i="3"/>
  <c r="K738" i="3"/>
  <c r="L738" i="3"/>
  <c r="M738" i="3"/>
  <c r="N738" i="3"/>
  <c r="O738" i="3"/>
  <c r="P738" i="3"/>
  <c r="Q738" i="3"/>
  <c r="R738" i="3"/>
  <c r="S738" i="3"/>
  <c r="T738" i="3"/>
  <c r="U738" i="3"/>
  <c r="V738" i="3"/>
  <c r="W738" i="3"/>
  <c r="X738" i="3"/>
  <c r="Y738" i="3"/>
  <c r="Z738" i="3"/>
  <c r="AA738" i="3"/>
  <c r="AB738" i="3"/>
  <c r="AC738" i="3"/>
  <c r="AD738" i="3"/>
  <c r="AE738" i="3"/>
  <c r="AF738" i="3"/>
  <c r="AG738" i="3"/>
  <c r="AH738" i="3"/>
  <c r="AI738" i="3"/>
  <c r="AJ738" i="3"/>
  <c r="AK738" i="3"/>
  <c r="AL738" i="3"/>
  <c r="AM738" i="3"/>
  <c r="AN738" i="3"/>
  <c r="A739" i="3"/>
  <c r="B739" i="3"/>
  <c r="C739" i="3"/>
  <c r="D739" i="3"/>
  <c r="E739" i="3"/>
  <c r="F739" i="3"/>
  <c r="G739" i="3"/>
  <c r="H739" i="3"/>
  <c r="I739" i="3"/>
  <c r="J739" i="3"/>
  <c r="K739" i="3"/>
  <c r="L739" i="3"/>
  <c r="M739" i="3"/>
  <c r="N739" i="3"/>
  <c r="O739" i="3"/>
  <c r="P739" i="3"/>
  <c r="Q739" i="3"/>
  <c r="R739" i="3"/>
  <c r="S739" i="3"/>
  <c r="T739" i="3"/>
  <c r="U739" i="3"/>
  <c r="V739" i="3"/>
  <c r="W739" i="3"/>
  <c r="X739" i="3"/>
  <c r="Y739" i="3"/>
  <c r="Z739" i="3"/>
  <c r="AA739" i="3"/>
  <c r="AB739" i="3"/>
  <c r="AC739" i="3"/>
  <c r="AD739" i="3"/>
  <c r="AE739" i="3"/>
  <c r="AF739" i="3"/>
  <c r="AG739" i="3"/>
  <c r="AH739" i="3"/>
  <c r="AI739" i="3"/>
  <c r="AJ739" i="3"/>
  <c r="AK739" i="3"/>
  <c r="AL739" i="3"/>
  <c r="AM739" i="3"/>
  <c r="AN739" i="3"/>
  <c r="A740" i="3"/>
  <c r="B740" i="3"/>
  <c r="C740" i="3"/>
  <c r="D740" i="3"/>
  <c r="E740" i="3"/>
  <c r="F740" i="3"/>
  <c r="G740" i="3"/>
  <c r="H740" i="3"/>
  <c r="I740" i="3"/>
  <c r="J740" i="3"/>
  <c r="K740" i="3"/>
  <c r="L740" i="3"/>
  <c r="M740" i="3"/>
  <c r="N740" i="3"/>
  <c r="O740" i="3"/>
  <c r="P740" i="3"/>
  <c r="Q740" i="3"/>
  <c r="R740" i="3"/>
  <c r="S740" i="3"/>
  <c r="T740" i="3"/>
  <c r="U740" i="3"/>
  <c r="V740" i="3"/>
  <c r="W740" i="3"/>
  <c r="X740" i="3"/>
  <c r="Y740" i="3"/>
  <c r="Z740" i="3"/>
  <c r="AA740" i="3"/>
  <c r="AB740" i="3"/>
  <c r="AC740" i="3"/>
  <c r="AD740" i="3"/>
  <c r="AE740" i="3"/>
  <c r="AF740" i="3"/>
  <c r="AG740" i="3"/>
  <c r="AH740" i="3"/>
  <c r="AI740" i="3"/>
  <c r="AJ740" i="3"/>
  <c r="AK740" i="3"/>
  <c r="AL740" i="3"/>
  <c r="AM740" i="3"/>
  <c r="AN740" i="3"/>
  <c r="A741" i="3"/>
  <c r="B741" i="3"/>
  <c r="C741" i="3"/>
  <c r="D741" i="3"/>
  <c r="E741" i="3"/>
  <c r="F741" i="3"/>
  <c r="G741" i="3"/>
  <c r="H741" i="3"/>
  <c r="I741" i="3"/>
  <c r="J741" i="3"/>
  <c r="K741" i="3"/>
  <c r="L741" i="3"/>
  <c r="M741" i="3"/>
  <c r="N741" i="3"/>
  <c r="O741" i="3"/>
  <c r="P741" i="3"/>
  <c r="Q741" i="3"/>
  <c r="R741" i="3"/>
  <c r="S741" i="3"/>
  <c r="T741" i="3"/>
  <c r="U741" i="3"/>
  <c r="V741" i="3"/>
  <c r="W741" i="3"/>
  <c r="X741" i="3"/>
  <c r="Y741" i="3"/>
  <c r="Z741" i="3"/>
  <c r="AA741" i="3"/>
  <c r="AB741" i="3"/>
  <c r="AC741" i="3"/>
  <c r="AD741" i="3"/>
  <c r="AE741" i="3"/>
  <c r="AF741" i="3"/>
  <c r="AG741" i="3"/>
  <c r="AH741" i="3"/>
  <c r="AI741" i="3"/>
  <c r="AJ741" i="3"/>
  <c r="AK741" i="3"/>
  <c r="AL741" i="3"/>
  <c r="AM741" i="3"/>
  <c r="AN741" i="3"/>
  <c r="A742" i="3"/>
  <c r="B742" i="3"/>
  <c r="C742" i="3"/>
  <c r="D742" i="3"/>
  <c r="E742" i="3"/>
  <c r="F742" i="3"/>
  <c r="G742" i="3"/>
  <c r="H742" i="3"/>
  <c r="I742" i="3"/>
  <c r="J742" i="3"/>
  <c r="K742" i="3"/>
  <c r="L742" i="3"/>
  <c r="M742" i="3"/>
  <c r="N742" i="3"/>
  <c r="O742" i="3"/>
  <c r="P742" i="3"/>
  <c r="Q742" i="3"/>
  <c r="R742" i="3"/>
  <c r="S742" i="3"/>
  <c r="T742" i="3"/>
  <c r="U742" i="3"/>
  <c r="V742" i="3"/>
  <c r="W742" i="3"/>
  <c r="X742" i="3"/>
  <c r="Y742" i="3"/>
  <c r="Z742" i="3"/>
  <c r="AA742" i="3"/>
  <c r="AB742" i="3"/>
  <c r="AC742" i="3"/>
  <c r="AD742" i="3"/>
  <c r="AE742" i="3"/>
  <c r="AF742" i="3"/>
  <c r="AG742" i="3"/>
  <c r="AH742" i="3"/>
  <c r="AI742" i="3"/>
  <c r="AJ742" i="3"/>
  <c r="AK742" i="3"/>
  <c r="AL742" i="3"/>
  <c r="AM742" i="3"/>
  <c r="AN742" i="3"/>
  <c r="A743" i="3"/>
  <c r="B743" i="3"/>
  <c r="C743" i="3"/>
  <c r="D743" i="3"/>
  <c r="E743" i="3"/>
  <c r="F743" i="3"/>
  <c r="G743" i="3"/>
  <c r="H743" i="3"/>
  <c r="I743" i="3"/>
  <c r="J743" i="3"/>
  <c r="K743" i="3"/>
  <c r="L743" i="3"/>
  <c r="M743" i="3"/>
  <c r="N743" i="3"/>
  <c r="O743" i="3"/>
  <c r="P743" i="3"/>
  <c r="Q743" i="3"/>
  <c r="R743" i="3"/>
  <c r="S743" i="3"/>
  <c r="T743" i="3"/>
  <c r="U743" i="3"/>
  <c r="V743" i="3"/>
  <c r="W743" i="3"/>
  <c r="X743" i="3"/>
  <c r="Y743" i="3"/>
  <c r="Z743" i="3"/>
  <c r="AA743" i="3"/>
  <c r="AB743" i="3"/>
  <c r="AC743" i="3"/>
  <c r="AD743" i="3"/>
  <c r="AE743" i="3"/>
  <c r="AF743" i="3"/>
  <c r="AG743" i="3"/>
  <c r="AH743" i="3"/>
  <c r="AI743" i="3"/>
  <c r="AJ743" i="3"/>
  <c r="AK743" i="3"/>
  <c r="AL743" i="3"/>
  <c r="AM743" i="3"/>
  <c r="AN743" i="3"/>
  <c r="A744" i="3"/>
  <c r="B744" i="3"/>
  <c r="C744" i="3"/>
  <c r="D744" i="3"/>
  <c r="E744" i="3"/>
  <c r="F744" i="3"/>
  <c r="G744" i="3"/>
  <c r="H744" i="3"/>
  <c r="I744" i="3"/>
  <c r="J744" i="3"/>
  <c r="K744" i="3"/>
  <c r="L744" i="3"/>
  <c r="M744" i="3"/>
  <c r="N744" i="3"/>
  <c r="O744" i="3"/>
  <c r="P744" i="3"/>
  <c r="Q744" i="3"/>
  <c r="R744" i="3"/>
  <c r="S744" i="3"/>
  <c r="T744" i="3"/>
  <c r="U744" i="3"/>
  <c r="V744" i="3"/>
  <c r="W744" i="3"/>
  <c r="X744" i="3"/>
  <c r="Y744" i="3"/>
  <c r="Z744" i="3"/>
  <c r="AA744" i="3"/>
  <c r="AB744" i="3"/>
  <c r="AC744" i="3"/>
  <c r="AD744" i="3"/>
  <c r="AE744" i="3"/>
  <c r="AF744" i="3"/>
  <c r="AG744" i="3"/>
  <c r="AH744" i="3"/>
  <c r="AI744" i="3"/>
  <c r="AJ744" i="3"/>
  <c r="AK744" i="3"/>
  <c r="AL744" i="3"/>
  <c r="AM744" i="3"/>
  <c r="AN744" i="3"/>
  <c r="A745" i="3"/>
  <c r="B745" i="3"/>
  <c r="C745" i="3"/>
  <c r="D745" i="3"/>
  <c r="E745" i="3"/>
  <c r="F745" i="3"/>
  <c r="G745" i="3"/>
  <c r="H745" i="3"/>
  <c r="I745" i="3"/>
  <c r="J745" i="3"/>
  <c r="K745" i="3"/>
  <c r="L745" i="3"/>
  <c r="M745" i="3"/>
  <c r="N745" i="3"/>
  <c r="O745" i="3"/>
  <c r="P745" i="3"/>
  <c r="Q745" i="3"/>
  <c r="R745" i="3"/>
  <c r="S745" i="3"/>
  <c r="T745" i="3"/>
  <c r="U745" i="3"/>
  <c r="V745" i="3"/>
  <c r="W745" i="3"/>
  <c r="X745" i="3"/>
  <c r="Y745" i="3"/>
  <c r="Z745" i="3"/>
  <c r="AA745" i="3"/>
  <c r="AB745" i="3"/>
  <c r="AC745" i="3"/>
  <c r="AD745" i="3"/>
  <c r="AE745" i="3"/>
  <c r="AF745" i="3"/>
  <c r="AG745" i="3"/>
  <c r="AH745" i="3"/>
  <c r="AI745" i="3"/>
  <c r="AJ745" i="3"/>
  <c r="AK745" i="3"/>
  <c r="AL745" i="3"/>
  <c r="AM745" i="3"/>
  <c r="AN745" i="3"/>
  <c r="A746" i="3"/>
  <c r="B746" i="3"/>
  <c r="C746" i="3"/>
  <c r="D746" i="3"/>
  <c r="E746" i="3"/>
  <c r="F746" i="3"/>
  <c r="G746" i="3"/>
  <c r="H746" i="3"/>
  <c r="I746" i="3"/>
  <c r="J746" i="3"/>
  <c r="K746" i="3"/>
  <c r="L746" i="3"/>
  <c r="M746" i="3"/>
  <c r="N746" i="3"/>
  <c r="O746" i="3"/>
  <c r="P746" i="3"/>
  <c r="Q746" i="3"/>
  <c r="R746" i="3"/>
  <c r="S746" i="3"/>
  <c r="T746" i="3"/>
  <c r="U746" i="3"/>
  <c r="V746" i="3"/>
  <c r="W746" i="3"/>
  <c r="X746" i="3"/>
  <c r="Y746" i="3"/>
  <c r="Z746" i="3"/>
  <c r="AA746" i="3"/>
  <c r="AB746" i="3"/>
  <c r="AC746" i="3"/>
  <c r="AD746" i="3"/>
  <c r="AE746" i="3"/>
  <c r="AF746" i="3"/>
  <c r="AG746" i="3"/>
  <c r="AH746" i="3"/>
  <c r="AI746" i="3"/>
  <c r="AJ746" i="3"/>
  <c r="AK746" i="3"/>
  <c r="AL746" i="3"/>
  <c r="AM746" i="3"/>
  <c r="AN746" i="3"/>
  <c r="A747" i="3"/>
  <c r="B747" i="3"/>
  <c r="C747" i="3"/>
  <c r="D747" i="3"/>
  <c r="E747" i="3"/>
  <c r="F747" i="3"/>
  <c r="G747" i="3"/>
  <c r="H747" i="3"/>
  <c r="I747" i="3"/>
  <c r="J747" i="3"/>
  <c r="K747" i="3"/>
  <c r="L747" i="3"/>
  <c r="M747" i="3"/>
  <c r="N747" i="3"/>
  <c r="O747" i="3"/>
  <c r="P747" i="3"/>
  <c r="Q747" i="3"/>
  <c r="R747" i="3"/>
  <c r="S747" i="3"/>
  <c r="T747" i="3"/>
  <c r="U747" i="3"/>
  <c r="V747" i="3"/>
  <c r="W747" i="3"/>
  <c r="X747" i="3"/>
  <c r="Y747" i="3"/>
  <c r="Z747" i="3"/>
  <c r="AA747" i="3"/>
  <c r="AB747" i="3"/>
  <c r="AC747" i="3"/>
  <c r="AD747" i="3"/>
  <c r="AE747" i="3"/>
  <c r="AF747" i="3"/>
  <c r="AG747" i="3"/>
  <c r="AH747" i="3"/>
  <c r="AI747" i="3"/>
  <c r="AJ747" i="3"/>
  <c r="AK747" i="3"/>
  <c r="AL747" i="3"/>
  <c r="AM747" i="3"/>
  <c r="AN747" i="3"/>
  <c r="A748" i="3"/>
  <c r="B748" i="3"/>
  <c r="C748" i="3"/>
  <c r="D748" i="3"/>
  <c r="E748" i="3"/>
  <c r="F748" i="3"/>
  <c r="G748" i="3"/>
  <c r="H748" i="3"/>
  <c r="I748" i="3"/>
  <c r="J748" i="3"/>
  <c r="K748" i="3"/>
  <c r="L748" i="3"/>
  <c r="M748" i="3"/>
  <c r="N748" i="3"/>
  <c r="O748" i="3"/>
  <c r="P748" i="3"/>
  <c r="Q748" i="3"/>
  <c r="R748" i="3"/>
  <c r="S748" i="3"/>
  <c r="T748" i="3"/>
  <c r="U748" i="3"/>
  <c r="V748" i="3"/>
  <c r="W748" i="3"/>
  <c r="X748" i="3"/>
  <c r="Y748" i="3"/>
  <c r="Z748" i="3"/>
  <c r="AA748" i="3"/>
  <c r="AB748" i="3"/>
  <c r="AC748" i="3"/>
  <c r="AD748" i="3"/>
  <c r="AE748" i="3"/>
  <c r="AF748" i="3"/>
  <c r="AG748" i="3"/>
  <c r="AH748" i="3"/>
  <c r="AI748" i="3"/>
  <c r="AJ748" i="3"/>
  <c r="AK748" i="3"/>
  <c r="AL748" i="3"/>
  <c r="AM748" i="3"/>
  <c r="AN748" i="3"/>
  <c r="A749" i="3"/>
  <c r="B749" i="3"/>
  <c r="C749" i="3"/>
  <c r="D749" i="3"/>
  <c r="E749" i="3"/>
  <c r="F749" i="3"/>
  <c r="G749" i="3"/>
  <c r="H749" i="3"/>
  <c r="I749" i="3"/>
  <c r="J749" i="3"/>
  <c r="K749" i="3"/>
  <c r="L749" i="3"/>
  <c r="M749" i="3"/>
  <c r="N749" i="3"/>
  <c r="O749" i="3"/>
  <c r="P749" i="3"/>
  <c r="Q749" i="3"/>
  <c r="R749" i="3"/>
  <c r="S749" i="3"/>
  <c r="T749" i="3"/>
  <c r="U749" i="3"/>
  <c r="V749" i="3"/>
  <c r="W749" i="3"/>
  <c r="X749" i="3"/>
  <c r="Y749" i="3"/>
  <c r="Z749" i="3"/>
  <c r="AA749" i="3"/>
  <c r="AB749" i="3"/>
  <c r="AC749" i="3"/>
  <c r="AD749" i="3"/>
  <c r="AE749" i="3"/>
  <c r="AF749" i="3"/>
  <c r="AG749" i="3"/>
  <c r="AH749" i="3"/>
  <c r="AI749" i="3"/>
  <c r="AJ749" i="3"/>
  <c r="AK749" i="3"/>
  <c r="AL749" i="3"/>
  <c r="AM749" i="3"/>
  <c r="AN749" i="3"/>
  <c r="A750" i="3"/>
  <c r="B750" i="3"/>
  <c r="C750" i="3"/>
  <c r="D750" i="3"/>
  <c r="E750" i="3"/>
  <c r="F750" i="3"/>
  <c r="G750" i="3"/>
  <c r="H750" i="3"/>
  <c r="I750" i="3"/>
  <c r="J750" i="3"/>
  <c r="K750" i="3"/>
  <c r="L750" i="3"/>
  <c r="M750" i="3"/>
  <c r="N750" i="3"/>
  <c r="O750" i="3"/>
  <c r="P750" i="3"/>
  <c r="Q750" i="3"/>
  <c r="R750" i="3"/>
  <c r="S750" i="3"/>
  <c r="T750" i="3"/>
  <c r="U750" i="3"/>
  <c r="V750" i="3"/>
  <c r="W750" i="3"/>
  <c r="X750" i="3"/>
  <c r="Y750" i="3"/>
  <c r="Z750" i="3"/>
  <c r="AA750" i="3"/>
  <c r="AB750" i="3"/>
  <c r="AC750" i="3"/>
  <c r="AD750" i="3"/>
  <c r="AE750" i="3"/>
  <c r="AF750" i="3"/>
  <c r="AG750" i="3"/>
  <c r="AH750" i="3"/>
  <c r="AI750" i="3"/>
  <c r="AJ750" i="3"/>
  <c r="AK750" i="3"/>
  <c r="AL750" i="3"/>
  <c r="AM750" i="3"/>
  <c r="AN750" i="3"/>
  <c r="A751" i="3"/>
  <c r="B751" i="3"/>
  <c r="C751" i="3"/>
  <c r="D751" i="3"/>
  <c r="E751" i="3"/>
  <c r="F751" i="3"/>
  <c r="G751" i="3"/>
  <c r="H751" i="3"/>
  <c r="I751" i="3"/>
  <c r="J751" i="3"/>
  <c r="K751" i="3"/>
  <c r="L751" i="3"/>
  <c r="M751" i="3"/>
  <c r="N751" i="3"/>
  <c r="O751" i="3"/>
  <c r="P751" i="3"/>
  <c r="Q751" i="3"/>
  <c r="R751" i="3"/>
  <c r="S751" i="3"/>
  <c r="T751" i="3"/>
  <c r="U751" i="3"/>
  <c r="V751" i="3"/>
  <c r="W751" i="3"/>
  <c r="X751" i="3"/>
  <c r="Y751" i="3"/>
  <c r="Z751" i="3"/>
  <c r="AA751" i="3"/>
  <c r="AB751" i="3"/>
  <c r="AC751" i="3"/>
  <c r="AD751" i="3"/>
  <c r="AE751" i="3"/>
  <c r="AF751" i="3"/>
  <c r="AG751" i="3"/>
  <c r="AH751" i="3"/>
  <c r="AI751" i="3"/>
  <c r="AJ751" i="3"/>
  <c r="AK751" i="3"/>
  <c r="AL751" i="3"/>
  <c r="AM751" i="3"/>
  <c r="AN751" i="3"/>
  <c r="A752" i="3"/>
  <c r="B752" i="3"/>
  <c r="C752" i="3"/>
  <c r="D752" i="3"/>
  <c r="E752" i="3"/>
  <c r="F752" i="3"/>
  <c r="G752" i="3"/>
  <c r="H752" i="3"/>
  <c r="I752" i="3"/>
  <c r="J752" i="3"/>
  <c r="K752" i="3"/>
  <c r="L752" i="3"/>
  <c r="M752" i="3"/>
  <c r="N752" i="3"/>
  <c r="O752" i="3"/>
  <c r="P752" i="3"/>
  <c r="Q752" i="3"/>
  <c r="R752" i="3"/>
  <c r="S752" i="3"/>
  <c r="T752" i="3"/>
  <c r="U752" i="3"/>
  <c r="V752" i="3"/>
  <c r="W752" i="3"/>
  <c r="X752" i="3"/>
  <c r="Y752" i="3"/>
  <c r="Z752" i="3"/>
  <c r="AA752" i="3"/>
  <c r="AB752" i="3"/>
  <c r="AC752" i="3"/>
  <c r="AD752" i="3"/>
  <c r="AE752" i="3"/>
  <c r="AF752" i="3"/>
  <c r="AG752" i="3"/>
  <c r="AH752" i="3"/>
  <c r="AI752" i="3"/>
  <c r="AJ752" i="3"/>
  <c r="AK752" i="3"/>
  <c r="AL752" i="3"/>
  <c r="AM752" i="3"/>
  <c r="AN752" i="3"/>
  <c r="A753" i="3"/>
  <c r="B753" i="3"/>
  <c r="C753" i="3"/>
  <c r="D753" i="3"/>
  <c r="E753" i="3"/>
  <c r="F753" i="3"/>
  <c r="G753" i="3"/>
  <c r="H753" i="3"/>
  <c r="I753" i="3"/>
  <c r="J753" i="3"/>
  <c r="K753" i="3"/>
  <c r="L753" i="3"/>
  <c r="M753" i="3"/>
  <c r="N753" i="3"/>
  <c r="O753" i="3"/>
  <c r="P753" i="3"/>
  <c r="Q753" i="3"/>
  <c r="R753" i="3"/>
  <c r="S753" i="3"/>
  <c r="T753" i="3"/>
  <c r="U753" i="3"/>
  <c r="V753" i="3"/>
  <c r="W753" i="3"/>
  <c r="X753" i="3"/>
  <c r="Y753" i="3"/>
  <c r="Z753" i="3"/>
  <c r="AA753" i="3"/>
  <c r="AB753" i="3"/>
  <c r="AC753" i="3"/>
  <c r="AD753" i="3"/>
  <c r="AE753" i="3"/>
  <c r="AF753" i="3"/>
  <c r="AG753" i="3"/>
  <c r="AH753" i="3"/>
  <c r="AI753" i="3"/>
  <c r="AJ753" i="3"/>
  <c r="AK753" i="3"/>
  <c r="AL753" i="3"/>
  <c r="AM753" i="3"/>
  <c r="AN753" i="3"/>
  <c r="A754" i="3"/>
  <c r="B754" i="3"/>
  <c r="C754" i="3"/>
  <c r="D754" i="3"/>
  <c r="E754" i="3"/>
  <c r="F754" i="3"/>
  <c r="G754" i="3"/>
  <c r="H754" i="3"/>
  <c r="I754" i="3"/>
  <c r="J754" i="3"/>
  <c r="K754" i="3"/>
  <c r="L754" i="3"/>
  <c r="M754" i="3"/>
  <c r="N754" i="3"/>
  <c r="O754" i="3"/>
  <c r="P754" i="3"/>
  <c r="Q754" i="3"/>
  <c r="R754" i="3"/>
  <c r="S754" i="3"/>
  <c r="T754" i="3"/>
  <c r="U754" i="3"/>
  <c r="V754" i="3"/>
  <c r="W754" i="3"/>
  <c r="X754" i="3"/>
  <c r="Y754" i="3"/>
  <c r="Z754" i="3"/>
  <c r="AA754" i="3"/>
  <c r="AB754" i="3"/>
  <c r="AC754" i="3"/>
  <c r="AD754" i="3"/>
  <c r="AE754" i="3"/>
  <c r="AF754" i="3"/>
  <c r="AG754" i="3"/>
  <c r="AH754" i="3"/>
  <c r="AI754" i="3"/>
  <c r="AJ754" i="3"/>
  <c r="AK754" i="3"/>
  <c r="AL754" i="3"/>
  <c r="AM754" i="3"/>
  <c r="AN754" i="3"/>
  <c r="A755" i="3"/>
  <c r="B755" i="3"/>
  <c r="C755" i="3"/>
  <c r="D755" i="3"/>
  <c r="E755" i="3"/>
  <c r="F755" i="3"/>
  <c r="G755" i="3"/>
  <c r="H755" i="3"/>
  <c r="I755" i="3"/>
  <c r="J755" i="3"/>
  <c r="K755" i="3"/>
  <c r="L755" i="3"/>
  <c r="M755" i="3"/>
  <c r="N755" i="3"/>
  <c r="O755" i="3"/>
  <c r="P755" i="3"/>
  <c r="Q755" i="3"/>
  <c r="R755" i="3"/>
  <c r="S755" i="3"/>
  <c r="T755" i="3"/>
  <c r="U755" i="3"/>
  <c r="V755" i="3"/>
  <c r="W755" i="3"/>
  <c r="X755" i="3"/>
  <c r="Y755" i="3"/>
  <c r="Z755" i="3"/>
  <c r="AA755" i="3"/>
  <c r="AB755" i="3"/>
  <c r="AC755" i="3"/>
  <c r="AD755" i="3"/>
  <c r="AE755" i="3"/>
  <c r="AF755" i="3"/>
  <c r="AG755" i="3"/>
  <c r="AH755" i="3"/>
  <c r="AI755" i="3"/>
  <c r="AJ755" i="3"/>
  <c r="AK755" i="3"/>
  <c r="AL755" i="3"/>
  <c r="AM755" i="3"/>
  <c r="AN755" i="3"/>
  <c r="A756" i="3"/>
  <c r="B756" i="3"/>
  <c r="C756" i="3"/>
  <c r="D756" i="3"/>
  <c r="E756" i="3"/>
  <c r="F756" i="3"/>
  <c r="G756" i="3"/>
  <c r="H756" i="3"/>
  <c r="I756" i="3"/>
  <c r="J756" i="3"/>
  <c r="K756" i="3"/>
  <c r="L756" i="3"/>
  <c r="M756" i="3"/>
  <c r="N756" i="3"/>
  <c r="O756" i="3"/>
  <c r="P756" i="3"/>
  <c r="Q756" i="3"/>
  <c r="R756" i="3"/>
  <c r="S756" i="3"/>
  <c r="T756" i="3"/>
  <c r="U756" i="3"/>
  <c r="V756" i="3"/>
  <c r="W756" i="3"/>
  <c r="X756" i="3"/>
  <c r="Y756" i="3"/>
  <c r="Z756" i="3"/>
  <c r="AA756" i="3"/>
  <c r="AB756" i="3"/>
  <c r="AC756" i="3"/>
  <c r="AD756" i="3"/>
  <c r="AE756" i="3"/>
  <c r="AF756" i="3"/>
  <c r="AG756" i="3"/>
  <c r="AH756" i="3"/>
  <c r="AI756" i="3"/>
  <c r="AJ756" i="3"/>
  <c r="AK756" i="3"/>
  <c r="AL756" i="3"/>
  <c r="AM756" i="3"/>
  <c r="AN756" i="3"/>
  <c r="A757" i="3"/>
  <c r="B757" i="3"/>
  <c r="C757" i="3"/>
  <c r="D757" i="3"/>
  <c r="E757" i="3"/>
  <c r="F757" i="3"/>
  <c r="G757" i="3"/>
  <c r="H757" i="3"/>
  <c r="I757" i="3"/>
  <c r="J757" i="3"/>
  <c r="K757" i="3"/>
  <c r="L757" i="3"/>
  <c r="M757" i="3"/>
  <c r="N757" i="3"/>
  <c r="O757" i="3"/>
  <c r="P757" i="3"/>
  <c r="Q757" i="3"/>
  <c r="R757" i="3"/>
  <c r="S757" i="3"/>
  <c r="T757" i="3"/>
  <c r="U757" i="3"/>
  <c r="V757" i="3"/>
  <c r="W757" i="3"/>
  <c r="X757" i="3"/>
  <c r="Y757" i="3"/>
  <c r="Z757" i="3"/>
  <c r="AA757" i="3"/>
  <c r="AB757" i="3"/>
  <c r="AC757" i="3"/>
  <c r="AD757" i="3"/>
  <c r="AE757" i="3"/>
  <c r="AF757" i="3"/>
  <c r="AG757" i="3"/>
  <c r="AH757" i="3"/>
  <c r="AI757" i="3"/>
  <c r="AJ757" i="3"/>
  <c r="AK757" i="3"/>
  <c r="AL757" i="3"/>
  <c r="AM757" i="3"/>
  <c r="AN757" i="3"/>
  <c r="A758" i="3"/>
  <c r="B758" i="3"/>
  <c r="C758" i="3"/>
  <c r="D758" i="3"/>
  <c r="E758" i="3"/>
  <c r="F758" i="3"/>
  <c r="G758" i="3"/>
  <c r="H758" i="3"/>
  <c r="I758" i="3"/>
  <c r="J758" i="3"/>
  <c r="K758" i="3"/>
  <c r="L758" i="3"/>
  <c r="M758" i="3"/>
  <c r="N758" i="3"/>
  <c r="O758" i="3"/>
  <c r="P758" i="3"/>
  <c r="Q758" i="3"/>
  <c r="R758" i="3"/>
  <c r="S758" i="3"/>
  <c r="T758" i="3"/>
  <c r="U758" i="3"/>
  <c r="V758" i="3"/>
  <c r="W758" i="3"/>
  <c r="X758" i="3"/>
  <c r="Y758" i="3"/>
  <c r="Z758" i="3"/>
  <c r="AA758" i="3"/>
  <c r="AB758" i="3"/>
  <c r="AC758" i="3"/>
  <c r="AD758" i="3"/>
  <c r="AE758" i="3"/>
  <c r="AF758" i="3"/>
  <c r="AG758" i="3"/>
  <c r="AH758" i="3"/>
  <c r="AI758" i="3"/>
  <c r="AJ758" i="3"/>
  <c r="AK758" i="3"/>
  <c r="AL758" i="3"/>
  <c r="AM758" i="3"/>
  <c r="AN758" i="3"/>
  <c r="A759" i="3"/>
  <c r="B759" i="3"/>
  <c r="C759" i="3"/>
  <c r="D759" i="3"/>
  <c r="E759" i="3"/>
  <c r="F759" i="3"/>
  <c r="G759" i="3"/>
  <c r="H759" i="3"/>
  <c r="I759" i="3"/>
  <c r="J759" i="3"/>
  <c r="K759" i="3"/>
  <c r="L759" i="3"/>
  <c r="M759" i="3"/>
  <c r="N759" i="3"/>
  <c r="O759" i="3"/>
  <c r="P759" i="3"/>
  <c r="Q759" i="3"/>
  <c r="R759" i="3"/>
  <c r="S759" i="3"/>
  <c r="T759" i="3"/>
  <c r="U759" i="3"/>
  <c r="V759" i="3"/>
  <c r="W759" i="3"/>
  <c r="X759" i="3"/>
  <c r="Y759" i="3"/>
  <c r="Z759" i="3"/>
  <c r="AA759" i="3"/>
  <c r="AB759" i="3"/>
  <c r="AC759" i="3"/>
  <c r="AD759" i="3"/>
  <c r="AE759" i="3"/>
  <c r="AF759" i="3"/>
  <c r="AG759" i="3"/>
  <c r="AH759" i="3"/>
  <c r="AI759" i="3"/>
  <c r="AJ759" i="3"/>
  <c r="AK759" i="3"/>
  <c r="AL759" i="3"/>
  <c r="AM759" i="3"/>
  <c r="AN759" i="3"/>
  <c r="A760" i="3"/>
  <c r="B760" i="3"/>
  <c r="C760" i="3"/>
  <c r="D760" i="3"/>
  <c r="E760" i="3"/>
  <c r="F760" i="3"/>
  <c r="G760" i="3"/>
  <c r="H760" i="3"/>
  <c r="I760" i="3"/>
  <c r="J760" i="3"/>
  <c r="K760" i="3"/>
  <c r="L760" i="3"/>
  <c r="M760" i="3"/>
  <c r="N760" i="3"/>
  <c r="O760" i="3"/>
  <c r="P760" i="3"/>
  <c r="Q760" i="3"/>
  <c r="R760" i="3"/>
  <c r="S760" i="3"/>
  <c r="T760" i="3"/>
  <c r="U760" i="3"/>
  <c r="V760" i="3"/>
  <c r="W760" i="3"/>
  <c r="X760" i="3"/>
  <c r="Y760" i="3"/>
  <c r="Z760" i="3"/>
  <c r="AA760" i="3"/>
  <c r="AB760" i="3"/>
  <c r="AC760" i="3"/>
  <c r="AD760" i="3"/>
  <c r="AE760" i="3"/>
  <c r="AF760" i="3"/>
  <c r="AG760" i="3"/>
  <c r="AH760" i="3"/>
  <c r="AI760" i="3"/>
  <c r="AJ760" i="3"/>
  <c r="AK760" i="3"/>
  <c r="AL760" i="3"/>
  <c r="AM760" i="3"/>
  <c r="AN760" i="3"/>
  <c r="A761" i="3"/>
  <c r="B761" i="3"/>
  <c r="C761" i="3"/>
  <c r="D761" i="3"/>
  <c r="E761" i="3"/>
  <c r="F761" i="3"/>
  <c r="G761" i="3"/>
  <c r="H761" i="3"/>
  <c r="I761" i="3"/>
  <c r="J761" i="3"/>
  <c r="K761" i="3"/>
  <c r="L761" i="3"/>
  <c r="M761" i="3"/>
  <c r="N761" i="3"/>
  <c r="O761" i="3"/>
  <c r="P761" i="3"/>
  <c r="Q761" i="3"/>
  <c r="R761" i="3"/>
  <c r="S761" i="3"/>
  <c r="T761" i="3"/>
  <c r="U761" i="3"/>
  <c r="V761" i="3"/>
  <c r="W761" i="3"/>
  <c r="X761" i="3"/>
  <c r="Y761" i="3"/>
  <c r="Z761" i="3"/>
  <c r="AA761" i="3"/>
  <c r="AB761" i="3"/>
  <c r="AC761" i="3"/>
  <c r="AD761" i="3"/>
  <c r="AE761" i="3"/>
  <c r="AF761" i="3"/>
  <c r="AG761" i="3"/>
  <c r="AH761" i="3"/>
  <c r="AI761" i="3"/>
  <c r="AJ761" i="3"/>
  <c r="AK761" i="3"/>
  <c r="AL761" i="3"/>
  <c r="AM761" i="3"/>
  <c r="AN761" i="3"/>
  <c r="A762" i="3"/>
  <c r="B762" i="3"/>
  <c r="C762" i="3"/>
  <c r="D762" i="3"/>
  <c r="E762" i="3"/>
  <c r="F762" i="3"/>
  <c r="G762" i="3"/>
  <c r="H762" i="3"/>
  <c r="I762" i="3"/>
  <c r="J762" i="3"/>
  <c r="K762" i="3"/>
  <c r="L762" i="3"/>
  <c r="M762" i="3"/>
  <c r="N762" i="3"/>
  <c r="O762" i="3"/>
  <c r="P762" i="3"/>
  <c r="Q762" i="3"/>
  <c r="R762" i="3"/>
  <c r="S762" i="3"/>
  <c r="T762" i="3"/>
  <c r="U762" i="3"/>
  <c r="V762" i="3"/>
  <c r="W762" i="3"/>
  <c r="X762" i="3"/>
  <c r="Y762" i="3"/>
  <c r="Z762" i="3"/>
  <c r="AA762" i="3"/>
  <c r="AB762" i="3"/>
  <c r="AC762" i="3"/>
  <c r="AD762" i="3"/>
  <c r="AE762" i="3"/>
  <c r="AF762" i="3"/>
  <c r="AG762" i="3"/>
  <c r="AH762" i="3"/>
  <c r="AI762" i="3"/>
  <c r="AJ762" i="3"/>
  <c r="AK762" i="3"/>
  <c r="AL762" i="3"/>
  <c r="AM762" i="3"/>
  <c r="AN762" i="3"/>
  <c r="A763" i="3"/>
  <c r="B763" i="3"/>
  <c r="C763" i="3"/>
  <c r="D763" i="3"/>
  <c r="E763" i="3"/>
  <c r="F763" i="3"/>
  <c r="G763" i="3"/>
  <c r="H763" i="3"/>
  <c r="I763" i="3"/>
  <c r="J763" i="3"/>
  <c r="K763" i="3"/>
  <c r="L763" i="3"/>
  <c r="M763" i="3"/>
  <c r="N763" i="3"/>
  <c r="O763" i="3"/>
  <c r="P763" i="3"/>
  <c r="Q763" i="3"/>
  <c r="R763" i="3"/>
  <c r="S763" i="3"/>
  <c r="T763" i="3"/>
  <c r="U763" i="3"/>
  <c r="V763" i="3"/>
  <c r="W763" i="3"/>
  <c r="X763" i="3"/>
  <c r="Y763" i="3"/>
  <c r="Z763" i="3"/>
  <c r="AA763" i="3"/>
  <c r="AB763" i="3"/>
  <c r="AC763" i="3"/>
  <c r="AD763" i="3"/>
  <c r="AE763" i="3"/>
  <c r="AF763" i="3"/>
  <c r="AG763" i="3"/>
  <c r="AH763" i="3"/>
  <c r="AI763" i="3"/>
  <c r="AJ763" i="3"/>
  <c r="AK763" i="3"/>
  <c r="AL763" i="3"/>
  <c r="AM763" i="3"/>
  <c r="AN763" i="3"/>
  <c r="A764" i="3"/>
  <c r="B764" i="3"/>
  <c r="C764" i="3"/>
  <c r="D764" i="3"/>
  <c r="E764" i="3"/>
  <c r="F764" i="3"/>
  <c r="G764" i="3"/>
  <c r="H764" i="3"/>
  <c r="I764" i="3"/>
  <c r="J764" i="3"/>
  <c r="K764" i="3"/>
  <c r="L764" i="3"/>
  <c r="M764" i="3"/>
  <c r="N764" i="3"/>
  <c r="O764" i="3"/>
  <c r="P764" i="3"/>
  <c r="Q764" i="3"/>
  <c r="R764" i="3"/>
  <c r="S764" i="3"/>
  <c r="T764" i="3"/>
  <c r="U764" i="3"/>
  <c r="V764" i="3"/>
  <c r="W764" i="3"/>
  <c r="X764" i="3"/>
  <c r="Y764" i="3"/>
  <c r="Z764" i="3"/>
  <c r="AA764" i="3"/>
  <c r="AB764" i="3"/>
  <c r="AC764" i="3"/>
  <c r="AD764" i="3"/>
  <c r="AE764" i="3"/>
  <c r="AF764" i="3"/>
  <c r="AG764" i="3"/>
  <c r="AH764" i="3"/>
  <c r="AI764" i="3"/>
  <c r="AJ764" i="3"/>
  <c r="AK764" i="3"/>
  <c r="AL764" i="3"/>
  <c r="AM764" i="3"/>
  <c r="AN764" i="3"/>
  <c r="A765" i="3"/>
  <c r="B765" i="3"/>
  <c r="C765" i="3"/>
  <c r="D765" i="3"/>
  <c r="E765" i="3"/>
  <c r="F765" i="3"/>
  <c r="G765" i="3"/>
  <c r="H765" i="3"/>
  <c r="I765" i="3"/>
  <c r="J765" i="3"/>
  <c r="K765" i="3"/>
  <c r="L765" i="3"/>
  <c r="M765" i="3"/>
  <c r="N765" i="3"/>
  <c r="O765" i="3"/>
  <c r="P765" i="3"/>
  <c r="Q765" i="3"/>
  <c r="R765" i="3"/>
  <c r="S765" i="3"/>
  <c r="T765" i="3"/>
  <c r="U765" i="3"/>
  <c r="V765" i="3"/>
  <c r="W765" i="3"/>
  <c r="X765" i="3"/>
  <c r="Y765" i="3"/>
  <c r="Z765" i="3"/>
  <c r="AA765" i="3"/>
  <c r="AB765" i="3"/>
  <c r="AC765" i="3"/>
  <c r="AD765" i="3"/>
  <c r="AE765" i="3"/>
  <c r="AF765" i="3"/>
  <c r="AG765" i="3"/>
  <c r="AH765" i="3"/>
  <c r="AI765" i="3"/>
  <c r="AJ765" i="3"/>
  <c r="AK765" i="3"/>
  <c r="AL765" i="3"/>
  <c r="AM765" i="3"/>
  <c r="AN765" i="3"/>
  <c r="A766" i="3"/>
  <c r="B766" i="3"/>
  <c r="C766" i="3"/>
  <c r="D766" i="3"/>
  <c r="E766" i="3"/>
  <c r="F766" i="3"/>
  <c r="G766" i="3"/>
  <c r="H766" i="3"/>
  <c r="I766" i="3"/>
  <c r="J766" i="3"/>
  <c r="K766" i="3"/>
  <c r="L766" i="3"/>
  <c r="M766" i="3"/>
  <c r="N766" i="3"/>
  <c r="O766" i="3"/>
  <c r="P766" i="3"/>
  <c r="Q766" i="3"/>
  <c r="R766" i="3"/>
  <c r="S766" i="3"/>
  <c r="T766" i="3"/>
  <c r="U766" i="3"/>
  <c r="V766" i="3"/>
  <c r="W766" i="3"/>
  <c r="X766" i="3"/>
  <c r="Y766" i="3"/>
  <c r="Z766" i="3"/>
  <c r="AA766" i="3"/>
  <c r="AB766" i="3"/>
  <c r="AC766" i="3"/>
  <c r="AD766" i="3"/>
  <c r="AE766" i="3"/>
  <c r="AF766" i="3"/>
  <c r="AG766" i="3"/>
  <c r="AH766" i="3"/>
  <c r="AI766" i="3"/>
  <c r="AJ766" i="3"/>
  <c r="AK766" i="3"/>
  <c r="AL766" i="3"/>
  <c r="AM766" i="3"/>
  <c r="AN766" i="3"/>
  <c r="A767" i="3"/>
  <c r="B767" i="3"/>
  <c r="C767" i="3"/>
  <c r="D767" i="3"/>
  <c r="E767" i="3"/>
  <c r="F767" i="3"/>
  <c r="G767" i="3"/>
  <c r="H767" i="3"/>
  <c r="I767" i="3"/>
  <c r="J767" i="3"/>
  <c r="K767" i="3"/>
  <c r="L767" i="3"/>
  <c r="M767" i="3"/>
  <c r="N767" i="3"/>
  <c r="O767" i="3"/>
  <c r="P767" i="3"/>
  <c r="Q767" i="3"/>
  <c r="R767" i="3"/>
  <c r="S767" i="3"/>
  <c r="T767" i="3"/>
  <c r="U767" i="3"/>
  <c r="V767" i="3"/>
  <c r="W767" i="3"/>
  <c r="X767" i="3"/>
  <c r="Y767" i="3"/>
  <c r="Z767" i="3"/>
  <c r="AA767" i="3"/>
  <c r="AB767" i="3"/>
  <c r="AC767" i="3"/>
  <c r="AD767" i="3"/>
  <c r="AE767" i="3"/>
  <c r="AF767" i="3"/>
  <c r="AG767" i="3"/>
  <c r="AH767" i="3"/>
  <c r="AI767" i="3"/>
  <c r="AJ767" i="3"/>
  <c r="AK767" i="3"/>
  <c r="AL767" i="3"/>
  <c r="AM767" i="3"/>
  <c r="AN767" i="3"/>
  <c r="A768" i="3"/>
  <c r="B768" i="3"/>
  <c r="C768" i="3"/>
  <c r="D768" i="3"/>
  <c r="E768" i="3"/>
  <c r="F768" i="3"/>
  <c r="G768" i="3"/>
  <c r="H768" i="3"/>
  <c r="I768" i="3"/>
  <c r="J768" i="3"/>
  <c r="K768" i="3"/>
  <c r="L768" i="3"/>
  <c r="M768" i="3"/>
  <c r="N768" i="3"/>
  <c r="O768" i="3"/>
  <c r="P768" i="3"/>
  <c r="Q768" i="3"/>
  <c r="R768" i="3"/>
  <c r="S768" i="3"/>
  <c r="T768" i="3"/>
  <c r="U768" i="3"/>
  <c r="V768" i="3"/>
  <c r="W768" i="3"/>
  <c r="X768" i="3"/>
  <c r="Y768" i="3"/>
  <c r="Z768" i="3"/>
  <c r="AA768" i="3"/>
  <c r="AB768" i="3"/>
  <c r="AC768" i="3"/>
  <c r="AD768" i="3"/>
  <c r="AE768" i="3"/>
  <c r="AF768" i="3"/>
  <c r="AG768" i="3"/>
  <c r="AH768" i="3"/>
  <c r="AI768" i="3"/>
  <c r="AJ768" i="3"/>
  <c r="AK768" i="3"/>
  <c r="AL768" i="3"/>
  <c r="AM768" i="3"/>
  <c r="AN768" i="3"/>
  <c r="A769" i="3"/>
  <c r="B769" i="3"/>
  <c r="C769" i="3"/>
  <c r="D769" i="3"/>
  <c r="E769" i="3"/>
  <c r="F769" i="3"/>
  <c r="G769" i="3"/>
  <c r="H769" i="3"/>
  <c r="I769" i="3"/>
  <c r="J769" i="3"/>
  <c r="K769" i="3"/>
  <c r="L769" i="3"/>
  <c r="M769" i="3"/>
  <c r="N769" i="3"/>
  <c r="O769" i="3"/>
  <c r="P769" i="3"/>
  <c r="Q769" i="3"/>
  <c r="R769" i="3"/>
  <c r="S769" i="3"/>
  <c r="T769" i="3"/>
  <c r="U769" i="3"/>
  <c r="V769" i="3"/>
  <c r="W769" i="3"/>
  <c r="X769" i="3"/>
  <c r="Y769" i="3"/>
  <c r="Z769" i="3"/>
  <c r="AA769" i="3"/>
  <c r="AB769" i="3"/>
  <c r="AC769" i="3"/>
  <c r="AD769" i="3"/>
  <c r="AE769" i="3"/>
  <c r="AF769" i="3"/>
  <c r="AG769" i="3"/>
  <c r="AH769" i="3"/>
  <c r="AI769" i="3"/>
  <c r="AJ769" i="3"/>
  <c r="AK769" i="3"/>
  <c r="AL769" i="3"/>
  <c r="AM769" i="3"/>
  <c r="AN769" i="3"/>
  <c r="A770" i="3"/>
  <c r="B770" i="3"/>
  <c r="C770" i="3"/>
  <c r="D770" i="3"/>
  <c r="E770" i="3"/>
  <c r="F770" i="3"/>
  <c r="G770" i="3"/>
  <c r="H770" i="3"/>
  <c r="I770" i="3"/>
  <c r="J770" i="3"/>
  <c r="K770" i="3"/>
  <c r="L770" i="3"/>
  <c r="M770" i="3"/>
  <c r="N770" i="3"/>
  <c r="O770" i="3"/>
  <c r="P770" i="3"/>
  <c r="Q770" i="3"/>
  <c r="R770" i="3"/>
  <c r="S770" i="3"/>
  <c r="T770" i="3"/>
  <c r="U770" i="3"/>
  <c r="V770" i="3"/>
  <c r="W770" i="3"/>
  <c r="X770" i="3"/>
  <c r="Y770" i="3"/>
  <c r="Z770" i="3"/>
  <c r="AA770" i="3"/>
  <c r="AB770" i="3"/>
  <c r="AC770" i="3"/>
  <c r="AD770" i="3"/>
  <c r="AE770" i="3"/>
  <c r="AF770" i="3"/>
  <c r="AG770" i="3"/>
  <c r="AH770" i="3"/>
  <c r="AI770" i="3"/>
  <c r="AJ770" i="3"/>
  <c r="AK770" i="3"/>
  <c r="AL770" i="3"/>
  <c r="AM770" i="3"/>
  <c r="AN770" i="3"/>
  <c r="A771" i="3"/>
  <c r="B771" i="3"/>
  <c r="C771" i="3"/>
  <c r="D771" i="3"/>
  <c r="E771" i="3"/>
  <c r="F771" i="3"/>
  <c r="G771" i="3"/>
  <c r="H771" i="3"/>
  <c r="I771" i="3"/>
  <c r="J771" i="3"/>
  <c r="K771" i="3"/>
  <c r="L771" i="3"/>
  <c r="M771" i="3"/>
  <c r="N771" i="3"/>
  <c r="O771" i="3"/>
  <c r="P771" i="3"/>
  <c r="Q771" i="3"/>
  <c r="R771" i="3"/>
  <c r="S771" i="3"/>
  <c r="T771" i="3"/>
  <c r="U771" i="3"/>
  <c r="V771" i="3"/>
  <c r="W771" i="3"/>
  <c r="X771" i="3"/>
  <c r="Y771" i="3"/>
  <c r="Z771" i="3"/>
  <c r="AA771" i="3"/>
  <c r="AB771" i="3"/>
  <c r="AC771" i="3"/>
  <c r="AD771" i="3"/>
  <c r="AE771" i="3"/>
  <c r="AF771" i="3"/>
  <c r="AG771" i="3"/>
  <c r="AH771" i="3"/>
  <c r="AI771" i="3"/>
  <c r="AJ771" i="3"/>
  <c r="AK771" i="3"/>
  <c r="AL771" i="3"/>
  <c r="AM771" i="3"/>
  <c r="AN771" i="3"/>
  <c r="A772" i="3"/>
  <c r="B772" i="3"/>
  <c r="C772" i="3"/>
  <c r="D772" i="3"/>
  <c r="E772" i="3"/>
  <c r="F772" i="3"/>
  <c r="G772" i="3"/>
  <c r="H772" i="3"/>
  <c r="I772" i="3"/>
  <c r="J772" i="3"/>
  <c r="K772" i="3"/>
  <c r="L772" i="3"/>
  <c r="M772" i="3"/>
  <c r="N772" i="3"/>
  <c r="O772" i="3"/>
  <c r="P772" i="3"/>
  <c r="Q772" i="3"/>
  <c r="R772" i="3"/>
  <c r="S772" i="3"/>
  <c r="T772" i="3"/>
  <c r="U772" i="3"/>
  <c r="V772" i="3"/>
  <c r="W772" i="3"/>
  <c r="X772" i="3"/>
  <c r="Y772" i="3"/>
  <c r="Z772" i="3"/>
  <c r="AA772" i="3"/>
  <c r="AB772" i="3"/>
  <c r="AC772" i="3"/>
  <c r="AD772" i="3"/>
  <c r="AE772" i="3"/>
  <c r="AF772" i="3"/>
  <c r="AG772" i="3"/>
  <c r="AH772" i="3"/>
  <c r="AI772" i="3"/>
  <c r="AJ772" i="3"/>
  <c r="AK772" i="3"/>
  <c r="AL772" i="3"/>
  <c r="AM772" i="3"/>
  <c r="AN772" i="3"/>
  <c r="A773" i="3"/>
  <c r="B773" i="3"/>
  <c r="C773" i="3"/>
  <c r="D773" i="3"/>
  <c r="E773" i="3"/>
  <c r="F773" i="3"/>
  <c r="G773" i="3"/>
  <c r="H773" i="3"/>
  <c r="I773" i="3"/>
  <c r="J773" i="3"/>
  <c r="K773" i="3"/>
  <c r="L773" i="3"/>
  <c r="M773" i="3"/>
  <c r="N773" i="3"/>
  <c r="O773" i="3"/>
  <c r="P773" i="3"/>
  <c r="Q773" i="3"/>
  <c r="R773" i="3"/>
  <c r="S773" i="3"/>
  <c r="T773" i="3"/>
  <c r="U773" i="3"/>
  <c r="V773" i="3"/>
  <c r="W773" i="3"/>
  <c r="X773" i="3"/>
  <c r="Y773" i="3"/>
  <c r="Z773" i="3"/>
  <c r="AA773" i="3"/>
  <c r="AB773" i="3"/>
  <c r="AC773" i="3"/>
  <c r="AD773" i="3"/>
  <c r="AE773" i="3"/>
  <c r="AF773" i="3"/>
  <c r="AG773" i="3"/>
  <c r="AH773" i="3"/>
  <c r="AI773" i="3"/>
  <c r="AJ773" i="3"/>
  <c r="AK773" i="3"/>
  <c r="AL773" i="3"/>
  <c r="AM773" i="3"/>
  <c r="AN773" i="3"/>
  <c r="A774" i="3"/>
  <c r="B774" i="3"/>
  <c r="C774" i="3"/>
  <c r="D774" i="3"/>
  <c r="E774" i="3"/>
  <c r="F774" i="3"/>
  <c r="G774" i="3"/>
  <c r="H774" i="3"/>
  <c r="I774" i="3"/>
  <c r="J774" i="3"/>
  <c r="K774" i="3"/>
  <c r="L774" i="3"/>
  <c r="M774" i="3"/>
  <c r="N774" i="3"/>
  <c r="O774" i="3"/>
  <c r="P774" i="3"/>
  <c r="Q774" i="3"/>
  <c r="R774" i="3"/>
  <c r="S774" i="3"/>
  <c r="T774" i="3"/>
  <c r="U774" i="3"/>
  <c r="V774" i="3"/>
  <c r="W774" i="3"/>
  <c r="X774" i="3"/>
  <c r="Y774" i="3"/>
  <c r="Z774" i="3"/>
  <c r="AA774" i="3"/>
  <c r="AB774" i="3"/>
  <c r="AC774" i="3"/>
  <c r="AD774" i="3"/>
  <c r="AE774" i="3"/>
  <c r="AF774" i="3"/>
  <c r="AG774" i="3"/>
  <c r="AH774" i="3"/>
  <c r="AI774" i="3"/>
  <c r="AJ774" i="3"/>
  <c r="AK774" i="3"/>
  <c r="AL774" i="3"/>
  <c r="AM774" i="3"/>
  <c r="AN774" i="3"/>
  <c r="A775" i="3"/>
  <c r="B775" i="3"/>
  <c r="C775" i="3"/>
  <c r="D775" i="3"/>
  <c r="E775" i="3"/>
  <c r="F775" i="3"/>
  <c r="G775" i="3"/>
  <c r="H775" i="3"/>
  <c r="I775" i="3"/>
  <c r="J775" i="3"/>
  <c r="K775" i="3"/>
  <c r="L775" i="3"/>
  <c r="M775" i="3"/>
  <c r="N775" i="3"/>
  <c r="O775" i="3"/>
  <c r="P775" i="3"/>
  <c r="Q775" i="3"/>
  <c r="R775" i="3"/>
  <c r="S775" i="3"/>
  <c r="T775" i="3"/>
  <c r="U775" i="3"/>
  <c r="V775" i="3"/>
  <c r="W775" i="3"/>
  <c r="X775" i="3"/>
  <c r="Y775" i="3"/>
  <c r="Z775" i="3"/>
  <c r="AA775" i="3"/>
  <c r="AB775" i="3"/>
  <c r="AC775" i="3"/>
  <c r="AD775" i="3"/>
  <c r="AE775" i="3"/>
  <c r="AF775" i="3"/>
  <c r="AG775" i="3"/>
  <c r="AH775" i="3"/>
  <c r="AI775" i="3"/>
  <c r="AJ775" i="3"/>
  <c r="AK775" i="3"/>
  <c r="AL775" i="3"/>
  <c r="AM775" i="3"/>
  <c r="AN775" i="3"/>
  <c r="A776" i="3"/>
  <c r="B776" i="3"/>
  <c r="C776" i="3"/>
  <c r="D776" i="3"/>
  <c r="E776" i="3"/>
  <c r="F776" i="3"/>
  <c r="G776" i="3"/>
  <c r="H776" i="3"/>
  <c r="I776" i="3"/>
  <c r="J776" i="3"/>
  <c r="K776" i="3"/>
  <c r="L776" i="3"/>
  <c r="M776" i="3"/>
  <c r="N776" i="3"/>
  <c r="O776" i="3"/>
  <c r="P776" i="3"/>
  <c r="Q776" i="3"/>
  <c r="R776" i="3"/>
  <c r="S776" i="3"/>
  <c r="T776" i="3"/>
  <c r="U776" i="3"/>
  <c r="V776" i="3"/>
  <c r="W776" i="3"/>
  <c r="X776" i="3"/>
  <c r="Y776" i="3"/>
  <c r="Z776" i="3"/>
  <c r="AA776" i="3"/>
  <c r="AB776" i="3"/>
  <c r="AC776" i="3"/>
  <c r="AD776" i="3"/>
  <c r="AE776" i="3"/>
  <c r="AF776" i="3"/>
  <c r="AG776" i="3"/>
  <c r="AH776" i="3"/>
  <c r="AI776" i="3"/>
  <c r="AJ776" i="3"/>
  <c r="AK776" i="3"/>
  <c r="AL776" i="3"/>
  <c r="AM776" i="3"/>
  <c r="AN776" i="3"/>
  <c r="A777" i="3"/>
  <c r="B777" i="3"/>
  <c r="C777" i="3"/>
  <c r="D777" i="3"/>
  <c r="E777" i="3"/>
  <c r="F777" i="3"/>
  <c r="G777" i="3"/>
  <c r="H777" i="3"/>
  <c r="I777" i="3"/>
  <c r="J777" i="3"/>
  <c r="K777" i="3"/>
  <c r="L777" i="3"/>
  <c r="M777" i="3"/>
  <c r="N777" i="3"/>
  <c r="O777" i="3"/>
  <c r="P777" i="3"/>
  <c r="Q777" i="3"/>
  <c r="R777" i="3"/>
  <c r="S777" i="3"/>
  <c r="T777" i="3"/>
  <c r="U777" i="3"/>
  <c r="V777" i="3"/>
  <c r="W777" i="3"/>
  <c r="X777" i="3"/>
  <c r="Y777" i="3"/>
  <c r="Z777" i="3"/>
  <c r="AA777" i="3"/>
  <c r="AB777" i="3"/>
  <c r="AC777" i="3"/>
  <c r="AD777" i="3"/>
  <c r="AE777" i="3"/>
  <c r="AF777" i="3"/>
  <c r="AG777" i="3"/>
  <c r="AH777" i="3"/>
  <c r="AI777" i="3"/>
  <c r="AJ777" i="3"/>
  <c r="AK777" i="3"/>
  <c r="AL777" i="3"/>
  <c r="AM777" i="3"/>
  <c r="AN777" i="3"/>
  <c r="A778" i="3"/>
  <c r="B778" i="3"/>
  <c r="C778" i="3"/>
  <c r="D778" i="3"/>
  <c r="E778" i="3"/>
  <c r="F778" i="3"/>
  <c r="G778" i="3"/>
  <c r="H778" i="3"/>
  <c r="I778" i="3"/>
  <c r="J778" i="3"/>
  <c r="K778" i="3"/>
  <c r="L778" i="3"/>
  <c r="M778" i="3"/>
  <c r="N778" i="3"/>
  <c r="O778" i="3"/>
  <c r="P778" i="3"/>
  <c r="Q778" i="3"/>
  <c r="R778" i="3"/>
  <c r="S778" i="3"/>
  <c r="T778" i="3"/>
  <c r="U778" i="3"/>
  <c r="V778" i="3"/>
  <c r="W778" i="3"/>
  <c r="X778" i="3"/>
  <c r="Y778" i="3"/>
  <c r="Z778" i="3"/>
  <c r="AA778" i="3"/>
  <c r="AB778" i="3"/>
  <c r="AC778" i="3"/>
  <c r="AD778" i="3"/>
  <c r="AE778" i="3"/>
  <c r="AF778" i="3"/>
  <c r="AG778" i="3"/>
  <c r="AH778" i="3"/>
  <c r="AI778" i="3"/>
  <c r="AJ778" i="3"/>
  <c r="AK778" i="3"/>
  <c r="AL778" i="3"/>
  <c r="AM778" i="3"/>
  <c r="AN778" i="3"/>
  <c r="A779" i="3"/>
  <c r="B779" i="3"/>
  <c r="C779" i="3"/>
  <c r="D779" i="3"/>
  <c r="E779" i="3"/>
  <c r="F779" i="3"/>
  <c r="G779" i="3"/>
  <c r="H779" i="3"/>
  <c r="I779" i="3"/>
  <c r="J779" i="3"/>
  <c r="K779" i="3"/>
  <c r="L779" i="3"/>
  <c r="M779" i="3"/>
  <c r="N779" i="3"/>
  <c r="O779" i="3"/>
  <c r="P779" i="3"/>
  <c r="Q779" i="3"/>
  <c r="R779" i="3"/>
  <c r="S779" i="3"/>
  <c r="T779" i="3"/>
  <c r="U779" i="3"/>
  <c r="V779" i="3"/>
  <c r="W779" i="3"/>
  <c r="X779" i="3"/>
  <c r="Y779" i="3"/>
  <c r="Z779" i="3"/>
  <c r="AA779" i="3"/>
  <c r="AB779" i="3"/>
  <c r="AC779" i="3"/>
  <c r="AD779" i="3"/>
  <c r="AE779" i="3"/>
  <c r="AF779" i="3"/>
  <c r="AG779" i="3"/>
  <c r="AH779" i="3"/>
  <c r="AI779" i="3"/>
  <c r="AJ779" i="3"/>
  <c r="AK779" i="3"/>
  <c r="AL779" i="3"/>
  <c r="AM779" i="3"/>
  <c r="AN779" i="3"/>
  <c r="A780" i="3"/>
  <c r="B780" i="3"/>
  <c r="C780" i="3"/>
  <c r="D780" i="3"/>
  <c r="E780" i="3"/>
  <c r="F780" i="3"/>
  <c r="G780" i="3"/>
  <c r="H780" i="3"/>
  <c r="I780" i="3"/>
  <c r="J780" i="3"/>
  <c r="K780" i="3"/>
  <c r="L780" i="3"/>
  <c r="M780" i="3"/>
  <c r="N780" i="3"/>
  <c r="O780" i="3"/>
  <c r="P780" i="3"/>
  <c r="Q780" i="3"/>
  <c r="R780" i="3"/>
  <c r="S780" i="3"/>
  <c r="T780" i="3"/>
  <c r="U780" i="3"/>
  <c r="V780" i="3"/>
  <c r="W780" i="3"/>
  <c r="X780" i="3"/>
  <c r="Y780" i="3"/>
  <c r="Z780" i="3"/>
  <c r="AA780" i="3"/>
  <c r="AB780" i="3"/>
  <c r="AC780" i="3"/>
  <c r="AD780" i="3"/>
  <c r="AE780" i="3"/>
  <c r="AF780" i="3"/>
  <c r="AG780" i="3"/>
  <c r="AH780" i="3"/>
  <c r="AI780" i="3"/>
  <c r="AJ780" i="3"/>
  <c r="AK780" i="3"/>
  <c r="AL780" i="3"/>
  <c r="AM780" i="3"/>
  <c r="AN780" i="3"/>
  <c r="A781" i="3"/>
  <c r="B781" i="3"/>
  <c r="C781" i="3"/>
  <c r="D781" i="3"/>
  <c r="E781" i="3"/>
  <c r="F781" i="3"/>
  <c r="G781" i="3"/>
  <c r="H781" i="3"/>
  <c r="I781" i="3"/>
  <c r="J781" i="3"/>
  <c r="K781" i="3"/>
  <c r="L781" i="3"/>
  <c r="M781" i="3"/>
  <c r="N781" i="3"/>
  <c r="O781" i="3"/>
  <c r="P781" i="3"/>
  <c r="Q781" i="3"/>
  <c r="R781" i="3"/>
  <c r="S781" i="3"/>
  <c r="T781" i="3"/>
  <c r="U781" i="3"/>
  <c r="V781" i="3"/>
  <c r="W781" i="3"/>
  <c r="X781" i="3"/>
  <c r="Y781" i="3"/>
  <c r="Z781" i="3"/>
  <c r="AA781" i="3"/>
  <c r="AB781" i="3"/>
  <c r="AC781" i="3"/>
  <c r="AD781" i="3"/>
  <c r="AE781" i="3"/>
  <c r="AF781" i="3"/>
  <c r="AG781" i="3"/>
  <c r="AH781" i="3"/>
  <c r="AI781" i="3"/>
  <c r="AJ781" i="3"/>
  <c r="AK781" i="3"/>
  <c r="AL781" i="3"/>
  <c r="AM781" i="3"/>
  <c r="AN781" i="3"/>
  <c r="A782" i="3"/>
  <c r="B782" i="3"/>
  <c r="C782" i="3"/>
  <c r="D782" i="3"/>
  <c r="E782" i="3"/>
  <c r="F782" i="3"/>
  <c r="G782" i="3"/>
  <c r="H782" i="3"/>
  <c r="I782" i="3"/>
  <c r="J782" i="3"/>
  <c r="K782" i="3"/>
  <c r="L782" i="3"/>
  <c r="M782" i="3"/>
  <c r="N782" i="3"/>
  <c r="O782" i="3"/>
  <c r="P782" i="3"/>
  <c r="Q782" i="3"/>
  <c r="R782" i="3"/>
  <c r="S782" i="3"/>
  <c r="T782" i="3"/>
  <c r="U782" i="3"/>
  <c r="V782" i="3"/>
  <c r="W782" i="3"/>
  <c r="X782" i="3"/>
  <c r="Y782" i="3"/>
  <c r="Z782" i="3"/>
  <c r="AA782" i="3"/>
  <c r="AB782" i="3"/>
  <c r="AC782" i="3"/>
  <c r="AD782" i="3"/>
  <c r="AE782" i="3"/>
  <c r="AF782" i="3"/>
  <c r="AG782" i="3"/>
  <c r="AH782" i="3"/>
  <c r="AI782" i="3"/>
  <c r="AJ782" i="3"/>
  <c r="AK782" i="3"/>
  <c r="AL782" i="3"/>
  <c r="AM782" i="3"/>
  <c r="AN782" i="3"/>
  <c r="A783" i="3"/>
  <c r="B783" i="3"/>
  <c r="C783" i="3"/>
  <c r="D783" i="3"/>
  <c r="E783" i="3"/>
  <c r="F783" i="3"/>
  <c r="G783" i="3"/>
  <c r="H783" i="3"/>
  <c r="I783" i="3"/>
  <c r="J783" i="3"/>
  <c r="K783" i="3"/>
  <c r="L783" i="3"/>
  <c r="M783" i="3"/>
  <c r="N783" i="3"/>
  <c r="O783" i="3"/>
  <c r="P783" i="3"/>
  <c r="Q783" i="3"/>
  <c r="R783" i="3"/>
  <c r="S783" i="3"/>
  <c r="T783" i="3"/>
  <c r="U783" i="3"/>
  <c r="V783" i="3"/>
  <c r="W783" i="3"/>
  <c r="X783" i="3"/>
  <c r="Y783" i="3"/>
  <c r="Z783" i="3"/>
  <c r="AA783" i="3"/>
  <c r="AB783" i="3"/>
  <c r="AC783" i="3"/>
  <c r="AD783" i="3"/>
  <c r="AE783" i="3"/>
  <c r="AF783" i="3"/>
  <c r="AG783" i="3"/>
  <c r="AH783" i="3"/>
  <c r="AI783" i="3"/>
  <c r="AJ783" i="3"/>
  <c r="AK783" i="3"/>
  <c r="AL783" i="3"/>
  <c r="AM783" i="3"/>
  <c r="AN783" i="3"/>
  <c r="A784" i="3"/>
  <c r="B784" i="3"/>
  <c r="C784" i="3"/>
  <c r="D784" i="3"/>
  <c r="E784" i="3"/>
  <c r="F784" i="3"/>
  <c r="G784" i="3"/>
  <c r="H784" i="3"/>
  <c r="I784" i="3"/>
  <c r="J784" i="3"/>
  <c r="K784" i="3"/>
  <c r="L784" i="3"/>
  <c r="M784" i="3"/>
  <c r="N784" i="3"/>
  <c r="O784" i="3"/>
  <c r="P784" i="3"/>
  <c r="Q784" i="3"/>
  <c r="R784" i="3"/>
  <c r="S784" i="3"/>
  <c r="T784" i="3"/>
  <c r="U784" i="3"/>
  <c r="V784" i="3"/>
  <c r="W784" i="3"/>
  <c r="X784" i="3"/>
  <c r="Y784" i="3"/>
  <c r="Z784" i="3"/>
  <c r="AA784" i="3"/>
  <c r="AB784" i="3"/>
  <c r="AC784" i="3"/>
  <c r="AD784" i="3"/>
  <c r="AE784" i="3"/>
  <c r="AF784" i="3"/>
  <c r="AG784" i="3"/>
  <c r="AH784" i="3"/>
  <c r="AI784" i="3"/>
  <c r="AJ784" i="3"/>
  <c r="AK784" i="3"/>
  <c r="AL784" i="3"/>
  <c r="AM784" i="3"/>
  <c r="AN784" i="3"/>
  <c r="A785" i="3"/>
  <c r="B785" i="3"/>
  <c r="C785" i="3"/>
  <c r="D785" i="3"/>
  <c r="E785" i="3"/>
  <c r="F785" i="3"/>
  <c r="G785" i="3"/>
  <c r="H785" i="3"/>
  <c r="I785" i="3"/>
  <c r="J785" i="3"/>
  <c r="K785" i="3"/>
  <c r="L785" i="3"/>
  <c r="M785" i="3"/>
  <c r="N785" i="3"/>
  <c r="O785" i="3"/>
  <c r="P785" i="3"/>
  <c r="Q785" i="3"/>
  <c r="R785" i="3"/>
  <c r="S785" i="3"/>
  <c r="T785" i="3"/>
  <c r="U785" i="3"/>
  <c r="V785" i="3"/>
  <c r="W785" i="3"/>
  <c r="X785" i="3"/>
  <c r="Y785" i="3"/>
  <c r="Z785" i="3"/>
  <c r="AA785" i="3"/>
  <c r="AB785" i="3"/>
  <c r="AC785" i="3"/>
  <c r="AD785" i="3"/>
  <c r="AE785" i="3"/>
  <c r="AF785" i="3"/>
  <c r="AG785" i="3"/>
  <c r="AH785" i="3"/>
  <c r="AI785" i="3"/>
  <c r="AJ785" i="3"/>
  <c r="AK785" i="3"/>
  <c r="AL785" i="3"/>
  <c r="AM785" i="3"/>
  <c r="AN785" i="3"/>
  <c r="A786" i="3"/>
  <c r="B786" i="3"/>
  <c r="C786" i="3"/>
  <c r="D786" i="3"/>
  <c r="E786" i="3"/>
  <c r="F786" i="3"/>
  <c r="G786" i="3"/>
  <c r="H786" i="3"/>
  <c r="I786" i="3"/>
  <c r="J786" i="3"/>
  <c r="K786" i="3"/>
  <c r="L786" i="3"/>
  <c r="M786" i="3"/>
  <c r="N786" i="3"/>
  <c r="O786" i="3"/>
  <c r="P786" i="3"/>
  <c r="Q786" i="3"/>
  <c r="R786" i="3"/>
  <c r="S786" i="3"/>
  <c r="T786" i="3"/>
  <c r="U786" i="3"/>
  <c r="V786" i="3"/>
  <c r="W786" i="3"/>
  <c r="X786" i="3"/>
  <c r="Y786" i="3"/>
  <c r="Z786" i="3"/>
  <c r="AA786" i="3"/>
  <c r="AB786" i="3"/>
  <c r="AC786" i="3"/>
  <c r="AD786" i="3"/>
  <c r="AE786" i="3"/>
  <c r="AF786" i="3"/>
  <c r="AG786" i="3"/>
  <c r="AH786" i="3"/>
  <c r="AI786" i="3"/>
  <c r="AJ786" i="3"/>
  <c r="AK786" i="3"/>
  <c r="AL786" i="3"/>
  <c r="AM786" i="3"/>
  <c r="AN786" i="3"/>
  <c r="A787" i="3"/>
  <c r="B787" i="3"/>
  <c r="C787" i="3"/>
  <c r="D787" i="3"/>
  <c r="E787" i="3"/>
  <c r="F787" i="3"/>
  <c r="G787" i="3"/>
  <c r="H787" i="3"/>
  <c r="I787" i="3"/>
  <c r="J787" i="3"/>
  <c r="K787" i="3"/>
  <c r="L787" i="3"/>
  <c r="M787" i="3"/>
  <c r="N787" i="3"/>
  <c r="O787" i="3"/>
  <c r="P787" i="3"/>
  <c r="Q787" i="3"/>
  <c r="R787" i="3"/>
  <c r="S787" i="3"/>
  <c r="T787" i="3"/>
  <c r="U787" i="3"/>
  <c r="V787" i="3"/>
  <c r="W787" i="3"/>
  <c r="X787" i="3"/>
  <c r="Y787" i="3"/>
  <c r="Z787" i="3"/>
  <c r="AA787" i="3"/>
  <c r="AB787" i="3"/>
  <c r="AC787" i="3"/>
  <c r="AD787" i="3"/>
  <c r="AE787" i="3"/>
  <c r="AF787" i="3"/>
  <c r="AG787" i="3"/>
  <c r="AH787" i="3"/>
  <c r="AI787" i="3"/>
  <c r="AJ787" i="3"/>
  <c r="AK787" i="3"/>
  <c r="AL787" i="3"/>
  <c r="AM787" i="3"/>
  <c r="AN787" i="3"/>
  <c r="A788" i="3"/>
  <c r="B788" i="3"/>
  <c r="C788" i="3"/>
  <c r="D788" i="3"/>
  <c r="E788" i="3"/>
  <c r="F788" i="3"/>
  <c r="G788" i="3"/>
  <c r="H788" i="3"/>
  <c r="I788" i="3"/>
  <c r="J788" i="3"/>
  <c r="K788" i="3"/>
  <c r="L788" i="3"/>
  <c r="M788" i="3"/>
  <c r="N788" i="3"/>
  <c r="O788" i="3"/>
  <c r="P788" i="3"/>
  <c r="Q788" i="3"/>
  <c r="R788" i="3"/>
  <c r="S788" i="3"/>
  <c r="T788" i="3"/>
  <c r="U788" i="3"/>
  <c r="V788" i="3"/>
  <c r="W788" i="3"/>
  <c r="X788" i="3"/>
  <c r="Y788" i="3"/>
  <c r="Z788" i="3"/>
  <c r="AA788" i="3"/>
  <c r="AB788" i="3"/>
  <c r="AC788" i="3"/>
  <c r="AD788" i="3"/>
  <c r="AE788" i="3"/>
  <c r="AF788" i="3"/>
  <c r="AG788" i="3"/>
  <c r="AH788" i="3"/>
  <c r="AI788" i="3"/>
  <c r="AJ788" i="3"/>
  <c r="AK788" i="3"/>
  <c r="AL788" i="3"/>
  <c r="AM788" i="3"/>
  <c r="AN788" i="3"/>
  <c r="A789" i="3"/>
  <c r="B789" i="3"/>
  <c r="C789" i="3"/>
  <c r="D789" i="3"/>
  <c r="E789" i="3"/>
  <c r="F789" i="3"/>
  <c r="G789" i="3"/>
  <c r="H789" i="3"/>
  <c r="I789" i="3"/>
  <c r="J789" i="3"/>
  <c r="K789" i="3"/>
  <c r="L789" i="3"/>
  <c r="M789" i="3"/>
  <c r="N789" i="3"/>
  <c r="O789" i="3"/>
  <c r="P789" i="3"/>
  <c r="Q789" i="3"/>
  <c r="R789" i="3"/>
  <c r="S789" i="3"/>
  <c r="T789" i="3"/>
  <c r="U789" i="3"/>
  <c r="V789" i="3"/>
  <c r="W789" i="3"/>
  <c r="X789" i="3"/>
  <c r="Y789" i="3"/>
  <c r="Z789" i="3"/>
  <c r="AA789" i="3"/>
  <c r="AB789" i="3"/>
  <c r="AC789" i="3"/>
  <c r="AD789" i="3"/>
  <c r="AE789" i="3"/>
  <c r="AF789" i="3"/>
  <c r="AG789" i="3"/>
  <c r="AH789" i="3"/>
  <c r="AI789" i="3"/>
  <c r="AJ789" i="3"/>
  <c r="AK789" i="3"/>
  <c r="AL789" i="3"/>
  <c r="AM789" i="3"/>
  <c r="AN789" i="3"/>
  <c r="A790" i="3"/>
  <c r="B790" i="3"/>
  <c r="C790" i="3"/>
  <c r="D790" i="3"/>
  <c r="E790" i="3"/>
  <c r="F790" i="3"/>
  <c r="G790" i="3"/>
  <c r="H790" i="3"/>
  <c r="I790" i="3"/>
  <c r="J790" i="3"/>
  <c r="K790" i="3"/>
  <c r="L790" i="3"/>
  <c r="M790" i="3"/>
  <c r="N790" i="3"/>
  <c r="O790" i="3"/>
  <c r="P790" i="3"/>
  <c r="Q790" i="3"/>
  <c r="R790" i="3"/>
  <c r="S790" i="3"/>
  <c r="T790" i="3"/>
  <c r="U790" i="3"/>
  <c r="V790" i="3"/>
  <c r="W790" i="3"/>
  <c r="X790" i="3"/>
  <c r="Y790" i="3"/>
  <c r="Z790" i="3"/>
  <c r="AA790" i="3"/>
  <c r="AB790" i="3"/>
  <c r="AC790" i="3"/>
  <c r="AD790" i="3"/>
  <c r="AE790" i="3"/>
  <c r="AF790" i="3"/>
  <c r="AG790" i="3"/>
  <c r="AH790" i="3"/>
  <c r="AI790" i="3"/>
  <c r="AJ790" i="3"/>
  <c r="AK790" i="3"/>
  <c r="AL790" i="3"/>
  <c r="AM790" i="3"/>
  <c r="AN790" i="3"/>
  <c r="A791" i="3"/>
  <c r="B791" i="3"/>
  <c r="C791" i="3"/>
  <c r="D791" i="3"/>
  <c r="E791" i="3"/>
  <c r="F791" i="3"/>
  <c r="G791" i="3"/>
  <c r="H791" i="3"/>
  <c r="I791" i="3"/>
  <c r="J791" i="3"/>
  <c r="K791" i="3"/>
  <c r="L791" i="3"/>
  <c r="M791" i="3"/>
  <c r="N791" i="3"/>
  <c r="O791" i="3"/>
  <c r="P791" i="3"/>
  <c r="Q791" i="3"/>
  <c r="R791" i="3"/>
  <c r="S791" i="3"/>
  <c r="T791" i="3"/>
  <c r="U791" i="3"/>
  <c r="V791" i="3"/>
  <c r="W791" i="3"/>
  <c r="X791" i="3"/>
  <c r="Y791" i="3"/>
  <c r="Z791" i="3"/>
  <c r="AA791" i="3"/>
  <c r="AB791" i="3"/>
  <c r="AC791" i="3"/>
  <c r="AD791" i="3"/>
  <c r="AE791" i="3"/>
  <c r="AF791" i="3"/>
  <c r="AG791" i="3"/>
  <c r="AH791" i="3"/>
  <c r="AI791" i="3"/>
  <c r="AJ791" i="3"/>
  <c r="AK791" i="3"/>
  <c r="AL791" i="3"/>
  <c r="AM791" i="3"/>
  <c r="AN791" i="3"/>
  <c r="A792" i="3"/>
  <c r="B792" i="3"/>
  <c r="C792" i="3"/>
  <c r="D792" i="3"/>
  <c r="E792" i="3"/>
  <c r="F792" i="3"/>
  <c r="G792" i="3"/>
  <c r="H792" i="3"/>
  <c r="I792" i="3"/>
  <c r="J792" i="3"/>
  <c r="K792" i="3"/>
  <c r="L792" i="3"/>
  <c r="M792" i="3"/>
  <c r="N792" i="3"/>
  <c r="O792" i="3"/>
  <c r="P792" i="3"/>
  <c r="Q792" i="3"/>
  <c r="R792" i="3"/>
  <c r="S792" i="3"/>
  <c r="T792" i="3"/>
  <c r="U792" i="3"/>
  <c r="V792" i="3"/>
  <c r="W792" i="3"/>
  <c r="X792" i="3"/>
  <c r="Y792" i="3"/>
  <c r="Z792" i="3"/>
  <c r="AA792" i="3"/>
  <c r="AB792" i="3"/>
  <c r="AC792" i="3"/>
  <c r="AD792" i="3"/>
  <c r="AE792" i="3"/>
  <c r="AF792" i="3"/>
  <c r="AG792" i="3"/>
  <c r="AH792" i="3"/>
  <c r="AI792" i="3"/>
  <c r="AJ792" i="3"/>
  <c r="AK792" i="3"/>
  <c r="AL792" i="3"/>
  <c r="AM792" i="3"/>
  <c r="AN792" i="3"/>
  <c r="A793" i="3"/>
  <c r="B793" i="3"/>
  <c r="C793" i="3"/>
  <c r="D793" i="3"/>
  <c r="E793" i="3"/>
  <c r="F793" i="3"/>
  <c r="G793" i="3"/>
  <c r="H793" i="3"/>
  <c r="I793" i="3"/>
  <c r="J793" i="3"/>
  <c r="K793" i="3"/>
  <c r="L793" i="3"/>
  <c r="M793" i="3"/>
  <c r="N793" i="3"/>
  <c r="O793" i="3"/>
  <c r="P793" i="3"/>
  <c r="Q793" i="3"/>
  <c r="R793" i="3"/>
  <c r="S793" i="3"/>
  <c r="T793" i="3"/>
  <c r="U793" i="3"/>
  <c r="V793" i="3"/>
  <c r="W793" i="3"/>
  <c r="X793" i="3"/>
  <c r="Y793" i="3"/>
  <c r="Z793" i="3"/>
  <c r="AA793" i="3"/>
  <c r="AB793" i="3"/>
  <c r="AC793" i="3"/>
  <c r="AD793" i="3"/>
  <c r="AE793" i="3"/>
  <c r="AF793" i="3"/>
  <c r="AG793" i="3"/>
  <c r="AH793" i="3"/>
  <c r="AI793" i="3"/>
  <c r="AJ793" i="3"/>
  <c r="AK793" i="3"/>
  <c r="AL793" i="3"/>
  <c r="AM793" i="3"/>
  <c r="AN793" i="3"/>
  <c r="A794" i="3"/>
  <c r="B794" i="3"/>
  <c r="C794" i="3"/>
  <c r="D794" i="3"/>
  <c r="E794" i="3"/>
  <c r="F794" i="3"/>
  <c r="G794" i="3"/>
  <c r="H794" i="3"/>
  <c r="I794" i="3"/>
  <c r="J794" i="3"/>
  <c r="K794" i="3"/>
  <c r="L794" i="3"/>
  <c r="M794" i="3"/>
  <c r="N794" i="3"/>
  <c r="O794" i="3"/>
  <c r="P794" i="3"/>
  <c r="Q794" i="3"/>
  <c r="R794" i="3"/>
  <c r="S794" i="3"/>
  <c r="T794" i="3"/>
  <c r="U794" i="3"/>
  <c r="V794" i="3"/>
  <c r="W794" i="3"/>
  <c r="X794" i="3"/>
  <c r="Y794" i="3"/>
  <c r="Z794" i="3"/>
  <c r="AA794" i="3"/>
  <c r="AB794" i="3"/>
  <c r="AC794" i="3"/>
  <c r="AD794" i="3"/>
  <c r="AE794" i="3"/>
  <c r="AF794" i="3"/>
  <c r="AG794" i="3"/>
  <c r="AH794" i="3"/>
  <c r="AI794" i="3"/>
  <c r="AJ794" i="3"/>
  <c r="AK794" i="3"/>
  <c r="AL794" i="3"/>
  <c r="AM794" i="3"/>
  <c r="AN794" i="3"/>
  <c r="A795" i="3"/>
  <c r="B795" i="3"/>
  <c r="C795" i="3"/>
  <c r="D795" i="3"/>
  <c r="E795" i="3"/>
  <c r="F795" i="3"/>
  <c r="G795" i="3"/>
  <c r="H795" i="3"/>
  <c r="I795" i="3"/>
  <c r="J795" i="3"/>
  <c r="K795" i="3"/>
  <c r="L795" i="3"/>
  <c r="M795" i="3"/>
  <c r="N795" i="3"/>
  <c r="O795" i="3"/>
  <c r="P795" i="3"/>
  <c r="Q795" i="3"/>
  <c r="R795" i="3"/>
  <c r="S795" i="3"/>
  <c r="T795" i="3"/>
  <c r="U795" i="3"/>
  <c r="V795" i="3"/>
  <c r="W795" i="3"/>
  <c r="X795" i="3"/>
  <c r="Y795" i="3"/>
  <c r="Z795" i="3"/>
  <c r="AA795" i="3"/>
  <c r="AB795" i="3"/>
  <c r="AC795" i="3"/>
  <c r="AD795" i="3"/>
  <c r="AE795" i="3"/>
  <c r="AF795" i="3"/>
  <c r="AG795" i="3"/>
  <c r="AH795" i="3"/>
  <c r="AI795" i="3"/>
  <c r="AJ795" i="3"/>
  <c r="AK795" i="3"/>
  <c r="AL795" i="3"/>
  <c r="AM795" i="3"/>
  <c r="AN795" i="3"/>
  <c r="A796" i="3"/>
  <c r="B796" i="3"/>
  <c r="C796" i="3"/>
  <c r="D796" i="3"/>
  <c r="E796" i="3"/>
  <c r="F796" i="3"/>
  <c r="G796" i="3"/>
  <c r="H796" i="3"/>
  <c r="I796" i="3"/>
  <c r="J796" i="3"/>
  <c r="K796" i="3"/>
  <c r="L796" i="3"/>
  <c r="M796" i="3"/>
  <c r="N796" i="3"/>
  <c r="O796" i="3"/>
  <c r="P796" i="3"/>
  <c r="Q796" i="3"/>
  <c r="R796" i="3"/>
  <c r="S796" i="3"/>
  <c r="T796" i="3"/>
  <c r="U796" i="3"/>
  <c r="V796" i="3"/>
  <c r="W796" i="3"/>
  <c r="X796" i="3"/>
  <c r="Y796" i="3"/>
  <c r="Z796" i="3"/>
  <c r="AA796" i="3"/>
  <c r="AB796" i="3"/>
  <c r="AC796" i="3"/>
  <c r="AD796" i="3"/>
  <c r="AE796" i="3"/>
  <c r="AF796" i="3"/>
  <c r="AG796" i="3"/>
  <c r="AH796" i="3"/>
  <c r="AI796" i="3"/>
  <c r="AJ796" i="3"/>
  <c r="AK796" i="3"/>
  <c r="AL796" i="3"/>
  <c r="AM796" i="3"/>
  <c r="AN796" i="3"/>
  <c r="A797" i="3"/>
  <c r="B797" i="3"/>
  <c r="C797" i="3"/>
  <c r="D797" i="3"/>
  <c r="E797" i="3"/>
  <c r="F797" i="3"/>
  <c r="G797" i="3"/>
  <c r="H797" i="3"/>
  <c r="I797" i="3"/>
  <c r="J797" i="3"/>
  <c r="K797" i="3"/>
  <c r="L797" i="3"/>
  <c r="M797" i="3"/>
  <c r="N797" i="3"/>
  <c r="O797" i="3"/>
  <c r="P797" i="3"/>
  <c r="Q797" i="3"/>
  <c r="R797" i="3"/>
  <c r="S797" i="3"/>
  <c r="T797" i="3"/>
  <c r="U797" i="3"/>
  <c r="V797" i="3"/>
  <c r="W797" i="3"/>
  <c r="X797" i="3"/>
  <c r="Y797" i="3"/>
  <c r="Z797" i="3"/>
  <c r="AA797" i="3"/>
  <c r="AB797" i="3"/>
  <c r="AC797" i="3"/>
  <c r="AD797" i="3"/>
  <c r="AE797" i="3"/>
  <c r="AF797" i="3"/>
  <c r="AG797" i="3"/>
  <c r="AH797" i="3"/>
  <c r="AI797" i="3"/>
  <c r="AJ797" i="3"/>
  <c r="AK797" i="3"/>
  <c r="AL797" i="3"/>
  <c r="AM797" i="3"/>
  <c r="AN797" i="3"/>
  <c r="A798" i="3"/>
  <c r="B798" i="3"/>
  <c r="C798" i="3"/>
  <c r="D798" i="3"/>
  <c r="E798" i="3"/>
  <c r="F798" i="3"/>
  <c r="G798" i="3"/>
  <c r="H798" i="3"/>
  <c r="I798" i="3"/>
  <c r="J798" i="3"/>
  <c r="K798" i="3"/>
  <c r="L798" i="3"/>
  <c r="M798" i="3"/>
  <c r="N798" i="3"/>
  <c r="O798" i="3"/>
  <c r="P798" i="3"/>
  <c r="Q798" i="3"/>
  <c r="R798" i="3"/>
  <c r="S798" i="3"/>
  <c r="T798" i="3"/>
  <c r="U798" i="3"/>
  <c r="V798" i="3"/>
  <c r="W798" i="3"/>
  <c r="X798" i="3"/>
  <c r="Y798" i="3"/>
  <c r="Z798" i="3"/>
  <c r="AA798" i="3"/>
  <c r="AB798" i="3"/>
  <c r="AC798" i="3"/>
  <c r="AD798" i="3"/>
  <c r="AE798" i="3"/>
  <c r="AF798" i="3"/>
  <c r="AG798" i="3"/>
  <c r="AH798" i="3"/>
  <c r="AI798" i="3"/>
  <c r="AJ798" i="3"/>
  <c r="AK798" i="3"/>
  <c r="AL798" i="3"/>
  <c r="AM798" i="3"/>
  <c r="AN798" i="3"/>
  <c r="A799" i="3"/>
  <c r="B799" i="3"/>
  <c r="C799" i="3"/>
  <c r="D799" i="3"/>
  <c r="E799" i="3"/>
  <c r="F799" i="3"/>
  <c r="G799" i="3"/>
  <c r="H799" i="3"/>
  <c r="I799" i="3"/>
  <c r="J799" i="3"/>
  <c r="K799" i="3"/>
  <c r="L799" i="3"/>
  <c r="M799" i="3"/>
  <c r="N799" i="3"/>
  <c r="O799" i="3"/>
  <c r="P799" i="3"/>
  <c r="Q799" i="3"/>
  <c r="R799" i="3"/>
  <c r="S799" i="3"/>
  <c r="T799" i="3"/>
  <c r="U799" i="3"/>
  <c r="V799" i="3"/>
  <c r="W799" i="3"/>
  <c r="X799" i="3"/>
  <c r="Y799" i="3"/>
  <c r="Z799" i="3"/>
  <c r="AA799" i="3"/>
  <c r="AB799" i="3"/>
  <c r="AC799" i="3"/>
  <c r="AD799" i="3"/>
  <c r="AE799" i="3"/>
  <c r="AF799" i="3"/>
  <c r="AG799" i="3"/>
  <c r="AH799" i="3"/>
  <c r="AI799" i="3"/>
  <c r="AJ799" i="3"/>
  <c r="AK799" i="3"/>
  <c r="AL799" i="3"/>
  <c r="AM799" i="3"/>
  <c r="AN799" i="3"/>
  <c r="A800" i="3"/>
  <c r="B800" i="3"/>
  <c r="C800" i="3"/>
  <c r="D800" i="3"/>
  <c r="E800" i="3"/>
  <c r="F800" i="3"/>
  <c r="G800" i="3"/>
  <c r="H800" i="3"/>
  <c r="I800" i="3"/>
  <c r="J800" i="3"/>
  <c r="K800" i="3"/>
  <c r="L800" i="3"/>
  <c r="M800" i="3"/>
  <c r="N800" i="3"/>
  <c r="O800" i="3"/>
  <c r="P800" i="3"/>
  <c r="Q800" i="3"/>
  <c r="R800" i="3"/>
  <c r="S800" i="3"/>
  <c r="T800" i="3"/>
  <c r="U800" i="3"/>
  <c r="V800" i="3"/>
  <c r="W800" i="3"/>
  <c r="X800" i="3"/>
  <c r="Y800" i="3"/>
  <c r="Z800" i="3"/>
  <c r="AA800" i="3"/>
  <c r="AB800" i="3"/>
  <c r="AC800" i="3"/>
  <c r="AD800" i="3"/>
  <c r="AE800" i="3"/>
  <c r="AF800" i="3"/>
  <c r="AG800" i="3"/>
  <c r="AH800" i="3"/>
  <c r="AI800" i="3"/>
  <c r="AJ800" i="3"/>
  <c r="AK800" i="3"/>
  <c r="AL800" i="3"/>
  <c r="AM800" i="3"/>
  <c r="AN800" i="3"/>
  <c r="A801" i="3"/>
  <c r="B801" i="3"/>
  <c r="C801" i="3"/>
  <c r="D801" i="3"/>
  <c r="E801" i="3"/>
  <c r="F801" i="3"/>
  <c r="G801" i="3"/>
  <c r="H801" i="3"/>
  <c r="I801" i="3"/>
  <c r="J801" i="3"/>
  <c r="K801" i="3"/>
  <c r="L801" i="3"/>
  <c r="M801" i="3"/>
  <c r="N801" i="3"/>
  <c r="O801" i="3"/>
  <c r="P801" i="3"/>
  <c r="Q801" i="3"/>
  <c r="R801" i="3"/>
  <c r="S801" i="3"/>
  <c r="T801" i="3"/>
  <c r="U801" i="3"/>
  <c r="V801" i="3"/>
  <c r="W801" i="3"/>
  <c r="X801" i="3"/>
  <c r="Y801" i="3"/>
  <c r="Z801" i="3"/>
  <c r="AA801" i="3"/>
  <c r="AB801" i="3"/>
  <c r="AC801" i="3"/>
  <c r="AD801" i="3"/>
  <c r="AE801" i="3"/>
  <c r="AF801" i="3"/>
  <c r="AG801" i="3"/>
  <c r="AH801" i="3"/>
  <c r="AI801" i="3"/>
  <c r="AJ801" i="3"/>
  <c r="AK801" i="3"/>
  <c r="AL801" i="3"/>
  <c r="AM801" i="3"/>
  <c r="AN801" i="3"/>
  <c r="A802" i="3"/>
  <c r="B802" i="3"/>
  <c r="C802" i="3"/>
  <c r="D802" i="3"/>
  <c r="E802" i="3"/>
  <c r="F802" i="3"/>
  <c r="G802" i="3"/>
  <c r="H802" i="3"/>
  <c r="I802" i="3"/>
  <c r="J802" i="3"/>
  <c r="K802" i="3"/>
  <c r="L802" i="3"/>
  <c r="M802" i="3"/>
  <c r="N802" i="3"/>
  <c r="O802" i="3"/>
  <c r="P802" i="3"/>
  <c r="Q802" i="3"/>
  <c r="R802" i="3"/>
  <c r="S802" i="3"/>
  <c r="T802" i="3"/>
  <c r="U802" i="3"/>
  <c r="V802" i="3"/>
  <c r="W802" i="3"/>
  <c r="X802" i="3"/>
  <c r="Y802" i="3"/>
  <c r="Z802" i="3"/>
  <c r="AA802" i="3"/>
  <c r="AB802" i="3"/>
  <c r="AC802" i="3"/>
  <c r="AD802" i="3"/>
  <c r="AE802" i="3"/>
  <c r="AF802" i="3"/>
  <c r="AG802" i="3"/>
  <c r="AH802" i="3"/>
  <c r="AI802" i="3"/>
  <c r="AJ802" i="3"/>
  <c r="AK802" i="3"/>
  <c r="AL802" i="3"/>
  <c r="AM802" i="3"/>
  <c r="AN802" i="3"/>
  <c r="A803" i="3"/>
  <c r="B803" i="3"/>
  <c r="C803" i="3"/>
  <c r="D803" i="3"/>
  <c r="E803" i="3"/>
  <c r="F803" i="3"/>
  <c r="G803" i="3"/>
  <c r="H803" i="3"/>
  <c r="I803" i="3"/>
  <c r="J803" i="3"/>
  <c r="K803" i="3"/>
  <c r="L803" i="3"/>
  <c r="M803" i="3"/>
  <c r="N803" i="3"/>
  <c r="O803" i="3"/>
  <c r="P803" i="3"/>
  <c r="Q803" i="3"/>
  <c r="R803" i="3"/>
  <c r="S803" i="3"/>
  <c r="T803" i="3"/>
  <c r="U803" i="3"/>
  <c r="V803" i="3"/>
  <c r="W803" i="3"/>
  <c r="X803" i="3"/>
  <c r="Y803" i="3"/>
  <c r="Z803" i="3"/>
  <c r="AA803" i="3"/>
  <c r="AB803" i="3"/>
  <c r="AC803" i="3"/>
  <c r="AD803" i="3"/>
  <c r="AE803" i="3"/>
  <c r="AF803" i="3"/>
  <c r="AG803" i="3"/>
  <c r="AH803" i="3"/>
  <c r="AI803" i="3"/>
  <c r="AJ803" i="3"/>
  <c r="AK803" i="3"/>
  <c r="AL803" i="3"/>
  <c r="AM803" i="3"/>
  <c r="AN803" i="3"/>
  <c r="A804" i="3"/>
  <c r="B804" i="3"/>
  <c r="C804" i="3"/>
  <c r="D804" i="3"/>
  <c r="E804" i="3"/>
  <c r="F804" i="3"/>
  <c r="G804" i="3"/>
  <c r="H804" i="3"/>
  <c r="I804" i="3"/>
  <c r="J804" i="3"/>
  <c r="K804" i="3"/>
  <c r="L804" i="3"/>
  <c r="M804" i="3"/>
  <c r="N804" i="3"/>
  <c r="O804" i="3"/>
  <c r="P804" i="3"/>
  <c r="Q804" i="3"/>
  <c r="R804" i="3"/>
  <c r="S804" i="3"/>
  <c r="T804" i="3"/>
  <c r="U804" i="3"/>
  <c r="V804" i="3"/>
  <c r="W804" i="3"/>
  <c r="X804" i="3"/>
  <c r="Y804" i="3"/>
  <c r="Z804" i="3"/>
  <c r="AA804" i="3"/>
  <c r="AB804" i="3"/>
  <c r="AC804" i="3"/>
  <c r="AD804" i="3"/>
  <c r="AE804" i="3"/>
  <c r="AF804" i="3"/>
  <c r="AG804" i="3"/>
  <c r="AH804" i="3"/>
  <c r="AI804" i="3"/>
  <c r="AJ804" i="3"/>
  <c r="AK804" i="3"/>
  <c r="AL804" i="3"/>
  <c r="AM804" i="3"/>
  <c r="AN804" i="3"/>
  <c r="A805" i="3"/>
  <c r="B805" i="3"/>
  <c r="C805" i="3"/>
  <c r="D805" i="3"/>
  <c r="E805" i="3"/>
  <c r="F805" i="3"/>
  <c r="G805" i="3"/>
  <c r="H805" i="3"/>
  <c r="I805" i="3"/>
  <c r="J805" i="3"/>
  <c r="K805" i="3"/>
  <c r="L805" i="3"/>
  <c r="M805" i="3"/>
  <c r="N805" i="3"/>
  <c r="O805" i="3"/>
  <c r="P805" i="3"/>
  <c r="Q805" i="3"/>
  <c r="R805" i="3"/>
  <c r="S805" i="3"/>
  <c r="T805" i="3"/>
  <c r="U805" i="3"/>
  <c r="V805" i="3"/>
  <c r="W805" i="3"/>
  <c r="X805" i="3"/>
  <c r="Y805" i="3"/>
  <c r="Z805" i="3"/>
  <c r="AA805" i="3"/>
  <c r="AB805" i="3"/>
  <c r="AC805" i="3"/>
  <c r="AD805" i="3"/>
  <c r="AE805" i="3"/>
  <c r="AF805" i="3"/>
  <c r="AG805" i="3"/>
  <c r="AH805" i="3"/>
  <c r="AI805" i="3"/>
  <c r="AJ805" i="3"/>
  <c r="AK805" i="3"/>
  <c r="AL805" i="3"/>
  <c r="AM805" i="3"/>
  <c r="AN805" i="3"/>
  <c r="A806" i="3"/>
  <c r="B806" i="3"/>
  <c r="C806" i="3"/>
  <c r="D806" i="3"/>
  <c r="E806" i="3"/>
  <c r="F806" i="3"/>
  <c r="G806" i="3"/>
  <c r="H806" i="3"/>
  <c r="I806" i="3"/>
  <c r="J806" i="3"/>
  <c r="K806" i="3"/>
  <c r="L806" i="3"/>
  <c r="M806" i="3"/>
  <c r="N806" i="3"/>
  <c r="O806" i="3"/>
  <c r="P806" i="3"/>
  <c r="Q806" i="3"/>
  <c r="R806" i="3"/>
  <c r="S806" i="3"/>
  <c r="T806" i="3"/>
  <c r="U806" i="3"/>
  <c r="V806" i="3"/>
  <c r="W806" i="3"/>
  <c r="X806" i="3"/>
  <c r="Y806" i="3"/>
  <c r="Z806" i="3"/>
  <c r="AA806" i="3"/>
  <c r="AB806" i="3"/>
  <c r="AC806" i="3"/>
  <c r="AD806" i="3"/>
  <c r="AE806" i="3"/>
  <c r="AF806" i="3"/>
  <c r="AG806" i="3"/>
  <c r="AH806" i="3"/>
  <c r="AI806" i="3"/>
  <c r="AJ806" i="3"/>
  <c r="AK806" i="3"/>
  <c r="AL806" i="3"/>
  <c r="AM806" i="3"/>
  <c r="AN806" i="3"/>
  <c r="A807" i="3"/>
  <c r="B807" i="3"/>
  <c r="C807" i="3"/>
  <c r="D807" i="3"/>
  <c r="E807" i="3"/>
  <c r="F807" i="3"/>
  <c r="G807" i="3"/>
  <c r="H807" i="3"/>
  <c r="I807" i="3"/>
  <c r="J807" i="3"/>
  <c r="K807" i="3"/>
  <c r="L807" i="3"/>
  <c r="M807" i="3"/>
  <c r="N807" i="3"/>
  <c r="O807" i="3"/>
  <c r="P807" i="3"/>
  <c r="Q807" i="3"/>
  <c r="R807" i="3"/>
  <c r="S807" i="3"/>
  <c r="T807" i="3"/>
  <c r="U807" i="3"/>
  <c r="V807" i="3"/>
  <c r="W807" i="3"/>
  <c r="X807" i="3"/>
  <c r="Y807" i="3"/>
  <c r="Z807" i="3"/>
  <c r="AA807" i="3"/>
  <c r="AB807" i="3"/>
  <c r="AC807" i="3"/>
  <c r="AD807" i="3"/>
  <c r="AE807" i="3"/>
  <c r="AF807" i="3"/>
  <c r="AG807" i="3"/>
  <c r="AH807" i="3"/>
  <c r="AI807" i="3"/>
  <c r="AJ807" i="3"/>
  <c r="AK807" i="3"/>
  <c r="AL807" i="3"/>
  <c r="AM807" i="3"/>
  <c r="AN807" i="3"/>
  <c r="A808" i="3"/>
  <c r="B808" i="3"/>
  <c r="C808" i="3"/>
  <c r="D808" i="3"/>
  <c r="E808" i="3"/>
  <c r="F808" i="3"/>
  <c r="G808" i="3"/>
  <c r="H808" i="3"/>
  <c r="I808" i="3"/>
  <c r="J808" i="3"/>
  <c r="K808" i="3"/>
  <c r="L808" i="3"/>
  <c r="M808" i="3"/>
  <c r="N808" i="3"/>
  <c r="O808" i="3"/>
  <c r="P808" i="3"/>
  <c r="Q808" i="3"/>
  <c r="R808" i="3"/>
  <c r="S808" i="3"/>
  <c r="T808" i="3"/>
  <c r="U808" i="3"/>
  <c r="V808" i="3"/>
  <c r="W808" i="3"/>
  <c r="X808" i="3"/>
  <c r="Y808" i="3"/>
  <c r="Z808" i="3"/>
  <c r="AA808" i="3"/>
  <c r="AB808" i="3"/>
  <c r="AC808" i="3"/>
  <c r="AD808" i="3"/>
  <c r="AE808" i="3"/>
  <c r="AF808" i="3"/>
  <c r="AG808" i="3"/>
  <c r="AH808" i="3"/>
  <c r="AI808" i="3"/>
  <c r="AJ808" i="3"/>
  <c r="AK808" i="3"/>
  <c r="AL808" i="3"/>
  <c r="AM808" i="3"/>
  <c r="AN808" i="3"/>
  <c r="A809" i="3"/>
  <c r="B809" i="3"/>
  <c r="C809" i="3"/>
  <c r="D809" i="3"/>
  <c r="E809" i="3"/>
  <c r="F809" i="3"/>
  <c r="G809" i="3"/>
  <c r="H809" i="3"/>
  <c r="I809" i="3"/>
  <c r="J809" i="3"/>
  <c r="K809" i="3"/>
  <c r="L809" i="3"/>
  <c r="M809" i="3"/>
  <c r="N809" i="3"/>
  <c r="O809" i="3"/>
  <c r="P809" i="3"/>
  <c r="Q809" i="3"/>
  <c r="R809" i="3"/>
  <c r="S809" i="3"/>
  <c r="T809" i="3"/>
  <c r="U809" i="3"/>
  <c r="V809" i="3"/>
  <c r="W809" i="3"/>
  <c r="X809" i="3"/>
  <c r="Y809" i="3"/>
  <c r="Z809" i="3"/>
  <c r="AA809" i="3"/>
  <c r="AB809" i="3"/>
  <c r="AC809" i="3"/>
  <c r="AD809" i="3"/>
  <c r="AE809" i="3"/>
  <c r="AF809" i="3"/>
  <c r="AG809" i="3"/>
  <c r="AH809" i="3"/>
  <c r="AI809" i="3"/>
  <c r="AJ809" i="3"/>
  <c r="AK809" i="3"/>
  <c r="AL809" i="3"/>
  <c r="AM809" i="3"/>
  <c r="AN809" i="3"/>
  <c r="A810" i="3"/>
  <c r="B810" i="3"/>
  <c r="C810" i="3"/>
  <c r="D810" i="3"/>
  <c r="E810" i="3"/>
  <c r="F810" i="3"/>
  <c r="G810" i="3"/>
  <c r="H810" i="3"/>
  <c r="I810" i="3"/>
  <c r="J810" i="3"/>
  <c r="K810" i="3"/>
  <c r="L810" i="3"/>
  <c r="M810" i="3"/>
  <c r="N810" i="3"/>
  <c r="O810" i="3"/>
  <c r="P810" i="3"/>
  <c r="Q810" i="3"/>
  <c r="R810" i="3"/>
  <c r="S810" i="3"/>
  <c r="T810" i="3"/>
  <c r="U810" i="3"/>
  <c r="V810" i="3"/>
  <c r="W810" i="3"/>
  <c r="X810" i="3"/>
  <c r="Y810" i="3"/>
  <c r="Z810" i="3"/>
  <c r="AA810" i="3"/>
  <c r="AB810" i="3"/>
  <c r="AC810" i="3"/>
  <c r="AD810" i="3"/>
  <c r="AE810" i="3"/>
  <c r="AF810" i="3"/>
  <c r="AG810" i="3"/>
  <c r="AH810" i="3"/>
  <c r="AI810" i="3"/>
  <c r="AJ810" i="3"/>
  <c r="AK810" i="3"/>
  <c r="AL810" i="3"/>
  <c r="AM810" i="3"/>
  <c r="AN810" i="3"/>
  <c r="A811" i="3"/>
  <c r="B811" i="3"/>
  <c r="C811" i="3"/>
  <c r="D811" i="3"/>
  <c r="E811" i="3"/>
  <c r="F811" i="3"/>
  <c r="G811" i="3"/>
  <c r="H811" i="3"/>
  <c r="I811" i="3"/>
  <c r="J811" i="3"/>
  <c r="K811" i="3"/>
  <c r="L811" i="3"/>
  <c r="M811" i="3"/>
  <c r="N811" i="3"/>
  <c r="O811" i="3"/>
  <c r="P811" i="3"/>
  <c r="Q811" i="3"/>
  <c r="R811" i="3"/>
  <c r="S811" i="3"/>
  <c r="T811" i="3"/>
  <c r="U811" i="3"/>
  <c r="V811" i="3"/>
  <c r="W811" i="3"/>
  <c r="X811" i="3"/>
  <c r="Y811" i="3"/>
  <c r="Z811" i="3"/>
  <c r="AA811" i="3"/>
  <c r="AB811" i="3"/>
  <c r="AC811" i="3"/>
  <c r="AD811" i="3"/>
  <c r="AE811" i="3"/>
  <c r="AF811" i="3"/>
  <c r="AG811" i="3"/>
  <c r="AH811" i="3"/>
  <c r="AI811" i="3"/>
  <c r="AJ811" i="3"/>
  <c r="AK811" i="3"/>
  <c r="AL811" i="3"/>
  <c r="AM811" i="3"/>
  <c r="AN811" i="3"/>
  <c r="A812" i="3"/>
  <c r="B812" i="3"/>
  <c r="C812" i="3"/>
  <c r="D812" i="3"/>
  <c r="E812" i="3"/>
  <c r="F812" i="3"/>
  <c r="G812" i="3"/>
  <c r="H812" i="3"/>
  <c r="I812" i="3"/>
  <c r="J812" i="3"/>
  <c r="K812" i="3"/>
  <c r="L812" i="3"/>
  <c r="M812" i="3"/>
  <c r="N812" i="3"/>
  <c r="O812" i="3"/>
  <c r="P812" i="3"/>
  <c r="Q812" i="3"/>
  <c r="R812" i="3"/>
  <c r="S812" i="3"/>
  <c r="T812" i="3"/>
  <c r="U812" i="3"/>
  <c r="V812" i="3"/>
  <c r="W812" i="3"/>
  <c r="X812" i="3"/>
  <c r="Y812" i="3"/>
  <c r="Z812" i="3"/>
  <c r="AA812" i="3"/>
  <c r="AB812" i="3"/>
  <c r="AC812" i="3"/>
  <c r="AD812" i="3"/>
  <c r="AE812" i="3"/>
  <c r="AF812" i="3"/>
  <c r="AG812" i="3"/>
  <c r="AH812" i="3"/>
  <c r="AI812" i="3"/>
  <c r="AJ812" i="3"/>
  <c r="AK812" i="3"/>
  <c r="AL812" i="3"/>
  <c r="AM812" i="3"/>
  <c r="AN812" i="3"/>
  <c r="A813" i="3"/>
  <c r="B813" i="3"/>
  <c r="C813" i="3"/>
  <c r="D813" i="3"/>
  <c r="E813" i="3"/>
  <c r="F813" i="3"/>
  <c r="G813" i="3"/>
  <c r="H813" i="3"/>
  <c r="I813" i="3"/>
  <c r="J813" i="3"/>
  <c r="K813" i="3"/>
  <c r="L813" i="3"/>
  <c r="M813" i="3"/>
  <c r="N813" i="3"/>
  <c r="O813" i="3"/>
  <c r="P813" i="3"/>
  <c r="Q813" i="3"/>
  <c r="R813" i="3"/>
  <c r="S813" i="3"/>
  <c r="T813" i="3"/>
  <c r="U813" i="3"/>
  <c r="V813" i="3"/>
  <c r="W813" i="3"/>
  <c r="X813" i="3"/>
  <c r="Y813" i="3"/>
  <c r="Z813" i="3"/>
  <c r="AA813" i="3"/>
  <c r="AB813" i="3"/>
  <c r="AC813" i="3"/>
  <c r="AD813" i="3"/>
  <c r="AE813" i="3"/>
  <c r="AF813" i="3"/>
  <c r="AG813" i="3"/>
  <c r="AH813" i="3"/>
  <c r="AI813" i="3"/>
  <c r="AJ813" i="3"/>
  <c r="AK813" i="3"/>
  <c r="AL813" i="3"/>
  <c r="AM813" i="3"/>
  <c r="AN813" i="3"/>
  <c r="A814" i="3"/>
  <c r="B814" i="3"/>
  <c r="C814" i="3"/>
  <c r="D814" i="3"/>
  <c r="E814" i="3"/>
  <c r="F814" i="3"/>
  <c r="G814" i="3"/>
  <c r="H814" i="3"/>
  <c r="I814" i="3"/>
  <c r="J814" i="3"/>
  <c r="K814" i="3"/>
  <c r="L814" i="3"/>
  <c r="M814" i="3"/>
  <c r="N814" i="3"/>
  <c r="O814" i="3"/>
  <c r="P814" i="3"/>
  <c r="Q814" i="3"/>
  <c r="R814" i="3"/>
  <c r="S814" i="3"/>
  <c r="T814" i="3"/>
  <c r="U814" i="3"/>
  <c r="V814" i="3"/>
  <c r="W814" i="3"/>
  <c r="X814" i="3"/>
  <c r="Y814" i="3"/>
  <c r="Z814" i="3"/>
  <c r="AA814" i="3"/>
  <c r="AB814" i="3"/>
  <c r="AC814" i="3"/>
  <c r="AD814" i="3"/>
  <c r="AE814" i="3"/>
  <c r="AF814" i="3"/>
  <c r="AG814" i="3"/>
  <c r="AH814" i="3"/>
  <c r="AI814" i="3"/>
  <c r="AJ814" i="3"/>
  <c r="AK814" i="3"/>
  <c r="AL814" i="3"/>
  <c r="AM814" i="3"/>
  <c r="AN814" i="3"/>
  <c r="A815" i="3"/>
  <c r="B815" i="3"/>
  <c r="C815" i="3"/>
  <c r="D815" i="3"/>
  <c r="E815" i="3"/>
  <c r="F815" i="3"/>
  <c r="G815" i="3"/>
  <c r="H815" i="3"/>
  <c r="I815" i="3"/>
  <c r="J815" i="3"/>
  <c r="K815" i="3"/>
  <c r="L815" i="3"/>
  <c r="M815" i="3"/>
  <c r="N815" i="3"/>
  <c r="O815" i="3"/>
  <c r="P815" i="3"/>
  <c r="Q815" i="3"/>
  <c r="R815" i="3"/>
  <c r="S815" i="3"/>
  <c r="T815" i="3"/>
  <c r="U815" i="3"/>
  <c r="V815" i="3"/>
  <c r="W815" i="3"/>
  <c r="X815" i="3"/>
  <c r="Y815" i="3"/>
  <c r="Z815" i="3"/>
  <c r="AA815" i="3"/>
  <c r="AB815" i="3"/>
  <c r="AC815" i="3"/>
  <c r="AD815" i="3"/>
  <c r="AE815" i="3"/>
  <c r="AF815" i="3"/>
  <c r="AG815" i="3"/>
  <c r="AH815" i="3"/>
  <c r="AI815" i="3"/>
  <c r="AJ815" i="3"/>
  <c r="AK815" i="3"/>
  <c r="AL815" i="3"/>
  <c r="AM815" i="3"/>
  <c r="AN815" i="3"/>
  <c r="A816" i="3"/>
  <c r="B816" i="3"/>
  <c r="C816" i="3"/>
  <c r="D816" i="3"/>
  <c r="E816" i="3"/>
  <c r="F816" i="3"/>
  <c r="G816" i="3"/>
  <c r="H816" i="3"/>
  <c r="I816" i="3"/>
  <c r="J816" i="3"/>
  <c r="K816" i="3"/>
  <c r="L816" i="3"/>
  <c r="M816" i="3"/>
  <c r="N816" i="3"/>
  <c r="O816" i="3"/>
  <c r="P816" i="3"/>
  <c r="Q816" i="3"/>
  <c r="R816" i="3"/>
  <c r="S816" i="3"/>
  <c r="T816" i="3"/>
  <c r="U816" i="3"/>
  <c r="V816" i="3"/>
  <c r="W816" i="3"/>
  <c r="X816" i="3"/>
  <c r="Y816" i="3"/>
  <c r="Z816" i="3"/>
  <c r="AA816" i="3"/>
  <c r="AB816" i="3"/>
  <c r="AC816" i="3"/>
  <c r="AD816" i="3"/>
  <c r="AE816" i="3"/>
  <c r="AF816" i="3"/>
  <c r="AG816" i="3"/>
  <c r="AH816" i="3"/>
  <c r="AI816" i="3"/>
  <c r="AJ816" i="3"/>
  <c r="AK816" i="3"/>
  <c r="AL816" i="3"/>
  <c r="AM816" i="3"/>
  <c r="AN816" i="3"/>
  <c r="A817" i="3"/>
  <c r="B817" i="3"/>
  <c r="C817" i="3"/>
  <c r="D817" i="3"/>
  <c r="E817" i="3"/>
  <c r="F817" i="3"/>
  <c r="G817" i="3"/>
  <c r="H817" i="3"/>
  <c r="I817" i="3"/>
  <c r="J817" i="3"/>
  <c r="K817" i="3"/>
  <c r="L817" i="3"/>
  <c r="M817" i="3"/>
  <c r="N817" i="3"/>
  <c r="O817" i="3"/>
  <c r="P817" i="3"/>
  <c r="Q817" i="3"/>
  <c r="R817" i="3"/>
  <c r="S817" i="3"/>
  <c r="T817" i="3"/>
  <c r="U817" i="3"/>
  <c r="V817" i="3"/>
  <c r="W817" i="3"/>
  <c r="X817" i="3"/>
  <c r="Y817" i="3"/>
  <c r="Z817" i="3"/>
  <c r="AA817" i="3"/>
  <c r="AB817" i="3"/>
  <c r="AC817" i="3"/>
  <c r="AD817" i="3"/>
  <c r="AE817" i="3"/>
  <c r="AF817" i="3"/>
  <c r="AG817" i="3"/>
  <c r="AH817" i="3"/>
  <c r="AI817" i="3"/>
  <c r="AJ817" i="3"/>
  <c r="AK817" i="3"/>
  <c r="AL817" i="3"/>
  <c r="AM817" i="3"/>
  <c r="AN817" i="3"/>
  <c r="A818" i="3"/>
  <c r="B818" i="3"/>
  <c r="C818" i="3"/>
  <c r="D818" i="3"/>
  <c r="E818" i="3"/>
  <c r="F818" i="3"/>
  <c r="G818" i="3"/>
  <c r="H818" i="3"/>
  <c r="I818" i="3"/>
  <c r="J818" i="3"/>
  <c r="K818" i="3"/>
  <c r="L818" i="3"/>
  <c r="M818" i="3"/>
  <c r="N818" i="3"/>
  <c r="O818" i="3"/>
  <c r="P818" i="3"/>
  <c r="Q818" i="3"/>
  <c r="R818" i="3"/>
  <c r="S818" i="3"/>
  <c r="T818" i="3"/>
  <c r="U818" i="3"/>
  <c r="V818" i="3"/>
  <c r="W818" i="3"/>
  <c r="X818" i="3"/>
  <c r="Y818" i="3"/>
  <c r="Z818" i="3"/>
  <c r="AA818" i="3"/>
  <c r="AB818" i="3"/>
  <c r="AC818" i="3"/>
  <c r="AD818" i="3"/>
  <c r="AE818" i="3"/>
  <c r="AF818" i="3"/>
  <c r="AG818" i="3"/>
  <c r="AH818" i="3"/>
  <c r="AI818" i="3"/>
  <c r="AJ818" i="3"/>
  <c r="AK818" i="3"/>
  <c r="AL818" i="3"/>
  <c r="AM818" i="3"/>
  <c r="AN818" i="3"/>
  <c r="A819" i="3"/>
  <c r="B819" i="3"/>
  <c r="C819" i="3"/>
  <c r="D819" i="3"/>
  <c r="E819" i="3"/>
  <c r="F819" i="3"/>
  <c r="G819" i="3"/>
  <c r="H819" i="3"/>
  <c r="I819" i="3"/>
  <c r="J819" i="3"/>
  <c r="K819" i="3"/>
  <c r="L819" i="3"/>
  <c r="M819" i="3"/>
  <c r="N819" i="3"/>
  <c r="O819" i="3"/>
  <c r="P819" i="3"/>
  <c r="Q819" i="3"/>
  <c r="R819" i="3"/>
  <c r="S819" i="3"/>
  <c r="T819" i="3"/>
  <c r="U819" i="3"/>
  <c r="V819" i="3"/>
  <c r="W819" i="3"/>
  <c r="X819" i="3"/>
  <c r="Y819" i="3"/>
  <c r="Z819" i="3"/>
  <c r="AA819" i="3"/>
  <c r="AB819" i="3"/>
  <c r="AC819" i="3"/>
  <c r="AD819" i="3"/>
  <c r="AE819" i="3"/>
  <c r="AF819" i="3"/>
  <c r="AG819" i="3"/>
  <c r="AH819" i="3"/>
  <c r="AI819" i="3"/>
  <c r="AJ819" i="3"/>
  <c r="AK819" i="3"/>
  <c r="AL819" i="3"/>
  <c r="AM819" i="3"/>
  <c r="AN819" i="3"/>
  <c r="A820" i="3"/>
  <c r="B820" i="3"/>
  <c r="C820" i="3"/>
  <c r="D820" i="3"/>
  <c r="E820" i="3"/>
  <c r="F820" i="3"/>
  <c r="G820" i="3"/>
  <c r="H820" i="3"/>
  <c r="I820" i="3"/>
  <c r="J820" i="3"/>
  <c r="K820" i="3"/>
  <c r="L820" i="3"/>
  <c r="M820" i="3"/>
  <c r="N820" i="3"/>
  <c r="O820" i="3"/>
  <c r="P820" i="3"/>
  <c r="Q820" i="3"/>
  <c r="R820" i="3"/>
  <c r="S820" i="3"/>
  <c r="T820" i="3"/>
  <c r="U820" i="3"/>
  <c r="V820" i="3"/>
  <c r="W820" i="3"/>
  <c r="X820" i="3"/>
  <c r="Y820" i="3"/>
  <c r="Z820" i="3"/>
  <c r="AA820" i="3"/>
  <c r="AB820" i="3"/>
  <c r="AC820" i="3"/>
  <c r="AD820" i="3"/>
  <c r="AE820" i="3"/>
  <c r="AF820" i="3"/>
  <c r="AG820" i="3"/>
  <c r="AH820" i="3"/>
  <c r="AI820" i="3"/>
  <c r="AJ820" i="3"/>
  <c r="AK820" i="3"/>
  <c r="AL820" i="3"/>
  <c r="AM820" i="3"/>
  <c r="AN820" i="3"/>
  <c r="A821" i="3"/>
  <c r="B821" i="3"/>
  <c r="C821" i="3"/>
  <c r="D821" i="3"/>
  <c r="E821" i="3"/>
  <c r="F821" i="3"/>
  <c r="G821" i="3"/>
  <c r="H821" i="3"/>
  <c r="I821" i="3"/>
  <c r="J821" i="3"/>
  <c r="K821" i="3"/>
  <c r="L821" i="3"/>
  <c r="M821" i="3"/>
  <c r="N821" i="3"/>
  <c r="O821" i="3"/>
  <c r="P821" i="3"/>
  <c r="Q821" i="3"/>
  <c r="R821" i="3"/>
  <c r="S821" i="3"/>
  <c r="T821" i="3"/>
  <c r="U821" i="3"/>
  <c r="V821" i="3"/>
  <c r="W821" i="3"/>
  <c r="X821" i="3"/>
  <c r="Y821" i="3"/>
  <c r="Z821" i="3"/>
  <c r="AA821" i="3"/>
  <c r="AB821" i="3"/>
  <c r="AC821" i="3"/>
  <c r="AD821" i="3"/>
  <c r="AE821" i="3"/>
  <c r="AF821" i="3"/>
  <c r="AG821" i="3"/>
  <c r="AH821" i="3"/>
  <c r="AI821" i="3"/>
  <c r="AJ821" i="3"/>
  <c r="AK821" i="3"/>
  <c r="AL821" i="3"/>
  <c r="AM821" i="3"/>
  <c r="AN821" i="3"/>
  <c r="A822" i="3"/>
  <c r="B822" i="3"/>
  <c r="C822" i="3"/>
  <c r="D822" i="3"/>
  <c r="E822" i="3"/>
  <c r="F822" i="3"/>
  <c r="G822" i="3"/>
  <c r="H822" i="3"/>
  <c r="I822" i="3"/>
  <c r="J822" i="3"/>
  <c r="K822" i="3"/>
  <c r="L822" i="3"/>
  <c r="M822" i="3"/>
  <c r="N822" i="3"/>
  <c r="O822" i="3"/>
  <c r="P822" i="3"/>
  <c r="Q822" i="3"/>
  <c r="R822" i="3"/>
  <c r="S822" i="3"/>
  <c r="T822" i="3"/>
  <c r="U822" i="3"/>
  <c r="V822" i="3"/>
  <c r="W822" i="3"/>
  <c r="X822" i="3"/>
  <c r="Y822" i="3"/>
  <c r="Z822" i="3"/>
  <c r="AA822" i="3"/>
  <c r="AB822" i="3"/>
  <c r="AC822" i="3"/>
  <c r="AD822" i="3"/>
  <c r="AE822" i="3"/>
  <c r="AF822" i="3"/>
  <c r="AG822" i="3"/>
  <c r="AH822" i="3"/>
  <c r="AI822" i="3"/>
  <c r="AJ822" i="3"/>
  <c r="AK822" i="3"/>
  <c r="AL822" i="3"/>
  <c r="AM822" i="3"/>
  <c r="AN822" i="3"/>
  <c r="A823" i="3"/>
  <c r="B823" i="3"/>
  <c r="C823" i="3"/>
  <c r="D823" i="3"/>
  <c r="E823" i="3"/>
  <c r="F823" i="3"/>
  <c r="G823" i="3"/>
  <c r="H823" i="3"/>
  <c r="I823" i="3"/>
  <c r="J823" i="3"/>
  <c r="K823" i="3"/>
  <c r="L823" i="3"/>
  <c r="M823" i="3"/>
  <c r="N823" i="3"/>
  <c r="O823" i="3"/>
  <c r="P823" i="3"/>
  <c r="Q823" i="3"/>
  <c r="R823" i="3"/>
  <c r="S823" i="3"/>
  <c r="T823" i="3"/>
  <c r="U823" i="3"/>
  <c r="V823" i="3"/>
  <c r="W823" i="3"/>
  <c r="X823" i="3"/>
  <c r="Y823" i="3"/>
  <c r="Z823" i="3"/>
  <c r="AA823" i="3"/>
  <c r="AB823" i="3"/>
  <c r="AC823" i="3"/>
  <c r="AD823" i="3"/>
  <c r="AE823" i="3"/>
  <c r="AF823" i="3"/>
  <c r="AG823" i="3"/>
  <c r="AH823" i="3"/>
  <c r="AI823" i="3"/>
  <c r="AJ823" i="3"/>
  <c r="AK823" i="3"/>
  <c r="AL823" i="3"/>
  <c r="AM823" i="3"/>
  <c r="AN823" i="3"/>
  <c r="A824" i="3"/>
  <c r="B824" i="3"/>
  <c r="C824" i="3"/>
  <c r="D824" i="3"/>
  <c r="E824" i="3"/>
  <c r="F824" i="3"/>
  <c r="G824" i="3"/>
  <c r="H824" i="3"/>
  <c r="I824" i="3"/>
  <c r="J824" i="3"/>
  <c r="K824" i="3"/>
  <c r="L824" i="3"/>
  <c r="M824" i="3"/>
  <c r="N824" i="3"/>
  <c r="O824" i="3"/>
  <c r="P824" i="3"/>
  <c r="Q824" i="3"/>
  <c r="R824" i="3"/>
  <c r="S824" i="3"/>
  <c r="T824" i="3"/>
  <c r="U824" i="3"/>
  <c r="V824" i="3"/>
  <c r="W824" i="3"/>
  <c r="X824" i="3"/>
  <c r="Y824" i="3"/>
  <c r="Z824" i="3"/>
  <c r="AA824" i="3"/>
  <c r="AB824" i="3"/>
  <c r="AC824" i="3"/>
  <c r="AD824" i="3"/>
  <c r="AE824" i="3"/>
  <c r="AF824" i="3"/>
  <c r="AG824" i="3"/>
  <c r="AH824" i="3"/>
  <c r="AI824" i="3"/>
  <c r="AJ824" i="3"/>
  <c r="AK824" i="3"/>
  <c r="AL824" i="3"/>
  <c r="AM824" i="3"/>
  <c r="AN824" i="3"/>
  <c r="A825" i="3"/>
  <c r="B825" i="3"/>
  <c r="C825" i="3"/>
  <c r="D825" i="3"/>
  <c r="E825" i="3"/>
  <c r="F825" i="3"/>
  <c r="G825" i="3"/>
  <c r="H825" i="3"/>
  <c r="I825" i="3"/>
  <c r="J825" i="3"/>
  <c r="K825" i="3"/>
  <c r="L825" i="3"/>
  <c r="M825" i="3"/>
  <c r="N825" i="3"/>
  <c r="O825" i="3"/>
  <c r="P825" i="3"/>
  <c r="Q825" i="3"/>
  <c r="R825" i="3"/>
  <c r="S825" i="3"/>
  <c r="T825" i="3"/>
  <c r="U825" i="3"/>
  <c r="V825" i="3"/>
  <c r="W825" i="3"/>
  <c r="X825" i="3"/>
  <c r="Y825" i="3"/>
  <c r="Z825" i="3"/>
  <c r="AA825" i="3"/>
  <c r="AB825" i="3"/>
  <c r="AC825" i="3"/>
  <c r="AD825" i="3"/>
  <c r="AE825" i="3"/>
  <c r="AF825" i="3"/>
  <c r="AG825" i="3"/>
  <c r="AH825" i="3"/>
  <c r="AI825" i="3"/>
  <c r="AJ825" i="3"/>
  <c r="AK825" i="3"/>
  <c r="AL825" i="3"/>
  <c r="AM825" i="3"/>
  <c r="AN825" i="3"/>
  <c r="A826" i="3"/>
  <c r="B826" i="3"/>
  <c r="C826" i="3"/>
  <c r="D826" i="3"/>
  <c r="E826" i="3"/>
  <c r="F826" i="3"/>
  <c r="G826" i="3"/>
  <c r="H826" i="3"/>
  <c r="I826" i="3"/>
  <c r="J826" i="3"/>
  <c r="K826" i="3"/>
  <c r="L826" i="3"/>
  <c r="M826" i="3"/>
  <c r="N826" i="3"/>
  <c r="O826" i="3"/>
  <c r="P826" i="3"/>
  <c r="Q826" i="3"/>
  <c r="R826" i="3"/>
  <c r="S826" i="3"/>
  <c r="T826" i="3"/>
  <c r="U826" i="3"/>
  <c r="V826" i="3"/>
  <c r="W826" i="3"/>
  <c r="X826" i="3"/>
  <c r="Y826" i="3"/>
  <c r="Z826" i="3"/>
  <c r="AA826" i="3"/>
  <c r="AB826" i="3"/>
  <c r="AC826" i="3"/>
  <c r="AD826" i="3"/>
  <c r="AE826" i="3"/>
  <c r="AF826" i="3"/>
  <c r="AG826" i="3"/>
  <c r="AH826" i="3"/>
  <c r="AI826" i="3"/>
  <c r="AJ826" i="3"/>
  <c r="AK826" i="3"/>
  <c r="AL826" i="3"/>
  <c r="AM826" i="3"/>
  <c r="AN826" i="3"/>
  <c r="A827" i="3"/>
  <c r="B827" i="3"/>
  <c r="C827" i="3"/>
  <c r="D827" i="3"/>
  <c r="E827" i="3"/>
  <c r="F827" i="3"/>
  <c r="G827" i="3"/>
  <c r="H827" i="3"/>
  <c r="I827" i="3"/>
  <c r="J827" i="3"/>
  <c r="K827" i="3"/>
  <c r="L827" i="3"/>
  <c r="M827" i="3"/>
  <c r="N827" i="3"/>
  <c r="O827" i="3"/>
  <c r="P827" i="3"/>
  <c r="Q827" i="3"/>
  <c r="R827" i="3"/>
  <c r="S827" i="3"/>
  <c r="T827" i="3"/>
  <c r="U827" i="3"/>
  <c r="V827" i="3"/>
  <c r="W827" i="3"/>
  <c r="X827" i="3"/>
  <c r="Y827" i="3"/>
  <c r="Z827" i="3"/>
  <c r="AA827" i="3"/>
  <c r="AB827" i="3"/>
  <c r="AC827" i="3"/>
  <c r="AD827" i="3"/>
  <c r="AE827" i="3"/>
  <c r="AF827" i="3"/>
  <c r="AG827" i="3"/>
  <c r="AH827" i="3"/>
  <c r="AI827" i="3"/>
  <c r="AJ827" i="3"/>
  <c r="AK827" i="3"/>
  <c r="AL827" i="3"/>
  <c r="AM827" i="3"/>
  <c r="AN827" i="3"/>
  <c r="A828" i="3"/>
  <c r="B828" i="3"/>
  <c r="C828" i="3"/>
  <c r="D828" i="3"/>
  <c r="E828" i="3"/>
  <c r="F828" i="3"/>
  <c r="G828" i="3"/>
  <c r="H828" i="3"/>
  <c r="I828" i="3"/>
  <c r="J828" i="3"/>
  <c r="K828" i="3"/>
  <c r="L828" i="3"/>
  <c r="M828" i="3"/>
  <c r="N828" i="3"/>
  <c r="O828" i="3"/>
  <c r="P828" i="3"/>
  <c r="Q828" i="3"/>
  <c r="R828" i="3"/>
  <c r="S828" i="3"/>
  <c r="T828" i="3"/>
  <c r="U828" i="3"/>
  <c r="V828" i="3"/>
  <c r="W828" i="3"/>
  <c r="X828" i="3"/>
  <c r="Y828" i="3"/>
  <c r="Z828" i="3"/>
  <c r="AA828" i="3"/>
  <c r="AB828" i="3"/>
  <c r="AC828" i="3"/>
  <c r="AD828" i="3"/>
  <c r="AE828" i="3"/>
  <c r="AF828" i="3"/>
  <c r="AG828" i="3"/>
  <c r="AH828" i="3"/>
  <c r="AI828" i="3"/>
  <c r="AJ828" i="3"/>
  <c r="AK828" i="3"/>
  <c r="AL828" i="3"/>
  <c r="AM828" i="3"/>
  <c r="AN828" i="3"/>
  <c r="A829" i="3"/>
  <c r="B829" i="3"/>
  <c r="C829" i="3"/>
  <c r="D829" i="3"/>
  <c r="E829" i="3"/>
  <c r="F829" i="3"/>
  <c r="G829" i="3"/>
  <c r="H829" i="3"/>
  <c r="I829" i="3"/>
  <c r="J829" i="3"/>
  <c r="K829" i="3"/>
  <c r="L829" i="3"/>
  <c r="M829" i="3"/>
  <c r="N829" i="3"/>
  <c r="O829" i="3"/>
  <c r="P829" i="3"/>
  <c r="Q829" i="3"/>
  <c r="R829" i="3"/>
  <c r="S829" i="3"/>
  <c r="T829" i="3"/>
  <c r="U829" i="3"/>
  <c r="V829" i="3"/>
  <c r="W829" i="3"/>
  <c r="X829" i="3"/>
  <c r="Y829" i="3"/>
  <c r="Z829" i="3"/>
  <c r="AA829" i="3"/>
  <c r="AB829" i="3"/>
  <c r="AC829" i="3"/>
  <c r="AD829" i="3"/>
  <c r="AE829" i="3"/>
  <c r="AF829" i="3"/>
  <c r="AG829" i="3"/>
  <c r="AH829" i="3"/>
  <c r="AI829" i="3"/>
  <c r="AJ829" i="3"/>
  <c r="AK829" i="3"/>
  <c r="AL829" i="3"/>
  <c r="AM829" i="3"/>
  <c r="AN829" i="3"/>
  <c r="A830" i="3"/>
  <c r="B830" i="3"/>
  <c r="C830" i="3"/>
  <c r="D830" i="3"/>
  <c r="E830" i="3"/>
  <c r="F830" i="3"/>
  <c r="G830" i="3"/>
  <c r="H830" i="3"/>
  <c r="I830" i="3"/>
  <c r="J830" i="3"/>
  <c r="K830" i="3"/>
  <c r="L830" i="3"/>
  <c r="M830" i="3"/>
  <c r="N830" i="3"/>
  <c r="O830" i="3"/>
  <c r="P830" i="3"/>
  <c r="Q830" i="3"/>
  <c r="R830" i="3"/>
  <c r="S830" i="3"/>
  <c r="T830" i="3"/>
  <c r="U830" i="3"/>
  <c r="V830" i="3"/>
  <c r="W830" i="3"/>
  <c r="X830" i="3"/>
  <c r="Y830" i="3"/>
  <c r="Z830" i="3"/>
  <c r="AA830" i="3"/>
  <c r="AB830" i="3"/>
  <c r="AC830" i="3"/>
  <c r="AD830" i="3"/>
  <c r="AE830" i="3"/>
  <c r="AF830" i="3"/>
  <c r="AG830" i="3"/>
  <c r="AH830" i="3"/>
  <c r="AI830" i="3"/>
  <c r="AJ830" i="3"/>
  <c r="AK830" i="3"/>
  <c r="AL830" i="3"/>
  <c r="AM830" i="3"/>
  <c r="AN830" i="3"/>
  <c r="A831" i="3"/>
  <c r="B831" i="3"/>
  <c r="C831" i="3"/>
  <c r="D831" i="3"/>
  <c r="E831" i="3"/>
  <c r="F831" i="3"/>
  <c r="G831" i="3"/>
  <c r="H831" i="3"/>
  <c r="I831" i="3"/>
  <c r="J831" i="3"/>
  <c r="K831" i="3"/>
  <c r="L831" i="3"/>
  <c r="M831" i="3"/>
  <c r="N831" i="3"/>
  <c r="O831" i="3"/>
  <c r="P831" i="3"/>
  <c r="Q831" i="3"/>
  <c r="R831" i="3"/>
  <c r="S831" i="3"/>
  <c r="T831" i="3"/>
  <c r="U831" i="3"/>
  <c r="V831" i="3"/>
  <c r="W831" i="3"/>
  <c r="X831" i="3"/>
  <c r="Y831" i="3"/>
  <c r="Z831" i="3"/>
  <c r="AA831" i="3"/>
  <c r="AB831" i="3"/>
  <c r="AC831" i="3"/>
  <c r="AD831" i="3"/>
  <c r="AE831" i="3"/>
  <c r="AF831" i="3"/>
  <c r="AG831" i="3"/>
  <c r="AH831" i="3"/>
  <c r="AI831" i="3"/>
  <c r="AJ831" i="3"/>
  <c r="AK831" i="3"/>
  <c r="AL831" i="3"/>
  <c r="AM831" i="3"/>
  <c r="AN831" i="3"/>
  <c r="A832" i="3"/>
  <c r="B832" i="3"/>
  <c r="C832" i="3"/>
  <c r="D832" i="3"/>
  <c r="E832" i="3"/>
  <c r="F832" i="3"/>
  <c r="G832" i="3"/>
  <c r="H832" i="3"/>
  <c r="I832" i="3"/>
  <c r="J832" i="3"/>
  <c r="K832" i="3"/>
  <c r="L832" i="3"/>
  <c r="M832" i="3"/>
  <c r="N832" i="3"/>
  <c r="O832" i="3"/>
  <c r="P832" i="3"/>
  <c r="Q832" i="3"/>
  <c r="R832" i="3"/>
  <c r="S832" i="3"/>
  <c r="T832" i="3"/>
  <c r="U832" i="3"/>
  <c r="V832" i="3"/>
  <c r="W832" i="3"/>
  <c r="X832" i="3"/>
  <c r="Y832" i="3"/>
  <c r="Z832" i="3"/>
  <c r="AA832" i="3"/>
  <c r="AB832" i="3"/>
  <c r="AC832" i="3"/>
  <c r="AD832" i="3"/>
  <c r="AE832" i="3"/>
  <c r="AF832" i="3"/>
  <c r="AG832" i="3"/>
  <c r="AH832" i="3"/>
  <c r="AI832" i="3"/>
  <c r="AJ832" i="3"/>
  <c r="AK832" i="3"/>
  <c r="AL832" i="3"/>
  <c r="AM832" i="3"/>
  <c r="AN832" i="3"/>
  <c r="A833" i="3"/>
  <c r="B833" i="3"/>
  <c r="C833" i="3"/>
  <c r="D833" i="3"/>
  <c r="E833" i="3"/>
  <c r="F833" i="3"/>
  <c r="G833" i="3"/>
  <c r="H833" i="3"/>
  <c r="I833" i="3"/>
  <c r="J833" i="3"/>
  <c r="K833" i="3"/>
  <c r="L833" i="3"/>
  <c r="M833" i="3"/>
  <c r="N833" i="3"/>
  <c r="O833" i="3"/>
  <c r="P833" i="3"/>
  <c r="Q833" i="3"/>
  <c r="R833" i="3"/>
  <c r="S833" i="3"/>
  <c r="T833" i="3"/>
  <c r="U833" i="3"/>
  <c r="V833" i="3"/>
  <c r="W833" i="3"/>
  <c r="X833" i="3"/>
  <c r="Y833" i="3"/>
  <c r="Z833" i="3"/>
  <c r="AA833" i="3"/>
  <c r="AB833" i="3"/>
  <c r="AC833" i="3"/>
  <c r="AD833" i="3"/>
  <c r="AE833" i="3"/>
  <c r="AF833" i="3"/>
  <c r="AG833" i="3"/>
  <c r="AH833" i="3"/>
  <c r="AI833" i="3"/>
  <c r="AJ833" i="3"/>
  <c r="AK833" i="3"/>
  <c r="AL833" i="3"/>
  <c r="AM833" i="3"/>
  <c r="AN833" i="3"/>
  <c r="A834" i="3"/>
  <c r="B834" i="3"/>
  <c r="C834" i="3"/>
  <c r="D834" i="3"/>
  <c r="E834" i="3"/>
  <c r="F834" i="3"/>
  <c r="G834" i="3"/>
  <c r="H834" i="3"/>
  <c r="I834" i="3"/>
  <c r="J834" i="3"/>
  <c r="K834" i="3"/>
  <c r="L834" i="3"/>
  <c r="M834" i="3"/>
  <c r="N834" i="3"/>
  <c r="O834" i="3"/>
  <c r="P834" i="3"/>
  <c r="Q834" i="3"/>
  <c r="R834" i="3"/>
  <c r="S834" i="3"/>
  <c r="T834" i="3"/>
  <c r="U834" i="3"/>
  <c r="V834" i="3"/>
  <c r="W834" i="3"/>
  <c r="X834" i="3"/>
  <c r="Y834" i="3"/>
  <c r="Z834" i="3"/>
  <c r="AA834" i="3"/>
  <c r="AB834" i="3"/>
  <c r="AC834" i="3"/>
  <c r="AD834" i="3"/>
  <c r="AE834" i="3"/>
  <c r="AF834" i="3"/>
  <c r="AG834" i="3"/>
  <c r="AH834" i="3"/>
  <c r="AI834" i="3"/>
  <c r="AJ834" i="3"/>
  <c r="AK834" i="3"/>
  <c r="AL834" i="3"/>
  <c r="AM834" i="3"/>
  <c r="AN834" i="3"/>
  <c r="A835" i="3"/>
  <c r="B835" i="3"/>
  <c r="C835" i="3"/>
  <c r="D835" i="3"/>
  <c r="E835" i="3"/>
  <c r="F835" i="3"/>
  <c r="G835" i="3"/>
  <c r="H835" i="3"/>
  <c r="I835" i="3"/>
  <c r="J835" i="3"/>
  <c r="K835" i="3"/>
  <c r="L835" i="3"/>
  <c r="M835" i="3"/>
  <c r="N835" i="3"/>
  <c r="O835" i="3"/>
  <c r="P835" i="3"/>
  <c r="Q835" i="3"/>
  <c r="R835" i="3"/>
  <c r="S835" i="3"/>
  <c r="T835" i="3"/>
  <c r="U835" i="3"/>
  <c r="V835" i="3"/>
  <c r="W835" i="3"/>
  <c r="X835" i="3"/>
  <c r="Y835" i="3"/>
  <c r="Z835" i="3"/>
  <c r="AA835" i="3"/>
  <c r="AB835" i="3"/>
  <c r="AC835" i="3"/>
  <c r="AD835" i="3"/>
  <c r="AE835" i="3"/>
  <c r="AF835" i="3"/>
  <c r="AG835" i="3"/>
  <c r="AH835" i="3"/>
  <c r="AI835" i="3"/>
  <c r="AJ835" i="3"/>
  <c r="AK835" i="3"/>
  <c r="AL835" i="3"/>
  <c r="AM835" i="3"/>
  <c r="AN835" i="3"/>
  <c r="A836" i="3"/>
  <c r="B836" i="3"/>
  <c r="C836" i="3"/>
  <c r="D836" i="3"/>
  <c r="E836" i="3"/>
  <c r="F836" i="3"/>
  <c r="G836" i="3"/>
  <c r="H836" i="3"/>
  <c r="I836" i="3"/>
  <c r="J836" i="3"/>
  <c r="K836" i="3"/>
  <c r="L836" i="3"/>
  <c r="M836" i="3"/>
  <c r="N836" i="3"/>
  <c r="O836" i="3"/>
  <c r="P836" i="3"/>
  <c r="Q836" i="3"/>
  <c r="R836" i="3"/>
  <c r="S836" i="3"/>
  <c r="T836" i="3"/>
  <c r="U836" i="3"/>
  <c r="V836" i="3"/>
  <c r="W836" i="3"/>
  <c r="X836" i="3"/>
  <c r="Y836" i="3"/>
  <c r="Z836" i="3"/>
  <c r="AA836" i="3"/>
  <c r="AB836" i="3"/>
  <c r="AC836" i="3"/>
  <c r="AD836" i="3"/>
  <c r="AE836" i="3"/>
  <c r="AF836" i="3"/>
  <c r="AG836" i="3"/>
  <c r="AH836" i="3"/>
  <c r="AI836" i="3"/>
  <c r="AJ836" i="3"/>
  <c r="AK836" i="3"/>
  <c r="AL836" i="3"/>
  <c r="AM836" i="3"/>
  <c r="AN836" i="3"/>
  <c r="A837" i="3"/>
  <c r="B837" i="3"/>
  <c r="C837" i="3"/>
  <c r="D837" i="3"/>
  <c r="E837" i="3"/>
  <c r="F837" i="3"/>
  <c r="G837" i="3"/>
  <c r="H837" i="3"/>
  <c r="I837" i="3"/>
  <c r="J837" i="3"/>
  <c r="K837" i="3"/>
  <c r="L837" i="3"/>
  <c r="M837" i="3"/>
  <c r="N837" i="3"/>
  <c r="O837" i="3"/>
  <c r="P837" i="3"/>
  <c r="Q837" i="3"/>
  <c r="R837" i="3"/>
  <c r="S837" i="3"/>
  <c r="T837" i="3"/>
  <c r="U837" i="3"/>
  <c r="V837" i="3"/>
  <c r="W837" i="3"/>
  <c r="X837" i="3"/>
  <c r="Y837" i="3"/>
  <c r="Z837" i="3"/>
  <c r="AA837" i="3"/>
  <c r="AB837" i="3"/>
  <c r="AC837" i="3"/>
  <c r="AD837" i="3"/>
  <c r="AE837" i="3"/>
  <c r="AF837" i="3"/>
  <c r="AG837" i="3"/>
  <c r="AH837" i="3"/>
  <c r="AI837" i="3"/>
  <c r="AJ837" i="3"/>
  <c r="AK837" i="3"/>
  <c r="AL837" i="3"/>
  <c r="AM837" i="3"/>
  <c r="AN837" i="3"/>
  <c r="A838" i="3"/>
  <c r="B838" i="3"/>
  <c r="C838" i="3"/>
  <c r="D838" i="3"/>
  <c r="E838" i="3"/>
  <c r="F838" i="3"/>
  <c r="G838" i="3"/>
  <c r="H838" i="3"/>
  <c r="I838" i="3"/>
  <c r="J838" i="3"/>
  <c r="K838" i="3"/>
  <c r="L838" i="3"/>
  <c r="M838" i="3"/>
  <c r="N838" i="3"/>
  <c r="O838" i="3"/>
  <c r="P838" i="3"/>
  <c r="Q838" i="3"/>
  <c r="R838" i="3"/>
  <c r="S838" i="3"/>
  <c r="T838" i="3"/>
  <c r="U838" i="3"/>
  <c r="V838" i="3"/>
  <c r="W838" i="3"/>
  <c r="X838" i="3"/>
  <c r="Y838" i="3"/>
  <c r="Z838" i="3"/>
  <c r="AA838" i="3"/>
  <c r="AB838" i="3"/>
  <c r="AC838" i="3"/>
  <c r="AD838" i="3"/>
  <c r="AE838" i="3"/>
  <c r="AF838" i="3"/>
  <c r="AG838" i="3"/>
  <c r="AH838" i="3"/>
  <c r="AI838" i="3"/>
  <c r="AJ838" i="3"/>
  <c r="AK838" i="3"/>
  <c r="AL838" i="3"/>
  <c r="AM838" i="3"/>
  <c r="AN838" i="3"/>
  <c r="A839" i="3"/>
  <c r="B839" i="3"/>
  <c r="C839" i="3"/>
  <c r="D839" i="3"/>
  <c r="E839" i="3"/>
  <c r="F839" i="3"/>
  <c r="G839" i="3"/>
  <c r="H839" i="3"/>
  <c r="I839" i="3"/>
  <c r="J839" i="3"/>
  <c r="K839" i="3"/>
  <c r="L839" i="3"/>
  <c r="M839" i="3"/>
  <c r="N839" i="3"/>
  <c r="O839" i="3"/>
  <c r="P839" i="3"/>
  <c r="Q839" i="3"/>
  <c r="R839" i="3"/>
  <c r="S839" i="3"/>
  <c r="T839" i="3"/>
  <c r="U839" i="3"/>
  <c r="V839" i="3"/>
  <c r="W839" i="3"/>
  <c r="X839" i="3"/>
  <c r="Y839" i="3"/>
  <c r="Z839" i="3"/>
  <c r="AA839" i="3"/>
  <c r="AB839" i="3"/>
  <c r="AC839" i="3"/>
  <c r="AD839" i="3"/>
  <c r="AE839" i="3"/>
  <c r="AF839" i="3"/>
  <c r="AG839" i="3"/>
  <c r="AH839" i="3"/>
  <c r="AI839" i="3"/>
  <c r="AJ839" i="3"/>
  <c r="AK839" i="3"/>
  <c r="AL839" i="3"/>
  <c r="AM839" i="3"/>
  <c r="AN839" i="3"/>
  <c r="A840" i="3"/>
  <c r="B840" i="3"/>
  <c r="C840" i="3"/>
  <c r="D840" i="3"/>
  <c r="E840" i="3"/>
  <c r="F840" i="3"/>
  <c r="G840" i="3"/>
  <c r="H840" i="3"/>
  <c r="I840" i="3"/>
  <c r="J840" i="3"/>
  <c r="K840" i="3"/>
  <c r="L840" i="3"/>
  <c r="M840" i="3"/>
  <c r="N840" i="3"/>
  <c r="O840" i="3"/>
  <c r="P840" i="3"/>
  <c r="Q840" i="3"/>
  <c r="R840" i="3"/>
  <c r="S840" i="3"/>
  <c r="T840" i="3"/>
  <c r="U840" i="3"/>
  <c r="V840" i="3"/>
  <c r="W840" i="3"/>
  <c r="X840" i="3"/>
  <c r="Y840" i="3"/>
  <c r="Z840" i="3"/>
  <c r="AA840" i="3"/>
  <c r="AB840" i="3"/>
  <c r="AC840" i="3"/>
  <c r="AD840" i="3"/>
  <c r="AE840" i="3"/>
  <c r="AF840" i="3"/>
  <c r="AG840" i="3"/>
  <c r="AH840" i="3"/>
  <c r="AI840" i="3"/>
  <c r="AJ840" i="3"/>
  <c r="AK840" i="3"/>
  <c r="AL840" i="3"/>
  <c r="AM840" i="3"/>
  <c r="AN840" i="3"/>
  <c r="A841" i="3"/>
  <c r="B841" i="3"/>
  <c r="C841" i="3"/>
  <c r="D841" i="3"/>
  <c r="E841" i="3"/>
  <c r="F841" i="3"/>
  <c r="G841" i="3"/>
  <c r="H841" i="3"/>
  <c r="I841" i="3"/>
  <c r="J841" i="3"/>
  <c r="K841" i="3"/>
  <c r="L841" i="3"/>
  <c r="M841" i="3"/>
  <c r="N841" i="3"/>
  <c r="O841" i="3"/>
  <c r="P841" i="3"/>
  <c r="Q841" i="3"/>
  <c r="R841" i="3"/>
  <c r="S841" i="3"/>
  <c r="T841" i="3"/>
  <c r="U841" i="3"/>
  <c r="V841" i="3"/>
  <c r="W841" i="3"/>
  <c r="X841" i="3"/>
  <c r="Y841" i="3"/>
  <c r="Z841" i="3"/>
  <c r="AA841" i="3"/>
  <c r="AB841" i="3"/>
  <c r="AC841" i="3"/>
  <c r="AD841" i="3"/>
  <c r="AE841" i="3"/>
  <c r="AF841" i="3"/>
  <c r="AG841" i="3"/>
  <c r="AH841" i="3"/>
  <c r="AI841" i="3"/>
  <c r="AJ841" i="3"/>
  <c r="AK841" i="3"/>
  <c r="AL841" i="3"/>
  <c r="AM841" i="3"/>
  <c r="AN841" i="3"/>
  <c r="A842" i="3"/>
  <c r="B842" i="3"/>
  <c r="C842" i="3"/>
  <c r="D842" i="3"/>
  <c r="E842" i="3"/>
  <c r="F842" i="3"/>
  <c r="G842" i="3"/>
  <c r="H842" i="3"/>
  <c r="I842" i="3"/>
  <c r="J842" i="3"/>
  <c r="K842" i="3"/>
  <c r="L842" i="3"/>
  <c r="M842" i="3"/>
  <c r="N842" i="3"/>
  <c r="O842" i="3"/>
  <c r="P842" i="3"/>
  <c r="Q842" i="3"/>
  <c r="R842" i="3"/>
  <c r="S842" i="3"/>
  <c r="T842" i="3"/>
  <c r="U842" i="3"/>
  <c r="V842" i="3"/>
  <c r="W842" i="3"/>
  <c r="X842" i="3"/>
  <c r="Y842" i="3"/>
  <c r="Z842" i="3"/>
  <c r="AA842" i="3"/>
  <c r="AB842" i="3"/>
  <c r="AC842" i="3"/>
  <c r="AD842" i="3"/>
  <c r="AE842" i="3"/>
  <c r="AF842" i="3"/>
  <c r="AG842" i="3"/>
  <c r="AH842" i="3"/>
  <c r="AI842" i="3"/>
  <c r="AJ842" i="3"/>
  <c r="AK842" i="3"/>
  <c r="AL842" i="3"/>
  <c r="AM842" i="3"/>
  <c r="AN842" i="3"/>
  <c r="A843" i="3"/>
  <c r="B843" i="3"/>
  <c r="C843" i="3"/>
  <c r="D843" i="3"/>
  <c r="E843" i="3"/>
  <c r="F843" i="3"/>
  <c r="G843" i="3"/>
  <c r="H843" i="3"/>
  <c r="I843" i="3"/>
  <c r="J843" i="3"/>
  <c r="K843" i="3"/>
  <c r="L843" i="3"/>
  <c r="M843" i="3"/>
  <c r="N843" i="3"/>
  <c r="O843" i="3"/>
  <c r="P843" i="3"/>
  <c r="Q843" i="3"/>
  <c r="R843" i="3"/>
  <c r="S843" i="3"/>
  <c r="T843" i="3"/>
  <c r="U843" i="3"/>
  <c r="V843" i="3"/>
  <c r="W843" i="3"/>
  <c r="X843" i="3"/>
  <c r="Y843" i="3"/>
  <c r="Z843" i="3"/>
  <c r="AA843" i="3"/>
  <c r="AB843" i="3"/>
  <c r="AC843" i="3"/>
  <c r="AD843" i="3"/>
  <c r="AE843" i="3"/>
  <c r="AF843" i="3"/>
  <c r="AG843" i="3"/>
  <c r="AH843" i="3"/>
  <c r="AI843" i="3"/>
  <c r="AJ843" i="3"/>
  <c r="AK843" i="3"/>
  <c r="AL843" i="3"/>
  <c r="AM843" i="3"/>
  <c r="AN843" i="3"/>
  <c r="A844" i="3"/>
  <c r="B844" i="3"/>
  <c r="C844" i="3"/>
  <c r="D844" i="3"/>
  <c r="E844" i="3"/>
  <c r="F844" i="3"/>
  <c r="G844" i="3"/>
  <c r="H844" i="3"/>
  <c r="I844" i="3"/>
  <c r="J844" i="3"/>
  <c r="K844" i="3"/>
  <c r="L844" i="3"/>
  <c r="M844" i="3"/>
  <c r="N844" i="3"/>
  <c r="O844" i="3"/>
  <c r="P844" i="3"/>
  <c r="Q844" i="3"/>
  <c r="R844" i="3"/>
  <c r="S844" i="3"/>
  <c r="T844" i="3"/>
  <c r="U844" i="3"/>
  <c r="V844" i="3"/>
  <c r="W844" i="3"/>
  <c r="X844" i="3"/>
  <c r="Y844" i="3"/>
  <c r="Z844" i="3"/>
  <c r="AA844" i="3"/>
  <c r="AB844" i="3"/>
  <c r="AC844" i="3"/>
  <c r="AD844" i="3"/>
  <c r="AE844" i="3"/>
  <c r="AF844" i="3"/>
  <c r="AG844" i="3"/>
  <c r="AH844" i="3"/>
  <c r="AI844" i="3"/>
  <c r="AJ844" i="3"/>
  <c r="AK844" i="3"/>
  <c r="AL844" i="3"/>
  <c r="AM844" i="3"/>
  <c r="AN844" i="3"/>
  <c r="A845" i="3"/>
  <c r="B845" i="3"/>
  <c r="C845" i="3"/>
  <c r="D845" i="3"/>
  <c r="E845" i="3"/>
  <c r="F845" i="3"/>
  <c r="G845" i="3"/>
  <c r="H845" i="3"/>
  <c r="I845" i="3"/>
  <c r="J845" i="3"/>
  <c r="K845" i="3"/>
  <c r="L845" i="3"/>
  <c r="M845" i="3"/>
  <c r="N845" i="3"/>
  <c r="O845" i="3"/>
  <c r="P845" i="3"/>
  <c r="Q845" i="3"/>
  <c r="R845" i="3"/>
  <c r="S845" i="3"/>
  <c r="T845" i="3"/>
  <c r="U845" i="3"/>
  <c r="V845" i="3"/>
  <c r="W845" i="3"/>
  <c r="X845" i="3"/>
  <c r="Y845" i="3"/>
  <c r="Z845" i="3"/>
  <c r="AA845" i="3"/>
  <c r="AB845" i="3"/>
  <c r="AC845" i="3"/>
  <c r="AD845" i="3"/>
  <c r="AE845" i="3"/>
  <c r="AF845" i="3"/>
  <c r="AG845" i="3"/>
  <c r="AH845" i="3"/>
  <c r="AI845" i="3"/>
  <c r="AJ845" i="3"/>
  <c r="AK845" i="3"/>
  <c r="AL845" i="3"/>
  <c r="AM845" i="3"/>
  <c r="AN845" i="3"/>
  <c r="A846" i="3"/>
  <c r="B846" i="3"/>
  <c r="C846" i="3"/>
  <c r="D846" i="3"/>
  <c r="E846" i="3"/>
  <c r="F846" i="3"/>
  <c r="G846" i="3"/>
  <c r="H846" i="3"/>
  <c r="I846" i="3"/>
  <c r="J846" i="3"/>
  <c r="K846" i="3"/>
  <c r="L846" i="3"/>
  <c r="M846" i="3"/>
  <c r="N846" i="3"/>
  <c r="O846" i="3"/>
  <c r="P846" i="3"/>
  <c r="Q846" i="3"/>
  <c r="R846" i="3"/>
  <c r="S846" i="3"/>
  <c r="T846" i="3"/>
  <c r="U846" i="3"/>
  <c r="V846" i="3"/>
  <c r="W846" i="3"/>
  <c r="X846" i="3"/>
  <c r="Y846" i="3"/>
  <c r="Z846" i="3"/>
  <c r="AA846" i="3"/>
  <c r="AB846" i="3"/>
  <c r="AC846" i="3"/>
  <c r="AD846" i="3"/>
  <c r="AE846" i="3"/>
  <c r="AF846" i="3"/>
  <c r="AG846" i="3"/>
  <c r="AH846" i="3"/>
  <c r="AI846" i="3"/>
  <c r="AJ846" i="3"/>
  <c r="AK846" i="3"/>
  <c r="AL846" i="3"/>
  <c r="AM846" i="3"/>
  <c r="AN846" i="3"/>
  <c r="A847" i="3"/>
  <c r="B847" i="3"/>
  <c r="C847" i="3"/>
  <c r="D847" i="3"/>
  <c r="E847" i="3"/>
  <c r="F847" i="3"/>
  <c r="G847" i="3"/>
  <c r="H847" i="3"/>
  <c r="I847" i="3"/>
  <c r="J847" i="3"/>
  <c r="K847" i="3"/>
  <c r="L847" i="3"/>
  <c r="M847" i="3"/>
  <c r="N847" i="3"/>
  <c r="O847" i="3"/>
  <c r="P847" i="3"/>
  <c r="Q847" i="3"/>
  <c r="R847" i="3"/>
  <c r="S847" i="3"/>
  <c r="T847" i="3"/>
  <c r="U847" i="3"/>
  <c r="V847" i="3"/>
  <c r="W847" i="3"/>
  <c r="X847" i="3"/>
  <c r="Y847" i="3"/>
  <c r="Z847" i="3"/>
  <c r="AA847" i="3"/>
  <c r="AB847" i="3"/>
  <c r="AC847" i="3"/>
  <c r="AD847" i="3"/>
  <c r="AE847" i="3"/>
  <c r="AF847" i="3"/>
  <c r="AG847" i="3"/>
  <c r="AH847" i="3"/>
  <c r="AI847" i="3"/>
  <c r="AJ847" i="3"/>
  <c r="AK847" i="3"/>
  <c r="AL847" i="3"/>
  <c r="AM847" i="3"/>
  <c r="AN847" i="3"/>
  <c r="A848" i="3"/>
  <c r="B848" i="3"/>
  <c r="C848" i="3"/>
  <c r="D848" i="3"/>
  <c r="E848" i="3"/>
  <c r="F848" i="3"/>
  <c r="G848" i="3"/>
  <c r="H848" i="3"/>
  <c r="I848" i="3"/>
  <c r="J848" i="3"/>
  <c r="K848" i="3"/>
  <c r="L848" i="3"/>
  <c r="M848" i="3"/>
  <c r="N848" i="3"/>
  <c r="O848" i="3"/>
  <c r="P848" i="3"/>
  <c r="Q848" i="3"/>
  <c r="R848" i="3"/>
  <c r="S848" i="3"/>
  <c r="T848" i="3"/>
  <c r="U848" i="3"/>
  <c r="V848" i="3"/>
  <c r="W848" i="3"/>
  <c r="X848" i="3"/>
  <c r="Y848" i="3"/>
  <c r="Z848" i="3"/>
  <c r="AA848" i="3"/>
  <c r="AB848" i="3"/>
  <c r="AC848" i="3"/>
  <c r="AD848" i="3"/>
  <c r="AE848" i="3"/>
  <c r="AF848" i="3"/>
  <c r="AG848" i="3"/>
  <c r="AH848" i="3"/>
  <c r="AI848" i="3"/>
  <c r="AJ848" i="3"/>
  <c r="AK848" i="3"/>
  <c r="AL848" i="3"/>
  <c r="AM848" i="3"/>
  <c r="AN848" i="3"/>
  <c r="A849" i="3"/>
  <c r="B849" i="3"/>
  <c r="C849" i="3"/>
  <c r="D849" i="3"/>
  <c r="E849" i="3"/>
  <c r="F849" i="3"/>
  <c r="G849" i="3"/>
  <c r="H849" i="3"/>
  <c r="I849" i="3"/>
  <c r="J849" i="3"/>
  <c r="K849" i="3"/>
  <c r="L849" i="3"/>
  <c r="M849" i="3"/>
  <c r="N849" i="3"/>
  <c r="O849" i="3"/>
  <c r="P849" i="3"/>
  <c r="Q849" i="3"/>
  <c r="R849" i="3"/>
  <c r="S849" i="3"/>
  <c r="T849" i="3"/>
  <c r="U849" i="3"/>
  <c r="V849" i="3"/>
  <c r="W849" i="3"/>
  <c r="X849" i="3"/>
  <c r="Y849" i="3"/>
  <c r="Z849" i="3"/>
  <c r="AA849" i="3"/>
  <c r="AB849" i="3"/>
  <c r="AC849" i="3"/>
  <c r="AD849" i="3"/>
  <c r="AE849" i="3"/>
  <c r="AF849" i="3"/>
  <c r="AG849" i="3"/>
  <c r="AH849" i="3"/>
  <c r="AI849" i="3"/>
  <c r="AJ849" i="3"/>
  <c r="AK849" i="3"/>
  <c r="AL849" i="3"/>
  <c r="AM849" i="3"/>
  <c r="AN849" i="3"/>
  <c r="A850" i="3"/>
  <c r="B850" i="3"/>
  <c r="C850" i="3"/>
  <c r="D850" i="3"/>
  <c r="E850" i="3"/>
  <c r="F850" i="3"/>
  <c r="G850" i="3"/>
  <c r="H850" i="3"/>
  <c r="I850" i="3"/>
  <c r="J850" i="3"/>
  <c r="K850" i="3"/>
  <c r="L850" i="3"/>
  <c r="M850" i="3"/>
  <c r="N850" i="3"/>
  <c r="O850" i="3"/>
  <c r="P850" i="3"/>
  <c r="Q850" i="3"/>
  <c r="R850" i="3"/>
  <c r="S850" i="3"/>
  <c r="T850" i="3"/>
  <c r="U850" i="3"/>
  <c r="V850" i="3"/>
  <c r="W850" i="3"/>
  <c r="X850" i="3"/>
  <c r="Y850" i="3"/>
  <c r="Z850" i="3"/>
  <c r="AA850" i="3"/>
  <c r="AB850" i="3"/>
  <c r="AC850" i="3"/>
  <c r="AD850" i="3"/>
  <c r="AE850" i="3"/>
  <c r="AF850" i="3"/>
  <c r="AG850" i="3"/>
  <c r="AH850" i="3"/>
  <c r="AI850" i="3"/>
  <c r="AJ850" i="3"/>
  <c r="AK850" i="3"/>
  <c r="AL850" i="3"/>
  <c r="AM850" i="3"/>
  <c r="AN850" i="3"/>
  <c r="A851" i="3"/>
  <c r="B851" i="3"/>
  <c r="C851" i="3"/>
  <c r="D851" i="3"/>
  <c r="E851" i="3"/>
  <c r="F851" i="3"/>
  <c r="G851" i="3"/>
  <c r="H851" i="3"/>
  <c r="I851" i="3"/>
  <c r="J851" i="3"/>
  <c r="K851" i="3"/>
  <c r="L851" i="3"/>
  <c r="M851" i="3"/>
  <c r="N851" i="3"/>
  <c r="O851" i="3"/>
  <c r="P851" i="3"/>
  <c r="Q851" i="3"/>
  <c r="R851" i="3"/>
  <c r="S851" i="3"/>
  <c r="T851" i="3"/>
  <c r="U851" i="3"/>
  <c r="V851" i="3"/>
  <c r="W851" i="3"/>
  <c r="X851" i="3"/>
  <c r="Y851" i="3"/>
  <c r="Z851" i="3"/>
  <c r="AA851" i="3"/>
  <c r="AB851" i="3"/>
  <c r="AC851" i="3"/>
  <c r="AD851" i="3"/>
  <c r="AE851" i="3"/>
  <c r="AF851" i="3"/>
  <c r="AG851" i="3"/>
  <c r="AH851" i="3"/>
  <c r="AI851" i="3"/>
  <c r="AJ851" i="3"/>
  <c r="AK851" i="3"/>
  <c r="AL851" i="3"/>
  <c r="AM851" i="3"/>
  <c r="AN851" i="3"/>
  <c r="A852" i="3"/>
  <c r="B852" i="3"/>
  <c r="C852" i="3"/>
  <c r="D852" i="3"/>
  <c r="E852" i="3"/>
  <c r="F852" i="3"/>
  <c r="G852" i="3"/>
  <c r="H852" i="3"/>
  <c r="I852" i="3"/>
  <c r="J852" i="3"/>
  <c r="K852" i="3"/>
  <c r="L852" i="3"/>
  <c r="M852" i="3"/>
  <c r="N852" i="3"/>
  <c r="O852" i="3"/>
  <c r="P852" i="3"/>
  <c r="Q852" i="3"/>
  <c r="R852" i="3"/>
  <c r="S852" i="3"/>
  <c r="T852" i="3"/>
  <c r="U852" i="3"/>
  <c r="V852" i="3"/>
  <c r="W852" i="3"/>
  <c r="X852" i="3"/>
  <c r="Y852" i="3"/>
  <c r="Z852" i="3"/>
  <c r="AA852" i="3"/>
  <c r="AB852" i="3"/>
  <c r="AC852" i="3"/>
  <c r="AD852" i="3"/>
  <c r="AE852" i="3"/>
  <c r="AF852" i="3"/>
  <c r="AG852" i="3"/>
  <c r="AH852" i="3"/>
  <c r="AI852" i="3"/>
  <c r="AJ852" i="3"/>
  <c r="AK852" i="3"/>
  <c r="AL852" i="3"/>
  <c r="AM852" i="3"/>
  <c r="AN852" i="3"/>
  <c r="A853" i="3"/>
  <c r="B853" i="3"/>
  <c r="C853" i="3"/>
  <c r="D853" i="3"/>
  <c r="E853" i="3"/>
  <c r="F853" i="3"/>
  <c r="G853" i="3"/>
  <c r="H853" i="3"/>
  <c r="I853" i="3"/>
  <c r="J853" i="3"/>
  <c r="K853" i="3"/>
  <c r="L853" i="3"/>
  <c r="M853" i="3"/>
  <c r="N853" i="3"/>
  <c r="O853" i="3"/>
  <c r="P853" i="3"/>
  <c r="Q853" i="3"/>
  <c r="R853" i="3"/>
  <c r="S853" i="3"/>
  <c r="T853" i="3"/>
  <c r="U853" i="3"/>
  <c r="V853" i="3"/>
  <c r="W853" i="3"/>
  <c r="X853" i="3"/>
  <c r="Y853" i="3"/>
  <c r="Z853" i="3"/>
  <c r="AA853" i="3"/>
  <c r="AB853" i="3"/>
  <c r="AC853" i="3"/>
  <c r="AD853" i="3"/>
  <c r="AE853" i="3"/>
  <c r="AF853" i="3"/>
  <c r="AG853" i="3"/>
  <c r="AH853" i="3"/>
  <c r="AI853" i="3"/>
  <c r="AJ853" i="3"/>
  <c r="AK853" i="3"/>
  <c r="AL853" i="3"/>
  <c r="AM853" i="3"/>
  <c r="AN853" i="3"/>
  <c r="A854" i="3"/>
  <c r="B854" i="3"/>
  <c r="C854" i="3"/>
  <c r="D854" i="3"/>
  <c r="E854" i="3"/>
  <c r="F854" i="3"/>
  <c r="G854" i="3"/>
  <c r="H854" i="3"/>
  <c r="I854" i="3"/>
  <c r="J854" i="3"/>
  <c r="K854" i="3"/>
  <c r="L854" i="3"/>
  <c r="M854" i="3"/>
  <c r="N854" i="3"/>
  <c r="O854" i="3"/>
  <c r="P854" i="3"/>
  <c r="Q854" i="3"/>
  <c r="R854" i="3"/>
  <c r="S854" i="3"/>
  <c r="T854" i="3"/>
  <c r="U854" i="3"/>
  <c r="V854" i="3"/>
  <c r="W854" i="3"/>
  <c r="X854" i="3"/>
  <c r="Y854" i="3"/>
  <c r="Z854" i="3"/>
  <c r="AA854" i="3"/>
  <c r="AB854" i="3"/>
  <c r="AC854" i="3"/>
  <c r="AD854" i="3"/>
  <c r="AE854" i="3"/>
  <c r="AF854" i="3"/>
  <c r="AG854" i="3"/>
  <c r="AH854" i="3"/>
  <c r="AI854" i="3"/>
  <c r="AJ854" i="3"/>
  <c r="AK854" i="3"/>
  <c r="AL854" i="3"/>
  <c r="AM854" i="3"/>
  <c r="AN854" i="3"/>
  <c r="A855" i="3"/>
  <c r="B855" i="3"/>
  <c r="C855" i="3"/>
  <c r="D855" i="3"/>
  <c r="E855" i="3"/>
  <c r="F855" i="3"/>
  <c r="G855" i="3"/>
  <c r="H855" i="3"/>
  <c r="I855" i="3"/>
  <c r="J855" i="3"/>
  <c r="K855" i="3"/>
  <c r="L855" i="3"/>
  <c r="M855" i="3"/>
  <c r="N855" i="3"/>
  <c r="O855" i="3"/>
  <c r="P855" i="3"/>
  <c r="Q855" i="3"/>
  <c r="R855" i="3"/>
  <c r="S855" i="3"/>
  <c r="T855" i="3"/>
  <c r="U855" i="3"/>
  <c r="V855" i="3"/>
  <c r="W855" i="3"/>
  <c r="X855" i="3"/>
  <c r="Y855" i="3"/>
  <c r="Z855" i="3"/>
  <c r="AA855" i="3"/>
  <c r="AB855" i="3"/>
  <c r="AC855" i="3"/>
  <c r="AD855" i="3"/>
  <c r="AE855" i="3"/>
  <c r="AF855" i="3"/>
  <c r="AG855" i="3"/>
  <c r="AH855" i="3"/>
  <c r="AI855" i="3"/>
  <c r="AJ855" i="3"/>
  <c r="AK855" i="3"/>
  <c r="AL855" i="3"/>
  <c r="AM855" i="3"/>
  <c r="AN855" i="3"/>
  <c r="A856" i="3"/>
  <c r="B856" i="3"/>
  <c r="C856" i="3"/>
  <c r="D856" i="3"/>
  <c r="E856" i="3"/>
  <c r="F856" i="3"/>
  <c r="G856" i="3"/>
  <c r="H856" i="3"/>
  <c r="I856" i="3"/>
  <c r="J856" i="3"/>
  <c r="K856" i="3"/>
  <c r="L856" i="3"/>
  <c r="M856" i="3"/>
  <c r="N856" i="3"/>
  <c r="O856" i="3"/>
  <c r="P856" i="3"/>
  <c r="Q856" i="3"/>
  <c r="R856" i="3"/>
  <c r="S856" i="3"/>
  <c r="T856" i="3"/>
  <c r="U856" i="3"/>
  <c r="V856" i="3"/>
  <c r="W856" i="3"/>
  <c r="X856" i="3"/>
  <c r="Y856" i="3"/>
  <c r="Z856" i="3"/>
  <c r="AA856" i="3"/>
  <c r="AB856" i="3"/>
  <c r="AC856" i="3"/>
  <c r="AD856" i="3"/>
  <c r="AE856" i="3"/>
  <c r="AF856" i="3"/>
  <c r="AG856" i="3"/>
  <c r="AH856" i="3"/>
  <c r="AI856" i="3"/>
  <c r="AJ856" i="3"/>
  <c r="AK856" i="3"/>
  <c r="AL856" i="3"/>
  <c r="AM856" i="3"/>
  <c r="AN856" i="3"/>
  <c r="A857" i="3"/>
  <c r="B857" i="3"/>
  <c r="C857" i="3"/>
  <c r="D857" i="3"/>
  <c r="E857" i="3"/>
  <c r="F857" i="3"/>
  <c r="G857" i="3"/>
  <c r="H857" i="3"/>
  <c r="I857" i="3"/>
  <c r="J857" i="3"/>
  <c r="K857" i="3"/>
  <c r="L857" i="3"/>
  <c r="M857" i="3"/>
  <c r="N857" i="3"/>
  <c r="O857" i="3"/>
  <c r="P857" i="3"/>
  <c r="Q857" i="3"/>
  <c r="R857" i="3"/>
  <c r="S857" i="3"/>
  <c r="T857" i="3"/>
  <c r="U857" i="3"/>
  <c r="V857" i="3"/>
  <c r="W857" i="3"/>
  <c r="X857" i="3"/>
  <c r="Y857" i="3"/>
  <c r="Z857" i="3"/>
  <c r="AA857" i="3"/>
  <c r="AB857" i="3"/>
  <c r="AC857" i="3"/>
  <c r="AD857" i="3"/>
  <c r="AE857" i="3"/>
  <c r="AF857" i="3"/>
  <c r="AG857" i="3"/>
  <c r="AH857" i="3"/>
  <c r="AI857" i="3"/>
  <c r="AJ857" i="3"/>
  <c r="AK857" i="3"/>
  <c r="AL857" i="3"/>
  <c r="AM857" i="3"/>
  <c r="AN857" i="3"/>
  <c r="A858" i="3"/>
  <c r="B858" i="3"/>
  <c r="C858" i="3"/>
  <c r="D858" i="3"/>
  <c r="E858" i="3"/>
  <c r="F858" i="3"/>
  <c r="G858" i="3"/>
  <c r="H858" i="3"/>
  <c r="I858" i="3"/>
  <c r="J858" i="3"/>
  <c r="K858" i="3"/>
  <c r="L858" i="3"/>
  <c r="M858" i="3"/>
  <c r="N858" i="3"/>
  <c r="O858" i="3"/>
  <c r="P858" i="3"/>
  <c r="Q858" i="3"/>
  <c r="R858" i="3"/>
  <c r="S858" i="3"/>
  <c r="T858" i="3"/>
  <c r="U858" i="3"/>
  <c r="V858" i="3"/>
  <c r="W858" i="3"/>
  <c r="X858" i="3"/>
  <c r="Y858" i="3"/>
  <c r="Z858" i="3"/>
  <c r="AA858" i="3"/>
  <c r="AB858" i="3"/>
  <c r="AC858" i="3"/>
  <c r="AD858" i="3"/>
  <c r="AE858" i="3"/>
  <c r="AF858" i="3"/>
  <c r="AG858" i="3"/>
  <c r="AH858" i="3"/>
  <c r="AI858" i="3"/>
  <c r="AJ858" i="3"/>
  <c r="AK858" i="3"/>
  <c r="AL858" i="3"/>
  <c r="AM858" i="3"/>
  <c r="AN858" i="3"/>
  <c r="A859" i="3"/>
  <c r="B859" i="3"/>
  <c r="C859" i="3"/>
  <c r="D859" i="3"/>
  <c r="E859" i="3"/>
  <c r="F859" i="3"/>
  <c r="G859" i="3"/>
  <c r="H859" i="3"/>
  <c r="I859" i="3"/>
  <c r="J859" i="3"/>
  <c r="K859" i="3"/>
  <c r="L859" i="3"/>
  <c r="M859" i="3"/>
  <c r="N859" i="3"/>
  <c r="O859" i="3"/>
  <c r="P859" i="3"/>
  <c r="Q859" i="3"/>
  <c r="R859" i="3"/>
  <c r="S859" i="3"/>
  <c r="T859" i="3"/>
  <c r="U859" i="3"/>
  <c r="V859" i="3"/>
  <c r="W859" i="3"/>
  <c r="X859" i="3"/>
  <c r="Y859" i="3"/>
  <c r="Z859" i="3"/>
  <c r="AA859" i="3"/>
  <c r="AB859" i="3"/>
  <c r="AC859" i="3"/>
  <c r="AD859" i="3"/>
  <c r="AE859" i="3"/>
  <c r="AF859" i="3"/>
  <c r="AG859" i="3"/>
  <c r="AH859" i="3"/>
  <c r="AI859" i="3"/>
  <c r="AJ859" i="3"/>
  <c r="AK859" i="3"/>
  <c r="AL859" i="3"/>
  <c r="AM859" i="3"/>
  <c r="AN859" i="3"/>
  <c r="A860" i="3"/>
  <c r="B860" i="3"/>
  <c r="C860" i="3"/>
  <c r="D860" i="3"/>
  <c r="E860" i="3"/>
  <c r="F860" i="3"/>
  <c r="G860" i="3"/>
  <c r="H860" i="3"/>
  <c r="I860" i="3"/>
  <c r="J860" i="3"/>
  <c r="K860" i="3"/>
  <c r="L860" i="3"/>
  <c r="M860" i="3"/>
  <c r="N860" i="3"/>
  <c r="O860" i="3"/>
  <c r="P860" i="3"/>
  <c r="Q860" i="3"/>
  <c r="R860" i="3"/>
  <c r="S860" i="3"/>
  <c r="T860" i="3"/>
  <c r="U860" i="3"/>
  <c r="V860" i="3"/>
  <c r="W860" i="3"/>
  <c r="X860" i="3"/>
  <c r="Y860" i="3"/>
  <c r="Z860" i="3"/>
  <c r="AA860" i="3"/>
  <c r="AB860" i="3"/>
  <c r="AC860" i="3"/>
  <c r="AD860" i="3"/>
  <c r="AE860" i="3"/>
  <c r="AF860" i="3"/>
  <c r="AG860" i="3"/>
  <c r="AH860" i="3"/>
  <c r="AI860" i="3"/>
  <c r="AJ860" i="3"/>
  <c r="AK860" i="3"/>
  <c r="AL860" i="3"/>
  <c r="AM860" i="3"/>
  <c r="AN860" i="3"/>
  <c r="A861" i="3"/>
  <c r="B861" i="3"/>
  <c r="C861" i="3"/>
  <c r="D861" i="3"/>
  <c r="E861" i="3"/>
  <c r="F861" i="3"/>
  <c r="G861" i="3"/>
  <c r="H861" i="3"/>
  <c r="I861" i="3"/>
  <c r="J861" i="3"/>
  <c r="K861" i="3"/>
  <c r="L861" i="3"/>
  <c r="M861" i="3"/>
  <c r="N861" i="3"/>
  <c r="O861" i="3"/>
  <c r="P861" i="3"/>
  <c r="Q861" i="3"/>
  <c r="R861" i="3"/>
  <c r="S861" i="3"/>
  <c r="T861" i="3"/>
  <c r="U861" i="3"/>
  <c r="V861" i="3"/>
  <c r="W861" i="3"/>
  <c r="X861" i="3"/>
  <c r="Y861" i="3"/>
  <c r="Z861" i="3"/>
  <c r="AA861" i="3"/>
  <c r="AB861" i="3"/>
  <c r="AC861" i="3"/>
  <c r="AD861" i="3"/>
  <c r="AE861" i="3"/>
  <c r="AF861" i="3"/>
  <c r="AG861" i="3"/>
  <c r="AH861" i="3"/>
  <c r="AI861" i="3"/>
  <c r="AJ861" i="3"/>
  <c r="AK861" i="3"/>
  <c r="AL861" i="3"/>
  <c r="AM861" i="3"/>
  <c r="AN861" i="3"/>
  <c r="A862" i="3"/>
  <c r="B862" i="3"/>
  <c r="C862" i="3"/>
  <c r="D862" i="3"/>
  <c r="E862" i="3"/>
  <c r="F862" i="3"/>
  <c r="G862" i="3"/>
  <c r="H862" i="3"/>
  <c r="I862" i="3"/>
  <c r="J862" i="3"/>
  <c r="K862" i="3"/>
  <c r="L862" i="3"/>
  <c r="M862" i="3"/>
  <c r="N862" i="3"/>
  <c r="O862" i="3"/>
  <c r="P862" i="3"/>
  <c r="Q862" i="3"/>
  <c r="R862" i="3"/>
  <c r="S862" i="3"/>
  <c r="T862" i="3"/>
  <c r="U862" i="3"/>
  <c r="V862" i="3"/>
  <c r="W862" i="3"/>
  <c r="X862" i="3"/>
  <c r="Y862" i="3"/>
  <c r="Z862" i="3"/>
  <c r="AA862" i="3"/>
  <c r="AB862" i="3"/>
  <c r="AC862" i="3"/>
  <c r="AD862" i="3"/>
  <c r="AE862" i="3"/>
  <c r="AF862" i="3"/>
  <c r="AG862" i="3"/>
  <c r="AH862" i="3"/>
  <c r="AI862" i="3"/>
  <c r="AJ862" i="3"/>
  <c r="AK862" i="3"/>
  <c r="AL862" i="3"/>
  <c r="AM862" i="3"/>
  <c r="AN862" i="3"/>
  <c r="A863" i="3"/>
  <c r="B863" i="3"/>
  <c r="C863" i="3"/>
  <c r="D863" i="3"/>
  <c r="E863" i="3"/>
  <c r="F863" i="3"/>
  <c r="G863" i="3"/>
  <c r="H863" i="3"/>
  <c r="I863" i="3"/>
  <c r="J863" i="3"/>
  <c r="K863" i="3"/>
  <c r="L863" i="3"/>
  <c r="M863" i="3"/>
  <c r="N863" i="3"/>
  <c r="O863" i="3"/>
  <c r="P863" i="3"/>
  <c r="Q863" i="3"/>
  <c r="R863" i="3"/>
  <c r="S863" i="3"/>
  <c r="T863" i="3"/>
  <c r="U863" i="3"/>
  <c r="V863" i="3"/>
  <c r="W863" i="3"/>
  <c r="X863" i="3"/>
  <c r="Y863" i="3"/>
  <c r="Z863" i="3"/>
  <c r="AA863" i="3"/>
  <c r="AB863" i="3"/>
  <c r="AC863" i="3"/>
  <c r="AD863" i="3"/>
  <c r="AE863" i="3"/>
  <c r="AF863" i="3"/>
  <c r="AG863" i="3"/>
  <c r="AH863" i="3"/>
  <c r="AI863" i="3"/>
  <c r="AJ863" i="3"/>
  <c r="AK863" i="3"/>
  <c r="AL863" i="3"/>
  <c r="AM863" i="3"/>
  <c r="AN863" i="3"/>
  <c r="A864" i="3"/>
  <c r="B864" i="3"/>
  <c r="C864" i="3"/>
  <c r="D864" i="3"/>
  <c r="E864" i="3"/>
  <c r="F864" i="3"/>
  <c r="G864" i="3"/>
  <c r="H864" i="3"/>
  <c r="I864" i="3"/>
  <c r="J864" i="3"/>
  <c r="K864" i="3"/>
  <c r="L864" i="3"/>
  <c r="M864" i="3"/>
  <c r="N864" i="3"/>
  <c r="O864" i="3"/>
  <c r="P864" i="3"/>
  <c r="Q864" i="3"/>
  <c r="R864" i="3"/>
  <c r="S864" i="3"/>
  <c r="T864" i="3"/>
  <c r="U864" i="3"/>
  <c r="V864" i="3"/>
  <c r="W864" i="3"/>
  <c r="X864" i="3"/>
  <c r="Y864" i="3"/>
  <c r="Z864" i="3"/>
  <c r="AA864" i="3"/>
  <c r="AB864" i="3"/>
  <c r="AC864" i="3"/>
  <c r="AD864" i="3"/>
  <c r="AE864" i="3"/>
  <c r="AF864" i="3"/>
  <c r="AG864" i="3"/>
  <c r="AH864" i="3"/>
  <c r="AI864" i="3"/>
  <c r="AJ864" i="3"/>
  <c r="AK864" i="3"/>
  <c r="AL864" i="3"/>
  <c r="AM864" i="3"/>
  <c r="AN864" i="3"/>
  <c r="A865" i="3"/>
  <c r="B865" i="3"/>
  <c r="C865" i="3"/>
  <c r="D865" i="3"/>
  <c r="E865" i="3"/>
  <c r="F865" i="3"/>
  <c r="G865" i="3"/>
  <c r="H865" i="3"/>
  <c r="I865" i="3"/>
  <c r="J865" i="3"/>
  <c r="K865" i="3"/>
  <c r="L865" i="3"/>
  <c r="M865" i="3"/>
  <c r="N865" i="3"/>
  <c r="O865" i="3"/>
  <c r="P865" i="3"/>
  <c r="Q865" i="3"/>
  <c r="R865" i="3"/>
  <c r="S865" i="3"/>
  <c r="T865" i="3"/>
  <c r="U865" i="3"/>
  <c r="V865" i="3"/>
  <c r="W865" i="3"/>
  <c r="X865" i="3"/>
  <c r="Y865" i="3"/>
  <c r="Z865" i="3"/>
  <c r="AA865" i="3"/>
  <c r="AB865" i="3"/>
  <c r="AC865" i="3"/>
  <c r="AD865" i="3"/>
  <c r="AE865" i="3"/>
  <c r="AF865" i="3"/>
  <c r="AG865" i="3"/>
  <c r="AH865" i="3"/>
  <c r="AI865" i="3"/>
  <c r="AJ865" i="3"/>
  <c r="AK865" i="3"/>
  <c r="AL865" i="3"/>
  <c r="AM865" i="3"/>
  <c r="AN865" i="3"/>
  <c r="A866" i="3"/>
  <c r="B866" i="3"/>
  <c r="C866" i="3"/>
  <c r="D866" i="3"/>
  <c r="E866" i="3"/>
  <c r="F866" i="3"/>
  <c r="G866" i="3"/>
  <c r="H866" i="3"/>
  <c r="I866" i="3"/>
  <c r="J866" i="3"/>
  <c r="K866" i="3"/>
  <c r="L866" i="3"/>
  <c r="M866" i="3"/>
  <c r="N866" i="3"/>
  <c r="O866" i="3"/>
  <c r="P866" i="3"/>
  <c r="Q866" i="3"/>
  <c r="R866" i="3"/>
  <c r="S866" i="3"/>
  <c r="T866" i="3"/>
  <c r="U866" i="3"/>
  <c r="V866" i="3"/>
  <c r="W866" i="3"/>
  <c r="X866" i="3"/>
  <c r="Y866" i="3"/>
  <c r="Z866" i="3"/>
  <c r="AA866" i="3"/>
  <c r="AB866" i="3"/>
  <c r="AC866" i="3"/>
  <c r="AD866" i="3"/>
  <c r="AE866" i="3"/>
  <c r="AF866" i="3"/>
  <c r="AG866" i="3"/>
  <c r="AH866" i="3"/>
  <c r="AI866" i="3"/>
  <c r="AJ866" i="3"/>
  <c r="AK866" i="3"/>
  <c r="AL866" i="3"/>
  <c r="AM866" i="3"/>
  <c r="AN866" i="3"/>
  <c r="A867" i="3"/>
  <c r="B867" i="3"/>
  <c r="C867" i="3"/>
  <c r="D867" i="3"/>
  <c r="E867" i="3"/>
  <c r="F867" i="3"/>
  <c r="G867" i="3"/>
  <c r="H867" i="3"/>
  <c r="I867" i="3"/>
  <c r="J867" i="3"/>
  <c r="K867" i="3"/>
  <c r="L867" i="3"/>
  <c r="M867" i="3"/>
  <c r="N867" i="3"/>
  <c r="O867" i="3"/>
  <c r="P867" i="3"/>
  <c r="Q867" i="3"/>
  <c r="R867" i="3"/>
  <c r="S867" i="3"/>
  <c r="T867" i="3"/>
  <c r="U867" i="3"/>
  <c r="V867" i="3"/>
  <c r="W867" i="3"/>
  <c r="X867" i="3"/>
  <c r="Y867" i="3"/>
  <c r="Z867" i="3"/>
  <c r="AA867" i="3"/>
  <c r="AB867" i="3"/>
  <c r="AC867" i="3"/>
  <c r="AD867" i="3"/>
  <c r="AE867" i="3"/>
  <c r="AF867" i="3"/>
  <c r="AG867" i="3"/>
  <c r="AH867" i="3"/>
  <c r="AI867" i="3"/>
  <c r="AJ867" i="3"/>
  <c r="AK867" i="3"/>
  <c r="AL867" i="3"/>
  <c r="AM867" i="3"/>
  <c r="AN867" i="3"/>
  <c r="A868" i="3"/>
  <c r="B868" i="3"/>
  <c r="C868" i="3"/>
  <c r="D868" i="3"/>
  <c r="E868" i="3"/>
  <c r="F868" i="3"/>
  <c r="G868" i="3"/>
  <c r="H868" i="3"/>
  <c r="I868" i="3"/>
  <c r="J868" i="3"/>
  <c r="K868" i="3"/>
  <c r="L868" i="3"/>
  <c r="M868" i="3"/>
  <c r="N868" i="3"/>
  <c r="O868" i="3"/>
  <c r="P868" i="3"/>
  <c r="Q868" i="3"/>
  <c r="R868" i="3"/>
  <c r="S868" i="3"/>
  <c r="T868" i="3"/>
  <c r="U868" i="3"/>
  <c r="V868" i="3"/>
  <c r="W868" i="3"/>
  <c r="X868" i="3"/>
  <c r="Y868" i="3"/>
  <c r="Z868" i="3"/>
  <c r="AA868" i="3"/>
  <c r="AB868" i="3"/>
  <c r="AC868" i="3"/>
  <c r="AD868" i="3"/>
  <c r="AE868" i="3"/>
  <c r="AF868" i="3"/>
  <c r="AG868" i="3"/>
  <c r="AH868" i="3"/>
  <c r="AI868" i="3"/>
  <c r="AJ868" i="3"/>
  <c r="AK868" i="3"/>
  <c r="AL868" i="3"/>
  <c r="AM868" i="3"/>
  <c r="AN868" i="3"/>
  <c r="A869" i="3"/>
  <c r="B869" i="3"/>
  <c r="C869" i="3"/>
  <c r="D869" i="3"/>
  <c r="E869" i="3"/>
  <c r="F869" i="3"/>
  <c r="G869" i="3"/>
  <c r="H869" i="3"/>
  <c r="I869" i="3"/>
  <c r="J869" i="3"/>
  <c r="K869" i="3"/>
  <c r="L869" i="3"/>
  <c r="M869" i="3"/>
  <c r="N869" i="3"/>
  <c r="O869" i="3"/>
  <c r="P869" i="3"/>
  <c r="Q869" i="3"/>
  <c r="R869" i="3"/>
  <c r="S869" i="3"/>
  <c r="T869" i="3"/>
  <c r="U869" i="3"/>
  <c r="V869" i="3"/>
  <c r="W869" i="3"/>
  <c r="X869" i="3"/>
  <c r="Y869" i="3"/>
  <c r="Z869" i="3"/>
  <c r="AA869" i="3"/>
  <c r="AB869" i="3"/>
  <c r="AC869" i="3"/>
  <c r="AD869" i="3"/>
  <c r="AE869" i="3"/>
  <c r="AF869" i="3"/>
  <c r="AG869" i="3"/>
  <c r="AH869" i="3"/>
  <c r="AI869" i="3"/>
  <c r="AJ869" i="3"/>
  <c r="AK869" i="3"/>
  <c r="AL869" i="3"/>
  <c r="AM869" i="3"/>
  <c r="AN869" i="3"/>
  <c r="A870" i="3"/>
  <c r="B870" i="3"/>
  <c r="C870" i="3"/>
  <c r="D870" i="3"/>
  <c r="E870" i="3"/>
  <c r="F870" i="3"/>
  <c r="G870" i="3"/>
  <c r="H870" i="3"/>
  <c r="I870" i="3"/>
  <c r="J870" i="3"/>
  <c r="K870" i="3"/>
  <c r="L870" i="3"/>
  <c r="M870" i="3"/>
  <c r="N870" i="3"/>
  <c r="O870" i="3"/>
  <c r="P870" i="3"/>
  <c r="Q870" i="3"/>
  <c r="R870" i="3"/>
  <c r="S870" i="3"/>
  <c r="T870" i="3"/>
  <c r="U870" i="3"/>
  <c r="V870" i="3"/>
  <c r="W870" i="3"/>
  <c r="X870" i="3"/>
  <c r="Y870" i="3"/>
  <c r="Z870" i="3"/>
  <c r="AA870" i="3"/>
  <c r="AB870" i="3"/>
  <c r="AC870" i="3"/>
  <c r="AD870" i="3"/>
  <c r="AE870" i="3"/>
  <c r="AF870" i="3"/>
  <c r="AG870" i="3"/>
  <c r="AH870" i="3"/>
  <c r="AI870" i="3"/>
  <c r="AJ870" i="3"/>
  <c r="AK870" i="3"/>
  <c r="AL870" i="3"/>
  <c r="AM870" i="3"/>
  <c r="AN870" i="3"/>
  <c r="A871" i="3"/>
  <c r="B871" i="3"/>
  <c r="C871" i="3"/>
  <c r="D871" i="3"/>
  <c r="E871" i="3"/>
  <c r="F871" i="3"/>
  <c r="G871" i="3"/>
  <c r="H871" i="3"/>
  <c r="I871" i="3"/>
  <c r="J871" i="3"/>
  <c r="K871" i="3"/>
  <c r="L871" i="3"/>
  <c r="M871" i="3"/>
  <c r="N871" i="3"/>
  <c r="O871" i="3"/>
  <c r="P871" i="3"/>
  <c r="Q871" i="3"/>
  <c r="R871" i="3"/>
  <c r="S871" i="3"/>
  <c r="T871" i="3"/>
  <c r="U871" i="3"/>
  <c r="V871" i="3"/>
  <c r="W871" i="3"/>
  <c r="X871" i="3"/>
  <c r="Y871" i="3"/>
  <c r="Z871" i="3"/>
  <c r="AA871" i="3"/>
  <c r="AB871" i="3"/>
  <c r="AC871" i="3"/>
  <c r="AD871" i="3"/>
  <c r="AE871" i="3"/>
  <c r="AF871" i="3"/>
  <c r="AG871" i="3"/>
  <c r="AH871" i="3"/>
  <c r="AI871" i="3"/>
  <c r="AJ871" i="3"/>
  <c r="AK871" i="3"/>
  <c r="AL871" i="3"/>
  <c r="AM871" i="3"/>
  <c r="AN871" i="3"/>
  <c r="A872" i="3"/>
  <c r="B872" i="3"/>
  <c r="C872" i="3"/>
  <c r="D872" i="3"/>
  <c r="E872" i="3"/>
  <c r="F872" i="3"/>
  <c r="G872" i="3"/>
  <c r="H872" i="3"/>
  <c r="I872" i="3"/>
  <c r="J872" i="3"/>
  <c r="K872" i="3"/>
  <c r="L872" i="3"/>
  <c r="M872" i="3"/>
  <c r="N872" i="3"/>
  <c r="O872" i="3"/>
  <c r="P872" i="3"/>
  <c r="Q872" i="3"/>
  <c r="R872" i="3"/>
  <c r="S872" i="3"/>
  <c r="T872" i="3"/>
  <c r="U872" i="3"/>
  <c r="V872" i="3"/>
  <c r="W872" i="3"/>
  <c r="X872" i="3"/>
  <c r="Y872" i="3"/>
  <c r="Z872" i="3"/>
  <c r="AA872" i="3"/>
  <c r="AB872" i="3"/>
  <c r="AC872" i="3"/>
  <c r="AD872" i="3"/>
  <c r="AE872" i="3"/>
  <c r="AF872" i="3"/>
  <c r="AG872" i="3"/>
  <c r="AH872" i="3"/>
  <c r="AI872" i="3"/>
  <c r="AJ872" i="3"/>
  <c r="AK872" i="3"/>
  <c r="AL872" i="3"/>
  <c r="AM872" i="3"/>
  <c r="AN872" i="3"/>
  <c r="A873" i="3"/>
  <c r="B873" i="3"/>
  <c r="C873" i="3"/>
  <c r="D873" i="3"/>
  <c r="E873" i="3"/>
  <c r="F873" i="3"/>
  <c r="G873" i="3"/>
  <c r="H873" i="3"/>
  <c r="I873" i="3"/>
  <c r="J873" i="3"/>
  <c r="K873" i="3"/>
  <c r="L873" i="3"/>
  <c r="M873" i="3"/>
  <c r="N873" i="3"/>
  <c r="O873" i="3"/>
  <c r="P873" i="3"/>
  <c r="Q873" i="3"/>
  <c r="R873" i="3"/>
  <c r="S873" i="3"/>
  <c r="T873" i="3"/>
  <c r="U873" i="3"/>
  <c r="V873" i="3"/>
  <c r="W873" i="3"/>
  <c r="X873" i="3"/>
  <c r="Y873" i="3"/>
  <c r="Z873" i="3"/>
  <c r="AA873" i="3"/>
  <c r="AB873" i="3"/>
  <c r="AC873" i="3"/>
  <c r="AD873" i="3"/>
  <c r="AE873" i="3"/>
  <c r="AF873" i="3"/>
  <c r="AG873" i="3"/>
  <c r="AH873" i="3"/>
  <c r="AI873" i="3"/>
  <c r="AJ873" i="3"/>
  <c r="AK873" i="3"/>
  <c r="AL873" i="3"/>
  <c r="AM873" i="3"/>
  <c r="AN873" i="3"/>
  <c r="A874" i="3"/>
  <c r="B874" i="3"/>
  <c r="C874" i="3"/>
  <c r="D874" i="3"/>
  <c r="E874" i="3"/>
  <c r="F874" i="3"/>
  <c r="G874" i="3"/>
  <c r="H874" i="3"/>
  <c r="I874" i="3"/>
  <c r="J874" i="3"/>
  <c r="K874" i="3"/>
  <c r="L874" i="3"/>
  <c r="M874" i="3"/>
  <c r="N874" i="3"/>
  <c r="O874" i="3"/>
  <c r="P874" i="3"/>
  <c r="Q874" i="3"/>
  <c r="R874" i="3"/>
  <c r="S874" i="3"/>
  <c r="T874" i="3"/>
  <c r="U874" i="3"/>
  <c r="V874" i="3"/>
  <c r="W874" i="3"/>
  <c r="X874" i="3"/>
  <c r="Y874" i="3"/>
  <c r="Z874" i="3"/>
  <c r="AA874" i="3"/>
  <c r="AB874" i="3"/>
  <c r="AC874" i="3"/>
  <c r="AD874" i="3"/>
  <c r="AE874" i="3"/>
  <c r="AF874" i="3"/>
  <c r="AG874" i="3"/>
  <c r="AH874" i="3"/>
  <c r="AI874" i="3"/>
  <c r="AJ874" i="3"/>
  <c r="AK874" i="3"/>
  <c r="AL874" i="3"/>
  <c r="AM874" i="3"/>
  <c r="AN874" i="3"/>
  <c r="A875" i="3"/>
  <c r="B875" i="3"/>
  <c r="C875" i="3"/>
  <c r="D875" i="3"/>
  <c r="E875" i="3"/>
  <c r="F875" i="3"/>
  <c r="G875" i="3"/>
  <c r="H875" i="3"/>
  <c r="I875" i="3"/>
  <c r="J875" i="3"/>
  <c r="K875" i="3"/>
  <c r="L875" i="3"/>
  <c r="M875" i="3"/>
  <c r="N875" i="3"/>
  <c r="O875" i="3"/>
  <c r="P875" i="3"/>
  <c r="Q875" i="3"/>
  <c r="R875" i="3"/>
  <c r="S875" i="3"/>
  <c r="T875" i="3"/>
  <c r="U875" i="3"/>
  <c r="V875" i="3"/>
  <c r="W875" i="3"/>
  <c r="X875" i="3"/>
  <c r="Y875" i="3"/>
  <c r="Z875" i="3"/>
  <c r="AA875" i="3"/>
  <c r="AB875" i="3"/>
  <c r="AC875" i="3"/>
  <c r="AD875" i="3"/>
  <c r="AE875" i="3"/>
  <c r="AF875" i="3"/>
  <c r="AG875" i="3"/>
  <c r="AH875" i="3"/>
  <c r="AI875" i="3"/>
  <c r="AJ875" i="3"/>
  <c r="AK875" i="3"/>
  <c r="AL875" i="3"/>
  <c r="AM875" i="3"/>
  <c r="AN875" i="3"/>
  <c r="A876" i="3"/>
  <c r="B876" i="3"/>
  <c r="C876" i="3"/>
  <c r="D876" i="3"/>
  <c r="E876" i="3"/>
  <c r="F876" i="3"/>
  <c r="G876" i="3"/>
  <c r="H876" i="3"/>
  <c r="I876" i="3"/>
  <c r="J876" i="3"/>
  <c r="K876" i="3"/>
  <c r="L876" i="3"/>
  <c r="M876" i="3"/>
  <c r="N876" i="3"/>
  <c r="O876" i="3"/>
  <c r="P876" i="3"/>
  <c r="Q876" i="3"/>
  <c r="R876" i="3"/>
  <c r="S876" i="3"/>
  <c r="T876" i="3"/>
  <c r="U876" i="3"/>
  <c r="V876" i="3"/>
  <c r="W876" i="3"/>
  <c r="X876" i="3"/>
  <c r="Y876" i="3"/>
  <c r="Z876" i="3"/>
  <c r="AA876" i="3"/>
  <c r="AB876" i="3"/>
  <c r="AC876" i="3"/>
  <c r="AD876" i="3"/>
  <c r="AE876" i="3"/>
  <c r="AF876" i="3"/>
  <c r="AG876" i="3"/>
  <c r="AH876" i="3"/>
  <c r="AI876" i="3"/>
  <c r="AJ876" i="3"/>
  <c r="AK876" i="3"/>
  <c r="AL876" i="3"/>
  <c r="AM876" i="3"/>
  <c r="AN876" i="3"/>
  <c r="A877" i="3"/>
  <c r="B877" i="3"/>
  <c r="C877" i="3"/>
  <c r="D877" i="3"/>
  <c r="E877" i="3"/>
  <c r="F877" i="3"/>
  <c r="G877" i="3"/>
  <c r="H877" i="3"/>
  <c r="I877" i="3"/>
  <c r="J877" i="3"/>
  <c r="K877" i="3"/>
  <c r="L877" i="3"/>
  <c r="M877" i="3"/>
  <c r="N877" i="3"/>
  <c r="O877" i="3"/>
  <c r="P877" i="3"/>
  <c r="Q877" i="3"/>
  <c r="R877" i="3"/>
  <c r="S877" i="3"/>
  <c r="T877" i="3"/>
  <c r="U877" i="3"/>
  <c r="V877" i="3"/>
  <c r="W877" i="3"/>
  <c r="X877" i="3"/>
  <c r="Y877" i="3"/>
  <c r="Z877" i="3"/>
  <c r="AA877" i="3"/>
  <c r="AB877" i="3"/>
  <c r="AC877" i="3"/>
  <c r="AD877" i="3"/>
  <c r="AE877" i="3"/>
  <c r="AF877" i="3"/>
  <c r="AG877" i="3"/>
  <c r="AH877" i="3"/>
  <c r="AI877" i="3"/>
  <c r="AJ877" i="3"/>
  <c r="AK877" i="3"/>
  <c r="AL877" i="3"/>
  <c r="AM877" i="3"/>
  <c r="AN877" i="3"/>
  <c r="A878" i="3"/>
  <c r="B878" i="3"/>
  <c r="C878" i="3"/>
  <c r="D878" i="3"/>
  <c r="E878" i="3"/>
  <c r="F878" i="3"/>
  <c r="G878" i="3"/>
  <c r="H878" i="3"/>
  <c r="I878" i="3"/>
  <c r="J878" i="3"/>
  <c r="K878" i="3"/>
  <c r="L878" i="3"/>
  <c r="M878" i="3"/>
  <c r="N878" i="3"/>
  <c r="O878" i="3"/>
  <c r="P878" i="3"/>
  <c r="Q878" i="3"/>
  <c r="R878" i="3"/>
  <c r="S878" i="3"/>
  <c r="T878" i="3"/>
  <c r="U878" i="3"/>
  <c r="V878" i="3"/>
  <c r="W878" i="3"/>
  <c r="X878" i="3"/>
  <c r="Y878" i="3"/>
  <c r="Z878" i="3"/>
  <c r="AA878" i="3"/>
  <c r="AB878" i="3"/>
  <c r="AC878" i="3"/>
  <c r="AD878" i="3"/>
  <c r="AE878" i="3"/>
  <c r="AF878" i="3"/>
  <c r="AG878" i="3"/>
  <c r="AH878" i="3"/>
  <c r="AI878" i="3"/>
  <c r="AJ878" i="3"/>
  <c r="AK878" i="3"/>
  <c r="AL878" i="3"/>
  <c r="AM878" i="3"/>
  <c r="AN878" i="3"/>
  <c r="A879" i="3"/>
  <c r="B879" i="3"/>
  <c r="C879" i="3"/>
  <c r="D879" i="3"/>
  <c r="E879" i="3"/>
  <c r="F879" i="3"/>
  <c r="G879" i="3"/>
  <c r="H879" i="3"/>
  <c r="I879" i="3"/>
  <c r="J879" i="3"/>
  <c r="K879" i="3"/>
  <c r="L879" i="3"/>
  <c r="M879" i="3"/>
  <c r="N879" i="3"/>
  <c r="O879" i="3"/>
  <c r="P879" i="3"/>
  <c r="Q879" i="3"/>
  <c r="R879" i="3"/>
  <c r="S879" i="3"/>
  <c r="T879" i="3"/>
  <c r="U879" i="3"/>
  <c r="V879" i="3"/>
  <c r="W879" i="3"/>
  <c r="X879" i="3"/>
  <c r="Y879" i="3"/>
  <c r="Z879" i="3"/>
  <c r="AA879" i="3"/>
  <c r="AB879" i="3"/>
  <c r="AC879" i="3"/>
  <c r="AD879" i="3"/>
  <c r="AE879" i="3"/>
  <c r="AF879" i="3"/>
  <c r="AG879" i="3"/>
  <c r="AH879" i="3"/>
  <c r="AI879" i="3"/>
  <c r="AJ879" i="3"/>
  <c r="AK879" i="3"/>
  <c r="AL879" i="3"/>
  <c r="AM879" i="3"/>
  <c r="AN879" i="3"/>
  <c r="A880" i="3"/>
  <c r="B880" i="3"/>
  <c r="C880" i="3"/>
  <c r="D880" i="3"/>
  <c r="E880" i="3"/>
  <c r="F880" i="3"/>
  <c r="G880" i="3"/>
  <c r="H880" i="3"/>
  <c r="I880" i="3"/>
  <c r="J880" i="3"/>
  <c r="K880" i="3"/>
  <c r="L880" i="3"/>
  <c r="M880" i="3"/>
  <c r="N880" i="3"/>
  <c r="O880" i="3"/>
  <c r="P880" i="3"/>
  <c r="Q880" i="3"/>
  <c r="R880" i="3"/>
  <c r="S880" i="3"/>
  <c r="T880" i="3"/>
  <c r="U880" i="3"/>
  <c r="V880" i="3"/>
  <c r="W880" i="3"/>
  <c r="X880" i="3"/>
  <c r="Y880" i="3"/>
  <c r="Z880" i="3"/>
  <c r="AA880" i="3"/>
  <c r="AB880" i="3"/>
  <c r="AC880" i="3"/>
  <c r="AD880" i="3"/>
  <c r="AE880" i="3"/>
  <c r="AF880" i="3"/>
  <c r="AG880" i="3"/>
  <c r="AH880" i="3"/>
  <c r="AI880" i="3"/>
  <c r="AJ880" i="3"/>
  <c r="AK880" i="3"/>
  <c r="AL880" i="3"/>
  <c r="AM880" i="3"/>
  <c r="AN880" i="3"/>
  <c r="A881" i="3"/>
  <c r="B881" i="3"/>
  <c r="C881" i="3"/>
  <c r="D881" i="3"/>
  <c r="E881" i="3"/>
  <c r="F881" i="3"/>
  <c r="G881" i="3"/>
  <c r="H881" i="3"/>
  <c r="I881" i="3"/>
  <c r="J881" i="3"/>
  <c r="K881" i="3"/>
  <c r="L881" i="3"/>
  <c r="M881" i="3"/>
  <c r="N881" i="3"/>
  <c r="O881" i="3"/>
  <c r="P881" i="3"/>
  <c r="Q881" i="3"/>
  <c r="R881" i="3"/>
  <c r="S881" i="3"/>
  <c r="T881" i="3"/>
  <c r="U881" i="3"/>
  <c r="V881" i="3"/>
  <c r="W881" i="3"/>
  <c r="X881" i="3"/>
  <c r="Y881" i="3"/>
  <c r="Z881" i="3"/>
  <c r="AA881" i="3"/>
  <c r="AB881" i="3"/>
  <c r="AC881" i="3"/>
  <c r="AD881" i="3"/>
  <c r="AE881" i="3"/>
  <c r="AF881" i="3"/>
  <c r="AG881" i="3"/>
  <c r="AH881" i="3"/>
  <c r="AI881" i="3"/>
  <c r="AJ881" i="3"/>
  <c r="AK881" i="3"/>
  <c r="AL881" i="3"/>
  <c r="AM881" i="3"/>
  <c r="AN881" i="3"/>
  <c r="A882" i="3"/>
  <c r="B882" i="3"/>
  <c r="C882" i="3"/>
  <c r="D882" i="3"/>
  <c r="E882" i="3"/>
  <c r="F882" i="3"/>
  <c r="G882" i="3"/>
  <c r="H882" i="3"/>
  <c r="I882" i="3"/>
  <c r="J882" i="3"/>
  <c r="K882" i="3"/>
  <c r="L882" i="3"/>
  <c r="M882" i="3"/>
  <c r="N882" i="3"/>
  <c r="O882" i="3"/>
  <c r="P882" i="3"/>
  <c r="Q882" i="3"/>
  <c r="R882" i="3"/>
  <c r="S882" i="3"/>
  <c r="T882" i="3"/>
  <c r="U882" i="3"/>
  <c r="V882" i="3"/>
  <c r="W882" i="3"/>
  <c r="X882" i="3"/>
  <c r="Y882" i="3"/>
  <c r="Z882" i="3"/>
  <c r="AA882" i="3"/>
  <c r="AB882" i="3"/>
  <c r="AC882" i="3"/>
  <c r="AD882" i="3"/>
  <c r="AE882" i="3"/>
  <c r="AF882" i="3"/>
  <c r="AG882" i="3"/>
  <c r="AH882" i="3"/>
  <c r="AI882" i="3"/>
  <c r="AJ882" i="3"/>
  <c r="AK882" i="3"/>
  <c r="AL882" i="3"/>
  <c r="AM882" i="3"/>
  <c r="AN882" i="3"/>
  <c r="A883" i="3"/>
  <c r="B883" i="3"/>
  <c r="C883" i="3"/>
  <c r="D883" i="3"/>
  <c r="E883" i="3"/>
  <c r="F883" i="3"/>
  <c r="G883" i="3"/>
  <c r="H883" i="3"/>
  <c r="I883" i="3"/>
  <c r="J883" i="3"/>
  <c r="K883" i="3"/>
  <c r="L883" i="3"/>
  <c r="M883" i="3"/>
  <c r="N883" i="3"/>
  <c r="O883" i="3"/>
  <c r="P883" i="3"/>
  <c r="Q883" i="3"/>
  <c r="R883" i="3"/>
  <c r="S883" i="3"/>
  <c r="T883" i="3"/>
  <c r="U883" i="3"/>
  <c r="V883" i="3"/>
  <c r="W883" i="3"/>
  <c r="X883" i="3"/>
  <c r="Y883" i="3"/>
  <c r="Z883" i="3"/>
  <c r="AA883" i="3"/>
  <c r="AB883" i="3"/>
  <c r="AC883" i="3"/>
  <c r="AD883" i="3"/>
  <c r="AE883" i="3"/>
  <c r="AF883" i="3"/>
  <c r="AG883" i="3"/>
  <c r="AH883" i="3"/>
  <c r="AI883" i="3"/>
  <c r="AJ883" i="3"/>
  <c r="AK883" i="3"/>
  <c r="AL883" i="3"/>
  <c r="AM883" i="3"/>
  <c r="AN883" i="3"/>
  <c r="A884" i="3"/>
  <c r="B884" i="3"/>
  <c r="C884" i="3"/>
  <c r="D884" i="3"/>
  <c r="E884" i="3"/>
  <c r="F884" i="3"/>
  <c r="G884" i="3"/>
  <c r="H884" i="3"/>
  <c r="I884" i="3"/>
  <c r="J884" i="3"/>
  <c r="K884" i="3"/>
  <c r="L884" i="3"/>
  <c r="M884" i="3"/>
  <c r="N884" i="3"/>
  <c r="O884" i="3"/>
  <c r="P884" i="3"/>
  <c r="Q884" i="3"/>
  <c r="R884" i="3"/>
  <c r="S884" i="3"/>
  <c r="T884" i="3"/>
  <c r="U884" i="3"/>
  <c r="V884" i="3"/>
  <c r="W884" i="3"/>
  <c r="X884" i="3"/>
  <c r="Y884" i="3"/>
  <c r="Z884" i="3"/>
  <c r="AA884" i="3"/>
  <c r="AB884" i="3"/>
  <c r="AC884" i="3"/>
  <c r="AD884" i="3"/>
  <c r="AE884" i="3"/>
  <c r="AF884" i="3"/>
  <c r="AG884" i="3"/>
  <c r="AH884" i="3"/>
  <c r="AI884" i="3"/>
  <c r="AJ884" i="3"/>
  <c r="AK884" i="3"/>
  <c r="AL884" i="3"/>
  <c r="AM884" i="3"/>
  <c r="AN884" i="3"/>
  <c r="A885" i="3"/>
  <c r="B885" i="3"/>
  <c r="C885" i="3"/>
  <c r="D885" i="3"/>
  <c r="E885" i="3"/>
  <c r="F885" i="3"/>
  <c r="G885" i="3"/>
  <c r="H885" i="3"/>
  <c r="I885" i="3"/>
  <c r="J885" i="3"/>
  <c r="K885" i="3"/>
  <c r="L885" i="3"/>
  <c r="M885" i="3"/>
  <c r="N885" i="3"/>
  <c r="O885" i="3"/>
  <c r="P885" i="3"/>
  <c r="Q885" i="3"/>
  <c r="R885" i="3"/>
  <c r="S885" i="3"/>
  <c r="T885" i="3"/>
  <c r="U885" i="3"/>
  <c r="V885" i="3"/>
  <c r="W885" i="3"/>
  <c r="X885" i="3"/>
  <c r="Y885" i="3"/>
  <c r="Z885" i="3"/>
  <c r="AA885" i="3"/>
  <c r="AB885" i="3"/>
  <c r="AC885" i="3"/>
  <c r="AD885" i="3"/>
  <c r="AE885" i="3"/>
  <c r="AF885" i="3"/>
  <c r="AG885" i="3"/>
  <c r="AH885" i="3"/>
  <c r="AI885" i="3"/>
  <c r="AJ885" i="3"/>
  <c r="AK885" i="3"/>
  <c r="AL885" i="3"/>
  <c r="AM885" i="3"/>
  <c r="AN885" i="3"/>
  <c r="A886" i="3"/>
  <c r="B886" i="3"/>
  <c r="C886" i="3"/>
  <c r="D886" i="3"/>
  <c r="E886" i="3"/>
  <c r="F886" i="3"/>
  <c r="G886" i="3"/>
  <c r="H886" i="3"/>
  <c r="I886" i="3"/>
  <c r="J886" i="3"/>
  <c r="K886" i="3"/>
  <c r="L886" i="3"/>
  <c r="M886" i="3"/>
  <c r="N886" i="3"/>
  <c r="O886" i="3"/>
  <c r="P886" i="3"/>
  <c r="Q886" i="3"/>
  <c r="R886" i="3"/>
  <c r="S886" i="3"/>
  <c r="T886" i="3"/>
  <c r="U886" i="3"/>
  <c r="V886" i="3"/>
  <c r="W886" i="3"/>
  <c r="X886" i="3"/>
  <c r="Y886" i="3"/>
  <c r="Z886" i="3"/>
  <c r="AA886" i="3"/>
  <c r="AB886" i="3"/>
  <c r="AC886" i="3"/>
  <c r="AD886" i="3"/>
  <c r="AE886" i="3"/>
  <c r="AF886" i="3"/>
  <c r="AG886" i="3"/>
  <c r="AH886" i="3"/>
  <c r="AI886" i="3"/>
  <c r="AJ886" i="3"/>
  <c r="AK886" i="3"/>
  <c r="AL886" i="3"/>
  <c r="AM886" i="3"/>
  <c r="AN886" i="3"/>
  <c r="A887" i="3"/>
  <c r="B887" i="3"/>
  <c r="C887" i="3"/>
  <c r="D887" i="3"/>
  <c r="E887" i="3"/>
  <c r="F887" i="3"/>
  <c r="G887" i="3"/>
  <c r="H887" i="3"/>
  <c r="I887" i="3"/>
  <c r="J887" i="3"/>
  <c r="K887" i="3"/>
  <c r="L887" i="3"/>
  <c r="M887" i="3"/>
  <c r="N887" i="3"/>
  <c r="O887" i="3"/>
  <c r="P887" i="3"/>
  <c r="Q887" i="3"/>
  <c r="R887" i="3"/>
  <c r="S887" i="3"/>
  <c r="T887" i="3"/>
  <c r="U887" i="3"/>
  <c r="V887" i="3"/>
  <c r="W887" i="3"/>
  <c r="X887" i="3"/>
  <c r="Y887" i="3"/>
  <c r="Z887" i="3"/>
  <c r="AA887" i="3"/>
  <c r="AB887" i="3"/>
  <c r="AC887" i="3"/>
  <c r="AD887" i="3"/>
  <c r="AE887" i="3"/>
  <c r="AF887" i="3"/>
  <c r="AG887" i="3"/>
  <c r="AH887" i="3"/>
  <c r="AI887" i="3"/>
  <c r="AJ887" i="3"/>
  <c r="AK887" i="3"/>
  <c r="AL887" i="3"/>
  <c r="AM887" i="3"/>
  <c r="AN887" i="3"/>
  <c r="A888" i="3"/>
  <c r="B888" i="3"/>
  <c r="C888" i="3"/>
  <c r="D888" i="3"/>
  <c r="E888" i="3"/>
  <c r="F888" i="3"/>
  <c r="G888" i="3"/>
  <c r="H888" i="3"/>
  <c r="I888" i="3"/>
  <c r="J888" i="3"/>
  <c r="K888" i="3"/>
  <c r="L888" i="3"/>
  <c r="M888" i="3"/>
  <c r="N888" i="3"/>
  <c r="O888" i="3"/>
  <c r="P888" i="3"/>
  <c r="Q888" i="3"/>
  <c r="R888" i="3"/>
  <c r="S888" i="3"/>
  <c r="T888" i="3"/>
  <c r="U888" i="3"/>
  <c r="V888" i="3"/>
  <c r="W888" i="3"/>
  <c r="X888" i="3"/>
  <c r="Y888" i="3"/>
  <c r="Z888" i="3"/>
  <c r="AA888" i="3"/>
  <c r="AB888" i="3"/>
  <c r="AC888" i="3"/>
  <c r="AD888" i="3"/>
  <c r="AE888" i="3"/>
  <c r="AF888" i="3"/>
  <c r="AG888" i="3"/>
  <c r="AH888" i="3"/>
  <c r="AI888" i="3"/>
  <c r="AJ888" i="3"/>
  <c r="AK888" i="3"/>
  <c r="AL888" i="3"/>
  <c r="AM888" i="3"/>
  <c r="AN888" i="3"/>
  <c r="A889" i="3"/>
  <c r="B889" i="3"/>
  <c r="C889" i="3"/>
  <c r="D889" i="3"/>
  <c r="E889" i="3"/>
  <c r="F889" i="3"/>
  <c r="G889" i="3"/>
  <c r="H889" i="3"/>
  <c r="I889" i="3"/>
  <c r="J889" i="3"/>
  <c r="K889" i="3"/>
  <c r="L889" i="3"/>
  <c r="M889" i="3"/>
  <c r="N889" i="3"/>
  <c r="O889" i="3"/>
  <c r="P889" i="3"/>
  <c r="Q889" i="3"/>
  <c r="R889" i="3"/>
  <c r="S889" i="3"/>
  <c r="T889" i="3"/>
  <c r="U889" i="3"/>
  <c r="V889" i="3"/>
  <c r="W889" i="3"/>
  <c r="X889" i="3"/>
  <c r="Y889" i="3"/>
  <c r="Z889" i="3"/>
  <c r="AA889" i="3"/>
  <c r="AB889" i="3"/>
  <c r="AC889" i="3"/>
  <c r="AD889" i="3"/>
  <c r="AE889" i="3"/>
  <c r="AF889" i="3"/>
  <c r="AG889" i="3"/>
  <c r="AH889" i="3"/>
  <c r="AI889" i="3"/>
  <c r="AJ889" i="3"/>
  <c r="AK889" i="3"/>
  <c r="AL889" i="3"/>
  <c r="AM889" i="3"/>
  <c r="AN889" i="3"/>
  <c r="A890" i="3"/>
  <c r="B890" i="3"/>
  <c r="C890" i="3"/>
  <c r="D890" i="3"/>
  <c r="E890" i="3"/>
  <c r="F890" i="3"/>
  <c r="G890" i="3"/>
  <c r="H890" i="3"/>
  <c r="I890" i="3"/>
  <c r="J890" i="3"/>
  <c r="K890" i="3"/>
  <c r="L890" i="3"/>
  <c r="M890" i="3"/>
  <c r="N890" i="3"/>
  <c r="O890" i="3"/>
  <c r="P890" i="3"/>
  <c r="Q890" i="3"/>
  <c r="R890" i="3"/>
  <c r="S890" i="3"/>
  <c r="T890" i="3"/>
  <c r="U890" i="3"/>
  <c r="V890" i="3"/>
  <c r="W890" i="3"/>
  <c r="X890" i="3"/>
  <c r="Y890" i="3"/>
  <c r="Z890" i="3"/>
  <c r="AA890" i="3"/>
  <c r="AB890" i="3"/>
  <c r="AC890" i="3"/>
  <c r="AD890" i="3"/>
  <c r="AE890" i="3"/>
  <c r="AF890" i="3"/>
  <c r="AG890" i="3"/>
  <c r="AH890" i="3"/>
  <c r="AI890" i="3"/>
  <c r="AJ890" i="3"/>
  <c r="AK890" i="3"/>
  <c r="AL890" i="3"/>
  <c r="AM890" i="3"/>
  <c r="AN890" i="3"/>
  <c r="A891" i="3"/>
  <c r="B891" i="3"/>
  <c r="C891" i="3"/>
  <c r="D891" i="3"/>
  <c r="E891" i="3"/>
  <c r="F891" i="3"/>
  <c r="G891" i="3"/>
  <c r="H891" i="3"/>
  <c r="I891" i="3"/>
  <c r="J891" i="3"/>
  <c r="K891" i="3"/>
  <c r="L891" i="3"/>
  <c r="M891" i="3"/>
  <c r="N891" i="3"/>
  <c r="O891" i="3"/>
  <c r="P891" i="3"/>
  <c r="Q891" i="3"/>
  <c r="R891" i="3"/>
  <c r="S891" i="3"/>
  <c r="T891" i="3"/>
  <c r="U891" i="3"/>
  <c r="V891" i="3"/>
  <c r="W891" i="3"/>
  <c r="X891" i="3"/>
  <c r="Y891" i="3"/>
  <c r="Z891" i="3"/>
  <c r="AA891" i="3"/>
  <c r="AB891" i="3"/>
  <c r="AC891" i="3"/>
  <c r="AD891" i="3"/>
  <c r="AE891" i="3"/>
  <c r="AF891" i="3"/>
  <c r="AG891" i="3"/>
  <c r="AH891" i="3"/>
  <c r="AI891" i="3"/>
  <c r="AJ891" i="3"/>
  <c r="AK891" i="3"/>
  <c r="AL891" i="3"/>
  <c r="AM891" i="3"/>
  <c r="AN891" i="3"/>
  <c r="A892" i="3"/>
  <c r="B892" i="3"/>
  <c r="C892" i="3"/>
  <c r="D892" i="3"/>
  <c r="E892" i="3"/>
  <c r="F892" i="3"/>
  <c r="G892" i="3"/>
  <c r="H892" i="3"/>
  <c r="I892" i="3"/>
  <c r="J892" i="3"/>
  <c r="K892" i="3"/>
  <c r="L892" i="3"/>
  <c r="M892" i="3"/>
  <c r="N892" i="3"/>
  <c r="O892" i="3"/>
  <c r="P892" i="3"/>
  <c r="Q892" i="3"/>
  <c r="R892" i="3"/>
  <c r="S892" i="3"/>
  <c r="T892" i="3"/>
  <c r="U892" i="3"/>
  <c r="V892" i="3"/>
  <c r="W892" i="3"/>
  <c r="X892" i="3"/>
  <c r="Y892" i="3"/>
  <c r="Z892" i="3"/>
  <c r="AA892" i="3"/>
  <c r="AB892" i="3"/>
  <c r="AC892" i="3"/>
  <c r="AD892" i="3"/>
  <c r="AE892" i="3"/>
  <c r="AF892" i="3"/>
  <c r="AG892" i="3"/>
  <c r="AH892" i="3"/>
  <c r="AI892" i="3"/>
  <c r="AJ892" i="3"/>
  <c r="AK892" i="3"/>
  <c r="AL892" i="3"/>
  <c r="AM892" i="3"/>
  <c r="AN892" i="3"/>
  <c r="A893" i="3"/>
  <c r="B893" i="3"/>
  <c r="C893" i="3"/>
  <c r="D893" i="3"/>
  <c r="E893" i="3"/>
  <c r="F893" i="3"/>
  <c r="G893" i="3"/>
  <c r="H893" i="3"/>
  <c r="I893" i="3"/>
  <c r="J893" i="3"/>
  <c r="K893" i="3"/>
  <c r="L893" i="3"/>
  <c r="M893" i="3"/>
  <c r="N893" i="3"/>
  <c r="O893" i="3"/>
  <c r="P893" i="3"/>
  <c r="Q893" i="3"/>
  <c r="R893" i="3"/>
  <c r="S893" i="3"/>
  <c r="T893" i="3"/>
  <c r="U893" i="3"/>
  <c r="V893" i="3"/>
  <c r="W893" i="3"/>
  <c r="X893" i="3"/>
  <c r="Y893" i="3"/>
  <c r="Z893" i="3"/>
  <c r="AA893" i="3"/>
  <c r="AB893" i="3"/>
  <c r="AC893" i="3"/>
  <c r="AD893" i="3"/>
  <c r="AE893" i="3"/>
  <c r="AF893" i="3"/>
  <c r="AG893" i="3"/>
  <c r="AH893" i="3"/>
  <c r="AI893" i="3"/>
  <c r="AJ893" i="3"/>
  <c r="AK893" i="3"/>
  <c r="AL893" i="3"/>
  <c r="AM893" i="3"/>
  <c r="AN893" i="3"/>
  <c r="A894" i="3"/>
  <c r="B894" i="3"/>
  <c r="C894" i="3"/>
  <c r="D894" i="3"/>
  <c r="E894" i="3"/>
  <c r="F894" i="3"/>
  <c r="G894" i="3"/>
  <c r="H894" i="3"/>
  <c r="I894" i="3"/>
  <c r="J894" i="3"/>
  <c r="K894" i="3"/>
  <c r="L894" i="3"/>
  <c r="M894" i="3"/>
  <c r="N894" i="3"/>
  <c r="O894" i="3"/>
  <c r="P894" i="3"/>
  <c r="Q894" i="3"/>
  <c r="R894" i="3"/>
  <c r="S894" i="3"/>
  <c r="T894" i="3"/>
  <c r="U894" i="3"/>
  <c r="V894" i="3"/>
  <c r="W894" i="3"/>
  <c r="X894" i="3"/>
  <c r="Y894" i="3"/>
  <c r="Z894" i="3"/>
  <c r="AA894" i="3"/>
  <c r="AB894" i="3"/>
  <c r="AC894" i="3"/>
  <c r="AD894" i="3"/>
  <c r="AE894" i="3"/>
  <c r="AF894" i="3"/>
  <c r="AG894" i="3"/>
  <c r="AH894" i="3"/>
  <c r="AI894" i="3"/>
  <c r="AJ894" i="3"/>
  <c r="AK894" i="3"/>
  <c r="AL894" i="3"/>
  <c r="AM894" i="3"/>
  <c r="AN894" i="3"/>
  <c r="A895" i="3"/>
  <c r="B895" i="3"/>
  <c r="C895" i="3"/>
  <c r="D895" i="3"/>
  <c r="E895" i="3"/>
  <c r="F895" i="3"/>
  <c r="G895" i="3"/>
  <c r="H895" i="3"/>
  <c r="I895" i="3"/>
  <c r="J895" i="3"/>
  <c r="K895" i="3"/>
  <c r="L895" i="3"/>
  <c r="M895" i="3"/>
  <c r="N895" i="3"/>
  <c r="O895" i="3"/>
  <c r="P895" i="3"/>
  <c r="Q895" i="3"/>
  <c r="R895" i="3"/>
  <c r="S895" i="3"/>
  <c r="T895" i="3"/>
  <c r="U895" i="3"/>
  <c r="V895" i="3"/>
  <c r="W895" i="3"/>
  <c r="X895" i="3"/>
  <c r="Y895" i="3"/>
  <c r="Z895" i="3"/>
  <c r="AA895" i="3"/>
  <c r="AB895" i="3"/>
  <c r="AC895" i="3"/>
  <c r="AD895" i="3"/>
  <c r="AE895" i="3"/>
  <c r="AF895" i="3"/>
  <c r="AG895" i="3"/>
  <c r="AH895" i="3"/>
  <c r="AI895" i="3"/>
  <c r="AJ895" i="3"/>
  <c r="AK895" i="3"/>
  <c r="AL895" i="3"/>
  <c r="AM895" i="3"/>
  <c r="AN895" i="3"/>
  <c r="A896" i="3"/>
  <c r="B896" i="3"/>
  <c r="C896" i="3"/>
  <c r="D896" i="3"/>
  <c r="E896" i="3"/>
  <c r="F896" i="3"/>
  <c r="G896" i="3"/>
  <c r="H896" i="3"/>
  <c r="I896" i="3"/>
  <c r="J896" i="3"/>
  <c r="K896" i="3"/>
  <c r="L896" i="3"/>
  <c r="M896" i="3"/>
  <c r="N896" i="3"/>
  <c r="O896" i="3"/>
  <c r="P896" i="3"/>
  <c r="Q896" i="3"/>
  <c r="R896" i="3"/>
  <c r="S896" i="3"/>
  <c r="T896" i="3"/>
  <c r="U896" i="3"/>
  <c r="V896" i="3"/>
  <c r="W896" i="3"/>
  <c r="X896" i="3"/>
  <c r="Y896" i="3"/>
  <c r="Z896" i="3"/>
  <c r="AA896" i="3"/>
  <c r="AB896" i="3"/>
  <c r="AC896" i="3"/>
  <c r="AD896" i="3"/>
  <c r="AE896" i="3"/>
  <c r="AF896" i="3"/>
  <c r="AG896" i="3"/>
  <c r="AH896" i="3"/>
  <c r="AI896" i="3"/>
  <c r="AJ896" i="3"/>
  <c r="AK896" i="3"/>
  <c r="AL896" i="3"/>
  <c r="AM896" i="3"/>
  <c r="AN896" i="3"/>
  <c r="A897" i="3"/>
  <c r="B897" i="3"/>
  <c r="C897" i="3"/>
  <c r="D897" i="3"/>
  <c r="E897" i="3"/>
  <c r="F897" i="3"/>
  <c r="G897" i="3"/>
  <c r="H897" i="3"/>
  <c r="I897" i="3"/>
  <c r="J897" i="3"/>
  <c r="K897" i="3"/>
  <c r="L897" i="3"/>
  <c r="M897" i="3"/>
  <c r="N897" i="3"/>
  <c r="O897" i="3"/>
  <c r="P897" i="3"/>
  <c r="Q897" i="3"/>
  <c r="R897" i="3"/>
  <c r="S897" i="3"/>
  <c r="T897" i="3"/>
  <c r="U897" i="3"/>
  <c r="V897" i="3"/>
  <c r="W897" i="3"/>
  <c r="X897" i="3"/>
  <c r="Y897" i="3"/>
  <c r="Z897" i="3"/>
  <c r="AA897" i="3"/>
  <c r="AB897" i="3"/>
  <c r="AC897" i="3"/>
  <c r="AD897" i="3"/>
  <c r="AE897" i="3"/>
  <c r="AF897" i="3"/>
  <c r="AG897" i="3"/>
  <c r="AH897" i="3"/>
  <c r="AI897" i="3"/>
  <c r="AJ897" i="3"/>
  <c r="AK897" i="3"/>
  <c r="AL897" i="3"/>
  <c r="AM897" i="3"/>
  <c r="AN897" i="3"/>
  <c r="A898" i="3"/>
  <c r="B898" i="3"/>
  <c r="C898" i="3"/>
  <c r="D898" i="3"/>
  <c r="E898" i="3"/>
  <c r="F898" i="3"/>
  <c r="G898" i="3"/>
  <c r="H898" i="3"/>
  <c r="I898" i="3"/>
  <c r="J898" i="3"/>
  <c r="K898" i="3"/>
  <c r="L898" i="3"/>
  <c r="M898" i="3"/>
  <c r="N898" i="3"/>
  <c r="O898" i="3"/>
  <c r="P898" i="3"/>
  <c r="Q898" i="3"/>
  <c r="R898" i="3"/>
  <c r="S898" i="3"/>
  <c r="T898" i="3"/>
  <c r="U898" i="3"/>
  <c r="V898" i="3"/>
  <c r="W898" i="3"/>
  <c r="X898" i="3"/>
  <c r="Y898" i="3"/>
  <c r="Z898" i="3"/>
  <c r="AA898" i="3"/>
  <c r="AB898" i="3"/>
  <c r="AC898" i="3"/>
  <c r="AD898" i="3"/>
  <c r="AE898" i="3"/>
  <c r="AF898" i="3"/>
  <c r="AG898" i="3"/>
  <c r="AH898" i="3"/>
  <c r="AI898" i="3"/>
  <c r="AJ898" i="3"/>
  <c r="AK898" i="3"/>
  <c r="AL898" i="3"/>
  <c r="AM898" i="3"/>
  <c r="AN898" i="3"/>
  <c r="A899" i="3"/>
  <c r="B899" i="3"/>
  <c r="C899" i="3"/>
  <c r="D899" i="3"/>
  <c r="E899" i="3"/>
  <c r="F899" i="3"/>
  <c r="G899" i="3"/>
  <c r="H899" i="3"/>
  <c r="I899" i="3"/>
  <c r="J899" i="3"/>
  <c r="K899" i="3"/>
  <c r="L899" i="3"/>
  <c r="M899" i="3"/>
  <c r="N899" i="3"/>
  <c r="O899" i="3"/>
  <c r="P899" i="3"/>
  <c r="Q899" i="3"/>
  <c r="R899" i="3"/>
  <c r="S899" i="3"/>
  <c r="T899" i="3"/>
  <c r="U899" i="3"/>
  <c r="V899" i="3"/>
  <c r="W899" i="3"/>
  <c r="X899" i="3"/>
  <c r="Y899" i="3"/>
  <c r="Z899" i="3"/>
  <c r="AA899" i="3"/>
  <c r="AB899" i="3"/>
  <c r="AC899" i="3"/>
  <c r="AD899" i="3"/>
  <c r="AE899" i="3"/>
  <c r="AF899" i="3"/>
  <c r="AG899" i="3"/>
  <c r="AH899" i="3"/>
  <c r="AI899" i="3"/>
  <c r="AJ899" i="3"/>
  <c r="AK899" i="3"/>
  <c r="AL899" i="3"/>
  <c r="AM899" i="3"/>
  <c r="AN899" i="3"/>
  <c r="A900" i="3"/>
  <c r="B900" i="3"/>
  <c r="C900" i="3"/>
  <c r="D900" i="3"/>
  <c r="E900" i="3"/>
  <c r="F900" i="3"/>
  <c r="G900" i="3"/>
  <c r="H900" i="3"/>
  <c r="I900" i="3"/>
  <c r="J900" i="3"/>
  <c r="K900" i="3"/>
  <c r="L900" i="3"/>
  <c r="M900" i="3"/>
  <c r="N900" i="3"/>
  <c r="O900" i="3"/>
  <c r="P900" i="3"/>
  <c r="Q900" i="3"/>
  <c r="R900" i="3"/>
  <c r="S900" i="3"/>
  <c r="T900" i="3"/>
  <c r="U900" i="3"/>
  <c r="V900" i="3"/>
  <c r="W900" i="3"/>
  <c r="X900" i="3"/>
  <c r="Y900" i="3"/>
  <c r="Z900" i="3"/>
  <c r="AA900" i="3"/>
  <c r="AB900" i="3"/>
  <c r="AC900" i="3"/>
  <c r="AD900" i="3"/>
  <c r="AE900" i="3"/>
  <c r="AF900" i="3"/>
  <c r="AG900" i="3"/>
  <c r="AH900" i="3"/>
  <c r="AI900" i="3"/>
  <c r="AJ900" i="3"/>
  <c r="AK900" i="3"/>
  <c r="AL900" i="3"/>
  <c r="AM900" i="3"/>
  <c r="AN900" i="3"/>
  <c r="A901" i="3"/>
  <c r="B901" i="3"/>
  <c r="C901" i="3"/>
  <c r="D901" i="3"/>
  <c r="E901" i="3"/>
  <c r="F901" i="3"/>
  <c r="G901" i="3"/>
  <c r="H901" i="3"/>
  <c r="I901" i="3"/>
  <c r="J901" i="3"/>
  <c r="K901" i="3"/>
  <c r="L901" i="3"/>
  <c r="M901" i="3"/>
  <c r="N901" i="3"/>
  <c r="O901" i="3"/>
  <c r="P901" i="3"/>
  <c r="Q901" i="3"/>
  <c r="R901" i="3"/>
  <c r="S901" i="3"/>
  <c r="T901" i="3"/>
  <c r="U901" i="3"/>
  <c r="V901" i="3"/>
  <c r="W901" i="3"/>
  <c r="X901" i="3"/>
  <c r="Y901" i="3"/>
  <c r="Z901" i="3"/>
  <c r="AA901" i="3"/>
  <c r="AB901" i="3"/>
  <c r="AC901" i="3"/>
  <c r="AD901" i="3"/>
  <c r="AE901" i="3"/>
  <c r="AF901" i="3"/>
  <c r="AG901" i="3"/>
  <c r="AH901" i="3"/>
  <c r="AI901" i="3"/>
  <c r="AJ901" i="3"/>
  <c r="AK901" i="3"/>
  <c r="AL901" i="3"/>
  <c r="AM901" i="3"/>
  <c r="AN901" i="3"/>
  <c r="A902" i="3"/>
  <c r="B902" i="3"/>
  <c r="C902" i="3"/>
  <c r="D902" i="3"/>
  <c r="E902" i="3"/>
  <c r="F902" i="3"/>
  <c r="G902" i="3"/>
  <c r="H902" i="3"/>
  <c r="I902" i="3"/>
  <c r="J902" i="3"/>
  <c r="K902" i="3"/>
  <c r="L902" i="3"/>
  <c r="M902" i="3"/>
  <c r="N902" i="3"/>
  <c r="O902" i="3"/>
  <c r="P902" i="3"/>
  <c r="Q902" i="3"/>
  <c r="R902" i="3"/>
  <c r="S902" i="3"/>
  <c r="T902" i="3"/>
  <c r="U902" i="3"/>
  <c r="V902" i="3"/>
  <c r="W902" i="3"/>
  <c r="X902" i="3"/>
  <c r="Y902" i="3"/>
  <c r="Z902" i="3"/>
  <c r="AA902" i="3"/>
  <c r="AB902" i="3"/>
  <c r="AC902" i="3"/>
  <c r="AD902" i="3"/>
  <c r="AE902" i="3"/>
  <c r="AF902" i="3"/>
  <c r="AG902" i="3"/>
  <c r="AH902" i="3"/>
  <c r="AI902" i="3"/>
  <c r="AJ902" i="3"/>
  <c r="AK902" i="3"/>
  <c r="AL902" i="3"/>
  <c r="AM902" i="3"/>
  <c r="AN902" i="3"/>
  <c r="A903" i="3"/>
  <c r="B903" i="3"/>
  <c r="C903" i="3"/>
  <c r="D903" i="3"/>
  <c r="E903" i="3"/>
  <c r="F903" i="3"/>
  <c r="G903" i="3"/>
  <c r="H903" i="3"/>
  <c r="I903" i="3"/>
  <c r="J903" i="3"/>
  <c r="K903" i="3"/>
  <c r="L903" i="3"/>
  <c r="M903" i="3"/>
  <c r="N903" i="3"/>
  <c r="O903" i="3"/>
  <c r="P903" i="3"/>
  <c r="Q903" i="3"/>
  <c r="R903" i="3"/>
  <c r="S903" i="3"/>
  <c r="T903" i="3"/>
  <c r="U903" i="3"/>
  <c r="V903" i="3"/>
  <c r="W903" i="3"/>
  <c r="X903" i="3"/>
  <c r="Y903" i="3"/>
  <c r="Z903" i="3"/>
  <c r="AA903" i="3"/>
  <c r="AB903" i="3"/>
  <c r="AC903" i="3"/>
  <c r="AD903" i="3"/>
  <c r="AE903" i="3"/>
  <c r="AF903" i="3"/>
  <c r="AG903" i="3"/>
  <c r="AH903" i="3"/>
  <c r="AI903" i="3"/>
  <c r="AJ903" i="3"/>
  <c r="AK903" i="3"/>
  <c r="AL903" i="3"/>
  <c r="AM903" i="3"/>
  <c r="AN903" i="3"/>
  <c r="A904" i="3"/>
  <c r="B904" i="3"/>
  <c r="C904" i="3"/>
  <c r="D904" i="3"/>
  <c r="E904" i="3"/>
  <c r="F904" i="3"/>
  <c r="G904" i="3"/>
  <c r="H904" i="3"/>
  <c r="I904" i="3"/>
  <c r="J904" i="3"/>
  <c r="K904" i="3"/>
  <c r="L904" i="3"/>
  <c r="M904" i="3"/>
  <c r="N904" i="3"/>
  <c r="O904" i="3"/>
  <c r="P904" i="3"/>
  <c r="Q904" i="3"/>
  <c r="R904" i="3"/>
  <c r="S904" i="3"/>
  <c r="T904" i="3"/>
  <c r="U904" i="3"/>
  <c r="V904" i="3"/>
  <c r="W904" i="3"/>
  <c r="X904" i="3"/>
  <c r="Y904" i="3"/>
  <c r="Z904" i="3"/>
  <c r="AA904" i="3"/>
  <c r="AB904" i="3"/>
  <c r="AC904" i="3"/>
  <c r="AD904" i="3"/>
  <c r="AE904" i="3"/>
  <c r="AF904" i="3"/>
  <c r="AG904" i="3"/>
  <c r="AH904" i="3"/>
  <c r="AI904" i="3"/>
  <c r="AJ904" i="3"/>
  <c r="AK904" i="3"/>
  <c r="AL904" i="3"/>
  <c r="AM904" i="3"/>
  <c r="AN904" i="3"/>
  <c r="A905" i="3"/>
  <c r="B905" i="3"/>
  <c r="C905" i="3"/>
  <c r="D905" i="3"/>
  <c r="E905" i="3"/>
  <c r="F905" i="3"/>
  <c r="G905" i="3"/>
  <c r="H905" i="3"/>
  <c r="I905" i="3"/>
  <c r="J905" i="3"/>
  <c r="K905" i="3"/>
  <c r="L905" i="3"/>
  <c r="M905" i="3"/>
  <c r="N905" i="3"/>
  <c r="O905" i="3"/>
  <c r="P905" i="3"/>
  <c r="Q905" i="3"/>
  <c r="R905" i="3"/>
  <c r="S905" i="3"/>
  <c r="T905" i="3"/>
  <c r="U905" i="3"/>
  <c r="V905" i="3"/>
  <c r="W905" i="3"/>
  <c r="X905" i="3"/>
  <c r="Y905" i="3"/>
  <c r="Z905" i="3"/>
  <c r="AA905" i="3"/>
  <c r="AB905" i="3"/>
  <c r="AC905" i="3"/>
  <c r="AD905" i="3"/>
  <c r="AE905" i="3"/>
  <c r="AF905" i="3"/>
  <c r="AG905" i="3"/>
  <c r="AH905" i="3"/>
  <c r="AI905" i="3"/>
  <c r="AJ905" i="3"/>
  <c r="AK905" i="3"/>
  <c r="AL905" i="3"/>
  <c r="AM905" i="3"/>
  <c r="AN905" i="3"/>
  <c r="A906" i="3"/>
  <c r="B906" i="3"/>
  <c r="C906" i="3"/>
  <c r="D906" i="3"/>
  <c r="E906" i="3"/>
  <c r="F906" i="3"/>
  <c r="G906" i="3"/>
  <c r="H906" i="3"/>
  <c r="I906" i="3"/>
  <c r="J906" i="3"/>
  <c r="K906" i="3"/>
  <c r="L906" i="3"/>
  <c r="M906" i="3"/>
  <c r="N906" i="3"/>
  <c r="O906" i="3"/>
  <c r="P906" i="3"/>
  <c r="Q906" i="3"/>
  <c r="R906" i="3"/>
  <c r="S906" i="3"/>
  <c r="T906" i="3"/>
  <c r="U906" i="3"/>
  <c r="V906" i="3"/>
  <c r="W906" i="3"/>
  <c r="X906" i="3"/>
  <c r="Y906" i="3"/>
  <c r="Z906" i="3"/>
  <c r="AA906" i="3"/>
  <c r="AB906" i="3"/>
  <c r="AC906" i="3"/>
  <c r="AD906" i="3"/>
  <c r="AE906" i="3"/>
  <c r="AF906" i="3"/>
  <c r="AG906" i="3"/>
  <c r="AH906" i="3"/>
  <c r="AI906" i="3"/>
  <c r="AJ906" i="3"/>
  <c r="AK906" i="3"/>
  <c r="AL906" i="3"/>
  <c r="AM906" i="3"/>
  <c r="AN906" i="3"/>
  <c r="A907" i="3"/>
  <c r="B907" i="3"/>
  <c r="C907" i="3"/>
  <c r="D907" i="3"/>
  <c r="E907" i="3"/>
  <c r="F907" i="3"/>
  <c r="G907" i="3"/>
  <c r="H907" i="3"/>
  <c r="I907" i="3"/>
  <c r="J907" i="3"/>
  <c r="K907" i="3"/>
  <c r="L907" i="3"/>
  <c r="M907" i="3"/>
  <c r="N907" i="3"/>
  <c r="O907" i="3"/>
  <c r="P907" i="3"/>
  <c r="Q907" i="3"/>
  <c r="R907" i="3"/>
  <c r="S907" i="3"/>
  <c r="T907" i="3"/>
  <c r="U907" i="3"/>
  <c r="V907" i="3"/>
  <c r="W907" i="3"/>
  <c r="X907" i="3"/>
  <c r="Y907" i="3"/>
  <c r="Z907" i="3"/>
  <c r="AA907" i="3"/>
  <c r="AB907" i="3"/>
  <c r="AC907" i="3"/>
  <c r="AD907" i="3"/>
  <c r="AE907" i="3"/>
  <c r="AF907" i="3"/>
  <c r="AG907" i="3"/>
  <c r="AH907" i="3"/>
  <c r="AI907" i="3"/>
  <c r="AJ907" i="3"/>
  <c r="AK907" i="3"/>
  <c r="AL907" i="3"/>
  <c r="AM907" i="3"/>
  <c r="AN907" i="3"/>
  <c r="A908" i="3"/>
  <c r="B908" i="3"/>
  <c r="C908" i="3"/>
  <c r="D908" i="3"/>
  <c r="E908" i="3"/>
  <c r="F908" i="3"/>
  <c r="G908" i="3"/>
  <c r="H908" i="3"/>
  <c r="I908" i="3"/>
  <c r="J908" i="3"/>
  <c r="K908" i="3"/>
  <c r="L908" i="3"/>
  <c r="M908" i="3"/>
  <c r="N908" i="3"/>
  <c r="O908" i="3"/>
  <c r="P908" i="3"/>
  <c r="Q908" i="3"/>
  <c r="R908" i="3"/>
  <c r="S908" i="3"/>
  <c r="T908" i="3"/>
  <c r="U908" i="3"/>
  <c r="V908" i="3"/>
  <c r="W908" i="3"/>
  <c r="X908" i="3"/>
  <c r="Y908" i="3"/>
  <c r="Z908" i="3"/>
  <c r="AA908" i="3"/>
  <c r="AB908" i="3"/>
  <c r="AC908" i="3"/>
  <c r="AD908" i="3"/>
  <c r="AE908" i="3"/>
  <c r="AF908" i="3"/>
  <c r="AG908" i="3"/>
  <c r="AH908" i="3"/>
  <c r="AI908" i="3"/>
  <c r="AJ908" i="3"/>
  <c r="AK908" i="3"/>
  <c r="AL908" i="3"/>
  <c r="AM908" i="3"/>
  <c r="AN908" i="3"/>
  <c r="A909" i="3"/>
  <c r="B909" i="3"/>
  <c r="C909" i="3"/>
  <c r="D909" i="3"/>
  <c r="E909" i="3"/>
  <c r="F909" i="3"/>
  <c r="G909" i="3"/>
  <c r="H909" i="3"/>
  <c r="I909" i="3"/>
  <c r="J909" i="3"/>
  <c r="K909" i="3"/>
  <c r="L909" i="3"/>
  <c r="M909" i="3"/>
  <c r="N909" i="3"/>
  <c r="O909" i="3"/>
  <c r="P909" i="3"/>
  <c r="Q909" i="3"/>
  <c r="R909" i="3"/>
  <c r="S909" i="3"/>
  <c r="T909" i="3"/>
  <c r="U909" i="3"/>
  <c r="V909" i="3"/>
  <c r="W909" i="3"/>
  <c r="X909" i="3"/>
  <c r="Y909" i="3"/>
  <c r="Z909" i="3"/>
  <c r="AA909" i="3"/>
  <c r="AB909" i="3"/>
  <c r="AC909" i="3"/>
  <c r="AD909" i="3"/>
  <c r="AE909" i="3"/>
  <c r="AF909" i="3"/>
  <c r="AG909" i="3"/>
  <c r="AH909" i="3"/>
  <c r="AI909" i="3"/>
  <c r="AJ909" i="3"/>
  <c r="AK909" i="3"/>
  <c r="AL909" i="3"/>
  <c r="AM909" i="3"/>
  <c r="AN909" i="3"/>
  <c r="A910" i="3"/>
  <c r="B910" i="3"/>
  <c r="C910" i="3"/>
  <c r="D910" i="3"/>
  <c r="E910" i="3"/>
  <c r="F910" i="3"/>
  <c r="G910" i="3"/>
  <c r="H910" i="3"/>
  <c r="I910" i="3"/>
  <c r="J910" i="3"/>
  <c r="K910" i="3"/>
  <c r="L910" i="3"/>
  <c r="M910" i="3"/>
  <c r="N910" i="3"/>
  <c r="O910" i="3"/>
  <c r="P910" i="3"/>
  <c r="Q910" i="3"/>
  <c r="R910" i="3"/>
  <c r="S910" i="3"/>
  <c r="T910" i="3"/>
  <c r="U910" i="3"/>
  <c r="V910" i="3"/>
  <c r="W910" i="3"/>
  <c r="X910" i="3"/>
  <c r="Y910" i="3"/>
  <c r="Z910" i="3"/>
  <c r="AA910" i="3"/>
  <c r="AB910" i="3"/>
  <c r="AC910" i="3"/>
  <c r="AD910" i="3"/>
  <c r="AE910" i="3"/>
  <c r="AF910" i="3"/>
  <c r="AG910" i="3"/>
  <c r="AH910" i="3"/>
  <c r="AI910" i="3"/>
  <c r="AJ910" i="3"/>
  <c r="AK910" i="3"/>
  <c r="AL910" i="3"/>
  <c r="AM910" i="3"/>
  <c r="AN910" i="3"/>
  <c r="A911" i="3"/>
  <c r="B911" i="3"/>
  <c r="C911" i="3"/>
  <c r="D911" i="3"/>
  <c r="E911" i="3"/>
  <c r="F911" i="3"/>
  <c r="G911" i="3"/>
  <c r="H911" i="3"/>
  <c r="I911" i="3"/>
  <c r="J911" i="3"/>
  <c r="K911" i="3"/>
  <c r="L911" i="3"/>
  <c r="M911" i="3"/>
  <c r="N911" i="3"/>
  <c r="O911" i="3"/>
  <c r="P911" i="3"/>
  <c r="Q911" i="3"/>
  <c r="R911" i="3"/>
  <c r="S911" i="3"/>
  <c r="T911" i="3"/>
  <c r="U911" i="3"/>
  <c r="V911" i="3"/>
  <c r="W911" i="3"/>
  <c r="X911" i="3"/>
  <c r="Y911" i="3"/>
  <c r="Z911" i="3"/>
  <c r="AA911" i="3"/>
  <c r="AB911" i="3"/>
  <c r="AC911" i="3"/>
  <c r="AD911" i="3"/>
  <c r="AE911" i="3"/>
  <c r="AF911" i="3"/>
  <c r="AG911" i="3"/>
  <c r="AH911" i="3"/>
  <c r="AI911" i="3"/>
  <c r="AJ911" i="3"/>
  <c r="AK911" i="3"/>
  <c r="AL911" i="3"/>
  <c r="AM911" i="3"/>
  <c r="AN911" i="3"/>
  <c r="A912" i="3"/>
  <c r="B912" i="3"/>
  <c r="C912" i="3"/>
  <c r="D912" i="3"/>
  <c r="E912" i="3"/>
  <c r="F912" i="3"/>
  <c r="G912" i="3"/>
  <c r="H912" i="3"/>
  <c r="I912" i="3"/>
  <c r="J912" i="3"/>
  <c r="K912" i="3"/>
  <c r="L912" i="3"/>
  <c r="M912" i="3"/>
  <c r="N912" i="3"/>
  <c r="O912" i="3"/>
  <c r="P912" i="3"/>
  <c r="Q912" i="3"/>
  <c r="R912" i="3"/>
  <c r="S912" i="3"/>
  <c r="T912" i="3"/>
  <c r="U912" i="3"/>
  <c r="V912" i="3"/>
  <c r="W912" i="3"/>
  <c r="X912" i="3"/>
  <c r="Y912" i="3"/>
  <c r="Z912" i="3"/>
  <c r="AA912" i="3"/>
  <c r="AB912" i="3"/>
  <c r="AC912" i="3"/>
  <c r="AD912" i="3"/>
  <c r="AE912" i="3"/>
  <c r="AF912" i="3"/>
  <c r="AG912" i="3"/>
  <c r="AH912" i="3"/>
  <c r="AI912" i="3"/>
  <c r="AJ912" i="3"/>
  <c r="AK912" i="3"/>
  <c r="AL912" i="3"/>
  <c r="AM912" i="3"/>
  <c r="AN912" i="3"/>
  <c r="A913" i="3"/>
  <c r="B913" i="3"/>
  <c r="C913" i="3"/>
  <c r="D913" i="3"/>
  <c r="E913" i="3"/>
  <c r="F913" i="3"/>
  <c r="G913" i="3"/>
  <c r="H913" i="3"/>
  <c r="I913" i="3"/>
  <c r="J913" i="3"/>
  <c r="K913" i="3"/>
  <c r="L913" i="3"/>
  <c r="M913" i="3"/>
  <c r="N913" i="3"/>
  <c r="O913" i="3"/>
  <c r="P913" i="3"/>
  <c r="Q913" i="3"/>
  <c r="R913" i="3"/>
  <c r="S913" i="3"/>
  <c r="T913" i="3"/>
  <c r="U913" i="3"/>
  <c r="V913" i="3"/>
  <c r="W913" i="3"/>
  <c r="X913" i="3"/>
  <c r="Y913" i="3"/>
  <c r="Z913" i="3"/>
  <c r="AA913" i="3"/>
  <c r="AB913" i="3"/>
  <c r="AC913" i="3"/>
  <c r="AD913" i="3"/>
  <c r="AE913" i="3"/>
  <c r="AF913" i="3"/>
  <c r="AG913" i="3"/>
  <c r="AH913" i="3"/>
  <c r="AI913" i="3"/>
  <c r="AJ913" i="3"/>
  <c r="AK913" i="3"/>
  <c r="AL913" i="3"/>
  <c r="AM913" i="3"/>
  <c r="AN913" i="3"/>
  <c r="A914" i="3"/>
  <c r="B914" i="3"/>
  <c r="C914" i="3"/>
  <c r="D914" i="3"/>
  <c r="E914" i="3"/>
  <c r="F914" i="3"/>
  <c r="G914" i="3"/>
  <c r="H914" i="3"/>
  <c r="I914" i="3"/>
  <c r="J914" i="3"/>
  <c r="K914" i="3"/>
  <c r="L914" i="3"/>
  <c r="M914" i="3"/>
  <c r="N914" i="3"/>
  <c r="O914" i="3"/>
  <c r="P914" i="3"/>
  <c r="Q914" i="3"/>
  <c r="R914" i="3"/>
  <c r="S914" i="3"/>
  <c r="T914" i="3"/>
  <c r="U914" i="3"/>
  <c r="V914" i="3"/>
  <c r="W914" i="3"/>
  <c r="X914" i="3"/>
  <c r="Y914" i="3"/>
  <c r="Z914" i="3"/>
  <c r="AA914" i="3"/>
  <c r="AB914" i="3"/>
  <c r="AC914" i="3"/>
  <c r="AD914" i="3"/>
  <c r="AE914" i="3"/>
  <c r="AF914" i="3"/>
  <c r="AG914" i="3"/>
  <c r="AH914" i="3"/>
  <c r="AI914" i="3"/>
  <c r="AJ914" i="3"/>
  <c r="AK914" i="3"/>
  <c r="AL914" i="3"/>
  <c r="AM914" i="3"/>
  <c r="AN914" i="3"/>
  <c r="A915" i="3"/>
  <c r="B915" i="3"/>
  <c r="C915" i="3"/>
  <c r="D915" i="3"/>
  <c r="E915" i="3"/>
  <c r="F915" i="3"/>
  <c r="G915" i="3"/>
  <c r="H915" i="3"/>
  <c r="I915" i="3"/>
  <c r="J915" i="3"/>
  <c r="K915" i="3"/>
  <c r="L915" i="3"/>
  <c r="M915" i="3"/>
  <c r="N915" i="3"/>
  <c r="O915" i="3"/>
  <c r="P915" i="3"/>
  <c r="Q915" i="3"/>
  <c r="R915" i="3"/>
  <c r="S915" i="3"/>
  <c r="T915" i="3"/>
  <c r="U915" i="3"/>
  <c r="V915" i="3"/>
  <c r="W915" i="3"/>
  <c r="X915" i="3"/>
  <c r="Y915" i="3"/>
  <c r="Z915" i="3"/>
  <c r="AA915" i="3"/>
  <c r="AB915" i="3"/>
  <c r="AC915" i="3"/>
  <c r="AD915" i="3"/>
  <c r="AE915" i="3"/>
  <c r="AF915" i="3"/>
  <c r="AG915" i="3"/>
  <c r="AH915" i="3"/>
  <c r="AI915" i="3"/>
  <c r="AJ915" i="3"/>
  <c r="AK915" i="3"/>
  <c r="AL915" i="3"/>
  <c r="AM915" i="3"/>
  <c r="AN915" i="3"/>
  <c r="A916" i="3"/>
  <c r="B916" i="3"/>
  <c r="C916" i="3"/>
  <c r="D916" i="3"/>
  <c r="E916" i="3"/>
  <c r="F916" i="3"/>
  <c r="G916" i="3"/>
  <c r="H916" i="3"/>
  <c r="I916" i="3"/>
  <c r="J916" i="3"/>
  <c r="K916" i="3"/>
  <c r="L916" i="3"/>
  <c r="M916" i="3"/>
  <c r="N916" i="3"/>
  <c r="O916" i="3"/>
  <c r="P916" i="3"/>
  <c r="Q916" i="3"/>
  <c r="R916" i="3"/>
  <c r="S916" i="3"/>
  <c r="T916" i="3"/>
  <c r="U916" i="3"/>
  <c r="V916" i="3"/>
  <c r="W916" i="3"/>
  <c r="X916" i="3"/>
  <c r="Y916" i="3"/>
  <c r="Z916" i="3"/>
  <c r="AA916" i="3"/>
  <c r="AB916" i="3"/>
  <c r="AC916" i="3"/>
  <c r="AD916" i="3"/>
  <c r="AE916" i="3"/>
  <c r="AF916" i="3"/>
  <c r="AG916" i="3"/>
  <c r="AH916" i="3"/>
  <c r="AI916" i="3"/>
  <c r="AJ916" i="3"/>
  <c r="AK916" i="3"/>
  <c r="AL916" i="3"/>
  <c r="AM916" i="3"/>
  <c r="AN916" i="3"/>
  <c r="A917" i="3"/>
  <c r="B917" i="3"/>
  <c r="C917" i="3"/>
  <c r="D917" i="3"/>
  <c r="E917" i="3"/>
  <c r="F917" i="3"/>
  <c r="G917" i="3"/>
  <c r="H917" i="3"/>
  <c r="I917" i="3"/>
  <c r="J917" i="3"/>
  <c r="K917" i="3"/>
  <c r="L917" i="3"/>
  <c r="M917" i="3"/>
  <c r="N917" i="3"/>
  <c r="O917" i="3"/>
  <c r="P917" i="3"/>
  <c r="Q917" i="3"/>
  <c r="R917" i="3"/>
  <c r="S917" i="3"/>
  <c r="T917" i="3"/>
  <c r="U917" i="3"/>
  <c r="V917" i="3"/>
  <c r="W917" i="3"/>
  <c r="X917" i="3"/>
  <c r="Y917" i="3"/>
  <c r="Z917" i="3"/>
  <c r="AA917" i="3"/>
  <c r="AB917" i="3"/>
  <c r="AC917" i="3"/>
  <c r="AD917" i="3"/>
  <c r="AE917" i="3"/>
  <c r="AF917" i="3"/>
  <c r="AG917" i="3"/>
  <c r="AH917" i="3"/>
  <c r="AI917" i="3"/>
  <c r="AJ917" i="3"/>
  <c r="AK917" i="3"/>
  <c r="AL917" i="3"/>
  <c r="AM917" i="3"/>
  <c r="AN917" i="3"/>
  <c r="A918" i="3"/>
  <c r="B918" i="3"/>
  <c r="C918" i="3"/>
  <c r="D918" i="3"/>
  <c r="E918" i="3"/>
  <c r="F918" i="3"/>
  <c r="G918" i="3"/>
  <c r="H918" i="3"/>
  <c r="I918" i="3"/>
  <c r="J918" i="3"/>
  <c r="K918" i="3"/>
  <c r="L918" i="3"/>
  <c r="M918" i="3"/>
  <c r="N918" i="3"/>
  <c r="O918" i="3"/>
  <c r="P918" i="3"/>
  <c r="Q918" i="3"/>
  <c r="R918" i="3"/>
  <c r="S918" i="3"/>
  <c r="T918" i="3"/>
  <c r="U918" i="3"/>
  <c r="V918" i="3"/>
  <c r="W918" i="3"/>
  <c r="X918" i="3"/>
  <c r="Y918" i="3"/>
  <c r="Z918" i="3"/>
  <c r="AA918" i="3"/>
  <c r="AB918" i="3"/>
  <c r="AC918" i="3"/>
  <c r="AD918" i="3"/>
  <c r="AE918" i="3"/>
  <c r="AF918" i="3"/>
  <c r="AG918" i="3"/>
  <c r="AH918" i="3"/>
  <c r="AI918" i="3"/>
  <c r="AJ918" i="3"/>
  <c r="AK918" i="3"/>
  <c r="AL918" i="3"/>
  <c r="AM918" i="3"/>
  <c r="AN918" i="3"/>
  <c r="A919" i="3"/>
  <c r="B919" i="3"/>
  <c r="C919" i="3"/>
  <c r="D919" i="3"/>
  <c r="E919" i="3"/>
  <c r="F919" i="3"/>
  <c r="G919" i="3"/>
  <c r="H919" i="3"/>
  <c r="I919" i="3"/>
  <c r="J919" i="3"/>
  <c r="K919" i="3"/>
  <c r="L919" i="3"/>
  <c r="M919" i="3"/>
  <c r="N919" i="3"/>
  <c r="O919" i="3"/>
  <c r="P919" i="3"/>
  <c r="Q919" i="3"/>
  <c r="R919" i="3"/>
  <c r="S919" i="3"/>
  <c r="T919" i="3"/>
  <c r="U919" i="3"/>
  <c r="V919" i="3"/>
  <c r="W919" i="3"/>
  <c r="X919" i="3"/>
  <c r="Y919" i="3"/>
  <c r="Z919" i="3"/>
  <c r="AA919" i="3"/>
  <c r="AB919" i="3"/>
  <c r="AC919" i="3"/>
  <c r="AD919" i="3"/>
  <c r="AE919" i="3"/>
  <c r="AF919" i="3"/>
  <c r="AG919" i="3"/>
  <c r="AH919" i="3"/>
  <c r="AI919" i="3"/>
  <c r="AJ919" i="3"/>
  <c r="AK919" i="3"/>
  <c r="AL919" i="3"/>
  <c r="AM919" i="3"/>
  <c r="AN919" i="3"/>
  <c r="A920" i="3"/>
  <c r="B920" i="3"/>
  <c r="C920" i="3"/>
  <c r="D920" i="3"/>
  <c r="E920" i="3"/>
  <c r="F920" i="3"/>
  <c r="G920" i="3"/>
  <c r="H920" i="3"/>
  <c r="I920" i="3"/>
  <c r="J920" i="3"/>
  <c r="K920" i="3"/>
  <c r="L920" i="3"/>
  <c r="M920" i="3"/>
  <c r="N920" i="3"/>
  <c r="O920" i="3"/>
  <c r="P920" i="3"/>
  <c r="Q920" i="3"/>
  <c r="R920" i="3"/>
  <c r="S920" i="3"/>
  <c r="T920" i="3"/>
  <c r="U920" i="3"/>
  <c r="V920" i="3"/>
  <c r="W920" i="3"/>
  <c r="X920" i="3"/>
  <c r="Y920" i="3"/>
  <c r="Z920" i="3"/>
  <c r="AA920" i="3"/>
  <c r="AB920" i="3"/>
  <c r="AC920" i="3"/>
  <c r="AD920" i="3"/>
  <c r="AE920" i="3"/>
  <c r="AF920" i="3"/>
  <c r="AG920" i="3"/>
  <c r="AH920" i="3"/>
  <c r="AI920" i="3"/>
  <c r="AJ920" i="3"/>
  <c r="AK920" i="3"/>
  <c r="AL920" i="3"/>
  <c r="AM920" i="3"/>
  <c r="AN920" i="3"/>
  <c r="A921" i="3"/>
  <c r="B921" i="3"/>
  <c r="C921" i="3"/>
  <c r="D921" i="3"/>
  <c r="E921" i="3"/>
  <c r="F921" i="3"/>
  <c r="G921" i="3"/>
  <c r="H921" i="3"/>
  <c r="I921" i="3"/>
  <c r="J921" i="3"/>
  <c r="K921" i="3"/>
  <c r="L921" i="3"/>
  <c r="M921" i="3"/>
  <c r="N921" i="3"/>
  <c r="O921" i="3"/>
  <c r="P921" i="3"/>
  <c r="Q921" i="3"/>
  <c r="R921" i="3"/>
  <c r="S921" i="3"/>
  <c r="T921" i="3"/>
  <c r="U921" i="3"/>
  <c r="V921" i="3"/>
  <c r="W921" i="3"/>
  <c r="X921" i="3"/>
  <c r="Y921" i="3"/>
  <c r="Z921" i="3"/>
  <c r="AA921" i="3"/>
  <c r="AB921" i="3"/>
  <c r="AC921" i="3"/>
  <c r="AD921" i="3"/>
  <c r="AE921" i="3"/>
  <c r="AF921" i="3"/>
  <c r="AG921" i="3"/>
  <c r="AH921" i="3"/>
  <c r="AI921" i="3"/>
  <c r="AJ921" i="3"/>
  <c r="AK921" i="3"/>
  <c r="AL921" i="3"/>
  <c r="AM921" i="3"/>
  <c r="AN921" i="3"/>
  <c r="A922" i="3"/>
  <c r="B922" i="3"/>
  <c r="C922" i="3"/>
  <c r="D922" i="3"/>
  <c r="E922" i="3"/>
  <c r="F922" i="3"/>
  <c r="G922" i="3"/>
  <c r="H922" i="3"/>
  <c r="I922" i="3"/>
  <c r="J922" i="3"/>
  <c r="K922" i="3"/>
  <c r="L922" i="3"/>
  <c r="M922" i="3"/>
  <c r="N922" i="3"/>
  <c r="O922" i="3"/>
  <c r="P922" i="3"/>
  <c r="Q922" i="3"/>
  <c r="R922" i="3"/>
  <c r="S922" i="3"/>
  <c r="T922" i="3"/>
  <c r="U922" i="3"/>
  <c r="V922" i="3"/>
  <c r="W922" i="3"/>
  <c r="X922" i="3"/>
  <c r="Y922" i="3"/>
  <c r="Z922" i="3"/>
  <c r="AA922" i="3"/>
  <c r="AB922" i="3"/>
  <c r="AC922" i="3"/>
  <c r="AD922" i="3"/>
  <c r="AE922" i="3"/>
  <c r="AF922" i="3"/>
  <c r="AG922" i="3"/>
  <c r="AH922" i="3"/>
  <c r="AI922" i="3"/>
  <c r="AJ922" i="3"/>
  <c r="AK922" i="3"/>
  <c r="AL922" i="3"/>
  <c r="AM922" i="3"/>
  <c r="AN922" i="3"/>
  <c r="A923" i="3"/>
  <c r="B923" i="3"/>
  <c r="C923" i="3"/>
  <c r="D923" i="3"/>
  <c r="E923" i="3"/>
  <c r="F923" i="3"/>
  <c r="G923" i="3"/>
  <c r="H923" i="3"/>
  <c r="I923" i="3"/>
  <c r="J923" i="3"/>
  <c r="K923" i="3"/>
  <c r="L923" i="3"/>
  <c r="M923" i="3"/>
  <c r="N923" i="3"/>
  <c r="O923" i="3"/>
  <c r="P923" i="3"/>
  <c r="Q923" i="3"/>
  <c r="R923" i="3"/>
  <c r="S923" i="3"/>
  <c r="T923" i="3"/>
  <c r="U923" i="3"/>
  <c r="V923" i="3"/>
  <c r="W923" i="3"/>
  <c r="X923" i="3"/>
  <c r="Y923" i="3"/>
  <c r="Z923" i="3"/>
  <c r="AA923" i="3"/>
  <c r="AB923" i="3"/>
  <c r="AC923" i="3"/>
  <c r="AD923" i="3"/>
  <c r="AE923" i="3"/>
  <c r="AF923" i="3"/>
  <c r="AG923" i="3"/>
  <c r="AH923" i="3"/>
  <c r="AI923" i="3"/>
  <c r="AJ923" i="3"/>
  <c r="AK923" i="3"/>
  <c r="AL923" i="3"/>
  <c r="AM923" i="3"/>
  <c r="AN923" i="3"/>
  <c r="A924" i="3"/>
  <c r="B924" i="3"/>
  <c r="C924" i="3"/>
  <c r="D924" i="3"/>
  <c r="E924" i="3"/>
  <c r="F924" i="3"/>
  <c r="G924" i="3"/>
  <c r="H924" i="3"/>
  <c r="I924" i="3"/>
  <c r="J924" i="3"/>
  <c r="K924" i="3"/>
  <c r="L924" i="3"/>
  <c r="M924" i="3"/>
  <c r="N924" i="3"/>
  <c r="O924" i="3"/>
  <c r="P924" i="3"/>
  <c r="Q924" i="3"/>
  <c r="R924" i="3"/>
  <c r="S924" i="3"/>
  <c r="T924" i="3"/>
  <c r="U924" i="3"/>
  <c r="V924" i="3"/>
  <c r="W924" i="3"/>
  <c r="X924" i="3"/>
  <c r="Y924" i="3"/>
  <c r="Z924" i="3"/>
  <c r="AA924" i="3"/>
  <c r="AB924" i="3"/>
  <c r="AC924" i="3"/>
  <c r="AD924" i="3"/>
  <c r="AE924" i="3"/>
  <c r="AF924" i="3"/>
  <c r="AG924" i="3"/>
  <c r="AH924" i="3"/>
  <c r="AI924" i="3"/>
  <c r="AJ924" i="3"/>
  <c r="AK924" i="3"/>
  <c r="AL924" i="3"/>
  <c r="AM924" i="3"/>
  <c r="AN924" i="3"/>
  <c r="A925" i="3"/>
  <c r="B925" i="3"/>
  <c r="C925" i="3"/>
  <c r="D925" i="3"/>
  <c r="E925" i="3"/>
  <c r="F925" i="3"/>
  <c r="G925" i="3"/>
  <c r="H925" i="3"/>
  <c r="I925" i="3"/>
  <c r="J925" i="3"/>
  <c r="K925" i="3"/>
  <c r="L925" i="3"/>
  <c r="M925" i="3"/>
  <c r="N925" i="3"/>
  <c r="O925" i="3"/>
  <c r="P925" i="3"/>
  <c r="Q925" i="3"/>
  <c r="R925" i="3"/>
  <c r="S925" i="3"/>
  <c r="T925" i="3"/>
  <c r="U925" i="3"/>
  <c r="V925" i="3"/>
  <c r="W925" i="3"/>
  <c r="X925" i="3"/>
  <c r="Y925" i="3"/>
  <c r="Z925" i="3"/>
  <c r="AA925" i="3"/>
  <c r="AB925" i="3"/>
  <c r="AC925" i="3"/>
  <c r="AD925" i="3"/>
  <c r="AE925" i="3"/>
  <c r="AF925" i="3"/>
  <c r="AG925" i="3"/>
  <c r="AH925" i="3"/>
  <c r="AI925" i="3"/>
  <c r="AJ925" i="3"/>
  <c r="AK925" i="3"/>
  <c r="AL925" i="3"/>
  <c r="AM925" i="3"/>
  <c r="AN925" i="3"/>
  <c r="A926" i="3"/>
  <c r="B926" i="3"/>
  <c r="C926" i="3"/>
  <c r="D926" i="3"/>
  <c r="E926" i="3"/>
  <c r="F926" i="3"/>
  <c r="G926" i="3"/>
  <c r="H926" i="3"/>
  <c r="I926" i="3"/>
  <c r="J926" i="3"/>
  <c r="K926" i="3"/>
  <c r="L926" i="3"/>
  <c r="M926" i="3"/>
  <c r="N926" i="3"/>
  <c r="O926" i="3"/>
  <c r="P926" i="3"/>
  <c r="Q926" i="3"/>
  <c r="R926" i="3"/>
  <c r="S926" i="3"/>
  <c r="T926" i="3"/>
  <c r="U926" i="3"/>
  <c r="V926" i="3"/>
  <c r="W926" i="3"/>
  <c r="X926" i="3"/>
  <c r="Y926" i="3"/>
  <c r="Z926" i="3"/>
  <c r="AA926" i="3"/>
  <c r="AB926" i="3"/>
  <c r="AC926" i="3"/>
  <c r="AD926" i="3"/>
  <c r="AE926" i="3"/>
  <c r="AF926" i="3"/>
  <c r="AG926" i="3"/>
  <c r="AH926" i="3"/>
  <c r="AI926" i="3"/>
  <c r="AJ926" i="3"/>
  <c r="AK926" i="3"/>
  <c r="AL926" i="3"/>
  <c r="AM926" i="3"/>
  <c r="AN926" i="3"/>
  <c r="A927" i="3"/>
  <c r="B927" i="3"/>
  <c r="C927" i="3"/>
  <c r="D927" i="3"/>
  <c r="E927" i="3"/>
  <c r="F927" i="3"/>
  <c r="G927" i="3"/>
  <c r="H927" i="3"/>
  <c r="I927" i="3"/>
  <c r="J927" i="3"/>
  <c r="K927" i="3"/>
  <c r="L927" i="3"/>
  <c r="M927" i="3"/>
  <c r="N927" i="3"/>
  <c r="O927" i="3"/>
  <c r="P927" i="3"/>
  <c r="Q927" i="3"/>
  <c r="R927" i="3"/>
  <c r="S927" i="3"/>
  <c r="T927" i="3"/>
  <c r="U927" i="3"/>
  <c r="V927" i="3"/>
  <c r="W927" i="3"/>
  <c r="X927" i="3"/>
  <c r="Y927" i="3"/>
  <c r="Z927" i="3"/>
  <c r="AA927" i="3"/>
  <c r="AB927" i="3"/>
  <c r="AC927" i="3"/>
  <c r="AD927" i="3"/>
  <c r="AE927" i="3"/>
  <c r="AF927" i="3"/>
  <c r="AG927" i="3"/>
  <c r="AH927" i="3"/>
  <c r="AI927" i="3"/>
  <c r="AJ927" i="3"/>
  <c r="AK927" i="3"/>
  <c r="AL927" i="3"/>
  <c r="AM927" i="3"/>
  <c r="AN927" i="3"/>
  <c r="A928" i="3"/>
  <c r="B928" i="3"/>
  <c r="C928" i="3"/>
  <c r="D928" i="3"/>
  <c r="E928" i="3"/>
  <c r="F928" i="3"/>
  <c r="G928" i="3"/>
  <c r="H928" i="3"/>
  <c r="I928" i="3"/>
  <c r="J928" i="3"/>
  <c r="K928" i="3"/>
  <c r="L928" i="3"/>
  <c r="M928" i="3"/>
  <c r="N928" i="3"/>
  <c r="O928" i="3"/>
  <c r="P928" i="3"/>
  <c r="Q928" i="3"/>
  <c r="R928" i="3"/>
  <c r="S928" i="3"/>
  <c r="T928" i="3"/>
  <c r="U928" i="3"/>
  <c r="V928" i="3"/>
  <c r="W928" i="3"/>
  <c r="X928" i="3"/>
  <c r="Y928" i="3"/>
  <c r="Z928" i="3"/>
  <c r="AA928" i="3"/>
  <c r="AB928" i="3"/>
  <c r="AC928" i="3"/>
  <c r="AD928" i="3"/>
  <c r="AE928" i="3"/>
  <c r="AF928" i="3"/>
  <c r="AG928" i="3"/>
  <c r="AH928" i="3"/>
  <c r="AI928" i="3"/>
  <c r="AJ928" i="3"/>
  <c r="AK928" i="3"/>
  <c r="AL928" i="3"/>
  <c r="AM928" i="3"/>
  <c r="AN928" i="3"/>
  <c r="A929" i="3"/>
  <c r="B929" i="3"/>
  <c r="C929" i="3"/>
  <c r="D929" i="3"/>
  <c r="E929" i="3"/>
  <c r="F929" i="3"/>
  <c r="G929" i="3"/>
  <c r="H929" i="3"/>
  <c r="I929" i="3"/>
  <c r="J929" i="3"/>
  <c r="K929" i="3"/>
  <c r="L929" i="3"/>
  <c r="M929" i="3"/>
  <c r="N929" i="3"/>
  <c r="O929" i="3"/>
  <c r="P929" i="3"/>
  <c r="Q929" i="3"/>
  <c r="R929" i="3"/>
  <c r="S929" i="3"/>
  <c r="T929" i="3"/>
  <c r="U929" i="3"/>
  <c r="V929" i="3"/>
  <c r="W929" i="3"/>
  <c r="X929" i="3"/>
  <c r="Y929" i="3"/>
  <c r="Z929" i="3"/>
  <c r="AA929" i="3"/>
  <c r="AB929" i="3"/>
  <c r="AC929" i="3"/>
  <c r="AD929" i="3"/>
  <c r="AE929" i="3"/>
  <c r="AF929" i="3"/>
  <c r="AG929" i="3"/>
  <c r="AH929" i="3"/>
  <c r="AI929" i="3"/>
  <c r="AJ929" i="3"/>
  <c r="AK929" i="3"/>
  <c r="AL929" i="3"/>
  <c r="AM929" i="3"/>
  <c r="AN929" i="3"/>
  <c r="A930" i="3"/>
  <c r="B930" i="3"/>
  <c r="C930" i="3"/>
  <c r="D930" i="3"/>
  <c r="E930" i="3"/>
  <c r="F930" i="3"/>
  <c r="G930" i="3"/>
  <c r="H930" i="3"/>
  <c r="I930" i="3"/>
  <c r="J930" i="3"/>
  <c r="K930" i="3"/>
  <c r="L930" i="3"/>
  <c r="M930" i="3"/>
  <c r="N930" i="3"/>
  <c r="O930" i="3"/>
  <c r="P930" i="3"/>
  <c r="Q930" i="3"/>
  <c r="R930" i="3"/>
  <c r="S930" i="3"/>
  <c r="T930" i="3"/>
  <c r="U930" i="3"/>
  <c r="V930" i="3"/>
  <c r="W930" i="3"/>
  <c r="X930" i="3"/>
  <c r="Y930" i="3"/>
  <c r="Z930" i="3"/>
  <c r="AA930" i="3"/>
  <c r="AB930" i="3"/>
  <c r="AC930" i="3"/>
  <c r="AD930" i="3"/>
  <c r="AE930" i="3"/>
  <c r="AF930" i="3"/>
  <c r="AG930" i="3"/>
  <c r="AH930" i="3"/>
  <c r="AI930" i="3"/>
  <c r="AJ930" i="3"/>
  <c r="AK930" i="3"/>
  <c r="AL930" i="3"/>
  <c r="AM930" i="3"/>
  <c r="AN930" i="3"/>
  <c r="A931" i="3"/>
  <c r="B931" i="3"/>
  <c r="C931" i="3"/>
  <c r="D931" i="3"/>
  <c r="E931" i="3"/>
  <c r="F931" i="3"/>
  <c r="G931" i="3"/>
  <c r="H931" i="3"/>
  <c r="I931" i="3"/>
  <c r="J931" i="3"/>
  <c r="K931" i="3"/>
  <c r="L931" i="3"/>
  <c r="M931" i="3"/>
  <c r="N931" i="3"/>
  <c r="O931" i="3"/>
  <c r="P931" i="3"/>
  <c r="Q931" i="3"/>
  <c r="R931" i="3"/>
  <c r="S931" i="3"/>
  <c r="T931" i="3"/>
  <c r="U931" i="3"/>
  <c r="V931" i="3"/>
  <c r="W931" i="3"/>
  <c r="X931" i="3"/>
  <c r="Y931" i="3"/>
  <c r="Z931" i="3"/>
  <c r="AA931" i="3"/>
  <c r="AB931" i="3"/>
  <c r="AC931" i="3"/>
  <c r="AD931" i="3"/>
  <c r="AE931" i="3"/>
  <c r="AF931" i="3"/>
  <c r="AG931" i="3"/>
  <c r="AH931" i="3"/>
  <c r="AI931" i="3"/>
  <c r="AJ931" i="3"/>
  <c r="AK931" i="3"/>
  <c r="AL931" i="3"/>
  <c r="AM931" i="3"/>
  <c r="AN931" i="3"/>
  <c r="A932" i="3"/>
  <c r="B932" i="3"/>
  <c r="C932" i="3"/>
  <c r="D932" i="3"/>
  <c r="E932" i="3"/>
  <c r="F932" i="3"/>
  <c r="G932" i="3"/>
  <c r="H932" i="3"/>
  <c r="I932" i="3"/>
  <c r="J932" i="3"/>
  <c r="K932" i="3"/>
  <c r="L932" i="3"/>
  <c r="M932" i="3"/>
  <c r="N932" i="3"/>
  <c r="O932" i="3"/>
  <c r="P932" i="3"/>
  <c r="Q932" i="3"/>
  <c r="R932" i="3"/>
  <c r="S932" i="3"/>
  <c r="T932" i="3"/>
  <c r="U932" i="3"/>
  <c r="V932" i="3"/>
  <c r="W932" i="3"/>
  <c r="X932" i="3"/>
  <c r="Y932" i="3"/>
  <c r="Z932" i="3"/>
  <c r="AA932" i="3"/>
  <c r="AB932" i="3"/>
  <c r="AC932" i="3"/>
  <c r="AD932" i="3"/>
  <c r="AE932" i="3"/>
  <c r="AF932" i="3"/>
  <c r="AG932" i="3"/>
  <c r="AH932" i="3"/>
  <c r="AI932" i="3"/>
  <c r="AJ932" i="3"/>
  <c r="AK932" i="3"/>
  <c r="AL932" i="3"/>
  <c r="AM932" i="3"/>
  <c r="AN932" i="3"/>
  <c r="A933" i="3"/>
  <c r="B933" i="3"/>
  <c r="C933" i="3"/>
  <c r="D933" i="3"/>
  <c r="E933" i="3"/>
  <c r="F933" i="3"/>
  <c r="G933" i="3"/>
  <c r="H933" i="3"/>
  <c r="I933" i="3"/>
  <c r="J933" i="3"/>
  <c r="K933" i="3"/>
  <c r="L933" i="3"/>
  <c r="M933" i="3"/>
  <c r="N933" i="3"/>
  <c r="O933" i="3"/>
  <c r="P933" i="3"/>
  <c r="Q933" i="3"/>
  <c r="R933" i="3"/>
  <c r="S933" i="3"/>
  <c r="T933" i="3"/>
  <c r="U933" i="3"/>
  <c r="V933" i="3"/>
  <c r="W933" i="3"/>
  <c r="X933" i="3"/>
  <c r="Y933" i="3"/>
  <c r="Z933" i="3"/>
  <c r="AA933" i="3"/>
  <c r="AB933" i="3"/>
  <c r="AC933" i="3"/>
  <c r="AD933" i="3"/>
  <c r="AE933" i="3"/>
  <c r="AF933" i="3"/>
  <c r="AG933" i="3"/>
  <c r="AH933" i="3"/>
  <c r="AI933" i="3"/>
  <c r="AJ933" i="3"/>
  <c r="AK933" i="3"/>
  <c r="AL933" i="3"/>
  <c r="AM933" i="3"/>
  <c r="AN933" i="3"/>
  <c r="A934" i="3"/>
  <c r="B934" i="3"/>
  <c r="C934" i="3"/>
  <c r="D934" i="3"/>
  <c r="E934" i="3"/>
  <c r="F934" i="3"/>
  <c r="G934" i="3"/>
  <c r="H934" i="3"/>
  <c r="I934" i="3"/>
  <c r="J934" i="3"/>
  <c r="K934" i="3"/>
  <c r="L934" i="3"/>
  <c r="M934" i="3"/>
  <c r="N934" i="3"/>
  <c r="O934" i="3"/>
  <c r="P934" i="3"/>
  <c r="Q934" i="3"/>
  <c r="R934" i="3"/>
  <c r="S934" i="3"/>
  <c r="T934" i="3"/>
  <c r="U934" i="3"/>
  <c r="V934" i="3"/>
  <c r="W934" i="3"/>
  <c r="X934" i="3"/>
  <c r="Y934" i="3"/>
  <c r="Z934" i="3"/>
  <c r="AA934" i="3"/>
  <c r="AB934" i="3"/>
  <c r="AC934" i="3"/>
  <c r="AD934" i="3"/>
  <c r="AE934" i="3"/>
  <c r="AF934" i="3"/>
  <c r="AG934" i="3"/>
  <c r="AH934" i="3"/>
  <c r="AI934" i="3"/>
  <c r="AJ934" i="3"/>
  <c r="AK934" i="3"/>
  <c r="AL934" i="3"/>
  <c r="AM934" i="3"/>
  <c r="AN934" i="3"/>
  <c r="A935" i="3"/>
  <c r="B935" i="3"/>
  <c r="C935" i="3"/>
  <c r="D935" i="3"/>
  <c r="E935" i="3"/>
  <c r="F935" i="3"/>
  <c r="G935" i="3"/>
  <c r="H935" i="3"/>
  <c r="I935" i="3"/>
  <c r="J935" i="3"/>
  <c r="K935" i="3"/>
  <c r="L935" i="3"/>
  <c r="M935" i="3"/>
  <c r="N935" i="3"/>
  <c r="O935" i="3"/>
  <c r="P935" i="3"/>
  <c r="Q935" i="3"/>
  <c r="R935" i="3"/>
  <c r="S935" i="3"/>
  <c r="T935" i="3"/>
  <c r="U935" i="3"/>
  <c r="V935" i="3"/>
  <c r="W935" i="3"/>
  <c r="X935" i="3"/>
  <c r="Y935" i="3"/>
  <c r="Z935" i="3"/>
  <c r="AA935" i="3"/>
  <c r="AB935" i="3"/>
  <c r="AC935" i="3"/>
  <c r="AD935" i="3"/>
  <c r="AE935" i="3"/>
  <c r="AF935" i="3"/>
  <c r="AG935" i="3"/>
  <c r="AH935" i="3"/>
  <c r="AI935" i="3"/>
  <c r="AJ935" i="3"/>
  <c r="AK935" i="3"/>
  <c r="AL935" i="3"/>
  <c r="AM935" i="3"/>
  <c r="AN935" i="3"/>
  <c r="A936" i="3"/>
  <c r="B936" i="3"/>
  <c r="C936" i="3"/>
  <c r="D936" i="3"/>
  <c r="E936" i="3"/>
  <c r="F936" i="3"/>
  <c r="G936" i="3"/>
  <c r="H936" i="3"/>
  <c r="I936" i="3"/>
  <c r="J936" i="3"/>
  <c r="K936" i="3"/>
  <c r="L936" i="3"/>
  <c r="M936" i="3"/>
  <c r="N936" i="3"/>
  <c r="O936" i="3"/>
  <c r="P936" i="3"/>
  <c r="Q936" i="3"/>
  <c r="R936" i="3"/>
  <c r="S936" i="3"/>
  <c r="T936" i="3"/>
  <c r="U936" i="3"/>
  <c r="V936" i="3"/>
  <c r="W936" i="3"/>
  <c r="X936" i="3"/>
  <c r="Y936" i="3"/>
  <c r="Z936" i="3"/>
  <c r="AA936" i="3"/>
  <c r="AB936" i="3"/>
  <c r="AC936" i="3"/>
  <c r="AD936" i="3"/>
  <c r="AE936" i="3"/>
  <c r="AF936" i="3"/>
  <c r="AG936" i="3"/>
  <c r="AH936" i="3"/>
  <c r="AI936" i="3"/>
  <c r="AJ936" i="3"/>
  <c r="AK936" i="3"/>
  <c r="AL936" i="3"/>
  <c r="AM936" i="3"/>
  <c r="AN936" i="3"/>
  <c r="A937" i="3"/>
  <c r="B937" i="3"/>
  <c r="C937" i="3"/>
  <c r="D937" i="3"/>
  <c r="E937" i="3"/>
  <c r="F937" i="3"/>
  <c r="G937" i="3"/>
  <c r="H937" i="3"/>
  <c r="I937" i="3"/>
  <c r="J937" i="3"/>
  <c r="K937" i="3"/>
  <c r="L937" i="3"/>
  <c r="M937" i="3"/>
  <c r="N937" i="3"/>
  <c r="O937" i="3"/>
  <c r="P937" i="3"/>
  <c r="Q937" i="3"/>
  <c r="R937" i="3"/>
  <c r="S937" i="3"/>
  <c r="T937" i="3"/>
  <c r="U937" i="3"/>
  <c r="V937" i="3"/>
  <c r="W937" i="3"/>
  <c r="X937" i="3"/>
  <c r="Y937" i="3"/>
  <c r="Z937" i="3"/>
  <c r="AA937" i="3"/>
  <c r="AB937" i="3"/>
  <c r="AC937" i="3"/>
  <c r="AD937" i="3"/>
  <c r="AE937" i="3"/>
  <c r="AF937" i="3"/>
  <c r="AG937" i="3"/>
  <c r="AH937" i="3"/>
  <c r="AI937" i="3"/>
  <c r="AJ937" i="3"/>
  <c r="AK937" i="3"/>
  <c r="AL937" i="3"/>
  <c r="AM937" i="3"/>
  <c r="AN937" i="3"/>
  <c r="A938" i="3"/>
  <c r="B938" i="3"/>
  <c r="C938" i="3"/>
  <c r="D938" i="3"/>
  <c r="E938" i="3"/>
  <c r="F938" i="3"/>
  <c r="G938" i="3"/>
  <c r="H938" i="3"/>
  <c r="I938" i="3"/>
  <c r="J938" i="3"/>
  <c r="K938" i="3"/>
  <c r="L938" i="3"/>
  <c r="M938" i="3"/>
  <c r="N938" i="3"/>
  <c r="O938" i="3"/>
  <c r="P938" i="3"/>
  <c r="Q938" i="3"/>
  <c r="R938" i="3"/>
  <c r="S938" i="3"/>
  <c r="T938" i="3"/>
  <c r="U938" i="3"/>
  <c r="V938" i="3"/>
  <c r="W938" i="3"/>
  <c r="X938" i="3"/>
  <c r="Y938" i="3"/>
  <c r="Z938" i="3"/>
  <c r="AA938" i="3"/>
  <c r="AB938" i="3"/>
  <c r="AC938" i="3"/>
  <c r="AD938" i="3"/>
  <c r="AE938" i="3"/>
  <c r="AF938" i="3"/>
  <c r="AG938" i="3"/>
  <c r="AH938" i="3"/>
  <c r="AI938" i="3"/>
  <c r="AJ938" i="3"/>
  <c r="AK938" i="3"/>
  <c r="AL938" i="3"/>
  <c r="AM938" i="3"/>
  <c r="AN938" i="3"/>
  <c r="A939" i="3"/>
  <c r="B939" i="3"/>
  <c r="C939" i="3"/>
  <c r="D939" i="3"/>
  <c r="E939" i="3"/>
  <c r="F939" i="3"/>
  <c r="G939" i="3"/>
  <c r="H939" i="3"/>
  <c r="I939" i="3"/>
  <c r="J939" i="3"/>
  <c r="K939" i="3"/>
  <c r="L939" i="3"/>
  <c r="M939" i="3"/>
  <c r="N939" i="3"/>
  <c r="O939" i="3"/>
  <c r="P939" i="3"/>
  <c r="Q939" i="3"/>
  <c r="R939" i="3"/>
  <c r="S939" i="3"/>
  <c r="T939" i="3"/>
  <c r="U939" i="3"/>
  <c r="V939" i="3"/>
  <c r="W939" i="3"/>
  <c r="X939" i="3"/>
  <c r="Y939" i="3"/>
  <c r="Z939" i="3"/>
  <c r="AA939" i="3"/>
  <c r="AB939" i="3"/>
  <c r="AC939" i="3"/>
  <c r="AD939" i="3"/>
  <c r="AE939" i="3"/>
  <c r="AF939" i="3"/>
  <c r="AG939" i="3"/>
  <c r="AH939" i="3"/>
  <c r="AI939" i="3"/>
  <c r="AJ939" i="3"/>
  <c r="AK939" i="3"/>
  <c r="AL939" i="3"/>
  <c r="AM939" i="3"/>
  <c r="AN939" i="3"/>
  <c r="A940" i="3"/>
  <c r="B940" i="3"/>
  <c r="C940" i="3"/>
  <c r="D940" i="3"/>
  <c r="E940" i="3"/>
  <c r="F940" i="3"/>
  <c r="G940" i="3"/>
  <c r="H940" i="3"/>
  <c r="I940" i="3"/>
  <c r="J940" i="3"/>
  <c r="K940" i="3"/>
  <c r="L940" i="3"/>
  <c r="M940" i="3"/>
  <c r="N940" i="3"/>
  <c r="O940" i="3"/>
  <c r="P940" i="3"/>
  <c r="Q940" i="3"/>
  <c r="R940" i="3"/>
  <c r="S940" i="3"/>
  <c r="T940" i="3"/>
  <c r="U940" i="3"/>
  <c r="V940" i="3"/>
  <c r="W940" i="3"/>
  <c r="X940" i="3"/>
  <c r="Y940" i="3"/>
  <c r="Z940" i="3"/>
  <c r="AA940" i="3"/>
  <c r="AB940" i="3"/>
  <c r="AC940" i="3"/>
  <c r="AD940" i="3"/>
  <c r="AE940" i="3"/>
  <c r="AF940" i="3"/>
  <c r="AG940" i="3"/>
  <c r="AH940" i="3"/>
  <c r="AI940" i="3"/>
  <c r="AJ940" i="3"/>
  <c r="AK940" i="3"/>
  <c r="AL940" i="3"/>
  <c r="AM940" i="3"/>
  <c r="AN940" i="3"/>
  <c r="A941" i="3"/>
  <c r="B941" i="3"/>
  <c r="C941" i="3"/>
  <c r="D941" i="3"/>
  <c r="E941" i="3"/>
  <c r="F941" i="3"/>
  <c r="G941" i="3"/>
  <c r="H941" i="3"/>
  <c r="I941" i="3"/>
  <c r="J941" i="3"/>
  <c r="K941" i="3"/>
  <c r="L941" i="3"/>
  <c r="M941" i="3"/>
  <c r="N941" i="3"/>
  <c r="O941" i="3"/>
  <c r="P941" i="3"/>
  <c r="Q941" i="3"/>
  <c r="R941" i="3"/>
  <c r="S941" i="3"/>
  <c r="T941" i="3"/>
  <c r="U941" i="3"/>
  <c r="V941" i="3"/>
  <c r="W941" i="3"/>
  <c r="X941" i="3"/>
  <c r="Y941" i="3"/>
  <c r="Z941" i="3"/>
  <c r="AA941" i="3"/>
  <c r="AB941" i="3"/>
  <c r="AC941" i="3"/>
  <c r="AD941" i="3"/>
  <c r="AE941" i="3"/>
  <c r="AF941" i="3"/>
  <c r="AG941" i="3"/>
  <c r="AH941" i="3"/>
  <c r="AI941" i="3"/>
  <c r="AJ941" i="3"/>
  <c r="AK941" i="3"/>
  <c r="AL941" i="3"/>
  <c r="AM941" i="3"/>
  <c r="AN941" i="3"/>
  <c r="A942" i="3"/>
  <c r="B942" i="3"/>
  <c r="C942" i="3"/>
  <c r="D942" i="3"/>
  <c r="E942" i="3"/>
  <c r="F942" i="3"/>
  <c r="G942" i="3"/>
  <c r="H942" i="3"/>
  <c r="I942" i="3"/>
  <c r="J942" i="3"/>
  <c r="K942" i="3"/>
  <c r="L942" i="3"/>
  <c r="M942" i="3"/>
  <c r="N942" i="3"/>
  <c r="O942" i="3"/>
  <c r="P942" i="3"/>
  <c r="Q942" i="3"/>
  <c r="R942" i="3"/>
  <c r="S942" i="3"/>
  <c r="T942" i="3"/>
  <c r="U942" i="3"/>
  <c r="V942" i="3"/>
  <c r="W942" i="3"/>
  <c r="X942" i="3"/>
  <c r="Y942" i="3"/>
  <c r="Z942" i="3"/>
  <c r="AA942" i="3"/>
  <c r="AB942" i="3"/>
  <c r="AC942" i="3"/>
  <c r="AD942" i="3"/>
  <c r="AE942" i="3"/>
  <c r="AF942" i="3"/>
  <c r="AG942" i="3"/>
  <c r="AH942" i="3"/>
  <c r="AI942" i="3"/>
  <c r="AJ942" i="3"/>
  <c r="AK942" i="3"/>
  <c r="AL942" i="3"/>
  <c r="AM942" i="3"/>
  <c r="AN942" i="3"/>
  <c r="A943" i="3"/>
  <c r="B943" i="3"/>
  <c r="C943" i="3"/>
  <c r="D943" i="3"/>
  <c r="E943" i="3"/>
  <c r="F943" i="3"/>
  <c r="G943" i="3"/>
  <c r="H943" i="3"/>
  <c r="I943" i="3"/>
  <c r="J943" i="3"/>
  <c r="K943" i="3"/>
  <c r="L943" i="3"/>
  <c r="M943" i="3"/>
  <c r="N943" i="3"/>
  <c r="O943" i="3"/>
  <c r="P943" i="3"/>
  <c r="Q943" i="3"/>
  <c r="R943" i="3"/>
  <c r="S943" i="3"/>
  <c r="T943" i="3"/>
  <c r="U943" i="3"/>
  <c r="V943" i="3"/>
  <c r="W943" i="3"/>
  <c r="X943" i="3"/>
  <c r="Y943" i="3"/>
  <c r="Z943" i="3"/>
  <c r="AA943" i="3"/>
  <c r="AB943" i="3"/>
  <c r="AC943" i="3"/>
  <c r="AD943" i="3"/>
  <c r="AE943" i="3"/>
  <c r="AF943" i="3"/>
  <c r="AG943" i="3"/>
  <c r="AH943" i="3"/>
  <c r="AI943" i="3"/>
  <c r="AJ943" i="3"/>
  <c r="AK943" i="3"/>
  <c r="AL943" i="3"/>
  <c r="AM943" i="3"/>
  <c r="AN943" i="3"/>
  <c r="A944" i="3"/>
  <c r="B944" i="3"/>
  <c r="C944" i="3"/>
  <c r="D944" i="3"/>
  <c r="E944" i="3"/>
  <c r="F944" i="3"/>
  <c r="G944" i="3"/>
  <c r="H944" i="3"/>
  <c r="I944" i="3"/>
  <c r="J944" i="3"/>
  <c r="K944" i="3"/>
  <c r="L944" i="3"/>
  <c r="M944" i="3"/>
  <c r="N944" i="3"/>
  <c r="O944" i="3"/>
  <c r="P944" i="3"/>
  <c r="Q944" i="3"/>
  <c r="R944" i="3"/>
  <c r="S944" i="3"/>
  <c r="T944" i="3"/>
  <c r="U944" i="3"/>
  <c r="V944" i="3"/>
  <c r="W944" i="3"/>
  <c r="X944" i="3"/>
  <c r="Y944" i="3"/>
  <c r="Z944" i="3"/>
  <c r="AA944" i="3"/>
  <c r="AB944" i="3"/>
  <c r="AC944" i="3"/>
  <c r="AD944" i="3"/>
  <c r="AE944" i="3"/>
  <c r="AF944" i="3"/>
  <c r="AG944" i="3"/>
  <c r="AH944" i="3"/>
  <c r="AI944" i="3"/>
  <c r="AJ944" i="3"/>
  <c r="AK944" i="3"/>
  <c r="AL944" i="3"/>
  <c r="AM944" i="3"/>
  <c r="AN944" i="3"/>
  <c r="A945" i="3"/>
  <c r="B945" i="3"/>
  <c r="C945" i="3"/>
  <c r="D945" i="3"/>
  <c r="E945" i="3"/>
  <c r="F945" i="3"/>
  <c r="G945" i="3"/>
  <c r="H945" i="3"/>
  <c r="I945" i="3"/>
  <c r="J945" i="3"/>
  <c r="K945" i="3"/>
  <c r="L945" i="3"/>
  <c r="M945" i="3"/>
  <c r="N945" i="3"/>
  <c r="O945" i="3"/>
  <c r="P945" i="3"/>
  <c r="Q945" i="3"/>
  <c r="R945" i="3"/>
  <c r="S945" i="3"/>
  <c r="T945" i="3"/>
  <c r="U945" i="3"/>
  <c r="V945" i="3"/>
  <c r="W945" i="3"/>
  <c r="X945" i="3"/>
  <c r="Y945" i="3"/>
  <c r="Z945" i="3"/>
  <c r="AA945" i="3"/>
  <c r="AB945" i="3"/>
  <c r="AC945" i="3"/>
  <c r="AD945" i="3"/>
  <c r="AE945" i="3"/>
  <c r="AF945" i="3"/>
  <c r="AG945" i="3"/>
  <c r="AH945" i="3"/>
  <c r="AI945" i="3"/>
  <c r="AJ945" i="3"/>
  <c r="AK945" i="3"/>
  <c r="AL945" i="3"/>
  <c r="AM945" i="3"/>
  <c r="AN945" i="3"/>
  <c r="A946" i="3"/>
  <c r="B946" i="3"/>
  <c r="C946" i="3"/>
  <c r="D946" i="3"/>
  <c r="E946" i="3"/>
  <c r="F946" i="3"/>
  <c r="G946" i="3"/>
  <c r="H946" i="3"/>
  <c r="I946" i="3"/>
  <c r="J946" i="3"/>
  <c r="K946" i="3"/>
  <c r="L946" i="3"/>
  <c r="M946" i="3"/>
  <c r="N946" i="3"/>
  <c r="O946" i="3"/>
  <c r="P946" i="3"/>
  <c r="Q946" i="3"/>
  <c r="R946" i="3"/>
  <c r="S946" i="3"/>
  <c r="T946" i="3"/>
  <c r="U946" i="3"/>
  <c r="V946" i="3"/>
  <c r="W946" i="3"/>
  <c r="X946" i="3"/>
  <c r="Y946" i="3"/>
  <c r="Z946" i="3"/>
  <c r="AA946" i="3"/>
  <c r="AB946" i="3"/>
  <c r="AC946" i="3"/>
  <c r="AD946" i="3"/>
  <c r="AE946" i="3"/>
  <c r="AF946" i="3"/>
  <c r="AG946" i="3"/>
  <c r="AH946" i="3"/>
  <c r="AI946" i="3"/>
  <c r="AJ946" i="3"/>
  <c r="AK946" i="3"/>
  <c r="AL946" i="3"/>
  <c r="AM946" i="3"/>
  <c r="AN946" i="3"/>
  <c r="A947" i="3"/>
  <c r="B947" i="3"/>
  <c r="C947" i="3"/>
  <c r="D947" i="3"/>
  <c r="E947" i="3"/>
  <c r="F947" i="3"/>
  <c r="G947" i="3"/>
  <c r="H947" i="3"/>
  <c r="I947" i="3"/>
  <c r="J947" i="3"/>
  <c r="K947" i="3"/>
  <c r="L947" i="3"/>
  <c r="M947" i="3"/>
  <c r="N947" i="3"/>
  <c r="O947" i="3"/>
  <c r="P947" i="3"/>
  <c r="Q947" i="3"/>
  <c r="R947" i="3"/>
  <c r="S947" i="3"/>
  <c r="T947" i="3"/>
  <c r="U947" i="3"/>
  <c r="V947" i="3"/>
  <c r="W947" i="3"/>
  <c r="X947" i="3"/>
  <c r="Y947" i="3"/>
  <c r="Z947" i="3"/>
  <c r="AA947" i="3"/>
  <c r="AB947" i="3"/>
  <c r="AC947" i="3"/>
  <c r="AD947" i="3"/>
  <c r="AE947" i="3"/>
  <c r="AF947" i="3"/>
  <c r="AG947" i="3"/>
  <c r="AH947" i="3"/>
  <c r="AI947" i="3"/>
  <c r="AJ947" i="3"/>
  <c r="AK947" i="3"/>
  <c r="AL947" i="3"/>
  <c r="AM947" i="3"/>
  <c r="AN947" i="3"/>
  <c r="A948" i="3"/>
  <c r="B948" i="3"/>
  <c r="C948" i="3"/>
  <c r="D948" i="3"/>
  <c r="E948" i="3"/>
  <c r="F948" i="3"/>
  <c r="G948" i="3"/>
  <c r="H948" i="3"/>
  <c r="I948" i="3"/>
  <c r="J948" i="3"/>
  <c r="K948" i="3"/>
  <c r="L948" i="3"/>
  <c r="M948" i="3"/>
  <c r="N948" i="3"/>
  <c r="O948" i="3"/>
  <c r="P948" i="3"/>
  <c r="Q948" i="3"/>
  <c r="R948" i="3"/>
  <c r="S948" i="3"/>
  <c r="T948" i="3"/>
  <c r="U948" i="3"/>
  <c r="V948" i="3"/>
  <c r="W948" i="3"/>
  <c r="X948" i="3"/>
  <c r="Y948" i="3"/>
  <c r="Z948" i="3"/>
  <c r="AA948" i="3"/>
  <c r="AB948" i="3"/>
  <c r="AC948" i="3"/>
  <c r="AD948" i="3"/>
  <c r="AE948" i="3"/>
  <c r="AF948" i="3"/>
  <c r="AG948" i="3"/>
  <c r="AH948" i="3"/>
  <c r="AI948" i="3"/>
  <c r="AJ948" i="3"/>
  <c r="AK948" i="3"/>
  <c r="AL948" i="3"/>
  <c r="AM948" i="3"/>
  <c r="AN948" i="3"/>
  <c r="A949" i="3"/>
  <c r="B949" i="3"/>
  <c r="C949" i="3"/>
  <c r="D949" i="3"/>
  <c r="E949" i="3"/>
  <c r="F949" i="3"/>
  <c r="G949" i="3"/>
  <c r="H949" i="3"/>
  <c r="I949" i="3"/>
  <c r="J949" i="3"/>
  <c r="K949" i="3"/>
  <c r="L949" i="3"/>
  <c r="M949" i="3"/>
  <c r="N949" i="3"/>
  <c r="O949" i="3"/>
  <c r="P949" i="3"/>
  <c r="Q949" i="3"/>
  <c r="R949" i="3"/>
  <c r="S949" i="3"/>
  <c r="T949" i="3"/>
  <c r="U949" i="3"/>
  <c r="V949" i="3"/>
  <c r="W949" i="3"/>
  <c r="X949" i="3"/>
  <c r="Y949" i="3"/>
  <c r="Z949" i="3"/>
  <c r="AA949" i="3"/>
  <c r="AB949" i="3"/>
  <c r="AC949" i="3"/>
  <c r="AD949" i="3"/>
  <c r="AE949" i="3"/>
  <c r="AF949" i="3"/>
  <c r="AG949" i="3"/>
  <c r="AH949" i="3"/>
  <c r="AI949" i="3"/>
  <c r="AJ949" i="3"/>
  <c r="AK949" i="3"/>
  <c r="AL949" i="3"/>
  <c r="AM949" i="3"/>
  <c r="AN949" i="3"/>
  <c r="A950" i="3"/>
  <c r="B950" i="3"/>
  <c r="C950" i="3"/>
  <c r="D950" i="3"/>
  <c r="E950" i="3"/>
  <c r="F950" i="3"/>
  <c r="G950" i="3"/>
  <c r="H950" i="3"/>
  <c r="I950" i="3"/>
  <c r="J950" i="3"/>
  <c r="K950" i="3"/>
  <c r="L950" i="3"/>
  <c r="M950" i="3"/>
  <c r="N950" i="3"/>
  <c r="O950" i="3"/>
  <c r="P950" i="3"/>
  <c r="Q950" i="3"/>
  <c r="R950" i="3"/>
  <c r="S950" i="3"/>
  <c r="T950" i="3"/>
  <c r="U950" i="3"/>
  <c r="V950" i="3"/>
  <c r="W950" i="3"/>
  <c r="X950" i="3"/>
  <c r="Y950" i="3"/>
  <c r="Z950" i="3"/>
  <c r="AA950" i="3"/>
  <c r="AB950" i="3"/>
  <c r="AC950" i="3"/>
  <c r="AD950" i="3"/>
  <c r="AE950" i="3"/>
  <c r="AF950" i="3"/>
  <c r="AG950" i="3"/>
  <c r="AH950" i="3"/>
  <c r="AI950" i="3"/>
  <c r="AJ950" i="3"/>
  <c r="AK950" i="3"/>
  <c r="AL950" i="3"/>
  <c r="AM950" i="3"/>
  <c r="AN950" i="3"/>
  <c r="A951" i="3"/>
  <c r="B951" i="3"/>
  <c r="C951" i="3"/>
  <c r="D951" i="3"/>
  <c r="E951" i="3"/>
  <c r="F951" i="3"/>
  <c r="G951" i="3"/>
  <c r="H951" i="3"/>
  <c r="I951" i="3"/>
  <c r="J951" i="3"/>
  <c r="K951" i="3"/>
  <c r="L951" i="3"/>
  <c r="M951" i="3"/>
  <c r="N951" i="3"/>
  <c r="O951" i="3"/>
  <c r="P951" i="3"/>
  <c r="Q951" i="3"/>
  <c r="R951" i="3"/>
  <c r="S951" i="3"/>
  <c r="T951" i="3"/>
  <c r="U951" i="3"/>
  <c r="V951" i="3"/>
  <c r="W951" i="3"/>
  <c r="X951" i="3"/>
  <c r="Y951" i="3"/>
  <c r="Z951" i="3"/>
  <c r="AA951" i="3"/>
  <c r="AB951" i="3"/>
  <c r="AC951" i="3"/>
  <c r="AD951" i="3"/>
  <c r="AE951" i="3"/>
  <c r="AF951" i="3"/>
  <c r="AG951" i="3"/>
  <c r="AH951" i="3"/>
  <c r="AI951" i="3"/>
  <c r="AJ951" i="3"/>
  <c r="AK951" i="3"/>
  <c r="AL951" i="3"/>
  <c r="AM951" i="3"/>
  <c r="AN951" i="3"/>
  <c r="A952" i="3"/>
  <c r="B952" i="3"/>
  <c r="C952" i="3"/>
  <c r="D952" i="3"/>
  <c r="E952" i="3"/>
  <c r="F952" i="3"/>
  <c r="G952" i="3"/>
  <c r="H952" i="3"/>
  <c r="I952" i="3"/>
  <c r="J952" i="3"/>
  <c r="K952" i="3"/>
  <c r="L952" i="3"/>
  <c r="M952" i="3"/>
  <c r="N952" i="3"/>
  <c r="O952" i="3"/>
  <c r="P952" i="3"/>
  <c r="Q952" i="3"/>
  <c r="R952" i="3"/>
  <c r="S952" i="3"/>
  <c r="T952" i="3"/>
  <c r="U952" i="3"/>
  <c r="V952" i="3"/>
  <c r="W952" i="3"/>
  <c r="X952" i="3"/>
  <c r="Y952" i="3"/>
  <c r="Z952" i="3"/>
  <c r="AA952" i="3"/>
  <c r="AB952" i="3"/>
  <c r="AC952" i="3"/>
  <c r="AD952" i="3"/>
  <c r="AE952" i="3"/>
  <c r="AF952" i="3"/>
  <c r="AG952" i="3"/>
  <c r="AH952" i="3"/>
  <c r="AI952" i="3"/>
  <c r="AJ952" i="3"/>
  <c r="AK952" i="3"/>
  <c r="AL952" i="3"/>
  <c r="AM952" i="3"/>
  <c r="AN952" i="3"/>
  <c r="A953" i="3"/>
  <c r="B953" i="3"/>
  <c r="C953" i="3"/>
  <c r="D953" i="3"/>
  <c r="E953" i="3"/>
  <c r="F953" i="3"/>
  <c r="G953" i="3"/>
  <c r="H953" i="3"/>
  <c r="I953" i="3"/>
  <c r="J953" i="3"/>
  <c r="K953" i="3"/>
  <c r="L953" i="3"/>
  <c r="M953" i="3"/>
  <c r="N953" i="3"/>
  <c r="O953" i="3"/>
  <c r="P953" i="3"/>
  <c r="Q953" i="3"/>
  <c r="R953" i="3"/>
  <c r="S953" i="3"/>
  <c r="T953" i="3"/>
  <c r="U953" i="3"/>
  <c r="V953" i="3"/>
  <c r="W953" i="3"/>
  <c r="X953" i="3"/>
  <c r="Y953" i="3"/>
  <c r="Z953" i="3"/>
  <c r="AA953" i="3"/>
  <c r="AB953" i="3"/>
  <c r="AC953" i="3"/>
  <c r="AD953" i="3"/>
  <c r="AE953" i="3"/>
  <c r="AF953" i="3"/>
  <c r="AG953" i="3"/>
  <c r="AH953" i="3"/>
  <c r="AI953" i="3"/>
  <c r="AJ953" i="3"/>
  <c r="AK953" i="3"/>
  <c r="AL953" i="3"/>
  <c r="AM953" i="3"/>
  <c r="AN953" i="3"/>
  <c r="A954" i="3"/>
  <c r="B954" i="3"/>
  <c r="C954" i="3"/>
  <c r="D954" i="3"/>
  <c r="E954" i="3"/>
  <c r="F954" i="3"/>
  <c r="G954" i="3"/>
  <c r="H954" i="3"/>
  <c r="I954" i="3"/>
  <c r="J954" i="3"/>
  <c r="K954" i="3"/>
  <c r="L954" i="3"/>
  <c r="M954" i="3"/>
  <c r="N954" i="3"/>
  <c r="O954" i="3"/>
  <c r="P954" i="3"/>
  <c r="Q954" i="3"/>
  <c r="R954" i="3"/>
  <c r="S954" i="3"/>
  <c r="T954" i="3"/>
  <c r="U954" i="3"/>
  <c r="V954" i="3"/>
  <c r="W954" i="3"/>
  <c r="X954" i="3"/>
  <c r="Y954" i="3"/>
  <c r="Z954" i="3"/>
  <c r="AA954" i="3"/>
  <c r="AB954" i="3"/>
  <c r="AC954" i="3"/>
  <c r="AD954" i="3"/>
  <c r="AE954" i="3"/>
  <c r="AF954" i="3"/>
  <c r="AG954" i="3"/>
  <c r="AH954" i="3"/>
  <c r="AI954" i="3"/>
  <c r="AJ954" i="3"/>
  <c r="AK954" i="3"/>
  <c r="AL954" i="3"/>
  <c r="AM954" i="3"/>
  <c r="AN954" i="3"/>
  <c r="A955" i="3"/>
  <c r="B955" i="3"/>
  <c r="C955" i="3"/>
  <c r="D955" i="3"/>
  <c r="E955" i="3"/>
  <c r="F955" i="3"/>
  <c r="G955" i="3"/>
  <c r="H955" i="3"/>
  <c r="I955" i="3"/>
  <c r="J955" i="3"/>
  <c r="K955" i="3"/>
  <c r="L955" i="3"/>
  <c r="M955" i="3"/>
  <c r="N955" i="3"/>
  <c r="O955" i="3"/>
  <c r="P955" i="3"/>
  <c r="Q955" i="3"/>
  <c r="R955" i="3"/>
  <c r="S955" i="3"/>
  <c r="T955" i="3"/>
  <c r="U955" i="3"/>
  <c r="V955" i="3"/>
  <c r="W955" i="3"/>
  <c r="X955" i="3"/>
  <c r="Y955" i="3"/>
  <c r="Z955" i="3"/>
  <c r="AA955" i="3"/>
  <c r="AB955" i="3"/>
  <c r="AC955" i="3"/>
  <c r="AD955" i="3"/>
  <c r="AE955" i="3"/>
  <c r="AF955" i="3"/>
  <c r="AG955" i="3"/>
  <c r="AH955" i="3"/>
  <c r="AI955" i="3"/>
  <c r="AJ955" i="3"/>
  <c r="AK955" i="3"/>
  <c r="AL955" i="3"/>
  <c r="AM955" i="3"/>
  <c r="AN955" i="3"/>
  <c r="A956" i="3"/>
  <c r="B956" i="3"/>
  <c r="C956" i="3"/>
  <c r="D956" i="3"/>
  <c r="E956" i="3"/>
  <c r="F956" i="3"/>
  <c r="G956" i="3"/>
  <c r="H956" i="3"/>
  <c r="I956" i="3"/>
  <c r="J956" i="3"/>
  <c r="K956" i="3"/>
  <c r="L956" i="3"/>
  <c r="M956" i="3"/>
  <c r="N956" i="3"/>
  <c r="O956" i="3"/>
  <c r="P956" i="3"/>
  <c r="Q956" i="3"/>
  <c r="R956" i="3"/>
  <c r="S956" i="3"/>
  <c r="T956" i="3"/>
  <c r="U956" i="3"/>
  <c r="V956" i="3"/>
  <c r="W956" i="3"/>
  <c r="X956" i="3"/>
  <c r="Y956" i="3"/>
  <c r="Z956" i="3"/>
  <c r="AA956" i="3"/>
  <c r="AB956" i="3"/>
  <c r="AC956" i="3"/>
  <c r="AD956" i="3"/>
  <c r="AE956" i="3"/>
  <c r="AF956" i="3"/>
  <c r="AG956" i="3"/>
  <c r="AH956" i="3"/>
  <c r="AI956" i="3"/>
  <c r="AJ956" i="3"/>
  <c r="AK956" i="3"/>
  <c r="AL956" i="3"/>
  <c r="AM956" i="3"/>
  <c r="AN956" i="3"/>
  <c r="A957" i="3"/>
  <c r="B957" i="3"/>
  <c r="C957" i="3"/>
  <c r="D957" i="3"/>
  <c r="E957" i="3"/>
  <c r="F957" i="3"/>
  <c r="G957" i="3"/>
  <c r="H957" i="3"/>
  <c r="I957" i="3"/>
  <c r="J957" i="3"/>
  <c r="K957" i="3"/>
  <c r="L957" i="3"/>
  <c r="M957" i="3"/>
  <c r="N957" i="3"/>
  <c r="O957" i="3"/>
  <c r="P957" i="3"/>
  <c r="Q957" i="3"/>
  <c r="R957" i="3"/>
  <c r="S957" i="3"/>
  <c r="T957" i="3"/>
  <c r="U957" i="3"/>
  <c r="V957" i="3"/>
  <c r="W957" i="3"/>
  <c r="X957" i="3"/>
  <c r="Y957" i="3"/>
  <c r="Z957" i="3"/>
  <c r="AA957" i="3"/>
  <c r="AB957" i="3"/>
  <c r="AC957" i="3"/>
  <c r="AD957" i="3"/>
  <c r="AE957" i="3"/>
  <c r="AF957" i="3"/>
  <c r="AG957" i="3"/>
  <c r="AH957" i="3"/>
  <c r="AI957" i="3"/>
  <c r="AJ957" i="3"/>
  <c r="AK957" i="3"/>
  <c r="AL957" i="3"/>
  <c r="AM957" i="3"/>
  <c r="AN957" i="3"/>
  <c r="A958" i="3"/>
  <c r="B958" i="3"/>
  <c r="C958" i="3"/>
  <c r="D958" i="3"/>
  <c r="E958" i="3"/>
  <c r="F958" i="3"/>
  <c r="G958" i="3"/>
  <c r="H958" i="3"/>
  <c r="I958" i="3"/>
  <c r="J958" i="3"/>
  <c r="K958" i="3"/>
  <c r="L958" i="3"/>
  <c r="M958" i="3"/>
  <c r="N958" i="3"/>
  <c r="O958" i="3"/>
  <c r="P958" i="3"/>
  <c r="Q958" i="3"/>
  <c r="R958" i="3"/>
  <c r="S958" i="3"/>
  <c r="T958" i="3"/>
  <c r="U958" i="3"/>
  <c r="V958" i="3"/>
  <c r="W958" i="3"/>
  <c r="X958" i="3"/>
  <c r="Y958" i="3"/>
  <c r="Z958" i="3"/>
  <c r="AA958" i="3"/>
  <c r="AB958" i="3"/>
  <c r="AC958" i="3"/>
  <c r="AD958" i="3"/>
  <c r="AE958" i="3"/>
  <c r="AF958" i="3"/>
  <c r="AG958" i="3"/>
  <c r="AH958" i="3"/>
  <c r="AI958" i="3"/>
  <c r="AJ958" i="3"/>
  <c r="AK958" i="3"/>
  <c r="AL958" i="3"/>
  <c r="AM958" i="3"/>
  <c r="AN958" i="3"/>
  <c r="A959" i="3"/>
  <c r="B959" i="3"/>
  <c r="C959" i="3"/>
  <c r="D959" i="3"/>
  <c r="E959" i="3"/>
  <c r="F959" i="3"/>
  <c r="G959" i="3"/>
  <c r="H959" i="3"/>
  <c r="I959" i="3"/>
  <c r="J959" i="3"/>
  <c r="K959" i="3"/>
  <c r="L959" i="3"/>
  <c r="M959" i="3"/>
  <c r="N959" i="3"/>
  <c r="O959" i="3"/>
  <c r="P959" i="3"/>
  <c r="Q959" i="3"/>
  <c r="R959" i="3"/>
  <c r="S959" i="3"/>
  <c r="T959" i="3"/>
  <c r="U959" i="3"/>
  <c r="V959" i="3"/>
  <c r="W959" i="3"/>
  <c r="X959" i="3"/>
  <c r="Y959" i="3"/>
  <c r="Z959" i="3"/>
  <c r="AA959" i="3"/>
  <c r="AB959" i="3"/>
  <c r="AC959" i="3"/>
  <c r="AD959" i="3"/>
  <c r="AE959" i="3"/>
  <c r="AF959" i="3"/>
  <c r="AG959" i="3"/>
  <c r="AH959" i="3"/>
  <c r="AI959" i="3"/>
  <c r="AJ959" i="3"/>
  <c r="AK959" i="3"/>
  <c r="AL959" i="3"/>
  <c r="AM959" i="3"/>
  <c r="AN959" i="3"/>
  <c r="A960" i="3"/>
  <c r="B960" i="3"/>
  <c r="C960" i="3"/>
  <c r="D960" i="3"/>
  <c r="E960" i="3"/>
  <c r="F960" i="3"/>
  <c r="G960" i="3"/>
  <c r="H960" i="3"/>
  <c r="I960" i="3"/>
  <c r="J960" i="3"/>
  <c r="K960" i="3"/>
  <c r="L960" i="3"/>
  <c r="M960" i="3"/>
  <c r="N960" i="3"/>
  <c r="O960" i="3"/>
  <c r="P960" i="3"/>
  <c r="Q960" i="3"/>
  <c r="R960" i="3"/>
  <c r="S960" i="3"/>
  <c r="T960" i="3"/>
  <c r="U960" i="3"/>
  <c r="V960" i="3"/>
  <c r="W960" i="3"/>
  <c r="X960" i="3"/>
  <c r="Y960" i="3"/>
  <c r="Z960" i="3"/>
  <c r="AA960" i="3"/>
  <c r="AB960" i="3"/>
  <c r="AC960" i="3"/>
  <c r="AD960" i="3"/>
  <c r="AE960" i="3"/>
  <c r="AF960" i="3"/>
  <c r="AG960" i="3"/>
  <c r="AH960" i="3"/>
  <c r="AI960" i="3"/>
  <c r="AJ960" i="3"/>
  <c r="AK960" i="3"/>
  <c r="AL960" i="3"/>
  <c r="AM960" i="3"/>
  <c r="AN960" i="3"/>
  <c r="A961" i="3"/>
  <c r="B961" i="3"/>
  <c r="C961" i="3"/>
  <c r="D961" i="3"/>
  <c r="E961" i="3"/>
  <c r="F961" i="3"/>
  <c r="G961" i="3"/>
  <c r="H961" i="3"/>
  <c r="I961" i="3"/>
  <c r="J961" i="3"/>
  <c r="K961" i="3"/>
  <c r="L961" i="3"/>
  <c r="M961" i="3"/>
  <c r="N961" i="3"/>
  <c r="O961" i="3"/>
  <c r="P961" i="3"/>
  <c r="Q961" i="3"/>
  <c r="R961" i="3"/>
  <c r="S961" i="3"/>
  <c r="T961" i="3"/>
  <c r="U961" i="3"/>
  <c r="V961" i="3"/>
  <c r="W961" i="3"/>
  <c r="X961" i="3"/>
  <c r="Y961" i="3"/>
  <c r="Z961" i="3"/>
  <c r="AA961" i="3"/>
  <c r="AB961" i="3"/>
  <c r="AC961" i="3"/>
  <c r="AD961" i="3"/>
  <c r="AE961" i="3"/>
  <c r="AF961" i="3"/>
  <c r="AG961" i="3"/>
  <c r="AH961" i="3"/>
  <c r="AI961" i="3"/>
  <c r="AJ961" i="3"/>
  <c r="AK961" i="3"/>
  <c r="AL961" i="3"/>
  <c r="AM961" i="3"/>
  <c r="AN961" i="3"/>
  <c r="A962" i="3"/>
  <c r="B962" i="3"/>
  <c r="C962" i="3"/>
  <c r="D962" i="3"/>
  <c r="E962" i="3"/>
  <c r="F962" i="3"/>
  <c r="G962" i="3"/>
  <c r="H962" i="3"/>
  <c r="I962" i="3"/>
  <c r="J962" i="3"/>
  <c r="K962" i="3"/>
  <c r="L962" i="3"/>
  <c r="M962" i="3"/>
  <c r="N962" i="3"/>
  <c r="O962" i="3"/>
  <c r="P962" i="3"/>
  <c r="Q962" i="3"/>
  <c r="R962" i="3"/>
  <c r="S962" i="3"/>
  <c r="T962" i="3"/>
  <c r="U962" i="3"/>
  <c r="V962" i="3"/>
  <c r="W962" i="3"/>
  <c r="X962" i="3"/>
  <c r="Y962" i="3"/>
  <c r="Z962" i="3"/>
  <c r="AA962" i="3"/>
  <c r="AB962" i="3"/>
  <c r="AC962" i="3"/>
  <c r="AD962" i="3"/>
  <c r="AE962" i="3"/>
  <c r="AF962" i="3"/>
  <c r="AG962" i="3"/>
  <c r="AH962" i="3"/>
  <c r="AI962" i="3"/>
  <c r="AJ962" i="3"/>
  <c r="AK962" i="3"/>
  <c r="AL962" i="3"/>
  <c r="AM962" i="3"/>
  <c r="AN962" i="3"/>
  <c r="A963" i="3"/>
  <c r="B963" i="3"/>
  <c r="C963" i="3"/>
  <c r="D963" i="3"/>
  <c r="E963" i="3"/>
  <c r="F963" i="3"/>
  <c r="G963" i="3"/>
  <c r="H963" i="3"/>
  <c r="I963" i="3"/>
  <c r="J963" i="3"/>
  <c r="K963" i="3"/>
  <c r="L963" i="3"/>
  <c r="M963" i="3"/>
  <c r="N963" i="3"/>
  <c r="O963" i="3"/>
  <c r="P963" i="3"/>
  <c r="Q963" i="3"/>
  <c r="R963" i="3"/>
  <c r="S963" i="3"/>
  <c r="T963" i="3"/>
  <c r="U963" i="3"/>
  <c r="V963" i="3"/>
  <c r="W963" i="3"/>
  <c r="X963" i="3"/>
  <c r="Y963" i="3"/>
  <c r="Z963" i="3"/>
  <c r="AA963" i="3"/>
  <c r="AB963" i="3"/>
  <c r="AC963" i="3"/>
  <c r="AD963" i="3"/>
  <c r="AE963" i="3"/>
  <c r="AF963" i="3"/>
  <c r="AG963" i="3"/>
  <c r="AH963" i="3"/>
  <c r="AI963" i="3"/>
  <c r="AJ963" i="3"/>
  <c r="AK963" i="3"/>
  <c r="AL963" i="3"/>
  <c r="AM963" i="3"/>
  <c r="AN963" i="3"/>
  <c r="A964" i="3"/>
  <c r="B964" i="3"/>
  <c r="C964" i="3"/>
  <c r="D964" i="3"/>
  <c r="E964" i="3"/>
  <c r="F964" i="3"/>
  <c r="G964" i="3"/>
  <c r="H964" i="3"/>
  <c r="I964" i="3"/>
  <c r="J964" i="3"/>
  <c r="K964" i="3"/>
  <c r="L964" i="3"/>
  <c r="M964" i="3"/>
  <c r="N964" i="3"/>
  <c r="O964" i="3"/>
  <c r="P964" i="3"/>
  <c r="Q964" i="3"/>
  <c r="R964" i="3"/>
  <c r="S964" i="3"/>
  <c r="T964" i="3"/>
  <c r="U964" i="3"/>
  <c r="V964" i="3"/>
  <c r="W964" i="3"/>
  <c r="X964" i="3"/>
  <c r="Y964" i="3"/>
  <c r="Z964" i="3"/>
  <c r="AA964" i="3"/>
  <c r="AB964" i="3"/>
  <c r="AC964" i="3"/>
  <c r="AD964" i="3"/>
  <c r="AE964" i="3"/>
  <c r="AF964" i="3"/>
  <c r="AG964" i="3"/>
  <c r="AH964" i="3"/>
  <c r="AI964" i="3"/>
  <c r="AJ964" i="3"/>
  <c r="AK964" i="3"/>
  <c r="AL964" i="3"/>
  <c r="AM964" i="3"/>
  <c r="AN964" i="3"/>
  <c r="A965" i="3"/>
  <c r="B965" i="3"/>
  <c r="C965" i="3"/>
  <c r="D965" i="3"/>
  <c r="E965" i="3"/>
  <c r="F965" i="3"/>
  <c r="G965" i="3"/>
  <c r="H965" i="3"/>
  <c r="I965" i="3"/>
  <c r="J965" i="3"/>
  <c r="K965" i="3"/>
  <c r="L965" i="3"/>
  <c r="M965" i="3"/>
  <c r="N965" i="3"/>
  <c r="O965" i="3"/>
  <c r="P965" i="3"/>
  <c r="Q965" i="3"/>
  <c r="R965" i="3"/>
  <c r="S965" i="3"/>
  <c r="T965" i="3"/>
  <c r="U965" i="3"/>
  <c r="V965" i="3"/>
  <c r="W965" i="3"/>
  <c r="X965" i="3"/>
  <c r="Y965" i="3"/>
  <c r="Z965" i="3"/>
  <c r="AA965" i="3"/>
  <c r="AB965" i="3"/>
  <c r="AC965" i="3"/>
  <c r="AD965" i="3"/>
  <c r="AE965" i="3"/>
  <c r="AF965" i="3"/>
  <c r="AG965" i="3"/>
  <c r="AH965" i="3"/>
  <c r="AI965" i="3"/>
  <c r="AJ965" i="3"/>
  <c r="AK965" i="3"/>
  <c r="AL965" i="3"/>
  <c r="AM965" i="3"/>
  <c r="AN965" i="3"/>
  <c r="A966" i="3"/>
  <c r="B966" i="3"/>
  <c r="C966" i="3"/>
  <c r="D966" i="3"/>
  <c r="E966" i="3"/>
  <c r="F966" i="3"/>
  <c r="G966" i="3"/>
  <c r="H966" i="3"/>
  <c r="I966" i="3"/>
  <c r="J966" i="3"/>
  <c r="K966" i="3"/>
  <c r="L966" i="3"/>
  <c r="M966" i="3"/>
  <c r="N966" i="3"/>
  <c r="O966" i="3"/>
  <c r="P966" i="3"/>
  <c r="Q966" i="3"/>
  <c r="R966" i="3"/>
  <c r="S966" i="3"/>
  <c r="T966" i="3"/>
  <c r="U966" i="3"/>
  <c r="V966" i="3"/>
  <c r="W966" i="3"/>
  <c r="X966" i="3"/>
  <c r="Y966" i="3"/>
  <c r="Z966" i="3"/>
  <c r="AA966" i="3"/>
  <c r="AB966" i="3"/>
  <c r="AC966" i="3"/>
  <c r="AD966" i="3"/>
  <c r="AE966" i="3"/>
  <c r="AF966" i="3"/>
  <c r="AG966" i="3"/>
  <c r="AH966" i="3"/>
  <c r="AI966" i="3"/>
  <c r="AJ966" i="3"/>
  <c r="AK966" i="3"/>
  <c r="AL966" i="3"/>
  <c r="AM966" i="3"/>
  <c r="AN966" i="3"/>
  <c r="A967" i="3"/>
  <c r="B967" i="3"/>
  <c r="C967" i="3"/>
  <c r="D967" i="3"/>
  <c r="E967" i="3"/>
  <c r="F967" i="3"/>
  <c r="G967" i="3"/>
  <c r="H967" i="3"/>
  <c r="I967" i="3"/>
  <c r="J967" i="3"/>
  <c r="K967" i="3"/>
  <c r="L967" i="3"/>
  <c r="M967" i="3"/>
  <c r="N967" i="3"/>
  <c r="O967" i="3"/>
  <c r="P967" i="3"/>
  <c r="Q967" i="3"/>
  <c r="R967" i="3"/>
  <c r="S967" i="3"/>
  <c r="T967" i="3"/>
  <c r="U967" i="3"/>
  <c r="V967" i="3"/>
  <c r="W967" i="3"/>
  <c r="X967" i="3"/>
  <c r="Y967" i="3"/>
  <c r="Z967" i="3"/>
  <c r="AA967" i="3"/>
  <c r="AB967" i="3"/>
  <c r="AC967" i="3"/>
  <c r="AD967" i="3"/>
  <c r="AE967" i="3"/>
  <c r="AF967" i="3"/>
  <c r="AG967" i="3"/>
  <c r="AH967" i="3"/>
  <c r="AI967" i="3"/>
  <c r="AJ967" i="3"/>
  <c r="AK967" i="3"/>
  <c r="AL967" i="3"/>
  <c r="AM967" i="3"/>
  <c r="AN967" i="3"/>
  <c r="A968" i="3"/>
  <c r="B968" i="3"/>
  <c r="C968" i="3"/>
  <c r="D968" i="3"/>
  <c r="E968" i="3"/>
  <c r="F968" i="3"/>
  <c r="G968" i="3"/>
  <c r="H968" i="3"/>
  <c r="I968" i="3"/>
  <c r="J968" i="3"/>
  <c r="K968" i="3"/>
  <c r="L968" i="3"/>
  <c r="M968" i="3"/>
  <c r="N968" i="3"/>
  <c r="O968" i="3"/>
  <c r="P968" i="3"/>
  <c r="Q968" i="3"/>
  <c r="R968" i="3"/>
  <c r="S968" i="3"/>
  <c r="T968" i="3"/>
  <c r="U968" i="3"/>
  <c r="V968" i="3"/>
  <c r="W968" i="3"/>
  <c r="X968" i="3"/>
  <c r="Y968" i="3"/>
  <c r="Z968" i="3"/>
  <c r="AA968" i="3"/>
  <c r="AB968" i="3"/>
  <c r="AC968" i="3"/>
  <c r="AD968" i="3"/>
  <c r="AE968" i="3"/>
  <c r="AF968" i="3"/>
  <c r="AG968" i="3"/>
  <c r="AH968" i="3"/>
  <c r="AI968" i="3"/>
  <c r="AJ968" i="3"/>
  <c r="AK968" i="3"/>
  <c r="AL968" i="3"/>
  <c r="AM968" i="3"/>
  <c r="AN968" i="3"/>
  <c r="A969" i="3"/>
  <c r="B969" i="3"/>
  <c r="C969" i="3"/>
  <c r="D969" i="3"/>
  <c r="E969" i="3"/>
  <c r="F969" i="3"/>
  <c r="G969" i="3"/>
  <c r="H969" i="3"/>
  <c r="I969" i="3"/>
  <c r="J969" i="3"/>
  <c r="K969" i="3"/>
  <c r="L969" i="3"/>
  <c r="M969" i="3"/>
  <c r="N969" i="3"/>
  <c r="O969" i="3"/>
  <c r="P969" i="3"/>
  <c r="Q969" i="3"/>
  <c r="R969" i="3"/>
  <c r="S969" i="3"/>
  <c r="T969" i="3"/>
  <c r="U969" i="3"/>
  <c r="V969" i="3"/>
  <c r="W969" i="3"/>
  <c r="X969" i="3"/>
  <c r="Y969" i="3"/>
  <c r="Z969" i="3"/>
  <c r="AA969" i="3"/>
  <c r="AB969" i="3"/>
  <c r="AC969" i="3"/>
  <c r="AD969" i="3"/>
  <c r="AE969" i="3"/>
  <c r="AF969" i="3"/>
  <c r="AG969" i="3"/>
  <c r="AH969" i="3"/>
  <c r="AI969" i="3"/>
  <c r="AJ969" i="3"/>
  <c r="AK969" i="3"/>
  <c r="AL969" i="3"/>
  <c r="AM969" i="3"/>
  <c r="AN969" i="3"/>
  <c r="A970" i="3"/>
  <c r="B970" i="3"/>
  <c r="C970" i="3"/>
  <c r="D970" i="3"/>
  <c r="E970" i="3"/>
  <c r="F970" i="3"/>
  <c r="G970" i="3"/>
  <c r="H970" i="3"/>
  <c r="I970" i="3"/>
  <c r="J970" i="3"/>
  <c r="K970" i="3"/>
  <c r="L970" i="3"/>
  <c r="M970" i="3"/>
  <c r="N970" i="3"/>
  <c r="O970" i="3"/>
  <c r="P970" i="3"/>
  <c r="Q970" i="3"/>
  <c r="R970" i="3"/>
  <c r="S970" i="3"/>
  <c r="T970" i="3"/>
  <c r="U970" i="3"/>
  <c r="V970" i="3"/>
  <c r="W970" i="3"/>
  <c r="X970" i="3"/>
  <c r="Y970" i="3"/>
  <c r="Z970" i="3"/>
  <c r="AA970" i="3"/>
  <c r="AB970" i="3"/>
  <c r="AC970" i="3"/>
  <c r="AD970" i="3"/>
  <c r="AE970" i="3"/>
  <c r="AF970" i="3"/>
  <c r="AG970" i="3"/>
  <c r="AH970" i="3"/>
  <c r="AI970" i="3"/>
  <c r="AJ970" i="3"/>
  <c r="AK970" i="3"/>
  <c r="AL970" i="3"/>
  <c r="AM970" i="3"/>
  <c r="AN970" i="3"/>
  <c r="A971" i="3"/>
  <c r="B971" i="3"/>
  <c r="C971" i="3"/>
  <c r="D971" i="3"/>
  <c r="E971" i="3"/>
  <c r="F971" i="3"/>
  <c r="G971" i="3"/>
  <c r="H971" i="3"/>
  <c r="I971" i="3"/>
  <c r="J971" i="3"/>
  <c r="K971" i="3"/>
  <c r="L971" i="3"/>
  <c r="M971" i="3"/>
  <c r="N971" i="3"/>
  <c r="O971" i="3"/>
  <c r="P971" i="3"/>
  <c r="Q971" i="3"/>
  <c r="R971" i="3"/>
  <c r="S971" i="3"/>
  <c r="T971" i="3"/>
  <c r="U971" i="3"/>
  <c r="V971" i="3"/>
  <c r="W971" i="3"/>
  <c r="X971" i="3"/>
  <c r="Y971" i="3"/>
  <c r="Z971" i="3"/>
  <c r="AA971" i="3"/>
  <c r="AB971" i="3"/>
  <c r="AC971" i="3"/>
  <c r="AD971" i="3"/>
  <c r="AE971" i="3"/>
  <c r="AF971" i="3"/>
  <c r="AG971" i="3"/>
  <c r="AH971" i="3"/>
  <c r="AI971" i="3"/>
  <c r="AJ971" i="3"/>
  <c r="AK971" i="3"/>
  <c r="AL971" i="3"/>
  <c r="AM971" i="3"/>
  <c r="AN971" i="3"/>
  <c r="A972" i="3"/>
  <c r="B972" i="3"/>
  <c r="C972" i="3"/>
  <c r="D972" i="3"/>
  <c r="E972" i="3"/>
  <c r="F972" i="3"/>
  <c r="G972" i="3"/>
  <c r="H972" i="3"/>
  <c r="I972" i="3"/>
  <c r="J972" i="3"/>
  <c r="K972" i="3"/>
  <c r="L972" i="3"/>
  <c r="M972" i="3"/>
  <c r="N972" i="3"/>
  <c r="O972" i="3"/>
  <c r="P972" i="3"/>
  <c r="Q972" i="3"/>
  <c r="R972" i="3"/>
  <c r="S972" i="3"/>
  <c r="T972" i="3"/>
  <c r="U972" i="3"/>
  <c r="V972" i="3"/>
  <c r="W972" i="3"/>
  <c r="X972" i="3"/>
  <c r="Y972" i="3"/>
  <c r="Z972" i="3"/>
  <c r="AA972" i="3"/>
  <c r="AB972" i="3"/>
  <c r="AC972" i="3"/>
  <c r="AD972" i="3"/>
  <c r="AE972" i="3"/>
  <c r="AF972" i="3"/>
  <c r="AG972" i="3"/>
  <c r="AH972" i="3"/>
  <c r="AI972" i="3"/>
  <c r="AJ972" i="3"/>
  <c r="AK972" i="3"/>
  <c r="AL972" i="3"/>
  <c r="AM972" i="3"/>
  <c r="AN972" i="3"/>
  <c r="A973" i="3"/>
  <c r="B973" i="3"/>
  <c r="C973" i="3"/>
  <c r="D973" i="3"/>
  <c r="E973" i="3"/>
  <c r="F973" i="3"/>
  <c r="G973" i="3"/>
  <c r="H973" i="3"/>
  <c r="I973" i="3"/>
  <c r="J973" i="3"/>
  <c r="K973" i="3"/>
  <c r="L973" i="3"/>
  <c r="M973" i="3"/>
  <c r="N973" i="3"/>
  <c r="O973" i="3"/>
  <c r="P973" i="3"/>
  <c r="Q973" i="3"/>
  <c r="R973" i="3"/>
  <c r="S973" i="3"/>
  <c r="T973" i="3"/>
  <c r="U973" i="3"/>
  <c r="V973" i="3"/>
  <c r="W973" i="3"/>
  <c r="X973" i="3"/>
  <c r="Y973" i="3"/>
  <c r="Z973" i="3"/>
  <c r="AA973" i="3"/>
  <c r="AB973" i="3"/>
  <c r="AC973" i="3"/>
  <c r="AD973" i="3"/>
  <c r="AE973" i="3"/>
  <c r="AF973" i="3"/>
  <c r="AG973" i="3"/>
  <c r="AH973" i="3"/>
  <c r="AI973" i="3"/>
  <c r="AJ973" i="3"/>
  <c r="AK973" i="3"/>
  <c r="AL973" i="3"/>
  <c r="AM973" i="3"/>
  <c r="AN973" i="3"/>
  <c r="A974" i="3"/>
  <c r="B974" i="3"/>
  <c r="C974" i="3"/>
  <c r="D974" i="3"/>
  <c r="E974" i="3"/>
  <c r="F974" i="3"/>
  <c r="G974" i="3"/>
  <c r="H974" i="3"/>
  <c r="I974" i="3"/>
  <c r="J974" i="3"/>
  <c r="K974" i="3"/>
  <c r="L974" i="3"/>
  <c r="M974" i="3"/>
  <c r="N974" i="3"/>
  <c r="O974" i="3"/>
  <c r="P974" i="3"/>
  <c r="Q974" i="3"/>
  <c r="R974" i="3"/>
  <c r="S974" i="3"/>
  <c r="T974" i="3"/>
  <c r="U974" i="3"/>
  <c r="V974" i="3"/>
  <c r="W974" i="3"/>
  <c r="X974" i="3"/>
  <c r="Y974" i="3"/>
  <c r="Z974" i="3"/>
  <c r="AA974" i="3"/>
  <c r="AB974" i="3"/>
  <c r="AC974" i="3"/>
  <c r="AD974" i="3"/>
  <c r="AE974" i="3"/>
  <c r="AF974" i="3"/>
  <c r="AG974" i="3"/>
  <c r="AH974" i="3"/>
  <c r="AI974" i="3"/>
  <c r="AJ974" i="3"/>
  <c r="AK974" i="3"/>
  <c r="AL974" i="3"/>
  <c r="AM974" i="3"/>
  <c r="AN974" i="3"/>
  <c r="A975" i="3"/>
  <c r="B975" i="3"/>
  <c r="C975" i="3"/>
  <c r="D975" i="3"/>
  <c r="E975" i="3"/>
  <c r="F975" i="3"/>
  <c r="G975" i="3"/>
  <c r="H975" i="3"/>
  <c r="I975" i="3"/>
  <c r="J975" i="3"/>
  <c r="K975" i="3"/>
  <c r="L975" i="3"/>
  <c r="M975" i="3"/>
  <c r="N975" i="3"/>
  <c r="O975" i="3"/>
  <c r="P975" i="3"/>
  <c r="Q975" i="3"/>
  <c r="R975" i="3"/>
  <c r="S975" i="3"/>
  <c r="T975" i="3"/>
  <c r="U975" i="3"/>
  <c r="V975" i="3"/>
  <c r="W975" i="3"/>
  <c r="X975" i="3"/>
  <c r="Y975" i="3"/>
  <c r="Z975" i="3"/>
  <c r="AA975" i="3"/>
  <c r="AB975" i="3"/>
  <c r="AC975" i="3"/>
  <c r="AD975" i="3"/>
  <c r="AE975" i="3"/>
  <c r="AF975" i="3"/>
  <c r="AG975" i="3"/>
  <c r="AH975" i="3"/>
  <c r="AI975" i="3"/>
  <c r="AJ975" i="3"/>
  <c r="AK975" i="3"/>
  <c r="AL975" i="3"/>
  <c r="AM975" i="3"/>
  <c r="AN975" i="3"/>
  <c r="A976" i="3"/>
  <c r="B976" i="3"/>
  <c r="C976" i="3"/>
  <c r="D976" i="3"/>
  <c r="E976" i="3"/>
  <c r="F976" i="3"/>
  <c r="G976" i="3"/>
  <c r="H976" i="3"/>
  <c r="I976" i="3"/>
  <c r="J976" i="3"/>
  <c r="K976" i="3"/>
  <c r="L976" i="3"/>
  <c r="M976" i="3"/>
  <c r="N976" i="3"/>
  <c r="O976" i="3"/>
  <c r="P976" i="3"/>
  <c r="Q976" i="3"/>
  <c r="R976" i="3"/>
  <c r="S976" i="3"/>
  <c r="T976" i="3"/>
  <c r="U976" i="3"/>
  <c r="V976" i="3"/>
  <c r="W976" i="3"/>
  <c r="X976" i="3"/>
  <c r="Y976" i="3"/>
  <c r="Z976" i="3"/>
  <c r="AA976" i="3"/>
  <c r="AB976" i="3"/>
  <c r="AC976" i="3"/>
  <c r="AD976" i="3"/>
  <c r="AE976" i="3"/>
  <c r="AF976" i="3"/>
  <c r="AG976" i="3"/>
  <c r="AH976" i="3"/>
  <c r="AI976" i="3"/>
  <c r="AJ976" i="3"/>
  <c r="AK976" i="3"/>
  <c r="AL976" i="3"/>
  <c r="AM976" i="3"/>
  <c r="AN976" i="3"/>
  <c r="A977" i="3"/>
  <c r="B977" i="3"/>
  <c r="C977" i="3"/>
  <c r="D977" i="3"/>
  <c r="E977" i="3"/>
  <c r="F977" i="3"/>
  <c r="G977" i="3"/>
  <c r="H977" i="3"/>
  <c r="I977" i="3"/>
  <c r="J977" i="3"/>
  <c r="K977" i="3"/>
  <c r="L977" i="3"/>
  <c r="M977" i="3"/>
  <c r="N977" i="3"/>
  <c r="O977" i="3"/>
  <c r="P977" i="3"/>
  <c r="Q977" i="3"/>
  <c r="R977" i="3"/>
  <c r="S977" i="3"/>
  <c r="T977" i="3"/>
  <c r="U977" i="3"/>
  <c r="V977" i="3"/>
  <c r="W977" i="3"/>
  <c r="X977" i="3"/>
  <c r="Y977" i="3"/>
  <c r="Z977" i="3"/>
  <c r="AA977" i="3"/>
  <c r="AB977" i="3"/>
  <c r="AC977" i="3"/>
  <c r="AD977" i="3"/>
  <c r="AE977" i="3"/>
  <c r="AF977" i="3"/>
  <c r="AG977" i="3"/>
  <c r="AH977" i="3"/>
  <c r="AI977" i="3"/>
  <c r="AJ977" i="3"/>
  <c r="AK977" i="3"/>
  <c r="AL977" i="3"/>
  <c r="AM977" i="3"/>
  <c r="AN977" i="3"/>
  <c r="A978" i="3"/>
  <c r="B978" i="3"/>
  <c r="C978" i="3"/>
  <c r="D978" i="3"/>
  <c r="E978" i="3"/>
  <c r="F978" i="3"/>
  <c r="G978" i="3"/>
  <c r="H978" i="3"/>
  <c r="I978" i="3"/>
  <c r="J978" i="3"/>
  <c r="K978" i="3"/>
  <c r="L978" i="3"/>
  <c r="M978" i="3"/>
  <c r="N978" i="3"/>
  <c r="O978" i="3"/>
  <c r="P978" i="3"/>
  <c r="Q978" i="3"/>
  <c r="R978" i="3"/>
  <c r="S978" i="3"/>
  <c r="T978" i="3"/>
  <c r="U978" i="3"/>
  <c r="V978" i="3"/>
  <c r="W978" i="3"/>
  <c r="X978" i="3"/>
  <c r="Y978" i="3"/>
  <c r="Z978" i="3"/>
  <c r="AA978" i="3"/>
  <c r="AB978" i="3"/>
  <c r="AC978" i="3"/>
  <c r="AD978" i="3"/>
  <c r="AE978" i="3"/>
  <c r="AF978" i="3"/>
  <c r="AG978" i="3"/>
  <c r="AH978" i="3"/>
  <c r="AI978" i="3"/>
  <c r="AJ978" i="3"/>
  <c r="AK978" i="3"/>
  <c r="AL978" i="3"/>
  <c r="AM978" i="3"/>
  <c r="AN978" i="3"/>
  <c r="A979" i="3"/>
  <c r="B979" i="3"/>
  <c r="C979" i="3"/>
  <c r="D979" i="3"/>
  <c r="E979" i="3"/>
  <c r="F979" i="3"/>
  <c r="G979" i="3"/>
  <c r="H979" i="3"/>
  <c r="I979" i="3"/>
  <c r="J979" i="3"/>
  <c r="K979" i="3"/>
  <c r="L979" i="3"/>
  <c r="M979" i="3"/>
  <c r="N979" i="3"/>
  <c r="O979" i="3"/>
  <c r="P979" i="3"/>
  <c r="Q979" i="3"/>
  <c r="R979" i="3"/>
  <c r="S979" i="3"/>
  <c r="T979" i="3"/>
  <c r="U979" i="3"/>
  <c r="V979" i="3"/>
  <c r="W979" i="3"/>
  <c r="X979" i="3"/>
  <c r="Y979" i="3"/>
  <c r="Z979" i="3"/>
  <c r="AA979" i="3"/>
  <c r="AB979" i="3"/>
  <c r="AC979" i="3"/>
  <c r="AD979" i="3"/>
  <c r="AE979" i="3"/>
  <c r="AF979" i="3"/>
  <c r="AG979" i="3"/>
  <c r="AH979" i="3"/>
  <c r="AI979" i="3"/>
  <c r="AJ979" i="3"/>
  <c r="AK979" i="3"/>
  <c r="AL979" i="3"/>
  <c r="AM979" i="3"/>
  <c r="AN979" i="3"/>
  <c r="A980" i="3"/>
  <c r="B980" i="3"/>
  <c r="C980" i="3"/>
  <c r="D980" i="3"/>
  <c r="E980" i="3"/>
  <c r="F980" i="3"/>
  <c r="G980" i="3"/>
  <c r="H980" i="3"/>
  <c r="I980" i="3"/>
  <c r="J980" i="3"/>
  <c r="K980" i="3"/>
  <c r="L980" i="3"/>
  <c r="M980" i="3"/>
  <c r="N980" i="3"/>
  <c r="O980" i="3"/>
  <c r="P980" i="3"/>
  <c r="Q980" i="3"/>
  <c r="R980" i="3"/>
  <c r="S980" i="3"/>
  <c r="T980" i="3"/>
  <c r="U980" i="3"/>
  <c r="V980" i="3"/>
  <c r="W980" i="3"/>
  <c r="X980" i="3"/>
  <c r="Y980" i="3"/>
  <c r="Z980" i="3"/>
  <c r="AA980" i="3"/>
  <c r="AB980" i="3"/>
  <c r="AC980" i="3"/>
  <c r="AD980" i="3"/>
  <c r="AE980" i="3"/>
  <c r="AF980" i="3"/>
  <c r="AG980" i="3"/>
  <c r="AH980" i="3"/>
  <c r="AI980" i="3"/>
  <c r="AJ980" i="3"/>
  <c r="AK980" i="3"/>
  <c r="AL980" i="3"/>
  <c r="AM980" i="3"/>
  <c r="AN980" i="3"/>
  <c r="A981" i="3"/>
  <c r="B981" i="3"/>
  <c r="C981" i="3"/>
  <c r="D981" i="3"/>
  <c r="E981" i="3"/>
  <c r="F981" i="3"/>
  <c r="G981" i="3"/>
  <c r="H981" i="3"/>
  <c r="I981" i="3"/>
  <c r="J981" i="3"/>
  <c r="K981" i="3"/>
  <c r="L981" i="3"/>
  <c r="M981" i="3"/>
  <c r="N981" i="3"/>
  <c r="O981" i="3"/>
  <c r="P981" i="3"/>
  <c r="Q981" i="3"/>
  <c r="R981" i="3"/>
  <c r="S981" i="3"/>
  <c r="T981" i="3"/>
  <c r="U981" i="3"/>
  <c r="V981" i="3"/>
  <c r="W981" i="3"/>
  <c r="X981" i="3"/>
  <c r="Y981" i="3"/>
  <c r="Z981" i="3"/>
  <c r="AA981" i="3"/>
  <c r="AB981" i="3"/>
  <c r="AC981" i="3"/>
  <c r="AD981" i="3"/>
  <c r="AE981" i="3"/>
  <c r="AF981" i="3"/>
  <c r="AG981" i="3"/>
  <c r="AH981" i="3"/>
  <c r="AI981" i="3"/>
  <c r="AJ981" i="3"/>
  <c r="AK981" i="3"/>
  <c r="AL981" i="3"/>
  <c r="AM981" i="3"/>
  <c r="AN981" i="3"/>
  <c r="A982" i="3"/>
  <c r="B982" i="3"/>
  <c r="C982" i="3"/>
  <c r="D982" i="3"/>
  <c r="E982" i="3"/>
  <c r="F982" i="3"/>
  <c r="G982" i="3"/>
  <c r="H982" i="3"/>
  <c r="I982" i="3"/>
  <c r="J982" i="3"/>
  <c r="K982" i="3"/>
  <c r="L982" i="3"/>
  <c r="M982" i="3"/>
  <c r="N982" i="3"/>
  <c r="O982" i="3"/>
  <c r="P982" i="3"/>
  <c r="Q982" i="3"/>
  <c r="R982" i="3"/>
  <c r="S982" i="3"/>
  <c r="T982" i="3"/>
  <c r="U982" i="3"/>
  <c r="V982" i="3"/>
  <c r="W982" i="3"/>
  <c r="X982" i="3"/>
  <c r="Y982" i="3"/>
  <c r="Z982" i="3"/>
  <c r="AA982" i="3"/>
  <c r="AB982" i="3"/>
  <c r="AC982" i="3"/>
  <c r="AD982" i="3"/>
  <c r="AE982" i="3"/>
  <c r="AF982" i="3"/>
  <c r="AG982" i="3"/>
  <c r="AH982" i="3"/>
  <c r="AI982" i="3"/>
  <c r="AJ982" i="3"/>
  <c r="AK982" i="3"/>
  <c r="AL982" i="3"/>
  <c r="AM982" i="3"/>
  <c r="AN982" i="3"/>
  <c r="A983" i="3"/>
  <c r="B983" i="3"/>
  <c r="C983" i="3"/>
  <c r="D983" i="3"/>
  <c r="E983" i="3"/>
  <c r="F983" i="3"/>
  <c r="G983" i="3"/>
  <c r="H983" i="3"/>
  <c r="I983" i="3"/>
  <c r="J983" i="3"/>
  <c r="K983" i="3"/>
  <c r="L983" i="3"/>
  <c r="M983" i="3"/>
  <c r="N983" i="3"/>
  <c r="O983" i="3"/>
  <c r="P983" i="3"/>
  <c r="Q983" i="3"/>
  <c r="R983" i="3"/>
  <c r="S983" i="3"/>
  <c r="T983" i="3"/>
  <c r="U983" i="3"/>
  <c r="V983" i="3"/>
  <c r="W983" i="3"/>
  <c r="X983" i="3"/>
  <c r="Y983" i="3"/>
  <c r="Z983" i="3"/>
  <c r="AA983" i="3"/>
  <c r="AB983" i="3"/>
  <c r="AC983" i="3"/>
  <c r="AD983" i="3"/>
  <c r="AE983" i="3"/>
  <c r="AF983" i="3"/>
  <c r="AG983" i="3"/>
  <c r="AH983" i="3"/>
  <c r="AI983" i="3"/>
  <c r="AJ983" i="3"/>
  <c r="AK983" i="3"/>
  <c r="AL983" i="3"/>
  <c r="AM983" i="3"/>
  <c r="AN983" i="3"/>
  <c r="A984" i="3"/>
  <c r="B984" i="3"/>
  <c r="C984" i="3"/>
  <c r="D984" i="3"/>
  <c r="E984" i="3"/>
  <c r="F984" i="3"/>
  <c r="G984" i="3"/>
  <c r="H984" i="3"/>
  <c r="I984" i="3"/>
  <c r="J984" i="3"/>
  <c r="K984" i="3"/>
  <c r="L984" i="3"/>
  <c r="M984" i="3"/>
  <c r="N984" i="3"/>
  <c r="O984" i="3"/>
  <c r="P984" i="3"/>
  <c r="Q984" i="3"/>
  <c r="R984" i="3"/>
  <c r="S984" i="3"/>
  <c r="T984" i="3"/>
  <c r="U984" i="3"/>
  <c r="V984" i="3"/>
  <c r="W984" i="3"/>
  <c r="X984" i="3"/>
  <c r="Y984" i="3"/>
  <c r="Z984" i="3"/>
  <c r="AA984" i="3"/>
  <c r="AB984" i="3"/>
  <c r="AC984" i="3"/>
  <c r="AD984" i="3"/>
  <c r="AE984" i="3"/>
  <c r="AF984" i="3"/>
  <c r="AG984" i="3"/>
  <c r="AH984" i="3"/>
  <c r="AI984" i="3"/>
  <c r="AJ984" i="3"/>
  <c r="AK984" i="3"/>
  <c r="AL984" i="3"/>
  <c r="AM984" i="3"/>
  <c r="AN984" i="3"/>
  <c r="A985" i="3"/>
  <c r="B985" i="3"/>
  <c r="C985" i="3"/>
  <c r="D985" i="3"/>
  <c r="E985" i="3"/>
  <c r="F985" i="3"/>
  <c r="G985" i="3"/>
  <c r="H985" i="3"/>
  <c r="I985" i="3"/>
  <c r="J985" i="3"/>
  <c r="K985" i="3"/>
  <c r="L985" i="3"/>
  <c r="M985" i="3"/>
  <c r="N985" i="3"/>
  <c r="O985" i="3"/>
  <c r="P985" i="3"/>
  <c r="Q985" i="3"/>
  <c r="R985" i="3"/>
  <c r="S985" i="3"/>
  <c r="T985" i="3"/>
  <c r="U985" i="3"/>
  <c r="V985" i="3"/>
  <c r="W985" i="3"/>
  <c r="X985" i="3"/>
  <c r="Y985" i="3"/>
  <c r="Z985" i="3"/>
  <c r="AA985" i="3"/>
  <c r="AB985" i="3"/>
  <c r="AC985" i="3"/>
  <c r="AD985" i="3"/>
  <c r="AE985" i="3"/>
  <c r="AF985" i="3"/>
  <c r="AG985" i="3"/>
  <c r="AH985" i="3"/>
  <c r="AI985" i="3"/>
  <c r="AJ985" i="3"/>
  <c r="AK985" i="3"/>
  <c r="AL985" i="3"/>
  <c r="AM985" i="3"/>
  <c r="AN985" i="3"/>
  <c r="A986" i="3"/>
  <c r="B986" i="3"/>
  <c r="C986" i="3"/>
  <c r="D986" i="3"/>
  <c r="E986" i="3"/>
  <c r="F986" i="3"/>
  <c r="G986" i="3"/>
  <c r="H986" i="3"/>
  <c r="I986" i="3"/>
  <c r="J986" i="3"/>
  <c r="K986" i="3"/>
  <c r="L986" i="3"/>
  <c r="M986" i="3"/>
  <c r="N986" i="3"/>
  <c r="O986" i="3"/>
  <c r="P986" i="3"/>
  <c r="Q986" i="3"/>
  <c r="R986" i="3"/>
  <c r="S986" i="3"/>
  <c r="T986" i="3"/>
  <c r="U986" i="3"/>
  <c r="V986" i="3"/>
  <c r="W986" i="3"/>
  <c r="X986" i="3"/>
  <c r="Y986" i="3"/>
  <c r="Z986" i="3"/>
  <c r="AA986" i="3"/>
  <c r="AB986" i="3"/>
  <c r="AC986" i="3"/>
  <c r="AD986" i="3"/>
  <c r="AE986" i="3"/>
  <c r="AF986" i="3"/>
  <c r="AG986" i="3"/>
  <c r="AH986" i="3"/>
  <c r="AI986" i="3"/>
  <c r="AJ986" i="3"/>
  <c r="AK986" i="3"/>
  <c r="AL986" i="3"/>
  <c r="AM986" i="3"/>
  <c r="AN986" i="3"/>
  <c r="A987" i="3"/>
  <c r="B987" i="3"/>
  <c r="C987" i="3"/>
  <c r="D987" i="3"/>
  <c r="E987" i="3"/>
  <c r="F987" i="3"/>
  <c r="G987" i="3"/>
  <c r="H987" i="3"/>
  <c r="I987" i="3"/>
  <c r="J987" i="3"/>
  <c r="K987" i="3"/>
  <c r="L987" i="3"/>
  <c r="M987" i="3"/>
  <c r="N987" i="3"/>
  <c r="O987" i="3"/>
  <c r="P987" i="3"/>
  <c r="Q987" i="3"/>
  <c r="R987" i="3"/>
  <c r="S987" i="3"/>
  <c r="T987" i="3"/>
  <c r="U987" i="3"/>
  <c r="V987" i="3"/>
  <c r="W987" i="3"/>
  <c r="X987" i="3"/>
  <c r="Y987" i="3"/>
  <c r="Z987" i="3"/>
  <c r="AA987" i="3"/>
  <c r="AB987" i="3"/>
  <c r="AC987" i="3"/>
  <c r="AD987" i="3"/>
  <c r="AE987" i="3"/>
  <c r="AF987" i="3"/>
  <c r="AG987" i="3"/>
  <c r="AH987" i="3"/>
  <c r="AI987" i="3"/>
  <c r="AJ987" i="3"/>
  <c r="AK987" i="3"/>
  <c r="AL987" i="3"/>
  <c r="AM987" i="3"/>
  <c r="AN987" i="3"/>
  <c r="A988" i="3"/>
  <c r="B988" i="3"/>
  <c r="C988" i="3"/>
  <c r="D988" i="3"/>
  <c r="E988" i="3"/>
  <c r="F988" i="3"/>
  <c r="G988" i="3"/>
  <c r="H988" i="3"/>
  <c r="I988" i="3"/>
  <c r="J988" i="3"/>
  <c r="K988" i="3"/>
  <c r="L988" i="3"/>
  <c r="M988" i="3"/>
  <c r="N988" i="3"/>
  <c r="O988" i="3"/>
  <c r="P988" i="3"/>
  <c r="Q988" i="3"/>
  <c r="R988" i="3"/>
  <c r="S988" i="3"/>
  <c r="T988" i="3"/>
  <c r="U988" i="3"/>
  <c r="V988" i="3"/>
  <c r="W988" i="3"/>
  <c r="X988" i="3"/>
  <c r="Y988" i="3"/>
  <c r="Z988" i="3"/>
  <c r="AA988" i="3"/>
  <c r="AB988" i="3"/>
  <c r="AC988" i="3"/>
  <c r="AD988" i="3"/>
  <c r="AE988" i="3"/>
  <c r="AF988" i="3"/>
  <c r="AG988" i="3"/>
  <c r="AH988" i="3"/>
  <c r="AI988" i="3"/>
  <c r="AJ988" i="3"/>
  <c r="AK988" i="3"/>
  <c r="AL988" i="3"/>
  <c r="AM988" i="3"/>
  <c r="AN988" i="3"/>
  <c r="A989" i="3"/>
  <c r="B989" i="3"/>
  <c r="C989" i="3"/>
  <c r="D989" i="3"/>
  <c r="E989" i="3"/>
  <c r="F989" i="3"/>
  <c r="G989" i="3"/>
  <c r="H989" i="3"/>
  <c r="I989" i="3"/>
  <c r="J989" i="3"/>
  <c r="K989" i="3"/>
  <c r="L989" i="3"/>
  <c r="M989" i="3"/>
  <c r="N989" i="3"/>
  <c r="O989" i="3"/>
  <c r="P989" i="3"/>
  <c r="Q989" i="3"/>
  <c r="R989" i="3"/>
  <c r="S989" i="3"/>
  <c r="T989" i="3"/>
  <c r="U989" i="3"/>
  <c r="V989" i="3"/>
  <c r="W989" i="3"/>
  <c r="X989" i="3"/>
  <c r="Y989" i="3"/>
  <c r="Z989" i="3"/>
  <c r="AA989" i="3"/>
  <c r="AB989" i="3"/>
  <c r="AC989" i="3"/>
  <c r="AD989" i="3"/>
  <c r="AE989" i="3"/>
  <c r="AF989" i="3"/>
  <c r="AG989" i="3"/>
  <c r="AH989" i="3"/>
  <c r="AI989" i="3"/>
  <c r="AJ989" i="3"/>
  <c r="AK989" i="3"/>
  <c r="AL989" i="3"/>
  <c r="AM989" i="3"/>
  <c r="AN989" i="3"/>
  <c r="A990" i="3"/>
  <c r="B990" i="3"/>
  <c r="C990" i="3"/>
  <c r="D990" i="3"/>
  <c r="E990" i="3"/>
  <c r="F990" i="3"/>
  <c r="G990" i="3"/>
  <c r="H990" i="3"/>
  <c r="I990" i="3"/>
  <c r="J990" i="3"/>
  <c r="K990" i="3"/>
  <c r="L990" i="3"/>
  <c r="M990" i="3"/>
  <c r="N990" i="3"/>
  <c r="O990" i="3"/>
  <c r="P990" i="3"/>
  <c r="Q990" i="3"/>
  <c r="R990" i="3"/>
  <c r="S990" i="3"/>
  <c r="T990" i="3"/>
  <c r="U990" i="3"/>
  <c r="V990" i="3"/>
  <c r="W990" i="3"/>
  <c r="X990" i="3"/>
  <c r="Y990" i="3"/>
  <c r="Z990" i="3"/>
  <c r="AA990" i="3"/>
  <c r="AB990" i="3"/>
  <c r="AC990" i="3"/>
  <c r="AD990" i="3"/>
  <c r="AE990" i="3"/>
  <c r="AF990" i="3"/>
  <c r="AG990" i="3"/>
  <c r="AH990" i="3"/>
  <c r="AI990" i="3"/>
  <c r="AJ990" i="3"/>
  <c r="AK990" i="3"/>
  <c r="AL990" i="3"/>
  <c r="AM990" i="3"/>
  <c r="AN990" i="3"/>
  <c r="A991" i="3"/>
  <c r="B991" i="3"/>
  <c r="C991" i="3"/>
  <c r="D991" i="3"/>
  <c r="E991" i="3"/>
  <c r="F991" i="3"/>
  <c r="G991" i="3"/>
  <c r="H991" i="3"/>
  <c r="I991" i="3"/>
  <c r="J991" i="3"/>
  <c r="K991" i="3"/>
  <c r="L991" i="3"/>
  <c r="M991" i="3"/>
  <c r="N991" i="3"/>
  <c r="O991" i="3"/>
  <c r="P991" i="3"/>
  <c r="Q991" i="3"/>
  <c r="R991" i="3"/>
  <c r="S991" i="3"/>
  <c r="T991" i="3"/>
  <c r="U991" i="3"/>
  <c r="V991" i="3"/>
  <c r="W991" i="3"/>
  <c r="X991" i="3"/>
  <c r="Y991" i="3"/>
  <c r="Z991" i="3"/>
  <c r="AA991" i="3"/>
  <c r="AB991" i="3"/>
  <c r="AC991" i="3"/>
  <c r="AD991" i="3"/>
  <c r="AE991" i="3"/>
  <c r="AF991" i="3"/>
  <c r="AG991" i="3"/>
  <c r="AH991" i="3"/>
  <c r="AI991" i="3"/>
  <c r="AJ991" i="3"/>
  <c r="AK991" i="3"/>
  <c r="AL991" i="3"/>
  <c r="AM991" i="3"/>
  <c r="AN991" i="3"/>
  <c r="A992" i="3"/>
  <c r="B992" i="3"/>
  <c r="C992" i="3"/>
  <c r="D992" i="3"/>
  <c r="E992" i="3"/>
  <c r="F992" i="3"/>
  <c r="G992" i="3"/>
  <c r="H992" i="3"/>
  <c r="I992" i="3"/>
  <c r="J992" i="3"/>
  <c r="K992" i="3"/>
  <c r="L992" i="3"/>
  <c r="M992" i="3"/>
  <c r="N992" i="3"/>
  <c r="O992" i="3"/>
  <c r="P992" i="3"/>
  <c r="Q992" i="3"/>
  <c r="R992" i="3"/>
  <c r="S992" i="3"/>
  <c r="T992" i="3"/>
  <c r="U992" i="3"/>
  <c r="V992" i="3"/>
  <c r="W992" i="3"/>
  <c r="X992" i="3"/>
  <c r="Y992" i="3"/>
  <c r="Z992" i="3"/>
  <c r="AA992" i="3"/>
  <c r="AB992" i="3"/>
  <c r="AC992" i="3"/>
  <c r="AD992" i="3"/>
  <c r="AE992" i="3"/>
  <c r="AF992" i="3"/>
  <c r="AG992" i="3"/>
  <c r="AH992" i="3"/>
  <c r="AI992" i="3"/>
  <c r="AJ992" i="3"/>
  <c r="AK992" i="3"/>
  <c r="AL992" i="3"/>
  <c r="AM992" i="3"/>
  <c r="AN992" i="3"/>
  <c r="A993" i="3"/>
  <c r="B993" i="3"/>
  <c r="C993" i="3"/>
  <c r="D993" i="3"/>
  <c r="E993" i="3"/>
  <c r="F993" i="3"/>
  <c r="G993" i="3"/>
  <c r="H993" i="3"/>
  <c r="I993" i="3"/>
  <c r="J993" i="3"/>
  <c r="K993" i="3"/>
  <c r="L993" i="3"/>
  <c r="M993" i="3"/>
  <c r="N993" i="3"/>
  <c r="O993" i="3"/>
  <c r="P993" i="3"/>
  <c r="Q993" i="3"/>
  <c r="R993" i="3"/>
  <c r="S993" i="3"/>
  <c r="T993" i="3"/>
  <c r="U993" i="3"/>
  <c r="V993" i="3"/>
  <c r="W993" i="3"/>
  <c r="X993" i="3"/>
  <c r="Y993" i="3"/>
  <c r="Z993" i="3"/>
  <c r="AA993" i="3"/>
  <c r="AB993" i="3"/>
  <c r="AC993" i="3"/>
  <c r="AD993" i="3"/>
  <c r="AE993" i="3"/>
  <c r="AF993" i="3"/>
  <c r="AG993" i="3"/>
  <c r="AH993" i="3"/>
  <c r="AI993" i="3"/>
  <c r="AJ993" i="3"/>
  <c r="AK993" i="3"/>
  <c r="AL993" i="3"/>
  <c r="AM993" i="3"/>
  <c r="AN993" i="3"/>
  <c r="A994" i="3"/>
  <c r="B994" i="3"/>
  <c r="C994" i="3"/>
  <c r="D994" i="3"/>
  <c r="E994" i="3"/>
  <c r="F994" i="3"/>
  <c r="G994" i="3"/>
  <c r="H994" i="3"/>
  <c r="I994" i="3"/>
  <c r="J994" i="3"/>
  <c r="K994" i="3"/>
  <c r="L994" i="3"/>
  <c r="M994" i="3"/>
  <c r="N994" i="3"/>
  <c r="O994" i="3"/>
  <c r="P994" i="3"/>
  <c r="Q994" i="3"/>
  <c r="R994" i="3"/>
  <c r="S994" i="3"/>
  <c r="T994" i="3"/>
  <c r="U994" i="3"/>
  <c r="V994" i="3"/>
  <c r="W994" i="3"/>
  <c r="X994" i="3"/>
  <c r="Y994" i="3"/>
  <c r="Z994" i="3"/>
  <c r="AA994" i="3"/>
  <c r="AB994" i="3"/>
  <c r="AC994" i="3"/>
  <c r="AD994" i="3"/>
  <c r="AE994" i="3"/>
  <c r="AF994" i="3"/>
  <c r="AG994" i="3"/>
  <c r="AH994" i="3"/>
  <c r="AI994" i="3"/>
  <c r="AJ994" i="3"/>
  <c r="AK994" i="3"/>
  <c r="AL994" i="3"/>
  <c r="AM994" i="3"/>
  <c r="AN994" i="3"/>
  <c r="A995" i="3"/>
  <c r="B995" i="3"/>
  <c r="C995" i="3"/>
  <c r="D995" i="3"/>
  <c r="E995" i="3"/>
  <c r="F995" i="3"/>
  <c r="G995" i="3"/>
  <c r="H995" i="3"/>
  <c r="I995" i="3"/>
  <c r="J995" i="3"/>
  <c r="K995" i="3"/>
  <c r="L995" i="3"/>
  <c r="M995" i="3"/>
  <c r="N995" i="3"/>
  <c r="O995" i="3"/>
  <c r="P995" i="3"/>
  <c r="Q995" i="3"/>
  <c r="R995" i="3"/>
  <c r="S995" i="3"/>
  <c r="T995" i="3"/>
  <c r="U995" i="3"/>
  <c r="V995" i="3"/>
  <c r="W995" i="3"/>
  <c r="X995" i="3"/>
  <c r="Y995" i="3"/>
  <c r="Z995" i="3"/>
  <c r="AA995" i="3"/>
  <c r="AB995" i="3"/>
  <c r="AC995" i="3"/>
  <c r="AD995" i="3"/>
  <c r="AE995" i="3"/>
  <c r="AF995" i="3"/>
  <c r="AG995" i="3"/>
  <c r="AH995" i="3"/>
  <c r="AI995" i="3"/>
  <c r="AJ995" i="3"/>
  <c r="AK995" i="3"/>
  <c r="AL995" i="3"/>
  <c r="AM995" i="3"/>
  <c r="AN995" i="3"/>
  <c r="A996" i="3"/>
  <c r="B996" i="3"/>
  <c r="C996" i="3"/>
  <c r="D996" i="3"/>
  <c r="E996" i="3"/>
  <c r="F996" i="3"/>
  <c r="G996" i="3"/>
  <c r="H996" i="3"/>
  <c r="I996" i="3"/>
  <c r="J996" i="3"/>
  <c r="K996" i="3"/>
  <c r="L996" i="3"/>
  <c r="M996" i="3"/>
  <c r="N996" i="3"/>
  <c r="O996" i="3"/>
  <c r="P996" i="3"/>
  <c r="Q996" i="3"/>
  <c r="R996" i="3"/>
  <c r="S996" i="3"/>
  <c r="T996" i="3"/>
  <c r="U996" i="3"/>
  <c r="V996" i="3"/>
  <c r="W996" i="3"/>
  <c r="X996" i="3"/>
  <c r="Y996" i="3"/>
  <c r="Z996" i="3"/>
  <c r="AA996" i="3"/>
  <c r="AB996" i="3"/>
  <c r="AC996" i="3"/>
  <c r="AD996" i="3"/>
  <c r="AE996" i="3"/>
  <c r="AF996" i="3"/>
  <c r="AG996" i="3"/>
  <c r="AH996" i="3"/>
  <c r="AI996" i="3"/>
  <c r="AJ996" i="3"/>
  <c r="AK996" i="3"/>
  <c r="AL996" i="3"/>
  <c r="AM996" i="3"/>
  <c r="AN996" i="3"/>
  <c r="A997" i="3"/>
  <c r="B997" i="3"/>
  <c r="C997" i="3"/>
  <c r="D997" i="3"/>
  <c r="E997" i="3"/>
  <c r="F997" i="3"/>
  <c r="G997" i="3"/>
  <c r="H997" i="3"/>
  <c r="I997" i="3"/>
  <c r="J997" i="3"/>
  <c r="K997" i="3"/>
  <c r="L997" i="3"/>
  <c r="M997" i="3"/>
  <c r="N997" i="3"/>
  <c r="O997" i="3"/>
  <c r="P997" i="3"/>
  <c r="Q997" i="3"/>
  <c r="R997" i="3"/>
  <c r="S997" i="3"/>
  <c r="T997" i="3"/>
  <c r="U997" i="3"/>
  <c r="V997" i="3"/>
  <c r="W997" i="3"/>
  <c r="X997" i="3"/>
  <c r="Y997" i="3"/>
  <c r="Z997" i="3"/>
  <c r="AA997" i="3"/>
  <c r="AB997" i="3"/>
  <c r="AC997" i="3"/>
  <c r="AD997" i="3"/>
  <c r="AE997" i="3"/>
  <c r="AF997" i="3"/>
  <c r="AG997" i="3"/>
  <c r="AH997" i="3"/>
  <c r="AI997" i="3"/>
  <c r="AJ997" i="3"/>
  <c r="AK997" i="3"/>
  <c r="AL997" i="3"/>
  <c r="AM997" i="3"/>
  <c r="AN997" i="3"/>
  <c r="A998" i="3"/>
  <c r="B998" i="3"/>
  <c r="C998" i="3"/>
  <c r="D998" i="3"/>
  <c r="E998" i="3"/>
  <c r="F998" i="3"/>
  <c r="G998" i="3"/>
  <c r="H998" i="3"/>
  <c r="I998" i="3"/>
  <c r="J998" i="3"/>
  <c r="K998" i="3"/>
  <c r="L998" i="3"/>
  <c r="M998" i="3"/>
  <c r="N998" i="3"/>
  <c r="O998" i="3"/>
  <c r="P998" i="3"/>
  <c r="Q998" i="3"/>
  <c r="R998" i="3"/>
  <c r="S998" i="3"/>
  <c r="T998" i="3"/>
  <c r="U998" i="3"/>
  <c r="V998" i="3"/>
  <c r="W998" i="3"/>
  <c r="X998" i="3"/>
  <c r="Y998" i="3"/>
  <c r="Z998" i="3"/>
  <c r="AA998" i="3"/>
  <c r="AB998" i="3"/>
  <c r="AC998" i="3"/>
  <c r="AD998" i="3"/>
  <c r="AE998" i="3"/>
  <c r="AF998" i="3"/>
  <c r="AG998" i="3"/>
  <c r="AH998" i="3"/>
  <c r="AI998" i="3"/>
  <c r="AJ998" i="3"/>
  <c r="AK998" i="3"/>
  <c r="AL998" i="3"/>
  <c r="AM998" i="3"/>
  <c r="AN998" i="3"/>
  <c r="A999" i="3"/>
  <c r="B999" i="3"/>
  <c r="C999" i="3"/>
  <c r="D999" i="3"/>
  <c r="E999" i="3"/>
  <c r="F999" i="3"/>
  <c r="G999" i="3"/>
  <c r="H999" i="3"/>
  <c r="I999" i="3"/>
  <c r="J999" i="3"/>
  <c r="K999" i="3"/>
  <c r="L999" i="3"/>
  <c r="M999" i="3"/>
  <c r="N999" i="3"/>
  <c r="O999" i="3"/>
  <c r="P999" i="3"/>
  <c r="Q999" i="3"/>
  <c r="R999" i="3"/>
  <c r="S999" i="3"/>
  <c r="T999" i="3"/>
  <c r="U999" i="3"/>
  <c r="V999" i="3"/>
  <c r="W999" i="3"/>
  <c r="X999" i="3"/>
  <c r="Y999" i="3"/>
  <c r="Z999" i="3"/>
  <c r="AA999" i="3"/>
  <c r="AB999" i="3"/>
  <c r="AC999" i="3"/>
  <c r="AD999" i="3"/>
  <c r="AE999" i="3"/>
  <c r="AF999" i="3"/>
  <c r="AG999" i="3"/>
  <c r="AH999" i="3"/>
  <c r="AI999" i="3"/>
  <c r="AJ999" i="3"/>
  <c r="AK999" i="3"/>
  <c r="AL999" i="3"/>
  <c r="AM999" i="3"/>
  <c r="AN999" i="3"/>
  <c r="A12" i="3"/>
  <c r="B12" i="3"/>
  <c r="C12" i="3"/>
  <c r="D12" i="3"/>
  <c r="E12" i="3"/>
  <c r="F12" i="3"/>
  <c r="G12" i="3"/>
  <c r="H12" i="3"/>
  <c r="I12" i="3"/>
  <c r="J12" i="3"/>
  <c r="K12" i="3"/>
  <c r="L12" i="3"/>
  <c r="M12" i="3"/>
  <c r="N12" i="3"/>
  <c r="O12" i="3"/>
  <c r="P12" i="3"/>
  <c r="Q12" i="3"/>
  <c r="R12" i="3"/>
  <c r="S12" i="3"/>
  <c r="T12" i="3"/>
  <c r="U12" i="3"/>
  <c r="V12" i="3"/>
  <c r="W12" i="3"/>
  <c r="X12" i="3"/>
  <c r="Y12" i="3"/>
  <c r="Z12" i="3"/>
  <c r="AA12" i="3"/>
  <c r="AB12" i="3"/>
  <c r="AC12" i="3"/>
  <c r="AD12" i="3"/>
  <c r="AE12" i="3"/>
  <c r="AF12" i="3"/>
  <c r="AG12" i="3"/>
  <c r="AH12" i="3"/>
  <c r="AI12" i="3"/>
  <c r="AJ12" i="3"/>
  <c r="AK12" i="3"/>
  <c r="AL12" i="3"/>
  <c r="AM12" i="3"/>
  <c r="AN12" i="3"/>
  <c r="A13" i="3"/>
  <c r="B13" i="3"/>
  <c r="C13" i="3"/>
  <c r="D13" i="3"/>
  <c r="E13"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AG13" i="3"/>
  <c r="AH13" i="3"/>
  <c r="AI13" i="3"/>
  <c r="AJ13" i="3"/>
  <c r="AK13" i="3"/>
  <c r="AL13" i="3"/>
  <c r="AM13" i="3"/>
  <c r="AN13" i="3"/>
  <c r="A14" i="3"/>
  <c r="B14" i="3"/>
  <c r="C14" i="3"/>
  <c r="D14" i="3"/>
  <c r="E14" i="3"/>
  <c r="F14" i="3"/>
  <c r="G14" i="3"/>
  <c r="H14" i="3"/>
  <c r="I14" i="3"/>
  <c r="J14" i="3"/>
  <c r="K14" i="3"/>
  <c r="L14" i="3"/>
  <c r="M14" i="3"/>
  <c r="N14" i="3"/>
  <c r="O14" i="3"/>
  <c r="P14" i="3"/>
  <c r="Q14" i="3"/>
  <c r="R14" i="3"/>
  <c r="S14" i="3"/>
  <c r="T14" i="3"/>
  <c r="U14" i="3"/>
  <c r="V14" i="3"/>
  <c r="W14" i="3"/>
  <c r="X14" i="3"/>
  <c r="Y14" i="3"/>
  <c r="Z14" i="3"/>
  <c r="AA14" i="3"/>
  <c r="AB14" i="3"/>
  <c r="AC14" i="3"/>
  <c r="AD14" i="3"/>
  <c r="AE14" i="3"/>
  <c r="AF14" i="3"/>
  <c r="AG14" i="3"/>
  <c r="AH14" i="3"/>
  <c r="AI14" i="3"/>
  <c r="AJ14" i="3"/>
  <c r="AK14" i="3"/>
  <c r="AL14" i="3"/>
  <c r="AM14" i="3"/>
  <c r="AN14" i="3"/>
  <c r="A15" i="3"/>
  <c r="B15" i="3"/>
  <c r="C15" i="3"/>
  <c r="D15" i="3"/>
  <c r="E15" i="3"/>
  <c r="F15" i="3"/>
  <c r="G15" i="3"/>
  <c r="H15" i="3"/>
  <c r="I15" i="3"/>
  <c r="J15" i="3"/>
  <c r="K15" i="3"/>
  <c r="L15" i="3"/>
  <c r="M15" i="3"/>
  <c r="N15" i="3"/>
  <c r="O15" i="3"/>
  <c r="P15" i="3"/>
  <c r="Q15" i="3"/>
  <c r="R15" i="3"/>
  <c r="S15" i="3"/>
  <c r="T15" i="3"/>
  <c r="U15" i="3"/>
  <c r="V15" i="3"/>
  <c r="W15" i="3"/>
  <c r="X15" i="3"/>
  <c r="Y15" i="3"/>
  <c r="Z15" i="3"/>
  <c r="AA15" i="3"/>
  <c r="AB15" i="3"/>
  <c r="AC15" i="3"/>
  <c r="AD15" i="3"/>
  <c r="AE15" i="3"/>
  <c r="AF15" i="3"/>
  <c r="AG15" i="3"/>
  <c r="AH15" i="3"/>
  <c r="AI15" i="3"/>
  <c r="AJ15" i="3"/>
  <c r="AK15" i="3"/>
  <c r="AL15" i="3"/>
  <c r="AM15" i="3"/>
  <c r="AN15" i="3"/>
  <c r="A16" i="3"/>
  <c r="B16" i="3"/>
  <c r="C16" i="3"/>
  <c r="D16" i="3"/>
  <c r="E16"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G16" i="3"/>
  <c r="AH16" i="3"/>
  <c r="AI16" i="3"/>
  <c r="AJ16" i="3"/>
  <c r="AK16" i="3"/>
  <c r="AL16" i="3"/>
  <c r="AM16" i="3"/>
  <c r="AN16" i="3"/>
  <c r="A17" i="3"/>
  <c r="B17" i="3"/>
  <c r="C17" i="3"/>
  <c r="D17" i="3"/>
  <c r="E17" i="3"/>
  <c r="F17" i="3"/>
  <c r="G17" i="3"/>
  <c r="H17" i="3"/>
  <c r="I17" i="3"/>
  <c r="J17" i="3"/>
  <c r="K17" i="3"/>
  <c r="L17" i="3"/>
  <c r="M17" i="3"/>
  <c r="N17" i="3"/>
  <c r="O17" i="3"/>
  <c r="P17" i="3"/>
  <c r="Q17" i="3"/>
  <c r="R17" i="3"/>
  <c r="S17" i="3"/>
  <c r="T17" i="3"/>
  <c r="U17" i="3"/>
  <c r="V17" i="3"/>
  <c r="W17" i="3"/>
  <c r="X17" i="3"/>
  <c r="Y17" i="3"/>
  <c r="Z17" i="3"/>
  <c r="AA17" i="3"/>
  <c r="AB17" i="3"/>
  <c r="AC17" i="3"/>
  <c r="AD17" i="3"/>
  <c r="AE17" i="3"/>
  <c r="AF17" i="3"/>
  <c r="AG17" i="3"/>
  <c r="AH17" i="3"/>
  <c r="AI17" i="3"/>
  <c r="AJ17" i="3"/>
  <c r="AK17" i="3"/>
  <c r="AL17" i="3"/>
  <c r="AM17" i="3"/>
  <c r="AN17" i="3"/>
  <c r="A7" i="3"/>
  <c r="B7" i="3"/>
  <c r="C7" i="3"/>
  <c r="D7" i="3"/>
  <c r="E7"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8" i="3"/>
  <c r="B8" i="3"/>
  <c r="C8" i="3"/>
  <c r="D8"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9" i="3"/>
  <c r="B9" i="3"/>
  <c r="C9" i="3"/>
  <c r="D9" i="3"/>
  <c r="E9" i="3"/>
  <c r="F9" i="3"/>
  <c r="G9" i="3"/>
  <c r="H9" i="3"/>
  <c r="I9" i="3"/>
  <c r="J9" i="3"/>
  <c r="K9" i="3"/>
  <c r="L9" i="3"/>
  <c r="M9" i="3"/>
  <c r="N9" i="3"/>
  <c r="O9" i="3"/>
  <c r="P9" i="3"/>
  <c r="Q9" i="3"/>
  <c r="R9" i="3"/>
  <c r="S9" i="3"/>
  <c r="T9" i="3"/>
  <c r="U9" i="3"/>
  <c r="V9" i="3"/>
  <c r="W9" i="3"/>
  <c r="X9" i="3"/>
  <c r="Y9" i="3"/>
  <c r="Z9" i="3"/>
  <c r="AA9" i="3"/>
  <c r="AB9" i="3"/>
  <c r="AC9" i="3"/>
  <c r="AD9" i="3"/>
  <c r="AE9" i="3"/>
  <c r="AF9" i="3"/>
  <c r="AG9" i="3"/>
  <c r="AH9" i="3"/>
  <c r="AI9" i="3"/>
  <c r="AJ9" i="3"/>
  <c r="AK9" i="3"/>
  <c r="AL9" i="3"/>
  <c r="AM9" i="3"/>
  <c r="AN9" i="3"/>
  <c r="A10" i="3"/>
  <c r="B10" i="3"/>
  <c r="C10" i="3"/>
  <c r="D10"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AG10" i="3"/>
  <c r="AH10" i="3"/>
  <c r="AI10" i="3"/>
  <c r="AJ10" i="3"/>
  <c r="AK10" i="3"/>
  <c r="AL10" i="3"/>
  <c r="AM10" i="3"/>
  <c r="AN10" i="3"/>
  <c r="A11" i="3"/>
  <c r="B11" i="3"/>
  <c r="C11" i="3"/>
  <c r="D11"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AG11" i="3"/>
  <c r="AH11" i="3"/>
  <c r="AI11" i="3"/>
  <c r="AJ11" i="3"/>
  <c r="AK11" i="3"/>
  <c r="AL11" i="3"/>
  <c r="AM11" i="3"/>
  <c r="AN11" i="3"/>
  <c r="A3" i="3"/>
  <c r="B3" i="3"/>
  <c r="C3" i="3"/>
  <c r="D3" i="3"/>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4" i="3"/>
  <c r="B4" i="3"/>
  <c r="C4" i="3"/>
  <c r="D4"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5" i="3"/>
  <c r="B5" i="3"/>
  <c r="C5" i="3"/>
  <c r="D5"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6" i="3"/>
  <c r="B6" i="3"/>
  <c r="C6" i="3"/>
  <c r="D6"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AK6" i="3"/>
  <c r="AL6" i="3"/>
  <c r="AM6" i="3"/>
  <c r="AN6" i="3"/>
  <c r="AF2" i="3"/>
  <c r="AG2" i="3"/>
  <c r="AH2" i="3"/>
  <c r="AI2" i="3"/>
  <c r="AJ2" i="3"/>
  <c r="AK2" i="3"/>
  <c r="AL2" i="3"/>
  <c r="AM2" i="3"/>
  <c r="AN2" i="3"/>
  <c r="M2" i="3"/>
  <c r="K2" i="1"/>
  <c r="K4" i="1"/>
  <c r="I2" i="1"/>
  <c r="AG1000" i="3"/>
  <c r="A1000" i="3"/>
  <c r="B1000" i="3"/>
  <c r="C1000" i="3"/>
  <c r="D1000" i="3"/>
  <c r="E1000" i="3"/>
  <c r="F1000" i="3"/>
  <c r="G1000" i="3"/>
  <c r="H1000" i="3"/>
  <c r="I1000" i="3"/>
  <c r="J1000" i="3"/>
  <c r="K1000" i="3"/>
  <c r="L1000" i="3"/>
  <c r="M1000" i="3"/>
  <c r="N1000" i="3"/>
  <c r="O1000" i="3"/>
  <c r="P1000" i="3"/>
  <c r="Q1000" i="3"/>
  <c r="R1000" i="3"/>
  <c r="S1000" i="3"/>
  <c r="T1000" i="3"/>
  <c r="U1000" i="3"/>
  <c r="V1000" i="3"/>
  <c r="W1000" i="3"/>
  <c r="X1000" i="3"/>
  <c r="Y1000" i="3"/>
  <c r="Z1000" i="3"/>
  <c r="AA1000" i="3"/>
  <c r="AB1000" i="3"/>
  <c r="AC1000" i="3"/>
  <c r="AD1000" i="3"/>
  <c r="AE1000" i="3"/>
  <c r="AH1000" i="3"/>
  <c r="AI1000" i="3"/>
  <c r="AJ1000" i="3"/>
  <c r="AK1000" i="3"/>
  <c r="AL1000" i="3"/>
  <c r="AM1000" i="3"/>
  <c r="AN1000" i="3"/>
  <c r="AC2" i="3"/>
  <c r="H2" i="3"/>
  <c r="AB2" i="3"/>
  <c r="S2" i="3"/>
  <c r="R2" i="3"/>
  <c r="J2" i="3"/>
  <c r="E2" i="3"/>
  <c r="B2" i="3"/>
  <c r="L2" i="3"/>
  <c r="N2" i="3"/>
  <c r="O2" i="3"/>
  <c r="I2" i="3"/>
  <c r="K2" i="3"/>
  <c r="F2" i="3"/>
  <c r="G2" i="3"/>
  <c r="C2" i="3"/>
  <c r="D2" i="3"/>
  <c r="A1000" i="1"/>
  <c r="B1000" i="1"/>
  <c r="C1000" i="1"/>
  <c r="D1000" i="1"/>
  <c r="E1000" i="1"/>
  <c r="F1000" i="1"/>
  <c r="G1000" i="1"/>
  <c r="H1000" i="1"/>
  <c r="H2" i="1"/>
  <c r="G2" i="1"/>
  <c r="F2" i="1"/>
  <c r="E2" i="1"/>
  <c r="D2" i="1"/>
  <c r="C2" i="1"/>
  <c r="B2" i="1"/>
  <c r="A2" i="1"/>
  <c r="P2" i="3"/>
  <c r="Q2" i="3"/>
  <c r="T2" i="3"/>
  <c r="U2" i="3"/>
  <c r="V2" i="3"/>
  <c r="W2" i="3"/>
  <c r="X2" i="3"/>
  <c r="Y2" i="3"/>
  <c r="Z2" i="3"/>
  <c r="AA2" i="3"/>
  <c r="AD2" i="3"/>
  <c r="AE2"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Bäuerlein</author>
  </authors>
  <commentList>
    <comment ref="A9" authorId="0" shapeId="0" xr:uid="{95D627BA-29D5-464F-9EA8-FDBBCEE5C608}">
      <text>
        <r>
          <rPr>
            <b/>
            <sz val="9"/>
            <color indexed="81"/>
            <rFont val="Segoe UI"/>
            <family val="2"/>
          </rPr>
          <t>Neu</t>
        </r>
        <r>
          <rPr>
            <sz val="9"/>
            <color indexed="81"/>
            <rFont val="Segoe UI"/>
            <family val="2"/>
          </rPr>
          <t xml:space="preserve">: Programm wurde angelegt, noch nicht vollständig bewertet
</t>
        </r>
        <r>
          <rPr>
            <b/>
            <sz val="9"/>
            <color indexed="81"/>
            <rFont val="Segoe UI"/>
            <family val="2"/>
          </rPr>
          <t>In Prüfung</t>
        </r>
        <r>
          <rPr>
            <sz val="9"/>
            <color indexed="81"/>
            <rFont val="Segoe UI"/>
            <family val="2"/>
          </rPr>
          <t xml:space="preserve">: Bewertung wird aktuell bearbeitet
</t>
        </r>
        <r>
          <rPr>
            <b/>
            <sz val="9"/>
            <color indexed="81"/>
            <rFont val="Segoe UI"/>
            <family val="2"/>
          </rPr>
          <t>Geprüft</t>
        </r>
        <r>
          <rPr>
            <sz val="9"/>
            <color indexed="81"/>
            <rFont val="Segoe UI"/>
            <family val="2"/>
          </rPr>
          <t xml:space="preserve">: Daten vollständig und überprüft
</t>
        </r>
        <r>
          <rPr>
            <b/>
            <sz val="9"/>
            <color indexed="81"/>
            <rFont val="Segoe UI"/>
            <family val="2"/>
          </rPr>
          <t>Aktualisierung nötig</t>
        </r>
        <r>
          <rPr>
            <sz val="9"/>
            <color indexed="81"/>
            <rFont val="Segoe UI"/>
            <family val="2"/>
          </rPr>
          <t xml:space="preserve">: Informationen möglicherweise veraltet
</t>
        </r>
      </text>
    </comment>
    <comment ref="B9" authorId="0" shapeId="0" xr:uid="{1F840639-95A7-4D70-9C2C-27354BC701A6}">
      <text>
        <r>
          <rPr>
            <sz val="9"/>
            <color indexed="81"/>
            <rFont val="Segoe UI"/>
            <family val="2"/>
          </rPr>
          <t>eindeutiger Schlüssel</t>
        </r>
      </text>
    </comment>
    <comment ref="C9" authorId="0" shapeId="0" xr:uid="{5038AE60-7EFA-42E7-81A4-61B82A5A038B}">
      <text>
        <r>
          <rPr>
            <sz val="9"/>
            <color indexed="81"/>
            <rFont val="Segoe UI"/>
            <family val="2"/>
          </rPr>
          <t>Name des Tools</t>
        </r>
      </text>
    </comment>
    <comment ref="D9" authorId="0" shapeId="0" xr:uid="{404DD316-99D5-49AE-A7AE-BD114ABFB188}">
      <text>
        <r>
          <rPr>
            <sz val="9"/>
            <color indexed="81"/>
            <rFont val="Segoe UI"/>
            <family val="2"/>
          </rPr>
          <t>Unternehmen, das Produkt anbietet (zu finden meist im Impressum)</t>
        </r>
      </text>
    </comment>
    <comment ref="E9" authorId="0" shapeId="0" xr:uid="{D0D130DC-BA59-4893-A844-4452FFCE97EB}">
      <text>
        <r>
          <rPr>
            <sz val="9"/>
            <color indexed="81"/>
            <rFont val="Segoe UI"/>
            <family val="2"/>
          </rPr>
          <t>Link, der auf die Produktwebsite führt</t>
        </r>
      </text>
    </comment>
    <comment ref="F9" authorId="0" shapeId="0" xr:uid="{D88B44B6-C798-4DC5-AC08-E5F64EFF49D3}">
      <text>
        <r>
          <rPr>
            <sz val="9"/>
            <color indexed="81"/>
            <rFont val="Segoe UI"/>
            <family val="2"/>
          </rPr>
          <t>Gibt es eine Branche / Berufsgruppe, die das Tool besonders anspricht?</t>
        </r>
      </text>
    </comment>
    <comment ref="G9" authorId="0" shapeId="0" xr:uid="{F025A038-4A02-489E-9E7B-2EFCA85E9991}">
      <text>
        <r>
          <rPr>
            <sz val="9"/>
            <color indexed="81"/>
            <rFont val="Segoe UI"/>
            <family val="2"/>
          </rPr>
          <t>Wie stellt sich das Programm selbst dar?
Ist es einreines Tool zur Arbeitszeiterfassung oder Teil eines umfangreicheren Managementprogramms?</t>
        </r>
      </text>
    </comment>
    <comment ref="I9" authorId="0" shapeId="0" xr:uid="{FB2174A9-C9AB-4ADC-AAF4-8D95C38FF961}">
      <text>
        <r>
          <rPr>
            <sz val="9"/>
            <color indexed="81"/>
            <rFont val="Segoe UI"/>
            <charset val="1"/>
          </rPr>
          <t xml:space="preserve">Ist der Quellcode öffentlich zugänglich? 
</t>
        </r>
        <r>
          <rPr>
            <b/>
            <sz val="9"/>
            <color indexed="81"/>
            <rFont val="Segoe UI"/>
            <family val="2"/>
          </rPr>
          <t>Ja:</t>
        </r>
        <r>
          <rPr>
            <sz val="9"/>
            <color indexed="81"/>
            <rFont val="Segoe UI"/>
            <charset val="1"/>
          </rPr>
          <t xml:space="preserve"> Code frei einsehbar und veränderbar (Open Source) 
</t>
        </r>
        <r>
          <rPr>
            <b/>
            <sz val="9"/>
            <color indexed="81"/>
            <rFont val="Segoe UI"/>
            <family val="2"/>
          </rPr>
          <t>Nein:</t>
        </r>
        <r>
          <rPr>
            <sz val="9"/>
            <color indexed="81"/>
            <rFont val="Segoe UI"/>
            <charset val="1"/>
          </rPr>
          <t xml:space="preserve"> Proprietäre Software ohne Codezugriff 
</t>
        </r>
      </text>
    </comment>
    <comment ref="J9" authorId="0" shapeId="0" xr:uid="{B0F4C83A-3436-4C21-87D3-8BE9894B522D}">
      <text>
        <r>
          <rPr>
            <sz val="9"/>
            <color indexed="81"/>
            <rFont val="Segoe UI"/>
            <family val="2"/>
          </rPr>
          <t xml:space="preserve">Handelt es sich um eine kommerzielle Software? 
</t>
        </r>
        <r>
          <rPr>
            <b/>
            <sz val="9"/>
            <color indexed="81"/>
            <rFont val="Segoe UI"/>
            <family val="2"/>
          </rPr>
          <t>Ja:</t>
        </r>
        <r>
          <rPr>
            <sz val="9"/>
            <color indexed="81"/>
            <rFont val="Segoe UI"/>
            <family val="2"/>
          </rPr>
          <t xml:space="preserve"> kostenpflichtiges, proprietäres Produkt 
</t>
        </r>
        <r>
          <rPr>
            <b/>
            <sz val="9"/>
            <color indexed="81"/>
            <rFont val="Segoe UI"/>
            <family val="2"/>
          </rPr>
          <t>Nein:</t>
        </r>
        <r>
          <rPr>
            <sz val="9"/>
            <color indexed="81"/>
            <rFont val="Segoe UI"/>
            <family val="2"/>
          </rPr>
          <t xml:space="preserve"> keine kommerzielle Lizenz erforderlich 
</t>
        </r>
      </text>
    </comment>
    <comment ref="K9" authorId="0" shapeId="0" xr:uid="{53F724AE-BF17-4311-B087-95744359A7A2}">
      <text>
        <r>
          <rPr>
            <sz val="9"/>
            <color indexed="81"/>
            <rFont val="Segoe UI"/>
            <family val="2"/>
          </rPr>
          <t xml:space="preserve">Bietet das Programm eine kostenlose Option? 
</t>
        </r>
        <r>
          <rPr>
            <b/>
            <sz val="9"/>
            <color indexed="81"/>
            <rFont val="Segoe UI"/>
            <family val="2"/>
          </rPr>
          <t>Ja:</t>
        </r>
        <r>
          <rPr>
            <sz val="9"/>
            <color indexed="81"/>
            <rFont val="Segoe UI"/>
            <family val="2"/>
          </rPr>
          <t xml:space="preserve"> Option zur dauerhaften kostenlosen Nutzung 
</t>
        </r>
        <r>
          <rPr>
            <b/>
            <sz val="9"/>
            <color indexed="81"/>
            <rFont val="Segoe UI"/>
            <family val="2"/>
          </rPr>
          <t>Nein:</t>
        </r>
        <r>
          <rPr>
            <sz val="9"/>
            <color indexed="81"/>
            <rFont val="Segoe UI"/>
            <family val="2"/>
          </rPr>
          <t xml:space="preserve"> kostenpflichtig oder nur kostenlose Testversion 
</t>
        </r>
      </text>
    </comment>
    <comment ref="L9" authorId="0" shapeId="0" xr:uid="{0DD32FC1-1B31-4B01-80CE-7D381563CC7B}">
      <text>
        <r>
          <rPr>
            <sz val="9"/>
            <color indexed="81"/>
            <rFont val="Segoe UI"/>
            <family val="2"/>
          </rPr>
          <t xml:space="preserve">Welches Kostenmodell liegt vor? 
</t>
        </r>
        <r>
          <rPr>
            <b/>
            <sz val="9"/>
            <color indexed="81"/>
            <rFont val="Segoe UI"/>
            <family val="2"/>
          </rPr>
          <t>einmalige Zahlung</t>
        </r>
        <r>
          <rPr>
            <sz val="9"/>
            <color indexed="81"/>
            <rFont val="Segoe UI"/>
            <family val="2"/>
          </rPr>
          <t xml:space="preserve">
</t>
        </r>
        <r>
          <rPr>
            <b/>
            <sz val="9"/>
            <color indexed="81"/>
            <rFont val="Segoe UI"/>
            <family val="2"/>
          </rPr>
          <t>Abo / befristete Lizenz</t>
        </r>
        <r>
          <rPr>
            <sz val="9"/>
            <color indexed="81"/>
            <rFont val="Segoe UI"/>
            <family val="2"/>
          </rPr>
          <t xml:space="preserve">
</t>
        </r>
      </text>
    </comment>
    <comment ref="M9" authorId="0" shapeId="0" xr:uid="{7B41A11C-5768-4746-8453-6B3A63D5D695}">
      <text>
        <r>
          <rPr>
            <sz val="9"/>
            <color indexed="81"/>
            <rFont val="Segoe UI"/>
            <family val="2"/>
          </rPr>
          <t xml:space="preserve">Wird das System lokal installiert? 
</t>
        </r>
        <r>
          <rPr>
            <b/>
            <sz val="9"/>
            <color indexed="81"/>
            <rFont val="Segoe UI"/>
            <family val="2"/>
          </rPr>
          <t>Ja:</t>
        </r>
        <r>
          <rPr>
            <sz val="9"/>
            <color indexed="81"/>
            <rFont val="Segoe UI"/>
            <family val="2"/>
          </rPr>
          <t xml:space="preserve"> Installation auf lokalem Rechner/Server 
</t>
        </r>
        <r>
          <rPr>
            <b/>
            <sz val="9"/>
            <color indexed="81"/>
            <rFont val="Segoe UI"/>
            <family val="2"/>
          </rPr>
          <t>Nein:</t>
        </r>
        <r>
          <rPr>
            <sz val="9"/>
            <color indexed="81"/>
            <rFont val="Segoe UI"/>
            <family val="2"/>
          </rPr>
          <t xml:space="preserve"> keine lokale Installation erforderlich 
</t>
        </r>
      </text>
    </comment>
    <comment ref="N9" authorId="0" shapeId="0" xr:uid="{73597DE9-A8A6-4BBE-8F67-4B39CE32546B}">
      <text>
        <r>
          <rPr>
            <sz val="9"/>
            <color indexed="81"/>
            <rFont val="Segoe UI"/>
            <family val="2"/>
          </rPr>
          <t xml:space="preserve">Erfolgt die Nutzung über Internet/Cloud? 
</t>
        </r>
        <r>
          <rPr>
            <b/>
            <sz val="9"/>
            <color indexed="81"/>
            <rFont val="Segoe UI"/>
            <family val="2"/>
          </rPr>
          <t>Ja:</t>
        </r>
        <r>
          <rPr>
            <sz val="9"/>
            <color indexed="81"/>
            <rFont val="Segoe UI"/>
            <family val="2"/>
          </rPr>
          <t xml:space="preserve"> Zugriff über Browser/App mit Serveranbindung 
</t>
        </r>
        <r>
          <rPr>
            <b/>
            <sz val="9"/>
            <color indexed="81"/>
            <rFont val="Segoe UI"/>
            <family val="2"/>
          </rPr>
          <t>Nein:</t>
        </r>
        <r>
          <rPr>
            <sz val="9"/>
            <color indexed="81"/>
            <rFont val="Segoe UI"/>
            <family val="2"/>
          </rPr>
          <t xml:space="preserve"> ausschließlich lokal nutzbar 
</t>
        </r>
      </text>
    </comment>
    <comment ref="O9" authorId="0" shapeId="0" xr:uid="{7733E60A-B836-4E74-848F-40EDA821E48C}">
      <text>
        <r>
          <rPr>
            <sz val="9"/>
            <color indexed="81"/>
            <rFont val="Segoe UI"/>
            <family val="2"/>
          </rPr>
          <t xml:space="preserve">Wo werden die Daten gespeichert? 
</t>
        </r>
        <r>
          <rPr>
            <b/>
            <sz val="9"/>
            <color indexed="81"/>
            <rFont val="Segoe UI"/>
            <family val="2"/>
          </rPr>
          <t xml:space="preserve">Deutschland 
EU 
außerhalb EU / international </t>
        </r>
        <r>
          <rPr>
            <sz val="9"/>
            <color indexed="81"/>
            <rFont val="Segoe UI"/>
            <family val="2"/>
          </rPr>
          <t xml:space="preserve">
</t>
        </r>
      </text>
    </comment>
    <comment ref="P9" authorId="0" shapeId="0" xr:uid="{1AA6B5AF-F904-49C9-B141-F79146861F91}">
      <text>
        <r>
          <rPr>
            <sz val="9"/>
            <color indexed="81"/>
            <rFont val="Segoe UI"/>
            <family val="2"/>
          </rPr>
          <t xml:space="preserve">Kann das System offline genutzt werden? 
</t>
        </r>
        <r>
          <rPr>
            <b/>
            <sz val="9"/>
            <color indexed="81"/>
            <rFont val="Segoe UI"/>
            <family val="2"/>
          </rPr>
          <t>Ja:</t>
        </r>
        <r>
          <rPr>
            <sz val="9"/>
            <color indexed="81"/>
            <rFont val="Segoe UI"/>
            <family val="2"/>
          </rPr>
          <t xml:space="preserve"> Nutzung ohne Internet möglich (mit Synchronisation) 
</t>
        </r>
        <r>
          <rPr>
            <b/>
            <sz val="9"/>
            <color indexed="81"/>
            <rFont val="Segoe UI"/>
            <family val="2"/>
          </rPr>
          <t>Nein:</t>
        </r>
        <r>
          <rPr>
            <sz val="9"/>
            <color indexed="81"/>
            <rFont val="Segoe UI"/>
            <family val="2"/>
          </rPr>
          <t xml:space="preserve"> Internet zwingend erforderlich 
</t>
        </r>
      </text>
    </comment>
    <comment ref="Q9" authorId="0" shapeId="0" xr:uid="{E207766B-31C6-407E-8D91-3709A14CF81B}">
      <text>
        <r>
          <rPr>
            <sz val="9"/>
            <color indexed="81"/>
            <rFont val="Segoe UI"/>
            <family val="2"/>
          </rPr>
          <t xml:space="preserve">Kann das System erweitert werden? 
</t>
        </r>
        <r>
          <rPr>
            <b/>
            <sz val="9"/>
            <color indexed="81"/>
            <rFont val="Segoe UI"/>
            <family val="2"/>
          </rPr>
          <t>offene Schnittstellen</t>
        </r>
        <r>
          <rPr>
            <sz val="9"/>
            <color indexed="81"/>
            <rFont val="Segoe UI"/>
            <family val="2"/>
          </rPr>
          <t xml:space="preserve"> (z.B. Export per PDF, in der Lohnbuchhaltung, im ERP-System, ...)</t>
        </r>
        <r>
          <rPr>
            <b/>
            <sz val="9"/>
            <color indexed="81"/>
            <rFont val="Segoe UI"/>
            <family val="2"/>
          </rPr>
          <t xml:space="preserve">
geschlossenes System </t>
        </r>
        <r>
          <rPr>
            <sz val="9"/>
            <color indexed="81"/>
            <rFont val="Segoe UI"/>
            <family val="2"/>
          </rPr>
          <t xml:space="preserve">
</t>
        </r>
      </text>
    </comment>
    <comment ref="R9" authorId="0" shapeId="0" xr:uid="{3E4EDC5F-6959-4927-AADE-9BEAA7CC1A96}">
      <text>
        <r>
          <rPr>
            <sz val="9"/>
            <color indexed="81"/>
            <rFont val="Segoe UI"/>
            <family val="2"/>
          </rPr>
          <t xml:space="preserve">Besteht eine Schnittstelle zu DATEV? 
</t>
        </r>
        <r>
          <rPr>
            <b/>
            <sz val="9"/>
            <color indexed="81"/>
            <rFont val="Segoe UI"/>
            <family val="2"/>
          </rPr>
          <t>Ja:</t>
        </r>
        <r>
          <rPr>
            <sz val="9"/>
            <color indexed="81"/>
            <rFont val="Segoe UI"/>
            <family val="2"/>
          </rPr>
          <t xml:space="preserve"> direkte Integration zu DATEV vorhanden 
</t>
        </r>
        <r>
          <rPr>
            <b/>
            <sz val="9"/>
            <color indexed="81"/>
            <rFont val="Segoe UI"/>
            <family val="2"/>
          </rPr>
          <t>Nein:</t>
        </r>
        <r>
          <rPr>
            <sz val="9"/>
            <color indexed="81"/>
            <rFont val="Segoe UI"/>
            <family val="2"/>
          </rPr>
          <t xml:space="preserve"> keine Anbindung 
</t>
        </r>
      </text>
    </comment>
    <comment ref="S9" authorId="0" shapeId="0" xr:uid="{EE0FBBC4-0694-4DFC-83EE-8DB3BAD795C6}">
      <text>
        <r>
          <rPr>
            <sz val="9"/>
            <color indexed="81"/>
            <rFont val="Segoe UI"/>
            <family val="2"/>
          </rPr>
          <t xml:space="preserve">Über welche Medien erfolgt die Erfassung? 
Aufzählung (z.B. App, Terminal, PC, Tablet)
</t>
        </r>
      </text>
    </comment>
    <comment ref="T9" authorId="0" shapeId="0" xr:uid="{FF61391F-F2B5-44EA-B4FF-8B4689393FA5}">
      <text>
        <r>
          <rPr>
            <sz val="9"/>
            <color indexed="81"/>
            <rFont val="Segoe UI"/>
            <family val="2"/>
          </rPr>
          <t xml:space="preserve">Kann über das Smartphone auf die Software zugegriffen werden? 
</t>
        </r>
        <r>
          <rPr>
            <b/>
            <sz val="9"/>
            <color indexed="81"/>
            <rFont val="Segoe UI"/>
            <family val="2"/>
          </rPr>
          <t>Ja</t>
        </r>
        <r>
          <rPr>
            <sz val="9"/>
            <color indexed="81"/>
            <rFont val="Segoe UI"/>
            <family val="2"/>
          </rPr>
          <t xml:space="preserve">
</t>
        </r>
        <r>
          <rPr>
            <b/>
            <sz val="9"/>
            <color indexed="81"/>
            <rFont val="Segoe UI"/>
            <family val="2"/>
          </rPr>
          <t>Nein</t>
        </r>
        <r>
          <rPr>
            <sz val="9"/>
            <color indexed="81"/>
            <rFont val="Segoe UI"/>
            <family val="2"/>
          </rPr>
          <t xml:space="preserve">
</t>
        </r>
      </text>
    </comment>
    <comment ref="U9" authorId="0" shapeId="0" xr:uid="{21653E53-3E02-49C8-B847-7F614480D1AA}">
      <text>
        <r>
          <rPr>
            <sz val="9"/>
            <color indexed="81"/>
            <rFont val="Segoe UI"/>
            <family val="2"/>
          </rPr>
          <t xml:space="preserve">Ist Nutzung über den PC möglich (webbasiert / lokal installiert)? 
</t>
        </r>
        <r>
          <rPr>
            <b/>
            <sz val="9"/>
            <color indexed="81"/>
            <rFont val="Segoe UI"/>
            <family val="2"/>
          </rPr>
          <t>Ja:</t>
        </r>
        <r>
          <rPr>
            <sz val="9"/>
            <color indexed="81"/>
            <rFont val="Segoe UI"/>
            <family val="2"/>
          </rPr>
          <t xml:space="preserve"> nutzbar über PC
</t>
        </r>
        <r>
          <rPr>
            <b/>
            <sz val="9"/>
            <color indexed="81"/>
            <rFont val="Segoe UI"/>
            <family val="2"/>
          </rPr>
          <t>Nein:</t>
        </r>
        <r>
          <rPr>
            <sz val="9"/>
            <color indexed="81"/>
            <rFont val="Segoe UI"/>
            <family val="2"/>
          </rPr>
          <t xml:space="preserve"> nicht verfügbar 
</t>
        </r>
      </text>
    </comment>
    <comment ref="V9" authorId="0" shapeId="0" xr:uid="{E09BC6A4-B2E7-4D93-A321-E8E1B900CD23}">
      <text>
        <r>
          <rPr>
            <sz val="9"/>
            <color indexed="81"/>
            <rFont val="Segoe UI"/>
            <family val="2"/>
          </rPr>
          <t xml:space="preserve">Gibt es stationäre Erfassungsterminals? 
</t>
        </r>
        <r>
          <rPr>
            <b/>
            <sz val="9"/>
            <color indexed="81"/>
            <rFont val="Segoe UI"/>
            <family val="2"/>
          </rPr>
          <t>Ja:</t>
        </r>
        <r>
          <rPr>
            <sz val="9"/>
            <color indexed="81"/>
            <rFont val="Segoe UI"/>
            <family val="2"/>
          </rPr>
          <t xml:space="preserve"> physische Terminals vorhanden 
</t>
        </r>
        <r>
          <rPr>
            <b/>
            <sz val="9"/>
            <color indexed="81"/>
            <rFont val="Segoe UI"/>
            <family val="2"/>
          </rPr>
          <t>Nein:</t>
        </r>
        <r>
          <rPr>
            <sz val="9"/>
            <color indexed="81"/>
            <rFont val="Segoe UI"/>
            <family val="2"/>
          </rPr>
          <t xml:space="preserve"> keine Terminals 
</t>
        </r>
      </text>
    </comment>
    <comment ref="W9" authorId="0" shapeId="0" xr:uid="{1D3A99BE-54A5-46BF-A170-4687D5F34B85}">
      <text>
        <r>
          <rPr>
            <sz val="9"/>
            <color indexed="81"/>
            <rFont val="Segoe UI"/>
            <family val="2"/>
          </rPr>
          <t xml:space="preserve">Entspricht das System den EuGH-Anforderungen (nur erfassen, wenn explizit auf Website erwähnt)? 
</t>
        </r>
        <r>
          <rPr>
            <b/>
            <sz val="9"/>
            <color indexed="81"/>
            <rFont val="Segoe UI"/>
            <family val="2"/>
          </rPr>
          <t>Ja:</t>
        </r>
        <r>
          <rPr>
            <sz val="9"/>
            <color indexed="81"/>
            <rFont val="Segoe UI"/>
            <family val="2"/>
          </rPr>
          <t xml:space="preserve"> rechtssichere Arbeitszeiterfassung möglich, explizit erwähnt auf Website
</t>
        </r>
        <r>
          <rPr>
            <b/>
            <sz val="9"/>
            <color indexed="81"/>
            <rFont val="Segoe UI"/>
            <family val="2"/>
          </rPr>
          <t>Nein:</t>
        </r>
        <r>
          <rPr>
            <sz val="9"/>
            <color indexed="81"/>
            <rFont val="Segoe UI"/>
            <family val="2"/>
          </rPr>
          <t xml:space="preserve"> nicht eindeutig oder nicht erfüllt 
</t>
        </r>
      </text>
    </comment>
    <comment ref="X9" authorId="0" shapeId="0" xr:uid="{81DB9A3C-8C07-4DA4-AE56-DF0A5C89EE24}">
      <text>
        <r>
          <rPr>
            <sz val="9"/>
            <color indexed="81"/>
            <rFont val="Segoe UI"/>
            <family val="2"/>
          </rPr>
          <t xml:space="preserve">Ist das System unabhängig nutzbar? 
</t>
        </r>
        <r>
          <rPr>
            <b/>
            <sz val="9"/>
            <color indexed="81"/>
            <rFont val="Segoe UI"/>
            <family val="2"/>
          </rPr>
          <t>Ja:</t>
        </r>
        <r>
          <rPr>
            <sz val="9"/>
            <color indexed="81"/>
            <rFont val="Segoe UI"/>
            <family val="2"/>
          </rPr>
          <t xml:space="preserve"> eigenständige Lösung 
</t>
        </r>
        <r>
          <rPr>
            <b/>
            <sz val="9"/>
            <color indexed="81"/>
            <rFont val="Segoe UI"/>
            <family val="2"/>
          </rPr>
          <t>Nein:</t>
        </r>
        <r>
          <rPr>
            <sz val="9"/>
            <color indexed="81"/>
            <rFont val="Segoe UI"/>
            <family val="2"/>
          </rPr>
          <t xml:space="preserve"> nur als Teil eines Systems 
</t>
        </r>
      </text>
    </comment>
    <comment ref="Y9" authorId="0" shapeId="0" xr:uid="{AAEC29F1-137A-46D2-93D9-7337DF486DD2}">
      <text>
        <r>
          <rPr>
            <sz val="9"/>
            <color indexed="81"/>
            <rFont val="Segoe UI"/>
            <family val="2"/>
          </rPr>
          <t xml:space="preserve">Bestandteil einer HR-Software (Human Resource-Software)? 
</t>
        </r>
        <r>
          <rPr>
            <b/>
            <sz val="9"/>
            <color indexed="81"/>
            <rFont val="Segoe UI"/>
            <family val="2"/>
          </rPr>
          <t>Ja:</t>
        </r>
        <r>
          <rPr>
            <sz val="9"/>
            <color indexed="81"/>
            <rFont val="Segoe UI"/>
            <family val="2"/>
          </rPr>
          <t xml:space="preserve"> integriert in HR-System 
</t>
        </r>
        <r>
          <rPr>
            <b/>
            <sz val="9"/>
            <color indexed="81"/>
            <rFont val="Segoe UI"/>
            <family val="2"/>
          </rPr>
          <t>Nein:</t>
        </r>
        <r>
          <rPr>
            <sz val="9"/>
            <color indexed="81"/>
            <rFont val="Segoe UI"/>
            <family val="2"/>
          </rPr>
          <t xml:space="preserve"> unabhängig 
</t>
        </r>
      </text>
    </comment>
    <comment ref="Z9" authorId="0" shapeId="0" xr:uid="{9B853C51-B352-4AB1-8596-C90E603B137D}">
      <text>
        <r>
          <rPr>
            <sz val="9"/>
            <color indexed="81"/>
            <rFont val="Segoe UI"/>
            <family val="2"/>
          </rPr>
          <t xml:space="preserve">Bestandteil eines FMS (Farm Management Software)? 
</t>
        </r>
        <r>
          <rPr>
            <b/>
            <sz val="9"/>
            <color indexed="81"/>
            <rFont val="Segoe UI"/>
            <family val="2"/>
          </rPr>
          <t>Ja:</t>
        </r>
        <r>
          <rPr>
            <sz val="9"/>
            <color indexed="81"/>
            <rFont val="Segoe UI"/>
            <family val="2"/>
          </rPr>
          <t xml:space="preserve"> integriert in FMS 
</t>
        </r>
        <r>
          <rPr>
            <b/>
            <sz val="9"/>
            <color indexed="81"/>
            <rFont val="Segoe UI"/>
            <family val="2"/>
          </rPr>
          <t>Nein:</t>
        </r>
        <r>
          <rPr>
            <sz val="9"/>
            <color indexed="81"/>
            <rFont val="Segoe UI"/>
            <family val="2"/>
          </rPr>
          <t xml:space="preserve"> unabhängig 
</t>
        </r>
      </text>
    </comment>
    <comment ref="AA9" authorId="0" shapeId="0" xr:uid="{6E9BDA71-6EB7-4B97-AC0D-8339054FE9B2}">
      <text>
        <r>
          <rPr>
            <sz val="9"/>
            <color indexed="81"/>
            <rFont val="Segoe UI"/>
            <family val="2"/>
          </rPr>
          <t xml:space="preserve">Wie ist die Systemarchitektur aufgebaut? 
</t>
        </r>
        <r>
          <rPr>
            <b/>
            <sz val="9"/>
            <color indexed="81"/>
            <rFont val="Segoe UI"/>
            <family val="2"/>
          </rPr>
          <t>modular:</t>
        </r>
        <r>
          <rPr>
            <sz val="9"/>
            <color indexed="81"/>
            <rFont val="Segoe UI"/>
            <family val="2"/>
          </rPr>
          <t xml:space="preserve"> einzelne Funktionen dazu buchbar
</t>
        </r>
        <r>
          <rPr>
            <b/>
            <sz val="9"/>
            <color indexed="81"/>
            <rFont val="Segoe UI"/>
            <family val="2"/>
          </rPr>
          <t>monolithisch:</t>
        </r>
        <r>
          <rPr>
            <sz val="9"/>
            <color indexed="81"/>
            <rFont val="Segoe UI"/>
            <family val="2"/>
          </rPr>
          <t xml:space="preserve"> alle Funktionen in einer Anwendung gebündelt
</t>
        </r>
      </text>
    </comment>
    <comment ref="AB9" authorId="0" shapeId="0" xr:uid="{24294E09-16B9-4570-A285-41EF60646E14}">
      <text>
        <r>
          <rPr>
            <sz val="9"/>
            <color indexed="81"/>
            <rFont val="Segoe UI"/>
            <family val="2"/>
          </rPr>
          <t xml:space="preserve">Verfügt das System über Zusatzfunktionen? 
</t>
        </r>
        <r>
          <rPr>
            <b/>
            <sz val="9"/>
            <color indexed="81"/>
            <rFont val="Segoe UI"/>
            <family val="2"/>
          </rPr>
          <t>Ja:</t>
        </r>
        <r>
          <rPr>
            <sz val="9"/>
            <color indexed="81"/>
            <rFont val="Segoe UI"/>
            <family val="2"/>
          </rPr>
          <t xml:space="preserve"> zusätzliche Funktionen vorhanden 
</t>
        </r>
        <r>
          <rPr>
            <b/>
            <sz val="9"/>
            <color indexed="81"/>
            <rFont val="Segoe UI"/>
            <family val="2"/>
          </rPr>
          <t>Nein:</t>
        </r>
        <r>
          <rPr>
            <sz val="9"/>
            <color indexed="81"/>
            <rFont val="Segoe UI"/>
            <family val="2"/>
          </rPr>
          <t xml:space="preserve"> keine Zusatzfunktionen 
</t>
        </r>
      </text>
    </comment>
    <comment ref="AC9" authorId="0" shapeId="0" xr:uid="{54DBBB9F-CA66-4206-BA36-AA8A5BFCE069}">
      <text>
        <r>
          <rPr>
            <sz val="9"/>
            <color indexed="81"/>
            <rFont val="Segoe UI"/>
            <family val="2"/>
          </rPr>
          <t xml:space="preserve">Gibt es die Funktion der Schichtplanung?
</t>
        </r>
        <r>
          <rPr>
            <b/>
            <sz val="9"/>
            <color indexed="81"/>
            <rFont val="Segoe UI"/>
            <family val="2"/>
          </rPr>
          <t>Ja:</t>
        </r>
        <r>
          <rPr>
            <sz val="9"/>
            <color indexed="81"/>
            <rFont val="Segoe UI"/>
            <family val="2"/>
          </rPr>
          <t xml:space="preserve"> vorhanden 
</t>
        </r>
        <r>
          <rPr>
            <b/>
            <sz val="9"/>
            <color indexed="81"/>
            <rFont val="Segoe UI"/>
            <family val="2"/>
          </rPr>
          <t>Nein:</t>
        </r>
        <r>
          <rPr>
            <sz val="9"/>
            <color indexed="81"/>
            <rFont val="Segoe UI"/>
            <family val="2"/>
          </rPr>
          <t xml:space="preserve"> nicht vorhanden 
</t>
        </r>
      </text>
    </comment>
    <comment ref="AD9" authorId="0" shapeId="0" xr:uid="{300ECFD3-15DF-44D9-95B6-06020D303AAF}">
      <text>
        <r>
          <rPr>
            <sz val="9"/>
            <color indexed="81"/>
            <rFont val="Segoe UI"/>
            <family val="2"/>
          </rPr>
          <t xml:space="preserve">Gibt es die Funktion der Zutrittskontrolle?
</t>
        </r>
        <r>
          <rPr>
            <b/>
            <sz val="9"/>
            <color indexed="81"/>
            <rFont val="Segoe UI"/>
            <family val="2"/>
          </rPr>
          <t>Ja:</t>
        </r>
        <r>
          <rPr>
            <sz val="9"/>
            <color indexed="81"/>
            <rFont val="Segoe UI"/>
            <family val="2"/>
          </rPr>
          <t xml:space="preserve"> vorhanden 
</t>
        </r>
        <r>
          <rPr>
            <b/>
            <sz val="9"/>
            <color indexed="81"/>
            <rFont val="Segoe UI"/>
            <family val="2"/>
          </rPr>
          <t>Nein:</t>
        </r>
        <r>
          <rPr>
            <sz val="9"/>
            <color indexed="81"/>
            <rFont val="Segoe UI"/>
            <family val="2"/>
          </rPr>
          <t xml:space="preserve"> nicht vorhanden 
</t>
        </r>
      </text>
    </comment>
    <comment ref="AE9" authorId="0" shapeId="0" xr:uid="{403EA2B1-0374-494C-8860-6A7D94E5AFA3}">
      <text>
        <r>
          <rPr>
            <sz val="9"/>
            <color indexed="81"/>
            <rFont val="Segoe UI"/>
            <family val="2"/>
          </rPr>
          <t xml:space="preserve">Unterstützt die Software die eAU (elektronische Arbeitsunfähigkeitbescheinigung)?
</t>
        </r>
        <r>
          <rPr>
            <b/>
            <sz val="9"/>
            <color indexed="81"/>
            <rFont val="Segoe UI"/>
            <family val="2"/>
          </rPr>
          <t>Ja:</t>
        </r>
        <r>
          <rPr>
            <sz val="9"/>
            <color indexed="81"/>
            <rFont val="Segoe UI"/>
            <family val="2"/>
          </rPr>
          <t xml:space="preserve"> wird unterstützt
</t>
        </r>
        <r>
          <rPr>
            <b/>
            <sz val="9"/>
            <color indexed="81"/>
            <rFont val="Segoe UI"/>
            <family val="2"/>
          </rPr>
          <t>Nein:</t>
        </r>
        <r>
          <rPr>
            <sz val="9"/>
            <color indexed="81"/>
            <rFont val="Segoe UI"/>
            <family val="2"/>
          </rPr>
          <t xml:space="preserve"> wird nicht unterstützt
</t>
        </r>
      </text>
    </comment>
    <comment ref="AF9" authorId="0" shapeId="0" xr:uid="{F523096F-B538-4E9A-87E6-4C4FF3C9EB5F}">
      <text>
        <r>
          <rPr>
            <sz val="9"/>
            <color indexed="81"/>
            <rFont val="Segoe UI"/>
            <family val="2"/>
          </rPr>
          <t xml:space="preserve">Gibt es die Funktion der Urlaubsplanung?
</t>
        </r>
        <r>
          <rPr>
            <b/>
            <sz val="9"/>
            <color indexed="81"/>
            <rFont val="Segoe UI"/>
            <family val="2"/>
          </rPr>
          <t>Ja:</t>
        </r>
        <r>
          <rPr>
            <sz val="9"/>
            <color indexed="81"/>
            <rFont val="Segoe UI"/>
            <family val="2"/>
          </rPr>
          <t xml:space="preserve"> vorhanden 
</t>
        </r>
        <r>
          <rPr>
            <b/>
            <sz val="9"/>
            <color indexed="81"/>
            <rFont val="Segoe UI"/>
            <family val="2"/>
          </rPr>
          <t>Nein:</t>
        </r>
        <r>
          <rPr>
            <sz val="9"/>
            <color indexed="81"/>
            <rFont val="Segoe UI"/>
            <family val="2"/>
          </rPr>
          <t xml:space="preserve"> nicht vorhanden 
</t>
        </r>
      </text>
    </comment>
    <comment ref="AG9" authorId="0" shapeId="0" xr:uid="{A16C9F15-57A0-475C-B7A4-1337F84DD2DD}">
      <text>
        <r>
          <rPr>
            <sz val="9"/>
            <color indexed="81"/>
            <rFont val="Segoe UI"/>
            <family val="2"/>
          </rPr>
          <t xml:space="preserve">Gibt es die Möglichkeit Personalakten anzulegen und zu verwalten?
</t>
        </r>
        <r>
          <rPr>
            <b/>
            <sz val="9"/>
            <color indexed="81"/>
            <rFont val="Segoe UI"/>
            <family val="2"/>
          </rPr>
          <t>Ja:</t>
        </r>
        <r>
          <rPr>
            <sz val="9"/>
            <color indexed="81"/>
            <rFont val="Segoe UI"/>
            <family val="2"/>
          </rPr>
          <t xml:space="preserve"> vorhanden 
</t>
        </r>
        <r>
          <rPr>
            <b/>
            <sz val="9"/>
            <color indexed="81"/>
            <rFont val="Segoe UI"/>
            <family val="2"/>
          </rPr>
          <t>Nein:</t>
        </r>
        <r>
          <rPr>
            <sz val="9"/>
            <color indexed="81"/>
            <rFont val="Segoe UI"/>
            <family val="2"/>
          </rPr>
          <t xml:space="preserve"> nicht vorhanden 
</t>
        </r>
      </text>
    </comment>
    <comment ref="AH9" authorId="0" shapeId="0" xr:uid="{DAD83A55-45AF-40CB-A2BD-1389069226CA}">
      <text>
        <r>
          <rPr>
            <sz val="9"/>
            <color indexed="81"/>
            <rFont val="Segoe UI"/>
            <family val="2"/>
          </rPr>
          <t xml:space="preserve">Können Arbeitszeitkonten verwaltet werden?
</t>
        </r>
        <r>
          <rPr>
            <b/>
            <sz val="9"/>
            <color indexed="81"/>
            <rFont val="Segoe UI"/>
            <family val="2"/>
          </rPr>
          <t>Ja:</t>
        </r>
        <r>
          <rPr>
            <sz val="9"/>
            <color indexed="81"/>
            <rFont val="Segoe UI"/>
            <family val="2"/>
          </rPr>
          <t xml:space="preserve"> kann verwaltet werden
</t>
        </r>
        <r>
          <rPr>
            <b/>
            <sz val="9"/>
            <color indexed="81"/>
            <rFont val="Segoe UI"/>
            <family val="2"/>
          </rPr>
          <t>Nein:</t>
        </r>
        <r>
          <rPr>
            <sz val="9"/>
            <color indexed="81"/>
            <rFont val="Segoe UI"/>
            <family val="2"/>
          </rPr>
          <t xml:space="preserve"> kann nicht verwaltet werden</t>
        </r>
        <r>
          <rPr>
            <b/>
            <sz val="9"/>
            <color indexed="81"/>
            <rFont val="Segoe UI"/>
            <family val="2"/>
          </rPr>
          <t xml:space="preserve">
</t>
        </r>
      </text>
    </comment>
    <comment ref="AI9" authorId="0" shapeId="0" xr:uid="{759A97BD-29A1-4978-BF15-45782B362B80}">
      <text>
        <r>
          <rPr>
            <sz val="9"/>
            <color indexed="81"/>
            <rFont val="Segoe UI"/>
            <family val="2"/>
          </rPr>
          <t xml:space="preserve">Kann die Arbeitszeit Projekten und Tätigkeiten zugeordnet werden?
</t>
        </r>
        <r>
          <rPr>
            <b/>
            <sz val="9"/>
            <color indexed="81"/>
            <rFont val="Segoe UI"/>
            <family val="2"/>
          </rPr>
          <t>Ja:</t>
        </r>
        <r>
          <rPr>
            <sz val="9"/>
            <color indexed="81"/>
            <rFont val="Segoe UI"/>
            <family val="2"/>
          </rPr>
          <t xml:space="preserve"> kann zugeordnet werden
</t>
        </r>
        <r>
          <rPr>
            <b/>
            <sz val="9"/>
            <color indexed="81"/>
            <rFont val="Segoe UI"/>
            <family val="2"/>
          </rPr>
          <t>Nein:</t>
        </r>
        <r>
          <rPr>
            <sz val="9"/>
            <color indexed="81"/>
            <rFont val="Segoe UI"/>
            <family val="2"/>
          </rPr>
          <t xml:space="preserve"> reine Arbeitszeiterfassung ohne Projektzuordnung
</t>
        </r>
      </text>
    </comment>
    <comment ref="AJ9" authorId="0" shapeId="0" xr:uid="{8E4D2214-8D07-40F9-ACCA-FF2AA8E6155E}">
      <text>
        <r>
          <rPr>
            <sz val="9"/>
            <color indexed="81"/>
            <rFont val="Segoe UI"/>
            <family val="2"/>
          </rPr>
          <t xml:space="preserve">Wie flexibel ist das System? 
</t>
        </r>
        <r>
          <rPr>
            <b/>
            <sz val="9"/>
            <color indexed="81"/>
            <rFont val="Segoe UI"/>
            <family val="2"/>
          </rPr>
          <t>Standardlösung
individuell programmierbar</t>
        </r>
        <r>
          <rPr>
            <sz val="9"/>
            <color indexed="81"/>
            <rFont val="Segoe UI"/>
            <family val="2"/>
          </rPr>
          <t xml:space="preserve">
</t>
        </r>
      </text>
    </comment>
    <comment ref="AK9" authorId="0" shapeId="0" xr:uid="{1BA37DFD-B1CE-4871-98DD-73DC2A290BA7}">
      <text>
        <r>
          <rPr>
            <sz val="9"/>
            <color indexed="81"/>
            <rFont val="Segoe UI"/>
            <family val="2"/>
          </rPr>
          <t xml:space="preserve">Welche Sprachen werden unterstützt? 
</t>
        </r>
        <r>
          <rPr>
            <b/>
            <sz val="9"/>
            <color indexed="81"/>
            <rFont val="Segoe UI"/>
            <family val="2"/>
          </rPr>
          <t>Deutsch 
Deutsch und Englisch 
Deutsch, Englisch und andere</t>
        </r>
        <r>
          <rPr>
            <sz val="9"/>
            <color indexed="81"/>
            <rFont val="Segoe UI"/>
            <family val="2"/>
          </rPr>
          <t xml:space="preserve">
</t>
        </r>
      </text>
    </comment>
    <comment ref="AL9" authorId="0" shapeId="0" xr:uid="{AB416572-FC8D-49D8-8E8B-6A9BF87FBE26}">
      <text>
        <r>
          <rPr>
            <sz val="9"/>
            <color indexed="81"/>
            <rFont val="Segoe UI"/>
            <family val="2"/>
          </rPr>
          <t xml:space="preserve">Ist eine manuelle Eingabe der Daten möglich?
</t>
        </r>
        <r>
          <rPr>
            <b/>
            <sz val="9"/>
            <color indexed="81"/>
            <rFont val="Segoe UI"/>
            <family val="2"/>
          </rPr>
          <t>Ja:</t>
        </r>
        <r>
          <rPr>
            <sz val="9"/>
            <color indexed="81"/>
            <rFont val="Segoe UI"/>
            <family val="2"/>
          </rPr>
          <t xml:space="preserve"> möglich 
</t>
        </r>
        <r>
          <rPr>
            <b/>
            <sz val="9"/>
            <color indexed="81"/>
            <rFont val="Segoe UI"/>
            <family val="2"/>
          </rPr>
          <t>Nein:</t>
        </r>
        <r>
          <rPr>
            <sz val="9"/>
            <color indexed="81"/>
            <rFont val="Segoe UI"/>
            <family val="2"/>
          </rPr>
          <t xml:space="preserve"> nicht möglich 
</t>
        </r>
      </text>
    </comment>
    <comment ref="AM9" authorId="0" shapeId="0" xr:uid="{E9309E49-FE70-4E05-9C1A-14080EB7123B}">
      <text>
        <r>
          <rPr>
            <sz val="9"/>
            <color indexed="81"/>
            <rFont val="Segoe UI"/>
            <family val="2"/>
          </rPr>
          <t xml:space="preserve">Erfolgt die Erfassung automatisiert? 
</t>
        </r>
        <r>
          <rPr>
            <b/>
            <sz val="9"/>
            <color indexed="81"/>
            <rFont val="Segoe UI"/>
            <family val="2"/>
          </rPr>
          <t>Ja:</t>
        </r>
        <r>
          <rPr>
            <sz val="9"/>
            <color indexed="81"/>
            <rFont val="Segoe UI"/>
            <family val="2"/>
          </rPr>
          <t xml:space="preserve"> automatische/geobasierte Erfassung 
</t>
        </r>
        <r>
          <rPr>
            <b/>
            <sz val="9"/>
            <color indexed="81"/>
            <rFont val="Segoe UI"/>
            <family val="2"/>
          </rPr>
          <t>Nein:</t>
        </r>
        <r>
          <rPr>
            <sz val="9"/>
            <color indexed="81"/>
            <rFont val="Segoe UI"/>
            <family val="2"/>
          </rPr>
          <t xml:space="preserve"> nur manuell 
</t>
        </r>
      </text>
    </comment>
    <comment ref="AN9" authorId="0" shapeId="0" xr:uid="{5480AA10-3F24-4921-8288-5E0A26C37C22}">
      <text>
        <r>
          <rPr>
            <sz val="9"/>
            <color indexed="81"/>
            <rFont val="Segoe UI"/>
            <family val="2"/>
          </rPr>
          <t xml:space="preserve">Bietet das Prgramm Geofencing an? (erlaubt Stempelung nur innerhalb eines vorher definierten Standortes)
</t>
        </r>
        <r>
          <rPr>
            <b/>
            <sz val="9"/>
            <color indexed="81"/>
            <rFont val="Segoe UI"/>
            <family val="2"/>
          </rPr>
          <t>Ja:</t>
        </r>
        <r>
          <rPr>
            <sz val="9"/>
            <color indexed="81"/>
            <rFont val="Segoe UI"/>
            <family val="2"/>
          </rPr>
          <t xml:space="preserve"> Geofencing wird angeboten 
</t>
        </r>
        <r>
          <rPr>
            <b/>
            <sz val="9"/>
            <color indexed="81"/>
            <rFont val="Segoe UI"/>
            <family val="2"/>
          </rPr>
          <t>Nein:</t>
        </r>
        <r>
          <rPr>
            <sz val="9"/>
            <color indexed="81"/>
            <rFont val="Segoe UI"/>
            <family val="2"/>
          </rPr>
          <t xml:space="preserve"> wird nicht angeboten
</t>
        </r>
      </text>
    </comment>
    <comment ref="AO9" authorId="0" shapeId="0" xr:uid="{953569BB-D5C5-47D6-BD27-4EC5E0E0BFFE}">
      <text>
        <r>
          <rPr>
            <sz val="9"/>
            <color indexed="81"/>
            <rFont val="Segoe UI"/>
            <family val="2"/>
          </rPr>
          <t xml:space="preserve">Wie ist die Rechteverwaltung organisiert? 
</t>
        </r>
        <r>
          <rPr>
            <b/>
            <sz val="9"/>
            <color indexed="81"/>
            <rFont val="Segoe UI"/>
            <family val="2"/>
          </rPr>
          <t>Einzelzugang:</t>
        </r>
        <r>
          <rPr>
            <sz val="9"/>
            <color indexed="81"/>
            <rFont val="Segoe UI"/>
            <family val="2"/>
          </rPr>
          <t xml:space="preserve"> alle Nutzerprofile haben die gleichen Rechte
</t>
        </r>
        <r>
          <rPr>
            <b/>
            <sz val="9"/>
            <color indexed="81"/>
            <rFont val="Segoe UI"/>
            <family val="2"/>
          </rPr>
          <t>rollenbasiert:</t>
        </r>
        <r>
          <rPr>
            <sz val="9"/>
            <color indexed="81"/>
            <rFont val="Segoe UI"/>
            <family val="2"/>
          </rPr>
          <t xml:space="preserve"> mehrere Nutzerprofile mit unterschiedlichen Zugriffsrechten
</t>
        </r>
      </text>
    </comment>
    <comment ref="AP9" authorId="0" shapeId="0" xr:uid="{96D7FD7E-E9C1-4CF1-B54B-76B894B35063}">
      <text>
        <r>
          <rPr>
            <sz val="9"/>
            <color indexed="81"/>
            <rFont val="Segoe UI"/>
            <family val="2"/>
          </rPr>
          <t xml:space="preserve">Können über das Programm mehrere Mandanten verwaltet werden?
</t>
        </r>
        <r>
          <rPr>
            <b/>
            <sz val="9"/>
            <color indexed="81"/>
            <rFont val="Segoe UI"/>
            <family val="2"/>
          </rPr>
          <t>Ja:</t>
        </r>
        <r>
          <rPr>
            <sz val="9"/>
            <color indexed="81"/>
            <rFont val="Segoe UI"/>
            <family val="2"/>
          </rPr>
          <t xml:space="preserve"> mehrere Mandanten verwaltbar 
</t>
        </r>
        <r>
          <rPr>
            <b/>
            <sz val="9"/>
            <color indexed="81"/>
            <rFont val="Segoe UI"/>
            <family val="2"/>
          </rPr>
          <t>Nein:</t>
        </r>
        <r>
          <rPr>
            <sz val="9"/>
            <color indexed="81"/>
            <rFont val="Segoe UI"/>
            <family val="2"/>
          </rPr>
          <t xml:space="preserve"> nicht möglich 
</t>
        </r>
      </text>
    </comment>
    <comment ref="AQ9" authorId="0" shapeId="0" xr:uid="{BA5F5A48-236A-4AAE-A18F-3D50245C880A}">
      <text>
        <r>
          <rPr>
            <sz val="9"/>
            <color indexed="81"/>
            <rFont val="Segoe UI"/>
            <family val="2"/>
          </rPr>
          <t xml:space="preserve">Wird Support angeboten? 
</t>
        </r>
        <r>
          <rPr>
            <b/>
            <sz val="9"/>
            <color indexed="81"/>
            <rFont val="Segoe UI"/>
            <family val="2"/>
          </rPr>
          <t>Ja:</t>
        </r>
        <r>
          <rPr>
            <sz val="9"/>
            <color indexed="81"/>
            <rFont val="Segoe UI"/>
            <family val="2"/>
          </rPr>
          <t xml:space="preserve"> Support vorhanden (z. B. Hotline, E-Mail) 
</t>
        </r>
        <r>
          <rPr>
            <b/>
            <sz val="9"/>
            <color indexed="81"/>
            <rFont val="Segoe UI"/>
            <family val="2"/>
          </rPr>
          <t>Nein:</t>
        </r>
        <r>
          <rPr>
            <sz val="9"/>
            <color indexed="81"/>
            <rFont val="Segoe UI"/>
            <family val="2"/>
          </rPr>
          <t xml:space="preserve"> kein Support 
</t>
        </r>
      </text>
    </comment>
    <comment ref="AR9" authorId="0" shapeId="0" xr:uid="{E197E0AC-10DD-4E15-951E-8AFE178D485A}">
      <text>
        <r>
          <rPr>
            <sz val="9"/>
            <color indexed="81"/>
            <rFont val="Segoe UI"/>
            <family val="2"/>
          </rPr>
          <t xml:space="preserve">Gibt es Übersichten/Berichte zur Datenauswertung?
</t>
        </r>
        <r>
          <rPr>
            <b/>
            <sz val="9"/>
            <color indexed="81"/>
            <rFont val="Segoe UI"/>
            <family val="2"/>
          </rPr>
          <t>Ja:</t>
        </r>
        <r>
          <rPr>
            <sz val="9"/>
            <color indexed="81"/>
            <rFont val="Segoe UI"/>
            <family val="2"/>
          </rPr>
          <t xml:space="preserve"> Auswertungen/Reports vorhanden 
</t>
        </r>
        <r>
          <rPr>
            <b/>
            <sz val="9"/>
            <color indexed="81"/>
            <rFont val="Segoe UI"/>
            <family val="2"/>
          </rPr>
          <t>Nein:</t>
        </r>
        <r>
          <rPr>
            <sz val="9"/>
            <color indexed="81"/>
            <rFont val="Segoe UI"/>
            <family val="2"/>
          </rPr>
          <t xml:space="preserve"> keine Auswertung 
</t>
        </r>
      </text>
    </comment>
    <comment ref="AS9" authorId="0" shapeId="0" xr:uid="{1BD4B56B-8A97-46D3-B5AA-2D96DB620734}">
      <text>
        <r>
          <rPr>
            <sz val="9"/>
            <color indexed="81"/>
            <rFont val="Segoe UI"/>
            <family val="2"/>
          </rPr>
          <t xml:space="preserve">Sind nachträgliche Änderungen möglich?
</t>
        </r>
        <r>
          <rPr>
            <b/>
            <sz val="9"/>
            <color indexed="81"/>
            <rFont val="Segoe UI"/>
            <family val="2"/>
          </rPr>
          <t>Ja:</t>
        </r>
        <r>
          <rPr>
            <sz val="9"/>
            <color indexed="81"/>
            <rFont val="Segoe UI"/>
            <family val="2"/>
          </rPr>
          <t xml:space="preserve"> nachträgliche Änderungen möglich 
</t>
        </r>
        <r>
          <rPr>
            <b/>
            <sz val="9"/>
            <color indexed="81"/>
            <rFont val="Segoe UI"/>
            <family val="2"/>
          </rPr>
          <t>Nein:</t>
        </r>
        <r>
          <rPr>
            <sz val="9"/>
            <color indexed="81"/>
            <rFont val="Segoe UI"/>
            <family val="2"/>
          </rPr>
          <t xml:space="preserve"> keine Änderungen möglich 
</t>
        </r>
      </text>
    </comment>
    <comment ref="AT9" authorId="0" shapeId="0" xr:uid="{7A993CD4-07D4-424C-823A-1F88FB697EDF}">
      <text>
        <r>
          <rPr>
            <sz val="9"/>
            <color indexed="81"/>
            <rFont val="Segoe UI"/>
            <family val="2"/>
          </rPr>
          <t xml:space="preserve">Kann das Programm gesetzlich vorgeschriebene Pausenzeiten automatisch verbuchen?
</t>
        </r>
        <r>
          <rPr>
            <b/>
            <sz val="9"/>
            <color indexed="81"/>
            <rFont val="Segoe UI"/>
            <family val="2"/>
          </rPr>
          <t>Ja:</t>
        </r>
        <r>
          <rPr>
            <sz val="9"/>
            <color indexed="81"/>
            <rFont val="Segoe UI"/>
            <family val="2"/>
          </rPr>
          <t xml:space="preserve"> automatische Pausenbuchung 
</t>
        </r>
        <r>
          <rPr>
            <b/>
            <sz val="9"/>
            <color indexed="81"/>
            <rFont val="Segoe UI"/>
            <family val="2"/>
          </rPr>
          <t>Nein:</t>
        </r>
        <r>
          <rPr>
            <sz val="9"/>
            <color indexed="81"/>
            <rFont val="Segoe UI"/>
            <family val="2"/>
          </rPr>
          <t xml:space="preserve"> manuell 
</t>
        </r>
      </text>
    </comment>
    <comment ref="AU9" authorId="0" shapeId="0" xr:uid="{DBD40202-9FBD-4F93-8A66-7202E1C192C8}">
      <text>
        <r>
          <rPr>
            <sz val="9"/>
            <color indexed="81"/>
            <rFont val="Segoe UI"/>
            <family val="2"/>
          </rPr>
          <t xml:space="preserve">Kann das Programm die Eingaben auf vorher definierte Arbeitszeitregeln und Pausenzeiten überprüfen und auf fehlerhafte Eingaben aufmerksam machen?
</t>
        </r>
        <r>
          <rPr>
            <b/>
            <sz val="9"/>
            <color indexed="81"/>
            <rFont val="Segoe UI"/>
            <family val="2"/>
          </rPr>
          <t>Ja:</t>
        </r>
        <r>
          <rPr>
            <sz val="9"/>
            <color indexed="81"/>
            <rFont val="Segoe UI"/>
            <family val="2"/>
          </rPr>
          <t xml:space="preserve"> automatische Prüfung gesetzlicher Vorgaben 
</t>
        </r>
        <r>
          <rPr>
            <b/>
            <sz val="9"/>
            <color indexed="81"/>
            <rFont val="Segoe UI"/>
            <family val="2"/>
          </rPr>
          <t>Nein:</t>
        </r>
        <r>
          <rPr>
            <sz val="9"/>
            <color indexed="81"/>
            <rFont val="Segoe UI"/>
            <family val="2"/>
          </rPr>
          <t xml:space="preserve"> keine Prüfung 
</t>
        </r>
      </text>
    </comment>
    <comment ref="AV9" authorId="0" shapeId="0" xr:uid="{56080CFD-CC75-4A28-89FC-5588C8F00C16}">
      <text>
        <r>
          <rPr>
            <sz val="9"/>
            <color indexed="81"/>
            <rFont val="Segoe UI"/>
            <family val="2"/>
          </rPr>
          <t xml:space="preserve">Wie erfolgt die Speicherung? 
</t>
        </r>
        <r>
          <rPr>
            <b/>
            <sz val="9"/>
            <color indexed="81"/>
            <rFont val="Segoe UI"/>
            <family val="2"/>
          </rPr>
          <t xml:space="preserve">revisionssicher mit Historienprotokoll: </t>
        </r>
        <r>
          <rPr>
            <sz val="9"/>
            <color indexed="81"/>
            <rFont val="Segoe UI"/>
            <family val="2"/>
          </rPr>
          <t xml:space="preserve">Schutz vor Veränderung und Verfälschung, Nachvollziehbar, Vollständig, prüfbar
</t>
        </r>
        <r>
          <rPr>
            <b/>
            <sz val="9"/>
            <color indexed="81"/>
            <rFont val="Segoe UI"/>
            <family val="2"/>
          </rPr>
          <t>Einfache Speicherung</t>
        </r>
        <r>
          <rPr>
            <sz val="9"/>
            <color indexed="81"/>
            <rFont val="Segoe UI"/>
            <family val="2"/>
          </rPr>
          <t xml:space="preserve">
</t>
        </r>
      </text>
    </comment>
    <comment ref="AW9" authorId="0" shapeId="0" xr:uid="{6B6C784B-0B6C-4AEC-BC3C-9A6BB93B474E}">
      <text>
        <r>
          <rPr>
            <sz val="9"/>
            <color indexed="81"/>
            <rFont val="Segoe UI"/>
            <family val="2"/>
          </rPr>
          <t>Was macht das Programm einzigartig? Welche Besonderheiten weißt es auf?
Formulierung:
- stichpunktartig, kurz und prägnant formulieren
- mehrere Informationen durch Semikolon ";" trennen</t>
        </r>
      </text>
    </comment>
    <comment ref="AY9" authorId="0" shapeId="0" xr:uid="{0B7E1A62-C759-484F-BCF5-C1837A3B68E3}">
      <text>
        <r>
          <rPr>
            <sz val="9"/>
            <color indexed="81"/>
            <rFont val="Segoe UI"/>
            <family val="2"/>
          </rPr>
          <t>Datum der letzten Überprüfung</t>
        </r>
      </text>
    </comment>
    <comment ref="AZ9" authorId="0" shapeId="0" xr:uid="{9E035E35-34E1-4291-BC6E-41DE93C633C7}">
      <text>
        <r>
          <rPr>
            <sz val="9"/>
            <color indexed="81"/>
            <rFont val="Segoe UI"/>
            <family val="2"/>
          </rPr>
          <t>Name der Person, die die Überprüfung durchgeführt hat</t>
        </r>
      </text>
    </comment>
    <comment ref="BA9" authorId="0" shapeId="0" xr:uid="{028C1BAF-F9DB-4670-8021-B0017EF88665}">
      <text>
        <r>
          <rPr>
            <sz val="9"/>
            <color indexed="81"/>
            <rFont val="Segoe UI"/>
            <family val="2"/>
          </rPr>
          <t xml:space="preserve">Platz für Kommentare zur Überprüfung, zum Programm im Allgemeinen, Auffälligkeiten, ...
</t>
        </r>
      </text>
    </comment>
  </commentList>
</comments>
</file>

<file path=xl/sharedStrings.xml><?xml version="1.0" encoding="utf-8"?>
<sst xmlns="http://schemas.openxmlformats.org/spreadsheetml/2006/main" count="5097" uniqueCount="1813">
  <si>
    <t>Programm_ID</t>
  </si>
  <si>
    <t>Anbieter</t>
  </si>
  <si>
    <t>Website</t>
  </si>
  <si>
    <t>Kriterium_ID</t>
  </si>
  <si>
    <t>P01</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</si>
  <si>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</si>
  <si>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</si>
  <si>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</si>
  <si>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</si>
  <si>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</si>
  <si>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</si>
  <si>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</si>
  <si>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</si>
  <si>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</si>
  <si>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</si>
  <si>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</si>
  <si>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</si>
  <si>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</si>
  <si>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</si>
  <si>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</si>
  <si>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</si>
  <si>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</si>
  <si>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</si>
  <si>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</si>
  <si>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</si>
  <si>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</si>
  <si>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</si>
  <si>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</si>
  <si>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</si>
  <si>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</si>
  <si>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</si>
  <si>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</si>
  <si>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</si>
  <si>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</si>
  <si>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</si>
  <si>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</si>
  <si>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</si>
  <si>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</si>
  <si>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</si>
  <si>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</si>
  <si>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</si>
  <si>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</si>
  <si>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</si>
  <si>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</si>
  <si>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</si>
  <si>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</si>
  <si>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</si>
  <si>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</si>
  <si>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</si>
  <si>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</si>
  <si>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</si>
  <si>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</si>
  <si>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</si>
  <si>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</si>
  <si>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</si>
  <si>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</si>
  <si>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</si>
  <si>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</si>
  <si>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</si>
  <si>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</si>
  <si>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</si>
  <si>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</si>
  <si>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</si>
  <si>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</si>
  <si>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</si>
  <si>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</si>
  <si>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</si>
  <si>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</si>
  <si>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</si>
  <si>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</si>
  <si>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</si>
  <si>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</si>
  <si>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</si>
  <si>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</si>
  <si>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</si>
  <si>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</si>
  <si>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</si>
  <si>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</si>
  <si>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</si>
  <si>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</si>
  <si>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</si>
  <si>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Atoss</t>
  </si>
  <si>
    <t>ZEUS</t>
  </si>
  <si>
    <t>GRÜN ZICOM</t>
  </si>
  <si>
    <t>KRUTEC</t>
  </si>
  <si>
    <t>meg, TiMaS</t>
  </si>
  <si>
    <t>MobilZeit</t>
  </si>
  <si>
    <t>Atoria, tisoware</t>
  </si>
  <si>
    <t>venabo</t>
  </si>
  <si>
    <t>ZMI.</t>
  </si>
  <si>
    <t>clockin</t>
  </si>
  <si>
    <t>clocko:do</t>
  </si>
  <si>
    <t>Crewmeister</t>
  </si>
  <si>
    <t>edtime</t>
  </si>
  <si>
    <t>HeavenHR 2.0</t>
  </si>
  <si>
    <t>prima:Time</t>
  </si>
  <si>
    <t>TimeTell</t>
  </si>
  <si>
    <r>
      <t>REINER SCT</t>
    </r>
    <r>
      <rPr>
        <sz val="11"/>
        <color theme="1"/>
        <rFont val="Calibri"/>
        <family val="2"/>
        <scheme val="minor"/>
      </rPr>
      <t xml:space="preserve"> time</t>
    </r>
    <r>
      <rPr>
        <b/>
        <i/>
        <sz val="11"/>
        <color theme="1"/>
        <rFont val="Calibri"/>
        <family val="2"/>
        <scheme val="minor"/>
      </rPr>
      <t>Card</t>
    </r>
  </si>
  <si>
    <t>TIME&amp;BILL</t>
  </si>
  <si>
    <t>timetac</t>
  </si>
  <si>
    <t>timr</t>
  </si>
  <si>
    <t>Simple WebApps</t>
  </si>
  <si>
    <t>Personizer</t>
  </si>
  <si>
    <t>agroprojekt</t>
  </si>
  <si>
    <t>NEXT Farming</t>
  </si>
  <si>
    <t>AGRARMONITOR</t>
  </si>
  <si>
    <t>gastromatic</t>
  </si>
  <si>
    <t>wiberry</t>
  </si>
  <si>
    <t>galawork</t>
  </si>
  <si>
    <t>askDANTE</t>
  </si>
  <si>
    <t>poool</t>
  </si>
  <si>
    <t>WorkingHours</t>
  </si>
  <si>
    <t>Kelio</t>
  </si>
  <si>
    <t>Personio</t>
  </si>
  <si>
    <t>AIDA ORGA</t>
  </si>
  <si>
    <t>Time 3010, Access 3010, PEP 3010, Peris 3010</t>
  </si>
  <si>
    <t>hr works</t>
  </si>
  <si>
    <t>SAP SuccessFactors Time Tracking</t>
  </si>
  <si>
    <t>TimO</t>
  </si>
  <si>
    <t>ZEP</t>
  </si>
  <si>
    <t>Papershift</t>
  </si>
  <si>
    <t>ZEITGURU</t>
  </si>
  <si>
    <t>Aplano</t>
  </si>
  <si>
    <t>GDI</t>
  </si>
  <si>
    <t>Shiftbase</t>
  </si>
  <si>
    <t>TimeTrack</t>
  </si>
  <si>
    <t>123erfasst</t>
  </si>
  <si>
    <t>clockify</t>
  </si>
  <si>
    <t>Everhour</t>
  </si>
  <si>
    <t>factorial</t>
  </si>
  <si>
    <t>harvest</t>
  </si>
  <si>
    <t>Hours TimeLord</t>
  </si>
  <si>
    <t>Hubstaff</t>
  </si>
  <si>
    <t>Jibble</t>
  </si>
  <si>
    <t>tellent</t>
  </si>
  <si>
    <t>MomoZeit</t>
  </si>
  <si>
    <t>Monday</t>
  </si>
  <si>
    <t>myhours</t>
  </si>
  <si>
    <t>TimeCamp</t>
  </si>
  <si>
    <t>Time Doctor</t>
  </si>
  <si>
    <t>timeghost</t>
  </si>
  <si>
    <t>Timely</t>
  </si>
  <si>
    <t>TimePunch</t>
  </si>
  <si>
    <t>ordio</t>
  </si>
  <si>
    <t>Staffmatic</t>
  </si>
  <si>
    <t>SpikeTime</t>
  </si>
  <si>
    <t>Kimai</t>
  </si>
  <si>
    <t>memtime (Add-on für Kantata OX)</t>
  </si>
  <si>
    <t>timeBuzzer</t>
  </si>
  <si>
    <t>awork</t>
  </si>
  <si>
    <t>factro</t>
  </si>
  <si>
    <t>ClickTime</t>
  </si>
  <si>
    <t>Papierkram</t>
  </si>
  <si>
    <t>Zoho People</t>
  </si>
  <si>
    <t>Smartplan</t>
  </si>
  <si>
    <t>Xpert-Timer</t>
  </si>
  <si>
    <t>KingBill TIC</t>
  </si>
  <si>
    <t>mfr</t>
  </si>
  <si>
    <t>FrogTime</t>
  </si>
  <si>
    <t>Timemaster</t>
  </si>
  <si>
    <t>mite</t>
  </si>
  <si>
    <t>Jephi</t>
  </si>
  <si>
    <t>Timicx</t>
  </si>
  <si>
    <t>todo.vu</t>
  </si>
  <si>
    <t>absence</t>
  </si>
  <si>
    <t>teamspace</t>
  </si>
  <si>
    <t>beebole</t>
  </si>
  <si>
    <t>connecteam</t>
  </si>
  <si>
    <t>Monitask</t>
  </si>
  <si>
    <t>Paymo</t>
  </si>
  <si>
    <t>EARLY (früher Timeular)</t>
  </si>
  <si>
    <t>Sage</t>
  </si>
  <si>
    <t>Interflex</t>
  </si>
  <si>
    <t>SaaS</t>
  </si>
  <si>
    <t>TimeMoto</t>
  </si>
  <si>
    <t>Miditec</t>
  </si>
  <si>
    <t>Datafox</t>
  </si>
  <si>
    <t>AENOS</t>
  </si>
  <si>
    <t>ringer</t>
  </si>
  <si>
    <t>Sawayo</t>
  </si>
  <si>
    <t>Tempo Timesheets</t>
  </si>
  <si>
    <t>Rexx Systems</t>
  </si>
  <si>
    <t>Zoho Projects</t>
  </si>
  <si>
    <t>Azea</t>
  </si>
  <si>
    <t>WiseTime</t>
  </si>
  <si>
    <t>BCS</t>
  </si>
  <si>
    <t>Jira</t>
  </si>
  <si>
    <t>Trello</t>
  </si>
  <si>
    <t>Asana</t>
  </si>
  <si>
    <t xml:space="preserve">ClickUp </t>
  </si>
  <si>
    <t>Wrike</t>
  </si>
  <si>
    <t>ADP workforce now</t>
  </si>
  <si>
    <t>quickbooks</t>
  </si>
  <si>
    <t>Rippling</t>
  </si>
  <si>
    <t>FreshBooks</t>
  </si>
  <si>
    <t>deel.</t>
  </si>
  <si>
    <t>gusto</t>
  </si>
  <si>
    <t>netSuite</t>
  </si>
  <si>
    <t>geoCapture</t>
  </si>
  <si>
    <t>KENJO</t>
  </si>
  <si>
    <t>BambooHR</t>
  </si>
  <si>
    <t>Workday HCM</t>
  </si>
  <si>
    <t>Odoo</t>
  </si>
  <si>
    <t>MeisterTask</t>
  </si>
  <si>
    <t>dayforce</t>
  </si>
  <si>
    <t>UKG Ready</t>
  </si>
  <si>
    <t>ZohoInvoice</t>
  </si>
  <si>
    <t>WebHR</t>
  </si>
  <si>
    <t>Ordio GmbH</t>
  </si>
  <si>
    <t>EASYPEP</t>
  </si>
  <si>
    <t>SpikeTime Zeiterfassung - Andreas Seiler und Axel Schulze GbR</t>
  </si>
  <si>
    <t>Kevin Papst</t>
  </si>
  <si>
    <t>memtime GmbH</t>
  </si>
  <si>
    <t>timeBuzzer GmbH</t>
  </si>
  <si>
    <t>awork GmbH</t>
  </si>
  <si>
    <t>Schuchert Managementberatung GmbH &amp; Co. KG</t>
  </si>
  <si>
    <t>ClickTime GmbH</t>
  </si>
  <si>
    <t>odacer finanzsoftware GmbH</t>
  </si>
  <si>
    <t>Zoho Corporation GmbH</t>
  </si>
  <si>
    <t>Smartplan ApS</t>
  </si>
  <si>
    <t>Xpert-Timer Software</t>
  </si>
  <si>
    <t>KingBill GmbH</t>
  </si>
  <si>
    <t>Simplias GmbH</t>
  </si>
  <si>
    <t>FrogTime GmbH</t>
  </si>
  <si>
    <t>Timemaster GmbH</t>
  </si>
  <si>
    <t>mite GmbH</t>
  </si>
  <si>
    <t>norules-webdesign.de | Inh. Jens Reichert</t>
  </si>
  <si>
    <t>Timicx GmbH</t>
  </si>
  <si>
    <t>absence.io GmbH</t>
  </si>
  <si>
    <t>5 POINT AG</t>
  </si>
  <si>
    <t>Paymo LLC</t>
  </si>
  <si>
    <t>TimeTac GmbH</t>
  </si>
  <si>
    <t>Sage GmbH</t>
  </si>
  <si>
    <t>Interflex Datensysteme GmbH</t>
  </si>
  <si>
    <t>EGOTEC AG</t>
  </si>
  <si>
    <t>TimeMoto B.V.</t>
  </si>
  <si>
    <t>MIDITEC Datensysteme GmbH</t>
  </si>
  <si>
    <t>Datafox GmbH</t>
  </si>
  <si>
    <t>visionera GmbH</t>
  </si>
  <si>
    <t>ringer Zeiterfassung GmbH &amp; Co. KG</t>
  </si>
  <si>
    <t>Sawayo GmbH</t>
  </si>
  <si>
    <t>Rexx Systems GmbH Headquarters</t>
  </si>
  <si>
    <t>Betterbits GmbH</t>
  </si>
  <si>
    <t>Anaqua Inc.</t>
  </si>
  <si>
    <t>Projectron GmbH</t>
  </si>
  <si>
    <t>Axana, Inc.</t>
  </si>
  <si>
    <t>Wrike, Inc.</t>
  </si>
  <si>
    <t>Automatic Data Processing Insurance Agency, Inc.</t>
  </si>
  <si>
    <t>Intuit, Inc.</t>
  </si>
  <si>
    <t>Rippling People Center, Inc.</t>
  </si>
  <si>
    <t>geoCapture GmbH</t>
  </si>
  <si>
    <t>Kenjo GmbH</t>
  </si>
  <si>
    <t>Rexx Systems GmbH</t>
  </si>
  <si>
    <t>Jibble Group</t>
  </si>
  <si>
    <t>App, Telefon, Terminal</t>
  </si>
  <si>
    <t>App, Smartphone, Tablet, PC Terminal</t>
  </si>
  <si>
    <t>App, PC, Terminal</t>
  </si>
  <si>
    <t>Browser, App, Terminal</t>
  </si>
  <si>
    <t>App, Terminal, PC</t>
  </si>
  <si>
    <t>App, Terminal, Box im Fahrzeug</t>
  </si>
  <si>
    <t>App, PC</t>
  </si>
  <si>
    <t>Browser, Terminal</t>
  </si>
  <si>
    <t>App, (PWA), Browser</t>
  </si>
  <si>
    <t>Mobilgeräte, Terminal</t>
  </si>
  <si>
    <t>App</t>
  </si>
  <si>
    <t>webbasiert, Browser, Terminal</t>
  </si>
  <si>
    <t>App, Terminal</t>
  </si>
  <si>
    <t>App, Browser, Terminal, Terminalmodus</t>
  </si>
  <si>
    <t>App, Browser, Terminal</t>
  </si>
  <si>
    <t>www.atoss.com </t>
  </si>
  <si>
    <t>www.isgus.de </t>
  </si>
  <si>
    <t>www.gruen.net </t>
  </si>
  <si>
    <t>www.krutec.de </t>
  </si>
  <si>
    <t>www.megzeit.de </t>
  </si>
  <si>
    <t>www.mobilzeit.de </t>
  </si>
  <si>
    <t>https://atoria-software.com/de, www.tisoware.com </t>
  </si>
  <si>
    <t>www.venabo.de </t>
  </si>
  <si>
    <t>www.zmi.de</t>
  </si>
  <si>
    <t>www.clockin.de </t>
  </si>
  <si>
    <t>www.clockodo.com </t>
  </si>
  <si>
    <t>www.crewmeister.com </t>
  </si>
  <si>
    <t>www.ed-portal.de, https://www.edtime.de/</t>
  </si>
  <si>
    <t>www.heavenhr.com </t>
  </si>
  <si>
    <t>www.primaerp.com</t>
  </si>
  <si>
    <t>www.timetell.de </t>
  </si>
  <si>
    <t>www.timecard.de (reiner-sct), https://www.reiner-sct.com/timecard/</t>
  </si>
  <si>
    <t>www.timeandbill.de </t>
  </si>
  <si>
    <t>www.timetac.com </t>
  </si>
  <si>
    <t>www.timr.com </t>
  </si>
  <si>
    <t>www.simple-webapps.de </t>
  </si>
  <si>
    <t>https://www.personizer.com/de</t>
  </si>
  <si>
    <t>www.betriko.de</t>
  </si>
  <si>
    <t>www.frachtpilot.de</t>
  </si>
  <si>
    <t>www.gastromatic.de</t>
  </si>
  <si>
    <t>www.wiberry.de</t>
  </si>
  <si>
    <t>www.galawork.de</t>
  </si>
  <si>
    <t>https://www.askdante.com/</t>
  </si>
  <si>
    <t>https://www.poool.cc/</t>
  </si>
  <si>
    <t>https://workinghoursapp.com/de</t>
  </si>
  <si>
    <t>https://www.kelio.de/</t>
  </si>
  <si>
    <t>https://www.personio.de/</t>
  </si>
  <si>
    <t>https://aida-orga.de/de/</t>
  </si>
  <si>
    <t>https://azs.de/</t>
  </si>
  <si>
    <t>https://www.hrworks.de/</t>
  </si>
  <si>
    <t>https://www.sap.com/germany/products/hcm/employee-time-tracking-software.html</t>
  </si>
  <si>
    <t>https://www.factro.de/</t>
  </si>
  <si>
    <t>https://www.timo24.de/</t>
  </si>
  <si>
    <t>https://www.zep.de/</t>
  </si>
  <si>
    <t>https://www.edtime.de/</t>
  </si>
  <si>
    <t>https://www.papershift.com/</t>
  </si>
  <si>
    <t>https://www.zeitguru.de/</t>
  </si>
  <si>
    <t>https://www.aplano.de/</t>
  </si>
  <si>
    <t>https://www.gdi.de/zeiterfassungssoftware/</t>
  </si>
  <si>
    <t>https://www.shiftbase.com/de/</t>
  </si>
  <si>
    <t>https://www.timetrackapp.com/</t>
  </si>
  <si>
    <t>https://123erfasst.de/personal/</t>
  </si>
  <si>
    <t>https://clockify.me/de/</t>
  </si>
  <si>
    <t>https://everhour.com/de</t>
  </si>
  <si>
    <t>https://factorialhr.de/</t>
  </si>
  <si>
    <t>https://www.getharvest.com/</t>
  </si>
  <si>
    <t>https://hourstimelord.com/</t>
  </si>
  <si>
    <t>https://hubstaff.com/</t>
  </si>
  <si>
    <t>https://www.jibble.io/de</t>
  </si>
  <si>
    <t>https://tellent.com/de/hr-manage/zeiterfassung</t>
  </si>
  <si>
    <t>https://momozeit.de/</t>
  </si>
  <si>
    <t>https://support.monday.com/hc/de</t>
  </si>
  <si>
    <t>https://myhours.com/</t>
  </si>
  <si>
    <t>https://www.timecamp.com/de/</t>
  </si>
  <si>
    <t>https://www.timedoctor.com/</t>
  </si>
  <si>
    <t>https://www.timetracking.timeghost.io/</t>
  </si>
  <si>
    <t>https://www.timeline-erp.com/de/</t>
  </si>
  <si>
    <t>https://www.timely.com/cro/variantd</t>
  </si>
  <si>
    <t>https://timepunch.de/</t>
  </si>
  <si>
    <t>https://www.ordio.com/</t>
  </si>
  <si>
    <t>https://staffomatic.com/de/</t>
  </si>
  <si>
    <t>https://www.spiketime.de/</t>
  </si>
  <si>
    <t>https://www.kimai.org/de/</t>
  </si>
  <si>
    <t>https://www.memtime.com/de</t>
  </si>
  <si>
    <t>https://timebuzzer.com/de/</t>
  </si>
  <si>
    <t>https://www.awork.com/de</t>
  </si>
  <si>
    <t>https://www.clicktime.de/</t>
  </si>
  <si>
    <t>https://www.papierkram.de/</t>
  </si>
  <si>
    <t>https://www.zoho.com/de/</t>
  </si>
  <si>
    <t>https://smartplanapp.com/de</t>
  </si>
  <si>
    <t>https://www.xperttimer.de/</t>
  </si>
  <si>
    <t>https://www.kingbill.com/de/produkte/vollversionen/zeiterfassung-tic/index.html</t>
  </si>
  <si>
    <t>https://www.mfr-deutschland.de/</t>
  </si>
  <si>
    <t>https://www.frogtime.com/?lang=de</t>
  </si>
  <si>
    <t>https://www.timemaster.de/</t>
  </si>
  <si>
    <t>https://mite.de/</t>
  </si>
  <si>
    <t>https://www.jephi.de/</t>
  </si>
  <si>
    <t>https://www.timicx.de/</t>
  </si>
  <si>
    <t>https://todo.vu/</t>
  </si>
  <si>
    <t>https://www.absence.io/de/</t>
  </si>
  <si>
    <t>https://www.teamspace.de/</t>
  </si>
  <si>
    <t>https://beebole.com/</t>
  </si>
  <si>
    <t>https://connecteam.com/</t>
  </si>
  <si>
    <t>https://www.monitask.com/de/</t>
  </si>
  <si>
    <t>https://www.paymoapp.com/de/</t>
  </si>
  <si>
    <t>https://early.app/de/</t>
  </si>
  <si>
    <t>https://www.sage.com/de-de/hr-software/zeiterfassung/</t>
  </si>
  <si>
    <t>https://interflex.com/loesungen/zeiterfassung/</t>
  </si>
  <si>
    <t>https://www.saas.de/</t>
  </si>
  <si>
    <t>https://www.timemoto.com/de-de</t>
  </si>
  <si>
    <t>https://www.miditec.de/</t>
  </si>
  <si>
    <t>https://www.datafox.de/</t>
  </si>
  <si>
    <t>https://www.aeonos.de/</t>
  </si>
  <si>
    <t>https://www.ringer.de/</t>
  </si>
  <si>
    <t>https://www.sawayo.de/</t>
  </si>
  <si>
    <t>https://www.tempo.io/products/jira-time-tracking</t>
  </si>
  <si>
    <t>https://www.rexx-systems.com/zeiterfassung/</t>
  </si>
  <si>
    <t>https://www.zoho.com/de/projects/time-tracker.html</t>
  </si>
  <si>
    <t>https://www.azea.app/</t>
  </si>
  <si>
    <t>https://www.anaqua.com/de/wisetime-zeiterfassung/</t>
  </si>
  <si>
    <t>https://www.projektron.de/projektmanagementsoftware/erp-funktionen/zeiterfassung/</t>
  </si>
  <si>
    <t>https://asana.com/de/features/resource-management/time-tracking</t>
  </si>
  <si>
    <t>https://www.wrike.com/de/features/time-tracking-software/</t>
  </si>
  <si>
    <t>https://www.adp.com/what-we-offer/products/adp-workforce-now.aspx</t>
  </si>
  <si>
    <t>https://quickbooks.intuit.com/global/de/</t>
  </si>
  <si>
    <t>https://www.rippling.com/de-DE/produkte/hr/arbeitszeiterfassung</t>
  </si>
  <si>
    <t>https://www.freshbooks.com/timesheets-and-time-tracking</t>
  </si>
  <si>
    <t>https://www.deel.com/de/</t>
  </si>
  <si>
    <t>https://www.netsuite.de/portal/de/home.shtml</t>
  </si>
  <si>
    <t>https://www.geocapture.de/funktionen/digitale-arbeitszeiterfassung</t>
  </si>
  <si>
    <t>https://www.rexx-systems.com/</t>
  </si>
  <si>
    <t>https://www.tempo.io/</t>
  </si>
  <si>
    <t>K01</t>
  </si>
  <si>
    <t>K02</t>
  </si>
  <si>
    <t>K03</t>
  </si>
  <si>
    <t>K04</t>
  </si>
  <si>
    <t>K05</t>
  </si>
  <si>
    <t>K06</t>
  </si>
  <si>
    <t>K07</t>
  </si>
  <si>
    <t>K08</t>
  </si>
  <si>
    <t>K09</t>
  </si>
  <si>
    <t>K10</t>
  </si>
  <si>
    <t>K11</t>
  </si>
  <si>
    <t>K12</t>
  </si>
  <si>
    <t>K13</t>
  </si>
  <si>
    <t>K14</t>
  </si>
  <si>
    <t>K15</t>
  </si>
  <si>
    <t>K16</t>
  </si>
  <si>
    <t>K17</t>
  </si>
  <si>
    <t>K18</t>
  </si>
  <si>
    <t>K19</t>
  </si>
  <si>
    <t>K20</t>
  </si>
  <si>
    <t>K21</t>
  </si>
  <si>
    <t>K22</t>
  </si>
  <si>
    <t>Kostenmodell</t>
  </si>
  <si>
    <t>Serverstandort, Hosting</t>
  </si>
  <si>
    <t>Erweiterbarkeit</t>
  </si>
  <si>
    <t>Terminal</t>
  </si>
  <si>
    <t>EuGH konform</t>
  </si>
  <si>
    <t>Zeiterfassung - Softwareaufbau</t>
  </si>
  <si>
    <t>Teil von HR-Programm</t>
  </si>
  <si>
    <t>Teil von FMS</t>
  </si>
  <si>
    <t>Zusatz- Features</t>
  </si>
  <si>
    <t>Schichtplanung</t>
  </si>
  <si>
    <t>Zutrittskontrolle</t>
  </si>
  <si>
    <t>eAU</t>
  </si>
  <si>
    <t>Urlaubsplanung</t>
  </si>
  <si>
    <t>Personalakte</t>
  </si>
  <si>
    <t>Arbeitszeitkonto</t>
  </si>
  <si>
    <t>Tätigkeit- / Projekterfassung</t>
  </si>
  <si>
    <t>Anpassbarkeit</t>
  </si>
  <si>
    <t>Sprachen</t>
  </si>
  <si>
    <t>Bedien- und Zugriffsstruktur</t>
  </si>
  <si>
    <t>Supportstruktur</t>
  </si>
  <si>
    <t>Übersicht zur Datenauswertung</t>
  </si>
  <si>
    <t>Korrekturen möglich</t>
  </si>
  <si>
    <t>gesetzl. Pausen automatisch buchen</t>
  </si>
  <si>
    <t>Überprüfung Arbeitszeitregeln / Pausenzeiten</t>
  </si>
  <si>
    <t>Datenarchivierung</t>
  </si>
  <si>
    <t>Soll die Software für Ihren Betrieb kostenlos nutzbar sein?</t>
  </si>
  <si>
    <t>Welches Kostenmodell bevorzugen Sie für die Software?</t>
  </si>
  <si>
    <t>Wie soll die Software in Ihrem Betrieb eingesetzt werden?</t>
  </si>
  <si>
    <t>Wo sollen die Daten Ihrer Software gehostet werden?</t>
  </si>
  <si>
    <t>Benötigen Sie eine Schnittstelle zur DATEV-Software?</t>
  </si>
  <si>
    <t>Soll die Software modular erweiterbar sein?</t>
  </si>
  <si>
    <t>Benötigen Sie eine Schichtplanung?</t>
  </si>
  <si>
    <t>Benötigen Sie eine Zutrittskontrolle?</t>
  </si>
  <si>
    <t>Soll die Software die elektronische Arbeitsunfähigkeitsbescheinigung (eAU) unterstützen?</t>
  </si>
  <si>
    <t>Benötigen Sie eine Urlaubsplanung?</t>
  </si>
  <si>
    <t>Benötigen Sie eine digitale Personalakte?</t>
  </si>
  <si>
    <t>Sollen Arbeitszeiten nach Tätigkeiten oder Projekten erfasst werden?</t>
  </si>
  <si>
    <t>Wie stark soll die Software anpassbar sein?</t>
  </si>
  <si>
    <t>Welche Sprachen benötigen Sie?</t>
  </si>
  <si>
    <t>Wie soll der Zugriff auf die Software organisiert sein?</t>
  </si>
  <si>
    <t>Benötigen Sie Auswertungen und Übersichten der Arbeitszeiten?</t>
  </si>
  <si>
    <t>Müssen nachträgliche Korrekturen von Arbeitszeiten möglich sein?</t>
  </si>
  <si>
    <t>Wie sollen die Daten gespeichert werden?</t>
  </si>
  <si>
    <t>Ja</t>
  </si>
  <si>
    <t>Nein</t>
  </si>
  <si>
    <t>Cloud-/webbasiert</t>
  </si>
  <si>
    <t>Lokal installiert</t>
  </si>
  <si>
    <t>Deutschland (höchste Sicherheitsstandards)</t>
  </si>
  <si>
    <t>EU-Ausland (hohes Schutzniveau)</t>
  </si>
  <si>
    <t>Nicht-EU-Ausland</t>
  </si>
  <si>
    <t>Muss die Zeiterfassung auch ohne Internetverbindung möglich sein (mit späterer Synchronisation)?</t>
  </si>
  <si>
    <t>Nein, geschlossenes System</t>
  </si>
  <si>
    <t>Standardlösung</t>
  </si>
  <si>
    <t>Individuell programmierbar</t>
  </si>
  <si>
    <t>Deutsch</t>
  </si>
  <si>
    <t>Deutsch und Englisch</t>
  </si>
  <si>
    <t>Deutsch, Englisch und andere</t>
  </si>
  <si>
    <t>Manuell</t>
  </si>
  <si>
    <t>Vollautomatisch (georeferenziert)</t>
  </si>
  <si>
    <t>Einzelzugang</t>
  </si>
  <si>
    <t>Rollenbasiert</t>
  </si>
  <si>
    <t>Revisionssicher mit Historienprotokoll</t>
  </si>
  <si>
    <t>Einfache Speicherung</t>
  </si>
  <si>
    <t>Soll das Programm mandantenfähig sein?</t>
  </si>
  <si>
    <t>Mandantenfähig</t>
  </si>
  <si>
    <t>stationäres Terminal</t>
  </si>
  <si>
    <t>PC (Browser, lokale Software)</t>
  </si>
  <si>
    <t>Smartphone (Browser, App)</t>
  </si>
  <si>
    <t>Browser (via PC oder Smartphone)</t>
  </si>
  <si>
    <t xml:space="preserve">Schnittstelle zu DATEV </t>
  </si>
  <si>
    <t>Wie soll die Zeiterfassung erfolgen?</t>
  </si>
  <si>
    <t>Sollen Arbeitszeitkonten über die Software verwaltet werden können?</t>
  </si>
  <si>
    <t>Kurzbeschreibung</t>
  </si>
  <si>
    <t>Zielgruppe</t>
  </si>
  <si>
    <t>Abonnement / befristete Lizenz</t>
  </si>
  <si>
    <t>Nein (Teil von Personalmanagement- oder Farm Management-Software)</t>
  </si>
  <si>
    <t>Ja (eigenständige Lösung)</t>
  </si>
  <si>
    <t>alle Branchen</t>
  </si>
  <si>
    <t>Medien, Handel, Industrie</t>
  </si>
  <si>
    <t>Unternehmen, Behörden, Kleinbetrieb</t>
  </si>
  <si>
    <t>Handwerker, Dienstleistungsunternehmen</t>
  </si>
  <si>
    <t>kleiner bis größerer Mittelstand</t>
  </si>
  <si>
    <t>kleine und mittlere Unternehmen</t>
  </si>
  <si>
    <t>kleine und mittlere Unternehmen, Konzern</t>
  </si>
  <si>
    <t>Außendienst oder zuhause; Handwerker, Pflegekräfte und Vertriebsmitarbeiter</t>
  </si>
  <si>
    <t>digitales Workforce Management System</t>
  </si>
  <si>
    <t>digitales Workforce Management System, mit Zeiterfassungsmodul</t>
  </si>
  <si>
    <t>Branchensoftware für Mittelstand</t>
  </si>
  <si>
    <t>Fokus auf Zeiterfassung</t>
  </si>
  <si>
    <t>einfach, Arbeitszeiten erfassen, Zutritt steuern</t>
  </si>
  <si>
    <t>Zeiterfassung, GPS-Ortung und Zutrittskontrolle</t>
  </si>
  <si>
    <t>modulare HR-Lösungen und Security Anwendungen</t>
  </si>
  <si>
    <t>Zeiterfassung und IT-Service-Management</t>
  </si>
  <si>
    <t>Zeiterfassung und HR</t>
  </si>
  <si>
    <t>einfache Zeiterfassung</t>
  </si>
  <si>
    <t>Stand Alone Zeiterfassungsprogramm</t>
  </si>
  <si>
    <t>K02.1</t>
  </si>
  <si>
    <t>K04.1</t>
  </si>
  <si>
    <t>K04.2</t>
  </si>
  <si>
    <t>K06.1</t>
  </si>
  <si>
    <t>K06.2</t>
  </si>
  <si>
    <t>K08.1</t>
  </si>
  <si>
    <t>K08.2</t>
  </si>
  <si>
    <t>Einmalige Zahlung (schränkt Auswahl erheblich ein)</t>
  </si>
  <si>
    <t>open Source</t>
  </si>
  <si>
    <t>kommerziell (proprietär)</t>
  </si>
  <si>
    <t>manuelle Eingabe</t>
  </si>
  <si>
    <t>vollautomatisch (georeferenziert)</t>
  </si>
  <si>
    <t>Besonderheiten</t>
  </si>
  <si>
    <t>Standort bei Erfassung kann mit erfasst werden</t>
  </si>
  <si>
    <t>GPS Fahrzeugortung, zusätzliche Erfassung der Fahrzeugdaten z.B. Zündung An/Aus</t>
  </si>
  <si>
    <t>K02.1.1</t>
  </si>
  <si>
    <t>K05.1</t>
  </si>
  <si>
    <t>K06.3</t>
  </si>
  <si>
    <t>K10.7</t>
  </si>
  <si>
    <t>K10.6</t>
  </si>
  <si>
    <t>K10.5</t>
  </si>
  <si>
    <t>K10.4</t>
  </si>
  <si>
    <t>K10.3</t>
  </si>
  <si>
    <t>K10.2</t>
  </si>
  <si>
    <t>K10.1</t>
  </si>
  <si>
    <t>anbieter</t>
  </si>
  <si>
    <t>website</t>
  </si>
  <si>
    <t>kurzbeschreibung</t>
  </si>
  <si>
    <t>zielgruppe</t>
  </si>
  <si>
    <t>besonderheiten</t>
  </si>
  <si>
    <t>programm_id</t>
  </si>
  <si>
    <t>kriterium_id</t>
  </si>
  <si>
    <t>kriterium_name</t>
  </si>
  <si>
    <t>programm_name</t>
  </si>
  <si>
    <t>antwort_datentyp</t>
  </si>
  <si>
    <t>gewichtung_standard</t>
  </si>
  <si>
    <t>frage_text</t>
  </si>
  <si>
    <t>option_1</t>
  </si>
  <si>
    <t>option_2</t>
  </si>
  <si>
    <t>option_3</t>
  </si>
  <si>
    <t>option_4</t>
  </si>
  <si>
    <t>antwort_text</t>
  </si>
  <si>
    <t>antwort_wert</t>
  </si>
  <si>
    <t>Welche Art von Software bevorzugen Sie?</t>
  </si>
  <si>
    <t>Open Source (meist kostenlos, Programmcode ist öffentlich zugänglich, kann geändert und weiterentwickelt werden)</t>
  </si>
  <si>
    <t>proprietäre Software (herkömmliche lizenzierte Software)</t>
  </si>
  <si>
    <t>multiple_select</t>
  </si>
  <si>
    <t>ziel_kriterien</t>
  </si>
  <si>
    <t>K01; K02</t>
  </si>
  <si>
    <t>K03; K04</t>
  </si>
  <si>
    <t>K13; K14</t>
  </si>
  <si>
    <t>K06.1; K06.2; K06.3</t>
  </si>
  <si>
    <t>K08.1; K08.2</t>
  </si>
  <si>
    <t>aktiv_im_matching</t>
  </si>
  <si>
    <t>Zeiterfassung mit GPS-Fokus</t>
  </si>
  <si>
    <t>TimePunch KG</t>
  </si>
  <si>
    <t>Timely AS</t>
  </si>
  <si>
    <t>Gebauer GmbH</t>
  </si>
  <si>
    <t>timeghost GmbH</t>
  </si>
  <si>
    <t>TimeCamp. Inc.</t>
  </si>
  <si>
    <t>ProntoWeb GmbH</t>
  </si>
  <si>
    <t>Recruitee B.V.</t>
  </si>
  <si>
    <t>Netsoft Holdings, LLC d/b/a Hubstaff</t>
  </si>
  <si>
    <t>Bending Spoons US Inc.</t>
  </si>
  <si>
    <t>Factorial GmbH</t>
  </si>
  <si>
    <t>CAKE.com Inc.</t>
  </si>
  <si>
    <t>123erfasst.de GmbH, Unternehmen der NEVARIS Bausoftware GmbH</t>
  </si>
  <si>
    <t>TimeTrack GmbH</t>
  </si>
  <si>
    <t>Shiftbase B.V.</t>
  </si>
  <si>
    <t>GDI Software GMbH</t>
  </si>
  <si>
    <t>Aplano GmbH</t>
  </si>
  <si>
    <t>Papershift GmbH</t>
  </si>
  <si>
    <t>eurodata AG</t>
  </si>
  <si>
    <t>ZEP GmbH</t>
  </si>
  <si>
    <t>Time Management Office GmbH</t>
  </si>
  <si>
    <t>SAP SE</t>
  </si>
  <si>
    <t>Hrworks GmbH</t>
  </si>
  <si>
    <t>ISGUS GmbH</t>
  </si>
  <si>
    <t>Lösungen für Zeiterfassung, Zutrittskontrolle und Personaleinsatzplanung</t>
  </si>
  <si>
    <t>AZS System AG</t>
  </si>
  <si>
    <t>HR- und Workforce Management</t>
  </si>
  <si>
    <t>umfassende HR-Management Software, mit KI Assistent</t>
  </si>
  <si>
    <t>HR und Lohnbuchhaltung</t>
  </si>
  <si>
    <t>Personio SE &amp; Co. KG</t>
  </si>
  <si>
    <t>Verwaltung mehrerer Unternehmen und Standorte</t>
  </si>
  <si>
    <t>Workforce management software</t>
  </si>
  <si>
    <t>KELIO GmbH</t>
  </si>
  <si>
    <t>Daten werden im persönlichen Cloudspeicher gespeichert, GPS-Arbeitsplatzerkennung: Timer startet, wenn man zur Arbeit kommt, Geofencing</t>
  </si>
  <si>
    <t>einfache Zeiterfassungsapp</t>
  </si>
  <si>
    <t>Timo Partl</t>
  </si>
  <si>
    <t>ERP-Software mit Fokus auf Dienstleistungsunternehmen</t>
  </si>
  <si>
    <t>ERP-Software</t>
  </si>
  <si>
    <t>Poool Software &amp; Consulting GmbH</t>
  </si>
  <si>
    <t>große Auswahl an Alarmregeln: von Arbeitszeitüberschreitung bis Dienstjubiläum</t>
  </si>
  <si>
    <t>askDANTE systems GmbH</t>
  </si>
  <si>
    <t>Garten- und Landschaftsbau</t>
  </si>
  <si>
    <t>galabau workgroup GmbH</t>
  </si>
  <si>
    <t>Witime, Gartenbau</t>
  </si>
  <si>
    <t>wiberry GmbH</t>
  </si>
  <si>
    <t>vertical cloud solution GmbH</t>
  </si>
  <si>
    <t>Direktvermarktung, Lieferungen</t>
  </si>
  <si>
    <t>FlexFleet Solutions GmbH</t>
  </si>
  <si>
    <t>Dokumentation der Ackerarbeiten</t>
  </si>
  <si>
    <t>Agrarmonitor, Lohnunternehmen, Ackerbau</t>
  </si>
  <si>
    <t>betriko GmbH</t>
  </si>
  <si>
    <t>Zeiterfassung nur Schlagbezogen</t>
  </si>
  <si>
    <t>AGCO GmbH</t>
  </si>
  <si>
    <t>FMS mit integrierter Zeiterfassung insbesondere für Saisonarbeitskräfte</t>
  </si>
  <si>
    <t>Landwirte, Betriebe mit Saisonarbeitskräften</t>
  </si>
  <si>
    <t>agroproject Technologie- und Informationssysteme GmbH &amp; Co.KG</t>
  </si>
  <si>
    <t>Design der Software kann an die des Unternehmens angepasst werden (Corporate Design)</t>
  </si>
  <si>
    <t>Unternehmen und Organisationen</t>
  </si>
  <si>
    <t>Personizer GmbH &amp; Co. KG</t>
  </si>
  <si>
    <t>basic Zeiterfassung</t>
  </si>
  <si>
    <t>kleine und mittelständige Organisationen</t>
  </si>
  <si>
    <t>Harald Hornung</t>
  </si>
  <si>
    <t>Standort bei Erfassung kann mit erfasst werden, Geofencing, freie Version für nur einen Benutzer</t>
  </si>
  <si>
    <t>digitale Zeiterfassung</t>
  </si>
  <si>
    <t>troii Software GmbH</t>
  </si>
  <si>
    <t>Standort bei Erfassung kann mit erfasst werden, Verwaltung verschiedener Unternehmensstandorte möglich</t>
  </si>
  <si>
    <t>Zeiterfassung modular nach Unternehmensgröße</t>
  </si>
  <si>
    <t xml:space="preserve">bietet eine Open Source Variante </t>
  </si>
  <si>
    <t>alle Branchen, kleinere Unternehmen und Teams</t>
  </si>
  <si>
    <t>Grobmeier Solutions GmbH</t>
  </si>
  <si>
    <t>Zeiterfassung</t>
  </si>
  <si>
    <t>REINER Kartengeräte GmbH und Co. KG</t>
  </si>
  <si>
    <t>Geofencing beim An- und Abmelden (Mitarbeiter können sich nur in vorher definierten Bereich für Arbeit an- und abmelden)</t>
  </si>
  <si>
    <t>Software für Zeiterfassung und Planung</t>
  </si>
  <si>
    <t>TimeTell B.V.</t>
  </si>
  <si>
    <t>Fokus auf Projektmanagement, besonders geeignet bei immer gleichen Stundenzahlen oder sich wiederholenden Aufgaben</t>
  </si>
  <si>
    <t>Projektmanagementsystem</t>
  </si>
  <si>
    <t>Unternehmen oder Projektgruppen</t>
  </si>
  <si>
    <t>primatime.com s.r.o.</t>
  </si>
  <si>
    <t>Fokus liegt auf Lohnabrechnung</t>
  </si>
  <si>
    <t>HeavenHR GmbH</t>
  </si>
  <si>
    <t>GPS Standort kann bei Stempelung mit erfasst werden</t>
  </si>
  <si>
    <t>Personaleinsatzplanung und Zeiterfassung</t>
  </si>
  <si>
    <t>Zeiterfassung: digital und zuverlässig</t>
  </si>
  <si>
    <t>ATOSS Aloud GmbH</t>
  </si>
  <si>
    <t>Über die API-Schnittstelle können Sie bei Bedarf Clockodo noch weiter nach Ihren Wünschen anpassen, mit Budgetüberwachung für Projekte, keine Anbindung an DATEV, aber vielen anderen Lohnbuchhaltungssystemen</t>
  </si>
  <si>
    <t>Clockodo GmbH</t>
  </si>
  <si>
    <t>clockin GmbH</t>
  </si>
  <si>
    <t>ZMI GmbH</t>
  </si>
  <si>
    <t>emvion Business Software GmbH</t>
  </si>
  <si>
    <t>Atoria – the people software GmbH</t>
  </si>
  <si>
    <t>MobilZeit GmbH</t>
  </si>
  <si>
    <t>mess-elektronik-groß GmbH</t>
  </si>
  <si>
    <t>Krutec SoftCon GmbH</t>
  </si>
  <si>
    <t>GRÜN Software Group GmbH</t>
  </si>
  <si>
    <t>ATOSS Software SE</t>
  </si>
  <si>
    <t>cloud-/webbasiert</t>
  </si>
  <si>
    <t>erfassungsmedium</t>
  </si>
  <si>
    <t>Erfassungsmedium</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</si>
  <si>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</si>
  <si>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</si>
  <si>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</si>
  <si>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</si>
  <si>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</si>
  <si>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</si>
  <si>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</si>
  <si>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</si>
  <si>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</si>
  <si>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</si>
  <si>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</si>
  <si>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</si>
  <si>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</si>
  <si>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</si>
  <si>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</si>
  <si>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</si>
  <si>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</si>
  <si>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</si>
  <si>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</si>
  <si>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</si>
  <si>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</si>
  <si>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</si>
  <si>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</si>
  <si>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</si>
  <si>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</si>
  <si>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</si>
  <si>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</si>
  <si>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</si>
  <si>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</si>
  <si>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</si>
  <si>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</si>
  <si>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</si>
  <si>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</si>
  <si>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</si>
  <si>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</si>
  <si>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</si>
  <si>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</si>
  <si>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</si>
  <si>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</si>
  <si>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</si>
  <si>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</si>
  <si>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</si>
  <si>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</si>
  <si>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</si>
  <si>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</si>
  <si>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</si>
  <si>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</si>
  <si>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</si>
  <si>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</si>
  <si>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</si>
  <si>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</si>
  <si>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Titel</t>
  </si>
  <si>
    <t>Bearbeitungsstatus</t>
  </si>
  <si>
    <t>zuletzt geprüft am</t>
  </si>
  <si>
    <t>geprüft von</t>
  </si>
  <si>
    <t>Kommentar</t>
  </si>
  <si>
    <t>Programm_Name</t>
  </si>
  <si>
    <t>Claudia Bäuerlein</t>
  </si>
  <si>
    <t>Geprüft</t>
  </si>
  <si>
    <t>Neu</t>
  </si>
  <si>
    <t>kurze Anleitung:</t>
  </si>
  <si>
    <t>Erfassen Sie hier neue Programme oder aktualisieren Sie bestehende Einträge.</t>
  </si>
  <si>
    <t>Bitte tragen Sie alle verfügbaren Informationen ein und bewerten Sie die Kriterien ausschließlich anhand der vorgegebenen Auswahlmöglichkeiten.</t>
  </si>
  <si>
    <t>Nutzen Sie die Kommentare in den Spaltenüberschriften als Orientierung für eine einheitliche Bewertung.</t>
  </si>
  <si>
    <t>letzte Aktualisierung:</t>
  </si>
  <si>
    <t>Verantwortliche Person:</t>
  </si>
  <si>
    <t>Kriterien</t>
  </si>
  <si>
    <t>Personalverwaltung und Echtzeit-Lohnabrechnung</t>
  </si>
  <si>
    <t>Link zum Tool</t>
  </si>
  <si>
    <t>Idee</t>
  </si>
  <si>
    <t>Anleitung</t>
  </si>
  <si>
    <t>einmalige Zahlung</t>
  </si>
  <si>
    <t>Abo / befristete Lizenz</t>
  </si>
  <si>
    <t>EU</t>
  </si>
  <si>
    <t>Deutschland</t>
  </si>
  <si>
    <t>offene Schnittstellen</t>
  </si>
  <si>
    <t>monolithisch</t>
  </si>
  <si>
    <t>modular</t>
  </si>
  <si>
    <t>individuell programmierbar</t>
  </si>
  <si>
    <t>Stammdaten und Bewertungsbasis</t>
  </si>
  <si>
    <t>rollenbasiert</t>
  </si>
  <si>
    <t xml:space="preserve"> </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</si>
  <si>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</si>
  <si>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</si>
  <si>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</si>
  <si>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</si>
  <si>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</si>
  <si>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</si>
  <si>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</si>
  <si>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</si>
  <si>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</si>
  <si>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</si>
  <si>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</si>
  <si>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</si>
  <si>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</si>
  <si>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</si>
  <si>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</si>
  <si>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</si>
  <si>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</si>
  <si>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</si>
  <si>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</si>
  <si>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</si>
  <si>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</si>
  <si>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</si>
  <si>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</si>
  <si>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</si>
  <si>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</si>
  <si>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</si>
  <si>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</si>
  <si>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</si>
  <si>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</si>
  <si>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</si>
  <si>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</si>
  <si>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</si>
  <si>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</si>
  <si>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</si>
  <si>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</si>
  <si>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</si>
  <si>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</si>
  <si>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</si>
  <si>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</si>
  <si>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</si>
  <si>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</si>
  <si>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</si>
  <si>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</si>
  <si>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</si>
  <si>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</si>
  <si>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</si>
  <si>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</si>
  <si>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</si>
  <si>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</si>
  <si>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</si>
  <si>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</si>
  <si>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</si>
  <si>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</si>
  <si>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</si>
  <si>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</si>
  <si>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</si>
  <si>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</si>
  <si>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</si>
  <si>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</si>
  <si>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</si>
  <si>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</si>
  <si>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</si>
  <si>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</si>
  <si>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</si>
  <si>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</si>
  <si>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</si>
  <si>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</si>
  <si>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</si>
  <si>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</si>
  <si>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</si>
  <si>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</si>
  <si>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</si>
  <si>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</si>
  <si>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</si>
  <si>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</si>
  <si>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</si>
  <si>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</si>
  <si>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</si>
  <si>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</si>
  <si>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</si>
  <si>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</si>
  <si>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</si>
  <si>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</si>
  <si>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</si>
  <si>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</si>
  <si>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</si>
  <si>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</si>
  <si>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</si>
  <si>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</si>
  <si>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</si>
  <si>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</si>
  <si>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</si>
  <si>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</si>
  <si>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</si>
  <si>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</si>
  <si>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</si>
  <si>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</si>
  <si>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</si>
  <si>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</si>
  <si>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</si>
  <si>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</si>
  <si>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</si>
  <si>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</si>
  <si>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</si>
  <si>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</si>
  <si>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</si>
  <si>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</si>
  <si>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</si>
  <si>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</si>
  <si>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</si>
  <si>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</si>
  <si>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</si>
  <si>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</si>
  <si>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</si>
  <si>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</si>
  <si>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</si>
  <si>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</si>
  <si>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</si>
  <si>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</si>
  <si>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</si>
  <si>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</si>
  <si>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</si>
  <si>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</si>
  <si>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</si>
  <si>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</si>
  <si>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</si>
  <si>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</si>
  <si>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</si>
  <si>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</si>
  <si>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</si>
  <si>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</si>
  <si>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</si>
  <si>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</si>
  <si>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</si>
  <si>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</si>
  <si>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</si>
  <si>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</si>
  <si>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</si>
  <si>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</si>
  <si>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</si>
  <si>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</si>
  <si>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</si>
  <si>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</si>
  <si>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</si>
  <si>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</si>
  <si>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</si>
  <si>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</si>
  <si>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</si>
  <si>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</si>
  <si>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</si>
  <si>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</si>
  <si>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</si>
  <si>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</si>
  <si>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</si>
  <si>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</si>
  <si>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</si>
  <si>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</si>
  <si>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</si>
  <si>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</si>
  <si>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</si>
  <si>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</si>
  <si>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</si>
  <si>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</si>
  <si>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</si>
  <si>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</si>
  <si>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</si>
  <si>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</si>
  <si>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</si>
  <si>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</si>
  <si>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</si>
  <si>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</si>
  <si>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</si>
  <si>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</si>
  <si>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</si>
  <si>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</si>
  <si>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</si>
  <si>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</si>
  <si>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</si>
  <si>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</si>
  <si>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</si>
  <si>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</si>
  <si>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</si>
  <si>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</si>
  <si>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</si>
  <si>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</si>
  <si>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</si>
  <si>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</si>
  <si>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</si>
  <si>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</si>
  <si>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</si>
  <si>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</si>
  <si>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</si>
  <si>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</si>
  <si>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</si>
  <si>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</si>
  <si>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</si>
  <si>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</si>
  <si>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</si>
  <si>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</si>
  <si>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</si>
  <si>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</si>
  <si>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</si>
  <si>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</si>
  <si>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</si>
  <si>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</si>
  <si>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</si>
  <si>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</si>
  <si>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</si>
  <si>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</si>
  <si>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</si>
  <si>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</si>
  <si>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</si>
  <si>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</si>
  <si>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</si>
  <si>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</si>
  <si>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</si>
  <si>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</si>
  <si>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</si>
  <si>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</si>
  <si>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</si>
  <si>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</si>
  <si>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</si>
  <si>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</si>
  <si>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</si>
  <si>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</si>
  <si>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</si>
  <si>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</si>
  <si>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</si>
  <si>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</si>
  <si>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</si>
  <si>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</si>
  <si>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</si>
  <si>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</si>
  <si>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</si>
  <si>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</si>
  <si>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</si>
  <si>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</si>
  <si>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</si>
  <si>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</si>
  <si>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</si>
  <si>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</si>
  <si>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</si>
  <si>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</si>
  <si>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</si>
  <si>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</si>
  <si>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</si>
  <si>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</si>
  <si>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</si>
  <si>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</si>
  <si>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</si>
  <si>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</si>
  <si>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</si>
  <si>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</si>
  <si>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</si>
  <si>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</si>
  <si>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</si>
  <si>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</si>
  <si>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</si>
  <si>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</si>
  <si>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</si>
  <si>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</si>
  <si>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</si>
  <si>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</si>
  <si>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</si>
  <si>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</si>
  <si>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</si>
  <si>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</si>
  <si>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</si>
  <si>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</si>
  <si>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</si>
  <si>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</si>
  <si>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</si>
  <si>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</si>
  <si>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</si>
  <si>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</si>
  <si>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</si>
  <si>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</si>
  <si>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</si>
  <si>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</si>
  <si>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</si>
  <si>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</si>
  <si>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</si>
  <si>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</si>
  <si>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</si>
  <si>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</si>
  <si>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</si>
  <si>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</si>
  <si>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</si>
  <si>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</si>
  <si>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</si>
  <si>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</si>
  <si>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</si>
  <si>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</si>
  <si>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</si>
  <si>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</si>
  <si>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</si>
  <si>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</si>
  <si>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</si>
  <si>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</si>
  <si>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</si>
  <si>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</si>
  <si>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</si>
  <si>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</si>
  <si>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</si>
  <si>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</si>
  <si>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</si>
  <si>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</si>
  <si>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</si>
  <si>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</si>
  <si>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</si>
  <si>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</si>
  <si>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</si>
  <si>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</si>
  <si>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</si>
  <si>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</si>
  <si>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</si>
  <si>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</si>
  <si>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</si>
  <si>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</si>
  <si>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</si>
  <si>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</si>
  <si>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</si>
  <si>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</si>
  <si>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</si>
  <si>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</si>
  <si>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</si>
  <si>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</si>
  <si>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</si>
  <si>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</si>
  <si>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</si>
  <si>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</si>
  <si>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</si>
  <si>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</si>
  <si>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</si>
  <si>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</si>
  <si>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</si>
  <si>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</si>
  <si>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</si>
  <si>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</si>
  <si>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</si>
  <si>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</si>
  <si>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</si>
  <si>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</si>
  <si>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</si>
  <si>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</si>
  <si>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</si>
  <si>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</si>
  <si>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</si>
  <si>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</si>
  <si>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</si>
  <si>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</si>
  <si>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</si>
  <si>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</si>
  <si>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</si>
  <si>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</si>
  <si>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</si>
  <si>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</si>
  <si>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</si>
  <si>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</si>
  <si>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</si>
  <si>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</si>
  <si>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</si>
  <si>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</si>
  <si>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</si>
  <si>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</si>
  <si>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</si>
  <si>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</si>
  <si>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</si>
  <si>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</si>
  <si>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</si>
  <si>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</si>
  <si>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</si>
  <si>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</si>
  <si>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</si>
  <si>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</si>
  <si>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</si>
  <si>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</si>
  <si>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</si>
  <si>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</si>
  <si>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</si>
  <si>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</si>
  <si>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</si>
  <si>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</si>
  <si>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</si>
  <si>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</si>
  <si>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</si>
  <si>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</si>
  <si>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</si>
  <si>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</si>
  <si>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</si>
  <si>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</si>
  <si>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</si>
  <si>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</si>
  <si>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</si>
  <si>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</si>
  <si>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</si>
  <si>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</si>
  <si>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</si>
  <si>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</si>
  <si>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</si>
  <si>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</si>
  <si>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</si>
  <si>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</si>
  <si>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</si>
  <si>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</si>
  <si>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</si>
  <si>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</si>
  <si>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</si>
  <si>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</si>
  <si>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</si>
  <si>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</si>
  <si>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</si>
  <si>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</si>
  <si>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</si>
  <si>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</si>
  <si>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</si>
  <si>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</si>
  <si>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</si>
  <si>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</si>
  <si>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</si>
  <si>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</si>
  <si>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</si>
  <si>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</si>
  <si>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</si>
  <si>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</si>
  <si>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</si>
  <si>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</si>
  <si>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</si>
  <si>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</si>
  <si>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</si>
  <si>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</si>
  <si>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</si>
  <si>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</si>
  <si>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</si>
  <si>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</si>
  <si>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</si>
  <si>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</si>
  <si>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</si>
  <si>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</si>
  <si>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</si>
  <si>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</si>
  <si>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</si>
  <si>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</si>
  <si>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</si>
  <si>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</si>
  <si>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</si>
  <si>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</si>
  <si>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</si>
  <si>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</si>
  <si>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</si>
  <si>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</si>
  <si>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</si>
  <si>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</si>
  <si>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</si>
  <si>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</si>
  <si>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</si>
  <si>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</si>
  <si>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</si>
  <si>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</si>
  <si>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</si>
  <si>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</si>
  <si>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</si>
  <si>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</si>
  <si>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</si>
  <si>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</si>
  <si>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</si>
  <si>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</si>
  <si>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</si>
  <si>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</si>
  <si>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</si>
  <si>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</si>
  <si>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</si>
  <si>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</si>
  <si>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</si>
  <si>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</si>
  <si>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</si>
  <si>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</si>
  <si>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</si>
  <si>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</si>
  <si>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</si>
  <si>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</si>
  <si>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</si>
  <si>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</si>
  <si>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</si>
  <si>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</si>
  <si>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</si>
  <si>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</si>
  <si>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</si>
  <si>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</si>
  <si>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</si>
  <si>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</si>
  <si>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</si>
  <si>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</si>
  <si>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</si>
  <si>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</si>
  <si>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</si>
  <si>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</si>
  <si>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</si>
  <si>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</si>
  <si>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</si>
  <si>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</si>
  <si>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</si>
  <si>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</si>
  <si>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</si>
  <si>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</si>
  <si>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</si>
  <si>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</si>
  <si>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</si>
  <si>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</si>
  <si>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</si>
  <si>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</si>
  <si>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</si>
  <si>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</si>
  <si>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</si>
  <si>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</si>
  <si>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</si>
  <si>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</si>
  <si>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</si>
  <si>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</si>
  <si>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</si>
  <si>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</si>
  <si>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</si>
  <si>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</si>
  <si>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</si>
  <si>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</si>
  <si>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</si>
  <si>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</si>
  <si>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</si>
  <si>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</si>
  <si>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</si>
  <si>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</si>
  <si>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</si>
  <si>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</si>
  <si>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</si>
  <si>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</si>
  <si>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</si>
  <si>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</si>
  <si>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</si>
  <si>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</si>
  <si>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</si>
  <si>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</si>
  <si>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</si>
  <si>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</si>
  <si>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</si>
  <si>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</si>
  <si>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</si>
  <si>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</si>
  <si>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</si>
  <si>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</si>
  <si>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</si>
  <si>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</si>
  <si>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</si>
  <si>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</si>
  <si>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</si>
  <si>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</si>
  <si>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</si>
  <si>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</si>
  <si>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</si>
  <si>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</si>
  <si>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</si>
  <si>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</si>
  <si>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</si>
  <si>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</si>
  <si>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</si>
  <si>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</si>
  <si>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</si>
  <si>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</si>
  <si>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</si>
  <si>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</si>
  <si>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</si>
  <si>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</si>
  <si>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</si>
  <si>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</si>
  <si>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</si>
  <si>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</si>
  <si>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</si>
  <si>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</si>
  <si>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</si>
  <si>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</si>
  <si>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</si>
  <si>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</si>
  <si>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</si>
  <si>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</si>
  <si>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</si>
  <si>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</si>
  <si>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</si>
  <si>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</si>
  <si>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</si>
  <si>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</si>
  <si>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</si>
  <si>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</si>
  <si>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</si>
  <si>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</si>
  <si>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</si>
  <si>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</si>
  <si>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</si>
  <si>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</si>
  <si>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</si>
  <si>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</si>
  <si>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</si>
  <si>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</si>
  <si>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</si>
  <si>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</si>
  <si>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</si>
  <si>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</si>
  <si>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</si>
  <si>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</si>
  <si>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</si>
  <si>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</si>
  <si>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</si>
  <si>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</si>
  <si>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</si>
  <si>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</si>
  <si>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</si>
  <si>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</si>
  <si>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</si>
  <si>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</si>
  <si>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</si>
  <si>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</si>
  <si>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</si>
  <si>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</si>
  <si>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</si>
  <si>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</si>
  <si>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</si>
  <si>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</si>
  <si>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</si>
  <si>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</si>
  <si>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</si>
  <si>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</si>
  <si>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</si>
  <si>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</si>
  <si>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</si>
  <si>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</si>
  <si>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</si>
  <si>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</si>
  <si>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</si>
  <si>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</si>
  <si>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</si>
  <si>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</si>
  <si>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</si>
  <si>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</si>
  <si>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</si>
  <si>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</si>
  <si>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</si>
  <si>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</si>
  <si>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</si>
  <si>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</si>
  <si>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</si>
  <si>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</si>
  <si>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</si>
  <si>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</si>
  <si>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</si>
  <si>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</si>
  <si>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</si>
  <si>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</si>
  <si>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</si>
  <si>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</si>
  <si>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</si>
  <si>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</si>
  <si>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</si>
  <si>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</si>
  <si>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</si>
  <si>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</si>
  <si>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</si>
  <si>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</si>
  <si>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</si>
  <si>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</si>
  <si>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</si>
  <si>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</si>
  <si>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</si>
  <si>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</si>
  <si>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</si>
  <si>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</si>
  <si>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</si>
  <si>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</si>
  <si>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</si>
  <si>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</si>
  <si>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</si>
  <si>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</si>
  <si>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</si>
  <si>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</si>
  <si>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</si>
  <si>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</si>
  <si>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</si>
  <si>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</si>
  <si>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</si>
  <si>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</si>
  <si>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</si>
  <si>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</si>
  <si>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</si>
  <si>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</si>
  <si>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</si>
  <si>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</si>
  <si>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</si>
  <si>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</si>
  <si>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</si>
  <si>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</si>
  <si>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</si>
  <si>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</si>
  <si>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</si>
  <si>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</si>
  <si>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</si>
  <si>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</si>
  <si>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</si>
  <si>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</si>
  <si>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</si>
  <si>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</si>
  <si>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</si>
  <si>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</si>
  <si>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</si>
  <si>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</si>
  <si>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</si>
  <si>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</si>
  <si>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</si>
  <si>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</si>
  <si>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</si>
  <si>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</si>
  <si>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</si>
  <si>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</si>
  <si>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</si>
  <si>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</si>
  <si>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</si>
  <si>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</si>
  <si>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</si>
  <si>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</si>
  <si>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</si>
  <si>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</si>
  <si>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</si>
  <si>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</si>
  <si>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</si>
  <si>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</si>
  <si>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</si>
  <si>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</si>
  <si>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</si>
  <si>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</si>
  <si>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</si>
  <si>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</si>
  <si>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</si>
  <si>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</si>
  <si>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</si>
  <si>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</si>
  <si>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</si>
  <si>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</si>
  <si>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</si>
  <si>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</si>
  <si>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</si>
  <si>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</si>
  <si>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</si>
  <si>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</si>
  <si>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</si>
  <si>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</si>
  <si>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</si>
  <si>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</si>
  <si>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</si>
  <si>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</si>
  <si>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</si>
  <si>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</si>
  <si>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</si>
  <si>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</si>
  <si>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</si>
  <si>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</si>
  <si>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</si>
  <si>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</si>
  <si>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</si>
  <si>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</si>
  <si>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</si>
  <si>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</si>
  <si>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</si>
  <si>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</si>
  <si>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</si>
  <si>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</si>
  <si>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</si>
  <si>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</si>
  <si>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</si>
  <si>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</si>
  <si>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</si>
  <si>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</si>
  <si>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</si>
  <si>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</si>
  <si>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</si>
  <si>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</si>
  <si>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</si>
  <si>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</si>
  <si>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</si>
  <si>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</si>
  <si>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</si>
  <si>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</si>
  <si>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</si>
  <si>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</si>
  <si>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</si>
  <si>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</si>
  <si>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</si>
  <si>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</si>
  <si>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</si>
  <si>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</si>
  <si>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</si>
  <si>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</si>
  <si>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</si>
  <si>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</si>
  <si>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</si>
  <si>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</si>
  <si>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</si>
  <si>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</si>
  <si>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</si>
  <si>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</si>
  <si>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</si>
  <si>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</si>
  <si>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</si>
  <si>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</si>
  <si>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</si>
  <si>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</si>
  <si>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</si>
  <si>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</si>
  <si>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</si>
  <si>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</si>
  <si>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</si>
  <si>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</si>
  <si>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</si>
  <si>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</si>
  <si>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</si>
  <si>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</si>
  <si>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</si>
  <si>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</si>
  <si>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</si>
  <si>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</si>
  <si>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</si>
  <si>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</si>
  <si>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</si>
  <si>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</si>
  <si>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</si>
  <si>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</si>
  <si>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</si>
  <si>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</si>
  <si>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</si>
  <si>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</si>
  <si>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</si>
  <si>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</si>
  <si>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</si>
  <si>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</si>
  <si>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</si>
  <si>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</si>
  <si>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</si>
  <si>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</si>
  <si>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</si>
  <si>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</si>
  <si>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</si>
  <si>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</si>
  <si>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</si>
  <si>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</si>
  <si>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</si>
  <si>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</si>
  <si>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</si>
  <si>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</si>
  <si>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</si>
  <si>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Datenpfleger</t>
  </si>
  <si>
    <t>Nutzer</t>
  </si>
  <si>
    <t>Link zum Tool anklicken, Erklärungen folgen</t>
  </si>
  <si>
    <t>Die anderen Tabellenblätter sind schreibgeschützt und werden für die Tool-Logik benötigt.</t>
  </si>
  <si>
    <t>Das Tool ermöglicht die passende Software zur Arbeitszeiterfassung für Ihren Landwirtschaftlichen Betrieb zu finden.</t>
  </si>
  <si>
    <t>Die hinterlegte Datengrundlage kann mithilfe des Tabellenblatts "Programme_Grunddaten" jederzeit ergänzt und aktualisiert werden.</t>
  </si>
  <si>
    <t>Das Tabellenblatt "Programme_Grunddaten" aufrufen. Anweisungen dort folgen.</t>
  </si>
  <si>
    <t>Urheber</t>
  </si>
  <si>
    <t>MatchZeit</t>
  </si>
  <si>
    <t>Aktualisieren Sie den Bearbeitungsstatus nach Abschluss der Bearbeitung.</t>
  </si>
  <si>
    <t>abhaengig_von_kriterium_id</t>
  </si>
  <si>
    <t>abhaengig_von_antwort</t>
  </si>
  <si>
    <t>single_choice</t>
  </si>
  <si>
    <t>ziel_kriterium_id</t>
  </si>
  <si>
    <t>mapping_typen</t>
  </si>
  <si>
    <t>binär</t>
  </si>
  <si>
    <t>umgekehrt binär</t>
  </si>
  <si>
    <t>Kategorie/Ausprägung</t>
  </si>
  <si>
    <t>Mehrere Zielkriterien</t>
  </si>
  <si>
    <t>Multiple Choice</t>
  </si>
  <si>
    <t>Ja, unbedingt</t>
  </si>
  <si>
    <t>maximal erreichbaren Punkte mit den erreichten Punkten in prozentualen Zusammenhang bringt.</t>
  </si>
  <si>
    <t>Hier erhält der Nutzer Informationen und einen Link, der direkt auf die Unternehmenswebsite führt.</t>
  </si>
  <si>
    <t>Serverstandort</t>
  </si>
  <si>
    <t>DATEV-Schnittstelle</t>
  </si>
  <si>
    <t>neutral</t>
  </si>
  <si>
    <t>Frage überspringen</t>
  </si>
  <si>
    <t>Auf der Tool-Website werden dem Nutzer Fragen zu seinen individuellen Voraussetzungen und Bedürfnissen im Betrieb gestellt.</t>
  </si>
  <si>
    <t>Prüfung von Arbeitszeitregeln</t>
  </si>
  <si>
    <t>Automatische Pausenbuchung</t>
  </si>
  <si>
    <t>nachträgliche Korrekturen möglich</t>
  </si>
  <si>
    <t>Support vorhanden</t>
  </si>
  <si>
    <t>Rollen- und Rechteverwaltung</t>
  </si>
  <si>
    <t>Manuelle Zeiterfassung</t>
  </si>
  <si>
    <t>Automatische Zeiterfassung</t>
  </si>
  <si>
    <t>Verfügbare Sprachen</t>
  </si>
  <si>
    <t>Individuell anpassbar</t>
  </si>
  <si>
    <t>Digitale Personalakte</t>
  </si>
  <si>
    <t>Zusatzfunktionen vorhanden</t>
  </si>
  <si>
    <t>Modularer Softwareaufbau</t>
  </si>
  <si>
    <t>Bestandteil eines Farm-Management Systems</t>
  </si>
  <si>
    <t>Bestandteil eines Human-Ressource- Programms</t>
  </si>
  <si>
    <t>Reines Zeiterfassungssystem</t>
  </si>
  <si>
    <t>EuGH konforme Zeiterfassung</t>
  </si>
  <si>
    <t>Erweiterbar</t>
  </si>
  <si>
    <t>Offline nutzbar</t>
  </si>
  <si>
    <t>Cloud- / Weblösung</t>
  </si>
  <si>
    <t>Lokale Installation im eigenen Unternehmen</t>
  </si>
  <si>
    <t>Abo-Modell / laufende Kosten</t>
  </si>
  <si>
    <t>Kommerzielle / proprietäre Software</t>
  </si>
  <si>
    <t>Open-Source-Software</t>
  </si>
  <si>
    <t>Nein, nicht so wichtig</t>
  </si>
  <si>
    <t>herkömmliche lizenzierte Software (proprietäre Software)</t>
  </si>
  <si>
    <t>die Schichtbörse bietet den Mitarbeitern die Möglichkeit ihre Schichten digital zu tauschen, Evakuierungsübersicht: verspricht einen klaren Überblick über den Sicherheitsstatus der Mitarbeiter in kritischen Situationen, Open Source Teile des Codes sind verfügbar</t>
  </si>
  <si>
    <t>HR-Software</t>
  </si>
  <si>
    <t>Mittelstand, kleine und mittlere Unternehmen</t>
  </si>
  <si>
    <t>Smartphone, PC, Terminal</t>
  </si>
  <si>
    <t>Schnittstelle zu Papershift ermöglicht noch mehr Funktionen</t>
  </si>
  <si>
    <t>Preis</t>
  </si>
  <si>
    <t>mindestens 20 Nutzer</t>
  </si>
  <si>
    <t>Teil eines umfassenden Management-Tools</t>
  </si>
  <si>
    <t>2,18 €  / Nutzer / Monat</t>
  </si>
  <si>
    <t>integrierter Projektplaner</t>
  </si>
  <si>
    <t>4,99 € / Nutzer / Monat, mindestens 5 Nutzer</t>
  </si>
  <si>
    <t>umfangreiches Projektmanagement mit integrierter Zeiterfassung</t>
  </si>
  <si>
    <t>modulare Softwarelösung für Unternehmen</t>
  </si>
  <si>
    <t>Geofencing möglich</t>
  </si>
  <si>
    <t>Basismodell: 2 € / Nutzer / Monat</t>
  </si>
  <si>
    <t>Unternehmen</t>
  </si>
  <si>
    <t>Arbeitszeiterfassung bis Projekt-ERP</t>
  </si>
  <si>
    <t>digitale Zeiterfassung und Personaleinsatzplanung</t>
  </si>
  <si>
    <t>Basismodul u.a. mit Zeiterfassung: 2,25 € / Nutzer / Monat, ab 10 Nutzern</t>
  </si>
  <si>
    <t>App, Tablet, PC</t>
  </si>
  <si>
    <t>die Schichtbörse bietet den Mitarbeitern die Möglichkeit ihre Schichten digital zu tauschen</t>
  </si>
  <si>
    <t>digitale Personalverwaltung</t>
  </si>
  <si>
    <t>keine Angabe</t>
  </si>
  <si>
    <t>Basismodul: 4 € / Nutzer / Monat, ab 16 Nutzern</t>
  </si>
  <si>
    <t>Basic Projektplaner kostenlos bis zu 3 Nutzer, Modul mit Zeiterfassung: 29,99 € / Nutzer / Monat, ab 3 Nutzern</t>
  </si>
  <si>
    <t>Smartphone, Tablet, PC</t>
  </si>
  <si>
    <t>Geofencing</t>
  </si>
  <si>
    <t>3,5 € / Nutzer / Monat, exkl. MwSt.</t>
  </si>
  <si>
    <t>Personalplanung und Zeiterfassung</t>
  </si>
  <si>
    <t>Geofencing, Hilfe durch KI Assistenten, digitale Schichtbörse</t>
  </si>
  <si>
    <t>4,5 € / Nutzer / Monat</t>
  </si>
  <si>
    <t>Zeiterfassungssoftware</t>
  </si>
  <si>
    <t>Geofencing, Erfassung von Gerätezeiten</t>
  </si>
  <si>
    <t>4 € / Nutzer / Monat</t>
  </si>
  <si>
    <t>z.B. Zeiterfassungssystem am Computer und per App einmalig 479 €, ab 10 Nutzern</t>
  </si>
  <si>
    <t>Basismodell: 4 € / Nutzer / Monat</t>
  </si>
  <si>
    <t>Beispielpaket für Landwirtschaft und Agrarhandel für 4,5 € / Nutzer / Monat</t>
  </si>
  <si>
    <t>Basismodell: 3,99 € / Nutzer / Monat</t>
  </si>
  <si>
    <t>Basismodell: ab 1,5 € / Monat / Nutzer, bei jährlicher Abrechnung</t>
  </si>
  <si>
    <t>2,25 € / Monat / Mitarbeiter, Preis für jeden weiteren Mitarbeiter bei Kauf des Basispakets für 22,50 € / Monat inklusive 10 Mitarbeiter, Preis exklusive MwSt.</t>
  </si>
  <si>
    <t>Modell mit Arbeitszeiterfassung: 5,5 € / Monat / Nutzer, Mindestpreis von 99 €</t>
  </si>
  <si>
    <t>Basismodell: 1,99 € / Monat / Nutzer, Preis ohne MwSt.</t>
  </si>
  <si>
    <t>Basismodell: einmalig 75 € + 3 € / Monat / Nutzer, ab 10 Nutzern</t>
  </si>
  <si>
    <t>5 € / Monat für 1 Benutzer, 15 € / Monat für bis zu 5 Benutzer, 40 € / Monat für bis zu 20 Benutzer</t>
  </si>
  <si>
    <t>Basismodell: 6,2 € / Monat / Nutzer + Basisgebühr + Nutzungsgebühr Module</t>
  </si>
  <si>
    <t>1 Nutzer ist gratis</t>
  </si>
  <si>
    <t>Basismodell Zeiterfassung: 3,7 € / Monat / Nutzer</t>
  </si>
  <si>
    <t>bis zu 5 Nutzer kostenfrei, dann 4,5 € / Monat / Nutzer</t>
  </si>
  <si>
    <t>Basislizenz: 99 € / Monat</t>
  </si>
  <si>
    <t>Dienstplanung und Zeiterfassung</t>
  </si>
  <si>
    <t>App, Desktop, Terminal</t>
  </si>
  <si>
    <t>Schichtbetriebe</t>
  </si>
  <si>
    <t xml:space="preserve">einfache Zeiterfassung bis 15 Nutzer kostenlos, Basic-Modul (mit weitere Funktionen) 30 € / Monat für 6 Nutzer </t>
  </si>
  <si>
    <t>Geofencing, optimiert für Schichtarbeitbetriebe, Multi-Faktor-Authentifizierung (MFA) beim Login möglich</t>
  </si>
  <si>
    <t>Einzelzugang (jeder Nutzer hat die gleichen Zugriffsrechte)</t>
  </si>
  <si>
    <t>Kostenlose Option verfügbar</t>
  </si>
  <si>
    <t>preis</t>
  </si>
  <si>
    <t>PC (webbasiert oder lokal installiert)</t>
  </si>
  <si>
    <t>K23</t>
  </si>
  <si>
    <t>frage_hilfetext</t>
  </si>
  <si>
    <t>z.B. Export per PDF, in der Lohnbuchhaltung, im ERP-System, ...</t>
  </si>
  <si>
    <t>Sollen die Daten auch außerhalb des Programms weiter verarbeitet werden können?</t>
  </si>
  <si>
    <t>Mehrfachauswahl möglich</t>
  </si>
  <si>
    <t>z.B. Schicht- und Urlaubsplanung, digitale Personalakte, …</t>
  </si>
  <si>
    <t>Über welches Medium soll die Arbeitszeit erfasst werden?</t>
  </si>
  <si>
    <t>Benötigen Sie zusätzliche Funktionen über die reine Zeiterfassung hinaus?</t>
  </si>
  <si>
    <t>Soll Geofencing möglich sein?</t>
  </si>
  <si>
    <t>Programm erlaubt Stempelung nur innerhalb eines vorher definierten Standortes</t>
  </si>
  <si>
    <t>Benötigen Sie Support?</t>
  </si>
  <si>
    <t>z.B. Email, Telefon</t>
  </si>
  <si>
    <t>Muss die Arbeitszeiterfassung den aktuellen rechtlichen Vorgaben und insbesondere die des Europäischen Gerichtshofs und des Bundesarbeitsgerichts entsprechen?</t>
  </si>
  <si>
    <t>K24</t>
  </si>
  <si>
    <t>K25</t>
  </si>
  <si>
    <t>Zeiterfassung und Personaleinsatzplanung</t>
  </si>
  <si>
    <t>mittelständige und große Unternehmen</t>
  </si>
  <si>
    <t>Smartphone, Tablet, PC, Terminal</t>
  </si>
  <si>
    <t>rechtskonforme Reisekostenabrechnung möglich, über Web oder als Lokale Lösung verfügbar, Standorterfassung bei Buchung möglich</t>
  </si>
  <si>
    <t>Basismodell: 5 € / Nutzer / Monat, kostenlose Version für einen Einzelzugang</t>
  </si>
  <si>
    <t>digitale Zeiterfassung und Personalmanagement</t>
  </si>
  <si>
    <t>bis zu 10 Nutzer kostenlos, Standard: 8,40 € / Nutzer / Monat</t>
  </si>
  <si>
    <t>Smartphone, Tablet</t>
  </si>
  <si>
    <t>Handwerker, Bauunternehmen</t>
  </si>
  <si>
    <t>App für Smartphone und Desktop</t>
  </si>
  <si>
    <t xml:space="preserve">bis 5 Nutzer kostenlos, </t>
  </si>
  <si>
    <t>Auto-Tracker: besuchte Apps und Webseiten können während der Arbeitszeit dokumentiert werden, GPS Verfolgung während der Arbeitszeit möglich</t>
  </si>
  <si>
    <t>Landwirtschaft</t>
  </si>
  <si>
    <t>Zeiterfassung und Verwaltung von Arbeitskräften</t>
  </si>
  <si>
    <t>Mobilgerät, Desktop, Browser</t>
  </si>
  <si>
    <t>GPS-Tracking möglich</t>
  </si>
  <si>
    <t>kostenlose Version für einen Einzelzugang</t>
  </si>
  <si>
    <t>frage_information</t>
  </si>
  <si>
    <t>Open-Source-Software stellt ihren Quellcode öffentlich zur Verfügung und kann häufig kostenlos genutzt oder angepasst werden. Proprietäre Software wird von einem Anbieter entwickelt und in der Regel gegen Lizenzgebühren bereitgestellt.</t>
  </si>
  <si>
    <t>Kostenlose Programme können den Einstieg erleichtern, bieten jedoch teilweise einen geringeren Funktionsumfang oder weniger Support als kostenpflichtige Lösungen.</t>
  </si>
  <si>
    <t>Software wird häufig als einmalige Lizenz oder im Abonnement angeboten. Einmalige Lizenzen verursachen höhere Anschaffungskosten, während Abonnements laufende Gebühren beinhalten und oft Updates einschließen.</t>
  </si>
  <si>
    <t>Cloudbasierte Software wird über das Internet genutzt und zentral aktualisiert. Lokal installierte Software läuft auf eigenen Geräten und kann unabhängig vom Internet betrieben werden.</t>
  </si>
  <si>
    <t>Der Speicherort kann Auswirkungen auf Datenschutz und rechtliche Anforderungen haben. Server in Deutschland oder der EU unterliegen in der Regel strengeren Datenschutzvorgaben als Server außerhalb der EU.</t>
  </si>
  <si>
    <t>Einige Programme ermöglichen die Zeiterfassung auch ohne Internetverbindung. Die Daten werden gespeichert und nach Wiederherstellung der Verbindung automatisch synchronisiert.</t>
  </si>
  <si>
    <t>Exportfunktionen ermöglichen die Weiterverarbeitung der erfassten Daten, beispielsweise in Tabellenkalkulationen, Lohnabrechnungs- oder Auswertungsprogrammen.</t>
  </si>
  <si>
    <t>Eine DATEV-Schnittstelle erlaubt die Übertragung relevanter Arbeitszeitdaten in DATEV-Anwendungen und kann den Aufwand bei der Lohnabrechnung reduzieren.</t>
  </si>
  <si>
    <t>Je nach Software kann die Zeiterfassung über Smartphone, Tablet, Computer oder stationäre Terminals erfolgen. Die Auswahl sollte sich an den Arbeitsabläufen im Betrieb orientieren.</t>
  </si>
  <si>
    <t>Modular erweiterbare Software kann bei Bedarf um zusätzliche Funktionen ergänzt werden. Das ist sinnvoll, wenn zunächst nur die Zeiterfassung benötigt wird, später aber weitere Bereiche hinzukommen könnten.</t>
  </si>
  <si>
    <t>Einige Programme bieten neben der Zeiterfassung weitere Funktionen wie Schichtplanung, Urlaubsverwaltung oder digitale Personalakten. Diese können Arbeitsabläufe bündeln und zusätzliche Einzellösungen ersetzen.</t>
  </si>
  <si>
    <t>Eine Schichtplanung unterstützt die Organisation von Arbeitszeiten, Diensten und Einsatzzeiten. Sie ist besonders hilfreich, wenn mehrere Beschäftigte zu unterschiedlichen Zeiten eingeplant werden müssen.</t>
  </si>
  <si>
    <t>Eine Zutrittskontrolle verbindet die Zeiterfassung mit der Regelung des Gebäude- oder Bereichszugangs. Dadurch kann dokumentiert werden, wer bestimmte Bereiche betreten darf oder betreten hat.</t>
  </si>
  <si>
    <t>Die elektronische Arbeitsunfähigkeitsbescheinigung ermöglicht die digitale Verarbeitung von Krankmeldungen. Eine Unterstützung durch die Software kann Verwaltungsaufwand reduzieren und Personalprozesse vereinfachen.</t>
  </si>
  <si>
    <t>Eine Urlaubsplanung ermöglicht die Verwaltung von Urlaubsanträgen, Resturlaub und Abwesenheiten. Dadurch können Personalverfügbarkeit und Arbeitsplanung besser überblickt werden.</t>
  </si>
  <si>
    <t>Eine digitale Personalakte bündelt personenbezogene Mitarbeiterdaten und Dokumente an einem zentralen Ort. Sie kann die Verwaltung von Personalunterlagen strukturieren und papierbasierte Abläufe reduzieren.</t>
  </si>
  <si>
    <t>Arbeitszeitkonten erfassen Plus- und Minusstunden einzelner Beschäftigter. Dadurch können flexible Arbeitszeiten, Überstunden und Ausgleichszeiten nachvollziehbar verwaltet werden.</t>
  </si>
  <si>
    <t>Die Zuordnung von Arbeitszeiten zu Tätigkeiten oder Projekten ermöglicht detaillierte Auswertungen. So kann nachvollzogen werden, wofür Arbeitszeit im Betrieb eingesetzt wurde.</t>
  </si>
  <si>
    <t>Anpassbare Software kann stärker an betriebliche Abläufe, Benutzerrollen oder Auswertungsanforderungen angepasst werden. Ein höherer Anpassungsgrad kann sinnvoll sein, wenn Standardfunktionen nicht ausreichen.</t>
  </si>
  <si>
    <t>Die benötigten Sprachen hängen davon ab, wer die Software im Betrieb nutzt. Mehrsprachige Oberflächen können die Bedienung erleichtern und Fehler bei der Zeiterfassung vermeiden.</t>
  </si>
  <si>
    <t>Geofencing erlaubt die Zeiterfassung nur innerhalb vorher festgelegter Standorte. Dadurch kann sichergestellt werden, dass Buchungen nur an definierten Arbeitsorten vorgenommen werden.</t>
  </si>
  <si>
    <t>Der Zugriff kann zum Beispiel über einzelne Benutzerkonten, Rollen oder zentrale Verwaltungsrechte organisiert werden. Eine passende Zugriffsstruktur unterstützt Datenschutz und klare Zuständigkeiten.</t>
  </si>
  <si>
    <t>Mandantenfähigkeit bedeutet, dass mehrere Betriebe, Betriebsteile oder rechtlich getrennte Einheiten innerhalb einer Software getrennt verwaltet werden können. Das ist relevant, wenn mehrere Organisationseinheiten abgebildet werden sollen.</t>
  </si>
  <si>
    <t>Support kann bei Einrichtung, Nutzung oder technischen Problemen helfen. Je nach Anbieter erfolgt die Unterstützung beispielsweise per E-Mail, Telefon, Chat oder Dokumentation.</t>
  </si>
  <si>
    <t>Auswertungen und Übersichten fassen erfasste Arbeitszeiten strukturiert zusammen. Sie können bei Kontrolle, Planung, Abrechnung und betrieblicher Analyse unterstützen.</t>
  </si>
  <si>
    <t>Nachträgliche Korrekturen ermöglichen das Bearbeiten fehlerhafter oder vergessener Zeiteinträge. Wichtig ist dabei, dass Änderungen nachvollziehbar dokumentiert werden.</t>
  </si>
  <si>
    <t>Automatisch gebuchte Pausen können gesetzliche oder betriebliche Pausenregelungen berücksichtigen. Dadurch wird der manuelle Aufwand reduziert und eine einheitliche Berechnung unterstützt.</t>
  </si>
  <si>
    <t>Regelprüfungen können Eingaben mit festgelegten Arbeitszeit- und Pausenregeln abgleichen. Die Software weist dann auf mögliche Fehler oder Regelverstöße hin.</t>
  </si>
  <si>
    <t>Die Zeiterfassung kann manuell durch die Beschäftigten oder vollautomatisch über georeferenzierte Daten erfolgen. Eine manuelle Erfassung bietet mehr Flexibilität, während eine automatische Erfassung den Eingabeaufwand verringern kann.</t>
  </si>
  <si>
    <t>Revisionssichere Speicherung bedeutet, dass Änderungen nachvollziehbar dokumentiert und frühere Versionen erhalten bleiben. Eine einfache Speicherung erfasst die Daten ohne umfassendes Historienprotokoll.</t>
  </si>
  <si>
    <t>Rechtliche Vorgaben: System muss objektiv, verlässlich und zugänglich sein. Dokumentation von Beginn, Ende und Dauer der Arbeitszeit ist verpflichtend.</t>
  </si>
  <si>
    <t>Rechtliche Vorgaben (14. Mai 2019 (Rechtssache C-55/18), 13. September 2022 (Az. 1 ABR 22/21)): Der Arbeitgeber muss ein objektives, verlässliches und zugängliches System zur Verfügung stellen, dass ermöglicht, den Beginn, das Ende und die Dauer der täglichen Arbeitszeit zu dokumentieren. Eine passende Software kann dabei helfen, diese Anforderungen nachvollziehbar zu erfüllen.</t>
  </si>
  <si>
    <t>https://www.nextfarming.de/software/next-farming-apps/</t>
  </si>
  <si>
    <t>spezielles Modul zur Erntehelferverwaltung</t>
  </si>
  <si>
    <t>Smartphone, Tablet, Terminal</t>
  </si>
  <si>
    <t>Prozessoptimierte Lösungen für Landwirte &amp; Gärtner</t>
  </si>
  <si>
    <t>umfassende ERP-Software, Verwaltung von Erntehelfer möglich, Kernfunktionen App: Erntemengen- und Arbeitszeiterfassung</t>
  </si>
  <si>
    <t>Basic: 106 € / Monat + zubuchbare Dienstleistungen</t>
  </si>
  <si>
    <t>GPS Erfassung möglich</t>
  </si>
  <si>
    <t>Basismodell: 6,95 € / Monat / Nutzer</t>
  </si>
  <si>
    <t>P39</t>
  </si>
  <si>
    <t>P40</t>
  </si>
  <si>
    <t>App, Smartphone, Tablet</t>
  </si>
  <si>
    <t>2.900 € jährlich oder 29 € / Monat / aktivem Gerät</t>
  </si>
  <si>
    <t>umfassende Agrarmanagementsoftware</t>
  </si>
  <si>
    <t>Standort bei Erfassung kann mit erfasst werden, Erntehelferverwaltung, Ackerschlagkartei mit Spracheingabe</t>
  </si>
  <si>
    <t>bildet kompletten Arbeitsprozess im Garten- und Landschaftsbau digital ab</t>
  </si>
  <si>
    <t>36 Monate Mindestvertragslaufzeit, Preis abhängig vom ausgewählten Modul und Nutzerzahl, einmalige Gebühr für Einrichtung und Schulung</t>
  </si>
  <si>
    <t>www.agroproject.de</t>
  </si>
  <si>
    <t>landwirtschaftliche Betriebe in Deutschland, die Arbeitszeiterfassung digitalisieren wollen</t>
  </si>
  <si>
    <t>Nach einer Auswahl von max. 3 KO-Kriterien, werden als Ergebnis die drei passendsten Arbeitszeiterfassungssoftware angezeigt.</t>
  </si>
  <si>
    <t xml:space="preserve">Dem Matching von Nutzerantwort und Programm-Kriterium liegt ein Bewertungsscore zugrunde, der die </t>
  </si>
  <si>
    <t>kostenlose Version verfügbar</t>
  </si>
  <si>
    <t>lokale Lösung (on-premise)</t>
  </si>
  <si>
    <t>offline fähig (nachträgliche Synchronisation)</t>
  </si>
  <si>
    <t>revisionssicher mit Historienprotokoll</t>
  </si>
  <si>
    <t>alle Branchen, Schwerpunkt Dienstleistungsunternehmen</t>
  </si>
  <si>
    <t>Gastronomie, Einzelhandel, Logistik</t>
  </si>
  <si>
    <t>Zeiterfassung erfolgt Schlagbezogen, keine klassische Arbeitszeiterfassung, Integration der Daten in die NextFarming Schlagkartei möglich</t>
  </si>
  <si>
    <t>Integration von Kunden- oder Projektdaten aus anderen Systemen möglich</t>
  </si>
  <si>
    <t>Standort kann bei Bedarf bei Stempelung mit erfasst werden, Führung eines Bautagebuchs möglich mit Dokumentation von Leistungen, Zeiten, Kommentaren und Fotos</t>
  </si>
  <si>
    <t>Zeiterfassungs - und Arbeitstabellenapp</t>
  </si>
  <si>
    <t>Bitrix24</t>
  </si>
  <si>
    <t>TimeLine ERP</t>
  </si>
  <si>
    <t>bietet stationäre Terminals in Kooperation mit Praxispartnern an, Standort bei Erfassung kann mit erfasst werden</t>
  </si>
  <si>
    <t>bietet stationäre Terminals in Kooperation mit Praxispartnern an</t>
  </si>
  <si>
    <t>mit GPS Option, bietet stationäre Terminals in Kooperation mit Praxispartnern an</t>
  </si>
  <si>
    <t>GPS Erfassung möglich, Terminalmodus: standard PC / Tablet wird zu vollwertigem Zeiterfassungsterminal, umfangreiches Supportangebot</t>
  </si>
  <si>
    <t>FrachtPilot</t>
  </si>
  <si>
    <t>Sollen gesetzlich vorgegebene Pausenzeiten automatisch vom Programm gebucht werden können?</t>
  </si>
  <si>
    <t>Soll das Programm die Eingaben auf vorher definierte Arbeitszeitregeln und Pausenzeiten überprüfen und auf fehlerhafte Eingaben aufmerksam machen?</t>
  </si>
  <si>
    <t>www.match-zeit.de</t>
  </si>
  <si>
    <t>Soll die Zeiterfassung eine eigenständige Softwarelösung sein oder Teil eines HR-Programms oder eines Farm-Management-Systems sein?</t>
  </si>
  <si>
    <t>Zeiterfassung kann als eigenständiges Programm oder als Bestandteil einer umfassenderen Software genutzt werden. HR-Programme (Human Resources) unterstützen die Personalverwaltung, beispielsweise bei Urlaubsplanung, Personalakten oder Lohnabrechnung. Farm-Management-Systeme (FMS) dienen der Organisation und Dokumentation landwirtschaftlicher Betriebsabläufe, etwa von Ackerschlägen, Maschinen oder Arbeitsaufträgen. Die Entscheidung hängt davon ab, ob ausschließlich Arbeitszeiten erfasst oder weitere Personal- und Betriebsdaten gemeinsam verwaltet werden sollen.</t>
  </si>
  <si>
    <t>Kontakt</t>
  </si>
  <si>
    <t>matchzeit@gmail.com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</si>
</sst>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b/>
      <i/>
      <sz val="11"/>
      <color theme="1"/>
      <name val="Calibri"/>
      <family val="2"/>
      <scheme val="minor"/>
    </font>
    <font>
      <u/>
      <sz val="11"/>
      <color theme="10"/>
      <name val="Calibri"/>
      <family val="2"/>
      <scheme val="minor"/>
    </font>
    <font>
      <sz val="11"/>
      <color theme="10"/>
      <name val="Calibri"/>
      <family val="2"/>
      <scheme val="minor"/>
    </font>
    <font>
      <b/>
      <sz val="11"/>
      <color theme="1"/>
      <name val="Calibri"/>
      <family val="2"/>
      <scheme val="minor"/>
    </font>
    <font>
      <sz val="10"/>
      <color rgb="FF000000"/>
      <name val="Arial"/>
      <family val="2"/>
    </font>
    <font>
      <sz val="9"/>
      <color indexed="81"/>
      <name val="Segoe UI"/>
      <family val="2"/>
    </font>
    <font>
      <b/>
      <sz val="9"/>
      <color indexed="81"/>
      <name val="Segoe UI"/>
      <family val="2"/>
    </font>
    <font>
      <i/>
      <sz val="11"/>
      <color theme="1"/>
      <name val="Calibri"/>
      <family val="2"/>
      <scheme val="minor"/>
    </font>
    <font>
      <sz val="9"/>
      <color indexed="81"/>
      <name val="Segoe UI"/>
      <charset val="1"/>
    </font>
  </fonts>
  <fills count="5">
    <fill>
      <patternFill patternType="none"/>
    </fill>
    <fill>
      <patternFill patternType="gray125"/>
    </fill>
    <fill>
      <patternFill patternType="solid">
        <fgColor theme="7" tint="0.79998168889431442"/>
        <bgColor indexed="64"/>
      </patternFill>
    </fill>
    <fill>
      <patternFill patternType="solid">
        <fgColor theme="3" tint="0.79998168889431442"/>
        <bgColor indexed="64"/>
      </patternFill>
    </fill>
    <fill>
      <patternFill patternType="solid">
        <fgColor theme="3"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0" fillId="0" borderId="0" xfId="0" applyFill="1" applyBorder="1"/>
    <xf numFmtId="0" fontId="3" fillId="0" borderId="0" xfId="1" applyFill="1" applyBorder="1"/>
    <xf numFmtId="0" fontId="0" fillId="0" borderId="0" xfId="0" applyBorder="1"/>
    <xf numFmtId="0" fontId="0" fillId="0" borderId="0" xfId="0" applyAlignment="1">
      <alignment wrapText="1"/>
    </xf>
    <xf numFmtId="0" fontId="0" fillId="0" borderId="0" xfId="0" applyFill="1" applyAlignment="1">
      <alignment wrapText="1"/>
    </xf>
    <xf numFmtId="0" fontId="0" fillId="0" borderId="0" xfId="0" applyFill="1" applyBorder="1" applyAlignment="1">
      <alignment wrapText="1"/>
    </xf>
    <xf numFmtId="0" fontId="0" fillId="0" borderId="0" xfId="0" applyFont="1" applyFill="1" applyBorder="1" applyAlignment="1">
      <alignment wrapText="1"/>
    </xf>
    <xf numFmtId="0" fontId="0" fillId="0" borderId="0" xfId="0" applyFill="1"/>
    <xf numFmtId="0" fontId="0" fillId="0" borderId="1" xfId="0" applyFill="1" applyBorder="1"/>
    <xf numFmtId="0" fontId="0" fillId="0" borderId="0" xfId="0" applyFill="1" applyBorder="1" applyAlignment="1"/>
    <xf numFmtId="0" fontId="3" fillId="0" borderId="0" xfId="1" applyBorder="1"/>
    <xf numFmtId="0" fontId="4" fillId="0" borderId="0" xfId="1" applyFont="1" applyBorder="1"/>
    <xf numFmtId="0" fontId="6" fillId="0" borderId="0" xfId="0" applyFont="1" applyBorder="1"/>
    <xf numFmtId="14" fontId="0" fillId="0" borderId="0" xfId="0" applyNumberFormat="1" applyBorder="1"/>
    <xf numFmtId="14" fontId="0" fillId="0" borderId="0" xfId="0" applyNumberFormat="1" applyFill="1" applyBorder="1"/>
    <xf numFmtId="0" fontId="5" fillId="2" borderId="0" xfId="0" applyFont="1" applyFill="1" applyBorder="1"/>
    <xf numFmtId="0" fontId="0" fillId="2" borderId="0" xfId="0" applyFill="1" applyBorder="1"/>
    <xf numFmtId="14" fontId="0" fillId="2" borderId="0" xfId="0" applyNumberFormat="1" applyFill="1" applyBorder="1" applyAlignment="1">
      <alignment horizontal="left"/>
    </xf>
    <xf numFmtId="0" fontId="5" fillId="2" borderId="0" xfId="0" applyFont="1" applyFill="1" applyBorder="1" applyAlignment="1"/>
    <xf numFmtId="0" fontId="9" fillId="2" borderId="0" xfId="0" applyFont="1" applyFill="1"/>
    <xf numFmtId="0" fontId="9" fillId="2" borderId="0" xfId="0" applyFont="1" applyFill="1" applyAlignment="1">
      <alignment vertical="center"/>
    </xf>
    <xf numFmtId="0" fontId="5" fillId="0" borderId="0" xfId="0" applyFont="1" applyFill="1" applyBorder="1" applyAlignment="1">
      <alignment horizontal="right"/>
    </xf>
    <xf numFmtId="0" fontId="5" fillId="3" borderId="0" xfId="0" applyFont="1" applyFill="1" applyBorder="1"/>
    <xf numFmtId="0" fontId="5" fillId="3" borderId="0" xfId="0" applyFont="1" applyFill="1" applyBorder="1" applyAlignment="1">
      <alignment wrapText="1"/>
    </xf>
    <xf numFmtId="0" fontId="5" fillId="3" borderId="0" xfId="0" applyFont="1" applyFill="1" applyBorder="1" applyAlignment="1">
      <alignment horizontal="right" wrapText="1"/>
    </xf>
    <xf numFmtId="0" fontId="0" fillId="3" borderId="0" xfId="0" applyFill="1" applyBorder="1" applyAlignment="1">
      <alignment wrapText="1"/>
    </xf>
    <xf numFmtId="0" fontId="5" fillId="2" borderId="0" xfId="0" applyFont="1" applyFill="1" applyBorder="1" applyAlignment="1">
      <alignment wrapText="1"/>
    </xf>
    <xf numFmtId="14" fontId="0" fillId="4" borderId="0" xfId="0" applyNumberFormat="1" applyFill="1" applyBorder="1" applyAlignment="1">
      <alignment wrapText="1"/>
    </xf>
    <xf numFmtId="0" fontId="0" fillId="4" borderId="0" xfId="0" applyFill="1" applyBorder="1" applyAlignment="1">
      <alignment wrapText="1"/>
    </xf>
    <xf numFmtId="0" fontId="5" fillId="2" borderId="0" xfId="0" applyFont="1" applyFill="1"/>
    <xf numFmtId="0" fontId="0" fillId="2" borderId="0" xfId="0" applyFill="1"/>
    <xf numFmtId="0" fontId="3" fillId="2" borderId="0" xfId="1" applyFill="1"/>
    <xf numFmtId="0" fontId="3" fillId="0" borderId="0" xfId="1"/>
    <xf numFmtId="0" fontId="0" fillId="2" borderId="0" xfId="0" applyFont="1" applyFill="1"/>
    <xf numFmtId="0" fontId="0" fillId="3" borderId="0" xfId="0" applyFill="1" applyAlignment="1">
      <alignment wrapText="1"/>
    </xf>
    <xf numFmtId="0" fontId="0" fillId="0" borderId="0" xfId="0" applyAlignment="1">
      <alignment vertical="center" wrapText="1"/>
    </xf>
    <xf numFmtId="0" fontId="0" fillId="0" borderId="0" xfId="0" applyFont="1" applyAlignment="1">
      <alignment wrapText="1"/>
    </xf>
  </cellXfs>
  <cellStyles count="2">
    <cellStyle name="Link" xfId="1" builtinId="8"/>
    <cellStyle name="Standard" xfId="0" builtinId="0"/>
  </cellStyles>
  <dxfs count="5">
    <dxf>
      <fill>
        <patternFill>
          <bgColor theme="0"/>
        </patternFill>
      </fill>
    </dxf>
    <dxf>
      <fill>
        <patternFill>
          <bgColor theme="7" tint="0.39994506668294322"/>
        </patternFill>
      </fill>
    </dxf>
    <dxf>
      <fill>
        <patternFill>
          <bgColor rgb="FF92D050"/>
        </patternFill>
      </fill>
    </dxf>
    <dxf>
      <fill>
        <patternFill>
          <bgColor rgb="FFFF0000"/>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atchzeit@gmail.com" TargetMode="External"/><Relationship Id="rId1" Type="http://schemas.openxmlformats.org/officeDocument/2006/relationships/hyperlink" Target="http://www.match-zeit.de/"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nextfarming.de/software/next-farming-apps/" TargetMode="External"/><Relationship Id="rId21" Type="http://schemas.openxmlformats.org/officeDocument/2006/relationships/hyperlink" Target="http://www.simple-webapps.de&#160;" TargetMode="External"/><Relationship Id="rId34" Type="http://schemas.openxmlformats.org/officeDocument/2006/relationships/hyperlink" Target="https://www.timetracking.timeghost.io/" TargetMode="External"/><Relationship Id="rId42" Type="http://schemas.openxmlformats.org/officeDocument/2006/relationships/hyperlink" Target="https://quickbooks.intuit.com/global/de/" TargetMode="External"/><Relationship Id="rId47" Type="http://schemas.openxmlformats.org/officeDocument/2006/relationships/hyperlink" Target="http://www.betriko.de/" TargetMode="External"/><Relationship Id="rId50" Type="http://schemas.openxmlformats.org/officeDocument/2006/relationships/hyperlink" Target="https://www.personio.de/" TargetMode="External"/><Relationship Id="rId55" Type="http://schemas.openxmlformats.org/officeDocument/2006/relationships/hyperlink" Target="https://www.zeitguru.de/" TargetMode="External"/><Relationship Id="rId63" Type="http://schemas.openxmlformats.org/officeDocument/2006/relationships/hyperlink" Target="http://www.agroproject.de/" TargetMode="External"/><Relationship Id="rId7" Type="http://schemas.openxmlformats.org/officeDocument/2006/relationships/hyperlink" Target="http://www.tisoware.com&#160;" TargetMode="External"/><Relationship Id="rId2" Type="http://schemas.openxmlformats.org/officeDocument/2006/relationships/hyperlink" Target="http://www.isgus.de&#160;" TargetMode="External"/><Relationship Id="rId16" Type="http://schemas.openxmlformats.org/officeDocument/2006/relationships/hyperlink" Target="http://www.timetell.de&#160;" TargetMode="External"/><Relationship Id="rId29" Type="http://schemas.openxmlformats.org/officeDocument/2006/relationships/hyperlink" Target="https://www.factro.de/" TargetMode="External"/><Relationship Id="rId11" Type="http://schemas.openxmlformats.org/officeDocument/2006/relationships/hyperlink" Target="http://www.clockodo.com/" TargetMode="External"/><Relationship Id="rId24" Type="http://schemas.openxmlformats.org/officeDocument/2006/relationships/hyperlink" Target="https://azs.de/" TargetMode="External"/><Relationship Id="rId32" Type="http://schemas.openxmlformats.org/officeDocument/2006/relationships/hyperlink" Target="https://clockify.me/de/" TargetMode="External"/><Relationship Id="rId37" Type="http://schemas.openxmlformats.org/officeDocument/2006/relationships/hyperlink" Target="https://www.paymoapp.com/de/" TargetMode="External"/><Relationship Id="rId40" Type="http://schemas.openxmlformats.org/officeDocument/2006/relationships/hyperlink" Target="https://www.miditec.de/" TargetMode="External"/><Relationship Id="rId45" Type="http://schemas.openxmlformats.org/officeDocument/2006/relationships/hyperlink" Target="https://www.poool.cc/" TargetMode="External"/><Relationship Id="rId53" Type="http://schemas.openxmlformats.org/officeDocument/2006/relationships/hyperlink" Target="https://www.zep.de/" TargetMode="External"/><Relationship Id="rId58" Type="http://schemas.openxmlformats.org/officeDocument/2006/relationships/hyperlink" Target="https://www.kelio.de/" TargetMode="External"/><Relationship Id="rId66" Type="http://schemas.openxmlformats.org/officeDocument/2006/relationships/comments" Target="../comments1.xml"/><Relationship Id="rId5" Type="http://schemas.openxmlformats.org/officeDocument/2006/relationships/hyperlink" Target="http://www.megzeit.de&#160;" TargetMode="External"/><Relationship Id="rId61" Type="http://schemas.openxmlformats.org/officeDocument/2006/relationships/hyperlink" Target="https://everhour.com/de" TargetMode="External"/><Relationship Id="rId19" Type="http://schemas.openxmlformats.org/officeDocument/2006/relationships/hyperlink" Target="http://www.timetac.com&#160;" TargetMode="External"/><Relationship Id="rId14" Type="http://schemas.openxmlformats.org/officeDocument/2006/relationships/hyperlink" Target="http://www.heavenhr.com&#160;" TargetMode="External"/><Relationship Id="rId22" Type="http://schemas.openxmlformats.org/officeDocument/2006/relationships/hyperlink" Target="https://www.personizer.com/de" TargetMode="External"/><Relationship Id="rId27" Type="http://schemas.openxmlformats.org/officeDocument/2006/relationships/hyperlink" Target="http://www.gastromatic.de/" TargetMode="External"/><Relationship Id="rId30" Type="http://schemas.openxmlformats.org/officeDocument/2006/relationships/hyperlink" Target="https://www.timo24.de/" TargetMode="External"/><Relationship Id="rId35" Type="http://schemas.openxmlformats.org/officeDocument/2006/relationships/hyperlink" Target="https://staffomatic.com/de/" TargetMode="External"/><Relationship Id="rId43" Type="http://schemas.openxmlformats.org/officeDocument/2006/relationships/hyperlink" Target="https://www.freshbooks.com/timesheets-and-time-tracking" TargetMode="External"/><Relationship Id="rId48" Type="http://schemas.openxmlformats.org/officeDocument/2006/relationships/hyperlink" Target="http://www.frachtpilot.de/" TargetMode="External"/><Relationship Id="rId56" Type="http://schemas.openxmlformats.org/officeDocument/2006/relationships/hyperlink" Target="https://www.gdi.de/zeiterfassungssoftware/" TargetMode="External"/><Relationship Id="rId64" Type="http://schemas.openxmlformats.org/officeDocument/2006/relationships/printerSettings" Target="../printerSettings/printerSettings2.bin"/><Relationship Id="rId8" Type="http://schemas.openxmlformats.org/officeDocument/2006/relationships/hyperlink" Target="http://www.venabo.de&#160;" TargetMode="External"/><Relationship Id="rId51" Type="http://schemas.openxmlformats.org/officeDocument/2006/relationships/hyperlink" Target="https://aida-orga.de/de/" TargetMode="External"/><Relationship Id="rId3" Type="http://schemas.openxmlformats.org/officeDocument/2006/relationships/hyperlink" Target="http://www.gruen.net&#160;" TargetMode="External"/><Relationship Id="rId12" Type="http://schemas.openxmlformats.org/officeDocument/2006/relationships/hyperlink" Target="http://www.crewmeister.com&#160;" TargetMode="External"/><Relationship Id="rId17" Type="http://schemas.openxmlformats.org/officeDocument/2006/relationships/hyperlink" Target="http://www.timecard.de/" TargetMode="External"/><Relationship Id="rId25" Type="http://schemas.openxmlformats.org/officeDocument/2006/relationships/hyperlink" Target="https://www.hrworks.de/" TargetMode="External"/><Relationship Id="rId33" Type="http://schemas.openxmlformats.org/officeDocument/2006/relationships/hyperlink" Target="https://www.jibble.io/de" TargetMode="External"/><Relationship Id="rId38" Type="http://schemas.openxmlformats.org/officeDocument/2006/relationships/hyperlink" Target="https://interflex.com/loesungen/zeiterfassung/" TargetMode="External"/><Relationship Id="rId46" Type="http://schemas.openxmlformats.org/officeDocument/2006/relationships/hyperlink" Target="https://workinghoursapp.com/de" TargetMode="External"/><Relationship Id="rId59" Type="http://schemas.openxmlformats.org/officeDocument/2006/relationships/hyperlink" Target="https://www.timetrackapp.com/" TargetMode="External"/><Relationship Id="rId20" Type="http://schemas.openxmlformats.org/officeDocument/2006/relationships/hyperlink" Target="http://www.timr.com&#160;" TargetMode="External"/><Relationship Id="rId41" Type="http://schemas.openxmlformats.org/officeDocument/2006/relationships/hyperlink" Target="https://www.aeonos.de/" TargetMode="External"/><Relationship Id="rId54" Type="http://schemas.openxmlformats.org/officeDocument/2006/relationships/hyperlink" Target="https://www.papershift.com/" TargetMode="External"/><Relationship Id="rId62" Type="http://schemas.openxmlformats.org/officeDocument/2006/relationships/hyperlink" Target="https://factorialhr.de/" TargetMode="External"/><Relationship Id="rId1" Type="http://schemas.openxmlformats.org/officeDocument/2006/relationships/hyperlink" Target="http://www.atoss.com&#160;" TargetMode="External"/><Relationship Id="rId6" Type="http://schemas.openxmlformats.org/officeDocument/2006/relationships/hyperlink" Target="http://www.mobilzeit.de&#160;" TargetMode="External"/><Relationship Id="rId15" Type="http://schemas.openxmlformats.org/officeDocument/2006/relationships/hyperlink" Target="http://www.primaerp.com/" TargetMode="External"/><Relationship Id="rId23" Type="http://schemas.openxmlformats.org/officeDocument/2006/relationships/hyperlink" Target="https://www.askdante.com/" TargetMode="External"/><Relationship Id="rId28" Type="http://schemas.openxmlformats.org/officeDocument/2006/relationships/hyperlink" Target="http://www.galawork.de/" TargetMode="External"/><Relationship Id="rId36" Type="http://schemas.openxmlformats.org/officeDocument/2006/relationships/hyperlink" Target="https://www.awork.com/de" TargetMode="External"/><Relationship Id="rId49" Type="http://schemas.openxmlformats.org/officeDocument/2006/relationships/hyperlink" Target="http://www.wiberry.de/" TargetMode="External"/><Relationship Id="rId57" Type="http://schemas.openxmlformats.org/officeDocument/2006/relationships/hyperlink" Target="https://www.shiftbase.com/de/" TargetMode="External"/><Relationship Id="rId10" Type="http://schemas.openxmlformats.org/officeDocument/2006/relationships/hyperlink" Target="http://www.clockin.de&#160;" TargetMode="External"/><Relationship Id="rId31" Type="http://schemas.openxmlformats.org/officeDocument/2006/relationships/hyperlink" Target="https://www.aplano.de/" TargetMode="External"/><Relationship Id="rId44" Type="http://schemas.openxmlformats.org/officeDocument/2006/relationships/hyperlink" Target="https://www.edtime.de/" TargetMode="External"/><Relationship Id="rId52" Type="http://schemas.openxmlformats.org/officeDocument/2006/relationships/hyperlink" Target="https://www.sap.com/germany/products/hcm/employee-time-tracking-software.html" TargetMode="External"/><Relationship Id="rId60" Type="http://schemas.openxmlformats.org/officeDocument/2006/relationships/hyperlink" Target="https://123erfasst.de/personal/" TargetMode="External"/><Relationship Id="rId65" Type="http://schemas.openxmlformats.org/officeDocument/2006/relationships/vmlDrawing" Target="../drawings/vmlDrawing1.vml"/><Relationship Id="rId4" Type="http://schemas.openxmlformats.org/officeDocument/2006/relationships/hyperlink" Target="http://www.krutec.de&#160;" TargetMode="External"/><Relationship Id="rId9" Type="http://schemas.openxmlformats.org/officeDocument/2006/relationships/hyperlink" Target="http://www.zmi.de/" TargetMode="External"/><Relationship Id="rId13" Type="http://schemas.openxmlformats.org/officeDocument/2006/relationships/hyperlink" Target="http://www.ed-portal.de/" TargetMode="External"/><Relationship Id="rId18" Type="http://schemas.openxmlformats.org/officeDocument/2006/relationships/hyperlink" Target="http://www.timeandbill.de/" TargetMode="External"/><Relationship Id="rId39" Type="http://schemas.openxmlformats.org/officeDocument/2006/relationships/hyperlink" Target="https://www.timemoto.com/de-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0D78-B607-4A10-A884-C1301BDDBE5B}">
  <dimension ref="B2:L18"/>
  <sheetViews>
    <sheetView zoomScale="120" zoomScaleNormal="120" workbookViewId="0">
      <selection activeCell="C5" sqref="C5"/>
    </sheetView>
  </sheetViews>
  <sheetFormatPr baseColWidth="10" defaultRowHeight="15.05" x14ac:dyDescent="0.3"/>
  <cols>
    <col min="1" max="1" width="3.21875" customWidth="1"/>
    <col min="2" max="2" width="12.44140625" customWidth="1"/>
    <col min="3" max="3" width="12.6640625" customWidth="1"/>
  </cols>
  <sheetData>
    <row r="2" spans="2:12" x14ac:dyDescent="0.3">
      <c r="B2" s="30" t="s">
        <v>708</v>
      </c>
      <c r="C2" s="31" t="s">
        <v>1601</v>
      </c>
      <c r="D2" s="31"/>
      <c r="E2" s="31"/>
      <c r="F2" s="31"/>
      <c r="G2" s="31"/>
      <c r="H2" s="31"/>
      <c r="I2" s="31"/>
      <c r="J2" s="31"/>
      <c r="K2" s="31"/>
      <c r="L2" s="31"/>
    </row>
    <row r="3" spans="2:12" x14ac:dyDescent="0.3">
      <c r="B3" s="30" t="s">
        <v>1600</v>
      </c>
      <c r="C3" s="31" t="s">
        <v>714</v>
      </c>
      <c r="D3" s="31"/>
      <c r="E3" s="31"/>
      <c r="F3" s="31"/>
      <c r="G3" s="31"/>
      <c r="H3" s="31"/>
      <c r="I3" s="31"/>
      <c r="J3" s="31"/>
      <c r="K3" s="31"/>
      <c r="L3" s="31"/>
    </row>
    <row r="4" spans="2:12" x14ac:dyDescent="0.3">
      <c r="B4" s="30" t="s">
        <v>1811</v>
      </c>
      <c r="C4" s="32" t="s">
        <v>1812</v>
      </c>
      <c r="D4" s="31"/>
      <c r="E4" s="31"/>
      <c r="F4" s="31"/>
      <c r="G4" s="31"/>
      <c r="H4" s="31"/>
      <c r="I4" s="31"/>
      <c r="J4" s="31"/>
      <c r="K4" s="31"/>
      <c r="L4" s="31"/>
    </row>
    <row r="5" spans="2:12" x14ac:dyDescent="0.3">
      <c r="B5" s="30" t="s">
        <v>726</v>
      </c>
      <c r="C5" s="31" t="s">
        <v>1597</v>
      </c>
      <c r="D5" s="31"/>
      <c r="E5" s="31"/>
      <c r="F5" s="31"/>
      <c r="G5" s="31"/>
      <c r="H5" s="31"/>
      <c r="I5" s="31"/>
      <c r="J5" s="31"/>
      <c r="K5" s="31"/>
      <c r="L5" s="31"/>
    </row>
    <row r="6" spans="2:12" x14ac:dyDescent="0.3">
      <c r="B6" s="30"/>
      <c r="C6" s="31" t="s">
        <v>1598</v>
      </c>
      <c r="D6" s="31"/>
      <c r="E6" s="31"/>
      <c r="F6" s="31"/>
      <c r="G6" s="31"/>
      <c r="H6" s="31"/>
      <c r="I6" s="31"/>
      <c r="J6" s="31"/>
      <c r="K6" s="31"/>
      <c r="L6" s="31"/>
    </row>
    <row r="7" spans="2:12" x14ac:dyDescent="0.3">
      <c r="B7" s="30"/>
      <c r="C7" s="31" t="s">
        <v>1620</v>
      </c>
      <c r="D7" s="31"/>
      <c r="E7" s="31"/>
      <c r="F7" s="31"/>
      <c r="G7" s="31"/>
      <c r="H7" s="31"/>
      <c r="I7" s="31"/>
      <c r="J7" s="31"/>
      <c r="K7" s="31"/>
      <c r="L7" s="31"/>
    </row>
    <row r="8" spans="2:12" x14ac:dyDescent="0.3">
      <c r="B8" s="30"/>
      <c r="C8" s="31" t="s">
        <v>1788</v>
      </c>
      <c r="D8" s="31"/>
      <c r="E8" s="31"/>
      <c r="F8" s="31"/>
      <c r="G8" s="31"/>
      <c r="H8" s="31"/>
      <c r="I8" s="31"/>
      <c r="J8" s="31"/>
      <c r="K8" s="31"/>
      <c r="L8" s="31"/>
    </row>
    <row r="9" spans="2:12" x14ac:dyDescent="0.3">
      <c r="B9" s="34"/>
      <c r="C9" s="34" t="s">
        <v>1614</v>
      </c>
      <c r="D9" s="34"/>
      <c r="E9" s="34"/>
      <c r="F9" s="34"/>
      <c r="G9" s="34"/>
      <c r="H9" s="34"/>
      <c r="I9" s="34"/>
      <c r="J9" s="34"/>
      <c r="K9" s="34"/>
      <c r="L9" s="34"/>
    </row>
    <row r="10" spans="2:12" x14ac:dyDescent="0.3">
      <c r="B10" s="30"/>
      <c r="C10" s="31" t="s">
        <v>1787</v>
      </c>
      <c r="D10" s="31"/>
      <c r="E10" s="31"/>
      <c r="F10" s="31"/>
      <c r="G10" s="31"/>
      <c r="H10" s="31"/>
      <c r="I10" s="31"/>
      <c r="J10" s="31"/>
      <c r="K10" s="31"/>
      <c r="L10" s="31"/>
    </row>
    <row r="11" spans="2:12" x14ac:dyDescent="0.3">
      <c r="B11" s="30"/>
      <c r="C11" s="31" t="s">
        <v>1615</v>
      </c>
      <c r="D11" s="31"/>
      <c r="E11" s="31"/>
      <c r="F11" s="31"/>
      <c r="G11" s="31"/>
      <c r="H11" s="31"/>
      <c r="I11" s="31"/>
      <c r="J11" s="31"/>
      <c r="K11" s="31"/>
      <c r="L11" s="31"/>
    </row>
    <row r="12" spans="2:12" x14ac:dyDescent="0.3">
      <c r="B12" s="30" t="s">
        <v>481</v>
      </c>
      <c r="C12" s="31" t="s">
        <v>1786</v>
      </c>
      <c r="D12" s="31"/>
      <c r="E12" s="31"/>
      <c r="F12" s="31"/>
      <c r="G12" s="31"/>
      <c r="H12" s="31"/>
      <c r="I12" s="31"/>
      <c r="J12" s="31"/>
      <c r="K12" s="31"/>
      <c r="L12" s="31"/>
    </row>
    <row r="13" spans="2:12" x14ac:dyDescent="0.3">
      <c r="B13" s="30" t="s">
        <v>727</v>
      </c>
      <c r="C13" s="30" t="s">
        <v>1593</v>
      </c>
      <c r="D13" s="31" t="s">
        <v>1599</v>
      </c>
      <c r="E13" s="31"/>
      <c r="F13" s="31"/>
      <c r="G13" s="31"/>
      <c r="H13" s="31"/>
      <c r="I13" s="31"/>
      <c r="J13" s="31"/>
      <c r="K13" s="31"/>
      <c r="L13" s="31"/>
    </row>
    <row r="14" spans="2:12" x14ac:dyDescent="0.3">
      <c r="B14" s="30"/>
      <c r="C14" s="31"/>
      <c r="D14" s="31" t="s">
        <v>1596</v>
      </c>
      <c r="E14" s="31"/>
      <c r="F14" s="31"/>
      <c r="G14" s="31"/>
      <c r="H14" s="31"/>
      <c r="I14" s="31"/>
      <c r="J14" s="31"/>
      <c r="K14" s="31"/>
      <c r="L14" s="31"/>
    </row>
    <row r="15" spans="2:12" x14ac:dyDescent="0.3">
      <c r="B15" s="30"/>
      <c r="C15" s="30" t="s">
        <v>1594</v>
      </c>
      <c r="D15" s="31" t="s">
        <v>1595</v>
      </c>
      <c r="E15" s="31"/>
      <c r="F15" s="31"/>
      <c r="G15" s="31"/>
      <c r="H15" s="31"/>
      <c r="I15" s="31"/>
      <c r="J15" s="31"/>
      <c r="K15" s="31"/>
      <c r="L15" s="31"/>
    </row>
    <row r="16" spans="2:12" x14ac:dyDescent="0.3">
      <c r="B16" s="30" t="s">
        <v>725</v>
      </c>
      <c r="C16" s="32" t="s">
        <v>1808</v>
      </c>
      <c r="D16" s="31"/>
      <c r="E16" s="31"/>
      <c r="F16" s="31"/>
      <c r="G16" s="31"/>
      <c r="H16" s="31"/>
      <c r="I16" s="31"/>
      <c r="J16" s="31"/>
      <c r="K16" s="31"/>
      <c r="L16" s="31"/>
    </row>
    <row r="17" spans="4:4" x14ac:dyDescent="0.3">
      <c r="D17" s="33"/>
    </row>
    <row r="18" spans="4:4" x14ac:dyDescent="0.3">
      <c r="D18" s="33"/>
    </row>
  </sheetData>
  <hyperlinks>
    <hyperlink ref="C16" r:id="rId1" xr:uid="{B612E81F-0687-4971-8467-007B7A5C9DC4}"/>
    <hyperlink ref="C4" r:id="rId2" xr:uid="{5B6AA946-9F42-4CF2-A7E9-48DF5479432D}"/>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BA92E-6427-4D8D-B16C-1D208940DFE7}">
  <dimension ref="A1:BA993"/>
  <sheetViews>
    <sheetView tabSelected="1" zoomScale="97" zoomScaleNormal="97" workbookViewId="0">
      <pane xSplit="3" ySplit="9" topLeftCell="D10" activePane="bottomRight" state="frozen"/>
      <selection pane="topRight" activeCell="D1" sqref="D1"/>
      <selection pane="bottomLeft" activeCell="A12" sqref="A12"/>
      <selection pane="bottomRight" activeCell="AI20" sqref="AI20"/>
    </sheetView>
  </sheetViews>
  <sheetFormatPr baseColWidth="10" defaultRowHeight="15.05" x14ac:dyDescent="0.3"/>
  <cols>
    <col min="1" max="1" width="18.21875" style="1" customWidth="1"/>
    <col min="2" max="2" width="14.77734375" style="1" customWidth="1"/>
    <col min="3" max="3" width="17.6640625" style="1" customWidth="1"/>
    <col min="4" max="4" width="28.5546875" style="3" customWidth="1"/>
    <col min="5" max="5" width="23.6640625" style="3" customWidth="1"/>
    <col min="6" max="6" width="15.44140625" style="3" customWidth="1"/>
    <col min="7" max="7" width="34.77734375" style="3" bestFit="1" customWidth="1"/>
    <col min="8" max="8" width="14.5546875" style="3" customWidth="1"/>
    <col min="9" max="10" width="14.77734375" style="3" customWidth="1"/>
    <col min="11" max="11" width="13" style="3" customWidth="1"/>
    <col min="12" max="14" width="17.21875" style="3" customWidth="1"/>
    <col min="15" max="15" width="18" style="3" customWidth="1"/>
    <col min="16" max="16" width="14.77734375" style="3" customWidth="1"/>
    <col min="17" max="17" width="17.21875" style="3" customWidth="1"/>
    <col min="18" max="18" width="22.88671875" style="3" customWidth="1"/>
    <col min="19" max="19" width="29.6640625" style="3" customWidth="1"/>
    <col min="20" max="22" width="22" style="3" customWidth="1"/>
    <col min="23" max="24" width="17.21875" style="3" customWidth="1"/>
    <col min="25" max="25" width="13" style="3" customWidth="1"/>
    <col min="26" max="26" width="12.21875" style="3" customWidth="1"/>
    <col min="27" max="27" width="17.21875" style="3" customWidth="1"/>
    <col min="28" max="28" width="12.109375" style="3" customWidth="1"/>
    <col min="29" max="29" width="13.109375" style="3" customWidth="1"/>
    <col min="30" max="30" width="14.21875" style="3" customWidth="1"/>
    <col min="31" max="31" width="12.88671875" style="3" customWidth="1"/>
    <col min="32" max="33" width="13.5546875" style="3" customWidth="1"/>
    <col min="34" max="34" width="14.5546875" style="3" customWidth="1"/>
    <col min="35" max="35" width="14.6640625" style="3" customWidth="1"/>
    <col min="36" max="38" width="17.21875" style="3" customWidth="1"/>
    <col min="39" max="39" width="17.21875" customWidth="1"/>
    <col min="40" max="42" width="17.21875" style="3" customWidth="1"/>
    <col min="43" max="43" width="19.77734375" style="3" customWidth="1"/>
    <col min="44" max="44" width="15" style="3" customWidth="1"/>
    <col min="45" max="45" width="12.33203125" style="3" customWidth="1"/>
    <col min="46" max="46" width="14.6640625" style="3" customWidth="1"/>
    <col min="47" max="47" width="14.77734375" style="3" customWidth="1"/>
    <col min="48" max="48" width="17.21875" style="3" customWidth="1"/>
    <col min="49" max="50" width="16" style="3" customWidth="1"/>
    <col min="51" max="51" width="15.6640625" style="14" customWidth="1"/>
    <col min="52" max="52" width="15.33203125" style="3" customWidth="1"/>
    <col min="53" max="16384" width="11.5546875" style="3"/>
  </cols>
  <sheetData>
    <row r="1" spans="1:53" x14ac:dyDescent="0.3">
      <c r="A1" s="16" t="s">
        <v>708</v>
      </c>
      <c r="B1" s="17" t="s">
        <v>736</v>
      </c>
      <c r="C1" s="17"/>
      <c r="D1" s="17"/>
      <c r="E1" s="17"/>
      <c r="F1" s="17"/>
      <c r="G1" s="17"/>
    </row>
    <row r="2" spans="1:53" ht="30.05" x14ac:dyDescent="0.3">
      <c r="A2" s="27" t="s">
        <v>722</v>
      </c>
      <c r="B2" s="17" t="s">
        <v>714</v>
      </c>
      <c r="C2" s="17"/>
      <c r="D2" s="17"/>
      <c r="E2" s="17"/>
      <c r="F2" s="17"/>
      <c r="G2" s="17"/>
    </row>
    <row r="3" spans="1:53" x14ac:dyDescent="0.3">
      <c r="A3" s="16" t="s">
        <v>721</v>
      </c>
      <c r="B3" s="18">
        <v>46178</v>
      </c>
      <c r="C3" s="17"/>
      <c r="D3" s="17"/>
      <c r="E3" s="17"/>
      <c r="F3" s="17"/>
      <c r="G3" s="17"/>
    </row>
    <row r="4" spans="1:53" x14ac:dyDescent="0.3">
      <c r="A4" s="19" t="s">
        <v>717</v>
      </c>
      <c r="B4" s="20" t="s">
        <v>718</v>
      </c>
      <c r="C4" s="17"/>
      <c r="D4" s="17"/>
      <c r="E4" s="17"/>
      <c r="F4" s="17"/>
      <c r="G4" s="17"/>
    </row>
    <row r="5" spans="1:53" x14ac:dyDescent="0.3">
      <c r="A5" s="17"/>
      <c r="B5" s="20" t="s">
        <v>719</v>
      </c>
      <c r="C5" s="17"/>
      <c r="D5" s="17"/>
      <c r="E5" s="17"/>
      <c r="F5" s="17"/>
      <c r="G5" s="17"/>
    </row>
    <row r="6" spans="1:53" x14ac:dyDescent="0.3">
      <c r="A6" s="17"/>
      <c r="B6" s="20" t="s">
        <v>720</v>
      </c>
      <c r="C6" s="17"/>
      <c r="D6" s="17"/>
      <c r="E6" s="17"/>
      <c r="F6" s="17"/>
      <c r="G6" s="17"/>
    </row>
    <row r="7" spans="1:53" x14ac:dyDescent="0.3">
      <c r="A7" s="17"/>
      <c r="B7" s="21" t="s">
        <v>1602</v>
      </c>
      <c r="C7" s="17"/>
      <c r="D7" s="17"/>
      <c r="E7" s="17"/>
      <c r="F7" s="17"/>
      <c r="G7" s="17"/>
    </row>
    <row r="8" spans="1:53" s="1" customFormat="1" x14ac:dyDescent="0.3">
      <c r="H8" s="22" t="s">
        <v>3</v>
      </c>
      <c r="I8" s="6" t="s">
        <v>386</v>
      </c>
      <c r="J8" s="6" t="s">
        <v>387</v>
      </c>
      <c r="K8" s="6" t="s">
        <v>504</v>
      </c>
      <c r="L8" s="6" t="s">
        <v>519</v>
      </c>
      <c r="M8" s="6" t="s">
        <v>388</v>
      </c>
      <c r="N8" s="6" t="s">
        <v>389</v>
      </c>
      <c r="O8" s="6" t="s">
        <v>505</v>
      </c>
      <c r="P8" s="6" t="s">
        <v>506</v>
      </c>
      <c r="Q8" s="6" t="s">
        <v>390</v>
      </c>
      <c r="R8" s="6" t="s">
        <v>520</v>
      </c>
      <c r="S8" s="6" t="s">
        <v>391</v>
      </c>
      <c r="T8" s="6" t="s">
        <v>507</v>
      </c>
      <c r="U8" s="6" t="s">
        <v>508</v>
      </c>
      <c r="V8" s="6" t="s">
        <v>521</v>
      </c>
      <c r="W8" s="6" t="s">
        <v>392</v>
      </c>
      <c r="X8" s="6" t="s">
        <v>393</v>
      </c>
      <c r="Y8" s="6" t="s">
        <v>509</v>
      </c>
      <c r="Z8" s="6" t="s">
        <v>510</v>
      </c>
      <c r="AA8" s="6" t="s">
        <v>394</v>
      </c>
      <c r="AB8" s="6" t="s">
        <v>395</v>
      </c>
      <c r="AC8" s="6" t="s">
        <v>528</v>
      </c>
      <c r="AD8" s="6" t="s">
        <v>527</v>
      </c>
      <c r="AE8" s="6" t="s">
        <v>526</v>
      </c>
      <c r="AF8" s="6" t="s">
        <v>525</v>
      </c>
      <c r="AG8" s="6" t="s">
        <v>524</v>
      </c>
      <c r="AH8" s="6" t="s">
        <v>523</v>
      </c>
      <c r="AI8" s="6" t="s">
        <v>522</v>
      </c>
      <c r="AJ8" s="6" t="s">
        <v>396</v>
      </c>
      <c r="AK8" s="6" t="s">
        <v>397</v>
      </c>
      <c r="AL8" s="6" t="s">
        <v>398</v>
      </c>
      <c r="AM8" s="4" t="s">
        <v>399</v>
      </c>
      <c r="AN8" s="6" t="s">
        <v>400</v>
      </c>
      <c r="AO8" s="6" t="s">
        <v>401</v>
      </c>
      <c r="AP8" s="6" t="s">
        <v>402</v>
      </c>
      <c r="AQ8" s="6" t="s">
        <v>403</v>
      </c>
      <c r="AR8" s="6" t="s">
        <v>404</v>
      </c>
      <c r="AS8" s="6" t="s">
        <v>405</v>
      </c>
      <c r="AT8" s="6" t="s">
        <v>406</v>
      </c>
      <c r="AU8" s="6" t="s">
        <v>407</v>
      </c>
      <c r="AV8" s="6" t="s">
        <v>1704</v>
      </c>
      <c r="AW8" s="6" t="s">
        <v>1717</v>
      </c>
      <c r="AX8" s="6" t="s">
        <v>1718</v>
      </c>
      <c r="AY8" s="15"/>
    </row>
    <row r="9" spans="1:53" s="6" customFormat="1" ht="45.1" x14ac:dyDescent="0.3">
      <c r="A9" s="23" t="s">
        <v>709</v>
      </c>
      <c r="B9" s="24" t="s">
        <v>0</v>
      </c>
      <c r="C9" s="24" t="s">
        <v>713</v>
      </c>
      <c r="D9" s="24" t="s">
        <v>1</v>
      </c>
      <c r="E9" s="24" t="s">
        <v>2</v>
      </c>
      <c r="F9" s="24" t="s">
        <v>481</v>
      </c>
      <c r="G9" s="24" t="s">
        <v>480</v>
      </c>
      <c r="H9" s="25" t="s">
        <v>723</v>
      </c>
      <c r="I9" s="26" t="s">
        <v>512</v>
      </c>
      <c r="J9" s="26" t="s">
        <v>513</v>
      </c>
      <c r="K9" s="26" t="s">
        <v>1789</v>
      </c>
      <c r="L9" s="26" t="s">
        <v>408</v>
      </c>
      <c r="M9" s="26" t="s">
        <v>1790</v>
      </c>
      <c r="N9" s="26" t="s">
        <v>654</v>
      </c>
      <c r="O9" s="26" t="s">
        <v>409</v>
      </c>
      <c r="P9" s="26" t="s">
        <v>1791</v>
      </c>
      <c r="Q9" s="26" t="s">
        <v>410</v>
      </c>
      <c r="R9" s="26" t="s">
        <v>477</v>
      </c>
      <c r="S9" s="26" t="s">
        <v>656</v>
      </c>
      <c r="T9" s="26" t="s">
        <v>475</v>
      </c>
      <c r="U9" s="26" t="s">
        <v>1703</v>
      </c>
      <c r="V9" s="26" t="s">
        <v>411</v>
      </c>
      <c r="W9" s="26" t="s">
        <v>412</v>
      </c>
      <c r="X9" s="26" t="s">
        <v>503</v>
      </c>
      <c r="Y9" s="26" t="s">
        <v>414</v>
      </c>
      <c r="Z9" s="26" t="s">
        <v>415</v>
      </c>
      <c r="AA9" s="26" t="s">
        <v>413</v>
      </c>
      <c r="AB9" s="26" t="s">
        <v>416</v>
      </c>
      <c r="AC9" s="26" t="s">
        <v>417</v>
      </c>
      <c r="AD9" s="26" t="s">
        <v>418</v>
      </c>
      <c r="AE9" s="26" t="s">
        <v>419</v>
      </c>
      <c r="AF9" s="26" t="s">
        <v>420</v>
      </c>
      <c r="AG9" s="26" t="s">
        <v>421</v>
      </c>
      <c r="AH9" s="26" t="s">
        <v>422</v>
      </c>
      <c r="AI9" s="26" t="s">
        <v>423</v>
      </c>
      <c r="AJ9" s="26" t="s">
        <v>424</v>
      </c>
      <c r="AK9" s="26" t="s">
        <v>425</v>
      </c>
      <c r="AL9" s="26" t="s">
        <v>514</v>
      </c>
      <c r="AM9" s="35" t="s">
        <v>515</v>
      </c>
      <c r="AN9" s="26" t="s">
        <v>1672</v>
      </c>
      <c r="AO9" s="26" t="s">
        <v>426</v>
      </c>
      <c r="AP9" s="26" t="s">
        <v>472</v>
      </c>
      <c r="AQ9" s="26" t="s">
        <v>427</v>
      </c>
      <c r="AR9" s="26" t="s">
        <v>428</v>
      </c>
      <c r="AS9" s="26" t="s">
        <v>429</v>
      </c>
      <c r="AT9" s="26" t="s">
        <v>430</v>
      </c>
      <c r="AU9" s="26" t="s">
        <v>431</v>
      </c>
      <c r="AV9" s="26" t="s">
        <v>432</v>
      </c>
      <c r="AW9" s="26" t="s">
        <v>516</v>
      </c>
      <c r="AX9" s="26" t="s">
        <v>1651</v>
      </c>
      <c r="AY9" s="28" t="s">
        <v>710</v>
      </c>
      <c r="AZ9" s="29" t="s">
        <v>711</v>
      </c>
      <c r="BA9" s="29" t="s">
        <v>712</v>
      </c>
    </row>
    <row r="10" spans="1:53" x14ac:dyDescent="0.3">
      <c r="A10" s="1" t="s">
        <v>715</v>
      </c>
      <c r="B10" s="1" t="s">
        <v>4</v>
      </c>
      <c r="C10" s="1" t="s">
        <v>81</v>
      </c>
      <c r="D10" s="3" t="s">
        <v>653</v>
      </c>
      <c r="E10" s="11" t="s">
        <v>269</v>
      </c>
      <c r="F10" s="3" t="s">
        <v>485</v>
      </c>
      <c r="G10" s="3" t="s">
        <v>493</v>
      </c>
      <c r="H10" s="1" t="s">
        <v>738</v>
      </c>
      <c r="I10" s="1" t="s">
        <v>452</v>
      </c>
      <c r="J10" s="1" t="s">
        <v>451</v>
      </c>
      <c r="K10" s="1" t="s">
        <v>452</v>
      </c>
      <c r="M10" s="1" t="s">
        <v>452</v>
      </c>
      <c r="N10" s="1" t="s">
        <v>451</v>
      </c>
      <c r="P10" s="1"/>
      <c r="Q10" s="1" t="s">
        <v>732</v>
      </c>
      <c r="R10" s="1" t="s">
        <v>451</v>
      </c>
      <c r="S10" s="3" t="s">
        <v>254</v>
      </c>
      <c r="T10" s="1" t="s">
        <v>451</v>
      </c>
      <c r="U10" s="1"/>
      <c r="V10" s="1" t="s">
        <v>451</v>
      </c>
      <c r="W10" s="1" t="s">
        <v>451</v>
      </c>
      <c r="X10" s="1"/>
      <c r="Y10" s="1" t="s">
        <v>451</v>
      </c>
      <c r="Z10" s="1" t="s">
        <v>452</v>
      </c>
      <c r="AB10" s="1" t="s">
        <v>451</v>
      </c>
      <c r="AC10" s="1" t="s">
        <v>451</v>
      </c>
      <c r="AD10" s="1"/>
      <c r="AE10" s="1"/>
      <c r="AF10" s="1" t="s">
        <v>451</v>
      </c>
      <c r="AG10" s="1" t="s">
        <v>451</v>
      </c>
      <c r="AH10" s="1"/>
      <c r="AI10" s="1" t="s">
        <v>451</v>
      </c>
      <c r="AK10" s="3" t="s">
        <v>464</v>
      </c>
      <c r="AL10" s="1" t="s">
        <v>451</v>
      </c>
      <c r="AM10" t="s">
        <v>452</v>
      </c>
      <c r="AN10" s="1"/>
      <c r="AO10" s="1"/>
      <c r="AP10" s="1"/>
      <c r="AQ10" s="1" t="s">
        <v>451</v>
      </c>
      <c r="AR10" s="1" t="s">
        <v>451</v>
      </c>
      <c r="AS10" s="1"/>
      <c r="AT10" s="1"/>
      <c r="AU10" s="1"/>
      <c r="AV10" s="1"/>
      <c r="AX10" s="1" t="s">
        <v>1668</v>
      </c>
      <c r="AY10" s="14">
        <v>46099</v>
      </c>
      <c r="AZ10" s="3" t="s">
        <v>714</v>
      </c>
    </row>
    <row r="11" spans="1:53" x14ac:dyDescent="0.3">
      <c r="A11" s="1" t="s">
        <v>715</v>
      </c>
      <c r="B11" s="1" t="s">
        <v>5</v>
      </c>
      <c r="C11" s="1" t="s">
        <v>82</v>
      </c>
      <c r="D11" s="3" t="s">
        <v>581</v>
      </c>
      <c r="E11" s="11" t="s">
        <v>270</v>
      </c>
      <c r="F11" s="3" t="s">
        <v>485</v>
      </c>
      <c r="G11" s="3" t="s">
        <v>494</v>
      </c>
      <c r="H11" s="1" t="s">
        <v>738</v>
      </c>
      <c r="I11" s="1" t="s">
        <v>452</v>
      </c>
      <c r="J11" s="1" t="s">
        <v>451</v>
      </c>
      <c r="K11" s="1" t="s">
        <v>452</v>
      </c>
      <c r="M11" s="1" t="s">
        <v>452</v>
      </c>
      <c r="N11" s="1" t="s">
        <v>451</v>
      </c>
      <c r="O11" s="1" t="s">
        <v>731</v>
      </c>
      <c r="P11" s="1" t="s">
        <v>451</v>
      </c>
      <c r="Q11" s="1" t="s">
        <v>732</v>
      </c>
      <c r="R11" s="1" t="s">
        <v>451</v>
      </c>
      <c r="S11" s="3" t="s">
        <v>255</v>
      </c>
      <c r="T11" s="1" t="s">
        <v>451</v>
      </c>
      <c r="U11" s="1" t="s">
        <v>451</v>
      </c>
      <c r="V11" s="1" t="s">
        <v>451</v>
      </c>
      <c r="W11" s="1" t="s">
        <v>451</v>
      </c>
      <c r="X11" s="1"/>
      <c r="Y11" s="1" t="s">
        <v>451</v>
      </c>
      <c r="Z11" s="1" t="s">
        <v>452</v>
      </c>
      <c r="AA11" s="1" t="s">
        <v>734</v>
      </c>
      <c r="AB11" s="1" t="s">
        <v>451</v>
      </c>
      <c r="AC11" s="1" t="s">
        <v>451</v>
      </c>
      <c r="AD11" s="1" t="s">
        <v>451</v>
      </c>
      <c r="AE11" s="1"/>
      <c r="AF11" s="1" t="s">
        <v>451</v>
      </c>
      <c r="AG11" s="1" t="s">
        <v>451</v>
      </c>
      <c r="AH11" s="1" t="s">
        <v>451</v>
      </c>
      <c r="AI11" s="1" t="s">
        <v>451</v>
      </c>
      <c r="AK11" s="3" t="s">
        <v>463</v>
      </c>
      <c r="AL11" s="1" t="s">
        <v>451</v>
      </c>
      <c r="AM11" t="s">
        <v>452</v>
      </c>
      <c r="AN11" s="1"/>
      <c r="AO11" s="1" t="s">
        <v>737</v>
      </c>
      <c r="AP11" s="1"/>
      <c r="AQ11" s="1" t="s">
        <v>451</v>
      </c>
      <c r="AR11" s="1" t="s">
        <v>451</v>
      </c>
      <c r="AS11" s="1" t="s">
        <v>451</v>
      </c>
      <c r="AT11" s="1"/>
      <c r="AU11" s="1" t="s">
        <v>451</v>
      </c>
      <c r="AV11" s="1"/>
      <c r="AW11" s="3" t="s">
        <v>1646</v>
      </c>
      <c r="AX11" s="1" t="s">
        <v>1668</v>
      </c>
      <c r="AY11" s="14">
        <v>46176</v>
      </c>
      <c r="AZ11" s="3" t="s">
        <v>714</v>
      </c>
    </row>
    <row r="12" spans="1:53" x14ac:dyDescent="0.3">
      <c r="A12" s="1" t="s">
        <v>715</v>
      </c>
      <c r="B12" s="1" t="s">
        <v>6</v>
      </c>
      <c r="C12" s="1" t="s">
        <v>83</v>
      </c>
      <c r="D12" s="3" t="s">
        <v>652</v>
      </c>
      <c r="E12" s="11" t="s">
        <v>271</v>
      </c>
      <c r="F12" s="3" t="s">
        <v>486</v>
      </c>
      <c r="G12" s="3" t="s">
        <v>495</v>
      </c>
      <c r="H12" s="1" t="s">
        <v>738</v>
      </c>
      <c r="I12" s="1" t="s">
        <v>452</v>
      </c>
      <c r="J12" s="1" t="s">
        <v>451</v>
      </c>
      <c r="K12" s="1" t="s">
        <v>452</v>
      </c>
      <c r="L12" s="1" t="s">
        <v>729</v>
      </c>
      <c r="M12" s="1" t="s">
        <v>451</v>
      </c>
      <c r="N12" s="1" t="s">
        <v>451</v>
      </c>
      <c r="P12" s="1" t="s">
        <v>451</v>
      </c>
      <c r="Q12" s="1" t="s">
        <v>732</v>
      </c>
      <c r="R12" s="1" t="s">
        <v>451</v>
      </c>
      <c r="S12" s="3" t="s">
        <v>256</v>
      </c>
      <c r="T12" s="1" t="s">
        <v>451</v>
      </c>
      <c r="U12" s="1" t="s">
        <v>451</v>
      </c>
      <c r="V12" s="1" t="s">
        <v>451</v>
      </c>
      <c r="W12" s="1" t="s">
        <v>451</v>
      </c>
      <c r="X12" s="1"/>
      <c r="Y12" s="1" t="s">
        <v>451</v>
      </c>
      <c r="Z12" s="1" t="s">
        <v>452</v>
      </c>
      <c r="AA12" s="1" t="s">
        <v>734</v>
      </c>
      <c r="AB12" s="1" t="s">
        <v>451</v>
      </c>
      <c r="AC12" s="1" t="s">
        <v>451</v>
      </c>
      <c r="AD12" s="1"/>
      <c r="AE12" s="1"/>
      <c r="AF12" s="1" t="s">
        <v>451</v>
      </c>
      <c r="AG12" s="1"/>
      <c r="AH12" s="1" t="s">
        <v>451</v>
      </c>
      <c r="AI12" s="1" t="s">
        <v>451</v>
      </c>
      <c r="AK12" s="3" t="s">
        <v>462</v>
      </c>
      <c r="AL12" s="1" t="s">
        <v>451</v>
      </c>
      <c r="AM12" t="s">
        <v>452</v>
      </c>
      <c r="AN12" s="1"/>
      <c r="AO12" s="1"/>
      <c r="AP12" s="1"/>
      <c r="AQ12" s="1" t="s">
        <v>451</v>
      </c>
      <c r="AR12" s="1" t="s">
        <v>451</v>
      </c>
      <c r="AS12" s="1" t="s">
        <v>451</v>
      </c>
      <c r="AT12" s="1"/>
      <c r="AU12" s="1"/>
      <c r="AV12" s="1"/>
      <c r="AX12" s="1" t="s">
        <v>1668</v>
      </c>
      <c r="AY12" s="14">
        <v>46100</v>
      </c>
      <c r="AZ12" s="3" t="s">
        <v>714</v>
      </c>
    </row>
    <row r="13" spans="1:53" x14ac:dyDescent="0.3">
      <c r="A13" s="1" t="s">
        <v>715</v>
      </c>
      <c r="B13" s="1" t="s">
        <v>7</v>
      </c>
      <c r="C13" s="1" t="s">
        <v>84</v>
      </c>
      <c r="D13" s="3" t="s">
        <v>651</v>
      </c>
      <c r="E13" s="11" t="s">
        <v>272</v>
      </c>
      <c r="F13" s="3" t="s">
        <v>485</v>
      </c>
      <c r="G13" s="3" t="s">
        <v>496</v>
      </c>
      <c r="H13" s="1" t="s">
        <v>738</v>
      </c>
      <c r="I13" s="1" t="s">
        <v>452</v>
      </c>
      <c r="J13" s="1" t="s">
        <v>451</v>
      </c>
      <c r="K13" s="1" t="s">
        <v>452</v>
      </c>
      <c r="M13" s="1" t="s">
        <v>451</v>
      </c>
      <c r="N13" s="1" t="s">
        <v>451</v>
      </c>
      <c r="O13" s="1" t="s">
        <v>731</v>
      </c>
      <c r="P13" s="1"/>
      <c r="Q13" s="1" t="s">
        <v>732</v>
      </c>
      <c r="R13" s="1" t="s">
        <v>451</v>
      </c>
      <c r="S13" s="3" t="s">
        <v>257</v>
      </c>
      <c r="T13" s="1" t="s">
        <v>451</v>
      </c>
      <c r="U13" s="1" t="s">
        <v>451</v>
      </c>
      <c r="V13" s="1" t="s">
        <v>451</v>
      </c>
      <c r="W13" s="1" t="s">
        <v>451</v>
      </c>
      <c r="X13" s="1"/>
      <c r="Y13" s="1" t="s">
        <v>451</v>
      </c>
      <c r="Z13" s="1" t="s">
        <v>452</v>
      </c>
      <c r="AA13" s="1" t="s">
        <v>734</v>
      </c>
      <c r="AB13" s="1" t="s">
        <v>451</v>
      </c>
      <c r="AC13" s="1" t="s">
        <v>451</v>
      </c>
      <c r="AD13" s="1" t="s">
        <v>451</v>
      </c>
      <c r="AE13" s="1"/>
      <c r="AF13" s="1" t="s">
        <v>451</v>
      </c>
      <c r="AG13" s="1"/>
      <c r="AH13" s="1" t="s">
        <v>451</v>
      </c>
      <c r="AI13" s="1" t="s">
        <v>451</v>
      </c>
      <c r="AK13" s="3" t="s">
        <v>462</v>
      </c>
      <c r="AL13" s="1" t="s">
        <v>451</v>
      </c>
      <c r="AM13" t="s">
        <v>452</v>
      </c>
      <c r="AN13" s="1"/>
      <c r="AO13" s="1" t="s">
        <v>737</v>
      </c>
      <c r="AP13" s="1" t="s">
        <v>451</v>
      </c>
      <c r="AQ13" s="1" t="s">
        <v>451</v>
      </c>
      <c r="AR13" s="1" t="s">
        <v>451</v>
      </c>
      <c r="AS13" s="1" t="s">
        <v>451</v>
      </c>
      <c r="AT13" s="1"/>
      <c r="AU13" s="1" t="s">
        <v>451</v>
      </c>
      <c r="AV13" s="1"/>
      <c r="AW13" s="3" t="s">
        <v>517</v>
      </c>
      <c r="AX13" s="1" t="s">
        <v>1668</v>
      </c>
      <c r="AY13" s="14">
        <v>46100</v>
      </c>
      <c r="AZ13" s="3" t="s">
        <v>714</v>
      </c>
    </row>
    <row r="14" spans="1:53" x14ac:dyDescent="0.3">
      <c r="A14" s="1" t="s">
        <v>715</v>
      </c>
      <c r="B14" s="1" t="s">
        <v>8</v>
      </c>
      <c r="C14" s="1" t="s">
        <v>85</v>
      </c>
      <c r="D14" s="3" t="s">
        <v>650</v>
      </c>
      <c r="E14" s="11" t="s">
        <v>273</v>
      </c>
      <c r="F14" s="3" t="s">
        <v>487</v>
      </c>
      <c r="G14" s="3" t="s">
        <v>497</v>
      </c>
      <c r="H14" s="1" t="s">
        <v>738</v>
      </c>
      <c r="I14" s="1" t="s">
        <v>452</v>
      </c>
      <c r="J14" s="1" t="s">
        <v>451</v>
      </c>
      <c r="K14" s="1" t="s">
        <v>452</v>
      </c>
      <c r="L14" s="1" t="s">
        <v>728</v>
      </c>
      <c r="M14" s="1" t="s">
        <v>451</v>
      </c>
      <c r="N14" s="1" t="s">
        <v>451</v>
      </c>
      <c r="O14" s="1" t="s">
        <v>731</v>
      </c>
      <c r="P14" s="1" t="s">
        <v>451</v>
      </c>
      <c r="Q14" s="1" t="s">
        <v>732</v>
      </c>
      <c r="R14" s="1" t="s">
        <v>451</v>
      </c>
      <c r="S14" s="3" t="s">
        <v>258</v>
      </c>
      <c r="T14" s="1" t="s">
        <v>451</v>
      </c>
      <c r="U14" s="1" t="s">
        <v>451</v>
      </c>
      <c r="V14" s="1" t="s">
        <v>451</v>
      </c>
      <c r="W14" s="1"/>
      <c r="X14" s="1" t="s">
        <v>451</v>
      </c>
      <c r="Y14" s="1"/>
      <c r="Z14" s="1" t="s">
        <v>452</v>
      </c>
      <c r="AA14" s="1" t="s">
        <v>734</v>
      </c>
      <c r="AB14" s="1" t="s">
        <v>451</v>
      </c>
      <c r="AC14" s="1"/>
      <c r="AD14" s="1" t="s">
        <v>451</v>
      </c>
      <c r="AE14" s="1"/>
      <c r="AF14" s="1" t="s">
        <v>451</v>
      </c>
      <c r="AG14" s="1"/>
      <c r="AH14" s="1" t="s">
        <v>451</v>
      </c>
      <c r="AI14" s="1" t="s">
        <v>451</v>
      </c>
      <c r="AK14" s="3" t="s">
        <v>463</v>
      </c>
      <c r="AL14" s="1" t="s">
        <v>451</v>
      </c>
      <c r="AM14" t="s">
        <v>452</v>
      </c>
      <c r="AN14" s="1"/>
      <c r="AO14" s="1" t="s">
        <v>737</v>
      </c>
      <c r="AP14" s="1"/>
      <c r="AQ14" s="1" t="s">
        <v>451</v>
      </c>
      <c r="AR14" s="1" t="s">
        <v>451</v>
      </c>
      <c r="AS14" s="1" t="s">
        <v>451</v>
      </c>
      <c r="AT14" s="1"/>
      <c r="AU14" s="1"/>
      <c r="AV14" s="1"/>
      <c r="AW14" s="3" t="s">
        <v>517</v>
      </c>
      <c r="AX14" s="1" t="s">
        <v>1680</v>
      </c>
      <c r="AY14" s="14">
        <v>46101</v>
      </c>
      <c r="AZ14" s="3" t="s">
        <v>714</v>
      </c>
    </row>
    <row r="15" spans="1:53" x14ac:dyDescent="0.3">
      <c r="A15" s="1" t="s">
        <v>715</v>
      </c>
      <c r="B15" s="1" t="s">
        <v>9</v>
      </c>
      <c r="C15" s="1" t="s">
        <v>86</v>
      </c>
      <c r="D15" s="3" t="s">
        <v>649</v>
      </c>
      <c r="E15" s="11" t="s">
        <v>274</v>
      </c>
      <c r="F15" s="3" t="s">
        <v>488</v>
      </c>
      <c r="G15" s="3" t="s">
        <v>498</v>
      </c>
      <c r="H15" s="1" t="s">
        <v>738</v>
      </c>
      <c r="I15" s="1" t="s">
        <v>452</v>
      </c>
      <c r="J15" s="1" t="s">
        <v>451</v>
      </c>
      <c r="K15" s="1" t="s">
        <v>452</v>
      </c>
      <c r="M15" s="1" t="s">
        <v>452</v>
      </c>
      <c r="N15" s="1" t="s">
        <v>451</v>
      </c>
      <c r="P15" s="1"/>
      <c r="Q15" s="1" t="s">
        <v>732</v>
      </c>
      <c r="R15" s="1" t="s">
        <v>451</v>
      </c>
      <c r="S15" s="3" t="s">
        <v>259</v>
      </c>
      <c r="T15" s="1" t="s">
        <v>451</v>
      </c>
      <c r="U15" s="1"/>
      <c r="V15" s="1" t="s">
        <v>451</v>
      </c>
      <c r="W15" s="1"/>
      <c r="X15" s="1" t="s">
        <v>451</v>
      </c>
      <c r="Y15" s="1"/>
      <c r="Z15" s="1" t="s">
        <v>452</v>
      </c>
      <c r="AA15" s="1" t="s">
        <v>734</v>
      </c>
      <c r="AB15" s="1" t="s">
        <v>451</v>
      </c>
      <c r="AC15" s="1"/>
      <c r="AD15" s="1" t="s">
        <v>451</v>
      </c>
      <c r="AE15" s="1"/>
      <c r="AF15" s="1"/>
      <c r="AG15" s="1"/>
      <c r="AH15" s="1"/>
      <c r="AI15" s="1" t="s">
        <v>451</v>
      </c>
      <c r="AK15" s="3" t="s">
        <v>462</v>
      </c>
      <c r="AL15" s="1" t="s">
        <v>451</v>
      </c>
      <c r="AM15" t="s">
        <v>452</v>
      </c>
      <c r="AN15" s="1"/>
      <c r="AO15" s="1" t="s">
        <v>737</v>
      </c>
      <c r="AP15" s="1"/>
      <c r="AQ15" s="1" t="s">
        <v>451</v>
      </c>
      <c r="AR15" s="1" t="s">
        <v>451</v>
      </c>
      <c r="AS15" s="1"/>
      <c r="AT15" s="1"/>
      <c r="AU15" s="1"/>
      <c r="AV15" s="1"/>
      <c r="AW15" s="3" t="s">
        <v>518</v>
      </c>
      <c r="AX15" s="1" t="s">
        <v>1668</v>
      </c>
      <c r="AY15" s="14">
        <v>46104</v>
      </c>
      <c r="AZ15" s="3" t="s">
        <v>714</v>
      </c>
    </row>
    <row r="16" spans="1:53" x14ac:dyDescent="0.3">
      <c r="A16" s="1" t="s">
        <v>715</v>
      </c>
      <c r="B16" s="1" t="s">
        <v>10</v>
      </c>
      <c r="C16" s="1" t="s">
        <v>87</v>
      </c>
      <c r="D16" s="3" t="s">
        <v>648</v>
      </c>
      <c r="E16" s="11" t="s">
        <v>275</v>
      </c>
      <c r="F16" s="3" t="s">
        <v>489</v>
      </c>
      <c r="G16" s="3" t="s">
        <v>499</v>
      </c>
      <c r="H16" s="1" t="s">
        <v>738</v>
      </c>
      <c r="I16" s="1" t="s">
        <v>452</v>
      </c>
      <c r="J16" s="1" t="s">
        <v>451</v>
      </c>
      <c r="K16" s="1" t="s">
        <v>452</v>
      </c>
      <c r="L16" s="1" t="s">
        <v>729</v>
      </c>
      <c r="M16" s="1" t="s">
        <v>452</v>
      </c>
      <c r="N16" s="1" t="s">
        <v>451</v>
      </c>
      <c r="P16" s="1"/>
      <c r="Q16" s="1" t="s">
        <v>732</v>
      </c>
      <c r="R16" s="1" t="s">
        <v>451</v>
      </c>
      <c r="S16" s="3" t="s">
        <v>256</v>
      </c>
      <c r="T16" s="1" t="s">
        <v>451</v>
      </c>
      <c r="U16" s="1" t="s">
        <v>451</v>
      </c>
      <c r="V16" s="1" t="s">
        <v>451</v>
      </c>
      <c r="W16" s="1" t="s">
        <v>451</v>
      </c>
      <c r="X16" s="1"/>
      <c r="Y16" s="1" t="s">
        <v>451</v>
      </c>
      <c r="Z16" s="1" t="s">
        <v>452</v>
      </c>
      <c r="AA16" s="1" t="s">
        <v>734</v>
      </c>
      <c r="AB16" s="1" t="s">
        <v>451</v>
      </c>
      <c r="AC16" s="1" t="s">
        <v>451</v>
      </c>
      <c r="AD16" s="1" t="s">
        <v>451</v>
      </c>
      <c r="AE16" s="1" t="s">
        <v>451</v>
      </c>
      <c r="AF16" s="1" t="s">
        <v>451</v>
      </c>
      <c r="AG16" s="1" t="s">
        <v>451</v>
      </c>
      <c r="AH16" s="1"/>
      <c r="AI16" s="1" t="s">
        <v>451</v>
      </c>
      <c r="AL16" s="1" t="s">
        <v>451</v>
      </c>
      <c r="AM16" t="s">
        <v>452</v>
      </c>
      <c r="AN16" s="1"/>
      <c r="AO16" s="1" t="s">
        <v>737</v>
      </c>
      <c r="AP16" s="1"/>
      <c r="AQ16" s="1" t="s">
        <v>451</v>
      </c>
      <c r="AR16" s="1" t="s">
        <v>451</v>
      </c>
      <c r="AS16" s="1" t="s">
        <v>451</v>
      </c>
      <c r="AT16" s="1"/>
      <c r="AU16" s="1" t="s">
        <v>451</v>
      </c>
      <c r="AV16" s="1"/>
      <c r="AW16" s="3" t="s">
        <v>1802</v>
      </c>
      <c r="AX16" s="1" t="s">
        <v>1681</v>
      </c>
      <c r="AY16" s="14">
        <v>46108</v>
      </c>
      <c r="AZ16" s="3" t="s">
        <v>714</v>
      </c>
    </row>
    <row r="17" spans="1:52" x14ac:dyDescent="0.3">
      <c r="A17" s="1" t="s">
        <v>715</v>
      </c>
      <c r="B17" s="1" t="s">
        <v>11</v>
      </c>
      <c r="C17" s="1" t="s">
        <v>88</v>
      </c>
      <c r="D17" s="3" t="s">
        <v>647</v>
      </c>
      <c r="E17" s="11" t="s">
        <v>276</v>
      </c>
      <c r="F17" s="3" t="s">
        <v>490</v>
      </c>
      <c r="G17" s="3" t="s">
        <v>500</v>
      </c>
      <c r="H17" s="1" t="s">
        <v>738</v>
      </c>
      <c r="I17" s="1" t="s">
        <v>452</v>
      </c>
      <c r="J17" s="1" t="s">
        <v>451</v>
      </c>
      <c r="K17" s="1" t="s">
        <v>452</v>
      </c>
      <c r="L17" s="1" t="s">
        <v>729</v>
      </c>
      <c r="M17" s="1" t="s">
        <v>452</v>
      </c>
      <c r="N17" s="1" t="s">
        <v>451</v>
      </c>
      <c r="P17" s="1" t="s">
        <v>451</v>
      </c>
      <c r="Q17" s="1" t="s">
        <v>732</v>
      </c>
      <c r="R17" s="1" t="s">
        <v>451</v>
      </c>
      <c r="S17" s="3" t="s">
        <v>256</v>
      </c>
      <c r="T17" s="1" t="s">
        <v>451</v>
      </c>
      <c r="U17" s="1" t="s">
        <v>451</v>
      </c>
      <c r="V17" s="1" t="s">
        <v>451</v>
      </c>
      <c r="W17" s="1" t="s">
        <v>451</v>
      </c>
      <c r="X17" s="1" t="s">
        <v>451</v>
      </c>
      <c r="Y17" s="1"/>
      <c r="Z17" s="1" t="s">
        <v>452</v>
      </c>
      <c r="AA17" s="1" t="s">
        <v>734</v>
      </c>
      <c r="AB17" s="1" t="s">
        <v>451</v>
      </c>
      <c r="AC17" s="1" t="s">
        <v>451</v>
      </c>
      <c r="AD17" s="1" t="s">
        <v>451</v>
      </c>
      <c r="AE17" s="1" t="s">
        <v>451</v>
      </c>
      <c r="AF17" s="1" t="s">
        <v>451</v>
      </c>
      <c r="AG17" s="1" t="s">
        <v>451</v>
      </c>
      <c r="AH17" s="1"/>
      <c r="AI17" s="1" t="s">
        <v>451</v>
      </c>
      <c r="AK17" s="3" t="s">
        <v>464</v>
      </c>
      <c r="AL17" s="1" t="s">
        <v>451</v>
      </c>
      <c r="AM17" t="s">
        <v>452</v>
      </c>
      <c r="AN17" s="1"/>
      <c r="AO17" s="1" t="s">
        <v>737</v>
      </c>
      <c r="AP17" s="1"/>
      <c r="AQ17" s="1" t="s">
        <v>451</v>
      </c>
      <c r="AR17" s="1" t="s">
        <v>451</v>
      </c>
      <c r="AS17" s="1"/>
      <c r="AT17" s="1"/>
      <c r="AU17" s="1" t="s">
        <v>451</v>
      </c>
      <c r="AV17" s="1" t="s">
        <v>1792</v>
      </c>
      <c r="AW17" s="3" t="s">
        <v>1803</v>
      </c>
      <c r="AX17" s="1" t="s">
        <v>1682</v>
      </c>
      <c r="AY17" s="14">
        <v>46108</v>
      </c>
      <c r="AZ17" s="3" t="s">
        <v>714</v>
      </c>
    </row>
    <row r="18" spans="1:52" x14ac:dyDescent="0.3">
      <c r="A18" s="1" t="s">
        <v>715</v>
      </c>
      <c r="B18" s="1" t="s">
        <v>12</v>
      </c>
      <c r="C18" s="1" t="s">
        <v>89</v>
      </c>
      <c r="D18" s="3" t="s">
        <v>646</v>
      </c>
      <c r="E18" s="11" t="s">
        <v>277</v>
      </c>
      <c r="F18" s="3" t="s">
        <v>491</v>
      </c>
      <c r="G18" s="3" t="s">
        <v>501</v>
      </c>
      <c r="H18" s="1" t="s">
        <v>738</v>
      </c>
      <c r="I18" s="1" t="s">
        <v>452</v>
      </c>
      <c r="J18" s="1" t="s">
        <v>451</v>
      </c>
      <c r="K18" s="1" t="s">
        <v>452</v>
      </c>
      <c r="M18" s="1" t="s">
        <v>451</v>
      </c>
      <c r="N18" s="1" t="s">
        <v>451</v>
      </c>
      <c r="O18" s="1" t="s">
        <v>731</v>
      </c>
      <c r="P18" s="1" t="s">
        <v>451</v>
      </c>
      <c r="Q18" s="1" t="s">
        <v>732</v>
      </c>
      <c r="R18" s="1" t="s">
        <v>451</v>
      </c>
      <c r="S18" s="3" t="s">
        <v>256</v>
      </c>
      <c r="T18" s="1" t="s">
        <v>451</v>
      </c>
      <c r="U18" s="1" t="s">
        <v>451</v>
      </c>
      <c r="V18" s="1" t="s">
        <v>451</v>
      </c>
      <c r="W18" s="1" t="s">
        <v>451</v>
      </c>
      <c r="X18" s="1" t="s">
        <v>451</v>
      </c>
      <c r="Y18" s="1"/>
      <c r="Z18" s="1" t="s">
        <v>452</v>
      </c>
      <c r="AA18" s="1" t="s">
        <v>734</v>
      </c>
      <c r="AB18" s="1" t="s">
        <v>451</v>
      </c>
      <c r="AC18" s="1" t="s">
        <v>451</v>
      </c>
      <c r="AD18" s="1" t="s">
        <v>451</v>
      </c>
      <c r="AE18" s="1"/>
      <c r="AF18" s="1" t="s">
        <v>451</v>
      </c>
      <c r="AG18" s="1" t="s">
        <v>451</v>
      </c>
      <c r="AH18" s="1"/>
      <c r="AI18" s="1" t="s">
        <v>451</v>
      </c>
      <c r="AK18" s="3" t="s">
        <v>463</v>
      </c>
      <c r="AL18" s="1" t="s">
        <v>451</v>
      </c>
      <c r="AM18" t="s">
        <v>452</v>
      </c>
      <c r="AN18" s="1"/>
      <c r="AO18" s="1" t="s">
        <v>737</v>
      </c>
      <c r="AP18" s="1" t="s">
        <v>451</v>
      </c>
      <c r="AQ18" s="1" t="s">
        <v>451</v>
      </c>
      <c r="AR18" s="1" t="s">
        <v>451</v>
      </c>
      <c r="AS18" s="1" t="s">
        <v>451</v>
      </c>
      <c r="AT18" s="1"/>
      <c r="AU18" s="1"/>
      <c r="AV18" s="1"/>
      <c r="AW18" s="3" t="s">
        <v>1801</v>
      </c>
      <c r="AX18" s="1" t="s">
        <v>1668</v>
      </c>
      <c r="AY18" s="14">
        <v>46108</v>
      </c>
      <c r="AZ18" s="3" t="s">
        <v>714</v>
      </c>
    </row>
    <row r="19" spans="1:52" x14ac:dyDescent="0.3">
      <c r="A19" s="1" t="s">
        <v>715</v>
      </c>
      <c r="B19" s="1" t="s">
        <v>13</v>
      </c>
      <c r="C19" s="1" t="s">
        <v>90</v>
      </c>
      <c r="D19" s="3" t="s">
        <v>645</v>
      </c>
      <c r="E19" s="11" t="s">
        <v>278</v>
      </c>
      <c r="F19" s="3" t="s">
        <v>492</v>
      </c>
      <c r="G19" s="3" t="s">
        <v>502</v>
      </c>
      <c r="H19" s="1" t="s">
        <v>738</v>
      </c>
      <c r="I19" s="1" t="s">
        <v>452</v>
      </c>
      <c r="J19" s="1" t="s">
        <v>451</v>
      </c>
      <c r="K19" s="1" t="s">
        <v>452</v>
      </c>
      <c r="L19" s="1" t="s">
        <v>729</v>
      </c>
      <c r="M19" s="1" t="s">
        <v>452</v>
      </c>
      <c r="N19" s="1" t="s">
        <v>451</v>
      </c>
      <c r="P19" s="1" t="s">
        <v>451</v>
      </c>
      <c r="Q19" s="1" t="s">
        <v>732</v>
      </c>
      <c r="R19" s="1" t="s">
        <v>451</v>
      </c>
      <c r="S19" s="3" t="s">
        <v>260</v>
      </c>
      <c r="T19" s="1" t="s">
        <v>451</v>
      </c>
      <c r="U19" s="1" t="s">
        <v>451</v>
      </c>
      <c r="V19" s="1"/>
      <c r="W19" s="1" t="s">
        <v>451</v>
      </c>
      <c r="X19" s="1" t="s">
        <v>451</v>
      </c>
      <c r="Y19" s="1"/>
      <c r="Z19" s="1" t="s">
        <v>452</v>
      </c>
      <c r="AA19" s="1" t="s">
        <v>734</v>
      </c>
      <c r="AB19" s="1" t="s">
        <v>451</v>
      </c>
      <c r="AC19" s="1" t="s">
        <v>451</v>
      </c>
      <c r="AD19" s="1"/>
      <c r="AE19" s="1"/>
      <c r="AF19" s="1" t="s">
        <v>451</v>
      </c>
      <c r="AG19" s="1" t="s">
        <v>451</v>
      </c>
      <c r="AH19" s="1"/>
      <c r="AI19" s="1" t="s">
        <v>451</v>
      </c>
      <c r="AK19" s="3" t="s">
        <v>464</v>
      </c>
      <c r="AL19" s="1" t="s">
        <v>451</v>
      </c>
      <c r="AM19" t="s">
        <v>452</v>
      </c>
      <c r="AN19" s="1"/>
      <c r="AO19" s="1" t="s">
        <v>737</v>
      </c>
      <c r="AP19" s="1"/>
      <c r="AQ19" s="1" t="s">
        <v>451</v>
      </c>
      <c r="AR19" s="1" t="s">
        <v>451</v>
      </c>
      <c r="AS19" s="1" t="s">
        <v>451</v>
      </c>
      <c r="AT19" s="1"/>
      <c r="AU19" s="1" t="s">
        <v>451</v>
      </c>
      <c r="AV19" s="1"/>
      <c r="AW19" s="3" t="s">
        <v>517</v>
      </c>
      <c r="AX19" s="1" t="s">
        <v>1683</v>
      </c>
      <c r="AY19" s="14">
        <v>46108</v>
      </c>
      <c r="AZ19" s="3" t="s">
        <v>714</v>
      </c>
    </row>
    <row r="20" spans="1:52" x14ac:dyDescent="0.3">
      <c r="A20" s="1" t="s">
        <v>715</v>
      </c>
      <c r="B20" s="1" t="s">
        <v>14</v>
      </c>
      <c r="C20" s="1" t="s">
        <v>91</v>
      </c>
      <c r="D20" s="3" t="s">
        <v>644</v>
      </c>
      <c r="E20" s="11" t="s">
        <v>279</v>
      </c>
      <c r="F20" s="3" t="s">
        <v>485</v>
      </c>
      <c r="G20" s="3" t="s">
        <v>502</v>
      </c>
      <c r="H20" s="1" t="s">
        <v>738</v>
      </c>
      <c r="I20" s="1" t="s">
        <v>452</v>
      </c>
      <c r="J20" s="1" t="s">
        <v>451</v>
      </c>
      <c r="K20" s="1" t="s">
        <v>452</v>
      </c>
      <c r="M20" s="1" t="s">
        <v>452</v>
      </c>
      <c r="N20" s="1" t="s">
        <v>451</v>
      </c>
      <c r="O20" s="1" t="s">
        <v>731</v>
      </c>
      <c r="P20" s="1" t="s">
        <v>451</v>
      </c>
      <c r="Q20" s="1" t="s">
        <v>732</v>
      </c>
      <c r="R20" s="1"/>
      <c r="S20" s="3" t="s">
        <v>260</v>
      </c>
      <c r="T20" s="1" t="s">
        <v>451</v>
      </c>
      <c r="U20" s="1" t="s">
        <v>451</v>
      </c>
      <c r="V20" s="1"/>
      <c r="W20" s="1" t="s">
        <v>451</v>
      </c>
      <c r="X20" s="1"/>
      <c r="Y20" s="1" t="s">
        <v>451</v>
      </c>
      <c r="Z20" s="1" t="s">
        <v>452</v>
      </c>
      <c r="AB20" s="1" t="s">
        <v>451</v>
      </c>
      <c r="AC20" s="1"/>
      <c r="AD20" s="1"/>
      <c r="AE20" s="1"/>
      <c r="AF20" s="1" t="s">
        <v>451</v>
      </c>
      <c r="AG20" s="1"/>
      <c r="AH20" s="1"/>
      <c r="AI20" s="1" t="s">
        <v>451</v>
      </c>
      <c r="AJ20" s="3" t="s">
        <v>735</v>
      </c>
      <c r="AK20" s="3" t="s">
        <v>464</v>
      </c>
      <c r="AL20" s="1" t="s">
        <v>451</v>
      </c>
      <c r="AM20" t="s">
        <v>452</v>
      </c>
      <c r="AN20" s="1"/>
      <c r="AO20" s="1" t="s">
        <v>737</v>
      </c>
      <c r="AP20" s="1"/>
      <c r="AQ20" s="1" t="s">
        <v>451</v>
      </c>
      <c r="AR20" s="1" t="s">
        <v>451</v>
      </c>
      <c r="AS20" s="1" t="s">
        <v>451</v>
      </c>
      <c r="AT20" s="1"/>
      <c r="AU20" s="1" t="s">
        <v>451</v>
      </c>
      <c r="AV20" s="1"/>
      <c r="AW20" s="3" t="s">
        <v>643</v>
      </c>
      <c r="AX20" s="1" t="s">
        <v>1681</v>
      </c>
      <c r="AY20" s="14">
        <v>46112</v>
      </c>
      <c r="AZ20" s="3" t="s">
        <v>714</v>
      </c>
    </row>
    <row r="21" spans="1:52" x14ac:dyDescent="0.3">
      <c r="A21" s="1" t="s">
        <v>715</v>
      </c>
      <c r="B21" s="1" t="s">
        <v>15</v>
      </c>
      <c r="C21" s="1" t="s">
        <v>92</v>
      </c>
      <c r="D21" s="3" t="s">
        <v>642</v>
      </c>
      <c r="E21" s="11" t="s">
        <v>280</v>
      </c>
      <c r="F21" s="3" t="s">
        <v>485</v>
      </c>
      <c r="G21" s="3" t="s">
        <v>641</v>
      </c>
      <c r="H21" s="1" t="s">
        <v>738</v>
      </c>
      <c r="I21" s="1" t="s">
        <v>452</v>
      </c>
      <c r="J21" s="1" t="s">
        <v>451</v>
      </c>
      <c r="K21" s="1" t="s">
        <v>452</v>
      </c>
      <c r="L21" s="1" t="s">
        <v>729</v>
      </c>
      <c r="M21" s="1" t="s">
        <v>451</v>
      </c>
      <c r="N21" s="1" t="s">
        <v>452</v>
      </c>
      <c r="O21" s="1" t="s">
        <v>731</v>
      </c>
      <c r="P21" s="1" t="s">
        <v>451</v>
      </c>
      <c r="Q21" s="1" t="s">
        <v>732</v>
      </c>
      <c r="R21" s="1" t="s">
        <v>451</v>
      </c>
      <c r="S21" s="3" t="s">
        <v>260</v>
      </c>
      <c r="T21" s="1" t="s">
        <v>451</v>
      </c>
      <c r="U21" s="1" t="s">
        <v>451</v>
      </c>
      <c r="V21" s="1"/>
      <c r="W21" s="1" t="s">
        <v>451</v>
      </c>
      <c r="X21" s="1" t="s">
        <v>451</v>
      </c>
      <c r="Y21" s="1"/>
      <c r="Z21" s="1" t="s">
        <v>452</v>
      </c>
      <c r="AA21" s="1" t="s">
        <v>734</v>
      </c>
      <c r="AB21" s="1" t="s">
        <v>451</v>
      </c>
      <c r="AC21" s="1" t="s">
        <v>451</v>
      </c>
      <c r="AD21" s="1"/>
      <c r="AE21" s="1"/>
      <c r="AF21" s="1" t="s">
        <v>451</v>
      </c>
      <c r="AG21" s="1"/>
      <c r="AH21" s="1"/>
      <c r="AI21" s="1" t="s">
        <v>451</v>
      </c>
      <c r="AK21" s="3" t="s">
        <v>463</v>
      </c>
      <c r="AL21" s="1" t="s">
        <v>451</v>
      </c>
      <c r="AM21" t="s">
        <v>452</v>
      </c>
      <c r="AN21" s="1"/>
      <c r="AO21" s="1" t="s">
        <v>737</v>
      </c>
      <c r="AP21" s="1"/>
      <c r="AQ21" s="1" t="s">
        <v>451</v>
      </c>
      <c r="AR21" s="1" t="s">
        <v>451</v>
      </c>
      <c r="AS21" s="1" t="s">
        <v>451</v>
      </c>
      <c r="AT21" s="1" t="s">
        <v>451</v>
      </c>
      <c r="AU21" s="1" t="s">
        <v>451</v>
      </c>
      <c r="AV21" s="1"/>
      <c r="AW21" s="3" t="s">
        <v>1804</v>
      </c>
      <c r="AX21" s="1" t="s">
        <v>1684</v>
      </c>
      <c r="AY21" s="14">
        <v>46112</v>
      </c>
      <c r="AZ21" s="3" t="s">
        <v>714</v>
      </c>
    </row>
    <row r="22" spans="1:52" x14ac:dyDescent="0.3">
      <c r="A22" s="1" t="s">
        <v>715</v>
      </c>
      <c r="B22" s="1" t="s">
        <v>16</v>
      </c>
      <c r="C22" s="1" t="s">
        <v>93</v>
      </c>
      <c r="D22" s="3" t="s">
        <v>576</v>
      </c>
      <c r="E22" s="11" t="s">
        <v>281</v>
      </c>
      <c r="F22" s="3" t="s">
        <v>485</v>
      </c>
      <c r="G22" s="3" t="s">
        <v>640</v>
      </c>
      <c r="H22" s="1" t="s">
        <v>738</v>
      </c>
      <c r="I22" s="1" t="s">
        <v>452</v>
      </c>
      <c r="J22" s="1" t="s">
        <v>451</v>
      </c>
      <c r="K22" s="1" t="s">
        <v>452</v>
      </c>
      <c r="L22" s="1" t="s">
        <v>729</v>
      </c>
      <c r="M22" s="1" t="s">
        <v>452</v>
      </c>
      <c r="N22" s="1" t="s">
        <v>451</v>
      </c>
      <c r="O22" s="1" t="s">
        <v>731</v>
      </c>
      <c r="P22" s="1"/>
      <c r="Q22" s="1" t="s">
        <v>732</v>
      </c>
      <c r="R22" s="1"/>
      <c r="S22" s="3" t="s">
        <v>260</v>
      </c>
      <c r="T22" s="1" t="s">
        <v>451</v>
      </c>
      <c r="U22" s="1" t="s">
        <v>451</v>
      </c>
      <c r="V22" s="1"/>
      <c r="W22" s="1" t="s">
        <v>451</v>
      </c>
      <c r="X22" s="1" t="s">
        <v>451</v>
      </c>
      <c r="Y22" s="1"/>
      <c r="Z22" s="1" t="s">
        <v>452</v>
      </c>
      <c r="AA22" s="1" t="s">
        <v>734</v>
      </c>
      <c r="AB22" s="1" t="s">
        <v>451</v>
      </c>
      <c r="AC22" s="1" t="s">
        <v>451</v>
      </c>
      <c r="AD22" s="1"/>
      <c r="AE22" s="1" t="s">
        <v>451</v>
      </c>
      <c r="AF22" s="1" t="s">
        <v>451</v>
      </c>
      <c r="AG22" s="1"/>
      <c r="AH22" s="1"/>
      <c r="AI22" s="1"/>
      <c r="AK22" s="3" t="s">
        <v>462</v>
      </c>
      <c r="AL22" s="1" t="s">
        <v>451</v>
      </c>
      <c r="AM22" t="s">
        <v>452</v>
      </c>
      <c r="AN22" s="1"/>
      <c r="AO22" s="1" t="s">
        <v>737</v>
      </c>
      <c r="AP22" s="1"/>
      <c r="AQ22" s="1" t="s">
        <v>451</v>
      </c>
      <c r="AR22" s="1" t="s">
        <v>451</v>
      </c>
      <c r="AS22" s="1" t="s">
        <v>451</v>
      </c>
      <c r="AT22" s="1"/>
      <c r="AU22" s="1" t="s">
        <v>451</v>
      </c>
      <c r="AV22" s="1"/>
      <c r="AW22" s="3" t="s">
        <v>639</v>
      </c>
      <c r="AX22" s="1" t="s">
        <v>1685</v>
      </c>
      <c r="AY22" s="14">
        <v>46113</v>
      </c>
      <c r="AZ22" s="3" t="s">
        <v>714</v>
      </c>
    </row>
    <row r="23" spans="1:52" x14ac:dyDescent="0.3">
      <c r="A23" s="1" t="s">
        <v>715</v>
      </c>
      <c r="B23" s="1" t="s">
        <v>17</v>
      </c>
      <c r="C23" s="1" t="s">
        <v>94</v>
      </c>
      <c r="D23" s="3" t="s">
        <v>638</v>
      </c>
      <c r="E23" s="11" t="s">
        <v>282</v>
      </c>
      <c r="F23" s="3" t="s">
        <v>490</v>
      </c>
      <c r="G23" s="3" t="s">
        <v>724</v>
      </c>
      <c r="H23" s="1" t="s">
        <v>738</v>
      </c>
      <c r="I23" s="1" t="s">
        <v>452</v>
      </c>
      <c r="J23" s="1" t="s">
        <v>451</v>
      </c>
      <c r="K23" s="1" t="s">
        <v>452</v>
      </c>
      <c r="L23" s="1" t="s">
        <v>729</v>
      </c>
      <c r="M23" s="1" t="s">
        <v>452</v>
      </c>
      <c r="N23" s="1" t="s">
        <v>451</v>
      </c>
      <c r="O23" s="1" t="s">
        <v>731</v>
      </c>
      <c r="P23" s="1"/>
      <c r="Q23" s="1" t="s">
        <v>732</v>
      </c>
      <c r="R23" s="1"/>
      <c r="S23" s="3" t="s">
        <v>256</v>
      </c>
      <c r="T23" s="1" t="s">
        <v>451</v>
      </c>
      <c r="U23" s="1" t="s">
        <v>451</v>
      </c>
      <c r="V23" s="1" t="s">
        <v>451</v>
      </c>
      <c r="W23" s="1"/>
      <c r="X23" s="1"/>
      <c r="Y23" s="1" t="s">
        <v>451</v>
      </c>
      <c r="Z23" s="1" t="s">
        <v>452</v>
      </c>
      <c r="AA23" s="1" t="s">
        <v>734</v>
      </c>
      <c r="AB23" s="1" t="s">
        <v>451</v>
      </c>
      <c r="AC23" s="1"/>
      <c r="AD23" s="1"/>
      <c r="AE23" s="1"/>
      <c r="AF23" s="1" t="s">
        <v>451</v>
      </c>
      <c r="AG23" s="1" t="s">
        <v>451</v>
      </c>
      <c r="AH23" s="1"/>
      <c r="AI23" s="1"/>
      <c r="AK23" s="3" t="s">
        <v>463</v>
      </c>
      <c r="AL23" s="1" t="s">
        <v>451</v>
      </c>
      <c r="AM23" t="s">
        <v>452</v>
      </c>
      <c r="AN23" s="1"/>
      <c r="AO23" s="1" t="s">
        <v>737</v>
      </c>
      <c r="AP23" s="1"/>
      <c r="AQ23" s="1" t="s">
        <v>451</v>
      </c>
      <c r="AR23" s="1" t="s">
        <v>451</v>
      </c>
      <c r="AS23" s="1" t="s">
        <v>451</v>
      </c>
      <c r="AT23" s="1"/>
      <c r="AU23" s="1"/>
      <c r="AV23" s="1" t="s">
        <v>1792</v>
      </c>
      <c r="AW23" s="3" t="s">
        <v>637</v>
      </c>
      <c r="AX23" s="1" t="s">
        <v>1686</v>
      </c>
      <c r="AY23" s="14">
        <v>46113</v>
      </c>
      <c r="AZ23" s="3" t="s">
        <v>714</v>
      </c>
    </row>
    <row r="24" spans="1:52" x14ac:dyDescent="0.3">
      <c r="A24" s="1" t="s">
        <v>715</v>
      </c>
      <c r="B24" s="1" t="s">
        <v>18</v>
      </c>
      <c r="C24" s="1" t="s">
        <v>95</v>
      </c>
      <c r="D24" s="3" t="s">
        <v>636</v>
      </c>
      <c r="E24" s="11" t="s">
        <v>283</v>
      </c>
      <c r="F24" s="3" t="s">
        <v>635</v>
      </c>
      <c r="G24" s="3" t="s">
        <v>634</v>
      </c>
      <c r="H24" s="1" t="s">
        <v>738</v>
      </c>
      <c r="I24" s="1" t="s">
        <v>452</v>
      </c>
      <c r="J24" s="1" t="s">
        <v>451</v>
      </c>
      <c r="K24" s="1" t="s">
        <v>452</v>
      </c>
      <c r="L24" s="1" t="s">
        <v>729</v>
      </c>
      <c r="M24" s="1" t="s">
        <v>452</v>
      </c>
      <c r="N24" s="1" t="s">
        <v>451</v>
      </c>
      <c r="P24" s="1"/>
      <c r="Q24" s="1" t="s">
        <v>732</v>
      </c>
      <c r="R24" s="1"/>
      <c r="S24" s="3" t="s">
        <v>260</v>
      </c>
      <c r="T24" s="1" t="s">
        <v>451</v>
      </c>
      <c r="U24" s="1" t="s">
        <v>451</v>
      </c>
      <c r="V24" s="1"/>
      <c r="W24" s="1"/>
      <c r="X24" s="1" t="s">
        <v>451</v>
      </c>
      <c r="Y24" s="1"/>
      <c r="Z24" s="1" t="s">
        <v>452</v>
      </c>
      <c r="AA24" s="1" t="s">
        <v>734</v>
      </c>
      <c r="AB24" s="1" t="s">
        <v>451</v>
      </c>
      <c r="AC24" s="1"/>
      <c r="AD24" s="1"/>
      <c r="AE24" s="1"/>
      <c r="AF24" s="1"/>
      <c r="AG24" s="1"/>
      <c r="AH24" s="1"/>
      <c r="AI24" s="1" t="s">
        <v>451</v>
      </c>
      <c r="AK24" s="3" t="s">
        <v>464</v>
      </c>
      <c r="AL24" s="1" t="s">
        <v>451</v>
      </c>
      <c r="AM24" t="s">
        <v>452</v>
      </c>
      <c r="AN24" s="1"/>
      <c r="AO24" s="1" t="s">
        <v>737</v>
      </c>
      <c r="AP24" s="1"/>
      <c r="AQ24" s="1" t="s">
        <v>451</v>
      </c>
      <c r="AR24" s="1" t="s">
        <v>451</v>
      </c>
      <c r="AS24" s="1" t="s">
        <v>451</v>
      </c>
      <c r="AT24" s="1"/>
      <c r="AU24" s="1"/>
      <c r="AV24" s="1"/>
      <c r="AW24" s="3" t="s">
        <v>633</v>
      </c>
      <c r="AX24" s="1" t="s">
        <v>1687</v>
      </c>
      <c r="AY24" s="14">
        <v>46113</v>
      </c>
      <c r="AZ24" s="3" t="s">
        <v>714</v>
      </c>
    </row>
    <row r="25" spans="1:52" x14ac:dyDescent="0.3">
      <c r="A25" s="1" t="s">
        <v>715</v>
      </c>
      <c r="B25" s="1" t="s">
        <v>19</v>
      </c>
      <c r="C25" s="1" t="s">
        <v>96</v>
      </c>
      <c r="D25" s="3" t="s">
        <v>632</v>
      </c>
      <c r="E25" s="11" t="s">
        <v>284</v>
      </c>
      <c r="F25" s="3" t="s">
        <v>485</v>
      </c>
      <c r="G25" s="3" t="s">
        <v>631</v>
      </c>
      <c r="H25" s="1" t="s">
        <v>738</v>
      </c>
      <c r="I25" s="1" t="s">
        <v>452</v>
      </c>
      <c r="J25" s="1" t="s">
        <v>451</v>
      </c>
      <c r="K25" s="1" t="s">
        <v>452</v>
      </c>
      <c r="L25" s="1" t="s">
        <v>729</v>
      </c>
      <c r="M25" s="1" t="s">
        <v>452</v>
      </c>
      <c r="N25" s="1" t="s">
        <v>451</v>
      </c>
      <c r="P25" s="1"/>
      <c r="Q25" s="1" t="s">
        <v>732</v>
      </c>
      <c r="R25" s="1" t="s">
        <v>451</v>
      </c>
      <c r="S25" s="3" t="s">
        <v>256</v>
      </c>
      <c r="T25" s="1" t="s">
        <v>451</v>
      </c>
      <c r="U25" s="1" t="s">
        <v>451</v>
      </c>
      <c r="V25" s="1" t="s">
        <v>451</v>
      </c>
      <c r="W25" s="1"/>
      <c r="X25" s="1"/>
      <c r="Y25" s="1" t="s">
        <v>451</v>
      </c>
      <c r="Z25" s="1" t="s">
        <v>452</v>
      </c>
      <c r="AA25" s="1" t="s">
        <v>734</v>
      </c>
      <c r="AB25" s="1" t="s">
        <v>451</v>
      </c>
      <c r="AC25" s="1" t="s">
        <v>451</v>
      </c>
      <c r="AD25" s="1" t="s">
        <v>451</v>
      </c>
      <c r="AE25" s="1"/>
      <c r="AF25" s="1" t="s">
        <v>451</v>
      </c>
      <c r="AG25" s="1"/>
      <c r="AH25" s="1"/>
      <c r="AI25" s="1" t="s">
        <v>451</v>
      </c>
      <c r="AK25" s="3" t="s">
        <v>464</v>
      </c>
      <c r="AL25" s="1" t="s">
        <v>451</v>
      </c>
      <c r="AM25" t="s">
        <v>452</v>
      </c>
      <c r="AN25" s="1" t="s">
        <v>451</v>
      </c>
      <c r="AO25" s="1" t="s">
        <v>737</v>
      </c>
      <c r="AP25" s="1"/>
      <c r="AQ25" s="1" t="s">
        <v>451</v>
      </c>
      <c r="AR25" s="1" t="s">
        <v>451</v>
      </c>
      <c r="AS25" s="1"/>
      <c r="AT25" s="1"/>
      <c r="AU25" s="1"/>
      <c r="AV25" s="1"/>
      <c r="AW25" s="3" t="s">
        <v>630</v>
      </c>
      <c r="AX25" s="1" t="s">
        <v>1688</v>
      </c>
      <c r="AY25" s="14">
        <v>46085</v>
      </c>
      <c r="AZ25" s="3" t="s">
        <v>714</v>
      </c>
    </row>
    <row r="26" spans="1:52" x14ac:dyDescent="0.3">
      <c r="A26" s="1" t="s">
        <v>715</v>
      </c>
      <c r="B26" s="1" t="s">
        <v>20</v>
      </c>
      <c r="C26" s="1" t="s">
        <v>97</v>
      </c>
      <c r="D26" s="3" t="s">
        <v>629</v>
      </c>
      <c r="E26" s="11" t="s">
        <v>285</v>
      </c>
      <c r="F26" s="3" t="s">
        <v>485</v>
      </c>
      <c r="G26" s="3" t="s">
        <v>628</v>
      </c>
      <c r="H26" s="1" t="s">
        <v>738</v>
      </c>
      <c r="I26" s="1" t="s">
        <v>452</v>
      </c>
      <c r="J26" s="1" t="s">
        <v>451</v>
      </c>
      <c r="K26" s="1" t="s">
        <v>452</v>
      </c>
      <c r="M26" s="1" t="s">
        <v>452</v>
      </c>
      <c r="N26" s="1" t="s">
        <v>451</v>
      </c>
      <c r="P26" s="1"/>
      <c r="Q26" s="1" t="s">
        <v>732</v>
      </c>
      <c r="R26" s="1" t="s">
        <v>451</v>
      </c>
      <c r="S26" s="3" t="s">
        <v>256</v>
      </c>
      <c r="T26" s="1" t="s">
        <v>451</v>
      </c>
      <c r="U26" s="1" t="s">
        <v>451</v>
      </c>
      <c r="V26" s="1" t="s">
        <v>451</v>
      </c>
      <c r="W26" s="1" t="s">
        <v>451</v>
      </c>
      <c r="X26" s="1" t="s">
        <v>451</v>
      </c>
      <c r="Y26" s="1"/>
      <c r="Z26" s="1" t="s">
        <v>452</v>
      </c>
      <c r="AA26" s="1" t="s">
        <v>734</v>
      </c>
      <c r="AB26" s="1" t="s">
        <v>451</v>
      </c>
      <c r="AC26" s="1"/>
      <c r="AD26" s="1" t="s">
        <v>451</v>
      </c>
      <c r="AE26" s="1" t="s">
        <v>451</v>
      </c>
      <c r="AF26" s="1" t="s">
        <v>451</v>
      </c>
      <c r="AG26" s="1"/>
      <c r="AH26" s="1"/>
      <c r="AI26" s="1" t="s">
        <v>451</v>
      </c>
      <c r="AK26" s="3" t="s">
        <v>463</v>
      </c>
      <c r="AL26" s="1" t="s">
        <v>451</v>
      </c>
      <c r="AM26" t="s">
        <v>452</v>
      </c>
      <c r="AN26" s="1"/>
      <c r="AO26" s="1" t="s">
        <v>737</v>
      </c>
      <c r="AP26" s="1"/>
      <c r="AQ26" s="1" t="s">
        <v>451</v>
      </c>
      <c r="AR26" s="1"/>
      <c r="AS26" s="1"/>
      <c r="AT26" s="1"/>
      <c r="AU26" s="1"/>
      <c r="AV26" s="1"/>
      <c r="AX26" s="1" t="s">
        <v>1668</v>
      </c>
      <c r="AY26" s="14">
        <v>46085</v>
      </c>
      <c r="AZ26" s="3" t="s">
        <v>714</v>
      </c>
    </row>
    <row r="27" spans="1:52" x14ac:dyDescent="0.3">
      <c r="A27" s="1" t="s">
        <v>715</v>
      </c>
      <c r="B27" s="1" t="s">
        <v>21</v>
      </c>
      <c r="C27" s="1" t="s">
        <v>98</v>
      </c>
      <c r="D27" s="3" t="s">
        <v>627</v>
      </c>
      <c r="E27" s="12" t="s">
        <v>286</v>
      </c>
      <c r="F27" s="3" t="s">
        <v>626</v>
      </c>
      <c r="G27" s="3" t="s">
        <v>502</v>
      </c>
      <c r="H27" s="1" t="s">
        <v>738</v>
      </c>
      <c r="I27" s="1" t="s">
        <v>451</v>
      </c>
      <c r="J27" s="1" t="s">
        <v>451</v>
      </c>
      <c r="K27" s="1" t="s">
        <v>452</v>
      </c>
      <c r="L27" s="1" t="s">
        <v>729</v>
      </c>
      <c r="M27" s="1" t="s">
        <v>452</v>
      </c>
      <c r="N27" s="1" t="s">
        <v>451</v>
      </c>
      <c r="O27" s="1" t="s">
        <v>731</v>
      </c>
      <c r="P27" s="1"/>
      <c r="Q27" s="1" t="s">
        <v>732</v>
      </c>
      <c r="R27" s="1"/>
      <c r="S27" s="3" t="s">
        <v>260</v>
      </c>
      <c r="T27" s="1" t="s">
        <v>451</v>
      </c>
      <c r="U27" s="1" t="s">
        <v>451</v>
      </c>
      <c r="V27" s="1"/>
      <c r="W27" s="1"/>
      <c r="X27" s="1" t="s">
        <v>451</v>
      </c>
      <c r="Y27" s="1"/>
      <c r="Z27" s="1" t="s">
        <v>452</v>
      </c>
      <c r="AA27" s="1" t="s">
        <v>734</v>
      </c>
      <c r="AB27" s="1" t="s">
        <v>451</v>
      </c>
      <c r="AC27" s="1"/>
      <c r="AD27" s="1"/>
      <c r="AE27" s="1"/>
      <c r="AF27" s="1"/>
      <c r="AG27" s="1"/>
      <c r="AH27" s="1"/>
      <c r="AI27" s="1" t="s">
        <v>451</v>
      </c>
      <c r="AJ27" s="3" t="s">
        <v>735</v>
      </c>
      <c r="AK27" s="3" t="s">
        <v>463</v>
      </c>
      <c r="AL27" s="1" t="s">
        <v>451</v>
      </c>
      <c r="AM27" t="s">
        <v>452</v>
      </c>
      <c r="AN27" s="1"/>
      <c r="AO27" s="1" t="s">
        <v>737</v>
      </c>
      <c r="AP27" s="1"/>
      <c r="AQ27" s="1" t="s">
        <v>451</v>
      </c>
      <c r="AR27" s="1"/>
      <c r="AS27" s="1" t="s">
        <v>451</v>
      </c>
      <c r="AT27" s="1"/>
      <c r="AU27" s="1"/>
      <c r="AV27" s="1"/>
      <c r="AW27" s="3" t="s">
        <v>625</v>
      </c>
      <c r="AX27" s="1" t="s">
        <v>1689</v>
      </c>
      <c r="AY27" s="14">
        <v>46085</v>
      </c>
      <c r="AZ27" s="3" t="s">
        <v>714</v>
      </c>
    </row>
    <row r="28" spans="1:52" x14ac:dyDescent="0.3">
      <c r="A28" s="1" t="s">
        <v>715</v>
      </c>
      <c r="B28" s="1" t="s">
        <v>22</v>
      </c>
      <c r="C28" s="1" t="s">
        <v>99</v>
      </c>
      <c r="D28" s="3" t="s">
        <v>231</v>
      </c>
      <c r="E28" s="11" t="s">
        <v>287</v>
      </c>
      <c r="F28" s="3" t="s">
        <v>485</v>
      </c>
      <c r="G28" s="3" t="s">
        <v>624</v>
      </c>
      <c r="H28" s="1" t="s">
        <v>738</v>
      </c>
      <c r="I28" s="1" t="s">
        <v>452</v>
      </c>
      <c r="J28" s="1" t="s">
        <v>451</v>
      </c>
      <c r="K28" s="1" t="s">
        <v>452</v>
      </c>
      <c r="L28" s="1" t="s">
        <v>729</v>
      </c>
      <c r="M28" s="1" t="s">
        <v>452</v>
      </c>
      <c r="N28" s="1" t="s">
        <v>451</v>
      </c>
      <c r="O28" s="1" t="s">
        <v>730</v>
      </c>
      <c r="P28" s="1" t="s">
        <v>451</v>
      </c>
      <c r="Q28" s="1" t="s">
        <v>732</v>
      </c>
      <c r="R28" s="1" t="s">
        <v>451</v>
      </c>
      <c r="S28" s="3" t="s">
        <v>256</v>
      </c>
      <c r="T28" s="1" t="s">
        <v>451</v>
      </c>
      <c r="U28" s="1" t="s">
        <v>451</v>
      </c>
      <c r="V28" s="1" t="s">
        <v>451</v>
      </c>
      <c r="W28" s="1" t="s">
        <v>451</v>
      </c>
      <c r="X28" s="1" t="s">
        <v>451</v>
      </c>
      <c r="Y28" s="1"/>
      <c r="Z28" s="1" t="s">
        <v>452</v>
      </c>
      <c r="AA28" s="1" t="s">
        <v>734</v>
      </c>
      <c r="AB28" s="1" t="s">
        <v>451</v>
      </c>
      <c r="AC28" s="1"/>
      <c r="AD28" s="1"/>
      <c r="AE28" s="1"/>
      <c r="AF28" s="1" t="s">
        <v>451</v>
      </c>
      <c r="AG28" s="1"/>
      <c r="AH28" s="1"/>
      <c r="AI28" s="1" t="s">
        <v>451</v>
      </c>
      <c r="AK28" s="3" t="s">
        <v>464</v>
      </c>
      <c r="AL28" s="1" t="s">
        <v>451</v>
      </c>
      <c r="AM28" t="s">
        <v>452</v>
      </c>
      <c r="AN28" s="1"/>
      <c r="AO28" s="1" t="s">
        <v>737</v>
      </c>
      <c r="AP28" s="1"/>
      <c r="AQ28" s="1" t="s">
        <v>451</v>
      </c>
      <c r="AR28" s="1"/>
      <c r="AS28" s="1"/>
      <c r="AT28" s="1"/>
      <c r="AU28" s="1"/>
      <c r="AV28" s="1"/>
      <c r="AW28" s="3" t="s">
        <v>623</v>
      </c>
      <c r="AX28" s="1" t="s">
        <v>1690</v>
      </c>
      <c r="AY28" s="14">
        <v>46120</v>
      </c>
      <c r="AZ28" s="3" t="s">
        <v>714</v>
      </c>
    </row>
    <row r="29" spans="1:52" x14ac:dyDescent="0.3">
      <c r="A29" s="1" t="s">
        <v>715</v>
      </c>
      <c r="B29" s="1" t="s">
        <v>23</v>
      </c>
      <c r="C29" s="1" t="s">
        <v>100</v>
      </c>
      <c r="D29" s="13" t="s">
        <v>622</v>
      </c>
      <c r="E29" s="11" t="s">
        <v>288</v>
      </c>
      <c r="F29" s="3" t="s">
        <v>485</v>
      </c>
      <c r="G29" s="3" t="s">
        <v>621</v>
      </c>
      <c r="H29" s="1" t="s">
        <v>738</v>
      </c>
      <c r="I29" s="1" t="s">
        <v>452</v>
      </c>
      <c r="J29" s="1" t="s">
        <v>451</v>
      </c>
      <c r="K29" s="1" t="s">
        <v>451</v>
      </c>
      <c r="L29" s="1" t="s">
        <v>729</v>
      </c>
      <c r="M29" s="1" t="s">
        <v>452</v>
      </c>
      <c r="N29" s="1" t="s">
        <v>451</v>
      </c>
      <c r="O29" s="1" t="s">
        <v>731</v>
      </c>
      <c r="P29" s="1"/>
      <c r="Q29" s="1"/>
      <c r="R29" s="1"/>
      <c r="S29" s="3" t="s">
        <v>256</v>
      </c>
      <c r="T29" s="1" t="s">
        <v>451</v>
      </c>
      <c r="U29" s="1" t="s">
        <v>451</v>
      </c>
      <c r="V29" s="1" t="s">
        <v>451</v>
      </c>
      <c r="W29" s="1" t="s">
        <v>451</v>
      </c>
      <c r="X29" s="1" t="s">
        <v>451</v>
      </c>
      <c r="Y29" s="1"/>
      <c r="Z29" s="1" t="s">
        <v>452</v>
      </c>
      <c r="AA29" s="1" t="s">
        <v>734</v>
      </c>
      <c r="AB29" s="1" t="s">
        <v>451</v>
      </c>
      <c r="AC29" s="1"/>
      <c r="AD29" s="1"/>
      <c r="AE29" s="1"/>
      <c r="AF29" s="1" t="s">
        <v>451</v>
      </c>
      <c r="AG29" s="1"/>
      <c r="AH29" s="1" t="s">
        <v>451</v>
      </c>
      <c r="AI29" s="1" t="s">
        <v>451</v>
      </c>
      <c r="AK29" s="3" t="s">
        <v>464</v>
      </c>
      <c r="AL29" s="1" t="s">
        <v>451</v>
      </c>
      <c r="AM29" t="s">
        <v>452</v>
      </c>
      <c r="AN29" s="1" t="s">
        <v>451</v>
      </c>
      <c r="AO29" s="1" t="s">
        <v>737</v>
      </c>
      <c r="AP29" s="1"/>
      <c r="AQ29" s="1" t="s">
        <v>451</v>
      </c>
      <c r="AR29" s="1" t="s">
        <v>451</v>
      </c>
      <c r="AS29" s="1"/>
      <c r="AT29" s="1" t="s">
        <v>451</v>
      </c>
      <c r="AU29" s="1" t="s">
        <v>451</v>
      </c>
      <c r="AV29" s="1"/>
      <c r="AW29" s="3" t="s">
        <v>620</v>
      </c>
      <c r="AX29" s="1" t="s">
        <v>1691</v>
      </c>
      <c r="AY29" s="14">
        <v>46120</v>
      </c>
      <c r="AZ29" s="3" t="s">
        <v>714</v>
      </c>
    </row>
    <row r="30" spans="1:52" x14ac:dyDescent="0.3">
      <c r="A30" s="1" t="s">
        <v>715</v>
      </c>
      <c r="B30" s="1" t="s">
        <v>24</v>
      </c>
      <c r="C30" s="1" t="s">
        <v>101</v>
      </c>
      <c r="D30" s="3" t="s">
        <v>619</v>
      </c>
      <c r="E30" s="11" t="s">
        <v>289</v>
      </c>
      <c r="F30" s="3" t="s">
        <v>618</v>
      </c>
      <c r="G30" s="3" t="s">
        <v>617</v>
      </c>
      <c r="H30" s="1" t="s">
        <v>738</v>
      </c>
      <c r="I30" s="1" t="s">
        <v>452</v>
      </c>
      <c r="J30" s="1" t="s">
        <v>451</v>
      </c>
      <c r="K30" s="1" t="s">
        <v>452</v>
      </c>
      <c r="L30" s="1" t="s">
        <v>729</v>
      </c>
      <c r="M30" s="1" t="s">
        <v>451</v>
      </c>
      <c r="N30" s="1" t="s">
        <v>452</v>
      </c>
      <c r="P30" s="1"/>
      <c r="Q30" s="1" t="s">
        <v>732</v>
      </c>
      <c r="R30" s="1" t="s">
        <v>451</v>
      </c>
      <c r="S30" s="3" t="s">
        <v>261</v>
      </c>
      <c r="T30" s="1"/>
      <c r="U30" s="1" t="s">
        <v>451</v>
      </c>
      <c r="V30" s="1" t="s">
        <v>451</v>
      </c>
      <c r="W30" s="1"/>
      <c r="X30" s="1" t="s">
        <v>451</v>
      </c>
      <c r="Y30" s="1"/>
      <c r="Z30" s="1" t="s">
        <v>452</v>
      </c>
      <c r="AA30" s="1" t="s">
        <v>734</v>
      </c>
      <c r="AB30" s="1" t="s">
        <v>451</v>
      </c>
      <c r="AC30" s="1" t="s">
        <v>451</v>
      </c>
      <c r="AD30" s="1"/>
      <c r="AE30" s="1"/>
      <c r="AF30" s="1" t="s">
        <v>451</v>
      </c>
      <c r="AG30" s="1"/>
      <c r="AH30" s="1"/>
      <c r="AI30" s="1" t="s">
        <v>451</v>
      </c>
      <c r="AL30" s="1" t="s">
        <v>451</v>
      </c>
      <c r="AM30" t="s">
        <v>452</v>
      </c>
      <c r="AN30" s="1"/>
      <c r="AO30" s="1"/>
      <c r="AP30" s="1"/>
      <c r="AQ30" s="1" t="s">
        <v>451</v>
      </c>
      <c r="AR30" s="1"/>
      <c r="AS30" s="1"/>
      <c r="AT30" s="1"/>
      <c r="AU30" s="1"/>
      <c r="AV30" s="1"/>
      <c r="AW30" s="3" t="s">
        <v>614</v>
      </c>
      <c r="AX30" s="1" t="s">
        <v>1668</v>
      </c>
      <c r="AY30" s="14">
        <v>46120</v>
      </c>
      <c r="AZ30" s="3" t="s">
        <v>714</v>
      </c>
    </row>
    <row r="31" spans="1:52" x14ac:dyDescent="0.3">
      <c r="A31" s="1" t="s">
        <v>715</v>
      </c>
      <c r="B31" s="1" t="s">
        <v>25</v>
      </c>
      <c r="C31" s="1" t="s">
        <v>102</v>
      </c>
      <c r="D31" s="3" t="s">
        <v>616</v>
      </c>
      <c r="E31" s="11" t="s">
        <v>290</v>
      </c>
      <c r="F31" s="3" t="s">
        <v>615</v>
      </c>
      <c r="G31" s="3" t="s">
        <v>502</v>
      </c>
      <c r="H31" s="1" t="s">
        <v>738</v>
      </c>
      <c r="I31" s="1" t="s">
        <v>452</v>
      </c>
      <c r="J31" s="1" t="s">
        <v>451</v>
      </c>
      <c r="K31" s="1" t="s">
        <v>452</v>
      </c>
      <c r="L31" s="1" t="s">
        <v>729</v>
      </c>
      <c r="M31" s="1" t="s">
        <v>451</v>
      </c>
      <c r="N31" s="1" t="s">
        <v>452</v>
      </c>
      <c r="O31" s="1" t="s">
        <v>730</v>
      </c>
      <c r="P31" s="1"/>
      <c r="Q31" s="1" t="s">
        <v>732</v>
      </c>
      <c r="R31" s="1" t="s">
        <v>451</v>
      </c>
      <c r="S31" s="3" t="s">
        <v>262</v>
      </c>
      <c r="T31" s="1" t="s">
        <v>451</v>
      </c>
      <c r="U31" s="1" t="s">
        <v>451</v>
      </c>
      <c r="V31" s="1"/>
      <c r="W31" s="1" t="s">
        <v>451</v>
      </c>
      <c r="X31" s="1" t="s">
        <v>451</v>
      </c>
      <c r="Y31" s="1"/>
      <c r="Z31" s="1" t="s">
        <v>452</v>
      </c>
      <c r="AA31" s="1" t="s">
        <v>734</v>
      </c>
      <c r="AB31" s="1" t="s">
        <v>451</v>
      </c>
      <c r="AC31" s="1"/>
      <c r="AD31" s="1"/>
      <c r="AE31" s="1" t="s">
        <v>451</v>
      </c>
      <c r="AF31" s="1" t="s">
        <v>451</v>
      </c>
      <c r="AG31" s="1" t="s">
        <v>451</v>
      </c>
      <c r="AH31" s="1" t="s">
        <v>451</v>
      </c>
      <c r="AI31" s="1" t="s">
        <v>451</v>
      </c>
      <c r="AK31" s="1" t="s">
        <v>463</v>
      </c>
      <c r="AL31" s="1" t="s">
        <v>451</v>
      </c>
      <c r="AM31" t="s">
        <v>452</v>
      </c>
      <c r="AN31" s="1"/>
      <c r="AO31" s="1" t="s">
        <v>737</v>
      </c>
      <c r="AP31" s="1"/>
      <c r="AQ31" s="1" t="s">
        <v>451</v>
      </c>
      <c r="AR31" s="1" t="s">
        <v>451</v>
      </c>
      <c r="AS31" s="1" t="s">
        <v>451</v>
      </c>
      <c r="AT31" s="1"/>
      <c r="AU31" s="1"/>
      <c r="AV31" s="1" t="s">
        <v>1792</v>
      </c>
      <c r="AW31" s="3" t="s">
        <v>614</v>
      </c>
      <c r="AX31" s="1" t="s">
        <v>1692</v>
      </c>
      <c r="AY31" s="14">
        <v>46120</v>
      </c>
      <c r="AZ31" s="3" t="s">
        <v>714</v>
      </c>
    </row>
    <row r="32" spans="1:52" x14ac:dyDescent="0.3">
      <c r="A32" s="1" t="s">
        <v>715</v>
      </c>
      <c r="B32" s="1" t="s">
        <v>26</v>
      </c>
      <c r="C32" s="1" t="s">
        <v>105</v>
      </c>
      <c r="D32" s="3" t="s">
        <v>608</v>
      </c>
      <c r="E32" s="11" t="s">
        <v>291</v>
      </c>
      <c r="F32" s="3" t="s">
        <v>607</v>
      </c>
      <c r="G32" s="3" t="s">
        <v>606</v>
      </c>
      <c r="H32" s="1" t="s">
        <v>738</v>
      </c>
      <c r="I32" s="1" t="s">
        <v>452</v>
      </c>
      <c r="J32" s="1" t="s">
        <v>451</v>
      </c>
      <c r="K32" s="1" t="s">
        <v>452</v>
      </c>
      <c r="L32" s="1" t="s">
        <v>729</v>
      </c>
      <c r="M32" s="1" t="s">
        <v>452</v>
      </c>
      <c r="N32" s="1" t="s">
        <v>451</v>
      </c>
      <c r="O32" s="1" t="s">
        <v>731</v>
      </c>
      <c r="P32" s="1"/>
      <c r="Q32" s="1" t="s">
        <v>732</v>
      </c>
      <c r="R32" s="1" t="s">
        <v>451</v>
      </c>
      <c r="S32" s="3" t="s">
        <v>1779</v>
      </c>
      <c r="T32" s="1" t="s">
        <v>451</v>
      </c>
      <c r="U32" s="1" t="s">
        <v>451</v>
      </c>
      <c r="V32" s="1"/>
      <c r="W32" s="1"/>
      <c r="X32" s="1"/>
      <c r="Y32" s="1"/>
      <c r="Z32" s="1" t="s">
        <v>451</v>
      </c>
      <c r="AA32" s="1" t="s">
        <v>733</v>
      </c>
      <c r="AB32" s="1" t="s">
        <v>451</v>
      </c>
      <c r="AC32" s="1"/>
      <c r="AD32" s="1"/>
      <c r="AE32" s="1"/>
      <c r="AF32" s="1" t="s">
        <v>451</v>
      </c>
      <c r="AG32" s="1"/>
      <c r="AH32" s="1"/>
      <c r="AI32" s="1" t="s">
        <v>451</v>
      </c>
      <c r="AK32" s="3" t="s">
        <v>462</v>
      </c>
      <c r="AL32" s="1" t="s">
        <v>451</v>
      </c>
      <c r="AM32" t="s">
        <v>452</v>
      </c>
      <c r="AN32" s="1"/>
      <c r="AO32" s="1" t="s">
        <v>737</v>
      </c>
      <c r="AP32" s="1"/>
      <c r="AQ32" s="1" t="s">
        <v>451</v>
      </c>
      <c r="AR32" s="1"/>
      <c r="AS32" s="1"/>
      <c r="AT32" s="1"/>
      <c r="AU32" s="1"/>
      <c r="AV32" s="1"/>
      <c r="AW32" s="3" t="s">
        <v>1781</v>
      </c>
      <c r="AX32" s="1" t="s">
        <v>1780</v>
      </c>
      <c r="AY32" s="14">
        <v>46204</v>
      </c>
      <c r="AZ32" s="3" t="s">
        <v>714</v>
      </c>
    </row>
    <row r="33" spans="1:52" x14ac:dyDescent="0.3">
      <c r="A33" s="1" t="s">
        <v>715</v>
      </c>
      <c r="B33" s="1" t="s">
        <v>27</v>
      </c>
      <c r="C33" s="1" t="s">
        <v>109</v>
      </c>
      <c r="D33" s="3" t="s">
        <v>598</v>
      </c>
      <c r="E33" s="11" t="s">
        <v>296</v>
      </c>
      <c r="F33" s="3" t="s">
        <v>490</v>
      </c>
      <c r="G33" s="3" t="s">
        <v>502</v>
      </c>
      <c r="H33" s="1" t="s">
        <v>738</v>
      </c>
      <c r="I33" s="1" t="s">
        <v>452</v>
      </c>
      <c r="J33" s="1" t="s">
        <v>451</v>
      </c>
      <c r="K33" s="1" t="s">
        <v>451</v>
      </c>
      <c r="L33" s="1" t="s">
        <v>729</v>
      </c>
      <c r="M33" s="1" t="s">
        <v>452</v>
      </c>
      <c r="N33" s="1" t="s">
        <v>451</v>
      </c>
      <c r="P33" s="1"/>
      <c r="Q33" s="1" t="s">
        <v>732</v>
      </c>
      <c r="R33" s="1" t="s">
        <v>451</v>
      </c>
      <c r="S33" s="3" t="s">
        <v>256</v>
      </c>
      <c r="T33" s="1" t="s">
        <v>451</v>
      </c>
      <c r="U33" s="1" t="s">
        <v>451</v>
      </c>
      <c r="V33" s="1" t="s">
        <v>451</v>
      </c>
      <c r="W33" s="1" t="s">
        <v>451</v>
      </c>
      <c r="X33" s="1" t="s">
        <v>451</v>
      </c>
      <c r="Y33" s="1"/>
      <c r="Z33" s="1" t="s">
        <v>452</v>
      </c>
      <c r="AA33" s="3" t="s">
        <v>734</v>
      </c>
      <c r="AB33" s="1" t="s">
        <v>451</v>
      </c>
      <c r="AC33" s="1" t="s">
        <v>451</v>
      </c>
      <c r="AD33" s="1"/>
      <c r="AE33" s="1" t="s">
        <v>451</v>
      </c>
      <c r="AF33" s="1" t="s">
        <v>451</v>
      </c>
      <c r="AG33" s="1" t="s">
        <v>451</v>
      </c>
      <c r="AH33" s="1"/>
      <c r="AI33" s="1" t="s">
        <v>451</v>
      </c>
      <c r="AL33" s="1" t="s">
        <v>451</v>
      </c>
      <c r="AM33" t="s">
        <v>452</v>
      </c>
      <c r="AN33" s="1"/>
      <c r="AO33" s="1"/>
      <c r="AP33" s="1"/>
      <c r="AQ33" s="1" t="s">
        <v>451</v>
      </c>
      <c r="AR33" s="1"/>
      <c r="AS33" s="1"/>
      <c r="AT33" s="1"/>
      <c r="AU33" s="1" t="s">
        <v>451</v>
      </c>
      <c r="AV33" s="1"/>
      <c r="AW33" s="3" t="s">
        <v>597</v>
      </c>
      <c r="AX33" s="1" t="s">
        <v>1693</v>
      </c>
      <c r="AY33" s="14">
        <v>46120</v>
      </c>
      <c r="AZ33" s="3" t="s">
        <v>714</v>
      </c>
    </row>
    <row r="34" spans="1:52" x14ac:dyDescent="0.3">
      <c r="A34" s="1" t="s">
        <v>715</v>
      </c>
      <c r="B34" s="1" t="s">
        <v>28</v>
      </c>
      <c r="C34" s="1" t="s">
        <v>103</v>
      </c>
      <c r="D34" s="3" t="s">
        <v>613</v>
      </c>
      <c r="E34" s="11" t="s">
        <v>1785</v>
      </c>
      <c r="F34" s="3" t="s">
        <v>612</v>
      </c>
      <c r="G34" s="3" t="s">
        <v>611</v>
      </c>
      <c r="H34" s="1" t="s">
        <v>738</v>
      </c>
      <c r="I34" s="1" t="s">
        <v>452</v>
      </c>
      <c r="J34" s="1" t="s">
        <v>451</v>
      </c>
      <c r="K34" s="1"/>
      <c r="M34" s="1" t="s">
        <v>451</v>
      </c>
      <c r="N34" s="1" t="s">
        <v>452</v>
      </c>
      <c r="P34" s="1"/>
      <c r="Q34" s="1" t="s">
        <v>732</v>
      </c>
      <c r="R34" s="1" t="s">
        <v>451</v>
      </c>
      <c r="S34" s="3" t="s">
        <v>263</v>
      </c>
      <c r="T34" s="1" t="s">
        <v>451</v>
      </c>
      <c r="U34" s="1"/>
      <c r="V34" s="1" t="s">
        <v>451</v>
      </c>
      <c r="W34" s="1"/>
      <c r="X34" s="1"/>
      <c r="Y34" s="1"/>
      <c r="Z34" s="1" t="s">
        <v>451</v>
      </c>
      <c r="AA34" s="3" t="s">
        <v>734</v>
      </c>
      <c r="AB34" s="1" t="s">
        <v>451</v>
      </c>
      <c r="AC34" s="1"/>
      <c r="AD34" s="1"/>
      <c r="AE34" s="1"/>
      <c r="AF34" s="1"/>
      <c r="AG34" s="1" t="s">
        <v>451</v>
      </c>
      <c r="AH34" s="1"/>
      <c r="AI34" s="1"/>
      <c r="AK34" s="1" t="s">
        <v>462</v>
      </c>
      <c r="AL34" s="1" t="s">
        <v>451</v>
      </c>
      <c r="AM34" t="s">
        <v>452</v>
      </c>
      <c r="AN34" s="1"/>
      <c r="AO34" s="1" t="s">
        <v>737</v>
      </c>
      <c r="AP34" s="1"/>
      <c r="AQ34" s="1" t="s">
        <v>451</v>
      </c>
      <c r="AR34" s="1" t="s">
        <v>451</v>
      </c>
      <c r="AS34" s="1"/>
      <c r="AT34" s="1"/>
      <c r="AU34" s="1"/>
      <c r="AV34" s="1"/>
      <c r="AW34" s="3" t="s">
        <v>1782</v>
      </c>
      <c r="AY34" s="14">
        <v>46204</v>
      </c>
      <c r="AZ34" s="3" t="s">
        <v>714</v>
      </c>
    </row>
    <row r="35" spans="1:52" x14ac:dyDescent="0.3">
      <c r="A35" s="1" t="s">
        <v>715</v>
      </c>
      <c r="B35" s="1" t="s">
        <v>29</v>
      </c>
      <c r="C35" s="1" t="s">
        <v>111</v>
      </c>
      <c r="D35" s="3" t="s">
        <v>593</v>
      </c>
      <c r="E35" s="11" t="s">
        <v>298</v>
      </c>
      <c r="F35" s="3" t="s">
        <v>485</v>
      </c>
      <c r="G35" s="3" t="s">
        <v>592</v>
      </c>
      <c r="H35" s="1" t="s">
        <v>738</v>
      </c>
      <c r="I35" s="1" t="s">
        <v>452</v>
      </c>
      <c r="J35" s="1" t="s">
        <v>451</v>
      </c>
      <c r="K35" s="1" t="s">
        <v>451</v>
      </c>
      <c r="M35" s="1" t="s">
        <v>452</v>
      </c>
      <c r="N35" s="1" t="s">
        <v>451</v>
      </c>
      <c r="P35" s="1"/>
      <c r="Q35" s="1" t="s">
        <v>732</v>
      </c>
      <c r="R35" s="1"/>
      <c r="S35" s="3" t="s">
        <v>264</v>
      </c>
      <c r="T35" s="1" t="s">
        <v>451</v>
      </c>
      <c r="U35" s="1"/>
      <c r="V35" s="1"/>
      <c r="W35" s="1"/>
      <c r="X35" s="1" t="s">
        <v>451</v>
      </c>
      <c r="Y35" s="1"/>
      <c r="Z35" s="1" t="s">
        <v>452</v>
      </c>
      <c r="AA35" s="3" t="s">
        <v>733</v>
      </c>
      <c r="AB35" s="1" t="s">
        <v>451</v>
      </c>
      <c r="AC35" s="1"/>
      <c r="AD35" s="1"/>
      <c r="AE35" s="1"/>
      <c r="AF35" s="1"/>
      <c r="AG35" s="1"/>
      <c r="AH35" s="1"/>
      <c r="AI35" s="1" t="s">
        <v>451</v>
      </c>
      <c r="AL35" s="1" t="s">
        <v>451</v>
      </c>
      <c r="AM35" t="s">
        <v>451</v>
      </c>
      <c r="AN35" s="1" t="s">
        <v>451</v>
      </c>
      <c r="AO35" s="1" t="s">
        <v>467</v>
      </c>
      <c r="AP35" s="1"/>
      <c r="AQ35" s="1"/>
      <c r="AR35" s="1" t="s">
        <v>451</v>
      </c>
      <c r="AS35" s="1"/>
      <c r="AT35" s="1"/>
      <c r="AU35" s="1"/>
      <c r="AV35" s="1"/>
      <c r="AW35" s="3" t="s">
        <v>591</v>
      </c>
      <c r="AX35" s="1" t="s">
        <v>1668</v>
      </c>
      <c r="AY35" s="14">
        <v>46121</v>
      </c>
      <c r="AZ35" s="3" t="s">
        <v>714</v>
      </c>
    </row>
    <row r="36" spans="1:52" x14ac:dyDescent="0.3">
      <c r="A36" s="1" t="s">
        <v>715</v>
      </c>
      <c r="B36" s="1" t="s">
        <v>30</v>
      </c>
      <c r="C36" s="1" t="s">
        <v>112</v>
      </c>
      <c r="D36" s="3" t="s">
        <v>590</v>
      </c>
      <c r="E36" s="11" t="s">
        <v>299</v>
      </c>
      <c r="F36" s="3" t="s">
        <v>485</v>
      </c>
      <c r="G36" s="3" t="s">
        <v>589</v>
      </c>
      <c r="H36" s="1" t="s">
        <v>738</v>
      </c>
      <c r="I36" s="1" t="s">
        <v>452</v>
      </c>
      <c r="J36" s="1" t="s">
        <v>451</v>
      </c>
      <c r="K36" s="1" t="s">
        <v>452</v>
      </c>
      <c r="M36" s="1" t="s">
        <v>451</v>
      </c>
      <c r="N36" s="1" t="s">
        <v>452</v>
      </c>
      <c r="P36" s="1"/>
      <c r="Q36" s="1" t="s">
        <v>732</v>
      </c>
      <c r="R36" s="1"/>
      <c r="S36" s="3" t="s">
        <v>265</v>
      </c>
      <c r="T36" s="1"/>
      <c r="U36" s="1" t="s">
        <v>451</v>
      </c>
      <c r="V36" s="1" t="s">
        <v>451</v>
      </c>
      <c r="W36" s="1"/>
      <c r="X36" s="1"/>
      <c r="Y36" s="1" t="s">
        <v>451</v>
      </c>
      <c r="Z36" s="1" t="s">
        <v>452</v>
      </c>
      <c r="AA36" s="3" t="s">
        <v>734</v>
      </c>
      <c r="AB36" s="1" t="s">
        <v>451</v>
      </c>
      <c r="AC36" s="1" t="s">
        <v>451</v>
      </c>
      <c r="AD36" s="1" t="s">
        <v>451</v>
      </c>
      <c r="AE36" s="1"/>
      <c r="AF36" s="1" t="s">
        <v>451</v>
      </c>
      <c r="AG36" s="1"/>
      <c r="AH36" s="1" t="s">
        <v>451</v>
      </c>
      <c r="AI36" s="1" t="s">
        <v>451</v>
      </c>
      <c r="AK36" s="3" t="s">
        <v>464</v>
      </c>
      <c r="AL36" s="1" t="s">
        <v>451</v>
      </c>
      <c r="AM36" t="s">
        <v>452</v>
      </c>
      <c r="AN36" s="1"/>
      <c r="AO36" s="1"/>
      <c r="AP36" s="1"/>
      <c r="AQ36" s="1" t="s">
        <v>451</v>
      </c>
      <c r="AR36" s="1" t="s">
        <v>451</v>
      </c>
      <c r="AS36" s="1" t="s">
        <v>451</v>
      </c>
      <c r="AT36" s="1"/>
      <c r="AU36" s="1" t="s">
        <v>451</v>
      </c>
      <c r="AV36" s="1"/>
      <c r="AW36" s="3" t="s">
        <v>588</v>
      </c>
      <c r="AX36" s="1" t="s">
        <v>1668</v>
      </c>
      <c r="AY36" s="14">
        <v>46121</v>
      </c>
      <c r="AZ36" s="3" t="s">
        <v>714</v>
      </c>
    </row>
    <row r="37" spans="1:52" x14ac:dyDescent="0.3">
      <c r="A37" s="1" t="s">
        <v>715</v>
      </c>
      <c r="B37" s="1" t="s">
        <v>31</v>
      </c>
      <c r="C37" s="1" t="s">
        <v>113</v>
      </c>
      <c r="D37" s="3" t="s">
        <v>587</v>
      </c>
      <c r="E37" s="11" t="s">
        <v>300</v>
      </c>
      <c r="F37" s="3" t="s">
        <v>485</v>
      </c>
      <c r="G37" s="3" t="s">
        <v>586</v>
      </c>
      <c r="H37" s="1" t="s">
        <v>738</v>
      </c>
      <c r="I37" s="1" t="s">
        <v>452</v>
      </c>
      <c r="J37" s="1" t="s">
        <v>451</v>
      </c>
      <c r="K37" s="1"/>
      <c r="L37" s="3" t="s">
        <v>729</v>
      </c>
      <c r="M37" s="1" t="s">
        <v>452</v>
      </c>
      <c r="N37" s="1"/>
      <c r="P37" s="1"/>
      <c r="Q37" s="1" t="s">
        <v>732</v>
      </c>
      <c r="R37" s="1" t="s">
        <v>451</v>
      </c>
      <c r="S37" s="3" t="s">
        <v>266</v>
      </c>
      <c r="T37" s="1" t="s">
        <v>451</v>
      </c>
      <c r="U37" s="1"/>
      <c r="V37" s="1" t="s">
        <v>451</v>
      </c>
      <c r="W37" s="1"/>
      <c r="X37" s="1"/>
      <c r="Y37" s="1" t="s">
        <v>451</v>
      </c>
      <c r="Z37" s="1" t="s">
        <v>452</v>
      </c>
      <c r="AA37" s="3" t="s">
        <v>734</v>
      </c>
      <c r="AB37" s="1" t="s">
        <v>451</v>
      </c>
      <c r="AC37" s="1"/>
      <c r="AD37" s="1"/>
      <c r="AE37" s="1"/>
      <c r="AF37" s="1"/>
      <c r="AG37" s="1" t="s">
        <v>451</v>
      </c>
      <c r="AH37" s="1"/>
      <c r="AI37" s="1"/>
      <c r="AK37" s="3" t="s">
        <v>464</v>
      </c>
      <c r="AL37" s="1" t="s">
        <v>451</v>
      </c>
      <c r="AM37" t="s">
        <v>452</v>
      </c>
      <c r="AN37" s="1"/>
      <c r="AO37" s="1"/>
      <c r="AP37" s="1"/>
      <c r="AQ37" s="1" t="s">
        <v>451</v>
      </c>
      <c r="AR37" s="1" t="s">
        <v>451</v>
      </c>
      <c r="AS37" s="1" t="s">
        <v>451</v>
      </c>
      <c r="AT37" s="1"/>
      <c r="AU37" s="1" t="s">
        <v>451</v>
      </c>
      <c r="AV37" s="1"/>
      <c r="AW37" s="3" t="s">
        <v>585</v>
      </c>
      <c r="AX37" s="1" t="s">
        <v>1668</v>
      </c>
      <c r="AY37" s="14">
        <v>46121</v>
      </c>
      <c r="AZ37" s="3" t="s">
        <v>714</v>
      </c>
    </row>
    <row r="38" spans="1:52" x14ac:dyDescent="0.3">
      <c r="A38" s="1" t="s">
        <v>715</v>
      </c>
      <c r="B38" s="1" t="s">
        <v>32</v>
      </c>
      <c r="C38" s="1" t="s">
        <v>114</v>
      </c>
      <c r="D38" s="3" t="s">
        <v>114</v>
      </c>
      <c r="E38" s="11" t="s">
        <v>301</v>
      </c>
      <c r="F38" s="3" t="s">
        <v>485</v>
      </c>
      <c r="G38" s="3" t="s">
        <v>584</v>
      </c>
      <c r="H38" s="1" t="s">
        <v>738</v>
      </c>
      <c r="I38" s="1" t="s">
        <v>452</v>
      </c>
      <c r="J38" s="1" t="s">
        <v>451</v>
      </c>
      <c r="K38" s="1"/>
      <c r="M38" s="1" t="s">
        <v>452</v>
      </c>
      <c r="N38" s="1" t="s">
        <v>451</v>
      </c>
      <c r="O38" s="1" t="s">
        <v>731</v>
      </c>
      <c r="P38" s="1"/>
      <c r="Q38" s="1" t="s">
        <v>732</v>
      </c>
      <c r="R38" s="1" t="s">
        <v>451</v>
      </c>
      <c r="S38" s="3" t="s">
        <v>267</v>
      </c>
      <c r="T38" s="1" t="s">
        <v>451</v>
      </c>
      <c r="U38" s="1" t="s">
        <v>451</v>
      </c>
      <c r="V38" s="1" t="s">
        <v>451</v>
      </c>
      <c r="W38" s="1" t="s">
        <v>451</v>
      </c>
      <c r="X38" s="1"/>
      <c r="Y38" s="1" t="s">
        <v>451</v>
      </c>
      <c r="Z38" s="1" t="s">
        <v>452</v>
      </c>
      <c r="AA38" s="3" t="s">
        <v>734</v>
      </c>
      <c r="AB38" s="1" t="s">
        <v>451</v>
      </c>
      <c r="AC38" s="1" t="s">
        <v>451</v>
      </c>
      <c r="AD38" s="1" t="s">
        <v>451</v>
      </c>
      <c r="AE38" s="1"/>
      <c r="AF38" s="1" t="s">
        <v>451</v>
      </c>
      <c r="AG38" s="1" t="s">
        <v>451</v>
      </c>
      <c r="AH38" s="1"/>
      <c r="AI38" s="1" t="s">
        <v>451</v>
      </c>
      <c r="AL38" s="1" t="s">
        <v>451</v>
      </c>
      <c r="AM38" t="s">
        <v>452</v>
      </c>
      <c r="AN38" s="1"/>
      <c r="AO38" s="1" t="s">
        <v>737</v>
      </c>
      <c r="AP38" s="1"/>
      <c r="AQ38" s="1" t="s">
        <v>451</v>
      </c>
      <c r="AR38" s="1" t="s">
        <v>451</v>
      </c>
      <c r="AS38" s="1" t="s">
        <v>451</v>
      </c>
      <c r="AT38" s="1"/>
      <c r="AU38" s="1"/>
      <c r="AV38" s="1" t="s">
        <v>1792</v>
      </c>
      <c r="AX38" s="1" t="s">
        <v>1668</v>
      </c>
      <c r="AY38" s="14">
        <v>46121</v>
      </c>
      <c r="AZ38" s="3" t="s">
        <v>714</v>
      </c>
    </row>
    <row r="39" spans="1:52" x14ac:dyDescent="0.3">
      <c r="A39" s="1" t="s">
        <v>715</v>
      </c>
      <c r="B39" s="1" t="s">
        <v>33</v>
      </c>
      <c r="C39" s="1" t="s">
        <v>115</v>
      </c>
      <c r="D39" s="3" t="s">
        <v>583</v>
      </c>
      <c r="E39" s="11" t="s">
        <v>302</v>
      </c>
      <c r="F39" s="3" t="s">
        <v>485</v>
      </c>
      <c r="G39" s="3" t="s">
        <v>582</v>
      </c>
      <c r="H39" s="1" t="s">
        <v>738</v>
      </c>
      <c r="I39" s="1" t="s">
        <v>452</v>
      </c>
      <c r="J39" s="1" t="s">
        <v>451</v>
      </c>
      <c r="K39" s="1" t="s">
        <v>452</v>
      </c>
      <c r="M39" s="1" t="s">
        <v>451</v>
      </c>
      <c r="N39" s="1" t="s">
        <v>451</v>
      </c>
      <c r="P39" s="1"/>
      <c r="Q39" s="1" t="s">
        <v>732</v>
      </c>
      <c r="R39" s="1" t="s">
        <v>451</v>
      </c>
      <c r="S39" s="3" t="s">
        <v>268</v>
      </c>
      <c r="T39" s="1" t="s">
        <v>451</v>
      </c>
      <c r="U39" s="1" t="s">
        <v>451</v>
      </c>
      <c r="V39" s="1" t="s">
        <v>451</v>
      </c>
      <c r="W39" s="1"/>
      <c r="X39" s="1" t="s">
        <v>451</v>
      </c>
      <c r="Y39" s="1"/>
      <c r="Z39" s="1" t="s">
        <v>452</v>
      </c>
      <c r="AA39" s="3" t="s">
        <v>734</v>
      </c>
      <c r="AB39" s="1" t="s">
        <v>451</v>
      </c>
      <c r="AC39" s="1" t="s">
        <v>451</v>
      </c>
      <c r="AD39" s="1" t="s">
        <v>451</v>
      </c>
      <c r="AE39" s="1" t="s">
        <v>451</v>
      </c>
      <c r="AF39" s="1" t="s">
        <v>451</v>
      </c>
      <c r="AG39" s="1" t="s">
        <v>451</v>
      </c>
      <c r="AH39" s="1"/>
      <c r="AI39" s="1"/>
      <c r="AK39" s="3" t="s">
        <v>463</v>
      </c>
      <c r="AL39" s="1" t="s">
        <v>451</v>
      </c>
      <c r="AM39" t="s">
        <v>452</v>
      </c>
      <c r="AN39" s="1"/>
      <c r="AO39" s="1" t="s">
        <v>737</v>
      </c>
      <c r="AP39" s="1"/>
      <c r="AQ39" s="1" t="s">
        <v>451</v>
      </c>
      <c r="AR39" s="1" t="s">
        <v>451</v>
      </c>
      <c r="AS39" s="1" t="s">
        <v>451</v>
      </c>
      <c r="AT39" s="1"/>
      <c r="AU39" s="1"/>
      <c r="AV39" s="1"/>
      <c r="AX39" s="1" t="s">
        <v>1668</v>
      </c>
      <c r="AY39" s="14">
        <v>46121</v>
      </c>
      <c r="AZ39" s="3" t="s">
        <v>714</v>
      </c>
    </row>
    <row r="40" spans="1:52" x14ac:dyDescent="0.3">
      <c r="A40" s="1" t="s">
        <v>715</v>
      </c>
      <c r="B40" s="1" t="s">
        <v>34</v>
      </c>
      <c r="C40" s="1" t="s">
        <v>110</v>
      </c>
      <c r="D40" s="3" t="s">
        <v>596</v>
      </c>
      <c r="E40" s="11" t="s">
        <v>297</v>
      </c>
      <c r="F40" s="3" t="s">
        <v>1793</v>
      </c>
      <c r="G40" s="3" t="s">
        <v>595</v>
      </c>
      <c r="H40" s="1" t="s">
        <v>738</v>
      </c>
      <c r="I40" s="1" t="s">
        <v>452</v>
      </c>
      <c r="J40" s="1" t="s">
        <v>451</v>
      </c>
      <c r="K40" s="1" t="s">
        <v>452</v>
      </c>
      <c r="L40" s="1" t="s">
        <v>729</v>
      </c>
      <c r="M40" s="1" t="s">
        <v>452</v>
      </c>
      <c r="N40" s="1" t="s">
        <v>451</v>
      </c>
      <c r="O40" s="1" t="s">
        <v>730</v>
      </c>
      <c r="P40" s="1"/>
      <c r="Q40" s="1" t="s">
        <v>732</v>
      </c>
      <c r="R40" s="1" t="s">
        <v>451</v>
      </c>
      <c r="S40" s="3" t="s">
        <v>260</v>
      </c>
      <c r="T40" s="1" t="s">
        <v>451</v>
      </c>
      <c r="U40" s="1" t="s">
        <v>451</v>
      </c>
      <c r="V40" s="1"/>
      <c r="W40" s="1"/>
      <c r="X40" s="1"/>
      <c r="Y40" s="1" t="s">
        <v>451</v>
      </c>
      <c r="Z40" s="1" t="s">
        <v>452</v>
      </c>
      <c r="AA40" s="3" t="s">
        <v>734</v>
      </c>
      <c r="AB40" s="1" t="s">
        <v>451</v>
      </c>
      <c r="AC40" s="1"/>
      <c r="AD40" s="1"/>
      <c r="AE40" s="1"/>
      <c r="AF40" s="1" t="s">
        <v>451</v>
      </c>
      <c r="AG40" s="1" t="s">
        <v>451</v>
      </c>
      <c r="AH40" s="1"/>
      <c r="AI40" s="1" t="s">
        <v>451</v>
      </c>
      <c r="AK40" s="3" t="s">
        <v>463</v>
      </c>
      <c r="AL40" s="1" t="s">
        <v>451</v>
      </c>
      <c r="AM40" t="s">
        <v>452</v>
      </c>
      <c r="AN40" s="1"/>
      <c r="AO40" s="1" t="s">
        <v>737</v>
      </c>
      <c r="AP40" s="1"/>
      <c r="AQ40" s="1" t="s">
        <v>451</v>
      </c>
      <c r="AR40" s="1" t="s">
        <v>451</v>
      </c>
      <c r="AS40" s="1"/>
      <c r="AT40" s="1"/>
      <c r="AU40" s="1" t="s">
        <v>451</v>
      </c>
      <c r="AV40" s="1"/>
      <c r="AW40" s="3" t="s">
        <v>594</v>
      </c>
      <c r="AX40" s="1" t="s">
        <v>1694</v>
      </c>
      <c r="AY40" s="14">
        <v>46121</v>
      </c>
      <c r="AZ40" s="3" t="s">
        <v>714</v>
      </c>
    </row>
    <row r="41" spans="1:52" x14ac:dyDescent="0.3">
      <c r="A41" s="1" t="s">
        <v>715</v>
      </c>
      <c r="B41" s="1" t="s">
        <v>35</v>
      </c>
      <c r="C41" s="1" t="s">
        <v>1805</v>
      </c>
      <c r="D41" s="3" t="s">
        <v>605</v>
      </c>
      <c r="E41" s="11" t="s">
        <v>292</v>
      </c>
      <c r="F41" s="3" t="s">
        <v>604</v>
      </c>
      <c r="H41" s="1" t="s">
        <v>738</v>
      </c>
      <c r="I41" s="1" t="s">
        <v>452</v>
      </c>
      <c r="J41" s="1" t="s">
        <v>451</v>
      </c>
      <c r="K41" s="1" t="s">
        <v>452</v>
      </c>
      <c r="L41" s="1" t="s">
        <v>729</v>
      </c>
      <c r="M41" s="1" t="s">
        <v>452</v>
      </c>
      <c r="N41" s="1" t="s">
        <v>451</v>
      </c>
      <c r="O41" s="1"/>
      <c r="P41" s="1" t="s">
        <v>451</v>
      </c>
      <c r="Q41" s="1" t="s">
        <v>732</v>
      </c>
      <c r="R41" s="1" t="s">
        <v>451</v>
      </c>
      <c r="S41" s="1" t="s">
        <v>264</v>
      </c>
      <c r="T41" s="1" t="s">
        <v>451</v>
      </c>
      <c r="U41" s="1"/>
      <c r="V41" s="1"/>
      <c r="W41" s="1"/>
      <c r="X41" s="1"/>
      <c r="Y41" s="1"/>
      <c r="Z41" s="1" t="s">
        <v>451</v>
      </c>
      <c r="AA41" s="1" t="s">
        <v>734</v>
      </c>
      <c r="AB41" s="1" t="s">
        <v>451</v>
      </c>
      <c r="AC41" s="1"/>
      <c r="AD41" s="1"/>
      <c r="AE41" s="1"/>
      <c r="AF41" s="1"/>
      <c r="AG41" s="1"/>
      <c r="AH41" s="1"/>
      <c r="AI41" s="1" t="s">
        <v>451</v>
      </c>
      <c r="AK41" s="1" t="s">
        <v>464</v>
      </c>
      <c r="AL41" s="1" t="s">
        <v>451</v>
      </c>
      <c r="AN41" s="1"/>
      <c r="AO41" s="1" t="s">
        <v>737</v>
      </c>
      <c r="AP41" s="1"/>
      <c r="AQ41" s="1" t="s">
        <v>451</v>
      </c>
      <c r="AR41" s="1" t="s">
        <v>451</v>
      </c>
      <c r="AS41" s="1"/>
      <c r="AT41" s="1"/>
      <c r="AU41" s="1"/>
      <c r="AV41" s="1"/>
      <c r="AW41" s="1" t="s">
        <v>1773</v>
      </c>
      <c r="AX41" s="1" t="s">
        <v>1774</v>
      </c>
      <c r="AY41" s="14">
        <v>46204</v>
      </c>
      <c r="AZ41" s="3" t="s">
        <v>714</v>
      </c>
    </row>
    <row r="42" spans="1:52" x14ac:dyDescent="0.3">
      <c r="A42" s="1" t="s">
        <v>715</v>
      </c>
      <c r="B42" s="1" t="s">
        <v>36</v>
      </c>
      <c r="C42" s="1" t="s">
        <v>106</v>
      </c>
      <c r="D42" s="3" t="s">
        <v>603</v>
      </c>
      <c r="E42" s="11" t="s">
        <v>293</v>
      </c>
      <c r="F42" s="3" t="s">
        <v>1794</v>
      </c>
      <c r="H42" s="1" t="s">
        <v>738</v>
      </c>
      <c r="I42" s="1" t="s">
        <v>452</v>
      </c>
      <c r="J42" s="1" t="s">
        <v>451</v>
      </c>
      <c r="K42" s="1" t="s">
        <v>452</v>
      </c>
      <c r="L42" s="1" t="s">
        <v>729</v>
      </c>
      <c r="M42" s="1" t="s">
        <v>452</v>
      </c>
      <c r="N42" s="1" t="s">
        <v>451</v>
      </c>
      <c r="O42" s="1"/>
      <c r="P42" s="1"/>
      <c r="Q42" s="1" t="s">
        <v>732</v>
      </c>
      <c r="R42" s="1" t="s">
        <v>451</v>
      </c>
      <c r="S42" s="1" t="s">
        <v>1671</v>
      </c>
      <c r="T42" s="1" t="s">
        <v>451</v>
      </c>
      <c r="U42" s="1" t="s">
        <v>451</v>
      </c>
      <c r="V42" s="1"/>
      <c r="W42" s="1"/>
      <c r="X42" s="1"/>
      <c r="Y42" s="1"/>
      <c r="Z42" s="1" t="s">
        <v>452</v>
      </c>
      <c r="AB42" s="1" t="s">
        <v>451</v>
      </c>
      <c r="AC42" s="1" t="s">
        <v>451</v>
      </c>
      <c r="AD42" s="1"/>
      <c r="AE42" s="1" t="s">
        <v>451</v>
      </c>
      <c r="AF42" s="1"/>
      <c r="AG42" s="1" t="s">
        <v>451</v>
      </c>
      <c r="AH42" s="1"/>
      <c r="AI42" s="1"/>
      <c r="AK42" s="1" t="s">
        <v>464</v>
      </c>
      <c r="AL42" s="1" t="s">
        <v>451</v>
      </c>
      <c r="AM42" t="s">
        <v>452</v>
      </c>
      <c r="AN42" s="1"/>
      <c r="AO42" s="1" t="s">
        <v>737</v>
      </c>
      <c r="AP42" s="1"/>
      <c r="AQ42" s="1" t="s">
        <v>451</v>
      </c>
      <c r="AR42" s="1" t="s">
        <v>451</v>
      </c>
      <c r="AS42" s="1" t="s">
        <v>451</v>
      </c>
      <c r="AT42" s="1" t="s">
        <v>451</v>
      </c>
      <c r="AU42" s="1" t="s">
        <v>451</v>
      </c>
      <c r="AV42" s="1" t="s">
        <v>1792</v>
      </c>
      <c r="AW42" s="1" t="s">
        <v>1775</v>
      </c>
      <c r="AX42" s="1" t="s">
        <v>1776</v>
      </c>
      <c r="AY42" s="14">
        <v>46204</v>
      </c>
      <c r="AZ42" s="3" t="s">
        <v>714</v>
      </c>
    </row>
    <row r="43" spans="1:52" x14ac:dyDescent="0.3">
      <c r="A43" s="1" t="s">
        <v>715</v>
      </c>
      <c r="B43" s="1" t="s">
        <v>37</v>
      </c>
      <c r="C43" s="1" t="s">
        <v>107</v>
      </c>
      <c r="D43" s="3" t="s">
        <v>602</v>
      </c>
      <c r="E43" s="11" t="s">
        <v>294</v>
      </c>
      <c r="F43" s="3" t="s">
        <v>601</v>
      </c>
      <c r="G43" s="3" t="s">
        <v>1772</v>
      </c>
      <c r="H43" s="1" t="s">
        <v>738</v>
      </c>
      <c r="I43" s="1" t="s">
        <v>452</v>
      </c>
      <c r="J43" s="1" t="s">
        <v>451</v>
      </c>
      <c r="K43" s="1"/>
      <c r="L43" s="1"/>
      <c r="M43" s="1" t="s">
        <v>452</v>
      </c>
      <c r="N43" s="1" t="s">
        <v>451</v>
      </c>
      <c r="O43" s="1"/>
      <c r="P43" s="1"/>
      <c r="Q43" s="1" t="s">
        <v>732</v>
      </c>
      <c r="R43" s="1" t="s">
        <v>451</v>
      </c>
      <c r="S43" s="1" t="s">
        <v>1771</v>
      </c>
      <c r="T43" s="1" t="s">
        <v>451</v>
      </c>
      <c r="U43" s="1" t="s">
        <v>451</v>
      </c>
      <c r="V43" s="1" t="s">
        <v>451</v>
      </c>
      <c r="W43" s="1"/>
      <c r="X43" s="1"/>
      <c r="Y43" s="1"/>
      <c r="Z43" s="1" t="s">
        <v>451</v>
      </c>
      <c r="AA43" s="1"/>
      <c r="AB43" s="1" t="s">
        <v>451</v>
      </c>
      <c r="AC43" s="1"/>
      <c r="AD43" s="1"/>
      <c r="AE43" s="1"/>
      <c r="AF43" s="1"/>
      <c r="AG43" s="1" t="s">
        <v>451</v>
      </c>
      <c r="AH43" s="1"/>
      <c r="AI43" s="1" t="s">
        <v>451</v>
      </c>
      <c r="AK43" s="3" t="s">
        <v>464</v>
      </c>
      <c r="AL43" s="1"/>
      <c r="AN43" s="1"/>
      <c r="AO43" s="1" t="s">
        <v>737</v>
      </c>
      <c r="AP43" s="1"/>
      <c r="AQ43" s="1" t="s">
        <v>451</v>
      </c>
      <c r="AR43" s="1" t="s">
        <v>451</v>
      </c>
      <c r="AS43" s="1" t="s">
        <v>451</v>
      </c>
      <c r="AT43" s="1"/>
      <c r="AU43" s="1" t="s">
        <v>451</v>
      </c>
      <c r="AV43" s="1"/>
      <c r="AW43" s="1" t="s">
        <v>1770</v>
      </c>
      <c r="AY43" s="14">
        <v>46204</v>
      </c>
      <c r="AZ43" s="3" t="s">
        <v>714</v>
      </c>
    </row>
    <row r="44" spans="1:52" x14ac:dyDescent="0.3">
      <c r="A44" s="1" t="s">
        <v>715</v>
      </c>
      <c r="B44" s="1" t="s">
        <v>38</v>
      </c>
      <c r="C44" s="1" t="s">
        <v>108</v>
      </c>
      <c r="D44" s="3" t="s">
        <v>600</v>
      </c>
      <c r="E44" s="11" t="s">
        <v>295</v>
      </c>
      <c r="F44" s="3" t="s">
        <v>599</v>
      </c>
      <c r="H44" s="1" t="s">
        <v>738</v>
      </c>
      <c r="I44" s="1" t="s">
        <v>452</v>
      </c>
      <c r="J44" s="1" t="s">
        <v>451</v>
      </c>
      <c r="K44" s="1" t="s">
        <v>452</v>
      </c>
      <c r="L44" s="1" t="s">
        <v>729</v>
      </c>
      <c r="M44" s="1" t="s">
        <v>452</v>
      </c>
      <c r="N44" s="1" t="s">
        <v>451</v>
      </c>
      <c r="O44" s="1" t="s">
        <v>731</v>
      </c>
      <c r="P44" s="1" t="s">
        <v>451</v>
      </c>
      <c r="Q44" s="1" t="s">
        <v>732</v>
      </c>
      <c r="R44" s="1"/>
      <c r="S44" s="1" t="s">
        <v>1671</v>
      </c>
      <c r="T44" s="1" t="s">
        <v>451</v>
      </c>
      <c r="U44" s="1" t="s">
        <v>451</v>
      </c>
      <c r="V44" s="1"/>
      <c r="W44" s="1"/>
      <c r="X44" s="1"/>
      <c r="Y44" s="1"/>
      <c r="Z44" s="1" t="s">
        <v>452</v>
      </c>
      <c r="AA44" s="1" t="s">
        <v>734</v>
      </c>
      <c r="AB44" s="1" t="s">
        <v>451</v>
      </c>
      <c r="AC44" s="1"/>
      <c r="AD44" s="1"/>
      <c r="AE44" s="1"/>
      <c r="AF44" s="1" t="s">
        <v>451</v>
      </c>
      <c r="AG44" s="1"/>
      <c r="AH44" s="1"/>
      <c r="AI44" s="1" t="s">
        <v>451</v>
      </c>
      <c r="AL44" s="1"/>
      <c r="AM44" t="s">
        <v>452</v>
      </c>
      <c r="AN44" s="1"/>
      <c r="AO44" s="1" t="s">
        <v>737</v>
      </c>
      <c r="AP44" s="1"/>
      <c r="AQ44" s="1" t="s">
        <v>451</v>
      </c>
      <c r="AR44" s="1" t="s">
        <v>451</v>
      </c>
      <c r="AS44" s="1"/>
      <c r="AT44" s="1"/>
      <c r="AU44" s="1"/>
      <c r="AV44" s="1"/>
      <c r="AW44" s="1" t="s">
        <v>1783</v>
      </c>
      <c r="AX44" s="1" t="s">
        <v>1784</v>
      </c>
      <c r="AY44" s="14">
        <v>46204</v>
      </c>
      <c r="AZ44" s="3" t="s">
        <v>714</v>
      </c>
    </row>
    <row r="45" spans="1:52" x14ac:dyDescent="0.3">
      <c r="A45" s="1" t="s">
        <v>715</v>
      </c>
      <c r="B45" s="1" t="s">
        <v>39</v>
      </c>
      <c r="C45" s="1" t="s">
        <v>104</v>
      </c>
      <c r="D45" s="3" t="s">
        <v>610</v>
      </c>
      <c r="E45" s="11" t="s">
        <v>1769</v>
      </c>
      <c r="F45" s="3" t="s">
        <v>609</v>
      </c>
      <c r="G45" s="3" t="s">
        <v>606</v>
      </c>
      <c r="H45" s="1" t="s">
        <v>738</v>
      </c>
      <c r="I45" s="1" t="s">
        <v>452</v>
      </c>
      <c r="J45" s="1" t="s">
        <v>451</v>
      </c>
      <c r="K45" s="1" t="s">
        <v>452</v>
      </c>
      <c r="L45" s="1" t="s">
        <v>729</v>
      </c>
      <c r="M45" s="1" t="s">
        <v>452</v>
      </c>
      <c r="N45" s="1" t="s">
        <v>451</v>
      </c>
      <c r="O45" s="1"/>
      <c r="P45" s="1" t="s">
        <v>451</v>
      </c>
      <c r="Q45" s="1" t="s">
        <v>732</v>
      </c>
      <c r="R45" s="1"/>
      <c r="S45" s="3" t="s">
        <v>1726</v>
      </c>
      <c r="T45" s="1" t="s">
        <v>451</v>
      </c>
      <c r="U45" s="1"/>
      <c r="V45" s="1"/>
      <c r="W45" s="1" t="s">
        <v>452</v>
      </c>
      <c r="X45" s="1"/>
      <c r="Y45" s="1"/>
      <c r="Z45" s="1" t="s">
        <v>451</v>
      </c>
      <c r="AB45" s="1" t="s">
        <v>452</v>
      </c>
      <c r="AC45" s="1"/>
      <c r="AD45" s="1"/>
      <c r="AE45" s="1"/>
      <c r="AF45" s="1"/>
      <c r="AG45" s="1"/>
      <c r="AH45" s="1"/>
      <c r="AI45" s="1"/>
      <c r="AK45" s="3" t="s">
        <v>462</v>
      </c>
      <c r="AL45" s="1" t="s">
        <v>451</v>
      </c>
      <c r="AN45" s="1"/>
      <c r="AO45" s="1" t="s">
        <v>737</v>
      </c>
      <c r="AP45" s="1"/>
      <c r="AQ45" s="1" t="s">
        <v>451</v>
      </c>
      <c r="AR45" s="1" t="s">
        <v>451</v>
      </c>
      <c r="AS45" s="1"/>
      <c r="AT45" s="1"/>
      <c r="AU45" s="1"/>
      <c r="AV45" s="1"/>
      <c r="AW45" s="3" t="s">
        <v>1795</v>
      </c>
      <c r="AY45" s="14">
        <v>46204</v>
      </c>
      <c r="AZ45" s="3" t="s">
        <v>714</v>
      </c>
    </row>
    <row r="46" spans="1:52" x14ac:dyDescent="0.3">
      <c r="A46" s="1" t="s">
        <v>715</v>
      </c>
      <c r="B46" s="1" t="s">
        <v>40</v>
      </c>
      <c r="C46" s="1" t="s">
        <v>116</v>
      </c>
      <c r="D46" s="3" t="s">
        <v>580</v>
      </c>
      <c r="E46" s="11" t="s">
        <v>303</v>
      </c>
      <c r="F46" s="1" t="s">
        <v>1648</v>
      </c>
      <c r="G46" s="1" t="s">
        <v>1647</v>
      </c>
      <c r="H46" s="1" t="s">
        <v>738</v>
      </c>
      <c r="I46" s="1" t="s">
        <v>452</v>
      </c>
      <c r="J46" s="1" t="s">
        <v>451</v>
      </c>
      <c r="K46" s="1" t="s">
        <v>452</v>
      </c>
      <c r="L46" s="1" t="s">
        <v>729</v>
      </c>
      <c r="M46" s="1" t="s">
        <v>452</v>
      </c>
      <c r="N46" s="1" t="s">
        <v>451</v>
      </c>
      <c r="O46" s="1" t="s">
        <v>730</v>
      </c>
      <c r="P46" s="1"/>
      <c r="Q46" s="1" t="s">
        <v>732</v>
      </c>
      <c r="R46" s="1" t="s">
        <v>451</v>
      </c>
      <c r="S46" s="3" t="s">
        <v>1649</v>
      </c>
      <c r="T46" s="1"/>
      <c r="U46" s="1" t="s">
        <v>451</v>
      </c>
      <c r="V46" s="1" t="s">
        <v>451</v>
      </c>
      <c r="W46" s="1" t="s">
        <v>451</v>
      </c>
      <c r="X46" s="1"/>
      <c r="Y46" s="1" t="s">
        <v>451</v>
      </c>
      <c r="Z46" s="1" t="s">
        <v>452</v>
      </c>
      <c r="AA46" s="1" t="s">
        <v>733</v>
      </c>
      <c r="AB46" s="1" t="s">
        <v>451</v>
      </c>
      <c r="AC46" s="1"/>
      <c r="AD46" s="1"/>
      <c r="AE46" s="1"/>
      <c r="AF46" s="1" t="s">
        <v>451</v>
      </c>
      <c r="AG46" s="1" t="s">
        <v>451</v>
      </c>
      <c r="AH46" s="1"/>
      <c r="AI46" s="1" t="s">
        <v>451</v>
      </c>
      <c r="AL46" s="1" t="s">
        <v>451</v>
      </c>
      <c r="AM46" t="s">
        <v>452</v>
      </c>
      <c r="AN46" s="1"/>
      <c r="AO46" s="1" t="s">
        <v>737</v>
      </c>
      <c r="AP46" s="1"/>
      <c r="AQ46" s="1" t="s">
        <v>451</v>
      </c>
      <c r="AR46" s="1" t="s">
        <v>451</v>
      </c>
      <c r="AS46" s="1"/>
      <c r="AT46" s="1" t="s">
        <v>451</v>
      </c>
      <c r="AU46" s="1"/>
      <c r="AV46" s="1" t="s">
        <v>1792</v>
      </c>
      <c r="AW46" s="3" t="s">
        <v>1650</v>
      </c>
      <c r="AX46" s="3" t="s">
        <v>1652</v>
      </c>
      <c r="AY46" s="14">
        <v>46177</v>
      </c>
      <c r="AZ46" s="3" t="s">
        <v>714</v>
      </c>
    </row>
    <row r="47" spans="1:52" x14ac:dyDescent="0.3">
      <c r="A47" s="1" t="s">
        <v>715</v>
      </c>
      <c r="B47" s="1" t="s">
        <v>41</v>
      </c>
      <c r="C47" s="1" t="s">
        <v>117</v>
      </c>
      <c r="D47" s="3" t="s">
        <v>579</v>
      </c>
      <c r="E47" s="11" t="s">
        <v>304</v>
      </c>
      <c r="F47" s="1" t="s">
        <v>485</v>
      </c>
      <c r="G47" s="1" t="s">
        <v>1653</v>
      </c>
      <c r="H47" s="1" t="s">
        <v>738</v>
      </c>
      <c r="I47" s="1" t="s">
        <v>452</v>
      </c>
      <c r="J47" s="1" t="s">
        <v>451</v>
      </c>
      <c r="K47" s="1" t="s">
        <v>452</v>
      </c>
      <c r="L47" s="1" t="s">
        <v>729</v>
      </c>
      <c r="M47" s="1" t="s">
        <v>451</v>
      </c>
      <c r="N47" s="1" t="s">
        <v>451</v>
      </c>
      <c r="O47" s="1"/>
      <c r="P47" s="1"/>
      <c r="Q47" s="1" t="s">
        <v>732</v>
      </c>
      <c r="R47" s="1"/>
      <c r="S47" s="3" t="s">
        <v>1649</v>
      </c>
      <c r="T47" s="1"/>
      <c r="U47" s="1" t="s">
        <v>451</v>
      </c>
      <c r="V47" s="1" t="s">
        <v>451</v>
      </c>
      <c r="W47" s="1" t="s">
        <v>451</v>
      </c>
      <c r="X47" s="1"/>
      <c r="Y47" s="1" t="s">
        <v>451</v>
      </c>
      <c r="Z47" s="1" t="s">
        <v>452</v>
      </c>
      <c r="AA47" s="3" t="s">
        <v>734</v>
      </c>
      <c r="AB47" s="1" t="s">
        <v>451</v>
      </c>
      <c r="AC47" s="1" t="s">
        <v>451</v>
      </c>
      <c r="AD47" s="1"/>
      <c r="AE47" s="1"/>
      <c r="AF47" s="1" t="s">
        <v>451</v>
      </c>
      <c r="AG47" s="1"/>
      <c r="AH47" s="1"/>
      <c r="AI47" s="1"/>
      <c r="AK47" s="3" t="s">
        <v>464</v>
      </c>
      <c r="AL47" s="1" t="s">
        <v>451</v>
      </c>
      <c r="AM47" t="s">
        <v>452</v>
      </c>
      <c r="AN47" s="1" t="s">
        <v>451</v>
      </c>
      <c r="AO47" s="1" t="s">
        <v>737</v>
      </c>
      <c r="AP47" s="1"/>
      <c r="AQ47" s="1" t="s">
        <v>451</v>
      </c>
      <c r="AR47" s="1" t="s">
        <v>451</v>
      </c>
      <c r="AS47" s="1"/>
      <c r="AT47" s="1"/>
      <c r="AU47" s="1" t="s">
        <v>451</v>
      </c>
      <c r="AV47" s="1"/>
      <c r="AW47" s="3" t="s">
        <v>630</v>
      </c>
      <c r="AX47" s="3" t="s">
        <v>1654</v>
      </c>
      <c r="AY47" s="14">
        <v>46177</v>
      </c>
      <c r="AZ47" s="3" t="s">
        <v>714</v>
      </c>
    </row>
    <row r="48" spans="1:52" x14ac:dyDescent="0.3">
      <c r="A48" s="1" t="s">
        <v>715</v>
      </c>
      <c r="B48" s="1" t="s">
        <v>1777</v>
      </c>
      <c r="C48" s="1" t="s">
        <v>150</v>
      </c>
      <c r="D48" s="3" t="s">
        <v>215</v>
      </c>
      <c r="E48" s="11" t="s">
        <v>305</v>
      </c>
      <c r="F48" s="1" t="s">
        <v>485</v>
      </c>
      <c r="G48" s="1" t="s">
        <v>1657</v>
      </c>
      <c r="H48" s="1" t="s">
        <v>738</v>
      </c>
      <c r="I48" s="1" t="s">
        <v>452</v>
      </c>
      <c r="J48" s="1" t="s">
        <v>451</v>
      </c>
      <c r="K48" s="1" t="s">
        <v>451</v>
      </c>
      <c r="L48" s="1" t="s">
        <v>729</v>
      </c>
      <c r="M48" s="1" t="s">
        <v>452</v>
      </c>
      <c r="N48" s="1" t="s">
        <v>451</v>
      </c>
      <c r="O48" s="1"/>
      <c r="P48" s="1"/>
      <c r="Q48" s="1" t="s">
        <v>732</v>
      </c>
      <c r="R48" s="1"/>
      <c r="S48" s="1" t="s">
        <v>268</v>
      </c>
      <c r="T48" s="1" t="s">
        <v>451</v>
      </c>
      <c r="U48" s="1" t="s">
        <v>451</v>
      </c>
      <c r="V48" s="1" t="s">
        <v>451</v>
      </c>
      <c r="W48" s="1"/>
      <c r="X48" s="1"/>
      <c r="Y48" s="1" t="s">
        <v>451</v>
      </c>
      <c r="Z48" s="1" t="s">
        <v>452</v>
      </c>
      <c r="AA48" s="1" t="s">
        <v>734</v>
      </c>
      <c r="AB48" s="1" t="s">
        <v>451</v>
      </c>
      <c r="AC48" s="1"/>
      <c r="AD48" s="1"/>
      <c r="AE48" s="1"/>
      <c r="AF48" s="1"/>
      <c r="AG48" s="1"/>
      <c r="AH48" s="1"/>
      <c r="AI48" s="1" t="s">
        <v>451</v>
      </c>
      <c r="AK48" s="3" t="s">
        <v>462</v>
      </c>
      <c r="AL48" s="1" t="s">
        <v>451</v>
      </c>
      <c r="AM48" t="s">
        <v>452</v>
      </c>
      <c r="AN48" s="1"/>
      <c r="AO48" s="1"/>
      <c r="AP48" s="1"/>
      <c r="AQ48" s="1" t="s">
        <v>451</v>
      </c>
      <c r="AR48" s="1" t="s">
        <v>451</v>
      </c>
      <c r="AS48" s="1"/>
      <c r="AT48" s="1"/>
      <c r="AU48" s="1"/>
      <c r="AV48" s="1"/>
      <c r="AW48" s="1" t="s">
        <v>1655</v>
      </c>
      <c r="AX48" s="3" t="s">
        <v>1670</v>
      </c>
      <c r="AY48" s="14">
        <v>46177</v>
      </c>
      <c r="AZ48" s="3" t="s">
        <v>714</v>
      </c>
    </row>
    <row r="49" spans="1:52" x14ac:dyDescent="0.3">
      <c r="A49" s="1" t="s">
        <v>715</v>
      </c>
      <c r="B49" s="1" t="s">
        <v>1778</v>
      </c>
      <c r="C49" s="1" t="s">
        <v>118</v>
      </c>
      <c r="D49" s="3" t="s">
        <v>578</v>
      </c>
      <c r="E49" s="11" t="s">
        <v>306</v>
      </c>
      <c r="F49" s="1" t="s">
        <v>485</v>
      </c>
      <c r="G49" s="1" t="s">
        <v>1658</v>
      </c>
      <c r="H49" s="1" t="s">
        <v>738</v>
      </c>
      <c r="I49" s="1" t="s">
        <v>452</v>
      </c>
      <c r="J49" s="1" t="s">
        <v>451</v>
      </c>
      <c r="K49" s="1" t="s">
        <v>452</v>
      </c>
      <c r="L49" s="1" t="s">
        <v>729</v>
      </c>
      <c r="M49" s="1" t="s">
        <v>452</v>
      </c>
      <c r="N49" s="1" t="s">
        <v>451</v>
      </c>
      <c r="O49" s="1" t="s">
        <v>731</v>
      </c>
      <c r="P49" s="1" t="s">
        <v>451</v>
      </c>
      <c r="Q49" s="1" t="s">
        <v>732</v>
      </c>
      <c r="R49" s="1"/>
      <c r="S49" s="1" t="s">
        <v>256</v>
      </c>
      <c r="T49" s="1" t="s">
        <v>451</v>
      </c>
      <c r="U49" s="1" t="s">
        <v>451</v>
      </c>
      <c r="V49" s="1" t="s">
        <v>451</v>
      </c>
      <c r="W49" s="1" t="s">
        <v>451</v>
      </c>
      <c r="X49" s="1"/>
      <c r="Y49" s="1"/>
      <c r="Z49" s="1" t="s">
        <v>452</v>
      </c>
      <c r="AA49" s="1" t="s">
        <v>734</v>
      </c>
      <c r="AB49" s="1" t="s">
        <v>451</v>
      </c>
      <c r="AC49" s="1" t="s">
        <v>451</v>
      </c>
      <c r="AD49" s="1"/>
      <c r="AE49" s="1"/>
      <c r="AF49" s="1" t="s">
        <v>451</v>
      </c>
      <c r="AG49" s="1"/>
      <c r="AH49" s="1"/>
      <c r="AI49" s="1" t="s">
        <v>451</v>
      </c>
      <c r="AK49" s="1" t="s">
        <v>463</v>
      </c>
      <c r="AL49" s="1" t="s">
        <v>451</v>
      </c>
      <c r="AM49" t="s">
        <v>452</v>
      </c>
      <c r="AN49" s="1" t="s">
        <v>451</v>
      </c>
      <c r="AO49" s="1" t="s">
        <v>737</v>
      </c>
      <c r="AP49" s="1"/>
      <c r="AQ49" s="1" t="s">
        <v>451</v>
      </c>
      <c r="AR49" s="1" t="s">
        <v>451</v>
      </c>
      <c r="AS49" s="1" t="s">
        <v>451</v>
      </c>
      <c r="AT49" s="1" t="s">
        <v>451</v>
      </c>
      <c r="AU49" s="1"/>
      <c r="AV49" s="1" t="s">
        <v>1792</v>
      </c>
      <c r="AW49" s="1" t="s">
        <v>1659</v>
      </c>
      <c r="AX49" s="1" t="s">
        <v>1656</v>
      </c>
      <c r="AY49" s="14">
        <v>46177</v>
      </c>
      <c r="AZ49" s="3" t="s">
        <v>714</v>
      </c>
    </row>
    <row r="50" spans="1:52" x14ac:dyDescent="0.3">
      <c r="A50" s="1" t="s">
        <v>715</v>
      </c>
      <c r="B50" s="1" t="s">
        <v>42</v>
      </c>
      <c r="C50" s="1" t="s">
        <v>119</v>
      </c>
      <c r="D50" s="3" t="s">
        <v>577</v>
      </c>
      <c r="E50" s="11" t="s">
        <v>307</v>
      </c>
      <c r="F50" s="1" t="s">
        <v>1661</v>
      </c>
      <c r="G50" s="1" t="s">
        <v>1662</v>
      </c>
      <c r="H50" s="1" t="s">
        <v>738</v>
      </c>
      <c r="I50" s="1" t="s">
        <v>452</v>
      </c>
      <c r="J50" s="1" t="s">
        <v>451</v>
      </c>
      <c r="K50" s="1" t="s">
        <v>452</v>
      </c>
      <c r="L50" s="1" t="s">
        <v>729</v>
      </c>
      <c r="M50" s="1" t="s">
        <v>452</v>
      </c>
      <c r="N50" s="1" t="s">
        <v>451</v>
      </c>
      <c r="O50" s="1" t="s">
        <v>731</v>
      </c>
      <c r="P50" s="1"/>
      <c r="Q50" s="1" t="s">
        <v>732</v>
      </c>
      <c r="R50" s="1" t="s">
        <v>451</v>
      </c>
      <c r="S50" s="1" t="s">
        <v>268</v>
      </c>
      <c r="T50" s="1" t="s">
        <v>451</v>
      </c>
      <c r="U50" s="1" t="s">
        <v>451</v>
      </c>
      <c r="V50" s="1" t="s">
        <v>451</v>
      </c>
      <c r="W50" s="1" t="s">
        <v>451</v>
      </c>
      <c r="X50" s="1"/>
      <c r="Y50" s="1"/>
      <c r="Z50" s="1" t="s">
        <v>452</v>
      </c>
      <c r="AA50" s="1" t="s">
        <v>734</v>
      </c>
      <c r="AB50" s="1" t="s">
        <v>451</v>
      </c>
      <c r="AC50" s="1"/>
      <c r="AD50" s="1"/>
      <c r="AE50" s="1"/>
      <c r="AF50" s="1" t="s">
        <v>451</v>
      </c>
      <c r="AG50" s="1"/>
      <c r="AH50" s="1"/>
      <c r="AI50" s="1" t="s">
        <v>451</v>
      </c>
      <c r="AK50" s="1" t="s">
        <v>463</v>
      </c>
      <c r="AL50" s="1" t="s">
        <v>451</v>
      </c>
      <c r="AM50" t="s">
        <v>452</v>
      </c>
      <c r="AN50" s="1"/>
      <c r="AO50" s="1" t="s">
        <v>737</v>
      </c>
      <c r="AP50" s="1"/>
      <c r="AQ50" s="1" t="s">
        <v>451</v>
      </c>
      <c r="AR50" s="1" t="s">
        <v>451</v>
      </c>
      <c r="AS50" s="1" t="s">
        <v>451</v>
      </c>
      <c r="AT50" s="1"/>
      <c r="AU50" s="1"/>
      <c r="AV50" s="1"/>
      <c r="AW50" s="1" t="s">
        <v>1796</v>
      </c>
      <c r="AX50" s="1" t="s">
        <v>1660</v>
      </c>
      <c r="AY50" s="14">
        <v>46177</v>
      </c>
      <c r="AZ50" s="3" t="s">
        <v>714</v>
      </c>
    </row>
    <row r="51" spans="1:52" x14ac:dyDescent="0.3">
      <c r="A51" s="1" t="s">
        <v>715</v>
      </c>
      <c r="B51" s="1" t="s">
        <v>43</v>
      </c>
      <c r="C51" s="1" t="s">
        <v>93</v>
      </c>
      <c r="D51" s="3" t="s">
        <v>576</v>
      </c>
      <c r="E51" s="11" t="s">
        <v>308</v>
      </c>
      <c r="F51" s="1" t="s">
        <v>485</v>
      </c>
      <c r="G51" s="1" t="s">
        <v>1663</v>
      </c>
      <c r="H51" s="1" t="s">
        <v>738</v>
      </c>
      <c r="I51" s="1" t="s">
        <v>452</v>
      </c>
      <c r="J51" s="1" t="s">
        <v>451</v>
      </c>
      <c r="K51" s="1" t="s">
        <v>452</v>
      </c>
      <c r="L51" s="1" t="s">
        <v>729</v>
      </c>
      <c r="M51" s="1" t="s">
        <v>452</v>
      </c>
      <c r="N51" s="1" t="s">
        <v>451</v>
      </c>
      <c r="O51" s="1" t="s">
        <v>731</v>
      </c>
      <c r="P51" s="1"/>
      <c r="Q51" s="1" t="s">
        <v>732</v>
      </c>
      <c r="R51" s="1"/>
      <c r="S51" s="1" t="s">
        <v>1665</v>
      </c>
      <c r="T51" s="1" t="s">
        <v>451</v>
      </c>
      <c r="U51" s="1" t="s">
        <v>451</v>
      </c>
      <c r="V51" s="1"/>
      <c r="W51" s="1"/>
      <c r="X51" s="1"/>
      <c r="Y51" s="1"/>
      <c r="Z51" s="1" t="s">
        <v>452</v>
      </c>
      <c r="AA51" s="1" t="s">
        <v>734</v>
      </c>
      <c r="AB51" s="1" t="s">
        <v>451</v>
      </c>
      <c r="AC51" s="1" t="s">
        <v>451</v>
      </c>
      <c r="AD51" s="1"/>
      <c r="AE51" s="1" t="s">
        <v>451</v>
      </c>
      <c r="AF51" s="1" t="s">
        <v>451</v>
      </c>
      <c r="AG51" s="1" t="s">
        <v>451</v>
      </c>
      <c r="AH51" s="1" t="s">
        <v>451</v>
      </c>
      <c r="AI51" s="1"/>
      <c r="AK51" s="1" t="s">
        <v>462</v>
      </c>
      <c r="AL51" s="1" t="s">
        <v>451</v>
      </c>
      <c r="AM51" t="s">
        <v>452</v>
      </c>
      <c r="AN51" s="1"/>
      <c r="AO51" s="1" t="s">
        <v>737</v>
      </c>
      <c r="AP51" s="1"/>
      <c r="AQ51" s="1" t="s">
        <v>451</v>
      </c>
      <c r="AR51" s="1" t="s">
        <v>451</v>
      </c>
      <c r="AS51" s="1" t="s">
        <v>451</v>
      </c>
      <c r="AT51" s="1" t="s">
        <v>451</v>
      </c>
      <c r="AU51" s="1"/>
      <c r="AV51" s="1"/>
      <c r="AW51" s="3" t="s">
        <v>1666</v>
      </c>
      <c r="AX51" s="1" t="s">
        <v>1664</v>
      </c>
      <c r="AY51" s="14">
        <v>46178</v>
      </c>
      <c r="AZ51" s="3" t="s">
        <v>714</v>
      </c>
    </row>
    <row r="52" spans="1:52" x14ac:dyDescent="0.3">
      <c r="A52" s="1" t="s">
        <v>715</v>
      </c>
      <c r="B52" s="1" t="s">
        <v>44</v>
      </c>
      <c r="C52" s="1" t="s">
        <v>120</v>
      </c>
      <c r="D52" s="3" t="s">
        <v>575</v>
      </c>
      <c r="E52" s="11" t="s">
        <v>309</v>
      </c>
      <c r="F52" s="1" t="s">
        <v>485</v>
      </c>
      <c r="G52" s="1" t="s">
        <v>1667</v>
      </c>
      <c r="H52" s="1" t="s">
        <v>738</v>
      </c>
      <c r="I52" s="1" t="s">
        <v>452</v>
      </c>
      <c r="J52" s="1" t="s">
        <v>451</v>
      </c>
      <c r="K52" s="1" t="s">
        <v>452</v>
      </c>
      <c r="L52" s="1" t="s">
        <v>729</v>
      </c>
      <c r="M52" s="1" t="s">
        <v>452</v>
      </c>
      <c r="N52" s="1" t="s">
        <v>451</v>
      </c>
      <c r="O52" s="1" t="s">
        <v>731</v>
      </c>
      <c r="P52" s="1"/>
      <c r="Q52" s="1" t="s">
        <v>732</v>
      </c>
      <c r="R52" s="1" t="s">
        <v>451</v>
      </c>
      <c r="S52" s="1" t="s">
        <v>268</v>
      </c>
      <c r="T52" s="1" t="s">
        <v>451</v>
      </c>
      <c r="U52" s="1" t="s">
        <v>451</v>
      </c>
      <c r="V52" s="1" t="s">
        <v>451</v>
      </c>
      <c r="W52" s="1"/>
      <c r="X52" s="1"/>
      <c r="Y52" s="1"/>
      <c r="Z52" s="1" t="s">
        <v>452</v>
      </c>
      <c r="AA52" s="1" t="s">
        <v>734</v>
      </c>
      <c r="AB52" s="1" t="s">
        <v>451</v>
      </c>
      <c r="AC52" s="1" t="s">
        <v>451</v>
      </c>
      <c r="AD52" s="1"/>
      <c r="AE52" s="1"/>
      <c r="AF52" s="1" t="s">
        <v>451</v>
      </c>
      <c r="AG52" s="1" t="s">
        <v>451</v>
      </c>
      <c r="AH52" s="1" t="s">
        <v>451</v>
      </c>
      <c r="AI52" s="1"/>
      <c r="AK52" s="1" t="s">
        <v>463</v>
      </c>
      <c r="AL52" s="1" t="s">
        <v>451</v>
      </c>
      <c r="AM52" t="s">
        <v>452</v>
      </c>
      <c r="AN52" s="1" t="s">
        <v>451</v>
      </c>
      <c r="AO52" s="1" t="s">
        <v>737</v>
      </c>
      <c r="AP52" s="1"/>
      <c r="AQ52" s="1" t="s">
        <v>451</v>
      </c>
      <c r="AR52" s="1"/>
      <c r="AS52" s="1"/>
      <c r="AT52" s="1" t="s">
        <v>451</v>
      </c>
      <c r="AU52" s="1"/>
      <c r="AV52" s="1" t="s">
        <v>1792</v>
      </c>
      <c r="AW52" s="1" t="s">
        <v>1659</v>
      </c>
      <c r="AX52" s="1" t="s">
        <v>1669</v>
      </c>
      <c r="AY52" s="14">
        <v>46178</v>
      </c>
      <c r="AZ52" s="3" t="s">
        <v>714</v>
      </c>
    </row>
    <row r="53" spans="1:52" x14ac:dyDescent="0.3">
      <c r="A53" s="1" t="s">
        <v>715</v>
      </c>
      <c r="B53" s="1" t="s">
        <v>45</v>
      </c>
      <c r="C53" s="1" t="s">
        <v>121</v>
      </c>
      <c r="D53" s="3" t="s">
        <v>574</v>
      </c>
      <c r="E53" s="11" t="s">
        <v>310</v>
      </c>
      <c r="F53" s="1" t="s">
        <v>485</v>
      </c>
      <c r="G53" s="1" t="s">
        <v>621</v>
      </c>
      <c r="H53" s="1" t="s">
        <v>738</v>
      </c>
      <c r="I53" s="1" t="s">
        <v>452</v>
      </c>
      <c r="J53" s="1" t="s">
        <v>451</v>
      </c>
      <c r="K53" s="1" t="s">
        <v>452</v>
      </c>
      <c r="L53" s="1" t="s">
        <v>729</v>
      </c>
      <c r="M53" s="1" t="s">
        <v>452</v>
      </c>
      <c r="N53" s="1" t="s">
        <v>451</v>
      </c>
      <c r="O53" s="1"/>
      <c r="P53" s="1"/>
      <c r="Q53" s="1" t="s">
        <v>732</v>
      </c>
      <c r="R53" s="1"/>
      <c r="S53" s="1" t="s">
        <v>1671</v>
      </c>
      <c r="T53" s="1" t="s">
        <v>451</v>
      </c>
      <c r="U53" s="1" t="s">
        <v>451</v>
      </c>
      <c r="V53" s="1"/>
      <c r="W53" s="1"/>
      <c r="X53" s="1" t="s">
        <v>451</v>
      </c>
      <c r="Y53" s="1"/>
      <c r="Z53" s="1" t="s">
        <v>452</v>
      </c>
      <c r="AA53" s="1" t="s">
        <v>733</v>
      </c>
      <c r="AB53" s="1" t="s">
        <v>451</v>
      </c>
      <c r="AC53" s="1" t="s">
        <v>451</v>
      </c>
      <c r="AD53" s="1"/>
      <c r="AE53" s="1"/>
      <c r="AF53" s="1" t="s">
        <v>451</v>
      </c>
      <c r="AG53" s="1"/>
      <c r="AH53" s="1"/>
      <c r="AI53" s="1"/>
      <c r="AK53" s="1" t="s">
        <v>462</v>
      </c>
      <c r="AL53" s="1" t="s">
        <v>451</v>
      </c>
      <c r="AM53" t="s">
        <v>452</v>
      </c>
      <c r="AN53" s="1" t="s">
        <v>451</v>
      </c>
      <c r="AO53" s="1" t="s">
        <v>737</v>
      </c>
      <c r="AP53" s="1"/>
      <c r="AQ53" s="1" t="s">
        <v>451</v>
      </c>
      <c r="AR53" s="1" t="s">
        <v>451</v>
      </c>
      <c r="AS53" s="1"/>
      <c r="AT53" s="1" t="s">
        <v>451</v>
      </c>
      <c r="AU53" s="1"/>
      <c r="AV53" s="1"/>
      <c r="AW53" s="1" t="s">
        <v>1672</v>
      </c>
      <c r="AX53" s="1" t="s">
        <v>1673</v>
      </c>
      <c r="AY53" s="14">
        <v>46178</v>
      </c>
      <c r="AZ53" s="3" t="s">
        <v>714</v>
      </c>
    </row>
    <row r="54" spans="1:52" x14ac:dyDescent="0.3">
      <c r="A54" s="1" t="s">
        <v>715</v>
      </c>
      <c r="B54" s="1" t="s">
        <v>46</v>
      </c>
      <c r="C54" s="1" t="s">
        <v>122</v>
      </c>
      <c r="D54" s="3" t="s">
        <v>574</v>
      </c>
      <c r="E54" s="11" t="s">
        <v>311</v>
      </c>
      <c r="F54" s="1" t="s">
        <v>485</v>
      </c>
      <c r="G54" s="1" t="s">
        <v>1674</v>
      </c>
      <c r="H54" s="1" t="s">
        <v>738</v>
      </c>
      <c r="I54" s="1" t="s">
        <v>452</v>
      </c>
      <c r="J54" s="1" t="s">
        <v>451</v>
      </c>
      <c r="K54" s="1" t="s">
        <v>452</v>
      </c>
      <c r="L54" s="1" t="s">
        <v>729</v>
      </c>
      <c r="M54" s="1" t="s">
        <v>452</v>
      </c>
      <c r="N54" s="1" t="s">
        <v>451</v>
      </c>
      <c r="O54" s="1"/>
      <c r="P54" s="1"/>
      <c r="Q54" s="1" t="s">
        <v>732</v>
      </c>
      <c r="R54" s="1"/>
      <c r="S54" s="1" t="s">
        <v>268</v>
      </c>
      <c r="T54" s="1" t="s">
        <v>451</v>
      </c>
      <c r="U54" s="1" t="s">
        <v>451</v>
      </c>
      <c r="V54" s="1" t="s">
        <v>451</v>
      </c>
      <c r="W54" s="1" t="s">
        <v>451</v>
      </c>
      <c r="X54" s="1"/>
      <c r="Y54" s="1"/>
      <c r="Z54" s="1" t="s">
        <v>452</v>
      </c>
      <c r="AA54" s="1" t="s">
        <v>734</v>
      </c>
      <c r="AB54" s="1" t="s">
        <v>451</v>
      </c>
      <c r="AC54" s="1" t="s">
        <v>451</v>
      </c>
      <c r="AD54" s="1"/>
      <c r="AE54" s="1"/>
      <c r="AF54" s="1" t="s">
        <v>451</v>
      </c>
      <c r="AG54" s="1" t="s">
        <v>451</v>
      </c>
      <c r="AH54" s="1"/>
      <c r="AI54" s="1"/>
      <c r="AK54" s="1" t="s">
        <v>463</v>
      </c>
      <c r="AL54" s="1" t="s">
        <v>451</v>
      </c>
      <c r="AM54" t="s">
        <v>452</v>
      </c>
      <c r="AN54" s="1" t="s">
        <v>451</v>
      </c>
      <c r="AO54" s="1" t="s">
        <v>737</v>
      </c>
      <c r="AP54" s="1"/>
      <c r="AQ54" s="1" t="s">
        <v>451</v>
      </c>
      <c r="AR54" s="1" t="s">
        <v>451</v>
      </c>
      <c r="AS54" s="1"/>
      <c r="AT54" s="1"/>
      <c r="AU54" s="1" t="s">
        <v>451</v>
      </c>
      <c r="AV54" s="1"/>
      <c r="AW54" s="1" t="s">
        <v>1675</v>
      </c>
      <c r="AX54" s="1" t="s">
        <v>1676</v>
      </c>
      <c r="AY54" s="14">
        <v>46178</v>
      </c>
      <c r="AZ54" s="3" t="s">
        <v>714</v>
      </c>
    </row>
    <row r="55" spans="1:52" x14ac:dyDescent="0.3">
      <c r="A55" s="1" t="s">
        <v>715</v>
      </c>
      <c r="B55" s="1" t="s">
        <v>47</v>
      </c>
      <c r="C55" s="1" t="s">
        <v>123</v>
      </c>
      <c r="D55" s="3" t="s">
        <v>573</v>
      </c>
      <c r="E55" s="11" t="s">
        <v>312</v>
      </c>
      <c r="F55" s="3" t="s">
        <v>490</v>
      </c>
      <c r="G55" s="1" t="s">
        <v>1677</v>
      </c>
      <c r="H55" s="1" t="s">
        <v>738</v>
      </c>
      <c r="I55" s="1" t="s">
        <v>452</v>
      </c>
      <c r="J55" s="1" t="s">
        <v>451</v>
      </c>
      <c r="K55" s="1" t="s">
        <v>452</v>
      </c>
      <c r="L55" s="1" t="s">
        <v>729</v>
      </c>
      <c r="M55" s="1" t="s">
        <v>452</v>
      </c>
      <c r="N55" s="1" t="s">
        <v>451</v>
      </c>
      <c r="O55" s="1"/>
      <c r="P55" s="1"/>
      <c r="Q55" s="1" t="s">
        <v>732</v>
      </c>
      <c r="R55" s="1" t="s">
        <v>451</v>
      </c>
      <c r="S55" s="1" t="s">
        <v>268</v>
      </c>
      <c r="T55" s="1" t="s">
        <v>451</v>
      </c>
      <c r="U55" s="1" t="s">
        <v>451</v>
      </c>
      <c r="V55" s="1" t="s">
        <v>451</v>
      </c>
      <c r="W55" s="1" t="s">
        <v>451</v>
      </c>
      <c r="X55" s="1"/>
      <c r="Y55" s="1" t="s">
        <v>451</v>
      </c>
      <c r="Z55" s="1" t="s">
        <v>452</v>
      </c>
      <c r="AB55" s="1" t="s">
        <v>451</v>
      </c>
      <c r="AC55" s="1" t="s">
        <v>451</v>
      </c>
      <c r="AD55" s="1"/>
      <c r="AE55" s="1"/>
      <c r="AF55" s="1" t="s">
        <v>451</v>
      </c>
      <c r="AG55" s="1"/>
      <c r="AH55" s="1"/>
      <c r="AI55" s="1" t="s">
        <v>451</v>
      </c>
      <c r="AL55" s="1" t="s">
        <v>451</v>
      </c>
      <c r="AM55" t="s">
        <v>452</v>
      </c>
      <c r="AN55" s="1" t="s">
        <v>451</v>
      </c>
      <c r="AO55" s="1" t="s">
        <v>737</v>
      </c>
      <c r="AP55" s="1"/>
      <c r="AQ55" s="1" t="s">
        <v>451</v>
      </c>
      <c r="AR55" s="1" t="s">
        <v>451</v>
      </c>
      <c r="AS55" s="1"/>
      <c r="AT55" s="1"/>
      <c r="AU55" s="1"/>
      <c r="AV55" s="1"/>
      <c r="AW55" s="1" t="s">
        <v>1678</v>
      </c>
      <c r="AX55" s="1" t="s">
        <v>1679</v>
      </c>
      <c r="AY55" s="14">
        <v>46178</v>
      </c>
      <c r="AZ55" s="3" t="s">
        <v>714</v>
      </c>
    </row>
    <row r="56" spans="1:52" x14ac:dyDescent="0.3">
      <c r="A56" s="1" t="s">
        <v>715</v>
      </c>
      <c r="B56" s="1" t="s">
        <v>48</v>
      </c>
      <c r="C56" s="1" t="s">
        <v>124</v>
      </c>
      <c r="D56" s="3" t="s">
        <v>572</v>
      </c>
      <c r="E56" s="11" t="s">
        <v>313</v>
      </c>
      <c r="F56" s="1" t="s">
        <v>1697</v>
      </c>
      <c r="G56" s="1" t="s">
        <v>1695</v>
      </c>
      <c r="H56" s="1" t="s">
        <v>738</v>
      </c>
      <c r="I56" s="1" t="s">
        <v>452</v>
      </c>
      <c r="J56" s="1" t="s">
        <v>451</v>
      </c>
      <c r="K56" s="1" t="s">
        <v>451</v>
      </c>
      <c r="L56" s="1" t="s">
        <v>729</v>
      </c>
      <c r="M56" s="1" t="s">
        <v>452</v>
      </c>
      <c r="N56" s="1" t="s">
        <v>451</v>
      </c>
      <c r="O56" s="1"/>
      <c r="P56" s="1"/>
      <c r="Q56" s="1" t="s">
        <v>732</v>
      </c>
      <c r="R56" s="1" t="s">
        <v>451</v>
      </c>
      <c r="S56" s="1" t="s">
        <v>1696</v>
      </c>
      <c r="T56" s="1" t="s">
        <v>451</v>
      </c>
      <c r="U56" s="1"/>
      <c r="V56" s="1" t="s">
        <v>451</v>
      </c>
      <c r="W56" s="1"/>
      <c r="X56" s="1"/>
      <c r="Y56" s="1"/>
      <c r="Z56" s="1" t="s">
        <v>452</v>
      </c>
      <c r="AB56" s="1" t="s">
        <v>451</v>
      </c>
      <c r="AC56" s="1" t="s">
        <v>451</v>
      </c>
      <c r="AD56" s="1"/>
      <c r="AE56" s="1"/>
      <c r="AF56" s="1" t="s">
        <v>451</v>
      </c>
      <c r="AG56" s="1" t="s">
        <v>451</v>
      </c>
      <c r="AH56" s="1"/>
      <c r="AI56" s="1"/>
      <c r="AK56" s="1" t="s">
        <v>464</v>
      </c>
      <c r="AL56" s="1" t="s">
        <v>451</v>
      </c>
      <c r="AM56" t="s">
        <v>452</v>
      </c>
      <c r="AN56" s="1" t="s">
        <v>451</v>
      </c>
      <c r="AO56" s="1" t="s">
        <v>737</v>
      </c>
      <c r="AP56" s="1"/>
      <c r="AQ56" s="1" t="s">
        <v>451</v>
      </c>
      <c r="AR56" s="1" t="s">
        <v>451</v>
      </c>
      <c r="AS56" s="1" t="s">
        <v>451</v>
      </c>
      <c r="AT56" s="1" t="s">
        <v>451</v>
      </c>
      <c r="AU56" s="1" t="s">
        <v>451</v>
      </c>
      <c r="AV56" s="1" t="s">
        <v>1792</v>
      </c>
      <c r="AW56" s="1" t="s">
        <v>1699</v>
      </c>
      <c r="AX56" s="1" t="s">
        <v>1698</v>
      </c>
      <c r="AY56" s="14">
        <v>46178</v>
      </c>
      <c r="AZ56" s="3" t="s">
        <v>714</v>
      </c>
    </row>
    <row r="57" spans="1:52" x14ac:dyDescent="0.3">
      <c r="A57" s="1" t="s">
        <v>715</v>
      </c>
      <c r="B57" s="1" t="s">
        <v>49</v>
      </c>
      <c r="C57" s="1" t="s">
        <v>125</v>
      </c>
      <c r="D57" s="3" t="s">
        <v>571</v>
      </c>
      <c r="E57" s="11" t="s">
        <v>314</v>
      </c>
      <c r="F57" s="1" t="s">
        <v>1720</v>
      </c>
      <c r="G57" s="1" t="s">
        <v>1719</v>
      </c>
      <c r="H57" s="1" t="s">
        <v>738</v>
      </c>
      <c r="I57" s="1" t="s">
        <v>452</v>
      </c>
      <c r="J57" s="1" t="s">
        <v>451</v>
      </c>
      <c r="K57" s="1" t="s">
        <v>451</v>
      </c>
      <c r="L57" s="1" t="s">
        <v>729</v>
      </c>
      <c r="M57" s="1" t="s">
        <v>451</v>
      </c>
      <c r="N57" s="1" t="s">
        <v>451</v>
      </c>
      <c r="O57" s="1"/>
      <c r="P57" s="1" t="s">
        <v>451</v>
      </c>
      <c r="Q57" s="1" t="s">
        <v>732</v>
      </c>
      <c r="R57" s="1" t="s">
        <v>451</v>
      </c>
      <c r="S57" s="1" t="s">
        <v>1721</v>
      </c>
      <c r="T57" s="1" t="s">
        <v>451</v>
      </c>
      <c r="U57" s="1" t="s">
        <v>451</v>
      </c>
      <c r="V57" s="1" t="s">
        <v>451</v>
      </c>
      <c r="W57" s="1"/>
      <c r="X57" s="1"/>
      <c r="Y57" s="1" t="s">
        <v>452</v>
      </c>
      <c r="Z57" s="1" t="s">
        <v>452</v>
      </c>
      <c r="AA57" s="1" t="s">
        <v>734</v>
      </c>
      <c r="AB57" s="1" t="s">
        <v>451</v>
      </c>
      <c r="AC57" s="1" t="s">
        <v>451</v>
      </c>
      <c r="AD57" s="1" t="s">
        <v>451</v>
      </c>
      <c r="AE57" s="1" t="s">
        <v>451</v>
      </c>
      <c r="AF57" s="1" t="s">
        <v>451</v>
      </c>
      <c r="AG57" s="1"/>
      <c r="AH57" s="1"/>
      <c r="AI57" s="1" t="s">
        <v>451</v>
      </c>
      <c r="AK57" s="1" t="s">
        <v>463</v>
      </c>
      <c r="AL57" s="1" t="s">
        <v>451</v>
      </c>
      <c r="AM57" t="s">
        <v>452</v>
      </c>
      <c r="AN57" s="1" t="s">
        <v>451</v>
      </c>
      <c r="AO57" s="1" t="s">
        <v>737</v>
      </c>
      <c r="AP57" s="1"/>
      <c r="AQ57" s="1" t="s">
        <v>451</v>
      </c>
      <c r="AR57" s="1" t="s">
        <v>451</v>
      </c>
      <c r="AS57" s="1"/>
      <c r="AT57" s="1"/>
      <c r="AU57" s="1"/>
      <c r="AV57" s="1"/>
      <c r="AW57" s="1" t="s">
        <v>1722</v>
      </c>
      <c r="AX57" s="1" t="s">
        <v>1723</v>
      </c>
      <c r="AY57" s="14">
        <v>46199</v>
      </c>
      <c r="AZ57" s="3" t="s">
        <v>714</v>
      </c>
    </row>
    <row r="58" spans="1:52" x14ac:dyDescent="0.3">
      <c r="A58" s="1" t="s">
        <v>715</v>
      </c>
      <c r="B58" s="1" t="s">
        <v>50</v>
      </c>
      <c r="C58" s="1" t="s">
        <v>126</v>
      </c>
      <c r="D58" s="3" t="s">
        <v>570</v>
      </c>
      <c r="E58" s="11" t="s">
        <v>315</v>
      </c>
      <c r="F58" s="1" t="s">
        <v>1727</v>
      </c>
      <c r="G58" s="1" t="s">
        <v>1724</v>
      </c>
      <c r="H58" s="1" t="s">
        <v>738</v>
      </c>
      <c r="I58" s="1" t="s">
        <v>452</v>
      </c>
      <c r="J58" s="1" t="s">
        <v>451</v>
      </c>
      <c r="K58" s="1" t="s">
        <v>451</v>
      </c>
      <c r="L58" s="1" t="s">
        <v>729</v>
      </c>
      <c r="M58" s="1" t="s">
        <v>452</v>
      </c>
      <c r="N58" s="1" t="s">
        <v>451</v>
      </c>
      <c r="O58" s="1"/>
      <c r="P58" s="1" t="s">
        <v>451</v>
      </c>
      <c r="Q58" s="1" t="s">
        <v>732</v>
      </c>
      <c r="R58" s="1"/>
      <c r="S58" s="1" t="s">
        <v>1726</v>
      </c>
      <c r="T58" s="1" t="s">
        <v>451</v>
      </c>
      <c r="U58" s="1"/>
      <c r="V58" s="1"/>
      <c r="W58" s="1"/>
      <c r="X58" s="1"/>
      <c r="Y58" s="1"/>
      <c r="Z58" s="1" t="s">
        <v>452</v>
      </c>
      <c r="AA58" s="1" t="s">
        <v>734</v>
      </c>
      <c r="AB58" s="1" t="s">
        <v>451</v>
      </c>
      <c r="AC58" s="1"/>
      <c r="AD58" s="1"/>
      <c r="AE58" s="1"/>
      <c r="AF58" s="1"/>
      <c r="AG58" s="1"/>
      <c r="AH58" s="1"/>
      <c r="AI58" s="1" t="s">
        <v>451</v>
      </c>
      <c r="AK58" s="1" t="s">
        <v>464</v>
      </c>
      <c r="AL58" s="1" t="s">
        <v>451</v>
      </c>
      <c r="AM58" s="1" t="s">
        <v>452</v>
      </c>
      <c r="AN58" s="1"/>
      <c r="AO58" s="1" t="s">
        <v>737</v>
      </c>
      <c r="AP58" s="1"/>
      <c r="AQ58" s="1" t="s">
        <v>451</v>
      </c>
      <c r="AR58" s="1" t="s">
        <v>451</v>
      </c>
      <c r="AS58" s="1"/>
      <c r="AT58" s="1"/>
      <c r="AU58" s="1"/>
      <c r="AV58" s="1"/>
      <c r="AW58" s="1" t="s">
        <v>1797</v>
      </c>
      <c r="AX58" s="1" t="s">
        <v>1725</v>
      </c>
      <c r="AY58" s="14">
        <v>46202</v>
      </c>
      <c r="AZ58" s="1" t="s">
        <v>714</v>
      </c>
    </row>
    <row r="59" spans="1:52" x14ac:dyDescent="0.3">
      <c r="A59" s="1" t="s">
        <v>715</v>
      </c>
      <c r="B59" s="1" t="s">
        <v>51</v>
      </c>
      <c r="C59" s="1" t="s">
        <v>127</v>
      </c>
      <c r="D59" s="3" t="s">
        <v>569</v>
      </c>
      <c r="E59" s="11" t="s">
        <v>316</v>
      </c>
      <c r="F59" s="1" t="s">
        <v>485</v>
      </c>
      <c r="G59" s="1" t="s">
        <v>1798</v>
      </c>
      <c r="H59" s="1" t="s">
        <v>738</v>
      </c>
      <c r="I59" s="1" t="s">
        <v>452</v>
      </c>
      <c r="J59" s="1" t="s">
        <v>451</v>
      </c>
      <c r="K59" s="1" t="s">
        <v>451</v>
      </c>
      <c r="L59" s="1"/>
      <c r="M59" s="1" t="s">
        <v>452</v>
      </c>
      <c r="N59" s="1" t="s">
        <v>451</v>
      </c>
      <c r="O59" s="1"/>
      <c r="P59" s="1"/>
      <c r="Q59" s="1" t="s">
        <v>732</v>
      </c>
      <c r="R59" s="1"/>
      <c r="S59" s="1" t="s">
        <v>1728</v>
      </c>
      <c r="T59" s="1" t="s">
        <v>451</v>
      </c>
      <c r="U59" s="1" t="s">
        <v>451</v>
      </c>
      <c r="V59" s="1"/>
      <c r="W59" s="1"/>
      <c r="X59" s="1"/>
      <c r="Y59" s="1"/>
      <c r="Z59" s="1" t="s">
        <v>452</v>
      </c>
      <c r="AA59" s="1" t="s">
        <v>734</v>
      </c>
      <c r="AB59" s="1" t="s">
        <v>451</v>
      </c>
      <c r="AC59" s="1"/>
      <c r="AD59" s="1"/>
      <c r="AE59" s="1"/>
      <c r="AF59" s="1" t="s">
        <v>451</v>
      </c>
      <c r="AG59" s="1"/>
      <c r="AH59" s="1"/>
      <c r="AI59" s="1" t="s">
        <v>451</v>
      </c>
      <c r="AK59" s="1" t="s">
        <v>464</v>
      </c>
      <c r="AL59" s="1" t="s">
        <v>451</v>
      </c>
      <c r="AM59" s="1" t="s">
        <v>452</v>
      </c>
      <c r="AN59" s="1"/>
      <c r="AO59" s="1" t="s">
        <v>737</v>
      </c>
      <c r="AP59" s="1"/>
      <c r="AQ59" s="1" t="s">
        <v>451</v>
      </c>
      <c r="AR59" s="1" t="s">
        <v>451</v>
      </c>
      <c r="AS59" s="1"/>
      <c r="AT59" s="1"/>
      <c r="AU59" s="1"/>
      <c r="AV59" s="1"/>
      <c r="AW59" s="1" t="s">
        <v>1730</v>
      </c>
      <c r="AX59" s="1" t="s">
        <v>1729</v>
      </c>
      <c r="AY59" s="14">
        <v>46202</v>
      </c>
      <c r="AZ59" s="1" t="s">
        <v>714</v>
      </c>
    </row>
    <row r="60" spans="1:52" x14ac:dyDescent="0.3">
      <c r="A60" s="1" t="s">
        <v>715</v>
      </c>
      <c r="B60" s="1" t="s">
        <v>52</v>
      </c>
      <c r="C60" s="1" t="s">
        <v>130</v>
      </c>
      <c r="D60" s="3" t="s">
        <v>567</v>
      </c>
      <c r="E60" s="3" t="s">
        <v>319</v>
      </c>
      <c r="F60" s="1" t="s">
        <v>1731</v>
      </c>
      <c r="G60" s="1" t="s">
        <v>1732</v>
      </c>
      <c r="H60" s="1" t="s">
        <v>738</v>
      </c>
      <c r="I60" s="1" t="s">
        <v>452</v>
      </c>
      <c r="J60" s="1" t="s">
        <v>451</v>
      </c>
      <c r="K60" s="1" t="s">
        <v>451</v>
      </c>
      <c r="L60" s="1" t="s">
        <v>729</v>
      </c>
      <c r="M60" s="1" t="s">
        <v>452</v>
      </c>
      <c r="N60" s="1" t="s">
        <v>451</v>
      </c>
      <c r="O60" s="1"/>
      <c r="P60" s="1"/>
      <c r="Q60" s="1" t="s">
        <v>732</v>
      </c>
      <c r="R60" s="1" t="s">
        <v>452</v>
      </c>
      <c r="S60" s="1" t="s">
        <v>1733</v>
      </c>
      <c r="T60" s="1" t="s">
        <v>451</v>
      </c>
      <c r="U60" s="1" t="s">
        <v>451</v>
      </c>
      <c r="V60" s="1"/>
      <c r="W60" s="1"/>
      <c r="X60" s="1"/>
      <c r="Y60" s="1"/>
      <c r="Z60" s="1" t="s">
        <v>452</v>
      </c>
      <c r="AB60" s="1" t="s">
        <v>451</v>
      </c>
      <c r="AC60" s="1"/>
      <c r="AD60" s="1"/>
      <c r="AE60" s="1"/>
      <c r="AF60" s="1"/>
      <c r="AG60" s="1"/>
      <c r="AH60" s="1"/>
      <c r="AI60" s="1" t="s">
        <v>451</v>
      </c>
      <c r="AK60" s="1" t="s">
        <v>464</v>
      </c>
      <c r="AL60" s="1"/>
      <c r="AM60" t="s">
        <v>452</v>
      </c>
      <c r="AN60" s="1"/>
      <c r="AO60" s="1"/>
      <c r="AP60" s="1"/>
      <c r="AQ60" s="1" t="s">
        <v>451</v>
      </c>
      <c r="AR60" s="1" t="s">
        <v>451</v>
      </c>
      <c r="AS60" s="1"/>
      <c r="AT60" s="1"/>
      <c r="AU60" s="1"/>
      <c r="AV60" s="1"/>
      <c r="AW60" s="1" t="s">
        <v>1734</v>
      </c>
      <c r="AX60" s="1" t="s">
        <v>1735</v>
      </c>
      <c r="AY60" s="14">
        <v>46203</v>
      </c>
      <c r="AZ60" s="1" t="s">
        <v>714</v>
      </c>
    </row>
    <row r="61" spans="1:52" x14ac:dyDescent="0.3">
      <c r="A61" s="1" t="s">
        <v>716</v>
      </c>
      <c r="B61" s="1" t="s">
        <v>53</v>
      </c>
      <c r="C61" s="1" t="s">
        <v>128</v>
      </c>
      <c r="D61" s="1" t="s">
        <v>128</v>
      </c>
      <c r="E61" s="11" t="s">
        <v>317</v>
      </c>
      <c r="H61" s="1" t="s">
        <v>738</v>
      </c>
      <c r="I61" s="1"/>
      <c r="J61" s="1"/>
      <c r="K61" s="1"/>
      <c r="L61" s="1"/>
      <c r="M61" s="1"/>
      <c r="N61" s="1"/>
      <c r="O61" s="1"/>
      <c r="P61" s="1"/>
      <c r="Q61" s="1"/>
      <c r="R61" s="1"/>
      <c r="T61" s="1"/>
      <c r="U61" s="1"/>
      <c r="V61" s="1"/>
      <c r="W61" s="1"/>
      <c r="X61" s="1"/>
      <c r="Y61" s="1"/>
      <c r="Z61" s="1"/>
      <c r="AB61" s="1"/>
      <c r="AC61" s="1"/>
      <c r="AD61" s="1"/>
      <c r="AE61" s="1"/>
      <c r="AF61" s="1"/>
      <c r="AG61" s="1"/>
      <c r="AH61" s="1"/>
      <c r="AI61" s="1"/>
      <c r="AL61" s="1"/>
      <c r="AN61" s="1"/>
      <c r="AO61" s="1"/>
      <c r="AP61" s="1"/>
      <c r="AQ61" s="1"/>
      <c r="AR61" s="1"/>
      <c r="AS61" s="1"/>
      <c r="AT61" s="1"/>
      <c r="AU61" s="1"/>
      <c r="AV61" s="1"/>
    </row>
    <row r="62" spans="1:52" x14ac:dyDescent="0.3">
      <c r="A62" s="1" t="s">
        <v>716</v>
      </c>
      <c r="B62" s="1" t="s">
        <v>54</v>
      </c>
      <c r="C62" s="1" t="s">
        <v>129</v>
      </c>
      <c r="D62" s="3" t="s">
        <v>568</v>
      </c>
      <c r="E62" s="11" t="s">
        <v>318</v>
      </c>
      <c r="H62" s="1" t="s">
        <v>738</v>
      </c>
      <c r="I62" s="1"/>
      <c r="J62" s="1"/>
      <c r="K62" s="1"/>
      <c r="L62" s="1"/>
      <c r="M62" s="1"/>
      <c r="N62" s="1"/>
      <c r="O62" s="1"/>
      <c r="P62" s="1"/>
      <c r="Q62" s="1"/>
      <c r="R62" s="1"/>
      <c r="T62" s="1"/>
      <c r="U62" s="1"/>
      <c r="V62" s="1"/>
      <c r="W62" s="1"/>
      <c r="X62" s="1"/>
      <c r="Y62" s="1"/>
      <c r="Z62" s="1"/>
      <c r="AB62" s="1"/>
      <c r="AC62" s="1"/>
      <c r="AD62" s="1"/>
      <c r="AE62" s="1"/>
      <c r="AF62" s="1"/>
      <c r="AG62" s="1"/>
      <c r="AH62" s="1"/>
      <c r="AI62" s="1"/>
      <c r="AL62" s="1"/>
      <c r="AN62" s="1"/>
      <c r="AO62" s="1"/>
      <c r="AP62" s="1"/>
      <c r="AQ62" s="1"/>
      <c r="AR62" s="1"/>
      <c r="AS62" s="1"/>
      <c r="AT62" s="1"/>
      <c r="AU62" s="1"/>
      <c r="AV62" s="1"/>
    </row>
    <row r="63" spans="1:52" x14ac:dyDescent="0.3">
      <c r="A63" s="1" t="s">
        <v>716</v>
      </c>
      <c r="B63" s="1" t="s">
        <v>55</v>
      </c>
      <c r="C63" s="1" t="s">
        <v>131</v>
      </c>
      <c r="E63" s="3" t="s">
        <v>320</v>
      </c>
      <c r="H63" s="1" t="s">
        <v>738</v>
      </c>
      <c r="I63" s="1"/>
      <c r="J63" s="1"/>
      <c r="K63" s="1"/>
      <c r="L63" s="1"/>
      <c r="M63" s="1"/>
      <c r="N63" s="1"/>
      <c r="O63" s="1"/>
      <c r="P63" s="1"/>
      <c r="Q63" s="1"/>
      <c r="R63" s="1"/>
      <c r="T63" s="1"/>
      <c r="U63" s="1"/>
      <c r="V63" s="1"/>
      <c r="W63" s="1"/>
      <c r="X63" s="1"/>
      <c r="Y63" s="1"/>
      <c r="Z63" s="1"/>
      <c r="AB63" s="1"/>
      <c r="AC63" s="1"/>
      <c r="AD63" s="1"/>
      <c r="AE63" s="1"/>
      <c r="AF63" s="1"/>
      <c r="AG63" s="1"/>
      <c r="AH63" s="1"/>
      <c r="AI63" s="1"/>
      <c r="AL63" s="1"/>
      <c r="AN63" s="1"/>
      <c r="AO63" s="1"/>
      <c r="AP63" s="1"/>
      <c r="AQ63" s="1"/>
      <c r="AR63" s="1"/>
      <c r="AS63" s="1"/>
      <c r="AT63" s="1"/>
      <c r="AU63" s="1"/>
      <c r="AV63" s="1"/>
    </row>
    <row r="64" spans="1:52" x14ac:dyDescent="0.3">
      <c r="A64" s="1" t="s">
        <v>716</v>
      </c>
      <c r="B64" s="1" t="s">
        <v>56</v>
      </c>
      <c r="C64" s="1" t="s">
        <v>132</v>
      </c>
      <c r="D64" s="3" t="s">
        <v>566</v>
      </c>
      <c r="E64" s="3" t="s">
        <v>321</v>
      </c>
      <c r="H64" s="1" t="s">
        <v>738</v>
      </c>
      <c r="I64" s="1"/>
      <c r="J64" s="1"/>
      <c r="K64" s="1"/>
      <c r="L64" s="1"/>
      <c r="M64" s="1"/>
      <c r="N64" s="1"/>
      <c r="O64" s="1"/>
      <c r="P64" s="1"/>
      <c r="Q64" s="1"/>
      <c r="R64" s="1"/>
      <c r="T64" s="1"/>
      <c r="U64" s="1"/>
      <c r="V64" s="1"/>
      <c r="W64" s="1"/>
      <c r="X64" s="1"/>
      <c r="Y64" s="1"/>
      <c r="Z64" s="1"/>
      <c r="AB64" s="1"/>
      <c r="AC64" s="1"/>
      <c r="AD64" s="1"/>
      <c r="AE64" s="1"/>
      <c r="AF64" s="1"/>
      <c r="AG64" s="1"/>
      <c r="AH64" s="1"/>
      <c r="AI64" s="1"/>
      <c r="AL64" s="1"/>
      <c r="AN64" s="1"/>
      <c r="AO64" s="1"/>
      <c r="AP64" s="1"/>
      <c r="AQ64" s="1"/>
      <c r="AR64" s="1"/>
      <c r="AS64" s="1"/>
      <c r="AT64" s="1"/>
      <c r="AU64" s="1"/>
      <c r="AV64" s="1"/>
    </row>
    <row r="65" spans="1:48" x14ac:dyDescent="0.3">
      <c r="A65" s="1" t="s">
        <v>716</v>
      </c>
      <c r="B65" s="1" t="s">
        <v>57</v>
      </c>
      <c r="C65" s="1" t="s">
        <v>133</v>
      </c>
      <c r="D65" s="3" t="s">
        <v>253</v>
      </c>
      <c r="E65" s="11" t="s">
        <v>322</v>
      </c>
      <c r="H65" s="1" t="s">
        <v>738</v>
      </c>
      <c r="I65" s="1"/>
      <c r="J65" s="1"/>
      <c r="K65" s="1"/>
      <c r="L65" s="1"/>
      <c r="M65" s="1"/>
      <c r="N65" s="1"/>
      <c r="O65" s="1"/>
      <c r="P65" s="1"/>
      <c r="Q65" s="1"/>
      <c r="R65" s="1"/>
      <c r="T65" s="1"/>
      <c r="U65" s="1"/>
      <c r="V65" s="1"/>
      <c r="W65" s="1"/>
      <c r="X65" s="1"/>
      <c r="Y65" s="1"/>
      <c r="Z65" s="1"/>
      <c r="AB65" s="1"/>
      <c r="AC65" s="1"/>
      <c r="AD65" s="1"/>
      <c r="AE65" s="1"/>
      <c r="AF65" s="1"/>
      <c r="AG65" s="1"/>
      <c r="AH65" s="1"/>
      <c r="AI65" s="1"/>
      <c r="AL65" s="1"/>
      <c r="AN65" s="1"/>
      <c r="AO65" s="1"/>
      <c r="AP65" s="1"/>
      <c r="AQ65" s="1"/>
      <c r="AR65" s="1"/>
      <c r="AS65" s="1"/>
      <c r="AT65" s="1"/>
      <c r="AU65" s="1"/>
      <c r="AV65" s="1"/>
    </row>
    <row r="66" spans="1:48" x14ac:dyDescent="0.3">
      <c r="A66" s="1" t="s">
        <v>716</v>
      </c>
      <c r="B66" s="1" t="s">
        <v>58</v>
      </c>
      <c r="C66" s="1" t="s">
        <v>134</v>
      </c>
      <c r="D66" s="3" t="s">
        <v>565</v>
      </c>
      <c r="E66" s="3" t="s">
        <v>323</v>
      </c>
      <c r="H66" s="1" t="s">
        <v>738</v>
      </c>
      <c r="I66" s="1"/>
      <c r="J66" s="1"/>
      <c r="K66" s="1"/>
      <c r="L66" s="1"/>
      <c r="M66" s="1"/>
      <c r="N66" s="1"/>
      <c r="O66" s="1"/>
      <c r="P66" s="1"/>
      <c r="Q66" s="1"/>
      <c r="R66" s="1"/>
      <c r="T66" s="1"/>
      <c r="U66" s="1"/>
      <c r="V66" s="1"/>
      <c r="W66" s="1"/>
      <c r="X66" s="1"/>
      <c r="Y66" s="1"/>
      <c r="Z66" s="1"/>
      <c r="AB66" s="1"/>
      <c r="AC66" s="1"/>
      <c r="AD66" s="1"/>
      <c r="AE66" s="1"/>
      <c r="AF66" s="1"/>
      <c r="AG66" s="1"/>
      <c r="AH66" s="1"/>
      <c r="AI66" s="1"/>
      <c r="AL66" s="1"/>
      <c r="AN66" s="1"/>
      <c r="AO66" s="1"/>
      <c r="AP66" s="1"/>
      <c r="AQ66" s="1"/>
      <c r="AR66" s="1"/>
      <c r="AS66" s="1"/>
      <c r="AT66" s="1"/>
      <c r="AU66" s="1"/>
      <c r="AV66" s="1"/>
    </row>
    <row r="67" spans="1:48" x14ac:dyDescent="0.3">
      <c r="A67" s="1" t="s">
        <v>716</v>
      </c>
      <c r="B67" s="1" t="s">
        <v>59</v>
      </c>
      <c r="C67" s="1" t="s">
        <v>135</v>
      </c>
      <c r="D67" s="3" t="s">
        <v>564</v>
      </c>
      <c r="E67" s="3" t="s">
        <v>324</v>
      </c>
      <c r="H67" s="1" t="s">
        <v>738</v>
      </c>
      <c r="I67" s="1"/>
      <c r="J67" s="1"/>
      <c r="K67" s="1"/>
      <c r="L67" s="1"/>
      <c r="M67" s="1"/>
      <c r="N67" s="1"/>
      <c r="O67" s="1"/>
      <c r="P67" s="1"/>
      <c r="Q67" s="1"/>
      <c r="R67" s="1"/>
      <c r="T67" s="1"/>
      <c r="U67" s="1"/>
      <c r="V67" s="1"/>
      <c r="W67" s="1"/>
      <c r="X67" s="1"/>
      <c r="Y67" s="1"/>
      <c r="Z67" s="1"/>
      <c r="AB67" s="1"/>
      <c r="AC67" s="1"/>
      <c r="AD67" s="1"/>
      <c r="AE67" s="1"/>
      <c r="AF67" s="1"/>
      <c r="AG67" s="1"/>
      <c r="AH67" s="1"/>
      <c r="AI67" s="1"/>
      <c r="AL67" s="1"/>
      <c r="AN67" s="1"/>
      <c r="AO67" s="1"/>
      <c r="AP67" s="1"/>
      <c r="AQ67" s="1"/>
      <c r="AR67" s="1"/>
      <c r="AS67" s="1"/>
      <c r="AT67" s="1"/>
      <c r="AU67" s="1"/>
      <c r="AV67" s="1"/>
    </row>
    <row r="68" spans="1:48" x14ac:dyDescent="0.3">
      <c r="A68" s="1" t="s">
        <v>716</v>
      </c>
      <c r="B68" s="1" t="s">
        <v>60</v>
      </c>
      <c r="C68" s="1" t="s">
        <v>136</v>
      </c>
      <c r="E68" s="3" t="s">
        <v>325</v>
      </c>
      <c r="H68" s="1" t="s">
        <v>738</v>
      </c>
      <c r="I68" s="1"/>
      <c r="J68" s="1"/>
      <c r="K68" s="1"/>
      <c r="L68" s="1"/>
      <c r="M68" s="1"/>
      <c r="N68" s="1"/>
      <c r="O68" s="1"/>
      <c r="P68" s="1"/>
      <c r="Q68" s="1"/>
      <c r="R68" s="1"/>
      <c r="T68" s="1"/>
      <c r="U68" s="1"/>
      <c r="V68" s="1"/>
      <c r="W68" s="1"/>
      <c r="X68" s="1"/>
      <c r="Y68" s="1"/>
      <c r="Z68" s="1"/>
      <c r="AB68" s="1"/>
      <c r="AC68" s="1"/>
      <c r="AD68" s="1"/>
      <c r="AE68" s="1"/>
      <c r="AF68" s="1"/>
      <c r="AG68" s="1"/>
      <c r="AH68" s="1"/>
      <c r="AI68" s="1"/>
      <c r="AL68" s="1"/>
      <c r="AN68" s="1"/>
      <c r="AO68" s="1"/>
      <c r="AP68" s="1"/>
      <c r="AQ68" s="1"/>
      <c r="AR68" s="1"/>
      <c r="AS68" s="1"/>
      <c r="AT68" s="1"/>
      <c r="AU68" s="1"/>
      <c r="AV68" s="1"/>
    </row>
    <row r="69" spans="1:48" x14ac:dyDescent="0.3">
      <c r="A69" s="1" t="s">
        <v>716</v>
      </c>
      <c r="B69" s="1" t="s">
        <v>61</v>
      </c>
      <c r="C69" s="1" t="s">
        <v>137</v>
      </c>
      <c r="E69" s="3" t="s">
        <v>326</v>
      </c>
      <c r="H69" s="1" t="s">
        <v>738</v>
      </c>
      <c r="I69" s="1"/>
      <c r="J69" s="1"/>
      <c r="K69" s="1"/>
      <c r="L69" s="1"/>
      <c r="M69" s="1"/>
      <c r="N69" s="1"/>
      <c r="O69" s="1"/>
      <c r="P69" s="1"/>
      <c r="Q69" s="1"/>
      <c r="R69" s="1"/>
      <c r="T69" s="1"/>
      <c r="U69" s="1"/>
      <c r="V69" s="1"/>
      <c r="W69" s="1"/>
      <c r="X69" s="1"/>
      <c r="Y69" s="1"/>
      <c r="Z69" s="1"/>
      <c r="AB69" s="1"/>
      <c r="AC69" s="1"/>
      <c r="AD69" s="1"/>
      <c r="AE69" s="1"/>
      <c r="AF69" s="1"/>
      <c r="AG69" s="1"/>
      <c r="AH69" s="1"/>
      <c r="AI69" s="1"/>
      <c r="AL69" s="1"/>
      <c r="AN69" s="1"/>
      <c r="AO69" s="1"/>
      <c r="AP69" s="1"/>
      <c r="AQ69" s="1"/>
      <c r="AR69" s="1"/>
      <c r="AS69" s="1"/>
      <c r="AT69" s="1"/>
      <c r="AU69" s="1"/>
      <c r="AV69" s="1"/>
    </row>
    <row r="70" spans="1:48" x14ac:dyDescent="0.3">
      <c r="A70" s="1" t="s">
        <v>716</v>
      </c>
      <c r="B70" s="1" t="s">
        <v>62</v>
      </c>
      <c r="C70" s="1" t="s">
        <v>138</v>
      </c>
      <c r="D70" s="3" t="s">
        <v>563</v>
      </c>
      <c r="E70" s="3" t="s">
        <v>327</v>
      </c>
      <c r="H70" s="1" t="s">
        <v>738</v>
      </c>
      <c r="I70" s="1"/>
      <c r="J70" s="1"/>
      <c r="K70" s="1"/>
      <c r="L70" s="1"/>
      <c r="M70" s="1"/>
      <c r="N70" s="1"/>
      <c r="O70" s="1"/>
      <c r="P70" s="1"/>
      <c r="Q70" s="1"/>
      <c r="R70" s="1"/>
      <c r="T70" s="1"/>
      <c r="U70" s="1"/>
      <c r="V70" s="1"/>
      <c r="W70" s="1"/>
      <c r="X70" s="1"/>
      <c r="Y70" s="1"/>
      <c r="Z70" s="1"/>
      <c r="AB70" s="1"/>
      <c r="AC70" s="1"/>
      <c r="AD70" s="1"/>
      <c r="AE70" s="1"/>
      <c r="AF70" s="1"/>
      <c r="AG70" s="1"/>
      <c r="AH70" s="1"/>
      <c r="AI70" s="1"/>
      <c r="AL70" s="1"/>
      <c r="AN70" s="1"/>
      <c r="AO70" s="1"/>
      <c r="AP70" s="1"/>
      <c r="AQ70" s="1"/>
      <c r="AR70" s="1"/>
      <c r="AS70" s="1"/>
      <c r="AT70" s="1"/>
      <c r="AU70" s="1"/>
      <c r="AV70" s="1"/>
    </row>
    <row r="71" spans="1:48" x14ac:dyDescent="0.3">
      <c r="A71" s="1" t="s">
        <v>716</v>
      </c>
      <c r="B71" s="1" t="s">
        <v>63</v>
      </c>
      <c r="C71" s="1" t="s">
        <v>139</v>
      </c>
      <c r="E71" s="3" t="s">
        <v>328</v>
      </c>
      <c r="H71" s="1" t="s">
        <v>738</v>
      </c>
      <c r="I71" s="1"/>
      <c r="J71" s="1"/>
      <c r="K71" s="1"/>
      <c r="L71" s="1"/>
      <c r="M71" s="1"/>
      <c r="N71" s="1"/>
      <c r="O71" s="1"/>
      <c r="P71" s="1"/>
      <c r="Q71" s="1"/>
      <c r="R71" s="1"/>
      <c r="T71" s="1"/>
      <c r="U71" s="1"/>
      <c r="V71" s="1"/>
      <c r="W71" s="1"/>
      <c r="X71" s="1"/>
      <c r="Y71" s="1"/>
      <c r="Z71" s="1"/>
      <c r="AB71" s="1"/>
      <c r="AC71" s="1"/>
      <c r="AD71" s="1"/>
      <c r="AE71" s="1"/>
      <c r="AF71" s="1"/>
      <c r="AG71" s="1"/>
      <c r="AH71" s="1"/>
      <c r="AI71" s="1"/>
      <c r="AL71" s="1"/>
      <c r="AN71" s="1"/>
      <c r="AO71" s="1"/>
      <c r="AP71" s="1"/>
      <c r="AQ71" s="1"/>
      <c r="AR71" s="1"/>
      <c r="AS71" s="1"/>
      <c r="AT71" s="1"/>
      <c r="AU71" s="1"/>
      <c r="AV71" s="1"/>
    </row>
    <row r="72" spans="1:48" x14ac:dyDescent="0.3">
      <c r="A72" s="1" t="s">
        <v>716</v>
      </c>
      <c r="B72" s="1" t="s">
        <v>64</v>
      </c>
      <c r="C72" s="1" t="s">
        <v>140</v>
      </c>
      <c r="D72" s="3" t="s">
        <v>562</v>
      </c>
      <c r="E72" s="11" t="s">
        <v>329</v>
      </c>
      <c r="H72" s="1" t="s">
        <v>738</v>
      </c>
      <c r="I72" s="1"/>
      <c r="J72" s="1"/>
      <c r="K72" s="1"/>
      <c r="L72" s="1"/>
      <c r="M72" s="1"/>
      <c r="N72" s="1"/>
      <c r="O72" s="1"/>
      <c r="P72" s="1"/>
      <c r="Q72" s="1"/>
      <c r="R72" s="1"/>
      <c r="T72" s="1"/>
      <c r="U72" s="1"/>
      <c r="V72" s="1"/>
      <c r="W72" s="1"/>
      <c r="X72" s="1"/>
      <c r="Y72" s="1"/>
      <c r="Z72" s="1"/>
      <c r="AB72" s="1"/>
      <c r="AC72" s="1"/>
      <c r="AD72" s="1"/>
      <c r="AE72" s="1"/>
      <c r="AF72" s="1"/>
      <c r="AG72" s="1"/>
      <c r="AH72" s="1"/>
      <c r="AI72" s="1"/>
      <c r="AL72" s="1"/>
      <c r="AN72" s="1"/>
      <c r="AO72" s="1"/>
      <c r="AP72" s="1"/>
      <c r="AQ72" s="1"/>
      <c r="AR72" s="1"/>
      <c r="AS72" s="1"/>
      <c r="AT72" s="1"/>
      <c r="AU72" s="1"/>
      <c r="AV72" s="1"/>
    </row>
    <row r="73" spans="1:48" x14ac:dyDescent="0.3">
      <c r="A73" s="1" t="s">
        <v>716</v>
      </c>
      <c r="B73" s="1" t="s">
        <v>65</v>
      </c>
      <c r="C73" s="1" t="s">
        <v>1800</v>
      </c>
      <c r="D73" s="3" t="s">
        <v>561</v>
      </c>
      <c r="E73" s="3" t="s">
        <v>330</v>
      </c>
      <c r="H73" s="1" t="s">
        <v>738</v>
      </c>
      <c r="I73" s="1"/>
      <c r="J73" s="1"/>
      <c r="K73" s="1"/>
      <c r="L73" s="1"/>
      <c r="M73" s="1"/>
      <c r="N73" s="1"/>
      <c r="O73" s="1"/>
      <c r="P73" s="1"/>
      <c r="Q73" s="1"/>
      <c r="R73" s="1"/>
      <c r="T73" s="1"/>
      <c r="U73" s="1"/>
      <c r="V73" s="1"/>
      <c r="W73" s="1"/>
      <c r="X73" s="1"/>
      <c r="Y73" s="1"/>
      <c r="Z73" s="1"/>
      <c r="AB73" s="1"/>
      <c r="AC73" s="1"/>
      <c r="AD73" s="1"/>
      <c r="AE73" s="1"/>
      <c r="AF73" s="1"/>
      <c r="AG73" s="1"/>
      <c r="AH73" s="1"/>
      <c r="AI73" s="1"/>
      <c r="AL73" s="1"/>
      <c r="AN73" s="1"/>
      <c r="AO73" s="1"/>
      <c r="AP73" s="1"/>
      <c r="AQ73" s="1"/>
      <c r="AR73" s="1"/>
      <c r="AS73" s="1"/>
      <c r="AT73" s="1"/>
      <c r="AU73" s="1"/>
      <c r="AV73" s="1"/>
    </row>
    <row r="74" spans="1:48" x14ac:dyDescent="0.3">
      <c r="A74" s="1" t="s">
        <v>716</v>
      </c>
      <c r="B74" s="1" t="s">
        <v>66</v>
      </c>
      <c r="C74" s="1" t="s">
        <v>141</v>
      </c>
      <c r="D74" s="3" t="s">
        <v>560</v>
      </c>
      <c r="E74" s="3" t="s">
        <v>331</v>
      </c>
      <c r="H74" s="1" t="s">
        <v>738</v>
      </c>
      <c r="I74" s="1"/>
      <c r="J74" s="1"/>
      <c r="K74" s="1"/>
      <c r="L74" s="1"/>
      <c r="M74" s="1"/>
      <c r="N74" s="1"/>
      <c r="O74" s="1"/>
      <c r="P74" s="1"/>
      <c r="Q74" s="1"/>
      <c r="R74" s="1"/>
      <c r="T74" s="1"/>
      <c r="U74" s="1"/>
      <c r="V74" s="1"/>
      <c r="W74" s="1"/>
      <c r="X74" s="1"/>
      <c r="Y74" s="1"/>
      <c r="Z74" s="1"/>
      <c r="AB74" s="1"/>
      <c r="AC74" s="1"/>
      <c r="AD74" s="1"/>
      <c r="AE74" s="1"/>
      <c r="AF74" s="1"/>
      <c r="AG74" s="1"/>
      <c r="AH74" s="1"/>
      <c r="AI74" s="1"/>
      <c r="AL74" s="1"/>
      <c r="AN74" s="1"/>
      <c r="AO74" s="1"/>
      <c r="AP74" s="1"/>
      <c r="AQ74" s="1"/>
      <c r="AR74" s="1"/>
      <c r="AS74" s="1"/>
      <c r="AT74" s="1"/>
      <c r="AU74" s="1"/>
      <c r="AV74" s="1"/>
    </row>
    <row r="75" spans="1:48" x14ac:dyDescent="0.3">
      <c r="A75" s="1" t="s">
        <v>716</v>
      </c>
      <c r="B75" s="1" t="s">
        <v>67</v>
      </c>
      <c r="C75" s="1" t="s">
        <v>142</v>
      </c>
      <c r="D75" s="3" t="s">
        <v>559</v>
      </c>
      <c r="E75" s="3" t="s">
        <v>332</v>
      </c>
      <c r="H75" s="1" t="s">
        <v>738</v>
      </c>
      <c r="I75" s="1"/>
      <c r="J75" s="1"/>
      <c r="K75" s="1"/>
      <c r="L75" s="1"/>
      <c r="M75" s="1"/>
      <c r="N75" s="1"/>
      <c r="O75" s="1"/>
      <c r="P75" s="1"/>
      <c r="Q75" s="1"/>
      <c r="R75" s="1"/>
      <c r="T75" s="1"/>
      <c r="U75" s="1"/>
      <c r="V75" s="1"/>
      <c r="W75" s="1"/>
      <c r="X75" s="1"/>
      <c r="Y75" s="1"/>
      <c r="Z75" s="1"/>
      <c r="AB75" s="1"/>
      <c r="AC75" s="1"/>
      <c r="AD75" s="1"/>
      <c r="AE75" s="1"/>
      <c r="AF75" s="1"/>
      <c r="AG75" s="1"/>
      <c r="AH75" s="1"/>
      <c r="AI75" s="1"/>
      <c r="AL75" s="1"/>
      <c r="AN75" s="1"/>
      <c r="AO75" s="1"/>
      <c r="AP75" s="1"/>
      <c r="AQ75" s="1"/>
      <c r="AR75" s="1"/>
      <c r="AS75" s="1"/>
      <c r="AT75" s="1"/>
      <c r="AU75" s="1"/>
      <c r="AV75" s="1"/>
    </row>
    <row r="76" spans="1:48" x14ac:dyDescent="0.3">
      <c r="A76" s="1" t="s">
        <v>716</v>
      </c>
      <c r="B76" s="1" t="s">
        <v>68</v>
      </c>
      <c r="C76" s="1" t="s">
        <v>143</v>
      </c>
      <c r="D76" s="3" t="s">
        <v>208</v>
      </c>
      <c r="E76" s="3" t="s">
        <v>333</v>
      </c>
      <c r="H76" s="1" t="s">
        <v>738</v>
      </c>
      <c r="I76" s="1"/>
      <c r="J76" s="1"/>
      <c r="K76" s="1"/>
      <c r="L76" s="1"/>
      <c r="M76" s="1"/>
      <c r="N76" s="1"/>
      <c r="O76" s="1"/>
      <c r="P76" s="1"/>
      <c r="Q76" s="1"/>
      <c r="R76" s="1"/>
      <c r="T76" s="1"/>
      <c r="U76" s="1"/>
      <c r="V76" s="1"/>
      <c r="W76" s="1"/>
      <c r="X76" s="1"/>
      <c r="Y76" s="1"/>
      <c r="Z76" s="1"/>
      <c r="AB76" s="1"/>
      <c r="AC76" s="1"/>
      <c r="AD76" s="1"/>
      <c r="AE76" s="1"/>
      <c r="AF76" s="1"/>
      <c r="AG76" s="1"/>
      <c r="AH76" s="1"/>
      <c r="AI76" s="1"/>
      <c r="AL76" s="1"/>
      <c r="AN76" s="1"/>
      <c r="AO76" s="1"/>
      <c r="AP76" s="1"/>
      <c r="AQ76" s="1"/>
      <c r="AR76" s="1"/>
      <c r="AS76" s="1"/>
      <c r="AT76" s="1"/>
      <c r="AU76" s="1"/>
      <c r="AV76" s="1"/>
    </row>
    <row r="77" spans="1:48" x14ac:dyDescent="0.3">
      <c r="A77" s="1" t="s">
        <v>716</v>
      </c>
      <c r="B77" s="1" t="s">
        <v>69</v>
      </c>
      <c r="C77" s="1" t="s">
        <v>144</v>
      </c>
      <c r="D77" s="3" t="s">
        <v>209</v>
      </c>
      <c r="E77" s="11" t="s">
        <v>334</v>
      </c>
      <c r="H77" s="1" t="s">
        <v>738</v>
      </c>
      <c r="I77" s="1"/>
      <c r="J77" s="1"/>
      <c r="K77" s="1"/>
      <c r="L77" s="1"/>
      <c r="M77" s="1"/>
      <c r="N77" s="1"/>
      <c r="O77" s="1"/>
      <c r="P77" s="1"/>
      <c r="Q77" s="1"/>
      <c r="R77" s="1"/>
      <c r="T77" s="1"/>
      <c r="U77" s="1"/>
      <c r="V77" s="1"/>
      <c r="W77" s="1"/>
      <c r="X77" s="1"/>
      <c r="Y77" s="1"/>
      <c r="Z77" s="1"/>
      <c r="AB77" s="1"/>
      <c r="AC77" s="1"/>
      <c r="AD77" s="1"/>
      <c r="AE77" s="1"/>
      <c r="AF77" s="1"/>
      <c r="AG77" s="1"/>
      <c r="AH77" s="1"/>
      <c r="AI77" s="1"/>
      <c r="AL77" s="1"/>
      <c r="AN77" s="1"/>
      <c r="AO77" s="1"/>
      <c r="AP77" s="1"/>
      <c r="AQ77" s="1"/>
      <c r="AR77" s="1"/>
      <c r="AS77" s="1"/>
      <c r="AT77" s="1"/>
      <c r="AU77" s="1"/>
      <c r="AV77" s="1"/>
    </row>
    <row r="78" spans="1:48" x14ac:dyDescent="0.3">
      <c r="A78" s="1" t="s">
        <v>716</v>
      </c>
      <c r="B78" s="1" t="s">
        <v>70</v>
      </c>
      <c r="C78" s="1" t="s">
        <v>145</v>
      </c>
      <c r="D78" s="3" t="s">
        <v>210</v>
      </c>
      <c r="E78" s="3" t="s">
        <v>335</v>
      </c>
      <c r="H78" s="1" t="s">
        <v>738</v>
      </c>
      <c r="I78" s="1"/>
      <c r="J78" s="1"/>
      <c r="K78" s="1"/>
      <c r="L78" s="1"/>
      <c r="M78" s="1"/>
      <c r="N78" s="1"/>
      <c r="O78" s="1"/>
      <c r="P78" s="1"/>
      <c r="Q78" s="1"/>
      <c r="R78" s="1"/>
      <c r="T78" s="1"/>
      <c r="U78" s="1"/>
      <c r="V78" s="1"/>
      <c r="W78" s="1"/>
      <c r="X78" s="1"/>
      <c r="Y78" s="1"/>
      <c r="Z78" s="1"/>
      <c r="AB78" s="1"/>
      <c r="AC78" s="1"/>
      <c r="AD78" s="1"/>
      <c r="AE78" s="1"/>
      <c r="AF78" s="1"/>
      <c r="AG78" s="1"/>
      <c r="AH78" s="1"/>
      <c r="AI78" s="1"/>
      <c r="AL78" s="1"/>
      <c r="AN78" s="1"/>
      <c r="AO78" s="1"/>
      <c r="AP78" s="1"/>
      <c r="AQ78" s="1"/>
      <c r="AR78" s="1"/>
      <c r="AS78" s="1"/>
      <c r="AT78" s="1"/>
      <c r="AU78" s="1"/>
      <c r="AV78" s="1"/>
    </row>
    <row r="79" spans="1:48" x14ac:dyDescent="0.3">
      <c r="A79" s="1" t="s">
        <v>716</v>
      </c>
      <c r="B79" s="1" t="s">
        <v>71</v>
      </c>
      <c r="C79" s="1" t="s">
        <v>146</v>
      </c>
      <c r="D79" s="3" t="s">
        <v>211</v>
      </c>
      <c r="E79" s="3" t="s">
        <v>336</v>
      </c>
      <c r="H79" s="1" t="s">
        <v>738</v>
      </c>
      <c r="I79" s="1"/>
      <c r="J79" s="1"/>
      <c r="K79" s="1"/>
      <c r="L79" s="1"/>
      <c r="M79" s="1"/>
      <c r="N79" s="1"/>
      <c r="O79" s="1"/>
      <c r="P79" s="1"/>
      <c r="Q79" s="1"/>
      <c r="R79" s="1"/>
      <c r="T79" s="1"/>
      <c r="U79" s="1"/>
      <c r="V79" s="1"/>
      <c r="W79" s="1"/>
      <c r="X79" s="1"/>
      <c r="Y79" s="1"/>
      <c r="Z79" s="1"/>
      <c r="AB79" s="1"/>
      <c r="AC79" s="1"/>
      <c r="AD79" s="1"/>
      <c r="AE79" s="1"/>
      <c r="AF79" s="1"/>
      <c r="AG79" s="1"/>
      <c r="AH79" s="1"/>
      <c r="AI79" s="1"/>
      <c r="AL79" s="1"/>
      <c r="AN79" s="1"/>
      <c r="AO79" s="1"/>
      <c r="AP79" s="1"/>
      <c r="AQ79" s="1"/>
      <c r="AR79" s="1"/>
      <c r="AS79" s="1"/>
      <c r="AT79" s="1"/>
      <c r="AU79" s="1"/>
      <c r="AV79" s="1"/>
    </row>
    <row r="80" spans="1:48" x14ac:dyDescent="0.3">
      <c r="A80" s="1" t="s">
        <v>716</v>
      </c>
      <c r="B80" s="1" t="s">
        <v>72</v>
      </c>
      <c r="C80" s="1" t="s">
        <v>147</v>
      </c>
      <c r="D80" s="3" t="s">
        <v>212</v>
      </c>
      <c r="E80" s="3" t="s">
        <v>337</v>
      </c>
      <c r="H80" s="1" t="s">
        <v>738</v>
      </c>
      <c r="I80" s="1"/>
      <c r="J80" s="1"/>
      <c r="K80" s="1"/>
      <c r="L80" s="1"/>
      <c r="M80" s="1"/>
      <c r="N80" s="1"/>
      <c r="O80" s="1"/>
      <c r="P80" s="1"/>
      <c r="Q80" s="1"/>
      <c r="R80" s="1"/>
      <c r="T80" s="1"/>
      <c r="U80" s="1"/>
      <c r="V80" s="1"/>
      <c r="W80" s="1"/>
      <c r="X80" s="1"/>
      <c r="Y80" s="1"/>
      <c r="Z80" s="1"/>
      <c r="AB80" s="1"/>
      <c r="AC80" s="1"/>
      <c r="AD80" s="1"/>
      <c r="AE80" s="1"/>
      <c r="AF80" s="1"/>
      <c r="AG80" s="1"/>
      <c r="AH80" s="1"/>
      <c r="AI80" s="1"/>
      <c r="AL80" s="1"/>
      <c r="AN80" s="1"/>
      <c r="AO80" s="1"/>
      <c r="AP80" s="1"/>
      <c r="AQ80" s="1"/>
      <c r="AR80" s="1"/>
      <c r="AS80" s="1"/>
      <c r="AT80" s="1"/>
      <c r="AU80" s="1"/>
      <c r="AV80" s="1"/>
    </row>
    <row r="81" spans="1:48" x14ac:dyDescent="0.3">
      <c r="A81" s="1" t="s">
        <v>716</v>
      </c>
      <c r="B81" s="1" t="s">
        <v>73</v>
      </c>
      <c r="C81" s="1" t="s">
        <v>148</v>
      </c>
      <c r="D81" s="3" t="s">
        <v>213</v>
      </c>
      <c r="E81" s="3" t="s">
        <v>338</v>
      </c>
      <c r="H81" s="1" t="s">
        <v>738</v>
      </c>
      <c r="I81" s="1"/>
      <c r="J81" s="1"/>
      <c r="K81" s="1"/>
      <c r="L81" s="1"/>
      <c r="M81" s="1"/>
      <c r="N81" s="1"/>
      <c r="O81" s="1"/>
      <c r="P81" s="1"/>
      <c r="Q81" s="1"/>
      <c r="R81" s="1"/>
      <c r="T81" s="1"/>
      <c r="U81" s="1"/>
      <c r="V81" s="1"/>
      <c r="W81" s="1"/>
      <c r="X81" s="1"/>
      <c r="Y81" s="1"/>
      <c r="Z81" s="1"/>
      <c r="AB81" s="1"/>
      <c r="AC81" s="1"/>
      <c r="AD81" s="1"/>
      <c r="AE81" s="1"/>
      <c r="AF81" s="1"/>
      <c r="AG81" s="1"/>
      <c r="AH81" s="1"/>
      <c r="AI81" s="1"/>
      <c r="AL81" s="1"/>
      <c r="AN81" s="1"/>
      <c r="AO81" s="1"/>
      <c r="AP81" s="1"/>
      <c r="AQ81" s="1"/>
      <c r="AR81" s="1"/>
      <c r="AS81" s="1"/>
      <c r="AT81" s="1"/>
      <c r="AU81" s="1"/>
      <c r="AV81" s="1"/>
    </row>
    <row r="82" spans="1:48" x14ac:dyDescent="0.3">
      <c r="A82" s="1" t="s">
        <v>716</v>
      </c>
      <c r="B82" s="1" t="s">
        <v>74</v>
      </c>
      <c r="C82" s="1" t="s">
        <v>149</v>
      </c>
      <c r="D82" s="3" t="s">
        <v>214</v>
      </c>
      <c r="E82" s="11" t="s">
        <v>339</v>
      </c>
      <c r="H82" s="1" t="s">
        <v>738</v>
      </c>
      <c r="I82" s="1"/>
      <c r="J82" s="1"/>
      <c r="K82" s="1"/>
      <c r="L82" s="1"/>
      <c r="M82" s="1"/>
      <c r="N82" s="1"/>
      <c r="O82" s="1"/>
      <c r="P82" s="1"/>
      <c r="Q82" s="1"/>
      <c r="R82" s="1"/>
      <c r="T82" s="1"/>
      <c r="U82" s="1"/>
      <c r="V82" s="1"/>
      <c r="W82" s="1"/>
      <c r="X82" s="1"/>
      <c r="Y82" s="1"/>
      <c r="Z82" s="1"/>
      <c r="AB82" s="1"/>
      <c r="AC82" s="1"/>
      <c r="AD82" s="1"/>
      <c r="AE82" s="1"/>
      <c r="AF82" s="1"/>
      <c r="AG82" s="1"/>
      <c r="AH82" s="1"/>
      <c r="AI82" s="1"/>
      <c r="AL82" s="1"/>
      <c r="AN82" s="1"/>
      <c r="AO82" s="1"/>
      <c r="AP82" s="1"/>
      <c r="AQ82" s="1"/>
      <c r="AR82" s="1"/>
      <c r="AS82" s="1"/>
      <c r="AT82" s="1"/>
      <c r="AU82" s="1"/>
      <c r="AV82" s="1"/>
    </row>
    <row r="83" spans="1:48" x14ac:dyDescent="0.3">
      <c r="A83" s="1" t="s">
        <v>716</v>
      </c>
      <c r="B83" s="1" t="s">
        <v>75</v>
      </c>
      <c r="C83" s="1" t="s">
        <v>150</v>
      </c>
      <c r="D83" s="3" t="s">
        <v>215</v>
      </c>
      <c r="E83" s="3" t="s">
        <v>305</v>
      </c>
      <c r="H83" s="1" t="s">
        <v>738</v>
      </c>
      <c r="I83" s="1"/>
      <c r="J83" s="1"/>
      <c r="K83" s="1"/>
      <c r="L83" s="1"/>
      <c r="M83" s="1"/>
      <c r="N83" s="1"/>
      <c r="O83" s="1"/>
      <c r="P83" s="1"/>
      <c r="Q83" s="1"/>
      <c r="R83" s="1"/>
      <c r="T83" s="1"/>
      <c r="U83" s="1"/>
      <c r="V83" s="1"/>
      <c r="W83" s="1"/>
      <c r="X83" s="1"/>
      <c r="Y83" s="1"/>
      <c r="Z83" s="1"/>
      <c r="AB83" s="1"/>
      <c r="AC83" s="1"/>
      <c r="AD83" s="1"/>
      <c r="AE83" s="1"/>
      <c r="AF83" s="1"/>
      <c r="AG83" s="1"/>
      <c r="AH83" s="1"/>
      <c r="AI83" s="1"/>
      <c r="AL83" s="1"/>
      <c r="AN83" s="1"/>
      <c r="AO83" s="1"/>
      <c r="AP83" s="1"/>
      <c r="AQ83" s="1"/>
      <c r="AR83" s="1"/>
      <c r="AS83" s="1"/>
      <c r="AT83" s="1"/>
      <c r="AU83" s="1"/>
      <c r="AV83" s="1"/>
    </row>
    <row r="84" spans="1:48" x14ac:dyDescent="0.3">
      <c r="A84" s="1" t="s">
        <v>716</v>
      </c>
      <c r="B84" s="1" t="s">
        <v>76</v>
      </c>
      <c r="C84" s="1" t="s">
        <v>151</v>
      </c>
      <c r="D84" s="3" t="s">
        <v>216</v>
      </c>
      <c r="E84" s="3" t="s">
        <v>340</v>
      </c>
      <c r="H84" s="1" t="s">
        <v>738</v>
      </c>
      <c r="I84" s="1"/>
      <c r="J84" s="1"/>
      <c r="K84" s="1"/>
      <c r="L84" s="1"/>
      <c r="M84" s="1"/>
      <c r="N84" s="1"/>
      <c r="O84" s="1"/>
      <c r="P84" s="1"/>
      <c r="Q84" s="1"/>
      <c r="R84" s="1"/>
      <c r="T84" s="1"/>
      <c r="U84" s="1"/>
      <c r="V84" s="1"/>
      <c r="W84" s="1"/>
      <c r="X84" s="1"/>
      <c r="Y84" s="1"/>
      <c r="Z84" s="1"/>
      <c r="AB84" s="1"/>
      <c r="AC84" s="1"/>
      <c r="AD84" s="1"/>
      <c r="AE84" s="1"/>
      <c r="AF84" s="1"/>
      <c r="AG84" s="1"/>
      <c r="AH84" s="1"/>
      <c r="AI84" s="1"/>
      <c r="AL84" s="1"/>
      <c r="AN84" s="1"/>
      <c r="AO84" s="1"/>
      <c r="AP84" s="1"/>
      <c r="AQ84" s="1"/>
      <c r="AR84" s="1"/>
      <c r="AS84" s="1"/>
      <c r="AT84" s="1"/>
      <c r="AU84" s="1"/>
      <c r="AV84" s="1"/>
    </row>
    <row r="85" spans="1:48" x14ac:dyDescent="0.3">
      <c r="A85" s="1" t="s">
        <v>716</v>
      </c>
      <c r="B85" s="1" t="s">
        <v>77</v>
      </c>
      <c r="C85" s="1" t="s">
        <v>152</v>
      </c>
      <c r="D85" s="3" t="s">
        <v>217</v>
      </c>
      <c r="E85" s="3" t="s">
        <v>341</v>
      </c>
      <c r="H85" s="1" t="s">
        <v>738</v>
      </c>
      <c r="I85" s="1"/>
      <c r="J85" s="1"/>
      <c r="K85" s="1"/>
      <c r="L85" s="1"/>
      <c r="M85" s="1"/>
      <c r="N85" s="1"/>
      <c r="O85" s="1"/>
      <c r="P85" s="1"/>
      <c r="Q85" s="1"/>
      <c r="R85" s="1"/>
      <c r="T85" s="1"/>
      <c r="U85" s="1"/>
      <c r="V85" s="1"/>
      <c r="W85" s="1"/>
      <c r="X85" s="1"/>
      <c r="Y85" s="1"/>
      <c r="Z85" s="1"/>
      <c r="AB85" s="1"/>
      <c r="AC85" s="1"/>
      <c r="AD85" s="1"/>
      <c r="AE85" s="1"/>
      <c r="AF85" s="1"/>
      <c r="AG85" s="1"/>
      <c r="AH85" s="1"/>
      <c r="AI85" s="1"/>
      <c r="AL85" s="1"/>
      <c r="AN85" s="1"/>
      <c r="AO85" s="1"/>
      <c r="AP85" s="1"/>
      <c r="AQ85" s="1"/>
      <c r="AR85" s="1"/>
      <c r="AS85" s="1"/>
      <c r="AT85" s="1"/>
      <c r="AU85" s="1"/>
      <c r="AV85" s="1"/>
    </row>
    <row r="86" spans="1:48" x14ac:dyDescent="0.3">
      <c r="A86" s="1" t="s">
        <v>716</v>
      </c>
      <c r="B86" s="1" t="s">
        <v>78</v>
      </c>
      <c r="C86" s="1" t="s">
        <v>153</v>
      </c>
      <c r="D86" s="3" t="s">
        <v>218</v>
      </c>
      <c r="E86" s="3" t="s">
        <v>342</v>
      </c>
      <c r="H86" s="1" t="s">
        <v>738</v>
      </c>
      <c r="I86" s="1"/>
      <c r="J86" s="1"/>
      <c r="K86" s="1"/>
      <c r="L86" s="1"/>
      <c r="M86" s="1"/>
      <c r="N86" s="1"/>
      <c r="O86" s="1"/>
      <c r="P86" s="1"/>
      <c r="Q86" s="1"/>
      <c r="R86" s="1"/>
      <c r="T86" s="1"/>
      <c r="U86" s="1"/>
      <c r="V86" s="1"/>
      <c r="W86" s="1"/>
      <c r="X86" s="1"/>
      <c r="Y86" s="1"/>
      <c r="Z86" s="1"/>
      <c r="AB86" s="1"/>
      <c r="AC86" s="1"/>
      <c r="AD86" s="1"/>
      <c r="AE86" s="1"/>
      <c r="AF86" s="1"/>
      <c r="AG86" s="1"/>
      <c r="AH86" s="1"/>
      <c r="AI86" s="1"/>
      <c r="AL86" s="1"/>
      <c r="AN86" s="1"/>
      <c r="AO86" s="1"/>
      <c r="AP86" s="1"/>
      <c r="AQ86" s="1"/>
      <c r="AR86" s="1"/>
      <c r="AS86" s="1"/>
      <c r="AT86" s="1"/>
      <c r="AU86" s="1"/>
      <c r="AV86" s="1"/>
    </row>
    <row r="87" spans="1:48" x14ac:dyDescent="0.3">
      <c r="A87" s="1" t="s">
        <v>716</v>
      </c>
      <c r="B87" s="1" t="s">
        <v>79</v>
      </c>
      <c r="C87" s="1" t="s">
        <v>154</v>
      </c>
      <c r="D87" s="3" t="s">
        <v>219</v>
      </c>
      <c r="E87" s="3" t="s">
        <v>343</v>
      </c>
      <c r="H87" s="1" t="s">
        <v>738</v>
      </c>
      <c r="I87" s="1"/>
      <c r="J87" s="1"/>
      <c r="K87" s="1"/>
      <c r="L87" s="1"/>
      <c r="M87" s="1"/>
      <c r="N87" s="1"/>
      <c r="O87" s="1"/>
      <c r="P87" s="1"/>
      <c r="Q87" s="1"/>
      <c r="R87" s="1"/>
      <c r="T87" s="1"/>
      <c r="U87" s="1"/>
      <c r="V87" s="1"/>
      <c r="W87" s="1"/>
      <c r="X87" s="1"/>
      <c r="Y87" s="1"/>
      <c r="Z87" s="1"/>
      <c r="AB87" s="1"/>
      <c r="AC87" s="1"/>
      <c r="AD87" s="1"/>
      <c r="AE87" s="1"/>
      <c r="AF87" s="1"/>
      <c r="AG87" s="1"/>
      <c r="AH87" s="1"/>
      <c r="AI87" s="1"/>
      <c r="AL87" s="1"/>
      <c r="AN87" s="1"/>
      <c r="AO87" s="1"/>
      <c r="AP87" s="1"/>
      <c r="AQ87" s="1"/>
      <c r="AR87" s="1"/>
      <c r="AS87" s="1"/>
      <c r="AT87" s="1"/>
      <c r="AU87" s="1"/>
      <c r="AV87" s="1"/>
    </row>
    <row r="88" spans="1:48" x14ac:dyDescent="0.3">
      <c r="A88" s="1" t="s">
        <v>716</v>
      </c>
      <c r="B88" s="1" t="s">
        <v>80</v>
      </c>
      <c r="C88" s="1" t="s">
        <v>155</v>
      </c>
      <c r="D88" s="3" t="s">
        <v>220</v>
      </c>
      <c r="E88" s="3" t="s">
        <v>344</v>
      </c>
      <c r="H88" s="1" t="s">
        <v>738</v>
      </c>
      <c r="I88" s="1"/>
      <c r="J88" s="1"/>
      <c r="K88" s="1"/>
      <c r="L88" s="1"/>
      <c r="M88" s="1"/>
      <c r="N88" s="1"/>
      <c r="O88" s="1"/>
      <c r="P88" s="1"/>
      <c r="Q88" s="1"/>
      <c r="R88" s="1"/>
      <c r="T88" s="1"/>
      <c r="U88" s="1"/>
      <c r="V88" s="1"/>
      <c r="W88" s="1"/>
      <c r="X88" s="1"/>
      <c r="Y88" s="1"/>
      <c r="Z88" s="1"/>
      <c r="AB88" s="1"/>
      <c r="AC88" s="1"/>
      <c r="AD88" s="1"/>
      <c r="AE88" s="1"/>
      <c r="AF88" s="1"/>
      <c r="AG88" s="1"/>
      <c r="AH88" s="1"/>
      <c r="AI88" s="1"/>
      <c r="AL88" s="1"/>
      <c r="AN88" s="1"/>
      <c r="AO88" s="1"/>
      <c r="AP88" s="1"/>
      <c r="AQ88" s="1"/>
      <c r="AR88" s="1"/>
      <c r="AS88" s="1"/>
      <c r="AT88" s="1"/>
      <c r="AU88" s="1"/>
      <c r="AV88" s="1"/>
    </row>
    <row r="89" spans="1:48" x14ac:dyDescent="0.3">
      <c r="A89" s="1" t="s">
        <v>716</v>
      </c>
      <c r="B89" s="1" t="s">
        <v>657</v>
      </c>
      <c r="C89" s="1" t="s">
        <v>156</v>
      </c>
      <c r="D89" s="3" t="s">
        <v>221</v>
      </c>
      <c r="E89" s="3" t="s">
        <v>345</v>
      </c>
      <c r="H89" s="1" t="s">
        <v>738</v>
      </c>
      <c r="I89" s="1"/>
      <c r="J89" s="1"/>
      <c r="K89" s="1"/>
      <c r="L89" s="1"/>
      <c r="M89" s="1"/>
      <c r="N89" s="1"/>
      <c r="O89" s="1"/>
      <c r="P89" s="1"/>
      <c r="Q89" s="1"/>
      <c r="R89" s="1"/>
      <c r="T89" s="1"/>
      <c r="U89" s="1"/>
      <c r="V89" s="1"/>
      <c r="W89" s="1"/>
      <c r="X89" s="1"/>
      <c r="Y89" s="1"/>
      <c r="Z89" s="1"/>
      <c r="AB89" s="1"/>
      <c r="AC89" s="1"/>
      <c r="AD89" s="1"/>
      <c r="AE89" s="1"/>
      <c r="AF89" s="1"/>
      <c r="AG89" s="1"/>
      <c r="AH89" s="1"/>
      <c r="AI89" s="1"/>
      <c r="AL89" s="1"/>
      <c r="AN89" s="1"/>
      <c r="AO89" s="1"/>
      <c r="AP89" s="1"/>
      <c r="AQ89" s="1"/>
      <c r="AR89" s="1"/>
      <c r="AS89" s="1"/>
      <c r="AT89" s="1"/>
      <c r="AU89" s="1"/>
      <c r="AV89" s="1"/>
    </row>
    <row r="90" spans="1:48" x14ac:dyDescent="0.3">
      <c r="A90" s="1" t="s">
        <v>716</v>
      </c>
      <c r="B90" s="1" t="s">
        <v>658</v>
      </c>
      <c r="C90" s="1" t="s">
        <v>157</v>
      </c>
      <c r="D90" s="3" t="s">
        <v>222</v>
      </c>
      <c r="E90" s="3" t="s">
        <v>346</v>
      </c>
      <c r="H90" s="1" t="s">
        <v>738</v>
      </c>
      <c r="I90" s="1"/>
      <c r="J90" s="1"/>
      <c r="K90" s="1"/>
      <c r="L90" s="1"/>
      <c r="M90" s="1"/>
      <c r="N90" s="1"/>
      <c r="O90" s="1"/>
      <c r="P90" s="1"/>
      <c r="Q90" s="1"/>
      <c r="R90" s="1"/>
      <c r="T90" s="1"/>
      <c r="U90" s="1"/>
      <c r="V90" s="1"/>
      <c r="W90" s="1"/>
      <c r="X90" s="1"/>
      <c r="Y90" s="1"/>
      <c r="Z90" s="1"/>
      <c r="AB90" s="1"/>
      <c r="AC90" s="1"/>
      <c r="AD90" s="1"/>
      <c r="AE90" s="1"/>
      <c r="AF90" s="1"/>
      <c r="AG90" s="1"/>
      <c r="AH90" s="1"/>
      <c r="AI90" s="1"/>
      <c r="AL90" s="1"/>
      <c r="AN90" s="1"/>
      <c r="AO90" s="1"/>
      <c r="AP90" s="1"/>
      <c r="AQ90" s="1"/>
      <c r="AR90" s="1"/>
      <c r="AS90" s="1"/>
      <c r="AT90" s="1"/>
      <c r="AU90" s="1"/>
      <c r="AV90" s="1"/>
    </row>
    <row r="91" spans="1:48" x14ac:dyDescent="0.3">
      <c r="A91" s="1" t="s">
        <v>716</v>
      </c>
      <c r="B91" s="1" t="s">
        <v>659</v>
      </c>
      <c r="C91" s="1" t="s">
        <v>158</v>
      </c>
      <c r="D91" s="3" t="s">
        <v>223</v>
      </c>
      <c r="E91" s="3" t="s">
        <v>347</v>
      </c>
      <c r="H91" s="1" t="s">
        <v>738</v>
      </c>
      <c r="I91" s="1"/>
      <c r="J91" s="1"/>
      <c r="K91" s="1"/>
      <c r="L91" s="1"/>
      <c r="M91" s="1"/>
      <c r="N91" s="1"/>
      <c r="O91" s="1"/>
      <c r="P91" s="1"/>
      <c r="Q91" s="1"/>
      <c r="R91" s="1"/>
      <c r="T91" s="1"/>
      <c r="U91" s="1"/>
      <c r="V91" s="1"/>
      <c r="W91" s="1"/>
      <c r="X91" s="1"/>
      <c r="Y91" s="1"/>
      <c r="Z91" s="1"/>
      <c r="AB91" s="1"/>
      <c r="AC91" s="1"/>
      <c r="AD91" s="1"/>
      <c r="AE91" s="1"/>
      <c r="AF91" s="1"/>
      <c r="AG91" s="1"/>
      <c r="AH91" s="1"/>
      <c r="AI91" s="1"/>
      <c r="AL91" s="1"/>
      <c r="AN91" s="1"/>
      <c r="AO91" s="1"/>
      <c r="AP91" s="1"/>
      <c r="AQ91" s="1"/>
      <c r="AR91" s="1"/>
      <c r="AS91" s="1"/>
      <c r="AT91" s="1"/>
      <c r="AU91" s="1"/>
      <c r="AV91" s="1"/>
    </row>
    <row r="92" spans="1:48" x14ac:dyDescent="0.3">
      <c r="A92" s="1" t="s">
        <v>716</v>
      </c>
      <c r="B92" s="1" t="s">
        <v>660</v>
      </c>
      <c r="C92" s="1" t="s">
        <v>159</v>
      </c>
      <c r="D92" s="3" t="s">
        <v>224</v>
      </c>
      <c r="E92" s="3" t="s">
        <v>348</v>
      </c>
      <c r="H92" s="1" t="s">
        <v>738</v>
      </c>
      <c r="I92" s="1"/>
      <c r="J92" s="1"/>
      <c r="K92" s="1"/>
      <c r="L92" s="1"/>
      <c r="M92" s="1"/>
      <c r="N92" s="1"/>
      <c r="O92" s="1"/>
      <c r="P92" s="1"/>
      <c r="Q92" s="1"/>
      <c r="R92" s="1"/>
      <c r="T92" s="1"/>
      <c r="U92" s="1"/>
      <c r="V92" s="1"/>
      <c r="W92" s="1"/>
      <c r="X92" s="1"/>
      <c r="Y92" s="1"/>
      <c r="Z92" s="1"/>
      <c r="AB92" s="1"/>
      <c r="AC92" s="1"/>
      <c r="AD92" s="1"/>
      <c r="AE92" s="1"/>
      <c r="AF92" s="1"/>
      <c r="AG92" s="1"/>
      <c r="AH92" s="1"/>
      <c r="AI92" s="1"/>
      <c r="AL92" s="1"/>
      <c r="AN92" s="1"/>
      <c r="AO92" s="1"/>
      <c r="AP92" s="1"/>
      <c r="AQ92" s="1"/>
      <c r="AR92" s="1"/>
      <c r="AS92" s="1"/>
      <c r="AT92" s="1"/>
      <c r="AU92" s="1"/>
      <c r="AV92" s="1"/>
    </row>
    <row r="93" spans="1:48" x14ac:dyDescent="0.3">
      <c r="A93" s="1" t="s">
        <v>716</v>
      </c>
      <c r="B93" s="1" t="s">
        <v>661</v>
      </c>
      <c r="C93" s="1" t="s">
        <v>160</v>
      </c>
      <c r="D93" s="3" t="s">
        <v>225</v>
      </c>
      <c r="E93" s="3" t="s">
        <v>349</v>
      </c>
      <c r="H93" s="1" t="s">
        <v>738</v>
      </c>
      <c r="I93" s="1"/>
      <c r="J93" s="1"/>
      <c r="K93" s="1"/>
      <c r="L93" s="1"/>
      <c r="M93" s="1"/>
      <c r="N93" s="1"/>
      <c r="O93" s="1"/>
      <c r="P93" s="1"/>
      <c r="Q93" s="1"/>
      <c r="R93" s="1"/>
      <c r="T93" s="1"/>
      <c r="U93" s="1"/>
      <c r="V93" s="1"/>
      <c r="W93" s="1"/>
      <c r="X93" s="1"/>
      <c r="Y93" s="1"/>
      <c r="Z93" s="1"/>
      <c r="AB93" s="1"/>
      <c r="AC93" s="1"/>
      <c r="AD93" s="1"/>
      <c r="AE93" s="1"/>
      <c r="AF93" s="1"/>
      <c r="AG93" s="1"/>
      <c r="AH93" s="1"/>
      <c r="AI93" s="1"/>
      <c r="AL93" s="1"/>
      <c r="AN93" s="1"/>
      <c r="AO93" s="1"/>
      <c r="AP93" s="1"/>
      <c r="AQ93" s="1"/>
      <c r="AR93" s="1"/>
      <c r="AS93" s="1"/>
      <c r="AT93" s="1"/>
      <c r="AU93" s="1"/>
      <c r="AV93" s="1"/>
    </row>
    <row r="94" spans="1:48" x14ac:dyDescent="0.3">
      <c r="A94" s="1" t="s">
        <v>716</v>
      </c>
      <c r="B94" s="1" t="s">
        <v>662</v>
      </c>
      <c r="C94" s="1" t="s">
        <v>161</v>
      </c>
      <c r="D94" s="3" t="s">
        <v>226</v>
      </c>
      <c r="E94" s="3" t="s">
        <v>350</v>
      </c>
      <c r="H94" s="1" t="s">
        <v>738</v>
      </c>
      <c r="I94" s="1"/>
      <c r="J94" s="1"/>
      <c r="K94" s="1"/>
      <c r="L94" s="1"/>
      <c r="M94" s="1"/>
      <c r="N94" s="1"/>
      <c r="O94" s="1"/>
      <c r="P94" s="1"/>
      <c r="Q94" s="1"/>
      <c r="R94" s="1"/>
      <c r="T94" s="1"/>
      <c r="U94" s="1"/>
      <c r="V94" s="1"/>
      <c r="W94" s="1"/>
      <c r="X94" s="1"/>
      <c r="Y94" s="1"/>
      <c r="Z94" s="1"/>
      <c r="AB94" s="1"/>
      <c r="AC94" s="1"/>
      <c r="AD94" s="1"/>
      <c r="AE94" s="1"/>
      <c r="AF94" s="1"/>
      <c r="AG94" s="1"/>
      <c r="AH94" s="1"/>
      <c r="AI94" s="1"/>
      <c r="AL94" s="1"/>
      <c r="AN94" s="1"/>
      <c r="AO94" s="1"/>
      <c r="AP94" s="1"/>
      <c r="AQ94" s="1"/>
      <c r="AR94" s="1"/>
      <c r="AS94" s="1"/>
      <c r="AT94" s="1"/>
      <c r="AU94" s="1"/>
      <c r="AV94" s="1"/>
    </row>
    <row r="95" spans="1:48" x14ac:dyDescent="0.3">
      <c r="A95" s="1" t="s">
        <v>716</v>
      </c>
      <c r="B95" s="1" t="s">
        <v>663</v>
      </c>
      <c r="C95" s="1" t="s">
        <v>162</v>
      </c>
      <c r="D95" s="3" t="s">
        <v>227</v>
      </c>
      <c r="E95" s="3" t="s">
        <v>351</v>
      </c>
      <c r="H95" s="1" t="s">
        <v>738</v>
      </c>
      <c r="I95" s="1"/>
      <c r="J95" s="1"/>
      <c r="K95" s="1"/>
      <c r="L95" s="1"/>
      <c r="M95" s="1"/>
      <c r="N95" s="1"/>
      <c r="O95" s="1"/>
      <c r="P95" s="1"/>
      <c r="Q95" s="1"/>
      <c r="R95" s="1"/>
      <c r="T95" s="1"/>
      <c r="U95" s="1"/>
      <c r="V95" s="1"/>
      <c r="W95" s="1"/>
      <c r="X95" s="1"/>
      <c r="Y95" s="1"/>
      <c r="Z95" s="1"/>
      <c r="AB95" s="1"/>
      <c r="AC95" s="1"/>
      <c r="AD95" s="1"/>
      <c r="AE95" s="1"/>
      <c r="AF95" s="1"/>
      <c r="AG95" s="1"/>
      <c r="AH95" s="1"/>
      <c r="AI95" s="1"/>
      <c r="AL95" s="1"/>
      <c r="AN95" s="1"/>
      <c r="AO95" s="1"/>
      <c r="AP95" s="1"/>
      <c r="AQ95" s="1"/>
      <c r="AR95" s="1"/>
      <c r="AS95" s="1"/>
      <c r="AT95" s="1"/>
      <c r="AU95" s="1"/>
      <c r="AV95" s="1"/>
    </row>
    <row r="96" spans="1:48" x14ac:dyDescent="0.3">
      <c r="A96" s="1" t="s">
        <v>716</v>
      </c>
      <c r="B96" s="1" t="s">
        <v>664</v>
      </c>
      <c r="C96" s="1" t="s">
        <v>163</v>
      </c>
      <c r="E96" s="3" t="s">
        <v>352</v>
      </c>
      <c r="H96" s="1" t="s">
        <v>738</v>
      </c>
      <c r="I96" s="1"/>
      <c r="J96" s="1"/>
      <c r="K96" s="1"/>
      <c r="L96" s="1"/>
      <c r="M96" s="1"/>
      <c r="N96" s="1"/>
      <c r="O96" s="1"/>
      <c r="P96" s="1"/>
      <c r="Q96" s="1"/>
      <c r="R96" s="1"/>
      <c r="T96" s="1"/>
      <c r="U96" s="1"/>
      <c r="V96" s="1"/>
      <c r="W96" s="1"/>
      <c r="X96" s="1"/>
      <c r="Y96" s="1"/>
      <c r="Z96" s="1"/>
      <c r="AB96" s="1"/>
      <c r="AC96" s="1"/>
      <c r="AD96" s="1"/>
      <c r="AE96" s="1"/>
      <c r="AF96" s="1"/>
      <c r="AG96" s="1"/>
      <c r="AH96" s="1"/>
      <c r="AI96" s="1"/>
      <c r="AL96" s="1"/>
      <c r="AN96" s="1"/>
      <c r="AO96" s="1"/>
      <c r="AP96" s="1"/>
      <c r="AQ96" s="1"/>
      <c r="AR96" s="1"/>
      <c r="AS96" s="1"/>
      <c r="AT96" s="1"/>
      <c r="AU96" s="1"/>
      <c r="AV96" s="1"/>
    </row>
    <row r="97" spans="1:48" x14ac:dyDescent="0.3">
      <c r="A97" s="1" t="s">
        <v>716</v>
      </c>
      <c r="B97" s="1" t="s">
        <v>665</v>
      </c>
      <c r="C97" s="1" t="s">
        <v>164</v>
      </c>
      <c r="D97" s="3" t="s">
        <v>228</v>
      </c>
      <c r="E97" s="3" t="s">
        <v>353</v>
      </c>
      <c r="H97" s="1" t="s">
        <v>738</v>
      </c>
      <c r="I97" s="1"/>
      <c r="J97" s="1"/>
      <c r="K97" s="1"/>
      <c r="L97" s="1"/>
      <c r="M97" s="1"/>
      <c r="N97" s="1"/>
      <c r="O97" s="1"/>
      <c r="P97" s="1"/>
      <c r="Q97" s="1"/>
      <c r="R97" s="1"/>
      <c r="T97" s="1"/>
      <c r="U97" s="1"/>
      <c r="V97" s="1"/>
      <c r="W97" s="1"/>
      <c r="X97" s="1"/>
      <c r="Y97" s="1"/>
      <c r="Z97" s="1"/>
      <c r="AB97" s="1"/>
      <c r="AC97" s="1"/>
      <c r="AD97" s="1"/>
      <c r="AE97" s="1"/>
      <c r="AF97" s="1"/>
      <c r="AG97" s="1"/>
      <c r="AH97" s="1"/>
      <c r="AI97" s="1"/>
      <c r="AL97" s="1"/>
      <c r="AN97" s="1"/>
      <c r="AO97" s="1"/>
      <c r="AP97" s="1"/>
      <c r="AQ97" s="1"/>
      <c r="AR97" s="1"/>
      <c r="AS97" s="1"/>
      <c r="AT97" s="1"/>
      <c r="AU97" s="1"/>
      <c r="AV97" s="1"/>
    </row>
    <row r="98" spans="1:48" x14ac:dyDescent="0.3">
      <c r="A98" s="1" t="s">
        <v>716</v>
      </c>
      <c r="B98" s="1" t="s">
        <v>666</v>
      </c>
      <c r="C98" s="1" t="s">
        <v>165</v>
      </c>
      <c r="D98" s="3" t="s">
        <v>229</v>
      </c>
      <c r="E98" s="3" t="s">
        <v>354</v>
      </c>
      <c r="H98" s="1" t="s">
        <v>738</v>
      </c>
      <c r="I98" s="1"/>
      <c r="J98" s="1"/>
      <c r="K98" s="1"/>
      <c r="L98" s="1"/>
      <c r="M98" s="1"/>
      <c r="N98" s="1"/>
      <c r="O98" s="1"/>
      <c r="P98" s="1"/>
      <c r="Q98" s="1"/>
      <c r="R98" s="1"/>
      <c r="T98" s="1"/>
      <c r="U98" s="1"/>
      <c r="V98" s="1"/>
      <c r="W98" s="1"/>
      <c r="X98" s="1"/>
      <c r="Y98" s="1"/>
      <c r="Z98" s="1"/>
      <c r="AB98" s="1"/>
      <c r="AC98" s="1"/>
      <c r="AD98" s="1"/>
      <c r="AE98" s="1"/>
      <c r="AF98" s="1"/>
      <c r="AG98" s="1"/>
      <c r="AH98" s="1"/>
      <c r="AI98" s="1"/>
      <c r="AL98" s="1"/>
      <c r="AN98" s="1"/>
      <c r="AO98" s="1"/>
      <c r="AP98" s="1"/>
      <c r="AQ98" s="1"/>
      <c r="AR98" s="1"/>
      <c r="AS98" s="1"/>
      <c r="AT98" s="1"/>
      <c r="AU98" s="1"/>
      <c r="AV98" s="1"/>
    </row>
    <row r="99" spans="1:48" x14ac:dyDescent="0.3">
      <c r="A99" s="1" t="s">
        <v>716</v>
      </c>
      <c r="B99" s="1" t="s">
        <v>667</v>
      </c>
      <c r="C99" s="1" t="s">
        <v>166</v>
      </c>
      <c r="E99" s="3" t="s">
        <v>355</v>
      </c>
      <c r="H99" s="1" t="s">
        <v>738</v>
      </c>
      <c r="I99" s="1"/>
      <c r="J99" s="1"/>
      <c r="K99" s="1"/>
      <c r="L99" s="1"/>
      <c r="M99" s="1"/>
      <c r="N99" s="1"/>
      <c r="O99" s="1"/>
      <c r="P99" s="1"/>
      <c r="Q99" s="1"/>
      <c r="R99" s="1"/>
      <c r="T99" s="1"/>
      <c r="U99" s="1"/>
      <c r="V99" s="1"/>
      <c r="W99" s="1"/>
      <c r="X99" s="1"/>
      <c r="Y99" s="1"/>
      <c r="Z99" s="1"/>
      <c r="AB99" s="1"/>
      <c r="AC99" s="1"/>
      <c r="AD99" s="1"/>
      <c r="AE99" s="1"/>
      <c r="AF99" s="1"/>
      <c r="AG99" s="1"/>
      <c r="AH99" s="1"/>
      <c r="AI99" s="1"/>
      <c r="AL99" s="1"/>
      <c r="AN99" s="1"/>
      <c r="AO99" s="1"/>
      <c r="AP99" s="1"/>
      <c r="AQ99" s="1"/>
      <c r="AR99" s="1"/>
      <c r="AS99" s="1"/>
      <c r="AT99" s="1"/>
      <c r="AU99" s="1"/>
      <c r="AV99" s="1"/>
    </row>
    <row r="100" spans="1:48" x14ac:dyDescent="0.3">
      <c r="A100" s="1" t="s">
        <v>716</v>
      </c>
      <c r="B100" s="1" t="s">
        <v>668</v>
      </c>
      <c r="C100" s="1" t="s">
        <v>167</v>
      </c>
      <c r="E100" s="3" t="s">
        <v>356</v>
      </c>
      <c r="H100" s="1" t="s">
        <v>738</v>
      </c>
      <c r="I100" s="1"/>
      <c r="J100" s="1"/>
      <c r="K100" s="1"/>
      <c r="L100" s="1"/>
      <c r="M100" s="1"/>
      <c r="N100" s="1"/>
      <c r="O100" s="1"/>
      <c r="P100" s="1"/>
      <c r="Q100" s="1"/>
      <c r="R100" s="1"/>
      <c r="T100" s="1"/>
      <c r="U100" s="1"/>
      <c r="V100" s="1"/>
      <c r="W100" s="1"/>
      <c r="X100" s="1"/>
      <c r="Y100" s="1"/>
      <c r="Z100" s="1"/>
      <c r="AB100" s="1"/>
      <c r="AC100" s="1"/>
      <c r="AD100" s="1"/>
      <c r="AE100" s="1"/>
      <c r="AF100" s="1"/>
      <c r="AG100" s="1"/>
      <c r="AH100" s="1"/>
      <c r="AI100" s="1"/>
      <c r="AL100" s="1"/>
      <c r="AN100" s="1"/>
      <c r="AO100" s="1"/>
      <c r="AP100" s="1"/>
      <c r="AQ100" s="1"/>
      <c r="AR100" s="1"/>
      <c r="AS100" s="1"/>
      <c r="AT100" s="1"/>
      <c r="AU100" s="1"/>
      <c r="AV100" s="1"/>
    </row>
    <row r="101" spans="1:48" x14ac:dyDescent="0.3">
      <c r="A101" s="1" t="s">
        <v>716</v>
      </c>
      <c r="B101" s="1" t="s">
        <v>669</v>
      </c>
      <c r="C101" s="1" t="s">
        <v>168</v>
      </c>
      <c r="E101" s="3" t="s">
        <v>357</v>
      </c>
      <c r="H101" s="1" t="s">
        <v>738</v>
      </c>
      <c r="I101" s="1"/>
      <c r="J101" s="1"/>
      <c r="K101" s="1"/>
      <c r="L101" s="1"/>
      <c r="M101" s="1"/>
      <c r="N101" s="1"/>
      <c r="O101" s="1"/>
      <c r="P101" s="1"/>
      <c r="Q101" s="1"/>
      <c r="R101" s="1"/>
      <c r="T101" s="1"/>
      <c r="U101" s="1"/>
      <c r="V101" s="1"/>
      <c r="W101" s="1"/>
      <c r="X101" s="1"/>
      <c r="Y101" s="1"/>
      <c r="Z101" s="1"/>
      <c r="AB101" s="1"/>
      <c r="AC101" s="1"/>
      <c r="AD101" s="1"/>
      <c r="AE101" s="1"/>
      <c r="AF101" s="1"/>
      <c r="AG101" s="1"/>
      <c r="AH101" s="1"/>
      <c r="AI101" s="1"/>
      <c r="AL101" s="1"/>
      <c r="AN101" s="1"/>
      <c r="AO101" s="1"/>
      <c r="AP101" s="1"/>
      <c r="AQ101" s="1"/>
      <c r="AR101" s="1"/>
      <c r="AS101" s="1"/>
      <c r="AT101" s="1"/>
      <c r="AU101" s="1"/>
      <c r="AV101" s="1"/>
    </row>
    <row r="102" spans="1:48" x14ac:dyDescent="0.3">
      <c r="A102" s="1" t="s">
        <v>716</v>
      </c>
      <c r="B102" s="1" t="s">
        <v>670</v>
      </c>
      <c r="C102" s="1" t="s">
        <v>169</v>
      </c>
      <c r="D102" s="3" t="s">
        <v>230</v>
      </c>
      <c r="E102" s="11" t="s">
        <v>358</v>
      </c>
      <c r="H102" s="1" t="s">
        <v>738</v>
      </c>
      <c r="I102" s="1"/>
      <c r="J102" s="1"/>
      <c r="K102" s="1"/>
      <c r="L102" s="1"/>
      <c r="M102" s="1"/>
      <c r="N102" s="1"/>
      <c r="O102" s="1"/>
      <c r="P102" s="1"/>
      <c r="Q102" s="1"/>
      <c r="R102" s="1"/>
      <c r="T102" s="1"/>
      <c r="U102" s="1"/>
      <c r="V102" s="1"/>
      <c r="W102" s="1"/>
      <c r="X102" s="1"/>
      <c r="Y102" s="1"/>
      <c r="Z102" s="1"/>
      <c r="AB102" s="1"/>
      <c r="AC102" s="1"/>
      <c r="AD102" s="1"/>
      <c r="AE102" s="1"/>
      <c r="AF102" s="1"/>
      <c r="AG102" s="1"/>
      <c r="AH102" s="1"/>
      <c r="AI102" s="1"/>
      <c r="AL102" s="1"/>
      <c r="AN102" s="1"/>
      <c r="AO102" s="1"/>
      <c r="AP102" s="1"/>
      <c r="AQ102" s="1"/>
      <c r="AR102" s="1"/>
      <c r="AS102" s="1"/>
      <c r="AT102" s="1"/>
      <c r="AU102" s="1"/>
      <c r="AV102" s="1"/>
    </row>
    <row r="103" spans="1:48" x14ac:dyDescent="0.3">
      <c r="A103" s="1" t="s">
        <v>716</v>
      </c>
      <c r="B103" s="1" t="s">
        <v>671</v>
      </c>
      <c r="C103" s="1" t="s">
        <v>170</v>
      </c>
      <c r="D103" s="3" t="s">
        <v>231</v>
      </c>
      <c r="E103" s="3" t="s">
        <v>359</v>
      </c>
      <c r="H103" s="1" t="s">
        <v>738</v>
      </c>
      <c r="I103" s="1"/>
      <c r="J103" s="1"/>
      <c r="K103" s="1"/>
      <c r="L103" s="1"/>
      <c r="M103" s="1"/>
      <c r="N103" s="1"/>
      <c r="O103" s="1"/>
      <c r="P103" s="1"/>
      <c r="Q103" s="1"/>
      <c r="R103" s="1"/>
      <c r="T103" s="1"/>
      <c r="U103" s="1"/>
      <c r="V103" s="1"/>
      <c r="W103" s="1"/>
      <c r="X103" s="1"/>
      <c r="Y103" s="1"/>
      <c r="Z103" s="1"/>
      <c r="AB103" s="1"/>
      <c r="AC103" s="1"/>
      <c r="AD103" s="1"/>
      <c r="AE103" s="1"/>
      <c r="AF103" s="1"/>
      <c r="AG103" s="1"/>
      <c r="AH103" s="1"/>
      <c r="AI103" s="1"/>
      <c r="AL103" s="1"/>
      <c r="AN103" s="1"/>
      <c r="AO103" s="1"/>
      <c r="AP103" s="1"/>
      <c r="AQ103" s="1"/>
      <c r="AR103" s="1"/>
      <c r="AS103" s="1"/>
      <c r="AT103" s="1"/>
      <c r="AU103" s="1"/>
      <c r="AV103" s="1"/>
    </row>
    <row r="104" spans="1:48" x14ac:dyDescent="0.3">
      <c r="A104" s="1" t="s">
        <v>716</v>
      </c>
      <c r="B104" s="1" t="s">
        <v>672</v>
      </c>
      <c r="C104" s="1" t="s">
        <v>171</v>
      </c>
      <c r="D104" s="3" t="s">
        <v>232</v>
      </c>
      <c r="E104" s="3" t="s">
        <v>360</v>
      </c>
      <c r="H104" s="1" t="s">
        <v>738</v>
      </c>
      <c r="I104" s="1"/>
      <c r="J104" s="1"/>
      <c r="K104" s="1"/>
      <c r="L104" s="1"/>
      <c r="M104" s="1"/>
      <c r="N104" s="1"/>
      <c r="O104" s="1"/>
      <c r="P104" s="1"/>
      <c r="Q104" s="1"/>
      <c r="R104" s="1"/>
      <c r="T104" s="1"/>
      <c r="U104" s="1"/>
      <c r="V104" s="1"/>
      <c r="W104" s="1"/>
      <c r="X104" s="1"/>
      <c r="Y104" s="1"/>
      <c r="Z104" s="1"/>
      <c r="AB104" s="1"/>
      <c r="AC104" s="1"/>
      <c r="AD104" s="1"/>
      <c r="AE104" s="1"/>
      <c r="AF104" s="1"/>
      <c r="AG104" s="1"/>
      <c r="AH104" s="1"/>
      <c r="AI104" s="1"/>
      <c r="AL104" s="1"/>
      <c r="AN104" s="1"/>
      <c r="AO104" s="1"/>
      <c r="AP104" s="1"/>
      <c r="AQ104" s="1"/>
      <c r="AR104" s="1"/>
      <c r="AS104" s="1"/>
      <c r="AT104" s="1"/>
      <c r="AU104" s="1"/>
      <c r="AV104" s="1"/>
    </row>
    <row r="105" spans="1:48" x14ac:dyDescent="0.3">
      <c r="A105" s="1" t="s">
        <v>716</v>
      </c>
      <c r="B105" s="1" t="s">
        <v>673</v>
      </c>
      <c r="C105" s="1" t="s">
        <v>172</v>
      </c>
      <c r="D105" s="3" t="s">
        <v>233</v>
      </c>
      <c r="E105" s="11" t="s">
        <v>361</v>
      </c>
      <c r="H105" s="1" t="s">
        <v>738</v>
      </c>
      <c r="I105" s="1"/>
      <c r="J105" s="1"/>
      <c r="K105" s="1"/>
      <c r="L105" s="1"/>
      <c r="M105" s="1"/>
      <c r="N105" s="1"/>
      <c r="O105" s="1"/>
      <c r="P105" s="1"/>
      <c r="Q105" s="1"/>
      <c r="R105" s="1"/>
      <c r="T105" s="1"/>
      <c r="U105" s="1"/>
      <c r="V105" s="1"/>
      <c r="W105" s="1"/>
      <c r="X105" s="1"/>
      <c r="Y105" s="1"/>
      <c r="Z105" s="1"/>
      <c r="AB105" s="1"/>
      <c r="AC105" s="1"/>
      <c r="AD105" s="1"/>
      <c r="AE105" s="1"/>
      <c r="AF105" s="1"/>
      <c r="AG105" s="1"/>
      <c r="AH105" s="1"/>
      <c r="AI105" s="1"/>
      <c r="AL105" s="1"/>
      <c r="AN105" s="1"/>
      <c r="AO105" s="1"/>
      <c r="AP105" s="1"/>
      <c r="AQ105" s="1"/>
      <c r="AR105" s="1"/>
      <c r="AS105" s="1"/>
      <c r="AT105" s="1"/>
      <c r="AU105" s="1"/>
      <c r="AV105" s="1"/>
    </row>
    <row r="106" spans="1:48" x14ac:dyDescent="0.3">
      <c r="A106" s="1" t="s">
        <v>716</v>
      </c>
      <c r="B106" s="1" t="s">
        <v>674</v>
      </c>
      <c r="C106" s="1" t="s">
        <v>173</v>
      </c>
      <c r="D106" s="3" t="s">
        <v>234</v>
      </c>
      <c r="E106" s="3" t="s">
        <v>362</v>
      </c>
      <c r="H106" s="1" t="s">
        <v>738</v>
      </c>
      <c r="I106" s="1"/>
      <c r="J106" s="1"/>
      <c r="K106" s="1"/>
      <c r="L106" s="1"/>
      <c r="M106" s="1"/>
      <c r="N106" s="1"/>
      <c r="O106" s="1"/>
      <c r="P106" s="1"/>
      <c r="Q106" s="1"/>
      <c r="R106" s="1"/>
      <c r="T106" s="1"/>
      <c r="U106" s="1"/>
      <c r="V106" s="1"/>
      <c r="W106" s="1"/>
      <c r="X106" s="1"/>
      <c r="Y106" s="1"/>
      <c r="Z106" s="1"/>
      <c r="AB106" s="1"/>
      <c r="AC106" s="1"/>
      <c r="AD106" s="1"/>
      <c r="AE106" s="1"/>
      <c r="AF106" s="1"/>
      <c r="AG106" s="1"/>
      <c r="AH106" s="1"/>
      <c r="AI106" s="1"/>
      <c r="AL106" s="1"/>
      <c r="AN106" s="1"/>
      <c r="AO106" s="1"/>
      <c r="AP106" s="1"/>
      <c r="AQ106" s="1"/>
      <c r="AR106" s="1"/>
      <c r="AS106" s="1"/>
      <c r="AT106" s="1"/>
      <c r="AU106" s="1"/>
      <c r="AV106" s="1"/>
    </row>
    <row r="107" spans="1:48" x14ac:dyDescent="0.3">
      <c r="A107" s="1" t="s">
        <v>716</v>
      </c>
      <c r="B107" s="1" t="s">
        <v>675</v>
      </c>
      <c r="C107" s="1" t="s">
        <v>174</v>
      </c>
      <c r="D107" s="3" t="s">
        <v>235</v>
      </c>
      <c r="E107" s="11" t="s">
        <v>363</v>
      </c>
      <c r="H107" s="1" t="s">
        <v>738</v>
      </c>
      <c r="I107" s="1"/>
      <c r="J107" s="1"/>
      <c r="K107" s="1"/>
      <c r="L107" s="1"/>
      <c r="M107" s="1"/>
      <c r="N107" s="1"/>
      <c r="O107" s="1"/>
      <c r="P107" s="1"/>
      <c r="Q107" s="1"/>
      <c r="R107" s="1"/>
      <c r="T107" s="1"/>
      <c r="U107" s="1"/>
      <c r="V107" s="1"/>
      <c r="W107" s="1"/>
      <c r="X107" s="1"/>
      <c r="Y107" s="1"/>
      <c r="Z107" s="1"/>
      <c r="AB107" s="1"/>
      <c r="AC107" s="1"/>
      <c r="AD107" s="1"/>
      <c r="AE107" s="1"/>
      <c r="AF107" s="1"/>
      <c r="AG107" s="1"/>
      <c r="AH107" s="1"/>
      <c r="AI107" s="1"/>
      <c r="AL107" s="1"/>
      <c r="AN107" s="1"/>
      <c r="AO107" s="1"/>
      <c r="AP107" s="1"/>
      <c r="AQ107" s="1"/>
      <c r="AR107" s="1"/>
      <c r="AS107" s="1"/>
      <c r="AT107" s="1"/>
      <c r="AU107" s="1"/>
      <c r="AV107" s="1"/>
    </row>
    <row r="108" spans="1:48" x14ac:dyDescent="0.3">
      <c r="A108" s="1" t="s">
        <v>716</v>
      </c>
      <c r="B108" s="1" t="s">
        <v>676</v>
      </c>
      <c r="C108" s="1" t="s">
        <v>175</v>
      </c>
      <c r="D108" s="3" t="s">
        <v>236</v>
      </c>
      <c r="E108" s="11" t="s">
        <v>364</v>
      </c>
      <c r="H108" s="1" t="s">
        <v>738</v>
      </c>
      <c r="I108" s="1"/>
      <c r="J108" s="1"/>
      <c r="K108" s="1"/>
      <c r="L108" s="1"/>
      <c r="M108" s="1"/>
      <c r="N108" s="1"/>
      <c r="O108" s="1"/>
      <c r="P108" s="1"/>
      <c r="Q108" s="1"/>
      <c r="R108" s="1"/>
      <c r="T108" s="1"/>
      <c r="U108" s="1"/>
      <c r="V108" s="1"/>
      <c r="W108" s="1"/>
      <c r="X108" s="1"/>
      <c r="Y108" s="1"/>
      <c r="Z108" s="1"/>
      <c r="AB108" s="1"/>
      <c r="AC108" s="1"/>
      <c r="AD108" s="1"/>
      <c r="AE108" s="1"/>
      <c r="AF108" s="1"/>
      <c r="AG108" s="1"/>
      <c r="AH108" s="1"/>
      <c r="AI108" s="1"/>
      <c r="AL108" s="1"/>
      <c r="AN108" s="1"/>
      <c r="AO108" s="1"/>
      <c r="AP108" s="1"/>
      <c r="AQ108" s="1"/>
      <c r="AR108" s="1"/>
      <c r="AS108" s="1"/>
      <c r="AT108" s="1"/>
      <c r="AU108" s="1"/>
      <c r="AV108" s="1"/>
    </row>
    <row r="109" spans="1:48" x14ac:dyDescent="0.3">
      <c r="A109" s="1" t="s">
        <v>716</v>
      </c>
      <c r="B109" s="1" t="s">
        <v>677</v>
      </c>
      <c r="C109" s="1" t="s">
        <v>176</v>
      </c>
      <c r="D109" s="3" t="s">
        <v>237</v>
      </c>
      <c r="E109" s="3" t="s">
        <v>365</v>
      </c>
      <c r="H109" s="1" t="s">
        <v>738</v>
      </c>
      <c r="I109" s="1"/>
      <c r="J109" s="1"/>
      <c r="K109" s="1"/>
      <c r="L109" s="1"/>
      <c r="M109" s="1"/>
      <c r="N109" s="1"/>
      <c r="O109" s="1"/>
      <c r="P109" s="1"/>
      <c r="Q109" s="1"/>
      <c r="R109" s="1"/>
      <c r="T109" s="1"/>
      <c r="U109" s="1"/>
      <c r="V109" s="1"/>
      <c r="W109" s="1"/>
      <c r="X109" s="1"/>
      <c r="Y109" s="1"/>
      <c r="Z109" s="1"/>
      <c r="AB109" s="1"/>
      <c r="AC109" s="1"/>
      <c r="AD109" s="1"/>
      <c r="AE109" s="1"/>
      <c r="AF109" s="1"/>
      <c r="AG109" s="1"/>
      <c r="AH109" s="1"/>
      <c r="AI109" s="1"/>
      <c r="AL109" s="1"/>
      <c r="AN109" s="1"/>
      <c r="AO109" s="1"/>
      <c r="AP109" s="1"/>
      <c r="AQ109" s="1"/>
      <c r="AR109" s="1"/>
      <c r="AS109" s="1"/>
      <c r="AT109" s="1"/>
      <c r="AU109" s="1"/>
      <c r="AV109" s="1"/>
    </row>
    <row r="110" spans="1:48" x14ac:dyDescent="0.3">
      <c r="A110" s="1" t="s">
        <v>716</v>
      </c>
      <c r="B110" s="1" t="s">
        <v>678</v>
      </c>
      <c r="C110" s="1" t="s">
        <v>177</v>
      </c>
      <c r="D110" s="3" t="s">
        <v>238</v>
      </c>
      <c r="E110" s="11" t="s">
        <v>366</v>
      </c>
      <c r="H110" s="1" t="s">
        <v>738</v>
      </c>
      <c r="I110" s="1"/>
      <c r="J110" s="1"/>
      <c r="K110" s="1"/>
      <c r="L110" s="1"/>
      <c r="M110" s="1"/>
      <c r="N110" s="1"/>
      <c r="O110" s="1"/>
      <c r="P110" s="1"/>
      <c r="Q110" s="1"/>
      <c r="R110" s="1"/>
      <c r="T110" s="1"/>
      <c r="U110" s="1"/>
      <c r="V110" s="1"/>
      <c r="W110" s="1"/>
      <c r="X110" s="1"/>
      <c r="Y110" s="1"/>
      <c r="Z110" s="1"/>
      <c r="AB110" s="1"/>
      <c r="AC110" s="1"/>
      <c r="AD110" s="1"/>
      <c r="AE110" s="1"/>
      <c r="AF110" s="1"/>
      <c r="AG110" s="1"/>
      <c r="AH110" s="1"/>
      <c r="AI110" s="1"/>
      <c r="AL110" s="1"/>
      <c r="AN110" s="1"/>
      <c r="AO110" s="1"/>
      <c r="AP110" s="1"/>
      <c r="AQ110" s="1"/>
      <c r="AR110" s="1"/>
      <c r="AS110" s="1"/>
      <c r="AT110" s="1"/>
      <c r="AU110" s="1"/>
      <c r="AV110" s="1"/>
    </row>
    <row r="111" spans="1:48" x14ac:dyDescent="0.3">
      <c r="A111" s="1" t="s">
        <v>716</v>
      </c>
      <c r="B111" s="1" t="s">
        <v>679</v>
      </c>
      <c r="C111" s="1" t="s">
        <v>178</v>
      </c>
      <c r="D111" s="3" t="s">
        <v>239</v>
      </c>
      <c r="E111" s="3" t="s">
        <v>367</v>
      </c>
      <c r="H111" s="1" t="s">
        <v>738</v>
      </c>
      <c r="I111" s="1"/>
      <c r="J111" s="1"/>
      <c r="K111" s="1"/>
      <c r="L111" s="1"/>
      <c r="M111" s="1"/>
      <c r="N111" s="1"/>
      <c r="O111" s="1"/>
      <c r="P111" s="1"/>
      <c r="Q111" s="1"/>
      <c r="R111" s="1"/>
      <c r="T111" s="1"/>
      <c r="U111" s="1"/>
      <c r="V111" s="1"/>
      <c r="W111" s="1"/>
      <c r="X111" s="1"/>
      <c r="Y111" s="1"/>
      <c r="Z111" s="1"/>
      <c r="AB111" s="1"/>
      <c r="AC111" s="1"/>
      <c r="AD111" s="1"/>
      <c r="AE111" s="1"/>
      <c r="AF111" s="1"/>
      <c r="AG111" s="1"/>
      <c r="AH111" s="1"/>
      <c r="AI111" s="1"/>
      <c r="AL111" s="1"/>
      <c r="AN111" s="1"/>
      <c r="AO111" s="1"/>
      <c r="AP111" s="1"/>
      <c r="AQ111" s="1"/>
      <c r="AR111" s="1"/>
      <c r="AS111" s="1"/>
      <c r="AT111" s="1"/>
      <c r="AU111" s="1"/>
      <c r="AV111" s="1"/>
    </row>
    <row r="112" spans="1:48" x14ac:dyDescent="0.3">
      <c r="A112" s="1" t="s">
        <v>716</v>
      </c>
      <c r="B112" s="1" t="s">
        <v>680</v>
      </c>
      <c r="C112" s="1" t="s">
        <v>179</v>
      </c>
      <c r="D112" s="3" t="s">
        <v>240</v>
      </c>
      <c r="E112" s="3" t="s">
        <v>368</v>
      </c>
      <c r="H112" s="1" t="s">
        <v>738</v>
      </c>
      <c r="I112" s="1"/>
      <c r="J112" s="1"/>
      <c r="K112" s="1"/>
      <c r="L112" s="1"/>
      <c r="M112" s="1"/>
      <c r="N112" s="1"/>
      <c r="O112" s="1"/>
      <c r="P112" s="1"/>
      <c r="Q112" s="1"/>
      <c r="R112" s="1"/>
      <c r="T112" s="1"/>
      <c r="U112" s="1"/>
      <c r="V112" s="1"/>
      <c r="W112" s="1"/>
      <c r="X112" s="1"/>
      <c r="Y112" s="1"/>
      <c r="Z112" s="1"/>
      <c r="AB112" s="1"/>
      <c r="AC112" s="1"/>
      <c r="AD112" s="1"/>
      <c r="AE112" s="1"/>
      <c r="AF112" s="1"/>
      <c r="AG112" s="1"/>
      <c r="AH112" s="1"/>
      <c r="AI112" s="1"/>
      <c r="AL112" s="1"/>
      <c r="AN112" s="1"/>
      <c r="AO112" s="1"/>
      <c r="AP112" s="1"/>
      <c r="AQ112" s="1"/>
      <c r="AR112" s="1"/>
      <c r="AS112" s="1"/>
      <c r="AT112" s="1"/>
      <c r="AU112" s="1"/>
      <c r="AV112" s="1"/>
    </row>
    <row r="113" spans="1:48" x14ac:dyDescent="0.3">
      <c r="A113" s="1" t="s">
        <v>716</v>
      </c>
      <c r="B113" s="1" t="s">
        <v>681</v>
      </c>
      <c r="C113" s="1" t="s">
        <v>180</v>
      </c>
      <c r="E113" s="3" t="s">
        <v>369</v>
      </c>
      <c r="H113" s="1" t="s">
        <v>738</v>
      </c>
      <c r="I113" s="1"/>
      <c r="J113" s="1"/>
      <c r="K113" s="1"/>
      <c r="L113" s="1"/>
      <c r="M113" s="1"/>
      <c r="N113" s="1"/>
      <c r="O113" s="1"/>
      <c r="P113" s="1"/>
      <c r="Q113" s="1"/>
      <c r="R113" s="1"/>
      <c r="T113" s="1"/>
      <c r="U113" s="1"/>
      <c r="V113" s="1"/>
      <c r="W113" s="1"/>
      <c r="X113" s="1"/>
      <c r="Y113" s="1"/>
      <c r="Z113" s="1"/>
      <c r="AB113" s="1"/>
      <c r="AC113" s="1"/>
      <c r="AD113" s="1"/>
      <c r="AE113" s="1"/>
      <c r="AF113" s="1"/>
      <c r="AG113" s="1"/>
      <c r="AH113" s="1"/>
      <c r="AI113" s="1"/>
      <c r="AL113" s="1"/>
      <c r="AN113" s="1"/>
      <c r="AO113" s="1"/>
      <c r="AP113" s="1"/>
      <c r="AQ113" s="1"/>
      <c r="AR113" s="1"/>
      <c r="AS113" s="1"/>
      <c r="AT113" s="1"/>
      <c r="AU113" s="1"/>
      <c r="AV113" s="1"/>
    </row>
    <row r="114" spans="1:48" x14ac:dyDescent="0.3">
      <c r="A114" s="1" t="s">
        <v>716</v>
      </c>
      <c r="B114" s="1" t="s">
        <v>682</v>
      </c>
      <c r="C114" s="1" t="s">
        <v>181</v>
      </c>
      <c r="D114" s="3" t="s">
        <v>241</v>
      </c>
      <c r="E114" s="3" t="s">
        <v>370</v>
      </c>
      <c r="H114" s="1" t="s">
        <v>738</v>
      </c>
      <c r="I114" s="1"/>
      <c r="J114" s="1"/>
      <c r="K114" s="1"/>
      <c r="L114" s="1"/>
      <c r="M114" s="1"/>
      <c r="N114" s="1"/>
      <c r="O114" s="1"/>
      <c r="P114" s="1"/>
      <c r="Q114" s="1"/>
      <c r="R114" s="1"/>
      <c r="T114" s="1"/>
      <c r="U114" s="1"/>
      <c r="V114" s="1"/>
      <c r="W114" s="1"/>
      <c r="X114" s="1"/>
      <c r="Y114" s="1"/>
      <c r="Z114" s="1"/>
      <c r="AB114" s="1"/>
      <c r="AC114" s="1"/>
      <c r="AD114" s="1"/>
      <c r="AE114" s="1"/>
      <c r="AF114" s="1"/>
      <c r="AG114" s="1"/>
      <c r="AH114" s="1"/>
      <c r="AI114" s="1"/>
      <c r="AL114" s="1"/>
      <c r="AN114" s="1"/>
      <c r="AO114" s="1"/>
      <c r="AP114" s="1"/>
      <c r="AQ114" s="1"/>
      <c r="AR114" s="1"/>
      <c r="AS114" s="1"/>
      <c r="AT114" s="1"/>
      <c r="AU114" s="1"/>
      <c r="AV114" s="1"/>
    </row>
    <row r="115" spans="1:48" x14ac:dyDescent="0.3">
      <c r="A115" s="1" t="s">
        <v>716</v>
      </c>
      <c r="B115" s="1" t="s">
        <v>683</v>
      </c>
      <c r="C115" s="1" t="s">
        <v>182</v>
      </c>
      <c r="D115" s="3" t="s">
        <v>218</v>
      </c>
      <c r="E115" s="3" t="s">
        <v>371</v>
      </c>
      <c r="H115" s="1" t="s">
        <v>738</v>
      </c>
      <c r="I115" s="1"/>
      <c r="J115" s="1"/>
      <c r="K115" s="1"/>
      <c r="L115" s="1"/>
      <c r="M115" s="1"/>
      <c r="N115" s="1"/>
      <c r="O115" s="1"/>
      <c r="P115" s="1"/>
      <c r="Q115" s="1"/>
      <c r="R115" s="1"/>
      <c r="T115" s="1"/>
      <c r="U115" s="1"/>
      <c r="V115" s="1"/>
      <c r="W115" s="1"/>
      <c r="X115" s="1"/>
      <c r="Y115" s="1"/>
      <c r="Z115" s="1"/>
      <c r="AB115" s="1"/>
      <c r="AC115" s="1"/>
      <c r="AD115" s="1"/>
      <c r="AE115" s="1"/>
      <c r="AF115" s="1"/>
      <c r="AG115" s="1"/>
      <c r="AH115" s="1"/>
      <c r="AI115" s="1"/>
      <c r="AL115" s="1"/>
      <c r="AN115" s="1"/>
      <c r="AO115" s="1"/>
      <c r="AP115" s="1"/>
      <c r="AQ115" s="1"/>
      <c r="AR115" s="1"/>
      <c r="AS115" s="1"/>
      <c r="AT115" s="1"/>
      <c r="AU115" s="1"/>
      <c r="AV115" s="1"/>
    </row>
    <row r="116" spans="1:48" x14ac:dyDescent="0.3">
      <c r="A116" s="1" t="s">
        <v>716</v>
      </c>
      <c r="B116" s="1" t="s">
        <v>684</v>
      </c>
      <c r="C116" s="1" t="s">
        <v>183</v>
      </c>
      <c r="D116" s="3" t="s">
        <v>242</v>
      </c>
      <c r="E116" s="3" t="s">
        <v>372</v>
      </c>
      <c r="H116" s="1" t="s">
        <v>738</v>
      </c>
      <c r="I116" s="1"/>
      <c r="J116" s="1"/>
      <c r="K116" s="1"/>
      <c r="L116" s="1"/>
      <c r="M116" s="1"/>
      <c r="N116" s="1"/>
      <c r="O116" s="1"/>
      <c r="P116" s="1"/>
      <c r="Q116" s="1"/>
      <c r="R116" s="1"/>
      <c r="T116" s="1"/>
      <c r="U116" s="1"/>
      <c r="V116" s="1"/>
      <c r="W116" s="1"/>
      <c r="X116" s="1"/>
      <c r="Y116" s="1"/>
      <c r="Z116" s="1"/>
      <c r="AB116" s="1"/>
      <c r="AC116" s="1"/>
      <c r="AD116" s="1"/>
      <c r="AE116" s="1"/>
      <c r="AF116" s="1"/>
      <c r="AG116" s="1"/>
      <c r="AH116" s="1"/>
      <c r="AI116" s="1"/>
      <c r="AL116" s="1"/>
      <c r="AN116" s="1"/>
      <c r="AO116" s="1"/>
      <c r="AP116" s="1"/>
      <c r="AQ116" s="1"/>
      <c r="AR116" s="1"/>
      <c r="AS116" s="1"/>
      <c r="AT116" s="1"/>
      <c r="AU116" s="1"/>
      <c r="AV116" s="1"/>
    </row>
    <row r="117" spans="1:48" x14ac:dyDescent="0.3">
      <c r="A117" s="1" t="s">
        <v>716</v>
      </c>
      <c r="B117" s="1" t="s">
        <v>685</v>
      </c>
      <c r="C117" s="1" t="s">
        <v>184</v>
      </c>
      <c r="D117" s="3" t="s">
        <v>243</v>
      </c>
      <c r="E117" s="3" t="s">
        <v>373</v>
      </c>
      <c r="H117" s="1" t="s">
        <v>738</v>
      </c>
      <c r="I117" s="1"/>
      <c r="J117" s="1"/>
      <c r="K117" s="1"/>
      <c r="L117" s="1"/>
      <c r="M117" s="1"/>
      <c r="N117" s="1"/>
      <c r="O117" s="1"/>
      <c r="P117" s="1"/>
      <c r="Q117" s="1"/>
      <c r="R117" s="1"/>
      <c r="T117" s="1"/>
      <c r="U117" s="1"/>
      <c r="V117" s="1"/>
      <c r="W117" s="1"/>
      <c r="X117" s="1"/>
      <c r="Y117" s="1"/>
      <c r="Z117" s="1"/>
      <c r="AB117" s="1"/>
      <c r="AC117" s="1"/>
      <c r="AD117" s="1"/>
      <c r="AE117" s="1"/>
      <c r="AF117" s="1"/>
      <c r="AG117" s="1"/>
      <c r="AH117" s="1"/>
      <c r="AI117" s="1"/>
      <c r="AL117" s="1"/>
      <c r="AN117" s="1"/>
      <c r="AO117" s="1"/>
      <c r="AP117" s="1"/>
      <c r="AQ117" s="1"/>
      <c r="AR117" s="1"/>
      <c r="AS117" s="1"/>
      <c r="AT117" s="1"/>
      <c r="AU117" s="1"/>
      <c r="AV117" s="1"/>
    </row>
    <row r="118" spans="1:48" x14ac:dyDescent="0.3">
      <c r="A118" s="1" t="s">
        <v>716</v>
      </c>
      <c r="B118" s="1" t="s">
        <v>686</v>
      </c>
      <c r="C118" s="1" t="s">
        <v>185</v>
      </c>
      <c r="D118" s="3" t="s">
        <v>244</v>
      </c>
      <c r="E118" s="3" t="s">
        <v>374</v>
      </c>
      <c r="H118" s="1" t="s">
        <v>738</v>
      </c>
      <c r="I118" s="1"/>
      <c r="J118" s="1"/>
      <c r="K118" s="1"/>
      <c r="L118" s="1"/>
      <c r="M118" s="1"/>
      <c r="N118" s="1"/>
      <c r="O118" s="1"/>
      <c r="P118" s="1"/>
      <c r="Q118" s="1"/>
      <c r="R118" s="1"/>
      <c r="T118" s="1"/>
      <c r="U118" s="1"/>
      <c r="V118" s="1"/>
      <c r="W118" s="1"/>
      <c r="X118" s="1"/>
      <c r="Y118" s="1"/>
      <c r="Z118" s="1"/>
      <c r="AB118" s="1"/>
      <c r="AC118" s="1"/>
      <c r="AD118" s="1"/>
      <c r="AE118" s="1"/>
      <c r="AF118" s="1"/>
      <c r="AG118" s="1"/>
      <c r="AH118" s="1"/>
      <c r="AI118" s="1"/>
      <c r="AL118" s="1"/>
      <c r="AN118" s="1"/>
      <c r="AO118" s="1"/>
      <c r="AP118" s="1"/>
      <c r="AQ118" s="1"/>
      <c r="AR118" s="1"/>
      <c r="AS118" s="1"/>
      <c r="AT118" s="1"/>
      <c r="AU118" s="1"/>
      <c r="AV118" s="1"/>
    </row>
    <row r="119" spans="1:48" x14ac:dyDescent="0.3">
      <c r="A119" s="1" t="s">
        <v>716</v>
      </c>
      <c r="B119" s="1" t="s">
        <v>687</v>
      </c>
      <c r="C119" s="1" t="s">
        <v>186</v>
      </c>
      <c r="H119" s="1" t="s">
        <v>738</v>
      </c>
      <c r="I119" s="1"/>
      <c r="J119" s="1"/>
      <c r="K119" s="1"/>
      <c r="L119" s="1"/>
      <c r="M119" s="1"/>
      <c r="N119" s="1"/>
      <c r="O119" s="1"/>
      <c r="P119" s="1"/>
      <c r="Q119" s="1"/>
      <c r="R119" s="1"/>
      <c r="T119" s="1"/>
      <c r="U119" s="1"/>
      <c r="V119" s="1"/>
      <c r="W119" s="1"/>
      <c r="X119" s="1"/>
      <c r="Y119" s="1"/>
      <c r="Z119" s="1"/>
      <c r="AB119" s="1"/>
      <c r="AC119" s="1"/>
      <c r="AD119" s="1"/>
      <c r="AE119" s="1"/>
      <c r="AF119" s="1"/>
      <c r="AG119" s="1"/>
      <c r="AH119" s="1"/>
      <c r="AI119" s="1"/>
      <c r="AL119" s="1"/>
      <c r="AN119" s="1"/>
      <c r="AO119" s="1"/>
      <c r="AP119" s="1"/>
      <c r="AQ119" s="1"/>
      <c r="AR119" s="1"/>
      <c r="AS119" s="1"/>
      <c r="AT119" s="1"/>
      <c r="AU119" s="1"/>
      <c r="AV119" s="1"/>
    </row>
    <row r="120" spans="1:48" x14ac:dyDescent="0.3">
      <c r="A120" s="1" t="s">
        <v>716</v>
      </c>
      <c r="B120" s="1" t="s">
        <v>688</v>
      </c>
      <c r="C120" s="1" t="s">
        <v>187</v>
      </c>
      <c r="H120" s="1" t="s">
        <v>738</v>
      </c>
      <c r="I120" s="1"/>
      <c r="J120" s="1"/>
      <c r="K120" s="1"/>
      <c r="L120" s="1"/>
      <c r="M120" s="1"/>
      <c r="N120" s="1"/>
      <c r="O120" s="1"/>
      <c r="P120" s="1"/>
      <c r="Q120" s="1"/>
      <c r="R120" s="1"/>
      <c r="T120" s="1"/>
      <c r="U120" s="1"/>
      <c r="V120" s="1"/>
      <c r="W120" s="1"/>
      <c r="X120" s="1"/>
      <c r="Y120" s="1"/>
      <c r="Z120" s="1"/>
      <c r="AB120" s="1"/>
      <c r="AC120" s="1"/>
      <c r="AD120" s="1"/>
      <c r="AE120" s="1"/>
      <c r="AF120" s="1"/>
      <c r="AG120" s="1"/>
      <c r="AH120" s="1"/>
      <c r="AI120" s="1"/>
      <c r="AL120" s="1"/>
      <c r="AN120" s="1"/>
      <c r="AO120" s="1"/>
      <c r="AP120" s="1"/>
      <c r="AQ120" s="1"/>
      <c r="AR120" s="1"/>
      <c r="AS120" s="1"/>
      <c r="AT120" s="1"/>
      <c r="AU120" s="1"/>
      <c r="AV120" s="1"/>
    </row>
    <row r="121" spans="1:48" x14ac:dyDescent="0.3">
      <c r="A121" s="1" t="s">
        <v>716</v>
      </c>
      <c r="B121" s="1" t="s">
        <v>689</v>
      </c>
      <c r="C121" s="1" t="s">
        <v>188</v>
      </c>
      <c r="D121" s="3" t="s">
        <v>245</v>
      </c>
      <c r="E121" s="3" t="s">
        <v>375</v>
      </c>
      <c r="H121" s="1" t="s">
        <v>738</v>
      </c>
      <c r="I121" s="1"/>
      <c r="J121" s="1"/>
      <c r="K121" s="1"/>
      <c r="L121" s="1"/>
      <c r="M121" s="1"/>
      <c r="N121" s="1"/>
      <c r="O121" s="1"/>
      <c r="P121" s="1"/>
      <c r="Q121" s="1"/>
      <c r="R121" s="1"/>
      <c r="T121" s="1"/>
      <c r="U121" s="1"/>
      <c r="V121" s="1"/>
      <c r="W121" s="1"/>
      <c r="X121" s="1"/>
      <c r="Y121" s="1"/>
      <c r="Z121" s="1"/>
      <c r="AB121" s="1"/>
      <c r="AC121" s="1"/>
      <c r="AD121" s="1"/>
      <c r="AE121" s="1"/>
      <c r="AF121" s="1"/>
      <c r="AG121" s="1"/>
      <c r="AH121" s="1"/>
      <c r="AI121" s="1"/>
      <c r="AL121" s="1"/>
      <c r="AN121" s="1"/>
      <c r="AO121" s="1"/>
      <c r="AP121" s="1"/>
      <c r="AQ121" s="1"/>
      <c r="AR121" s="1"/>
      <c r="AS121" s="1"/>
      <c r="AT121" s="1"/>
      <c r="AU121" s="1"/>
      <c r="AV121" s="1"/>
    </row>
    <row r="122" spans="1:48" x14ac:dyDescent="0.3">
      <c r="A122" s="1" t="s">
        <v>716</v>
      </c>
      <c r="B122" s="1" t="s">
        <v>690</v>
      </c>
      <c r="C122" s="1" t="s">
        <v>189</v>
      </c>
      <c r="H122" s="1" t="s">
        <v>738</v>
      </c>
      <c r="I122" s="1"/>
      <c r="J122" s="1"/>
      <c r="K122" s="1"/>
      <c r="L122" s="1"/>
      <c r="M122" s="1"/>
      <c r="N122" s="1"/>
      <c r="O122" s="1"/>
      <c r="P122" s="1"/>
      <c r="Q122" s="1"/>
      <c r="R122" s="1"/>
      <c r="T122" s="1"/>
      <c r="U122" s="1"/>
      <c r="V122" s="1"/>
      <c r="W122" s="1"/>
      <c r="X122" s="1"/>
      <c r="Y122" s="1"/>
      <c r="Z122" s="1"/>
      <c r="AB122" s="1"/>
      <c r="AC122" s="1"/>
      <c r="AD122" s="1"/>
      <c r="AE122" s="1"/>
      <c r="AF122" s="1"/>
      <c r="AG122" s="1"/>
      <c r="AH122" s="1"/>
      <c r="AI122" s="1"/>
      <c r="AL122" s="1"/>
      <c r="AN122" s="1"/>
      <c r="AO122" s="1"/>
      <c r="AP122" s="1"/>
      <c r="AQ122" s="1"/>
      <c r="AR122" s="1"/>
      <c r="AS122" s="1"/>
      <c r="AT122" s="1"/>
      <c r="AU122" s="1"/>
      <c r="AV122" s="1"/>
    </row>
    <row r="123" spans="1:48" x14ac:dyDescent="0.3">
      <c r="A123" s="1" t="s">
        <v>716</v>
      </c>
      <c r="B123" s="1" t="s">
        <v>691</v>
      </c>
      <c r="C123" s="1" t="s">
        <v>190</v>
      </c>
      <c r="D123" s="3" t="s">
        <v>246</v>
      </c>
      <c r="E123" s="3" t="s">
        <v>376</v>
      </c>
      <c r="H123" s="1" t="s">
        <v>738</v>
      </c>
      <c r="I123" s="1"/>
      <c r="J123" s="1"/>
      <c r="K123" s="1"/>
      <c r="L123" s="1"/>
      <c r="M123" s="1"/>
      <c r="N123" s="1"/>
      <c r="O123" s="1"/>
      <c r="P123" s="1"/>
      <c r="Q123" s="1"/>
      <c r="R123" s="1"/>
      <c r="T123" s="1"/>
      <c r="U123" s="1"/>
      <c r="V123" s="1"/>
      <c r="W123" s="1"/>
      <c r="X123" s="1"/>
      <c r="Y123" s="1"/>
      <c r="Z123" s="1"/>
      <c r="AB123" s="1"/>
      <c r="AC123" s="1"/>
      <c r="AD123" s="1"/>
      <c r="AE123" s="1"/>
      <c r="AF123" s="1"/>
      <c r="AG123" s="1"/>
      <c r="AH123" s="1"/>
      <c r="AI123" s="1"/>
      <c r="AL123" s="1"/>
      <c r="AN123" s="1"/>
      <c r="AO123" s="1"/>
      <c r="AP123" s="1"/>
      <c r="AQ123" s="1"/>
      <c r="AR123" s="1"/>
      <c r="AS123" s="1"/>
      <c r="AT123" s="1"/>
      <c r="AU123" s="1"/>
      <c r="AV123" s="1"/>
    </row>
    <row r="124" spans="1:48" x14ac:dyDescent="0.3">
      <c r="A124" s="1" t="s">
        <v>716</v>
      </c>
      <c r="B124" s="1" t="s">
        <v>692</v>
      </c>
      <c r="C124" s="1" t="s">
        <v>191</v>
      </c>
      <c r="D124" s="3" t="s">
        <v>247</v>
      </c>
      <c r="E124" s="3" t="s">
        <v>377</v>
      </c>
      <c r="H124" s="1" t="s">
        <v>738</v>
      </c>
      <c r="I124" s="1"/>
      <c r="J124" s="1"/>
      <c r="K124" s="1"/>
      <c r="L124" s="1"/>
      <c r="M124" s="1"/>
      <c r="N124" s="1"/>
      <c r="O124" s="1"/>
      <c r="P124" s="1"/>
      <c r="Q124" s="1"/>
      <c r="R124" s="1"/>
      <c r="T124" s="1"/>
      <c r="U124" s="1"/>
      <c r="V124" s="1"/>
      <c r="W124" s="1"/>
      <c r="X124" s="1"/>
      <c r="Y124" s="1"/>
      <c r="Z124" s="1"/>
      <c r="AB124" s="1"/>
      <c r="AC124" s="1"/>
      <c r="AD124" s="1"/>
      <c r="AE124" s="1"/>
      <c r="AF124" s="1"/>
      <c r="AG124" s="1"/>
      <c r="AH124" s="1"/>
      <c r="AI124" s="1"/>
      <c r="AL124" s="1"/>
      <c r="AN124" s="1"/>
      <c r="AO124" s="1"/>
      <c r="AP124" s="1"/>
      <c r="AQ124" s="1"/>
      <c r="AR124" s="1"/>
      <c r="AS124" s="1"/>
      <c r="AT124" s="1"/>
      <c r="AU124" s="1"/>
      <c r="AV124" s="1"/>
    </row>
    <row r="125" spans="1:48" x14ac:dyDescent="0.3">
      <c r="A125" s="1" t="s">
        <v>716</v>
      </c>
      <c r="B125" s="1" t="s">
        <v>693</v>
      </c>
      <c r="C125" s="1" t="s">
        <v>192</v>
      </c>
      <c r="D125" s="3" t="s">
        <v>248</v>
      </c>
      <c r="E125" s="11" t="s">
        <v>378</v>
      </c>
      <c r="H125" s="1" t="s">
        <v>738</v>
      </c>
      <c r="I125" s="1"/>
      <c r="J125" s="1"/>
      <c r="K125" s="1"/>
      <c r="L125" s="1"/>
      <c r="M125" s="1"/>
      <c r="N125" s="1"/>
      <c r="O125" s="1"/>
      <c r="P125" s="1"/>
      <c r="Q125" s="1"/>
      <c r="R125" s="1"/>
      <c r="T125" s="1"/>
      <c r="U125" s="1"/>
      <c r="V125" s="1"/>
      <c r="W125" s="1"/>
      <c r="X125" s="1"/>
      <c r="Y125" s="1"/>
      <c r="Z125" s="1"/>
      <c r="AB125" s="1"/>
      <c r="AC125" s="1"/>
      <c r="AD125" s="1"/>
      <c r="AE125" s="1"/>
      <c r="AF125" s="1"/>
      <c r="AG125" s="1"/>
      <c r="AH125" s="1"/>
      <c r="AI125" s="1"/>
      <c r="AL125" s="1"/>
      <c r="AN125" s="1"/>
      <c r="AO125" s="1"/>
      <c r="AP125" s="1"/>
      <c r="AQ125" s="1"/>
      <c r="AR125" s="1"/>
      <c r="AS125" s="1"/>
      <c r="AT125" s="1"/>
      <c r="AU125" s="1"/>
      <c r="AV125" s="1"/>
    </row>
    <row r="126" spans="1:48" x14ac:dyDescent="0.3">
      <c r="A126" s="1" t="s">
        <v>716</v>
      </c>
      <c r="B126" s="1" t="s">
        <v>694</v>
      </c>
      <c r="C126" s="1" t="s">
        <v>193</v>
      </c>
      <c r="D126" s="3" t="s">
        <v>249</v>
      </c>
      <c r="E126" s="3" t="s">
        <v>379</v>
      </c>
      <c r="H126" s="1" t="s">
        <v>738</v>
      </c>
      <c r="I126" s="1"/>
      <c r="J126" s="1"/>
      <c r="K126" s="1"/>
      <c r="L126" s="1"/>
      <c r="M126" s="1"/>
      <c r="N126" s="1"/>
      <c r="O126" s="1"/>
      <c r="P126" s="1"/>
      <c r="Q126" s="1"/>
      <c r="R126" s="1"/>
      <c r="T126" s="1"/>
      <c r="U126" s="1"/>
      <c r="V126" s="1"/>
      <c r="W126" s="1"/>
      <c r="X126" s="1"/>
      <c r="Y126" s="1"/>
      <c r="Z126" s="1"/>
      <c r="AB126" s="1"/>
      <c r="AC126" s="1"/>
      <c r="AD126" s="1"/>
      <c r="AE126" s="1"/>
      <c r="AF126" s="1"/>
      <c r="AG126" s="1"/>
      <c r="AH126" s="1"/>
      <c r="AI126" s="1"/>
      <c r="AL126" s="1"/>
      <c r="AN126" s="1"/>
      <c r="AO126" s="1"/>
      <c r="AP126" s="1"/>
      <c r="AQ126" s="1"/>
      <c r="AR126" s="1"/>
      <c r="AS126" s="1"/>
      <c r="AT126" s="1"/>
      <c r="AU126" s="1"/>
      <c r="AV126" s="1"/>
    </row>
    <row r="127" spans="1:48" x14ac:dyDescent="0.3">
      <c r="A127" s="1" t="s">
        <v>716</v>
      </c>
      <c r="B127" s="1" t="s">
        <v>695</v>
      </c>
      <c r="C127" s="1" t="s">
        <v>194</v>
      </c>
      <c r="E127" s="11" t="s">
        <v>380</v>
      </c>
      <c r="H127" s="1" t="s">
        <v>738</v>
      </c>
      <c r="I127" s="1"/>
      <c r="J127" s="1"/>
      <c r="K127" s="1"/>
      <c r="L127" s="1"/>
      <c r="M127" s="1"/>
      <c r="N127" s="1"/>
      <c r="O127" s="1"/>
      <c r="P127" s="1"/>
      <c r="Q127" s="1"/>
      <c r="R127" s="1"/>
      <c r="T127" s="1"/>
      <c r="U127" s="1"/>
      <c r="V127" s="1"/>
      <c r="W127" s="1"/>
      <c r="X127" s="1"/>
      <c r="Y127" s="1"/>
      <c r="Z127" s="1"/>
      <c r="AB127" s="1"/>
      <c r="AC127" s="1"/>
      <c r="AD127" s="1"/>
      <c r="AE127" s="1"/>
      <c r="AF127" s="1"/>
      <c r="AG127" s="1"/>
      <c r="AH127" s="1"/>
      <c r="AI127" s="1"/>
      <c r="AL127" s="1"/>
      <c r="AN127" s="1"/>
      <c r="AO127" s="1"/>
      <c r="AP127" s="1"/>
      <c r="AQ127" s="1"/>
      <c r="AR127" s="1"/>
      <c r="AS127" s="1"/>
      <c r="AT127" s="1"/>
      <c r="AU127" s="1"/>
      <c r="AV127" s="1"/>
    </row>
    <row r="128" spans="1:48" x14ac:dyDescent="0.3">
      <c r="A128" s="1" t="s">
        <v>716</v>
      </c>
      <c r="B128" s="1" t="s">
        <v>696</v>
      </c>
      <c r="C128" s="1" t="s">
        <v>195</v>
      </c>
      <c r="E128" s="3" t="s">
        <v>381</v>
      </c>
      <c r="H128" s="1" t="s">
        <v>738</v>
      </c>
      <c r="I128" s="1"/>
      <c r="J128" s="1"/>
      <c r="K128" s="1"/>
      <c r="L128" s="1"/>
      <c r="M128" s="1"/>
      <c r="N128" s="1"/>
      <c r="O128" s="1"/>
      <c r="P128" s="1"/>
      <c r="Q128" s="1"/>
      <c r="R128" s="1"/>
      <c r="T128" s="1"/>
      <c r="U128" s="1"/>
      <c r="V128" s="1"/>
      <c r="W128" s="1"/>
      <c r="X128" s="1"/>
      <c r="Y128" s="1"/>
      <c r="Z128" s="1"/>
      <c r="AB128" s="1"/>
      <c r="AC128" s="1"/>
      <c r="AD128" s="1"/>
      <c r="AE128" s="1"/>
      <c r="AF128" s="1"/>
      <c r="AG128" s="1"/>
      <c r="AH128" s="1"/>
      <c r="AI128" s="1"/>
      <c r="AL128" s="1"/>
      <c r="AN128" s="1"/>
      <c r="AO128" s="1"/>
      <c r="AP128" s="1"/>
      <c r="AQ128" s="1"/>
      <c r="AR128" s="1"/>
      <c r="AS128" s="1"/>
      <c r="AT128" s="1"/>
      <c r="AU128" s="1"/>
      <c r="AV128" s="1"/>
    </row>
    <row r="129" spans="1:48" x14ac:dyDescent="0.3">
      <c r="A129" s="1" t="s">
        <v>716</v>
      </c>
      <c r="B129" s="1" t="s">
        <v>697</v>
      </c>
      <c r="C129" s="1" t="s">
        <v>196</v>
      </c>
      <c r="H129" s="1" t="s">
        <v>738</v>
      </c>
      <c r="I129" s="1"/>
      <c r="J129" s="1"/>
      <c r="K129" s="1"/>
      <c r="L129" s="1"/>
      <c r="M129" s="1"/>
      <c r="N129" s="1"/>
      <c r="O129" s="1"/>
      <c r="P129" s="1"/>
      <c r="Q129" s="1"/>
      <c r="R129" s="1"/>
      <c r="T129" s="1"/>
      <c r="U129" s="1"/>
      <c r="V129" s="1"/>
      <c r="W129" s="1"/>
      <c r="X129" s="1"/>
      <c r="Y129" s="1"/>
      <c r="Z129" s="1"/>
      <c r="AB129" s="1"/>
      <c r="AC129" s="1"/>
      <c r="AD129" s="1"/>
      <c r="AE129" s="1"/>
      <c r="AF129" s="1"/>
      <c r="AG129" s="1"/>
      <c r="AH129" s="1"/>
      <c r="AI129" s="1"/>
      <c r="AL129" s="1"/>
      <c r="AN129" s="1"/>
      <c r="AO129" s="1"/>
      <c r="AP129" s="1"/>
      <c r="AQ129" s="1"/>
      <c r="AR129" s="1"/>
      <c r="AS129" s="1"/>
      <c r="AT129" s="1"/>
      <c r="AU129" s="1"/>
      <c r="AV129" s="1"/>
    </row>
    <row r="130" spans="1:48" x14ac:dyDescent="0.3">
      <c r="A130" s="1" t="s">
        <v>716</v>
      </c>
      <c r="B130" s="1" t="s">
        <v>698</v>
      </c>
      <c r="C130" s="1" t="s">
        <v>197</v>
      </c>
      <c r="E130" s="3" t="s">
        <v>382</v>
      </c>
      <c r="H130" s="1" t="s">
        <v>738</v>
      </c>
      <c r="I130" s="1"/>
      <c r="J130" s="1"/>
      <c r="K130" s="1"/>
      <c r="L130" s="1"/>
      <c r="M130" s="1"/>
      <c r="N130" s="1"/>
      <c r="O130" s="1"/>
      <c r="P130" s="1"/>
      <c r="Q130" s="1"/>
      <c r="R130" s="1"/>
      <c r="T130" s="1"/>
      <c r="U130" s="1"/>
      <c r="V130" s="1"/>
      <c r="W130" s="1"/>
      <c r="X130" s="1"/>
      <c r="Y130" s="1"/>
      <c r="Z130" s="1"/>
      <c r="AB130" s="1"/>
      <c r="AC130" s="1"/>
      <c r="AD130" s="1"/>
      <c r="AE130" s="1"/>
      <c r="AF130" s="1"/>
      <c r="AG130" s="1"/>
      <c r="AH130" s="1"/>
      <c r="AI130" s="1"/>
      <c r="AL130" s="1"/>
      <c r="AN130" s="1"/>
      <c r="AO130" s="1"/>
      <c r="AP130" s="1"/>
      <c r="AQ130" s="1"/>
      <c r="AR130" s="1"/>
      <c r="AS130" s="1"/>
      <c r="AT130" s="1"/>
      <c r="AU130" s="1"/>
      <c r="AV130" s="1"/>
    </row>
    <row r="131" spans="1:48" x14ac:dyDescent="0.3">
      <c r="A131" s="1" t="s">
        <v>716</v>
      </c>
      <c r="B131" s="1" t="s">
        <v>699</v>
      </c>
      <c r="C131" s="1" t="s">
        <v>198</v>
      </c>
      <c r="D131" s="3" t="s">
        <v>250</v>
      </c>
      <c r="E131" s="3" t="s">
        <v>383</v>
      </c>
      <c r="F131" s="3" t="s">
        <v>490</v>
      </c>
      <c r="G131" s="3" t="s">
        <v>558</v>
      </c>
      <c r="H131" s="1" t="s">
        <v>738</v>
      </c>
      <c r="I131" s="1"/>
      <c r="J131" s="1"/>
      <c r="K131" s="1"/>
      <c r="L131" s="1"/>
      <c r="M131" s="1"/>
      <c r="N131" s="1"/>
      <c r="O131" s="1"/>
      <c r="P131" s="1"/>
      <c r="Q131" s="1"/>
      <c r="R131" s="1"/>
      <c r="T131" s="1"/>
      <c r="U131" s="1"/>
      <c r="V131" s="1"/>
      <c r="W131" s="1"/>
      <c r="X131" s="1"/>
      <c r="Y131" s="1"/>
      <c r="Z131" s="1"/>
      <c r="AB131" s="1"/>
      <c r="AC131" s="1"/>
      <c r="AD131" s="1"/>
      <c r="AE131" s="1"/>
      <c r="AF131" s="1"/>
      <c r="AG131" s="1"/>
      <c r="AH131" s="1"/>
      <c r="AI131" s="1"/>
      <c r="AL131" s="1"/>
      <c r="AN131" s="1"/>
      <c r="AO131" s="1"/>
      <c r="AP131" s="1"/>
      <c r="AQ131" s="1"/>
      <c r="AR131" s="1"/>
      <c r="AS131" s="1"/>
      <c r="AT131" s="1"/>
      <c r="AU131" s="1"/>
      <c r="AV131" s="1"/>
    </row>
    <row r="132" spans="1:48" x14ac:dyDescent="0.3">
      <c r="A132" s="1" t="s">
        <v>716</v>
      </c>
      <c r="B132" s="1" t="s">
        <v>700</v>
      </c>
      <c r="C132" s="1" t="s">
        <v>199</v>
      </c>
      <c r="D132" s="3" t="s">
        <v>251</v>
      </c>
      <c r="H132" s="1" t="s">
        <v>738</v>
      </c>
      <c r="I132" s="1"/>
      <c r="J132" s="1"/>
      <c r="K132" s="1"/>
      <c r="L132" s="1"/>
      <c r="M132" s="1"/>
      <c r="N132" s="1"/>
      <c r="O132" s="1"/>
      <c r="P132" s="1"/>
      <c r="Q132" s="1"/>
      <c r="R132" s="1"/>
      <c r="T132" s="1"/>
      <c r="U132" s="1"/>
      <c r="V132" s="1"/>
      <c r="W132" s="1"/>
      <c r="X132" s="1"/>
      <c r="Y132" s="1"/>
      <c r="Z132" s="1"/>
      <c r="AB132" s="1"/>
      <c r="AC132" s="1"/>
      <c r="AD132" s="1"/>
      <c r="AE132" s="1"/>
      <c r="AF132" s="1"/>
      <c r="AG132" s="1"/>
      <c r="AH132" s="1"/>
      <c r="AI132" s="1"/>
      <c r="AL132" s="1"/>
      <c r="AN132" s="1"/>
      <c r="AO132" s="1"/>
      <c r="AP132" s="1"/>
      <c r="AQ132" s="1"/>
      <c r="AR132" s="1"/>
      <c r="AS132" s="1"/>
      <c r="AT132" s="1"/>
      <c r="AU132" s="1"/>
      <c r="AV132" s="1"/>
    </row>
    <row r="133" spans="1:48" x14ac:dyDescent="0.3">
      <c r="A133" s="1" t="s">
        <v>716</v>
      </c>
      <c r="B133" s="1" t="s">
        <v>701</v>
      </c>
      <c r="C133" s="1" t="s">
        <v>183</v>
      </c>
      <c r="D133" s="3" t="s">
        <v>242</v>
      </c>
      <c r="E133" s="3" t="s">
        <v>372</v>
      </c>
      <c r="H133" s="1" t="s">
        <v>738</v>
      </c>
      <c r="I133" s="1"/>
      <c r="J133" s="1"/>
      <c r="K133" s="1"/>
      <c r="L133" s="1"/>
      <c r="M133" s="1"/>
      <c r="N133" s="1"/>
      <c r="O133" s="1"/>
      <c r="P133" s="1"/>
      <c r="Q133" s="1"/>
      <c r="R133" s="1"/>
      <c r="T133" s="1"/>
      <c r="U133" s="1"/>
      <c r="V133" s="1"/>
      <c r="W133" s="1"/>
      <c r="X133" s="1"/>
      <c r="Y133" s="1"/>
      <c r="Z133" s="1"/>
      <c r="AB133" s="1"/>
      <c r="AC133" s="1"/>
      <c r="AD133" s="1"/>
      <c r="AE133" s="1"/>
      <c r="AF133" s="1"/>
      <c r="AG133" s="1"/>
      <c r="AH133" s="1"/>
      <c r="AI133" s="1"/>
      <c r="AL133" s="1"/>
      <c r="AN133" s="1"/>
      <c r="AO133" s="1"/>
      <c r="AP133" s="1"/>
      <c r="AQ133" s="1"/>
      <c r="AR133" s="1"/>
      <c r="AS133" s="1"/>
      <c r="AT133" s="1"/>
      <c r="AU133" s="1"/>
      <c r="AV133" s="1"/>
    </row>
    <row r="134" spans="1:48" x14ac:dyDescent="0.3">
      <c r="A134" s="1" t="s">
        <v>716</v>
      </c>
      <c r="B134" s="1" t="s">
        <v>702</v>
      </c>
      <c r="C134" s="1" t="s">
        <v>181</v>
      </c>
      <c r="D134" s="3" t="s">
        <v>252</v>
      </c>
      <c r="E134" s="3" t="s">
        <v>384</v>
      </c>
      <c r="H134" s="1" t="s">
        <v>738</v>
      </c>
      <c r="I134" s="1"/>
      <c r="J134" s="1"/>
      <c r="K134" s="1"/>
      <c r="L134" s="1"/>
      <c r="M134" s="1"/>
      <c r="N134" s="1"/>
      <c r="O134" s="1"/>
      <c r="P134" s="1"/>
      <c r="Q134" s="1"/>
      <c r="R134" s="1"/>
      <c r="T134" s="1"/>
      <c r="U134" s="1"/>
      <c r="V134" s="1"/>
      <c r="W134" s="1"/>
      <c r="X134" s="1"/>
      <c r="Y134" s="1"/>
      <c r="Z134" s="1"/>
      <c r="AB134" s="1"/>
      <c r="AC134" s="1"/>
      <c r="AD134" s="1"/>
      <c r="AE134" s="1"/>
      <c r="AF134" s="1"/>
      <c r="AG134" s="1"/>
      <c r="AH134" s="1"/>
      <c r="AI134" s="1"/>
      <c r="AL134" s="1"/>
      <c r="AN134" s="1"/>
      <c r="AO134" s="1"/>
      <c r="AP134" s="1"/>
      <c r="AQ134" s="1"/>
      <c r="AR134" s="1"/>
      <c r="AS134" s="1"/>
      <c r="AT134" s="1"/>
      <c r="AU134" s="1"/>
      <c r="AV134" s="1"/>
    </row>
    <row r="135" spans="1:48" x14ac:dyDescent="0.3">
      <c r="A135" s="1" t="s">
        <v>716</v>
      </c>
      <c r="B135" s="1" t="s">
        <v>703</v>
      </c>
      <c r="C135" s="1" t="s">
        <v>133</v>
      </c>
      <c r="D135" s="3" t="s">
        <v>253</v>
      </c>
      <c r="E135" s="3" t="s">
        <v>322</v>
      </c>
      <c r="H135" s="1" t="s">
        <v>738</v>
      </c>
      <c r="I135" s="1"/>
      <c r="J135" s="1"/>
      <c r="K135" s="1"/>
      <c r="L135" s="1"/>
      <c r="M135" s="1"/>
      <c r="N135" s="1"/>
      <c r="O135" s="1"/>
      <c r="P135" s="1"/>
      <c r="Q135" s="1"/>
      <c r="R135" s="1"/>
      <c r="T135" s="1"/>
      <c r="U135" s="1"/>
      <c r="V135" s="1"/>
      <c r="W135" s="1"/>
      <c r="X135" s="1"/>
      <c r="Y135" s="1"/>
      <c r="Z135" s="1"/>
      <c r="AB135" s="1"/>
      <c r="AC135" s="1"/>
      <c r="AD135" s="1"/>
      <c r="AE135" s="1"/>
      <c r="AF135" s="1"/>
      <c r="AG135" s="1"/>
      <c r="AH135" s="1"/>
      <c r="AI135" s="1"/>
      <c r="AL135" s="1"/>
      <c r="AN135" s="1"/>
      <c r="AO135" s="1"/>
      <c r="AP135" s="1"/>
      <c r="AQ135" s="1"/>
      <c r="AR135" s="1"/>
      <c r="AS135" s="1"/>
      <c r="AT135" s="1"/>
      <c r="AU135" s="1"/>
      <c r="AV135" s="1"/>
    </row>
    <row r="136" spans="1:48" x14ac:dyDescent="0.3">
      <c r="A136" s="1" t="s">
        <v>716</v>
      </c>
      <c r="B136" s="1" t="s">
        <v>704</v>
      </c>
      <c r="C136" s="1" t="s">
        <v>180</v>
      </c>
      <c r="E136" s="3" t="s">
        <v>385</v>
      </c>
      <c r="H136" s="1" t="s">
        <v>738</v>
      </c>
      <c r="I136" s="1"/>
      <c r="J136" s="1"/>
      <c r="K136" s="1"/>
      <c r="L136" s="1"/>
      <c r="M136" s="1"/>
      <c r="N136" s="1"/>
      <c r="O136" s="1"/>
      <c r="P136" s="1"/>
      <c r="Q136" s="1"/>
      <c r="R136" s="1"/>
      <c r="T136" s="1"/>
      <c r="U136" s="1"/>
      <c r="V136" s="1"/>
      <c r="W136" s="1"/>
      <c r="X136" s="1"/>
      <c r="Y136" s="1"/>
      <c r="Z136" s="1"/>
      <c r="AB136" s="1"/>
      <c r="AC136" s="1"/>
      <c r="AD136" s="1"/>
      <c r="AE136" s="1"/>
      <c r="AF136" s="1"/>
      <c r="AG136" s="1"/>
      <c r="AH136" s="1"/>
      <c r="AI136" s="1"/>
      <c r="AL136" s="1"/>
      <c r="AN136" s="1"/>
      <c r="AO136" s="1"/>
      <c r="AP136" s="1"/>
      <c r="AQ136" s="1"/>
      <c r="AR136" s="1"/>
      <c r="AS136" s="1"/>
      <c r="AT136" s="1"/>
      <c r="AU136" s="1"/>
      <c r="AV136" s="1"/>
    </row>
    <row r="137" spans="1:48" x14ac:dyDescent="0.3">
      <c r="A137" s="1" t="s">
        <v>716</v>
      </c>
      <c r="B137" s="1" t="s">
        <v>705</v>
      </c>
      <c r="C137" s="1" t="s">
        <v>200</v>
      </c>
      <c r="H137" s="1" t="s">
        <v>738</v>
      </c>
      <c r="I137" s="1"/>
      <c r="J137" s="1"/>
      <c r="K137" s="1"/>
      <c r="L137" s="1"/>
      <c r="M137" s="1"/>
      <c r="N137" s="1"/>
      <c r="O137" s="1"/>
      <c r="P137" s="1"/>
      <c r="Q137" s="1"/>
      <c r="R137" s="1"/>
      <c r="T137" s="1"/>
      <c r="U137" s="1"/>
      <c r="V137" s="1"/>
      <c r="W137" s="1"/>
      <c r="X137" s="1"/>
      <c r="Y137" s="1"/>
      <c r="Z137" s="1"/>
      <c r="AB137" s="1"/>
      <c r="AC137" s="1"/>
      <c r="AD137" s="1"/>
      <c r="AE137" s="1"/>
      <c r="AF137" s="1"/>
      <c r="AG137" s="1"/>
      <c r="AH137" s="1"/>
      <c r="AI137" s="1"/>
      <c r="AL137" s="1"/>
      <c r="AN137" s="1"/>
      <c r="AO137" s="1"/>
      <c r="AP137" s="1"/>
      <c r="AQ137" s="1"/>
      <c r="AR137" s="1"/>
      <c r="AS137" s="1"/>
      <c r="AT137" s="1"/>
      <c r="AU137" s="1"/>
      <c r="AV137" s="1"/>
    </row>
    <row r="138" spans="1:48" x14ac:dyDescent="0.3">
      <c r="A138" s="1" t="s">
        <v>716</v>
      </c>
      <c r="B138" s="1" t="s">
        <v>706</v>
      </c>
      <c r="C138" s="1" t="s">
        <v>201</v>
      </c>
      <c r="H138" s="1" t="s">
        <v>738</v>
      </c>
      <c r="I138" s="1"/>
      <c r="J138" s="1"/>
      <c r="K138" s="1"/>
      <c r="L138" s="1"/>
      <c r="M138" s="1"/>
      <c r="N138" s="1"/>
      <c r="O138" s="1"/>
      <c r="P138" s="1"/>
      <c r="Q138" s="1"/>
      <c r="R138" s="1"/>
      <c r="T138" s="1"/>
      <c r="U138" s="1"/>
      <c r="V138" s="1"/>
      <c r="W138" s="1"/>
      <c r="X138" s="1"/>
      <c r="Y138" s="1"/>
      <c r="Z138" s="1"/>
      <c r="AB138" s="1"/>
      <c r="AC138" s="1"/>
      <c r="AD138" s="1"/>
      <c r="AE138" s="1"/>
      <c r="AF138" s="1"/>
      <c r="AG138" s="1"/>
      <c r="AH138" s="1"/>
      <c r="AI138" s="1"/>
      <c r="AL138" s="1"/>
      <c r="AN138" s="1"/>
      <c r="AO138" s="1"/>
      <c r="AP138" s="1"/>
      <c r="AQ138" s="1"/>
      <c r="AR138" s="1"/>
      <c r="AS138" s="1"/>
      <c r="AT138" s="1"/>
      <c r="AU138" s="1"/>
      <c r="AV138" s="1"/>
    </row>
    <row r="139" spans="1:48" x14ac:dyDescent="0.3">
      <c r="A139" s="1" t="s">
        <v>716</v>
      </c>
      <c r="B139" s="1" t="s">
        <v>707</v>
      </c>
      <c r="C139" s="1" t="s">
        <v>202</v>
      </c>
      <c r="H139" s="1" t="s">
        <v>738</v>
      </c>
      <c r="I139" s="1"/>
      <c r="J139" s="1"/>
      <c r="K139" s="1"/>
      <c r="L139" s="1"/>
      <c r="M139" s="1"/>
      <c r="N139" s="1"/>
      <c r="O139" s="1"/>
      <c r="P139" s="1"/>
      <c r="Q139" s="1"/>
      <c r="R139" s="1"/>
      <c r="T139" s="1"/>
      <c r="U139" s="1"/>
      <c r="V139" s="1"/>
      <c r="W139" s="1"/>
      <c r="X139" s="1"/>
      <c r="Y139" s="1"/>
      <c r="Z139" s="1"/>
      <c r="AB139" s="1"/>
      <c r="AC139" s="1"/>
      <c r="AD139" s="1"/>
      <c r="AE139" s="1"/>
      <c r="AF139" s="1"/>
      <c r="AG139" s="1"/>
      <c r="AH139" s="1"/>
      <c r="AI139" s="1"/>
      <c r="AL139" s="1"/>
      <c r="AN139" s="1"/>
      <c r="AO139" s="1"/>
      <c r="AP139" s="1"/>
      <c r="AQ139" s="1"/>
      <c r="AR139" s="1"/>
      <c r="AS139" s="1"/>
      <c r="AT139" s="1"/>
      <c r="AU139" s="1"/>
      <c r="AV139" s="1"/>
    </row>
    <row r="140" spans="1:48" x14ac:dyDescent="0.3">
      <c r="A140" s="1" t="s">
        <v>716</v>
      </c>
      <c r="B140" s="1" t="s">
        <v>739</v>
      </c>
      <c r="C140" s="1" t="s">
        <v>203</v>
      </c>
      <c r="H140" s="1" t="s">
        <v>738</v>
      </c>
      <c r="I140" s="1"/>
      <c r="J140" s="1"/>
      <c r="K140" s="1"/>
      <c r="L140" s="1"/>
      <c r="M140" s="1"/>
      <c r="N140" s="1"/>
      <c r="O140" s="1"/>
      <c r="P140" s="1"/>
      <c r="Q140" s="1"/>
      <c r="R140" s="1"/>
      <c r="T140" s="1"/>
      <c r="U140" s="1"/>
      <c r="V140" s="1"/>
      <c r="W140" s="1"/>
      <c r="X140" s="1"/>
      <c r="Y140" s="1"/>
      <c r="Z140" s="1"/>
      <c r="AB140" s="1"/>
      <c r="AC140" s="1"/>
      <c r="AD140" s="1"/>
      <c r="AE140" s="1"/>
      <c r="AF140" s="1"/>
      <c r="AG140" s="1"/>
      <c r="AH140" s="1"/>
      <c r="AI140" s="1"/>
      <c r="AL140" s="1"/>
      <c r="AN140" s="1"/>
      <c r="AO140" s="1"/>
      <c r="AP140" s="1"/>
      <c r="AQ140" s="1"/>
      <c r="AR140" s="1"/>
      <c r="AS140" s="1"/>
      <c r="AT140" s="1"/>
      <c r="AU140" s="1"/>
      <c r="AV140" s="1"/>
    </row>
    <row r="141" spans="1:48" x14ac:dyDescent="0.3">
      <c r="A141" s="1" t="s">
        <v>716</v>
      </c>
      <c r="B141" s="1" t="s">
        <v>740</v>
      </c>
      <c r="C141" s="1" t="s">
        <v>204</v>
      </c>
      <c r="H141" s="1" t="s">
        <v>738</v>
      </c>
      <c r="I141" s="1"/>
      <c r="J141" s="1"/>
      <c r="K141" s="1"/>
      <c r="L141" s="1"/>
      <c r="M141" s="1"/>
      <c r="N141" s="1"/>
      <c r="O141" s="1"/>
      <c r="P141" s="1"/>
      <c r="Q141" s="1"/>
      <c r="R141" s="1"/>
      <c r="T141" s="1"/>
      <c r="U141" s="1"/>
      <c r="V141" s="1"/>
      <c r="W141" s="1"/>
      <c r="X141" s="1"/>
      <c r="Y141" s="1"/>
      <c r="Z141" s="1"/>
      <c r="AB141" s="1"/>
      <c r="AC141" s="1"/>
      <c r="AD141" s="1"/>
      <c r="AE141" s="1"/>
      <c r="AF141" s="1"/>
      <c r="AG141" s="1"/>
      <c r="AH141" s="1"/>
      <c r="AI141" s="1"/>
      <c r="AL141" s="1"/>
      <c r="AN141" s="1"/>
      <c r="AO141" s="1"/>
      <c r="AP141" s="1"/>
      <c r="AQ141" s="1"/>
      <c r="AR141" s="1"/>
      <c r="AS141" s="1"/>
      <c r="AT141" s="1"/>
      <c r="AU141" s="1"/>
      <c r="AV141" s="1"/>
    </row>
    <row r="142" spans="1:48" x14ac:dyDescent="0.3">
      <c r="A142" s="1" t="s">
        <v>716</v>
      </c>
      <c r="B142" s="1" t="s">
        <v>741</v>
      </c>
      <c r="C142" s="1" t="s">
        <v>1799</v>
      </c>
      <c r="H142" s="1" t="s">
        <v>738</v>
      </c>
      <c r="I142" s="1"/>
      <c r="J142" s="1"/>
      <c r="K142" s="1"/>
      <c r="L142" s="1"/>
      <c r="M142" s="1"/>
      <c r="N142" s="1"/>
      <c r="O142" s="1"/>
      <c r="P142" s="1"/>
      <c r="Q142" s="1"/>
      <c r="R142" s="1"/>
      <c r="T142" s="1"/>
      <c r="U142" s="1"/>
      <c r="V142" s="1"/>
      <c r="W142" s="1"/>
      <c r="X142" s="1"/>
      <c r="Y142" s="1"/>
      <c r="Z142" s="1"/>
      <c r="AB142" s="1"/>
      <c r="AC142" s="1"/>
      <c r="AD142" s="1"/>
      <c r="AE142" s="1"/>
      <c r="AF142" s="1"/>
      <c r="AG142" s="1"/>
      <c r="AH142" s="1"/>
      <c r="AI142" s="1"/>
      <c r="AL142" s="1"/>
      <c r="AN142" s="1"/>
      <c r="AO142" s="1"/>
      <c r="AP142" s="1"/>
      <c r="AQ142" s="1"/>
      <c r="AR142" s="1"/>
      <c r="AS142" s="1"/>
      <c r="AT142" s="1"/>
      <c r="AU142" s="1"/>
      <c r="AV142" s="1"/>
    </row>
    <row r="143" spans="1:48" x14ac:dyDescent="0.3">
      <c r="A143" s="1" t="s">
        <v>716</v>
      </c>
      <c r="B143" s="1" t="s">
        <v>742</v>
      </c>
      <c r="C143" s="1" t="s">
        <v>205</v>
      </c>
      <c r="H143" s="1" t="s">
        <v>738</v>
      </c>
      <c r="I143" s="1"/>
      <c r="J143" s="1"/>
      <c r="K143" s="1"/>
      <c r="L143" s="1"/>
      <c r="M143" s="1"/>
      <c r="N143" s="1"/>
      <c r="O143" s="1"/>
      <c r="P143" s="1"/>
      <c r="Q143" s="1"/>
      <c r="R143" s="1"/>
      <c r="T143" s="1"/>
      <c r="U143" s="1"/>
      <c r="V143" s="1"/>
      <c r="W143" s="1"/>
      <c r="X143" s="1"/>
      <c r="Y143" s="1"/>
      <c r="Z143" s="1"/>
      <c r="AB143" s="1"/>
      <c r="AC143" s="1"/>
      <c r="AD143" s="1"/>
      <c r="AE143" s="1"/>
      <c r="AF143" s="1"/>
      <c r="AG143" s="1"/>
      <c r="AH143" s="1"/>
      <c r="AI143" s="1"/>
      <c r="AL143" s="1"/>
      <c r="AN143" s="1"/>
      <c r="AO143" s="1"/>
      <c r="AP143" s="1"/>
      <c r="AQ143" s="1"/>
      <c r="AR143" s="1"/>
      <c r="AS143" s="1"/>
      <c r="AT143" s="1"/>
      <c r="AU143" s="1"/>
      <c r="AV143" s="1"/>
    </row>
    <row r="144" spans="1:48" x14ac:dyDescent="0.3">
      <c r="A144" s="1" t="s">
        <v>716</v>
      </c>
      <c r="B144" s="1" t="s">
        <v>743</v>
      </c>
      <c r="C144" s="1" t="s">
        <v>206</v>
      </c>
      <c r="H144" s="1" t="s">
        <v>738</v>
      </c>
      <c r="I144" s="1"/>
      <c r="J144" s="1"/>
      <c r="K144" s="1"/>
      <c r="L144" s="1"/>
      <c r="M144" s="1"/>
      <c r="N144" s="1"/>
      <c r="O144" s="1"/>
      <c r="P144" s="1"/>
      <c r="Q144" s="1"/>
      <c r="R144" s="1"/>
      <c r="T144" s="1"/>
      <c r="U144" s="1"/>
      <c r="V144" s="1"/>
      <c r="W144" s="1"/>
      <c r="X144" s="1"/>
      <c r="Y144" s="1"/>
      <c r="Z144" s="1"/>
      <c r="AB144" s="1"/>
      <c r="AC144" s="1"/>
      <c r="AD144" s="1"/>
      <c r="AE144" s="1"/>
      <c r="AF144" s="1"/>
      <c r="AG144" s="1"/>
      <c r="AH144" s="1"/>
      <c r="AI144" s="1"/>
      <c r="AL144" s="1"/>
      <c r="AN144" s="1"/>
      <c r="AO144" s="1"/>
      <c r="AP144" s="1"/>
      <c r="AQ144" s="1"/>
      <c r="AR144" s="1"/>
      <c r="AS144" s="1"/>
      <c r="AT144" s="1"/>
      <c r="AU144" s="1"/>
      <c r="AV144" s="1"/>
    </row>
    <row r="145" spans="1:48" x14ac:dyDescent="0.3">
      <c r="A145" s="1" t="s">
        <v>716</v>
      </c>
      <c r="B145" s="1" t="s">
        <v>744</v>
      </c>
      <c r="C145" s="1" t="s">
        <v>139</v>
      </c>
      <c r="H145" s="1" t="s">
        <v>738</v>
      </c>
      <c r="I145" s="1"/>
      <c r="J145" s="1"/>
      <c r="K145" s="1"/>
      <c r="L145" s="1"/>
      <c r="M145" s="1"/>
      <c r="N145" s="1"/>
      <c r="O145" s="1"/>
      <c r="P145" s="1"/>
      <c r="Q145" s="1"/>
      <c r="R145" s="1"/>
      <c r="T145" s="1"/>
      <c r="U145" s="1"/>
      <c r="V145" s="1"/>
      <c r="W145" s="1"/>
      <c r="X145" s="1"/>
      <c r="Y145" s="1"/>
      <c r="Z145" s="1"/>
      <c r="AB145" s="1"/>
      <c r="AC145" s="1"/>
      <c r="AD145" s="1"/>
      <c r="AE145" s="1"/>
      <c r="AF145" s="1"/>
      <c r="AG145" s="1"/>
      <c r="AH145" s="1"/>
      <c r="AI145" s="1"/>
      <c r="AL145" s="1"/>
      <c r="AN145" s="1"/>
      <c r="AO145" s="1"/>
      <c r="AP145" s="1"/>
      <c r="AQ145" s="1"/>
      <c r="AR145" s="1"/>
      <c r="AS145" s="1"/>
      <c r="AT145" s="1"/>
      <c r="AU145" s="1"/>
      <c r="AV145" s="1"/>
    </row>
    <row r="146" spans="1:48" x14ac:dyDescent="0.3">
      <c r="A146" s="1" t="s">
        <v>716</v>
      </c>
      <c r="B146" s="1" t="s">
        <v>745</v>
      </c>
      <c r="C146" s="1" t="s">
        <v>207</v>
      </c>
      <c r="H146" s="1" t="s">
        <v>738</v>
      </c>
      <c r="I146" s="1"/>
      <c r="J146" s="1"/>
      <c r="K146" s="1"/>
      <c r="L146" s="1"/>
      <c r="M146" s="1"/>
      <c r="N146" s="1"/>
      <c r="O146" s="1"/>
      <c r="P146" s="1"/>
      <c r="Q146" s="1"/>
      <c r="R146" s="1"/>
      <c r="T146" s="1"/>
      <c r="U146" s="1"/>
      <c r="V146" s="1"/>
      <c r="W146" s="1"/>
      <c r="X146" s="1"/>
      <c r="Y146" s="1"/>
      <c r="Z146" s="1"/>
      <c r="AB146" s="1"/>
      <c r="AC146" s="1"/>
      <c r="AD146" s="1"/>
      <c r="AE146" s="1"/>
      <c r="AF146" s="1"/>
      <c r="AG146" s="1"/>
      <c r="AH146" s="1"/>
      <c r="AI146" s="1"/>
      <c r="AL146" s="1"/>
      <c r="AN146" s="1"/>
      <c r="AO146" s="1"/>
      <c r="AP146" s="1"/>
      <c r="AQ146" s="1"/>
      <c r="AR146" s="1"/>
      <c r="AS146" s="1"/>
      <c r="AT146" s="1"/>
      <c r="AU146" s="1"/>
      <c r="AV146" s="1"/>
    </row>
    <row r="147" spans="1:48" x14ac:dyDescent="0.3">
      <c r="B147" s="1" t="s">
        <v>746</v>
      </c>
      <c r="H147" s="1" t="s">
        <v>738</v>
      </c>
      <c r="I147" s="1"/>
      <c r="J147" s="1"/>
      <c r="K147" s="1"/>
      <c r="L147" s="1"/>
      <c r="M147" s="1"/>
      <c r="N147" s="1"/>
      <c r="O147" s="1"/>
      <c r="P147" s="1"/>
      <c r="Q147" s="1"/>
      <c r="R147" s="1"/>
      <c r="T147" s="1"/>
      <c r="U147" s="1"/>
      <c r="V147" s="1"/>
      <c r="W147" s="1"/>
      <c r="X147" s="1"/>
      <c r="Y147" s="1"/>
      <c r="Z147" s="1"/>
      <c r="AB147" s="1"/>
      <c r="AC147" s="1"/>
      <c r="AD147" s="1"/>
      <c r="AE147" s="1"/>
      <c r="AF147" s="1"/>
      <c r="AG147" s="1"/>
      <c r="AH147" s="1"/>
      <c r="AI147" s="1"/>
      <c r="AL147" s="1"/>
      <c r="AN147" s="1"/>
      <c r="AO147" s="1"/>
      <c r="AP147" s="1"/>
      <c r="AQ147" s="1"/>
      <c r="AR147" s="1"/>
      <c r="AS147" s="1"/>
      <c r="AT147" s="1"/>
      <c r="AU147" s="1"/>
      <c r="AV147" s="1"/>
    </row>
    <row r="148" spans="1:48" x14ac:dyDescent="0.3">
      <c r="B148" s="1" t="s">
        <v>747</v>
      </c>
      <c r="H148" s="1" t="s">
        <v>738</v>
      </c>
      <c r="I148" s="1"/>
      <c r="J148" s="1"/>
      <c r="K148" s="1"/>
      <c r="L148" s="1"/>
      <c r="M148" s="1"/>
      <c r="N148" s="1"/>
      <c r="O148" s="1"/>
      <c r="P148" s="1"/>
      <c r="Q148" s="1"/>
      <c r="R148" s="1"/>
      <c r="T148" s="1"/>
      <c r="U148" s="1"/>
      <c r="V148" s="1"/>
      <c r="W148" s="1"/>
      <c r="X148" s="1"/>
      <c r="Y148" s="1"/>
      <c r="Z148" s="1"/>
      <c r="AB148" s="1"/>
      <c r="AC148" s="1"/>
      <c r="AD148" s="1"/>
      <c r="AE148" s="1"/>
      <c r="AF148" s="1"/>
      <c r="AG148" s="1"/>
      <c r="AH148" s="1"/>
      <c r="AI148" s="1"/>
      <c r="AL148" s="1"/>
      <c r="AN148" s="1"/>
      <c r="AO148" s="1"/>
      <c r="AP148" s="1"/>
      <c r="AQ148" s="1"/>
      <c r="AR148" s="1"/>
      <c r="AS148" s="1"/>
      <c r="AT148" s="1"/>
      <c r="AU148" s="1"/>
      <c r="AV148" s="1"/>
    </row>
    <row r="149" spans="1:48" x14ac:dyDescent="0.3">
      <c r="B149" s="1" t="s">
        <v>748</v>
      </c>
      <c r="H149" s="1" t="s">
        <v>738</v>
      </c>
      <c r="I149" s="1"/>
      <c r="J149" s="1"/>
      <c r="K149" s="1"/>
      <c r="L149" s="1"/>
      <c r="M149" s="1"/>
      <c r="N149" s="1"/>
      <c r="O149" s="1"/>
      <c r="P149" s="1"/>
      <c r="Q149" s="1"/>
      <c r="R149" s="1"/>
      <c r="T149" s="1"/>
      <c r="U149" s="1"/>
      <c r="V149" s="1"/>
      <c r="W149" s="1"/>
      <c r="X149" s="1"/>
      <c r="Y149" s="1"/>
      <c r="Z149" s="1"/>
      <c r="AB149" s="1"/>
      <c r="AC149" s="1"/>
      <c r="AD149" s="1"/>
      <c r="AE149" s="1"/>
      <c r="AF149" s="1"/>
      <c r="AG149" s="1"/>
      <c r="AH149" s="1"/>
      <c r="AI149" s="1"/>
      <c r="AL149" s="1"/>
      <c r="AN149" s="1"/>
      <c r="AO149" s="1"/>
      <c r="AP149" s="1"/>
      <c r="AQ149" s="1"/>
      <c r="AR149" s="1"/>
      <c r="AS149" s="1"/>
      <c r="AT149" s="1"/>
      <c r="AU149" s="1"/>
      <c r="AV149" s="1"/>
    </row>
    <row r="150" spans="1:48" x14ac:dyDescent="0.3">
      <c r="B150" s="1" t="s">
        <v>749</v>
      </c>
      <c r="H150" s="1" t="s">
        <v>738</v>
      </c>
      <c r="I150" s="1"/>
      <c r="J150" s="1"/>
      <c r="K150" s="1"/>
      <c r="L150" s="1"/>
      <c r="M150" s="1"/>
      <c r="N150" s="1"/>
      <c r="O150" s="1"/>
      <c r="P150" s="1"/>
      <c r="Q150" s="1"/>
      <c r="R150" s="1"/>
      <c r="T150" s="1"/>
      <c r="U150" s="1"/>
      <c r="V150" s="1"/>
      <c r="W150" s="1"/>
      <c r="X150" s="1"/>
      <c r="Y150" s="1"/>
      <c r="Z150" s="1"/>
      <c r="AB150" s="1"/>
      <c r="AC150" s="1"/>
      <c r="AD150" s="1"/>
      <c r="AE150" s="1"/>
      <c r="AF150" s="1"/>
      <c r="AG150" s="1"/>
      <c r="AH150" s="1"/>
      <c r="AI150" s="1"/>
      <c r="AL150" s="1"/>
      <c r="AN150" s="1"/>
      <c r="AO150" s="1"/>
      <c r="AP150" s="1"/>
      <c r="AQ150" s="1"/>
      <c r="AR150" s="1"/>
      <c r="AS150" s="1"/>
      <c r="AT150" s="1"/>
      <c r="AU150" s="1"/>
      <c r="AV150" s="1"/>
    </row>
    <row r="151" spans="1:48" x14ac:dyDescent="0.3">
      <c r="B151" s="1" t="s">
        <v>750</v>
      </c>
      <c r="H151" s="1" t="s">
        <v>738</v>
      </c>
      <c r="I151" s="1"/>
      <c r="J151" s="1"/>
      <c r="K151" s="1"/>
      <c r="L151" s="1"/>
      <c r="M151" s="1"/>
      <c r="N151" s="1"/>
      <c r="O151" s="1"/>
      <c r="P151" s="1"/>
      <c r="Q151" s="1"/>
      <c r="R151" s="1"/>
      <c r="T151" s="1"/>
      <c r="U151" s="1"/>
      <c r="V151" s="1"/>
      <c r="W151" s="1"/>
      <c r="X151" s="1"/>
      <c r="Y151" s="1"/>
      <c r="Z151" s="1"/>
      <c r="AB151" s="1"/>
      <c r="AC151" s="1"/>
      <c r="AD151" s="1"/>
      <c r="AE151" s="1"/>
      <c r="AF151" s="1"/>
      <c r="AG151" s="1"/>
      <c r="AH151" s="1"/>
      <c r="AI151" s="1"/>
      <c r="AL151" s="1"/>
      <c r="AN151" s="1"/>
      <c r="AO151" s="1"/>
      <c r="AP151" s="1"/>
      <c r="AQ151" s="1"/>
      <c r="AR151" s="1"/>
      <c r="AS151" s="1"/>
      <c r="AT151" s="1"/>
      <c r="AU151" s="1"/>
      <c r="AV151" s="1"/>
    </row>
    <row r="152" spans="1:48" x14ac:dyDescent="0.3">
      <c r="B152" s="1" t="s">
        <v>751</v>
      </c>
      <c r="H152" s="1" t="s">
        <v>738</v>
      </c>
      <c r="I152" s="1"/>
      <c r="J152" s="1"/>
      <c r="K152" s="1"/>
      <c r="L152" s="1"/>
      <c r="M152" s="1"/>
      <c r="N152" s="1"/>
      <c r="O152" s="1"/>
      <c r="P152" s="1"/>
      <c r="Q152" s="1"/>
      <c r="R152" s="1"/>
      <c r="T152" s="1"/>
      <c r="U152" s="1"/>
      <c r="V152" s="1"/>
      <c r="W152" s="1"/>
      <c r="X152" s="1"/>
      <c r="Y152" s="1"/>
      <c r="Z152" s="1"/>
      <c r="AB152" s="1"/>
      <c r="AC152" s="1"/>
      <c r="AD152" s="1"/>
      <c r="AE152" s="1"/>
      <c r="AF152" s="1"/>
      <c r="AG152" s="1"/>
      <c r="AH152" s="1"/>
      <c r="AI152" s="1"/>
      <c r="AL152" s="1"/>
      <c r="AN152" s="1"/>
      <c r="AO152" s="1"/>
      <c r="AP152" s="1"/>
      <c r="AQ152" s="1"/>
      <c r="AR152" s="1"/>
      <c r="AS152" s="1"/>
      <c r="AT152" s="1"/>
      <c r="AU152" s="1"/>
      <c r="AV152" s="1"/>
    </row>
    <row r="153" spans="1:48" x14ac:dyDescent="0.3">
      <c r="B153" s="1" t="s">
        <v>752</v>
      </c>
      <c r="H153" s="1" t="s">
        <v>738</v>
      </c>
      <c r="I153" s="1"/>
      <c r="J153" s="1"/>
      <c r="K153" s="1"/>
      <c r="L153" s="1"/>
      <c r="M153" s="1"/>
      <c r="N153" s="1"/>
      <c r="O153" s="1"/>
      <c r="P153" s="1"/>
      <c r="Q153" s="1"/>
      <c r="R153" s="1"/>
      <c r="T153" s="1"/>
      <c r="U153" s="1"/>
      <c r="V153" s="1"/>
      <c r="W153" s="1"/>
      <c r="X153" s="1"/>
      <c r="Y153" s="1"/>
      <c r="Z153" s="1"/>
      <c r="AB153" s="1"/>
      <c r="AC153" s="1"/>
      <c r="AD153" s="1"/>
      <c r="AE153" s="1"/>
      <c r="AF153" s="1"/>
      <c r="AG153" s="1"/>
      <c r="AH153" s="1"/>
      <c r="AI153" s="1"/>
      <c r="AL153" s="1"/>
      <c r="AN153" s="1"/>
      <c r="AO153" s="1"/>
      <c r="AP153" s="1"/>
      <c r="AQ153" s="1"/>
      <c r="AR153" s="1"/>
      <c r="AS153" s="1"/>
      <c r="AT153" s="1"/>
      <c r="AU153" s="1"/>
      <c r="AV153" s="1"/>
    </row>
    <row r="154" spans="1:48" x14ac:dyDescent="0.3">
      <c r="B154" s="1" t="s">
        <v>753</v>
      </c>
      <c r="H154" s="1" t="s">
        <v>738</v>
      </c>
      <c r="I154" s="1"/>
      <c r="J154" s="1"/>
      <c r="K154" s="1"/>
      <c r="L154" s="1"/>
      <c r="M154" s="1"/>
      <c r="N154" s="1"/>
      <c r="O154" s="1"/>
      <c r="P154" s="1"/>
      <c r="Q154" s="1"/>
      <c r="R154" s="1"/>
      <c r="T154" s="1"/>
      <c r="U154" s="1"/>
      <c r="V154" s="1"/>
      <c r="W154" s="1"/>
      <c r="X154" s="1"/>
      <c r="Y154" s="1"/>
      <c r="Z154" s="1"/>
      <c r="AB154" s="1"/>
      <c r="AC154" s="1"/>
      <c r="AD154" s="1"/>
      <c r="AE154" s="1"/>
      <c r="AF154" s="1"/>
      <c r="AG154" s="1"/>
      <c r="AH154" s="1"/>
      <c r="AI154" s="1"/>
      <c r="AL154" s="1"/>
      <c r="AN154" s="1"/>
      <c r="AO154" s="1"/>
      <c r="AP154" s="1"/>
      <c r="AQ154" s="1"/>
      <c r="AR154" s="1"/>
      <c r="AS154" s="1"/>
      <c r="AT154" s="1"/>
      <c r="AU154" s="1"/>
      <c r="AV154" s="1"/>
    </row>
    <row r="155" spans="1:48" x14ac:dyDescent="0.3">
      <c r="B155" s="1" t="s">
        <v>754</v>
      </c>
      <c r="H155" s="1" t="s">
        <v>738</v>
      </c>
      <c r="I155" s="1"/>
      <c r="J155" s="1"/>
      <c r="K155" s="1"/>
      <c r="L155" s="1"/>
      <c r="M155" s="1"/>
      <c r="N155" s="1"/>
      <c r="O155" s="1"/>
      <c r="P155" s="1"/>
      <c r="Q155" s="1"/>
      <c r="R155" s="1"/>
      <c r="T155" s="1"/>
      <c r="U155" s="1"/>
      <c r="V155" s="1"/>
      <c r="W155" s="1"/>
      <c r="X155" s="1"/>
      <c r="Y155" s="1"/>
      <c r="Z155" s="1"/>
      <c r="AB155" s="1"/>
      <c r="AC155" s="1"/>
      <c r="AD155" s="1"/>
      <c r="AE155" s="1"/>
      <c r="AF155" s="1"/>
      <c r="AG155" s="1"/>
      <c r="AH155" s="1"/>
      <c r="AI155" s="1"/>
      <c r="AL155" s="1"/>
      <c r="AN155" s="1"/>
      <c r="AO155" s="1"/>
      <c r="AP155" s="1"/>
      <c r="AQ155" s="1"/>
      <c r="AR155" s="1"/>
      <c r="AS155" s="1"/>
      <c r="AT155" s="1"/>
      <c r="AU155" s="1"/>
      <c r="AV155" s="1"/>
    </row>
    <row r="156" spans="1:48" x14ac:dyDescent="0.3">
      <c r="B156" s="1" t="s">
        <v>755</v>
      </c>
      <c r="H156" s="1" t="s">
        <v>738</v>
      </c>
      <c r="I156" s="1"/>
      <c r="J156" s="1"/>
      <c r="K156" s="1"/>
      <c r="L156" s="1"/>
      <c r="M156" s="1"/>
      <c r="N156" s="1"/>
      <c r="O156" s="1"/>
      <c r="P156" s="1"/>
      <c r="Q156" s="1"/>
      <c r="R156" s="1"/>
      <c r="T156" s="1"/>
      <c r="U156" s="1"/>
      <c r="V156" s="1"/>
      <c r="W156" s="1"/>
      <c r="X156" s="1"/>
      <c r="Y156" s="1"/>
      <c r="Z156" s="1"/>
      <c r="AB156" s="1"/>
      <c r="AC156" s="1"/>
      <c r="AD156" s="1"/>
      <c r="AE156" s="1"/>
      <c r="AF156" s="1"/>
      <c r="AG156" s="1"/>
      <c r="AH156" s="1"/>
      <c r="AI156" s="1"/>
      <c r="AL156" s="1"/>
      <c r="AN156" s="1"/>
      <c r="AO156" s="1"/>
      <c r="AP156" s="1"/>
      <c r="AQ156" s="1"/>
      <c r="AR156" s="1"/>
      <c r="AS156" s="1"/>
      <c r="AT156" s="1"/>
      <c r="AU156" s="1"/>
      <c r="AV156" s="1"/>
    </row>
    <row r="157" spans="1:48" x14ac:dyDescent="0.3">
      <c r="B157" s="1" t="s">
        <v>756</v>
      </c>
      <c r="H157" s="1" t="s">
        <v>738</v>
      </c>
      <c r="I157" s="1"/>
      <c r="J157" s="1"/>
      <c r="K157" s="1"/>
      <c r="L157" s="1"/>
      <c r="M157" s="1"/>
      <c r="N157" s="1"/>
      <c r="O157" s="1"/>
      <c r="P157" s="1"/>
      <c r="Q157" s="1"/>
      <c r="R157" s="1"/>
      <c r="T157" s="1"/>
      <c r="U157" s="1"/>
      <c r="V157" s="1"/>
      <c r="W157" s="1"/>
      <c r="X157" s="1"/>
      <c r="Y157" s="1"/>
      <c r="Z157" s="1"/>
      <c r="AB157" s="1"/>
      <c r="AC157" s="1"/>
      <c r="AD157" s="1"/>
      <c r="AE157" s="1"/>
      <c r="AF157" s="1"/>
      <c r="AG157" s="1"/>
      <c r="AH157" s="1"/>
      <c r="AI157" s="1"/>
      <c r="AL157" s="1"/>
      <c r="AN157" s="1"/>
      <c r="AO157" s="1"/>
      <c r="AP157" s="1"/>
      <c r="AQ157" s="1"/>
      <c r="AR157" s="1"/>
      <c r="AS157" s="1"/>
      <c r="AT157" s="1"/>
      <c r="AU157" s="1"/>
      <c r="AV157" s="1"/>
    </row>
    <row r="158" spans="1:48" x14ac:dyDescent="0.3">
      <c r="B158" s="1" t="s">
        <v>757</v>
      </c>
      <c r="H158" s="1" t="s">
        <v>738</v>
      </c>
      <c r="I158" s="1"/>
      <c r="J158" s="1"/>
      <c r="K158" s="1"/>
      <c r="L158" s="1"/>
      <c r="M158" s="1"/>
      <c r="N158" s="1"/>
      <c r="O158" s="1"/>
      <c r="P158" s="1"/>
      <c r="Q158" s="1"/>
      <c r="R158" s="1"/>
      <c r="T158" s="1"/>
      <c r="U158" s="1"/>
      <c r="V158" s="1"/>
      <c r="W158" s="1"/>
      <c r="X158" s="1"/>
      <c r="Y158" s="1"/>
      <c r="Z158" s="1"/>
      <c r="AB158" s="1"/>
      <c r="AC158" s="1"/>
      <c r="AD158" s="1"/>
      <c r="AE158" s="1"/>
      <c r="AF158" s="1"/>
      <c r="AG158" s="1"/>
      <c r="AH158" s="1"/>
      <c r="AI158" s="1"/>
      <c r="AL158" s="1"/>
      <c r="AN158" s="1"/>
      <c r="AO158" s="1"/>
      <c r="AP158" s="1"/>
      <c r="AQ158" s="1"/>
      <c r="AR158" s="1"/>
      <c r="AS158" s="1"/>
      <c r="AT158" s="1"/>
      <c r="AU158" s="1"/>
      <c r="AV158" s="1"/>
    </row>
    <row r="159" spans="1:48" x14ac:dyDescent="0.3">
      <c r="B159" s="1" t="s">
        <v>758</v>
      </c>
      <c r="H159" s="1" t="s">
        <v>738</v>
      </c>
      <c r="I159" s="1"/>
      <c r="J159" s="1"/>
      <c r="K159" s="1"/>
      <c r="L159" s="1"/>
      <c r="M159" s="1"/>
      <c r="N159" s="1"/>
      <c r="O159" s="1"/>
      <c r="P159" s="1"/>
      <c r="Q159" s="1"/>
      <c r="R159" s="1"/>
      <c r="T159" s="1"/>
      <c r="U159" s="1"/>
      <c r="V159" s="1"/>
      <c r="W159" s="1"/>
      <c r="X159" s="1"/>
      <c r="Y159" s="1"/>
      <c r="Z159" s="1"/>
      <c r="AB159" s="1"/>
      <c r="AC159" s="1"/>
      <c r="AD159" s="1"/>
      <c r="AE159" s="1"/>
      <c r="AF159" s="1"/>
      <c r="AG159" s="1"/>
      <c r="AH159" s="1"/>
      <c r="AI159" s="1"/>
      <c r="AL159" s="1"/>
      <c r="AN159" s="1"/>
      <c r="AO159" s="1"/>
      <c r="AP159" s="1"/>
      <c r="AQ159" s="1"/>
      <c r="AR159" s="1"/>
      <c r="AS159" s="1"/>
      <c r="AT159" s="1"/>
      <c r="AU159" s="1"/>
      <c r="AV159" s="1"/>
    </row>
    <row r="160" spans="1:48" x14ac:dyDescent="0.3">
      <c r="B160" s="1" t="s">
        <v>759</v>
      </c>
      <c r="H160" s="1" t="s">
        <v>738</v>
      </c>
      <c r="I160" s="1"/>
      <c r="J160" s="1"/>
      <c r="K160" s="1"/>
      <c r="L160" s="1"/>
      <c r="M160" s="1"/>
      <c r="N160" s="1"/>
      <c r="O160" s="1"/>
      <c r="P160" s="1"/>
      <c r="Q160" s="1"/>
      <c r="R160" s="1"/>
      <c r="T160" s="1"/>
      <c r="U160" s="1"/>
      <c r="V160" s="1"/>
      <c r="W160" s="1"/>
      <c r="X160" s="1"/>
      <c r="Y160" s="1"/>
      <c r="Z160" s="1"/>
      <c r="AB160" s="1"/>
      <c r="AC160" s="1"/>
      <c r="AD160" s="1"/>
      <c r="AE160" s="1"/>
      <c r="AF160" s="1"/>
      <c r="AG160" s="1"/>
      <c r="AH160" s="1"/>
      <c r="AI160" s="1"/>
      <c r="AL160" s="1"/>
      <c r="AN160" s="1"/>
      <c r="AO160" s="1"/>
      <c r="AP160" s="1"/>
      <c r="AQ160" s="1"/>
      <c r="AR160" s="1"/>
      <c r="AS160" s="1"/>
      <c r="AT160" s="1"/>
      <c r="AU160" s="1"/>
      <c r="AV160" s="1"/>
    </row>
    <row r="161" spans="2:48" x14ac:dyDescent="0.3">
      <c r="B161" s="1" t="s">
        <v>760</v>
      </c>
      <c r="H161" s="1" t="s">
        <v>738</v>
      </c>
      <c r="I161" s="1"/>
      <c r="J161" s="1"/>
      <c r="K161" s="1"/>
      <c r="L161" s="1"/>
      <c r="M161" s="1"/>
      <c r="N161" s="1"/>
      <c r="O161" s="1"/>
      <c r="P161" s="1"/>
      <c r="Q161" s="1"/>
      <c r="R161" s="1"/>
      <c r="T161" s="1"/>
      <c r="U161" s="1"/>
      <c r="V161" s="1"/>
      <c r="W161" s="1"/>
      <c r="X161" s="1"/>
      <c r="Y161" s="1"/>
      <c r="Z161" s="1"/>
      <c r="AB161" s="1"/>
      <c r="AC161" s="1"/>
      <c r="AD161" s="1"/>
      <c r="AE161" s="1"/>
      <c r="AF161" s="1"/>
      <c r="AG161" s="1"/>
      <c r="AH161" s="1"/>
      <c r="AI161" s="1"/>
      <c r="AL161" s="1"/>
      <c r="AN161" s="1"/>
      <c r="AO161" s="1"/>
      <c r="AP161" s="1"/>
      <c r="AQ161" s="1"/>
      <c r="AR161" s="1"/>
      <c r="AS161" s="1"/>
      <c r="AT161" s="1"/>
      <c r="AU161" s="1"/>
      <c r="AV161" s="1"/>
    </row>
    <row r="162" spans="2:48" x14ac:dyDescent="0.3">
      <c r="B162" s="1" t="s">
        <v>761</v>
      </c>
      <c r="H162" s="1" t="s">
        <v>738</v>
      </c>
      <c r="I162" s="1"/>
      <c r="J162" s="1"/>
      <c r="K162" s="1"/>
      <c r="L162" s="1"/>
      <c r="M162" s="1"/>
      <c r="N162" s="1"/>
      <c r="O162" s="1"/>
      <c r="P162" s="1"/>
      <c r="Q162" s="1"/>
      <c r="R162" s="1"/>
      <c r="T162" s="1"/>
      <c r="U162" s="1"/>
      <c r="V162" s="1"/>
      <c r="W162" s="1"/>
      <c r="X162" s="1"/>
      <c r="Y162" s="1"/>
      <c r="Z162" s="1"/>
      <c r="AB162" s="1"/>
      <c r="AC162" s="1"/>
      <c r="AD162" s="1"/>
      <c r="AE162" s="1"/>
      <c r="AF162" s="1"/>
      <c r="AG162" s="1"/>
      <c r="AH162" s="1"/>
      <c r="AI162" s="1"/>
      <c r="AL162" s="1"/>
      <c r="AN162" s="1"/>
      <c r="AO162" s="1"/>
      <c r="AP162" s="1"/>
      <c r="AQ162" s="1"/>
      <c r="AR162" s="1"/>
      <c r="AS162" s="1"/>
      <c r="AT162" s="1"/>
      <c r="AU162" s="1"/>
      <c r="AV162" s="1"/>
    </row>
    <row r="163" spans="2:48" x14ac:dyDescent="0.3">
      <c r="B163" s="1" t="s">
        <v>762</v>
      </c>
      <c r="H163" s="1" t="s">
        <v>738</v>
      </c>
      <c r="I163" s="1"/>
      <c r="J163" s="1"/>
      <c r="K163" s="1"/>
      <c r="L163" s="1"/>
      <c r="M163" s="1"/>
      <c r="N163" s="1"/>
      <c r="O163" s="1"/>
      <c r="P163" s="1"/>
      <c r="Q163" s="1"/>
      <c r="R163" s="1"/>
      <c r="T163" s="1"/>
      <c r="U163" s="1"/>
      <c r="V163" s="1"/>
      <c r="W163" s="1"/>
      <c r="X163" s="1"/>
      <c r="Y163" s="1"/>
      <c r="Z163" s="1"/>
      <c r="AB163" s="1"/>
      <c r="AC163" s="1"/>
      <c r="AD163" s="1"/>
      <c r="AE163" s="1"/>
      <c r="AF163" s="1"/>
      <c r="AG163" s="1"/>
      <c r="AH163" s="1"/>
      <c r="AI163" s="1"/>
      <c r="AL163" s="1"/>
      <c r="AN163" s="1"/>
      <c r="AO163" s="1"/>
      <c r="AP163" s="1"/>
      <c r="AQ163" s="1"/>
      <c r="AR163" s="1"/>
      <c r="AS163" s="1"/>
      <c r="AT163" s="1"/>
      <c r="AU163" s="1"/>
      <c r="AV163" s="1"/>
    </row>
    <row r="164" spans="2:48" x14ac:dyDescent="0.3">
      <c r="B164" s="1" t="s">
        <v>763</v>
      </c>
      <c r="H164" s="1" t="s">
        <v>738</v>
      </c>
      <c r="I164" s="1"/>
      <c r="J164" s="1"/>
      <c r="K164" s="1"/>
      <c r="L164" s="1"/>
      <c r="M164" s="1"/>
      <c r="N164" s="1"/>
      <c r="O164" s="1"/>
      <c r="P164" s="1"/>
      <c r="Q164" s="1"/>
      <c r="R164" s="1"/>
      <c r="T164" s="1"/>
      <c r="U164" s="1"/>
      <c r="V164" s="1"/>
      <c r="W164" s="1"/>
      <c r="X164" s="1"/>
      <c r="Y164" s="1"/>
      <c r="Z164" s="1"/>
      <c r="AB164" s="1"/>
      <c r="AC164" s="1"/>
      <c r="AD164" s="1"/>
      <c r="AE164" s="1"/>
      <c r="AF164" s="1"/>
      <c r="AG164" s="1"/>
      <c r="AH164" s="1"/>
      <c r="AI164" s="1"/>
      <c r="AL164" s="1"/>
      <c r="AN164" s="1"/>
      <c r="AO164" s="1"/>
      <c r="AP164" s="1"/>
      <c r="AQ164" s="1"/>
      <c r="AR164" s="1"/>
      <c r="AS164" s="1"/>
      <c r="AT164" s="1"/>
      <c r="AU164" s="1"/>
      <c r="AV164" s="1"/>
    </row>
    <row r="165" spans="2:48" x14ac:dyDescent="0.3">
      <c r="B165" s="1" t="s">
        <v>764</v>
      </c>
      <c r="H165" s="1" t="s">
        <v>738</v>
      </c>
      <c r="I165" s="1"/>
      <c r="J165" s="1"/>
      <c r="K165" s="1"/>
      <c r="L165" s="1"/>
      <c r="M165" s="1"/>
      <c r="N165" s="1"/>
      <c r="O165" s="1"/>
      <c r="P165" s="1"/>
      <c r="Q165" s="1"/>
      <c r="R165" s="1"/>
      <c r="T165" s="1"/>
      <c r="U165" s="1"/>
      <c r="V165" s="1"/>
      <c r="W165" s="1"/>
      <c r="X165" s="1"/>
      <c r="Y165" s="1"/>
      <c r="Z165" s="1"/>
      <c r="AB165" s="1"/>
      <c r="AC165" s="1"/>
      <c r="AD165" s="1"/>
      <c r="AE165" s="1"/>
      <c r="AF165" s="1"/>
      <c r="AG165" s="1"/>
      <c r="AH165" s="1"/>
      <c r="AI165" s="1"/>
      <c r="AL165" s="1"/>
      <c r="AN165" s="1"/>
      <c r="AO165" s="1"/>
      <c r="AP165" s="1"/>
      <c r="AQ165" s="1"/>
      <c r="AR165" s="1"/>
      <c r="AS165" s="1"/>
      <c r="AT165" s="1"/>
      <c r="AU165" s="1"/>
      <c r="AV165" s="1"/>
    </row>
    <row r="166" spans="2:48" x14ac:dyDescent="0.3">
      <c r="B166" s="1" t="s">
        <v>765</v>
      </c>
      <c r="H166" s="1" t="s">
        <v>738</v>
      </c>
      <c r="I166" s="1"/>
      <c r="J166" s="1"/>
      <c r="K166" s="1"/>
      <c r="L166" s="1"/>
      <c r="M166" s="1"/>
      <c r="N166" s="1"/>
      <c r="O166" s="1"/>
      <c r="P166" s="1"/>
      <c r="Q166" s="1"/>
      <c r="R166" s="1"/>
      <c r="T166" s="1"/>
      <c r="U166" s="1"/>
      <c r="V166" s="1"/>
      <c r="W166" s="1"/>
      <c r="X166" s="1"/>
      <c r="Y166" s="1"/>
      <c r="Z166" s="1"/>
      <c r="AB166" s="1"/>
      <c r="AC166" s="1"/>
      <c r="AD166" s="1"/>
      <c r="AE166" s="1"/>
      <c r="AF166" s="1"/>
      <c r="AG166" s="1"/>
      <c r="AH166" s="1"/>
      <c r="AI166" s="1"/>
      <c r="AL166" s="1"/>
      <c r="AN166" s="1"/>
      <c r="AO166" s="1"/>
      <c r="AP166" s="1"/>
      <c r="AQ166" s="1"/>
      <c r="AR166" s="1"/>
      <c r="AS166" s="1"/>
      <c r="AT166" s="1"/>
      <c r="AU166" s="1"/>
      <c r="AV166" s="1"/>
    </row>
    <row r="167" spans="2:48" x14ac:dyDescent="0.3">
      <c r="B167" s="1" t="s">
        <v>766</v>
      </c>
      <c r="H167" s="1" t="s">
        <v>738</v>
      </c>
      <c r="I167" s="1"/>
      <c r="J167" s="1"/>
      <c r="K167" s="1"/>
      <c r="L167" s="1"/>
      <c r="M167" s="1"/>
      <c r="N167" s="1"/>
      <c r="O167" s="1"/>
      <c r="P167" s="1"/>
      <c r="Q167" s="1"/>
      <c r="R167" s="1"/>
      <c r="T167" s="1"/>
      <c r="U167" s="1"/>
      <c r="V167" s="1"/>
      <c r="W167" s="1"/>
      <c r="X167" s="1"/>
      <c r="Y167" s="1"/>
      <c r="Z167" s="1"/>
      <c r="AB167" s="1"/>
      <c r="AC167" s="1"/>
      <c r="AD167" s="1"/>
      <c r="AE167" s="1"/>
      <c r="AF167" s="1"/>
      <c r="AG167" s="1"/>
      <c r="AH167" s="1"/>
      <c r="AI167" s="1"/>
      <c r="AL167" s="1"/>
      <c r="AN167" s="1"/>
      <c r="AO167" s="1"/>
      <c r="AP167" s="1"/>
      <c r="AQ167" s="1"/>
      <c r="AR167" s="1"/>
      <c r="AS167" s="1"/>
      <c r="AT167" s="1"/>
      <c r="AU167" s="1"/>
      <c r="AV167" s="1"/>
    </row>
    <row r="168" spans="2:48" x14ac:dyDescent="0.3">
      <c r="B168" s="1" t="s">
        <v>767</v>
      </c>
      <c r="H168" s="1" t="s">
        <v>738</v>
      </c>
      <c r="I168" s="1"/>
      <c r="J168" s="1"/>
      <c r="K168" s="1"/>
      <c r="L168" s="1"/>
      <c r="M168" s="1"/>
      <c r="N168" s="1"/>
      <c r="O168" s="1"/>
      <c r="P168" s="1"/>
      <c r="Q168" s="1"/>
      <c r="R168" s="1"/>
      <c r="T168" s="1"/>
      <c r="U168" s="1"/>
      <c r="V168" s="1"/>
      <c r="W168" s="1"/>
      <c r="X168" s="1"/>
      <c r="Y168" s="1"/>
      <c r="Z168" s="1"/>
      <c r="AB168" s="1"/>
      <c r="AC168" s="1"/>
      <c r="AD168" s="1"/>
      <c r="AE168" s="1"/>
      <c r="AF168" s="1"/>
      <c r="AG168" s="1"/>
      <c r="AH168" s="1"/>
      <c r="AI168" s="1"/>
      <c r="AL168" s="1"/>
      <c r="AN168" s="1"/>
      <c r="AO168" s="1"/>
      <c r="AP168" s="1"/>
      <c r="AQ168" s="1"/>
      <c r="AR168" s="1"/>
      <c r="AS168" s="1"/>
      <c r="AT168" s="1"/>
      <c r="AU168" s="1"/>
      <c r="AV168" s="1"/>
    </row>
    <row r="169" spans="2:48" x14ac:dyDescent="0.3">
      <c r="B169" s="1" t="s">
        <v>768</v>
      </c>
      <c r="H169" s="1" t="s">
        <v>738</v>
      </c>
      <c r="I169" s="1"/>
      <c r="J169" s="1"/>
      <c r="K169" s="1"/>
      <c r="L169" s="1"/>
      <c r="M169" s="1"/>
      <c r="N169" s="1"/>
      <c r="O169" s="1"/>
      <c r="P169" s="1"/>
      <c r="Q169" s="1"/>
      <c r="R169" s="1"/>
      <c r="T169" s="1"/>
      <c r="U169" s="1"/>
      <c r="V169" s="1"/>
      <c r="W169" s="1"/>
      <c r="X169" s="1"/>
      <c r="Y169" s="1"/>
      <c r="Z169" s="1"/>
      <c r="AB169" s="1"/>
      <c r="AC169" s="1"/>
      <c r="AD169" s="1"/>
      <c r="AE169" s="1"/>
      <c r="AF169" s="1"/>
      <c r="AG169" s="1"/>
      <c r="AH169" s="1"/>
      <c r="AI169" s="1"/>
      <c r="AL169" s="1"/>
      <c r="AN169" s="1"/>
      <c r="AO169" s="1"/>
      <c r="AP169" s="1"/>
      <c r="AQ169" s="1"/>
      <c r="AR169" s="1"/>
      <c r="AS169" s="1"/>
      <c r="AT169" s="1"/>
      <c r="AU169" s="1"/>
      <c r="AV169" s="1"/>
    </row>
    <row r="170" spans="2:48" x14ac:dyDescent="0.3">
      <c r="B170" s="1" t="s">
        <v>769</v>
      </c>
      <c r="H170" s="1" t="s">
        <v>738</v>
      </c>
      <c r="I170" s="1"/>
      <c r="J170" s="1"/>
      <c r="K170" s="1"/>
      <c r="L170" s="1"/>
      <c r="M170" s="1"/>
      <c r="N170" s="1"/>
      <c r="O170" s="1"/>
      <c r="P170" s="1"/>
      <c r="Q170" s="1"/>
      <c r="R170" s="1"/>
      <c r="T170" s="1"/>
      <c r="U170" s="1"/>
      <c r="V170" s="1"/>
      <c r="W170" s="1"/>
      <c r="X170" s="1"/>
      <c r="Y170" s="1"/>
      <c r="Z170" s="1"/>
      <c r="AB170" s="1"/>
      <c r="AC170" s="1"/>
      <c r="AD170" s="1"/>
      <c r="AE170" s="1"/>
      <c r="AF170" s="1"/>
      <c r="AG170" s="1"/>
      <c r="AH170" s="1"/>
      <c r="AI170" s="1"/>
      <c r="AL170" s="1"/>
      <c r="AN170" s="1"/>
      <c r="AO170" s="1"/>
      <c r="AP170" s="1"/>
      <c r="AQ170" s="1"/>
      <c r="AR170" s="1"/>
      <c r="AS170" s="1"/>
      <c r="AT170" s="1"/>
      <c r="AU170" s="1"/>
      <c r="AV170" s="1"/>
    </row>
    <row r="171" spans="2:48" x14ac:dyDescent="0.3">
      <c r="B171" s="1" t="s">
        <v>770</v>
      </c>
      <c r="H171" s="1" t="s">
        <v>738</v>
      </c>
      <c r="I171" s="1"/>
      <c r="J171" s="1"/>
      <c r="K171" s="1"/>
      <c r="L171" s="1"/>
      <c r="M171" s="1"/>
      <c r="N171" s="1"/>
      <c r="O171" s="1"/>
      <c r="P171" s="1"/>
      <c r="Q171" s="1"/>
      <c r="R171" s="1"/>
      <c r="T171" s="1"/>
      <c r="U171" s="1"/>
      <c r="V171" s="1"/>
      <c r="W171" s="1"/>
      <c r="X171" s="1"/>
      <c r="Y171" s="1"/>
      <c r="Z171" s="1"/>
      <c r="AB171" s="1"/>
      <c r="AC171" s="1"/>
      <c r="AD171" s="1"/>
      <c r="AE171" s="1"/>
      <c r="AF171" s="1"/>
      <c r="AG171" s="1"/>
      <c r="AH171" s="1"/>
      <c r="AI171" s="1"/>
      <c r="AL171" s="1"/>
      <c r="AN171" s="1"/>
      <c r="AO171" s="1"/>
      <c r="AP171" s="1"/>
      <c r="AQ171" s="1"/>
      <c r="AR171" s="1"/>
      <c r="AS171" s="1"/>
      <c r="AT171" s="1"/>
      <c r="AU171" s="1"/>
      <c r="AV171" s="1"/>
    </row>
    <row r="172" spans="2:48" x14ac:dyDescent="0.3">
      <c r="B172" s="1" t="s">
        <v>771</v>
      </c>
      <c r="H172" s="1" t="s">
        <v>738</v>
      </c>
      <c r="I172" s="1"/>
      <c r="J172" s="1"/>
      <c r="K172" s="1"/>
      <c r="L172" s="1"/>
      <c r="M172" s="1"/>
      <c r="N172" s="1"/>
      <c r="O172" s="1"/>
      <c r="P172" s="1"/>
      <c r="Q172" s="1"/>
      <c r="R172" s="1"/>
      <c r="T172" s="1"/>
      <c r="U172" s="1"/>
      <c r="V172" s="1"/>
      <c r="W172" s="1"/>
      <c r="X172" s="1"/>
      <c r="Y172" s="1"/>
      <c r="Z172" s="1"/>
      <c r="AB172" s="1"/>
      <c r="AC172" s="1"/>
      <c r="AD172" s="1"/>
      <c r="AE172" s="1"/>
      <c r="AF172" s="1"/>
      <c r="AG172" s="1"/>
      <c r="AH172" s="1"/>
      <c r="AI172" s="1"/>
      <c r="AL172" s="1"/>
      <c r="AN172" s="1"/>
      <c r="AO172" s="1"/>
      <c r="AP172" s="1"/>
      <c r="AQ172" s="1"/>
      <c r="AR172" s="1"/>
      <c r="AS172" s="1"/>
      <c r="AT172" s="1"/>
      <c r="AU172" s="1"/>
      <c r="AV172" s="1"/>
    </row>
    <row r="173" spans="2:48" x14ac:dyDescent="0.3">
      <c r="B173" s="1" t="s">
        <v>772</v>
      </c>
      <c r="H173" s="1" t="s">
        <v>738</v>
      </c>
      <c r="I173" s="1"/>
      <c r="J173" s="1"/>
      <c r="K173" s="1"/>
      <c r="L173" s="1"/>
      <c r="M173" s="1"/>
      <c r="N173" s="1"/>
      <c r="O173" s="1"/>
      <c r="P173" s="1"/>
      <c r="Q173" s="1"/>
      <c r="R173" s="1"/>
      <c r="T173" s="1"/>
      <c r="U173" s="1"/>
      <c r="V173" s="1"/>
      <c r="W173" s="1"/>
      <c r="X173" s="1"/>
      <c r="Y173" s="1"/>
      <c r="Z173" s="1"/>
      <c r="AB173" s="1"/>
      <c r="AC173" s="1"/>
      <c r="AD173" s="1"/>
      <c r="AE173" s="1"/>
      <c r="AF173" s="1"/>
      <c r="AG173" s="1"/>
      <c r="AH173" s="1"/>
      <c r="AI173" s="1"/>
      <c r="AL173" s="1"/>
      <c r="AN173" s="1"/>
      <c r="AO173" s="1"/>
      <c r="AP173" s="1"/>
      <c r="AQ173" s="1"/>
      <c r="AR173" s="1"/>
      <c r="AS173" s="1"/>
      <c r="AT173" s="1"/>
      <c r="AU173" s="1"/>
      <c r="AV173" s="1"/>
    </row>
    <row r="174" spans="2:48" x14ac:dyDescent="0.3">
      <c r="B174" s="1" t="s">
        <v>773</v>
      </c>
      <c r="H174" s="1" t="s">
        <v>738</v>
      </c>
      <c r="I174" s="1"/>
      <c r="J174" s="1"/>
      <c r="K174" s="1"/>
      <c r="L174" s="1"/>
      <c r="M174" s="1"/>
      <c r="N174" s="1"/>
      <c r="O174" s="1"/>
      <c r="P174" s="1"/>
      <c r="Q174" s="1"/>
      <c r="R174" s="1"/>
      <c r="T174" s="1"/>
      <c r="U174" s="1"/>
      <c r="V174" s="1"/>
      <c r="W174" s="1"/>
      <c r="X174" s="1"/>
      <c r="Y174" s="1"/>
      <c r="Z174" s="1"/>
      <c r="AB174" s="1"/>
      <c r="AC174" s="1"/>
      <c r="AD174" s="1"/>
      <c r="AE174" s="1"/>
      <c r="AF174" s="1"/>
      <c r="AG174" s="1"/>
      <c r="AH174" s="1"/>
      <c r="AI174" s="1"/>
      <c r="AL174" s="1"/>
      <c r="AN174" s="1"/>
      <c r="AO174" s="1"/>
      <c r="AP174" s="1"/>
      <c r="AQ174" s="1"/>
      <c r="AR174" s="1"/>
      <c r="AS174" s="1"/>
      <c r="AT174" s="1"/>
      <c r="AU174" s="1"/>
      <c r="AV174" s="1"/>
    </row>
    <row r="175" spans="2:48" x14ac:dyDescent="0.3">
      <c r="B175" s="1" t="s">
        <v>774</v>
      </c>
      <c r="H175" s="1" t="s">
        <v>738</v>
      </c>
      <c r="I175" s="1"/>
      <c r="J175" s="1"/>
      <c r="K175" s="1"/>
      <c r="L175" s="1"/>
      <c r="M175" s="1"/>
      <c r="N175" s="1"/>
      <c r="O175" s="1"/>
      <c r="P175" s="1"/>
      <c r="Q175" s="1"/>
      <c r="R175" s="1"/>
      <c r="T175" s="1"/>
      <c r="U175" s="1"/>
      <c r="V175" s="1"/>
      <c r="W175" s="1"/>
      <c r="X175" s="1"/>
      <c r="Y175" s="1"/>
      <c r="Z175" s="1"/>
      <c r="AB175" s="1"/>
      <c r="AC175" s="1"/>
      <c r="AD175" s="1"/>
      <c r="AE175" s="1"/>
      <c r="AF175" s="1"/>
      <c r="AG175" s="1"/>
      <c r="AH175" s="1"/>
      <c r="AI175" s="1"/>
      <c r="AL175" s="1"/>
      <c r="AN175" s="1"/>
      <c r="AO175" s="1"/>
      <c r="AP175" s="1"/>
      <c r="AQ175" s="1"/>
      <c r="AR175" s="1"/>
      <c r="AS175" s="1"/>
      <c r="AT175" s="1"/>
      <c r="AU175" s="1"/>
      <c r="AV175" s="1"/>
    </row>
    <row r="176" spans="2:48" x14ac:dyDescent="0.3">
      <c r="B176" s="1" t="s">
        <v>775</v>
      </c>
      <c r="H176" s="1" t="s">
        <v>738</v>
      </c>
      <c r="I176" s="1"/>
      <c r="J176" s="1"/>
      <c r="K176" s="1"/>
      <c r="L176" s="1"/>
      <c r="M176" s="1"/>
      <c r="N176" s="1"/>
      <c r="O176" s="1"/>
      <c r="P176" s="1"/>
      <c r="Q176" s="1"/>
      <c r="R176" s="1"/>
      <c r="T176" s="1"/>
      <c r="U176" s="1"/>
      <c r="V176" s="1"/>
      <c r="W176" s="1"/>
      <c r="X176" s="1"/>
      <c r="Y176" s="1"/>
      <c r="Z176" s="1"/>
      <c r="AB176" s="1"/>
      <c r="AC176" s="1"/>
      <c r="AD176" s="1"/>
      <c r="AE176" s="1"/>
      <c r="AF176" s="1"/>
      <c r="AG176" s="1"/>
      <c r="AH176" s="1"/>
      <c r="AI176" s="1"/>
      <c r="AL176" s="1"/>
      <c r="AN176" s="1"/>
      <c r="AO176" s="1"/>
      <c r="AP176" s="1"/>
      <c r="AQ176" s="1"/>
      <c r="AR176" s="1"/>
      <c r="AS176" s="1"/>
      <c r="AT176" s="1"/>
      <c r="AU176" s="1"/>
      <c r="AV176" s="1"/>
    </row>
    <row r="177" spans="2:48" x14ac:dyDescent="0.3">
      <c r="B177" s="1" t="s">
        <v>776</v>
      </c>
      <c r="H177" s="1" t="s">
        <v>738</v>
      </c>
      <c r="I177" s="1"/>
      <c r="J177" s="1"/>
      <c r="K177" s="1"/>
      <c r="L177" s="1"/>
      <c r="M177" s="1"/>
      <c r="N177" s="1"/>
      <c r="O177" s="1"/>
      <c r="P177" s="1"/>
      <c r="Q177" s="1"/>
      <c r="R177" s="1"/>
      <c r="T177" s="1"/>
      <c r="U177" s="1"/>
      <c r="V177" s="1"/>
      <c r="W177" s="1"/>
      <c r="X177" s="1"/>
      <c r="Y177" s="1"/>
      <c r="Z177" s="1"/>
      <c r="AB177" s="1"/>
      <c r="AC177" s="1"/>
      <c r="AD177" s="1"/>
      <c r="AE177" s="1"/>
      <c r="AF177" s="1"/>
      <c r="AG177" s="1"/>
      <c r="AH177" s="1"/>
      <c r="AI177" s="1"/>
      <c r="AL177" s="1"/>
      <c r="AN177" s="1"/>
      <c r="AO177" s="1"/>
      <c r="AP177" s="1"/>
      <c r="AQ177" s="1"/>
      <c r="AR177" s="1"/>
      <c r="AS177" s="1"/>
      <c r="AT177" s="1"/>
      <c r="AU177" s="1"/>
      <c r="AV177" s="1"/>
    </row>
    <row r="178" spans="2:48" x14ac:dyDescent="0.3">
      <c r="B178" s="1" t="s">
        <v>777</v>
      </c>
      <c r="H178" s="1" t="s">
        <v>738</v>
      </c>
      <c r="I178" s="1"/>
      <c r="J178" s="1"/>
      <c r="K178" s="1"/>
      <c r="L178" s="1"/>
      <c r="M178" s="1"/>
      <c r="N178" s="1"/>
      <c r="O178" s="1"/>
      <c r="P178" s="1"/>
      <c r="Q178" s="1"/>
      <c r="R178" s="1"/>
      <c r="T178" s="1"/>
      <c r="U178" s="1"/>
      <c r="V178" s="1"/>
      <c r="W178" s="1"/>
      <c r="X178" s="1"/>
      <c r="Y178" s="1"/>
      <c r="Z178" s="1"/>
      <c r="AB178" s="1"/>
      <c r="AC178" s="1"/>
      <c r="AD178" s="1"/>
      <c r="AE178" s="1"/>
      <c r="AF178" s="1"/>
      <c r="AG178" s="1"/>
      <c r="AH178" s="1"/>
      <c r="AI178" s="1"/>
      <c r="AL178" s="1"/>
      <c r="AN178" s="1"/>
      <c r="AO178" s="1"/>
      <c r="AP178" s="1"/>
      <c r="AQ178" s="1"/>
      <c r="AR178" s="1"/>
      <c r="AS178" s="1"/>
      <c r="AT178" s="1"/>
      <c r="AU178" s="1"/>
      <c r="AV178" s="1"/>
    </row>
    <row r="179" spans="2:48" x14ac:dyDescent="0.3">
      <c r="B179" s="1" t="s">
        <v>778</v>
      </c>
      <c r="H179" s="1" t="s">
        <v>738</v>
      </c>
      <c r="I179" s="1"/>
      <c r="J179" s="1"/>
      <c r="K179" s="1"/>
      <c r="L179" s="1"/>
      <c r="M179" s="1"/>
      <c r="N179" s="1"/>
      <c r="O179" s="1"/>
      <c r="P179" s="1"/>
      <c r="Q179" s="1"/>
      <c r="R179" s="1"/>
      <c r="T179" s="1"/>
      <c r="U179" s="1"/>
      <c r="V179" s="1"/>
      <c r="W179" s="1"/>
      <c r="X179" s="1"/>
      <c r="Y179" s="1"/>
      <c r="Z179" s="1"/>
      <c r="AB179" s="1"/>
      <c r="AC179" s="1"/>
      <c r="AD179" s="1"/>
      <c r="AE179" s="1"/>
      <c r="AF179" s="1"/>
      <c r="AG179" s="1"/>
      <c r="AH179" s="1"/>
      <c r="AI179" s="1"/>
      <c r="AL179" s="1"/>
      <c r="AN179" s="1"/>
      <c r="AO179" s="1"/>
      <c r="AP179" s="1"/>
      <c r="AQ179" s="1"/>
      <c r="AR179" s="1"/>
      <c r="AS179" s="1"/>
      <c r="AT179" s="1"/>
      <c r="AU179" s="1"/>
      <c r="AV179" s="1"/>
    </row>
    <row r="180" spans="2:48" x14ac:dyDescent="0.3">
      <c r="B180" s="1" t="s">
        <v>779</v>
      </c>
      <c r="H180" s="1" t="s">
        <v>738</v>
      </c>
      <c r="I180" s="1"/>
      <c r="J180" s="1"/>
      <c r="K180" s="1"/>
      <c r="L180" s="1"/>
      <c r="M180" s="1"/>
      <c r="N180" s="1"/>
      <c r="O180" s="1"/>
      <c r="P180" s="1"/>
      <c r="Q180" s="1"/>
      <c r="R180" s="1"/>
      <c r="T180" s="1"/>
      <c r="U180" s="1"/>
      <c r="V180" s="1"/>
      <c r="W180" s="1"/>
      <c r="X180" s="1"/>
      <c r="Y180" s="1"/>
      <c r="Z180" s="1"/>
      <c r="AB180" s="1"/>
      <c r="AC180" s="1"/>
      <c r="AD180" s="1"/>
      <c r="AE180" s="1"/>
      <c r="AF180" s="1"/>
      <c r="AG180" s="1"/>
      <c r="AH180" s="1"/>
      <c r="AI180" s="1"/>
      <c r="AL180" s="1"/>
      <c r="AN180" s="1"/>
      <c r="AO180" s="1"/>
      <c r="AP180" s="1"/>
      <c r="AQ180" s="1"/>
      <c r="AR180" s="1"/>
      <c r="AS180" s="1"/>
      <c r="AT180" s="1"/>
      <c r="AU180" s="1"/>
      <c r="AV180" s="1"/>
    </row>
    <row r="181" spans="2:48" x14ac:dyDescent="0.3">
      <c r="B181" s="1" t="s">
        <v>780</v>
      </c>
      <c r="H181" s="1" t="s">
        <v>738</v>
      </c>
      <c r="I181" s="1"/>
      <c r="J181" s="1"/>
      <c r="K181" s="1"/>
      <c r="L181" s="1"/>
      <c r="M181" s="1"/>
      <c r="N181" s="1"/>
      <c r="O181" s="1"/>
      <c r="P181" s="1"/>
      <c r="Q181" s="1"/>
      <c r="R181" s="1"/>
      <c r="T181" s="1"/>
      <c r="U181" s="1"/>
      <c r="V181" s="1"/>
      <c r="W181" s="1"/>
      <c r="X181" s="1"/>
      <c r="Y181" s="1"/>
      <c r="Z181" s="1"/>
      <c r="AB181" s="1"/>
      <c r="AC181" s="1"/>
      <c r="AD181" s="1"/>
      <c r="AE181" s="1"/>
      <c r="AF181" s="1"/>
      <c r="AG181" s="1"/>
      <c r="AH181" s="1"/>
      <c r="AI181" s="1"/>
      <c r="AL181" s="1"/>
      <c r="AN181" s="1"/>
      <c r="AO181" s="1"/>
      <c r="AP181" s="1"/>
      <c r="AQ181" s="1"/>
      <c r="AR181" s="1"/>
      <c r="AS181" s="1"/>
      <c r="AT181" s="1"/>
      <c r="AU181" s="1"/>
      <c r="AV181" s="1"/>
    </row>
    <row r="182" spans="2:48" x14ac:dyDescent="0.3">
      <c r="B182" s="1" t="s">
        <v>781</v>
      </c>
      <c r="H182" s="1" t="s">
        <v>738</v>
      </c>
      <c r="I182" s="1"/>
      <c r="J182" s="1"/>
      <c r="K182" s="1"/>
      <c r="L182" s="1"/>
      <c r="M182" s="1"/>
      <c r="N182" s="1"/>
      <c r="O182" s="1"/>
      <c r="P182" s="1"/>
      <c r="Q182" s="1"/>
      <c r="R182" s="1"/>
      <c r="T182" s="1"/>
      <c r="U182" s="1"/>
      <c r="V182" s="1"/>
      <c r="W182" s="1"/>
      <c r="X182" s="1"/>
      <c r="Y182" s="1"/>
      <c r="Z182" s="1"/>
      <c r="AB182" s="1"/>
      <c r="AC182" s="1"/>
      <c r="AD182" s="1"/>
      <c r="AE182" s="1"/>
      <c r="AF182" s="1"/>
      <c r="AG182" s="1"/>
      <c r="AH182" s="1"/>
      <c r="AI182" s="1"/>
      <c r="AL182" s="1"/>
      <c r="AN182" s="1"/>
      <c r="AO182" s="1"/>
      <c r="AP182" s="1"/>
      <c r="AQ182" s="1"/>
      <c r="AR182" s="1"/>
      <c r="AS182" s="1"/>
      <c r="AT182" s="1"/>
      <c r="AU182" s="1"/>
      <c r="AV182" s="1"/>
    </row>
    <row r="183" spans="2:48" x14ac:dyDescent="0.3">
      <c r="B183" s="1" t="s">
        <v>782</v>
      </c>
      <c r="H183" s="1" t="s">
        <v>738</v>
      </c>
      <c r="I183" s="1"/>
      <c r="J183" s="1"/>
      <c r="K183" s="1"/>
      <c r="L183" s="1"/>
      <c r="M183" s="1"/>
      <c r="N183" s="1"/>
      <c r="O183" s="1"/>
      <c r="P183" s="1"/>
      <c r="Q183" s="1"/>
      <c r="R183" s="1"/>
      <c r="T183" s="1"/>
      <c r="U183" s="1"/>
      <c r="V183" s="1"/>
      <c r="W183" s="1"/>
      <c r="X183" s="1"/>
      <c r="Y183" s="1"/>
      <c r="Z183" s="1"/>
      <c r="AB183" s="1"/>
      <c r="AC183" s="1"/>
      <c r="AD183" s="1"/>
      <c r="AE183" s="1"/>
      <c r="AF183" s="1"/>
      <c r="AG183" s="1"/>
      <c r="AH183" s="1"/>
      <c r="AI183" s="1"/>
      <c r="AL183" s="1"/>
      <c r="AN183" s="1"/>
      <c r="AO183" s="1"/>
      <c r="AP183" s="1"/>
      <c r="AQ183" s="1"/>
      <c r="AR183" s="1"/>
      <c r="AS183" s="1"/>
      <c r="AT183" s="1"/>
      <c r="AU183" s="1"/>
      <c r="AV183" s="1"/>
    </row>
    <row r="184" spans="2:48" x14ac:dyDescent="0.3">
      <c r="B184" s="1" t="s">
        <v>783</v>
      </c>
      <c r="H184" s="1" t="s">
        <v>738</v>
      </c>
      <c r="I184" s="1"/>
      <c r="J184" s="1"/>
      <c r="K184" s="1"/>
      <c r="L184" s="1"/>
      <c r="M184" s="1"/>
      <c r="N184" s="1"/>
      <c r="O184" s="1"/>
      <c r="P184" s="1"/>
      <c r="Q184" s="1"/>
      <c r="R184" s="1"/>
      <c r="T184" s="1"/>
      <c r="U184" s="1"/>
      <c r="V184" s="1"/>
      <c r="W184" s="1"/>
      <c r="X184" s="1"/>
      <c r="Y184" s="1"/>
      <c r="Z184" s="1"/>
      <c r="AB184" s="1"/>
      <c r="AC184" s="1"/>
      <c r="AD184" s="1"/>
      <c r="AE184" s="1"/>
      <c r="AF184" s="1"/>
      <c r="AG184" s="1"/>
      <c r="AH184" s="1"/>
      <c r="AI184" s="1"/>
      <c r="AL184" s="1"/>
      <c r="AN184" s="1"/>
      <c r="AO184" s="1"/>
      <c r="AP184" s="1"/>
      <c r="AQ184" s="1"/>
      <c r="AR184" s="1"/>
      <c r="AS184" s="1"/>
      <c r="AT184" s="1"/>
      <c r="AU184" s="1"/>
      <c r="AV184" s="1"/>
    </row>
    <row r="185" spans="2:48" x14ac:dyDescent="0.3">
      <c r="B185" s="1" t="s">
        <v>784</v>
      </c>
      <c r="H185" s="1" t="s">
        <v>738</v>
      </c>
      <c r="I185" s="1"/>
      <c r="J185" s="1"/>
      <c r="K185" s="1"/>
      <c r="L185" s="1"/>
      <c r="M185" s="1"/>
      <c r="N185" s="1"/>
      <c r="O185" s="1"/>
      <c r="P185" s="1"/>
      <c r="Q185" s="1"/>
      <c r="R185" s="1"/>
      <c r="T185" s="1"/>
      <c r="U185" s="1"/>
      <c r="V185" s="1"/>
      <c r="W185" s="1"/>
      <c r="X185" s="1"/>
      <c r="Y185" s="1"/>
      <c r="Z185" s="1"/>
      <c r="AB185" s="1"/>
      <c r="AC185" s="1"/>
      <c r="AD185" s="1"/>
      <c r="AE185" s="1"/>
      <c r="AF185" s="1"/>
      <c r="AG185" s="1"/>
      <c r="AH185" s="1"/>
      <c r="AI185" s="1"/>
      <c r="AL185" s="1"/>
      <c r="AN185" s="1"/>
      <c r="AO185" s="1"/>
      <c r="AP185" s="1"/>
      <c r="AQ185" s="1"/>
      <c r="AR185" s="1"/>
      <c r="AS185" s="1"/>
      <c r="AT185" s="1"/>
      <c r="AU185" s="1"/>
      <c r="AV185" s="1"/>
    </row>
    <row r="186" spans="2:48" x14ac:dyDescent="0.3">
      <c r="B186" s="1" t="s">
        <v>785</v>
      </c>
      <c r="H186" s="1" t="s">
        <v>738</v>
      </c>
      <c r="I186" s="1"/>
      <c r="J186" s="1"/>
      <c r="K186" s="1"/>
      <c r="L186" s="1"/>
      <c r="M186" s="1"/>
      <c r="N186" s="1"/>
      <c r="O186" s="1"/>
      <c r="P186" s="1"/>
      <c r="Q186" s="1"/>
      <c r="R186" s="1"/>
      <c r="T186" s="1"/>
      <c r="U186" s="1"/>
      <c r="V186" s="1"/>
      <c r="W186" s="1"/>
      <c r="X186" s="1"/>
      <c r="Y186" s="1"/>
      <c r="Z186" s="1"/>
      <c r="AB186" s="1"/>
      <c r="AC186" s="1"/>
      <c r="AD186" s="1"/>
      <c r="AE186" s="1"/>
      <c r="AF186" s="1"/>
      <c r="AG186" s="1"/>
      <c r="AH186" s="1"/>
      <c r="AI186" s="1"/>
      <c r="AL186" s="1"/>
      <c r="AN186" s="1"/>
      <c r="AO186" s="1"/>
      <c r="AP186" s="1"/>
      <c r="AQ186" s="1"/>
      <c r="AR186" s="1"/>
      <c r="AS186" s="1"/>
      <c r="AT186" s="1"/>
      <c r="AU186" s="1"/>
      <c r="AV186" s="1"/>
    </row>
    <row r="187" spans="2:48" x14ac:dyDescent="0.3">
      <c r="B187" s="1" t="s">
        <v>786</v>
      </c>
      <c r="H187" s="1" t="s">
        <v>738</v>
      </c>
      <c r="I187" s="1"/>
      <c r="J187" s="1"/>
      <c r="K187" s="1"/>
      <c r="L187" s="1"/>
      <c r="M187" s="1"/>
      <c r="N187" s="1"/>
      <c r="O187" s="1"/>
      <c r="P187" s="1"/>
      <c r="Q187" s="1"/>
      <c r="R187" s="1"/>
      <c r="T187" s="1"/>
      <c r="U187" s="1"/>
      <c r="V187" s="1"/>
      <c r="W187" s="1"/>
      <c r="X187" s="1"/>
      <c r="Y187" s="1"/>
      <c r="Z187" s="1"/>
      <c r="AB187" s="1"/>
      <c r="AC187" s="1"/>
      <c r="AD187" s="1"/>
      <c r="AE187" s="1"/>
      <c r="AF187" s="1"/>
      <c r="AG187" s="1"/>
      <c r="AH187" s="1"/>
      <c r="AI187" s="1"/>
      <c r="AL187" s="1"/>
      <c r="AN187" s="1"/>
      <c r="AO187" s="1"/>
      <c r="AP187" s="1"/>
      <c r="AQ187" s="1"/>
      <c r="AR187" s="1"/>
      <c r="AS187" s="1"/>
      <c r="AT187" s="1"/>
      <c r="AU187" s="1"/>
      <c r="AV187" s="1"/>
    </row>
    <row r="188" spans="2:48" x14ac:dyDescent="0.3">
      <c r="B188" s="1" t="s">
        <v>787</v>
      </c>
      <c r="H188" s="1" t="s">
        <v>738</v>
      </c>
      <c r="I188" s="1"/>
      <c r="J188" s="1"/>
      <c r="K188" s="1"/>
      <c r="L188" s="1"/>
      <c r="M188" s="1"/>
      <c r="N188" s="1"/>
      <c r="O188" s="1"/>
      <c r="P188" s="1"/>
      <c r="Q188" s="1"/>
      <c r="R188" s="1"/>
      <c r="T188" s="1"/>
      <c r="U188" s="1"/>
      <c r="V188" s="1"/>
      <c r="W188" s="1"/>
      <c r="X188" s="1"/>
      <c r="Y188" s="1"/>
      <c r="Z188" s="1"/>
      <c r="AB188" s="1"/>
      <c r="AC188" s="1"/>
      <c r="AD188" s="1"/>
      <c r="AE188" s="1"/>
      <c r="AF188" s="1"/>
      <c r="AG188" s="1"/>
      <c r="AH188" s="1"/>
      <c r="AI188" s="1"/>
      <c r="AL188" s="1"/>
      <c r="AN188" s="1"/>
      <c r="AO188" s="1"/>
      <c r="AP188" s="1"/>
      <c r="AQ188" s="1"/>
      <c r="AR188" s="1"/>
      <c r="AS188" s="1"/>
      <c r="AT188" s="1"/>
      <c r="AU188" s="1"/>
      <c r="AV188" s="1"/>
    </row>
    <row r="189" spans="2:48" x14ac:dyDescent="0.3">
      <c r="B189" s="1" t="s">
        <v>788</v>
      </c>
      <c r="H189" s="1" t="s">
        <v>738</v>
      </c>
      <c r="I189" s="1"/>
      <c r="J189" s="1"/>
      <c r="K189" s="1"/>
      <c r="L189" s="1"/>
      <c r="M189" s="1"/>
      <c r="N189" s="1"/>
      <c r="O189" s="1"/>
      <c r="P189" s="1"/>
      <c r="Q189" s="1"/>
      <c r="R189" s="1"/>
      <c r="T189" s="1"/>
      <c r="U189" s="1"/>
      <c r="V189" s="1"/>
      <c r="W189" s="1"/>
      <c r="X189" s="1"/>
      <c r="Y189" s="1"/>
      <c r="Z189" s="1"/>
      <c r="AB189" s="1"/>
      <c r="AC189" s="1"/>
      <c r="AD189" s="1"/>
      <c r="AE189" s="1"/>
      <c r="AF189" s="1"/>
      <c r="AG189" s="1"/>
      <c r="AH189" s="1"/>
      <c r="AI189" s="1"/>
      <c r="AL189" s="1"/>
      <c r="AN189" s="1"/>
      <c r="AO189" s="1"/>
      <c r="AP189" s="1"/>
      <c r="AQ189" s="1"/>
      <c r="AR189" s="1"/>
      <c r="AS189" s="1"/>
      <c r="AT189" s="1"/>
      <c r="AU189" s="1"/>
      <c r="AV189" s="1"/>
    </row>
    <row r="190" spans="2:48" x14ac:dyDescent="0.3">
      <c r="B190" s="1" t="s">
        <v>789</v>
      </c>
      <c r="H190" s="1" t="s">
        <v>738</v>
      </c>
      <c r="I190" s="1"/>
      <c r="J190" s="1"/>
      <c r="K190" s="1"/>
      <c r="L190" s="1"/>
      <c r="M190" s="1"/>
      <c r="N190" s="1"/>
      <c r="O190" s="1"/>
      <c r="P190" s="1"/>
      <c r="Q190" s="1"/>
      <c r="R190" s="1"/>
      <c r="T190" s="1"/>
      <c r="U190" s="1"/>
      <c r="V190" s="1"/>
      <c r="W190" s="1"/>
      <c r="X190" s="1"/>
      <c r="Y190" s="1"/>
      <c r="Z190" s="1"/>
      <c r="AB190" s="1"/>
      <c r="AC190" s="1"/>
      <c r="AD190" s="1"/>
      <c r="AE190" s="1"/>
      <c r="AF190" s="1"/>
      <c r="AG190" s="1"/>
      <c r="AH190" s="1"/>
      <c r="AI190" s="1"/>
      <c r="AL190" s="1"/>
      <c r="AN190" s="1"/>
      <c r="AO190" s="1"/>
      <c r="AP190" s="1"/>
      <c r="AQ190" s="1"/>
      <c r="AR190" s="1"/>
      <c r="AS190" s="1"/>
      <c r="AT190" s="1"/>
      <c r="AU190" s="1"/>
      <c r="AV190" s="1"/>
    </row>
    <row r="191" spans="2:48" x14ac:dyDescent="0.3">
      <c r="B191" s="1" t="s">
        <v>790</v>
      </c>
      <c r="H191" s="1" t="s">
        <v>738</v>
      </c>
      <c r="I191" s="1"/>
      <c r="J191" s="1"/>
      <c r="K191" s="1"/>
      <c r="L191" s="1"/>
      <c r="M191" s="1"/>
      <c r="N191" s="1"/>
      <c r="O191" s="1"/>
      <c r="P191" s="1"/>
      <c r="Q191" s="1"/>
      <c r="R191" s="1"/>
      <c r="T191" s="1"/>
      <c r="U191" s="1"/>
      <c r="V191" s="1"/>
      <c r="W191" s="1"/>
      <c r="X191" s="1"/>
      <c r="Y191" s="1"/>
      <c r="Z191" s="1"/>
      <c r="AB191" s="1"/>
      <c r="AC191" s="1"/>
      <c r="AD191" s="1"/>
      <c r="AE191" s="1"/>
      <c r="AF191" s="1"/>
      <c r="AG191" s="1"/>
      <c r="AH191" s="1"/>
      <c r="AI191" s="1"/>
      <c r="AL191" s="1"/>
      <c r="AN191" s="1"/>
      <c r="AO191" s="1"/>
      <c r="AP191" s="1"/>
      <c r="AQ191" s="1"/>
      <c r="AR191" s="1"/>
      <c r="AS191" s="1"/>
      <c r="AT191" s="1"/>
      <c r="AU191" s="1"/>
      <c r="AV191" s="1"/>
    </row>
    <row r="192" spans="2:48" x14ac:dyDescent="0.3">
      <c r="B192" s="1" t="s">
        <v>791</v>
      </c>
      <c r="H192" s="1" t="s">
        <v>738</v>
      </c>
      <c r="I192" s="1"/>
      <c r="J192" s="1"/>
      <c r="K192" s="1"/>
      <c r="L192" s="1"/>
      <c r="M192" s="1"/>
      <c r="N192" s="1"/>
      <c r="O192" s="1"/>
      <c r="P192" s="1"/>
      <c r="Q192" s="1"/>
      <c r="R192" s="1"/>
      <c r="T192" s="1"/>
      <c r="U192" s="1"/>
      <c r="V192" s="1"/>
      <c r="W192" s="1"/>
      <c r="X192" s="1"/>
      <c r="Y192" s="1"/>
      <c r="Z192" s="1"/>
      <c r="AB192" s="1"/>
      <c r="AC192" s="1"/>
      <c r="AD192" s="1"/>
      <c r="AE192" s="1"/>
      <c r="AF192" s="1"/>
      <c r="AG192" s="1"/>
      <c r="AH192" s="1"/>
      <c r="AI192" s="1"/>
      <c r="AL192" s="1"/>
      <c r="AN192" s="1"/>
      <c r="AO192" s="1"/>
      <c r="AP192" s="1"/>
      <c r="AQ192" s="1"/>
      <c r="AR192" s="1"/>
      <c r="AS192" s="1"/>
      <c r="AT192" s="1"/>
      <c r="AU192" s="1"/>
      <c r="AV192" s="1"/>
    </row>
    <row r="193" spans="2:48" x14ac:dyDescent="0.3">
      <c r="B193" s="1" t="s">
        <v>792</v>
      </c>
      <c r="H193" s="1" t="s">
        <v>738</v>
      </c>
      <c r="I193" s="1"/>
      <c r="J193" s="1"/>
      <c r="K193" s="1"/>
      <c r="L193" s="1"/>
      <c r="M193" s="1"/>
      <c r="N193" s="1"/>
      <c r="O193" s="1"/>
      <c r="P193" s="1"/>
      <c r="Q193" s="1"/>
      <c r="R193" s="1"/>
      <c r="T193" s="1"/>
      <c r="U193" s="1"/>
      <c r="V193" s="1"/>
      <c r="W193" s="1"/>
      <c r="X193" s="1"/>
      <c r="Y193" s="1"/>
      <c r="Z193" s="1"/>
      <c r="AB193" s="1"/>
      <c r="AC193" s="1"/>
      <c r="AD193" s="1"/>
      <c r="AE193" s="1"/>
      <c r="AF193" s="1"/>
      <c r="AG193" s="1"/>
      <c r="AH193" s="1"/>
      <c r="AI193" s="1"/>
      <c r="AL193" s="1"/>
      <c r="AN193" s="1"/>
      <c r="AO193" s="1"/>
      <c r="AP193" s="1"/>
      <c r="AQ193" s="1"/>
      <c r="AR193" s="1"/>
      <c r="AS193" s="1"/>
      <c r="AT193" s="1"/>
      <c r="AU193" s="1"/>
      <c r="AV193" s="1"/>
    </row>
    <row r="194" spans="2:48" x14ac:dyDescent="0.3">
      <c r="B194" s="1" t="s">
        <v>793</v>
      </c>
      <c r="H194" s="1" t="s">
        <v>738</v>
      </c>
      <c r="I194" s="1"/>
      <c r="J194" s="1"/>
      <c r="K194" s="1"/>
      <c r="L194" s="1"/>
      <c r="M194" s="1"/>
      <c r="N194" s="1"/>
      <c r="O194" s="1"/>
      <c r="P194" s="1"/>
      <c r="Q194" s="1"/>
      <c r="R194" s="1"/>
      <c r="T194" s="1"/>
      <c r="U194" s="1"/>
      <c r="V194" s="1"/>
      <c r="W194" s="1"/>
      <c r="X194" s="1"/>
      <c r="Y194" s="1"/>
      <c r="Z194" s="1"/>
      <c r="AB194" s="1"/>
      <c r="AC194" s="1"/>
      <c r="AD194" s="1"/>
      <c r="AE194" s="1"/>
      <c r="AF194" s="1"/>
      <c r="AG194" s="1"/>
      <c r="AH194" s="1"/>
      <c r="AI194" s="1"/>
      <c r="AL194" s="1"/>
      <c r="AN194" s="1"/>
      <c r="AO194" s="1"/>
      <c r="AP194" s="1"/>
      <c r="AQ194" s="1"/>
      <c r="AR194" s="1"/>
      <c r="AS194" s="1"/>
      <c r="AT194" s="1"/>
      <c r="AU194" s="1"/>
      <c r="AV194" s="1"/>
    </row>
    <row r="195" spans="2:48" x14ac:dyDescent="0.3">
      <c r="B195" s="1" t="s">
        <v>794</v>
      </c>
      <c r="H195" s="1" t="s">
        <v>738</v>
      </c>
      <c r="I195" s="1"/>
      <c r="J195" s="1"/>
      <c r="K195" s="1"/>
      <c r="L195" s="1"/>
      <c r="M195" s="1"/>
      <c r="N195" s="1"/>
      <c r="O195" s="1"/>
      <c r="P195" s="1"/>
      <c r="Q195" s="1"/>
      <c r="R195" s="1"/>
      <c r="T195" s="1"/>
      <c r="U195" s="1"/>
      <c r="V195" s="1"/>
      <c r="W195" s="1"/>
      <c r="X195" s="1"/>
      <c r="Y195" s="1"/>
      <c r="Z195" s="1"/>
      <c r="AB195" s="1"/>
      <c r="AC195" s="1"/>
      <c r="AD195" s="1"/>
      <c r="AE195" s="1"/>
      <c r="AF195" s="1"/>
      <c r="AG195" s="1"/>
      <c r="AH195" s="1"/>
      <c r="AI195" s="1"/>
      <c r="AL195" s="1"/>
      <c r="AN195" s="1"/>
      <c r="AO195" s="1"/>
      <c r="AP195" s="1"/>
      <c r="AQ195" s="1"/>
      <c r="AR195" s="1"/>
      <c r="AS195" s="1"/>
      <c r="AT195" s="1"/>
      <c r="AU195" s="1"/>
      <c r="AV195" s="1"/>
    </row>
    <row r="196" spans="2:48" x14ac:dyDescent="0.3">
      <c r="B196" s="1" t="s">
        <v>795</v>
      </c>
      <c r="H196" s="1" t="s">
        <v>738</v>
      </c>
      <c r="I196" s="1"/>
      <c r="J196" s="1"/>
      <c r="K196" s="1"/>
      <c r="L196" s="1"/>
      <c r="M196" s="1"/>
      <c r="N196" s="1"/>
      <c r="O196" s="1"/>
      <c r="P196" s="1"/>
      <c r="Q196" s="1"/>
      <c r="R196" s="1"/>
      <c r="T196" s="1"/>
      <c r="U196" s="1"/>
      <c r="V196" s="1"/>
      <c r="W196" s="1"/>
      <c r="X196" s="1"/>
      <c r="Y196" s="1"/>
      <c r="Z196" s="1"/>
      <c r="AB196" s="1"/>
      <c r="AC196" s="1"/>
      <c r="AD196" s="1"/>
      <c r="AE196" s="1"/>
      <c r="AF196" s="1"/>
      <c r="AG196" s="1"/>
      <c r="AH196" s="1"/>
      <c r="AI196" s="1"/>
      <c r="AL196" s="1"/>
      <c r="AN196" s="1"/>
      <c r="AO196" s="1"/>
      <c r="AP196" s="1"/>
      <c r="AQ196" s="1"/>
      <c r="AR196" s="1"/>
      <c r="AS196" s="1"/>
      <c r="AT196" s="1"/>
      <c r="AU196" s="1"/>
      <c r="AV196" s="1"/>
    </row>
    <row r="197" spans="2:48" x14ac:dyDescent="0.3">
      <c r="B197" s="1" t="s">
        <v>796</v>
      </c>
      <c r="H197" s="1" t="s">
        <v>738</v>
      </c>
      <c r="I197" s="1"/>
      <c r="J197" s="1"/>
      <c r="K197" s="1"/>
      <c r="L197" s="1"/>
      <c r="M197" s="1"/>
      <c r="N197" s="1"/>
      <c r="O197" s="1"/>
      <c r="P197" s="1"/>
      <c r="Q197" s="1"/>
      <c r="R197" s="1"/>
      <c r="T197" s="1"/>
      <c r="U197" s="1"/>
      <c r="V197" s="1"/>
      <c r="W197" s="1"/>
      <c r="X197" s="1"/>
      <c r="Y197" s="1"/>
      <c r="Z197" s="1"/>
      <c r="AB197" s="1"/>
      <c r="AC197" s="1"/>
      <c r="AD197" s="1"/>
      <c r="AE197" s="1"/>
      <c r="AF197" s="1"/>
      <c r="AG197" s="1"/>
      <c r="AH197" s="1"/>
      <c r="AI197" s="1"/>
      <c r="AL197" s="1"/>
      <c r="AN197" s="1"/>
      <c r="AO197" s="1"/>
      <c r="AP197" s="1"/>
      <c r="AQ197" s="1"/>
      <c r="AR197" s="1"/>
      <c r="AS197" s="1"/>
      <c r="AT197" s="1"/>
      <c r="AU197" s="1"/>
      <c r="AV197" s="1"/>
    </row>
    <row r="198" spans="2:48" x14ac:dyDescent="0.3">
      <c r="B198" s="1" t="s">
        <v>797</v>
      </c>
      <c r="H198" s="1" t="s">
        <v>738</v>
      </c>
      <c r="I198" s="1"/>
      <c r="J198" s="1"/>
      <c r="K198" s="1"/>
      <c r="L198" s="1"/>
      <c r="M198" s="1"/>
      <c r="N198" s="1"/>
      <c r="O198" s="1"/>
      <c r="P198" s="1"/>
      <c r="Q198" s="1"/>
      <c r="R198" s="1"/>
      <c r="T198" s="1"/>
      <c r="U198" s="1"/>
      <c r="V198" s="1"/>
      <c r="W198" s="1"/>
      <c r="X198" s="1"/>
      <c r="Y198" s="1"/>
      <c r="Z198" s="1"/>
      <c r="AB198" s="1"/>
      <c r="AC198" s="1"/>
      <c r="AD198" s="1"/>
      <c r="AE198" s="1"/>
      <c r="AF198" s="1"/>
      <c r="AG198" s="1"/>
      <c r="AH198" s="1"/>
      <c r="AI198" s="1"/>
      <c r="AL198" s="1"/>
      <c r="AN198" s="1"/>
      <c r="AO198" s="1"/>
      <c r="AP198" s="1"/>
      <c r="AQ198" s="1"/>
      <c r="AR198" s="1"/>
      <c r="AS198" s="1"/>
      <c r="AT198" s="1"/>
      <c r="AU198" s="1"/>
      <c r="AV198" s="1"/>
    </row>
    <row r="199" spans="2:48" x14ac:dyDescent="0.3">
      <c r="B199" s="1" t="s">
        <v>798</v>
      </c>
      <c r="H199" s="1" t="s">
        <v>738</v>
      </c>
      <c r="I199" s="1"/>
      <c r="J199" s="1"/>
      <c r="K199" s="1"/>
      <c r="L199" s="1"/>
      <c r="M199" s="1"/>
      <c r="N199" s="1"/>
      <c r="O199" s="1"/>
      <c r="P199" s="1"/>
      <c r="Q199" s="1"/>
      <c r="R199" s="1"/>
      <c r="T199" s="1"/>
      <c r="U199" s="1"/>
      <c r="V199" s="1"/>
      <c r="W199" s="1"/>
      <c r="X199" s="1"/>
      <c r="Y199" s="1"/>
      <c r="Z199" s="1"/>
      <c r="AB199" s="1"/>
      <c r="AC199" s="1"/>
      <c r="AD199" s="1"/>
      <c r="AE199" s="1"/>
      <c r="AF199" s="1"/>
      <c r="AG199" s="1"/>
      <c r="AH199" s="1"/>
      <c r="AI199" s="1"/>
      <c r="AL199" s="1"/>
      <c r="AN199" s="1"/>
      <c r="AO199" s="1"/>
      <c r="AP199" s="1"/>
      <c r="AQ199" s="1"/>
      <c r="AR199" s="1"/>
      <c r="AS199" s="1"/>
      <c r="AT199" s="1"/>
      <c r="AU199" s="1"/>
      <c r="AV199" s="1"/>
    </row>
    <row r="200" spans="2:48" x14ac:dyDescent="0.3">
      <c r="B200" s="1" t="s">
        <v>799</v>
      </c>
      <c r="H200" s="1" t="s">
        <v>738</v>
      </c>
      <c r="I200" s="1"/>
      <c r="J200" s="1"/>
      <c r="K200" s="1"/>
      <c r="L200" s="1"/>
      <c r="M200" s="1"/>
      <c r="N200" s="1"/>
      <c r="O200" s="1"/>
      <c r="P200" s="1"/>
      <c r="Q200" s="1"/>
      <c r="R200" s="1"/>
      <c r="T200" s="1"/>
      <c r="U200" s="1"/>
      <c r="V200" s="1"/>
      <c r="W200" s="1"/>
      <c r="X200" s="1"/>
      <c r="Y200" s="1"/>
      <c r="Z200" s="1"/>
      <c r="AB200" s="1"/>
      <c r="AC200" s="1"/>
      <c r="AD200" s="1"/>
      <c r="AE200" s="1"/>
      <c r="AF200" s="1"/>
      <c r="AG200" s="1"/>
      <c r="AH200" s="1"/>
      <c r="AI200" s="1"/>
      <c r="AL200" s="1"/>
      <c r="AN200" s="1"/>
      <c r="AO200" s="1"/>
      <c r="AP200" s="1"/>
      <c r="AQ200" s="1"/>
      <c r="AR200" s="1"/>
      <c r="AS200" s="1"/>
      <c r="AT200" s="1"/>
      <c r="AU200" s="1"/>
      <c r="AV200" s="1"/>
    </row>
    <row r="201" spans="2:48" x14ac:dyDescent="0.3">
      <c r="B201" s="1" t="s">
        <v>800</v>
      </c>
      <c r="H201" s="1" t="s">
        <v>738</v>
      </c>
      <c r="I201" s="1"/>
      <c r="J201" s="1"/>
      <c r="K201" s="1"/>
      <c r="L201" s="1"/>
      <c r="M201" s="1"/>
      <c r="N201" s="1"/>
      <c r="O201" s="1"/>
      <c r="P201" s="1"/>
      <c r="Q201" s="1"/>
      <c r="R201" s="1"/>
      <c r="T201" s="1"/>
      <c r="U201" s="1"/>
      <c r="V201" s="1"/>
      <c r="W201" s="1"/>
      <c r="X201" s="1"/>
      <c r="Y201" s="1"/>
      <c r="Z201" s="1"/>
      <c r="AB201" s="1"/>
      <c r="AC201" s="1"/>
      <c r="AD201" s="1"/>
      <c r="AE201" s="1"/>
      <c r="AF201" s="1"/>
      <c r="AG201" s="1"/>
      <c r="AH201" s="1"/>
      <c r="AI201" s="1"/>
      <c r="AL201" s="1"/>
      <c r="AN201" s="1"/>
      <c r="AO201" s="1"/>
      <c r="AP201" s="1"/>
      <c r="AQ201" s="1"/>
      <c r="AR201" s="1"/>
      <c r="AS201" s="1"/>
      <c r="AT201" s="1"/>
      <c r="AU201" s="1"/>
      <c r="AV201" s="1"/>
    </row>
    <row r="202" spans="2:48" x14ac:dyDescent="0.3">
      <c r="B202" s="1" t="s">
        <v>801</v>
      </c>
      <c r="H202" s="1" t="s">
        <v>738</v>
      </c>
      <c r="I202" s="1"/>
      <c r="J202" s="1"/>
      <c r="K202" s="1"/>
      <c r="L202" s="1"/>
      <c r="M202" s="1"/>
      <c r="N202" s="1"/>
      <c r="O202" s="1"/>
      <c r="P202" s="1"/>
      <c r="Q202" s="1"/>
      <c r="R202" s="1"/>
      <c r="T202" s="1"/>
      <c r="U202" s="1"/>
      <c r="V202" s="1"/>
      <c r="W202" s="1"/>
      <c r="X202" s="1"/>
      <c r="Y202" s="1"/>
      <c r="Z202" s="1"/>
      <c r="AB202" s="1"/>
      <c r="AC202" s="1"/>
      <c r="AD202" s="1"/>
      <c r="AE202" s="1"/>
      <c r="AF202" s="1"/>
      <c r="AG202" s="1"/>
      <c r="AH202" s="1"/>
      <c r="AI202" s="1"/>
      <c r="AL202" s="1"/>
      <c r="AN202" s="1"/>
      <c r="AO202" s="1"/>
      <c r="AP202" s="1"/>
      <c r="AQ202" s="1"/>
      <c r="AR202" s="1"/>
      <c r="AS202" s="1"/>
      <c r="AT202" s="1"/>
      <c r="AU202" s="1"/>
      <c r="AV202" s="1"/>
    </row>
    <row r="203" spans="2:48" x14ac:dyDescent="0.3">
      <c r="B203" s="1" t="s">
        <v>802</v>
      </c>
      <c r="H203" s="1" t="s">
        <v>738</v>
      </c>
      <c r="I203" s="1"/>
      <c r="J203" s="1"/>
      <c r="K203" s="1"/>
      <c r="L203" s="1"/>
      <c r="M203" s="1"/>
      <c r="N203" s="1"/>
      <c r="O203" s="1"/>
      <c r="P203" s="1"/>
      <c r="Q203" s="1"/>
      <c r="R203" s="1"/>
      <c r="T203" s="1"/>
      <c r="U203" s="1"/>
      <c r="V203" s="1"/>
      <c r="W203" s="1"/>
      <c r="X203" s="1"/>
      <c r="Y203" s="1"/>
      <c r="Z203" s="1"/>
      <c r="AB203" s="1"/>
      <c r="AC203" s="1"/>
      <c r="AD203" s="1"/>
      <c r="AE203" s="1"/>
      <c r="AF203" s="1"/>
      <c r="AG203" s="1"/>
      <c r="AH203" s="1"/>
      <c r="AI203" s="1"/>
      <c r="AL203" s="1"/>
      <c r="AN203" s="1"/>
      <c r="AO203" s="1"/>
      <c r="AP203" s="1"/>
      <c r="AQ203" s="1"/>
      <c r="AR203" s="1"/>
      <c r="AS203" s="1"/>
      <c r="AT203" s="1"/>
      <c r="AU203" s="1"/>
      <c r="AV203" s="1"/>
    </row>
    <row r="204" spans="2:48" x14ac:dyDescent="0.3">
      <c r="B204" s="1" t="s">
        <v>803</v>
      </c>
      <c r="H204" s="1" t="s">
        <v>738</v>
      </c>
      <c r="I204" s="1"/>
      <c r="J204" s="1"/>
      <c r="K204" s="1"/>
      <c r="L204" s="1"/>
      <c r="M204" s="1"/>
      <c r="N204" s="1"/>
      <c r="O204" s="1"/>
      <c r="P204" s="1"/>
      <c r="Q204" s="1"/>
      <c r="R204" s="1"/>
      <c r="T204" s="1"/>
      <c r="U204" s="1"/>
      <c r="V204" s="1"/>
      <c r="W204" s="1"/>
      <c r="X204" s="1"/>
      <c r="Y204" s="1"/>
      <c r="Z204" s="1"/>
      <c r="AB204" s="1"/>
      <c r="AC204" s="1"/>
      <c r="AD204" s="1"/>
      <c r="AE204" s="1"/>
      <c r="AF204" s="1"/>
      <c r="AG204" s="1"/>
      <c r="AH204" s="1"/>
      <c r="AI204" s="1"/>
      <c r="AL204" s="1"/>
      <c r="AN204" s="1"/>
      <c r="AO204" s="1"/>
      <c r="AP204" s="1"/>
      <c r="AQ204" s="1"/>
      <c r="AR204" s="1"/>
      <c r="AS204" s="1"/>
      <c r="AT204" s="1"/>
      <c r="AU204" s="1"/>
      <c r="AV204" s="1"/>
    </row>
    <row r="205" spans="2:48" x14ac:dyDescent="0.3">
      <c r="B205" s="1" t="s">
        <v>804</v>
      </c>
      <c r="H205" s="1" t="s">
        <v>738</v>
      </c>
      <c r="I205" s="1"/>
      <c r="J205" s="1"/>
      <c r="K205" s="1"/>
      <c r="L205" s="1"/>
      <c r="M205" s="1"/>
      <c r="N205" s="1"/>
      <c r="O205" s="1"/>
      <c r="P205" s="1"/>
      <c r="Q205" s="1"/>
      <c r="R205" s="1"/>
      <c r="T205" s="1"/>
      <c r="U205" s="1"/>
      <c r="V205" s="1"/>
      <c r="W205" s="1"/>
      <c r="X205" s="1"/>
      <c r="Y205" s="1"/>
      <c r="Z205" s="1"/>
      <c r="AB205" s="1"/>
      <c r="AC205" s="1"/>
      <c r="AD205" s="1"/>
      <c r="AE205" s="1"/>
      <c r="AF205" s="1"/>
      <c r="AG205" s="1"/>
      <c r="AH205" s="1"/>
      <c r="AI205" s="1"/>
      <c r="AL205" s="1"/>
      <c r="AN205" s="1"/>
      <c r="AO205" s="1"/>
      <c r="AP205" s="1"/>
      <c r="AQ205" s="1"/>
      <c r="AR205" s="1"/>
      <c r="AS205" s="1"/>
      <c r="AT205" s="1"/>
      <c r="AU205" s="1"/>
      <c r="AV205" s="1"/>
    </row>
    <row r="206" spans="2:48" x14ac:dyDescent="0.3">
      <c r="B206" s="1" t="s">
        <v>805</v>
      </c>
      <c r="H206" s="1" t="s">
        <v>738</v>
      </c>
      <c r="I206" s="1"/>
      <c r="J206" s="1"/>
      <c r="K206" s="1"/>
      <c r="L206" s="1"/>
      <c r="M206" s="1"/>
      <c r="N206" s="1"/>
      <c r="O206" s="1"/>
      <c r="P206" s="1"/>
      <c r="Q206" s="1"/>
      <c r="R206" s="1"/>
      <c r="T206" s="1"/>
      <c r="U206" s="1"/>
      <c r="V206" s="1"/>
      <c r="W206" s="1"/>
      <c r="X206" s="1"/>
      <c r="Y206" s="1"/>
      <c r="Z206" s="1"/>
      <c r="AB206" s="1"/>
      <c r="AC206" s="1"/>
      <c r="AD206" s="1"/>
      <c r="AE206" s="1"/>
      <c r="AF206" s="1"/>
      <c r="AG206" s="1"/>
      <c r="AH206" s="1"/>
      <c r="AI206" s="1"/>
      <c r="AL206" s="1"/>
      <c r="AN206" s="1"/>
      <c r="AO206" s="1"/>
      <c r="AP206" s="1"/>
      <c r="AQ206" s="1"/>
      <c r="AR206" s="1"/>
      <c r="AS206" s="1"/>
      <c r="AT206" s="1"/>
      <c r="AU206" s="1"/>
      <c r="AV206" s="1"/>
    </row>
    <row r="207" spans="2:48" x14ac:dyDescent="0.3">
      <c r="B207" s="1" t="s">
        <v>806</v>
      </c>
      <c r="H207" s="1" t="s">
        <v>738</v>
      </c>
      <c r="I207" s="1"/>
      <c r="J207" s="1"/>
      <c r="K207" s="1"/>
      <c r="L207" s="1"/>
      <c r="M207" s="1"/>
      <c r="N207" s="1"/>
      <c r="O207" s="1"/>
      <c r="P207" s="1"/>
      <c r="Q207" s="1"/>
      <c r="R207" s="1"/>
      <c r="T207" s="1"/>
      <c r="U207" s="1"/>
      <c r="V207" s="1"/>
      <c r="W207" s="1"/>
      <c r="X207" s="1"/>
      <c r="Y207" s="1"/>
      <c r="Z207" s="1"/>
      <c r="AB207" s="1"/>
      <c r="AC207" s="1"/>
      <c r="AD207" s="1"/>
      <c r="AE207" s="1"/>
      <c r="AF207" s="1"/>
      <c r="AG207" s="1"/>
      <c r="AH207" s="1"/>
      <c r="AI207" s="1"/>
      <c r="AL207" s="1"/>
      <c r="AN207" s="1"/>
      <c r="AO207" s="1"/>
      <c r="AP207" s="1"/>
      <c r="AQ207" s="1"/>
      <c r="AR207" s="1"/>
      <c r="AS207" s="1"/>
      <c r="AT207" s="1"/>
      <c r="AU207" s="1"/>
      <c r="AV207" s="1"/>
    </row>
    <row r="208" spans="2:48" x14ac:dyDescent="0.3">
      <c r="B208" s="1" t="s">
        <v>807</v>
      </c>
      <c r="H208" s="1" t="s">
        <v>738</v>
      </c>
      <c r="I208" s="1"/>
      <c r="J208" s="1"/>
      <c r="K208" s="1"/>
      <c r="L208" s="1"/>
      <c r="M208" s="1"/>
      <c r="N208" s="1"/>
      <c r="O208" s="1"/>
      <c r="P208" s="1"/>
      <c r="Q208" s="1"/>
      <c r="R208" s="1"/>
      <c r="T208" s="1"/>
      <c r="U208" s="1"/>
      <c r="V208" s="1"/>
      <c r="W208" s="1"/>
      <c r="X208" s="1"/>
      <c r="Y208" s="1"/>
      <c r="Z208" s="1"/>
      <c r="AB208" s="1"/>
      <c r="AC208" s="1"/>
      <c r="AD208" s="1"/>
      <c r="AE208" s="1"/>
      <c r="AF208" s="1"/>
      <c r="AG208" s="1"/>
      <c r="AH208" s="1"/>
      <c r="AI208" s="1"/>
      <c r="AL208" s="1"/>
      <c r="AN208" s="1"/>
      <c r="AO208" s="1"/>
      <c r="AP208" s="1"/>
      <c r="AQ208" s="1"/>
      <c r="AR208" s="1"/>
      <c r="AS208" s="1"/>
      <c r="AT208" s="1"/>
      <c r="AU208" s="1"/>
      <c r="AV208" s="1"/>
    </row>
    <row r="209" spans="2:48" x14ac:dyDescent="0.3">
      <c r="B209" s="1" t="s">
        <v>808</v>
      </c>
      <c r="H209" s="1" t="s">
        <v>738</v>
      </c>
      <c r="I209" s="1"/>
      <c r="J209" s="1"/>
      <c r="K209" s="1"/>
      <c r="L209" s="1"/>
      <c r="M209" s="1"/>
      <c r="N209" s="1"/>
      <c r="O209" s="1"/>
      <c r="P209" s="1"/>
      <c r="Q209" s="1"/>
      <c r="R209" s="1"/>
      <c r="T209" s="1"/>
      <c r="U209" s="1"/>
      <c r="V209" s="1"/>
      <c r="W209" s="1"/>
      <c r="X209" s="1"/>
      <c r="Y209" s="1"/>
      <c r="Z209" s="1"/>
      <c r="AB209" s="1"/>
      <c r="AC209" s="1"/>
      <c r="AD209" s="1"/>
      <c r="AE209" s="1"/>
      <c r="AF209" s="1"/>
      <c r="AG209" s="1"/>
      <c r="AH209" s="1"/>
      <c r="AI209" s="1"/>
      <c r="AL209" s="1"/>
      <c r="AN209" s="1"/>
      <c r="AO209" s="1"/>
      <c r="AP209" s="1"/>
      <c r="AQ209" s="1"/>
      <c r="AR209" s="1"/>
      <c r="AS209" s="1"/>
      <c r="AT209" s="1"/>
      <c r="AU209" s="1"/>
      <c r="AV209" s="1"/>
    </row>
    <row r="210" spans="2:48" x14ac:dyDescent="0.3">
      <c r="B210" s="1" t="s">
        <v>809</v>
      </c>
      <c r="H210" s="1" t="s">
        <v>738</v>
      </c>
      <c r="I210" s="1"/>
      <c r="J210" s="1"/>
      <c r="K210" s="1"/>
      <c r="L210" s="1"/>
      <c r="M210" s="1"/>
      <c r="N210" s="1"/>
      <c r="O210" s="1"/>
      <c r="P210" s="1"/>
      <c r="Q210" s="1"/>
      <c r="R210" s="1"/>
      <c r="T210" s="1"/>
      <c r="U210" s="1"/>
      <c r="V210" s="1"/>
      <c r="W210" s="1"/>
      <c r="X210" s="1"/>
      <c r="Y210" s="1"/>
      <c r="Z210" s="1"/>
      <c r="AB210" s="1"/>
      <c r="AC210" s="1"/>
      <c r="AD210" s="1"/>
      <c r="AE210" s="1"/>
      <c r="AF210" s="1"/>
      <c r="AG210" s="1"/>
      <c r="AH210" s="1"/>
      <c r="AI210" s="1"/>
      <c r="AL210" s="1"/>
      <c r="AN210" s="1"/>
      <c r="AO210" s="1"/>
      <c r="AP210" s="1"/>
      <c r="AQ210" s="1"/>
      <c r="AR210" s="1"/>
      <c r="AS210" s="1"/>
      <c r="AT210" s="1"/>
      <c r="AU210" s="1"/>
      <c r="AV210" s="1"/>
    </row>
    <row r="211" spans="2:48" x14ac:dyDescent="0.3">
      <c r="B211" s="1" t="s">
        <v>810</v>
      </c>
      <c r="H211" s="1" t="s">
        <v>738</v>
      </c>
      <c r="I211" s="1"/>
      <c r="J211" s="1"/>
      <c r="K211" s="1"/>
      <c r="L211" s="1"/>
      <c r="M211" s="1"/>
      <c r="N211" s="1"/>
      <c r="O211" s="1"/>
      <c r="P211" s="1"/>
      <c r="Q211" s="1"/>
      <c r="R211" s="1"/>
      <c r="T211" s="1"/>
      <c r="U211" s="1"/>
      <c r="V211" s="1"/>
      <c r="W211" s="1"/>
      <c r="X211" s="1"/>
      <c r="Y211" s="1"/>
      <c r="Z211" s="1"/>
      <c r="AB211" s="1"/>
      <c r="AC211" s="1"/>
      <c r="AD211" s="1"/>
      <c r="AE211" s="1"/>
      <c r="AF211" s="1"/>
      <c r="AG211" s="1"/>
      <c r="AH211" s="1"/>
      <c r="AI211" s="1"/>
      <c r="AL211" s="1"/>
      <c r="AN211" s="1"/>
      <c r="AO211" s="1"/>
      <c r="AP211" s="1"/>
      <c r="AQ211" s="1"/>
      <c r="AR211" s="1"/>
      <c r="AS211" s="1"/>
      <c r="AT211" s="1"/>
      <c r="AU211" s="1"/>
      <c r="AV211" s="1"/>
    </row>
    <row r="212" spans="2:48" x14ac:dyDescent="0.3">
      <c r="B212" s="1" t="s">
        <v>811</v>
      </c>
      <c r="H212" s="1" t="s">
        <v>738</v>
      </c>
      <c r="I212" s="1"/>
      <c r="J212" s="1"/>
      <c r="K212" s="1"/>
      <c r="L212" s="1"/>
      <c r="M212" s="1"/>
      <c r="N212" s="1"/>
      <c r="O212" s="1"/>
      <c r="P212" s="1"/>
      <c r="Q212" s="1"/>
      <c r="R212" s="1"/>
      <c r="T212" s="1"/>
      <c r="U212" s="1"/>
      <c r="V212" s="1"/>
      <c r="W212" s="1"/>
      <c r="X212" s="1"/>
      <c r="Y212" s="1"/>
      <c r="Z212" s="1"/>
      <c r="AB212" s="1"/>
      <c r="AC212" s="1"/>
      <c r="AD212" s="1"/>
      <c r="AE212" s="1"/>
      <c r="AF212" s="1"/>
      <c r="AG212" s="1"/>
      <c r="AH212" s="1"/>
      <c r="AI212" s="1"/>
      <c r="AL212" s="1"/>
      <c r="AN212" s="1"/>
      <c r="AO212" s="1"/>
      <c r="AP212" s="1"/>
      <c r="AQ212" s="1"/>
      <c r="AR212" s="1"/>
      <c r="AS212" s="1"/>
      <c r="AT212" s="1"/>
      <c r="AU212" s="1"/>
      <c r="AV212" s="1"/>
    </row>
    <row r="213" spans="2:48" x14ac:dyDescent="0.3">
      <c r="B213" s="1" t="s">
        <v>812</v>
      </c>
      <c r="H213" s="1" t="s">
        <v>738</v>
      </c>
      <c r="I213" s="1"/>
      <c r="J213" s="1"/>
      <c r="K213" s="1"/>
      <c r="L213" s="1"/>
      <c r="M213" s="1"/>
      <c r="N213" s="1"/>
      <c r="O213" s="1"/>
      <c r="P213" s="1"/>
      <c r="Q213" s="1"/>
      <c r="R213" s="1"/>
      <c r="T213" s="1"/>
      <c r="U213" s="1"/>
      <c r="V213" s="1"/>
      <c r="W213" s="1"/>
      <c r="X213" s="1"/>
      <c r="Y213" s="1"/>
      <c r="Z213" s="1"/>
      <c r="AB213" s="1"/>
      <c r="AC213" s="1"/>
      <c r="AD213" s="1"/>
      <c r="AE213" s="1"/>
      <c r="AF213" s="1"/>
      <c r="AG213" s="1"/>
      <c r="AH213" s="1"/>
      <c r="AI213" s="1"/>
      <c r="AL213" s="1"/>
      <c r="AN213" s="1"/>
      <c r="AO213" s="1"/>
      <c r="AP213" s="1"/>
      <c r="AQ213" s="1"/>
      <c r="AR213" s="1"/>
      <c r="AS213" s="1"/>
      <c r="AT213" s="1"/>
      <c r="AU213" s="1"/>
      <c r="AV213" s="1"/>
    </row>
    <row r="214" spans="2:48" x14ac:dyDescent="0.3">
      <c r="B214" s="1" t="s">
        <v>813</v>
      </c>
      <c r="H214" s="1" t="s">
        <v>738</v>
      </c>
      <c r="I214" s="1"/>
      <c r="J214" s="1"/>
      <c r="K214" s="1"/>
      <c r="L214" s="1"/>
      <c r="M214" s="1"/>
      <c r="N214" s="1"/>
      <c r="O214" s="1"/>
      <c r="P214" s="1"/>
      <c r="Q214" s="1"/>
      <c r="R214" s="1"/>
      <c r="T214" s="1"/>
      <c r="U214" s="1"/>
      <c r="V214" s="1"/>
      <c r="W214" s="1"/>
      <c r="X214" s="1"/>
      <c r="Y214" s="1"/>
      <c r="Z214" s="1"/>
      <c r="AB214" s="1"/>
      <c r="AC214" s="1"/>
      <c r="AD214" s="1"/>
      <c r="AE214" s="1"/>
      <c r="AF214" s="1"/>
      <c r="AG214" s="1"/>
      <c r="AH214" s="1"/>
      <c r="AI214" s="1"/>
      <c r="AL214" s="1"/>
      <c r="AN214" s="1"/>
      <c r="AO214" s="1"/>
      <c r="AP214" s="1"/>
      <c r="AQ214" s="1"/>
      <c r="AR214" s="1"/>
      <c r="AS214" s="1"/>
      <c r="AT214" s="1"/>
      <c r="AU214" s="1"/>
      <c r="AV214" s="1"/>
    </row>
    <row r="215" spans="2:48" x14ac:dyDescent="0.3">
      <c r="B215" s="1" t="s">
        <v>814</v>
      </c>
      <c r="H215" s="1" t="s">
        <v>738</v>
      </c>
      <c r="I215" s="1"/>
      <c r="J215" s="1"/>
      <c r="K215" s="1"/>
      <c r="L215" s="1"/>
      <c r="M215" s="1"/>
      <c r="N215" s="1"/>
      <c r="O215" s="1"/>
      <c r="P215" s="1"/>
      <c r="Q215" s="1"/>
      <c r="R215" s="1"/>
      <c r="T215" s="1"/>
      <c r="U215" s="1"/>
      <c r="V215" s="1"/>
      <c r="W215" s="1"/>
      <c r="X215" s="1"/>
      <c r="Y215" s="1"/>
      <c r="Z215" s="1"/>
      <c r="AB215" s="1"/>
      <c r="AC215" s="1"/>
      <c r="AD215" s="1"/>
      <c r="AE215" s="1"/>
      <c r="AF215" s="1"/>
      <c r="AG215" s="1"/>
      <c r="AH215" s="1"/>
      <c r="AI215" s="1"/>
      <c r="AL215" s="1"/>
      <c r="AN215" s="1"/>
      <c r="AO215" s="1"/>
      <c r="AP215" s="1"/>
      <c r="AQ215" s="1"/>
      <c r="AR215" s="1"/>
      <c r="AS215" s="1"/>
      <c r="AT215" s="1"/>
      <c r="AU215" s="1"/>
      <c r="AV215" s="1"/>
    </row>
    <row r="216" spans="2:48" x14ac:dyDescent="0.3">
      <c r="B216" s="1" t="s">
        <v>815</v>
      </c>
      <c r="H216" s="1" t="s">
        <v>738</v>
      </c>
      <c r="I216" s="1"/>
      <c r="J216" s="1"/>
      <c r="K216" s="1"/>
      <c r="L216" s="1"/>
      <c r="M216" s="1"/>
      <c r="N216" s="1"/>
      <c r="O216" s="1"/>
      <c r="P216" s="1"/>
      <c r="Q216" s="1"/>
      <c r="R216" s="1"/>
      <c r="T216" s="1"/>
      <c r="U216" s="1"/>
      <c r="V216" s="1"/>
      <c r="W216" s="1"/>
      <c r="X216" s="1"/>
      <c r="Y216" s="1"/>
      <c r="Z216" s="1"/>
      <c r="AB216" s="1"/>
      <c r="AC216" s="1"/>
      <c r="AD216" s="1"/>
      <c r="AE216" s="1"/>
      <c r="AF216" s="1"/>
      <c r="AG216" s="1"/>
      <c r="AH216" s="1"/>
      <c r="AI216" s="1"/>
      <c r="AL216" s="1"/>
      <c r="AN216" s="1"/>
      <c r="AO216" s="1"/>
      <c r="AP216" s="1"/>
      <c r="AQ216" s="1"/>
      <c r="AR216" s="1"/>
      <c r="AS216" s="1"/>
      <c r="AT216" s="1"/>
      <c r="AU216" s="1"/>
      <c r="AV216" s="1"/>
    </row>
    <row r="217" spans="2:48" x14ac:dyDescent="0.3">
      <c r="B217" s="1" t="s">
        <v>816</v>
      </c>
      <c r="H217" s="1" t="s">
        <v>738</v>
      </c>
      <c r="I217" s="1"/>
      <c r="J217" s="1"/>
      <c r="K217" s="1"/>
      <c r="L217" s="1"/>
      <c r="M217" s="1"/>
      <c r="N217" s="1"/>
      <c r="O217" s="1"/>
      <c r="P217" s="1"/>
      <c r="Q217" s="1"/>
      <c r="R217" s="1"/>
      <c r="T217" s="1"/>
      <c r="U217" s="1"/>
      <c r="V217" s="1"/>
      <c r="W217" s="1"/>
      <c r="X217" s="1"/>
      <c r="Y217" s="1"/>
      <c r="Z217" s="1"/>
      <c r="AB217" s="1"/>
      <c r="AC217" s="1"/>
      <c r="AD217" s="1"/>
      <c r="AE217" s="1"/>
      <c r="AF217" s="1"/>
      <c r="AG217" s="1"/>
      <c r="AH217" s="1"/>
      <c r="AI217" s="1"/>
      <c r="AL217" s="1"/>
      <c r="AN217" s="1"/>
      <c r="AO217" s="1"/>
      <c r="AP217" s="1"/>
      <c r="AQ217" s="1"/>
      <c r="AR217" s="1"/>
      <c r="AS217" s="1"/>
      <c r="AT217" s="1"/>
      <c r="AU217" s="1"/>
      <c r="AV217" s="1"/>
    </row>
    <row r="218" spans="2:48" x14ac:dyDescent="0.3">
      <c r="B218" s="1" t="s">
        <v>817</v>
      </c>
      <c r="H218" s="1" t="s">
        <v>738</v>
      </c>
      <c r="I218" s="1"/>
      <c r="J218" s="1"/>
      <c r="K218" s="1"/>
      <c r="L218" s="1"/>
      <c r="M218" s="1"/>
      <c r="N218" s="1"/>
      <c r="O218" s="1"/>
      <c r="P218" s="1"/>
      <c r="Q218" s="1"/>
      <c r="R218" s="1"/>
      <c r="T218" s="1"/>
      <c r="U218" s="1"/>
      <c r="V218" s="1"/>
      <c r="W218" s="1"/>
      <c r="X218" s="1"/>
      <c r="Y218" s="1"/>
      <c r="Z218" s="1"/>
      <c r="AB218" s="1"/>
      <c r="AC218" s="1"/>
      <c r="AD218" s="1"/>
      <c r="AE218" s="1"/>
      <c r="AF218" s="1"/>
      <c r="AG218" s="1"/>
      <c r="AH218" s="1"/>
      <c r="AI218" s="1"/>
      <c r="AL218" s="1"/>
      <c r="AN218" s="1"/>
      <c r="AO218" s="1"/>
      <c r="AP218" s="1"/>
      <c r="AQ218" s="1"/>
      <c r="AR218" s="1"/>
      <c r="AS218" s="1"/>
      <c r="AT218" s="1"/>
      <c r="AU218" s="1"/>
      <c r="AV218" s="1"/>
    </row>
    <row r="219" spans="2:48" x14ac:dyDescent="0.3">
      <c r="B219" s="1" t="s">
        <v>818</v>
      </c>
      <c r="H219" s="1" t="s">
        <v>738</v>
      </c>
      <c r="I219" s="1"/>
      <c r="J219" s="1"/>
      <c r="K219" s="1"/>
      <c r="L219" s="1"/>
      <c r="M219" s="1"/>
      <c r="N219" s="1"/>
      <c r="O219" s="1"/>
      <c r="P219" s="1"/>
      <c r="Q219" s="1"/>
      <c r="R219" s="1"/>
      <c r="T219" s="1"/>
      <c r="U219" s="1"/>
      <c r="V219" s="1"/>
      <c r="W219" s="1"/>
      <c r="X219" s="1"/>
      <c r="Y219" s="1"/>
      <c r="Z219" s="1"/>
      <c r="AB219" s="1"/>
      <c r="AC219" s="1"/>
      <c r="AD219" s="1"/>
      <c r="AE219" s="1"/>
      <c r="AF219" s="1"/>
      <c r="AG219" s="1"/>
      <c r="AH219" s="1"/>
      <c r="AI219" s="1"/>
      <c r="AL219" s="1"/>
      <c r="AN219" s="1"/>
      <c r="AO219" s="1"/>
      <c r="AP219" s="1"/>
      <c r="AQ219" s="1"/>
      <c r="AR219" s="1"/>
      <c r="AS219" s="1"/>
      <c r="AT219" s="1"/>
      <c r="AU219" s="1"/>
      <c r="AV219" s="1"/>
    </row>
    <row r="220" spans="2:48" x14ac:dyDescent="0.3">
      <c r="B220" s="1" t="s">
        <v>819</v>
      </c>
      <c r="H220" s="1" t="s">
        <v>738</v>
      </c>
      <c r="I220" s="1"/>
      <c r="J220" s="1"/>
      <c r="K220" s="1"/>
      <c r="L220" s="1"/>
      <c r="M220" s="1"/>
      <c r="N220" s="1"/>
      <c r="O220" s="1"/>
      <c r="P220" s="1"/>
      <c r="Q220" s="1"/>
      <c r="R220" s="1"/>
      <c r="T220" s="1"/>
      <c r="U220" s="1"/>
      <c r="V220" s="1"/>
      <c r="W220" s="1"/>
      <c r="X220" s="1"/>
      <c r="Y220" s="1"/>
      <c r="Z220" s="1"/>
      <c r="AB220" s="1"/>
      <c r="AC220" s="1"/>
      <c r="AD220" s="1"/>
      <c r="AE220" s="1"/>
      <c r="AF220" s="1"/>
      <c r="AG220" s="1"/>
      <c r="AH220" s="1"/>
      <c r="AI220" s="1"/>
      <c r="AL220" s="1"/>
      <c r="AN220" s="1"/>
      <c r="AO220" s="1"/>
      <c r="AP220" s="1"/>
      <c r="AQ220" s="1"/>
      <c r="AR220" s="1"/>
      <c r="AS220" s="1"/>
      <c r="AT220" s="1"/>
      <c r="AU220" s="1"/>
      <c r="AV220" s="1"/>
    </row>
    <row r="221" spans="2:48" x14ac:dyDescent="0.3">
      <c r="B221" s="1" t="s">
        <v>820</v>
      </c>
      <c r="H221" s="1" t="s">
        <v>738</v>
      </c>
      <c r="I221" s="1"/>
      <c r="J221" s="1"/>
      <c r="K221" s="1"/>
      <c r="L221" s="1"/>
      <c r="M221" s="1"/>
      <c r="N221" s="1"/>
      <c r="O221" s="1"/>
      <c r="P221" s="1"/>
      <c r="Q221" s="1"/>
      <c r="R221" s="1"/>
      <c r="T221" s="1"/>
      <c r="U221" s="1"/>
      <c r="V221" s="1"/>
      <c r="W221" s="1"/>
      <c r="X221" s="1"/>
      <c r="Y221" s="1"/>
      <c r="Z221" s="1"/>
      <c r="AB221" s="1"/>
      <c r="AC221" s="1"/>
      <c r="AD221" s="1"/>
      <c r="AE221" s="1"/>
      <c r="AF221" s="1"/>
      <c r="AG221" s="1"/>
      <c r="AH221" s="1"/>
      <c r="AI221" s="1"/>
      <c r="AL221" s="1"/>
      <c r="AN221" s="1"/>
      <c r="AO221" s="1"/>
      <c r="AP221" s="1"/>
      <c r="AQ221" s="1"/>
      <c r="AR221" s="1"/>
      <c r="AS221" s="1"/>
      <c r="AT221" s="1"/>
      <c r="AU221" s="1"/>
      <c r="AV221" s="1"/>
    </row>
    <row r="222" spans="2:48" x14ac:dyDescent="0.3">
      <c r="B222" s="1" t="s">
        <v>821</v>
      </c>
      <c r="H222" s="1" t="s">
        <v>738</v>
      </c>
      <c r="I222" s="1"/>
      <c r="J222" s="1"/>
      <c r="K222" s="1"/>
      <c r="L222" s="1"/>
      <c r="M222" s="1"/>
      <c r="N222" s="1"/>
      <c r="O222" s="1"/>
      <c r="P222" s="1"/>
      <c r="Q222" s="1"/>
      <c r="R222" s="1"/>
      <c r="T222" s="1"/>
      <c r="U222" s="1"/>
      <c r="V222" s="1"/>
      <c r="W222" s="1"/>
      <c r="X222" s="1"/>
      <c r="Y222" s="1"/>
      <c r="Z222" s="1"/>
      <c r="AB222" s="1"/>
      <c r="AC222" s="1"/>
      <c r="AD222" s="1"/>
      <c r="AE222" s="1"/>
      <c r="AF222" s="1"/>
      <c r="AG222" s="1"/>
      <c r="AH222" s="1"/>
      <c r="AI222" s="1"/>
      <c r="AL222" s="1"/>
      <c r="AN222" s="1"/>
      <c r="AO222" s="1"/>
      <c r="AP222" s="1"/>
      <c r="AQ222" s="1"/>
      <c r="AR222" s="1"/>
      <c r="AS222" s="1"/>
      <c r="AT222" s="1"/>
      <c r="AU222" s="1"/>
      <c r="AV222" s="1"/>
    </row>
    <row r="223" spans="2:48" x14ac:dyDescent="0.3">
      <c r="B223" s="1" t="s">
        <v>822</v>
      </c>
      <c r="H223" s="1" t="s">
        <v>738</v>
      </c>
      <c r="I223" s="1"/>
      <c r="J223" s="1"/>
      <c r="K223" s="1"/>
      <c r="L223" s="1"/>
      <c r="M223" s="1"/>
      <c r="N223" s="1"/>
      <c r="O223" s="1"/>
      <c r="P223" s="1"/>
      <c r="Q223" s="1"/>
      <c r="R223" s="1"/>
      <c r="T223" s="1"/>
      <c r="U223" s="1"/>
      <c r="V223" s="1"/>
      <c r="W223" s="1"/>
      <c r="X223" s="1"/>
      <c r="Y223" s="1"/>
      <c r="Z223" s="1"/>
      <c r="AB223" s="1"/>
      <c r="AC223" s="1"/>
      <c r="AD223" s="1"/>
      <c r="AE223" s="1"/>
      <c r="AF223" s="1"/>
      <c r="AG223" s="1"/>
      <c r="AH223" s="1"/>
      <c r="AI223" s="1"/>
      <c r="AL223" s="1"/>
      <c r="AN223" s="1"/>
      <c r="AO223" s="1"/>
      <c r="AP223" s="1"/>
      <c r="AQ223" s="1"/>
      <c r="AR223" s="1"/>
      <c r="AS223" s="1"/>
      <c r="AT223" s="1"/>
      <c r="AU223" s="1"/>
      <c r="AV223" s="1"/>
    </row>
    <row r="224" spans="2:48" x14ac:dyDescent="0.3">
      <c r="B224" s="1" t="s">
        <v>823</v>
      </c>
      <c r="H224" s="1" t="s">
        <v>738</v>
      </c>
      <c r="I224" s="1"/>
      <c r="J224" s="1"/>
      <c r="K224" s="1"/>
      <c r="L224" s="1"/>
      <c r="M224" s="1"/>
      <c r="N224" s="1"/>
      <c r="O224" s="1"/>
      <c r="P224" s="1"/>
      <c r="Q224" s="1"/>
      <c r="R224" s="1"/>
      <c r="T224" s="1"/>
      <c r="U224" s="1"/>
      <c r="V224" s="1"/>
      <c r="W224" s="1"/>
      <c r="X224" s="1"/>
      <c r="Y224" s="1"/>
      <c r="Z224" s="1"/>
      <c r="AB224" s="1"/>
      <c r="AC224" s="1"/>
      <c r="AD224" s="1"/>
      <c r="AE224" s="1"/>
      <c r="AF224" s="1"/>
      <c r="AG224" s="1"/>
      <c r="AH224" s="1"/>
      <c r="AI224" s="1"/>
      <c r="AL224" s="1"/>
      <c r="AN224" s="1"/>
      <c r="AO224" s="1"/>
      <c r="AP224" s="1"/>
      <c r="AQ224" s="1"/>
      <c r="AR224" s="1"/>
      <c r="AS224" s="1"/>
      <c r="AT224" s="1"/>
      <c r="AU224" s="1"/>
      <c r="AV224" s="1"/>
    </row>
    <row r="225" spans="2:48" x14ac:dyDescent="0.3">
      <c r="B225" s="1" t="s">
        <v>824</v>
      </c>
      <c r="H225" s="1" t="s">
        <v>738</v>
      </c>
      <c r="I225" s="1"/>
      <c r="J225" s="1"/>
      <c r="K225" s="1"/>
      <c r="L225" s="1"/>
      <c r="M225" s="1"/>
      <c r="N225" s="1"/>
      <c r="O225" s="1"/>
      <c r="P225" s="1"/>
      <c r="Q225" s="1"/>
      <c r="R225" s="1"/>
      <c r="T225" s="1"/>
      <c r="U225" s="1"/>
      <c r="V225" s="1"/>
      <c r="W225" s="1"/>
      <c r="X225" s="1"/>
      <c r="Y225" s="1"/>
      <c r="Z225" s="1"/>
      <c r="AB225" s="1"/>
      <c r="AC225" s="1"/>
      <c r="AD225" s="1"/>
      <c r="AE225" s="1"/>
      <c r="AF225" s="1"/>
      <c r="AG225" s="1"/>
      <c r="AH225" s="1"/>
      <c r="AI225" s="1"/>
      <c r="AL225" s="1"/>
      <c r="AN225" s="1"/>
      <c r="AO225" s="1"/>
      <c r="AP225" s="1"/>
      <c r="AQ225" s="1"/>
      <c r="AR225" s="1"/>
      <c r="AS225" s="1"/>
      <c r="AT225" s="1"/>
      <c r="AU225" s="1"/>
      <c r="AV225" s="1"/>
    </row>
    <row r="226" spans="2:48" x14ac:dyDescent="0.3">
      <c r="B226" s="1" t="s">
        <v>825</v>
      </c>
      <c r="H226" s="1" t="s">
        <v>738</v>
      </c>
      <c r="I226" s="1"/>
      <c r="J226" s="1"/>
      <c r="K226" s="1"/>
      <c r="L226" s="1"/>
      <c r="M226" s="1"/>
      <c r="N226" s="1"/>
      <c r="O226" s="1"/>
      <c r="P226" s="1"/>
      <c r="Q226" s="1"/>
      <c r="R226" s="1"/>
      <c r="T226" s="1"/>
      <c r="U226" s="1"/>
      <c r="V226" s="1"/>
      <c r="W226" s="1"/>
      <c r="X226" s="1"/>
      <c r="Y226" s="1"/>
      <c r="Z226" s="1"/>
      <c r="AB226" s="1"/>
      <c r="AC226" s="1"/>
      <c r="AD226" s="1"/>
      <c r="AE226" s="1"/>
      <c r="AF226" s="1"/>
      <c r="AG226" s="1"/>
      <c r="AH226" s="1"/>
      <c r="AI226" s="1"/>
      <c r="AL226" s="1"/>
      <c r="AN226" s="1"/>
      <c r="AO226" s="1"/>
      <c r="AP226" s="1"/>
      <c r="AQ226" s="1"/>
      <c r="AR226" s="1"/>
      <c r="AS226" s="1"/>
      <c r="AT226" s="1"/>
      <c r="AU226" s="1"/>
      <c r="AV226" s="1"/>
    </row>
    <row r="227" spans="2:48" x14ac:dyDescent="0.3">
      <c r="B227" s="1" t="s">
        <v>826</v>
      </c>
      <c r="H227" s="1" t="s">
        <v>738</v>
      </c>
      <c r="I227" s="1"/>
      <c r="J227" s="1"/>
      <c r="K227" s="1"/>
      <c r="L227" s="1"/>
      <c r="M227" s="1"/>
      <c r="N227" s="1"/>
      <c r="O227" s="1"/>
      <c r="P227" s="1"/>
      <c r="Q227" s="1"/>
      <c r="R227" s="1"/>
      <c r="T227" s="1"/>
      <c r="U227" s="1"/>
      <c r="V227" s="1"/>
      <c r="W227" s="1"/>
      <c r="X227" s="1"/>
      <c r="Y227" s="1"/>
      <c r="Z227" s="1"/>
      <c r="AB227" s="1"/>
      <c r="AC227" s="1"/>
      <c r="AD227" s="1"/>
      <c r="AE227" s="1"/>
      <c r="AF227" s="1"/>
      <c r="AG227" s="1"/>
      <c r="AH227" s="1"/>
      <c r="AI227" s="1"/>
      <c r="AL227" s="1"/>
      <c r="AN227" s="1"/>
      <c r="AO227" s="1"/>
      <c r="AP227" s="1"/>
      <c r="AQ227" s="1"/>
      <c r="AR227" s="1"/>
      <c r="AS227" s="1"/>
      <c r="AT227" s="1"/>
      <c r="AU227" s="1"/>
      <c r="AV227" s="1"/>
    </row>
    <row r="228" spans="2:48" x14ac:dyDescent="0.3">
      <c r="B228" s="1" t="s">
        <v>827</v>
      </c>
      <c r="H228" s="1" t="s">
        <v>738</v>
      </c>
      <c r="I228" s="1"/>
      <c r="J228" s="1"/>
      <c r="K228" s="1"/>
      <c r="L228" s="1"/>
      <c r="M228" s="1"/>
      <c r="N228" s="1"/>
      <c r="O228" s="1"/>
      <c r="P228" s="1"/>
      <c r="Q228" s="1"/>
      <c r="R228" s="1"/>
      <c r="T228" s="1"/>
      <c r="U228" s="1"/>
      <c r="V228" s="1"/>
      <c r="W228" s="1"/>
      <c r="X228" s="1"/>
      <c r="Y228" s="1"/>
      <c r="Z228" s="1"/>
      <c r="AB228" s="1"/>
      <c r="AC228" s="1"/>
      <c r="AD228" s="1"/>
      <c r="AE228" s="1"/>
      <c r="AF228" s="1"/>
      <c r="AG228" s="1"/>
      <c r="AH228" s="1"/>
      <c r="AI228" s="1"/>
      <c r="AL228" s="1"/>
      <c r="AN228" s="1"/>
      <c r="AO228" s="1"/>
      <c r="AP228" s="1"/>
      <c r="AQ228" s="1"/>
      <c r="AR228" s="1"/>
      <c r="AS228" s="1"/>
      <c r="AT228" s="1"/>
      <c r="AU228" s="1"/>
      <c r="AV228" s="1"/>
    </row>
    <row r="229" spans="2:48" x14ac:dyDescent="0.3">
      <c r="B229" s="1" t="s">
        <v>828</v>
      </c>
      <c r="H229" s="1" t="s">
        <v>738</v>
      </c>
      <c r="I229" s="1"/>
      <c r="J229" s="1"/>
      <c r="K229" s="1"/>
      <c r="L229" s="1"/>
      <c r="M229" s="1"/>
      <c r="N229" s="1"/>
      <c r="O229" s="1"/>
      <c r="P229" s="1"/>
      <c r="Q229" s="1"/>
      <c r="R229" s="1"/>
      <c r="T229" s="1"/>
      <c r="U229" s="1"/>
      <c r="V229" s="1"/>
      <c r="W229" s="1"/>
      <c r="X229" s="1"/>
      <c r="Y229" s="1"/>
      <c r="Z229" s="1"/>
      <c r="AB229" s="1"/>
      <c r="AC229" s="1"/>
      <c r="AD229" s="1"/>
      <c r="AE229" s="1"/>
      <c r="AF229" s="1"/>
      <c r="AG229" s="1"/>
      <c r="AH229" s="1"/>
      <c r="AI229" s="1"/>
      <c r="AL229" s="1"/>
      <c r="AN229" s="1"/>
      <c r="AO229" s="1"/>
      <c r="AP229" s="1"/>
      <c r="AQ229" s="1"/>
      <c r="AR229" s="1"/>
      <c r="AS229" s="1"/>
      <c r="AT229" s="1"/>
      <c r="AU229" s="1"/>
      <c r="AV229" s="1"/>
    </row>
    <row r="230" spans="2:48" x14ac:dyDescent="0.3">
      <c r="B230" s="1" t="s">
        <v>829</v>
      </c>
      <c r="H230" s="1" t="s">
        <v>738</v>
      </c>
      <c r="I230" s="1"/>
      <c r="J230" s="1"/>
      <c r="K230" s="1"/>
      <c r="L230" s="1"/>
      <c r="M230" s="1"/>
      <c r="N230" s="1"/>
      <c r="O230" s="1"/>
      <c r="P230" s="1"/>
      <c r="Q230" s="1"/>
      <c r="R230" s="1"/>
      <c r="T230" s="1"/>
      <c r="U230" s="1"/>
      <c r="V230" s="1"/>
      <c r="W230" s="1"/>
      <c r="X230" s="1"/>
      <c r="Y230" s="1"/>
      <c r="Z230" s="1"/>
      <c r="AB230" s="1"/>
      <c r="AC230" s="1"/>
      <c r="AD230" s="1"/>
      <c r="AE230" s="1"/>
      <c r="AF230" s="1"/>
      <c r="AG230" s="1"/>
      <c r="AH230" s="1"/>
      <c r="AI230" s="1"/>
      <c r="AL230" s="1"/>
      <c r="AN230" s="1"/>
      <c r="AO230" s="1"/>
      <c r="AP230" s="1"/>
      <c r="AQ230" s="1"/>
      <c r="AR230" s="1"/>
      <c r="AS230" s="1"/>
      <c r="AT230" s="1"/>
      <c r="AU230" s="1"/>
      <c r="AV230" s="1"/>
    </row>
    <row r="231" spans="2:48" x14ac:dyDescent="0.3">
      <c r="B231" s="1" t="s">
        <v>830</v>
      </c>
      <c r="H231" s="1" t="s">
        <v>738</v>
      </c>
      <c r="I231" s="1"/>
      <c r="J231" s="1"/>
      <c r="K231" s="1"/>
      <c r="L231" s="1"/>
      <c r="M231" s="1"/>
      <c r="N231" s="1"/>
      <c r="O231" s="1"/>
      <c r="P231" s="1"/>
      <c r="Q231" s="1"/>
      <c r="R231" s="1"/>
      <c r="T231" s="1"/>
      <c r="U231" s="1"/>
      <c r="V231" s="1"/>
      <c r="W231" s="1"/>
      <c r="X231" s="1"/>
      <c r="Y231" s="1"/>
      <c r="Z231" s="1"/>
      <c r="AB231" s="1"/>
      <c r="AC231" s="1"/>
      <c r="AD231" s="1"/>
      <c r="AE231" s="1"/>
      <c r="AF231" s="1"/>
      <c r="AG231" s="1"/>
      <c r="AH231" s="1"/>
      <c r="AI231" s="1"/>
      <c r="AL231" s="1"/>
      <c r="AN231" s="1"/>
      <c r="AO231" s="1"/>
      <c r="AP231" s="1"/>
      <c r="AQ231" s="1"/>
      <c r="AR231" s="1"/>
      <c r="AS231" s="1"/>
      <c r="AT231" s="1"/>
      <c r="AU231" s="1"/>
      <c r="AV231" s="1"/>
    </row>
    <row r="232" spans="2:48" x14ac:dyDescent="0.3">
      <c r="B232" s="1" t="s">
        <v>831</v>
      </c>
      <c r="H232" s="1" t="s">
        <v>738</v>
      </c>
      <c r="I232" s="1"/>
      <c r="J232" s="1"/>
      <c r="K232" s="1"/>
      <c r="L232" s="1"/>
      <c r="M232" s="1"/>
      <c r="N232" s="1"/>
      <c r="O232" s="1"/>
      <c r="P232" s="1"/>
      <c r="Q232" s="1"/>
      <c r="R232" s="1"/>
      <c r="T232" s="1"/>
      <c r="U232" s="1"/>
      <c r="V232" s="1"/>
      <c r="W232" s="1"/>
      <c r="X232" s="1"/>
      <c r="Y232" s="1"/>
      <c r="Z232" s="1"/>
      <c r="AB232" s="1"/>
      <c r="AC232" s="1"/>
      <c r="AD232" s="1"/>
      <c r="AE232" s="1"/>
      <c r="AF232" s="1"/>
      <c r="AG232" s="1"/>
      <c r="AH232" s="1"/>
      <c r="AI232" s="1"/>
      <c r="AL232" s="1"/>
      <c r="AN232" s="1"/>
      <c r="AO232" s="1"/>
      <c r="AP232" s="1"/>
      <c r="AQ232" s="1"/>
      <c r="AR232" s="1"/>
      <c r="AS232" s="1"/>
      <c r="AT232" s="1"/>
      <c r="AU232" s="1"/>
      <c r="AV232" s="1"/>
    </row>
    <row r="233" spans="2:48" x14ac:dyDescent="0.3">
      <c r="B233" s="1" t="s">
        <v>832</v>
      </c>
      <c r="H233" s="1" t="s">
        <v>738</v>
      </c>
      <c r="I233" s="1"/>
      <c r="J233" s="1"/>
      <c r="K233" s="1"/>
      <c r="L233" s="1"/>
      <c r="M233" s="1"/>
      <c r="N233" s="1"/>
      <c r="O233" s="1"/>
      <c r="P233" s="1"/>
      <c r="Q233" s="1"/>
      <c r="R233" s="1"/>
      <c r="T233" s="1"/>
      <c r="U233" s="1"/>
      <c r="V233" s="1"/>
      <c r="W233" s="1"/>
      <c r="X233" s="1"/>
      <c r="Y233" s="1"/>
      <c r="Z233" s="1"/>
      <c r="AB233" s="1"/>
      <c r="AC233" s="1"/>
      <c r="AD233" s="1"/>
      <c r="AE233" s="1"/>
      <c r="AF233" s="1"/>
      <c r="AG233" s="1"/>
      <c r="AH233" s="1"/>
      <c r="AI233" s="1"/>
      <c r="AL233" s="1"/>
      <c r="AN233" s="1"/>
      <c r="AO233" s="1"/>
      <c r="AP233" s="1"/>
      <c r="AQ233" s="1"/>
      <c r="AR233" s="1"/>
      <c r="AS233" s="1"/>
      <c r="AT233" s="1"/>
      <c r="AU233" s="1"/>
      <c r="AV233" s="1"/>
    </row>
    <row r="234" spans="2:48" x14ac:dyDescent="0.3">
      <c r="B234" s="1" t="s">
        <v>833</v>
      </c>
      <c r="H234" s="1" t="s">
        <v>738</v>
      </c>
      <c r="I234" s="1"/>
      <c r="J234" s="1"/>
      <c r="K234" s="1"/>
      <c r="L234" s="1"/>
      <c r="M234" s="1"/>
      <c r="N234" s="1"/>
      <c r="O234" s="1"/>
      <c r="P234" s="1"/>
      <c r="Q234" s="1"/>
      <c r="R234" s="1"/>
      <c r="T234" s="1"/>
      <c r="U234" s="1"/>
      <c r="V234" s="1"/>
      <c r="W234" s="1"/>
      <c r="X234" s="1"/>
      <c r="Y234" s="1"/>
      <c r="Z234" s="1"/>
      <c r="AB234" s="1"/>
      <c r="AC234" s="1"/>
      <c r="AD234" s="1"/>
      <c r="AE234" s="1"/>
      <c r="AF234" s="1"/>
      <c r="AG234" s="1"/>
      <c r="AH234" s="1"/>
      <c r="AI234" s="1"/>
      <c r="AL234" s="1"/>
      <c r="AN234" s="1"/>
      <c r="AO234" s="1"/>
      <c r="AP234" s="1"/>
      <c r="AQ234" s="1"/>
      <c r="AR234" s="1"/>
      <c r="AS234" s="1"/>
      <c r="AT234" s="1"/>
      <c r="AU234" s="1"/>
      <c r="AV234" s="1"/>
    </row>
    <row r="235" spans="2:48" x14ac:dyDescent="0.3">
      <c r="B235" s="1" t="s">
        <v>834</v>
      </c>
      <c r="H235" s="1" t="s">
        <v>738</v>
      </c>
      <c r="I235" s="1"/>
      <c r="J235" s="1"/>
      <c r="K235" s="1"/>
      <c r="L235" s="1"/>
      <c r="M235" s="1"/>
      <c r="N235" s="1"/>
      <c r="O235" s="1"/>
      <c r="P235" s="1"/>
      <c r="Q235" s="1"/>
      <c r="R235" s="1"/>
      <c r="T235" s="1"/>
      <c r="U235" s="1"/>
      <c r="V235" s="1"/>
      <c r="W235" s="1"/>
      <c r="X235" s="1"/>
      <c r="Y235" s="1"/>
      <c r="Z235" s="1"/>
      <c r="AB235" s="1"/>
      <c r="AC235" s="1"/>
      <c r="AD235" s="1"/>
      <c r="AE235" s="1"/>
      <c r="AF235" s="1"/>
      <c r="AG235" s="1"/>
      <c r="AH235" s="1"/>
      <c r="AI235" s="1"/>
      <c r="AL235" s="1"/>
      <c r="AN235" s="1"/>
      <c r="AO235" s="1"/>
      <c r="AP235" s="1"/>
      <c r="AQ235" s="1"/>
      <c r="AR235" s="1"/>
      <c r="AS235" s="1"/>
      <c r="AT235" s="1"/>
      <c r="AU235" s="1"/>
      <c r="AV235" s="1"/>
    </row>
    <row r="236" spans="2:48" x14ac:dyDescent="0.3">
      <c r="B236" s="1" t="s">
        <v>835</v>
      </c>
      <c r="H236" s="1" t="s">
        <v>738</v>
      </c>
      <c r="I236" s="1"/>
      <c r="J236" s="1"/>
      <c r="K236" s="1"/>
      <c r="L236" s="1"/>
      <c r="M236" s="1"/>
      <c r="N236" s="1"/>
      <c r="O236" s="1"/>
      <c r="P236" s="1"/>
      <c r="Q236" s="1"/>
      <c r="R236" s="1"/>
      <c r="T236" s="1"/>
      <c r="U236" s="1"/>
      <c r="V236" s="1"/>
      <c r="W236" s="1"/>
      <c r="X236" s="1"/>
      <c r="Y236" s="1"/>
      <c r="Z236" s="1"/>
      <c r="AB236" s="1"/>
      <c r="AC236" s="1"/>
      <c r="AD236" s="1"/>
      <c r="AE236" s="1"/>
      <c r="AF236" s="1"/>
      <c r="AG236" s="1"/>
      <c r="AH236" s="1"/>
      <c r="AI236" s="1"/>
      <c r="AL236" s="1"/>
      <c r="AN236" s="1"/>
      <c r="AO236" s="1"/>
      <c r="AP236" s="1"/>
      <c r="AQ236" s="1"/>
      <c r="AR236" s="1"/>
      <c r="AS236" s="1"/>
      <c r="AT236" s="1"/>
      <c r="AU236" s="1"/>
      <c r="AV236" s="1"/>
    </row>
    <row r="237" spans="2:48" x14ac:dyDescent="0.3">
      <c r="B237" s="1" t="s">
        <v>836</v>
      </c>
      <c r="H237" s="1" t="s">
        <v>738</v>
      </c>
      <c r="I237" s="1"/>
      <c r="J237" s="1"/>
      <c r="K237" s="1"/>
      <c r="L237" s="1"/>
      <c r="M237" s="1"/>
      <c r="N237" s="1"/>
      <c r="O237" s="1"/>
      <c r="P237" s="1"/>
      <c r="Q237" s="1"/>
      <c r="R237" s="1"/>
      <c r="T237" s="1"/>
      <c r="U237" s="1"/>
      <c r="V237" s="1"/>
      <c r="W237" s="1"/>
      <c r="X237" s="1"/>
      <c r="Y237" s="1"/>
      <c r="Z237" s="1"/>
      <c r="AB237" s="1"/>
      <c r="AC237" s="1"/>
      <c r="AD237" s="1"/>
      <c r="AE237" s="1"/>
      <c r="AF237" s="1"/>
      <c r="AG237" s="1"/>
      <c r="AH237" s="1"/>
      <c r="AI237" s="1"/>
      <c r="AL237" s="1"/>
      <c r="AN237" s="1"/>
      <c r="AO237" s="1"/>
      <c r="AP237" s="1"/>
      <c r="AQ237" s="1"/>
      <c r="AR237" s="1"/>
      <c r="AS237" s="1"/>
      <c r="AT237" s="1"/>
      <c r="AU237" s="1"/>
      <c r="AV237" s="1"/>
    </row>
    <row r="238" spans="2:48" x14ac:dyDescent="0.3">
      <c r="B238" s="1" t="s">
        <v>837</v>
      </c>
      <c r="H238" s="1" t="s">
        <v>738</v>
      </c>
      <c r="I238" s="1"/>
      <c r="J238" s="1"/>
      <c r="K238" s="1"/>
      <c r="L238" s="1"/>
      <c r="M238" s="1"/>
      <c r="N238" s="1"/>
      <c r="O238" s="1"/>
      <c r="P238" s="1"/>
      <c r="Q238" s="1"/>
      <c r="R238" s="1"/>
      <c r="T238" s="1"/>
      <c r="U238" s="1"/>
      <c r="V238" s="1"/>
      <c r="W238" s="1"/>
      <c r="X238" s="1"/>
      <c r="Y238" s="1"/>
      <c r="Z238" s="1"/>
      <c r="AB238" s="1"/>
      <c r="AC238" s="1"/>
      <c r="AD238" s="1"/>
      <c r="AE238" s="1"/>
      <c r="AF238" s="1"/>
      <c r="AG238" s="1"/>
      <c r="AH238" s="1"/>
      <c r="AI238" s="1"/>
      <c r="AL238" s="1"/>
      <c r="AN238" s="1"/>
      <c r="AO238" s="1"/>
      <c r="AP238" s="1"/>
      <c r="AQ238" s="1"/>
      <c r="AR238" s="1"/>
      <c r="AS238" s="1"/>
      <c r="AT238" s="1"/>
      <c r="AU238" s="1"/>
      <c r="AV238" s="1"/>
    </row>
    <row r="239" spans="2:48" x14ac:dyDescent="0.3">
      <c r="B239" s="1" t="s">
        <v>838</v>
      </c>
      <c r="H239" s="1" t="s">
        <v>738</v>
      </c>
      <c r="I239" s="1"/>
      <c r="J239" s="1"/>
      <c r="K239" s="1"/>
      <c r="L239" s="1"/>
      <c r="M239" s="1"/>
      <c r="N239" s="1"/>
      <c r="O239" s="1"/>
      <c r="P239" s="1"/>
      <c r="Q239" s="1"/>
      <c r="R239" s="1"/>
      <c r="T239" s="1"/>
      <c r="U239" s="1"/>
      <c r="V239" s="1"/>
      <c r="W239" s="1"/>
      <c r="X239" s="1"/>
      <c r="Y239" s="1"/>
      <c r="Z239" s="1"/>
      <c r="AB239" s="1"/>
      <c r="AC239" s="1"/>
      <c r="AD239" s="1"/>
      <c r="AE239" s="1"/>
      <c r="AF239" s="1"/>
      <c r="AG239" s="1"/>
      <c r="AH239" s="1"/>
      <c r="AI239" s="1"/>
      <c r="AL239" s="1"/>
      <c r="AN239" s="1"/>
      <c r="AO239" s="1"/>
      <c r="AP239" s="1"/>
      <c r="AQ239" s="1"/>
      <c r="AR239" s="1"/>
      <c r="AS239" s="1"/>
      <c r="AT239" s="1"/>
      <c r="AU239" s="1"/>
      <c r="AV239" s="1"/>
    </row>
    <row r="240" spans="2:48" x14ac:dyDescent="0.3">
      <c r="B240" s="1" t="s">
        <v>839</v>
      </c>
      <c r="H240" s="1" t="s">
        <v>738</v>
      </c>
      <c r="I240" s="1"/>
      <c r="J240" s="1"/>
      <c r="K240" s="1"/>
      <c r="L240" s="1"/>
      <c r="M240" s="1"/>
      <c r="N240" s="1"/>
      <c r="O240" s="1"/>
      <c r="P240" s="1"/>
      <c r="Q240" s="1"/>
      <c r="R240" s="1"/>
      <c r="T240" s="1"/>
      <c r="U240" s="1"/>
      <c r="V240" s="1"/>
      <c r="W240" s="1"/>
      <c r="X240" s="1"/>
      <c r="Y240" s="1"/>
      <c r="Z240" s="1"/>
      <c r="AB240" s="1"/>
      <c r="AC240" s="1"/>
      <c r="AD240" s="1"/>
      <c r="AE240" s="1"/>
      <c r="AF240" s="1"/>
      <c r="AG240" s="1"/>
      <c r="AH240" s="1"/>
      <c r="AI240" s="1"/>
      <c r="AL240" s="1"/>
      <c r="AN240" s="1"/>
      <c r="AO240" s="1"/>
      <c r="AP240" s="1"/>
      <c r="AQ240" s="1"/>
      <c r="AR240" s="1"/>
      <c r="AS240" s="1"/>
      <c r="AT240" s="1"/>
      <c r="AU240" s="1"/>
      <c r="AV240" s="1"/>
    </row>
    <row r="241" spans="2:48" x14ac:dyDescent="0.3">
      <c r="B241" s="1" t="s">
        <v>840</v>
      </c>
      <c r="H241" s="1" t="s">
        <v>738</v>
      </c>
      <c r="I241" s="1"/>
      <c r="J241" s="1"/>
      <c r="K241" s="1"/>
      <c r="L241" s="1"/>
      <c r="M241" s="1"/>
      <c r="N241" s="1"/>
      <c r="O241" s="1"/>
      <c r="P241" s="1"/>
      <c r="Q241" s="1"/>
      <c r="R241" s="1"/>
      <c r="T241" s="1"/>
      <c r="U241" s="1"/>
      <c r="V241" s="1"/>
      <c r="W241" s="1"/>
      <c r="X241" s="1"/>
      <c r="Y241" s="1"/>
      <c r="Z241" s="1"/>
      <c r="AB241" s="1"/>
      <c r="AC241" s="1"/>
      <c r="AD241" s="1"/>
      <c r="AE241" s="1"/>
      <c r="AF241" s="1"/>
      <c r="AG241" s="1"/>
      <c r="AH241" s="1"/>
      <c r="AI241" s="1"/>
      <c r="AL241" s="1"/>
      <c r="AN241" s="1"/>
      <c r="AO241" s="1"/>
      <c r="AP241" s="1"/>
      <c r="AQ241" s="1"/>
      <c r="AR241" s="1"/>
      <c r="AS241" s="1"/>
      <c r="AT241" s="1"/>
      <c r="AU241" s="1"/>
      <c r="AV241" s="1"/>
    </row>
    <row r="242" spans="2:48" x14ac:dyDescent="0.3">
      <c r="B242" s="1" t="s">
        <v>841</v>
      </c>
      <c r="H242" s="1" t="s">
        <v>738</v>
      </c>
      <c r="I242" s="1"/>
      <c r="J242" s="1"/>
      <c r="K242" s="1"/>
      <c r="L242" s="1"/>
      <c r="M242" s="1"/>
      <c r="N242" s="1"/>
      <c r="O242" s="1"/>
      <c r="P242" s="1"/>
      <c r="Q242" s="1"/>
      <c r="R242" s="1"/>
      <c r="T242" s="1"/>
      <c r="U242" s="1"/>
      <c r="V242" s="1"/>
      <c r="W242" s="1"/>
      <c r="X242" s="1"/>
      <c r="Y242" s="1"/>
      <c r="Z242" s="1"/>
      <c r="AB242" s="1"/>
      <c r="AC242" s="1"/>
      <c r="AD242" s="1"/>
      <c r="AE242" s="1"/>
      <c r="AF242" s="1"/>
      <c r="AG242" s="1"/>
      <c r="AH242" s="1"/>
      <c r="AI242" s="1"/>
      <c r="AL242" s="1"/>
      <c r="AN242" s="1"/>
      <c r="AO242" s="1"/>
      <c r="AP242" s="1"/>
      <c r="AQ242" s="1"/>
      <c r="AR242" s="1"/>
      <c r="AS242" s="1"/>
      <c r="AT242" s="1"/>
      <c r="AU242" s="1"/>
      <c r="AV242" s="1"/>
    </row>
    <row r="243" spans="2:48" x14ac:dyDescent="0.3">
      <c r="B243" s="1" t="s">
        <v>842</v>
      </c>
      <c r="H243" s="1" t="s">
        <v>738</v>
      </c>
      <c r="I243" s="1"/>
      <c r="J243" s="1"/>
      <c r="K243" s="1"/>
      <c r="L243" s="1"/>
      <c r="M243" s="1"/>
      <c r="N243" s="1"/>
      <c r="O243" s="1"/>
      <c r="P243" s="1"/>
      <c r="Q243" s="1"/>
      <c r="R243" s="1"/>
      <c r="T243" s="1"/>
      <c r="U243" s="1"/>
      <c r="V243" s="1"/>
      <c r="W243" s="1"/>
      <c r="X243" s="1"/>
      <c r="Y243" s="1"/>
      <c r="Z243" s="1"/>
      <c r="AB243" s="1"/>
      <c r="AC243" s="1"/>
      <c r="AD243" s="1"/>
      <c r="AE243" s="1"/>
      <c r="AF243" s="1"/>
      <c r="AG243" s="1"/>
      <c r="AH243" s="1"/>
      <c r="AI243" s="1"/>
      <c r="AL243" s="1"/>
      <c r="AN243" s="1"/>
      <c r="AO243" s="1"/>
      <c r="AP243" s="1"/>
      <c r="AQ243" s="1"/>
      <c r="AR243" s="1"/>
      <c r="AS243" s="1"/>
      <c r="AT243" s="1"/>
      <c r="AU243" s="1"/>
      <c r="AV243" s="1"/>
    </row>
    <row r="244" spans="2:48" x14ac:dyDescent="0.3">
      <c r="B244" s="1" t="s">
        <v>843</v>
      </c>
      <c r="H244" s="1" t="s">
        <v>738</v>
      </c>
      <c r="I244" s="1"/>
      <c r="J244" s="1"/>
      <c r="K244" s="1"/>
      <c r="L244" s="1"/>
      <c r="M244" s="1"/>
      <c r="N244" s="1"/>
      <c r="O244" s="1"/>
      <c r="P244" s="1"/>
      <c r="Q244" s="1"/>
      <c r="R244" s="1"/>
      <c r="T244" s="1"/>
      <c r="U244" s="1"/>
      <c r="V244" s="1"/>
      <c r="W244" s="1"/>
      <c r="X244" s="1"/>
      <c r="Y244" s="1"/>
      <c r="Z244" s="1"/>
      <c r="AB244" s="1"/>
      <c r="AC244" s="1"/>
      <c r="AD244" s="1"/>
      <c r="AE244" s="1"/>
      <c r="AF244" s="1"/>
      <c r="AG244" s="1"/>
      <c r="AH244" s="1"/>
      <c r="AI244" s="1"/>
      <c r="AL244" s="1"/>
      <c r="AN244" s="1"/>
      <c r="AO244" s="1"/>
      <c r="AP244" s="1"/>
      <c r="AQ244" s="1"/>
      <c r="AR244" s="1"/>
      <c r="AS244" s="1"/>
      <c r="AT244" s="1"/>
      <c r="AU244" s="1"/>
      <c r="AV244" s="1"/>
    </row>
    <row r="245" spans="2:48" x14ac:dyDescent="0.3">
      <c r="B245" s="1" t="s">
        <v>844</v>
      </c>
      <c r="H245" s="1" t="s">
        <v>738</v>
      </c>
      <c r="I245" s="1"/>
      <c r="J245" s="1"/>
      <c r="K245" s="1"/>
      <c r="L245" s="1"/>
      <c r="M245" s="1"/>
      <c r="N245" s="1"/>
      <c r="O245" s="1"/>
      <c r="P245" s="1"/>
      <c r="Q245" s="1"/>
      <c r="R245" s="1"/>
      <c r="T245" s="1"/>
      <c r="U245" s="1"/>
      <c r="V245" s="1"/>
      <c r="W245" s="1"/>
      <c r="X245" s="1"/>
      <c r="Y245" s="1"/>
      <c r="Z245" s="1"/>
      <c r="AB245" s="1"/>
      <c r="AC245" s="1"/>
      <c r="AD245" s="1"/>
      <c r="AE245" s="1"/>
      <c r="AF245" s="1"/>
      <c r="AG245" s="1"/>
      <c r="AH245" s="1"/>
      <c r="AI245" s="1"/>
      <c r="AL245" s="1"/>
      <c r="AN245" s="1"/>
      <c r="AO245" s="1"/>
      <c r="AP245" s="1"/>
      <c r="AQ245" s="1"/>
      <c r="AR245" s="1"/>
      <c r="AS245" s="1"/>
      <c r="AT245" s="1"/>
      <c r="AU245" s="1"/>
      <c r="AV245" s="1"/>
    </row>
    <row r="246" spans="2:48" x14ac:dyDescent="0.3">
      <c r="B246" s="1" t="s">
        <v>845</v>
      </c>
      <c r="H246" s="1" t="s">
        <v>738</v>
      </c>
      <c r="I246" s="1"/>
      <c r="J246" s="1"/>
      <c r="K246" s="1"/>
      <c r="L246" s="1"/>
      <c r="M246" s="1"/>
      <c r="N246" s="1"/>
      <c r="O246" s="1"/>
      <c r="P246" s="1"/>
      <c r="Q246" s="1"/>
      <c r="R246" s="1"/>
      <c r="T246" s="1"/>
      <c r="U246" s="1"/>
      <c r="V246" s="1"/>
      <c r="W246" s="1"/>
      <c r="X246" s="1"/>
      <c r="Y246" s="1"/>
      <c r="Z246" s="1"/>
      <c r="AB246" s="1"/>
      <c r="AC246" s="1"/>
      <c r="AD246" s="1"/>
      <c r="AE246" s="1"/>
      <c r="AF246" s="1"/>
      <c r="AG246" s="1"/>
      <c r="AH246" s="1"/>
      <c r="AI246" s="1"/>
      <c r="AL246" s="1"/>
      <c r="AN246" s="1"/>
      <c r="AO246" s="1"/>
      <c r="AP246" s="1"/>
      <c r="AQ246" s="1"/>
      <c r="AR246" s="1"/>
      <c r="AS246" s="1"/>
      <c r="AT246" s="1"/>
      <c r="AU246" s="1"/>
      <c r="AV246" s="1"/>
    </row>
    <row r="247" spans="2:48" x14ac:dyDescent="0.3">
      <c r="B247" s="1" t="s">
        <v>846</v>
      </c>
      <c r="H247" s="1" t="s">
        <v>738</v>
      </c>
      <c r="I247" s="1"/>
      <c r="J247" s="1"/>
      <c r="K247" s="1"/>
      <c r="L247" s="1"/>
      <c r="M247" s="1"/>
      <c r="N247" s="1"/>
      <c r="O247" s="1"/>
      <c r="P247" s="1"/>
      <c r="Q247" s="1"/>
      <c r="R247" s="1"/>
      <c r="T247" s="1"/>
      <c r="U247" s="1"/>
      <c r="V247" s="1"/>
      <c r="W247" s="1"/>
      <c r="X247" s="1"/>
      <c r="Y247" s="1"/>
      <c r="Z247" s="1"/>
      <c r="AB247" s="1"/>
      <c r="AC247" s="1"/>
      <c r="AD247" s="1"/>
      <c r="AE247" s="1"/>
      <c r="AF247" s="1"/>
      <c r="AG247" s="1"/>
      <c r="AH247" s="1"/>
      <c r="AI247" s="1"/>
      <c r="AL247" s="1"/>
      <c r="AN247" s="1"/>
      <c r="AO247" s="1"/>
      <c r="AP247" s="1"/>
      <c r="AQ247" s="1"/>
      <c r="AR247" s="1"/>
      <c r="AS247" s="1"/>
      <c r="AT247" s="1"/>
      <c r="AU247" s="1"/>
      <c r="AV247" s="1"/>
    </row>
    <row r="248" spans="2:48" x14ac:dyDescent="0.3">
      <c r="B248" s="1" t="s">
        <v>847</v>
      </c>
      <c r="H248" s="1" t="s">
        <v>738</v>
      </c>
      <c r="I248" s="1"/>
      <c r="J248" s="1"/>
      <c r="K248" s="1"/>
      <c r="L248" s="1"/>
      <c r="M248" s="1"/>
      <c r="N248" s="1"/>
      <c r="O248" s="1"/>
      <c r="P248" s="1"/>
      <c r="Q248" s="1"/>
      <c r="R248" s="1"/>
      <c r="T248" s="1"/>
      <c r="U248" s="1"/>
      <c r="V248" s="1"/>
      <c r="W248" s="1"/>
      <c r="X248" s="1"/>
      <c r="Y248" s="1"/>
      <c r="Z248" s="1"/>
      <c r="AB248" s="1"/>
      <c r="AC248" s="1"/>
      <c r="AD248" s="1"/>
      <c r="AE248" s="1"/>
      <c r="AF248" s="1"/>
      <c r="AG248" s="1"/>
      <c r="AH248" s="1"/>
      <c r="AI248" s="1"/>
      <c r="AL248" s="1"/>
      <c r="AN248" s="1"/>
      <c r="AO248" s="1"/>
      <c r="AP248" s="1"/>
      <c r="AQ248" s="1"/>
      <c r="AR248" s="1"/>
      <c r="AS248" s="1"/>
      <c r="AT248" s="1"/>
      <c r="AU248" s="1"/>
      <c r="AV248" s="1"/>
    </row>
    <row r="249" spans="2:48" x14ac:dyDescent="0.3">
      <c r="B249" s="1" t="s">
        <v>848</v>
      </c>
      <c r="H249" s="1" t="s">
        <v>738</v>
      </c>
      <c r="I249" s="1"/>
      <c r="J249" s="1"/>
      <c r="K249" s="1"/>
      <c r="L249" s="1"/>
      <c r="M249" s="1"/>
      <c r="N249" s="1"/>
      <c r="O249" s="1"/>
      <c r="P249" s="1"/>
      <c r="Q249" s="1"/>
      <c r="R249" s="1"/>
      <c r="T249" s="1"/>
      <c r="U249" s="1"/>
      <c r="V249" s="1"/>
      <c r="W249" s="1"/>
      <c r="X249" s="1"/>
      <c r="Y249" s="1"/>
      <c r="Z249" s="1"/>
      <c r="AB249" s="1"/>
      <c r="AC249" s="1"/>
      <c r="AD249" s="1"/>
      <c r="AE249" s="1"/>
      <c r="AF249" s="1"/>
      <c r="AG249" s="1"/>
      <c r="AH249" s="1"/>
      <c r="AI249" s="1"/>
      <c r="AL249" s="1"/>
      <c r="AN249" s="1"/>
      <c r="AO249" s="1"/>
      <c r="AP249" s="1"/>
      <c r="AQ249" s="1"/>
      <c r="AR249" s="1"/>
      <c r="AS249" s="1"/>
      <c r="AT249" s="1"/>
      <c r="AU249" s="1"/>
      <c r="AV249" s="1"/>
    </row>
    <row r="250" spans="2:48" x14ac:dyDescent="0.3">
      <c r="B250" s="1" t="s">
        <v>849</v>
      </c>
      <c r="H250" s="1" t="s">
        <v>738</v>
      </c>
      <c r="I250" s="1"/>
      <c r="J250" s="1"/>
      <c r="K250" s="1"/>
      <c r="L250" s="1"/>
      <c r="M250" s="1"/>
      <c r="N250" s="1"/>
      <c r="O250" s="1"/>
      <c r="P250" s="1"/>
      <c r="Q250" s="1"/>
      <c r="R250" s="1"/>
      <c r="T250" s="1"/>
      <c r="U250" s="1"/>
      <c r="V250" s="1"/>
      <c r="W250" s="1"/>
      <c r="X250" s="1"/>
      <c r="Y250" s="1"/>
      <c r="Z250" s="1"/>
      <c r="AB250" s="1"/>
      <c r="AC250" s="1"/>
      <c r="AD250" s="1"/>
      <c r="AE250" s="1"/>
      <c r="AF250" s="1"/>
      <c r="AG250" s="1"/>
      <c r="AH250" s="1"/>
      <c r="AI250" s="1"/>
      <c r="AL250" s="1"/>
      <c r="AN250" s="1"/>
      <c r="AO250" s="1"/>
      <c r="AP250" s="1"/>
      <c r="AQ250" s="1"/>
      <c r="AR250" s="1"/>
      <c r="AS250" s="1"/>
      <c r="AT250" s="1"/>
      <c r="AU250" s="1"/>
      <c r="AV250" s="1"/>
    </row>
    <row r="251" spans="2:48" x14ac:dyDescent="0.3">
      <c r="B251" s="1" t="s">
        <v>850</v>
      </c>
      <c r="H251" s="1" t="s">
        <v>738</v>
      </c>
      <c r="I251" s="1"/>
      <c r="J251" s="1"/>
      <c r="K251" s="1"/>
      <c r="L251" s="1"/>
      <c r="M251" s="1"/>
      <c r="N251" s="1"/>
      <c r="O251" s="1"/>
      <c r="P251" s="1"/>
      <c r="Q251" s="1"/>
      <c r="R251" s="1"/>
      <c r="T251" s="1"/>
      <c r="U251" s="1"/>
      <c r="V251" s="1"/>
      <c r="W251" s="1"/>
      <c r="X251" s="1"/>
      <c r="Y251" s="1"/>
      <c r="Z251" s="1"/>
      <c r="AB251" s="1"/>
      <c r="AC251" s="1"/>
      <c r="AD251" s="1"/>
      <c r="AE251" s="1"/>
      <c r="AF251" s="1"/>
      <c r="AG251" s="1"/>
      <c r="AH251" s="1"/>
      <c r="AI251" s="1"/>
      <c r="AL251" s="1"/>
      <c r="AN251" s="1"/>
      <c r="AO251" s="1"/>
      <c r="AP251" s="1"/>
      <c r="AQ251" s="1"/>
      <c r="AR251" s="1"/>
      <c r="AS251" s="1"/>
      <c r="AT251" s="1"/>
      <c r="AU251" s="1"/>
      <c r="AV251" s="1"/>
    </row>
    <row r="252" spans="2:48" x14ac:dyDescent="0.3">
      <c r="B252" s="1" t="s">
        <v>851</v>
      </c>
      <c r="H252" s="1" t="s">
        <v>738</v>
      </c>
      <c r="I252" s="1"/>
      <c r="J252" s="1"/>
      <c r="K252" s="1"/>
      <c r="L252" s="1"/>
      <c r="M252" s="1"/>
      <c r="N252" s="1"/>
      <c r="O252" s="1"/>
      <c r="P252" s="1"/>
      <c r="Q252" s="1"/>
      <c r="R252" s="1"/>
      <c r="T252" s="1"/>
      <c r="U252" s="1"/>
      <c r="V252" s="1"/>
      <c r="W252" s="1"/>
      <c r="X252" s="1"/>
      <c r="Y252" s="1"/>
      <c r="Z252" s="1"/>
      <c r="AB252" s="1"/>
      <c r="AC252" s="1"/>
      <c r="AD252" s="1"/>
      <c r="AE252" s="1"/>
      <c r="AF252" s="1"/>
      <c r="AG252" s="1"/>
      <c r="AH252" s="1"/>
      <c r="AI252" s="1"/>
      <c r="AL252" s="1"/>
      <c r="AN252" s="1"/>
      <c r="AO252" s="1"/>
      <c r="AP252" s="1"/>
      <c r="AQ252" s="1"/>
      <c r="AR252" s="1"/>
      <c r="AS252" s="1"/>
      <c r="AT252" s="1"/>
      <c r="AU252" s="1"/>
      <c r="AV252" s="1"/>
    </row>
    <row r="253" spans="2:48" x14ac:dyDescent="0.3">
      <c r="B253" s="1" t="s">
        <v>852</v>
      </c>
      <c r="H253" s="1" t="s">
        <v>738</v>
      </c>
      <c r="I253" s="1"/>
      <c r="J253" s="1"/>
      <c r="K253" s="1"/>
      <c r="L253" s="1"/>
      <c r="M253" s="1"/>
      <c r="N253" s="1"/>
      <c r="O253" s="1"/>
      <c r="P253" s="1"/>
      <c r="Q253" s="1"/>
      <c r="R253" s="1"/>
      <c r="T253" s="1"/>
      <c r="U253" s="1"/>
      <c r="V253" s="1"/>
      <c r="W253" s="1"/>
      <c r="X253" s="1"/>
      <c r="Y253" s="1"/>
      <c r="Z253" s="1"/>
      <c r="AB253" s="1"/>
      <c r="AC253" s="1"/>
      <c r="AD253" s="1"/>
      <c r="AE253" s="1"/>
      <c r="AF253" s="1"/>
      <c r="AG253" s="1"/>
      <c r="AH253" s="1"/>
      <c r="AI253" s="1"/>
      <c r="AL253" s="1"/>
      <c r="AN253" s="1"/>
      <c r="AO253" s="1"/>
      <c r="AP253" s="1"/>
      <c r="AQ253" s="1"/>
      <c r="AR253" s="1"/>
      <c r="AS253" s="1"/>
      <c r="AT253" s="1"/>
      <c r="AU253" s="1"/>
      <c r="AV253" s="1"/>
    </row>
    <row r="254" spans="2:48" x14ac:dyDescent="0.3">
      <c r="B254" s="1" t="s">
        <v>853</v>
      </c>
      <c r="H254" s="1" t="s">
        <v>738</v>
      </c>
      <c r="I254" s="1"/>
      <c r="J254" s="1"/>
      <c r="K254" s="1"/>
      <c r="L254" s="1"/>
      <c r="M254" s="1"/>
      <c r="N254" s="1"/>
      <c r="O254" s="1"/>
      <c r="P254" s="1"/>
      <c r="Q254" s="1"/>
      <c r="R254" s="1"/>
      <c r="T254" s="1"/>
      <c r="U254" s="1"/>
      <c r="V254" s="1"/>
      <c r="W254" s="1"/>
      <c r="X254" s="1"/>
      <c r="Y254" s="1"/>
      <c r="Z254" s="1"/>
      <c r="AB254" s="1"/>
      <c r="AC254" s="1"/>
      <c r="AD254" s="1"/>
      <c r="AE254" s="1"/>
      <c r="AF254" s="1"/>
      <c r="AG254" s="1"/>
      <c r="AH254" s="1"/>
      <c r="AI254" s="1"/>
      <c r="AL254" s="1"/>
      <c r="AN254" s="1"/>
      <c r="AO254" s="1"/>
      <c r="AP254" s="1"/>
      <c r="AQ254" s="1"/>
      <c r="AR254" s="1"/>
      <c r="AS254" s="1"/>
      <c r="AT254" s="1"/>
      <c r="AU254" s="1"/>
      <c r="AV254" s="1"/>
    </row>
    <row r="255" spans="2:48" x14ac:dyDescent="0.3">
      <c r="B255" s="1" t="s">
        <v>854</v>
      </c>
      <c r="H255" s="1" t="s">
        <v>738</v>
      </c>
      <c r="I255" s="1"/>
      <c r="J255" s="1"/>
      <c r="K255" s="1"/>
      <c r="L255" s="1"/>
      <c r="M255" s="1"/>
      <c r="N255" s="1"/>
      <c r="O255" s="1"/>
      <c r="P255" s="1"/>
      <c r="Q255" s="1"/>
      <c r="R255" s="1"/>
      <c r="T255" s="1"/>
      <c r="U255" s="1"/>
      <c r="V255" s="1"/>
      <c r="W255" s="1"/>
      <c r="X255" s="1"/>
      <c r="Y255" s="1"/>
      <c r="Z255" s="1"/>
      <c r="AB255" s="1"/>
      <c r="AC255" s="1"/>
      <c r="AD255" s="1"/>
      <c r="AE255" s="1"/>
      <c r="AF255" s="1"/>
      <c r="AG255" s="1"/>
      <c r="AH255" s="1"/>
      <c r="AI255" s="1"/>
      <c r="AL255" s="1"/>
      <c r="AN255" s="1"/>
      <c r="AO255" s="1"/>
      <c r="AP255" s="1"/>
      <c r="AQ255" s="1"/>
      <c r="AR255" s="1"/>
      <c r="AS255" s="1"/>
      <c r="AT255" s="1"/>
      <c r="AU255" s="1"/>
      <c r="AV255" s="1"/>
    </row>
    <row r="256" spans="2:48" x14ac:dyDescent="0.3">
      <c r="B256" s="1" t="s">
        <v>855</v>
      </c>
      <c r="H256" s="1" t="s">
        <v>738</v>
      </c>
      <c r="I256" s="1"/>
      <c r="J256" s="1"/>
      <c r="K256" s="1"/>
      <c r="L256" s="1"/>
      <c r="M256" s="1"/>
      <c r="N256" s="1"/>
      <c r="O256" s="1"/>
      <c r="P256" s="1"/>
      <c r="Q256" s="1"/>
      <c r="R256" s="1"/>
      <c r="T256" s="1"/>
      <c r="U256" s="1"/>
      <c r="V256" s="1"/>
      <c r="W256" s="1"/>
      <c r="X256" s="1"/>
      <c r="Y256" s="1"/>
      <c r="Z256" s="1"/>
      <c r="AB256" s="1"/>
      <c r="AC256" s="1"/>
      <c r="AD256" s="1"/>
      <c r="AE256" s="1"/>
      <c r="AF256" s="1"/>
      <c r="AG256" s="1"/>
      <c r="AH256" s="1"/>
      <c r="AI256" s="1"/>
      <c r="AL256" s="1"/>
      <c r="AN256" s="1"/>
      <c r="AO256" s="1"/>
      <c r="AP256" s="1"/>
      <c r="AQ256" s="1"/>
      <c r="AR256" s="1"/>
      <c r="AS256" s="1"/>
      <c r="AT256" s="1"/>
      <c r="AU256" s="1"/>
      <c r="AV256" s="1"/>
    </row>
    <row r="257" spans="2:48" x14ac:dyDescent="0.3">
      <c r="B257" s="1" t="s">
        <v>856</v>
      </c>
      <c r="H257" s="1" t="s">
        <v>738</v>
      </c>
      <c r="I257" s="1"/>
      <c r="J257" s="1"/>
      <c r="K257" s="1"/>
      <c r="L257" s="1"/>
      <c r="M257" s="1"/>
      <c r="N257" s="1"/>
      <c r="O257" s="1"/>
      <c r="P257" s="1"/>
      <c r="Q257" s="1"/>
      <c r="R257" s="1"/>
      <c r="T257" s="1"/>
      <c r="U257" s="1"/>
      <c r="V257" s="1"/>
      <c r="W257" s="1"/>
      <c r="X257" s="1"/>
      <c r="Y257" s="1"/>
      <c r="Z257" s="1"/>
      <c r="AB257" s="1"/>
      <c r="AC257" s="1"/>
      <c r="AD257" s="1"/>
      <c r="AE257" s="1"/>
      <c r="AF257" s="1"/>
      <c r="AG257" s="1"/>
      <c r="AH257" s="1"/>
      <c r="AI257" s="1"/>
      <c r="AL257" s="1"/>
      <c r="AN257" s="1"/>
      <c r="AO257" s="1"/>
      <c r="AP257" s="1"/>
      <c r="AQ257" s="1"/>
      <c r="AR257" s="1"/>
      <c r="AS257" s="1"/>
      <c r="AT257" s="1"/>
      <c r="AU257" s="1"/>
      <c r="AV257" s="1"/>
    </row>
    <row r="258" spans="2:48" x14ac:dyDescent="0.3">
      <c r="B258" s="1" t="s">
        <v>857</v>
      </c>
      <c r="H258" s="1" t="s">
        <v>738</v>
      </c>
      <c r="I258" s="1"/>
      <c r="J258" s="1"/>
      <c r="K258" s="1"/>
      <c r="L258" s="1"/>
      <c r="M258" s="1"/>
      <c r="N258" s="1"/>
      <c r="O258" s="1"/>
      <c r="P258" s="1"/>
      <c r="Q258" s="1"/>
      <c r="R258" s="1"/>
      <c r="T258" s="1"/>
      <c r="U258" s="1"/>
      <c r="V258" s="1"/>
      <c r="W258" s="1"/>
      <c r="X258" s="1"/>
      <c r="Y258" s="1"/>
      <c r="Z258" s="1"/>
      <c r="AB258" s="1"/>
      <c r="AC258" s="1"/>
      <c r="AD258" s="1"/>
      <c r="AE258" s="1"/>
      <c r="AF258" s="1"/>
      <c r="AG258" s="1"/>
      <c r="AH258" s="1"/>
      <c r="AI258" s="1"/>
      <c r="AL258" s="1"/>
      <c r="AN258" s="1"/>
      <c r="AO258" s="1"/>
      <c r="AP258" s="1"/>
      <c r="AQ258" s="1"/>
      <c r="AR258" s="1"/>
      <c r="AS258" s="1"/>
      <c r="AT258" s="1"/>
      <c r="AU258" s="1"/>
      <c r="AV258" s="1"/>
    </row>
    <row r="259" spans="2:48" x14ac:dyDescent="0.3">
      <c r="B259" s="1" t="s">
        <v>858</v>
      </c>
      <c r="H259" s="1" t="s">
        <v>738</v>
      </c>
      <c r="I259" s="1"/>
      <c r="J259" s="1"/>
      <c r="K259" s="1"/>
      <c r="L259" s="1"/>
      <c r="M259" s="1"/>
      <c r="N259" s="1"/>
      <c r="O259" s="1"/>
      <c r="P259" s="1"/>
      <c r="Q259" s="1"/>
      <c r="R259" s="1"/>
      <c r="T259" s="1"/>
      <c r="U259" s="1"/>
      <c r="V259" s="1"/>
      <c r="W259" s="1"/>
      <c r="X259" s="1"/>
      <c r="Y259" s="1"/>
      <c r="Z259" s="1"/>
      <c r="AB259" s="1"/>
      <c r="AC259" s="1"/>
      <c r="AD259" s="1"/>
      <c r="AE259" s="1"/>
      <c r="AF259" s="1"/>
      <c r="AG259" s="1"/>
      <c r="AH259" s="1"/>
      <c r="AI259" s="1"/>
      <c r="AL259" s="1"/>
      <c r="AN259" s="1"/>
      <c r="AO259" s="1"/>
      <c r="AP259" s="1"/>
      <c r="AQ259" s="1"/>
      <c r="AR259" s="1"/>
      <c r="AS259" s="1"/>
      <c r="AT259" s="1"/>
      <c r="AU259" s="1"/>
      <c r="AV259" s="1"/>
    </row>
    <row r="260" spans="2:48" x14ac:dyDescent="0.3">
      <c r="B260" s="1" t="s">
        <v>859</v>
      </c>
      <c r="H260" s="1" t="s">
        <v>738</v>
      </c>
      <c r="I260" s="1"/>
      <c r="J260" s="1"/>
      <c r="K260" s="1"/>
      <c r="L260" s="1"/>
      <c r="M260" s="1"/>
      <c r="N260" s="1"/>
      <c r="O260" s="1"/>
      <c r="P260" s="1"/>
      <c r="Q260" s="1"/>
      <c r="R260" s="1"/>
      <c r="T260" s="1"/>
      <c r="U260" s="1"/>
      <c r="V260" s="1"/>
      <c r="W260" s="1"/>
      <c r="X260" s="1"/>
      <c r="Y260" s="1"/>
      <c r="Z260" s="1"/>
      <c r="AB260" s="1"/>
      <c r="AC260" s="1"/>
      <c r="AD260" s="1"/>
      <c r="AE260" s="1"/>
      <c r="AF260" s="1"/>
      <c r="AG260" s="1"/>
      <c r="AH260" s="1"/>
      <c r="AI260" s="1"/>
      <c r="AL260" s="1"/>
      <c r="AN260" s="1"/>
      <c r="AO260" s="1"/>
      <c r="AP260" s="1"/>
      <c r="AQ260" s="1"/>
      <c r="AR260" s="1"/>
      <c r="AS260" s="1"/>
      <c r="AT260" s="1"/>
      <c r="AU260" s="1"/>
      <c r="AV260" s="1"/>
    </row>
    <row r="261" spans="2:48" x14ac:dyDescent="0.3">
      <c r="B261" s="1" t="s">
        <v>860</v>
      </c>
      <c r="H261" s="1" t="s">
        <v>738</v>
      </c>
      <c r="I261" s="1"/>
      <c r="J261" s="1"/>
      <c r="K261" s="1"/>
      <c r="L261" s="1"/>
      <c r="M261" s="1"/>
      <c r="N261" s="1"/>
      <c r="O261" s="1"/>
      <c r="P261" s="1"/>
      <c r="Q261" s="1"/>
      <c r="R261" s="1"/>
      <c r="T261" s="1"/>
      <c r="U261" s="1"/>
      <c r="V261" s="1"/>
      <c r="W261" s="1"/>
      <c r="X261" s="1"/>
      <c r="Y261" s="1"/>
      <c r="Z261" s="1"/>
      <c r="AB261" s="1"/>
      <c r="AC261" s="1"/>
      <c r="AD261" s="1"/>
      <c r="AE261" s="1"/>
      <c r="AF261" s="1"/>
      <c r="AG261" s="1"/>
      <c r="AH261" s="1"/>
      <c r="AI261" s="1"/>
      <c r="AL261" s="1"/>
      <c r="AN261" s="1"/>
      <c r="AO261" s="1"/>
      <c r="AP261" s="1"/>
      <c r="AQ261" s="1"/>
      <c r="AR261" s="1"/>
      <c r="AS261" s="1"/>
      <c r="AT261" s="1"/>
      <c r="AU261" s="1"/>
      <c r="AV261" s="1"/>
    </row>
    <row r="262" spans="2:48" x14ac:dyDescent="0.3">
      <c r="B262" s="1" t="s">
        <v>861</v>
      </c>
      <c r="H262" s="1" t="s">
        <v>738</v>
      </c>
      <c r="I262" s="1"/>
      <c r="J262" s="1"/>
      <c r="K262" s="1"/>
      <c r="L262" s="1"/>
      <c r="M262" s="1"/>
      <c r="N262" s="1"/>
      <c r="O262" s="1"/>
      <c r="P262" s="1"/>
      <c r="Q262" s="1"/>
      <c r="R262" s="1"/>
      <c r="T262" s="1"/>
      <c r="U262" s="1"/>
      <c r="V262" s="1"/>
      <c r="W262" s="1"/>
      <c r="X262" s="1"/>
      <c r="Y262" s="1"/>
      <c r="Z262" s="1"/>
      <c r="AB262" s="1"/>
      <c r="AC262" s="1"/>
      <c r="AD262" s="1"/>
      <c r="AE262" s="1"/>
      <c r="AF262" s="1"/>
      <c r="AG262" s="1"/>
      <c r="AH262" s="1"/>
      <c r="AI262" s="1"/>
      <c r="AL262" s="1"/>
      <c r="AN262" s="1"/>
      <c r="AO262" s="1"/>
      <c r="AP262" s="1"/>
      <c r="AQ262" s="1"/>
      <c r="AR262" s="1"/>
      <c r="AS262" s="1"/>
      <c r="AT262" s="1"/>
      <c r="AU262" s="1"/>
      <c r="AV262" s="1"/>
    </row>
    <row r="263" spans="2:48" x14ac:dyDescent="0.3">
      <c r="B263" s="1" t="s">
        <v>862</v>
      </c>
      <c r="H263" s="1" t="s">
        <v>738</v>
      </c>
      <c r="I263" s="1"/>
      <c r="J263" s="1"/>
      <c r="K263" s="1"/>
      <c r="L263" s="1"/>
      <c r="M263" s="1"/>
      <c r="N263" s="1"/>
      <c r="O263" s="1"/>
      <c r="P263" s="1"/>
      <c r="Q263" s="1"/>
      <c r="R263" s="1"/>
      <c r="T263" s="1"/>
      <c r="U263" s="1"/>
      <c r="V263" s="1"/>
      <c r="W263" s="1"/>
      <c r="X263" s="1"/>
      <c r="Y263" s="1"/>
      <c r="Z263" s="1"/>
      <c r="AB263" s="1"/>
      <c r="AC263" s="1"/>
      <c r="AD263" s="1"/>
      <c r="AE263" s="1"/>
      <c r="AF263" s="1"/>
      <c r="AG263" s="1"/>
      <c r="AH263" s="1"/>
      <c r="AI263" s="1"/>
      <c r="AL263" s="1"/>
      <c r="AN263" s="1"/>
      <c r="AO263" s="1"/>
      <c r="AP263" s="1"/>
      <c r="AQ263" s="1"/>
      <c r="AR263" s="1"/>
      <c r="AS263" s="1"/>
      <c r="AT263" s="1"/>
      <c r="AU263" s="1"/>
      <c r="AV263" s="1"/>
    </row>
    <row r="264" spans="2:48" x14ac:dyDescent="0.3">
      <c r="B264" s="1" t="s">
        <v>863</v>
      </c>
      <c r="H264" s="1" t="s">
        <v>738</v>
      </c>
      <c r="I264" s="1"/>
      <c r="J264" s="1"/>
      <c r="K264" s="1"/>
      <c r="L264" s="1"/>
      <c r="M264" s="1"/>
      <c r="N264" s="1"/>
      <c r="O264" s="1"/>
      <c r="P264" s="1"/>
      <c r="Q264" s="1"/>
      <c r="R264" s="1"/>
      <c r="T264" s="1"/>
      <c r="U264" s="1"/>
      <c r="V264" s="1"/>
      <c r="W264" s="1"/>
      <c r="X264" s="1"/>
      <c r="Y264" s="1"/>
      <c r="Z264" s="1"/>
      <c r="AB264" s="1"/>
      <c r="AC264" s="1"/>
      <c r="AD264" s="1"/>
      <c r="AE264" s="1"/>
      <c r="AF264" s="1"/>
      <c r="AG264" s="1"/>
      <c r="AH264" s="1"/>
      <c r="AI264" s="1"/>
      <c r="AL264" s="1"/>
      <c r="AN264" s="1"/>
      <c r="AO264" s="1"/>
      <c r="AP264" s="1"/>
      <c r="AQ264" s="1"/>
      <c r="AR264" s="1"/>
      <c r="AS264" s="1"/>
      <c r="AT264" s="1"/>
      <c r="AU264" s="1"/>
      <c r="AV264" s="1"/>
    </row>
    <row r="265" spans="2:48" x14ac:dyDescent="0.3">
      <c r="B265" s="1" t="s">
        <v>864</v>
      </c>
      <c r="H265" s="1" t="s">
        <v>738</v>
      </c>
      <c r="I265" s="1"/>
      <c r="J265" s="1"/>
      <c r="K265" s="1"/>
      <c r="L265" s="1"/>
      <c r="M265" s="1"/>
      <c r="N265" s="1"/>
      <c r="O265" s="1"/>
      <c r="P265" s="1"/>
      <c r="Q265" s="1"/>
      <c r="R265" s="1"/>
      <c r="T265" s="1"/>
      <c r="U265" s="1"/>
      <c r="V265" s="1"/>
      <c r="W265" s="1"/>
      <c r="X265" s="1"/>
      <c r="Y265" s="1"/>
      <c r="Z265" s="1"/>
      <c r="AB265" s="1"/>
      <c r="AC265" s="1"/>
      <c r="AD265" s="1"/>
      <c r="AE265" s="1"/>
      <c r="AF265" s="1"/>
      <c r="AG265" s="1"/>
      <c r="AH265" s="1"/>
      <c r="AI265" s="1"/>
      <c r="AL265" s="1"/>
      <c r="AN265" s="1"/>
      <c r="AO265" s="1"/>
      <c r="AP265" s="1"/>
      <c r="AQ265" s="1"/>
      <c r="AR265" s="1"/>
      <c r="AS265" s="1"/>
      <c r="AT265" s="1"/>
      <c r="AU265" s="1"/>
      <c r="AV265" s="1"/>
    </row>
    <row r="266" spans="2:48" x14ac:dyDescent="0.3">
      <c r="B266" s="1" t="s">
        <v>865</v>
      </c>
      <c r="H266" s="1" t="s">
        <v>738</v>
      </c>
      <c r="I266" s="1"/>
      <c r="J266" s="1"/>
      <c r="K266" s="1"/>
      <c r="L266" s="1"/>
      <c r="M266" s="1"/>
      <c r="N266" s="1"/>
      <c r="O266" s="1"/>
      <c r="P266" s="1"/>
      <c r="Q266" s="1"/>
      <c r="R266" s="1"/>
      <c r="T266" s="1"/>
      <c r="U266" s="1"/>
      <c r="V266" s="1"/>
      <c r="W266" s="1"/>
      <c r="X266" s="1"/>
      <c r="Y266" s="1"/>
      <c r="Z266" s="1"/>
      <c r="AB266" s="1"/>
      <c r="AC266" s="1"/>
      <c r="AD266" s="1"/>
      <c r="AE266" s="1"/>
      <c r="AF266" s="1"/>
      <c r="AG266" s="1"/>
      <c r="AH266" s="1"/>
      <c r="AI266" s="1"/>
      <c r="AL266" s="1"/>
      <c r="AN266" s="1"/>
      <c r="AO266" s="1"/>
      <c r="AP266" s="1"/>
      <c r="AQ266" s="1"/>
      <c r="AR266" s="1"/>
      <c r="AS266" s="1"/>
      <c r="AT266" s="1"/>
      <c r="AU266" s="1"/>
      <c r="AV266" s="1"/>
    </row>
    <row r="267" spans="2:48" x14ac:dyDescent="0.3">
      <c r="B267" s="1" t="s">
        <v>866</v>
      </c>
      <c r="H267" s="1" t="s">
        <v>738</v>
      </c>
      <c r="I267" s="1"/>
      <c r="J267" s="1"/>
      <c r="K267" s="1"/>
      <c r="L267" s="1"/>
      <c r="M267" s="1"/>
      <c r="N267" s="1"/>
      <c r="O267" s="1"/>
      <c r="P267" s="1"/>
      <c r="Q267" s="1"/>
      <c r="R267" s="1"/>
      <c r="T267" s="1"/>
      <c r="U267" s="1"/>
      <c r="V267" s="1"/>
      <c r="W267" s="1"/>
      <c r="X267" s="1"/>
      <c r="Y267" s="1"/>
      <c r="Z267" s="1"/>
      <c r="AB267" s="1"/>
      <c r="AC267" s="1"/>
      <c r="AD267" s="1"/>
      <c r="AE267" s="1"/>
      <c r="AF267" s="1"/>
      <c r="AG267" s="1"/>
      <c r="AH267" s="1"/>
      <c r="AI267" s="1"/>
      <c r="AL267" s="1"/>
      <c r="AN267" s="1"/>
      <c r="AO267" s="1"/>
      <c r="AP267" s="1"/>
      <c r="AQ267" s="1"/>
      <c r="AR267" s="1"/>
      <c r="AS267" s="1"/>
      <c r="AT267" s="1"/>
      <c r="AU267" s="1"/>
      <c r="AV267" s="1"/>
    </row>
    <row r="268" spans="2:48" x14ac:dyDescent="0.3">
      <c r="B268" s="1" t="s">
        <v>867</v>
      </c>
      <c r="H268" s="1" t="s">
        <v>738</v>
      </c>
      <c r="I268" s="1"/>
      <c r="J268" s="1"/>
      <c r="K268" s="1"/>
      <c r="L268" s="1"/>
      <c r="M268" s="1"/>
      <c r="N268" s="1"/>
      <c r="O268" s="1"/>
      <c r="P268" s="1"/>
      <c r="Q268" s="1"/>
      <c r="R268" s="1"/>
      <c r="T268" s="1"/>
      <c r="U268" s="1"/>
      <c r="V268" s="1"/>
      <c r="W268" s="1"/>
      <c r="X268" s="1"/>
      <c r="Y268" s="1"/>
      <c r="Z268" s="1"/>
      <c r="AB268" s="1"/>
      <c r="AC268" s="1"/>
      <c r="AD268" s="1"/>
      <c r="AE268" s="1"/>
      <c r="AF268" s="1"/>
      <c r="AG268" s="1"/>
      <c r="AH268" s="1"/>
      <c r="AI268" s="1"/>
      <c r="AL268" s="1"/>
      <c r="AN268" s="1"/>
      <c r="AO268" s="1"/>
      <c r="AP268" s="1"/>
      <c r="AQ268" s="1"/>
      <c r="AR268" s="1"/>
      <c r="AS268" s="1"/>
      <c r="AT268" s="1"/>
      <c r="AU268" s="1"/>
      <c r="AV268" s="1"/>
    </row>
    <row r="269" spans="2:48" x14ac:dyDescent="0.3">
      <c r="B269" s="1" t="s">
        <v>868</v>
      </c>
      <c r="H269" s="1" t="s">
        <v>738</v>
      </c>
      <c r="I269" s="1"/>
      <c r="J269" s="1"/>
      <c r="K269" s="1"/>
      <c r="L269" s="1"/>
      <c r="M269" s="1"/>
      <c r="N269" s="1"/>
      <c r="O269" s="1"/>
      <c r="P269" s="1"/>
      <c r="Q269" s="1"/>
      <c r="R269" s="1"/>
      <c r="T269" s="1"/>
      <c r="U269" s="1"/>
      <c r="V269" s="1"/>
      <c r="W269" s="1"/>
      <c r="X269" s="1"/>
      <c r="Y269" s="1"/>
      <c r="Z269" s="1"/>
      <c r="AB269" s="1"/>
      <c r="AC269" s="1"/>
      <c r="AD269" s="1"/>
      <c r="AE269" s="1"/>
      <c r="AF269" s="1"/>
      <c r="AG269" s="1"/>
      <c r="AH269" s="1"/>
      <c r="AI269" s="1"/>
      <c r="AL269" s="1"/>
      <c r="AN269" s="1"/>
      <c r="AO269" s="1"/>
      <c r="AP269" s="1"/>
      <c r="AQ269" s="1"/>
      <c r="AR269" s="1"/>
      <c r="AS269" s="1"/>
      <c r="AT269" s="1"/>
      <c r="AU269" s="1"/>
      <c r="AV269" s="1"/>
    </row>
    <row r="270" spans="2:48" x14ac:dyDescent="0.3">
      <c r="B270" s="1" t="s">
        <v>869</v>
      </c>
      <c r="H270" s="1" t="s">
        <v>738</v>
      </c>
      <c r="I270" s="1"/>
      <c r="J270" s="1"/>
      <c r="K270" s="1"/>
      <c r="L270" s="1"/>
      <c r="M270" s="1"/>
      <c r="N270" s="1"/>
      <c r="O270" s="1"/>
      <c r="P270" s="1"/>
      <c r="Q270" s="1"/>
      <c r="R270" s="1"/>
      <c r="T270" s="1"/>
      <c r="U270" s="1"/>
      <c r="V270" s="1"/>
      <c r="W270" s="1"/>
      <c r="X270" s="1"/>
      <c r="Y270" s="1"/>
      <c r="Z270" s="1"/>
      <c r="AB270" s="1"/>
      <c r="AC270" s="1"/>
      <c r="AD270" s="1"/>
      <c r="AE270" s="1"/>
      <c r="AF270" s="1"/>
      <c r="AG270" s="1"/>
      <c r="AH270" s="1"/>
      <c r="AI270" s="1"/>
      <c r="AL270" s="1"/>
      <c r="AN270" s="1"/>
      <c r="AO270" s="1"/>
      <c r="AP270" s="1"/>
      <c r="AQ270" s="1"/>
      <c r="AR270" s="1"/>
      <c r="AS270" s="1"/>
      <c r="AT270" s="1"/>
      <c r="AU270" s="1"/>
      <c r="AV270" s="1"/>
    </row>
    <row r="271" spans="2:48" x14ac:dyDescent="0.3">
      <c r="B271" s="1" t="s">
        <v>870</v>
      </c>
      <c r="H271" s="1" t="s">
        <v>738</v>
      </c>
      <c r="I271" s="1"/>
      <c r="J271" s="1"/>
      <c r="K271" s="1"/>
      <c r="L271" s="1"/>
      <c r="M271" s="1"/>
      <c r="N271" s="1"/>
      <c r="O271" s="1"/>
      <c r="P271" s="1"/>
      <c r="Q271" s="1"/>
      <c r="R271" s="1"/>
      <c r="T271" s="1"/>
      <c r="U271" s="1"/>
      <c r="V271" s="1"/>
      <c r="W271" s="1"/>
      <c r="X271" s="1"/>
      <c r="Y271" s="1"/>
      <c r="Z271" s="1"/>
      <c r="AB271" s="1"/>
      <c r="AC271" s="1"/>
      <c r="AD271" s="1"/>
      <c r="AE271" s="1"/>
      <c r="AF271" s="1"/>
      <c r="AG271" s="1"/>
      <c r="AH271" s="1"/>
      <c r="AI271" s="1"/>
      <c r="AL271" s="1"/>
      <c r="AN271" s="1"/>
      <c r="AO271" s="1"/>
      <c r="AP271" s="1"/>
      <c r="AQ271" s="1"/>
      <c r="AR271" s="1"/>
      <c r="AS271" s="1"/>
      <c r="AT271" s="1"/>
      <c r="AU271" s="1"/>
      <c r="AV271" s="1"/>
    </row>
    <row r="272" spans="2:48" x14ac:dyDescent="0.3">
      <c r="B272" s="1" t="s">
        <v>871</v>
      </c>
      <c r="H272" s="1" t="s">
        <v>738</v>
      </c>
      <c r="I272" s="1"/>
      <c r="J272" s="1"/>
      <c r="K272" s="1"/>
      <c r="L272" s="1"/>
      <c r="M272" s="1"/>
      <c r="N272" s="1"/>
      <c r="O272" s="1"/>
      <c r="P272" s="1"/>
      <c r="Q272" s="1"/>
      <c r="R272" s="1"/>
      <c r="T272" s="1"/>
      <c r="U272" s="1"/>
      <c r="V272" s="1"/>
      <c r="W272" s="1"/>
      <c r="X272" s="1"/>
      <c r="Y272" s="1"/>
      <c r="Z272" s="1"/>
      <c r="AB272" s="1"/>
      <c r="AC272" s="1"/>
      <c r="AD272" s="1"/>
      <c r="AE272" s="1"/>
      <c r="AF272" s="1"/>
      <c r="AG272" s="1"/>
      <c r="AH272" s="1"/>
      <c r="AI272" s="1"/>
      <c r="AL272" s="1"/>
      <c r="AN272" s="1"/>
      <c r="AO272" s="1"/>
      <c r="AP272" s="1"/>
      <c r="AQ272" s="1"/>
      <c r="AR272" s="1"/>
      <c r="AS272" s="1"/>
      <c r="AT272" s="1"/>
      <c r="AU272" s="1"/>
      <c r="AV272" s="1"/>
    </row>
    <row r="273" spans="2:48" x14ac:dyDescent="0.3">
      <c r="B273" s="1" t="s">
        <v>872</v>
      </c>
      <c r="H273" s="1" t="s">
        <v>738</v>
      </c>
      <c r="I273" s="1"/>
      <c r="J273" s="1"/>
      <c r="K273" s="1"/>
      <c r="L273" s="1"/>
      <c r="M273" s="1"/>
      <c r="N273" s="1"/>
      <c r="O273" s="1"/>
      <c r="P273" s="1"/>
      <c r="Q273" s="1"/>
      <c r="R273" s="1"/>
      <c r="T273" s="1"/>
      <c r="U273" s="1"/>
      <c r="V273" s="1"/>
      <c r="W273" s="1"/>
      <c r="X273" s="1"/>
      <c r="Y273" s="1"/>
      <c r="Z273" s="1"/>
      <c r="AB273" s="1"/>
      <c r="AC273" s="1"/>
      <c r="AD273" s="1"/>
      <c r="AE273" s="1"/>
      <c r="AF273" s="1"/>
      <c r="AG273" s="1"/>
      <c r="AH273" s="1"/>
      <c r="AI273" s="1"/>
      <c r="AL273" s="1"/>
      <c r="AN273" s="1"/>
      <c r="AO273" s="1"/>
      <c r="AP273" s="1"/>
      <c r="AQ273" s="1"/>
      <c r="AR273" s="1"/>
      <c r="AS273" s="1"/>
      <c r="AT273" s="1"/>
      <c r="AU273" s="1"/>
      <c r="AV273" s="1"/>
    </row>
    <row r="274" spans="2:48" x14ac:dyDescent="0.3">
      <c r="B274" s="1" t="s">
        <v>873</v>
      </c>
      <c r="H274" s="1" t="s">
        <v>738</v>
      </c>
      <c r="I274" s="1"/>
      <c r="J274" s="1"/>
      <c r="K274" s="1"/>
      <c r="L274" s="1"/>
      <c r="M274" s="1"/>
      <c r="N274" s="1"/>
      <c r="O274" s="1"/>
      <c r="P274" s="1"/>
      <c r="Q274" s="1"/>
      <c r="R274" s="1"/>
      <c r="T274" s="1"/>
      <c r="U274" s="1"/>
      <c r="V274" s="1"/>
      <c r="W274" s="1"/>
      <c r="X274" s="1"/>
      <c r="Y274" s="1"/>
      <c r="Z274" s="1"/>
      <c r="AB274" s="1"/>
      <c r="AC274" s="1"/>
      <c r="AD274" s="1"/>
      <c r="AE274" s="1"/>
      <c r="AF274" s="1"/>
      <c r="AG274" s="1"/>
      <c r="AH274" s="1"/>
      <c r="AI274" s="1"/>
      <c r="AL274" s="1"/>
      <c r="AN274" s="1"/>
      <c r="AO274" s="1"/>
      <c r="AP274" s="1"/>
      <c r="AQ274" s="1"/>
      <c r="AR274" s="1"/>
      <c r="AS274" s="1"/>
      <c r="AT274" s="1"/>
      <c r="AU274" s="1"/>
      <c r="AV274" s="1"/>
    </row>
    <row r="275" spans="2:48" x14ac:dyDescent="0.3">
      <c r="B275" s="1" t="s">
        <v>874</v>
      </c>
      <c r="H275" s="1" t="s">
        <v>738</v>
      </c>
      <c r="I275" s="1"/>
      <c r="J275" s="1"/>
      <c r="K275" s="1"/>
      <c r="L275" s="1"/>
      <c r="M275" s="1"/>
      <c r="N275" s="1"/>
      <c r="O275" s="1"/>
      <c r="P275" s="1"/>
      <c r="Q275" s="1"/>
      <c r="R275" s="1"/>
      <c r="T275" s="1"/>
      <c r="U275" s="1"/>
      <c r="V275" s="1"/>
      <c r="W275" s="1"/>
      <c r="X275" s="1"/>
      <c r="Y275" s="1"/>
      <c r="Z275" s="1"/>
      <c r="AB275" s="1"/>
      <c r="AC275" s="1"/>
      <c r="AD275" s="1"/>
      <c r="AE275" s="1"/>
      <c r="AF275" s="1"/>
      <c r="AG275" s="1"/>
      <c r="AH275" s="1"/>
      <c r="AI275" s="1"/>
      <c r="AL275" s="1"/>
      <c r="AN275" s="1"/>
      <c r="AO275" s="1"/>
      <c r="AP275" s="1"/>
      <c r="AQ275" s="1"/>
      <c r="AR275" s="1"/>
      <c r="AS275" s="1"/>
      <c r="AT275" s="1"/>
      <c r="AU275" s="1"/>
      <c r="AV275" s="1"/>
    </row>
    <row r="276" spans="2:48" x14ac:dyDescent="0.3">
      <c r="B276" s="1" t="s">
        <v>875</v>
      </c>
      <c r="H276" s="1" t="s">
        <v>738</v>
      </c>
      <c r="I276" s="1"/>
      <c r="J276" s="1"/>
      <c r="K276" s="1"/>
      <c r="L276" s="1"/>
      <c r="M276" s="1"/>
      <c r="N276" s="1"/>
      <c r="O276" s="1"/>
      <c r="P276" s="1"/>
      <c r="Q276" s="1"/>
      <c r="R276" s="1"/>
      <c r="T276" s="1"/>
      <c r="U276" s="1"/>
      <c r="V276" s="1"/>
      <c r="W276" s="1"/>
      <c r="X276" s="1"/>
      <c r="Y276" s="1"/>
      <c r="Z276" s="1"/>
      <c r="AB276" s="1"/>
      <c r="AC276" s="1"/>
      <c r="AD276" s="1"/>
      <c r="AE276" s="1"/>
      <c r="AF276" s="1"/>
      <c r="AG276" s="1"/>
      <c r="AH276" s="1"/>
      <c r="AI276" s="1"/>
      <c r="AL276" s="1"/>
      <c r="AN276" s="1"/>
      <c r="AO276" s="1"/>
      <c r="AP276" s="1"/>
      <c r="AQ276" s="1"/>
      <c r="AR276" s="1"/>
      <c r="AS276" s="1"/>
      <c r="AT276" s="1"/>
      <c r="AU276" s="1"/>
      <c r="AV276" s="1"/>
    </row>
    <row r="277" spans="2:48" x14ac:dyDescent="0.3">
      <c r="B277" s="1" t="s">
        <v>876</v>
      </c>
      <c r="H277" s="1" t="s">
        <v>738</v>
      </c>
      <c r="I277" s="1"/>
      <c r="J277" s="1"/>
      <c r="K277" s="1"/>
      <c r="L277" s="1"/>
      <c r="M277" s="1"/>
      <c r="N277" s="1"/>
      <c r="O277" s="1"/>
      <c r="P277" s="1"/>
      <c r="Q277" s="1"/>
      <c r="R277" s="1"/>
      <c r="T277" s="1"/>
      <c r="U277" s="1"/>
      <c r="V277" s="1"/>
      <c r="W277" s="1"/>
      <c r="X277" s="1"/>
      <c r="Y277" s="1"/>
      <c r="Z277" s="1"/>
      <c r="AB277" s="1"/>
      <c r="AC277" s="1"/>
      <c r="AD277" s="1"/>
      <c r="AE277" s="1"/>
      <c r="AF277" s="1"/>
      <c r="AG277" s="1"/>
      <c r="AH277" s="1"/>
      <c r="AI277" s="1"/>
      <c r="AL277" s="1"/>
      <c r="AN277" s="1"/>
      <c r="AO277" s="1"/>
      <c r="AP277" s="1"/>
      <c r="AQ277" s="1"/>
      <c r="AR277" s="1"/>
      <c r="AS277" s="1"/>
      <c r="AT277" s="1"/>
      <c r="AU277" s="1"/>
      <c r="AV277" s="1"/>
    </row>
    <row r="278" spans="2:48" x14ac:dyDescent="0.3">
      <c r="B278" s="1" t="s">
        <v>877</v>
      </c>
      <c r="H278" s="1" t="s">
        <v>738</v>
      </c>
      <c r="I278" s="1"/>
      <c r="J278" s="1"/>
      <c r="K278" s="1"/>
      <c r="L278" s="1"/>
      <c r="M278" s="1"/>
      <c r="N278" s="1"/>
      <c r="O278" s="1"/>
      <c r="P278" s="1"/>
      <c r="Q278" s="1"/>
      <c r="R278" s="1"/>
      <c r="T278" s="1"/>
      <c r="U278" s="1"/>
      <c r="V278" s="1"/>
      <c r="W278" s="1"/>
      <c r="X278" s="1"/>
      <c r="Y278" s="1"/>
      <c r="Z278" s="1"/>
      <c r="AB278" s="1"/>
      <c r="AC278" s="1"/>
      <c r="AD278" s="1"/>
      <c r="AE278" s="1"/>
      <c r="AF278" s="1"/>
      <c r="AG278" s="1"/>
      <c r="AH278" s="1"/>
      <c r="AI278" s="1"/>
      <c r="AL278" s="1"/>
      <c r="AN278" s="1"/>
      <c r="AO278" s="1"/>
      <c r="AP278" s="1"/>
      <c r="AQ278" s="1"/>
      <c r="AR278" s="1"/>
      <c r="AS278" s="1"/>
      <c r="AT278" s="1"/>
      <c r="AU278" s="1"/>
      <c r="AV278" s="1"/>
    </row>
    <row r="279" spans="2:48" x14ac:dyDescent="0.3">
      <c r="B279" s="1" t="s">
        <v>878</v>
      </c>
      <c r="H279" s="1" t="s">
        <v>738</v>
      </c>
      <c r="I279" s="1"/>
      <c r="J279" s="1"/>
      <c r="K279" s="1"/>
      <c r="L279" s="1"/>
      <c r="M279" s="1"/>
      <c r="N279" s="1"/>
      <c r="O279" s="1"/>
      <c r="P279" s="1"/>
      <c r="Q279" s="1"/>
      <c r="R279" s="1"/>
      <c r="T279" s="1"/>
      <c r="U279" s="1"/>
      <c r="V279" s="1"/>
      <c r="W279" s="1"/>
      <c r="X279" s="1"/>
      <c r="Y279" s="1"/>
      <c r="Z279" s="1"/>
      <c r="AB279" s="1"/>
      <c r="AC279" s="1"/>
      <c r="AD279" s="1"/>
      <c r="AE279" s="1"/>
      <c r="AF279" s="1"/>
      <c r="AG279" s="1"/>
      <c r="AH279" s="1"/>
      <c r="AI279" s="1"/>
      <c r="AL279" s="1"/>
      <c r="AN279" s="1"/>
      <c r="AO279" s="1"/>
      <c r="AP279" s="1"/>
      <c r="AQ279" s="1"/>
      <c r="AR279" s="1"/>
      <c r="AS279" s="1"/>
      <c r="AT279" s="1"/>
      <c r="AU279" s="1"/>
      <c r="AV279" s="1"/>
    </row>
    <row r="280" spans="2:48" x14ac:dyDescent="0.3">
      <c r="B280" s="1" t="s">
        <v>879</v>
      </c>
      <c r="H280" s="1" t="s">
        <v>738</v>
      </c>
      <c r="I280" s="1"/>
      <c r="J280" s="1"/>
      <c r="K280" s="1"/>
      <c r="L280" s="1"/>
      <c r="M280" s="1"/>
      <c r="N280" s="1"/>
      <c r="O280" s="1"/>
      <c r="P280" s="1"/>
      <c r="Q280" s="1"/>
      <c r="R280" s="1"/>
      <c r="T280" s="1"/>
      <c r="U280" s="1"/>
      <c r="V280" s="1"/>
      <c r="W280" s="1"/>
      <c r="X280" s="1"/>
      <c r="Y280" s="1"/>
      <c r="Z280" s="1"/>
      <c r="AB280" s="1"/>
      <c r="AC280" s="1"/>
      <c r="AD280" s="1"/>
      <c r="AE280" s="1"/>
      <c r="AF280" s="1"/>
      <c r="AG280" s="1"/>
      <c r="AH280" s="1"/>
      <c r="AI280" s="1"/>
      <c r="AL280" s="1"/>
      <c r="AN280" s="1"/>
      <c r="AO280" s="1"/>
      <c r="AP280" s="1"/>
      <c r="AQ280" s="1"/>
      <c r="AR280" s="1"/>
      <c r="AS280" s="1"/>
      <c r="AT280" s="1"/>
      <c r="AU280" s="1"/>
      <c r="AV280" s="1"/>
    </row>
    <row r="281" spans="2:48" x14ac:dyDescent="0.3">
      <c r="B281" s="1" t="s">
        <v>880</v>
      </c>
      <c r="H281" s="1" t="s">
        <v>738</v>
      </c>
      <c r="I281" s="1"/>
      <c r="J281" s="1"/>
      <c r="K281" s="1"/>
      <c r="L281" s="1"/>
      <c r="M281" s="1"/>
      <c r="N281" s="1"/>
      <c r="O281" s="1"/>
      <c r="P281" s="1"/>
      <c r="Q281" s="1"/>
      <c r="R281" s="1"/>
      <c r="T281" s="1"/>
      <c r="U281" s="1"/>
      <c r="V281" s="1"/>
      <c r="W281" s="1"/>
      <c r="X281" s="1"/>
      <c r="Y281" s="1"/>
      <c r="Z281" s="1"/>
      <c r="AB281" s="1"/>
      <c r="AC281" s="1"/>
      <c r="AD281" s="1"/>
      <c r="AE281" s="1"/>
      <c r="AF281" s="1"/>
      <c r="AG281" s="1"/>
      <c r="AH281" s="1"/>
      <c r="AI281" s="1"/>
      <c r="AL281" s="1"/>
      <c r="AN281" s="1"/>
      <c r="AO281" s="1"/>
      <c r="AP281" s="1"/>
      <c r="AQ281" s="1"/>
      <c r="AR281" s="1"/>
      <c r="AS281" s="1"/>
      <c r="AT281" s="1"/>
      <c r="AU281" s="1"/>
      <c r="AV281" s="1"/>
    </row>
    <row r="282" spans="2:48" x14ac:dyDescent="0.3">
      <c r="B282" s="1" t="s">
        <v>881</v>
      </c>
      <c r="H282" s="1" t="s">
        <v>738</v>
      </c>
      <c r="I282" s="1"/>
      <c r="J282" s="1"/>
      <c r="K282" s="1"/>
      <c r="L282" s="1"/>
      <c r="M282" s="1"/>
      <c r="N282" s="1"/>
      <c r="O282" s="1"/>
      <c r="P282" s="1"/>
      <c r="Q282" s="1"/>
      <c r="R282" s="1"/>
      <c r="T282" s="1"/>
      <c r="U282" s="1"/>
      <c r="V282" s="1"/>
      <c r="W282" s="1"/>
      <c r="X282" s="1"/>
      <c r="Y282" s="1"/>
      <c r="Z282" s="1"/>
      <c r="AB282" s="1"/>
      <c r="AC282" s="1"/>
      <c r="AD282" s="1"/>
      <c r="AE282" s="1"/>
      <c r="AF282" s="1"/>
      <c r="AG282" s="1"/>
      <c r="AH282" s="1"/>
      <c r="AI282" s="1"/>
      <c r="AL282" s="1"/>
      <c r="AN282" s="1"/>
      <c r="AO282" s="1"/>
      <c r="AP282" s="1"/>
      <c r="AQ282" s="1"/>
      <c r="AR282" s="1"/>
      <c r="AS282" s="1"/>
      <c r="AT282" s="1"/>
      <c r="AU282" s="1"/>
      <c r="AV282" s="1"/>
    </row>
    <row r="283" spans="2:48" x14ac:dyDescent="0.3">
      <c r="B283" s="1" t="s">
        <v>882</v>
      </c>
      <c r="H283" s="1" t="s">
        <v>738</v>
      </c>
      <c r="I283" s="1"/>
      <c r="J283" s="1"/>
      <c r="K283" s="1"/>
      <c r="L283" s="1"/>
      <c r="M283" s="1"/>
      <c r="N283" s="1"/>
      <c r="O283" s="1"/>
      <c r="P283" s="1"/>
      <c r="Q283" s="1"/>
      <c r="R283" s="1"/>
      <c r="T283" s="1"/>
      <c r="U283" s="1"/>
      <c r="V283" s="1"/>
      <c r="W283" s="1"/>
      <c r="X283" s="1"/>
      <c r="Y283" s="1"/>
      <c r="Z283" s="1"/>
      <c r="AB283" s="1"/>
      <c r="AC283" s="1"/>
      <c r="AD283" s="1"/>
      <c r="AE283" s="1"/>
      <c r="AF283" s="1"/>
      <c r="AG283" s="1"/>
      <c r="AH283" s="1"/>
      <c r="AI283" s="1"/>
      <c r="AL283" s="1"/>
      <c r="AN283" s="1"/>
      <c r="AO283" s="1"/>
      <c r="AP283" s="1"/>
      <c r="AQ283" s="1"/>
      <c r="AR283" s="1"/>
      <c r="AS283" s="1"/>
      <c r="AT283" s="1"/>
      <c r="AU283" s="1"/>
      <c r="AV283" s="1"/>
    </row>
    <row r="284" spans="2:48" x14ac:dyDescent="0.3">
      <c r="B284" s="1" t="s">
        <v>883</v>
      </c>
      <c r="H284" s="1" t="s">
        <v>738</v>
      </c>
      <c r="I284" s="1"/>
      <c r="J284" s="1"/>
      <c r="K284" s="1"/>
      <c r="L284" s="1"/>
      <c r="M284" s="1"/>
      <c r="N284" s="1"/>
      <c r="O284" s="1"/>
      <c r="P284" s="1"/>
      <c r="Q284" s="1"/>
      <c r="R284" s="1"/>
      <c r="T284" s="1"/>
      <c r="U284" s="1"/>
      <c r="V284" s="1"/>
      <c r="W284" s="1"/>
      <c r="X284" s="1"/>
      <c r="Y284" s="1"/>
      <c r="Z284" s="1"/>
      <c r="AB284" s="1"/>
      <c r="AC284" s="1"/>
      <c r="AD284" s="1"/>
      <c r="AE284" s="1"/>
      <c r="AF284" s="1"/>
      <c r="AG284" s="1"/>
      <c r="AH284" s="1"/>
      <c r="AI284" s="1"/>
      <c r="AL284" s="1"/>
      <c r="AN284" s="1"/>
      <c r="AO284" s="1"/>
      <c r="AP284" s="1"/>
      <c r="AQ284" s="1"/>
      <c r="AR284" s="1"/>
      <c r="AS284" s="1"/>
      <c r="AT284" s="1"/>
      <c r="AU284" s="1"/>
      <c r="AV284" s="1"/>
    </row>
    <row r="285" spans="2:48" x14ac:dyDescent="0.3">
      <c r="B285" s="1" t="s">
        <v>884</v>
      </c>
      <c r="H285" s="1" t="s">
        <v>738</v>
      </c>
      <c r="I285" s="1"/>
      <c r="J285" s="1"/>
      <c r="K285" s="1"/>
      <c r="L285" s="1"/>
      <c r="M285" s="1"/>
      <c r="N285" s="1"/>
      <c r="O285" s="1"/>
      <c r="P285" s="1"/>
      <c r="Q285" s="1"/>
      <c r="R285" s="1"/>
      <c r="T285" s="1"/>
      <c r="U285" s="1"/>
      <c r="V285" s="1"/>
      <c r="W285" s="1"/>
      <c r="X285" s="1"/>
      <c r="Y285" s="1"/>
      <c r="Z285" s="1"/>
      <c r="AB285" s="1"/>
      <c r="AC285" s="1"/>
      <c r="AD285" s="1"/>
      <c r="AE285" s="1"/>
      <c r="AF285" s="1"/>
      <c r="AG285" s="1"/>
      <c r="AH285" s="1"/>
      <c r="AI285" s="1"/>
      <c r="AL285" s="1"/>
      <c r="AN285" s="1"/>
      <c r="AO285" s="1"/>
      <c r="AP285" s="1"/>
      <c r="AQ285" s="1"/>
      <c r="AR285" s="1"/>
      <c r="AS285" s="1"/>
      <c r="AT285" s="1"/>
      <c r="AU285" s="1"/>
      <c r="AV285" s="1"/>
    </row>
    <row r="286" spans="2:48" x14ac:dyDescent="0.3">
      <c r="B286" s="1" t="s">
        <v>885</v>
      </c>
      <c r="H286" s="1" t="s">
        <v>738</v>
      </c>
      <c r="I286" s="1"/>
      <c r="J286" s="1"/>
      <c r="K286" s="1"/>
      <c r="L286" s="1"/>
      <c r="M286" s="1"/>
      <c r="N286" s="1"/>
      <c r="O286" s="1"/>
      <c r="P286" s="1"/>
      <c r="Q286" s="1"/>
      <c r="R286" s="1"/>
      <c r="T286" s="1"/>
      <c r="U286" s="1"/>
      <c r="V286" s="1"/>
      <c r="W286" s="1"/>
      <c r="X286" s="1"/>
      <c r="Y286" s="1"/>
      <c r="Z286" s="1"/>
      <c r="AB286" s="1"/>
      <c r="AC286" s="1"/>
      <c r="AD286" s="1"/>
      <c r="AE286" s="1"/>
      <c r="AF286" s="1"/>
      <c r="AG286" s="1"/>
      <c r="AH286" s="1"/>
      <c r="AI286" s="1"/>
      <c r="AL286" s="1"/>
      <c r="AN286" s="1"/>
      <c r="AO286" s="1"/>
      <c r="AP286" s="1"/>
      <c r="AQ286" s="1"/>
      <c r="AR286" s="1"/>
      <c r="AS286" s="1"/>
      <c r="AT286" s="1"/>
      <c r="AU286" s="1"/>
      <c r="AV286" s="1"/>
    </row>
    <row r="287" spans="2:48" x14ac:dyDescent="0.3">
      <c r="B287" s="1" t="s">
        <v>886</v>
      </c>
      <c r="H287" s="1" t="s">
        <v>738</v>
      </c>
      <c r="I287" s="1"/>
      <c r="J287" s="1"/>
      <c r="K287" s="1"/>
      <c r="L287" s="1"/>
      <c r="M287" s="1"/>
      <c r="N287" s="1"/>
      <c r="O287" s="1"/>
      <c r="P287" s="1"/>
      <c r="Q287" s="1"/>
      <c r="R287" s="1"/>
      <c r="T287" s="1"/>
      <c r="U287" s="1"/>
      <c r="V287" s="1"/>
      <c r="W287" s="1"/>
      <c r="X287" s="1"/>
      <c r="Y287" s="1"/>
      <c r="Z287" s="1"/>
      <c r="AB287" s="1"/>
      <c r="AC287" s="1"/>
      <c r="AD287" s="1"/>
      <c r="AE287" s="1"/>
      <c r="AF287" s="1"/>
      <c r="AG287" s="1"/>
      <c r="AH287" s="1"/>
      <c r="AI287" s="1"/>
      <c r="AL287" s="1"/>
      <c r="AN287" s="1"/>
      <c r="AO287" s="1"/>
      <c r="AP287" s="1"/>
      <c r="AQ287" s="1"/>
      <c r="AR287" s="1"/>
      <c r="AS287" s="1"/>
      <c r="AT287" s="1"/>
      <c r="AU287" s="1"/>
      <c r="AV287" s="1"/>
    </row>
    <row r="288" spans="2:48" x14ac:dyDescent="0.3">
      <c r="B288" s="1" t="s">
        <v>887</v>
      </c>
      <c r="H288" s="1" t="s">
        <v>738</v>
      </c>
      <c r="I288" s="1"/>
      <c r="J288" s="1"/>
      <c r="K288" s="1"/>
      <c r="L288" s="1"/>
      <c r="M288" s="1"/>
      <c r="N288" s="1"/>
      <c r="O288" s="1"/>
      <c r="P288" s="1"/>
      <c r="Q288" s="1"/>
      <c r="R288" s="1"/>
      <c r="T288" s="1"/>
      <c r="U288" s="1"/>
      <c r="V288" s="1"/>
      <c r="W288" s="1"/>
      <c r="X288" s="1"/>
      <c r="Y288" s="1"/>
      <c r="Z288" s="1"/>
      <c r="AB288" s="1"/>
      <c r="AC288" s="1"/>
      <c r="AD288" s="1"/>
      <c r="AE288" s="1"/>
      <c r="AF288" s="1"/>
      <c r="AG288" s="1"/>
      <c r="AH288" s="1"/>
      <c r="AI288" s="1"/>
      <c r="AL288" s="1"/>
      <c r="AN288" s="1"/>
      <c r="AO288" s="1"/>
      <c r="AP288" s="1"/>
      <c r="AQ288" s="1"/>
      <c r="AR288" s="1"/>
      <c r="AS288" s="1"/>
      <c r="AT288" s="1"/>
      <c r="AU288" s="1"/>
      <c r="AV288" s="1"/>
    </row>
    <row r="289" spans="2:48" x14ac:dyDescent="0.3">
      <c r="B289" s="1" t="s">
        <v>888</v>
      </c>
      <c r="H289" s="1" t="s">
        <v>738</v>
      </c>
      <c r="I289" s="1"/>
      <c r="J289" s="1"/>
      <c r="K289" s="1"/>
      <c r="L289" s="1"/>
      <c r="M289" s="1"/>
      <c r="N289" s="1"/>
      <c r="O289" s="1"/>
      <c r="P289" s="1"/>
      <c r="Q289" s="1"/>
      <c r="R289" s="1"/>
      <c r="T289" s="1"/>
      <c r="U289" s="1"/>
      <c r="V289" s="1"/>
      <c r="W289" s="1"/>
      <c r="X289" s="1"/>
      <c r="Y289" s="1"/>
      <c r="Z289" s="1"/>
      <c r="AB289" s="1"/>
      <c r="AC289" s="1"/>
      <c r="AD289" s="1"/>
      <c r="AE289" s="1"/>
      <c r="AF289" s="1"/>
      <c r="AG289" s="1"/>
      <c r="AH289" s="1"/>
      <c r="AI289" s="1"/>
      <c r="AL289" s="1"/>
      <c r="AN289" s="1"/>
      <c r="AO289" s="1"/>
      <c r="AP289" s="1"/>
      <c r="AQ289" s="1"/>
      <c r="AR289" s="1"/>
      <c r="AS289" s="1"/>
      <c r="AT289" s="1"/>
      <c r="AU289" s="1"/>
      <c r="AV289" s="1"/>
    </row>
    <row r="290" spans="2:48" x14ac:dyDescent="0.3">
      <c r="B290" s="1" t="s">
        <v>889</v>
      </c>
      <c r="H290" s="1" t="s">
        <v>738</v>
      </c>
      <c r="I290" s="1"/>
      <c r="J290" s="1"/>
      <c r="K290" s="1"/>
      <c r="L290" s="1"/>
      <c r="M290" s="1"/>
      <c r="N290" s="1"/>
      <c r="O290" s="1"/>
      <c r="P290" s="1"/>
      <c r="Q290" s="1"/>
      <c r="R290" s="1"/>
      <c r="T290" s="1"/>
      <c r="U290" s="1"/>
      <c r="V290" s="1"/>
      <c r="W290" s="1"/>
      <c r="X290" s="1"/>
      <c r="Y290" s="1"/>
      <c r="Z290" s="1"/>
      <c r="AB290" s="1"/>
      <c r="AC290" s="1"/>
      <c r="AD290" s="1"/>
      <c r="AE290" s="1"/>
      <c r="AF290" s="1"/>
      <c r="AG290" s="1"/>
      <c r="AH290" s="1"/>
      <c r="AI290" s="1"/>
      <c r="AL290" s="1"/>
      <c r="AN290" s="1"/>
      <c r="AO290" s="1"/>
      <c r="AP290" s="1"/>
      <c r="AQ290" s="1"/>
      <c r="AR290" s="1"/>
      <c r="AS290" s="1"/>
      <c r="AT290" s="1"/>
      <c r="AU290" s="1"/>
      <c r="AV290" s="1"/>
    </row>
    <row r="291" spans="2:48" x14ac:dyDescent="0.3">
      <c r="B291" s="1" t="s">
        <v>890</v>
      </c>
      <c r="H291" s="1" t="s">
        <v>738</v>
      </c>
      <c r="I291" s="1"/>
      <c r="J291" s="1"/>
      <c r="K291" s="1"/>
      <c r="L291" s="1"/>
      <c r="M291" s="1"/>
      <c r="N291" s="1"/>
      <c r="O291" s="1"/>
      <c r="P291" s="1"/>
      <c r="Q291" s="1"/>
      <c r="R291" s="1"/>
      <c r="T291" s="1"/>
      <c r="U291" s="1"/>
      <c r="V291" s="1"/>
      <c r="W291" s="1"/>
      <c r="X291" s="1"/>
      <c r="Y291" s="1"/>
      <c r="Z291" s="1"/>
      <c r="AB291" s="1"/>
      <c r="AC291" s="1"/>
      <c r="AD291" s="1"/>
      <c r="AE291" s="1"/>
      <c r="AF291" s="1"/>
      <c r="AG291" s="1"/>
      <c r="AH291" s="1"/>
      <c r="AI291" s="1"/>
      <c r="AL291" s="1"/>
      <c r="AN291" s="1"/>
      <c r="AO291" s="1"/>
      <c r="AP291" s="1"/>
      <c r="AQ291" s="1"/>
      <c r="AR291" s="1"/>
      <c r="AS291" s="1"/>
      <c r="AT291" s="1"/>
      <c r="AU291" s="1"/>
      <c r="AV291" s="1"/>
    </row>
    <row r="292" spans="2:48" x14ac:dyDescent="0.3">
      <c r="B292" s="1" t="s">
        <v>891</v>
      </c>
      <c r="H292" s="1" t="s">
        <v>738</v>
      </c>
      <c r="I292" s="1"/>
      <c r="J292" s="1"/>
      <c r="K292" s="1"/>
      <c r="L292" s="1"/>
      <c r="M292" s="1"/>
      <c r="N292" s="1"/>
      <c r="O292" s="1"/>
      <c r="P292" s="1"/>
      <c r="Q292" s="1"/>
      <c r="R292" s="1"/>
      <c r="T292" s="1"/>
      <c r="U292" s="1"/>
      <c r="V292" s="1"/>
      <c r="W292" s="1"/>
      <c r="X292" s="1"/>
      <c r="Y292" s="1"/>
      <c r="Z292" s="1"/>
      <c r="AB292" s="1"/>
      <c r="AC292" s="1"/>
      <c r="AD292" s="1"/>
      <c r="AE292" s="1"/>
      <c r="AF292" s="1"/>
      <c r="AG292" s="1"/>
      <c r="AH292" s="1"/>
      <c r="AI292" s="1"/>
      <c r="AL292" s="1"/>
      <c r="AN292" s="1"/>
      <c r="AO292" s="1"/>
      <c r="AP292" s="1"/>
      <c r="AQ292" s="1"/>
      <c r="AR292" s="1"/>
      <c r="AS292" s="1"/>
      <c r="AT292" s="1"/>
      <c r="AU292" s="1"/>
      <c r="AV292" s="1"/>
    </row>
    <row r="293" spans="2:48" x14ac:dyDescent="0.3">
      <c r="B293" s="1" t="s">
        <v>892</v>
      </c>
      <c r="H293" s="1" t="s">
        <v>738</v>
      </c>
      <c r="I293" s="1"/>
      <c r="J293" s="1"/>
      <c r="K293" s="1"/>
      <c r="L293" s="1"/>
      <c r="M293" s="1"/>
      <c r="N293" s="1"/>
      <c r="O293" s="1"/>
      <c r="P293" s="1"/>
      <c r="Q293" s="1"/>
      <c r="R293" s="1"/>
      <c r="T293" s="1"/>
      <c r="U293" s="1"/>
      <c r="V293" s="1"/>
      <c r="W293" s="1"/>
      <c r="X293" s="1"/>
      <c r="Y293" s="1"/>
      <c r="Z293" s="1"/>
      <c r="AB293" s="1"/>
      <c r="AC293" s="1"/>
      <c r="AD293" s="1"/>
      <c r="AE293" s="1"/>
      <c r="AF293" s="1"/>
      <c r="AG293" s="1"/>
      <c r="AH293" s="1"/>
      <c r="AI293" s="1"/>
      <c r="AL293" s="1"/>
      <c r="AN293" s="1"/>
      <c r="AO293" s="1"/>
      <c r="AP293" s="1"/>
      <c r="AQ293" s="1"/>
      <c r="AR293" s="1"/>
      <c r="AS293" s="1"/>
      <c r="AT293" s="1"/>
      <c r="AU293" s="1"/>
      <c r="AV293" s="1"/>
    </row>
    <row r="294" spans="2:48" x14ac:dyDescent="0.3">
      <c r="B294" s="1" t="s">
        <v>893</v>
      </c>
      <c r="H294" s="1" t="s">
        <v>738</v>
      </c>
      <c r="I294" s="1"/>
      <c r="J294" s="1"/>
      <c r="K294" s="1"/>
      <c r="L294" s="1"/>
      <c r="M294" s="1"/>
      <c r="N294" s="1"/>
      <c r="O294" s="1"/>
      <c r="P294" s="1"/>
      <c r="Q294" s="1"/>
      <c r="R294" s="1"/>
      <c r="T294" s="1"/>
      <c r="U294" s="1"/>
      <c r="V294" s="1"/>
      <c r="W294" s="1"/>
      <c r="X294" s="1"/>
      <c r="Y294" s="1"/>
      <c r="Z294" s="1"/>
      <c r="AB294" s="1"/>
      <c r="AC294" s="1"/>
      <c r="AD294" s="1"/>
      <c r="AE294" s="1"/>
      <c r="AF294" s="1"/>
      <c r="AG294" s="1"/>
      <c r="AH294" s="1"/>
      <c r="AI294" s="1"/>
      <c r="AL294" s="1"/>
      <c r="AN294" s="1"/>
      <c r="AO294" s="1"/>
      <c r="AP294" s="1"/>
      <c r="AQ294" s="1"/>
      <c r="AR294" s="1"/>
      <c r="AS294" s="1"/>
      <c r="AT294" s="1"/>
      <c r="AU294" s="1"/>
      <c r="AV294" s="1"/>
    </row>
    <row r="295" spans="2:48" x14ac:dyDescent="0.3">
      <c r="B295" s="1" t="s">
        <v>894</v>
      </c>
      <c r="H295" s="1" t="s">
        <v>738</v>
      </c>
      <c r="I295" s="1"/>
      <c r="J295" s="1"/>
      <c r="K295" s="1"/>
      <c r="L295" s="1"/>
      <c r="M295" s="1"/>
      <c r="N295" s="1"/>
      <c r="O295" s="1"/>
      <c r="P295" s="1"/>
      <c r="Q295" s="1"/>
      <c r="R295" s="1"/>
      <c r="T295" s="1"/>
      <c r="U295" s="1"/>
      <c r="V295" s="1"/>
      <c r="W295" s="1"/>
      <c r="X295" s="1"/>
      <c r="Y295" s="1"/>
      <c r="Z295" s="1"/>
      <c r="AB295" s="1"/>
      <c r="AC295" s="1"/>
      <c r="AD295" s="1"/>
      <c r="AE295" s="1"/>
      <c r="AF295" s="1"/>
      <c r="AG295" s="1"/>
      <c r="AH295" s="1"/>
      <c r="AI295" s="1"/>
      <c r="AL295" s="1"/>
      <c r="AN295" s="1"/>
      <c r="AO295" s="1"/>
      <c r="AP295" s="1"/>
      <c r="AQ295" s="1"/>
      <c r="AR295" s="1"/>
      <c r="AS295" s="1"/>
      <c r="AT295" s="1"/>
      <c r="AU295" s="1"/>
      <c r="AV295" s="1"/>
    </row>
    <row r="296" spans="2:48" x14ac:dyDescent="0.3">
      <c r="B296" s="1" t="s">
        <v>895</v>
      </c>
      <c r="H296" s="1" t="s">
        <v>738</v>
      </c>
      <c r="I296" s="1"/>
      <c r="J296" s="1"/>
      <c r="K296" s="1"/>
      <c r="L296" s="1"/>
      <c r="M296" s="1"/>
      <c r="N296" s="1"/>
      <c r="O296" s="1"/>
      <c r="P296" s="1"/>
      <c r="Q296" s="1"/>
      <c r="R296" s="1"/>
      <c r="T296" s="1"/>
      <c r="U296" s="1"/>
      <c r="V296" s="1"/>
      <c r="W296" s="1"/>
      <c r="X296" s="1"/>
      <c r="Y296" s="1"/>
      <c r="Z296" s="1"/>
      <c r="AB296" s="1"/>
      <c r="AC296" s="1"/>
      <c r="AD296" s="1"/>
      <c r="AE296" s="1"/>
      <c r="AF296" s="1"/>
      <c r="AG296" s="1"/>
      <c r="AH296" s="1"/>
      <c r="AI296" s="1"/>
      <c r="AL296" s="1"/>
      <c r="AN296" s="1"/>
      <c r="AO296" s="1"/>
      <c r="AP296" s="1"/>
      <c r="AQ296" s="1"/>
      <c r="AR296" s="1"/>
      <c r="AS296" s="1"/>
      <c r="AT296" s="1"/>
      <c r="AU296" s="1"/>
      <c r="AV296" s="1"/>
    </row>
    <row r="297" spans="2:48" x14ac:dyDescent="0.3">
      <c r="B297" s="1" t="s">
        <v>896</v>
      </c>
      <c r="H297" s="1" t="s">
        <v>738</v>
      </c>
      <c r="I297" s="1"/>
      <c r="J297" s="1"/>
      <c r="K297" s="1"/>
      <c r="L297" s="1"/>
      <c r="M297" s="1"/>
      <c r="N297" s="1"/>
      <c r="O297" s="1"/>
      <c r="P297" s="1"/>
      <c r="Q297" s="1"/>
      <c r="R297" s="1"/>
      <c r="T297" s="1"/>
      <c r="U297" s="1"/>
      <c r="V297" s="1"/>
      <c r="W297" s="1"/>
      <c r="X297" s="1"/>
      <c r="Y297" s="1"/>
      <c r="Z297" s="1"/>
      <c r="AB297" s="1"/>
      <c r="AC297" s="1"/>
      <c r="AD297" s="1"/>
      <c r="AE297" s="1"/>
      <c r="AF297" s="1"/>
      <c r="AG297" s="1"/>
      <c r="AH297" s="1"/>
      <c r="AI297" s="1"/>
      <c r="AL297" s="1"/>
      <c r="AN297" s="1"/>
      <c r="AO297" s="1"/>
      <c r="AP297" s="1"/>
      <c r="AQ297" s="1"/>
      <c r="AR297" s="1"/>
      <c r="AS297" s="1"/>
      <c r="AT297" s="1"/>
      <c r="AU297" s="1"/>
      <c r="AV297" s="1"/>
    </row>
    <row r="298" spans="2:48" x14ac:dyDescent="0.3">
      <c r="B298" s="1" t="s">
        <v>897</v>
      </c>
      <c r="H298" s="1" t="s">
        <v>738</v>
      </c>
      <c r="I298" s="1"/>
      <c r="J298" s="1"/>
      <c r="K298" s="1"/>
      <c r="L298" s="1"/>
      <c r="M298" s="1"/>
      <c r="N298" s="1"/>
      <c r="O298" s="1"/>
      <c r="P298" s="1"/>
      <c r="Q298" s="1"/>
      <c r="R298" s="1"/>
      <c r="T298" s="1"/>
      <c r="U298" s="1"/>
      <c r="V298" s="1"/>
      <c r="W298" s="1"/>
      <c r="X298" s="1"/>
      <c r="Y298" s="1"/>
      <c r="Z298" s="1"/>
      <c r="AB298" s="1"/>
      <c r="AC298" s="1"/>
      <c r="AD298" s="1"/>
      <c r="AE298" s="1"/>
      <c r="AF298" s="1"/>
      <c r="AG298" s="1"/>
      <c r="AH298" s="1"/>
      <c r="AI298" s="1"/>
      <c r="AL298" s="1"/>
      <c r="AN298" s="1"/>
      <c r="AO298" s="1"/>
      <c r="AP298" s="1"/>
      <c r="AQ298" s="1"/>
      <c r="AR298" s="1"/>
      <c r="AS298" s="1"/>
      <c r="AT298" s="1"/>
      <c r="AU298" s="1"/>
      <c r="AV298" s="1"/>
    </row>
    <row r="299" spans="2:48" x14ac:dyDescent="0.3">
      <c r="B299" s="1" t="s">
        <v>898</v>
      </c>
      <c r="H299" s="1" t="s">
        <v>738</v>
      </c>
      <c r="I299" s="1"/>
      <c r="J299" s="1"/>
      <c r="K299" s="1"/>
      <c r="L299" s="1"/>
      <c r="M299" s="1"/>
      <c r="N299" s="1"/>
      <c r="O299" s="1"/>
      <c r="P299" s="1"/>
      <c r="Q299" s="1"/>
      <c r="R299" s="1"/>
      <c r="T299" s="1"/>
      <c r="U299" s="1"/>
      <c r="V299" s="1"/>
      <c r="W299" s="1"/>
      <c r="X299" s="1"/>
      <c r="Y299" s="1"/>
      <c r="Z299" s="1"/>
      <c r="AB299" s="1"/>
      <c r="AC299" s="1"/>
      <c r="AD299" s="1"/>
      <c r="AE299" s="1"/>
      <c r="AF299" s="1"/>
      <c r="AG299" s="1"/>
      <c r="AH299" s="1"/>
      <c r="AI299" s="1"/>
      <c r="AL299" s="1"/>
      <c r="AN299" s="1"/>
      <c r="AO299" s="1"/>
      <c r="AP299" s="1"/>
      <c r="AQ299" s="1"/>
      <c r="AR299" s="1"/>
      <c r="AS299" s="1"/>
      <c r="AT299" s="1"/>
      <c r="AU299" s="1"/>
      <c r="AV299" s="1"/>
    </row>
    <row r="300" spans="2:48" x14ac:dyDescent="0.3">
      <c r="B300" s="1" t="s">
        <v>899</v>
      </c>
      <c r="H300" s="1" t="s">
        <v>738</v>
      </c>
      <c r="I300" s="1"/>
      <c r="J300" s="1"/>
      <c r="K300" s="1"/>
      <c r="L300" s="1"/>
      <c r="M300" s="1"/>
      <c r="N300" s="1"/>
      <c r="O300" s="1"/>
      <c r="P300" s="1"/>
      <c r="Q300" s="1"/>
      <c r="R300" s="1"/>
      <c r="T300" s="1"/>
      <c r="U300" s="1"/>
      <c r="V300" s="1"/>
      <c r="W300" s="1"/>
      <c r="X300" s="1"/>
      <c r="Y300" s="1"/>
      <c r="Z300" s="1"/>
      <c r="AB300" s="1"/>
      <c r="AC300" s="1"/>
      <c r="AD300" s="1"/>
      <c r="AE300" s="1"/>
      <c r="AF300" s="1"/>
      <c r="AG300" s="1"/>
      <c r="AH300" s="1"/>
      <c r="AI300" s="1"/>
      <c r="AL300" s="1"/>
      <c r="AN300" s="1"/>
      <c r="AO300" s="1"/>
      <c r="AP300" s="1"/>
      <c r="AQ300" s="1"/>
      <c r="AR300" s="1"/>
      <c r="AS300" s="1"/>
      <c r="AT300" s="1"/>
      <c r="AU300" s="1"/>
      <c r="AV300" s="1"/>
    </row>
    <row r="301" spans="2:48" x14ac:dyDescent="0.3">
      <c r="B301" s="1" t="s">
        <v>900</v>
      </c>
      <c r="H301" s="1" t="s">
        <v>738</v>
      </c>
      <c r="I301" s="1"/>
      <c r="J301" s="1"/>
      <c r="K301" s="1"/>
      <c r="L301" s="1"/>
      <c r="M301" s="1"/>
      <c r="N301" s="1"/>
      <c r="O301" s="1"/>
      <c r="P301" s="1"/>
      <c r="Q301" s="1"/>
      <c r="R301" s="1"/>
      <c r="T301" s="1"/>
      <c r="U301" s="1"/>
      <c r="V301" s="1"/>
      <c r="W301" s="1"/>
      <c r="X301" s="1"/>
      <c r="Y301" s="1"/>
      <c r="Z301" s="1"/>
      <c r="AB301" s="1"/>
      <c r="AC301" s="1"/>
      <c r="AD301" s="1"/>
      <c r="AE301" s="1"/>
      <c r="AF301" s="1"/>
      <c r="AG301" s="1"/>
      <c r="AH301" s="1"/>
      <c r="AI301" s="1"/>
      <c r="AL301" s="1"/>
      <c r="AN301" s="1"/>
      <c r="AO301" s="1"/>
      <c r="AP301" s="1"/>
      <c r="AQ301" s="1"/>
      <c r="AR301" s="1"/>
      <c r="AS301" s="1"/>
      <c r="AT301" s="1"/>
      <c r="AU301" s="1"/>
      <c r="AV301" s="1"/>
    </row>
    <row r="302" spans="2:48" x14ac:dyDescent="0.3">
      <c r="B302" s="1" t="s">
        <v>901</v>
      </c>
      <c r="H302" s="1" t="s">
        <v>738</v>
      </c>
      <c r="I302" s="1"/>
      <c r="J302" s="1"/>
      <c r="K302" s="1"/>
      <c r="L302" s="1"/>
      <c r="M302" s="1"/>
      <c r="N302" s="1"/>
      <c r="O302" s="1"/>
      <c r="P302" s="1"/>
      <c r="Q302" s="1"/>
      <c r="R302" s="1"/>
      <c r="T302" s="1"/>
      <c r="U302" s="1"/>
      <c r="V302" s="1"/>
      <c r="W302" s="1"/>
      <c r="X302" s="1"/>
      <c r="Y302" s="1"/>
      <c r="Z302" s="1"/>
      <c r="AB302" s="1"/>
      <c r="AC302" s="1"/>
      <c r="AD302" s="1"/>
      <c r="AE302" s="1"/>
      <c r="AF302" s="1"/>
      <c r="AG302" s="1"/>
      <c r="AH302" s="1"/>
      <c r="AI302" s="1"/>
      <c r="AL302" s="1"/>
      <c r="AN302" s="1"/>
      <c r="AO302" s="1"/>
      <c r="AP302" s="1"/>
      <c r="AQ302" s="1"/>
      <c r="AR302" s="1"/>
      <c r="AS302" s="1"/>
      <c r="AT302" s="1"/>
      <c r="AU302" s="1"/>
      <c r="AV302" s="1"/>
    </row>
    <row r="303" spans="2:48" x14ac:dyDescent="0.3">
      <c r="B303" s="1" t="s">
        <v>902</v>
      </c>
      <c r="H303" s="1" t="s">
        <v>738</v>
      </c>
      <c r="I303" s="1"/>
      <c r="J303" s="1"/>
      <c r="K303" s="1"/>
      <c r="L303" s="1"/>
      <c r="M303" s="1"/>
      <c r="N303" s="1"/>
      <c r="O303" s="1"/>
      <c r="P303" s="1"/>
      <c r="Q303" s="1"/>
      <c r="R303" s="1"/>
      <c r="T303" s="1"/>
      <c r="U303" s="1"/>
      <c r="V303" s="1"/>
      <c r="W303" s="1"/>
      <c r="X303" s="1"/>
      <c r="Y303" s="1"/>
      <c r="Z303" s="1"/>
      <c r="AB303" s="1"/>
      <c r="AC303" s="1"/>
      <c r="AD303" s="1"/>
      <c r="AE303" s="1"/>
      <c r="AF303" s="1"/>
      <c r="AG303" s="1"/>
      <c r="AH303" s="1"/>
      <c r="AI303" s="1"/>
      <c r="AL303" s="1"/>
      <c r="AN303" s="1"/>
      <c r="AO303" s="1"/>
      <c r="AP303" s="1"/>
      <c r="AQ303" s="1"/>
      <c r="AR303" s="1"/>
      <c r="AS303" s="1"/>
      <c r="AT303" s="1"/>
      <c r="AU303" s="1"/>
      <c r="AV303" s="1"/>
    </row>
    <row r="304" spans="2:48" x14ac:dyDescent="0.3">
      <c r="B304" s="1" t="s">
        <v>903</v>
      </c>
      <c r="H304" s="1" t="s">
        <v>738</v>
      </c>
      <c r="I304" s="1"/>
      <c r="J304" s="1"/>
      <c r="K304" s="1"/>
      <c r="L304" s="1"/>
      <c r="M304" s="1"/>
      <c r="N304" s="1"/>
      <c r="O304" s="1"/>
      <c r="P304" s="1"/>
      <c r="Q304" s="1"/>
      <c r="R304" s="1"/>
      <c r="T304" s="1"/>
      <c r="U304" s="1"/>
      <c r="V304" s="1"/>
      <c r="W304" s="1"/>
      <c r="X304" s="1"/>
      <c r="Y304" s="1"/>
      <c r="Z304" s="1"/>
      <c r="AB304" s="1"/>
      <c r="AC304" s="1"/>
      <c r="AD304" s="1"/>
      <c r="AE304" s="1"/>
      <c r="AF304" s="1"/>
      <c r="AG304" s="1"/>
      <c r="AH304" s="1"/>
      <c r="AI304" s="1"/>
      <c r="AL304" s="1"/>
      <c r="AN304" s="1"/>
      <c r="AO304" s="1"/>
      <c r="AP304" s="1"/>
      <c r="AQ304" s="1"/>
      <c r="AR304" s="1"/>
      <c r="AS304" s="1"/>
      <c r="AT304" s="1"/>
      <c r="AU304" s="1"/>
      <c r="AV304" s="1"/>
    </row>
    <row r="305" spans="2:48" x14ac:dyDescent="0.3">
      <c r="B305" s="1" t="s">
        <v>904</v>
      </c>
      <c r="H305" s="1" t="s">
        <v>738</v>
      </c>
      <c r="I305" s="1"/>
      <c r="J305" s="1"/>
      <c r="K305" s="1"/>
      <c r="L305" s="1"/>
      <c r="M305" s="1"/>
      <c r="N305" s="1"/>
      <c r="O305" s="1"/>
      <c r="P305" s="1"/>
      <c r="Q305" s="1"/>
      <c r="R305" s="1"/>
      <c r="T305" s="1"/>
      <c r="U305" s="1"/>
      <c r="V305" s="1"/>
      <c r="W305" s="1"/>
      <c r="X305" s="1"/>
      <c r="Y305" s="1"/>
      <c r="Z305" s="1"/>
      <c r="AB305" s="1"/>
      <c r="AC305" s="1"/>
      <c r="AD305" s="1"/>
      <c r="AE305" s="1"/>
      <c r="AF305" s="1"/>
      <c r="AG305" s="1"/>
      <c r="AH305" s="1"/>
      <c r="AI305" s="1"/>
      <c r="AL305" s="1"/>
      <c r="AN305" s="1"/>
      <c r="AO305" s="1"/>
      <c r="AP305" s="1"/>
      <c r="AQ305" s="1"/>
      <c r="AR305" s="1"/>
      <c r="AS305" s="1"/>
      <c r="AT305" s="1"/>
      <c r="AU305" s="1"/>
      <c r="AV305" s="1"/>
    </row>
    <row r="306" spans="2:48" x14ac:dyDescent="0.3">
      <c r="B306" s="1" t="s">
        <v>905</v>
      </c>
      <c r="H306" s="1" t="s">
        <v>738</v>
      </c>
      <c r="I306" s="1"/>
      <c r="J306" s="1"/>
      <c r="K306" s="1"/>
      <c r="L306" s="1"/>
      <c r="M306" s="1"/>
      <c r="N306" s="1"/>
      <c r="O306" s="1"/>
      <c r="P306" s="1"/>
      <c r="Q306" s="1"/>
      <c r="R306" s="1"/>
      <c r="T306" s="1"/>
      <c r="U306" s="1"/>
      <c r="V306" s="1"/>
      <c r="W306" s="1"/>
      <c r="X306" s="1"/>
      <c r="Y306" s="1"/>
      <c r="Z306" s="1"/>
      <c r="AB306" s="1"/>
      <c r="AC306" s="1"/>
      <c r="AD306" s="1"/>
      <c r="AE306" s="1"/>
      <c r="AF306" s="1"/>
      <c r="AG306" s="1"/>
      <c r="AH306" s="1"/>
      <c r="AI306" s="1"/>
      <c r="AL306" s="1"/>
      <c r="AN306" s="1"/>
      <c r="AO306" s="1"/>
      <c r="AP306" s="1"/>
      <c r="AQ306" s="1"/>
      <c r="AR306" s="1"/>
      <c r="AS306" s="1"/>
      <c r="AT306" s="1"/>
      <c r="AU306" s="1"/>
      <c r="AV306" s="1"/>
    </row>
    <row r="307" spans="2:48" x14ac:dyDescent="0.3">
      <c r="B307" s="1" t="s">
        <v>906</v>
      </c>
      <c r="H307" s="1" t="s">
        <v>738</v>
      </c>
      <c r="I307" s="1"/>
      <c r="J307" s="1"/>
      <c r="K307" s="1"/>
      <c r="L307" s="1"/>
      <c r="M307" s="1"/>
      <c r="N307" s="1"/>
      <c r="O307" s="1"/>
      <c r="P307" s="1"/>
      <c r="Q307" s="1"/>
      <c r="R307" s="1"/>
      <c r="T307" s="1"/>
      <c r="U307" s="1"/>
      <c r="V307" s="1"/>
      <c r="W307" s="1"/>
      <c r="X307" s="1"/>
      <c r="Y307" s="1"/>
      <c r="Z307" s="1"/>
      <c r="AB307" s="1"/>
      <c r="AC307" s="1"/>
      <c r="AD307" s="1"/>
      <c r="AE307" s="1"/>
      <c r="AF307" s="1"/>
      <c r="AG307" s="1"/>
      <c r="AH307" s="1"/>
      <c r="AI307" s="1"/>
      <c r="AL307" s="1"/>
      <c r="AN307" s="1"/>
      <c r="AO307" s="1"/>
      <c r="AP307" s="1"/>
      <c r="AQ307" s="1"/>
      <c r="AR307" s="1"/>
      <c r="AS307" s="1"/>
      <c r="AT307" s="1"/>
      <c r="AU307" s="1"/>
      <c r="AV307" s="1"/>
    </row>
    <row r="308" spans="2:48" x14ac:dyDescent="0.3">
      <c r="B308" s="1" t="s">
        <v>907</v>
      </c>
      <c r="H308" s="1" t="s">
        <v>738</v>
      </c>
      <c r="I308" s="1"/>
      <c r="J308" s="1"/>
      <c r="K308" s="1"/>
      <c r="L308" s="1"/>
      <c r="M308" s="1"/>
      <c r="N308" s="1"/>
      <c r="O308" s="1"/>
      <c r="P308" s="1"/>
      <c r="Q308" s="1"/>
      <c r="R308" s="1"/>
      <c r="T308" s="1"/>
      <c r="U308" s="1"/>
      <c r="V308" s="1"/>
      <c r="W308" s="1"/>
      <c r="X308" s="1"/>
      <c r="Y308" s="1"/>
      <c r="Z308" s="1"/>
      <c r="AB308" s="1"/>
      <c r="AC308" s="1"/>
      <c r="AD308" s="1"/>
      <c r="AE308" s="1"/>
      <c r="AF308" s="1"/>
      <c r="AG308" s="1"/>
      <c r="AH308" s="1"/>
      <c r="AI308" s="1"/>
      <c r="AL308" s="1"/>
      <c r="AN308" s="1"/>
      <c r="AO308" s="1"/>
      <c r="AP308" s="1"/>
      <c r="AQ308" s="1"/>
      <c r="AR308" s="1"/>
      <c r="AS308" s="1"/>
      <c r="AT308" s="1"/>
      <c r="AU308" s="1"/>
      <c r="AV308" s="1"/>
    </row>
    <row r="309" spans="2:48" x14ac:dyDescent="0.3">
      <c r="B309" s="1" t="s">
        <v>908</v>
      </c>
      <c r="H309" s="1" t="s">
        <v>738</v>
      </c>
      <c r="I309" s="1"/>
      <c r="J309" s="1"/>
      <c r="K309" s="1"/>
      <c r="L309" s="1"/>
      <c r="M309" s="1"/>
      <c r="N309" s="1"/>
      <c r="O309" s="1"/>
      <c r="P309" s="1"/>
      <c r="Q309" s="1"/>
      <c r="R309" s="1"/>
      <c r="T309" s="1"/>
      <c r="U309" s="1"/>
      <c r="V309" s="1"/>
      <c r="W309" s="1"/>
      <c r="X309" s="1"/>
      <c r="Y309" s="1"/>
      <c r="Z309" s="1"/>
      <c r="AB309" s="1"/>
      <c r="AC309" s="1"/>
      <c r="AD309" s="1"/>
      <c r="AE309" s="1"/>
      <c r="AF309" s="1"/>
      <c r="AG309" s="1"/>
      <c r="AH309" s="1"/>
      <c r="AI309" s="1"/>
      <c r="AL309" s="1"/>
      <c r="AN309" s="1"/>
      <c r="AO309" s="1"/>
      <c r="AP309" s="1"/>
      <c r="AQ309" s="1"/>
      <c r="AR309" s="1"/>
      <c r="AS309" s="1"/>
      <c r="AT309" s="1"/>
      <c r="AU309" s="1"/>
      <c r="AV309" s="1"/>
    </row>
    <row r="310" spans="2:48" x14ac:dyDescent="0.3">
      <c r="B310" s="1" t="s">
        <v>909</v>
      </c>
      <c r="H310" s="1" t="s">
        <v>738</v>
      </c>
      <c r="I310" s="1"/>
      <c r="J310" s="1"/>
      <c r="K310" s="1"/>
      <c r="L310" s="1"/>
      <c r="M310" s="1"/>
      <c r="N310" s="1"/>
      <c r="O310" s="1"/>
      <c r="P310" s="1"/>
      <c r="Q310" s="1"/>
      <c r="R310" s="1"/>
      <c r="T310" s="1"/>
      <c r="U310" s="1"/>
      <c r="V310" s="1"/>
      <c r="W310" s="1"/>
      <c r="X310" s="1"/>
      <c r="Y310" s="1"/>
      <c r="Z310" s="1"/>
      <c r="AB310" s="1"/>
      <c r="AC310" s="1"/>
      <c r="AD310" s="1"/>
      <c r="AE310" s="1"/>
      <c r="AF310" s="1"/>
      <c r="AG310" s="1"/>
      <c r="AH310" s="1"/>
      <c r="AI310" s="1"/>
      <c r="AL310" s="1"/>
      <c r="AN310" s="1"/>
      <c r="AO310" s="1"/>
      <c r="AP310" s="1"/>
      <c r="AQ310" s="1"/>
      <c r="AR310" s="1"/>
      <c r="AS310" s="1"/>
      <c r="AT310" s="1"/>
      <c r="AU310" s="1"/>
      <c r="AV310" s="1"/>
    </row>
    <row r="311" spans="2:48" x14ac:dyDescent="0.3">
      <c r="B311" s="1" t="s">
        <v>910</v>
      </c>
      <c r="H311" s="1" t="s">
        <v>738</v>
      </c>
      <c r="I311" s="1"/>
      <c r="J311" s="1"/>
      <c r="K311" s="1"/>
      <c r="L311" s="1"/>
      <c r="M311" s="1"/>
      <c r="N311" s="1"/>
      <c r="O311" s="1"/>
      <c r="P311" s="1"/>
      <c r="Q311" s="1"/>
      <c r="R311" s="1"/>
      <c r="T311" s="1"/>
      <c r="U311" s="1"/>
      <c r="V311" s="1"/>
      <c r="W311" s="1"/>
      <c r="X311" s="1"/>
      <c r="Y311" s="1"/>
      <c r="Z311" s="1"/>
      <c r="AB311" s="1"/>
      <c r="AC311" s="1"/>
      <c r="AD311" s="1"/>
      <c r="AE311" s="1"/>
      <c r="AF311" s="1"/>
      <c r="AG311" s="1"/>
      <c r="AH311" s="1"/>
      <c r="AI311" s="1"/>
      <c r="AL311" s="1"/>
      <c r="AN311" s="1"/>
      <c r="AO311" s="1"/>
      <c r="AP311" s="1"/>
      <c r="AQ311" s="1"/>
      <c r="AR311" s="1"/>
      <c r="AS311" s="1"/>
      <c r="AT311" s="1"/>
      <c r="AU311" s="1"/>
      <c r="AV311" s="1"/>
    </row>
    <row r="312" spans="2:48" x14ac:dyDescent="0.3">
      <c r="B312" s="1" t="s">
        <v>911</v>
      </c>
      <c r="H312" s="1" t="s">
        <v>738</v>
      </c>
      <c r="I312" s="1"/>
      <c r="J312" s="1"/>
      <c r="K312" s="1"/>
      <c r="L312" s="1"/>
      <c r="M312" s="1"/>
      <c r="N312" s="1"/>
      <c r="O312" s="1"/>
      <c r="P312" s="1"/>
      <c r="Q312" s="1"/>
      <c r="R312" s="1"/>
      <c r="T312" s="1"/>
      <c r="U312" s="1"/>
      <c r="V312" s="1"/>
      <c r="W312" s="1"/>
      <c r="X312" s="1"/>
      <c r="Y312" s="1"/>
      <c r="Z312" s="1"/>
      <c r="AB312" s="1"/>
      <c r="AC312" s="1"/>
      <c r="AD312" s="1"/>
      <c r="AE312" s="1"/>
      <c r="AF312" s="1"/>
      <c r="AG312" s="1"/>
      <c r="AH312" s="1"/>
      <c r="AI312" s="1"/>
      <c r="AL312" s="1"/>
      <c r="AN312" s="1"/>
      <c r="AO312" s="1"/>
      <c r="AP312" s="1"/>
      <c r="AQ312" s="1"/>
      <c r="AR312" s="1"/>
      <c r="AS312" s="1"/>
      <c r="AT312" s="1"/>
      <c r="AU312" s="1"/>
      <c r="AV312" s="1"/>
    </row>
    <row r="313" spans="2:48" x14ac:dyDescent="0.3">
      <c r="B313" s="1" t="s">
        <v>912</v>
      </c>
      <c r="H313" s="1" t="s">
        <v>738</v>
      </c>
      <c r="I313" s="1"/>
      <c r="J313" s="1"/>
      <c r="K313" s="1"/>
      <c r="L313" s="1"/>
      <c r="M313" s="1"/>
      <c r="N313" s="1"/>
      <c r="O313" s="1"/>
      <c r="P313" s="1"/>
      <c r="Q313" s="1"/>
      <c r="R313" s="1"/>
      <c r="T313" s="1"/>
      <c r="U313" s="1"/>
      <c r="V313" s="1"/>
      <c r="W313" s="1"/>
      <c r="X313" s="1"/>
      <c r="Y313" s="1"/>
      <c r="Z313" s="1"/>
      <c r="AB313" s="1"/>
      <c r="AC313" s="1"/>
      <c r="AD313" s="1"/>
      <c r="AE313" s="1"/>
      <c r="AF313" s="1"/>
      <c r="AG313" s="1"/>
      <c r="AH313" s="1"/>
      <c r="AI313" s="1"/>
      <c r="AL313" s="1"/>
      <c r="AN313" s="1"/>
      <c r="AO313" s="1"/>
      <c r="AP313" s="1"/>
      <c r="AQ313" s="1"/>
      <c r="AR313" s="1"/>
      <c r="AS313" s="1"/>
      <c r="AT313" s="1"/>
      <c r="AU313" s="1"/>
      <c r="AV313" s="1"/>
    </row>
    <row r="314" spans="2:48" x14ac:dyDescent="0.3">
      <c r="B314" s="1" t="s">
        <v>913</v>
      </c>
      <c r="H314" s="1" t="s">
        <v>738</v>
      </c>
      <c r="I314" s="1"/>
      <c r="J314" s="1"/>
      <c r="K314" s="1"/>
      <c r="L314" s="1"/>
      <c r="M314" s="1"/>
      <c r="N314" s="1"/>
      <c r="O314" s="1"/>
      <c r="P314" s="1"/>
      <c r="Q314" s="1"/>
      <c r="R314" s="1"/>
      <c r="T314" s="1"/>
      <c r="U314" s="1"/>
      <c r="V314" s="1"/>
      <c r="W314" s="1"/>
      <c r="X314" s="1"/>
      <c r="Y314" s="1"/>
      <c r="Z314" s="1"/>
      <c r="AB314" s="1"/>
      <c r="AC314" s="1"/>
      <c r="AD314" s="1"/>
      <c r="AE314" s="1"/>
      <c r="AF314" s="1"/>
      <c r="AG314" s="1"/>
      <c r="AH314" s="1"/>
      <c r="AI314" s="1"/>
      <c r="AL314" s="1"/>
      <c r="AN314" s="1"/>
      <c r="AO314" s="1"/>
      <c r="AP314" s="1"/>
      <c r="AQ314" s="1"/>
      <c r="AR314" s="1"/>
      <c r="AS314" s="1"/>
      <c r="AT314" s="1"/>
      <c r="AU314" s="1"/>
      <c r="AV314" s="1"/>
    </row>
    <row r="315" spans="2:48" x14ac:dyDescent="0.3">
      <c r="B315" s="1" t="s">
        <v>914</v>
      </c>
      <c r="H315" s="1" t="s">
        <v>738</v>
      </c>
      <c r="I315" s="1"/>
      <c r="J315" s="1"/>
      <c r="K315" s="1"/>
      <c r="L315" s="1"/>
      <c r="M315" s="1"/>
      <c r="N315" s="1"/>
      <c r="O315" s="1"/>
      <c r="P315" s="1"/>
      <c r="Q315" s="1"/>
      <c r="R315" s="1"/>
      <c r="T315" s="1"/>
      <c r="U315" s="1"/>
      <c r="V315" s="1"/>
      <c r="W315" s="1"/>
      <c r="X315" s="1"/>
      <c r="Y315" s="1"/>
      <c r="Z315" s="1"/>
      <c r="AB315" s="1"/>
      <c r="AC315" s="1"/>
      <c r="AD315" s="1"/>
      <c r="AE315" s="1"/>
      <c r="AF315" s="1"/>
      <c r="AG315" s="1"/>
      <c r="AH315" s="1"/>
      <c r="AI315" s="1"/>
      <c r="AL315" s="1"/>
      <c r="AN315" s="1"/>
      <c r="AO315" s="1"/>
      <c r="AP315" s="1"/>
      <c r="AQ315" s="1"/>
      <c r="AR315" s="1"/>
      <c r="AS315" s="1"/>
      <c r="AT315" s="1"/>
      <c r="AU315" s="1"/>
      <c r="AV315" s="1"/>
    </row>
    <row r="316" spans="2:48" x14ac:dyDescent="0.3">
      <c r="B316" s="1" t="s">
        <v>915</v>
      </c>
      <c r="H316" s="1" t="s">
        <v>738</v>
      </c>
      <c r="I316" s="1"/>
      <c r="J316" s="1"/>
      <c r="K316" s="1"/>
      <c r="L316" s="1"/>
      <c r="M316" s="1"/>
      <c r="N316" s="1"/>
      <c r="O316" s="1"/>
      <c r="P316" s="1"/>
      <c r="Q316" s="1"/>
      <c r="R316" s="1"/>
      <c r="T316" s="1"/>
      <c r="U316" s="1"/>
      <c r="V316" s="1"/>
      <c r="W316" s="1"/>
      <c r="X316" s="1"/>
      <c r="Y316" s="1"/>
      <c r="Z316" s="1"/>
      <c r="AB316" s="1"/>
      <c r="AC316" s="1"/>
      <c r="AD316" s="1"/>
      <c r="AE316" s="1"/>
      <c r="AF316" s="1"/>
      <c r="AG316" s="1"/>
      <c r="AH316" s="1"/>
      <c r="AI316" s="1"/>
      <c r="AL316" s="1"/>
      <c r="AN316" s="1"/>
      <c r="AO316" s="1"/>
      <c r="AP316" s="1"/>
      <c r="AQ316" s="1"/>
      <c r="AR316" s="1"/>
      <c r="AS316" s="1"/>
      <c r="AT316" s="1"/>
      <c r="AU316" s="1"/>
      <c r="AV316" s="1"/>
    </row>
    <row r="317" spans="2:48" x14ac:dyDescent="0.3">
      <c r="B317" s="1" t="s">
        <v>916</v>
      </c>
      <c r="H317" s="1" t="s">
        <v>738</v>
      </c>
      <c r="I317" s="1"/>
      <c r="J317" s="1"/>
      <c r="K317" s="1"/>
      <c r="L317" s="1"/>
      <c r="M317" s="1"/>
      <c r="N317" s="1"/>
      <c r="O317" s="1"/>
      <c r="P317" s="1"/>
      <c r="Q317" s="1"/>
      <c r="R317" s="1"/>
      <c r="T317" s="1"/>
      <c r="U317" s="1"/>
      <c r="V317" s="1"/>
      <c r="W317" s="1"/>
      <c r="X317" s="1"/>
      <c r="Y317" s="1"/>
      <c r="Z317" s="1"/>
      <c r="AB317" s="1"/>
      <c r="AC317" s="1"/>
      <c r="AD317" s="1"/>
      <c r="AE317" s="1"/>
      <c r="AF317" s="1"/>
      <c r="AG317" s="1"/>
      <c r="AH317" s="1"/>
      <c r="AI317" s="1"/>
      <c r="AL317" s="1"/>
      <c r="AN317" s="1"/>
      <c r="AO317" s="1"/>
      <c r="AP317" s="1"/>
      <c r="AQ317" s="1"/>
      <c r="AR317" s="1"/>
      <c r="AS317" s="1"/>
      <c r="AT317" s="1"/>
      <c r="AU317" s="1"/>
      <c r="AV317" s="1"/>
    </row>
    <row r="318" spans="2:48" x14ac:dyDescent="0.3">
      <c r="B318" s="1" t="s">
        <v>917</v>
      </c>
      <c r="H318" s="1" t="s">
        <v>738</v>
      </c>
      <c r="I318" s="1"/>
      <c r="J318" s="1"/>
      <c r="K318" s="1"/>
      <c r="L318" s="1"/>
      <c r="M318" s="1"/>
      <c r="N318" s="1"/>
      <c r="O318" s="1"/>
      <c r="P318" s="1"/>
      <c r="Q318" s="1"/>
      <c r="R318" s="1"/>
      <c r="T318" s="1"/>
      <c r="U318" s="1"/>
      <c r="V318" s="1"/>
      <c r="W318" s="1"/>
      <c r="X318" s="1"/>
      <c r="Y318" s="1"/>
      <c r="Z318" s="1"/>
      <c r="AB318" s="1"/>
      <c r="AC318" s="1"/>
      <c r="AD318" s="1"/>
      <c r="AE318" s="1"/>
      <c r="AF318" s="1"/>
      <c r="AG318" s="1"/>
      <c r="AH318" s="1"/>
      <c r="AI318" s="1"/>
      <c r="AL318" s="1"/>
      <c r="AN318" s="1"/>
      <c r="AO318" s="1"/>
      <c r="AP318" s="1"/>
      <c r="AQ318" s="1"/>
      <c r="AR318" s="1"/>
      <c r="AS318" s="1"/>
      <c r="AT318" s="1"/>
      <c r="AU318" s="1"/>
      <c r="AV318" s="1"/>
    </row>
    <row r="319" spans="2:48" x14ac:dyDescent="0.3">
      <c r="B319" s="1" t="s">
        <v>918</v>
      </c>
      <c r="H319" s="1" t="s">
        <v>738</v>
      </c>
      <c r="I319" s="1"/>
      <c r="J319" s="1"/>
      <c r="K319" s="1"/>
      <c r="L319" s="1"/>
      <c r="M319" s="1"/>
      <c r="N319" s="1"/>
      <c r="O319" s="1"/>
      <c r="P319" s="1"/>
      <c r="Q319" s="1"/>
      <c r="R319" s="1"/>
      <c r="T319" s="1"/>
      <c r="U319" s="1"/>
      <c r="V319" s="1"/>
      <c r="W319" s="1"/>
      <c r="X319" s="1"/>
      <c r="Y319" s="1"/>
      <c r="Z319" s="1"/>
      <c r="AB319" s="1"/>
      <c r="AC319" s="1"/>
      <c r="AD319" s="1"/>
      <c r="AE319" s="1"/>
      <c r="AF319" s="1"/>
      <c r="AG319" s="1"/>
      <c r="AH319" s="1"/>
      <c r="AI319" s="1"/>
      <c r="AL319" s="1"/>
      <c r="AN319" s="1"/>
      <c r="AO319" s="1"/>
      <c r="AP319" s="1"/>
      <c r="AQ319" s="1"/>
      <c r="AR319" s="1"/>
      <c r="AS319" s="1"/>
      <c r="AT319" s="1"/>
      <c r="AU319" s="1"/>
      <c r="AV319" s="1"/>
    </row>
    <row r="320" spans="2:48" x14ac:dyDescent="0.3">
      <c r="B320" s="1" t="s">
        <v>919</v>
      </c>
      <c r="H320" s="1" t="s">
        <v>738</v>
      </c>
      <c r="I320" s="1"/>
      <c r="J320" s="1"/>
      <c r="K320" s="1"/>
      <c r="L320" s="1"/>
      <c r="M320" s="1"/>
      <c r="N320" s="1"/>
      <c r="O320" s="1"/>
      <c r="P320" s="1"/>
      <c r="Q320" s="1"/>
      <c r="R320" s="1"/>
      <c r="T320" s="1"/>
      <c r="U320" s="1"/>
      <c r="V320" s="1"/>
      <c r="W320" s="1"/>
      <c r="X320" s="1"/>
      <c r="Y320" s="1"/>
      <c r="Z320" s="1"/>
      <c r="AB320" s="1"/>
      <c r="AC320" s="1"/>
      <c r="AD320" s="1"/>
      <c r="AE320" s="1"/>
      <c r="AF320" s="1"/>
      <c r="AG320" s="1"/>
      <c r="AH320" s="1"/>
      <c r="AI320" s="1"/>
      <c r="AL320" s="1"/>
      <c r="AN320" s="1"/>
      <c r="AO320" s="1"/>
      <c r="AP320" s="1"/>
      <c r="AQ320" s="1"/>
      <c r="AR320" s="1"/>
      <c r="AS320" s="1"/>
      <c r="AT320" s="1"/>
      <c r="AU320" s="1"/>
      <c r="AV320" s="1"/>
    </row>
    <row r="321" spans="2:48" x14ac:dyDescent="0.3">
      <c r="B321" s="1" t="s">
        <v>920</v>
      </c>
      <c r="H321" s="1" t="s">
        <v>738</v>
      </c>
      <c r="I321" s="1"/>
      <c r="J321" s="1"/>
      <c r="K321" s="1"/>
      <c r="L321" s="1"/>
      <c r="M321" s="1"/>
      <c r="N321" s="1"/>
      <c r="O321" s="1"/>
      <c r="P321" s="1"/>
      <c r="Q321" s="1"/>
      <c r="R321" s="1"/>
      <c r="T321" s="1"/>
      <c r="U321" s="1"/>
      <c r="V321" s="1"/>
      <c r="W321" s="1"/>
      <c r="X321" s="1"/>
      <c r="Y321" s="1"/>
      <c r="Z321" s="1"/>
      <c r="AB321" s="1"/>
      <c r="AC321" s="1"/>
      <c r="AD321" s="1"/>
      <c r="AE321" s="1"/>
      <c r="AF321" s="1"/>
      <c r="AG321" s="1"/>
      <c r="AH321" s="1"/>
      <c r="AI321" s="1"/>
      <c r="AL321" s="1"/>
      <c r="AN321" s="1"/>
      <c r="AO321" s="1"/>
      <c r="AP321" s="1"/>
      <c r="AQ321" s="1"/>
      <c r="AR321" s="1"/>
      <c r="AS321" s="1"/>
      <c r="AT321" s="1"/>
      <c r="AU321" s="1"/>
      <c r="AV321" s="1"/>
    </row>
    <row r="322" spans="2:48" x14ac:dyDescent="0.3">
      <c r="B322" s="1" t="s">
        <v>921</v>
      </c>
      <c r="H322" s="1" t="s">
        <v>738</v>
      </c>
      <c r="I322" s="1"/>
      <c r="J322" s="1"/>
      <c r="K322" s="1"/>
      <c r="L322" s="1"/>
      <c r="M322" s="1"/>
      <c r="N322" s="1"/>
      <c r="O322" s="1"/>
      <c r="P322" s="1"/>
      <c r="Q322" s="1"/>
      <c r="R322" s="1"/>
      <c r="T322" s="1"/>
      <c r="U322" s="1"/>
      <c r="V322" s="1"/>
      <c r="W322" s="1"/>
      <c r="X322" s="1"/>
      <c r="Y322" s="1"/>
      <c r="Z322" s="1"/>
      <c r="AB322" s="1"/>
      <c r="AC322" s="1"/>
      <c r="AD322" s="1"/>
      <c r="AE322" s="1"/>
      <c r="AF322" s="1"/>
      <c r="AG322" s="1"/>
      <c r="AH322" s="1"/>
      <c r="AI322" s="1"/>
      <c r="AL322" s="1"/>
      <c r="AN322" s="1"/>
      <c r="AO322" s="1"/>
      <c r="AP322" s="1"/>
      <c r="AQ322" s="1"/>
      <c r="AR322" s="1"/>
      <c r="AS322" s="1"/>
      <c r="AT322" s="1"/>
      <c r="AU322" s="1"/>
      <c r="AV322" s="1"/>
    </row>
    <row r="323" spans="2:48" x14ac:dyDescent="0.3">
      <c r="B323" s="1" t="s">
        <v>922</v>
      </c>
      <c r="H323" s="1" t="s">
        <v>738</v>
      </c>
      <c r="I323" s="1"/>
      <c r="J323" s="1"/>
      <c r="K323" s="1"/>
      <c r="L323" s="1"/>
      <c r="M323" s="1"/>
      <c r="N323" s="1"/>
      <c r="O323" s="1"/>
      <c r="P323" s="1"/>
      <c r="Q323" s="1"/>
      <c r="R323" s="1"/>
      <c r="T323" s="1"/>
      <c r="U323" s="1"/>
      <c r="V323" s="1"/>
      <c r="W323" s="1"/>
      <c r="X323" s="1"/>
      <c r="Y323" s="1"/>
      <c r="Z323" s="1"/>
      <c r="AB323" s="1"/>
      <c r="AC323" s="1"/>
      <c r="AD323" s="1"/>
      <c r="AE323" s="1"/>
      <c r="AF323" s="1"/>
      <c r="AG323" s="1"/>
      <c r="AH323" s="1"/>
      <c r="AI323" s="1"/>
      <c r="AL323" s="1"/>
      <c r="AN323" s="1"/>
      <c r="AO323" s="1"/>
      <c r="AP323" s="1"/>
      <c r="AQ323" s="1"/>
      <c r="AR323" s="1"/>
      <c r="AS323" s="1"/>
      <c r="AT323" s="1"/>
      <c r="AU323" s="1"/>
      <c r="AV323" s="1"/>
    </row>
    <row r="324" spans="2:48" x14ac:dyDescent="0.3">
      <c r="B324" s="1" t="s">
        <v>923</v>
      </c>
      <c r="H324" s="1" t="s">
        <v>738</v>
      </c>
      <c r="I324" s="1"/>
      <c r="J324" s="1"/>
      <c r="K324" s="1"/>
      <c r="L324" s="1"/>
      <c r="M324" s="1"/>
      <c r="N324" s="1"/>
      <c r="O324" s="1"/>
      <c r="P324" s="1"/>
      <c r="Q324" s="1"/>
      <c r="R324" s="1"/>
      <c r="T324" s="1"/>
      <c r="U324" s="1"/>
      <c r="V324" s="1"/>
      <c r="W324" s="1"/>
      <c r="X324" s="1"/>
      <c r="Y324" s="1"/>
      <c r="Z324" s="1"/>
      <c r="AB324" s="1"/>
      <c r="AC324" s="1"/>
      <c r="AD324" s="1"/>
      <c r="AE324" s="1"/>
      <c r="AF324" s="1"/>
      <c r="AG324" s="1"/>
      <c r="AH324" s="1"/>
      <c r="AI324" s="1"/>
      <c r="AL324" s="1"/>
      <c r="AN324" s="1"/>
      <c r="AO324" s="1"/>
      <c r="AP324" s="1"/>
      <c r="AQ324" s="1"/>
      <c r="AR324" s="1"/>
      <c r="AS324" s="1"/>
      <c r="AT324" s="1"/>
      <c r="AU324" s="1"/>
      <c r="AV324" s="1"/>
    </row>
    <row r="325" spans="2:48" x14ac:dyDescent="0.3">
      <c r="B325" s="1" t="s">
        <v>924</v>
      </c>
      <c r="H325" s="1" t="s">
        <v>738</v>
      </c>
      <c r="I325" s="1"/>
      <c r="J325" s="1"/>
      <c r="K325" s="1"/>
      <c r="L325" s="1"/>
      <c r="M325" s="1"/>
      <c r="N325" s="1"/>
      <c r="O325" s="1"/>
      <c r="P325" s="1"/>
      <c r="Q325" s="1"/>
      <c r="R325" s="1"/>
      <c r="T325" s="1"/>
      <c r="U325" s="1"/>
      <c r="V325" s="1"/>
      <c r="W325" s="1"/>
      <c r="X325" s="1"/>
      <c r="Y325" s="1"/>
      <c r="Z325" s="1"/>
      <c r="AB325" s="1"/>
      <c r="AC325" s="1"/>
      <c r="AD325" s="1"/>
      <c r="AE325" s="1"/>
      <c r="AF325" s="1"/>
      <c r="AG325" s="1"/>
      <c r="AH325" s="1"/>
      <c r="AI325" s="1"/>
      <c r="AL325" s="1"/>
      <c r="AN325" s="1"/>
      <c r="AO325" s="1"/>
      <c r="AP325" s="1"/>
      <c r="AQ325" s="1"/>
      <c r="AR325" s="1"/>
      <c r="AS325" s="1"/>
      <c r="AT325" s="1"/>
      <c r="AU325" s="1"/>
      <c r="AV325" s="1"/>
    </row>
    <row r="326" spans="2:48" x14ac:dyDescent="0.3">
      <c r="B326" s="1" t="s">
        <v>925</v>
      </c>
      <c r="H326" s="1" t="s">
        <v>738</v>
      </c>
      <c r="I326" s="1"/>
      <c r="J326" s="1"/>
      <c r="K326" s="1"/>
      <c r="L326" s="1"/>
      <c r="M326" s="1"/>
      <c r="N326" s="1"/>
      <c r="O326" s="1"/>
      <c r="P326" s="1"/>
      <c r="Q326" s="1"/>
      <c r="R326" s="1"/>
      <c r="T326" s="1"/>
      <c r="U326" s="1"/>
      <c r="V326" s="1"/>
      <c r="W326" s="1"/>
      <c r="X326" s="1"/>
      <c r="Y326" s="1"/>
      <c r="Z326" s="1"/>
      <c r="AB326" s="1"/>
      <c r="AC326" s="1"/>
      <c r="AD326" s="1"/>
      <c r="AE326" s="1"/>
      <c r="AF326" s="1"/>
      <c r="AG326" s="1"/>
      <c r="AH326" s="1"/>
      <c r="AI326" s="1"/>
      <c r="AL326" s="1"/>
      <c r="AN326" s="1"/>
      <c r="AO326" s="1"/>
      <c r="AP326" s="1"/>
      <c r="AQ326" s="1"/>
      <c r="AR326" s="1"/>
      <c r="AS326" s="1"/>
      <c r="AT326" s="1"/>
      <c r="AU326" s="1"/>
      <c r="AV326" s="1"/>
    </row>
    <row r="327" spans="2:48" x14ac:dyDescent="0.3">
      <c r="B327" s="1" t="s">
        <v>926</v>
      </c>
      <c r="H327" s="1" t="s">
        <v>738</v>
      </c>
      <c r="I327" s="1"/>
      <c r="J327" s="1"/>
      <c r="K327" s="1"/>
      <c r="L327" s="1"/>
      <c r="M327" s="1"/>
      <c r="N327" s="1"/>
      <c r="O327" s="1"/>
      <c r="P327" s="1"/>
      <c r="Q327" s="1"/>
      <c r="R327" s="1"/>
      <c r="T327" s="1"/>
      <c r="U327" s="1"/>
      <c r="V327" s="1"/>
      <c r="W327" s="1"/>
      <c r="X327" s="1"/>
      <c r="Y327" s="1"/>
      <c r="Z327" s="1"/>
      <c r="AB327" s="1"/>
      <c r="AC327" s="1"/>
      <c r="AD327" s="1"/>
      <c r="AE327" s="1"/>
      <c r="AF327" s="1"/>
      <c r="AG327" s="1"/>
      <c r="AH327" s="1"/>
      <c r="AI327" s="1"/>
      <c r="AL327" s="1"/>
      <c r="AN327" s="1"/>
      <c r="AO327" s="1"/>
      <c r="AP327" s="1"/>
      <c r="AQ327" s="1"/>
      <c r="AR327" s="1"/>
      <c r="AS327" s="1"/>
      <c r="AT327" s="1"/>
      <c r="AU327" s="1"/>
      <c r="AV327" s="1"/>
    </row>
    <row r="328" spans="2:48" x14ac:dyDescent="0.3">
      <c r="B328" s="1" t="s">
        <v>927</v>
      </c>
      <c r="H328" s="1" t="s">
        <v>738</v>
      </c>
      <c r="I328" s="1"/>
      <c r="J328" s="1"/>
      <c r="K328" s="1"/>
      <c r="L328" s="1"/>
      <c r="M328" s="1"/>
      <c r="N328" s="1"/>
      <c r="O328" s="1"/>
      <c r="P328" s="1"/>
      <c r="Q328" s="1"/>
      <c r="R328" s="1"/>
      <c r="T328" s="1"/>
      <c r="U328" s="1"/>
      <c r="V328" s="1"/>
      <c r="W328" s="1"/>
      <c r="X328" s="1"/>
      <c r="Y328" s="1"/>
      <c r="Z328" s="1"/>
      <c r="AB328" s="1"/>
      <c r="AC328" s="1"/>
      <c r="AD328" s="1"/>
      <c r="AE328" s="1"/>
      <c r="AF328" s="1"/>
      <c r="AG328" s="1"/>
      <c r="AH328" s="1"/>
      <c r="AI328" s="1"/>
      <c r="AL328" s="1"/>
      <c r="AN328" s="1"/>
      <c r="AO328" s="1"/>
      <c r="AP328" s="1"/>
      <c r="AQ328" s="1"/>
      <c r="AR328" s="1"/>
      <c r="AS328" s="1"/>
      <c r="AT328" s="1"/>
      <c r="AU328" s="1"/>
      <c r="AV328" s="1"/>
    </row>
    <row r="329" spans="2:48" x14ac:dyDescent="0.3">
      <c r="B329" s="1" t="s">
        <v>928</v>
      </c>
      <c r="H329" s="1" t="s">
        <v>738</v>
      </c>
      <c r="I329" s="1"/>
      <c r="J329" s="1"/>
      <c r="K329" s="1"/>
      <c r="L329" s="1"/>
      <c r="M329" s="1"/>
      <c r="N329" s="1"/>
      <c r="O329" s="1"/>
      <c r="P329" s="1"/>
      <c r="Q329" s="1"/>
      <c r="R329" s="1"/>
      <c r="T329" s="1"/>
      <c r="U329" s="1"/>
      <c r="V329" s="1"/>
      <c r="W329" s="1"/>
      <c r="X329" s="1"/>
      <c r="Y329" s="1"/>
      <c r="Z329" s="1"/>
      <c r="AB329" s="1"/>
      <c r="AC329" s="1"/>
      <c r="AD329" s="1"/>
      <c r="AE329" s="1"/>
      <c r="AF329" s="1"/>
      <c r="AG329" s="1"/>
      <c r="AH329" s="1"/>
      <c r="AI329" s="1"/>
      <c r="AL329" s="1"/>
      <c r="AN329" s="1"/>
      <c r="AO329" s="1"/>
      <c r="AP329" s="1"/>
      <c r="AQ329" s="1"/>
      <c r="AR329" s="1"/>
      <c r="AS329" s="1"/>
      <c r="AT329" s="1"/>
      <c r="AU329" s="1"/>
      <c r="AV329" s="1"/>
    </row>
    <row r="330" spans="2:48" x14ac:dyDescent="0.3">
      <c r="B330" s="1" t="s">
        <v>929</v>
      </c>
      <c r="H330" s="1" t="s">
        <v>738</v>
      </c>
      <c r="I330" s="1"/>
      <c r="J330" s="1"/>
      <c r="K330" s="1"/>
      <c r="L330" s="1"/>
      <c r="M330" s="1"/>
      <c r="N330" s="1"/>
      <c r="O330" s="1"/>
      <c r="P330" s="1"/>
      <c r="Q330" s="1"/>
      <c r="R330" s="1"/>
      <c r="T330" s="1"/>
      <c r="U330" s="1"/>
      <c r="V330" s="1"/>
      <c r="W330" s="1"/>
      <c r="X330" s="1"/>
      <c r="Y330" s="1"/>
      <c r="Z330" s="1"/>
      <c r="AB330" s="1"/>
      <c r="AC330" s="1"/>
      <c r="AD330" s="1"/>
      <c r="AE330" s="1"/>
      <c r="AF330" s="1"/>
      <c r="AG330" s="1"/>
      <c r="AH330" s="1"/>
      <c r="AI330" s="1"/>
      <c r="AL330" s="1"/>
      <c r="AN330" s="1"/>
      <c r="AO330" s="1"/>
      <c r="AP330" s="1"/>
      <c r="AQ330" s="1"/>
      <c r="AR330" s="1"/>
      <c r="AS330" s="1"/>
      <c r="AT330" s="1"/>
      <c r="AU330" s="1"/>
      <c r="AV330" s="1"/>
    </row>
    <row r="331" spans="2:48" x14ac:dyDescent="0.3">
      <c r="B331" s="1" t="s">
        <v>930</v>
      </c>
      <c r="H331" s="1" t="s">
        <v>738</v>
      </c>
      <c r="I331" s="1"/>
      <c r="J331" s="1"/>
      <c r="K331" s="1"/>
      <c r="L331" s="1"/>
      <c r="M331" s="1"/>
      <c r="N331" s="1"/>
      <c r="O331" s="1"/>
      <c r="P331" s="1"/>
      <c r="Q331" s="1"/>
      <c r="R331" s="1"/>
      <c r="T331" s="1"/>
      <c r="U331" s="1"/>
      <c r="V331" s="1"/>
      <c r="W331" s="1"/>
      <c r="X331" s="1"/>
      <c r="Y331" s="1"/>
      <c r="Z331" s="1"/>
      <c r="AB331" s="1"/>
      <c r="AC331" s="1"/>
      <c r="AD331" s="1"/>
      <c r="AE331" s="1"/>
      <c r="AF331" s="1"/>
      <c r="AG331" s="1"/>
      <c r="AH331" s="1"/>
      <c r="AI331" s="1"/>
      <c r="AL331" s="1"/>
      <c r="AN331" s="1"/>
      <c r="AO331" s="1"/>
      <c r="AP331" s="1"/>
      <c r="AQ331" s="1"/>
      <c r="AR331" s="1"/>
      <c r="AS331" s="1"/>
      <c r="AT331" s="1"/>
      <c r="AU331" s="1"/>
      <c r="AV331" s="1"/>
    </row>
    <row r="332" spans="2:48" x14ac:dyDescent="0.3">
      <c r="B332" s="1" t="s">
        <v>931</v>
      </c>
      <c r="H332" s="1" t="s">
        <v>738</v>
      </c>
      <c r="I332" s="1"/>
      <c r="J332" s="1"/>
      <c r="K332" s="1"/>
      <c r="L332" s="1"/>
      <c r="M332" s="1"/>
      <c r="N332" s="1"/>
      <c r="O332" s="1"/>
      <c r="P332" s="1"/>
      <c r="Q332" s="1"/>
      <c r="R332" s="1"/>
      <c r="T332" s="1"/>
      <c r="U332" s="1"/>
      <c r="V332" s="1"/>
      <c r="W332" s="1"/>
      <c r="X332" s="1"/>
      <c r="Y332" s="1"/>
      <c r="Z332" s="1"/>
      <c r="AB332" s="1"/>
      <c r="AC332" s="1"/>
      <c r="AD332" s="1"/>
      <c r="AE332" s="1"/>
      <c r="AF332" s="1"/>
      <c r="AG332" s="1"/>
      <c r="AH332" s="1"/>
      <c r="AI332" s="1"/>
      <c r="AL332" s="1"/>
      <c r="AN332" s="1"/>
      <c r="AO332" s="1"/>
      <c r="AP332" s="1"/>
      <c r="AQ332" s="1"/>
      <c r="AR332" s="1"/>
      <c r="AS332" s="1"/>
      <c r="AT332" s="1"/>
      <c r="AU332" s="1"/>
      <c r="AV332" s="1"/>
    </row>
    <row r="333" spans="2:48" x14ac:dyDescent="0.3">
      <c r="B333" s="1" t="s">
        <v>932</v>
      </c>
      <c r="H333" s="1" t="s">
        <v>738</v>
      </c>
      <c r="I333" s="1"/>
      <c r="J333" s="1"/>
      <c r="K333" s="1"/>
      <c r="L333" s="1"/>
      <c r="M333" s="1"/>
      <c r="N333" s="1"/>
      <c r="O333" s="1"/>
      <c r="P333" s="1"/>
      <c r="Q333" s="1"/>
      <c r="R333" s="1"/>
      <c r="T333" s="1"/>
      <c r="U333" s="1"/>
      <c r="V333" s="1"/>
      <c r="W333" s="1"/>
      <c r="X333" s="1"/>
      <c r="Y333" s="1"/>
      <c r="Z333" s="1"/>
      <c r="AB333" s="1"/>
      <c r="AC333" s="1"/>
      <c r="AD333" s="1"/>
      <c r="AE333" s="1"/>
      <c r="AF333" s="1"/>
      <c r="AG333" s="1"/>
      <c r="AH333" s="1"/>
      <c r="AI333" s="1"/>
      <c r="AL333" s="1"/>
      <c r="AN333" s="1"/>
      <c r="AO333" s="1"/>
      <c r="AP333" s="1"/>
      <c r="AQ333" s="1"/>
      <c r="AR333" s="1"/>
      <c r="AS333" s="1"/>
      <c r="AT333" s="1"/>
      <c r="AU333" s="1"/>
      <c r="AV333" s="1"/>
    </row>
    <row r="334" spans="2:48" x14ac:dyDescent="0.3">
      <c r="B334" s="1" t="s">
        <v>933</v>
      </c>
      <c r="H334" s="1" t="s">
        <v>738</v>
      </c>
      <c r="I334" s="1"/>
      <c r="J334" s="1"/>
      <c r="K334" s="1"/>
      <c r="L334" s="1"/>
      <c r="M334" s="1"/>
      <c r="N334" s="1"/>
      <c r="O334" s="1"/>
      <c r="P334" s="1"/>
      <c r="Q334" s="1"/>
      <c r="R334" s="1"/>
      <c r="T334" s="1"/>
      <c r="U334" s="1"/>
      <c r="V334" s="1"/>
      <c r="W334" s="1"/>
      <c r="X334" s="1"/>
      <c r="Y334" s="1"/>
      <c r="Z334" s="1"/>
      <c r="AB334" s="1"/>
      <c r="AC334" s="1"/>
      <c r="AD334" s="1"/>
      <c r="AE334" s="1"/>
      <c r="AF334" s="1"/>
      <c r="AG334" s="1"/>
      <c r="AH334" s="1"/>
      <c r="AI334" s="1"/>
      <c r="AL334" s="1"/>
      <c r="AN334" s="1"/>
      <c r="AO334" s="1"/>
      <c r="AP334" s="1"/>
      <c r="AQ334" s="1"/>
      <c r="AR334" s="1"/>
      <c r="AS334" s="1"/>
      <c r="AT334" s="1"/>
      <c r="AU334" s="1"/>
      <c r="AV334" s="1"/>
    </row>
    <row r="335" spans="2:48" x14ac:dyDescent="0.3">
      <c r="B335" s="1" t="s">
        <v>934</v>
      </c>
      <c r="H335" s="1" t="s">
        <v>738</v>
      </c>
      <c r="I335" s="1"/>
      <c r="J335" s="1"/>
      <c r="K335" s="1"/>
      <c r="L335" s="1"/>
      <c r="M335" s="1"/>
      <c r="N335" s="1"/>
      <c r="O335" s="1"/>
      <c r="P335" s="1"/>
      <c r="Q335" s="1"/>
      <c r="R335" s="1"/>
      <c r="T335" s="1"/>
      <c r="U335" s="1"/>
      <c r="V335" s="1"/>
      <c r="W335" s="1"/>
      <c r="X335" s="1"/>
      <c r="Y335" s="1"/>
      <c r="Z335" s="1"/>
      <c r="AB335" s="1"/>
      <c r="AC335" s="1"/>
      <c r="AD335" s="1"/>
      <c r="AE335" s="1"/>
      <c r="AF335" s="1"/>
      <c r="AG335" s="1"/>
      <c r="AH335" s="1"/>
      <c r="AI335" s="1"/>
      <c r="AL335" s="1"/>
      <c r="AN335" s="1"/>
      <c r="AO335" s="1"/>
      <c r="AP335" s="1"/>
      <c r="AQ335" s="1"/>
      <c r="AR335" s="1"/>
      <c r="AS335" s="1"/>
      <c r="AT335" s="1"/>
      <c r="AU335" s="1"/>
      <c r="AV335" s="1"/>
    </row>
    <row r="336" spans="2:48" x14ac:dyDescent="0.3">
      <c r="B336" s="1" t="s">
        <v>935</v>
      </c>
      <c r="H336" s="1" t="s">
        <v>738</v>
      </c>
      <c r="I336" s="1"/>
      <c r="J336" s="1"/>
      <c r="K336" s="1"/>
      <c r="L336" s="1"/>
      <c r="M336" s="1"/>
      <c r="N336" s="1"/>
      <c r="O336" s="1"/>
      <c r="P336" s="1"/>
      <c r="Q336" s="1"/>
      <c r="R336" s="1"/>
      <c r="T336" s="1"/>
      <c r="U336" s="1"/>
      <c r="V336" s="1"/>
      <c r="W336" s="1"/>
      <c r="X336" s="1"/>
      <c r="Y336" s="1"/>
      <c r="Z336" s="1"/>
      <c r="AB336" s="1"/>
      <c r="AC336" s="1"/>
      <c r="AD336" s="1"/>
      <c r="AE336" s="1"/>
      <c r="AF336" s="1"/>
      <c r="AG336" s="1"/>
      <c r="AH336" s="1"/>
      <c r="AI336" s="1"/>
      <c r="AL336" s="1"/>
      <c r="AN336" s="1"/>
      <c r="AO336" s="1"/>
      <c r="AP336" s="1"/>
      <c r="AQ336" s="1"/>
      <c r="AR336" s="1"/>
      <c r="AS336" s="1"/>
      <c r="AT336" s="1"/>
      <c r="AU336" s="1"/>
      <c r="AV336" s="1"/>
    </row>
    <row r="337" spans="2:48" x14ac:dyDescent="0.3">
      <c r="B337" s="1" t="s">
        <v>936</v>
      </c>
      <c r="H337" s="1" t="s">
        <v>738</v>
      </c>
      <c r="I337" s="1"/>
      <c r="J337" s="1"/>
      <c r="K337" s="1"/>
      <c r="L337" s="1"/>
      <c r="M337" s="1"/>
      <c r="N337" s="1"/>
      <c r="O337" s="1"/>
      <c r="P337" s="1"/>
      <c r="Q337" s="1"/>
      <c r="R337" s="1"/>
      <c r="T337" s="1"/>
      <c r="U337" s="1"/>
      <c r="V337" s="1"/>
      <c r="W337" s="1"/>
      <c r="X337" s="1"/>
      <c r="Y337" s="1"/>
      <c r="Z337" s="1"/>
      <c r="AB337" s="1"/>
      <c r="AC337" s="1"/>
      <c r="AD337" s="1"/>
      <c r="AE337" s="1"/>
      <c r="AF337" s="1"/>
      <c r="AG337" s="1"/>
      <c r="AH337" s="1"/>
      <c r="AI337" s="1"/>
      <c r="AL337" s="1"/>
      <c r="AN337" s="1"/>
      <c r="AO337" s="1"/>
      <c r="AP337" s="1"/>
      <c r="AQ337" s="1"/>
      <c r="AR337" s="1"/>
      <c r="AS337" s="1"/>
      <c r="AT337" s="1"/>
      <c r="AU337" s="1"/>
      <c r="AV337" s="1"/>
    </row>
    <row r="338" spans="2:48" x14ac:dyDescent="0.3">
      <c r="B338" s="1" t="s">
        <v>937</v>
      </c>
      <c r="H338" s="1" t="s">
        <v>738</v>
      </c>
      <c r="I338" s="1"/>
      <c r="J338" s="1"/>
      <c r="K338" s="1"/>
      <c r="L338" s="1"/>
      <c r="M338" s="1"/>
      <c r="N338" s="1"/>
      <c r="O338" s="1"/>
      <c r="P338" s="1"/>
      <c r="Q338" s="1"/>
      <c r="R338" s="1"/>
      <c r="T338" s="1"/>
      <c r="U338" s="1"/>
      <c r="V338" s="1"/>
      <c r="W338" s="1"/>
      <c r="X338" s="1"/>
      <c r="Y338" s="1"/>
      <c r="Z338" s="1"/>
      <c r="AB338" s="1"/>
      <c r="AC338" s="1"/>
      <c r="AD338" s="1"/>
      <c r="AE338" s="1"/>
      <c r="AF338" s="1"/>
      <c r="AG338" s="1"/>
      <c r="AH338" s="1"/>
      <c r="AI338" s="1"/>
      <c r="AL338" s="1"/>
      <c r="AN338" s="1"/>
      <c r="AO338" s="1"/>
      <c r="AP338" s="1"/>
      <c r="AQ338" s="1"/>
      <c r="AR338" s="1"/>
      <c r="AS338" s="1"/>
      <c r="AT338" s="1"/>
      <c r="AU338" s="1"/>
      <c r="AV338" s="1"/>
    </row>
    <row r="339" spans="2:48" x14ac:dyDescent="0.3">
      <c r="B339" s="1" t="s">
        <v>938</v>
      </c>
      <c r="H339" s="1" t="s">
        <v>738</v>
      </c>
      <c r="I339" s="1"/>
      <c r="J339" s="1"/>
      <c r="K339" s="1"/>
      <c r="L339" s="1"/>
      <c r="M339" s="1"/>
      <c r="N339" s="1"/>
      <c r="O339" s="1"/>
      <c r="P339" s="1"/>
      <c r="Q339" s="1"/>
      <c r="R339" s="1"/>
      <c r="T339" s="1"/>
      <c r="U339" s="1"/>
      <c r="V339" s="1"/>
      <c r="W339" s="1"/>
      <c r="X339" s="1"/>
      <c r="Y339" s="1"/>
      <c r="Z339" s="1"/>
      <c r="AB339" s="1"/>
      <c r="AC339" s="1"/>
      <c r="AD339" s="1"/>
      <c r="AE339" s="1"/>
      <c r="AF339" s="1"/>
      <c r="AG339" s="1"/>
      <c r="AH339" s="1"/>
      <c r="AI339" s="1"/>
      <c r="AL339" s="1"/>
      <c r="AN339" s="1"/>
      <c r="AO339" s="1"/>
      <c r="AP339" s="1"/>
      <c r="AQ339" s="1"/>
      <c r="AR339" s="1"/>
      <c r="AS339" s="1"/>
      <c r="AT339" s="1"/>
      <c r="AU339" s="1"/>
      <c r="AV339" s="1"/>
    </row>
    <row r="340" spans="2:48" x14ac:dyDescent="0.3">
      <c r="B340" s="1" t="s">
        <v>939</v>
      </c>
      <c r="H340" s="1" t="s">
        <v>738</v>
      </c>
      <c r="I340" s="1"/>
      <c r="J340" s="1"/>
      <c r="K340" s="1"/>
      <c r="L340" s="1"/>
      <c r="M340" s="1"/>
      <c r="N340" s="1"/>
      <c r="O340" s="1"/>
      <c r="P340" s="1"/>
      <c r="Q340" s="1"/>
      <c r="R340" s="1"/>
      <c r="T340" s="1"/>
      <c r="U340" s="1"/>
      <c r="V340" s="1"/>
      <c r="W340" s="1"/>
      <c r="X340" s="1"/>
      <c r="Y340" s="1"/>
      <c r="Z340" s="1"/>
      <c r="AB340" s="1"/>
      <c r="AC340" s="1"/>
      <c r="AD340" s="1"/>
      <c r="AE340" s="1"/>
      <c r="AF340" s="1"/>
      <c r="AG340" s="1"/>
      <c r="AH340" s="1"/>
      <c r="AI340" s="1"/>
      <c r="AL340" s="1"/>
      <c r="AN340" s="1"/>
      <c r="AO340" s="1"/>
      <c r="AP340" s="1"/>
      <c r="AQ340" s="1"/>
      <c r="AR340" s="1"/>
      <c r="AS340" s="1"/>
      <c r="AT340" s="1"/>
      <c r="AU340" s="1"/>
      <c r="AV340" s="1"/>
    </row>
    <row r="341" spans="2:48" x14ac:dyDescent="0.3">
      <c r="B341" s="1" t="s">
        <v>940</v>
      </c>
      <c r="H341" s="1" t="s">
        <v>738</v>
      </c>
      <c r="I341" s="1"/>
      <c r="J341" s="1"/>
      <c r="K341" s="1"/>
      <c r="L341" s="1"/>
      <c r="M341" s="1"/>
      <c r="N341" s="1"/>
      <c r="O341" s="1"/>
      <c r="P341" s="1"/>
      <c r="Q341" s="1"/>
      <c r="R341" s="1"/>
      <c r="T341" s="1"/>
      <c r="U341" s="1"/>
      <c r="V341" s="1"/>
      <c r="W341" s="1"/>
      <c r="X341" s="1"/>
      <c r="Y341" s="1"/>
      <c r="Z341" s="1"/>
      <c r="AB341" s="1"/>
      <c r="AC341" s="1"/>
      <c r="AD341" s="1"/>
      <c r="AE341" s="1"/>
      <c r="AF341" s="1"/>
      <c r="AG341" s="1"/>
      <c r="AH341" s="1"/>
      <c r="AI341" s="1"/>
      <c r="AL341" s="1"/>
      <c r="AN341" s="1"/>
      <c r="AO341" s="1"/>
      <c r="AP341" s="1"/>
      <c r="AQ341" s="1"/>
      <c r="AR341" s="1"/>
      <c r="AS341" s="1"/>
      <c r="AT341" s="1"/>
      <c r="AU341" s="1"/>
      <c r="AV341" s="1"/>
    </row>
    <row r="342" spans="2:48" x14ac:dyDescent="0.3">
      <c r="B342" s="1" t="s">
        <v>941</v>
      </c>
      <c r="H342" s="1" t="s">
        <v>738</v>
      </c>
      <c r="I342" s="1"/>
      <c r="J342" s="1"/>
      <c r="K342" s="1"/>
      <c r="L342" s="1"/>
      <c r="M342" s="1"/>
      <c r="N342" s="1"/>
      <c r="O342" s="1"/>
      <c r="P342" s="1"/>
      <c r="Q342" s="1"/>
      <c r="R342" s="1"/>
      <c r="T342" s="1"/>
      <c r="U342" s="1"/>
      <c r="V342" s="1"/>
      <c r="W342" s="1"/>
      <c r="X342" s="1"/>
      <c r="Y342" s="1"/>
      <c r="Z342" s="1"/>
      <c r="AB342" s="1"/>
      <c r="AC342" s="1"/>
      <c r="AD342" s="1"/>
      <c r="AE342" s="1"/>
      <c r="AF342" s="1"/>
      <c r="AG342" s="1"/>
      <c r="AH342" s="1"/>
      <c r="AI342" s="1"/>
      <c r="AL342" s="1"/>
      <c r="AN342" s="1"/>
      <c r="AO342" s="1"/>
      <c r="AP342" s="1"/>
      <c r="AQ342" s="1"/>
      <c r="AR342" s="1"/>
      <c r="AS342" s="1"/>
      <c r="AT342" s="1"/>
      <c r="AU342" s="1"/>
      <c r="AV342" s="1"/>
    </row>
    <row r="343" spans="2:48" x14ac:dyDescent="0.3">
      <c r="B343" s="1" t="s">
        <v>942</v>
      </c>
      <c r="H343" s="1" t="s">
        <v>738</v>
      </c>
      <c r="I343" s="1"/>
      <c r="J343" s="1"/>
      <c r="K343" s="1"/>
      <c r="L343" s="1"/>
      <c r="M343" s="1"/>
      <c r="N343" s="1"/>
      <c r="O343" s="1"/>
      <c r="P343" s="1"/>
      <c r="Q343" s="1"/>
      <c r="R343" s="1"/>
      <c r="T343" s="1"/>
      <c r="U343" s="1"/>
      <c r="V343" s="1"/>
      <c r="W343" s="1"/>
      <c r="X343" s="1"/>
      <c r="Y343" s="1"/>
      <c r="Z343" s="1"/>
      <c r="AB343" s="1"/>
      <c r="AC343" s="1"/>
      <c r="AD343" s="1"/>
      <c r="AE343" s="1"/>
      <c r="AF343" s="1"/>
      <c r="AG343" s="1"/>
      <c r="AH343" s="1"/>
      <c r="AI343" s="1"/>
      <c r="AL343" s="1"/>
      <c r="AN343" s="1"/>
      <c r="AO343" s="1"/>
      <c r="AP343" s="1"/>
      <c r="AQ343" s="1"/>
      <c r="AR343" s="1"/>
      <c r="AS343" s="1"/>
      <c r="AT343" s="1"/>
      <c r="AU343" s="1"/>
      <c r="AV343" s="1"/>
    </row>
    <row r="344" spans="2:48" x14ac:dyDescent="0.3">
      <c r="B344" s="1" t="s">
        <v>943</v>
      </c>
      <c r="H344" s="1" t="s">
        <v>738</v>
      </c>
      <c r="I344" s="1"/>
      <c r="J344" s="1"/>
      <c r="K344" s="1"/>
      <c r="L344" s="1"/>
      <c r="M344" s="1"/>
      <c r="N344" s="1"/>
      <c r="O344" s="1"/>
      <c r="P344" s="1"/>
      <c r="Q344" s="1"/>
      <c r="R344" s="1"/>
      <c r="T344" s="1"/>
      <c r="U344" s="1"/>
      <c r="V344" s="1"/>
      <c r="W344" s="1"/>
      <c r="X344" s="1"/>
      <c r="Y344" s="1"/>
      <c r="Z344" s="1"/>
      <c r="AB344" s="1"/>
      <c r="AC344" s="1"/>
      <c r="AD344" s="1"/>
      <c r="AE344" s="1"/>
      <c r="AF344" s="1"/>
      <c r="AG344" s="1"/>
      <c r="AH344" s="1"/>
      <c r="AI344" s="1"/>
      <c r="AL344" s="1"/>
      <c r="AN344" s="1"/>
      <c r="AO344" s="1"/>
      <c r="AP344" s="1"/>
      <c r="AQ344" s="1"/>
      <c r="AR344" s="1"/>
      <c r="AS344" s="1"/>
      <c r="AT344" s="1"/>
      <c r="AU344" s="1"/>
      <c r="AV344" s="1"/>
    </row>
    <row r="345" spans="2:48" x14ac:dyDescent="0.3">
      <c r="B345" s="1" t="s">
        <v>944</v>
      </c>
      <c r="H345" s="1" t="s">
        <v>738</v>
      </c>
      <c r="I345" s="1"/>
      <c r="J345" s="1"/>
      <c r="K345" s="1"/>
      <c r="L345" s="1"/>
      <c r="M345" s="1"/>
      <c r="N345" s="1"/>
      <c r="O345" s="1"/>
      <c r="P345" s="1"/>
      <c r="Q345" s="1"/>
      <c r="R345" s="1"/>
      <c r="T345" s="1"/>
      <c r="U345" s="1"/>
      <c r="V345" s="1"/>
      <c r="W345" s="1"/>
      <c r="X345" s="1"/>
      <c r="Y345" s="1"/>
      <c r="Z345" s="1"/>
      <c r="AB345" s="1"/>
      <c r="AC345" s="1"/>
      <c r="AD345" s="1"/>
      <c r="AE345" s="1"/>
      <c r="AF345" s="1"/>
      <c r="AG345" s="1"/>
      <c r="AH345" s="1"/>
      <c r="AI345" s="1"/>
      <c r="AL345" s="1"/>
      <c r="AN345" s="1"/>
      <c r="AO345" s="1"/>
      <c r="AP345" s="1"/>
      <c r="AQ345" s="1"/>
      <c r="AR345" s="1"/>
      <c r="AS345" s="1"/>
      <c r="AT345" s="1"/>
      <c r="AU345" s="1"/>
      <c r="AV345" s="1"/>
    </row>
    <row r="346" spans="2:48" x14ac:dyDescent="0.3">
      <c r="B346" s="1" t="s">
        <v>945</v>
      </c>
      <c r="H346" s="1" t="s">
        <v>738</v>
      </c>
      <c r="I346" s="1"/>
      <c r="J346" s="1"/>
      <c r="K346" s="1"/>
      <c r="L346" s="1"/>
      <c r="M346" s="1"/>
      <c r="N346" s="1"/>
      <c r="O346" s="1"/>
      <c r="P346" s="1"/>
      <c r="Q346" s="1"/>
      <c r="R346" s="1"/>
      <c r="T346" s="1"/>
      <c r="U346" s="1"/>
      <c r="V346" s="1"/>
      <c r="W346" s="1"/>
      <c r="X346" s="1"/>
      <c r="Y346" s="1"/>
      <c r="Z346" s="1"/>
      <c r="AB346" s="1"/>
      <c r="AC346" s="1"/>
      <c r="AD346" s="1"/>
      <c r="AE346" s="1"/>
      <c r="AF346" s="1"/>
      <c r="AG346" s="1"/>
      <c r="AH346" s="1"/>
      <c r="AI346" s="1"/>
      <c r="AL346" s="1"/>
      <c r="AN346" s="1"/>
      <c r="AO346" s="1"/>
      <c r="AP346" s="1"/>
      <c r="AQ346" s="1"/>
      <c r="AR346" s="1"/>
      <c r="AS346" s="1"/>
      <c r="AT346" s="1"/>
      <c r="AU346" s="1"/>
      <c r="AV346" s="1"/>
    </row>
    <row r="347" spans="2:48" x14ac:dyDescent="0.3">
      <c r="B347" s="1" t="s">
        <v>946</v>
      </c>
      <c r="H347" s="1" t="s">
        <v>738</v>
      </c>
      <c r="I347" s="1"/>
      <c r="J347" s="1"/>
      <c r="K347" s="1"/>
      <c r="L347" s="1"/>
      <c r="M347" s="1"/>
      <c r="N347" s="1"/>
      <c r="O347" s="1"/>
      <c r="P347" s="1"/>
      <c r="Q347" s="1"/>
      <c r="R347" s="1"/>
      <c r="T347" s="1"/>
      <c r="U347" s="1"/>
      <c r="V347" s="1"/>
      <c r="W347" s="1"/>
      <c r="X347" s="1"/>
      <c r="Y347" s="1"/>
      <c r="Z347" s="1"/>
      <c r="AB347" s="1"/>
      <c r="AC347" s="1"/>
      <c r="AD347" s="1"/>
      <c r="AE347" s="1"/>
      <c r="AF347" s="1"/>
      <c r="AG347" s="1"/>
      <c r="AH347" s="1"/>
      <c r="AI347" s="1"/>
      <c r="AL347" s="1"/>
      <c r="AN347" s="1"/>
      <c r="AO347" s="1"/>
      <c r="AP347" s="1"/>
      <c r="AQ347" s="1"/>
      <c r="AR347" s="1"/>
      <c r="AS347" s="1"/>
      <c r="AT347" s="1"/>
      <c r="AU347" s="1"/>
      <c r="AV347" s="1"/>
    </row>
    <row r="348" spans="2:48" x14ac:dyDescent="0.3">
      <c r="B348" s="1" t="s">
        <v>947</v>
      </c>
      <c r="H348" s="1" t="s">
        <v>738</v>
      </c>
      <c r="I348" s="1"/>
      <c r="J348" s="1"/>
      <c r="K348" s="1"/>
      <c r="L348" s="1"/>
      <c r="M348" s="1"/>
      <c r="N348" s="1"/>
      <c r="O348" s="1"/>
      <c r="P348" s="1"/>
      <c r="Q348" s="1"/>
      <c r="R348" s="1"/>
      <c r="T348" s="1"/>
      <c r="U348" s="1"/>
      <c r="V348" s="1"/>
      <c r="W348" s="1"/>
      <c r="X348" s="1"/>
      <c r="Y348" s="1"/>
      <c r="Z348" s="1"/>
      <c r="AB348" s="1"/>
      <c r="AC348" s="1"/>
      <c r="AD348" s="1"/>
      <c r="AE348" s="1"/>
      <c r="AF348" s="1"/>
      <c r="AG348" s="1"/>
      <c r="AH348" s="1"/>
      <c r="AI348" s="1"/>
      <c r="AL348" s="1"/>
      <c r="AN348" s="1"/>
      <c r="AO348" s="1"/>
      <c r="AP348" s="1"/>
      <c r="AQ348" s="1"/>
      <c r="AR348" s="1"/>
      <c r="AS348" s="1"/>
      <c r="AT348" s="1"/>
      <c r="AU348" s="1"/>
      <c r="AV348" s="1"/>
    </row>
    <row r="349" spans="2:48" x14ac:dyDescent="0.3">
      <c r="B349" s="1" t="s">
        <v>948</v>
      </c>
      <c r="H349" s="1" t="s">
        <v>738</v>
      </c>
      <c r="I349" s="1"/>
      <c r="J349" s="1"/>
      <c r="K349" s="1"/>
      <c r="L349" s="1"/>
      <c r="M349" s="1"/>
      <c r="N349" s="1"/>
      <c r="O349" s="1"/>
      <c r="P349" s="1"/>
      <c r="Q349" s="1"/>
      <c r="R349" s="1"/>
      <c r="T349" s="1"/>
      <c r="U349" s="1"/>
      <c r="V349" s="1"/>
      <c r="W349" s="1"/>
      <c r="X349" s="1"/>
      <c r="Y349" s="1"/>
      <c r="Z349" s="1"/>
      <c r="AB349" s="1"/>
      <c r="AC349" s="1"/>
      <c r="AD349" s="1"/>
      <c r="AE349" s="1"/>
      <c r="AF349" s="1"/>
      <c r="AG349" s="1"/>
      <c r="AH349" s="1"/>
      <c r="AI349" s="1"/>
      <c r="AL349" s="1"/>
      <c r="AN349" s="1"/>
      <c r="AO349" s="1"/>
      <c r="AP349" s="1"/>
      <c r="AQ349" s="1"/>
      <c r="AR349" s="1"/>
      <c r="AS349" s="1"/>
      <c r="AT349" s="1"/>
      <c r="AU349" s="1"/>
      <c r="AV349" s="1"/>
    </row>
    <row r="350" spans="2:48" x14ac:dyDescent="0.3">
      <c r="B350" s="1" t="s">
        <v>949</v>
      </c>
      <c r="H350" s="1" t="s">
        <v>738</v>
      </c>
      <c r="I350" s="1"/>
      <c r="J350" s="1"/>
      <c r="K350" s="1"/>
      <c r="L350" s="1"/>
      <c r="M350" s="1"/>
      <c r="N350" s="1"/>
      <c r="O350" s="1"/>
      <c r="P350" s="1"/>
      <c r="Q350" s="1"/>
      <c r="R350" s="1"/>
      <c r="T350" s="1"/>
      <c r="U350" s="1"/>
      <c r="V350" s="1"/>
      <c r="W350" s="1"/>
      <c r="X350" s="1"/>
      <c r="Y350" s="1"/>
      <c r="Z350" s="1"/>
      <c r="AB350" s="1"/>
      <c r="AC350" s="1"/>
      <c r="AD350" s="1"/>
      <c r="AE350" s="1"/>
      <c r="AF350" s="1"/>
      <c r="AG350" s="1"/>
      <c r="AH350" s="1"/>
      <c r="AI350" s="1"/>
      <c r="AL350" s="1"/>
      <c r="AN350" s="1"/>
      <c r="AO350" s="1"/>
      <c r="AP350" s="1"/>
      <c r="AQ350" s="1"/>
      <c r="AR350" s="1"/>
      <c r="AS350" s="1"/>
      <c r="AT350" s="1"/>
      <c r="AU350" s="1"/>
      <c r="AV350" s="1"/>
    </row>
    <row r="351" spans="2:48" x14ac:dyDescent="0.3">
      <c r="B351" s="1" t="s">
        <v>950</v>
      </c>
      <c r="H351" s="1" t="s">
        <v>738</v>
      </c>
      <c r="I351" s="1"/>
      <c r="J351" s="1"/>
      <c r="K351" s="1"/>
      <c r="L351" s="1"/>
      <c r="M351" s="1"/>
      <c r="N351" s="1"/>
      <c r="O351" s="1"/>
      <c r="P351" s="1"/>
      <c r="Q351" s="1"/>
      <c r="R351" s="1"/>
      <c r="T351" s="1"/>
      <c r="U351" s="1"/>
      <c r="V351" s="1"/>
      <c r="W351" s="1"/>
      <c r="X351" s="1"/>
      <c r="Y351" s="1"/>
      <c r="Z351" s="1"/>
      <c r="AB351" s="1"/>
      <c r="AC351" s="1"/>
      <c r="AD351" s="1"/>
      <c r="AE351" s="1"/>
      <c r="AF351" s="1"/>
      <c r="AG351" s="1"/>
      <c r="AH351" s="1"/>
      <c r="AI351" s="1"/>
      <c r="AL351" s="1"/>
      <c r="AN351" s="1"/>
      <c r="AO351" s="1"/>
      <c r="AP351" s="1"/>
      <c r="AQ351" s="1"/>
      <c r="AR351" s="1"/>
      <c r="AS351" s="1"/>
      <c r="AT351" s="1"/>
      <c r="AU351" s="1"/>
      <c r="AV351" s="1"/>
    </row>
    <row r="352" spans="2:48" x14ac:dyDescent="0.3">
      <c r="B352" s="1" t="s">
        <v>951</v>
      </c>
      <c r="H352" s="1" t="s">
        <v>738</v>
      </c>
      <c r="I352" s="1"/>
      <c r="J352" s="1"/>
      <c r="K352" s="1"/>
      <c r="L352" s="1"/>
      <c r="M352" s="1"/>
      <c r="N352" s="1"/>
      <c r="O352" s="1"/>
      <c r="P352" s="1"/>
      <c r="Q352" s="1"/>
      <c r="R352" s="1"/>
      <c r="T352" s="1"/>
      <c r="U352" s="1"/>
      <c r="V352" s="1"/>
      <c r="W352" s="1"/>
      <c r="X352" s="1"/>
      <c r="Y352" s="1"/>
      <c r="Z352" s="1"/>
      <c r="AB352" s="1"/>
      <c r="AC352" s="1"/>
      <c r="AD352" s="1"/>
      <c r="AE352" s="1"/>
      <c r="AF352" s="1"/>
      <c r="AG352" s="1"/>
      <c r="AH352" s="1"/>
      <c r="AI352" s="1"/>
      <c r="AL352" s="1"/>
      <c r="AN352" s="1"/>
      <c r="AO352" s="1"/>
      <c r="AP352" s="1"/>
      <c r="AQ352" s="1"/>
      <c r="AR352" s="1"/>
      <c r="AS352" s="1"/>
      <c r="AT352" s="1"/>
      <c r="AU352" s="1"/>
      <c r="AV352" s="1"/>
    </row>
    <row r="353" spans="2:48" x14ac:dyDescent="0.3">
      <c r="B353" s="1" t="s">
        <v>952</v>
      </c>
      <c r="H353" s="1" t="s">
        <v>738</v>
      </c>
      <c r="I353" s="1"/>
      <c r="J353" s="1"/>
      <c r="K353" s="1"/>
      <c r="L353" s="1"/>
      <c r="M353" s="1"/>
      <c r="N353" s="1"/>
      <c r="O353" s="1"/>
      <c r="P353" s="1"/>
      <c r="Q353" s="1"/>
      <c r="R353" s="1"/>
      <c r="T353" s="1"/>
      <c r="U353" s="1"/>
      <c r="V353" s="1"/>
      <c r="W353" s="1"/>
      <c r="X353" s="1"/>
      <c r="Y353" s="1"/>
      <c r="Z353" s="1"/>
      <c r="AB353" s="1"/>
      <c r="AC353" s="1"/>
      <c r="AD353" s="1"/>
      <c r="AE353" s="1"/>
      <c r="AF353" s="1"/>
      <c r="AG353" s="1"/>
      <c r="AH353" s="1"/>
      <c r="AI353" s="1"/>
      <c r="AL353" s="1"/>
      <c r="AN353" s="1"/>
      <c r="AO353" s="1"/>
      <c r="AP353" s="1"/>
      <c r="AQ353" s="1"/>
      <c r="AR353" s="1"/>
      <c r="AS353" s="1"/>
      <c r="AT353" s="1"/>
      <c r="AU353" s="1"/>
      <c r="AV353" s="1"/>
    </row>
    <row r="354" spans="2:48" x14ac:dyDescent="0.3">
      <c r="B354" s="1" t="s">
        <v>953</v>
      </c>
      <c r="H354" s="1" t="s">
        <v>738</v>
      </c>
      <c r="I354" s="1"/>
      <c r="J354" s="1"/>
      <c r="K354" s="1"/>
      <c r="L354" s="1"/>
      <c r="M354" s="1"/>
      <c r="N354" s="1"/>
      <c r="O354" s="1"/>
      <c r="P354" s="1"/>
      <c r="Q354" s="1"/>
      <c r="R354" s="1"/>
      <c r="T354" s="1"/>
      <c r="U354" s="1"/>
      <c r="V354" s="1"/>
      <c r="W354" s="1"/>
      <c r="X354" s="1"/>
      <c r="Y354" s="1"/>
      <c r="Z354" s="1"/>
      <c r="AB354" s="1"/>
      <c r="AC354" s="1"/>
      <c r="AD354" s="1"/>
      <c r="AE354" s="1"/>
      <c r="AF354" s="1"/>
      <c r="AG354" s="1"/>
      <c r="AH354" s="1"/>
      <c r="AI354" s="1"/>
      <c r="AL354" s="1"/>
      <c r="AN354" s="1"/>
      <c r="AO354" s="1"/>
      <c r="AP354" s="1"/>
      <c r="AQ354" s="1"/>
      <c r="AR354" s="1"/>
      <c r="AS354" s="1"/>
      <c r="AT354" s="1"/>
      <c r="AU354" s="1"/>
      <c r="AV354" s="1"/>
    </row>
    <row r="355" spans="2:48" x14ac:dyDescent="0.3">
      <c r="B355" s="1" t="s">
        <v>954</v>
      </c>
      <c r="H355" s="1" t="s">
        <v>738</v>
      </c>
      <c r="I355" s="1"/>
      <c r="J355" s="1"/>
      <c r="K355" s="1"/>
      <c r="L355" s="1"/>
      <c r="M355" s="1"/>
      <c r="N355" s="1"/>
      <c r="O355" s="1"/>
      <c r="P355" s="1"/>
      <c r="Q355" s="1"/>
      <c r="R355" s="1"/>
      <c r="T355" s="1"/>
      <c r="U355" s="1"/>
      <c r="V355" s="1"/>
      <c r="W355" s="1"/>
      <c r="X355" s="1"/>
      <c r="Y355" s="1"/>
      <c r="Z355" s="1"/>
      <c r="AB355" s="1"/>
      <c r="AC355" s="1"/>
      <c r="AD355" s="1"/>
      <c r="AE355" s="1"/>
      <c r="AF355" s="1"/>
      <c r="AG355" s="1"/>
      <c r="AH355" s="1"/>
      <c r="AI355" s="1"/>
      <c r="AL355" s="1"/>
      <c r="AN355" s="1"/>
      <c r="AO355" s="1"/>
      <c r="AP355" s="1"/>
      <c r="AQ355" s="1"/>
      <c r="AR355" s="1"/>
      <c r="AS355" s="1"/>
      <c r="AT355" s="1"/>
      <c r="AU355" s="1"/>
      <c r="AV355" s="1"/>
    </row>
    <row r="356" spans="2:48" x14ac:dyDescent="0.3">
      <c r="B356" s="1" t="s">
        <v>955</v>
      </c>
      <c r="H356" s="1" t="s">
        <v>738</v>
      </c>
      <c r="I356" s="1"/>
      <c r="J356" s="1"/>
      <c r="K356" s="1"/>
      <c r="L356" s="1"/>
      <c r="M356" s="1"/>
      <c r="N356" s="1"/>
      <c r="O356" s="1"/>
      <c r="P356" s="1"/>
      <c r="Q356" s="1"/>
      <c r="R356" s="1"/>
      <c r="T356" s="1"/>
      <c r="U356" s="1"/>
      <c r="V356" s="1"/>
      <c r="W356" s="1"/>
      <c r="X356" s="1"/>
      <c r="Y356" s="1"/>
      <c r="Z356" s="1"/>
      <c r="AB356" s="1"/>
      <c r="AC356" s="1"/>
      <c r="AD356" s="1"/>
      <c r="AE356" s="1"/>
      <c r="AF356" s="1"/>
      <c r="AG356" s="1"/>
      <c r="AH356" s="1"/>
      <c r="AI356" s="1"/>
      <c r="AL356" s="1"/>
      <c r="AN356" s="1"/>
      <c r="AO356" s="1"/>
      <c r="AP356" s="1"/>
      <c r="AQ356" s="1"/>
      <c r="AR356" s="1"/>
      <c r="AS356" s="1"/>
      <c r="AT356" s="1"/>
      <c r="AU356" s="1"/>
      <c r="AV356" s="1"/>
    </row>
    <row r="357" spans="2:48" x14ac:dyDescent="0.3">
      <c r="B357" s="1" t="s">
        <v>956</v>
      </c>
      <c r="H357" s="1" t="s">
        <v>738</v>
      </c>
      <c r="I357" s="1"/>
      <c r="J357" s="1"/>
      <c r="K357" s="1"/>
      <c r="L357" s="1"/>
      <c r="M357" s="1"/>
      <c r="N357" s="1"/>
      <c r="O357" s="1"/>
      <c r="P357" s="1"/>
      <c r="Q357" s="1"/>
      <c r="R357" s="1"/>
      <c r="T357" s="1"/>
      <c r="U357" s="1"/>
      <c r="V357" s="1"/>
      <c r="W357" s="1"/>
      <c r="X357" s="1"/>
      <c r="Y357" s="1"/>
      <c r="Z357" s="1"/>
      <c r="AB357" s="1"/>
      <c r="AC357" s="1"/>
      <c r="AD357" s="1"/>
      <c r="AE357" s="1"/>
      <c r="AF357" s="1"/>
      <c r="AG357" s="1"/>
      <c r="AH357" s="1"/>
      <c r="AI357" s="1"/>
      <c r="AL357" s="1"/>
      <c r="AN357" s="1"/>
      <c r="AO357" s="1"/>
      <c r="AP357" s="1"/>
      <c r="AQ357" s="1"/>
      <c r="AR357" s="1"/>
      <c r="AS357" s="1"/>
      <c r="AT357" s="1"/>
      <c r="AU357" s="1"/>
      <c r="AV357" s="1"/>
    </row>
    <row r="358" spans="2:48" x14ac:dyDescent="0.3">
      <c r="B358" s="1" t="s">
        <v>957</v>
      </c>
      <c r="H358" s="1" t="s">
        <v>738</v>
      </c>
      <c r="I358" s="1"/>
      <c r="J358" s="1"/>
      <c r="K358" s="1"/>
      <c r="L358" s="1"/>
      <c r="M358" s="1"/>
      <c r="N358" s="1"/>
      <c r="O358" s="1"/>
      <c r="P358" s="1"/>
      <c r="Q358" s="1"/>
      <c r="R358" s="1"/>
      <c r="T358" s="1"/>
      <c r="U358" s="1"/>
      <c r="V358" s="1"/>
      <c r="W358" s="1"/>
      <c r="X358" s="1"/>
      <c r="Y358" s="1"/>
      <c r="Z358" s="1"/>
      <c r="AB358" s="1"/>
      <c r="AC358" s="1"/>
      <c r="AD358" s="1"/>
      <c r="AE358" s="1"/>
      <c r="AF358" s="1"/>
      <c r="AG358" s="1"/>
      <c r="AH358" s="1"/>
      <c r="AI358" s="1"/>
      <c r="AL358" s="1"/>
      <c r="AN358" s="1"/>
      <c r="AO358" s="1"/>
      <c r="AP358" s="1"/>
      <c r="AQ358" s="1"/>
      <c r="AR358" s="1"/>
      <c r="AS358" s="1"/>
      <c r="AT358" s="1"/>
      <c r="AU358" s="1"/>
      <c r="AV358" s="1"/>
    </row>
    <row r="359" spans="2:48" x14ac:dyDescent="0.3">
      <c r="B359" s="1" t="s">
        <v>958</v>
      </c>
      <c r="H359" s="1" t="s">
        <v>738</v>
      </c>
      <c r="I359" s="1"/>
      <c r="J359" s="1"/>
      <c r="K359" s="1"/>
      <c r="L359" s="1"/>
      <c r="M359" s="1"/>
      <c r="N359" s="1"/>
      <c r="O359" s="1"/>
      <c r="P359" s="1"/>
      <c r="Q359" s="1"/>
      <c r="R359" s="1"/>
      <c r="T359" s="1"/>
      <c r="U359" s="1"/>
      <c r="V359" s="1"/>
      <c r="W359" s="1"/>
      <c r="X359" s="1"/>
      <c r="Y359" s="1"/>
      <c r="Z359" s="1"/>
      <c r="AB359" s="1"/>
      <c r="AC359" s="1"/>
      <c r="AD359" s="1"/>
      <c r="AE359" s="1"/>
      <c r="AF359" s="1"/>
      <c r="AG359" s="1"/>
      <c r="AH359" s="1"/>
      <c r="AI359" s="1"/>
      <c r="AL359" s="1"/>
      <c r="AN359" s="1"/>
      <c r="AO359" s="1"/>
      <c r="AP359" s="1"/>
      <c r="AQ359" s="1"/>
      <c r="AR359" s="1"/>
      <c r="AS359" s="1"/>
      <c r="AT359" s="1"/>
      <c r="AU359" s="1"/>
      <c r="AV359" s="1"/>
    </row>
    <row r="360" spans="2:48" x14ac:dyDescent="0.3">
      <c r="B360" s="1" t="s">
        <v>959</v>
      </c>
      <c r="H360" s="1" t="s">
        <v>738</v>
      </c>
      <c r="I360" s="1"/>
      <c r="J360" s="1"/>
      <c r="K360" s="1"/>
      <c r="L360" s="1"/>
      <c r="M360" s="1"/>
      <c r="N360" s="1"/>
      <c r="O360" s="1"/>
      <c r="P360" s="1"/>
      <c r="Q360" s="1"/>
      <c r="R360" s="1"/>
      <c r="T360" s="1"/>
      <c r="U360" s="1"/>
      <c r="V360" s="1"/>
      <c r="W360" s="1"/>
      <c r="X360" s="1"/>
      <c r="Y360" s="1"/>
      <c r="Z360" s="1"/>
      <c r="AB360" s="1"/>
      <c r="AC360" s="1"/>
      <c r="AD360" s="1"/>
      <c r="AE360" s="1"/>
      <c r="AF360" s="1"/>
      <c r="AG360" s="1"/>
      <c r="AH360" s="1"/>
      <c r="AI360" s="1"/>
      <c r="AL360" s="1"/>
      <c r="AN360" s="1"/>
      <c r="AO360" s="1"/>
      <c r="AP360" s="1"/>
      <c r="AQ360" s="1"/>
      <c r="AR360" s="1"/>
      <c r="AS360" s="1"/>
      <c r="AT360" s="1"/>
      <c r="AU360" s="1"/>
      <c r="AV360" s="1"/>
    </row>
    <row r="361" spans="2:48" x14ac:dyDescent="0.3">
      <c r="B361" s="1" t="s">
        <v>960</v>
      </c>
      <c r="H361" s="1" t="s">
        <v>738</v>
      </c>
      <c r="I361" s="1"/>
      <c r="J361" s="1"/>
      <c r="K361" s="1"/>
      <c r="L361" s="1"/>
      <c r="M361" s="1"/>
      <c r="N361" s="1"/>
      <c r="O361" s="1"/>
      <c r="P361" s="1"/>
      <c r="Q361" s="1"/>
      <c r="R361" s="1"/>
      <c r="T361" s="1"/>
      <c r="U361" s="1"/>
      <c r="V361" s="1"/>
      <c r="W361" s="1"/>
      <c r="X361" s="1"/>
      <c r="Y361" s="1"/>
      <c r="Z361" s="1"/>
      <c r="AB361" s="1"/>
      <c r="AC361" s="1"/>
      <c r="AD361" s="1"/>
      <c r="AE361" s="1"/>
      <c r="AF361" s="1"/>
      <c r="AG361" s="1"/>
      <c r="AH361" s="1"/>
      <c r="AI361" s="1"/>
      <c r="AL361" s="1"/>
      <c r="AN361" s="1"/>
      <c r="AO361" s="1"/>
      <c r="AP361" s="1"/>
      <c r="AQ361" s="1"/>
      <c r="AR361" s="1"/>
      <c r="AS361" s="1"/>
      <c r="AT361" s="1"/>
      <c r="AU361" s="1"/>
      <c r="AV361" s="1"/>
    </row>
    <row r="362" spans="2:48" x14ac:dyDescent="0.3">
      <c r="B362" s="1" t="s">
        <v>961</v>
      </c>
      <c r="H362" s="1" t="s">
        <v>738</v>
      </c>
      <c r="I362" s="1"/>
      <c r="J362" s="1"/>
      <c r="K362" s="1"/>
      <c r="L362" s="1"/>
      <c r="M362" s="1"/>
      <c r="N362" s="1"/>
      <c r="O362" s="1"/>
      <c r="P362" s="1"/>
      <c r="Q362" s="1"/>
      <c r="R362" s="1"/>
      <c r="T362" s="1"/>
      <c r="U362" s="1"/>
      <c r="V362" s="1"/>
      <c r="W362" s="1"/>
      <c r="X362" s="1"/>
      <c r="Y362" s="1"/>
      <c r="Z362" s="1"/>
      <c r="AB362" s="1"/>
      <c r="AC362" s="1"/>
      <c r="AD362" s="1"/>
      <c r="AE362" s="1"/>
      <c r="AF362" s="1"/>
      <c r="AG362" s="1"/>
      <c r="AH362" s="1"/>
      <c r="AI362" s="1"/>
      <c r="AL362" s="1"/>
      <c r="AN362" s="1"/>
      <c r="AO362" s="1"/>
      <c r="AP362" s="1"/>
      <c r="AQ362" s="1"/>
      <c r="AR362" s="1"/>
      <c r="AS362" s="1"/>
      <c r="AT362" s="1"/>
      <c r="AU362" s="1"/>
      <c r="AV362" s="1"/>
    </row>
    <row r="363" spans="2:48" x14ac:dyDescent="0.3">
      <c r="B363" s="1" t="s">
        <v>962</v>
      </c>
      <c r="H363" s="1" t="s">
        <v>738</v>
      </c>
      <c r="I363" s="1"/>
      <c r="J363" s="1"/>
      <c r="K363" s="1"/>
      <c r="L363" s="1"/>
      <c r="M363" s="1"/>
      <c r="N363" s="1"/>
      <c r="O363" s="1"/>
      <c r="P363" s="1"/>
      <c r="Q363" s="1"/>
      <c r="R363" s="1"/>
      <c r="T363" s="1"/>
      <c r="U363" s="1"/>
      <c r="V363" s="1"/>
      <c r="W363" s="1"/>
      <c r="X363" s="1"/>
      <c r="Y363" s="1"/>
      <c r="Z363" s="1"/>
      <c r="AB363" s="1"/>
      <c r="AC363" s="1"/>
      <c r="AD363" s="1"/>
      <c r="AE363" s="1"/>
      <c r="AF363" s="1"/>
      <c r="AG363" s="1"/>
      <c r="AH363" s="1"/>
      <c r="AI363" s="1"/>
      <c r="AL363" s="1"/>
      <c r="AN363" s="1"/>
      <c r="AO363" s="1"/>
      <c r="AP363" s="1"/>
      <c r="AQ363" s="1"/>
      <c r="AR363" s="1"/>
      <c r="AS363" s="1"/>
      <c r="AT363" s="1"/>
      <c r="AU363" s="1"/>
      <c r="AV363" s="1"/>
    </row>
    <row r="364" spans="2:48" x14ac:dyDescent="0.3">
      <c r="B364" s="1" t="s">
        <v>963</v>
      </c>
      <c r="H364" s="1" t="s">
        <v>738</v>
      </c>
      <c r="I364" s="1"/>
      <c r="J364" s="1"/>
      <c r="K364" s="1"/>
      <c r="L364" s="1"/>
      <c r="M364" s="1"/>
      <c r="N364" s="1"/>
      <c r="O364" s="1"/>
      <c r="P364" s="1"/>
      <c r="Q364" s="1"/>
      <c r="R364" s="1"/>
      <c r="T364" s="1"/>
      <c r="U364" s="1"/>
      <c r="V364" s="1"/>
      <c r="W364" s="1"/>
      <c r="X364" s="1"/>
      <c r="Y364" s="1"/>
      <c r="Z364" s="1"/>
      <c r="AB364" s="1"/>
      <c r="AC364" s="1"/>
      <c r="AD364" s="1"/>
      <c r="AE364" s="1"/>
      <c r="AF364" s="1"/>
      <c r="AG364" s="1"/>
      <c r="AH364" s="1"/>
      <c r="AI364" s="1"/>
      <c r="AL364" s="1"/>
      <c r="AN364" s="1"/>
      <c r="AO364" s="1"/>
      <c r="AP364" s="1"/>
      <c r="AQ364" s="1"/>
      <c r="AR364" s="1"/>
      <c r="AS364" s="1"/>
      <c r="AT364" s="1"/>
      <c r="AU364" s="1"/>
      <c r="AV364" s="1"/>
    </row>
    <row r="365" spans="2:48" x14ac:dyDescent="0.3">
      <c r="B365" s="1" t="s">
        <v>964</v>
      </c>
      <c r="H365" s="1" t="s">
        <v>738</v>
      </c>
      <c r="I365" s="1"/>
      <c r="J365" s="1"/>
      <c r="K365" s="1"/>
      <c r="L365" s="1"/>
      <c r="M365" s="1"/>
      <c r="N365" s="1"/>
      <c r="O365" s="1"/>
      <c r="P365" s="1"/>
      <c r="Q365" s="1"/>
      <c r="R365" s="1"/>
      <c r="T365" s="1"/>
      <c r="U365" s="1"/>
      <c r="V365" s="1"/>
      <c r="W365" s="1"/>
      <c r="X365" s="1"/>
      <c r="Y365" s="1"/>
      <c r="Z365" s="1"/>
      <c r="AB365" s="1"/>
      <c r="AC365" s="1"/>
      <c r="AD365" s="1"/>
      <c r="AE365" s="1"/>
      <c r="AF365" s="1"/>
      <c r="AG365" s="1"/>
      <c r="AH365" s="1"/>
      <c r="AI365" s="1"/>
      <c r="AL365" s="1"/>
      <c r="AN365" s="1"/>
      <c r="AO365" s="1"/>
      <c r="AP365" s="1"/>
      <c r="AQ365" s="1"/>
      <c r="AR365" s="1"/>
      <c r="AS365" s="1"/>
      <c r="AT365" s="1"/>
      <c r="AU365" s="1"/>
      <c r="AV365" s="1"/>
    </row>
    <row r="366" spans="2:48" x14ac:dyDescent="0.3">
      <c r="B366" s="1" t="s">
        <v>965</v>
      </c>
      <c r="H366" s="1" t="s">
        <v>738</v>
      </c>
      <c r="I366" s="1"/>
      <c r="J366" s="1"/>
      <c r="K366" s="1"/>
      <c r="L366" s="1"/>
      <c r="M366" s="1"/>
      <c r="N366" s="1"/>
      <c r="O366" s="1"/>
      <c r="P366" s="1"/>
      <c r="Q366" s="1"/>
      <c r="R366" s="1"/>
      <c r="T366" s="1"/>
      <c r="U366" s="1"/>
      <c r="V366" s="1"/>
      <c r="W366" s="1"/>
      <c r="X366" s="1"/>
      <c r="Y366" s="1"/>
      <c r="Z366" s="1"/>
      <c r="AB366" s="1"/>
      <c r="AC366" s="1"/>
      <c r="AD366" s="1"/>
      <c r="AE366" s="1"/>
      <c r="AF366" s="1"/>
      <c r="AG366" s="1"/>
      <c r="AH366" s="1"/>
      <c r="AI366" s="1"/>
      <c r="AL366" s="1"/>
      <c r="AN366" s="1"/>
      <c r="AO366" s="1"/>
      <c r="AP366" s="1"/>
      <c r="AQ366" s="1"/>
      <c r="AR366" s="1"/>
      <c r="AS366" s="1"/>
      <c r="AT366" s="1"/>
      <c r="AU366" s="1"/>
      <c r="AV366" s="1"/>
    </row>
    <row r="367" spans="2:48" x14ac:dyDescent="0.3">
      <c r="B367" s="1" t="s">
        <v>966</v>
      </c>
      <c r="H367" s="1" t="s">
        <v>738</v>
      </c>
      <c r="I367" s="1"/>
      <c r="J367" s="1"/>
      <c r="K367" s="1"/>
      <c r="L367" s="1"/>
      <c r="M367" s="1"/>
      <c r="N367" s="1"/>
      <c r="O367" s="1"/>
      <c r="P367" s="1"/>
      <c r="Q367" s="1"/>
      <c r="R367" s="1"/>
      <c r="T367" s="1"/>
      <c r="U367" s="1"/>
      <c r="V367" s="1"/>
      <c r="W367" s="1"/>
      <c r="X367" s="1"/>
      <c r="Y367" s="1"/>
      <c r="Z367" s="1"/>
      <c r="AB367" s="1"/>
      <c r="AC367" s="1"/>
      <c r="AD367" s="1"/>
      <c r="AE367" s="1"/>
      <c r="AF367" s="1"/>
      <c r="AG367" s="1"/>
      <c r="AH367" s="1"/>
      <c r="AI367" s="1"/>
      <c r="AL367" s="1"/>
      <c r="AN367" s="1"/>
      <c r="AO367" s="1"/>
      <c r="AP367" s="1"/>
      <c r="AQ367" s="1"/>
      <c r="AR367" s="1"/>
      <c r="AS367" s="1"/>
      <c r="AT367" s="1"/>
      <c r="AU367" s="1"/>
      <c r="AV367" s="1"/>
    </row>
    <row r="368" spans="2:48" x14ac:dyDescent="0.3">
      <c r="B368" s="1" t="s">
        <v>967</v>
      </c>
      <c r="H368" s="1" t="s">
        <v>738</v>
      </c>
      <c r="I368" s="1"/>
      <c r="J368" s="1"/>
      <c r="K368" s="1"/>
      <c r="L368" s="1"/>
      <c r="M368" s="1"/>
      <c r="N368" s="1"/>
      <c r="O368" s="1"/>
      <c r="P368" s="1"/>
      <c r="Q368" s="1"/>
      <c r="R368" s="1"/>
      <c r="T368" s="1"/>
      <c r="U368" s="1"/>
      <c r="V368" s="1"/>
      <c r="W368" s="1"/>
      <c r="X368" s="1"/>
      <c r="Y368" s="1"/>
      <c r="Z368" s="1"/>
      <c r="AB368" s="1"/>
      <c r="AC368" s="1"/>
      <c r="AD368" s="1"/>
      <c r="AE368" s="1"/>
      <c r="AF368" s="1"/>
      <c r="AG368" s="1"/>
      <c r="AH368" s="1"/>
      <c r="AI368" s="1"/>
      <c r="AL368" s="1"/>
      <c r="AN368" s="1"/>
      <c r="AO368" s="1"/>
      <c r="AP368" s="1"/>
      <c r="AQ368" s="1"/>
      <c r="AR368" s="1"/>
      <c r="AS368" s="1"/>
      <c r="AT368" s="1"/>
      <c r="AU368" s="1"/>
      <c r="AV368" s="1"/>
    </row>
    <row r="369" spans="2:48" x14ac:dyDescent="0.3">
      <c r="B369" s="1" t="s">
        <v>968</v>
      </c>
      <c r="H369" s="1" t="s">
        <v>738</v>
      </c>
      <c r="I369" s="1"/>
      <c r="J369" s="1"/>
      <c r="K369" s="1"/>
      <c r="L369" s="1"/>
      <c r="M369" s="1"/>
      <c r="N369" s="1"/>
      <c r="O369" s="1"/>
      <c r="P369" s="1"/>
      <c r="Q369" s="1"/>
      <c r="R369" s="1"/>
      <c r="T369" s="1"/>
      <c r="U369" s="1"/>
      <c r="V369" s="1"/>
      <c r="W369" s="1"/>
      <c r="X369" s="1"/>
      <c r="Y369" s="1"/>
      <c r="Z369" s="1"/>
      <c r="AB369" s="1"/>
      <c r="AC369" s="1"/>
      <c r="AD369" s="1"/>
      <c r="AE369" s="1"/>
      <c r="AF369" s="1"/>
      <c r="AG369" s="1"/>
      <c r="AH369" s="1"/>
      <c r="AI369" s="1"/>
      <c r="AL369" s="1"/>
      <c r="AN369" s="1"/>
      <c r="AO369" s="1"/>
      <c r="AP369" s="1"/>
      <c r="AQ369" s="1"/>
      <c r="AR369" s="1"/>
      <c r="AS369" s="1"/>
      <c r="AT369" s="1"/>
      <c r="AU369" s="1"/>
      <c r="AV369" s="1"/>
    </row>
    <row r="370" spans="2:48" x14ac:dyDescent="0.3">
      <c r="B370" s="1" t="s">
        <v>969</v>
      </c>
      <c r="H370" s="1" t="s">
        <v>738</v>
      </c>
      <c r="I370" s="1"/>
      <c r="J370" s="1"/>
      <c r="K370" s="1"/>
      <c r="L370" s="1"/>
      <c r="M370" s="1"/>
      <c r="N370" s="1"/>
      <c r="O370" s="1"/>
      <c r="P370" s="1"/>
      <c r="Q370" s="1"/>
      <c r="R370" s="1"/>
      <c r="T370" s="1"/>
      <c r="U370" s="1"/>
      <c r="V370" s="1"/>
      <c r="W370" s="1"/>
      <c r="X370" s="1"/>
      <c r="Y370" s="1"/>
      <c r="Z370" s="1"/>
      <c r="AB370" s="1"/>
      <c r="AC370" s="1"/>
      <c r="AD370" s="1"/>
      <c r="AE370" s="1"/>
      <c r="AF370" s="1"/>
      <c r="AG370" s="1"/>
      <c r="AH370" s="1"/>
      <c r="AI370" s="1"/>
      <c r="AL370" s="1"/>
      <c r="AN370" s="1"/>
      <c r="AO370" s="1"/>
      <c r="AP370" s="1"/>
      <c r="AQ370" s="1"/>
      <c r="AR370" s="1"/>
      <c r="AS370" s="1"/>
      <c r="AT370" s="1"/>
      <c r="AU370" s="1"/>
      <c r="AV370" s="1"/>
    </row>
    <row r="371" spans="2:48" x14ac:dyDescent="0.3">
      <c r="B371" s="1" t="s">
        <v>970</v>
      </c>
      <c r="H371" s="1" t="s">
        <v>738</v>
      </c>
      <c r="I371" s="1"/>
      <c r="J371" s="1"/>
      <c r="K371" s="1"/>
      <c r="L371" s="1"/>
      <c r="M371" s="1"/>
      <c r="N371" s="1"/>
      <c r="O371" s="1"/>
      <c r="P371" s="1"/>
      <c r="Q371" s="1"/>
      <c r="R371" s="1"/>
      <c r="T371" s="1"/>
      <c r="U371" s="1"/>
      <c r="V371" s="1"/>
      <c r="W371" s="1"/>
      <c r="X371" s="1"/>
      <c r="Y371" s="1"/>
      <c r="Z371" s="1"/>
      <c r="AB371" s="1"/>
      <c r="AC371" s="1"/>
      <c r="AD371" s="1"/>
      <c r="AE371" s="1"/>
      <c r="AF371" s="1"/>
      <c r="AG371" s="1"/>
      <c r="AH371" s="1"/>
      <c r="AI371" s="1"/>
      <c r="AL371" s="1"/>
      <c r="AN371" s="1"/>
      <c r="AO371" s="1"/>
      <c r="AP371" s="1"/>
      <c r="AQ371" s="1"/>
      <c r="AR371" s="1"/>
      <c r="AS371" s="1"/>
      <c r="AT371" s="1"/>
      <c r="AU371" s="1"/>
      <c r="AV371" s="1"/>
    </row>
    <row r="372" spans="2:48" x14ac:dyDescent="0.3">
      <c r="B372" s="1" t="s">
        <v>971</v>
      </c>
      <c r="H372" s="1" t="s">
        <v>738</v>
      </c>
      <c r="I372" s="1"/>
      <c r="J372" s="1"/>
      <c r="K372" s="1"/>
      <c r="L372" s="1"/>
      <c r="M372" s="1"/>
      <c r="N372" s="1"/>
      <c r="O372" s="1"/>
      <c r="P372" s="1"/>
      <c r="Q372" s="1"/>
      <c r="R372" s="1"/>
      <c r="T372" s="1"/>
      <c r="U372" s="1"/>
      <c r="V372" s="1"/>
      <c r="W372" s="1"/>
      <c r="X372" s="1"/>
      <c r="Y372" s="1"/>
      <c r="Z372" s="1"/>
      <c r="AB372" s="1"/>
      <c r="AC372" s="1"/>
      <c r="AD372" s="1"/>
      <c r="AE372" s="1"/>
      <c r="AF372" s="1"/>
      <c r="AG372" s="1"/>
      <c r="AH372" s="1"/>
      <c r="AI372" s="1"/>
      <c r="AL372" s="1"/>
      <c r="AN372" s="1"/>
      <c r="AO372" s="1"/>
      <c r="AP372" s="1"/>
      <c r="AQ372" s="1"/>
      <c r="AR372" s="1"/>
      <c r="AS372" s="1"/>
      <c r="AT372" s="1"/>
      <c r="AU372" s="1"/>
      <c r="AV372" s="1"/>
    </row>
    <row r="373" spans="2:48" x14ac:dyDescent="0.3">
      <c r="B373" s="1" t="s">
        <v>972</v>
      </c>
      <c r="H373" s="1" t="s">
        <v>738</v>
      </c>
      <c r="I373" s="1"/>
      <c r="J373" s="1"/>
      <c r="K373" s="1"/>
      <c r="L373" s="1"/>
      <c r="M373" s="1"/>
      <c r="N373" s="1"/>
      <c r="O373" s="1"/>
      <c r="P373" s="1"/>
      <c r="Q373" s="1"/>
      <c r="R373" s="1"/>
      <c r="T373" s="1"/>
      <c r="U373" s="1"/>
      <c r="V373" s="1"/>
      <c r="W373" s="1"/>
      <c r="X373" s="1"/>
      <c r="Y373" s="1"/>
      <c r="Z373" s="1"/>
      <c r="AB373" s="1"/>
      <c r="AC373" s="1"/>
      <c r="AD373" s="1"/>
      <c r="AE373" s="1"/>
      <c r="AF373" s="1"/>
      <c r="AG373" s="1"/>
      <c r="AH373" s="1"/>
      <c r="AI373" s="1"/>
      <c r="AL373" s="1"/>
      <c r="AN373" s="1"/>
      <c r="AO373" s="1"/>
      <c r="AP373" s="1"/>
      <c r="AQ373" s="1"/>
      <c r="AR373" s="1"/>
      <c r="AS373" s="1"/>
      <c r="AT373" s="1"/>
      <c r="AU373" s="1"/>
      <c r="AV373" s="1"/>
    </row>
    <row r="374" spans="2:48" x14ac:dyDescent="0.3">
      <c r="B374" s="1" t="s">
        <v>973</v>
      </c>
      <c r="H374" s="1" t="s">
        <v>738</v>
      </c>
      <c r="I374" s="1"/>
      <c r="J374" s="1"/>
      <c r="K374" s="1"/>
      <c r="L374" s="1"/>
      <c r="M374" s="1"/>
      <c r="N374" s="1"/>
      <c r="O374" s="1"/>
      <c r="P374" s="1"/>
      <c r="Q374" s="1"/>
      <c r="R374" s="1"/>
      <c r="T374" s="1"/>
      <c r="U374" s="1"/>
      <c r="V374" s="1"/>
      <c r="W374" s="1"/>
      <c r="X374" s="1"/>
      <c r="Y374" s="1"/>
      <c r="Z374" s="1"/>
      <c r="AB374" s="1"/>
      <c r="AC374" s="1"/>
      <c r="AD374" s="1"/>
      <c r="AE374" s="1"/>
      <c r="AF374" s="1"/>
      <c r="AG374" s="1"/>
      <c r="AH374" s="1"/>
      <c r="AI374" s="1"/>
      <c r="AL374" s="1"/>
      <c r="AN374" s="1"/>
      <c r="AO374" s="1"/>
      <c r="AP374" s="1"/>
      <c r="AQ374" s="1"/>
      <c r="AR374" s="1"/>
      <c r="AS374" s="1"/>
      <c r="AT374" s="1"/>
      <c r="AU374" s="1"/>
      <c r="AV374" s="1"/>
    </row>
    <row r="375" spans="2:48" x14ac:dyDescent="0.3">
      <c r="B375" s="1" t="s">
        <v>974</v>
      </c>
      <c r="H375" s="1" t="s">
        <v>738</v>
      </c>
      <c r="I375" s="1"/>
      <c r="J375" s="1"/>
      <c r="K375" s="1"/>
      <c r="L375" s="1"/>
      <c r="M375" s="1"/>
      <c r="N375" s="1"/>
      <c r="O375" s="1"/>
      <c r="P375" s="1"/>
      <c r="Q375" s="1"/>
      <c r="R375" s="1"/>
      <c r="T375" s="1"/>
      <c r="U375" s="1"/>
      <c r="V375" s="1"/>
      <c r="W375" s="1"/>
      <c r="X375" s="1"/>
      <c r="Y375" s="1"/>
      <c r="Z375" s="1"/>
      <c r="AB375" s="1"/>
      <c r="AC375" s="1"/>
      <c r="AD375" s="1"/>
      <c r="AE375" s="1"/>
      <c r="AF375" s="1"/>
      <c r="AG375" s="1"/>
      <c r="AH375" s="1"/>
      <c r="AI375" s="1"/>
      <c r="AL375" s="1"/>
      <c r="AN375" s="1"/>
      <c r="AO375" s="1"/>
      <c r="AP375" s="1"/>
      <c r="AQ375" s="1"/>
      <c r="AR375" s="1"/>
      <c r="AS375" s="1"/>
      <c r="AT375" s="1"/>
      <c r="AU375" s="1"/>
      <c r="AV375" s="1"/>
    </row>
    <row r="376" spans="2:48" x14ac:dyDescent="0.3">
      <c r="B376" s="1" t="s">
        <v>975</v>
      </c>
      <c r="H376" s="1" t="s">
        <v>738</v>
      </c>
      <c r="I376" s="1"/>
      <c r="J376" s="1"/>
      <c r="K376" s="1"/>
      <c r="L376" s="1"/>
      <c r="M376" s="1"/>
      <c r="N376" s="1"/>
      <c r="O376" s="1"/>
      <c r="P376" s="1"/>
      <c r="Q376" s="1"/>
      <c r="R376" s="1"/>
      <c r="T376" s="1"/>
      <c r="U376" s="1"/>
      <c r="V376" s="1"/>
      <c r="W376" s="1"/>
      <c r="X376" s="1"/>
      <c r="Y376" s="1"/>
      <c r="Z376" s="1"/>
      <c r="AB376" s="1"/>
      <c r="AC376" s="1"/>
      <c r="AD376" s="1"/>
      <c r="AE376" s="1"/>
      <c r="AF376" s="1"/>
      <c r="AG376" s="1"/>
      <c r="AH376" s="1"/>
      <c r="AI376" s="1"/>
      <c r="AL376" s="1"/>
      <c r="AN376" s="1"/>
      <c r="AO376" s="1"/>
      <c r="AP376" s="1"/>
      <c r="AQ376" s="1"/>
      <c r="AR376" s="1"/>
      <c r="AS376" s="1"/>
      <c r="AT376" s="1"/>
      <c r="AU376" s="1"/>
      <c r="AV376" s="1"/>
    </row>
    <row r="377" spans="2:48" x14ac:dyDescent="0.3">
      <c r="B377" s="1" t="s">
        <v>976</v>
      </c>
      <c r="H377" s="1" t="s">
        <v>738</v>
      </c>
      <c r="I377" s="1"/>
      <c r="J377" s="1"/>
      <c r="K377" s="1"/>
      <c r="L377" s="1"/>
      <c r="M377" s="1"/>
      <c r="N377" s="1"/>
      <c r="O377" s="1"/>
      <c r="P377" s="1"/>
      <c r="Q377" s="1"/>
      <c r="R377" s="1"/>
      <c r="T377" s="1"/>
      <c r="U377" s="1"/>
      <c r="V377" s="1"/>
      <c r="W377" s="1"/>
      <c r="X377" s="1"/>
      <c r="Y377" s="1"/>
      <c r="Z377" s="1"/>
      <c r="AB377" s="1"/>
      <c r="AC377" s="1"/>
      <c r="AD377" s="1"/>
      <c r="AE377" s="1"/>
      <c r="AF377" s="1"/>
      <c r="AG377" s="1"/>
      <c r="AH377" s="1"/>
      <c r="AI377" s="1"/>
      <c r="AL377" s="1"/>
      <c r="AN377" s="1"/>
      <c r="AO377" s="1"/>
      <c r="AP377" s="1"/>
      <c r="AQ377" s="1"/>
      <c r="AR377" s="1"/>
      <c r="AS377" s="1"/>
      <c r="AT377" s="1"/>
      <c r="AU377" s="1"/>
      <c r="AV377" s="1"/>
    </row>
    <row r="378" spans="2:48" x14ac:dyDescent="0.3">
      <c r="B378" s="1" t="s">
        <v>977</v>
      </c>
      <c r="H378" s="1" t="s">
        <v>738</v>
      </c>
      <c r="I378" s="1"/>
      <c r="J378" s="1"/>
      <c r="K378" s="1"/>
      <c r="L378" s="1"/>
      <c r="M378" s="1"/>
      <c r="N378" s="1"/>
      <c r="O378" s="1"/>
      <c r="P378" s="1"/>
      <c r="Q378" s="1"/>
      <c r="R378" s="1"/>
      <c r="T378" s="1"/>
      <c r="U378" s="1"/>
      <c r="V378" s="1"/>
      <c r="W378" s="1"/>
      <c r="X378" s="1"/>
      <c r="Y378" s="1"/>
      <c r="Z378" s="1"/>
      <c r="AB378" s="1"/>
      <c r="AC378" s="1"/>
      <c r="AD378" s="1"/>
      <c r="AE378" s="1"/>
      <c r="AF378" s="1"/>
      <c r="AG378" s="1"/>
      <c r="AH378" s="1"/>
      <c r="AI378" s="1"/>
      <c r="AL378" s="1"/>
      <c r="AN378" s="1"/>
      <c r="AO378" s="1"/>
      <c r="AP378" s="1"/>
      <c r="AQ378" s="1"/>
      <c r="AR378" s="1"/>
      <c r="AS378" s="1"/>
      <c r="AT378" s="1"/>
      <c r="AU378" s="1"/>
      <c r="AV378" s="1"/>
    </row>
    <row r="379" spans="2:48" x14ac:dyDescent="0.3">
      <c r="B379" s="1" t="s">
        <v>978</v>
      </c>
      <c r="H379" s="1" t="s">
        <v>738</v>
      </c>
      <c r="I379" s="1"/>
      <c r="J379" s="1"/>
      <c r="K379" s="1"/>
      <c r="L379" s="1"/>
      <c r="M379" s="1"/>
      <c r="N379" s="1"/>
      <c r="O379" s="1"/>
      <c r="P379" s="1"/>
      <c r="Q379" s="1"/>
      <c r="R379" s="1"/>
      <c r="T379" s="1"/>
      <c r="U379" s="1"/>
      <c r="V379" s="1"/>
      <c r="W379" s="1"/>
      <c r="X379" s="1"/>
      <c r="Y379" s="1"/>
      <c r="Z379" s="1"/>
      <c r="AB379" s="1"/>
      <c r="AC379" s="1"/>
      <c r="AD379" s="1"/>
      <c r="AE379" s="1"/>
      <c r="AF379" s="1"/>
      <c r="AG379" s="1"/>
      <c r="AH379" s="1"/>
      <c r="AI379" s="1"/>
      <c r="AL379" s="1"/>
      <c r="AN379" s="1"/>
      <c r="AO379" s="1"/>
      <c r="AP379" s="1"/>
      <c r="AQ379" s="1"/>
      <c r="AR379" s="1"/>
      <c r="AS379" s="1"/>
      <c r="AT379" s="1"/>
      <c r="AU379" s="1"/>
      <c r="AV379" s="1"/>
    </row>
    <row r="380" spans="2:48" x14ac:dyDescent="0.3">
      <c r="B380" s="1" t="s">
        <v>979</v>
      </c>
      <c r="H380" s="1" t="s">
        <v>738</v>
      </c>
      <c r="I380" s="1"/>
      <c r="J380" s="1"/>
      <c r="K380" s="1"/>
      <c r="L380" s="1"/>
      <c r="M380" s="1"/>
      <c r="N380" s="1"/>
      <c r="O380" s="1"/>
      <c r="P380" s="1"/>
      <c r="Q380" s="1"/>
      <c r="R380" s="1"/>
      <c r="T380" s="1"/>
      <c r="U380" s="1"/>
      <c r="V380" s="1"/>
      <c r="W380" s="1"/>
      <c r="X380" s="1"/>
      <c r="Y380" s="1"/>
      <c r="Z380" s="1"/>
      <c r="AB380" s="1"/>
      <c r="AC380" s="1"/>
      <c r="AD380" s="1"/>
      <c r="AE380" s="1"/>
      <c r="AF380" s="1"/>
      <c r="AG380" s="1"/>
      <c r="AH380" s="1"/>
      <c r="AI380" s="1"/>
      <c r="AL380" s="1"/>
      <c r="AN380" s="1"/>
      <c r="AO380" s="1"/>
      <c r="AP380" s="1"/>
      <c r="AQ380" s="1"/>
      <c r="AR380" s="1"/>
      <c r="AS380" s="1"/>
      <c r="AT380" s="1"/>
      <c r="AU380" s="1"/>
      <c r="AV380" s="1"/>
    </row>
    <row r="381" spans="2:48" x14ac:dyDescent="0.3">
      <c r="B381" s="1" t="s">
        <v>980</v>
      </c>
      <c r="H381" s="1" t="s">
        <v>738</v>
      </c>
      <c r="I381" s="1"/>
      <c r="J381" s="1"/>
      <c r="K381" s="1"/>
      <c r="L381" s="1"/>
      <c r="M381" s="1"/>
      <c r="N381" s="1"/>
      <c r="O381" s="1"/>
      <c r="P381" s="1"/>
      <c r="Q381" s="1"/>
      <c r="R381" s="1"/>
      <c r="T381" s="1"/>
      <c r="U381" s="1"/>
      <c r="V381" s="1"/>
      <c r="W381" s="1"/>
      <c r="X381" s="1"/>
      <c r="Y381" s="1"/>
      <c r="Z381" s="1"/>
      <c r="AB381" s="1"/>
      <c r="AC381" s="1"/>
      <c r="AD381" s="1"/>
      <c r="AE381" s="1"/>
      <c r="AF381" s="1"/>
      <c r="AG381" s="1"/>
      <c r="AH381" s="1"/>
      <c r="AI381" s="1"/>
      <c r="AL381" s="1"/>
      <c r="AN381" s="1"/>
      <c r="AO381" s="1"/>
      <c r="AP381" s="1"/>
      <c r="AQ381" s="1"/>
      <c r="AR381" s="1"/>
      <c r="AS381" s="1"/>
      <c r="AT381" s="1"/>
      <c r="AU381" s="1"/>
      <c r="AV381" s="1"/>
    </row>
    <row r="382" spans="2:48" x14ac:dyDescent="0.3">
      <c r="B382" s="1" t="s">
        <v>981</v>
      </c>
      <c r="H382" s="1" t="s">
        <v>738</v>
      </c>
      <c r="I382" s="1"/>
      <c r="J382" s="1"/>
      <c r="K382" s="1"/>
      <c r="L382" s="1"/>
      <c r="M382" s="1"/>
      <c r="N382" s="1"/>
      <c r="O382" s="1"/>
      <c r="P382" s="1"/>
      <c r="Q382" s="1"/>
      <c r="R382" s="1"/>
      <c r="T382" s="1"/>
      <c r="U382" s="1"/>
      <c r="V382" s="1"/>
      <c r="W382" s="1"/>
      <c r="X382" s="1"/>
      <c r="Y382" s="1"/>
      <c r="Z382" s="1"/>
      <c r="AB382" s="1"/>
      <c r="AC382" s="1"/>
      <c r="AD382" s="1"/>
      <c r="AE382" s="1"/>
      <c r="AF382" s="1"/>
      <c r="AG382" s="1"/>
      <c r="AH382" s="1"/>
      <c r="AI382" s="1"/>
      <c r="AL382" s="1"/>
      <c r="AN382" s="1"/>
      <c r="AO382" s="1"/>
      <c r="AP382" s="1"/>
      <c r="AQ382" s="1"/>
      <c r="AR382" s="1"/>
      <c r="AS382" s="1"/>
      <c r="AT382" s="1"/>
      <c r="AU382" s="1"/>
      <c r="AV382" s="1"/>
    </row>
    <row r="383" spans="2:48" x14ac:dyDescent="0.3">
      <c r="B383" s="1" t="s">
        <v>982</v>
      </c>
      <c r="H383" s="1" t="s">
        <v>738</v>
      </c>
      <c r="I383" s="1"/>
      <c r="J383" s="1"/>
      <c r="K383" s="1"/>
      <c r="L383" s="1"/>
      <c r="M383" s="1"/>
      <c r="N383" s="1"/>
      <c r="O383" s="1"/>
      <c r="P383" s="1"/>
      <c r="Q383" s="1"/>
      <c r="R383" s="1"/>
      <c r="T383" s="1"/>
      <c r="U383" s="1"/>
      <c r="V383" s="1"/>
      <c r="W383" s="1"/>
      <c r="X383" s="1"/>
      <c r="Y383" s="1"/>
      <c r="Z383" s="1"/>
      <c r="AB383" s="1"/>
      <c r="AC383" s="1"/>
      <c r="AD383" s="1"/>
      <c r="AE383" s="1"/>
      <c r="AF383" s="1"/>
      <c r="AG383" s="1"/>
      <c r="AH383" s="1"/>
      <c r="AI383" s="1"/>
      <c r="AL383" s="1"/>
      <c r="AN383" s="1"/>
      <c r="AO383" s="1"/>
      <c r="AP383" s="1"/>
      <c r="AQ383" s="1"/>
      <c r="AR383" s="1"/>
      <c r="AS383" s="1"/>
      <c r="AT383" s="1"/>
      <c r="AU383" s="1"/>
      <c r="AV383" s="1"/>
    </row>
    <row r="384" spans="2:48" x14ac:dyDescent="0.3">
      <c r="B384" s="1" t="s">
        <v>983</v>
      </c>
      <c r="H384" s="1" t="s">
        <v>738</v>
      </c>
      <c r="I384" s="1"/>
      <c r="J384" s="1"/>
      <c r="K384" s="1"/>
      <c r="L384" s="1"/>
      <c r="M384" s="1"/>
      <c r="N384" s="1"/>
      <c r="O384" s="1"/>
      <c r="P384" s="1"/>
      <c r="Q384" s="1"/>
      <c r="R384" s="1"/>
      <c r="T384" s="1"/>
      <c r="U384" s="1"/>
      <c r="V384" s="1"/>
      <c r="W384" s="1"/>
      <c r="X384" s="1"/>
      <c r="Y384" s="1"/>
      <c r="Z384" s="1"/>
      <c r="AB384" s="1"/>
      <c r="AC384" s="1"/>
      <c r="AD384" s="1"/>
      <c r="AE384" s="1"/>
      <c r="AF384" s="1"/>
      <c r="AG384" s="1"/>
      <c r="AH384" s="1"/>
      <c r="AI384" s="1"/>
      <c r="AL384" s="1"/>
      <c r="AN384" s="1"/>
      <c r="AO384" s="1"/>
      <c r="AP384" s="1"/>
      <c r="AQ384" s="1"/>
      <c r="AR384" s="1"/>
      <c r="AS384" s="1"/>
      <c r="AT384" s="1"/>
      <c r="AU384" s="1"/>
      <c r="AV384" s="1"/>
    </row>
    <row r="385" spans="2:48" x14ac:dyDescent="0.3">
      <c r="B385" s="1" t="s">
        <v>984</v>
      </c>
      <c r="H385" s="1" t="s">
        <v>738</v>
      </c>
      <c r="I385" s="1"/>
      <c r="J385" s="1"/>
      <c r="K385" s="1"/>
      <c r="L385" s="1"/>
      <c r="M385" s="1"/>
      <c r="N385" s="1"/>
      <c r="O385" s="1"/>
      <c r="P385" s="1"/>
      <c r="Q385" s="1"/>
      <c r="R385" s="1"/>
      <c r="T385" s="1"/>
      <c r="U385" s="1"/>
      <c r="V385" s="1"/>
      <c r="W385" s="1"/>
      <c r="X385" s="1"/>
      <c r="Y385" s="1"/>
      <c r="Z385" s="1"/>
      <c r="AB385" s="1"/>
      <c r="AC385" s="1"/>
      <c r="AD385" s="1"/>
      <c r="AE385" s="1"/>
      <c r="AF385" s="1"/>
      <c r="AG385" s="1"/>
      <c r="AH385" s="1"/>
      <c r="AI385" s="1"/>
      <c r="AL385" s="1"/>
      <c r="AN385" s="1"/>
      <c r="AO385" s="1"/>
      <c r="AP385" s="1"/>
      <c r="AQ385" s="1"/>
      <c r="AR385" s="1"/>
      <c r="AS385" s="1"/>
      <c r="AT385" s="1"/>
      <c r="AU385" s="1"/>
      <c r="AV385" s="1"/>
    </row>
    <row r="386" spans="2:48" x14ac:dyDescent="0.3">
      <c r="B386" s="1" t="s">
        <v>985</v>
      </c>
      <c r="H386" s="1" t="s">
        <v>738</v>
      </c>
      <c r="I386" s="1"/>
      <c r="J386" s="1"/>
      <c r="K386" s="1"/>
      <c r="L386" s="1"/>
      <c r="M386" s="1"/>
      <c r="N386" s="1"/>
      <c r="O386" s="1"/>
      <c r="P386" s="1"/>
      <c r="Q386" s="1"/>
      <c r="R386" s="1"/>
      <c r="T386" s="1"/>
      <c r="U386" s="1"/>
      <c r="V386" s="1"/>
      <c r="W386" s="1"/>
      <c r="X386" s="1"/>
      <c r="Y386" s="1"/>
      <c r="Z386" s="1"/>
      <c r="AB386" s="1"/>
      <c r="AC386" s="1"/>
      <c r="AD386" s="1"/>
      <c r="AE386" s="1"/>
      <c r="AF386" s="1"/>
      <c r="AG386" s="1"/>
      <c r="AH386" s="1"/>
      <c r="AI386" s="1"/>
      <c r="AL386" s="1"/>
      <c r="AN386" s="1"/>
      <c r="AO386" s="1"/>
      <c r="AP386" s="1"/>
      <c r="AQ386" s="1"/>
      <c r="AR386" s="1"/>
      <c r="AS386" s="1"/>
      <c r="AT386" s="1"/>
      <c r="AU386" s="1"/>
      <c r="AV386" s="1"/>
    </row>
    <row r="387" spans="2:48" x14ac:dyDescent="0.3">
      <c r="B387" s="1" t="s">
        <v>986</v>
      </c>
      <c r="H387" s="1" t="s">
        <v>738</v>
      </c>
      <c r="I387" s="1"/>
      <c r="J387" s="1"/>
      <c r="K387" s="1"/>
      <c r="L387" s="1"/>
      <c r="M387" s="1"/>
      <c r="N387" s="1"/>
      <c r="O387" s="1"/>
      <c r="P387" s="1"/>
      <c r="Q387" s="1"/>
      <c r="R387" s="1"/>
      <c r="T387" s="1"/>
      <c r="U387" s="1"/>
      <c r="V387" s="1"/>
      <c r="W387" s="1"/>
      <c r="X387" s="1"/>
      <c r="Y387" s="1"/>
      <c r="Z387" s="1"/>
      <c r="AB387" s="1"/>
      <c r="AC387" s="1"/>
      <c r="AD387" s="1"/>
      <c r="AE387" s="1"/>
      <c r="AF387" s="1"/>
      <c r="AG387" s="1"/>
      <c r="AH387" s="1"/>
      <c r="AI387" s="1"/>
      <c r="AL387" s="1"/>
      <c r="AN387" s="1"/>
      <c r="AO387" s="1"/>
      <c r="AP387" s="1"/>
      <c r="AQ387" s="1"/>
      <c r="AR387" s="1"/>
      <c r="AS387" s="1"/>
      <c r="AT387" s="1"/>
      <c r="AU387" s="1"/>
      <c r="AV387" s="1"/>
    </row>
    <row r="388" spans="2:48" x14ac:dyDescent="0.3">
      <c r="B388" s="1" t="s">
        <v>987</v>
      </c>
      <c r="H388" s="1" t="s">
        <v>738</v>
      </c>
      <c r="I388" s="1"/>
      <c r="J388" s="1"/>
      <c r="K388" s="1"/>
      <c r="L388" s="1"/>
      <c r="M388" s="1"/>
      <c r="N388" s="1"/>
      <c r="O388" s="1"/>
      <c r="P388" s="1"/>
      <c r="Q388" s="1"/>
      <c r="R388" s="1"/>
      <c r="T388" s="1"/>
      <c r="U388" s="1"/>
      <c r="V388" s="1"/>
      <c r="W388" s="1"/>
      <c r="X388" s="1"/>
      <c r="Y388" s="1"/>
      <c r="Z388" s="1"/>
      <c r="AB388" s="1"/>
      <c r="AC388" s="1"/>
      <c r="AD388" s="1"/>
      <c r="AE388" s="1"/>
      <c r="AF388" s="1"/>
      <c r="AG388" s="1"/>
      <c r="AH388" s="1"/>
      <c r="AI388" s="1"/>
      <c r="AL388" s="1"/>
      <c r="AN388" s="1"/>
      <c r="AO388" s="1"/>
      <c r="AP388" s="1"/>
      <c r="AQ388" s="1"/>
      <c r="AR388" s="1"/>
      <c r="AS388" s="1"/>
      <c r="AT388" s="1"/>
      <c r="AU388" s="1"/>
      <c r="AV388" s="1"/>
    </row>
    <row r="389" spans="2:48" x14ac:dyDescent="0.3">
      <c r="B389" s="1" t="s">
        <v>988</v>
      </c>
      <c r="H389" s="1" t="s">
        <v>738</v>
      </c>
      <c r="I389" s="1"/>
      <c r="J389" s="1"/>
      <c r="K389" s="1"/>
      <c r="L389" s="1"/>
      <c r="M389" s="1"/>
      <c r="N389" s="1"/>
      <c r="O389" s="1"/>
      <c r="P389" s="1"/>
      <c r="Q389" s="1"/>
      <c r="R389" s="1"/>
      <c r="T389" s="1"/>
      <c r="U389" s="1"/>
      <c r="V389" s="1"/>
      <c r="W389" s="1"/>
      <c r="X389" s="1"/>
      <c r="Y389" s="1"/>
      <c r="Z389" s="1"/>
      <c r="AB389" s="1"/>
      <c r="AC389" s="1"/>
      <c r="AD389" s="1"/>
      <c r="AE389" s="1"/>
      <c r="AF389" s="1"/>
      <c r="AG389" s="1"/>
      <c r="AH389" s="1"/>
      <c r="AI389" s="1"/>
      <c r="AL389" s="1"/>
      <c r="AN389" s="1"/>
      <c r="AO389" s="1"/>
      <c r="AP389" s="1"/>
      <c r="AQ389" s="1"/>
      <c r="AR389" s="1"/>
      <c r="AS389" s="1"/>
      <c r="AT389" s="1"/>
      <c r="AU389" s="1"/>
      <c r="AV389" s="1"/>
    </row>
    <row r="390" spans="2:48" x14ac:dyDescent="0.3">
      <c r="B390" s="1" t="s">
        <v>989</v>
      </c>
      <c r="H390" s="1" t="s">
        <v>738</v>
      </c>
      <c r="I390" s="1"/>
      <c r="J390" s="1"/>
      <c r="K390" s="1"/>
      <c r="L390" s="1"/>
      <c r="M390" s="1"/>
      <c r="N390" s="1"/>
      <c r="O390" s="1"/>
      <c r="P390" s="1"/>
      <c r="Q390" s="1"/>
      <c r="R390" s="1"/>
      <c r="T390" s="1"/>
      <c r="U390" s="1"/>
      <c r="V390" s="1"/>
      <c r="W390" s="1"/>
      <c r="X390" s="1"/>
      <c r="Y390" s="1"/>
      <c r="Z390" s="1"/>
      <c r="AB390" s="1"/>
      <c r="AC390" s="1"/>
      <c r="AD390" s="1"/>
      <c r="AE390" s="1"/>
      <c r="AF390" s="1"/>
      <c r="AG390" s="1"/>
      <c r="AH390" s="1"/>
      <c r="AI390" s="1"/>
      <c r="AL390" s="1"/>
      <c r="AN390" s="1"/>
      <c r="AO390" s="1"/>
      <c r="AP390" s="1"/>
      <c r="AQ390" s="1"/>
      <c r="AR390" s="1"/>
      <c r="AS390" s="1"/>
      <c r="AT390" s="1"/>
      <c r="AU390" s="1"/>
      <c r="AV390" s="1"/>
    </row>
    <row r="391" spans="2:48" x14ac:dyDescent="0.3">
      <c r="B391" s="1" t="s">
        <v>990</v>
      </c>
      <c r="H391" s="1" t="s">
        <v>738</v>
      </c>
      <c r="I391" s="1"/>
      <c r="J391" s="1"/>
      <c r="K391" s="1"/>
      <c r="L391" s="1"/>
      <c r="M391" s="1"/>
      <c r="N391" s="1"/>
      <c r="O391" s="1"/>
      <c r="P391" s="1"/>
      <c r="Q391" s="1"/>
      <c r="R391" s="1"/>
      <c r="T391" s="1"/>
      <c r="U391" s="1"/>
      <c r="V391" s="1"/>
      <c r="W391" s="1"/>
      <c r="X391" s="1"/>
      <c r="Y391" s="1"/>
      <c r="Z391" s="1"/>
      <c r="AB391" s="1"/>
      <c r="AC391" s="1"/>
      <c r="AD391" s="1"/>
      <c r="AE391" s="1"/>
      <c r="AF391" s="1"/>
      <c r="AG391" s="1"/>
      <c r="AH391" s="1"/>
      <c r="AI391" s="1"/>
      <c r="AL391" s="1"/>
      <c r="AN391" s="1"/>
      <c r="AO391" s="1"/>
      <c r="AP391" s="1"/>
      <c r="AQ391" s="1"/>
      <c r="AR391" s="1"/>
      <c r="AS391" s="1"/>
      <c r="AT391" s="1"/>
      <c r="AU391" s="1"/>
      <c r="AV391" s="1"/>
    </row>
    <row r="392" spans="2:48" x14ac:dyDescent="0.3">
      <c r="B392" s="1" t="s">
        <v>991</v>
      </c>
      <c r="H392" s="1" t="s">
        <v>738</v>
      </c>
      <c r="I392" s="1"/>
      <c r="J392" s="1"/>
      <c r="K392" s="1"/>
      <c r="L392" s="1"/>
      <c r="M392" s="1"/>
      <c r="N392" s="1"/>
      <c r="O392" s="1"/>
      <c r="P392" s="1"/>
      <c r="Q392" s="1"/>
      <c r="R392" s="1"/>
      <c r="T392" s="1"/>
      <c r="U392" s="1"/>
      <c r="V392" s="1"/>
      <c r="W392" s="1"/>
      <c r="X392" s="1"/>
      <c r="Y392" s="1"/>
      <c r="Z392" s="1"/>
      <c r="AB392" s="1"/>
      <c r="AC392" s="1"/>
      <c r="AD392" s="1"/>
      <c r="AE392" s="1"/>
      <c r="AF392" s="1"/>
      <c r="AG392" s="1"/>
      <c r="AH392" s="1"/>
      <c r="AI392" s="1"/>
      <c r="AL392" s="1"/>
      <c r="AN392" s="1"/>
      <c r="AO392" s="1"/>
      <c r="AP392" s="1"/>
      <c r="AQ392" s="1"/>
      <c r="AR392" s="1"/>
      <c r="AS392" s="1"/>
      <c r="AT392" s="1"/>
      <c r="AU392" s="1"/>
      <c r="AV392" s="1"/>
    </row>
    <row r="393" spans="2:48" x14ac:dyDescent="0.3">
      <c r="B393" s="1" t="s">
        <v>992</v>
      </c>
      <c r="H393" s="1" t="s">
        <v>738</v>
      </c>
      <c r="I393" s="1"/>
      <c r="J393" s="1"/>
      <c r="K393" s="1"/>
      <c r="L393" s="1"/>
      <c r="M393" s="1"/>
      <c r="N393" s="1"/>
      <c r="O393" s="1"/>
      <c r="P393" s="1"/>
      <c r="Q393" s="1"/>
      <c r="R393" s="1"/>
      <c r="T393" s="1"/>
      <c r="U393" s="1"/>
      <c r="V393" s="1"/>
      <c r="W393" s="1"/>
      <c r="X393" s="1"/>
      <c r="Y393" s="1"/>
      <c r="Z393" s="1"/>
      <c r="AB393" s="1"/>
      <c r="AC393" s="1"/>
      <c r="AD393" s="1"/>
      <c r="AE393" s="1"/>
      <c r="AF393" s="1"/>
      <c r="AG393" s="1"/>
      <c r="AH393" s="1"/>
      <c r="AI393" s="1"/>
      <c r="AL393" s="1"/>
      <c r="AN393" s="1"/>
      <c r="AO393" s="1"/>
      <c r="AP393" s="1"/>
      <c r="AQ393" s="1"/>
      <c r="AR393" s="1"/>
      <c r="AS393" s="1"/>
      <c r="AT393" s="1"/>
      <c r="AU393" s="1"/>
      <c r="AV393" s="1"/>
    </row>
    <row r="394" spans="2:48" x14ac:dyDescent="0.3">
      <c r="B394" s="1" t="s">
        <v>993</v>
      </c>
      <c r="H394" s="1" t="s">
        <v>738</v>
      </c>
      <c r="I394" s="1"/>
      <c r="J394" s="1"/>
      <c r="K394" s="1"/>
      <c r="L394" s="1"/>
      <c r="M394" s="1"/>
      <c r="N394" s="1"/>
      <c r="O394" s="1"/>
      <c r="P394" s="1"/>
      <c r="Q394" s="1"/>
      <c r="R394" s="1"/>
      <c r="T394" s="1"/>
      <c r="U394" s="1"/>
      <c r="V394" s="1"/>
      <c r="W394" s="1"/>
      <c r="X394" s="1"/>
      <c r="Y394" s="1"/>
      <c r="Z394" s="1"/>
      <c r="AB394" s="1"/>
      <c r="AC394" s="1"/>
      <c r="AD394" s="1"/>
      <c r="AE394" s="1"/>
      <c r="AF394" s="1"/>
      <c r="AG394" s="1"/>
      <c r="AH394" s="1"/>
      <c r="AI394" s="1"/>
      <c r="AL394" s="1"/>
      <c r="AN394" s="1"/>
      <c r="AO394" s="1"/>
      <c r="AP394" s="1"/>
      <c r="AQ394" s="1"/>
      <c r="AR394" s="1"/>
      <c r="AS394" s="1"/>
      <c r="AT394" s="1"/>
      <c r="AU394" s="1"/>
      <c r="AV394" s="1"/>
    </row>
    <row r="395" spans="2:48" x14ac:dyDescent="0.3">
      <c r="B395" s="1" t="s">
        <v>994</v>
      </c>
      <c r="H395" s="1" t="s">
        <v>738</v>
      </c>
      <c r="I395" s="1"/>
      <c r="J395" s="1"/>
      <c r="K395" s="1"/>
      <c r="L395" s="1"/>
      <c r="M395" s="1"/>
      <c r="N395" s="1"/>
      <c r="O395" s="1"/>
      <c r="P395" s="1"/>
      <c r="Q395" s="1"/>
      <c r="R395" s="1"/>
      <c r="T395" s="1"/>
      <c r="U395" s="1"/>
      <c r="V395" s="1"/>
      <c r="W395" s="1"/>
      <c r="X395" s="1"/>
      <c r="Y395" s="1"/>
      <c r="Z395" s="1"/>
      <c r="AB395" s="1"/>
      <c r="AC395" s="1"/>
      <c r="AD395" s="1"/>
      <c r="AE395" s="1"/>
      <c r="AF395" s="1"/>
      <c r="AG395" s="1"/>
      <c r="AH395" s="1"/>
      <c r="AI395" s="1"/>
      <c r="AL395" s="1"/>
      <c r="AN395" s="1"/>
      <c r="AO395" s="1"/>
      <c r="AP395" s="1"/>
      <c r="AQ395" s="1"/>
      <c r="AR395" s="1"/>
      <c r="AS395" s="1"/>
      <c r="AT395" s="1"/>
      <c r="AU395" s="1"/>
      <c r="AV395" s="1"/>
    </row>
    <row r="396" spans="2:48" x14ac:dyDescent="0.3">
      <c r="B396" s="1" t="s">
        <v>995</v>
      </c>
      <c r="H396" s="1" t="s">
        <v>738</v>
      </c>
      <c r="I396" s="1"/>
      <c r="J396" s="1"/>
      <c r="K396" s="1"/>
      <c r="L396" s="1"/>
      <c r="M396" s="1"/>
      <c r="N396" s="1"/>
      <c r="O396" s="1"/>
      <c r="P396" s="1"/>
      <c r="Q396" s="1"/>
      <c r="R396" s="1"/>
      <c r="T396" s="1"/>
      <c r="U396" s="1"/>
      <c r="V396" s="1"/>
      <c r="W396" s="1"/>
      <c r="X396" s="1"/>
      <c r="Y396" s="1"/>
      <c r="Z396" s="1"/>
      <c r="AB396" s="1"/>
      <c r="AC396" s="1"/>
      <c r="AD396" s="1"/>
      <c r="AE396" s="1"/>
      <c r="AF396" s="1"/>
      <c r="AG396" s="1"/>
      <c r="AH396" s="1"/>
      <c r="AI396" s="1"/>
      <c r="AL396" s="1"/>
      <c r="AN396" s="1"/>
      <c r="AO396" s="1"/>
      <c r="AP396" s="1"/>
      <c r="AQ396" s="1"/>
      <c r="AR396" s="1"/>
      <c r="AS396" s="1"/>
      <c r="AT396" s="1"/>
      <c r="AU396" s="1"/>
      <c r="AV396" s="1"/>
    </row>
    <row r="397" spans="2:48" x14ac:dyDescent="0.3">
      <c r="B397" s="1" t="s">
        <v>996</v>
      </c>
      <c r="H397" s="1" t="s">
        <v>738</v>
      </c>
      <c r="I397" s="1"/>
      <c r="J397" s="1"/>
      <c r="K397" s="1"/>
      <c r="L397" s="1"/>
      <c r="M397" s="1"/>
      <c r="N397" s="1"/>
      <c r="O397" s="1"/>
      <c r="P397" s="1"/>
      <c r="Q397" s="1"/>
      <c r="R397" s="1"/>
      <c r="T397" s="1"/>
      <c r="U397" s="1"/>
      <c r="V397" s="1"/>
      <c r="W397" s="1"/>
      <c r="X397" s="1"/>
      <c r="Y397" s="1"/>
      <c r="Z397" s="1"/>
      <c r="AB397" s="1"/>
      <c r="AC397" s="1"/>
      <c r="AD397" s="1"/>
      <c r="AE397" s="1"/>
      <c r="AF397" s="1"/>
      <c r="AG397" s="1"/>
      <c r="AH397" s="1"/>
      <c r="AI397" s="1"/>
      <c r="AL397" s="1"/>
      <c r="AN397" s="1"/>
      <c r="AO397" s="1"/>
      <c r="AP397" s="1"/>
      <c r="AQ397" s="1"/>
      <c r="AR397" s="1"/>
      <c r="AS397" s="1"/>
      <c r="AT397" s="1"/>
      <c r="AU397" s="1"/>
      <c r="AV397" s="1"/>
    </row>
    <row r="398" spans="2:48" x14ac:dyDescent="0.3">
      <c r="B398" s="1" t="s">
        <v>997</v>
      </c>
      <c r="H398" s="1" t="s">
        <v>738</v>
      </c>
      <c r="I398" s="1"/>
      <c r="J398" s="1"/>
      <c r="K398" s="1"/>
      <c r="L398" s="1"/>
      <c r="M398" s="1"/>
      <c r="N398" s="1"/>
      <c r="O398" s="1"/>
      <c r="P398" s="1"/>
      <c r="Q398" s="1"/>
      <c r="R398" s="1"/>
      <c r="T398" s="1"/>
      <c r="U398" s="1"/>
      <c r="V398" s="1"/>
      <c r="W398" s="1"/>
      <c r="X398" s="1"/>
      <c r="Y398" s="1"/>
      <c r="Z398" s="1"/>
      <c r="AB398" s="1"/>
      <c r="AC398" s="1"/>
      <c r="AD398" s="1"/>
      <c r="AE398" s="1"/>
      <c r="AF398" s="1"/>
      <c r="AG398" s="1"/>
      <c r="AH398" s="1"/>
      <c r="AI398" s="1"/>
      <c r="AL398" s="1"/>
      <c r="AN398" s="1"/>
      <c r="AO398" s="1"/>
      <c r="AP398" s="1"/>
      <c r="AQ398" s="1"/>
      <c r="AR398" s="1"/>
      <c r="AS398" s="1"/>
      <c r="AT398" s="1"/>
      <c r="AU398" s="1"/>
      <c r="AV398" s="1"/>
    </row>
    <row r="399" spans="2:48" x14ac:dyDescent="0.3">
      <c r="B399" s="1" t="s">
        <v>998</v>
      </c>
      <c r="H399" s="1" t="s">
        <v>738</v>
      </c>
      <c r="I399" s="1"/>
      <c r="J399" s="1"/>
      <c r="K399" s="1"/>
      <c r="L399" s="1"/>
      <c r="M399" s="1"/>
      <c r="N399" s="1"/>
      <c r="O399" s="1"/>
      <c r="P399" s="1"/>
      <c r="Q399" s="1"/>
      <c r="R399" s="1"/>
      <c r="T399" s="1"/>
      <c r="U399" s="1"/>
      <c r="V399" s="1"/>
      <c r="W399" s="1"/>
      <c r="X399" s="1"/>
      <c r="Y399" s="1"/>
      <c r="Z399" s="1"/>
      <c r="AB399" s="1"/>
      <c r="AC399" s="1"/>
      <c r="AD399" s="1"/>
      <c r="AE399" s="1"/>
      <c r="AF399" s="1"/>
      <c r="AG399" s="1"/>
      <c r="AH399" s="1"/>
      <c r="AI399" s="1"/>
      <c r="AL399" s="1"/>
      <c r="AN399" s="1"/>
      <c r="AO399" s="1"/>
      <c r="AP399" s="1"/>
      <c r="AQ399" s="1"/>
      <c r="AR399" s="1"/>
      <c r="AS399" s="1"/>
      <c r="AT399" s="1"/>
      <c r="AU399" s="1"/>
      <c r="AV399" s="1"/>
    </row>
    <row r="400" spans="2:48" x14ac:dyDescent="0.3">
      <c r="B400" s="1" t="s">
        <v>999</v>
      </c>
      <c r="H400" s="1" t="s">
        <v>738</v>
      </c>
      <c r="I400" s="1"/>
      <c r="J400" s="1"/>
      <c r="K400" s="1"/>
      <c r="L400" s="1"/>
      <c r="M400" s="1"/>
      <c r="N400" s="1"/>
      <c r="O400" s="1"/>
      <c r="P400" s="1"/>
      <c r="Q400" s="1"/>
      <c r="R400" s="1"/>
      <c r="T400" s="1"/>
      <c r="U400" s="1"/>
      <c r="V400" s="1"/>
      <c r="W400" s="1"/>
      <c r="X400" s="1"/>
      <c r="Y400" s="1"/>
      <c r="Z400" s="1"/>
      <c r="AB400" s="1"/>
      <c r="AC400" s="1"/>
      <c r="AD400" s="1"/>
      <c r="AE400" s="1"/>
      <c r="AF400" s="1"/>
      <c r="AG400" s="1"/>
      <c r="AH400" s="1"/>
      <c r="AI400" s="1"/>
      <c r="AL400" s="1"/>
      <c r="AN400" s="1"/>
      <c r="AO400" s="1"/>
      <c r="AP400" s="1"/>
      <c r="AQ400" s="1"/>
      <c r="AR400" s="1"/>
      <c r="AS400" s="1"/>
      <c r="AT400" s="1"/>
      <c r="AU400" s="1"/>
      <c r="AV400" s="1"/>
    </row>
    <row r="401" spans="2:48" x14ac:dyDescent="0.3">
      <c r="B401" s="1" t="s">
        <v>1000</v>
      </c>
      <c r="H401" s="1" t="s">
        <v>738</v>
      </c>
      <c r="I401" s="1"/>
      <c r="J401" s="1"/>
      <c r="K401" s="1"/>
      <c r="L401" s="1"/>
      <c r="M401" s="1"/>
      <c r="N401" s="1"/>
      <c r="O401" s="1"/>
      <c r="P401" s="1"/>
      <c r="Q401" s="1"/>
      <c r="R401" s="1"/>
      <c r="T401" s="1"/>
      <c r="U401" s="1"/>
      <c r="V401" s="1"/>
      <c r="W401" s="1"/>
      <c r="X401" s="1"/>
      <c r="Y401" s="1"/>
      <c r="Z401" s="1"/>
      <c r="AB401" s="1"/>
      <c r="AC401" s="1"/>
      <c r="AD401" s="1"/>
      <c r="AE401" s="1"/>
      <c r="AF401" s="1"/>
      <c r="AG401" s="1"/>
      <c r="AH401" s="1"/>
      <c r="AI401" s="1"/>
      <c r="AL401" s="1"/>
      <c r="AN401" s="1"/>
      <c r="AO401" s="1"/>
      <c r="AP401" s="1"/>
      <c r="AQ401" s="1"/>
      <c r="AR401" s="1"/>
      <c r="AS401" s="1"/>
      <c r="AT401" s="1"/>
      <c r="AU401" s="1"/>
      <c r="AV401" s="1"/>
    </row>
    <row r="402" spans="2:48" x14ac:dyDescent="0.3">
      <c r="B402" s="1" t="s">
        <v>1001</v>
      </c>
      <c r="H402" s="1" t="s">
        <v>738</v>
      </c>
      <c r="I402" s="1"/>
      <c r="J402" s="1"/>
      <c r="K402" s="1"/>
      <c r="L402" s="1"/>
      <c r="M402" s="1"/>
      <c r="N402" s="1"/>
      <c r="O402" s="1"/>
      <c r="P402" s="1"/>
      <c r="Q402" s="1"/>
      <c r="R402" s="1"/>
      <c r="T402" s="1"/>
      <c r="U402" s="1"/>
      <c r="V402" s="1"/>
      <c r="W402" s="1"/>
      <c r="X402" s="1"/>
      <c r="Y402" s="1"/>
      <c r="Z402" s="1"/>
      <c r="AB402" s="1"/>
      <c r="AC402" s="1"/>
      <c r="AD402" s="1"/>
      <c r="AE402" s="1"/>
      <c r="AF402" s="1"/>
      <c r="AG402" s="1"/>
      <c r="AH402" s="1"/>
      <c r="AI402" s="1"/>
      <c r="AL402" s="1"/>
      <c r="AN402" s="1"/>
      <c r="AO402" s="1"/>
      <c r="AP402" s="1"/>
      <c r="AQ402" s="1"/>
      <c r="AR402" s="1"/>
      <c r="AS402" s="1"/>
      <c r="AT402" s="1"/>
      <c r="AU402" s="1"/>
      <c r="AV402" s="1"/>
    </row>
    <row r="403" spans="2:48" x14ac:dyDescent="0.3">
      <c r="B403" s="1" t="s">
        <v>1002</v>
      </c>
      <c r="H403" s="1" t="s">
        <v>738</v>
      </c>
      <c r="I403" s="1"/>
      <c r="J403" s="1"/>
      <c r="K403" s="1"/>
      <c r="L403" s="1"/>
      <c r="M403" s="1"/>
      <c r="N403" s="1"/>
      <c r="O403" s="1"/>
      <c r="P403" s="1"/>
      <c r="Q403" s="1"/>
      <c r="R403" s="1"/>
      <c r="T403" s="1"/>
      <c r="U403" s="1"/>
      <c r="V403" s="1"/>
      <c r="W403" s="1"/>
      <c r="X403" s="1"/>
      <c r="Y403" s="1"/>
      <c r="Z403" s="1"/>
      <c r="AB403" s="1"/>
      <c r="AC403" s="1"/>
      <c r="AD403" s="1"/>
      <c r="AE403" s="1"/>
      <c r="AF403" s="1"/>
      <c r="AG403" s="1"/>
      <c r="AH403" s="1"/>
      <c r="AI403" s="1"/>
      <c r="AL403" s="1"/>
      <c r="AN403" s="1"/>
      <c r="AO403" s="1"/>
      <c r="AP403" s="1"/>
      <c r="AQ403" s="1"/>
      <c r="AR403" s="1"/>
      <c r="AS403" s="1"/>
      <c r="AT403" s="1"/>
      <c r="AU403" s="1"/>
      <c r="AV403" s="1"/>
    </row>
    <row r="404" spans="2:48" x14ac:dyDescent="0.3">
      <c r="B404" s="1" t="s">
        <v>1003</v>
      </c>
      <c r="H404" s="1" t="s">
        <v>738</v>
      </c>
      <c r="I404" s="1"/>
      <c r="J404" s="1"/>
      <c r="K404" s="1"/>
      <c r="L404" s="1"/>
      <c r="M404" s="1"/>
      <c r="N404" s="1"/>
      <c r="O404" s="1"/>
      <c r="P404" s="1"/>
      <c r="Q404" s="1"/>
      <c r="R404" s="1"/>
      <c r="T404" s="1"/>
      <c r="U404" s="1"/>
      <c r="V404" s="1"/>
      <c r="W404" s="1"/>
      <c r="X404" s="1"/>
      <c r="Y404" s="1"/>
      <c r="Z404" s="1"/>
      <c r="AB404" s="1"/>
      <c r="AC404" s="1"/>
      <c r="AD404" s="1"/>
      <c r="AE404" s="1"/>
      <c r="AF404" s="1"/>
      <c r="AG404" s="1"/>
      <c r="AH404" s="1"/>
      <c r="AI404" s="1"/>
      <c r="AL404" s="1"/>
      <c r="AN404" s="1"/>
      <c r="AO404" s="1"/>
      <c r="AP404" s="1"/>
      <c r="AQ404" s="1"/>
      <c r="AR404" s="1"/>
      <c r="AS404" s="1"/>
      <c r="AT404" s="1"/>
      <c r="AU404" s="1"/>
      <c r="AV404" s="1"/>
    </row>
    <row r="405" spans="2:48" x14ac:dyDescent="0.3">
      <c r="B405" s="1" t="s">
        <v>1004</v>
      </c>
      <c r="H405" s="1" t="s">
        <v>738</v>
      </c>
      <c r="I405" s="1"/>
      <c r="J405" s="1"/>
      <c r="K405" s="1"/>
      <c r="L405" s="1"/>
      <c r="M405" s="1"/>
      <c r="N405" s="1"/>
      <c r="O405" s="1"/>
      <c r="P405" s="1"/>
      <c r="Q405" s="1"/>
      <c r="R405" s="1"/>
      <c r="T405" s="1"/>
      <c r="U405" s="1"/>
      <c r="V405" s="1"/>
      <c r="W405" s="1"/>
      <c r="X405" s="1"/>
      <c r="Y405" s="1"/>
      <c r="Z405" s="1"/>
      <c r="AB405" s="1"/>
      <c r="AC405" s="1"/>
      <c r="AD405" s="1"/>
      <c r="AE405" s="1"/>
      <c r="AF405" s="1"/>
      <c r="AG405" s="1"/>
      <c r="AH405" s="1"/>
      <c r="AI405" s="1"/>
      <c r="AL405" s="1"/>
      <c r="AN405" s="1"/>
      <c r="AO405" s="1"/>
      <c r="AP405" s="1"/>
      <c r="AQ405" s="1"/>
      <c r="AR405" s="1"/>
      <c r="AS405" s="1"/>
      <c r="AT405" s="1"/>
      <c r="AU405" s="1"/>
      <c r="AV405" s="1"/>
    </row>
    <row r="406" spans="2:48" x14ac:dyDescent="0.3">
      <c r="B406" s="1" t="s">
        <v>1005</v>
      </c>
      <c r="H406" s="1" t="s">
        <v>738</v>
      </c>
      <c r="I406" s="1"/>
      <c r="J406" s="1"/>
      <c r="K406" s="1"/>
      <c r="L406" s="1"/>
      <c r="M406" s="1"/>
      <c r="N406" s="1"/>
      <c r="O406" s="1"/>
      <c r="P406" s="1"/>
      <c r="Q406" s="1"/>
      <c r="R406" s="1"/>
      <c r="T406" s="1"/>
      <c r="U406" s="1"/>
      <c r="V406" s="1"/>
      <c r="W406" s="1"/>
      <c r="X406" s="1"/>
      <c r="Y406" s="1"/>
      <c r="Z406" s="1"/>
      <c r="AB406" s="1"/>
      <c r="AC406" s="1"/>
      <c r="AD406" s="1"/>
      <c r="AE406" s="1"/>
      <c r="AF406" s="1"/>
      <c r="AG406" s="1"/>
      <c r="AH406" s="1"/>
      <c r="AI406" s="1"/>
      <c r="AL406" s="1"/>
      <c r="AN406" s="1"/>
      <c r="AO406" s="1"/>
      <c r="AP406" s="1"/>
      <c r="AQ406" s="1"/>
      <c r="AR406" s="1"/>
      <c r="AS406" s="1"/>
      <c r="AT406" s="1"/>
      <c r="AU406" s="1"/>
      <c r="AV406" s="1"/>
    </row>
    <row r="407" spans="2:48" x14ac:dyDescent="0.3">
      <c r="B407" s="1" t="s">
        <v>1006</v>
      </c>
      <c r="H407" s="1" t="s">
        <v>738</v>
      </c>
      <c r="I407" s="1"/>
      <c r="J407" s="1"/>
      <c r="K407" s="1"/>
      <c r="L407" s="1"/>
      <c r="M407" s="1"/>
      <c r="N407" s="1"/>
      <c r="O407" s="1"/>
      <c r="P407" s="1"/>
      <c r="Q407" s="1"/>
      <c r="R407" s="1"/>
      <c r="T407" s="1"/>
      <c r="U407" s="1"/>
      <c r="V407" s="1"/>
      <c r="W407" s="1"/>
      <c r="X407" s="1"/>
      <c r="Y407" s="1"/>
      <c r="Z407" s="1"/>
      <c r="AB407" s="1"/>
      <c r="AC407" s="1"/>
      <c r="AD407" s="1"/>
      <c r="AE407" s="1"/>
      <c r="AF407" s="1"/>
      <c r="AG407" s="1"/>
      <c r="AH407" s="1"/>
      <c r="AI407" s="1"/>
      <c r="AL407" s="1"/>
      <c r="AN407" s="1"/>
      <c r="AO407" s="1"/>
      <c r="AP407" s="1"/>
      <c r="AQ407" s="1"/>
      <c r="AR407" s="1"/>
      <c r="AS407" s="1"/>
      <c r="AT407" s="1"/>
      <c r="AU407" s="1"/>
      <c r="AV407" s="1"/>
    </row>
    <row r="408" spans="2:48" x14ac:dyDescent="0.3">
      <c r="B408" s="1" t="s">
        <v>1007</v>
      </c>
      <c r="H408" s="1" t="s">
        <v>738</v>
      </c>
      <c r="I408" s="1"/>
      <c r="J408" s="1"/>
      <c r="K408" s="1"/>
      <c r="L408" s="1"/>
      <c r="M408" s="1"/>
      <c r="N408" s="1"/>
      <c r="O408" s="1"/>
      <c r="P408" s="1"/>
      <c r="Q408" s="1"/>
      <c r="R408" s="1"/>
      <c r="T408" s="1"/>
      <c r="U408" s="1"/>
      <c r="V408" s="1"/>
      <c r="W408" s="1"/>
      <c r="X408" s="1"/>
      <c r="Y408" s="1"/>
      <c r="Z408" s="1"/>
      <c r="AB408" s="1"/>
      <c r="AC408" s="1"/>
      <c r="AD408" s="1"/>
      <c r="AE408" s="1"/>
      <c r="AF408" s="1"/>
      <c r="AG408" s="1"/>
      <c r="AH408" s="1"/>
      <c r="AI408" s="1"/>
      <c r="AL408" s="1"/>
      <c r="AN408" s="1"/>
      <c r="AO408" s="1"/>
      <c r="AP408" s="1"/>
      <c r="AQ408" s="1"/>
      <c r="AR408" s="1"/>
      <c r="AS408" s="1"/>
      <c r="AT408" s="1"/>
      <c r="AU408" s="1"/>
      <c r="AV408" s="1"/>
    </row>
    <row r="409" spans="2:48" x14ac:dyDescent="0.3">
      <c r="B409" s="1" t="s">
        <v>1008</v>
      </c>
      <c r="H409" s="1" t="s">
        <v>738</v>
      </c>
      <c r="I409" s="1"/>
      <c r="J409" s="1"/>
      <c r="K409" s="1"/>
      <c r="L409" s="1"/>
      <c r="M409" s="1"/>
      <c r="N409" s="1"/>
      <c r="O409" s="1"/>
      <c r="P409" s="1"/>
      <c r="Q409" s="1"/>
      <c r="R409" s="1"/>
      <c r="T409" s="1"/>
      <c r="U409" s="1"/>
      <c r="V409" s="1"/>
      <c r="W409" s="1"/>
      <c r="X409" s="1"/>
      <c r="Y409" s="1"/>
      <c r="Z409" s="1"/>
      <c r="AB409" s="1"/>
      <c r="AC409" s="1"/>
      <c r="AD409" s="1"/>
      <c r="AE409" s="1"/>
      <c r="AF409" s="1"/>
      <c r="AG409" s="1"/>
      <c r="AH409" s="1"/>
      <c r="AI409" s="1"/>
      <c r="AL409" s="1"/>
      <c r="AN409" s="1"/>
      <c r="AO409" s="1"/>
      <c r="AP409" s="1"/>
      <c r="AQ409" s="1"/>
      <c r="AR409" s="1"/>
      <c r="AS409" s="1"/>
      <c r="AT409" s="1"/>
      <c r="AU409" s="1"/>
      <c r="AV409" s="1"/>
    </row>
    <row r="410" spans="2:48" x14ac:dyDescent="0.3">
      <c r="B410" s="1" t="s">
        <v>1009</v>
      </c>
      <c r="H410" s="1" t="s">
        <v>738</v>
      </c>
      <c r="I410" s="1"/>
      <c r="J410" s="1"/>
      <c r="K410" s="1"/>
      <c r="L410" s="1"/>
      <c r="M410" s="1"/>
      <c r="N410" s="1"/>
      <c r="O410" s="1"/>
      <c r="P410" s="1"/>
      <c r="Q410" s="1"/>
      <c r="R410" s="1"/>
      <c r="T410" s="1"/>
      <c r="U410" s="1"/>
      <c r="V410" s="1"/>
      <c r="W410" s="1"/>
      <c r="X410" s="1"/>
      <c r="Y410" s="1"/>
      <c r="Z410" s="1"/>
      <c r="AB410" s="1"/>
      <c r="AC410" s="1"/>
      <c r="AD410" s="1"/>
      <c r="AE410" s="1"/>
      <c r="AF410" s="1"/>
      <c r="AG410" s="1"/>
      <c r="AH410" s="1"/>
      <c r="AI410" s="1"/>
      <c r="AL410" s="1"/>
      <c r="AN410" s="1"/>
      <c r="AO410" s="1"/>
      <c r="AP410" s="1"/>
      <c r="AQ410" s="1"/>
      <c r="AR410" s="1"/>
      <c r="AS410" s="1"/>
      <c r="AT410" s="1"/>
      <c r="AU410" s="1"/>
      <c r="AV410" s="1"/>
    </row>
    <row r="411" spans="2:48" x14ac:dyDescent="0.3">
      <c r="B411" s="1" t="s">
        <v>1010</v>
      </c>
      <c r="H411" s="1" t="s">
        <v>738</v>
      </c>
      <c r="I411" s="1"/>
      <c r="J411" s="1"/>
      <c r="K411" s="1"/>
      <c r="L411" s="1"/>
      <c r="M411" s="1"/>
      <c r="N411" s="1"/>
      <c r="O411" s="1"/>
      <c r="P411" s="1"/>
      <c r="Q411" s="1"/>
      <c r="R411" s="1"/>
      <c r="T411" s="1"/>
      <c r="U411" s="1"/>
      <c r="V411" s="1"/>
      <c r="W411" s="1"/>
      <c r="X411" s="1"/>
      <c r="Y411" s="1"/>
      <c r="Z411" s="1"/>
      <c r="AB411" s="1"/>
      <c r="AC411" s="1"/>
      <c r="AD411" s="1"/>
      <c r="AE411" s="1"/>
      <c r="AF411" s="1"/>
      <c r="AG411" s="1"/>
      <c r="AH411" s="1"/>
      <c r="AI411" s="1"/>
      <c r="AL411" s="1"/>
      <c r="AN411" s="1"/>
      <c r="AO411" s="1"/>
      <c r="AP411" s="1"/>
      <c r="AQ411" s="1"/>
      <c r="AR411" s="1"/>
      <c r="AS411" s="1"/>
      <c r="AT411" s="1"/>
      <c r="AU411" s="1"/>
      <c r="AV411" s="1"/>
    </row>
    <row r="412" spans="2:48" x14ac:dyDescent="0.3">
      <c r="B412" s="1" t="s">
        <v>1011</v>
      </c>
      <c r="H412" s="1" t="s">
        <v>738</v>
      </c>
      <c r="I412" s="1"/>
      <c r="J412" s="1"/>
      <c r="K412" s="1"/>
      <c r="L412" s="1"/>
      <c r="M412" s="1"/>
      <c r="N412" s="1"/>
      <c r="O412" s="1"/>
      <c r="P412" s="1"/>
      <c r="Q412" s="1"/>
      <c r="R412" s="1"/>
      <c r="T412" s="1"/>
      <c r="U412" s="1"/>
      <c r="V412" s="1"/>
      <c r="W412" s="1"/>
      <c r="X412" s="1"/>
      <c r="Y412" s="1"/>
      <c r="Z412" s="1"/>
      <c r="AB412" s="1"/>
      <c r="AC412" s="1"/>
      <c r="AD412" s="1"/>
      <c r="AE412" s="1"/>
      <c r="AF412" s="1"/>
      <c r="AG412" s="1"/>
      <c r="AH412" s="1"/>
      <c r="AI412" s="1"/>
      <c r="AL412" s="1"/>
      <c r="AN412" s="1"/>
      <c r="AO412" s="1"/>
      <c r="AP412" s="1"/>
      <c r="AQ412" s="1"/>
      <c r="AR412" s="1"/>
      <c r="AS412" s="1"/>
      <c r="AT412" s="1"/>
      <c r="AU412" s="1"/>
      <c r="AV412" s="1"/>
    </row>
    <row r="413" spans="2:48" x14ac:dyDescent="0.3">
      <c r="B413" s="1" t="s">
        <v>1012</v>
      </c>
      <c r="H413" s="1" t="s">
        <v>738</v>
      </c>
      <c r="I413" s="1"/>
      <c r="J413" s="1"/>
      <c r="K413" s="1"/>
      <c r="L413" s="1"/>
      <c r="M413" s="1"/>
      <c r="N413" s="1"/>
      <c r="O413" s="1"/>
      <c r="P413" s="1"/>
      <c r="Q413" s="1"/>
      <c r="R413" s="1"/>
      <c r="T413" s="1"/>
      <c r="U413" s="1"/>
      <c r="V413" s="1"/>
      <c r="W413" s="1"/>
      <c r="X413" s="1"/>
      <c r="Y413" s="1"/>
      <c r="Z413" s="1"/>
      <c r="AB413" s="1"/>
      <c r="AC413" s="1"/>
      <c r="AD413" s="1"/>
      <c r="AE413" s="1"/>
      <c r="AF413" s="1"/>
      <c r="AG413" s="1"/>
      <c r="AH413" s="1"/>
      <c r="AI413" s="1"/>
      <c r="AL413" s="1"/>
      <c r="AN413" s="1"/>
      <c r="AO413" s="1"/>
      <c r="AP413" s="1"/>
      <c r="AQ413" s="1"/>
      <c r="AR413" s="1"/>
      <c r="AS413" s="1"/>
      <c r="AT413" s="1"/>
      <c r="AU413" s="1"/>
      <c r="AV413" s="1"/>
    </row>
    <row r="414" spans="2:48" x14ac:dyDescent="0.3">
      <c r="B414" s="1" t="s">
        <v>1013</v>
      </c>
      <c r="H414" s="1" t="s">
        <v>738</v>
      </c>
      <c r="I414" s="1"/>
      <c r="J414" s="1"/>
      <c r="K414" s="1"/>
      <c r="L414" s="1"/>
      <c r="M414" s="1"/>
      <c r="N414" s="1"/>
      <c r="O414" s="1"/>
      <c r="P414" s="1"/>
      <c r="Q414" s="1"/>
      <c r="R414" s="1"/>
      <c r="T414" s="1"/>
      <c r="U414" s="1"/>
      <c r="V414" s="1"/>
      <c r="W414" s="1"/>
      <c r="X414" s="1"/>
      <c r="Y414" s="1"/>
      <c r="Z414" s="1"/>
      <c r="AB414" s="1"/>
      <c r="AC414" s="1"/>
      <c r="AD414" s="1"/>
      <c r="AE414" s="1"/>
      <c r="AF414" s="1"/>
      <c r="AG414" s="1"/>
      <c r="AH414" s="1"/>
      <c r="AI414" s="1"/>
      <c r="AL414" s="1"/>
      <c r="AN414" s="1"/>
      <c r="AO414" s="1"/>
      <c r="AP414" s="1"/>
      <c r="AQ414" s="1"/>
      <c r="AR414" s="1"/>
      <c r="AS414" s="1"/>
      <c r="AT414" s="1"/>
      <c r="AU414" s="1"/>
      <c r="AV414" s="1"/>
    </row>
    <row r="415" spans="2:48" x14ac:dyDescent="0.3">
      <c r="B415" s="1" t="s">
        <v>1014</v>
      </c>
      <c r="H415" s="1" t="s">
        <v>738</v>
      </c>
      <c r="I415" s="1"/>
      <c r="J415" s="1"/>
      <c r="K415" s="1"/>
      <c r="L415" s="1"/>
      <c r="M415" s="1"/>
      <c r="N415" s="1"/>
      <c r="O415" s="1"/>
      <c r="P415" s="1"/>
      <c r="Q415" s="1"/>
      <c r="R415" s="1"/>
      <c r="T415" s="1"/>
      <c r="U415" s="1"/>
      <c r="V415" s="1"/>
      <c r="W415" s="1"/>
      <c r="X415" s="1"/>
      <c r="Y415" s="1"/>
      <c r="Z415" s="1"/>
      <c r="AB415" s="1"/>
      <c r="AC415" s="1"/>
      <c r="AD415" s="1"/>
      <c r="AE415" s="1"/>
      <c r="AF415" s="1"/>
      <c r="AG415" s="1"/>
      <c r="AH415" s="1"/>
      <c r="AI415" s="1"/>
      <c r="AL415" s="1"/>
      <c r="AN415" s="1"/>
      <c r="AO415" s="1"/>
      <c r="AP415" s="1"/>
      <c r="AQ415" s="1"/>
      <c r="AR415" s="1"/>
      <c r="AS415" s="1"/>
      <c r="AT415" s="1"/>
      <c r="AU415" s="1"/>
      <c r="AV415" s="1"/>
    </row>
    <row r="416" spans="2:48" x14ac:dyDescent="0.3">
      <c r="B416" s="1" t="s">
        <v>1015</v>
      </c>
      <c r="H416" s="1" t="s">
        <v>738</v>
      </c>
      <c r="I416" s="1"/>
      <c r="J416" s="1"/>
      <c r="K416" s="1"/>
      <c r="L416" s="1"/>
      <c r="M416" s="1"/>
      <c r="N416" s="1"/>
      <c r="O416" s="1"/>
      <c r="P416" s="1"/>
      <c r="Q416" s="1"/>
      <c r="R416" s="1"/>
      <c r="T416" s="1"/>
      <c r="U416" s="1"/>
      <c r="V416" s="1"/>
      <c r="W416" s="1"/>
      <c r="X416" s="1"/>
      <c r="Y416" s="1"/>
      <c r="Z416" s="1"/>
      <c r="AB416" s="1"/>
      <c r="AC416" s="1"/>
      <c r="AD416" s="1"/>
      <c r="AE416" s="1"/>
      <c r="AF416" s="1"/>
      <c r="AG416" s="1"/>
      <c r="AH416" s="1"/>
      <c r="AI416" s="1"/>
      <c r="AL416" s="1"/>
      <c r="AN416" s="1"/>
      <c r="AO416" s="1"/>
      <c r="AP416" s="1"/>
      <c r="AQ416" s="1"/>
      <c r="AR416" s="1"/>
      <c r="AS416" s="1"/>
      <c r="AT416" s="1"/>
      <c r="AU416" s="1"/>
      <c r="AV416" s="1"/>
    </row>
    <row r="417" spans="2:48" x14ac:dyDescent="0.3">
      <c r="B417" s="1" t="s">
        <v>1016</v>
      </c>
      <c r="H417" s="1" t="s">
        <v>738</v>
      </c>
      <c r="I417" s="1"/>
      <c r="J417" s="1"/>
      <c r="K417" s="1"/>
      <c r="L417" s="1"/>
      <c r="M417" s="1"/>
      <c r="N417" s="1"/>
      <c r="O417" s="1"/>
      <c r="P417" s="1"/>
      <c r="Q417" s="1"/>
      <c r="R417" s="1"/>
      <c r="T417" s="1"/>
      <c r="U417" s="1"/>
      <c r="V417" s="1"/>
      <c r="W417" s="1"/>
      <c r="X417" s="1"/>
      <c r="Y417" s="1"/>
      <c r="Z417" s="1"/>
      <c r="AB417" s="1"/>
      <c r="AC417" s="1"/>
      <c r="AD417" s="1"/>
      <c r="AE417" s="1"/>
      <c r="AF417" s="1"/>
      <c r="AG417" s="1"/>
      <c r="AH417" s="1"/>
      <c r="AI417" s="1"/>
      <c r="AL417" s="1"/>
      <c r="AN417" s="1"/>
      <c r="AO417" s="1"/>
      <c r="AP417" s="1"/>
      <c r="AQ417" s="1"/>
      <c r="AR417" s="1"/>
      <c r="AS417" s="1"/>
      <c r="AT417" s="1"/>
      <c r="AU417" s="1"/>
      <c r="AV417" s="1"/>
    </row>
    <row r="418" spans="2:48" x14ac:dyDescent="0.3">
      <c r="B418" s="1" t="s">
        <v>1017</v>
      </c>
      <c r="H418" s="1" t="s">
        <v>738</v>
      </c>
      <c r="I418" s="1"/>
      <c r="J418" s="1"/>
      <c r="K418" s="1"/>
      <c r="L418" s="1"/>
      <c r="M418" s="1"/>
      <c r="N418" s="1"/>
      <c r="O418" s="1"/>
      <c r="P418" s="1"/>
      <c r="Q418" s="1"/>
      <c r="R418" s="1"/>
      <c r="T418" s="1"/>
      <c r="U418" s="1"/>
      <c r="V418" s="1"/>
      <c r="W418" s="1"/>
      <c r="X418" s="1"/>
      <c r="Y418" s="1"/>
      <c r="Z418" s="1"/>
      <c r="AB418" s="1"/>
      <c r="AC418" s="1"/>
      <c r="AD418" s="1"/>
      <c r="AE418" s="1"/>
      <c r="AF418" s="1"/>
      <c r="AG418" s="1"/>
      <c r="AH418" s="1"/>
      <c r="AI418" s="1"/>
      <c r="AL418" s="1"/>
      <c r="AN418" s="1"/>
      <c r="AO418" s="1"/>
      <c r="AP418" s="1"/>
      <c r="AQ418" s="1"/>
      <c r="AR418" s="1"/>
      <c r="AS418" s="1"/>
      <c r="AT418" s="1"/>
      <c r="AU418" s="1"/>
      <c r="AV418" s="1"/>
    </row>
    <row r="419" spans="2:48" x14ac:dyDescent="0.3">
      <c r="B419" s="1" t="s">
        <v>1018</v>
      </c>
      <c r="H419" s="1" t="s">
        <v>738</v>
      </c>
      <c r="I419" s="1"/>
      <c r="J419" s="1"/>
      <c r="K419" s="1"/>
      <c r="L419" s="1"/>
      <c r="M419" s="1"/>
      <c r="N419" s="1"/>
      <c r="O419" s="1"/>
      <c r="P419" s="1"/>
      <c r="Q419" s="1"/>
      <c r="R419" s="1"/>
      <c r="T419" s="1"/>
      <c r="U419" s="1"/>
      <c r="V419" s="1"/>
      <c r="W419" s="1"/>
      <c r="X419" s="1"/>
      <c r="Y419" s="1"/>
      <c r="Z419" s="1"/>
      <c r="AB419" s="1"/>
      <c r="AC419" s="1"/>
      <c r="AD419" s="1"/>
      <c r="AE419" s="1"/>
      <c r="AF419" s="1"/>
      <c r="AG419" s="1"/>
      <c r="AH419" s="1"/>
      <c r="AI419" s="1"/>
      <c r="AL419" s="1"/>
      <c r="AN419" s="1"/>
      <c r="AO419" s="1"/>
      <c r="AP419" s="1"/>
      <c r="AQ419" s="1"/>
      <c r="AR419" s="1"/>
      <c r="AS419" s="1"/>
      <c r="AT419" s="1"/>
      <c r="AU419" s="1"/>
      <c r="AV419" s="1"/>
    </row>
    <row r="420" spans="2:48" x14ac:dyDescent="0.3">
      <c r="B420" s="1" t="s">
        <v>1019</v>
      </c>
      <c r="H420" s="1" t="s">
        <v>738</v>
      </c>
      <c r="I420" s="1"/>
      <c r="J420" s="1"/>
      <c r="K420" s="1"/>
      <c r="L420" s="1"/>
      <c r="M420" s="1"/>
      <c r="N420" s="1"/>
      <c r="O420" s="1"/>
      <c r="P420" s="1"/>
      <c r="Q420" s="1"/>
      <c r="R420" s="1"/>
      <c r="T420" s="1"/>
      <c r="U420" s="1"/>
      <c r="V420" s="1"/>
      <c r="W420" s="1"/>
      <c r="X420" s="1"/>
      <c r="Y420" s="1"/>
      <c r="Z420" s="1"/>
      <c r="AB420" s="1"/>
      <c r="AC420" s="1"/>
      <c r="AD420" s="1"/>
      <c r="AE420" s="1"/>
      <c r="AF420" s="1"/>
      <c r="AG420" s="1"/>
      <c r="AH420" s="1"/>
      <c r="AI420" s="1"/>
      <c r="AL420" s="1"/>
      <c r="AN420" s="1"/>
      <c r="AO420" s="1"/>
      <c r="AP420" s="1"/>
      <c r="AQ420" s="1"/>
      <c r="AR420" s="1"/>
      <c r="AS420" s="1"/>
      <c r="AT420" s="1"/>
      <c r="AU420" s="1"/>
      <c r="AV420" s="1"/>
    </row>
    <row r="421" spans="2:48" x14ac:dyDescent="0.3">
      <c r="B421" s="1" t="s">
        <v>1020</v>
      </c>
      <c r="H421" s="1" t="s">
        <v>738</v>
      </c>
      <c r="I421" s="1"/>
      <c r="J421" s="1"/>
      <c r="K421" s="1"/>
      <c r="L421" s="1"/>
      <c r="M421" s="1"/>
      <c r="N421" s="1"/>
      <c r="O421" s="1"/>
      <c r="P421" s="1"/>
      <c r="Q421" s="1"/>
      <c r="R421" s="1"/>
      <c r="T421" s="1"/>
      <c r="U421" s="1"/>
      <c r="V421" s="1"/>
      <c r="W421" s="1"/>
      <c r="X421" s="1"/>
      <c r="Y421" s="1"/>
      <c r="Z421" s="1"/>
      <c r="AB421" s="1"/>
      <c r="AC421" s="1"/>
      <c r="AD421" s="1"/>
      <c r="AE421" s="1"/>
      <c r="AF421" s="1"/>
      <c r="AG421" s="1"/>
      <c r="AH421" s="1"/>
      <c r="AI421" s="1"/>
      <c r="AL421" s="1"/>
      <c r="AN421" s="1"/>
      <c r="AO421" s="1"/>
      <c r="AP421" s="1"/>
      <c r="AQ421" s="1"/>
      <c r="AR421" s="1"/>
      <c r="AS421" s="1"/>
      <c r="AT421" s="1"/>
      <c r="AU421" s="1"/>
      <c r="AV421" s="1"/>
    </row>
    <row r="422" spans="2:48" x14ac:dyDescent="0.3">
      <c r="B422" s="1" t="s">
        <v>1021</v>
      </c>
      <c r="H422" s="1" t="s">
        <v>738</v>
      </c>
      <c r="I422" s="1"/>
      <c r="J422" s="1"/>
      <c r="K422" s="1"/>
      <c r="L422" s="1"/>
      <c r="M422" s="1"/>
      <c r="N422" s="1"/>
      <c r="O422" s="1"/>
      <c r="P422" s="1"/>
      <c r="Q422" s="1"/>
      <c r="R422" s="1"/>
      <c r="T422" s="1"/>
      <c r="U422" s="1"/>
      <c r="V422" s="1"/>
      <c r="W422" s="1"/>
      <c r="X422" s="1"/>
      <c r="Y422" s="1"/>
      <c r="Z422" s="1"/>
      <c r="AB422" s="1"/>
      <c r="AC422" s="1"/>
      <c r="AD422" s="1"/>
      <c r="AE422" s="1"/>
      <c r="AF422" s="1"/>
      <c r="AG422" s="1"/>
      <c r="AH422" s="1"/>
      <c r="AI422" s="1"/>
      <c r="AL422" s="1"/>
      <c r="AN422" s="1"/>
      <c r="AO422" s="1"/>
      <c r="AP422" s="1"/>
      <c r="AQ422" s="1"/>
      <c r="AR422" s="1"/>
      <c r="AS422" s="1"/>
      <c r="AT422" s="1"/>
      <c r="AU422" s="1"/>
      <c r="AV422" s="1"/>
    </row>
    <row r="423" spans="2:48" x14ac:dyDescent="0.3">
      <c r="B423" s="1" t="s">
        <v>1022</v>
      </c>
      <c r="H423" s="1" t="s">
        <v>738</v>
      </c>
      <c r="I423" s="1"/>
      <c r="J423" s="1"/>
      <c r="K423" s="1"/>
      <c r="L423" s="1"/>
      <c r="M423" s="1"/>
      <c r="N423" s="1"/>
      <c r="O423" s="1"/>
      <c r="P423" s="1"/>
      <c r="Q423" s="1"/>
      <c r="R423" s="1"/>
      <c r="T423" s="1"/>
      <c r="U423" s="1"/>
      <c r="V423" s="1"/>
      <c r="W423" s="1"/>
      <c r="X423" s="1"/>
      <c r="Y423" s="1"/>
      <c r="Z423" s="1"/>
      <c r="AB423" s="1"/>
      <c r="AC423" s="1"/>
      <c r="AD423" s="1"/>
      <c r="AE423" s="1"/>
      <c r="AF423" s="1"/>
      <c r="AG423" s="1"/>
      <c r="AH423" s="1"/>
      <c r="AI423" s="1"/>
      <c r="AL423" s="1"/>
      <c r="AN423" s="1"/>
      <c r="AO423" s="1"/>
      <c r="AP423" s="1"/>
      <c r="AQ423" s="1"/>
      <c r="AR423" s="1"/>
      <c r="AS423" s="1"/>
      <c r="AT423" s="1"/>
      <c r="AU423" s="1"/>
      <c r="AV423" s="1"/>
    </row>
    <row r="424" spans="2:48" x14ac:dyDescent="0.3">
      <c r="B424" s="1" t="s">
        <v>1023</v>
      </c>
      <c r="H424" s="1" t="s">
        <v>738</v>
      </c>
      <c r="I424" s="1"/>
      <c r="J424" s="1"/>
      <c r="K424" s="1"/>
      <c r="L424" s="1"/>
      <c r="M424" s="1"/>
      <c r="N424" s="1"/>
      <c r="O424" s="1"/>
      <c r="P424" s="1"/>
      <c r="Q424" s="1"/>
      <c r="R424" s="1"/>
      <c r="T424" s="1"/>
      <c r="U424" s="1"/>
      <c r="V424" s="1"/>
      <c r="W424" s="1"/>
      <c r="X424" s="1"/>
      <c r="Y424" s="1"/>
      <c r="Z424" s="1"/>
      <c r="AB424" s="1"/>
      <c r="AC424" s="1"/>
      <c r="AD424" s="1"/>
      <c r="AE424" s="1"/>
      <c r="AF424" s="1"/>
      <c r="AG424" s="1"/>
      <c r="AH424" s="1"/>
      <c r="AI424" s="1"/>
      <c r="AL424" s="1"/>
      <c r="AN424" s="1"/>
      <c r="AO424" s="1"/>
      <c r="AP424" s="1"/>
      <c r="AQ424" s="1"/>
      <c r="AR424" s="1"/>
      <c r="AS424" s="1"/>
      <c r="AT424" s="1"/>
      <c r="AU424" s="1"/>
      <c r="AV424" s="1"/>
    </row>
    <row r="425" spans="2:48" x14ac:dyDescent="0.3">
      <c r="B425" s="1" t="s">
        <v>1024</v>
      </c>
      <c r="H425" s="1" t="s">
        <v>738</v>
      </c>
      <c r="I425" s="1"/>
      <c r="J425" s="1"/>
      <c r="K425" s="1"/>
      <c r="L425" s="1"/>
      <c r="M425" s="1"/>
      <c r="N425" s="1"/>
      <c r="O425" s="1"/>
      <c r="P425" s="1"/>
      <c r="Q425" s="1"/>
      <c r="R425" s="1"/>
      <c r="T425" s="1"/>
      <c r="U425" s="1"/>
      <c r="V425" s="1"/>
      <c r="W425" s="1"/>
      <c r="X425" s="1"/>
      <c r="Y425" s="1"/>
      <c r="Z425" s="1"/>
      <c r="AB425" s="1"/>
      <c r="AC425" s="1"/>
      <c r="AD425" s="1"/>
      <c r="AE425" s="1"/>
      <c r="AF425" s="1"/>
      <c r="AG425" s="1"/>
      <c r="AH425" s="1"/>
      <c r="AI425" s="1"/>
      <c r="AL425" s="1"/>
      <c r="AN425" s="1"/>
      <c r="AO425" s="1"/>
      <c r="AP425" s="1"/>
      <c r="AQ425" s="1"/>
      <c r="AR425" s="1"/>
      <c r="AS425" s="1"/>
      <c r="AT425" s="1"/>
      <c r="AU425" s="1"/>
      <c r="AV425" s="1"/>
    </row>
    <row r="426" spans="2:48" x14ac:dyDescent="0.3">
      <c r="B426" s="1" t="s">
        <v>1025</v>
      </c>
      <c r="H426" s="1" t="s">
        <v>738</v>
      </c>
      <c r="I426" s="1"/>
      <c r="J426" s="1"/>
      <c r="K426" s="1"/>
      <c r="L426" s="1"/>
      <c r="M426" s="1"/>
      <c r="N426" s="1"/>
      <c r="O426" s="1"/>
      <c r="P426" s="1"/>
      <c r="Q426" s="1"/>
      <c r="R426" s="1"/>
      <c r="T426" s="1"/>
      <c r="U426" s="1"/>
      <c r="V426" s="1"/>
      <c r="W426" s="1"/>
      <c r="X426" s="1"/>
      <c r="Y426" s="1"/>
      <c r="Z426" s="1"/>
      <c r="AB426" s="1"/>
      <c r="AC426" s="1"/>
      <c r="AD426" s="1"/>
      <c r="AE426" s="1"/>
      <c r="AF426" s="1"/>
      <c r="AG426" s="1"/>
      <c r="AH426" s="1"/>
      <c r="AI426" s="1"/>
      <c r="AL426" s="1"/>
      <c r="AN426" s="1"/>
      <c r="AO426" s="1"/>
      <c r="AP426" s="1"/>
      <c r="AQ426" s="1"/>
      <c r="AR426" s="1"/>
      <c r="AS426" s="1"/>
      <c r="AT426" s="1"/>
      <c r="AU426" s="1"/>
      <c r="AV426" s="1"/>
    </row>
    <row r="427" spans="2:48" x14ac:dyDescent="0.3">
      <c r="B427" s="1" t="s">
        <v>1026</v>
      </c>
      <c r="H427" s="1" t="s">
        <v>738</v>
      </c>
      <c r="I427" s="1"/>
      <c r="J427" s="1"/>
      <c r="K427" s="1"/>
      <c r="L427" s="1"/>
      <c r="M427" s="1"/>
      <c r="N427" s="1"/>
      <c r="O427" s="1"/>
      <c r="P427" s="1"/>
      <c r="Q427" s="1"/>
      <c r="R427" s="1"/>
      <c r="T427" s="1"/>
      <c r="U427" s="1"/>
      <c r="V427" s="1"/>
      <c r="W427" s="1"/>
      <c r="X427" s="1"/>
      <c r="Y427" s="1"/>
      <c r="Z427" s="1"/>
      <c r="AB427" s="1"/>
      <c r="AC427" s="1"/>
      <c r="AD427" s="1"/>
      <c r="AE427" s="1"/>
      <c r="AF427" s="1"/>
      <c r="AG427" s="1"/>
      <c r="AH427" s="1"/>
      <c r="AI427" s="1"/>
      <c r="AL427" s="1"/>
      <c r="AN427" s="1"/>
      <c r="AO427" s="1"/>
      <c r="AP427" s="1"/>
      <c r="AQ427" s="1"/>
      <c r="AR427" s="1"/>
      <c r="AS427" s="1"/>
      <c r="AT427" s="1"/>
      <c r="AU427" s="1"/>
      <c r="AV427" s="1"/>
    </row>
    <row r="428" spans="2:48" x14ac:dyDescent="0.3">
      <c r="B428" s="1" t="s">
        <v>1027</v>
      </c>
      <c r="H428" s="1" t="s">
        <v>738</v>
      </c>
      <c r="I428" s="1"/>
      <c r="J428" s="1"/>
      <c r="K428" s="1"/>
      <c r="L428" s="1"/>
      <c r="M428" s="1"/>
      <c r="N428" s="1"/>
      <c r="O428" s="1"/>
      <c r="P428" s="1"/>
      <c r="Q428" s="1"/>
      <c r="R428" s="1"/>
      <c r="T428" s="1"/>
      <c r="U428" s="1"/>
      <c r="V428" s="1"/>
      <c r="W428" s="1"/>
      <c r="X428" s="1"/>
      <c r="Y428" s="1"/>
      <c r="Z428" s="1"/>
      <c r="AB428" s="1"/>
      <c r="AC428" s="1"/>
      <c r="AD428" s="1"/>
      <c r="AE428" s="1"/>
      <c r="AF428" s="1"/>
      <c r="AG428" s="1"/>
      <c r="AH428" s="1"/>
      <c r="AI428" s="1"/>
      <c r="AL428" s="1"/>
      <c r="AN428" s="1"/>
      <c r="AO428" s="1"/>
      <c r="AP428" s="1"/>
      <c r="AQ428" s="1"/>
      <c r="AR428" s="1"/>
      <c r="AS428" s="1"/>
      <c r="AT428" s="1"/>
      <c r="AU428" s="1"/>
      <c r="AV428" s="1"/>
    </row>
    <row r="429" spans="2:48" x14ac:dyDescent="0.3">
      <c r="B429" s="1" t="s">
        <v>1028</v>
      </c>
      <c r="H429" s="1" t="s">
        <v>738</v>
      </c>
      <c r="I429" s="1"/>
      <c r="J429" s="1"/>
      <c r="K429" s="1"/>
      <c r="L429" s="1"/>
      <c r="M429" s="1"/>
      <c r="N429" s="1"/>
      <c r="O429" s="1"/>
      <c r="P429" s="1"/>
      <c r="Q429" s="1"/>
      <c r="R429" s="1"/>
      <c r="T429" s="1"/>
      <c r="U429" s="1"/>
      <c r="V429" s="1"/>
      <c r="W429" s="1"/>
      <c r="X429" s="1"/>
      <c r="Y429" s="1"/>
      <c r="Z429" s="1"/>
      <c r="AB429" s="1"/>
      <c r="AC429" s="1"/>
      <c r="AD429" s="1"/>
      <c r="AE429" s="1"/>
      <c r="AF429" s="1"/>
      <c r="AG429" s="1"/>
      <c r="AH429" s="1"/>
      <c r="AI429" s="1"/>
      <c r="AL429" s="1"/>
      <c r="AN429" s="1"/>
      <c r="AO429" s="1"/>
      <c r="AP429" s="1"/>
      <c r="AQ429" s="1"/>
      <c r="AR429" s="1"/>
      <c r="AS429" s="1"/>
      <c r="AT429" s="1"/>
      <c r="AU429" s="1"/>
      <c r="AV429" s="1"/>
    </row>
    <row r="430" spans="2:48" x14ac:dyDescent="0.3">
      <c r="B430" s="1" t="s">
        <v>1029</v>
      </c>
      <c r="H430" s="1" t="s">
        <v>738</v>
      </c>
      <c r="I430" s="1"/>
      <c r="J430" s="1"/>
      <c r="K430" s="1"/>
      <c r="L430" s="1"/>
      <c r="M430" s="1"/>
      <c r="N430" s="1"/>
      <c r="O430" s="1"/>
      <c r="P430" s="1"/>
      <c r="Q430" s="1"/>
      <c r="R430" s="1"/>
      <c r="T430" s="1"/>
      <c r="U430" s="1"/>
      <c r="V430" s="1"/>
      <c r="W430" s="1"/>
      <c r="X430" s="1"/>
      <c r="Y430" s="1"/>
      <c r="Z430" s="1"/>
      <c r="AB430" s="1"/>
      <c r="AC430" s="1"/>
      <c r="AD430" s="1"/>
      <c r="AE430" s="1"/>
      <c r="AF430" s="1"/>
      <c r="AG430" s="1"/>
      <c r="AH430" s="1"/>
      <c r="AI430" s="1"/>
      <c r="AL430" s="1"/>
      <c r="AN430" s="1"/>
      <c r="AO430" s="1"/>
      <c r="AP430" s="1"/>
      <c r="AQ430" s="1"/>
      <c r="AR430" s="1"/>
      <c r="AS430" s="1"/>
      <c r="AT430" s="1"/>
      <c r="AU430" s="1"/>
      <c r="AV430" s="1"/>
    </row>
    <row r="431" spans="2:48" x14ac:dyDescent="0.3">
      <c r="B431" s="1" t="s">
        <v>1030</v>
      </c>
      <c r="H431" s="1" t="s">
        <v>738</v>
      </c>
      <c r="I431" s="1"/>
      <c r="J431" s="1"/>
      <c r="K431" s="1"/>
      <c r="L431" s="1"/>
      <c r="M431" s="1"/>
      <c r="N431" s="1"/>
      <c r="O431" s="1"/>
      <c r="P431" s="1"/>
      <c r="Q431" s="1"/>
      <c r="R431" s="1"/>
      <c r="T431" s="1"/>
      <c r="U431" s="1"/>
      <c r="V431" s="1"/>
      <c r="W431" s="1"/>
      <c r="X431" s="1"/>
      <c r="Y431" s="1"/>
      <c r="Z431" s="1"/>
      <c r="AB431" s="1"/>
      <c r="AC431" s="1"/>
      <c r="AD431" s="1"/>
      <c r="AE431" s="1"/>
      <c r="AF431" s="1"/>
      <c r="AG431" s="1"/>
      <c r="AH431" s="1"/>
      <c r="AI431" s="1"/>
      <c r="AL431" s="1"/>
      <c r="AN431" s="1"/>
      <c r="AO431" s="1"/>
      <c r="AP431" s="1"/>
      <c r="AQ431" s="1"/>
      <c r="AR431" s="1"/>
      <c r="AS431" s="1"/>
      <c r="AT431" s="1"/>
      <c r="AU431" s="1"/>
      <c r="AV431" s="1"/>
    </row>
    <row r="432" spans="2:48" x14ac:dyDescent="0.3">
      <c r="B432" s="1" t="s">
        <v>1031</v>
      </c>
      <c r="H432" s="1" t="s">
        <v>738</v>
      </c>
      <c r="I432" s="1"/>
      <c r="J432" s="1"/>
      <c r="K432" s="1"/>
      <c r="L432" s="1"/>
      <c r="M432" s="1"/>
      <c r="N432" s="1"/>
      <c r="O432" s="1"/>
      <c r="P432" s="1"/>
      <c r="Q432" s="1"/>
      <c r="R432" s="1"/>
      <c r="T432" s="1"/>
      <c r="U432" s="1"/>
      <c r="V432" s="1"/>
      <c r="W432" s="1"/>
      <c r="X432" s="1"/>
      <c r="Y432" s="1"/>
      <c r="Z432" s="1"/>
      <c r="AB432" s="1"/>
      <c r="AC432" s="1"/>
      <c r="AD432" s="1"/>
      <c r="AE432" s="1"/>
      <c r="AF432" s="1"/>
      <c r="AG432" s="1"/>
      <c r="AH432" s="1"/>
      <c r="AI432" s="1"/>
      <c r="AL432" s="1"/>
      <c r="AN432" s="1"/>
      <c r="AO432" s="1"/>
      <c r="AP432" s="1"/>
      <c r="AQ432" s="1"/>
      <c r="AR432" s="1"/>
      <c r="AS432" s="1"/>
      <c r="AT432" s="1"/>
      <c r="AU432" s="1"/>
      <c r="AV432" s="1"/>
    </row>
    <row r="433" spans="2:48" x14ac:dyDescent="0.3">
      <c r="B433" s="1" t="s">
        <v>1032</v>
      </c>
      <c r="H433" s="1" t="s">
        <v>738</v>
      </c>
      <c r="I433" s="1"/>
      <c r="J433" s="1"/>
      <c r="K433" s="1"/>
      <c r="L433" s="1"/>
      <c r="M433" s="1"/>
      <c r="N433" s="1"/>
      <c r="O433" s="1"/>
      <c r="P433" s="1"/>
      <c r="Q433" s="1"/>
      <c r="R433" s="1"/>
      <c r="T433" s="1"/>
      <c r="U433" s="1"/>
      <c r="V433" s="1"/>
      <c r="W433" s="1"/>
      <c r="X433" s="1"/>
      <c r="Y433" s="1"/>
      <c r="Z433" s="1"/>
      <c r="AB433" s="1"/>
      <c r="AC433" s="1"/>
      <c r="AD433" s="1"/>
      <c r="AE433" s="1"/>
      <c r="AF433" s="1"/>
      <c r="AG433" s="1"/>
      <c r="AH433" s="1"/>
      <c r="AI433" s="1"/>
      <c r="AL433" s="1"/>
      <c r="AN433" s="1"/>
      <c r="AO433" s="1"/>
      <c r="AP433" s="1"/>
      <c r="AQ433" s="1"/>
      <c r="AR433" s="1"/>
      <c r="AS433" s="1"/>
      <c r="AT433" s="1"/>
      <c r="AU433" s="1"/>
      <c r="AV433" s="1"/>
    </row>
    <row r="434" spans="2:48" x14ac:dyDescent="0.3">
      <c r="B434" s="1" t="s">
        <v>1033</v>
      </c>
      <c r="H434" s="1" t="s">
        <v>738</v>
      </c>
      <c r="I434" s="1"/>
      <c r="J434" s="1"/>
      <c r="K434" s="1"/>
      <c r="L434" s="1"/>
      <c r="M434" s="1"/>
      <c r="N434" s="1"/>
      <c r="O434" s="1"/>
      <c r="P434" s="1"/>
      <c r="Q434" s="1"/>
      <c r="R434" s="1"/>
      <c r="T434" s="1"/>
      <c r="U434" s="1"/>
      <c r="V434" s="1"/>
      <c r="W434" s="1"/>
      <c r="X434" s="1"/>
      <c r="Y434" s="1"/>
      <c r="Z434" s="1"/>
      <c r="AB434" s="1"/>
      <c r="AC434" s="1"/>
      <c r="AD434" s="1"/>
      <c r="AE434" s="1"/>
      <c r="AF434" s="1"/>
      <c r="AG434" s="1"/>
      <c r="AH434" s="1"/>
      <c r="AI434" s="1"/>
      <c r="AL434" s="1"/>
      <c r="AN434" s="1"/>
      <c r="AO434" s="1"/>
      <c r="AP434" s="1"/>
      <c r="AQ434" s="1"/>
      <c r="AR434" s="1"/>
      <c r="AS434" s="1"/>
      <c r="AT434" s="1"/>
      <c r="AU434" s="1"/>
      <c r="AV434" s="1"/>
    </row>
    <row r="435" spans="2:48" x14ac:dyDescent="0.3">
      <c r="B435" s="1" t="s">
        <v>1034</v>
      </c>
      <c r="H435" s="1" t="s">
        <v>738</v>
      </c>
      <c r="I435" s="1"/>
      <c r="J435" s="1"/>
      <c r="K435" s="1"/>
      <c r="L435" s="1"/>
      <c r="M435" s="1"/>
      <c r="N435" s="1"/>
      <c r="O435" s="1"/>
      <c r="P435" s="1"/>
      <c r="Q435" s="1"/>
      <c r="R435" s="1"/>
      <c r="T435" s="1"/>
      <c r="U435" s="1"/>
      <c r="V435" s="1"/>
      <c r="W435" s="1"/>
      <c r="X435" s="1"/>
      <c r="Y435" s="1"/>
      <c r="Z435" s="1"/>
      <c r="AB435" s="1"/>
      <c r="AC435" s="1"/>
      <c r="AD435" s="1"/>
      <c r="AE435" s="1"/>
      <c r="AF435" s="1"/>
      <c r="AG435" s="1"/>
      <c r="AH435" s="1"/>
      <c r="AI435" s="1"/>
      <c r="AL435" s="1"/>
      <c r="AN435" s="1"/>
      <c r="AO435" s="1"/>
      <c r="AP435" s="1"/>
      <c r="AQ435" s="1"/>
      <c r="AR435" s="1"/>
      <c r="AS435" s="1"/>
      <c r="AT435" s="1"/>
      <c r="AU435" s="1"/>
      <c r="AV435" s="1"/>
    </row>
    <row r="436" spans="2:48" x14ac:dyDescent="0.3">
      <c r="B436" s="1" t="s">
        <v>1035</v>
      </c>
      <c r="H436" s="1" t="s">
        <v>738</v>
      </c>
      <c r="I436" s="1"/>
      <c r="J436" s="1"/>
      <c r="K436" s="1"/>
      <c r="L436" s="1"/>
      <c r="M436" s="1"/>
      <c r="N436" s="1"/>
      <c r="O436" s="1"/>
      <c r="P436" s="1"/>
      <c r="Q436" s="1"/>
      <c r="R436" s="1"/>
      <c r="T436" s="1"/>
      <c r="U436" s="1"/>
      <c r="V436" s="1"/>
      <c r="W436" s="1"/>
      <c r="X436" s="1"/>
      <c r="Y436" s="1"/>
      <c r="Z436" s="1"/>
      <c r="AB436" s="1"/>
      <c r="AC436" s="1"/>
      <c r="AD436" s="1"/>
      <c r="AE436" s="1"/>
      <c r="AF436" s="1"/>
      <c r="AG436" s="1"/>
      <c r="AH436" s="1"/>
      <c r="AI436" s="1"/>
      <c r="AL436" s="1"/>
      <c r="AN436" s="1"/>
      <c r="AO436" s="1"/>
      <c r="AP436" s="1"/>
      <c r="AQ436" s="1"/>
      <c r="AR436" s="1"/>
      <c r="AS436" s="1"/>
      <c r="AT436" s="1"/>
      <c r="AU436" s="1"/>
      <c r="AV436" s="1"/>
    </row>
    <row r="437" spans="2:48" x14ac:dyDescent="0.3">
      <c r="B437" s="1" t="s">
        <v>1036</v>
      </c>
      <c r="H437" s="1" t="s">
        <v>738</v>
      </c>
      <c r="I437" s="1"/>
      <c r="J437" s="1"/>
      <c r="K437" s="1"/>
      <c r="L437" s="1"/>
      <c r="M437" s="1"/>
      <c r="N437" s="1"/>
      <c r="O437" s="1"/>
      <c r="P437" s="1"/>
      <c r="Q437" s="1"/>
      <c r="R437" s="1"/>
      <c r="T437" s="1"/>
      <c r="U437" s="1"/>
      <c r="V437" s="1"/>
      <c r="W437" s="1"/>
      <c r="X437" s="1"/>
      <c r="Y437" s="1"/>
      <c r="Z437" s="1"/>
      <c r="AB437" s="1"/>
      <c r="AC437" s="1"/>
      <c r="AD437" s="1"/>
      <c r="AE437" s="1"/>
      <c r="AF437" s="1"/>
      <c r="AG437" s="1"/>
      <c r="AH437" s="1"/>
      <c r="AI437" s="1"/>
      <c r="AL437" s="1"/>
      <c r="AN437" s="1"/>
      <c r="AO437" s="1"/>
      <c r="AP437" s="1"/>
      <c r="AQ437" s="1"/>
      <c r="AR437" s="1"/>
      <c r="AS437" s="1"/>
      <c r="AT437" s="1"/>
      <c r="AU437" s="1"/>
      <c r="AV437" s="1"/>
    </row>
    <row r="438" spans="2:48" x14ac:dyDescent="0.3">
      <c r="B438" s="1" t="s">
        <v>1037</v>
      </c>
      <c r="H438" s="1" t="s">
        <v>738</v>
      </c>
      <c r="I438" s="1"/>
      <c r="J438" s="1"/>
      <c r="K438" s="1"/>
      <c r="L438" s="1"/>
      <c r="M438" s="1"/>
      <c r="N438" s="1"/>
      <c r="O438" s="1"/>
      <c r="P438" s="1"/>
      <c r="Q438" s="1"/>
      <c r="R438" s="1"/>
      <c r="T438" s="1"/>
      <c r="U438" s="1"/>
      <c r="V438" s="1"/>
      <c r="W438" s="1"/>
      <c r="X438" s="1"/>
      <c r="Y438" s="1"/>
      <c r="Z438" s="1"/>
      <c r="AB438" s="1"/>
      <c r="AC438" s="1"/>
      <c r="AD438" s="1"/>
      <c r="AE438" s="1"/>
      <c r="AF438" s="1"/>
      <c r="AG438" s="1"/>
      <c r="AH438" s="1"/>
      <c r="AI438" s="1"/>
      <c r="AL438" s="1"/>
      <c r="AN438" s="1"/>
      <c r="AO438" s="1"/>
      <c r="AP438" s="1"/>
      <c r="AQ438" s="1"/>
      <c r="AR438" s="1"/>
      <c r="AS438" s="1"/>
      <c r="AT438" s="1"/>
      <c r="AU438" s="1"/>
      <c r="AV438" s="1"/>
    </row>
    <row r="439" spans="2:48" x14ac:dyDescent="0.3">
      <c r="B439" s="1" t="s">
        <v>1038</v>
      </c>
      <c r="H439" s="1" t="s">
        <v>738</v>
      </c>
      <c r="I439" s="1"/>
      <c r="J439" s="1"/>
      <c r="K439" s="1"/>
      <c r="L439" s="1"/>
      <c r="M439" s="1"/>
      <c r="N439" s="1"/>
      <c r="O439" s="1"/>
      <c r="P439" s="1"/>
      <c r="Q439" s="1"/>
      <c r="R439" s="1"/>
      <c r="T439" s="1"/>
      <c r="U439" s="1"/>
      <c r="V439" s="1"/>
      <c r="W439" s="1"/>
      <c r="X439" s="1"/>
      <c r="Y439" s="1"/>
      <c r="Z439" s="1"/>
      <c r="AB439" s="1"/>
      <c r="AC439" s="1"/>
      <c r="AD439" s="1"/>
      <c r="AE439" s="1"/>
      <c r="AF439" s="1"/>
      <c r="AG439" s="1"/>
      <c r="AH439" s="1"/>
      <c r="AI439" s="1"/>
      <c r="AL439" s="1"/>
      <c r="AN439" s="1"/>
      <c r="AO439" s="1"/>
      <c r="AP439" s="1"/>
      <c r="AQ439" s="1"/>
      <c r="AR439" s="1"/>
      <c r="AS439" s="1"/>
      <c r="AT439" s="1"/>
      <c r="AU439" s="1"/>
      <c r="AV439" s="1"/>
    </row>
    <row r="440" spans="2:48" x14ac:dyDescent="0.3">
      <c r="B440" s="1" t="s">
        <v>1039</v>
      </c>
      <c r="H440" s="1" t="s">
        <v>738</v>
      </c>
      <c r="I440" s="1"/>
      <c r="J440" s="1"/>
      <c r="K440" s="1"/>
      <c r="L440" s="1"/>
      <c r="M440" s="1"/>
      <c r="N440" s="1"/>
      <c r="O440" s="1"/>
      <c r="P440" s="1"/>
      <c r="Q440" s="1"/>
      <c r="R440" s="1"/>
      <c r="T440" s="1"/>
      <c r="U440" s="1"/>
      <c r="V440" s="1"/>
      <c r="W440" s="1"/>
      <c r="X440" s="1"/>
      <c r="Y440" s="1"/>
      <c r="Z440" s="1"/>
      <c r="AB440" s="1"/>
      <c r="AC440" s="1"/>
      <c r="AD440" s="1"/>
      <c r="AE440" s="1"/>
      <c r="AF440" s="1"/>
      <c r="AG440" s="1"/>
      <c r="AH440" s="1"/>
      <c r="AI440" s="1"/>
      <c r="AL440" s="1"/>
      <c r="AN440" s="1"/>
      <c r="AO440" s="1"/>
      <c r="AP440" s="1"/>
      <c r="AQ440" s="1"/>
      <c r="AR440" s="1"/>
      <c r="AS440" s="1"/>
      <c r="AT440" s="1"/>
      <c r="AU440" s="1"/>
      <c r="AV440" s="1"/>
    </row>
    <row r="441" spans="2:48" x14ac:dyDescent="0.3">
      <c r="B441" s="1" t="s">
        <v>1040</v>
      </c>
      <c r="H441" s="1" t="s">
        <v>738</v>
      </c>
      <c r="I441" s="1"/>
      <c r="J441" s="1"/>
      <c r="K441" s="1"/>
      <c r="L441" s="1"/>
      <c r="M441" s="1"/>
      <c r="N441" s="1"/>
      <c r="O441" s="1"/>
      <c r="P441" s="1"/>
      <c r="Q441" s="1"/>
      <c r="R441" s="1"/>
      <c r="T441" s="1"/>
      <c r="U441" s="1"/>
      <c r="V441" s="1"/>
      <c r="W441" s="1"/>
      <c r="X441" s="1"/>
      <c r="Y441" s="1"/>
      <c r="Z441" s="1"/>
      <c r="AB441" s="1"/>
      <c r="AC441" s="1"/>
      <c r="AD441" s="1"/>
      <c r="AE441" s="1"/>
      <c r="AF441" s="1"/>
      <c r="AG441" s="1"/>
      <c r="AH441" s="1"/>
      <c r="AI441" s="1"/>
      <c r="AL441" s="1"/>
      <c r="AN441" s="1"/>
      <c r="AO441" s="1"/>
      <c r="AP441" s="1"/>
      <c r="AQ441" s="1"/>
      <c r="AR441" s="1"/>
      <c r="AS441" s="1"/>
      <c r="AT441" s="1"/>
      <c r="AU441" s="1"/>
      <c r="AV441" s="1"/>
    </row>
    <row r="442" spans="2:48" x14ac:dyDescent="0.3">
      <c r="B442" s="1" t="s">
        <v>1041</v>
      </c>
      <c r="H442" s="1" t="s">
        <v>738</v>
      </c>
      <c r="I442" s="1"/>
      <c r="J442" s="1"/>
      <c r="K442" s="1"/>
      <c r="L442" s="1"/>
      <c r="M442" s="1"/>
      <c r="N442" s="1"/>
      <c r="O442" s="1"/>
      <c r="P442" s="1"/>
      <c r="Q442" s="1"/>
      <c r="R442" s="1"/>
      <c r="T442" s="1"/>
      <c r="U442" s="1"/>
      <c r="V442" s="1"/>
      <c r="W442" s="1"/>
      <c r="X442" s="1"/>
      <c r="Y442" s="1"/>
      <c r="Z442" s="1"/>
      <c r="AB442" s="1"/>
      <c r="AC442" s="1"/>
      <c r="AD442" s="1"/>
      <c r="AE442" s="1"/>
      <c r="AF442" s="1"/>
      <c r="AG442" s="1"/>
      <c r="AH442" s="1"/>
      <c r="AI442" s="1"/>
      <c r="AL442" s="1"/>
      <c r="AN442" s="1"/>
      <c r="AO442" s="1"/>
      <c r="AP442" s="1"/>
      <c r="AQ442" s="1"/>
      <c r="AR442" s="1"/>
      <c r="AS442" s="1"/>
      <c r="AT442" s="1"/>
      <c r="AU442" s="1"/>
      <c r="AV442" s="1"/>
    </row>
    <row r="443" spans="2:48" x14ac:dyDescent="0.3">
      <c r="B443" s="1" t="s">
        <v>1042</v>
      </c>
      <c r="H443" s="1" t="s">
        <v>738</v>
      </c>
      <c r="I443" s="1"/>
      <c r="J443" s="1"/>
      <c r="K443" s="1"/>
      <c r="L443" s="1"/>
      <c r="M443" s="1"/>
      <c r="N443" s="1"/>
      <c r="O443" s="1"/>
      <c r="P443" s="1"/>
      <c r="Q443" s="1"/>
      <c r="R443" s="1"/>
      <c r="T443" s="1"/>
      <c r="U443" s="1"/>
      <c r="V443" s="1"/>
      <c r="W443" s="1"/>
      <c r="X443" s="1"/>
      <c r="Y443" s="1"/>
      <c r="Z443" s="1"/>
      <c r="AB443" s="1"/>
      <c r="AC443" s="1"/>
      <c r="AD443" s="1"/>
      <c r="AE443" s="1"/>
      <c r="AF443" s="1"/>
      <c r="AG443" s="1"/>
      <c r="AH443" s="1"/>
      <c r="AI443" s="1"/>
      <c r="AL443" s="1"/>
      <c r="AN443" s="1"/>
      <c r="AO443" s="1"/>
      <c r="AP443" s="1"/>
      <c r="AQ443" s="1"/>
      <c r="AR443" s="1"/>
      <c r="AS443" s="1"/>
      <c r="AT443" s="1"/>
      <c r="AU443" s="1"/>
      <c r="AV443" s="1"/>
    </row>
    <row r="444" spans="2:48" x14ac:dyDescent="0.3">
      <c r="B444" s="1" t="s">
        <v>1043</v>
      </c>
      <c r="H444" s="1" t="s">
        <v>738</v>
      </c>
      <c r="I444" s="1"/>
      <c r="J444" s="1"/>
      <c r="K444" s="1"/>
      <c r="L444" s="1"/>
      <c r="M444" s="1"/>
      <c r="N444" s="1"/>
      <c r="O444" s="1"/>
      <c r="P444" s="1"/>
      <c r="Q444" s="1"/>
      <c r="R444" s="1"/>
      <c r="T444" s="1"/>
      <c r="U444" s="1"/>
      <c r="V444" s="1"/>
      <c r="W444" s="1"/>
      <c r="X444" s="1"/>
      <c r="Y444" s="1"/>
      <c r="Z444" s="1"/>
      <c r="AB444" s="1"/>
      <c r="AC444" s="1"/>
      <c r="AD444" s="1"/>
      <c r="AE444" s="1"/>
      <c r="AF444" s="1"/>
      <c r="AG444" s="1"/>
      <c r="AH444" s="1"/>
      <c r="AI444" s="1"/>
      <c r="AL444" s="1"/>
      <c r="AN444" s="1"/>
      <c r="AO444" s="1"/>
      <c r="AP444" s="1"/>
      <c r="AQ444" s="1"/>
      <c r="AR444" s="1"/>
      <c r="AS444" s="1"/>
      <c r="AT444" s="1"/>
      <c r="AU444" s="1"/>
      <c r="AV444" s="1"/>
    </row>
    <row r="445" spans="2:48" x14ac:dyDescent="0.3">
      <c r="B445" s="1" t="s">
        <v>1044</v>
      </c>
      <c r="H445" s="1" t="s">
        <v>738</v>
      </c>
      <c r="I445" s="1"/>
      <c r="J445" s="1"/>
      <c r="K445" s="1"/>
      <c r="L445" s="1"/>
      <c r="M445" s="1"/>
      <c r="N445" s="1"/>
      <c r="O445" s="1"/>
      <c r="P445" s="1"/>
      <c r="Q445" s="1"/>
      <c r="R445" s="1"/>
      <c r="T445" s="1"/>
      <c r="U445" s="1"/>
      <c r="V445" s="1"/>
      <c r="W445" s="1"/>
      <c r="X445" s="1"/>
      <c r="Y445" s="1"/>
      <c r="Z445" s="1"/>
      <c r="AB445" s="1"/>
      <c r="AC445" s="1"/>
      <c r="AD445" s="1"/>
      <c r="AE445" s="1"/>
      <c r="AF445" s="1"/>
      <c r="AG445" s="1"/>
      <c r="AH445" s="1"/>
      <c r="AI445" s="1"/>
      <c r="AL445" s="1"/>
      <c r="AN445" s="1"/>
      <c r="AO445" s="1"/>
      <c r="AP445" s="1"/>
      <c r="AQ445" s="1"/>
      <c r="AR445" s="1"/>
      <c r="AS445" s="1"/>
      <c r="AT445" s="1"/>
      <c r="AU445" s="1"/>
      <c r="AV445" s="1"/>
    </row>
    <row r="446" spans="2:48" x14ac:dyDescent="0.3">
      <c r="B446" s="1" t="s">
        <v>1045</v>
      </c>
      <c r="H446" s="1" t="s">
        <v>738</v>
      </c>
      <c r="I446" s="1"/>
      <c r="J446" s="1"/>
      <c r="K446" s="1"/>
      <c r="L446" s="1"/>
      <c r="M446" s="1"/>
      <c r="N446" s="1"/>
      <c r="O446" s="1"/>
      <c r="P446" s="1"/>
      <c r="Q446" s="1"/>
      <c r="R446" s="1"/>
      <c r="T446" s="1"/>
      <c r="U446" s="1"/>
      <c r="V446" s="1"/>
      <c r="W446" s="1"/>
      <c r="X446" s="1"/>
      <c r="Y446" s="1"/>
      <c r="Z446" s="1"/>
      <c r="AB446" s="1"/>
      <c r="AC446" s="1"/>
      <c r="AD446" s="1"/>
      <c r="AE446" s="1"/>
      <c r="AF446" s="1"/>
      <c r="AG446" s="1"/>
      <c r="AH446" s="1"/>
      <c r="AI446" s="1"/>
      <c r="AL446" s="1"/>
      <c r="AN446" s="1"/>
      <c r="AO446" s="1"/>
      <c r="AP446" s="1"/>
      <c r="AQ446" s="1"/>
      <c r="AR446" s="1"/>
      <c r="AS446" s="1"/>
      <c r="AT446" s="1"/>
      <c r="AU446" s="1"/>
      <c r="AV446" s="1"/>
    </row>
    <row r="447" spans="2:48" x14ac:dyDescent="0.3">
      <c r="B447" s="1" t="s">
        <v>1046</v>
      </c>
      <c r="H447" s="1" t="s">
        <v>738</v>
      </c>
      <c r="I447" s="1"/>
      <c r="J447" s="1"/>
      <c r="K447" s="1"/>
      <c r="L447" s="1"/>
      <c r="M447" s="1"/>
      <c r="N447" s="1"/>
      <c r="O447" s="1"/>
      <c r="P447" s="1"/>
      <c r="Q447" s="1"/>
      <c r="R447" s="1"/>
      <c r="T447" s="1"/>
      <c r="U447" s="1"/>
      <c r="V447" s="1"/>
      <c r="W447" s="1"/>
      <c r="X447" s="1"/>
      <c r="Y447" s="1"/>
      <c r="Z447" s="1"/>
      <c r="AB447" s="1"/>
      <c r="AC447" s="1"/>
      <c r="AD447" s="1"/>
      <c r="AE447" s="1"/>
      <c r="AF447" s="1"/>
      <c r="AG447" s="1"/>
      <c r="AH447" s="1"/>
      <c r="AI447" s="1"/>
      <c r="AL447" s="1"/>
      <c r="AN447" s="1"/>
      <c r="AO447" s="1"/>
      <c r="AP447" s="1"/>
      <c r="AQ447" s="1"/>
      <c r="AR447" s="1"/>
      <c r="AS447" s="1"/>
      <c r="AT447" s="1"/>
      <c r="AU447" s="1"/>
      <c r="AV447" s="1"/>
    </row>
    <row r="448" spans="2:48" x14ac:dyDescent="0.3">
      <c r="B448" s="1" t="s">
        <v>1047</v>
      </c>
      <c r="H448" s="1" t="s">
        <v>738</v>
      </c>
      <c r="I448" s="1"/>
      <c r="J448" s="1"/>
      <c r="K448" s="1"/>
      <c r="L448" s="1"/>
      <c r="M448" s="1"/>
      <c r="N448" s="1"/>
      <c r="O448" s="1"/>
      <c r="P448" s="1"/>
      <c r="Q448" s="1"/>
      <c r="R448" s="1"/>
      <c r="T448" s="1"/>
      <c r="U448" s="1"/>
      <c r="V448" s="1"/>
      <c r="W448" s="1"/>
      <c r="X448" s="1"/>
      <c r="Y448" s="1"/>
      <c r="Z448" s="1"/>
      <c r="AB448" s="1"/>
      <c r="AC448" s="1"/>
      <c r="AD448" s="1"/>
      <c r="AE448" s="1"/>
      <c r="AF448" s="1"/>
      <c r="AG448" s="1"/>
      <c r="AH448" s="1"/>
      <c r="AI448" s="1"/>
      <c r="AL448" s="1"/>
      <c r="AN448" s="1"/>
      <c r="AO448" s="1"/>
      <c r="AP448" s="1"/>
      <c r="AQ448" s="1"/>
      <c r="AR448" s="1"/>
      <c r="AS448" s="1"/>
      <c r="AT448" s="1"/>
      <c r="AU448" s="1"/>
      <c r="AV448" s="1"/>
    </row>
    <row r="449" spans="2:48" x14ac:dyDescent="0.3">
      <c r="B449" s="1" t="s">
        <v>1048</v>
      </c>
      <c r="H449" s="1" t="s">
        <v>738</v>
      </c>
      <c r="I449" s="1"/>
      <c r="J449" s="1"/>
      <c r="K449" s="1"/>
      <c r="L449" s="1"/>
      <c r="M449" s="1"/>
      <c r="N449" s="1"/>
      <c r="O449" s="1"/>
      <c r="P449" s="1"/>
      <c r="Q449" s="1"/>
      <c r="R449" s="1"/>
      <c r="T449" s="1"/>
      <c r="U449" s="1"/>
      <c r="V449" s="1"/>
      <c r="W449" s="1"/>
      <c r="X449" s="1"/>
      <c r="Y449" s="1"/>
      <c r="Z449" s="1"/>
      <c r="AB449" s="1"/>
      <c r="AC449" s="1"/>
      <c r="AD449" s="1"/>
      <c r="AE449" s="1"/>
      <c r="AF449" s="1"/>
      <c r="AG449" s="1"/>
      <c r="AH449" s="1"/>
      <c r="AI449" s="1"/>
      <c r="AL449" s="1"/>
      <c r="AN449" s="1"/>
      <c r="AO449" s="1"/>
      <c r="AP449" s="1"/>
      <c r="AQ449" s="1"/>
      <c r="AR449" s="1"/>
      <c r="AS449" s="1"/>
      <c r="AT449" s="1"/>
      <c r="AU449" s="1"/>
      <c r="AV449" s="1"/>
    </row>
    <row r="450" spans="2:48" x14ac:dyDescent="0.3">
      <c r="B450" s="1" t="s">
        <v>1049</v>
      </c>
      <c r="H450" s="1" t="s">
        <v>738</v>
      </c>
      <c r="I450" s="1"/>
      <c r="J450" s="1"/>
      <c r="K450" s="1"/>
      <c r="L450" s="1"/>
      <c r="M450" s="1"/>
      <c r="N450" s="1"/>
      <c r="O450" s="1"/>
      <c r="P450" s="1"/>
      <c r="Q450" s="1"/>
      <c r="R450" s="1"/>
      <c r="T450" s="1"/>
      <c r="U450" s="1"/>
      <c r="V450" s="1"/>
      <c r="W450" s="1"/>
      <c r="X450" s="1"/>
      <c r="Y450" s="1"/>
      <c r="Z450" s="1"/>
      <c r="AB450" s="1"/>
      <c r="AC450" s="1"/>
      <c r="AD450" s="1"/>
      <c r="AE450" s="1"/>
      <c r="AF450" s="1"/>
      <c r="AG450" s="1"/>
      <c r="AH450" s="1"/>
      <c r="AI450" s="1"/>
      <c r="AL450" s="1"/>
      <c r="AN450" s="1"/>
      <c r="AO450" s="1"/>
      <c r="AP450" s="1"/>
      <c r="AQ450" s="1"/>
      <c r="AR450" s="1"/>
      <c r="AS450" s="1"/>
      <c r="AT450" s="1"/>
      <c r="AU450" s="1"/>
      <c r="AV450" s="1"/>
    </row>
    <row r="451" spans="2:48" x14ac:dyDescent="0.3">
      <c r="B451" s="1" t="s">
        <v>1050</v>
      </c>
      <c r="H451" s="1" t="s">
        <v>738</v>
      </c>
      <c r="I451" s="1"/>
      <c r="J451" s="1"/>
      <c r="K451" s="1"/>
      <c r="L451" s="1"/>
      <c r="M451" s="1"/>
      <c r="N451" s="1"/>
      <c r="O451" s="1"/>
      <c r="P451" s="1"/>
      <c r="Q451" s="1"/>
      <c r="R451" s="1"/>
      <c r="T451" s="1"/>
      <c r="U451" s="1"/>
      <c r="V451" s="1"/>
      <c r="W451" s="1"/>
      <c r="X451" s="1"/>
      <c r="Y451" s="1"/>
      <c r="Z451" s="1"/>
      <c r="AB451" s="1"/>
      <c r="AC451" s="1"/>
      <c r="AD451" s="1"/>
      <c r="AE451" s="1"/>
      <c r="AF451" s="1"/>
      <c r="AG451" s="1"/>
      <c r="AH451" s="1"/>
      <c r="AI451" s="1"/>
      <c r="AL451" s="1"/>
      <c r="AN451" s="1"/>
      <c r="AO451" s="1"/>
      <c r="AP451" s="1"/>
      <c r="AQ451" s="1"/>
      <c r="AR451" s="1"/>
      <c r="AS451" s="1"/>
      <c r="AT451" s="1"/>
      <c r="AU451" s="1"/>
      <c r="AV451" s="1"/>
    </row>
    <row r="452" spans="2:48" x14ac:dyDescent="0.3">
      <c r="B452" s="1" t="s">
        <v>1051</v>
      </c>
      <c r="H452" s="1" t="s">
        <v>738</v>
      </c>
      <c r="I452" s="1"/>
      <c r="J452" s="1"/>
      <c r="K452" s="1"/>
      <c r="L452" s="1"/>
      <c r="M452" s="1"/>
      <c r="N452" s="1"/>
      <c r="O452" s="1"/>
      <c r="P452" s="1"/>
      <c r="Q452" s="1"/>
      <c r="R452" s="1"/>
      <c r="T452" s="1"/>
      <c r="U452" s="1"/>
      <c r="V452" s="1"/>
      <c r="W452" s="1"/>
      <c r="X452" s="1"/>
      <c r="Y452" s="1"/>
      <c r="Z452" s="1"/>
      <c r="AB452" s="1"/>
      <c r="AC452" s="1"/>
      <c r="AD452" s="1"/>
      <c r="AE452" s="1"/>
      <c r="AF452" s="1"/>
      <c r="AG452" s="1"/>
      <c r="AH452" s="1"/>
      <c r="AI452" s="1"/>
      <c r="AL452" s="1"/>
      <c r="AN452" s="1"/>
      <c r="AO452" s="1"/>
      <c r="AP452" s="1"/>
      <c r="AQ452" s="1"/>
      <c r="AR452" s="1"/>
      <c r="AS452" s="1"/>
      <c r="AT452" s="1"/>
      <c r="AU452" s="1"/>
      <c r="AV452" s="1"/>
    </row>
    <row r="453" spans="2:48" x14ac:dyDescent="0.3">
      <c r="B453" s="1" t="s">
        <v>1052</v>
      </c>
      <c r="H453" s="1" t="s">
        <v>738</v>
      </c>
      <c r="I453" s="1"/>
      <c r="J453" s="1"/>
      <c r="K453" s="1"/>
      <c r="L453" s="1"/>
      <c r="M453" s="1"/>
      <c r="N453" s="1"/>
      <c r="O453" s="1"/>
      <c r="P453" s="1"/>
      <c r="Q453" s="1"/>
      <c r="R453" s="1"/>
      <c r="T453" s="1"/>
      <c r="U453" s="1"/>
      <c r="V453" s="1"/>
      <c r="W453" s="1"/>
      <c r="X453" s="1"/>
      <c r="Y453" s="1"/>
      <c r="Z453" s="1"/>
      <c r="AB453" s="1"/>
      <c r="AC453" s="1"/>
      <c r="AD453" s="1"/>
      <c r="AE453" s="1"/>
      <c r="AF453" s="1"/>
      <c r="AG453" s="1"/>
      <c r="AH453" s="1"/>
      <c r="AI453" s="1"/>
      <c r="AL453" s="1"/>
      <c r="AN453" s="1"/>
      <c r="AO453" s="1"/>
      <c r="AP453" s="1"/>
      <c r="AQ453" s="1"/>
      <c r="AR453" s="1"/>
      <c r="AS453" s="1"/>
      <c r="AT453" s="1"/>
      <c r="AU453" s="1"/>
      <c r="AV453" s="1"/>
    </row>
    <row r="454" spans="2:48" x14ac:dyDescent="0.3">
      <c r="B454" s="1" t="s">
        <v>1053</v>
      </c>
      <c r="H454" s="1" t="s">
        <v>738</v>
      </c>
      <c r="I454" s="1"/>
      <c r="J454" s="1"/>
      <c r="K454" s="1"/>
      <c r="L454" s="1"/>
      <c r="M454" s="1"/>
      <c r="N454" s="1"/>
      <c r="O454" s="1"/>
      <c r="P454" s="1"/>
      <c r="Q454" s="1"/>
      <c r="R454" s="1"/>
      <c r="T454" s="1"/>
      <c r="U454" s="1"/>
      <c r="V454" s="1"/>
      <c r="W454" s="1"/>
      <c r="X454" s="1"/>
      <c r="Y454" s="1"/>
      <c r="Z454" s="1"/>
      <c r="AB454" s="1"/>
      <c r="AC454" s="1"/>
      <c r="AD454" s="1"/>
      <c r="AE454" s="1"/>
      <c r="AF454" s="1"/>
      <c r="AG454" s="1"/>
      <c r="AH454" s="1"/>
      <c r="AI454" s="1"/>
      <c r="AL454" s="1"/>
      <c r="AN454" s="1"/>
      <c r="AO454" s="1"/>
      <c r="AP454" s="1"/>
      <c r="AQ454" s="1"/>
      <c r="AR454" s="1"/>
      <c r="AS454" s="1"/>
      <c r="AT454" s="1"/>
      <c r="AU454" s="1"/>
      <c r="AV454" s="1"/>
    </row>
    <row r="455" spans="2:48" x14ac:dyDescent="0.3">
      <c r="B455" s="1" t="s">
        <v>1054</v>
      </c>
      <c r="H455" s="1" t="s">
        <v>738</v>
      </c>
      <c r="I455" s="1"/>
      <c r="J455" s="1"/>
      <c r="K455" s="1"/>
      <c r="L455" s="1"/>
      <c r="M455" s="1"/>
      <c r="N455" s="1"/>
      <c r="O455" s="1"/>
      <c r="P455" s="1"/>
      <c r="Q455" s="1"/>
      <c r="R455" s="1"/>
      <c r="T455" s="1"/>
      <c r="U455" s="1"/>
      <c r="V455" s="1"/>
      <c r="W455" s="1"/>
      <c r="X455" s="1"/>
      <c r="Y455" s="1"/>
      <c r="Z455" s="1"/>
      <c r="AB455" s="1"/>
      <c r="AC455" s="1"/>
      <c r="AD455" s="1"/>
      <c r="AE455" s="1"/>
      <c r="AF455" s="1"/>
      <c r="AG455" s="1"/>
      <c r="AH455" s="1"/>
      <c r="AI455" s="1"/>
      <c r="AL455" s="1"/>
      <c r="AN455" s="1"/>
      <c r="AO455" s="1"/>
      <c r="AP455" s="1"/>
      <c r="AQ455" s="1"/>
      <c r="AR455" s="1"/>
      <c r="AS455" s="1"/>
      <c r="AT455" s="1"/>
      <c r="AU455" s="1"/>
      <c r="AV455" s="1"/>
    </row>
    <row r="456" spans="2:48" x14ac:dyDescent="0.3">
      <c r="B456" s="1" t="s">
        <v>1055</v>
      </c>
      <c r="H456" s="1" t="s">
        <v>738</v>
      </c>
      <c r="I456" s="1"/>
      <c r="J456" s="1"/>
      <c r="K456" s="1"/>
      <c r="L456" s="1"/>
      <c r="M456" s="1"/>
      <c r="N456" s="1"/>
      <c r="O456" s="1"/>
      <c r="P456" s="1"/>
      <c r="Q456" s="1"/>
      <c r="R456" s="1"/>
      <c r="T456" s="1"/>
      <c r="U456" s="1"/>
      <c r="V456" s="1"/>
      <c r="W456" s="1"/>
      <c r="X456" s="1"/>
      <c r="Y456" s="1"/>
      <c r="Z456" s="1"/>
      <c r="AB456" s="1"/>
      <c r="AC456" s="1"/>
      <c r="AD456" s="1"/>
      <c r="AE456" s="1"/>
      <c r="AF456" s="1"/>
      <c r="AG456" s="1"/>
      <c r="AH456" s="1"/>
      <c r="AI456" s="1"/>
      <c r="AL456" s="1"/>
      <c r="AN456" s="1"/>
      <c r="AO456" s="1"/>
      <c r="AP456" s="1"/>
      <c r="AQ456" s="1"/>
      <c r="AR456" s="1"/>
      <c r="AS456" s="1"/>
      <c r="AT456" s="1"/>
      <c r="AU456" s="1"/>
      <c r="AV456" s="1"/>
    </row>
    <row r="457" spans="2:48" x14ac:dyDescent="0.3">
      <c r="B457" s="1" t="s">
        <v>1056</v>
      </c>
      <c r="H457" s="1" t="s">
        <v>738</v>
      </c>
      <c r="I457" s="1"/>
      <c r="J457" s="1"/>
      <c r="K457" s="1"/>
      <c r="L457" s="1"/>
      <c r="M457" s="1"/>
      <c r="N457" s="1"/>
      <c r="O457" s="1"/>
      <c r="P457" s="1"/>
      <c r="Q457" s="1"/>
      <c r="R457" s="1"/>
      <c r="T457" s="1"/>
      <c r="U457" s="1"/>
      <c r="V457" s="1"/>
      <c r="W457" s="1"/>
      <c r="X457" s="1"/>
      <c r="Y457" s="1"/>
      <c r="Z457" s="1"/>
      <c r="AB457" s="1"/>
      <c r="AC457" s="1"/>
      <c r="AD457" s="1"/>
      <c r="AE457" s="1"/>
      <c r="AF457" s="1"/>
      <c r="AG457" s="1"/>
      <c r="AH457" s="1"/>
      <c r="AI457" s="1"/>
      <c r="AL457" s="1"/>
      <c r="AN457" s="1"/>
      <c r="AO457" s="1"/>
      <c r="AP457" s="1"/>
      <c r="AQ457" s="1"/>
      <c r="AR457" s="1"/>
      <c r="AS457" s="1"/>
      <c r="AT457" s="1"/>
      <c r="AU457" s="1"/>
      <c r="AV457" s="1"/>
    </row>
    <row r="458" spans="2:48" x14ac:dyDescent="0.3">
      <c r="B458" s="1" t="s">
        <v>1057</v>
      </c>
      <c r="H458" s="1" t="s">
        <v>738</v>
      </c>
      <c r="I458" s="1"/>
      <c r="J458" s="1"/>
      <c r="K458" s="1"/>
      <c r="L458" s="1"/>
      <c r="M458" s="1"/>
      <c r="N458" s="1"/>
      <c r="O458" s="1"/>
      <c r="P458" s="1"/>
      <c r="Q458" s="1"/>
      <c r="R458" s="1"/>
      <c r="T458" s="1"/>
      <c r="U458" s="1"/>
      <c r="V458" s="1"/>
      <c r="W458" s="1"/>
      <c r="X458" s="1"/>
      <c r="Y458" s="1"/>
      <c r="Z458" s="1"/>
      <c r="AB458" s="1"/>
      <c r="AC458" s="1"/>
      <c r="AD458" s="1"/>
      <c r="AE458" s="1"/>
      <c r="AF458" s="1"/>
      <c r="AG458" s="1"/>
      <c r="AH458" s="1"/>
      <c r="AI458" s="1"/>
      <c r="AL458" s="1"/>
      <c r="AN458" s="1"/>
      <c r="AO458" s="1"/>
      <c r="AP458" s="1"/>
      <c r="AQ458" s="1"/>
      <c r="AR458" s="1"/>
      <c r="AS458" s="1"/>
      <c r="AT458" s="1"/>
      <c r="AU458" s="1"/>
      <c r="AV458" s="1"/>
    </row>
    <row r="459" spans="2:48" x14ac:dyDescent="0.3">
      <c r="B459" s="1" t="s">
        <v>1058</v>
      </c>
      <c r="H459" s="1" t="s">
        <v>738</v>
      </c>
      <c r="I459" s="1"/>
      <c r="J459" s="1"/>
      <c r="K459" s="1"/>
      <c r="L459" s="1"/>
      <c r="M459" s="1"/>
      <c r="N459" s="1"/>
      <c r="O459" s="1"/>
      <c r="P459" s="1"/>
      <c r="Q459" s="1"/>
      <c r="R459" s="1"/>
      <c r="T459" s="1"/>
      <c r="U459" s="1"/>
      <c r="V459" s="1"/>
      <c r="W459" s="1"/>
      <c r="X459" s="1"/>
      <c r="Y459" s="1"/>
      <c r="Z459" s="1"/>
      <c r="AB459" s="1"/>
      <c r="AC459" s="1"/>
      <c r="AD459" s="1"/>
      <c r="AE459" s="1"/>
      <c r="AF459" s="1"/>
      <c r="AG459" s="1"/>
      <c r="AH459" s="1"/>
      <c r="AI459" s="1"/>
      <c r="AL459" s="1"/>
      <c r="AN459" s="1"/>
      <c r="AO459" s="1"/>
      <c r="AP459" s="1"/>
      <c r="AQ459" s="1"/>
      <c r="AR459" s="1"/>
      <c r="AS459" s="1"/>
      <c r="AT459" s="1"/>
      <c r="AU459" s="1"/>
      <c r="AV459" s="1"/>
    </row>
    <row r="460" spans="2:48" x14ac:dyDescent="0.3">
      <c r="B460" s="1" t="s">
        <v>1059</v>
      </c>
      <c r="H460" s="1" t="s">
        <v>738</v>
      </c>
      <c r="I460" s="1"/>
      <c r="J460" s="1"/>
      <c r="K460" s="1"/>
      <c r="L460" s="1"/>
      <c r="M460" s="1"/>
      <c r="N460" s="1"/>
      <c r="O460" s="1"/>
      <c r="P460" s="1"/>
      <c r="Q460" s="1"/>
      <c r="R460" s="1"/>
      <c r="T460" s="1"/>
      <c r="U460" s="1"/>
      <c r="V460" s="1"/>
      <c r="W460" s="1"/>
      <c r="X460" s="1"/>
      <c r="Y460" s="1"/>
      <c r="Z460" s="1"/>
      <c r="AB460" s="1"/>
      <c r="AC460" s="1"/>
      <c r="AD460" s="1"/>
      <c r="AE460" s="1"/>
      <c r="AF460" s="1"/>
      <c r="AG460" s="1"/>
      <c r="AH460" s="1"/>
      <c r="AI460" s="1"/>
      <c r="AL460" s="1"/>
      <c r="AN460" s="1"/>
      <c r="AO460" s="1"/>
      <c r="AP460" s="1"/>
      <c r="AQ460" s="1"/>
      <c r="AR460" s="1"/>
      <c r="AS460" s="1"/>
      <c r="AT460" s="1"/>
      <c r="AU460" s="1"/>
      <c r="AV460" s="1"/>
    </row>
    <row r="461" spans="2:48" x14ac:dyDescent="0.3">
      <c r="B461" s="1" t="s">
        <v>1060</v>
      </c>
      <c r="H461" s="1" t="s">
        <v>738</v>
      </c>
      <c r="I461" s="1"/>
      <c r="J461" s="1"/>
      <c r="K461" s="1"/>
      <c r="L461" s="1"/>
      <c r="M461" s="1"/>
      <c r="N461" s="1"/>
      <c r="O461" s="1"/>
      <c r="P461" s="1"/>
      <c r="Q461" s="1"/>
      <c r="R461" s="1"/>
      <c r="T461" s="1"/>
      <c r="U461" s="1"/>
      <c r="V461" s="1"/>
      <c r="W461" s="1"/>
      <c r="X461" s="1"/>
      <c r="Y461" s="1"/>
      <c r="Z461" s="1"/>
      <c r="AB461" s="1"/>
      <c r="AC461" s="1"/>
      <c r="AD461" s="1"/>
      <c r="AE461" s="1"/>
      <c r="AF461" s="1"/>
      <c r="AG461" s="1"/>
      <c r="AH461" s="1"/>
      <c r="AI461" s="1"/>
      <c r="AL461" s="1"/>
      <c r="AN461" s="1"/>
      <c r="AO461" s="1"/>
      <c r="AP461" s="1"/>
      <c r="AQ461" s="1"/>
      <c r="AR461" s="1"/>
      <c r="AS461" s="1"/>
      <c r="AT461" s="1"/>
      <c r="AU461" s="1"/>
      <c r="AV461" s="1"/>
    </row>
    <row r="462" spans="2:48" x14ac:dyDescent="0.3">
      <c r="B462" s="1" t="s">
        <v>1061</v>
      </c>
      <c r="H462" s="1" t="s">
        <v>738</v>
      </c>
      <c r="I462" s="1"/>
      <c r="J462" s="1"/>
      <c r="K462" s="1"/>
      <c r="L462" s="1"/>
      <c r="M462" s="1"/>
      <c r="N462" s="1"/>
      <c r="O462" s="1"/>
      <c r="P462" s="1"/>
      <c r="Q462" s="1"/>
      <c r="R462" s="1"/>
      <c r="T462" s="1"/>
      <c r="U462" s="1"/>
      <c r="V462" s="1"/>
      <c r="W462" s="1"/>
      <c r="X462" s="1"/>
      <c r="Y462" s="1"/>
      <c r="Z462" s="1"/>
      <c r="AB462" s="1"/>
      <c r="AC462" s="1"/>
      <c r="AD462" s="1"/>
      <c r="AE462" s="1"/>
      <c r="AF462" s="1"/>
      <c r="AG462" s="1"/>
      <c r="AH462" s="1"/>
      <c r="AI462" s="1"/>
      <c r="AL462" s="1"/>
      <c r="AN462" s="1"/>
      <c r="AO462" s="1"/>
      <c r="AP462" s="1"/>
      <c r="AQ462" s="1"/>
      <c r="AR462" s="1"/>
      <c r="AS462" s="1"/>
      <c r="AT462" s="1"/>
      <c r="AU462" s="1"/>
      <c r="AV462" s="1"/>
    </row>
    <row r="463" spans="2:48" x14ac:dyDescent="0.3">
      <c r="B463" s="1" t="s">
        <v>1062</v>
      </c>
      <c r="H463" s="1" t="s">
        <v>738</v>
      </c>
      <c r="I463" s="1"/>
      <c r="J463" s="1"/>
      <c r="K463" s="1"/>
      <c r="L463" s="1"/>
      <c r="M463" s="1"/>
      <c r="N463" s="1"/>
      <c r="O463" s="1"/>
      <c r="P463" s="1"/>
      <c r="Q463" s="1"/>
      <c r="R463" s="1"/>
      <c r="T463" s="1"/>
      <c r="U463" s="1"/>
      <c r="V463" s="1"/>
      <c r="W463" s="1"/>
      <c r="X463" s="1"/>
      <c r="Y463" s="1"/>
      <c r="Z463" s="1"/>
      <c r="AB463" s="1"/>
      <c r="AC463" s="1"/>
      <c r="AD463" s="1"/>
      <c r="AE463" s="1"/>
      <c r="AF463" s="1"/>
      <c r="AG463" s="1"/>
      <c r="AH463" s="1"/>
      <c r="AI463" s="1"/>
      <c r="AL463" s="1"/>
      <c r="AN463" s="1"/>
      <c r="AO463" s="1"/>
      <c r="AP463" s="1"/>
      <c r="AQ463" s="1"/>
      <c r="AR463" s="1"/>
      <c r="AS463" s="1"/>
      <c r="AT463" s="1"/>
      <c r="AU463" s="1"/>
      <c r="AV463" s="1"/>
    </row>
    <row r="464" spans="2:48" x14ac:dyDescent="0.3">
      <c r="B464" s="1" t="s">
        <v>1063</v>
      </c>
      <c r="H464" s="1" t="s">
        <v>738</v>
      </c>
      <c r="I464" s="1"/>
      <c r="J464" s="1"/>
      <c r="K464" s="1"/>
      <c r="L464" s="1"/>
      <c r="M464" s="1"/>
      <c r="N464" s="1"/>
      <c r="O464" s="1"/>
      <c r="P464" s="1"/>
      <c r="Q464" s="1"/>
      <c r="R464" s="1"/>
      <c r="T464" s="1"/>
      <c r="U464" s="1"/>
      <c r="V464" s="1"/>
      <c r="W464" s="1"/>
      <c r="X464" s="1"/>
      <c r="Y464" s="1"/>
      <c r="Z464" s="1"/>
      <c r="AB464" s="1"/>
      <c r="AC464" s="1"/>
      <c r="AD464" s="1"/>
      <c r="AE464" s="1"/>
      <c r="AF464" s="1"/>
      <c r="AG464" s="1"/>
      <c r="AH464" s="1"/>
      <c r="AI464" s="1"/>
      <c r="AL464" s="1"/>
      <c r="AN464" s="1"/>
      <c r="AO464" s="1"/>
      <c r="AP464" s="1"/>
      <c r="AQ464" s="1"/>
      <c r="AR464" s="1"/>
      <c r="AS464" s="1"/>
      <c r="AT464" s="1"/>
      <c r="AU464" s="1"/>
      <c r="AV464" s="1"/>
    </row>
    <row r="465" spans="2:48" x14ac:dyDescent="0.3">
      <c r="B465" s="1" t="s">
        <v>1064</v>
      </c>
      <c r="H465" s="1" t="s">
        <v>738</v>
      </c>
      <c r="I465" s="1"/>
      <c r="J465" s="1"/>
      <c r="K465" s="1"/>
      <c r="L465" s="1"/>
      <c r="M465" s="1"/>
      <c r="N465" s="1"/>
      <c r="O465" s="1"/>
      <c r="P465" s="1"/>
      <c r="Q465" s="1"/>
      <c r="R465" s="1"/>
      <c r="T465" s="1"/>
      <c r="U465" s="1"/>
      <c r="V465" s="1"/>
      <c r="W465" s="1"/>
      <c r="X465" s="1"/>
      <c r="Y465" s="1"/>
      <c r="Z465" s="1"/>
      <c r="AB465" s="1"/>
      <c r="AC465" s="1"/>
      <c r="AD465" s="1"/>
      <c r="AE465" s="1"/>
      <c r="AF465" s="1"/>
      <c r="AG465" s="1"/>
      <c r="AH465" s="1"/>
      <c r="AI465" s="1"/>
      <c r="AL465" s="1"/>
      <c r="AN465" s="1"/>
      <c r="AO465" s="1"/>
      <c r="AP465" s="1"/>
      <c r="AQ465" s="1"/>
      <c r="AR465" s="1"/>
      <c r="AS465" s="1"/>
      <c r="AT465" s="1"/>
      <c r="AU465" s="1"/>
      <c r="AV465" s="1"/>
    </row>
    <row r="466" spans="2:48" x14ac:dyDescent="0.3">
      <c r="B466" s="1" t="s">
        <v>1065</v>
      </c>
      <c r="H466" s="1" t="s">
        <v>738</v>
      </c>
      <c r="I466" s="1"/>
      <c r="J466" s="1"/>
      <c r="K466" s="1"/>
      <c r="L466" s="1"/>
      <c r="M466" s="1"/>
      <c r="N466" s="1"/>
      <c r="O466" s="1"/>
      <c r="P466" s="1"/>
      <c r="Q466" s="1"/>
      <c r="R466" s="1"/>
      <c r="T466" s="1"/>
      <c r="U466" s="1"/>
      <c r="V466" s="1"/>
      <c r="W466" s="1"/>
      <c r="X466" s="1"/>
      <c r="Y466" s="1"/>
      <c r="Z466" s="1"/>
      <c r="AB466" s="1"/>
      <c r="AC466" s="1"/>
      <c r="AD466" s="1"/>
      <c r="AE466" s="1"/>
      <c r="AF466" s="1"/>
      <c r="AG466" s="1"/>
      <c r="AH466" s="1"/>
      <c r="AI466" s="1"/>
      <c r="AL466" s="1"/>
      <c r="AN466" s="1"/>
      <c r="AO466" s="1"/>
      <c r="AP466" s="1"/>
      <c r="AQ466" s="1"/>
      <c r="AR466" s="1"/>
      <c r="AS466" s="1"/>
      <c r="AT466" s="1"/>
      <c r="AU466" s="1"/>
      <c r="AV466" s="1"/>
    </row>
    <row r="467" spans="2:48" x14ac:dyDescent="0.3">
      <c r="B467" s="1" t="s">
        <v>1066</v>
      </c>
      <c r="H467" s="1" t="s">
        <v>738</v>
      </c>
      <c r="I467" s="1"/>
      <c r="J467" s="1"/>
      <c r="K467" s="1"/>
      <c r="L467" s="1"/>
      <c r="M467" s="1"/>
      <c r="N467" s="1"/>
      <c r="O467" s="1"/>
      <c r="P467" s="1"/>
      <c r="Q467" s="1"/>
      <c r="R467" s="1"/>
      <c r="T467" s="1"/>
      <c r="U467" s="1"/>
      <c r="V467" s="1"/>
      <c r="W467" s="1"/>
      <c r="X467" s="1"/>
      <c r="Y467" s="1"/>
      <c r="Z467" s="1"/>
      <c r="AB467" s="1"/>
      <c r="AC467" s="1"/>
      <c r="AD467" s="1"/>
      <c r="AE467" s="1"/>
      <c r="AF467" s="1"/>
      <c r="AG467" s="1"/>
      <c r="AH467" s="1"/>
      <c r="AI467" s="1"/>
      <c r="AL467" s="1"/>
      <c r="AN467" s="1"/>
      <c r="AO467" s="1"/>
      <c r="AP467" s="1"/>
      <c r="AQ467" s="1"/>
      <c r="AR467" s="1"/>
      <c r="AS467" s="1"/>
      <c r="AT467" s="1"/>
      <c r="AU467" s="1"/>
      <c r="AV467" s="1"/>
    </row>
    <row r="468" spans="2:48" x14ac:dyDescent="0.3">
      <c r="B468" s="1" t="s">
        <v>1067</v>
      </c>
      <c r="H468" s="1" t="s">
        <v>738</v>
      </c>
      <c r="I468" s="1"/>
      <c r="J468" s="1"/>
      <c r="K468" s="1"/>
      <c r="L468" s="1"/>
      <c r="M468" s="1"/>
      <c r="N468" s="1"/>
      <c r="O468" s="1"/>
      <c r="P468" s="1"/>
      <c r="Q468" s="1"/>
      <c r="R468" s="1"/>
      <c r="T468" s="1"/>
      <c r="U468" s="1"/>
      <c r="V468" s="1"/>
      <c r="W468" s="1"/>
      <c r="X468" s="1"/>
      <c r="Y468" s="1"/>
      <c r="Z468" s="1"/>
      <c r="AB468" s="1"/>
      <c r="AC468" s="1"/>
      <c r="AD468" s="1"/>
      <c r="AE468" s="1"/>
      <c r="AF468" s="1"/>
      <c r="AG468" s="1"/>
      <c r="AH468" s="1"/>
      <c r="AI468" s="1"/>
      <c r="AL468" s="1"/>
      <c r="AN468" s="1"/>
      <c r="AO468" s="1"/>
      <c r="AP468" s="1"/>
      <c r="AQ468" s="1"/>
      <c r="AR468" s="1"/>
      <c r="AS468" s="1"/>
      <c r="AT468" s="1"/>
      <c r="AU468" s="1"/>
      <c r="AV468" s="1"/>
    </row>
    <row r="469" spans="2:48" x14ac:dyDescent="0.3">
      <c r="B469" s="1" t="s">
        <v>1068</v>
      </c>
      <c r="H469" s="1" t="s">
        <v>738</v>
      </c>
      <c r="I469" s="1"/>
      <c r="J469" s="1"/>
      <c r="K469" s="1"/>
      <c r="L469" s="1"/>
      <c r="M469" s="1"/>
      <c r="N469" s="1"/>
      <c r="O469" s="1"/>
      <c r="P469" s="1"/>
      <c r="Q469" s="1"/>
      <c r="R469" s="1"/>
      <c r="T469" s="1"/>
      <c r="U469" s="1"/>
      <c r="V469" s="1"/>
      <c r="W469" s="1"/>
      <c r="X469" s="1"/>
      <c r="Y469" s="1"/>
      <c r="Z469" s="1"/>
      <c r="AB469" s="1"/>
      <c r="AC469" s="1"/>
      <c r="AD469" s="1"/>
      <c r="AE469" s="1"/>
      <c r="AF469" s="1"/>
      <c r="AG469" s="1"/>
      <c r="AH469" s="1"/>
      <c r="AI469" s="1"/>
      <c r="AL469" s="1"/>
      <c r="AN469" s="1"/>
      <c r="AO469" s="1"/>
      <c r="AP469" s="1"/>
      <c r="AQ469" s="1"/>
      <c r="AR469" s="1"/>
      <c r="AS469" s="1"/>
      <c r="AT469" s="1"/>
      <c r="AU469" s="1"/>
      <c r="AV469" s="1"/>
    </row>
    <row r="470" spans="2:48" x14ac:dyDescent="0.3">
      <c r="B470" s="1" t="s">
        <v>1069</v>
      </c>
      <c r="H470" s="1" t="s">
        <v>738</v>
      </c>
      <c r="I470" s="1"/>
      <c r="J470" s="1"/>
      <c r="K470" s="1"/>
      <c r="L470" s="1"/>
      <c r="M470" s="1"/>
      <c r="N470" s="1"/>
      <c r="O470" s="1"/>
      <c r="P470" s="1"/>
      <c r="Q470" s="1"/>
      <c r="R470" s="1"/>
      <c r="T470" s="1"/>
      <c r="U470" s="1"/>
      <c r="V470" s="1"/>
      <c r="W470" s="1"/>
      <c r="X470" s="1"/>
      <c r="Y470" s="1"/>
      <c r="Z470" s="1"/>
      <c r="AB470" s="1"/>
      <c r="AC470" s="1"/>
      <c r="AD470" s="1"/>
      <c r="AE470" s="1"/>
      <c r="AF470" s="1"/>
      <c r="AG470" s="1"/>
      <c r="AH470" s="1"/>
      <c r="AI470" s="1"/>
      <c r="AL470" s="1"/>
      <c r="AN470" s="1"/>
      <c r="AO470" s="1"/>
      <c r="AP470" s="1"/>
      <c r="AQ470" s="1"/>
      <c r="AR470" s="1"/>
      <c r="AS470" s="1"/>
      <c r="AT470" s="1"/>
      <c r="AU470" s="1"/>
      <c r="AV470" s="1"/>
    </row>
    <row r="471" spans="2:48" x14ac:dyDescent="0.3">
      <c r="B471" s="1" t="s">
        <v>1070</v>
      </c>
      <c r="H471" s="1" t="s">
        <v>738</v>
      </c>
      <c r="I471" s="1"/>
      <c r="J471" s="1"/>
      <c r="K471" s="1"/>
      <c r="L471" s="1"/>
      <c r="M471" s="1"/>
      <c r="N471" s="1"/>
      <c r="O471" s="1"/>
      <c r="P471" s="1"/>
      <c r="Q471" s="1"/>
      <c r="R471" s="1"/>
      <c r="T471" s="1"/>
      <c r="U471" s="1"/>
      <c r="V471" s="1"/>
      <c r="W471" s="1"/>
      <c r="X471" s="1"/>
      <c r="Y471" s="1"/>
      <c r="Z471" s="1"/>
      <c r="AB471" s="1"/>
      <c r="AC471" s="1"/>
      <c r="AD471" s="1"/>
      <c r="AE471" s="1"/>
      <c r="AF471" s="1"/>
      <c r="AG471" s="1"/>
      <c r="AH471" s="1"/>
      <c r="AI471" s="1"/>
      <c r="AL471" s="1"/>
      <c r="AN471" s="1"/>
      <c r="AO471" s="1"/>
      <c r="AP471" s="1"/>
      <c r="AQ471" s="1"/>
      <c r="AR471" s="1"/>
      <c r="AS471" s="1"/>
      <c r="AT471" s="1"/>
      <c r="AU471" s="1"/>
      <c r="AV471" s="1"/>
    </row>
    <row r="472" spans="2:48" x14ac:dyDescent="0.3">
      <c r="B472" s="1" t="s">
        <v>1071</v>
      </c>
      <c r="H472" s="1" t="s">
        <v>738</v>
      </c>
      <c r="I472" s="1"/>
      <c r="J472" s="1"/>
      <c r="K472" s="1"/>
      <c r="L472" s="1"/>
      <c r="M472" s="1"/>
      <c r="N472" s="1"/>
      <c r="O472" s="1"/>
      <c r="P472" s="1"/>
      <c r="Q472" s="1"/>
      <c r="R472" s="1"/>
      <c r="T472" s="1"/>
      <c r="U472" s="1"/>
      <c r="V472" s="1"/>
      <c r="W472" s="1"/>
      <c r="X472" s="1"/>
      <c r="Y472" s="1"/>
      <c r="Z472" s="1"/>
      <c r="AB472" s="1"/>
      <c r="AC472" s="1"/>
      <c r="AD472" s="1"/>
      <c r="AE472" s="1"/>
      <c r="AF472" s="1"/>
      <c r="AG472" s="1"/>
      <c r="AH472" s="1"/>
      <c r="AI472" s="1"/>
      <c r="AL472" s="1"/>
      <c r="AN472" s="1"/>
      <c r="AO472" s="1"/>
      <c r="AP472" s="1"/>
      <c r="AQ472" s="1"/>
      <c r="AR472" s="1"/>
      <c r="AS472" s="1"/>
      <c r="AT472" s="1"/>
      <c r="AU472" s="1"/>
      <c r="AV472" s="1"/>
    </row>
    <row r="473" spans="2:48" x14ac:dyDescent="0.3">
      <c r="B473" s="1" t="s">
        <v>1072</v>
      </c>
      <c r="H473" s="1" t="s">
        <v>738</v>
      </c>
      <c r="I473" s="1"/>
      <c r="J473" s="1"/>
      <c r="K473" s="1"/>
      <c r="L473" s="1"/>
      <c r="M473" s="1"/>
      <c r="N473" s="1"/>
      <c r="O473" s="1"/>
      <c r="P473" s="1"/>
      <c r="Q473" s="1"/>
      <c r="R473" s="1"/>
      <c r="T473" s="1"/>
      <c r="U473" s="1"/>
      <c r="V473" s="1"/>
      <c r="W473" s="1"/>
      <c r="X473" s="1"/>
      <c r="Y473" s="1"/>
      <c r="Z473" s="1"/>
      <c r="AB473" s="1"/>
      <c r="AC473" s="1"/>
      <c r="AD473" s="1"/>
      <c r="AE473" s="1"/>
      <c r="AF473" s="1"/>
      <c r="AG473" s="1"/>
      <c r="AH473" s="1"/>
      <c r="AI473" s="1"/>
      <c r="AL473" s="1"/>
      <c r="AN473" s="1"/>
      <c r="AO473" s="1"/>
      <c r="AP473" s="1"/>
      <c r="AQ473" s="1"/>
      <c r="AR473" s="1"/>
      <c r="AS473" s="1"/>
      <c r="AT473" s="1"/>
      <c r="AU473" s="1"/>
      <c r="AV473" s="1"/>
    </row>
    <row r="474" spans="2:48" x14ac:dyDescent="0.3">
      <c r="B474" s="1" t="s">
        <v>1073</v>
      </c>
      <c r="H474" s="1" t="s">
        <v>738</v>
      </c>
      <c r="I474" s="1"/>
      <c r="J474" s="1"/>
      <c r="K474" s="1"/>
      <c r="L474" s="1"/>
      <c r="M474" s="1"/>
      <c r="N474" s="1"/>
      <c r="O474" s="1"/>
      <c r="P474" s="1"/>
      <c r="Q474" s="1"/>
      <c r="R474" s="1"/>
      <c r="T474" s="1"/>
      <c r="U474" s="1"/>
      <c r="V474" s="1"/>
      <c r="W474" s="1"/>
      <c r="X474" s="1"/>
      <c r="Y474" s="1"/>
      <c r="Z474" s="1"/>
      <c r="AB474" s="1"/>
      <c r="AC474" s="1"/>
      <c r="AD474" s="1"/>
      <c r="AE474" s="1"/>
      <c r="AF474" s="1"/>
      <c r="AG474" s="1"/>
      <c r="AH474" s="1"/>
      <c r="AI474" s="1"/>
      <c r="AL474" s="1"/>
      <c r="AN474" s="1"/>
      <c r="AO474" s="1"/>
      <c r="AP474" s="1"/>
      <c r="AQ474" s="1"/>
      <c r="AR474" s="1"/>
      <c r="AS474" s="1"/>
      <c r="AT474" s="1"/>
      <c r="AU474" s="1"/>
      <c r="AV474" s="1"/>
    </row>
    <row r="475" spans="2:48" x14ac:dyDescent="0.3">
      <c r="B475" s="1" t="s">
        <v>1074</v>
      </c>
      <c r="H475" s="1" t="s">
        <v>738</v>
      </c>
      <c r="I475" s="1"/>
      <c r="J475" s="1"/>
      <c r="K475" s="1"/>
      <c r="L475" s="1"/>
      <c r="M475" s="1"/>
      <c r="N475" s="1"/>
      <c r="O475" s="1"/>
      <c r="P475" s="1"/>
      <c r="Q475" s="1"/>
      <c r="R475" s="1"/>
      <c r="T475" s="1"/>
      <c r="U475" s="1"/>
      <c r="V475" s="1"/>
      <c r="W475" s="1"/>
      <c r="X475" s="1"/>
      <c r="Y475" s="1"/>
      <c r="Z475" s="1"/>
      <c r="AB475" s="1"/>
      <c r="AC475" s="1"/>
      <c r="AD475" s="1"/>
      <c r="AE475" s="1"/>
      <c r="AF475" s="1"/>
      <c r="AG475" s="1"/>
      <c r="AH475" s="1"/>
      <c r="AI475" s="1"/>
      <c r="AL475" s="1"/>
      <c r="AN475" s="1"/>
      <c r="AO475" s="1"/>
      <c r="AP475" s="1"/>
      <c r="AQ475" s="1"/>
      <c r="AR475" s="1"/>
      <c r="AS475" s="1"/>
      <c r="AT475" s="1"/>
      <c r="AU475" s="1"/>
      <c r="AV475" s="1"/>
    </row>
    <row r="476" spans="2:48" x14ac:dyDescent="0.3">
      <c r="B476" s="1" t="s">
        <v>1075</v>
      </c>
      <c r="H476" s="1" t="s">
        <v>738</v>
      </c>
      <c r="I476" s="1"/>
      <c r="J476" s="1"/>
      <c r="K476" s="1"/>
      <c r="L476" s="1"/>
      <c r="M476" s="1"/>
      <c r="N476" s="1"/>
      <c r="O476" s="1"/>
      <c r="P476" s="1"/>
      <c r="Q476" s="1"/>
      <c r="R476" s="1"/>
      <c r="T476" s="1"/>
      <c r="U476" s="1"/>
      <c r="V476" s="1"/>
      <c r="W476" s="1"/>
      <c r="X476" s="1"/>
      <c r="Y476" s="1"/>
      <c r="Z476" s="1"/>
      <c r="AB476" s="1"/>
      <c r="AC476" s="1"/>
      <c r="AD476" s="1"/>
      <c r="AE476" s="1"/>
      <c r="AF476" s="1"/>
      <c r="AG476" s="1"/>
      <c r="AH476" s="1"/>
      <c r="AI476" s="1"/>
      <c r="AL476" s="1"/>
      <c r="AN476" s="1"/>
      <c r="AO476" s="1"/>
      <c r="AP476" s="1"/>
      <c r="AQ476" s="1"/>
      <c r="AR476" s="1"/>
      <c r="AS476" s="1"/>
      <c r="AT476" s="1"/>
      <c r="AU476" s="1"/>
      <c r="AV476" s="1"/>
    </row>
    <row r="477" spans="2:48" x14ac:dyDescent="0.3">
      <c r="B477" s="1" t="s">
        <v>1076</v>
      </c>
      <c r="H477" s="1" t="s">
        <v>738</v>
      </c>
      <c r="I477" s="1"/>
      <c r="J477" s="1"/>
      <c r="K477" s="1"/>
      <c r="L477" s="1"/>
      <c r="M477" s="1"/>
      <c r="N477" s="1"/>
      <c r="O477" s="1"/>
      <c r="P477" s="1"/>
      <c r="Q477" s="1"/>
      <c r="R477" s="1"/>
      <c r="T477" s="1"/>
      <c r="U477" s="1"/>
      <c r="V477" s="1"/>
      <c r="W477" s="1"/>
      <c r="X477" s="1"/>
      <c r="Y477" s="1"/>
      <c r="Z477" s="1"/>
      <c r="AB477" s="1"/>
      <c r="AC477" s="1"/>
      <c r="AD477" s="1"/>
      <c r="AE477" s="1"/>
      <c r="AF477" s="1"/>
      <c r="AG477" s="1"/>
      <c r="AH477" s="1"/>
      <c r="AI477" s="1"/>
      <c r="AL477" s="1"/>
      <c r="AN477" s="1"/>
      <c r="AO477" s="1"/>
      <c r="AP477" s="1"/>
      <c r="AQ477" s="1"/>
      <c r="AR477" s="1"/>
      <c r="AS477" s="1"/>
      <c r="AT477" s="1"/>
      <c r="AU477" s="1"/>
      <c r="AV477" s="1"/>
    </row>
    <row r="478" spans="2:48" x14ac:dyDescent="0.3">
      <c r="B478" s="1" t="s">
        <v>1077</v>
      </c>
      <c r="H478" s="1" t="s">
        <v>738</v>
      </c>
      <c r="I478" s="1"/>
      <c r="J478" s="1"/>
      <c r="K478" s="1"/>
      <c r="L478" s="1"/>
      <c r="M478" s="1"/>
      <c r="N478" s="1"/>
      <c r="O478" s="1"/>
      <c r="P478" s="1"/>
      <c r="Q478" s="1"/>
      <c r="R478" s="1"/>
      <c r="T478" s="1"/>
      <c r="U478" s="1"/>
      <c r="V478" s="1"/>
      <c r="W478" s="1"/>
      <c r="X478" s="1"/>
      <c r="Y478" s="1"/>
      <c r="Z478" s="1"/>
      <c r="AB478" s="1"/>
      <c r="AC478" s="1"/>
      <c r="AD478" s="1"/>
      <c r="AE478" s="1"/>
      <c r="AF478" s="1"/>
      <c r="AG478" s="1"/>
      <c r="AH478" s="1"/>
      <c r="AI478" s="1"/>
      <c r="AL478" s="1"/>
      <c r="AN478" s="1"/>
      <c r="AO478" s="1"/>
      <c r="AP478" s="1"/>
      <c r="AQ478" s="1"/>
      <c r="AR478" s="1"/>
      <c r="AS478" s="1"/>
      <c r="AT478" s="1"/>
      <c r="AU478" s="1"/>
      <c r="AV478" s="1"/>
    </row>
    <row r="479" spans="2:48" x14ac:dyDescent="0.3">
      <c r="B479" s="1" t="s">
        <v>1078</v>
      </c>
      <c r="H479" s="1" t="s">
        <v>738</v>
      </c>
      <c r="I479" s="1"/>
      <c r="J479" s="1"/>
      <c r="K479" s="1"/>
      <c r="L479" s="1"/>
      <c r="M479" s="1"/>
      <c r="N479" s="1"/>
      <c r="O479" s="1"/>
      <c r="P479" s="1"/>
      <c r="Q479" s="1"/>
      <c r="R479" s="1"/>
      <c r="T479" s="1"/>
      <c r="U479" s="1"/>
      <c r="V479" s="1"/>
      <c r="W479" s="1"/>
      <c r="X479" s="1"/>
      <c r="Y479" s="1"/>
      <c r="Z479" s="1"/>
      <c r="AB479" s="1"/>
      <c r="AC479" s="1"/>
      <c r="AD479" s="1"/>
      <c r="AE479" s="1"/>
      <c r="AF479" s="1"/>
      <c r="AG479" s="1"/>
      <c r="AH479" s="1"/>
      <c r="AI479" s="1"/>
      <c r="AL479" s="1"/>
      <c r="AN479" s="1"/>
      <c r="AO479" s="1"/>
      <c r="AP479" s="1"/>
      <c r="AQ479" s="1"/>
      <c r="AR479" s="1"/>
      <c r="AS479" s="1"/>
      <c r="AT479" s="1"/>
      <c r="AU479" s="1"/>
      <c r="AV479" s="1"/>
    </row>
    <row r="480" spans="2:48" x14ac:dyDescent="0.3">
      <c r="B480" s="1" t="s">
        <v>1079</v>
      </c>
      <c r="H480" s="1" t="s">
        <v>738</v>
      </c>
      <c r="I480" s="1"/>
      <c r="J480" s="1"/>
      <c r="K480" s="1"/>
      <c r="L480" s="1"/>
      <c r="M480" s="1"/>
      <c r="N480" s="1"/>
      <c r="O480" s="1"/>
      <c r="P480" s="1"/>
      <c r="Q480" s="1"/>
      <c r="R480" s="1"/>
      <c r="T480" s="1"/>
      <c r="U480" s="1"/>
      <c r="V480" s="1"/>
      <c r="W480" s="1"/>
      <c r="X480" s="1"/>
      <c r="Y480" s="1"/>
      <c r="Z480" s="1"/>
      <c r="AB480" s="1"/>
      <c r="AC480" s="1"/>
      <c r="AD480" s="1"/>
      <c r="AE480" s="1"/>
      <c r="AF480" s="1"/>
      <c r="AG480" s="1"/>
      <c r="AH480" s="1"/>
      <c r="AI480" s="1"/>
      <c r="AL480" s="1"/>
      <c r="AN480" s="1"/>
      <c r="AO480" s="1"/>
      <c r="AP480" s="1"/>
      <c r="AQ480" s="1"/>
      <c r="AR480" s="1"/>
      <c r="AS480" s="1"/>
      <c r="AT480" s="1"/>
      <c r="AU480" s="1"/>
      <c r="AV480" s="1"/>
    </row>
    <row r="481" spans="2:48" x14ac:dyDescent="0.3">
      <c r="B481" s="1" t="s">
        <v>1080</v>
      </c>
      <c r="H481" s="1" t="s">
        <v>738</v>
      </c>
      <c r="I481" s="1"/>
      <c r="J481" s="1"/>
      <c r="K481" s="1"/>
      <c r="L481" s="1"/>
      <c r="M481" s="1"/>
      <c r="N481" s="1"/>
      <c r="O481" s="1"/>
      <c r="P481" s="1"/>
      <c r="Q481" s="1"/>
      <c r="R481" s="1"/>
      <c r="T481" s="1"/>
      <c r="U481" s="1"/>
      <c r="V481" s="1"/>
      <c r="W481" s="1"/>
      <c r="X481" s="1"/>
      <c r="Y481" s="1"/>
      <c r="Z481" s="1"/>
      <c r="AB481" s="1"/>
      <c r="AC481" s="1"/>
      <c r="AD481" s="1"/>
      <c r="AE481" s="1"/>
      <c r="AF481" s="1"/>
      <c r="AG481" s="1"/>
      <c r="AH481" s="1"/>
      <c r="AI481" s="1"/>
      <c r="AL481" s="1"/>
      <c r="AN481" s="1"/>
      <c r="AO481" s="1"/>
      <c r="AP481" s="1"/>
      <c r="AQ481" s="1"/>
      <c r="AR481" s="1"/>
      <c r="AS481" s="1"/>
      <c r="AT481" s="1"/>
      <c r="AU481" s="1"/>
      <c r="AV481" s="1"/>
    </row>
    <row r="482" spans="2:48" x14ac:dyDescent="0.3">
      <c r="B482" s="1" t="s">
        <v>1081</v>
      </c>
      <c r="H482" s="1" t="s">
        <v>738</v>
      </c>
      <c r="I482" s="1"/>
      <c r="J482" s="1"/>
      <c r="K482" s="1"/>
      <c r="L482" s="1"/>
      <c r="M482" s="1"/>
      <c r="N482" s="1"/>
      <c r="O482" s="1"/>
      <c r="P482" s="1"/>
      <c r="Q482" s="1"/>
      <c r="R482" s="1"/>
      <c r="T482" s="1"/>
      <c r="U482" s="1"/>
      <c r="V482" s="1"/>
      <c r="W482" s="1"/>
      <c r="X482" s="1"/>
      <c r="Y482" s="1"/>
      <c r="Z482" s="1"/>
      <c r="AB482" s="1"/>
      <c r="AC482" s="1"/>
      <c r="AD482" s="1"/>
      <c r="AE482" s="1"/>
      <c r="AF482" s="1"/>
      <c r="AG482" s="1"/>
      <c r="AH482" s="1"/>
      <c r="AI482" s="1"/>
      <c r="AL482" s="1"/>
      <c r="AN482" s="1"/>
      <c r="AO482" s="1"/>
      <c r="AP482" s="1"/>
      <c r="AQ482" s="1"/>
      <c r="AR482" s="1"/>
      <c r="AS482" s="1"/>
      <c r="AT482" s="1"/>
      <c r="AU482" s="1"/>
      <c r="AV482" s="1"/>
    </row>
    <row r="483" spans="2:48" x14ac:dyDescent="0.3">
      <c r="B483" s="1" t="s">
        <v>1082</v>
      </c>
      <c r="H483" s="1" t="s">
        <v>738</v>
      </c>
      <c r="I483" s="1"/>
      <c r="J483" s="1"/>
      <c r="K483" s="1"/>
      <c r="L483" s="1"/>
      <c r="M483" s="1"/>
      <c r="N483" s="1"/>
      <c r="O483" s="1"/>
      <c r="P483" s="1"/>
      <c r="Q483" s="1"/>
      <c r="R483" s="1"/>
      <c r="T483" s="1"/>
      <c r="U483" s="1"/>
      <c r="V483" s="1"/>
      <c r="W483" s="1"/>
      <c r="X483" s="1"/>
      <c r="Y483" s="1"/>
      <c r="Z483" s="1"/>
      <c r="AB483" s="1"/>
      <c r="AC483" s="1"/>
      <c r="AD483" s="1"/>
      <c r="AE483" s="1"/>
      <c r="AF483" s="1"/>
      <c r="AG483" s="1"/>
      <c r="AH483" s="1"/>
      <c r="AI483" s="1"/>
      <c r="AL483" s="1"/>
      <c r="AN483" s="1"/>
      <c r="AO483" s="1"/>
      <c r="AP483" s="1"/>
      <c r="AQ483" s="1"/>
      <c r="AR483" s="1"/>
      <c r="AS483" s="1"/>
      <c r="AT483" s="1"/>
      <c r="AU483" s="1"/>
      <c r="AV483" s="1"/>
    </row>
    <row r="484" spans="2:48" x14ac:dyDescent="0.3">
      <c r="B484" s="1" t="s">
        <v>1083</v>
      </c>
      <c r="H484" s="1" t="s">
        <v>738</v>
      </c>
      <c r="I484" s="1"/>
      <c r="J484" s="1"/>
      <c r="K484" s="1"/>
      <c r="L484" s="1"/>
      <c r="M484" s="1"/>
      <c r="N484" s="1"/>
      <c r="O484" s="1"/>
      <c r="P484" s="1"/>
      <c r="Q484" s="1"/>
      <c r="R484" s="1"/>
      <c r="T484" s="1"/>
      <c r="U484" s="1"/>
      <c r="V484" s="1"/>
      <c r="W484" s="1"/>
      <c r="X484" s="1"/>
      <c r="Y484" s="1"/>
      <c r="Z484" s="1"/>
      <c r="AB484" s="1"/>
      <c r="AC484" s="1"/>
      <c r="AD484" s="1"/>
      <c r="AE484" s="1"/>
      <c r="AF484" s="1"/>
      <c r="AG484" s="1"/>
      <c r="AH484" s="1"/>
      <c r="AI484" s="1"/>
      <c r="AL484" s="1"/>
      <c r="AN484" s="1"/>
      <c r="AO484" s="1"/>
      <c r="AP484" s="1"/>
      <c r="AQ484" s="1"/>
      <c r="AR484" s="1"/>
      <c r="AS484" s="1"/>
      <c r="AT484" s="1"/>
      <c r="AU484" s="1"/>
      <c r="AV484" s="1"/>
    </row>
    <row r="485" spans="2:48" x14ac:dyDescent="0.3">
      <c r="B485" s="1" t="s">
        <v>1084</v>
      </c>
      <c r="H485" s="1" t="s">
        <v>738</v>
      </c>
      <c r="I485" s="1"/>
      <c r="J485" s="1"/>
      <c r="K485" s="1"/>
      <c r="L485" s="1"/>
      <c r="M485" s="1"/>
      <c r="N485" s="1"/>
      <c r="O485" s="1"/>
      <c r="P485" s="1"/>
      <c r="Q485" s="1"/>
      <c r="R485" s="1"/>
      <c r="T485" s="1"/>
      <c r="U485" s="1"/>
      <c r="V485" s="1"/>
      <c r="W485" s="1"/>
      <c r="X485" s="1"/>
      <c r="Y485" s="1"/>
      <c r="Z485" s="1"/>
      <c r="AB485" s="1"/>
      <c r="AC485" s="1"/>
      <c r="AD485" s="1"/>
      <c r="AE485" s="1"/>
      <c r="AF485" s="1"/>
      <c r="AG485" s="1"/>
      <c r="AH485" s="1"/>
      <c r="AI485" s="1"/>
      <c r="AL485" s="1"/>
      <c r="AN485" s="1"/>
      <c r="AO485" s="1"/>
      <c r="AP485" s="1"/>
      <c r="AQ485" s="1"/>
      <c r="AR485" s="1"/>
      <c r="AS485" s="1"/>
      <c r="AT485" s="1"/>
      <c r="AU485" s="1"/>
      <c r="AV485" s="1"/>
    </row>
    <row r="486" spans="2:48" x14ac:dyDescent="0.3">
      <c r="B486" s="1" t="s">
        <v>1085</v>
      </c>
      <c r="H486" s="1" t="s">
        <v>738</v>
      </c>
      <c r="I486" s="1"/>
      <c r="J486" s="1"/>
      <c r="K486" s="1"/>
      <c r="L486" s="1"/>
      <c r="M486" s="1"/>
      <c r="N486" s="1"/>
      <c r="O486" s="1"/>
      <c r="P486" s="1"/>
      <c r="Q486" s="1"/>
      <c r="R486" s="1"/>
      <c r="T486" s="1"/>
      <c r="U486" s="1"/>
      <c r="V486" s="1"/>
      <c r="W486" s="1"/>
      <c r="X486" s="1"/>
      <c r="Y486" s="1"/>
      <c r="Z486" s="1"/>
      <c r="AB486" s="1"/>
      <c r="AC486" s="1"/>
      <c r="AD486" s="1"/>
      <c r="AE486" s="1"/>
      <c r="AF486" s="1"/>
      <c r="AG486" s="1"/>
      <c r="AH486" s="1"/>
      <c r="AI486" s="1"/>
      <c r="AL486" s="1"/>
      <c r="AN486" s="1"/>
      <c r="AO486" s="1"/>
      <c r="AP486" s="1"/>
      <c r="AQ486" s="1"/>
      <c r="AR486" s="1"/>
      <c r="AS486" s="1"/>
      <c r="AT486" s="1"/>
      <c r="AU486" s="1"/>
      <c r="AV486" s="1"/>
    </row>
    <row r="487" spans="2:48" x14ac:dyDescent="0.3">
      <c r="B487" s="1" t="s">
        <v>1086</v>
      </c>
      <c r="H487" s="1" t="s">
        <v>738</v>
      </c>
      <c r="I487" s="1"/>
      <c r="J487" s="1"/>
      <c r="K487" s="1"/>
      <c r="L487" s="1"/>
      <c r="M487" s="1"/>
      <c r="N487" s="1"/>
      <c r="O487" s="1"/>
      <c r="P487" s="1"/>
      <c r="Q487" s="1"/>
      <c r="R487" s="1"/>
      <c r="T487" s="1"/>
      <c r="U487" s="1"/>
      <c r="V487" s="1"/>
      <c r="W487" s="1"/>
      <c r="X487" s="1"/>
      <c r="Y487" s="1"/>
      <c r="Z487" s="1"/>
      <c r="AB487" s="1"/>
      <c r="AC487" s="1"/>
      <c r="AD487" s="1"/>
      <c r="AE487" s="1"/>
      <c r="AF487" s="1"/>
      <c r="AG487" s="1"/>
      <c r="AH487" s="1"/>
      <c r="AI487" s="1"/>
      <c r="AL487" s="1"/>
      <c r="AN487" s="1"/>
      <c r="AO487" s="1"/>
      <c r="AP487" s="1"/>
      <c r="AQ487" s="1"/>
      <c r="AR487" s="1"/>
      <c r="AS487" s="1"/>
      <c r="AT487" s="1"/>
      <c r="AU487" s="1"/>
      <c r="AV487" s="1"/>
    </row>
    <row r="488" spans="2:48" x14ac:dyDescent="0.3">
      <c r="B488" s="1" t="s">
        <v>1087</v>
      </c>
      <c r="H488" s="1" t="s">
        <v>738</v>
      </c>
      <c r="I488" s="1"/>
      <c r="J488" s="1"/>
      <c r="K488" s="1"/>
      <c r="L488" s="1"/>
      <c r="M488" s="1"/>
      <c r="N488" s="1"/>
      <c r="O488" s="1"/>
      <c r="P488" s="1"/>
      <c r="Q488" s="1"/>
      <c r="R488" s="1"/>
      <c r="T488" s="1"/>
      <c r="U488" s="1"/>
      <c r="V488" s="1"/>
      <c r="W488" s="1"/>
      <c r="X488" s="1"/>
      <c r="Y488" s="1"/>
      <c r="Z488" s="1"/>
      <c r="AB488" s="1"/>
      <c r="AC488" s="1"/>
      <c r="AD488" s="1"/>
      <c r="AE488" s="1"/>
      <c r="AF488" s="1"/>
      <c r="AG488" s="1"/>
      <c r="AH488" s="1"/>
      <c r="AI488" s="1"/>
      <c r="AL488" s="1"/>
      <c r="AN488" s="1"/>
      <c r="AO488" s="1"/>
      <c r="AP488" s="1"/>
      <c r="AQ488" s="1"/>
      <c r="AR488" s="1"/>
      <c r="AS488" s="1"/>
      <c r="AT488" s="1"/>
      <c r="AU488" s="1"/>
      <c r="AV488" s="1"/>
    </row>
    <row r="489" spans="2:48" x14ac:dyDescent="0.3">
      <c r="B489" s="1" t="s">
        <v>1088</v>
      </c>
      <c r="H489" s="1" t="s">
        <v>738</v>
      </c>
      <c r="I489" s="1"/>
      <c r="J489" s="1"/>
      <c r="K489" s="1"/>
      <c r="L489" s="1"/>
      <c r="M489" s="1"/>
      <c r="N489" s="1"/>
      <c r="O489" s="1"/>
      <c r="P489" s="1"/>
      <c r="Q489" s="1"/>
      <c r="R489" s="1"/>
      <c r="T489" s="1"/>
      <c r="U489" s="1"/>
      <c r="V489" s="1"/>
      <c r="W489" s="1"/>
      <c r="X489" s="1"/>
      <c r="Y489" s="1"/>
      <c r="Z489" s="1"/>
      <c r="AB489" s="1"/>
      <c r="AC489" s="1"/>
      <c r="AD489" s="1"/>
      <c r="AE489" s="1"/>
      <c r="AF489" s="1"/>
      <c r="AG489" s="1"/>
      <c r="AH489" s="1"/>
      <c r="AI489" s="1"/>
      <c r="AL489" s="1"/>
      <c r="AN489" s="1"/>
      <c r="AO489" s="1"/>
      <c r="AP489" s="1"/>
      <c r="AQ489" s="1"/>
      <c r="AR489" s="1"/>
      <c r="AS489" s="1"/>
      <c r="AT489" s="1"/>
      <c r="AU489" s="1"/>
      <c r="AV489" s="1"/>
    </row>
    <row r="490" spans="2:48" x14ac:dyDescent="0.3">
      <c r="B490" s="1" t="s">
        <v>1089</v>
      </c>
      <c r="H490" s="1" t="s">
        <v>738</v>
      </c>
      <c r="I490" s="1"/>
      <c r="J490" s="1"/>
      <c r="K490" s="1"/>
      <c r="L490" s="1"/>
      <c r="M490" s="1"/>
      <c r="N490" s="1"/>
      <c r="O490" s="1"/>
      <c r="P490" s="1"/>
      <c r="Q490" s="1"/>
      <c r="R490" s="1"/>
      <c r="T490" s="1"/>
      <c r="U490" s="1"/>
      <c r="V490" s="1"/>
      <c r="W490" s="1"/>
      <c r="X490" s="1"/>
      <c r="Y490" s="1"/>
      <c r="Z490" s="1"/>
      <c r="AB490" s="1"/>
      <c r="AC490" s="1"/>
      <c r="AD490" s="1"/>
      <c r="AE490" s="1"/>
      <c r="AF490" s="1"/>
      <c r="AG490" s="1"/>
      <c r="AH490" s="1"/>
      <c r="AI490" s="1"/>
      <c r="AL490" s="1"/>
      <c r="AN490" s="1"/>
      <c r="AO490" s="1"/>
      <c r="AP490" s="1"/>
      <c r="AQ490" s="1"/>
      <c r="AR490" s="1"/>
      <c r="AS490" s="1"/>
      <c r="AT490" s="1"/>
      <c r="AU490" s="1"/>
      <c r="AV490" s="1"/>
    </row>
    <row r="491" spans="2:48" x14ac:dyDescent="0.3">
      <c r="B491" s="1" t="s">
        <v>1090</v>
      </c>
      <c r="H491" s="1" t="s">
        <v>738</v>
      </c>
      <c r="I491" s="1"/>
      <c r="J491" s="1"/>
      <c r="K491" s="1"/>
      <c r="L491" s="1"/>
      <c r="M491" s="1"/>
      <c r="N491" s="1"/>
      <c r="O491" s="1"/>
      <c r="P491" s="1"/>
      <c r="Q491" s="1"/>
      <c r="R491" s="1"/>
      <c r="T491" s="1"/>
      <c r="U491" s="1"/>
      <c r="V491" s="1"/>
      <c r="W491" s="1"/>
      <c r="X491" s="1"/>
      <c r="Y491" s="1"/>
      <c r="Z491" s="1"/>
      <c r="AB491" s="1"/>
      <c r="AC491" s="1"/>
      <c r="AD491" s="1"/>
      <c r="AE491" s="1"/>
      <c r="AF491" s="1"/>
      <c r="AG491" s="1"/>
      <c r="AH491" s="1"/>
      <c r="AI491" s="1"/>
      <c r="AL491" s="1"/>
      <c r="AN491" s="1"/>
      <c r="AO491" s="1"/>
      <c r="AP491" s="1"/>
      <c r="AQ491" s="1"/>
      <c r="AR491" s="1"/>
      <c r="AS491" s="1"/>
      <c r="AT491" s="1"/>
      <c r="AU491" s="1"/>
      <c r="AV491" s="1"/>
    </row>
    <row r="492" spans="2:48" x14ac:dyDescent="0.3">
      <c r="B492" s="1" t="s">
        <v>1091</v>
      </c>
      <c r="H492" s="1" t="s">
        <v>738</v>
      </c>
      <c r="I492" s="1"/>
      <c r="J492" s="1"/>
      <c r="K492" s="1"/>
      <c r="L492" s="1"/>
      <c r="M492" s="1"/>
      <c r="N492" s="1"/>
      <c r="O492" s="1"/>
      <c r="P492" s="1"/>
      <c r="Q492" s="1"/>
      <c r="R492" s="1"/>
      <c r="T492" s="1"/>
      <c r="U492" s="1"/>
      <c r="V492" s="1"/>
      <c r="W492" s="1"/>
      <c r="X492" s="1"/>
      <c r="Y492" s="1"/>
      <c r="Z492" s="1"/>
      <c r="AB492" s="1"/>
      <c r="AC492" s="1"/>
      <c r="AD492" s="1"/>
      <c r="AE492" s="1"/>
      <c r="AF492" s="1"/>
      <c r="AG492" s="1"/>
      <c r="AH492" s="1"/>
      <c r="AI492" s="1"/>
      <c r="AL492" s="1"/>
      <c r="AN492" s="1"/>
      <c r="AO492" s="1"/>
      <c r="AP492" s="1"/>
      <c r="AQ492" s="1"/>
      <c r="AR492" s="1"/>
      <c r="AS492" s="1"/>
      <c r="AT492" s="1"/>
      <c r="AU492" s="1"/>
      <c r="AV492" s="1"/>
    </row>
    <row r="493" spans="2:48" x14ac:dyDescent="0.3">
      <c r="B493" s="1" t="s">
        <v>1092</v>
      </c>
      <c r="H493" s="1" t="s">
        <v>738</v>
      </c>
      <c r="I493" s="1"/>
      <c r="J493" s="1"/>
      <c r="K493" s="1"/>
      <c r="L493" s="1"/>
      <c r="M493" s="1"/>
      <c r="N493" s="1"/>
      <c r="O493" s="1"/>
      <c r="P493" s="1"/>
      <c r="Q493" s="1"/>
      <c r="R493" s="1"/>
      <c r="T493" s="1"/>
      <c r="U493" s="1"/>
      <c r="V493" s="1"/>
      <c r="W493" s="1"/>
      <c r="X493" s="1"/>
      <c r="Y493" s="1"/>
      <c r="Z493" s="1"/>
      <c r="AB493" s="1"/>
      <c r="AC493" s="1"/>
      <c r="AD493" s="1"/>
      <c r="AE493" s="1"/>
      <c r="AF493" s="1"/>
      <c r="AG493" s="1"/>
      <c r="AH493" s="1"/>
      <c r="AI493" s="1"/>
      <c r="AL493" s="1"/>
      <c r="AN493" s="1"/>
      <c r="AO493" s="1"/>
      <c r="AP493" s="1"/>
      <c r="AQ493" s="1"/>
      <c r="AR493" s="1"/>
      <c r="AS493" s="1"/>
      <c r="AT493" s="1"/>
      <c r="AU493" s="1"/>
      <c r="AV493" s="1"/>
    </row>
    <row r="494" spans="2:48" x14ac:dyDescent="0.3">
      <c r="B494" s="1" t="s">
        <v>1093</v>
      </c>
      <c r="H494" s="1" t="s">
        <v>738</v>
      </c>
      <c r="I494" s="1"/>
      <c r="J494" s="1"/>
      <c r="K494" s="1"/>
      <c r="L494" s="1"/>
      <c r="M494" s="1"/>
      <c r="N494" s="1"/>
      <c r="O494" s="1"/>
      <c r="P494" s="1"/>
      <c r="Q494" s="1"/>
      <c r="R494" s="1"/>
      <c r="T494" s="1"/>
      <c r="U494" s="1"/>
      <c r="V494" s="1"/>
      <c r="W494" s="1"/>
      <c r="X494" s="1"/>
      <c r="Y494" s="1"/>
      <c r="Z494" s="1"/>
      <c r="AB494" s="1"/>
      <c r="AC494" s="1"/>
      <c r="AD494" s="1"/>
      <c r="AE494" s="1"/>
      <c r="AF494" s="1"/>
      <c r="AG494" s="1"/>
      <c r="AH494" s="1"/>
      <c r="AI494" s="1"/>
      <c r="AL494" s="1"/>
      <c r="AN494" s="1"/>
      <c r="AO494" s="1"/>
      <c r="AP494" s="1"/>
      <c r="AQ494" s="1"/>
      <c r="AR494" s="1"/>
      <c r="AS494" s="1"/>
      <c r="AT494" s="1"/>
      <c r="AU494" s="1"/>
      <c r="AV494" s="1"/>
    </row>
    <row r="495" spans="2:48" x14ac:dyDescent="0.3">
      <c r="B495" s="1" t="s">
        <v>1094</v>
      </c>
      <c r="H495" s="1" t="s">
        <v>738</v>
      </c>
      <c r="I495" s="1"/>
      <c r="J495" s="1"/>
      <c r="K495" s="1"/>
      <c r="L495" s="1"/>
      <c r="M495" s="1"/>
      <c r="N495" s="1"/>
      <c r="O495" s="1"/>
      <c r="P495" s="1"/>
      <c r="Q495" s="1"/>
      <c r="R495" s="1"/>
      <c r="T495" s="1"/>
      <c r="U495" s="1"/>
      <c r="V495" s="1"/>
      <c r="W495" s="1"/>
      <c r="X495" s="1"/>
      <c r="Y495" s="1"/>
      <c r="Z495" s="1"/>
      <c r="AB495" s="1"/>
      <c r="AC495" s="1"/>
      <c r="AD495" s="1"/>
      <c r="AE495" s="1"/>
      <c r="AF495" s="1"/>
      <c r="AG495" s="1"/>
      <c r="AH495" s="1"/>
      <c r="AI495" s="1"/>
      <c r="AL495" s="1"/>
      <c r="AN495" s="1"/>
      <c r="AO495" s="1"/>
      <c r="AP495" s="1"/>
      <c r="AQ495" s="1"/>
      <c r="AR495" s="1"/>
      <c r="AS495" s="1"/>
      <c r="AT495" s="1"/>
      <c r="AU495" s="1"/>
      <c r="AV495" s="1"/>
    </row>
    <row r="496" spans="2:48" x14ac:dyDescent="0.3">
      <c r="B496" s="1" t="s">
        <v>1095</v>
      </c>
      <c r="H496" s="1" t="s">
        <v>738</v>
      </c>
      <c r="I496" s="1"/>
      <c r="J496" s="1"/>
      <c r="K496" s="1"/>
      <c r="L496" s="1"/>
      <c r="M496" s="1"/>
      <c r="N496" s="1"/>
      <c r="O496" s="1"/>
      <c r="P496" s="1"/>
      <c r="Q496" s="1"/>
      <c r="R496" s="1"/>
      <c r="T496" s="1"/>
      <c r="U496" s="1"/>
      <c r="V496" s="1"/>
      <c r="W496" s="1"/>
      <c r="X496" s="1"/>
      <c r="Y496" s="1"/>
      <c r="Z496" s="1"/>
      <c r="AB496" s="1"/>
      <c r="AC496" s="1"/>
      <c r="AD496" s="1"/>
      <c r="AE496" s="1"/>
      <c r="AF496" s="1"/>
      <c r="AG496" s="1"/>
      <c r="AH496" s="1"/>
      <c r="AI496" s="1"/>
      <c r="AL496" s="1"/>
      <c r="AN496" s="1"/>
      <c r="AO496" s="1"/>
      <c r="AP496" s="1"/>
      <c r="AQ496" s="1"/>
      <c r="AR496" s="1"/>
      <c r="AS496" s="1"/>
      <c r="AT496" s="1"/>
      <c r="AU496" s="1"/>
      <c r="AV496" s="1"/>
    </row>
    <row r="497" spans="2:48" x14ac:dyDescent="0.3">
      <c r="B497" s="1" t="s">
        <v>1096</v>
      </c>
      <c r="H497" s="1" t="s">
        <v>738</v>
      </c>
      <c r="I497" s="1"/>
      <c r="J497" s="1"/>
      <c r="K497" s="1"/>
      <c r="L497" s="1"/>
      <c r="M497" s="1"/>
      <c r="N497" s="1"/>
      <c r="O497" s="1"/>
      <c r="P497" s="1"/>
      <c r="Q497" s="1"/>
      <c r="R497" s="1"/>
      <c r="T497" s="1"/>
      <c r="U497" s="1"/>
      <c r="V497" s="1"/>
      <c r="W497" s="1"/>
      <c r="X497" s="1"/>
      <c r="Y497" s="1"/>
      <c r="Z497" s="1"/>
      <c r="AB497" s="1"/>
      <c r="AC497" s="1"/>
      <c r="AD497" s="1"/>
      <c r="AE497" s="1"/>
      <c r="AF497" s="1"/>
      <c r="AG497" s="1"/>
      <c r="AH497" s="1"/>
      <c r="AI497" s="1"/>
      <c r="AL497" s="1"/>
      <c r="AN497" s="1"/>
      <c r="AO497" s="1"/>
      <c r="AP497" s="1"/>
      <c r="AQ497" s="1"/>
      <c r="AR497" s="1"/>
      <c r="AS497" s="1"/>
      <c r="AT497" s="1"/>
      <c r="AU497" s="1"/>
      <c r="AV497" s="1"/>
    </row>
    <row r="498" spans="2:48" x14ac:dyDescent="0.3">
      <c r="B498" s="1" t="s">
        <v>1097</v>
      </c>
      <c r="H498" s="1" t="s">
        <v>738</v>
      </c>
      <c r="I498" s="1"/>
      <c r="J498" s="1"/>
      <c r="K498" s="1"/>
      <c r="L498" s="1"/>
      <c r="M498" s="1"/>
      <c r="N498" s="1"/>
      <c r="O498" s="1"/>
      <c r="P498" s="1"/>
      <c r="Q498" s="1"/>
      <c r="R498" s="1"/>
      <c r="T498" s="1"/>
      <c r="U498" s="1"/>
      <c r="V498" s="1"/>
      <c r="W498" s="1"/>
      <c r="X498" s="1"/>
      <c r="Y498" s="1"/>
      <c r="Z498" s="1"/>
      <c r="AB498" s="1"/>
      <c r="AC498" s="1"/>
      <c r="AD498" s="1"/>
      <c r="AE498" s="1"/>
      <c r="AF498" s="1"/>
      <c r="AG498" s="1"/>
      <c r="AH498" s="1"/>
      <c r="AI498" s="1"/>
      <c r="AL498" s="1"/>
      <c r="AN498" s="1"/>
      <c r="AO498" s="1"/>
      <c r="AP498" s="1"/>
      <c r="AQ498" s="1"/>
      <c r="AR498" s="1"/>
      <c r="AS498" s="1"/>
      <c r="AT498" s="1"/>
      <c r="AU498" s="1"/>
      <c r="AV498" s="1"/>
    </row>
    <row r="499" spans="2:48" x14ac:dyDescent="0.3">
      <c r="B499" s="1" t="s">
        <v>1098</v>
      </c>
      <c r="H499" s="1" t="s">
        <v>738</v>
      </c>
      <c r="I499" s="1"/>
      <c r="J499" s="1"/>
      <c r="K499" s="1"/>
      <c r="L499" s="1"/>
      <c r="M499" s="1"/>
      <c r="N499" s="1"/>
      <c r="O499" s="1"/>
      <c r="P499" s="1"/>
      <c r="Q499" s="1"/>
      <c r="R499" s="1"/>
      <c r="T499" s="1"/>
      <c r="U499" s="1"/>
      <c r="V499" s="1"/>
      <c r="W499" s="1"/>
      <c r="X499" s="1"/>
      <c r="Y499" s="1"/>
      <c r="Z499" s="1"/>
      <c r="AB499" s="1"/>
      <c r="AC499" s="1"/>
      <c r="AD499" s="1"/>
      <c r="AE499" s="1"/>
      <c r="AF499" s="1"/>
      <c r="AG499" s="1"/>
      <c r="AH499" s="1"/>
      <c r="AI499" s="1"/>
      <c r="AL499" s="1"/>
      <c r="AN499" s="1"/>
      <c r="AO499" s="1"/>
      <c r="AP499" s="1"/>
      <c r="AQ499" s="1"/>
      <c r="AR499" s="1"/>
      <c r="AS499" s="1"/>
      <c r="AT499" s="1"/>
      <c r="AU499" s="1"/>
      <c r="AV499" s="1"/>
    </row>
    <row r="500" spans="2:48" x14ac:dyDescent="0.3">
      <c r="B500" s="1" t="s">
        <v>1099</v>
      </c>
      <c r="H500" s="1" t="s">
        <v>738</v>
      </c>
      <c r="I500" s="1"/>
      <c r="J500" s="1"/>
      <c r="K500" s="1"/>
      <c r="L500" s="1"/>
      <c r="M500" s="1"/>
      <c r="N500" s="1"/>
      <c r="O500" s="1"/>
      <c r="P500" s="1"/>
      <c r="Q500" s="1"/>
      <c r="R500" s="1"/>
      <c r="T500" s="1"/>
      <c r="U500" s="1"/>
      <c r="V500" s="1"/>
      <c r="W500" s="1"/>
      <c r="X500" s="1"/>
      <c r="Y500" s="1"/>
      <c r="Z500" s="1"/>
      <c r="AB500" s="1"/>
      <c r="AC500" s="1"/>
      <c r="AD500" s="1"/>
      <c r="AE500" s="1"/>
      <c r="AF500" s="1"/>
      <c r="AG500" s="1"/>
      <c r="AH500" s="1"/>
      <c r="AI500" s="1"/>
      <c r="AL500" s="1"/>
      <c r="AN500" s="1"/>
      <c r="AO500" s="1"/>
      <c r="AP500" s="1"/>
      <c r="AQ500" s="1"/>
      <c r="AR500" s="1"/>
      <c r="AS500" s="1"/>
      <c r="AT500" s="1"/>
      <c r="AU500" s="1"/>
      <c r="AV500" s="1"/>
    </row>
    <row r="501" spans="2:48" x14ac:dyDescent="0.3">
      <c r="B501" s="1" t="s">
        <v>1100</v>
      </c>
      <c r="H501" s="1" t="s">
        <v>738</v>
      </c>
      <c r="I501" s="1"/>
      <c r="J501" s="1"/>
      <c r="K501" s="1"/>
      <c r="L501" s="1"/>
      <c r="M501" s="1"/>
      <c r="N501" s="1"/>
      <c r="O501" s="1"/>
      <c r="P501" s="1"/>
      <c r="Q501" s="1"/>
      <c r="R501" s="1"/>
      <c r="T501" s="1"/>
      <c r="U501" s="1"/>
      <c r="V501" s="1"/>
      <c r="W501" s="1"/>
      <c r="X501" s="1"/>
      <c r="Y501" s="1"/>
      <c r="Z501" s="1"/>
      <c r="AB501" s="1"/>
      <c r="AC501" s="1"/>
      <c r="AD501" s="1"/>
      <c r="AE501" s="1"/>
      <c r="AF501" s="1"/>
      <c r="AG501" s="1"/>
      <c r="AH501" s="1"/>
      <c r="AI501" s="1"/>
      <c r="AL501" s="1"/>
      <c r="AN501" s="1"/>
      <c r="AO501" s="1"/>
      <c r="AP501" s="1"/>
      <c r="AQ501" s="1"/>
      <c r="AR501" s="1"/>
      <c r="AS501" s="1"/>
      <c r="AT501" s="1"/>
      <c r="AU501" s="1"/>
      <c r="AV501" s="1"/>
    </row>
    <row r="502" spans="2:48" x14ac:dyDescent="0.3">
      <c r="B502" s="1" t="s">
        <v>1101</v>
      </c>
      <c r="H502" s="1" t="s">
        <v>738</v>
      </c>
      <c r="I502" s="1"/>
      <c r="J502" s="1"/>
      <c r="K502" s="1"/>
      <c r="L502" s="1"/>
      <c r="M502" s="1"/>
      <c r="N502" s="1"/>
      <c r="O502" s="1"/>
      <c r="P502" s="1"/>
      <c r="Q502" s="1"/>
      <c r="R502" s="1"/>
      <c r="T502" s="1"/>
      <c r="U502" s="1"/>
      <c r="V502" s="1"/>
      <c r="W502" s="1"/>
      <c r="X502" s="1"/>
      <c r="Y502" s="1"/>
      <c r="Z502" s="1"/>
      <c r="AB502" s="1"/>
      <c r="AC502" s="1"/>
      <c r="AD502" s="1"/>
      <c r="AE502" s="1"/>
      <c r="AF502" s="1"/>
      <c r="AG502" s="1"/>
      <c r="AH502" s="1"/>
      <c r="AI502" s="1"/>
      <c r="AL502" s="1"/>
      <c r="AN502" s="1"/>
      <c r="AO502" s="1"/>
      <c r="AP502" s="1"/>
      <c r="AQ502" s="1"/>
      <c r="AR502" s="1"/>
      <c r="AS502" s="1"/>
      <c r="AT502" s="1"/>
      <c r="AU502" s="1"/>
      <c r="AV502" s="1"/>
    </row>
    <row r="503" spans="2:48" x14ac:dyDescent="0.3">
      <c r="B503" s="1" t="s">
        <v>1102</v>
      </c>
      <c r="H503" s="1" t="s">
        <v>738</v>
      </c>
      <c r="I503" s="1"/>
      <c r="J503" s="1"/>
      <c r="K503" s="1"/>
      <c r="L503" s="1"/>
      <c r="M503" s="1"/>
      <c r="N503" s="1"/>
      <c r="O503" s="1"/>
      <c r="P503" s="1"/>
      <c r="Q503" s="1"/>
      <c r="R503" s="1"/>
      <c r="T503" s="1"/>
      <c r="U503" s="1"/>
      <c r="V503" s="1"/>
      <c r="W503" s="1"/>
      <c r="X503" s="1"/>
      <c r="Y503" s="1"/>
      <c r="Z503" s="1"/>
      <c r="AB503" s="1"/>
      <c r="AC503" s="1"/>
      <c r="AD503" s="1"/>
      <c r="AE503" s="1"/>
      <c r="AF503" s="1"/>
      <c r="AG503" s="1"/>
      <c r="AH503" s="1"/>
      <c r="AI503" s="1"/>
      <c r="AL503" s="1"/>
      <c r="AN503" s="1"/>
      <c r="AO503" s="1"/>
      <c r="AP503" s="1"/>
      <c r="AQ503" s="1"/>
      <c r="AR503" s="1"/>
      <c r="AS503" s="1"/>
      <c r="AT503" s="1"/>
      <c r="AU503" s="1"/>
      <c r="AV503" s="1"/>
    </row>
    <row r="504" spans="2:48" x14ac:dyDescent="0.3">
      <c r="B504" s="1" t="s">
        <v>1103</v>
      </c>
      <c r="H504" s="1" t="s">
        <v>738</v>
      </c>
      <c r="I504" s="1"/>
      <c r="J504" s="1"/>
      <c r="K504" s="1"/>
      <c r="L504" s="1"/>
      <c r="M504" s="1"/>
      <c r="N504" s="1"/>
      <c r="O504" s="1"/>
      <c r="P504" s="1"/>
      <c r="Q504" s="1"/>
      <c r="R504" s="1"/>
      <c r="T504" s="1"/>
      <c r="U504" s="1"/>
      <c r="V504" s="1"/>
      <c r="W504" s="1"/>
      <c r="X504" s="1"/>
      <c r="Y504" s="1"/>
      <c r="Z504" s="1"/>
      <c r="AB504" s="1"/>
      <c r="AC504" s="1"/>
      <c r="AD504" s="1"/>
      <c r="AE504" s="1"/>
      <c r="AF504" s="1"/>
      <c r="AG504" s="1"/>
      <c r="AH504" s="1"/>
      <c r="AI504" s="1"/>
      <c r="AL504" s="1"/>
      <c r="AN504" s="1"/>
      <c r="AO504" s="1"/>
      <c r="AP504" s="1"/>
      <c r="AQ504" s="1"/>
      <c r="AR504" s="1"/>
      <c r="AS504" s="1"/>
      <c r="AT504" s="1"/>
      <c r="AU504" s="1"/>
      <c r="AV504" s="1"/>
    </row>
    <row r="505" spans="2:48" x14ac:dyDescent="0.3">
      <c r="B505" s="1" t="s">
        <v>1104</v>
      </c>
      <c r="H505" s="1" t="s">
        <v>738</v>
      </c>
      <c r="I505" s="1"/>
      <c r="J505" s="1"/>
      <c r="K505" s="1"/>
      <c r="L505" s="1"/>
      <c r="M505" s="1"/>
      <c r="N505" s="1"/>
      <c r="O505" s="1"/>
      <c r="P505" s="1"/>
      <c r="Q505" s="1"/>
      <c r="R505" s="1"/>
      <c r="T505" s="1"/>
      <c r="U505" s="1"/>
      <c r="V505" s="1"/>
      <c r="W505" s="1"/>
      <c r="X505" s="1"/>
      <c r="Y505" s="1"/>
      <c r="Z505" s="1"/>
      <c r="AB505" s="1"/>
      <c r="AC505" s="1"/>
      <c r="AD505" s="1"/>
      <c r="AE505" s="1"/>
      <c r="AF505" s="1"/>
      <c r="AG505" s="1"/>
      <c r="AH505" s="1"/>
      <c r="AI505" s="1"/>
      <c r="AL505" s="1"/>
      <c r="AN505" s="1"/>
      <c r="AO505" s="1"/>
      <c r="AP505" s="1"/>
      <c r="AQ505" s="1"/>
      <c r="AR505" s="1"/>
      <c r="AS505" s="1"/>
      <c r="AT505" s="1"/>
      <c r="AU505" s="1"/>
      <c r="AV505" s="1"/>
    </row>
    <row r="506" spans="2:48" x14ac:dyDescent="0.3">
      <c r="B506" s="1" t="s">
        <v>1105</v>
      </c>
      <c r="H506" s="1" t="s">
        <v>738</v>
      </c>
      <c r="I506" s="1"/>
      <c r="J506" s="1"/>
      <c r="K506" s="1"/>
      <c r="L506" s="1"/>
      <c r="M506" s="1"/>
      <c r="N506" s="1"/>
      <c r="O506" s="1"/>
      <c r="P506" s="1"/>
      <c r="Q506" s="1"/>
      <c r="R506" s="1"/>
      <c r="T506" s="1"/>
      <c r="U506" s="1"/>
      <c r="V506" s="1"/>
      <c r="W506" s="1"/>
      <c r="X506" s="1"/>
      <c r="Y506" s="1"/>
      <c r="Z506" s="1"/>
      <c r="AB506" s="1"/>
      <c r="AC506" s="1"/>
      <c r="AD506" s="1"/>
      <c r="AE506" s="1"/>
      <c r="AF506" s="1"/>
      <c r="AG506" s="1"/>
      <c r="AH506" s="1"/>
      <c r="AI506" s="1"/>
      <c r="AL506" s="1"/>
      <c r="AN506" s="1"/>
      <c r="AO506" s="1"/>
      <c r="AP506" s="1"/>
      <c r="AQ506" s="1"/>
      <c r="AR506" s="1"/>
      <c r="AS506" s="1"/>
      <c r="AT506" s="1"/>
      <c r="AU506" s="1"/>
      <c r="AV506" s="1"/>
    </row>
    <row r="507" spans="2:48" x14ac:dyDescent="0.3">
      <c r="B507" s="1" t="s">
        <v>1106</v>
      </c>
      <c r="H507" s="1" t="s">
        <v>738</v>
      </c>
      <c r="I507" s="1"/>
      <c r="J507" s="1"/>
      <c r="K507" s="1"/>
      <c r="L507" s="1"/>
      <c r="M507" s="1"/>
      <c r="N507" s="1"/>
      <c r="O507" s="1"/>
      <c r="P507" s="1"/>
      <c r="Q507" s="1"/>
      <c r="R507" s="1"/>
      <c r="T507" s="1"/>
      <c r="U507" s="1"/>
      <c r="V507" s="1"/>
      <c r="W507" s="1"/>
      <c r="X507" s="1"/>
      <c r="Y507" s="1"/>
      <c r="Z507" s="1"/>
      <c r="AB507" s="1"/>
      <c r="AC507" s="1"/>
      <c r="AD507" s="1"/>
      <c r="AE507" s="1"/>
      <c r="AF507" s="1"/>
      <c r="AG507" s="1"/>
      <c r="AH507" s="1"/>
      <c r="AI507" s="1"/>
      <c r="AL507" s="1"/>
      <c r="AN507" s="1"/>
      <c r="AO507" s="1"/>
      <c r="AP507" s="1"/>
      <c r="AQ507" s="1"/>
      <c r="AR507" s="1"/>
      <c r="AS507" s="1"/>
      <c r="AT507" s="1"/>
      <c r="AU507" s="1"/>
      <c r="AV507" s="1"/>
    </row>
    <row r="508" spans="2:48" x14ac:dyDescent="0.3">
      <c r="B508" s="1" t="s">
        <v>1107</v>
      </c>
      <c r="H508" s="1" t="s">
        <v>738</v>
      </c>
      <c r="I508" s="1"/>
      <c r="J508" s="1"/>
      <c r="K508" s="1"/>
      <c r="L508" s="1"/>
      <c r="M508" s="1"/>
      <c r="N508" s="1"/>
      <c r="O508" s="1"/>
      <c r="P508" s="1"/>
      <c r="Q508" s="1"/>
      <c r="R508" s="1"/>
      <c r="T508" s="1"/>
      <c r="U508" s="1"/>
      <c r="V508" s="1"/>
      <c r="W508" s="1"/>
      <c r="X508" s="1"/>
      <c r="Y508" s="1"/>
      <c r="Z508" s="1"/>
      <c r="AB508" s="1"/>
      <c r="AC508" s="1"/>
      <c r="AD508" s="1"/>
      <c r="AE508" s="1"/>
      <c r="AF508" s="1"/>
      <c r="AG508" s="1"/>
      <c r="AH508" s="1"/>
      <c r="AI508" s="1"/>
      <c r="AL508" s="1"/>
      <c r="AN508" s="1"/>
      <c r="AO508" s="1"/>
      <c r="AP508" s="1"/>
      <c r="AQ508" s="1"/>
      <c r="AR508" s="1"/>
      <c r="AS508" s="1"/>
      <c r="AT508" s="1"/>
      <c r="AU508" s="1"/>
      <c r="AV508" s="1"/>
    </row>
    <row r="509" spans="2:48" x14ac:dyDescent="0.3">
      <c r="B509" s="1" t="s">
        <v>1108</v>
      </c>
      <c r="H509" s="1" t="s">
        <v>738</v>
      </c>
      <c r="I509" s="1"/>
      <c r="J509" s="1"/>
      <c r="K509" s="1"/>
      <c r="L509" s="1"/>
      <c r="M509" s="1"/>
      <c r="N509" s="1"/>
      <c r="O509" s="1"/>
      <c r="P509" s="1"/>
      <c r="Q509" s="1"/>
      <c r="R509" s="1"/>
      <c r="T509" s="1"/>
      <c r="U509" s="1"/>
      <c r="V509" s="1"/>
      <c r="W509" s="1"/>
      <c r="X509" s="1"/>
      <c r="Y509" s="1"/>
      <c r="Z509" s="1"/>
      <c r="AB509" s="1"/>
      <c r="AC509" s="1"/>
      <c r="AD509" s="1"/>
      <c r="AE509" s="1"/>
      <c r="AF509" s="1"/>
      <c r="AG509" s="1"/>
      <c r="AH509" s="1"/>
      <c r="AI509" s="1"/>
      <c r="AL509" s="1"/>
      <c r="AN509" s="1"/>
      <c r="AO509" s="1"/>
      <c r="AP509" s="1"/>
      <c r="AQ509" s="1"/>
      <c r="AR509" s="1"/>
      <c r="AS509" s="1"/>
      <c r="AT509" s="1"/>
      <c r="AU509" s="1"/>
      <c r="AV509" s="1"/>
    </row>
    <row r="510" spans="2:48" x14ac:dyDescent="0.3">
      <c r="B510" s="1" t="s">
        <v>1109</v>
      </c>
      <c r="H510" s="1" t="s">
        <v>738</v>
      </c>
      <c r="I510" s="1"/>
      <c r="J510" s="1"/>
      <c r="K510" s="1"/>
      <c r="L510" s="1"/>
      <c r="M510" s="1"/>
      <c r="N510" s="1"/>
      <c r="O510" s="1"/>
      <c r="P510" s="1"/>
      <c r="Q510" s="1"/>
      <c r="R510" s="1"/>
      <c r="T510" s="1"/>
      <c r="U510" s="1"/>
      <c r="V510" s="1"/>
      <c r="W510" s="1"/>
      <c r="X510" s="1"/>
      <c r="Y510" s="1"/>
      <c r="Z510" s="1"/>
      <c r="AB510" s="1"/>
      <c r="AC510" s="1"/>
      <c r="AD510" s="1"/>
      <c r="AE510" s="1"/>
      <c r="AF510" s="1"/>
      <c r="AG510" s="1"/>
      <c r="AH510" s="1"/>
      <c r="AI510" s="1"/>
      <c r="AL510" s="1"/>
      <c r="AN510" s="1"/>
      <c r="AO510" s="1"/>
      <c r="AP510" s="1"/>
      <c r="AQ510" s="1"/>
      <c r="AR510" s="1"/>
      <c r="AS510" s="1"/>
      <c r="AT510" s="1"/>
      <c r="AU510" s="1"/>
      <c r="AV510" s="1"/>
    </row>
    <row r="511" spans="2:48" x14ac:dyDescent="0.3">
      <c r="B511" s="1" t="s">
        <v>1110</v>
      </c>
      <c r="H511" s="1" t="s">
        <v>738</v>
      </c>
      <c r="I511" s="1"/>
      <c r="J511" s="1"/>
      <c r="K511" s="1"/>
      <c r="L511" s="1"/>
      <c r="M511" s="1"/>
      <c r="N511" s="1"/>
      <c r="O511" s="1"/>
      <c r="P511" s="1"/>
      <c r="Q511" s="1"/>
      <c r="R511" s="1"/>
      <c r="T511" s="1"/>
      <c r="U511" s="1"/>
      <c r="V511" s="1"/>
      <c r="W511" s="1"/>
      <c r="X511" s="1"/>
      <c r="Y511" s="1"/>
      <c r="Z511" s="1"/>
      <c r="AB511" s="1"/>
      <c r="AC511" s="1"/>
      <c r="AD511" s="1"/>
      <c r="AE511" s="1"/>
      <c r="AF511" s="1"/>
      <c r="AG511" s="1"/>
      <c r="AH511" s="1"/>
      <c r="AI511" s="1"/>
      <c r="AL511" s="1"/>
      <c r="AN511" s="1"/>
      <c r="AO511" s="1"/>
      <c r="AP511" s="1"/>
      <c r="AQ511" s="1"/>
      <c r="AR511" s="1"/>
      <c r="AS511" s="1"/>
      <c r="AT511" s="1"/>
      <c r="AU511" s="1"/>
      <c r="AV511" s="1"/>
    </row>
    <row r="512" spans="2:48" x14ac:dyDescent="0.3">
      <c r="B512" s="1" t="s">
        <v>1111</v>
      </c>
      <c r="H512" s="1" t="s">
        <v>738</v>
      </c>
      <c r="I512" s="1"/>
      <c r="J512" s="1"/>
      <c r="K512" s="1"/>
      <c r="L512" s="1"/>
      <c r="M512" s="1"/>
      <c r="N512" s="1"/>
      <c r="O512" s="1"/>
      <c r="P512" s="1"/>
      <c r="Q512" s="1"/>
      <c r="R512" s="1"/>
      <c r="T512" s="1"/>
      <c r="U512" s="1"/>
      <c r="V512" s="1"/>
      <c r="W512" s="1"/>
      <c r="X512" s="1"/>
      <c r="Y512" s="1"/>
      <c r="Z512" s="1"/>
      <c r="AB512" s="1"/>
      <c r="AC512" s="1"/>
      <c r="AD512" s="1"/>
      <c r="AE512" s="1"/>
      <c r="AF512" s="1"/>
      <c r="AG512" s="1"/>
      <c r="AH512" s="1"/>
      <c r="AI512" s="1"/>
      <c r="AL512" s="1"/>
      <c r="AN512" s="1"/>
      <c r="AO512" s="1"/>
      <c r="AP512" s="1"/>
      <c r="AQ512" s="1"/>
      <c r="AR512" s="1"/>
      <c r="AS512" s="1"/>
      <c r="AT512" s="1"/>
      <c r="AU512" s="1"/>
      <c r="AV512" s="1"/>
    </row>
    <row r="513" spans="2:48" x14ac:dyDescent="0.3">
      <c r="B513" s="1" t="s">
        <v>1112</v>
      </c>
      <c r="H513" s="1" t="s">
        <v>738</v>
      </c>
      <c r="I513" s="1"/>
      <c r="J513" s="1"/>
      <c r="K513" s="1"/>
      <c r="L513" s="1"/>
      <c r="M513" s="1"/>
      <c r="N513" s="1"/>
      <c r="O513" s="1"/>
      <c r="P513" s="1"/>
      <c r="Q513" s="1"/>
      <c r="R513" s="1"/>
      <c r="T513" s="1"/>
      <c r="U513" s="1"/>
      <c r="V513" s="1"/>
      <c r="W513" s="1"/>
      <c r="X513" s="1"/>
      <c r="Y513" s="1"/>
      <c r="Z513" s="1"/>
      <c r="AB513" s="1"/>
      <c r="AC513" s="1"/>
      <c r="AD513" s="1"/>
      <c r="AE513" s="1"/>
      <c r="AF513" s="1"/>
      <c r="AG513" s="1"/>
      <c r="AH513" s="1"/>
      <c r="AI513" s="1"/>
      <c r="AL513" s="1"/>
      <c r="AN513" s="1"/>
      <c r="AO513" s="1"/>
      <c r="AP513" s="1"/>
      <c r="AQ513" s="1"/>
      <c r="AR513" s="1"/>
      <c r="AS513" s="1"/>
      <c r="AT513" s="1"/>
      <c r="AU513" s="1"/>
      <c r="AV513" s="1"/>
    </row>
    <row r="514" spans="2:48" x14ac:dyDescent="0.3">
      <c r="B514" s="1" t="s">
        <v>1113</v>
      </c>
      <c r="H514" s="1" t="s">
        <v>738</v>
      </c>
      <c r="I514" s="1"/>
      <c r="J514" s="1"/>
      <c r="K514" s="1"/>
      <c r="L514" s="1"/>
      <c r="M514" s="1"/>
      <c r="N514" s="1"/>
      <c r="O514" s="1"/>
      <c r="P514" s="1"/>
      <c r="Q514" s="1"/>
      <c r="R514" s="1"/>
      <c r="T514" s="1"/>
      <c r="U514" s="1"/>
      <c r="V514" s="1"/>
      <c r="W514" s="1"/>
      <c r="X514" s="1"/>
      <c r="Y514" s="1"/>
      <c r="Z514" s="1"/>
      <c r="AB514" s="1"/>
      <c r="AC514" s="1"/>
      <c r="AD514" s="1"/>
      <c r="AE514" s="1"/>
      <c r="AF514" s="1"/>
      <c r="AG514" s="1"/>
      <c r="AH514" s="1"/>
      <c r="AI514" s="1"/>
      <c r="AL514" s="1"/>
      <c r="AN514" s="1"/>
      <c r="AO514" s="1"/>
      <c r="AP514" s="1"/>
      <c r="AQ514" s="1"/>
      <c r="AR514" s="1"/>
      <c r="AS514" s="1"/>
      <c r="AT514" s="1"/>
      <c r="AU514" s="1"/>
      <c r="AV514" s="1"/>
    </row>
    <row r="515" spans="2:48" x14ac:dyDescent="0.3">
      <c r="B515" s="1" t="s">
        <v>1114</v>
      </c>
      <c r="H515" s="1" t="s">
        <v>738</v>
      </c>
      <c r="I515" s="1"/>
      <c r="J515" s="1"/>
      <c r="K515" s="1"/>
      <c r="L515" s="1"/>
      <c r="M515" s="1"/>
      <c r="N515" s="1"/>
      <c r="O515" s="1"/>
      <c r="P515" s="1"/>
      <c r="Q515" s="1"/>
      <c r="R515" s="1"/>
      <c r="T515" s="1"/>
      <c r="U515" s="1"/>
      <c r="V515" s="1"/>
      <c r="W515" s="1"/>
      <c r="X515" s="1"/>
      <c r="Y515" s="1"/>
      <c r="Z515" s="1"/>
      <c r="AB515" s="1"/>
      <c r="AC515" s="1"/>
      <c r="AD515" s="1"/>
      <c r="AE515" s="1"/>
      <c r="AF515" s="1"/>
      <c r="AG515" s="1"/>
      <c r="AH515" s="1"/>
      <c r="AI515" s="1"/>
      <c r="AL515" s="1"/>
      <c r="AN515" s="1"/>
      <c r="AO515" s="1"/>
      <c r="AP515" s="1"/>
      <c r="AQ515" s="1"/>
      <c r="AR515" s="1"/>
      <c r="AS515" s="1"/>
      <c r="AT515" s="1"/>
      <c r="AU515" s="1"/>
      <c r="AV515" s="1"/>
    </row>
    <row r="516" spans="2:48" x14ac:dyDescent="0.3">
      <c r="B516" s="1" t="s">
        <v>1115</v>
      </c>
      <c r="H516" s="1" t="s">
        <v>738</v>
      </c>
      <c r="I516" s="1"/>
      <c r="J516" s="1"/>
      <c r="K516" s="1"/>
      <c r="L516" s="1"/>
      <c r="M516" s="1"/>
      <c r="N516" s="1"/>
      <c r="O516" s="1"/>
      <c r="P516" s="1"/>
      <c r="Q516" s="1"/>
      <c r="R516" s="1"/>
      <c r="T516" s="1"/>
      <c r="U516" s="1"/>
      <c r="V516" s="1"/>
      <c r="W516" s="1"/>
      <c r="X516" s="1"/>
      <c r="Y516" s="1"/>
      <c r="Z516" s="1"/>
      <c r="AB516" s="1"/>
      <c r="AC516" s="1"/>
      <c r="AD516" s="1"/>
      <c r="AE516" s="1"/>
      <c r="AF516" s="1"/>
      <c r="AG516" s="1"/>
      <c r="AH516" s="1"/>
      <c r="AI516" s="1"/>
      <c r="AL516" s="1"/>
      <c r="AN516" s="1"/>
      <c r="AO516" s="1"/>
      <c r="AP516" s="1"/>
      <c r="AQ516" s="1"/>
      <c r="AR516" s="1"/>
      <c r="AS516" s="1"/>
      <c r="AT516" s="1"/>
      <c r="AU516" s="1"/>
      <c r="AV516" s="1"/>
    </row>
    <row r="517" spans="2:48" x14ac:dyDescent="0.3">
      <c r="B517" s="1" t="s">
        <v>1116</v>
      </c>
      <c r="H517" s="1" t="s">
        <v>738</v>
      </c>
      <c r="I517" s="1"/>
      <c r="J517" s="1"/>
      <c r="K517" s="1"/>
      <c r="L517" s="1"/>
      <c r="M517" s="1"/>
      <c r="N517" s="1"/>
      <c r="O517" s="1"/>
      <c r="P517" s="1"/>
      <c r="Q517" s="1"/>
      <c r="R517" s="1"/>
      <c r="T517" s="1"/>
      <c r="U517" s="1"/>
      <c r="V517" s="1"/>
      <c r="W517" s="1"/>
      <c r="X517" s="1"/>
      <c r="Y517" s="1"/>
      <c r="Z517" s="1"/>
      <c r="AB517" s="1"/>
      <c r="AC517" s="1"/>
      <c r="AD517" s="1"/>
      <c r="AE517" s="1"/>
      <c r="AF517" s="1"/>
      <c r="AG517" s="1"/>
      <c r="AH517" s="1"/>
      <c r="AI517" s="1"/>
      <c r="AL517" s="1"/>
      <c r="AN517" s="1"/>
      <c r="AO517" s="1"/>
      <c r="AP517" s="1"/>
      <c r="AQ517" s="1"/>
      <c r="AR517" s="1"/>
      <c r="AS517" s="1"/>
      <c r="AT517" s="1"/>
      <c r="AU517" s="1"/>
      <c r="AV517" s="1"/>
    </row>
    <row r="518" spans="2:48" x14ac:dyDescent="0.3">
      <c r="B518" s="1" t="s">
        <v>1117</v>
      </c>
      <c r="H518" s="1" t="s">
        <v>738</v>
      </c>
      <c r="I518" s="1"/>
      <c r="J518" s="1"/>
      <c r="K518" s="1"/>
      <c r="L518" s="1"/>
      <c r="M518" s="1"/>
      <c r="N518" s="1"/>
      <c r="O518" s="1"/>
      <c r="P518" s="1"/>
      <c r="Q518" s="1"/>
      <c r="R518" s="1"/>
      <c r="T518" s="1"/>
      <c r="U518" s="1"/>
      <c r="V518" s="1"/>
      <c r="W518" s="1"/>
      <c r="X518" s="1"/>
      <c r="Y518" s="1"/>
      <c r="Z518" s="1"/>
      <c r="AB518" s="1"/>
      <c r="AC518" s="1"/>
      <c r="AD518" s="1"/>
      <c r="AE518" s="1"/>
      <c r="AF518" s="1"/>
      <c r="AG518" s="1"/>
      <c r="AH518" s="1"/>
      <c r="AI518" s="1"/>
      <c r="AL518" s="1"/>
      <c r="AN518" s="1"/>
      <c r="AO518" s="1"/>
      <c r="AP518" s="1"/>
      <c r="AQ518" s="1"/>
      <c r="AR518" s="1"/>
      <c r="AS518" s="1"/>
      <c r="AT518" s="1"/>
      <c r="AU518" s="1"/>
      <c r="AV518" s="1"/>
    </row>
    <row r="519" spans="2:48" x14ac:dyDescent="0.3">
      <c r="B519" s="1" t="s">
        <v>1118</v>
      </c>
      <c r="H519" s="1" t="s">
        <v>738</v>
      </c>
      <c r="I519" s="1"/>
      <c r="J519" s="1"/>
      <c r="K519" s="1"/>
      <c r="L519" s="1"/>
      <c r="M519" s="1"/>
      <c r="N519" s="1"/>
      <c r="O519" s="1"/>
      <c r="P519" s="1"/>
      <c r="Q519" s="1"/>
      <c r="R519" s="1"/>
      <c r="T519" s="1"/>
      <c r="U519" s="1"/>
      <c r="V519" s="1"/>
      <c r="W519" s="1"/>
      <c r="X519" s="1"/>
      <c r="Y519" s="1"/>
      <c r="Z519" s="1"/>
      <c r="AB519" s="1"/>
      <c r="AC519" s="1"/>
      <c r="AD519" s="1"/>
      <c r="AE519" s="1"/>
      <c r="AF519" s="1"/>
      <c r="AG519" s="1"/>
      <c r="AH519" s="1"/>
      <c r="AI519" s="1"/>
      <c r="AL519" s="1"/>
      <c r="AN519" s="1"/>
      <c r="AO519" s="1"/>
      <c r="AP519" s="1"/>
      <c r="AQ519" s="1"/>
      <c r="AR519" s="1"/>
      <c r="AS519" s="1"/>
      <c r="AT519" s="1"/>
      <c r="AU519" s="1"/>
      <c r="AV519" s="1"/>
    </row>
    <row r="520" spans="2:48" x14ac:dyDescent="0.3">
      <c r="B520" s="1" t="s">
        <v>1119</v>
      </c>
      <c r="H520" s="1" t="s">
        <v>738</v>
      </c>
      <c r="I520" s="1"/>
      <c r="J520" s="1"/>
      <c r="K520" s="1"/>
      <c r="L520" s="1"/>
      <c r="M520" s="1"/>
      <c r="N520" s="1"/>
      <c r="O520" s="1"/>
      <c r="P520" s="1"/>
      <c r="Q520" s="1"/>
      <c r="R520" s="1"/>
      <c r="T520" s="1"/>
      <c r="U520" s="1"/>
      <c r="V520" s="1"/>
      <c r="W520" s="1"/>
      <c r="X520" s="1"/>
      <c r="Y520" s="1"/>
      <c r="Z520" s="1"/>
      <c r="AB520" s="1"/>
      <c r="AC520" s="1"/>
      <c r="AD520" s="1"/>
      <c r="AE520" s="1"/>
      <c r="AF520" s="1"/>
      <c r="AG520" s="1"/>
      <c r="AH520" s="1"/>
      <c r="AI520" s="1"/>
      <c r="AL520" s="1"/>
      <c r="AN520" s="1"/>
      <c r="AO520" s="1"/>
      <c r="AP520" s="1"/>
      <c r="AQ520" s="1"/>
      <c r="AR520" s="1"/>
      <c r="AS520" s="1"/>
      <c r="AT520" s="1"/>
      <c r="AU520" s="1"/>
      <c r="AV520" s="1"/>
    </row>
    <row r="521" spans="2:48" x14ac:dyDescent="0.3">
      <c r="B521" s="1" t="s">
        <v>1120</v>
      </c>
      <c r="H521" s="1" t="s">
        <v>738</v>
      </c>
      <c r="I521" s="1"/>
      <c r="J521" s="1"/>
      <c r="K521" s="1"/>
      <c r="L521" s="1"/>
      <c r="M521" s="1"/>
      <c r="N521" s="1"/>
      <c r="O521" s="1"/>
      <c r="P521" s="1"/>
      <c r="Q521" s="1"/>
      <c r="R521" s="1"/>
      <c r="T521" s="1"/>
      <c r="U521" s="1"/>
      <c r="V521" s="1"/>
      <c r="W521" s="1"/>
      <c r="X521" s="1"/>
      <c r="Y521" s="1"/>
      <c r="Z521" s="1"/>
      <c r="AB521" s="1"/>
      <c r="AC521" s="1"/>
      <c r="AD521" s="1"/>
      <c r="AE521" s="1"/>
      <c r="AF521" s="1"/>
      <c r="AG521" s="1"/>
      <c r="AH521" s="1"/>
      <c r="AI521" s="1"/>
      <c r="AL521" s="1"/>
      <c r="AN521" s="1"/>
      <c r="AO521" s="1"/>
      <c r="AP521" s="1"/>
      <c r="AQ521" s="1"/>
      <c r="AR521" s="1"/>
      <c r="AS521" s="1"/>
      <c r="AT521" s="1"/>
      <c r="AU521" s="1"/>
      <c r="AV521" s="1"/>
    </row>
    <row r="522" spans="2:48" x14ac:dyDescent="0.3">
      <c r="B522" s="1" t="s">
        <v>1121</v>
      </c>
      <c r="H522" s="1" t="s">
        <v>738</v>
      </c>
      <c r="I522" s="1"/>
      <c r="J522" s="1"/>
      <c r="K522" s="1"/>
      <c r="L522" s="1"/>
      <c r="M522" s="1"/>
      <c r="N522" s="1"/>
      <c r="O522" s="1"/>
      <c r="P522" s="1"/>
      <c r="Q522" s="1"/>
      <c r="R522" s="1"/>
      <c r="T522" s="1"/>
      <c r="U522" s="1"/>
      <c r="V522" s="1"/>
      <c r="W522" s="1"/>
      <c r="X522" s="1"/>
      <c r="Y522" s="1"/>
      <c r="Z522" s="1"/>
      <c r="AB522" s="1"/>
      <c r="AC522" s="1"/>
      <c r="AD522" s="1"/>
      <c r="AE522" s="1"/>
      <c r="AF522" s="1"/>
      <c r="AG522" s="1"/>
      <c r="AH522" s="1"/>
      <c r="AI522" s="1"/>
      <c r="AL522" s="1"/>
      <c r="AN522" s="1"/>
      <c r="AO522" s="1"/>
      <c r="AP522" s="1"/>
      <c r="AQ522" s="1"/>
      <c r="AR522" s="1"/>
      <c r="AS522" s="1"/>
      <c r="AT522" s="1"/>
      <c r="AU522" s="1"/>
      <c r="AV522" s="1"/>
    </row>
    <row r="523" spans="2:48" x14ac:dyDescent="0.3">
      <c r="B523" s="1" t="s">
        <v>1122</v>
      </c>
      <c r="H523" s="1" t="s">
        <v>738</v>
      </c>
      <c r="I523" s="1"/>
      <c r="J523" s="1"/>
      <c r="K523" s="1"/>
      <c r="L523" s="1"/>
      <c r="M523" s="1"/>
      <c r="N523" s="1"/>
      <c r="O523" s="1"/>
      <c r="P523" s="1"/>
      <c r="Q523" s="1"/>
      <c r="R523" s="1"/>
      <c r="T523" s="1"/>
      <c r="U523" s="1"/>
      <c r="V523" s="1"/>
      <c r="W523" s="1"/>
      <c r="X523" s="1"/>
      <c r="Y523" s="1"/>
      <c r="Z523" s="1"/>
      <c r="AB523" s="1"/>
      <c r="AC523" s="1"/>
      <c r="AD523" s="1"/>
      <c r="AE523" s="1"/>
      <c r="AF523" s="1"/>
      <c r="AG523" s="1"/>
      <c r="AH523" s="1"/>
      <c r="AI523" s="1"/>
      <c r="AL523" s="1"/>
      <c r="AN523" s="1"/>
      <c r="AO523" s="1"/>
      <c r="AP523" s="1"/>
      <c r="AQ523" s="1"/>
      <c r="AR523" s="1"/>
      <c r="AS523" s="1"/>
      <c r="AT523" s="1"/>
      <c r="AU523" s="1"/>
      <c r="AV523" s="1"/>
    </row>
    <row r="524" spans="2:48" x14ac:dyDescent="0.3">
      <c r="B524" s="1" t="s">
        <v>1123</v>
      </c>
      <c r="H524" s="1" t="s">
        <v>738</v>
      </c>
      <c r="I524" s="1"/>
      <c r="J524" s="1"/>
      <c r="K524" s="1"/>
      <c r="L524" s="1"/>
      <c r="M524" s="1"/>
      <c r="N524" s="1"/>
      <c r="O524" s="1"/>
      <c r="P524" s="1"/>
      <c r="Q524" s="1"/>
      <c r="R524" s="1"/>
      <c r="T524" s="1"/>
      <c r="U524" s="1"/>
      <c r="V524" s="1"/>
      <c r="W524" s="1"/>
      <c r="X524" s="1"/>
      <c r="Y524" s="1"/>
      <c r="Z524" s="1"/>
      <c r="AB524" s="1"/>
      <c r="AC524" s="1"/>
      <c r="AD524" s="1"/>
      <c r="AE524" s="1"/>
      <c r="AF524" s="1"/>
      <c r="AG524" s="1"/>
      <c r="AH524" s="1"/>
      <c r="AI524" s="1"/>
      <c r="AL524" s="1"/>
      <c r="AN524" s="1"/>
      <c r="AO524" s="1"/>
      <c r="AP524" s="1"/>
      <c r="AQ524" s="1"/>
      <c r="AR524" s="1"/>
      <c r="AS524" s="1"/>
      <c r="AT524" s="1"/>
      <c r="AU524" s="1"/>
      <c r="AV524" s="1"/>
    </row>
    <row r="525" spans="2:48" x14ac:dyDescent="0.3">
      <c r="B525" s="1" t="s">
        <v>1124</v>
      </c>
      <c r="H525" s="1" t="s">
        <v>738</v>
      </c>
      <c r="I525" s="1"/>
      <c r="J525" s="1"/>
      <c r="K525" s="1"/>
      <c r="L525" s="1"/>
      <c r="M525" s="1"/>
      <c r="N525" s="1"/>
      <c r="O525" s="1"/>
      <c r="P525" s="1"/>
      <c r="Q525" s="1"/>
      <c r="R525" s="1"/>
      <c r="T525" s="1"/>
      <c r="U525" s="1"/>
      <c r="V525" s="1"/>
      <c r="W525" s="1"/>
      <c r="X525" s="1"/>
      <c r="Y525" s="1"/>
      <c r="Z525" s="1"/>
      <c r="AB525" s="1"/>
      <c r="AC525" s="1"/>
      <c r="AD525" s="1"/>
      <c r="AE525" s="1"/>
      <c r="AF525" s="1"/>
      <c r="AG525" s="1"/>
      <c r="AH525" s="1"/>
      <c r="AI525" s="1"/>
      <c r="AL525" s="1"/>
      <c r="AN525" s="1"/>
      <c r="AO525" s="1"/>
      <c r="AP525" s="1"/>
      <c r="AQ525" s="1"/>
      <c r="AR525" s="1"/>
      <c r="AS525" s="1"/>
      <c r="AT525" s="1"/>
      <c r="AU525" s="1"/>
      <c r="AV525" s="1"/>
    </row>
    <row r="526" spans="2:48" x14ac:dyDescent="0.3">
      <c r="B526" s="1" t="s">
        <v>1125</v>
      </c>
      <c r="H526" s="1" t="s">
        <v>738</v>
      </c>
      <c r="I526" s="1"/>
      <c r="J526" s="1"/>
      <c r="K526" s="1"/>
      <c r="L526" s="1"/>
      <c r="M526" s="1"/>
      <c r="N526" s="1"/>
      <c r="O526" s="1"/>
      <c r="P526" s="1"/>
      <c r="Q526" s="1"/>
      <c r="R526" s="1"/>
      <c r="T526" s="1"/>
      <c r="U526" s="1"/>
      <c r="V526" s="1"/>
      <c r="W526" s="1"/>
      <c r="X526" s="1"/>
      <c r="Y526" s="1"/>
      <c r="Z526" s="1"/>
      <c r="AB526" s="1"/>
      <c r="AC526" s="1"/>
      <c r="AD526" s="1"/>
      <c r="AE526" s="1"/>
      <c r="AF526" s="1"/>
      <c r="AG526" s="1"/>
      <c r="AH526" s="1"/>
      <c r="AI526" s="1"/>
      <c r="AL526" s="1"/>
      <c r="AN526" s="1"/>
      <c r="AO526" s="1"/>
      <c r="AP526" s="1"/>
      <c r="AQ526" s="1"/>
      <c r="AR526" s="1"/>
      <c r="AS526" s="1"/>
      <c r="AT526" s="1"/>
      <c r="AU526" s="1"/>
      <c r="AV526" s="1"/>
    </row>
    <row r="527" spans="2:48" x14ac:dyDescent="0.3">
      <c r="B527" s="1" t="s">
        <v>1126</v>
      </c>
      <c r="H527" s="1" t="s">
        <v>738</v>
      </c>
      <c r="I527" s="1"/>
      <c r="J527" s="1"/>
      <c r="K527" s="1"/>
      <c r="L527" s="1"/>
      <c r="M527" s="1"/>
      <c r="N527" s="1"/>
      <c r="O527" s="1"/>
      <c r="P527" s="1"/>
      <c r="Q527" s="1"/>
      <c r="R527" s="1"/>
      <c r="T527" s="1"/>
      <c r="U527" s="1"/>
      <c r="V527" s="1"/>
      <c r="W527" s="1"/>
      <c r="X527" s="1"/>
      <c r="Y527" s="1"/>
      <c r="Z527" s="1"/>
      <c r="AB527" s="1"/>
      <c r="AC527" s="1"/>
      <c r="AD527" s="1"/>
      <c r="AE527" s="1"/>
      <c r="AF527" s="1"/>
      <c r="AG527" s="1"/>
      <c r="AH527" s="1"/>
      <c r="AI527" s="1"/>
      <c r="AL527" s="1"/>
      <c r="AN527" s="1"/>
      <c r="AO527" s="1"/>
      <c r="AP527" s="1"/>
      <c r="AQ527" s="1"/>
      <c r="AR527" s="1"/>
      <c r="AS527" s="1"/>
      <c r="AT527" s="1"/>
      <c r="AU527" s="1"/>
      <c r="AV527" s="1"/>
    </row>
    <row r="528" spans="2:48" x14ac:dyDescent="0.3">
      <c r="B528" s="1" t="s">
        <v>1127</v>
      </c>
      <c r="H528" s="1" t="s">
        <v>738</v>
      </c>
      <c r="I528" s="1"/>
      <c r="J528" s="1"/>
      <c r="K528" s="1"/>
      <c r="L528" s="1"/>
      <c r="M528" s="1"/>
      <c r="N528" s="1"/>
      <c r="O528" s="1"/>
      <c r="P528" s="1"/>
      <c r="Q528" s="1"/>
      <c r="R528" s="1"/>
      <c r="T528" s="1"/>
      <c r="U528" s="1"/>
      <c r="V528" s="1"/>
      <c r="W528" s="1"/>
      <c r="X528" s="1"/>
      <c r="Y528" s="1"/>
      <c r="Z528" s="1"/>
      <c r="AB528" s="1"/>
      <c r="AC528" s="1"/>
      <c r="AD528" s="1"/>
      <c r="AE528" s="1"/>
      <c r="AF528" s="1"/>
      <c r="AG528" s="1"/>
      <c r="AH528" s="1"/>
      <c r="AI528" s="1"/>
      <c r="AL528" s="1"/>
      <c r="AN528" s="1"/>
      <c r="AO528" s="1"/>
      <c r="AP528" s="1"/>
      <c r="AQ528" s="1"/>
      <c r="AR528" s="1"/>
      <c r="AS528" s="1"/>
      <c r="AT528" s="1"/>
      <c r="AU528" s="1"/>
      <c r="AV528" s="1"/>
    </row>
    <row r="529" spans="2:48" x14ac:dyDescent="0.3">
      <c r="B529" s="1" t="s">
        <v>1128</v>
      </c>
      <c r="H529" s="1" t="s">
        <v>738</v>
      </c>
      <c r="I529" s="1"/>
      <c r="J529" s="1"/>
      <c r="K529" s="1"/>
      <c r="L529" s="1"/>
      <c r="M529" s="1"/>
      <c r="N529" s="1"/>
      <c r="O529" s="1"/>
      <c r="P529" s="1"/>
      <c r="Q529" s="1"/>
      <c r="R529" s="1"/>
      <c r="T529" s="1"/>
      <c r="U529" s="1"/>
      <c r="V529" s="1"/>
      <c r="W529" s="1"/>
      <c r="X529" s="1"/>
      <c r="Y529" s="1"/>
      <c r="Z529" s="1"/>
      <c r="AB529" s="1"/>
      <c r="AC529" s="1"/>
      <c r="AD529" s="1"/>
      <c r="AE529" s="1"/>
      <c r="AF529" s="1"/>
      <c r="AG529" s="1"/>
      <c r="AH529" s="1"/>
      <c r="AI529" s="1"/>
      <c r="AL529" s="1"/>
      <c r="AN529" s="1"/>
      <c r="AO529" s="1"/>
      <c r="AP529" s="1"/>
      <c r="AQ529" s="1"/>
      <c r="AR529" s="1"/>
      <c r="AS529" s="1"/>
      <c r="AT529" s="1"/>
      <c r="AU529" s="1"/>
      <c r="AV529" s="1"/>
    </row>
    <row r="530" spans="2:48" x14ac:dyDescent="0.3">
      <c r="B530" s="1" t="s">
        <v>1129</v>
      </c>
      <c r="H530" s="1" t="s">
        <v>738</v>
      </c>
      <c r="I530" s="1"/>
      <c r="J530" s="1"/>
      <c r="K530" s="1"/>
      <c r="L530" s="1"/>
      <c r="M530" s="1"/>
      <c r="N530" s="1"/>
      <c r="O530" s="1"/>
      <c r="P530" s="1"/>
      <c r="Q530" s="1"/>
      <c r="R530" s="1"/>
      <c r="T530" s="1"/>
      <c r="U530" s="1"/>
      <c r="V530" s="1"/>
      <c r="W530" s="1"/>
      <c r="X530" s="1"/>
      <c r="Y530" s="1"/>
      <c r="Z530" s="1"/>
      <c r="AB530" s="1"/>
      <c r="AC530" s="1"/>
      <c r="AD530" s="1"/>
      <c r="AE530" s="1"/>
      <c r="AF530" s="1"/>
      <c r="AG530" s="1"/>
      <c r="AH530" s="1"/>
      <c r="AI530" s="1"/>
      <c r="AL530" s="1"/>
      <c r="AN530" s="1"/>
      <c r="AO530" s="1"/>
      <c r="AP530" s="1"/>
      <c r="AQ530" s="1"/>
      <c r="AR530" s="1"/>
      <c r="AS530" s="1"/>
      <c r="AT530" s="1"/>
      <c r="AU530" s="1"/>
      <c r="AV530" s="1"/>
    </row>
    <row r="531" spans="2:48" x14ac:dyDescent="0.3">
      <c r="B531" s="1" t="s">
        <v>1130</v>
      </c>
      <c r="H531" s="1" t="s">
        <v>738</v>
      </c>
      <c r="I531" s="1"/>
      <c r="J531" s="1"/>
      <c r="K531" s="1"/>
      <c r="L531" s="1"/>
      <c r="M531" s="1"/>
      <c r="N531" s="1"/>
      <c r="O531" s="1"/>
      <c r="P531" s="1"/>
      <c r="Q531" s="1"/>
      <c r="R531" s="1"/>
      <c r="T531" s="1"/>
      <c r="U531" s="1"/>
      <c r="V531" s="1"/>
      <c r="W531" s="1"/>
      <c r="X531" s="1"/>
      <c r="Y531" s="1"/>
      <c r="Z531" s="1"/>
      <c r="AB531" s="1"/>
      <c r="AC531" s="1"/>
      <c r="AD531" s="1"/>
      <c r="AE531" s="1"/>
      <c r="AF531" s="1"/>
      <c r="AG531" s="1"/>
      <c r="AH531" s="1"/>
      <c r="AI531" s="1"/>
      <c r="AL531" s="1"/>
      <c r="AN531" s="1"/>
      <c r="AO531" s="1"/>
      <c r="AP531" s="1"/>
      <c r="AQ531" s="1"/>
      <c r="AR531" s="1"/>
      <c r="AS531" s="1"/>
      <c r="AT531" s="1"/>
      <c r="AU531" s="1"/>
      <c r="AV531" s="1"/>
    </row>
    <row r="532" spans="2:48" x14ac:dyDescent="0.3">
      <c r="B532" s="1" t="s">
        <v>1131</v>
      </c>
      <c r="H532" s="1" t="s">
        <v>738</v>
      </c>
      <c r="I532" s="1"/>
      <c r="J532" s="1"/>
      <c r="K532" s="1"/>
      <c r="L532" s="1"/>
      <c r="M532" s="1"/>
      <c r="N532" s="1"/>
      <c r="O532" s="1"/>
      <c r="P532" s="1"/>
      <c r="Q532" s="1"/>
      <c r="R532" s="1"/>
      <c r="T532" s="1"/>
      <c r="U532" s="1"/>
      <c r="V532" s="1"/>
      <c r="W532" s="1"/>
      <c r="X532" s="1"/>
      <c r="Y532" s="1"/>
      <c r="Z532" s="1"/>
      <c r="AB532" s="1"/>
      <c r="AC532" s="1"/>
      <c r="AD532" s="1"/>
      <c r="AE532" s="1"/>
      <c r="AF532" s="1"/>
      <c r="AG532" s="1"/>
      <c r="AH532" s="1"/>
      <c r="AI532" s="1"/>
      <c r="AL532" s="1"/>
      <c r="AN532" s="1"/>
      <c r="AO532" s="1"/>
      <c r="AP532" s="1"/>
      <c r="AQ532" s="1"/>
      <c r="AR532" s="1"/>
      <c r="AS532" s="1"/>
      <c r="AT532" s="1"/>
      <c r="AU532" s="1"/>
      <c r="AV532" s="1"/>
    </row>
    <row r="533" spans="2:48" x14ac:dyDescent="0.3">
      <c r="B533" s="1" t="s">
        <v>1132</v>
      </c>
      <c r="H533" s="1" t="s">
        <v>738</v>
      </c>
      <c r="I533" s="1"/>
      <c r="J533" s="1"/>
      <c r="K533" s="1"/>
      <c r="L533" s="1"/>
      <c r="M533" s="1"/>
      <c r="N533" s="1"/>
      <c r="O533" s="1"/>
      <c r="P533" s="1"/>
      <c r="Q533" s="1"/>
      <c r="R533" s="1"/>
      <c r="T533" s="1"/>
      <c r="U533" s="1"/>
      <c r="V533" s="1"/>
      <c r="W533" s="1"/>
      <c r="X533" s="1"/>
      <c r="Y533" s="1"/>
      <c r="Z533" s="1"/>
      <c r="AB533" s="1"/>
      <c r="AC533" s="1"/>
      <c r="AD533" s="1"/>
      <c r="AE533" s="1"/>
      <c r="AF533" s="1"/>
      <c r="AG533" s="1"/>
      <c r="AH533" s="1"/>
      <c r="AI533" s="1"/>
      <c r="AL533" s="1"/>
      <c r="AN533" s="1"/>
      <c r="AO533" s="1"/>
      <c r="AP533" s="1"/>
      <c r="AQ533" s="1"/>
      <c r="AR533" s="1"/>
      <c r="AS533" s="1"/>
      <c r="AT533" s="1"/>
      <c r="AU533" s="1"/>
      <c r="AV533" s="1"/>
    </row>
    <row r="534" spans="2:48" x14ac:dyDescent="0.3">
      <c r="B534" s="1" t="s">
        <v>1133</v>
      </c>
      <c r="H534" s="1" t="s">
        <v>738</v>
      </c>
      <c r="I534" s="1"/>
      <c r="J534" s="1"/>
      <c r="K534" s="1"/>
      <c r="L534" s="1"/>
      <c r="M534" s="1"/>
      <c r="N534" s="1"/>
      <c r="O534" s="1"/>
      <c r="P534" s="1"/>
      <c r="Q534" s="1"/>
      <c r="R534" s="1"/>
      <c r="T534" s="1"/>
      <c r="U534" s="1"/>
      <c r="V534" s="1"/>
      <c r="W534" s="1"/>
      <c r="X534" s="1"/>
      <c r="Y534" s="1"/>
      <c r="Z534" s="1"/>
      <c r="AB534" s="1"/>
      <c r="AC534" s="1"/>
      <c r="AD534" s="1"/>
      <c r="AE534" s="1"/>
      <c r="AF534" s="1"/>
      <c r="AG534" s="1"/>
      <c r="AH534" s="1"/>
      <c r="AI534" s="1"/>
      <c r="AL534" s="1"/>
      <c r="AN534" s="1"/>
      <c r="AO534" s="1"/>
      <c r="AP534" s="1"/>
      <c r="AQ534" s="1"/>
      <c r="AR534" s="1"/>
      <c r="AS534" s="1"/>
      <c r="AT534" s="1"/>
      <c r="AU534" s="1"/>
      <c r="AV534" s="1"/>
    </row>
    <row r="535" spans="2:48" x14ac:dyDescent="0.3">
      <c r="B535" s="1" t="s">
        <v>1134</v>
      </c>
      <c r="H535" s="1" t="s">
        <v>738</v>
      </c>
      <c r="I535" s="1"/>
      <c r="J535" s="1"/>
      <c r="K535" s="1"/>
      <c r="L535" s="1"/>
      <c r="M535" s="1"/>
      <c r="N535" s="1"/>
      <c r="O535" s="1"/>
      <c r="P535" s="1"/>
      <c r="Q535" s="1"/>
      <c r="R535" s="1"/>
      <c r="T535" s="1"/>
      <c r="U535" s="1"/>
      <c r="V535" s="1"/>
      <c r="W535" s="1"/>
      <c r="X535" s="1"/>
      <c r="Y535" s="1"/>
      <c r="Z535" s="1"/>
      <c r="AB535" s="1"/>
      <c r="AC535" s="1"/>
      <c r="AD535" s="1"/>
      <c r="AE535" s="1"/>
      <c r="AF535" s="1"/>
      <c r="AG535" s="1"/>
      <c r="AH535" s="1"/>
      <c r="AI535" s="1"/>
      <c r="AL535" s="1"/>
      <c r="AN535" s="1"/>
      <c r="AO535" s="1"/>
      <c r="AP535" s="1"/>
      <c r="AQ535" s="1"/>
      <c r="AR535" s="1"/>
      <c r="AS535" s="1"/>
      <c r="AT535" s="1"/>
      <c r="AU535" s="1"/>
      <c r="AV535" s="1"/>
    </row>
    <row r="536" spans="2:48" x14ac:dyDescent="0.3">
      <c r="B536" s="1" t="s">
        <v>1135</v>
      </c>
      <c r="H536" s="1" t="s">
        <v>738</v>
      </c>
      <c r="I536" s="1"/>
      <c r="J536" s="1"/>
      <c r="K536" s="1"/>
      <c r="L536" s="1"/>
      <c r="M536" s="1"/>
      <c r="N536" s="1"/>
      <c r="O536" s="1"/>
      <c r="P536" s="1"/>
      <c r="Q536" s="1"/>
      <c r="R536" s="1"/>
      <c r="T536" s="1"/>
      <c r="U536" s="1"/>
      <c r="V536" s="1"/>
      <c r="W536" s="1"/>
      <c r="X536" s="1"/>
      <c r="Y536" s="1"/>
      <c r="Z536" s="1"/>
      <c r="AB536" s="1"/>
      <c r="AC536" s="1"/>
      <c r="AD536" s="1"/>
      <c r="AE536" s="1"/>
      <c r="AF536" s="1"/>
      <c r="AG536" s="1"/>
      <c r="AH536" s="1"/>
      <c r="AI536" s="1"/>
      <c r="AL536" s="1"/>
      <c r="AN536" s="1"/>
      <c r="AO536" s="1"/>
      <c r="AP536" s="1"/>
      <c r="AQ536" s="1"/>
      <c r="AR536" s="1"/>
      <c r="AS536" s="1"/>
      <c r="AT536" s="1"/>
      <c r="AU536" s="1"/>
      <c r="AV536" s="1"/>
    </row>
    <row r="537" spans="2:48" x14ac:dyDescent="0.3">
      <c r="B537" s="1" t="s">
        <v>1136</v>
      </c>
      <c r="H537" s="1" t="s">
        <v>738</v>
      </c>
      <c r="I537" s="1"/>
      <c r="J537" s="1"/>
      <c r="K537" s="1"/>
      <c r="L537" s="1"/>
      <c r="M537" s="1"/>
      <c r="N537" s="1"/>
      <c r="O537" s="1"/>
      <c r="P537" s="1"/>
      <c r="Q537" s="1"/>
      <c r="R537" s="1"/>
      <c r="T537" s="1"/>
      <c r="U537" s="1"/>
      <c r="V537" s="1"/>
      <c r="W537" s="1"/>
      <c r="X537" s="1"/>
      <c r="Y537" s="1"/>
      <c r="Z537" s="1"/>
      <c r="AB537" s="1"/>
      <c r="AC537" s="1"/>
      <c r="AD537" s="1"/>
      <c r="AE537" s="1"/>
      <c r="AF537" s="1"/>
      <c r="AG537" s="1"/>
      <c r="AH537" s="1"/>
      <c r="AI537" s="1"/>
      <c r="AL537" s="1"/>
      <c r="AN537" s="1"/>
      <c r="AO537" s="1"/>
      <c r="AP537" s="1"/>
      <c r="AQ537" s="1"/>
      <c r="AR537" s="1"/>
      <c r="AS537" s="1"/>
      <c r="AT537" s="1"/>
      <c r="AU537" s="1"/>
      <c r="AV537" s="1"/>
    </row>
    <row r="538" spans="2:48" x14ac:dyDescent="0.3">
      <c r="B538" s="1" t="s">
        <v>1137</v>
      </c>
      <c r="H538" s="1" t="s">
        <v>738</v>
      </c>
      <c r="I538" s="1"/>
      <c r="J538" s="1"/>
      <c r="K538" s="1"/>
      <c r="L538" s="1"/>
      <c r="M538" s="1"/>
      <c r="N538" s="1"/>
      <c r="O538" s="1"/>
      <c r="P538" s="1"/>
      <c r="Q538" s="1"/>
      <c r="R538" s="1"/>
      <c r="T538" s="1"/>
      <c r="U538" s="1"/>
      <c r="V538" s="1"/>
      <c r="W538" s="1"/>
      <c r="X538" s="1"/>
      <c r="Y538" s="1"/>
      <c r="Z538" s="1"/>
      <c r="AB538" s="1"/>
      <c r="AC538" s="1"/>
      <c r="AD538" s="1"/>
      <c r="AE538" s="1"/>
      <c r="AF538" s="1"/>
      <c r="AG538" s="1"/>
      <c r="AH538" s="1"/>
      <c r="AI538" s="1"/>
      <c r="AL538" s="1"/>
      <c r="AN538" s="1"/>
      <c r="AO538" s="1"/>
      <c r="AP538" s="1"/>
      <c r="AQ538" s="1"/>
      <c r="AR538" s="1"/>
      <c r="AS538" s="1"/>
      <c r="AT538" s="1"/>
      <c r="AU538" s="1"/>
      <c r="AV538" s="1"/>
    </row>
    <row r="539" spans="2:48" x14ac:dyDescent="0.3">
      <c r="B539" s="1" t="s">
        <v>1138</v>
      </c>
      <c r="H539" s="1" t="s">
        <v>738</v>
      </c>
      <c r="I539" s="1"/>
      <c r="J539" s="1"/>
      <c r="K539" s="1"/>
      <c r="L539" s="1"/>
      <c r="M539" s="1"/>
      <c r="N539" s="1"/>
      <c r="O539" s="1"/>
      <c r="P539" s="1"/>
      <c r="Q539" s="1"/>
      <c r="R539" s="1"/>
      <c r="T539" s="1"/>
      <c r="U539" s="1"/>
      <c r="V539" s="1"/>
      <c r="W539" s="1"/>
      <c r="X539" s="1"/>
      <c r="Y539" s="1"/>
      <c r="Z539" s="1"/>
      <c r="AB539" s="1"/>
      <c r="AC539" s="1"/>
      <c r="AD539" s="1"/>
      <c r="AE539" s="1"/>
      <c r="AF539" s="1"/>
      <c r="AG539" s="1"/>
      <c r="AH539" s="1"/>
      <c r="AI539" s="1"/>
      <c r="AL539" s="1"/>
      <c r="AN539" s="1"/>
      <c r="AO539" s="1"/>
      <c r="AP539" s="1"/>
      <c r="AQ539" s="1"/>
      <c r="AR539" s="1"/>
      <c r="AS539" s="1"/>
      <c r="AT539" s="1"/>
      <c r="AU539" s="1"/>
      <c r="AV539" s="1"/>
    </row>
    <row r="540" spans="2:48" x14ac:dyDescent="0.3">
      <c r="B540" s="1" t="s">
        <v>1139</v>
      </c>
      <c r="H540" s="1" t="s">
        <v>738</v>
      </c>
      <c r="I540" s="1"/>
      <c r="J540" s="1"/>
      <c r="K540" s="1"/>
      <c r="L540" s="1"/>
      <c r="M540" s="1"/>
      <c r="N540" s="1"/>
      <c r="O540" s="1"/>
      <c r="P540" s="1"/>
      <c r="Q540" s="1"/>
      <c r="R540" s="1"/>
      <c r="T540" s="1"/>
      <c r="U540" s="1"/>
      <c r="V540" s="1"/>
      <c r="W540" s="1"/>
      <c r="X540" s="1"/>
      <c r="Y540" s="1"/>
      <c r="Z540" s="1"/>
      <c r="AB540" s="1"/>
      <c r="AC540" s="1"/>
      <c r="AD540" s="1"/>
      <c r="AE540" s="1"/>
      <c r="AF540" s="1"/>
      <c r="AG540" s="1"/>
      <c r="AH540" s="1"/>
      <c r="AI540" s="1"/>
      <c r="AL540" s="1"/>
      <c r="AN540" s="1"/>
      <c r="AO540" s="1"/>
      <c r="AP540" s="1"/>
      <c r="AQ540" s="1"/>
      <c r="AR540" s="1"/>
      <c r="AS540" s="1"/>
      <c r="AT540" s="1"/>
      <c r="AU540" s="1"/>
      <c r="AV540" s="1"/>
    </row>
    <row r="541" spans="2:48" x14ac:dyDescent="0.3">
      <c r="B541" s="1" t="s">
        <v>1140</v>
      </c>
      <c r="H541" s="1" t="s">
        <v>738</v>
      </c>
      <c r="I541" s="1"/>
      <c r="J541" s="1"/>
      <c r="K541" s="1"/>
      <c r="L541" s="1"/>
      <c r="M541" s="1"/>
      <c r="N541" s="1"/>
      <c r="O541" s="1"/>
      <c r="P541" s="1"/>
      <c r="Q541" s="1"/>
      <c r="R541" s="1"/>
      <c r="T541" s="1"/>
      <c r="U541" s="1"/>
      <c r="V541" s="1"/>
      <c r="W541" s="1"/>
      <c r="X541" s="1"/>
      <c r="Y541" s="1"/>
      <c r="Z541" s="1"/>
      <c r="AB541" s="1"/>
      <c r="AC541" s="1"/>
      <c r="AD541" s="1"/>
      <c r="AE541" s="1"/>
      <c r="AF541" s="1"/>
      <c r="AG541" s="1"/>
      <c r="AH541" s="1"/>
      <c r="AI541" s="1"/>
      <c r="AL541" s="1"/>
      <c r="AN541" s="1"/>
      <c r="AO541" s="1"/>
      <c r="AP541" s="1"/>
      <c r="AQ541" s="1"/>
      <c r="AR541" s="1"/>
      <c r="AS541" s="1"/>
      <c r="AT541" s="1"/>
      <c r="AU541" s="1"/>
      <c r="AV541" s="1"/>
    </row>
    <row r="542" spans="2:48" x14ac:dyDescent="0.3">
      <c r="B542" s="1" t="s">
        <v>1141</v>
      </c>
      <c r="H542" s="1" t="s">
        <v>738</v>
      </c>
      <c r="I542" s="1"/>
      <c r="J542" s="1"/>
      <c r="K542" s="1"/>
      <c r="L542" s="1"/>
      <c r="M542" s="1"/>
      <c r="N542" s="1"/>
      <c r="O542" s="1"/>
      <c r="P542" s="1"/>
      <c r="Q542" s="1"/>
      <c r="R542" s="1"/>
      <c r="T542" s="1"/>
      <c r="U542" s="1"/>
      <c r="V542" s="1"/>
      <c r="W542" s="1"/>
      <c r="X542" s="1"/>
      <c r="Y542" s="1"/>
      <c r="Z542" s="1"/>
      <c r="AB542" s="1"/>
      <c r="AC542" s="1"/>
      <c r="AD542" s="1"/>
      <c r="AE542" s="1"/>
      <c r="AF542" s="1"/>
      <c r="AG542" s="1"/>
      <c r="AH542" s="1"/>
      <c r="AI542" s="1"/>
      <c r="AL542" s="1"/>
      <c r="AN542" s="1"/>
      <c r="AO542" s="1"/>
      <c r="AP542" s="1"/>
      <c r="AQ542" s="1"/>
      <c r="AR542" s="1"/>
      <c r="AS542" s="1"/>
      <c r="AT542" s="1"/>
      <c r="AU542" s="1"/>
      <c r="AV542" s="1"/>
    </row>
    <row r="543" spans="2:48" x14ac:dyDescent="0.3">
      <c r="B543" s="1" t="s">
        <v>1142</v>
      </c>
      <c r="H543" s="1" t="s">
        <v>738</v>
      </c>
      <c r="I543" s="1"/>
      <c r="J543" s="1"/>
      <c r="K543" s="1"/>
      <c r="L543" s="1"/>
      <c r="M543" s="1"/>
      <c r="N543" s="1"/>
      <c r="O543" s="1"/>
      <c r="P543" s="1"/>
      <c r="Q543" s="1"/>
      <c r="R543" s="1"/>
      <c r="T543" s="1"/>
      <c r="U543" s="1"/>
      <c r="V543" s="1"/>
      <c r="W543" s="1"/>
      <c r="X543" s="1"/>
      <c r="Y543" s="1"/>
      <c r="Z543" s="1"/>
      <c r="AB543" s="1"/>
      <c r="AC543" s="1"/>
      <c r="AD543" s="1"/>
      <c r="AE543" s="1"/>
      <c r="AF543" s="1"/>
      <c r="AG543" s="1"/>
      <c r="AH543" s="1"/>
      <c r="AI543" s="1"/>
      <c r="AL543" s="1"/>
      <c r="AN543" s="1"/>
      <c r="AO543" s="1"/>
      <c r="AP543" s="1"/>
      <c r="AQ543" s="1"/>
      <c r="AR543" s="1"/>
      <c r="AS543" s="1"/>
      <c r="AT543" s="1"/>
      <c r="AU543" s="1"/>
      <c r="AV543" s="1"/>
    </row>
    <row r="544" spans="2:48" x14ac:dyDescent="0.3">
      <c r="B544" s="1" t="s">
        <v>1143</v>
      </c>
      <c r="H544" s="1" t="s">
        <v>738</v>
      </c>
      <c r="I544" s="1"/>
      <c r="J544" s="1"/>
      <c r="K544" s="1"/>
      <c r="L544" s="1"/>
      <c r="M544" s="1"/>
      <c r="N544" s="1"/>
      <c r="O544" s="1"/>
      <c r="P544" s="1"/>
      <c r="Q544" s="1"/>
      <c r="R544" s="1"/>
      <c r="T544" s="1"/>
      <c r="U544" s="1"/>
      <c r="V544" s="1"/>
      <c r="W544" s="1"/>
      <c r="X544" s="1"/>
      <c r="Y544" s="1"/>
      <c r="Z544" s="1"/>
      <c r="AB544" s="1"/>
      <c r="AC544" s="1"/>
      <c r="AD544" s="1"/>
      <c r="AE544" s="1"/>
      <c r="AF544" s="1"/>
      <c r="AG544" s="1"/>
      <c r="AH544" s="1"/>
      <c r="AI544" s="1"/>
      <c r="AL544" s="1"/>
      <c r="AN544" s="1"/>
      <c r="AO544" s="1"/>
      <c r="AP544" s="1"/>
      <c r="AQ544" s="1"/>
      <c r="AR544" s="1"/>
      <c r="AS544" s="1"/>
      <c r="AT544" s="1"/>
      <c r="AU544" s="1"/>
      <c r="AV544" s="1"/>
    </row>
    <row r="545" spans="2:48" x14ac:dyDescent="0.3">
      <c r="B545" s="1" t="s">
        <v>1144</v>
      </c>
      <c r="H545" s="1" t="s">
        <v>738</v>
      </c>
      <c r="I545" s="1"/>
      <c r="J545" s="1"/>
      <c r="K545" s="1"/>
      <c r="L545" s="1"/>
      <c r="M545" s="1"/>
      <c r="N545" s="1"/>
      <c r="O545" s="1"/>
      <c r="P545" s="1"/>
      <c r="Q545" s="1"/>
      <c r="R545" s="1"/>
      <c r="T545" s="1"/>
      <c r="U545" s="1"/>
      <c r="V545" s="1"/>
      <c r="W545" s="1"/>
      <c r="X545" s="1"/>
      <c r="Y545" s="1"/>
      <c r="Z545" s="1"/>
      <c r="AB545" s="1"/>
      <c r="AC545" s="1"/>
      <c r="AD545" s="1"/>
      <c r="AE545" s="1"/>
      <c r="AF545" s="1"/>
      <c r="AG545" s="1"/>
      <c r="AH545" s="1"/>
      <c r="AI545" s="1"/>
      <c r="AL545" s="1"/>
      <c r="AN545" s="1"/>
      <c r="AO545" s="1"/>
      <c r="AP545" s="1"/>
      <c r="AQ545" s="1"/>
      <c r="AR545" s="1"/>
      <c r="AS545" s="1"/>
      <c r="AT545" s="1"/>
      <c r="AU545" s="1"/>
      <c r="AV545" s="1"/>
    </row>
    <row r="546" spans="2:48" x14ac:dyDescent="0.3">
      <c r="B546" s="1" t="s">
        <v>1145</v>
      </c>
      <c r="H546" s="1" t="s">
        <v>738</v>
      </c>
      <c r="I546" s="1"/>
      <c r="J546" s="1"/>
      <c r="K546" s="1"/>
      <c r="L546" s="1"/>
      <c r="M546" s="1"/>
      <c r="N546" s="1"/>
      <c r="O546" s="1"/>
      <c r="P546" s="1"/>
      <c r="Q546" s="1"/>
      <c r="R546" s="1"/>
      <c r="T546" s="1"/>
      <c r="U546" s="1"/>
      <c r="V546" s="1"/>
      <c r="W546" s="1"/>
      <c r="X546" s="1"/>
      <c r="Y546" s="1"/>
      <c r="Z546" s="1"/>
      <c r="AB546" s="1"/>
      <c r="AC546" s="1"/>
      <c r="AD546" s="1"/>
      <c r="AE546" s="1"/>
      <c r="AF546" s="1"/>
      <c r="AG546" s="1"/>
      <c r="AH546" s="1"/>
      <c r="AI546" s="1"/>
      <c r="AL546" s="1"/>
      <c r="AN546" s="1"/>
      <c r="AO546" s="1"/>
      <c r="AP546" s="1"/>
      <c r="AQ546" s="1"/>
      <c r="AR546" s="1"/>
      <c r="AS546" s="1"/>
      <c r="AT546" s="1"/>
      <c r="AU546" s="1"/>
      <c r="AV546" s="1"/>
    </row>
    <row r="547" spans="2:48" x14ac:dyDescent="0.3">
      <c r="B547" s="1" t="s">
        <v>1146</v>
      </c>
      <c r="H547" s="1" t="s">
        <v>738</v>
      </c>
      <c r="I547" s="1"/>
      <c r="J547" s="1"/>
      <c r="K547" s="1"/>
      <c r="L547" s="1"/>
      <c r="M547" s="1"/>
      <c r="N547" s="1"/>
      <c r="O547" s="1"/>
      <c r="P547" s="1"/>
      <c r="Q547" s="1"/>
      <c r="R547" s="1"/>
      <c r="T547" s="1"/>
      <c r="U547" s="1"/>
      <c r="V547" s="1"/>
      <c r="W547" s="1"/>
      <c r="X547" s="1"/>
      <c r="Y547" s="1"/>
      <c r="Z547" s="1"/>
      <c r="AB547" s="1"/>
      <c r="AC547" s="1"/>
      <c r="AD547" s="1"/>
      <c r="AE547" s="1"/>
      <c r="AF547" s="1"/>
      <c r="AG547" s="1"/>
      <c r="AH547" s="1"/>
      <c r="AI547" s="1"/>
      <c r="AL547" s="1"/>
      <c r="AN547" s="1"/>
      <c r="AO547" s="1"/>
      <c r="AP547" s="1"/>
      <c r="AQ547" s="1"/>
      <c r="AR547" s="1"/>
      <c r="AS547" s="1"/>
      <c r="AT547" s="1"/>
      <c r="AU547" s="1"/>
      <c r="AV547" s="1"/>
    </row>
    <row r="548" spans="2:48" x14ac:dyDescent="0.3">
      <c r="B548" s="1" t="s">
        <v>1147</v>
      </c>
      <c r="H548" s="1" t="s">
        <v>738</v>
      </c>
      <c r="I548" s="1"/>
      <c r="J548" s="1"/>
      <c r="K548" s="1"/>
      <c r="L548" s="1"/>
      <c r="M548" s="1"/>
      <c r="N548" s="1"/>
      <c r="O548" s="1"/>
      <c r="P548" s="1"/>
      <c r="Q548" s="1"/>
      <c r="R548" s="1"/>
      <c r="T548" s="1"/>
      <c r="U548" s="1"/>
      <c r="V548" s="1"/>
      <c r="W548" s="1"/>
      <c r="X548" s="1"/>
      <c r="Y548" s="1"/>
      <c r="Z548" s="1"/>
      <c r="AB548" s="1"/>
      <c r="AC548" s="1"/>
      <c r="AD548" s="1"/>
      <c r="AE548" s="1"/>
      <c r="AF548" s="1"/>
      <c r="AG548" s="1"/>
      <c r="AH548" s="1"/>
      <c r="AI548" s="1"/>
      <c r="AL548" s="1"/>
      <c r="AN548" s="1"/>
      <c r="AO548" s="1"/>
      <c r="AP548" s="1"/>
      <c r="AQ548" s="1"/>
      <c r="AR548" s="1"/>
      <c r="AS548" s="1"/>
      <c r="AT548" s="1"/>
      <c r="AU548" s="1"/>
      <c r="AV548" s="1"/>
    </row>
    <row r="549" spans="2:48" x14ac:dyDescent="0.3">
      <c r="B549" s="1" t="s">
        <v>1148</v>
      </c>
      <c r="H549" s="1" t="s">
        <v>738</v>
      </c>
      <c r="I549" s="1"/>
      <c r="J549" s="1"/>
      <c r="K549" s="1"/>
      <c r="L549" s="1"/>
      <c r="M549" s="1"/>
      <c r="N549" s="1"/>
      <c r="O549" s="1"/>
      <c r="P549" s="1"/>
      <c r="Q549" s="1"/>
      <c r="R549" s="1"/>
      <c r="T549" s="1"/>
      <c r="U549" s="1"/>
      <c r="V549" s="1"/>
      <c r="W549" s="1"/>
      <c r="X549" s="1"/>
      <c r="Y549" s="1"/>
      <c r="Z549" s="1"/>
      <c r="AB549" s="1"/>
      <c r="AC549" s="1"/>
      <c r="AD549" s="1"/>
      <c r="AE549" s="1"/>
      <c r="AF549" s="1"/>
      <c r="AG549" s="1"/>
      <c r="AH549" s="1"/>
      <c r="AI549" s="1"/>
      <c r="AL549" s="1"/>
      <c r="AN549" s="1"/>
      <c r="AO549" s="1"/>
      <c r="AP549" s="1"/>
      <c r="AQ549" s="1"/>
      <c r="AR549" s="1"/>
      <c r="AS549" s="1"/>
      <c r="AT549" s="1"/>
      <c r="AU549" s="1"/>
      <c r="AV549" s="1"/>
    </row>
    <row r="550" spans="2:48" x14ac:dyDescent="0.3">
      <c r="B550" s="1" t="s">
        <v>1149</v>
      </c>
      <c r="H550" s="1" t="s">
        <v>738</v>
      </c>
      <c r="I550" s="1"/>
      <c r="J550" s="1"/>
      <c r="K550" s="1"/>
      <c r="L550" s="1"/>
      <c r="M550" s="1"/>
      <c r="N550" s="1"/>
      <c r="O550" s="1"/>
      <c r="P550" s="1"/>
      <c r="Q550" s="1"/>
      <c r="R550" s="1"/>
      <c r="T550" s="1"/>
      <c r="U550" s="1"/>
      <c r="V550" s="1"/>
      <c r="W550" s="1"/>
      <c r="X550" s="1"/>
      <c r="Y550" s="1"/>
      <c r="Z550" s="1"/>
      <c r="AB550" s="1"/>
      <c r="AC550" s="1"/>
      <c r="AD550" s="1"/>
      <c r="AE550" s="1"/>
      <c r="AF550" s="1"/>
      <c r="AG550" s="1"/>
      <c r="AH550" s="1"/>
      <c r="AI550" s="1"/>
      <c r="AL550" s="1"/>
      <c r="AN550" s="1"/>
      <c r="AO550" s="1"/>
      <c r="AP550" s="1"/>
      <c r="AQ550" s="1"/>
      <c r="AR550" s="1"/>
      <c r="AS550" s="1"/>
      <c r="AT550" s="1"/>
      <c r="AU550" s="1"/>
      <c r="AV550" s="1"/>
    </row>
    <row r="551" spans="2:48" x14ac:dyDescent="0.3">
      <c r="B551" s="1" t="s">
        <v>1150</v>
      </c>
      <c r="H551" s="1" t="s">
        <v>738</v>
      </c>
      <c r="I551" s="1"/>
      <c r="J551" s="1"/>
      <c r="K551" s="1"/>
      <c r="L551" s="1"/>
      <c r="M551" s="1"/>
      <c r="N551" s="1"/>
      <c r="O551" s="1"/>
      <c r="P551" s="1"/>
      <c r="Q551" s="1"/>
      <c r="R551" s="1"/>
      <c r="T551" s="1"/>
      <c r="U551" s="1"/>
      <c r="V551" s="1"/>
      <c r="W551" s="1"/>
      <c r="X551" s="1"/>
      <c r="Y551" s="1"/>
      <c r="Z551" s="1"/>
      <c r="AB551" s="1"/>
      <c r="AC551" s="1"/>
      <c r="AD551" s="1"/>
      <c r="AE551" s="1"/>
      <c r="AF551" s="1"/>
      <c r="AG551" s="1"/>
      <c r="AH551" s="1"/>
      <c r="AI551" s="1"/>
      <c r="AL551" s="1"/>
      <c r="AN551" s="1"/>
      <c r="AO551" s="1"/>
      <c r="AP551" s="1"/>
      <c r="AQ551" s="1"/>
      <c r="AR551" s="1"/>
      <c r="AS551" s="1"/>
      <c r="AT551" s="1"/>
      <c r="AU551" s="1"/>
      <c r="AV551" s="1"/>
    </row>
    <row r="552" spans="2:48" x14ac:dyDescent="0.3">
      <c r="B552" s="1" t="s">
        <v>1151</v>
      </c>
      <c r="H552" s="1" t="s">
        <v>738</v>
      </c>
      <c r="I552" s="1"/>
      <c r="J552" s="1"/>
      <c r="K552" s="1"/>
      <c r="L552" s="1"/>
      <c r="M552" s="1"/>
      <c r="N552" s="1"/>
      <c r="O552" s="1"/>
      <c r="P552" s="1"/>
      <c r="Q552" s="1"/>
      <c r="R552" s="1"/>
      <c r="T552" s="1"/>
      <c r="U552" s="1"/>
      <c r="V552" s="1"/>
      <c r="W552" s="1"/>
      <c r="X552" s="1"/>
      <c r="Y552" s="1"/>
      <c r="Z552" s="1"/>
      <c r="AB552" s="1"/>
      <c r="AC552" s="1"/>
      <c r="AD552" s="1"/>
      <c r="AE552" s="1"/>
      <c r="AF552" s="1"/>
      <c r="AG552" s="1"/>
      <c r="AH552" s="1"/>
      <c r="AI552" s="1"/>
      <c r="AL552" s="1"/>
      <c r="AN552" s="1"/>
      <c r="AO552" s="1"/>
      <c r="AP552" s="1"/>
      <c r="AQ552" s="1"/>
      <c r="AR552" s="1"/>
      <c r="AS552" s="1"/>
      <c r="AT552" s="1"/>
      <c r="AU552" s="1"/>
      <c r="AV552" s="1"/>
    </row>
    <row r="553" spans="2:48" x14ac:dyDescent="0.3">
      <c r="B553" s="1" t="s">
        <v>1152</v>
      </c>
      <c r="H553" s="1" t="s">
        <v>738</v>
      </c>
      <c r="I553" s="1"/>
      <c r="J553" s="1"/>
      <c r="K553" s="1"/>
      <c r="L553" s="1"/>
      <c r="M553" s="1"/>
      <c r="N553" s="1"/>
      <c r="O553" s="1"/>
      <c r="P553" s="1"/>
      <c r="Q553" s="1"/>
      <c r="R553" s="1"/>
      <c r="T553" s="1"/>
      <c r="U553" s="1"/>
      <c r="V553" s="1"/>
      <c r="W553" s="1"/>
      <c r="X553" s="1"/>
      <c r="Y553" s="1"/>
      <c r="Z553" s="1"/>
      <c r="AB553" s="1"/>
      <c r="AC553" s="1"/>
      <c r="AD553" s="1"/>
      <c r="AE553" s="1"/>
      <c r="AF553" s="1"/>
      <c r="AG553" s="1"/>
      <c r="AH553" s="1"/>
      <c r="AI553" s="1"/>
      <c r="AL553" s="1"/>
      <c r="AN553" s="1"/>
      <c r="AO553" s="1"/>
      <c r="AP553" s="1"/>
      <c r="AQ553" s="1"/>
      <c r="AR553" s="1"/>
      <c r="AS553" s="1"/>
      <c r="AT553" s="1"/>
      <c r="AU553" s="1"/>
      <c r="AV553" s="1"/>
    </row>
    <row r="554" spans="2:48" x14ac:dyDescent="0.3">
      <c r="B554" s="1" t="s">
        <v>1153</v>
      </c>
      <c r="H554" s="1" t="s">
        <v>738</v>
      </c>
      <c r="I554" s="1"/>
      <c r="J554" s="1"/>
      <c r="K554" s="1"/>
      <c r="L554" s="1"/>
      <c r="M554" s="1"/>
      <c r="N554" s="1"/>
      <c r="O554" s="1"/>
      <c r="P554" s="1"/>
      <c r="Q554" s="1"/>
      <c r="R554" s="1"/>
      <c r="T554" s="1"/>
      <c r="U554" s="1"/>
      <c r="V554" s="1"/>
      <c r="W554" s="1"/>
      <c r="X554" s="1"/>
      <c r="Y554" s="1"/>
      <c r="Z554" s="1"/>
      <c r="AB554" s="1"/>
      <c r="AC554" s="1"/>
      <c r="AD554" s="1"/>
      <c r="AE554" s="1"/>
      <c r="AF554" s="1"/>
      <c r="AG554" s="1"/>
      <c r="AH554" s="1"/>
      <c r="AI554" s="1"/>
      <c r="AL554" s="1"/>
      <c r="AN554" s="1"/>
      <c r="AO554" s="1"/>
      <c r="AP554" s="1"/>
      <c r="AQ554" s="1"/>
      <c r="AR554" s="1"/>
      <c r="AS554" s="1"/>
      <c r="AT554" s="1"/>
      <c r="AU554" s="1"/>
      <c r="AV554" s="1"/>
    </row>
    <row r="555" spans="2:48" x14ac:dyDescent="0.3">
      <c r="B555" s="1" t="s">
        <v>1154</v>
      </c>
      <c r="H555" s="1" t="s">
        <v>738</v>
      </c>
      <c r="I555" s="1"/>
      <c r="J555" s="1"/>
      <c r="K555" s="1"/>
      <c r="L555" s="1"/>
      <c r="M555" s="1"/>
      <c r="N555" s="1"/>
      <c r="O555" s="1"/>
      <c r="P555" s="1"/>
      <c r="Q555" s="1"/>
      <c r="R555" s="1"/>
      <c r="T555" s="1"/>
      <c r="U555" s="1"/>
      <c r="V555" s="1"/>
      <c r="W555" s="1"/>
      <c r="X555" s="1"/>
      <c r="Y555" s="1"/>
      <c r="Z555" s="1"/>
      <c r="AB555" s="1"/>
      <c r="AC555" s="1"/>
      <c r="AD555" s="1"/>
      <c r="AE555" s="1"/>
      <c r="AF555" s="1"/>
      <c r="AG555" s="1"/>
      <c r="AH555" s="1"/>
      <c r="AI555" s="1"/>
      <c r="AL555" s="1"/>
      <c r="AN555" s="1"/>
      <c r="AO555" s="1"/>
      <c r="AP555" s="1"/>
      <c r="AQ555" s="1"/>
      <c r="AR555" s="1"/>
      <c r="AS555" s="1"/>
      <c r="AT555" s="1"/>
      <c r="AU555" s="1"/>
      <c r="AV555" s="1"/>
    </row>
    <row r="556" spans="2:48" x14ac:dyDescent="0.3">
      <c r="B556" s="1" t="s">
        <v>1155</v>
      </c>
      <c r="H556" s="1" t="s">
        <v>738</v>
      </c>
      <c r="I556" s="1"/>
      <c r="J556" s="1"/>
      <c r="K556" s="1"/>
      <c r="L556" s="1"/>
      <c r="M556" s="1"/>
      <c r="N556" s="1"/>
      <c r="O556" s="1"/>
      <c r="P556" s="1"/>
      <c r="Q556" s="1"/>
      <c r="R556" s="1"/>
      <c r="T556" s="1"/>
      <c r="U556" s="1"/>
      <c r="V556" s="1"/>
      <c r="W556" s="1"/>
      <c r="X556" s="1"/>
      <c r="Y556" s="1"/>
      <c r="Z556" s="1"/>
      <c r="AB556" s="1"/>
      <c r="AC556" s="1"/>
      <c r="AD556" s="1"/>
      <c r="AE556" s="1"/>
      <c r="AF556" s="1"/>
      <c r="AG556" s="1"/>
      <c r="AH556" s="1"/>
      <c r="AI556" s="1"/>
      <c r="AL556" s="1"/>
      <c r="AN556" s="1"/>
      <c r="AO556" s="1"/>
      <c r="AP556" s="1"/>
      <c r="AQ556" s="1"/>
      <c r="AR556" s="1"/>
      <c r="AS556" s="1"/>
      <c r="AT556" s="1"/>
      <c r="AU556" s="1"/>
      <c r="AV556" s="1"/>
    </row>
    <row r="557" spans="2:48" x14ac:dyDescent="0.3">
      <c r="B557" s="1" t="s">
        <v>1156</v>
      </c>
      <c r="H557" s="1" t="s">
        <v>738</v>
      </c>
      <c r="I557" s="1"/>
      <c r="J557" s="1"/>
      <c r="K557" s="1"/>
      <c r="L557" s="1"/>
      <c r="M557" s="1"/>
      <c r="N557" s="1"/>
      <c r="O557" s="1"/>
      <c r="P557" s="1"/>
      <c r="Q557" s="1"/>
      <c r="R557" s="1"/>
      <c r="T557" s="1"/>
      <c r="U557" s="1"/>
      <c r="V557" s="1"/>
      <c r="W557" s="1"/>
      <c r="X557" s="1"/>
      <c r="Y557" s="1"/>
      <c r="Z557" s="1"/>
      <c r="AB557" s="1"/>
      <c r="AC557" s="1"/>
      <c r="AD557" s="1"/>
      <c r="AE557" s="1"/>
      <c r="AF557" s="1"/>
      <c r="AG557" s="1"/>
      <c r="AH557" s="1"/>
      <c r="AI557" s="1"/>
      <c r="AL557" s="1"/>
      <c r="AN557" s="1"/>
      <c r="AO557" s="1"/>
      <c r="AP557" s="1"/>
      <c r="AQ557" s="1"/>
      <c r="AR557" s="1"/>
      <c r="AS557" s="1"/>
      <c r="AT557" s="1"/>
      <c r="AU557" s="1"/>
      <c r="AV557" s="1"/>
    </row>
    <row r="558" spans="2:48" x14ac:dyDescent="0.3">
      <c r="B558" s="1" t="s">
        <v>1157</v>
      </c>
      <c r="H558" s="1" t="s">
        <v>738</v>
      </c>
      <c r="I558" s="1"/>
      <c r="J558" s="1"/>
      <c r="K558" s="1"/>
      <c r="L558" s="1"/>
      <c r="M558" s="1"/>
      <c r="N558" s="1"/>
      <c r="O558" s="1"/>
      <c r="P558" s="1"/>
      <c r="Q558" s="1"/>
      <c r="R558" s="1"/>
      <c r="T558" s="1"/>
      <c r="U558" s="1"/>
      <c r="V558" s="1"/>
      <c r="W558" s="1"/>
      <c r="X558" s="1"/>
      <c r="Y558" s="1"/>
      <c r="Z558" s="1"/>
      <c r="AB558" s="1"/>
      <c r="AC558" s="1"/>
      <c r="AD558" s="1"/>
      <c r="AE558" s="1"/>
      <c r="AF558" s="1"/>
      <c r="AG558" s="1"/>
      <c r="AH558" s="1"/>
      <c r="AI558" s="1"/>
      <c r="AL558" s="1"/>
      <c r="AN558" s="1"/>
      <c r="AO558" s="1"/>
      <c r="AP558" s="1"/>
      <c r="AQ558" s="1"/>
      <c r="AR558" s="1"/>
      <c r="AS558" s="1"/>
      <c r="AT558" s="1"/>
      <c r="AU558" s="1"/>
      <c r="AV558" s="1"/>
    </row>
    <row r="559" spans="2:48" x14ac:dyDescent="0.3">
      <c r="B559" s="1" t="s">
        <v>1158</v>
      </c>
      <c r="H559" s="1" t="s">
        <v>738</v>
      </c>
      <c r="I559" s="1"/>
      <c r="J559" s="1"/>
      <c r="K559" s="1"/>
      <c r="L559" s="1"/>
      <c r="M559" s="1"/>
      <c r="N559" s="1"/>
      <c r="O559" s="1"/>
      <c r="P559" s="1"/>
      <c r="Q559" s="1"/>
      <c r="R559" s="1"/>
      <c r="T559" s="1"/>
      <c r="U559" s="1"/>
      <c r="V559" s="1"/>
      <c r="W559" s="1"/>
      <c r="X559" s="1"/>
      <c r="Y559" s="1"/>
      <c r="Z559" s="1"/>
      <c r="AB559" s="1"/>
      <c r="AC559" s="1"/>
      <c r="AD559" s="1"/>
      <c r="AE559" s="1"/>
      <c r="AF559" s="1"/>
      <c r="AG559" s="1"/>
      <c r="AH559" s="1"/>
      <c r="AI559" s="1"/>
      <c r="AL559" s="1"/>
      <c r="AN559" s="1"/>
      <c r="AO559" s="1"/>
      <c r="AP559" s="1"/>
      <c r="AQ559" s="1"/>
      <c r="AR559" s="1"/>
      <c r="AS559" s="1"/>
      <c r="AT559" s="1"/>
      <c r="AU559" s="1"/>
      <c r="AV559" s="1"/>
    </row>
    <row r="560" spans="2:48" x14ac:dyDescent="0.3">
      <c r="B560" s="1" t="s">
        <v>1159</v>
      </c>
      <c r="H560" s="1" t="s">
        <v>738</v>
      </c>
      <c r="I560" s="1"/>
      <c r="J560" s="1"/>
      <c r="K560" s="1"/>
      <c r="L560" s="1"/>
      <c r="M560" s="1"/>
      <c r="N560" s="1"/>
      <c r="O560" s="1"/>
      <c r="P560" s="1"/>
      <c r="Q560" s="1"/>
      <c r="R560" s="1"/>
      <c r="T560" s="1"/>
      <c r="U560" s="1"/>
      <c r="V560" s="1"/>
      <c r="W560" s="1"/>
      <c r="X560" s="1"/>
      <c r="Y560" s="1"/>
      <c r="Z560" s="1"/>
      <c r="AB560" s="1"/>
      <c r="AC560" s="1"/>
      <c r="AD560" s="1"/>
      <c r="AE560" s="1"/>
      <c r="AF560" s="1"/>
      <c r="AG560" s="1"/>
      <c r="AH560" s="1"/>
      <c r="AI560" s="1"/>
      <c r="AL560" s="1"/>
      <c r="AN560" s="1"/>
      <c r="AO560" s="1"/>
      <c r="AP560" s="1"/>
      <c r="AQ560" s="1"/>
      <c r="AR560" s="1"/>
      <c r="AS560" s="1"/>
      <c r="AT560" s="1"/>
      <c r="AU560" s="1"/>
      <c r="AV560" s="1"/>
    </row>
    <row r="561" spans="2:48" x14ac:dyDescent="0.3">
      <c r="B561" s="1" t="s">
        <v>1160</v>
      </c>
      <c r="H561" s="1" t="s">
        <v>738</v>
      </c>
      <c r="I561" s="1"/>
      <c r="J561" s="1"/>
      <c r="K561" s="1"/>
      <c r="L561" s="1"/>
      <c r="M561" s="1"/>
      <c r="N561" s="1"/>
      <c r="O561" s="1"/>
      <c r="P561" s="1"/>
      <c r="Q561" s="1"/>
      <c r="R561" s="1"/>
      <c r="T561" s="1"/>
      <c r="U561" s="1"/>
      <c r="V561" s="1"/>
      <c r="W561" s="1"/>
      <c r="X561" s="1"/>
      <c r="Y561" s="1"/>
      <c r="Z561" s="1"/>
      <c r="AB561" s="1"/>
      <c r="AC561" s="1"/>
      <c r="AD561" s="1"/>
      <c r="AE561" s="1"/>
      <c r="AF561" s="1"/>
      <c r="AG561" s="1"/>
      <c r="AH561" s="1"/>
      <c r="AI561" s="1"/>
      <c r="AL561" s="1"/>
      <c r="AN561" s="1"/>
      <c r="AO561" s="1"/>
      <c r="AP561" s="1"/>
      <c r="AQ561" s="1"/>
      <c r="AR561" s="1"/>
      <c r="AS561" s="1"/>
      <c r="AT561" s="1"/>
      <c r="AU561" s="1"/>
      <c r="AV561" s="1"/>
    </row>
    <row r="562" spans="2:48" x14ac:dyDescent="0.3">
      <c r="B562" s="1" t="s">
        <v>1161</v>
      </c>
      <c r="H562" s="1" t="s">
        <v>738</v>
      </c>
      <c r="I562" s="1"/>
      <c r="J562" s="1"/>
      <c r="K562" s="1"/>
      <c r="L562" s="1"/>
      <c r="M562" s="1"/>
      <c r="N562" s="1"/>
      <c r="O562" s="1"/>
      <c r="P562" s="1"/>
      <c r="Q562" s="1"/>
      <c r="R562" s="1"/>
      <c r="T562" s="1"/>
      <c r="U562" s="1"/>
      <c r="V562" s="1"/>
      <c r="W562" s="1"/>
      <c r="X562" s="1"/>
      <c r="Y562" s="1"/>
      <c r="Z562" s="1"/>
      <c r="AB562" s="1"/>
      <c r="AC562" s="1"/>
      <c r="AD562" s="1"/>
      <c r="AE562" s="1"/>
      <c r="AF562" s="1"/>
      <c r="AG562" s="1"/>
      <c r="AH562" s="1"/>
      <c r="AI562" s="1"/>
      <c r="AL562" s="1"/>
      <c r="AN562" s="1"/>
      <c r="AO562" s="1"/>
      <c r="AP562" s="1"/>
      <c r="AQ562" s="1"/>
      <c r="AR562" s="1"/>
      <c r="AS562" s="1"/>
      <c r="AT562" s="1"/>
      <c r="AU562" s="1"/>
      <c r="AV562" s="1"/>
    </row>
    <row r="563" spans="2:48" x14ac:dyDescent="0.3">
      <c r="B563" s="1" t="s">
        <v>1162</v>
      </c>
      <c r="H563" s="1" t="s">
        <v>738</v>
      </c>
      <c r="I563" s="1"/>
      <c r="J563" s="1"/>
      <c r="K563" s="1"/>
      <c r="L563" s="1"/>
      <c r="M563" s="1"/>
      <c r="N563" s="1"/>
      <c r="O563" s="1"/>
      <c r="P563" s="1"/>
      <c r="Q563" s="1"/>
      <c r="R563" s="1"/>
      <c r="T563" s="1"/>
      <c r="U563" s="1"/>
      <c r="V563" s="1"/>
      <c r="W563" s="1"/>
      <c r="X563" s="1"/>
      <c r="Y563" s="1"/>
      <c r="Z563" s="1"/>
      <c r="AB563" s="1"/>
      <c r="AC563" s="1"/>
      <c r="AD563" s="1"/>
      <c r="AE563" s="1"/>
      <c r="AF563" s="1"/>
      <c r="AG563" s="1"/>
      <c r="AH563" s="1"/>
      <c r="AI563" s="1"/>
      <c r="AL563" s="1"/>
      <c r="AN563" s="1"/>
      <c r="AO563" s="1"/>
      <c r="AP563" s="1"/>
      <c r="AQ563" s="1"/>
      <c r="AR563" s="1"/>
      <c r="AS563" s="1"/>
      <c r="AT563" s="1"/>
      <c r="AU563" s="1"/>
      <c r="AV563" s="1"/>
    </row>
    <row r="564" spans="2:48" x14ac:dyDescent="0.3">
      <c r="B564" s="1" t="s">
        <v>1163</v>
      </c>
      <c r="H564" s="1" t="s">
        <v>738</v>
      </c>
      <c r="I564" s="1"/>
      <c r="J564" s="1"/>
      <c r="K564" s="1"/>
      <c r="L564" s="1"/>
      <c r="M564" s="1"/>
      <c r="N564" s="1"/>
      <c r="O564" s="1"/>
      <c r="P564" s="1"/>
      <c r="Q564" s="1"/>
      <c r="R564" s="1"/>
      <c r="T564" s="1"/>
      <c r="U564" s="1"/>
      <c r="V564" s="1"/>
      <c r="W564" s="1"/>
      <c r="X564" s="1"/>
      <c r="Y564" s="1"/>
      <c r="Z564" s="1"/>
      <c r="AB564" s="1"/>
      <c r="AC564" s="1"/>
      <c r="AD564" s="1"/>
      <c r="AE564" s="1"/>
      <c r="AF564" s="1"/>
      <c r="AG564" s="1"/>
      <c r="AH564" s="1"/>
      <c r="AI564" s="1"/>
      <c r="AL564" s="1"/>
      <c r="AN564" s="1"/>
      <c r="AO564" s="1"/>
      <c r="AP564" s="1"/>
      <c r="AQ564" s="1"/>
      <c r="AR564" s="1"/>
      <c r="AS564" s="1"/>
      <c r="AT564" s="1"/>
      <c r="AU564" s="1"/>
      <c r="AV564" s="1"/>
    </row>
    <row r="565" spans="2:48" x14ac:dyDescent="0.3">
      <c r="B565" s="1" t="s">
        <v>1164</v>
      </c>
      <c r="H565" s="1" t="s">
        <v>738</v>
      </c>
      <c r="I565" s="1"/>
      <c r="J565" s="1"/>
      <c r="K565" s="1"/>
      <c r="L565" s="1"/>
      <c r="M565" s="1"/>
      <c r="N565" s="1"/>
      <c r="O565" s="1"/>
      <c r="P565" s="1"/>
      <c r="Q565" s="1"/>
      <c r="R565" s="1"/>
      <c r="T565" s="1"/>
      <c r="U565" s="1"/>
      <c r="V565" s="1"/>
      <c r="W565" s="1"/>
      <c r="X565" s="1"/>
      <c r="Y565" s="1"/>
      <c r="Z565" s="1"/>
      <c r="AB565" s="1"/>
      <c r="AC565" s="1"/>
      <c r="AD565" s="1"/>
      <c r="AE565" s="1"/>
      <c r="AF565" s="1"/>
      <c r="AG565" s="1"/>
      <c r="AH565" s="1"/>
      <c r="AI565" s="1"/>
      <c r="AL565" s="1"/>
      <c r="AN565" s="1"/>
      <c r="AO565" s="1"/>
      <c r="AP565" s="1"/>
      <c r="AQ565" s="1"/>
      <c r="AR565" s="1"/>
      <c r="AS565" s="1"/>
      <c r="AT565" s="1"/>
      <c r="AU565" s="1"/>
      <c r="AV565" s="1"/>
    </row>
    <row r="566" spans="2:48" x14ac:dyDescent="0.3">
      <c r="B566" s="1" t="s">
        <v>1165</v>
      </c>
      <c r="H566" s="1" t="s">
        <v>738</v>
      </c>
      <c r="I566" s="1"/>
      <c r="J566" s="1"/>
      <c r="K566" s="1"/>
      <c r="L566" s="1"/>
      <c r="M566" s="1"/>
      <c r="N566" s="1"/>
      <c r="O566" s="1"/>
      <c r="P566" s="1"/>
      <c r="Q566" s="1"/>
      <c r="R566" s="1"/>
      <c r="T566" s="1"/>
      <c r="U566" s="1"/>
      <c r="V566" s="1"/>
      <c r="W566" s="1"/>
      <c r="X566" s="1"/>
      <c r="Y566" s="1"/>
      <c r="Z566" s="1"/>
      <c r="AB566" s="1"/>
      <c r="AC566" s="1"/>
      <c r="AD566" s="1"/>
      <c r="AE566" s="1"/>
      <c r="AF566" s="1"/>
      <c r="AG566" s="1"/>
      <c r="AH566" s="1"/>
      <c r="AI566" s="1"/>
      <c r="AL566" s="1"/>
      <c r="AN566" s="1"/>
      <c r="AO566" s="1"/>
      <c r="AP566" s="1"/>
      <c r="AQ566" s="1"/>
      <c r="AR566" s="1"/>
      <c r="AS566" s="1"/>
      <c r="AT566" s="1"/>
      <c r="AU566" s="1"/>
      <c r="AV566" s="1"/>
    </row>
    <row r="567" spans="2:48" x14ac:dyDescent="0.3">
      <c r="B567" s="1" t="s">
        <v>1166</v>
      </c>
      <c r="H567" s="1" t="s">
        <v>738</v>
      </c>
      <c r="I567" s="1"/>
      <c r="J567" s="1"/>
      <c r="K567" s="1"/>
      <c r="L567" s="1"/>
      <c r="M567" s="1"/>
      <c r="N567" s="1"/>
      <c r="O567" s="1"/>
      <c r="P567" s="1"/>
      <c r="Q567" s="1"/>
      <c r="R567" s="1"/>
      <c r="T567" s="1"/>
      <c r="U567" s="1"/>
      <c r="V567" s="1"/>
      <c r="W567" s="1"/>
      <c r="X567" s="1"/>
      <c r="Y567" s="1"/>
      <c r="Z567" s="1"/>
      <c r="AB567" s="1"/>
      <c r="AC567" s="1"/>
      <c r="AD567" s="1"/>
      <c r="AE567" s="1"/>
      <c r="AF567" s="1"/>
      <c r="AG567" s="1"/>
      <c r="AH567" s="1"/>
      <c r="AI567" s="1"/>
      <c r="AL567" s="1"/>
      <c r="AN567" s="1"/>
      <c r="AO567" s="1"/>
      <c r="AP567" s="1"/>
      <c r="AQ567" s="1"/>
      <c r="AR567" s="1"/>
      <c r="AS567" s="1"/>
      <c r="AT567" s="1"/>
      <c r="AU567" s="1"/>
      <c r="AV567" s="1"/>
    </row>
    <row r="568" spans="2:48" x14ac:dyDescent="0.3">
      <c r="B568" s="1" t="s">
        <v>1167</v>
      </c>
      <c r="H568" s="1" t="s">
        <v>738</v>
      </c>
      <c r="I568" s="1"/>
      <c r="J568" s="1"/>
      <c r="K568" s="1"/>
      <c r="L568" s="1"/>
      <c r="M568" s="1"/>
      <c r="N568" s="1"/>
      <c r="O568" s="1"/>
      <c r="P568" s="1"/>
      <c r="Q568" s="1"/>
      <c r="R568" s="1"/>
      <c r="T568" s="1"/>
      <c r="U568" s="1"/>
      <c r="V568" s="1"/>
      <c r="W568" s="1"/>
      <c r="X568" s="1"/>
      <c r="Y568" s="1"/>
      <c r="Z568" s="1"/>
      <c r="AB568" s="1"/>
      <c r="AC568" s="1"/>
      <c r="AD568" s="1"/>
      <c r="AE568" s="1"/>
      <c r="AF568" s="1"/>
      <c r="AG568" s="1"/>
      <c r="AH568" s="1"/>
      <c r="AI568" s="1"/>
      <c r="AL568" s="1"/>
      <c r="AN568" s="1"/>
      <c r="AO568" s="1"/>
      <c r="AP568" s="1"/>
      <c r="AQ568" s="1"/>
      <c r="AR568" s="1"/>
      <c r="AS568" s="1"/>
      <c r="AT568" s="1"/>
      <c r="AU568" s="1"/>
      <c r="AV568" s="1"/>
    </row>
    <row r="569" spans="2:48" x14ac:dyDescent="0.3">
      <c r="B569" s="1" t="s">
        <v>1168</v>
      </c>
      <c r="H569" s="1" t="s">
        <v>738</v>
      </c>
      <c r="I569" s="1"/>
      <c r="J569" s="1"/>
      <c r="K569" s="1"/>
      <c r="L569" s="1"/>
      <c r="M569" s="1"/>
      <c r="N569" s="1"/>
      <c r="O569" s="1"/>
      <c r="P569" s="1"/>
      <c r="Q569" s="1"/>
      <c r="R569" s="1"/>
      <c r="T569" s="1"/>
      <c r="U569" s="1"/>
      <c r="V569" s="1"/>
      <c r="W569" s="1"/>
      <c r="X569" s="1"/>
      <c r="Y569" s="1"/>
      <c r="Z569" s="1"/>
      <c r="AB569" s="1"/>
      <c r="AC569" s="1"/>
      <c r="AD569" s="1"/>
      <c r="AE569" s="1"/>
      <c r="AF569" s="1"/>
      <c r="AG569" s="1"/>
      <c r="AH569" s="1"/>
      <c r="AI569" s="1"/>
      <c r="AL569" s="1"/>
      <c r="AN569" s="1"/>
      <c r="AO569" s="1"/>
      <c r="AP569" s="1"/>
      <c r="AQ569" s="1"/>
      <c r="AR569" s="1"/>
      <c r="AS569" s="1"/>
      <c r="AT569" s="1"/>
      <c r="AU569" s="1"/>
      <c r="AV569" s="1"/>
    </row>
    <row r="570" spans="2:48" x14ac:dyDescent="0.3">
      <c r="B570" s="1" t="s">
        <v>1169</v>
      </c>
      <c r="H570" s="1" t="s">
        <v>738</v>
      </c>
      <c r="I570" s="1"/>
      <c r="J570" s="1"/>
      <c r="K570" s="1"/>
      <c r="L570" s="1"/>
      <c r="M570" s="1"/>
      <c r="N570" s="1"/>
      <c r="O570" s="1"/>
      <c r="P570" s="1"/>
      <c r="Q570" s="1"/>
      <c r="R570" s="1"/>
      <c r="T570" s="1"/>
      <c r="U570" s="1"/>
      <c r="V570" s="1"/>
      <c r="W570" s="1"/>
      <c r="X570" s="1"/>
      <c r="Y570" s="1"/>
      <c r="Z570" s="1"/>
      <c r="AB570" s="1"/>
      <c r="AC570" s="1"/>
      <c r="AD570" s="1"/>
      <c r="AE570" s="1"/>
      <c r="AF570" s="1"/>
      <c r="AG570" s="1"/>
      <c r="AH570" s="1"/>
      <c r="AI570" s="1"/>
      <c r="AL570" s="1"/>
      <c r="AN570" s="1"/>
      <c r="AO570" s="1"/>
      <c r="AP570" s="1"/>
      <c r="AQ570" s="1"/>
      <c r="AR570" s="1"/>
      <c r="AS570" s="1"/>
      <c r="AT570" s="1"/>
      <c r="AU570" s="1"/>
      <c r="AV570" s="1"/>
    </row>
    <row r="571" spans="2:48" x14ac:dyDescent="0.3">
      <c r="B571" s="1" t="s">
        <v>1170</v>
      </c>
      <c r="H571" s="1" t="s">
        <v>738</v>
      </c>
      <c r="I571" s="1"/>
      <c r="J571" s="1"/>
      <c r="K571" s="1"/>
      <c r="L571" s="1"/>
      <c r="M571" s="1"/>
      <c r="N571" s="1"/>
      <c r="O571" s="1"/>
      <c r="P571" s="1"/>
      <c r="Q571" s="1"/>
      <c r="R571" s="1"/>
      <c r="T571" s="1"/>
      <c r="U571" s="1"/>
      <c r="V571" s="1"/>
      <c r="W571" s="1"/>
      <c r="X571" s="1"/>
      <c r="Y571" s="1"/>
      <c r="Z571" s="1"/>
      <c r="AB571" s="1"/>
      <c r="AC571" s="1"/>
      <c r="AD571" s="1"/>
      <c r="AE571" s="1"/>
      <c r="AF571" s="1"/>
      <c r="AG571" s="1"/>
      <c r="AH571" s="1"/>
      <c r="AI571" s="1"/>
      <c r="AL571" s="1"/>
      <c r="AN571" s="1"/>
      <c r="AO571" s="1"/>
      <c r="AP571" s="1"/>
      <c r="AQ571" s="1"/>
      <c r="AR571" s="1"/>
      <c r="AS571" s="1"/>
      <c r="AT571" s="1"/>
      <c r="AU571" s="1"/>
      <c r="AV571" s="1"/>
    </row>
    <row r="572" spans="2:48" x14ac:dyDescent="0.3">
      <c r="B572" s="1" t="s">
        <v>1171</v>
      </c>
      <c r="H572" s="1" t="s">
        <v>738</v>
      </c>
      <c r="I572" s="1"/>
      <c r="J572" s="1"/>
      <c r="K572" s="1"/>
      <c r="L572" s="1"/>
      <c r="M572" s="1"/>
      <c r="N572" s="1"/>
      <c r="O572" s="1"/>
      <c r="P572" s="1"/>
      <c r="Q572" s="1"/>
      <c r="R572" s="1"/>
      <c r="T572" s="1"/>
      <c r="U572" s="1"/>
      <c r="V572" s="1"/>
      <c r="W572" s="1"/>
      <c r="X572" s="1"/>
      <c r="Y572" s="1"/>
      <c r="Z572" s="1"/>
      <c r="AB572" s="1"/>
      <c r="AC572" s="1"/>
      <c r="AD572" s="1"/>
      <c r="AE572" s="1"/>
      <c r="AF572" s="1"/>
      <c r="AG572" s="1"/>
      <c r="AH572" s="1"/>
      <c r="AI572" s="1"/>
      <c r="AL572" s="1"/>
      <c r="AN572" s="1"/>
      <c r="AO572" s="1"/>
      <c r="AP572" s="1"/>
      <c r="AQ572" s="1"/>
      <c r="AR572" s="1"/>
      <c r="AS572" s="1"/>
      <c r="AT572" s="1"/>
      <c r="AU572" s="1"/>
      <c r="AV572" s="1"/>
    </row>
    <row r="573" spans="2:48" x14ac:dyDescent="0.3">
      <c r="B573" s="1" t="s">
        <v>1172</v>
      </c>
      <c r="H573" s="1" t="s">
        <v>738</v>
      </c>
      <c r="I573" s="1"/>
      <c r="J573" s="1"/>
      <c r="K573" s="1"/>
      <c r="L573" s="1"/>
      <c r="M573" s="1"/>
      <c r="N573" s="1"/>
      <c r="O573" s="1"/>
      <c r="P573" s="1"/>
      <c r="Q573" s="1"/>
      <c r="R573" s="1"/>
      <c r="T573" s="1"/>
      <c r="U573" s="1"/>
      <c r="V573" s="1"/>
      <c r="W573" s="1"/>
      <c r="X573" s="1"/>
      <c r="Y573" s="1"/>
      <c r="Z573" s="1"/>
      <c r="AB573" s="1"/>
      <c r="AC573" s="1"/>
      <c r="AD573" s="1"/>
      <c r="AE573" s="1"/>
      <c r="AF573" s="1"/>
      <c r="AG573" s="1"/>
      <c r="AH573" s="1"/>
      <c r="AI573" s="1"/>
      <c r="AL573" s="1"/>
      <c r="AN573" s="1"/>
      <c r="AO573" s="1"/>
      <c r="AP573" s="1"/>
      <c r="AQ573" s="1"/>
      <c r="AR573" s="1"/>
      <c r="AS573" s="1"/>
      <c r="AT573" s="1"/>
      <c r="AU573" s="1"/>
      <c r="AV573" s="1"/>
    </row>
    <row r="574" spans="2:48" x14ac:dyDescent="0.3">
      <c r="B574" s="1" t="s">
        <v>1173</v>
      </c>
      <c r="H574" s="1" t="s">
        <v>738</v>
      </c>
      <c r="I574" s="1"/>
      <c r="J574" s="1"/>
      <c r="K574" s="1"/>
      <c r="L574" s="1"/>
      <c r="M574" s="1"/>
      <c r="N574" s="1"/>
      <c r="O574" s="1"/>
      <c r="P574" s="1"/>
      <c r="Q574" s="1"/>
      <c r="R574" s="1"/>
      <c r="T574" s="1"/>
      <c r="U574" s="1"/>
      <c r="V574" s="1"/>
      <c r="W574" s="1"/>
      <c r="X574" s="1"/>
      <c r="Y574" s="1"/>
      <c r="Z574" s="1"/>
      <c r="AB574" s="1"/>
      <c r="AC574" s="1"/>
      <c r="AD574" s="1"/>
      <c r="AE574" s="1"/>
      <c r="AF574" s="1"/>
      <c r="AG574" s="1"/>
      <c r="AH574" s="1"/>
      <c r="AI574" s="1"/>
      <c r="AL574" s="1"/>
      <c r="AN574" s="1"/>
      <c r="AO574" s="1"/>
      <c r="AP574" s="1"/>
      <c r="AQ574" s="1"/>
      <c r="AR574" s="1"/>
      <c r="AS574" s="1"/>
      <c r="AT574" s="1"/>
      <c r="AU574" s="1"/>
      <c r="AV574" s="1"/>
    </row>
    <row r="575" spans="2:48" x14ac:dyDescent="0.3">
      <c r="B575" s="1" t="s">
        <v>1174</v>
      </c>
      <c r="H575" s="1" t="s">
        <v>738</v>
      </c>
      <c r="I575" s="1"/>
      <c r="J575" s="1"/>
      <c r="K575" s="1"/>
      <c r="L575" s="1"/>
      <c r="M575" s="1"/>
      <c r="N575" s="1"/>
      <c r="O575" s="1"/>
      <c r="P575" s="1"/>
      <c r="Q575" s="1"/>
      <c r="R575" s="1"/>
      <c r="T575" s="1"/>
      <c r="U575" s="1"/>
      <c r="V575" s="1"/>
      <c r="W575" s="1"/>
      <c r="X575" s="1"/>
      <c r="Y575" s="1"/>
      <c r="Z575" s="1"/>
      <c r="AB575" s="1"/>
      <c r="AC575" s="1"/>
      <c r="AD575" s="1"/>
      <c r="AE575" s="1"/>
      <c r="AF575" s="1"/>
      <c r="AG575" s="1"/>
      <c r="AH575" s="1"/>
      <c r="AI575" s="1"/>
      <c r="AL575" s="1"/>
      <c r="AN575" s="1"/>
      <c r="AO575" s="1"/>
      <c r="AP575" s="1"/>
      <c r="AQ575" s="1"/>
      <c r="AR575" s="1"/>
      <c r="AS575" s="1"/>
      <c r="AT575" s="1"/>
      <c r="AU575" s="1"/>
      <c r="AV575" s="1"/>
    </row>
    <row r="576" spans="2:48" x14ac:dyDescent="0.3">
      <c r="B576" s="1" t="s">
        <v>1175</v>
      </c>
      <c r="H576" s="1" t="s">
        <v>738</v>
      </c>
      <c r="I576" s="1"/>
      <c r="J576" s="1"/>
      <c r="K576" s="1"/>
      <c r="L576" s="1"/>
      <c r="M576" s="1"/>
      <c r="N576" s="1"/>
      <c r="O576" s="1"/>
      <c r="P576" s="1"/>
      <c r="Q576" s="1"/>
      <c r="R576" s="1"/>
      <c r="T576" s="1"/>
      <c r="U576" s="1"/>
      <c r="V576" s="1"/>
      <c r="W576" s="1"/>
      <c r="X576" s="1"/>
      <c r="Y576" s="1"/>
      <c r="Z576" s="1"/>
      <c r="AB576" s="1"/>
      <c r="AC576" s="1"/>
      <c r="AD576" s="1"/>
      <c r="AE576" s="1"/>
      <c r="AF576" s="1"/>
      <c r="AG576" s="1"/>
      <c r="AH576" s="1"/>
      <c r="AI576" s="1"/>
      <c r="AL576" s="1"/>
      <c r="AN576" s="1"/>
      <c r="AO576" s="1"/>
      <c r="AP576" s="1"/>
      <c r="AQ576" s="1"/>
      <c r="AR576" s="1"/>
      <c r="AS576" s="1"/>
      <c r="AT576" s="1"/>
      <c r="AU576" s="1"/>
      <c r="AV576" s="1"/>
    </row>
    <row r="577" spans="2:48" x14ac:dyDescent="0.3">
      <c r="B577" s="1" t="s">
        <v>1176</v>
      </c>
      <c r="H577" s="1" t="s">
        <v>738</v>
      </c>
      <c r="I577" s="1"/>
      <c r="J577" s="1"/>
      <c r="K577" s="1"/>
      <c r="L577" s="1"/>
      <c r="M577" s="1"/>
      <c r="N577" s="1"/>
      <c r="O577" s="1"/>
      <c r="P577" s="1"/>
      <c r="Q577" s="1"/>
      <c r="R577" s="1"/>
      <c r="T577" s="1"/>
      <c r="U577" s="1"/>
      <c r="V577" s="1"/>
      <c r="W577" s="1"/>
      <c r="X577" s="1"/>
      <c r="Y577" s="1"/>
      <c r="Z577" s="1"/>
      <c r="AB577" s="1"/>
      <c r="AC577" s="1"/>
      <c r="AD577" s="1"/>
      <c r="AE577" s="1"/>
      <c r="AF577" s="1"/>
      <c r="AG577" s="1"/>
      <c r="AH577" s="1"/>
      <c r="AI577" s="1"/>
      <c r="AL577" s="1"/>
      <c r="AN577" s="1"/>
      <c r="AO577" s="1"/>
      <c r="AP577" s="1"/>
      <c r="AQ577" s="1"/>
      <c r="AR577" s="1"/>
      <c r="AS577" s="1"/>
      <c r="AT577" s="1"/>
      <c r="AU577" s="1"/>
      <c r="AV577" s="1"/>
    </row>
    <row r="578" spans="2:48" x14ac:dyDescent="0.3">
      <c r="B578" s="1" t="s">
        <v>1177</v>
      </c>
      <c r="H578" s="1" t="s">
        <v>738</v>
      </c>
      <c r="I578" s="1"/>
      <c r="J578" s="1"/>
      <c r="K578" s="1"/>
      <c r="L578" s="1"/>
      <c r="M578" s="1"/>
      <c r="N578" s="1"/>
      <c r="O578" s="1"/>
      <c r="P578" s="1"/>
      <c r="Q578" s="1"/>
      <c r="R578" s="1"/>
      <c r="T578" s="1"/>
      <c r="U578" s="1"/>
      <c r="V578" s="1"/>
      <c r="W578" s="1"/>
      <c r="X578" s="1"/>
      <c r="Y578" s="1"/>
      <c r="Z578" s="1"/>
      <c r="AB578" s="1"/>
      <c r="AC578" s="1"/>
      <c r="AD578" s="1"/>
      <c r="AE578" s="1"/>
      <c r="AF578" s="1"/>
      <c r="AG578" s="1"/>
      <c r="AH578" s="1"/>
      <c r="AI578" s="1"/>
      <c r="AL578" s="1"/>
      <c r="AN578" s="1"/>
      <c r="AO578" s="1"/>
      <c r="AP578" s="1"/>
      <c r="AQ578" s="1"/>
      <c r="AR578" s="1"/>
      <c r="AS578" s="1"/>
      <c r="AT578" s="1"/>
      <c r="AU578" s="1"/>
      <c r="AV578" s="1"/>
    </row>
    <row r="579" spans="2:48" x14ac:dyDescent="0.3">
      <c r="B579" s="1" t="s">
        <v>1178</v>
      </c>
      <c r="H579" s="1" t="s">
        <v>738</v>
      </c>
      <c r="I579" s="1"/>
      <c r="J579" s="1"/>
      <c r="K579" s="1"/>
      <c r="L579" s="1"/>
      <c r="M579" s="1"/>
      <c r="N579" s="1"/>
      <c r="O579" s="1"/>
      <c r="P579" s="1"/>
      <c r="Q579" s="1"/>
      <c r="R579" s="1"/>
      <c r="T579" s="1"/>
      <c r="U579" s="1"/>
      <c r="V579" s="1"/>
      <c r="W579" s="1"/>
      <c r="X579" s="1"/>
      <c r="Y579" s="1"/>
      <c r="Z579" s="1"/>
      <c r="AB579" s="1"/>
      <c r="AC579" s="1"/>
      <c r="AD579" s="1"/>
      <c r="AE579" s="1"/>
      <c r="AF579" s="1"/>
      <c r="AG579" s="1"/>
      <c r="AH579" s="1"/>
      <c r="AI579" s="1"/>
      <c r="AL579" s="1"/>
      <c r="AN579" s="1"/>
      <c r="AO579" s="1"/>
      <c r="AP579" s="1"/>
      <c r="AQ579" s="1"/>
      <c r="AR579" s="1"/>
      <c r="AS579" s="1"/>
      <c r="AT579" s="1"/>
      <c r="AU579" s="1"/>
      <c r="AV579" s="1"/>
    </row>
    <row r="580" spans="2:48" x14ac:dyDescent="0.3">
      <c r="B580" s="1" t="s">
        <v>1179</v>
      </c>
      <c r="H580" s="1" t="s">
        <v>738</v>
      </c>
      <c r="I580" s="1"/>
      <c r="J580" s="1"/>
      <c r="K580" s="1"/>
      <c r="L580" s="1"/>
      <c r="M580" s="1"/>
      <c r="N580" s="1"/>
      <c r="O580" s="1"/>
      <c r="P580" s="1"/>
      <c r="Q580" s="1"/>
      <c r="R580" s="1"/>
      <c r="T580" s="1"/>
      <c r="U580" s="1"/>
      <c r="V580" s="1"/>
      <c r="W580" s="1"/>
      <c r="X580" s="1"/>
      <c r="Y580" s="1"/>
      <c r="Z580" s="1"/>
      <c r="AB580" s="1"/>
      <c r="AC580" s="1"/>
      <c r="AD580" s="1"/>
      <c r="AE580" s="1"/>
      <c r="AF580" s="1"/>
      <c r="AG580" s="1"/>
      <c r="AH580" s="1"/>
      <c r="AI580" s="1"/>
      <c r="AL580" s="1"/>
      <c r="AN580" s="1"/>
      <c r="AO580" s="1"/>
      <c r="AP580" s="1"/>
      <c r="AQ580" s="1"/>
      <c r="AR580" s="1"/>
      <c r="AS580" s="1"/>
      <c r="AT580" s="1"/>
      <c r="AU580" s="1"/>
      <c r="AV580" s="1"/>
    </row>
    <row r="581" spans="2:48" x14ac:dyDescent="0.3">
      <c r="B581" s="1" t="s">
        <v>1180</v>
      </c>
      <c r="H581" s="1" t="s">
        <v>738</v>
      </c>
      <c r="I581" s="1"/>
      <c r="J581" s="1"/>
      <c r="K581" s="1"/>
      <c r="L581" s="1"/>
      <c r="M581" s="1"/>
      <c r="N581" s="1"/>
      <c r="O581" s="1"/>
      <c r="P581" s="1"/>
      <c r="Q581" s="1"/>
      <c r="R581" s="1"/>
      <c r="T581" s="1"/>
      <c r="U581" s="1"/>
      <c r="V581" s="1"/>
      <c r="W581" s="1"/>
      <c r="X581" s="1"/>
      <c r="Y581" s="1"/>
      <c r="Z581" s="1"/>
      <c r="AB581" s="1"/>
      <c r="AC581" s="1"/>
      <c r="AD581" s="1"/>
      <c r="AE581" s="1"/>
      <c r="AF581" s="1"/>
      <c r="AG581" s="1"/>
      <c r="AH581" s="1"/>
      <c r="AI581" s="1"/>
      <c r="AL581" s="1"/>
      <c r="AN581" s="1"/>
      <c r="AO581" s="1"/>
      <c r="AP581" s="1"/>
      <c r="AQ581" s="1"/>
      <c r="AR581" s="1"/>
      <c r="AS581" s="1"/>
      <c r="AT581" s="1"/>
      <c r="AU581" s="1"/>
      <c r="AV581" s="1"/>
    </row>
    <row r="582" spans="2:48" x14ac:dyDescent="0.3">
      <c r="B582" s="1" t="s">
        <v>1181</v>
      </c>
      <c r="H582" s="1" t="s">
        <v>738</v>
      </c>
      <c r="I582" s="1"/>
      <c r="J582" s="1"/>
      <c r="K582" s="1"/>
      <c r="L582" s="1"/>
      <c r="M582" s="1"/>
      <c r="N582" s="1"/>
      <c r="O582" s="1"/>
      <c r="P582" s="1"/>
      <c r="Q582" s="1"/>
      <c r="R582" s="1"/>
      <c r="T582" s="1"/>
      <c r="U582" s="1"/>
      <c r="V582" s="1"/>
      <c r="W582" s="1"/>
      <c r="X582" s="1"/>
      <c r="Y582" s="1"/>
      <c r="Z582" s="1"/>
      <c r="AB582" s="1"/>
      <c r="AC582" s="1"/>
      <c r="AD582" s="1"/>
      <c r="AE582" s="1"/>
      <c r="AF582" s="1"/>
      <c r="AG582" s="1"/>
      <c r="AH582" s="1"/>
      <c r="AI582" s="1"/>
      <c r="AL582" s="1"/>
      <c r="AN582" s="1"/>
      <c r="AO582" s="1"/>
      <c r="AP582" s="1"/>
      <c r="AQ582" s="1"/>
      <c r="AR582" s="1"/>
      <c r="AS582" s="1"/>
      <c r="AT582" s="1"/>
      <c r="AU582" s="1"/>
      <c r="AV582" s="1"/>
    </row>
    <row r="583" spans="2:48" x14ac:dyDescent="0.3">
      <c r="B583" s="1" t="s">
        <v>1182</v>
      </c>
      <c r="H583" s="1" t="s">
        <v>738</v>
      </c>
      <c r="I583" s="1"/>
      <c r="J583" s="1"/>
      <c r="K583" s="1"/>
      <c r="L583" s="1"/>
      <c r="M583" s="1"/>
      <c r="N583" s="1"/>
      <c r="O583" s="1"/>
      <c r="P583" s="1"/>
      <c r="Q583" s="1"/>
      <c r="R583" s="1"/>
      <c r="T583" s="1"/>
      <c r="U583" s="1"/>
      <c r="V583" s="1"/>
      <c r="W583" s="1"/>
      <c r="X583" s="1"/>
      <c r="Y583" s="1"/>
      <c r="Z583" s="1"/>
      <c r="AB583" s="1"/>
      <c r="AC583" s="1"/>
      <c r="AD583" s="1"/>
      <c r="AE583" s="1"/>
      <c r="AF583" s="1"/>
      <c r="AG583" s="1"/>
      <c r="AH583" s="1"/>
      <c r="AI583" s="1"/>
      <c r="AL583" s="1"/>
      <c r="AN583" s="1"/>
      <c r="AO583" s="1"/>
      <c r="AP583" s="1"/>
      <c r="AQ583" s="1"/>
      <c r="AR583" s="1"/>
      <c r="AS583" s="1"/>
      <c r="AT583" s="1"/>
      <c r="AU583" s="1"/>
      <c r="AV583" s="1"/>
    </row>
    <row r="584" spans="2:48" x14ac:dyDescent="0.3">
      <c r="B584" s="1" t="s">
        <v>1183</v>
      </c>
      <c r="H584" s="1" t="s">
        <v>738</v>
      </c>
      <c r="I584" s="1"/>
      <c r="J584" s="1"/>
      <c r="K584" s="1"/>
      <c r="L584" s="1"/>
      <c r="M584" s="1"/>
      <c r="N584" s="1"/>
      <c r="O584" s="1"/>
      <c r="P584" s="1"/>
      <c r="Q584" s="1"/>
      <c r="R584" s="1"/>
      <c r="T584" s="1"/>
      <c r="U584" s="1"/>
      <c r="V584" s="1"/>
      <c r="W584" s="1"/>
      <c r="X584" s="1"/>
      <c r="Y584" s="1"/>
      <c r="Z584" s="1"/>
      <c r="AB584" s="1"/>
      <c r="AC584" s="1"/>
      <c r="AD584" s="1"/>
      <c r="AE584" s="1"/>
      <c r="AF584" s="1"/>
      <c r="AG584" s="1"/>
      <c r="AH584" s="1"/>
      <c r="AI584" s="1"/>
      <c r="AL584" s="1"/>
      <c r="AN584" s="1"/>
      <c r="AO584" s="1"/>
      <c r="AP584" s="1"/>
      <c r="AQ584" s="1"/>
      <c r="AR584" s="1"/>
      <c r="AS584" s="1"/>
      <c r="AT584" s="1"/>
      <c r="AU584" s="1"/>
      <c r="AV584" s="1"/>
    </row>
    <row r="585" spans="2:48" x14ac:dyDescent="0.3">
      <c r="B585" s="1" t="s">
        <v>1184</v>
      </c>
      <c r="H585" s="1" t="s">
        <v>738</v>
      </c>
      <c r="I585" s="1"/>
      <c r="J585" s="1"/>
      <c r="K585" s="1"/>
      <c r="L585" s="1"/>
      <c r="M585" s="1"/>
      <c r="N585" s="1"/>
      <c r="O585" s="1"/>
      <c r="P585" s="1"/>
      <c r="Q585" s="1"/>
      <c r="R585" s="1"/>
      <c r="T585" s="1"/>
      <c r="U585" s="1"/>
      <c r="V585" s="1"/>
      <c r="W585" s="1"/>
      <c r="X585" s="1"/>
      <c r="Y585" s="1"/>
      <c r="Z585" s="1"/>
      <c r="AB585" s="1"/>
      <c r="AC585" s="1"/>
      <c r="AD585" s="1"/>
      <c r="AE585" s="1"/>
      <c r="AF585" s="1"/>
      <c r="AG585" s="1"/>
      <c r="AH585" s="1"/>
      <c r="AI585" s="1"/>
      <c r="AL585" s="1"/>
      <c r="AN585" s="1"/>
      <c r="AO585" s="1"/>
      <c r="AP585" s="1"/>
      <c r="AQ585" s="1"/>
      <c r="AR585" s="1"/>
      <c r="AS585" s="1"/>
      <c r="AT585" s="1"/>
      <c r="AU585" s="1"/>
      <c r="AV585" s="1"/>
    </row>
    <row r="586" spans="2:48" x14ac:dyDescent="0.3">
      <c r="B586" s="1" t="s">
        <v>1185</v>
      </c>
      <c r="H586" s="1" t="s">
        <v>738</v>
      </c>
      <c r="I586" s="1"/>
      <c r="J586" s="1"/>
      <c r="K586" s="1"/>
      <c r="L586" s="1"/>
      <c r="M586" s="1"/>
      <c r="N586" s="1"/>
      <c r="O586" s="1"/>
      <c r="P586" s="1"/>
      <c r="Q586" s="1"/>
      <c r="R586" s="1"/>
      <c r="T586" s="1"/>
      <c r="U586" s="1"/>
      <c r="V586" s="1"/>
      <c r="W586" s="1"/>
      <c r="X586" s="1"/>
      <c r="Y586" s="1"/>
      <c r="Z586" s="1"/>
      <c r="AB586" s="1"/>
      <c r="AC586" s="1"/>
      <c r="AD586" s="1"/>
      <c r="AE586" s="1"/>
      <c r="AF586" s="1"/>
      <c r="AG586" s="1"/>
      <c r="AH586" s="1"/>
      <c r="AI586" s="1"/>
      <c r="AL586" s="1"/>
      <c r="AN586" s="1"/>
      <c r="AO586" s="1"/>
      <c r="AP586" s="1"/>
      <c r="AQ586" s="1"/>
      <c r="AR586" s="1"/>
      <c r="AS586" s="1"/>
      <c r="AT586" s="1"/>
      <c r="AU586" s="1"/>
      <c r="AV586" s="1"/>
    </row>
    <row r="587" spans="2:48" x14ac:dyDescent="0.3">
      <c r="B587" s="1" t="s">
        <v>1186</v>
      </c>
      <c r="H587" s="1" t="s">
        <v>738</v>
      </c>
      <c r="I587" s="1"/>
      <c r="J587" s="1"/>
      <c r="K587" s="1"/>
      <c r="L587" s="1"/>
      <c r="M587" s="1"/>
      <c r="N587" s="1"/>
      <c r="O587" s="1"/>
      <c r="P587" s="1"/>
      <c r="Q587" s="1"/>
      <c r="R587" s="1"/>
      <c r="T587" s="1"/>
      <c r="U587" s="1"/>
      <c r="V587" s="1"/>
      <c r="W587" s="1"/>
      <c r="X587" s="1"/>
      <c r="Y587" s="1"/>
      <c r="Z587" s="1"/>
      <c r="AB587" s="1"/>
      <c r="AC587" s="1"/>
      <c r="AD587" s="1"/>
      <c r="AE587" s="1"/>
      <c r="AF587" s="1"/>
      <c r="AG587" s="1"/>
      <c r="AH587" s="1"/>
      <c r="AI587" s="1"/>
      <c r="AL587" s="1"/>
      <c r="AN587" s="1"/>
      <c r="AO587" s="1"/>
      <c r="AP587" s="1"/>
      <c r="AQ587" s="1"/>
      <c r="AR587" s="1"/>
      <c r="AS587" s="1"/>
      <c r="AT587" s="1"/>
      <c r="AU587" s="1"/>
      <c r="AV587" s="1"/>
    </row>
    <row r="588" spans="2:48" x14ac:dyDescent="0.3">
      <c r="B588" s="1" t="s">
        <v>1187</v>
      </c>
      <c r="H588" s="1" t="s">
        <v>738</v>
      </c>
      <c r="I588" s="1"/>
      <c r="J588" s="1"/>
      <c r="K588" s="1"/>
      <c r="L588" s="1"/>
      <c r="M588" s="1"/>
      <c r="N588" s="1"/>
      <c r="O588" s="1"/>
      <c r="P588" s="1"/>
      <c r="Q588" s="1"/>
      <c r="R588" s="1"/>
      <c r="T588" s="1"/>
      <c r="U588" s="1"/>
      <c r="V588" s="1"/>
      <c r="W588" s="1"/>
      <c r="X588" s="1"/>
      <c r="Y588" s="1"/>
      <c r="Z588" s="1"/>
      <c r="AB588" s="1"/>
      <c r="AC588" s="1"/>
      <c r="AD588" s="1"/>
      <c r="AE588" s="1"/>
      <c r="AF588" s="1"/>
      <c r="AG588" s="1"/>
      <c r="AH588" s="1"/>
      <c r="AI588" s="1"/>
      <c r="AL588" s="1"/>
      <c r="AN588" s="1"/>
      <c r="AO588" s="1"/>
      <c r="AP588" s="1"/>
      <c r="AQ588" s="1"/>
      <c r="AR588" s="1"/>
      <c r="AS588" s="1"/>
      <c r="AT588" s="1"/>
      <c r="AU588" s="1"/>
      <c r="AV588" s="1"/>
    </row>
    <row r="589" spans="2:48" x14ac:dyDescent="0.3">
      <c r="B589" s="1" t="s">
        <v>1188</v>
      </c>
      <c r="H589" s="1" t="s">
        <v>738</v>
      </c>
      <c r="I589" s="1"/>
      <c r="J589" s="1"/>
      <c r="K589" s="1"/>
      <c r="L589" s="1"/>
      <c r="M589" s="1"/>
      <c r="N589" s="1"/>
      <c r="O589" s="1"/>
      <c r="P589" s="1"/>
      <c r="Q589" s="1"/>
      <c r="R589" s="1"/>
      <c r="T589" s="1"/>
      <c r="U589" s="1"/>
      <c r="V589" s="1"/>
      <c r="W589" s="1"/>
      <c r="X589" s="1"/>
      <c r="Y589" s="1"/>
      <c r="Z589" s="1"/>
      <c r="AB589" s="1"/>
      <c r="AC589" s="1"/>
      <c r="AD589" s="1"/>
      <c r="AE589" s="1"/>
      <c r="AF589" s="1"/>
      <c r="AG589" s="1"/>
      <c r="AH589" s="1"/>
      <c r="AI589" s="1"/>
      <c r="AL589" s="1"/>
      <c r="AN589" s="1"/>
      <c r="AO589" s="1"/>
      <c r="AP589" s="1"/>
      <c r="AQ589" s="1"/>
      <c r="AR589" s="1"/>
      <c r="AS589" s="1"/>
      <c r="AT589" s="1"/>
      <c r="AU589" s="1"/>
      <c r="AV589" s="1"/>
    </row>
    <row r="590" spans="2:48" x14ac:dyDescent="0.3">
      <c r="B590" s="1" t="s">
        <v>1189</v>
      </c>
      <c r="H590" s="1" t="s">
        <v>738</v>
      </c>
      <c r="I590" s="1"/>
      <c r="J590" s="1"/>
      <c r="K590" s="1"/>
      <c r="L590" s="1"/>
      <c r="M590" s="1"/>
      <c r="N590" s="1"/>
      <c r="O590" s="1"/>
      <c r="P590" s="1"/>
      <c r="Q590" s="1"/>
      <c r="R590" s="1"/>
      <c r="T590" s="1"/>
      <c r="U590" s="1"/>
      <c r="V590" s="1"/>
      <c r="W590" s="1"/>
      <c r="X590" s="1"/>
      <c r="Y590" s="1"/>
      <c r="Z590" s="1"/>
      <c r="AB590" s="1"/>
      <c r="AC590" s="1"/>
      <c r="AD590" s="1"/>
      <c r="AE590" s="1"/>
      <c r="AF590" s="1"/>
      <c r="AG590" s="1"/>
      <c r="AH590" s="1"/>
      <c r="AI590" s="1"/>
      <c r="AL590" s="1"/>
      <c r="AN590" s="1"/>
      <c r="AO590" s="1"/>
      <c r="AP590" s="1"/>
      <c r="AQ590" s="1"/>
      <c r="AR590" s="1"/>
      <c r="AS590" s="1"/>
      <c r="AT590" s="1"/>
      <c r="AU590" s="1"/>
      <c r="AV590" s="1"/>
    </row>
    <row r="591" spans="2:48" x14ac:dyDescent="0.3">
      <c r="B591" s="1" t="s">
        <v>1190</v>
      </c>
      <c r="H591" s="1" t="s">
        <v>738</v>
      </c>
      <c r="I591" s="1"/>
      <c r="J591" s="1"/>
      <c r="K591" s="1"/>
      <c r="L591" s="1"/>
      <c r="M591" s="1"/>
      <c r="N591" s="1"/>
      <c r="O591" s="1"/>
      <c r="P591" s="1"/>
      <c r="Q591" s="1"/>
      <c r="R591" s="1"/>
      <c r="T591" s="1"/>
      <c r="U591" s="1"/>
      <c r="V591" s="1"/>
      <c r="W591" s="1"/>
      <c r="X591" s="1"/>
      <c r="Y591" s="1"/>
      <c r="Z591" s="1"/>
      <c r="AB591" s="1"/>
      <c r="AC591" s="1"/>
      <c r="AD591" s="1"/>
      <c r="AE591" s="1"/>
      <c r="AF591" s="1"/>
      <c r="AG591" s="1"/>
      <c r="AH591" s="1"/>
      <c r="AI591" s="1"/>
      <c r="AL591" s="1"/>
      <c r="AN591" s="1"/>
      <c r="AO591" s="1"/>
      <c r="AP591" s="1"/>
      <c r="AQ591" s="1"/>
      <c r="AR591" s="1"/>
      <c r="AS591" s="1"/>
      <c r="AT591" s="1"/>
      <c r="AU591" s="1"/>
      <c r="AV591" s="1"/>
    </row>
    <row r="592" spans="2:48" x14ac:dyDescent="0.3">
      <c r="B592" s="1" t="s">
        <v>1191</v>
      </c>
      <c r="H592" s="1" t="s">
        <v>738</v>
      </c>
      <c r="I592" s="1"/>
      <c r="J592" s="1"/>
      <c r="K592" s="1"/>
      <c r="L592" s="1"/>
      <c r="M592" s="1"/>
      <c r="N592" s="1"/>
      <c r="O592" s="1"/>
      <c r="P592" s="1"/>
      <c r="Q592" s="1"/>
      <c r="R592" s="1"/>
      <c r="T592" s="1"/>
      <c r="U592" s="1"/>
      <c r="V592" s="1"/>
      <c r="W592" s="1"/>
      <c r="X592" s="1"/>
      <c r="Y592" s="1"/>
      <c r="Z592" s="1"/>
      <c r="AB592" s="1"/>
      <c r="AC592" s="1"/>
      <c r="AD592" s="1"/>
      <c r="AE592" s="1"/>
      <c r="AF592" s="1"/>
      <c r="AG592" s="1"/>
      <c r="AH592" s="1"/>
      <c r="AI592" s="1"/>
      <c r="AL592" s="1"/>
      <c r="AN592" s="1"/>
      <c r="AO592" s="1"/>
      <c r="AP592" s="1"/>
      <c r="AQ592" s="1"/>
      <c r="AR592" s="1"/>
      <c r="AS592" s="1"/>
      <c r="AT592" s="1"/>
      <c r="AU592" s="1"/>
      <c r="AV592" s="1"/>
    </row>
    <row r="593" spans="2:48" x14ac:dyDescent="0.3">
      <c r="B593" s="1" t="s">
        <v>1192</v>
      </c>
      <c r="H593" s="1" t="s">
        <v>738</v>
      </c>
      <c r="I593" s="1"/>
      <c r="J593" s="1"/>
      <c r="K593" s="1"/>
      <c r="L593" s="1"/>
      <c r="M593" s="1"/>
      <c r="N593" s="1"/>
      <c r="O593" s="1"/>
      <c r="P593" s="1"/>
      <c r="Q593" s="1"/>
      <c r="R593" s="1"/>
      <c r="T593" s="1"/>
      <c r="U593" s="1"/>
      <c r="V593" s="1"/>
      <c r="W593" s="1"/>
      <c r="X593" s="1"/>
      <c r="Y593" s="1"/>
      <c r="Z593" s="1"/>
      <c r="AB593" s="1"/>
      <c r="AC593" s="1"/>
      <c r="AD593" s="1"/>
      <c r="AE593" s="1"/>
      <c r="AF593" s="1"/>
      <c r="AG593" s="1"/>
      <c r="AH593" s="1"/>
      <c r="AI593" s="1"/>
      <c r="AL593" s="1"/>
      <c r="AN593" s="1"/>
      <c r="AO593" s="1"/>
      <c r="AP593" s="1"/>
      <c r="AQ593" s="1"/>
      <c r="AR593" s="1"/>
      <c r="AS593" s="1"/>
      <c r="AT593" s="1"/>
      <c r="AU593" s="1"/>
      <c r="AV593" s="1"/>
    </row>
    <row r="594" spans="2:48" x14ac:dyDescent="0.3">
      <c r="B594" s="1" t="s">
        <v>1193</v>
      </c>
      <c r="H594" s="1" t="s">
        <v>738</v>
      </c>
      <c r="I594" s="1"/>
      <c r="J594" s="1"/>
      <c r="K594" s="1"/>
      <c r="L594" s="1"/>
      <c r="M594" s="1"/>
      <c r="N594" s="1"/>
      <c r="O594" s="1"/>
      <c r="P594" s="1"/>
      <c r="Q594" s="1"/>
      <c r="R594" s="1"/>
      <c r="T594" s="1"/>
      <c r="U594" s="1"/>
      <c r="V594" s="1"/>
      <c r="W594" s="1"/>
      <c r="X594" s="1"/>
      <c r="Y594" s="1"/>
      <c r="Z594" s="1"/>
      <c r="AB594" s="1"/>
      <c r="AC594" s="1"/>
      <c r="AD594" s="1"/>
      <c r="AE594" s="1"/>
      <c r="AF594" s="1"/>
      <c r="AG594" s="1"/>
      <c r="AH594" s="1"/>
      <c r="AI594" s="1"/>
      <c r="AL594" s="1"/>
      <c r="AN594" s="1"/>
      <c r="AO594" s="1"/>
      <c r="AP594" s="1"/>
      <c r="AQ594" s="1"/>
      <c r="AR594" s="1"/>
      <c r="AS594" s="1"/>
      <c r="AT594" s="1"/>
      <c r="AU594" s="1"/>
      <c r="AV594" s="1"/>
    </row>
    <row r="595" spans="2:48" x14ac:dyDescent="0.3">
      <c r="B595" s="1" t="s">
        <v>1194</v>
      </c>
      <c r="H595" s="1" t="s">
        <v>738</v>
      </c>
      <c r="I595" s="1"/>
      <c r="J595" s="1"/>
      <c r="K595" s="1"/>
      <c r="L595" s="1"/>
      <c r="M595" s="1"/>
      <c r="N595" s="1"/>
      <c r="O595" s="1"/>
      <c r="P595" s="1"/>
      <c r="Q595" s="1"/>
      <c r="R595" s="1"/>
      <c r="T595" s="1"/>
      <c r="U595" s="1"/>
      <c r="V595" s="1"/>
      <c r="W595" s="1"/>
      <c r="X595" s="1"/>
      <c r="Y595" s="1"/>
      <c r="Z595" s="1"/>
      <c r="AB595" s="1"/>
      <c r="AC595" s="1"/>
      <c r="AD595" s="1"/>
      <c r="AE595" s="1"/>
      <c r="AF595" s="1"/>
      <c r="AG595" s="1"/>
      <c r="AH595" s="1"/>
      <c r="AI595" s="1"/>
      <c r="AL595" s="1"/>
      <c r="AN595" s="1"/>
      <c r="AO595" s="1"/>
      <c r="AP595" s="1"/>
      <c r="AQ595" s="1"/>
      <c r="AR595" s="1"/>
      <c r="AS595" s="1"/>
      <c r="AT595" s="1"/>
      <c r="AU595" s="1"/>
      <c r="AV595" s="1"/>
    </row>
    <row r="596" spans="2:48" x14ac:dyDescent="0.3">
      <c r="B596" s="1" t="s">
        <v>1195</v>
      </c>
      <c r="H596" s="1" t="s">
        <v>738</v>
      </c>
      <c r="I596" s="1"/>
      <c r="J596" s="1"/>
      <c r="K596" s="1"/>
      <c r="L596" s="1"/>
      <c r="M596" s="1"/>
      <c r="N596" s="1"/>
      <c r="O596" s="1"/>
      <c r="P596" s="1"/>
      <c r="Q596" s="1"/>
      <c r="R596" s="1"/>
      <c r="T596" s="1"/>
      <c r="U596" s="1"/>
      <c r="V596" s="1"/>
      <c r="W596" s="1"/>
      <c r="X596" s="1"/>
      <c r="Y596" s="1"/>
      <c r="Z596" s="1"/>
      <c r="AB596" s="1"/>
      <c r="AC596" s="1"/>
      <c r="AD596" s="1"/>
      <c r="AE596" s="1"/>
      <c r="AF596" s="1"/>
      <c r="AG596" s="1"/>
      <c r="AH596" s="1"/>
      <c r="AI596" s="1"/>
      <c r="AL596" s="1"/>
      <c r="AN596" s="1"/>
      <c r="AO596" s="1"/>
      <c r="AP596" s="1"/>
      <c r="AQ596" s="1"/>
      <c r="AR596" s="1"/>
      <c r="AS596" s="1"/>
      <c r="AT596" s="1"/>
      <c r="AU596" s="1"/>
      <c r="AV596" s="1"/>
    </row>
    <row r="597" spans="2:48" x14ac:dyDescent="0.3">
      <c r="B597" s="1" t="s">
        <v>1196</v>
      </c>
      <c r="H597" s="1" t="s">
        <v>738</v>
      </c>
      <c r="I597" s="1"/>
      <c r="J597" s="1"/>
      <c r="K597" s="1"/>
      <c r="L597" s="1"/>
      <c r="M597" s="1"/>
      <c r="N597" s="1"/>
      <c r="O597" s="1"/>
      <c r="P597" s="1"/>
      <c r="Q597" s="1"/>
      <c r="R597" s="1"/>
      <c r="T597" s="1"/>
      <c r="U597" s="1"/>
      <c r="V597" s="1"/>
      <c r="W597" s="1"/>
      <c r="X597" s="1"/>
      <c r="Y597" s="1"/>
      <c r="Z597" s="1"/>
      <c r="AB597" s="1"/>
      <c r="AC597" s="1"/>
      <c r="AD597" s="1"/>
      <c r="AE597" s="1"/>
      <c r="AF597" s="1"/>
      <c r="AG597" s="1"/>
      <c r="AH597" s="1"/>
      <c r="AI597" s="1"/>
      <c r="AL597" s="1"/>
      <c r="AN597" s="1"/>
      <c r="AO597" s="1"/>
      <c r="AP597" s="1"/>
      <c r="AQ597" s="1"/>
      <c r="AR597" s="1"/>
      <c r="AS597" s="1"/>
      <c r="AT597" s="1"/>
      <c r="AU597" s="1"/>
      <c r="AV597" s="1"/>
    </row>
    <row r="598" spans="2:48" x14ac:dyDescent="0.3">
      <c r="B598" s="1" t="s">
        <v>1197</v>
      </c>
      <c r="H598" s="1" t="s">
        <v>738</v>
      </c>
      <c r="I598" s="1"/>
      <c r="J598" s="1"/>
      <c r="K598" s="1"/>
      <c r="L598" s="1"/>
      <c r="M598" s="1"/>
      <c r="N598" s="1"/>
      <c r="O598" s="1"/>
      <c r="P598" s="1"/>
      <c r="Q598" s="1"/>
      <c r="R598" s="1"/>
      <c r="T598" s="1"/>
      <c r="U598" s="1"/>
      <c r="V598" s="1"/>
      <c r="W598" s="1"/>
      <c r="X598" s="1"/>
      <c r="Y598" s="1"/>
      <c r="Z598" s="1"/>
      <c r="AB598" s="1"/>
      <c r="AC598" s="1"/>
      <c r="AD598" s="1"/>
      <c r="AE598" s="1"/>
      <c r="AF598" s="1"/>
      <c r="AG598" s="1"/>
      <c r="AH598" s="1"/>
      <c r="AI598" s="1"/>
      <c r="AL598" s="1"/>
      <c r="AN598" s="1"/>
      <c r="AO598" s="1"/>
      <c r="AP598" s="1"/>
      <c r="AQ598" s="1"/>
      <c r="AR598" s="1"/>
      <c r="AS598" s="1"/>
      <c r="AT598" s="1"/>
      <c r="AU598" s="1"/>
      <c r="AV598" s="1"/>
    </row>
    <row r="599" spans="2:48" x14ac:dyDescent="0.3">
      <c r="B599" s="1" t="s">
        <v>1198</v>
      </c>
      <c r="H599" s="1" t="s">
        <v>738</v>
      </c>
      <c r="I599" s="1"/>
      <c r="J599" s="1"/>
      <c r="K599" s="1"/>
      <c r="L599" s="1"/>
      <c r="M599" s="1"/>
      <c r="N599" s="1"/>
      <c r="O599" s="1"/>
      <c r="P599" s="1"/>
      <c r="Q599" s="1"/>
      <c r="R599" s="1"/>
      <c r="T599" s="1"/>
      <c r="U599" s="1"/>
      <c r="V599" s="1"/>
      <c r="W599" s="1"/>
      <c r="X599" s="1"/>
      <c r="Y599" s="1"/>
      <c r="Z599" s="1"/>
      <c r="AB599" s="1"/>
      <c r="AC599" s="1"/>
      <c r="AD599" s="1"/>
      <c r="AE599" s="1"/>
      <c r="AF599" s="1"/>
      <c r="AG599" s="1"/>
      <c r="AH599" s="1"/>
      <c r="AI599" s="1"/>
      <c r="AL599" s="1"/>
      <c r="AN599" s="1"/>
      <c r="AO599" s="1"/>
      <c r="AP599" s="1"/>
      <c r="AQ599" s="1"/>
      <c r="AR599" s="1"/>
      <c r="AS599" s="1"/>
      <c r="AT599" s="1"/>
      <c r="AU599" s="1"/>
      <c r="AV599" s="1"/>
    </row>
    <row r="600" spans="2:48" x14ac:dyDescent="0.3">
      <c r="B600" s="1" t="s">
        <v>1199</v>
      </c>
      <c r="H600" s="1" t="s">
        <v>738</v>
      </c>
      <c r="I600" s="1"/>
      <c r="J600" s="1"/>
      <c r="K600" s="1"/>
      <c r="L600" s="1"/>
      <c r="M600" s="1"/>
      <c r="N600" s="1"/>
      <c r="O600" s="1"/>
      <c r="P600" s="1"/>
      <c r="Q600" s="1"/>
      <c r="R600" s="1"/>
      <c r="T600" s="1"/>
      <c r="U600" s="1"/>
      <c r="V600" s="1"/>
      <c r="W600" s="1"/>
      <c r="X600" s="1"/>
      <c r="Y600" s="1"/>
      <c r="Z600" s="1"/>
      <c r="AB600" s="1"/>
      <c r="AC600" s="1"/>
      <c r="AD600" s="1"/>
      <c r="AE600" s="1"/>
      <c r="AF600" s="1"/>
      <c r="AG600" s="1"/>
      <c r="AH600" s="1"/>
      <c r="AI600" s="1"/>
      <c r="AL600" s="1"/>
      <c r="AN600" s="1"/>
      <c r="AO600" s="1"/>
      <c r="AP600" s="1"/>
      <c r="AQ600" s="1"/>
      <c r="AR600" s="1"/>
      <c r="AS600" s="1"/>
      <c r="AT600" s="1"/>
      <c r="AU600" s="1"/>
      <c r="AV600" s="1"/>
    </row>
    <row r="601" spans="2:48" x14ac:dyDescent="0.3">
      <c r="B601" s="1" t="s">
        <v>1200</v>
      </c>
      <c r="H601" s="1" t="s">
        <v>738</v>
      </c>
      <c r="I601" s="1"/>
      <c r="J601" s="1"/>
      <c r="K601" s="1"/>
      <c r="L601" s="1"/>
      <c r="M601" s="1"/>
      <c r="N601" s="1"/>
      <c r="O601" s="1"/>
      <c r="P601" s="1"/>
      <c r="Q601" s="1"/>
      <c r="R601" s="1"/>
      <c r="T601" s="1"/>
      <c r="U601" s="1"/>
      <c r="V601" s="1"/>
      <c r="W601" s="1"/>
      <c r="X601" s="1"/>
      <c r="Y601" s="1"/>
      <c r="Z601" s="1"/>
      <c r="AB601" s="1"/>
      <c r="AC601" s="1"/>
      <c r="AD601" s="1"/>
      <c r="AE601" s="1"/>
      <c r="AF601" s="1"/>
      <c r="AG601" s="1"/>
      <c r="AH601" s="1"/>
      <c r="AI601" s="1"/>
      <c r="AL601" s="1"/>
      <c r="AN601" s="1"/>
      <c r="AO601" s="1"/>
      <c r="AP601" s="1"/>
      <c r="AQ601" s="1"/>
      <c r="AR601" s="1"/>
      <c r="AS601" s="1"/>
      <c r="AT601" s="1"/>
      <c r="AU601" s="1"/>
      <c r="AV601" s="1"/>
    </row>
    <row r="602" spans="2:48" x14ac:dyDescent="0.3">
      <c r="B602" s="1" t="s">
        <v>1201</v>
      </c>
      <c r="H602" s="1" t="s">
        <v>738</v>
      </c>
      <c r="I602" s="1"/>
      <c r="J602" s="1"/>
      <c r="K602" s="1"/>
      <c r="L602" s="1"/>
      <c r="M602" s="1"/>
      <c r="N602" s="1"/>
      <c r="O602" s="1"/>
      <c r="P602" s="1"/>
      <c r="Q602" s="1"/>
      <c r="R602" s="1"/>
      <c r="T602" s="1"/>
      <c r="U602" s="1"/>
      <c r="V602" s="1"/>
      <c r="W602" s="1"/>
      <c r="X602" s="1"/>
      <c r="Y602" s="1"/>
      <c r="Z602" s="1"/>
      <c r="AB602" s="1"/>
      <c r="AC602" s="1"/>
      <c r="AD602" s="1"/>
      <c r="AE602" s="1"/>
      <c r="AF602" s="1"/>
      <c r="AG602" s="1"/>
      <c r="AH602" s="1"/>
      <c r="AI602" s="1"/>
      <c r="AL602" s="1"/>
      <c r="AN602" s="1"/>
      <c r="AO602" s="1"/>
      <c r="AP602" s="1"/>
      <c r="AQ602" s="1"/>
      <c r="AR602" s="1"/>
      <c r="AS602" s="1"/>
      <c r="AT602" s="1"/>
      <c r="AU602" s="1"/>
      <c r="AV602" s="1"/>
    </row>
    <row r="603" spans="2:48" x14ac:dyDescent="0.3">
      <c r="B603" s="1" t="s">
        <v>1202</v>
      </c>
      <c r="H603" s="1" t="s">
        <v>738</v>
      </c>
      <c r="I603" s="1"/>
      <c r="J603" s="1"/>
      <c r="K603" s="1"/>
      <c r="L603" s="1"/>
      <c r="M603" s="1"/>
      <c r="N603" s="1"/>
      <c r="O603" s="1"/>
      <c r="P603" s="1"/>
      <c r="Q603" s="1"/>
      <c r="R603" s="1"/>
      <c r="T603" s="1"/>
      <c r="U603" s="1"/>
      <c r="V603" s="1"/>
      <c r="W603" s="1"/>
      <c r="X603" s="1"/>
      <c r="Y603" s="1"/>
      <c r="Z603" s="1"/>
      <c r="AB603" s="1"/>
      <c r="AC603" s="1"/>
      <c r="AD603" s="1"/>
      <c r="AE603" s="1"/>
      <c r="AF603" s="1"/>
      <c r="AG603" s="1"/>
      <c r="AH603" s="1"/>
      <c r="AI603" s="1"/>
      <c r="AL603" s="1"/>
      <c r="AN603" s="1"/>
      <c r="AO603" s="1"/>
      <c r="AP603" s="1"/>
      <c r="AQ603" s="1"/>
      <c r="AR603" s="1"/>
      <c r="AS603" s="1"/>
      <c r="AT603" s="1"/>
      <c r="AU603" s="1"/>
      <c r="AV603" s="1"/>
    </row>
    <row r="604" spans="2:48" x14ac:dyDescent="0.3">
      <c r="B604" s="1" t="s">
        <v>1203</v>
      </c>
      <c r="H604" s="1" t="s">
        <v>738</v>
      </c>
      <c r="I604" s="1"/>
      <c r="J604" s="1"/>
      <c r="K604" s="1"/>
      <c r="L604" s="1"/>
      <c r="M604" s="1"/>
      <c r="N604" s="1"/>
      <c r="O604" s="1"/>
      <c r="P604" s="1"/>
      <c r="Q604" s="1"/>
      <c r="R604" s="1"/>
      <c r="T604" s="1"/>
      <c r="U604" s="1"/>
      <c r="V604" s="1"/>
      <c r="W604" s="1"/>
      <c r="X604" s="1"/>
      <c r="Y604" s="1"/>
      <c r="Z604" s="1"/>
      <c r="AB604" s="1"/>
      <c r="AC604" s="1"/>
      <c r="AD604" s="1"/>
      <c r="AE604" s="1"/>
      <c r="AF604" s="1"/>
      <c r="AG604" s="1"/>
      <c r="AH604" s="1"/>
      <c r="AI604" s="1"/>
      <c r="AL604" s="1"/>
      <c r="AN604" s="1"/>
      <c r="AO604" s="1"/>
      <c r="AP604" s="1"/>
      <c r="AQ604" s="1"/>
      <c r="AR604" s="1"/>
      <c r="AS604" s="1"/>
      <c r="AT604" s="1"/>
      <c r="AU604" s="1"/>
      <c r="AV604" s="1"/>
    </row>
    <row r="605" spans="2:48" x14ac:dyDescent="0.3">
      <c r="B605" s="1" t="s">
        <v>1204</v>
      </c>
      <c r="H605" s="1" t="s">
        <v>738</v>
      </c>
      <c r="I605" s="1"/>
      <c r="J605" s="1"/>
      <c r="K605" s="1"/>
      <c r="L605" s="1"/>
      <c r="M605" s="1"/>
      <c r="N605" s="1"/>
      <c r="O605" s="1"/>
      <c r="P605" s="1"/>
      <c r="Q605" s="1"/>
      <c r="R605" s="1"/>
      <c r="T605" s="1"/>
      <c r="U605" s="1"/>
      <c r="V605" s="1"/>
      <c r="W605" s="1"/>
      <c r="X605" s="1"/>
      <c r="Y605" s="1"/>
      <c r="Z605" s="1"/>
      <c r="AB605" s="1"/>
      <c r="AC605" s="1"/>
      <c r="AD605" s="1"/>
      <c r="AE605" s="1"/>
      <c r="AF605" s="1"/>
      <c r="AG605" s="1"/>
      <c r="AH605" s="1"/>
      <c r="AI605" s="1"/>
      <c r="AL605" s="1"/>
      <c r="AN605" s="1"/>
      <c r="AO605" s="1"/>
      <c r="AP605" s="1"/>
      <c r="AQ605" s="1"/>
      <c r="AR605" s="1"/>
      <c r="AS605" s="1"/>
      <c r="AT605" s="1"/>
      <c r="AU605" s="1"/>
      <c r="AV605" s="1"/>
    </row>
    <row r="606" spans="2:48" x14ac:dyDescent="0.3">
      <c r="B606" s="1" t="s">
        <v>1205</v>
      </c>
      <c r="H606" s="1" t="s">
        <v>738</v>
      </c>
      <c r="I606" s="1"/>
      <c r="J606" s="1"/>
      <c r="K606" s="1"/>
      <c r="L606" s="1"/>
      <c r="M606" s="1"/>
      <c r="N606" s="1"/>
      <c r="O606" s="1"/>
      <c r="P606" s="1"/>
      <c r="Q606" s="1"/>
      <c r="R606" s="1"/>
      <c r="T606" s="1"/>
      <c r="U606" s="1"/>
      <c r="V606" s="1"/>
      <c r="W606" s="1"/>
      <c r="X606" s="1"/>
      <c r="Y606" s="1"/>
      <c r="Z606" s="1"/>
      <c r="AB606" s="1"/>
      <c r="AC606" s="1"/>
      <c r="AD606" s="1"/>
      <c r="AE606" s="1"/>
      <c r="AF606" s="1"/>
      <c r="AG606" s="1"/>
      <c r="AH606" s="1"/>
      <c r="AI606" s="1"/>
      <c r="AL606" s="1"/>
      <c r="AN606" s="1"/>
      <c r="AO606" s="1"/>
      <c r="AP606" s="1"/>
      <c r="AQ606" s="1"/>
      <c r="AR606" s="1"/>
      <c r="AS606" s="1"/>
      <c r="AT606" s="1"/>
      <c r="AU606" s="1"/>
      <c r="AV606" s="1"/>
    </row>
    <row r="607" spans="2:48" x14ac:dyDescent="0.3">
      <c r="B607" s="1" t="s">
        <v>1206</v>
      </c>
      <c r="H607" s="1" t="s">
        <v>738</v>
      </c>
      <c r="I607" s="1"/>
      <c r="J607" s="1"/>
      <c r="K607" s="1"/>
      <c r="L607" s="1"/>
      <c r="M607" s="1"/>
      <c r="N607" s="1"/>
      <c r="O607" s="1"/>
      <c r="P607" s="1"/>
      <c r="Q607" s="1"/>
      <c r="R607" s="1"/>
      <c r="T607" s="1"/>
      <c r="U607" s="1"/>
      <c r="V607" s="1"/>
      <c r="W607" s="1"/>
      <c r="X607" s="1"/>
      <c r="Y607" s="1"/>
      <c r="Z607" s="1"/>
      <c r="AB607" s="1"/>
      <c r="AC607" s="1"/>
      <c r="AD607" s="1"/>
      <c r="AE607" s="1"/>
      <c r="AF607" s="1"/>
      <c r="AG607" s="1"/>
      <c r="AH607" s="1"/>
      <c r="AI607" s="1"/>
      <c r="AL607" s="1"/>
      <c r="AN607" s="1"/>
      <c r="AO607" s="1"/>
      <c r="AP607" s="1"/>
      <c r="AQ607" s="1"/>
      <c r="AR607" s="1"/>
      <c r="AS607" s="1"/>
      <c r="AT607" s="1"/>
      <c r="AU607" s="1"/>
      <c r="AV607" s="1"/>
    </row>
    <row r="608" spans="2:48" x14ac:dyDescent="0.3">
      <c r="B608" s="1" t="s">
        <v>1207</v>
      </c>
      <c r="H608" s="1" t="s">
        <v>738</v>
      </c>
      <c r="I608" s="1"/>
      <c r="J608" s="1"/>
      <c r="K608" s="1"/>
      <c r="L608" s="1"/>
      <c r="M608" s="1"/>
      <c r="N608" s="1"/>
      <c r="O608" s="1"/>
      <c r="P608" s="1"/>
      <c r="Q608" s="1"/>
      <c r="R608" s="1"/>
      <c r="T608" s="1"/>
      <c r="U608" s="1"/>
      <c r="V608" s="1"/>
      <c r="W608" s="1"/>
      <c r="X608" s="1"/>
      <c r="Y608" s="1"/>
      <c r="Z608" s="1"/>
      <c r="AB608" s="1"/>
      <c r="AC608" s="1"/>
      <c r="AD608" s="1"/>
      <c r="AE608" s="1"/>
      <c r="AF608" s="1"/>
      <c r="AG608" s="1"/>
      <c r="AH608" s="1"/>
      <c r="AI608" s="1"/>
      <c r="AL608" s="1"/>
      <c r="AN608" s="1"/>
      <c r="AO608" s="1"/>
      <c r="AP608" s="1"/>
      <c r="AQ608" s="1"/>
      <c r="AR608" s="1"/>
      <c r="AS608" s="1"/>
      <c r="AT608" s="1"/>
      <c r="AU608" s="1"/>
      <c r="AV608" s="1"/>
    </row>
    <row r="609" spans="2:48" x14ac:dyDescent="0.3">
      <c r="B609" s="1" t="s">
        <v>1208</v>
      </c>
      <c r="H609" s="1" t="s">
        <v>738</v>
      </c>
      <c r="I609" s="1"/>
      <c r="J609" s="1"/>
      <c r="K609" s="1"/>
      <c r="L609" s="1"/>
      <c r="M609" s="1"/>
      <c r="N609" s="1"/>
      <c r="O609" s="1"/>
      <c r="P609" s="1"/>
      <c r="Q609" s="1"/>
      <c r="R609" s="1"/>
      <c r="T609" s="1"/>
      <c r="U609" s="1"/>
      <c r="V609" s="1"/>
      <c r="W609" s="1"/>
      <c r="X609" s="1"/>
      <c r="Y609" s="1"/>
      <c r="Z609" s="1"/>
      <c r="AB609" s="1"/>
      <c r="AC609" s="1"/>
      <c r="AD609" s="1"/>
      <c r="AE609" s="1"/>
      <c r="AF609" s="1"/>
      <c r="AG609" s="1"/>
      <c r="AH609" s="1"/>
      <c r="AI609" s="1"/>
      <c r="AL609" s="1"/>
      <c r="AN609" s="1"/>
      <c r="AO609" s="1"/>
      <c r="AP609" s="1"/>
      <c r="AQ609" s="1"/>
      <c r="AR609" s="1"/>
      <c r="AS609" s="1"/>
      <c r="AT609" s="1"/>
      <c r="AU609" s="1"/>
      <c r="AV609" s="1"/>
    </row>
    <row r="610" spans="2:48" x14ac:dyDescent="0.3">
      <c r="B610" s="1" t="s">
        <v>1209</v>
      </c>
      <c r="H610" s="1" t="s">
        <v>738</v>
      </c>
      <c r="I610" s="1"/>
      <c r="J610" s="1"/>
      <c r="K610" s="1"/>
      <c r="L610" s="1"/>
      <c r="M610" s="1"/>
      <c r="N610" s="1"/>
      <c r="O610" s="1"/>
      <c r="P610" s="1"/>
      <c r="Q610" s="1"/>
      <c r="R610" s="1"/>
      <c r="T610" s="1"/>
      <c r="U610" s="1"/>
      <c r="V610" s="1"/>
      <c r="W610" s="1"/>
      <c r="X610" s="1"/>
      <c r="Y610" s="1"/>
      <c r="Z610" s="1"/>
      <c r="AB610" s="1"/>
      <c r="AC610" s="1"/>
      <c r="AD610" s="1"/>
      <c r="AE610" s="1"/>
      <c r="AF610" s="1"/>
      <c r="AG610" s="1"/>
      <c r="AH610" s="1"/>
      <c r="AI610" s="1"/>
      <c r="AL610" s="1"/>
      <c r="AN610" s="1"/>
      <c r="AO610" s="1"/>
      <c r="AP610" s="1"/>
      <c r="AQ610" s="1"/>
      <c r="AR610" s="1"/>
      <c r="AS610" s="1"/>
      <c r="AT610" s="1"/>
      <c r="AU610" s="1"/>
      <c r="AV610" s="1"/>
    </row>
    <row r="611" spans="2:48" x14ac:dyDescent="0.3">
      <c r="B611" s="1" t="s">
        <v>1210</v>
      </c>
      <c r="H611" s="1" t="s">
        <v>738</v>
      </c>
      <c r="I611" s="1"/>
      <c r="J611" s="1"/>
      <c r="K611" s="1"/>
      <c r="L611" s="1"/>
      <c r="M611" s="1"/>
      <c r="N611" s="1"/>
      <c r="O611" s="1"/>
      <c r="P611" s="1"/>
      <c r="Q611" s="1"/>
      <c r="R611" s="1"/>
      <c r="T611" s="1"/>
      <c r="U611" s="1"/>
      <c r="V611" s="1"/>
      <c r="W611" s="1"/>
      <c r="X611" s="1"/>
      <c r="Y611" s="1"/>
      <c r="Z611" s="1"/>
      <c r="AB611" s="1"/>
      <c r="AC611" s="1"/>
      <c r="AD611" s="1"/>
      <c r="AE611" s="1"/>
      <c r="AF611" s="1"/>
      <c r="AG611" s="1"/>
      <c r="AH611" s="1"/>
      <c r="AI611" s="1"/>
      <c r="AL611" s="1"/>
      <c r="AN611" s="1"/>
      <c r="AO611" s="1"/>
      <c r="AP611" s="1"/>
      <c r="AQ611" s="1"/>
      <c r="AR611" s="1"/>
      <c r="AS611" s="1"/>
      <c r="AT611" s="1"/>
      <c r="AU611" s="1"/>
      <c r="AV611" s="1"/>
    </row>
    <row r="612" spans="2:48" x14ac:dyDescent="0.3">
      <c r="B612" s="1" t="s">
        <v>1211</v>
      </c>
      <c r="H612" s="1" t="s">
        <v>738</v>
      </c>
      <c r="I612" s="1"/>
      <c r="J612" s="1"/>
      <c r="K612" s="1"/>
      <c r="L612" s="1"/>
      <c r="M612" s="1"/>
      <c r="N612" s="1"/>
      <c r="O612" s="1"/>
      <c r="P612" s="1"/>
      <c r="Q612" s="1"/>
      <c r="R612" s="1"/>
      <c r="T612" s="1"/>
      <c r="U612" s="1"/>
      <c r="V612" s="1"/>
      <c r="W612" s="1"/>
      <c r="X612" s="1"/>
      <c r="Y612" s="1"/>
      <c r="Z612" s="1"/>
      <c r="AB612" s="1"/>
      <c r="AC612" s="1"/>
      <c r="AD612" s="1"/>
      <c r="AE612" s="1"/>
      <c r="AF612" s="1"/>
      <c r="AG612" s="1"/>
      <c r="AH612" s="1"/>
      <c r="AI612" s="1"/>
      <c r="AL612" s="1"/>
      <c r="AN612" s="1"/>
      <c r="AO612" s="1"/>
      <c r="AP612" s="1"/>
      <c r="AQ612" s="1"/>
      <c r="AR612" s="1"/>
      <c r="AS612" s="1"/>
      <c r="AT612" s="1"/>
      <c r="AU612" s="1"/>
      <c r="AV612" s="1"/>
    </row>
    <row r="613" spans="2:48" x14ac:dyDescent="0.3">
      <c r="B613" s="1" t="s">
        <v>1212</v>
      </c>
      <c r="H613" s="1" t="s">
        <v>738</v>
      </c>
      <c r="I613" s="1"/>
      <c r="J613" s="1"/>
      <c r="K613" s="1"/>
      <c r="L613" s="1"/>
      <c r="M613" s="1"/>
      <c r="N613" s="1"/>
      <c r="O613" s="1"/>
      <c r="P613" s="1"/>
      <c r="Q613" s="1"/>
      <c r="R613" s="1"/>
      <c r="T613" s="1"/>
      <c r="U613" s="1"/>
      <c r="V613" s="1"/>
      <c r="W613" s="1"/>
      <c r="X613" s="1"/>
      <c r="Y613" s="1"/>
      <c r="Z613" s="1"/>
      <c r="AB613" s="1"/>
      <c r="AC613" s="1"/>
      <c r="AD613" s="1"/>
      <c r="AE613" s="1"/>
      <c r="AF613" s="1"/>
      <c r="AG613" s="1"/>
      <c r="AH613" s="1"/>
      <c r="AI613" s="1"/>
      <c r="AL613" s="1"/>
      <c r="AN613" s="1"/>
      <c r="AO613" s="1"/>
      <c r="AP613" s="1"/>
      <c r="AQ613" s="1"/>
      <c r="AR613" s="1"/>
      <c r="AS613" s="1"/>
      <c r="AT613" s="1"/>
      <c r="AU613" s="1"/>
      <c r="AV613" s="1"/>
    </row>
    <row r="614" spans="2:48" x14ac:dyDescent="0.3">
      <c r="B614" s="1" t="s">
        <v>1213</v>
      </c>
      <c r="H614" s="1" t="s">
        <v>738</v>
      </c>
      <c r="I614" s="1"/>
      <c r="J614" s="1"/>
      <c r="K614" s="1"/>
      <c r="L614" s="1"/>
      <c r="M614" s="1"/>
      <c r="N614" s="1"/>
      <c r="O614" s="1"/>
      <c r="P614" s="1"/>
      <c r="Q614" s="1"/>
      <c r="R614" s="1"/>
      <c r="T614" s="1"/>
      <c r="U614" s="1"/>
      <c r="V614" s="1"/>
      <c r="W614" s="1"/>
      <c r="X614" s="1"/>
      <c r="Y614" s="1"/>
      <c r="Z614" s="1"/>
      <c r="AB614" s="1"/>
      <c r="AC614" s="1"/>
      <c r="AD614" s="1"/>
      <c r="AE614" s="1"/>
      <c r="AF614" s="1"/>
      <c r="AG614" s="1"/>
      <c r="AH614" s="1"/>
      <c r="AI614" s="1"/>
      <c r="AL614" s="1"/>
      <c r="AN614" s="1"/>
      <c r="AO614" s="1"/>
      <c r="AP614" s="1"/>
      <c r="AQ614" s="1"/>
      <c r="AR614" s="1"/>
      <c r="AS614" s="1"/>
      <c r="AT614" s="1"/>
      <c r="AU614" s="1"/>
      <c r="AV614" s="1"/>
    </row>
    <row r="615" spans="2:48" x14ac:dyDescent="0.3">
      <c r="B615" s="1" t="s">
        <v>1214</v>
      </c>
      <c r="H615" s="1" t="s">
        <v>738</v>
      </c>
      <c r="I615" s="1"/>
      <c r="J615" s="1"/>
      <c r="K615" s="1"/>
      <c r="L615" s="1"/>
      <c r="M615" s="1"/>
      <c r="N615" s="1"/>
      <c r="O615" s="1"/>
      <c r="P615" s="1"/>
      <c r="Q615" s="1"/>
      <c r="R615" s="1"/>
      <c r="T615" s="1"/>
      <c r="U615" s="1"/>
      <c r="V615" s="1"/>
      <c r="W615" s="1"/>
      <c r="X615" s="1"/>
      <c r="Y615" s="1"/>
      <c r="Z615" s="1"/>
      <c r="AB615" s="1"/>
      <c r="AC615" s="1"/>
      <c r="AD615" s="1"/>
      <c r="AE615" s="1"/>
      <c r="AF615" s="1"/>
      <c r="AG615" s="1"/>
      <c r="AH615" s="1"/>
      <c r="AI615" s="1"/>
      <c r="AL615" s="1"/>
      <c r="AN615" s="1"/>
      <c r="AO615" s="1"/>
      <c r="AP615" s="1"/>
      <c r="AQ615" s="1"/>
      <c r="AR615" s="1"/>
      <c r="AS615" s="1"/>
      <c r="AT615" s="1"/>
      <c r="AU615" s="1"/>
      <c r="AV615" s="1"/>
    </row>
    <row r="616" spans="2:48" x14ac:dyDescent="0.3">
      <c r="B616" s="1" t="s">
        <v>1215</v>
      </c>
      <c r="H616" s="1" t="s">
        <v>738</v>
      </c>
      <c r="I616" s="1"/>
      <c r="J616" s="1"/>
      <c r="K616" s="1"/>
      <c r="L616" s="1"/>
      <c r="M616" s="1"/>
      <c r="N616" s="1"/>
      <c r="O616" s="1"/>
      <c r="P616" s="1"/>
      <c r="Q616" s="1"/>
      <c r="R616" s="1"/>
      <c r="T616" s="1"/>
      <c r="U616" s="1"/>
      <c r="V616" s="1"/>
      <c r="W616" s="1"/>
      <c r="X616" s="1"/>
      <c r="Y616" s="1"/>
      <c r="Z616" s="1"/>
      <c r="AB616" s="1"/>
      <c r="AC616" s="1"/>
      <c r="AD616" s="1"/>
      <c r="AE616" s="1"/>
      <c r="AF616" s="1"/>
      <c r="AG616" s="1"/>
      <c r="AH616" s="1"/>
      <c r="AI616" s="1"/>
      <c r="AL616" s="1"/>
      <c r="AN616" s="1"/>
      <c r="AO616" s="1"/>
      <c r="AP616" s="1"/>
      <c r="AQ616" s="1"/>
      <c r="AR616" s="1"/>
      <c r="AS616" s="1"/>
      <c r="AT616" s="1"/>
      <c r="AU616" s="1"/>
      <c r="AV616" s="1"/>
    </row>
    <row r="617" spans="2:48" x14ac:dyDescent="0.3">
      <c r="B617" s="1" t="s">
        <v>1216</v>
      </c>
      <c r="H617" s="1" t="s">
        <v>738</v>
      </c>
      <c r="I617" s="1"/>
      <c r="J617" s="1"/>
      <c r="K617" s="1"/>
      <c r="L617" s="1"/>
      <c r="M617" s="1"/>
      <c r="N617" s="1"/>
      <c r="O617" s="1"/>
      <c r="P617" s="1"/>
      <c r="Q617" s="1"/>
      <c r="R617" s="1"/>
      <c r="T617" s="1"/>
      <c r="U617" s="1"/>
      <c r="V617" s="1"/>
      <c r="W617" s="1"/>
      <c r="X617" s="1"/>
      <c r="Y617" s="1"/>
      <c r="Z617" s="1"/>
      <c r="AB617" s="1"/>
      <c r="AC617" s="1"/>
      <c r="AD617" s="1"/>
      <c r="AE617" s="1"/>
      <c r="AF617" s="1"/>
      <c r="AG617" s="1"/>
      <c r="AH617" s="1"/>
      <c r="AI617" s="1"/>
      <c r="AL617" s="1"/>
      <c r="AN617" s="1"/>
      <c r="AO617" s="1"/>
      <c r="AP617" s="1"/>
      <c r="AQ617" s="1"/>
      <c r="AR617" s="1"/>
      <c r="AS617" s="1"/>
      <c r="AT617" s="1"/>
      <c r="AU617" s="1"/>
      <c r="AV617" s="1"/>
    </row>
    <row r="618" spans="2:48" x14ac:dyDescent="0.3">
      <c r="B618" s="1" t="s">
        <v>1217</v>
      </c>
      <c r="H618" s="1" t="s">
        <v>738</v>
      </c>
      <c r="I618" s="1"/>
      <c r="J618" s="1"/>
      <c r="K618" s="1"/>
      <c r="L618" s="1"/>
      <c r="M618" s="1"/>
      <c r="N618" s="1"/>
      <c r="O618" s="1"/>
      <c r="P618" s="1"/>
      <c r="Q618" s="1"/>
      <c r="R618" s="1"/>
      <c r="T618" s="1"/>
      <c r="U618" s="1"/>
      <c r="V618" s="1"/>
      <c r="W618" s="1"/>
      <c r="X618" s="1"/>
      <c r="Y618" s="1"/>
      <c r="Z618" s="1"/>
      <c r="AB618" s="1"/>
      <c r="AC618" s="1"/>
      <c r="AD618" s="1"/>
      <c r="AE618" s="1"/>
      <c r="AF618" s="1"/>
      <c r="AG618" s="1"/>
      <c r="AH618" s="1"/>
      <c r="AI618" s="1"/>
      <c r="AL618" s="1"/>
      <c r="AN618" s="1"/>
      <c r="AO618" s="1"/>
      <c r="AP618" s="1"/>
      <c r="AQ618" s="1"/>
      <c r="AR618" s="1"/>
      <c r="AS618" s="1"/>
      <c r="AT618" s="1"/>
      <c r="AU618" s="1"/>
      <c r="AV618" s="1"/>
    </row>
    <row r="619" spans="2:48" x14ac:dyDescent="0.3">
      <c r="B619" s="1" t="s">
        <v>1218</v>
      </c>
      <c r="H619" s="1" t="s">
        <v>738</v>
      </c>
      <c r="I619" s="1"/>
      <c r="J619" s="1"/>
      <c r="K619" s="1"/>
      <c r="L619" s="1"/>
      <c r="M619" s="1"/>
      <c r="N619" s="1"/>
      <c r="O619" s="1"/>
      <c r="P619" s="1"/>
      <c r="Q619" s="1"/>
      <c r="R619" s="1"/>
      <c r="T619" s="1"/>
      <c r="U619" s="1"/>
      <c r="V619" s="1"/>
      <c r="W619" s="1"/>
      <c r="X619" s="1"/>
      <c r="Y619" s="1"/>
      <c r="Z619" s="1"/>
      <c r="AB619" s="1"/>
      <c r="AC619" s="1"/>
      <c r="AD619" s="1"/>
      <c r="AE619" s="1"/>
      <c r="AF619" s="1"/>
      <c r="AG619" s="1"/>
      <c r="AH619" s="1"/>
      <c r="AI619" s="1"/>
      <c r="AL619" s="1"/>
      <c r="AN619" s="1"/>
      <c r="AO619" s="1"/>
      <c r="AP619" s="1"/>
      <c r="AQ619" s="1"/>
      <c r="AR619" s="1"/>
      <c r="AS619" s="1"/>
      <c r="AT619" s="1"/>
      <c r="AU619" s="1"/>
      <c r="AV619" s="1"/>
    </row>
    <row r="620" spans="2:48" x14ac:dyDescent="0.3">
      <c r="B620" s="1" t="s">
        <v>1219</v>
      </c>
      <c r="H620" s="1" t="s">
        <v>738</v>
      </c>
      <c r="I620" s="1"/>
      <c r="J620" s="1"/>
      <c r="K620" s="1"/>
      <c r="L620" s="1"/>
      <c r="M620" s="1"/>
      <c r="N620" s="1"/>
      <c r="O620" s="1"/>
      <c r="P620" s="1"/>
      <c r="Q620" s="1"/>
      <c r="R620" s="1"/>
      <c r="T620" s="1"/>
      <c r="U620" s="1"/>
      <c r="V620" s="1"/>
      <c r="W620" s="1"/>
      <c r="X620" s="1"/>
      <c r="Y620" s="1"/>
      <c r="Z620" s="1"/>
      <c r="AB620" s="1"/>
      <c r="AC620" s="1"/>
      <c r="AD620" s="1"/>
      <c r="AE620" s="1"/>
      <c r="AF620" s="1"/>
      <c r="AG620" s="1"/>
      <c r="AH620" s="1"/>
      <c r="AI620" s="1"/>
      <c r="AL620" s="1"/>
      <c r="AN620" s="1"/>
      <c r="AO620" s="1"/>
      <c r="AP620" s="1"/>
      <c r="AQ620" s="1"/>
      <c r="AR620" s="1"/>
      <c r="AS620" s="1"/>
      <c r="AT620" s="1"/>
      <c r="AU620" s="1"/>
      <c r="AV620" s="1"/>
    </row>
    <row r="621" spans="2:48" x14ac:dyDescent="0.3">
      <c r="B621" s="1" t="s">
        <v>1220</v>
      </c>
      <c r="H621" s="1" t="s">
        <v>738</v>
      </c>
      <c r="I621" s="1"/>
      <c r="J621" s="1"/>
      <c r="K621" s="1"/>
      <c r="L621" s="1"/>
      <c r="M621" s="1"/>
      <c r="N621" s="1"/>
      <c r="O621" s="1"/>
      <c r="P621" s="1"/>
      <c r="Q621" s="1"/>
      <c r="R621" s="1"/>
      <c r="T621" s="1"/>
      <c r="U621" s="1"/>
      <c r="V621" s="1"/>
      <c r="W621" s="1"/>
      <c r="X621" s="1"/>
      <c r="Y621" s="1"/>
      <c r="Z621" s="1"/>
      <c r="AB621" s="1"/>
      <c r="AC621" s="1"/>
      <c r="AD621" s="1"/>
      <c r="AE621" s="1"/>
      <c r="AF621" s="1"/>
      <c r="AG621" s="1"/>
      <c r="AH621" s="1"/>
      <c r="AI621" s="1"/>
      <c r="AL621" s="1"/>
      <c r="AN621" s="1"/>
      <c r="AO621" s="1"/>
      <c r="AP621" s="1"/>
      <c r="AQ621" s="1"/>
      <c r="AR621" s="1"/>
      <c r="AS621" s="1"/>
      <c r="AT621" s="1"/>
      <c r="AU621" s="1"/>
      <c r="AV621" s="1"/>
    </row>
    <row r="622" spans="2:48" x14ac:dyDescent="0.3">
      <c r="B622" s="1" t="s">
        <v>1221</v>
      </c>
      <c r="H622" s="1" t="s">
        <v>738</v>
      </c>
      <c r="I622" s="1"/>
      <c r="J622" s="1"/>
      <c r="K622" s="1"/>
      <c r="L622" s="1"/>
      <c r="M622" s="1"/>
      <c r="N622" s="1"/>
      <c r="O622" s="1"/>
      <c r="P622" s="1"/>
      <c r="Q622" s="1"/>
      <c r="R622" s="1"/>
      <c r="T622" s="1"/>
      <c r="U622" s="1"/>
      <c r="V622" s="1"/>
      <c r="W622" s="1"/>
      <c r="X622" s="1"/>
      <c r="Y622" s="1"/>
      <c r="Z622" s="1"/>
      <c r="AB622" s="1"/>
      <c r="AC622" s="1"/>
      <c r="AD622" s="1"/>
      <c r="AE622" s="1"/>
      <c r="AF622" s="1"/>
      <c r="AG622" s="1"/>
      <c r="AH622" s="1"/>
      <c r="AI622" s="1"/>
      <c r="AL622" s="1"/>
      <c r="AN622" s="1"/>
      <c r="AO622" s="1"/>
      <c r="AP622" s="1"/>
      <c r="AQ622" s="1"/>
      <c r="AR622" s="1"/>
      <c r="AS622" s="1"/>
      <c r="AT622" s="1"/>
      <c r="AU622" s="1"/>
      <c r="AV622" s="1"/>
    </row>
    <row r="623" spans="2:48" x14ac:dyDescent="0.3">
      <c r="B623" s="1" t="s">
        <v>1222</v>
      </c>
      <c r="H623" s="1" t="s">
        <v>738</v>
      </c>
      <c r="I623" s="1"/>
      <c r="J623" s="1"/>
      <c r="K623" s="1"/>
      <c r="L623" s="1"/>
      <c r="M623" s="1"/>
      <c r="N623" s="1"/>
      <c r="O623" s="1"/>
      <c r="P623" s="1"/>
      <c r="Q623" s="1"/>
      <c r="R623" s="1"/>
      <c r="T623" s="1"/>
      <c r="U623" s="1"/>
      <c r="V623" s="1"/>
      <c r="W623" s="1"/>
      <c r="X623" s="1"/>
      <c r="Y623" s="1"/>
      <c r="Z623" s="1"/>
      <c r="AB623" s="1"/>
      <c r="AC623" s="1"/>
      <c r="AD623" s="1"/>
      <c r="AE623" s="1"/>
      <c r="AF623" s="1"/>
      <c r="AG623" s="1"/>
      <c r="AH623" s="1"/>
      <c r="AI623" s="1"/>
      <c r="AL623" s="1"/>
      <c r="AN623" s="1"/>
      <c r="AO623" s="1"/>
      <c r="AP623" s="1"/>
      <c r="AQ623" s="1"/>
      <c r="AR623" s="1"/>
      <c r="AS623" s="1"/>
      <c r="AT623" s="1"/>
      <c r="AU623" s="1"/>
      <c r="AV623" s="1"/>
    </row>
    <row r="624" spans="2:48" x14ac:dyDescent="0.3">
      <c r="B624" s="1" t="s">
        <v>1223</v>
      </c>
      <c r="H624" s="1" t="s">
        <v>738</v>
      </c>
      <c r="I624" s="1"/>
      <c r="J624" s="1"/>
      <c r="K624" s="1"/>
      <c r="L624" s="1"/>
      <c r="M624" s="1"/>
      <c r="N624" s="1"/>
      <c r="O624" s="1"/>
      <c r="P624" s="1"/>
      <c r="Q624" s="1"/>
      <c r="R624" s="1"/>
      <c r="T624" s="1"/>
      <c r="U624" s="1"/>
      <c r="V624" s="1"/>
      <c r="W624" s="1"/>
      <c r="X624" s="1"/>
      <c r="Y624" s="1"/>
      <c r="Z624" s="1"/>
      <c r="AB624" s="1"/>
      <c r="AC624" s="1"/>
      <c r="AD624" s="1"/>
      <c r="AE624" s="1"/>
      <c r="AF624" s="1"/>
      <c r="AG624" s="1"/>
      <c r="AH624" s="1"/>
      <c r="AI624" s="1"/>
      <c r="AL624" s="1"/>
      <c r="AN624" s="1"/>
      <c r="AO624" s="1"/>
      <c r="AP624" s="1"/>
      <c r="AQ624" s="1"/>
      <c r="AR624" s="1"/>
      <c r="AS624" s="1"/>
      <c r="AT624" s="1"/>
      <c r="AU624" s="1"/>
      <c r="AV624" s="1"/>
    </row>
    <row r="625" spans="2:48" x14ac:dyDescent="0.3">
      <c r="B625" s="1" t="s">
        <v>1224</v>
      </c>
      <c r="H625" s="1" t="s">
        <v>738</v>
      </c>
      <c r="I625" s="1"/>
      <c r="J625" s="1"/>
      <c r="K625" s="1"/>
      <c r="L625" s="1"/>
      <c r="M625" s="1"/>
      <c r="N625" s="1"/>
      <c r="O625" s="1"/>
      <c r="P625" s="1"/>
      <c r="Q625" s="1"/>
      <c r="R625" s="1"/>
      <c r="T625" s="1"/>
      <c r="U625" s="1"/>
      <c r="V625" s="1"/>
      <c r="W625" s="1"/>
      <c r="X625" s="1"/>
      <c r="Y625" s="1"/>
      <c r="Z625" s="1"/>
      <c r="AB625" s="1"/>
      <c r="AC625" s="1"/>
      <c r="AD625" s="1"/>
      <c r="AE625" s="1"/>
      <c r="AF625" s="1"/>
      <c r="AG625" s="1"/>
      <c r="AH625" s="1"/>
      <c r="AI625" s="1"/>
      <c r="AL625" s="1"/>
      <c r="AN625" s="1"/>
      <c r="AO625" s="1"/>
      <c r="AP625" s="1"/>
      <c r="AQ625" s="1"/>
      <c r="AR625" s="1"/>
      <c r="AS625" s="1"/>
      <c r="AT625" s="1"/>
      <c r="AU625" s="1"/>
      <c r="AV625" s="1"/>
    </row>
    <row r="626" spans="2:48" x14ac:dyDescent="0.3">
      <c r="B626" s="1" t="s">
        <v>1225</v>
      </c>
      <c r="H626" s="1" t="s">
        <v>738</v>
      </c>
      <c r="I626" s="1"/>
      <c r="J626" s="1"/>
      <c r="K626" s="1"/>
      <c r="L626" s="1"/>
      <c r="M626" s="1"/>
      <c r="N626" s="1"/>
      <c r="O626" s="1"/>
      <c r="P626" s="1"/>
      <c r="Q626" s="1"/>
      <c r="R626" s="1"/>
      <c r="T626" s="1"/>
      <c r="U626" s="1"/>
      <c r="V626" s="1"/>
      <c r="W626" s="1"/>
      <c r="X626" s="1"/>
      <c r="Y626" s="1"/>
      <c r="Z626" s="1"/>
      <c r="AB626" s="1"/>
      <c r="AC626" s="1"/>
      <c r="AD626" s="1"/>
      <c r="AE626" s="1"/>
      <c r="AF626" s="1"/>
      <c r="AG626" s="1"/>
      <c r="AH626" s="1"/>
      <c r="AI626" s="1"/>
      <c r="AL626" s="1"/>
      <c r="AN626" s="1"/>
      <c r="AO626" s="1"/>
      <c r="AP626" s="1"/>
      <c r="AQ626" s="1"/>
      <c r="AR626" s="1"/>
      <c r="AS626" s="1"/>
      <c r="AT626" s="1"/>
      <c r="AU626" s="1"/>
      <c r="AV626" s="1"/>
    </row>
    <row r="627" spans="2:48" x14ac:dyDescent="0.3">
      <c r="B627" s="1" t="s">
        <v>1226</v>
      </c>
      <c r="H627" s="1" t="s">
        <v>738</v>
      </c>
      <c r="I627" s="1"/>
      <c r="J627" s="1"/>
      <c r="K627" s="1"/>
      <c r="L627" s="1"/>
      <c r="M627" s="1"/>
      <c r="N627" s="1"/>
      <c r="O627" s="1"/>
      <c r="P627" s="1"/>
      <c r="Q627" s="1"/>
      <c r="R627" s="1"/>
      <c r="T627" s="1"/>
      <c r="U627" s="1"/>
      <c r="V627" s="1"/>
      <c r="W627" s="1"/>
      <c r="X627" s="1"/>
      <c r="Y627" s="1"/>
      <c r="Z627" s="1"/>
      <c r="AB627" s="1"/>
      <c r="AC627" s="1"/>
      <c r="AD627" s="1"/>
      <c r="AE627" s="1"/>
      <c r="AF627" s="1"/>
      <c r="AG627" s="1"/>
      <c r="AH627" s="1"/>
      <c r="AI627" s="1"/>
      <c r="AL627" s="1"/>
      <c r="AN627" s="1"/>
      <c r="AO627" s="1"/>
      <c r="AP627" s="1"/>
      <c r="AQ627" s="1"/>
      <c r="AR627" s="1"/>
      <c r="AS627" s="1"/>
      <c r="AT627" s="1"/>
      <c r="AU627" s="1"/>
      <c r="AV627" s="1"/>
    </row>
    <row r="628" spans="2:48" x14ac:dyDescent="0.3">
      <c r="B628" s="1" t="s">
        <v>1227</v>
      </c>
      <c r="H628" s="1" t="s">
        <v>738</v>
      </c>
      <c r="I628" s="1"/>
      <c r="J628" s="1"/>
      <c r="K628" s="1"/>
      <c r="L628" s="1"/>
      <c r="M628" s="1"/>
      <c r="N628" s="1"/>
      <c r="O628" s="1"/>
      <c r="P628" s="1"/>
      <c r="Q628" s="1"/>
      <c r="R628" s="1"/>
      <c r="T628" s="1"/>
      <c r="U628" s="1"/>
      <c r="V628" s="1"/>
      <c r="W628" s="1"/>
      <c r="X628" s="1"/>
      <c r="Y628" s="1"/>
      <c r="Z628" s="1"/>
      <c r="AB628" s="1"/>
      <c r="AC628" s="1"/>
      <c r="AD628" s="1"/>
      <c r="AE628" s="1"/>
      <c r="AF628" s="1"/>
      <c r="AG628" s="1"/>
      <c r="AH628" s="1"/>
      <c r="AI628" s="1"/>
      <c r="AL628" s="1"/>
      <c r="AN628" s="1"/>
      <c r="AO628" s="1"/>
      <c r="AP628" s="1"/>
      <c r="AQ628" s="1"/>
      <c r="AR628" s="1"/>
      <c r="AS628" s="1"/>
      <c r="AT628" s="1"/>
      <c r="AU628" s="1"/>
      <c r="AV628" s="1"/>
    </row>
    <row r="629" spans="2:48" x14ac:dyDescent="0.3">
      <c r="B629" s="1" t="s">
        <v>1228</v>
      </c>
      <c r="H629" s="1" t="s">
        <v>738</v>
      </c>
      <c r="I629" s="1"/>
      <c r="J629" s="1"/>
      <c r="K629" s="1"/>
      <c r="L629" s="1"/>
      <c r="M629" s="1"/>
      <c r="N629" s="1"/>
      <c r="O629" s="1"/>
      <c r="P629" s="1"/>
      <c r="Q629" s="1"/>
      <c r="R629" s="1"/>
      <c r="T629" s="1"/>
      <c r="U629" s="1"/>
      <c r="V629" s="1"/>
      <c r="W629" s="1"/>
      <c r="X629" s="1"/>
      <c r="Y629" s="1"/>
      <c r="Z629" s="1"/>
      <c r="AB629" s="1"/>
      <c r="AC629" s="1"/>
      <c r="AD629" s="1"/>
      <c r="AE629" s="1"/>
      <c r="AF629" s="1"/>
      <c r="AG629" s="1"/>
      <c r="AH629" s="1"/>
      <c r="AI629" s="1"/>
      <c r="AL629" s="1"/>
      <c r="AN629" s="1"/>
      <c r="AO629" s="1"/>
      <c r="AP629" s="1"/>
      <c r="AQ629" s="1"/>
      <c r="AR629" s="1"/>
      <c r="AS629" s="1"/>
      <c r="AT629" s="1"/>
      <c r="AU629" s="1"/>
      <c r="AV629" s="1"/>
    </row>
    <row r="630" spans="2:48" x14ac:dyDescent="0.3">
      <c r="B630" s="1" t="s">
        <v>1229</v>
      </c>
      <c r="H630" s="1" t="s">
        <v>738</v>
      </c>
      <c r="I630" s="1"/>
      <c r="J630" s="1"/>
      <c r="K630" s="1"/>
      <c r="L630" s="1"/>
      <c r="M630" s="1"/>
      <c r="N630" s="1"/>
      <c r="O630" s="1"/>
      <c r="P630" s="1"/>
      <c r="Q630" s="1"/>
      <c r="R630" s="1"/>
      <c r="T630" s="1"/>
      <c r="U630" s="1"/>
      <c r="V630" s="1"/>
      <c r="W630" s="1"/>
      <c r="X630" s="1"/>
      <c r="Y630" s="1"/>
      <c r="Z630" s="1"/>
      <c r="AB630" s="1"/>
      <c r="AC630" s="1"/>
      <c r="AD630" s="1"/>
      <c r="AE630" s="1"/>
      <c r="AF630" s="1"/>
      <c r="AG630" s="1"/>
      <c r="AH630" s="1"/>
      <c r="AI630" s="1"/>
      <c r="AL630" s="1"/>
      <c r="AN630" s="1"/>
      <c r="AO630" s="1"/>
      <c r="AP630" s="1"/>
      <c r="AQ630" s="1"/>
      <c r="AR630" s="1"/>
      <c r="AS630" s="1"/>
      <c r="AT630" s="1"/>
      <c r="AU630" s="1"/>
      <c r="AV630" s="1"/>
    </row>
    <row r="631" spans="2:48" x14ac:dyDescent="0.3">
      <c r="B631" s="1" t="s">
        <v>1230</v>
      </c>
      <c r="H631" s="1" t="s">
        <v>738</v>
      </c>
      <c r="I631" s="1"/>
      <c r="J631" s="1"/>
      <c r="K631" s="1"/>
      <c r="L631" s="1"/>
      <c r="M631" s="1"/>
      <c r="N631" s="1"/>
      <c r="O631" s="1"/>
      <c r="P631" s="1"/>
      <c r="Q631" s="1"/>
      <c r="R631" s="1"/>
      <c r="T631" s="1"/>
      <c r="U631" s="1"/>
      <c r="V631" s="1"/>
      <c r="W631" s="1"/>
      <c r="X631" s="1"/>
      <c r="Y631" s="1"/>
      <c r="Z631" s="1"/>
      <c r="AB631" s="1"/>
      <c r="AC631" s="1"/>
      <c r="AD631" s="1"/>
      <c r="AE631" s="1"/>
      <c r="AF631" s="1"/>
      <c r="AG631" s="1"/>
      <c r="AH631" s="1"/>
      <c r="AI631" s="1"/>
      <c r="AL631" s="1"/>
      <c r="AN631" s="1"/>
      <c r="AO631" s="1"/>
      <c r="AP631" s="1"/>
      <c r="AQ631" s="1"/>
      <c r="AR631" s="1"/>
      <c r="AS631" s="1"/>
      <c r="AT631" s="1"/>
      <c r="AU631" s="1"/>
      <c r="AV631" s="1"/>
    </row>
    <row r="632" spans="2:48" x14ac:dyDescent="0.3">
      <c r="B632" s="1" t="s">
        <v>1231</v>
      </c>
      <c r="H632" s="1" t="s">
        <v>738</v>
      </c>
      <c r="I632" s="1"/>
      <c r="J632" s="1"/>
      <c r="K632" s="1"/>
      <c r="L632" s="1"/>
      <c r="M632" s="1"/>
      <c r="N632" s="1"/>
      <c r="O632" s="1"/>
      <c r="P632" s="1"/>
      <c r="Q632" s="1"/>
      <c r="R632" s="1"/>
      <c r="T632" s="1"/>
      <c r="U632" s="1"/>
      <c r="V632" s="1"/>
      <c r="W632" s="1"/>
      <c r="X632" s="1"/>
      <c r="Y632" s="1"/>
      <c r="Z632" s="1"/>
      <c r="AB632" s="1"/>
      <c r="AC632" s="1"/>
      <c r="AD632" s="1"/>
      <c r="AE632" s="1"/>
      <c r="AF632" s="1"/>
      <c r="AG632" s="1"/>
      <c r="AH632" s="1"/>
      <c r="AI632" s="1"/>
      <c r="AL632" s="1"/>
      <c r="AN632" s="1"/>
      <c r="AO632" s="1"/>
      <c r="AP632" s="1"/>
      <c r="AQ632" s="1"/>
      <c r="AR632" s="1"/>
      <c r="AS632" s="1"/>
      <c r="AT632" s="1"/>
      <c r="AU632" s="1"/>
      <c r="AV632" s="1"/>
    </row>
    <row r="633" spans="2:48" x14ac:dyDescent="0.3">
      <c r="B633" s="1" t="s">
        <v>1232</v>
      </c>
      <c r="H633" s="1" t="s">
        <v>738</v>
      </c>
      <c r="I633" s="1"/>
      <c r="J633" s="1"/>
      <c r="K633" s="1"/>
      <c r="L633" s="1"/>
      <c r="M633" s="1"/>
      <c r="N633" s="1"/>
      <c r="O633" s="1"/>
      <c r="P633" s="1"/>
      <c r="Q633" s="1"/>
      <c r="R633" s="1"/>
      <c r="T633" s="1"/>
      <c r="U633" s="1"/>
      <c r="V633" s="1"/>
      <c r="W633" s="1"/>
      <c r="X633" s="1"/>
      <c r="Y633" s="1"/>
      <c r="Z633" s="1"/>
      <c r="AB633" s="1"/>
      <c r="AC633" s="1"/>
      <c r="AD633" s="1"/>
      <c r="AE633" s="1"/>
      <c r="AF633" s="1"/>
      <c r="AG633" s="1"/>
      <c r="AH633" s="1"/>
      <c r="AI633" s="1"/>
      <c r="AL633" s="1"/>
      <c r="AN633" s="1"/>
      <c r="AO633" s="1"/>
      <c r="AP633" s="1"/>
      <c r="AQ633" s="1"/>
      <c r="AR633" s="1"/>
      <c r="AS633" s="1"/>
      <c r="AT633" s="1"/>
      <c r="AU633" s="1"/>
      <c r="AV633" s="1"/>
    </row>
    <row r="634" spans="2:48" x14ac:dyDescent="0.3">
      <c r="B634" s="1" t="s">
        <v>1233</v>
      </c>
      <c r="H634" s="1" t="s">
        <v>738</v>
      </c>
      <c r="I634" s="1"/>
      <c r="J634" s="1"/>
      <c r="K634" s="1"/>
      <c r="L634" s="1"/>
      <c r="M634" s="1"/>
      <c r="N634" s="1"/>
      <c r="O634" s="1"/>
      <c r="P634" s="1"/>
      <c r="Q634" s="1"/>
      <c r="R634" s="1"/>
      <c r="T634" s="1"/>
      <c r="U634" s="1"/>
      <c r="V634" s="1"/>
      <c r="W634" s="1"/>
      <c r="X634" s="1"/>
      <c r="Y634" s="1"/>
      <c r="Z634" s="1"/>
      <c r="AB634" s="1"/>
      <c r="AC634" s="1"/>
      <c r="AD634" s="1"/>
      <c r="AE634" s="1"/>
      <c r="AF634" s="1"/>
      <c r="AG634" s="1"/>
      <c r="AH634" s="1"/>
      <c r="AI634" s="1"/>
      <c r="AL634" s="1"/>
      <c r="AN634" s="1"/>
      <c r="AO634" s="1"/>
      <c r="AP634" s="1"/>
      <c r="AQ634" s="1"/>
      <c r="AR634" s="1"/>
      <c r="AS634" s="1"/>
      <c r="AT634" s="1"/>
      <c r="AU634" s="1"/>
      <c r="AV634" s="1"/>
    </row>
    <row r="635" spans="2:48" x14ac:dyDescent="0.3">
      <c r="B635" s="1" t="s">
        <v>1234</v>
      </c>
      <c r="H635" s="1" t="s">
        <v>738</v>
      </c>
      <c r="I635" s="1"/>
      <c r="J635" s="1"/>
      <c r="K635" s="1"/>
      <c r="L635" s="1"/>
      <c r="M635" s="1"/>
      <c r="N635" s="1"/>
      <c r="O635" s="1"/>
      <c r="P635" s="1"/>
      <c r="Q635" s="1"/>
      <c r="R635" s="1"/>
      <c r="T635" s="1"/>
      <c r="U635" s="1"/>
      <c r="V635" s="1"/>
      <c r="W635" s="1"/>
      <c r="X635" s="1"/>
      <c r="Y635" s="1"/>
      <c r="Z635" s="1"/>
      <c r="AB635" s="1"/>
      <c r="AC635" s="1"/>
      <c r="AD635" s="1"/>
      <c r="AE635" s="1"/>
      <c r="AF635" s="1"/>
      <c r="AG635" s="1"/>
      <c r="AH635" s="1"/>
      <c r="AI635" s="1"/>
      <c r="AL635" s="1"/>
      <c r="AN635" s="1"/>
      <c r="AO635" s="1"/>
      <c r="AP635" s="1"/>
      <c r="AQ635" s="1"/>
      <c r="AR635" s="1"/>
      <c r="AS635" s="1"/>
      <c r="AT635" s="1"/>
      <c r="AU635" s="1"/>
      <c r="AV635" s="1"/>
    </row>
    <row r="636" spans="2:48" x14ac:dyDescent="0.3">
      <c r="B636" s="1" t="s">
        <v>1235</v>
      </c>
      <c r="H636" s="1" t="s">
        <v>738</v>
      </c>
      <c r="I636" s="1"/>
      <c r="J636" s="1"/>
      <c r="K636" s="1"/>
      <c r="L636" s="1"/>
      <c r="M636" s="1"/>
      <c r="N636" s="1"/>
      <c r="O636" s="1"/>
      <c r="P636" s="1"/>
      <c r="Q636" s="1"/>
      <c r="R636" s="1"/>
      <c r="T636" s="1"/>
      <c r="U636" s="1"/>
      <c r="V636" s="1"/>
      <c r="W636" s="1"/>
      <c r="X636" s="1"/>
      <c r="Y636" s="1"/>
      <c r="Z636" s="1"/>
      <c r="AB636" s="1"/>
      <c r="AC636" s="1"/>
      <c r="AD636" s="1"/>
      <c r="AE636" s="1"/>
      <c r="AF636" s="1"/>
      <c r="AG636" s="1"/>
      <c r="AH636" s="1"/>
      <c r="AI636" s="1"/>
      <c r="AL636" s="1"/>
      <c r="AN636" s="1"/>
      <c r="AO636" s="1"/>
      <c r="AP636" s="1"/>
      <c r="AQ636" s="1"/>
      <c r="AR636" s="1"/>
      <c r="AS636" s="1"/>
      <c r="AT636" s="1"/>
      <c r="AU636" s="1"/>
      <c r="AV636" s="1"/>
    </row>
    <row r="637" spans="2:48" x14ac:dyDescent="0.3">
      <c r="B637" s="1" t="s">
        <v>1236</v>
      </c>
      <c r="H637" s="1" t="s">
        <v>738</v>
      </c>
      <c r="I637" s="1"/>
      <c r="J637" s="1"/>
      <c r="K637" s="1"/>
      <c r="L637" s="1"/>
      <c r="M637" s="1"/>
      <c r="N637" s="1"/>
      <c r="O637" s="1"/>
      <c r="P637" s="1"/>
      <c r="Q637" s="1"/>
      <c r="R637" s="1"/>
      <c r="T637" s="1"/>
      <c r="U637" s="1"/>
      <c r="V637" s="1"/>
      <c r="W637" s="1"/>
      <c r="X637" s="1"/>
      <c r="Y637" s="1"/>
      <c r="Z637" s="1"/>
      <c r="AB637" s="1"/>
      <c r="AC637" s="1"/>
      <c r="AD637" s="1"/>
      <c r="AE637" s="1"/>
      <c r="AF637" s="1"/>
      <c r="AG637" s="1"/>
      <c r="AH637" s="1"/>
      <c r="AI637" s="1"/>
      <c r="AL637" s="1"/>
      <c r="AN637" s="1"/>
      <c r="AO637" s="1"/>
      <c r="AP637" s="1"/>
      <c r="AQ637" s="1"/>
      <c r="AR637" s="1"/>
      <c r="AS637" s="1"/>
      <c r="AT637" s="1"/>
      <c r="AU637" s="1"/>
      <c r="AV637" s="1"/>
    </row>
    <row r="638" spans="2:48" x14ac:dyDescent="0.3">
      <c r="B638" s="1" t="s">
        <v>1237</v>
      </c>
      <c r="H638" s="1" t="s">
        <v>738</v>
      </c>
      <c r="I638" s="1"/>
      <c r="J638" s="1"/>
      <c r="K638" s="1"/>
      <c r="L638" s="1"/>
      <c r="M638" s="1"/>
      <c r="N638" s="1"/>
      <c r="O638" s="1"/>
      <c r="P638" s="1"/>
      <c r="Q638" s="1"/>
      <c r="R638" s="1"/>
      <c r="T638" s="1"/>
      <c r="U638" s="1"/>
      <c r="V638" s="1"/>
      <c r="W638" s="1"/>
      <c r="X638" s="1"/>
      <c r="Y638" s="1"/>
      <c r="Z638" s="1"/>
      <c r="AB638" s="1"/>
      <c r="AC638" s="1"/>
      <c r="AD638" s="1"/>
      <c r="AE638" s="1"/>
      <c r="AF638" s="1"/>
      <c r="AG638" s="1"/>
      <c r="AH638" s="1"/>
      <c r="AI638" s="1"/>
      <c r="AL638" s="1"/>
      <c r="AN638" s="1"/>
      <c r="AO638" s="1"/>
      <c r="AP638" s="1"/>
      <c r="AQ638" s="1"/>
      <c r="AR638" s="1"/>
      <c r="AS638" s="1"/>
      <c r="AT638" s="1"/>
      <c r="AU638" s="1"/>
      <c r="AV638" s="1"/>
    </row>
    <row r="639" spans="2:48" x14ac:dyDescent="0.3">
      <c r="B639" s="1" t="s">
        <v>1238</v>
      </c>
      <c r="H639" s="1" t="s">
        <v>738</v>
      </c>
      <c r="I639" s="1"/>
      <c r="J639" s="1"/>
      <c r="K639" s="1"/>
      <c r="L639" s="1"/>
      <c r="M639" s="1"/>
      <c r="N639" s="1"/>
      <c r="O639" s="1"/>
      <c r="P639" s="1"/>
      <c r="Q639" s="1"/>
      <c r="R639" s="1"/>
      <c r="T639" s="1"/>
      <c r="U639" s="1"/>
      <c r="V639" s="1"/>
      <c r="W639" s="1"/>
      <c r="X639" s="1"/>
      <c r="Y639" s="1"/>
      <c r="Z639" s="1"/>
      <c r="AB639" s="1"/>
      <c r="AC639" s="1"/>
      <c r="AD639" s="1"/>
      <c r="AE639" s="1"/>
      <c r="AF639" s="1"/>
      <c r="AG639" s="1"/>
      <c r="AH639" s="1"/>
      <c r="AI639" s="1"/>
      <c r="AL639" s="1"/>
      <c r="AN639" s="1"/>
      <c r="AO639" s="1"/>
      <c r="AP639" s="1"/>
      <c r="AQ639" s="1"/>
      <c r="AR639" s="1"/>
      <c r="AS639" s="1"/>
      <c r="AT639" s="1"/>
      <c r="AU639" s="1"/>
      <c r="AV639" s="1"/>
    </row>
    <row r="640" spans="2:48" x14ac:dyDescent="0.3">
      <c r="B640" s="1" t="s">
        <v>1239</v>
      </c>
      <c r="H640" s="1" t="s">
        <v>738</v>
      </c>
      <c r="I640" s="1"/>
      <c r="J640" s="1"/>
      <c r="K640" s="1"/>
      <c r="L640" s="1"/>
      <c r="M640" s="1"/>
      <c r="N640" s="1"/>
      <c r="O640" s="1"/>
      <c r="P640" s="1"/>
      <c r="Q640" s="1"/>
      <c r="R640" s="1"/>
      <c r="T640" s="1"/>
      <c r="U640" s="1"/>
      <c r="V640" s="1"/>
      <c r="W640" s="1"/>
      <c r="X640" s="1"/>
      <c r="Y640" s="1"/>
      <c r="Z640" s="1"/>
      <c r="AB640" s="1"/>
      <c r="AC640" s="1"/>
      <c r="AD640" s="1"/>
      <c r="AE640" s="1"/>
      <c r="AF640" s="1"/>
      <c r="AG640" s="1"/>
      <c r="AH640" s="1"/>
      <c r="AI640" s="1"/>
      <c r="AL640" s="1"/>
      <c r="AN640" s="1"/>
      <c r="AO640" s="1"/>
      <c r="AP640" s="1"/>
      <c r="AQ640" s="1"/>
      <c r="AR640" s="1"/>
      <c r="AS640" s="1"/>
      <c r="AT640" s="1"/>
      <c r="AU640" s="1"/>
      <c r="AV640" s="1"/>
    </row>
    <row r="641" spans="2:48" x14ac:dyDescent="0.3">
      <c r="B641" s="1" t="s">
        <v>1240</v>
      </c>
      <c r="H641" s="1" t="s">
        <v>738</v>
      </c>
      <c r="I641" s="1"/>
      <c r="J641" s="1"/>
      <c r="K641" s="1"/>
      <c r="L641" s="1"/>
      <c r="M641" s="1"/>
      <c r="N641" s="1"/>
      <c r="O641" s="1"/>
      <c r="P641" s="1"/>
      <c r="Q641" s="1"/>
      <c r="R641" s="1"/>
      <c r="T641" s="1"/>
      <c r="U641" s="1"/>
      <c r="V641" s="1"/>
      <c r="W641" s="1"/>
      <c r="X641" s="1"/>
      <c r="Y641" s="1"/>
      <c r="Z641" s="1"/>
      <c r="AB641" s="1"/>
      <c r="AC641" s="1"/>
      <c r="AD641" s="1"/>
      <c r="AE641" s="1"/>
      <c r="AF641" s="1"/>
      <c r="AG641" s="1"/>
      <c r="AH641" s="1"/>
      <c r="AI641" s="1"/>
      <c r="AL641" s="1"/>
      <c r="AN641" s="1"/>
      <c r="AO641" s="1"/>
      <c r="AP641" s="1"/>
      <c r="AQ641" s="1"/>
      <c r="AR641" s="1"/>
      <c r="AS641" s="1"/>
      <c r="AT641" s="1"/>
      <c r="AU641" s="1"/>
      <c r="AV641" s="1"/>
    </row>
    <row r="642" spans="2:48" x14ac:dyDescent="0.3">
      <c r="B642" s="1" t="s">
        <v>1241</v>
      </c>
      <c r="H642" s="1" t="s">
        <v>738</v>
      </c>
      <c r="I642" s="1"/>
      <c r="J642" s="1"/>
      <c r="K642" s="1"/>
      <c r="L642" s="1"/>
      <c r="M642" s="1"/>
      <c r="N642" s="1"/>
      <c r="O642" s="1"/>
      <c r="P642" s="1"/>
      <c r="Q642" s="1"/>
      <c r="R642" s="1"/>
      <c r="T642" s="1"/>
      <c r="U642" s="1"/>
      <c r="V642" s="1"/>
      <c r="W642" s="1"/>
      <c r="X642" s="1"/>
      <c r="Y642" s="1"/>
      <c r="Z642" s="1"/>
      <c r="AB642" s="1"/>
      <c r="AC642" s="1"/>
      <c r="AD642" s="1"/>
      <c r="AE642" s="1"/>
      <c r="AF642" s="1"/>
      <c r="AG642" s="1"/>
      <c r="AH642" s="1"/>
      <c r="AI642" s="1"/>
      <c r="AL642" s="1"/>
      <c r="AN642" s="1"/>
      <c r="AO642" s="1"/>
      <c r="AP642" s="1"/>
      <c r="AQ642" s="1"/>
      <c r="AR642" s="1"/>
      <c r="AS642" s="1"/>
      <c r="AT642" s="1"/>
      <c r="AU642" s="1"/>
      <c r="AV642" s="1"/>
    </row>
    <row r="643" spans="2:48" x14ac:dyDescent="0.3">
      <c r="B643" s="1" t="s">
        <v>1242</v>
      </c>
      <c r="H643" s="1" t="s">
        <v>738</v>
      </c>
      <c r="I643" s="1"/>
      <c r="J643" s="1"/>
      <c r="K643" s="1"/>
      <c r="L643" s="1"/>
      <c r="M643" s="1"/>
      <c r="N643" s="1"/>
      <c r="O643" s="1"/>
      <c r="P643" s="1"/>
      <c r="Q643" s="1"/>
      <c r="R643" s="1"/>
      <c r="T643" s="1"/>
      <c r="U643" s="1"/>
      <c r="V643" s="1"/>
      <c r="W643" s="1"/>
      <c r="X643" s="1"/>
      <c r="Y643" s="1"/>
      <c r="Z643" s="1"/>
      <c r="AB643" s="1"/>
      <c r="AC643" s="1"/>
      <c r="AD643" s="1"/>
      <c r="AE643" s="1"/>
      <c r="AF643" s="1"/>
      <c r="AG643" s="1"/>
      <c r="AH643" s="1"/>
      <c r="AI643" s="1"/>
      <c r="AL643" s="1"/>
      <c r="AN643" s="1"/>
      <c r="AO643" s="1"/>
      <c r="AP643" s="1"/>
      <c r="AQ643" s="1"/>
      <c r="AR643" s="1"/>
      <c r="AS643" s="1"/>
      <c r="AT643" s="1"/>
      <c r="AU643" s="1"/>
      <c r="AV643" s="1"/>
    </row>
    <row r="644" spans="2:48" x14ac:dyDescent="0.3">
      <c r="B644" s="1" t="s">
        <v>1243</v>
      </c>
      <c r="H644" s="1" t="s">
        <v>738</v>
      </c>
      <c r="I644" s="1"/>
      <c r="J644" s="1"/>
      <c r="K644" s="1"/>
      <c r="L644" s="1"/>
      <c r="M644" s="1"/>
      <c r="N644" s="1"/>
      <c r="O644" s="1"/>
      <c r="P644" s="1"/>
      <c r="Q644" s="1"/>
      <c r="R644" s="1"/>
      <c r="T644" s="1"/>
      <c r="U644" s="1"/>
      <c r="V644" s="1"/>
      <c r="W644" s="1"/>
      <c r="X644" s="1"/>
      <c r="Y644" s="1"/>
      <c r="Z644" s="1"/>
      <c r="AB644" s="1"/>
      <c r="AC644" s="1"/>
      <c r="AD644" s="1"/>
      <c r="AE644" s="1"/>
      <c r="AF644" s="1"/>
      <c r="AG644" s="1"/>
      <c r="AH644" s="1"/>
      <c r="AI644" s="1"/>
      <c r="AL644" s="1"/>
      <c r="AN644" s="1"/>
      <c r="AO644" s="1"/>
      <c r="AP644" s="1"/>
      <c r="AQ644" s="1"/>
      <c r="AR644" s="1"/>
      <c r="AS644" s="1"/>
      <c r="AT644" s="1"/>
      <c r="AU644" s="1"/>
      <c r="AV644" s="1"/>
    </row>
    <row r="645" spans="2:48" x14ac:dyDescent="0.3">
      <c r="B645" s="1" t="s">
        <v>1244</v>
      </c>
      <c r="H645" s="1" t="s">
        <v>738</v>
      </c>
      <c r="I645" s="1"/>
      <c r="J645" s="1"/>
      <c r="K645" s="1"/>
      <c r="L645" s="1"/>
      <c r="M645" s="1"/>
      <c r="N645" s="1"/>
      <c r="O645" s="1"/>
      <c r="P645" s="1"/>
      <c r="Q645" s="1"/>
      <c r="R645" s="1"/>
      <c r="T645" s="1"/>
      <c r="U645" s="1"/>
      <c r="V645" s="1"/>
      <c r="W645" s="1"/>
      <c r="X645" s="1"/>
      <c r="Y645" s="1"/>
      <c r="Z645" s="1"/>
      <c r="AB645" s="1"/>
      <c r="AC645" s="1"/>
      <c r="AD645" s="1"/>
      <c r="AE645" s="1"/>
      <c r="AF645" s="1"/>
      <c r="AG645" s="1"/>
      <c r="AH645" s="1"/>
      <c r="AI645" s="1"/>
      <c r="AL645" s="1"/>
      <c r="AN645" s="1"/>
      <c r="AO645" s="1"/>
      <c r="AP645" s="1"/>
      <c r="AQ645" s="1"/>
      <c r="AR645" s="1"/>
      <c r="AS645" s="1"/>
      <c r="AT645" s="1"/>
      <c r="AU645" s="1"/>
      <c r="AV645" s="1"/>
    </row>
    <row r="646" spans="2:48" x14ac:dyDescent="0.3">
      <c r="B646" s="1" t="s">
        <v>1245</v>
      </c>
      <c r="H646" s="1" t="s">
        <v>738</v>
      </c>
      <c r="I646" s="1"/>
      <c r="J646" s="1"/>
      <c r="K646" s="1"/>
      <c r="L646" s="1"/>
      <c r="M646" s="1"/>
      <c r="N646" s="1"/>
      <c r="O646" s="1"/>
      <c r="P646" s="1"/>
      <c r="Q646" s="1"/>
      <c r="R646" s="1"/>
      <c r="T646" s="1"/>
      <c r="U646" s="1"/>
      <c r="V646" s="1"/>
      <c r="W646" s="1"/>
      <c r="X646" s="1"/>
      <c r="Y646" s="1"/>
      <c r="Z646" s="1"/>
      <c r="AB646" s="1"/>
      <c r="AC646" s="1"/>
      <c r="AD646" s="1"/>
      <c r="AE646" s="1"/>
      <c r="AF646" s="1"/>
      <c r="AG646" s="1"/>
      <c r="AH646" s="1"/>
      <c r="AI646" s="1"/>
      <c r="AL646" s="1"/>
      <c r="AN646" s="1"/>
      <c r="AO646" s="1"/>
      <c r="AP646" s="1"/>
      <c r="AQ646" s="1"/>
      <c r="AR646" s="1"/>
      <c r="AS646" s="1"/>
      <c r="AT646" s="1"/>
      <c r="AU646" s="1"/>
      <c r="AV646" s="1"/>
    </row>
    <row r="647" spans="2:48" x14ac:dyDescent="0.3">
      <c r="B647" s="1" t="s">
        <v>1246</v>
      </c>
      <c r="H647" s="1" t="s">
        <v>738</v>
      </c>
      <c r="I647" s="1"/>
      <c r="J647" s="1"/>
      <c r="K647" s="1"/>
      <c r="L647" s="1"/>
      <c r="M647" s="1"/>
      <c r="N647" s="1"/>
      <c r="O647" s="1"/>
      <c r="P647" s="1"/>
      <c r="Q647" s="1"/>
      <c r="R647" s="1"/>
      <c r="T647" s="1"/>
      <c r="U647" s="1"/>
      <c r="V647" s="1"/>
      <c r="W647" s="1"/>
      <c r="X647" s="1"/>
      <c r="Y647" s="1"/>
      <c r="Z647" s="1"/>
      <c r="AB647" s="1"/>
      <c r="AC647" s="1"/>
      <c r="AD647" s="1"/>
      <c r="AE647" s="1"/>
      <c r="AF647" s="1"/>
      <c r="AG647" s="1"/>
      <c r="AH647" s="1"/>
      <c r="AI647" s="1"/>
      <c r="AL647" s="1"/>
      <c r="AN647" s="1"/>
      <c r="AO647" s="1"/>
      <c r="AP647" s="1"/>
      <c r="AQ647" s="1"/>
      <c r="AR647" s="1"/>
      <c r="AS647" s="1"/>
      <c r="AT647" s="1"/>
      <c r="AU647" s="1"/>
      <c r="AV647" s="1"/>
    </row>
    <row r="648" spans="2:48" x14ac:dyDescent="0.3">
      <c r="B648" s="1" t="s">
        <v>1247</v>
      </c>
      <c r="H648" s="1" t="s">
        <v>738</v>
      </c>
      <c r="I648" s="1"/>
      <c r="J648" s="1"/>
      <c r="K648" s="1"/>
      <c r="L648" s="1"/>
      <c r="M648" s="1"/>
      <c r="N648" s="1"/>
      <c r="O648" s="1"/>
      <c r="P648" s="1"/>
      <c r="Q648" s="1"/>
      <c r="R648" s="1"/>
      <c r="T648" s="1"/>
      <c r="U648" s="1"/>
      <c r="V648" s="1"/>
      <c r="W648" s="1"/>
      <c r="X648" s="1"/>
      <c r="Y648" s="1"/>
      <c r="Z648" s="1"/>
      <c r="AB648" s="1"/>
      <c r="AC648" s="1"/>
      <c r="AD648" s="1"/>
      <c r="AE648" s="1"/>
      <c r="AF648" s="1"/>
      <c r="AG648" s="1"/>
      <c r="AH648" s="1"/>
      <c r="AI648" s="1"/>
      <c r="AL648" s="1"/>
      <c r="AN648" s="1"/>
      <c r="AO648" s="1"/>
      <c r="AP648" s="1"/>
      <c r="AQ648" s="1"/>
      <c r="AR648" s="1"/>
      <c r="AS648" s="1"/>
      <c r="AT648" s="1"/>
      <c r="AU648" s="1"/>
      <c r="AV648" s="1"/>
    </row>
    <row r="649" spans="2:48" x14ac:dyDescent="0.3">
      <c r="B649" s="1" t="s">
        <v>1248</v>
      </c>
      <c r="H649" s="1" t="s">
        <v>738</v>
      </c>
      <c r="I649" s="1"/>
      <c r="J649" s="1"/>
      <c r="K649" s="1"/>
      <c r="L649" s="1"/>
      <c r="M649" s="1"/>
      <c r="N649" s="1"/>
      <c r="O649" s="1"/>
      <c r="P649" s="1"/>
      <c r="Q649" s="1"/>
      <c r="R649" s="1"/>
      <c r="T649" s="1"/>
      <c r="U649" s="1"/>
      <c r="V649" s="1"/>
      <c r="W649" s="1"/>
      <c r="X649" s="1"/>
      <c r="Y649" s="1"/>
      <c r="Z649" s="1"/>
      <c r="AB649" s="1"/>
      <c r="AC649" s="1"/>
      <c r="AD649" s="1"/>
      <c r="AE649" s="1"/>
      <c r="AF649" s="1"/>
      <c r="AG649" s="1"/>
      <c r="AH649" s="1"/>
      <c r="AI649" s="1"/>
      <c r="AL649" s="1"/>
      <c r="AN649" s="1"/>
      <c r="AO649" s="1"/>
      <c r="AP649" s="1"/>
      <c r="AQ649" s="1"/>
      <c r="AR649" s="1"/>
      <c r="AS649" s="1"/>
      <c r="AT649" s="1"/>
      <c r="AU649" s="1"/>
      <c r="AV649" s="1"/>
    </row>
    <row r="650" spans="2:48" x14ac:dyDescent="0.3">
      <c r="B650" s="1" t="s">
        <v>1249</v>
      </c>
      <c r="H650" s="1" t="s">
        <v>738</v>
      </c>
      <c r="I650" s="1"/>
      <c r="J650" s="1"/>
      <c r="K650" s="1"/>
      <c r="L650" s="1"/>
      <c r="M650" s="1"/>
      <c r="N650" s="1"/>
      <c r="O650" s="1"/>
      <c r="P650" s="1"/>
      <c r="Q650" s="1"/>
      <c r="R650" s="1"/>
      <c r="T650" s="1"/>
      <c r="U650" s="1"/>
      <c r="V650" s="1"/>
      <c r="W650" s="1"/>
      <c r="X650" s="1"/>
      <c r="Y650" s="1"/>
      <c r="Z650" s="1"/>
      <c r="AB650" s="1"/>
      <c r="AC650" s="1"/>
      <c r="AD650" s="1"/>
      <c r="AE650" s="1"/>
      <c r="AF650" s="1"/>
      <c r="AG650" s="1"/>
      <c r="AH650" s="1"/>
      <c r="AI650" s="1"/>
      <c r="AL650" s="1"/>
      <c r="AN650" s="1"/>
      <c r="AO650" s="1"/>
      <c r="AP650" s="1"/>
      <c r="AQ650" s="1"/>
      <c r="AR650" s="1"/>
      <c r="AS650" s="1"/>
      <c r="AT650" s="1"/>
      <c r="AU650" s="1"/>
      <c r="AV650" s="1"/>
    </row>
    <row r="651" spans="2:48" x14ac:dyDescent="0.3">
      <c r="B651" s="1" t="s">
        <v>1250</v>
      </c>
      <c r="H651" s="1" t="s">
        <v>738</v>
      </c>
      <c r="I651" s="1"/>
      <c r="J651" s="1"/>
      <c r="K651" s="1"/>
      <c r="L651" s="1"/>
      <c r="M651" s="1"/>
      <c r="N651" s="1"/>
      <c r="O651" s="1"/>
      <c r="P651" s="1"/>
      <c r="Q651" s="1"/>
      <c r="R651" s="1"/>
      <c r="T651" s="1"/>
      <c r="U651" s="1"/>
      <c r="V651" s="1"/>
      <c r="W651" s="1"/>
      <c r="X651" s="1"/>
      <c r="Y651" s="1"/>
      <c r="Z651" s="1"/>
      <c r="AB651" s="1"/>
      <c r="AC651" s="1"/>
      <c r="AD651" s="1"/>
      <c r="AE651" s="1"/>
      <c r="AF651" s="1"/>
      <c r="AG651" s="1"/>
      <c r="AH651" s="1"/>
      <c r="AI651" s="1"/>
      <c r="AL651" s="1"/>
      <c r="AN651" s="1"/>
      <c r="AO651" s="1"/>
      <c r="AP651" s="1"/>
      <c r="AQ651" s="1"/>
      <c r="AR651" s="1"/>
      <c r="AS651" s="1"/>
      <c r="AT651" s="1"/>
      <c r="AU651" s="1"/>
      <c r="AV651" s="1"/>
    </row>
    <row r="652" spans="2:48" x14ac:dyDescent="0.3">
      <c r="B652" s="1" t="s">
        <v>1251</v>
      </c>
      <c r="H652" s="1" t="s">
        <v>738</v>
      </c>
      <c r="I652" s="1"/>
      <c r="J652" s="1"/>
      <c r="K652" s="1"/>
      <c r="L652" s="1"/>
      <c r="M652" s="1"/>
      <c r="N652" s="1"/>
      <c r="O652" s="1"/>
      <c r="P652" s="1"/>
      <c r="Q652" s="1"/>
      <c r="R652" s="1"/>
      <c r="T652" s="1"/>
      <c r="U652" s="1"/>
      <c r="V652" s="1"/>
      <c r="W652" s="1"/>
      <c r="X652" s="1"/>
      <c r="Y652" s="1"/>
      <c r="Z652" s="1"/>
      <c r="AB652" s="1"/>
      <c r="AC652" s="1"/>
      <c r="AD652" s="1"/>
      <c r="AE652" s="1"/>
      <c r="AF652" s="1"/>
      <c r="AG652" s="1"/>
      <c r="AH652" s="1"/>
      <c r="AI652" s="1"/>
      <c r="AL652" s="1"/>
      <c r="AN652" s="1"/>
      <c r="AO652" s="1"/>
      <c r="AP652" s="1"/>
      <c r="AQ652" s="1"/>
      <c r="AR652" s="1"/>
      <c r="AS652" s="1"/>
      <c r="AT652" s="1"/>
      <c r="AU652" s="1"/>
      <c r="AV652" s="1"/>
    </row>
    <row r="653" spans="2:48" x14ac:dyDescent="0.3">
      <c r="B653" s="1" t="s">
        <v>1252</v>
      </c>
      <c r="H653" s="1" t="s">
        <v>738</v>
      </c>
      <c r="I653" s="1"/>
      <c r="J653" s="1"/>
      <c r="K653" s="1"/>
      <c r="L653" s="1"/>
      <c r="M653" s="1"/>
      <c r="N653" s="1"/>
      <c r="O653" s="1"/>
      <c r="P653" s="1"/>
      <c r="Q653" s="1"/>
      <c r="R653" s="1"/>
      <c r="T653" s="1"/>
      <c r="U653" s="1"/>
      <c r="V653" s="1"/>
      <c r="W653" s="1"/>
      <c r="X653" s="1"/>
      <c r="Y653" s="1"/>
      <c r="Z653" s="1"/>
      <c r="AB653" s="1"/>
      <c r="AC653" s="1"/>
      <c r="AD653" s="1"/>
      <c r="AE653" s="1"/>
      <c r="AF653" s="1"/>
      <c r="AG653" s="1"/>
      <c r="AH653" s="1"/>
      <c r="AI653" s="1"/>
      <c r="AL653" s="1"/>
      <c r="AN653" s="1"/>
      <c r="AO653" s="1"/>
      <c r="AP653" s="1"/>
      <c r="AQ653" s="1"/>
      <c r="AR653" s="1"/>
      <c r="AS653" s="1"/>
      <c r="AT653" s="1"/>
      <c r="AU653" s="1"/>
      <c r="AV653" s="1"/>
    </row>
    <row r="654" spans="2:48" x14ac:dyDescent="0.3">
      <c r="B654" s="1" t="s">
        <v>1253</v>
      </c>
      <c r="H654" s="1" t="s">
        <v>738</v>
      </c>
      <c r="I654" s="1"/>
      <c r="J654" s="1"/>
      <c r="K654" s="1"/>
      <c r="L654" s="1"/>
      <c r="M654" s="1"/>
      <c r="N654" s="1"/>
      <c r="O654" s="1"/>
      <c r="P654" s="1"/>
      <c r="Q654" s="1"/>
      <c r="R654" s="1"/>
      <c r="T654" s="1"/>
      <c r="U654" s="1"/>
      <c r="V654" s="1"/>
      <c r="W654" s="1"/>
      <c r="X654" s="1"/>
      <c r="Y654" s="1"/>
      <c r="Z654" s="1"/>
      <c r="AB654" s="1"/>
      <c r="AC654" s="1"/>
      <c r="AD654" s="1"/>
      <c r="AE654" s="1"/>
      <c r="AF654" s="1"/>
      <c r="AG654" s="1"/>
      <c r="AH654" s="1"/>
      <c r="AI654" s="1"/>
      <c r="AL654" s="1"/>
      <c r="AN654" s="1"/>
      <c r="AO654" s="1"/>
      <c r="AP654" s="1"/>
      <c r="AQ654" s="1"/>
      <c r="AR654" s="1"/>
      <c r="AS654" s="1"/>
      <c r="AT654" s="1"/>
      <c r="AU654" s="1"/>
      <c r="AV654" s="1"/>
    </row>
    <row r="655" spans="2:48" x14ac:dyDescent="0.3">
      <c r="B655" s="1" t="s">
        <v>1254</v>
      </c>
      <c r="H655" s="1" t="s">
        <v>738</v>
      </c>
      <c r="I655" s="1"/>
      <c r="J655" s="1"/>
      <c r="K655" s="1"/>
      <c r="L655" s="1"/>
      <c r="M655" s="1"/>
      <c r="N655" s="1"/>
      <c r="O655" s="1"/>
      <c r="P655" s="1"/>
      <c r="Q655" s="1"/>
      <c r="R655" s="1"/>
      <c r="T655" s="1"/>
      <c r="U655" s="1"/>
      <c r="V655" s="1"/>
      <c r="W655" s="1"/>
      <c r="X655" s="1"/>
      <c r="Y655" s="1"/>
      <c r="Z655" s="1"/>
      <c r="AB655" s="1"/>
      <c r="AC655" s="1"/>
      <c r="AD655" s="1"/>
      <c r="AE655" s="1"/>
      <c r="AF655" s="1"/>
      <c r="AG655" s="1"/>
      <c r="AH655" s="1"/>
      <c r="AI655" s="1"/>
      <c r="AL655" s="1"/>
      <c r="AN655" s="1"/>
      <c r="AO655" s="1"/>
      <c r="AP655" s="1"/>
      <c r="AQ655" s="1"/>
      <c r="AR655" s="1"/>
      <c r="AS655" s="1"/>
      <c r="AT655" s="1"/>
      <c r="AU655" s="1"/>
      <c r="AV655" s="1"/>
    </row>
    <row r="656" spans="2:48" x14ac:dyDescent="0.3">
      <c r="B656" s="1" t="s">
        <v>1255</v>
      </c>
      <c r="H656" s="1" t="s">
        <v>738</v>
      </c>
      <c r="I656" s="1"/>
      <c r="J656" s="1"/>
      <c r="K656" s="1"/>
      <c r="L656" s="1"/>
      <c r="M656" s="1"/>
      <c r="N656" s="1"/>
      <c r="O656" s="1"/>
      <c r="P656" s="1"/>
      <c r="Q656" s="1"/>
      <c r="R656" s="1"/>
      <c r="T656" s="1"/>
      <c r="U656" s="1"/>
      <c r="V656" s="1"/>
      <c r="W656" s="1"/>
      <c r="X656" s="1"/>
      <c r="Y656" s="1"/>
      <c r="Z656" s="1"/>
      <c r="AB656" s="1"/>
      <c r="AC656" s="1"/>
      <c r="AD656" s="1"/>
      <c r="AE656" s="1"/>
      <c r="AF656" s="1"/>
      <c r="AG656" s="1"/>
      <c r="AH656" s="1"/>
      <c r="AI656" s="1"/>
      <c r="AL656" s="1"/>
      <c r="AN656" s="1"/>
      <c r="AO656" s="1"/>
      <c r="AP656" s="1"/>
      <c r="AQ656" s="1"/>
      <c r="AR656" s="1"/>
      <c r="AS656" s="1"/>
      <c r="AT656" s="1"/>
      <c r="AU656" s="1"/>
      <c r="AV656" s="1"/>
    </row>
    <row r="657" spans="2:48" x14ac:dyDescent="0.3">
      <c r="B657" s="1" t="s">
        <v>1256</v>
      </c>
      <c r="H657" s="1" t="s">
        <v>738</v>
      </c>
      <c r="I657" s="1"/>
      <c r="J657" s="1"/>
      <c r="K657" s="1"/>
      <c r="L657" s="1"/>
      <c r="M657" s="1"/>
      <c r="N657" s="1"/>
      <c r="O657" s="1"/>
      <c r="P657" s="1"/>
      <c r="Q657" s="1"/>
      <c r="R657" s="1"/>
      <c r="T657" s="1"/>
      <c r="U657" s="1"/>
      <c r="V657" s="1"/>
      <c r="W657" s="1"/>
      <c r="X657" s="1"/>
      <c r="Y657" s="1"/>
      <c r="Z657" s="1"/>
      <c r="AB657" s="1"/>
      <c r="AC657" s="1"/>
      <c r="AD657" s="1"/>
      <c r="AE657" s="1"/>
      <c r="AF657" s="1"/>
      <c r="AG657" s="1"/>
      <c r="AH657" s="1"/>
      <c r="AI657" s="1"/>
      <c r="AL657" s="1"/>
      <c r="AN657" s="1"/>
      <c r="AO657" s="1"/>
      <c r="AP657" s="1"/>
      <c r="AQ657" s="1"/>
      <c r="AR657" s="1"/>
      <c r="AS657" s="1"/>
      <c r="AT657" s="1"/>
      <c r="AU657" s="1"/>
      <c r="AV657" s="1"/>
    </row>
    <row r="658" spans="2:48" x14ac:dyDescent="0.3">
      <c r="B658" s="1" t="s">
        <v>1257</v>
      </c>
      <c r="H658" s="1" t="s">
        <v>738</v>
      </c>
      <c r="I658" s="1"/>
      <c r="J658" s="1"/>
      <c r="K658" s="1"/>
      <c r="L658" s="1"/>
      <c r="M658" s="1"/>
      <c r="N658" s="1"/>
      <c r="O658" s="1"/>
      <c r="P658" s="1"/>
      <c r="Q658" s="1"/>
      <c r="R658" s="1"/>
      <c r="T658" s="1"/>
      <c r="U658" s="1"/>
      <c r="V658" s="1"/>
      <c r="W658" s="1"/>
      <c r="X658" s="1"/>
      <c r="Y658" s="1"/>
      <c r="Z658" s="1"/>
      <c r="AB658" s="1"/>
      <c r="AC658" s="1"/>
      <c r="AD658" s="1"/>
      <c r="AE658" s="1"/>
      <c r="AF658" s="1"/>
      <c r="AG658" s="1"/>
      <c r="AH658" s="1"/>
      <c r="AI658" s="1"/>
      <c r="AL658" s="1"/>
      <c r="AN658" s="1"/>
      <c r="AO658" s="1"/>
      <c r="AP658" s="1"/>
      <c r="AQ658" s="1"/>
      <c r="AR658" s="1"/>
      <c r="AS658" s="1"/>
      <c r="AT658" s="1"/>
      <c r="AU658" s="1"/>
      <c r="AV658" s="1"/>
    </row>
    <row r="659" spans="2:48" x14ac:dyDescent="0.3">
      <c r="B659" s="1" t="s">
        <v>1258</v>
      </c>
      <c r="H659" s="1" t="s">
        <v>738</v>
      </c>
      <c r="I659" s="1"/>
      <c r="J659" s="1"/>
      <c r="K659" s="1"/>
      <c r="L659" s="1"/>
      <c r="M659" s="1"/>
      <c r="N659" s="1"/>
      <c r="O659" s="1"/>
      <c r="P659" s="1"/>
      <c r="Q659" s="1"/>
      <c r="R659" s="1"/>
      <c r="T659" s="1"/>
      <c r="U659" s="1"/>
      <c r="V659" s="1"/>
      <c r="W659" s="1"/>
      <c r="X659" s="1"/>
      <c r="Y659" s="1"/>
      <c r="Z659" s="1"/>
      <c r="AB659" s="1"/>
      <c r="AC659" s="1"/>
      <c r="AD659" s="1"/>
      <c r="AE659" s="1"/>
      <c r="AF659" s="1"/>
      <c r="AG659" s="1"/>
      <c r="AH659" s="1"/>
      <c r="AI659" s="1"/>
      <c r="AL659" s="1"/>
      <c r="AN659" s="1"/>
      <c r="AO659" s="1"/>
      <c r="AP659" s="1"/>
      <c r="AQ659" s="1"/>
      <c r="AR659" s="1"/>
      <c r="AS659" s="1"/>
      <c r="AT659" s="1"/>
      <c r="AU659" s="1"/>
      <c r="AV659" s="1"/>
    </row>
    <row r="660" spans="2:48" x14ac:dyDescent="0.3">
      <c r="B660" s="1" t="s">
        <v>1259</v>
      </c>
      <c r="H660" s="1" t="s">
        <v>738</v>
      </c>
      <c r="I660" s="1"/>
      <c r="J660" s="1"/>
      <c r="K660" s="1"/>
      <c r="L660" s="1"/>
      <c r="M660" s="1"/>
      <c r="N660" s="1"/>
      <c r="O660" s="1"/>
      <c r="P660" s="1"/>
      <c r="Q660" s="1"/>
      <c r="R660" s="1"/>
      <c r="T660" s="1"/>
      <c r="U660" s="1"/>
      <c r="V660" s="1"/>
      <c r="W660" s="1"/>
      <c r="X660" s="1"/>
      <c r="Y660" s="1"/>
      <c r="Z660" s="1"/>
      <c r="AB660" s="1"/>
      <c r="AC660" s="1"/>
      <c r="AD660" s="1"/>
      <c r="AE660" s="1"/>
      <c r="AF660" s="1"/>
      <c r="AG660" s="1"/>
      <c r="AH660" s="1"/>
      <c r="AI660" s="1"/>
      <c r="AL660" s="1"/>
      <c r="AN660" s="1"/>
      <c r="AO660" s="1"/>
      <c r="AP660" s="1"/>
      <c r="AQ660" s="1"/>
      <c r="AR660" s="1"/>
      <c r="AS660" s="1"/>
      <c r="AT660" s="1"/>
      <c r="AU660" s="1"/>
      <c r="AV660" s="1"/>
    </row>
    <row r="661" spans="2:48" x14ac:dyDescent="0.3">
      <c r="B661" s="1" t="s">
        <v>1260</v>
      </c>
      <c r="H661" s="1" t="s">
        <v>738</v>
      </c>
      <c r="I661" s="1"/>
      <c r="J661" s="1"/>
      <c r="K661" s="1"/>
      <c r="L661" s="1"/>
      <c r="M661" s="1"/>
      <c r="N661" s="1"/>
      <c r="O661" s="1"/>
      <c r="P661" s="1"/>
      <c r="Q661" s="1"/>
      <c r="R661" s="1"/>
      <c r="T661" s="1"/>
      <c r="U661" s="1"/>
      <c r="V661" s="1"/>
      <c r="W661" s="1"/>
      <c r="X661" s="1"/>
      <c r="Y661" s="1"/>
      <c r="Z661" s="1"/>
      <c r="AB661" s="1"/>
      <c r="AC661" s="1"/>
      <c r="AD661" s="1"/>
      <c r="AE661" s="1"/>
      <c r="AF661" s="1"/>
      <c r="AG661" s="1"/>
      <c r="AH661" s="1"/>
      <c r="AI661" s="1"/>
      <c r="AL661" s="1"/>
      <c r="AN661" s="1"/>
      <c r="AO661" s="1"/>
      <c r="AP661" s="1"/>
      <c r="AQ661" s="1"/>
      <c r="AR661" s="1"/>
      <c r="AS661" s="1"/>
      <c r="AT661" s="1"/>
      <c r="AU661" s="1"/>
      <c r="AV661" s="1"/>
    </row>
    <row r="662" spans="2:48" x14ac:dyDescent="0.3">
      <c r="B662" s="1" t="s">
        <v>1261</v>
      </c>
      <c r="H662" s="1" t="s">
        <v>738</v>
      </c>
      <c r="I662" s="1"/>
      <c r="J662" s="1"/>
      <c r="K662" s="1"/>
      <c r="L662" s="1"/>
      <c r="M662" s="1"/>
      <c r="N662" s="1"/>
      <c r="O662" s="1"/>
      <c r="P662" s="1"/>
      <c r="Q662" s="1"/>
      <c r="R662" s="1"/>
      <c r="T662" s="1"/>
      <c r="U662" s="1"/>
      <c r="V662" s="1"/>
      <c r="W662" s="1"/>
      <c r="X662" s="1"/>
      <c r="Y662" s="1"/>
      <c r="Z662" s="1"/>
      <c r="AB662" s="1"/>
      <c r="AC662" s="1"/>
      <c r="AD662" s="1"/>
      <c r="AE662" s="1"/>
      <c r="AF662" s="1"/>
      <c r="AG662" s="1"/>
      <c r="AH662" s="1"/>
      <c r="AI662" s="1"/>
      <c r="AL662" s="1"/>
      <c r="AN662" s="1"/>
      <c r="AO662" s="1"/>
      <c r="AP662" s="1"/>
      <c r="AQ662" s="1"/>
      <c r="AR662" s="1"/>
      <c r="AS662" s="1"/>
      <c r="AT662" s="1"/>
      <c r="AU662" s="1"/>
      <c r="AV662" s="1"/>
    </row>
    <row r="663" spans="2:48" x14ac:dyDescent="0.3">
      <c r="B663" s="1" t="s">
        <v>1262</v>
      </c>
      <c r="H663" s="1" t="s">
        <v>738</v>
      </c>
      <c r="I663" s="1"/>
      <c r="J663" s="1"/>
      <c r="K663" s="1"/>
      <c r="L663" s="1"/>
      <c r="M663" s="1"/>
      <c r="N663" s="1"/>
      <c r="O663" s="1"/>
      <c r="P663" s="1"/>
      <c r="Q663" s="1"/>
      <c r="R663" s="1"/>
      <c r="T663" s="1"/>
      <c r="U663" s="1"/>
      <c r="V663" s="1"/>
      <c r="W663" s="1"/>
      <c r="X663" s="1"/>
      <c r="Y663" s="1"/>
      <c r="Z663" s="1"/>
      <c r="AB663" s="1"/>
      <c r="AC663" s="1"/>
      <c r="AD663" s="1"/>
      <c r="AE663" s="1"/>
      <c r="AF663" s="1"/>
      <c r="AG663" s="1"/>
      <c r="AH663" s="1"/>
      <c r="AI663" s="1"/>
      <c r="AL663" s="1"/>
      <c r="AN663" s="1"/>
      <c r="AO663" s="1"/>
      <c r="AP663" s="1"/>
      <c r="AQ663" s="1"/>
      <c r="AR663" s="1"/>
      <c r="AS663" s="1"/>
      <c r="AT663" s="1"/>
      <c r="AU663" s="1"/>
      <c r="AV663" s="1"/>
    </row>
    <row r="664" spans="2:48" x14ac:dyDescent="0.3">
      <c r="B664" s="1" t="s">
        <v>1263</v>
      </c>
      <c r="H664" s="1" t="s">
        <v>738</v>
      </c>
      <c r="I664" s="1"/>
      <c r="J664" s="1"/>
      <c r="K664" s="1"/>
      <c r="L664" s="1"/>
      <c r="M664" s="1"/>
      <c r="N664" s="1"/>
      <c r="O664" s="1"/>
      <c r="P664" s="1"/>
      <c r="Q664" s="1"/>
      <c r="R664" s="1"/>
      <c r="T664" s="1"/>
      <c r="U664" s="1"/>
      <c r="V664" s="1"/>
      <c r="W664" s="1"/>
      <c r="X664" s="1"/>
      <c r="Y664" s="1"/>
      <c r="Z664" s="1"/>
      <c r="AB664" s="1"/>
      <c r="AC664" s="1"/>
      <c r="AD664" s="1"/>
      <c r="AE664" s="1"/>
      <c r="AF664" s="1"/>
      <c r="AG664" s="1"/>
      <c r="AH664" s="1"/>
      <c r="AI664" s="1"/>
      <c r="AL664" s="1"/>
      <c r="AN664" s="1"/>
      <c r="AO664" s="1"/>
      <c r="AP664" s="1"/>
      <c r="AQ664" s="1"/>
      <c r="AR664" s="1"/>
      <c r="AS664" s="1"/>
      <c r="AT664" s="1"/>
      <c r="AU664" s="1"/>
      <c r="AV664" s="1"/>
    </row>
    <row r="665" spans="2:48" x14ac:dyDescent="0.3">
      <c r="B665" s="1" t="s">
        <v>1264</v>
      </c>
      <c r="H665" s="1" t="s">
        <v>738</v>
      </c>
      <c r="I665" s="1"/>
      <c r="J665" s="1"/>
      <c r="K665" s="1"/>
      <c r="L665" s="1"/>
      <c r="M665" s="1"/>
      <c r="N665" s="1"/>
      <c r="O665" s="1"/>
      <c r="P665" s="1"/>
      <c r="Q665" s="1"/>
      <c r="R665" s="1"/>
      <c r="T665" s="1"/>
      <c r="U665" s="1"/>
      <c r="V665" s="1"/>
      <c r="W665" s="1"/>
      <c r="X665" s="1"/>
      <c r="Y665" s="1"/>
      <c r="Z665" s="1"/>
      <c r="AB665" s="1"/>
      <c r="AC665" s="1"/>
      <c r="AD665" s="1"/>
      <c r="AE665" s="1"/>
      <c r="AF665" s="1"/>
      <c r="AG665" s="1"/>
      <c r="AH665" s="1"/>
      <c r="AI665" s="1"/>
      <c r="AL665" s="1"/>
      <c r="AN665" s="1"/>
      <c r="AO665" s="1"/>
      <c r="AP665" s="1"/>
      <c r="AQ665" s="1"/>
      <c r="AR665" s="1"/>
      <c r="AS665" s="1"/>
      <c r="AT665" s="1"/>
      <c r="AU665" s="1"/>
      <c r="AV665" s="1"/>
    </row>
    <row r="666" spans="2:48" x14ac:dyDescent="0.3">
      <c r="B666" s="1" t="s">
        <v>1265</v>
      </c>
      <c r="H666" s="1" t="s">
        <v>738</v>
      </c>
      <c r="I666" s="1"/>
      <c r="J666" s="1"/>
      <c r="K666" s="1"/>
      <c r="L666" s="1"/>
      <c r="M666" s="1"/>
      <c r="N666" s="1"/>
      <c r="O666" s="1"/>
      <c r="P666" s="1"/>
      <c r="Q666" s="1"/>
      <c r="R666" s="1"/>
      <c r="T666" s="1"/>
      <c r="U666" s="1"/>
      <c r="V666" s="1"/>
      <c r="W666" s="1"/>
      <c r="X666" s="1"/>
      <c r="Y666" s="1"/>
      <c r="Z666" s="1"/>
      <c r="AB666" s="1"/>
      <c r="AC666" s="1"/>
      <c r="AD666" s="1"/>
      <c r="AE666" s="1"/>
      <c r="AF666" s="1"/>
      <c r="AG666" s="1"/>
      <c r="AH666" s="1"/>
      <c r="AI666" s="1"/>
      <c r="AL666" s="1"/>
      <c r="AN666" s="1"/>
      <c r="AO666" s="1"/>
      <c r="AP666" s="1"/>
      <c r="AQ666" s="1"/>
      <c r="AR666" s="1"/>
      <c r="AS666" s="1"/>
      <c r="AT666" s="1"/>
      <c r="AU666" s="1"/>
      <c r="AV666" s="1"/>
    </row>
    <row r="667" spans="2:48" x14ac:dyDescent="0.3">
      <c r="B667" s="1" t="s">
        <v>1266</v>
      </c>
      <c r="H667" s="1" t="s">
        <v>738</v>
      </c>
      <c r="I667" s="1"/>
      <c r="J667" s="1"/>
      <c r="K667" s="1"/>
      <c r="L667" s="1"/>
      <c r="M667" s="1"/>
      <c r="N667" s="1"/>
      <c r="O667" s="1"/>
      <c r="P667" s="1"/>
      <c r="Q667" s="1"/>
      <c r="R667" s="1"/>
      <c r="T667" s="1"/>
      <c r="U667" s="1"/>
      <c r="V667" s="1"/>
      <c r="W667" s="1"/>
      <c r="X667" s="1"/>
      <c r="Y667" s="1"/>
      <c r="Z667" s="1"/>
      <c r="AB667" s="1"/>
      <c r="AC667" s="1"/>
      <c r="AD667" s="1"/>
      <c r="AE667" s="1"/>
      <c r="AF667" s="1"/>
      <c r="AG667" s="1"/>
      <c r="AH667" s="1"/>
      <c r="AI667" s="1"/>
      <c r="AL667" s="1"/>
      <c r="AN667" s="1"/>
      <c r="AO667" s="1"/>
      <c r="AP667" s="1"/>
      <c r="AQ667" s="1"/>
      <c r="AR667" s="1"/>
      <c r="AS667" s="1"/>
      <c r="AT667" s="1"/>
      <c r="AU667" s="1"/>
      <c r="AV667" s="1"/>
    </row>
    <row r="668" spans="2:48" x14ac:dyDescent="0.3">
      <c r="B668" s="1" t="s">
        <v>1267</v>
      </c>
      <c r="H668" s="1" t="s">
        <v>738</v>
      </c>
      <c r="I668" s="1"/>
      <c r="J668" s="1"/>
      <c r="K668" s="1"/>
      <c r="L668" s="1"/>
      <c r="M668" s="1"/>
      <c r="N668" s="1"/>
      <c r="O668" s="1"/>
      <c r="P668" s="1"/>
      <c r="Q668" s="1"/>
      <c r="R668" s="1"/>
      <c r="T668" s="1"/>
      <c r="U668" s="1"/>
      <c r="V668" s="1"/>
      <c r="W668" s="1"/>
      <c r="X668" s="1"/>
      <c r="Y668" s="1"/>
      <c r="Z668" s="1"/>
      <c r="AB668" s="1"/>
      <c r="AC668" s="1"/>
      <c r="AD668" s="1"/>
      <c r="AE668" s="1"/>
      <c r="AF668" s="1"/>
      <c r="AG668" s="1"/>
      <c r="AH668" s="1"/>
      <c r="AI668" s="1"/>
      <c r="AL668" s="1"/>
      <c r="AN668" s="1"/>
      <c r="AO668" s="1"/>
      <c r="AP668" s="1"/>
      <c r="AQ668" s="1"/>
      <c r="AR668" s="1"/>
      <c r="AS668" s="1"/>
      <c r="AT668" s="1"/>
      <c r="AU668" s="1"/>
      <c r="AV668" s="1"/>
    </row>
    <row r="669" spans="2:48" x14ac:dyDescent="0.3">
      <c r="B669" s="1" t="s">
        <v>1268</v>
      </c>
      <c r="H669" s="1" t="s">
        <v>738</v>
      </c>
      <c r="I669" s="1"/>
      <c r="J669" s="1"/>
      <c r="K669" s="1"/>
      <c r="L669" s="1"/>
      <c r="M669" s="1"/>
      <c r="N669" s="1"/>
      <c r="O669" s="1"/>
      <c r="P669" s="1"/>
      <c r="Q669" s="1"/>
      <c r="R669" s="1"/>
      <c r="T669" s="1"/>
      <c r="U669" s="1"/>
      <c r="V669" s="1"/>
      <c r="W669" s="1"/>
      <c r="X669" s="1"/>
      <c r="Y669" s="1"/>
      <c r="Z669" s="1"/>
      <c r="AB669" s="1"/>
      <c r="AC669" s="1"/>
      <c r="AD669" s="1"/>
      <c r="AE669" s="1"/>
      <c r="AF669" s="1"/>
      <c r="AG669" s="1"/>
      <c r="AH669" s="1"/>
      <c r="AI669" s="1"/>
      <c r="AL669" s="1"/>
      <c r="AN669" s="1"/>
      <c r="AO669" s="1"/>
      <c r="AP669" s="1"/>
      <c r="AQ669" s="1"/>
      <c r="AR669" s="1"/>
      <c r="AS669" s="1"/>
      <c r="AT669" s="1"/>
      <c r="AU669" s="1"/>
      <c r="AV669" s="1"/>
    </row>
    <row r="670" spans="2:48" x14ac:dyDescent="0.3">
      <c r="B670" s="1" t="s">
        <v>1269</v>
      </c>
      <c r="H670" s="1" t="s">
        <v>738</v>
      </c>
      <c r="I670" s="1"/>
      <c r="J670" s="1"/>
      <c r="K670" s="1"/>
      <c r="L670" s="1"/>
      <c r="M670" s="1"/>
      <c r="N670" s="1"/>
      <c r="O670" s="1"/>
      <c r="P670" s="1"/>
      <c r="Q670" s="1"/>
      <c r="R670" s="1"/>
      <c r="T670" s="1"/>
      <c r="U670" s="1"/>
      <c r="V670" s="1"/>
      <c r="W670" s="1"/>
      <c r="X670" s="1"/>
      <c r="Y670" s="1"/>
      <c r="Z670" s="1"/>
      <c r="AB670" s="1"/>
      <c r="AC670" s="1"/>
      <c r="AD670" s="1"/>
      <c r="AE670" s="1"/>
      <c r="AF670" s="1"/>
      <c r="AG670" s="1"/>
      <c r="AH670" s="1"/>
      <c r="AI670" s="1"/>
      <c r="AL670" s="1"/>
      <c r="AN670" s="1"/>
      <c r="AO670" s="1"/>
      <c r="AP670" s="1"/>
      <c r="AQ670" s="1"/>
      <c r="AR670" s="1"/>
      <c r="AS670" s="1"/>
      <c r="AT670" s="1"/>
      <c r="AU670" s="1"/>
      <c r="AV670" s="1"/>
    </row>
    <row r="671" spans="2:48" x14ac:dyDescent="0.3">
      <c r="B671" s="1" t="s">
        <v>1270</v>
      </c>
      <c r="H671" s="1" t="s">
        <v>738</v>
      </c>
      <c r="I671" s="1"/>
      <c r="J671" s="1"/>
      <c r="K671" s="1"/>
      <c r="L671" s="1"/>
      <c r="M671" s="1"/>
      <c r="N671" s="1"/>
      <c r="O671" s="1"/>
      <c r="P671" s="1"/>
      <c r="Q671" s="1"/>
      <c r="R671" s="1"/>
      <c r="T671" s="1"/>
      <c r="U671" s="1"/>
      <c r="V671" s="1"/>
      <c r="W671" s="1"/>
      <c r="X671" s="1"/>
      <c r="Y671" s="1"/>
      <c r="Z671" s="1"/>
      <c r="AB671" s="1"/>
      <c r="AC671" s="1"/>
      <c r="AD671" s="1"/>
      <c r="AE671" s="1"/>
      <c r="AF671" s="1"/>
      <c r="AG671" s="1"/>
      <c r="AH671" s="1"/>
      <c r="AI671" s="1"/>
      <c r="AL671" s="1"/>
      <c r="AN671" s="1"/>
      <c r="AO671" s="1"/>
      <c r="AP671" s="1"/>
      <c r="AQ671" s="1"/>
      <c r="AR671" s="1"/>
      <c r="AS671" s="1"/>
      <c r="AT671" s="1"/>
      <c r="AU671" s="1"/>
      <c r="AV671" s="1"/>
    </row>
    <row r="672" spans="2:48" x14ac:dyDescent="0.3">
      <c r="B672" s="1" t="s">
        <v>1271</v>
      </c>
      <c r="H672" s="1" t="s">
        <v>738</v>
      </c>
      <c r="I672" s="1"/>
      <c r="J672" s="1"/>
      <c r="K672" s="1"/>
      <c r="L672" s="1"/>
      <c r="M672" s="1"/>
      <c r="N672" s="1"/>
      <c r="O672" s="1"/>
      <c r="P672" s="1"/>
      <c r="Q672" s="1"/>
      <c r="R672" s="1"/>
      <c r="T672" s="1"/>
      <c r="U672" s="1"/>
      <c r="V672" s="1"/>
      <c r="W672" s="1"/>
      <c r="X672" s="1"/>
      <c r="Y672" s="1"/>
      <c r="Z672" s="1"/>
      <c r="AB672" s="1"/>
      <c r="AC672" s="1"/>
      <c r="AD672" s="1"/>
      <c r="AE672" s="1"/>
      <c r="AF672" s="1"/>
      <c r="AG672" s="1"/>
      <c r="AH672" s="1"/>
      <c r="AI672" s="1"/>
      <c r="AL672" s="1"/>
      <c r="AN672" s="1"/>
      <c r="AO672" s="1"/>
      <c r="AP672" s="1"/>
      <c r="AQ672" s="1"/>
      <c r="AR672" s="1"/>
      <c r="AS672" s="1"/>
      <c r="AT672" s="1"/>
      <c r="AU672" s="1"/>
      <c r="AV672" s="1"/>
    </row>
    <row r="673" spans="2:48" x14ac:dyDescent="0.3">
      <c r="B673" s="1" t="s">
        <v>1272</v>
      </c>
      <c r="H673" s="1" t="s">
        <v>738</v>
      </c>
      <c r="I673" s="1"/>
      <c r="J673" s="1"/>
      <c r="K673" s="1"/>
      <c r="L673" s="1"/>
      <c r="M673" s="1"/>
      <c r="N673" s="1"/>
      <c r="O673" s="1"/>
      <c r="P673" s="1"/>
      <c r="Q673" s="1"/>
      <c r="R673" s="1"/>
      <c r="T673" s="1"/>
      <c r="U673" s="1"/>
      <c r="V673" s="1"/>
      <c r="W673" s="1"/>
      <c r="X673" s="1"/>
      <c r="Y673" s="1"/>
      <c r="Z673" s="1"/>
      <c r="AB673" s="1"/>
      <c r="AC673" s="1"/>
      <c r="AD673" s="1"/>
      <c r="AE673" s="1"/>
      <c r="AF673" s="1"/>
      <c r="AG673" s="1"/>
      <c r="AH673" s="1"/>
      <c r="AI673" s="1"/>
      <c r="AL673" s="1"/>
      <c r="AN673" s="1"/>
      <c r="AO673" s="1"/>
      <c r="AP673" s="1"/>
      <c r="AQ673" s="1"/>
      <c r="AR673" s="1"/>
      <c r="AS673" s="1"/>
      <c r="AT673" s="1"/>
      <c r="AU673" s="1"/>
      <c r="AV673" s="1"/>
    </row>
    <row r="674" spans="2:48" x14ac:dyDescent="0.3">
      <c r="B674" s="1" t="s">
        <v>1273</v>
      </c>
      <c r="H674" s="1" t="s">
        <v>738</v>
      </c>
      <c r="I674" s="1"/>
      <c r="J674" s="1"/>
      <c r="K674" s="1"/>
      <c r="L674" s="1"/>
      <c r="M674" s="1"/>
      <c r="N674" s="1"/>
      <c r="O674" s="1"/>
      <c r="P674" s="1"/>
      <c r="Q674" s="1"/>
      <c r="R674" s="1"/>
      <c r="T674" s="1"/>
      <c r="U674" s="1"/>
      <c r="V674" s="1"/>
      <c r="W674" s="1"/>
      <c r="X674" s="1"/>
      <c r="Y674" s="1"/>
      <c r="Z674" s="1"/>
      <c r="AB674" s="1"/>
      <c r="AC674" s="1"/>
      <c r="AD674" s="1"/>
      <c r="AE674" s="1"/>
      <c r="AF674" s="1"/>
      <c r="AG674" s="1"/>
      <c r="AH674" s="1"/>
      <c r="AI674" s="1"/>
      <c r="AL674" s="1"/>
      <c r="AN674" s="1"/>
      <c r="AO674" s="1"/>
      <c r="AP674" s="1"/>
      <c r="AQ674" s="1"/>
      <c r="AR674" s="1"/>
      <c r="AS674" s="1"/>
      <c r="AT674" s="1"/>
      <c r="AU674" s="1"/>
      <c r="AV674" s="1"/>
    </row>
    <row r="675" spans="2:48" x14ac:dyDescent="0.3">
      <c r="B675" s="1" t="s">
        <v>1274</v>
      </c>
      <c r="H675" s="1" t="s">
        <v>738</v>
      </c>
      <c r="I675" s="1"/>
      <c r="J675" s="1"/>
      <c r="K675" s="1"/>
      <c r="L675" s="1"/>
      <c r="M675" s="1"/>
      <c r="N675" s="1"/>
      <c r="O675" s="1"/>
      <c r="P675" s="1"/>
      <c r="Q675" s="1"/>
      <c r="R675" s="1"/>
      <c r="T675" s="1"/>
      <c r="U675" s="1"/>
      <c r="V675" s="1"/>
      <c r="W675" s="1"/>
      <c r="X675" s="1"/>
      <c r="Y675" s="1"/>
      <c r="Z675" s="1"/>
      <c r="AB675" s="1"/>
      <c r="AC675" s="1"/>
      <c r="AD675" s="1"/>
      <c r="AE675" s="1"/>
      <c r="AF675" s="1"/>
      <c r="AG675" s="1"/>
      <c r="AH675" s="1"/>
      <c r="AI675" s="1"/>
      <c r="AL675" s="1"/>
      <c r="AN675" s="1"/>
      <c r="AO675" s="1"/>
      <c r="AP675" s="1"/>
      <c r="AQ675" s="1"/>
      <c r="AR675" s="1"/>
      <c r="AS675" s="1"/>
      <c r="AT675" s="1"/>
      <c r="AU675" s="1"/>
      <c r="AV675" s="1"/>
    </row>
    <row r="676" spans="2:48" x14ac:dyDescent="0.3">
      <c r="B676" s="1" t="s">
        <v>1275</v>
      </c>
      <c r="H676" s="1" t="s">
        <v>738</v>
      </c>
      <c r="I676" s="1"/>
      <c r="J676" s="1"/>
      <c r="K676" s="1"/>
      <c r="L676" s="1"/>
      <c r="M676" s="1"/>
      <c r="N676" s="1"/>
      <c r="O676" s="1"/>
      <c r="P676" s="1"/>
      <c r="Q676" s="1"/>
      <c r="R676" s="1"/>
      <c r="T676" s="1"/>
      <c r="U676" s="1"/>
      <c r="V676" s="1"/>
      <c r="W676" s="1"/>
      <c r="X676" s="1"/>
      <c r="Y676" s="1"/>
      <c r="Z676" s="1"/>
      <c r="AB676" s="1"/>
      <c r="AC676" s="1"/>
      <c r="AD676" s="1"/>
      <c r="AE676" s="1"/>
      <c r="AF676" s="1"/>
      <c r="AG676" s="1"/>
      <c r="AH676" s="1"/>
      <c r="AI676" s="1"/>
      <c r="AL676" s="1"/>
      <c r="AN676" s="1"/>
      <c r="AO676" s="1"/>
      <c r="AP676" s="1"/>
      <c r="AQ676" s="1"/>
      <c r="AR676" s="1"/>
      <c r="AS676" s="1"/>
      <c r="AT676" s="1"/>
      <c r="AU676" s="1"/>
      <c r="AV676" s="1"/>
    </row>
    <row r="677" spans="2:48" x14ac:dyDescent="0.3">
      <c r="B677" s="1" t="s">
        <v>1276</v>
      </c>
      <c r="H677" s="1" t="s">
        <v>738</v>
      </c>
      <c r="I677" s="1"/>
      <c r="J677" s="1"/>
      <c r="K677" s="1"/>
      <c r="L677" s="1"/>
      <c r="M677" s="1"/>
      <c r="N677" s="1"/>
      <c r="O677" s="1"/>
      <c r="P677" s="1"/>
      <c r="Q677" s="1"/>
      <c r="R677" s="1"/>
      <c r="T677" s="1"/>
      <c r="U677" s="1"/>
      <c r="V677" s="1"/>
      <c r="W677" s="1"/>
      <c r="X677" s="1"/>
      <c r="Y677" s="1"/>
      <c r="Z677" s="1"/>
      <c r="AB677" s="1"/>
      <c r="AC677" s="1"/>
      <c r="AD677" s="1"/>
      <c r="AE677" s="1"/>
      <c r="AF677" s="1"/>
      <c r="AG677" s="1"/>
      <c r="AH677" s="1"/>
      <c r="AI677" s="1"/>
      <c r="AL677" s="1"/>
      <c r="AN677" s="1"/>
      <c r="AO677" s="1"/>
      <c r="AP677" s="1"/>
      <c r="AQ677" s="1"/>
      <c r="AR677" s="1"/>
      <c r="AS677" s="1"/>
      <c r="AT677" s="1"/>
      <c r="AU677" s="1"/>
      <c r="AV677" s="1"/>
    </row>
    <row r="678" spans="2:48" x14ac:dyDescent="0.3">
      <c r="B678" s="1" t="s">
        <v>1277</v>
      </c>
      <c r="H678" s="1" t="s">
        <v>738</v>
      </c>
      <c r="I678" s="1"/>
      <c r="J678" s="1"/>
      <c r="K678" s="1"/>
      <c r="L678" s="1"/>
      <c r="M678" s="1"/>
      <c r="N678" s="1"/>
      <c r="O678" s="1"/>
      <c r="P678" s="1"/>
      <c r="Q678" s="1"/>
      <c r="R678" s="1"/>
      <c r="T678" s="1"/>
      <c r="U678" s="1"/>
      <c r="V678" s="1"/>
      <c r="W678" s="1"/>
      <c r="X678" s="1"/>
      <c r="Y678" s="1"/>
      <c r="Z678" s="1"/>
      <c r="AB678" s="1"/>
      <c r="AC678" s="1"/>
      <c r="AD678" s="1"/>
      <c r="AE678" s="1"/>
      <c r="AF678" s="1"/>
      <c r="AG678" s="1"/>
      <c r="AH678" s="1"/>
      <c r="AI678" s="1"/>
      <c r="AL678" s="1"/>
      <c r="AN678" s="1"/>
      <c r="AO678" s="1"/>
      <c r="AP678" s="1"/>
      <c r="AQ678" s="1"/>
      <c r="AR678" s="1"/>
      <c r="AS678" s="1"/>
      <c r="AT678" s="1"/>
      <c r="AU678" s="1"/>
      <c r="AV678" s="1"/>
    </row>
    <row r="679" spans="2:48" x14ac:dyDescent="0.3">
      <c r="B679" s="1" t="s">
        <v>1278</v>
      </c>
      <c r="H679" s="1" t="s">
        <v>738</v>
      </c>
      <c r="I679" s="1"/>
      <c r="J679" s="1"/>
      <c r="K679" s="1"/>
      <c r="L679" s="1"/>
      <c r="M679" s="1"/>
      <c r="N679" s="1"/>
      <c r="O679" s="1"/>
      <c r="P679" s="1"/>
      <c r="Q679" s="1"/>
      <c r="R679" s="1"/>
      <c r="T679" s="1"/>
      <c r="U679" s="1"/>
      <c r="V679" s="1"/>
      <c r="W679" s="1"/>
      <c r="X679" s="1"/>
      <c r="Y679" s="1"/>
      <c r="Z679" s="1"/>
      <c r="AB679" s="1"/>
      <c r="AC679" s="1"/>
      <c r="AD679" s="1"/>
      <c r="AE679" s="1"/>
      <c r="AF679" s="1"/>
      <c r="AG679" s="1"/>
      <c r="AH679" s="1"/>
      <c r="AI679" s="1"/>
      <c r="AL679" s="1"/>
      <c r="AN679" s="1"/>
      <c r="AO679" s="1"/>
      <c r="AP679" s="1"/>
      <c r="AQ679" s="1"/>
      <c r="AR679" s="1"/>
      <c r="AS679" s="1"/>
      <c r="AT679" s="1"/>
      <c r="AU679" s="1"/>
      <c r="AV679" s="1"/>
    </row>
    <row r="680" spans="2:48" x14ac:dyDescent="0.3">
      <c r="B680" s="1" t="s">
        <v>1279</v>
      </c>
      <c r="H680" s="1" t="s">
        <v>738</v>
      </c>
      <c r="I680" s="1"/>
      <c r="J680" s="1"/>
      <c r="K680" s="1"/>
      <c r="L680" s="1"/>
      <c r="M680" s="1"/>
      <c r="N680" s="1"/>
      <c r="O680" s="1"/>
      <c r="P680" s="1"/>
      <c r="Q680" s="1"/>
      <c r="R680" s="1"/>
      <c r="T680" s="1"/>
      <c r="U680" s="1"/>
      <c r="V680" s="1"/>
      <c r="W680" s="1"/>
      <c r="X680" s="1"/>
      <c r="Y680" s="1"/>
      <c r="Z680" s="1"/>
      <c r="AB680" s="1"/>
      <c r="AC680" s="1"/>
      <c r="AD680" s="1"/>
      <c r="AE680" s="1"/>
      <c r="AF680" s="1"/>
      <c r="AG680" s="1"/>
      <c r="AH680" s="1"/>
      <c r="AI680" s="1"/>
      <c r="AL680" s="1"/>
      <c r="AN680" s="1"/>
      <c r="AO680" s="1"/>
      <c r="AP680" s="1"/>
      <c r="AQ680" s="1"/>
      <c r="AR680" s="1"/>
      <c r="AS680" s="1"/>
      <c r="AT680" s="1"/>
      <c r="AU680" s="1"/>
      <c r="AV680" s="1"/>
    </row>
    <row r="681" spans="2:48" x14ac:dyDescent="0.3">
      <c r="B681" s="1" t="s">
        <v>1280</v>
      </c>
      <c r="H681" s="1" t="s">
        <v>738</v>
      </c>
      <c r="I681" s="1"/>
      <c r="J681" s="1"/>
      <c r="K681" s="1"/>
      <c r="L681" s="1"/>
      <c r="M681" s="1"/>
      <c r="N681" s="1"/>
      <c r="O681" s="1"/>
      <c r="P681" s="1"/>
      <c r="Q681" s="1"/>
      <c r="R681" s="1"/>
      <c r="T681" s="1"/>
      <c r="U681" s="1"/>
      <c r="V681" s="1"/>
      <c r="W681" s="1"/>
      <c r="X681" s="1"/>
      <c r="Y681" s="1"/>
      <c r="Z681" s="1"/>
      <c r="AB681" s="1"/>
      <c r="AC681" s="1"/>
      <c r="AD681" s="1"/>
      <c r="AE681" s="1"/>
      <c r="AF681" s="1"/>
      <c r="AG681" s="1"/>
      <c r="AH681" s="1"/>
      <c r="AI681" s="1"/>
      <c r="AL681" s="1"/>
      <c r="AN681" s="1"/>
      <c r="AO681" s="1"/>
      <c r="AP681" s="1"/>
      <c r="AQ681" s="1"/>
      <c r="AR681" s="1"/>
      <c r="AS681" s="1"/>
      <c r="AT681" s="1"/>
      <c r="AU681" s="1"/>
      <c r="AV681" s="1"/>
    </row>
    <row r="682" spans="2:48" x14ac:dyDescent="0.3">
      <c r="B682" s="1" t="s">
        <v>1281</v>
      </c>
      <c r="H682" s="1" t="s">
        <v>738</v>
      </c>
      <c r="I682" s="1"/>
      <c r="J682" s="1"/>
      <c r="K682" s="1"/>
      <c r="L682" s="1"/>
      <c r="M682" s="1"/>
      <c r="N682" s="1"/>
      <c r="O682" s="1"/>
      <c r="P682" s="1"/>
      <c r="Q682" s="1"/>
      <c r="R682" s="1"/>
      <c r="T682" s="1"/>
      <c r="U682" s="1"/>
      <c r="V682" s="1"/>
      <c r="W682" s="1"/>
      <c r="X682" s="1"/>
      <c r="Y682" s="1"/>
      <c r="Z682" s="1"/>
      <c r="AB682" s="1"/>
      <c r="AC682" s="1"/>
      <c r="AD682" s="1"/>
      <c r="AE682" s="1"/>
      <c r="AF682" s="1"/>
      <c r="AG682" s="1"/>
      <c r="AH682" s="1"/>
      <c r="AI682" s="1"/>
      <c r="AL682" s="1"/>
      <c r="AN682" s="1"/>
      <c r="AO682" s="1"/>
      <c r="AP682" s="1"/>
      <c r="AQ682" s="1"/>
      <c r="AR682" s="1"/>
      <c r="AS682" s="1"/>
      <c r="AT682" s="1"/>
      <c r="AU682" s="1"/>
      <c r="AV682" s="1"/>
    </row>
    <row r="683" spans="2:48" x14ac:dyDescent="0.3">
      <c r="B683" s="1" t="s">
        <v>1282</v>
      </c>
      <c r="H683" s="1" t="s">
        <v>738</v>
      </c>
      <c r="I683" s="1"/>
      <c r="J683" s="1"/>
      <c r="K683" s="1"/>
      <c r="L683" s="1"/>
      <c r="M683" s="1"/>
      <c r="N683" s="1"/>
      <c r="O683" s="1"/>
      <c r="P683" s="1"/>
      <c r="Q683" s="1"/>
      <c r="R683" s="1"/>
      <c r="T683" s="1"/>
      <c r="U683" s="1"/>
      <c r="V683" s="1"/>
      <c r="W683" s="1"/>
      <c r="X683" s="1"/>
      <c r="Y683" s="1"/>
      <c r="Z683" s="1"/>
      <c r="AB683" s="1"/>
      <c r="AC683" s="1"/>
      <c r="AD683" s="1"/>
      <c r="AE683" s="1"/>
      <c r="AF683" s="1"/>
      <c r="AG683" s="1"/>
      <c r="AH683" s="1"/>
      <c r="AI683" s="1"/>
      <c r="AL683" s="1"/>
      <c r="AN683" s="1"/>
      <c r="AO683" s="1"/>
      <c r="AP683" s="1"/>
      <c r="AQ683" s="1"/>
      <c r="AR683" s="1"/>
      <c r="AS683" s="1"/>
      <c r="AT683" s="1"/>
      <c r="AU683" s="1"/>
      <c r="AV683" s="1"/>
    </row>
    <row r="684" spans="2:48" x14ac:dyDescent="0.3">
      <c r="B684" s="1" t="s">
        <v>1283</v>
      </c>
      <c r="H684" s="1" t="s">
        <v>738</v>
      </c>
      <c r="I684" s="1"/>
      <c r="J684" s="1"/>
      <c r="K684" s="1"/>
      <c r="L684" s="1"/>
      <c r="M684" s="1"/>
      <c r="N684" s="1"/>
      <c r="O684" s="1"/>
      <c r="P684" s="1"/>
      <c r="Q684" s="1"/>
      <c r="R684" s="1"/>
      <c r="T684" s="1"/>
      <c r="U684" s="1"/>
      <c r="V684" s="1"/>
      <c r="W684" s="1"/>
      <c r="X684" s="1"/>
      <c r="Y684" s="1"/>
      <c r="Z684" s="1"/>
      <c r="AB684" s="1"/>
      <c r="AC684" s="1"/>
      <c r="AD684" s="1"/>
      <c r="AE684" s="1"/>
      <c r="AF684" s="1"/>
      <c r="AG684" s="1"/>
      <c r="AH684" s="1"/>
      <c r="AI684" s="1"/>
      <c r="AL684" s="1"/>
      <c r="AN684" s="1"/>
      <c r="AO684" s="1"/>
      <c r="AP684" s="1"/>
      <c r="AQ684" s="1"/>
      <c r="AR684" s="1"/>
      <c r="AS684" s="1"/>
      <c r="AT684" s="1"/>
      <c r="AU684" s="1"/>
      <c r="AV684" s="1"/>
    </row>
    <row r="685" spans="2:48" x14ac:dyDescent="0.3">
      <c r="B685" s="1" t="s">
        <v>1284</v>
      </c>
      <c r="H685" s="1" t="s">
        <v>738</v>
      </c>
      <c r="I685" s="1"/>
      <c r="J685" s="1"/>
      <c r="K685" s="1"/>
      <c r="L685" s="1"/>
      <c r="M685" s="1"/>
      <c r="N685" s="1"/>
      <c r="O685" s="1"/>
      <c r="P685" s="1"/>
      <c r="Q685" s="1"/>
      <c r="R685" s="1"/>
      <c r="T685" s="1"/>
      <c r="U685" s="1"/>
      <c r="V685" s="1"/>
      <c r="W685" s="1"/>
      <c r="X685" s="1"/>
      <c r="Y685" s="1"/>
      <c r="Z685" s="1"/>
      <c r="AB685" s="1"/>
      <c r="AC685" s="1"/>
      <c r="AD685" s="1"/>
      <c r="AE685" s="1"/>
      <c r="AF685" s="1"/>
      <c r="AG685" s="1"/>
      <c r="AH685" s="1"/>
      <c r="AI685" s="1"/>
      <c r="AL685" s="1"/>
      <c r="AN685" s="1"/>
      <c r="AO685" s="1"/>
      <c r="AP685" s="1"/>
      <c r="AQ685" s="1"/>
      <c r="AR685" s="1"/>
      <c r="AS685" s="1"/>
      <c r="AT685" s="1"/>
      <c r="AU685" s="1"/>
      <c r="AV685" s="1"/>
    </row>
    <row r="686" spans="2:48" x14ac:dyDescent="0.3">
      <c r="B686" s="1" t="s">
        <v>1285</v>
      </c>
      <c r="H686" s="1" t="s">
        <v>738</v>
      </c>
      <c r="I686" s="1"/>
      <c r="J686" s="1"/>
      <c r="K686" s="1"/>
      <c r="L686" s="1"/>
      <c r="M686" s="1"/>
      <c r="N686" s="1"/>
      <c r="O686" s="1"/>
      <c r="P686" s="1"/>
      <c r="Q686" s="1"/>
      <c r="R686" s="1"/>
      <c r="T686" s="1"/>
      <c r="U686" s="1"/>
      <c r="V686" s="1"/>
      <c r="W686" s="1"/>
      <c r="X686" s="1"/>
      <c r="Y686" s="1"/>
      <c r="Z686" s="1"/>
      <c r="AB686" s="1"/>
      <c r="AC686" s="1"/>
      <c r="AD686" s="1"/>
      <c r="AE686" s="1"/>
      <c r="AF686" s="1"/>
      <c r="AG686" s="1"/>
      <c r="AH686" s="1"/>
      <c r="AI686" s="1"/>
      <c r="AL686" s="1"/>
      <c r="AN686" s="1"/>
      <c r="AO686" s="1"/>
      <c r="AP686" s="1"/>
      <c r="AQ686" s="1"/>
      <c r="AR686" s="1"/>
      <c r="AS686" s="1"/>
      <c r="AT686" s="1"/>
      <c r="AU686" s="1"/>
      <c r="AV686" s="1"/>
    </row>
    <row r="687" spans="2:48" x14ac:dyDescent="0.3">
      <c r="B687" s="1" t="s">
        <v>1286</v>
      </c>
      <c r="H687" s="1" t="s">
        <v>738</v>
      </c>
      <c r="I687" s="1"/>
      <c r="J687" s="1"/>
      <c r="K687" s="1"/>
      <c r="L687" s="1"/>
      <c r="M687" s="1"/>
      <c r="N687" s="1"/>
      <c r="O687" s="1"/>
      <c r="P687" s="1"/>
      <c r="Q687" s="1"/>
      <c r="R687" s="1"/>
      <c r="T687" s="1"/>
      <c r="U687" s="1"/>
      <c r="V687" s="1"/>
      <c r="W687" s="1"/>
      <c r="X687" s="1"/>
      <c r="Y687" s="1"/>
      <c r="Z687" s="1"/>
      <c r="AB687" s="1"/>
      <c r="AC687" s="1"/>
      <c r="AD687" s="1"/>
      <c r="AE687" s="1"/>
      <c r="AF687" s="1"/>
      <c r="AG687" s="1"/>
      <c r="AH687" s="1"/>
      <c r="AI687" s="1"/>
      <c r="AL687" s="1"/>
      <c r="AN687" s="1"/>
      <c r="AO687" s="1"/>
      <c r="AP687" s="1"/>
      <c r="AQ687" s="1"/>
      <c r="AR687" s="1"/>
      <c r="AS687" s="1"/>
      <c r="AT687" s="1"/>
      <c r="AU687" s="1"/>
      <c r="AV687" s="1"/>
    </row>
    <row r="688" spans="2:48" x14ac:dyDescent="0.3">
      <c r="B688" s="1" t="s">
        <v>1287</v>
      </c>
      <c r="H688" s="1" t="s">
        <v>738</v>
      </c>
      <c r="I688" s="1"/>
      <c r="J688" s="1"/>
      <c r="K688" s="1"/>
      <c r="L688" s="1"/>
      <c r="M688" s="1"/>
      <c r="N688" s="1"/>
      <c r="O688" s="1"/>
      <c r="P688" s="1"/>
      <c r="Q688" s="1"/>
      <c r="R688" s="1"/>
      <c r="T688" s="1"/>
      <c r="U688" s="1"/>
      <c r="V688" s="1"/>
      <c r="W688" s="1"/>
      <c r="X688" s="1"/>
      <c r="Y688" s="1"/>
      <c r="Z688" s="1"/>
      <c r="AB688" s="1"/>
      <c r="AC688" s="1"/>
      <c r="AD688" s="1"/>
      <c r="AE688" s="1"/>
      <c r="AF688" s="1"/>
      <c r="AG688" s="1"/>
      <c r="AH688" s="1"/>
      <c r="AI688" s="1"/>
      <c r="AL688" s="1"/>
      <c r="AN688" s="1"/>
      <c r="AO688" s="1"/>
      <c r="AP688" s="1"/>
      <c r="AQ688" s="1"/>
      <c r="AR688" s="1"/>
      <c r="AS688" s="1"/>
      <c r="AT688" s="1"/>
      <c r="AU688" s="1"/>
      <c r="AV688" s="1"/>
    </row>
    <row r="689" spans="2:48" x14ac:dyDescent="0.3">
      <c r="B689" s="1" t="s">
        <v>1288</v>
      </c>
      <c r="H689" s="1" t="s">
        <v>738</v>
      </c>
      <c r="I689" s="1"/>
      <c r="J689" s="1"/>
      <c r="K689" s="1"/>
      <c r="L689" s="1"/>
      <c r="M689" s="1"/>
      <c r="N689" s="1"/>
      <c r="O689" s="1"/>
      <c r="P689" s="1"/>
      <c r="Q689" s="1"/>
      <c r="R689" s="1"/>
      <c r="T689" s="1"/>
      <c r="U689" s="1"/>
      <c r="V689" s="1"/>
      <c r="W689" s="1"/>
      <c r="X689" s="1"/>
      <c r="Y689" s="1"/>
      <c r="Z689" s="1"/>
      <c r="AB689" s="1"/>
      <c r="AC689" s="1"/>
      <c r="AD689" s="1"/>
      <c r="AE689" s="1"/>
      <c r="AF689" s="1"/>
      <c r="AG689" s="1"/>
      <c r="AH689" s="1"/>
      <c r="AI689" s="1"/>
      <c r="AL689" s="1"/>
      <c r="AN689" s="1"/>
      <c r="AO689" s="1"/>
      <c r="AP689" s="1"/>
      <c r="AQ689" s="1"/>
      <c r="AR689" s="1"/>
      <c r="AS689" s="1"/>
      <c r="AT689" s="1"/>
      <c r="AU689" s="1"/>
      <c r="AV689" s="1"/>
    </row>
    <row r="690" spans="2:48" x14ac:dyDescent="0.3">
      <c r="B690" s="1" t="s">
        <v>1289</v>
      </c>
      <c r="H690" s="1" t="s">
        <v>738</v>
      </c>
      <c r="I690" s="1"/>
      <c r="J690" s="1"/>
      <c r="K690" s="1"/>
      <c r="L690" s="1"/>
      <c r="M690" s="1"/>
      <c r="N690" s="1"/>
      <c r="O690" s="1"/>
      <c r="P690" s="1"/>
      <c r="Q690" s="1"/>
      <c r="R690" s="1"/>
      <c r="T690" s="1"/>
      <c r="U690" s="1"/>
      <c r="V690" s="1"/>
      <c r="W690" s="1"/>
      <c r="X690" s="1"/>
      <c r="Y690" s="1"/>
      <c r="Z690" s="1"/>
      <c r="AB690" s="1"/>
      <c r="AC690" s="1"/>
      <c r="AD690" s="1"/>
      <c r="AE690" s="1"/>
      <c r="AF690" s="1"/>
      <c r="AG690" s="1"/>
      <c r="AH690" s="1"/>
      <c r="AI690" s="1"/>
      <c r="AL690" s="1"/>
      <c r="AN690" s="1"/>
      <c r="AO690" s="1"/>
      <c r="AP690" s="1"/>
      <c r="AQ690" s="1"/>
      <c r="AR690" s="1"/>
      <c r="AS690" s="1"/>
      <c r="AT690" s="1"/>
      <c r="AU690" s="1"/>
      <c r="AV690" s="1"/>
    </row>
    <row r="691" spans="2:48" x14ac:dyDescent="0.3">
      <c r="B691" s="1" t="s">
        <v>1290</v>
      </c>
      <c r="H691" s="1" t="s">
        <v>738</v>
      </c>
      <c r="I691" s="1"/>
      <c r="J691" s="1"/>
      <c r="K691" s="1"/>
      <c r="L691" s="1"/>
      <c r="M691" s="1"/>
      <c r="N691" s="1"/>
      <c r="O691" s="1"/>
      <c r="P691" s="1"/>
      <c r="Q691" s="1"/>
      <c r="R691" s="1"/>
      <c r="T691" s="1"/>
      <c r="U691" s="1"/>
      <c r="V691" s="1"/>
      <c r="W691" s="1"/>
      <c r="X691" s="1"/>
      <c r="Y691" s="1"/>
      <c r="Z691" s="1"/>
      <c r="AB691" s="1"/>
      <c r="AC691" s="1"/>
      <c r="AD691" s="1"/>
      <c r="AE691" s="1"/>
      <c r="AF691" s="1"/>
      <c r="AG691" s="1"/>
      <c r="AH691" s="1"/>
      <c r="AI691" s="1"/>
      <c r="AL691" s="1"/>
      <c r="AN691" s="1"/>
      <c r="AO691" s="1"/>
      <c r="AP691" s="1"/>
      <c r="AQ691" s="1"/>
      <c r="AR691" s="1"/>
      <c r="AS691" s="1"/>
      <c r="AT691" s="1"/>
      <c r="AU691" s="1"/>
      <c r="AV691" s="1"/>
    </row>
    <row r="692" spans="2:48" x14ac:dyDescent="0.3">
      <c r="B692" s="1" t="s">
        <v>1291</v>
      </c>
      <c r="H692" s="1" t="s">
        <v>738</v>
      </c>
      <c r="I692" s="1"/>
      <c r="J692" s="1"/>
      <c r="K692" s="1"/>
      <c r="L692" s="1"/>
      <c r="M692" s="1"/>
      <c r="N692" s="1"/>
      <c r="O692" s="1"/>
      <c r="P692" s="1"/>
      <c r="Q692" s="1"/>
      <c r="R692" s="1"/>
      <c r="T692" s="1"/>
      <c r="U692" s="1"/>
      <c r="V692" s="1"/>
      <c r="W692" s="1"/>
      <c r="X692" s="1"/>
      <c r="Y692" s="1"/>
      <c r="Z692" s="1"/>
      <c r="AB692" s="1"/>
      <c r="AC692" s="1"/>
      <c r="AD692" s="1"/>
      <c r="AE692" s="1"/>
      <c r="AF692" s="1"/>
      <c r="AG692" s="1"/>
      <c r="AH692" s="1"/>
      <c r="AI692" s="1"/>
      <c r="AL692" s="1"/>
      <c r="AN692" s="1"/>
      <c r="AO692" s="1"/>
      <c r="AP692" s="1"/>
      <c r="AQ692" s="1"/>
      <c r="AR692" s="1"/>
      <c r="AS692" s="1"/>
      <c r="AT692" s="1"/>
      <c r="AU692" s="1"/>
      <c r="AV692" s="1"/>
    </row>
    <row r="693" spans="2:48" x14ac:dyDescent="0.3">
      <c r="B693" s="1" t="s">
        <v>1292</v>
      </c>
      <c r="H693" s="1" t="s">
        <v>738</v>
      </c>
      <c r="I693" s="1"/>
      <c r="J693" s="1"/>
      <c r="K693" s="1"/>
      <c r="L693" s="1"/>
      <c r="M693" s="1"/>
      <c r="N693" s="1"/>
      <c r="O693" s="1"/>
      <c r="P693" s="1"/>
      <c r="Q693" s="1"/>
      <c r="R693" s="1"/>
      <c r="T693" s="1"/>
      <c r="U693" s="1"/>
      <c r="V693" s="1"/>
      <c r="W693" s="1"/>
      <c r="X693" s="1"/>
      <c r="Y693" s="1"/>
      <c r="Z693" s="1"/>
      <c r="AB693" s="1"/>
      <c r="AC693" s="1"/>
      <c r="AD693" s="1"/>
      <c r="AE693" s="1"/>
      <c r="AF693" s="1"/>
      <c r="AG693" s="1"/>
      <c r="AH693" s="1"/>
      <c r="AI693" s="1"/>
      <c r="AL693" s="1"/>
      <c r="AN693" s="1"/>
      <c r="AO693" s="1"/>
      <c r="AP693" s="1"/>
      <c r="AQ693" s="1"/>
      <c r="AR693" s="1"/>
      <c r="AS693" s="1"/>
      <c r="AT693" s="1"/>
      <c r="AU693" s="1"/>
      <c r="AV693" s="1"/>
    </row>
    <row r="694" spans="2:48" x14ac:dyDescent="0.3">
      <c r="B694" s="1" t="s">
        <v>1293</v>
      </c>
      <c r="H694" s="1" t="s">
        <v>738</v>
      </c>
      <c r="I694" s="1"/>
      <c r="J694" s="1"/>
      <c r="K694" s="1"/>
      <c r="L694" s="1"/>
      <c r="M694" s="1"/>
      <c r="N694" s="1"/>
      <c r="O694" s="1"/>
      <c r="P694" s="1"/>
      <c r="Q694" s="1"/>
      <c r="R694" s="1"/>
      <c r="T694" s="1"/>
      <c r="U694" s="1"/>
      <c r="V694" s="1"/>
      <c r="W694" s="1"/>
      <c r="X694" s="1"/>
      <c r="Y694" s="1"/>
      <c r="Z694" s="1"/>
      <c r="AB694" s="1"/>
      <c r="AC694" s="1"/>
      <c r="AD694" s="1"/>
      <c r="AE694" s="1"/>
      <c r="AF694" s="1"/>
      <c r="AG694" s="1"/>
      <c r="AH694" s="1"/>
      <c r="AI694" s="1"/>
      <c r="AL694" s="1"/>
      <c r="AN694" s="1"/>
      <c r="AO694" s="1"/>
      <c r="AP694" s="1"/>
      <c r="AQ694" s="1"/>
      <c r="AR694" s="1"/>
      <c r="AS694" s="1"/>
      <c r="AT694" s="1"/>
      <c r="AU694" s="1"/>
      <c r="AV694" s="1"/>
    </row>
    <row r="695" spans="2:48" x14ac:dyDescent="0.3">
      <c r="B695" s="1" t="s">
        <v>1294</v>
      </c>
      <c r="H695" s="1" t="s">
        <v>738</v>
      </c>
      <c r="I695" s="1"/>
      <c r="J695" s="1"/>
      <c r="K695" s="1"/>
      <c r="L695" s="1"/>
      <c r="M695" s="1"/>
      <c r="N695" s="1"/>
      <c r="O695" s="1"/>
      <c r="P695" s="1"/>
      <c r="Q695" s="1"/>
      <c r="R695" s="1"/>
      <c r="T695" s="1"/>
      <c r="U695" s="1"/>
      <c r="V695" s="1"/>
      <c r="W695" s="1"/>
      <c r="X695" s="1"/>
      <c r="Y695" s="1"/>
      <c r="Z695" s="1"/>
      <c r="AB695" s="1"/>
      <c r="AC695" s="1"/>
      <c r="AD695" s="1"/>
      <c r="AE695" s="1"/>
      <c r="AF695" s="1"/>
      <c r="AG695" s="1"/>
      <c r="AH695" s="1"/>
      <c r="AI695" s="1"/>
      <c r="AL695" s="1"/>
      <c r="AN695" s="1"/>
      <c r="AO695" s="1"/>
      <c r="AP695" s="1"/>
      <c r="AQ695" s="1"/>
      <c r="AR695" s="1"/>
      <c r="AS695" s="1"/>
      <c r="AT695" s="1"/>
      <c r="AU695" s="1"/>
      <c r="AV695" s="1"/>
    </row>
    <row r="696" spans="2:48" x14ac:dyDescent="0.3">
      <c r="B696" s="1" t="s">
        <v>1295</v>
      </c>
      <c r="H696" s="1" t="s">
        <v>738</v>
      </c>
      <c r="I696" s="1"/>
      <c r="J696" s="1"/>
      <c r="K696" s="1"/>
      <c r="L696" s="1"/>
      <c r="M696" s="1"/>
      <c r="N696" s="1"/>
      <c r="O696" s="1"/>
      <c r="P696" s="1"/>
      <c r="Q696" s="1"/>
      <c r="R696" s="1"/>
      <c r="T696" s="1"/>
      <c r="U696" s="1"/>
      <c r="V696" s="1"/>
      <c r="W696" s="1"/>
      <c r="X696" s="1"/>
      <c r="Y696" s="1"/>
      <c r="Z696" s="1"/>
      <c r="AB696" s="1"/>
      <c r="AC696" s="1"/>
      <c r="AD696" s="1"/>
      <c r="AE696" s="1"/>
      <c r="AF696" s="1"/>
      <c r="AG696" s="1"/>
      <c r="AH696" s="1"/>
      <c r="AI696" s="1"/>
      <c r="AL696" s="1"/>
      <c r="AN696" s="1"/>
      <c r="AO696" s="1"/>
      <c r="AP696" s="1"/>
      <c r="AQ696" s="1"/>
      <c r="AR696" s="1"/>
      <c r="AS696" s="1"/>
      <c r="AT696" s="1"/>
      <c r="AU696" s="1"/>
      <c r="AV696" s="1"/>
    </row>
    <row r="697" spans="2:48" x14ac:dyDescent="0.3">
      <c r="B697" s="1" t="s">
        <v>1296</v>
      </c>
      <c r="H697" s="1" t="s">
        <v>738</v>
      </c>
      <c r="I697" s="1"/>
      <c r="J697" s="1"/>
      <c r="K697" s="1"/>
      <c r="L697" s="1"/>
      <c r="M697" s="1"/>
      <c r="N697" s="1"/>
      <c r="O697" s="1"/>
      <c r="P697" s="1"/>
      <c r="Q697" s="1"/>
      <c r="R697" s="1"/>
      <c r="T697" s="1"/>
      <c r="U697" s="1"/>
      <c r="V697" s="1"/>
      <c r="W697" s="1"/>
      <c r="X697" s="1"/>
      <c r="Y697" s="1"/>
      <c r="Z697" s="1"/>
      <c r="AB697" s="1"/>
      <c r="AC697" s="1"/>
      <c r="AD697" s="1"/>
      <c r="AE697" s="1"/>
      <c r="AF697" s="1"/>
      <c r="AG697" s="1"/>
      <c r="AH697" s="1"/>
      <c r="AI697" s="1"/>
      <c r="AL697" s="1"/>
      <c r="AN697" s="1"/>
      <c r="AO697" s="1"/>
      <c r="AP697" s="1"/>
      <c r="AQ697" s="1"/>
      <c r="AR697" s="1"/>
      <c r="AS697" s="1"/>
      <c r="AT697" s="1"/>
      <c r="AU697" s="1"/>
      <c r="AV697" s="1"/>
    </row>
    <row r="698" spans="2:48" x14ac:dyDescent="0.3">
      <c r="B698" s="1" t="s">
        <v>1297</v>
      </c>
      <c r="H698" s="1" t="s">
        <v>738</v>
      </c>
      <c r="I698" s="1"/>
      <c r="J698" s="1"/>
      <c r="K698" s="1"/>
      <c r="L698" s="1"/>
      <c r="M698" s="1"/>
      <c r="N698" s="1"/>
      <c r="O698" s="1"/>
      <c r="P698" s="1"/>
      <c r="Q698" s="1"/>
      <c r="R698" s="1"/>
      <c r="T698" s="1"/>
      <c r="U698" s="1"/>
      <c r="V698" s="1"/>
      <c r="W698" s="1"/>
      <c r="X698" s="1"/>
      <c r="Y698" s="1"/>
      <c r="Z698" s="1"/>
      <c r="AB698" s="1"/>
      <c r="AC698" s="1"/>
      <c r="AD698" s="1"/>
      <c r="AE698" s="1"/>
      <c r="AF698" s="1"/>
      <c r="AG698" s="1"/>
      <c r="AH698" s="1"/>
      <c r="AI698" s="1"/>
      <c r="AL698" s="1"/>
      <c r="AN698" s="1"/>
      <c r="AO698" s="1"/>
      <c r="AP698" s="1"/>
      <c r="AQ698" s="1"/>
      <c r="AR698" s="1"/>
      <c r="AS698" s="1"/>
      <c r="AT698" s="1"/>
      <c r="AU698" s="1"/>
      <c r="AV698" s="1"/>
    </row>
    <row r="699" spans="2:48" x14ac:dyDescent="0.3">
      <c r="B699" s="1" t="s">
        <v>1298</v>
      </c>
      <c r="H699" s="1" t="s">
        <v>738</v>
      </c>
      <c r="I699" s="1"/>
      <c r="J699" s="1"/>
      <c r="K699" s="1"/>
      <c r="L699" s="1"/>
      <c r="M699" s="1"/>
      <c r="N699" s="1"/>
      <c r="O699" s="1"/>
      <c r="P699" s="1"/>
      <c r="Q699" s="1"/>
      <c r="R699" s="1"/>
      <c r="T699" s="1"/>
      <c r="U699" s="1"/>
      <c r="V699" s="1"/>
      <c r="W699" s="1"/>
      <c r="X699" s="1"/>
      <c r="Y699" s="1"/>
      <c r="Z699" s="1"/>
      <c r="AB699" s="1"/>
      <c r="AC699" s="1"/>
      <c r="AD699" s="1"/>
      <c r="AE699" s="1"/>
      <c r="AF699" s="1"/>
      <c r="AG699" s="1"/>
      <c r="AH699" s="1"/>
      <c r="AI699" s="1"/>
      <c r="AL699" s="1"/>
      <c r="AN699" s="1"/>
      <c r="AO699" s="1"/>
      <c r="AP699" s="1"/>
      <c r="AQ699" s="1"/>
      <c r="AR699" s="1"/>
      <c r="AS699" s="1"/>
      <c r="AT699" s="1"/>
      <c r="AU699" s="1"/>
      <c r="AV699" s="1"/>
    </row>
    <row r="700" spans="2:48" x14ac:dyDescent="0.3">
      <c r="B700" s="1" t="s">
        <v>1299</v>
      </c>
      <c r="H700" s="1" t="s">
        <v>738</v>
      </c>
      <c r="I700" s="1"/>
      <c r="J700" s="1"/>
      <c r="K700" s="1"/>
      <c r="L700" s="1"/>
      <c r="M700" s="1"/>
      <c r="N700" s="1"/>
      <c r="O700" s="1"/>
      <c r="P700" s="1"/>
      <c r="Q700" s="1"/>
      <c r="R700" s="1"/>
      <c r="T700" s="1"/>
      <c r="U700" s="1"/>
      <c r="V700" s="1"/>
      <c r="W700" s="1"/>
      <c r="X700" s="1"/>
      <c r="Y700" s="1"/>
      <c r="Z700" s="1"/>
      <c r="AB700" s="1"/>
      <c r="AC700" s="1"/>
      <c r="AD700" s="1"/>
      <c r="AE700" s="1"/>
      <c r="AF700" s="1"/>
      <c r="AG700" s="1"/>
      <c r="AH700" s="1"/>
      <c r="AI700" s="1"/>
      <c r="AL700" s="1"/>
      <c r="AN700" s="1"/>
      <c r="AO700" s="1"/>
      <c r="AP700" s="1"/>
      <c r="AQ700" s="1"/>
      <c r="AR700" s="1"/>
      <c r="AS700" s="1"/>
      <c r="AT700" s="1"/>
      <c r="AU700" s="1"/>
      <c r="AV700" s="1"/>
    </row>
    <row r="701" spans="2:48" x14ac:dyDescent="0.3">
      <c r="B701" s="1" t="s">
        <v>1300</v>
      </c>
      <c r="H701" s="1" t="s">
        <v>738</v>
      </c>
      <c r="I701" s="1"/>
      <c r="J701" s="1"/>
      <c r="K701" s="1"/>
      <c r="L701" s="1"/>
      <c r="M701" s="1"/>
      <c r="N701" s="1"/>
      <c r="O701" s="1"/>
      <c r="P701" s="1"/>
      <c r="Q701" s="1"/>
      <c r="R701" s="1"/>
      <c r="T701" s="1"/>
      <c r="U701" s="1"/>
      <c r="V701" s="1"/>
      <c r="W701" s="1"/>
      <c r="X701" s="1"/>
      <c r="Y701" s="1"/>
      <c r="Z701" s="1"/>
      <c r="AB701" s="1"/>
      <c r="AC701" s="1"/>
      <c r="AD701" s="1"/>
      <c r="AE701" s="1"/>
      <c r="AF701" s="1"/>
      <c r="AG701" s="1"/>
      <c r="AH701" s="1"/>
      <c r="AI701" s="1"/>
      <c r="AL701" s="1"/>
      <c r="AN701" s="1"/>
      <c r="AO701" s="1"/>
      <c r="AP701" s="1"/>
      <c r="AQ701" s="1"/>
      <c r="AR701" s="1"/>
      <c r="AS701" s="1"/>
      <c r="AT701" s="1"/>
      <c r="AU701" s="1"/>
      <c r="AV701" s="1"/>
    </row>
    <row r="702" spans="2:48" x14ac:dyDescent="0.3">
      <c r="B702" s="1" t="s">
        <v>1301</v>
      </c>
      <c r="H702" s="1" t="s">
        <v>738</v>
      </c>
      <c r="I702" s="1"/>
      <c r="J702" s="1"/>
      <c r="K702" s="1"/>
      <c r="L702" s="1"/>
      <c r="M702" s="1"/>
      <c r="N702" s="1"/>
      <c r="O702" s="1"/>
      <c r="P702" s="1"/>
      <c r="Q702" s="1"/>
      <c r="R702" s="1"/>
      <c r="T702" s="1"/>
      <c r="U702" s="1"/>
      <c r="V702" s="1"/>
      <c r="W702" s="1"/>
      <c r="X702" s="1"/>
      <c r="Y702" s="1"/>
      <c r="Z702" s="1"/>
      <c r="AB702" s="1"/>
      <c r="AC702" s="1"/>
      <c r="AD702" s="1"/>
      <c r="AE702" s="1"/>
      <c r="AF702" s="1"/>
      <c r="AG702" s="1"/>
      <c r="AH702" s="1"/>
      <c r="AI702" s="1"/>
      <c r="AL702" s="1"/>
      <c r="AN702" s="1"/>
      <c r="AO702" s="1"/>
      <c r="AP702" s="1"/>
      <c r="AQ702" s="1"/>
      <c r="AR702" s="1"/>
      <c r="AS702" s="1"/>
      <c r="AT702" s="1"/>
      <c r="AU702" s="1"/>
      <c r="AV702" s="1"/>
    </row>
    <row r="703" spans="2:48" x14ac:dyDescent="0.3">
      <c r="B703" s="1" t="s">
        <v>1302</v>
      </c>
      <c r="H703" s="1" t="s">
        <v>738</v>
      </c>
      <c r="I703" s="1"/>
      <c r="J703" s="1"/>
      <c r="K703" s="1"/>
      <c r="L703" s="1"/>
      <c r="M703" s="1"/>
      <c r="N703" s="1"/>
      <c r="O703" s="1"/>
      <c r="P703" s="1"/>
      <c r="Q703" s="1"/>
      <c r="R703" s="1"/>
      <c r="T703" s="1"/>
      <c r="U703" s="1"/>
      <c r="V703" s="1"/>
      <c r="W703" s="1"/>
      <c r="X703" s="1"/>
      <c r="Y703" s="1"/>
      <c r="Z703" s="1"/>
      <c r="AB703" s="1"/>
      <c r="AC703" s="1"/>
      <c r="AD703" s="1"/>
      <c r="AE703" s="1"/>
      <c r="AF703" s="1"/>
      <c r="AG703" s="1"/>
      <c r="AH703" s="1"/>
      <c r="AI703" s="1"/>
      <c r="AL703" s="1"/>
      <c r="AN703" s="1"/>
      <c r="AO703" s="1"/>
      <c r="AP703" s="1"/>
      <c r="AQ703" s="1"/>
      <c r="AR703" s="1"/>
      <c r="AS703" s="1"/>
      <c r="AT703" s="1"/>
      <c r="AU703" s="1"/>
      <c r="AV703" s="1"/>
    </row>
    <row r="704" spans="2:48" x14ac:dyDescent="0.3">
      <c r="B704" s="1" t="s">
        <v>1303</v>
      </c>
      <c r="H704" s="1" t="s">
        <v>738</v>
      </c>
      <c r="I704" s="1"/>
      <c r="J704" s="1"/>
      <c r="K704" s="1"/>
      <c r="L704" s="1"/>
      <c r="M704" s="1"/>
      <c r="N704" s="1"/>
      <c r="O704" s="1"/>
      <c r="P704" s="1"/>
      <c r="Q704" s="1"/>
      <c r="R704" s="1"/>
      <c r="T704" s="1"/>
      <c r="U704" s="1"/>
      <c r="V704" s="1"/>
      <c r="W704" s="1"/>
      <c r="X704" s="1"/>
      <c r="Y704" s="1"/>
      <c r="Z704" s="1"/>
      <c r="AB704" s="1"/>
      <c r="AC704" s="1"/>
      <c r="AD704" s="1"/>
      <c r="AE704" s="1"/>
      <c r="AF704" s="1"/>
      <c r="AG704" s="1"/>
      <c r="AH704" s="1"/>
      <c r="AI704" s="1"/>
      <c r="AL704" s="1"/>
      <c r="AN704" s="1"/>
      <c r="AO704" s="1"/>
      <c r="AP704" s="1"/>
      <c r="AQ704" s="1"/>
      <c r="AR704" s="1"/>
      <c r="AS704" s="1"/>
      <c r="AT704" s="1"/>
      <c r="AU704" s="1"/>
      <c r="AV704" s="1"/>
    </row>
    <row r="705" spans="2:48" x14ac:dyDescent="0.3">
      <c r="B705" s="1" t="s">
        <v>1304</v>
      </c>
      <c r="H705" s="1" t="s">
        <v>738</v>
      </c>
      <c r="I705" s="1"/>
      <c r="J705" s="1"/>
      <c r="K705" s="1"/>
      <c r="L705" s="1"/>
      <c r="M705" s="1"/>
      <c r="N705" s="1"/>
      <c r="O705" s="1"/>
      <c r="P705" s="1"/>
      <c r="Q705" s="1"/>
      <c r="R705" s="1"/>
      <c r="T705" s="1"/>
      <c r="U705" s="1"/>
      <c r="V705" s="1"/>
      <c r="W705" s="1"/>
      <c r="X705" s="1"/>
      <c r="Y705" s="1"/>
      <c r="Z705" s="1"/>
      <c r="AB705" s="1"/>
      <c r="AC705" s="1"/>
      <c r="AD705" s="1"/>
      <c r="AE705" s="1"/>
      <c r="AF705" s="1"/>
      <c r="AG705" s="1"/>
      <c r="AH705" s="1"/>
      <c r="AI705" s="1"/>
      <c r="AL705" s="1"/>
      <c r="AN705" s="1"/>
      <c r="AO705" s="1"/>
      <c r="AP705" s="1"/>
      <c r="AQ705" s="1"/>
      <c r="AR705" s="1"/>
      <c r="AS705" s="1"/>
      <c r="AT705" s="1"/>
      <c r="AU705" s="1"/>
      <c r="AV705" s="1"/>
    </row>
    <row r="706" spans="2:48" x14ac:dyDescent="0.3">
      <c r="B706" s="1" t="s">
        <v>1305</v>
      </c>
      <c r="H706" s="1" t="s">
        <v>738</v>
      </c>
      <c r="I706" s="1"/>
      <c r="J706" s="1"/>
      <c r="K706" s="1"/>
      <c r="L706" s="1"/>
      <c r="M706" s="1"/>
      <c r="N706" s="1"/>
      <c r="O706" s="1"/>
      <c r="P706" s="1"/>
      <c r="Q706" s="1"/>
      <c r="R706" s="1"/>
      <c r="T706" s="1"/>
      <c r="U706" s="1"/>
      <c r="V706" s="1"/>
      <c r="W706" s="1"/>
      <c r="X706" s="1"/>
      <c r="Y706" s="1"/>
      <c r="Z706" s="1"/>
      <c r="AB706" s="1"/>
      <c r="AC706" s="1"/>
      <c r="AD706" s="1"/>
      <c r="AE706" s="1"/>
      <c r="AF706" s="1"/>
      <c r="AG706" s="1"/>
      <c r="AH706" s="1"/>
      <c r="AI706" s="1"/>
      <c r="AL706" s="1"/>
      <c r="AN706" s="1"/>
      <c r="AO706" s="1"/>
      <c r="AP706" s="1"/>
      <c r="AQ706" s="1"/>
      <c r="AR706" s="1"/>
      <c r="AS706" s="1"/>
      <c r="AT706" s="1"/>
      <c r="AU706" s="1"/>
      <c r="AV706" s="1"/>
    </row>
    <row r="707" spans="2:48" x14ac:dyDescent="0.3">
      <c r="B707" s="1" t="s">
        <v>1306</v>
      </c>
      <c r="H707" s="1" t="s">
        <v>738</v>
      </c>
      <c r="I707" s="1"/>
      <c r="J707" s="1"/>
      <c r="K707" s="1"/>
      <c r="L707" s="1"/>
      <c r="M707" s="1"/>
      <c r="N707" s="1"/>
      <c r="O707" s="1"/>
      <c r="P707" s="1"/>
      <c r="Q707" s="1"/>
      <c r="R707" s="1"/>
      <c r="T707" s="1"/>
      <c r="U707" s="1"/>
      <c r="V707" s="1"/>
      <c r="W707" s="1"/>
      <c r="X707" s="1"/>
      <c r="Y707" s="1"/>
      <c r="Z707" s="1"/>
      <c r="AB707" s="1"/>
      <c r="AC707" s="1"/>
      <c r="AD707" s="1"/>
      <c r="AE707" s="1"/>
      <c r="AF707" s="1"/>
      <c r="AG707" s="1"/>
      <c r="AH707" s="1"/>
      <c r="AI707" s="1"/>
      <c r="AL707" s="1"/>
      <c r="AN707" s="1"/>
      <c r="AO707" s="1"/>
      <c r="AP707" s="1"/>
      <c r="AQ707" s="1"/>
      <c r="AR707" s="1"/>
      <c r="AS707" s="1"/>
      <c r="AT707" s="1"/>
      <c r="AU707" s="1"/>
      <c r="AV707" s="1"/>
    </row>
    <row r="708" spans="2:48" x14ac:dyDescent="0.3">
      <c r="B708" s="1" t="s">
        <v>1307</v>
      </c>
      <c r="H708" s="1" t="s">
        <v>738</v>
      </c>
      <c r="I708" s="1"/>
      <c r="J708" s="1"/>
      <c r="K708" s="1"/>
      <c r="L708" s="1"/>
      <c r="M708" s="1"/>
      <c r="N708" s="1"/>
      <c r="O708" s="1"/>
      <c r="P708" s="1"/>
      <c r="Q708" s="1"/>
      <c r="R708" s="1"/>
      <c r="T708" s="1"/>
      <c r="U708" s="1"/>
      <c r="V708" s="1"/>
      <c r="W708" s="1"/>
      <c r="X708" s="1"/>
      <c r="Y708" s="1"/>
      <c r="Z708" s="1"/>
      <c r="AB708" s="1"/>
      <c r="AC708" s="1"/>
      <c r="AD708" s="1"/>
      <c r="AE708" s="1"/>
      <c r="AF708" s="1"/>
      <c r="AG708" s="1"/>
      <c r="AH708" s="1"/>
      <c r="AI708" s="1"/>
      <c r="AL708" s="1"/>
      <c r="AN708" s="1"/>
      <c r="AO708" s="1"/>
      <c r="AP708" s="1"/>
      <c r="AQ708" s="1"/>
      <c r="AR708" s="1"/>
      <c r="AS708" s="1"/>
      <c r="AT708" s="1"/>
      <c r="AU708" s="1"/>
      <c r="AV708" s="1"/>
    </row>
    <row r="709" spans="2:48" x14ac:dyDescent="0.3">
      <c r="B709" s="1" t="s">
        <v>1308</v>
      </c>
      <c r="H709" s="1" t="s">
        <v>738</v>
      </c>
      <c r="I709" s="1"/>
      <c r="J709" s="1"/>
      <c r="K709" s="1"/>
      <c r="L709" s="1"/>
      <c r="M709" s="1"/>
      <c r="N709" s="1"/>
      <c r="O709" s="1"/>
      <c r="P709" s="1"/>
      <c r="Q709" s="1"/>
      <c r="R709" s="1"/>
      <c r="T709" s="1"/>
      <c r="U709" s="1"/>
      <c r="V709" s="1"/>
      <c r="W709" s="1"/>
      <c r="X709" s="1"/>
      <c r="Y709" s="1"/>
      <c r="Z709" s="1"/>
      <c r="AB709" s="1"/>
      <c r="AC709" s="1"/>
      <c r="AD709" s="1"/>
      <c r="AE709" s="1"/>
      <c r="AF709" s="1"/>
      <c r="AG709" s="1"/>
      <c r="AH709" s="1"/>
      <c r="AI709" s="1"/>
      <c r="AL709" s="1"/>
      <c r="AN709" s="1"/>
      <c r="AO709" s="1"/>
      <c r="AP709" s="1"/>
      <c r="AQ709" s="1"/>
      <c r="AR709" s="1"/>
      <c r="AS709" s="1"/>
      <c r="AT709" s="1"/>
      <c r="AU709" s="1"/>
      <c r="AV709" s="1"/>
    </row>
    <row r="710" spans="2:48" x14ac:dyDescent="0.3">
      <c r="B710" s="1" t="s">
        <v>1309</v>
      </c>
      <c r="H710" s="1" t="s">
        <v>738</v>
      </c>
      <c r="I710" s="1"/>
      <c r="J710" s="1"/>
      <c r="K710" s="1"/>
      <c r="L710" s="1"/>
      <c r="M710" s="1"/>
      <c r="N710" s="1"/>
      <c r="O710" s="1"/>
      <c r="P710" s="1"/>
      <c r="Q710" s="1"/>
      <c r="R710" s="1"/>
      <c r="T710" s="1"/>
      <c r="U710" s="1"/>
      <c r="V710" s="1"/>
      <c r="W710" s="1"/>
      <c r="X710" s="1"/>
      <c r="Y710" s="1"/>
      <c r="Z710" s="1"/>
      <c r="AB710" s="1"/>
      <c r="AC710" s="1"/>
      <c r="AD710" s="1"/>
      <c r="AE710" s="1"/>
      <c r="AF710" s="1"/>
      <c r="AG710" s="1"/>
      <c r="AH710" s="1"/>
      <c r="AI710" s="1"/>
      <c r="AL710" s="1"/>
      <c r="AN710" s="1"/>
      <c r="AO710" s="1"/>
      <c r="AP710" s="1"/>
      <c r="AQ710" s="1"/>
      <c r="AR710" s="1"/>
      <c r="AS710" s="1"/>
      <c r="AT710" s="1"/>
      <c r="AU710" s="1"/>
      <c r="AV710" s="1"/>
    </row>
    <row r="711" spans="2:48" x14ac:dyDescent="0.3">
      <c r="B711" s="1" t="s">
        <v>1310</v>
      </c>
      <c r="H711" s="1" t="s">
        <v>738</v>
      </c>
      <c r="I711" s="1"/>
      <c r="J711" s="1"/>
      <c r="K711" s="1"/>
      <c r="L711" s="1"/>
      <c r="M711" s="1"/>
      <c r="N711" s="1"/>
      <c r="O711" s="1"/>
      <c r="P711" s="1"/>
      <c r="Q711" s="1"/>
      <c r="R711" s="1"/>
      <c r="T711" s="1"/>
      <c r="U711" s="1"/>
      <c r="V711" s="1"/>
      <c r="W711" s="1"/>
      <c r="X711" s="1"/>
      <c r="Y711" s="1"/>
      <c r="Z711" s="1"/>
      <c r="AB711" s="1"/>
      <c r="AC711" s="1"/>
      <c r="AD711" s="1"/>
      <c r="AE711" s="1"/>
      <c r="AF711" s="1"/>
      <c r="AG711" s="1"/>
      <c r="AH711" s="1"/>
      <c r="AI711" s="1"/>
      <c r="AL711" s="1"/>
      <c r="AN711" s="1"/>
      <c r="AO711" s="1"/>
      <c r="AP711" s="1"/>
      <c r="AQ711" s="1"/>
      <c r="AR711" s="1"/>
      <c r="AS711" s="1"/>
      <c r="AT711" s="1"/>
      <c r="AU711" s="1"/>
      <c r="AV711" s="1"/>
    </row>
    <row r="712" spans="2:48" x14ac:dyDescent="0.3">
      <c r="B712" s="1" t="s">
        <v>1311</v>
      </c>
      <c r="H712" s="1" t="s">
        <v>738</v>
      </c>
      <c r="I712" s="1"/>
      <c r="J712" s="1"/>
      <c r="K712" s="1"/>
      <c r="L712" s="1"/>
      <c r="M712" s="1"/>
      <c r="N712" s="1"/>
      <c r="O712" s="1"/>
      <c r="P712" s="1"/>
      <c r="Q712" s="1"/>
      <c r="R712" s="1"/>
      <c r="T712" s="1"/>
      <c r="U712" s="1"/>
      <c r="V712" s="1"/>
      <c r="W712" s="1"/>
      <c r="X712" s="1"/>
      <c r="Y712" s="1"/>
      <c r="Z712" s="1"/>
      <c r="AB712" s="1"/>
      <c r="AC712" s="1"/>
      <c r="AD712" s="1"/>
      <c r="AE712" s="1"/>
      <c r="AF712" s="1"/>
      <c r="AG712" s="1"/>
      <c r="AH712" s="1"/>
      <c r="AI712" s="1"/>
      <c r="AL712" s="1"/>
      <c r="AN712" s="1"/>
      <c r="AO712" s="1"/>
      <c r="AP712" s="1"/>
      <c r="AQ712" s="1"/>
      <c r="AR712" s="1"/>
      <c r="AS712" s="1"/>
      <c r="AT712" s="1"/>
      <c r="AU712" s="1"/>
      <c r="AV712" s="1"/>
    </row>
    <row r="713" spans="2:48" x14ac:dyDescent="0.3">
      <c r="B713" s="1" t="s">
        <v>1312</v>
      </c>
      <c r="H713" s="1" t="s">
        <v>738</v>
      </c>
      <c r="I713" s="1"/>
      <c r="J713" s="1"/>
      <c r="K713" s="1"/>
      <c r="L713" s="1"/>
      <c r="M713" s="1"/>
      <c r="N713" s="1"/>
      <c r="O713" s="1"/>
      <c r="P713" s="1"/>
      <c r="Q713" s="1"/>
      <c r="R713" s="1"/>
      <c r="T713" s="1"/>
      <c r="U713" s="1"/>
      <c r="V713" s="1"/>
      <c r="W713" s="1"/>
      <c r="X713" s="1"/>
      <c r="Y713" s="1"/>
      <c r="Z713" s="1"/>
      <c r="AB713" s="1"/>
      <c r="AC713" s="1"/>
      <c r="AD713" s="1"/>
      <c r="AE713" s="1"/>
      <c r="AF713" s="1"/>
      <c r="AG713" s="1"/>
      <c r="AH713" s="1"/>
      <c r="AI713" s="1"/>
      <c r="AL713" s="1"/>
      <c r="AN713" s="1"/>
      <c r="AO713" s="1"/>
      <c r="AP713" s="1"/>
      <c r="AQ713" s="1"/>
      <c r="AR713" s="1"/>
      <c r="AS713" s="1"/>
      <c r="AT713" s="1"/>
      <c r="AU713" s="1"/>
      <c r="AV713" s="1"/>
    </row>
    <row r="714" spans="2:48" x14ac:dyDescent="0.3">
      <c r="B714" s="1" t="s">
        <v>1313</v>
      </c>
      <c r="H714" s="1" t="s">
        <v>738</v>
      </c>
      <c r="I714" s="1"/>
      <c r="J714" s="1"/>
      <c r="K714" s="1"/>
      <c r="L714" s="1"/>
      <c r="M714" s="1"/>
      <c r="N714" s="1"/>
      <c r="O714" s="1"/>
      <c r="P714" s="1"/>
      <c r="Q714" s="1"/>
      <c r="R714" s="1"/>
      <c r="T714" s="1"/>
      <c r="U714" s="1"/>
      <c r="V714" s="1"/>
      <c r="W714" s="1"/>
      <c r="X714" s="1"/>
      <c r="Y714" s="1"/>
      <c r="Z714" s="1"/>
      <c r="AB714" s="1"/>
      <c r="AC714" s="1"/>
      <c r="AD714" s="1"/>
      <c r="AE714" s="1"/>
      <c r="AF714" s="1"/>
      <c r="AG714" s="1"/>
      <c r="AH714" s="1"/>
      <c r="AI714" s="1"/>
      <c r="AL714" s="1"/>
      <c r="AN714" s="1"/>
      <c r="AO714" s="1"/>
      <c r="AP714" s="1"/>
      <c r="AQ714" s="1"/>
      <c r="AR714" s="1"/>
      <c r="AS714" s="1"/>
      <c r="AT714" s="1"/>
      <c r="AU714" s="1"/>
      <c r="AV714" s="1"/>
    </row>
    <row r="715" spans="2:48" x14ac:dyDescent="0.3">
      <c r="B715" s="1" t="s">
        <v>1314</v>
      </c>
      <c r="H715" s="1" t="s">
        <v>738</v>
      </c>
      <c r="I715" s="1"/>
      <c r="J715" s="1"/>
      <c r="K715" s="1"/>
      <c r="L715" s="1"/>
      <c r="M715" s="1"/>
      <c r="N715" s="1"/>
      <c r="O715" s="1"/>
      <c r="P715" s="1"/>
      <c r="Q715" s="1"/>
      <c r="R715" s="1"/>
      <c r="T715" s="1"/>
      <c r="U715" s="1"/>
      <c r="V715" s="1"/>
      <c r="W715" s="1"/>
      <c r="X715" s="1"/>
      <c r="Y715" s="1"/>
      <c r="Z715" s="1"/>
      <c r="AB715" s="1"/>
      <c r="AC715" s="1"/>
      <c r="AD715" s="1"/>
      <c r="AE715" s="1"/>
      <c r="AF715" s="1"/>
      <c r="AG715" s="1"/>
      <c r="AH715" s="1"/>
      <c r="AI715" s="1"/>
      <c r="AL715" s="1"/>
      <c r="AN715" s="1"/>
      <c r="AO715" s="1"/>
      <c r="AP715" s="1"/>
      <c r="AQ715" s="1"/>
      <c r="AR715" s="1"/>
      <c r="AS715" s="1"/>
      <c r="AT715" s="1"/>
      <c r="AU715" s="1"/>
      <c r="AV715" s="1"/>
    </row>
    <row r="716" spans="2:48" x14ac:dyDescent="0.3">
      <c r="B716" s="1" t="s">
        <v>1315</v>
      </c>
      <c r="H716" s="1" t="s">
        <v>738</v>
      </c>
      <c r="I716" s="1"/>
      <c r="J716" s="1"/>
      <c r="K716" s="1"/>
      <c r="L716" s="1"/>
      <c r="M716" s="1"/>
      <c r="N716" s="1"/>
      <c r="O716" s="1"/>
      <c r="P716" s="1"/>
      <c r="Q716" s="1"/>
      <c r="R716" s="1"/>
      <c r="T716" s="1"/>
      <c r="U716" s="1"/>
      <c r="V716" s="1"/>
      <c r="W716" s="1"/>
      <c r="X716" s="1"/>
      <c r="Y716" s="1"/>
      <c r="Z716" s="1"/>
      <c r="AB716" s="1"/>
      <c r="AC716" s="1"/>
      <c r="AD716" s="1"/>
      <c r="AE716" s="1"/>
      <c r="AF716" s="1"/>
      <c r="AG716" s="1"/>
      <c r="AH716" s="1"/>
      <c r="AI716" s="1"/>
      <c r="AL716" s="1"/>
      <c r="AN716" s="1"/>
      <c r="AO716" s="1"/>
      <c r="AP716" s="1"/>
      <c r="AQ716" s="1"/>
      <c r="AR716" s="1"/>
      <c r="AS716" s="1"/>
      <c r="AT716" s="1"/>
      <c r="AU716" s="1"/>
      <c r="AV716" s="1"/>
    </row>
    <row r="717" spans="2:48" x14ac:dyDescent="0.3">
      <c r="B717" s="1" t="s">
        <v>1316</v>
      </c>
      <c r="H717" s="1" t="s">
        <v>738</v>
      </c>
      <c r="I717" s="1"/>
      <c r="J717" s="1"/>
      <c r="K717" s="1"/>
      <c r="L717" s="1"/>
      <c r="M717" s="1"/>
      <c r="N717" s="1"/>
      <c r="O717" s="1"/>
      <c r="P717" s="1"/>
      <c r="Q717" s="1"/>
      <c r="R717" s="1"/>
      <c r="T717" s="1"/>
      <c r="U717" s="1"/>
      <c r="V717" s="1"/>
      <c r="W717" s="1"/>
      <c r="X717" s="1"/>
      <c r="Y717" s="1"/>
      <c r="Z717" s="1"/>
      <c r="AB717" s="1"/>
      <c r="AC717" s="1"/>
      <c r="AD717" s="1"/>
      <c r="AE717" s="1"/>
      <c r="AF717" s="1"/>
      <c r="AG717" s="1"/>
      <c r="AH717" s="1"/>
      <c r="AI717" s="1"/>
      <c r="AL717" s="1"/>
      <c r="AN717" s="1"/>
      <c r="AO717" s="1"/>
      <c r="AP717" s="1"/>
      <c r="AQ717" s="1"/>
      <c r="AR717" s="1"/>
      <c r="AS717" s="1"/>
      <c r="AT717" s="1"/>
      <c r="AU717" s="1"/>
      <c r="AV717" s="1"/>
    </row>
    <row r="718" spans="2:48" x14ac:dyDescent="0.3">
      <c r="B718" s="1" t="s">
        <v>1317</v>
      </c>
      <c r="H718" s="1" t="s">
        <v>738</v>
      </c>
      <c r="I718" s="1"/>
      <c r="J718" s="1"/>
      <c r="K718" s="1"/>
      <c r="L718" s="1"/>
      <c r="M718" s="1"/>
      <c r="N718" s="1"/>
      <c r="O718" s="1"/>
      <c r="P718" s="1"/>
      <c r="Q718" s="1"/>
      <c r="R718" s="1"/>
      <c r="T718" s="1"/>
      <c r="U718" s="1"/>
      <c r="V718" s="1"/>
      <c r="W718" s="1"/>
      <c r="X718" s="1"/>
      <c r="Y718" s="1"/>
      <c r="Z718" s="1"/>
      <c r="AB718" s="1"/>
      <c r="AC718" s="1"/>
      <c r="AD718" s="1"/>
      <c r="AE718" s="1"/>
      <c r="AF718" s="1"/>
      <c r="AG718" s="1"/>
      <c r="AH718" s="1"/>
      <c r="AI718" s="1"/>
      <c r="AL718" s="1"/>
      <c r="AN718" s="1"/>
      <c r="AO718" s="1"/>
      <c r="AP718" s="1"/>
      <c r="AQ718" s="1"/>
      <c r="AR718" s="1"/>
      <c r="AS718" s="1"/>
      <c r="AT718" s="1"/>
      <c r="AU718" s="1"/>
      <c r="AV718" s="1"/>
    </row>
    <row r="719" spans="2:48" x14ac:dyDescent="0.3">
      <c r="B719" s="1" t="s">
        <v>1318</v>
      </c>
      <c r="H719" s="1" t="s">
        <v>738</v>
      </c>
      <c r="I719" s="1"/>
      <c r="J719" s="1"/>
      <c r="K719" s="1"/>
      <c r="L719" s="1"/>
      <c r="M719" s="1"/>
      <c r="N719" s="1"/>
      <c r="O719" s="1"/>
      <c r="P719" s="1"/>
      <c r="Q719" s="1"/>
      <c r="R719" s="1"/>
      <c r="T719" s="1"/>
      <c r="U719" s="1"/>
      <c r="V719" s="1"/>
      <c r="W719" s="1"/>
      <c r="X719" s="1"/>
      <c r="Y719" s="1"/>
      <c r="Z719" s="1"/>
      <c r="AB719" s="1"/>
      <c r="AC719" s="1"/>
      <c r="AD719" s="1"/>
      <c r="AE719" s="1"/>
      <c r="AF719" s="1"/>
      <c r="AG719" s="1"/>
      <c r="AH719" s="1"/>
      <c r="AI719" s="1"/>
      <c r="AL719" s="1"/>
      <c r="AN719" s="1"/>
      <c r="AO719" s="1"/>
      <c r="AP719" s="1"/>
      <c r="AQ719" s="1"/>
      <c r="AR719" s="1"/>
      <c r="AS719" s="1"/>
      <c r="AT719" s="1"/>
      <c r="AU719" s="1"/>
      <c r="AV719" s="1"/>
    </row>
    <row r="720" spans="2:48" x14ac:dyDescent="0.3">
      <c r="B720" s="1" t="s">
        <v>1319</v>
      </c>
      <c r="H720" s="1" t="s">
        <v>738</v>
      </c>
      <c r="I720" s="1"/>
      <c r="J720" s="1"/>
      <c r="K720" s="1"/>
      <c r="L720" s="1"/>
      <c r="M720" s="1"/>
      <c r="N720" s="1"/>
      <c r="O720" s="1"/>
      <c r="P720" s="1"/>
      <c r="Q720" s="1"/>
      <c r="R720" s="1"/>
      <c r="T720" s="1"/>
      <c r="U720" s="1"/>
      <c r="V720" s="1"/>
      <c r="W720" s="1"/>
      <c r="X720" s="1"/>
      <c r="Y720" s="1"/>
      <c r="Z720" s="1"/>
      <c r="AB720" s="1"/>
      <c r="AC720" s="1"/>
      <c r="AD720" s="1"/>
      <c r="AE720" s="1"/>
      <c r="AF720" s="1"/>
      <c r="AG720" s="1"/>
      <c r="AH720" s="1"/>
      <c r="AI720" s="1"/>
      <c r="AL720" s="1"/>
      <c r="AN720" s="1"/>
      <c r="AO720" s="1"/>
      <c r="AP720" s="1"/>
      <c r="AQ720" s="1"/>
      <c r="AR720" s="1"/>
      <c r="AS720" s="1"/>
      <c r="AT720" s="1"/>
      <c r="AU720" s="1"/>
      <c r="AV720" s="1"/>
    </row>
    <row r="721" spans="2:48" x14ac:dyDescent="0.3">
      <c r="B721" s="1" t="s">
        <v>1320</v>
      </c>
      <c r="H721" s="1" t="s">
        <v>738</v>
      </c>
      <c r="I721" s="1"/>
      <c r="J721" s="1"/>
      <c r="K721" s="1"/>
      <c r="L721" s="1"/>
      <c r="M721" s="1"/>
      <c r="N721" s="1"/>
      <c r="O721" s="1"/>
      <c r="P721" s="1"/>
      <c r="Q721" s="1"/>
      <c r="R721" s="1"/>
      <c r="T721" s="1"/>
      <c r="U721" s="1"/>
      <c r="V721" s="1"/>
      <c r="W721" s="1"/>
      <c r="X721" s="1"/>
      <c r="Y721" s="1"/>
      <c r="Z721" s="1"/>
      <c r="AB721" s="1"/>
      <c r="AC721" s="1"/>
      <c r="AD721" s="1"/>
      <c r="AE721" s="1"/>
      <c r="AF721" s="1"/>
      <c r="AG721" s="1"/>
      <c r="AH721" s="1"/>
      <c r="AI721" s="1"/>
      <c r="AL721" s="1"/>
      <c r="AN721" s="1"/>
      <c r="AO721" s="1"/>
      <c r="AP721" s="1"/>
      <c r="AQ721" s="1"/>
      <c r="AR721" s="1"/>
      <c r="AS721" s="1"/>
      <c r="AT721" s="1"/>
      <c r="AU721" s="1"/>
      <c r="AV721" s="1"/>
    </row>
    <row r="722" spans="2:48" x14ac:dyDescent="0.3">
      <c r="B722" s="1" t="s">
        <v>1321</v>
      </c>
      <c r="H722" s="1" t="s">
        <v>738</v>
      </c>
      <c r="I722" s="1"/>
      <c r="J722" s="1"/>
      <c r="K722" s="1"/>
      <c r="L722" s="1"/>
      <c r="M722" s="1"/>
      <c r="N722" s="1"/>
      <c r="O722" s="1"/>
      <c r="P722" s="1"/>
      <c r="Q722" s="1"/>
      <c r="R722" s="1"/>
      <c r="T722" s="1"/>
      <c r="U722" s="1"/>
      <c r="V722" s="1"/>
      <c r="W722" s="1"/>
      <c r="X722" s="1"/>
      <c r="Y722" s="1"/>
      <c r="Z722" s="1"/>
      <c r="AB722" s="1"/>
      <c r="AC722" s="1"/>
      <c r="AD722" s="1"/>
      <c r="AE722" s="1"/>
      <c r="AF722" s="1"/>
      <c r="AG722" s="1"/>
      <c r="AH722" s="1"/>
      <c r="AI722" s="1"/>
      <c r="AL722" s="1"/>
      <c r="AN722" s="1"/>
      <c r="AO722" s="1"/>
      <c r="AP722" s="1"/>
      <c r="AQ722" s="1"/>
      <c r="AR722" s="1"/>
      <c r="AS722" s="1"/>
      <c r="AT722" s="1"/>
      <c r="AU722" s="1"/>
      <c r="AV722" s="1"/>
    </row>
    <row r="723" spans="2:48" x14ac:dyDescent="0.3">
      <c r="B723" s="1" t="s">
        <v>1322</v>
      </c>
      <c r="H723" s="1" t="s">
        <v>738</v>
      </c>
      <c r="I723" s="1"/>
      <c r="J723" s="1"/>
      <c r="K723" s="1"/>
      <c r="L723" s="1"/>
      <c r="M723" s="1"/>
      <c r="N723" s="1"/>
      <c r="O723" s="1"/>
      <c r="P723" s="1"/>
      <c r="Q723" s="1"/>
      <c r="R723" s="1"/>
      <c r="T723" s="1"/>
      <c r="U723" s="1"/>
      <c r="V723" s="1"/>
      <c r="W723" s="1"/>
      <c r="X723" s="1"/>
      <c r="Y723" s="1"/>
      <c r="Z723" s="1"/>
      <c r="AB723" s="1"/>
      <c r="AC723" s="1"/>
      <c r="AD723" s="1"/>
      <c r="AE723" s="1"/>
      <c r="AF723" s="1"/>
      <c r="AG723" s="1"/>
      <c r="AH723" s="1"/>
      <c r="AI723" s="1"/>
      <c r="AL723" s="1"/>
      <c r="AN723" s="1"/>
      <c r="AO723" s="1"/>
      <c r="AP723" s="1"/>
      <c r="AQ723" s="1"/>
      <c r="AR723" s="1"/>
      <c r="AS723" s="1"/>
      <c r="AT723" s="1"/>
      <c r="AU723" s="1"/>
      <c r="AV723" s="1"/>
    </row>
    <row r="724" spans="2:48" x14ac:dyDescent="0.3">
      <c r="B724" s="1" t="s">
        <v>1323</v>
      </c>
      <c r="H724" s="1" t="s">
        <v>738</v>
      </c>
      <c r="I724" s="1"/>
      <c r="J724" s="1"/>
      <c r="K724" s="1"/>
      <c r="L724" s="1"/>
      <c r="M724" s="1"/>
      <c r="N724" s="1"/>
      <c r="O724" s="1"/>
      <c r="P724" s="1"/>
      <c r="Q724" s="1"/>
      <c r="R724" s="1"/>
      <c r="T724" s="1"/>
      <c r="U724" s="1"/>
      <c r="V724" s="1"/>
      <c r="W724" s="1"/>
      <c r="X724" s="1"/>
      <c r="Y724" s="1"/>
      <c r="Z724" s="1"/>
      <c r="AB724" s="1"/>
      <c r="AC724" s="1"/>
      <c r="AD724" s="1"/>
      <c r="AE724" s="1"/>
      <c r="AF724" s="1"/>
      <c r="AG724" s="1"/>
      <c r="AH724" s="1"/>
      <c r="AI724" s="1"/>
      <c r="AL724" s="1"/>
      <c r="AN724" s="1"/>
      <c r="AO724" s="1"/>
      <c r="AP724" s="1"/>
      <c r="AQ724" s="1"/>
      <c r="AR724" s="1"/>
      <c r="AS724" s="1"/>
      <c r="AT724" s="1"/>
      <c r="AU724" s="1"/>
      <c r="AV724" s="1"/>
    </row>
    <row r="725" spans="2:48" x14ac:dyDescent="0.3">
      <c r="B725" s="1" t="s">
        <v>1324</v>
      </c>
      <c r="H725" s="1" t="s">
        <v>738</v>
      </c>
      <c r="I725" s="1"/>
      <c r="J725" s="1"/>
      <c r="K725" s="1"/>
      <c r="L725" s="1"/>
      <c r="M725" s="1"/>
      <c r="N725" s="1"/>
      <c r="O725" s="1"/>
      <c r="P725" s="1"/>
      <c r="Q725" s="1"/>
      <c r="R725" s="1"/>
      <c r="T725" s="1"/>
      <c r="U725" s="1"/>
      <c r="V725" s="1"/>
      <c r="W725" s="1"/>
      <c r="X725" s="1"/>
      <c r="Y725" s="1"/>
      <c r="Z725" s="1"/>
      <c r="AB725" s="1"/>
      <c r="AC725" s="1"/>
      <c r="AD725" s="1"/>
      <c r="AE725" s="1"/>
      <c r="AF725" s="1"/>
      <c r="AG725" s="1"/>
      <c r="AH725" s="1"/>
      <c r="AI725" s="1"/>
      <c r="AL725" s="1"/>
      <c r="AN725" s="1"/>
      <c r="AO725" s="1"/>
      <c r="AP725" s="1"/>
      <c r="AQ725" s="1"/>
      <c r="AR725" s="1"/>
      <c r="AS725" s="1"/>
      <c r="AT725" s="1"/>
      <c r="AU725" s="1"/>
      <c r="AV725" s="1"/>
    </row>
    <row r="726" spans="2:48" x14ac:dyDescent="0.3">
      <c r="B726" s="1" t="s">
        <v>1325</v>
      </c>
      <c r="H726" s="1" t="s">
        <v>738</v>
      </c>
      <c r="I726" s="1"/>
      <c r="J726" s="1"/>
      <c r="K726" s="1"/>
      <c r="L726" s="1"/>
      <c r="M726" s="1"/>
      <c r="N726" s="1"/>
      <c r="O726" s="1"/>
      <c r="P726" s="1"/>
      <c r="Q726" s="1"/>
      <c r="R726" s="1"/>
      <c r="T726" s="1"/>
      <c r="U726" s="1"/>
      <c r="V726" s="1"/>
      <c r="W726" s="1"/>
      <c r="X726" s="1"/>
      <c r="Y726" s="1"/>
      <c r="Z726" s="1"/>
      <c r="AB726" s="1"/>
      <c r="AC726" s="1"/>
      <c r="AD726" s="1"/>
      <c r="AE726" s="1"/>
      <c r="AF726" s="1"/>
      <c r="AG726" s="1"/>
      <c r="AH726" s="1"/>
      <c r="AI726" s="1"/>
      <c r="AL726" s="1"/>
      <c r="AN726" s="1"/>
      <c r="AO726" s="1"/>
      <c r="AP726" s="1"/>
      <c r="AQ726" s="1"/>
      <c r="AR726" s="1"/>
      <c r="AS726" s="1"/>
      <c r="AT726" s="1"/>
      <c r="AU726" s="1"/>
      <c r="AV726" s="1"/>
    </row>
    <row r="727" spans="2:48" x14ac:dyDescent="0.3">
      <c r="B727" s="1" t="s">
        <v>1326</v>
      </c>
      <c r="H727" s="1" t="s">
        <v>738</v>
      </c>
      <c r="I727" s="1"/>
      <c r="J727" s="1"/>
      <c r="K727" s="1"/>
      <c r="L727" s="1"/>
      <c r="M727" s="1"/>
      <c r="N727" s="1"/>
      <c r="O727" s="1"/>
      <c r="P727" s="1"/>
      <c r="Q727" s="1"/>
      <c r="R727" s="1"/>
      <c r="T727" s="1"/>
      <c r="U727" s="1"/>
      <c r="V727" s="1"/>
      <c r="W727" s="1"/>
      <c r="X727" s="1"/>
      <c r="Y727" s="1"/>
      <c r="Z727" s="1"/>
      <c r="AB727" s="1"/>
      <c r="AC727" s="1"/>
      <c r="AD727" s="1"/>
      <c r="AE727" s="1"/>
      <c r="AF727" s="1"/>
      <c r="AG727" s="1"/>
      <c r="AH727" s="1"/>
      <c r="AI727" s="1"/>
      <c r="AL727" s="1"/>
      <c r="AN727" s="1"/>
      <c r="AO727" s="1"/>
      <c r="AP727" s="1"/>
      <c r="AQ727" s="1"/>
      <c r="AR727" s="1"/>
      <c r="AS727" s="1"/>
      <c r="AT727" s="1"/>
      <c r="AU727" s="1"/>
      <c r="AV727" s="1"/>
    </row>
    <row r="728" spans="2:48" x14ac:dyDescent="0.3">
      <c r="B728" s="1" t="s">
        <v>1327</v>
      </c>
      <c r="H728" s="1" t="s">
        <v>738</v>
      </c>
      <c r="I728" s="1"/>
      <c r="J728" s="1"/>
      <c r="K728" s="1"/>
      <c r="L728" s="1"/>
      <c r="M728" s="1"/>
      <c r="N728" s="1"/>
      <c r="O728" s="1"/>
      <c r="P728" s="1"/>
      <c r="Q728" s="1"/>
      <c r="R728" s="1"/>
      <c r="T728" s="1"/>
      <c r="U728" s="1"/>
      <c r="V728" s="1"/>
      <c r="W728" s="1"/>
      <c r="X728" s="1"/>
      <c r="Y728" s="1"/>
      <c r="Z728" s="1"/>
      <c r="AB728" s="1"/>
      <c r="AC728" s="1"/>
      <c r="AD728" s="1"/>
      <c r="AE728" s="1"/>
      <c r="AF728" s="1"/>
      <c r="AG728" s="1"/>
      <c r="AH728" s="1"/>
      <c r="AI728" s="1"/>
      <c r="AL728" s="1"/>
      <c r="AN728" s="1"/>
      <c r="AO728" s="1"/>
      <c r="AP728" s="1"/>
      <c r="AQ728" s="1"/>
      <c r="AR728" s="1"/>
      <c r="AS728" s="1"/>
      <c r="AT728" s="1"/>
      <c r="AU728" s="1"/>
      <c r="AV728" s="1"/>
    </row>
    <row r="729" spans="2:48" x14ac:dyDescent="0.3">
      <c r="B729" s="1" t="s">
        <v>1328</v>
      </c>
      <c r="H729" s="1" t="s">
        <v>738</v>
      </c>
      <c r="I729" s="1"/>
      <c r="J729" s="1"/>
      <c r="K729" s="1"/>
      <c r="L729" s="1"/>
      <c r="M729" s="1"/>
      <c r="N729" s="1"/>
      <c r="O729" s="1"/>
      <c r="P729" s="1"/>
      <c r="Q729" s="1"/>
      <c r="R729" s="1"/>
      <c r="T729" s="1"/>
      <c r="U729" s="1"/>
      <c r="V729" s="1"/>
      <c r="W729" s="1"/>
      <c r="X729" s="1"/>
      <c r="Y729" s="1"/>
      <c r="Z729" s="1"/>
      <c r="AB729" s="1"/>
      <c r="AC729" s="1"/>
      <c r="AD729" s="1"/>
      <c r="AE729" s="1"/>
      <c r="AF729" s="1"/>
      <c r="AG729" s="1"/>
      <c r="AH729" s="1"/>
      <c r="AI729" s="1"/>
      <c r="AL729" s="1"/>
      <c r="AN729" s="1"/>
      <c r="AO729" s="1"/>
      <c r="AP729" s="1"/>
      <c r="AQ729" s="1"/>
      <c r="AR729" s="1"/>
      <c r="AS729" s="1"/>
      <c r="AT729" s="1"/>
      <c r="AU729" s="1"/>
      <c r="AV729" s="1"/>
    </row>
    <row r="730" spans="2:48" x14ac:dyDescent="0.3">
      <c r="B730" s="1" t="s">
        <v>1329</v>
      </c>
      <c r="H730" s="1" t="s">
        <v>738</v>
      </c>
      <c r="I730" s="1"/>
      <c r="J730" s="1"/>
      <c r="K730" s="1"/>
      <c r="L730" s="1"/>
      <c r="M730" s="1"/>
      <c r="N730" s="1"/>
      <c r="O730" s="1"/>
      <c r="P730" s="1"/>
      <c r="Q730" s="1"/>
      <c r="R730" s="1"/>
      <c r="T730" s="1"/>
      <c r="U730" s="1"/>
      <c r="V730" s="1"/>
      <c r="W730" s="1"/>
      <c r="X730" s="1"/>
      <c r="Y730" s="1"/>
      <c r="Z730" s="1"/>
      <c r="AB730" s="1"/>
      <c r="AC730" s="1"/>
      <c r="AD730" s="1"/>
      <c r="AE730" s="1"/>
      <c r="AF730" s="1"/>
      <c r="AG730" s="1"/>
      <c r="AH730" s="1"/>
      <c r="AI730" s="1"/>
      <c r="AL730" s="1"/>
      <c r="AN730" s="1"/>
      <c r="AO730" s="1"/>
      <c r="AP730" s="1"/>
      <c r="AQ730" s="1"/>
      <c r="AR730" s="1"/>
      <c r="AS730" s="1"/>
      <c r="AT730" s="1"/>
      <c r="AU730" s="1"/>
      <c r="AV730" s="1"/>
    </row>
    <row r="731" spans="2:48" x14ac:dyDescent="0.3">
      <c r="B731" s="1" t="s">
        <v>1330</v>
      </c>
      <c r="H731" s="1" t="s">
        <v>738</v>
      </c>
      <c r="I731" s="1"/>
      <c r="J731" s="1"/>
      <c r="K731" s="1"/>
      <c r="L731" s="1"/>
      <c r="M731" s="1"/>
      <c r="N731" s="1"/>
      <c r="O731" s="1"/>
      <c r="P731" s="1"/>
      <c r="Q731" s="1"/>
      <c r="R731" s="1"/>
      <c r="T731" s="1"/>
      <c r="U731" s="1"/>
      <c r="V731" s="1"/>
      <c r="W731" s="1"/>
      <c r="X731" s="1"/>
      <c r="Y731" s="1"/>
      <c r="Z731" s="1"/>
      <c r="AB731" s="1"/>
      <c r="AC731" s="1"/>
      <c r="AD731" s="1"/>
      <c r="AE731" s="1"/>
      <c r="AF731" s="1"/>
      <c r="AG731" s="1"/>
      <c r="AH731" s="1"/>
      <c r="AI731" s="1"/>
      <c r="AL731" s="1"/>
      <c r="AN731" s="1"/>
      <c r="AO731" s="1"/>
      <c r="AP731" s="1"/>
      <c r="AQ731" s="1"/>
      <c r="AR731" s="1"/>
      <c r="AS731" s="1"/>
      <c r="AT731" s="1"/>
      <c r="AU731" s="1"/>
      <c r="AV731" s="1"/>
    </row>
    <row r="732" spans="2:48" x14ac:dyDescent="0.3">
      <c r="B732" s="1" t="s">
        <v>1331</v>
      </c>
      <c r="H732" s="1" t="s">
        <v>738</v>
      </c>
      <c r="I732" s="1"/>
      <c r="J732" s="1"/>
      <c r="K732" s="1"/>
      <c r="L732" s="1"/>
      <c r="M732" s="1"/>
      <c r="N732" s="1"/>
      <c r="O732" s="1"/>
      <c r="P732" s="1"/>
      <c r="Q732" s="1"/>
      <c r="R732" s="1"/>
      <c r="T732" s="1"/>
      <c r="U732" s="1"/>
      <c r="V732" s="1"/>
      <c r="W732" s="1"/>
      <c r="X732" s="1"/>
      <c r="Y732" s="1"/>
      <c r="Z732" s="1"/>
      <c r="AB732" s="1"/>
      <c r="AC732" s="1"/>
      <c r="AD732" s="1"/>
      <c r="AE732" s="1"/>
      <c r="AF732" s="1"/>
      <c r="AG732" s="1"/>
      <c r="AH732" s="1"/>
      <c r="AI732" s="1"/>
      <c r="AL732" s="1"/>
      <c r="AN732" s="1"/>
      <c r="AO732" s="1"/>
      <c r="AP732" s="1"/>
      <c r="AQ732" s="1"/>
      <c r="AR732" s="1"/>
      <c r="AS732" s="1"/>
      <c r="AT732" s="1"/>
      <c r="AU732" s="1"/>
      <c r="AV732" s="1"/>
    </row>
    <row r="733" spans="2:48" x14ac:dyDescent="0.3">
      <c r="B733" s="1" t="s">
        <v>1332</v>
      </c>
      <c r="H733" s="1" t="s">
        <v>738</v>
      </c>
      <c r="I733" s="1"/>
      <c r="J733" s="1"/>
      <c r="K733" s="1"/>
      <c r="L733" s="1"/>
      <c r="M733" s="1"/>
      <c r="N733" s="1"/>
      <c r="O733" s="1"/>
      <c r="P733" s="1"/>
      <c r="Q733" s="1"/>
      <c r="R733" s="1"/>
      <c r="T733" s="1"/>
      <c r="U733" s="1"/>
      <c r="V733" s="1"/>
      <c r="W733" s="1"/>
      <c r="X733" s="1"/>
      <c r="Y733" s="1"/>
      <c r="Z733" s="1"/>
      <c r="AB733" s="1"/>
      <c r="AC733" s="1"/>
      <c r="AD733" s="1"/>
      <c r="AE733" s="1"/>
      <c r="AF733" s="1"/>
      <c r="AG733" s="1"/>
      <c r="AH733" s="1"/>
      <c r="AI733" s="1"/>
      <c r="AL733" s="1"/>
      <c r="AN733" s="1"/>
      <c r="AO733" s="1"/>
      <c r="AP733" s="1"/>
      <c r="AQ733" s="1"/>
      <c r="AR733" s="1"/>
      <c r="AS733" s="1"/>
      <c r="AT733" s="1"/>
      <c r="AU733" s="1"/>
      <c r="AV733" s="1"/>
    </row>
    <row r="734" spans="2:48" x14ac:dyDescent="0.3">
      <c r="B734" s="1" t="s">
        <v>1333</v>
      </c>
      <c r="H734" s="1" t="s">
        <v>738</v>
      </c>
      <c r="I734" s="1"/>
      <c r="J734" s="1"/>
      <c r="K734" s="1"/>
      <c r="L734" s="1"/>
      <c r="M734" s="1"/>
      <c r="N734" s="1"/>
      <c r="O734" s="1"/>
      <c r="P734" s="1"/>
      <c r="Q734" s="1"/>
      <c r="R734" s="1"/>
      <c r="T734" s="1"/>
      <c r="U734" s="1"/>
      <c r="V734" s="1"/>
      <c r="W734" s="1"/>
      <c r="X734" s="1"/>
      <c r="Y734" s="1"/>
      <c r="Z734" s="1"/>
      <c r="AB734" s="1"/>
      <c r="AC734" s="1"/>
      <c r="AD734" s="1"/>
      <c r="AE734" s="1"/>
      <c r="AF734" s="1"/>
      <c r="AG734" s="1"/>
      <c r="AH734" s="1"/>
      <c r="AI734" s="1"/>
      <c r="AL734" s="1"/>
      <c r="AN734" s="1"/>
      <c r="AO734" s="1"/>
      <c r="AP734" s="1"/>
      <c r="AQ734" s="1"/>
      <c r="AR734" s="1"/>
      <c r="AS734" s="1"/>
      <c r="AT734" s="1"/>
      <c r="AU734" s="1"/>
      <c r="AV734" s="1"/>
    </row>
    <row r="735" spans="2:48" x14ac:dyDescent="0.3">
      <c r="B735" s="1" t="s">
        <v>1334</v>
      </c>
      <c r="H735" s="1" t="s">
        <v>738</v>
      </c>
      <c r="I735" s="1"/>
      <c r="J735" s="1"/>
      <c r="K735" s="1"/>
      <c r="L735" s="1"/>
      <c r="M735" s="1"/>
      <c r="N735" s="1"/>
      <c r="O735" s="1"/>
      <c r="P735" s="1"/>
      <c r="Q735" s="1"/>
      <c r="R735" s="1"/>
      <c r="T735" s="1"/>
      <c r="U735" s="1"/>
      <c r="V735" s="1"/>
      <c r="W735" s="1"/>
      <c r="X735" s="1"/>
      <c r="Y735" s="1"/>
      <c r="Z735" s="1"/>
      <c r="AB735" s="1"/>
      <c r="AC735" s="1"/>
      <c r="AD735" s="1"/>
      <c r="AE735" s="1"/>
      <c r="AF735" s="1"/>
      <c r="AG735" s="1"/>
      <c r="AH735" s="1"/>
      <c r="AI735" s="1"/>
      <c r="AL735" s="1"/>
      <c r="AN735" s="1"/>
      <c r="AO735" s="1"/>
      <c r="AP735" s="1"/>
      <c r="AQ735" s="1"/>
      <c r="AR735" s="1"/>
      <c r="AS735" s="1"/>
      <c r="AT735" s="1"/>
      <c r="AU735" s="1"/>
      <c r="AV735" s="1"/>
    </row>
    <row r="736" spans="2:48" x14ac:dyDescent="0.3">
      <c r="B736" s="1" t="s">
        <v>1335</v>
      </c>
      <c r="H736" s="1" t="s">
        <v>738</v>
      </c>
      <c r="I736" s="1"/>
      <c r="J736" s="1"/>
      <c r="K736" s="1"/>
      <c r="L736" s="1"/>
      <c r="M736" s="1"/>
      <c r="N736" s="1"/>
      <c r="O736" s="1"/>
      <c r="P736" s="1"/>
      <c r="Q736" s="1"/>
      <c r="R736" s="1"/>
      <c r="T736" s="1"/>
      <c r="U736" s="1"/>
      <c r="V736" s="1"/>
      <c r="W736" s="1"/>
      <c r="X736" s="1"/>
      <c r="Y736" s="1"/>
      <c r="Z736" s="1"/>
      <c r="AB736" s="1"/>
      <c r="AC736" s="1"/>
      <c r="AD736" s="1"/>
      <c r="AE736" s="1"/>
      <c r="AF736" s="1"/>
      <c r="AG736" s="1"/>
      <c r="AH736" s="1"/>
      <c r="AI736" s="1"/>
      <c r="AL736" s="1"/>
      <c r="AN736" s="1"/>
      <c r="AO736" s="1"/>
      <c r="AP736" s="1"/>
      <c r="AQ736" s="1"/>
      <c r="AR736" s="1"/>
      <c r="AS736" s="1"/>
      <c r="AT736" s="1"/>
      <c r="AU736" s="1"/>
      <c r="AV736" s="1"/>
    </row>
    <row r="737" spans="2:48" x14ac:dyDescent="0.3">
      <c r="B737" s="1" t="s">
        <v>1336</v>
      </c>
      <c r="H737" s="1" t="s">
        <v>738</v>
      </c>
      <c r="I737" s="1"/>
      <c r="J737" s="1"/>
      <c r="K737" s="1"/>
      <c r="L737" s="1"/>
      <c r="M737" s="1"/>
      <c r="N737" s="1"/>
      <c r="O737" s="1"/>
      <c r="P737" s="1"/>
      <c r="Q737" s="1"/>
      <c r="R737" s="1"/>
      <c r="T737" s="1"/>
      <c r="U737" s="1"/>
      <c r="V737" s="1"/>
      <c r="W737" s="1"/>
      <c r="X737" s="1"/>
      <c r="Y737" s="1"/>
      <c r="Z737" s="1"/>
      <c r="AB737" s="1"/>
      <c r="AC737" s="1"/>
      <c r="AD737" s="1"/>
      <c r="AE737" s="1"/>
      <c r="AF737" s="1"/>
      <c r="AG737" s="1"/>
      <c r="AH737" s="1"/>
      <c r="AI737" s="1"/>
      <c r="AL737" s="1"/>
      <c r="AN737" s="1"/>
      <c r="AO737" s="1"/>
      <c r="AP737" s="1"/>
      <c r="AQ737" s="1"/>
      <c r="AR737" s="1"/>
      <c r="AS737" s="1"/>
      <c r="AT737" s="1"/>
      <c r="AU737" s="1"/>
      <c r="AV737" s="1"/>
    </row>
    <row r="738" spans="2:48" x14ac:dyDescent="0.3">
      <c r="B738" s="1" t="s">
        <v>1337</v>
      </c>
      <c r="H738" s="1" t="s">
        <v>738</v>
      </c>
      <c r="I738" s="1"/>
      <c r="J738" s="1"/>
      <c r="K738" s="1"/>
      <c r="L738" s="1"/>
      <c r="M738" s="1"/>
      <c r="N738" s="1"/>
      <c r="O738" s="1"/>
      <c r="P738" s="1"/>
      <c r="Q738" s="1"/>
      <c r="R738" s="1"/>
      <c r="T738" s="1"/>
      <c r="U738" s="1"/>
      <c r="V738" s="1"/>
      <c r="W738" s="1"/>
      <c r="X738" s="1"/>
      <c r="Y738" s="1"/>
      <c r="Z738" s="1"/>
      <c r="AB738" s="1"/>
      <c r="AC738" s="1"/>
      <c r="AD738" s="1"/>
      <c r="AE738" s="1"/>
      <c r="AF738" s="1"/>
      <c r="AG738" s="1"/>
      <c r="AH738" s="1"/>
      <c r="AI738" s="1"/>
      <c r="AL738" s="1"/>
      <c r="AN738" s="1"/>
      <c r="AO738" s="1"/>
      <c r="AP738" s="1"/>
      <c r="AQ738" s="1"/>
      <c r="AR738" s="1"/>
      <c r="AS738" s="1"/>
      <c r="AT738" s="1"/>
      <c r="AU738" s="1"/>
      <c r="AV738" s="1"/>
    </row>
    <row r="739" spans="2:48" x14ac:dyDescent="0.3">
      <c r="B739" s="1" t="s">
        <v>1338</v>
      </c>
      <c r="H739" s="1" t="s">
        <v>738</v>
      </c>
      <c r="I739" s="1"/>
      <c r="J739" s="1"/>
      <c r="K739" s="1"/>
      <c r="L739" s="1"/>
      <c r="M739" s="1"/>
      <c r="N739" s="1"/>
      <c r="O739" s="1"/>
      <c r="P739" s="1"/>
      <c r="Q739" s="1"/>
      <c r="R739" s="1"/>
      <c r="T739" s="1"/>
      <c r="U739" s="1"/>
      <c r="V739" s="1"/>
      <c r="W739" s="1"/>
      <c r="X739" s="1"/>
      <c r="Y739" s="1"/>
      <c r="Z739" s="1"/>
      <c r="AB739" s="1"/>
      <c r="AC739" s="1"/>
      <c r="AD739" s="1"/>
      <c r="AE739" s="1"/>
      <c r="AF739" s="1"/>
      <c r="AG739" s="1"/>
      <c r="AH739" s="1"/>
      <c r="AI739" s="1"/>
      <c r="AL739" s="1"/>
      <c r="AN739" s="1"/>
      <c r="AO739" s="1"/>
      <c r="AP739" s="1"/>
      <c r="AQ739" s="1"/>
      <c r="AR739" s="1"/>
      <c r="AS739" s="1"/>
      <c r="AT739" s="1"/>
      <c r="AU739" s="1"/>
      <c r="AV739" s="1"/>
    </row>
    <row r="740" spans="2:48" x14ac:dyDescent="0.3">
      <c r="B740" s="1" t="s">
        <v>1339</v>
      </c>
      <c r="H740" s="1" t="s">
        <v>738</v>
      </c>
      <c r="I740" s="1"/>
      <c r="J740" s="1"/>
      <c r="K740" s="1"/>
      <c r="L740" s="1"/>
      <c r="M740" s="1"/>
      <c r="N740" s="1"/>
      <c r="O740" s="1"/>
      <c r="P740" s="1"/>
      <c r="Q740" s="1"/>
      <c r="R740" s="1"/>
      <c r="T740" s="1"/>
      <c r="U740" s="1"/>
      <c r="V740" s="1"/>
      <c r="W740" s="1"/>
      <c r="X740" s="1"/>
      <c r="Y740" s="1"/>
      <c r="Z740" s="1"/>
      <c r="AB740" s="1"/>
      <c r="AC740" s="1"/>
      <c r="AD740" s="1"/>
      <c r="AE740" s="1"/>
      <c r="AF740" s="1"/>
      <c r="AG740" s="1"/>
      <c r="AH740" s="1"/>
      <c r="AI740" s="1"/>
      <c r="AL740" s="1"/>
      <c r="AN740" s="1"/>
      <c r="AO740" s="1"/>
      <c r="AP740" s="1"/>
      <c r="AQ740" s="1"/>
      <c r="AR740" s="1"/>
      <c r="AS740" s="1"/>
      <c r="AT740" s="1"/>
      <c r="AU740" s="1"/>
      <c r="AV740" s="1"/>
    </row>
    <row r="741" spans="2:48" x14ac:dyDescent="0.3">
      <c r="B741" s="1" t="s">
        <v>1340</v>
      </c>
      <c r="H741" s="1" t="s">
        <v>738</v>
      </c>
      <c r="I741" s="1"/>
      <c r="J741" s="1"/>
      <c r="K741" s="1"/>
      <c r="L741" s="1"/>
      <c r="M741" s="1"/>
      <c r="N741" s="1"/>
      <c r="O741" s="1"/>
      <c r="P741" s="1"/>
      <c r="Q741" s="1"/>
      <c r="R741" s="1"/>
      <c r="T741" s="1"/>
      <c r="U741" s="1"/>
      <c r="V741" s="1"/>
      <c r="W741" s="1"/>
      <c r="X741" s="1"/>
      <c r="Y741" s="1"/>
      <c r="Z741" s="1"/>
      <c r="AB741" s="1"/>
      <c r="AC741" s="1"/>
      <c r="AD741" s="1"/>
      <c r="AE741" s="1"/>
      <c r="AF741" s="1"/>
      <c r="AG741" s="1"/>
      <c r="AH741" s="1"/>
      <c r="AI741" s="1"/>
      <c r="AL741" s="1"/>
      <c r="AN741" s="1"/>
      <c r="AO741" s="1"/>
      <c r="AP741" s="1"/>
      <c r="AQ741" s="1"/>
      <c r="AR741" s="1"/>
      <c r="AS741" s="1"/>
      <c r="AT741" s="1"/>
      <c r="AU741" s="1"/>
      <c r="AV741" s="1"/>
    </row>
    <row r="742" spans="2:48" x14ac:dyDescent="0.3">
      <c r="B742" s="1" t="s">
        <v>1341</v>
      </c>
      <c r="H742" s="1" t="s">
        <v>738</v>
      </c>
      <c r="I742" s="1"/>
      <c r="J742" s="1"/>
      <c r="K742" s="1"/>
      <c r="L742" s="1"/>
      <c r="M742" s="1"/>
      <c r="N742" s="1"/>
      <c r="O742" s="1"/>
      <c r="P742" s="1"/>
      <c r="Q742" s="1"/>
      <c r="R742" s="1"/>
      <c r="T742" s="1"/>
      <c r="U742" s="1"/>
      <c r="V742" s="1"/>
      <c r="W742" s="1"/>
      <c r="X742" s="1"/>
      <c r="Y742" s="1"/>
      <c r="Z742" s="1"/>
      <c r="AB742" s="1"/>
      <c r="AC742" s="1"/>
      <c r="AD742" s="1"/>
      <c r="AE742" s="1"/>
      <c r="AF742" s="1"/>
      <c r="AG742" s="1"/>
      <c r="AH742" s="1"/>
      <c r="AI742" s="1"/>
      <c r="AL742" s="1"/>
      <c r="AN742" s="1"/>
      <c r="AO742" s="1"/>
      <c r="AP742" s="1"/>
      <c r="AQ742" s="1"/>
      <c r="AR742" s="1"/>
      <c r="AS742" s="1"/>
      <c r="AT742" s="1"/>
      <c r="AU742" s="1"/>
      <c r="AV742" s="1"/>
    </row>
    <row r="743" spans="2:48" x14ac:dyDescent="0.3">
      <c r="B743" s="1" t="s">
        <v>1342</v>
      </c>
      <c r="H743" s="1" t="s">
        <v>738</v>
      </c>
      <c r="I743" s="1"/>
      <c r="J743" s="1"/>
      <c r="K743" s="1"/>
      <c r="L743" s="1"/>
      <c r="M743" s="1"/>
      <c r="N743" s="1"/>
      <c r="O743" s="1"/>
      <c r="P743" s="1"/>
      <c r="Q743" s="1"/>
      <c r="R743" s="1"/>
      <c r="T743" s="1"/>
      <c r="U743" s="1"/>
      <c r="V743" s="1"/>
      <c r="W743" s="1"/>
      <c r="X743" s="1"/>
      <c r="Y743" s="1"/>
      <c r="Z743" s="1"/>
      <c r="AB743" s="1"/>
      <c r="AC743" s="1"/>
      <c r="AD743" s="1"/>
      <c r="AE743" s="1"/>
      <c r="AF743" s="1"/>
      <c r="AG743" s="1"/>
      <c r="AH743" s="1"/>
      <c r="AI743" s="1"/>
      <c r="AL743" s="1"/>
      <c r="AN743" s="1"/>
      <c r="AO743" s="1"/>
      <c r="AP743" s="1"/>
      <c r="AQ743" s="1"/>
      <c r="AR743" s="1"/>
      <c r="AS743" s="1"/>
      <c r="AT743" s="1"/>
      <c r="AU743" s="1"/>
      <c r="AV743" s="1"/>
    </row>
    <row r="744" spans="2:48" x14ac:dyDescent="0.3">
      <c r="B744" s="1" t="s">
        <v>1343</v>
      </c>
      <c r="H744" s="1" t="s">
        <v>738</v>
      </c>
      <c r="I744" s="1"/>
      <c r="J744" s="1"/>
      <c r="K744" s="1"/>
      <c r="L744" s="1"/>
      <c r="M744" s="1"/>
      <c r="N744" s="1"/>
      <c r="O744" s="1"/>
      <c r="P744" s="1"/>
      <c r="Q744" s="1"/>
      <c r="R744" s="1"/>
      <c r="T744" s="1"/>
      <c r="U744" s="1"/>
      <c r="V744" s="1"/>
      <c r="W744" s="1"/>
      <c r="X744" s="1"/>
      <c r="Y744" s="1"/>
      <c r="Z744" s="1"/>
      <c r="AB744" s="1"/>
      <c r="AC744" s="1"/>
      <c r="AD744" s="1"/>
      <c r="AE744" s="1"/>
      <c r="AF744" s="1"/>
      <c r="AG744" s="1"/>
      <c r="AH744" s="1"/>
      <c r="AI744" s="1"/>
      <c r="AL744" s="1"/>
      <c r="AN744" s="1"/>
      <c r="AO744" s="1"/>
      <c r="AP744" s="1"/>
      <c r="AQ744" s="1"/>
      <c r="AR744" s="1"/>
      <c r="AS744" s="1"/>
      <c r="AT744" s="1"/>
      <c r="AU744" s="1"/>
      <c r="AV744" s="1"/>
    </row>
    <row r="745" spans="2:48" x14ac:dyDescent="0.3">
      <c r="B745" s="1" t="s">
        <v>1344</v>
      </c>
      <c r="H745" s="1" t="s">
        <v>738</v>
      </c>
      <c r="I745" s="1"/>
      <c r="J745" s="1"/>
      <c r="K745" s="1"/>
      <c r="L745" s="1"/>
      <c r="M745" s="1"/>
      <c r="N745" s="1"/>
      <c r="O745" s="1"/>
      <c r="P745" s="1"/>
      <c r="Q745" s="1"/>
      <c r="R745" s="1"/>
      <c r="T745" s="1"/>
      <c r="U745" s="1"/>
      <c r="V745" s="1"/>
      <c r="W745" s="1"/>
      <c r="X745" s="1"/>
      <c r="Y745" s="1"/>
      <c r="Z745" s="1"/>
      <c r="AB745" s="1"/>
      <c r="AC745" s="1"/>
      <c r="AD745" s="1"/>
      <c r="AE745" s="1"/>
      <c r="AF745" s="1"/>
      <c r="AG745" s="1"/>
      <c r="AH745" s="1"/>
      <c r="AI745" s="1"/>
      <c r="AL745" s="1"/>
      <c r="AN745" s="1"/>
      <c r="AO745" s="1"/>
      <c r="AP745" s="1"/>
      <c r="AQ745" s="1"/>
      <c r="AR745" s="1"/>
      <c r="AS745" s="1"/>
      <c r="AT745" s="1"/>
      <c r="AU745" s="1"/>
      <c r="AV745" s="1"/>
    </row>
    <row r="746" spans="2:48" x14ac:dyDescent="0.3">
      <c r="B746" s="1" t="s">
        <v>1345</v>
      </c>
      <c r="H746" s="1" t="s">
        <v>738</v>
      </c>
      <c r="I746" s="1"/>
      <c r="J746" s="1"/>
      <c r="K746" s="1"/>
      <c r="L746" s="1"/>
      <c r="M746" s="1"/>
      <c r="N746" s="1"/>
      <c r="O746" s="1"/>
      <c r="P746" s="1"/>
      <c r="Q746" s="1"/>
      <c r="R746" s="1"/>
      <c r="T746" s="1"/>
      <c r="U746" s="1"/>
      <c r="V746" s="1"/>
      <c r="W746" s="1"/>
      <c r="X746" s="1"/>
      <c r="Y746" s="1"/>
      <c r="Z746" s="1"/>
      <c r="AB746" s="1"/>
      <c r="AC746" s="1"/>
      <c r="AD746" s="1"/>
      <c r="AE746" s="1"/>
      <c r="AF746" s="1"/>
      <c r="AG746" s="1"/>
      <c r="AH746" s="1"/>
      <c r="AI746" s="1"/>
      <c r="AL746" s="1"/>
      <c r="AN746" s="1"/>
      <c r="AO746" s="1"/>
      <c r="AP746" s="1"/>
      <c r="AQ746" s="1"/>
      <c r="AR746" s="1"/>
      <c r="AS746" s="1"/>
      <c r="AT746" s="1"/>
      <c r="AU746" s="1"/>
      <c r="AV746" s="1"/>
    </row>
    <row r="747" spans="2:48" x14ac:dyDescent="0.3">
      <c r="B747" s="1" t="s">
        <v>1346</v>
      </c>
      <c r="H747" s="1" t="s">
        <v>738</v>
      </c>
      <c r="I747" s="1"/>
      <c r="J747" s="1"/>
      <c r="K747" s="1"/>
      <c r="L747" s="1"/>
      <c r="M747" s="1"/>
      <c r="N747" s="1"/>
      <c r="O747" s="1"/>
      <c r="P747" s="1"/>
      <c r="Q747" s="1"/>
      <c r="R747" s="1"/>
      <c r="T747" s="1"/>
      <c r="U747" s="1"/>
      <c r="V747" s="1"/>
      <c r="W747" s="1"/>
      <c r="X747" s="1"/>
      <c r="Y747" s="1"/>
      <c r="Z747" s="1"/>
      <c r="AB747" s="1"/>
      <c r="AC747" s="1"/>
      <c r="AD747" s="1"/>
      <c r="AE747" s="1"/>
      <c r="AF747" s="1"/>
      <c r="AG747" s="1"/>
      <c r="AH747" s="1"/>
      <c r="AI747" s="1"/>
      <c r="AL747" s="1"/>
      <c r="AN747" s="1"/>
      <c r="AO747" s="1"/>
      <c r="AP747" s="1"/>
      <c r="AQ747" s="1"/>
      <c r="AR747" s="1"/>
      <c r="AS747" s="1"/>
      <c r="AT747" s="1"/>
      <c r="AU747" s="1"/>
      <c r="AV747" s="1"/>
    </row>
    <row r="748" spans="2:48" x14ac:dyDescent="0.3">
      <c r="B748" s="1" t="s">
        <v>1347</v>
      </c>
      <c r="H748" s="1" t="s">
        <v>738</v>
      </c>
      <c r="I748" s="1"/>
      <c r="J748" s="1"/>
      <c r="K748" s="1"/>
      <c r="L748" s="1"/>
      <c r="M748" s="1"/>
      <c r="N748" s="1"/>
      <c r="O748" s="1"/>
      <c r="P748" s="1"/>
      <c r="Q748" s="1"/>
      <c r="R748" s="1"/>
      <c r="T748" s="1"/>
      <c r="U748" s="1"/>
      <c r="V748" s="1"/>
      <c r="W748" s="1"/>
      <c r="X748" s="1"/>
      <c r="Y748" s="1"/>
      <c r="Z748" s="1"/>
      <c r="AB748" s="1"/>
      <c r="AC748" s="1"/>
      <c r="AD748" s="1"/>
      <c r="AE748" s="1"/>
      <c r="AF748" s="1"/>
      <c r="AG748" s="1"/>
      <c r="AH748" s="1"/>
      <c r="AI748" s="1"/>
      <c r="AL748" s="1"/>
      <c r="AN748" s="1"/>
      <c r="AO748" s="1"/>
      <c r="AP748" s="1"/>
      <c r="AQ748" s="1"/>
      <c r="AR748" s="1"/>
      <c r="AS748" s="1"/>
      <c r="AT748" s="1"/>
      <c r="AU748" s="1"/>
      <c r="AV748" s="1"/>
    </row>
    <row r="749" spans="2:48" x14ac:dyDescent="0.3">
      <c r="B749" s="1" t="s">
        <v>1348</v>
      </c>
      <c r="H749" s="1" t="s">
        <v>738</v>
      </c>
      <c r="I749" s="1"/>
      <c r="J749" s="1"/>
      <c r="K749" s="1"/>
      <c r="L749" s="1"/>
      <c r="M749" s="1"/>
      <c r="N749" s="1"/>
      <c r="O749" s="1"/>
      <c r="P749" s="1"/>
      <c r="Q749" s="1"/>
      <c r="R749" s="1"/>
      <c r="T749" s="1"/>
      <c r="U749" s="1"/>
      <c r="V749" s="1"/>
      <c r="W749" s="1"/>
      <c r="X749" s="1"/>
      <c r="Y749" s="1"/>
      <c r="Z749" s="1"/>
      <c r="AB749" s="1"/>
      <c r="AC749" s="1"/>
      <c r="AD749" s="1"/>
      <c r="AE749" s="1"/>
      <c r="AF749" s="1"/>
      <c r="AG749" s="1"/>
      <c r="AH749" s="1"/>
      <c r="AI749" s="1"/>
      <c r="AL749" s="1"/>
      <c r="AN749" s="1"/>
      <c r="AO749" s="1"/>
      <c r="AP749" s="1"/>
      <c r="AQ749" s="1"/>
      <c r="AR749" s="1"/>
      <c r="AS749" s="1"/>
      <c r="AT749" s="1"/>
      <c r="AU749" s="1"/>
      <c r="AV749" s="1"/>
    </row>
    <row r="750" spans="2:48" x14ac:dyDescent="0.3">
      <c r="B750" s="1" t="s">
        <v>1349</v>
      </c>
      <c r="H750" s="1" t="s">
        <v>738</v>
      </c>
      <c r="I750" s="1"/>
      <c r="J750" s="1"/>
      <c r="K750" s="1"/>
      <c r="L750" s="1"/>
      <c r="M750" s="1"/>
      <c r="N750" s="1"/>
      <c r="O750" s="1"/>
      <c r="P750" s="1"/>
      <c r="Q750" s="1"/>
      <c r="R750" s="1"/>
      <c r="T750" s="1"/>
      <c r="U750" s="1"/>
      <c r="V750" s="1"/>
      <c r="W750" s="1"/>
      <c r="X750" s="1"/>
      <c r="Y750" s="1"/>
      <c r="Z750" s="1"/>
      <c r="AB750" s="1"/>
      <c r="AC750" s="1"/>
      <c r="AD750" s="1"/>
      <c r="AE750" s="1"/>
      <c r="AF750" s="1"/>
      <c r="AG750" s="1"/>
      <c r="AH750" s="1"/>
      <c r="AI750" s="1"/>
      <c r="AL750" s="1"/>
      <c r="AN750" s="1"/>
      <c r="AO750" s="1"/>
      <c r="AP750" s="1"/>
      <c r="AQ750" s="1"/>
      <c r="AR750" s="1"/>
      <c r="AS750" s="1"/>
      <c r="AT750" s="1"/>
      <c r="AU750" s="1"/>
      <c r="AV750" s="1"/>
    </row>
    <row r="751" spans="2:48" x14ac:dyDescent="0.3">
      <c r="B751" s="1" t="s">
        <v>1350</v>
      </c>
      <c r="H751" s="1" t="s">
        <v>738</v>
      </c>
      <c r="I751" s="1"/>
      <c r="J751" s="1"/>
      <c r="K751" s="1"/>
      <c r="L751" s="1"/>
      <c r="M751" s="1"/>
      <c r="N751" s="1"/>
      <c r="O751" s="1"/>
      <c r="P751" s="1"/>
      <c r="Q751" s="1"/>
      <c r="R751" s="1"/>
      <c r="T751" s="1"/>
      <c r="U751" s="1"/>
      <c r="V751" s="1"/>
      <c r="W751" s="1"/>
      <c r="X751" s="1"/>
      <c r="Y751" s="1"/>
      <c r="Z751" s="1"/>
      <c r="AB751" s="1"/>
      <c r="AC751" s="1"/>
      <c r="AD751" s="1"/>
      <c r="AE751" s="1"/>
      <c r="AF751" s="1"/>
      <c r="AG751" s="1"/>
      <c r="AH751" s="1"/>
      <c r="AI751" s="1"/>
      <c r="AL751" s="1"/>
      <c r="AN751" s="1"/>
      <c r="AO751" s="1"/>
      <c r="AP751" s="1"/>
      <c r="AQ751" s="1"/>
      <c r="AR751" s="1"/>
      <c r="AS751" s="1"/>
      <c r="AT751" s="1"/>
      <c r="AU751" s="1"/>
      <c r="AV751" s="1"/>
    </row>
    <row r="752" spans="2:48" x14ac:dyDescent="0.3">
      <c r="B752" s="1" t="s">
        <v>1351</v>
      </c>
      <c r="H752" s="1" t="s">
        <v>738</v>
      </c>
      <c r="I752" s="1"/>
      <c r="J752" s="1"/>
      <c r="K752" s="1"/>
      <c r="L752" s="1"/>
      <c r="M752" s="1"/>
      <c r="N752" s="1"/>
      <c r="O752" s="1"/>
      <c r="P752" s="1"/>
      <c r="Q752" s="1"/>
      <c r="R752" s="1"/>
      <c r="T752" s="1"/>
      <c r="U752" s="1"/>
      <c r="V752" s="1"/>
      <c r="W752" s="1"/>
      <c r="X752" s="1"/>
      <c r="Y752" s="1"/>
      <c r="Z752" s="1"/>
      <c r="AB752" s="1"/>
      <c r="AC752" s="1"/>
      <c r="AD752" s="1"/>
      <c r="AE752" s="1"/>
      <c r="AF752" s="1"/>
      <c r="AG752" s="1"/>
      <c r="AH752" s="1"/>
      <c r="AI752" s="1"/>
      <c r="AL752" s="1"/>
      <c r="AN752" s="1"/>
      <c r="AO752" s="1"/>
      <c r="AP752" s="1"/>
      <c r="AQ752" s="1"/>
      <c r="AR752" s="1"/>
      <c r="AS752" s="1"/>
      <c r="AT752" s="1"/>
      <c r="AU752" s="1"/>
      <c r="AV752" s="1"/>
    </row>
    <row r="753" spans="2:48" x14ac:dyDescent="0.3">
      <c r="B753" s="1" t="s">
        <v>1352</v>
      </c>
      <c r="H753" s="1" t="s">
        <v>738</v>
      </c>
      <c r="I753" s="1"/>
      <c r="J753" s="1"/>
      <c r="K753" s="1"/>
      <c r="L753" s="1"/>
      <c r="M753" s="1"/>
      <c r="N753" s="1"/>
      <c r="O753" s="1"/>
      <c r="P753" s="1"/>
      <c r="Q753" s="1"/>
      <c r="R753" s="1"/>
      <c r="T753" s="1"/>
      <c r="U753" s="1"/>
      <c r="V753" s="1"/>
      <c r="W753" s="1"/>
      <c r="X753" s="1"/>
      <c r="Y753" s="1"/>
      <c r="Z753" s="1"/>
      <c r="AB753" s="1"/>
      <c r="AC753" s="1"/>
      <c r="AD753" s="1"/>
      <c r="AE753" s="1"/>
      <c r="AF753" s="1"/>
      <c r="AG753" s="1"/>
      <c r="AH753" s="1"/>
      <c r="AI753" s="1"/>
      <c r="AL753" s="1"/>
      <c r="AN753" s="1"/>
      <c r="AO753" s="1"/>
      <c r="AP753" s="1"/>
      <c r="AQ753" s="1"/>
      <c r="AR753" s="1"/>
      <c r="AS753" s="1"/>
      <c r="AT753" s="1"/>
      <c r="AU753" s="1"/>
      <c r="AV753" s="1"/>
    </row>
    <row r="754" spans="2:48" x14ac:dyDescent="0.3">
      <c r="B754" s="1" t="s">
        <v>1353</v>
      </c>
      <c r="H754" s="1" t="s">
        <v>738</v>
      </c>
      <c r="I754" s="1"/>
      <c r="J754" s="1"/>
      <c r="K754" s="1"/>
      <c r="L754" s="1"/>
      <c r="M754" s="1"/>
      <c r="N754" s="1"/>
      <c r="O754" s="1"/>
      <c r="P754" s="1"/>
      <c r="Q754" s="1"/>
      <c r="R754" s="1"/>
      <c r="T754" s="1"/>
      <c r="U754" s="1"/>
      <c r="V754" s="1"/>
      <c r="W754" s="1"/>
      <c r="X754" s="1"/>
      <c r="Y754" s="1"/>
      <c r="Z754" s="1"/>
      <c r="AB754" s="1"/>
      <c r="AC754" s="1"/>
      <c r="AD754" s="1"/>
      <c r="AE754" s="1"/>
      <c r="AF754" s="1"/>
      <c r="AG754" s="1"/>
      <c r="AH754" s="1"/>
      <c r="AI754" s="1"/>
      <c r="AL754" s="1"/>
      <c r="AN754" s="1"/>
      <c r="AO754" s="1"/>
      <c r="AP754" s="1"/>
      <c r="AQ754" s="1"/>
      <c r="AR754" s="1"/>
      <c r="AS754" s="1"/>
      <c r="AT754" s="1"/>
      <c r="AU754" s="1"/>
      <c r="AV754" s="1"/>
    </row>
    <row r="755" spans="2:48" x14ac:dyDescent="0.3">
      <c r="B755" s="1" t="s">
        <v>1354</v>
      </c>
      <c r="H755" s="1" t="s">
        <v>738</v>
      </c>
      <c r="I755" s="1"/>
      <c r="J755" s="1"/>
      <c r="K755" s="1"/>
      <c r="L755" s="1"/>
      <c r="M755" s="1"/>
      <c r="N755" s="1"/>
      <c r="O755" s="1"/>
      <c r="P755" s="1"/>
      <c r="Q755" s="1"/>
      <c r="R755" s="1"/>
      <c r="T755" s="1"/>
      <c r="U755" s="1"/>
      <c r="V755" s="1"/>
      <c r="W755" s="1"/>
      <c r="X755" s="1"/>
      <c r="Y755" s="1"/>
      <c r="Z755" s="1"/>
      <c r="AB755" s="1"/>
      <c r="AC755" s="1"/>
      <c r="AD755" s="1"/>
      <c r="AE755" s="1"/>
      <c r="AF755" s="1"/>
      <c r="AG755" s="1"/>
      <c r="AH755" s="1"/>
      <c r="AI755" s="1"/>
      <c r="AL755" s="1"/>
      <c r="AN755" s="1"/>
      <c r="AO755" s="1"/>
      <c r="AP755" s="1"/>
      <c r="AQ755" s="1"/>
      <c r="AR755" s="1"/>
      <c r="AS755" s="1"/>
      <c r="AT755" s="1"/>
      <c r="AU755" s="1"/>
      <c r="AV755" s="1"/>
    </row>
    <row r="756" spans="2:48" x14ac:dyDescent="0.3">
      <c r="B756" s="1" t="s">
        <v>1355</v>
      </c>
      <c r="H756" s="1" t="s">
        <v>738</v>
      </c>
      <c r="I756" s="1"/>
      <c r="J756" s="1"/>
      <c r="K756" s="1"/>
      <c r="L756" s="1"/>
      <c r="M756" s="1"/>
      <c r="N756" s="1"/>
      <c r="O756" s="1"/>
      <c r="P756" s="1"/>
      <c r="Q756" s="1"/>
      <c r="R756" s="1"/>
      <c r="T756" s="1"/>
      <c r="U756" s="1"/>
      <c r="V756" s="1"/>
      <c r="W756" s="1"/>
      <c r="X756" s="1"/>
      <c r="Y756" s="1"/>
      <c r="Z756" s="1"/>
      <c r="AB756" s="1"/>
      <c r="AC756" s="1"/>
      <c r="AD756" s="1"/>
      <c r="AE756" s="1"/>
      <c r="AF756" s="1"/>
      <c r="AG756" s="1"/>
      <c r="AH756" s="1"/>
      <c r="AI756" s="1"/>
      <c r="AL756" s="1"/>
      <c r="AN756" s="1"/>
      <c r="AO756" s="1"/>
      <c r="AP756" s="1"/>
      <c r="AQ756" s="1"/>
      <c r="AR756" s="1"/>
      <c r="AS756" s="1"/>
      <c r="AT756" s="1"/>
      <c r="AU756" s="1"/>
      <c r="AV756" s="1"/>
    </row>
    <row r="757" spans="2:48" x14ac:dyDescent="0.3">
      <c r="B757" s="1" t="s">
        <v>1356</v>
      </c>
      <c r="H757" s="1" t="s">
        <v>738</v>
      </c>
      <c r="I757" s="1"/>
      <c r="J757" s="1"/>
      <c r="K757" s="1"/>
      <c r="L757" s="1"/>
      <c r="M757" s="1"/>
      <c r="N757" s="1"/>
      <c r="O757" s="1"/>
      <c r="P757" s="1"/>
      <c r="Q757" s="1"/>
      <c r="R757" s="1"/>
      <c r="T757" s="1"/>
      <c r="U757" s="1"/>
      <c r="V757" s="1"/>
      <c r="W757" s="1"/>
      <c r="X757" s="1"/>
      <c r="Y757" s="1"/>
      <c r="Z757" s="1"/>
      <c r="AB757" s="1"/>
      <c r="AC757" s="1"/>
      <c r="AD757" s="1"/>
      <c r="AE757" s="1"/>
      <c r="AF757" s="1"/>
      <c r="AG757" s="1"/>
      <c r="AH757" s="1"/>
      <c r="AI757" s="1"/>
      <c r="AL757" s="1"/>
      <c r="AN757" s="1"/>
      <c r="AO757" s="1"/>
      <c r="AP757" s="1"/>
      <c r="AQ757" s="1"/>
      <c r="AR757" s="1"/>
      <c r="AS757" s="1"/>
      <c r="AT757" s="1"/>
      <c r="AU757" s="1"/>
      <c r="AV757" s="1"/>
    </row>
    <row r="758" spans="2:48" x14ac:dyDescent="0.3">
      <c r="B758" s="1" t="s">
        <v>1357</v>
      </c>
      <c r="H758" s="1" t="s">
        <v>738</v>
      </c>
      <c r="I758" s="1"/>
      <c r="J758" s="1"/>
      <c r="K758" s="1"/>
      <c r="L758" s="1"/>
      <c r="M758" s="1"/>
      <c r="N758" s="1"/>
      <c r="O758" s="1"/>
      <c r="P758" s="1"/>
      <c r="Q758" s="1"/>
      <c r="R758" s="1"/>
      <c r="T758" s="1"/>
      <c r="U758" s="1"/>
      <c r="V758" s="1"/>
      <c r="W758" s="1"/>
      <c r="X758" s="1"/>
      <c r="Y758" s="1"/>
      <c r="Z758" s="1"/>
      <c r="AB758" s="1"/>
      <c r="AC758" s="1"/>
      <c r="AD758" s="1"/>
      <c r="AE758" s="1"/>
      <c r="AF758" s="1"/>
      <c r="AG758" s="1"/>
      <c r="AH758" s="1"/>
      <c r="AI758" s="1"/>
      <c r="AL758" s="1"/>
      <c r="AN758" s="1"/>
      <c r="AO758" s="1"/>
      <c r="AP758" s="1"/>
      <c r="AQ758" s="1"/>
      <c r="AR758" s="1"/>
      <c r="AS758" s="1"/>
      <c r="AT758" s="1"/>
      <c r="AU758" s="1"/>
      <c r="AV758" s="1"/>
    </row>
    <row r="759" spans="2:48" x14ac:dyDescent="0.3">
      <c r="B759" s="1" t="s">
        <v>1358</v>
      </c>
      <c r="H759" s="1" t="s">
        <v>738</v>
      </c>
      <c r="I759" s="1"/>
      <c r="J759" s="1"/>
      <c r="K759" s="1"/>
      <c r="L759" s="1"/>
      <c r="M759" s="1"/>
      <c r="N759" s="1"/>
      <c r="O759" s="1"/>
      <c r="P759" s="1"/>
      <c r="Q759" s="1"/>
      <c r="R759" s="1"/>
      <c r="T759" s="1"/>
      <c r="U759" s="1"/>
      <c r="V759" s="1"/>
      <c r="W759" s="1"/>
      <c r="X759" s="1"/>
      <c r="Y759" s="1"/>
      <c r="Z759" s="1"/>
      <c r="AB759" s="1"/>
      <c r="AC759" s="1"/>
      <c r="AD759" s="1"/>
      <c r="AE759" s="1"/>
      <c r="AF759" s="1"/>
      <c r="AG759" s="1"/>
      <c r="AH759" s="1"/>
      <c r="AI759" s="1"/>
      <c r="AL759" s="1"/>
      <c r="AN759" s="1"/>
      <c r="AO759" s="1"/>
      <c r="AP759" s="1"/>
      <c r="AQ759" s="1"/>
      <c r="AR759" s="1"/>
      <c r="AS759" s="1"/>
      <c r="AT759" s="1"/>
      <c r="AU759" s="1"/>
      <c r="AV759" s="1"/>
    </row>
    <row r="760" spans="2:48" x14ac:dyDescent="0.3">
      <c r="B760" s="1" t="s">
        <v>1359</v>
      </c>
      <c r="H760" s="1" t="s">
        <v>738</v>
      </c>
      <c r="I760" s="1"/>
      <c r="J760" s="1"/>
      <c r="K760" s="1"/>
      <c r="L760" s="1"/>
      <c r="M760" s="1"/>
      <c r="N760" s="1"/>
      <c r="O760" s="1"/>
      <c r="P760" s="1"/>
      <c r="Q760" s="1"/>
      <c r="R760" s="1"/>
      <c r="T760" s="1"/>
      <c r="U760" s="1"/>
      <c r="V760" s="1"/>
      <c r="W760" s="1"/>
      <c r="X760" s="1"/>
      <c r="Y760" s="1"/>
      <c r="Z760" s="1"/>
      <c r="AB760" s="1"/>
      <c r="AC760" s="1"/>
      <c r="AD760" s="1"/>
      <c r="AE760" s="1"/>
      <c r="AF760" s="1"/>
      <c r="AG760" s="1"/>
      <c r="AH760" s="1"/>
      <c r="AI760" s="1"/>
      <c r="AL760" s="1"/>
      <c r="AN760" s="1"/>
      <c r="AO760" s="1"/>
      <c r="AP760" s="1"/>
      <c r="AQ760" s="1"/>
      <c r="AR760" s="1"/>
      <c r="AS760" s="1"/>
      <c r="AT760" s="1"/>
      <c r="AU760" s="1"/>
      <c r="AV760" s="1"/>
    </row>
    <row r="761" spans="2:48" x14ac:dyDescent="0.3">
      <c r="B761" s="1" t="s">
        <v>1360</v>
      </c>
      <c r="H761" s="1" t="s">
        <v>738</v>
      </c>
      <c r="I761" s="1"/>
      <c r="J761" s="1"/>
      <c r="K761" s="1"/>
      <c r="L761" s="1"/>
      <c r="M761" s="1"/>
      <c r="N761" s="1"/>
      <c r="O761" s="1"/>
      <c r="P761" s="1"/>
      <c r="Q761" s="1"/>
      <c r="R761" s="1"/>
      <c r="T761" s="1"/>
      <c r="U761" s="1"/>
      <c r="V761" s="1"/>
      <c r="W761" s="1"/>
      <c r="X761" s="1"/>
      <c r="Y761" s="1"/>
      <c r="Z761" s="1"/>
      <c r="AB761" s="1"/>
      <c r="AC761" s="1"/>
      <c r="AD761" s="1"/>
      <c r="AE761" s="1"/>
      <c r="AF761" s="1"/>
      <c r="AG761" s="1"/>
      <c r="AH761" s="1"/>
      <c r="AI761" s="1"/>
      <c r="AL761" s="1"/>
      <c r="AN761" s="1"/>
      <c r="AO761" s="1"/>
      <c r="AP761" s="1"/>
      <c r="AQ761" s="1"/>
      <c r="AR761" s="1"/>
      <c r="AS761" s="1"/>
      <c r="AT761" s="1"/>
      <c r="AU761" s="1"/>
      <c r="AV761" s="1"/>
    </row>
    <row r="762" spans="2:48" x14ac:dyDescent="0.3">
      <c r="B762" s="1" t="s">
        <v>1361</v>
      </c>
      <c r="H762" s="1" t="s">
        <v>738</v>
      </c>
      <c r="I762" s="1"/>
      <c r="J762" s="1"/>
      <c r="K762" s="1"/>
      <c r="L762" s="1"/>
      <c r="M762" s="1"/>
      <c r="N762" s="1"/>
      <c r="O762" s="1"/>
      <c r="P762" s="1"/>
      <c r="Q762" s="1"/>
      <c r="R762" s="1"/>
      <c r="T762" s="1"/>
      <c r="U762" s="1"/>
      <c r="V762" s="1"/>
      <c r="W762" s="1"/>
      <c r="X762" s="1"/>
      <c r="Y762" s="1"/>
      <c r="Z762" s="1"/>
      <c r="AB762" s="1"/>
      <c r="AC762" s="1"/>
      <c r="AD762" s="1"/>
      <c r="AE762" s="1"/>
      <c r="AF762" s="1"/>
      <c r="AG762" s="1"/>
      <c r="AH762" s="1"/>
      <c r="AI762" s="1"/>
      <c r="AL762" s="1"/>
      <c r="AN762" s="1"/>
      <c r="AO762" s="1"/>
      <c r="AP762" s="1"/>
      <c r="AQ762" s="1"/>
      <c r="AR762" s="1"/>
      <c r="AS762" s="1"/>
      <c r="AT762" s="1"/>
      <c r="AU762" s="1"/>
      <c r="AV762" s="1"/>
    </row>
    <row r="763" spans="2:48" x14ac:dyDescent="0.3">
      <c r="B763" s="1" t="s">
        <v>1362</v>
      </c>
      <c r="H763" s="1" t="s">
        <v>738</v>
      </c>
      <c r="I763" s="1"/>
      <c r="J763" s="1"/>
      <c r="K763" s="1"/>
      <c r="L763" s="1"/>
      <c r="M763" s="1"/>
      <c r="N763" s="1"/>
      <c r="O763" s="1"/>
      <c r="P763" s="1"/>
      <c r="Q763" s="1"/>
      <c r="R763" s="1"/>
      <c r="T763" s="1"/>
      <c r="U763" s="1"/>
      <c r="V763" s="1"/>
      <c r="W763" s="1"/>
      <c r="X763" s="1"/>
      <c r="Y763" s="1"/>
      <c r="Z763" s="1"/>
      <c r="AB763" s="1"/>
      <c r="AC763" s="1"/>
      <c r="AD763" s="1"/>
      <c r="AE763" s="1"/>
      <c r="AF763" s="1"/>
      <c r="AG763" s="1"/>
      <c r="AH763" s="1"/>
      <c r="AI763" s="1"/>
      <c r="AL763" s="1"/>
      <c r="AN763" s="1"/>
      <c r="AO763" s="1"/>
      <c r="AP763" s="1"/>
      <c r="AQ763" s="1"/>
      <c r="AR763" s="1"/>
      <c r="AS763" s="1"/>
      <c r="AT763" s="1"/>
      <c r="AU763" s="1"/>
      <c r="AV763" s="1"/>
    </row>
    <row r="764" spans="2:48" x14ac:dyDescent="0.3">
      <c r="B764" s="1" t="s">
        <v>1363</v>
      </c>
      <c r="H764" s="1" t="s">
        <v>738</v>
      </c>
      <c r="I764" s="1"/>
      <c r="J764" s="1"/>
      <c r="K764" s="1"/>
      <c r="L764" s="1"/>
      <c r="M764" s="1"/>
      <c r="N764" s="1"/>
      <c r="O764" s="1"/>
      <c r="P764" s="1"/>
      <c r="Q764" s="1"/>
      <c r="R764" s="1"/>
      <c r="T764" s="1"/>
      <c r="U764" s="1"/>
      <c r="V764" s="1"/>
      <c r="W764" s="1"/>
      <c r="X764" s="1"/>
      <c r="Y764" s="1"/>
      <c r="Z764" s="1"/>
      <c r="AB764" s="1"/>
      <c r="AC764" s="1"/>
      <c r="AD764" s="1"/>
      <c r="AE764" s="1"/>
      <c r="AF764" s="1"/>
      <c r="AG764" s="1"/>
      <c r="AH764" s="1"/>
      <c r="AI764" s="1"/>
      <c r="AL764" s="1"/>
      <c r="AN764" s="1"/>
      <c r="AO764" s="1"/>
      <c r="AP764" s="1"/>
      <c r="AQ764" s="1"/>
      <c r="AR764" s="1"/>
      <c r="AS764" s="1"/>
      <c r="AT764" s="1"/>
      <c r="AU764" s="1"/>
      <c r="AV764" s="1"/>
    </row>
    <row r="765" spans="2:48" x14ac:dyDescent="0.3">
      <c r="B765" s="1" t="s">
        <v>1364</v>
      </c>
      <c r="H765" s="1" t="s">
        <v>738</v>
      </c>
      <c r="I765" s="1"/>
      <c r="J765" s="1"/>
      <c r="K765" s="1"/>
      <c r="L765" s="1"/>
      <c r="M765" s="1"/>
      <c r="N765" s="1"/>
      <c r="O765" s="1"/>
      <c r="P765" s="1"/>
      <c r="Q765" s="1"/>
      <c r="R765" s="1"/>
      <c r="T765" s="1"/>
      <c r="U765" s="1"/>
      <c r="V765" s="1"/>
      <c r="W765" s="1"/>
      <c r="X765" s="1"/>
      <c r="Y765" s="1"/>
      <c r="Z765" s="1"/>
      <c r="AB765" s="1"/>
      <c r="AC765" s="1"/>
      <c r="AD765" s="1"/>
      <c r="AE765" s="1"/>
      <c r="AF765" s="1"/>
      <c r="AG765" s="1"/>
      <c r="AH765" s="1"/>
      <c r="AI765" s="1"/>
      <c r="AL765" s="1"/>
      <c r="AN765" s="1"/>
      <c r="AO765" s="1"/>
      <c r="AP765" s="1"/>
      <c r="AQ765" s="1"/>
      <c r="AR765" s="1"/>
      <c r="AS765" s="1"/>
      <c r="AT765" s="1"/>
      <c r="AU765" s="1"/>
      <c r="AV765" s="1"/>
    </row>
    <row r="766" spans="2:48" x14ac:dyDescent="0.3">
      <c r="B766" s="1" t="s">
        <v>1365</v>
      </c>
      <c r="H766" s="1" t="s">
        <v>738</v>
      </c>
      <c r="I766" s="1"/>
      <c r="J766" s="1"/>
      <c r="K766" s="1"/>
      <c r="L766" s="1"/>
      <c r="M766" s="1"/>
      <c r="N766" s="1"/>
      <c r="O766" s="1"/>
      <c r="P766" s="1"/>
      <c r="Q766" s="1"/>
      <c r="R766" s="1"/>
      <c r="T766" s="1"/>
      <c r="U766" s="1"/>
      <c r="V766" s="1"/>
      <c r="W766" s="1"/>
      <c r="X766" s="1"/>
      <c r="Y766" s="1"/>
      <c r="Z766" s="1"/>
      <c r="AB766" s="1"/>
      <c r="AC766" s="1"/>
      <c r="AD766" s="1"/>
      <c r="AE766" s="1"/>
      <c r="AF766" s="1"/>
      <c r="AG766" s="1"/>
      <c r="AH766" s="1"/>
      <c r="AI766" s="1"/>
      <c r="AL766" s="1"/>
      <c r="AN766" s="1"/>
      <c r="AO766" s="1"/>
      <c r="AP766" s="1"/>
      <c r="AQ766" s="1"/>
      <c r="AR766" s="1"/>
      <c r="AS766" s="1"/>
      <c r="AT766" s="1"/>
      <c r="AU766" s="1"/>
      <c r="AV766" s="1"/>
    </row>
    <row r="767" spans="2:48" x14ac:dyDescent="0.3">
      <c r="B767" s="1" t="s">
        <v>1366</v>
      </c>
      <c r="H767" s="1" t="s">
        <v>738</v>
      </c>
      <c r="I767" s="1"/>
      <c r="J767" s="1"/>
      <c r="K767" s="1"/>
      <c r="L767" s="1"/>
      <c r="M767" s="1"/>
      <c r="N767" s="1"/>
      <c r="O767" s="1"/>
      <c r="P767" s="1"/>
      <c r="Q767" s="1"/>
      <c r="R767" s="1"/>
      <c r="T767" s="1"/>
      <c r="U767" s="1"/>
      <c r="V767" s="1"/>
      <c r="W767" s="1"/>
      <c r="X767" s="1"/>
      <c r="Y767" s="1"/>
      <c r="Z767" s="1"/>
      <c r="AB767" s="1"/>
      <c r="AC767" s="1"/>
      <c r="AD767" s="1"/>
      <c r="AE767" s="1"/>
      <c r="AF767" s="1"/>
      <c r="AG767" s="1"/>
      <c r="AH767" s="1"/>
      <c r="AI767" s="1"/>
      <c r="AL767" s="1"/>
      <c r="AN767" s="1"/>
      <c r="AO767" s="1"/>
      <c r="AP767" s="1"/>
      <c r="AQ767" s="1"/>
      <c r="AR767" s="1"/>
      <c r="AS767" s="1"/>
      <c r="AT767" s="1"/>
      <c r="AU767" s="1"/>
      <c r="AV767" s="1"/>
    </row>
    <row r="768" spans="2:48" x14ac:dyDescent="0.3">
      <c r="B768" s="1" t="s">
        <v>1367</v>
      </c>
      <c r="H768" s="1" t="s">
        <v>738</v>
      </c>
      <c r="I768" s="1"/>
      <c r="J768" s="1"/>
      <c r="K768" s="1"/>
      <c r="L768" s="1"/>
      <c r="M768" s="1"/>
      <c r="N768" s="1"/>
      <c r="O768" s="1"/>
      <c r="P768" s="1"/>
      <c r="Q768" s="1"/>
      <c r="R768" s="1"/>
      <c r="T768" s="1"/>
      <c r="U768" s="1"/>
      <c r="V768" s="1"/>
      <c r="W768" s="1"/>
      <c r="X768" s="1"/>
      <c r="Y768" s="1"/>
      <c r="Z768" s="1"/>
      <c r="AB768" s="1"/>
      <c r="AC768" s="1"/>
      <c r="AD768" s="1"/>
      <c r="AE768" s="1"/>
      <c r="AF768" s="1"/>
      <c r="AG768" s="1"/>
      <c r="AH768" s="1"/>
      <c r="AI768" s="1"/>
      <c r="AL768" s="1"/>
      <c r="AN768" s="1"/>
      <c r="AO768" s="1"/>
      <c r="AP768" s="1"/>
      <c r="AQ768" s="1"/>
      <c r="AR768" s="1"/>
      <c r="AS768" s="1"/>
      <c r="AT768" s="1"/>
      <c r="AU768" s="1"/>
      <c r="AV768" s="1"/>
    </row>
    <row r="769" spans="2:48" x14ac:dyDescent="0.3">
      <c r="B769" s="1" t="s">
        <v>1368</v>
      </c>
      <c r="H769" s="1" t="s">
        <v>738</v>
      </c>
      <c r="I769" s="1"/>
      <c r="J769" s="1"/>
      <c r="K769" s="1"/>
      <c r="L769" s="1"/>
      <c r="M769" s="1"/>
      <c r="N769" s="1"/>
      <c r="O769" s="1"/>
      <c r="P769" s="1"/>
      <c r="Q769" s="1"/>
      <c r="R769" s="1"/>
      <c r="T769" s="1"/>
      <c r="U769" s="1"/>
      <c r="V769" s="1"/>
      <c r="W769" s="1"/>
      <c r="X769" s="1"/>
      <c r="Y769" s="1"/>
      <c r="Z769" s="1"/>
      <c r="AB769" s="1"/>
      <c r="AC769" s="1"/>
      <c r="AD769" s="1"/>
      <c r="AE769" s="1"/>
      <c r="AF769" s="1"/>
      <c r="AG769" s="1"/>
      <c r="AH769" s="1"/>
      <c r="AI769" s="1"/>
      <c r="AL769" s="1"/>
      <c r="AN769" s="1"/>
      <c r="AO769" s="1"/>
      <c r="AP769" s="1"/>
      <c r="AQ769" s="1"/>
      <c r="AR769" s="1"/>
      <c r="AS769" s="1"/>
      <c r="AT769" s="1"/>
      <c r="AU769" s="1"/>
      <c r="AV769" s="1"/>
    </row>
    <row r="770" spans="2:48" x14ac:dyDescent="0.3">
      <c r="B770" s="1" t="s">
        <v>1369</v>
      </c>
      <c r="H770" s="1" t="s">
        <v>738</v>
      </c>
      <c r="I770" s="1"/>
      <c r="J770" s="1"/>
      <c r="K770" s="1"/>
      <c r="L770" s="1"/>
      <c r="M770" s="1"/>
      <c r="N770" s="1"/>
      <c r="O770" s="1"/>
      <c r="P770" s="1"/>
      <c r="Q770" s="1"/>
      <c r="R770" s="1"/>
      <c r="T770" s="1"/>
      <c r="U770" s="1"/>
      <c r="V770" s="1"/>
      <c r="W770" s="1"/>
      <c r="X770" s="1"/>
      <c r="Y770" s="1"/>
      <c r="Z770" s="1"/>
      <c r="AB770" s="1"/>
      <c r="AC770" s="1"/>
      <c r="AD770" s="1"/>
      <c r="AE770" s="1"/>
      <c r="AF770" s="1"/>
      <c r="AG770" s="1"/>
      <c r="AH770" s="1"/>
      <c r="AI770" s="1"/>
      <c r="AL770" s="1"/>
      <c r="AN770" s="1"/>
      <c r="AO770" s="1"/>
      <c r="AP770" s="1"/>
      <c r="AQ770" s="1"/>
      <c r="AR770" s="1"/>
      <c r="AS770" s="1"/>
      <c r="AT770" s="1"/>
      <c r="AU770" s="1"/>
      <c r="AV770" s="1"/>
    </row>
    <row r="771" spans="2:48" x14ac:dyDescent="0.3">
      <c r="B771" s="1" t="s">
        <v>1370</v>
      </c>
      <c r="H771" s="1" t="s">
        <v>738</v>
      </c>
      <c r="I771" s="1"/>
      <c r="J771" s="1"/>
      <c r="K771" s="1"/>
      <c r="L771" s="1"/>
      <c r="M771" s="1"/>
      <c r="N771" s="1"/>
      <c r="O771" s="1"/>
      <c r="P771" s="1"/>
      <c r="Q771" s="1"/>
      <c r="R771" s="1"/>
      <c r="T771" s="1"/>
      <c r="U771" s="1"/>
      <c r="V771" s="1"/>
      <c r="W771" s="1"/>
      <c r="X771" s="1"/>
      <c r="Y771" s="1"/>
      <c r="Z771" s="1"/>
      <c r="AB771" s="1"/>
      <c r="AC771" s="1"/>
      <c r="AD771" s="1"/>
      <c r="AE771" s="1"/>
      <c r="AF771" s="1"/>
      <c r="AG771" s="1"/>
      <c r="AH771" s="1"/>
      <c r="AI771" s="1"/>
      <c r="AL771" s="1"/>
      <c r="AN771" s="1"/>
      <c r="AO771" s="1"/>
      <c r="AP771" s="1"/>
      <c r="AQ771" s="1"/>
      <c r="AR771" s="1"/>
      <c r="AS771" s="1"/>
      <c r="AT771" s="1"/>
      <c r="AU771" s="1"/>
      <c r="AV771" s="1"/>
    </row>
    <row r="772" spans="2:48" x14ac:dyDescent="0.3">
      <c r="B772" s="1" t="s">
        <v>1371</v>
      </c>
      <c r="H772" s="1" t="s">
        <v>738</v>
      </c>
      <c r="I772" s="1"/>
      <c r="J772" s="1"/>
      <c r="K772" s="1"/>
      <c r="L772" s="1"/>
      <c r="M772" s="1"/>
      <c r="N772" s="1"/>
      <c r="O772" s="1"/>
      <c r="P772" s="1"/>
      <c r="Q772" s="1"/>
      <c r="R772" s="1"/>
      <c r="T772" s="1"/>
      <c r="U772" s="1"/>
      <c r="V772" s="1"/>
      <c r="W772" s="1"/>
      <c r="X772" s="1"/>
      <c r="Y772" s="1"/>
      <c r="Z772" s="1"/>
      <c r="AB772" s="1"/>
      <c r="AC772" s="1"/>
      <c r="AD772" s="1"/>
      <c r="AE772" s="1"/>
      <c r="AF772" s="1"/>
      <c r="AG772" s="1"/>
      <c r="AH772" s="1"/>
      <c r="AI772" s="1"/>
      <c r="AL772" s="1"/>
      <c r="AN772" s="1"/>
      <c r="AO772" s="1"/>
      <c r="AP772" s="1"/>
      <c r="AQ772" s="1"/>
      <c r="AR772" s="1"/>
      <c r="AS772" s="1"/>
      <c r="AT772" s="1"/>
      <c r="AU772" s="1"/>
      <c r="AV772" s="1"/>
    </row>
    <row r="773" spans="2:48" x14ac:dyDescent="0.3">
      <c r="B773" s="1" t="s">
        <v>1372</v>
      </c>
      <c r="H773" s="1" t="s">
        <v>738</v>
      </c>
      <c r="I773" s="1"/>
      <c r="J773" s="1"/>
      <c r="K773" s="1"/>
      <c r="L773" s="1"/>
      <c r="M773" s="1"/>
      <c r="N773" s="1"/>
      <c r="O773" s="1"/>
      <c r="P773" s="1"/>
      <c r="Q773" s="1"/>
      <c r="R773" s="1"/>
      <c r="T773" s="1"/>
      <c r="U773" s="1"/>
      <c r="V773" s="1"/>
      <c r="W773" s="1"/>
      <c r="X773" s="1"/>
      <c r="Y773" s="1"/>
      <c r="Z773" s="1"/>
      <c r="AB773" s="1"/>
      <c r="AC773" s="1"/>
      <c r="AD773" s="1"/>
      <c r="AE773" s="1"/>
      <c r="AF773" s="1"/>
      <c r="AG773" s="1"/>
      <c r="AH773" s="1"/>
      <c r="AI773" s="1"/>
      <c r="AL773" s="1"/>
      <c r="AN773" s="1"/>
      <c r="AO773" s="1"/>
      <c r="AP773" s="1"/>
      <c r="AQ773" s="1"/>
      <c r="AR773" s="1"/>
      <c r="AS773" s="1"/>
      <c r="AT773" s="1"/>
      <c r="AU773" s="1"/>
      <c r="AV773" s="1"/>
    </row>
    <row r="774" spans="2:48" x14ac:dyDescent="0.3">
      <c r="B774" s="1" t="s">
        <v>1373</v>
      </c>
      <c r="H774" s="1" t="s">
        <v>738</v>
      </c>
      <c r="I774" s="1"/>
      <c r="J774" s="1"/>
      <c r="K774" s="1"/>
      <c r="L774" s="1"/>
      <c r="M774" s="1"/>
      <c r="N774" s="1"/>
      <c r="O774" s="1"/>
      <c r="P774" s="1"/>
      <c r="Q774" s="1"/>
      <c r="R774" s="1"/>
      <c r="T774" s="1"/>
      <c r="U774" s="1"/>
      <c r="V774" s="1"/>
      <c r="W774" s="1"/>
      <c r="X774" s="1"/>
      <c r="Y774" s="1"/>
      <c r="Z774" s="1"/>
      <c r="AB774" s="1"/>
      <c r="AC774" s="1"/>
      <c r="AD774" s="1"/>
      <c r="AE774" s="1"/>
      <c r="AF774" s="1"/>
      <c r="AG774" s="1"/>
      <c r="AH774" s="1"/>
      <c r="AI774" s="1"/>
      <c r="AL774" s="1"/>
      <c r="AN774" s="1"/>
      <c r="AO774" s="1"/>
      <c r="AP774" s="1"/>
      <c r="AQ774" s="1"/>
      <c r="AR774" s="1"/>
      <c r="AS774" s="1"/>
      <c r="AT774" s="1"/>
      <c r="AU774" s="1"/>
      <c r="AV774" s="1"/>
    </row>
    <row r="775" spans="2:48" x14ac:dyDescent="0.3">
      <c r="B775" s="1" t="s">
        <v>1374</v>
      </c>
      <c r="H775" s="1" t="s">
        <v>738</v>
      </c>
      <c r="I775" s="1"/>
      <c r="J775" s="1"/>
      <c r="K775" s="1"/>
      <c r="L775" s="1"/>
      <c r="M775" s="1"/>
      <c r="N775" s="1"/>
      <c r="O775" s="1"/>
      <c r="P775" s="1"/>
      <c r="Q775" s="1"/>
      <c r="R775" s="1"/>
      <c r="T775" s="1"/>
      <c r="U775" s="1"/>
      <c r="V775" s="1"/>
      <c r="W775" s="1"/>
      <c r="X775" s="1"/>
      <c r="Y775" s="1"/>
      <c r="Z775" s="1"/>
      <c r="AB775" s="1"/>
      <c r="AC775" s="1"/>
      <c r="AD775" s="1"/>
      <c r="AE775" s="1"/>
      <c r="AF775" s="1"/>
      <c r="AG775" s="1"/>
      <c r="AH775" s="1"/>
      <c r="AI775" s="1"/>
      <c r="AL775" s="1"/>
      <c r="AN775" s="1"/>
      <c r="AO775" s="1"/>
      <c r="AP775" s="1"/>
      <c r="AQ775" s="1"/>
      <c r="AR775" s="1"/>
      <c r="AS775" s="1"/>
      <c r="AT775" s="1"/>
      <c r="AU775" s="1"/>
      <c r="AV775" s="1"/>
    </row>
    <row r="776" spans="2:48" x14ac:dyDescent="0.3">
      <c r="B776" s="1" t="s">
        <v>1375</v>
      </c>
      <c r="H776" s="1" t="s">
        <v>738</v>
      </c>
      <c r="I776" s="1"/>
      <c r="J776" s="1"/>
      <c r="K776" s="1"/>
      <c r="L776" s="1"/>
      <c r="M776" s="1"/>
      <c r="N776" s="1"/>
      <c r="O776" s="1"/>
      <c r="P776" s="1"/>
      <c r="Q776" s="1"/>
      <c r="R776" s="1"/>
      <c r="T776" s="1"/>
      <c r="U776" s="1"/>
      <c r="V776" s="1"/>
      <c r="W776" s="1"/>
      <c r="X776" s="1"/>
      <c r="Y776" s="1"/>
      <c r="Z776" s="1"/>
      <c r="AB776" s="1"/>
      <c r="AC776" s="1"/>
      <c r="AD776" s="1"/>
      <c r="AE776" s="1"/>
      <c r="AF776" s="1"/>
      <c r="AG776" s="1"/>
      <c r="AH776" s="1"/>
      <c r="AI776" s="1"/>
      <c r="AL776" s="1"/>
      <c r="AN776" s="1"/>
      <c r="AO776" s="1"/>
      <c r="AP776" s="1"/>
      <c r="AQ776" s="1"/>
      <c r="AR776" s="1"/>
      <c r="AS776" s="1"/>
      <c r="AT776" s="1"/>
      <c r="AU776" s="1"/>
      <c r="AV776" s="1"/>
    </row>
    <row r="777" spans="2:48" x14ac:dyDescent="0.3">
      <c r="B777" s="1" t="s">
        <v>1376</v>
      </c>
      <c r="H777" s="1" t="s">
        <v>738</v>
      </c>
      <c r="I777" s="1"/>
      <c r="J777" s="1"/>
      <c r="K777" s="1"/>
      <c r="L777" s="1"/>
      <c r="M777" s="1"/>
      <c r="N777" s="1"/>
      <c r="O777" s="1"/>
      <c r="P777" s="1"/>
      <c r="Q777" s="1"/>
      <c r="R777" s="1"/>
      <c r="T777" s="1"/>
      <c r="U777" s="1"/>
      <c r="V777" s="1"/>
      <c r="W777" s="1"/>
      <c r="X777" s="1"/>
      <c r="Y777" s="1"/>
      <c r="Z777" s="1"/>
      <c r="AB777" s="1"/>
      <c r="AC777" s="1"/>
      <c r="AD777" s="1"/>
      <c r="AE777" s="1"/>
      <c r="AF777" s="1"/>
      <c r="AG777" s="1"/>
      <c r="AH777" s="1"/>
      <c r="AI777" s="1"/>
      <c r="AL777" s="1"/>
      <c r="AN777" s="1"/>
      <c r="AO777" s="1"/>
      <c r="AP777" s="1"/>
      <c r="AQ777" s="1"/>
      <c r="AR777" s="1"/>
      <c r="AS777" s="1"/>
      <c r="AT777" s="1"/>
      <c r="AU777" s="1"/>
      <c r="AV777" s="1"/>
    </row>
    <row r="778" spans="2:48" x14ac:dyDescent="0.3">
      <c r="B778" s="1" t="s">
        <v>1377</v>
      </c>
      <c r="H778" s="1" t="s">
        <v>738</v>
      </c>
      <c r="I778" s="1"/>
      <c r="J778" s="1"/>
      <c r="K778" s="1"/>
      <c r="L778" s="1"/>
      <c r="M778" s="1"/>
      <c r="N778" s="1"/>
      <c r="O778" s="1"/>
      <c r="P778" s="1"/>
      <c r="Q778" s="1"/>
      <c r="R778" s="1"/>
      <c r="T778" s="1"/>
      <c r="U778" s="1"/>
      <c r="V778" s="1"/>
      <c r="W778" s="1"/>
      <c r="X778" s="1"/>
      <c r="Y778" s="1"/>
      <c r="Z778" s="1"/>
      <c r="AB778" s="1"/>
      <c r="AC778" s="1"/>
      <c r="AD778" s="1"/>
      <c r="AE778" s="1"/>
      <c r="AF778" s="1"/>
      <c r="AG778" s="1"/>
      <c r="AH778" s="1"/>
      <c r="AI778" s="1"/>
      <c r="AL778" s="1"/>
      <c r="AN778" s="1"/>
      <c r="AO778" s="1"/>
      <c r="AP778" s="1"/>
      <c r="AQ778" s="1"/>
      <c r="AR778" s="1"/>
      <c r="AS778" s="1"/>
      <c r="AT778" s="1"/>
      <c r="AU778" s="1"/>
      <c r="AV778" s="1"/>
    </row>
    <row r="779" spans="2:48" x14ac:dyDescent="0.3">
      <c r="B779" s="1" t="s">
        <v>1378</v>
      </c>
      <c r="H779" s="1" t="s">
        <v>738</v>
      </c>
      <c r="I779" s="1"/>
      <c r="J779" s="1"/>
      <c r="K779" s="1"/>
      <c r="L779" s="1"/>
      <c r="M779" s="1"/>
      <c r="N779" s="1"/>
      <c r="O779" s="1"/>
      <c r="P779" s="1"/>
      <c r="Q779" s="1"/>
      <c r="R779" s="1"/>
      <c r="T779" s="1"/>
      <c r="U779" s="1"/>
      <c r="V779" s="1"/>
      <c r="W779" s="1"/>
      <c r="X779" s="1"/>
      <c r="Y779" s="1"/>
      <c r="Z779" s="1"/>
      <c r="AB779" s="1"/>
      <c r="AC779" s="1"/>
      <c r="AD779" s="1"/>
      <c r="AE779" s="1"/>
      <c r="AF779" s="1"/>
      <c r="AG779" s="1"/>
      <c r="AH779" s="1"/>
      <c r="AI779" s="1"/>
      <c r="AL779" s="1"/>
      <c r="AN779" s="1"/>
      <c r="AO779" s="1"/>
      <c r="AP779" s="1"/>
      <c r="AQ779" s="1"/>
      <c r="AR779" s="1"/>
      <c r="AS779" s="1"/>
      <c r="AT779" s="1"/>
      <c r="AU779" s="1"/>
      <c r="AV779" s="1"/>
    </row>
    <row r="780" spans="2:48" x14ac:dyDescent="0.3">
      <c r="B780" s="1" t="s">
        <v>1379</v>
      </c>
      <c r="H780" s="1" t="s">
        <v>738</v>
      </c>
      <c r="I780" s="1"/>
      <c r="J780" s="1"/>
      <c r="K780" s="1"/>
      <c r="L780" s="1"/>
      <c r="M780" s="1"/>
      <c r="N780" s="1"/>
      <c r="O780" s="1"/>
      <c r="P780" s="1"/>
      <c r="Q780" s="1"/>
      <c r="R780" s="1"/>
      <c r="T780" s="1"/>
      <c r="U780" s="1"/>
      <c r="V780" s="1"/>
      <c r="W780" s="1"/>
      <c r="X780" s="1"/>
      <c r="Y780" s="1"/>
      <c r="Z780" s="1"/>
      <c r="AB780" s="1"/>
      <c r="AC780" s="1"/>
      <c r="AD780" s="1"/>
      <c r="AE780" s="1"/>
      <c r="AF780" s="1"/>
      <c r="AG780" s="1"/>
      <c r="AH780" s="1"/>
      <c r="AI780" s="1"/>
      <c r="AL780" s="1"/>
      <c r="AN780" s="1"/>
      <c r="AO780" s="1"/>
      <c r="AP780" s="1"/>
      <c r="AQ780" s="1"/>
      <c r="AR780" s="1"/>
      <c r="AS780" s="1"/>
      <c r="AT780" s="1"/>
      <c r="AU780" s="1"/>
      <c r="AV780" s="1"/>
    </row>
    <row r="781" spans="2:48" x14ac:dyDescent="0.3">
      <c r="B781" s="1" t="s">
        <v>1380</v>
      </c>
      <c r="H781" s="1" t="s">
        <v>738</v>
      </c>
      <c r="I781" s="1"/>
      <c r="J781" s="1"/>
      <c r="K781" s="1"/>
      <c r="L781" s="1"/>
      <c r="M781" s="1"/>
      <c r="N781" s="1"/>
      <c r="O781" s="1"/>
      <c r="P781" s="1"/>
      <c r="Q781" s="1"/>
      <c r="R781" s="1"/>
      <c r="T781" s="1"/>
      <c r="U781" s="1"/>
      <c r="V781" s="1"/>
      <c r="W781" s="1"/>
      <c r="X781" s="1"/>
      <c r="Y781" s="1"/>
      <c r="Z781" s="1"/>
      <c r="AB781" s="1"/>
      <c r="AC781" s="1"/>
      <c r="AD781" s="1"/>
      <c r="AE781" s="1"/>
      <c r="AF781" s="1"/>
      <c r="AG781" s="1"/>
      <c r="AH781" s="1"/>
      <c r="AI781" s="1"/>
      <c r="AL781" s="1"/>
      <c r="AN781" s="1"/>
      <c r="AO781" s="1"/>
      <c r="AP781" s="1"/>
      <c r="AQ781" s="1"/>
      <c r="AR781" s="1"/>
      <c r="AS781" s="1"/>
      <c r="AT781" s="1"/>
      <c r="AU781" s="1"/>
      <c r="AV781" s="1"/>
    </row>
    <row r="782" spans="2:48" x14ac:dyDescent="0.3">
      <c r="B782" s="1" t="s">
        <v>1381</v>
      </c>
      <c r="H782" s="1" t="s">
        <v>738</v>
      </c>
      <c r="I782" s="1"/>
      <c r="J782" s="1"/>
      <c r="K782" s="1"/>
      <c r="L782" s="1"/>
      <c r="M782" s="1"/>
      <c r="N782" s="1"/>
      <c r="O782" s="1"/>
      <c r="P782" s="1"/>
      <c r="Q782" s="1"/>
      <c r="R782" s="1"/>
      <c r="T782" s="1"/>
      <c r="U782" s="1"/>
      <c r="V782" s="1"/>
      <c r="W782" s="1"/>
      <c r="X782" s="1"/>
      <c r="Y782" s="1"/>
      <c r="Z782" s="1"/>
      <c r="AB782" s="1"/>
      <c r="AC782" s="1"/>
      <c r="AD782" s="1"/>
      <c r="AE782" s="1"/>
      <c r="AF782" s="1"/>
      <c r="AG782" s="1"/>
      <c r="AH782" s="1"/>
      <c r="AI782" s="1"/>
      <c r="AL782" s="1"/>
      <c r="AN782" s="1"/>
      <c r="AO782" s="1"/>
      <c r="AP782" s="1"/>
      <c r="AQ782" s="1"/>
      <c r="AR782" s="1"/>
      <c r="AS782" s="1"/>
      <c r="AT782" s="1"/>
      <c r="AU782" s="1"/>
      <c r="AV782" s="1"/>
    </row>
    <row r="783" spans="2:48" x14ac:dyDescent="0.3">
      <c r="B783" s="1" t="s">
        <v>1382</v>
      </c>
      <c r="H783" s="1" t="s">
        <v>738</v>
      </c>
      <c r="I783" s="1"/>
      <c r="J783" s="1"/>
      <c r="K783" s="1"/>
      <c r="L783" s="1"/>
      <c r="M783" s="1"/>
      <c r="N783" s="1"/>
      <c r="O783" s="1"/>
      <c r="P783" s="1"/>
      <c r="Q783" s="1"/>
      <c r="R783" s="1"/>
      <c r="T783" s="1"/>
      <c r="U783" s="1"/>
      <c r="V783" s="1"/>
      <c r="W783" s="1"/>
      <c r="X783" s="1"/>
      <c r="Y783" s="1"/>
      <c r="Z783" s="1"/>
      <c r="AB783" s="1"/>
      <c r="AC783" s="1"/>
      <c r="AD783" s="1"/>
      <c r="AE783" s="1"/>
      <c r="AF783" s="1"/>
      <c r="AG783" s="1"/>
      <c r="AH783" s="1"/>
      <c r="AI783" s="1"/>
      <c r="AL783" s="1"/>
      <c r="AN783" s="1"/>
      <c r="AO783" s="1"/>
      <c r="AP783" s="1"/>
      <c r="AQ783" s="1"/>
      <c r="AR783" s="1"/>
      <c r="AS783" s="1"/>
      <c r="AT783" s="1"/>
      <c r="AU783" s="1"/>
      <c r="AV783" s="1"/>
    </row>
    <row r="784" spans="2:48" x14ac:dyDescent="0.3">
      <c r="B784" s="1" t="s">
        <v>1383</v>
      </c>
      <c r="H784" s="1" t="s">
        <v>738</v>
      </c>
      <c r="I784" s="1"/>
      <c r="J784" s="1"/>
      <c r="K784" s="1"/>
      <c r="L784" s="1"/>
      <c r="M784" s="1"/>
      <c r="N784" s="1"/>
      <c r="O784" s="1"/>
      <c r="P784" s="1"/>
      <c r="Q784" s="1"/>
      <c r="R784" s="1"/>
      <c r="T784" s="1"/>
      <c r="U784" s="1"/>
      <c r="V784" s="1"/>
      <c r="W784" s="1"/>
      <c r="X784" s="1"/>
      <c r="Y784" s="1"/>
      <c r="Z784" s="1"/>
      <c r="AB784" s="1"/>
      <c r="AC784" s="1"/>
      <c r="AD784" s="1"/>
      <c r="AE784" s="1"/>
      <c r="AF784" s="1"/>
      <c r="AG784" s="1"/>
      <c r="AH784" s="1"/>
      <c r="AI784" s="1"/>
      <c r="AL784" s="1"/>
      <c r="AN784" s="1"/>
      <c r="AO784" s="1"/>
      <c r="AP784" s="1"/>
      <c r="AQ784" s="1"/>
      <c r="AR784" s="1"/>
      <c r="AS784" s="1"/>
      <c r="AT784" s="1"/>
      <c r="AU784" s="1"/>
      <c r="AV784" s="1"/>
    </row>
    <row r="785" spans="2:48" x14ac:dyDescent="0.3">
      <c r="B785" s="1" t="s">
        <v>1384</v>
      </c>
      <c r="H785" s="1" t="s">
        <v>738</v>
      </c>
      <c r="I785" s="1"/>
      <c r="J785" s="1"/>
      <c r="K785" s="1"/>
      <c r="L785" s="1"/>
      <c r="M785" s="1"/>
      <c r="N785" s="1"/>
      <c r="O785" s="1"/>
      <c r="P785" s="1"/>
      <c r="Q785" s="1"/>
      <c r="R785" s="1"/>
      <c r="T785" s="1"/>
      <c r="U785" s="1"/>
      <c r="V785" s="1"/>
      <c r="W785" s="1"/>
      <c r="X785" s="1"/>
      <c r="Y785" s="1"/>
      <c r="Z785" s="1"/>
      <c r="AB785" s="1"/>
      <c r="AC785" s="1"/>
      <c r="AD785" s="1"/>
      <c r="AE785" s="1"/>
      <c r="AF785" s="1"/>
      <c r="AG785" s="1"/>
      <c r="AH785" s="1"/>
      <c r="AI785" s="1"/>
      <c r="AL785" s="1"/>
      <c r="AN785" s="1"/>
      <c r="AO785" s="1"/>
      <c r="AP785" s="1"/>
      <c r="AQ785" s="1"/>
      <c r="AR785" s="1"/>
      <c r="AS785" s="1"/>
      <c r="AT785" s="1"/>
      <c r="AU785" s="1"/>
      <c r="AV785" s="1"/>
    </row>
    <row r="786" spans="2:48" x14ac:dyDescent="0.3">
      <c r="B786" s="1" t="s">
        <v>1385</v>
      </c>
      <c r="H786" s="1" t="s">
        <v>738</v>
      </c>
      <c r="I786" s="1"/>
      <c r="J786" s="1"/>
      <c r="K786" s="1"/>
      <c r="L786" s="1"/>
      <c r="M786" s="1"/>
      <c r="N786" s="1"/>
      <c r="O786" s="1"/>
      <c r="P786" s="1"/>
      <c r="Q786" s="1"/>
      <c r="R786" s="1"/>
      <c r="T786" s="1"/>
      <c r="U786" s="1"/>
      <c r="V786" s="1"/>
      <c r="W786" s="1"/>
      <c r="X786" s="1"/>
      <c r="Y786" s="1"/>
      <c r="Z786" s="1"/>
      <c r="AB786" s="1"/>
      <c r="AC786" s="1"/>
      <c r="AD786" s="1"/>
      <c r="AE786" s="1"/>
      <c r="AF786" s="1"/>
      <c r="AG786" s="1"/>
      <c r="AH786" s="1"/>
      <c r="AI786" s="1"/>
      <c r="AL786" s="1"/>
      <c r="AN786" s="1"/>
      <c r="AO786" s="1"/>
      <c r="AP786" s="1"/>
      <c r="AQ786" s="1"/>
      <c r="AR786" s="1"/>
      <c r="AS786" s="1"/>
      <c r="AT786" s="1"/>
      <c r="AU786" s="1"/>
      <c r="AV786" s="1"/>
    </row>
    <row r="787" spans="2:48" x14ac:dyDescent="0.3">
      <c r="B787" s="1" t="s">
        <v>1386</v>
      </c>
      <c r="H787" s="1" t="s">
        <v>738</v>
      </c>
      <c r="I787" s="1"/>
      <c r="J787" s="1"/>
      <c r="K787" s="1"/>
      <c r="L787" s="1"/>
      <c r="M787" s="1"/>
      <c r="N787" s="1"/>
      <c r="O787" s="1"/>
      <c r="P787" s="1"/>
      <c r="Q787" s="1"/>
      <c r="R787" s="1"/>
      <c r="T787" s="1"/>
      <c r="U787" s="1"/>
      <c r="V787" s="1"/>
      <c r="W787" s="1"/>
      <c r="X787" s="1"/>
      <c r="Y787" s="1"/>
      <c r="Z787" s="1"/>
      <c r="AB787" s="1"/>
      <c r="AC787" s="1"/>
      <c r="AD787" s="1"/>
      <c r="AE787" s="1"/>
      <c r="AF787" s="1"/>
      <c r="AG787" s="1"/>
      <c r="AH787" s="1"/>
      <c r="AI787" s="1"/>
      <c r="AL787" s="1"/>
      <c r="AN787" s="1"/>
      <c r="AO787" s="1"/>
      <c r="AP787" s="1"/>
      <c r="AQ787" s="1"/>
      <c r="AR787" s="1"/>
      <c r="AS787" s="1"/>
      <c r="AT787" s="1"/>
      <c r="AU787" s="1"/>
      <c r="AV787" s="1"/>
    </row>
    <row r="788" spans="2:48" x14ac:dyDescent="0.3">
      <c r="B788" s="1" t="s">
        <v>1387</v>
      </c>
      <c r="H788" s="1" t="s">
        <v>738</v>
      </c>
      <c r="I788" s="1"/>
      <c r="J788" s="1"/>
      <c r="K788" s="1"/>
      <c r="L788" s="1"/>
      <c r="M788" s="1"/>
      <c r="N788" s="1"/>
      <c r="O788" s="1"/>
      <c r="P788" s="1"/>
      <c r="Q788" s="1"/>
      <c r="R788" s="1"/>
      <c r="T788" s="1"/>
      <c r="U788" s="1"/>
      <c r="V788" s="1"/>
      <c r="W788" s="1"/>
      <c r="X788" s="1"/>
      <c r="Y788" s="1"/>
      <c r="Z788" s="1"/>
      <c r="AB788" s="1"/>
      <c r="AC788" s="1"/>
      <c r="AD788" s="1"/>
      <c r="AE788" s="1"/>
      <c r="AF788" s="1"/>
      <c r="AG788" s="1"/>
      <c r="AH788" s="1"/>
      <c r="AI788" s="1"/>
      <c r="AL788" s="1"/>
      <c r="AN788" s="1"/>
      <c r="AO788" s="1"/>
      <c r="AP788" s="1"/>
      <c r="AQ788" s="1"/>
      <c r="AR788" s="1"/>
      <c r="AS788" s="1"/>
      <c r="AT788" s="1"/>
      <c r="AU788" s="1"/>
      <c r="AV788" s="1"/>
    </row>
    <row r="789" spans="2:48" x14ac:dyDescent="0.3">
      <c r="B789" s="1" t="s">
        <v>1388</v>
      </c>
      <c r="H789" s="1" t="s">
        <v>738</v>
      </c>
      <c r="I789" s="1"/>
      <c r="J789" s="1"/>
      <c r="K789" s="1"/>
      <c r="L789" s="1"/>
      <c r="M789" s="1"/>
      <c r="N789" s="1"/>
      <c r="O789" s="1"/>
      <c r="P789" s="1"/>
      <c r="Q789" s="1"/>
      <c r="R789" s="1"/>
      <c r="T789" s="1"/>
      <c r="U789" s="1"/>
      <c r="V789" s="1"/>
      <c r="W789" s="1"/>
      <c r="X789" s="1"/>
      <c r="Y789" s="1"/>
      <c r="Z789" s="1"/>
      <c r="AB789" s="1"/>
      <c r="AC789" s="1"/>
      <c r="AD789" s="1"/>
      <c r="AE789" s="1"/>
      <c r="AF789" s="1"/>
      <c r="AG789" s="1"/>
      <c r="AH789" s="1"/>
      <c r="AI789" s="1"/>
      <c r="AL789" s="1"/>
      <c r="AN789" s="1"/>
      <c r="AO789" s="1"/>
      <c r="AP789" s="1"/>
      <c r="AQ789" s="1"/>
      <c r="AR789" s="1"/>
      <c r="AS789" s="1"/>
      <c r="AT789" s="1"/>
      <c r="AU789" s="1"/>
      <c r="AV789" s="1"/>
    </row>
    <row r="790" spans="2:48" x14ac:dyDescent="0.3">
      <c r="B790" s="1" t="s">
        <v>1389</v>
      </c>
      <c r="H790" s="1" t="s">
        <v>738</v>
      </c>
      <c r="I790" s="1"/>
      <c r="J790" s="1"/>
      <c r="K790" s="1"/>
      <c r="L790" s="1"/>
      <c r="M790" s="1"/>
      <c r="N790" s="1"/>
      <c r="O790" s="1"/>
      <c r="P790" s="1"/>
      <c r="Q790" s="1"/>
      <c r="R790" s="1"/>
      <c r="T790" s="1"/>
      <c r="U790" s="1"/>
      <c r="V790" s="1"/>
      <c r="W790" s="1"/>
      <c r="X790" s="1"/>
      <c r="Y790" s="1"/>
      <c r="Z790" s="1"/>
      <c r="AB790" s="1"/>
      <c r="AC790" s="1"/>
      <c r="AD790" s="1"/>
      <c r="AE790" s="1"/>
      <c r="AF790" s="1"/>
      <c r="AG790" s="1"/>
      <c r="AH790" s="1"/>
      <c r="AI790" s="1"/>
      <c r="AL790" s="1"/>
      <c r="AN790" s="1"/>
      <c r="AO790" s="1"/>
      <c r="AP790" s="1"/>
      <c r="AQ790" s="1"/>
      <c r="AR790" s="1"/>
      <c r="AS790" s="1"/>
      <c r="AT790" s="1"/>
      <c r="AU790" s="1"/>
      <c r="AV790" s="1"/>
    </row>
    <row r="791" spans="2:48" x14ac:dyDescent="0.3">
      <c r="B791" s="1" t="s">
        <v>1390</v>
      </c>
      <c r="H791" s="1" t="s">
        <v>738</v>
      </c>
      <c r="I791" s="1"/>
      <c r="J791" s="1"/>
      <c r="K791" s="1"/>
      <c r="L791" s="1"/>
      <c r="M791" s="1"/>
      <c r="N791" s="1"/>
      <c r="O791" s="1"/>
      <c r="P791" s="1"/>
      <c r="Q791" s="1"/>
      <c r="R791" s="1"/>
      <c r="T791" s="1"/>
      <c r="U791" s="1"/>
      <c r="V791" s="1"/>
      <c r="W791" s="1"/>
      <c r="X791" s="1"/>
      <c r="Y791" s="1"/>
      <c r="Z791" s="1"/>
      <c r="AB791" s="1"/>
      <c r="AC791" s="1"/>
      <c r="AD791" s="1"/>
      <c r="AE791" s="1"/>
      <c r="AF791" s="1"/>
      <c r="AG791" s="1"/>
      <c r="AH791" s="1"/>
      <c r="AI791" s="1"/>
      <c r="AL791" s="1"/>
      <c r="AN791" s="1"/>
      <c r="AO791" s="1"/>
      <c r="AP791" s="1"/>
      <c r="AQ791" s="1"/>
      <c r="AR791" s="1"/>
      <c r="AS791" s="1"/>
      <c r="AT791" s="1"/>
      <c r="AU791" s="1"/>
      <c r="AV791" s="1"/>
    </row>
    <row r="792" spans="2:48" x14ac:dyDescent="0.3">
      <c r="B792" s="1" t="s">
        <v>1391</v>
      </c>
      <c r="H792" s="1" t="s">
        <v>738</v>
      </c>
      <c r="I792" s="1"/>
      <c r="J792" s="1"/>
      <c r="K792" s="1"/>
      <c r="L792" s="1"/>
      <c r="M792" s="1"/>
      <c r="N792" s="1"/>
      <c r="O792" s="1"/>
      <c r="P792" s="1"/>
      <c r="Q792" s="1"/>
      <c r="R792" s="1"/>
      <c r="T792" s="1"/>
      <c r="U792" s="1"/>
      <c r="V792" s="1"/>
      <c r="W792" s="1"/>
      <c r="X792" s="1"/>
      <c r="Y792" s="1"/>
      <c r="Z792" s="1"/>
      <c r="AB792" s="1"/>
      <c r="AC792" s="1"/>
      <c r="AD792" s="1"/>
      <c r="AE792" s="1"/>
      <c r="AF792" s="1"/>
      <c r="AG792" s="1"/>
      <c r="AH792" s="1"/>
      <c r="AI792" s="1"/>
      <c r="AL792" s="1"/>
      <c r="AN792" s="1"/>
      <c r="AO792" s="1"/>
      <c r="AP792" s="1"/>
      <c r="AQ792" s="1"/>
      <c r="AR792" s="1"/>
      <c r="AS792" s="1"/>
      <c r="AT792" s="1"/>
      <c r="AU792" s="1"/>
      <c r="AV792" s="1"/>
    </row>
    <row r="793" spans="2:48" x14ac:dyDescent="0.3">
      <c r="B793" s="1" t="s">
        <v>1392</v>
      </c>
      <c r="H793" s="1" t="s">
        <v>738</v>
      </c>
      <c r="I793" s="1"/>
      <c r="J793" s="1"/>
      <c r="K793" s="1"/>
      <c r="L793" s="1"/>
      <c r="M793" s="1"/>
      <c r="N793" s="1"/>
      <c r="O793" s="1"/>
      <c r="P793" s="1"/>
      <c r="Q793" s="1"/>
      <c r="R793" s="1"/>
      <c r="T793" s="1"/>
      <c r="U793" s="1"/>
      <c r="V793" s="1"/>
      <c r="W793" s="1"/>
      <c r="X793" s="1"/>
      <c r="Y793" s="1"/>
      <c r="Z793" s="1"/>
      <c r="AB793" s="1"/>
      <c r="AC793" s="1"/>
      <c r="AD793" s="1"/>
      <c r="AE793" s="1"/>
      <c r="AF793" s="1"/>
      <c r="AG793" s="1"/>
      <c r="AH793" s="1"/>
      <c r="AI793" s="1"/>
      <c r="AL793" s="1"/>
      <c r="AN793" s="1"/>
      <c r="AO793" s="1"/>
      <c r="AP793" s="1"/>
      <c r="AQ793" s="1"/>
      <c r="AR793" s="1"/>
      <c r="AS793" s="1"/>
      <c r="AT793" s="1"/>
      <c r="AU793" s="1"/>
      <c r="AV793" s="1"/>
    </row>
    <row r="794" spans="2:48" x14ac:dyDescent="0.3">
      <c r="B794" s="1" t="s">
        <v>1393</v>
      </c>
      <c r="H794" s="1" t="s">
        <v>738</v>
      </c>
      <c r="I794" s="1"/>
      <c r="J794" s="1"/>
      <c r="K794" s="1"/>
      <c r="L794" s="1"/>
      <c r="M794" s="1"/>
      <c r="N794" s="1"/>
      <c r="O794" s="1"/>
      <c r="P794" s="1"/>
      <c r="Q794" s="1"/>
      <c r="R794" s="1"/>
      <c r="T794" s="1"/>
      <c r="U794" s="1"/>
      <c r="V794" s="1"/>
      <c r="W794" s="1"/>
      <c r="X794" s="1"/>
      <c r="Y794" s="1"/>
      <c r="Z794" s="1"/>
      <c r="AB794" s="1"/>
      <c r="AC794" s="1"/>
      <c r="AD794" s="1"/>
      <c r="AE794" s="1"/>
      <c r="AF794" s="1"/>
      <c r="AG794" s="1"/>
      <c r="AH794" s="1"/>
      <c r="AI794" s="1"/>
      <c r="AL794" s="1"/>
      <c r="AN794" s="1"/>
      <c r="AO794" s="1"/>
      <c r="AP794" s="1"/>
      <c r="AQ794" s="1"/>
      <c r="AR794" s="1"/>
      <c r="AS794" s="1"/>
      <c r="AT794" s="1"/>
      <c r="AU794" s="1"/>
      <c r="AV794" s="1"/>
    </row>
    <row r="795" spans="2:48" x14ac:dyDescent="0.3">
      <c r="B795" s="1" t="s">
        <v>1394</v>
      </c>
      <c r="H795" s="1" t="s">
        <v>738</v>
      </c>
      <c r="I795" s="1"/>
      <c r="J795" s="1"/>
      <c r="K795" s="1"/>
      <c r="L795" s="1"/>
      <c r="M795" s="1"/>
      <c r="N795" s="1"/>
      <c r="O795" s="1"/>
      <c r="P795" s="1"/>
      <c r="Q795" s="1"/>
      <c r="R795" s="1"/>
      <c r="T795" s="1"/>
      <c r="U795" s="1"/>
      <c r="V795" s="1"/>
      <c r="W795" s="1"/>
      <c r="X795" s="1"/>
      <c r="Y795" s="1"/>
      <c r="Z795" s="1"/>
      <c r="AB795" s="1"/>
      <c r="AC795" s="1"/>
      <c r="AD795" s="1"/>
      <c r="AE795" s="1"/>
      <c r="AF795" s="1"/>
      <c r="AG795" s="1"/>
      <c r="AH795" s="1"/>
      <c r="AI795" s="1"/>
      <c r="AL795" s="1"/>
      <c r="AN795" s="1"/>
      <c r="AO795" s="1"/>
      <c r="AP795" s="1"/>
      <c r="AQ795" s="1"/>
      <c r="AR795" s="1"/>
      <c r="AS795" s="1"/>
      <c r="AT795" s="1"/>
      <c r="AU795" s="1"/>
      <c r="AV795" s="1"/>
    </row>
    <row r="796" spans="2:48" x14ac:dyDescent="0.3">
      <c r="B796" s="1" t="s">
        <v>1395</v>
      </c>
      <c r="H796" s="1" t="s">
        <v>738</v>
      </c>
      <c r="I796" s="1"/>
      <c r="J796" s="1"/>
      <c r="K796" s="1"/>
      <c r="L796" s="1"/>
      <c r="M796" s="1"/>
      <c r="N796" s="1"/>
      <c r="O796" s="1"/>
      <c r="P796" s="1"/>
      <c r="Q796" s="1"/>
      <c r="R796" s="1"/>
      <c r="T796" s="1"/>
      <c r="U796" s="1"/>
      <c r="V796" s="1"/>
      <c r="W796" s="1"/>
      <c r="X796" s="1"/>
      <c r="Y796" s="1"/>
      <c r="Z796" s="1"/>
      <c r="AB796" s="1"/>
      <c r="AC796" s="1"/>
      <c r="AD796" s="1"/>
      <c r="AE796" s="1"/>
      <c r="AF796" s="1"/>
      <c r="AG796" s="1"/>
      <c r="AH796" s="1"/>
      <c r="AI796" s="1"/>
      <c r="AL796" s="1"/>
      <c r="AN796" s="1"/>
      <c r="AO796" s="1"/>
      <c r="AP796" s="1"/>
      <c r="AQ796" s="1"/>
      <c r="AR796" s="1"/>
      <c r="AS796" s="1"/>
      <c r="AT796" s="1"/>
      <c r="AU796" s="1"/>
      <c r="AV796" s="1"/>
    </row>
    <row r="797" spans="2:48" x14ac:dyDescent="0.3">
      <c r="B797" s="1" t="s">
        <v>1396</v>
      </c>
      <c r="H797" s="1" t="s">
        <v>738</v>
      </c>
      <c r="I797" s="1"/>
      <c r="J797" s="1"/>
      <c r="K797" s="1"/>
      <c r="L797" s="1"/>
      <c r="M797" s="1"/>
      <c r="N797" s="1"/>
      <c r="O797" s="1"/>
      <c r="P797" s="1"/>
      <c r="Q797" s="1"/>
      <c r="R797" s="1"/>
      <c r="T797" s="1"/>
      <c r="U797" s="1"/>
      <c r="V797" s="1"/>
      <c r="W797" s="1"/>
      <c r="X797" s="1"/>
      <c r="Y797" s="1"/>
      <c r="Z797" s="1"/>
      <c r="AB797" s="1"/>
      <c r="AC797" s="1"/>
      <c r="AD797" s="1"/>
      <c r="AE797" s="1"/>
      <c r="AF797" s="1"/>
      <c r="AG797" s="1"/>
      <c r="AH797" s="1"/>
      <c r="AI797" s="1"/>
      <c r="AL797" s="1"/>
      <c r="AN797" s="1"/>
      <c r="AO797" s="1"/>
      <c r="AP797" s="1"/>
      <c r="AQ797" s="1"/>
      <c r="AR797" s="1"/>
      <c r="AS797" s="1"/>
      <c r="AT797" s="1"/>
      <c r="AU797" s="1"/>
      <c r="AV797" s="1"/>
    </row>
    <row r="798" spans="2:48" x14ac:dyDescent="0.3">
      <c r="B798" s="1" t="s">
        <v>1397</v>
      </c>
      <c r="H798" s="1" t="s">
        <v>738</v>
      </c>
      <c r="I798" s="1"/>
      <c r="J798" s="1"/>
      <c r="K798" s="1"/>
      <c r="L798" s="1"/>
      <c r="M798" s="1"/>
      <c r="N798" s="1"/>
      <c r="O798" s="1"/>
      <c r="P798" s="1"/>
      <c r="Q798" s="1"/>
      <c r="R798" s="1"/>
      <c r="T798" s="1"/>
      <c r="U798" s="1"/>
      <c r="V798" s="1"/>
      <c r="W798" s="1"/>
      <c r="X798" s="1"/>
      <c r="Y798" s="1"/>
      <c r="Z798" s="1"/>
      <c r="AB798" s="1"/>
      <c r="AC798" s="1"/>
      <c r="AD798" s="1"/>
      <c r="AE798" s="1"/>
      <c r="AF798" s="1"/>
      <c r="AG798" s="1"/>
      <c r="AH798" s="1"/>
      <c r="AI798" s="1"/>
      <c r="AL798" s="1"/>
      <c r="AN798" s="1"/>
      <c r="AO798" s="1"/>
      <c r="AP798" s="1"/>
      <c r="AQ798" s="1"/>
      <c r="AR798" s="1"/>
      <c r="AS798" s="1"/>
      <c r="AT798" s="1"/>
      <c r="AU798" s="1"/>
      <c r="AV798" s="1"/>
    </row>
    <row r="799" spans="2:48" x14ac:dyDescent="0.3">
      <c r="B799" s="1" t="s">
        <v>1398</v>
      </c>
      <c r="H799" s="1" t="s">
        <v>738</v>
      </c>
      <c r="I799" s="1"/>
      <c r="J799" s="1"/>
      <c r="K799" s="1"/>
      <c r="L799" s="1"/>
      <c r="M799" s="1"/>
      <c r="N799" s="1"/>
      <c r="O799" s="1"/>
      <c r="P799" s="1"/>
      <c r="Q799" s="1"/>
      <c r="R799" s="1"/>
      <c r="T799" s="1"/>
      <c r="U799" s="1"/>
      <c r="V799" s="1"/>
      <c r="W799" s="1"/>
      <c r="X799" s="1"/>
      <c r="Y799" s="1"/>
      <c r="Z799" s="1"/>
      <c r="AB799" s="1"/>
      <c r="AC799" s="1"/>
      <c r="AD799" s="1"/>
      <c r="AE799" s="1"/>
      <c r="AF799" s="1"/>
      <c r="AG799" s="1"/>
      <c r="AH799" s="1"/>
      <c r="AI799" s="1"/>
      <c r="AL799" s="1"/>
      <c r="AN799" s="1"/>
      <c r="AO799" s="1"/>
      <c r="AP799" s="1"/>
      <c r="AQ799" s="1"/>
      <c r="AR799" s="1"/>
      <c r="AS799" s="1"/>
      <c r="AT799" s="1"/>
      <c r="AU799" s="1"/>
      <c r="AV799" s="1"/>
    </row>
    <row r="800" spans="2:48" x14ac:dyDescent="0.3">
      <c r="B800" s="1" t="s">
        <v>1399</v>
      </c>
      <c r="H800" s="1" t="s">
        <v>738</v>
      </c>
      <c r="I800" s="1"/>
      <c r="J800" s="1"/>
      <c r="K800" s="1"/>
      <c r="L800" s="1"/>
      <c r="M800" s="1"/>
      <c r="N800" s="1"/>
      <c r="O800" s="1"/>
      <c r="P800" s="1"/>
      <c r="Q800" s="1"/>
      <c r="R800" s="1"/>
      <c r="T800" s="1"/>
      <c r="U800" s="1"/>
      <c r="V800" s="1"/>
      <c r="W800" s="1"/>
      <c r="X800" s="1"/>
      <c r="Y800" s="1"/>
      <c r="Z800" s="1"/>
      <c r="AB800" s="1"/>
      <c r="AC800" s="1"/>
      <c r="AD800" s="1"/>
      <c r="AE800" s="1"/>
      <c r="AF800" s="1"/>
      <c r="AG800" s="1"/>
      <c r="AH800" s="1"/>
      <c r="AI800" s="1"/>
      <c r="AL800" s="1"/>
      <c r="AN800" s="1"/>
      <c r="AO800" s="1"/>
      <c r="AP800" s="1"/>
      <c r="AQ800" s="1"/>
      <c r="AR800" s="1"/>
      <c r="AS800" s="1"/>
      <c r="AT800" s="1"/>
      <c r="AU800" s="1"/>
      <c r="AV800" s="1"/>
    </row>
    <row r="801" spans="2:48" x14ac:dyDescent="0.3">
      <c r="B801" s="1" t="s">
        <v>1400</v>
      </c>
      <c r="H801" s="1" t="s">
        <v>738</v>
      </c>
      <c r="I801" s="1"/>
      <c r="J801" s="1"/>
      <c r="K801" s="1"/>
      <c r="L801" s="1"/>
      <c r="M801" s="1"/>
      <c r="N801" s="1"/>
      <c r="O801" s="1"/>
      <c r="P801" s="1"/>
      <c r="Q801" s="1"/>
      <c r="R801" s="1"/>
      <c r="T801" s="1"/>
      <c r="U801" s="1"/>
      <c r="V801" s="1"/>
      <c r="W801" s="1"/>
      <c r="X801" s="1"/>
      <c r="Y801" s="1"/>
      <c r="Z801" s="1"/>
      <c r="AB801" s="1"/>
      <c r="AC801" s="1"/>
      <c r="AD801" s="1"/>
      <c r="AE801" s="1"/>
      <c r="AF801" s="1"/>
      <c r="AG801" s="1"/>
      <c r="AH801" s="1"/>
      <c r="AI801" s="1"/>
      <c r="AL801" s="1"/>
      <c r="AN801" s="1"/>
      <c r="AO801" s="1"/>
      <c r="AP801" s="1"/>
      <c r="AQ801" s="1"/>
      <c r="AR801" s="1"/>
      <c r="AS801" s="1"/>
      <c r="AT801" s="1"/>
      <c r="AU801" s="1"/>
      <c r="AV801" s="1"/>
    </row>
    <row r="802" spans="2:48" x14ac:dyDescent="0.3">
      <c r="B802" s="1" t="s">
        <v>1401</v>
      </c>
      <c r="H802" s="1" t="s">
        <v>738</v>
      </c>
      <c r="I802" s="1"/>
      <c r="J802" s="1"/>
      <c r="K802" s="1"/>
      <c r="L802" s="1"/>
      <c r="M802" s="1"/>
      <c r="N802" s="1"/>
      <c r="O802" s="1"/>
      <c r="P802" s="1"/>
      <c r="Q802" s="1"/>
      <c r="R802" s="1"/>
      <c r="T802" s="1"/>
      <c r="U802" s="1"/>
      <c r="V802" s="1"/>
      <c r="W802" s="1"/>
      <c r="X802" s="1"/>
      <c r="Y802" s="1"/>
      <c r="Z802" s="1"/>
      <c r="AB802" s="1"/>
      <c r="AC802" s="1"/>
      <c r="AD802" s="1"/>
      <c r="AE802" s="1"/>
      <c r="AF802" s="1"/>
      <c r="AG802" s="1"/>
      <c r="AH802" s="1"/>
      <c r="AI802" s="1"/>
      <c r="AL802" s="1"/>
      <c r="AN802" s="1"/>
      <c r="AO802" s="1"/>
      <c r="AP802" s="1"/>
      <c r="AQ802" s="1"/>
      <c r="AR802" s="1"/>
      <c r="AS802" s="1"/>
      <c r="AT802" s="1"/>
      <c r="AU802" s="1"/>
      <c r="AV802" s="1"/>
    </row>
    <row r="803" spans="2:48" x14ac:dyDescent="0.3">
      <c r="B803" s="1" t="s">
        <v>1402</v>
      </c>
      <c r="H803" s="1" t="s">
        <v>738</v>
      </c>
      <c r="I803" s="1"/>
      <c r="J803" s="1"/>
      <c r="K803" s="1"/>
      <c r="L803" s="1"/>
      <c r="M803" s="1"/>
      <c r="N803" s="1"/>
      <c r="O803" s="1"/>
      <c r="P803" s="1"/>
      <c r="Q803" s="1"/>
      <c r="R803" s="1"/>
      <c r="T803" s="1"/>
      <c r="U803" s="1"/>
      <c r="V803" s="1"/>
      <c r="W803" s="1"/>
      <c r="X803" s="1"/>
      <c r="Y803" s="1"/>
      <c r="Z803" s="1"/>
      <c r="AB803" s="1"/>
      <c r="AC803" s="1"/>
      <c r="AD803" s="1"/>
      <c r="AE803" s="1"/>
      <c r="AF803" s="1"/>
      <c r="AG803" s="1"/>
      <c r="AH803" s="1"/>
      <c r="AI803" s="1"/>
      <c r="AL803" s="1"/>
      <c r="AN803" s="1"/>
      <c r="AO803" s="1"/>
      <c r="AP803" s="1"/>
      <c r="AQ803" s="1"/>
      <c r="AR803" s="1"/>
      <c r="AS803" s="1"/>
      <c r="AT803" s="1"/>
      <c r="AU803" s="1"/>
      <c r="AV803" s="1"/>
    </row>
    <row r="804" spans="2:48" x14ac:dyDescent="0.3">
      <c r="B804" s="1" t="s">
        <v>1403</v>
      </c>
      <c r="H804" s="1" t="s">
        <v>738</v>
      </c>
      <c r="I804" s="1"/>
      <c r="J804" s="1"/>
      <c r="K804" s="1"/>
      <c r="L804" s="1"/>
      <c r="M804" s="1"/>
      <c r="N804" s="1"/>
      <c r="O804" s="1"/>
      <c r="P804" s="1"/>
      <c r="Q804" s="1"/>
      <c r="R804" s="1"/>
      <c r="T804" s="1"/>
      <c r="U804" s="1"/>
      <c r="V804" s="1"/>
      <c r="W804" s="1"/>
      <c r="X804" s="1"/>
      <c r="Y804" s="1"/>
      <c r="Z804" s="1"/>
      <c r="AB804" s="1"/>
      <c r="AC804" s="1"/>
      <c r="AD804" s="1"/>
      <c r="AE804" s="1"/>
      <c r="AF804" s="1"/>
      <c r="AG804" s="1"/>
      <c r="AH804" s="1"/>
      <c r="AI804" s="1"/>
      <c r="AL804" s="1"/>
      <c r="AN804" s="1"/>
      <c r="AO804" s="1"/>
      <c r="AP804" s="1"/>
      <c r="AQ804" s="1"/>
      <c r="AR804" s="1"/>
      <c r="AS804" s="1"/>
      <c r="AT804" s="1"/>
      <c r="AU804" s="1"/>
      <c r="AV804" s="1"/>
    </row>
    <row r="805" spans="2:48" x14ac:dyDescent="0.3">
      <c r="B805" s="1" t="s">
        <v>1404</v>
      </c>
      <c r="H805" s="1" t="s">
        <v>738</v>
      </c>
      <c r="I805" s="1"/>
      <c r="J805" s="1"/>
      <c r="K805" s="1"/>
      <c r="L805" s="1"/>
      <c r="M805" s="1"/>
      <c r="N805" s="1"/>
      <c r="O805" s="1"/>
      <c r="P805" s="1"/>
      <c r="Q805" s="1"/>
      <c r="R805" s="1"/>
      <c r="T805" s="1"/>
      <c r="U805" s="1"/>
      <c r="V805" s="1"/>
      <c r="W805" s="1"/>
      <c r="X805" s="1"/>
      <c r="Y805" s="1"/>
      <c r="Z805" s="1"/>
      <c r="AB805" s="1"/>
      <c r="AC805" s="1"/>
      <c r="AD805" s="1"/>
      <c r="AE805" s="1"/>
      <c r="AF805" s="1"/>
      <c r="AG805" s="1"/>
      <c r="AH805" s="1"/>
      <c r="AI805" s="1"/>
      <c r="AL805" s="1"/>
      <c r="AN805" s="1"/>
      <c r="AO805" s="1"/>
      <c r="AP805" s="1"/>
      <c r="AQ805" s="1"/>
      <c r="AR805" s="1"/>
      <c r="AS805" s="1"/>
      <c r="AT805" s="1"/>
      <c r="AU805" s="1"/>
      <c r="AV805" s="1"/>
    </row>
    <row r="806" spans="2:48" x14ac:dyDescent="0.3">
      <c r="B806" s="1" t="s">
        <v>1405</v>
      </c>
      <c r="H806" s="1" t="s">
        <v>738</v>
      </c>
      <c r="I806" s="1"/>
      <c r="J806" s="1"/>
      <c r="K806" s="1"/>
      <c r="L806" s="1"/>
      <c r="M806" s="1"/>
      <c r="N806" s="1"/>
      <c r="O806" s="1"/>
      <c r="P806" s="1"/>
      <c r="Q806" s="1"/>
      <c r="R806" s="1"/>
      <c r="T806" s="1"/>
      <c r="U806" s="1"/>
      <c r="V806" s="1"/>
      <c r="W806" s="1"/>
      <c r="X806" s="1"/>
      <c r="Y806" s="1"/>
      <c r="Z806" s="1"/>
      <c r="AB806" s="1"/>
      <c r="AC806" s="1"/>
      <c r="AD806" s="1"/>
      <c r="AE806" s="1"/>
      <c r="AF806" s="1"/>
      <c r="AG806" s="1"/>
      <c r="AH806" s="1"/>
      <c r="AI806" s="1"/>
      <c r="AL806" s="1"/>
      <c r="AN806" s="1"/>
      <c r="AO806" s="1"/>
      <c r="AP806" s="1"/>
      <c r="AQ806" s="1"/>
      <c r="AR806" s="1"/>
      <c r="AS806" s="1"/>
      <c r="AT806" s="1"/>
      <c r="AU806" s="1"/>
      <c r="AV806" s="1"/>
    </row>
    <row r="807" spans="2:48" x14ac:dyDescent="0.3">
      <c r="B807" s="1" t="s">
        <v>1406</v>
      </c>
      <c r="H807" s="1" t="s">
        <v>738</v>
      </c>
      <c r="I807" s="1"/>
      <c r="J807" s="1"/>
      <c r="K807" s="1"/>
      <c r="L807" s="1"/>
      <c r="M807" s="1"/>
      <c r="N807" s="1"/>
      <c r="O807" s="1"/>
      <c r="P807" s="1"/>
      <c r="Q807" s="1"/>
      <c r="R807" s="1"/>
      <c r="T807" s="1"/>
      <c r="U807" s="1"/>
      <c r="V807" s="1"/>
      <c r="W807" s="1"/>
      <c r="X807" s="1"/>
      <c r="Y807" s="1"/>
      <c r="Z807" s="1"/>
      <c r="AB807" s="1"/>
      <c r="AC807" s="1"/>
      <c r="AD807" s="1"/>
      <c r="AE807" s="1"/>
      <c r="AF807" s="1"/>
      <c r="AG807" s="1"/>
      <c r="AH807" s="1"/>
      <c r="AI807" s="1"/>
      <c r="AL807" s="1"/>
      <c r="AN807" s="1"/>
      <c r="AO807" s="1"/>
      <c r="AP807" s="1"/>
      <c r="AQ807" s="1"/>
      <c r="AR807" s="1"/>
      <c r="AS807" s="1"/>
      <c r="AT807" s="1"/>
      <c r="AU807" s="1"/>
      <c r="AV807" s="1"/>
    </row>
    <row r="808" spans="2:48" x14ac:dyDescent="0.3">
      <c r="B808" s="1" t="s">
        <v>1407</v>
      </c>
      <c r="H808" s="1" t="s">
        <v>738</v>
      </c>
      <c r="I808" s="1"/>
      <c r="J808" s="1"/>
      <c r="K808" s="1"/>
      <c r="L808" s="1"/>
      <c r="M808" s="1"/>
      <c r="N808" s="1"/>
      <c r="O808" s="1"/>
      <c r="P808" s="1"/>
      <c r="Q808" s="1"/>
      <c r="R808" s="1"/>
      <c r="T808" s="1"/>
      <c r="U808" s="1"/>
      <c r="V808" s="1"/>
      <c r="W808" s="1"/>
      <c r="X808" s="1"/>
      <c r="Y808" s="1"/>
      <c r="Z808" s="1"/>
      <c r="AB808" s="1"/>
      <c r="AC808" s="1"/>
      <c r="AD808" s="1"/>
      <c r="AE808" s="1"/>
      <c r="AF808" s="1"/>
      <c r="AG808" s="1"/>
      <c r="AH808" s="1"/>
      <c r="AI808" s="1"/>
      <c r="AL808" s="1"/>
      <c r="AN808" s="1"/>
      <c r="AO808" s="1"/>
      <c r="AP808" s="1"/>
      <c r="AQ808" s="1"/>
      <c r="AR808" s="1"/>
      <c r="AS808" s="1"/>
      <c r="AT808" s="1"/>
      <c r="AU808" s="1"/>
      <c r="AV808" s="1"/>
    </row>
    <row r="809" spans="2:48" x14ac:dyDescent="0.3">
      <c r="B809" s="1" t="s">
        <v>1408</v>
      </c>
      <c r="H809" s="1" t="s">
        <v>738</v>
      </c>
      <c r="I809" s="1"/>
      <c r="J809" s="1"/>
      <c r="K809" s="1"/>
      <c r="L809" s="1"/>
      <c r="M809" s="1"/>
      <c r="N809" s="1"/>
      <c r="O809" s="1"/>
      <c r="P809" s="1"/>
      <c r="Q809" s="1"/>
      <c r="R809" s="1"/>
      <c r="T809" s="1"/>
      <c r="U809" s="1"/>
      <c r="V809" s="1"/>
      <c r="W809" s="1"/>
      <c r="X809" s="1"/>
      <c r="Y809" s="1"/>
      <c r="Z809" s="1"/>
      <c r="AB809" s="1"/>
      <c r="AC809" s="1"/>
      <c r="AD809" s="1"/>
      <c r="AE809" s="1"/>
      <c r="AF809" s="1"/>
      <c r="AG809" s="1"/>
      <c r="AH809" s="1"/>
      <c r="AI809" s="1"/>
      <c r="AL809" s="1"/>
      <c r="AN809" s="1"/>
      <c r="AO809" s="1"/>
      <c r="AP809" s="1"/>
      <c r="AQ809" s="1"/>
      <c r="AR809" s="1"/>
      <c r="AS809" s="1"/>
      <c r="AT809" s="1"/>
      <c r="AU809" s="1"/>
      <c r="AV809" s="1"/>
    </row>
    <row r="810" spans="2:48" x14ac:dyDescent="0.3">
      <c r="B810" s="1" t="s">
        <v>1409</v>
      </c>
      <c r="H810" s="1" t="s">
        <v>738</v>
      </c>
      <c r="I810" s="1"/>
      <c r="J810" s="1"/>
      <c r="K810" s="1"/>
      <c r="L810" s="1"/>
      <c r="M810" s="1"/>
      <c r="N810" s="1"/>
      <c r="O810" s="1"/>
      <c r="P810" s="1"/>
      <c r="Q810" s="1"/>
      <c r="R810" s="1"/>
      <c r="T810" s="1"/>
      <c r="U810" s="1"/>
      <c r="V810" s="1"/>
      <c r="W810" s="1"/>
      <c r="X810" s="1"/>
      <c r="Y810" s="1"/>
      <c r="Z810" s="1"/>
      <c r="AB810" s="1"/>
      <c r="AC810" s="1"/>
      <c r="AD810" s="1"/>
      <c r="AE810" s="1"/>
      <c r="AF810" s="1"/>
      <c r="AG810" s="1"/>
      <c r="AH810" s="1"/>
      <c r="AI810" s="1"/>
      <c r="AL810" s="1"/>
      <c r="AN810" s="1"/>
      <c r="AO810" s="1"/>
      <c r="AP810" s="1"/>
      <c r="AQ810" s="1"/>
      <c r="AR810" s="1"/>
      <c r="AS810" s="1"/>
      <c r="AT810" s="1"/>
      <c r="AU810" s="1"/>
      <c r="AV810" s="1"/>
    </row>
    <row r="811" spans="2:48" x14ac:dyDescent="0.3">
      <c r="B811" s="1" t="s">
        <v>1410</v>
      </c>
      <c r="H811" s="1" t="s">
        <v>738</v>
      </c>
      <c r="I811" s="1"/>
      <c r="J811" s="1"/>
      <c r="K811" s="1"/>
      <c r="L811" s="1"/>
      <c r="M811" s="1"/>
      <c r="N811" s="1"/>
      <c r="O811" s="1"/>
      <c r="P811" s="1"/>
      <c r="Q811" s="1"/>
      <c r="R811" s="1"/>
      <c r="T811" s="1"/>
      <c r="U811" s="1"/>
      <c r="V811" s="1"/>
      <c r="W811" s="1"/>
      <c r="X811" s="1"/>
      <c r="Y811" s="1"/>
      <c r="Z811" s="1"/>
      <c r="AB811" s="1"/>
      <c r="AC811" s="1"/>
      <c r="AD811" s="1"/>
      <c r="AE811" s="1"/>
      <c r="AF811" s="1"/>
      <c r="AG811" s="1"/>
      <c r="AH811" s="1"/>
      <c r="AI811" s="1"/>
      <c r="AL811" s="1"/>
      <c r="AN811" s="1"/>
      <c r="AO811" s="1"/>
      <c r="AP811" s="1"/>
      <c r="AQ811" s="1"/>
      <c r="AR811" s="1"/>
      <c r="AS811" s="1"/>
      <c r="AT811" s="1"/>
      <c r="AU811" s="1"/>
      <c r="AV811" s="1"/>
    </row>
    <row r="812" spans="2:48" x14ac:dyDescent="0.3">
      <c r="B812" s="1" t="s">
        <v>1411</v>
      </c>
      <c r="H812" s="1" t="s">
        <v>738</v>
      </c>
      <c r="I812" s="1"/>
      <c r="J812" s="1"/>
      <c r="K812" s="1"/>
      <c r="L812" s="1"/>
      <c r="M812" s="1"/>
      <c r="N812" s="1"/>
      <c r="O812" s="1"/>
      <c r="P812" s="1"/>
      <c r="Q812" s="1"/>
      <c r="R812" s="1"/>
      <c r="T812" s="1"/>
      <c r="U812" s="1"/>
      <c r="V812" s="1"/>
      <c r="W812" s="1"/>
      <c r="X812" s="1"/>
      <c r="Y812" s="1"/>
      <c r="Z812" s="1"/>
      <c r="AB812" s="1"/>
      <c r="AC812" s="1"/>
      <c r="AD812" s="1"/>
      <c r="AE812" s="1"/>
      <c r="AF812" s="1"/>
      <c r="AG812" s="1"/>
      <c r="AH812" s="1"/>
      <c r="AI812" s="1"/>
      <c r="AL812" s="1"/>
      <c r="AN812" s="1"/>
      <c r="AO812" s="1"/>
      <c r="AP812" s="1"/>
      <c r="AQ812" s="1"/>
      <c r="AR812" s="1"/>
      <c r="AS812" s="1"/>
      <c r="AT812" s="1"/>
      <c r="AU812" s="1"/>
      <c r="AV812" s="1"/>
    </row>
    <row r="813" spans="2:48" x14ac:dyDescent="0.3">
      <c r="B813" s="1" t="s">
        <v>1412</v>
      </c>
      <c r="H813" s="1" t="s">
        <v>738</v>
      </c>
      <c r="I813" s="1"/>
      <c r="J813" s="1"/>
      <c r="K813" s="1"/>
      <c r="L813" s="1"/>
      <c r="M813" s="1"/>
      <c r="N813" s="1"/>
      <c r="O813" s="1"/>
      <c r="P813" s="1"/>
      <c r="Q813" s="1"/>
      <c r="R813" s="1"/>
      <c r="T813" s="1"/>
      <c r="U813" s="1"/>
      <c r="V813" s="1"/>
      <c r="W813" s="1"/>
      <c r="X813" s="1"/>
      <c r="Y813" s="1"/>
      <c r="Z813" s="1"/>
      <c r="AB813" s="1"/>
      <c r="AC813" s="1"/>
      <c r="AD813" s="1"/>
      <c r="AE813" s="1"/>
      <c r="AF813" s="1"/>
      <c r="AG813" s="1"/>
      <c r="AH813" s="1"/>
      <c r="AI813" s="1"/>
      <c r="AL813" s="1"/>
      <c r="AN813" s="1"/>
      <c r="AO813" s="1"/>
      <c r="AP813" s="1"/>
      <c r="AQ813" s="1"/>
      <c r="AR813" s="1"/>
      <c r="AS813" s="1"/>
      <c r="AT813" s="1"/>
      <c r="AU813" s="1"/>
      <c r="AV813" s="1"/>
    </row>
    <row r="814" spans="2:48" x14ac:dyDescent="0.3">
      <c r="B814" s="1" t="s">
        <v>1413</v>
      </c>
      <c r="H814" s="1" t="s">
        <v>738</v>
      </c>
      <c r="I814" s="1"/>
      <c r="J814" s="1"/>
      <c r="K814" s="1"/>
      <c r="L814" s="1"/>
      <c r="M814" s="1"/>
      <c r="N814" s="1"/>
      <c r="O814" s="1"/>
      <c r="P814" s="1"/>
      <c r="Q814" s="1"/>
      <c r="R814" s="1"/>
      <c r="T814" s="1"/>
      <c r="U814" s="1"/>
      <c r="V814" s="1"/>
      <c r="W814" s="1"/>
      <c r="X814" s="1"/>
      <c r="Y814" s="1"/>
      <c r="Z814" s="1"/>
      <c r="AB814" s="1"/>
      <c r="AC814" s="1"/>
      <c r="AD814" s="1"/>
      <c r="AE814" s="1"/>
      <c r="AF814" s="1"/>
      <c r="AG814" s="1"/>
      <c r="AH814" s="1"/>
      <c r="AI814" s="1"/>
      <c r="AL814" s="1"/>
      <c r="AN814" s="1"/>
      <c r="AO814" s="1"/>
      <c r="AP814" s="1"/>
      <c r="AQ814" s="1"/>
      <c r="AR814" s="1"/>
      <c r="AS814" s="1"/>
      <c r="AT814" s="1"/>
      <c r="AU814" s="1"/>
      <c r="AV814" s="1"/>
    </row>
    <row r="815" spans="2:48" x14ac:dyDescent="0.3">
      <c r="B815" s="1" t="s">
        <v>1414</v>
      </c>
      <c r="H815" s="1" t="s">
        <v>738</v>
      </c>
      <c r="I815" s="1"/>
      <c r="J815" s="1"/>
      <c r="K815" s="1"/>
      <c r="L815" s="1"/>
      <c r="M815" s="1"/>
      <c r="N815" s="1"/>
      <c r="O815" s="1"/>
      <c r="P815" s="1"/>
      <c r="Q815" s="1"/>
      <c r="R815" s="1"/>
      <c r="T815" s="1"/>
      <c r="U815" s="1"/>
      <c r="V815" s="1"/>
      <c r="W815" s="1"/>
      <c r="X815" s="1"/>
      <c r="Y815" s="1"/>
      <c r="Z815" s="1"/>
      <c r="AB815" s="1"/>
      <c r="AC815" s="1"/>
      <c r="AD815" s="1"/>
      <c r="AE815" s="1"/>
      <c r="AF815" s="1"/>
      <c r="AG815" s="1"/>
      <c r="AH815" s="1"/>
      <c r="AI815" s="1"/>
      <c r="AL815" s="1"/>
      <c r="AN815" s="1"/>
      <c r="AO815" s="1"/>
      <c r="AP815" s="1"/>
      <c r="AQ815" s="1"/>
      <c r="AR815" s="1"/>
      <c r="AS815" s="1"/>
      <c r="AT815" s="1"/>
      <c r="AU815" s="1"/>
      <c r="AV815" s="1"/>
    </row>
    <row r="816" spans="2:48" x14ac:dyDescent="0.3">
      <c r="B816" s="1" t="s">
        <v>1415</v>
      </c>
      <c r="H816" s="1" t="s">
        <v>738</v>
      </c>
      <c r="I816" s="1"/>
      <c r="J816" s="1"/>
      <c r="K816" s="1"/>
      <c r="L816" s="1"/>
      <c r="M816" s="1"/>
      <c r="N816" s="1"/>
      <c r="O816" s="1"/>
      <c r="P816" s="1"/>
      <c r="Q816" s="1"/>
      <c r="R816" s="1"/>
      <c r="T816" s="1"/>
      <c r="U816" s="1"/>
      <c r="V816" s="1"/>
      <c r="W816" s="1"/>
      <c r="X816" s="1"/>
      <c r="Y816" s="1"/>
      <c r="Z816" s="1"/>
      <c r="AB816" s="1"/>
      <c r="AC816" s="1"/>
      <c r="AD816" s="1"/>
      <c r="AE816" s="1"/>
      <c r="AF816" s="1"/>
      <c r="AG816" s="1"/>
      <c r="AH816" s="1"/>
      <c r="AI816" s="1"/>
      <c r="AL816" s="1"/>
      <c r="AN816" s="1"/>
      <c r="AO816" s="1"/>
      <c r="AP816" s="1"/>
      <c r="AQ816" s="1"/>
      <c r="AR816" s="1"/>
      <c r="AS816" s="1"/>
      <c r="AT816" s="1"/>
      <c r="AU816" s="1"/>
      <c r="AV816" s="1"/>
    </row>
    <row r="817" spans="2:48" x14ac:dyDescent="0.3">
      <c r="B817" s="1" t="s">
        <v>1416</v>
      </c>
      <c r="H817" s="1" t="s">
        <v>738</v>
      </c>
      <c r="I817" s="1"/>
      <c r="J817" s="1"/>
      <c r="K817" s="1"/>
      <c r="L817" s="1"/>
      <c r="M817" s="1"/>
      <c r="N817" s="1"/>
      <c r="O817" s="1"/>
      <c r="P817" s="1"/>
      <c r="Q817" s="1"/>
      <c r="R817" s="1"/>
      <c r="T817" s="1"/>
      <c r="U817" s="1"/>
      <c r="V817" s="1"/>
      <c r="W817" s="1"/>
      <c r="X817" s="1"/>
      <c r="Y817" s="1"/>
      <c r="Z817" s="1"/>
      <c r="AB817" s="1"/>
      <c r="AC817" s="1"/>
      <c r="AD817" s="1"/>
      <c r="AE817" s="1"/>
      <c r="AF817" s="1"/>
      <c r="AG817" s="1"/>
      <c r="AH817" s="1"/>
      <c r="AI817" s="1"/>
      <c r="AL817" s="1"/>
      <c r="AN817" s="1"/>
      <c r="AO817" s="1"/>
      <c r="AP817" s="1"/>
      <c r="AQ817" s="1"/>
      <c r="AR817" s="1"/>
      <c r="AS817" s="1"/>
      <c r="AT817" s="1"/>
      <c r="AU817" s="1"/>
      <c r="AV817" s="1"/>
    </row>
    <row r="818" spans="2:48" x14ac:dyDescent="0.3">
      <c r="B818" s="1" t="s">
        <v>1417</v>
      </c>
      <c r="H818" s="1" t="s">
        <v>738</v>
      </c>
      <c r="I818" s="1"/>
      <c r="J818" s="1"/>
      <c r="K818" s="1"/>
      <c r="L818" s="1"/>
      <c r="M818" s="1"/>
      <c r="N818" s="1"/>
      <c r="O818" s="1"/>
      <c r="P818" s="1"/>
      <c r="Q818" s="1"/>
      <c r="R818" s="1"/>
      <c r="T818" s="1"/>
      <c r="U818" s="1"/>
      <c r="V818" s="1"/>
      <c r="W818" s="1"/>
      <c r="X818" s="1"/>
      <c r="Y818" s="1"/>
      <c r="Z818" s="1"/>
      <c r="AB818" s="1"/>
      <c r="AC818" s="1"/>
      <c r="AD818" s="1"/>
      <c r="AE818" s="1"/>
      <c r="AF818" s="1"/>
      <c r="AG818" s="1"/>
      <c r="AH818" s="1"/>
      <c r="AI818" s="1"/>
      <c r="AL818" s="1"/>
      <c r="AN818" s="1"/>
      <c r="AO818" s="1"/>
      <c r="AP818" s="1"/>
      <c r="AQ818" s="1"/>
      <c r="AR818" s="1"/>
      <c r="AS818" s="1"/>
      <c r="AT818" s="1"/>
      <c r="AU818" s="1"/>
      <c r="AV818" s="1"/>
    </row>
    <row r="819" spans="2:48" x14ac:dyDescent="0.3">
      <c r="B819" s="1" t="s">
        <v>1418</v>
      </c>
      <c r="H819" s="1" t="s">
        <v>738</v>
      </c>
      <c r="I819" s="1"/>
      <c r="J819" s="1"/>
      <c r="K819" s="1"/>
      <c r="L819" s="1"/>
      <c r="M819" s="1"/>
      <c r="N819" s="1"/>
      <c r="O819" s="1"/>
      <c r="P819" s="1"/>
      <c r="Q819" s="1"/>
      <c r="R819" s="1"/>
      <c r="T819" s="1"/>
      <c r="U819" s="1"/>
      <c r="V819" s="1"/>
      <c r="W819" s="1"/>
      <c r="X819" s="1"/>
      <c r="Y819" s="1"/>
      <c r="Z819" s="1"/>
      <c r="AB819" s="1"/>
      <c r="AC819" s="1"/>
      <c r="AD819" s="1"/>
      <c r="AE819" s="1"/>
      <c r="AF819" s="1"/>
      <c r="AG819" s="1"/>
      <c r="AH819" s="1"/>
      <c r="AI819" s="1"/>
      <c r="AL819" s="1"/>
      <c r="AN819" s="1"/>
      <c r="AO819" s="1"/>
      <c r="AP819" s="1"/>
      <c r="AQ819" s="1"/>
      <c r="AR819" s="1"/>
      <c r="AS819" s="1"/>
      <c r="AT819" s="1"/>
      <c r="AU819" s="1"/>
      <c r="AV819" s="1"/>
    </row>
    <row r="820" spans="2:48" x14ac:dyDescent="0.3">
      <c r="B820" s="1" t="s">
        <v>1419</v>
      </c>
      <c r="H820" s="1" t="s">
        <v>738</v>
      </c>
      <c r="I820" s="1"/>
      <c r="J820" s="1"/>
      <c r="K820" s="1"/>
      <c r="L820" s="1"/>
      <c r="M820" s="1"/>
      <c r="N820" s="1"/>
      <c r="O820" s="1"/>
      <c r="P820" s="1"/>
      <c r="Q820" s="1"/>
      <c r="R820" s="1"/>
      <c r="T820" s="1"/>
      <c r="U820" s="1"/>
      <c r="V820" s="1"/>
      <c r="W820" s="1"/>
      <c r="X820" s="1"/>
      <c r="Y820" s="1"/>
      <c r="Z820" s="1"/>
      <c r="AB820" s="1"/>
      <c r="AC820" s="1"/>
      <c r="AD820" s="1"/>
      <c r="AE820" s="1"/>
      <c r="AF820" s="1"/>
      <c r="AG820" s="1"/>
      <c r="AH820" s="1"/>
      <c r="AI820" s="1"/>
      <c r="AL820" s="1"/>
      <c r="AN820" s="1"/>
      <c r="AO820" s="1"/>
      <c r="AP820" s="1"/>
      <c r="AQ820" s="1"/>
      <c r="AR820" s="1"/>
      <c r="AS820" s="1"/>
      <c r="AT820" s="1"/>
      <c r="AU820" s="1"/>
      <c r="AV820" s="1"/>
    </row>
    <row r="821" spans="2:48" x14ac:dyDescent="0.3">
      <c r="B821" s="1" t="s">
        <v>1420</v>
      </c>
      <c r="H821" s="1" t="s">
        <v>738</v>
      </c>
      <c r="I821" s="1"/>
      <c r="J821" s="1"/>
      <c r="K821" s="1"/>
      <c r="L821" s="1"/>
      <c r="M821" s="1"/>
      <c r="N821" s="1"/>
      <c r="O821" s="1"/>
      <c r="P821" s="1"/>
      <c r="Q821" s="1"/>
      <c r="R821" s="1"/>
      <c r="T821" s="1"/>
      <c r="U821" s="1"/>
      <c r="V821" s="1"/>
      <c r="W821" s="1"/>
      <c r="X821" s="1"/>
      <c r="Y821" s="1"/>
      <c r="Z821" s="1"/>
      <c r="AB821" s="1"/>
      <c r="AC821" s="1"/>
      <c r="AD821" s="1"/>
      <c r="AE821" s="1"/>
      <c r="AF821" s="1"/>
      <c r="AG821" s="1"/>
      <c r="AH821" s="1"/>
      <c r="AI821" s="1"/>
      <c r="AL821" s="1"/>
      <c r="AN821" s="1"/>
      <c r="AO821" s="1"/>
      <c r="AP821" s="1"/>
      <c r="AQ821" s="1"/>
      <c r="AR821" s="1"/>
      <c r="AS821" s="1"/>
      <c r="AT821" s="1"/>
      <c r="AU821" s="1"/>
      <c r="AV821" s="1"/>
    </row>
    <row r="822" spans="2:48" x14ac:dyDescent="0.3">
      <c r="B822" s="1" t="s">
        <v>1421</v>
      </c>
      <c r="H822" s="1" t="s">
        <v>738</v>
      </c>
      <c r="I822" s="1"/>
      <c r="J822" s="1"/>
      <c r="K822" s="1"/>
      <c r="L822" s="1"/>
      <c r="M822" s="1"/>
      <c r="N822" s="1"/>
      <c r="O822" s="1"/>
      <c r="P822" s="1"/>
      <c r="Q822" s="1"/>
      <c r="R822" s="1"/>
      <c r="T822" s="1"/>
      <c r="U822" s="1"/>
      <c r="V822" s="1"/>
      <c r="W822" s="1"/>
      <c r="X822" s="1"/>
      <c r="Y822" s="1"/>
      <c r="Z822" s="1"/>
      <c r="AB822" s="1"/>
      <c r="AC822" s="1"/>
      <c r="AD822" s="1"/>
      <c r="AE822" s="1"/>
      <c r="AF822" s="1"/>
      <c r="AG822" s="1"/>
      <c r="AH822" s="1"/>
      <c r="AI822" s="1"/>
      <c r="AL822" s="1"/>
      <c r="AN822" s="1"/>
      <c r="AO822" s="1"/>
      <c r="AP822" s="1"/>
      <c r="AQ822" s="1"/>
      <c r="AR822" s="1"/>
      <c r="AS822" s="1"/>
      <c r="AT822" s="1"/>
      <c r="AU822" s="1"/>
      <c r="AV822" s="1"/>
    </row>
    <row r="823" spans="2:48" x14ac:dyDescent="0.3">
      <c r="B823" s="1" t="s">
        <v>1422</v>
      </c>
      <c r="H823" s="1" t="s">
        <v>738</v>
      </c>
      <c r="I823" s="1"/>
      <c r="J823" s="1"/>
      <c r="K823" s="1"/>
      <c r="L823" s="1"/>
      <c r="M823" s="1"/>
      <c r="N823" s="1"/>
      <c r="O823" s="1"/>
      <c r="P823" s="1"/>
      <c r="Q823" s="1"/>
      <c r="R823" s="1"/>
      <c r="T823" s="1"/>
      <c r="U823" s="1"/>
      <c r="V823" s="1"/>
      <c r="W823" s="1"/>
      <c r="X823" s="1"/>
      <c r="Y823" s="1"/>
      <c r="Z823" s="1"/>
      <c r="AB823" s="1"/>
      <c r="AC823" s="1"/>
      <c r="AD823" s="1"/>
      <c r="AE823" s="1"/>
      <c r="AF823" s="1"/>
      <c r="AG823" s="1"/>
      <c r="AH823" s="1"/>
      <c r="AI823" s="1"/>
      <c r="AL823" s="1"/>
      <c r="AN823" s="1"/>
      <c r="AO823" s="1"/>
      <c r="AP823" s="1"/>
      <c r="AQ823" s="1"/>
      <c r="AR823" s="1"/>
      <c r="AS823" s="1"/>
      <c r="AT823" s="1"/>
      <c r="AU823" s="1"/>
      <c r="AV823" s="1"/>
    </row>
    <row r="824" spans="2:48" x14ac:dyDescent="0.3">
      <c r="B824" s="1" t="s">
        <v>1423</v>
      </c>
      <c r="H824" s="1" t="s">
        <v>738</v>
      </c>
      <c r="I824" s="1"/>
      <c r="J824" s="1"/>
      <c r="K824" s="1"/>
      <c r="L824" s="1"/>
      <c r="M824" s="1"/>
      <c r="N824" s="1"/>
      <c r="O824" s="1"/>
      <c r="P824" s="1"/>
      <c r="Q824" s="1"/>
      <c r="R824" s="1"/>
      <c r="T824" s="1"/>
      <c r="U824" s="1"/>
      <c r="V824" s="1"/>
      <c r="W824" s="1"/>
      <c r="X824" s="1"/>
      <c r="Y824" s="1"/>
      <c r="Z824" s="1"/>
      <c r="AB824" s="1"/>
      <c r="AC824" s="1"/>
      <c r="AD824" s="1"/>
      <c r="AE824" s="1"/>
      <c r="AF824" s="1"/>
      <c r="AG824" s="1"/>
      <c r="AH824" s="1"/>
      <c r="AI824" s="1"/>
      <c r="AL824" s="1"/>
      <c r="AN824" s="1"/>
      <c r="AO824" s="1"/>
      <c r="AP824" s="1"/>
      <c r="AQ824" s="1"/>
      <c r="AR824" s="1"/>
      <c r="AS824" s="1"/>
      <c r="AT824" s="1"/>
      <c r="AU824" s="1"/>
      <c r="AV824" s="1"/>
    </row>
    <row r="825" spans="2:48" x14ac:dyDescent="0.3">
      <c r="B825" s="1" t="s">
        <v>1424</v>
      </c>
      <c r="H825" s="1" t="s">
        <v>738</v>
      </c>
      <c r="I825" s="1"/>
      <c r="J825" s="1"/>
      <c r="K825" s="1"/>
      <c r="L825" s="1"/>
      <c r="M825" s="1"/>
      <c r="N825" s="1"/>
      <c r="O825" s="1"/>
      <c r="P825" s="1"/>
      <c r="Q825" s="1"/>
      <c r="R825" s="1"/>
      <c r="T825" s="1"/>
      <c r="U825" s="1"/>
      <c r="V825" s="1"/>
      <c r="W825" s="1"/>
      <c r="X825" s="1"/>
      <c r="Y825" s="1"/>
      <c r="Z825" s="1"/>
      <c r="AB825" s="1"/>
      <c r="AC825" s="1"/>
      <c r="AD825" s="1"/>
      <c r="AE825" s="1"/>
      <c r="AF825" s="1"/>
      <c r="AG825" s="1"/>
      <c r="AH825" s="1"/>
      <c r="AI825" s="1"/>
      <c r="AL825" s="1"/>
      <c r="AN825" s="1"/>
      <c r="AO825" s="1"/>
      <c r="AP825" s="1"/>
      <c r="AQ825" s="1"/>
      <c r="AR825" s="1"/>
      <c r="AS825" s="1"/>
      <c r="AT825" s="1"/>
      <c r="AU825" s="1"/>
      <c r="AV825" s="1"/>
    </row>
    <row r="826" spans="2:48" x14ac:dyDescent="0.3">
      <c r="B826" s="1" t="s">
        <v>1425</v>
      </c>
      <c r="H826" s="1" t="s">
        <v>738</v>
      </c>
      <c r="I826" s="1"/>
      <c r="J826" s="1"/>
      <c r="K826" s="1"/>
      <c r="L826" s="1"/>
      <c r="M826" s="1"/>
      <c r="N826" s="1"/>
      <c r="O826" s="1"/>
      <c r="P826" s="1"/>
      <c r="Q826" s="1"/>
      <c r="R826" s="1"/>
      <c r="T826" s="1"/>
      <c r="U826" s="1"/>
      <c r="V826" s="1"/>
      <c r="W826" s="1"/>
      <c r="X826" s="1"/>
      <c r="Y826" s="1"/>
      <c r="Z826" s="1"/>
      <c r="AB826" s="1"/>
      <c r="AC826" s="1"/>
      <c r="AD826" s="1"/>
      <c r="AE826" s="1"/>
      <c r="AF826" s="1"/>
      <c r="AG826" s="1"/>
      <c r="AH826" s="1"/>
      <c r="AI826" s="1"/>
      <c r="AL826" s="1"/>
      <c r="AN826" s="1"/>
      <c r="AO826" s="1"/>
      <c r="AP826" s="1"/>
      <c r="AQ826" s="1"/>
      <c r="AR826" s="1"/>
      <c r="AS826" s="1"/>
      <c r="AT826" s="1"/>
      <c r="AU826" s="1"/>
      <c r="AV826" s="1"/>
    </row>
    <row r="827" spans="2:48" x14ac:dyDescent="0.3">
      <c r="B827" s="1" t="s">
        <v>1426</v>
      </c>
      <c r="H827" s="1" t="s">
        <v>738</v>
      </c>
      <c r="I827" s="1"/>
      <c r="J827" s="1"/>
      <c r="K827" s="1"/>
      <c r="L827" s="1"/>
      <c r="M827" s="1"/>
      <c r="N827" s="1"/>
      <c r="O827" s="1"/>
      <c r="P827" s="1"/>
      <c r="Q827" s="1"/>
      <c r="R827" s="1"/>
      <c r="T827" s="1"/>
      <c r="U827" s="1"/>
      <c r="V827" s="1"/>
      <c r="W827" s="1"/>
      <c r="X827" s="1"/>
      <c r="Y827" s="1"/>
      <c r="Z827" s="1"/>
      <c r="AB827" s="1"/>
      <c r="AC827" s="1"/>
      <c r="AD827" s="1"/>
      <c r="AE827" s="1"/>
      <c r="AF827" s="1"/>
      <c r="AG827" s="1"/>
      <c r="AH827" s="1"/>
      <c r="AI827" s="1"/>
      <c r="AL827" s="1"/>
      <c r="AN827" s="1"/>
      <c r="AO827" s="1"/>
      <c r="AP827" s="1"/>
      <c r="AQ827" s="1"/>
      <c r="AR827" s="1"/>
      <c r="AS827" s="1"/>
      <c r="AT827" s="1"/>
      <c r="AU827" s="1"/>
      <c r="AV827" s="1"/>
    </row>
    <row r="828" spans="2:48" x14ac:dyDescent="0.3">
      <c r="B828" s="1" t="s">
        <v>1427</v>
      </c>
      <c r="H828" s="1" t="s">
        <v>738</v>
      </c>
      <c r="I828" s="1"/>
      <c r="J828" s="1"/>
      <c r="K828" s="1"/>
      <c r="L828" s="1"/>
      <c r="M828" s="1"/>
      <c r="N828" s="1"/>
      <c r="O828" s="1"/>
      <c r="P828" s="1"/>
      <c r="Q828" s="1"/>
      <c r="R828" s="1"/>
      <c r="T828" s="1"/>
      <c r="U828" s="1"/>
      <c r="V828" s="1"/>
      <c r="W828" s="1"/>
      <c r="X828" s="1"/>
      <c r="Y828" s="1"/>
      <c r="Z828" s="1"/>
      <c r="AB828" s="1"/>
      <c r="AC828" s="1"/>
      <c r="AD828" s="1"/>
      <c r="AE828" s="1"/>
      <c r="AF828" s="1"/>
      <c r="AG828" s="1"/>
      <c r="AH828" s="1"/>
      <c r="AI828" s="1"/>
      <c r="AL828" s="1"/>
      <c r="AN828" s="1"/>
      <c r="AO828" s="1"/>
      <c r="AP828" s="1"/>
      <c r="AQ828" s="1"/>
      <c r="AR828" s="1"/>
      <c r="AS828" s="1"/>
      <c r="AT828" s="1"/>
      <c r="AU828" s="1"/>
      <c r="AV828" s="1"/>
    </row>
    <row r="829" spans="2:48" x14ac:dyDescent="0.3">
      <c r="B829" s="1" t="s">
        <v>1428</v>
      </c>
      <c r="H829" s="1" t="s">
        <v>738</v>
      </c>
      <c r="I829" s="1"/>
      <c r="J829" s="1"/>
      <c r="K829" s="1"/>
      <c r="L829" s="1"/>
      <c r="M829" s="1"/>
      <c r="N829" s="1"/>
      <c r="O829" s="1"/>
      <c r="P829" s="1"/>
      <c r="Q829" s="1"/>
      <c r="R829" s="1"/>
      <c r="T829" s="1"/>
      <c r="U829" s="1"/>
      <c r="V829" s="1"/>
      <c r="W829" s="1"/>
      <c r="X829" s="1"/>
      <c r="Y829" s="1"/>
      <c r="Z829" s="1"/>
      <c r="AB829" s="1"/>
      <c r="AC829" s="1"/>
      <c r="AD829" s="1"/>
      <c r="AE829" s="1"/>
      <c r="AF829" s="1"/>
      <c r="AG829" s="1"/>
      <c r="AH829" s="1"/>
      <c r="AI829" s="1"/>
      <c r="AL829" s="1"/>
      <c r="AN829" s="1"/>
      <c r="AO829" s="1"/>
      <c r="AP829" s="1"/>
      <c r="AQ829" s="1"/>
      <c r="AR829" s="1"/>
      <c r="AS829" s="1"/>
      <c r="AT829" s="1"/>
      <c r="AU829" s="1"/>
      <c r="AV829" s="1"/>
    </row>
    <row r="830" spans="2:48" x14ac:dyDescent="0.3">
      <c r="B830" s="1" t="s">
        <v>1429</v>
      </c>
      <c r="H830" s="1" t="s">
        <v>738</v>
      </c>
      <c r="I830" s="1"/>
      <c r="J830" s="1"/>
      <c r="K830" s="1"/>
      <c r="L830" s="1"/>
      <c r="M830" s="1"/>
      <c r="N830" s="1"/>
      <c r="O830" s="1"/>
      <c r="P830" s="1"/>
      <c r="Q830" s="1"/>
      <c r="R830" s="1"/>
      <c r="T830" s="1"/>
      <c r="U830" s="1"/>
      <c r="V830" s="1"/>
      <c r="W830" s="1"/>
      <c r="X830" s="1"/>
      <c r="Y830" s="1"/>
      <c r="Z830" s="1"/>
      <c r="AB830" s="1"/>
      <c r="AC830" s="1"/>
      <c r="AD830" s="1"/>
      <c r="AE830" s="1"/>
      <c r="AF830" s="1"/>
      <c r="AG830" s="1"/>
      <c r="AH830" s="1"/>
      <c r="AI830" s="1"/>
      <c r="AL830" s="1"/>
      <c r="AN830" s="1"/>
      <c r="AO830" s="1"/>
      <c r="AP830" s="1"/>
      <c r="AQ830" s="1"/>
      <c r="AR830" s="1"/>
      <c r="AS830" s="1"/>
      <c r="AT830" s="1"/>
      <c r="AU830" s="1"/>
      <c r="AV830" s="1"/>
    </row>
    <row r="831" spans="2:48" x14ac:dyDescent="0.3">
      <c r="B831" s="1" t="s">
        <v>1430</v>
      </c>
      <c r="H831" s="1" t="s">
        <v>738</v>
      </c>
      <c r="I831" s="1"/>
      <c r="J831" s="1"/>
      <c r="K831" s="1"/>
      <c r="L831" s="1"/>
      <c r="M831" s="1"/>
      <c r="N831" s="1"/>
      <c r="O831" s="1"/>
      <c r="P831" s="1"/>
      <c r="Q831" s="1"/>
      <c r="R831" s="1"/>
      <c r="T831" s="1"/>
      <c r="U831" s="1"/>
      <c r="V831" s="1"/>
      <c r="W831" s="1"/>
      <c r="X831" s="1"/>
      <c r="Y831" s="1"/>
      <c r="Z831" s="1"/>
      <c r="AB831" s="1"/>
      <c r="AC831" s="1"/>
      <c r="AD831" s="1"/>
      <c r="AE831" s="1"/>
      <c r="AF831" s="1"/>
      <c r="AG831" s="1"/>
      <c r="AH831" s="1"/>
      <c r="AI831" s="1"/>
      <c r="AL831" s="1"/>
      <c r="AN831" s="1"/>
      <c r="AO831" s="1"/>
      <c r="AP831" s="1"/>
      <c r="AQ831" s="1"/>
      <c r="AR831" s="1"/>
      <c r="AS831" s="1"/>
      <c r="AT831" s="1"/>
      <c r="AU831" s="1"/>
      <c r="AV831" s="1"/>
    </row>
    <row r="832" spans="2:48" x14ac:dyDescent="0.3">
      <c r="B832" s="1" t="s">
        <v>1431</v>
      </c>
      <c r="H832" s="1" t="s">
        <v>738</v>
      </c>
      <c r="I832" s="1"/>
      <c r="J832" s="1"/>
      <c r="K832" s="1"/>
      <c r="L832" s="1"/>
      <c r="M832" s="1"/>
      <c r="N832" s="1"/>
      <c r="O832" s="1"/>
      <c r="P832" s="1"/>
      <c r="Q832" s="1"/>
      <c r="R832" s="1"/>
      <c r="T832" s="1"/>
      <c r="U832" s="1"/>
      <c r="V832" s="1"/>
      <c r="W832" s="1"/>
      <c r="X832" s="1"/>
      <c r="Y832" s="1"/>
      <c r="Z832" s="1"/>
      <c r="AB832" s="1"/>
      <c r="AC832" s="1"/>
      <c r="AD832" s="1"/>
      <c r="AE832" s="1"/>
      <c r="AF832" s="1"/>
      <c r="AG832" s="1"/>
      <c r="AH832" s="1"/>
      <c r="AI832" s="1"/>
      <c r="AL832" s="1"/>
      <c r="AN832" s="1"/>
      <c r="AO832" s="1"/>
      <c r="AP832" s="1"/>
      <c r="AQ832" s="1"/>
      <c r="AR832" s="1"/>
      <c r="AS832" s="1"/>
      <c r="AT832" s="1"/>
      <c r="AU832" s="1"/>
      <c r="AV832" s="1"/>
    </row>
    <row r="833" spans="2:48" x14ac:dyDescent="0.3">
      <c r="B833" s="1" t="s">
        <v>1432</v>
      </c>
      <c r="H833" s="1" t="s">
        <v>738</v>
      </c>
      <c r="I833" s="1"/>
      <c r="J833" s="1"/>
      <c r="K833" s="1"/>
      <c r="L833" s="1"/>
      <c r="M833" s="1"/>
      <c r="N833" s="1"/>
      <c r="O833" s="1"/>
      <c r="P833" s="1"/>
      <c r="Q833" s="1"/>
      <c r="R833" s="1"/>
      <c r="T833" s="1"/>
      <c r="U833" s="1"/>
      <c r="V833" s="1"/>
      <c r="W833" s="1"/>
      <c r="X833" s="1"/>
      <c r="Y833" s="1"/>
      <c r="Z833" s="1"/>
      <c r="AB833" s="1"/>
      <c r="AC833" s="1"/>
      <c r="AD833" s="1"/>
      <c r="AE833" s="1"/>
      <c r="AF833" s="1"/>
      <c r="AG833" s="1"/>
      <c r="AH833" s="1"/>
      <c r="AI833" s="1"/>
      <c r="AL833" s="1"/>
      <c r="AN833" s="1"/>
      <c r="AO833" s="1"/>
      <c r="AP833" s="1"/>
      <c r="AQ833" s="1"/>
      <c r="AR833" s="1"/>
      <c r="AS833" s="1"/>
      <c r="AT833" s="1"/>
      <c r="AU833" s="1"/>
      <c r="AV833" s="1"/>
    </row>
    <row r="834" spans="2:48" x14ac:dyDescent="0.3">
      <c r="B834" s="1" t="s">
        <v>1433</v>
      </c>
      <c r="H834" s="1" t="s">
        <v>738</v>
      </c>
      <c r="I834" s="1"/>
      <c r="J834" s="1"/>
      <c r="K834" s="1"/>
      <c r="L834" s="1"/>
      <c r="M834" s="1"/>
      <c r="N834" s="1"/>
      <c r="O834" s="1"/>
      <c r="P834" s="1"/>
      <c r="Q834" s="1"/>
      <c r="R834" s="1"/>
      <c r="T834" s="1"/>
      <c r="U834" s="1"/>
      <c r="V834" s="1"/>
      <c r="W834" s="1"/>
      <c r="X834" s="1"/>
      <c r="Y834" s="1"/>
      <c r="Z834" s="1"/>
      <c r="AB834" s="1"/>
      <c r="AC834" s="1"/>
      <c r="AD834" s="1"/>
      <c r="AE834" s="1"/>
      <c r="AF834" s="1"/>
      <c r="AG834" s="1"/>
      <c r="AH834" s="1"/>
      <c r="AI834" s="1"/>
      <c r="AL834" s="1"/>
      <c r="AN834" s="1"/>
      <c r="AO834" s="1"/>
      <c r="AP834" s="1"/>
      <c r="AQ834" s="1"/>
      <c r="AR834" s="1"/>
      <c r="AS834" s="1"/>
      <c r="AT834" s="1"/>
      <c r="AU834" s="1"/>
      <c r="AV834" s="1"/>
    </row>
    <row r="835" spans="2:48" x14ac:dyDescent="0.3">
      <c r="B835" s="1" t="s">
        <v>1434</v>
      </c>
      <c r="H835" s="1" t="s">
        <v>738</v>
      </c>
      <c r="I835" s="1"/>
      <c r="J835" s="1"/>
      <c r="K835" s="1"/>
      <c r="L835" s="1"/>
      <c r="M835" s="1"/>
      <c r="N835" s="1"/>
      <c r="O835" s="1"/>
      <c r="P835" s="1"/>
      <c r="Q835" s="1"/>
      <c r="R835" s="1"/>
      <c r="T835" s="1"/>
      <c r="U835" s="1"/>
      <c r="V835" s="1"/>
      <c r="W835" s="1"/>
      <c r="X835" s="1"/>
      <c r="Y835" s="1"/>
      <c r="Z835" s="1"/>
      <c r="AB835" s="1"/>
      <c r="AC835" s="1"/>
      <c r="AD835" s="1"/>
      <c r="AE835" s="1"/>
      <c r="AF835" s="1"/>
      <c r="AG835" s="1"/>
      <c r="AH835" s="1"/>
      <c r="AI835" s="1"/>
      <c r="AL835" s="1"/>
      <c r="AN835" s="1"/>
      <c r="AO835" s="1"/>
      <c r="AP835" s="1"/>
      <c r="AQ835" s="1"/>
      <c r="AR835" s="1"/>
      <c r="AS835" s="1"/>
      <c r="AT835" s="1"/>
      <c r="AU835" s="1"/>
      <c r="AV835" s="1"/>
    </row>
    <row r="836" spans="2:48" x14ac:dyDescent="0.3">
      <c r="B836" s="1" t="s">
        <v>1435</v>
      </c>
      <c r="H836" s="1" t="s">
        <v>738</v>
      </c>
      <c r="I836" s="1"/>
      <c r="J836" s="1"/>
      <c r="K836" s="1"/>
      <c r="L836" s="1"/>
      <c r="M836" s="1"/>
      <c r="N836" s="1"/>
      <c r="O836" s="1"/>
      <c r="P836" s="1"/>
      <c r="Q836" s="1"/>
      <c r="R836" s="1"/>
      <c r="T836" s="1"/>
      <c r="U836" s="1"/>
      <c r="V836" s="1"/>
      <c r="W836" s="1"/>
      <c r="X836" s="1"/>
      <c r="Y836" s="1"/>
      <c r="Z836" s="1"/>
      <c r="AB836" s="1"/>
      <c r="AC836" s="1"/>
      <c r="AD836" s="1"/>
      <c r="AE836" s="1"/>
      <c r="AF836" s="1"/>
      <c r="AG836" s="1"/>
      <c r="AH836" s="1"/>
      <c r="AI836" s="1"/>
      <c r="AL836" s="1"/>
      <c r="AN836" s="1"/>
      <c r="AO836" s="1"/>
      <c r="AP836" s="1"/>
      <c r="AQ836" s="1"/>
      <c r="AR836" s="1"/>
      <c r="AS836" s="1"/>
      <c r="AT836" s="1"/>
      <c r="AU836" s="1"/>
      <c r="AV836" s="1"/>
    </row>
    <row r="837" spans="2:48" x14ac:dyDescent="0.3">
      <c r="B837" s="1" t="s">
        <v>1436</v>
      </c>
      <c r="H837" s="1" t="s">
        <v>738</v>
      </c>
      <c r="I837" s="1"/>
      <c r="J837" s="1"/>
      <c r="K837" s="1"/>
      <c r="L837" s="1"/>
      <c r="M837" s="1"/>
      <c r="N837" s="1"/>
      <c r="O837" s="1"/>
      <c r="P837" s="1"/>
      <c r="Q837" s="1"/>
      <c r="R837" s="1"/>
      <c r="T837" s="1"/>
      <c r="U837" s="1"/>
      <c r="V837" s="1"/>
      <c r="W837" s="1"/>
      <c r="X837" s="1"/>
      <c r="Y837" s="1"/>
      <c r="Z837" s="1"/>
      <c r="AB837" s="1"/>
      <c r="AC837" s="1"/>
      <c r="AD837" s="1"/>
      <c r="AE837" s="1"/>
      <c r="AF837" s="1"/>
      <c r="AG837" s="1"/>
      <c r="AH837" s="1"/>
      <c r="AI837" s="1"/>
      <c r="AL837" s="1"/>
      <c r="AN837" s="1"/>
      <c r="AO837" s="1"/>
      <c r="AP837" s="1"/>
      <c r="AQ837" s="1"/>
      <c r="AR837" s="1"/>
      <c r="AS837" s="1"/>
      <c r="AT837" s="1"/>
      <c r="AU837" s="1"/>
      <c r="AV837" s="1"/>
    </row>
    <row r="838" spans="2:48" x14ac:dyDescent="0.3">
      <c r="B838" s="1" t="s">
        <v>1437</v>
      </c>
      <c r="H838" s="1" t="s">
        <v>738</v>
      </c>
      <c r="I838" s="1"/>
      <c r="J838" s="1"/>
      <c r="K838" s="1"/>
      <c r="L838" s="1"/>
      <c r="M838" s="1"/>
      <c r="N838" s="1"/>
      <c r="O838" s="1"/>
      <c r="P838" s="1"/>
      <c r="Q838" s="1"/>
      <c r="R838" s="1"/>
      <c r="T838" s="1"/>
      <c r="U838" s="1"/>
      <c r="V838" s="1"/>
      <c r="W838" s="1"/>
      <c r="X838" s="1"/>
      <c r="Y838" s="1"/>
      <c r="Z838" s="1"/>
      <c r="AB838" s="1"/>
      <c r="AC838" s="1"/>
      <c r="AD838" s="1"/>
      <c r="AE838" s="1"/>
      <c r="AF838" s="1"/>
      <c r="AG838" s="1"/>
      <c r="AH838" s="1"/>
      <c r="AI838" s="1"/>
      <c r="AL838" s="1"/>
      <c r="AN838" s="1"/>
      <c r="AO838" s="1"/>
      <c r="AP838" s="1"/>
      <c r="AQ838" s="1"/>
      <c r="AR838" s="1"/>
      <c r="AS838" s="1"/>
      <c r="AT838" s="1"/>
      <c r="AU838" s="1"/>
      <c r="AV838" s="1"/>
    </row>
    <row r="839" spans="2:48" x14ac:dyDescent="0.3">
      <c r="B839" s="1" t="s">
        <v>1438</v>
      </c>
      <c r="H839" s="1" t="s">
        <v>738</v>
      </c>
      <c r="I839" s="1"/>
      <c r="J839" s="1"/>
      <c r="K839" s="1"/>
      <c r="L839" s="1"/>
      <c r="M839" s="1"/>
      <c r="N839" s="1"/>
      <c r="O839" s="1"/>
      <c r="P839" s="1"/>
      <c r="Q839" s="1"/>
      <c r="R839" s="1"/>
      <c r="T839" s="1"/>
      <c r="U839" s="1"/>
      <c r="V839" s="1"/>
      <c r="W839" s="1"/>
      <c r="X839" s="1"/>
      <c r="Y839" s="1"/>
      <c r="Z839" s="1"/>
      <c r="AB839" s="1"/>
      <c r="AC839" s="1"/>
      <c r="AD839" s="1"/>
      <c r="AE839" s="1"/>
      <c r="AF839" s="1"/>
      <c r="AG839" s="1"/>
      <c r="AH839" s="1"/>
      <c r="AI839" s="1"/>
      <c r="AL839" s="1"/>
      <c r="AN839" s="1"/>
      <c r="AO839" s="1"/>
      <c r="AP839" s="1"/>
      <c r="AQ839" s="1"/>
      <c r="AR839" s="1"/>
      <c r="AS839" s="1"/>
      <c r="AT839" s="1"/>
      <c r="AU839" s="1"/>
      <c r="AV839" s="1"/>
    </row>
    <row r="840" spans="2:48" x14ac:dyDescent="0.3">
      <c r="B840" s="1" t="s">
        <v>1439</v>
      </c>
      <c r="H840" s="1" t="s">
        <v>738</v>
      </c>
      <c r="I840" s="1"/>
      <c r="J840" s="1"/>
      <c r="K840" s="1"/>
      <c r="L840" s="1"/>
      <c r="M840" s="1"/>
      <c r="N840" s="1"/>
      <c r="O840" s="1"/>
      <c r="P840" s="1"/>
      <c r="Q840" s="1"/>
      <c r="R840" s="1"/>
      <c r="T840" s="1"/>
      <c r="U840" s="1"/>
      <c r="V840" s="1"/>
      <c r="W840" s="1"/>
      <c r="X840" s="1"/>
      <c r="Y840" s="1"/>
      <c r="Z840" s="1"/>
      <c r="AB840" s="1"/>
      <c r="AC840" s="1"/>
      <c r="AD840" s="1"/>
      <c r="AE840" s="1"/>
      <c r="AF840" s="1"/>
      <c r="AG840" s="1"/>
      <c r="AH840" s="1"/>
      <c r="AI840" s="1"/>
      <c r="AL840" s="1"/>
      <c r="AN840" s="1"/>
      <c r="AO840" s="1"/>
      <c r="AP840" s="1"/>
      <c r="AQ840" s="1"/>
      <c r="AR840" s="1"/>
      <c r="AS840" s="1"/>
      <c r="AT840" s="1"/>
      <c r="AU840" s="1"/>
      <c r="AV840" s="1"/>
    </row>
    <row r="841" spans="2:48" x14ac:dyDescent="0.3">
      <c r="B841" s="1" t="s">
        <v>1440</v>
      </c>
      <c r="H841" s="1" t="s">
        <v>738</v>
      </c>
      <c r="I841" s="1"/>
      <c r="J841" s="1"/>
      <c r="K841" s="1"/>
      <c r="L841" s="1"/>
      <c r="M841" s="1"/>
      <c r="N841" s="1"/>
      <c r="O841" s="1"/>
      <c r="P841" s="1"/>
      <c r="Q841" s="1"/>
      <c r="R841" s="1"/>
      <c r="T841" s="1"/>
      <c r="U841" s="1"/>
      <c r="V841" s="1"/>
      <c r="W841" s="1"/>
      <c r="X841" s="1"/>
      <c r="Y841" s="1"/>
      <c r="Z841" s="1"/>
      <c r="AB841" s="1"/>
      <c r="AC841" s="1"/>
      <c r="AD841" s="1"/>
      <c r="AE841" s="1"/>
      <c r="AF841" s="1"/>
      <c r="AG841" s="1"/>
      <c r="AH841" s="1"/>
      <c r="AI841" s="1"/>
      <c r="AL841" s="1"/>
      <c r="AN841" s="1"/>
      <c r="AO841" s="1"/>
      <c r="AP841" s="1"/>
      <c r="AQ841" s="1"/>
      <c r="AR841" s="1"/>
      <c r="AS841" s="1"/>
      <c r="AT841" s="1"/>
      <c r="AU841" s="1"/>
      <c r="AV841" s="1"/>
    </row>
    <row r="842" spans="2:48" x14ac:dyDescent="0.3">
      <c r="B842" s="1" t="s">
        <v>1441</v>
      </c>
      <c r="H842" s="1" t="s">
        <v>738</v>
      </c>
      <c r="I842" s="1"/>
      <c r="J842" s="1"/>
      <c r="K842" s="1"/>
      <c r="L842" s="1"/>
      <c r="M842" s="1"/>
      <c r="N842" s="1"/>
      <c r="O842" s="1"/>
      <c r="P842" s="1"/>
      <c r="Q842" s="1"/>
      <c r="R842" s="1"/>
      <c r="T842" s="1"/>
      <c r="U842" s="1"/>
      <c r="V842" s="1"/>
      <c r="W842" s="1"/>
      <c r="X842" s="1"/>
      <c r="Y842" s="1"/>
      <c r="Z842" s="1"/>
      <c r="AB842" s="1"/>
      <c r="AC842" s="1"/>
      <c r="AD842" s="1"/>
      <c r="AE842" s="1"/>
      <c r="AF842" s="1"/>
      <c r="AG842" s="1"/>
      <c r="AH842" s="1"/>
      <c r="AI842" s="1"/>
      <c r="AL842" s="1"/>
      <c r="AN842" s="1"/>
      <c r="AO842" s="1"/>
      <c r="AP842" s="1"/>
      <c r="AQ842" s="1"/>
      <c r="AR842" s="1"/>
      <c r="AS842" s="1"/>
      <c r="AT842" s="1"/>
      <c r="AU842" s="1"/>
      <c r="AV842" s="1"/>
    </row>
    <row r="843" spans="2:48" x14ac:dyDescent="0.3">
      <c r="B843" s="1" t="s">
        <v>1442</v>
      </c>
      <c r="H843" s="1" t="s">
        <v>738</v>
      </c>
      <c r="I843" s="1"/>
      <c r="J843" s="1"/>
      <c r="K843" s="1"/>
      <c r="L843" s="1"/>
      <c r="M843" s="1"/>
      <c r="N843" s="1"/>
      <c r="O843" s="1"/>
      <c r="P843" s="1"/>
      <c r="Q843" s="1"/>
      <c r="R843" s="1"/>
      <c r="T843" s="1"/>
      <c r="U843" s="1"/>
      <c r="V843" s="1"/>
      <c r="W843" s="1"/>
      <c r="X843" s="1"/>
      <c r="Y843" s="1"/>
      <c r="Z843" s="1"/>
      <c r="AB843" s="1"/>
      <c r="AC843" s="1"/>
      <c r="AD843" s="1"/>
      <c r="AE843" s="1"/>
      <c r="AF843" s="1"/>
      <c r="AG843" s="1"/>
      <c r="AH843" s="1"/>
      <c r="AI843" s="1"/>
      <c r="AL843" s="1"/>
      <c r="AN843" s="1"/>
      <c r="AO843" s="1"/>
      <c r="AP843" s="1"/>
      <c r="AQ843" s="1"/>
      <c r="AR843" s="1"/>
      <c r="AS843" s="1"/>
      <c r="AT843" s="1"/>
      <c r="AU843" s="1"/>
      <c r="AV843" s="1"/>
    </row>
    <row r="844" spans="2:48" x14ac:dyDescent="0.3">
      <c r="B844" s="1" t="s">
        <v>1443</v>
      </c>
      <c r="H844" s="1" t="s">
        <v>738</v>
      </c>
      <c r="I844" s="1"/>
      <c r="J844" s="1"/>
      <c r="K844" s="1"/>
      <c r="L844" s="1"/>
      <c r="M844" s="1"/>
      <c r="N844" s="1"/>
      <c r="O844" s="1"/>
      <c r="P844" s="1"/>
      <c r="Q844" s="1"/>
      <c r="R844" s="1"/>
      <c r="T844" s="1"/>
      <c r="U844" s="1"/>
      <c r="V844" s="1"/>
      <c r="W844" s="1"/>
      <c r="X844" s="1"/>
      <c r="Y844" s="1"/>
      <c r="Z844" s="1"/>
      <c r="AB844" s="1"/>
      <c r="AC844" s="1"/>
      <c r="AD844" s="1"/>
      <c r="AE844" s="1"/>
      <c r="AF844" s="1"/>
      <c r="AG844" s="1"/>
      <c r="AH844" s="1"/>
      <c r="AI844" s="1"/>
      <c r="AL844" s="1"/>
      <c r="AN844" s="1"/>
      <c r="AO844" s="1"/>
      <c r="AP844" s="1"/>
      <c r="AQ844" s="1"/>
      <c r="AR844" s="1"/>
      <c r="AS844" s="1"/>
      <c r="AT844" s="1"/>
      <c r="AU844" s="1"/>
      <c r="AV844" s="1"/>
    </row>
    <row r="845" spans="2:48" x14ac:dyDescent="0.3">
      <c r="B845" s="1" t="s">
        <v>1444</v>
      </c>
      <c r="H845" s="1" t="s">
        <v>738</v>
      </c>
      <c r="I845" s="1"/>
      <c r="J845" s="1"/>
      <c r="K845" s="1"/>
      <c r="L845" s="1"/>
      <c r="M845" s="1"/>
      <c r="N845" s="1"/>
      <c r="O845" s="1"/>
      <c r="P845" s="1"/>
      <c r="Q845" s="1"/>
      <c r="R845" s="1"/>
      <c r="T845" s="1"/>
      <c r="U845" s="1"/>
      <c r="V845" s="1"/>
      <c r="W845" s="1"/>
      <c r="X845" s="1"/>
      <c r="Y845" s="1"/>
      <c r="Z845" s="1"/>
      <c r="AB845" s="1"/>
      <c r="AC845" s="1"/>
      <c r="AD845" s="1"/>
      <c r="AE845" s="1"/>
      <c r="AF845" s="1"/>
      <c r="AG845" s="1"/>
      <c r="AH845" s="1"/>
      <c r="AI845" s="1"/>
      <c r="AL845" s="1"/>
      <c r="AN845" s="1"/>
      <c r="AO845" s="1"/>
      <c r="AP845" s="1"/>
      <c r="AQ845" s="1"/>
      <c r="AR845" s="1"/>
      <c r="AS845" s="1"/>
      <c r="AT845" s="1"/>
      <c r="AU845" s="1"/>
      <c r="AV845" s="1"/>
    </row>
    <row r="846" spans="2:48" x14ac:dyDescent="0.3">
      <c r="B846" s="1" t="s">
        <v>1445</v>
      </c>
      <c r="H846" s="1" t="s">
        <v>738</v>
      </c>
      <c r="I846" s="1"/>
      <c r="J846" s="1"/>
      <c r="K846" s="1"/>
      <c r="L846" s="1"/>
      <c r="M846" s="1"/>
      <c r="N846" s="1"/>
      <c r="O846" s="1"/>
      <c r="P846" s="1"/>
      <c r="Q846" s="1"/>
      <c r="R846" s="1"/>
      <c r="T846" s="1"/>
      <c r="U846" s="1"/>
      <c r="V846" s="1"/>
      <c r="W846" s="1"/>
      <c r="X846" s="1"/>
      <c r="Y846" s="1"/>
      <c r="Z846" s="1"/>
      <c r="AB846" s="1"/>
      <c r="AC846" s="1"/>
      <c r="AD846" s="1"/>
      <c r="AE846" s="1"/>
      <c r="AF846" s="1"/>
      <c r="AG846" s="1"/>
      <c r="AH846" s="1"/>
      <c r="AI846" s="1"/>
      <c r="AL846" s="1"/>
      <c r="AN846" s="1"/>
      <c r="AO846" s="1"/>
      <c r="AP846" s="1"/>
      <c r="AQ846" s="1"/>
      <c r="AR846" s="1"/>
      <c r="AS846" s="1"/>
      <c r="AT846" s="1"/>
      <c r="AU846" s="1"/>
      <c r="AV846" s="1"/>
    </row>
    <row r="847" spans="2:48" x14ac:dyDescent="0.3">
      <c r="B847" s="1" t="s">
        <v>1446</v>
      </c>
      <c r="H847" s="1" t="s">
        <v>738</v>
      </c>
      <c r="I847" s="1"/>
      <c r="J847" s="1"/>
      <c r="K847" s="1"/>
      <c r="L847" s="1"/>
      <c r="M847" s="1"/>
      <c r="N847" s="1"/>
      <c r="O847" s="1"/>
      <c r="P847" s="1"/>
      <c r="Q847" s="1"/>
      <c r="R847" s="1"/>
      <c r="T847" s="1"/>
      <c r="U847" s="1"/>
      <c r="V847" s="1"/>
      <c r="W847" s="1"/>
      <c r="X847" s="1"/>
      <c r="Y847" s="1"/>
      <c r="Z847" s="1"/>
      <c r="AB847" s="1"/>
      <c r="AC847" s="1"/>
      <c r="AD847" s="1"/>
      <c r="AE847" s="1"/>
      <c r="AF847" s="1"/>
      <c r="AG847" s="1"/>
      <c r="AH847" s="1"/>
      <c r="AI847" s="1"/>
      <c r="AL847" s="1"/>
      <c r="AN847" s="1"/>
      <c r="AO847" s="1"/>
      <c r="AP847" s="1"/>
      <c r="AQ847" s="1"/>
      <c r="AR847" s="1"/>
      <c r="AS847" s="1"/>
      <c r="AT847" s="1"/>
      <c r="AU847" s="1"/>
      <c r="AV847" s="1"/>
    </row>
    <row r="848" spans="2:48" x14ac:dyDescent="0.3">
      <c r="B848" s="1" t="s">
        <v>1447</v>
      </c>
      <c r="H848" s="1" t="s">
        <v>738</v>
      </c>
      <c r="I848" s="1"/>
      <c r="J848" s="1"/>
      <c r="K848" s="1"/>
      <c r="L848" s="1"/>
      <c r="M848" s="1"/>
      <c r="N848" s="1"/>
      <c r="O848" s="1"/>
      <c r="P848" s="1"/>
      <c r="Q848" s="1"/>
      <c r="R848" s="1"/>
      <c r="T848" s="1"/>
      <c r="U848" s="1"/>
      <c r="V848" s="1"/>
      <c r="W848" s="1"/>
      <c r="X848" s="1"/>
      <c r="Y848" s="1"/>
      <c r="Z848" s="1"/>
      <c r="AB848" s="1"/>
      <c r="AC848" s="1"/>
      <c r="AD848" s="1"/>
      <c r="AE848" s="1"/>
      <c r="AF848" s="1"/>
      <c r="AG848" s="1"/>
      <c r="AH848" s="1"/>
      <c r="AI848" s="1"/>
      <c r="AL848" s="1"/>
      <c r="AN848" s="1"/>
      <c r="AO848" s="1"/>
      <c r="AP848" s="1"/>
      <c r="AQ848" s="1"/>
      <c r="AR848" s="1"/>
      <c r="AS848" s="1"/>
      <c r="AT848" s="1"/>
      <c r="AU848" s="1"/>
      <c r="AV848" s="1"/>
    </row>
    <row r="849" spans="2:48" x14ac:dyDescent="0.3">
      <c r="B849" s="1" t="s">
        <v>1448</v>
      </c>
      <c r="H849" s="1" t="s">
        <v>738</v>
      </c>
      <c r="I849" s="1"/>
      <c r="J849" s="1"/>
      <c r="K849" s="1"/>
      <c r="L849" s="1"/>
      <c r="M849" s="1"/>
      <c r="N849" s="1"/>
      <c r="O849" s="1"/>
      <c r="P849" s="1"/>
      <c r="Q849" s="1"/>
      <c r="R849" s="1"/>
      <c r="T849" s="1"/>
      <c r="U849" s="1"/>
      <c r="V849" s="1"/>
      <c r="W849" s="1"/>
      <c r="X849" s="1"/>
      <c r="Y849" s="1"/>
      <c r="Z849" s="1"/>
      <c r="AB849" s="1"/>
      <c r="AC849" s="1"/>
      <c r="AD849" s="1"/>
      <c r="AE849" s="1"/>
      <c r="AF849" s="1"/>
      <c r="AG849" s="1"/>
      <c r="AH849" s="1"/>
      <c r="AI849" s="1"/>
      <c r="AL849" s="1"/>
      <c r="AN849" s="1"/>
      <c r="AO849" s="1"/>
      <c r="AP849" s="1"/>
      <c r="AQ849" s="1"/>
      <c r="AR849" s="1"/>
      <c r="AS849" s="1"/>
      <c r="AT849" s="1"/>
      <c r="AU849" s="1"/>
      <c r="AV849" s="1"/>
    </row>
    <row r="850" spans="2:48" x14ac:dyDescent="0.3">
      <c r="B850" s="1" t="s">
        <v>1449</v>
      </c>
      <c r="H850" s="1" t="s">
        <v>738</v>
      </c>
      <c r="I850" s="1"/>
      <c r="J850" s="1"/>
      <c r="K850" s="1"/>
      <c r="L850" s="1"/>
      <c r="M850" s="1"/>
      <c r="N850" s="1"/>
      <c r="O850" s="1"/>
      <c r="P850" s="1"/>
      <c r="Q850" s="1"/>
      <c r="R850" s="1"/>
      <c r="T850" s="1"/>
      <c r="U850" s="1"/>
      <c r="V850" s="1"/>
      <c r="W850" s="1"/>
      <c r="X850" s="1"/>
      <c r="Y850" s="1"/>
      <c r="Z850" s="1"/>
      <c r="AB850" s="1"/>
      <c r="AC850" s="1"/>
      <c r="AD850" s="1"/>
      <c r="AE850" s="1"/>
      <c r="AF850" s="1"/>
      <c r="AG850" s="1"/>
      <c r="AH850" s="1"/>
      <c r="AI850" s="1"/>
      <c r="AL850" s="1"/>
      <c r="AN850" s="1"/>
      <c r="AO850" s="1"/>
      <c r="AP850" s="1"/>
      <c r="AQ850" s="1"/>
      <c r="AR850" s="1"/>
      <c r="AS850" s="1"/>
      <c r="AT850" s="1"/>
      <c r="AU850" s="1"/>
      <c r="AV850" s="1"/>
    </row>
    <row r="851" spans="2:48" x14ac:dyDescent="0.3">
      <c r="B851" s="1" t="s">
        <v>1450</v>
      </c>
      <c r="H851" s="1" t="s">
        <v>738</v>
      </c>
      <c r="I851" s="1"/>
      <c r="J851" s="1"/>
      <c r="K851" s="1"/>
      <c r="L851" s="1"/>
      <c r="M851" s="1"/>
      <c r="N851" s="1"/>
      <c r="O851" s="1"/>
      <c r="P851" s="1"/>
      <c r="Q851" s="1"/>
      <c r="R851" s="1"/>
      <c r="T851" s="1"/>
      <c r="U851" s="1"/>
      <c r="V851" s="1"/>
      <c r="W851" s="1"/>
      <c r="X851" s="1"/>
      <c r="Y851" s="1"/>
      <c r="Z851" s="1"/>
      <c r="AB851" s="1"/>
      <c r="AC851" s="1"/>
      <c r="AD851" s="1"/>
      <c r="AE851" s="1"/>
      <c r="AF851" s="1"/>
      <c r="AG851" s="1"/>
      <c r="AH851" s="1"/>
      <c r="AI851" s="1"/>
      <c r="AL851" s="1"/>
      <c r="AN851" s="1"/>
      <c r="AO851" s="1"/>
      <c r="AP851" s="1"/>
      <c r="AQ851" s="1"/>
      <c r="AR851" s="1"/>
      <c r="AS851" s="1"/>
      <c r="AT851" s="1"/>
      <c r="AU851" s="1"/>
      <c r="AV851" s="1"/>
    </row>
    <row r="852" spans="2:48" x14ac:dyDescent="0.3">
      <c r="B852" s="1" t="s">
        <v>1451</v>
      </c>
      <c r="H852" s="1" t="s">
        <v>738</v>
      </c>
      <c r="I852" s="1"/>
      <c r="J852" s="1"/>
      <c r="K852" s="1"/>
      <c r="L852" s="1"/>
      <c r="M852" s="1"/>
      <c r="N852" s="1"/>
      <c r="O852" s="1"/>
      <c r="P852" s="1"/>
      <c r="Q852" s="1"/>
      <c r="R852" s="1"/>
      <c r="T852" s="1"/>
      <c r="U852" s="1"/>
      <c r="V852" s="1"/>
      <c r="W852" s="1"/>
      <c r="X852" s="1"/>
      <c r="Y852" s="1"/>
      <c r="Z852" s="1"/>
      <c r="AB852" s="1"/>
      <c r="AC852" s="1"/>
      <c r="AD852" s="1"/>
      <c r="AE852" s="1"/>
      <c r="AF852" s="1"/>
      <c r="AG852" s="1"/>
      <c r="AH852" s="1"/>
      <c r="AI852" s="1"/>
      <c r="AL852" s="1"/>
      <c r="AN852" s="1"/>
      <c r="AO852" s="1"/>
      <c r="AP852" s="1"/>
      <c r="AQ852" s="1"/>
      <c r="AR852" s="1"/>
      <c r="AS852" s="1"/>
      <c r="AT852" s="1"/>
      <c r="AU852" s="1"/>
      <c r="AV852" s="1"/>
    </row>
    <row r="853" spans="2:48" x14ac:dyDescent="0.3">
      <c r="B853" s="1" t="s">
        <v>1452</v>
      </c>
      <c r="H853" s="1" t="s">
        <v>738</v>
      </c>
      <c r="I853" s="1"/>
      <c r="J853" s="1"/>
      <c r="K853" s="1"/>
      <c r="L853" s="1"/>
      <c r="M853" s="1"/>
      <c r="N853" s="1"/>
      <c r="O853" s="1"/>
      <c r="P853" s="1"/>
      <c r="Q853" s="1"/>
      <c r="R853" s="1"/>
      <c r="T853" s="1"/>
      <c r="U853" s="1"/>
      <c r="V853" s="1"/>
      <c r="W853" s="1"/>
      <c r="X853" s="1"/>
      <c r="Y853" s="1"/>
      <c r="Z853" s="1"/>
      <c r="AB853" s="1"/>
      <c r="AC853" s="1"/>
      <c r="AD853" s="1"/>
      <c r="AE853" s="1"/>
      <c r="AF853" s="1"/>
      <c r="AG853" s="1"/>
      <c r="AH853" s="1"/>
      <c r="AI853" s="1"/>
      <c r="AL853" s="1"/>
      <c r="AN853" s="1"/>
      <c r="AO853" s="1"/>
      <c r="AP853" s="1"/>
      <c r="AQ853" s="1"/>
      <c r="AR853" s="1"/>
      <c r="AS853" s="1"/>
      <c r="AT853" s="1"/>
      <c r="AU853" s="1"/>
      <c r="AV853" s="1"/>
    </row>
    <row r="854" spans="2:48" x14ac:dyDescent="0.3">
      <c r="B854" s="1" t="s">
        <v>1453</v>
      </c>
      <c r="H854" s="1" t="s">
        <v>738</v>
      </c>
      <c r="I854" s="1"/>
      <c r="J854" s="1"/>
      <c r="K854" s="1"/>
      <c r="L854" s="1"/>
      <c r="M854" s="1"/>
      <c r="N854" s="1"/>
      <c r="O854" s="1"/>
      <c r="P854" s="1"/>
      <c r="Q854" s="1"/>
      <c r="R854" s="1"/>
      <c r="T854" s="1"/>
      <c r="U854" s="1"/>
      <c r="V854" s="1"/>
      <c r="W854" s="1"/>
      <c r="X854" s="1"/>
      <c r="Y854" s="1"/>
      <c r="Z854" s="1"/>
      <c r="AB854" s="1"/>
      <c r="AC854" s="1"/>
      <c r="AD854" s="1"/>
      <c r="AE854" s="1"/>
      <c r="AF854" s="1"/>
      <c r="AG854" s="1"/>
      <c r="AH854" s="1"/>
      <c r="AI854" s="1"/>
      <c r="AL854" s="1"/>
      <c r="AN854" s="1"/>
      <c r="AO854" s="1"/>
      <c r="AP854" s="1"/>
      <c r="AQ854" s="1"/>
      <c r="AR854" s="1"/>
      <c r="AS854" s="1"/>
      <c r="AT854" s="1"/>
      <c r="AU854" s="1"/>
      <c r="AV854" s="1"/>
    </row>
    <row r="855" spans="2:48" x14ac:dyDescent="0.3">
      <c r="B855" s="1" t="s">
        <v>1454</v>
      </c>
      <c r="H855" s="1" t="s">
        <v>738</v>
      </c>
      <c r="I855" s="1"/>
      <c r="J855" s="1"/>
      <c r="K855" s="1"/>
      <c r="L855" s="1"/>
      <c r="M855" s="1"/>
      <c r="N855" s="1"/>
      <c r="O855" s="1"/>
      <c r="P855" s="1"/>
      <c r="Q855" s="1"/>
      <c r="R855" s="1"/>
      <c r="T855" s="1"/>
      <c r="U855" s="1"/>
      <c r="V855" s="1"/>
      <c r="W855" s="1"/>
      <c r="X855" s="1"/>
      <c r="Y855" s="1"/>
      <c r="Z855" s="1"/>
      <c r="AB855" s="1"/>
      <c r="AC855" s="1"/>
      <c r="AD855" s="1"/>
      <c r="AE855" s="1"/>
      <c r="AF855" s="1"/>
      <c r="AG855" s="1"/>
      <c r="AH855" s="1"/>
      <c r="AI855" s="1"/>
      <c r="AL855" s="1"/>
      <c r="AN855" s="1"/>
      <c r="AO855" s="1"/>
      <c r="AP855" s="1"/>
      <c r="AQ855" s="1"/>
      <c r="AR855" s="1"/>
      <c r="AS855" s="1"/>
      <c r="AT855" s="1"/>
      <c r="AU855" s="1"/>
      <c r="AV855" s="1"/>
    </row>
    <row r="856" spans="2:48" x14ac:dyDescent="0.3">
      <c r="B856" s="1" t="s">
        <v>1455</v>
      </c>
      <c r="H856" s="1" t="s">
        <v>738</v>
      </c>
      <c r="I856" s="1"/>
      <c r="J856" s="1"/>
      <c r="K856" s="1"/>
      <c r="L856" s="1"/>
      <c r="M856" s="1"/>
      <c r="N856" s="1"/>
      <c r="O856" s="1"/>
      <c r="P856" s="1"/>
      <c r="Q856" s="1"/>
      <c r="R856" s="1"/>
      <c r="T856" s="1"/>
      <c r="U856" s="1"/>
      <c r="V856" s="1"/>
      <c r="W856" s="1"/>
      <c r="X856" s="1"/>
      <c r="Y856" s="1"/>
      <c r="Z856" s="1"/>
      <c r="AB856" s="1"/>
      <c r="AC856" s="1"/>
      <c r="AD856" s="1"/>
      <c r="AE856" s="1"/>
      <c r="AF856" s="1"/>
      <c r="AG856" s="1"/>
      <c r="AH856" s="1"/>
      <c r="AI856" s="1"/>
      <c r="AL856" s="1"/>
      <c r="AN856" s="1"/>
      <c r="AO856" s="1"/>
      <c r="AP856" s="1"/>
      <c r="AQ856" s="1"/>
      <c r="AR856" s="1"/>
      <c r="AS856" s="1"/>
      <c r="AT856" s="1"/>
      <c r="AU856" s="1"/>
      <c r="AV856" s="1"/>
    </row>
    <row r="857" spans="2:48" x14ac:dyDescent="0.3">
      <c r="B857" s="1" t="s">
        <v>1456</v>
      </c>
      <c r="H857" s="1" t="s">
        <v>738</v>
      </c>
      <c r="I857" s="1"/>
      <c r="J857" s="1"/>
      <c r="K857" s="1"/>
      <c r="L857" s="1"/>
      <c r="M857" s="1"/>
      <c r="N857" s="1"/>
      <c r="O857" s="1"/>
      <c r="P857" s="1"/>
      <c r="Q857" s="1"/>
      <c r="R857" s="1"/>
      <c r="T857" s="1"/>
      <c r="U857" s="1"/>
      <c r="V857" s="1"/>
      <c r="W857" s="1"/>
      <c r="X857" s="1"/>
      <c r="Y857" s="1"/>
      <c r="Z857" s="1"/>
      <c r="AB857" s="1"/>
      <c r="AC857" s="1"/>
      <c r="AD857" s="1"/>
      <c r="AE857" s="1"/>
      <c r="AF857" s="1"/>
      <c r="AG857" s="1"/>
      <c r="AH857" s="1"/>
      <c r="AI857" s="1"/>
      <c r="AL857" s="1"/>
      <c r="AN857" s="1"/>
      <c r="AO857" s="1"/>
      <c r="AP857" s="1"/>
      <c r="AQ857" s="1"/>
      <c r="AR857" s="1"/>
      <c r="AS857" s="1"/>
      <c r="AT857" s="1"/>
      <c r="AU857" s="1"/>
      <c r="AV857" s="1"/>
    </row>
    <row r="858" spans="2:48" x14ac:dyDescent="0.3">
      <c r="B858" s="1" t="s">
        <v>1457</v>
      </c>
      <c r="H858" s="1" t="s">
        <v>738</v>
      </c>
      <c r="I858" s="1"/>
      <c r="J858" s="1"/>
      <c r="K858" s="1"/>
      <c r="L858" s="1"/>
      <c r="M858" s="1"/>
      <c r="N858" s="1"/>
      <c r="O858" s="1"/>
      <c r="P858" s="1"/>
      <c r="Q858" s="1"/>
      <c r="R858" s="1"/>
      <c r="T858" s="1"/>
      <c r="U858" s="1"/>
      <c r="V858" s="1"/>
      <c r="W858" s="1"/>
      <c r="X858" s="1"/>
      <c r="Y858" s="1"/>
      <c r="Z858" s="1"/>
      <c r="AB858" s="1"/>
      <c r="AC858" s="1"/>
      <c r="AD858" s="1"/>
      <c r="AE858" s="1"/>
      <c r="AF858" s="1"/>
      <c r="AG858" s="1"/>
      <c r="AH858" s="1"/>
      <c r="AI858" s="1"/>
      <c r="AL858" s="1"/>
      <c r="AN858" s="1"/>
      <c r="AO858" s="1"/>
      <c r="AP858" s="1"/>
      <c r="AQ858" s="1"/>
      <c r="AR858" s="1"/>
      <c r="AS858" s="1"/>
      <c r="AT858" s="1"/>
      <c r="AU858" s="1"/>
      <c r="AV858" s="1"/>
    </row>
    <row r="859" spans="2:48" x14ac:dyDescent="0.3">
      <c r="B859" s="1" t="s">
        <v>1458</v>
      </c>
      <c r="H859" s="1" t="s">
        <v>738</v>
      </c>
      <c r="I859" s="1"/>
      <c r="J859" s="1"/>
      <c r="K859" s="1"/>
      <c r="L859" s="1"/>
      <c r="M859" s="1"/>
      <c r="N859" s="1"/>
      <c r="O859" s="1"/>
      <c r="P859" s="1"/>
      <c r="Q859" s="1"/>
      <c r="R859" s="1"/>
      <c r="T859" s="1"/>
      <c r="U859" s="1"/>
      <c r="V859" s="1"/>
      <c r="W859" s="1"/>
      <c r="X859" s="1"/>
      <c r="Y859" s="1"/>
      <c r="Z859" s="1"/>
      <c r="AB859" s="1"/>
      <c r="AC859" s="1"/>
      <c r="AD859" s="1"/>
      <c r="AE859" s="1"/>
      <c r="AF859" s="1"/>
      <c r="AG859" s="1"/>
      <c r="AH859" s="1"/>
      <c r="AI859" s="1"/>
      <c r="AL859" s="1"/>
      <c r="AN859" s="1"/>
      <c r="AO859" s="1"/>
      <c r="AP859" s="1"/>
      <c r="AQ859" s="1"/>
      <c r="AR859" s="1"/>
      <c r="AS859" s="1"/>
      <c r="AT859" s="1"/>
      <c r="AU859" s="1"/>
      <c r="AV859" s="1"/>
    </row>
    <row r="860" spans="2:48" x14ac:dyDescent="0.3">
      <c r="B860" s="1" t="s">
        <v>1459</v>
      </c>
      <c r="H860" s="1" t="s">
        <v>738</v>
      </c>
      <c r="I860" s="1"/>
      <c r="J860" s="1"/>
      <c r="K860" s="1"/>
      <c r="L860" s="1"/>
      <c r="M860" s="1"/>
      <c r="N860" s="1"/>
      <c r="O860" s="1"/>
      <c r="P860" s="1"/>
      <c r="Q860" s="1"/>
      <c r="R860" s="1"/>
      <c r="T860" s="1"/>
      <c r="U860" s="1"/>
      <c r="V860" s="1"/>
      <c r="W860" s="1"/>
      <c r="X860" s="1"/>
      <c r="Y860" s="1"/>
      <c r="Z860" s="1"/>
      <c r="AB860" s="1"/>
      <c r="AC860" s="1"/>
      <c r="AD860" s="1"/>
      <c r="AE860" s="1"/>
      <c r="AF860" s="1"/>
      <c r="AG860" s="1"/>
      <c r="AH860" s="1"/>
      <c r="AI860" s="1"/>
      <c r="AL860" s="1"/>
      <c r="AN860" s="1"/>
      <c r="AO860" s="1"/>
      <c r="AP860" s="1"/>
      <c r="AQ860" s="1"/>
      <c r="AR860" s="1"/>
      <c r="AS860" s="1"/>
      <c r="AT860" s="1"/>
      <c r="AU860" s="1"/>
      <c r="AV860" s="1"/>
    </row>
    <row r="861" spans="2:48" x14ac:dyDescent="0.3">
      <c r="B861" s="1" t="s">
        <v>1460</v>
      </c>
      <c r="H861" s="1" t="s">
        <v>738</v>
      </c>
      <c r="I861" s="1"/>
      <c r="J861" s="1"/>
      <c r="K861" s="1"/>
      <c r="L861" s="1"/>
      <c r="M861" s="1"/>
      <c r="N861" s="1"/>
      <c r="O861" s="1"/>
      <c r="P861" s="1"/>
      <c r="Q861" s="1"/>
      <c r="R861" s="1"/>
      <c r="T861" s="1"/>
      <c r="U861" s="1"/>
      <c r="V861" s="1"/>
      <c r="W861" s="1"/>
      <c r="X861" s="1"/>
      <c r="Y861" s="1"/>
      <c r="Z861" s="1"/>
      <c r="AB861" s="1"/>
      <c r="AC861" s="1"/>
      <c r="AD861" s="1"/>
      <c r="AE861" s="1"/>
      <c r="AF861" s="1"/>
      <c r="AG861" s="1"/>
      <c r="AH861" s="1"/>
      <c r="AI861" s="1"/>
      <c r="AL861" s="1"/>
      <c r="AN861" s="1"/>
      <c r="AO861" s="1"/>
      <c r="AP861" s="1"/>
      <c r="AQ861" s="1"/>
      <c r="AR861" s="1"/>
      <c r="AS861" s="1"/>
      <c r="AT861" s="1"/>
      <c r="AU861" s="1"/>
      <c r="AV861" s="1"/>
    </row>
    <row r="862" spans="2:48" x14ac:dyDescent="0.3">
      <c r="B862" s="1" t="s">
        <v>1461</v>
      </c>
      <c r="H862" s="1" t="s">
        <v>738</v>
      </c>
      <c r="I862" s="1"/>
      <c r="J862" s="1"/>
      <c r="K862" s="1"/>
      <c r="L862" s="1"/>
      <c r="M862" s="1"/>
      <c r="N862" s="1"/>
      <c r="O862" s="1"/>
      <c r="P862" s="1"/>
      <c r="Q862" s="1"/>
      <c r="R862" s="1"/>
      <c r="T862" s="1"/>
      <c r="U862" s="1"/>
      <c r="V862" s="1"/>
      <c r="W862" s="1"/>
      <c r="X862" s="1"/>
      <c r="Y862" s="1"/>
      <c r="Z862" s="1"/>
      <c r="AB862" s="1"/>
      <c r="AC862" s="1"/>
      <c r="AD862" s="1"/>
      <c r="AE862" s="1"/>
      <c r="AF862" s="1"/>
      <c r="AG862" s="1"/>
      <c r="AH862" s="1"/>
      <c r="AI862" s="1"/>
      <c r="AL862" s="1"/>
      <c r="AN862" s="1"/>
      <c r="AO862" s="1"/>
      <c r="AP862" s="1"/>
      <c r="AQ862" s="1"/>
      <c r="AR862" s="1"/>
      <c r="AS862" s="1"/>
      <c r="AT862" s="1"/>
      <c r="AU862" s="1"/>
      <c r="AV862" s="1"/>
    </row>
    <row r="863" spans="2:48" x14ac:dyDescent="0.3">
      <c r="B863" s="1" t="s">
        <v>1462</v>
      </c>
      <c r="H863" s="1" t="s">
        <v>738</v>
      </c>
      <c r="I863" s="1"/>
      <c r="J863" s="1"/>
      <c r="K863" s="1"/>
      <c r="L863" s="1"/>
      <c r="M863" s="1"/>
      <c r="N863" s="1"/>
      <c r="O863" s="1"/>
      <c r="P863" s="1"/>
      <c r="Q863" s="1"/>
      <c r="R863" s="1"/>
      <c r="T863" s="1"/>
      <c r="U863" s="1"/>
      <c r="V863" s="1"/>
      <c r="W863" s="1"/>
      <c r="X863" s="1"/>
      <c r="Y863" s="1"/>
      <c r="Z863" s="1"/>
      <c r="AB863" s="1"/>
      <c r="AC863" s="1"/>
      <c r="AD863" s="1"/>
      <c r="AE863" s="1"/>
      <c r="AF863" s="1"/>
      <c r="AG863" s="1"/>
      <c r="AH863" s="1"/>
      <c r="AI863" s="1"/>
      <c r="AL863" s="1"/>
      <c r="AN863" s="1"/>
      <c r="AO863" s="1"/>
      <c r="AP863" s="1"/>
      <c r="AQ863" s="1"/>
      <c r="AR863" s="1"/>
      <c r="AS863" s="1"/>
      <c r="AT863" s="1"/>
      <c r="AU863" s="1"/>
      <c r="AV863" s="1"/>
    </row>
    <row r="864" spans="2:48" x14ac:dyDescent="0.3">
      <c r="B864" s="1" t="s">
        <v>1463</v>
      </c>
      <c r="H864" s="1" t="s">
        <v>738</v>
      </c>
      <c r="I864" s="1"/>
      <c r="J864" s="1"/>
      <c r="K864" s="1"/>
      <c r="L864" s="1"/>
      <c r="M864" s="1"/>
      <c r="N864" s="1"/>
      <c r="O864" s="1"/>
      <c r="P864" s="1"/>
      <c r="Q864" s="1"/>
      <c r="R864" s="1"/>
      <c r="T864" s="1"/>
      <c r="U864" s="1"/>
      <c r="V864" s="1"/>
      <c r="W864" s="1"/>
      <c r="X864" s="1"/>
      <c r="Y864" s="1"/>
      <c r="Z864" s="1"/>
      <c r="AB864" s="1"/>
      <c r="AC864" s="1"/>
      <c r="AD864" s="1"/>
      <c r="AE864" s="1"/>
      <c r="AF864" s="1"/>
      <c r="AG864" s="1"/>
      <c r="AH864" s="1"/>
      <c r="AI864" s="1"/>
      <c r="AL864" s="1"/>
      <c r="AN864" s="1"/>
      <c r="AO864" s="1"/>
      <c r="AP864" s="1"/>
      <c r="AQ864" s="1"/>
      <c r="AR864" s="1"/>
      <c r="AS864" s="1"/>
      <c r="AT864" s="1"/>
      <c r="AU864" s="1"/>
      <c r="AV864" s="1"/>
    </row>
    <row r="865" spans="2:48" x14ac:dyDescent="0.3">
      <c r="B865" s="1" t="s">
        <v>1464</v>
      </c>
      <c r="H865" s="1" t="s">
        <v>738</v>
      </c>
      <c r="I865" s="1"/>
      <c r="J865" s="1"/>
      <c r="K865" s="1"/>
      <c r="L865" s="1"/>
      <c r="M865" s="1"/>
      <c r="N865" s="1"/>
      <c r="O865" s="1"/>
      <c r="P865" s="1"/>
      <c r="Q865" s="1"/>
      <c r="R865" s="1"/>
      <c r="T865" s="1"/>
      <c r="U865" s="1"/>
      <c r="V865" s="1"/>
      <c r="W865" s="1"/>
      <c r="X865" s="1"/>
      <c r="Y865" s="1"/>
      <c r="Z865" s="1"/>
      <c r="AB865" s="1"/>
      <c r="AC865" s="1"/>
      <c r="AD865" s="1"/>
      <c r="AE865" s="1"/>
      <c r="AF865" s="1"/>
      <c r="AG865" s="1"/>
      <c r="AH865" s="1"/>
      <c r="AI865" s="1"/>
      <c r="AL865" s="1"/>
      <c r="AN865" s="1"/>
      <c r="AO865" s="1"/>
      <c r="AP865" s="1"/>
      <c r="AQ865" s="1"/>
      <c r="AR865" s="1"/>
      <c r="AS865" s="1"/>
      <c r="AT865" s="1"/>
      <c r="AU865" s="1"/>
      <c r="AV865" s="1"/>
    </row>
    <row r="866" spans="2:48" x14ac:dyDescent="0.3">
      <c r="B866" s="1" t="s">
        <v>1465</v>
      </c>
      <c r="H866" s="1" t="s">
        <v>738</v>
      </c>
      <c r="I866" s="1"/>
      <c r="J866" s="1"/>
      <c r="K866" s="1"/>
      <c r="L866" s="1"/>
      <c r="M866" s="1"/>
      <c r="N866" s="1"/>
      <c r="O866" s="1"/>
      <c r="P866" s="1"/>
      <c r="Q866" s="1"/>
      <c r="R866" s="1"/>
      <c r="T866" s="1"/>
      <c r="U866" s="1"/>
      <c r="V866" s="1"/>
      <c r="W866" s="1"/>
      <c r="X866" s="1"/>
      <c r="Y866" s="1"/>
      <c r="Z866" s="1"/>
      <c r="AB866" s="1"/>
      <c r="AC866" s="1"/>
      <c r="AD866" s="1"/>
      <c r="AE866" s="1"/>
      <c r="AF866" s="1"/>
      <c r="AG866" s="1"/>
      <c r="AH866" s="1"/>
      <c r="AI866" s="1"/>
      <c r="AL866" s="1"/>
      <c r="AN866" s="1"/>
      <c r="AO866" s="1"/>
      <c r="AP866" s="1"/>
      <c r="AQ866" s="1"/>
      <c r="AR866" s="1"/>
      <c r="AS866" s="1"/>
      <c r="AT866" s="1"/>
      <c r="AU866" s="1"/>
      <c r="AV866" s="1"/>
    </row>
    <row r="867" spans="2:48" x14ac:dyDescent="0.3">
      <c r="B867" s="1" t="s">
        <v>1466</v>
      </c>
      <c r="H867" s="1" t="s">
        <v>738</v>
      </c>
      <c r="I867" s="1"/>
      <c r="J867" s="1"/>
      <c r="K867" s="1"/>
      <c r="L867" s="1"/>
      <c r="M867" s="1"/>
      <c r="N867" s="1"/>
      <c r="O867" s="1"/>
      <c r="P867" s="1"/>
      <c r="Q867" s="1"/>
      <c r="R867" s="1"/>
      <c r="T867" s="1"/>
      <c r="U867" s="1"/>
      <c r="V867" s="1"/>
      <c r="W867" s="1"/>
      <c r="X867" s="1"/>
      <c r="Y867" s="1"/>
      <c r="Z867" s="1"/>
      <c r="AB867" s="1"/>
      <c r="AC867" s="1"/>
      <c r="AD867" s="1"/>
      <c r="AE867" s="1"/>
      <c r="AF867" s="1"/>
      <c r="AG867" s="1"/>
      <c r="AH867" s="1"/>
      <c r="AI867" s="1"/>
      <c r="AL867" s="1"/>
      <c r="AN867" s="1"/>
      <c r="AO867" s="1"/>
      <c r="AP867" s="1"/>
      <c r="AQ867" s="1"/>
      <c r="AR867" s="1"/>
      <c r="AS867" s="1"/>
      <c r="AT867" s="1"/>
      <c r="AU867" s="1"/>
      <c r="AV867" s="1"/>
    </row>
    <row r="868" spans="2:48" x14ac:dyDescent="0.3">
      <c r="B868" s="1" t="s">
        <v>1467</v>
      </c>
      <c r="H868" s="1" t="s">
        <v>738</v>
      </c>
      <c r="I868" s="1"/>
      <c r="J868" s="1"/>
      <c r="K868" s="1"/>
      <c r="L868" s="1"/>
      <c r="M868" s="1"/>
      <c r="N868" s="1"/>
      <c r="O868" s="1"/>
      <c r="P868" s="1"/>
      <c r="Q868" s="1"/>
      <c r="R868" s="1"/>
      <c r="T868" s="1"/>
      <c r="U868" s="1"/>
      <c r="V868" s="1"/>
      <c r="W868" s="1"/>
      <c r="X868" s="1"/>
      <c r="Y868" s="1"/>
      <c r="Z868" s="1"/>
      <c r="AB868" s="1"/>
      <c r="AC868" s="1"/>
      <c r="AD868" s="1"/>
      <c r="AE868" s="1"/>
      <c r="AF868" s="1"/>
      <c r="AG868" s="1"/>
      <c r="AH868" s="1"/>
      <c r="AI868" s="1"/>
      <c r="AL868" s="1"/>
      <c r="AN868" s="1"/>
      <c r="AO868" s="1"/>
      <c r="AP868" s="1"/>
      <c r="AQ868" s="1"/>
      <c r="AR868" s="1"/>
      <c r="AS868" s="1"/>
      <c r="AT868" s="1"/>
      <c r="AU868" s="1"/>
      <c r="AV868" s="1"/>
    </row>
    <row r="869" spans="2:48" x14ac:dyDescent="0.3">
      <c r="B869" s="1" t="s">
        <v>1468</v>
      </c>
      <c r="H869" s="1" t="s">
        <v>738</v>
      </c>
      <c r="I869" s="1"/>
      <c r="J869" s="1"/>
      <c r="K869" s="1"/>
      <c r="L869" s="1"/>
      <c r="M869" s="1"/>
      <c r="N869" s="1"/>
      <c r="O869" s="1"/>
      <c r="P869" s="1"/>
      <c r="Q869" s="1"/>
      <c r="R869" s="1"/>
      <c r="T869" s="1"/>
      <c r="U869" s="1"/>
      <c r="V869" s="1"/>
      <c r="W869" s="1"/>
      <c r="X869" s="1"/>
      <c r="Y869" s="1"/>
      <c r="Z869" s="1"/>
      <c r="AB869" s="1"/>
      <c r="AC869" s="1"/>
      <c r="AD869" s="1"/>
      <c r="AE869" s="1"/>
      <c r="AF869" s="1"/>
      <c r="AG869" s="1"/>
      <c r="AH869" s="1"/>
      <c r="AI869" s="1"/>
      <c r="AL869" s="1"/>
      <c r="AN869" s="1"/>
      <c r="AO869" s="1"/>
      <c r="AP869" s="1"/>
      <c r="AQ869" s="1"/>
      <c r="AR869" s="1"/>
      <c r="AS869" s="1"/>
      <c r="AT869" s="1"/>
      <c r="AU869" s="1"/>
      <c r="AV869" s="1"/>
    </row>
    <row r="870" spans="2:48" x14ac:dyDescent="0.3">
      <c r="B870" s="1" t="s">
        <v>1469</v>
      </c>
      <c r="H870" s="1" t="s">
        <v>738</v>
      </c>
      <c r="I870" s="1"/>
      <c r="J870" s="1"/>
      <c r="K870" s="1"/>
      <c r="L870" s="1"/>
      <c r="M870" s="1"/>
      <c r="N870" s="1"/>
      <c r="O870" s="1"/>
      <c r="P870" s="1"/>
      <c r="Q870" s="1"/>
      <c r="R870" s="1"/>
      <c r="T870" s="1"/>
      <c r="U870" s="1"/>
      <c r="V870" s="1"/>
      <c r="W870" s="1"/>
      <c r="X870" s="1"/>
      <c r="Y870" s="1"/>
      <c r="Z870" s="1"/>
      <c r="AB870" s="1"/>
      <c r="AC870" s="1"/>
      <c r="AD870" s="1"/>
      <c r="AE870" s="1"/>
      <c r="AF870" s="1"/>
      <c r="AG870" s="1"/>
      <c r="AH870" s="1"/>
      <c r="AI870" s="1"/>
      <c r="AL870" s="1"/>
      <c r="AN870" s="1"/>
      <c r="AO870" s="1"/>
      <c r="AP870" s="1"/>
      <c r="AQ870" s="1"/>
      <c r="AR870" s="1"/>
      <c r="AS870" s="1"/>
      <c r="AT870" s="1"/>
      <c r="AU870" s="1"/>
      <c r="AV870" s="1"/>
    </row>
    <row r="871" spans="2:48" x14ac:dyDescent="0.3">
      <c r="B871" s="1" t="s">
        <v>1470</v>
      </c>
      <c r="H871" s="1" t="s">
        <v>738</v>
      </c>
      <c r="I871" s="1"/>
      <c r="J871" s="1"/>
      <c r="K871" s="1"/>
      <c r="L871" s="1"/>
      <c r="M871" s="1"/>
      <c r="N871" s="1"/>
      <c r="O871" s="1"/>
      <c r="P871" s="1"/>
      <c r="Q871" s="1"/>
      <c r="R871" s="1"/>
      <c r="T871" s="1"/>
      <c r="U871" s="1"/>
      <c r="V871" s="1"/>
      <c r="W871" s="1"/>
      <c r="X871" s="1"/>
      <c r="Y871" s="1"/>
      <c r="Z871" s="1"/>
      <c r="AB871" s="1"/>
      <c r="AC871" s="1"/>
      <c r="AD871" s="1"/>
      <c r="AE871" s="1"/>
      <c r="AF871" s="1"/>
      <c r="AG871" s="1"/>
      <c r="AH871" s="1"/>
      <c r="AI871" s="1"/>
      <c r="AL871" s="1"/>
      <c r="AN871" s="1"/>
      <c r="AO871" s="1"/>
      <c r="AP871" s="1"/>
      <c r="AQ871" s="1"/>
      <c r="AR871" s="1"/>
      <c r="AS871" s="1"/>
      <c r="AT871" s="1"/>
      <c r="AU871" s="1"/>
      <c r="AV871" s="1"/>
    </row>
    <row r="872" spans="2:48" x14ac:dyDescent="0.3">
      <c r="B872" s="1" t="s">
        <v>1471</v>
      </c>
      <c r="H872" s="1" t="s">
        <v>738</v>
      </c>
      <c r="I872" s="1"/>
      <c r="J872" s="1"/>
      <c r="K872" s="1"/>
      <c r="L872" s="1"/>
      <c r="M872" s="1"/>
      <c r="N872" s="1"/>
      <c r="O872" s="1"/>
      <c r="P872" s="1"/>
      <c r="Q872" s="1"/>
      <c r="R872" s="1"/>
      <c r="T872" s="1"/>
      <c r="U872" s="1"/>
      <c r="V872" s="1"/>
      <c r="W872" s="1"/>
      <c r="X872" s="1"/>
      <c r="Y872" s="1"/>
      <c r="Z872" s="1"/>
      <c r="AB872" s="1"/>
      <c r="AC872" s="1"/>
      <c r="AD872" s="1"/>
      <c r="AE872" s="1"/>
      <c r="AF872" s="1"/>
      <c r="AG872" s="1"/>
      <c r="AH872" s="1"/>
      <c r="AI872" s="1"/>
      <c r="AL872" s="1"/>
      <c r="AN872" s="1"/>
      <c r="AO872" s="1"/>
      <c r="AP872" s="1"/>
      <c r="AQ872" s="1"/>
      <c r="AR872" s="1"/>
      <c r="AS872" s="1"/>
      <c r="AT872" s="1"/>
      <c r="AU872" s="1"/>
      <c r="AV872" s="1"/>
    </row>
    <row r="873" spans="2:48" x14ac:dyDescent="0.3">
      <c r="B873" s="1" t="s">
        <v>1472</v>
      </c>
      <c r="H873" s="1" t="s">
        <v>738</v>
      </c>
      <c r="I873" s="1"/>
      <c r="J873" s="1"/>
      <c r="K873" s="1"/>
      <c r="L873" s="1"/>
      <c r="M873" s="1"/>
      <c r="N873" s="1"/>
      <c r="O873" s="1"/>
      <c r="P873" s="1"/>
      <c r="Q873" s="1"/>
      <c r="R873" s="1"/>
      <c r="T873" s="1"/>
      <c r="U873" s="1"/>
      <c r="V873" s="1"/>
      <c r="W873" s="1"/>
      <c r="X873" s="1"/>
      <c r="Y873" s="1"/>
      <c r="Z873" s="1"/>
      <c r="AB873" s="1"/>
      <c r="AC873" s="1"/>
      <c r="AD873" s="1"/>
      <c r="AE873" s="1"/>
      <c r="AF873" s="1"/>
      <c r="AG873" s="1"/>
      <c r="AH873" s="1"/>
      <c r="AI873" s="1"/>
      <c r="AL873" s="1"/>
      <c r="AN873" s="1"/>
      <c r="AO873" s="1"/>
      <c r="AP873" s="1"/>
      <c r="AQ873" s="1"/>
      <c r="AR873" s="1"/>
      <c r="AS873" s="1"/>
      <c r="AT873" s="1"/>
      <c r="AU873" s="1"/>
      <c r="AV873" s="1"/>
    </row>
    <row r="874" spans="2:48" x14ac:dyDescent="0.3">
      <c r="B874" s="1" t="s">
        <v>1473</v>
      </c>
      <c r="H874" s="1" t="s">
        <v>738</v>
      </c>
      <c r="I874" s="1"/>
      <c r="J874" s="1"/>
      <c r="K874" s="1"/>
      <c r="L874" s="1"/>
      <c r="M874" s="1"/>
      <c r="N874" s="1"/>
      <c r="O874" s="1"/>
      <c r="P874" s="1"/>
      <c r="Q874" s="1"/>
      <c r="R874" s="1"/>
      <c r="T874" s="1"/>
      <c r="U874" s="1"/>
      <c r="V874" s="1"/>
      <c r="W874" s="1"/>
      <c r="X874" s="1"/>
      <c r="Y874" s="1"/>
      <c r="Z874" s="1"/>
      <c r="AB874" s="1"/>
      <c r="AC874" s="1"/>
      <c r="AD874" s="1"/>
      <c r="AE874" s="1"/>
      <c r="AF874" s="1"/>
      <c r="AG874" s="1"/>
      <c r="AH874" s="1"/>
      <c r="AI874" s="1"/>
      <c r="AL874" s="1"/>
      <c r="AN874" s="1"/>
      <c r="AO874" s="1"/>
      <c r="AP874" s="1"/>
      <c r="AQ874" s="1"/>
      <c r="AR874" s="1"/>
      <c r="AS874" s="1"/>
      <c r="AT874" s="1"/>
      <c r="AU874" s="1"/>
      <c r="AV874" s="1"/>
    </row>
    <row r="875" spans="2:48" x14ac:dyDescent="0.3">
      <c r="B875" s="1" t="s">
        <v>1474</v>
      </c>
      <c r="H875" s="1" t="s">
        <v>738</v>
      </c>
      <c r="I875" s="1"/>
      <c r="J875" s="1"/>
      <c r="K875" s="1"/>
      <c r="L875" s="1"/>
      <c r="M875" s="1"/>
      <c r="N875" s="1"/>
      <c r="O875" s="1"/>
      <c r="P875" s="1"/>
      <c r="Q875" s="1"/>
      <c r="R875" s="1"/>
      <c r="T875" s="1"/>
      <c r="U875" s="1"/>
      <c r="V875" s="1"/>
      <c r="W875" s="1"/>
      <c r="X875" s="1"/>
      <c r="Y875" s="1"/>
      <c r="Z875" s="1"/>
      <c r="AB875" s="1"/>
      <c r="AC875" s="1"/>
      <c r="AD875" s="1"/>
      <c r="AE875" s="1"/>
      <c r="AF875" s="1"/>
      <c r="AG875" s="1"/>
      <c r="AH875" s="1"/>
      <c r="AI875" s="1"/>
      <c r="AL875" s="1"/>
      <c r="AN875" s="1"/>
      <c r="AO875" s="1"/>
      <c r="AP875" s="1"/>
      <c r="AQ875" s="1"/>
      <c r="AR875" s="1"/>
      <c r="AS875" s="1"/>
      <c r="AT875" s="1"/>
      <c r="AU875" s="1"/>
      <c r="AV875" s="1"/>
    </row>
    <row r="876" spans="2:48" x14ac:dyDescent="0.3">
      <c r="B876" s="1" t="s">
        <v>1475</v>
      </c>
      <c r="H876" s="1" t="s">
        <v>738</v>
      </c>
      <c r="I876" s="1"/>
      <c r="J876" s="1"/>
      <c r="K876" s="1"/>
      <c r="L876" s="1"/>
      <c r="M876" s="1"/>
      <c r="N876" s="1"/>
      <c r="O876" s="1"/>
      <c r="P876" s="1"/>
      <c r="Q876" s="1"/>
      <c r="R876" s="1"/>
      <c r="T876" s="1"/>
      <c r="U876" s="1"/>
      <c r="V876" s="1"/>
      <c r="W876" s="1"/>
      <c r="X876" s="1"/>
      <c r="Y876" s="1"/>
      <c r="Z876" s="1"/>
      <c r="AB876" s="1"/>
      <c r="AC876" s="1"/>
      <c r="AD876" s="1"/>
      <c r="AE876" s="1"/>
      <c r="AF876" s="1"/>
      <c r="AG876" s="1"/>
      <c r="AH876" s="1"/>
      <c r="AI876" s="1"/>
      <c r="AL876" s="1"/>
      <c r="AN876" s="1"/>
      <c r="AO876" s="1"/>
      <c r="AP876" s="1"/>
      <c r="AQ876" s="1"/>
      <c r="AR876" s="1"/>
      <c r="AS876" s="1"/>
      <c r="AT876" s="1"/>
      <c r="AU876" s="1"/>
      <c r="AV876" s="1"/>
    </row>
    <row r="877" spans="2:48" x14ac:dyDescent="0.3">
      <c r="B877" s="1" t="s">
        <v>1476</v>
      </c>
      <c r="H877" s="1" t="s">
        <v>738</v>
      </c>
      <c r="I877" s="1"/>
      <c r="J877" s="1"/>
      <c r="K877" s="1"/>
      <c r="L877" s="1"/>
      <c r="M877" s="1"/>
      <c r="N877" s="1"/>
      <c r="O877" s="1"/>
      <c r="P877" s="1"/>
      <c r="Q877" s="1"/>
      <c r="R877" s="1"/>
      <c r="T877" s="1"/>
      <c r="U877" s="1"/>
      <c r="V877" s="1"/>
      <c r="W877" s="1"/>
      <c r="X877" s="1"/>
      <c r="Y877" s="1"/>
      <c r="Z877" s="1"/>
      <c r="AB877" s="1"/>
      <c r="AC877" s="1"/>
      <c r="AD877" s="1"/>
      <c r="AE877" s="1"/>
      <c r="AF877" s="1"/>
      <c r="AG877" s="1"/>
      <c r="AH877" s="1"/>
      <c r="AI877" s="1"/>
      <c r="AL877" s="1"/>
      <c r="AN877" s="1"/>
      <c r="AO877" s="1"/>
      <c r="AP877" s="1"/>
      <c r="AQ877" s="1"/>
      <c r="AR877" s="1"/>
      <c r="AS877" s="1"/>
      <c r="AT877" s="1"/>
      <c r="AU877" s="1"/>
      <c r="AV877" s="1"/>
    </row>
    <row r="878" spans="2:48" x14ac:dyDescent="0.3">
      <c r="B878" s="1" t="s">
        <v>1477</v>
      </c>
      <c r="H878" s="1" t="s">
        <v>738</v>
      </c>
      <c r="I878" s="1"/>
      <c r="J878" s="1"/>
      <c r="K878" s="1"/>
      <c r="L878" s="1"/>
      <c r="M878" s="1"/>
      <c r="N878" s="1"/>
      <c r="O878" s="1"/>
      <c r="P878" s="1"/>
      <c r="Q878" s="1"/>
      <c r="R878" s="1"/>
      <c r="T878" s="1"/>
      <c r="U878" s="1"/>
      <c r="V878" s="1"/>
      <c r="W878" s="1"/>
      <c r="X878" s="1"/>
      <c r="Y878" s="1"/>
      <c r="Z878" s="1"/>
      <c r="AB878" s="1"/>
      <c r="AC878" s="1"/>
      <c r="AD878" s="1"/>
      <c r="AE878" s="1"/>
      <c r="AF878" s="1"/>
      <c r="AG878" s="1"/>
      <c r="AH878" s="1"/>
      <c r="AI878" s="1"/>
      <c r="AL878" s="1"/>
      <c r="AN878" s="1"/>
      <c r="AO878" s="1"/>
      <c r="AP878" s="1"/>
      <c r="AQ878" s="1"/>
      <c r="AR878" s="1"/>
      <c r="AS878" s="1"/>
      <c r="AT878" s="1"/>
      <c r="AU878" s="1"/>
      <c r="AV878" s="1"/>
    </row>
    <row r="879" spans="2:48" x14ac:dyDescent="0.3">
      <c r="B879" s="1" t="s">
        <v>1478</v>
      </c>
      <c r="H879" s="1" t="s">
        <v>738</v>
      </c>
      <c r="I879" s="1"/>
      <c r="J879" s="1"/>
      <c r="K879" s="1"/>
      <c r="L879" s="1"/>
      <c r="M879" s="1"/>
      <c r="N879" s="1"/>
      <c r="O879" s="1"/>
      <c r="P879" s="1"/>
      <c r="Q879" s="1"/>
      <c r="R879" s="1"/>
      <c r="T879" s="1"/>
      <c r="U879" s="1"/>
      <c r="V879" s="1"/>
      <c r="W879" s="1"/>
      <c r="X879" s="1"/>
      <c r="Y879" s="1"/>
      <c r="Z879" s="1"/>
      <c r="AB879" s="1"/>
      <c r="AC879" s="1"/>
      <c r="AD879" s="1"/>
      <c r="AE879" s="1"/>
      <c r="AF879" s="1"/>
      <c r="AG879" s="1"/>
      <c r="AH879" s="1"/>
      <c r="AI879" s="1"/>
      <c r="AL879" s="1"/>
      <c r="AN879" s="1"/>
      <c r="AO879" s="1"/>
      <c r="AP879" s="1"/>
      <c r="AQ879" s="1"/>
      <c r="AR879" s="1"/>
      <c r="AS879" s="1"/>
      <c r="AT879" s="1"/>
      <c r="AU879" s="1"/>
      <c r="AV879" s="1"/>
    </row>
    <row r="880" spans="2:48" x14ac:dyDescent="0.3">
      <c r="B880" s="1" t="s">
        <v>1479</v>
      </c>
      <c r="H880" s="1" t="s">
        <v>738</v>
      </c>
      <c r="I880" s="1"/>
      <c r="J880" s="1"/>
      <c r="K880" s="1"/>
      <c r="L880" s="1"/>
      <c r="M880" s="1"/>
      <c r="N880" s="1"/>
      <c r="O880" s="1"/>
      <c r="P880" s="1"/>
      <c r="Q880" s="1"/>
      <c r="R880" s="1"/>
      <c r="T880" s="1"/>
      <c r="U880" s="1"/>
      <c r="V880" s="1"/>
      <c r="W880" s="1"/>
      <c r="X880" s="1"/>
      <c r="Y880" s="1"/>
      <c r="Z880" s="1"/>
      <c r="AB880" s="1"/>
      <c r="AC880" s="1"/>
      <c r="AD880" s="1"/>
      <c r="AE880" s="1"/>
      <c r="AF880" s="1"/>
      <c r="AG880" s="1"/>
      <c r="AH880" s="1"/>
      <c r="AI880" s="1"/>
      <c r="AL880" s="1"/>
      <c r="AN880" s="1"/>
      <c r="AO880" s="1"/>
      <c r="AP880" s="1"/>
      <c r="AQ880" s="1"/>
      <c r="AR880" s="1"/>
      <c r="AS880" s="1"/>
      <c r="AT880" s="1"/>
      <c r="AU880" s="1"/>
      <c r="AV880" s="1"/>
    </row>
    <row r="881" spans="2:48" x14ac:dyDescent="0.3">
      <c r="B881" s="1" t="s">
        <v>1480</v>
      </c>
      <c r="H881" s="1" t="s">
        <v>738</v>
      </c>
      <c r="I881" s="1"/>
      <c r="J881" s="1"/>
      <c r="K881" s="1"/>
      <c r="L881" s="1"/>
      <c r="M881" s="1"/>
      <c r="N881" s="1"/>
      <c r="O881" s="1"/>
      <c r="P881" s="1"/>
      <c r="Q881" s="1"/>
      <c r="R881" s="1"/>
      <c r="T881" s="1"/>
      <c r="U881" s="1"/>
      <c r="V881" s="1"/>
      <c r="W881" s="1"/>
      <c r="X881" s="1"/>
      <c r="Y881" s="1"/>
      <c r="Z881" s="1"/>
      <c r="AB881" s="1"/>
      <c r="AC881" s="1"/>
      <c r="AD881" s="1"/>
      <c r="AE881" s="1"/>
      <c r="AF881" s="1"/>
      <c r="AG881" s="1"/>
      <c r="AH881" s="1"/>
      <c r="AI881" s="1"/>
      <c r="AL881" s="1"/>
      <c r="AN881" s="1"/>
      <c r="AO881" s="1"/>
      <c r="AP881" s="1"/>
      <c r="AQ881" s="1"/>
      <c r="AR881" s="1"/>
      <c r="AS881" s="1"/>
      <c r="AT881" s="1"/>
      <c r="AU881" s="1"/>
      <c r="AV881" s="1"/>
    </row>
    <row r="882" spans="2:48" x14ac:dyDescent="0.3">
      <c r="B882" s="1" t="s">
        <v>1481</v>
      </c>
      <c r="H882" s="1" t="s">
        <v>738</v>
      </c>
      <c r="I882" s="1"/>
      <c r="J882" s="1"/>
      <c r="K882" s="1"/>
      <c r="L882" s="1"/>
      <c r="M882" s="1"/>
      <c r="N882" s="1"/>
      <c r="O882" s="1"/>
      <c r="P882" s="1"/>
      <c r="Q882" s="1"/>
      <c r="R882" s="1"/>
      <c r="T882" s="1"/>
      <c r="U882" s="1"/>
      <c r="V882" s="1"/>
      <c r="W882" s="1"/>
      <c r="X882" s="1"/>
      <c r="Y882" s="1"/>
      <c r="Z882" s="1"/>
      <c r="AB882" s="1"/>
      <c r="AC882" s="1"/>
      <c r="AD882" s="1"/>
      <c r="AE882" s="1"/>
      <c r="AF882" s="1"/>
      <c r="AG882" s="1"/>
      <c r="AH882" s="1"/>
      <c r="AI882" s="1"/>
      <c r="AL882" s="1"/>
      <c r="AN882" s="1"/>
      <c r="AO882" s="1"/>
      <c r="AP882" s="1"/>
      <c r="AQ882" s="1"/>
      <c r="AR882" s="1"/>
      <c r="AS882" s="1"/>
      <c r="AT882" s="1"/>
      <c r="AU882" s="1"/>
      <c r="AV882" s="1"/>
    </row>
    <row r="883" spans="2:48" x14ac:dyDescent="0.3">
      <c r="B883" s="1" t="s">
        <v>1482</v>
      </c>
      <c r="H883" s="1" t="s">
        <v>738</v>
      </c>
      <c r="I883" s="1"/>
      <c r="J883" s="1"/>
      <c r="K883" s="1"/>
      <c r="L883" s="1"/>
      <c r="M883" s="1"/>
      <c r="N883" s="1"/>
      <c r="O883" s="1"/>
      <c r="P883" s="1"/>
      <c r="Q883" s="1"/>
      <c r="R883" s="1"/>
      <c r="T883" s="1"/>
      <c r="U883" s="1"/>
      <c r="V883" s="1"/>
      <c r="W883" s="1"/>
      <c r="X883" s="1"/>
      <c r="Y883" s="1"/>
      <c r="Z883" s="1"/>
      <c r="AB883" s="1"/>
      <c r="AC883" s="1"/>
      <c r="AD883" s="1"/>
      <c r="AE883" s="1"/>
      <c r="AF883" s="1"/>
      <c r="AG883" s="1"/>
      <c r="AH883" s="1"/>
      <c r="AI883" s="1"/>
      <c r="AL883" s="1"/>
      <c r="AN883" s="1"/>
      <c r="AO883" s="1"/>
      <c r="AP883" s="1"/>
      <c r="AQ883" s="1"/>
      <c r="AR883" s="1"/>
      <c r="AS883" s="1"/>
      <c r="AT883" s="1"/>
      <c r="AU883" s="1"/>
      <c r="AV883" s="1"/>
    </row>
    <row r="884" spans="2:48" x14ac:dyDescent="0.3">
      <c r="B884" s="1" t="s">
        <v>1483</v>
      </c>
      <c r="H884" s="1" t="s">
        <v>738</v>
      </c>
      <c r="I884" s="1"/>
      <c r="J884" s="1"/>
      <c r="K884" s="1"/>
      <c r="L884" s="1"/>
      <c r="M884" s="1"/>
      <c r="N884" s="1"/>
      <c r="O884" s="1"/>
      <c r="P884" s="1"/>
      <c r="Q884" s="1"/>
      <c r="R884" s="1"/>
      <c r="T884" s="1"/>
      <c r="U884" s="1"/>
      <c r="V884" s="1"/>
      <c r="W884" s="1"/>
      <c r="X884" s="1"/>
      <c r="Y884" s="1"/>
      <c r="Z884" s="1"/>
      <c r="AB884" s="1"/>
      <c r="AC884" s="1"/>
      <c r="AD884" s="1"/>
      <c r="AE884" s="1"/>
      <c r="AF884" s="1"/>
      <c r="AG884" s="1"/>
      <c r="AH884" s="1"/>
      <c r="AI884" s="1"/>
      <c r="AL884" s="1"/>
      <c r="AN884" s="1"/>
      <c r="AO884" s="1"/>
      <c r="AP884" s="1"/>
      <c r="AQ884" s="1"/>
      <c r="AR884" s="1"/>
      <c r="AS884" s="1"/>
      <c r="AT884" s="1"/>
      <c r="AU884" s="1"/>
      <c r="AV884" s="1"/>
    </row>
    <row r="885" spans="2:48" x14ac:dyDescent="0.3">
      <c r="B885" s="1" t="s">
        <v>1484</v>
      </c>
      <c r="H885" s="1" t="s">
        <v>738</v>
      </c>
      <c r="I885" s="1"/>
      <c r="J885" s="1"/>
      <c r="K885" s="1"/>
      <c r="L885" s="1"/>
      <c r="M885" s="1"/>
      <c r="N885" s="1"/>
      <c r="O885" s="1"/>
      <c r="P885" s="1"/>
      <c r="Q885" s="1"/>
      <c r="R885" s="1"/>
      <c r="T885" s="1"/>
      <c r="U885" s="1"/>
      <c r="V885" s="1"/>
      <c r="W885" s="1"/>
      <c r="X885" s="1"/>
      <c r="Y885" s="1"/>
      <c r="Z885" s="1"/>
      <c r="AB885" s="1"/>
      <c r="AC885" s="1"/>
      <c r="AD885" s="1"/>
      <c r="AE885" s="1"/>
      <c r="AF885" s="1"/>
      <c r="AG885" s="1"/>
      <c r="AH885" s="1"/>
      <c r="AI885" s="1"/>
      <c r="AL885" s="1"/>
      <c r="AN885" s="1"/>
      <c r="AO885" s="1"/>
      <c r="AP885" s="1"/>
      <c r="AQ885" s="1"/>
      <c r="AR885" s="1"/>
      <c r="AS885" s="1"/>
      <c r="AT885" s="1"/>
      <c r="AU885" s="1"/>
      <c r="AV885" s="1"/>
    </row>
    <row r="886" spans="2:48" x14ac:dyDescent="0.3">
      <c r="B886" s="1" t="s">
        <v>1485</v>
      </c>
      <c r="H886" s="1" t="s">
        <v>738</v>
      </c>
      <c r="I886" s="1"/>
      <c r="J886" s="1"/>
      <c r="K886" s="1"/>
      <c r="L886" s="1"/>
      <c r="M886" s="1"/>
      <c r="N886" s="1"/>
      <c r="O886" s="1"/>
      <c r="P886" s="1"/>
      <c r="Q886" s="1"/>
      <c r="R886" s="1"/>
      <c r="T886" s="1"/>
      <c r="U886" s="1"/>
      <c r="V886" s="1"/>
      <c r="W886" s="1"/>
      <c r="X886" s="1"/>
      <c r="Y886" s="1"/>
      <c r="Z886" s="1"/>
      <c r="AB886" s="1"/>
      <c r="AC886" s="1"/>
      <c r="AD886" s="1"/>
      <c r="AE886" s="1"/>
      <c r="AF886" s="1"/>
      <c r="AG886" s="1"/>
      <c r="AH886" s="1"/>
      <c r="AI886" s="1"/>
      <c r="AL886" s="1"/>
      <c r="AN886" s="1"/>
      <c r="AO886" s="1"/>
      <c r="AP886" s="1"/>
      <c r="AQ886" s="1"/>
      <c r="AR886" s="1"/>
      <c r="AS886" s="1"/>
      <c r="AT886" s="1"/>
      <c r="AU886" s="1"/>
      <c r="AV886" s="1"/>
    </row>
    <row r="887" spans="2:48" x14ac:dyDescent="0.3">
      <c r="B887" s="1" t="s">
        <v>1486</v>
      </c>
      <c r="H887" s="1" t="s">
        <v>738</v>
      </c>
      <c r="I887" s="1"/>
      <c r="J887" s="1"/>
      <c r="K887" s="1"/>
      <c r="L887" s="1"/>
      <c r="M887" s="1"/>
      <c r="N887" s="1"/>
      <c r="O887" s="1"/>
      <c r="P887" s="1"/>
      <c r="Q887" s="1"/>
      <c r="R887" s="1"/>
      <c r="T887" s="1"/>
      <c r="U887" s="1"/>
      <c r="V887" s="1"/>
      <c r="W887" s="1"/>
      <c r="X887" s="1"/>
      <c r="Y887" s="1"/>
      <c r="Z887" s="1"/>
      <c r="AB887" s="1"/>
      <c r="AC887" s="1"/>
      <c r="AD887" s="1"/>
      <c r="AE887" s="1"/>
      <c r="AF887" s="1"/>
      <c r="AG887" s="1"/>
      <c r="AH887" s="1"/>
      <c r="AI887" s="1"/>
      <c r="AL887" s="1"/>
      <c r="AN887" s="1"/>
      <c r="AO887" s="1"/>
      <c r="AP887" s="1"/>
      <c r="AQ887" s="1"/>
      <c r="AR887" s="1"/>
      <c r="AS887" s="1"/>
      <c r="AT887" s="1"/>
      <c r="AU887" s="1"/>
      <c r="AV887" s="1"/>
    </row>
    <row r="888" spans="2:48" x14ac:dyDescent="0.3">
      <c r="B888" s="1" t="s">
        <v>1487</v>
      </c>
      <c r="H888" s="1" t="s">
        <v>738</v>
      </c>
      <c r="I888" s="1"/>
      <c r="J888" s="1"/>
      <c r="K888" s="1"/>
      <c r="L888" s="1"/>
      <c r="M888" s="1"/>
      <c r="N888" s="1"/>
      <c r="O888" s="1"/>
      <c r="P888" s="1"/>
      <c r="Q888" s="1"/>
      <c r="R888" s="1"/>
      <c r="T888" s="1"/>
      <c r="U888" s="1"/>
      <c r="V888" s="1"/>
      <c r="W888" s="1"/>
      <c r="X888" s="1"/>
      <c r="Y888" s="1"/>
      <c r="Z888" s="1"/>
      <c r="AB888" s="1"/>
      <c r="AC888" s="1"/>
      <c r="AD888" s="1"/>
      <c r="AE888" s="1"/>
      <c r="AF888" s="1"/>
      <c r="AG888" s="1"/>
      <c r="AH888" s="1"/>
      <c r="AI888" s="1"/>
      <c r="AL888" s="1"/>
      <c r="AN888" s="1"/>
      <c r="AO888" s="1"/>
      <c r="AP888" s="1"/>
      <c r="AQ888" s="1"/>
      <c r="AR888" s="1"/>
      <c r="AS888" s="1"/>
      <c r="AT888" s="1"/>
      <c r="AU888" s="1"/>
      <c r="AV888" s="1"/>
    </row>
    <row r="889" spans="2:48" x14ac:dyDescent="0.3">
      <c r="B889" s="1" t="s">
        <v>1488</v>
      </c>
      <c r="H889" s="1" t="s">
        <v>738</v>
      </c>
      <c r="I889" s="1"/>
      <c r="J889" s="1"/>
      <c r="K889" s="1"/>
      <c r="L889" s="1"/>
      <c r="M889" s="1"/>
      <c r="N889" s="1"/>
      <c r="O889" s="1"/>
      <c r="P889" s="1"/>
      <c r="Q889" s="1"/>
      <c r="R889" s="1"/>
      <c r="T889" s="1"/>
      <c r="U889" s="1"/>
      <c r="V889" s="1"/>
      <c r="W889" s="1"/>
      <c r="X889" s="1"/>
      <c r="Y889" s="1"/>
      <c r="Z889" s="1"/>
      <c r="AB889" s="1"/>
      <c r="AC889" s="1"/>
      <c r="AD889" s="1"/>
      <c r="AE889" s="1"/>
      <c r="AF889" s="1"/>
      <c r="AG889" s="1"/>
      <c r="AH889" s="1"/>
      <c r="AI889" s="1"/>
      <c r="AL889" s="1"/>
      <c r="AN889" s="1"/>
      <c r="AO889" s="1"/>
      <c r="AP889" s="1"/>
      <c r="AQ889" s="1"/>
      <c r="AR889" s="1"/>
      <c r="AS889" s="1"/>
      <c r="AT889" s="1"/>
      <c r="AU889" s="1"/>
      <c r="AV889" s="1"/>
    </row>
    <row r="890" spans="2:48" x14ac:dyDescent="0.3">
      <c r="B890" s="1" t="s">
        <v>1489</v>
      </c>
      <c r="H890" s="1" t="s">
        <v>738</v>
      </c>
      <c r="I890" s="1"/>
      <c r="J890" s="1"/>
      <c r="K890" s="1"/>
      <c r="L890" s="1"/>
      <c r="M890" s="1"/>
      <c r="N890" s="1"/>
      <c r="O890" s="1"/>
      <c r="P890" s="1"/>
      <c r="Q890" s="1"/>
      <c r="R890" s="1"/>
      <c r="T890" s="1"/>
      <c r="U890" s="1"/>
      <c r="V890" s="1"/>
      <c r="W890" s="1"/>
      <c r="X890" s="1"/>
      <c r="Y890" s="1"/>
      <c r="Z890" s="1"/>
      <c r="AB890" s="1"/>
      <c r="AC890" s="1"/>
      <c r="AD890" s="1"/>
      <c r="AE890" s="1"/>
      <c r="AF890" s="1"/>
      <c r="AG890" s="1"/>
      <c r="AH890" s="1"/>
      <c r="AI890" s="1"/>
      <c r="AL890" s="1"/>
      <c r="AN890" s="1"/>
      <c r="AO890" s="1"/>
      <c r="AP890" s="1"/>
      <c r="AQ890" s="1"/>
      <c r="AR890" s="1"/>
      <c r="AS890" s="1"/>
      <c r="AT890" s="1"/>
      <c r="AU890" s="1"/>
      <c r="AV890" s="1"/>
    </row>
    <row r="891" spans="2:48" x14ac:dyDescent="0.3">
      <c r="B891" s="1" t="s">
        <v>1490</v>
      </c>
      <c r="H891" s="1" t="s">
        <v>738</v>
      </c>
      <c r="I891" s="1"/>
      <c r="J891" s="1"/>
      <c r="K891" s="1"/>
      <c r="L891" s="1"/>
      <c r="M891" s="1"/>
      <c r="N891" s="1"/>
      <c r="O891" s="1"/>
      <c r="P891" s="1"/>
      <c r="Q891" s="1"/>
      <c r="R891" s="1"/>
      <c r="T891" s="1"/>
      <c r="U891" s="1"/>
      <c r="V891" s="1"/>
      <c r="W891" s="1"/>
      <c r="X891" s="1"/>
      <c r="Y891" s="1"/>
      <c r="Z891" s="1"/>
      <c r="AB891" s="1"/>
      <c r="AC891" s="1"/>
      <c r="AD891" s="1"/>
      <c r="AE891" s="1"/>
      <c r="AF891" s="1"/>
      <c r="AG891" s="1"/>
      <c r="AH891" s="1"/>
      <c r="AI891" s="1"/>
      <c r="AL891" s="1"/>
      <c r="AN891" s="1"/>
      <c r="AO891" s="1"/>
      <c r="AP891" s="1"/>
      <c r="AQ891" s="1"/>
      <c r="AR891" s="1"/>
      <c r="AS891" s="1"/>
      <c r="AT891" s="1"/>
      <c r="AU891" s="1"/>
      <c r="AV891" s="1"/>
    </row>
    <row r="892" spans="2:48" x14ac:dyDescent="0.3">
      <c r="B892" s="1" t="s">
        <v>1491</v>
      </c>
      <c r="H892" s="1" t="s">
        <v>738</v>
      </c>
      <c r="I892" s="1"/>
      <c r="J892" s="1"/>
      <c r="K892" s="1"/>
      <c r="L892" s="1"/>
      <c r="M892" s="1"/>
      <c r="N892" s="1"/>
      <c r="O892" s="1"/>
      <c r="P892" s="1"/>
      <c r="Q892" s="1"/>
      <c r="R892" s="1"/>
      <c r="T892" s="1"/>
      <c r="U892" s="1"/>
      <c r="V892" s="1"/>
      <c r="W892" s="1"/>
      <c r="X892" s="1"/>
      <c r="Y892" s="1"/>
      <c r="Z892" s="1"/>
      <c r="AB892" s="1"/>
      <c r="AC892" s="1"/>
      <c r="AD892" s="1"/>
      <c r="AE892" s="1"/>
      <c r="AF892" s="1"/>
      <c r="AG892" s="1"/>
      <c r="AH892" s="1"/>
      <c r="AI892" s="1"/>
      <c r="AL892" s="1"/>
      <c r="AN892" s="1"/>
      <c r="AO892" s="1"/>
      <c r="AP892" s="1"/>
      <c r="AQ892" s="1"/>
      <c r="AR892" s="1"/>
      <c r="AS892" s="1"/>
      <c r="AT892" s="1"/>
      <c r="AU892" s="1"/>
      <c r="AV892" s="1"/>
    </row>
    <row r="893" spans="2:48" x14ac:dyDescent="0.3">
      <c r="B893" s="1" t="s">
        <v>1492</v>
      </c>
      <c r="H893" s="1" t="s">
        <v>738</v>
      </c>
      <c r="I893" s="1"/>
      <c r="J893" s="1"/>
      <c r="K893" s="1"/>
      <c r="L893" s="1"/>
      <c r="M893" s="1"/>
      <c r="N893" s="1"/>
      <c r="O893" s="1"/>
      <c r="P893" s="1"/>
      <c r="Q893" s="1"/>
      <c r="R893" s="1"/>
      <c r="T893" s="1"/>
      <c r="U893" s="1"/>
      <c r="V893" s="1"/>
      <c r="W893" s="1"/>
      <c r="X893" s="1"/>
      <c r="Y893" s="1"/>
      <c r="Z893" s="1"/>
      <c r="AB893" s="1"/>
      <c r="AC893" s="1"/>
      <c r="AD893" s="1"/>
      <c r="AE893" s="1"/>
      <c r="AF893" s="1"/>
      <c r="AG893" s="1"/>
      <c r="AH893" s="1"/>
      <c r="AI893" s="1"/>
      <c r="AL893" s="1"/>
      <c r="AN893" s="1"/>
      <c r="AO893" s="1"/>
      <c r="AP893" s="1"/>
      <c r="AQ893" s="1"/>
      <c r="AR893" s="1"/>
      <c r="AS893" s="1"/>
      <c r="AT893" s="1"/>
      <c r="AU893" s="1"/>
      <c r="AV893" s="1"/>
    </row>
    <row r="894" spans="2:48" x14ac:dyDescent="0.3">
      <c r="B894" s="1" t="s">
        <v>1493</v>
      </c>
      <c r="H894" s="1" t="s">
        <v>738</v>
      </c>
      <c r="I894" s="1"/>
      <c r="J894" s="1"/>
      <c r="K894" s="1"/>
      <c r="L894" s="1"/>
      <c r="M894" s="1"/>
      <c r="N894" s="1"/>
      <c r="O894" s="1"/>
      <c r="P894" s="1"/>
      <c r="Q894" s="1"/>
      <c r="R894" s="1"/>
      <c r="T894" s="1"/>
      <c r="U894" s="1"/>
      <c r="V894" s="1"/>
      <c r="W894" s="1"/>
      <c r="X894" s="1"/>
      <c r="Y894" s="1"/>
      <c r="Z894" s="1"/>
      <c r="AB894" s="1"/>
      <c r="AC894" s="1"/>
      <c r="AD894" s="1"/>
      <c r="AE894" s="1"/>
      <c r="AF894" s="1"/>
      <c r="AG894" s="1"/>
      <c r="AH894" s="1"/>
      <c r="AI894" s="1"/>
      <c r="AL894" s="1"/>
      <c r="AN894" s="1"/>
      <c r="AO894" s="1"/>
      <c r="AP894" s="1"/>
      <c r="AQ894" s="1"/>
      <c r="AR894" s="1"/>
      <c r="AS894" s="1"/>
      <c r="AT894" s="1"/>
      <c r="AU894" s="1"/>
      <c r="AV894" s="1"/>
    </row>
    <row r="895" spans="2:48" x14ac:dyDescent="0.3">
      <c r="B895" s="1" t="s">
        <v>1494</v>
      </c>
      <c r="H895" s="1" t="s">
        <v>738</v>
      </c>
      <c r="I895" s="1"/>
      <c r="J895" s="1"/>
      <c r="K895" s="1"/>
      <c r="L895" s="1"/>
      <c r="M895" s="1"/>
      <c r="N895" s="1"/>
      <c r="O895" s="1"/>
      <c r="P895" s="1"/>
      <c r="Q895" s="1"/>
      <c r="R895" s="1"/>
      <c r="T895" s="1"/>
      <c r="U895" s="1"/>
      <c r="V895" s="1"/>
      <c r="W895" s="1"/>
      <c r="X895" s="1"/>
      <c r="Y895" s="1"/>
      <c r="Z895" s="1"/>
      <c r="AB895" s="1"/>
      <c r="AC895" s="1"/>
      <c r="AD895" s="1"/>
      <c r="AE895" s="1"/>
      <c r="AF895" s="1"/>
      <c r="AG895" s="1"/>
      <c r="AH895" s="1"/>
      <c r="AI895" s="1"/>
      <c r="AL895" s="1"/>
      <c r="AN895" s="1"/>
      <c r="AO895" s="1"/>
      <c r="AP895" s="1"/>
      <c r="AQ895" s="1"/>
      <c r="AR895" s="1"/>
      <c r="AS895" s="1"/>
      <c r="AT895" s="1"/>
      <c r="AU895" s="1"/>
      <c r="AV895" s="1"/>
    </row>
    <row r="896" spans="2:48" x14ac:dyDescent="0.3">
      <c r="B896" s="1" t="s">
        <v>1495</v>
      </c>
      <c r="H896" s="1" t="s">
        <v>738</v>
      </c>
      <c r="I896" s="1"/>
      <c r="J896" s="1"/>
      <c r="K896" s="1"/>
      <c r="L896" s="1"/>
      <c r="M896" s="1"/>
      <c r="N896" s="1"/>
      <c r="O896" s="1"/>
      <c r="P896" s="1"/>
      <c r="Q896" s="1"/>
      <c r="R896" s="1"/>
      <c r="T896" s="1"/>
      <c r="U896" s="1"/>
      <c r="V896" s="1"/>
      <c r="W896" s="1"/>
      <c r="X896" s="1"/>
      <c r="Y896" s="1"/>
      <c r="Z896" s="1"/>
      <c r="AB896" s="1"/>
      <c r="AC896" s="1"/>
      <c r="AD896" s="1"/>
      <c r="AE896" s="1"/>
      <c r="AF896" s="1"/>
      <c r="AG896" s="1"/>
      <c r="AH896" s="1"/>
      <c r="AI896" s="1"/>
      <c r="AL896" s="1"/>
      <c r="AN896" s="1"/>
      <c r="AO896" s="1"/>
      <c r="AP896" s="1"/>
      <c r="AQ896" s="1"/>
      <c r="AR896" s="1"/>
      <c r="AS896" s="1"/>
      <c r="AT896" s="1"/>
      <c r="AU896" s="1"/>
      <c r="AV896" s="1"/>
    </row>
    <row r="897" spans="2:48" x14ac:dyDescent="0.3">
      <c r="B897" s="1" t="s">
        <v>1496</v>
      </c>
      <c r="H897" s="1" t="s">
        <v>738</v>
      </c>
      <c r="I897" s="1"/>
      <c r="J897" s="1"/>
      <c r="K897" s="1"/>
      <c r="L897" s="1"/>
      <c r="M897" s="1"/>
      <c r="N897" s="1"/>
      <c r="O897" s="1"/>
      <c r="P897" s="1"/>
      <c r="Q897" s="1"/>
      <c r="R897" s="1"/>
      <c r="T897" s="1"/>
      <c r="U897" s="1"/>
      <c r="V897" s="1"/>
      <c r="W897" s="1"/>
      <c r="X897" s="1"/>
      <c r="Y897" s="1"/>
      <c r="Z897" s="1"/>
      <c r="AB897" s="1"/>
      <c r="AC897" s="1"/>
      <c r="AD897" s="1"/>
      <c r="AE897" s="1"/>
      <c r="AF897" s="1"/>
      <c r="AG897" s="1"/>
      <c r="AH897" s="1"/>
      <c r="AI897" s="1"/>
      <c r="AL897" s="1"/>
      <c r="AN897" s="1"/>
      <c r="AO897" s="1"/>
      <c r="AP897" s="1"/>
      <c r="AQ897" s="1"/>
      <c r="AR897" s="1"/>
      <c r="AS897" s="1"/>
      <c r="AT897" s="1"/>
      <c r="AU897" s="1"/>
      <c r="AV897" s="1"/>
    </row>
    <row r="898" spans="2:48" x14ac:dyDescent="0.3">
      <c r="B898" s="1" t="s">
        <v>1497</v>
      </c>
      <c r="H898" s="1" t="s">
        <v>738</v>
      </c>
      <c r="I898" s="1"/>
      <c r="J898" s="1"/>
      <c r="K898" s="1"/>
      <c r="L898" s="1"/>
      <c r="M898" s="1"/>
      <c r="N898" s="1"/>
      <c r="O898" s="1"/>
      <c r="P898" s="1"/>
      <c r="Q898" s="1"/>
      <c r="R898" s="1"/>
      <c r="T898" s="1"/>
      <c r="U898" s="1"/>
      <c r="V898" s="1"/>
      <c r="W898" s="1"/>
      <c r="X898" s="1"/>
      <c r="Y898" s="1"/>
      <c r="Z898" s="1"/>
      <c r="AB898" s="1"/>
      <c r="AC898" s="1"/>
      <c r="AD898" s="1"/>
      <c r="AE898" s="1"/>
      <c r="AF898" s="1"/>
      <c r="AG898" s="1"/>
      <c r="AH898" s="1"/>
      <c r="AI898" s="1"/>
      <c r="AL898" s="1"/>
      <c r="AN898" s="1"/>
      <c r="AO898" s="1"/>
      <c r="AP898" s="1"/>
      <c r="AQ898" s="1"/>
      <c r="AR898" s="1"/>
      <c r="AS898" s="1"/>
      <c r="AT898" s="1"/>
      <c r="AU898" s="1"/>
      <c r="AV898" s="1"/>
    </row>
    <row r="899" spans="2:48" x14ac:dyDescent="0.3">
      <c r="B899" s="1" t="s">
        <v>1498</v>
      </c>
      <c r="H899" s="1" t="s">
        <v>738</v>
      </c>
      <c r="I899" s="1"/>
      <c r="J899" s="1"/>
      <c r="K899" s="1"/>
      <c r="L899" s="1"/>
      <c r="M899" s="1"/>
      <c r="N899" s="1"/>
      <c r="O899" s="1"/>
      <c r="P899" s="1"/>
      <c r="Q899" s="1"/>
      <c r="R899" s="1"/>
      <c r="T899" s="1"/>
      <c r="U899" s="1"/>
      <c r="V899" s="1"/>
      <c r="W899" s="1"/>
      <c r="X899" s="1"/>
      <c r="Y899" s="1"/>
      <c r="Z899" s="1"/>
      <c r="AB899" s="1"/>
      <c r="AC899" s="1"/>
      <c r="AD899" s="1"/>
      <c r="AE899" s="1"/>
      <c r="AF899" s="1"/>
      <c r="AG899" s="1"/>
      <c r="AH899" s="1"/>
      <c r="AI899" s="1"/>
      <c r="AL899" s="1"/>
      <c r="AN899" s="1"/>
      <c r="AO899" s="1"/>
      <c r="AP899" s="1"/>
      <c r="AQ899" s="1"/>
      <c r="AR899" s="1"/>
      <c r="AS899" s="1"/>
      <c r="AT899" s="1"/>
      <c r="AU899" s="1"/>
      <c r="AV899" s="1"/>
    </row>
    <row r="900" spans="2:48" x14ac:dyDescent="0.3">
      <c r="B900" s="1" t="s">
        <v>1499</v>
      </c>
      <c r="H900" s="1" t="s">
        <v>738</v>
      </c>
      <c r="I900" s="1"/>
      <c r="J900" s="1"/>
      <c r="K900" s="1"/>
      <c r="L900" s="1"/>
      <c r="M900" s="1"/>
      <c r="N900" s="1"/>
      <c r="O900" s="1"/>
      <c r="P900" s="1"/>
      <c r="Q900" s="1"/>
      <c r="R900" s="1"/>
      <c r="T900" s="1"/>
      <c r="U900" s="1"/>
      <c r="V900" s="1"/>
      <c r="W900" s="1"/>
      <c r="X900" s="1"/>
      <c r="Y900" s="1"/>
      <c r="Z900" s="1"/>
      <c r="AB900" s="1"/>
      <c r="AC900" s="1"/>
      <c r="AD900" s="1"/>
      <c r="AE900" s="1"/>
      <c r="AF900" s="1"/>
      <c r="AG900" s="1"/>
      <c r="AH900" s="1"/>
      <c r="AI900" s="1"/>
      <c r="AL900" s="1"/>
      <c r="AN900" s="1"/>
      <c r="AO900" s="1"/>
      <c r="AP900" s="1"/>
      <c r="AQ900" s="1"/>
      <c r="AR900" s="1"/>
      <c r="AS900" s="1"/>
      <c r="AT900" s="1"/>
      <c r="AU900" s="1"/>
      <c r="AV900" s="1"/>
    </row>
    <row r="901" spans="2:48" x14ac:dyDescent="0.3">
      <c r="B901" s="1" t="s">
        <v>1500</v>
      </c>
      <c r="H901" s="1" t="s">
        <v>738</v>
      </c>
      <c r="I901" s="1"/>
      <c r="J901" s="1"/>
      <c r="K901" s="1"/>
      <c r="L901" s="1"/>
      <c r="M901" s="1"/>
      <c r="N901" s="1"/>
      <c r="O901" s="1"/>
      <c r="P901" s="1"/>
      <c r="Q901" s="1"/>
      <c r="R901" s="1"/>
      <c r="T901" s="1"/>
      <c r="U901" s="1"/>
      <c r="V901" s="1"/>
      <c r="W901" s="1"/>
      <c r="X901" s="1"/>
      <c r="Y901" s="1"/>
      <c r="Z901" s="1"/>
      <c r="AB901" s="1"/>
      <c r="AC901" s="1"/>
      <c r="AD901" s="1"/>
      <c r="AE901" s="1"/>
      <c r="AF901" s="1"/>
      <c r="AG901" s="1"/>
      <c r="AH901" s="1"/>
      <c r="AI901" s="1"/>
      <c r="AL901" s="1"/>
      <c r="AN901" s="1"/>
      <c r="AO901" s="1"/>
      <c r="AP901" s="1"/>
      <c r="AQ901" s="1"/>
      <c r="AR901" s="1"/>
      <c r="AS901" s="1"/>
      <c r="AT901" s="1"/>
      <c r="AU901" s="1"/>
      <c r="AV901" s="1"/>
    </row>
    <row r="902" spans="2:48" x14ac:dyDescent="0.3">
      <c r="B902" s="1" t="s">
        <v>1501</v>
      </c>
      <c r="H902" s="1" t="s">
        <v>738</v>
      </c>
      <c r="I902" s="1"/>
      <c r="J902" s="1"/>
      <c r="K902" s="1"/>
      <c r="L902" s="1"/>
      <c r="M902" s="1"/>
      <c r="N902" s="1"/>
      <c r="O902" s="1"/>
      <c r="P902" s="1"/>
      <c r="Q902" s="1"/>
      <c r="R902" s="1"/>
      <c r="T902" s="1"/>
      <c r="U902" s="1"/>
      <c r="V902" s="1"/>
      <c r="W902" s="1"/>
      <c r="X902" s="1"/>
      <c r="Y902" s="1"/>
      <c r="Z902" s="1"/>
      <c r="AB902" s="1"/>
      <c r="AC902" s="1"/>
      <c r="AD902" s="1"/>
      <c r="AE902" s="1"/>
      <c r="AF902" s="1"/>
      <c r="AG902" s="1"/>
      <c r="AH902" s="1"/>
      <c r="AI902" s="1"/>
      <c r="AL902" s="1"/>
      <c r="AN902" s="1"/>
      <c r="AO902" s="1"/>
      <c r="AP902" s="1"/>
      <c r="AQ902" s="1"/>
      <c r="AR902" s="1"/>
      <c r="AS902" s="1"/>
      <c r="AT902" s="1"/>
      <c r="AU902" s="1"/>
      <c r="AV902" s="1"/>
    </row>
    <row r="903" spans="2:48" x14ac:dyDescent="0.3">
      <c r="B903" s="1" t="s">
        <v>1502</v>
      </c>
      <c r="H903" s="1" t="s">
        <v>738</v>
      </c>
      <c r="I903" s="1"/>
      <c r="J903" s="1"/>
      <c r="K903" s="1"/>
      <c r="L903" s="1"/>
      <c r="M903" s="1"/>
      <c r="N903" s="1"/>
      <c r="O903" s="1"/>
      <c r="P903" s="1"/>
      <c r="Q903" s="1"/>
      <c r="R903" s="1"/>
      <c r="T903" s="1"/>
      <c r="U903" s="1"/>
      <c r="V903" s="1"/>
      <c r="W903" s="1"/>
      <c r="X903" s="1"/>
      <c r="Y903" s="1"/>
      <c r="Z903" s="1"/>
      <c r="AB903" s="1"/>
      <c r="AC903" s="1"/>
      <c r="AD903" s="1"/>
      <c r="AE903" s="1"/>
      <c r="AF903" s="1"/>
      <c r="AG903" s="1"/>
      <c r="AH903" s="1"/>
      <c r="AI903" s="1"/>
      <c r="AL903" s="1"/>
      <c r="AN903" s="1"/>
      <c r="AO903" s="1"/>
      <c r="AP903" s="1"/>
      <c r="AQ903" s="1"/>
      <c r="AR903" s="1"/>
      <c r="AS903" s="1"/>
      <c r="AT903" s="1"/>
      <c r="AU903" s="1"/>
      <c r="AV903" s="1"/>
    </row>
    <row r="904" spans="2:48" x14ac:dyDescent="0.3">
      <c r="B904" s="1" t="s">
        <v>1503</v>
      </c>
      <c r="H904" s="1" t="s">
        <v>738</v>
      </c>
      <c r="I904" s="1"/>
      <c r="J904" s="1"/>
      <c r="K904" s="1"/>
      <c r="L904" s="1"/>
      <c r="M904" s="1"/>
      <c r="N904" s="1"/>
      <c r="O904" s="1"/>
      <c r="P904" s="1"/>
      <c r="Q904" s="1"/>
      <c r="R904" s="1"/>
      <c r="T904" s="1"/>
      <c r="U904" s="1"/>
      <c r="V904" s="1"/>
      <c r="W904" s="1"/>
      <c r="X904" s="1"/>
      <c r="Y904" s="1"/>
      <c r="Z904" s="1"/>
      <c r="AB904" s="1"/>
      <c r="AC904" s="1"/>
      <c r="AD904" s="1"/>
      <c r="AE904" s="1"/>
      <c r="AF904" s="1"/>
      <c r="AG904" s="1"/>
      <c r="AH904" s="1"/>
      <c r="AI904" s="1"/>
      <c r="AL904" s="1"/>
      <c r="AN904" s="1"/>
      <c r="AO904" s="1"/>
      <c r="AP904" s="1"/>
      <c r="AQ904" s="1"/>
      <c r="AR904" s="1"/>
      <c r="AS904" s="1"/>
      <c r="AT904" s="1"/>
      <c r="AU904" s="1"/>
      <c r="AV904" s="1"/>
    </row>
    <row r="905" spans="2:48" x14ac:dyDescent="0.3">
      <c r="B905" s="1" t="s">
        <v>1504</v>
      </c>
      <c r="H905" s="1" t="s">
        <v>738</v>
      </c>
      <c r="I905" s="1"/>
      <c r="J905" s="1"/>
      <c r="K905" s="1"/>
      <c r="L905" s="1"/>
      <c r="M905" s="1"/>
      <c r="N905" s="1"/>
      <c r="O905" s="1"/>
      <c r="P905" s="1"/>
      <c r="Q905" s="1"/>
      <c r="R905" s="1"/>
      <c r="T905" s="1"/>
      <c r="U905" s="1"/>
      <c r="V905" s="1"/>
      <c r="W905" s="1"/>
      <c r="X905" s="1"/>
      <c r="Y905" s="1"/>
      <c r="Z905" s="1"/>
      <c r="AB905" s="1"/>
      <c r="AC905" s="1"/>
      <c r="AD905" s="1"/>
      <c r="AE905" s="1"/>
      <c r="AF905" s="1"/>
      <c r="AG905" s="1"/>
      <c r="AH905" s="1"/>
      <c r="AI905" s="1"/>
      <c r="AL905" s="1"/>
      <c r="AN905" s="1"/>
      <c r="AO905" s="1"/>
      <c r="AP905" s="1"/>
      <c r="AQ905" s="1"/>
      <c r="AR905" s="1"/>
      <c r="AS905" s="1"/>
      <c r="AT905" s="1"/>
      <c r="AU905" s="1"/>
      <c r="AV905" s="1"/>
    </row>
    <row r="906" spans="2:48" x14ac:dyDescent="0.3">
      <c r="B906" s="1" t="s">
        <v>1505</v>
      </c>
      <c r="H906" s="1" t="s">
        <v>738</v>
      </c>
      <c r="I906" s="1"/>
      <c r="J906" s="1"/>
      <c r="K906" s="1"/>
      <c r="L906" s="1"/>
      <c r="M906" s="1"/>
      <c r="N906" s="1"/>
      <c r="O906" s="1"/>
      <c r="P906" s="1"/>
      <c r="Q906" s="1"/>
      <c r="R906" s="1"/>
      <c r="T906" s="1"/>
      <c r="U906" s="1"/>
      <c r="V906" s="1"/>
      <c r="W906" s="1"/>
      <c r="X906" s="1"/>
      <c r="Y906" s="1"/>
      <c r="Z906" s="1"/>
      <c r="AB906" s="1"/>
      <c r="AC906" s="1"/>
      <c r="AD906" s="1"/>
      <c r="AE906" s="1"/>
      <c r="AF906" s="1"/>
      <c r="AG906" s="1"/>
      <c r="AH906" s="1"/>
      <c r="AI906" s="1"/>
      <c r="AL906" s="1"/>
      <c r="AN906" s="1"/>
      <c r="AO906" s="1"/>
      <c r="AP906" s="1"/>
      <c r="AQ906" s="1"/>
      <c r="AR906" s="1"/>
      <c r="AS906" s="1"/>
      <c r="AT906" s="1"/>
      <c r="AU906" s="1"/>
      <c r="AV906" s="1"/>
    </row>
    <row r="907" spans="2:48" x14ac:dyDescent="0.3">
      <c r="B907" s="1" t="s">
        <v>1506</v>
      </c>
      <c r="H907" s="1" t="s">
        <v>738</v>
      </c>
      <c r="I907" s="1"/>
      <c r="J907" s="1"/>
      <c r="K907" s="1"/>
      <c r="L907" s="1"/>
      <c r="M907" s="1"/>
      <c r="N907" s="1"/>
      <c r="O907" s="1"/>
      <c r="P907" s="1"/>
      <c r="Q907" s="1"/>
      <c r="R907" s="1"/>
      <c r="T907" s="1"/>
      <c r="U907" s="1"/>
      <c r="V907" s="1"/>
      <c r="W907" s="1"/>
      <c r="X907" s="1"/>
      <c r="Y907" s="1"/>
      <c r="Z907" s="1"/>
      <c r="AB907" s="1"/>
      <c r="AC907" s="1"/>
      <c r="AD907" s="1"/>
      <c r="AE907" s="1"/>
      <c r="AF907" s="1"/>
      <c r="AG907" s="1"/>
      <c r="AH907" s="1"/>
      <c r="AI907" s="1"/>
      <c r="AL907" s="1"/>
      <c r="AN907" s="1"/>
      <c r="AO907" s="1"/>
      <c r="AP907" s="1"/>
      <c r="AQ907" s="1"/>
      <c r="AR907" s="1"/>
      <c r="AS907" s="1"/>
      <c r="AT907" s="1"/>
      <c r="AU907" s="1"/>
      <c r="AV907" s="1"/>
    </row>
    <row r="908" spans="2:48" x14ac:dyDescent="0.3">
      <c r="B908" s="1" t="s">
        <v>1507</v>
      </c>
      <c r="H908" s="1" t="s">
        <v>738</v>
      </c>
      <c r="I908" s="1"/>
      <c r="J908" s="1"/>
      <c r="K908" s="1"/>
      <c r="L908" s="1"/>
      <c r="M908" s="1"/>
      <c r="N908" s="1"/>
      <c r="O908" s="1"/>
      <c r="P908" s="1"/>
      <c r="Q908" s="1"/>
      <c r="R908" s="1"/>
      <c r="T908" s="1"/>
      <c r="U908" s="1"/>
      <c r="V908" s="1"/>
      <c r="W908" s="1"/>
      <c r="X908" s="1"/>
      <c r="Y908" s="1"/>
      <c r="Z908" s="1"/>
      <c r="AB908" s="1"/>
      <c r="AC908" s="1"/>
      <c r="AD908" s="1"/>
      <c r="AE908" s="1"/>
      <c r="AF908" s="1"/>
      <c r="AG908" s="1"/>
      <c r="AH908" s="1"/>
      <c r="AI908" s="1"/>
      <c r="AL908" s="1"/>
      <c r="AN908" s="1"/>
      <c r="AO908" s="1"/>
      <c r="AP908" s="1"/>
      <c r="AQ908" s="1"/>
      <c r="AR908" s="1"/>
      <c r="AS908" s="1"/>
      <c r="AT908" s="1"/>
      <c r="AU908" s="1"/>
      <c r="AV908" s="1"/>
    </row>
    <row r="909" spans="2:48" x14ac:dyDescent="0.3">
      <c r="B909" s="1" t="s">
        <v>1508</v>
      </c>
      <c r="H909" s="1" t="s">
        <v>738</v>
      </c>
      <c r="I909" s="1"/>
      <c r="J909" s="1"/>
      <c r="K909" s="1"/>
      <c r="L909" s="1"/>
      <c r="M909" s="1"/>
      <c r="N909" s="1"/>
      <c r="O909" s="1"/>
      <c r="P909" s="1"/>
      <c r="Q909" s="1"/>
      <c r="R909" s="1"/>
      <c r="T909" s="1"/>
      <c r="U909" s="1"/>
      <c r="V909" s="1"/>
      <c r="W909" s="1"/>
      <c r="X909" s="1"/>
      <c r="Y909" s="1"/>
      <c r="Z909" s="1"/>
      <c r="AB909" s="1"/>
      <c r="AC909" s="1"/>
      <c r="AD909" s="1"/>
      <c r="AE909" s="1"/>
      <c r="AF909" s="1"/>
      <c r="AG909" s="1"/>
      <c r="AH909" s="1"/>
      <c r="AI909" s="1"/>
      <c r="AL909" s="1"/>
      <c r="AN909" s="1"/>
      <c r="AO909" s="1"/>
      <c r="AP909" s="1"/>
      <c r="AQ909" s="1"/>
      <c r="AR909" s="1"/>
      <c r="AS909" s="1"/>
      <c r="AT909" s="1"/>
      <c r="AU909" s="1"/>
      <c r="AV909" s="1"/>
    </row>
    <row r="910" spans="2:48" x14ac:dyDescent="0.3">
      <c r="B910" s="1" t="s">
        <v>1509</v>
      </c>
      <c r="H910" s="1" t="s">
        <v>738</v>
      </c>
      <c r="I910" s="1"/>
      <c r="J910" s="1"/>
      <c r="K910" s="1"/>
      <c r="L910" s="1"/>
      <c r="M910" s="1"/>
      <c r="N910" s="1"/>
      <c r="O910" s="1"/>
      <c r="P910" s="1"/>
      <c r="Q910" s="1"/>
      <c r="R910" s="1"/>
      <c r="T910" s="1"/>
      <c r="U910" s="1"/>
      <c r="V910" s="1"/>
      <c r="W910" s="1"/>
      <c r="X910" s="1"/>
      <c r="Y910" s="1"/>
      <c r="Z910" s="1"/>
      <c r="AB910" s="1"/>
      <c r="AC910" s="1"/>
      <c r="AD910" s="1"/>
      <c r="AE910" s="1"/>
      <c r="AF910" s="1"/>
      <c r="AG910" s="1"/>
      <c r="AH910" s="1"/>
      <c r="AI910" s="1"/>
      <c r="AL910" s="1"/>
      <c r="AN910" s="1"/>
      <c r="AO910" s="1"/>
      <c r="AP910" s="1"/>
      <c r="AQ910" s="1"/>
      <c r="AR910" s="1"/>
      <c r="AS910" s="1"/>
      <c r="AT910" s="1"/>
      <c r="AU910" s="1"/>
      <c r="AV910" s="1"/>
    </row>
    <row r="911" spans="2:48" x14ac:dyDescent="0.3">
      <c r="B911" s="1" t="s">
        <v>1510</v>
      </c>
      <c r="H911" s="1" t="s">
        <v>738</v>
      </c>
      <c r="I911" s="1"/>
      <c r="J911" s="1"/>
      <c r="K911" s="1"/>
      <c r="L911" s="1"/>
      <c r="M911" s="1"/>
      <c r="N911" s="1"/>
      <c r="O911" s="1"/>
      <c r="P911" s="1"/>
      <c r="Q911" s="1"/>
      <c r="R911" s="1"/>
      <c r="T911" s="1"/>
      <c r="U911" s="1"/>
      <c r="V911" s="1"/>
      <c r="W911" s="1"/>
      <c r="X911" s="1"/>
      <c r="Y911" s="1"/>
      <c r="Z911" s="1"/>
      <c r="AB911" s="1"/>
      <c r="AC911" s="1"/>
      <c r="AD911" s="1"/>
      <c r="AE911" s="1"/>
      <c r="AF911" s="1"/>
      <c r="AG911" s="1"/>
      <c r="AH911" s="1"/>
      <c r="AI911" s="1"/>
      <c r="AL911" s="1"/>
      <c r="AN911" s="1"/>
      <c r="AO911" s="1"/>
      <c r="AP911" s="1"/>
      <c r="AQ911" s="1"/>
      <c r="AR911" s="1"/>
      <c r="AS911" s="1"/>
      <c r="AT911" s="1"/>
      <c r="AU911" s="1"/>
      <c r="AV911" s="1"/>
    </row>
    <row r="912" spans="2:48" x14ac:dyDescent="0.3">
      <c r="B912" s="1" t="s">
        <v>1511</v>
      </c>
      <c r="H912" s="1" t="s">
        <v>738</v>
      </c>
      <c r="I912" s="1"/>
      <c r="J912" s="1"/>
      <c r="K912" s="1"/>
      <c r="L912" s="1"/>
      <c r="M912" s="1"/>
      <c r="N912" s="1"/>
      <c r="O912" s="1"/>
      <c r="P912" s="1"/>
      <c r="Q912" s="1"/>
      <c r="R912" s="1"/>
      <c r="T912" s="1"/>
      <c r="U912" s="1"/>
      <c r="V912" s="1"/>
      <c r="W912" s="1"/>
      <c r="X912" s="1"/>
      <c r="Y912" s="1"/>
      <c r="Z912" s="1"/>
      <c r="AB912" s="1"/>
      <c r="AC912" s="1"/>
      <c r="AD912" s="1"/>
      <c r="AE912" s="1"/>
      <c r="AF912" s="1"/>
      <c r="AG912" s="1"/>
      <c r="AH912" s="1"/>
      <c r="AI912" s="1"/>
      <c r="AL912" s="1"/>
      <c r="AN912" s="1"/>
      <c r="AO912" s="1"/>
      <c r="AP912" s="1"/>
      <c r="AQ912" s="1"/>
      <c r="AR912" s="1"/>
      <c r="AS912" s="1"/>
      <c r="AT912" s="1"/>
      <c r="AU912" s="1"/>
      <c r="AV912" s="1"/>
    </row>
    <row r="913" spans="2:48" x14ac:dyDescent="0.3">
      <c r="B913" s="1" t="s">
        <v>1512</v>
      </c>
      <c r="H913" s="1" t="s">
        <v>738</v>
      </c>
      <c r="I913" s="1"/>
      <c r="J913" s="1"/>
      <c r="K913" s="1"/>
      <c r="L913" s="1"/>
      <c r="M913" s="1"/>
      <c r="N913" s="1"/>
      <c r="O913" s="1"/>
      <c r="P913" s="1"/>
      <c r="Q913" s="1"/>
      <c r="R913" s="1"/>
      <c r="T913" s="1"/>
      <c r="U913" s="1"/>
      <c r="V913" s="1"/>
      <c r="W913" s="1"/>
      <c r="X913" s="1"/>
      <c r="Y913" s="1"/>
      <c r="Z913" s="1"/>
      <c r="AB913" s="1"/>
      <c r="AC913" s="1"/>
      <c r="AD913" s="1"/>
      <c r="AE913" s="1"/>
      <c r="AF913" s="1"/>
      <c r="AG913" s="1"/>
      <c r="AH913" s="1"/>
      <c r="AI913" s="1"/>
      <c r="AL913" s="1"/>
      <c r="AN913" s="1"/>
      <c r="AO913" s="1"/>
      <c r="AP913" s="1"/>
      <c r="AQ913" s="1"/>
      <c r="AR913" s="1"/>
      <c r="AS913" s="1"/>
      <c r="AT913" s="1"/>
      <c r="AU913" s="1"/>
      <c r="AV913" s="1"/>
    </row>
    <row r="914" spans="2:48" x14ac:dyDescent="0.3">
      <c r="B914" s="1" t="s">
        <v>1513</v>
      </c>
      <c r="H914" s="1" t="s">
        <v>738</v>
      </c>
      <c r="I914" s="1"/>
      <c r="J914" s="1"/>
      <c r="K914" s="1"/>
      <c r="L914" s="1"/>
      <c r="M914" s="1"/>
      <c r="N914" s="1"/>
      <c r="O914" s="1"/>
      <c r="P914" s="1"/>
      <c r="Q914" s="1"/>
      <c r="R914" s="1"/>
      <c r="T914" s="1"/>
      <c r="U914" s="1"/>
      <c r="V914" s="1"/>
      <c r="W914" s="1"/>
      <c r="X914" s="1"/>
      <c r="Y914" s="1"/>
      <c r="Z914" s="1"/>
      <c r="AB914" s="1"/>
      <c r="AC914" s="1"/>
      <c r="AD914" s="1"/>
      <c r="AE914" s="1"/>
      <c r="AF914" s="1"/>
      <c r="AG914" s="1"/>
      <c r="AH914" s="1"/>
      <c r="AI914" s="1"/>
      <c r="AL914" s="1"/>
      <c r="AN914" s="1"/>
      <c r="AO914" s="1"/>
      <c r="AP914" s="1"/>
      <c r="AQ914" s="1"/>
      <c r="AR914" s="1"/>
      <c r="AS914" s="1"/>
      <c r="AT914" s="1"/>
      <c r="AU914" s="1"/>
      <c r="AV914" s="1"/>
    </row>
    <row r="915" spans="2:48" x14ac:dyDescent="0.3">
      <c r="B915" s="1" t="s">
        <v>1514</v>
      </c>
      <c r="H915" s="1" t="s">
        <v>738</v>
      </c>
      <c r="I915" s="1"/>
      <c r="J915" s="1"/>
      <c r="K915" s="1"/>
      <c r="L915" s="1"/>
      <c r="M915" s="1"/>
      <c r="N915" s="1"/>
      <c r="O915" s="1"/>
      <c r="P915" s="1"/>
      <c r="Q915" s="1"/>
      <c r="R915" s="1"/>
      <c r="T915" s="1"/>
      <c r="U915" s="1"/>
      <c r="V915" s="1"/>
      <c r="W915" s="1"/>
      <c r="X915" s="1"/>
      <c r="Y915" s="1"/>
      <c r="Z915" s="1"/>
      <c r="AB915" s="1"/>
      <c r="AC915" s="1"/>
      <c r="AD915" s="1"/>
      <c r="AE915" s="1"/>
      <c r="AF915" s="1"/>
      <c r="AG915" s="1"/>
      <c r="AH915" s="1"/>
      <c r="AI915" s="1"/>
      <c r="AL915" s="1"/>
      <c r="AN915" s="1"/>
      <c r="AO915" s="1"/>
      <c r="AP915" s="1"/>
      <c r="AQ915" s="1"/>
      <c r="AR915" s="1"/>
      <c r="AS915" s="1"/>
      <c r="AT915" s="1"/>
      <c r="AU915" s="1"/>
      <c r="AV915" s="1"/>
    </row>
    <row r="916" spans="2:48" x14ac:dyDescent="0.3">
      <c r="B916" s="1" t="s">
        <v>1515</v>
      </c>
      <c r="H916" s="1" t="s">
        <v>738</v>
      </c>
      <c r="I916" s="1"/>
      <c r="J916" s="1"/>
      <c r="K916" s="1"/>
      <c r="L916" s="1"/>
      <c r="M916" s="1"/>
      <c r="N916" s="1"/>
      <c r="O916" s="1"/>
      <c r="P916" s="1"/>
      <c r="Q916" s="1"/>
      <c r="R916" s="1"/>
      <c r="T916" s="1"/>
      <c r="U916" s="1"/>
      <c r="V916" s="1"/>
      <c r="W916" s="1"/>
      <c r="X916" s="1"/>
      <c r="Y916" s="1"/>
      <c r="Z916" s="1"/>
      <c r="AB916" s="1"/>
      <c r="AC916" s="1"/>
      <c r="AD916" s="1"/>
      <c r="AE916" s="1"/>
      <c r="AF916" s="1"/>
      <c r="AG916" s="1"/>
      <c r="AH916" s="1"/>
      <c r="AI916" s="1"/>
      <c r="AL916" s="1"/>
      <c r="AN916" s="1"/>
      <c r="AO916" s="1"/>
      <c r="AP916" s="1"/>
      <c r="AQ916" s="1"/>
      <c r="AR916" s="1"/>
      <c r="AS916" s="1"/>
      <c r="AT916" s="1"/>
      <c r="AU916" s="1"/>
      <c r="AV916" s="1"/>
    </row>
    <row r="917" spans="2:48" x14ac:dyDescent="0.3">
      <c r="B917" s="1" t="s">
        <v>1516</v>
      </c>
      <c r="H917" s="1" t="s">
        <v>738</v>
      </c>
      <c r="I917" s="1"/>
      <c r="J917" s="1"/>
      <c r="K917" s="1"/>
      <c r="L917" s="1"/>
      <c r="M917" s="1"/>
      <c r="N917" s="1"/>
      <c r="O917" s="1"/>
      <c r="P917" s="1"/>
      <c r="Q917" s="1"/>
      <c r="R917" s="1"/>
      <c r="T917" s="1"/>
      <c r="U917" s="1"/>
      <c r="V917" s="1"/>
      <c r="W917" s="1"/>
      <c r="X917" s="1"/>
      <c r="Y917" s="1"/>
      <c r="Z917" s="1"/>
      <c r="AB917" s="1"/>
      <c r="AC917" s="1"/>
      <c r="AD917" s="1"/>
      <c r="AE917" s="1"/>
      <c r="AF917" s="1"/>
      <c r="AG917" s="1"/>
      <c r="AH917" s="1"/>
      <c r="AI917" s="1"/>
      <c r="AL917" s="1"/>
      <c r="AN917" s="1"/>
      <c r="AO917" s="1"/>
      <c r="AP917" s="1"/>
      <c r="AQ917" s="1"/>
      <c r="AR917" s="1"/>
      <c r="AS917" s="1"/>
      <c r="AT917" s="1"/>
      <c r="AU917" s="1"/>
      <c r="AV917" s="1"/>
    </row>
    <row r="918" spans="2:48" x14ac:dyDescent="0.3">
      <c r="B918" s="1" t="s">
        <v>1517</v>
      </c>
      <c r="H918" s="1" t="s">
        <v>738</v>
      </c>
      <c r="I918" s="1"/>
      <c r="J918" s="1"/>
      <c r="K918" s="1"/>
      <c r="L918" s="1"/>
      <c r="M918" s="1"/>
      <c r="N918" s="1"/>
      <c r="O918" s="1"/>
      <c r="P918" s="1"/>
      <c r="Q918" s="1"/>
      <c r="R918" s="1"/>
      <c r="T918" s="1"/>
      <c r="U918" s="1"/>
      <c r="V918" s="1"/>
      <c r="W918" s="1"/>
      <c r="X918" s="1"/>
      <c r="Y918" s="1"/>
      <c r="Z918" s="1"/>
      <c r="AB918" s="1"/>
      <c r="AC918" s="1"/>
      <c r="AD918" s="1"/>
      <c r="AE918" s="1"/>
      <c r="AF918" s="1"/>
      <c r="AG918" s="1"/>
      <c r="AH918" s="1"/>
      <c r="AI918" s="1"/>
      <c r="AL918" s="1"/>
      <c r="AN918" s="1"/>
      <c r="AO918" s="1"/>
      <c r="AP918" s="1"/>
      <c r="AQ918" s="1"/>
      <c r="AR918" s="1"/>
      <c r="AS918" s="1"/>
      <c r="AT918" s="1"/>
      <c r="AU918" s="1"/>
      <c r="AV918" s="1"/>
    </row>
    <row r="919" spans="2:48" x14ac:dyDescent="0.3">
      <c r="B919" s="1" t="s">
        <v>1518</v>
      </c>
      <c r="H919" s="1" t="s">
        <v>738</v>
      </c>
      <c r="I919" s="1"/>
      <c r="J919" s="1"/>
      <c r="K919" s="1"/>
      <c r="L919" s="1"/>
      <c r="M919" s="1"/>
      <c r="N919" s="1"/>
      <c r="O919" s="1"/>
      <c r="P919" s="1"/>
      <c r="Q919" s="1"/>
      <c r="R919" s="1"/>
      <c r="T919" s="1"/>
      <c r="U919" s="1"/>
      <c r="V919" s="1"/>
      <c r="W919" s="1"/>
      <c r="X919" s="1"/>
      <c r="Y919" s="1"/>
      <c r="Z919" s="1"/>
      <c r="AB919" s="1"/>
      <c r="AC919" s="1"/>
      <c r="AD919" s="1"/>
      <c r="AE919" s="1"/>
      <c r="AF919" s="1"/>
      <c r="AG919" s="1"/>
      <c r="AH919" s="1"/>
      <c r="AI919" s="1"/>
      <c r="AL919" s="1"/>
      <c r="AN919" s="1"/>
      <c r="AO919" s="1"/>
      <c r="AP919" s="1"/>
      <c r="AQ919" s="1"/>
      <c r="AR919" s="1"/>
      <c r="AS919" s="1"/>
      <c r="AT919" s="1"/>
      <c r="AU919" s="1"/>
      <c r="AV919" s="1"/>
    </row>
    <row r="920" spans="2:48" x14ac:dyDescent="0.3">
      <c r="B920" s="1" t="s">
        <v>1519</v>
      </c>
      <c r="H920" s="1" t="s">
        <v>738</v>
      </c>
      <c r="I920" s="1"/>
      <c r="J920" s="1"/>
      <c r="K920" s="1"/>
      <c r="L920" s="1"/>
      <c r="M920" s="1"/>
      <c r="N920" s="1"/>
      <c r="O920" s="1"/>
      <c r="P920" s="1"/>
      <c r="Q920" s="1"/>
      <c r="R920" s="1"/>
      <c r="T920" s="1"/>
      <c r="U920" s="1"/>
      <c r="V920" s="1"/>
      <c r="W920" s="1"/>
      <c r="X920" s="1"/>
      <c r="Y920" s="1"/>
      <c r="Z920" s="1"/>
      <c r="AB920" s="1"/>
      <c r="AC920" s="1"/>
      <c r="AD920" s="1"/>
      <c r="AE920" s="1"/>
      <c r="AF920" s="1"/>
      <c r="AG920" s="1"/>
      <c r="AH920" s="1"/>
      <c r="AI920" s="1"/>
      <c r="AL920" s="1"/>
      <c r="AN920" s="1"/>
      <c r="AO920" s="1"/>
      <c r="AP920" s="1"/>
      <c r="AQ920" s="1"/>
      <c r="AR920" s="1"/>
      <c r="AS920" s="1"/>
      <c r="AT920" s="1"/>
      <c r="AU920" s="1"/>
      <c r="AV920" s="1"/>
    </row>
    <row r="921" spans="2:48" x14ac:dyDescent="0.3">
      <c r="B921" s="1" t="s">
        <v>1520</v>
      </c>
      <c r="H921" s="1" t="s">
        <v>738</v>
      </c>
      <c r="I921" s="1"/>
      <c r="J921" s="1"/>
      <c r="K921" s="1"/>
      <c r="L921" s="1"/>
      <c r="M921" s="1"/>
      <c r="N921" s="1"/>
      <c r="O921" s="1"/>
      <c r="P921" s="1"/>
      <c r="Q921" s="1"/>
      <c r="R921" s="1"/>
      <c r="T921" s="1"/>
      <c r="U921" s="1"/>
      <c r="V921" s="1"/>
      <c r="W921" s="1"/>
      <c r="X921" s="1"/>
      <c r="Y921" s="1"/>
      <c r="Z921" s="1"/>
      <c r="AB921" s="1"/>
      <c r="AC921" s="1"/>
      <c r="AD921" s="1"/>
      <c r="AE921" s="1"/>
      <c r="AF921" s="1"/>
      <c r="AG921" s="1"/>
      <c r="AH921" s="1"/>
      <c r="AI921" s="1"/>
      <c r="AL921" s="1"/>
      <c r="AN921" s="1"/>
      <c r="AO921" s="1"/>
      <c r="AP921" s="1"/>
      <c r="AQ921" s="1"/>
      <c r="AR921" s="1"/>
      <c r="AS921" s="1"/>
      <c r="AT921" s="1"/>
      <c r="AU921" s="1"/>
      <c r="AV921" s="1"/>
    </row>
    <row r="922" spans="2:48" x14ac:dyDescent="0.3">
      <c r="B922" s="1" t="s">
        <v>1521</v>
      </c>
      <c r="H922" s="1" t="s">
        <v>738</v>
      </c>
      <c r="I922" s="1"/>
      <c r="J922" s="1"/>
      <c r="K922" s="1"/>
      <c r="L922" s="1"/>
      <c r="M922" s="1"/>
      <c r="N922" s="1"/>
      <c r="O922" s="1"/>
      <c r="P922" s="1"/>
      <c r="Q922" s="1"/>
      <c r="R922" s="1"/>
      <c r="T922" s="1"/>
      <c r="U922" s="1"/>
      <c r="V922" s="1"/>
      <c r="W922" s="1"/>
      <c r="X922" s="1"/>
      <c r="Y922" s="1"/>
      <c r="Z922" s="1"/>
      <c r="AB922" s="1"/>
      <c r="AC922" s="1"/>
      <c r="AD922" s="1"/>
      <c r="AE922" s="1"/>
      <c r="AF922" s="1"/>
      <c r="AG922" s="1"/>
      <c r="AH922" s="1"/>
      <c r="AI922" s="1"/>
      <c r="AL922" s="1"/>
      <c r="AN922" s="1"/>
      <c r="AO922" s="1"/>
      <c r="AP922" s="1"/>
      <c r="AQ922" s="1"/>
      <c r="AR922" s="1"/>
      <c r="AS922" s="1"/>
      <c r="AT922" s="1"/>
      <c r="AU922" s="1"/>
      <c r="AV922" s="1"/>
    </row>
    <row r="923" spans="2:48" x14ac:dyDescent="0.3">
      <c r="B923" s="1" t="s">
        <v>1522</v>
      </c>
      <c r="H923" s="1" t="s">
        <v>738</v>
      </c>
      <c r="I923" s="1"/>
      <c r="J923" s="1"/>
      <c r="K923" s="1"/>
      <c r="L923" s="1"/>
      <c r="M923" s="1"/>
      <c r="N923" s="1"/>
      <c r="O923" s="1"/>
      <c r="P923" s="1"/>
      <c r="Q923" s="1"/>
      <c r="R923" s="1"/>
      <c r="T923" s="1"/>
      <c r="U923" s="1"/>
      <c r="V923" s="1"/>
      <c r="W923" s="1"/>
      <c r="X923" s="1"/>
      <c r="Y923" s="1"/>
      <c r="Z923" s="1"/>
      <c r="AB923" s="1"/>
      <c r="AC923" s="1"/>
      <c r="AD923" s="1"/>
      <c r="AE923" s="1"/>
      <c r="AF923" s="1"/>
      <c r="AG923" s="1"/>
      <c r="AH923" s="1"/>
      <c r="AI923" s="1"/>
      <c r="AL923" s="1"/>
      <c r="AN923" s="1"/>
      <c r="AO923" s="1"/>
      <c r="AP923" s="1"/>
      <c r="AQ923" s="1"/>
      <c r="AR923" s="1"/>
      <c r="AS923" s="1"/>
      <c r="AT923" s="1"/>
      <c r="AU923" s="1"/>
      <c r="AV923" s="1"/>
    </row>
    <row r="924" spans="2:48" x14ac:dyDescent="0.3">
      <c r="B924" s="1" t="s">
        <v>1523</v>
      </c>
      <c r="H924" s="1" t="s">
        <v>738</v>
      </c>
      <c r="I924" s="1"/>
      <c r="J924" s="1"/>
      <c r="K924" s="1"/>
      <c r="L924" s="1"/>
      <c r="M924" s="1"/>
      <c r="N924" s="1"/>
      <c r="O924" s="1"/>
      <c r="P924" s="1"/>
      <c r="Q924" s="1"/>
      <c r="R924" s="1"/>
      <c r="T924" s="1"/>
      <c r="U924" s="1"/>
      <c r="V924" s="1"/>
      <c r="W924" s="1"/>
      <c r="X924" s="1"/>
      <c r="Y924" s="1"/>
      <c r="Z924" s="1"/>
      <c r="AB924" s="1"/>
      <c r="AC924" s="1"/>
      <c r="AD924" s="1"/>
      <c r="AE924" s="1"/>
      <c r="AF924" s="1"/>
      <c r="AG924" s="1"/>
      <c r="AH924" s="1"/>
      <c r="AI924" s="1"/>
      <c r="AL924" s="1"/>
      <c r="AN924" s="1"/>
      <c r="AO924" s="1"/>
      <c r="AP924" s="1"/>
      <c r="AQ924" s="1"/>
      <c r="AR924" s="1"/>
      <c r="AS924" s="1"/>
      <c r="AT924" s="1"/>
      <c r="AU924" s="1"/>
      <c r="AV924" s="1"/>
    </row>
    <row r="925" spans="2:48" x14ac:dyDescent="0.3">
      <c r="B925" s="1" t="s">
        <v>1524</v>
      </c>
      <c r="H925" s="1" t="s">
        <v>738</v>
      </c>
      <c r="I925" s="1"/>
      <c r="J925" s="1"/>
      <c r="K925" s="1"/>
      <c r="L925" s="1"/>
      <c r="M925" s="1"/>
      <c r="N925" s="1"/>
      <c r="O925" s="1"/>
      <c r="P925" s="1"/>
      <c r="Q925" s="1"/>
      <c r="R925" s="1"/>
      <c r="T925" s="1"/>
      <c r="U925" s="1"/>
      <c r="V925" s="1"/>
      <c r="W925" s="1"/>
      <c r="X925" s="1"/>
      <c r="Y925" s="1"/>
      <c r="Z925" s="1"/>
      <c r="AB925" s="1"/>
      <c r="AC925" s="1"/>
      <c r="AD925" s="1"/>
      <c r="AE925" s="1"/>
      <c r="AF925" s="1"/>
      <c r="AG925" s="1"/>
      <c r="AH925" s="1"/>
      <c r="AI925" s="1"/>
      <c r="AL925" s="1"/>
      <c r="AN925" s="1"/>
      <c r="AO925" s="1"/>
      <c r="AP925" s="1"/>
      <c r="AQ925" s="1"/>
      <c r="AR925" s="1"/>
      <c r="AS925" s="1"/>
      <c r="AT925" s="1"/>
      <c r="AU925" s="1"/>
      <c r="AV925" s="1"/>
    </row>
    <row r="926" spans="2:48" x14ac:dyDescent="0.3">
      <c r="B926" s="1" t="s">
        <v>1525</v>
      </c>
      <c r="H926" s="1" t="s">
        <v>738</v>
      </c>
      <c r="I926" s="1"/>
      <c r="J926" s="1"/>
      <c r="K926" s="1"/>
      <c r="L926" s="1"/>
      <c r="M926" s="1"/>
      <c r="N926" s="1"/>
      <c r="O926" s="1"/>
      <c r="P926" s="1"/>
      <c r="Q926" s="1"/>
      <c r="R926" s="1"/>
      <c r="T926" s="1"/>
      <c r="U926" s="1"/>
      <c r="V926" s="1"/>
      <c r="W926" s="1"/>
      <c r="X926" s="1"/>
      <c r="Y926" s="1"/>
      <c r="Z926" s="1"/>
      <c r="AB926" s="1"/>
      <c r="AC926" s="1"/>
      <c r="AD926" s="1"/>
      <c r="AE926" s="1"/>
      <c r="AF926" s="1"/>
      <c r="AG926" s="1"/>
      <c r="AH926" s="1"/>
      <c r="AI926" s="1"/>
      <c r="AL926" s="1"/>
      <c r="AN926" s="1"/>
      <c r="AO926" s="1"/>
      <c r="AP926" s="1"/>
      <c r="AQ926" s="1"/>
      <c r="AR926" s="1"/>
      <c r="AS926" s="1"/>
      <c r="AT926" s="1"/>
      <c r="AU926" s="1"/>
      <c r="AV926" s="1"/>
    </row>
    <row r="927" spans="2:48" x14ac:dyDescent="0.3">
      <c r="B927" s="1" t="s">
        <v>1526</v>
      </c>
      <c r="H927" s="1" t="s">
        <v>738</v>
      </c>
      <c r="I927" s="1"/>
      <c r="J927" s="1"/>
      <c r="K927" s="1"/>
      <c r="L927" s="1"/>
      <c r="M927" s="1"/>
      <c r="N927" s="1"/>
      <c r="O927" s="1"/>
      <c r="P927" s="1"/>
      <c r="Q927" s="1"/>
      <c r="R927" s="1"/>
      <c r="T927" s="1"/>
      <c r="U927" s="1"/>
      <c r="V927" s="1"/>
      <c r="W927" s="1"/>
      <c r="X927" s="1"/>
      <c r="Y927" s="1"/>
      <c r="Z927" s="1"/>
      <c r="AB927" s="1"/>
      <c r="AC927" s="1"/>
      <c r="AD927" s="1"/>
      <c r="AE927" s="1"/>
      <c r="AF927" s="1"/>
      <c r="AG927" s="1"/>
      <c r="AH927" s="1"/>
      <c r="AI927" s="1"/>
      <c r="AL927" s="1"/>
      <c r="AN927" s="1"/>
      <c r="AO927" s="1"/>
      <c r="AP927" s="1"/>
      <c r="AQ927" s="1"/>
      <c r="AR927" s="1"/>
      <c r="AS927" s="1"/>
      <c r="AT927" s="1"/>
      <c r="AU927" s="1"/>
      <c r="AV927" s="1"/>
    </row>
    <row r="928" spans="2:48" x14ac:dyDescent="0.3">
      <c r="B928" s="1" t="s">
        <v>1527</v>
      </c>
      <c r="H928" s="1" t="s">
        <v>738</v>
      </c>
      <c r="I928" s="1"/>
      <c r="J928" s="1"/>
      <c r="K928" s="1"/>
      <c r="L928" s="1"/>
      <c r="M928" s="1"/>
      <c r="N928" s="1"/>
      <c r="O928" s="1"/>
      <c r="P928" s="1"/>
      <c r="Q928" s="1"/>
      <c r="R928" s="1"/>
      <c r="T928" s="1"/>
      <c r="U928" s="1"/>
      <c r="V928" s="1"/>
      <c r="W928" s="1"/>
      <c r="X928" s="1"/>
      <c r="Y928" s="1"/>
      <c r="Z928" s="1"/>
      <c r="AB928" s="1"/>
      <c r="AC928" s="1"/>
      <c r="AD928" s="1"/>
      <c r="AE928" s="1"/>
      <c r="AF928" s="1"/>
      <c r="AG928" s="1"/>
      <c r="AH928" s="1"/>
      <c r="AI928" s="1"/>
      <c r="AL928" s="1"/>
      <c r="AN928" s="1"/>
      <c r="AO928" s="1"/>
      <c r="AP928" s="1"/>
      <c r="AQ928" s="1"/>
      <c r="AR928" s="1"/>
      <c r="AS928" s="1"/>
      <c r="AT928" s="1"/>
      <c r="AU928" s="1"/>
      <c r="AV928" s="1"/>
    </row>
    <row r="929" spans="2:48" x14ac:dyDescent="0.3">
      <c r="B929" s="1" t="s">
        <v>1528</v>
      </c>
      <c r="H929" s="1" t="s">
        <v>738</v>
      </c>
      <c r="I929" s="1"/>
      <c r="J929" s="1"/>
      <c r="K929" s="1"/>
      <c r="L929" s="1"/>
      <c r="M929" s="1"/>
      <c r="N929" s="1"/>
      <c r="O929" s="1"/>
      <c r="P929" s="1"/>
      <c r="Q929" s="1"/>
      <c r="R929" s="1"/>
      <c r="T929" s="1"/>
      <c r="U929" s="1"/>
      <c r="V929" s="1"/>
      <c r="W929" s="1"/>
      <c r="X929" s="1"/>
      <c r="Y929" s="1"/>
      <c r="Z929" s="1"/>
      <c r="AB929" s="1"/>
      <c r="AC929" s="1"/>
      <c r="AD929" s="1"/>
      <c r="AE929" s="1"/>
      <c r="AF929" s="1"/>
      <c r="AG929" s="1"/>
      <c r="AH929" s="1"/>
      <c r="AI929" s="1"/>
      <c r="AL929" s="1"/>
      <c r="AN929" s="1"/>
      <c r="AO929" s="1"/>
      <c r="AP929" s="1"/>
      <c r="AQ929" s="1"/>
      <c r="AR929" s="1"/>
      <c r="AS929" s="1"/>
      <c r="AT929" s="1"/>
      <c r="AU929" s="1"/>
      <c r="AV929" s="1"/>
    </row>
    <row r="930" spans="2:48" x14ac:dyDescent="0.3">
      <c r="B930" s="1" t="s">
        <v>1529</v>
      </c>
      <c r="H930" s="1" t="s">
        <v>738</v>
      </c>
      <c r="I930" s="1"/>
      <c r="J930" s="1"/>
      <c r="K930" s="1"/>
      <c r="L930" s="1"/>
      <c r="M930" s="1"/>
      <c r="N930" s="1"/>
      <c r="O930" s="1"/>
      <c r="P930" s="1"/>
      <c r="Q930" s="1"/>
      <c r="R930" s="1"/>
      <c r="T930" s="1"/>
      <c r="U930" s="1"/>
      <c r="V930" s="1"/>
      <c r="W930" s="1"/>
      <c r="X930" s="1"/>
      <c r="Y930" s="1"/>
      <c r="Z930" s="1"/>
      <c r="AB930" s="1"/>
      <c r="AC930" s="1"/>
      <c r="AD930" s="1"/>
      <c r="AE930" s="1"/>
      <c r="AF930" s="1"/>
      <c r="AG930" s="1"/>
      <c r="AH930" s="1"/>
      <c r="AI930" s="1"/>
      <c r="AL930" s="1"/>
      <c r="AN930" s="1"/>
      <c r="AO930" s="1"/>
      <c r="AP930" s="1"/>
      <c r="AQ930" s="1"/>
      <c r="AR930" s="1"/>
      <c r="AS930" s="1"/>
      <c r="AT930" s="1"/>
      <c r="AU930" s="1"/>
      <c r="AV930" s="1"/>
    </row>
    <row r="931" spans="2:48" x14ac:dyDescent="0.3">
      <c r="B931" s="1" t="s">
        <v>1530</v>
      </c>
      <c r="H931" s="1" t="s">
        <v>738</v>
      </c>
      <c r="I931" s="1"/>
      <c r="J931" s="1"/>
      <c r="K931" s="1"/>
      <c r="L931" s="1"/>
      <c r="M931" s="1"/>
      <c r="N931" s="1"/>
      <c r="O931" s="1"/>
      <c r="P931" s="1"/>
      <c r="Q931" s="1"/>
      <c r="R931" s="1"/>
      <c r="T931" s="1"/>
      <c r="U931" s="1"/>
      <c r="V931" s="1"/>
      <c r="W931" s="1"/>
      <c r="X931" s="1"/>
      <c r="Y931" s="1"/>
      <c r="Z931" s="1"/>
      <c r="AB931" s="1"/>
      <c r="AC931" s="1"/>
      <c r="AD931" s="1"/>
      <c r="AE931" s="1"/>
      <c r="AF931" s="1"/>
      <c r="AG931" s="1"/>
      <c r="AH931" s="1"/>
      <c r="AI931" s="1"/>
      <c r="AL931" s="1"/>
      <c r="AN931" s="1"/>
      <c r="AO931" s="1"/>
      <c r="AP931" s="1"/>
      <c r="AQ931" s="1"/>
      <c r="AR931" s="1"/>
      <c r="AS931" s="1"/>
      <c r="AT931" s="1"/>
      <c r="AU931" s="1"/>
      <c r="AV931" s="1"/>
    </row>
    <row r="932" spans="2:48" x14ac:dyDescent="0.3">
      <c r="B932" s="1" t="s">
        <v>1531</v>
      </c>
      <c r="H932" s="1" t="s">
        <v>738</v>
      </c>
      <c r="I932" s="1"/>
      <c r="J932" s="1"/>
      <c r="K932" s="1"/>
      <c r="L932" s="1"/>
      <c r="M932" s="1"/>
      <c r="N932" s="1"/>
      <c r="O932" s="1"/>
      <c r="P932" s="1"/>
      <c r="Q932" s="1"/>
      <c r="R932" s="1"/>
      <c r="T932" s="1"/>
      <c r="U932" s="1"/>
      <c r="V932" s="1"/>
      <c r="W932" s="1"/>
      <c r="X932" s="1"/>
      <c r="Y932" s="1"/>
      <c r="Z932" s="1"/>
      <c r="AB932" s="1"/>
      <c r="AC932" s="1"/>
      <c r="AD932" s="1"/>
      <c r="AE932" s="1"/>
      <c r="AF932" s="1"/>
      <c r="AG932" s="1"/>
      <c r="AH932" s="1"/>
      <c r="AI932" s="1"/>
      <c r="AL932" s="1"/>
      <c r="AN932" s="1"/>
      <c r="AO932" s="1"/>
      <c r="AP932" s="1"/>
      <c r="AQ932" s="1"/>
      <c r="AR932" s="1"/>
      <c r="AS932" s="1"/>
      <c r="AT932" s="1"/>
      <c r="AU932" s="1"/>
      <c r="AV932" s="1"/>
    </row>
    <row r="933" spans="2:48" x14ac:dyDescent="0.3">
      <c r="B933" s="1" t="s">
        <v>1532</v>
      </c>
      <c r="H933" s="1" t="s">
        <v>738</v>
      </c>
      <c r="I933" s="1"/>
      <c r="J933" s="1"/>
      <c r="K933" s="1"/>
      <c r="L933" s="1"/>
      <c r="M933" s="1"/>
      <c r="N933" s="1"/>
      <c r="O933" s="1"/>
      <c r="P933" s="1"/>
      <c r="Q933" s="1"/>
      <c r="R933" s="1"/>
      <c r="T933" s="1"/>
      <c r="U933" s="1"/>
      <c r="V933" s="1"/>
      <c r="W933" s="1"/>
      <c r="X933" s="1"/>
      <c r="Y933" s="1"/>
      <c r="Z933" s="1"/>
      <c r="AB933" s="1"/>
      <c r="AC933" s="1"/>
      <c r="AD933" s="1"/>
      <c r="AE933" s="1"/>
      <c r="AF933" s="1"/>
      <c r="AG933" s="1"/>
      <c r="AH933" s="1"/>
      <c r="AI933" s="1"/>
      <c r="AL933" s="1"/>
      <c r="AN933" s="1"/>
      <c r="AO933" s="1"/>
      <c r="AP933" s="1"/>
      <c r="AQ933" s="1"/>
      <c r="AR933" s="1"/>
      <c r="AS933" s="1"/>
      <c r="AT933" s="1"/>
      <c r="AU933" s="1"/>
      <c r="AV933" s="1"/>
    </row>
    <row r="934" spans="2:48" x14ac:dyDescent="0.3">
      <c r="B934" s="1" t="s">
        <v>1533</v>
      </c>
      <c r="H934" s="1" t="s">
        <v>738</v>
      </c>
      <c r="I934" s="1"/>
      <c r="J934" s="1"/>
      <c r="K934" s="1"/>
      <c r="L934" s="1"/>
      <c r="M934" s="1"/>
      <c r="N934" s="1"/>
      <c r="O934" s="1"/>
      <c r="P934" s="1"/>
      <c r="Q934" s="1"/>
      <c r="R934" s="1"/>
      <c r="T934" s="1"/>
      <c r="U934" s="1"/>
      <c r="V934" s="1"/>
      <c r="W934" s="1"/>
      <c r="X934" s="1"/>
      <c r="Y934" s="1"/>
      <c r="Z934" s="1"/>
      <c r="AB934" s="1"/>
      <c r="AC934" s="1"/>
      <c r="AD934" s="1"/>
      <c r="AE934" s="1"/>
      <c r="AF934" s="1"/>
      <c r="AG934" s="1"/>
      <c r="AH934" s="1"/>
      <c r="AI934" s="1"/>
      <c r="AL934" s="1"/>
      <c r="AN934" s="1"/>
      <c r="AO934" s="1"/>
      <c r="AP934" s="1"/>
      <c r="AQ934" s="1"/>
      <c r="AR934" s="1"/>
      <c r="AS934" s="1"/>
      <c r="AT934" s="1"/>
      <c r="AU934" s="1"/>
      <c r="AV934" s="1"/>
    </row>
    <row r="935" spans="2:48" x14ac:dyDescent="0.3">
      <c r="B935" s="1" t="s">
        <v>1534</v>
      </c>
      <c r="H935" s="1" t="s">
        <v>738</v>
      </c>
      <c r="I935" s="1"/>
      <c r="J935" s="1"/>
      <c r="K935" s="1"/>
      <c r="L935" s="1"/>
      <c r="M935" s="1"/>
      <c r="N935" s="1"/>
      <c r="O935" s="1"/>
      <c r="P935" s="1"/>
      <c r="Q935" s="1"/>
      <c r="R935" s="1"/>
      <c r="T935" s="1"/>
      <c r="U935" s="1"/>
      <c r="V935" s="1"/>
      <c r="W935" s="1"/>
      <c r="X935" s="1"/>
      <c r="Y935" s="1"/>
      <c r="Z935" s="1"/>
      <c r="AB935" s="1"/>
      <c r="AC935" s="1"/>
      <c r="AD935" s="1"/>
      <c r="AE935" s="1"/>
      <c r="AF935" s="1"/>
      <c r="AG935" s="1"/>
      <c r="AH935" s="1"/>
      <c r="AI935" s="1"/>
      <c r="AL935" s="1"/>
      <c r="AN935" s="1"/>
      <c r="AO935" s="1"/>
      <c r="AP935" s="1"/>
      <c r="AQ935" s="1"/>
      <c r="AR935" s="1"/>
      <c r="AS935" s="1"/>
      <c r="AT935" s="1"/>
      <c r="AU935" s="1"/>
      <c r="AV935" s="1"/>
    </row>
    <row r="936" spans="2:48" x14ac:dyDescent="0.3">
      <c r="B936" s="1" t="s">
        <v>1535</v>
      </c>
      <c r="H936" s="1" t="s">
        <v>738</v>
      </c>
      <c r="I936" s="1"/>
      <c r="J936" s="1"/>
      <c r="K936" s="1"/>
      <c r="L936" s="1"/>
      <c r="M936" s="1"/>
      <c r="N936" s="1"/>
      <c r="O936" s="1"/>
      <c r="P936" s="1"/>
      <c r="Q936" s="1"/>
      <c r="R936" s="1"/>
      <c r="T936" s="1"/>
      <c r="U936" s="1"/>
      <c r="V936" s="1"/>
      <c r="W936" s="1"/>
      <c r="X936" s="1"/>
      <c r="Y936" s="1"/>
      <c r="Z936" s="1"/>
      <c r="AB936" s="1"/>
      <c r="AC936" s="1"/>
      <c r="AD936" s="1"/>
      <c r="AE936" s="1"/>
      <c r="AF936" s="1"/>
      <c r="AG936" s="1"/>
      <c r="AH936" s="1"/>
      <c r="AI936" s="1"/>
      <c r="AL936" s="1"/>
      <c r="AN936" s="1"/>
      <c r="AO936" s="1"/>
      <c r="AP936" s="1"/>
      <c r="AQ936" s="1"/>
      <c r="AR936" s="1"/>
      <c r="AS936" s="1"/>
      <c r="AT936" s="1"/>
      <c r="AU936" s="1"/>
      <c r="AV936" s="1"/>
    </row>
    <row r="937" spans="2:48" x14ac:dyDescent="0.3">
      <c r="B937" s="1" t="s">
        <v>1536</v>
      </c>
      <c r="H937" s="1" t="s">
        <v>738</v>
      </c>
      <c r="I937" s="1"/>
      <c r="J937" s="1"/>
      <c r="K937" s="1"/>
      <c r="L937" s="1"/>
      <c r="M937" s="1"/>
      <c r="N937" s="1"/>
      <c r="O937" s="1"/>
      <c r="P937" s="1"/>
      <c r="Q937" s="1"/>
      <c r="R937" s="1"/>
      <c r="T937" s="1"/>
      <c r="U937" s="1"/>
      <c r="V937" s="1"/>
      <c r="W937" s="1"/>
      <c r="X937" s="1"/>
      <c r="Y937" s="1"/>
      <c r="Z937" s="1"/>
      <c r="AB937" s="1"/>
      <c r="AC937" s="1"/>
      <c r="AD937" s="1"/>
      <c r="AE937" s="1"/>
      <c r="AF937" s="1"/>
      <c r="AG937" s="1"/>
      <c r="AH937" s="1"/>
      <c r="AI937" s="1"/>
      <c r="AL937" s="1"/>
      <c r="AN937" s="1"/>
      <c r="AO937" s="1"/>
      <c r="AP937" s="1"/>
      <c r="AQ937" s="1"/>
      <c r="AR937" s="1"/>
      <c r="AS937" s="1"/>
      <c r="AT937" s="1"/>
      <c r="AU937" s="1"/>
      <c r="AV937" s="1"/>
    </row>
    <row r="938" spans="2:48" x14ac:dyDescent="0.3">
      <c r="B938" s="1" t="s">
        <v>1537</v>
      </c>
      <c r="H938" s="1" t="s">
        <v>738</v>
      </c>
      <c r="I938" s="1"/>
      <c r="J938" s="1"/>
      <c r="K938" s="1"/>
      <c r="L938" s="1"/>
      <c r="M938" s="1"/>
      <c r="N938" s="1"/>
      <c r="O938" s="1"/>
      <c r="P938" s="1"/>
      <c r="Q938" s="1"/>
      <c r="R938" s="1"/>
      <c r="T938" s="1"/>
      <c r="U938" s="1"/>
      <c r="V938" s="1"/>
      <c r="W938" s="1"/>
      <c r="X938" s="1"/>
      <c r="Y938" s="1"/>
      <c r="Z938" s="1"/>
      <c r="AB938" s="1"/>
      <c r="AC938" s="1"/>
      <c r="AD938" s="1"/>
      <c r="AE938" s="1"/>
      <c r="AF938" s="1"/>
      <c r="AG938" s="1"/>
      <c r="AH938" s="1"/>
      <c r="AI938" s="1"/>
      <c r="AL938" s="1"/>
      <c r="AN938" s="1"/>
      <c r="AO938" s="1"/>
      <c r="AP938" s="1"/>
      <c r="AQ938" s="1"/>
      <c r="AR938" s="1"/>
      <c r="AS938" s="1"/>
      <c r="AT938" s="1"/>
      <c r="AU938" s="1"/>
      <c r="AV938" s="1"/>
    </row>
    <row r="939" spans="2:48" x14ac:dyDescent="0.3">
      <c r="B939" s="1" t="s">
        <v>1538</v>
      </c>
      <c r="H939" s="1" t="s">
        <v>738</v>
      </c>
      <c r="I939" s="1"/>
      <c r="J939" s="1"/>
      <c r="K939" s="1"/>
      <c r="L939" s="1"/>
      <c r="M939" s="1"/>
      <c r="N939" s="1"/>
      <c r="O939" s="1"/>
      <c r="P939" s="1"/>
      <c r="Q939" s="1"/>
      <c r="R939" s="1"/>
      <c r="T939" s="1"/>
      <c r="U939" s="1"/>
      <c r="V939" s="1"/>
      <c r="W939" s="1"/>
      <c r="X939" s="1"/>
      <c r="Y939" s="1"/>
      <c r="Z939" s="1"/>
      <c r="AB939" s="1"/>
      <c r="AC939" s="1"/>
      <c r="AD939" s="1"/>
      <c r="AE939" s="1"/>
      <c r="AF939" s="1"/>
      <c r="AG939" s="1"/>
      <c r="AH939" s="1"/>
      <c r="AI939" s="1"/>
      <c r="AL939" s="1"/>
      <c r="AN939" s="1"/>
      <c r="AO939" s="1"/>
      <c r="AP939" s="1"/>
      <c r="AQ939" s="1"/>
      <c r="AR939" s="1"/>
      <c r="AS939" s="1"/>
      <c r="AT939" s="1"/>
      <c r="AU939" s="1"/>
      <c r="AV939" s="1"/>
    </row>
    <row r="940" spans="2:48" x14ac:dyDescent="0.3">
      <c r="B940" s="1" t="s">
        <v>1539</v>
      </c>
      <c r="H940" s="1" t="s">
        <v>738</v>
      </c>
      <c r="I940" s="1"/>
      <c r="J940" s="1"/>
      <c r="K940" s="1"/>
      <c r="L940" s="1"/>
      <c r="M940" s="1"/>
      <c r="N940" s="1"/>
      <c r="O940" s="1"/>
      <c r="P940" s="1"/>
      <c r="Q940" s="1"/>
      <c r="R940" s="1"/>
      <c r="T940" s="1"/>
      <c r="U940" s="1"/>
      <c r="V940" s="1"/>
      <c r="W940" s="1"/>
      <c r="X940" s="1"/>
      <c r="Y940" s="1"/>
      <c r="Z940" s="1"/>
      <c r="AB940" s="1"/>
      <c r="AC940" s="1"/>
      <c r="AD940" s="1"/>
      <c r="AE940" s="1"/>
      <c r="AF940" s="1"/>
      <c r="AG940" s="1"/>
      <c r="AH940" s="1"/>
      <c r="AI940" s="1"/>
      <c r="AL940" s="1"/>
      <c r="AN940" s="1"/>
      <c r="AO940" s="1"/>
      <c r="AP940" s="1"/>
      <c r="AQ940" s="1"/>
      <c r="AR940" s="1"/>
      <c r="AS940" s="1"/>
      <c r="AT940" s="1"/>
      <c r="AU940" s="1"/>
      <c r="AV940" s="1"/>
    </row>
    <row r="941" spans="2:48" x14ac:dyDescent="0.3">
      <c r="B941" s="1" t="s">
        <v>1540</v>
      </c>
      <c r="H941" s="1" t="s">
        <v>738</v>
      </c>
      <c r="I941" s="1"/>
      <c r="J941" s="1"/>
      <c r="K941" s="1"/>
      <c r="L941" s="1"/>
      <c r="M941" s="1"/>
      <c r="N941" s="1"/>
      <c r="O941" s="1"/>
      <c r="P941" s="1"/>
      <c r="Q941" s="1"/>
      <c r="R941" s="1"/>
      <c r="T941" s="1"/>
      <c r="U941" s="1"/>
      <c r="V941" s="1"/>
      <c r="W941" s="1"/>
      <c r="X941" s="1"/>
      <c r="Y941" s="1"/>
      <c r="Z941" s="1"/>
      <c r="AB941" s="1"/>
      <c r="AC941" s="1"/>
      <c r="AD941" s="1"/>
      <c r="AE941" s="1"/>
      <c r="AF941" s="1"/>
      <c r="AG941" s="1"/>
      <c r="AH941" s="1"/>
      <c r="AI941" s="1"/>
      <c r="AL941" s="1"/>
      <c r="AN941" s="1"/>
      <c r="AO941" s="1"/>
      <c r="AP941" s="1"/>
      <c r="AQ941" s="1"/>
      <c r="AR941" s="1"/>
      <c r="AS941" s="1"/>
      <c r="AT941" s="1"/>
      <c r="AU941" s="1"/>
      <c r="AV941" s="1"/>
    </row>
    <row r="942" spans="2:48" x14ac:dyDescent="0.3">
      <c r="B942" s="1" t="s">
        <v>1541</v>
      </c>
      <c r="H942" s="1" t="s">
        <v>738</v>
      </c>
      <c r="I942" s="1"/>
      <c r="J942" s="1"/>
      <c r="K942" s="1"/>
      <c r="L942" s="1"/>
      <c r="M942" s="1"/>
      <c r="N942" s="1"/>
      <c r="O942" s="1"/>
      <c r="P942" s="1"/>
      <c r="Q942" s="1"/>
      <c r="R942" s="1"/>
      <c r="T942" s="1"/>
      <c r="U942" s="1"/>
      <c r="V942" s="1"/>
      <c r="W942" s="1"/>
      <c r="X942" s="1"/>
      <c r="Y942" s="1"/>
      <c r="Z942" s="1"/>
      <c r="AB942" s="1"/>
      <c r="AC942" s="1"/>
      <c r="AD942" s="1"/>
      <c r="AE942" s="1"/>
      <c r="AF942" s="1"/>
      <c r="AG942" s="1"/>
      <c r="AH942" s="1"/>
      <c r="AI942" s="1"/>
      <c r="AL942" s="1"/>
      <c r="AN942" s="1"/>
      <c r="AO942" s="1"/>
      <c r="AP942" s="1"/>
      <c r="AQ942" s="1"/>
      <c r="AR942" s="1"/>
      <c r="AS942" s="1"/>
      <c r="AT942" s="1"/>
      <c r="AU942" s="1"/>
      <c r="AV942" s="1"/>
    </row>
    <row r="943" spans="2:48" x14ac:dyDescent="0.3">
      <c r="B943" s="1" t="s">
        <v>1542</v>
      </c>
      <c r="H943" s="1" t="s">
        <v>738</v>
      </c>
      <c r="I943" s="1"/>
      <c r="J943" s="1"/>
      <c r="K943" s="1"/>
      <c r="L943" s="1"/>
      <c r="M943" s="1"/>
      <c r="N943" s="1"/>
      <c r="O943" s="1"/>
      <c r="P943" s="1"/>
      <c r="Q943" s="1"/>
      <c r="R943" s="1"/>
      <c r="T943" s="1"/>
      <c r="U943" s="1"/>
      <c r="V943" s="1"/>
      <c r="W943" s="1"/>
      <c r="X943" s="1"/>
      <c r="Y943" s="1"/>
      <c r="Z943" s="1"/>
      <c r="AB943" s="1"/>
      <c r="AC943" s="1"/>
      <c r="AD943" s="1"/>
      <c r="AE943" s="1"/>
      <c r="AF943" s="1"/>
      <c r="AG943" s="1"/>
      <c r="AH943" s="1"/>
      <c r="AI943" s="1"/>
      <c r="AL943" s="1"/>
      <c r="AN943" s="1"/>
      <c r="AO943" s="1"/>
      <c r="AP943" s="1"/>
      <c r="AQ943" s="1"/>
      <c r="AR943" s="1"/>
      <c r="AS943" s="1"/>
      <c r="AT943" s="1"/>
      <c r="AU943" s="1"/>
      <c r="AV943" s="1"/>
    </row>
    <row r="944" spans="2:48" x14ac:dyDescent="0.3">
      <c r="B944" s="1" t="s">
        <v>1543</v>
      </c>
      <c r="H944" s="1" t="s">
        <v>738</v>
      </c>
      <c r="I944" s="1"/>
      <c r="J944" s="1"/>
      <c r="K944" s="1"/>
      <c r="L944" s="1"/>
      <c r="M944" s="1"/>
      <c r="N944" s="1"/>
      <c r="O944" s="1"/>
      <c r="P944" s="1"/>
      <c r="Q944" s="1"/>
      <c r="R944" s="1"/>
      <c r="T944" s="1"/>
      <c r="U944" s="1"/>
      <c r="V944" s="1"/>
      <c r="W944" s="1"/>
      <c r="X944" s="1"/>
      <c r="Y944" s="1"/>
      <c r="Z944" s="1"/>
      <c r="AB944" s="1"/>
      <c r="AC944" s="1"/>
      <c r="AD944" s="1"/>
      <c r="AE944" s="1"/>
      <c r="AF944" s="1"/>
      <c r="AG944" s="1"/>
      <c r="AH944" s="1"/>
      <c r="AI944" s="1"/>
      <c r="AL944" s="1"/>
      <c r="AN944" s="1"/>
      <c r="AO944" s="1"/>
      <c r="AP944" s="1"/>
      <c r="AQ944" s="1"/>
      <c r="AR944" s="1"/>
      <c r="AS944" s="1"/>
      <c r="AT944" s="1"/>
      <c r="AU944" s="1"/>
      <c r="AV944" s="1"/>
    </row>
    <row r="945" spans="2:48" x14ac:dyDescent="0.3">
      <c r="B945" s="1" t="s">
        <v>1544</v>
      </c>
      <c r="H945" s="1" t="s">
        <v>738</v>
      </c>
      <c r="I945" s="1"/>
      <c r="J945" s="1"/>
      <c r="K945" s="1"/>
      <c r="L945" s="1"/>
      <c r="M945" s="1"/>
      <c r="N945" s="1"/>
      <c r="O945" s="1"/>
      <c r="P945" s="1"/>
      <c r="Q945" s="1"/>
      <c r="R945" s="1"/>
      <c r="T945" s="1"/>
      <c r="U945" s="1"/>
      <c r="V945" s="1"/>
      <c r="W945" s="1"/>
      <c r="X945" s="1"/>
      <c r="Y945" s="1"/>
      <c r="Z945" s="1"/>
      <c r="AB945" s="1"/>
      <c r="AC945" s="1"/>
      <c r="AD945" s="1"/>
      <c r="AE945" s="1"/>
      <c r="AF945" s="1"/>
      <c r="AG945" s="1"/>
      <c r="AH945" s="1"/>
      <c r="AI945" s="1"/>
      <c r="AL945" s="1"/>
      <c r="AN945" s="1"/>
      <c r="AO945" s="1"/>
      <c r="AP945" s="1"/>
      <c r="AQ945" s="1"/>
      <c r="AR945" s="1"/>
      <c r="AS945" s="1"/>
      <c r="AT945" s="1"/>
      <c r="AU945" s="1"/>
      <c r="AV945" s="1"/>
    </row>
    <row r="946" spans="2:48" x14ac:dyDescent="0.3">
      <c r="B946" s="1" t="s">
        <v>1545</v>
      </c>
      <c r="H946" s="1" t="s">
        <v>738</v>
      </c>
      <c r="I946" s="1"/>
      <c r="J946" s="1"/>
      <c r="K946" s="1"/>
      <c r="L946" s="1"/>
      <c r="M946" s="1"/>
      <c r="N946" s="1"/>
      <c r="O946" s="1"/>
      <c r="P946" s="1"/>
      <c r="Q946" s="1"/>
      <c r="R946" s="1"/>
      <c r="T946" s="1"/>
      <c r="U946" s="1"/>
      <c r="V946" s="1"/>
      <c r="W946" s="1"/>
      <c r="X946" s="1"/>
      <c r="Y946" s="1"/>
      <c r="Z946" s="1"/>
      <c r="AB946" s="1"/>
      <c r="AC946" s="1"/>
      <c r="AD946" s="1"/>
      <c r="AE946" s="1"/>
      <c r="AF946" s="1"/>
      <c r="AG946" s="1"/>
      <c r="AH946" s="1"/>
      <c r="AI946" s="1"/>
      <c r="AL946" s="1"/>
      <c r="AN946" s="1"/>
      <c r="AO946" s="1"/>
      <c r="AP946" s="1"/>
      <c r="AQ946" s="1"/>
      <c r="AR946" s="1"/>
      <c r="AS946" s="1"/>
      <c r="AT946" s="1"/>
      <c r="AU946" s="1"/>
      <c r="AV946" s="1"/>
    </row>
    <row r="947" spans="2:48" x14ac:dyDescent="0.3">
      <c r="B947" s="1" t="s">
        <v>1546</v>
      </c>
      <c r="H947" s="1" t="s">
        <v>738</v>
      </c>
      <c r="I947" s="1"/>
      <c r="J947" s="1"/>
      <c r="K947" s="1"/>
      <c r="L947" s="1"/>
      <c r="M947" s="1"/>
      <c r="N947" s="1"/>
      <c r="O947" s="1"/>
      <c r="P947" s="1"/>
      <c r="Q947" s="1"/>
      <c r="R947" s="1"/>
      <c r="T947" s="1"/>
      <c r="U947" s="1"/>
      <c r="V947" s="1"/>
      <c r="W947" s="1"/>
      <c r="X947" s="1"/>
      <c r="Y947" s="1"/>
      <c r="Z947" s="1"/>
      <c r="AB947" s="1"/>
      <c r="AC947" s="1"/>
      <c r="AD947" s="1"/>
      <c r="AE947" s="1"/>
      <c r="AF947" s="1"/>
      <c r="AG947" s="1"/>
      <c r="AH947" s="1"/>
      <c r="AI947" s="1"/>
      <c r="AL947" s="1"/>
      <c r="AN947" s="1"/>
      <c r="AO947" s="1"/>
      <c r="AP947" s="1"/>
      <c r="AQ947" s="1"/>
      <c r="AR947" s="1"/>
      <c r="AS947" s="1"/>
      <c r="AT947" s="1"/>
      <c r="AU947" s="1"/>
      <c r="AV947" s="1"/>
    </row>
    <row r="948" spans="2:48" x14ac:dyDescent="0.3">
      <c r="B948" s="1" t="s">
        <v>1547</v>
      </c>
      <c r="H948" s="1" t="s">
        <v>738</v>
      </c>
      <c r="I948" s="1"/>
      <c r="J948" s="1"/>
      <c r="K948" s="1"/>
      <c r="L948" s="1"/>
      <c r="M948" s="1"/>
      <c r="N948" s="1"/>
      <c r="O948" s="1"/>
      <c r="P948" s="1"/>
      <c r="Q948" s="1"/>
      <c r="R948" s="1"/>
      <c r="T948" s="1"/>
      <c r="U948" s="1"/>
      <c r="V948" s="1"/>
      <c r="W948" s="1"/>
      <c r="X948" s="1"/>
      <c r="Y948" s="1"/>
      <c r="Z948" s="1"/>
      <c r="AB948" s="1"/>
      <c r="AC948" s="1"/>
      <c r="AD948" s="1"/>
      <c r="AE948" s="1"/>
      <c r="AF948" s="1"/>
      <c r="AG948" s="1"/>
      <c r="AH948" s="1"/>
      <c r="AI948" s="1"/>
      <c r="AL948" s="1"/>
      <c r="AN948" s="1"/>
      <c r="AO948" s="1"/>
      <c r="AP948" s="1"/>
      <c r="AQ948" s="1"/>
      <c r="AR948" s="1"/>
      <c r="AS948" s="1"/>
      <c r="AT948" s="1"/>
      <c r="AU948" s="1"/>
      <c r="AV948" s="1"/>
    </row>
    <row r="949" spans="2:48" x14ac:dyDescent="0.3">
      <c r="B949" s="1" t="s">
        <v>1548</v>
      </c>
      <c r="H949" s="1" t="s">
        <v>738</v>
      </c>
      <c r="I949" s="1"/>
      <c r="J949" s="1"/>
      <c r="K949" s="1"/>
      <c r="L949" s="1"/>
      <c r="M949" s="1"/>
      <c r="N949" s="1"/>
      <c r="O949" s="1"/>
      <c r="P949" s="1"/>
      <c r="Q949" s="1"/>
      <c r="R949" s="1"/>
      <c r="T949" s="1"/>
      <c r="U949" s="1"/>
      <c r="V949" s="1"/>
      <c r="W949" s="1"/>
      <c r="X949" s="1"/>
      <c r="Y949" s="1"/>
      <c r="Z949" s="1"/>
      <c r="AB949" s="1"/>
      <c r="AC949" s="1"/>
      <c r="AD949" s="1"/>
      <c r="AE949" s="1"/>
      <c r="AF949" s="1"/>
      <c r="AG949" s="1"/>
      <c r="AH949" s="1"/>
      <c r="AI949" s="1"/>
      <c r="AL949" s="1"/>
      <c r="AN949" s="1"/>
      <c r="AO949" s="1"/>
      <c r="AP949" s="1"/>
      <c r="AQ949" s="1"/>
      <c r="AR949" s="1"/>
      <c r="AS949" s="1"/>
      <c r="AT949" s="1"/>
      <c r="AU949" s="1"/>
      <c r="AV949" s="1"/>
    </row>
    <row r="950" spans="2:48" x14ac:dyDescent="0.3">
      <c r="B950" s="1" t="s">
        <v>1549</v>
      </c>
      <c r="H950" s="1" t="s">
        <v>738</v>
      </c>
      <c r="I950" s="1"/>
      <c r="J950" s="1"/>
      <c r="K950" s="1"/>
      <c r="L950" s="1"/>
      <c r="M950" s="1"/>
      <c r="N950" s="1"/>
      <c r="O950" s="1"/>
      <c r="P950" s="1"/>
      <c r="Q950" s="1"/>
      <c r="R950" s="1"/>
      <c r="T950" s="1"/>
      <c r="U950" s="1"/>
      <c r="V950" s="1"/>
      <c r="W950" s="1"/>
      <c r="X950" s="1"/>
      <c r="Y950" s="1"/>
      <c r="Z950" s="1"/>
      <c r="AB950" s="1"/>
      <c r="AC950" s="1"/>
      <c r="AD950" s="1"/>
      <c r="AE950" s="1"/>
      <c r="AF950" s="1"/>
      <c r="AG950" s="1"/>
      <c r="AH950" s="1"/>
      <c r="AI950" s="1"/>
      <c r="AL950" s="1"/>
      <c r="AN950" s="1"/>
      <c r="AO950" s="1"/>
      <c r="AP950" s="1"/>
      <c r="AQ950" s="1"/>
      <c r="AR950" s="1"/>
      <c r="AS950" s="1"/>
      <c r="AT950" s="1"/>
      <c r="AU950" s="1"/>
      <c r="AV950" s="1"/>
    </row>
    <row r="951" spans="2:48" x14ac:dyDescent="0.3">
      <c r="B951" s="1" t="s">
        <v>1550</v>
      </c>
      <c r="H951" s="1" t="s">
        <v>738</v>
      </c>
      <c r="I951" s="1"/>
      <c r="J951" s="1"/>
      <c r="K951" s="1"/>
      <c r="L951" s="1"/>
      <c r="M951" s="1"/>
      <c r="N951" s="1"/>
      <c r="O951" s="1"/>
      <c r="P951" s="1"/>
      <c r="Q951" s="1"/>
      <c r="R951" s="1"/>
      <c r="T951" s="1"/>
      <c r="U951" s="1"/>
      <c r="V951" s="1"/>
      <c r="W951" s="1"/>
      <c r="X951" s="1"/>
      <c r="Y951" s="1"/>
      <c r="Z951" s="1"/>
      <c r="AB951" s="1"/>
      <c r="AC951" s="1"/>
      <c r="AD951" s="1"/>
      <c r="AE951" s="1"/>
      <c r="AF951" s="1"/>
      <c r="AG951" s="1"/>
      <c r="AH951" s="1"/>
      <c r="AI951" s="1"/>
      <c r="AL951" s="1"/>
      <c r="AN951" s="1"/>
      <c r="AO951" s="1"/>
      <c r="AP951" s="1"/>
      <c r="AQ951" s="1"/>
      <c r="AR951" s="1"/>
      <c r="AS951" s="1"/>
      <c r="AT951" s="1"/>
      <c r="AU951" s="1"/>
      <c r="AV951" s="1"/>
    </row>
    <row r="952" spans="2:48" x14ac:dyDescent="0.3">
      <c r="B952" s="1" t="s">
        <v>1551</v>
      </c>
      <c r="H952" s="1" t="s">
        <v>738</v>
      </c>
      <c r="I952" s="1"/>
      <c r="J952" s="1"/>
      <c r="K952" s="1"/>
      <c r="L952" s="1"/>
      <c r="M952" s="1"/>
      <c r="N952" s="1"/>
      <c r="O952" s="1"/>
      <c r="P952" s="1"/>
      <c r="Q952" s="1"/>
      <c r="R952" s="1"/>
      <c r="T952" s="1"/>
      <c r="U952" s="1"/>
      <c r="V952" s="1"/>
      <c r="W952" s="1"/>
      <c r="X952" s="1"/>
      <c r="Y952" s="1"/>
      <c r="Z952" s="1"/>
      <c r="AB952" s="1"/>
      <c r="AC952" s="1"/>
      <c r="AD952" s="1"/>
      <c r="AE952" s="1"/>
      <c r="AF952" s="1"/>
      <c r="AG952" s="1"/>
      <c r="AH952" s="1"/>
      <c r="AI952" s="1"/>
      <c r="AL952" s="1"/>
      <c r="AN952" s="1"/>
      <c r="AO952" s="1"/>
      <c r="AP952" s="1"/>
      <c r="AQ952" s="1"/>
      <c r="AR952" s="1"/>
      <c r="AS952" s="1"/>
      <c r="AT952" s="1"/>
      <c r="AU952" s="1"/>
      <c r="AV952" s="1"/>
    </row>
    <row r="953" spans="2:48" x14ac:dyDescent="0.3">
      <c r="B953" s="1" t="s">
        <v>1552</v>
      </c>
      <c r="H953" s="1" t="s">
        <v>738</v>
      </c>
      <c r="I953" s="1"/>
      <c r="J953" s="1"/>
      <c r="K953" s="1"/>
      <c r="L953" s="1"/>
      <c r="M953" s="1"/>
      <c r="N953" s="1"/>
      <c r="O953" s="1"/>
      <c r="P953" s="1"/>
      <c r="Q953" s="1"/>
      <c r="R953" s="1"/>
      <c r="T953" s="1"/>
      <c r="U953" s="1"/>
      <c r="V953" s="1"/>
      <c r="W953" s="1"/>
      <c r="X953" s="1"/>
      <c r="Y953" s="1"/>
      <c r="Z953" s="1"/>
      <c r="AB953" s="1"/>
      <c r="AC953" s="1"/>
      <c r="AD953" s="1"/>
      <c r="AE953" s="1"/>
      <c r="AF953" s="1"/>
      <c r="AG953" s="1"/>
      <c r="AH953" s="1"/>
      <c r="AI953" s="1"/>
      <c r="AL953" s="1"/>
      <c r="AN953" s="1"/>
      <c r="AO953" s="1"/>
      <c r="AP953" s="1"/>
      <c r="AQ953" s="1"/>
      <c r="AR953" s="1"/>
      <c r="AS953" s="1"/>
      <c r="AT953" s="1"/>
      <c r="AU953" s="1"/>
      <c r="AV953" s="1"/>
    </row>
    <row r="954" spans="2:48" x14ac:dyDescent="0.3">
      <c r="B954" s="1" t="s">
        <v>1553</v>
      </c>
      <c r="H954" s="1" t="s">
        <v>738</v>
      </c>
      <c r="I954" s="1"/>
      <c r="J954" s="1"/>
      <c r="K954" s="1"/>
      <c r="L954" s="1"/>
      <c r="M954" s="1"/>
      <c r="N954" s="1"/>
      <c r="O954" s="1"/>
      <c r="P954" s="1"/>
      <c r="Q954" s="1"/>
      <c r="R954" s="1"/>
      <c r="T954" s="1"/>
      <c r="U954" s="1"/>
      <c r="V954" s="1"/>
      <c r="W954" s="1"/>
      <c r="X954" s="1"/>
      <c r="Y954" s="1"/>
      <c r="Z954" s="1"/>
      <c r="AB954" s="1"/>
      <c r="AC954" s="1"/>
      <c r="AD954" s="1"/>
      <c r="AE954" s="1"/>
      <c r="AF954" s="1"/>
      <c r="AG954" s="1"/>
      <c r="AH954" s="1"/>
      <c r="AI954" s="1"/>
      <c r="AL954" s="1"/>
      <c r="AN954" s="1"/>
      <c r="AO954" s="1"/>
      <c r="AP954" s="1"/>
      <c r="AQ954" s="1"/>
      <c r="AR954" s="1"/>
      <c r="AS954" s="1"/>
      <c r="AT954" s="1"/>
      <c r="AU954" s="1"/>
      <c r="AV954" s="1"/>
    </row>
    <row r="955" spans="2:48" x14ac:dyDescent="0.3">
      <c r="B955" s="1" t="s">
        <v>1554</v>
      </c>
      <c r="H955" s="1" t="s">
        <v>738</v>
      </c>
      <c r="I955" s="1"/>
      <c r="J955" s="1"/>
      <c r="K955" s="1"/>
      <c r="L955" s="1"/>
      <c r="M955" s="1"/>
      <c r="N955" s="1"/>
      <c r="O955" s="1"/>
      <c r="P955" s="1"/>
      <c r="Q955" s="1"/>
      <c r="R955" s="1"/>
      <c r="T955" s="1"/>
      <c r="U955" s="1"/>
      <c r="V955" s="1"/>
      <c r="W955" s="1"/>
      <c r="X955" s="1"/>
      <c r="Y955" s="1"/>
      <c r="Z955" s="1"/>
      <c r="AB955" s="1"/>
      <c r="AC955" s="1"/>
      <c r="AD955" s="1"/>
      <c r="AE955" s="1"/>
      <c r="AF955" s="1"/>
      <c r="AG955" s="1"/>
      <c r="AH955" s="1"/>
      <c r="AI955" s="1"/>
      <c r="AL955" s="1"/>
      <c r="AN955" s="1"/>
      <c r="AO955" s="1"/>
      <c r="AP955" s="1"/>
      <c r="AQ955" s="1"/>
      <c r="AR955" s="1"/>
      <c r="AS955" s="1"/>
      <c r="AT955" s="1"/>
      <c r="AU955" s="1"/>
      <c r="AV955" s="1"/>
    </row>
    <row r="956" spans="2:48" x14ac:dyDescent="0.3">
      <c r="B956" s="1" t="s">
        <v>1555</v>
      </c>
      <c r="H956" s="1" t="s">
        <v>738</v>
      </c>
      <c r="I956" s="1"/>
      <c r="J956" s="1"/>
      <c r="K956" s="1"/>
      <c r="L956" s="1"/>
      <c r="M956" s="1"/>
      <c r="N956" s="1"/>
      <c r="O956" s="1"/>
      <c r="P956" s="1"/>
      <c r="Q956" s="1"/>
      <c r="R956" s="1"/>
      <c r="T956" s="1"/>
      <c r="U956" s="1"/>
      <c r="V956" s="1"/>
      <c r="W956" s="1"/>
      <c r="X956" s="1"/>
      <c r="Y956" s="1"/>
      <c r="Z956" s="1"/>
      <c r="AB956" s="1"/>
      <c r="AC956" s="1"/>
      <c r="AD956" s="1"/>
      <c r="AE956" s="1"/>
      <c r="AF956" s="1"/>
      <c r="AG956" s="1"/>
      <c r="AH956" s="1"/>
      <c r="AI956" s="1"/>
      <c r="AL956" s="1"/>
      <c r="AN956" s="1"/>
      <c r="AO956" s="1"/>
      <c r="AP956" s="1"/>
      <c r="AQ956" s="1"/>
      <c r="AR956" s="1"/>
      <c r="AS956" s="1"/>
      <c r="AT956" s="1"/>
      <c r="AU956" s="1"/>
      <c r="AV956" s="1"/>
    </row>
    <row r="957" spans="2:48" x14ac:dyDescent="0.3">
      <c r="B957" s="1" t="s">
        <v>1556</v>
      </c>
      <c r="H957" s="1" t="s">
        <v>738</v>
      </c>
      <c r="I957" s="1"/>
      <c r="J957" s="1"/>
      <c r="K957" s="1"/>
      <c r="L957" s="1"/>
      <c r="M957" s="1"/>
      <c r="N957" s="1"/>
      <c r="O957" s="1"/>
      <c r="P957" s="1"/>
      <c r="Q957" s="1"/>
      <c r="R957" s="1"/>
      <c r="T957" s="1"/>
      <c r="U957" s="1"/>
      <c r="V957" s="1"/>
      <c r="W957" s="1"/>
      <c r="X957" s="1"/>
      <c r="Y957" s="1"/>
      <c r="Z957" s="1"/>
      <c r="AB957" s="1"/>
      <c r="AC957" s="1"/>
      <c r="AD957" s="1"/>
      <c r="AE957" s="1"/>
      <c r="AF957" s="1"/>
      <c r="AG957" s="1"/>
      <c r="AH957" s="1"/>
      <c r="AI957" s="1"/>
      <c r="AL957" s="1"/>
      <c r="AN957" s="1"/>
      <c r="AO957" s="1"/>
      <c r="AP957" s="1"/>
      <c r="AQ957" s="1"/>
      <c r="AR957" s="1"/>
      <c r="AS957" s="1"/>
      <c r="AT957" s="1"/>
      <c r="AU957" s="1"/>
      <c r="AV957" s="1"/>
    </row>
    <row r="958" spans="2:48" x14ac:dyDescent="0.3">
      <c r="B958" s="1" t="s">
        <v>1557</v>
      </c>
      <c r="H958" s="1" t="s">
        <v>738</v>
      </c>
      <c r="I958" s="1"/>
      <c r="J958" s="1"/>
      <c r="K958" s="1"/>
      <c r="L958" s="1"/>
      <c r="M958" s="1"/>
      <c r="N958" s="1"/>
      <c r="O958" s="1"/>
      <c r="P958" s="1"/>
      <c r="Q958" s="1"/>
      <c r="R958" s="1"/>
      <c r="T958" s="1"/>
      <c r="U958" s="1"/>
      <c r="V958" s="1"/>
      <c r="W958" s="1"/>
      <c r="X958" s="1"/>
      <c r="Y958" s="1"/>
      <c r="Z958" s="1"/>
      <c r="AB958" s="1"/>
      <c r="AC958" s="1"/>
      <c r="AD958" s="1"/>
      <c r="AE958" s="1"/>
      <c r="AF958" s="1"/>
      <c r="AG958" s="1"/>
      <c r="AH958" s="1"/>
      <c r="AI958" s="1"/>
      <c r="AL958" s="1"/>
      <c r="AN958" s="1"/>
      <c r="AO958" s="1"/>
      <c r="AP958" s="1"/>
      <c r="AQ958" s="1"/>
      <c r="AR958" s="1"/>
      <c r="AS958" s="1"/>
      <c r="AT958" s="1"/>
      <c r="AU958" s="1"/>
      <c r="AV958" s="1"/>
    </row>
    <row r="959" spans="2:48" x14ac:dyDescent="0.3">
      <c r="B959" s="1" t="s">
        <v>1558</v>
      </c>
      <c r="H959" s="1" t="s">
        <v>738</v>
      </c>
      <c r="I959" s="1"/>
      <c r="J959" s="1"/>
      <c r="K959" s="1"/>
      <c r="L959" s="1"/>
      <c r="M959" s="1"/>
      <c r="N959" s="1"/>
      <c r="O959" s="1"/>
      <c r="P959" s="1"/>
      <c r="Q959" s="1"/>
      <c r="R959" s="1"/>
      <c r="T959" s="1"/>
      <c r="U959" s="1"/>
      <c r="V959" s="1"/>
      <c r="W959" s="1"/>
      <c r="X959" s="1"/>
      <c r="Y959" s="1"/>
      <c r="Z959" s="1"/>
      <c r="AB959" s="1"/>
      <c r="AC959" s="1"/>
      <c r="AD959" s="1"/>
      <c r="AE959" s="1"/>
      <c r="AF959" s="1"/>
      <c r="AG959" s="1"/>
      <c r="AH959" s="1"/>
      <c r="AI959" s="1"/>
      <c r="AL959" s="1"/>
      <c r="AN959" s="1"/>
      <c r="AO959" s="1"/>
      <c r="AP959" s="1"/>
      <c r="AQ959" s="1"/>
      <c r="AR959" s="1"/>
      <c r="AS959" s="1"/>
      <c r="AT959" s="1"/>
      <c r="AU959" s="1"/>
      <c r="AV959" s="1"/>
    </row>
    <row r="960" spans="2:48" x14ac:dyDescent="0.3">
      <c r="B960" s="1" t="s">
        <v>1559</v>
      </c>
      <c r="H960" s="1" t="s">
        <v>738</v>
      </c>
      <c r="I960" s="1"/>
      <c r="J960" s="1"/>
      <c r="K960" s="1"/>
      <c r="L960" s="1"/>
      <c r="M960" s="1"/>
      <c r="N960" s="1"/>
      <c r="O960" s="1"/>
      <c r="P960" s="1"/>
      <c r="Q960" s="1"/>
      <c r="R960" s="1"/>
      <c r="T960" s="1"/>
      <c r="U960" s="1"/>
      <c r="V960" s="1"/>
      <c r="W960" s="1"/>
      <c r="X960" s="1"/>
      <c r="Y960" s="1"/>
      <c r="Z960" s="1"/>
      <c r="AB960" s="1"/>
      <c r="AC960" s="1"/>
      <c r="AD960" s="1"/>
      <c r="AE960" s="1"/>
      <c r="AF960" s="1"/>
      <c r="AG960" s="1"/>
      <c r="AH960" s="1"/>
      <c r="AI960" s="1"/>
      <c r="AL960" s="1"/>
      <c r="AN960" s="1"/>
      <c r="AO960" s="1"/>
      <c r="AP960" s="1"/>
      <c r="AQ960" s="1"/>
      <c r="AR960" s="1"/>
      <c r="AS960" s="1"/>
      <c r="AT960" s="1"/>
      <c r="AU960" s="1"/>
      <c r="AV960" s="1"/>
    </row>
    <row r="961" spans="2:48" x14ac:dyDescent="0.3">
      <c r="B961" s="1" t="s">
        <v>1560</v>
      </c>
      <c r="H961" s="1" t="s">
        <v>738</v>
      </c>
      <c r="I961" s="1"/>
      <c r="J961" s="1"/>
      <c r="K961" s="1"/>
      <c r="L961" s="1"/>
      <c r="M961" s="1"/>
      <c r="N961" s="1"/>
      <c r="O961" s="1"/>
      <c r="P961" s="1"/>
      <c r="Q961" s="1"/>
      <c r="R961" s="1"/>
      <c r="T961" s="1"/>
      <c r="U961" s="1"/>
      <c r="V961" s="1"/>
      <c r="W961" s="1"/>
      <c r="X961" s="1"/>
      <c r="Y961" s="1"/>
      <c r="Z961" s="1"/>
      <c r="AB961" s="1"/>
      <c r="AC961" s="1"/>
      <c r="AD961" s="1"/>
      <c r="AE961" s="1"/>
      <c r="AF961" s="1"/>
      <c r="AG961" s="1"/>
      <c r="AH961" s="1"/>
      <c r="AI961" s="1"/>
      <c r="AL961" s="1"/>
      <c r="AN961" s="1"/>
      <c r="AO961" s="1"/>
      <c r="AP961" s="1"/>
      <c r="AQ961" s="1"/>
      <c r="AR961" s="1"/>
      <c r="AS961" s="1"/>
      <c r="AT961" s="1"/>
      <c r="AU961" s="1"/>
      <c r="AV961" s="1"/>
    </row>
    <row r="962" spans="2:48" x14ac:dyDescent="0.3">
      <c r="B962" s="1" t="s">
        <v>1561</v>
      </c>
      <c r="H962" s="1" t="s">
        <v>738</v>
      </c>
      <c r="I962" s="1"/>
      <c r="J962" s="1"/>
      <c r="K962" s="1"/>
      <c r="L962" s="1"/>
      <c r="M962" s="1"/>
      <c r="N962" s="1"/>
      <c r="O962" s="1"/>
      <c r="P962" s="1"/>
      <c r="Q962" s="1"/>
      <c r="R962" s="1"/>
      <c r="T962" s="1"/>
      <c r="U962" s="1"/>
      <c r="V962" s="1"/>
      <c r="W962" s="1"/>
      <c r="X962" s="1"/>
      <c r="Y962" s="1"/>
      <c r="Z962" s="1"/>
      <c r="AB962" s="1"/>
      <c r="AC962" s="1"/>
      <c r="AD962" s="1"/>
      <c r="AE962" s="1"/>
      <c r="AF962" s="1"/>
      <c r="AG962" s="1"/>
      <c r="AH962" s="1"/>
      <c r="AI962" s="1"/>
      <c r="AL962" s="1"/>
      <c r="AN962" s="1"/>
      <c r="AO962" s="1"/>
      <c r="AP962" s="1"/>
      <c r="AQ962" s="1"/>
      <c r="AR962" s="1"/>
      <c r="AS962" s="1"/>
      <c r="AT962" s="1"/>
      <c r="AU962" s="1"/>
      <c r="AV962" s="1"/>
    </row>
    <row r="963" spans="2:48" x14ac:dyDescent="0.3">
      <c r="B963" s="1" t="s">
        <v>1562</v>
      </c>
      <c r="H963" s="1" t="s">
        <v>738</v>
      </c>
      <c r="I963" s="1"/>
      <c r="J963" s="1"/>
      <c r="K963" s="1"/>
      <c r="L963" s="1"/>
      <c r="M963" s="1"/>
      <c r="N963" s="1"/>
      <c r="O963" s="1"/>
      <c r="P963" s="1"/>
      <c r="Q963" s="1"/>
      <c r="R963" s="1"/>
      <c r="T963" s="1"/>
      <c r="U963" s="1"/>
      <c r="V963" s="1"/>
      <c r="W963" s="1"/>
      <c r="X963" s="1"/>
      <c r="Y963" s="1"/>
      <c r="Z963" s="1"/>
      <c r="AB963" s="1"/>
      <c r="AC963" s="1"/>
      <c r="AD963" s="1"/>
      <c r="AE963" s="1"/>
      <c r="AF963" s="1"/>
      <c r="AG963" s="1"/>
      <c r="AH963" s="1"/>
      <c r="AI963" s="1"/>
      <c r="AL963" s="1"/>
      <c r="AN963" s="1"/>
      <c r="AO963" s="1"/>
      <c r="AP963" s="1"/>
      <c r="AQ963" s="1"/>
      <c r="AR963" s="1"/>
      <c r="AS963" s="1"/>
      <c r="AT963" s="1"/>
      <c r="AU963" s="1"/>
      <c r="AV963" s="1"/>
    </row>
    <row r="964" spans="2:48" x14ac:dyDescent="0.3">
      <c r="B964" s="1" t="s">
        <v>1563</v>
      </c>
      <c r="H964" s="1" t="s">
        <v>738</v>
      </c>
      <c r="I964" s="1"/>
      <c r="J964" s="1"/>
      <c r="K964" s="1"/>
      <c r="L964" s="1"/>
      <c r="M964" s="1"/>
      <c r="N964" s="1"/>
      <c r="O964" s="1"/>
      <c r="P964" s="1"/>
      <c r="Q964" s="1"/>
      <c r="R964" s="1"/>
      <c r="T964" s="1"/>
      <c r="U964" s="1"/>
      <c r="V964" s="1"/>
      <c r="W964" s="1"/>
      <c r="X964" s="1"/>
      <c r="Y964" s="1"/>
      <c r="Z964" s="1"/>
      <c r="AB964" s="1"/>
      <c r="AC964" s="1"/>
      <c r="AD964" s="1"/>
      <c r="AE964" s="1"/>
      <c r="AF964" s="1"/>
      <c r="AG964" s="1"/>
      <c r="AH964" s="1"/>
      <c r="AI964" s="1"/>
      <c r="AL964" s="1"/>
      <c r="AN964" s="1"/>
      <c r="AO964" s="1"/>
      <c r="AP964" s="1"/>
      <c r="AQ964" s="1"/>
      <c r="AR964" s="1"/>
      <c r="AS964" s="1"/>
      <c r="AT964" s="1"/>
      <c r="AU964" s="1"/>
      <c r="AV964" s="1"/>
    </row>
    <row r="965" spans="2:48" x14ac:dyDescent="0.3">
      <c r="B965" s="1" t="s">
        <v>1564</v>
      </c>
      <c r="H965" s="1" t="s">
        <v>738</v>
      </c>
      <c r="I965" s="1"/>
      <c r="J965" s="1"/>
      <c r="K965" s="1"/>
      <c r="L965" s="1"/>
      <c r="M965" s="1"/>
      <c r="N965" s="1"/>
      <c r="O965" s="1"/>
      <c r="P965" s="1"/>
      <c r="Q965" s="1"/>
      <c r="R965" s="1"/>
      <c r="T965" s="1"/>
      <c r="U965" s="1"/>
      <c r="V965" s="1"/>
      <c r="W965" s="1"/>
      <c r="X965" s="1"/>
      <c r="Y965" s="1"/>
      <c r="Z965" s="1"/>
      <c r="AB965" s="1"/>
      <c r="AC965" s="1"/>
      <c r="AD965" s="1"/>
      <c r="AE965" s="1"/>
      <c r="AF965" s="1"/>
      <c r="AG965" s="1"/>
      <c r="AH965" s="1"/>
      <c r="AI965" s="1"/>
      <c r="AL965" s="1"/>
      <c r="AN965" s="1"/>
      <c r="AO965" s="1"/>
      <c r="AP965" s="1"/>
      <c r="AQ965" s="1"/>
      <c r="AR965" s="1"/>
      <c r="AS965" s="1"/>
      <c r="AT965" s="1"/>
      <c r="AU965" s="1"/>
      <c r="AV965" s="1"/>
    </row>
    <row r="966" spans="2:48" x14ac:dyDescent="0.3">
      <c r="B966" s="1" t="s">
        <v>1565</v>
      </c>
      <c r="H966" s="1" t="s">
        <v>738</v>
      </c>
      <c r="I966" s="1"/>
      <c r="J966" s="1"/>
      <c r="K966" s="1"/>
      <c r="L966" s="1"/>
      <c r="M966" s="1"/>
      <c r="N966" s="1"/>
      <c r="O966" s="1"/>
      <c r="P966" s="1"/>
      <c r="Q966" s="1"/>
      <c r="R966" s="1"/>
      <c r="T966" s="1"/>
      <c r="U966" s="1"/>
      <c r="V966" s="1"/>
      <c r="W966" s="1"/>
      <c r="X966" s="1"/>
      <c r="Y966" s="1"/>
      <c r="Z966" s="1"/>
      <c r="AB966" s="1"/>
      <c r="AC966" s="1"/>
      <c r="AD966" s="1"/>
      <c r="AE966" s="1"/>
      <c r="AF966" s="1"/>
      <c r="AG966" s="1"/>
      <c r="AH966" s="1"/>
      <c r="AI966" s="1"/>
      <c r="AL966" s="1"/>
      <c r="AN966" s="1"/>
      <c r="AO966" s="1"/>
      <c r="AP966" s="1"/>
      <c r="AQ966" s="1"/>
      <c r="AR966" s="1"/>
      <c r="AS966" s="1"/>
      <c r="AT966" s="1"/>
      <c r="AU966" s="1"/>
      <c r="AV966" s="1"/>
    </row>
    <row r="967" spans="2:48" x14ac:dyDescent="0.3">
      <c r="B967" s="1" t="s">
        <v>1566</v>
      </c>
      <c r="H967" s="1" t="s">
        <v>738</v>
      </c>
      <c r="I967" s="1"/>
      <c r="J967" s="1"/>
      <c r="K967" s="1"/>
      <c r="L967" s="1"/>
      <c r="M967" s="1"/>
      <c r="N967" s="1"/>
      <c r="O967" s="1"/>
      <c r="P967" s="1"/>
      <c r="Q967" s="1"/>
      <c r="R967" s="1"/>
      <c r="T967" s="1"/>
      <c r="U967" s="1"/>
      <c r="V967" s="1"/>
      <c r="W967" s="1"/>
      <c r="X967" s="1"/>
      <c r="Y967" s="1"/>
      <c r="Z967" s="1"/>
      <c r="AB967" s="1"/>
      <c r="AC967" s="1"/>
      <c r="AD967" s="1"/>
      <c r="AE967" s="1"/>
      <c r="AF967" s="1"/>
      <c r="AG967" s="1"/>
      <c r="AH967" s="1"/>
      <c r="AI967" s="1"/>
      <c r="AL967" s="1"/>
      <c r="AN967" s="1"/>
      <c r="AO967" s="1"/>
      <c r="AP967" s="1"/>
      <c r="AQ967" s="1"/>
      <c r="AR967" s="1"/>
      <c r="AS967" s="1"/>
      <c r="AT967" s="1"/>
      <c r="AU967" s="1"/>
      <c r="AV967" s="1"/>
    </row>
    <row r="968" spans="2:48" x14ac:dyDescent="0.3">
      <c r="B968" s="1" t="s">
        <v>1567</v>
      </c>
      <c r="H968" s="1" t="s">
        <v>738</v>
      </c>
      <c r="I968" s="1"/>
      <c r="J968" s="1"/>
      <c r="K968" s="1"/>
      <c r="L968" s="1"/>
      <c r="M968" s="1"/>
      <c r="N968" s="1"/>
      <c r="O968" s="1"/>
      <c r="P968" s="1"/>
      <c r="Q968" s="1"/>
      <c r="R968" s="1"/>
      <c r="T968" s="1"/>
      <c r="U968" s="1"/>
      <c r="V968" s="1"/>
      <c r="W968" s="1"/>
      <c r="X968" s="1"/>
      <c r="Y968" s="1"/>
      <c r="Z968" s="1"/>
      <c r="AB968" s="1"/>
      <c r="AC968" s="1"/>
      <c r="AD968" s="1"/>
      <c r="AE968" s="1"/>
      <c r="AF968" s="1"/>
      <c r="AG968" s="1"/>
      <c r="AH968" s="1"/>
      <c r="AI968" s="1"/>
      <c r="AL968" s="1"/>
      <c r="AN968" s="1"/>
      <c r="AO968" s="1"/>
      <c r="AP968" s="1"/>
      <c r="AQ968" s="1"/>
      <c r="AR968" s="1"/>
      <c r="AS968" s="1"/>
      <c r="AT968" s="1"/>
      <c r="AU968" s="1"/>
      <c r="AV968" s="1"/>
    </row>
    <row r="969" spans="2:48" x14ac:dyDescent="0.3">
      <c r="B969" s="1" t="s">
        <v>1568</v>
      </c>
      <c r="H969" s="1" t="s">
        <v>738</v>
      </c>
      <c r="I969" s="1"/>
      <c r="J969" s="1"/>
      <c r="K969" s="1"/>
      <c r="L969" s="1"/>
      <c r="M969" s="1"/>
      <c r="N969" s="1"/>
      <c r="O969" s="1"/>
      <c r="P969" s="1"/>
      <c r="Q969" s="1"/>
      <c r="R969" s="1"/>
      <c r="T969" s="1"/>
      <c r="U969" s="1"/>
      <c r="V969" s="1"/>
      <c r="W969" s="1"/>
      <c r="X969" s="1"/>
      <c r="Y969" s="1"/>
      <c r="Z969" s="1"/>
      <c r="AB969" s="1"/>
      <c r="AC969" s="1"/>
      <c r="AD969" s="1"/>
      <c r="AE969" s="1"/>
      <c r="AF969" s="1"/>
      <c r="AG969" s="1"/>
      <c r="AH969" s="1"/>
      <c r="AI969" s="1"/>
      <c r="AL969" s="1"/>
      <c r="AN969" s="1"/>
      <c r="AO969" s="1"/>
      <c r="AP969" s="1"/>
      <c r="AQ969" s="1"/>
      <c r="AR969" s="1"/>
      <c r="AS969" s="1"/>
      <c r="AT969" s="1"/>
      <c r="AU969" s="1"/>
      <c r="AV969" s="1"/>
    </row>
    <row r="970" spans="2:48" x14ac:dyDescent="0.3">
      <c r="B970" s="1" t="s">
        <v>1569</v>
      </c>
      <c r="H970" s="1" t="s">
        <v>738</v>
      </c>
      <c r="I970" s="1"/>
      <c r="J970" s="1"/>
      <c r="K970" s="1"/>
      <c r="L970" s="1"/>
      <c r="M970" s="1"/>
      <c r="N970" s="1"/>
      <c r="O970" s="1"/>
      <c r="P970" s="1"/>
      <c r="Q970" s="1"/>
      <c r="R970" s="1"/>
      <c r="T970" s="1"/>
      <c r="U970" s="1"/>
      <c r="V970" s="1"/>
      <c r="W970" s="1"/>
      <c r="X970" s="1"/>
      <c r="Y970" s="1"/>
      <c r="Z970" s="1"/>
      <c r="AB970" s="1"/>
      <c r="AC970" s="1"/>
      <c r="AD970" s="1"/>
      <c r="AE970" s="1"/>
      <c r="AF970" s="1"/>
      <c r="AG970" s="1"/>
      <c r="AH970" s="1"/>
      <c r="AI970" s="1"/>
      <c r="AL970" s="1"/>
      <c r="AN970" s="1"/>
      <c r="AO970" s="1"/>
      <c r="AP970" s="1"/>
      <c r="AQ970" s="1"/>
      <c r="AR970" s="1"/>
      <c r="AS970" s="1"/>
      <c r="AT970" s="1"/>
      <c r="AU970" s="1"/>
      <c r="AV970" s="1"/>
    </row>
    <row r="971" spans="2:48" x14ac:dyDescent="0.3">
      <c r="B971" s="1" t="s">
        <v>1570</v>
      </c>
      <c r="H971" s="1" t="s">
        <v>738</v>
      </c>
      <c r="I971" s="1"/>
      <c r="J971" s="1"/>
      <c r="K971" s="1"/>
      <c r="L971" s="1"/>
      <c r="M971" s="1"/>
      <c r="N971" s="1"/>
      <c r="O971" s="1"/>
      <c r="P971" s="1"/>
      <c r="Q971" s="1"/>
      <c r="R971" s="1"/>
      <c r="T971" s="1"/>
      <c r="U971" s="1"/>
      <c r="V971" s="1"/>
      <c r="W971" s="1"/>
      <c r="X971" s="1"/>
      <c r="Y971" s="1"/>
      <c r="Z971" s="1"/>
      <c r="AB971" s="1"/>
      <c r="AC971" s="1"/>
      <c r="AD971" s="1"/>
      <c r="AE971" s="1"/>
      <c r="AF971" s="1"/>
      <c r="AG971" s="1"/>
      <c r="AH971" s="1"/>
      <c r="AI971" s="1"/>
      <c r="AL971" s="1"/>
      <c r="AN971" s="1"/>
      <c r="AO971" s="1"/>
      <c r="AP971" s="1"/>
      <c r="AQ971" s="1"/>
      <c r="AR971" s="1"/>
      <c r="AS971" s="1"/>
      <c r="AT971" s="1"/>
      <c r="AU971" s="1"/>
      <c r="AV971" s="1"/>
    </row>
    <row r="972" spans="2:48" x14ac:dyDescent="0.3">
      <c r="B972" s="1" t="s">
        <v>1571</v>
      </c>
      <c r="H972" s="1" t="s">
        <v>738</v>
      </c>
      <c r="I972" s="1"/>
      <c r="J972" s="1"/>
      <c r="K972" s="1"/>
      <c r="L972" s="1"/>
      <c r="M972" s="1"/>
      <c r="N972" s="1"/>
      <c r="O972" s="1"/>
      <c r="P972" s="1"/>
      <c r="Q972" s="1"/>
      <c r="R972" s="1"/>
      <c r="T972" s="1"/>
      <c r="U972" s="1"/>
      <c r="V972" s="1"/>
      <c r="W972" s="1"/>
      <c r="X972" s="1"/>
      <c r="Y972" s="1"/>
      <c r="Z972" s="1"/>
      <c r="AB972" s="1"/>
      <c r="AC972" s="1"/>
      <c r="AD972" s="1"/>
      <c r="AE972" s="1"/>
      <c r="AF972" s="1"/>
      <c r="AG972" s="1"/>
      <c r="AH972" s="1"/>
      <c r="AI972" s="1"/>
      <c r="AL972" s="1"/>
      <c r="AN972" s="1"/>
      <c r="AO972" s="1"/>
      <c r="AP972" s="1"/>
      <c r="AQ972" s="1"/>
      <c r="AR972" s="1"/>
      <c r="AS972" s="1"/>
      <c r="AT972" s="1"/>
      <c r="AU972" s="1"/>
      <c r="AV972" s="1"/>
    </row>
    <row r="973" spans="2:48" x14ac:dyDescent="0.3">
      <c r="B973" s="1" t="s">
        <v>1572</v>
      </c>
      <c r="H973" s="1" t="s">
        <v>738</v>
      </c>
      <c r="I973" s="1"/>
      <c r="J973" s="1"/>
      <c r="K973" s="1"/>
      <c r="L973" s="1"/>
      <c r="M973" s="1"/>
      <c r="N973" s="1"/>
      <c r="O973" s="1"/>
      <c r="P973" s="1"/>
      <c r="Q973" s="1"/>
      <c r="R973" s="1"/>
      <c r="T973" s="1"/>
      <c r="U973" s="1"/>
      <c r="V973" s="1"/>
      <c r="W973" s="1"/>
      <c r="X973" s="1"/>
      <c r="Y973" s="1"/>
      <c r="Z973" s="1"/>
      <c r="AB973" s="1"/>
      <c r="AC973" s="1"/>
      <c r="AD973" s="1"/>
      <c r="AE973" s="1"/>
      <c r="AF973" s="1"/>
      <c r="AG973" s="1"/>
      <c r="AH973" s="1"/>
      <c r="AI973" s="1"/>
      <c r="AL973" s="1"/>
      <c r="AN973" s="1"/>
      <c r="AO973" s="1"/>
      <c r="AP973" s="1"/>
      <c r="AQ973" s="1"/>
      <c r="AR973" s="1"/>
      <c r="AS973" s="1"/>
      <c r="AT973" s="1"/>
      <c r="AU973" s="1"/>
      <c r="AV973" s="1"/>
    </row>
    <row r="974" spans="2:48" x14ac:dyDescent="0.3">
      <c r="B974" s="1" t="s">
        <v>1573</v>
      </c>
      <c r="H974" s="1" t="s">
        <v>738</v>
      </c>
      <c r="I974" s="1"/>
      <c r="J974" s="1"/>
      <c r="K974" s="1"/>
      <c r="L974" s="1"/>
      <c r="M974" s="1"/>
      <c r="N974" s="1"/>
      <c r="O974" s="1"/>
      <c r="P974" s="1"/>
      <c r="Q974" s="1"/>
      <c r="R974" s="1"/>
      <c r="T974" s="1"/>
      <c r="U974" s="1"/>
      <c r="V974" s="1"/>
      <c r="W974" s="1"/>
      <c r="X974" s="1"/>
      <c r="Y974" s="1"/>
      <c r="Z974" s="1"/>
      <c r="AB974" s="1"/>
      <c r="AC974" s="1"/>
      <c r="AD974" s="1"/>
      <c r="AE974" s="1"/>
      <c r="AF974" s="1"/>
      <c r="AG974" s="1"/>
      <c r="AH974" s="1"/>
      <c r="AI974" s="1"/>
      <c r="AL974" s="1"/>
      <c r="AN974" s="1"/>
      <c r="AO974" s="1"/>
      <c r="AP974" s="1"/>
      <c r="AQ974" s="1"/>
      <c r="AR974" s="1"/>
      <c r="AS974" s="1"/>
      <c r="AT974" s="1"/>
      <c r="AU974" s="1"/>
      <c r="AV974" s="1"/>
    </row>
    <row r="975" spans="2:48" x14ac:dyDescent="0.3">
      <c r="B975" s="1" t="s">
        <v>1574</v>
      </c>
      <c r="H975" s="1" t="s">
        <v>738</v>
      </c>
      <c r="I975" s="1"/>
      <c r="J975" s="1"/>
      <c r="K975" s="1"/>
      <c r="L975" s="1"/>
      <c r="M975" s="1"/>
      <c r="N975" s="1"/>
      <c r="O975" s="1"/>
      <c r="P975" s="1"/>
      <c r="Q975" s="1"/>
      <c r="R975" s="1"/>
      <c r="T975" s="1"/>
      <c r="U975" s="1"/>
      <c r="V975" s="1"/>
      <c r="W975" s="1"/>
      <c r="X975" s="1"/>
      <c r="Y975" s="1"/>
      <c r="Z975" s="1"/>
      <c r="AB975" s="1"/>
      <c r="AC975" s="1"/>
      <c r="AD975" s="1"/>
      <c r="AE975" s="1"/>
      <c r="AF975" s="1"/>
      <c r="AG975" s="1"/>
      <c r="AH975" s="1"/>
      <c r="AI975" s="1"/>
      <c r="AL975" s="1"/>
      <c r="AN975" s="1"/>
      <c r="AO975" s="1"/>
      <c r="AP975" s="1"/>
      <c r="AQ975" s="1"/>
      <c r="AR975" s="1"/>
      <c r="AS975" s="1"/>
      <c r="AT975" s="1"/>
      <c r="AU975" s="1"/>
      <c r="AV975" s="1"/>
    </row>
    <row r="976" spans="2:48" x14ac:dyDescent="0.3">
      <c r="B976" s="1" t="s">
        <v>1575</v>
      </c>
      <c r="H976" s="1" t="s">
        <v>738</v>
      </c>
      <c r="I976" s="1"/>
      <c r="J976" s="1"/>
      <c r="K976" s="1"/>
      <c r="L976" s="1"/>
      <c r="M976" s="1"/>
      <c r="N976" s="1"/>
      <c r="O976" s="1"/>
      <c r="P976" s="1"/>
      <c r="Q976" s="1"/>
      <c r="R976" s="1"/>
      <c r="T976" s="1"/>
      <c r="U976" s="1"/>
      <c r="V976" s="1"/>
      <c r="W976" s="1"/>
      <c r="X976" s="1"/>
      <c r="Y976" s="1"/>
      <c r="Z976" s="1"/>
      <c r="AB976" s="1"/>
      <c r="AC976" s="1"/>
      <c r="AD976" s="1"/>
      <c r="AE976" s="1"/>
      <c r="AF976" s="1"/>
      <c r="AG976" s="1"/>
      <c r="AH976" s="1"/>
      <c r="AI976" s="1"/>
      <c r="AL976" s="1"/>
      <c r="AN976" s="1"/>
      <c r="AO976" s="1"/>
      <c r="AP976" s="1"/>
      <c r="AQ976" s="1"/>
      <c r="AR976" s="1"/>
      <c r="AS976" s="1"/>
      <c r="AT976" s="1"/>
      <c r="AU976" s="1"/>
      <c r="AV976" s="1"/>
    </row>
    <row r="977" spans="2:48" x14ac:dyDescent="0.3">
      <c r="B977" s="1" t="s">
        <v>1576</v>
      </c>
      <c r="H977" s="1" t="s">
        <v>738</v>
      </c>
      <c r="I977" s="1"/>
      <c r="J977" s="1"/>
      <c r="K977" s="1"/>
      <c r="L977" s="1"/>
      <c r="M977" s="1"/>
      <c r="N977" s="1"/>
      <c r="O977" s="1"/>
      <c r="P977" s="1"/>
      <c r="Q977" s="1"/>
      <c r="R977" s="1"/>
      <c r="T977" s="1"/>
      <c r="U977" s="1"/>
      <c r="V977" s="1"/>
      <c r="W977" s="1"/>
      <c r="X977" s="1"/>
      <c r="Y977" s="1"/>
      <c r="Z977" s="1"/>
      <c r="AB977" s="1"/>
      <c r="AC977" s="1"/>
      <c r="AD977" s="1"/>
      <c r="AE977" s="1"/>
      <c r="AF977" s="1"/>
      <c r="AG977" s="1"/>
      <c r="AH977" s="1"/>
      <c r="AI977" s="1"/>
      <c r="AL977" s="1"/>
      <c r="AN977" s="1"/>
      <c r="AO977" s="1"/>
      <c r="AP977" s="1"/>
      <c r="AQ977" s="1"/>
      <c r="AR977" s="1"/>
      <c r="AS977" s="1"/>
      <c r="AT977" s="1"/>
      <c r="AU977" s="1"/>
      <c r="AV977" s="1"/>
    </row>
    <row r="978" spans="2:48" x14ac:dyDescent="0.3">
      <c r="B978" s="1" t="s">
        <v>1577</v>
      </c>
      <c r="H978" s="1" t="s">
        <v>738</v>
      </c>
      <c r="I978" s="1"/>
      <c r="J978" s="1"/>
      <c r="K978" s="1"/>
      <c r="L978" s="1"/>
      <c r="M978" s="1"/>
      <c r="N978" s="1"/>
      <c r="O978" s="1"/>
      <c r="P978" s="1"/>
      <c r="Q978" s="1"/>
      <c r="R978" s="1"/>
      <c r="T978" s="1"/>
      <c r="U978" s="1"/>
      <c r="V978" s="1"/>
      <c r="W978" s="1"/>
      <c r="X978" s="1"/>
      <c r="Y978" s="1"/>
      <c r="Z978" s="1"/>
      <c r="AB978" s="1"/>
      <c r="AC978" s="1"/>
      <c r="AD978" s="1"/>
      <c r="AE978" s="1"/>
      <c r="AF978" s="1"/>
      <c r="AG978" s="1"/>
      <c r="AH978" s="1"/>
      <c r="AI978" s="1"/>
      <c r="AL978" s="1"/>
      <c r="AN978" s="1"/>
      <c r="AO978" s="1"/>
      <c r="AP978" s="1"/>
      <c r="AQ978" s="1"/>
      <c r="AR978" s="1"/>
      <c r="AS978" s="1"/>
      <c r="AT978" s="1"/>
      <c r="AU978" s="1"/>
      <c r="AV978" s="1"/>
    </row>
    <row r="979" spans="2:48" x14ac:dyDescent="0.3">
      <c r="B979" s="1" t="s">
        <v>1578</v>
      </c>
      <c r="H979" s="1" t="s">
        <v>738</v>
      </c>
      <c r="I979" s="1"/>
      <c r="J979" s="1"/>
      <c r="K979" s="1"/>
      <c r="L979" s="1"/>
      <c r="M979" s="1"/>
      <c r="N979" s="1"/>
      <c r="O979" s="1"/>
      <c r="P979" s="1"/>
      <c r="Q979" s="1"/>
      <c r="R979" s="1"/>
      <c r="T979" s="1"/>
      <c r="U979" s="1"/>
      <c r="V979" s="1"/>
      <c r="W979" s="1"/>
      <c r="X979" s="1"/>
      <c r="Y979" s="1"/>
      <c r="Z979" s="1"/>
      <c r="AB979" s="1"/>
      <c r="AC979" s="1"/>
      <c r="AD979" s="1"/>
      <c r="AE979" s="1"/>
      <c r="AF979" s="1"/>
      <c r="AG979" s="1"/>
      <c r="AH979" s="1"/>
      <c r="AI979" s="1"/>
      <c r="AL979" s="1"/>
      <c r="AN979" s="1"/>
      <c r="AO979" s="1"/>
      <c r="AP979" s="1"/>
      <c r="AQ979" s="1"/>
      <c r="AR979" s="1"/>
      <c r="AS979" s="1"/>
      <c r="AT979" s="1"/>
      <c r="AU979" s="1"/>
      <c r="AV979" s="1"/>
    </row>
    <row r="980" spans="2:48" x14ac:dyDescent="0.3">
      <c r="B980" s="1" t="s">
        <v>1579</v>
      </c>
      <c r="H980" s="1" t="s">
        <v>738</v>
      </c>
      <c r="I980" s="1"/>
      <c r="J980" s="1"/>
      <c r="K980" s="1"/>
      <c r="L980" s="1"/>
      <c r="M980" s="1"/>
      <c r="N980" s="1"/>
      <c r="O980" s="1"/>
      <c r="P980" s="1"/>
      <c r="Q980" s="1"/>
      <c r="R980" s="1"/>
      <c r="T980" s="1"/>
      <c r="U980" s="1"/>
      <c r="V980" s="1"/>
      <c r="W980" s="1"/>
      <c r="X980" s="1"/>
      <c r="Y980" s="1"/>
      <c r="Z980" s="1"/>
      <c r="AB980" s="1"/>
      <c r="AC980" s="1"/>
      <c r="AD980" s="1"/>
      <c r="AE980" s="1"/>
      <c r="AF980" s="1"/>
      <c r="AG980" s="1"/>
      <c r="AH980" s="1"/>
      <c r="AI980" s="1"/>
      <c r="AL980" s="1"/>
      <c r="AN980" s="1"/>
      <c r="AO980" s="1"/>
      <c r="AP980" s="1"/>
      <c r="AQ980" s="1"/>
      <c r="AR980" s="1"/>
      <c r="AS980" s="1"/>
      <c r="AT980" s="1"/>
      <c r="AU980" s="1"/>
      <c r="AV980" s="1"/>
    </row>
    <row r="981" spans="2:48" x14ac:dyDescent="0.3">
      <c r="B981" s="1" t="s">
        <v>1580</v>
      </c>
      <c r="H981" s="1" t="s">
        <v>738</v>
      </c>
      <c r="I981" s="1"/>
      <c r="J981" s="1"/>
      <c r="K981" s="1"/>
      <c r="L981" s="1"/>
      <c r="M981" s="1"/>
      <c r="N981" s="1"/>
      <c r="O981" s="1"/>
      <c r="P981" s="1"/>
      <c r="Q981" s="1"/>
      <c r="R981" s="1"/>
      <c r="T981" s="1"/>
      <c r="U981" s="1"/>
      <c r="V981" s="1"/>
      <c r="W981" s="1"/>
      <c r="X981" s="1"/>
      <c r="Y981" s="1"/>
      <c r="Z981" s="1"/>
      <c r="AB981" s="1"/>
      <c r="AC981" s="1"/>
      <c r="AD981" s="1"/>
      <c r="AE981" s="1"/>
      <c r="AF981" s="1"/>
      <c r="AG981" s="1"/>
      <c r="AH981" s="1"/>
      <c r="AI981" s="1"/>
      <c r="AL981" s="1"/>
      <c r="AN981" s="1"/>
      <c r="AO981" s="1"/>
      <c r="AP981" s="1"/>
      <c r="AQ981" s="1"/>
      <c r="AR981" s="1"/>
      <c r="AS981" s="1"/>
      <c r="AT981" s="1"/>
      <c r="AU981" s="1"/>
      <c r="AV981" s="1"/>
    </row>
    <row r="982" spans="2:48" x14ac:dyDescent="0.3">
      <c r="B982" s="1" t="s">
        <v>1581</v>
      </c>
      <c r="H982" s="1" t="s">
        <v>738</v>
      </c>
      <c r="I982" s="1"/>
      <c r="J982" s="1"/>
      <c r="K982" s="1"/>
      <c r="L982" s="1"/>
      <c r="M982" s="1"/>
      <c r="N982" s="1"/>
      <c r="O982" s="1"/>
      <c r="P982" s="1"/>
      <c r="Q982" s="1"/>
      <c r="R982" s="1"/>
      <c r="T982" s="1"/>
      <c r="U982" s="1"/>
      <c r="V982" s="1"/>
      <c r="W982" s="1"/>
      <c r="X982" s="1"/>
      <c r="Y982" s="1"/>
      <c r="Z982" s="1"/>
      <c r="AB982" s="1"/>
      <c r="AC982" s="1"/>
      <c r="AD982" s="1"/>
      <c r="AE982" s="1"/>
      <c r="AF982" s="1"/>
      <c r="AG982" s="1"/>
      <c r="AH982" s="1"/>
      <c r="AI982" s="1"/>
      <c r="AL982" s="1"/>
      <c r="AN982" s="1"/>
      <c r="AO982" s="1"/>
      <c r="AP982" s="1"/>
      <c r="AQ982" s="1"/>
      <c r="AR982" s="1"/>
      <c r="AS982" s="1"/>
      <c r="AT982" s="1"/>
      <c r="AU982" s="1"/>
      <c r="AV982" s="1"/>
    </row>
    <row r="983" spans="2:48" x14ac:dyDescent="0.3">
      <c r="B983" s="1" t="s">
        <v>1582</v>
      </c>
      <c r="H983" s="1" t="s">
        <v>738</v>
      </c>
      <c r="I983" s="1"/>
      <c r="J983" s="1"/>
      <c r="K983" s="1"/>
      <c r="L983" s="1"/>
      <c r="M983" s="1"/>
      <c r="N983" s="1"/>
      <c r="O983" s="1"/>
      <c r="P983" s="1"/>
      <c r="Q983" s="1"/>
      <c r="R983" s="1"/>
      <c r="T983" s="1"/>
      <c r="U983" s="1"/>
      <c r="V983" s="1"/>
      <c r="W983" s="1"/>
      <c r="X983" s="1"/>
      <c r="Y983" s="1"/>
      <c r="Z983" s="1"/>
      <c r="AB983" s="1"/>
      <c r="AC983" s="1"/>
      <c r="AD983" s="1"/>
      <c r="AE983" s="1"/>
      <c r="AF983" s="1"/>
      <c r="AG983" s="1"/>
      <c r="AH983" s="1"/>
      <c r="AI983" s="1"/>
      <c r="AL983" s="1"/>
      <c r="AN983" s="1"/>
      <c r="AO983" s="1"/>
      <c r="AP983" s="1"/>
      <c r="AQ983" s="1"/>
      <c r="AR983" s="1"/>
      <c r="AS983" s="1"/>
      <c r="AT983" s="1"/>
      <c r="AU983" s="1"/>
      <c r="AV983" s="1"/>
    </row>
    <row r="984" spans="2:48" x14ac:dyDescent="0.3">
      <c r="B984" s="1" t="s">
        <v>1583</v>
      </c>
      <c r="H984" s="1" t="s">
        <v>738</v>
      </c>
      <c r="I984" s="1"/>
      <c r="J984" s="1"/>
      <c r="K984" s="1"/>
      <c r="L984" s="1"/>
      <c r="M984" s="1"/>
      <c r="N984" s="1"/>
      <c r="O984" s="1"/>
      <c r="P984" s="1"/>
      <c r="Q984" s="1"/>
      <c r="R984" s="1"/>
      <c r="T984" s="1"/>
      <c r="U984" s="1"/>
      <c r="V984" s="1"/>
      <c r="W984" s="1"/>
      <c r="X984" s="1"/>
      <c r="Y984" s="1"/>
      <c r="Z984" s="1"/>
      <c r="AB984" s="1"/>
      <c r="AC984" s="1"/>
      <c r="AD984" s="1"/>
      <c r="AE984" s="1"/>
      <c r="AF984" s="1"/>
      <c r="AG984" s="1"/>
      <c r="AH984" s="1"/>
      <c r="AI984" s="1"/>
      <c r="AL984" s="1"/>
      <c r="AN984" s="1"/>
      <c r="AO984" s="1"/>
      <c r="AP984" s="1"/>
      <c r="AQ984" s="1"/>
      <c r="AR984" s="1"/>
      <c r="AS984" s="1"/>
      <c r="AT984" s="1"/>
      <c r="AU984" s="1"/>
      <c r="AV984" s="1"/>
    </row>
    <row r="985" spans="2:48" x14ac:dyDescent="0.3">
      <c r="B985" s="1" t="s">
        <v>1584</v>
      </c>
      <c r="H985" s="1" t="s">
        <v>738</v>
      </c>
      <c r="I985" s="1"/>
      <c r="J985" s="1"/>
      <c r="K985" s="1"/>
      <c r="L985" s="1"/>
      <c r="M985" s="1"/>
      <c r="N985" s="1"/>
      <c r="O985" s="1"/>
      <c r="P985" s="1"/>
      <c r="Q985" s="1"/>
      <c r="R985" s="1"/>
      <c r="T985" s="1"/>
      <c r="U985" s="1"/>
      <c r="V985" s="1"/>
      <c r="W985" s="1"/>
      <c r="X985" s="1"/>
      <c r="Y985" s="1"/>
      <c r="Z985" s="1"/>
      <c r="AB985" s="1"/>
      <c r="AC985" s="1"/>
      <c r="AD985" s="1"/>
      <c r="AE985" s="1"/>
      <c r="AF985" s="1"/>
      <c r="AG985" s="1"/>
      <c r="AH985" s="1"/>
      <c r="AI985" s="1"/>
      <c r="AL985" s="1"/>
      <c r="AN985" s="1"/>
      <c r="AO985" s="1"/>
      <c r="AP985" s="1"/>
      <c r="AQ985" s="1"/>
      <c r="AR985" s="1"/>
      <c r="AS985" s="1"/>
      <c r="AT985" s="1"/>
      <c r="AU985" s="1"/>
      <c r="AV985" s="1"/>
    </row>
    <row r="986" spans="2:48" x14ac:dyDescent="0.3">
      <c r="B986" s="1" t="s">
        <v>1585</v>
      </c>
      <c r="H986" s="1" t="s">
        <v>738</v>
      </c>
      <c r="I986" s="1"/>
      <c r="J986" s="1"/>
      <c r="K986" s="1"/>
      <c r="L986" s="1"/>
      <c r="M986" s="1"/>
      <c r="N986" s="1"/>
      <c r="O986" s="1"/>
      <c r="P986" s="1"/>
      <c r="Q986" s="1"/>
      <c r="R986" s="1"/>
      <c r="T986" s="1"/>
      <c r="U986" s="1"/>
      <c r="V986" s="1"/>
      <c r="W986" s="1"/>
      <c r="X986" s="1"/>
      <c r="Y986" s="1"/>
      <c r="Z986" s="1"/>
      <c r="AB986" s="1"/>
      <c r="AC986" s="1"/>
      <c r="AD986" s="1"/>
      <c r="AE986" s="1"/>
      <c r="AF986" s="1"/>
      <c r="AG986" s="1"/>
      <c r="AH986" s="1"/>
      <c r="AI986" s="1"/>
      <c r="AL986" s="1"/>
      <c r="AN986" s="1"/>
      <c r="AO986" s="1"/>
      <c r="AP986" s="1"/>
      <c r="AQ986" s="1"/>
      <c r="AR986" s="1"/>
      <c r="AS986" s="1"/>
      <c r="AT986" s="1"/>
      <c r="AU986" s="1"/>
      <c r="AV986" s="1"/>
    </row>
    <row r="987" spans="2:48" x14ac:dyDescent="0.3">
      <c r="B987" s="1" t="s">
        <v>1586</v>
      </c>
      <c r="H987" s="1" t="s">
        <v>738</v>
      </c>
      <c r="I987" s="1"/>
      <c r="J987" s="1"/>
      <c r="K987" s="1"/>
      <c r="L987" s="1"/>
      <c r="M987" s="1"/>
      <c r="N987" s="1"/>
      <c r="O987" s="1"/>
      <c r="P987" s="1"/>
      <c r="Q987" s="1"/>
      <c r="R987" s="1"/>
      <c r="T987" s="1"/>
      <c r="U987" s="1"/>
      <c r="V987" s="1"/>
      <c r="W987" s="1"/>
      <c r="X987" s="1"/>
      <c r="Y987" s="1"/>
      <c r="Z987" s="1"/>
      <c r="AB987" s="1"/>
      <c r="AC987" s="1"/>
      <c r="AD987" s="1"/>
      <c r="AE987" s="1"/>
      <c r="AF987" s="1"/>
      <c r="AG987" s="1"/>
      <c r="AH987" s="1"/>
      <c r="AI987" s="1"/>
      <c r="AL987" s="1"/>
      <c r="AN987" s="1"/>
      <c r="AO987" s="1"/>
      <c r="AP987" s="1"/>
      <c r="AQ987" s="1"/>
      <c r="AR987" s="1"/>
      <c r="AS987" s="1"/>
      <c r="AT987" s="1"/>
      <c r="AU987" s="1"/>
      <c r="AV987" s="1"/>
    </row>
    <row r="988" spans="2:48" x14ac:dyDescent="0.3">
      <c r="B988" s="1" t="s">
        <v>1587</v>
      </c>
      <c r="H988" s="1" t="s">
        <v>738</v>
      </c>
      <c r="I988" s="1"/>
      <c r="J988" s="1"/>
      <c r="K988" s="1"/>
      <c r="L988" s="1"/>
      <c r="M988" s="1"/>
      <c r="N988" s="1"/>
      <c r="O988" s="1"/>
      <c r="P988" s="1"/>
      <c r="Q988" s="1"/>
      <c r="R988" s="1"/>
      <c r="T988" s="1"/>
      <c r="U988" s="1"/>
      <c r="V988" s="1"/>
      <c r="W988" s="1"/>
      <c r="X988" s="1"/>
      <c r="Y988" s="1"/>
      <c r="Z988" s="1"/>
      <c r="AB988" s="1"/>
      <c r="AC988" s="1"/>
      <c r="AD988" s="1"/>
      <c r="AE988" s="1"/>
      <c r="AF988" s="1"/>
      <c r="AG988" s="1"/>
      <c r="AH988" s="1"/>
      <c r="AI988" s="1"/>
      <c r="AL988" s="1"/>
      <c r="AN988" s="1"/>
      <c r="AO988" s="1"/>
      <c r="AP988" s="1"/>
      <c r="AQ988" s="1"/>
      <c r="AR988" s="1"/>
      <c r="AS988" s="1"/>
      <c r="AT988" s="1"/>
      <c r="AU988" s="1"/>
      <c r="AV988" s="1"/>
    </row>
    <row r="989" spans="2:48" x14ac:dyDescent="0.3">
      <c r="B989" s="1" t="s">
        <v>1588</v>
      </c>
      <c r="H989" s="1" t="s">
        <v>738</v>
      </c>
      <c r="I989" s="1"/>
      <c r="J989" s="1"/>
      <c r="K989" s="1"/>
      <c r="L989" s="1"/>
      <c r="M989" s="1"/>
      <c r="N989" s="1"/>
      <c r="O989" s="1"/>
      <c r="P989" s="1"/>
      <c r="Q989" s="1"/>
      <c r="R989" s="1"/>
      <c r="T989" s="1"/>
      <c r="U989" s="1"/>
      <c r="V989" s="1"/>
      <c r="W989" s="1"/>
      <c r="X989" s="1"/>
      <c r="Y989" s="1"/>
      <c r="Z989" s="1"/>
      <c r="AB989" s="1"/>
      <c r="AC989" s="1"/>
      <c r="AD989" s="1"/>
      <c r="AE989" s="1"/>
      <c r="AF989" s="1"/>
      <c r="AG989" s="1"/>
      <c r="AH989" s="1"/>
      <c r="AI989" s="1"/>
      <c r="AL989" s="1"/>
      <c r="AN989" s="1"/>
      <c r="AO989" s="1"/>
      <c r="AP989" s="1"/>
      <c r="AQ989" s="1"/>
      <c r="AR989" s="1"/>
      <c r="AS989" s="1"/>
      <c r="AT989" s="1"/>
      <c r="AU989" s="1"/>
      <c r="AV989" s="1"/>
    </row>
    <row r="990" spans="2:48" x14ac:dyDescent="0.3">
      <c r="B990" s="1" t="s">
        <v>1589</v>
      </c>
      <c r="H990" s="1" t="s">
        <v>738</v>
      </c>
      <c r="I990" s="1"/>
      <c r="J990" s="1"/>
      <c r="K990" s="1"/>
      <c r="L990" s="1"/>
      <c r="M990" s="1"/>
      <c r="N990" s="1"/>
      <c r="O990" s="1"/>
      <c r="P990" s="1"/>
      <c r="Q990" s="1"/>
      <c r="R990" s="1"/>
      <c r="T990" s="1"/>
      <c r="U990" s="1"/>
      <c r="V990" s="1"/>
      <c r="W990" s="1"/>
      <c r="X990" s="1"/>
      <c r="Y990" s="1"/>
      <c r="Z990" s="1"/>
      <c r="AB990" s="1"/>
      <c r="AC990" s="1"/>
      <c r="AD990" s="1"/>
      <c r="AE990" s="1"/>
      <c r="AF990" s="1"/>
      <c r="AG990" s="1"/>
      <c r="AH990" s="1"/>
      <c r="AI990" s="1"/>
      <c r="AL990" s="1"/>
      <c r="AN990" s="1"/>
      <c r="AO990" s="1"/>
      <c r="AP990" s="1"/>
      <c r="AQ990" s="1"/>
      <c r="AR990" s="1"/>
      <c r="AS990" s="1"/>
      <c r="AT990" s="1"/>
      <c r="AU990" s="1"/>
      <c r="AV990" s="1"/>
    </row>
    <row r="991" spans="2:48" x14ac:dyDescent="0.3">
      <c r="B991" s="1" t="s">
        <v>1590</v>
      </c>
      <c r="H991" s="1" t="s">
        <v>738</v>
      </c>
      <c r="I991" s="1"/>
      <c r="J991" s="1"/>
      <c r="K991" s="1"/>
      <c r="L991" s="1"/>
      <c r="M991" s="1"/>
      <c r="N991" s="1"/>
      <c r="O991" s="1"/>
      <c r="P991" s="1"/>
      <c r="Q991" s="1"/>
      <c r="R991" s="1"/>
      <c r="T991" s="1"/>
      <c r="U991" s="1"/>
      <c r="V991" s="1"/>
      <c r="W991" s="1"/>
      <c r="X991" s="1"/>
      <c r="Y991" s="1"/>
      <c r="Z991" s="1"/>
      <c r="AB991" s="1"/>
      <c r="AC991" s="1"/>
      <c r="AD991" s="1"/>
      <c r="AE991" s="1"/>
      <c r="AF991" s="1"/>
      <c r="AG991" s="1"/>
      <c r="AH991" s="1"/>
      <c r="AI991" s="1"/>
      <c r="AL991" s="1"/>
      <c r="AN991" s="1"/>
      <c r="AO991" s="1"/>
      <c r="AP991" s="1"/>
      <c r="AQ991" s="1"/>
      <c r="AR991" s="1"/>
      <c r="AS991" s="1"/>
      <c r="AT991" s="1"/>
      <c r="AU991" s="1"/>
      <c r="AV991" s="1"/>
    </row>
    <row r="992" spans="2:48" x14ac:dyDescent="0.3">
      <c r="B992" s="1" t="s">
        <v>1591</v>
      </c>
      <c r="H992" s="1" t="s">
        <v>738</v>
      </c>
      <c r="I992" s="1"/>
      <c r="J992" s="1"/>
      <c r="K992" s="1"/>
      <c r="L992" s="1"/>
      <c r="M992" s="1"/>
      <c r="N992" s="1"/>
      <c r="O992" s="1"/>
      <c r="P992" s="1"/>
      <c r="Q992" s="1"/>
      <c r="R992" s="1"/>
      <c r="T992" s="1"/>
      <c r="U992" s="1"/>
      <c r="V992" s="1"/>
      <c r="W992" s="1"/>
      <c r="X992" s="1"/>
      <c r="Y992" s="1"/>
      <c r="Z992" s="1"/>
      <c r="AB992" s="1"/>
      <c r="AC992" s="1"/>
      <c r="AD992" s="1"/>
      <c r="AE992" s="1"/>
      <c r="AF992" s="1"/>
      <c r="AG992" s="1"/>
      <c r="AH992" s="1"/>
      <c r="AI992" s="1"/>
      <c r="AL992" s="1"/>
      <c r="AN992" s="1"/>
      <c r="AO992" s="1"/>
      <c r="AP992" s="1"/>
      <c r="AQ992" s="1"/>
      <c r="AR992" s="1"/>
      <c r="AS992" s="1"/>
      <c r="AT992" s="1"/>
      <c r="AU992" s="1"/>
      <c r="AV992" s="1"/>
    </row>
    <row r="993" spans="2:48" x14ac:dyDescent="0.3">
      <c r="B993" s="1" t="s">
        <v>1592</v>
      </c>
      <c r="H993" s="1" t="s">
        <v>738</v>
      </c>
      <c r="AO993" s="1"/>
      <c r="AV993" s="1"/>
    </row>
  </sheetData>
  <phoneticPr fontId="1" type="noConversion"/>
  <conditionalFormatting sqref="A1:A4 A6:A1048576">
    <cfRule type="containsText" dxfId="4" priority="1" operator="containsText" text="Neu">
      <formula>NOT(ISERROR(SEARCH("Neu",A1)))</formula>
    </cfRule>
    <cfRule type="containsText" dxfId="3" priority="2" operator="containsText" text="Aktualisierung nötig">
      <formula>NOT(ISERROR(SEARCH("Aktualisierung nötig",A1)))</formula>
    </cfRule>
    <cfRule type="containsText" dxfId="2" priority="3" operator="containsText" text="Geprüft">
      <formula>NOT(ISERROR(SEARCH("Geprüft",A1)))</formula>
    </cfRule>
    <cfRule type="containsText" dxfId="1" priority="4" operator="containsText" text="In Prüfung">
      <formula>NOT(ISERROR(SEARCH("In Prüfung",A1)))</formula>
    </cfRule>
    <cfRule type="containsText" dxfId="0" priority="5" operator="containsText" text="Neu">
      <formula>NOT(ISERROR(SEARCH("Neu",A1)))</formula>
    </cfRule>
  </conditionalFormatting>
  <dataValidations count="10">
    <dataValidation type="list" allowBlank="1" showInputMessage="1" showErrorMessage="1" sqref="AL10:AN59 T10:Z992 P10:P992 M10:N992 R10:R992 I10:K992 AB10:AI992 AP10:AU992 AN60:AN992 AL60:AL992 AM60:AM994" xr:uid="{6A9C26F3-F2B3-4659-91F2-DE02F290ACD8}">
      <formula1>"Ja,Nein"</formula1>
    </dataValidation>
    <dataValidation type="list" allowBlank="1" showInputMessage="1" showErrorMessage="1" sqref="A10:A146" xr:uid="{926B483D-EC56-4077-A2A0-792527F92E8B}">
      <formula1>"Neu,In Prüfung,Geprüft,Aktualisierung nötig"</formula1>
    </dataValidation>
    <dataValidation type="list" allowBlank="1" showInputMessage="1" showErrorMessage="1" sqref="L10:L992" xr:uid="{41E21801-20A8-44FF-8F57-6247CCD27F14}">
      <formula1>"einmalige Zahlung,Abo / befristete Lizenz"</formula1>
    </dataValidation>
    <dataValidation type="list" allowBlank="1" showInputMessage="1" showErrorMessage="1" sqref="O10:O992" xr:uid="{EBE3FCCB-EAD3-42E3-959B-D9500CA1632B}">
      <formula1>"Deutschland,EU,außerhalb EU / international"</formula1>
    </dataValidation>
    <dataValidation type="list" allowBlank="1" showInputMessage="1" showErrorMessage="1" sqref="Q10:Q992" xr:uid="{E97E8159-40F8-43FF-B7F2-AA52973F3971}">
      <formula1>"offene Schnittstellen,geschlossenes System"</formula1>
    </dataValidation>
    <dataValidation type="list" allowBlank="1" showInputMessage="1" showErrorMessage="1" sqref="AA10:AA992" xr:uid="{F11686C6-08AE-4905-BDA8-FF8A47D3EE8C}">
      <formula1>"modular,monolithisch"</formula1>
    </dataValidation>
    <dataValidation type="list" allowBlank="1" showInputMessage="1" showErrorMessage="1" sqref="AJ10:AJ992" xr:uid="{A232EF33-F19C-41ED-A4B1-A12A5882A158}">
      <formula1>"Standardlösung,individuell programmierbar"</formula1>
    </dataValidation>
    <dataValidation type="list" allowBlank="1" showInputMessage="1" showErrorMessage="1" sqref="AK10:AK992" xr:uid="{D235DB9C-2685-4DC0-A14C-4DE8EE676BBA}">
      <mc:AlternateContent xmlns:x12ac="http://schemas.microsoft.com/office/spreadsheetml/2011/1/ac" xmlns:mc="http://schemas.openxmlformats.org/markup-compatibility/2006">
        <mc:Choice Requires="x12ac">
          <x12ac:list>Deutsch,Deutsch und Englisch,"Deutsch, Englisch und andere"</x12ac:list>
        </mc:Choice>
        <mc:Fallback>
          <formula1>"Deutsch,Deutsch und Englisch,Deutsch, Englisch und andere"</formula1>
        </mc:Fallback>
      </mc:AlternateContent>
    </dataValidation>
    <dataValidation type="list" allowBlank="1" showInputMessage="1" showErrorMessage="1" sqref="AO10:AO993" xr:uid="{19F08425-004E-4737-98CC-F35E403AE6BE}">
      <formula1>"Einzelzugang,rollenbasiert"</formula1>
    </dataValidation>
    <dataValidation type="list" allowBlank="1" showInputMessage="1" showErrorMessage="1" sqref="AV10:AV993" xr:uid="{AEE69C35-5D48-4618-8A58-471C54DC2AC0}">
      <formula1>"revisionssicher mit Historienprotokoll,Einfache Speicherung"</formula1>
    </dataValidation>
  </dataValidations>
  <hyperlinks>
    <hyperlink ref="E10" r:id="rId1" xr:uid="{5BCDEC09-883D-4FE0-A134-918333E820D2}"/>
    <hyperlink ref="E11" r:id="rId2" xr:uid="{CAB539AE-5A3A-4EF8-855A-E00332C072B2}"/>
    <hyperlink ref="E12" r:id="rId3" xr:uid="{63C4D69C-4067-42F3-9CAE-C0200DE3C508}"/>
    <hyperlink ref="E13" r:id="rId4" xr:uid="{BC47CC3C-A21A-4306-8586-B3CE970B13B7}"/>
    <hyperlink ref="E14" r:id="rId5" xr:uid="{DB881A76-4809-4703-ACCD-743892918956}"/>
    <hyperlink ref="E15" r:id="rId6" xr:uid="{43243C78-547B-495E-A758-835865E47543}"/>
    <hyperlink ref="E16" r:id="rId7" display="www.tisoware.com " xr:uid="{309930BC-7694-4D5A-BEB7-5648A058C351}"/>
    <hyperlink ref="E17" r:id="rId8" xr:uid="{1816E1AA-3EFA-404B-9311-BC43DE403E21}"/>
    <hyperlink ref="E18" r:id="rId9" display="http://www.zmi.de/" xr:uid="{F8BBE5F4-DB24-4A06-9443-704E666CC4A7}"/>
    <hyperlink ref="E19" r:id="rId10" xr:uid="{10286D12-E791-4D76-BF1E-5726377264D3}"/>
    <hyperlink ref="E20" r:id="rId11" display="http://www.clockodo.com/" xr:uid="{51ECD93F-80DF-44FD-835B-FB9B8DDDBF7B}"/>
    <hyperlink ref="E21" r:id="rId12" xr:uid="{DEF02446-A3EE-40C1-98A7-FD012FDCF7F5}"/>
    <hyperlink ref="E22" r:id="rId13" display="http://www.ed-portal.de/" xr:uid="{F538CA55-5FD3-4FFD-9AC8-D21778A77BBD}"/>
    <hyperlink ref="E23" r:id="rId14" xr:uid="{632B3659-6FEB-4BD3-B137-157C52588AAF}"/>
    <hyperlink ref="E24" r:id="rId15" display="http://www.primaerp.com/" xr:uid="{89916A97-4D21-422D-87B6-9CE5F587E543}"/>
    <hyperlink ref="E25" r:id="rId16" xr:uid="{DEDA6512-C3FA-4608-B2A0-03AFE9D361D0}"/>
    <hyperlink ref="E26" r:id="rId17" display="http://www.timecard.de/" xr:uid="{B0C03C1A-5EF3-4BC6-BBD4-8D5C2E80630C}"/>
    <hyperlink ref="E27" r:id="rId18" display="http://www.timeandbill.de/" xr:uid="{FC6BBDA0-6024-4AFD-AA2D-00FE9DB11C49}"/>
    <hyperlink ref="E28" r:id="rId19" xr:uid="{438FA9FA-C471-4B47-AA58-E0632DF6583D}"/>
    <hyperlink ref="E29" r:id="rId20" xr:uid="{09323E5E-E772-40A2-AC8F-CFDE918221EC}"/>
    <hyperlink ref="E30" r:id="rId21" xr:uid="{EE8CF3DB-F498-4F77-8F84-4F917E30DDB5}"/>
    <hyperlink ref="E31" r:id="rId22" xr:uid="{812DFB77-ADB3-4C59-A09D-8B1481F142E6}"/>
    <hyperlink ref="E33" r:id="rId23" xr:uid="{1B3FBCC1-6513-4F19-AA64-A7AC6B7B5CF5}"/>
    <hyperlink ref="E39" r:id="rId24" xr:uid="{81F616FF-25ED-4379-9B5E-02CC2CACE563}"/>
    <hyperlink ref="E46" r:id="rId25" xr:uid="{072A2A65-F95C-48DC-8D2F-ADBC735C584A}"/>
    <hyperlink ref="E45" r:id="rId26" xr:uid="{E487977A-ADBD-4E70-98EC-C7DE12EE1C01}"/>
    <hyperlink ref="E42" r:id="rId27" xr:uid="{B32394B6-713C-42C5-94D1-F496C3EEB9BE}"/>
    <hyperlink ref="E44" r:id="rId28" xr:uid="{0ADAF350-EE04-47AC-9F83-2E08E3C9AC6F}"/>
    <hyperlink ref="E48" r:id="rId29" xr:uid="{DAACD171-6738-4A51-9883-68739D7211F3}"/>
    <hyperlink ref="E49" r:id="rId30" xr:uid="{3F40C5F8-812F-4B9D-8338-4D2087E2781F}"/>
    <hyperlink ref="E54" r:id="rId31" xr:uid="{81554E8A-AF19-4CF8-9B2E-C64D919F4686}"/>
    <hyperlink ref="E59" r:id="rId32" xr:uid="{395F96E8-124F-41ED-875C-EF81B11EEF85}"/>
    <hyperlink ref="E65" r:id="rId33" xr:uid="{A5692DF3-0F17-4954-8F2F-0F57EEA272CA}"/>
    <hyperlink ref="E72" r:id="rId34" xr:uid="{4AF0DE51-614B-4005-A0F8-38F71B393EAF}"/>
    <hyperlink ref="E77" r:id="rId35" xr:uid="{661AFF24-D356-4245-A99D-E99A9798A138}"/>
    <hyperlink ref="E82" r:id="rId36" xr:uid="{CA9D9FEE-5D2D-46DA-AD28-0F5DC5D7C198}"/>
    <hyperlink ref="E102" r:id="rId37" xr:uid="{11126A35-7005-49E0-A532-83A87A2AA86E}"/>
    <hyperlink ref="E105" r:id="rId38" xr:uid="{4A9F9908-682F-4673-8B52-E08A80ECC92D}"/>
    <hyperlink ref="E107" r:id="rId39" xr:uid="{9237C256-5BD0-4C98-AEB0-B1C7596784F7}"/>
    <hyperlink ref="E108" r:id="rId40" xr:uid="{C5B6F9CF-5498-45C0-A1DF-B33B44405B3A}"/>
    <hyperlink ref="E110" r:id="rId41" xr:uid="{41A53BC3-1E4E-4ED3-86CF-0473398BB2F5}"/>
    <hyperlink ref="E125" r:id="rId42" xr:uid="{6E326255-18DE-4101-AA3D-9CE7CF67500A}"/>
    <hyperlink ref="E127" r:id="rId43" xr:uid="{568AEBE7-E41C-42C2-BFBB-5858B7792F25}"/>
    <hyperlink ref="E51" r:id="rId44" xr:uid="{9B479D14-46FE-48A8-9B5B-D075371C6129}"/>
    <hyperlink ref="E40" r:id="rId45" xr:uid="{E08AA294-9CF6-435A-BD71-47AB5E716467}"/>
    <hyperlink ref="E35" r:id="rId46" xr:uid="{573D0FB3-5848-42C0-A595-5150326B7F65}"/>
    <hyperlink ref="E32" r:id="rId47" xr:uid="{82E36667-6938-4474-AB34-CB84BDF49C94}"/>
    <hyperlink ref="E41" r:id="rId48" xr:uid="{8C0FF737-81FB-4F71-9C95-6AF6308440E4}"/>
    <hyperlink ref="E43" r:id="rId49" xr:uid="{D3974F62-4CD7-4FC3-9229-DBC4B131FC96}"/>
    <hyperlink ref="E37" r:id="rId50" xr:uid="{6F0D3530-15C5-4703-AB32-2FE8D462485F}"/>
    <hyperlink ref="E38" r:id="rId51" xr:uid="{08C2F1A8-CC6A-4219-9396-0670DFA86FB1}"/>
    <hyperlink ref="E47" r:id="rId52" xr:uid="{A798A01A-5685-4E13-BCE5-F0BAF851BC34}"/>
    <hyperlink ref="E50" r:id="rId53" xr:uid="{A7E6CD85-5458-4CB8-BCB3-5906B909CD22}"/>
    <hyperlink ref="E52" r:id="rId54" xr:uid="{9A206D77-2B14-4F83-8958-F2244F2BF770}"/>
    <hyperlink ref="E53" r:id="rId55" xr:uid="{21571A79-C738-409C-A7D3-DF22943E5200}"/>
    <hyperlink ref="E55" r:id="rId56" xr:uid="{C6E695D4-4E2C-4174-93EB-ECAB4E36CCC2}"/>
    <hyperlink ref="E56" r:id="rId57" xr:uid="{F94CD643-163F-4AC3-8AF3-29DDAC096B10}"/>
    <hyperlink ref="E36" r:id="rId58" xr:uid="{B8D888C7-F028-4D3F-B25D-987D8129948F}"/>
    <hyperlink ref="E57" r:id="rId59" xr:uid="{7455289F-FE35-455A-B64D-6918E40D223F}"/>
    <hyperlink ref="E58" r:id="rId60" xr:uid="{9A322382-3983-40D9-A686-D8BB9A2CA314}"/>
    <hyperlink ref="E61" r:id="rId61" xr:uid="{82388467-3C73-407C-B164-7EA34CE091CC}"/>
    <hyperlink ref="E62" r:id="rId62" xr:uid="{D2369C68-AC2F-4138-85F2-3C9814C0339C}"/>
    <hyperlink ref="E34" r:id="rId63" xr:uid="{1CF8F380-9AD5-427E-8035-9982BEE1A646}"/>
  </hyperlinks>
  <pageMargins left="0.7" right="0.7" top="0.78740157499999996" bottom="0.78740157499999996" header="0.3" footer="0.3"/>
  <pageSetup paperSize="9" orientation="portrait" r:id="rId64"/>
  <legacyDrawing r:id="rId6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302B-79F2-441A-A474-6D2B78BDB20B}">
  <dimension ref="A1:K1000"/>
  <sheetViews>
    <sheetView zoomScaleNormal="100" workbookViewId="0">
      <selection activeCell="A36" sqref="A36"/>
    </sheetView>
  </sheetViews>
  <sheetFormatPr baseColWidth="10" defaultRowHeight="15.05" x14ac:dyDescent="0.3"/>
  <cols>
    <col min="1" max="1" width="12.44140625" style="1" customWidth="1"/>
    <col min="2" max="2" width="20.109375" style="1" customWidth="1"/>
    <col min="3" max="3" width="28.44140625" style="1" customWidth="1"/>
    <col min="4" max="4" width="18" style="1" customWidth="1"/>
    <col min="5" max="5" width="43" style="1" customWidth="1"/>
    <col min="6" max="6" width="36.6640625" style="1" customWidth="1"/>
    <col min="7" max="7" width="31.44140625" style="1" customWidth="1"/>
    <col min="8" max="8" width="36" style="1" customWidth="1"/>
    <col min="9" max="16384" width="11.5546875" style="1"/>
  </cols>
  <sheetData>
    <row r="1" spans="1:11" x14ac:dyDescent="0.3">
      <c r="A1" s="9" t="s">
        <v>534</v>
      </c>
      <c r="B1" s="9" t="s">
        <v>537</v>
      </c>
      <c r="C1" s="9" t="s">
        <v>529</v>
      </c>
      <c r="D1" s="9" t="s">
        <v>530</v>
      </c>
      <c r="E1" s="9" t="s">
        <v>531</v>
      </c>
      <c r="F1" s="9" t="s">
        <v>532</v>
      </c>
      <c r="G1" s="9" t="s">
        <v>655</v>
      </c>
      <c r="H1" s="9" t="s">
        <v>533</v>
      </c>
      <c r="I1" s="9" t="s">
        <v>1702</v>
      </c>
    </row>
    <row r="2" spans="1:11" x14ac:dyDescent="0.3">
      <c r="A2" s="1" t="str">
        <f>IF(AND(Programme_Grunddaten!$A10="Geprüft",Programme_Grunddaten!B10&lt;&gt;""),Programme_Grunddaten!B10,"")</f>
        <v>P01</v>
      </c>
      <c r="B2" s="1" t="str">
        <f>IF(AND(Programme_Grunddaten!$A10="Geprüft",Programme_Grunddaten!C10&lt;&gt;""),Programme_Grunddaten!C10,"")</f>
        <v>Atoss</v>
      </c>
      <c r="C2" s="1" t="str">
        <f>IF(AND(Programme_Grunddaten!$A10="Geprüft",Programme_Grunddaten!D10&lt;&gt;""),Programme_Grunddaten!D10,"")</f>
        <v>ATOSS Software SE</v>
      </c>
      <c r="D2" s="2" t="str">
        <f>IF(AND(Programme_Grunddaten!$A10="Geprüft",Programme_Grunddaten!E10&lt;&gt;""),Programme_Grunddaten!E10,"")</f>
        <v>www.atoss.com </v>
      </c>
      <c r="E2" t="str">
        <f>IF(AND(Programme_Grunddaten!$A10="Geprüft",Programme_Grunddaten!G10&lt;&gt;""),Programme_Grunddaten!G10,"")</f>
        <v>digitales Workforce Management System</v>
      </c>
      <c r="F2" t="str">
        <f>IF(AND(Programme_Grunddaten!$A10="Geprüft",Programme_Grunddaten!F10&lt;&gt;""),Programme_Grunddaten!F10,"")</f>
        <v>alle Branchen</v>
      </c>
      <c r="G2" s="3" t="str">
        <f>IF(AND(Programme_Grunddaten!$A10="Geprüft",Programme_Grunddaten!S10&lt;&gt;""),Programme_Grunddaten!S10,"")</f>
        <v>App, Telefon, Terminal</v>
      </c>
      <c r="H2" t="str">
        <f>IF(AND(Programme_Grunddaten!$A10="Geprüft",Programme_Grunddaten!AW10&lt;&gt;""),Programme_Grunddaten!AW10,"")</f>
        <v/>
      </c>
      <c r="I2" t="str">
        <f>IF(AND(Programme_Grunddaten!$A10="Geprüft",Programme_Grunddaten!AX10&lt;&gt;""),Programme_Grunddaten!AX10,"")</f>
        <v>keine Angabe</v>
      </c>
      <c r="J2"/>
      <c r="K2" s="1" t="str">
        <f>IF(AND(programme_info!A11="Geprüft",Programme_Grunddaten!AW10&lt;&gt;""),Programme_Grunddaten!AW10,"")</f>
        <v/>
      </c>
    </row>
    <row r="3" spans="1:11" x14ac:dyDescent="0.3">
      <c r="A3" s="1" t="str">
        <f>IF(AND(Programme_Grunddaten!$A11="Geprüft",Programme_Grunddaten!B11&lt;&gt;""),Programme_Grunddaten!B11,"")</f>
        <v>P02</v>
      </c>
      <c r="B3" s="1" t="str">
        <f>IF(AND(Programme_Grunddaten!$A11="Geprüft",Programme_Grunddaten!C11&lt;&gt;""),Programme_Grunddaten!C11,"")</f>
        <v>ZEUS</v>
      </c>
      <c r="C3" s="1" t="str">
        <f>IF(AND(Programme_Grunddaten!$A11="Geprüft",Programme_Grunddaten!D11&lt;&gt;""),Programme_Grunddaten!D11,"")</f>
        <v>ISGUS GmbH</v>
      </c>
      <c r="D3" s="2" t="str">
        <f>IF(AND(Programme_Grunddaten!$A11="Geprüft",Programme_Grunddaten!E11&lt;&gt;""),Programme_Grunddaten!E11,"")</f>
        <v>www.isgus.de </v>
      </c>
      <c r="E3" t="str">
        <f>IF(AND(Programme_Grunddaten!$A11="Geprüft",Programme_Grunddaten!G11&lt;&gt;""),Programme_Grunddaten!G11,"")</f>
        <v>digitales Workforce Management System, mit Zeiterfassungsmodul</v>
      </c>
      <c r="F3" t="str">
        <f>IF(AND(Programme_Grunddaten!$A11="Geprüft",Programme_Grunddaten!F11&lt;&gt;""),Programme_Grunddaten!F11,"")</f>
        <v>alle Branchen</v>
      </c>
      <c r="G3" s="3" t="str">
        <f>IF(AND(Programme_Grunddaten!$A11="Geprüft",Programme_Grunddaten!S11&lt;&gt;""),Programme_Grunddaten!S11,"")</f>
        <v>App, Smartphone, Tablet, PC Terminal</v>
      </c>
      <c r="H3" t="str">
        <f>IF(AND(Programme_Grunddaten!$A11="Geprüft",Programme_Grunddaten!AW11&lt;&gt;""),Programme_Grunddaten!AW11,"")</f>
        <v>die Schichtbörse bietet den Mitarbeitern die Möglichkeit ihre Schichten digital zu tauschen, Evakuierungsübersicht: verspricht einen klaren Überblick über den Sicherheitsstatus der Mitarbeiter in kritischen Situationen, Open Source Teile des Codes sind verfügbar</v>
      </c>
      <c r="I3" t="str">
        <f>IF(AND(Programme_Grunddaten!$A11="Geprüft",Programme_Grunddaten!AX11&lt;&gt;""),Programme_Grunddaten!AX11,"")</f>
        <v>keine Angabe</v>
      </c>
      <c r="J3"/>
    </row>
    <row r="4" spans="1:11" x14ac:dyDescent="0.3">
      <c r="A4" s="1" t="str">
        <f>IF(AND(Programme_Grunddaten!$A12="Geprüft",Programme_Grunddaten!B12&lt;&gt;""),Programme_Grunddaten!B12,"")</f>
        <v>P03</v>
      </c>
      <c r="B4" s="1" t="str">
        <f>IF(AND(Programme_Grunddaten!$A12="Geprüft",Programme_Grunddaten!C12&lt;&gt;""),Programme_Grunddaten!C12,"")</f>
        <v>GRÜN ZICOM</v>
      </c>
      <c r="C4" s="1" t="str">
        <f>IF(AND(Programme_Grunddaten!$A12="Geprüft",Programme_Grunddaten!D12&lt;&gt;""),Programme_Grunddaten!D12,"")</f>
        <v>GRÜN Software Group GmbH</v>
      </c>
      <c r="D4" s="2" t="str">
        <f>IF(AND(Programme_Grunddaten!$A12="Geprüft",Programme_Grunddaten!E12&lt;&gt;""),Programme_Grunddaten!E12,"")</f>
        <v>www.gruen.net </v>
      </c>
      <c r="E4" t="str">
        <f>IF(AND(Programme_Grunddaten!$A12="Geprüft",Programme_Grunddaten!G12&lt;&gt;""),Programme_Grunddaten!G12,"")</f>
        <v>Branchensoftware für Mittelstand</v>
      </c>
      <c r="F4" t="str">
        <f>IF(AND(Programme_Grunddaten!$A12="Geprüft",Programme_Grunddaten!F12&lt;&gt;""),Programme_Grunddaten!F12,"")</f>
        <v>Medien, Handel, Industrie</v>
      </c>
      <c r="G4" s="3" t="str">
        <f>IF(AND(Programme_Grunddaten!$A12="Geprüft",Programme_Grunddaten!S12&lt;&gt;""),Programme_Grunddaten!S12,"")</f>
        <v>App, PC, Terminal</v>
      </c>
      <c r="H4" t="str">
        <f>IF(AND(Programme_Grunddaten!$A12="Geprüft",Programme_Grunddaten!AW12&lt;&gt;""),Programme_Grunddaten!AW12,"")</f>
        <v/>
      </c>
      <c r="I4" t="str">
        <f>IF(AND(Programme_Grunddaten!$A12="Geprüft",Programme_Grunddaten!AX12&lt;&gt;""),Programme_Grunddaten!AX12,"")</f>
        <v>keine Angabe</v>
      </c>
      <c r="J4"/>
      <c r="K4" s="1" t="str">
        <f>IF(AND(programme_info!A13="Geprüft",Programme_Grunddaten!AW12&lt;&gt;""),Programme_Grunddaten!AW12,"")</f>
        <v/>
      </c>
    </row>
    <row r="5" spans="1:11" x14ac:dyDescent="0.3">
      <c r="A5" s="1" t="str">
        <f>IF(AND(Programme_Grunddaten!$A13="Geprüft",Programme_Grunddaten!B13&lt;&gt;""),Programme_Grunddaten!B13,"")</f>
        <v>P04</v>
      </c>
      <c r="B5" s="1" t="str">
        <f>IF(AND(Programme_Grunddaten!$A13="Geprüft",Programme_Grunddaten!C13&lt;&gt;""),Programme_Grunddaten!C13,"")</f>
        <v>KRUTEC</v>
      </c>
      <c r="C5" s="1" t="str">
        <f>IF(AND(Programme_Grunddaten!$A13="Geprüft",Programme_Grunddaten!D13&lt;&gt;""),Programme_Grunddaten!D13,"")</f>
        <v>Krutec SoftCon GmbH</v>
      </c>
      <c r="D5" s="2" t="str">
        <f>IF(AND(Programme_Grunddaten!$A13="Geprüft",Programme_Grunddaten!E13&lt;&gt;""),Programme_Grunddaten!E13,"")</f>
        <v>www.krutec.de </v>
      </c>
      <c r="E5" t="str">
        <f>IF(AND(Programme_Grunddaten!$A13="Geprüft",Programme_Grunddaten!G13&lt;&gt;""),Programme_Grunddaten!G13,"")</f>
        <v>Fokus auf Zeiterfassung</v>
      </c>
      <c r="F5" t="str">
        <f>IF(AND(Programme_Grunddaten!$A13="Geprüft",Programme_Grunddaten!F13&lt;&gt;""),Programme_Grunddaten!F13,"")</f>
        <v>alle Branchen</v>
      </c>
      <c r="G5" s="3" t="str">
        <f>IF(AND(Programme_Grunddaten!$A13="Geprüft",Programme_Grunddaten!S13&lt;&gt;""),Programme_Grunddaten!S13,"")</f>
        <v>Browser, App, Terminal</v>
      </c>
      <c r="H5" t="str">
        <f>IF(AND(Programme_Grunddaten!$A13="Geprüft",Programme_Grunddaten!AW13&lt;&gt;""),Programme_Grunddaten!AW13,"")</f>
        <v>Standort bei Erfassung kann mit erfasst werden</v>
      </c>
      <c r="I5" t="str">
        <f>IF(AND(Programme_Grunddaten!$A13="Geprüft",Programme_Grunddaten!AX13&lt;&gt;""),Programme_Grunddaten!AX13,"")</f>
        <v>keine Angabe</v>
      </c>
    </row>
    <row r="6" spans="1:11" x14ac:dyDescent="0.3">
      <c r="A6" s="1" t="str">
        <f>IF(AND(Programme_Grunddaten!$A14="Geprüft",Programme_Grunddaten!B14&lt;&gt;""),Programme_Grunddaten!B14,"")</f>
        <v>P05</v>
      </c>
      <c r="B6" s="1" t="str">
        <f>IF(AND(Programme_Grunddaten!$A14="Geprüft",Programme_Grunddaten!C14&lt;&gt;""),Programme_Grunddaten!C14,"")</f>
        <v>meg, TiMaS</v>
      </c>
      <c r="C6" s="1" t="str">
        <f>IF(AND(Programme_Grunddaten!$A14="Geprüft",Programme_Grunddaten!D14&lt;&gt;""),Programme_Grunddaten!D14,"")</f>
        <v>mess-elektronik-groß GmbH</v>
      </c>
      <c r="D6" s="2" t="str">
        <f>IF(AND(Programme_Grunddaten!$A14="Geprüft",Programme_Grunddaten!E14&lt;&gt;""),Programme_Grunddaten!E14,"")</f>
        <v>www.megzeit.de </v>
      </c>
      <c r="E6" t="str">
        <f>IF(AND(Programme_Grunddaten!$A14="Geprüft",Programme_Grunddaten!G14&lt;&gt;""),Programme_Grunddaten!G14,"")</f>
        <v>einfach, Arbeitszeiten erfassen, Zutritt steuern</v>
      </c>
      <c r="F6" t="str">
        <f>IF(AND(Programme_Grunddaten!$A14="Geprüft",Programme_Grunddaten!F14&lt;&gt;""),Programme_Grunddaten!F14,"")</f>
        <v>Unternehmen, Behörden, Kleinbetrieb</v>
      </c>
      <c r="G6" s="3" t="str">
        <f>IF(AND(Programme_Grunddaten!$A14="Geprüft",Programme_Grunddaten!S14&lt;&gt;""),Programme_Grunddaten!S14,"")</f>
        <v>App, Terminal, PC</v>
      </c>
      <c r="H6" t="str">
        <f>IF(AND(Programme_Grunddaten!$A14="Geprüft",Programme_Grunddaten!AW14&lt;&gt;""),Programme_Grunddaten!AW14,"")</f>
        <v>Standort bei Erfassung kann mit erfasst werden</v>
      </c>
      <c r="I6" t="str">
        <f>IF(AND(Programme_Grunddaten!$A14="Geprüft",Programme_Grunddaten!AX14&lt;&gt;""),Programme_Grunddaten!AX14,"")</f>
        <v>z.B. Zeiterfassungssystem am Computer und per App einmalig 479 €, ab 10 Nutzern</v>
      </c>
    </row>
    <row r="7" spans="1:11" x14ac:dyDescent="0.3">
      <c r="A7" s="1" t="str">
        <f>IF(AND(Programme_Grunddaten!$A15="Geprüft",Programme_Grunddaten!B15&lt;&gt;""),Programme_Grunddaten!B15,"")</f>
        <v>P06</v>
      </c>
      <c r="B7" s="1" t="str">
        <f>IF(AND(Programme_Grunddaten!$A15="Geprüft",Programme_Grunddaten!C15&lt;&gt;""),Programme_Grunddaten!C15,"")</f>
        <v>MobilZeit</v>
      </c>
      <c r="C7" s="1" t="str">
        <f>IF(AND(Programme_Grunddaten!$A15="Geprüft",Programme_Grunddaten!D15&lt;&gt;""),Programme_Grunddaten!D15,"")</f>
        <v>MobilZeit GmbH</v>
      </c>
      <c r="D7" s="2" t="str">
        <f>IF(AND(Programme_Grunddaten!$A15="Geprüft",Programme_Grunddaten!E15&lt;&gt;""),Programme_Grunddaten!E15,"")</f>
        <v>www.mobilzeit.de </v>
      </c>
      <c r="E7" t="str">
        <f>IF(AND(Programme_Grunddaten!$A15="Geprüft",Programme_Grunddaten!G15&lt;&gt;""),Programme_Grunddaten!G15,"")</f>
        <v>Zeiterfassung, GPS-Ortung und Zutrittskontrolle</v>
      </c>
      <c r="F7" t="str">
        <f>IF(AND(Programme_Grunddaten!$A15="Geprüft",Programme_Grunddaten!F15&lt;&gt;""),Programme_Grunddaten!F15,"")</f>
        <v>Handwerker, Dienstleistungsunternehmen</v>
      </c>
      <c r="G7" s="3" t="str">
        <f>IF(AND(Programme_Grunddaten!$A15="Geprüft",Programme_Grunddaten!S15&lt;&gt;""),Programme_Grunddaten!S15,"")</f>
        <v>App, Terminal, Box im Fahrzeug</v>
      </c>
      <c r="H7" t="str">
        <f>IF(AND(Programme_Grunddaten!$A15="Geprüft",Programme_Grunddaten!AW15&lt;&gt;""),Programme_Grunddaten!AW15,"")</f>
        <v>GPS Fahrzeugortung, zusätzliche Erfassung der Fahrzeugdaten z.B. Zündung An/Aus</v>
      </c>
      <c r="I7" t="str">
        <f>IF(AND(Programme_Grunddaten!$A15="Geprüft",Programme_Grunddaten!AX15&lt;&gt;""),Programme_Grunddaten!AX15,"")</f>
        <v>keine Angabe</v>
      </c>
    </row>
    <row r="8" spans="1:11" x14ac:dyDescent="0.3">
      <c r="A8" s="1" t="str">
        <f>IF(AND(Programme_Grunddaten!$A16="Geprüft",Programme_Grunddaten!B16&lt;&gt;""),Programme_Grunddaten!B16,"")</f>
        <v>P07</v>
      </c>
      <c r="B8" s="1" t="str">
        <f>IF(AND(Programme_Grunddaten!$A16="Geprüft",Programme_Grunddaten!C16&lt;&gt;""),Programme_Grunddaten!C16,"")</f>
        <v>Atoria, tisoware</v>
      </c>
      <c r="C8" s="1" t="str">
        <f>IF(AND(Programme_Grunddaten!$A16="Geprüft",Programme_Grunddaten!D16&lt;&gt;""),Programme_Grunddaten!D16,"")</f>
        <v>Atoria – the people software GmbH</v>
      </c>
      <c r="D8" s="2" t="str">
        <f>IF(AND(Programme_Grunddaten!$A16="Geprüft",Programme_Grunddaten!E16&lt;&gt;""),Programme_Grunddaten!E16,"")</f>
        <v>https://atoria-software.com/de, www.tisoware.com </v>
      </c>
      <c r="E8" t="str">
        <f>IF(AND(Programme_Grunddaten!$A16="Geprüft",Programme_Grunddaten!G16&lt;&gt;""),Programme_Grunddaten!G16,"")</f>
        <v>modulare HR-Lösungen und Security Anwendungen</v>
      </c>
      <c r="F8" t="str">
        <f>IF(AND(Programme_Grunddaten!$A16="Geprüft",Programme_Grunddaten!F16&lt;&gt;""),Programme_Grunddaten!F16,"")</f>
        <v>kleiner bis größerer Mittelstand</v>
      </c>
      <c r="G8" s="3" t="str">
        <f>IF(AND(Programme_Grunddaten!$A16="Geprüft",Programme_Grunddaten!S16&lt;&gt;""),Programme_Grunddaten!S16,"")</f>
        <v>App, PC, Terminal</v>
      </c>
      <c r="H8" t="str">
        <f>IF(AND(Programme_Grunddaten!$A16="Geprüft",Programme_Grunddaten!AW16&lt;&gt;""),Programme_Grunddaten!AW16,"")</f>
        <v>bietet stationäre Terminals in Kooperation mit Praxispartnern an</v>
      </c>
      <c r="I8" t="str">
        <f>IF(AND(Programme_Grunddaten!$A16="Geprüft",Programme_Grunddaten!AX16&lt;&gt;""),Programme_Grunddaten!AX16,"")</f>
        <v>Basismodell: 4 € / Nutzer / Monat</v>
      </c>
    </row>
    <row r="9" spans="1:11" x14ac:dyDescent="0.3">
      <c r="A9" s="1" t="str">
        <f>IF(AND(Programme_Grunddaten!$A17="Geprüft",Programme_Grunddaten!B17&lt;&gt;""),Programme_Grunddaten!B17,"")</f>
        <v>P08</v>
      </c>
      <c r="B9" s="1" t="str">
        <f>IF(AND(Programme_Grunddaten!$A17="Geprüft",Programme_Grunddaten!C17&lt;&gt;""),Programme_Grunddaten!C17,"")</f>
        <v>venabo</v>
      </c>
      <c r="C9" s="1" t="str">
        <f>IF(AND(Programme_Grunddaten!$A17="Geprüft",Programme_Grunddaten!D17&lt;&gt;""),Programme_Grunddaten!D17,"")</f>
        <v>emvion Business Software GmbH</v>
      </c>
      <c r="D9" s="2" t="str">
        <f>IF(AND(Programme_Grunddaten!$A17="Geprüft",Programme_Grunddaten!E17&lt;&gt;""),Programme_Grunddaten!E17,"")</f>
        <v>www.venabo.de </v>
      </c>
      <c r="E9" t="str">
        <f>IF(AND(Programme_Grunddaten!$A17="Geprüft",Programme_Grunddaten!G17&lt;&gt;""),Programme_Grunddaten!G17,"")</f>
        <v>Zeiterfassung und IT-Service-Management</v>
      </c>
      <c r="F9" t="str">
        <f>IF(AND(Programme_Grunddaten!$A17="Geprüft",Programme_Grunddaten!F17&lt;&gt;""),Programme_Grunddaten!F17,"")</f>
        <v>kleine und mittlere Unternehmen</v>
      </c>
      <c r="G9" s="3" t="str">
        <f>IF(AND(Programme_Grunddaten!$A17="Geprüft",Programme_Grunddaten!S17&lt;&gt;""),Programme_Grunddaten!S17,"")</f>
        <v>App, PC, Terminal</v>
      </c>
      <c r="H9" t="str">
        <f>IF(AND(Programme_Grunddaten!$A17="Geprüft",Programme_Grunddaten!AW17&lt;&gt;""),Programme_Grunddaten!AW17,"")</f>
        <v>mit GPS Option, bietet stationäre Terminals in Kooperation mit Praxispartnern an</v>
      </c>
      <c r="I9" t="str">
        <f>IF(AND(Programme_Grunddaten!$A17="Geprüft",Programme_Grunddaten!AX17&lt;&gt;""),Programme_Grunddaten!AX17,"")</f>
        <v>Beispielpaket für Landwirtschaft und Agrarhandel für 4,5 € / Nutzer / Monat</v>
      </c>
    </row>
    <row r="10" spans="1:11" x14ac:dyDescent="0.3">
      <c r="A10" s="1" t="str">
        <f>IF(AND(Programme_Grunddaten!$A18="Geprüft",Programme_Grunddaten!B18&lt;&gt;""),Programme_Grunddaten!B18,"")</f>
        <v>P09</v>
      </c>
      <c r="B10" s="1" t="str">
        <f>IF(AND(Programme_Grunddaten!$A18="Geprüft",Programme_Grunddaten!C18&lt;&gt;""),Programme_Grunddaten!C18,"")</f>
        <v>ZMI.</v>
      </c>
      <c r="C10" s="1" t="str">
        <f>IF(AND(Programme_Grunddaten!$A18="Geprüft",Programme_Grunddaten!D18&lt;&gt;""),Programme_Grunddaten!D18,"")</f>
        <v>ZMI GmbH</v>
      </c>
      <c r="D10" s="2" t="str">
        <f>IF(AND(Programme_Grunddaten!$A18="Geprüft",Programme_Grunddaten!E18&lt;&gt;""),Programme_Grunddaten!E18,"")</f>
        <v>www.zmi.de</v>
      </c>
      <c r="E10" t="str">
        <f>IF(AND(Programme_Grunddaten!$A18="Geprüft",Programme_Grunddaten!G18&lt;&gt;""),Programme_Grunddaten!G18,"")</f>
        <v>Zeiterfassung und HR</v>
      </c>
      <c r="F10" t="str">
        <f>IF(AND(Programme_Grunddaten!$A18="Geprüft",Programme_Grunddaten!F18&lt;&gt;""),Programme_Grunddaten!F18,"")</f>
        <v>kleine und mittlere Unternehmen, Konzern</v>
      </c>
      <c r="G10" s="3" t="str">
        <f>IF(AND(Programme_Grunddaten!$A18="Geprüft",Programme_Grunddaten!S18&lt;&gt;""),Programme_Grunddaten!S18,"")</f>
        <v>App, PC, Terminal</v>
      </c>
      <c r="H10" t="str">
        <f>IF(AND(Programme_Grunddaten!$A18="Geprüft",Programme_Grunddaten!AW18&lt;&gt;""),Programme_Grunddaten!AW18,"")</f>
        <v>bietet stationäre Terminals in Kooperation mit Praxispartnern an, Standort bei Erfassung kann mit erfasst werden</v>
      </c>
      <c r="I10" t="str">
        <f>IF(AND(Programme_Grunddaten!$A18="Geprüft",Programme_Grunddaten!AX18&lt;&gt;""),Programme_Grunddaten!AX18,"")</f>
        <v>keine Angabe</v>
      </c>
    </row>
    <row r="11" spans="1:11" x14ac:dyDescent="0.3">
      <c r="A11" s="1" t="str">
        <f>IF(AND(Programme_Grunddaten!$A19="Geprüft",Programme_Grunddaten!B19&lt;&gt;""),Programme_Grunddaten!B19,"")</f>
        <v>P10</v>
      </c>
      <c r="B11" s="1" t="str">
        <f>IF(AND(Programme_Grunddaten!$A19="Geprüft",Programme_Grunddaten!C19&lt;&gt;""),Programme_Grunddaten!C19,"")</f>
        <v>clockin</v>
      </c>
      <c r="C11" s="1" t="str">
        <f>IF(AND(Programme_Grunddaten!$A19="Geprüft",Programme_Grunddaten!D19&lt;&gt;""),Programme_Grunddaten!D19,"")</f>
        <v>clockin GmbH</v>
      </c>
      <c r="D11" s="2" t="str">
        <f>IF(AND(Programme_Grunddaten!$A19="Geprüft",Programme_Grunddaten!E19&lt;&gt;""),Programme_Grunddaten!E19,"")</f>
        <v>www.clockin.de </v>
      </c>
      <c r="E11" t="str">
        <f>IF(AND(Programme_Grunddaten!$A19="Geprüft",Programme_Grunddaten!G19&lt;&gt;""),Programme_Grunddaten!G19,"")</f>
        <v>einfache Zeiterfassung</v>
      </c>
      <c r="F11" t="str">
        <f>IF(AND(Programme_Grunddaten!$A19="Geprüft",Programme_Grunddaten!F19&lt;&gt;""),Programme_Grunddaten!F19,"")</f>
        <v>Außendienst oder zuhause; Handwerker, Pflegekräfte und Vertriebsmitarbeiter</v>
      </c>
      <c r="G11" s="3" t="str">
        <f>IF(AND(Programme_Grunddaten!$A19="Geprüft",Programme_Grunddaten!S19&lt;&gt;""),Programme_Grunddaten!S19,"")</f>
        <v>App, PC</v>
      </c>
      <c r="H11" t="str">
        <f>IF(AND(Programme_Grunddaten!$A19="Geprüft",Programme_Grunddaten!AW19&lt;&gt;""),Programme_Grunddaten!AW19,"")</f>
        <v>Standort bei Erfassung kann mit erfasst werden</v>
      </c>
      <c r="I11" t="str">
        <f>IF(AND(Programme_Grunddaten!$A19="Geprüft",Programme_Grunddaten!AX19&lt;&gt;""),Programme_Grunddaten!AX19,"")</f>
        <v>Basismodell: 3,99 € / Nutzer / Monat</v>
      </c>
    </row>
    <row r="12" spans="1:11" x14ac:dyDescent="0.3">
      <c r="A12" s="1" t="str">
        <f>IF(AND(Programme_Grunddaten!$A20="Geprüft",Programme_Grunddaten!B20&lt;&gt;""),Programme_Grunddaten!B20,"")</f>
        <v>P11</v>
      </c>
      <c r="B12" s="1" t="str">
        <f>IF(AND(Programme_Grunddaten!$A20="Geprüft",Programme_Grunddaten!C20&lt;&gt;""),Programme_Grunddaten!C20,"")</f>
        <v>clocko:do</v>
      </c>
      <c r="C12" s="1" t="str">
        <f>IF(AND(Programme_Grunddaten!$A20="Geprüft",Programme_Grunddaten!D20&lt;&gt;""),Programme_Grunddaten!D20,"")</f>
        <v>Clockodo GmbH</v>
      </c>
      <c r="D12" s="2" t="str">
        <f>IF(AND(Programme_Grunddaten!$A20="Geprüft",Programme_Grunddaten!E20&lt;&gt;""),Programme_Grunddaten!E20,"")</f>
        <v>www.clockodo.com </v>
      </c>
      <c r="E12" t="str">
        <f>IF(AND(Programme_Grunddaten!$A20="Geprüft",Programme_Grunddaten!G20&lt;&gt;""),Programme_Grunddaten!G20,"")</f>
        <v>einfache Zeiterfassung</v>
      </c>
      <c r="F12" t="str">
        <f>IF(AND(Programme_Grunddaten!$A20="Geprüft",Programme_Grunddaten!F20&lt;&gt;""),Programme_Grunddaten!F20,"")</f>
        <v>alle Branchen</v>
      </c>
      <c r="G12" s="3" t="str">
        <f>IF(AND(Programme_Grunddaten!$A20="Geprüft",Programme_Grunddaten!S20&lt;&gt;""),Programme_Grunddaten!S20,"")</f>
        <v>App, PC</v>
      </c>
      <c r="H12" t="str">
        <f>IF(AND(Programme_Grunddaten!$A20="Geprüft",Programme_Grunddaten!AW20&lt;&gt;""),Programme_Grunddaten!AW20,"")</f>
        <v>Über die API-Schnittstelle können Sie bei Bedarf Clockodo noch weiter nach Ihren Wünschen anpassen, mit Budgetüberwachung für Projekte, keine Anbindung an DATEV, aber vielen anderen Lohnbuchhaltungssystemen</v>
      </c>
      <c r="I12" t="str">
        <f>IF(AND(Programme_Grunddaten!$A20="Geprüft",Programme_Grunddaten!AX20&lt;&gt;""),Programme_Grunddaten!AX20,"")</f>
        <v>Basismodell: 4 € / Nutzer / Monat</v>
      </c>
    </row>
    <row r="13" spans="1:11" x14ac:dyDescent="0.3">
      <c r="A13" s="1" t="str">
        <f>IF(AND(Programme_Grunddaten!$A21="Geprüft",Programme_Grunddaten!B21&lt;&gt;""),Programme_Grunddaten!B21,"")</f>
        <v>P12</v>
      </c>
      <c r="B13" s="1" t="str">
        <f>IF(AND(Programme_Grunddaten!$A21="Geprüft",Programme_Grunddaten!C21&lt;&gt;""),Programme_Grunddaten!C21,"")</f>
        <v>Crewmeister</v>
      </c>
      <c r="C13" s="1" t="str">
        <f>IF(AND(Programme_Grunddaten!$A21="Geprüft",Programme_Grunddaten!D21&lt;&gt;""),Programme_Grunddaten!D21,"")</f>
        <v>ATOSS Aloud GmbH</v>
      </c>
      <c r="D13" s="2" t="str">
        <f>IF(AND(Programme_Grunddaten!$A21="Geprüft",Programme_Grunddaten!E21&lt;&gt;""),Programme_Grunddaten!E21,"")</f>
        <v>www.crewmeister.com </v>
      </c>
      <c r="E13" t="str">
        <f>IF(AND(Programme_Grunddaten!$A21="Geprüft",Programme_Grunddaten!G21&lt;&gt;""),Programme_Grunddaten!G21,"")</f>
        <v>Zeiterfassung: digital und zuverlässig</v>
      </c>
      <c r="F13" t="str">
        <f>IF(AND(Programme_Grunddaten!$A21="Geprüft",Programme_Grunddaten!F21&lt;&gt;""),Programme_Grunddaten!F21,"")</f>
        <v>alle Branchen</v>
      </c>
      <c r="G13" s="3" t="str">
        <f>IF(AND(Programme_Grunddaten!$A21="Geprüft",Programme_Grunddaten!S21&lt;&gt;""),Programme_Grunddaten!S21,"")</f>
        <v>App, PC</v>
      </c>
      <c r="H13" t="str">
        <f>IF(AND(Programme_Grunddaten!$A21="Geprüft",Programme_Grunddaten!AW21&lt;&gt;""),Programme_Grunddaten!AW21,"")</f>
        <v>GPS Erfassung möglich, Terminalmodus: standard PC / Tablet wird zu vollwertigem Zeiterfassungsterminal, umfangreiches Supportangebot</v>
      </c>
      <c r="I13" t="str">
        <f>IF(AND(Programme_Grunddaten!$A21="Geprüft",Programme_Grunddaten!AX21&lt;&gt;""),Programme_Grunddaten!AX21,"")</f>
        <v>Basismodell: ab 1,5 € / Monat / Nutzer, bei jährlicher Abrechnung</v>
      </c>
    </row>
    <row r="14" spans="1:11" x14ac:dyDescent="0.3">
      <c r="A14" s="1" t="str">
        <f>IF(AND(Programme_Grunddaten!$A22="Geprüft",Programme_Grunddaten!B22&lt;&gt;""),Programme_Grunddaten!B22,"")</f>
        <v>P13</v>
      </c>
      <c r="B14" s="1" t="str">
        <f>IF(AND(Programme_Grunddaten!$A22="Geprüft",Programme_Grunddaten!C22&lt;&gt;""),Programme_Grunddaten!C22,"")</f>
        <v>edtime</v>
      </c>
      <c r="C14" s="1" t="str">
        <f>IF(AND(Programme_Grunddaten!$A22="Geprüft",Programme_Grunddaten!D22&lt;&gt;""),Programme_Grunddaten!D22,"")</f>
        <v>eurodata AG</v>
      </c>
      <c r="D14" s="2" t="str">
        <f>IF(AND(Programme_Grunddaten!$A22="Geprüft",Programme_Grunddaten!E22&lt;&gt;""),Programme_Grunddaten!E22,"")</f>
        <v>www.ed-portal.de, https://www.edtime.de/</v>
      </c>
      <c r="E14" t="str">
        <f>IF(AND(Programme_Grunddaten!$A22="Geprüft",Programme_Grunddaten!G22&lt;&gt;""),Programme_Grunddaten!G22,"")</f>
        <v>Personaleinsatzplanung und Zeiterfassung</v>
      </c>
      <c r="F14" t="str">
        <f>IF(AND(Programme_Grunddaten!$A22="Geprüft",Programme_Grunddaten!F22&lt;&gt;""),Programme_Grunddaten!F22,"")</f>
        <v>alle Branchen</v>
      </c>
      <c r="G14" s="3" t="str">
        <f>IF(AND(Programme_Grunddaten!$A22="Geprüft",Programme_Grunddaten!S22&lt;&gt;""),Programme_Grunddaten!S22,"")</f>
        <v>App, PC</v>
      </c>
      <c r="H14" t="str">
        <f>IF(AND(Programme_Grunddaten!$A22="Geprüft",Programme_Grunddaten!AW22&lt;&gt;""),Programme_Grunddaten!AW22,"")</f>
        <v>GPS Standort kann bei Stempelung mit erfasst werden</v>
      </c>
      <c r="I14" t="str">
        <f>IF(AND(Programme_Grunddaten!$A22="Geprüft",Programme_Grunddaten!AX22&lt;&gt;""),Programme_Grunddaten!AX22,"")</f>
        <v>2,25 € / Monat / Mitarbeiter, Preis für jeden weiteren Mitarbeiter bei Kauf des Basispakets für 22,50 € / Monat inklusive 10 Mitarbeiter, Preis exklusive MwSt.</v>
      </c>
    </row>
    <row r="15" spans="1:11" x14ac:dyDescent="0.3">
      <c r="A15" s="1" t="str">
        <f>IF(AND(Programme_Grunddaten!$A23="Geprüft",Programme_Grunddaten!B23&lt;&gt;""),Programme_Grunddaten!B23,"")</f>
        <v>P14</v>
      </c>
      <c r="B15" s="1" t="str">
        <f>IF(AND(Programme_Grunddaten!$A23="Geprüft",Programme_Grunddaten!C23&lt;&gt;""),Programme_Grunddaten!C23,"")</f>
        <v>HeavenHR 2.0</v>
      </c>
      <c r="C15" s="1" t="str">
        <f>IF(AND(Programme_Grunddaten!$A23="Geprüft",Programme_Grunddaten!D23&lt;&gt;""),Programme_Grunddaten!D23,"")</f>
        <v>HeavenHR GmbH</v>
      </c>
      <c r="D15" s="2" t="str">
        <f>IF(AND(Programme_Grunddaten!$A23="Geprüft",Programme_Grunddaten!E23&lt;&gt;""),Programme_Grunddaten!E23,"")</f>
        <v>www.heavenhr.com </v>
      </c>
      <c r="E15" t="str">
        <f>IF(AND(Programme_Grunddaten!$A23="Geprüft",Programme_Grunddaten!G23&lt;&gt;""),Programme_Grunddaten!G23,"")</f>
        <v>Personalverwaltung und Echtzeit-Lohnabrechnung</v>
      </c>
      <c r="F15" t="str">
        <f>IF(AND(Programme_Grunddaten!$A23="Geprüft",Programme_Grunddaten!F23&lt;&gt;""),Programme_Grunddaten!F23,"")</f>
        <v>kleine und mittlere Unternehmen</v>
      </c>
      <c r="G15" s="3" t="str">
        <f>IF(AND(Programme_Grunddaten!$A23="Geprüft",Programme_Grunddaten!S23&lt;&gt;""),Programme_Grunddaten!S23,"")</f>
        <v>App, PC, Terminal</v>
      </c>
      <c r="H15" t="str">
        <f>IF(AND(Programme_Grunddaten!$A23="Geprüft",Programme_Grunddaten!AW23&lt;&gt;""),Programme_Grunddaten!AW23,"")</f>
        <v>Fokus liegt auf Lohnabrechnung</v>
      </c>
      <c r="I15" t="str">
        <f>IF(AND(Programme_Grunddaten!$A23="Geprüft",Programme_Grunddaten!AX23&lt;&gt;""),Programme_Grunddaten!AX23,"")</f>
        <v>Modell mit Arbeitszeiterfassung: 5,5 € / Monat / Nutzer, Mindestpreis von 99 €</v>
      </c>
    </row>
    <row r="16" spans="1:11" x14ac:dyDescent="0.3">
      <c r="A16" s="1" t="str">
        <f>IF(AND(Programme_Grunddaten!$A24="Geprüft",Programme_Grunddaten!B24&lt;&gt;""),Programme_Grunddaten!B24,"")</f>
        <v>P15</v>
      </c>
      <c r="B16" s="1" t="str">
        <f>IF(AND(Programme_Grunddaten!$A24="Geprüft",Programme_Grunddaten!C24&lt;&gt;""),Programme_Grunddaten!C24,"")</f>
        <v>prima:Time</v>
      </c>
      <c r="C16" s="1" t="str">
        <f>IF(AND(Programme_Grunddaten!$A24="Geprüft",Programme_Grunddaten!D24&lt;&gt;""),Programme_Grunddaten!D24,"")</f>
        <v>primatime.com s.r.o.</v>
      </c>
      <c r="D16" s="2" t="str">
        <f>IF(AND(Programme_Grunddaten!$A24="Geprüft",Programme_Grunddaten!E24&lt;&gt;""),Programme_Grunddaten!E24,"")</f>
        <v>www.primaerp.com</v>
      </c>
      <c r="E16" t="str">
        <f>IF(AND(Programme_Grunddaten!$A24="Geprüft",Programme_Grunddaten!G24&lt;&gt;""),Programme_Grunddaten!G24,"")</f>
        <v>Projektmanagementsystem</v>
      </c>
      <c r="F16" t="str">
        <f>IF(AND(Programme_Grunddaten!$A24="Geprüft",Programme_Grunddaten!F24&lt;&gt;""),Programme_Grunddaten!F24,"")</f>
        <v>Unternehmen oder Projektgruppen</v>
      </c>
      <c r="G16" s="3" t="str">
        <f>IF(AND(Programme_Grunddaten!$A24="Geprüft",Programme_Grunddaten!S24&lt;&gt;""),Programme_Grunddaten!S24,"")</f>
        <v>App, PC</v>
      </c>
      <c r="H16" t="str">
        <f>IF(AND(Programme_Grunddaten!$A24="Geprüft",Programme_Grunddaten!AW24&lt;&gt;""),Programme_Grunddaten!AW24,"")</f>
        <v>Fokus auf Projektmanagement, besonders geeignet bei immer gleichen Stundenzahlen oder sich wiederholenden Aufgaben</v>
      </c>
      <c r="I16" t="str">
        <f>IF(AND(Programme_Grunddaten!$A24="Geprüft",Programme_Grunddaten!AX24&lt;&gt;""),Programme_Grunddaten!AX24,"")</f>
        <v>Basismodell: 1,99 € / Monat / Nutzer, Preis ohne MwSt.</v>
      </c>
    </row>
    <row r="17" spans="1:9" x14ac:dyDescent="0.3">
      <c r="A17" s="1" t="str">
        <f>IF(AND(Programme_Grunddaten!$A25="Geprüft",Programme_Grunddaten!B25&lt;&gt;""),Programme_Grunddaten!B25,"")</f>
        <v>P16</v>
      </c>
      <c r="B17" s="1" t="str">
        <f>IF(AND(Programme_Grunddaten!$A25="Geprüft",Programme_Grunddaten!C25&lt;&gt;""),Programme_Grunddaten!C25,"")</f>
        <v>TimeTell</v>
      </c>
      <c r="C17" s="1" t="str">
        <f>IF(AND(Programme_Grunddaten!$A25="Geprüft",Programme_Grunddaten!D25&lt;&gt;""),Programme_Grunddaten!D25,"")</f>
        <v>TimeTell B.V.</v>
      </c>
      <c r="D17" s="2" t="str">
        <f>IF(AND(Programme_Grunddaten!$A25="Geprüft",Programme_Grunddaten!E25&lt;&gt;""),Programme_Grunddaten!E25,"")</f>
        <v>www.timetell.de </v>
      </c>
      <c r="E17" t="str">
        <f>IF(AND(Programme_Grunddaten!$A25="Geprüft",Programme_Grunddaten!G25&lt;&gt;""),Programme_Grunddaten!G25,"")</f>
        <v>Software für Zeiterfassung und Planung</v>
      </c>
      <c r="F17" t="str">
        <f>IF(AND(Programme_Grunddaten!$A25="Geprüft",Programme_Grunddaten!F25&lt;&gt;""),Programme_Grunddaten!F25,"")</f>
        <v>alle Branchen</v>
      </c>
      <c r="G17" s="3" t="str">
        <f>IF(AND(Programme_Grunddaten!$A25="Geprüft",Programme_Grunddaten!S25&lt;&gt;""),Programme_Grunddaten!S25,"")</f>
        <v>App, PC, Terminal</v>
      </c>
      <c r="H17" t="str">
        <f>IF(AND(Programme_Grunddaten!$A25="Geprüft",Programme_Grunddaten!AW25&lt;&gt;""),Programme_Grunddaten!AW25,"")</f>
        <v>Geofencing beim An- und Abmelden (Mitarbeiter können sich nur in vorher definierten Bereich für Arbeit an- und abmelden)</v>
      </c>
      <c r="I17" t="str">
        <f>IF(AND(Programme_Grunddaten!$A25="Geprüft",Programme_Grunddaten!AX25&lt;&gt;""),Programme_Grunddaten!AX25,"")</f>
        <v>Basismodell: einmalig 75 € + 3 € / Monat / Nutzer, ab 10 Nutzern</v>
      </c>
    </row>
    <row r="18" spans="1:9" x14ac:dyDescent="0.3">
      <c r="A18" s="1" t="str">
        <f>IF(AND(Programme_Grunddaten!$A26="Geprüft",Programme_Grunddaten!B26&lt;&gt;""),Programme_Grunddaten!B26,"")</f>
        <v>P17</v>
      </c>
      <c r="B18" s="1" t="str">
        <f>IF(AND(Programme_Grunddaten!$A26="Geprüft",Programme_Grunddaten!C26&lt;&gt;""),Programme_Grunddaten!C26,"")</f>
        <v>REINER SCT timeCard</v>
      </c>
      <c r="C18" s="1" t="str">
        <f>IF(AND(Programme_Grunddaten!$A26="Geprüft",Programme_Grunddaten!D26&lt;&gt;""),Programme_Grunddaten!D26,"")</f>
        <v>REINER Kartengeräte GmbH und Co. KG</v>
      </c>
      <c r="D18" s="2" t="str">
        <f>IF(AND(Programme_Grunddaten!$A26="Geprüft",Programme_Grunddaten!E26&lt;&gt;""),Programme_Grunddaten!E26,"")</f>
        <v>www.timecard.de (reiner-sct), https://www.reiner-sct.com/timecard/</v>
      </c>
      <c r="E18" t="str">
        <f>IF(AND(Programme_Grunddaten!$A26="Geprüft",Programme_Grunddaten!G26&lt;&gt;""),Programme_Grunddaten!G26,"")</f>
        <v>Zeiterfassung</v>
      </c>
      <c r="F18" t="str">
        <f>IF(AND(Programme_Grunddaten!$A26="Geprüft",Programme_Grunddaten!F26&lt;&gt;""),Programme_Grunddaten!F26,"")</f>
        <v>alle Branchen</v>
      </c>
      <c r="G18" s="3" t="str">
        <f>IF(AND(Programme_Grunddaten!$A26="Geprüft",Programme_Grunddaten!S26&lt;&gt;""),Programme_Grunddaten!S26,"")</f>
        <v>App, PC, Terminal</v>
      </c>
      <c r="H18" t="str">
        <f>IF(AND(Programme_Grunddaten!$A26="Geprüft",Programme_Grunddaten!AW26&lt;&gt;""),Programme_Grunddaten!AW26,"")</f>
        <v/>
      </c>
      <c r="I18" t="str">
        <f>IF(AND(Programme_Grunddaten!$A26="Geprüft",Programme_Grunddaten!AX26&lt;&gt;""),Programme_Grunddaten!AX26,"")</f>
        <v>keine Angabe</v>
      </c>
    </row>
    <row r="19" spans="1:9" x14ac:dyDescent="0.3">
      <c r="A19" s="1" t="str">
        <f>IF(AND(Programme_Grunddaten!$A27="Geprüft",Programme_Grunddaten!B27&lt;&gt;""),Programme_Grunddaten!B27,"")</f>
        <v>P18</v>
      </c>
      <c r="B19" s="1" t="str">
        <f>IF(AND(Programme_Grunddaten!$A27="Geprüft",Programme_Grunddaten!C27&lt;&gt;""),Programme_Grunddaten!C27,"")</f>
        <v>TIME&amp;BILL</v>
      </c>
      <c r="C19" s="1" t="str">
        <f>IF(AND(Programme_Grunddaten!$A27="Geprüft",Programme_Grunddaten!D27&lt;&gt;""),Programme_Grunddaten!D27,"")</f>
        <v>Grobmeier Solutions GmbH</v>
      </c>
      <c r="D19" s="2" t="str">
        <f>IF(AND(Programme_Grunddaten!$A27="Geprüft",Programme_Grunddaten!E27&lt;&gt;""),Programme_Grunddaten!E27,"")</f>
        <v>www.timeandbill.de </v>
      </c>
      <c r="E19" t="str">
        <f>IF(AND(Programme_Grunddaten!$A27="Geprüft",Programme_Grunddaten!G27&lt;&gt;""),Programme_Grunddaten!G27,"")</f>
        <v>einfache Zeiterfassung</v>
      </c>
      <c r="F19" t="str">
        <f>IF(AND(Programme_Grunddaten!$A27="Geprüft",Programme_Grunddaten!F27&lt;&gt;""),Programme_Grunddaten!F27,"")</f>
        <v>alle Branchen, kleinere Unternehmen und Teams</v>
      </c>
      <c r="G19" s="3" t="str">
        <f>IF(AND(Programme_Grunddaten!$A27="Geprüft",Programme_Grunddaten!S27&lt;&gt;""),Programme_Grunddaten!S27,"")</f>
        <v>App, PC</v>
      </c>
      <c r="H19" t="str">
        <f>IF(AND(Programme_Grunddaten!$A27="Geprüft",Programme_Grunddaten!AW27&lt;&gt;""),Programme_Grunddaten!AW27,"")</f>
        <v xml:space="preserve">bietet eine Open Source Variante </v>
      </c>
      <c r="I19" t="str">
        <f>IF(AND(Programme_Grunddaten!$A27="Geprüft",Programme_Grunddaten!AX27&lt;&gt;""),Programme_Grunddaten!AX27,"")</f>
        <v>5 € / Monat für 1 Benutzer, 15 € / Monat für bis zu 5 Benutzer, 40 € / Monat für bis zu 20 Benutzer</v>
      </c>
    </row>
    <row r="20" spans="1:9" x14ac:dyDescent="0.3">
      <c r="A20" s="1" t="str">
        <f>IF(AND(Programme_Grunddaten!$A28="Geprüft",Programme_Grunddaten!B28&lt;&gt;""),Programme_Grunddaten!B28,"")</f>
        <v>P19</v>
      </c>
      <c r="B20" s="1" t="str">
        <f>IF(AND(Programme_Grunddaten!$A28="Geprüft",Programme_Grunddaten!C28&lt;&gt;""),Programme_Grunddaten!C28,"")</f>
        <v>timetac</v>
      </c>
      <c r="C20" s="1" t="str">
        <f>IF(AND(Programme_Grunddaten!$A28="Geprüft",Programme_Grunddaten!D28&lt;&gt;""),Programme_Grunddaten!D28,"")</f>
        <v>TimeTac GmbH</v>
      </c>
      <c r="D20" s="2" t="str">
        <f>IF(AND(Programme_Grunddaten!$A28="Geprüft",Programme_Grunddaten!E28&lt;&gt;""),Programme_Grunddaten!E28,"")</f>
        <v>www.timetac.com </v>
      </c>
      <c r="E20" t="str">
        <f>IF(AND(Programme_Grunddaten!$A28="Geprüft",Programme_Grunddaten!G28&lt;&gt;""),Programme_Grunddaten!G28,"")</f>
        <v>Zeiterfassung modular nach Unternehmensgröße</v>
      </c>
      <c r="F20" t="str">
        <f>IF(AND(Programme_Grunddaten!$A28="Geprüft",Programme_Grunddaten!F28&lt;&gt;""),Programme_Grunddaten!F28,"")</f>
        <v>alle Branchen</v>
      </c>
      <c r="G20" s="3" t="str">
        <f>IF(AND(Programme_Grunddaten!$A28="Geprüft",Programme_Grunddaten!S28&lt;&gt;""),Programme_Grunddaten!S28,"")</f>
        <v>App, PC, Terminal</v>
      </c>
      <c r="H20" t="str">
        <f>IF(AND(Programme_Grunddaten!$A28="Geprüft",Programme_Grunddaten!AW28&lt;&gt;""),Programme_Grunddaten!AW28,"")</f>
        <v>Standort bei Erfassung kann mit erfasst werden, Verwaltung verschiedener Unternehmensstandorte möglich</v>
      </c>
      <c r="I20" t="str">
        <f>IF(AND(Programme_Grunddaten!$A28="Geprüft",Programme_Grunddaten!AX28&lt;&gt;""),Programme_Grunddaten!AX28,"")</f>
        <v>Basismodell: 6,2 € / Monat / Nutzer + Basisgebühr + Nutzungsgebühr Module</v>
      </c>
    </row>
    <row r="21" spans="1:9" x14ac:dyDescent="0.3">
      <c r="A21" s="1" t="str">
        <f>IF(AND(Programme_Grunddaten!$A29="Geprüft",Programme_Grunddaten!B29&lt;&gt;""),Programme_Grunddaten!B29,"")</f>
        <v>P20</v>
      </c>
      <c r="B21" s="1" t="str">
        <f>IF(AND(Programme_Grunddaten!$A29="Geprüft",Programme_Grunddaten!C29&lt;&gt;""),Programme_Grunddaten!C29,"")</f>
        <v>timr</v>
      </c>
      <c r="C21" s="1" t="str">
        <f>IF(AND(Programme_Grunddaten!$A29="Geprüft",Programme_Grunddaten!D29&lt;&gt;""),Programme_Grunddaten!D29,"")</f>
        <v>troii Software GmbH</v>
      </c>
      <c r="D21" s="2" t="str">
        <f>IF(AND(Programme_Grunddaten!$A29="Geprüft",Programme_Grunddaten!E29&lt;&gt;""),Programme_Grunddaten!E29,"")</f>
        <v>www.timr.com </v>
      </c>
      <c r="E21" t="str">
        <f>IF(AND(Programme_Grunddaten!$A29="Geprüft",Programme_Grunddaten!G29&lt;&gt;""),Programme_Grunddaten!G29,"")</f>
        <v>digitale Zeiterfassung</v>
      </c>
      <c r="F21" t="str">
        <f>IF(AND(Programme_Grunddaten!$A29="Geprüft",Programme_Grunddaten!F29&lt;&gt;""),Programme_Grunddaten!F29,"")</f>
        <v>alle Branchen</v>
      </c>
      <c r="G21" s="3" t="str">
        <f>IF(AND(Programme_Grunddaten!$A29="Geprüft",Programme_Grunddaten!S29&lt;&gt;""),Programme_Grunddaten!S29,"")</f>
        <v>App, PC, Terminal</v>
      </c>
      <c r="H21" t="str">
        <f>IF(AND(Programme_Grunddaten!$A29="Geprüft",Programme_Grunddaten!AW29&lt;&gt;""),Programme_Grunddaten!AW29,"")</f>
        <v>Standort bei Erfassung kann mit erfasst werden, Geofencing, freie Version für nur einen Benutzer</v>
      </c>
      <c r="I21" t="str">
        <f>IF(AND(Programme_Grunddaten!$A29="Geprüft",Programme_Grunddaten!AX29&lt;&gt;""),Programme_Grunddaten!AX29,"")</f>
        <v>1 Nutzer ist gratis</v>
      </c>
    </row>
    <row r="22" spans="1:9" x14ac:dyDescent="0.3">
      <c r="A22" s="1" t="str">
        <f>IF(AND(Programme_Grunddaten!$A30="Geprüft",Programme_Grunddaten!B30&lt;&gt;""),Programme_Grunddaten!B30,"")</f>
        <v>P21</v>
      </c>
      <c r="B22" s="1" t="str">
        <f>IF(AND(Programme_Grunddaten!$A30="Geprüft",Programme_Grunddaten!C30&lt;&gt;""),Programme_Grunddaten!C30,"")</f>
        <v>Simple WebApps</v>
      </c>
      <c r="C22" s="1" t="str">
        <f>IF(AND(Programme_Grunddaten!$A30="Geprüft",Programme_Grunddaten!D30&lt;&gt;""),Programme_Grunddaten!D30,"")</f>
        <v>Harald Hornung</v>
      </c>
      <c r="D22" s="2" t="str">
        <f>IF(AND(Programme_Grunddaten!$A30="Geprüft",Programme_Grunddaten!E30&lt;&gt;""),Programme_Grunddaten!E30,"")</f>
        <v>www.simple-webapps.de </v>
      </c>
      <c r="E22" t="str">
        <f>IF(AND(Programme_Grunddaten!$A30="Geprüft",Programme_Grunddaten!G30&lt;&gt;""),Programme_Grunddaten!G30,"")</f>
        <v>basic Zeiterfassung</v>
      </c>
      <c r="F22" t="str">
        <f>IF(AND(Programme_Grunddaten!$A30="Geprüft",Programme_Grunddaten!F30&lt;&gt;""),Programme_Grunddaten!F30,"")</f>
        <v>kleine und mittelständige Organisationen</v>
      </c>
      <c r="G22" s="3" t="str">
        <f>IF(AND(Programme_Grunddaten!$A30="Geprüft",Programme_Grunddaten!S30&lt;&gt;""),Programme_Grunddaten!S30,"")</f>
        <v>Browser, Terminal</v>
      </c>
      <c r="H22" t="str">
        <f>IF(AND(Programme_Grunddaten!$A30="Geprüft",Programme_Grunddaten!AW30&lt;&gt;""),Programme_Grunddaten!AW30,"")</f>
        <v>Design der Software kann an die des Unternehmens angepasst werden (Corporate Design)</v>
      </c>
      <c r="I22" t="str">
        <f>IF(AND(Programme_Grunddaten!$A30="Geprüft",Programme_Grunddaten!AX30&lt;&gt;""),Programme_Grunddaten!AX30,"")</f>
        <v>keine Angabe</v>
      </c>
    </row>
    <row r="23" spans="1:9" x14ac:dyDescent="0.3">
      <c r="A23" s="1" t="str">
        <f>IF(AND(Programme_Grunddaten!$A31="Geprüft",Programme_Grunddaten!B31&lt;&gt;""),Programme_Grunddaten!B31,"")</f>
        <v>P22</v>
      </c>
      <c r="B23" s="1" t="str">
        <f>IF(AND(Programme_Grunddaten!$A31="Geprüft",Programme_Grunddaten!C31&lt;&gt;""),Programme_Grunddaten!C31,"")</f>
        <v>Personizer</v>
      </c>
      <c r="C23" s="1" t="str">
        <f>IF(AND(Programme_Grunddaten!$A31="Geprüft",Programme_Grunddaten!D31&lt;&gt;""),Programme_Grunddaten!D31,"")</f>
        <v>Personizer GmbH &amp; Co. KG</v>
      </c>
      <c r="D23" s="2" t="str">
        <f>IF(AND(Programme_Grunddaten!$A31="Geprüft",Programme_Grunddaten!E31&lt;&gt;""),Programme_Grunddaten!E31,"")</f>
        <v>https://www.personizer.com/de</v>
      </c>
      <c r="E23" t="str">
        <f>IF(AND(Programme_Grunddaten!$A31="Geprüft",Programme_Grunddaten!G31&lt;&gt;""),Programme_Grunddaten!G31,"")</f>
        <v>einfache Zeiterfassung</v>
      </c>
      <c r="F23" t="str">
        <f>IF(AND(Programme_Grunddaten!$A31="Geprüft",Programme_Grunddaten!F31&lt;&gt;""),Programme_Grunddaten!F31,"")</f>
        <v>Unternehmen und Organisationen</v>
      </c>
      <c r="G23" s="3" t="str">
        <f>IF(AND(Programme_Grunddaten!$A31="Geprüft",Programme_Grunddaten!S31&lt;&gt;""),Programme_Grunddaten!S31,"")</f>
        <v>App, (PWA), Browser</v>
      </c>
      <c r="H23" t="str">
        <f>IF(AND(Programme_Grunddaten!$A31="Geprüft",Programme_Grunddaten!AW31&lt;&gt;""),Programme_Grunddaten!AW31,"")</f>
        <v>Design der Software kann an die des Unternehmens angepasst werden (Corporate Design)</v>
      </c>
      <c r="I23" t="str">
        <f>IF(AND(Programme_Grunddaten!$A31="Geprüft",Programme_Grunddaten!AX31&lt;&gt;""),Programme_Grunddaten!AX31,"")</f>
        <v>Basismodell Zeiterfassung: 3,7 € / Monat / Nutzer</v>
      </c>
    </row>
    <row r="24" spans="1:9" x14ac:dyDescent="0.3">
      <c r="A24" s="1" t="str">
        <f>IF(AND(Programme_Grunddaten!$A32="Geprüft",Programme_Grunddaten!B32&lt;&gt;""),Programme_Grunddaten!B32,"")</f>
        <v>P23</v>
      </c>
      <c r="B24" s="1" t="str">
        <f>IF(AND(Programme_Grunddaten!$A32="Geprüft",Programme_Grunddaten!C32&lt;&gt;""),Programme_Grunddaten!C32,"")</f>
        <v>AGRARMONITOR</v>
      </c>
      <c r="C24" s="1" t="str">
        <f>IF(AND(Programme_Grunddaten!$A32="Geprüft",Programme_Grunddaten!D32&lt;&gt;""),Programme_Grunddaten!D32,"")</f>
        <v>betriko GmbH</v>
      </c>
      <c r="D24" s="2" t="str">
        <f>IF(AND(Programme_Grunddaten!$A32="Geprüft",Programme_Grunddaten!E32&lt;&gt;""),Programme_Grunddaten!E32,"")</f>
        <v>www.betriko.de</v>
      </c>
      <c r="E24" t="str">
        <f>IF(AND(Programme_Grunddaten!$A32="Geprüft",Programme_Grunddaten!G32&lt;&gt;""),Programme_Grunddaten!G32,"")</f>
        <v>Dokumentation der Ackerarbeiten</v>
      </c>
      <c r="F24" t="str">
        <f>IF(AND(Programme_Grunddaten!$A32="Geprüft",Programme_Grunddaten!F32&lt;&gt;""),Programme_Grunddaten!F32,"")</f>
        <v>Agrarmonitor, Lohnunternehmen, Ackerbau</v>
      </c>
      <c r="G24" s="3" t="str">
        <f>IF(AND(Programme_Grunddaten!$A32="Geprüft",Programme_Grunddaten!S32&lt;&gt;""),Programme_Grunddaten!S32,"")</f>
        <v>App, Smartphone, Tablet</v>
      </c>
      <c r="H24" t="str">
        <f>IF(AND(Programme_Grunddaten!$A32="Geprüft",Programme_Grunddaten!AW32&lt;&gt;""),Programme_Grunddaten!AW32,"")</f>
        <v>umfassende Agrarmanagementsoftware</v>
      </c>
      <c r="I24" t="str">
        <f>IF(AND(Programme_Grunddaten!$A32="Geprüft",Programme_Grunddaten!AX32&lt;&gt;""),Programme_Grunddaten!AX32,"")</f>
        <v>2.900 € jährlich oder 29 € / Monat / aktivem Gerät</v>
      </c>
    </row>
    <row r="25" spans="1:9" x14ac:dyDescent="0.3">
      <c r="A25" s="1" t="str">
        <f>IF(AND(Programme_Grunddaten!$A33="Geprüft",Programme_Grunddaten!B33&lt;&gt;""),Programme_Grunddaten!B33,"")</f>
        <v>P24</v>
      </c>
      <c r="B25" s="1" t="str">
        <f>IF(AND(Programme_Grunddaten!$A33="Geprüft",Programme_Grunddaten!C33&lt;&gt;""),Programme_Grunddaten!C33,"")</f>
        <v>askDANTE</v>
      </c>
      <c r="C25" s="1" t="str">
        <f>IF(AND(Programme_Grunddaten!$A33="Geprüft",Programme_Grunddaten!D33&lt;&gt;""),Programme_Grunddaten!D33,"")</f>
        <v>askDANTE systems GmbH</v>
      </c>
      <c r="D25" s="2" t="str">
        <f>IF(AND(Programme_Grunddaten!$A33="Geprüft",Programme_Grunddaten!E33&lt;&gt;""),Programme_Grunddaten!E33,"")</f>
        <v>https://www.askdante.com/</v>
      </c>
      <c r="E25" t="str">
        <f>IF(AND(Programme_Grunddaten!$A33="Geprüft",Programme_Grunddaten!G33&lt;&gt;""),Programme_Grunddaten!G33,"")</f>
        <v>einfache Zeiterfassung</v>
      </c>
      <c r="F25" t="str">
        <f>IF(AND(Programme_Grunddaten!$A33="Geprüft",Programme_Grunddaten!F33&lt;&gt;""),Programme_Grunddaten!F33,"")</f>
        <v>kleine und mittlere Unternehmen</v>
      </c>
      <c r="G25" s="3" t="str">
        <f>IF(AND(Programme_Grunddaten!$A33="Geprüft",Programme_Grunddaten!S33&lt;&gt;""),Programme_Grunddaten!S33,"")</f>
        <v>App, PC, Terminal</v>
      </c>
      <c r="H25" t="str">
        <f>IF(AND(Programme_Grunddaten!$A33="Geprüft",Programme_Grunddaten!AW33&lt;&gt;""),Programme_Grunddaten!AW33,"")</f>
        <v>große Auswahl an Alarmregeln: von Arbeitszeitüberschreitung bis Dienstjubiläum</v>
      </c>
      <c r="I25" t="str">
        <f>IF(AND(Programme_Grunddaten!$A33="Geprüft",Programme_Grunddaten!AX33&lt;&gt;""),Programme_Grunddaten!AX33,"")</f>
        <v>bis zu 5 Nutzer kostenfrei, dann 4,5 € / Monat / Nutzer</v>
      </c>
    </row>
    <row r="26" spans="1:9" x14ac:dyDescent="0.3">
      <c r="A26" s="1" t="str">
        <f>IF(AND(Programme_Grunddaten!$A34="Geprüft",Programme_Grunddaten!B34&lt;&gt;""),Programme_Grunddaten!B34,"")</f>
        <v>P25</v>
      </c>
      <c r="B26" s="1" t="str">
        <f>IF(AND(Programme_Grunddaten!$A34="Geprüft",Programme_Grunddaten!C34&lt;&gt;""),Programme_Grunddaten!C34,"")</f>
        <v>agroprojekt</v>
      </c>
      <c r="C26" s="1" t="str">
        <f>IF(AND(Programme_Grunddaten!$A34="Geprüft",Programme_Grunddaten!D34&lt;&gt;""),Programme_Grunddaten!D34,"")</f>
        <v>agroproject Technologie- und Informationssysteme GmbH &amp; Co.KG</v>
      </c>
      <c r="D26" s="2" t="str">
        <f>IF(AND(Programme_Grunddaten!$A34="Geprüft",Programme_Grunddaten!E34&lt;&gt;""),Programme_Grunddaten!E34,"")</f>
        <v>www.agroproject.de</v>
      </c>
      <c r="E26" t="str">
        <f>IF(AND(Programme_Grunddaten!$A34="Geprüft",Programme_Grunddaten!G34&lt;&gt;""),Programme_Grunddaten!G34,"")</f>
        <v>FMS mit integrierter Zeiterfassung insbesondere für Saisonarbeitskräfte</v>
      </c>
      <c r="F26" t="str">
        <f>IF(AND(Programme_Grunddaten!$A34="Geprüft",Programme_Grunddaten!F34&lt;&gt;""),Programme_Grunddaten!F34,"")</f>
        <v>Landwirte, Betriebe mit Saisonarbeitskräften</v>
      </c>
      <c r="G26" s="3" t="str">
        <f>IF(AND(Programme_Grunddaten!$A34="Geprüft",Programme_Grunddaten!S34&lt;&gt;""),Programme_Grunddaten!S34,"")</f>
        <v>Mobilgeräte, Terminal</v>
      </c>
      <c r="H26" t="str">
        <f>IF(AND(Programme_Grunddaten!$A34="Geprüft",Programme_Grunddaten!AW34&lt;&gt;""),Programme_Grunddaten!AW34,"")</f>
        <v>Standort bei Erfassung kann mit erfasst werden, Erntehelferverwaltung, Ackerschlagkartei mit Spracheingabe</v>
      </c>
      <c r="I26" t="str">
        <f>IF(AND(Programme_Grunddaten!$A34="Geprüft",Programme_Grunddaten!AX34&lt;&gt;""),Programme_Grunddaten!AX34,"")</f>
        <v/>
      </c>
    </row>
    <row r="27" spans="1:9" x14ac:dyDescent="0.3">
      <c r="A27" s="1" t="str">
        <f>IF(AND(Programme_Grunddaten!$A35="Geprüft",Programme_Grunddaten!B35&lt;&gt;""),Programme_Grunddaten!B35,"")</f>
        <v>P26</v>
      </c>
      <c r="B27" s="1" t="str">
        <f>IF(AND(Programme_Grunddaten!$A35="Geprüft",Programme_Grunddaten!C35&lt;&gt;""),Programme_Grunddaten!C35,"")</f>
        <v>WorkingHours</v>
      </c>
      <c r="C27" s="1" t="str">
        <f>IF(AND(Programme_Grunddaten!$A35="Geprüft",Programme_Grunddaten!D35&lt;&gt;""),Programme_Grunddaten!D35,"")</f>
        <v>Timo Partl</v>
      </c>
      <c r="D27" s="2" t="str">
        <f>IF(AND(Programme_Grunddaten!$A35="Geprüft",Programme_Grunddaten!E35&lt;&gt;""),Programme_Grunddaten!E35,"")</f>
        <v>https://workinghoursapp.com/de</v>
      </c>
      <c r="E27" t="str">
        <f>IF(AND(Programme_Grunddaten!$A35="Geprüft",Programme_Grunddaten!G35&lt;&gt;""),Programme_Grunddaten!G35,"")</f>
        <v>einfache Zeiterfassungsapp</v>
      </c>
      <c r="F27" t="str">
        <f>IF(AND(Programme_Grunddaten!$A35="Geprüft",Programme_Grunddaten!F35&lt;&gt;""),Programme_Grunddaten!F35,"")</f>
        <v>alle Branchen</v>
      </c>
      <c r="G27" s="3" t="str">
        <f>IF(AND(Programme_Grunddaten!$A35="Geprüft",Programme_Grunddaten!S35&lt;&gt;""),Programme_Grunddaten!S35,"")</f>
        <v>App</v>
      </c>
      <c r="H27" t="str">
        <f>IF(AND(Programme_Grunddaten!$A35="Geprüft",Programme_Grunddaten!AW35&lt;&gt;""),Programme_Grunddaten!AW35,"")</f>
        <v>Daten werden im persönlichen Cloudspeicher gespeichert, GPS-Arbeitsplatzerkennung: Timer startet, wenn man zur Arbeit kommt, Geofencing</v>
      </c>
      <c r="I27" t="str">
        <f>IF(AND(Programme_Grunddaten!$A35="Geprüft",Programme_Grunddaten!AX35&lt;&gt;""),Programme_Grunddaten!AX35,"")</f>
        <v>keine Angabe</v>
      </c>
    </row>
    <row r="28" spans="1:9" x14ac:dyDescent="0.3">
      <c r="A28" s="1" t="str">
        <f>IF(AND(Programme_Grunddaten!$A36="Geprüft",Programme_Grunddaten!B36&lt;&gt;""),Programme_Grunddaten!B36,"")</f>
        <v>P27</v>
      </c>
      <c r="B28" s="1" t="str">
        <f>IF(AND(Programme_Grunddaten!$A36="Geprüft",Programme_Grunddaten!C36&lt;&gt;""),Programme_Grunddaten!C36,"")</f>
        <v>Kelio</v>
      </c>
      <c r="C28" s="1" t="str">
        <f>IF(AND(Programme_Grunddaten!$A36="Geprüft",Programme_Grunddaten!D36&lt;&gt;""),Programme_Grunddaten!D36,"")</f>
        <v>KELIO GmbH</v>
      </c>
      <c r="D28" s="2" t="str">
        <f>IF(AND(Programme_Grunddaten!$A36="Geprüft",Programme_Grunddaten!E36&lt;&gt;""),Programme_Grunddaten!E36,"")</f>
        <v>https://www.kelio.de/</v>
      </c>
      <c r="E28" t="str">
        <f>IF(AND(Programme_Grunddaten!$A36="Geprüft",Programme_Grunddaten!G36&lt;&gt;""),Programme_Grunddaten!G36,"")</f>
        <v>Workforce management software</v>
      </c>
      <c r="F28" t="str">
        <f>IF(AND(Programme_Grunddaten!$A36="Geprüft",Programme_Grunddaten!F36&lt;&gt;""),Programme_Grunddaten!F36,"")</f>
        <v>alle Branchen</v>
      </c>
      <c r="G28" s="3" t="str">
        <f>IF(AND(Programme_Grunddaten!$A36="Geprüft",Programme_Grunddaten!S36&lt;&gt;""),Programme_Grunddaten!S36,"")</f>
        <v>webbasiert, Browser, Terminal</v>
      </c>
      <c r="H28" t="str">
        <f>IF(AND(Programme_Grunddaten!$A36="Geprüft",Programme_Grunddaten!AW36&lt;&gt;""),Programme_Grunddaten!AW36,"")</f>
        <v>Verwaltung mehrerer Unternehmen und Standorte</v>
      </c>
      <c r="I28" t="str">
        <f>IF(AND(Programme_Grunddaten!$A36="Geprüft",Programme_Grunddaten!AX36&lt;&gt;""),Programme_Grunddaten!AX36,"")</f>
        <v>keine Angabe</v>
      </c>
    </row>
    <row r="29" spans="1:9" x14ac:dyDescent="0.3">
      <c r="A29" s="1" t="str">
        <f>IF(AND(Programme_Grunddaten!$A37="Geprüft",Programme_Grunddaten!B37&lt;&gt;""),Programme_Grunddaten!B37,"")</f>
        <v>P28</v>
      </c>
      <c r="B29" s="1" t="str">
        <f>IF(AND(Programme_Grunddaten!$A37="Geprüft",Programme_Grunddaten!C37&lt;&gt;""),Programme_Grunddaten!C37,"")</f>
        <v>Personio</v>
      </c>
      <c r="C29" s="1" t="str">
        <f>IF(AND(Programme_Grunddaten!$A37="Geprüft",Programme_Grunddaten!D37&lt;&gt;""),Programme_Grunddaten!D37,"")</f>
        <v>Personio SE &amp; Co. KG</v>
      </c>
      <c r="D29" s="2" t="str">
        <f>IF(AND(Programme_Grunddaten!$A37="Geprüft",Programme_Grunddaten!E37&lt;&gt;""),Programme_Grunddaten!E37,"")</f>
        <v>https://www.personio.de/</v>
      </c>
      <c r="E29" t="str">
        <f>IF(AND(Programme_Grunddaten!$A37="Geprüft",Programme_Grunddaten!G37&lt;&gt;""),Programme_Grunddaten!G37,"")</f>
        <v>HR und Lohnbuchhaltung</v>
      </c>
      <c r="F29" t="str">
        <f>IF(AND(Programme_Grunddaten!$A37="Geprüft",Programme_Grunddaten!F37&lt;&gt;""),Programme_Grunddaten!F37,"")</f>
        <v>alle Branchen</v>
      </c>
      <c r="G29" s="3" t="str">
        <f>IF(AND(Programme_Grunddaten!$A37="Geprüft",Programme_Grunddaten!S37&lt;&gt;""),Programme_Grunddaten!S37,"")</f>
        <v>App, Terminal</v>
      </c>
      <c r="H29" t="str">
        <f>IF(AND(Programme_Grunddaten!$A37="Geprüft",Programme_Grunddaten!AW37&lt;&gt;""),Programme_Grunddaten!AW37,"")</f>
        <v>umfassende HR-Management Software, mit KI Assistent</v>
      </c>
      <c r="I29" t="str">
        <f>IF(AND(Programme_Grunddaten!$A37="Geprüft",Programme_Grunddaten!AX37&lt;&gt;""),Programme_Grunddaten!AX37,"")</f>
        <v>keine Angabe</v>
      </c>
    </row>
    <row r="30" spans="1:9" x14ac:dyDescent="0.3">
      <c r="A30" s="1" t="str">
        <f>IF(AND(Programme_Grunddaten!$A38="Geprüft",Programme_Grunddaten!B38&lt;&gt;""),Programme_Grunddaten!B38,"")</f>
        <v>P29</v>
      </c>
      <c r="B30" s="1" t="str">
        <f>IF(AND(Programme_Grunddaten!$A38="Geprüft",Programme_Grunddaten!C38&lt;&gt;""),Programme_Grunddaten!C38,"")</f>
        <v>AIDA ORGA</v>
      </c>
      <c r="C30" s="1" t="str">
        <f>IF(AND(Programme_Grunddaten!$A38="Geprüft",Programme_Grunddaten!D38&lt;&gt;""),Programme_Grunddaten!D38,"")</f>
        <v>AIDA ORGA</v>
      </c>
      <c r="D30" s="2" t="str">
        <f>IF(AND(Programme_Grunddaten!$A38="Geprüft",Programme_Grunddaten!E38&lt;&gt;""),Programme_Grunddaten!E38,"")</f>
        <v>https://aida-orga.de/de/</v>
      </c>
      <c r="E30" t="str">
        <f>IF(AND(Programme_Grunddaten!$A38="Geprüft",Programme_Grunddaten!G38&lt;&gt;""),Programme_Grunddaten!G38,"")</f>
        <v>HR- und Workforce Management</v>
      </c>
      <c r="F30" t="str">
        <f>IF(AND(Programme_Grunddaten!$A38="Geprüft",Programme_Grunddaten!F38&lt;&gt;""),Programme_Grunddaten!F38,"")</f>
        <v>alle Branchen</v>
      </c>
      <c r="G30" s="3" t="str">
        <f>IF(AND(Programme_Grunddaten!$A38="Geprüft",Programme_Grunddaten!S38&lt;&gt;""),Programme_Grunddaten!S38,"")</f>
        <v>App, Browser, Terminal, Terminalmodus</v>
      </c>
      <c r="H30" t="str">
        <f>IF(AND(Programme_Grunddaten!$A38="Geprüft",Programme_Grunddaten!AW38&lt;&gt;""),Programme_Grunddaten!AW38,"")</f>
        <v/>
      </c>
      <c r="I30" t="str">
        <f>IF(AND(Programme_Grunddaten!$A38="Geprüft",Programme_Grunddaten!AX38&lt;&gt;""),Programme_Grunddaten!AX38,"")</f>
        <v>keine Angabe</v>
      </c>
    </row>
    <row r="31" spans="1:9" x14ac:dyDescent="0.3">
      <c r="A31" s="1" t="str">
        <f>IF(AND(Programme_Grunddaten!$A39="Geprüft",Programme_Grunddaten!B39&lt;&gt;""),Programme_Grunddaten!B39,"")</f>
        <v>P30</v>
      </c>
      <c r="B31" s="1" t="str">
        <f>IF(AND(Programme_Grunddaten!$A39="Geprüft",Programme_Grunddaten!C39&lt;&gt;""),Programme_Grunddaten!C39,"")</f>
        <v>Time 3010, Access 3010, PEP 3010, Peris 3010</v>
      </c>
      <c r="C31" s="1" t="str">
        <f>IF(AND(Programme_Grunddaten!$A39="Geprüft",Programme_Grunddaten!D39&lt;&gt;""),Programme_Grunddaten!D39,"")</f>
        <v>AZS System AG</v>
      </c>
      <c r="D31" s="2" t="str">
        <f>IF(AND(Programme_Grunddaten!$A39="Geprüft",Programme_Grunddaten!E39&lt;&gt;""),Programme_Grunddaten!E39,"")</f>
        <v>https://azs.de/</v>
      </c>
      <c r="E31" t="str">
        <f>IF(AND(Programme_Grunddaten!$A39="Geprüft",Programme_Grunddaten!G39&lt;&gt;""),Programme_Grunddaten!G39,"")</f>
        <v>Lösungen für Zeiterfassung, Zutrittskontrolle und Personaleinsatzplanung</v>
      </c>
      <c r="F31" t="str">
        <f>IF(AND(Programme_Grunddaten!$A39="Geprüft",Programme_Grunddaten!F39&lt;&gt;""),Programme_Grunddaten!F39,"")</f>
        <v>alle Branchen</v>
      </c>
      <c r="G31" s="3" t="str">
        <f>IF(AND(Programme_Grunddaten!$A39="Geprüft",Programme_Grunddaten!S39&lt;&gt;""),Programme_Grunddaten!S39,"")</f>
        <v>App, Browser, Terminal</v>
      </c>
      <c r="H31" t="str">
        <f>IF(AND(Programme_Grunddaten!$A39="Geprüft",Programme_Grunddaten!AW39&lt;&gt;""),Programme_Grunddaten!AW39,"")</f>
        <v/>
      </c>
      <c r="I31" t="str">
        <f>IF(AND(Programme_Grunddaten!$A39="Geprüft",Programme_Grunddaten!AX39&lt;&gt;""),Programme_Grunddaten!AX39,"")</f>
        <v>keine Angabe</v>
      </c>
    </row>
    <row r="32" spans="1:9" x14ac:dyDescent="0.3">
      <c r="A32" s="1" t="str">
        <f>IF(AND(Programme_Grunddaten!$A40="Geprüft",Programme_Grunddaten!B40&lt;&gt;""),Programme_Grunddaten!B40,"")</f>
        <v>P31</v>
      </c>
      <c r="B32" s="1" t="str">
        <f>IF(AND(Programme_Grunddaten!$A40="Geprüft",Programme_Grunddaten!C40&lt;&gt;""),Programme_Grunddaten!C40,"")</f>
        <v>poool</v>
      </c>
      <c r="C32" s="1" t="str">
        <f>IF(AND(Programme_Grunddaten!$A40="Geprüft",Programme_Grunddaten!D40&lt;&gt;""),Programme_Grunddaten!D40,"")</f>
        <v>Poool Software &amp; Consulting GmbH</v>
      </c>
      <c r="D32" s="2" t="str">
        <f>IF(AND(Programme_Grunddaten!$A40="Geprüft",Programme_Grunddaten!E40&lt;&gt;""),Programme_Grunddaten!E40,"")</f>
        <v>https://www.poool.cc/</v>
      </c>
      <c r="E32" t="str">
        <f>IF(AND(Programme_Grunddaten!$A40="Geprüft",Programme_Grunddaten!G40&lt;&gt;""),Programme_Grunddaten!G40,"")</f>
        <v>ERP-Software</v>
      </c>
      <c r="F32" t="str">
        <f>IF(AND(Programme_Grunddaten!$A40="Geprüft",Programme_Grunddaten!F40&lt;&gt;""),Programme_Grunddaten!F40,"")</f>
        <v>alle Branchen, Schwerpunkt Dienstleistungsunternehmen</v>
      </c>
      <c r="G32" s="3" t="str">
        <f>IF(AND(Programme_Grunddaten!$A40="Geprüft",Programme_Grunddaten!S40&lt;&gt;""),Programme_Grunddaten!S40,"")</f>
        <v>App, PC</v>
      </c>
      <c r="H32" t="str">
        <f>IF(AND(Programme_Grunddaten!$A40="Geprüft",Programme_Grunddaten!AW40&lt;&gt;""),Programme_Grunddaten!AW40,"")</f>
        <v>ERP-Software mit Fokus auf Dienstleistungsunternehmen</v>
      </c>
      <c r="I32" t="str">
        <f>IF(AND(Programme_Grunddaten!$A40="Geprüft",Programme_Grunddaten!AX40&lt;&gt;""),Programme_Grunddaten!AX40,"")</f>
        <v>Basislizenz: 99 € / Monat</v>
      </c>
    </row>
    <row r="33" spans="1:9" x14ac:dyDescent="0.3">
      <c r="A33" s="1" t="str">
        <f>IF(AND(Programme_Grunddaten!$A41="Geprüft",Programme_Grunddaten!B41&lt;&gt;""),Programme_Grunddaten!B41,"")</f>
        <v>P32</v>
      </c>
      <c r="B33" s="1" t="str">
        <f>IF(AND(Programme_Grunddaten!$A41="Geprüft",Programme_Grunddaten!C41&lt;&gt;""),Programme_Grunddaten!C41,"")</f>
        <v>FrachtPilot</v>
      </c>
      <c r="C33" s="1" t="str">
        <f>IF(AND(Programme_Grunddaten!$A41="Geprüft",Programme_Grunddaten!D41&lt;&gt;""),Programme_Grunddaten!D41,"")</f>
        <v>FlexFleet Solutions GmbH</v>
      </c>
      <c r="D33" s="2" t="str">
        <f>IF(AND(Programme_Grunddaten!$A41="Geprüft",Programme_Grunddaten!E41&lt;&gt;""),Programme_Grunddaten!E41,"")</f>
        <v>www.frachtpilot.de</v>
      </c>
      <c r="E33" t="str">
        <f>IF(AND(Programme_Grunddaten!$A41="Geprüft",Programme_Grunddaten!G41&lt;&gt;""),Programme_Grunddaten!G41,"")</f>
        <v/>
      </c>
      <c r="F33" t="str">
        <f>IF(AND(Programme_Grunddaten!$A41="Geprüft",Programme_Grunddaten!F41&lt;&gt;""),Programme_Grunddaten!F41,"")</f>
        <v>Direktvermarktung, Lieferungen</v>
      </c>
      <c r="G33" s="3" t="str">
        <f>IF(AND(Programme_Grunddaten!$A41="Geprüft",Programme_Grunddaten!S41&lt;&gt;""),Programme_Grunddaten!S41,"")</f>
        <v>App</v>
      </c>
      <c r="H33" t="str">
        <f>IF(AND(Programme_Grunddaten!$A41="Geprüft",Programme_Grunddaten!AW41&lt;&gt;""),Programme_Grunddaten!AW41,"")</f>
        <v>umfassende ERP-Software, Verwaltung von Erntehelfer möglich, Kernfunktionen App: Erntemengen- und Arbeitszeiterfassung</v>
      </c>
      <c r="I33" t="str">
        <f>IF(AND(Programme_Grunddaten!$A41="Geprüft",Programme_Grunddaten!AX41&lt;&gt;""),Programme_Grunddaten!AX41,"")</f>
        <v>Basic: 106 € / Monat + zubuchbare Dienstleistungen</v>
      </c>
    </row>
    <row r="34" spans="1:9" x14ac:dyDescent="0.3">
      <c r="A34" s="1" t="str">
        <f>IF(AND(Programme_Grunddaten!$A42="Geprüft",Programme_Grunddaten!B42&lt;&gt;""),Programme_Grunddaten!B42,"")</f>
        <v>P33</v>
      </c>
      <c r="B34" s="1" t="str">
        <f>IF(AND(Programme_Grunddaten!$A42="Geprüft",Programme_Grunddaten!C42&lt;&gt;""),Programme_Grunddaten!C42,"")</f>
        <v>gastromatic</v>
      </c>
      <c r="C34" s="1" t="str">
        <f>IF(AND(Programme_Grunddaten!$A42="Geprüft",Programme_Grunddaten!D42&lt;&gt;""),Programme_Grunddaten!D42,"")</f>
        <v>vertical cloud solution GmbH</v>
      </c>
      <c r="D34" s="2" t="str">
        <f>IF(AND(Programme_Grunddaten!$A42="Geprüft",Programme_Grunddaten!E42&lt;&gt;""),Programme_Grunddaten!E42,"")</f>
        <v>www.gastromatic.de</v>
      </c>
      <c r="E34" t="str">
        <f>IF(AND(Programme_Grunddaten!$A42="Geprüft",Programme_Grunddaten!G42&lt;&gt;""),Programme_Grunddaten!G42,"")</f>
        <v/>
      </c>
      <c r="F34" t="str">
        <f>IF(AND(Programme_Grunddaten!$A42="Geprüft",Programme_Grunddaten!F42&lt;&gt;""),Programme_Grunddaten!F42,"")</f>
        <v>Gastronomie, Einzelhandel, Logistik</v>
      </c>
      <c r="G34" s="3" t="str">
        <f>IF(AND(Programme_Grunddaten!$A42="Geprüft",Programme_Grunddaten!S42&lt;&gt;""),Programme_Grunddaten!S42,"")</f>
        <v>Smartphone, Tablet, PC</v>
      </c>
      <c r="H34" t="str">
        <f>IF(AND(Programme_Grunddaten!$A42="Geprüft",Programme_Grunddaten!AW42&lt;&gt;""),Programme_Grunddaten!AW42,"")</f>
        <v>GPS Erfassung möglich</v>
      </c>
      <c r="I34" t="str">
        <f>IF(AND(Programme_Grunddaten!$A42="Geprüft",Programme_Grunddaten!AX42&lt;&gt;""),Programme_Grunddaten!AX42,"")</f>
        <v>Basismodell: 6,95 € / Monat / Nutzer</v>
      </c>
    </row>
    <row r="35" spans="1:9" x14ac:dyDescent="0.3">
      <c r="A35" s="1" t="str">
        <f>IF(AND(Programme_Grunddaten!$A43="Geprüft",Programme_Grunddaten!B43&lt;&gt;""),Programme_Grunddaten!B43,"")</f>
        <v>P34</v>
      </c>
      <c r="B35" s="1" t="str">
        <f>IF(AND(Programme_Grunddaten!$A43="Geprüft",Programme_Grunddaten!C43&lt;&gt;""),Programme_Grunddaten!C43,"")</f>
        <v>wiberry</v>
      </c>
      <c r="C35" s="1" t="str">
        <f>IF(AND(Programme_Grunddaten!$A43="Geprüft",Programme_Grunddaten!D43&lt;&gt;""),Programme_Grunddaten!D43,"")</f>
        <v>wiberry GmbH</v>
      </c>
      <c r="D35" s="2" t="str">
        <f>IF(AND(Programme_Grunddaten!$A43="Geprüft",Programme_Grunddaten!E43&lt;&gt;""),Programme_Grunddaten!E43,"")</f>
        <v>www.wiberry.de</v>
      </c>
      <c r="E35" t="str">
        <f>IF(AND(Programme_Grunddaten!$A43="Geprüft",Programme_Grunddaten!G43&lt;&gt;""),Programme_Grunddaten!G43,"")</f>
        <v>Prozessoptimierte Lösungen für Landwirte &amp; Gärtner</v>
      </c>
      <c r="F35" t="str">
        <f>IF(AND(Programme_Grunddaten!$A43="Geprüft",Programme_Grunddaten!F43&lt;&gt;""),Programme_Grunddaten!F43,"")</f>
        <v>Witime, Gartenbau</v>
      </c>
      <c r="G35" s="3" t="str">
        <f>IF(AND(Programme_Grunddaten!$A43="Geprüft",Programme_Grunddaten!S43&lt;&gt;""),Programme_Grunddaten!S43,"")</f>
        <v>Smartphone, Tablet, Terminal</v>
      </c>
      <c r="H35" t="str">
        <f>IF(AND(Programme_Grunddaten!$A43="Geprüft",Programme_Grunddaten!AW43&lt;&gt;""),Programme_Grunddaten!AW43,"")</f>
        <v>spezielles Modul zur Erntehelferverwaltung</v>
      </c>
      <c r="I35" t="str">
        <f>IF(AND(Programme_Grunddaten!$A43="Geprüft",Programme_Grunddaten!AX43&lt;&gt;""),Programme_Grunddaten!AX43,"")</f>
        <v/>
      </c>
    </row>
    <row r="36" spans="1:9" x14ac:dyDescent="0.3">
      <c r="A36" s="1" t="str">
        <f>IF(AND(Programme_Grunddaten!$A44="Geprüft",Programme_Grunddaten!B44&lt;&gt;""),Programme_Grunddaten!B44,"")</f>
        <v>P35</v>
      </c>
      <c r="B36" s="1" t="str">
        <f>IF(AND(Programme_Grunddaten!$A44="Geprüft",Programme_Grunddaten!C44&lt;&gt;""),Programme_Grunddaten!C44,"")</f>
        <v>galawork</v>
      </c>
      <c r="C36" s="1" t="str">
        <f>IF(AND(Programme_Grunddaten!$A44="Geprüft",Programme_Grunddaten!D44&lt;&gt;""),Programme_Grunddaten!D44,"")</f>
        <v>galabau workgroup GmbH</v>
      </c>
      <c r="D36" s="2" t="str">
        <f>IF(AND(Programme_Grunddaten!$A44="Geprüft",Programme_Grunddaten!E44&lt;&gt;""),Programme_Grunddaten!E44,"")</f>
        <v>www.galawork.de</v>
      </c>
      <c r="E36" t="str">
        <f>IF(AND(Programme_Grunddaten!$A44="Geprüft",Programme_Grunddaten!G44&lt;&gt;""),Programme_Grunddaten!G44,"")</f>
        <v/>
      </c>
      <c r="F36" t="str">
        <f>IF(AND(Programme_Grunddaten!$A44="Geprüft",Programme_Grunddaten!F44&lt;&gt;""),Programme_Grunddaten!F44,"")</f>
        <v>Garten- und Landschaftsbau</v>
      </c>
      <c r="G36" s="3" t="str">
        <f>IF(AND(Programme_Grunddaten!$A44="Geprüft",Programme_Grunddaten!S44&lt;&gt;""),Programme_Grunddaten!S44,"")</f>
        <v>Smartphone, Tablet, PC</v>
      </c>
      <c r="H36" t="str">
        <f>IF(AND(Programme_Grunddaten!$A44="Geprüft",Programme_Grunddaten!AW44&lt;&gt;""),Programme_Grunddaten!AW44,"")</f>
        <v>bildet kompletten Arbeitsprozess im Garten- und Landschaftsbau digital ab</v>
      </c>
      <c r="I36" t="str">
        <f>IF(AND(Programme_Grunddaten!$A44="Geprüft",Programme_Grunddaten!AX44&lt;&gt;""),Programme_Grunddaten!AX44,"")</f>
        <v>36 Monate Mindestvertragslaufzeit, Preis abhängig vom ausgewählten Modul und Nutzerzahl, einmalige Gebühr für Einrichtung und Schulung</v>
      </c>
    </row>
    <row r="37" spans="1:9" x14ac:dyDescent="0.3">
      <c r="A37" s="1" t="str">
        <f>IF(AND(Programme_Grunddaten!$A45="Geprüft",Programme_Grunddaten!B45&lt;&gt;""),Programme_Grunddaten!B45,"")</f>
        <v>P36</v>
      </c>
      <c r="B37" s="1" t="str">
        <f>IF(AND(Programme_Grunddaten!$A45="Geprüft",Programme_Grunddaten!C45&lt;&gt;""),Programme_Grunddaten!C45,"")</f>
        <v>NEXT Farming</v>
      </c>
      <c r="C37" s="1" t="str">
        <f>IF(AND(Programme_Grunddaten!$A45="Geprüft",Programme_Grunddaten!D45&lt;&gt;""),Programme_Grunddaten!D45,"")</f>
        <v>AGCO GmbH</v>
      </c>
      <c r="D37" s="2" t="str">
        <f>IF(AND(Programme_Grunddaten!$A45="Geprüft",Programme_Grunddaten!E45&lt;&gt;""),Programme_Grunddaten!E45,"")</f>
        <v>https://www.nextfarming.de/software/next-farming-apps/</v>
      </c>
      <c r="E37" t="str">
        <f>IF(AND(Programme_Grunddaten!$A45="Geprüft",Programme_Grunddaten!G45&lt;&gt;""),Programme_Grunddaten!G45,"")</f>
        <v>Dokumentation der Ackerarbeiten</v>
      </c>
      <c r="F37" t="str">
        <f>IF(AND(Programme_Grunddaten!$A45="Geprüft",Programme_Grunddaten!F45&lt;&gt;""),Programme_Grunddaten!F45,"")</f>
        <v>Zeiterfassung nur Schlagbezogen</v>
      </c>
      <c r="G37" s="3" t="str">
        <f>IF(AND(Programme_Grunddaten!$A45="Geprüft",Programme_Grunddaten!S45&lt;&gt;""),Programme_Grunddaten!S45,"")</f>
        <v>Smartphone, Tablet</v>
      </c>
      <c r="H37" t="str">
        <f>IF(AND(Programme_Grunddaten!$A45="Geprüft",Programme_Grunddaten!AW45&lt;&gt;""),Programme_Grunddaten!AW45,"")</f>
        <v>Zeiterfassung erfolgt Schlagbezogen, keine klassische Arbeitszeiterfassung, Integration der Daten in die NextFarming Schlagkartei möglich</v>
      </c>
      <c r="I37" t="str">
        <f>IF(AND(Programme_Grunddaten!$A45="Geprüft",Programme_Grunddaten!AX45&lt;&gt;""),Programme_Grunddaten!AX45,"")</f>
        <v/>
      </c>
    </row>
    <row r="38" spans="1:9" x14ac:dyDescent="0.3">
      <c r="A38" s="1" t="str">
        <f>IF(AND(Programme_Grunddaten!$A46="Geprüft",Programme_Grunddaten!B46&lt;&gt;""),Programme_Grunddaten!B46,"")</f>
        <v>P37</v>
      </c>
      <c r="B38" s="1" t="str">
        <f>IF(AND(Programme_Grunddaten!$A46="Geprüft",Programme_Grunddaten!C46&lt;&gt;""),Programme_Grunddaten!C46,"")</f>
        <v>hr works</v>
      </c>
      <c r="C38" s="1" t="str">
        <f>IF(AND(Programme_Grunddaten!$A46="Geprüft",Programme_Grunddaten!D46&lt;&gt;""),Programme_Grunddaten!D46,"")</f>
        <v>Hrworks GmbH</v>
      </c>
      <c r="D38" s="2" t="str">
        <f>IF(AND(Programme_Grunddaten!$A46="Geprüft",Programme_Grunddaten!E46&lt;&gt;""),Programme_Grunddaten!E46,"")</f>
        <v>https://www.hrworks.de/</v>
      </c>
      <c r="E38" t="str">
        <f>IF(AND(Programme_Grunddaten!$A46="Geprüft",Programme_Grunddaten!G46&lt;&gt;""),Programme_Grunddaten!G46,"")</f>
        <v>HR-Software</v>
      </c>
      <c r="F38" t="str">
        <f>IF(AND(Programme_Grunddaten!$A46="Geprüft",Programme_Grunddaten!F46&lt;&gt;""),Programme_Grunddaten!F46,"")</f>
        <v>Mittelstand, kleine und mittlere Unternehmen</v>
      </c>
      <c r="G38" s="3" t="str">
        <f>IF(AND(Programme_Grunddaten!$A46="Geprüft",Programme_Grunddaten!S46&lt;&gt;""),Programme_Grunddaten!S46,"")</f>
        <v>Smartphone, PC, Terminal</v>
      </c>
      <c r="H38" t="str">
        <f>IF(AND(Programme_Grunddaten!$A46="Geprüft",Programme_Grunddaten!AW46&lt;&gt;""),Programme_Grunddaten!AW46,"")</f>
        <v>Schnittstelle zu Papershift ermöglicht noch mehr Funktionen</v>
      </c>
      <c r="I38" t="str">
        <f>IF(AND(Programme_Grunddaten!$A46="Geprüft",Programme_Grunddaten!AX46&lt;&gt;""),Programme_Grunddaten!AX46,"")</f>
        <v>mindestens 20 Nutzer</v>
      </c>
    </row>
    <row r="39" spans="1:9" x14ac:dyDescent="0.3">
      <c r="A39" s="1" t="str">
        <f>IF(AND(Programme_Grunddaten!$A47="Geprüft",Programme_Grunddaten!B47&lt;&gt;""),Programme_Grunddaten!B47,"")</f>
        <v>P38</v>
      </c>
      <c r="B39" s="1" t="str">
        <f>IF(AND(Programme_Grunddaten!$A47="Geprüft",Programme_Grunddaten!C47&lt;&gt;""),Programme_Grunddaten!C47,"")</f>
        <v>SAP SuccessFactors Time Tracking</v>
      </c>
      <c r="C39" s="1" t="str">
        <f>IF(AND(Programme_Grunddaten!$A47="Geprüft",Programme_Grunddaten!D47&lt;&gt;""),Programme_Grunddaten!D47,"")</f>
        <v>SAP SE</v>
      </c>
      <c r="D39" s="2" t="str">
        <f>IF(AND(Programme_Grunddaten!$A47="Geprüft",Programme_Grunddaten!E47&lt;&gt;""),Programme_Grunddaten!E47,"")</f>
        <v>https://www.sap.com/germany/products/hcm/employee-time-tracking-software.html</v>
      </c>
      <c r="E39" t="str">
        <f>IF(AND(Programme_Grunddaten!$A47="Geprüft",Programme_Grunddaten!G47&lt;&gt;""),Programme_Grunddaten!G47,"")</f>
        <v>Teil eines umfassenden Management-Tools</v>
      </c>
      <c r="F39" t="str">
        <f>IF(AND(Programme_Grunddaten!$A47="Geprüft",Programme_Grunddaten!F47&lt;&gt;""),Programme_Grunddaten!F47,"")</f>
        <v>alle Branchen</v>
      </c>
      <c r="G39" s="3" t="str">
        <f>IF(AND(Programme_Grunddaten!$A47="Geprüft",Programme_Grunddaten!S47&lt;&gt;""),Programme_Grunddaten!S47,"")</f>
        <v>Smartphone, PC, Terminal</v>
      </c>
      <c r="H39" t="str">
        <f>IF(AND(Programme_Grunddaten!$A47="Geprüft",Programme_Grunddaten!AW47&lt;&gt;""),Programme_Grunddaten!AW47,"")</f>
        <v>Geofencing beim An- und Abmelden (Mitarbeiter können sich nur in vorher definierten Bereich für Arbeit an- und abmelden)</v>
      </c>
      <c r="I39" t="str">
        <f>IF(AND(Programme_Grunddaten!$A47="Geprüft",Programme_Grunddaten!AX47&lt;&gt;""),Programme_Grunddaten!AX47,"")</f>
        <v>2,18 €  / Nutzer / Monat</v>
      </c>
    </row>
    <row r="40" spans="1:9" x14ac:dyDescent="0.3">
      <c r="A40" s="1" t="str">
        <f>IF(AND(Programme_Grunddaten!$A48="Geprüft",Programme_Grunddaten!B48&lt;&gt;""),Programme_Grunddaten!B48,"")</f>
        <v>P39</v>
      </c>
      <c r="B40" s="1" t="str">
        <f>IF(AND(Programme_Grunddaten!$A48="Geprüft",Programme_Grunddaten!C48&lt;&gt;""),Programme_Grunddaten!C48,"")</f>
        <v>factro</v>
      </c>
      <c r="C40" s="1" t="str">
        <f>IF(AND(Programme_Grunddaten!$A48="Geprüft",Programme_Grunddaten!D48&lt;&gt;""),Programme_Grunddaten!D48,"")</f>
        <v>Schuchert Managementberatung GmbH &amp; Co. KG</v>
      </c>
      <c r="D40" s="2" t="str">
        <f>IF(AND(Programme_Grunddaten!$A48="Geprüft",Programme_Grunddaten!E48&lt;&gt;""),Programme_Grunddaten!E48,"")</f>
        <v>https://www.factro.de/</v>
      </c>
      <c r="E40" t="str">
        <f>IF(AND(Programme_Grunddaten!$A48="Geprüft",Programme_Grunddaten!G48&lt;&gt;""),Programme_Grunddaten!G48,"")</f>
        <v>umfangreiches Projektmanagement mit integrierter Zeiterfassung</v>
      </c>
      <c r="F40" t="str">
        <f>IF(AND(Programme_Grunddaten!$A48="Geprüft",Programme_Grunddaten!F48&lt;&gt;""),Programme_Grunddaten!F48,"")</f>
        <v>alle Branchen</v>
      </c>
      <c r="G40" s="3" t="str">
        <f>IF(AND(Programme_Grunddaten!$A48="Geprüft",Programme_Grunddaten!S48&lt;&gt;""),Programme_Grunddaten!S48,"")</f>
        <v>App, Browser, Terminal</v>
      </c>
      <c r="H40" t="str">
        <f>IF(AND(Programme_Grunddaten!$A48="Geprüft",Programme_Grunddaten!AW48&lt;&gt;""),Programme_Grunddaten!AW48,"")</f>
        <v>integrierter Projektplaner</v>
      </c>
      <c r="I40" t="str">
        <f>IF(AND(Programme_Grunddaten!$A48="Geprüft",Programme_Grunddaten!AX48&lt;&gt;""),Programme_Grunddaten!AX48,"")</f>
        <v>Basic Projektplaner kostenlos bis zu 3 Nutzer, Modul mit Zeiterfassung: 29,99 € / Nutzer / Monat, ab 3 Nutzern</v>
      </c>
    </row>
    <row r="41" spans="1:9" x14ac:dyDescent="0.3">
      <c r="A41" s="1" t="str">
        <f>IF(AND(Programme_Grunddaten!$A49="Geprüft",Programme_Grunddaten!B49&lt;&gt;""),Programme_Grunddaten!B49,"")</f>
        <v>P40</v>
      </c>
      <c r="B41" s="1" t="str">
        <f>IF(AND(Programme_Grunddaten!$A49="Geprüft",Programme_Grunddaten!C49&lt;&gt;""),Programme_Grunddaten!C49,"")</f>
        <v>TimO</v>
      </c>
      <c r="C41" s="1" t="str">
        <f>IF(AND(Programme_Grunddaten!$A49="Geprüft",Programme_Grunddaten!D49&lt;&gt;""),Programme_Grunddaten!D49,"")</f>
        <v>Time Management Office GmbH</v>
      </c>
      <c r="D41" s="2" t="str">
        <f>IF(AND(Programme_Grunddaten!$A49="Geprüft",Programme_Grunddaten!E49&lt;&gt;""),Programme_Grunddaten!E49,"")</f>
        <v>https://www.timo24.de/</v>
      </c>
      <c r="E41" t="str">
        <f>IF(AND(Programme_Grunddaten!$A49="Geprüft",Programme_Grunddaten!G49&lt;&gt;""),Programme_Grunddaten!G49,"")</f>
        <v>modulare Softwarelösung für Unternehmen</v>
      </c>
      <c r="F41" t="str">
        <f>IF(AND(Programme_Grunddaten!$A49="Geprüft",Programme_Grunddaten!F49&lt;&gt;""),Programme_Grunddaten!F49,"")</f>
        <v>alle Branchen</v>
      </c>
      <c r="G41" s="3" t="str">
        <f>IF(AND(Programme_Grunddaten!$A49="Geprüft",Programme_Grunddaten!S49&lt;&gt;""),Programme_Grunddaten!S49,"")</f>
        <v>App, PC, Terminal</v>
      </c>
      <c r="H41" t="str">
        <f>IF(AND(Programme_Grunddaten!$A49="Geprüft",Programme_Grunddaten!AW49&lt;&gt;""),Programme_Grunddaten!AW49,"")</f>
        <v>Geofencing möglich</v>
      </c>
      <c r="I41" t="str">
        <f>IF(AND(Programme_Grunddaten!$A49="Geprüft",Programme_Grunddaten!AX49&lt;&gt;""),Programme_Grunddaten!AX49,"")</f>
        <v>4,99 € / Nutzer / Monat, mindestens 5 Nutzer</v>
      </c>
    </row>
    <row r="42" spans="1:9" x14ac:dyDescent="0.3">
      <c r="A42" s="1" t="str">
        <f>IF(AND(Programme_Grunddaten!$A50="Geprüft",Programme_Grunddaten!B50&lt;&gt;""),Programme_Grunddaten!B50,"")</f>
        <v>P41</v>
      </c>
      <c r="B42" s="1" t="str">
        <f>IF(AND(Programme_Grunddaten!$A50="Geprüft",Programme_Grunddaten!C50&lt;&gt;""),Programme_Grunddaten!C50,"")</f>
        <v>ZEP</v>
      </c>
      <c r="C42" s="1" t="str">
        <f>IF(AND(Programme_Grunddaten!$A50="Geprüft",Programme_Grunddaten!D50&lt;&gt;""),Programme_Grunddaten!D50,"")</f>
        <v>ZEP GmbH</v>
      </c>
      <c r="D42" s="2" t="str">
        <f>IF(AND(Programme_Grunddaten!$A50="Geprüft",Programme_Grunddaten!E50&lt;&gt;""),Programme_Grunddaten!E50,"")</f>
        <v>https://www.zep.de/</v>
      </c>
      <c r="E42" t="str">
        <f>IF(AND(Programme_Grunddaten!$A50="Geprüft",Programme_Grunddaten!G50&lt;&gt;""),Programme_Grunddaten!G50,"")</f>
        <v>Arbeitszeiterfassung bis Projekt-ERP</v>
      </c>
      <c r="F42" t="str">
        <f>IF(AND(Programme_Grunddaten!$A50="Geprüft",Programme_Grunddaten!F50&lt;&gt;""),Programme_Grunddaten!F50,"")</f>
        <v>Unternehmen</v>
      </c>
      <c r="G42" s="3" t="str">
        <f>IF(AND(Programme_Grunddaten!$A50="Geprüft",Programme_Grunddaten!S50&lt;&gt;""),Programme_Grunddaten!S50,"")</f>
        <v>App, Browser, Terminal</v>
      </c>
      <c r="H42" t="str">
        <f>IF(AND(Programme_Grunddaten!$A50="Geprüft",Programme_Grunddaten!AW50&lt;&gt;""),Programme_Grunddaten!AW50,"")</f>
        <v>Integration von Kunden- oder Projektdaten aus anderen Systemen möglich</v>
      </c>
      <c r="I42" t="str">
        <f>IF(AND(Programme_Grunddaten!$A50="Geprüft",Programme_Grunddaten!AX50&lt;&gt;""),Programme_Grunddaten!AX50,"")</f>
        <v>Basismodell: 2 € / Nutzer / Monat</v>
      </c>
    </row>
    <row r="43" spans="1:9" x14ac:dyDescent="0.3">
      <c r="A43" s="1" t="str">
        <f>IF(AND(Programme_Grunddaten!$A51="Geprüft",Programme_Grunddaten!B51&lt;&gt;""),Programme_Grunddaten!B51,"")</f>
        <v>P42</v>
      </c>
      <c r="B43" s="1" t="str">
        <f>IF(AND(Programme_Grunddaten!$A51="Geprüft",Programme_Grunddaten!C51&lt;&gt;""),Programme_Grunddaten!C51,"")</f>
        <v>edtime</v>
      </c>
      <c r="C43" s="1" t="str">
        <f>IF(AND(Programme_Grunddaten!$A51="Geprüft",Programme_Grunddaten!D51&lt;&gt;""),Programme_Grunddaten!D51,"")</f>
        <v>eurodata AG</v>
      </c>
      <c r="D43" s="2" t="str">
        <f>IF(AND(Programme_Grunddaten!$A51="Geprüft",Programme_Grunddaten!E51&lt;&gt;""),Programme_Grunddaten!E51,"")</f>
        <v>https://www.edtime.de/</v>
      </c>
      <c r="E43" t="str">
        <f>IF(AND(Programme_Grunddaten!$A51="Geprüft",Programme_Grunddaten!G51&lt;&gt;""),Programme_Grunddaten!G51,"")</f>
        <v>digitale Zeiterfassung und Personaleinsatzplanung</v>
      </c>
      <c r="F43" t="str">
        <f>IF(AND(Programme_Grunddaten!$A51="Geprüft",Programme_Grunddaten!F51&lt;&gt;""),Programme_Grunddaten!F51,"")</f>
        <v>alle Branchen</v>
      </c>
      <c r="G43" s="3" t="str">
        <f>IF(AND(Programme_Grunddaten!$A51="Geprüft",Programme_Grunddaten!S51&lt;&gt;""),Programme_Grunddaten!S51,"")</f>
        <v>App, Tablet, PC</v>
      </c>
      <c r="H43" t="str">
        <f>IF(AND(Programme_Grunddaten!$A51="Geprüft",Programme_Grunddaten!AW51&lt;&gt;""),Programme_Grunddaten!AW51,"")</f>
        <v>die Schichtbörse bietet den Mitarbeitern die Möglichkeit ihre Schichten digital zu tauschen</v>
      </c>
      <c r="I43" t="str">
        <f>IF(AND(Programme_Grunddaten!$A51="Geprüft",Programme_Grunddaten!AX51&lt;&gt;""),Programme_Grunddaten!AX51,"")</f>
        <v>Basismodul u.a. mit Zeiterfassung: 2,25 € / Nutzer / Monat, ab 10 Nutzern</v>
      </c>
    </row>
    <row r="44" spans="1:9" x14ac:dyDescent="0.3">
      <c r="A44" s="1" t="str">
        <f>IF(AND(Programme_Grunddaten!$A52="Geprüft",Programme_Grunddaten!B52&lt;&gt;""),Programme_Grunddaten!B52,"")</f>
        <v>P43</v>
      </c>
      <c r="B44" s="1" t="str">
        <f>IF(AND(Programme_Grunddaten!$A52="Geprüft",Programme_Grunddaten!C52&lt;&gt;""),Programme_Grunddaten!C52,"")</f>
        <v>Papershift</v>
      </c>
      <c r="C44" s="1" t="str">
        <f>IF(AND(Programme_Grunddaten!$A52="Geprüft",Programme_Grunddaten!D52&lt;&gt;""),Programme_Grunddaten!D52,"")</f>
        <v>Papershift GmbH</v>
      </c>
      <c r="D44" s="2" t="str">
        <f>IF(AND(Programme_Grunddaten!$A52="Geprüft",Programme_Grunddaten!E52&lt;&gt;""),Programme_Grunddaten!E52,"")</f>
        <v>https://www.papershift.com/</v>
      </c>
      <c r="E44" t="str">
        <f>IF(AND(Programme_Grunddaten!$A52="Geprüft",Programme_Grunddaten!G52&lt;&gt;""),Programme_Grunddaten!G52,"")</f>
        <v>digitale Personalverwaltung</v>
      </c>
      <c r="F44" t="str">
        <f>IF(AND(Programme_Grunddaten!$A52="Geprüft",Programme_Grunddaten!F52&lt;&gt;""),Programme_Grunddaten!F52,"")</f>
        <v>alle Branchen</v>
      </c>
      <c r="G44" s="3" t="str">
        <f>IF(AND(Programme_Grunddaten!$A52="Geprüft",Programme_Grunddaten!S52&lt;&gt;""),Programme_Grunddaten!S52,"")</f>
        <v>App, Browser, Terminal</v>
      </c>
      <c r="H44" t="str">
        <f>IF(AND(Programme_Grunddaten!$A52="Geprüft",Programme_Grunddaten!AW52&lt;&gt;""),Programme_Grunddaten!AW52,"")</f>
        <v>Geofencing möglich</v>
      </c>
      <c r="I44" t="str">
        <f>IF(AND(Programme_Grunddaten!$A52="Geprüft",Programme_Grunddaten!AX52&lt;&gt;""),Programme_Grunddaten!AX52,"")</f>
        <v>Basismodul: 4 € / Nutzer / Monat, ab 16 Nutzern</v>
      </c>
    </row>
    <row r="45" spans="1:9" x14ac:dyDescent="0.3">
      <c r="A45" s="1" t="str">
        <f>IF(AND(Programme_Grunddaten!$A53="Geprüft",Programme_Grunddaten!B53&lt;&gt;""),Programme_Grunddaten!B53,"")</f>
        <v>P44</v>
      </c>
      <c r="B45" s="1" t="str">
        <f>IF(AND(Programme_Grunddaten!$A53="Geprüft",Programme_Grunddaten!C53&lt;&gt;""),Programme_Grunddaten!C53,"")</f>
        <v>ZEITGURU</v>
      </c>
      <c r="C45" s="1" t="str">
        <f>IF(AND(Programme_Grunddaten!$A53="Geprüft",Programme_Grunddaten!D53&lt;&gt;""),Programme_Grunddaten!D53,"")</f>
        <v>Aplano GmbH</v>
      </c>
      <c r="D45" s="2" t="str">
        <f>IF(AND(Programme_Grunddaten!$A53="Geprüft",Programme_Grunddaten!E53&lt;&gt;""),Programme_Grunddaten!E53,"")</f>
        <v>https://www.zeitguru.de/</v>
      </c>
      <c r="E45" t="str">
        <f>IF(AND(Programme_Grunddaten!$A53="Geprüft",Programme_Grunddaten!G53&lt;&gt;""),Programme_Grunddaten!G53,"")</f>
        <v>digitale Zeiterfassung</v>
      </c>
      <c r="F45" t="str">
        <f>IF(AND(Programme_Grunddaten!$A53="Geprüft",Programme_Grunddaten!F53&lt;&gt;""),Programme_Grunddaten!F53,"")</f>
        <v>alle Branchen</v>
      </c>
      <c r="G45" s="3" t="str">
        <f>IF(AND(Programme_Grunddaten!$A53="Geprüft",Programme_Grunddaten!S53&lt;&gt;""),Programme_Grunddaten!S53,"")</f>
        <v>Smartphone, Tablet, PC</v>
      </c>
      <c r="H45" t="str">
        <f>IF(AND(Programme_Grunddaten!$A53="Geprüft",Programme_Grunddaten!AW53&lt;&gt;""),Programme_Grunddaten!AW53,"")</f>
        <v>Geofencing</v>
      </c>
      <c r="I45" t="str">
        <f>IF(AND(Programme_Grunddaten!$A53="Geprüft",Programme_Grunddaten!AX53&lt;&gt;""),Programme_Grunddaten!AX53,"")</f>
        <v>3,5 € / Nutzer / Monat, exkl. MwSt.</v>
      </c>
    </row>
    <row r="46" spans="1:9" x14ac:dyDescent="0.3">
      <c r="A46" s="1" t="str">
        <f>IF(AND(Programme_Grunddaten!$A54="Geprüft",Programme_Grunddaten!B54&lt;&gt;""),Programme_Grunddaten!B54,"")</f>
        <v>P45</v>
      </c>
      <c r="B46" s="1" t="str">
        <f>IF(AND(Programme_Grunddaten!$A54="Geprüft",Programme_Grunddaten!C54&lt;&gt;""),Programme_Grunddaten!C54,"")</f>
        <v>Aplano</v>
      </c>
      <c r="C46" s="1" t="str">
        <f>IF(AND(Programme_Grunddaten!$A54="Geprüft",Programme_Grunddaten!D54&lt;&gt;""),Programme_Grunddaten!D54,"")</f>
        <v>Aplano GmbH</v>
      </c>
      <c r="D46" s="2" t="str">
        <f>IF(AND(Programme_Grunddaten!$A54="Geprüft",Programme_Grunddaten!E54&lt;&gt;""),Programme_Grunddaten!E54,"")</f>
        <v>https://www.aplano.de/</v>
      </c>
      <c r="E46" t="str">
        <f>IF(AND(Programme_Grunddaten!$A54="Geprüft",Programme_Grunddaten!G54&lt;&gt;""),Programme_Grunddaten!G54,"")</f>
        <v>Personalplanung und Zeiterfassung</v>
      </c>
      <c r="F46" t="str">
        <f>IF(AND(Programme_Grunddaten!$A54="Geprüft",Programme_Grunddaten!F54&lt;&gt;""),Programme_Grunddaten!F54,"")</f>
        <v>alle Branchen</v>
      </c>
      <c r="G46" s="3" t="str">
        <f>IF(AND(Programme_Grunddaten!$A54="Geprüft",Programme_Grunddaten!S54&lt;&gt;""),Programme_Grunddaten!S54,"")</f>
        <v>App, Browser, Terminal</v>
      </c>
      <c r="H46" t="str">
        <f>IF(AND(Programme_Grunddaten!$A54="Geprüft",Programme_Grunddaten!AW54&lt;&gt;""),Programme_Grunddaten!AW54,"")</f>
        <v>Geofencing, Hilfe durch KI Assistenten, digitale Schichtbörse</v>
      </c>
      <c r="I46" t="str">
        <f>IF(AND(Programme_Grunddaten!$A54="Geprüft",Programme_Grunddaten!AX54&lt;&gt;""),Programme_Grunddaten!AX54,"")</f>
        <v>4,5 € / Nutzer / Monat</v>
      </c>
    </row>
    <row r="47" spans="1:9" x14ac:dyDescent="0.3">
      <c r="A47" s="1" t="str">
        <f>IF(AND(Programme_Grunddaten!$A55="Geprüft",Programme_Grunddaten!B55&lt;&gt;""),Programme_Grunddaten!B55,"")</f>
        <v>P46</v>
      </c>
      <c r="B47" s="1" t="str">
        <f>IF(AND(Programme_Grunddaten!$A55="Geprüft",Programme_Grunddaten!C55&lt;&gt;""),Programme_Grunddaten!C55,"")</f>
        <v>GDI</v>
      </c>
      <c r="C47" s="1" t="str">
        <f>IF(AND(Programme_Grunddaten!$A55="Geprüft",Programme_Grunddaten!D55&lt;&gt;""),Programme_Grunddaten!D55,"")</f>
        <v>GDI Software GMbH</v>
      </c>
      <c r="D47" s="2" t="str">
        <f>IF(AND(Programme_Grunddaten!$A55="Geprüft",Programme_Grunddaten!E55&lt;&gt;""),Programme_Grunddaten!E55,"")</f>
        <v>https://www.gdi.de/zeiterfassungssoftware/</v>
      </c>
      <c r="E47" t="str">
        <f>IF(AND(Programme_Grunddaten!$A55="Geprüft",Programme_Grunddaten!G55&lt;&gt;""),Programme_Grunddaten!G55,"")</f>
        <v>Zeiterfassungssoftware</v>
      </c>
      <c r="F47" t="str">
        <f>IF(AND(Programme_Grunddaten!$A55="Geprüft",Programme_Grunddaten!F55&lt;&gt;""),Programme_Grunddaten!F55,"")</f>
        <v>kleine und mittlere Unternehmen</v>
      </c>
      <c r="G47" s="3" t="str">
        <f>IF(AND(Programme_Grunddaten!$A55="Geprüft",Programme_Grunddaten!S55&lt;&gt;""),Programme_Grunddaten!S55,"")</f>
        <v>App, Browser, Terminal</v>
      </c>
      <c r="H47" t="str">
        <f>IF(AND(Programme_Grunddaten!$A55="Geprüft",Programme_Grunddaten!AW55&lt;&gt;""),Programme_Grunddaten!AW55,"")</f>
        <v>Geofencing, Erfassung von Gerätezeiten</v>
      </c>
      <c r="I47" t="str">
        <f>IF(AND(Programme_Grunddaten!$A55="Geprüft",Programme_Grunddaten!AX55&lt;&gt;""),Programme_Grunddaten!AX55,"")</f>
        <v>4 € / Nutzer / Monat</v>
      </c>
    </row>
    <row r="48" spans="1:9" x14ac:dyDescent="0.3">
      <c r="A48" s="1" t="str">
        <f>IF(AND(Programme_Grunddaten!$A56="Geprüft",Programme_Grunddaten!B56&lt;&gt;""),Programme_Grunddaten!B56,"")</f>
        <v>P47</v>
      </c>
      <c r="B48" s="1" t="str">
        <f>IF(AND(Programme_Grunddaten!$A56="Geprüft",Programme_Grunddaten!C56&lt;&gt;""),Programme_Grunddaten!C56,"")</f>
        <v>Shiftbase</v>
      </c>
      <c r="C48" s="1" t="str">
        <f>IF(AND(Programme_Grunddaten!$A56="Geprüft",Programme_Grunddaten!D56&lt;&gt;""),Programme_Grunddaten!D56,"")</f>
        <v>Shiftbase B.V.</v>
      </c>
      <c r="D48" s="2" t="str">
        <f>IF(AND(Programme_Grunddaten!$A56="Geprüft",Programme_Grunddaten!E56&lt;&gt;""),Programme_Grunddaten!E56,"")</f>
        <v>https://www.shiftbase.com/de/</v>
      </c>
      <c r="E48" t="str">
        <f>IF(AND(Programme_Grunddaten!$A56="Geprüft",Programme_Grunddaten!G56&lt;&gt;""),Programme_Grunddaten!G56,"")</f>
        <v>Dienstplanung und Zeiterfassung</v>
      </c>
      <c r="F48" t="str">
        <f>IF(AND(Programme_Grunddaten!$A56="Geprüft",Programme_Grunddaten!F56&lt;&gt;""),Programme_Grunddaten!F56,"")</f>
        <v>Schichtbetriebe</v>
      </c>
      <c r="G48" s="3" t="str">
        <f>IF(AND(Programme_Grunddaten!$A56="Geprüft",Programme_Grunddaten!S56&lt;&gt;""),Programme_Grunddaten!S56,"")</f>
        <v>App, Desktop, Terminal</v>
      </c>
      <c r="H48" t="str">
        <f>IF(AND(Programme_Grunddaten!$A56="Geprüft",Programme_Grunddaten!AW56&lt;&gt;""),Programme_Grunddaten!AW56,"")</f>
        <v>Geofencing, optimiert für Schichtarbeitbetriebe, Multi-Faktor-Authentifizierung (MFA) beim Login möglich</v>
      </c>
      <c r="I48" t="str">
        <f>IF(AND(Programme_Grunddaten!$A56="Geprüft",Programme_Grunddaten!AX56&lt;&gt;""),Programme_Grunddaten!AX56,"")</f>
        <v xml:space="preserve">einfache Zeiterfassung bis 15 Nutzer kostenlos, Basic-Modul (mit weitere Funktionen) 30 € / Monat für 6 Nutzer </v>
      </c>
    </row>
    <row r="49" spans="1:9" x14ac:dyDescent="0.3">
      <c r="A49" s="1" t="str">
        <f>IF(AND(Programme_Grunddaten!$A57="Geprüft",Programme_Grunddaten!B57&lt;&gt;""),Programme_Grunddaten!B57,"")</f>
        <v>P48</v>
      </c>
      <c r="B49" s="1" t="str">
        <f>IF(AND(Programme_Grunddaten!$A57="Geprüft",Programme_Grunddaten!C57&lt;&gt;""),Programme_Grunddaten!C57,"")</f>
        <v>TimeTrack</v>
      </c>
      <c r="C49" s="1" t="str">
        <f>IF(AND(Programme_Grunddaten!$A57="Geprüft",Programme_Grunddaten!D57&lt;&gt;""),Programme_Grunddaten!D57,"")</f>
        <v>TimeTrack GmbH</v>
      </c>
      <c r="D49" s="2" t="str">
        <f>IF(AND(Programme_Grunddaten!$A57="Geprüft",Programme_Grunddaten!E57&lt;&gt;""),Programme_Grunddaten!E57,"")</f>
        <v>https://www.timetrackapp.com/</v>
      </c>
      <c r="E49" t="str">
        <f>IF(AND(Programme_Grunddaten!$A57="Geprüft",Programme_Grunddaten!G57&lt;&gt;""),Programme_Grunddaten!G57,"")</f>
        <v>Zeiterfassung und Personaleinsatzplanung</v>
      </c>
      <c r="F49" t="str">
        <f>IF(AND(Programme_Grunddaten!$A57="Geprüft",Programme_Grunddaten!F57&lt;&gt;""),Programme_Grunddaten!F57,"")</f>
        <v>mittelständige und große Unternehmen</v>
      </c>
      <c r="G49" s="3" t="str">
        <f>IF(AND(Programme_Grunddaten!$A57="Geprüft",Programme_Grunddaten!S57&lt;&gt;""),Programme_Grunddaten!S57,"")</f>
        <v>Smartphone, Tablet, PC, Terminal</v>
      </c>
      <c r="H49" t="str">
        <f>IF(AND(Programme_Grunddaten!$A57="Geprüft",Programme_Grunddaten!AW57&lt;&gt;""),Programme_Grunddaten!AW57,"")</f>
        <v>rechtskonforme Reisekostenabrechnung möglich, über Web oder als Lokale Lösung verfügbar, Standorterfassung bei Buchung möglich</v>
      </c>
      <c r="I49" t="str">
        <f>IF(AND(Programme_Grunddaten!$A57="Geprüft",Programme_Grunddaten!AX57&lt;&gt;""),Programme_Grunddaten!AX57,"")</f>
        <v>Basismodell: 5 € / Nutzer / Monat, kostenlose Version für einen Einzelzugang</v>
      </c>
    </row>
    <row r="50" spans="1:9" x14ac:dyDescent="0.3">
      <c r="A50" s="1" t="str">
        <f>IF(AND(Programme_Grunddaten!$A58="Geprüft",Programme_Grunddaten!B58&lt;&gt;""),Programme_Grunddaten!B58,"")</f>
        <v>P49</v>
      </c>
      <c r="B50" s="1" t="str">
        <f>IF(AND(Programme_Grunddaten!$A58="Geprüft",Programme_Grunddaten!C58&lt;&gt;""),Programme_Grunddaten!C58,"")</f>
        <v>123erfasst</v>
      </c>
      <c r="C50" s="1" t="str">
        <f>IF(AND(Programme_Grunddaten!$A58="Geprüft",Programme_Grunddaten!D58&lt;&gt;""),Programme_Grunddaten!D58,"")</f>
        <v>123erfasst.de GmbH, Unternehmen der NEVARIS Bausoftware GmbH</v>
      </c>
      <c r="D50" s="2" t="str">
        <f>IF(AND(Programme_Grunddaten!$A58="Geprüft",Programme_Grunddaten!E58&lt;&gt;""),Programme_Grunddaten!E58,"")</f>
        <v>https://123erfasst.de/personal/</v>
      </c>
      <c r="E50" t="str">
        <f>IF(AND(Programme_Grunddaten!$A58="Geprüft",Programme_Grunddaten!G58&lt;&gt;""),Programme_Grunddaten!G58,"")</f>
        <v>digitale Zeiterfassung und Personalmanagement</v>
      </c>
      <c r="F50" t="str">
        <f>IF(AND(Programme_Grunddaten!$A58="Geprüft",Programme_Grunddaten!F58&lt;&gt;""),Programme_Grunddaten!F58,"")</f>
        <v>Handwerker, Bauunternehmen</v>
      </c>
      <c r="G50" s="3" t="str">
        <f>IF(AND(Programme_Grunddaten!$A58="Geprüft",Programme_Grunddaten!S58&lt;&gt;""),Programme_Grunddaten!S58,"")</f>
        <v>Smartphone, Tablet</v>
      </c>
      <c r="H50" t="str">
        <f>IF(AND(Programme_Grunddaten!$A58="Geprüft",Programme_Grunddaten!AW58&lt;&gt;""),Programme_Grunddaten!AW58,"")</f>
        <v>Standort kann bei Bedarf bei Stempelung mit erfasst werden, Führung eines Bautagebuchs möglich mit Dokumentation von Leistungen, Zeiten, Kommentaren und Fotos</v>
      </c>
      <c r="I50" t="str">
        <f>IF(AND(Programme_Grunddaten!$A58="Geprüft",Programme_Grunddaten!AX58&lt;&gt;""),Programme_Grunddaten!AX58,"")</f>
        <v>bis zu 10 Nutzer kostenlos, Standard: 8,40 € / Nutzer / Monat</v>
      </c>
    </row>
    <row r="51" spans="1:9" x14ac:dyDescent="0.3">
      <c r="A51" s="1" t="str">
        <f>IF(AND(Programme_Grunddaten!$A59="Geprüft",Programme_Grunddaten!B59&lt;&gt;""),Programme_Grunddaten!B59,"")</f>
        <v>P50</v>
      </c>
      <c r="B51" s="1" t="str">
        <f>IF(AND(Programme_Grunddaten!$A59="Geprüft",Programme_Grunddaten!C59&lt;&gt;""),Programme_Grunddaten!C59,"")</f>
        <v>clockify</v>
      </c>
      <c r="C51" s="1" t="str">
        <f>IF(AND(Programme_Grunddaten!$A59="Geprüft",Programme_Grunddaten!D59&lt;&gt;""),Programme_Grunddaten!D59,"")</f>
        <v>CAKE.com Inc.</v>
      </c>
      <c r="D51" s="2" t="str">
        <f>IF(AND(Programme_Grunddaten!$A59="Geprüft",Programme_Grunddaten!E59&lt;&gt;""),Programme_Grunddaten!E59,"")</f>
        <v>https://clockify.me/de/</v>
      </c>
      <c r="E51" t="str">
        <f>IF(AND(Programme_Grunddaten!$A59="Geprüft",Programme_Grunddaten!G59&lt;&gt;""),Programme_Grunddaten!G59,"")</f>
        <v>Zeiterfassungs - und Arbeitstabellenapp</v>
      </c>
      <c r="F51" t="str">
        <f>IF(AND(Programme_Grunddaten!$A59="Geprüft",Programme_Grunddaten!F59&lt;&gt;""),Programme_Grunddaten!F59,"")</f>
        <v>alle Branchen</v>
      </c>
      <c r="G51" s="3" t="str">
        <f>IF(AND(Programme_Grunddaten!$A59="Geprüft",Programme_Grunddaten!S59&lt;&gt;""),Programme_Grunddaten!S59,"")</f>
        <v>App für Smartphone und Desktop</v>
      </c>
      <c r="H51" t="str">
        <f>IF(AND(Programme_Grunddaten!$A59="Geprüft",Programme_Grunddaten!AW59&lt;&gt;""),Programme_Grunddaten!AW59,"")</f>
        <v>Auto-Tracker: besuchte Apps und Webseiten können während der Arbeitszeit dokumentiert werden, GPS Verfolgung während der Arbeitszeit möglich</v>
      </c>
      <c r="I51" t="str">
        <f>IF(AND(Programme_Grunddaten!$A59="Geprüft",Programme_Grunddaten!AX59&lt;&gt;""),Programme_Grunddaten!AX59,"")</f>
        <v xml:space="preserve">bis 5 Nutzer kostenlos, </v>
      </c>
    </row>
    <row r="52" spans="1:9" x14ac:dyDescent="0.3">
      <c r="A52" s="1" t="str">
        <f>IF(AND(Programme_Grunddaten!$A60="Geprüft",Programme_Grunddaten!B60&lt;&gt;""),Programme_Grunddaten!B60,"")</f>
        <v>P51</v>
      </c>
      <c r="B52" s="1" t="str">
        <f>IF(AND(Programme_Grunddaten!$A60="Geprüft",Programme_Grunddaten!C60&lt;&gt;""),Programme_Grunddaten!C60,"")</f>
        <v>harvest</v>
      </c>
      <c r="C52" s="1" t="str">
        <f>IF(AND(Programme_Grunddaten!$A60="Geprüft",Programme_Grunddaten!D60&lt;&gt;""),Programme_Grunddaten!D60,"")</f>
        <v>Bending Spoons US Inc.</v>
      </c>
      <c r="D52" s="2" t="str">
        <f>IF(AND(Programme_Grunddaten!$A60="Geprüft",Programme_Grunddaten!E60&lt;&gt;""),Programme_Grunddaten!E60,"")</f>
        <v>https://www.getharvest.com/</v>
      </c>
      <c r="E52" t="str">
        <f>IF(AND(Programme_Grunddaten!$A60="Geprüft",Programme_Grunddaten!G60&lt;&gt;""),Programme_Grunddaten!G60,"")</f>
        <v>Zeiterfassung und Verwaltung von Arbeitskräften</v>
      </c>
      <c r="F52" t="str">
        <f>IF(AND(Programme_Grunddaten!$A60="Geprüft",Programme_Grunddaten!F60&lt;&gt;""),Programme_Grunddaten!F60,"")</f>
        <v>Landwirtschaft</v>
      </c>
      <c r="G52" s="3" t="str">
        <f>IF(AND(Programme_Grunddaten!$A60="Geprüft",Programme_Grunddaten!S60&lt;&gt;""),Programme_Grunddaten!S60,"")</f>
        <v>Mobilgerät, Desktop, Browser</v>
      </c>
      <c r="H52" t="str">
        <f>IF(AND(Programme_Grunddaten!$A60="Geprüft",Programme_Grunddaten!AW60&lt;&gt;""),Programme_Grunddaten!AW60,"")</f>
        <v>GPS-Tracking möglich</v>
      </c>
      <c r="I52" t="str">
        <f>IF(AND(Programme_Grunddaten!$A60="Geprüft",Programme_Grunddaten!AX60&lt;&gt;""),Programme_Grunddaten!AX60,"")</f>
        <v>kostenlose Version für einen Einzelzugang</v>
      </c>
    </row>
    <row r="53" spans="1:9" x14ac:dyDescent="0.3">
      <c r="A53" s="1" t="str">
        <f>IF(AND(Programme_Grunddaten!$A61="Geprüft",Programme_Grunddaten!B61&lt;&gt;""),Programme_Grunddaten!B61,"")</f>
        <v/>
      </c>
      <c r="B53" s="1" t="str">
        <f>IF(AND(Programme_Grunddaten!$A61="Geprüft",Programme_Grunddaten!C61&lt;&gt;""),Programme_Grunddaten!C61,"")</f>
        <v/>
      </c>
      <c r="C53" s="1" t="str">
        <f>IF(AND(Programme_Grunddaten!$A61="Geprüft",Programme_Grunddaten!D61&lt;&gt;""),Programme_Grunddaten!D61,"")</f>
        <v/>
      </c>
      <c r="D53" s="2" t="str">
        <f>IF(AND(Programme_Grunddaten!$A61="Geprüft",Programme_Grunddaten!E61&lt;&gt;""),Programme_Grunddaten!E61,"")</f>
        <v/>
      </c>
      <c r="E53" t="str">
        <f>IF(AND(Programme_Grunddaten!$A61="Geprüft",Programme_Grunddaten!G61&lt;&gt;""),Programme_Grunddaten!G61,"")</f>
        <v/>
      </c>
      <c r="F53" t="str">
        <f>IF(AND(Programme_Grunddaten!$A61="Geprüft",Programme_Grunddaten!F61&lt;&gt;""),Programme_Grunddaten!F61,"")</f>
        <v/>
      </c>
      <c r="G53" s="3" t="str">
        <f>IF(AND(Programme_Grunddaten!$A61="Geprüft",Programme_Grunddaten!S61&lt;&gt;""),Programme_Grunddaten!S61,"")</f>
        <v/>
      </c>
      <c r="H53" t="str">
        <f>IF(AND(Programme_Grunddaten!$A61="Geprüft",Programme_Grunddaten!AW61&lt;&gt;""),Programme_Grunddaten!AW61,"")</f>
        <v/>
      </c>
      <c r="I53" t="str">
        <f>IF(AND(Programme_Grunddaten!$A61="Geprüft",Programme_Grunddaten!AX61&lt;&gt;""),Programme_Grunddaten!AX61,"")</f>
        <v/>
      </c>
    </row>
    <row r="54" spans="1:9" x14ac:dyDescent="0.3">
      <c r="A54" s="1" t="str">
        <f>IF(AND(Programme_Grunddaten!$A62="Geprüft",Programme_Grunddaten!B62&lt;&gt;""),Programme_Grunddaten!B62,"")</f>
        <v/>
      </c>
      <c r="B54" s="1" t="str">
        <f>IF(AND(Programme_Grunddaten!$A62="Geprüft",Programme_Grunddaten!C62&lt;&gt;""),Programme_Grunddaten!C62,"")</f>
        <v/>
      </c>
      <c r="C54" s="1" t="str">
        <f>IF(AND(Programme_Grunddaten!$A62="Geprüft",Programme_Grunddaten!D62&lt;&gt;""),Programme_Grunddaten!D62,"")</f>
        <v/>
      </c>
      <c r="D54" s="2" t="str">
        <f>IF(AND(Programme_Grunddaten!$A62="Geprüft",Programme_Grunddaten!E62&lt;&gt;""),Programme_Grunddaten!E62,"")</f>
        <v/>
      </c>
      <c r="E54" t="str">
        <f>IF(AND(Programme_Grunddaten!$A62="Geprüft",Programme_Grunddaten!G62&lt;&gt;""),Programme_Grunddaten!G62,"")</f>
        <v/>
      </c>
      <c r="F54" t="str">
        <f>IF(AND(Programme_Grunddaten!$A62="Geprüft",Programme_Grunddaten!F62&lt;&gt;""),Programme_Grunddaten!F62,"")</f>
        <v/>
      </c>
      <c r="G54" s="3" t="str">
        <f>IF(AND(Programme_Grunddaten!$A62="Geprüft",Programme_Grunddaten!S62&lt;&gt;""),Programme_Grunddaten!S62,"")</f>
        <v/>
      </c>
      <c r="H54" t="str">
        <f>IF(AND(Programme_Grunddaten!$A62="Geprüft",Programme_Grunddaten!AW62&lt;&gt;""),Programme_Grunddaten!AW62,"")</f>
        <v/>
      </c>
      <c r="I54" t="str">
        <f>IF(AND(Programme_Grunddaten!$A62="Geprüft",Programme_Grunddaten!AX62&lt;&gt;""),Programme_Grunddaten!AX62,"")</f>
        <v/>
      </c>
    </row>
    <row r="55" spans="1:9" x14ac:dyDescent="0.3">
      <c r="A55" s="1" t="str">
        <f>IF(AND(Programme_Grunddaten!$A63="Geprüft",Programme_Grunddaten!B63&lt;&gt;""),Programme_Grunddaten!B63,"")</f>
        <v/>
      </c>
      <c r="B55" s="1" t="str">
        <f>IF(AND(Programme_Grunddaten!$A63="Geprüft",Programme_Grunddaten!C63&lt;&gt;""),Programme_Grunddaten!C63,"")</f>
        <v/>
      </c>
      <c r="C55" s="1" t="str">
        <f>IF(AND(Programme_Grunddaten!$A63="Geprüft",Programme_Grunddaten!D63&lt;&gt;""),Programme_Grunddaten!D63,"")</f>
        <v/>
      </c>
      <c r="D55" s="2" t="str">
        <f>IF(AND(Programme_Grunddaten!$A63="Geprüft",Programme_Grunddaten!E63&lt;&gt;""),Programme_Grunddaten!E63,"")</f>
        <v/>
      </c>
      <c r="E55" t="str">
        <f>IF(AND(Programme_Grunddaten!$A63="Geprüft",Programme_Grunddaten!G63&lt;&gt;""),Programme_Grunddaten!G63,"")</f>
        <v/>
      </c>
      <c r="F55" t="str">
        <f>IF(AND(Programme_Grunddaten!$A63="Geprüft",Programme_Grunddaten!F63&lt;&gt;""),Programme_Grunddaten!F63,"")</f>
        <v/>
      </c>
      <c r="G55" s="3" t="str">
        <f>IF(AND(Programme_Grunddaten!$A63="Geprüft",Programme_Grunddaten!S63&lt;&gt;""),Programme_Grunddaten!S63,"")</f>
        <v/>
      </c>
      <c r="H55" t="str">
        <f>IF(AND(Programme_Grunddaten!$A63="Geprüft",Programme_Grunddaten!AW63&lt;&gt;""),Programme_Grunddaten!AW63,"")</f>
        <v/>
      </c>
      <c r="I55" t="str">
        <f>IF(AND(Programme_Grunddaten!$A63="Geprüft",Programme_Grunddaten!AX63&lt;&gt;""),Programme_Grunddaten!AX63,"")</f>
        <v/>
      </c>
    </row>
    <row r="56" spans="1:9" x14ac:dyDescent="0.3">
      <c r="A56" s="1" t="str">
        <f>IF(AND(Programme_Grunddaten!$A64="Geprüft",Programme_Grunddaten!B64&lt;&gt;""),Programme_Grunddaten!B64,"")</f>
        <v/>
      </c>
      <c r="B56" s="1" t="str">
        <f>IF(AND(Programme_Grunddaten!$A64="Geprüft",Programme_Grunddaten!C64&lt;&gt;""),Programme_Grunddaten!C64,"")</f>
        <v/>
      </c>
      <c r="C56" s="1" t="str">
        <f>IF(AND(Programme_Grunddaten!$A64="Geprüft",Programme_Grunddaten!D64&lt;&gt;""),Programme_Grunddaten!D64,"")</f>
        <v/>
      </c>
      <c r="D56" s="2" t="str">
        <f>IF(AND(Programme_Grunddaten!$A64="Geprüft",Programme_Grunddaten!E64&lt;&gt;""),Programme_Grunddaten!E64,"")</f>
        <v/>
      </c>
      <c r="E56" t="str">
        <f>IF(AND(Programme_Grunddaten!$A64="Geprüft",Programme_Grunddaten!G64&lt;&gt;""),Programme_Grunddaten!G64,"")</f>
        <v/>
      </c>
      <c r="F56" t="str">
        <f>IF(AND(Programme_Grunddaten!$A64="Geprüft",Programme_Grunddaten!F64&lt;&gt;""),Programme_Grunddaten!F64,"")</f>
        <v/>
      </c>
      <c r="G56" s="3" t="str">
        <f>IF(AND(Programme_Grunddaten!$A64="Geprüft",Programme_Grunddaten!S64&lt;&gt;""),Programme_Grunddaten!S64,"")</f>
        <v/>
      </c>
      <c r="H56" t="str">
        <f>IF(AND(Programme_Grunddaten!$A64="Geprüft",Programme_Grunddaten!AW64&lt;&gt;""),Programme_Grunddaten!AW64,"")</f>
        <v/>
      </c>
      <c r="I56" t="str">
        <f>IF(AND(Programme_Grunddaten!$A64="Geprüft",Programme_Grunddaten!AX64&lt;&gt;""),Programme_Grunddaten!AX64,"")</f>
        <v/>
      </c>
    </row>
    <row r="57" spans="1:9" x14ac:dyDescent="0.3">
      <c r="A57" s="1" t="str">
        <f>IF(AND(Programme_Grunddaten!$A65="Geprüft",Programme_Grunddaten!B65&lt;&gt;""),Programme_Grunddaten!B65,"")</f>
        <v/>
      </c>
      <c r="B57" s="1" t="str">
        <f>IF(AND(Programme_Grunddaten!$A65="Geprüft",Programme_Grunddaten!C65&lt;&gt;""),Programme_Grunddaten!C65,"")</f>
        <v/>
      </c>
      <c r="C57" s="1" t="str">
        <f>IF(AND(Programme_Grunddaten!$A65="Geprüft",Programme_Grunddaten!D65&lt;&gt;""),Programme_Grunddaten!D65,"")</f>
        <v/>
      </c>
      <c r="D57" s="2" t="str">
        <f>IF(AND(Programme_Grunddaten!$A65="Geprüft",Programme_Grunddaten!E65&lt;&gt;""),Programme_Grunddaten!E65,"")</f>
        <v/>
      </c>
      <c r="E57" t="str">
        <f>IF(AND(Programme_Grunddaten!$A65="Geprüft",Programme_Grunddaten!G65&lt;&gt;""),Programme_Grunddaten!G65,"")</f>
        <v/>
      </c>
      <c r="F57" t="str">
        <f>IF(AND(Programme_Grunddaten!$A65="Geprüft",Programme_Grunddaten!F65&lt;&gt;""),Programme_Grunddaten!F65,"")</f>
        <v/>
      </c>
      <c r="G57" s="3" t="str">
        <f>IF(AND(Programme_Grunddaten!$A65="Geprüft",Programme_Grunddaten!S65&lt;&gt;""),Programme_Grunddaten!S65,"")</f>
        <v/>
      </c>
      <c r="H57" t="str">
        <f>IF(AND(Programme_Grunddaten!$A65="Geprüft",Programme_Grunddaten!AW65&lt;&gt;""),Programme_Grunddaten!AW65,"")</f>
        <v/>
      </c>
      <c r="I57" t="str">
        <f>IF(AND(Programme_Grunddaten!$A65="Geprüft",Programme_Grunddaten!AX65&lt;&gt;""),Programme_Grunddaten!AX65,"")</f>
        <v/>
      </c>
    </row>
    <row r="58" spans="1:9" x14ac:dyDescent="0.3">
      <c r="A58" s="1" t="str">
        <f>IF(AND(Programme_Grunddaten!$A66="Geprüft",Programme_Grunddaten!B66&lt;&gt;""),Programme_Grunddaten!B66,"")</f>
        <v/>
      </c>
      <c r="B58" s="1" t="str">
        <f>IF(AND(Programme_Grunddaten!$A66="Geprüft",Programme_Grunddaten!C66&lt;&gt;""),Programme_Grunddaten!C66,"")</f>
        <v/>
      </c>
      <c r="C58" s="1" t="str">
        <f>IF(AND(Programme_Grunddaten!$A66="Geprüft",Programme_Grunddaten!D66&lt;&gt;""),Programme_Grunddaten!D66,"")</f>
        <v/>
      </c>
      <c r="D58" s="2" t="str">
        <f>IF(AND(Programme_Grunddaten!$A66="Geprüft",Programme_Grunddaten!E66&lt;&gt;""),Programme_Grunddaten!E66,"")</f>
        <v/>
      </c>
      <c r="E58" t="str">
        <f>IF(AND(Programme_Grunddaten!$A66="Geprüft",Programme_Grunddaten!G66&lt;&gt;""),Programme_Grunddaten!G66,"")</f>
        <v/>
      </c>
      <c r="F58" t="str">
        <f>IF(AND(Programme_Grunddaten!$A66="Geprüft",Programme_Grunddaten!F66&lt;&gt;""),Programme_Grunddaten!F66,"")</f>
        <v/>
      </c>
      <c r="G58" s="3" t="str">
        <f>IF(AND(Programme_Grunddaten!$A66="Geprüft",Programme_Grunddaten!S66&lt;&gt;""),Programme_Grunddaten!S66,"")</f>
        <v/>
      </c>
      <c r="H58" t="str">
        <f>IF(AND(Programme_Grunddaten!$A66="Geprüft",Programme_Grunddaten!AW66&lt;&gt;""),Programme_Grunddaten!AW66,"")</f>
        <v/>
      </c>
      <c r="I58" t="str">
        <f>IF(AND(Programme_Grunddaten!$A66="Geprüft",Programme_Grunddaten!AX66&lt;&gt;""),Programme_Grunddaten!AX66,"")</f>
        <v/>
      </c>
    </row>
    <row r="59" spans="1:9" x14ac:dyDescent="0.3">
      <c r="A59" s="1" t="str">
        <f>IF(AND(Programme_Grunddaten!$A67="Geprüft",Programme_Grunddaten!B67&lt;&gt;""),Programme_Grunddaten!B67,"")</f>
        <v/>
      </c>
      <c r="B59" s="1" t="str">
        <f>IF(AND(Programme_Grunddaten!$A67="Geprüft",Programme_Grunddaten!C67&lt;&gt;""),Programme_Grunddaten!C67,"")</f>
        <v/>
      </c>
      <c r="C59" s="1" t="str">
        <f>IF(AND(Programme_Grunddaten!$A67="Geprüft",Programme_Grunddaten!D67&lt;&gt;""),Programme_Grunddaten!D67,"")</f>
        <v/>
      </c>
      <c r="D59" s="2" t="str">
        <f>IF(AND(Programme_Grunddaten!$A67="Geprüft",Programme_Grunddaten!E67&lt;&gt;""),Programme_Grunddaten!E67,"")</f>
        <v/>
      </c>
      <c r="E59" t="str">
        <f>IF(AND(Programme_Grunddaten!$A67="Geprüft",Programme_Grunddaten!G67&lt;&gt;""),Programme_Grunddaten!G67,"")</f>
        <v/>
      </c>
      <c r="F59" t="str">
        <f>IF(AND(Programme_Grunddaten!$A67="Geprüft",Programme_Grunddaten!F67&lt;&gt;""),Programme_Grunddaten!F67,"")</f>
        <v/>
      </c>
      <c r="G59" s="3" t="str">
        <f>IF(AND(Programme_Grunddaten!$A67="Geprüft",Programme_Grunddaten!S67&lt;&gt;""),Programme_Grunddaten!S67,"")</f>
        <v/>
      </c>
      <c r="H59" t="str">
        <f>IF(AND(Programme_Grunddaten!$A67="Geprüft",Programme_Grunddaten!AW67&lt;&gt;""),Programme_Grunddaten!AW67,"")</f>
        <v/>
      </c>
      <c r="I59" t="str">
        <f>IF(AND(Programme_Grunddaten!$A67="Geprüft",Programme_Grunddaten!AX67&lt;&gt;""),Programme_Grunddaten!AX67,"")</f>
        <v/>
      </c>
    </row>
    <row r="60" spans="1:9" x14ac:dyDescent="0.3">
      <c r="A60" s="1" t="str">
        <f>IF(AND(Programme_Grunddaten!$A68="Geprüft",Programme_Grunddaten!B68&lt;&gt;""),Programme_Grunddaten!B68,"")</f>
        <v/>
      </c>
      <c r="B60" s="1" t="str">
        <f>IF(AND(Programme_Grunddaten!$A68="Geprüft",Programme_Grunddaten!C68&lt;&gt;""),Programme_Grunddaten!C68,"")</f>
        <v/>
      </c>
      <c r="C60" s="1" t="str">
        <f>IF(AND(Programme_Grunddaten!$A68="Geprüft",Programme_Grunddaten!D68&lt;&gt;""),Programme_Grunddaten!D68,"")</f>
        <v/>
      </c>
      <c r="D60" s="2" t="str">
        <f>IF(AND(Programme_Grunddaten!$A68="Geprüft",Programme_Grunddaten!E68&lt;&gt;""),Programme_Grunddaten!E68,"")</f>
        <v/>
      </c>
      <c r="E60" t="str">
        <f>IF(AND(Programme_Grunddaten!$A68="Geprüft",Programme_Grunddaten!G68&lt;&gt;""),Programme_Grunddaten!G68,"")</f>
        <v/>
      </c>
      <c r="F60" t="str">
        <f>IF(AND(Programme_Grunddaten!$A68="Geprüft",Programme_Grunddaten!F68&lt;&gt;""),Programme_Grunddaten!F68,"")</f>
        <v/>
      </c>
      <c r="G60" s="3" t="str">
        <f>IF(AND(Programme_Grunddaten!$A68="Geprüft",Programme_Grunddaten!S68&lt;&gt;""),Programme_Grunddaten!S68,"")</f>
        <v/>
      </c>
      <c r="H60" t="str">
        <f>IF(AND(Programme_Grunddaten!$A68="Geprüft",Programme_Grunddaten!AW68&lt;&gt;""),Programme_Grunddaten!AW68,"")</f>
        <v/>
      </c>
      <c r="I60" t="str">
        <f>IF(AND(Programme_Grunddaten!$A68="Geprüft",Programme_Grunddaten!AX68&lt;&gt;""),Programme_Grunddaten!AX68,"")</f>
        <v/>
      </c>
    </row>
    <row r="61" spans="1:9" x14ac:dyDescent="0.3">
      <c r="A61" s="1" t="str">
        <f>IF(AND(Programme_Grunddaten!$A69="Geprüft",Programme_Grunddaten!B69&lt;&gt;""),Programme_Grunddaten!B69,"")</f>
        <v/>
      </c>
      <c r="B61" s="1" t="str">
        <f>IF(AND(Programme_Grunddaten!$A69="Geprüft",Programme_Grunddaten!C69&lt;&gt;""),Programme_Grunddaten!C69,"")</f>
        <v/>
      </c>
      <c r="C61" s="1" t="str">
        <f>IF(AND(Programme_Grunddaten!$A69="Geprüft",Programme_Grunddaten!D69&lt;&gt;""),Programme_Grunddaten!D69,"")</f>
        <v/>
      </c>
      <c r="D61" s="2" t="str">
        <f>IF(AND(Programme_Grunddaten!$A69="Geprüft",Programme_Grunddaten!E69&lt;&gt;""),Programme_Grunddaten!E69,"")</f>
        <v/>
      </c>
      <c r="E61" t="str">
        <f>IF(AND(Programme_Grunddaten!$A69="Geprüft",Programme_Grunddaten!G69&lt;&gt;""),Programme_Grunddaten!G69,"")</f>
        <v/>
      </c>
      <c r="F61" t="str">
        <f>IF(AND(Programme_Grunddaten!$A69="Geprüft",Programme_Grunddaten!F69&lt;&gt;""),Programme_Grunddaten!F69,"")</f>
        <v/>
      </c>
      <c r="G61" s="3" t="str">
        <f>IF(AND(Programme_Grunddaten!$A69="Geprüft",Programme_Grunddaten!S69&lt;&gt;""),Programme_Grunddaten!S69,"")</f>
        <v/>
      </c>
      <c r="H61" t="str">
        <f>IF(AND(Programme_Grunddaten!$A69="Geprüft",Programme_Grunddaten!AW69&lt;&gt;""),Programme_Grunddaten!AW69,"")</f>
        <v/>
      </c>
      <c r="I61" t="str">
        <f>IF(AND(Programme_Grunddaten!$A69="Geprüft",Programme_Grunddaten!AX69&lt;&gt;""),Programme_Grunddaten!AX69,"")</f>
        <v/>
      </c>
    </row>
    <row r="62" spans="1:9" x14ac:dyDescent="0.3">
      <c r="A62" s="1" t="str">
        <f>IF(AND(Programme_Grunddaten!$A70="Geprüft",Programme_Grunddaten!B70&lt;&gt;""),Programme_Grunddaten!B70,"")</f>
        <v/>
      </c>
      <c r="B62" s="1" t="str">
        <f>IF(AND(Programme_Grunddaten!$A70="Geprüft",Programme_Grunddaten!C70&lt;&gt;""),Programme_Grunddaten!C70,"")</f>
        <v/>
      </c>
      <c r="C62" s="1" t="str">
        <f>IF(AND(Programme_Grunddaten!$A70="Geprüft",Programme_Grunddaten!D70&lt;&gt;""),Programme_Grunddaten!D70,"")</f>
        <v/>
      </c>
      <c r="D62" s="2" t="str">
        <f>IF(AND(Programme_Grunddaten!$A70="Geprüft",Programme_Grunddaten!E70&lt;&gt;""),Programme_Grunddaten!E70,"")</f>
        <v/>
      </c>
      <c r="E62" t="str">
        <f>IF(AND(Programme_Grunddaten!$A70="Geprüft",Programme_Grunddaten!G70&lt;&gt;""),Programme_Grunddaten!G70,"")</f>
        <v/>
      </c>
      <c r="F62" t="str">
        <f>IF(AND(Programme_Grunddaten!$A70="Geprüft",Programme_Grunddaten!F70&lt;&gt;""),Programme_Grunddaten!F70,"")</f>
        <v/>
      </c>
      <c r="G62" s="3" t="str">
        <f>IF(AND(Programme_Grunddaten!$A70="Geprüft",Programme_Grunddaten!S70&lt;&gt;""),Programme_Grunddaten!S70,"")</f>
        <v/>
      </c>
      <c r="H62" t="str">
        <f>IF(AND(Programme_Grunddaten!$A70="Geprüft",Programme_Grunddaten!AW70&lt;&gt;""),Programme_Grunddaten!AW70,"")</f>
        <v/>
      </c>
      <c r="I62" t="str">
        <f>IF(AND(Programme_Grunddaten!$A70="Geprüft",Programme_Grunddaten!AX70&lt;&gt;""),Programme_Grunddaten!AX70,"")</f>
        <v/>
      </c>
    </row>
    <row r="63" spans="1:9" x14ac:dyDescent="0.3">
      <c r="A63" s="1" t="str">
        <f>IF(AND(Programme_Grunddaten!$A71="Geprüft",Programme_Grunddaten!B71&lt;&gt;""),Programme_Grunddaten!B71,"")</f>
        <v/>
      </c>
      <c r="B63" s="1" t="str">
        <f>IF(AND(Programme_Grunddaten!$A71="Geprüft",Programme_Grunddaten!C71&lt;&gt;""),Programme_Grunddaten!C71,"")</f>
        <v/>
      </c>
      <c r="C63" s="1" t="str">
        <f>IF(AND(Programme_Grunddaten!$A71="Geprüft",Programme_Grunddaten!D71&lt;&gt;""),Programme_Grunddaten!D71,"")</f>
        <v/>
      </c>
      <c r="D63" s="2" t="str">
        <f>IF(AND(Programme_Grunddaten!$A71="Geprüft",Programme_Grunddaten!E71&lt;&gt;""),Programme_Grunddaten!E71,"")</f>
        <v/>
      </c>
      <c r="E63" t="str">
        <f>IF(AND(Programme_Grunddaten!$A71="Geprüft",Programme_Grunddaten!G71&lt;&gt;""),Programme_Grunddaten!G71,"")</f>
        <v/>
      </c>
      <c r="F63" t="str">
        <f>IF(AND(Programme_Grunddaten!$A71="Geprüft",Programme_Grunddaten!F71&lt;&gt;""),Programme_Grunddaten!F71,"")</f>
        <v/>
      </c>
      <c r="G63" s="3" t="str">
        <f>IF(AND(Programme_Grunddaten!$A71="Geprüft",Programme_Grunddaten!S71&lt;&gt;""),Programme_Grunddaten!S71,"")</f>
        <v/>
      </c>
      <c r="H63" t="str">
        <f>IF(AND(Programme_Grunddaten!$A71="Geprüft",Programme_Grunddaten!AW71&lt;&gt;""),Programme_Grunddaten!AW71,"")</f>
        <v/>
      </c>
      <c r="I63" t="str">
        <f>IF(AND(Programme_Grunddaten!$A71="Geprüft",Programme_Grunddaten!AX71&lt;&gt;""),Programme_Grunddaten!AX71,"")</f>
        <v/>
      </c>
    </row>
    <row r="64" spans="1:9" x14ac:dyDescent="0.3">
      <c r="A64" s="1" t="str">
        <f>IF(AND(Programme_Grunddaten!$A72="Geprüft",Programme_Grunddaten!B72&lt;&gt;""),Programme_Grunddaten!B72,"")</f>
        <v/>
      </c>
      <c r="B64" s="1" t="str">
        <f>IF(AND(Programme_Grunddaten!$A72="Geprüft",Programme_Grunddaten!C72&lt;&gt;""),Programme_Grunddaten!C72,"")</f>
        <v/>
      </c>
      <c r="C64" s="1" t="str">
        <f>IF(AND(Programme_Grunddaten!$A72="Geprüft",Programme_Grunddaten!D72&lt;&gt;""),Programme_Grunddaten!D72,"")</f>
        <v/>
      </c>
      <c r="D64" s="2" t="str">
        <f>IF(AND(Programme_Grunddaten!$A72="Geprüft",Programme_Grunddaten!E72&lt;&gt;""),Programme_Grunddaten!E72,"")</f>
        <v/>
      </c>
      <c r="E64" t="str">
        <f>IF(AND(Programme_Grunddaten!$A72="Geprüft",Programme_Grunddaten!G72&lt;&gt;""),Programme_Grunddaten!G72,"")</f>
        <v/>
      </c>
      <c r="F64" t="str">
        <f>IF(AND(Programme_Grunddaten!$A72="Geprüft",Programme_Grunddaten!F72&lt;&gt;""),Programme_Grunddaten!F72,"")</f>
        <v/>
      </c>
      <c r="G64" s="3" t="str">
        <f>IF(AND(Programme_Grunddaten!$A72="Geprüft",Programme_Grunddaten!S72&lt;&gt;""),Programme_Grunddaten!S72,"")</f>
        <v/>
      </c>
      <c r="H64" t="str">
        <f>IF(AND(Programme_Grunddaten!$A72="Geprüft",Programme_Grunddaten!AW72&lt;&gt;""),Programme_Grunddaten!AW72,"")</f>
        <v/>
      </c>
      <c r="I64" t="str">
        <f>IF(AND(Programme_Grunddaten!$A72="Geprüft",Programme_Grunddaten!AX72&lt;&gt;""),Programme_Grunddaten!AX72,"")</f>
        <v/>
      </c>
    </row>
    <row r="65" spans="1:9" x14ac:dyDescent="0.3">
      <c r="A65" s="1" t="str">
        <f>IF(AND(Programme_Grunddaten!$A73="Geprüft",Programme_Grunddaten!B73&lt;&gt;""),Programme_Grunddaten!B73,"")</f>
        <v/>
      </c>
      <c r="B65" s="1" t="str">
        <f>IF(AND(Programme_Grunddaten!$A73="Geprüft",Programme_Grunddaten!C73&lt;&gt;""),Programme_Grunddaten!C73,"")</f>
        <v/>
      </c>
      <c r="C65" s="1" t="str">
        <f>IF(AND(Programme_Grunddaten!$A73="Geprüft",Programme_Grunddaten!D73&lt;&gt;""),Programme_Grunddaten!D73,"")</f>
        <v/>
      </c>
      <c r="D65" s="2" t="str">
        <f>IF(AND(Programme_Grunddaten!$A73="Geprüft",Programme_Grunddaten!E73&lt;&gt;""),Programme_Grunddaten!E73,"")</f>
        <v/>
      </c>
      <c r="E65" t="str">
        <f>IF(AND(Programme_Grunddaten!$A73="Geprüft",Programme_Grunddaten!G73&lt;&gt;""),Programme_Grunddaten!G73,"")</f>
        <v/>
      </c>
      <c r="F65" t="str">
        <f>IF(AND(Programme_Grunddaten!$A73="Geprüft",Programme_Grunddaten!F73&lt;&gt;""),Programme_Grunddaten!F73,"")</f>
        <v/>
      </c>
      <c r="G65" s="3" t="str">
        <f>IF(AND(Programme_Grunddaten!$A73="Geprüft",Programme_Grunddaten!S73&lt;&gt;""),Programme_Grunddaten!S73,"")</f>
        <v/>
      </c>
      <c r="H65" t="str">
        <f>IF(AND(Programme_Grunddaten!$A73="Geprüft",Programme_Grunddaten!AW73&lt;&gt;""),Programme_Grunddaten!AW73,"")</f>
        <v/>
      </c>
      <c r="I65" t="str">
        <f>IF(AND(Programme_Grunddaten!$A73="Geprüft",Programme_Grunddaten!AX73&lt;&gt;""),Programme_Grunddaten!AX73,"")</f>
        <v/>
      </c>
    </row>
    <row r="66" spans="1:9" x14ac:dyDescent="0.3">
      <c r="A66" s="1" t="str">
        <f>IF(AND(Programme_Grunddaten!$A74="Geprüft",Programme_Grunddaten!B74&lt;&gt;""),Programme_Grunddaten!B74,"")</f>
        <v/>
      </c>
      <c r="B66" s="1" t="str">
        <f>IF(AND(Programme_Grunddaten!$A74="Geprüft",Programme_Grunddaten!C74&lt;&gt;""),Programme_Grunddaten!C74,"")</f>
        <v/>
      </c>
      <c r="C66" s="1" t="str">
        <f>IF(AND(Programme_Grunddaten!$A74="Geprüft",Programme_Grunddaten!D74&lt;&gt;""),Programme_Grunddaten!D74,"")</f>
        <v/>
      </c>
      <c r="D66" s="2" t="str">
        <f>IF(AND(Programme_Grunddaten!$A74="Geprüft",Programme_Grunddaten!E74&lt;&gt;""),Programme_Grunddaten!E74,"")</f>
        <v/>
      </c>
      <c r="E66" t="str">
        <f>IF(AND(Programme_Grunddaten!$A74="Geprüft",Programme_Grunddaten!G74&lt;&gt;""),Programme_Grunddaten!G74,"")</f>
        <v/>
      </c>
      <c r="F66" t="str">
        <f>IF(AND(Programme_Grunddaten!$A74="Geprüft",Programme_Grunddaten!F74&lt;&gt;""),Programme_Grunddaten!F74,"")</f>
        <v/>
      </c>
      <c r="G66" s="3" t="str">
        <f>IF(AND(Programme_Grunddaten!$A74="Geprüft",Programme_Grunddaten!S74&lt;&gt;""),Programme_Grunddaten!S74,"")</f>
        <v/>
      </c>
      <c r="H66" t="str">
        <f>IF(AND(Programme_Grunddaten!$A74="Geprüft",Programme_Grunddaten!AW74&lt;&gt;""),Programme_Grunddaten!AW74,"")</f>
        <v/>
      </c>
      <c r="I66" t="str">
        <f>IF(AND(Programme_Grunddaten!$A74="Geprüft",Programme_Grunddaten!AX74&lt;&gt;""),Programme_Grunddaten!AX74,"")</f>
        <v/>
      </c>
    </row>
    <row r="67" spans="1:9" x14ac:dyDescent="0.3">
      <c r="A67" s="1" t="str">
        <f>IF(AND(Programme_Grunddaten!$A75="Geprüft",Programme_Grunddaten!B75&lt;&gt;""),Programme_Grunddaten!B75,"")</f>
        <v/>
      </c>
      <c r="B67" s="1" t="str">
        <f>IF(AND(Programme_Grunddaten!$A75="Geprüft",Programme_Grunddaten!C75&lt;&gt;""),Programme_Grunddaten!C75,"")</f>
        <v/>
      </c>
      <c r="C67" s="1" t="str">
        <f>IF(AND(Programme_Grunddaten!$A75="Geprüft",Programme_Grunddaten!D75&lt;&gt;""),Programme_Grunddaten!D75,"")</f>
        <v/>
      </c>
      <c r="D67" s="2" t="str">
        <f>IF(AND(Programme_Grunddaten!$A75="Geprüft",Programme_Grunddaten!E75&lt;&gt;""),Programme_Grunddaten!E75,"")</f>
        <v/>
      </c>
      <c r="E67" t="str">
        <f>IF(AND(Programme_Grunddaten!$A75="Geprüft",Programme_Grunddaten!G75&lt;&gt;""),Programme_Grunddaten!G75,"")</f>
        <v/>
      </c>
      <c r="F67" t="str">
        <f>IF(AND(Programme_Grunddaten!$A75="Geprüft",Programme_Grunddaten!F75&lt;&gt;""),Programme_Grunddaten!F75,"")</f>
        <v/>
      </c>
      <c r="G67" s="3" t="str">
        <f>IF(AND(Programme_Grunddaten!$A75="Geprüft",Programme_Grunddaten!S75&lt;&gt;""),Programme_Grunddaten!S75,"")</f>
        <v/>
      </c>
      <c r="H67" t="str">
        <f>IF(AND(Programme_Grunddaten!$A75="Geprüft",Programme_Grunddaten!AW75&lt;&gt;""),Programme_Grunddaten!AW75,"")</f>
        <v/>
      </c>
      <c r="I67" t="str">
        <f>IF(AND(Programme_Grunddaten!$A75="Geprüft",Programme_Grunddaten!AX75&lt;&gt;""),Programme_Grunddaten!AX75,"")</f>
        <v/>
      </c>
    </row>
    <row r="68" spans="1:9" x14ac:dyDescent="0.3">
      <c r="A68" s="1" t="str">
        <f>IF(AND(Programme_Grunddaten!$A76="Geprüft",Programme_Grunddaten!B76&lt;&gt;""),Programme_Grunddaten!B76,"")</f>
        <v/>
      </c>
      <c r="B68" s="1" t="str">
        <f>IF(AND(Programme_Grunddaten!$A76="Geprüft",Programme_Grunddaten!C76&lt;&gt;""),Programme_Grunddaten!C76,"")</f>
        <v/>
      </c>
      <c r="C68" s="1" t="str">
        <f>IF(AND(Programme_Grunddaten!$A76="Geprüft",Programme_Grunddaten!D76&lt;&gt;""),Programme_Grunddaten!D76,"")</f>
        <v/>
      </c>
      <c r="D68" s="2" t="str">
        <f>IF(AND(Programme_Grunddaten!$A76="Geprüft",Programme_Grunddaten!E76&lt;&gt;""),Programme_Grunddaten!E76,"")</f>
        <v/>
      </c>
      <c r="E68" t="str">
        <f>IF(AND(Programme_Grunddaten!$A76="Geprüft",Programme_Grunddaten!G76&lt;&gt;""),Programme_Grunddaten!G76,"")</f>
        <v/>
      </c>
      <c r="F68" t="str">
        <f>IF(AND(Programme_Grunddaten!$A76="Geprüft",Programme_Grunddaten!F76&lt;&gt;""),Programme_Grunddaten!F76,"")</f>
        <v/>
      </c>
      <c r="G68" s="3" t="str">
        <f>IF(AND(Programme_Grunddaten!$A76="Geprüft",Programme_Grunddaten!S76&lt;&gt;""),Programme_Grunddaten!S76,"")</f>
        <v/>
      </c>
      <c r="H68" t="str">
        <f>IF(AND(Programme_Grunddaten!$A76="Geprüft",Programme_Grunddaten!AW76&lt;&gt;""),Programme_Grunddaten!AW76,"")</f>
        <v/>
      </c>
      <c r="I68" t="str">
        <f>IF(AND(Programme_Grunddaten!$A76="Geprüft",Programme_Grunddaten!AX76&lt;&gt;""),Programme_Grunddaten!AX76,"")</f>
        <v/>
      </c>
    </row>
    <row r="69" spans="1:9" x14ac:dyDescent="0.3">
      <c r="A69" s="1" t="str">
        <f>IF(AND(Programme_Grunddaten!$A77="Geprüft",Programme_Grunddaten!B77&lt;&gt;""),Programme_Grunddaten!B77,"")</f>
        <v/>
      </c>
      <c r="B69" s="1" t="str">
        <f>IF(AND(Programme_Grunddaten!$A77="Geprüft",Programme_Grunddaten!C77&lt;&gt;""),Programme_Grunddaten!C77,"")</f>
        <v/>
      </c>
      <c r="C69" s="1" t="str">
        <f>IF(AND(Programme_Grunddaten!$A77="Geprüft",Programme_Grunddaten!D77&lt;&gt;""),Programme_Grunddaten!D77,"")</f>
        <v/>
      </c>
      <c r="D69" s="2" t="str">
        <f>IF(AND(Programme_Grunddaten!$A77="Geprüft",Programme_Grunddaten!E77&lt;&gt;""),Programme_Grunddaten!E77,"")</f>
        <v/>
      </c>
      <c r="E69" t="str">
        <f>IF(AND(Programme_Grunddaten!$A77="Geprüft",Programme_Grunddaten!G77&lt;&gt;""),Programme_Grunddaten!G77,"")</f>
        <v/>
      </c>
      <c r="F69" t="str">
        <f>IF(AND(Programme_Grunddaten!$A77="Geprüft",Programme_Grunddaten!F77&lt;&gt;""),Programme_Grunddaten!F77,"")</f>
        <v/>
      </c>
      <c r="G69" s="3" t="str">
        <f>IF(AND(Programme_Grunddaten!$A77="Geprüft",Programme_Grunddaten!S77&lt;&gt;""),Programme_Grunddaten!S77,"")</f>
        <v/>
      </c>
      <c r="H69" t="str">
        <f>IF(AND(Programme_Grunddaten!$A77="Geprüft",Programme_Grunddaten!AW77&lt;&gt;""),Programme_Grunddaten!AW77,"")</f>
        <v/>
      </c>
      <c r="I69" t="str">
        <f>IF(AND(Programme_Grunddaten!$A77="Geprüft",Programme_Grunddaten!AX77&lt;&gt;""),Programme_Grunddaten!AX77,"")</f>
        <v/>
      </c>
    </row>
    <row r="70" spans="1:9" x14ac:dyDescent="0.3">
      <c r="A70" s="1" t="str">
        <f>IF(AND(Programme_Grunddaten!$A78="Geprüft",Programme_Grunddaten!B78&lt;&gt;""),Programme_Grunddaten!B78,"")</f>
        <v/>
      </c>
      <c r="B70" s="1" t="str">
        <f>IF(AND(Programme_Grunddaten!$A78="Geprüft",Programme_Grunddaten!C78&lt;&gt;""),Programme_Grunddaten!C78,"")</f>
        <v/>
      </c>
      <c r="C70" s="1" t="str">
        <f>IF(AND(Programme_Grunddaten!$A78="Geprüft",Programme_Grunddaten!D78&lt;&gt;""),Programme_Grunddaten!D78,"")</f>
        <v/>
      </c>
      <c r="D70" s="2" t="str">
        <f>IF(AND(Programme_Grunddaten!$A78="Geprüft",Programme_Grunddaten!E78&lt;&gt;""),Programme_Grunddaten!E78,"")</f>
        <v/>
      </c>
      <c r="E70" t="str">
        <f>IF(AND(Programme_Grunddaten!$A78="Geprüft",Programme_Grunddaten!G78&lt;&gt;""),Programme_Grunddaten!G78,"")</f>
        <v/>
      </c>
      <c r="F70" t="str">
        <f>IF(AND(Programme_Grunddaten!$A78="Geprüft",Programme_Grunddaten!F78&lt;&gt;""),Programme_Grunddaten!F78,"")</f>
        <v/>
      </c>
      <c r="G70" s="3" t="str">
        <f>IF(AND(Programme_Grunddaten!$A78="Geprüft",Programme_Grunddaten!S78&lt;&gt;""),Programme_Grunddaten!S78,"")</f>
        <v/>
      </c>
      <c r="H70" t="str">
        <f>IF(AND(Programme_Grunddaten!$A78="Geprüft",Programme_Grunddaten!AW78&lt;&gt;""),Programme_Grunddaten!AW78,"")</f>
        <v/>
      </c>
      <c r="I70" t="str">
        <f>IF(AND(Programme_Grunddaten!$A78="Geprüft",Programme_Grunddaten!AX78&lt;&gt;""),Programme_Grunddaten!AX78,"")</f>
        <v/>
      </c>
    </row>
    <row r="71" spans="1:9" x14ac:dyDescent="0.3">
      <c r="A71" s="1" t="str">
        <f>IF(AND(Programme_Grunddaten!$A79="Geprüft",Programme_Grunddaten!B79&lt;&gt;""),Programme_Grunddaten!B79,"")</f>
        <v/>
      </c>
      <c r="B71" s="1" t="str">
        <f>IF(AND(Programme_Grunddaten!$A79="Geprüft",Programme_Grunddaten!C79&lt;&gt;""),Programme_Grunddaten!C79,"")</f>
        <v/>
      </c>
      <c r="C71" s="1" t="str">
        <f>IF(AND(Programme_Grunddaten!$A79="Geprüft",Programme_Grunddaten!D79&lt;&gt;""),Programme_Grunddaten!D79,"")</f>
        <v/>
      </c>
      <c r="D71" s="2" t="str">
        <f>IF(AND(Programme_Grunddaten!$A79="Geprüft",Programme_Grunddaten!E79&lt;&gt;""),Programme_Grunddaten!E79,"")</f>
        <v/>
      </c>
      <c r="E71" t="str">
        <f>IF(AND(Programme_Grunddaten!$A79="Geprüft",Programme_Grunddaten!G79&lt;&gt;""),Programme_Grunddaten!G79,"")</f>
        <v/>
      </c>
      <c r="F71" t="str">
        <f>IF(AND(Programme_Grunddaten!$A79="Geprüft",Programme_Grunddaten!F79&lt;&gt;""),Programme_Grunddaten!F79,"")</f>
        <v/>
      </c>
      <c r="G71" s="3" t="str">
        <f>IF(AND(Programme_Grunddaten!$A79="Geprüft",Programme_Grunddaten!S79&lt;&gt;""),Programme_Grunddaten!S79,"")</f>
        <v/>
      </c>
      <c r="H71" t="str">
        <f>IF(AND(Programme_Grunddaten!$A79="Geprüft",Programme_Grunddaten!AW79&lt;&gt;""),Programme_Grunddaten!AW79,"")</f>
        <v/>
      </c>
      <c r="I71" t="str">
        <f>IF(AND(Programme_Grunddaten!$A79="Geprüft",Programme_Grunddaten!AX79&lt;&gt;""),Programme_Grunddaten!AX79,"")</f>
        <v/>
      </c>
    </row>
    <row r="72" spans="1:9" x14ac:dyDescent="0.3">
      <c r="A72" s="1" t="str">
        <f>IF(AND(Programme_Grunddaten!$A80="Geprüft",Programme_Grunddaten!B80&lt;&gt;""),Programme_Grunddaten!B80,"")</f>
        <v/>
      </c>
      <c r="B72" s="1" t="str">
        <f>IF(AND(Programme_Grunddaten!$A80="Geprüft",Programme_Grunddaten!C80&lt;&gt;""),Programme_Grunddaten!C80,"")</f>
        <v/>
      </c>
      <c r="C72" s="1" t="str">
        <f>IF(AND(Programme_Grunddaten!$A80="Geprüft",Programme_Grunddaten!D80&lt;&gt;""),Programme_Grunddaten!D80,"")</f>
        <v/>
      </c>
      <c r="D72" s="2" t="str">
        <f>IF(AND(Programme_Grunddaten!$A80="Geprüft",Programme_Grunddaten!E80&lt;&gt;""),Programme_Grunddaten!E80,"")</f>
        <v/>
      </c>
      <c r="E72" t="str">
        <f>IF(AND(Programme_Grunddaten!$A80="Geprüft",Programme_Grunddaten!G80&lt;&gt;""),Programme_Grunddaten!G80,"")</f>
        <v/>
      </c>
      <c r="F72" t="str">
        <f>IF(AND(Programme_Grunddaten!$A80="Geprüft",Programme_Grunddaten!F80&lt;&gt;""),Programme_Grunddaten!F80,"")</f>
        <v/>
      </c>
      <c r="G72" s="3" t="str">
        <f>IF(AND(Programme_Grunddaten!$A80="Geprüft",Programme_Grunddaten!S80&lt;&gt;""),Programme_Grunddaten!S80,"")</f>
        <v/>
      </c>
      <c r="H72" t="str">
        <f>IF(AND(Programme_Grunddaten!$A80="Geprüft",Programme_Grunddaten!AW80&lt;&gt;""),Programme_Grunddaten!AW80,"")</f>
        <v/>
      </c>
      <c r="I72" t="str">
        <f>IF(AND(Programme_Grunddaten!$A80="Geprüft",Programme_Grunddaten!AX80&lt;&gt;""),Programme_Grunddaten!AX80,"")</f>
        <v/>
      </c>
    </row>
    <row r="73" spans="1:9" x14ac:dyDescent="0.3">
      <c r="A73" s="1" t="str">
        <f>IF(AND(Programme_Grunddaten!$A81="Geprüft",Programme_Grunddaten!B81&lt;&gt;""),Programme_Grunddaten!B81,"")</f>
        <v/>
      </c>
      <c r="B73" s="1" t="str">
        <f>IF(AND(Programme_Grunddaten!$A81="Geprüft",Programme_Grunddaten!C81&lt;&gt;""),Programme_Grunddaten!C81,"")</f>
        <v/>
      </c>
      <c r="C73" s="1" t="str">
        <f>IF(AND(Programme_Grunddaten!$A81="Geprüft",Programme_Grunddaten!D81&lt;&gt;""),Programme_Grunddaten!D81,"")</f>
        <v/>
      </c>
      <c r="D73" s="2" t="str">
        <f>IF(AND(Programme_Grunddaten!$A81="Geprüft",Programme_Grunddaten!E81&lt;&gt;""),Programme_Grunddaten!E81,"")</f>
        <v/>
      </c>
      <c r="E73" t="str">
        <f>IF(AND(Programme_Grunddaten!$A81="Geprüft",Programme_Grunddaten!G81&lt;&gt;""),Programme_Grunddaten!G81,"")</f>
        <v/>
      </c>
      <c r="F73" t="str">
        <f>IF(AND(Programme_Grunddaten!$A81="Geprüft",Programme_Grunddaten!F81&lt;&gt;""),Programme_Grunddaten!F81,"")</f>
        <v/>
      </c>
      <c r="G73" s="3" t="str">
        <f>IF(AND(Programme_Grunddaten!$A81="Geprüft",Programme_Grunddaten!S81&lt;&gt;""),Programme_Grunddaten!S81,"")</f>
        <v/>
      </c>
      <c r="H73" t="str">
        <f>IF(AND(Programme_Grunddaten!$A81="Geprüft",Programme_Grunddaten!AW81&lt;&gt;""),Programme_Grunddaten!AW81,"")</f>
        <v/>
      </c>
      <c r="I73" t="str">
        <f>IF(AND(Programme_Grunddaten!$A81="Geprüft",Programme_Grunddaten!AX81&lt;&gt;""),Programme_Grunddaten!AX81,"")</f>
        <v/>
      </c>
    </row>
    <row r="74" spans="1:9" x14ac:dyDescent="0.3">
      <c r="A74" s="1" t="str">
        <f>IF(AND(Programme_Grunddaten!$A82="Geprüft",Programme_Grunddaten!B82&lt;&gt;""),Programme_Grunddaten!B82,"")</f>
        <v/>
      </c>
      <c r="B74" s="1" t="str">
        <f>IF(AND(Programme_Grunddaten!$A82="Geprüft",Programme_Grunddaten!C82&lt;&gt;""),Programme_Grunddaten!C82,"")</f>
        <v/>
      </c>
      <c r="C74" s="1" t="str">
        <f>IF(AND(Programme_Grunddaten!$A82="Geprüft",Programme_Grunddaten!D82&lt;&gt;""),Programme_Grunddaten!D82,"")</f>
        <v/>
      </c>
      <c r="D74" s="2" t="str">
        <f>IF(AND(Programme_Grunddaten!$A82="Geprüft",Programme_Grunddaten!E82&lt;&gt;""),Programme_Grunddaten!E82,"")</f>
        <v/>
      </c>
      <c r="E74" t="str">
        <f>IF(AND(Programme_Grunddaten!$A82="Geprüft",Programme_Grunddaten!G82&lt;&gt;""),Programme_Grunddaten!G82,"")</f>
        <v/>
      </c>
      <c r="F74" t="str">
        <f>IF(AND(Programme_Grunddaten!$A82="Geprüft",Programme_Grunddaten!F82&lt;&gt;""),Programme_Grunddaten!F82,"")</f>
        <v/>
      </c>
      <c r="G74" s="3" t="str">
        <f>IF(AND(Programme_Grunddaten!$A82="Geprüft",Programme_Grunddaten!S82&lt;&gt;""),Programme_Grunddaten!S82,"")</f>
        <v/>
      </c>
      <c r="H74" t="str">
        <f>IF(AND(Programme_Grunddaten!$A82="Geprüft",Programme_Grunddaten!AW82&lt;&gt;""),Programme_Grunddaten!AW82,"")</f>
        <v/>
      </c>
      <c r="I74" t="str">
        <f>IF(AND(Programme_Grunddaten!$A82="Geprüft",Programme_Grunddaten!AX82&lt;&gt;""),Programme_Grunddaten!AX82,"")</f>
        <v/>
      </c>
    </row>
    <row r="75" spans="1:9" x14ac:dyDescent="0.3">
      <c r="A75" s="1" t="str">
        <f>IF(AND(Programme_Grunddaten!$A83="Geprüft",Programme_Grunddaten!B83&lt;&gt;""),Programme_Grunddaten!B83,"")</f>
        <v/>
      </c>
      <c r="B75" s="1" t="str">
        <f>IF(AND(Programme_Grunddaten!$A83="Geprüft",Programme_Grunddaten!C83&lt;&gt;""),Programme_Grunddaten!C83,"")</f>
        <v/>
      </c>
      <c r="C75" s="1" t="str">
        <f>IF(AND(Programme_Grunddaten!$A83="Geprüft",Programme_Grunddaten!D83&lt;&gt;""),Programme_Grunddaten!D83,"")</f>
        <v/>
      </c>
      <c r="D75" s="2" t="str">
        <f>IF(AND(Programme_Grunddaten!$A83="Geprüft",Programme_Grunddaten!E83&lt;&gt;""),Programme_Grunddaten!E83,"")</f>
        <v/>
      </c>
      <c r="E75" t="str">
        <f>IF(AND(Programme_Grunddaten!$A83="Geprüft",Programme_Grunddaten!G83&lt;&gt;""),Programme_Grunddaten!G83,"")</f>
        <v/>
      </c>
      <c r="F75" t="str">
        <f>IF(AND(Programme_Grunddaten!$A83="Geprüft",Programme_Grunddaten!F83&lt;&gt;""),Programme_Grunddaten!F83,"")</f>
        <v/>
      </c>
      <c r="G75" s="3" t="str">
        <f>IF(AND(Programme_Grunddaten!$A83="Geprüft",Programme_Grunddaten!S83&lt;&gt;""),Programme_Grunddaten!S83,"")</f>
        <v/>
      </c>
      <c r="H75" t="str">
        <f>IF(AND(Programme_Grunddaten!$A83="Geprüft",Programme_Grunddaten!AW83&lt;&gt;""),Programme_Grunddaten!AW83,"")</f>
        <v/>
      </c>
      <c r="I75" t="str">
        <f>IF(AND(Programme_Grunddaten!$A83="Geprüft",Programme_Grunddaten!AX83&lt;&gt;""),Programme_Grunddaten!AX83,"")</f>
        <v/>
      </c>
    </row>
    <row r="76" spans="1:9" x14ac:dyDescent="0.3">
      <c r="A76" s="1" t="str">
        <f>IF(AND(Programme_Grunddaten!$A84="Geprüft",Programme_Grunddaten!B84&lt;&gt;""),Programme_Grunddaten!B84,"")</f>
        <v/>
      </c>
      <c r="B76" s="1" t="str">
        <f>IF(AND(Programme_Grunddaten!$A84="Geprüft",Programme_Grunddaten!C84&lt;&gt;""),Programme_Grunddaten!C84,"")</f>
        <v/>
      </c>
      <c r="C76" s="1" t="str">
        <f>IF(AND(Programme_Grunddaten!$A84="Geprüft",Programme_Grunddaten!D84&lt;&gt;""),Programme_Grunddaten!D84,"")</f>
        <v/>
      </c>
      <c r="D76" s="2" t="str">
        <f>IF(AND(Programme_Grunddaten!$A84="Geprüft",Programme_Grunddaten!E84&lt;&gt;""),Programme_Grunddaten!E84,"")</f>
        <v/>
      </c>
      <c r="E76" t="str">
        <f>IF(AND(Programme_Grunddaten!$A84="Geprüft",Programme_Grunddaten!G84&lt;&gt;""),Programme_Grunddaten!G84,"")</f>
        <v/>
      </c>
      <c r="F76" t="str">
        <f>IF(AND(Programme_Grunddaten!$A84="Geprüft",Programme_Grunddaten!F84&lt;&gt;""),Programme_Grunddaten!F84,"")</f>
        <v/>
      </c>
      <c r="G76" s="3" t="str">
        <f>IF(AND(Programme_Grunddaten!$A84="Geprüft",Programme_Grunddaten!S84&lt;&gt;""),Programme_Grunddaten!S84,"")</f>
        <v/>
      </c>
      <c r="H76" t="str">
        <f>IF(AND(Programme_Grunddaten!$A84="Geprüft",Programme_Grunddaten!AW84&lt;&gt;""),Programme_Grunddaten!AW84,"")</f>
        <v/>
      </c>
      <c r="I76" t="str">
        <f>IF(AND(Programme_Grunddaten!$A84="Geprüft",Programme_Grunddaten!AX84&lt;&gt;""),Programme_Grunddaten!AX84,"")</f>
        <v/>
      </c>
    </row>
    <row r="77" spans="1:9" x14ac:dyDescent="0.3">
      <c r="A77" s="1" t="str">
        <f>IF(AND(Programme_Grunddaten!$A85="Geprüft",Programme_Grunddaten!B85&lt;&gt;""),Programme_Grunddaten!B85,"")</f>
        <v/>
      </c>
      <c r="B77" s="1" t="str">
        <f>IF(AND(Programme_Grunddaten!$A85="Geprüft",Programme_Grunddaten!C85&lt;&gt;""),Programme_Grunddaten!C85,"")</f>
        <v/>
      </c>
      <c r="C77" s="1" t="str">
        <f>IF(AND(Programme_Grunddaten!$A85="Geprüft",Programme_Grunddaten!D85&lt;&gt;""),Programme_Grunddaten!D85,"")</f>
        <v/>
      </c>
      <c r="D77" s="2" t="str">
        <f>IF(AND(Programme_Grunddaten!$A85="Geprüft",Programme_Grunddaten!E85&lt;&gt;""),Programme_Grunddaten!E85,"")</f>
        <v/>
      </c>
      <c r="E77" t="str">
        <f>IF(AND(Programme_Grunddaten!$A85="Geprüft",Programme_Grunddaten!G85&lt;&gt;""),Programme_Grunddaten!G85,"")</f>
        <v/>
      </c>
      <c r="F77" t="str">
        <f>IF(AND(Programme_Grunddaten!$A85="Geprüft",Programme_Grunddaten!F85&lt;&gt;""),Programme_Grunddaten!F85,"")</f>
        <v/>
      </c>
      <c r="G77" s="3" t="str">
        <f>IF(AND(Programme_Grunddaten!$A85="Geprüft",Programme_Grunddaten!S85&lt;&gt;""),Programme_Grunddaten!S85,"")</f>
        <v/>
      </c>
      <c r="H77" t="str">
        <f>IF(AND(Programme_Grunddaten!$A85="Geprüft",Programme_Grunddaten!AW85&lt;&gt;""),Programme_Grunddaten!AW85,"")</f>
        <v/>
      </c>
      <c r="I77" t="str">
        <f>IF(AND(Programme_Grunddaten!$A85="Geprüft",Programme_Grunddaten!AX85&lt;&gt;""),Programme_Grunddaten!AX85,"")</f>
        <v/>
      </c>
    </row>
    <row r="78" spans="1:9" x14ac:dyDescent="0.3">
      <c r="A78" s="1" t="str">
        <f>IF(AND(Programme_Grunddaten!$A86="Geprüft",Programme_Grunddaten!B86&lt;&gt;""),Programme_Grunddaten!B86,"")</f>
        <v/>
      </c>
      <c r="B78" s="1" t="str">
        <f>IF(AND(Programme_Grunddaten!$A86="Geprüft",Programme_Grunddaten!C86&lt;&gt;""),Programme_Grunddaten!C86,"")</f>
        <v/>
      </c>
      <c r="C78" s="1" t="str">
        <f>IF(AND(Programme_Grunddaten!$A86="Geprüft",Programme_Grunddaten!D86&lt;&gt;""),Programme_Grunddaten!D86,"")</f>
        <v/>
      </c>
      <c r="D78" s="2" t="str">
        <f>IF(AND(Programme_Grunddaten!$A86="Geprüft",Programme_Grunddaten!E86&lt;&gt;""),Programme_Grunddaten!E86,"")</f>
        <v/>
      </c>
      <c r="E78" t="str">
        <f>IF(AND(Programme_Grunddaten!$A86="Geprüft",Programme_Grunddaten!G86&lt;&gt;""),Programme_Grunddaten!G86,"")</f>
        <v/>
      </c>
      <c r="F78" t="str">
        <f>IF(AND(Programme_Grunddaten!$A86="Geprüft",Programme_Grunddaten!F86&lt;&gt;""),Programme_Grunddaten!F86,"")</f>
        <v/>
      </c>
      <c r="G78" s="3" t="str">
        <f>IF(AND(Programme_Grunddaten!$A86="Geprüft",Programme_Grunddaten!S86&lt;&gt;""),Programme_Grunddaten!S86,"")</f>
        <v/>
      </c>
      <c r="H78" t="str">
        <f>IF(AND(Programme_Grunddaten!$A86="Geprüft",Programme_Grunddaten!AW86&lt;&gt;""),Programme_Grunddaten!AW86,"")</f>
        <v/>
      </c>
      <c r="I78" t="str">
        <f>IF(AND(Programme_Grunddaten!$A86="Geprüft",Programme_Grunddaten!AX86&lt;&gt;""),Programme_Grunddaten!AX86,"")</f>
        <v/>
      </c>
    </row>
    <row r="79" spans="1:9" x14ac:dyDescent="0.3">
      <c r="A79" s="1" t="str">
        <f>IF(AND(Programme_Grunddaten!$A87="Geprüft",Programme_Grunddaten!B87&lt;&gt;""),Programme_Grunddaten!B87,"")</f>
        <v/>
      </c>
      <c r="B79" s="1" t="str">
        <f>IF(AND(Programme_Grunddaten!$A87="Geprüft",Programme_Grunddaten!C87&lt;&gt;""),Programme_Grunddaten!C87,"")</f>
        <v/>
      </c>
      <c r="C79" s="1" t="str">
        <f>IF(AND(Programme_Grunddaten!$A87="Geprüft",Programme_Grunddaten!D87&lt;&gt;""),Programme_Grunddaten!D87,"")</f>
        <v/>
      </c>
      <c r="D79" s="2" t="str">
        <f>IF(AND(Programme_Grunddaten!$A87="Geprüft",Programme_Grunddaten!E87&lt;&gt;""),Programme_Grunddaten!E87,"")</f>
        <v/>
      </c>
      <c r="E79" t="str">
        <f>IF(AND(Programme_Grunddaten!$A87="Geprüft",Programme_Grunddaten!G87&lt;&gt;""),Programme_Grunddaten!G87,"")</f>
        <v/>
      </c>
      <c r="F79" t="str">
        <f>IF(AND(Programme_Grunddaten!$A87="Geprüft",Programme_Grunddaten!F87&lt;&gt;""),Programme_Grunddaten!F87,"")</f>
        <v/>
      </c>
      <c r="G79" s="3" t="str">
        <f>IF(AND(Programme_Grunddaten!$A87="Geprüft",Programme_Grunddaten!S87&lt;&gt;""),Programme_Grunddaten!S87,"")</f>
        <v/>
      </c>
      <c r="H79" t="str">
        <f>IF(AND(Programme_Grunddaten!$A87="Geprüft",Programme_Grunddaten!AW87&lt;&gt;""),Programme_Grunddaten!AW87,"")</f>
        <v/>
      </c>
      <c r="I79" t="str">
        <f>IF(AND(Programme_Grunddaten!$A87="Geprüft",Programme_Grunddaten!AX87&lt;&gt;""),Programme_Grunddaten!AX87,"")</f>
        <v/>
      </c>
    </row>
    <row r="80" spans="1:9" x14ac:dyDescent="0.3">
      <c r="A80" s="1" t="str">
        <f>IF(AND(Programme_Grunddaten!$A88="Geprüft",Programme_Grunddaten!B88&lt;&gt;""),Programme_Grunddaten!B88,"")</f>
        <v/>
      </c>
      <c r="B80" s="1" t="str">
        <f>IF(AND(Programme_Grunddaten!$A88="Geprüft",Programme_Grunddaten!C88&lt;&gt;""),Programme_Grunddaten!C88,"")</f>
        <v/>
      </c>
      <c r="C80" s="1" t="str">
        <f>IF(AND(Programme_Grunddaten!$A88="Geprüft",Programme_Grunddaten!D88&lt;&gt;""),Programme_Grunddaten!D88,"")</f>
        <v/>
      </c>
      <c r="D80" s="2" t="str">
        <f>IF(AND(Programme_Grunddaten!$A88="Geprüft",Programme_Grunddaten!E88&lt;&gt;""),Programme_Grunddaten!E88,"")</f>
        <v/>
      </c>
      <c r="E80" t="str">
        <f>IF(AND(Programme_Grunddaten!$A88="Geprüft",Programme_Grunddaten!G88&lt;&gt;""),Programme_Grunddaten!G88,"")</f>
        <v/>
      </c>
      <c r="F80" t="str">
        <f>IF(AND(Programme_Grunddaten!$A88="Geprüft",Programme_Grunddaten!F88&lt;&gt;""),Programme_Grunddaten!F88,"")</f>
        <v/>
      </c>
      <c r="G80" s="3" t="str">
        <f>IF(AND(Programme_Grunddaten!$A88="Geprüft",Programme_Grunddaten!S88&lt;&gt;""),Programme_Grunddaten!S88,"")</f>
        <v/>
      </c>
      <c r="H80" t="str">
        <f>IF(AND(Programme_Grunddaten!$A88="Geprüft",Programme_Grunddaten!AW88&lt;&gt;""),Programme_Grunddaten!AW88,"")</f>
        <v/>
      </c>
      <c r="I80" t="str">
        <f>IF(AND(Programme_Grunddaten!$A88="Geprüft",Programme_Grunddaten!AX88&lt;&gt;""),Programme_Grunddaten!AX88,"")</f>
        <v/>
      </c>
    </row>
    <row r="81" spans="1:9" x14ac:dyDescent="0.3">
      <c r="A81" s="1" t="str">
        <f>IF(AND(Programme_Grunddaten!$A89="Geprüft",Programme_Grunddaten!B89&lt;&gt;""),Programme_Grunddaten!B89,"")</f>
        <v/>
      </c>
      <c r="B81" s="1" t="str">
        <f>IF(AND(Programme_Grunddaten!$A89="Geprüft",Programme_Grunddaten!C89&lt;&gt;""),Programme_Grunddaten!C89,"")</f>
        <v/>
      </c>
      <c r="C81" s="1" t="str">
        <f>IF(AND(Programme_Grunddaten!$A89="Geprüft",Programme_Grunddaten!D89&lt;&gt;""),Programme_Grunddaten!D89,"")</f>
        <v/>
      </c>
      <c r="D81" s="2" t="str">
        <f>IF(AND(Programme_Grunddaten!$A89="Geprüft",Programme_Grunddaten!E89&lt;&gt;""),Programme_Grunddaten!E89,"")</f>
        <v/>
      </c>
      <c r="E81" t="str">
        <f>IF(AND(Programme_Grunddaten!$A89="Geprüft",Programme_Grunddaten!G89&lt;&gt;""),Programme_Grunddaten!G89,"")</f>
        <v/>
      </c>
      <c r="F81" t="str">
        <f>IF(AND(Programme_Grunddaten!$A89="Geprüft",Programme_Grunddaten!F89&lt;&gt;""),Programme_Grunddaten!F89,"")</f>
        <v/>
      </c>
      <c r="G81" s="3" t="str">
        <f>IF(AND(Programme_Grunddaten!$A89="Geprüft",Programme_Grunddaten!S89&lt;&gt;""),Programme_Grunddaten!S89,"")</f>
        <v/>
      </c>
      <c r="H81" t="str">
        <f>IF(AND(Programme_Grunddaten!$A89="Geprüft",Programme_Grunddaten!AW89&lt;&gt;""),Programme_Grunddaten!AW89,"")</f>
        <v/>
      </c>
      <c r="I81" t="str">
        <f>IF(AND(Programme_Grunddaten!$A89="Geprüft",Programme_Grunddaten!AX89&lt;&gt;""),Programme_Grunddaten!AX89,"")</f>
        <v/>
      </c>
    </row>
    <row r="82" spans="1:9" x14ac:dyDescent="0.3">
      <c r="A82" s="1" t="str">
        <f>IF(AND(Programme_Grunddaten!$A90="Geprüft",Programme_Grunddaten!B90&lt;&gt;""),Programme_Grunddaten!B90,"")</f>
        <v/>
      </c>
      <c r="B82" s="1" t="str">
        <f>IF(AND(Programme_Grunddaten!$A90="Geprüft",Programme_Grunddaten!C90&lt;&gt;""),Programme_Grunddaten!C90,"")</f>
        <v/>
      </c>
      <c r="C82" s="1" t="str">
        <f>IF(AND(Programme_Grunddaten!$A90="Geprüft",Programme_Grunddaten!D90&lt;&gt;""),Programme_Grunddaten!D90,"")</f>
        <v/>
      </c>
      <c r="D82" s="2" t="str">
        <f>IF(AND(Programme_Grunddaten!$A90="Geprüft",Programme_Grunddaten!E90&lt;&gt;""),Programme_Grunddaten!E90,"")</f>
        <v/>
      </c>
      <c r="E82" t="str">
        <f>IF(AND(Programme_Grunddaten!$A90="Geprüft",Programme_Grunddaten!G90&lt;&gt;""),Programme_Grunddaten!G90,"")</f>
        <v/>
      </c>
      <c r="F82" t="str">
        <f>IF(AND(Programme_Grunddaten!$A90="Geprüft",Programme_Grunddaten!F90&lt;&gt;""),Programme_Grunddaten!F90,"")</f>
        <v/>
      </c>
      <c r="G82" s="3" t="str">
        <f>IF(AND(Programme_Grunddaten!$A90="Geprüft",Programme_Grunddaten!S90&lt;&gt;""),Programme_Grunddaten!S90,"")</f>
        <v/>
      </c>
      <c r="H82" t="str">
        <f>IF(AND(Programme_Grunddaten!$A90="Geprüft",Programme_Grunddaten!AW90&lt;&gt;""),Programme_Grunddaten!AW90,"")</f>
        <v/>
      </c>
      <c r="I82" t="str">
        <f>IF(AND(Programme_Grunddaten!$A90="Geprüft",Programme_Grunddaten!AX90&lt;&gt;""),Programme_Grunddaten!AX90,"")</f>
        <v/>
      </c>
    </row>
    <row r="83" spans="1:9" x14ac:dyDescent="0.3">
      <c r="A83" s="1" t="str">
        <f>IF(AND(Programme_Grunddaten!$A91="Geprüft",Programme_Grunddaten!B91&lt;&gt;""),Programme_Grunddaten!B91,"")</f>
        <v/>
      </c>
      <c r="B83" s="1" t="str">
        <f>IF(AND(Programme_Grunddaten!$A91="Geprüft",Programme_Grunddaten!C91&lt;&gt;""),Programme_Grunddaten!C91,"")</f>
        <v/>
      </c>
      <c r="C83" s="1" t="str">
        <f>IF(AND(Programme_Grunddaten!$A91="Geprüft",Programme_Grunddaten!D91&lt;&gt;""),Programme_Grunddaten!D91,"")</f>
        <v/>
      </c>
      <c r="D83" s="2" t="str">
        <f>IF(AND(Programme_Grunddaten!$A91="Geprüft",Programme_Grunddaten!E91&lt;&gt;""),Programme_Grunddaten!E91,"")</f>
        <v/>
      </c>
      <c r="E83" t="str">
        <f>IF(AND(Programme_Grunddaten!$A91="Geprüft",Programme_Grunddaten!G91&lt;&gt;""),Programme_Grunddaten!G91,"")</f>
        <v/>
      </c>
      <c r="F83" t="str">
        <f>IF(AND(Programme_Grunddaten!$A91="Geprüft",Programme_Grunddaten!F91&lt;&gt;""),Programme_Grunddaten!F91,"")</f>
        <v/>
      </c>
      <c r="G83" s="3" t="str">
        <f>IF(AND(Programme_Grunddaten!$A91="Geprüft",Programme_Grunddaten!S91&lt;&gt;""),Programme_Grunddaten!S91,"")</f>
        <v/>
      </c>
      <c r="H83" t="str">
        <f>IF(AND(Programme_Grunddaten!$A91="Geprüft",Programme_Grunddaten!AW91&lt;&gt;""),Programme_Grunddaten!AW91,"")</f>
        <v/>
      </c>
      <c r="I83" t="str">
        <f>IF(AND(Programme_Grunddaten!$A91="Geprüft",Programme_Grunddaten!AX91&lt;&gt;""),Programme_Grunddaten!AX91,"")</f>
        <v/>
      </c>
    </row>
    <row r="84" spans="1:9" x14ac:dyDescent="0.3">
      <c r="A84" s="1" t="str">
        <f>IF(AND(Programme_Grunddaten!$A92="Geprüft",Programme_Grunddaten!B92&lt;&gt;""),Programme_Grunddaten!B92,"")</f>
        <v/>
      </c>
      <c r="B84" s="1" t="str">
        <f>IF(AND(Programme_Grunddaten!$A92="Geprüft",Programme_Grunddaten!C92&lt;&gt;""),Programme_Grunddaten!C92,"")</f>
        <v/>
      </c>
      <c r="C84" s="1" t="str">
        <f>IF(AND(Programme_Grunddaten!$A92="Geprüft",Programme_Grunddaten!D92&lt;&gt;""),Programme_Grunddaten!D92,"")</f>
        <v/>
      </c>
      <c r="D84" s="2" t="str">
        <f>IF(AND(Programme_Grunddaten!$A92="Geprüft",Programme_Grunddaten!E92&lt;&gt;""),Programme_Grunddaten!E92,"")</f>
        <v/>
      </c>
      <c r="E84" t="str">
        <f>IF(AND(Programme_Grunddaten!$A92="Geprüft",Programme_Grunddaten!G92&lt;&gt;""),Programme_Grunddaten!G92,"")</f>
        <v/>
      </c>
      <c r="F84" t="str">
        <f>IF(AND(Programme_Grunddaten!$A92="Geprüft",Programme_Grunddaten!F92&lt;&gt;""),Programme_Grunddaten!F92,"")</f>
        <v/>
      </c>
      <c r="G84" s="3" t="str">
        <f>IF(AND(Programme_Grunddaten!$A92="Geprüft",Programme_Grunddaten!S92&lt;&gt;""),Programme_Grunddaten!S92,"")</f>
        <v/>
      </c>
      <c r="H84" t="str">
        <f>IF(AND(Programme_Grunddaten!$A92="Geprüft",Programme_Grunddaten!AW92&lt;&gt;""),Programme_Grunddaten!AW92,"")</f>
        <v/>
      </c>
      <c r="I84" t="str">
        <f>IF(AND(Programme_Grunddaten!$A92="Geprüft",Programme_Grunddaten!AX92&lt;&gt;""),Programme_Grunddaten!AX92,"")</f>
        <v/>
      </c>
    </row>
    <row r="85" spans="1:9" x14ac:dyDescent="0.3">
      <c r="A85" s="1" t="str">
        <f>IF(AND(Programme_Grunddaten!$A93="Geprüft",Programme_Grunddaten!B93&lt;&gt;""),Programme_Grunddaten!B93,"")</f>
        <v/>
      </c>
      <c r="B85" s="1" t="str">
        <f>IF(AND(Programme_Grunddaten!$A93="Geprüft",Programme_Grunddaten!C93&lt;&gt;""),Programme_Grunddaten!C93,"")</f>
        <v/>
      </c>
      <c r="C85" s="1" t="str">
        <f>IF(AND(Programme_Grunddaten!$A93="Geprüft",Programme_Grunddaten!D93&lt;&gt;""),Programme_Grunddaten!D93,"")</f>
        <v/>
      </c>
      <c r="D85" s="2" t="str">
        <f>IF(AND(Programme_Grunddaten!$A93="Geprüft",Programme_Grunddaten!E93&lt;&gt;""),Programme_Grunddaten!E93,"")</f>
        <v/>
      </c>
      <c r="E85" t="str">
        <f>IF(AND(Programme_Grunddaten!$A93="Geprüft",Programme_Grunddaten!G93&lt;&gt;""),Programme_Grunddaten!G93,"")</f>
        <v/>
      </c>
      <c r="F85" t="str">
        <f>IF(AND(Programme_Grunddaten!$A93="Geprüft",Programme_Grunddaten!F93&lt;&gt;""),Programme_Grunddaten!F93,"")</f>
        <v/>
      </c>
      <c r="G85" s="3" t="str">
        <f>IF(AND(Programme_Grunddaten!$A93="Geprüft",Programme_Grunddaten!S93&lt;&gt;""),Programme_Grunddaten!S93,"")</f>
        <v/>
      </c>
      <c r="H85" t="str">
        <f>IF(AND(Programme_Grunddaten!$A93="Geprüft",Programme_Grunddaten!AW93&lt;&gt;""),Programme_Grunddaten!AW93,"")</f>
        <v/>
      </c>
      <c r="I85" t="str">
        <f>IF(AND(Programme_Grunddaten!$A93="Geprüft",Programme_Grunddaten!AX93&lt;&gt;""),Programme_Grunddaten!AX93,"")</f>
        <v/>
      </c>
    </row>
    <row r="86" spans="1:9" x14ac:dyDescent="0.3">
      <c r="A86" s="1" t="str">
        <f>IF(AND(Programme_Grunddaten!$A94="Geprüft",Programme_Grunddaten!B94&lt;&gt;""),Programme_Grunddaten!B94,"")</f>
        <v/>
      </c>
      <c r="B86" s="1" t="str">
        <f>IF(AND(Programme_Grunddaten!$A94="Geprüft",Programme_Grunddaten!C94&lt;&gt;""),Programme_Grunddaten!C94,"")</f>
        <v/>
      </c>
      <c r="C86" s="1" t="str">
        <f>IF(AND(Programme_Grunddaten!$A94="Geprüft",Programme_Grunddaten!D94&lt;&gt;""),Programme_Grunddaten!D94,"")</f>
        <v/>
      </c>
      <c r="D86" s="2" t="str">
        <f>IF(AND(Programme_Grunddaten!$A94="Geprüft",Programme_Grunddaten!E94&lt;&gt;""),Programme_Grunddaten!E94,"")</f>
        <v/>
      </c>
      <c r="E86" t="str">
        <f>IF(AND(Programme_Grunddaten!$A94="Geprüft",Programme_Grunddaten!G94&lt;&gt;""),Programme_Grunddaten!G94,"")</f>
        <v/>
      </c>
      <c r="F86" t="str">
        <f>IF(AND(Programme_Grunddaten!$A94="Geprüft",Programme_Grunddaten!F94&lt;&gt;""),Programme_Grunddaten!F94,"")</f>
        <v/>
      </c>
      <c r="G86" s="3" t="str">
        <f>IF(AND(Programme_Grunddaten!$A94="Geprüft",Programme_Grunddaten!S94&lt;&gt;""),Programme_Grunddaten!S94,"")</f>
        <v/>
      </c>
      <c r="H86" t="str">
        <f>IF(AND(Programme_Grunddaten!$A94="Geprüft",Programme_Grunddaten!AW94&lt;&gt;""),Programme_Grunddaten!AW94,"")</f>
        <v/>
      </c>
      <c r="I86" t="str">
        <f>IF(AND(Programme_Grunddaten!$A94="Geprüft",Programme_Grunddaten!AX94&lt;&gt;""),Programme_Grunddaten!AX94,"")</f>
        <v/>
      </c>
    </row>
    <row r="87" spans="1:9" x14ac:dyDescent="0.3">
      <c r="A87" s="1" t="str">
        <f>IF(AND(Programme_Grunddaten!$A95="Geprüft",Programme_Grunddaten!B95&lt;&gt;""),Programme_Grunddaten!B95,"")</f>
        <v/>
      </c>
      <c r="B87" s="1" t="str">
        <f>IF(AND(Programme_Grunddaten!$A95="Geprüft",Programme_Grunddaten!C95&lt;&gt;""),Programme_Grunddaten!C95,"")</f>
        <v/>
      </c>
      <c r="C87" s="1" t="str">
        <f>IF(AND(Programme_Grunddaten!$A95="Geprüft",Programme_Grunddaten!D95&lt;&gt;""),Programme_Grunddaten!D95,"")</f>
        <v/>
      </c>
      <c r="D87" s="2" t="str">
        <f>IF(AND(Programme_Grunddaten!$A95="Geprüft",Programme_Grunddaten!E95&lt;&gt;""),Programme_Grunddaten!E95,"")</f>
        <v/>
      </c>
      <c r="E87" t="str">
        <f>IF(AND(Programme_Grunddaten!$A95="Geprüft",Programme_Grunddaten!G95&lt;&gt;""),Programme_Grunddaten!G95,"")</f>
        <v/>
      </c>
      <c r="F87" t="str">
        <f>IF(AND(Programme_Grunddaten!$A95="Geprüft",Programme_Grunddaten!F95&lt;&gt;""),Programme_Grunddaten!F95,"")</f>
        <v/>
      </c>
      <c r="G87" s="3" t="str">
        <f>IF(AND(Programme_Grunddaten!$A95="Geprüft",Programme_Grunddaten!S95&lt;&gt;""),Programme_Grunddaten!S95,"")</f>
        <v/>
      </c>
      <c r="H87" t="str">
        <f>IF(AND(Programme_Grunddaten!$A95="Geprüft",Programme_Grunddaten!AW95&lt;&gt;""),Programme_Grunddaten!AW95,"")</f>
        <v/>
      </c>
      <c r="I87" t="str">
        <f>IF(AND(Programme_Grunddaten!$A95="Geprüft",Programme_Grunddaten!AX95&lt;&gt;""),Programme_Grunddaten!AX95,"")</f>
        <v/>
      </c>
    </row>
    <row r="88" spans="1:9" x14ac:dyDescent="0.3">
      <c r="A88" s="1" t="str">
        <f>IF(AND(Programme_Grunddaten!$A96="Geprüft",Programme_Grunddaten!B96&lt;&gt;""),Programme_Grunddaten!B96,"")</f>
        <v/>
      </c>
      <c r="B88" s="1" t="str">
        <f>IF(AND(Programme_Grunddaten!$A96="Geprüft",Programme_Grunddaten!C96&lt;&gt;""),Programme_Grunddaten!C96,"")</f>
        <v/>
      </c>
      <c r="C88" s="1" t="str">
        <f>IF(AND(Programme_Grunddaten!$A96="Geprüft",Programme_Grunddaten!D96&lt;&gt;""),Programme_Grunddaten!D96,"")</f>
        <v/>
      </c>
      <c r="D88" s="2" t="str">
        <f>IF(AND(Programme_Grunddaten!$A96="Geprüft",Programme_Grunddaten!E96&lt;&gt;""),Programme_Grunddaten!E96,"")</f>
        <v/>
      </c>
      <c r="E88" t="str">
        <f>IF(AND(Programme_Grunddaten!$A96="Geprüft",Programme_Grunddaten!G96&lt;&gt;""),Programme_Grunddaten!G96,"")</f>
        <v/>
      </c>
      <c r="F88" t="str">
        <f>IF(AND(Programme_Grunddaten!$A96="Geprüft",Programme_Grunddaten!F96&lt;&gt;""),Programme_Grunddaten!F96,"")</f>
        <v/>
      </c>
      <c r="G88" s="3" t="str">
        <f>IF(AND(Programme_Grunddaten!$A96="Geprüft",Programme_Grunddaten!S96&lt;&gt;""),Programme_Grunddaten!S96,"")</f>
        <v/>
      </c>
      <c r="H88" t="str">
        <f>IF(AND(Programme_Grunddaten!$A96="Geprüft",Programme_Grunddaten!AW96&lt;&gt;""),Programme_Grunddaten!AW96,"")</f>
        <v/>
      </c>
      <c r="I88" t="str">
        <f>IF(AND(Programme_Grunddaten!$A96="Geprüft",Programme_Grunddaten!AX96&lt;&gt;""),Programme_Grunddaten!AX96,"")</f>
        <v/>
      </c>
    </row>
    <row r="89" spans="1:9" x14ac:dyDescent="0.3">
      <c r="A89" s="1" t="str">
        <f>IF(AND(Programme_Grunddaten!$A97="Geprüft",Programme_Grunddaten!B97&lt;&gt;""),Programme_Grunddaten!B97,"")</f>
        <v/>
      </c>
      <c r="B89" s="1" t="str">
        <f>IF(AND(Programme_Grunddaten!$A97="Geprüft",Programme_Grunddaten!C97&lt;&gt;""),Programme_Grunddaten!C97,"")</f>
        <v/>
      </c>
      <c r="C89" s="1" t="str">
        <f>IF(AND(Programme_Grunddaten!$A97="Geprüft",Programme_Grunddaten!D97&lt;&gt;""),Programme_Grunddaten!D97,"")</f>
        <v/>
      </c>
      <c r="D89" s="2" t="str">
        <f>IF(AND(Programme_Grunddaten!$A97="Geprüft",Programme_Grunddaten!E97&lt;&gt;""),Programme_Grunddaten!E97,"")</f>
        <v/>
      </c>
      <c r="E89" t="str">
        <f>IF(AND(Programme_Grunddaten!$A97="Geprüft",Programme_Grunddaten!G97&lt;&gt;""),Programme_Grunddaten!G97,"")</f>
        <v/>
      </c>
      <c r="F89" t="str">
        <f>IF(AND(Programme_Grunddaten!$A97="Geprüft",Programme_Grunddaten!F97&lt;&gt;""),Programme_Grunddaten!F97,"")</f>
        <v/>
      </c>
      <c r="G89" s="3" t="str">
        <f>IF(AND(Programme_Grunddaten!$A97="Geprüft",Programme_Grunddaten!S97&lt;&gt;""),Programme_Grunddaten!S97,"")</f>
        <v/>
      </c>
      <c r="H89" t="str">
        <f>IF(AND(Programme_Grunddaten!$A97="Geprüft",Programme_Grunddaten!AW97&lt;&gt;""),Programme_Grunddaten!AW97,"")</f>
        <v/>
      </c>
      <c r="I89" t="str">
        <f>IF(AND(Programme_Grunddaten!$A97="Geprüft",Programme_Grunddaten!AX97&lt;&gt;""),Programme_Grunddaten!AX97,"")</f>
        <v/>
      </c>
    </row>
    <row r="90" spans="1:9" x14ac:dyDescent="0.3">
      <c r="A90" s="1" t="str">
        <f>IF(AND(Programme_Grunddaten!$A98="Geprüft",Programme_Grunddaten!B98&lt;&gt;""),Programme_Grunddaten!B98,"")</f>
        <v/>
      </c>
      <c r="B90" s="1" t="str">
        <f>IF(AND(Programme_Grunddaten!$A98="Geprüft",Programme_Grunddaten!C98&lt;&gt;""),Programme_Grunddaten!C98,"")</f>
        <v/>
      </c>
      <c r="C90" s="1" t="str">
        <f>IF(AND(Programme_Grunddaten!$A98="Geprüft",Programme_Grunddaten!D98&lt;&gt;""),Programme_Grunddaten!D98,"")</f>
        <v/>
      </c>
      <c r="D90" s="2" t="str">
        <f>IF(AND(Programme_Grunddaten!$A98="Geprüft",Programme_Grunddaten!E98&lt;&gt;""),Programme_Grunddaten!E98,"")</f>
        <v/>
      </c>
      <c r="E90" t="str">
        <f>IF(AND(Programme_Grunddaten!$A98="Geprüft",Programme_Grunddaten!G98&lt;&gt;""),Programme_Grunddaten!G98,"")</f>
        <v/>
      </c>
      <c r="F90" t="str">
        <f>IF(AND(Programme_Grunddaten!$A98="Geprüft",Programme_Grunddaten!F98&lt;&gt;""),Programme_Grunddaten!F98,"")</f>
        <v/>
      </c>
      <c r="G90" s="3" t="str">
        <f>IF(AND(Programme_Grunddaten!$A98="Geprüft",Programme_Grunddaten!S98&lt;&gt;""),Programme_Grunddaten!S98,"")</f>
        <v/>
      </c>
      <c r="H90" t="str">
        <f>IF(AND(Programme_Grunddaten!$A98="Geprüft",Programme_Grunddaten!AW98&lt;&gt;""),Programme_Grunddaten!AW98,"")</f>
        <v/>
      </c>
      <c r="I90" t="str">
        <f>IF(AND(Programme_Grunddaten!$A98="Geprüft",Programme_Grunddaten!AX98&lt;&gt;""),Programme_Grunddaten!AX98,"")</f>
        <v/>
      </c>
    </row>
    <row r="91" spans="1:9" x14ac:dyDescent="0.3">
      <c r="A91" s="1" t="str">
        <f>IF(AND(Programme_Grunddaten!$A99="Geprüft",Programme_Grunddaten!B99&lt;&gt;""),Programme_Grunddaten!B99,"")</f>
        <v/>
      </c>
      <c r="B91" s="1" t="str">
        <f>IF(AND(Programme_Grunddaten!$A99="Geprüft",Programme_Grunddaten!C99&lt;&gt;""),Programme_Grunddaten!C99,"")</f>
        <v/>
      </c>
      <c r="C91" s="1" t="str">
        <f>IF(AND(Programme_Grunddaten!$A99="Geprüft",Programme_Grunddaten!D99&lt;&gt;""),Programme_Grunddaten!D99,"")</f>
        <v/>
      </c>
      <c r="D91" s="2" t="str">
        <f>IF(AND(Programme_Grunddaten!$A99="Geprüft",Programme_Grunddaten!E99&lt;&gt;""),Programme_Grunddaten!E99,"")</f>
        <v/>
      </c>
      <c r="E91" t="str">
        <f>IF(AND(Programme_Grunddaten!$A99="Geprüft",Programme_Grunddaten!G99&lt;&gt;""),Programme_Grunddaten!G99,"")</f>
        <v/>
      </c>
      <c r="F91" t="str">
        <f>IF(AND(Programme_Grunddaten!$A99="Geprüft",Programme_Grunddaten!F99&lt;&gt;""),Programme_Grunddaten!F99,"")</f>
        <v/>
      </c>
      <c r="G91" s="3" t="str">
        <f>IF(AND(Programme_Grunddaten!$A99="Geprüft",Programme_Grunddaten!S99&lt;&gt;""),Programme_Grunddaten!S99,"")</f>
        <v/>
      </c>
      <c r="H91" t="str">
        <f>IF(AND(Programme_Grunddaten!$A99="Geprüft",Programme_Grunddaten!AW99&lt;&gt;""),Programme_Grunddaten!AW99,"")</f>
        <v/>
      </c>
      <c r="I91" t="str">
        <f>IF(AND(Programme_Grunddaten!$A99="Geprüft",Programme_Grunddaten!AX99&lt;&gt;""),Programme_Grunddaten!AX99,"")</f>
        <v/>
      </c>
    </row>
    <row r="92" spans="1:9" x14ac:dyDescent="0.3">
      <c r="A92" s="1" t="str">
        <f>IF(AND(Programme_Grunddaten!$A100="Geprüft",Programme_Grunddaten!B100&lt;&gt;""),Programme_Grunddaten!B100,"")</f>
        <v/>
      </c>
      <c r="B92" s="1" t="str">
        <f>IF(AND(Programme_Grunddaten!$A100="Geprüft",Programme_Grunddaten!C100&lt;&gt;""),Programme_Grunddaten!C100,"")</f>
        <v/>
      </c>
      <c r="C92" s="1" t="str">
        <f>IF(AND(Programme_Grunddaten!$A100="Geprüft",Programme_Grunddaten!D100&lt;&gt;""),Programme_Grunddaten!D100,"")</f>
        <v/>
      </c>
      <c r="D92" s="2" t="str">
        <f>IF(AND(Programme_Grunddaten!$A100="Geprüft",Programme_Grunddaten!E100&lt;&gt;""),Programme_Grunddaten!E100,"")</f>
        <v/>
      </c>
      <c r="E92" t="str">
        <f>IF(AND(Programme_Grunddaten!$A100="Geprüft",Programme_Grunddaten!G100&lt;&gt;""),Programme_Grunddaten!G100,"")</f>
        <v/>
      </c>
      <c r="F92" t="str">
        <f>IF(AND(Programme_Grunddaten!$A100="Geprüft",Programme_Grunddaten!F100&lt;&gt;""),Programme_Grunddaten!F100,"")</f>
        <v/>
      </c>
      <c r="G92" s="3" t="str">
        <f>IF(AND(Programme_Grunddaten!$A100="Geprüft",Programme_Grunddaten!S100&lt;&gt;""),Programme_Grunddaten!S100,"")</f>
        <v/>
      </c>
      <c r="H92" t="str">
        <f>IF(AND(Programme_Grunddaten!$A100="Geprüft",Programme_Grunddaten!AW100&lt;&gt;""),Programme_Grunddaten!AW100,"")</f>
        <v/>
      </c>
      <c r="I92" t="str">
        <f>IF(AND(Programme_Grunddaten!$A100="Geprüft",Programme_Grunddaten!AX100&lt;&gt;""),Programme_Grunddaten!AX100,"")</f>
        <v/>
      </c>
    </row>
    <row r="93" spans="1:9" x14ac:dyDescent="0.3">
      <c r="A93" s="1" t="str">
        <f>IF(AND(Programme_Grunddaten!$A101="Geprüft",Programme_Grunddaten!B101&lt;&gt;""),Programme_Grunddaten!B101,"")</f>
        <v/>
      </c>
      <c r="B93" s="1" t="str">
        <f>IF(AND(Programme_Grunddaten!$A101="Geprüft",Programme_Grunddaten!C101&lt;&gt;""),Programme_Grunddaten!C101,"")</f>
        <v/>
      </c>
      <c r="C93" s="1" t="str">
        <f>IF(AND(Programme_Grunddaten!$A101="Geprüft",Programme_Grunddaten!D101&lt;&gt;""),Programme_Grunddaten!D101,"")</f>
        <v/>
      </c>
      <c r="D93" s="2" t="str">
        <f>IF(AND(Programme_Grunddaten!$A101="Geprüft",Programme_Grunddaten!E101&lt;&gt;""),Programme_Grunddaten!E101,"")</f>
        <v/>
      </c>
      <c r="E93" t="str">
        <f>IF(AND(Programme_Grunddaten!$A101="Geprüft",Programme_Grunddaten!G101&lt;&gt;""),Programme_Grunddaten!G101,"")</f>
        <v/>
      </c>
      <c r="F93" t="str">
        <f>IF(AND(Programme_Grunddaten!$A101="Geprüft",Programme_Grunddaten!F101&lt;&gt;""),Programme_Grunddaten!F101,"")</f>
        <v/>
      </c>
      <c r="G93" s="3" t="str">
        <f>IF(AND(Programme_Grunddaten!$A101="Geprüft",Programme_Grunddaten!S101&lt;&gt;""),Programme_Grunddaten!S101,"")</f>
        <v/>
      </c>
      <c r="H93" t="str">
        <f>IF(AND(Programme_Grunddaten!$A101="Geprüft",Programme_Grunddaten!AW101&lt;&gt;""),Programme_Grunddaten!AW101,"")</f>
        <v/>
      </c>
      <c r="I93" t="str">
        <f>IF(AND(Programme_Grunddaten!$A101="Geprüft",Programme_Grunddaten!AX101&lt;&gt;""),Programme_Grunddaten!AX101,"")</f>
        <v/>
      </c>
    </row>
    <row r="94" spans="1:9" x14ac:dyDescent="0.3">
      <c r="A94" s="1" t="str">
        <f>IF(AND(Programme_Grunddaten!$A102="Geprüft",Programme_Grunddaten!B102&lt;&gt;""),Programme_Grunddaten!B102,"")</f>
        <v/>
      </c>
      <c r="B94" s="1" t="str">
        <f>IF(AND(Programme_Grunddaten!$A102="Geprüft",Programme_Grunddaten!C102&lt;&gt;""),Programme_Grunddaten!C102,"")</f>
        <v/>
      </c>
      <c r="C94" s="1" t="str">
        <f>IF(AND(Programme_Grunddaten!$A102="Geprüft",Programme_Grunddaten!D102&lt;&gt;""),Programme_Grunddaten!D102,"")</f>
        <v/>
      </c>
      <c r="D94" s="2" t="str">
        <f>IF(AND(Programme_Grunddaten!$A102="Geprüft",Programme_Grunddaten!E102&lt;&gt;""),Programme_Grunddaten!E102,"")</f>
        <v/>
      </c>
      <c r="E94" t="str">
        <f>IF(AND(Programme_Grunddaten!$A102="Geprüft",Programme_Grunddaten!G102&lt;&gt;""),Programme_Grunddaten!G102,"")</f>
        <v/>
      </c>
      <c r="F94" t="str">
        <f>IF(AND(Programme_Grunddaten!$A102="Geprüft",Programme_Grunddaten!F102&lt;&gt;""),Programme_Grunddaten!F102,"")</f>
        <v/>
      </c>
      <c r="G94" s="3" t="str">
        <f>IF(AND(Programme_Grunddaten!$A102="Geprüft",Programme_Grunddaten!S102&lt;&gt;""),Programme_Grunddaten!S102,"")</f>
        <v/>
      </c>
      <c r="H94" t="str">
        <f>IF(AND(Programme_Grunddaten!$A102="Geprüft",Programme_Grunddaten!AW102&lt;&gt;""),Programme_Grunddaten!AW102,"")</f>
        <v/>
      </c>
      <c r="I94" t="str">
        <f>IF(AND(Programme_Grunddaten!$A102="Geprüft",Programme_Grunddaten!AX102&lt;&gt;""),Programme_Grunddaten!AX102,"")</f>
        <v/>
      </c>
    </row>
    <row r="95" spans="1:9" x14ac:dyDescent="0.3">
      <c r="A95" s="1" t="str">
        <f>IF(AND(Programme_Grunddaten!$A103="Geprüft",Programme_Grunddaten!B103&lt;&gt;""),Programme_Grunddaten!B103,"")</f>
        <v/>
      </c>
      <c r="B95" s="1" t="str">
        <f>IF(AND(Programme_Grunddaten!$A103="Geprüft",Programme_Grunddaten!C103&lt;&gt;""),Programme_Grunddaten!C103,"")</f>
        <v/>
      </c>
      <c r="C95" s="1" t="str">
        <f>IF(AND(Programme_Grunddaten!$A103="Geprüft",Programme_Grunddaten!D103&lt;&gt;""),Programme_Grunddaten!D103,"")</f>
        <v/>
      </c>
      <c r="D95" s="2" t="str">
        <f>IF(AND(Programme_Grunddaten!$A103="Geprüft",Programme_Grunddaten!E103&lt;&gt;""),Programme_Grunddaten!E103,"")</f>
        <v/>
      </c>
      <c r="E95" t="str">
        <f>IF(AND(Programme_Grunddaten!$A103="Geprüft",Programme_Grunddaten!G103&lt;&gt;""),Programme_Grunddaten!G103,"")</f>
        <v/>
      </c>
      <c r="F95" t="str">
        <f>IF(AND(Programme_Grunddaten!$A103="Geprüft",Programme_Grunddaten!F103&lt;&gt;""),Programme_Grunddaten!F103,"")</f>
        <v/>
      </c>
      <c r="G95" s="3" t="str">
        <f>IF(AND(Programme_Grunddaten!$A103="Geprüft",Programme_Grunddaten!S103&lt;&gt;""),Programme_Grunddaten!S103,"")</f>
        <v/>
      </c>
      <c r="H95" t="str">
        <f>IF(AND(Programme_Grunddaten!$A103="Geprüft",Programme_Grunddaten!AW103&lt;&gt;""),Programme_Grunddaten!AW103,"")</f>
        <v/>
      </c>
      <c r="I95" t="str">
        <f>IF(AND(Programme_Grunddaten!$A103="Geprüft",Programme_Grunddaten!AX103&lt;&gt;""),Programme_Grunddaten!AX103,"")</f>
        <v/>
      </c>
    </row>
    <row r="96" spans="1:9" x14ac:dyDescent="0.3">
      <c r="A96" s="1" t="str">
        <f>IF(AND(Programme_Grunddaten!$A104="Geprüft",Programme_Grunddaten!B104&lt;&gt;""),Programme_Grunddaten!B104,"")</f>
        <v/>
      </c>
      <c r="B96" s="1" t="str">
        <f>IF(AND(Programme_Grunddaten!$A104="Geprüft",Programme_Grunddaten!C104&lt;&gt;""),Programme_Grunddaten!C104,"")</f>
        <v/>
      </c>
      <c r="C96" s="1" t="str">
        <f>IF(AND(Programme_Grunddaten!$A104="Geprüft",Programme_Grunddaten!D104&lt;&gt;""),Programme_Grunddaten!D104,"")</f>
        <v/>
      </c>
      <c r="D96" s="2" t="str">
        <f>IF(AND(Programme_Grunddaten!$A104="Geprüft",Programme_Grunddaten!E104&lt;&gt;""),Programme_Grunddaten!E104,"")</f>
        <v/>
      </c>
      <c r="E96" t="str">
        <f>IF(AND(Programme_Grunddaten!$A104="Geprüft",Programme_Grunddaten!G104&lt;&gt;""),Programme_Grunddaten!G104,"")</f>
        <v/>
      </c>
      <c r="F96" t="str">
        <f>IF(AND(Programme_Grunddaten!$A104="Geprüft",Programme_Grunddaten!F104&lt;&gt;""),Programme_Grunddaten!F104,"")</f>
        <v/>
      </c>
      <c r="G96" s="3" t="str">
        <f>IF(AND(Programme_Grunddaten!$A104="Geprüft",Programme_Grunddaten!S104&lt;&gt;""),Programme_Grunddaten!S104,"")</f>
        <v/>
      </c>
      <c r="H96" t="str">
        <f>IF(AND(Programme_Grunddaten!$A104="Geprüft",Programme_Grunddaten!AW104&lt;&gt;""),Programme_Grunddaten!AW104,"")</f>
        <v/>
      </c>
      <c r="I96" t="str">
        <f>IF(AND(Programme_Grunddaten!$A104="Geprüft",Programme_Grunddaten!AX104&lt;&gt;""),Programme_Grunddaten!AX104,"")</f>
        <v/>
      </c>
    </row>
    <row r="97" spans="1:9" x14ac:dyDescent="0.3">
      <c r="A97" s="1" t="str">
        <f>IF(AND(Programme_Grunddaten!$A105="Geprüft",Programme_Grunddaten!B105&lt;&gt;""),Programme_Grunddaten!B105,"")</f>
        <v/>
      </c>
      <c r="B97" s="1" t="str">
        <f>IF(AND(Programme_Grunddaten!$A105="Geprüft",Programme_Grunddaten!C105&lt;&gt;""),Programme_Grunddaten!C105,"")</f>
        <v/>
      </c>
      <c r="C97" s="1" t="str">
        <f>IF(AND(Programme_Grunddaten!$A105="Geprüft",Programme_Grunddaten!D105&lt;&gt;""),Programme_Grunddaten!D105,"")</f>
        <v/>
      </c>
      <c r="D97" s="2" t="str">
        <f>IF(AND(Programme_Grunddaten!$A105="Geprüft",Programme_Grunddaten!E105&lt;&gt;""),Programme_Grunddaten!E105,"")</f>
        <v/>
      </c>
      <c r="E97" t="str">
        <f>IF(AND(Programme_Grunddaten!$A105="Geprüft",Programme_Grunddaten!G105&lt;&gt;""),Programme_Grunddaten!G105,"")</f>
        <v/>
      </c>
      <c r="F97" t="str">
        <f>IF(AND(Programme_Grunddaten!$A105="Geprüft",Programme_Grunddaten!F105&lt;&gt;""),Programme_Grunddaten!F105,"")</f>
        <v/>
      </c>
      <c r="G97" s="3" t="str">
        <f>IF(AND(Programme_Grunddaten!$A105="Geprüft",Programme_Grunddaten!S105&lt;&gt;""),Programme_Grunddaten!S105,"")</f>
        <v/>
      </c>
      <c r="H97" t="str">
        <f>IF(AND(Programme_Grunddaten!$A105="Geprüft",Programme_Grunddaten!AW105&lt;&gt;""),Programme_Grunddaten!AW105,"")</f>
        <v/>
      </c>
      <c r="I97" t="str">
        <f>IF(AND(Programme_Grunddaten!$A105="Geprüft",Programme_Grunddaten!AX105&lt;&gt;""),Programme_Grunddaten!AX105,"")</f>
        <v/>
      </c>
    </row>
    <row r="98" spans="1:9" x14ac:dyDescent="0.3">
      <c r="A98" s="1" t="str">
        <f>IF(AND(Programme_Grunddaten!$A106="Geprüft",Programme_Grunddaten!B106&lt;&gt;""),Programme_Grunddaten!B106,"")</f>
        <v/>
      </c>
      <c r="B98" s="1" t="str">
        <f>IF(AND(Programme_Grunddaten!$A106="Geprüft",Programme_Grunddaten!C106&lt;&gt;""),Programme_Grunddaten!C106,"")</f>
        <v/>
      </c>
      <c r="C98" s="1" t="str">
        <f>IF(AND(Programme_Grunddaten!$A106="Geprüft",Programme_Grunddaten!D106&lt;&gt;""),Programme_Grunddaten!D106,"")</f>
        <v/>
      </c>
      <c r="D98" s="2" t="str">
        <f>IF(AND(Programme_Grunddaten!$A106="Geprüft",Programme_Grunddaten!E106&lt;&gt;""),Programme_Grunddaten!E106,"")</f>
        <v/>
      </c>
      <c r="E98" t="str">
        <f>IF(AND(Programme_Grunddaten!$A106="Geprüft",Programme_Grunddaten!G106&lt;&gt;""),Programme_Grunddaten!G106,"")</f>
        <v/>
      </c>
      <c r="F98" t="str">
        <f>IF(AND(Programme_Grunddaten!$A106="Geprüft",Programme_Grunddaten!F106&lt;&gt;""),Programme_Grunddaten!F106,"")</f>
        <v/>
      </c>
      <c r="G98" s="3" t="str">
        <f>IF(AND(Programme_Grunddaten!$A106="Geprüft",Programme_Grunddaten!S106&lt;&gt;""),Programme_Grunddaten!S106,"")</f>
        <v/>
      </c>
      <c r="H98" t="str">
        <f>IF(AND(Programme_Grunddaten!$A106="Geprüft",Programme_Grunddaten!AW106&lt;&gt;""),Programme_Grunddaten!AW106,"")</f>
        <v/>
      </c>
      <c r="I98" t="str">
        <f>IF(AND(Programme_Grunddaten!$A106="Geprüft",Programme_Grunddaten!AX106&lt;&gt;""),Programme_Grunddaten!AX106,"")</f>
        <v/>
      </c>
    </row>
    <row r="99" spans="1:9" x14ac:dyDescent="0.3">
      <c r="A99" s="1" t="str">
        <f>IF(AND(Programme_Grunddaten!$A107="Geprüft",Programme_Grunddaten!B107&lt;&gt;""),Programme_Grunddaten!B107,"")</f>
        <v/>
      </c>
      <c r="B99" s="1" t="str">
        <f>IF(AND(Programme_Grunddaten!$A107="Geprüft",Programme_Grunddaten!C107&lt;&gt;""),Programme_Grunddaten!C107,"")</f>
        <v/>
      </c>
      <c r="C99" s="1" t="str">
        <f>IF(AND(Programme_Grunddaten!$A107="Geprüft",Programme_Grunddaten!D107&lt;&gt;""),Programme_Grunddaten!D107,"")</f>
        <v/>
      </c>
      <c r="D99" s="2" t="str">
        <f>IF(AND(Programme_Grunddaten!$A107="Geprüft",Programme_Grunddaten!E107&lt;&gt;""),Programme_Grunddaten!E107,"")</f>
        <v/>
      </c>
      <c r="E99" t="str">
        <f>IF(AND(Programme_Grunddaten!$A107="Geprüft",Programme_Grunddaten!G107&lt;&gt;""),Programme_Grunddaten!G107,"")</f>
        <v/>
      </c>
      <c r="F99" t="str">
        <f>IF(AND(Programme_Grunddaten!$A107="Geprüft",Programme_Grunddaten!F107&lt;&gt;""),Programme_Grunddaten!F107,"")</f>
        <v/>
      </c>
      <c r="G99" s="3" t="str">
        <f>IF(AND(Programme_Grunddaten!$A107="Geprüft",Programme_Grunddaten!S107&lt;&gt;""),Programme_Grunddaten!S107,"")</f>
        <v/>
      </c>
      <c r="H99" t="str">
        <f>IF(AND(Programme_Grunddaten!$A107="Geprüft",Programme_Grunddaten!AW107&lt;&gt;""),Programme_Grunddaten!AW107,"")</f>
        <v/>
      </c>
      <c r="I99" t="str">
        <f>IF(AND(Programme_Grunddaten!$A107="Geprüft",Programme_Grunddaten!AX107&lt;&gt;""),Programme_Grunddaten!AX107,"")</f>
        <v/>
      </c>
    </row>
    <row r="100" spans="1:9" x14ac:dyDescent="0.3">
      <c r="A100" s="1" t="str">
        <f>IF(AND(Programme_Grunddaten!$A108="Geprüft",Programme_Grunddaten!B108&lt;&gt;""),Programme_Grunddaten!B108,"")</f>
        <v/>
      </c>
      <c r="B100" s="1" t="str">
        <f>IF(AND(Programme_Grunddaten!$A108="Geprüft",Programme_Grunddaten!C108&lt;&gt;""),Programme_Grunddaten!C108,"")</f>
        <v/>
      </c>
      <c r="C100" s="1" t="str">
        <f>IF(AND(Programme_Grunddaten!$A108="Geprüft",Programme_Grunddaten!D108&lt;&gt;""),Programme_Grunddaten!D108,"")</f>
        <v/>
      </c>
      <c r="D100" s="2" t="str">
        <f>IF(AND(Programme_Grunddaten!$A108="Geprüft",Programme_Grunddaten!E108&lt;&gt;""),Programme_Grunddaten!E108,"")</f>
        <v/>
      </c>
      <c r="E100" t="str">
        <f>IF(AND(Programme_Grunddaten!$A108="Geprüft",Programme_Grunddaten!G108&lt;&gt;""),Programme_Grunddaten!G108,"")</f>
        <v/>
      </c>
      <c r="F100" t="str">
        <f>IF(AND(Programme_Grunddaten!$A108="Geprüft",Programme_Grunddaten!F108&lt;&gt;""),Programme_Grunddaten!F108,"")</f>
        <v/>
      </c>
      <c r="G100" s="3" t="str">
        <f>IF(AND(Programme_Grunddaten!$A108="Geprüft",Programme_Grunddaten!S108&lt;&gt;""),Programme_Grunddaten!S108,"")</f>
        <v/>
      </c>
      <c r="H100" t="str">
        <f>IF(AND(Programme_Grunddaten!$A108="Geprüft",Programme_Grunddaten!AW108&lt;&gt;""),Programme_Grunddaten!AW108,"")</f>
        <v/>
      </c>
      <c r="I100" t="str">
        <f>IF(AND(Programme_Grunddaten!$A108="Geprüft",Programme_Grunddaten!AX108&lt;&gt;""),Programme_Grunddaten!AX108,"")</f>
        <v/>
      </c>
    </row>
    <row r="101" spans="1:9" x14ac:dyDescent="0.3">
      <c r="A101" s="1" t="str">
        <f>IF(AND(Programme_Grunddaten!$A109="Geprüft",Programme_Grunddaten!B109&lt;&gt;""),Programme_Grunddaten!B109,"")</f>
        <v/>
      </c>
      <c r="B101" s="1" t="str">
        <f>IF(AND(Programme_Grunddaten!$A109="Geprüft",Programme_Grunddaten!C109&lt;&gt;""),Programme_Grunddaten!C109,"")</f>
        <v/>
      </c>
      <c r="C101" s="1" t="str">
        <f>IF(AND(Programme_Grunddaten!$A109="Geprüft",Programme_Grunddaten!D109&lt;&gt;""),Programme_Grunddaten!D109,"")</f>
        <v/>
      </c>
      <c r="D101" s="2" t="str">
        <f>IF(AND(Programme_Grunddaten!$A109="Geprüft",Programme_Grunddaten!E109&lt;&gt;""),Programme_Grunddaten!E109,"")</f>
        <v/>
      </c>
      <c r="E101" t="str">
        <f>IF(AND(Programme_Grunddaten!$A109="Geprüft",Programme_Grunddaten!G109&lt;&gt;""),Programme_Grunddaten!G109,"")</f>
        <v/>
      </c>
      <c r="F101" t="str">
        <f>IF(AND(Programme_Grunddaten!$A109="Geprüft",Programme_Grunddaten!F109&lt;&gt;""),Programme_Grunddaten!F109,"")</f>
        <v/>
      </c>
      <c r="G101" s="3" t="str">
        <f>IF(AND(Programme_Grunddaten!$A109="Geprüft",Programme_Grunddaten!S109&lt;&gt;""),Programme_Grunddaten!S109,"")</f>
        <v/>
      </c>
      <c r="H101" t="str">
        <f>IF(AND(Programme_Grunddaten!$A109="Geprüft",Programme_Grunddaten!AW109&lt;&gt;""),Programme_Grunddaten!AW109,"")</f>
        <v/>
      </c>
      <c r="I101" t="str">
        <f>IF(AND(Programme_Grunddaten!$A109="Geprüft",Programme_Grunddaten!AX109&lt;&gt;""),Programme_Grunddaten!AX109,"")</f>
        <v/>
      </c>
    </row>
    <row r="102" spans="1:9" x14ac:dyDescent="0.3">
      <c r="A102" s="1" t="str">
        <f>IF(AND(Programme_Grunddaten!$A110="Geprüft",Programme_Grunddaten!B110&lt;&gt;""),Programme_Grunddaten!B110,"")</f>
        <v/>
      </c>
      <c r="B102" s="1" t="str">
        <f>IF(AND(Programme_Grunddaten!$A110="Geprüft",Programme_Grunddaten!C110&lt;&gt;""),Programme_Grunddaten!C110,"")</f>
        <v/>
      </c>
      <c r="C102" s="1" t="str">
        <f>IF(AND(Programme_Grunddaten!$A110="Geprüft",Programme_Grunddaten!D110&lt;&gt;""),Programme_Grunddaten!D110,"")</f>
        <v/>
      </c>
      <c r="D102" s="2" t="str">
        <f>IF(AND(Programme_Grunddaten!$A110="Geprüft",Programme_Grunddaten!E110&lt;&gt;""),Programme_Grunddaten!E110,"")</f>
        <v/>
      </c>
      <c r="E102" t="str">
        <f>IF(AND(Programme_Grunddaten!$A110="Geprüft",Programme_Grunddaten!G110&lt;&gt;""),Programme_Grunddaten!G110,"")</f>
        <v/>
      </c>
      <c r="F102" t="str">
        <f>IF(AND(Programme_Grunddaten!$A110="Geprüft",Programme_Grunddaten!F110&lt;&gt;""),Programme_Grunddaten!F110,"")</f>
        <v/>
      </c>
      <c r="G102" s="3" t="str">
        <f>IF(AND(Programme_Grunddaten!$A110="Geprüft",Programme_Grunddaten!S110&lt;&gt;""),Programme_Grunddaten!S110,"")</f>
        <v/>
      </c>
      <c r="H102" t="str">
        <f>IF(AND(Programme_Grunddaten!$A110="Geprüft",Programme_Grunddaten!AW110&lt;&gt;""),Programme_Grunddaten!AW110,"")</f>
        <v/>
      </c>
      <c r="I102" t="str">
        <f>IF(AND(Programme_Grunddaten!$A110="Geprüft",Programme_Grunddaten!AX110&lt;&gt;""),Programme_Grunddaten!AX110,"")</f>
        <v/>
      </c>
    </row>
    <row r="103" spans="1:9" x14ac:dyDescent="0.3">
      <c r="A103" s="1" t="str">
        <f>IF(AND(Programme_Grunddaten!$A111="Geprüft",Programme_Grunddaten!B111&lt;&gt;""),Programme_Grunddaten!B111,"")</f>
        <v/>
      </c>
      <c r="B103" s="1" t="str">
        <f>IF(AND(Programme_Grunddaten!$A111="Geprüft",Programme_Grunddaten!C111&lt;&gt;""),Programme_Grunddaten!C111,"")</f>
        <v/>
      </c>
      <c r="C103" s="1" t="str">
        <f>IF(AND(Programme_Grunddaten!$A111="Geprüft",Programme_Grunddaten!D111&lt;&gt;""),Programme_Grunddaten!D111,"")</f>
        <v/>
      </c>
      <c r="D103" s="2" t="str">
        <f>IF(AND(Programme_Grunddaten!$A111="Geprüft",Programme_Grunddaten!E111&lt;&gt;""),Programme_Grunddaten!E111,"")</f>
        <v/>
      </c>
      <c r="E103" t="str">
        <f>IF(AND(Programme_Grunddaten!$A111="Geprüft",Programme_Grunddaten!G111&lt;&gt;""),Programme_Grunddaten!G111,"")</f>
        <v/>
      </c>
      <c r="F103" t="str">
        <f>IF(AND(Programme_Grunddaten!$A111="Geprüft",Programme_Grunddaten!F111&lt;&gt;""),Programme_Grunddaten!F111,"")</f>
        <v/>
      </c>
      <c r="G103" s="3" t="str">
        <f>IF(AND(Programme_Grunddaten!$A111="Geprüft",Programme_Grunddaten!S111&lt;&gt;""),Programme_Grunddaten!S111,"")</f>
        <v/>
      </c>
      <c r="H103" t="str">
        <f>IF(AND(Programme_Grunddaten!$A111="Geprüft",Programme_Grunddaten!AW111&lt;&gt;""),Programme_Grunddaten!AW111,"")</f>
        <v/>
      </c>
      <c r="I103" t="str">
        <f>IF(AND(Programme_Grunddaten!$A111="Geprüft",Programme_Grunddaten!AX111&lt;&gt;""),Programme_Grunddaten!AX111,"")</f>
        <v/>
      </c>
    </row>
    <row r="104" spans="1:9" x14ac:dyDescent="0.3">
      <c r="A104" s="1" t="str">
        <f>IF(AND(Programme_Grunddaten!$A112="Geprüft",Programme_Grunddaten!B112&lt;&gt;""),Programme_Grunddaten!B112,"")</f>
        <v/>
      </c>
      <c r="B104" s="1" t="str">
        <f>IF(AND(Programme_Grunddaten!$A112="Geprüft",Programme_Grunddaten!C112&lt;&gt;""),Programme_Grunddaten!C112,"")</f>
        <v/>
      </c>
      <c r="C104" s="1" t="str">
        <f>IF(AND(Programme_Grunddaten!$A112="Geprüft",Programme_Grunddaten!D112&lt;&gt;""),Programme_Grunddaten!D112,"")</f>
        <v/>
      </c>
      <c r="D104" s="2" t="str">
        <f>IF(AND(Programme_Grunddaten!$A112="Geprüft",Programme_Grunddaten!E112&lt;&gt;""),Programme_Grunddaten!E112,"")</f>
        <v/>
      </c>
      <c r="E104" t="str">
        <f>IF(AND(Programme_Grunddaten!$A112="Geprüft",Programme_Grunddaten!G112&lt;&gt;""),Programme_Grunddaten!G112,"")</f>
        <v/>
      </c>
      <c r="F104" t="str">
        <f>IF(AND(Programme_Grunddaten!$A112="Geprüft",Programme_Grunddaten!F112&lt;&gt;""),Programme_Grunddaten!F112,"")</f>
        <v/>
      </c>
      <c r="G104" s="3" t="str">
        <f>IF(AND(Programme_Grunddaten!$A112="Geprüft",Programme_Grunddaten!S112&lt;&gt;""),Programme_Grunddaten!S112,"")</f>
        <v/>
      </c>
      <c r="H104" t="str">
        <f>IF(AND(Programme_Grunddaten!$A112="Geprüft",Programme_Grunddaten!AW112&lt;&gt;""),Programme_Grunddaten!AW112,"")</f>
        <v/>
      </c>
      <c r="I104" t="str">
        <f>IF(AND(Programme_Grunddaten!$A112="Geprüft",Programme_Grunddaten!AX112&lt;&gt;""),Programme_Grunddaten!AX112,"")</f>
        <v/>
      </c>
    </row>
    <row r="105" spans="1:9" x14ac:dyDescent="0.3">
      <c r="A105" s="1" t="str">
        <f>IF(AND(Programme_Grunddaten!$A113="Geprüft",Programme_Grunddaten!B113&lt;&gt;""),Programme_Grunddaten!B113,"")</f>
        <v/>
      </c>
      <c r="B105" s="1" t="str">
        <f>IF(AND(Programme_Grunddaten!$A113="Geprüft",Programme_Grunddaten!C113&lt;&gt;""),Programme_Grunddaten!C113,"")</f>
        <v/>
      </c>
      <c r="C105" s="1" t="str">
        <f>IF(AND(Programme_Grunddaten!$A113="Geprüft",Programme_Grunddaten!D113&lt;&gt;""),Programme_Grunddaten!D113,"")</f>
        <v/>
      </c>
      <c r="D105" s="2" t="str">
        <f>IF(AND(Programme_Grunddaten!$A113="Geprüft",Programme_Grunddaten!E113&lt;&gt;""),Programme_Grunddaten!E113,"")</f>
        <v/>
      </c>
      <c r="E105" t="str">
        <f>IF(AND(Programme_Grunddaten!$A113="Geprüft",Programme_Grunddaten!G113&lt;&gt;""),Programme_Grunddaten!G113,"")</f>
        <v/>
      </c>
      <c r="F105" t="str">
        <f>IF(AND(Programme_Grunddaten!$A113="Geprüft",Programme_Grunddaten!F113&lt;&gt;""),Programme_Grunddaten!F113,"")</f>
        <v/>
      </c>
      <c r="G105" s="3" t="str">
        <f>IF(AND(Programme_Grunddaten!$A113="Geprüft",Programme_Grunddaten!S113&lt;&gt;""),Programme_Grunddaten!S113,"")</f>
        <v/>
      </c>
      <c r="H105" t="str">
        <f>IF(AND(Programme_Grunddaten!$A113="Geprüft",Programme_Grunddaten!AW113&lt;&gt;""),Programme_Grunddaten!AW113,"")</f>
        <v/>
      </c>
      <c r="I105" t="str">
        <f>IF(AND(Programme_Grunddaten!$A113="Geprüft",Programme_Grunddaten!AX113&lt;&gt;""),Programme_Grunddaten!AX113,"")</f>
        <v/>
      </c>
    </row>
    <row r="106" spans="1:9" x14ac:dyDescent="0.3">
      <c r="A106" s="1" t="str">
        <f>IF(AND(Programme_Grunddaten!$A114="Geprüft",Programme_Grunddaten!B114&lt;&gt;""),Programme_Grunddaten!B114,"")</f>
        <v/>
      </c>
      <c r="B106" s="1" t="str">
        <f>IF(AND(Programme_Grunddaten!$A114="Geprüft",Programme_Grunddaten!C114&lt;&gt;""),Programme_Grunddaten!C114,"")</f>
        <v/>
      </c>
      <c r="C106" s="1" t="str">
        <f>IF(AND(Programme_Grunddaten!$A114="Geprüft",Programme_Grunddaten!D114&lt;&gt;""),Programme_Grunddaten!D114,"")</f>
        <v/>
      </c>
      <c r="D106" s="2" t="str">
        <f>IF(AND(Programme_Grunddaten!$A114="Geprüft",Programme_Grunddaten!E114&lt;&gt;""),Programme_Grunddaten!E114,"")</f>
        <v/>
      </c>
      <c r="E106" t="str">
        <f>IF(AND(Programme_Grunddaten!$A114="Geprüft",Programme_Grunddaten!G114&lt;&gt;""),Programme_Grunddaten!G114,"")</f>
        <v/>
      </c>
      <c r="F106" t="str">
        <f>IF(AND(Programme_Grunddaten!$A114="Geprüft",Programme_Grunddaten!F114&lt;&gt;""),Programme_Grunddaten!F114,"")</f>
        <v/>
      </c>
      <c r="G106" s="3" t="str">
        <f>IF(AND(Programme_Grunddaten!$A114="Geprüft",Programme_Grunddaten!S114&lt;&gt;""),Programme_Grunddaten!S114,"")</f>
        <v/>
      </c>
      <c r="H106" t="str">
        <f>IF(AND(Programme_Grunddaten!$A114="Geprüft",Programme_Grunddaten!AW114&lt;&gt;""),Programme_Grunddaten!AW114,"")</f>
        <v/>
      </c>
      <c r="I106" t="str">
        <f>IF(AND(Programme_Grunddaten!$A114="Geprüft",Programme_Grunddaten!AX114&lt;&gt;""),Programme_Grunddaten!AX114,"")</f>
        <v/>
      </c>
    </row>
    <row r="107" spans="1:9" x14ac:dyDescent="0.3">
      <c r="A107" s="1" t="str">
        <f>IF(AND(Programme_Grunddaten!$A115="Geprüft",Programme_Grunddaten!B115&lt;&gt;""),Programme_Grunddaten!B115,"")</f>
        <v/>
      </c>
      <c r="B107" s="1" t="str">
        <f>IF(AND(Programme_Grunddaten!$A115="Geprüft",Programme_Grunddaten!C115&lt;&gt;""),Programme_Grunddaten!C115,"")</f>
        <v/>
      </c>
      <c r="C107" s="1" t="str">
        <f>IF(AND(Programme_Grunddaten!$A115="Geprüft",Programme_Grunddaten!D115&lt;&gt;""),Programme_Grunddaten!D115,"")</f>
        <v/>
      </c>
      <c r="D107" s="2" t="str">
        <f>IF(AND(Programme_Grunddaten!$A115="Geprüft",Programme_Grunddaten!E115&lt;&gt;""),Programme_Grunddaten!E115,"")</f>
        <v/>
      </c>
      <c r="E107" t="str">
        <f>IF(AND(Programme_Grunddaten!$A115="Geprüft",Programme_Grunddaten!G115&lt;&gt;""),Programme_Grunddaten!G115,"")</f>
        <v/>
      </c>
      <c r="F107" t="str">
        <f>IF(AND(Programme_Grunddaten!$A115="Geprüft",Programme_Grunddaten!F115&lt;&gt;""),Programme_Grunddaten!F115,"")</f>
        <v/>
      </c>
      <c r="G107" s="3" t="str">
        <f>IF(AND(Programme_Grunddaten!$A115="Geprüft",Programme_Grunddaten!S115&lt;&gt;""),Programme_Grunddaten!S115,"")</f>
        <v/>
      </c>
      <c r="H107" t="str">
        <f>IF(AND(Programme_Grunddaten!$A115="Geprüft",Programme_Grunddaten!AW115&lt;&gt;""),Programme_Grunddaten!AW115,"")</f>
        <v/>
      </c>
      <c r="I107" t="str">
        <f>IF(AND(Programme_Grunddaten!$A115="Geprüft",Programme_Grunddaten!AX115&lt;&gt;""),Programme_Grunddaten!AX115,"")</f>
        <v/>
      </c>
    </row>
    <row r="108" spans="1:9" x14ac:dyDescent="0.3">
      <c r="A108" s="1" t="str">
        <f>IF(AND(Programme_Grunddaten!$A116="Geprüft",Programme_Grunddaten!B116&lt;&gt;""),Programme_Grunddaten!B116,"")</f>
        <v/>
      </c>
      <c r="B108" s="1" t="str">
        <f>IF(AND(Programme_Grunddaten!$A116="Geprüft",Programme_Grunddaten!C116&lt;&gt;""),Programme_Grunddaten!C116,"")</f>
        <v/>
      </c>
      <c r="C108" s="1" t="str">
        <f>IF(AND(Programme_Grunddaten!$A116="Geprüft",Programme_Grunddaten!D116&lt;&gt;""),Programme_Grunddaten!D116,"")</f>
        <v/>
      </c>
      <c r="D108" s="2" t="str">
        <f>IF(AND(Programme_Grunddaten!$A116="Geprüft",Programme_Grunddaten!E116&lt;&gt;""),Programme_Grunddaten!E116,"")</f>
        <v/>
      </c>
      <c r="E108" t="str">
        <f>IF(AND(Programme_Grunddaten!$A116="Geprüft",Programme_Grunddaten!G116&lt;&gt;""),Programme_Grunddaten!G116,"")</f>
        <v/>
      </c>
      <c r="F108" t="str">
        <f>IF(AND(Programme_Grunddaten!$A116="Geprüft",Programme_Grunddaten!F116&lt;&gt;""),Programme_Grunddaten!F116,"")</f>
        <v/>
      </c>
      <c r="G108" s="3" t="str">
        <f>IF(AND(Programme_Grunddaten!$A116="Geprüft",Programme_Grunddaten!S116&lt;&gt;""),Programme_Grunddaten!S116,"")</f>
        <v/>
      </c>
      <c r="H108" t="str">
        <f>IF(AND(Programme_Grunddaten!$A116="Geprüft",Programme_Grunddaten!AW116&lt;&gt;""),Programme_Grunddaten!AW116,"")</f>
        <v/>
      </c>
      <c r="I108" t="str">
        <f>IF(AND(Programme_Grunddaten!$A116="Geprüft",Programme_Grunddaten!AX116&lt;&gt;""),Programme_Grunddaten!AX116,"")</f>
        <v/>
      </c>
    </row>
    <row r="109" spans="1:9" x14ac:dyDescent="0.3">
      <c r="A109" s="1" t="str">
        <f>IF(AND(Programme_Grunddaten!$A117="Geprüft",Programme_Grunddaten!B117&lt;&gt;""),Programme_Grunddaten!B117,"")</f>
        <v/>
      </c>
      <c r="B109" s="1" t="str">
        <f>IF(AND(Programme_Grunddaten!$A117="Geprüft",Programme_Grunddaten!C117&lt;&gt;""),Programme_Grunddaten!C117,"")</f>
        <v/>
      </c>
      <c r="C109" s="1" t="str">
        <f>IF(AND(Programme_Grunddaten!$A117="Geprüft",Programme_Grunddaten!D117&lt;&gt;""),Programme_Grunddaten!D117,"")</f>
        <v/>
      </c>
      <c r="D109" s="2" t="str">
        <f>IF(AND(Programme_Grunddaten!$A117="Geprüft",Programme_Grunddaten!E117&lt;&gt;""),Programme_Grunddaten!E117,"")</f>
        <v/>
      </c>
      <c r="E109" t="str">
        <f>IF(AND(Programme_Grunddaten!$A117="Geprüft",Programme_Grunddaten!G117&lt;&gt;""),Programme_Grunddaten!G117,"")</f>
        <v/>
      </c>
      <c r="F109" t="str">
        <f>IF(AND(Programme_Grunddaten!$A117="Geprüft",Programme_Grunddaten!F117&lt;&gt;""),Programme_Grunddaten!F117,"")</f>
        <v/>
      </c>
      <c r="G109" s="3" t="str">
        <f>IF(AND(Programme_Grunddaten!$A117="Geprüft",Programme_Grunddaten!S117&lt;&gt;""),Programme_Grunddaten!S117,"")</f>
        <v/>
      </c>
      <c r="H109" t="str">
        <f>IF(AND(Programme_Grunddaten!$A117="Geprüft",Programme_Grunddaten!AW117&lt;&gt;""),Programme_Grunddaten!AW117,"")</f>
        <v/>
      </c>
      <c r="I109" t="str">
        <f>IF(AND(Programme_Grunddaten!$A117="Geprüft",Programme_Grunddaten!AX117&lt;&gt;""),Programme_Grunddaten!AX117,"")</f>
        <v/>
      </c>
    </row>
    <row r="110" spans="1:9" x14ac:dyDescent="0.3">
      <c r="A110" s="1" t="str">
        <f>IF(AND(Programme_Grunddaten!$A118="Geprüft",Programme_Grunddaten!B118&lt;&gt;""),Programme_Grunddaten!B118,"")</f>
        <v/>
      </c>
      <c r="B110" s="1" t="str">
        <f>IF(AND(Programme_Grunddaten!$A118="Geprüft",Programme_Grunddaten!C118&lt;&gt;""),Programme_Grunddaten!C118,"")</f>
        <v/>
      </c>
      <c r="C110" s="1" t="str">
        <f>IF(AND(Programme_Grunddaten!$A118="Geprüft",Programme_Grunddaten!D118&lt;&gt;""),Programme_Grunddaten!D118,"")</f>
        <v/>
      </c>
      <c r="D110" s="2" t="str">
        <f>IF(AND(Programme_Grunddaten!$A118="Geprüft",Programme_Grunddaten!E118&lt;&gt;""),Programme_Grunddaten!E118,"")</f>
        <v/>
      </c>
      <c r="E110" t="str">
        <f>IF(AND(Programme_Grunddaten!$A118="Geprüft",Programme_Grunddaten!G118&lt;&gt;""),Programme_Grunddaten!G118,"")</f>
        <v/>
      </c>
      <c r="F110" t="str">
        <f>IF(AND(Programme_Grunddaten!$A118="Geprüft",Programme_Grunddaten!F118&lt;&gt;""),Programme_Grunddaten!F118,"")</f>
        <v/>
      </c>
      <c r="G110" s="3" t="str">
        <f>IF(AND(Programme_Grunddaten!$A118="Geprüft",Programme_Grunddaten!S118&lt;&gt;""),Programme_Grunddaten!S118,"")</f>
        <v/>
      </c>
      <c r="H110" t="str">
        <f>IF(AND(Programme_Grunddaten!$A118="Geprüft",Programme_Grunddaten!AW118&lt;&gt;""),Programme_Grunddaten!AW118,"")</f>
        <v/>
      </c>
      <c r="I110" t="str">
        <f>IF(AND(Programme_Grunddaten!$A118="Geprüft",Programme_Grunddaten!AX118&lt;&gt;""),Programme_Grunddaten!AX118,"")</f>
        <v/>
      </c>
    </row>
    <row r="111" spans="1:9" x14ac:dyDescent="0.3">
      <c r="A111" s="1" t="str">
        <f>IF(AND(Programme_Grunddaten!$A119="Geprüft",Programme_Grunddaten!B119&lt;&gt;""),Programme_Grunddaten!B119,"")</f>
        <v/>
      </c>
      <c r="B111" s="1" t="str">
        <f>IF(AND(Programme_Grunddaten!$A119="Geprüft",Programme_Grunddaten!C119&lt;&gt;""),Programme_Grunddaten!C119,"")</f>
        <v/>
      </c>
      <c r="C111" s="1" t="str">
        <f>IF(AND(Programme_Grunddaten!$A119="Geprüft",Programme_Grunddaten!D119&lt;&gt;""),Programme_Grunddaten!D119,"")</f>
        <v/>
      </c>
      <c r="D111" s="2" t="str">
        <f>IF(AND(Programme_Grunddaten!$A119="Geprüft",Programme_Grunddaten!E119&lt;&gt;""),Programme_Grunddaten!E119,"")</f>
        <v/>
      </c>
      <c r="E111" t="str">
        <f>IF(AND(Programme_Grunddaten!$A119="Geprüft",Programme_Grunddaten!G119&lt;&gt;""),Programme_Grunddaten!G119,"")</f>
        <v/>
      </c>
      <c r="F111" t="str">
        <f>IF(AND(Programme_Grunddaten!$A119="Geprüft",Programme_Grunddaten!F119&lt;&gt;""),Programme_Grunddaten!F119,"")</f>
        <v/>
      </c>
      <c r="G111" s="3" t="str">
        <f>IF(AND(Programme_Grunddaten!$A119="Geprüft",Programme_Grunddaten!S119&lt;&gt;""),Programme_Grunddaten!S119,"")</f>
        <v/>
      </c>
      <c r="H111" t="str">
        <f>IF(AND(Programme_Grunddaten!$A119="Geprüft",Programme_Grunddaten!AW119&lt;&gt;""),Programme_Grunddaten!AW119,"")</f>
        <v/>
      </c>
      <c r="I111" t="str">
        <f>IF(AND(Programme_Grunddaten!$A119="Geprüft",Programme_Grunddaten!AX119&lt;&gt;""),Programme_Grunddaten!AX119,"")</f>
        <v/>
      </c>
    </row>
    <row r="112" spans="1:9" x14ac:dyDescent="0.3">
      <c r="A112" s="1" t="str">
        <f>IF(AND(Programme_Grunddaten!$A120="Geprüft",Programme_Grunddaten!B120&lt;&gt;""),Programme_Grunddaten!B120,"")</f>
        <v/>
      </c>
      <c r="B112" s="1" t="str">
        <f>IF(AND(Programme_Grunddaten!$A120="Geprüft",Programme_Grunddaten!C120&lt;&gt;""),Programme_Grunddaten!C120,"")</f>
        <v/>
      </c>
      <c r="C112" s="1" t="str">
        <f>IF(AND(Programme_Grunddaten!$A120="Geprüft",Programme_Grunddaten!D120&lt;&gt;""),Programme_Grunddaten!D120,"")</f>
        <v/>
      </c>
      <c r="D112" s="2" t="str">
        <f>IF(AND(Programme_Grunddaten!$A120="Geprüft",Programme_Grunddaten!E120&lt;&gt;""),Programme_Grunddaten!E120,"")</f>
        <v/>
      </c>
      <c r="E112" t="str">
        <f>IF(AND(Programme_Grunddaten!$A120="Geprüft",Programme_Grunddaten!G120&lt;&gt;""),Programme_Grunddaten!G120,"")</f>
        <v/>
      </c>
      <c r="F112" t="str">
        <f>IF(AND(Programme_Grunddaten!$A120="Geprüft",Programme_Grunddaten!F120&lt;&gt;""),Programme_Grunddaten!F120,"")</f>
        <v/>
      </c>
      <c r="G112" s="3" t="str">
        <f>IF(AND(Programme_Grunddaten!$A120="Geprüft",Programme_Grunddaten!S120&lt;&gt;""),Programme_Grunddaten!S120,"")</f>
        <v/>
      </c>
      <c r="H112" t="str">
        <f>IF(AND(Programme_Grunddaten!$A120="Geprüft",Programme_Grunddaten!AW120&lt;&gt;""),Programme_Grunddaten!AW120,"")</f>
        <v/>
      </c>
      <c r="I112" t="str">
        <f>IF(AND(Programme_Grunddaten!$A120="Geprüft",Programme_Grunddaten!AX120&lt;&gt;""),Programme_Grunddaten!AX120,"")</f>
        <v/>
      </c>
    </row>
    <row r="113" spans="1:9" x14ac:dyDescent="0.3">
      <c r="A113" s="1" t="str">
        <f>IF(AND(Programme_Grunddaten!$A121="Geprüft",Programme_Grunddaten!B121&lt;&gt;""),Programme_Grunddaten!B121,"")</f>
        <v/>
      </c>
      <c r="B113" s="1" t="str">
        <f>IF(AND(Programme_Grunddaten!$A121="Geprüft",Programme_Grunddaten!C121&lt;&gt;""),Programme_Grunddaten!C121,"")</f>
        <v/>
      </c>
      <c r="C113" s="1" t="str">
        <f>IF(AND(Programme_Grunddaten!$A121="Geprüft",Programme_Grunddaten!D121&lt;&gt;""),Programme_Grunddaten!D121,"")</f>
        <v/>
      </c>
      <c r="D113" s="2" t="str">
        <f>IF(AND(Programme_Grunddaten!$A121="Geprüft",Programme_Grunddaten!E121&lt;&gt;""),Programme_Grunddaten!E121,"")</f>
        <v/>
      </c>
      <c r="E113" t="str">
        <f>IF(AND(Programme_Grunddaten!$A121="Geprüft",Programme_Grunddaten!G121&lt;&gt;""),Programme_Grunddaten!G121,"")</f>
        <v/>
      </c>
      <c r="F113" t="str">
        <f>IF(AND(Programme_Grunddaten!$A121="Geprüft",Programme_Grunddaten!F121&lt;&gt;""),Programme_Grunddaten!F121,"")</f>
        <v/>
      </c>
      <c r="G113" s="3" t="str">
        <f>IF(AND(Programme_Grunddaten!$A121="Geprüft",Programme_Grunddaten!S121&lt;&gt;""),Programme_Grunddaten!S121,"")</f>
        <v/>
      </c>
      <c r="H113" t="str">
        <f>IF(AND(Programme_Grunddaten!$A121="Geprüft",Programme_Grunddaten!AW121&lt;&gt;""),Programme_Grunddaten!AW121,"")</f>
        <v/>
      </c>
      <c r="I113" t="str">
        <f>IF(AND(Programme_Grunddaten!$A121="Geprüft",Programme_Grunddaten!AX121&lt;&gt;""),Programme_Grunddaten!AX121,"")</f>
        <v/>
      </c>
    </row>
    <row r="114" spans="1:9" x14ac:dyDescent="0.3">
      <c r="A114" s="1" t="str">
        <f>IF(AND(Programme_Grunddaten!$A122="Geprüft",Programme_Grunddaten!B122&lt;&gt;""),Programme_Grunddaten!B122,"")</f>
        <v/>
      </c>
      <c r="B114" s="1" t="str">
        <f>IF(AND(Programme_Grunddaten!$A122="Geprüft",Programme_Grunddaten!C122&lt;&gt;""),Programme_Grunddaten!C122,"")</f>
        <v/>
      </c>
      <c r="C114" s="1" t="str">
        <f>IF(AND(Programme_Grunddaten!$A122="Geprüft",Programme_Grunddaten!D122&lt;&gt;""),Programme_Grunddaten!D122,"")</f>
        <v/>
      </c>
      <c r="D114" s="2" t="str">
        <f>IF(AND(Programme_Grunddaten!$A122="Geprüft",Programme_Grunddaten!E122&lt;&gt;""),Programme_Grunddaten!E122,"")</f>
        <v/>
      </c>
      <c r="E114" t="str">
        <f>IF(AND(Programme_Grunddaten!$A122="Geprüft",Programme_Grunddaten!G122&lt;&gt;""),Programme_Grunddaten!G122,"")</f>
        <v/>
      </c>
      <c r="F114" t="str">
        <f>IF(AND(Programme_Grunddaten!$A122="Geprüft",Programme_Grunddaten!F122&lt;&gt;""),Programme_Grunddaten!F122,"")</f>
        <v/>
      </c>
      <c r="G114" s="3" t="str">
        <f>IF(AND(Programme_Grunddaten!$A122="Geprüft",Programme_Grunddaten!S122&lt;&gt;""),Programme_Grunddaten!S122,"")</f>
        <v/>
      </c>
      <c r="H114" t="str">
        <f>IF(AND(Programme_Grunddaten!$A122="Geprüft",Programme_Grunddaten!AW122&lt;&gt;""),Programme_Grunddaten!AW122,"")</f>
        <v/>
      </c>
      <c r="I114" t="str">
        <f>IF(AND(Programme_Grunddaten!$A122="Geprüft",Programme_Grunddaten!AX122&lt;&gt;""),Programme_Grunddaten!AX122,"")</f>
        <v/>
      </c>
    </row>
    <row r="115" spans="1:9" x14ac:dyDescent="0.3">
      <c r="A115" s="1" t="str">
        <f>IF(AND(Programme_Grunddaten!$A123="Geprüft",Programme_Grunddaten!B123&lt;&gt;""),Programme_Grunddaten!B123,"")</f>
        <v/>
      </c>
      <c r="B115" s="1" t="str">
        <f>IF(AND(Programme_Grunddaten!$A123="Geprüft",Programme_Grunddaten!C123&lt;&gt;""),Programme_Grunddaten!C123,"")</f>
        <v/>
      </c>
      <c r="C115" s="1" t="str">
        <f>IF(AND(Programme_Grunddaten!$A123="Geprüft",Programme_Grunddaten!D123&lt;&gt;""),Programme_Grunddaten!D123,"")</f>
        <v/>
      </c>
      <c r="D115" s="2" t="str">
        <f>IF(AND(Programme_Grunddaten!$A123="Geprüft",Programme_Grunddaten!E123&lt;&gt;""),Programme_Grunddaten!E123,"")</f>
        <v/>
      </c>
      <c r="E115" t="str">
        <f>IF(AND(Programme_Grunddaten!$A123="Geprüft",Programme_Grunddaten!G123&lt;&gt;""),Programme_Grunddaten!G123,"")</f>
        <v/>
      </c>
      <c r="F115" t="str">
        <f>IF(AND(Programme_Grunddaten!$A123="Geprüft",Programme_Grunddaten!F123&lt;&gt;""),Programme_Grunddaten!F123,"")</f>
        <v/>
      </c>
      <c r="G115" s="3" t="str">
        <f>IF(AND(Programme_Grunddaten!$A123="Geprüft",Programme_Grunddaten!S123&lt;&gt;""),Programme_Grunddaten!S123,"")</f>
        <v/>
      </c>
      <c r="H115" t="str">
        <f>IF(AND(Programme_Grunddaten!$A123="Geprüft",Programme_Grunddaten!AW123&lt;&gt;""),Programme_Grunddaten!AW123,"")</f>
        <v/>
      </c>
      <c r="I115" t="str">
        <f>IF(AND(Programme_Grunddaten!$A123="Geprüft",Programme_Grunddaten!AX123&lt;&gt;""),Programme_Grunddaten!AX123,"")</f>
        <v/>
      </c>
    </row>
    <row r="116" spans="1:9" x14ac:dyDescent="0.3">
      <c r="A116" s="1" t="str">
        <f>IF(AND(Programme_Grunddaten!$A124="Geprüft",Programme_Grunddaten!B124&lt;&gt;""),Programme_Grunddaten!B124,"")</f>
        <v/>
      </c>
      <c r="B116" s="1" t="str">
        <f>IF(AND(Programme_Grunddaten!$A124="Geprüft",Programme_Grunddaten!C124&lt;&gt;""),Programme_Grunddaten!C124,"")</f>
        <v/>
      </c>
      <c r="C116" s="1" t="str">
        <f>IF(AND(Programme_Grunddaten!$A124="Geprüft",Programme_Grunddaten!D124&lt;&gt;""),Programme_Grunddaten!D124,"")</f>
        <v/>
      </c>
      <c r="D116" s="2" t="str">
        <f>IF(AND(Programme_Grunddaten!$A124="Geprüft",Programme_Grunddaten!E124&lt;&gt;""),Programme_Grunddaten!E124,"")</f>
        <v/>
      </c>
      <c r="E116" t="str">
        <f>IF(AND(Programme_Grunddaten!$A124="Geprüft",Programme_Grunddaten!G124&lt;&gt;""),Programme_Grunddaten!G124,"")</f>
        <v/>
      </c>
      <c r="F116" t="str">
        <f>IF(AND(Programme_Grunddaten!$A124="Geprüft",Programme_Grunddaten!F124&lt;&gt;""),Programme_Grunddaten!F124,"")</f>
        <v/>
      </c>
      <c r="G116" s="3" t="str">
        <f>IF(AND(Programme_Grunddaten!$A124="Geprüft",Programme_Grunddaten!S124&lt;&gt;""),Programme_Grunddaten!S124,"")</f>
        <v/>
      </c>
      <c r="H116" t="str">
        <f>IF(AND(Programme_Grunddaten!$A124="Geprüft",Programme_Grunddaten!AW124&lt;&gt;""),Programme_Grunddaten!AW124,"")</f>
        <v/>
      </c>
      <c r="I116" t="str">
        <f>IF(AND(Programme_Grunddaten!$A124="Geprüft",Programme_Grunddaten!AX124&lt;&gt;""),Programme_Grunddaten!AX124,"")</f>
        <v/>
      </c>
    </row>
    <row r="117" spans="1:9" x14ac:dyDescent="0.3">
      <c r="A117" s="1" t="str">
        <f>IF(AND(Programme_Grunddaten!$A125="Geprüft",Programme_Grunddaten!B125&lt;&gt;""),Programme_Grunddaten!B125,"")</f>
        <v/>
      </c>
      <c r="B117" s="1" t="str">
        <f>IF(AND(Programme_Grunddaten!$A125="Geprüft",Programme_Grunddaten!C125&lt;&gt;""),Programme_Grunddaten!C125,"")</f>
        <v/>
      </c>
      <c r="C117" s="1" t="str">
        <f>IF(AND(Programme_Grunddaten!$A125="Geprüft",Programme_Grunddaten!D125&lt;&gt;""),Programme_Grunddaten!D125,"")</f>
        <v/>
      </c>
      <c r="D117" s="2" t="str">
        <f>IF(AND(Programme_Grunddaten!$A125="Geprüft",Programme_Grunddaten!E125&lt;&gt;""),Programme_Grunddaten!E125,"")</f>
        <v/>
      </c>
      <c r="E117" t="str">
        <f>IF(AND(Programme_Grunddaten!$A125="Geprüft",Programme_Grunddaten!G125&lt;&gt;""),Programme_Grunddaten!G125,"")</f>
        <v/>
      </c>
      <c r="F117" t="str">
        <f>IF(AND(Programme_Grunddaten!$A125="Geprüft",Programme_Grunddaten!F125&lt;&gt;""),Programme_Grunddaten!F125,"")</f>
        <v/>
      </c>
      <c r="G117" s="3" t="str">
        <f>IF(AND(Programme_Grunddaten!$A125="Geprüft",Programme_Grunddaten!S125&lt;&gt;""),Programme_Grunddaten!S125,"")</f>
        <v/>
      </c>
      <c r="H117" t="str">
        <f>IF(AND(Programme_Grunddaten!$A125="Geprüft",Programme_Grunddaten!AW125&lt;&gt;""),Programme_Grunddaten!AW125,"")</f>
        <v/>
      </c>
      <c r="I117" t="str">
        <f>IF(AND(Programme_Grunddaten!$A125="Geprüft",Programme_Grunddaten!AX125&lt;&gt;""),Programme_Grunddaten!AX125,"")</f>
        <v/>
      </c>
    </row>
    <row r="118" spans="1:9" x14ac:dyDescent="0.3">
      <c r="A118" s="1" t="str">
        <f>IF(AND(Programme_Grunddaten!$A126="Geprüft",Programme_Grunddaten!B126&lt;&gt;""),Programme_Grunddaten!B126,"")</f>
        <v/>
      </c>
      <c r="B118" s="1" t="str">
        <f>IF(AND(Programme_Grunddaten!$A126="Geprüft",Programme_Grunddaten!C126&lt;&gt;""),Programme_Grunddaten!C126,"")</f>
        <v/>
      </c>
      <c r="C118" s="1" t="str">
        <f>IF(AND(Programme_Grunddaten!$A126="Geprüft",Programme_Grunddaten!D126&lt;&gt;""),Programme_Grunddaten!D126,"")</f>
        <v/>
      </c>
      <c r="D118" s="2" t="str">
        <f>IF(AND(Programme_Grunddaten!$A126="Geprüft",Programme_Grunddaten!E126&lt;&gt;""),Programme_Grunddaten!E126,"")</f>
        <v/>
      </c>
      <c r="E118" t="str">
        <f>IF(AND(Programme_Grunddaten!$A126="Geprüft",Programme_Grunddaten!G126&lt;&gt;""),Programme_Grunddaten!G126,"")</f>
        <v/>
      </c>
      <c r="F118" t="str">
        <f>IF(AND(Programme_Grunddaten!$A126="Geprüft",Programme_Grunddaten!F126&lt;&gt;""),Programme_Grunddaten!F126,"")</f>
        <v/>
      </c>
      <c r="G118" s="3" t="str">
        <f>IF(AND(Programme_Grunddaten!$A126="Geprüft",Programme_Grunddaten!S126&lt;&gt;""),Programme_Grunddaten!S126,"")</f>
        <v/>
      </c>
      <c r="H118" t="str">
        <f>IF(AND(Programme_Grunddaten!$A126="Geprüft",Programme_Grunddaten!AW126&lt;&gt;""),Programme_Grunddaten!AW126,"")</f>
        <v/>
      </c>
      <c r="I118" t="str">
        <f>IF(AND(Programme_Grunddaten!$A126="Geprüft",Programme_Grunddaten!AX126&lt;&gt;""),Programme_Grunddaten!AX126,"")</f>
        <v/>
      </c>
    </row>
    <row r="119" spans="1:9" x14ac:dyDescent="0.3">
      <c r="A119" s="1" t="str">
        <f>IF(AND(Programme_Grunddaten!$A127="Geprüft",Programme_Grunddaten!B127&lt;&gt;""),Programme_Grunddaten!B127,"")</f>
        <v/>
      </c>
      <c r="B119" s="1" t="str">
        <f>IF(AND(Programme_Grunddaten!$A127="Geprüft",Programme_Grunddaten!C127&lt;&gt;""),Programme_Grunddaten!C127,"")</f>
        <v/>
      </c>
      <c r="C119" s="1" t="str">
        <f>IF(AND(Programme_Grunddaten!$A127="Geprüft",Programme_Grunddaten!D127&lt;&gt;""),Programme_Grunddaten!D127,"")</f>
        <v/>
      </c>
      <c r="D119" s="2" t="str">
        <f>IF(AND(Programme_Grunddaten!$A127="Geprüft",Programme_Grunddaten!E127&lt;&gt;""),Programme_Grunddaten!E127,"")</f>
        <v/>
      </c>
      <c r="E119" t="str">
        <f>IF(AND(Programme_Grunddaten!$A127="Geprüft",Programme_Grunddaten!G127&lt;&gt;""),Programme_Grunddaten!G127,"")</f>
        <v/>
      </c>
      <c r="F119" t="str">
        <f>IF(AND(Programme_Grunddaten!$A127="Geprüft",Programme_Grunddaten!F127&lt;&gt;""),Programme_Grunddaten!F127,"")</f>
        <v/>
      </c>
      <c r="G119" s="3" t="str">
        <f>IF(AND(Programme_Grunddaten!$A127="Geprüft",Programme_Grunddaten!S127&lt;&gt;""),Programme_Grunddaten!S127,"")</f>
        <v/>
      </c>
      <c r="H119" t="str">
        <f>IF(AND(Programme_Grunddaten!$A127="Geprüft",Programme_Grunddaten!AW127&lt;&gt;""),Programme_Grunddaten!AW127,"")</f>
        <v/>
      </c>
      <c r="I119" t="str">
        <f>IF(AND(Programme_Grunddaten!$A127="Geprüft",Programme_Grunddaten!AX127&lt;&gt;""),Programme_Grunddaten!AX127,"")</f>
        <v/>
      </c>
    </row>
    <row r="120" spans="1:9" x14ac:dyDescent="0.3">
      <c r="A120" s="1" t="str">
        <f>IF(AND(Programme_Grunddaten!$A128="Geprüft",Programme_Grunddaten!B128&lt;&gt;""),Programme_Grunddaten!B128,"")</f>
        <v/>
      </c>
      <c r="B120" s="1" t="str">
        <f>IF(AND(Programme_Grunddaten!$A128="Geprüft",Programme_Grunddaten!C128&lt;&gt;""),Programme_Grunddaten!C128,"")</f>
        <v/>
      </c>
      <c r="C120" s="1" t="str">
        <f>IF(AND(Programme_Grunddaten!$A128="Geprüft",Programme_Grunddaten!D128&lt;&gt;""),Programme_Grunddaten!D128,"")</f>
        <v/>
      </c>
      <c r="D120" s="2" t="str">
        <f>IF(AND(Programme_Grunddaten!$A128="Geprüft",Programme_Grunddaten!E128&lt;&gt;""),Programme_Grunddaten!E128,"")</f>
        <v/>
      </c>
      <c r="E120" t="str">
        <f>IF(AND(Programme_Grunddaten!$A128="Geprüft",Programme_Grunddaten!G128&lt;&gt;""),Programme_Grunddaten!G128,"")</f>
        <v/>
      </c>
      <c r="F120" t="str">
        <f>IF(AND(Programme_Grunddaten!$A128="Geprüft",Programme_Grunddaten!F128&lt;&gt;""),Programme_Grunddaten!F128,"")</f>
        <v/>
      </c>
      <c r="G120" s="3" t="str">
        <f>IF(AND(Programme_Grunddaten!$A128="Geprüft",Programme_Grunddaten!S128&lt;&gt;""),Programme_Grunddaten!S128,"")</f>
        <v/>
      </c>
      <c r="H120" t="str">
        <f>IF(AND(Programme_Grunddaten!$A128="Geprüft",Programme_Grunddaten!AW128&lt;&gt;""),Programme_Grunddaten!AW128,"")</f>
        <v/>
      </c>
      <c r="I120" t="str">
        <f>IF(AND(Programme_Grunddaten!$A128="Geprüft",Programme_Grunddaten!AX128&lt;&gt;""),Programme_Grunddaten!AX128,"")</f>
        <v/>
      </c>
    </row>
    <row r="121" spans="1:9" x14ac:dyDescent="0.3">
      <c r="A121" s="1" t="str">
        <f>IF(AND(Programme_Grunddaten!$A129="Geprüft",Programme_Grunddaten!B129&lt;&gt;""),Programme_Grunddaten!B129,"")</f>
        <v/>
      </c>
      <c r="B121" s="1" t="str">
        <f>IF(AND(Programme_Grunddaten!$A129="Geprüft",Programme_Grunddaten!C129&lt;&gt;""),Programme_Grunddaten!C129,"")</f>
        <v/>
      </c>
      <c r="C121" s="1" t="str">
        <f>IF(AND(Programme_Grunddaten!$A129="Geprüft",Programme_Grunddaten!D129&lt;&gt;""),Programme_Grunddaten!D129,"")</f>
        <v/>
      </c>
      <c r="D121" s="2" t="str">
        <f>IF(AND(Programme_Grunddaten!$A129="Geprüft",Programme_Grunddaten!E129&lt;&gt;""),Programme_Grunddaten!E129,"")</f>
        <v/>
      </c>
      <c r="E121" t="str">
        <f>IF(AND(Programme_Grunddaten!$A129="Geprüft",Programme_Grunddaten!G129&lt;&gt;""),Programme_Grunddaten!G129,"")</f>
        <v/>
      </c>
      <c r="F121" t="str">
        <f>IF(AND(Programme_Grunddaten!$A129="Geprüft",Programme_Grunddaten!F129&lt;&gt;""),Programme_Grunddaten!F129,"")</f>
        <v/>
      </c>
      <c r="G121" s="3" t="str">
        <f>IF(AND(Programme_Grunddaten!$A129="Geprüft",Programme_Grunddaten!S129&lt;&gt;""),Programme_Grunddaten!S129,"")</f>
        <v/>
      </c>
      <c r="H121" t="str">
        <f>IF(AND(Programme_Grunddaten!$A129="Geprüft",Programme_Grunddaten!AW129&lt;&gt;""),Programme_Grunddaten!AW129,"")</f>
        <v/>
      </c>
      <c r="I121" t="str">
        <f>IF(AND(Programme_Grunddaten!$A129="Geprüft",Programme_Grunddaten!AX129&lt;&gt;""),Programme_Grunddaten!AX129,"")</f>
        <v/>
      </c>
    </row>
    <row r="122" spans="1:9" x14ac:dyDescent="0.3">
      <c r="A122" s="1" t="str">
        <f>IF(AND(Programme_Grunddaten!$A130="Geprüft",Programme_Grunddaten!B130&lt;&gt;""),Programme_Grunddaten!B130,"")</f>
        <v/>
      </c>
      <c r="B122" s="1" t="str">
        <f>IF(AND(Programme_Grunddaten!$A130="Geprüft",Programme_Grunddaten!C130&lt;&gt;""),Programme_Grunddaten!C130,"")</f>
        <v/>
      </c>
      <c r="C122" s="1" t="str">
        <f>IF(AND(Programme_Grunddaten!$A130="Geprüft",Programme_Grunddaten!D130&lt;&gt;""),Programme_Grunddaten!D130,"")</f>
        <v/>
      </c>
      <c r="D122" s="2" t="str">
        <f>IF(AND(Programme_Grunddaten!$A130="Geprüft",Programme_Grunddaten!E130&lt;&gt;""),Programme_Grunddaten!E130,"")</f>
        <v/>
      </c>
      <c r="E122" t="str">
        <f>IF(AND(Programme_Grunddaten!$A130="Geprüft",Programme_Grunddaten!G130&lt;&gt;""),Programme_Grunddaten!G130,"")</f>
        <v/>
      </c>
      <c r="F122" t="str">
        <f>IF(AND(Programme_Grunddaten!$A130="Geprüft",Programme_Grunddaten!F130&lt;&gt;""),Programme_Grunddaten!F130,"")</f>
        <v/>
      </c>
      <c r="G122" s="3" t="str">
        <f>IF(AND(Programme_Grunddaten!$A130="Geprüft",Programme_Grunddaten!S130&lt;&gt;""),Programme_Grunddaten!S130,"")</f>
        <v/>
      </c>
      <c r="H122" t="str">
        <f>IF(AND(Programme_Grunddaten!$A130="Geprüft",Programme_Grunddaten!AW130&lt;&gt;""),Programme_Grunddaten!AW130,"")</f>
        <v/>
      </c>
      <c r="I122" t="str">
        <f>IF(AND(Programme_Grunddaten!$A130="Geprüft",Programme_Grunddaten!AX130&lt;&gt;""),Programme_Grunddaten!AX130,"")</f>
        <v/>
      </c>
    </row>
    <row r="123" spans="1:9" x14ac:dyDescent="0.3">
      <c r="A123" s="1" t="e">
        <f>IF(AND(Programme_Grunddaten!#REF!="Geprüft",Programme_Grunddaten!#REF!&lt;&gt;""),Programme_Grunddaten!#REF!,"")</f>
        <v>#REF!</v>
      </c>
      <c r="B123" s="1" t="e">
        <f>IF(AND(Programme_Grunddaten!#REF!="Geprüft",Programme_Grunddaten!#REF!&lt;&gt;""),Programme_Grunddaten!#REF!,"")</f>
        <v>#REF!</v>
      </c>
      <c r="C123" s="1" t="e">
        <f>IF(AND(Programme_Grunddaten!#REF!="Geprüft",Programme_Grunddaten!#REF!&lt;&gt;""),Programme_Grunddaten!#REF!,"")</f>
        <v>#REF!</v>
      </c>
      <c r="D123" s="2" t="e">
        <f>IF(AND(Programme_Grunddaten!#REF!="Geprüft",Programme_Grunddaten!#REF!&lt;&gt;""),Programme_Grunddaten!#REF!,"")</f>
        <v>#REF!</v>
      </c>
      <c r="E123" t="e">
        <f>IF(AND(Programme_Grunddaten!#REF!="Geprüft",Programme_Grunddaten!#REF!&lt;&gt;""),Programme_Grunddaten!#REF!,"")</f>
        <v>#REF!</v>
      </c>
      <c r="F123" t="e">
        <f>IF(AND(Programme_Grunddaten!#REF!="Geprüft",Programme_Grunddaten!#REF!&lt;&gt;""),Programme_Grunddaten!#REF!,"")</f>
        <v>#REF!</v>
      </c>
      <c r="G123" s="3" t="e">
        <f>IF(AND(Programme_Grunddaten!#REF!="Geprüft",Programme_Grunddaten!#REF!&lt;&gt;""),Programme_Grunddaten!#REF!,"")</f>
        <v>#REF!</v>
      </c>
      <c r="H123" t="e">
        <f>IF(AND(Programme_Grunddaten!#REF!="Geprüft",Programme_Grunddaten!#REF!&lt;&gt;""),Programme_Grunddaten!#REF!,"")</f>
        <v>#REF!</v>
      </c>
      <c r="I123" t="e">
        <f>IF(AND(Programme_Grunddaten!#REF!="Geprüft",Programme_Grunddaten!#REF!&lt;&gt;""),Programme_Grunddaten!#REF!,"")</f>
        <v>#REF!</v>
      </c>
    </row>
    <row r="124" spans="1:9" x14ac:dyDescent="0.3">
      <c r="A124" s="1" t="e">
        <f>IF(AND(Programme_Grunddaten!#REF!="Geprüft",Programme_Grunddaten!#REF!&lt;&gt;""),Programme_Grunddaten!#REF!,"")</f>
        <v>#REF!</v>
      </c>
      <c r="B124" s="1" t="e">
        <f>IF(AND(Programme_Grunddaten!#REF!="Geprüft",Programme_Grunddaten!#REF!&lt;&gt;""),Programme_Grunddaten!#REF!,"")</f>
        <v>#REF!</v>
      </c>
      <c r="C124" s="1" t="e">
        <f>IF(AND(Programme_Grunddaten!#REF!="Geprüft",Programme_Grunddaten!#REF!&lt;&gt;""),Programme_Grunddaten!#REF!,"")</f>
        <v>#REF!</v>
      </c>
      <c r="D124" s="2" t="e">
        <f>IF(AND(Programme_Grunddaten!#REF!="Geprüft",Programme_Grunddaten!#REF!&lt;&gt;""),Programme_Grunddaten!#REF!,"")</f>
        <v>#REF!</v>
      </c>
      <c r="E124" t="e">
        <f>IF(AND(Programme_Grunddaten!#REF!="Geprüft",Programme_Grunddaten!#REF!&lt;&gt;""),Programme_Grunddaten!#REF!,"")</f>
        <v>#REF!</v>
      </c>
      <c r="F124" t="e">
        <f>IF(AND(Programme_Grunddaten!#REF!="Geprüft",Programme_Grunddaten!#REF!&lt;&gt;""),Programme_Grunddaten!#REF!,"")</f>
        <v>#REF!</v>
      </c>
      <c r="G124" s="3" t="e">
        <f>IF(AND(Programme_Grunddaten!#REF!="Geprüft",Programme_Grunddaten!#REF!&lt;&gt;""),Programme_Grunddaten!#REF!,"")</f>
        <v>#REF!</v>
      </c>
      <c r="H124" t="e">
        <f>IF(AND(Programme_Grunddaten!#REF!="Geprüft",Programme_Grunddaten!#REF!&lt;&gt;""),Programme_Grunddaten!#REF!,"")</f>
        <v>#REF!</v>
      </c>
      <c r="I124" t="e">
        <f>IF(AND(Programme_Grunddaten!#REF!="Geprüft",Programme_Grunddaten!#REF!&lt;&gt;""),Programme_Grunddaten!#REF!,"")</f>
        <v>#REF!</v>
      </c>
    </row>
    <row r="125" spans="1:9" x14ac:dyDescent="0.3">
      <c r="A125" s="1" t="e">
        <f>IF(AND(Programme_Grunddaten!#REF!="Geprüft",Programme_Grunddaten!#REF!&lt;&gt;""),Programme_Grunddaten!#REF!,"")</f>
        <v>#REF!</v>
      </c>
      <c r="B125" s="1" t="e">
        <f>IF(AND(Programme_Grunddaten!#REF!="Geprüft",Programme_Grunddaten!#REF!&lt;&gt;""),Programme_Grunddaten!#REF!,"")</f>
        <v>#REF!</v>
      </c>
      <c r="C125" s="1" t="e">
        <f>IF(AND(Programme_Grunddaten!#REF!="Geprüft",Programme_Grunddaten!#REF!&lt;&gt;""),Programme_Grunddaten!#REF!,"")</f>
        <v>#REF!</v>
      </c>
      <c r="D125" s="2" t="e">
        <f>IF(AND(Programme_Grunddaten!#REF!="Geprüft",Programme_Grunddaten!#REF!&lt;&gt;""),Programme_Grunddaten!#REF!,"")</f>
        <v>#REF!</v>
      </c>
      <c r="E125" t="e">
        <f>IF(AND(Programme_Grunddaten!#REF!="Geprüft",Programme_Grunddaten!#REF!&lt;&gt;""),Programme_Grunddaten!#REF!,"")</f>
        <v>#REF!</v>
      </c>
      <c r="F125" t="e">
        <f>IF(AND(Programme_Grunddaten!#REF!="Geprüft",Programme_Grunddaten!#REF!&lt;&gt;""),Programme_Grunddaten!#REF!,"")</f>
        <v>#REF!</v>
      </c>
      <c r="G125" s="3" t="e">
        <f>IF(AND(Programme_Grunddaten!#REF!="Geprüft",Programme_Grunddaten!#REF!&lt;&gt;""),Programme_Grunddaten!#REF!,"")</f>
        <v>#REF!</v>
      </c>
      <c r="H125" t="e">
        <f>IF(AND(Programme_Grunddaten!#REF!="Geprüft",Programme_Grunddaten!#REF!&lt;&gt;""),Programme_Grunddaten!#REF!,"")</f>
        <v>#REF!</v>
      </c>
      <c r="I125" t="e">
        <f>IF(AND(Programme_Grunddaten!#REF!="Geprüft",Programme_Grunddaten!#REF!&lt;&gt;""),Programme_Grunddaten!#REF!,"")</f>
        <v>#REF!</v>
      </c>
    </row>
    <row r="126" spans="1:9" x14ac:dyDescent="0.3">
      <c r="A126" s="1" t="str">
        <f>IF(AND(Programme_Grunddaten!$A131="Geprüft",Programme_Grunddaten!B131&lt;&gt;""),Programme_Grunddaten!B131,"")</f>
        <v/>
      </c>
      <c r="B126" s="1" t="str">
        <f>IF(AND(Programme_Grunddaten!$A131="Geprüft",Programme_Grunddaten!C131&lt;&gt;""),Programme_Grunddaten!C131,"")</f>
        <v/>
      </c>
      <c r="C126" s="1" t="str">
        <f>IF(AND(Programme_Grunddaten!$A131="Geprüft",Programme_Grunddaten!D131&lt;&gt;""),Programme_Grunddaten!D131,"")</f>
        <v/>
      </c>
      <c r="D126" s="2" t="str">
        <f>IF(AND(Programme_Grunddaten!$A131="Geprüft",Programme_Grunddaten!E131&lt;&gt;""),Programme_Grunddaten!E131,"")</f>
        <v/>
      </c>
      <c r="E126" t="str">
        <f>IF(AND(Programme_Grunddaten!$A131="Geprüft",Programme_Grunddaten!G131&lt;&gt;""),Programme_Grunddaten!G131,"")</f>
        <v/>
      </c>
      <c r="F126" t="str">
        <f>IF(AND(Programme_Grunddaten!$A131="Geprüft",Programme_Grunddaten!F131&lt;&gt;""),Programme_Grunddaten!F131,"")</f>
        <v/>
      </c>
      <c r="G126" s="3" t="str">
        <f>IF(AND(Programme_Grunddaten!$A131="Geprüft",Programme_Grunddaten!S131&lt;&gt;""),Programme_Grunddaten!S131,"")</f>
        <v/>
      </c>
      <c r="H126" t="str">
        <f>IF(AND(Programme_Grunddaten!$A131="Geprüft",Programme_Grunddaten!AW131&lt;&gt;""),Programme_Grunddaten!AW131,"")</f>
        <v/>
      </c>
      <c r="I126" t="str">
        <f>IF(AND(Programme_Grunddaten!$A131="Geprüft",Programme_Grunddaten!AX131&lt;&gt;""),Programme_Grunddaten!AX131,"")</f>
        <v/>
      </c>
    </row>
    <row r="127" spans="1:9" x14ac:dyDescent="0.3">
      <c r="A127" s="1" t="str">
        <f>IF(AND(Programme_Grunddaten!$A132="Geprüft",Programme_Grunddaten!B132&lt;&gt;""),Programme_Grunddaten!B132,"")</f>
        <v/>
      </c>
      <c r="B127" s="1" t="str">
        <f>IF(AND(Programme_Grunddaten!$A132="Geprüft",Programme_Grunddaten!C132&lt;&gt;""),Programme_Grunddaten!C132,"")</f>
        <v/>
      </c>
      <c r="C127" s="1" t="str">
        <f>IF(AND(Programme_Grunddaten!$A132="Geprüft",Programme_Grunddaten!D132&lt;&gt;""),Programme_Grunddaten!D132,"")</f>
        <v/>
      </c>
      <c r="D127" s="2" t="str">
        <f>IF(AND(Programme_Grunddaten!$A132="Geprüft",Programme_Grunddaten!E132&lt;&gt;""),Programme_Grunddaten!E132,"")</f>
        <v/>
      </c>
      <c r="E127" t="str">
        <f>IF(AND(Programme_Grunddaten!$A132="Geprüft",Programme_Grunddaten!G132&lt;&gt;""),Programme_Grunddaten!G132,"")</f>
        <v/>
      </c>
      <c r="F127" t="str">
        <f>IF(AND(Programme_Grunddaten!$A132="Geprüft",Programme_Grunddaten!F132&lt;&gt;""),Programme_Grunddaten!F132,"")</f>
        <v/>
      </c>
      <c r="G127" s="3" t="str">
        <f>IF(AND(Programme_Grunddaten!$A132="Geprüft",Programme_Grunddaten!S132&lt;&gt;""),Programme_Grunddaten!S132,"")</f>
        <v/>
      </c>
      <c r="H127" t="str">
        <f>IF(AND(Programme_Grunddaten!$A132="Geprüft",Programme_Grunddaten!AW132&lt;&gt;""),Programme_Grunddaten!AW132,"")</f>
        <v/>
      </c>
      <c r="I127" t="str">
        <f>IF(AND(Programme_Grunddaten!$A132="Geprüft",Programme_Grunddaten!AX132&lt;&gt;""),Programme_Grunddaten!AX132,"")</f>
        <v/>
      </c>
    </row>
    <row r="128" spans="1:9" x14ac:dyDescent="0.3">
      <c r="A128" s="1" t="str">
        <f>IF(AND(Programme_Grunddaten!$A133="Geprüft",Programme_Grunddaten!B133&lt;&gt;""),Programme_Grunddaten!B133,"")</f>
        <v/>
      </c>
      <c r="B128" s="1" t="str">
        <f>IF(AND(Programme_Grunddaten!$A133="Geprüft",Programme_Grunddaten!C133&lt;&gt;""),Programme_Grunddaten!C133,"")</f>
        <v/>
      </c>
      <c r="C128" s="1" t="str">
        <f>IF(AND(Programme_Grunddaten!$A133="Geprüft",Programme_Grunddaten!D133&lt;&gt;""),Programme_Grunddaten!D133,"")</f>
        <v/>
      </c>
      <c r="D128" s="2" t="str">
        <f>IF(AND(Programme_Grunddaten!$A133="Geprüft",Programme_Grunddaten!E133&lt;&gt;""),Programme_Grunddaten!E133,"")</f>
        <v/>
      </c>
      <c r="E128" t="str">
        <f>IF(AND(Programme_Grunddaten!$A133="Geprüft",Programme_Grunddaten!G133&lt;&gt;""),Programme_Grunddaten!G133,"")</f>
        <v/>
      </c>
      <c r="F128" t="str">
        <f>IF(AND(Programme_Grunddaten!$A133="Geprüft",Programme_Grunddaten!F133&lt;&gt;""),Programme_Grunddaten!F133,"")</f>
        <v/>
      </c>
      <c r="G128" s="3" t="str">
        <f>IF(AND(Programme_Grunddaten!$A133="Geprüft",Programme_Grunddaten!S133&lt;&gt;""),Programme_Grunddaten!S133,"")</f>
        <v/>
      </c>
      <c r="H128" t="str">
        <f>IF(AND(Programme_Grunddaten!$A133="Geprüft",Programme_Grunddaten!AW133&lt;&gt;""),Programme_Grunddaten!AW133,"")</f>
        <v/>
      </c>
      <c r="I128" t="str">
        <f>IF(AND(Programme_Grunddaten!$A133="Geprüft",Programme_Grunddaten!AX133&lt;&gt;""),Programme_Grunddaten!AX133,"")</f>
        <v/>
      </c>
    </row>
    <row r="129" spans="1:9" x14ac:dyDescent="0.3">
      <c r="A129" s="1" t="str">
        <f>IF(AND(Programme_Grunddaten!$A134="Geprüft",Programme_Grunddaten!B134&lt;&gt;""),Programme_Grunddaten!B134,"")</f>
        <v/>
      </c>
      <c r="B129" s="1" t="str">
        <f>IF(AND(Programme_Grunddaten!$A134="Geprüft",Programme_Grunddaten!C134&lt;&gt;""),Programme_Grunddaten!C134,"")</f>
        <v/>
      </c>
      <c r="C129" s="1" t="str">
        <f>IF(AND(Programme_Grunddaten!$A134="Geprüft",Programme_Grunddaten!D134&lt;&gt;""),Programme_Grunddaten!D134,"")</f>
        <v/>
      </c>
      <c r="D129" s="2" t="str">
        <f>IF(AND(Programme_Grunddaten!$A134="Geprüft",Programme_Grunddaten!E134&lt;&gt;""),Programme_Grunddaten!E134,"")</f>
        <v/>
      </c>
      <c r="E129" t="str">
        <f>IF(AND(Programme_Grunddaten!$A134="Geprüft",Programme_Grunddaten!G134&lt;&gt;""),Programme_Grunddaten!G134,"")</f>
        <v/>
      </c>
      <c r="F129" t="str">
        <f>IF(AND(Programme_Grunddaten!$A134="Geprüft",Programme_Grunddaten!F134&lt;&gt;""),Programme_Grunddaten!F134,"")</f>
        <v/>
      </c>
      <c r="G129" s="3" t="str">
        <f>IF(AND(Programme_Grunddaten!$A134="Geprüft",Programme_Grunddaten!S134&lt;&gt;""),Programme_Grunddaten!S134,"")</f>
        <v/>
      </c>
      <c r="H129" t="str">
        <f>IF(AND(Programme_Grunddaten!$A134="Geprüft",Programme_Grunddaten!AW134&lt;&gt;""),Programme_Grunddaten!AW134,"")</f>
        <v/>
      </c>
      <c r="I129" t="str">
        <f>IF(AND(Programme_Grunddaten!$A134="Geprüft",Programme_Grunddaten!AX134&lt;&gt;""),Programme_Grunddaten!AX134,"")</f>
        <v/>
      </c>
    </row>
    <row r="130" spans="1:9" x14ac:dyDescent="0.3">
      <c r="A130" s="1" t="str">
        <f>IF(AND(Programme_Grunddaten!$A135="Geprüft",Programme_Grunddaten!B135&lt;&gt;""),Programme_Grunddaten!B135,"")</f>
        <v/>
      </c>
      <c r="B130" s="1" t="str">
        <f>IF(AND(Programme_Grunddaten!$A135="Geprüft",Programme_Grunddaten!C135&lt;&gt;""),Programme_Grunddaten!C135,"")</f>
        <v/>
      </c>
      <c r="C130" s="1" t="str">
        <f>IF(AND(Programme_Grunddaten!$A135="Geprüft",Programme_Grunddaten!D135&lt;&gt;""),Programme_Grunddaten!D135,"")</f>
        <v/>
      </c>
      <c r="D130" s="2" t="str">
        <f>IF(AND(Programme_Grunddaten!$A135="Geprüft",Programme_Grunddaten!E135&lt;&gt;""),Programme_Grunddaten!E135,"")</f>
        <v/>
      </c>
      <c r="E130" t="str">
        <f>IF(AND(Programme_Grunddaten!$A135="Geprüft",Programme_Grunddaten!G135&lt;&gt;""),Programme_Grunddaten!G135,"")</f>
        <v/>
      </c>
      <c r="F130" t="str">
        <f>IF(AND(Programme_Grunddaten!$A135="Geprüft",Programme_Grunddaten!F135&lt;&gt;""),Programme_Grunddaten!F135,"")</f>
        <v/>
      </c>
      <c r="G130" s="3" t="str">
        <f>IF(AND(Programme_Grunddaten!$A135="Geprüft",Programme_Grunddaten!S135&lt;&gt;""),Programme_Grunddaten!S135,"")</f>
        <v/>
      </c>
      <c r="H130" t="str">
        <f>IF(AND(Programme_Grunddaten!$A135="Geprüft",Programme_Grunddaten!AW135&lt;&gt;""),Programme_Grunddaten!AW135,"")</f>
        <v/>
      </c>
      <c r="I130" t="str">
        <f>IF(AND(Programme_Grunddaten!$A135="Geprüft",Programme_Grunddaten!AX135&lt;&gt;""),Programme_Grunddaten!AX135,"")</f>
        <v/>
      </c>
    </row>
    <row r="131" spans="1:9" x14ac:dyDescent="0.3">
      <c r="A131" s="1" t="str">
        <f>IF(AND(Programme_Grunddaten!$A136="Geprüft",Programme_Grunddaten!B136&lt;&gt;""),Programme_Grunddaten!B136,"")</f>
        <v/>
      </c>
      <c r="B131" s="1" t="str">
        <f>IF(AND(Programme_Grunddaten!$A136="Geprüft",Programme_Grunddaten!C136&lt;&gt;""),Programme_Grunddaten!C136,"")</f>
        <v/>
      </c>
      <c r="C131" s="1" t="str">
        <f>IF(AND(Programme_Grunddaten!$A136="Geprüft",Programme_Grunddaten!D136&lt;&gt;""),Programme_Grunddaten!D136,"")</f>
        <v/>
      </c>
      <c r="D131" s="2" t="str">
        <f>IF(AND(Programme_Grunddaten!$A136="Geprüft",Programme_Grunddaten!E136&lt;&gt;""),Programme_Grunddaten!E136,"")</f>
        <v/>
      </c>
      <c r="E131" t="str">
        <f>IF(AND(Programme_Grunddaten!$A136="Geprüft",Programme_Grunddaten!G136&lt;&gt;""),Programme_Grunddaten!G136,"")</f>
        <v/>
      </c>
      <c r="F131" t="str">
        <f>IF(AND(Programme_Grunddaten!$A136="Geprüft",Programme_Grunddaten!F136&lt;&gt;""),Programme_Grunddaten!F136,"")</f>
        <v/>
      </c>
      <c r="G131" s="3" t="str">
        <f>IF(AND(Programme_Grunddaten!$A136="Geprüft",Programme_Grunddaten!S136&lt;&gt;""),Programme_Grunddaten!S136,"")</f>
        <v/>
      </c>
      <c r="H131" t="str">
        <f>IF(AND(Programme_Grunddaten!$A136="Geprüft",Programme_Grunddaten!AW136&lt;&gt;""),Programme_Grunddaten!AW136,"")</f>
        <v/>
      </c>
      <c r="I131" t="str">
        <f>IF(AND(Programme_Grunddaten!$A136="Geprüft",Programme_Grunddaten!AX136&lt;&gt;""),Programme_Grunddaten!AX136,"")</f>
        <v/>
      </c>
    </row>
    <row r="132" spans="1:9" x14ac:dyDescent="0.3">
      <c r="A132" s="1" t="str">
        <f>IF(AND(Programme_Grunddaten!$A137="Geprüft",Programme_Grunddaten!B137&lt;&gt;""),Programme_Grunddaten!B137,"")</f>
        <v/>
      </c>
      <c r="B132" s="1" t="str">
        <f>IF(AND(Programme_Grunddaten!$A137="Geprüft",Programme_Grunddaten!C137&lt;&gt;""),Programme_Grunddaten!C137,"")</f>
        <v/>
      </c>
      <c r="C132" s="1" t="str">
        <f>IF(AND(Programme_Grunddaten!$A137="Geprüft",Programme_Grunddaten!D137&lt;&gt;""),Programme_Grunddaten!D137,"")</f>
        <v/>
      </c>
      <c r="D132" s="2" t="str">
        <f>IF(AND(Programme_Grunddaten!$A137="Geprüft",Programme_Grunddaten!E137&lt;&gt;""),Programme_Grunddaten!E137,"")</f>
        <v/>
      </c>
      <c r="E132" t="str">
        <f>IF(AND(Programme_Grunddaten!$A137="Geprüft",Programme_Grunddaten!G137&lt;&gt;""),Programme_Grunddaten!G137,"")</f>
        <v/>
      </c>
      <c r="F132" t="str">
        <f>IF(AND(Programme_Grunddaten!$A137="Geprüft",Programme_Grunddaten!F137&lt;&gt;""),Programme_Grunddaten!F137,"")</f>
        <v/>
      </c>
      <c r="G132" s="3" t="str">
        <f>IF(AND(Programme_Grunddaten!$A137="Geprüft",Programme_Grunddaten!S137&lt;&gt;""),Programme_Grunddaten!S137,"")</f>
        <v/>
      </c>
      <c r="H132" t="str">
        <f>IF(AND(Programme_Grunddaten!$A137="Geprüft",Programme_Grunddaten!AW137&lt;&gt;""),Programme_Grunddaten!AW137,"")</f>
        <v/>
      </c>
      <c r="I132" t="str">
        <f>IF(AND(Programme_Grunddaten!$A137="Geprüft",Programme_Grunddaten!AX137&lt;&gt;""),Programme_Grunddaten!AX137,"")</f>
        <v/>
      </c>
    </row>
    <row r="133" spans="1:9" x14ac:dyDescent="0.3">
      <c r="A133" s="1" t="str">
        <f>IF(AND(Programme_Grunddaten!$A138="Geprüft",Programme_Grunddaten!B138&lt;&gt;""),Programme_Grunddaten!B138,"")</f>
        <v/>
      </c>
      <c r="B133" s="1" t="str">
        <f>IF(AND(Programme_Grunddaten!$A138="Geprüft",Programme_Grunddaten!C138&lt;&gt;""),Programme_Grunddaten!C138,"")</f>
        <v/>
      </c>
      <c r="C133" s="1" t="str">
        <f>IF(AND(Programme_Grunddaten!$A138="Geprüft",Programme_Grunddaten!D138&lt;&gt;""),Programme_Grunddaten!D138,"")</f>
        <v/>
      </c>
      <c r="D133" s="2" t="str">
        <f>IF(AND(Programme_Grunddaten!$A138="Geprüft",Programme_Grunddaten!E138&lt;&gt;""),Programme_Grunddaten!E138,"")</f>
        <v/>
      </c>
      <c r="E133" t="str">
        <f>IF(AND(Programme_Grunddaten!$A138="Geprüft",Programme_Grunddaten!G138&lt;&gt;""),Programme_Grunddaten!G138,"")</f>
        <v/>
      </c>
      <c r="F133" t="str">
        <f>IF(AND(Programme_Grunddaten!$A138="Geprüft",Programme_Grunddaten!F138&lt;&gt;""),Programme_Grunddaten!F138,"")</f>
        <v/>
      </c>
      <c r="G133" s="3" t="str">
        <f>IF(AND(Programme_Grunddaten!$A138="Geprüft",Programme_Grunddaten!S138&lt;&gt;""),Programme_Grunddaten!S138,"")</f>
        <v/>
      </c>
      <c r="H133" t="str">
        <f>IF(AND(Programme_Grunddaten!$A138="Geprüft",Programme_Grunddaten!AW138&lt;&gt;""),Programme_Grunddaten!AW138,"")</f>
        <v/>
      </c>
      <c r="I133" t="str">
        <f>IF(AND(Programme_Grunddaten!$A138="Geprüft",Programme_Grunddaten!AX138&lt;&gt;""),Programme_Grunddaten!AX138,"")</f>
        <v/>
      </c>
    </row>
    <row r="134" spans="1:9" x14ac:dyDescent="0.3">
      <c r="A134" s="1" t="str">
        <f>IF(AND(Programme_Grunddaten!$A139="Geprüft",Programme_Grunddaten!B139&lt;&gt;""),Programme_Grunddaten!B139,"")</f>
        <v/>
      </c>
      <c r="B134" s="1" t="str">
        <f>IF(AND(Programme_Grunddaten!$A139="Geprüft",Programme_Grunddaten!C139&lt;&gt;""),Programme_Grunddaten!C139,"")</f>
        <v/>
      </c>
      <c r="C134" s="1" t="str">
        <f>IF(AND(Programme_Grunddaten!$A139="Geprüft",Programme_Grunddaten!D139&lt;&gt;""),Programme_Grunddaten!D139,"")</f>
        <v/>
      </c>
      <c r="D134" s="2" t="str">
        <f>IF(AND(Programme_Grunddaten!$A139="Geprüft",Programme_Grunddaten!E139&lt;&gt;""),Programme_Grunddaten!E139,"")</f>
        <v/>
      </c>
      <c r="E134" t="str">
        <f>IF(AND(Programme_Grunddaten!$A139="Geprüft",Programme_Grunddaten!G139&lt;&gt;""),Programme_Grunddaten!G139,"")</f>
        <v/>
      </c>
      <c r="F134" t="str">
        <f>IF(AND(Programme_Grunddaten!$A139="Geprüft",Programme_Grunddaten!F139&lt;&gt;""),Programme_Grunddaten!F139,"")</f>
        <v/>
      </c>
      <c r="G134" s="3" t="str">
        <f>IF(AND(Programme_Grunddaten!$A139="Geprüft",Programme_Grunddaten!S139&lt;&gt;""),Programme_Grunddaten!S139,"")</f>
        <v/>
      </c>
      <c r="H134" t="str">
        <f>IF(AND(Programme_Grunddaten!$A139="Geprüft",Programme_Grunddaten!AW139&lt;&gt;""),Programme_Grunddaten!AW139,"")</f>
        <v/>
      </c>
      <c r="I134" t="str">
        <f>IF(AND(Programme_Grunddaten!$A139="Geprüft",Programme_Grunddaten!AX139&lt;&gt;""),Programme_Grunddaten!AX139,"")</f>
        <v/>
      </c>
    </row>
    <row r="135" spans="1:9" x14ac:dyDescent="0.3">
      <c r="A135" s="1" t="str">
        <f>IF(AND(Programme_Grunddaten!$A140="Geprüft",Programme_Grunddaten!B140&lt;&gt;""),Programme_Grunddaten!B140,"")</f>
        <v/>
      </c>
      <c r="B135" s="1" t="str">
        <f>IF(AND(Programme_Grunddaten!$A140="Geprüft",Programme_Grunddaten!C140&lt;&gt;""),Programme_Grunddaten!C140,"")</f>
        <v/>
      </c>
      <c r="C135" s="1" t="str">
        <f>IF(AND(Programme_Grunddaten!$A140="Geprüft",Programme_Grunddaten!D140&lt;&gt;""),Programme_Grunddaten!D140,"")</f>
        <v/>
      </c>
      <c r="D135" s="2" t="str">
        <f>IF(AND(Programme_Grunddaten!$A140="Geprüft",Programme_Grunddaten!E140&lt;&gt;""),Programme_Grunddaten!E140,"")</f>
        <v/>
      </c>
      <c r="E135" t="str">
        <f>IF(AND(Programme_Grunddaten!$A140="Geprüft",Programme_Grunddaten!G140&lt;&gt;""),Programme_Grunddaten!G140,"")</f>
        <v/>
      </c>
      <c r="F135" t="str">
        <f>IF(AND(Programme_Grunddaten!$A140="Geprüft",Programme_Grunddaten!F140&lt;&gt;""),Programme_Grunddaten!F140,"")</f>
        <v/>
      </c>
      <c r="G135" s="3" t="str">
        <f>IF(AND(Programme_Grunddaten!$A140="Geprüft",Programme_Grunddaten!S140&lt;&gt;""),Programme_Grunddaten!S140,"")</f>
        <v/>
      </c>
      <c r="H135" t="str">
        <f>IF(AND(Programme_Grunddaten!$A140="Geprüft",Programme_Grunddaten!AW140&lt;&gt;""),Programme_Grunddaten!AW140,"")</f>
        <v/>
      </c>
      <c r="I135" t="str">
        <f>IF(AND(Programme_Grunddaten!$A140="Geprüft",Programme_Grunddaten!AX140&lt;&gt;""),Programme_Grunddaten!AX140,"")</f>
        <v/>
      </c>
    </row>
    <row r="136" spans="1:9" x14ac:dyDescent="0.3">
      <c r="A136" s="1" t="str">
        <f>IF(AND(Programme_Grunddaten!$A141="Geprüft",Programme_Grunddaten!B141&lt;&gt;""),Programme_Grunddaten!B141,"")</f>
        <v/>
      </c>
      <c r="B136" s="1" t="str">
        <f>IF(AND(Programme_Grunddaten!$A141="Geprüft",Programme_Grunddaten!C141&lt;&gt;""),Programme_Grunddaten!C141,"")</f>
        <v/>
      </c>
      <c r="C136" s="1" t="str">
        <f>IF(AND(Programme_Grunddaten!$A141="Geprüft",Programme_Grunddaten!D141&lt;&gt;""),Programme_Grunddaten!D141,"")</f>
        <v/>
      </c>
      <c r="D136" s="2" t="str">
        <f>IF(AND(Programme_Grunddaten!$A141="Geprüft",Programme_Grunddaten!E141&lt;&gt;""),Programme_Grunddaten!E141,"")</f>
        <v/>
      </c>
      <c r="E136" t="str">
        <f>IF(AND(Programme_Grunddaten!$A141="Geprüft",Programme_Grunddaten!G141&lt;&gt;""),Programme_Grunddaten!G141,"")</f>
        <v/>
      </c>
      <c r="F136" t="str">
        <f>IF(AND(Programme_Grunddaten!$A141="Geprüft",Programme_Grunddaten!F141&lt;&gt;""),Programme_Grunddaten!F141,"")</f>
        <v/>
      </c>
      <c r="G136" s="3" t="str">
        <f>IF(AND(Programme_Grunddaten!$A141="Geprüft",Programme_Grunddaten!S141&lt;&gt;""),Programme_Grunddaten!S141,"")</f>
        <v/>
      </c>
      <c r="H136" t="str">
        <f>IF(AND(Programme_Grunddaten!$A141="Geprüft",Programme_Grunddaten!AW141&lt;&gt;""),Programme_Grunddaten!AW141,"")</f>
        <v/>
      </c>
      <c r="I136" t="str">
        <f>IF(AND(Programme_Grunddaten!$A141="Geprüft",Programme_Grunddaten!AX141&lt;&gt;""),Programme_Grunddaten!AX141,"")</f>
        <v/>
      </c>
    </row>
    <row r="137" spans="1:9" x14ac:dyDescent="0.3">
      <c r="A137" s="1" t="str">
        <f>IF(AND(Programme_Grunddaten!$A142="Geprüft",Programme_Grunddaten!B142&lt;&gt;""),Programme_Grunddaten!B142,"")</f>
        <v/>
      </c>
      <c r="B137" s="1" t="str">
        <f>IF(AND(Programme_Grunddaten!$A142="Geprüft",Programme_Grunddaten!C142&lt;&gt;""),Programme_Grunddaten!C142,"")</f>
        <v/>
      </c>
      <c r="C137" s="1" t="str">
        <f>IF(AND(Programme_Grunddaten!$A142="Geprüft",Programme_Grunddaten!D142&lt;&gt;""),Programme_Grunddaten!D142,"")</f>
        <v/>
      </c>
      <c r="D137" s="2" t="str">
        <f>IF(AND(Programme_Grunddaten!$A142="Geprüft",Programme_Grunddaten!E142&lt;&gt;""),Programme_Grunddaten!E142,"")</f>
        <v/>
      </c>
      <c r="E137" t="str">
        <f>IF(AND(Programme_Grunddaten!$A142="Geprüft",Programme_Grunddaten!G142&lt;&gt;""),Programme_Grunddaten!G142,"")</f>
        <v/>
      </c>
      <c r="F137" t="str">
        <f>IF(AND(Programme_Grunddaten!$A142="Geprüft",Programme_Grunddaten!F142&lt;&gt;""),Programme_Grunddaten!F142,"")</f>
        <v/>
      </c>
      <c r="G137" s="3" t="str">
        <f>IF(AND(Programme_Grunddaten!$A142="Geprüft",Programme_Grunddaten!S142&lt;&gt;""),Programme_Grunddaten!S142,"")</f>
        <v/>
      </c>
      <c r="H137" t="str">
        <f>IF(AND(Programme_Grunddaten!$A142="Geprüft",Programme_Grunddaten!AW142&lt;&gt;""),Programme_Grunddaten!AW142,"")</f>
        <v/>
      </c>
      <c r="I137" t="str">
        <f>IF(AND(Programme_Grunddaten!$A142="Geprüft",Programme_Grunddaten!AX142&lt;&gt;""),Programme_Grunddaten!AX142,"")</f>
        <v/>
      </c>
    </row>
    <row r="138" spans="1:9" x14ac:dyDescent="0.3">
      <c r="A138" s="1" t="str">
        <f>IF(AND(Programme_Grunddaten!$A143="Geprüft",Programme_Grunddaten!B143&lt;&gt;""),Programme_Grunddaten!B143,"")</f>
        <v/>
      </c>
      <c r="B138" s="1" t="str">
        <f>IF(AND(Programme_Grunddaten!$A143="Geprüft",Programme_Grunddaten!C143&lt;&gt;""),Programme_Grunddaten!C143,"")</f>
        <v/>
      </c>
      <c r="C138" s="1" t="str">
        <f>IF(AND(Programme_Grunddaten!$A143="Geprüft",Programme_Grunddaten!D143&lt;&gt;""),Programme_Grunddaten!D143,"")</f>
        <v/>
      </c>
      <c r="D138" s="2" t="str">
        <f>IF(AND(Programme_Grunddaten!$A143="Geprüft",Programme_Grunddaten!E143&lt;&gt;""),Programme_Grunddaten!E143,"")</f>
        <v/>
      </c>
      <c r="E138" t="str">
        <f>IF(AND(Programme_Grunddaten!$A143="Geprüft",Programme_Grunddaten!G143&lt;&gt;""),Programme_Grunddaten!G143,"")</f>
        <v/>
      </c>
      <c r="F138" t="str">
        <f>IF(AND(Programme_Grunddaten!$A143="Geprüft",Programme_Grunddaten!F143&lt;&gt;""),Programme_Grunddaten!F143,"")</f>
        <v/>
      </c>
      <c r="G138" s="3" t="str">
        <f>IF(AND(Programme_Grunddaten!$A143="Geprüft",Programme_Grunddaten!S143&lt;&gt;""),Programme_Grunddaten!S143,"")</f>
        <v/>
      </c>
      <c r="H138" t="str">
        <f>IF(AND(Programme_Grunddaten!$A143="Geprüft",Programme_Grunddaten!AW143&lt;&gt;""),Programme_Grunddaten!AW143,"")</f>
        <v/>
      </c>
      <c r="I138" t="str">
        <f>IF(AND(Programme_Grunddaten!$A143="Geprüft",Programme_Grunddaten!AX143&lt;&gt;""),Programme_Grunddaten!AX143,"")</f>
        <v/>
      </c>
    </row>
    <row r="139" spans="1:9" x14ac:dyDescent="0.3">
      <c r="A139" s="1" t="str">
        <f>IF(AND(Programme_Grunddaten!$A144="Geprüft",Programme_Grunddaten!B144&lt;&gt;""),Programme_Grunddaten!B144,"")</f>
        <v/>
      </c>
      <c r="B139" s="1" t="str">
        <f>IF(AND(Programme_Grunddaten!$A144="Geprüft",Programme_Grunddaten!C144&lt;&gt;""),Programme_Grunddaten!C144,"")</f>
        <v/>
      </c>
      <c r="C139" s="1" t="str">
        <f>IF(AND(Programme_Grunddaten!$A144="Geprüft",Programme_Grunddaten!D144&lt;&gt;""),Programme_Grunddaten!D144,"")</f>
        <v/>
      </c>
      <c r="D139" s="2" t="str">
        <f>IF(AND(Programme_Grunddaten!$A144="Geprüft",Programme_Grunddaten!E144&lt;&gt;""),Programme_Grunddaten!E144,"")</f>
        <v/>
      </c>
      <c r="E139" t="str">
        <f>IF(AND(Programme_Grunddaten!$A144="Geprüft",Programme_Grunddaten!G144&lt;&gt;""),Programme_Grunddaten!G144,"")</f>
        <v/>
      </c>
      <c r="F139" t="str">
        <f>IF(AND(Programme_Grunddaten!$A144="Geprüft",Programme_Grunddaten!F144&lt;&gt;""),Programme_Grunddaten!F144,"")</f>
        <v/>
      </c>
      <c r="G139" s="3" t="str">
        <f>IF(AND(Programme_Grunddaten!$A144="Geprüft",Programme_Grunddaten!S144&lt;&gt;""),Programme_Grunddaten!S144,"")</f>
        <v/>
      </c>
      <c r="H139" t="str">
        <f>IF(AND(Programme_Grunddaten!$A144="Geprüft",Programme_Grunddaten!AW144&lt;&gt;""),Programme_Grunddaten!AW144,"")</f>
        <v/>
      </c>
      <c r="I139" t="str">
        <f>IF(AND(Programme_Grunddaten!$A144="Geprüft",Programme_Grunddaten!AX144&lt;&gt;""),Programme_Grunddaten!AX144,"")</f>
        <v/>
      </c>
    </row>
    <row r="140" spans="1:9" x14ac:dyDescent="0.3">
      <c r="A140" s="1" t="str">
        <f>IF(AND(Programme_Grunddaten!$A145="Geprüft",Programme_Grunddaten!B145&lt;&gt;""),Programme_Grunddaten!B145,"")</f>
        <v/>
      </c>
      <c r="B140" s="1" t="str">
        <f>IF(AND(Programme_Grunddaten!$A145="Geprüft",Programme_Grunddaten!C145&lt;&gt;""),Programme_Grunddaten!C145,"")</f>
        <v/>
      </c>
      <c r="C140" s="1" t="str">
        <f>IF(AND(Programme_Grunddaten!$A145="Geprüft",Programme_Grunddaten!D145&lt;&gt;""),Programme_Grunddaten!D145,"")</f>
        <v/>
      </c>
      <c r="D140" s="2" t="str">
        <f>IF(AND(Programme_Grunddaten!$A145="Geprüft",Programme_Grunddaten!E145&lt;&gt;""),Programme_Grunddaten!E145,"")</f>
        <v/>
      </c>
      <c r="E140" t="str">
        <f>IF(AND(Programme_Grunddaten!$A145="Geprüft",Programme_Grunddaten!G145&lt;&gt;""),Programme_Grunddaten!G145,"")</f>
        <v/>
      </c>
      <c r="F140" t="str">
        <f>IF(AND(Programme_Grunddaten!$A145="Geprüft",Programme_Grunddaten!F145&lt;&gt;""),Programme_Grunddaten!F145,"")</f>
        <v/>
      </c>
      <c r="G140" s="3" t="str">
        <f>IF(AND(Programme_Grunddaten!$A145="Geprüft",Programme_Grunddaten!S145&lt;&gt;""),Programme_Grunddaten!S145,"")</f>
        <v/>
      </c>
      <c r="H140" t="str">
        <f>IF(AND(Programme_Grunddaten!$A145="Geprüft",Programme_Grunddaten!AW145&lt;&gt;""),Programme_Grunddaten!AW145,"")</f>
        <v/>
      </c>
      <c r="I140" t="str">
        <f>IF(AND(Programme_Grunddaten!$A145="Geprüft",Programme_Grunddaten!AX145&lt;&gt;""),Programme_Grunddaten!AX145,"")</f>
        <v/>
      </c>
    </row>
    <row r="141" spans="1:9" x14ac:dyDescent="0.3">
      <c r="A141" s="1" t="str">
        <f>IF(AND(Programme_Grunddaten!$A146="Geprüft",Programme_Grunddaten!B146&lt;&gt;""),Programme_Grunddaten!B146,"")</f>
        <v/>
      </c>
      <c r="B141" s="1" t="str">
        <f>IF(AND(Programme_Grunddaten!$A146="Geprüft",Programme_Grunddaten!C146&lt;&gt;""),Programme_Grunddaten!C146,"")</f>
        <v/>
      </c>
      <c r="C141" s="1" t="str">
        <f>IF(AND(Programme_Grunddaten!$A146="Geprüft",Programme_Grunddaten!D146&lt;&gt;""),Programme_Grunddaten!D146,"")</f>
        <v/>
      </c>
      <c r="D141" s="2" t="str">
        <f>IF(AND(Programme_Grunddaten!$A146="Geprüft",Programme_Grunddaten!E146&lt;&gt;""),Programme_Grunddaten!E146,"")</f>
        <v/>
      </c>
      <c r="E141" t="str">
        <f>IF(AND(Programme_Grunddaten!$A146="Geprüft",Programme_Grunddaten!G146&lt;&gt;""),Programme_Grunddaten!G146,"")</f>
        <v/>
      </c>
      <c r="F141" t="str">
        <f>IF(AND(Programme_Grunddaten!$A146="Geprüft",Programme_Grunddaten!F146&lt;&gt;""),Programme_Grunddaten!F146,"")</f>
        <v/>
      </c>
      <c r="G141" s="3" t="str">
        <f>IF(AND(Programme_Grunddaten!$A146="Geprüft",Programme_Grunddaten!S146&lt;&gt;""),Programme_Grunddaten!S146,"")</f>
        <v/>
      </c>
      <c r="H141" t="str">
        <f>IF(AND(Programme_Grunddaten!$A146="Geprüft",Programme_Grunddaten!AW146&lt;&gt;""),Programme_Grunddaten!AW146,"")</f>
        <v/>
      </c>
      <c r="I141" t="str">
        <f>IF(AND(Programme_Grunddaten!$A146="Geprüft",Programme_Grunddaten!AX146&lt;&gt;""),Programme_Grunddaten!AX146,"")</f>
        <v/>
      </c>
    </row>
    <row r="142" spans="1:9" x14ac:dyDescent="0.3">
      <c r="A142" s="1" t="str">
        <f>IF(AND(Programme_Grunddaten!$A147="Geprüft",Programme_Grunddaten!B147&lt;&gt;""),Programme_Grunddaten!B147,"")</f>
        <v/>
      </c>
      <c r="B142" s="1" t="str">
        <f>IF(AND(Programme_Grunddaten!$A147="Geprüft",Programme_Grunddaten!C147&lt;&gt;""),Programme_Grunddaten!C147,"")</f>
        <v/>
      </c>
      <c r="C142" s="1" t="str">
        <f>IF(AND(Programme_Grunddaten!$A147="Geprüft",Programme_Grunddaten!D147&lt;&gt;""),Programme_Grunddaten!D147,"")</f>
        <v/>
      </c>
      <c r="D142" s="2" t="str">
        <f>IF(AND(Programme_Grunddaten!$A147="Geprüft",Programme_Grunddaten!E147&lt;&gt;""),Programme_Grunddaten!E147,"")</f>
        <v/>
      </c>
      <c r="E142" t="str">
        <f>IF(AND(Programme_Grunddaten!$A147="Geprüft",Programme_Grunddaten!G147&lt;&gt;""),Programme_Grunddaten!G147,"")</f>
        <v/>
      </c>
      <c r="F142" t="str">
        <f>IF(AND(Programme_Grunddaten!$A147="Geprüft",Programme_Grunddaten!F147&lt;&gt;""),Programme_Grunddaten!F147,"")</f>
        <v/>
      </c>
      <c r="G142" s="3" t="str">
        <f>IF(AND(Programme_Grunddaten!$A147="Geprüft",Programme_Grunddaten!S147&lt;&gt;""),Programme_Grunddaten!S147,"")</f>
        <v/>
      </c>
      <c r="H142" t="str">
        <f>IF(AND(Programme_Grunddaten!$A147="Geprüft",Programme_Grunddaten!AW147&lt;&gt;""),Programme_Grunddaten!AW147,"")</f>
        <v/>
      </c>
      <c r="I142" t="str">
        <f>IF(AND(Programme_Grunddaten!$A147="Geprüft",Programme_Grunddaten!AX147&lt;&gt;""),Programme_Grunddaten!AX147,"")</f>
        <v/>
      </c>
    </row>
    <row r="143" spans="1:9" x14ac:dyDescent="0.3">
      <c r="A143" s="1" t="str">
        <f>IF(AND(Programme_Grunddaten!$A148="Geprüft",Programme_Grunddaten!B148&lt;&gt;""),Programme_Grunddaten!B148,"")</f>
        <v/>
      </c>
      <c r="B143" s="1" t="str">
        <f>IF(AND(Programme_Grunddaten!$A148="Geprüft",Programme_Grunddaten!C148&lt;&gt;""),Programme_Grunddaten!C148,"")</f>
        <v/>
      </c>
      <c r="C143" s="1" t="str">
        <f>IF(AND(Programme_Grunddaten!$A148="Geprüft",Programme_Grunddaten!D148&lt;&gt;""),Programme_Grunddaten!D148,"")</f>
        <v/>
      </c>
      <c r="D143" s="2" t="str">
        <f>IF(AND(Programme_Grunddaten!$A148="Geprüft",Programme_Grunddaten!E148&lt;&gt;""),Programme_Grunddaten!E148,"")</f>
        <v/>
      </c>
      <c r="E143" t="str">
        <f>IF(AND(Programme_Grunddaten!$A148="Geprüft",Programme_Grunddaten!G148&lt;&gt;""),Programme_Grunddaten!G148,"")</f>
        <v/>
      </c>
      <c r="F143" t="str">
        <f>IF(AND(Programme_Grunddaten!$A148="Geprüft",Programme_Grunddaten!F148&lt;&gt;""),Programme_Grunddaten!F148,"")</f>
        <v/>
      </c>
      <c r="G143" s="3" t="str">
        <f>IF(AND(Programme_Grunddaten!$A148="Geprüft",Programme_Grunddaten!S148&lt;&gt;""),Programme_Grunddaten!S148,"")</f>
        <v/>
      </c>
      <c r="H143" t="str">
        <f>IF(AND(Programme_Grunddaten!$A148="Geprüft",Programme_Grunddaten!AW148&lt;&gt;""),Programme_Grunddaten!AW148,"")</f>
        <v/>
      </c>
      <c r="I143" t="str">
        <f>IF(AND(Programme_Grunddaten!$A148="Geprüft",Programme_Grunddaten!AX148&lt;&gt;""),Programme_Grunddaten!AX148,"")</f>
        <v/>
      </c>
    </row>
    <row r="144" spans="1:9" x14ac:dyDescent="0.3">
      <c r="A144" s="1" t="str">
        <f>IF(AND(Programme_Grunddaten!$A149="Geprüft",Programme_Grunddaten!B149&lt;&gt;""),Programme_Grunddaten!B149,"")</f>
        <v/>
      </c>
      <c r="B144" s="1" t="str">
        <f>IF(AND(Programme_Grunddaten!$A149="Geprüft",Programme_Grunddaten!C149&lt;&gt;""),Programme_Grunddaten!C149,"")</f>
        <v/>
      </c>
      <c r="C144" s="1" t="str">
        <f>IF(AND(Programme_Grunddaten!$A149="Geprüft",Programme_Grunddaten!D149&lt;&gt;""),Programme_Grunddaten!D149,"")</f>
        <v/>
      </c>
      <c r="D144" s="2" t="str">
        <f>IF(AND(Programme_Grunddaten!$A149="Geprüft",Programme_Grunddaten!E149&lt;&gt;""),Programme_Grunddaten!E149,"")</f>
        <v/>
      </c>
      <c r="E144" t="str">
        <f>IF(AND(Programme_Grunddaten!$A149="Geprüft",Programme_Grunddaten!G149&lt;&gt;""),Programme_Grunddaten!G149,"")</f>
        <v/>
      </c>
      <c r="F144" t="str">
        <f>IF(AND(Programme_Grunddaten!$A149="Geprüft",Programme_Grunddaten!F149&lt;&gt;""),Programme_Grunddaten!F149,"")</f>
        <v/>
      </c>
      <c r="G144" s="3" t="str">
        <f>IF(AND(Programme_Grunddaten!$A149="Geprüft",Programme_Grunddaten!S149&lt;&gt;""),Programme_Grunddaten!S149,"")</f>
        <v/>
      </c>
      <c r="H144" t="str">
        <f>IF(AND(Programme_Grunddaten!$A149="Geprüft",Programme_Grunddaten!AW149&lt;&gt;""),Programme_Grunddaten!AW149,"")</f>
        <v/>
      </c>
      <c r="I144" t="str">
        <f>IF(AND(Programme_Grunddaten!$A149="Geprüft",Programme_Grunddaten!AX149&lt;&gt;""),Programme_Grunddaten!AX149,"")</f>
        <v/>
      </c>
    </row>
    <row r="145" spans="1:9" x14ac:dyDescent="0.3">
      <c r="A145" s="1" t="str">
        <f>IF(AND(Programme_Grunddaten!$A150="Geprüft",Programme_Grunddaten!B150&lt;&gt;""),Programme_Grunddaten!B150,"")</f>
        <v/>
      </c>
      <c r="B145" s="1" t="str">
        <f>IF(AND(Programme_Grunddaten!$A150="Geprüft",Programme_Grunddaten!C150&lt;&gt;""),Programme_Grunddaten!C150,"")</f>
        <v/>
      </c>
      <c r="C145" s="1" t="str">
        <f>IF(AND(Programme_Grunddaten!$A150="Geprüft",Programme_Grunddaten!D150&lt;&gt;""),Programme_Grunddaten!D150,"")</f>
        <v/>
      </c>
      <c r="D145" s="2" t="str">
        <f>IF(AND(Programme_Grunddaten!$A150="Geprüft",Programme_Grunddaten!E150&lt;&gt;""),Programme_Grunddaten!E150,"")</f>
        <v/>
      </c>
      <c r="E145" t="str">
        <f>IF(AND(Programme_Grunddaten!$A150="Geprüft",Programme_Grunddaten!G150&lt;&gt;""),Programme_Grunddaten!G150,"")</f>
        <v/>
      </c>
      <c r="F145" t="str">
        <f>IF(AND(Programme_Grunddaten!$A150="Geprüft",Programme_Grunddaten!F150&lt;&gt;""),Programme_Grunddaten!F150,"")</f>
        <v/>
      </c>
      <c r="G145" s="3" t="str">
        <f>IF(AND(Programme_Grunddaten!$A150="Geprüft",Programme_Grunddaten!S150&lt;&gt;""),Programme_Grunddaten!S150,"")</f>
        <v/>
      </c>
      <c r="H145" t="str">
        <f>IF(AND(Programme_Grunddaten!$A150="Geprüft",Programme_Grunddaten!AW150&lt;&gt;""),Programme_Grunddaten!AW150,"")</f>
        <v/>
      </c>
      <c r="I145" t="str">
        <f>IF(AND(Programme_Grunddaten!$A150="Geprüft",Programme_Grunddaten!AX150&lt;&gt;""),Programme_Grunddaten!AX150,"")</f>
        <v/>
      </c>
    </row>
    <row r="146" spans="1:9" x14ac:dyDescent="0.3">
      <c r="A146" s="1" t="str">
        <f>IF(AND(Programme_Grunddaten!$A151="Geprüft",Programme_Grunddaten!B151&lt;&gt;""),Programme_Grunddaten!B151,"")</f>
        <v/>
      </c>
      <c r="B146" s="1" t="str">
        <f>IF(AND(Programme_Grunddaten!$A151="Geprüft",Programme_Grunddaten!C151&lt;&gt;""),Programme_Grunddaten!C151,"")</f>
        <v/>
      </c>
      <c r="C146" s="1" t="str">
        <f>IF(AND(Programme_Grunddaten!$A151="Geprüft",Programme_Grunddaten!D151&lt;&gt;""),Programme_Grunddaten!D151,"")</f>
        <v/>
      </c>
      <c r="D146" s="2" t="str">
        <f>IF(AND(Programme_Grunddaten!$A151="Geprüft",Programme_Grunddaten!E151&lt;&gt;""),Programme_Grunddaten!E151,"")</f>
        <v/>
      </c>
      <c r="E146" t="str">
        <f>IF(AND(Programme_Grunddaten!$A151="Geprüft",Programme_Grunddaten!G151&lt;&gt;""),Programme_Grunddaten!G151,"")</f>
        <v/>
      </c>
      <c r="F146" t="str">
        <f>IF(AND(Programme_Grunddaten!$A151="Geprüft",Programme_Grunddaten!F151&lt;&gt;""),Programme_Grunddaten!F151,"")</f>
        <v/>
      </c>
      <c r="G146" s="3" t="str">
        <f>IF(AND(Programme_Grunddaten!$A151="Geprüft",Programme_Grunddaten!S151&lt;&gt;""),Programme_Grunddaten!S151,"")</f>
        <v/>
      </c>
      <c r="H146" t="str">
        <f>IF(AND(Programme_Grunddaten!$A151="Geprüft",Programme_Grunddaten!AW151&lt;&gt;""),Programme_Grunddaten!AW151,"")</f>
        <v/>
      </c>
      <c r="I146" t="str">
        <f>IF(AND(Programme_Grunddaten!$A151="Geprüft",Programme_Grunddaten!AX151&lt;&gt;""),Programme_Grunddaten!AX151,"")</f>
        <v/>
      </c>
    </row>
    <row r="147" spans="1:9" x14ac:dyDescent="0.3">
      <c r="A147" s="1" t="str">
        <f>IF(AND(Programme_Grunddaten!$A152="Geprüft",Programme_Grunddaten!B152&lt;&gt;""),Programme_Grunddaten!B152,"")</f>
        <v/>
      </c>
      <c r="B147" s="1" t="str">
        <f>IF(AND(Programme_Grunddaten!$A152="Geprüft",Programme_Grunddaten!C152&lt;&gt;""),Programme_Grunddaten!C152,"")</f>
        <v/>
      </c>
      <c r="C147" s="1" t="str">
        <f>IF(AND(Programme_Grunddaten!$A152="Geprüft",Programme_Grunddaten!D152&lt;&gt;""),Programme_Grunddaten!D152,"")</f>
        <v/>
      </c>
      <c r="D147" s="2" t="str">
        <f>IF(AND(Programme_Grunddaten!$A152="Geprüft",Programme_Grunddaten!E152&lt;&gt;""),Programme_Grunddaten!E152,"")</f>
        <v/>
      </c>
      <c r="E147" t="str">
        <f>IF(AND(Programme_Grunddaten!$A152="Geprüft",Programme_Grunddaten!G152&lt;&gt;""),Programme_Grunddaten!G152,"")</f>
        <v/>
      </c>
      <c r="F147" t="str">
        <f>IF(AND(Programme_Grunddaten!$A152="Geprüft",Programme_Grunddaten!F152&lt;&gt;""),Programme_Grunddaten!F152,"")</f>
        <v/>
      </c>
      <c r="G147" s="3" t="str">
        <f>IF(AND(Programme_Grunddaten!$A152="Geprüft",Programme_Grunddaten!S152&lt;&gt;""),Programme_Grunddaten!S152,"")</f>
        <v/>
      </c>
      <c r="H147" t="str">
        <f>IF(AND(Programme_Grunddaten!$A152="Geprüft",Programme_Grunddaten!AW152&lt;&gt;""),Programme_Grunddaten!AW152,"")</f>
        <v/>
      </c>
      <c r="I147" t="str">
        <f>IF(AND(Programme_Grunddaten!$A152="Geprüft",Programme_Grunddaten!AX152&lt;&gt;""),Programme_Grunddaten!AX152,"")</f>
        <v/>
      </c>
    </row>
    <row r="148" spans="1:9" x14ac:dyDescent="0.3">
      <c r="A148" s="1" t="str">
        <f>IF(AND(Programme_Grunddaten!$A153="Geprüft",Programme_Grunddaten!B153&lt;&gt;""),Programme_Grunddaten!B153,"")</f>
        <v/>
      </c>
      <c r="B148" s="1" t="str">
        <f>IF(AND(Programme_Grunddaten!$A153="Geprüft",Programme_Grunddaten!C153&lt;&gt;""),Programme_Grunddaten!C153,"")</f>
        <v/>
      </c>
      <c r="C148" s="1" t="str">
        <f>IF(AND(Programme_Grunddaten!$A153="Geprüft",Programme_Grunddaten!D153&lt;&gt;""),Programme_Grunddaten!D153,"")</f>
        <v/>
      </c>
      <c r="D148" s="2" t="str">
        <f>IF(AND(Programme_Grunddaten!$A153="Geprüft",Programme_Grunddaten!E153&lt;&gt;""),Programme_Grunddaten!E153,"")</f>
        <v/>
      </c>
      <c r="E148" t="str">
        <f>IF(AND(Programme_Grunddaten!$A153="Geprüft",Programme_Grunddaten!G153&lt;&gt;""),Programme_Grunddaten!G153,"")</f>
        <v/>
      </c>
      <c r="F148" t="str">
        <f>IF(AND(Programme_Grunddaten!$A153="Geprüft",Programme_Grunddaten!F153&lt;&gt;""),Programme_Grunddaten!F153,"")</f>
        <v/>
      </c>
      <c r="G148" s="3" t="str">
        <f>IF(AND(Programme_Grunddaten!$A153="Geprüft",Programme_Grunddaten!S153&lt;&gt;""),Programme_Grunddaten!S153,"")</f>
        <v/>
      </c>
      <c r="H148" t="str">
        <f>IF(AND(Programme_Grunddaten!$A153="Geprüft",Programme_Grunddaten!AW153&lt;&gt;""),Programme_Grunddaten!AW153,"")</f>
        <v/>
      </c>
      <c r="I148" t="str">
        <f>IF(AND(Programme_Grunddaten!$A153="Geprüft",Programme_Grunddaten!AX153&lt;&gt;""),Programme_Grunddaten!AX153,"")</f>
        <v/>
      </c>
    </row>
    <row r="149" spans="1:9" x14ac:dyDescent="0.3">
      <c r="A149" s="1" t="str">
        <f>IF(AND(Programme_Grunddaten!$A154="Geprüft",Programme_Grunddaten!B154&lt;&gt;""),Programme_Grunddaten!B154,"")</f>
        <v/>
      </c>
      <c r="B149" s="1" t="str">
        <f>IF(AND(Programme_Grunddaten!$A154="Geprüft",Programme_Grunddaten!C154&lt;&gt;""),Programme_Grunddaten!C154,"")</f>
        <v/>
      </c>
      <c r="C149" s="1" t="str">
        <f>IF(AND(Programme_Grunddaten!$A154="Geprüft",Programme_Grunddaten!D154&lt;&gt;""),Programme_Grunddaten!D154,"")</f>
        <v/>
      </c>
      <c r="D149" s="2" t="str">
        <f>IF(AND(Programme_Grunddaten!$A154="Geprüft",Programme_Grunddaten!E154&lt;&gt;""),Programme_Grunddaten!E154,"")</f>
        <v/>
      </c>
      <c r="E149" t="str">
        <f>IF(AND(Programme_Grunddaten!$A154="Geprüft",Programme_Grunddaten!G154&lt;&gt;""),Programme_Grunddaten!G154,"")</f>
        <v/>
      </c>
      <c r="F149" t="str">
        <f>IF(AND(Programme_Grunddaten!$A154="Geprüft",Programme_Grunddaten!F154&lt;&gt;""),Programme_Grunddaten!F154,"")</f>
        <v/>
      </c>
      <c r="G149" s="3" t="str">
        <f>IF(AND(Programme_Grunddaten!$A154="Geprüft",Programme_Grunddaten!S154&lt;&gt;""),Programme_Grunddaten!S154,"")</f>
        <v/>
      </c>
      <c r="H149" t="str">
        <f>IF(AND(Programme_Grunddaten!$A154="Geprüft",Programme_Grunddaten!AW154&lt;&gt;""),Programme_Grunddaten!AW154,"")</f>
        <v/>
      </c>
      <c r="I149" t="str">
        <f>IF(AND(Programme_Grunddaten!$A154="Geprüft",Programme_Grunddaten!AX154&lt;&gt;""),Programme_Grunddaten!AX154,"")</f>
        <v/>
      </c>
    </row>
    <row r="150" spans="1:9" x14ac:dyDescent="0.3">
      <c r="A150" s="1" t="str">
        <f>IF(AND(Programme_Grunddaten!$A155="Geprüft",Programme_Grunddaten!B155&lt;&gt;""),Programme_Grunddaten!B155,"")</f>
        <v/>
      </c>
      <c r="B150" s="1" t="str">
        <f>IF(AND(Programme_Grunddaten!$A155="Geprüft",Programme_Grunddaten!C155&lt;&gt;""),Programme_Grunddaten!C155,"")</f>
        <v/>
      </c>
      <c r="C150" s="1" t="str">
        <f>IF(AND(Programme_Grunddaten!$A155="Geprüft",Programme_Grunddaten!D155&lt;&gt;""),Programme_Grunddaten!D155,"")</f>
        <v/>
      </c>
      <c r="D150" s="2" t="str">
        <f>IF(AND(Programme_Grunddaten!$A155="Geprüft",Programme_Grunddaten!E155&lt;&gt;""),Programme_Grunddaten!E155,"")</f>
        <v/>
      </c>
      <c r="E150" t="str">
        <f>IF(AND(Programme_Grunddaten!$A155="Geprüft",Programme_Grunddaten!G155&lt;&gt;""),Programme_Grunddaten!G155,"")</f>
        <v/>
      </c>
      <c r="F150" t="str">
        <f>IF(AND(Programme_Grunddaten!$A155="Geprüft",Programme_Grunddaten!F155&lt;&gt;""),Programme_Grunddaten!F155,"")</f>
        <v/>
      </c>
      <c r="G150" s="3" t="str">
        <f>IF(AND(Programme_Grunddaten!$A155="Geprüft",Programme_Grunddaten!S155&lt;&gt;""),Programme_Grunddaten!S155,"")</f>
        <v/>
      </c>
      <c r="H150" t="str">
        <f>IF(AND(Programme_Grunddaten!$A155="Geprüft",Programme_Grunddaten!AW155&lt;&gt;""),Programme_Grunddaten!AW155,"")</f>
        <v/>
      </c>
      <c r="I150" t="str">
        <f>IF(AND(Programme_Grunddaten!$A155="Geprüft",Programme_Grunddaten!AX155&lt;&gt;""),Programme_Grunddaten!AX155,"")</f>
        <v/>
      </c>
    </row>
    <row r="151" spans="1:9" x14ac:dyDescent="0.3">
      <c r="A151" s="1" t="str">
        <f>IF(AND(Programme_Grunddaten!$A156="Geprüft",Programme_Grunddaten!B156&lt;&gt;""),Programme_Grunddaten!B156,"")</f>
        <v/>
      </c>
      <c r="B151" s="1" t="str">
        <f>IF(AND(Programme_Grunddaten!$A156="Geprüft",Programme_Grunddaten!C156&lt;&gt;""),Programme_Grunddaten!C156,"")</f>
        <v/>
      </c>
      <c r="C151" s="1" t="str">
        <f>IF(AND(Programme_Grunddaten!$A156="Geprüft",Programme_Grunddaten!D156&lt;&gt;""),Programme_Grunddaten!D156,"")</f>
        <v/>
      </c>
      <c r="D151" s="2" t="str">
        <f>IF(AND(Programme_Grunddaten!$A156="Geprüft",Programme_Grunddaten!E156&lt;&gt;""),Programme_Grunddaten!E156,"")</f>
        <v/>
      </c>
      <c r="E151" t="str">
        <f>IF(AND(Programme_Grunddaten!$A156="Geprüft",Programme_Grunddaten!G156&lt;&gt;""),Programme_Grunddaten!G156,"")</f>
        <v/>
      </c>
      <c r="F151" t="str">
        <f>IF(AND(Programme_Grunddaten!$A156="Geprüft",Programme_Grunddaten!F156&lt;&gt;""),Programme_Grunddaten!F156,"")</f>
        <v/>
      </c>
      <c r="G151" s="3" t="str">
        <f>IF(AND(Programme_Grunddaten!$A156="Geprüft",Programme_Grunddaten!S156&lt;&gt;""),Programme_Grunddaten!S156,"")</f>
        <v/>
      </c>
      <c r="H151" t="str">
        <f>IF(AND(Programme_Grunddaten!$A156="Geprüft",Programme_Grunddaten!AW156&lt;&gt;""),Programme_Grunddaten!AW156,"")</f>
        <v/>
      </c>
      <c r="I151" t="str">
        <f>IF(AND(Programme_Grunddaten!$A156="Geprüft",Programme_Grunddaten!AX156&lt;&gt;""),Programme_Grunddaten!AX156,"")</f>
        <v/>
      </c>
    </row>
    <row r="152" spans="1:9" x14ac:dyDescent="0.3">
      <c r="A152" s="1" t="str">
        <f>IF(AND(Programme_Grunddaten!$A157="Geprüft",Programme_Grunddaten!B157&lt;&gt;""),Programme_Grunddaten!B157,"")</f>
        <v/>
      </c>
      <c r="B152" s="1" t="str">
        <f>IF(AND(Programme_Grunddaten!$A157="Geprüft",Programme_Grunddaten!C157&lt;&gt;""),Programme_Grunddaten!C157,"")</f>
        <v/>
      </c>
      <c r="C152" s="1" t="str">
        <f>IF(AND(Programme_Grunddaten!$A157="Geprüft",Programme_Grunddaten!D157&lt;&gt;""),Programme_Grunddaten!D157,"")</f>
        <v/>
      </c>
      <c r="D152" s="2" t="str">
        <f>IF(AND(Programme_Grunddaten!$A157="Geprüft",Programme_Grunddaten!E157&lt;&gt;""),Programme_Grunddaten!E157,"")</f>
        <v/>
      </c>
      <c r="E152" t="str">
        <f>IF(AND(Programme_Grunddaten!$A157="Geprüft",Programme_Grunddaten!G157&lt;&gt;""),Programme_Grunddaten!G157,"")</f>
        <v/>
      </c>
      <c r="F152" t="str">
        <f>IF(AND(Programme_Grunddaten!$A157="Geprüft",Programme_Grunddaten!F157&lt;&gt;""),Programme_Grunddaten!F157,"")</f>
        <v/>
      </c>
      <c r="G152" s="3" t="str">
        <f>IF(AND(Programme_Grunddaten!$A157="Geprüft",Programme_Grunddaten!S157&lt;&gt;""),Programme_Grunddaten!S157,"")</f>
        <v/>
      </c>
      <c r="H152" t="str">
        <f>IF(AND(Programme_Grunddaten!$A157="Geprüft",Programme_Grunddaten!AW157&lt;&gt;""),Programme_Grunddaten!AW157,"")</f>
        <v/>
      </c>
      <c r="I152" t="str">
        <f>IF(AND(Programme_Grunddaten!$A157="Geprüft",Programme_Grunddaten!AX157&lt;&gt;""),Programme_Grunddaten!AX157,"")</f>
        <v/>
      </c>
    </row>
    <row r="153" spans="1:9" x14ac:dyDescent="0.3">
      <c r="A153" s="1" t="str">
        <f>IF(AND(Programme_Grunddaten!$A158="Geprüft",Programme_Grunddaten!B158&lt;&gt;""),Programme_Grunddaten!B158,"")</f>
        <v/>
      </c>
      <c r="B153" s="1" t="str">
        <f>IF(AND(Programme_Grunddaten!$A158="Geprüft",Programme_Grunddaten!C158&lt;&gt;""),Programme_Grunddaten!C158,"")</f>
        <v/>
      </c>
      <c r="C153" s="1" t="str">
        <f>IF(AND(Programme_Grunddaten!$A158="Geprüft",Programme_Grunddaten!D158&lt;&gt;""),Programme_Grunddaten!D158,"")</f>
        <v/>
      </c>
      <c r="D153" s="2" t="str">
        <f>IF(AND(Programme_Grunddaten!$A158="Geprüft",Programme_Grunddaten!E158&lt;&gt;""),Programme_Grunddaten!E158,"")</f>
        <v/>
      </c>
      <c r="E153" t="str">
        <f>IF(AND(Programme_Grunddaten!$A158="Geprüft",Programme_Grunddaten!G158&lt;&gt;""),Programme_Grunddaten!G158,"")</f>
        <v/>
      </c>
      <c r="F153" t="str">
        <f>IF(AND(Programme_Grunddaten!$A158="Geprüft",Programme_Grunddaten!F158&lt;&gt;""),Programme_Grunddaten!F158,"")</f>
        <v/>
      </c>
      <c r="G153" s="3" t="str">
        <f>IF(AND(Programme_Grunddaten!$A158="Geprüft",Programme_Grunddaten!S158&lt;&gt;""),Programme_Grunddaten!S158,"")</f>
        <v/>
      </c>
      <c r="H153" t="str">
        <f>IF(AND(Programme_Grunddaten!$A158="Geprüft",Programme_Grunddaten!AW158&lt;&gt;""),Programme_Grunddaten!AW158,"")</f>
        <v/>
      </c>
      <c r="I153" t="str">
        <f>IF(AND(Programme_Grunddaten!$A158="Geprüft",Programme_Grunddaten!AX158&lt;&gt;""),Programme_Grunddaten!AX158,"")</f>
        <v/>
      </c>
    </row>
    <row r="154" spans="1:9" x14ac:dyDescent="0.3">
      <c r="A154" s="1" t="str">
        <f>IF(AND(Programme_Grunddaten!$A159="Geprüft",Programme_Grunddaten!B159&lt;&gt;""),Programme_Grunddaten!B159,"")</f>
        <v/>
      </c>
      <c r="B154" s="1" t="str">
        <f>IF(AND(Programme_Grunddaten!$A159="Geprüft",Programme_Grunddaten!C159&lt;&gt;""),Programme_Grunddaten!C159,"")</f>
        <v/>
      </c>
      <c r="C154" s="1" t="str">
        <f>IF(AND(Programme_Grunddaten!$A159="Geprüft",Programme_Grunddaten!D159&lt;&gt;""),Programme_Grunddaten!D159,"")</f>
        <v/>
      </c>
      <c r="D154" s="2" t="str">
        <f>IF(AND(Programme_Grunddaten!$A159="Geprüft",Programme_Grunddaten!E159&lt;&gt;""),Programme_Grunddaten!E159,"")</f>
        <v/>
      </c>
      <c r="E154" t="str">
        <f>IF(AND(Programme_Grunddaten!$A159="Geprüft",Programme_Grunddaten!G159&lt;&gt;""),Programme_Grunddaten!G159,"")</f>
        <v/>
      </c>
      <c r="F154" t="str">
        <f>IF(AND(Programme_Grunddaten!$A159="Geprüft",Programme_Grunddaten!F159&lt;&gt;""),Programme_Grunddaten!F159,"")</f>
        <v/>
      </c>
      <c r="G154" s="3" t="str">
        <f>IF(AND(Programme_Grunddaten!$A159="Geprüft",Programme_Grunddaten!S159&lt;&gt;""),Programme_Grunddaten!S159,"")</f>
        <v/>
      </c>
      <c r="H154" t="str">
        <f>IF(AND(Programme_Grunddaten!$A159="Geprüft",Programme_Grunddaten!AW159&lt;&gt;""),Programme_Grunddaten!AW159,"")</f>
        <v/>
      </c>
      <c r="I154" t="str">
        <f>IF(AND(Programme_Grunddaten!$A159="Geprüft",Programme_Grunddaten!AX159&lt;&gt;""),Programme_Grunddaten!AX159,"")</f>
        <v/>
      </c>
    </row>
    <row r="155" spans="1:9" x14ac:dyDescent="0.3">
      <c r="A155" s="1" t="str">
        <f>IF(AND(Programme_Grunddaten!$A160="Geprüft",Programme_Grunddaten!B160&lt;&gt;""),Programme_Grunddaten!B160,"")</f>
        <v/>
      </c>
      <c r="B155" s="1" t="str">
        <f>IF(AND(Programme_Grunddaten!$A160="Geprüft",Programme_Grunddaten!C160&lt;&gt;""),Programme_Grunddaten!C160,"")</f>
        <v/>
      </c>
      <c r="C155" s="1" t="str">
        <f>IF(AND(Programme_Grunddaten!$A160="Geprüft",Programme_Grunddaten!D160&lt;&gt;""),Programme_Grunddaten!D160,"")</f>
        <v/>
      </c>
      <c r="D155" s="2" t="str">
        <f>IF(AND(Programme_Grunddaten!$A160="Geprüft",Programme_Grunddaten!E160&lt;&gt;""),Programme_Grunddaten!E160,"")</f>
        <v/>
      </c>
      <c r="E155" t="str">
        <f>IF(AND(Programme_Grunddaten!$A160="Geprüft",Programme_Grunddaten!G160&lt;&gt;""),Programme_Grunddaten!G160,"")</f>
        <v/>
      </c>
      <c r="F155" t="str">
        <f>IF(AND(Programme_Grunddaten!$A160="Geprüft",Programme_Grunddaten!F160&lt;&gt;""),Programme_Grunddaten!F160,"")</f>
        <v/>
      </c>
      <c r="G155" s="3" t="str">
        <f>IF(AND(Programme_Grunddaten!$A160="Geprüft",Programme_Grunddaten!S160&lt;&gt;""),Programme_Grunddaten!S160,"")</f>
        <v/>
      </c>
      <c r="H155" t="str">
        <f>IF(AND(Programme_Grunddaten!$A160="Geprüft",Programme_Grunddaten!AW160&lt;&gt;""),Programme_Grunddaten!AW160,"")</f>
        <v/>
      </c>
      <c r="I155" t="str">
        <f>IF(AND(Programme_Grunddaten!$A160="Geprüft",Programme_Grunddaten!AX160&lt;&gt;""),Programme_Grunddaten!AX160,"")</f>
        <v/>
      </c>
    </row>
    <row r="156" spans="1:9" x14ac:dyDescent="0.3">
      <c r="A156" s="1" t="str">
        <f>IF(AND(Programme_Grunddaten!$A161="Geprüft",Programme_Grunddaten!B161&lt;&gt;""),Programme_Grunddaten!B161,"")</f>
        <v/>
      </c>
      <c r="B156" s="1" t="str">
        <f>IF(AND(Programme_Grunddaten!$A161="Geprüft",Programme_Grunddaten!C161&lt;&gt;""),Programme_Grunddaten!C161,"")</f>
        <v/>
      </c>
      <c r="C156" s="1" t="str">
        <f>IF(AND(Programme_Grunddaten!$A161="Geprüft",Programme_Grunddaten!D161&lt;&gt;""),Programme_Grunddaten!D161,"")</f>
        <v/>
      </c>
      <c r="D156" s="2" t="str">
        <f>IF(AND(Programme_Grunddaten!$A161="Geprüft",Programme_Grunddaten!E161&lt;&gt;""),Programme_Grunddaten!E161,"")</f>
        <v/>
      </c>
      <c r="E156" t="str">
        <f>IF(AND(Programme_Grunddaten!$A161="Geprüft",Programme_Grunddaten!G161&lt;&gt;""),Programme_Grunddaten!G161,"")</f>
        <v/>
      </c>
      <c r="F156" t="str">
        <f>IF(AND(Programme_Grunddaten!$A161="Geprüft",Programme_Grunddaten!F161&lt;&gt;""),Programme_Grunddaten!F161,"")</f>
        <v/>
      </c>
      <c r="G156" s="3" t="str">
        <f>IF(AND(Programme_Grunddaten!$A161="Geprüft",Programme_Grunddaten!S161&lt;&gt;""),Programme_Grunddaten!S161,"")</f>
        <v/>
      </c>
      <c r="H156" t="str">
        <f>IF(AND(Programme_Grunddaten!$A161="Geprüft",Programme_Grunddaten!AW161&lt;&gt;""),Programme_Grunddaten!AW161,"")</f>
        <v/>
      </c>
      <c r="I156" t="str">
        <f>IF(AND(Programme_Grunddaten!$A161="Geprüft",Programme_Grunddaten!AX161&lt;&gt;""),Programme_Grunddaten!AX161,"")</f>
        <v/>
      </c>
    </row>
    <row r="157" spans="1:9" x14ac:dyDescent="0.3">
      <c r="A157" s="1" t="str">
        <f>IF(AND(Programme_Grunddaten!$A162="Geprüft",Programme_Grunddaten!B162&lt;&gt;""),Programme_Grunddaten!B162,"")</f>
        <v/>
      </c>
      <c r="B157" s="1" t="str">
        <f>IF(AND(Programme_Grunddaten!$A162="Geprüft",Programme_Grunddaten!C162&lt;&gt;""),Programme_Grunddaten!C162,"")</f>
        <v/>
      </c>
      <c r="C157" s="1" t="str">
        <f>IF(AND(Programme_Grunddaten!$A162="Geprüft",Programme_Grunddaten!D162&lt;&gt;""),Programme_Grunddaten!D162,"")</f>
        <v/>
      </c>
      <c r="D157" s="2" t="str">
        <f>IF(AND(Programme_Grunddaten!$A162="Geprüft",Programme_Grunddaten!E162&lt;&gt;""),Programme_Grunddaten!E162,"")</f>
        <v/>
      </c>
      <c r="E157" t="str">
        <f>IF(AND(Programme_Grunddaten!$A162="Geprüft",Programme_Grunddaten!G162&lt;&gt;""),Programme_Grunddaten!G162,"")</f>
        <v/>
      </c>
      <c r="F157" t="str">
        <f>IF(AND(Programme_Grunddaten!$A162="Geprüft",Programme_Grunddaten!F162&lt;&gt;""),Programme_Grunddaten!F162,"")</f>
        <v/>
      </c>
      <c r="G157" s="3" t="str">
        <f>IF(AND(Programme_Grunddaten!$A162="Geprüft",Programme_Grunddaten!S162&lt;&gt;""),Programme_Grunddaten!S162,"")</f>
        <v/>
      </c>
      <c r="H157" t="str">
        <f>IF(AND(Programme_Grunddaten!$A162="Geprüft",Programme_Grunddaten!AW162&lt;&gt;""),Programme_Grunddaten!AW162,"")</f>
        <v/>
      </c>
      <c r="I157" t="str">
        <f>IF(AND(Programme_Grunddaten!$A162="Geprüft",Programme_Grunddaten!AX162&lt;&gt;""),Programme_Grunddaten!AX162,"")</f>
        <v/>
      </c>
    </row>
    <row r="158" spans="1:9" x14ac:dyDescent="0.3">
      <c r="A158" s="1" t="str">
        <f>IF(AND(Programme_Grunddaten!$A163="Geprüft",Programme_Grunddaten!B163&lt;&gt;""),Programme_Grunddaten!B163,"")</f>
        <v/>
      </c>
      <c r="B158" s="1" t="str">
        <f>IF(AND(Programme_Grunddaten!$A163="Geprüft",Programme_Grunddaten!C163&lt;&gt;""),Programme_Grunddaten!C163,"")</f>
        <v/>
      </c>
      <c r="C158" s="1" t="str">
        <f>IF(AND(Programme_Grunddaten!$A163="Geprüft",Programme_Grunddaten!D163&lt;&gt;""),Programme_Grunddaten!D163,"")</f>
        <v/>
      </c>
      <c r="D158" s="2" t="str">
        <f>IF(AND(Programme_Grunddaten!$A163="Geprüft",Programme_Grunddaten!E163&lt;&gt;""),Programme_Grunddaten!E163,"")</f>
        <v/>
      </c>
      <c r="E158" t="str">
        <f>IF(AND(Programme_Grunddaten!$A163="Geprüft",Programme_Grunddaten!G163&lt;&gt;""),Programme_Grunddaten!G163,"")</f>
        <v/>
      </c>
      <c r="F158" t="str">
        <f>IF(AND(Programme_Grunddaten!$A163="Geprüft",Programme_Grunddaten!F163&lt;&gt;""),Programme_Grunddaten!F163,"")</f>
        <v/>
      </c>
      <c r="G158" s="3" t="str">
        <f>IF(AND(Programme_Grunddaten!$A163="Geprüft",Programme_Grunddaten!S163&lt;&gt;""),Programme_Grunddaten!S163,"")</f>
        <v/>
      </c>
      <c r="H158" t="str">
        <f>IF(AND(Programme_Grunddaten!$A163="Geprüft",Programme_Grunddaten!AW163&lt;&gt;""),Programme_Grunddaten!AW163,"")</f>
        <v/>
      </c>
      <c r="I158" t="str">
        <f>IF(AND(Programme_Grunddaten!$A163="Geprüft",Programme_Grunddaten!AX163&lt;&gt;""),Programme_Grunddaten!AX163,"")</f>
        <v/>
      </c>
    </row>
    <row r="159" spans="1:9" x14ac:dyDescent="0.3">
      <c r="A159" s="1" t="str">
        <f>IF(AND(Programme_Grunddaten!$A164="Geprüft",Programme_Grunddaten!B164&lt;&gt;""),Programme_Grunddaten!B164,"")</f>
        <v/>
      </c>
      <c r="B159" s="1" t="str">
        <f>IF(AND(Programme_Grunddaten!$A164="Geprüft",Programme_Grunddaten!C164&lt;&gt;""),Programme_Grunddaten!C164,"")</f>
        <v/>
      </c>
      <c r="C159" s="1" t="str">
        <f>IF(AND(Programme_Grunddaten!$A164="Geprüft",Programme_Grunddaten!D164&lt;&gt;""),Programme_Grunddaten!D164,"")</f>
        <v/>
      </c>
      <c r="D159" s="2" t="str">
        <f>IF(AND(Programme_Grunddaten!$A164="Geprüft",Programme_Grunddaten!E164&lt;&gt;""),Programme_Grunddaten!E164,"")</f>
        <v/>
      </c>
      <c r="E159" t="str">
        <f>IF(AND(Programme_Grunddaten!$A164="Geprüft",Programme_Grunddaten!G164&lt;&gt;""),Programme_Grunddaten!G164,"")</f>
        <v/>
      </c>
      <c r="F159" t="str">
        <f>IF(AND(Programme_Grunddaten!$A164="Geprüft",Programme_Grunddaten!F164&lt;&gt;""),Programme_Grunddaten!F164,"")</f>
        <v/>
      </c>
      <c r="G159" s="3" t="str">
        <f>IF(AND(Programme_Grunddaten!$A164="Geprüft",Programme_Grunddaten!S164&lt;&gt;""),Programme_Grunddaten!S164,"")</f>
        <v/>
      </c>
      <c r="H159" t="str">
        <f>IF(AND(Programme_Grunddaten!$A164="Geprüft",Programme_Grunddaten!AW164&lt;&gt;""),Programme_Grunddaten!AW164,"")</f>
        <v/>
      </c>
      <c r="I159" t="str">
        <f>IF(AND(Programme_Grunddaten!$A164="Geprüft",Programme_Grunddaten!AX164&lt;&gt;""),Programme_Grunddaten!AX164,"")</f>
        <v/>
      </c>
    </row>
    <row r="160" spans="1:9" x14ac:dyDescent="0.3">
      <c r="A160" s="1" t="str">
        <f>IF(AND(Programme_Grunddaten!$A165="Geprüft",Programme_Grunddaten!B165&lt;&gt;""),Programme_Grunddaten!B165,"")</f>
        <v/>
      </c>
      <c r="B160" s="1" t="str">
        <f>IF(AND(Programme_Grunddaten!$A165="Geprüft",Programme_Grunddaten!C165&lt;&gt;""),Programme_Grunddaten!C165,"")</f>
        <v/>
      </c>
      <c r="C160" s="1" t="str">
        <f>IF(AND(Programme_Grunddaten!$A165="Geprüft",Programme_Grunddaten!D165&lt;&gt;""),Programme_Grunddaten!D165,"")</f>
        <v/>
      </c>
      <c r="D160" s="2" t="str">
        <f>IF(AND(Programme_Grunddaten!$A165="Geprüft",Programme_Grunddaten!E165&lt;&gt;""),Programme_Grunddaten!E165,"")</f>
        <v/>
      </c>
      <c r="E160" t="str">
        <f>IF(AND(Programme_Grunddaten!$A165="Geprüft",Programme_Grunddaten!G165&lt;&gt;""),Programme_Grunddaten!G165,"")</f>
        <v/>
      </c>
      <c r="F160" t="str">
        <f>IF(AND(Programme_Grunddaten!$A165="Geprüft",Programme_Grunddaten!F165&lt;&gt;""),Programme_Grunddaten!F165,"")</f>
        <v/>
      </c>
      <c r="G160" s="3" t="str">
        <f>IF(AND(Programme_Grunddaten!$A165="Geprüft",Programme_Grunddaten!S165&lt;&gt;""),Programme_Grunddaten!S165,"")</f>
        <v/>
      </c>
      <c r="H160" t="str">
        <f>IF(AND(Programme_Grunddaten!$A165="Geprüft",Programme_Grunddaten!AW165&lt;&gt;""),Programme_Grunddaten!AW165,"")</f>
        <v/>
      </c>
      <c r="I160" t="str">
        <f>IF(AND(Programme_Grunddaten!$A165="Geprüft",Programme_Grunddaten!AX165&lt;&gt;""),Programme_Grunddaten!AX165,"")</f>
        <v/>
      </c>
    </row>
    <row r="161" spans="1:9" x14ac:dyDescent="0.3">
      <c r="A161" s="1" t="str">
        <f>IF(AND(Programme_Grunddaten!$A166="Geprüft",Programme_Grunddaten!B166&lt;&gt;""),Programme_Grunddaten!B166,"")</f>
        <v/>
      </c>
      <c r="B161" s="1" t="str">
        <f>IF(AND(Programme_Grunddaten!$A166="Geprüft",Programme_Grunddaten!C166&lt;&gt;""),Programme_Grunddaten!C166,"")</f>
        <v/>
      </c>
      <c r="C161" s="1" t="str">
        <f>IF(AND(Programme_Grunddaten!$A166="Geprüft",Programme_Grunddaten!D166&lt;&gt;""),Programme_Grunddaten!D166,"")</f>
        <v/>
      </c>
      <c r="D161" s="2" t="str">
        <f>IF(AND(Programme_Grunddaten!$A166="Geprüft",Programme_Grunddaten!E166&lt;&gt;""),Programme_Grunddaten!E166,"")</f>
        <v/>
      </c>
      <c r="E161" t="str">
        <f>IF(AND(Programme_Grunddaten!$A166="Geprüft",Programme_Grunddaten!G166&lt;&gt;""),Programme_Grunddaten!G166,"")</f>
        <v/>
      </c>
      <c r="F161" t="str">
        <f>IF(AND(Programme_Grunddaten!$A166="Geprüft",Programme_Grunddaten!F166&lt;&gt;""),Programme_Grunddaten!F166,"")</f>
        <v/>
      </c>
      <c r="G161" s="3" t="str">
        <f>IF(AND(Programme_Grunddaten!$A166="Geprüft",Programme_Grunddaten!S166&lt;&gt;""),Programme_Grunddaten!S166,"")</f>
        <v/>
      </c>
      <c r="H161" t="str">
        <f>IF(AND(Programme_Grunddaten!$A166="Geprüft",Programme_Grunddaten!AW166&lt;&gt;""),Programme_Grunddaten!AW166,"")</f>
        <v/>
      </c>
      <c r="I161" t="str">
        <f>IF(AND(Programme_Grunddaten!$A166="Geprüft",Programme_Grunddaten!AX166&lt;&gt;""),Programme_Grunddaten!AX166,"")</f>
        <v/>
      </c>
    </row>
    <row r="162" spans="1:9" x14ac:dyDescent="0.3">
      <c r="A162" s="1" t="str">
        <f>IF(AND(Programme_Grunddaten!$A167="Geprüft",Programme_Grunddaten!B167&lt;&gt;""),Programme_Grunddaten!B167,"")</f>
        <v/>
      </c>
      <c r="B162" s="1" t="str">
        <f>IF(AND(Programme_Grunddaten!$A167="Geprüft",Programme_Grunddaten!C167&lt;&gt;""),Programme_Grunddaten!C167,"")</f>
        <v/>
      </c>
      <c r="C162" s="1" t="str">
        <f>IF(AND(Programme_Grunddaten!$A167="Geprüft",Programme_Grunddaten!D167&lt;&gt;""),Programme_Grunddaten!D167,"")</f>
        <v/>
      </c>
      <c r="D162" s="2" t="str">
        <f>IF(AND(Programme_Grunddaten!$A167="Geprüft",Programme_Grunddaten!E167&lt;&gt;""),Programme_Grunddaten!E167,"")</f>
        <v/>
      </c>
      <c r="E162" t="str">
        <f>IF(AND(Programme_Grunddaten!$A167="Geprüft",Programme_Grunddaten!G167&lt;&gt;""),Programme_Grunddaten!G167,"")</f>
        <v/>
      </c>
      <c r="F162" t="str">
        <f>IF(AND(Programme_Grunddaten!$A167="Geprüft",Programme_Grunddaten!F167&lt;&gt;""),Programme_Grunddaten!F167,"")</f>
        <v/>
      </c>
      <c r="G162" s="3" t="str">
        <f>IF(AND(Programme_Grunddaten!$A167="Geprüft",Programme_Grunddaten!S167&lt;&gt;""),Programme_Grunddaten!S167,"")</f>
        <v/>
      </c>
      <c r="H162" t="str">
        <f>IF(AND(Programme_Grunddaten!$A167="Geprüft",Programme_Grunddaten!AW167&lt;&gt;""),Programme_Grunddaten!AW167,"")</f>
        <v/>
      </c>
      <c r="I162" t="str">
        <f>IF(AND(Programme_Grunddaten!$A167="Geprüft",Programme_Grunddaten!AX167&lt;&gt;""),Programme_Grunddaten!AX167,"")</f>
        <v/>
      </c>
    </row>
    <row r="163" spans="1:9" x14ac:dyDescent="0.3">
      <c r="A163" s="1" t="str">
        <f>IF(AND(Programme_Grunddaten!$A168="Geprüft",Programme_Grunddaten!B168&lt;&gt;""),Programme_Grunddaten!B168,"")</f>
        <v/>
      </c>
      <c r="B163" s="1" t="str">
        <f>IF(AND(Programme_Grunddaten!$A168="Geprüft",Programme_Grunddaten!C168&lt;&gt;""),Programme_Grunddaten!C168,"")</f>
        <v/>
      </c>
      <c r="C163" s="1" t="str">
        <f>IF(AND(Programme_Grunddaten!$A168="Geprüft",Programme_Grunddaten!D168&lt;&gt;""),Programme_Grunddaten!D168,"")</f>
        <v/>
      </c>
      <c r="D163" s="2" t="str">
        <f>IF(AND(Programme_Grunddaten!$A168="Geprüft",Programme_Grunddaten!E168&lt;&gt;""),Programme_Grunddaten!E168,"")</f>
        <v/>
      </c>
      <c r="E163" t="str">
        <f>IF(AND(Programme_Grunddaten!$A168="Geprüft",Programme_Grunddaten!G168&lt;&gt;""),Programme_Grunddaten!G168,"")</f>
        <v/>
      </c>
      <c r="F163" t="str">
        <f>IF(AND(Programme_Grunddaten!$A168="Geprüft",Programme_Grunddaten!F168&lt;&gt;""),Programme_Grunddaten!F168,"")</f>
        <v/>
      </c>
      <c r="G163" s="3" t="str">
        <f>IF(AND(Programme_Grunddaten!$A168="Geprüft",Programme_Grunddaten!S168&lt;&gt;""),Programme_Grunddaten!S168,"")</f>
        <v/>
      </c>
      <c r="H163" t="str">
        <f>IF(AND(Programme_Grunddaten!$A168="Geprüft",Programme_Grunddaten!AW168&lt;&gt;""),Programme_Grunddaten!AW168,"")</f>
        <v/>
      </c>
      <c r="I163" t="str">
        <f>IF(AND(Programme_Grunddaten!$A168="Geprüft",Programme_Grunddaten!AX168&lt;&gt;""),Programme_Grunddaten!AX168,"")</f>
        <v/>
      </c>
    </row>
    <row r="164" spans="1:9" x14ac:dyDescent="0.3">
      <c r="A164" s="1" t="str">
        <f>IF(AND(Programme_Grunddaten!$A169="Geprüft",Programme_Grunddaten!B169&lt;&gt;""),Programme_Grunddaten!B169,"")</f>
        <v/>
      </c>
      <c r="B164" s="1" t="str">
        <f>IF(AND(Programme_Grunddaten!$A169="Geprüft",Programme_Grunddaten!C169&lt;&gt;""),Programme_Grunddaten!C169,"")</f>
        <v/>
      </c>
      <c r="C164" s="1" t="str">
        <f>IF(AND(Programme_Grunddaten!$A169="Geprüft",Programme_Grunddaten!D169&lt;&gt;""),Programme_Grunddaten!D169,"")</f>
        <v/>
      </c>
      <c r="D164" s="2" t="str">
        <f>IF(AND(Programme_Grunddaten!$A169="Geprüft",Programme_Grunddaten!E169&lt;&gt;""),Programme_Grunddaten!E169,"")</f>
        <v/>
      </c>
      <c r="E164" t="str">
        <f>IF(AND(Programme_Grunddaten!$A169="Geprüft",Programme_Grunddaten!G169&lt;&gt;""),Programme_Grunddaten!G169,"")</f>
        <v/>
      </c>
      <c r="F164" t="str">
        <f>IF(AND(Programme_Grunddaten!$A169="Geprüft",Programme_Grunddaten!F169&lt;&gt;""),Programme_Grunddaten!F169,"")</f>
        <v/>
      </c>
      <c r="G164" s="3" t="str">
        <f>IF(AND(Programme_Grunddaten!$A169="Geprüft",Programme_Grunddaten!S169&lt;&gt;""),Programme_Grunddaten!S169,"")</f>
        <v/>
      </c>
      <c r="H164" t="str">
        <f>IF(AND(Programme_Grunddaten!$A169="Geprüft",Programme_Grunddaten!AW169&lt;&gt;""),Programme_Grunddaten!AW169,"")</f>
        <v/>
      </c>
      <c r="I164" t="str">
        <f>IF(AND(Programme_Grunddaten!$A169="Geprüft",Programme_Grunddaten!AX169&lt;&gt;""),Programme_Grunddaten!AX169,"")</f>
        <v/>
      </c>
    </row>
    <row r="165" spans="1:9" x14ac:dyDescent="0.3">
      <c r="A165" s="1" t="str">
        <f>IF(AND(Programme_Grunddaten!$A170="Geprüft",Programme_Grunddaten!B170&lt;&gt;""),Programme_Grunddaten!B170,"")</f>
        <v/>
      </c>
      <c r="B165" s="1" t="str">
        <f>IF(AND(Programme_Grunddaten!$A170="Geprüft",Programme_Grunddaten!C170&lt;&gt;""),Programme_Grunddaten!C170,"")</f>
        <v/>
      </c>
      <c r="C165" s="1" t="str">
        <f>IF(AND(Programme_Grunddaten!$A170="Geprüft",Programme_Grunddaten!D170&lt;&gt;""),Programme_Grunddaten!D170,"")</f>
        <v/>
      </c>
      <c r="D165" s="2" t="str">
        <f>IF(AND(Programme_Grunddaten!$A170="Geprüft",Programme_Grunddaten!E170&lt;&gt;""),Programme_Grunddaten!E170,"")</f>
        <v/>
      </c>
      <c r="E165" t="str">
        <f>IF(AND(Programme_Grunddaten!$A170="Geprüft",Programme_Grunddaten!G170&lt;&gt;""),Programme_Grunddaten!G170,"")</f>
        <v/>
      </c>
      <c r="F165" t="str">
        <f>IF(AND(Programme_Grunddaten!$A170="Geprüft",Programme_Grunddaten!F170&lt;&gt;""),Programme_Grunddaten!F170,"")</f>
        <v/>
      </c>
      <c r="G165" s="3" t="str">
        <f>IF(AND(Programme_Grunddaten!$A170="Geprüft",Programme_Grunddaten!S170&lt;&gt;""),Programme_Grunddaten!S170,"")</f>
        <v/>
      </c>
      <c r="H165" t="str">
        <f>IF(AND(Programme_Grunddaten!$A170="Geprüft",Programme_Grunddaten!AW170&lt;&gt;""),Programme_Grunddaten!AW170,"")</f>
        <v/>
      </c>
      <c r="I165" t="str">
        <f>IF(AND(Programme_Grunddaten!$A170="Geprüft",Programme_Grunddaten!AX170&lt;&gt;""),Programme_Grunddaten!AX170,"")</f>
        <v/>
      </c>
    </row>
    <row r="166" spans="1:9" x14ac:dyDescent="0.3">
      <c r="A166" s="1" t="str">
        <f>IF(AND(Programme_Grunddaten!$A171="Geprüft",Programme_Grunddaten!B171&lt;&gt;""),Programme_Grunddaten!B171,"")</f>
        <v/>
      </c>
      <c r="B166" s="1" t="str">
        <f>IF(AND(Programme_Grunddaten!$A171="Geprüft",Programme_Grunddaten!C171&lt;&gt;""),Programme_Grunddaten!C171,"")</f>
        <v/>
      </c>
      <c r="C166" s="1" t="str">
        <f>IF(AND(Programme_Grunddaten!$A171="Geprüft",Programme_Grunddaten!D171&lt;&gt;""),Programme_Grunddaten!D171,"")</f>
        <v/>
      </c>
      <c r="D166" s="2" t="str">
        <f>IF(AND(Programme_Grunddaten!$A171="Geprüft",Programme_Grunddaten!E171&lt;&gt;""),Programme_Grunddaten!E171,"")</f>
        <v/>
      </c>
      <c r="E166" t="str">
        <f>IF(AND(Programme_Grunddaten!$A171="Geprüft",Programme_Grunddaten!G171&lt;&gt;""),Programme_Grunddaten!G171,"")</f>
        <v/>
      </c>
      <c r="F166" t="str">
        <f>IF(AND(Programme_Grunddaten!$A171="Geprüft",Programme_Grunddaten!F171&lt;&gt;""),Programme_Grunddaten!F171,"")</f>
        <v/>
      </c>
      <c r="G166" s="3" t="str">
        <f>IF(AND(Programme_Grunddaten!$A171="Geprüft",Programme_Grunddaten!S171&lt;&gt;""),Programme_Grunddaten!S171,"")</f>
        <v/>
      </c>
      <c r="H166" t="str">
        <f>IF(AND(Programme_Grunddaten!$A171="Geprüft",Programme_Grunddaten!AW171&lt;&gt;""),Programme_Grunddaten!AW171,"")</f>
        <v/>
      </c>
      <c r="I166" t="str">
        <f>IF(AND(Programme_Grunddaten!$A171="Geprüft",Programme_Grunddaten!AX171&lt;&gt;""),Programme_Grunddaten!AX171,"")</f>
        <v/>
      </c>
    </row>
    <row r="167" spans="1:9" x14ac:dyDescent="0.3">
      <c r="A167" s="1" t="str">
        <f>IF(AND(Programme_Grunddaten!$A172="Geprüft",Programme_Grunddaten!B172&lt;&gt;""),Programme_Grunddaten!B172,"")</f>
        <v/>
      </c>
      <c r="B167" s="1" t="str">
        <f>IF(AND(Programme_Grunddaten!$A172="Geprüft",Programme_Grunddaten!C172&lt;&gt;""),Programme_Grunddaten!C172,"")</f>
        <v/>
      </c>
      <c r="C167" s="1" t="str">
        <f>IF(AND(Programme_Grunddaten!$A172="Geprüft",Programme_Grunddaten!D172&lt;&gt;""),Programme_Grunddaten!D172,"")</f>
        <v/>
      </c>
      <c r="D167" s="2" t="str">
        <f>IF(AND(Programme_Grunddaten!$A172="Geprüft",Programme_Grunddaten!E172&lt;&gt;""),Programme_Grunddaten!E172,"")</f>
        <v/>
      </c>
      <c r="E167" t="str">
        <f>IF(AND(Programme_Grunddaten!$A172="Geprüft",Programme_Grunddaten!G172&lt;&gt;""),Programme_Grunddaten!G172,"")</f>
        <v/>
      </c>
      <c r="F167" t="str">
        <f>IF(AND(Programme_Grunddaten!$A172="Geprüft",Programme_Grunddaten!F172&lt;&gt;""),Programme_Grunddaten!F172,"")</f>
        <v/>
      </c>
      <c r="G167" s="3" t="str">
        <f>IF(AND(Programme_Grunddaten!$A172="Geprüft",Programme_Grunddaten!S172&lt;&gt;""),Programme_Grunddaten!S172,"")</f>
        <v/>
      </c>
      <c r="H167" t="str">
        <f>IF(AND(Programme_Grunddaten!$A172="Geprüft",Programme_Grunddaten!AW172&lt;&gt;""),Programme_Grunddaten!AW172,"")</f>
        <v/>
      </c>
      <c r="I167" t="str">
        <f>IF(AND(Programme_Grunddaten!$A172="Geprüft",Programme_Grunddaten!AX172&lt;&gt;""),Programme_Grunddaten!AX172,"")</f>
        <v/>
      </c>
    </row>
    <row r="168" spans="1:9" x14ac:dyDescent="0.3">
      <c r="A168" s="1" t="str">
        <f>IF(AND(Programme_Grunddaten!$A173="Geprüft",Programme_Grunddaten!B173&lt;&gt;""),Programme_Grunddaten!B173,"")</f>
        <v/>
      </c>
      <c r="B168" s="1" t="str">
        <f>IF(AND(Programme_Grunddaten!$A173="Geprüft",Programme_Grunddaten!C173&lt;&gt;""),Programme_Grunddaten!C173,"")</f>
        <v/>
      </c>
      <c r="C168" s="1" t="str">
        <f>IF(AND(Programme_Grunddaten!$A173="Geprüft",Programme_Grunddaten!D173&lt;&gt;""),Programme_Grunddaten!D173,"")</f>
        <v/>
      </c>
      <c r="D168" s="2" t="str">
        <f>IF(AND(Programme_Grunddaten!$A173="Geprüft",Programme_Grunddaten!E173&lt;&gt;""),Programme_Grunddaten!E173,"")</f>
        <v/>
      </c>
      <c r="E168" t="str">
        <f>IF(AND(Programme_Grunddaten!$A173="Geprüft",Programme_Grunddaten!G173&lt;&gt;""),Programme_Grunddaten!G173,"")</f>
        <v/>
      </c>
      <c r="F168" t="str">
        <f>IF(AND(Programme_Grunddaten!$A173="Geprüft",Programme_Grunddaten!F173&lt;&gt;""),Programme_Grunddaten!F173,"")</f>
        <v/>
      </c>
      <c r="G168" s="3" t="str">
        <f>IF(AND(Programme_Grunddaten!$A173="Geprüft",Programme_Grunddaten!S173&lt;&gt;""),Programme_Grunddaten!S173,"")</f>
        <v/>
      </c>
      <c r="H168" t="str">
        <f>IF(AND(Programme_Grunddaten!$A173="Geprüft",Programme_Grunddaten!AW173&lt;&gt;""),Programme_Grunddaten!AW173,"")</f>
        <v/>
      </c>
      <c r="I168" t="str">
        <f>IF(AND(Programme_Grunddaten!$A173="Geprüft",Programme_Grunddaten!AX173&lt;&gt;""),Programme_Grunddaten!AX173,"")</f>
        <v/>
      </c>
    </row>
    <row r="169" spans="1:9" x14ac:dyDescent="0.3">
      <c r="A169" s="1" t="str">
        <f>IF(AND(Programme_Grunddaten!$A174="Geprüft",Programme_Grunddaten!B174&lt;&gt;""),Programme_Grunddaten!B174,"")</f>
        <v/>
      </c>
      <c r="B169" s="1" t="str">
        <f>IF(AND(Programme_Grunddaten!$A174="Geprüft",Programme_Grunddaten!C174&lt;&gt;""),Programme_Grunddaten!C174,"")</f>
        <v/>
      </c>
      <c r="C169" s="1" t="str">
        <f>IF(AND(Programme_Grunddaten!$A174="Geprüft",Programme_Grunddaten!D174&lt;&gt;""),Programme_Grunddaten!D174,"")</f>
        <v/>
      </c>
      <c r="D169" s="2" t="str">
        <f>IF(AND(Programme_Grunddaten!$A174="Geprüft",Programme_Grunddaten!E174&lt;&gt;""),Programme_Grunddaten!E174,"")</f>
        <v/>
      </c>
      <c r="E169" t="str">
        <f>IF(AND(Programme_Grunddaten!$A174="Geprüft",Programme_Grunddaten!G174&lt;&gt;""),Programme_Grunddaten!G174,"")</f>
        <v/>
      </c>
      <c r="F169" t="str">
        <f>IF(AND(Programme_Grunddaten!$A174="Geprüft",Programme_Grunddaten!F174&lt;&gt;""),Programme_Grunddaten!F174,"")</f>
        <v/>
      </c>
      <c r="G169" s="3" t="str">
        <f>IF(AND(Programme_Grunddaten!$A174="Geprüft",Programme_Grunddaten!S174&lt;&gt;""),Programme_Grunddaten!S174,"")</f>
        <v/>
      </c>
      <c r="H169" t="str">
        <f>IF(AND(Programme_Grunddaten!$A174="Geprüft",Programme_Grunddaten!AW174&lt;&gt;""),Programme_Grunddaten!AW174,"")</f>
        <v/>
      </c>
      <c r="I169" t="str">
        <f>IF(AND(Programme_Grunddaten!$A174="Geprüft",Programme_Grunddaten!AX174&lt;&gt;""),Programme_Grunddaten!AX174,"")</f>
        <v/>
      </c>
    </row>
    <row r="170" spans="1:9" x14ac:dyDescent="0.3">
      <c r="A170" s="1" t="str">
        <f>IF(AND(Programme_Grunddaten!$A175="Geprüft",Programme_Grunddaten!B175&lt;&gt;""),Programme_Grunddaten!B175,"")</f>
        <v/>
      </c>
      <c r="B170" s="1" t="str">
        <f>IF(AND(Programme_Grunddaten!$A175="Geprüft",Programme_Grunddaten!C175&lt;&gt;""),Programme_Grunddaten!C175,"")</f>
        <v/>
      </c>
      <c r="C170" s="1" t="str">
        <f>IF(AND(Programme_Grunddaten!$A175="Geprüft",Programme_Grunddaten!D175&lt;&gt;""),Programme_Grunddaten!D175,"")</f>
        <v/>
      </c>
      <c r="D170" s="2" t="str">
        <f>IF(AND(Programme_Grunddaten!$A175="Geprüft",Programme_Grunddaten!E175&lt;&gt;""),Programme_Grunddaten!E175,"")</f>
        <v/>
      </c>
      <c r="E170" t="str">
        <f>IF(AND(Programme_Grunddaten!$A175="Geprüft",Programme_Grunddaten!G175&lt;&gt;""),Programme_Grunddaten!G175,"")</f>
        <v/>
      </c>
      <c r="F170" t="str">
        <f>IF(AND(Programme_Grunddaten!$A175="Geprüft",Programme_Grunddaten!F175&lt;&gt;""),Programme_Grunddaten!F175,"")</f>
        <v/>
      </c>
      <c r="G170" s="3" t="str">
        <f>IF(AND(Programme_Grunddaten!$A175="Geprüft",Programme_Grunddaten!S175&lt;&gt;""),Programme_Grunddaten!S175,"")</f>
        <v/>
      </c>
      <c r="H170" t="str">
        <f>IF(AND(Programme_Grunddaten!$A175="Geprüft",Programme_Grunddaten!AW175&lt;&gt;""),Programme_Grunddaten!AW175,"")</f>
        <v/>
      </c>
      <c r="I170" t="str">
        <f>IF(AND(Programme_Grunddaten!$A175="Geprüft",Programme_Grunddaten!AX175&lt;&gt;""),Programme_Grunddaten!AX175,"")</f>
        <v/>
      </c>
    </row>
    <row r="171" spans="1:9" x14ac:dyDescent="0.3">
      <c r="A171" s="1" t="str">
        <f>IF(AND(Programme_Grunddaten!$A176="Geprüft",Programme_Grunddaten!B176&lt;&gt;""),Programme_Grunddaten!B176,"")</f>
        <v/>
      </c>
      <c r="B171" s="1" t="str">
        <f>IF(AND(Programme_Grunddaten!$A176="Geprüft",Programme_Grunddaten!C176&lt;&gt;""),Programme_Grunddaten!C176,"")</f>
        <v/>
      </c>
      <c r="C171" s="1" t="str">
        <f>IF(AND(Programme_Grunddaten!$A176="Geprüft",Programme_Grunddaten!D176&lt;&gt;""),Programme_Grunddaten!D176,"")</f>
        <v/>
      </c>
      <c r="D171" s="2" t="str">
        <f>IF(AND(Programme_Grunddaten!$A176="Geprüft",Programme_Grunddaten!E176&lt;&gt;""),Programme_Grunddaten!E176,"")</f>
        <v/>
      </c>
      <c r="E171" t="str">
        <f>IF(AND(Programme_Grunddaten!$A176="Geprüft",Programme_Grunddaten!G176&lt;&gt;""),Programme_Grunddaten!G176,"")</f>
        <v/>
      </c>
      <c r="F171" t="str">
        <f>IF(AND(Programme_Grunddaten!$A176="Geprüft",Programme_Grunddaten!F176&lt;&gt;""),Programme_Grunddaten!F176,"")</f>
        <v/>
      </c>
      <c r="G171" s="3" t="str">
        <f>IF(AND(Programme_Grunddaten!$A176="Geprüft",Programme_Grunddaten!S176&lt;&gt;""),Programme_Grunddaten!S176,"")</f>
        <v/>
      </c>
      <c r="H171" t="str">
        <f>IF(AND(Programme_Grunddaten!$A176="Geprüft",Programme_Grunddaten!AW176&lt;&gt;""),Programme_Grunddaten!AW176,"")</f>
        <v/>
      </c>
      <c r="I171" t="str">
        <f>IF(AND(Programme_Grunddaten!$A176="Geprüft",Programme_Grunddaten!AX176&lt;&gt;""),Programme_Grunddaten!AX176,"")</f>
        <v/>
      </c>
    </row>
    <row r="172" spans="1:9" x14ac:dyDescent="0.3">
      <c r="A172" s="1" t="str">
        <f>IF(AND(Programme_Grunddaten!$A177="Geprüft",Programme_Grunddaten!B177&lt;&gt;""),Programme_Grunddaten!B177,"")</f>
        <v/>
      </c>
      <c r="B172" s="1" t="str">
        <f>IF(AND(Programme_Grunddaten!$A177="Geprüft",Programme_Grunddaten!C177&lt;&gt;""),Programme_Grunddaten!C177,"")</f>
        <v/>
      </c>
      <c r="C172" s="1" t="str">
        <f>IF(AND(Programme_Grunddaten!$A177="Geprüft",Programme_Grunddaten!D177&lt;&gt;""),Programme_Grunddaten!D177,"")</f>
        <v/>
      </c>
      <c r="D172" s="2" t="str">
        <f>IF(AND(Programme_Grunddaten!$A177="Geprüft",Programme_Grunddaten!E177&lt;&gt;""),Programme_Grunddaten!E177,"")</f>
        <v/>
      </c>
      <c r="E172" t="str">
        <f>IF(AND(Programme_Grunddaten!$A177="Geprüft",Programme_Grunddaten!G177&lt;&gt;""),Programme_Grunddaten!G177,"")</f>
        <v/>
      </c>
      <c r="F172" t="str">
        <f>IF(AND(Programme_Grunddaten!$A177="Geprüft",Programme_Grunddaten!F177&lt;&gt;""),Programme_Grunddaten!F177,"")</f>
        <v/>
      </c>
      <c r="G172" s="3" t="str">
        <f>IF(AND(Programme_Grunddaten!$A177="Geprüft",Programme_Grunddaten!S177&lt;&gt;""),Programme_Grunddaten!S177,"")</f>
        <v/>
      </c>
      <c r="H172" t="str">
        <f>IF(AND(Programme_Grunddaten!$A177="Geprüft",Programme_Grunddaten!AW177&lt;&gt;""),Programme_Grunddaten!AW177,"")</f>
        <v/>
      </c>
      <c r="I172" t="str">
        <f>IF(AND(Programme_Grunddaten!$A177="Geprüft",Programme_Grunddaten!AX177&lt;&gt;""),Programme_Grunddaten!AX177,"")</f>
        <v/>
      </c>
    </row>
    <row r="173" spans="1:9" x14ac:dyDescent="0.3">
      <c r="A173" s="1" t="str">
        <f>IF(AND(Programme_Grunddaten!$A178="Geprüft",Programme_Grunddaten!B178&lt;&gt;""),Programme_Grunddaten!B178,"")</f>
        <v/>
      </c>
      <c r="B173" s="1" t="str">
        <f>IF(AND(Programme_Grunddaten!$A178="Geprüft",Programme_Grunddaten!C178&lt;&gt;""),Programme_Grunddaten!C178,"")</f>
        <v/>
      </c>
      <c r="C173" s="1" t="str">
        <f>IF(AND(Programme_Grunddaten!$A178="Geprüft",Programme_Grunddaten!D178&lt;&gt;""),Programme_Grunddaten!D178,"")</f>
        <v/>
      </c>
      <c r="D173" s="2" t="str">
        <f>IF(AND(Programme_Grunddaten!$A178="Geprüft",Programme_Grunddaten!E178&lt;&gt;""),Programme_Grunddaten!E178,"")</f>
        <v/>
      </c>
      <c r="E173" t="str">
        <f>IF(AND(Programme_Grunddaten!$A178="Geprüft",Programme_Grunddaten!G178&lt;&gt;""),Programme_Grunddaten!G178,"")</f>
        <v/>
      </c>
      <c r="F173" t="str">
        <f>IF(AND(Programme_Grunddaten!$A178="Geprüft",Programme_Grunddaten!F178&lt;&gt;""),Programme_Grunddaten!F178,"")</f>
        <v/>
      </c>
      <c r="G173" s="3" t="str">
        <f>IF(AND(Programme_Grunddaten!$A178="Geprüft",Programme_Grunddaten!S178&lt;&gt;""),Programme_Grunddaten!S178,"")</f>
        <v/>
      </c>
      <c r="H173" t="str">
        <f>IF(AND(Programme_Grunddaten!$A178="Geprüft",Programme_Grunddaten!AW178&lt;&gt;""),Programme_Grunddaten!AW178,"")</f>
        <v/>
      </c>
      <c r="I173" t="str">
        <f>IF(AND(Programme_Grunddaten!$A178="Geprüft",Programme_Grunddaten!AX178&lt;&gt;""),Programme_Grunddaten!AX178,"")</f>
        <v/>
      </c>
    </row>
    <row r="174" spans="1:9" x14ac:dyDescent="0.3">
      <c r="A174" s="1" t="str">
        <f>IF(AND(Programme_Grunddaten!$A179="Geprüft",Programme_Grunddaten!B179&lt;&gt;""),Programme_Grunddaten!B179,"")</f>
        <v/>
      </c>
      <c r="B174" s="1" t="str">
        <f>IF(AND(Programme_Grunddaten!$A179="Geprüft",Programme_Grunddaten!C179&lt;&gt;""),Programme_Grunddaten!C179,"")</f>
        <v/>
      </c>
      <c r="C174" s="1" t="str">
        <f>IF(AND(Programme_Grunddaten!$A179="Geprüft",Programme_Grunddaten!D179&lt;&gt;""),Programme_Grunddaten!D179,"")</f>
        <v/>
      </c>
      <c r="D174" s="2" t="str">
        <f>IF(AND(Programme_Grunddaten!$A179="Geprüft",Programme_Grunddaten!E179&lt;&gt;""),Programme_Grunddaten!E179,"")</f>
        <v/>
      </c>
      <c r="E174" t="str">
        <f>IF(AND(Programme_Grunddaten!$A179="Geprüft",Programme_Grunddaten!G179&lt;&gt;""),Programme_Grunddaten!G179,"")</f>
        <v/>
      </c>
      <c r="F174" t="str">
        <f>IF(AND(Programme_Grunddaten!$A179="Geprüft",Programme_Grunddaten!F179&lt;&gt;""),Programme_Grunddaten!F179,"")</f>
        <v/>
      </c>
      <c r="G174" s="3" t="str">
        <f>IF(AND(Programme_Grunddaten!$A179="Geprüft",Programme_Grunddaten!S179&lt;&gt;""),Programme_Grunddaten!S179,"")</f>
        <v/>
      </c>
      <c r="H174" t="str">
        <f>IF(AND(Programme_Grunddaten!$A179="Geprüft",Programme_Grunddaten!AW179&lt;&gt;""),Programme_Grunddaten!AW179,"")</f>
        <v/>
      </c>
      <c r="I174" t="str">
        <f>IF(AND(Programme_Grunddaten!$A179="Geprüft",Programme_Grunddaten!AX179&lt;&gt;""),Programme_Grunddaten!AX179,"")</f>
        <v/>
      </c>
    </row>
    <row r="175" spans="1:9" x14ac:dyDescent="0.3">
      <c r="A175" s="1" t="str">
        <f>IF(AND(Programme_Grunddaten!$A180="Geprüft",Programme_Grunddaten!B180&lt;&gt;""),Programme_Grunddaten!B180,"")</f>
        <v/>
      </c>
      <c r="B175" s="1" t="str">
        <f>IF(AND(Programme_Grunddaten!$A180="Geprüft",Programme_Grunddaten!C180&lt;&gt;""),Programme_Grunddaten!C180,"")</f>
        <v/>
      </c>
      <c r="C175" s="1" t="str">
        <f>IF(AND(Programme_Grunddaten!$A180="Geprüft",Programme_Grunddaten!D180&lt;&gt;""),Programme_Grunddaten!D180,"")</f>
        <v/>
      </c>
      <c r="D175" s="2" t="str">
        <f>IF(AND(Programme_Grunddaten!$A180="Geprüft",Programme_Grunddaten!E180&lt;&gt;""),Programme_Grunddaten!E180,"")</f>
        <v/>
      </c>
      <c r="E175" t="str">
        <f>IF(AND(Programme_Grunddaten!$A180="Geprüft",Programme_Grunddaten!G180&lt;&gt;""),Programme_Grunddaten!G180,"")</f>
        <v/>
      </c>
      <c r="F175" t="str">
        <f>IF(AND(Programme_Grunddaten!$A180="Geprüft",Programme_Grunddaten!F180&lt;&gt;""),Programme_Grunddaten!F180,"")</f>
        <v/>
      </c>
      <c r="G175" s="3" t="str">
        <f>IF(AND(Programme_Grunddaten!$A180="Geprüft",Programme_Grunddaten!S180&lt;&gt;""),Programme_Grunddaten!S180,"")</f>
        <v/>
      </c>
      <c r="H175" t="str">
        <f>IF(AND(Programme_Grunddaten!$A180="Geprüft",Programme_Grunddaten!AW180&lt;&gt;""),Programme_Grunddaten!AW180,"")</f>
        <v/>
      </c>
      <c r="I175" t="str">
        <f>IF(AND(Programme_Grunddaten!$A180="Geprüft",Programme_Grunddaten!AX180&lt;&gt;""),Programme_Grunddaten!AX180,"")</f>
        <v/>
      </c>
    </row>
    <row r="176" spans="1:9" x14ac:dyDescent="0.3">
      <c r="A176" s="1" t="str">
        <f>IF(AND(Programme_Grunddaten!$A181="Geprüft",Programme_Grunddaten!B181&lt;&gt;""),Programme_Grunddaten!B181,"")</f>
        <v/>
      </c>
      <c r="B176" s="1" t="str">
        <f>IF(AND(Programme_Grunddaten!$A181="Geprüft",Programme_Grunddaten!C181&lt;&gt;""),Programme_Grunddaten!C181,"")</f>
        <v/>
      </c>
      <c r="C176" s="1" t="str">
        <f>IF(AND(Programme_Grunddaten!$A181="Geprüft",Programme_Grunddaten!D181&lt;&gt;""),Programme_Grunddaten!D181,"")</f>
        <v/>
      </c>
      <c r="D176" s="2" t="str">
        <f>IF(AND(Programme_Grunddaten!$A181="Geprüft",Programme_Grunddaten!E181&lt;&gt;""),Programme_Grunddaten!E181,"")</f>
        <v/>
      </c>
      <c r="E176" t="str">
        <f>IF(AND(Programme_Grunddaten!$A181="Geprüft",Programme_Grunddaten!G181&lt;&gt;""),Programme_Grunddaten!G181,"")</f>
        <v/>
      </c>
      <c r="F176" t="str">
        <f>IF(AND(Programme_Grunddaten!$A181="Geprüft",Programme_Grunddaten!F181&lt;&gt;""),Programme_Grunddaten!F181,"")</f>
        <v/>
      </c>
      <c r="G176" s="3" t="str">
        <f>IF(AND(Programme_Grunddaten!$A181="Geprüft",Programme_Grunddaten!S181&lt;&gt;""),Programme_Grunddaten!S181,"")</f>
        <v/>
      </c>
      <c r="H176" t="str">
        <f>IF(AND(Programme_Grunddaten!$A181="Geprüft",Programme_Grunddaten!AW181&lt;&gt;""),Programme_Grunddaten!AW181,"")</f>
        <v/>
      </c>
      <c r="I176" t="str">
        <f>IF(AND(Programme_Grunddaten!$A181="Geprüft",Programme_Grunddaten!AX181&lt;&gt;""),Programme_Grunddaten!AX181,"")</f>
        <v/>
      </c>
    </row>
    <row r="177" spans="1:9" x14ac:dyDescent="0.3">
      <c r="A177" s="1" t="str">
        <f>IF(AND(Programme_Grunddaten!$A182="Geprüft",Programme_Grunddaten!B182&lt;&gt;""),Programme_Grunddaten!B182,"")</f>
        <v/>
      </c>
      <c r="B177" s="1" t="str">
        <f>IF(AND(Programme_Grunddaten!$A182="Geprüft",Programme_Grunddaten!C182&lt;&gt;""),Programme_Grunddaten!C182,"")</f>
        <v/>
      </c>
      <c r="C177" s="1" t="str">
        <f>IF(AND(Programme_Grunddaten!$A182="Geprüft",Programme_Grunddaten!D182&lt;&gt;""),Programme_Grunddaten!D182,"")</f>
        <v/>
      </c>
      <c r="D177" s="2" t="str">
        <f>IF(AND(Programme_Grunddaten!$A182="Geprüft",Programme_Grunddaten!E182&lt;&gt;""),Programme_Grunddaten!E182,"")</f>
        <v/>
      </c>
      <c r="E177" t="str">
        <f>IF(AND(Programme_Grunddaten!$A182="Geprüft",Programme_Grunddaten!G182&lt;&gt;""),Programme_Grunddaten!G182,"")</f>
        <v/>
      </c>
      <c r="F177" t="str">
        <f>IF(AND(Programme_Grunddaten!$A182="Geprüft",Programme_Grunddaten!F182&lt;&gt;""),Programme_Grunddaten!F182,"")</f>
        <v/>
      </c>
      <c r="G177" s="3" t="str">
        <f>IF(AND(Programme_Grunddaten!$A182="Geprüft",Programme_Grunddaten!S182&lt;&gt;""),Programme_Grunddaten!S182,"")</f>
        <v/>
      </c>
      <c r="H177" t="str">
        <f>IF(AND(Programme_Grunddaten!$A182="Geprüft",Programme_Grunddaten!AW182&lt;&gt;""),Programme_Grunddaten!AW182,"")</f>
        <v/>
      </c>
      <c r="I177" t="str">
        <f>IF(AND(Programme_Grunddaten!$A182="Geprüft",Programme_Grunddaten!AX182&lt;&gt;""),Programme_Grunddaten!AX182,"")</f>
        <v/>
      </c>
    </row>
    <row r="178" spans="1:9" x14ac:dyDescent="0.3">
      <c r="A178" s="1" t="str">
        <f>IF(AND(Programme_Grunddaten!$A183="Geprüft",Programme_Grunddaten!B183&lt;&gt;""),Programme_Grunddaten!B183,"")</f>
        <v/>
      </c>
      <c r="B178" s="1" t="str">
        <f>IF(AND(Programme_Grunddaten!$A183="Geprüft",Programme_Grunddaten!C183&lt;&gt;""),Programme_Grunddaten!C183,"")</f>
        <v/>
      </c>
      <c r="C178" s="1" t="str">
        <f>IF(AND(Programme_Grunddaten!$A183="Geprüft",Programme_Grunddaten!D183&lt;&gt;""),Programme_Grunddaten!D183,"")</f>
        <v/>
      </c>
      <c r="D178" s="2" t="str">
        <f>IF(AND(Programme_Grunddaten!$A183="Geprüft",Programme_Grunddaten!E183&lt;&gt;""),Programme_Grunddaten!E183,"")</f>
        <v/>
      </c>
      <c r="E178" t="str">
        <f>IF(AND(Programme_Grunddaten!$A183="Geprüft",Programme_Grunddaten!G183&lt;&gt;""),Programme_Grunddaten!G183,"")</f>
        <v/>
      </c>
      <c r="F178" t="str">
        <f>IF(AND(Programme_Grunddaten!$A183="Geprüft",Programme_Grunddaten!F183&lt;&gt;""),Programme_Grunddaten!F183,"")</f>
        <v/>
      </c>
      <c r="G178" s="3" t="str">
        <f>IF(AND(Programme_Grunddaten!$A183="Geprüft",Programme_Grunddaten!S183&lt;&gt;""),Programme_Grunddaten!S183,"")</f>
        <v/>
      </c>
      <c r="H178" t="str">
        <f>IF(AND(Programme_Grunddaten!$A183="Geprüft",Programme_Grunddaten!AW183&lt;&gt;""),Programme_Grunddaten!AW183,"")</f>
        <v/>
      </c>
      <c r="I178" t="str">
        <f>IF(AND(Programme_Grunddaten!$A183="Geprüft",Programme_Grunddaten!AX183&lt;&gt;""),Programme_Grunddaten!AX183,"")</f>
        <v/>
      </c>
    </row>
    <row r="179" spans="1:9" x14ac:dyDescent="0.3">
      <c r="A179" s="1" t="str">
        <f>IF(AND(Programme_Grunddaten!$A184="Geprüft",Programme_Grunddaten!B184&lt;&gt;""),Programme_Grunddaten!B184,"")</f>
        <v/>
      </c>
      <c r="B179" s="1" t="str">
        <f>IF(AND(Programme_Grunddaten!$A184="Geprüft",Programme_Grunddaten!C184&lt;&gt;""),Programme_Grunddaten!C184,"")</f>
        <v/>
      </c>
      <c r="C179" s="1" t="str">
        <f>IF(AND(Programme_Grunddaten!$A184="Geprüft",Programme_Grunddaten!D184&lt;&gt;""),Programme_Grunddaten!D184,"")</f>
        <v/>
      </c>
      <c r="D179" s="2" t="str">
        <f>IF(AND(Programme_Grunddaten!$A184="Geprüft",Programme_Grunddaten!E184&lt;&gt;""),Programme_Grunddaten!E184,"")</f>
        <v/>
      </c>
      <c r="E179" t="str">
        <f>IF(AND(Programme_Grunddaten!$A184="Geprüft",Programme_Grunddaten!G184&lt;&gt;""),Programme_Grunddaten!G184,"")</f>
        <v/>
      </c>
      <c r="F179" t="str">
        <f>IF(AND(Programme_Grunddaten!$A184="Geprüft",Programme_Grunddaten!F184&lt;&gt;""),Programme_Grunddaten!F184,"")</f>
        <v/>
      </c>
      <c r="G179" s="3" t="str">
        <f>IF(AND(Programme_Grunddaten!$A184="Geprüft",Programme_Grunddaten!S184&lt;&gt;""),Programme_Grunddaten!S184,"")</f>
        <v/>
      </c>
      <c r="H179" t="str">
        <f>IF(AND(Programme_Grunddaten!$A184="Geprüft",Programme_Grunddaten!AW184&lt;&gt;""),Programme_Grunddaten!AW184,"")</f>
        <v/>
      </c>
      <c r="I179" t="str">
        <f>IF(AND(Programme_Grunddaten!$A184="Geprüft",Programme_Grunddaten!AX184&lt;&gt;""),Programme_Grunddaten!AX184,"")</f>
        <v/>
      </c>
    </row>
    <row r="180" spans="1:9" x14ac:dyDescent="0.3">
      <c r="A180" s="1" t="str">
        <f>IF(AND(Programme_Grunddaten!$A185="Geprüft",Programme_Grunddaten!B185&lt;&gt;""),Programme_Grunddaten!B185,"")</f>
        <v/>
      </c>
      <c r="B180" s="1" t="str">
        <f>IF(AND(Programme_Grunddaten!$A185="Geprüft",Programme_Grunddaten!C185&lt;&gt;""),Programme_Grunddaten!C185,"")</f>
        <v/>
      </c>
      <c r="C180" s="1" t="str">
        <f>IF(AND(Programme_Grunddaten!$A185="Geprüft",Programme_Grunddaten!D185&lt;&gt;""),Programme_Grunddaten!D185,"")</f>
        <v/>
      </c>
      <c r="D180" s="2" t="str">
        <f>IF(AND(Programme_Grunddaten!$A185="Geprüft",Programme_Grunddaten!E185&lt;&gt;""),Programme_Grunddaten!E185,"")</f>
        <v/>
      </c>
      <c r="E180" t="str">
        <f>IF(AND(Programme_Grunddaten!$A185="Geprüft",Programme_Grunddaten!G185&lt;&gt;""),Programme_Grunddaten!G185,"")</f>
        <v/>
      </c>
      <c r="F180" t="str">
        <f>IF(AND(Programme_Grunddaten!$A185="Geprüft",Programme_Grunddaten!F185&lt;&gt;""),Programme_Grunddaten!F185,"")</f>
        <v/>
      </c>
      <c r="G180" s="3" t="str">
        <f>IF(AND(Programme_Grunddaten!$A185="Geprüft",Programme_Grunddaten!S185&lt;&gt;""),Programme_Grunddaten!S185,"")</f>
        <v/>
      </c>
      <c r="H180" t="str">
        <f>IF(AND(Programme_Grunddaten!$A185="Geprüft",Programme_Grunddaten!AW185&lt;&gt;""),Programme_Grunddaten!AW185,"")</f>
        <v/>
      </c>
      <c r="I180" t="str">
        <f>IF(AND(Programme_Grunddaten!$A185="Geprüft",Programme_Grunddaten!AX185&lt;&gt;""),Programme_Grunddaten!AX185,"")</f>
        <v/>
      </c>
    </row>
    <row r="181" spans="1:9" x14ac:dyDescent="0.3">
      <c r="A181" s="1" t="str">
        <f>IF(AND(Programme_Grunddaten!$A186="Geprüft",Programme_Grunddaten!B186&lt;&gt;""),Programme_Grunddaten!B186,"")</f>
        <v/>
      </c>
      <c r="B181" s="1" t="str">
        <f>IF(AND(Programme_Grunddaten!$A186="Geprüft",Programme_Grunddaten!C186&lt;&gt;""),Programme_Grunddaten!C186,"")</f>
        <v/>
      </c>
      <c r="C181" s="1" t="str">
        <f>IF(AND(Programme_Grunddaten!$A186="Geprüft",Programme_Grunddaten!D186&lt;&gt;""),Programme_Grunddaten!D186,"")</f>
        <v/>
      </c>
      <c r="D181" s="2" t="str">
        <f>IF(AND(Programme_Grunddaten!$A186="Geprüft",Programme_Grunddaten!E186&lt;&gt;""),Programme_Grunddaten!E186,"")</f>
        <v/>
      </c>
      <c r="E181" t="str">
        <f>IF(AND(Programme_Grunddaten!$A186="Geprüft",Programme_Grunddaten!G186&lt;&gt;""),Programme_Grunddaten!G186,"")</f>
        <v/>
      </c>
      <c r="F181" t="str">
        <f>IF(AND(Programme_Grunddaten!$A186="Geprüft",Programme_Grunddaten!F186&lt;&gt;""),Programme_Grunddaten!F186,"")</f>
        <v/>
      </c>
      <c r="G181" s="3" t="str">
        <f>IF(AND(Programme_Grunddaten!$A186="Geprüft",Programme_Grunddaten!S186&lt;&gt;""),Programme_Grunddaten!S186,"")</f>
        <v/>
      </c>
      <c r="H181" t="str">
        <f>IF(AND(Programme_Grunddaten!$A186="Geprüft",Programme_Grunddaten!AW186&lt;&gt;""),Programme_Grunddaten!AW186,"")</f>
        <v/>
      </c>
      <c r="I181" t="str">
        <f>IF(AND(Programme_Grunddaten!$A186="Geprüft",Programme_Grunddaten!AX186&lt;&gt;""),Programme_Grunddaten!AX186,"")</f>
        <v/>
      </c>
    </row>
    <row r="182" spans="1:9" x14ac:dyDescent="0.3">
      <c r="A182" s="1" t="str">
        <f>IF(AND(Programme_Grunddaten!$A187="Geprüft",Programme_Grunddaten!B187&lt;&gt;""),Programme_Grunddaten!B187,"")</f>
        <v/>
      </c>
      <c r="B182" s="1" t="str">
        <f>IF(AND(Programme_Grunddaten!$A187="Geprüft",Programme_Grunddaten!C187&lt;&gt;""),Programme_Grunddaten!C187,"")</f>
        <v/>
      </c>
      <c r="C182" s="1" t="str">
        <f>IF(AND(Programme_Grunddaten!$A187="Geprüft",Programme_Grunddaten!D187&lt;&gt;""),Programme_Grunddaten!D187,"")</f>
        <v/>
      </c>
      <c r="D182" s="2" t="str">
        <f>IF(AND(Programme_Grunddaten!$A187="Geprüft",Programme_Grunddaten!E187&lt;&gt;""),Programme_Grunddaten!E187,"")</f>
        <v/>
      </c>
      <c r="E182" t="str">
        <f>IF(AND(Programme_Grunddaten!$A187="Geprüft",Programme_Grunddaten!G187&lt;&gt;""),Programme_Grunddaten!G187,"")</f>
        <v/>
      </c>
      <c r="F182" t="str">
        <f>IF(AND(Programme_Grunddaten!$A187="Geprüft",Programme_Grunddaten!F187&lt;&gt;""),Programme_Grunddaten!F187,"")</f>
        <v/>
      </c>
      <c r="G182" s="3" t="str">
        <f>IF(AND(Programme_Grunddaten!$A187="Geprüft",Programme_Grunddaten!S187&lt;&gt;""),Programme_Grunddaten!S187,"")</f>
        <v/>
      </c>
      <c r="H182" t="str">
        <f>IF(AND(Programme_Grunddaten!$A187="Geprüft",Programme_Grunddaten!AW187&lt;&gt;""),Programme_Grunddaten!AW187,"")</f>
        <v/>
      </c>
      <c r="I182" t="str">
        <f>IF(AND(Programme_Grunddaten!$A187="Geprüft",Programme_Grunddaten!AX187&lt;&gt;""),Programme_Grunddaten!AX187,"")</f>
        <v/>
      </c>
    </row>
    <row r="183" spans="1:9" x14ac:dyDescent="0.3">
      <c r="A183" s="1" t="str">
        <f>IF(AND(Programme_Grunddaten!$A188="Geprüft",Programme_Grunddaten!B188&lt;&gt;""),Programme_Grunddaten!B188,"")</f>
        <v/>
      </c>
      <c r="B183" s="1" t="str">
        <f>IF(AND(Programme_Grunddaten!$A188="Geprüft",Programme_Grunddaten!C188&lt;&gt;""),Programme_Grunddaten!C188,"")</f>
        <v/>
      </c>
      <c r="C183" s="1" t="str">
        <f>IF(AND(Programme_Grunddaten!$A188="Geprüft",Programme_Grunddaten!D188&lt;&gt;""),Programme_Grunddaten!D188,"")</f>
        <v/>
      </c>
      <c r="D183" s="2" t="str">
        <f>IF(AND(Programme_Grunddaten!$A188="Geprüft",Programme_Grunddaten!E188&lt;&gt;""),Programme_Grunddaten!E188,"")</f>
        <v/>
      </c>
      <c r="E183" t="str">
        <f>IF(AND(Programme_Grunddaten!$A188="Geprüft",Programme_Grunddaten!G188&lt;&gt;""),Programme_Grunddaten!G188,"")</f>
        <v/>
      </c>
      <c r="F183" t="str">
        <f>IF(AND(Programme_Grunddaten!$A188="Geprüft",Programme_Grunddaten!F188&lt;&gt;""),Programme_Grunddaten!F188,"")</f>
        <v/>
      </c>
      <c r="G183" s="3" t="str">
        <f>IF(AND(Programme_Grunddaten!$A188="Geprüft",Programme_Grunddaten!S188&lt;&gt;""),Programme_Grunddaten!S188,"")</f>
        <v/>
      </c>
      <c r="H183" t="str">
        <f>IF(AND(Programme_Grunddaten!$A188="Geprüft",Programme_Grunddaten!AW188&lt;&gt;""),Programme_Grunddaten!AW188,"")</f>
        <v/>
      </c>
      <c r="I183" t="str">
        <f>IF(AND(Programme_Grunddaten!$A188="Geprüft",Programme_Grunddaten!AX188&lt;&gt;""),Programme_Grunddaten!AX188,"")</f>
        <v/>
      </c>
    </row>
    <row r="184" spans="1:9" x14ac:dyDescent="0.3">
      <c r="A184" s="1" t="str">
        <f>IF(AND(Programme_Grunddaten!$A189="Geprüft",Programme_Grunddaten!B189&lt;&gt;""),Programme_Grunddaten!B189,"")</f>
        <v/>
      </c>
      <c r="B184" s="1" t="str">
        <f>IF(AND(Programme_Grunddaten!$A189="Geprüft",Programme_Grunddaten!C189&lt;&gt;""),Programme_Grunddaten!C189,"")</f>
        <v/>
      </c>
      <c r="C184" s="1" t="str">
        <f>IF(AND(Programme_Grunddaten!$A189="Geprüft",Programme_Grunddaten!D189&lt;&gt;""),Programme_Grunddaten!D189,"")</f>
        <v/>
      </c>
      <c r="D184" s="2" t="str">
        <f>IF(AND(Programme_Grunddaten!$A189="Geprüft",Programme_Grunddaten!E189&lt;&gt;""),Programme_Grunddaten!E189,"")</f>
        <v/>
      </c>
      <c r="E184" t="str">
        <f>IF(AND(Programme_Grunddaten!$A189="Geprüft",Programme_Grunddaten!G189&lt;&gt;""),Programme_Grunddaten!G189,"")</f>
        <v/>
      </c>
      <c r="F184" t="str">
        <f>IF(AND(Programme_Grunddaten!$A189="Geprüft",Programme_Grunddaten!F189&lt;&gt;""),Programme_Grunddaten!F189,"")</f>
        <v/>
      </c>
      <c r="G184" s="3" t="str">
        <f>IF(AND(Programme_Grunddaten!$A189="Geprüft",Programme_Grunddaten!S189&lt;&gt;""),Programme_Grunddaten!S189,"")</f>
        <v/>
      </c>
      <c r="H184" t="str">
        <f>IF(AND(Programme_Grunddaten!$A189="Geprüft",Programme_Grunddaten!AW189&lt;&gt;""),Programme_Grunddaten!AW189,"")</f>
        <v/>
      </c>
      <c r="I184" t="str">
        <f>IF(AND(Programme_Grunddaten!$A189="Geprüft",Programme_Grunddaten!AX189&lt;&gt;""),Programme_Grunddaten!AX189,"")</f>
        <v/>
      </c>
    </row>
    <row r="185" spans="1:9" x14ac:dyDescent="0.3">
      <c r="A185" s="1" t="str">
        <f>IF(AND(Programme_Grunddaten!$A190="Geprüft",Programme_Grunddaten!B190&lt;&gt;""),Programme_Grunddaten!B190,"")</f>
        <v/>
      </c>
      <c r="B185" s="1" t="str">
        <f>IF(AND(Programme_Grunddaten!$A190="Geprüft",Programme_Grunddaten!C190&lt;&gt;""),Programme_Grunddaten!C190,"")</f>
        <v/>
      </c>
      <c r="C185" s="1" t="str">
        <f>IF(AND(Programme_Grunddaten!$A190="Geprüft",Programme_Grunddaten!D190&lt;&gt;""),Programme_Grunddaten!D190,"")</f>
        <v/>
      </c>
      <c r="D185" s="2" t="str">
        <f>IF(AND(Programme_Grunddaten!$A190="Geprüft",Programme_Grunddaten!E190&lt;&gt;""),Programme_Grunddaten!E190,"")</f>
        <v/>
      </c>
      <c r="E185" t="str">
        <f>IF(AND(Programme_Grunddaten!$A190="Geprüft",Programme_Grunddaten!G190&lt;&gt;""),Programme_Grunddaten!G190,"")</f>
        <v/>
      </c>
      <c r="F185" t="str">
        <f>IF(AND(Programme_Grunddaten!$A190="Geprüft",Programme_Grunddaten!F190&lt;&gt;""),Programme_Grunddaten!F190,"")</f>
        <v/>
      </c>
      <c r="G185" s="3" t="str">
        <f>IF(AND(Programme_Grunddaten!$A190="Geprüft",Programme_Grunddaten!S190&lt;&gt;""),Programme_Grunddaten!S190,"")</f>
        <v/>
      </c>
      <c r="H185" t="str">
        <f>IF(AND(Programme_Grunddaten!$A190="Geprüft",Programme_Grunddaten!AW190&lt;&gt;""),Programme_Grunddaten!AW190,"")</f>
        <v/>
      </c>
      <c r="I185" t="str">
        <f>IF(AND(Programme_Grunddaten!$A190="Geprüft",Programme_Grunddaten!AX190&lt;&gt;""),Programme_Grunddaten!AX190,"")</f>
        <v/>
      </c>
    </row>
    <row r="186" spans="1:9" x14ac:dyDescent="0.3">
      <c r="A186" s="1" t="str">
        <f>IF(AND(Programme_Grunddaten!$A191="Geprüft",Programme_Grunddaten!B191&lt;&gt;""),Programme_Grunddaten!B191,"")</f>
        <v/>
      </c>
      <c r="B186" s="1" t="str">
        <f>IF(AND(Programme_Grunddaten!$A191="Geprüft",Programme_Grunddaten!C191&lt;&gt;""),Programme_Grunddaten!C191,"")</f>
        <v/>
      </c>
      <c r="C186" s="1" t="str">
        <f>IF(AND(Programme_Grunddaten!$A191="Geprüft",Programme_Grunddaten!D191&lt;&gt;""),Programme_Grunddaten!D191,"")</f>
        <v/>
      </c>
      <c r="D186" s="2" t="str">
        <f>IF(AND(Programme_Grunddaten!$A191="Geprüft",Programme_Grunddaten!E191&lt;&gt;""),Programme_Grunddaten!E191,"")</f>
        <v/>
      </c>
      <c r="E186" t="str">
        <f>IF(AND(Programme_Grunddaten!$A191="Geprüft",Programme_Grunddaten!G191&lt;&gt;""),Programme_Grunddaten!G191,"")</f>
        <v/>
      </c>
      <c r="F186" t="str">
        <f>IF(AND(Programme_Grunddaten!$A191="Geprüft",Programme_Grunddaten!F191&lt;&gt;""),Programme_Grunddaten!F191,"")</f>
        <v/>
      </c>
      <c r="G186" s="3" t="str">
        <f>IF(AND(Programme_Grunddaten!$A191="Geprüft",Programme_Grunddaten!S191&lt;&gt;""),Programme_Grunddaten!S191,"")</f>
        <v/>
      </c>
      <c r="H186" t="str">
        <f>IF(AND(Programme_Grunddaten!$A191="Geprüft",Programme_Grunddaten!AW191&lt;&gt;""),Programme_Grunddaten!AW191,"")</f>
        <v/>
      </c>
      <c r="I186" t="str">
        <f>IF(AND(Programme_Grunddaten!$A191="Geprüft",Programme_Grunddaten!AX191&lt;&gt;""),Programme_Grunddaten!AX191,"")</f>
        <v/>
      </c>
    </row>
    <row r="187" spans="1:9" x14ac:dyDescent="0.3">
      <c r="A187" s="1" t="str">
        <f>IF(AND(Programme_Grunddaten!$A192="Geprüft",Programme_Grunddaten!B192&lt;&gt;""),Programme_Grunddaten!B192,"")</f>
        <v/>
      </c>
      <c r="B187" s="1" t="str">
        <f>IF(AND(Programme_Grunddaten!$A192="Geprüft",Programme_Grunddaten!C192&lt;&gt;""),Programme_Grunddaten!C192,"")</f>
        <v/>
      </c>
      <c r="C187" s="1" t="str">
        <f>IF(AND(Programme_Grunddaten!$A192="Geprüft",Programme_Grunddaten!D192&lt;&gt;""),Programme_Grunddaten!D192,"")</f>
        <v/>
      </c>
      <c r="D187" s="2" t="str">
        <f>IF(AND(Programme_Grunddaten!$A192="Geprüft",Programme_Grunddaten!E192&lt;&gt;""),Programme_Grunddaten!E192,"")</f>
        <v/>
      </c>
      <c r="E187" t="str">
        <f>IF(AND(Programme_Grunddaten!$A192="Geprüft",Programme_Grunddaten!G192&lt;&gt;""),Programme_Grunddaten!G192,"")</f>
        <v/>
      </c>
      <c r="F187" t="str">
        <f>IF(AND(Programme_Grunddaten!$A192="Geprüft",Programme_Grunddaten!F192&lt;&gt;""),Programme_Grunddaten!F192,"")</f>
        <v/>
      </c>
      <c r="G187" s="3" t="str">
        <f>IF(AND(Programme_Grunddaten!$A192="Geprüft",Programme_Grunddaten!S192&lt;&gt;""),Programme_Grunddaten!S192,"")</f>
        <v/>
      </c>
      <c r="H187" t="str">
        <f>IF(AND(Programme_Grunddaten!$A192="Geprüft",Programme_Grunddaten!AW192&lt;&gt;""),Programme_Grunddaten!AW192,"")</f>
        <v/>
      </c>
      <c r="I187" t="str">
        <f>IF(AND(Programme_Grunddaten!$A192="Geprüft",Programme_Grunddaten!AX192&lt;&gt;""),Programme_Grunddaten!AX192,"")</f>
        <v/>
      </c>
    </row>
    <row r="188" spans="1:9" x14ac:dyDescent="0.3">
      <c r="A188" s="1" t="str">
        <f>IF(AND(Programme_Grunddaten!$A193="Geprüft",Programme_Grunddaten!B193&lt;&gt;""),Programme_Grunddaten!B193,"")</f>
        <v/>
      </c>
      <c r="B188" s="1" t="str">
        <f>IF(AND(Programme_Grunddaten!$A193="Geprüft",Programme_Grunddaten!C193&lt;&gt;""),Programme_Grunddaten!C193,"")</f>
        <v/>
      </c>
      <c r="C188" s="1" t="str">
        <f>IF(AND(Programme_Grunddaten!$A193="Geprüft",Programme_Grunddaten!D193&lt;&gt;""),Programme_Grunddaten!D193,"")</f>
        <v/>
      </c>
      <c r="D188" s="2" t="str">
        <f>IF(AND(Programme_Grunddaten!$A193="Geprüft",Programme_Grunddaten!E193&lt;&gt;""),Programme_Grunddaten!E193,"")</f>
        <v/>
      </c>
      <c r="E188" t="str">
        <f>IF(AND(Programme_Grunddaten!$A193="Geprüft",Programme_Grunddaten!G193&lt;&gt;""),Programme_Grunddaten!G193,"")</f>
        <v/>
      </c>
      <c r="F188" t="str">
        <f>IF(AND(Programme_Grunddaten!$A193="Geprüft",Programme_Grunddaten!F193&lt;&gt;""),Programme_Grunddaten!F193,"")</f>
        <v/>
      </c>
      <c r="G188" s="3" t="str">
        <f>IF(AND(Programme_Grunddaten!$A193="Geprüft",Programme_Grunddaten!S193&lt;&gt;""),Programme_Grunddaten!S193,"")</f>
        <v/>
      </c>
      <c r="H188" t="str">
        <f>IF(AND(Programme_Grunddaten!$A193="Geprüft",Programme_Grunddaten!AW193&lt;&gt;""),Programme_Grunddaten!AW193,"")</f>
        <v/>
      </c>
      <c r="I188" t="str">
        <f>IF(AND(Programme_Grunddaten!$A193="Geprüft",Programme_Grunddaten!AX193&lt;&gt;""),Programme_Grunddaten!AX193,"")</f>
        <v/>
      </c>
    </row>
    <row r="189" spans="1:9" x14ac:dyDescent="0.3">
      <c r="A189" s="1" t="str">
        <f>IF(AND(Programme_Grunddaten!$A194="Geprüft",Programme_Grunddaten!B194&lt;&gt;""),Programme_Grunddaten!B194,"")</f>
        <v/>
      </c>
      <c r="B189" s="1" t="str">
        <f>IF(AND(Programme_Grunddaten!$A194="Geprüft",Programme_Grunddaten!C194&lt;&gt;""),Programme_Grunddaten!C194,"")</f>
        <v/>
      </c>
      <c r="C189" s="1" t="str">
        <f>IF(AND(Programme_Grunddaten!$A194="Geprüft",Programme_Grunddaten!D194&lt;&gt;""),Programme_Grunddaten!D194,"")</f>
        <v/>
      </c>
      <c r="D189" s="2" t="str">
        <f>IF(AND(Programme_Grunddaten!$A194="Geprüft",Programme_Grunddaten!E194&lt;&gt;""),Programme_Grunddaten!E194,"")</f>
        <v/>
      </c>
      <c r="E189" t="str">
        <f>IF(AND(Programme_Grunddaten!$A194="Geprüft",Programme_Grunddaten!G194&lt;&gt;""),Programme_Grunddaten!G194,"")</f>
        <v/>
      </c>
      <c r="F189" t="str">
        <f>IF(AND(Programme_Grunddaten!$A194="Geprüft",Programme_Grunddaten!F194&lt;&gt;""),Programme_Grunddaten!F194,"")</f>
        <v/>
      </c>
      <c r="G189" s="3" t="str">
        <f>IF(AND(Programme_Grunddaten!$A194="Geprüft",Programme_Grunddaten!S194&lt;&gt;""),Programme_Grunddaten!S194,"")</f>
        <v/>
      </c>
      <c r="H189" t="str">
        <f>IF(AND(Programme_Grunddaten!$A194="Geprüft",Programme_Grunddaten!AW194&lt;&gt;""),Programme_Grunddaten!AW194,"")</f>
        <v/>
      </c>
      <c r="I189" t="str">
        <f>IF(AND(Programme_Grunddaten!$A194="Geprüft",Programme_Grunddaten!AX194&lt;&gt;""),Programme_Grunddaten!AX194,"")</f>
        <v/>
      </c>
    </row>
    <row r="190" spans="1:9" x14ac:dyDescent="0.3">
      <c r="A190" s="1" t="str">
        <f>IF(AND(Programme_Grunddaten!$A195="Geprüft",Programme_Grunddaten!B195&lt;&gt;""),Programme_Grunddaten!B195,"")</f>
        <v/>
      </c>
      <c r="B190" s="1" t="str">
        <f>IF(AND(Programme_Grunddaten!$A195="Geprüft",Programme_Grunddaten!C195&lt;&gt;""),Programme_Grunddaten!C195,"")</f>
        <v/>
      </c>
      <c r="C190" s="1" t="str">
        <f>IF(AND(Programme_Grunddaten!$A195="Geprüft",Programme_Grunddaten!D195&lt;&gt;""),Programme_Grunddaten!D195,"")</f>
        <v/>
      </c>
      <c r="D190" s="2" t="str">
        <f>IF(AND(Programme_Grunddaten!$A195="Geprüft",Programme_Grunddaten!E195&lt;&gt;""),Programme_Grunddaten!E195,"")</f>
        <v/>
      </c>
      <c r="E190" t="str">
        <f>IF(AND(Programme_Grunddaten!$A195="Geprüft",Programme_Grunddaten!G195&lt;&gt;""),Programme_Grunddaten!G195,"")</f>
        <v/>
      </c>
      <c r="F190" t="str">
        <f>IF(AND(Programme_Grunddaten!$A195="Geprüft",Programme_Grunddaten!F195&lt;&gt;""),Programme_Grunddaten!F195,"")</f>
        <v/>
      </c>
      <c r="G190" s="3" t="str">
        <f>IF(AND(Programme_Grunddaten!$A195="Geprüft",Programme_Grunddaten!S195&lt;&gt;""),Programme_Grunddaten!S195,"")</f>
        <v/>
      </c>
      <c r="H190" t="str">
        <f>IF(AND(Programme_Grunddaten!$A195="Geprüft",Programme_Grunddaten!AW195&lt;&gt;""),Programme_Grunddaten!AW195,"")</f>
        <v/>
      </c>
      <c r="I190" t="str">
        <f>IF(AND(Programme_Grunddaten!$A195="Geprüft",Programme_Grunddaten!AX195&lt;&gt;""),Programme_Grunddaten!AX195,"")</f>
        <v/>
      </c>
    </row>
    <row r="191" spans="1:9" x14ac:dyDescent="0.3">
      <c r="A191" s="1" t="str">
        <f>IF(AND(Programme_Grunddaten!$A196="Geprüft",Programme_Grunddaten!B196&lt;&gt;""),Programme_Grunddaten!B196,"")</f>
        <v/>
      </c>
      <c r="B191" s="1" t="str">
        <f>IF(AND(Programme_Grunddaten!$A196="Geprüft",Programme_Grunddaten!C196&lt;&gt;""),Programme_Grunddaten!C196,"")</f>
        <v/>
      </c>
      <c r="C191" s="1" t="str">
        <f>IF(AND(Programme_Grunddaten!$A196="Geprüft",Programme_Grunddaten!D196&lt;&gt;""),Programme_Grunddaten!D196,"")</f>
        <v/>
      </c>
      <c r="D191" s="2" t="str">
        <f>IF(AND(Programme_Grunddaten!$A196="Geprüft",Programme_Grunddaten!E196&lt;&gt;""),Programme_Grunddaten!E196,"")</f>
        <v/>
      </c>
      <c r="E191" t="str">
        <f>IF(AND(Programme_Grunddaten!$A196="Geprüft",Programme_Grunddaten!G196&lt;&gt;""),Programme_Grunddaten!G196,"")</f>
        <v/>
      </c>
      <c r="F191" t="str">
        <f>IF(AND(Programme_Grunddaten!$A196="Geprüft",Programme_Grunddaten!F196&lt;&gt;""),Programme_Grunddaten!F196,"")</f>
        <v/>
      </c>
      <c r="G191" s="3" t="str">
        <f>IF(AND(Programme_Grunddaten!$A196="Geprüft",Programme_Grunddaten!S196&lt;&gt;""),Programme_Grunddaten!S196,"")</f>
        <v/>
      </c>
      <c r="H191" t="str">
        <f>IF(AND(Programme_Grunddaten!$A196="Geprüft",Programme_Grunddaten!AW196&lt;&gt;""),Programme_Grunddaten!AW196,"")</f>
        <v/>
      </c>
      <c r="I191" t="str">
        <f>IF(AND(Programme_Grunddaten!$A196="Geprüft",Programme_Grunddaten!AX196&lt;&gt;""),Programme_Grunddaten!AX196,"")</f>
        <v/>
      </c>
    </row>
    <row r="192" spans="1:9" x14ac:dyDescent="0.3">
      <c r="A192" s="1" t="str">
        <f>IF(AND(Programme_Grunddaten!$A197="Geprüft",Programme_Grunddaten!B197&lt;&gt;""),Programme_Grunddaten!B197,"")</f>
        <v/>
      </c>
      <c r="B192" s="1" t="str">
        <f>IF(AND(Programme_Grunddaten!$A197="Geprüft",Programme_Grunddaten!C197&lt;&gt;""),Programme_Grunddaten!C197,"")</f>
        <v/>
      </c>
      <c r="C192" s="1" t="str">
        <f>IF(AND(Programme_Grunddaten!$A197="Geprüft",Programme_Grunddaten!D197&lt;&gt;""),Programme_Grunddaten!D197,"")</f>
        <v/>
      </c>
      <c r="D192" s="2" t="str">
        <f>IF(AND(Programme_Grunddaten!$A197="Geprüft",Programme_Grunddaten!E197&lt;&gt;""),Programme_Grunddaten!E197,"")</f>
        <v/>
      </c>
      <c r="E192" t="str">
        <f>IF(AND(Programme_Grunddaten!$A197="Geprüft",Programme_Grunddaten!G197&lt;&gt;""),Programme_Grunddaten!G197,"")</f>
        <v/>
      </c>
      <c r="F192" t="str">
        <f>IF(AND(Programme_Grunddaten!$A197="Geprüft",Programme_Grunddaten!F197&lt;&gt;""),Programme_Grunddaten!F197,"")</f>
        <v/>
      </c>
      <c r="G192" s="3" t="str">
        <f>IF(AND(Programme_Grunddaten!$A197="Geprüft",Programme_Grunddaten!S197&lt;&gt;""),Programme_Grunddaten!S197,"")</f>
        <v/>
      </c>
      <c r="H192" t="str">
        <f>IF(AND(Programme_Grunddaten!$A197="Geprüft",Programme_Grunddaten!AW197&lt;&gt;""),Programme_Grunddaten!AW197,"")</f>
        <v/>
      </c>
      <c r="I192" t="str">
        <f>IF(AND(Programme_Grunddaten!$A197="Geprüft",Programme_Grunddaten!AX197&lt;&gt;""),Programme_Grunddaten!AX197,"")</f>
        <v/>
      </c>
    </row>
    <row r="193" spans="1:9" x14ac:dyDescent="0.3">
      <c r="A193" s="1" t="str">
        <f>IF(AND(Programme_Grunddaten!$A198="Geprüft",Programme_Grunddaten!B198&lt;&gt;""),Programme_Grunddaten!B198,"")</f>
        <v/>
      </c>
      <c r="B193" s="1" t="str">
        <f>IF(AND(Programme_Grunddaten!$A198="Geprüft",Programme_Grunddaten!C198&lt;&gt;""),Programme_Grunddaten!C198,"")</f>
        <v/>
      </c>
      <c r="C193" s="1" t="str">
        <f>IF(AND(Programme_Grunddaten!$A198="Geprüft",Programme_Grunddaten!D198&lt;&gt;""),Programme_Grunddaten!D198,"")</f>
        <v/>
      </c>
      <c r="D193" s="2" t="str">
        <f>IF(AND(Programme_Grunddaten!$A198="Geprüft",Programme_Grunddaten!E198&lt;&gt;""),Programme_Grunddaten!E198,"")</f>
        <v/>
      </c>
      <c r="E193" t="str">
        <f>IF(AND(Programme_Grunddaten!$A198="Geprüft",Programme_Grunddaten!G198&lt;&gt;""),Programme_Grunddaten!G198,"")</f>
        <v/>
      </c>
      <c r="F193" t="str">
        <f>IF(AND(Programme_Grunddaten!$A198="Geprüft",Programme_Grunddaten!F198&lt;&gt;""),Programme_Grunddaten!F198,"")</f>
        <v/>
      </c>
      <c r="G193" s="3" t="str">
        <f>IF(AND(Programme_Grunddaten!$A198="Geprüft",Programme_Grunddaten!S198&lt;&gt;""),Programme_Grunddaten!S198,"")</f>
        <v/>
      </c>
      <c r="H193" t="str">
        <f>IF(AND(Programme_Grunddaten!$A198="Geprüft",Programme_Grunddaten!AW198&lt;&gt;""),Programme_Grunddaten!AW198,"")</f>
        <v/>
      </c>
      <c r="I193" t="str">
        <f>IF(AND(Programme_Grunddaten!$A198="Geprüft",Programme_Grunddaten!AX198&lt;&gt;""),Programme_Grunddaten!AX198,"")</f>
        <v/>
      </c>
    </row>
    <row r="194" spans="1:9" x14ac:dyDescent="0.3">
      <c r="A194" s="1" t="str">
        <f>IF(AND(Programme_Grunddaten!$A199="Geprüft",Programme_Grunddaten!B199&lt;&gt;""),Programme_Grunddaten!B199,"")</f>
        <v/>
      </c>
      <c r="B194" s="1" t="str">
        <f>IF(AND(Programme_Grunddaten!$A199="Geprüft",Programme_Grunddaten!C199&lt;&gt;""),Programme_Grunddaten!C199,"")</f>
        <v/>
      </c>
      <c r="C194" s="1" t="str">
        <f>IF(AND(Programme_Grunddaten!$A199="Geprüft",Programme_Grunddaten!D199&lt;&gt;""),Programme_Grunddaten!D199,"")</f>
        <v/>
      </c>
      <c r="D194" s="2" t="str">
        <f>IF(AND(Programme_Grunddaten!$A199="Geprüft",Programme_Grunddaten!E199&lt;&gt;""),Programme_Grunddaten!E199,"")</f>
        <v/>
      </c>
      <c r="E194" t="str">
        <f>IF(AND(Programme_Grunddaten!$A199="Geprüft",Programme_Grunddaten!G199&lt;&gt;""),Programme_Grunddaten!G199,"")</f>
        <v/>
      </c>
      <c r="F194" t="str">
        <f>IF(AND(Programme_Grunddaten!$A199="Geprüft",Programme_Grunddaten!F199&lt;&gt;""),Programme_Grunddaten!F199,"")</f>
        <v/>
      </c>
      <c r="G194" s="3" t="str">
        <f>IF(AND(Programme_Grunddaten!$A199="Geprüft",Programme_Grunddaten!S199&lt;&gt;""),Programme_Grunddaten!S199,"")</f>
        <v/>
      </c>
      <c r="H194" t="str">
        <f>IF(AND(Programme_Grunddaten!$A199="Geprüft",Programme_Grunddaten!AW199&lt;&gt;""),Programme_Grunddaten!AW199,"")</f>
        <v/>
      </c>
      <c r="I194" t="str">
        <f>IF(AND(Programme_Grunddaten!$A199="Geprüft",Programme_Grunddaten!AX199&lt;&gt;""),Programme_Grunddaten!AX199,"")</f>
        <v/>
      </c>
    </row>
    <row r="195" spans="1:9" x14ac:dyDescent="0.3">
      <c r="A195" s="1" t="str">
        <f>IF(AND(Programme_Grunddaten!$A200="Geprüft",Programme_Grunddaten!B200&lt;&gt;""),Programme_Grunddaten!B200,"")</f>
        <v/>
      </c>
      <c r="B195" s="1" t="str">
        <f>IF(AND(Programme_Grunddaten!$A200="Geprüft",Programme_Grunddaten!C200&lt;&gt;""),Programme_Grunddaten!C200,"")</f>
        <v/>
      </c>
      <c r="C195" s="1" t="str">
        <f>IF(AND(Programme_Grunddaten!$A200="Geprüft",Programme_Grunddaten!D200&lt;&gt;""),Programme_Grunddaten!D200,"")</f>
        <v/>
      </c>
      <c r="D195" s="2" t="str">
        <f>IF(AND(Programme_Grunddaten!$A200="Geprüft",Programme_Grunddaten!E200&lt;&gt;""),Programme_Grunddaten!E200,"")</f>
        <v/>
      </c>
      <c r="E195" t="str">
        <f>IF(AND(Programme_Grunddaten!$A200="Geprüft",Programme_Grunddaten!G200&lt;&gt;""),Programme_Grunddaten!G200,"")</f>
        <v/>
      </c>
      <c r="F195" t="str">
        <f>IF(AND(Programme_Grunddaten!$A200="Geprüft",Programme_Grunddaten!F200&lt;&gt;""),Programme_Grunddaten!F200,"")</f>
        <v/>
      </c>
      <c r="G195" s="3" t="str">
        <f>IF(AND(Programme_Grunddaten!$A200="Geprüft",Programme_Grunddaten!S200&lt;&gt;""),Programme_Grunddaten!S200,"")</f>
        <v/>
      </c>
      <c r="H195" t="str">
        <f>IF(AND(Programme_Grunddaten!$A200="Geprüft",Programme_Grunddaten!AW200&lt;&gt;""),Programme_Grunddaten!AW200,"")</f>
        <v/>
      </c>
      <c r="I195" t="str">
        <f>IF(AND(Programme_Grunddaten!$A200="Geprüft",Programme_Grunddaten!AX200&lt;&gt;""),Programme_Grunddaten!AX200,"")</f>
        <v/>
      </c>
    </row>
    <row r="196" spans="1:9" x14ac:dyDescent="0.3">
      <c r="A196" s="1" t="str">
        <f>IF(AND(Programme_Grunddaten!$A201="Geprüft",Programme_Grunddaten!B201&lt;&gt;""),Programme_Grunddaten!B201,"")</f>
        <v/>
      </c>
      <c r="B196" s="1" t="str">
        <f>IF(AND(Programme_Grunddaten!$A201="Geprüft",Programme_Grunddaten!C201&lt;&gt;""),Programme_Grunddaten!C201,"")</f>
        <v/>
      </c>
      <c r="C196" s="1" t="str">
        <f>IF(AND(Programme_Grunddaten!$A201="Geprüft",Programme_Grunddaten!D201&lt;&gt;""),Programme_Grunddaten!D201,"")</f>
        <v/>
      </c>
      <c r="D196" s="2" t="str">
        <f>IF(AND(Programme_Grunddaten!$A201="Geprüft",Programme_Grunddaten!E201&lt;&gt;""),Programme_Grunddaten!E201,"")</f>
        <v/>
      </c>
      <c r="E196" t="str">
        <f>IF(AND(Programme_Grunddaten!$A201="Geprüft",Programme_Grunddaten!G201&lt;&gt;""),Programme_Grunddaten!G201,"")</f>
        <v/>
      </c>
      <c r="F196" t="str">
        <f>IF(AND(Programme_Grunddaten!$A201="Geprüft",Programme_Grunddaten!F201&lt;&gt;""),Programme_Grunddaten!F201,"")</f>
        <v/>
      </c>
      <c r="G196" s="3" t="str">
        <f>IF(AND(Programme_Grunddaten!$A201="Geprüft",Programme_Grunddaten!S201&lt;&gt;""),Programme_Grunddaten!S201,"")</f>
        <v/>
      </c>
      <c r="H196" t="str">
        <f>IF(AND(Programme_Grunddaten!$A201="Geprüft",Programme_Grunddaten!AW201&lt;&gt;""),Programme_Grunddaten!AW201,"")</f>
        <v/>
      </c>
      <c r="I196" t="str">
        <f>IF(AND(Programme_Grunddaten!$A201="Geprüft",Programme_Grunddaten!AX201&lt;&gt;""),Programme_Grunddaten!AX201,"")</f>
        <v/>
      </c>
    </row>
    <row r="197" spans="1:9" x14ac:dyDescent="0.3">
      <c r="A197" s="1" t="str">
        <f>IF(AND(Programme_Grunddaten!$A202="Geprüft",Programme_Grunddaten!B202&lt;&gt;""),Programme_Grunddaten!B202,"")</f>
        <v/>
      </c>
      <c r="B197" s="1" t="str">
        <f>IF(AND(Programme_Grunddaten!$A202="Geprüft",Programme_Grunddaten!C202&lt;&gt;""),Programme_Grunddaten!C202,"")</f>
        <v/>
      </c>
      <c r="C197" s="1" t="str">
        <f>IF(AND(Programme_Grunddaten!$A202="Geprüft",Programme_Grunddaten!D202&lt;&gt;""),Programme_Grunddaten!D202,"")</f>
        <v/>
      </c>
      <c r="D197" s="2" t="str">
        <f>IF(AND(Programme_Grunddaten!$A202="Geprüft",Programme_Grunddaten!E202&lt;&gt;""),Programme_Grunddaten!E202,"")</f>
        <v/>
      </c>
      <c r="E197" t="str">
        <f>IF(AND(Programme_Grunddaten!$A202="Geprüft",Programme_Grunddaten!G202&lt;&gt;""),Programme_Grunddaten!G202,"")</f>
        <v/>
      </c>
      <c r="F197" t="str">
        <f>IF(AND(Programme_Grunddaten!$A202="Geprüft",Programme_Grunddaten!F202&lt;&gt;""),Programme_Grunddaten!F202,"")</f>
        <v/>
      </c>
      <c r="G197" s="3" t="str">
        <f>IF(AND(Programme_Grunddaten!$A202="Geprüft",Programme_Grunddaten!S202&lt;&gt;""),Programme_Grunddaten!S202,"")</f>
        <v/>
      </c>
      <c r="H197" t="str">
        <f>IF(AND(Programme_Grunddaten!$A202="Geprüft",Programme_Grunddaten!AW202&lt;&gt;""),Programme_Grunddaten!AW202,"")</f>
        <v/>
      </c>
      <c r="I197" t="str">
        <f>IF(AND(Programme_Grunddaten!$A202="Geprüft",Programme_Grunddaten!AX202&lt;&gt;""),Programme_Grunddaten!AX202,"")</f>
        <v/>
      </c>
    </row>
    <row r="198" spans="1:9" x14ac:dyDescent="0.3">
      <c r="A198" s="1" t="str">
        <f>IF(AND(Programme_Grunddaten!$A203="Geprüft",Programme_Grunddaten!B203&lt;&gt;""),Programme_Grunddaten!B203,"")</f>
        <v/>
      </c>
      <c r="B198" s="1" t="str">
        <f>IF(AND(Programme_Grunddaten!$A203="Geprüft",Programme_Grunddaten!C203&lt;&gt;""),Programme_Grunddaten!C203,"")</f>
        <v/>
      </c>
      <c r="C198" s="1" t="str">
        <f>IF(AND(Programme_Grunddaten!$A203="Geprüft",Programme_Grunddaten!D203&lt;&gt;""),Programme_Grunddaten!D203,"")</f>
        <v/>
      </c>
      <c r="D198" s="2" t="str">
        <f>IF(AND(Programme_Grunddaten!$A203="Geprüft",Programme_Grunddaten!E203&lt;&gt;""),Programme_Grunddaten!E203,"")</f>
        <v/>
      </c>
      <c r="E198" t="str">
        <f>IF(AND(Programme_Grunddaten!$A203="Geprüft",Programme_Grunddaten!G203&lt;&gt;""),Programme_Grunddaten!G203,"")</f>
        <v/>
      </c>
      <c r="F198" t="str">
        <f>IF(AND(Programme_Grunddaten!$A203="Geprüft",Programme_Grunddaten!F203&lt;&gt;""),Programme_Grunddaten!F203,"")</f>
        <v/>
      </c>
      <c r="G198" s="3" t="str">
        <f>IF(AND(Programme_Grunddaten!$A203="Geprüft",Programme_Grunddaten!S203&lt;&gt;""),Programme_Grunddaten!S203,"")</f>
        <v/>
      </c>
      <c r="H198" t="str">
        <f>IF(AND(Programme_Grunddaten!$A203="Geprüft",Programme_Grunddaten!AW203&lt;&gt;""),Programme_Grunddaten!AW203,"")</f>
        <v/>
      </c>
      <c r="I198" t="str">
        <f>IF(AND(Programme_Grunddaten!$A203="Geprüft",Programme_Grunddaten!AX203&lt;&gt;""),Programme_Grunddaten!AX203,"")</f>
        <v/>
      </c>
    </row>
    <row r="199" spans="1:9" x14ac:dyDescent="0.3">
      <c r="A199" s="1" t="str">
        <f>IF(AND(Programme_Grunddaten!$A204="Geprüft",Programme_Grunddaten!B204&lt;&gt;""),Programme_Grunddaten!B204,"")</f>
        <v/>
      </c>
      <c r="B199" s="1" t="str">
        <f>IF(AND(Programme_Grunddaten!$A204="Geprüft",Programme_Grunddaten!C204&lt;&gt;""),Programme_Grunddaten!C204,"")</f>
        <v/>
      </c>
      <c r="C199" s="1" t="str">
        <f>IF(AND(Programme_Grunddaten!$A204="Geprüft",Programme_Grunddaten!D204&lt;&gt;""),Programme_Grunddaten!D204,"")</f>
        <v/>
      </c>
      <c r="D199" s="2" t="str">
        <f>IF(AND(Programme_Grunddaten!$A204="Geprüft",Programme_Grunddaten!E204&lt;&gt;""),Programme_Grunddaten!E204,"")</f>
        <v/>
      </c>
      <c r="E199" t="str">
        <f>IF(AND(Programme_Grunddaten!$A204="Geprüft",Programme_Grunddaten!G204&lt;&gt;""),Programme_Grunddaten!G204,"")</f>
        <v/>
      </c>
      <c r="F199" t="str">
        <f>IF(AND(Programme_Grunddaten!$A204="Geprüft",Programme_Grunddaten!F204&lt;&gt;""),Programme_Grunddaten!F204,"")</f>
        <v/>
      </c>
      <c r="G199" s="3" t="str">
        <f>IF(AND(Programme_Grunddaten!$A204="Geprüft",Programme_Grunddaten!S204&lt;&gt;""),Programme_Grunddaten!S204,"")</f>
        <v/>
      </c>
      <c r="H199" t="str">
        <f>IF(AND(Programme_Grunddaten!$A204="Geprüft",Programme_Grunddaten!AW204&lt;&gt;""),Programme_Grunddaten!AW204,"")</f>
        <v/>
      </c>
      <c r="I199" t="str">
        <f>IF(AND(Programme_Grunddaten!$A204="Geprüft",Programme_Grunddaten!AX204&lt;&gt;""),Programme_Grunddaten!AX204,"")</f>
        <v/>
      </c>
    </row>
    <row r="200" spans="1:9" x14ac:dyDescent="0.3">
      <c r="A200" s="1" t="str">
        <f>IF(AND(Programme_Grunddaten!$A205="Geprüft",Programme_Grunddaten!B205&lt;&gt;""),Programme_Grunddaten!B205,"")</f>
        <v/>
      </c>
      <c r="B200" s="1" t="str">
        <f>IF(AND(Programme_Grunddaten!$A205="Geprüft",Programme_Grunddaten!C205&lt;&gt;""),Programme_Grunddaten!C205,"")</f>
        <v/>
      </c>
      <c r="C200" s="1" t="str">
        <f>IF(AND(Programme_Grunddaten!$A205="Geprüft",Programme_Grunddaten!D205&lt;&gt;""),Programme_Grunddaten!D205,"")</f>
        <v/>
      </c>
      <c r="D200" s="2" t="str">
        <f>IF(AND(Programme_Grunddaten!$A205="Geprüft",Programme_Grunddaten!E205&lt;&gt;""),Programme_Grunddaten!E205,"")</f>
        <v/>
      </c>
      <c r="E200" t="str">
        <f>IF(AND(Programme_Grunddaten!$A205="Geprüft",Programme_Grunddaten!G205&lt;&gt;""),Programme_Grunddaten!G205,"")</f>
        <v/>
      </c>
      <c r="F200" t="str">
        <f>IF(AND(Programme_Grunddaten!$A205="Geprüft",Programme_Grunddaten!F205&lt;&gt;""),Programme_Grunddaten!F205,"")</f>
        <v/>
      </c>
      <c r="G200" s="3" t="str">
        <f>IF(AND(Programme_Grunddaten!$A205="Geprüft",Programme_Grunddaten!S205&lt;&gt;""),Programme_Grunddaten!S205,"")</f>
        <v/>
      </c>
      <c r="H200" t="str">
        <f>IF(AND(Programme_Grunddaten!$A205="Geprüft",Programme_Grunddaten!AW205&lt;&gt;""),Programme_Grunddaten!AW205,"")</f>
        <v/>
      </c>
      <c r="I200" t="str">
        <f>IF(AND(Programme_Grunddaten!$A205="Geprüft",Programme_Grunddaten!AX205&lt;&gt;""),Programme_Grunddaten!AX205,"")</f>
        <v/>
      </c>
    </row>
    <row r="201" spans="1:9" x14ac:dyDescent="0.3">
      <c r="A201" s="1" t="str">
        <f>IF(AND(Programme_Grunddaten!$A206="Geprüft",Programme_Grunddaten!B206&lt;&gt;""),Programme_Grunddaten!B206,"")</f>
        <v/>
      </c>
      <c r="B201" s="1" t="str">
        <f>IF(AND(Programme_Grunddaten!$A206="Geprüft",Programme_Grunddaten!C206&lt;&gt;""),Programme_Grunddaten!C206,"")</f>
        <v/>
      </c>
      <c r="C201" s="1" t="str">
        <f>IF(AND(Programme_Grunddaten!$A206="Geprüft",Programme_Grunddaten!D206&lt;&gt;""),Programme_Grunddaten!D206,"")</f>
        <v/>
      </c>
      <c r="D201" s="2" t="str">
        <f>IF(AND(Programme_Grunddaten!$A206="Geprüft",Programme_Grunddaten!E206&lt;&gt;""),Programme_Grunddaten!E206,"")</f>
        <v/>
      </c>
      <c r="E201" t="str">
        <f>IF(AND(Programme_Grunddaten!$A206="Geprüft",Programme_Grunddaten!G206&lt;&gt;""),Programme_Grunddaten!G206,"")</f>
        <v/>
      </c>
      <c r="F201" t="str">
        <f>IF(AND(Programme_Grunddaten!$A206="Geprüft",Programme_Grunddaten!F206&lt;&gt;""),Programme_Grunddaten!F206,"")</f>
        <v/>
      </c>
      <c r="G201" s="3" t="str">
        <f>IF(AND(Programme_Grunddaten!$A206="Geprüft",Programme_Grunddaten!S206&lt;&gt;""),Programme_Grunddaten!S206,"")</f>
        <v/>
      </c>
      <c r="H201" t="str">
        <f>IF(AND(Programme_Grunddaten!$A206="Geprüft",Programme_Grunddaten!AW206&lt;&gt;""),Programme_Grunddaten!AW206,"")</f>
        <v/>
      </c>
      <c r="I201" t="str">
        <f>IF(AND(Programme_Grunddaten!$A206="Geprüft",Programme_Grunddaten!AX206&lt;&gt;""),Programme_Grunddaten!AX206,"")</f>
        <v/>
      </c>
    </row>
    <row r="202" spans="1:9" x14ac:dyDescent="0.3">
      <c r="A202" s="1" t="str">
        <f>IF(AND(Programme_Grunddaten!$A207="Geprüft",Programme_Grunddaten!B207&lt;&gt;""),Programme_Grunddaten!B207,"")</f>
        <v/>
      </c>
      <c r="B202" s="1" t="str">
        <f>IF(AND(Programme_Grunddaten!$A207="Geprüft",Programme_Grunddaten!C207&lt;&gt;""),Programme_Grunddaten!C207,"")</f>
        <v/>
      </c>
      <c r="C202" s="1" t="str">
        <f>IF(AND(Programme_Grunddaten!$A207="Geprüft",Programme_Grunddaten!D207&lt;&gt;""),Programme_Grunddaten!D207,"")</f>
        <v/>
      </c>
      <c r="D202" s="2" t="str">
        <f>IF(AND(Programme_Grunddaten!$A207="Geprüft",Programme_Grunddaten!E207&lt;&gt;""),Programme_Grunddaten!E207,"")</f>
        <v/>
      </c>
      <c r="E202" t="str">
        <f>IF(AND(Programme_Grunddaten!$A207="Geprüft",Programme_Grunddaten!G207&lt;&gt;""),Programme_Grunddaten!G207,"")</f>
        <v/>
      </c>
      <c r="F202" t="str">
        <f>IF(AND(Programme_Grunddaten!$A207="Geprüft",Programme_Grunddaten!F207&lt;&gt;""),Programme_Grunddaten!F207,"")</f>
        <v/>
      </c>
      <c r="G202" s="3" t="str">
        <f>IF(AND(Programme_Grunddaten!$A207="Geprüft",Programme_Grunddaten!S207&lt;&gt;""),Programme_Grunddaten!S207,"")</f>
        <v/>
      </c>
      <c r="H202" t="str">
        <f>IF(AND(Programme_Grunddaten!$A207="Geprüft",Programme_Grunddaten!AW207&lt;&gt;""),Programme_Grunddaten!AW207,"")</f>
        <v/>
      </c>
      <c r="I202" t="str">
        <f>IF(AND(Programme_Grunddaten!$A207="Geprüft",Programme_Grunddaten!AX207&lt;&gt;""),Programme_Grunddaten!AX207,"")</f>
        <v/>
      </c>
    </row>
    <row r="203" spans="1:9" x14ac:dyDescent="0.3">
      <c r="A203" s="1" t="str">
        <f>IF(AND(Programme_Grunddaten!$A208="Geprüft",Programme_Grunddaten!B208&lt;&gt;""),Programme_Grunddaten!B208,"")</f>
        <v/>
      </c>
      <c r="B203" s="1" t="str">
        <f>IF(AND(Programme_Grunddaten!$A208="Geprüft",Programme_Grunddaten!C208&lt;&gt;""),Programme_Grunddaten!C208,"")</f>
        <v/>
      </c>
      <c r="C203" s="1" t="str">
        <f>IF(AND(Programme_Grunddaten!$A208="Geprüft",Programme_Grunddaten!D208&lt;&gt;""),Programme_Grunddaten!D208,"")</f>
        <v/>
      </c>
      <c r="D203" s="2" t="str">
        <f>IF(AND(Programme_Grunddaten!$A208="Geprüft",Programme_Grunddaten!E208&lt;&gt;""),Programme_Grunddaten!E208,"")</f>
        <v/>
      </c>
      <c r="E203" t="str">
        <f>IF(AND(Programme_Grunddaten!$A208="Geprüft",Programme_Grunddaten!G208&lt;&gt;""),Programme_Grunddaten!G208,"")</f>
        <v/>
      </c>
      <c r="F203" t="str">
        <f>IF(AND(Programme_Grunddaten!$A208="Geprüft",Programme_Grunddaten!F208&lt;&gt;""),Programme_Grunddaten!F208,"")</f>
        <v/>
      </c>
      <c r="G203" s="3" t="str">
        <f>IF(AND(Programme_Grunddaten!$A208="Geprüft",Programme_Grunddaten!S208&lt;&gt;""),Programme_Grunddaten!S208,"")</f>
        <v/>
      </c>
      <c r="H203" t="str">
        <f>IF(AND(Programme_Grunddaten!$A208="Geprüft",Programme_Grunddaten!AW208&lt;&gt;""),Programme_Grunddaten!AW208,"")</f>
        <v/>
      </c>
      <c r="I203" t="str">
        <f>IF(AND(Programme_Grunddaten!$A208="Geprüft",Programme_Grunddaten!AX208&lt;&gt;""),Programme_Grunddaten!AX208,"")</f>
        <v/>
      </c>
    </row>
    <row r="204" spans="1:9" x14ac:dyDescent="0.3">
      <c r="A204" s="1" t="str">
        <f>IF(AND(Programme_Grunddaten!$A209="Geprüft",Programme_Grunddaten!B209&lt;&gt;""),Programme_Grunddaten!B209,"")</f>
        <v/>
      </c>
      <c r="B204" s="1" t="str">
        <f>IF(AND(Programme_Grunddaten!$A209="Geprüft",Programme_Grunddaten!C209&lt;&gt;""),Programme_Grunddaten!C209,"")</f>
        <v/>
      </c>
      <c r="C204" s="1" t="str">
        <f>IF(AND(Programme_Grunddaten!$A209="Geprüft",Programme_Grunddaten!D209&lt;&gt;""),Programme_Grunddaten!D209,"")</f>
        <v/>
      </c>
      <c r="D204" s="2" t="str">
        <f>IF(AND(Programme_Grunddaten!$A209="Geprüft",Programme_Grunddaten!E209&lt;&gt;""),Programme_Grunddaten!E209,"")</f>
        <v/>
      </c>
      <c r="E204" t="str">
        <f>IF(AND(Programme_Grunddaten!$A209="Geprüft",Programme_Grunddaten!G209&lt;&gt;""),Programme_Grunddaten!G209,"")</f>
        <v/>
      </c>
      <c r="F204" t="str">
        <f>IF(AND(Programme_Grunddaten!$A209="Geprüft",Programme_Grunddaten!F209&lt;&gt;""),Programme_Grunddaten!F209,"")</f>
        <v/>
      </c>
      <c r="G204" s="3" t="str">
        <f>IF(AND(Programme_Grunddaten!$A209="Geprüft",Programme_Grunddaten!S209&lt;&gt;""),Programme_Grunddaten!S209,"")</f>
        <v/>
      </c>
      <c r="H204" t="str">
        <f>IF(AND(Programme_Grunddaten!$A209="Geprüft",Programme_Grunddaten!AW209&lt;&gt;""),Programme_Grunddaten!AW209,"")</f>
        <v/>
      </c>
      <c r="I204" t="str">
        <f>IF(AND(Programme_Grunddaten!$A209="Geprüft",Programme_Grunddaten!AX209&lt;&gt;""),Programme_Grunddaten!AX209,"")</f>
        <v/>
      </c>
    </row>
    <row r="205" spans="1:9" x14ac:dyDescent="0.3">
      <c r="A205" s="1" t="str">
        <f>IF(AND(Programme_Grunddaten!$A210="Geprüft",Programme_Grunddaten!B210&lt;&gt;""),Programme_Grunddaten!B210,"")</f>
        <v/>
      </c>
      <c r="B205" s="1" t="str">
        <f>IF(AND(Programme_Grunddaten!$A210="Geprüft",Programme_Grunddaten!C210&lt;&gt;""),Programme_Grunddaten!C210,"")</f>
        <v/>
      </c>
      <c r="C205" s="1" t="str">
        <f>IF(AND(Programme_Grunddaten!$A210="Geprüft",Programme_Grunddaten!D210&lt;&gt;""),Programme_Grunddaten!D210,"")</f>
        <v/>
      </c>
      <c r="D205" s="2" t="str">
        <f>IF(AND(Programme_Grunddaten!$A210="Geprüft",Programme_Grunddaten!E210&lt;&gt;""),Programme_Grunddaten!E210,"")</f>
        <v/>
      </c>
      <c r="E205" t="str">
        <f>IF(AND(Programme_Grunddaten!$A210="Geprüft",Programme_Grunddaten!G210&lt;&gt;""),Programme_Grunddaten!G210,"")</f>
        <v/>
      </c>
      <c r="F205" t="str">
        <f>IF(AND(Programme_Grunddaten!$A210="Geprüft",Programme_Grunddaten!F210&lt;&gt;""),Programme_Grunddaten!F210,"")</f>
        <v/>
      </c>
      <c r="G205" s="3" t="str">
        <f>IF(AND(Programme_Grunddaten!$A210="Geprüft",Programme_Grunddaten!S210&lt;&gt;""),Programme_Grunddaten!S210,"")</f>
        <v/>
      </c>
      <c r="H205" t="str">
        <f>IF(AND(Programme_Grunddaten!$A210="Geprüft",Programme_Grunddaten!AW210&lt;&gt;""),Programme_Grunddaten!AW210,"")</f>
        <v/>
      </c>
      <c r="I205" t="str">
        <f>IF(AND(Programme_Grunddaten!$A210="Geprüft",Programme_Grunddaten!AX210&lt;&gt;""),Programme_Grunddaten!AX210,"")</f>
        <v/>
      </c>
    </row>
    <row r="206" spans="1:9" x14ac:dyDescent="0.3">
      <c r="A206" s="1" t="str">
        <f>IF(AND(Programme_Grunddaten!$A211="Geprüft",Programme_Grunddaten!B211&lt;&gt;""),Programme_Grunddaten!B211,"")</f>
        <v/>
      </c>
      <c r="B206" s="1" t="str">
        <f>IF(AND(Programme_Grunddaten!$A211="Geprüft",Programme_Grunddaten!C211&lt;&gt;""),Programme_Grunddaten!C211,"")</f>
        <v/>
      </c>
      <c r="C206" s="1" t="str">
        <f>IF(AND(Programme_Grunddaten!$A211="Geprüft",Programme_Grunddaten!D211&lt;&gt;""),Programme_Grunddaten!D211,"")</f>
        <v/>
      </c>
      <c r="D206" s="2" t="str">
        <f>IF(AND(Programme_Grunddaten!$A211="Geprüft",Programme_Grunddaten!E211&lt;&gt;""),Programme_Grunddaten!E211,"")</f>
        <v/>
      </c>
      <c r="E206" t="str">
        <f>IF(AND(Programme_Grunddaten!$A211="Geprüft",Programme_Grunddaten!G211&lt;&gt;""),Programme_Grunddaten!G211,"")</f>
        <v/>
      </c>
      <c r="F206" t="str">
        <f>IF(AND(Programme_Grunddaten!$A211="Geprüft",Programme_Grunddaten!F211&lt;&gt;""),Programme_Grunddaten!F211,"")</f>
        <v/>
      </c>
      <c r="G206" s="3" t="str">
        <f>IF(AND(Programme_Grunddaten!$A211="Geprüft",Programme_Grunddaten!S211&lt;&gt;""),Programme_Grunddaten!S211,"")</f>
        <v/>
      </c>
      <c r="H206" t="str">
        <f>IF(AND(Programme_Grunddaten!$A211="Geprüft",Programme_Grunddaten!AW211&lt;&gt;""),Programme_Grunddaten!AW211,"")</f>
        <v/>
      </c>
      <c r="I206" t="str">
        <f>IF(AND(Programme_Grunddaten!$A211="Geprüft",Programme_Grunddaten!AX211&lt;&gt;""),Programme_Grunddaten!AX211,"")</f>
        <v/>
      </c>
    </row>
    <row r="207" spans="1:9" x14ac:dyDescent="0.3">
      <c r="A207" s="1" t="str">
        <f>IF(AND(Programme_Grunddaten!$A212="Geprüft",Programme_Grunddaten!B212&lt;&gt;""),Programme_Grunddaten!B212,"")</f>
        <v/>
      </c>
      <c r="B207" s="1" t="str">
        <f>IF(AND(Programme_Grunddaten!$A212="Geprüft",Programme_Grunddaten!C212&lt;&gt;""),Programme_Grunddaten!C212,"")</f>
        <v/>
      </c>
      <c r="C207" s="1" t="str">
        <f>IF(AND(Programme_Grunddaten!$A212="Geprüft",Programme_Grunddaten!D212&lt;&gt;""),Programme_Grunddaten!D212,"")</f>
        <v/>
      </c>
      <c r="D207" s="2" t="str">
        <f>IF(AND(Programme_Grunddaten!$A212="Geprüft",Programme_Grunddaten!E212&lt;&gt;""),Programme_Grunddaten!E212,"")</f>
        <v/>
      </c>
      <c r="E207" t="str">
        <f>IF(AND(Programme_Grunddaten!$A212="Geprüft",Programme_Grunddaten!G212&lt;&gt;""),Programme_Grunddaten!G212,"")</f>
        <v/>
      </c>
      <c r="F207" t="str">
        <f>IF(AND(Programme_Grunddaten!$A212="Geprüft",Programme_Grunddaten!F212&lt;&gt;""),Programme_Grunddaten!F212,"")</f>
        <v/>
      </c>
      <c r="G207" s="3" t="str">
        <f>IF(AND(Programme_Grunddaten!$A212="Geprüft",Programme_Grunddaten!S212&lt;&gt;""),Programme_Grunddaten!S212,"")</f>
        <v/>
      </c>
      <c r="H207" t="str">
        <f>IF(AND(Programme_Grunddaten!$A212="Geprüft",Programme_Grunddaten!AW212&lt;&gt;""),Programme_Grunddaten!AW212,"")</f>
        <v/>
      </c>
      <c r="I207" t="str">
        <f>IF(AND(Programme_Grunddaten!$A212="Geprüft",Programme_Grunddaten!AX212&lt;&gt;""),Programme_Grunddaten!AX212,"")</f>
        <v/>
      </c>
    </row>
    <row r="208" spans="1:9" x14ac:dyDescent="0.3">
      <c r="A208" s="1" t="str">
        <f>IF(AND(Programme_Grunddaten!$A213="Geprüft",Programme_Grunddaten!B213&lt;&gt;""),Programme_Grunddaten!B213,"")</f>
        <v/>
      </c>
      <c r="B208" s="1" t="str">
        <f>IF(AND(Programme_Grunddaten!$A213="Geprüft",Programme_Grunddaten!C213&lt;&gt;""),Programme_Grunddaten!C213,"")</f>
        <v/>
      </c>
      <c r="C208" s="1" t="str">
        <f>IF(AND(Programme_Grunddaten!$A213="Geprüft",Programme_Grunddaten!D213&lt;&gt;""),Programme_Grunddaten!D213,"")</f>
        <v/>
      </c>
      <c r="D208" s="2" t="str">
        <f>IF(AND(Programme_Grunddaten!$A213="Geprüft",Programme_Grunddaten!E213&lt;&gt;""),Programme_Grunddaten!E213,"")</f>
        <v/>
      </c>
      <c r="E208" t="str">
        <f>IF(AND(Programme_Grunddaten!$A213="Geprüft",Programme_Grunddaten!G213&lt;&gt;""),Programme_Grunddaten!G213,"")</f>
        <v/>
      </c>
      <c r="F208" t="str">
        <f>IF(AND(Programme_Grunddaten!$A213="Geprüft",Programme_Grunddaten!F213&lt;&gt;""),Programme_Grunddaten!F213,"")</f>
        <v/>
      </c>
      <c r="G208" s="3" t="str">
        <f>IF(AND(Programme_Grunddaten!$A213="Geprüft",Programme_Grunddaten!S213&lt;&gt;""),Programme_Grunddaten!S213,"")</f>
        <v/>
      </c>
      <c r="H208" t="str">
        <f>IF(AND(Programme_Grunddaten!$A213="Geprüft",Programme_Grunddaten!AW213&lt;&gt;""),Programme_Grunddaten!AW213,"")</f>
        <v/>
      </c>
      <c r="I208" t="str">
        <f>IF(AND(Programme_Grunddaten!$A213="Geprüft",Programme_Grunddaten!AX213&lt;&gt;""),Programme_Grunddaten!AX213,"")</f>
        <v/>
      </c>
    </row>
    <row r="209" spans="1:9" x14ac:dyDescent="0.3">
      <c r="A209" s="1" t="str">
        <f>IF(AND(Programme_Grunddaten!$A214="Geprüft",Programme_Grunddaten!B214&lt;&gt;""),Programme_Grunddaten!B214,"")</f>
        <v/>
      </c>
      <c r="B209" s="1" t="str">
        <f>IF(AND(Programme_Grunddaten!$A214="Geprüft",Programme_Grunddaten!C214&lt;&gt;""),Programme_Grunddaten!C214,"")</f>
        <v/>
      </c>
      <c r="C209" s="1" t="str">
        <f>IF(AND(Programme_Grunddaten!$A214="Geprüft",Programme_Grunddaten!D214&lt;&gt;""),Programme_Grunddaten!D214,"")</f>
        <v/>
      </c>
      <c r="D209" s="2" t="str">
        <f>IF(AND(Programme_Grunddaten!$A214="Geprüft",Programme_Grunddaten!E214&lt;&gt;""),Programme_Grunddaten!E214,"")</f>
        <v/>
      </c>
      <c r="E209" t="str">
        <f>IF(AND(Programme_Grunddaten!$A214="Geprüft",Programme_Grunddaten!G214&lt;&gt;""),Programme_Grunddaten!G214,"")</f>
        <v/>
      </c>
      <c r="F209" t="str">
        <f>IF(AND(Programme_Grunddaten!$A214="Geprüft",Programme_Grunddaten!F214&lt;&gt;""),Programme_Grunddaten!F214,"")</f>
        <v/>
      </c>
      <c r="G209" s="3" t="str">
        <f>IF(AND(Programme_Grunddaten!$A214="Geprüft",Programme_Grunddaten!S214&lt;&gt;""),Programme_Grunddaten!S214,"")</f>
        <v/>
      </c>
      <c r="H209" t="str">
        <f>IF(AND(Programme_Grunddaten!$A214="Geprüft",Programme_Grunddaten!AW214&lt;&gt;""),Programme_Grunddaten!AW214,"")</f>
        <v/>
      </c>
      <c r="I209" t="str">
        <f>IF(AND(Programme_Grunddaten!$A214="Geprüft",Programme_Grunddaten!AX214&lt;&gt;""),Programme_Grunddaten!AX214,"")</f>
        <v/>
      </c>
    </row>
    <row r="210" spans="1:9" x14ac:dyDescent="0.3">
      <c r="A210" s="1" t="str">
        <f>IF(AND(Programme_Grunddaten!$A215="Geprüft",Programme_Grunddaten!B215&lt;&gt;""),Programme_Grunddaten!B215,"")</f>
        <v/>
      </c>
      <c r="B210" s="1" t="str">
        <f>IF(AND(Programme_Grunddaten!$A215="Geprüft",Programme_Grunddaten!C215&lt;&gt;""),Programme_Grunddaten!C215,"")</f>
        <v/>
      </c>
      <c r="C210" s="1" t="str">
        <f>IF(AND(Programme_Grunddaten!$A215="Geprüft",Programme_Grunddaten!D215&lt;&gt;""),Programme_Grunddaten!D215,"")</f>
        <v/>
      </c>
      <c r="D210" s="2" t="str">
        <f>IF(AND(Programme_Grunddaten!$A215="Geprüft",Programme_Grunddaten!E215&lt;&gt;""),Programme_Grunddaten!E215,"")</f>
        <v/>
      </c>
      <c r="E210" t="str">
        <f>IF(AND(Programme_Grunddaten!$A215="Geprüft",Programme_Grunddaten!G215&lt;&gt;""),Programme_Grunddaten!G215,"")</f>
        <v/>
      </c>
      <c r="F210" t="str">
        <f>IF(AND(Programme_Grunddaten!$A215="Geprüft",Programme_Grunddaten!F215&lt;&gt;""),Programme_Grunddaten!F215,"")</f>
        <v/>
      </c>
      <c r="G210" s="3" t="str">
        <f>IF(AND(Programme_Grunddaten!$A215="Geprüft",Programme_Grunddaten!S215&lt;&gt;""),Programme_Grunddaten!S215,"")</f>
        <v/>
      </c>
      <c r="H210" t="str">
        <f>IF(AND(Programme_Grunddaten!$A215="Geprüft",Programme_Grunddaten!AW215&lt;&gt;""),Programme_Grunddaten!AW215,"")</f>
        <v/>
      </c>
      <c r="I210" t="str">
        <f>IF(AND(Programme_Grunddaten!$A215="Geprüft",Programme_Grunddaten!AX215&lt;&gt;""),Programme_Grunddaten!AX215,"")</f>
        <v/>
      </c>
    </row>
    <row r="211" spans="1:9" x14ac:dyDescent="0.3">
      <c r="A211" s="1" t="str">
        <f>IF(AND(Programme_Grunddaten!$A216="Geprüft",Programme_Grunddaten!B216&lt;&gt;""),Programme_Grunddaten!B216,"")</f>
        <v/>
      </c>
      <c r="B211" s="1" t="str">
        <f>IF(AND(Programme_Grunddaten!$A216="Geprüft",Programme_Grunddaten!C216&lt;&gt;""),Programme_Grunddaten!C216,"")</f>
        <v/>
      </c>
      <c r="C211" s="1" t="str">
        <f>IF(AND(Programme_Grunddaten!$A216="Geprüft",Programme_Grunddaten!D216&lt;&gt;""),Programme_Grunddaten!D216,"")</f>
        <v/>
      </c>
      <c r="D211" s="2" t="str">
        <f>IF(AND(Programme_Grunddaten!$A216="Geprüft",Programme_Grunddaten!E216&lt;&gt;""),Programme_Grunddaten!E216,"")</f>
        <v/>
      </c>
      <c r="E211" t="str">
        <f>IF(AND(Programme_Grunddaten!$A216="Geprüft",Programme_Grunddaten!G216&lt;&gt;""),Programme_Grunddaten!G216,"")</f>
        <v/>
      </c>
      <c r="F211" t="str">
        <f>IF(AND(Programme_Grunddaten!$A216="Geprüft",Programme_Grunddaten!F216&lt;&gt;""),Programme_Grunddaten!F216,"")</f>
        <v/>
      </c>
      <c r="G211" s="3" t="str">
        <f>IF(AND(Programme_Grunddaten!$A216="Geprüft",Programme_Grunddaten!S216&lt;&gt;""),Programme_Grunddaten!S216,"")</f>
        <v/>
      </c>
      <c r="H211" t="str">
        <f>IF(AND(Programme_Grunddaten!$A216="Geprüft",Programme_Grunddaten!AW216&lt;&gt;""),Programme_Grunddaten!AW216,"")</f>
        <v/>
      </c>
      <c r="I211" t="str">
        <f>IF(AND(Programme_Grunddaten!$A216="Geprüft",Programme_Grunddaten!AX216&lt;&gt;""),Programme_Grunddaten!AX216,"")</f>
        <v/>
      </c>
    </row>
    <row r="212" spans="1:9" x14ac:dyDescent="0.3">
      <c r="A212" s="1" t="str">
        <f>IF(AND(Programme_Grunddaten!$A217="Geprüft",Programme_Grunddaten!B217&lt;&gt;""),Programme_Grunddaten!B217,"")</f>
        <v/>
      </c>
      <c r="B212" s="1" t="str">
        <f>IF(AND(Programme_Grunddaten!$A217="Geprüft",Programme_Grunddaten!C217&lt;&gt;""),Programme_Grunddaten!C217,"")</f>
        <v/>
      </c>
      <c r="C212" s="1" t="str">
        <f>IF(AND(Programme_Grunddaten!$A217="Geprüft",Programme_Grunddaten!D217&lt;&gt;""),Programme_Grunddaten!D217,"")</f>
        <v/>
      </c>
      <c r="D212" s="2" t="str">
        <f>IF(AND(Programme_Grunddaten!$A217="Geprüft",Programme_Grunddaten!E217&lt;&gt;""),Programme_Grunddaten!E217,"")</f>
        <v/>
      </c>
      <c r="E212" t="str">
        <f>IF(AND(Programme_Grunddaten!$A217="Geprüft",Programme_Grunddaten!G217&lt;&gt;""),Programme_Grunddaten!G217,"")</f>
        <v/>
      </c>
      <c r="F212" t="str">
        <f>IF(AND(Programme_Grunddaten!$A217="Geprüft",Programme_Grunddaten!F217&lt;&gt;""),Programme_Grunddaten!F217,"")</f>
        <v/>
      </c>
      <c r="G212" s="3" t="str">
        <f>IF(AND(Programme_Grunddaten!$A217="Geprüft",Programme_Grunddaten!S217&lt;&gt;""),Programme_Grunddaten!S217,"")</f>
        <v/>
      </c>
      <c r="H212" t="str">
        <f>IF(AND(Programme_Grunddaten!$A217="Geprüft",Programme_Grunddaten!AW217&lt;&gt;""),Programme_Grunddaten!AW217,"")</f>
        <v/>
      </c>
      <c r="I212" t="str">
        <f>IF(AND(Programme_Grunddaten!$A217="Geprüft",Programme_Grunddaten!AX217&lt;&gt;""),Programme_Grunddaten!AX217,"")</f>
        <v/>
      </c>
    </row>
    <row r="213" spans="1:9" x14ac:dyDescent="0.3">
      <c r="A213" s="1" t="str">
        <f>IF(AND(Programme_Grunddaten!$A218="Geprüft",Programme_Grunddaten!B218&lt;&gt;""),Programme_Grunddaten!B218,"")</f>
        <v/>
      </c>
      <c r="B213" s="1" t="str">
        <f>IF(AND(Programme_Grunddaten!$A218="Geprüft",Programme_Grunddaten!C218&lt;&gt;""),Programme_Grunddaten!C218,"")</f>
        <v/>
      </c>
      <c r="C213" s="1" t="str">
        <f>IF(AND(Programme_Grunddaten!$A218="Geprüft",Programme_Grunddaten!D218&lt;&gt;""),Programme_Grunddaten!D218,"")</f>
        <v/>
      </c>
      <c r="D213" s="2" t="str">
        <f>IF(AND(Programme_Grunddaten!$A218="Geprüft",Programme_Grunddaten!E218&lt;&gt;""),Programme_Grunddaten!E218,"")</f>
        <v/>
      </c>
      <c r="E213" t="str">
        <f>IF(AND(Programme_Grunddaten!$A218="Geprüft",Programme_Grunddaten!G218&lt;&gt;""),Programme_Grunddaten!G218,"")</f>
        <v/>
      </c>
      <c r="F213" t="str">
        <f>IF(AND(Programme_Grunddaten!$A218="Geprüft",Programme_Grunddaten!F218&lt;&gt;""),Programme_Grunddaten!F218,"")</f>
        <v/>
      </c>
      <c r="G213" s="3" t="str">
        <f>IF(AND(Programme_Grunddaten!$A218="Geprüft",Programme_Grunddaten!S218&lt;&gt;""),Programme_Grunddaten!S218,"")</f>
        <v/>
      </c>
      <c r="H213" t="str">
        <f>IF(AND(Programme_Grunddaten!$A218="Geprüft",Programme_Grunddaten!AW218&lt;&gt;""),Programme_Grunddaten!AW218,"")</f>
        <v/>
      </c>
      <c r="I213" t="str">
        <f>IF(AND(Programme_Grunddaten!$A218="Geprüft",Programme_Grunddaten!AX218&lt;&gt;""),Programme_Grunddaten!AX218,"")</f>
        <v/>
      </c>
    </row>
    <row r="214" spans="1:9" x14ac:dyDescent="0.3">
      <c r="A214" s="1" t="str">
        <f>IF(AND(Programme_Grunddaten!$A219="Geprüft",Programme_Grunddaten!B219&lt;&gt;""),Programme_Grunddaten!B219,"")</f>
        <v/>
      </c>
      <c r="B214" s="1" t="str">
        <f>IF(AND(Programme_Grunddaten!$A219="Geprüft",Programme_Grunddaten!C219&lt;&gt;""),Programme_Grunddaten!C219,"")</f>
        <v/>
      </c>
      <c r="C214" s="1" t="str">
        <f>IF(AND(Programme_Grunddaten!$A219="Geprüft",Programme_Grunddaten!D219&lt;&gt;""),Programme_Grunddaten!D219,"")</f>
        <v/>
      </c>
      <c r="D214" s="2" t="str">
        <f>IF(AND(Programme_Grunddaten!$A219="Geprüft",Programme_Grunddaten!E219&lt;&gt;""),Programme_Grunddaten!E219,"")</f>
        <v/>
      </c>
      <c r="E214" t="str">
        <f>IF(AND(Programme_Grunddaten!$A219="Geprüft",Programme_Grunddaten!G219&lt;&gt;""),Programme_Grunddaten!G219,"")</f>
        <v/>
      </c>
      <c r="F214" t="str">
        <f>IF(AND(Programme_Grunddaten!$A219="Geprüft",Programme_Grunddaten!F219&lt;&gt;""),Programme_Grunddaten!F219,"")</f>
        <v/>
      </c>
      <c r="G214" s="3" t="str">
        <f>IF(AND(Programme_Grunddaten!$A219="Geprüft",Programme_Grunddaten!S219&lt;&gt;""),Programme_Grunddaten!S219,"")</f>
        <v/>
      </c>
      <c r="H214" t="str">
        <f>IF(AND(Programme_Grunddaten!$A219="Geprüft",Programme_Grunddaten!AW219&lt;&gt;""),Programme_Grunddaten!AW219,"")</f>
        <v/>
      </c>
      <c r="I214" t="str">
        <f>IF(AND(Programme_Grunddaten!$A219="Geprüft",Programme_Grunddaten!AX219&lt;&gt;""),Programme_Grunddaten!AX219,"")</f>
        <v/>
      </c>
    </row>
    <row r="215" spans="1:9" x14ac:dyDescent="0.3">
      <c r="A215" s="1" t="str">
        <f>IF(AND(Programme_Grunddaten!$A220="Geprüft",Programme_Grunddaten!B220&lt;&gt;""),Programme_Grunddaten!B220,"")</f>
        <v/>
      </c>
      <c r="B215" s="1" t="str">
        <f>IF(AND(Programme_Grunddaten!$A220="Geprüft",Programme_Grunddaten!C220&lt;&gt;""),Programme_Grunddaten!C220,"")</f>
        <v/>
      </c>
      <c r="C215" s="1" t="str">
        <f>IF(AND(Programme_Grunddaten!$A220="Geprüft",Programme_Grunddaten!D220&lt;&gt;""),Programme_Grunddaten!D220,"")</f>
        <v/>
      </c>
      <c r="D215" s="2" t="str">
        <f>IF(AND(Programme_Grunddaten!$A220="Geprüft",Programme_Grunddaten!E220&lt;&gt;""),Programme_Grunddaten!E220,"")</f>
        <v/>
      </c>
      <c r="E215" t="str">
        <f>IF(AND(Programme_Grunddaten!$A220="Geprüft",Programme_Grunddaten!G220&lt;&gt;""),Programme_Grunddaten!G220,"")</f>
        <v/>
      </c>
      <c r="F215" t="str">
        <f>IF(AND(Programme_Grunddaten!$A220="Geprüft",Programme_Grunddaten!F220&lt;&gt;""),Programme_Grunddaten!F220,"")</f>
        <v/>
      </c>
      <c r="G215" s="3" t="str">
        <f>IF(AND(Programme_Grunddaten!$A220="Geprüft",Programme_Grunddaten!S220&lt;&gt;""),Programme_Grunddaten!S220,"")</f>
        <v/>
      </c>
      <c r="H215" t="str">
        <f>IF(AND(Programme_Grunddaten!$A220="Geprüft",Programme_Grunddaten!AW220&lt;&gt;""),Programme_Grunddaten!AW220,"")</f>
        <v/>
      </c>
      <c r="I215" t="str">
        <f>IF(AND(Programme_Grunddaten!$A220="Geprüft",Programme_Grunddaten!AX220&lt;&gt;""),Programme_Grunddaten!AX220,"")</f>
        <v/>
      </c>
    </row>
    <row r="216" spans="1:9" x14ac:dyDescent="0.3">
      <c r="A216" s="1" t="str">
        <f>IF(AND(Programme_Grunddaten!$A221="Geprüft",Programme_Grunddaten!B221&lt;&gt;""),Programme_Grunddaten!B221,"")</f>
        <v/>
      </c>
      <c r="B216" s="1" t="str">
        <f>IF(AND(Programme_Grunddaten!$A221="Geprüft",Programme_Grunddaten!C221&lt;&gt;""),Programme_Grunddaten!C221,"")</f>
        <v/>
      </c>
      <c r="C216" s="1" t="str">
        <f>IF(AND(Programme_Grunddaten!$A221="Geprüft",Programme_Grunddaten!D221&lt;&gt;""),Programme_Grunddaten!D221,"")</f>
        <v/>
      </c>
      <c r="D216" s="2" t="str">
        <f>IF(AND(Programme_Grunddaten!$A221="Geprüft",Programme_Grunddaten!E221&lt;&gt;""),Programme_Grunddaten!E221,"")</f>
        <v/>
      </c>
      <c r="E216" t="str">
        <f>IF(AND(Programme_Grunddaten!$A221="Geprüft",Programme_Grunddaten!G221&lt;&gt;""),Programme_Grunddaten!G221,"")</f>
        <v/>
      </c>
      <c r="F216" t="str">
        <f>IF(AND(Programme_Grunddaten!$A221="Geprüft",Programme_Grunddaten!F221&lt;&gt;""),Programme_Grunddaten!F221,"")</f>
        <v/>
      </c>
      <c r="G216" s="3" t="str">
        <f>IF(AND(Programme_Grunddaten!$A221="Geprüft",Programme_Grunddaten!S221&lt;&gt;""),Programme_Grunddaten!S221,"")</f>
        <v/>
      </c>
      <c r="H216" t="str">
        <f>IF(AND(Programme_Grunddaten!$A221="Geprüft",Programme_Grunddaten!AW221&lt;&gt;""),Programme_Grunddaten!AW221,"")</f>
        <v/>
      </c>
      <c r="I216" t="str">
        <f>IF(AND(Programme_Grunddaten!$A221="Geprüft",Programme_Grunddaten!AX221&lt;&gt;""),Programme_Grunddaten!AX221,"")</f>
        <v/>
      </c>
    </row>
    <row r="217" spans="1:9" x14ac:dyDescent="0.3">
      <c r="A217" s="1" t="str">
        <f>IF(AND(Programme_Grunddaten!$A222="Geprüft",Programme_Grunddaten!B222&lt;&gt;""),Programme_Grunddaten!B222,"")</f>
        <v/>
      </c>
      <c r="B217" s="1" t="str">
        <f>IF(AND(Programme_Grunddaten!$A222="Geprüft",Programme_Grunddaten!C222&lt;&gt;""),Programme_Grunddaten!C222,"")</f>
        <v/>
      </c>
      <c r="C217" s="1" t="str">
        <f>IF(AND(Programme_Grunddaten!$A222="Geprüft",Programme_Grunddaten!D222&lt;&gt;""),Programme_Grunddaten!D222,"")</f>
        <v/>
      </c>
      <c r="D217" s="2" t="str">
        <f>IF(AND(Programme_Grunddaten!$A222="Geprüft",Programme_Grunddaten!E222&lt;&gt;""),Programme_Grunddaten!E222,"")</f>
        <v/>
      </c>
      <c r="E217" t="str">
        <f>IF(AND(Programme_Grunddaten!$A222="Geprüft",Programme_Grunddaten!G222&lt;&gt;""),Programme_Grunddaten!G222,"")</f>
        <v/>
      </c>
      <c r="F217" t="str">
        <f>IF(AND(Programme_Grunddaten!$A222="Geprüft",Programme_Grunddaten!F222&lt;&gt;""),Programme_Grunddaten!F222,"")</f>
        <v/>
      </c>
      <c r="G217" s="3" t="str">
        <f>IF(AND(Programme_Grunddaten!$A222="Geprüft",Programme_Grunddaten!S222&lt;&gt;""),Programme_Grunddaten!S222,"")</f>
        <v/>
      </c>
      <c r="H217" t="str">
        <f>IF(AND(Programme_Grunddaten!$A222="Geprüft",Programme_Grunddaten!AW222&lt;&gt;""),Programme_Grunddaten!AW222,"")</f>
        <v/>
      </c>
      <c r="I217" t="str">
        <f>IF(AND(Programme_Grunddaten!$A222="Geprüft",Programme_Grunddaten!AX222&lt;&gt;""),Programme_Grunddaten!AX222,"")</f>
        <v/>
      </c>
    </row>
    <row r="218" spans="1:9" x14ac:dyDescent="0.3">
      <c r="A218" s="1" t="str">
        <f>IF(AND(Programme_Grunddaten!$A223="Geprüft",Programme_Grunddaten!B223&lt;&gt;""),Programme_Grunddaten!B223,"")</f>
        <v/>
      </c>
      <c r="B218" s="1" t="str">
        <f>IF(AND(Programme_Grunddaten!$A223="Geprüft",Programme_Grunddaten!C223&lt;&gt;""),Programme_Grunddaten!C223,"")</f>
        <v/>
      </c>
      <c r="C218" s="1" t="str">
        <f>IF(AND(Programme_Grunddaten!$A223="Geprüft",Programme_Grunddaten!D223&lt;&gt;""),Programme_Grunddaten!D223,"")</f>
        <v/>
      </c>
      <c r="D218" s="2" t="str">
        <f>IF(AND(Programme_Grunddaten!$A223="Geprüft",Programme_Grunddaten!E223&lt;&gt;""),Programme_Grunddaten!E223,"")</f>
        <v/>
      </c>
      <c r="E218" t="str">
        <f>IF(AND(Programme_Grunddaten!$A223="Geprüft",Programme_Grunddaten!G223&lt;&gt;""),Programme_Grunddaten!G223,"")</f>
        <v/>
      </c>
      <c r="F218" t="str">
        <f>IF(AND(Programme_Grunddaten!$A223="Geprüft",Programme_Grunddaten!F223&lt;&gt;""),Programme_Grunddaten!F223,"")</f>
        <v/>
      </c>
      <c r="G218" s="3" t="str">
        <f>IF(AND(Programme_Grunddaten!$A223="Geprüft",Programme_Grunddaten!S223&lt;&gt;""),Programme_Grunddaten!S223,"")</f>
        <v/>
      </c>
      <c r="H218" t="str">
        <f>IF(AND(Programme_Grunddaten!$A223="Geprüft",Programme_Grunddaten!AW223&lt;&gt;""),Programme_Grunddaten!AW223,"")</f>
        <v/>
      </c>
      <c r="I218" t="str">
        <f>IF(AND(Programme_Grunddaten!$A223="Geprüft",Programme_Grunddaten!AX223&lt;&gt;""),Programme_Grunddaten!AX223,"")</f>
        <v/>
      </c>
    </row>
    <row r="219" spans="1:9" x14ac:dyDescent="0.3">
      <c r="A219" s="1" t="str">
        <f>IF(AND(Programme_Grunddaten!$A224="Geprüft",Programme_Grunddaten!B224&lt;&gt;""),Programme_Grunddaten!B224,"")</f>
        <v/>
      </c>
      <c r="B219" s="1" t="str">
        <f>IF(AND(Programme_Grunddaten!$A224="Geprüft",Programme_Grunddaten!C224&lt;&gt;""),Programme_Grunddaten!C224,"")</f>
        <v/>
      </c>
      <c r="C219" s="1" t="str">
        <f>IF(AND(Programme_Grunddaten!$A224="Geprüft",Programme_Grunddaten!D224&lt;&gt;""),Programme_Grunddaten!D224,"")</f>
        <v/>
      </c>
      <c r="D219" s="2" t="str">
        <f>IF(AND(Programme_Grunddaten!$A224="Geprüft",Programme_Grunddaten!E224&lt;&gt;""),Programme_Grunddaten!E224,"")</f>
        <v/>
      </c>
      <c r="E219" t="str">
        <f>IF(AND(Programme_Grunddaten!$A224="Geprüft",Programme_Grunddaten!G224&lt;&gt;""),Programme_Grunddaten!G224,"")</f>
        <v/>
      </c>
      <c r="F219" t="str">
        <f>IF(AND(Programme_Grunddaten!$A224="Geprüft",Programme_Grunddaten!F224&lt;&gt;""),Programme_Grunddaten!F224,"")</f>
        <v/>
      </c>
      <c r="G219" s="3" t="str">
        <f>IF(AND(Programme_Grunddaten!$A224="Geprüft",Programme_Grunddaten!S224&lt;&gt;""),Programme_Grunddaten!S224,"")</f>
        <v/>
      </c>
      <c r="H219" t="str">
        <f>IF(AND(Programme_Grunddaten!$A224="Geprüft",Programme_Grunddaten!AW224&lt;&gt;""),Programme_Grunddaten!AW224,"")</f>
        <v/>
      </c>
      <c r="I219" t="str">
        <f>IF(AND(Programme_Grunddaten!$A224="Geprüft",Programme_Grunddaten!AX224&lt;&gt;""),Programme_Grunddaten!AX224,"")</f>
        <v/>
      </c>
    </row>
    <row r="220" spans="1:9" x14ac:dyDescent="0.3">
      <c r="A220" s="1" t="str">
        <f>IF(AND(Programme_Grunddaten!$A225="Geprüft",Programme_Grunddaten!B225&lt;&gt;""),Programme_Grunddaten!B225,"")</f>
        <v/>
      </c>
      <c r="B220" s="1" t="str">
        <f>IF(AND(Programme_Grunddaten!$A225="Geprüft",Programme_Grunddaten!C225&lt;&gt;""),Programme_Grunddaten!C225,"")</f>
        <v/>
      </c>
      <c r="C220" s="1" t="str">
        <f>IF(AND(Programme_Grunddaten!$A225="Geprüft",Programme_Grunddaten!D225&lt;&gt;""),Programme_Grunddaten!D225,"")</f>
        <v/>
      </c>
      <c r="D220" s="2" t="str">
        <f>IF(AND(Programme_Grunddaten!$A225="Geprüft",Programme_Grunddaten!E225&lt;&gt;""),Programme_Grunddaten!E225,"")</f>
        <v/>
      </c>
      <c r="E220" t="str">
        <f>IF(AND(Programme_Grunddaten!$A225="Geprüft",Programme_Grunddaten!G225&lt;&gt;""),Programme_Grunddaten!G225,"")</f>
        <v/>
      </c>
      <c r="F220" t="str">
        <f>IF(AND(Programme_Grunddaten!$A225="Geprüft",Programme_Grunddaten!F225&lt;&gt;""),Programme_Grunddaten!F225,"")</f>
        <v/>
      </c>
      <c r="G220" s="3" t="str">
        <f>IF(AND(Programme_Grunddaten!$A225="Geprüft",Programme_Grunddaten!S225&lt;&gt;""),Programme_Grunddaten!S225,"")</f>
        <v/>
      </c>
      <c r="H220" t="str">
        <f>IF(AND(Programme_Grunddaten!$A225="Geprüft",Programme_Grunddaten!AW225&lt;&gt;""),Programme_Grunddaten!AW225,"")</f>
        <v/>
      </c>
      <c r="I220" t="str">
        <f>IF(AND(Programme_Grunddaten!$A225="Geprüft",Programme_Grunddaten!AX225&lt;&gt;""),Programme_Grunddaten!AX225,"")</f>
        <v/>
      </c>
    </row>
    <row r="221" spans="1:9" x14ac:dyDescent="0.3">
      <c r="A221" s="1" t="str">
        <f>IF(AND(Programme_Grunddaten!$A226="Geprüft",Programme_Grunddaten!B226&lt;&gt;""),Programme_Grunddaten!B226,"")</f>
        <v/>
      </c>
      <c r="B221" s="1" t="str">
        <f>IF(AND(Programme_Grunddaten!$A226="Geprüft",Programme_Grunddaten!C226&lt;&gt;""),Programme_Grunddaten!C226,"")</f>
        <v/>
      </c>
      <c r="C221" s="1" t="str">
        <f>IF(AND(Programme_Grunddaten!$A226="Geprüft",Programme_Grunddaten!D226&lt;&gt;""),Programme_Grunddaten!D226,"")</f>
        <v/>
      </c>
      <c r="D221" s="2" t="str">
        <f>IF(AND(Programme_Grunddaten!$A226="Geprüft",Programme_Grunddaten!E226&lt;&gt;""),Programme_Grunddaten!E226,"")</f>
        <v/>
      </c>
      <c r="E221" t="str">
        <f>IF(AND(Programme_Grunddaten!$A226="Geprüft",Programme_Grunddaten!G226&lt;&gt;""),Programme_Grunddaten!G226,"")</f>
        <v/>
      </c>
      <c r="F221" t="str">
        <f>IF(AND(Programme_Grunddaten!$A226="Geprüft",Programme_Grunddaten!F226&lt;&gt;""),Programme_Grunddaten!F226,"")</f>
        <v/>
      </c>
      <c r="G221" s="3" t="str">
        <f>IF(AND(Programme_Grunddaten!$A226="Geprüft",Programme_Grunddaten!S226&lt;&gt;""),Programme_Grunddaten!S226,"")</f>
        <v/>
      </c>
      <c r="H221" t="str">
        <f>IF(AND(Programme_Grunddaten!$A226="Geprüft",Programme_Grunddaten!AW226&lt;&gt;""),Programme_Grunddaten!AW226,"")</f>
        <v/>
      </c>
      <c r="I221" t="str">
        <f>IF(AND(Programme_Grunddaten!$A226="Geprüft",Programme_Grunddaten!AX226&lt;&gt;""),Programme_Grunddaten!AX226,"")</f>
        <v/>
      </c>
    </row>
    <row r="222" spans="1:9" x14ac:dyDescent="0.3">
      <c r="A222" s="1" t="str">
        <f>IF(AND(Programme_Grunddaten!$A227="Geprüft",Programme_Grunddaten!B227&lt;&gt;""),Programme_Grunddaten!B227,"")</f>
        <v/>
      </c>
      <c r="B222" s="1" t="str">
        <f>IF(AND(Programme_Grunddaten!$A227="Geprüft",Programme_Grunddaten!C227&lt;&gt;""),Programme_Grunddaten!C227,"")</f>
        <v/>
      </c>
      <c r="C222" s="1" t="str">
        <f>IF(AND(Programme_Grunddaten!$A227="Geprüft",Programme_Grunddaten!D227&lt;&gt;""),Programme_Grunddaten!D227,"")</f>
        <v/>
      </c>
      <c r="D222" s="2" t="str">
        <f>IF(AND(Programme_Grunddaten!$A227="Geprüft",Programme_Grunddaten!E227&lt;&gt;""),Programme_Grunddaten!E227,"")</f>
        <v/>
      </c>
      <c r="E222" t="str">
        <f>IF(AND(Programme_Grunddaten!$A227="Geprüft",Programme_Grunddaten!G227&lt;&gt;""),Programme_Grunddaten!G227,"")</f>
        <v/>
      </c>
      <c r="F222" t="str">
        <f>IF(AND(Programme_Grunddaten!$A227="Geprüft",Programme_Grunddaten!F227&lt;&gt;""),Programme_Grunddaten!F227,"")</f>
        <v/>
      </c>
      <c r="G222" s="3" t="str">
        <f>IF(AND(Programme_Grunddaten!$A227="Geprüft",Programme_Grunddaten!S227&lt;&gt;""),Programme_Grunddaten!S227,"")</f>
        <v/>
      </c>
      <c r="H222" t="str">
        <f>IF(AND(Programme_Grunddaten!$A227="Geprüft",Programme_Grunddaten!AW227&lt;&gt;""),Programme_Grunddaten!AW227,"")</f>
        <v/>
      </c>
      <c r="I222" t="str">
        <f>IF(AND(Programme_Grunddaten!$A227="Geprüft",Programme_Grunddaten!AX227&lt;&gt;""),Programme_Grunddaten!AX227,"")</f>
        <v/>
      </c>
    </row>
    <row r="223" spans="1:9" x14ac:dyDescent="0.3">
      <c r="A223" s="1" t="str">
        <f>IF(AND(Programme_Grunddaten!$A228="Geprüft",Programme_Grunddaten!B228&lt;&gt;""),Programme_Grunddaten!B228,"")</f>
        <v/>
      </c>
      <c r="B223" s="1" t="str">
        <f>IF(AND(Programme_Grunddaten!$A228="Geprüft",Programme_Grunddaten!C228&lt;&gt;""),Programme_Grunddaten!C228,"")</f>
        <v/>
      </c>
      <c r="C223" s="1" t="str">
        <f>IF(AND(Programme_Grunddaten!$A228="Geprüft",Programme_Grunddaten!D228&lt;&gt;""),Programme_Grunddaten!D228,"")</f>
        <v/>
      </c>
      <c r="D223" s="2" t="str">
        <f>IF(AND(Programme_Grunddaten!$A228="Geprüft",Programme_Grunddaten!E228&lt;&gt;""),Programme_Grunddaten!E228,"")</f>
        <v/>
      </c>
      <c r="E223" t="str">
        <f>IF(AND(Programme_Grunddaten!$A228="Geprüft",Programme_Grunddaten!G228&lt;&gt;""),Programme_Grunddaten!G228,"")</f>
        <v/>
      </c>
      <c r="F223" t="str">
        <f>IF(AND(Programme_Grunddaten!$A228="Geprüft",Programme_Grunddaten!F228&lt;&gt;""),Programme_Grunddaten!F228,"")</f>
        <v/>
      </c>
      <c r="G223" s="3" t="str">
        <f>IF(AND(Programme_Grunddaten!$A228="Geprüft",Programme_Grunddaten!S228&lt;&gt;""),Programme_Grunddaten!S228,"")</f>
        <v/>
      </c>
      <c r="H223" t="str">
        <f>IF(AND(Programme_Grunddaten!$A228="Geprüft",Programme_Grunddaten!AW228&lt;&gt;""),Programme_Grunddaten!AW228,"")</f>
        <v/>
      </c>
      <c r="I223" t="str">
        <f>IF(AND(Programme_Grunddaten!$A228="Geprüft",Programme_Grunddaten!AX228&lt;&gt;""),Programme_Grunddaten!AX228,"")</f>
        <v/>
      </c>
    </row>
    <row r="224" spans="1:9" x14ac:dyDescent="0.3">
      <c r="A224" s="1" t="str">
        <f>IF(AND(Programme_Grunddaten!$A229="Geprüft",Programme_Grunddaten!B229&lt;&gt;""),Programme_Grunddaten!B229,"")</f>
        <v/>
      </c>
      <c r="B224" s="1" t="str">
        <f>IF(AND(Programme_Grunddaten!$A229="Geprüft",Programme_Grunddaten!C229&lt;&gt;""),Programme_Grunddaten!C229,"")</f>
        <v/>
      </c>
      <c r="C224" s="1" t="str">
        <f>IF(AND(Programme_Grunddaten!$A229="Geprüft",Programme_Grunddaten!D229&lt;&gt;""),Programme_Grunddaten!D229,"")</f>
        <v/>
      </c>
      <c r="D224" s="2" t="str">
        <f>IF(AND(Programme_Grunddaten!$A229="Geprüft",Programme_Grunddaten!E229&lt;&gt;""),Programme_Grunddaten!E229,"")</f>
        <v/>
      </c>
      <c r="E224" t="str">
        <f>IF(AND(Programme_Grunddaten!$A229="Geprüft",Programme_Grunddaten!G229&lt;&gt;""),Programme_Grunddaten!G229,"")</f>
        <v/>
      </c>
      <c r="F224" t="str">
        <f>IF(AND(Programme_Grunddaten!$A229="Geprüft",Programme_Grunddaten!F229&lt;&gt;""),Programme_Grunddaten!F229,"")</f>
        <v/>
      </c>
      <c r="G224" s="3" t="str">
        <f>IF(AND(Programme_Grunddaten!$A229="Geprüft",Programme_Grunddaten!S229&lt;&gt;""),Programme_Grunddaten!S229,"")</f>
        <v/>
      </c>
      <c r="H224" t="str">
        <f>IF(AND(Programme_Grunddaten!$A229="Geprüft",Programme_Grunddaten!AW229&lt;&gt;""),Programme_Grunddaten!AW229,"")</f>
        <v/>
      </c>
      <c r="I224" t="str">
        <f>IF(AND(Programme_Grunddaten!$A229="Geprüft",Programme_Grunddaten!AX229&lt;&gt;""),Programme_Grunddaten!AX229,"")</f>
        <v/>
      </c>
    </row>
    <row r="225" spans="1:9" x14ac:dyDescent="0.3">
      <c r="A225" s="1" t="str">
        <f>IF(AND(Programme_Grunddaten!$A230="Geprüft",Programme_Grunddaten!B230&lt;&gt;""),Programme_Grunddaten!B230,"")</f>
        <v/>
      </c>
      <c r="B225" s="1" t="str">
        <f>IF(AND(Programme_Grunddaten!$A230="Geprüft",Programme_Grunddaten!C230&lt;&gt;""),Programme_Grunddaten!C230,"")</f>
        <v/>
      </c>
      <c r="C225" s="1" t="str">
        <f>IF(AND(Programme_Grunddaten!$A230="Geprüft",Programme_Grunddaten!D230&lt;&gt;""),Programme_Grunddaten!D230,"")</f>
        <v/>
      </c>
      <c r="D225" s="2" t="str">
        <f>IF(AND(Programme_Grunddaten!$A230="Geprüft",Programme_Grunddaten!E230&lt;&gt;""),Programme_Grunddaten!E230,"")</f>
        <v/>
      </c>
      <c r="E225" t="str">
        <f>IF(AND(Programme_Grunddaten!$A230="Geprüft",Programme_Grunddaten!G230&lt;&gt;""),Programme_Grunddaten!G230,"")</f>
        <v/>
      </c>
      <c r="F225" t="str">
        <f>IF(AND(Programme_Grunddaten!$A230="Geprüft",Programme_Grunddaten!F230&lt;&gt;""),Programme_Grunddaten!F230,"")</f>
        <v/>
      </c>
      <c r="G225" s="3" t="str">
        <f>IF(AND(Programme_Grunddaten!$A230="Geprüft",Programme_Grunddaten!S230&lt;&gt;""),Programme_Grunddaten!S230,"")</f>
        <v/>
      </c>
      <c r="H225" t="str">
        <f>IF(AND(Programme_Grunddaten!$A230="Geprüft",Programme_Grunddaten!AW230&lt;&gt;""),Programme_Grunddaten!AW230,"")</f>
        <v/>
      </c>
      <c r="I225" t="str">
        <f>IF(AND(Programme_Grunddaten!$A230="Geprüft",Programme_Grunddaten!AX230&lt;&gt;""),Programme_Grunddaten!AX230,"")</f>
        <v/>
      </c>
    </row>
    <row r="226" spans="1:9" x14ac:dyDescent="0.3">
      <c r="A226" s="1" t="str">
        <f>IF(AND(Programme_Grunddaten!$A231="Geprüft",Programme_Grunddaten!B231&lt;&gt;""),Programme_Grunddaten!B231,"")</f>
        <v/>
      </c>
      <c r="B226" s="1" t="str">
        <f>IF(AND(Programme_Grunddaten!$A231="Geprüft",Programme_Grunddaten!C231&lt;&gt;""),Programme_Grunddaten!C231,"")</f>
        <v/>
      </c>
      <c r="C226" s="1" t="str">
        <f>IF(AND(Programme_Grunddaten!$A231="Geprüft",Programme_Grunddaten!D231&lt;&gt;""),Programme_Grunddaten!D231,"")</f>
        <v/>
      </c>
      <c r="D226" s="2" t="str">
        <f>IF(AND(Programme_Grunddaten!$A231="Geprüft",Programme_Grunddaten!E231&lt;&gt;""),Programme_Grunddaten!E231,"")</f>
        <v/>
      </c>
      <c r="E226" t="str">
        <f>IF(AND(Programme_Grunddaten!$A231="Geprüft",Programme_Grunddaten!G231&lt;&gt;""),Programme_Grunddaten!G231,"")</f>
        <v/>
      </c>
      <c r="F226" t="str">
        <f>IF(AND(Programme_Grunddaten!$A231="Geprüft",Programme_Grunddaten!F231&lt;&gt;""),Programme_Grunddaten!F231,"")</f>
        <v/>
      </c>
      <c r="G226" s="3" t="str">
        <f>IF(AND(Programme_Grunddaten!$A231="Geprüft",Programme_Grunddaten!S231&lt;&gt;""),Programme_Grunddaten!S231,"")</f>
        <v/>
      </c>
      <c r="H226" t="str">
        <f>IF(AND(Programme_Grunddaten!$A231="Geprüft",Programme_Grunddaten!AW231&lt;&gt;""),Programme_Grunddaten!AW231,"")</f>
        <v/>
      </c>
      <c r="I226" t="str">
        <f>IF(AND(Programme_Grunddaten!$A231="Geprüft",Programme_Grunddaten!AX231&lt;&gt;""),Programme_Grunddaten!AX231,"")</f>
        <v/>
      </c>
    </row>
    <row r="227" spans="1:9" x14ac:dyDescent="0.3">
      <c r="A227" s="1" t="str">
        <f>IF(AND(Programme_Grunddaten!$A232="Geprüft",Programme_Grunddaten!B232&lt;&gt;""),Programme_Grunddaten!B232,"")</f>
        <v/>
      </c>
      <c r="B227" s="1" t="str">
        <f>IF(AND(Programme_Grunddaten!$A232="Geprüft",Programme_Grunddaten!C232&lt;&gt;""),Programme_Grunddaten!C232,"")</f>
        <v/>
      </c>
      <c r="C227" s="1" t="str">
        <f>IF(AND(Programme_Grunddaten!$A232="Geprüft",Programme_Grunddaten!D232&lt;&gt;""),Programme_Grunddaten!D232,"")</f>
        <v/>
      </c>
      <c r="D227" s="2" t="str">
        <f>IF(AND(Programme_Grunddaten!$A232="Geprüft",Programme_Grunddaten!E232&lt;&gt;""),Programme_Grunddaten!E232,"")</f>
        <v/>
      </c>
      <c r="E227" t="str">
        <f>IF(AND(Programme_Grunddaten!$A232="Geprüft",Programme_Grunddaten!G232&lt;&gt;""),Programme_Grunddaten!G232,"")</f>
        <v/>
      </c>
      <c r="F227" t="str">
        <f>IF(AND(Programme_Grunddaten!$A232="Geprüft",Programme_Grunddaten!F232&lt;&gt;""),Programme_Grunddaten!F232,"")</f>
        <v/>
      </c>
      <c r="G227" s="3" t="str">
        <f>IF(AND(Programme_Grunddaten!$A232="Geprüft",Programme_Grunddaten!S232&lt;&gt;""),Programme_Grunddaten!S232,"")</f>
        <v/>
      </c>
      <c r="H227" t="str">
        <f>IF(AND(Programme_Grunddaten!$A232="Geprüft",Programme_Grunddaten!AW232&lt;&gt;""),Programme_Grunddaten!AW232,"")</f>
        <v/>
      </c>
      <c r="I227" t="str">
        <f>IF(AND(Programme_Grunddaten!$A232="Geprüft",Programme_Grunddaten!AX232&lt;&gt;""),Programme_Grunddaten!AX232,"")</f>
        <v/>
      </c>
    </row>
    <row r="228" spans="1:9" x14ac:dyDescent="0.3">
      <c r="A228" s="1" t="str">
        <f>IF(AND(Programme_Grunddaten!$A233="Geprüft",Programme_Grunddaten!B233&lt;&gt;""),Programme_Grunddaten!B233,"")</f>
        <v/>
      </c>
      <c r="B228" s="1" t="str">
        <f>IF(AND(Programme_Grunddaten!$A233="Geprüft",Programme_Grunddaten!C233&lt;&gt;""),Programme_Grunddaten!C233,"")</f>
        <v/>
      </c>
      <c r="C228" s="1" t="str">
        <f>IF(AND(Programme_Grunddaten!$A233="Geprüft",Programme_Grunddaten!D233&lt;&gt;""),Programme_Grunddaten!D233,"")</f>
        <v/>
      </c>
      <c r="D228" s="2" t="str">
        <f>IF(AND(Programme_Grunddaten!$A233="Geprüft",Programme_Grunddaten!E233&lt;&gt;""),Programme_Grunddaten!E233,"")</f>
        <v/>
      </c>
      <c r="E228" t="str">
        <f>IF(AND(Programme_Grunddaten!$A233="Geprüft",Programme_Grunddaten!G233&lt;&gt;""),Programme_Grunddaten!G233,"")</f>
        <v/>
      </c>
      <c r="F228" t="str">
        <f>IF(AND(Programme_Grunddaten!$A233="Geprüft",Programme_Grunddaten!F233&lt;&gt;""),Programme_Grunddaten!F233,"")</f>
        <v/>
      </c>
      <c r="G228" s="3" t="str">
        <f>IF(AND(Programme_Grunddaten!$A233="Geprüft",Programme_Grunddaten!S233&lt;&gt;""),Programme_Grunddaten!S233,"")</f>
        <v/>
      </c>
      <c r="H228" t="str">
        <f>IF(AND(Programme_Grunddaten!$A233="Geprüft",Programme_Grunddaten!AW233&lt;&gt;""),Programme_Grunddaten!AW233,"")</f>
        <v/>
      </c>
      <c r="I228" t="str">
        <f>IF(AND(Programme_Grunddaten!$A233="Geprüft",Programme_Grunddaten!AX233&lt;&gt;""),Programme_Grunddaten!AX233,"")</f>
        <v/>
      </c>
    </row>
    <row r="229" spans="1:9" x14ac:dyDescent="0.3">
      <c r="A229" s="1" t="str">
        <f>IF(AND(Programme_Grunddaten!$A234="Geprüft",Programme_Grunddaten!B234&lt;&gt;""),Programme_Grunddaten!B234,"")</f>
        <v/>
      </c>
      <c r="B229" s="1" t="str">
        <f>IF(AND(Programme_Grunddaten!$A234="Geprüft",Programme_Grunddaten!C234&lt;&gt;""),Programme_Grunddaten!C234,"")</f>
        <v/>
      </c>
      <c r="C229" s="1" t="str">
        <f>IF(AND(Programme_Grunddaten!$A234="Geprüft",Programme_Grunddaten!D234&lt;&gt;""),Programme_Grunddaten!D234,"")</f>
        <v/>
      </c>
      <c r="D229" s="2" t="str">
        <f>IF(AND(Programme_Grunddaten!$A234="Geprüft",Programme_Grunddaten!E234&lt;&gt;""),Programme_Grunddaten!E234,"")</f>
        <v/>
      </c>
      <c r="E229" t="str">
        <f>IF(AND(Programme_Grunddaten!$A234="Geprüft",Programme_Grunddaten!G234&lt;&gt;""),Programme_Grunddaten!G234,"")</f>
        <v/>
      </c>
      <c r="F229" t="str">
        <f>IF(AND(Programme_Grunddaten!$A234="Geprüft",Programme_Grunddaten!F234&lt;&gt;""),Programme_Grunddaten!F234,"")</f>
        <v/>
      </c>
      <c r="G229" s="3" t="str">
        <f>IF(AND(Programme_Grunddaten!$A234="Geprüft",Programme_Grunddaten!S234&lt;&gt;""),Programme_Grunddaten!S234,"")</f>
        <v/>
      </c>
      <c r="H229" t="str">
        <f>IF(AND(Programme_Grunddaten!$A234="Geprüft",Programme_Grunddaten!AW234&lt;&gt;""),Programme_Grunddaten!AW234,"")</f>
        <v/>
      </c>
      <c r="I229" t="str">
        <f>IF(AND(Programme_Grunddaten!$A234="Geprüft",Programme_Grunddaten!AX234&lt;&gt;""),Programme_Grunddaten!AX234,"")</f>
        <v/>
      </c>
    </row>
    <row r="230" spans="1:9" x14ac:dyDescent="0.3">
      <c r="A230" s="1" t="str">
        <f>IF(AND(Programme_Grunddaten!$A235="Geprüft",Programme_Grunddaten!B235&lt;&gt;""),Programme_Grunddaten!B235,"")</f>
        <v/>
      </c>
      <c r="B230" s="1" t="str">
        <f>IF(AND(Programme_Grunddaten!$A235="Geprüft",Programme_Grunddaten!C235&lt;&gt;""),Programme_Grunddaten!C235,"")</f>
        <v/>
      </c>
      <c r="C230" s="1" t="str">
        <f>IF(AND(Programme_Grunddaten!$A235="Geprüft",Programme_Grunddaten!D235&lt;&gt;""),Programme_Grunddaten!D235,"")</f>
        <v/>
      </c>
      <c r="D230" s="2" t="str">
        <f>IF(AND(Programme_Grunddaten!$A235="Geprüft",Programme_Grunddaten!E235&lt;&gt;""),Programme_Grunddaten!E235,"")</f>
        <v/>
      </c>
      <c r="E230" t="str">
        <f>IF(AND(Programme_Grunddaten!$A235="Geprüft",Programme_Grunddaten!G235&lt;&gt;""),Programme_Grunddaten!G235,"")</f>
        <v/>
      </c>
      <c r="F230" t="str">
        <f>IF(AND(Programme_Grunddaten!$A235="Geprüft",Programme_Grunddaten!F235&lt;&gt;""),Programme_Grunddaten!F235,"")</f>
        <v/>
      </c>
      <c r="G230" s="3" t="str">
        <f>IF(AND(Programme_Grunddaten!$A235="Geprüft",Programme_Grunddaten!S235&lt;&gt;""),Programme_Grunddaten!S235,"")</f>
        <v/>
      </c>
      <c r="H230" t="str">
        <f>IF(AND(Programme_Grunddaten!$A235="Geprüft",Programme_Grunddaten!AW235&lt;&gt;""),Programme_Grunddaten!AW235,"")</f>
        <v/>
      </c>
      <c r="I230" t="str">
        <f>IF(AND(Programme_Grunddaten!$A235="Geprüft",Programme_Grunddaten!AX235&lt;&gt;""),Programme_Grunddaten!AX235,"")</f>
        <v/>
      </c>
    </row>
    <row r="231" spans="1:9" x14ac:dyDescent="0.3">
      <c r="A231" s="1" t="str">
        <f>IF(AND(Programme_Grunddaten!$A236="Geprüft",Programme_Grunddaten!B236&lt;&gt;""),Programme_Grunddaten!B236,"")</f>
        <v/>
      </c>
      <c r="B231" s="1" t="str">
        <f>IF(AND(Programme_Grunddaten!$A236="Geprüft",Programme_Grunddaten!C236&lt;&gt;""),Programme_Grunddaten!C236,"")</f>
        <v/>
      </c>
      <c r="C231" s="1" t="str">
        <f>IF(AND(Programme_Grunddaten!$A236="Geprüft",Programme_Grunddaten!D236&lt;&gt;""),Programme_Grunddaten!D236,"")</f>
        <v/>
      </c>
      <c r="D231" s="2" t="str">
        <f>IF(AND(Programme_Grunddaten!$A236="Geprüft",Programme_Grunddaten!E236&lt;&gt;""),Programme_Grunddaten!E236,"")</f>
        <v/>
      </c>
      <c r="E231" t="str">
        <f>IF(AND(Programme_Grunddaten!$A236="Geprüft",Programme_Grunddaten!G236&lt;&gt;""),Programme_Grunddaten!G236,"")</f>
        <v/>
      </c>
      <c r="F231" t="str">
        <f>IF(AND(Programme_Grunddaten!$A236="Geprüft",Programme_Grunddaten!F236&lt;&gt;""),Programme_Grunddaten!F236,"")</f>
        <v/>
      </c>
      <c r="G231" s="3" t="str">
        <f>IF(AND(Programme_Grunddaten!$A236="Geprüft",Programme_Grunddaten!S236&lt;&gt;""),Programme_Grunddaten!S236,"")</f>
        <v/>
      </c>
      <c r="H231" t="str">
        <f>IF(AND(Programme_Grunddaten!$A236="Geprüft",Programme_Grunddaten!AW236&lt;&gt;""),Programme_Grunddaten!AW236,"")</f>
        <v/>
      </c>
      <c r="I231" t="str">
        <f>IF(AND(Programme_Grunddaten!$A236="Geprüft",Programme_Grunddaten!AX236&lt;&gt;""),Programme_Grunddaten!AX236,"")</f>
        <v/>
      </c>
    </row>
    <row r="232" spans="1:9" x14ac:dyDescent="0.3">
      <c r="A232" s="1" t="str">
        <f>IF(AND(Programme_Grunddaten!$A237="Geprüft",Programme_Grunddaten!B237&lt;&gt;""),Programme_Grunddaten!B237,"")</f>
        <v/>
      </c>
      <c r="B232" s="1" t="str">
        <f>IF(AND(Programme_Grunddaten!$A237="Geprüft",Programme_Grunddaten!C237&lt;&gt;""),Programme_Grunddaten!C237,"")</f>
        <v/>
      </c>
      <c r="C232" s="1" t="str">
        <f>IF(AND(Programme_Grunddaten!$A237="Geprüft",Programme_Grunddaten!D237&lt;&gt;""),Programme_Grunddaten!D237,"")</f>
        <v/>
      </c>
      <c r="D232" s="2" t="str">
        <f>IF(AND(Programme_Grunddaten!$A237="Geprüft",Programme_Grunddaten!E237&lt;&gt;""),Programme_Grunddaten!E237,"")</f>
        <v/>
      </c>
      <c r="E232" t="str">
        <f>IF(AND(Programme_Grunddaten!$A237="Geprüft",Programme_Grunddaten!G237&lt;&gt;""),Programme_Grunddaten!G237,"")</f>
        <v/>
      </c>
      <c r="F232" t="str">
        <f>IF(AND(Programme_Grunddaten!$A237="Geprüft",Programme_Grunddaten!F237&lt;&gt;""),Programme_Grunddaten!F237,"")</f>
        <v/>
      </c>
      <c r="G232" s="3" t="str">
        <f>IF(AND(Programme_Grunddaten!$A237="Geprüft",Programme_Grunddaten!S237&lt;&gt;""),Programme_Grunddaten!S237,"")</f>
        <v/>
      </c>
      <c r="H232" t="str">
        <f>IF(AND(Programme_Grunddaten!$A237="Geprüft",Programme_Grunddaten!AW237&lt;&gt;""),Programme_Grunddaten!AW237,"")</f>
        <v/>
      </c>
      <c r="I232" t="str">
        <f>IF(AND(Programme_Grunddaten!$A237="Geprüft",Programme_Grunddaten!AX237&lt;&gt;""),Programme_Grunddaten!AX237,"")</f>
        <v/>
      </c>
    </row>
    <row r="233" spans="1:9" x14ac:dyDescent="0.3">
      <c r="A233" s="1" t="str">
        <f>IF(AND(Programme_Grunddaten!$A238="Geprüft",Programme_Grunddaten!B238&lt;&gt;""),Programme_Grunddaten!B238,"")</f>
        <v/>
      </c>
      <c r="B233" s="1" t="str">
        <f>IF(AND(Programme_Grunddaten!$A238="Geprüft",Programme_Grunddaten!C238&lt;&gt;""),Programme_Grunddaten!C238,"")</f>
        <v/>
      </c>
      <c r="C233" s="1" t="str">
        <f>IF(AND(Programme_Grunddaten!$A238="Geprüft",Programme_Grunddaten!D238&lt;&gt;""),Programme_Grunddaten!D238,"")</f>
        <v/>
      </c>
      <c r="D233" s="2" t="str">
        <f>IF(AND(Programme_Grunddaten!$A238="Geprüft",Programme_Grunddaten!E238&lt;&gt;""),Programme_Grunddaten!E238,"")</f>
        <v/>
      </c>
      <c r="E233" t="str">
        <f>IF(AND(Programme_Grunddaten!$A238="Geprüft",Programme_Grunddaten!G238&lt;&gt;""),Programme_Grunddaten!G238,"")</f>
        <v/>
      </c>
      <c r="F233" t="str">
        <f>IF(AND(Programme_Grunddaten!$A238="Geprüft",Programme_Grunddaten!F238&lt;&gt;""),Programme_Grunddaten!F238,"")</f>
        <v/>
      </c>
      <c r="G233" s="3" t="str">
        <f>IF(AND(Programme_Grunddaten!$A238="Geprüft",Programme_Grunddaten!S238&lt;&gt;""),Programme_Grunddaten!S238,"")</f>
        <v/>
      </c>
      <c r="H233" t="str">
        <f>IF(AND(Programme_Grunddaten!$A238="Geprüft",Programme_Grunddaten!AW238&lt;&gt;""),Programme_Grunddaten!AW238,"")</f>
        <v/>
      </c>
      <c r="I233" t="str">
        <f>IF(AND(Programme_Grunddaten!$A238="Geprüft",Programme_Grunddaten!AX238&lt;&gt;""),Programme_Grunddaten!AX238,"")</f>
        <v/>
      </c>
    </row>
    <row r="234" spans="1:9" x14ac:dyDescent="0.3">
      <c r="A234" s="1" t="str">
        <f>IF(AND(Programme_Grunddaten!$A239="Geprüft",Programme_Grunddaten!B239&lt;&gt;""),Programme_Grunddaten!B239,"")</f>
        <v/>
      </c>
      <c r="B234" s="1" t="str">
        <f>IF(AND(Programme_Grunddaten!$A239="Geprüft",Programme_Grunddaten!C239&lt;&gt;""),Programme_Grunddaten!C239,"")</f>
        <v/>
      </c>
      <c r="C234" s="1" t="str">
        <f>IF(AND(Programme_Grunddaten!$A239="Geprüft",Programme_Grunddaten!D239&lt;&gt;""),Programme_Grunddaten!D239,"")</f>
        <v/>
      </c>
      <c r="D234" s="2" t="str">
        <f>IF(AND(Programme_Grunddaten!$A239="Geprüft",Programme_Grunddaten!E239&lt;&gt;""),Programme_Grunddaten!E239,"")</f>
        <v/>
      </c>
      <c r="E234" t="str">
        <f>IF(AND(Programme_Grunddaten!$A239="Geprüft",Programme_Grunddaten!G239&lt;&gt;""),Programme_Grunddaten!G239,"")</f>
        <v/>
      </c>
      <c r="F234" t="str">
        <f>IF(AND(Programme_Grunddaten!$A239="Geprüft",Programme_Grunddaten!F239&lt;&gt;""),Programme_Grunddaten!F239,"")</f>
        <v/>
      </c>
      <c r="G234" s="3" t="str">
        <f>IF(AND(Programme_Grunddaten!$A239="Geprüft",Programme_Grunddaten!S239&lt;&gt;""),Programme_Grunddaten!S239,"")</f>
        <v/>
      </c>
      <c r="H234" t="str">
        <f>IF(AND(Programme_Grunddaten!$A239="Geprüft",Programme_Grunddaten!AW239&lt;&gt;""),Programme_Grunddaten!AW239,"")</f>
        <v/>
      </c>
      <c r="I234" t="str">
        <f>IF(AND(Programme_Grunddaten!$A239="Geprüft",Programme_Grunddaten!AX239&lt;&gt;""),Programme_Grunddaten!AX239,"")</f>
        <v/>
      </c>
    </row>
    <row r="235" spans="1:9" x14ac:dyDescent="0.3">
      <c r="A235" s="1" t="str">
        <f>IF(AND(Programme_Grunddaten!$A240="Geprüft",Programme_Grunddaten!B240&lt;&gt;""),Programme_Grunddaten!B240,"")</f>
        <v/>
      </c>
      <c r="B235" s="1" t="str">
        <f>IF(AND(Programme_Grunddaten!$A240="Geprüft",Programme_Grunddaten!C240&lt;&gt;""),Programme_Grunddaten!C240,"")</f>
        <v/>
      </c>
      <c r="C235" s="1" t="str">
        <f>IF(AND(Programme_Grunddaten!$A240="Geprüft",Programme_Grunddaten!D240&lt;&gt;""),Programme_Grunddaten!D240,"")</f>
        <v/>
      </c>
      <c r="D235" s="2" t="str">
        <f>IF(AND(Programme_Grunddaten!$A240="Geprüft",Programme_Grunddaten!E240&lt;&gt;""),Programme_Grunddaten!E240,"")</f>
        <v/>
      </c>
      <c r="E235" t="str">
        <f>IF(AND(Programme_Grunddaten!$A240="Geprüft",Programme_Grunddaten!G240&lt;&gt;""),Programme_Grunddaten!G240,"")</f>
        <v/>
      </c>
      <c r="F235" t="str">
        <f>IF(AND(Programme_Grunddaten!$A240="Geprüft",Programme_Grunddaten!F240&lt;&gt;""),Programme_Grunddaten!F240,"")</f>
        <v/>
      </c>
      <c r="G235" s="3" t="str">
        <f>IF(AND(Programme_Grunddaten!$A240="Geprüft",Programme_Grunddaten!S240&lt;&gt;""),Programme_Grunddaten!S240,"")</f>
        <v/>
      </c>
      <c r="H235" t="str">
        <f>IF(AND(Programme_Grunddaten!$A240="Geprüft",Programme_Grunddaten!AW240&lt;&gt;""),Programme_Grunddaten!AW240,"")</f>
        <v/>
      </c>
      <c r="I235" t="str">
        <f>IF(AND(Programme_Grunddaten!$A240="Geprüft",Programme_Grunddaten!AX240&lt;&gt;""),Programme_Grunddaten!AX240,"")</f>
        <v/>
      </c>
    </row>
    <row r="236" spans="1:9" x14ac:dyDescent="0.3">
      <c r="A236" s="1" t="str">
        <f>IF(AND(Programme_Grunddaten!$A241="Geprüft",Programme_Grunddaten!B241&lt;&gt;""),Programme_Grunddaten!B241,"")</f>
        <v/>
      </c>
      <c r="B236" s="1" t="str">
        <f>IF(AND(Programme_Grunddaten!$A241="Geprüft",Programme_Grunddaten!C241&lt;&gt;""),Programme_Grunddaten!C241,"")</f>
        <v/>
      </c>
      <c r="C236" s="1" t="str">
        <f>IF(AND(Programme_Grunddaten!$A241="Geprüft",Programme_Grunddaten!D241&lt;&gt;""),Programme_Grunddaten!D241,"")</f>
        <v/>
      </c>
      <c r="D236" s="2" t="str">
        <f>IF(AND(Programme_Grunddaten!$A241="Geprüft",Programme_Grunddaten!E241&lt;&gt;""),Programme_Grunddaten!E241,"")</f>
        <v/>
      </c>
      <c r="E236" t="str">
        <f>IF(AND(Programme_Grunddaten!$A241="Geprüft",Programme_Grunddaten!G241&lt;&gt;""),Programme_Grunddaten!G241,"")</f>
        <v/>
      </c>
      <c r="F236" t="str">
        <f>IF(AND(Programme_Grunddaten!$A241="Geprüft",Programme_Grunddaten!F241&lt;&gt;""),Programme_Grunddaten!F241,"")</f>
        <v/>
      </c>
      <c r="G236" s="3" t="str">
        <f>IF(AND(Programme_Grunddaten!$A241="Geprüft",Programme_Grunddaten!S241&lt;&gt;""),Programme_Grunddaten!S241,"")</f>
        <v/>
      </c>
      <c r="H236" t="str">
        <f>IF(AND(Programme_Grunddaten!$A241="Geprüft",Programme_Grunddaten!AW241&lt;&gt;""),Programme_Grunddaten!AW241,"")</f>
        <v/>
      </c>
      <c r="I236" t="str">
        <f>IF(AND(Programme_Grunddaten!$A241="Geprüft",Programme_Grunddaten!AX241&lt;&gt;""),Programme_Grunddaten!AX241,"")</f>
        <v/>
      </c>
    </row>
    <row r="237" spans="1:9" x14ac:dyDescent="0.3">
      <c r="A237" s="1" t="str">
        <f>IF(AND(Programme_Grunddaten!$A242="Geprüft",Programme_Grunddaten!B242&lt;&gt;""),Programme_Grunddaten!B242,"")</f>
        <v/>
      </c>
      <c r="B237" s="1" t="str">
        <f>IF(AND(Programme_Grunddaten!$A242="Geprüft",Programme_Grunddaten!C242&lt;&gt;""),Programme_Grunddaten!C242,"")</f>
        <v/>
      </c>
      <c r="C237" s="1" t="str">
        <f>IF(AND(Programme_Grunddaten!$A242="Geprüft",Programme_Grunddaten!D242&lt;&gt;""),Programme_Grunddaten!D242,"")</f>
        <v/>
      </c>
      <c r="D237" s="2" t="str">
        <f>IF(AND(Programme_Grunddaten!$A242="Geprüft",Programme_Grunddaten!E242&lt;&gt;""),Programme_Grunddaten!E242,"")</f>
        <v/>
      </c>
      <c r="E237" t="str">
        <f>IF(AND(Programme_Grunddaten!$A242="Geprüft",Programme_Grunddaten!G242&lt;&gt;""),Programme_Grunddaten!G242,"")</f>
        <v/>
      </c>
      <c r="F237" t="str">
        <f>IF(AND(Programme_Grunddaten!$A242="Geprüft",Programme_Grunddaten!F242&lt;&gt;""),Programme_Grunddaten!F242,"")</f>
        <v/>
      </c>
      <c r="G237" s="3" t="str">
        <f>IF(AND(Programme_Grunddaten!$A242="Geprüft",Programme_Grunddaten!S242&lt;&gt;""),Programme_Grunddaten!S242,"")</f>
        <v/>
      </c>
      <c r="H237" t="str">
        <f>IF(AND(Programme_Grunddaten!$A242="Geprüft",Programme_Grunddaten!AW242&lt;&gt;""),Programme_Grunddaten!AW242,"")</f>
        <v/>
      </c>
      <c r="I237" t="str">
        <f>IF(AND(Programme_Grunddaten!$A242="Geprüft",Programme_Grunddaten!AX242&lt;&gt;""),Programme_Grunddaten!AX242,"")</f>
        <v/>
      </c>
    </row>
    <row r="238" spans="1:9" x14ac:dyDescent="0.3">
      <c r="A238" s="1" t="str">
        <f>IF(AND(Programme_Grunddaten!$A243="Geprüft",Programme_Grunddaten!B243&lt;&gt;""),Programme_Grunddaten!B243,"")</f>
        <v/>
      </c>
      <c r="B238" s="1" t="str">
        <f>IF(AND(Programme_Grunddaten!$A243="Geprüft",Programme_Grunddaten!C243&lt;&gt;""),Programme_Grunddaten!C243,"")</f>
        <v/>
      </c>
      <c r="C238" s="1" t="str">
        <f>IF(AND(Programme_Grunddaten!$A243="Geprüft",Programme_Grunddaten!D243&lt;&gt;""),Programme_Grunddaten!D243,"")</f>
        <v/>
      </c>
      <c r="D238" s="2" t="str">
        <f>IF(AND(Programme_Grunddaten!$A243="Geprüft",Programme_Grunddaten!E243&lt;&gt;""),Programme_Grunddaten!E243,"")</f>
        <v/>
      </c>
      <c r="E238" t="str">
        <f>IF(AND(Programme_Grunddaten!$A243="Geprüft",Programme_Grunddaten!G243&lt;&gt;""),Programme_Grunddaten!G243,"")</f>
        <v/>
      </c>
      <c r="F238" t="str">
        <f>IF(AND(Programme_Grunddaten!$A243="Geprüft",Programme_Grunddaten!F243&lt;&gt;""),Programme_Grunddaten!F243,"")</f>
        <v/>
      </c>
      <c r="G238" s="3" t="str">
        <f>IF(AND(Programme_Grunddaten!$A243="Geprüft",Programme_Grunddaten!S243&lt;&gt;""),Programme_Grunddaten!S243,"")</f>
        <v/>
      </c>
      <c r="H238" t="str">
        <f>IF(AND(Programme_Grunddaten!$A243="Geprüft",Programme_Grunddaten!AW243&lt;&gt;""),Programme_Grunddaten!AW243,"")</f>
        <v/>
      </c>
      <c r="I238" t="str">
        <f>IF(AND(Programme_Grunddaten!$A243="Geprüft",Programme_Grunddaten!AX243&lt;&gt;""),Programme_Grunddaten!AX243,"")</f>
        <v/>
      </c>
    </row>
    <row r="239" spans="1:9" x14ac:dyDescent="0.3">
      <c r="A239" s="1" t="str">
        <f>IF(AND(Programme_Grunddaten!$A244="Geprüft",Programme_Grunddaten!B244&lt;&gt;""),Programme_Grunddaten!B244,"")</f>
        <v/>
      </c>
      <c r="B239" s="1" t="str">
        <f>IF(AND(Programme_Grunddaten!$A244="Geprüft",Programme_Grunddaten!C244&lt;&gt;""),Programme_Grunddaten!C244,"")</f>
        <v/>
      </c>
      <c r="C239" s="1" t="str">
        <f>IF(AND(Programme_Grunddaten!$A244="Geprüft",Programme_Grunddaten!D244&lt;&gt;""),Programme_Grunddaten!D244,"")</f>
        <v/>
      </c>
      <c r="D239" s="2" t="str">
        <f>IF(AND(Programme_Grunddaten!$A244="Geprüft",Programme_Grunddaten!E244&lt;&gt;""),Programme_Grunddaten!E244,"")</f>
        <v/>
      </c>
      <c r="E239" t="str">
        <f>IF(AND(Programme_Grunddaten!$A244="Geprüft",Programme_Grunddaten!G244&lt;&gt;""),Programme_Grunddaten!G244,"")</f>
        <v/>
      </c>
      <c r="F239" t="str">
        <f>IF(AND(Programme_Grunddaten!$A244="Geprüft",Programme_Grunddaten!F244&lt;&gt;""),Programme_Grunddaten!F244,"")</f>
        <v/>
      </c>
      <c r="G239" s="3" t="str">
        <f>IF(AND(Programme_Grunddaten!$A244="Geprüft",Programme_Grunddaten!S244&lt;&gt;""),Programme_Grunddaten!S244,"")</f>
        <v/>
      </c>
      <c r="H239" t="str">
        <f>IF(AND(Programme_Grunddaten!$A244="Geprüft",Programme_Grunddaten!AW244&lt;&gt;""),Programme_Grunddaten!AW244,"")</f>
        <v/>
      </c>
      <c r="I239" t="str">
        <f>IF(AND(Programme_Grunddaten!$A244="Geprüft",Programme_Grunddaten!AX244&lt;&gt;""),Programme_Grunddaten!AX244,"")</f>
        <v/>
      </c>
    </row>
    <row r="240" spans="1:9" x14ac:dyDescent="0.3">
      <c r="A240" s="1" t="str">
        <f>IF(AND(Programme_Grunddaten!$A245="Geprüft",Programme_Grunddaten!B245&lt;&gt;""),Programme_Grunddaten!B245,"")</f>
        <v/>
      </c>
      <c r="B240" s="1" t="str">
        <f>IF(AND(Programme_Grunddaten!$A245="Geprüft",Programme_Grunddaten!C245&lt;&gt;""),Programme_Grunddaten!C245,"")</f>
        <v/>
      </c>
      <c r="C240" s="1" t="str">
        <f>IF(AND(Programme_Grunddaten!$A245="Geprüft",Programme_Grunddaten!D245&lt;&gt;""),Programme_Grunddaten!D245,"")</f>
        <v/>
      </c>
      <c r="D240" s="2" t="str">
        <f>IF(AND(Programme_Grunddaten!$A245="Geprüft",Programme_Grunddaten!E245&lt;&gt;""),Programme_Grunddaten!E245,"")</f>
        <v/>
      </c>
      <c r="E240" t="str">
        <f>IF(AND(Programme_Grunddaten!$A245="Geprüft",Programme_Grunddaten!G245&lt;&gt;""),Programme_Grunddaten!G245,"")</f>
        <v/>
      </c>
      <c r="F240" t="str">
        <f>IF(AND(Programme_Grunddaten!$A245="Geprüft",Programme_Grunddaten!F245&lt;&gt;""),Programme_Grunddaten!F245,"")</f>
        <v/>
      </c>
      <c r="G240" s="3" t="str">
        <f>IF(AND(Programme_Grunddaten!$A245="Geprüft",Programme_Grunddaten!S245&lt;&gt;""),Programme_Grunddaten!S245,"")</f>
        <v/>
      </c>
      <c r="H240" t="str">
        <f>IF(AND(Programme_Grunddaten!$A245="Geprüft",Programme_Grunddaten!AW245&lt;&gt;""),Programme_Grunddaten!AW245,"")</f>
        <v/>
      </c>
      <c r="I240" t="str">
        <f>IF(AND(Programme_Grunddaten!$A245="Geprüft",Programme_Grunddaten!AX245&lt;&gt;""),Programme_Grunddaten!AX245,"")</f>
        <v/>
      </c>
    </row>
    <row r="241" spans="1:9" x14ac:dyDescent="0.3">
      <c r="A241" s="1" t="str">
        <f>IF(AND(Programme_Grunddaten!$A246="Geprüft",Programme_Grunddaten!B246&lt;&gt;""),Programme_Grunddaten!B246,"")</f>
        <v/>
      </c>
      <c r="B241" s="1" t="str">
        <f>IF(AND(Programme_Grunddaten!$A246="Geprüft",Programme_Grunddaten!C246&lt;&gt;""),Programme_Grunddaten!C246,"")</f>
        <v/>
      </c>
      <c r="C241" s="1" t="str">
        <f>IF(AND(Programme_Grunddaten!$A246="Geprüft",Programme_Grunddaten!D246&lt;&gt;""),Programme_Grunddaten!D246,"")</f>
        <v/>
      </c>
      <c r="D241" s="2" t="str">
        <f>IF(AND(Programme_Grunddaten!$A246="Geprüft",Programme_Grunddaten!E246&lt;&gt;""),Programme_Grunddaten!E246,"")</f>
        <v/>
      </c>
      <c r="E241" t="str">
        <f>IF(AND(Programme_Grunddaten!$A246="Geprüft",Programme_Grunddaten!G246&lt;&gt;""),Programme_Grunddaten!G246,"")</f>
        <v/>
      </c>
      <c r="F241" t="str">
        <f>IF(AND(Programme_Grunddaten!$A246="Geprüft",Programme_Grunddaten!F246&lt;&gt;""),Programme_Grunddaten!F246,"")</f>
        <v/>
      </c>
      <c r="G241" s="3" t="str">
        <f>IF(AND(Programme_Grunddaten!$A246="Geprüft",Programme_Grunddaten!S246&lt;&gt;""),Programme_Grunddaten!S246,"")</f>
        <v/>
      </c>
      <c r="H241" t="str">
        <f>IF(AND(Programme_Grunddaten!$A246="Geprüft",Programme_Grunddaten!AW246&lt;&gt;""),Programme_Grunddaten!AW246,"")</f>
        <v/>
      </c>
      <c r="I241" t="str">
        <f>IF(AND(Programme_Grunddaten!$A246="Geprüft",Programme_Grunddaten!AX246&lt;&gt;""),Programme_Grunddaten!AX246,"")</f>
        <v/>
      </c>
    </row>
    <row r="242" spans="1:9" x14ac:dyDescent="0.3">
      <c r="A242" s="1" t="str">
        <f>IF(AND(Programme_Grunddaten!$A247="Geprüft",Programme_Grunddaten!B247&lt;&gt;""),Programme_Grunddaten!B247,"")</f>
        <v/>
      </c>
      <c r="B242" s="1" t="str">
        <f>IF(AND(Programme_Grunddaten!$A247="Geprüft",Programme_Grunddaten!C247&lt;&gt;""),Programme_Grunddaten!C247,"")</f>
        <v/>
      </c>
      <c r="C242" s="1" t="str">
        <f>IF(AND(Programme_Grunddaten!$A247="Geprüft",Programme_Grunddaten!D247&lt;&gt;""),Programme_Grunddaten!D247,"")</f>
        <v/>
      </c>
      <c r="D242" s="2" t="str">
        <f>IF(AND(Programme_Grunddaten!$A247="Geprüft",Programme_Grunddaten!E247&lt;&gt;""),Programme_Grunddaten!E247,"")</f>
        <v/>
      </c>
      <c r="E242" t="str">
        <f>IF(AND(Programme_Grunddaten!$A247="Geprüft",Programme_Grunddaten!G247&lt;&gt;""),Programme_Grunddaten!G247,"")</f>
        <v/>
      </c>
      <c r="F242" t="str">
        <f>IF(AND(Programme_Grunddaten!$A247="Geprüft",Programme_Grunddaten!F247&lt;&gt;""),Programme_Grunddaten!F247,"")</f>
        <v/>
      </c>
      <c r="G242" s="3" t="str">
        <f>IF(AND(Programme_Grunddaten!$A247="Geprüft",Programme_Grunddaten!S247&lt;&gt;""),Programme_Grunddaten!S247,"")</f>
        <v/>
      </c>
      <c r="H242" t="str">
        <f>IF(AND(Programme_Grunddaten!$A247="Geprüft",Programme_Grunddaten!AW247&lt;&gt;""),Programme_Grunddaten!AW247,"")</f>
        <v/>
      </c>
      <c r="I242" t="str">
        <f>IF(AND(Programme_Grunddaten!$A247="Geprüft",Programme_Grunddaten!AX247&lt;&gt;""),Programme_Grunddaten!AX247,"")</f>
        <v/>
      </c>
    </row>
    <row r="243" spans="1:9" x14ac:dyDescent="0.3">
      <c r="A243" s="1" t="str">
        <f>IF(AND(Programme_Grunddaten!$A248="Geprüft",Programme_Grunddaten!B248&lt;&gt;""),Programme_Grunddaten!B248,"")</f>
        <v/>
      </c>
      <c r="B243" s="1" t="str">
        <f>IF(AND(Programme_Grunddaten!$A248="Geprüft",Programme_Grunddaten!C248&lt;&gt;""),Programme_Grunddaten!C248,"")</f>
        <v/>
      </c>
      <c r="C243" s="1" t="str">
        <f>IF(AND(Programme_Grunddaten!$A248="Geprüft",Programme_Grunddaten!D248&lt;&gt;""),Programme_Grunddaten!D248,"")</f>
        <v/>
      </c>
      <c r="D243" s="2" t="str">
        <f>IF(AND(Programme_Grunddaten!$A248="Geprüft",Programme_Grunddaten!E248&lt;&gt;""),Programme_Grunddaten!E248,"")</f>
        <v/>
      </c>
      <c r="E243" t="str">
        <f>IF(AND(Programme_Grunddaten!$A248="Geprüft",Programme_Grunddaten!G248&lt;&gt;""),Programme_Grunddaten!G248,"")</f>
        <v/>
      </c>
      <c r="F243" t="str">
        <f>IF(AND(Programme_Grunddaten!$A248="Geprüft",Programme_Grunddaten!F248&lt;&gt;""),Programme_Grunddaten!F248,"")</f>
        <v/>
      </c>
      <c r="G243" s="3" t="str">
        <f>IF(AND(Programme_Grunddaten!$A248="Geprüft",Programme_Grunddaten!S248&lt;&gt;""),Programme_Grunddaten!S248,"")</f>
        <v/>
      </c>
      <c r="H243" t="str">
        <f>IF(AND(Programme_Grunddaten!$A248="Geprüft",Programme_Grunddaten!AW248&lt;&gt;""),Programme_Grunddaten!AW248,"")</f>
        <v/>
      </c>
      <c r="I243" t="str">
        <f>IF(AND(Programme_Grunddaten!$A248="Geprüft",Programme_Grunddaten!AX248&lt;&gt;""),Programme_Grunddaten!AX248,"")</f>
        <v/>
      </c>
    </row>
    <row r="244" spans="1:9" x14ac:dyDescent="0.3">
      <c r="A244" s="1" t="str">
        <f>IF(AND(Programme_Grunddaten!$A249="Geprüft",Programme_Grunddaten!B249&lt;&gt;""),Programme_Grunddaten!B249,"")</f>
        <v/>
      </c>
      <c r="B244" s="1" t="str">
        <f>IF(AND(Programme_Grunddaten!$A249="Geprüft",Programme_Grunddaten!C249&lt;&gt;""),Programme_Grunddaten!C249,"")</f>
        <v/>
      </c>
      <c r="C244" s="1" t="str">
        <f>IF(AND(Programme_Grunddaten!$A249="Geprüft",Programme_Grunddaten!D249&lt;&gt;""),Programme_Grunddaten!D249,"")</f>
        <v/>
      </c>
      <c r="D244" s="2" t="str">
        <f>IF(AND(Programme_Grunddaten!$A249="Geprüft",Programme_Grunddaten!E249&lt;&gt;""),Programme_Grunddaten!E249,"")</f>
        <v/>
      </c>
      <c r="E244" t="str">
        <f>IF(AND(Programme_Grunddaten!$A249="Geprüft",Programme_Grunddaten!G249&lt;&gt;""),Programme_Grunddaten!G249,"")</f>
        <v/>
      </c>
      <c r="F244" t="str">
        <f>IF(AND(Programme_Grunddaten!$A249="Geprüft",Programme_Grunddaten!F249&lt;&gt;""),Programme_Grunddaten!F249,"")</f>
        <v/>
      </c>
      <c r="G244" s="3" t="str">
        <f>IF(AND(Programme_Grunddaten!$A249="Geprüft",Programme_Grunddaten!S249&lt;&gt;""),Programme_Grunddaten!S249,"")</f>
        <v/>
      </c>
      <c r="H244" t="str">
        <f>IF(AND(Programme_Grunddaten!$A249="Geprüft",Programme_Grunddaten!AW249&lt;&gt;""),Programme_Grunddaten!AW249,"")</f>
        <v/>
      </c>
      <c r="I244" t="str">
        <f>IF(AND(Programme_Grunddaten!$A249="Geprüft",Programme_Grunddaten!AX249&lt;&gt;""),Programme_Grunddaten!AX249,"")</f>
        <v/>
      </c>
    </row>
    <row r="245" spans="1:9" x14ac:dyDescent="0.3">
      <c r="A245" s="1" t="str">
        <f>IF(AND(Programme_Grunddaten!$A250="Geprüft",Programme_Grunddaten!B250&lt;&gt;""),Programme_Grunddaten!B250,"")</f>
        <v/>
      </c>
      <c r="B245" s="1" t="str">
        <f>IF(AND(Programme_Grunddaten!$A250="Geprüft",Programme_Grunddaten!C250&lt;&gt;""),Programme_Grunddaten!C250,"")</f>
        <v/>
      </c>
      <c r="C245" s="1" t="str">
        <f>IF(AND(Programme_Grunddaten!$A250="Geprüft",Programme_Grunddaten!D250&lt;&gt;""),Programme_Grunddaten!D250,"")</f>
        <v/>
      </c>
      <c r="D245" s="2" t="str">
        <f>IF(AND(Programme_Grunddaten!$A250="Geprüft",Programme_Grunddaten!E250&lt;&gt;""),Programme_Grunddaten!E250,"")</f>
        <v/>
      </c>
      <c r="E245" t="str">
        <f>IF(AND(Programme_Grunddaten!$A250="Geprüft",Programme_Grunddaten!G250&lt;&gt;""),Programme_Grunddaten!G250,"")</f>
        <v/>
      </c>
      <c r="F245" t="str">
        <f>IF(AND(Programme_Grunddaten!$A250="Geprüft",Programme_Grunddaten!F250&lt;&gt;""),Programme_Grunddaten!F250,"")</f>
        <v/>
      </c>
      <c r="G245" s="3" t="str">
        <f>IF(AND(Programme_Grunddaten!$A250="Geprüft",Programme_Grunddaten!S250&lt;&gt;""),Programme_Grunddaten!S250,"")</f>
        <v/>
      </c>
      <c r="H245" t="str">
        <f>IF(AND(Programme_Grunddaten!$A250="Geprüft",Programme_Grunddaten!AW250&lt;&gt;""),Programme_Grunddaten!AW250,"")</f>
        <v/>
      </c>
      <c r="I245" t="str">
        <f>IF(AND(Programme_Grunddaten!$A250="Geprüft",Programme_Grunddaten!AX250&lt;&gt;""),Programme_Grunddaten!AX250,"")</f>
        <v/>
      </c>
    </row>
    <row r="246" spans="1:9" x14ac:dyDescent="0.3">
      <c r="A246" s="1" t="str">
        <f>IF(AND(Programme_Grunddaten!$A251="Geprüft",Programme_Grunddaten!B251&lt;&gt;""),Programme_Grunddaten!B251,"")</f>
        <v/>
      </c>
      <c r="B246" s="1" t="str">
        <f>IF(AND(Programme_Grunddaten!$A251="Geprüft",Programme_Grunddaten!C251&lt;&gt;""),Programme_Grunddaten!C251,"")</f>
        <v/>
      </c>
      <c r="C246" s="1" t="str">
        <f>IF(AND(Programme_Grunddaten!$A251="Geprüft",Programme_Grunddaten!D251&lt;&gt;""),Programme_Grunddaten!D251,"")</f>
        <v/>
      </c>
      <c r="D246" s="2" t="str">
        <f>IF(AND(Programme_Grunddaten!$A251="Geprüft",Programme_Grunddaten!E251&lt;&gt;""),Programme_Grunddaten!E251,"")</f>
        <v/>
      </c>
      <c r="E246" t="str">
        <f>IF(AND(Programme_Grunddaten!$A251="Geprüft",Programme_Grunddaten!G251&lt;&gt;""),Programme_Grunddaten!G251,"")</f>
        <v/>
      </c>
      <c r="F246" t="str">
        <f>IF(AND(Programme_Grunddaten!$A251="Geprüft",Programme_Grunddaten!F251&lt;&gt;""),Programme_Grunddaten!F251,"")</f>
        <v/>
      </c>
      <c r="G246" s="3" t="str">
        <f>IF(AND(Programme_Grunddaten!$A251="Geprüft",Programme_Grunddaten!S251&lt;&gt;""),Programme_Grunddaten!S251,"")</f>
        <v/>
      </c>
      <c r="H246" t="str">
        <f>IF(AND(Programme_Grunddaten!$A251="Geprüft",Programme_Grunddaten!AW251&lt;&gt;""),Programme_Grunddaten!AW251,"")</f>
        <v/>
      </c>
      <c r="I246" t="str">
        <f>IF(AND(Programme_Grunddaten!$A251="Geprüft",Programme_Grunddaten!AX251&lt;&gt;""),Programme_Grunddaten!AX251,"")</f>
        <v/>
      </c>
    </row>
    <row r="247" spans="1:9" x14ac:dyDescent="0.3">
      <c r="A247" s="1" t="str">
        <f>IF(AND(Programme_Grunddaten!$A252="Geprüft",Programme_Grunddaten!B252&lt;&gt;""),Programme_Grunddaten!B252,"")</f>
        <v/>
      </c>
      <c r="B247" s="1" t="str">
        <f>IF(AND(Programme_Grunddaten!$A252="Geprüft",Programme_Grunddaten!C252&lt;&gt;""),Programme_Grunddaten!C252,"")</f>
        <v/>
      </c>
      <c r="C247" s="1" t="str">
        <f>IF(AND(Programme_Grunddaten!$A252="Geprüft",Programme_Grunddaten!D252&lt;&gt;""),Programme_Grunddaten!D252,"")</f>
        <v/>
      </c>
      <c r="D247" s="2" t="str">
        <f>IF(AND(Programme_Grunddaten!$A252="Geprüft",Programme_Grunddaten!E252&lt;&gt;""),Programme_Grunddaten!E252,"")</f>
        <v/>
      </c>
      <c r="E247" t="str">
        <f>IF(AND(Programme_Grunddaten!$A252="Geprüft",Programme_Grunddaten!G252&lt;&gt;""),Programme_Grunddaten!G252,"")</f>
        <v/>
      </c>
      <c r="F247" t="str">
        <f>IF(AND(Programme_Grunddaten!$A252="Geprüft",Programme_Grunddaten!F252&lt;&gt;""),Programme_Grunddaten!F252,"")</f>
        <v/>
      </c>
      <c r="G247" s="3" t="str">
        <f>IF(AND(Programme_Grunddaten!$A252="Geprüft",Programme_Grunddaten!S252&lt;&gt;""),Programme_Grunddaten!S252,"")</f>
        <v/>
      </c>
      <c r="H247" t="str">
        <f>IF(AND(Programme_Grunddaten!$A252="Geprüft",Programme_Grunddaten!AW252&lt;&gt;""),Programme_Grunddaten!AW252,"")</f>
        <v/>
      </c>
      <c r="I247" t="str">
        <f>IF(AND(Programme_Grunddaten!$A252="Geprüft",Programme_Grunddaten!AX252&lt;&gt;""),Programme_Grunddaten!AX252,"")</f>
        <v/>
      </c>
    </row>
    <row r="248" spans="1:9" x14ac:dyDescent="0.3">
      <c r="A248" s="1" t="str">
        <f>IF(AND(Programme_Grunddaten!$A253="Geprüft",Programme_Grunddaten!B253&lt;&gt;""),Programme_Grunddaten!B253,"")</f>
        <v/>
      </c>
      <c r="B248" s="1" t="str">
        <f>IF(AND(Programme_Grunddaten!$A253="Geprüft",Programme_Grunddaten!C253&lt;&gt;""),Programme_Grunddaten!C253,"")</f>
        <v/>
      </c>
      <c r="C248" s="1" t="str">
        <f>IF(AND(Programme_Grunddaten!$A253="Geprüft",Programme_Grunddaten!D253&lt;&gt;""),Programme_Grunddaten!D253,"")</f>
        <v/>
      </c>
      <c r="D248" s="2" t="str">
        <f>IF(AND(Programme_Grunddaten!$A253="Geprüft",Programme_Grunddaten!E253&lt;&gt;""),Programme_Grunddaten!E253,"")</f>
        <v/>
      </c>
      <c r="E248" t="str">
        <f>IF(AND(Programme_Grunddaten!$A253="Geprüft",Programme_Grunddaten!G253&lt;&gt;""),Programme_Grunddaten!G253,"")</f>
        <v/>
      </c>
      <c r="F248" t="str">
        <f>IF(AND(Programme_Grunddaten!$A253="Geprüft",Programme_Grunddaten!F253&lt;&gt;""),Programme_Grunddaten!F253,"")</f>
        <v/>
      </c>
      <c r="G248" s="3" t="str">
        <f>IF(AND(Programme_Grunddaten!$A253="Geprüft",Programme_Grunddaten!S253&lt;&gt;""),Programme_Grunddaten!S253,"")</f>
        <v/>
      </c>
      <c r="H248" t="str">
        <f>IF(AND(Programme_Grunddaten!$A253="Geprüft",Programme_Grunddaten!AW253&lt;&gt;""),Programme_Grunddaten!AW253,"")</f>
        <v/>
      </c>
      <c r="I248" t="str">
        <f>IF(AND(Programme_Grunddaten!$A253="Geprüft",Programme_Grunddaten!AX253&lt;&gt;""),Programme_Grunddaten!AX253,"")</f>
        <v/>
      </c>
    </row>
    <row r="249" spans="1:9" x14ac:dyDescent="0.3">
      <c r="A249" s="1" t="str">
        <f>IF(AND(Programme_Grunddaten!$A254="Geprüft",Programme_Grunddaten!B254&lt;&gt;""),Programme_Grunddaten!B254,"")</f>
        <v/>
      </c>
      <c r="B249" s="1" t="str">
        <f>IF(AND(Programme_Grunddaten!$A254="Geprüft",Programme_Grunddaten!C254&lt;&gt;""),Programme_Grunddaten!C254,"")</f>
        <v/>
      </c>
      <c r="C249" s="1" t="str">
        <f>IF(AND(Programme_Grunddaten!$A254="Geprüft",Programme_Grunddaten!D254&lt;&gt;""),Programme_Grunddaten!D254,"")</f>
        <v/>
      </c>
      <c r="D249" s="2" t="str">
        <f>IF(AND(Programme_Grunddaten!$A254="Geprüft",Programme_Grunddaten!E254&lt;&gt;""),Programme_Grunddaten!E254,"")</f>
        <v/>
      </c>
      <c r="E249" t="str">
        <f>IF(AND(Programme_Grunddaten!$A254="Geprüft",Programme_Grunddaten!G254&lt;&gt;""),Programme_Grunddaten!G254,"")</f>
        <v/>
      </c>
      <c r="F249" t="str">
        <f>IF(AND(Programme_Grunddaten!$A254="Geprüft",Programme_Grunddaten!F254&lt;&gt;""),Programme_Grunddaten!F254,"")</f>
        <v/>
      </c>
      <c r="G249" s="3" t="str">
        <f>IF(AND(Programme_Grunddaten!$A254="Geprüft",Programme_Grunddaten!S254&lt;&gt;""),Programme_Grunddaten!S254,"")</f>
        <v/>
      </c>
      <c r="H249" t="str">
        <f>IF(AND(Programme_Grunddaten!$A254="Geprüft",Programme_Grunddaten!AW254&lt;&gt;""),Programme_Grunddaten!AW254,"")</f>
        <v/>
      </c>
      <c r="I249" t="str">
        <f>IF(AND(Programme_Grunddaten!$A254="Geprüft",Programme_Grunddaten!AX254&lt;&gt;""),Programme_Grunddaten!AX254,"")</f>
        <v/>
      </c>
    </row>
    <row r="250" spans="1:9" x14ac:dyDescent="0.3">
      <c r="A250" s="1" t="str">
        <f>IF(AND(Programme_Grunddaten!$A255="Geprüft",Programme_Grunddaten!B255&lt;&gt;""),Programme_Grunddaten!B255,"")</f>
        <v/>
      </c>
      <c r="B250" s="1" t="str">
        <f>IF(AND(Programme_Grunddaten!$A255="Geprüft",Programme_Grunddaten!C255&lt;&gt;""),Programme_Grunddaten!C255,"")</f>
        <v/>
      </c>
      <c r="C250" s="1" t="str">
        <f>IF(AND(Programme_Grunddaten!$A255="Geprüft",Programme_Grunddaten!D255&lt;&gt;""),Programme_Grunddaten!D255,"")</f>
        <v/>
      </c>
      <c r="D250" s="2" t="str">
        <f>IF(AND(Programme_Grunddaten!$A255="Geprüft",Programme_Grunddaten!E255&lt;&gt;""),Programme_Grunddaten!E255,"")</f>
        <v/>
      </c>
      <c r="E250" t="str">
        <f>IF(AND(Programme_Grunddaten!$A255="Geprüft",Programme_Grunddaten!G255&lt;&gt;""),Programme_Grunddaten!G255,"")</f>
        <v/>
      </c>
      <c r="F250" t="str">
        <f>IF(AND(Programme_Grunddaten!$A255="Geprüft",Programme_Grunddaten!F255&lt;&gt;""),Programme_Grunddaten!F255,"")</f>
        <v/>
      </c>
      <c r="G250" s="3" t="str">
        <f>IF(AND(Programme_Grunddaten!$A255="Geprüft",Programme_Grunddaten!S255&lt;&gt;""),Programme_Grunddaten!S255,"")</f>
        <v/>
      </c>
      <c r="H250" t="str">
        <f>IF(AND(Programme_Grunddaten!$A255="Geprüft",Programme_Grunddaten!AW255&lt;&gt;""),Programme_Grunddaten!AW255,"")</f>
        <v/>
      </c>
      <c r="I250" t="str">
        <f>IF(AND(Programme_Grunddaten!$A255="Geprüft",Programme_Grunddaten!AX255&lt;&gt;""),Programme_Grunddaten!AX255,"")</f>
        <v/>
      </c>
    </row>
    <row r="251" spans="1:9" x14ac:dyDescent="0.3">
      <c r="A251" s="1" t="str">
        <f>IF(AND(Programme_Grunddaten!$A256="Geprüft",Programme_Grunddaten!B256&lt;&gt;""),Programme_Grunddaten!B256,"")</f>
        <v/>
      </c>
      <c r="B251" s="1" t="str">
        <f>IF(AND(Programme_Grunddaten!$A256="Geprüft",Programme_Grunddaten!C256&lt;&gt;""),Programme_Grunddaten!C256,"")</f>
        <v/>
      </c>
      <c r="C251" s="1" t="str">
        <f>IF(AND(Programme_Grunddaten!$A256="Geprüft",Programme_Grunddaten!D256&lt;&gt;""),Programme_Grunddaten!D256,"")</f>
        <v/>
      </c>
      <c r="D251" s="2" t="str">
        <f>IF(AND(Programme_Grunddaten!$A256="Geprüft",Programme_Grunddaten!E256&lt;&gt;""),Programme_Grunddaten!E256,"")</f>
        <v/>
      </c>
      <c r="E251" t="str">
        <f>IF(AND(Programme_Grunddaten!$A256="Geprüft",Programme_Grunddaten!G256&lt;&gt;""),Programme_Grunddaten!G256,"")</f>
        <v/>
      </c>
      <c r="F251" t="str">
        <f>IF(AND(Programme_Grunddaten!$A256="Geprüft",Programme_Grunddaten!F256&lt;&gt;""),Programme_Grunddaten!F256,"")</f>
        <v/>
      </c>
      <c r="G251" s="3" t="str">
        <f>IF(AND(Programme_Grunddaten!$A256="Geprüft",Programme_Grunddaten!S256&lt;&gt;""),Programme_Grunddaten!S256,"")</f>
        <v/>
      </c>
      <c r="H251" t="str">
        <f>IF(AND(Programme_Grunddaten!$A256="Geprüft",Programme_Grunddaten!AW256&lt;&gt;""),Programme_Grunddaten!AW256,"")</f>
        <v/>
      </c>
      <c r="I251" t="str">
        <f>IF(AND(Programme_Grunddaten!$A256="Geprüft",Programme_Grunddaten!AX256&lt;&gt;""),Programme_Grunddaten!AX256,"")</f>
        <v/>
      </c>
    </row>
    <row r="252" spans="1:9" x14ac:dyDescent="0.3">
      <c r="A252" s="1" t="str">
        <f>IF(AND(Programme_Grunddaten!$A257="Geprüft",Programme_Grunddaten!B257&lt;&gt;""),Programme_Grunddaten!B257,"")</f>
        <v/>
      </c>
      <c r="B252" s="1" t="str">
        <f>IF(AND(Programme_Grunddaten!$A257="Geprüft",Programme_Grunddaten!C257&lt;&gt;""),Programme_Grunddaten!C257,"")</f>
        <v/>
      </c>
      <c r="C252" s="1" t="str">
        <f>IF(AND(Programme_Grunddaten!$A257="Geprüft",Programme_Grunddaten!D257&lt;&gt;""),Programme_Grunddaten!D257,"")</f>
        <v/>
      </c>
      <c r="D252" s="2" t="str">
        <f>IF(AND(Programme_Grunddaten!$A257="Geprüft",Programme_Grunddaten!E257&lt;&gt;""),Programme_Grunddaten!E257,"")</f>
        <v/>
      </c>
      <c r="E252" t="str">
        <f>IF(AND(Programme_Grunddaten!$A257="Geprüft",Programme_Grunddaten!G257&lt;&gt;""),Programme_Grunddaten!G257,"")</f>
        <v/>
      </c>
      <c r="F252" t="str">
        <f>IF(AND(Programme_Grunddaten!$A257="Geprüft",Programme_Grunddaten!F257&lt;&gt;""),Programme_Grunddaten!F257,"")</f>
        <v/>
      </c>
      <c r="G252" s="3" t="str">
        <f>IF(AND(Programme_Grunddaten!$A257="Geprüft",Programme_Grunddaten!S257&lt;&gt;""),Programme_Grunddaten!S257,"")</f>
        <v/>
      </c>
      <c r="H252" t="str">
        <f>IF(AND(Programme_Grunddaten!$A257="Geprüft",Programme_Grunddaten!AW257&lt;&gt;""),Programme_Grunddaten!AW257,"")</f>
        <v/>
      </c>
      <c r="I252" t="str">
        <f>IF(AND(Programme_Grunddaten!$A257="Geprüft",Programme_Grunddaten!AX257&lt;&gt;""),Programme_Grunddaten!AX257,"")</f>
        <v/>
      </c>
    </row>
    <row r="253" spans="1:9" x14ac:dyDescent="0.3">
      <c r="A253" s="1" t="str">
        <f>IF(AND(Programme_Grunddaten!$A258="Geprüft",Programme_Grunddaten!B258&lt;&gt;""),Programme_Grunddaten!B258,"")</f>
        <v/>
      </c>
      <c r="B253" s="1" t="str">
        <f>IF(AND(Programme_Grunddaten!$A258="Geprüft",Programme_Grunddaten!C258&lt;&gt;""),Programme_Grunddaten!C258,"")</f>
        <v/>
      </c>
      <c r="C253" s="1" t="str">
        <f>IF(AND(Programme_Grunddaten!$A258="Geprüft",Programme_Grunddaten!D258&lt;&gt;""),Programme_Grunddaten!D258,"")</f>
        <v/>
      </c>
      <c r="D253" s="2" t="str">
        <f>IF(AND(Programme_Grunddaten!$A258="Geprüft",Programme_Grunddaten!E258&lt;&gt;""),Programme_Grunddaten!E258,"")</f>
        <v/>
      </c>
      <c r="E253" t="str">
        <f>IF(AND(Programme_Grunddaten!$A258="Geprüft",Programme_Grunddaten!G258&lt;&gt;""),Programme_Grunddaten!G258,"")</f>
        <v/>
      </c>
      <c r="F253" t="str">
        <f>IF(AND(Programme_Grunddaten!$A258="Geprüft",Programme_Grunddaten!F258&lt;&gt;""),Programme_Grunddaten!F258,"")</f>
        <v/>
      </c>
      <c r="G253" s="3" t="str">
        <f>IF(AND(Programme_Grunddaten!$A258="Geprüft",Programme_Grunddaten!S258&lt;&gt;""),Programme_Grunddaten!S258,"")</f>
        <v/>
      </c>
      <c r="H253" t="str">
        <f>IF(AND(Programme_Grunddaten!$A258="Geprüft",Programme_Grunddaten!AW258&lt;&gt;""),Programme_Grunddaten!AW258,"")</f>
        <v/>
      </c>
      <c r="I253" t="str">
        <f>IF(AND(Programme_Grunddaten!$A258="Geprüft",Programme_Grunddaten!AX258&lt;&gt;""),Programme_Grunddaten!AX258,"")</f>
        <v/>
      </c>
    </row>
    <row r="254" spans="1:9" x14ac:dyDescent="0.3">
      <c r="A254" s="1" t="str">
        <f>IF(AND(Programme_Grunddaten!$A259="Geprüft",Programme_Grunddaten!B259&lt;&gt;""),Programme_Grunddaten!B259,"")</f>
        <v/>
      </c>
      <c r="B254" s="1" t="str">
        <f>IF(AND(Programme_Grunddaten!$A259="Geprüft",Programme_Grunddaten!C259&lt;&gt;""),Programme_Grunddaten!C259,"")</f>
        <v/>
      </c>
      <c r="C254" s="1" t="str">
        <f>IF(AND(Programme_Grunddaten!$A259="Geprüft",Programme_Grunddaten!D259&lt;&gt;""),Programme_Grunddaten!D259,"")</f>
        <v/>
      </c>
      <c r="D254" s="2" t="str">
        <f>IF(AND(Programme_Grunddaten!$A259="Geprüft",Programme_Grunddaten!E259&lt;&gt;""),Programme_Grunddaten!E259,"")</f>
        <v/>
      </c>
      <c r="E254" t="str">
        <f>IF(AND(Programme_Grunddaten!$A259="Geprüft",Programme_Grunddaten!G259&lt;&gt;""),Programme_Grunddaten!G259,"")</f>
        <v/>
      </c>
      <c r="F254" t="str">
        <f>IF(AND(Programme_Grunddaten!$A259="Geprüft",Programme_Grunddaten!F259&lt;&gt;""),Programme_Grunddaten!F259,"")</f>
        <v/>
      </c>
      <c r="G254" s="3" t="str">
        <f>IF(AND(Programme_Grunddaten!$A259="Geprüft",Programme_Grunddaten!S259&lt;&gt;""),Programme_Grunddaten!S259,"")</f>
        <v/>
      </c>
      <c r="H254" t="str">
        <f>IF(AND(Programme_Grunddaten!$A259="Geprüft",Programme_Grunddaten!AW259&lt;&gt;""),Programme_Grunddaten!AW259,"")</f>
        <v/>
      </c>
      <c r="I254" t="str">
        <f>IF(AND(Programme_Grunddaten!$A259="Geprüft",Programme_Grunddaten!AX259&lt;&gt;""),Programme_Grunddaten!AX259,"")</f>
        <v/>
      </c>
    </row>
    <row r="255" spans="1:9" x14ac:dyDescent="0.3">
      <c r="A255" s="1" t="str">
        <f>IF(AND(Programme_Grunddaten!$A260="Geprüft",Programme_Grunddaten!B260&lt;&gt;""),Programme_Grunddaten!B260,"")</f>
        <v/>
      </c>
      <c r="B255" s="1" t="str">
        <f>IF(AND(Programme_Grunddaten!$A260="Geprüft",Programme_Grunddaten!C260&lt;&gt;""),Programme_Grunddaten!C260,"")</f>
        <v/>
      </c>
      <c r="C255" s="1" t="str">
        <f>IF(AND(Programme_Grunddaten!$A260="Geprüft",Programme_Grunddaten!D260&lt;&gt;""),Programme_Grunddaten!D260,"")</f>
        <v/>
      </c>
      <c r="D255" s="2" t="str">
        <f>IF(AND(Programme_Grunddaten!$A260="Geprüft",Programme_Grunddaten!E260&lt;&gt;""),Programme_Grunddaten!E260,"")</f>
        <v/>
      </c>
      <c r="E255" t="str">
        <f>IF(AND(Programme_Grunddaten!$A260="Geprüft",Programme_Grunddaten!G260&lt;&gt;""),Programme_Grunddaten!G260,"")</f>
        <v/>
      </c>
      <c r="F255" t="str">
        <f>IF(AND(Programme_Grunddaten!$A260="Geprüft",Programme_Grunddaten!F260&lt;&gt;""),Programme_Grunddaten!F260,"")</f>
        <v/>
      </c>
      <c r="G255" s="3" t="str">
        <f>IF(AND(Programme_Grunddaten!$A260="Geprüft",Programme_Grunddaten!S260&lt;&gt;""),Programme_Grunddaten!S260,"")</f>
        <v/>
      </c>
      <c r="H255" t="str">
        <f>IF(AND(Programme_Grunddaten!$A260="Geprüft",Programme_Grunddaten!AW260&lt;&gt;""),Programme_Grunddaten!AW260,"")</f>
        <v/>
      </c>
      <c r="I255" t="str">
        <f>IF(AND(Programme_Grunddaten!$A260="Geprüft",Programme_Grunddaten!AX260&lt;&gt;""),Programme_Grunddaten!AX260,"")</f>
        <v/>
      </c>
    </row>
    <row r="256" spans="1:9" x14ac:dyDescent="0.3">
      <c r="A256" s="1" t="str">
        <f>IF(AND(Programme_Grunddaten!$A261="Geprüft",Programme_Grunddaten!B261&lt;&gt;""),Programme_Grunddaten!B261,"")</f>
        <v/>
      </c>
      <c r="B256" s="1" t="str">
        <f>IF(AND(Programme_Grunddaten!$A261="Geprüft",Programme_Grunddaten!C261&lt;&gt;""),Programme_Grunddaten!C261,"")</f>
        <v/>
      </c>
      <c r="C256" s="1" t="str">
        <f>IF(AND(Programme_Grunddaten!$A261="Geprüft",Programme_Grunddaten!D261&lt;&gt;""),Programme_Grunddaten!D261,"")</f>
        <v/>
      </c>
      <c r="D256" s="2" t="str">
        <f>IF(AND(Programme_Grunddaten!$A261="Geprüft",Programme_Grunddaten!E261&lt;&gt;""),Programme_Grunddaten!E261,"")</f>
        <v/>
      </c>
      <c r="E256" t="str">
        <f>IF(AND(Programme_Grunddaten!$A261="Geprüft",Programme_Grunddaten!G261&lt;&gt;""),Programme_Grunddaten!G261,"")</f>
        <v/>
      </c>
      <c r="F256" t="str">
        <f>IF(AND(Programme_Grunddaten!$A261="Geprüft",Programme_Grunddaten!F261&lt;&gt;""),Programme_Grunddaten!F261,"")</f>
        <v/>
      </c>
      <c r="G256" s="3" t="str">
        <f>IF(AND(Programme_Grunddaten!$A261="Geprüft",Programme_Grunddaten!S261&lt;&gt;""),Programme_Grunddaten!S261,"")</f>
        <v/>
      </c>
      <c r="H256" t="str">
        <f>IF(AND(Programme_Grunddaten!$A261="Geprüft",Programme_Grunddaten!AW261&lt;&gt;""),Programme_Grunddaten!AW261,"")</f>
        <v/>
      </c>
      <c r="I256" t="str">
        <f>IF(AND(Programme_Grunddaten!$A261="Geprüft",Programme_Grunddaten!AX261&lt;&gt;""),Programme_Grunddaten!AX261,"")</f>
        <v/>
      </c>
    </row>
    <row r="257" spans="1:9" x14ac:dyDescent="0.3">
      <c r="A257" s="1" t="str">
        <f>IF(AND(Programme_Grunddaten!$A262="Geprüft",Programme_Grunddaten!B262&lt;&gt;""),Programme_Grunddaten!B262,"")</f>
        <v/>
      </c>
      <c r="B257" s="1" t="str">
        <f>IF(AND(Programme_Grunddaten!$A262="Geprüft",Programme_Grunddaten!C262&lt;&gt;""),Programme_Grunddaten!C262,"")</f>
        <v/>
      </c>
      <c r="C257" s="1" t="str">
        <f>IF(AND(Programme_Grunddaten!$A262="Geprüft",Programme_Grunddaten!D262&lt;&gt;""),Programme_Grunddaten!D262,"")</f>
        <v/>
      </c>
      <c r="D257" s="2" t="str">
        <f>IF(AND(Programme_Grunddaten!$A262="Geprüft",Programme_Grunddaten!E262&lt;&gt;""),Programme_Grunddaten!E262,"")</f>
        <v/>
      </c>
      <c r="E257" t="str">
        <f>IF(AND(Programme_Grunddaten!$A262="Geprüft",Programme_Grunddaten!G262&lt;&gt;""),Programme_Grunddaten!G262,"")</f>
        <v/>
      </c>
      <c r="F257" t="str">
        <f>IF(AND(Programme_Grunddaten!$A262="Geprüft",Programme_Grunddaten!F262&lt;&gt;""),Programme_Grunddaten!F262,"")</f>
        <v/>
      </c>
      <c r="G257" s="3" t="str">
        <f>IF(AND(Programme_Grunddaten!$A262="Geprüft",Programme_Grunddaten!S262&lt;&gt;""),Programme_Grunddaten!S262,"")</f>
        <v/>
      </c>
      <c r="H257" t="str">
        <f>IF(AND(Programme_Grunddaten!$A262="Geprüft",Programme_Grunddaten!AW262&lt;&gt;""),Programme_Grunddaten!AW262,"")</f>
        <v/>
      </c>
      <c r="I257" t="str">
        <f>IF(AND(Programme_Grunddaten!$A262="Geprüft",Programme_Grunddaten!AX262&lt;&gt;""),Programme_Grunddaten!AX262,"")</f>
        <v/>
      </c>
    </row>
    <row r="258" spans="1:9" x14ac:dyDescent="0.3">
      <c r="A258" s="1" t="str">
        <f>IF(AND(Programme_Grunddaten!$A263="Geprüft",Programme_Grunddaten!B263&lt;&gt;""),Programme_Grunddaten!B263,"")</f>
        <v/>
      </c>
      <c r="B258" s="1" t="str">
        <f>IF(AND(Programme_Grunddaten!$A263="Geprüft",Programme_Grunddaten!C263&lt;&gt;""),Programme_Grunddaten!C263,"")</f>
        <v/>
      </c>
      <c r="C258" s="1" t="str">
        <f>IF(AND(Programme_Grunddaten!$A263="Geprüft",Programme_Grunddaten!D263&lt;&gt;""),Programme_Grunddaten!D263,"")</f>
        <v/>
      </c>
      <c r="D258" s="2" t="str">
        <f>IF(AND(Programme_Grunddaten!$A263="Geprüft",Programme_Grunddaten!E263&lt;&gt;""),Programme_Grunddaten!E263,"")</f>
        <v/>
      </c>
      <c r="E258" t="str">
        <f>IF(AND(Programme_Grunddaten!$A263="Geprüft",Programme_Grunddaten!G263&lt;&gt;""),Programme_Grunddaten!G263,"")</f>
        <v/>
      </c>
      <c r="F258" t="str">
        <f>IF(AND(Programme_Grunddaten!$A263="Geprüft",Programme_Grunddaten!F263&lt;&gt;""),Programme_Grunddaten!F263,"")</f>
        <v/>
      </c>
      <c r="G258" s="3" t="str">
        <f>IF(AND(Programme_Grunddaten!$A263="Geprüft",Programme_Grunddaten!S263&lt;&gt;""),Programme_Grunddaten!S263,"")</f>
        <v/>
      </c>
      <c r="H258" t="str">
        <f>IF(AND(Programme_Grunddaten!$A263="Geprüft",Programme_Grunddaten!AW263&lt;&gt;""),Programme_Grunddaten!AW263,"")</f>
        <v/>
      </c>
      <c r="I258" t="str">
        <f>IF(AND(Programme_Grunddaten!$A263="Geprüft",Programme_Grunddaten!AX263&lt;&gt;""),Programme_Grunddaten!AX263,"")</f>
        <v/>
      </c>
    </row>
    <row r="259" spans="1:9" x14ac:dyDescent="0.3">
      <c r="A259" s="1" t="str">
        <f>IF(AND(Programme_Grunddaten!$A264="Geprüft",Programme_Grunddaten!B264&lt;&gt;""),Programme_Grunddaten!B264,"")</f>
        <v/>
      </c>
      <c r="B259" s="1" t="str">
        <f>IF(AND(Programme_Grunddaten!$A264="Geprüft",Programme_Grunddaten!C264&lt;&gt;""),Programme_Grunddaten!C264,"")</f>
        <v/>
      </c>
      <c r="C259" s="1" t="str">
        <f>IF(AND(Programme_Grunddaten!$A264="Geprüft",Programme_Grunddaten!D264&lt;&gt;""),Programme_Grunddaten!D264,"")</f>
        <v/>
      </c>
      <c r="D259" s="2" t="str">
        <f>IF(AND(Programme_Grunddaten!$A264="Geprüft",Programme_Grunddaten!E264&lt;&gt;""),Programme_Grunddaten!E264,"")</f>
        <v/>
      </c>
      <c r="E259" t="str">
        <f>IF(AND(Programme_Grunddaten!$A264="Geprüft",Programme_Grunddaten!G264&lt;&gt;""),Programme_Grunddaten!G264,"")</f>
        <v/>
      </c>
      <c r="F259" t="str">
        <f>IF(AND(Programme_Grunddaten!$A264="Geprüft",Programme_Grunddaten!F264&lt;&gt;""),Programme_Grunddaten!F264,"")</f>
        <v/>
      </c>
      <c r="G259" s="3" t="str">
        <f>IF(AND(Programme_Grunddaten!$A264="Geprüft",Programme_Grunddaten!S264&lt;&gt;""),Programme_Grunddaten!S264,"")</f>
        <v/>
      </c>
      <c r="H259" t="str">
        <f>IF(AND(Programme_Grunddaten!$A264="Geprüft",Programme_Grunddaten!AW264&lt;&gt;""),Programme_Grunddaten!AW264,"")</f>
        <v/>
      </c>
      <c r="I259" t="str">
        <f>IF(AND(Programme_Grunddaten!$A264="Geprüft",Programme_Grunddaten!AX264&lt;&gt;""),Programme_Grunddaten!AX264,"")</f>
        <v/>
      </c>
    </row>
    <row r="260" spans="1:9" x14ac:dyDescent="0.3">
      <c r="A260" s="1" t="str">
        <f>IF(AND(Programme_Grunddaten!$A265="Geprüft",Programme_Grunddaten!B265&lt;&gt;""),Programme_Grunddaten!B265,"")</f>
        <v/>
      </c>
      <c r="B260" s="1" t="str">
        <f>IF(AND(Programme_Grunddaten!$A265="Geprüft",Programme_Grunddaten!C265&lt;&gt;""),Programme_Grunddaten!C265,"")</f>
        <v/>
      </c>
      <c r="C260" s="1" t="str">
        <f>IF(AND(Programme_Grunddaten!$A265="Geprüft",Programme_Grunddaten!D265&lt;&gt;""),Programme_Grunddaten!D265,"")</f>
        <v/>
      </c>
      <c r="D260" s="2" t="str">
        <f>IF(AND(Programme_Grunddaten!$A265="Geprüft",Programme_Grunddaten!E265&lt;&gt;""),Programme_Grunddaten!E265,"")</f>
        <v/>
      </c>
      <c r="E260" t="str">
        <f>IF(AND(Programme_Grunddaten!$A265="Geprüft",Programme_Grunddaten!G265&lt;&gt;""),Programme_Grunddaten!G265,"")</f>
        <v/>
      </c>
      <c r="F260" t="str">
        <f>IF(AND(Programme_Grunddaten!$A265="Geprüft",Programme_Grunddaten!F265&lt;&gt;""),Programme_Grunddaten!F265,"")</f>
        <v/>
      </c>
      <c r="G260" s="3" t="str">
        <f>IF(AND(Programme_Grunddaten!$A265="Geprüft",Programme_Grunddaten!S265&lt;&gt;""),Programme_Grunddaten!S265,"")</f>
        <v/>
      </c>
      <c r="H260" t="str">
        <f>IF(AND(Programme_Grunddaten!$A265="Geprüft",Programme_Grunddaten!AW265&lt;&gt;""),Programme_Grunddaten!AW265,"")</f>
        <v/>
      </c>
      <c r="I260" t="str">
        <f>IF(AND(Programme_Grunddaten!$A265="Geprüft",Programme_Grunddaten!AX265&lt;&gt;""),Programme_Grunddaten!AX265,"")</f>
        <v/>
      </c>
    </row>
    <row r="261" spans="1:9" x14ac:dyDescent="0.3">
      <c r="A261" s="1" t="str">
        <f>IF(AND(Programme_Grunddaten!$A266="Geprüft",Programme_Grunddaten!B266&lt;&gt;""),Programme_Grunddaten!B266,"")</f>
        <v/>
      </c>
      <c r="B261" s="1" t="str">
        <f>IF(AND(Programme_Grunddaten!$A266="Geprüft",Programme_Grunddaten!C266&lt;&gt;""),Programme_Grunddaten!C266,"")</f>
        <v/>
      </c>
      <c r="C261" s="1" t="str">
        <f>IF(AND(Programme_Grunddaten!$A266="Geprüft",Programme_Grunddaten!D266&lt;&gt;""),Programme_Grunddaten!D266,"")</f>
        <v/>
      </c>
      <c r="D261" s="2" t="str">
        <f>IF(AND(Programme_Grunddaten!$A266="Geprüft",Programme_Grunddaten!E266&lt;&gt;""),Programme_Grunddaten!E266,"")</f>
        <v/>
      </c>
      <c r="E261" t="str">
        <f>IF(AND(Programme_Grunddaten!$A266="Geprüft",Programme_Grunddaten!G266&lt;&gt;""),Programme_Grunddaten!G266,"")</f>
        <v/>
      </c>
      <c r="F261" t="str">
        <f>IF(AND(Programme_Grunddaten!$A266="Geprüft",Programme_Grunddaten!F266&lt;&gt;""),Programme_Grunddaten!F266,"")</f>
        <v/>
      </c>
      <c r="G261" s="3" t="str">
        <f>IF(AND(Programme_Grunddaten!$A266="Geprüft",Programme_Grunddaten!S266&lt;&gt;""),Programme_Grunddaten!S266,"")</f>
        <v/>
      </c>
      <c r="H261" t="str">
        <f>IF(AND(Programme_Grunddaten!$A266="Geprüft",Programme_Grunddaten!AW266&lt;&gt;""),Programme_Grunddaten!AW266,"")</f>
        <v/>
      </c>
      <c r="I261" t="str">
        <f>IF(AND(Programme_Grunddaten!$A266="Geprüft",Programme_Grunddaten!AX266&lt;&gt;""),Programme_Grunddaten!AX266,"")</f>
        <v/>
      </c>
    </row>
    <row r="262" spans="1:9" x14ac:dyDescent="0.3">
      <c r="A262" s="1" t="str">
        <f>IF(AND(Programme_Grunddaten!$A267="Geprüft",Programme_Grunddaten!B267&lt;&gt;""),Programme_Grunddaten!B267,"")</f>
        <v/>
      </c>
      <c r="B262" s="1" t="str">
        <f>IF(AND(Programme_Grunddaten!$A267="Geprüft",Programme_Grunddaten!C267&lt;&gt;""),Programme_Grunddaten!C267,"")</f>
        <v/>
      </c>
      <c r="C262" s="1" t="str">
        <f>IF(AND(Programme_Grunddaten!$A267="Geprüft",Programme_Grunddaten!D267&lt;&gt;""),Programme_Grunddaten!D267,"")</f>
        <v/>
      </c>
      <c r="D262" s="2" t="str">
        <f>IF(AND(Programme_Grunddaten!$A267="Geprüft",Programme_Grunddaten!E267&lt;&gt;""),Programme_Grunddaten!E267,"")</f>
        <v/>
      </c>
      <c r="E262" t="str">
        <f>IF(AND(Programme_Grunddaten!$A267="Geprüft",Programme_Grunddaten!G267&lt;&gt;""),Programme_Grunddaten!G267,"")</f>
        <v/>
      </c>
      <c r="F262" t="str">
        <f>IF(AND(Programme_Grunddaten!$A267="Geprüft",Programme_Grunddaten!F267&lt;&gt;""),Programme_Grunddaten!F267,"")</f>
        <v/>
      </c>
      <c r="G262" s="3" t="str">
        <f>IF(AND(Programme_Grunddaten!$A267="Geprüft",Programme_Grunddaten!S267&lt;&gt;""),Programme_Grunddaten!S267,"")</f>
        <v/>
      </c>
      <c r="H262" t="str">
        <f>IF(AND(Programme_Grunddaten!$A267="Geprüft",Programme_Grunddaten!AW267&lt;&gt;""),Programme_Grunddaten!AW267,"")</f>
        <v/>
      </c>
      <c r="I262" t="str">
        <f>IF(AND(Programme_Grunddaten!$A267="Geprüft",Programme_Grunddaten!AX267&lt;&gt;""),Programme_Grunddaten!AX267,"")</f>
        <v/>
      </c>
    </row>
    <row r="263" spans="1:9" x14ac:dyDescent="0.3">
      <c r="A263" s="1" t="str">
        <f>IF(AND(Programme_Grunddaten!$A268="Geprüft",Programme_Grunddaten!B268&lt;&gt;""),Programme_Grunddaten!B268,"")</f>
        <v/>
      </c>
      <c r="B263" s="1" t="str">
        <f>IF(AND(Programme_Grunddaten!$A268="Geprüft",Programme_Grunddaten!C268&lt;&gt;""),Programme_Grunddaten!C268,"")</f>
        <v/>
      </c>
      <c r="C263" s="1" t="str">
        <f>IF(AND(Programme_Grunddaten!$A268="Geprüft",Programme_Grunddaten!D268&lt;&gt;""),Programme_Grunddaten!D268,"")</f>
        <v/>
      </c>
      <c r="D263" s="2" t="str">
        <f>IF(AND(Programme_Grunddaten!$A268="Geprüft",Programme_Grunddaten!E268&lt;&gt;""),Programme_Grunddaten!E268,"")</f>
        <v/>
      </c>
      <c r="E263" t="str">
        <f>IF(AND(Programme_Grunddaten!$A268="Geprüft",Programme_Grunddaten!G268&lt;&gt;""),Programme_Grunddaten!G268,"")</f>
        <v/>
      </c>
      <c r="F263" t="str">
        <f>IF(AND(Programme_Grunddaten!$A268="Geprüft",Programme_Grunddaten!F268&lt;&gt;""),Programme_Grunddaten!F268,"")</f>
        <v/>
      </c>
      <c r="G263" s="3" t="str">
        <f>IF(AND(Programme_Grunddaten!$A268="Geprüft",Programme_Grunddaten!S268&lt;&gt;""),Programme_Grunddaten!S268,"")</f>
        <v/>
      </c>
      <c r="H263" t="str">
        <f>IF(AND(Programme_Grunddaten!$A268="Geprüft",Programme_Grunddaten!AW268&lt;&gt;""),Programme_Grunddaten!AW268,"")</f>
        <v/>
      </c>
      <c r="I263" t="str">
        <f>IF(AND(Programme_Grunddaten!$A268="Geprüft",Programme_Grunddaten!AX268&lt;&gt;""),Programme_Grunddaten!AX268,"")</f>
        <v/>
      </c>
    </row>
    <row r="264" spans="1:9" x14ac:dyDescent="0.3">
      <c r="A264" s="1" t="str">
        <f>IF(AND(Programme_Grunddaten!$A269="Geprüft",Programme_Grunddaten!B269&lt;&gt;""),Programme_Grunddaten!B269,"")</f>
        <v/>
      </c>
      <c r="B264" s="1" t="str">
        <f>IF(AND(Programme_Grunddaten!$A269="Geprüft",Programme_Grunddaten!C269&lt;&gt;""),Programme_Grunddaten!C269,"")</f>
        <v/>
      </c>
      <c r="C264" s="1" t="str">
        <f>IF(AND(Programme_Grunddaten!$A269="Geprüft",Programme_Grunddaten!D269&lt;&gt;""),Programme_Grunddaten!D269,"")</f>
        <v/>
      </c>
      <c r="D264" s="2" t="str">
        <f>IF(AND(Programme_Grunddaten!$A269="Geprüft",Programme_Grunddaten!E269&lt;&gt;""),Programme_Grunddaten!E269,"")</f>
        <v/>
      </c>
      <c r="E264" t="str">
        <f>IF(AND(Programme_Grunddaten!$A269="Geprüft",Programme_Grunddaten!G269&lt;&gt;""),Programme_Grunddaten!G269,"")</f>
        <v/>
      </c>
      <c r="F264" t="str">
        <f>IF(AND(Programme_Grunddaten!$A269="Geprüft",Programme_Grunddaten!F269&lt;&gt;""),Programme_Grunddaten!F269,"")</f>
        <v/>
      </c>
      <c r="G264" s="3" t="str">
        <f>IF(AND(Programme_Grunddaten!$A269="Geprüft",Programme_Grunddaten!S269&lt;&gt;""),Programme_Grunddaten!S269,"")</f>
        <v/>
      </c>
      <c r="H264" t="str">
        <f>IF(AND(Programme_Grunddaten!$A269="Geprüft",Programme_Grunddaten!AW269&lt;&gt;""),Programme_Grunddaten!AW269,"")</f>
        <v/>
      </c>
      <c r="I264" t="str">
        <f>IF(AND(Programme_Grunddaten!$A269="Geprüft",Programme_Grunddaten!AX269&lt;&gt;""),Programme_Grunddaten!AX269,"")</f>
        <v/>
      </c>
    </row>
    <row r="265" spans="1:9" x14ac:dyDescent="0.3">
      <c r="A265" s="1" t="str">
        <f>IF(AND(Programme_Grunddaten!$A270="Geprüft",Programme_Grunddaten!B270&lt;&gt;""),Programme_Grunddaten!B270,"")</f>
        <v/>
      </c>
      <c r="B265" s="1" t="str">
        <f>IF(AND(Programme_Grunddaten!$A270="Geprüft",Programme_Grunddaten!C270&lt;&gt;""),Programme_Grunddaten!C270,"")</f>
        <v/>
      </c>
      <c r="C265" s="1" t="str">
        <f>IF(AND(Programme_Grunddaten!$A270="Geprüft",Programme_Grunddaten!D270&lt;&gt;""),Programme_Grunddaten!D270,"")</f>
        <v/>
      </c>
      <c r="D265" s="2" t="str">
        <f>IF(AND(Programme_Grunddaten!$A270="Geprüft",Programme_Grunddaten!E270&lt;&gt;""),Programme_Grunddaten!E270,"")</f>
        <v/>
      </c>
      <c r="E265" t="str">
        <f>IF(AND(Programme_Grunddaten!$A270="Geprüft",Programme_Grunddaten!G270&lt;&gt;""),Programme_Grunddaten!G270,"")</f>
        <v/>
      </c>
      <c r="F265" t="str">
        <f>IF(AND(Programme_Grunddaten!$A270="Geprüft",Programme_Grunddaten!F270&lt;&gt;""),Programme_Grunddaten!F270,"")</f>
        <v/>
      </c>
      <c r="G265" s="3" t="str">
        <f>IF(AND(Programme_Grunddaten!$A270="Geprüft",Programme_Grunddaten!S270&lt;&gt;""),Programme_Grunddaten!S270,"")</f>
        <v/>
      </c>
      <c r="H265" t="str">
        <f>IF(AND(Programme_Grunddaten!$A270="Geprüft",Programme_Grunddaten!AW270&lt;&gt;""),Programme_Grunddaten!AW270,"")</f>
        <v/>
      </c>
      <c r="I265" t="str">
        <f>IF(AND(Programme_Grunddaten!$A270="Geprüft",Programme_Grunddaten!AX270&lt;&gt;""),Programme_Grunddaten!AX270,"")</f>
        <v/>
      </c>
    </row>
    <row r="266" spans="1:9" x14ac:dyDescent="0.3">
      <c r="A266" s="1" t="str">
        <f>IF(AND(Programme_Grunddaten!$A271="Geprüft",Programme_Grunddaten!B271&lt;&gt;""),Programme_Grunddaten!B271,"")</f>
        <v/>
      </c>
      <c r="B266" s="1" t="str">
        <f>IF(AND(Programme_Grunddaten!$A271="Geprüft",Programme_Grunddaten!C271&lt;&gt;""),Programme_Grunddaten!C271,"")</f>
        <v/>
      </c>
      <c r="C266" s="1" t="str">
        <f>IF(AND(Programme_Grunddaten!$A271="Geprüft",Programme_Grunddaten!D271&lt;&gt;""),Programme_Grunddaten!D271,"")</f>
        <v/>
      </c>
      <c r="D266" s="2" t="str">
        <f>IF(AND(Programme_Grunddaten!$A271="Geprüft",Programme_Grunddaten!E271&lt;&gt;""),Programme_Grunddaten!E271,"")</f>
        <v/>
      </c>
      <c r="E266" t="str">
        <f>IF(AND(Programme_Grunddaten!$A271="Geprüft",Programme_Grunddaten!G271&lt;&gt;""),Programme_Grunddaten!G271,"")</f>
        <v/>
      </c>
      <c r="F266" t="str">
        <f>IF(AND(Programme_Grunddaten!$A271="Geprüft",Programme_Grunddaten!F271&lt;&gt;""),Programme_Grunddaten!F271,"")</f>
        <v/>
      </c>
      <c r="G266" s="3" t="str">
        <f>IF(AND(Programme_Grunddaten!$A271="Geprüft",Programme_Grunddaten!S271&lt;&gt;""),Programme_Grunddaten!S271,"")</f>
        <v/>
      </c>
      <c r="H266" t="str">
        <f>IF(AND(Programme_Grunddaten!$A271="Geprüft",Programme_Grunddaten!AW271&lt;&gt;""),Programme_Grunddaten!AW271,"")</f>
        <v/>
      </c>
      <c r="I266" t="str">
        <f>IF(AND(Programme_Grunddaten!$A271="Geprüft",Programme_Grunddaten!AX271&lt;&gt;""),Programme_Grunddaten!AX271,"")</f>
        <v/>
      </c>
    </row>
    <row r="267" spans="1:9" x14ac:dyDescent="0.3">
      <c r="A267" s="1" t="str">
        <f>IF(AND(Programme_Grunddaten!$A272="Geprüft",Programme_Grunddaten!B272&lt;&gt;""),Programme_Grunddaten!B272,"")</f>
        <v/>
      </c>
      <c r="B267" s="1" t="str">
        <f>IF(AND(Programme_Grunddaten!$A272="Geprüft",Programme_Grunddaten!C272&lt;&gt;""),Programme_Grunddaten!C272,"")</f>
        <v/>
      </c>
      <c r="C267" s="1" t="str">
        <f>IF(AND(Programme_Grunddaten!$A272="Geprüft",Programme_Grunddaten!D272&lt;&gt;""),Programme_Grunddaten!D272,"")</f>
        <v/>
      </c>
      <c r="D267" s="2" t="str">
        <f>IF(AND(Programme_Grunddaten!$A272="Geprüft",Programme_Grunddaten!E272&lt;&gt;""),Programme_Grunddaten!E272,"")</f>
        <v/>
      </c>
      <c r="E267" t="str">
        <f>IF(AND(Programme_Grunddaten!$A272="Geprüft",Programme_Grunddaten!G272&lt;&gt;""),Programme_Grunddaten!G272,"")</f>
        <v/>
      </c>
      <c r="F267" t="str">
        <f>IF(AND(Programme_Grunddaten!$A272="Geprüft",Programme_Grunddaten!F272&lt;&gt;""),Programme_Grunddaten!F272,"")</f>
        <v/>
      </c>
      <c r="G267" s="3" t="str">
        <f>IF(AND(Programme_Grunddaten!$A272="Geprüft",Programme_Grunddaten!S272&lt;&gt;""),Programme_Grunddaten!S272,"")</f>
        <v/>
      </c>
      <c r="H267" t="str">
        <f>IF(AND(Programme_Grunddaten!$A272="Geprüft",Programme_Grunddaten!AW272&lt;&gt;""),Programme_Grunddaten!AW272,"")</f>
        <v/>
      </c>
      <c r="I267" t="str">
        <f>IF(AND(Programme_Grunddaten!$A272="Geprüft",Programme_Grunddaten!AX272&lt;&gt;""),Programme_Grunddaten!AX272,"")</f>
        <v/>
      </c>
    </row>
    <row r="268" spans="1:9" x14ac:dyDescent="0.3">
      <c r="A268" s="1" t="str">
        <f>IF(AND(Programme_Grunddaten!$A273="Geprüft",Programme_Grunddaten!B273&lt;&gt;""),Programme_Grunddaten!B273,"")</f>
        <v/>
      </c>
      <c r="B268" s="1" t="str">
        <f>IF(AND(Programme_Grunddaten!$A273="Geprüft",Programme_Grunddaten!C273&lt;&gt;""),Programme_Grunddaten!C273,"")</f>
        <v/>
      </c>
      <c r="C268" s="1" t="str">
        <f>IF(AND(Programme_Grunddaten!$A273="Geprüft",Programme_Grunddaten!D273&lt;&gt;""),Programme_Grunddaten!D273,"")</f>
        <v/>
      </c>
      <c r="D268" s="2" t="str">
        <f>IF(AND(Programme_Grunddaten!$A273="Geprüft",Programme_Grunddaten!E273&lt;&gt;""),Programme_Grunddaten!E273,"")</f>
        <v/>
      </c>
      <c r="E268" t="str">
        <f>IF(AND(Programme_Grunddaten!$A273="Geprüft",Programme_Grunddaten!G273&lt;&gt;""),Programme_Grunddaten!G273,"")</f>
        <v/>
      </c>
      <c r="F268" t="str">
        <f>IF(AND(Programme_Grunddaten!$A273="Geprüft",Programme_Grunddaten!F273&lt;&gt;""),Programme_Grunddaten!F273,"")</f>
        <v/>
      </c>
      <c r="G268" s="3" t="str">
        <f>IF(AND(Programme_Grunddaten!$A273="Geprüft",Programme_Grunddaten!S273&lt;&gt;""),Programme_Grunddaten!S273,"")</f>
        <v/>
      </c>
      <c r="H268" t="str">
        <f>IF(AND(Programme_Grunddaten!$A273="Geprüft",Programme_Grunddaten!AW273&lt;&gt;""),Programme_Grunddaten!AW273,"")</f>
        <v/>
      </c>
      <c r="I268" t="str">
        <f>IF(AND(Programme_Grunddaten!$A273="Geprüft",Programme_Grunddaten!AX273&lt;&gt;""),Programme_Grunddaten!AX273,"")</f>
        <v/>
      </c>
    </row>
    <row r="269" spans="1:9" x14ac:dyDescent="0.3">
      <c r="A269" s="1" t="str">
        <f>IF(AND(Programme_Grunddaten!$A274="Geprüft",Programme_Grunddaten!B274&lt;&gt;""),Programme_Grunddaten!B274,"")</f>
        <v/>
      </c>
      <c r="B269" s="1" t="str">
        <f>IF(AND(Programme_Grunddaten!$A274="Geprüft",Programme_Grunddaten!C274&lt;&gt;""),Programme_Grunddaten!C274,"")</f>
        <v/>
      </c>
      <c r="C269" s="1" t="str">
        <f>IF(AND(Programme_Grunddaten!$A274="Geprüft",Programme_Grunddaten!D274&lt;&gt;""),Programme_Grunddaten!D274,"")</f>
        <v/>
      </c>
      <c r="D269" s="2" t="str">
        <f>IF(AND(Programme_Grunddaten!$A274="Geprüft",Programme_Grunddaten!E274&lt;&gt;""),Programme_Grunddaten!E274,"")</f>
        <v/>
      </c>
      <c r="E269" t="str">
        <f>IF(AND(Programme_Grunddaten!$A274="Geprüft",Programme_Grunddaten!G274&lt;&gt;""),Programme_Grunddaten!G274,"")</f>
        <v/>
      </c>
      <c r="F269" t="str">
        <f>IF(AND(Programme_Grunddaten!$A274="Geprüft",Programme_Grunddaten!F274&lt;&gt;""),Programme_Grunddaten!F274,"")</f>
        <v/>
      </c>
      <c r="G269" s="3" t="str">
        <f>IF(AND(Programme_Grunddaten!$A274="Geprüft",Programme_Grunddaten!S274&lt;&gt;""),Programme_Grunddaten!S274,"")</f>
        <v/>
      </c>
      <c r="H269" t="str">
        <f>IF(AND(Programme_Grunddaten!$A274="Geprüft",Programme_Grunddaten!AW274&lt;&gt;""),Programme_Grunddaten!AW274,"")</f>
        <v/>
      </c>
      <c r="I269" t="str">
        <f>IF(AND(Programme_Grunddaten!$A274="Geprüft",Programme_Grunddaten!AX274&lt;&gt;""),Programme_Grunddaten!AX274,"")</f>
        <v/>
      </c>
    </row>
    <row r="270" spans="1:9" x14ac:dyDescent="0.3">
      <c r="A270" s="1" t="str">
        <f>IF(AND(Programme_Grunddaten!$A275="Geprüft",Programme_Grunddaten!B275&lt;&gt;""),Programme_Grunddaten!B275,"")</f>
        <v/>
      </c>
      <c r="B270" s="1" t="str">
        <f>IF(AND(Programme_Grunddaten!$A275="Geprüft",Programme_Grunddaten!C275&lt;&gt;""),Programme_Grunddaten!C275,"")</f>
        <v/>
      </c>
      <c r="C270" s="1" t="str">
        <f>IF(AND(Programme_Grunddaten!$A275="Geprüft",Programme_Grunddaten!D275&lt;&gt;""),Programme_Grunddaten!D275,"")</f>
        <v/>
      </c>
      <c r="D270" s="2" t="str">
        <f>IF(AND(Programme_Grunddaten!$A275="Geprüft",Programme_Grunddaten!E275&lt;&gt;""),Programme_Grunddaten!E275,"")</f>
        <v/>
      </c>
      <c r="E270" t="str">
        <f>IF(AND(Programme_Grunddaten!$A275="Geprüft",Programme_Grunddaten!G275&lt;&gt;""),Programme_Grunddaten!G275,"")</f>
        <v/>
      </c>
      <c r="F270" t="str">
        <f>IF(AND(Programme_Grunddaten!$A275="Geprüft",Programme_Grunddaten!F275&lt;&gt;""),Programme_Grunddaten!F275,"")</f>
        <v/>
      </c>
      <c r="G270" s="3" t="str">
        <f>IF(AND(Programme_Grunddaten!$A275="Geprüft",Programme_Grunddaten!S275&lt;&gt;""),Programme_Grunddaten!S275,"")</f>
        <v/>
      </c>
      <c r="H270" t="str">
        <f>IF(AND(Programme_Grunddaten!$A275="Geprüft",Programme_Grunddaten!AW275&lt;&gt;""),Programme_Grunddaten!AW275,"")</f>
        <v/>
      </c>
      <c r="I270" t="str">
        <f>IF(AND(Programme_Grunddaten!$A275="Geprüft",Programme_Grunddaten!AX275&lt;&gt;""),Programme_Grunddaten!AX275,"")</f>
        <v/>
      </c>
    </row>
    <row r="271" spans="1:9" x14ac:dyDescent="0.3">
      <c r="A271" s="1" t="str">
        <f>IF(AND(Programme_Grunddaten!$A276="Geprüft",Programme_Grunddaten!B276&lt;&gt;""),Programme_Grunddaten!B276,"")</f>
        <v/>
      </c>
      <c r="B271" s="1" t="str">
        <f>IF(AND(Programme_Grunddaten!$A276="Geprüft",Programme_Grunddaten!C276&lt;&gt;""),Programme_Grunddaten!C276,"")</f>
        <v/>
      </c>
      <c r="C271" s="1" t="str">
        <f>IF(AND(Programme_Grunddaten!$A276="Geprüft",Programme_Grunddaten!D276&lt;&gt;""),Programme_Grunddaten!D276,"")</f>
        <v/>
      </c>
      <c r="D271" s="2" t="str">
        <f>IF(AND(Programme_Grunddaten!$A276="Geprüft",Programme_Grunddaten!E276&lt;&gt;""),Programme_Grunddaten!E276,"")</f>
        <v/>
      </c>
      <c r="E271" t="str">
        <f>IF(AND(Programme_Grunddaten!$A276="Geprüft",Programme_Grunddaten!G276&lt;&gt;""),Programme_Grunddaten!G276,"")</f>
        <v/>
      </c>
      <c r="F271" t="str">
        <f>IF(AND(Programme_Grunddaten!$A276="Geprüft",Programme_Grunddaten!F276&lt;&gt;""),Programme_Grunddaten!F276,"")</f>
        <v/>
      </c>
      <c r="G271" s="3" t="str">
        <f>IF(AND(Programme_Grunddaten!$A276="Geprüft",Programme_Grunddaten!S276&lt;&gt;""),Programme_Grunddaten!S276,"")</f>
        <v/>
      </c>
      <c r="H271" t="str">
        <f>IF(AND(Programme_Grunddaten!$A276="Geprüft",Programme_Grunddaten!AW276&lt;&gt;""),Programme_Grunddaten!AW276,"")</f>
        <v/>
      </c>
      <c r="I271" t="str">
        <f>IF(AND(Programme_Grunddaten!$A276="Geprüft",Programme_Grunddaten!AX276&lt;&gt;""),Programme_Grunddaten!AX276,"")</f>
        <v/>
      </c>
    </row>
    <row r="272" spans="1:9" x14ac:dyDescent="0.3">
      <c r="A272" s="1" t="str">
        <f>IF(AND(Programme_Grunddaten!$A277="Geprüft",Programme_Grunddaten!B277&lt;&gt;""),Programme_Grunddaten!B277,"")</f>
        <v/>
      </c>
      <c r="B272" s="1" t="str">
        <f>IF(AND(Programme_Grunddaten!$A277="Geprüft",Programme_Grunddaten!C277&lt;&gt;""),Programme_Grunddaten!C277,"")</f>
        <v/>
      </c>
      <c r="C272" s="1" t="str">
        <f>IF(AND(Programme_Grunddaten!$A277="Geprüft",Programme_Grunddaten!D277&lt;&gt;""),Programme_Grunddaten!D277,"")</f>
        <v/>
      </c>
      <c r="D272" s="2" t="str">
        <f>IF(AND(Programme_Grunddaten!$A277="Geprüft",Programme_Grunddaten!E277&lt;&gt;""),Programme_Grunddaten!E277,"")</f>
        <v/>
      </c>
      <c r="E272" t="str">
        <f>IF(AND(Programme_Grunddaten!$A277="Geprüft",Programme_Grunddaten!G277&lt;&gt;""),Programme_Grunddaten!G277,"")</f>
        <v/>
      </c>
      <c r="F272" t="str">
        <f>IF(AND(Programme_Grunddaten!$A277="Geprüft",Programme_Grunddaten!F277&lt;&gt;""),Programme_Grunddaten!F277,"")</f>
        <v/>
      </c>
      <c r="G272" s="3" t="str">
        <f>IF(AND(Programme_Grunddaten!$A277="Geprüft",Programme_Grunddaten!S277&lt;&gt;""),Programme_Grunddaten!S277,"")</f>
        <v/>
      </c>
      <c r="H272" t="str">
        <f>IF(AND(Programme_Grunddaten!$A277="Geprüft",Programme_Grunddaten!AW277&lt;&gt;""),Programme_Grunddaten!AW277,"")</f>
        <v/>
      </c>
      <c r="I272" t="str">
        <f>IF(AND(Programme_Grunddaten!$A277="Geprüft",Programme_Grunddaten!AX277&lt;&gt;""),Programme_Grunddaten!AX277,"")</f>
        <v/>
      </c>
    </row>
    <row r="273" spans="1:9" x14ac:dyDescent="0.3">
      <c r="A273" s="1" t="str">
        <f>IF(AND(Programme_Grunddaten!$A278="Geprüft",Programme_Grunddaten!B278&lt;&gt;""),Programme_Grunddaten!B278,"")</f>
        <v/>
      </c>
      <c r="B273" s="1" t="str">
        <f>IF(AND(Programme_Grunddaten!$A278="Geprüft",Programme_Grunddaten!C278&lt;&gt;""),Programme_Grunddaten!C278,"")</f>
        <v/>
      </c>
      <c r="C273" s="1" t="str">
        <f>IF(AND(Programme_Grunddaten!$A278="Geprüft",Programme_Grunddaten!D278&lt;&gt;""),Programme_Grunddaten!D278,"")</f>
        <v/>
      </c>
      <c r="D273" s="2" t="str">
        <f>IF(AND(Programme_Grunddaten!$A278="Geprüft",Programme_Grunddaten!E278&lt;&gt;""),Programme_Grunddaten!E278,"")</f>
        <v/>
      </c>
      <c r="E273" t="str">
        <f>IF(AND(Programme_Grunddaten!$A278="Geprüft",Programme_Grunddaten!G278&lt;&gt;""),Programme_Grunddaten!G278,"")</f>
        <v/>
      </c>
      <c r="F273" t="str">
        <f>IF(AND(Programme_Grunddaten!$A278="Geprüft",Programme_Grunddaten!F278&lt;&gt;""),Programme_Grunddaten!F278,"")</f>
        <v/>
      </c>
      <c r="G273" s="3" t="str">
        <f>IF(AND(Programme_Grunddaten!$A278="Geprüft",Programme_Grunddaten!S278&lt;&gt;""),Programme_Grunddaten!S278,"")</f>
        <v/>
      </c>
      <c r="H273" t="str">
        <f>IF(AND(Programme_Grunddaten!$A278="Geprüft",Programme_Grunddaten!AW278&lt;&gt;""),Programme_Grunddaten!AW278,"")</f>
        <v/>
      </c>
      <c r="I273" t="str">
        <f>IF(AND(Programme_Grunddaten!$A278="Geprüft",Programme_Grunddaten!AX278&lt;&gt;""),Programme_Grunddaten!AX278,"")</f>
        <v/>
      </c>
    </row>
    <row r="274" spans="1:9" x14ac:dyDescent="0.3">
      <c r="A274" s="1" t="str">
        <f>IF(AND(Programme_Grunddaten!$A279="Geprüft",Programme_Grunddaten!B279&lt;&gt;""),Programme_Grunddaten!B279,"")</f>
        <v/>
      </c>
      <c r="B274" s="1" t="str">
        <f>IF(AND(Programme_Grunddaten!$A279="Geprüft",Programme_Grunddaten!C279&lt;&gt;""),Programme_Grunddaten!C279,"")</f>
        <v/>
      </c>
      <c r="C274" s="1" t="str">
        <f>IF(AND(Programme_Grunddaten!$A279="Geprüft",Programme_Grunddaten!D279&lt;&gt;""),Programme_Grunddaten!D279,"")</f>
        <v/>
      </c>
      <c r="D274" s="2" t="str">
        <f>IF(AND(Programme_Grunddaten!$A279="Geprüft",Programme_Grunddaten!E279&lt;&gt;""),Programme_Grunddaten!E279,"")</f>
        <v/>
      </c>
      <c r="E274" t="str">
        <f>IF(AND(Programme_Grunddaten!$A279="Geprüft",Programme_Grunddaten!G279&lt;&gt;""),Programme_Grunddaten!G279,"")</f>
        <v/>
      </c>
      <c r="F274" t="str">
        <f>IF(AND(Programme_Grunddaten!$A279="Geprüft",Programme_Grunddaten!F279&lt;&gt;""),Programme_Grunddaten!F279,"")</f>
        <v/>
      </c>
      <c r="G274" s="3" t="str">
        <f>IF(AND(Programme_Grunddaten!$A279="Geprüft",Programme_Grunddaten!S279&lt;&gt;""),Programme_Grunddaten!S279,"")</f>
        <v/>
      </c>
      <c r="H274" t="str">
        <f>IF(AND(Programme_Grunddaten!$A279="Geprüft",Programme_Grunddaten!AW279&lt;&gt;""),Programme_Grunddaten!AW279,"")</f>
        <v/>
      </c>
      <c r="I274" t="str">
        <f>IF(AND(Programme_Grunddaten!$A279="Geprüft",Programme_Grunddaten!AX279&lt;&gt;""),Programme_Grunddaten!AX279,"")</f>
        <v/>
      </c>
    </row>
    <row r="275" spans="1:9" x14ac:dyDescent="0.3">
      <c r="A275" s="1" t="str">
        <f>IF(AND(Programme_Grunddaten!$A280="Geprüft",Programme_Grunddaten!B280&lt;&gt;""),Programme_Grunddaten!B280,"")</f>
        <v/>
      </c>
      <c r="B275" s="1" t="str">
        <f>IF(AND(Programme_Grunddaten!$A280="Geprüft",Programme_Grunddaten!C280&lt;&gt;""),Programme_Grunddaten!C280,"")</f>
        <v/>
      </c>
      <c r="C275" s="1" t="str">
        <f>IF(AND(Programme_Grunddaten!$A280="Geprüft",Programme_Grunddaten!D280&lt;&gt;""),Programme_Grunddaten!D280,"")</f>
        <v/>
      </c>
      <c r="D275" s="2" t="str">
        <f>IF(AND(Programme_Grunddaten!$A280="Geprüft",Programme_Grunddaten!E280&lt;&gt;""),Programme_Grunddaten!E280,"")</f>
        <v/>
      </c>
      <c r="E275" t="str">
        <f>IF(AND(Programme_Grunddaten!$A280="Geprüft",Programme_Grunddaten!G280&lt;&gt;""),Programme_Grunddaten!G280,"")</f>
        <v/>
      </c>
      <c r="F275" t="str">
        <f>IF(AND(Programme_Grunddaten!$A280="Geprüft",Programme_Grunddaten!F280&lt;&gt;""),Programme_Grunddaten!F280,"")</f>
        <v/>
      </c>
      <c r="G275" s="3" t="str">
        <f>IF(AND(Programme_Grunddaten!$A280="Geprüft",Programme_Grunddaten!S280&lt;&gt;""),Programme_Grunddaten!S280,"")</f>
        <v/>
      </c>
      <c r="H275" t="str">
        <f>IF(AND(Programme_Grunddaten!$A280="Geprüft",Programme_Grunddaten!AW280&lt;&gt;""),Programme_Grunddaten!AW280,"")</f>
        <v/>
      </c>
      <c r="I275" t="str">
        <f>IF(AND(Programme_Grunddaten!$A280="Geprüft",Programme_Grunddaten!AX280&lt;&gt;""),Programme_Grunddaten!AX280,"")</f>
        <v/>
      </c>
    </row>
    <row r="276" spans="1:9" x14ac:dyDescent="0.3">
      <c r="A276" s="1" t="str">
        <f>IF(AND(Programme_Grunddaten!$A281="Geprüft",Programme_Grunddaten!B281&lt;&gt;""),Programme_Grunddaten!B281,"")</f>
        <v/>
      </c>
      <c r="B276" s="1" t="str">
        <f>IF(AND(Programme_Grunddaten!$A281="Geprüft",Programme_Grunddaten!C281&lt;&gt;""),Programme_Grunddaten!C281,"")</f>
        <v/>
      </c>
      <c r="C276" s="1" t="str">
        <f>IF(AND(Programme_Grunddaten!$A281="Geprüft",Programme_Grunddaten!D281&lt;&gt;""),Programme_Grunddaten!D281,"")</f>
        <v/>
      </c>
      <c r="D276" s="2" t="str">
        <f>IF(AND(Programme_Grunddaten!$A281="Geprüft",Programme_Grunddaten!E281&lt;&gt;""),Programme_Grunddaten!E281,"")</f>
        <v/>
      </c>
      <c r="E276" t="str">
        <f>IF(AND(Programme_Grunddaten!$A281="Geprüft",Programme_Grunddaten!G281&lt;&gt;""),Programme_Grunddaten!G281,"")</f>
        <v/>
      </c>
      <c r="F276" t="str">
        <f>IF(AND(Programme_Grunddaten!$A281="Geprüft",Programme_Grunddaten!F281&lt;&gt;""),Programme_Grunddaten!F281,"")</f>
        <v/>
      </c>
      <c r="G276" s="3" t="str">
        <f>IF(AND(Programme_Grunddaten!$A281="Geprüft",Programme_Grunddaten!S281&lt;&gt;""),Programme_Grunddaten!S281,"")</f>
        <v/>
      </c>
      <c r="H276" t="str">
        <f>IF(AND(Programme_Grunddaten!$A281="Geprüft",Programme_Grunddaten!AW281&lt;&gt;""),Programme_Grunddaten!AW281,"")</f>
        <v/>
      </c>
      <c r="I276" t="str">
        <f>IF(AND(Programme_Grunddaten!$A281="Geprüft",Programme_Grunddaten!AX281&lt;&gt;""),Programme_Grunddaten!AX281,"")</f>
        <v/>
      </c>
    </row>
    <row r="277" spans="1:9" x14ac:dyDescent="0.3">
      <c r="A277" s="1" t="str">
        <f>IF(AND(Programme_Grunddaten!$A282="Geprüft",Programme_Grunddaten!B282&lt;&gt;""),Programme_Grunddaten!B282,"")</f>
        <v/>
      </c>
      <c r="B277" s="1" t="str">
        <f>IF(AND(Programme_Grunddaten!$A282="Geprüft",Programme_Grunddaten!C282&lt;&gt;""),Programme_Grunddaten!C282,"")</f>
        <v/>
      </c>
      <c r="C277" s="1" t="str">
        <f>IF(AND(Programme_Grunddaten!$A282="Geprüft",Programme_Grunddaten!D282&lt;&gt;""),Programme_Grunddaten!D282,"")</f>
        <v/>
      </c>
      <c r="D277" s="2" t="str">
        <f>IF(AND(Programme_Grunddaten!$A282="Geprüft",Programme_Grunddaten!E282&lt;&gt;""),Programme_Grunddaten!E282,"")</f>
        <v/>
      </c>
      <c r="E277" t="str">
        <f>IF(AND(Programme_Grunddaten!$A282="Geprüft",Programme_Grunddaten!G282&lt;&gt;""),Programme_Grunddaten!G282,"")</f>
        <v/>
      </c>
      <c r="F277" t="str">
        <f>IF(AND(Programme_Grunddaten!$A282="Geprüft",Programme_Grunddaten!F282&lt;&gt;""),Programme_Grunddaten!F282,"")</f>
        <v/>
      </c>
      <c r="G277" s="3" t="str">
        <f>IF(AND(Programme_Grunddaten!$A282="Geprüft",Programme_Grunddaten!S282&lt;&gt;""),Programme_Grunddaten!S282,"")</f>
        <v/>
      </c>
      <c r="H277" t="str">
        <f>IF(AND(Programme_Grunddaten!$A282="Geprüft",Programme_Grunddaten!AW282&lt;&gt;""),Programme_Grunddaten!AW282,"")</f>
        <v/>
      </c>
      <c r="I277" t="str">
        <f>IF(AND(Programme_Grunddaten!$A282="Geprüft",Programme_Grunddaten!AX282&lt;&gt;""),Programme_Grunddaten!AX282,"")</f>
        <v/>
      </c>
    </row>
    <row r="278" spans="1:9" x14ac:dyDescent="0.3">
      <c r="A278" s="1" t="str">
        <f>IF(AND(Programme_Grunddaten!$A283="Geprüft",Programme_Grunddaten!B283&lt;&gt;""),Programme_Grunddaten!B283,"")</f>
        <v/>
      </c>
      <c r="B278" s="1" t="str">
        <f>IF(AND(Programme_Grunddaten!$A283="Geprüft",Programme_Grunddaten!C283&lt;&gt;""),Programme_Grunddaten!C283,"")</f>
        <v/>
      </c>
      <c r="C278" s="1" t="str">
        <f>IF(AND(Programme_Grunddaten!$A283="Geprüft",Programme_Grunddaten!D283&lt;&gt;""),Programme_Grunddaten!D283,"")</f>
        <v/>
      </c>
      <c r="D278" s="2" t="str">
        <f>IF(AND(Programme_Grunddaten!$A283="Geprüft",Programme_Grunddaten!E283&lt;&gt;""),Programme_Grunddaten!E283,"")</f>
        <v/>
      </c>
      <c r="E278" t="str">
        <f>IF(AND(Programme_Grunddaten!$A283="Geprüft",Programme_Grunddaten!G283&lt;&gt;""),Programme_Grunddaten!G283,"")</f>
        <v/>
      </c>
      <c r="F278" t="str">
        <f>IF(AND(Programme_Grunddaten!$A283="Geprüft",Programme_Grunddaten!F283&lt;&gt;""),Programme_Grunddaten!F283,"")</f>
        <v/>
      </c>
      <c r="G278" s="3" t="str">
        <f>IF(AND(Programme_Grunddaten!$A283="Geprüft",Programme_Grunddaten!S283&lt;&gt;""),Programme_Grunddaten!S283,"")</f>
        <v/>
      </c>
      <c r="H278" t="str">
        <f>IF(AND(Programme_Grunddaten!$A283="Geprüft",Programme_Grunddaten!AW283&lt;&gt;""),Programme_Grunddaten!AW283,"")</f>
        <v/>
      </c>
      <c r="I278" t="str">
        <f>IF(AND(Programme_Grunddaten!$A283="Geprüft",Programme_Grunddaten!AX283&lt;&gt;""),Programme_Grunddaten!AX283,"")</f>
        <v/>
      </c>
    </row>
    <row r="279" spans="1:9" x14ac:dyDescent="0.3">
      <c r="A279" s="1" t="str">
        <f>IF(AND(Programme_Grunddaten!$A284="Geprüft",Programme_Grunddaten!B284&lt;&gt;""),Programme_Grunddaten!B284,"")</f>
        <v/>
      </c>
      <c r="B279" s="1" t="str">
        <f>IF(AND(Programme_Grunddaten!$A284="Geprüft",Programme_Grunddaten!C284&lt;&gt;""),Programme_Grunddaten!C284,"")</f>
        <v/>
      </c>
      <c r="C279" s="1" t="str">
        <f>IF(AND(Programme_Grunddaten!$A284="Geprüft",Programme_Grunddaten!D284&lt;&gt;""),Programme_Grunddaten!D284,"")</f>
        <v/>
      </c>
      <c r="D279" s="2" t="str">
        <f>IF(AND(Programme_Grunddaten!$A284="Geprüft",Programme_Grunddaten!E284&lt;&gt;""),Programme_Grunddaten!E284,"")</f>
        <v/>
      </c>
      <c r="E279" t="str">
        <f>IF(AND(Programme_Grunddaten!$A284="Geprüft",Programme_Grunddaten!G284&lt;&gt;""),Programme_Grunddaten!G284,"")</f>
        <v/>
      </c>
      <c r="F279" t="str">
        <f>IF(AND(Programme_Grunddaten!$A284="Geprüft",Programme_Grunddaten!F284&lt;&gt;""),Programme_Grunddaten!F284,"")</f>
        <v/>
      </c>
      <c r="G279" s="3" t="str">
        <f>IF(AND(Programme_Grunddaten!$A284="Geprüft",Programme_Grunddaten!S284&lt;&gt;""),Programme_Grunddaten!S284,"")</f>
        <v/>
      </c>
      <c r="H279" t="str">
        <f>IF(AND(Programme_Grunddaten!$A284="Geprüft",Programme_Grunddaten!AW284&lt;&gt;""),Programme_Grunddaten!AW284,"")</f>
        <v/>
      </c>
      <c r="I279" t="str">
        <f>IF(AND(Programme_Grunddaten!$A284="Geprüft",Programme_Grunddaten!AX284&lt;&gt;""),Programme_Grunddaten!AX284,"")</f>
        <v/>
      </c>
    </row>
    <row r="280" spans="1:9" x14ac:dyDescent="0.3">
      <c r="A280" s="1" t="str">
        <f>IF(AND(Programme_Grunddaten!$A285="Geprüft",Programme_Grunddaten!B285&lt;&gt;""),Programme_Grunddaten!B285,"")</f>
        <v/>
      </c>
      <c r="B280" s="1" t="str">
        <f>IF(AND(Programme_Grunddaten!$A285="Geprüft",Programme_Grunddaten!C285&lt;&gt;""),Programme_Grunddaten!C285,"")</f>
        <v/>
      </c>
      <c r="C280" s="1" t="str">
        <f>IF(AND(Programme_Grunddaten!$A285="Geprüft",Programme_Grunddaten!D285&lt;&gt;""),Programme_Grunddaten!D285,"")</f>
        <v/>
      </c>
      <c r="D280" s="2" t="str">
        <f>IF(AND(Programme_Grunddaten!$A285="Geprüft",Programme_Grunddaten!E285&lt;&gt;""),Programme_Grunddaten!E285,"")</f>
        <v/>
      </c>
      <c r="E280" t="str">
        <f>IF(AND(Programme_Grunddaten!$A285="Geprüft",Programme_Grunddaten!G285&lt;&gt;""),Programme_Grunddaten!G285,"")</f>
        <v/>
      </c>
      <c r="F280" t="str">
        <f>IF(AND(Programme_Grunddaten!$A285="Geprüft",Programme_Grunddaten!F285&lt;&gt;""),Programme_Grunddaten!F285,"")</f>
        <v/>
      </c>
      <c r="G280" s="3" t="str">
        <f>IF(AND(Programme_Grunddaten!$A285="Geprüft",Programme_Grunddaten!S285&lt;&gt;""),Programme_Grunddaten!S285,"")</f>
        <v/>
      </c>
      <c r="H280" t="str">
        <f>IF(AND(Programme_Grunddaten!$A285="Geprüft",Programme_Grunddaten!AW285&lt;&gt;""),Programme_Grunddaten!AW285,"")</f>
        <v/>
      </c>
      <c r="I280" t="str">
        <f>IF(AND(Programme_Grunddaten!$A285="Geprüft",Programme_Grunddaten!AX285&lt;&gt;""),Programme_Grunddaten!AX285,"")</f>
        <v/>
      </c>
    </row>
    <row r="281" spans="1:9" x14ac:dyDescent="0.3">
      <c r="A281" s="1" t="str">
        <f>IF(AND(Programme_Grunddaten!$A286="Geprüft",Programme_Grunddaten!B286&lt;&gt;""),Programme_Grunddaten!B286,"")</f>
        <v/>
      </c>
      <c r="B281" s="1" t="str">
        <f>IF(AND(Programme_Grunddaten!$A286="Geprüft",Programme_Grunddaten!C286&lt;&gt;""),Programme_Grunddaten!C286,"")</f>
        <v/>
      </c>
      <c r="C281" s="1" t="str">
        <f>IF(AND(Programme_Grunddaten!$A286="Geprüft",Programme_Grunddaten!D286&lt;&gt;""),Programme_Grunddaten!D286,"")</f>
        <v/>
      </c>
      <c r="D281" s="2" t="str">
        <f>IF(AND(Programme_Grunddaten!$A286="Geprüft",Programme_Grunddaten!E286&lt;&gt;""),Programme_Grunddaten!E286,"")</f>
        <v/>
      </c>
      <c r="E281" t="str">
        <f>IF(AND(Programme_Grunddaten!$A286="Geprüft",Programme_Grunddaten!G286&lt;&gt;""),Programme_Grunddaten!G286,"")</f>
        <v/>
      </c>
      <c r="F281" t="str">
        <f>IF(AND(Programme_Grunddaten!$A286="Geprüft",Programme_Grunddaten!F286&lt;&gt;""),Programme_Grunddaten!F286,"")</f>
        <v/>
      </c>
      <c r="G281" s="3" t="str">
        <f>IF(AND(Programme_Grunddaten!$A286="Geprüft",Programme_Grunddaten!S286&lt;&gt;""),Programme_Grunddaten!S286,"")</f>
        <v/>
      </c>
      <c r="H281" t="str">
        <f>IF(AND(Programme_Grunddaten!$A286="Geprüft",Programme_Grunddaten!AW286&lt;&gt;""),Programme_Grunddaten!AW286,"")</f>
        <v/>
      </c>
      <c r="I281" t="str">
        <f>IF(AND(Programme_Grunddaten!$A286="Geprüft",Programme_Grunddaten!AX286&lt;&gt;""),Programme_Grunddaten!AX286,"")</f>
        <v/>
      </c>
    </row>
    <row r="282" spans="1:9" x14ac:dyDescent="0.3">
      <c r="A282" s="1" t="str">
        <f>IF(AND(Programme_Grunddaten!$A287="Geprüft",Programme_Grunddaten!B287&lt;&gt;""),Programme_Grunddaten!B287,"")</f>
        <v/>
      </c>
      <c r="B282" s="1" t="str">
        <f>IF(AND(Programme_Grunddaten!$A287="Geprüft",Programme_Grunddaten!C287&lt;&gt;""),Programme_Grunddaten!C287,"")</f>
        <v/>
      </c>
      <c r="C282" s="1" t="str">
        <f>IF(AND(Programme_Grunddaten!$A287="Geprüft",Programme_Grunddaten!D287&lt;&gt;""),Programme_Grunddaten!D287,"")</f>
        <v/>
      </c>
      <c r="D282" s="2" t="str">
        <f>IF(AND(Programme_Grunddaten!$A287="Geprüft",Programme_Grunddaten!E287&lt;&gt;""),Programme_Grunddaten!E287,"")</f>
        <v/>
      </c>
      <c r="E282" t="str">
        <f>IF(AND(Programme_Grunddaten!$A287="Geprüft",Programme_Grunddaten!G287&lt;&gt;""),Programme_Grunddaten!G287,"")</f>
        <v/>
      </c>
      <c r="F282" t="str">
        <f>IF(AND(Programme_Grunddaten!$A287="Geprüft",Programme_Grunddaten!F287&lt;&gt;""),Programme_Grunddaten!F287,"")</f>
        <v/>
      </c>
      <c r="G282" s="3" t="str">
        <f>IF(AND(Programme_Grunddaten!$A287="Geprüft",Programme_Grunddaten!S287&lt;&gt;""),Programme_Grunddaten!S287,"")</f>
        <v/>
      </c>
      <c r="H282" t="str">
        <f>IF(AND(Programme_Grunddaten!$A287="Geprüft",Programme_Grunddaten!AW287&lt;&gt;""),Programme_Grunddaten!AW287,"")</f>
        <v/>
      </c>
      <c r="I282" t="str">
        <f>IF(AND(Programme_Grunddaten!$A287="Geprüft",Programme_Grunddaten!AX287&lt;&gt;""),Programme_Grunddaten!AX287,"")</f>
        <v/>
      </c>
    </row>
    <row r="283" spans="1:9" x14ac:dyDescent="0.3">
      <c r="A283" s="1" t="str">
        <f>IF(AND(Programme_Grunddaten!$A288="Geprüft",Programme_Grunddaten!B288&lt;&gt;""),Programme_Grunddaten!B288,"")</f>
        <v/>
      </c>
      <c r="B283" s="1" t="str">
        <f>IF(AND(Programme_Grunddaten!$A288="Geprüft",Programme_Grunddaten!C288&lt;&gt;""),Programme_Grunddaten!C288,"")</f>
        <v/>
      </c>
      <c r="C283" s="1" t="str">
        <f>IF(AND(Programme_Grunddaten!$A288="Geprüft",Programme_Grunddaten!D288&lt;&gt;""),Programme_Grunddaten!D288,"")</f>
        <v/>
      </c>
      <c r="D283" s="2" t="str">
        <f>IF(AND(Programme_Grunddaten!$A288="Geprüft",Programme_Grunddaten!E288&lt;&gt;""),Programme_Grunddaten!E288,"")</f>
        <v/>
      </c>
      <c r="E283" t="str">
        <f>IF(AND(Programme_Grunddaten!$A288="Geprüft",Programme_Grunddaten!G288&lt;&gt;""),Programme_Grunddaten!G288,"")</f>
        <v/>
      </c>
      <c r="F283" t="str">
        <f>IF(AND(Programme_Grunddaten!$A288="Geprüft",Programme_Grunddaten!F288&lt;&gt;""),Programme_Grunddaten!F288,"")</f>
        <v/>
      </c>
      <c r="G283" s="3" t="str">
        <f>IF(AND(Programme_Grunddaten!$A288="Geprüft",Programme_Grunddaten!S288&lt;&gt;""),Programme_Grunddaten!S288,"")</f>
        <v/>
      </c>
      <c r="H283" t="str">
        <f>IF(AND(Programme_Grunddaten!$A288="Geprüft",Programme_Grunddaten!AW288&lt;&gt;""),Programme_Grunddaten!AW288,"")</f>
        <v/>
      </c>
      <c r="I283" t="str">
        <f>IF(AND(Programme_Grunddaten!$A288="Geprüft",Programme_Grunddaten!AX288&lt;&gt;""),Programme_Grunddaten!AX288,"")</f>
        <v/>
      </c>
    </row>
    <row r="284" spans="1:9" x14ac:dyDescent="0.3">
      <c r="A284" s="1" t="str">
        <f>IF(AND(Programme_Grunddaten!$A289="Geprüft",Programme_Grunddaten!B289&lt;&gt;""),Programme_Grunddaten!B289,"")</f>
        <v/>
      </c>
      <c r="B284" s="1" t="str">
        <f>IF(AND(Programme_Grunddaten!$A289="Geprüft",Programme_Grunddaten!C289&lt;&gt;""),Programme_Grunddaten!C289,"")</f>
        <v/>
      </c>
      <c r="C284" s="1" t="str">
        <f>IF(AND(Programme_Grunddaten!$A289="Geprüft",Programme_Grunddaten!D289&lt;&gt;""),Programme_Grunddaten!D289,"")</f>
        <v/>
      </c>
      <c r="D284" s="2" t="str">
        <f>IF(AND(Programme_Grunddaten!$A289="Geprüft",Programme_Grunddaten!E289&lt;&gt;""),Programme_Grunddaten!E289,"")</f>
        <v/>
      </c>
      <c r="E284" t="str">
        <f>IF(AND(Programme_Grunddaten!$A289="Geprüft",Programme_Grunddaten!G289&lt;&gt;""),Programme_Grunddaten!G289,"")</f>
        <v/>
      </c>
      <c r="F284" t="str">
        <f>IF(AND(Programme_Grunddaten!$A289="Geprüft",Programme_Grunddaten!F289&lt;&gt;""),Programme_Grunddaten!F289,"")</f>
        <v/>
      </c>
      <c r="G284" s="3" t="str">
        <f>IF(AND(Programme_Grunddaten!$A289="Geprüft",Programme_Grunddaten!S289&lt;&gt;""),Programme_Grunddaten!S289,"")</f>
        <v/>
      </c>
      <c r="H284" t="str">
        <f>IF(AND(Programme_Grunddaten!$A289="Geprüft",Programme_Grunddaten!AW289&lt;&gt;""),Programme_Grunddaten!AW289,"")</f>
        <v/>
      </c>
      <c r="I284" t="str">
        <f>IF(AND(Programme_Grunddaten!$A289="Geprüft",Programme_Grunddaten!AX289&lt;&gt;""),Programme_Grunddaten!AX289,"")</f>
        <v/>
      </c>
    </row>
    <row r="285" spans="1:9" x14ac:dyDescent="0.3">
      <c r="A285" s="1" t="str">
        <f>IF(AND(Programme_Grunddaten!$A290="Geprüft",Programme_Grunddaten!B290&lt;&gt;""),Programme_Grunddaten!B290,"")</f>
        <v/>
      </c>
      <c r="B285" s="1" t="str">
        <f>IF(AND(Programme_Grunddaten!$A290="Geprüft",Programme_Grunddaten!C290&lt;&gt;""),Programme_Grunddaten!C290,"")</f>
        <v/>
      </c>
      <c r="C285" s="1" t="str">
        <f>IF(AND(Programme_Grunddaten!$A290="Geprüft",Programme_Grunddaten!D290&lt;&gt;""),Programme_Grunddaten!D290,"")</f>
        <v/>
      </c>
      <c r="D285" s="2" t="str">
        <f>IF(AND(Programme_Grunddaten!$A290="Geprüft",Programme_Grunddaten!E290&lt;&gt;""),Programme_Grunddaten!E290,"")</f>
        <v/>
      </c>
      <c r="E285" t="str">
        <f>IF(AND(Programme_Grunddaten!$A290="Geprüft",Programme_Grunddaten!G290&lt;&gt;""),Programme_Grunddaten!G290,"")</f>
        <v/>
      </c>
      <c r="F285" t="str">
        <f>IF(AND(Programme_Grunddaten!$A290="Geprüft",Programme_Grunddaten!F290&lt;&gt;""),Programme_Grunddaten!F290,"")</f>
        <v/>
      </c>
      <c r="G285" s="3" t="str">
        <f>IF(AND(Programme_Grunddaten!$A290="Geprüft",Programme_Grunddaten!S290&lt;&gt;""),Programme_Grunddaten!S290,"")</f>
        <v/>
      </c>
      <c r="H285" t="str">
        <f>IF(AND(Programme_Grunddaten!$A290="Geprüft",Programme_Grunddaten!AW290&lt;&gt;""),Programme_Grunddaten!AW290,"")</f>
        <v/>
      </c>
      <c r="I285" t="str">
        <f>IF(AND(Programme_Grunddaten!$A290="Geprüft",Programme_Grunddaten!AX290&lt;&gt;""),Programme_Grunddaten!AX290,"")</f>
        <v/>
      </c>
    </row>
    <row r="286" spans="1:9" x14ac:dyDescent="0.3">
      <c r="A286" s="1" t="str">
        <f>IF(AND(Programme_Grunddaten!$A291="Geprüft",Programme_Grunddaten!B291&lt;&gt;""),Programme_Grunddaten!B291,"")</f>
        <v/>
      </c>
      <c r="B286" s="1" t="str">
        <f>IF(AND(Programme_Grunddaten!$A291="Geprüft",Programme_Grunddaten!C291&lt;&gt;""),Programme_Grunddaten!C291,"")</f>
        <v/>
      </c>
      <c r="C286" s="1" t="str">
        <f>IF(AND(Programme_Grunddaten!$A291="Geprüft",Programme_Grunddaten!D291&lt;&gt;""),Programme_Grunddaten!D291,"")</f>
        <v/>
      </c>
      <c r="D286" s="2" t="str">
        <f>IF(AND(Programme_Grunddaten!$A291="Geprüft",Programme_Grunddaten!E291&lt;&gt;""),Programme_Grunddaten!E291,"")</f>
        <v/>
      </c>
      <c r="E286" t="str">
        <f>IF(AND(Programme_Grunddaten!$A291="Geprüft",Programme_Grunddaten!G291&lt;&gt;""),Programme_Grunddaten!G291,"")</f>
        <v/>
      </c>
      <c r="F286" t="str">
        <f>IF(AND(Programme_Grunddaten!$A291="Geprüft",Programme_Grunddaten!F291&lt;&gt;""),Programme_Grunddaten!F291,"")</f>
        <v/>
      </c>
      <c r="G286" s="3" t="str">
        <f>IF(AND(Programme_Grunddaten!$A291="Geprüft",Programme_Grunddaten!S291&lt;&gt;""),Programme_Grunddaten!S291,"")</f>
        <v/>
      </c>
      <c r="H286" t="str">
        <f>IF(AND(Programme_Grunddaten!$A291="Geprüft",Programme_Grunddaten!AW291&lt;&gt;""),Programme_Grunddaten!AW291,"")</f>
        <v/>
      </c>
      <c r="I286" t="str">
        <f>IF(AND(Programme_Grunddaten!$A291="Geprüft",Programme_Grunddaten!AX291&lt;&gt;""),Programme_Grunddaten!AX291,"")</f>
        <v/>
      </c>
    </row>
    <row r="287" spans="1:9" x14ac:dyDescent="0.3">
      <c r="A287" s="1" t="str">
        <f>IF(AND(Programme_Grunddaten!$A292="Geprüft",Programme_Grunddaten!B292&lt;&gt;""),Programme_Grunddaten!B292,"")</f>
        <v/>
      </c>
      <c r="B287" s="1" t="str">
        <f>IF(AND(Programme_Grunddaten!$A292="Geprüft",Programme_Grunddaten!C292&lt;&gt;""),Programme_Grunddaten!C292,"")</f>
        <v/>
      </c>
      <c r="C287" s="1" t="str">
        <f>IF(AND(Programme_Grunddaten!$A292="Geprüft",Programme_Grunddaten!D292&lt;&gt;""),Programme_Grunddaten!D292,"")</f>
        <v/>
      </c>
      <c r="D287" s="2" t="str">
        <f>IF(AND(Programme_Grunddaten!$A292="Geprüft",Programme_Grunddaten!E292&lt;&gt;""),Programme_Grunddaten!E292,"")</f>
        <v/>
      </c>
      <c r="E287" t="str">
        <f>IF(AND(Programme_Grunddaten!$A292="Geprüft",Programme_Grunddaten!G292&lt;&gt;""),Programme_Grunddaten!G292,"")</f>
        <v/>
      </c>
      <c r="F287" t="str">
        <f>IF(AND(Programme_Grunddaten!$A292="Geprüft",Programme_Grunddaten!F292&lt;&gt;""),Programme_Grunddaten!F292,"")</f>
        <v/>
      </c>
      <c r="G287" s="3" t="str">
        <f>IF(AND(Programme_Grunddaten!$A292="Geprüft",Programme_Grunddaten!S292&lt;&gt;""),Programme_Grunddaten!S292,"")</f>
        <v/>
      </c>
      <c r="H287" t="str">
        <f>IF(AND(Programme_Grunddaten!$A292="Geprüft",Programme_Grunddaten!AW292&lt;&gt;""),Programme_Grunddaten!AW292,"")</f>
        <v/>
      </c>
      <c r="I287" t="str">
        <f>IF(AND(Programme_Grunddaten!$A292="Geprüft",Programme_Grunddaten!AX292&lt;&gt;""),Programme_Grunddaten!AX292,"")</f>
        <v/>
      </c>
    </row>
    <row r="288" spans="1:9" x14ac:dyDescent="0.3">
      <c r="A288" s="1" t="str">
        <f>IF(AND(Programme_Grunddaten!$A293="Geprüft",Programme_Grunddaten!B293&lt;&gt;""),Programme_Grunddaten!B293,"")</f>
        <v/>
      </c>
      <c r="B288" s="1" t="str">
        <f>IF(AND(Programme_Grunddaten!$A293="Geprüft",Programme_Grunddaten!C293&lt;&gt;""),Programme_Grunddaten!C293,"")</f>
        <v/>
      </c>
      <c r="C288" s="1" t="str">
        <f>IF(AND(Programme_Grunddaten!$A293="Geprüft",Programme_Grunddaten!D293&lt;&gt;""),Programme_Grunddaten!D293,"")</f>
        <v/>
      </c>
      <c r="D288" s="2" t="str">
        <f>IF(AND(Programme_Grunddaten!$A293="Geprüft",Programme_Grunddaten!E293&lt;&gt;""),Programme_Grunddaten!E293,"")</f>
        <v/>
      </c>
      <c r="E288" t="str">
        <f>IF(AND(Programme_Grunddaten!$A293="Geprüft",Programme_Grunddaten!G293&lt;&gt;""),Programme_Grunddaten!G293,"")</f>
        <v/>
      </c>
      <c r="F288" t="str">
        <f>IF(AND(Programme_Grunddaten!$A293="Geprüft",Programme_Grunddaten!F293&lt;&gt;""),Programme_Grunddaten!F293,"")</f>
        <v/>
      </c>
      <c r="G288" s="3" t="str">
        <f>IF(AND(Programme_Grunddaten!$A293="Geprüft",Programme_Grunddaten!S293&lt;&gt;""),Programme_Grunddaten!S293,"")</f>
        <v/>
      </c>
      <c r="H288" t="str">
        <f>IF(AND(Programme_Grunddaten!$A293="Geprüft",Programme_Grunddaten!AW293&lt;&gt;""),Programme_Grunddaten!AW293,"")</f>
        <v/>
      </c>
      <c r="I288" t="str">
        <f>IF(AND(Programme_Grunddaten!$A293="Geprüft",Programme_Grunddaten!AX293&lt;&gt;""),Programme_Grunddaten!AX293,"")</f>
        <v/>
      </c>
    </row>
    <row r="289" spans="1:9" x14ac:dyDescent="0.3">
      <c r="A289" s="1" t="str">
        <f>IF(AND(Programme_Grunddaten!$A294="Geprüft",Programme_Grunddaten!B294&lt;&gt;""),Programme_Grunddaten!B294,"")</f>
        <v/>
      </c>
      <c r="B289" s="1" t="str">
        <f>IF(AND(Programme_Grunddaten!$A294="Geprüft",Programme_Grunddaten!C294&lt;&gt;""),Programme_Grunddaten!C294,"")</f>
        <v/>
      </c>
      <c r="C289" s="1" t="str">
        <f>IF(AND(Programme_Grunddaten!$A294="Geprüft",Programme_Grunddaten!D294&lt;&gt;""),Programme_Grunddaten!D294,"")</f>
        <v/>
      </c>
      <c r="D289" s="2" t="str">
        <f>IF(AND(Programme_Grunddaten!$A294="Geprüft",Programme_Grunddaten!E294&lt;&gt;""),Programme_Grunddaten!E294,"")</f>
        <v/>
      </c>
      <c r="E289" t="str">
        <f>IF(AND(Programme_Grunddaten!$A294="Geprüft",Programme_Grunddaten!G294&lt;&gt;""),Programme_Grunddaten!G294,"")</f>
        <v/>
      </c>
      <c r="F289" t="str">
        <f>IF(AND(Programme_Grunddaten!$A294="Geprüft",Programme_Grunddaten!F294&lt;&gt;""),Programme_Grunddaten!F294,"")</f>
        <v/>
      </c>
      <c r="G289" s="3" t="str">
        <f>IF(AND(Programme_Grunddaten!$A294="Geprüft",Programme_Grunddaten!S294&lt;&gt;""),Programme_Grunddaten!S294,"")</f>
        <v/>
      </c>
      <c r="H289" t="str">
        <f>IF(AND(Programme_Grunddaten!$A294="Geprüft",Programme_Grunddaten!AW294&lt;&gt;""),Programme_Grunddaten!AW294,"")</f>
        <v/>
      </c>
      <c r="I289" t="str">
        <f>IF(AND(Programme_Grunddaten!$A294="Geprüft",Programme_Grunddaten!AX294&lt;&gt;""),Programme_Grunddaten!AX294,"")</f>
        <v/>
      </c>
    </row>
    <row r="290" spans="1:9" x14ac:dyDescent="0.3">
      <c r="A290" s="1" t="str">
        <f>IF(AND(Programme_Grunddaten!$A295="Geprüft",Programme_Grunddaten!B295&lt;&gt;""),Programme_Grunddaten!B295,"")</f>
        <v/>
      </c>
      <c r="B290" s="1" t="str">
        <f>IF(AND(Programme_Grunddaten!$A295="Geprüft",Programme_Grunddaten!C295&lt;&gt;""),Programme_Grunddaten!C295,"")</f>
        <v/>
      </c>
      <c r="C290" s="1" t="str">
        <f>IF(AND(Programme_Grunddaten!$A295="Geprüft",Programme_Grunddaten!D295&lt;&gt;""),Programme_Grunddaten!D295,"")</f>
        <v/>
      </c>
      <c r="D290" s="2" t="str">
        <f>IF(AND(Programme_Grunddaten!$A295="Geprüft",Programme_Grunddaten!E295&lt;&gt;""),Programme_Grunddaten!E295,"")</f>
        <v/>
      </c>
      <c r="E290" t="str">
        <f>IF(AND(Programme_Grunddaten!$A295="Geprüft",Programme_Grunddaten!G295&lt;&gt;""),Programme_Grunddaten!G295,"")</f>
        <v/>
      </c>
      <c r="F290" t="str">
        <f>IF(AND(Programme_Grunddaten!$A295="Geprüft",Programme_Grunddaten!F295&lt;&gt;""),Programme_Grunddaten!F295,"")</f>
        <v/>
      </c>
      <c r="G290" s="3" t="str">
        <f>IF(AND(Programme_Grunddaten!$A295="Geprüft",Programme_Grunddaten!S295&lt;&gt;""),Programme_Grunddaten!S295,"")</f>
        <v/>
      </c>
      <c r="H290" t="str">
        <f>IF(AND(Programme_Grunddaten!$A295="Geprüft",Programme_Grunddaten!AW295&lt;&gt;""),Programme_Grunddaten!AW295,"")</f>
        <v/>
      </c>
      <c r="I290" t="str">
        <f>IF(AND(Programme_Grunddaten!$A295="Geprüft",Programme_Grunddaten!AX295&lt;&gt;""),Programme_Grunddaten!AX295,"")</f>
        <v/>
      </c>
    </row>
    <row r="291" spans="1:9" x14ac:dyDescent="0.3">
      <c r="A291" s="1" t="str">
        <f>IF(AND(Programme_Grunddaten!$A296="Geprüft",Programme_Grunddaten!B296&lt;&gt;""),Programme_Grunddaten!B296,"")</f>
        <v/>
      </c>
      <c r="B291" s="1" t="str">
        <f>IF(AND(Programme_Grunddaten!$A296="Geprüft",Programme_Grunddaten!C296&lt;&gt;""),Programme_Grunddaten!C296,"")</f>
        <v/>
      </c>
      <c r="C291" s="1" t="str">
        <f>IF(AND(Programme_Grunddaten!$A296="Geprüft",Programme_Grunddaten!D296&lt;&gt;""),Programme_Grunddaten!D296,"")</f>
        <v/>
      </c>
      <c r="D291" s="2" t="str">
        <f>IF(AND(Programme_Grunddaten!$A296="Geprüft",Programme_Grunddaten!E296&lt;&gt;""),Programme_Grunddaten!E296,"")</f>
        <v/>
      </c>
      <c r="E291" t="str">
        <f>IF(AND(Programme_Grunddaten!$A296="Geprüft",Programme_Grunddaten!G296&lt;&gt;""),Programme_Grunddaten!G296,"")</f>
        <v/>
      </c>
      <c r="F291" t="str">
        <f>IF(AND(Programme_Grunddaten!$A296="Geprüft",Programme_Grunddaten!F296&lt;&gt;""),Programme_Grunddaten!F296,"")</f>
        <v/>
      </c>
      <c r="G291" s="3" t="str">
        <f>IF(AND(Programme_Grunddaten!$A296="Geprüft",Programme_Grunddaten!S296&lt;&gt;""),Programme_Grunddaten!S296,"")</f>
        <v/>
      </c>
      <c r="H291" t="str">
        <f>IF(AND(Programme_Grunddaten!$A296="Geprüft",Programme_Grunddaten!AW296&lt;&gt;""),Programme_Grunddaten!AW296,"")</f>
        <v/>
      </c>
      <c r="I291" t="str">
        <f>IF(AND(Programme_Grunddaten!$A296="Geprüft",Programme_Grunddaten!AX296&lt;&gt;""),Programme_Grunddaten!AX296,"")</f>
        <v/>
      </c>
    </row>
    <row r="292" spans="1:9" x14ac:dyDescent="0.3">
      <c r="A292" s="1" t="str">
        <f>IF(AND(Programme_Grunddaten!$A297="Geprüft",Programme_Grunddaten!B297&lt;&gt;""),Programme_Grunddaten!B297,"")</f>
        <v/>
      </c>
      <c r="B292" s="1" t="str">
        <f>IF(AND(Programme_Grunddaten!$A297="Geprüft",Programme_Grunddaten!C297&lt;&gt;""),Programme_Grunddaten!C297,"")</f>
        <v/>
      </c>
      <c r="C292" s="1" t="str">
        <f>IF(AND(Programme_Grunddaten!$A297="Geprüft",Programme_Grunddaten!D297&lt;&gt;""),Programme_Grunddaten!D297,"")</f>
        <v/>
      </c>
      <c r="D292" s="2" t="str">
        <f>IF(AND(Programme_Grunddaten!$A297="Geprüft",Programme_Grunddaten!E297&lt;&gt;""),Programme_Grunddaten!E297,"")</f>
        <v/>
      </c>
      <c r="E292" t="str">
        <f>IF(AND(Programme_Grunddaten!$A297="Geprüft",Programme_Grunddaten!G297&lt;&gt;""),Programme_Grunddaten!G297,"")</f>
        <v/>
      </c>
      <c r="F292" t="str">
        <f>IF(AND(Programme_Grunddaten!$A297="Geprüft",Programme_Grunddaten!F297&lt;&gt;""),Programme_Grunddaten!F297,"")</f>
        <v/>
      </c>
      <c r="G292" s="3" t="str">
        <f>IF(AND(Programme_Grunddaten!$A297="Geprüft",Programme_Grunddaten!S297&lt;&gt;""),Programme_Grunddaten!S297,"")</f>
        <v/>
      </c>
      <c r="H292" t="str">
        <f>IF(AND(Programme_Grunddaten!$A297="Geprüft",Programme_Grunddaten!AW297&lt;&gt;""),Programme_Grunddaten!AW297,"")</f>
        <v/>
      </c>
      <c r="I292" t="str">
        <f>IF(AND(Programme_Grunddaten!$A297="Geprüft",Programme_Grunddaten!AX297&lt;&gt;""),Programme_Grunddaten!AX297,"")</f>
        <v/>
      </c>
    </row>
    <row r="293" spans="1:9" x14ac:dyDescent="0.3">
      <c r="A293" s="1" t="str">
        <f>IF(AND(Programme_Grunddaten!$A298="Geprüft",Programme_Grunddaten!B298&lt;&gt;""),Programme_Grunddaten!B298,"")</f>
        <v/>
      </c>
      <c r="B293" s="1" t="str">
        <f>IF(AND(Programme_Grunddaten!$A298="Geprüft",Programme_Grunddaten!C298&lt;&gt;""),Programme_Grunddaten!C298,"")</f>
        <v/>
      </c>
      <c r="C293" s="1" t="str">
        <f>IF(AND(Programme_Grunddaten!$A298="Geprüft",Programme_Grunddaten!D298&lt;&gt;""),Programme_Grunddaten!D298,"")</f>
        <v/>
      </c>
      <c r="D293" s="2" t="str">
        <f>IF(AND(Programme_Grunddaten!$A298="Geprüft",Programme_Grunddaten!E298&lt;&gt;""),Programme_Grunddaten!E298,"")</f>
        <v/>
      </c>
      <c r="E293" t="str">
        <f>IF(AND(Programme_Grunddaten!$A298="Geprüft",Programme_Grunddaten!G298&lt;&gt;""),Programme_Grunddaten!G298,"")</f>
        <v/>
      </c>
      <c r="F293" t="str">
        <f>IF(AND(Programme_Grunddaten!$A298="Geprüft",Programme_Grunddaten!F298&lt;&gt;""),Programme_Grunddaten!F298,"")</f>
        <v/>
      </c>
      <c r="G293" s="3" t="str">
        <f>IF(AND(Programme_Grunddaten!$A298="Geprüft",Programme_Grunddaten!S298&lt;&gt;""),Programme_Grunddaten!S298,"")</f>
        <v/>
      </c>
      <c r="H293" t="str">
        <f>IF(AND(Programme_Grunddaten!$A298="Geprüft",Programme_Grunddaten!AW298&lt;&gt;""),Programme_Grunddaten!AW298,"")</f>
        <v/>
      </c>
      <c r="I293" t="str">
        <f>IF(AND(Programme_Grunddaten!$A298="Geprüft",Programme_Grunddaten!AX298&lt;&gt;""),Programme_Grunddaten!AX298,"")</f>
        <v/>
      </c>
    </row>
    <row r="294" spans="1:9" x14ac:dyDescent="0.3">
      <c r="A294" s="1" t="str">
        <f>IF(AND(Programme_Grunddaten!$A299="Geprüft",Programme_Grunddaten!B299&lt;&gt;""),Programme_Grunddaten!B299,"")</f>
        <v/>
      </c>
      <c r="B294" s="1" t="str">
        <f>IF(AND(Programme_Grunddaten!$A299="Geprüft",Programme_Grunddaten!C299&lt;&gt;""),Programme_Grunddaten!C299,"")</f>
        <v/>
      </c>
      <c r="C294" s="1" t="str">
        <f>IF(AND(Programme_Grunddaten!$A299="Geprüft",Programme_Grunddaten!D299&lt;&gt;""),Programme_Grunddaten!D299,"")</f>
        <v/>
      </c>
      <c r="D294" s="2" t="str">
        <f>IF(AND(Programme_Grunddaten!$A299="Geprüft",Programme_Grunddaten!E299&lt;&gt;""),Programme_Grunddaten!E299,"")</f>
        <v/>
      </c>
      <c r="E294" t="str">
        <f>IF(AND(Programme_Grunddaten!$A299="Geprüft",Programme_Grunddaten!G299&lt;&gt;""),Programme_Grunddaten!G299,"")</f>
        <v/>
      </c>
      <c r="F294" t="str">
        <f>IF(AND(Programme_Grunddaten!$A299="Geprüft",Programme_Grunddaten!F299&lt;&gt;""),Programme_Grunddaten!F299,"")</f>
        <v/>
      </c>
      <c r="G294" s="3" t="str">
        <f>IF(AND(Programme_Grunddaten!$A299="Geprüft",Programme_Grunddaten!S299&lt;&gt;""),Programme_Grunddaten!S299,"")</f>
        <v/>
      </c>
      <c r="H294" t="str">
        <f>IF(AND(Programme_Grunddaten!$A299="Geprüft",Programme_Grunddaten!AW299&lt;&gt;""),Programme_Grunddaten!AW299,"")</f>
        <v/>
      </c>
      <c r="I294" t="str">
        <f>IF(AND(Programme_Grunddaten!$A299="Geprüft",Programme_Grunddaten!AX299&lt;&gt;""),Programme_Grunddaten!AX299,"")</f>
        <v/>
      </c>
    </row>
    <row r="295" spans="1:9" x14ac:dyDescent="0.3">
      <c r="A295" s="1" t="str">
        <f>IF(AND(Programme_Grunddaten!$A300="Geprüft",Programme_Grunddaten!B300&lt;&gt;""),Programme_Grunddaten!B300,"")</f>
        <v/>
      </c>
      <c r="B295" s="1" t="str">
        <f>IF(AND(Programme_Grunddaten!$A300="Geprüft",Programme_Grunddaten!C300&lt;&gt;""),Programme_Grunddaten!C300,"")</f>
        <v/>
      </c>
      <c r="C295" s="1" t="str">
        <f>IF(AND(Programme_Grunddaten!$A300="Geprüft",Programme_Grunddaten!D300&lt;&gt;""),Programme_Grunddaten!D300,"")</f>
        <v/>
      </c>
      <c r="D295" s="2" t="str">
        <f>IF(AND(Programme_Grunddaten!$A300="Geprüft",Programme_Grunddaten!E300&lt;&gt;""),Programme_Grunddaten!E300,"")</f>
        <v/>
      </c>
      <c r="E295" t="str">
        <f>IF(AND(Programme_Grunddaten!$A300="Geprüft",Programme_Grunddaten!G300&lt;&gt;""),Programme_Grunddaten!G300,"")</f>
        <v/>
      </c>
      <c r="F295" t="str">
        <f>IF(AND(Programme_Grunddaten!$A300="Geprüft",Programme_Grunddaten!F300&lt;&gt;""),Programme_Grunddaten!F300,"")</f>
        <v/>
      </c>
      <c r="G295" s="3" t="str">
        <f>IF(AND(Programme_Grunddaten!$A300="Geprüft",Programme_Grunddaten!S300&lt;&gt;""),Programme_Grunddaten!S300,"")</f>
        <v/>
      </c>
      <c r="H295" t="str">
        <f>IF(AND(Programme_Grunddaten!$A300="Geprüft",Programme_Grunddaten!AW300&lt;&gt;""),Programme_Grunddaten!AW300,"")</f>
        <v/>
      </c>
      <c r="I295" t="str">
        <f>IF(AND(Programme_Grunddaten!$A300="Geprüft",Programme_Grunddaten!AX300&lt;&gt;""),Programme_Grunddaten!AX300,"")</f>
        <v/>
      </c>
    </row>
    <row r="296" spans="1:9" x14ac:dyDescent="0.3">
      <c r="A296" s="1" t="str">
        <f>IF(AND(Programme_Grunddaten!$A301="Geprüft",Programme_Grunddaten!B301&lt;&gt;""),Programme_Grunddaten!B301,"")</f>
        <v/>
      </c>
      <c r="B296" s="1" t="str">
        <f>IF(AND(Programme_Grunddaten!$A301="Geprüft",Programme_Grunddaten!C301&lt;&gt;""),Programme_Grunddaten!C301,"")</f>
        <v/>
      </c>
      <c r="C296" s="1" t="str">
        <f>IF(AND(Programme_Grunddaten!$A301="Geprüft",Programme_Grunddaten!D301&lt;&gt;""),Programme_Grunddaten!D301,"")</f>
        <v/>
      </c>
      <c r="D296" s="2" t="str">
        <f>IF(AND(Programme_Grunddaten!$A301="Geprüft",Programme_Grunddaten!E301&lt;&gt;""),Programme_Grunddaten!E301,"")</f>
        <v/>
      </c>
      <c r="E296" t="str">
        <f>IF(AND(Programme_Grunddaten!$A301="Geprüft",Programme_Grunddaten!G301&lt;&gt;""),Programme_Grunddaten!G301,"")</f>
        <v/>
      </c>
      <c r="F296" t="str">
        <f>IF(AND(Programme_Grunddaten!$A301="Geprüft",Programme_Grunddaten!F301&lt;&gt;""),Programme_Grunddaten!F301,"")</f>
        <v/>
      </c>
      <c r="G296" s="3" t="str">
        <f>IF(AND(Programme_Grunddaten!$A301="Geprüft",Programme_Grunddaten!S301&lt;&gt;""),Programme_Grunddaten!S301,"")</f>
        <v/>
      </c>
      <c r="H296" t="str">
        <f>IF(AND(Programme_Grunddaten!$A301="Geprüft",Programme_Grunddaten!AW301&lt;&gt;""),Programme_Grunddaten!AW301,"")</f>
        <v/>
      </c>
      <c r="I296" t="str">
        <f>IF(AND(Programme_Grunddaten!$A301="Geprüft",Programme_Grunddaten!AX301&lt;&gt;""),Programme_Grunddaten!AX301,"")</f>
        <v/>
      </c>
    </row>
    <row r="297" spans="1:9" x14ac:dyDescent="0.3">
      <c r="A297" s="1" t="str">
        <f>IF(AND(Programme_Grunddaten!$A302="Geprüft",Programme_Grunddaten!B302&lt;&gt;""),Programme_Grunddaten!B302,"")</f>
        <v/>
      </c>
      <c r="B297" s="1" t="str">
        <f>IF(AND(Programme_Grunddaten!$A302="Geprüft",Programme_Grunddaten!C302&lt;&gt;""),Programme_Grunddaten!C302,"")</f>
        <v/>
      </c>
      <c r="C297" s="1" t="str">
        <f>IF(AND(Programme_Grunddaten!$A302="Geprüft",Programme_Grunddaten!D302&lt;&gt;""),Programme_Grunddaten!D302,"")</f>
        <v/>
      </c>
      <c r="D297" s="2" t="str">
        <f>IF(AND(Programme_Grunddaten!$A302="Geprüft",Programme_Grunddaten!E302&lt;&gt;""),Programme_Grunddaten!E302,"")</f>
        <v/>
      </c>
      <c r="E297" t="str">
        <f>IF(AND(Programme_Grunddaten!$A302="Geprüft",Programme_Grunddaten!G302&lt;&gt;""),Programme_Grunddaten!G302,"")</f>
        <v/>
      </c>
      <c r="F297" t="str">
        <f>IF(AND(Programme_Grunddaten!$A302="Geprüft",Programme_Grunddaten!F302&lt;&gt;""),Programme_Grunddaten!F302,"")</f>
        <v/>
      </c>
      <c r="G297" s="3" t="str">
        <f>IF(AND(Programme_Grunddaten!$A302="Geprüft",Programme_Grunddaten!S302&lt;&gt;""),Programme_Grunddaten!S302,"")</f>
        <v/>
      </c>
      <c r="H297" t="str">
        <f>IF(AND(Programme_Grunddaten!$A302="Geprüft",Programme_Grunddaten!AW302&lt;&gt;""),Programme_Grunddaten!AW302,"")</f>
        <v/>
      </c>
      <c r="I297" t="str">
        <f>IF(AND(Programme_Grunddaten!$A302="Geprüft",Programme_Grunddaten!AX302&lt;&gt;""),Programme_Grunddaten!AX302,"")</f>
        <v/>
      </c>
    </row>
    <row r="298" spans="1:9" x14ac:dyDescent="0.3">
      <c r="A298" s="1" t="str">
        <f>IF(AND(Programme_Grunddaten!$A303="Geprüft",Programme_Grunddaten!B303&lt;&gt;""),Programme_Grunddaten!B303,"")</f>
        <v/>
      </c>
      <c r="B298" s="1" t="str">
        <f>IF(AND(Programme_Grunddaten!$A303="Geprüft",Programme_Grunddaten!C303&lt;&gt;""),Programme_Grunddaten!C303,"")</f>
        <v/>
      </c>
      <c r="C298" s="1" t="str">
        <f>IF(AND(Programme_Grunddaten!$A303="Geprüft",Programme_Grunddaten!D303&lt;&gt;""),Programme_Grunddaten!D303,"")</f>
        <v/>
      </c>
      <c r="D298" s="2" t="str">
        <f>IF(AND(Programme_Grunddaten!$A303="Geprüft",Programme_Grunddaten!E303&lt;&gt;""),Programme_Grunddaten!E303,"")</f>
        <v/>
      </c>
      <c r="E298" t="str">
        <f>IF(AND(Programme_Grunddaten!$A303="Geprüft",Programme_Grunddaten!G303&lt;&gt;""),Programme_Grunddaten!G303,"")</f>
        <v/>
      </c>
      <c r="F298" t="str">
        <f>IF(AND(Programme_Grunddaten!$A303="Geprüft",Programme_Grunddaten!F303&lt;&gt;""),Programme_Grunddaten!F303,"")</f>
        <v/>
      </c>
      <c r="G298" s="3" t="str">
        <f>IF(AND(Programme_Grunddaten!$A303="Geprüft",Programme_Grunddaten!S303&lt;&gt;""),Programme_Grunddaten!S303,"")</f>
        <v/>
      </c>
      <c r="H298" t="str">
        <f>IF(AND(Programme_Grunddaten!$A303="Geprüft",Programme_Grunddaten!AW303&lt;&gt;""),Programme_Grunddaten!AW303,"")</f>
        <v/>
      </c>
      <c r="I298" t="str">
        <f>IF(AND(Programme_Grunddaten!$A303="Geprüft",Programme_Grunddaten!AX303&lt;&gt;""),Programme_Grunddaten!AX303,"")</f>
        <v/>
      </c>
    </row>
    <row r="299" spans="1:9" x14ac:dyDescent="0.3">
      <c r="A299" s="1" t="str">
        <f>IF(AND(Programme_Grunddaten!$A304="Geprüft",Programme_Grunddaten!B304&lt;&gt;""),Programme_Grunddaten!B304,"")</f>
        <v/>
      </c>
      <c r="B299" s="1" t="str">
        <f>IF(AND(Programme_Grunddaten!$A304="Geprüft",Programme_Grunddaten!C304&lt;&gt;""),Programme_Grunddaten!C304,"")</f>
        <v/>
      </c>
      <c r="C299" s="1" t="str">
        <f>IF(AND(Programme_Grunddaten!$A304="Geprüft",Programme_Grunddaten!D304&lt;&gt;""),Programme_Grunddaten!D304,"")</f>
        <v/>
      </c>
      <c r="D299" s="2" t="str">
        <f>IF(AND(Programme_Grunddaten!$A304="Geprüft",Programme_Grunddaten!E304&lt;&gt;""),Programme_Grunddaten!E304,"")</f>
        <v/>
      </c>
      <c r="E299" t="str">
        <f>IF(AND(Programme_Grunddaten!$A304="Geprüft",Programme_Grunddaten!G304&lt;&gt;""),Programme_Grunddaten!G304,"")</f>
        <v/>
      </c>
      <c r="F299" t="str">
        <f>IF(AND(Programme_Grunddaten!$A304="Geprüft",Programme_Grunddaten!F304&lt;&gt;""),Programme_Grunddaten!F304,"")</f>
        <v/>
      </c>
      <c r="G299" s="3" t="str">
        <f>IF(AND(Programme_Grunddaten!$A304="Geprüft",Programme_Grunddaten!S304&lt;&gt;""),Programme_Grunddaten!S304,"")</f>
        <v/>
      </c>
      <c r="H299" t="str">
        <f>IF(AND(Programme_Grunddaten!$A304="Geprüft",Programme_Grunddaten!AW304&lt;&gt;""),Programme_Grunddaten!AW304,"")</f>
        <v/>
      </c>
      <c r="I299" t="str">
        <f>IF(AND(Programme_Grunddaten!$A304="Geprüft",Programme_Grunddaten!AX304&lt;&gt;""),Programme_Grunddaten!AX304,"")</f>
        <v/>
      </c>
    </row>
    <row r="300" spans="1:9" x14ac:dyDescent="0.3">
      <c r="A300" s="1" t="str">
        <f>IF(AND(Programme_Grunddaten!$A305="Geprüft",Programme_Grunddaten!B305&lt;&gt;""),Programme_Grunddaten!B305,"")</f>
        <v/>
      </c>
      <c r="B300" s="1" t="str">
        <f>IF(AND(Programme_Grunddaten!$A305="Geprüft",Programme_Grunddaten!C305&lt;&gt;""),Programme_Grunddaten!C305,"")</f>
        <v/>
      </c>
      <c r="C300" s="1" t="str">
        <f>IF(AND(Programme_Grunddaten!$A305="Geprüft",Programme_Grunddaten!D305&lt;&gt;""),Programme_Grunddaten!D305,"")</f>
        <v/>
      </c>
      <c r="D300" s="2" t="str">
        <f>IF(AND(Programme_Grunddaten!$A305="Geprüft",Programme_Grunddaten!E305&lt;&gt;""),Programme_Grunddaten!E305,"")</f>
        <v/>
      </c>
      <c r="E300" t="str">
        <f>IF(AND(Programme_Grunddaten!$A305="Geprüft",Programme_Grunddaten!G305&lt;&gt;""),Programme_Grunddaten!G305,"")</f>
        <v/>
      </c>
      <c r="F300" t="str">
        <f>IF(AND(Programme_Grunddaten!$A305="Geprüft",Programme_Grunddaten!F305&lt;&gt;""),Programme_Grunddaten!F305,"")</f>
        <v/>
      </c>
      <c r="G300" s="3" t="str">
        <f>IF(AND(Programme_Grunddaten!$A305="Geprüft",Programme_Grunddaten!S305&lt;&gt;""),Programme_Grunddaten!S305,"")</f>
        <v/>
      </c>
      <c r="H300" t="str">
        <f>IF(AND(Programme_Grunddaten!$A305="Geprüft",Programme_Grunddaten!AW305&lt;&gt;""),Programme_Grunddaten!AW305,"")</f>
        <v/>
      </c>
      <c r="I300" t="str">
        <f>IF(AND(Programme_Grunddaten!$A305="Geprüft",Programme_Grunddaten!AX305&lt;&gt;""),Programme_Grunddaten!AX305,"")</f>
        <v/>
      </c>
    </row>
    <row r="301" spans="1:9" x14ac:dyDescent="0.3">
      <c r="A301" s="1" t="str">
        <f>IF(AND(Programme_Grunddaten!$A306="Geprüft",Programme_Grunddaten!B306&lt;&gt;""),Programme_Grunddaten!B306,"")</f>
        <v/>
      </c>
      <c r="B301" s="1" t="str">
        <f>IF(AND(Programme_Grunddaten!$A306="Geprüft",Programme_Grunddaten!C306&lt;&gt;""),Programme_Grunddaten!C306,"")</f>
        <v/>
      </c>
      <c r="C301" s="1" t="str">
        <f>IF(AND(Programme_Grunddaten!$A306="Geprüft",Programme_Grunddaten!D306&lt;&gt;""),Programme_Grunddaten!D306,"")</f>
        <v/>
      </c>
      <c r="D301" s="2" t="str">
        <f>IF(AND(Programme_Grunddaten!$A306="Geprüft",Programme_Grunddaten!E306&lt;&gt;""),Programme_Grunddaten!E306,"")</f>
        <v/>
      </c>
      <c r="E301" t="str">
        <f>IF(AND(Programme_Grunddaten!$A306="Geprüft",Programme_Grunddaten!G306&lt;&gt;""),Programme_Grunddaten!G306,"")</f>
        <v/>
      </c>
      <c r="F301" t="str">
        <f>IF(AND(Programme_Grunddaten!$A306="Geprüft",Programme_Grunddaten!F306&lt;&gt;""),Programme_Grunddaten!F306,"")</f>
        <v/>
      </c>
      <c r="G301" s="3" t="str">
        <f>IF(AND(Programme_Grunddaten!$A306="Geprüft",Programme_Grunddaten!S306&lt;&gt;""),Programme_Grunddaten!S306,"")</f>
        <v/>
      </c>
      <c r="H301" t="str">
        <f>IF(AND(Programme_Grunddaten!$A306="Geprüft",Programme_Grunddaten!AW306&lt;&gt;""),Programme_Grunddaten!AW306,"")</f>
        <v/>
      </c>
      <c r="I301" t="str">
        <f>IF(AND(Programme_Grunddaten!$A306="Geprüft",Programme_Grunddaten!AX306&lt;&gt;""),Programme_Grunddaten!AX306,"")</f>
        <v/>
      </c>
    </row>
    <row r="302" spans="1:9" x14ac:dyDescent="0.3">
      <c r="A302" s="1" t="str">
        <f>IF(AND(Programme_Grunddaten!$A307="Geprüft",Programme_Grunddaten!B307&lt;&gt;""),Programme_Grunddaten!B307,"")</f>
        <v/>
      </c>
      <c r="B302" s="1" t="str">
        <f>IF(AND(Programme_Grunddaten!$A307="Geprüft",Programme_Grunddaten!C307&lt;&gt;""),Programme_Grunddaten!C307,"")</f>
        <v/>
      </c>
      <c r="C302" s="1" t="str">
        <f>IF(AND(Programme_Grunddaten!$A307="Geprüft",Programme_Grunddaten!D307&lt;&gt;""),Programme_Grunddaten!D307,"")</f>
        <v/>
      </c>
      <c r="D302" s="2" t="str">
        <f>IF(AND(Programme_Grunddaten!$A307="Geprüft",Programme_Grunddaten!E307&lt;&gt;""),Programme_Grunddaten!E307,"")</f>
        <v/>
      </c>
      <c r="E302" t="str">
        <f>IF(AND(Programme_Grunddaten!$A307="Geprüft",Programme_Grunddaten!G307&lt;&gt;""),Programme_Grunddaten!G307,"")</f>
        <v/>
      </c>
      <c r="F302" t="str">
        <f>IF(AND(Programme_Grunddaten!$A307="Geprüft",Programme_Grunddaten!F307&lt;&gt;""),Programme_Grunddaten!F307,"")</f>
        <v/>
      </c>
      <c r="G302" s="3" t="str">
        <f>IF(AND(Programme_Grunddaten!$A307="Geprüft",Programme_Grunddaten!S307&lt;&gt;""),Programme_Grunddaten!S307,"")</f>
        <v/>
      </c>
      <c r="H302" t="str">
        <f>IF(AND(Programme_Grunddaten!$A307="Geprüft",Programme_Grunddaten!AW307&lt;&gt;""),Programme_Grunddaten!AW307,"")</f>
        <v/>
      </c>
      <c r="I302" t="str">
        <f>IF(AND(Programme_Grunddaten!$A307="Geprüft",Programme_Grunddaten!AX307&lt;&gt;""),Programme_Grunddaten!AX307,"")</f>
        <v/>
      </c>
    </row>
    <row r="303" spans="1:9" x14ac:dyDescent="0.3">
      <c r="A303" s="1" t="str">
        <f>IF(AND(Programme_Grunddaten!$A308="Geprüft",Programme_Grunddaten!B308&lt;&gt;""),Programme_Grunddaten!B308,"")</f>
        <v/>
      </c>
      <c r="B303" s="1" t="str">
        <f>IF(AND(Programme_Grunddaten!$A308="Geprüft",Programme_Grunddaten!C308&lt;&gt;""),Programme_Grunddaten!C308,"")</f>
        <v/>
      </c>
      <c r="C303" s="1" t="str">
        <f>IF(AND(Programme_Grunddaten!$A308="Geprüft",Programme_Grunddaten!D308&lt;&gt;""),Programme_Grunddaten!D308,"")</f>
        <v/>
      </c>
      <c r="D303" s="2" t="str">
        <f>IF(AND(Programme_Grunddaten!$A308="Geprüft",Programme_Grunddaten!E308&lt;&gt;""),Programme_Grunddaten!E308,"")</f>
        <v/>
      </c>
      <c r="E303" t="str">
        <f>IF(AND(Programme_Grunddaten!$A308="Geprüft",Programme_Grunddaten!G308&lt;&gt;""),Programme_Grunddaten!G308,"")</f>
        <v/>
      </c>
      <c r="F303" t="str">
        <f>IF(AND(Programme_Grunddaten!$A308="Geprüft",Programme_Grunddaten!F308&lt;&gt;""),Programme_Grunddaten!F308,"")</f>
        <v/>
      </c>
      <c r="G303" s="3" t="str">
        <f>IF(AND(Programme_Grunddaten!$A308="Geprüft",Programme_Grunddaten!S308&lt;&gt;""),Programme_Grunddaten!S308,"")</f>
        <v/>
      </c>
      <c r="H303" t="str">
        <f>IF(AND(Programme_Grunddaten!$A308="Geprüft",Programme_Grunddaten!AW308&lt;&gt;""),Programme_Grunddaten!AW308,"")</f>
        <v/>
      </c>
      <c r="I303" t="str">
        <f>IF(AND(Programme_Grunddaten!$A308="Geprüft",Programme_Grunddaten!AX308&lt;&gt;""),Programme_Grunddaten!AX308,"")</f>
        <v/>
      </c>
    </row>
    <row r="304" spans="1:9" x14ac:dyDescent="0.3">
      <c r="A304" s="1" t="str">
        <f>IF(AND(Programme_Grunddaten!$A309="Geprüft",Programme_Grunddaten!B309&lt;&gt;""),Programme_Grunddaten!B309,"")</f>
        <v/>
      </c>
      <c r="B304" s="1" t="str">
        <f>IF(AND(Programme_Grunddaten!$A309="Geprüft",Programme_Grunddaten!C309&lt;&gt;""),Programme_Grunddaten!C309,"")</f>
        <v/>
      </c>
      <c r="C304" s="1" t="str">
        <f>IF(AND(Programme_Grunddaten!$A309="Geprüft",Programme_Grunddaten!D309&lt;&gt;""),Programme_Grunddaten!D309,"")</f>
        <v/>
      </c>
      <c r="D304" s="2" t="str">
        <f>IF(AND(Programme_Grunddaten!$A309="Geprüft",Programme_Grunddaten!E309&lt;&gt;""),Programme_Grunddaten!E309,"")</f>
        <v/>
      </c>
      <c r="E304" t="str">
        <f>IF(AND(Programme_Grunddaten!$A309="Geprüft",Programme_Grunddaten!G309&lt;&gt;""),Programme_Grunddaten!G309,"")</f>
        <v/>
      </c>
      <c r="F304" t="str">
        <f>IF(AND(Programme_Grunddaten!$A309="Geprüft",Programme_Grunddaten!F309&lt;&gt;""),Programme_Grunddaten!F309,"")</f>
        <v/>
      </c>
      <c r="G304" s="3" t="str">
        <f>IF(AND(Programme_Grunddaten!$A309="Geprüft",Programme_Grunddaten!S309&lt;&gt;""),Programme_Grunddaten!S309,"")</f>
        <v/>
      </c>
      <c r="H304" t="str">
        <f>IF(AND(Programme_Grunddaten!$A309="Geprüft",Programme_Grunddaten!AW309&lt;&gt;""),Programme_Grunddaten!AW309,"")</f>
        <v/>
      </c>
      <c r="I304" t="str">
        <f>IF(AND(Programme_Grunddaten!$A309="Geprüft",Programme_Grunddaten!AX309&lt;&gt;""),Programme_Grunddaten!AX309,"")</f>
        <v/>
      </c>
    </row>
    <row r="305" spans="1:9" x14ac:dyDescent="0.3">
      <c r="A305" s="1" t="str">
        <f>IF(AND(Programme_Grunddaten!$A310="Geprüft",Programme_Grunddaten!B310&lt;&gt;""),Programme_Grunddaten!B310,"")</f>
        <v/>
      </c>
      <c r="B305" s="1" t="str">
        <f>IF(AND(Programme_Grunddaten!$A310="Geprüft",Programme_Grunddaten!C310&lt;&gt;""),Programme_Grunddaten!C310,"")</f>
        <v/>
      </c>
      <c r="C305" s="1" t="str">
        <f>IF(AND(Programme_Grunddaten!$A310="Geprüft",Programme_Grunddaten!D310&lt;&gt;""),Programme_Grunddaten!D310,"")</f>
        <v/>
      </c>
      <c r="D305" s="2" t="str">
        <f>IF(AND(Programme_Grunddaten!$A310="Geprüft",Programme_Grunddaten!E310&lt;&gt;""),Programme_Grunddaten!E310,"")</f>
        <v/>
      </c>
      <c r="E305" t="str">
        <f>IF(AND(Programme_Grunddaten!$A310="Geprüft",Programme_Grunddaten!G310&lt;&gt;""),Programme_Grunddaten!G310,"")</f>
        <v/>
      </c>
      <c r="F305" t="str">
        <f>IF(AND(Programme_Grunddaten!$A310="Geprüft",Programme_Grunddaten!F310&lt;&gt;""),Programme_Grunddaten!F310,"")</f>
        <v/>
      </c>
      <c r="G305" s="3" t="str">
        <f>IF(AND(Programme_Grunddaten!$A310="Geprüft",Programme_Grunddaten!S310&lt;&gt;""),Programme_Grunddaten!S310,"")</f>
        <v/>
      </c>
      <c r="H305" t="str">
        <f>IF(AND(Programme_Grunddaten!$A310="Geprüft",Programme_Grunddaten!AW310&lt;&gt;""),Programme_Grunddaten!AW310,"")</f>
        <v/>
      </c>
      <c r="I305" t="str">
        <f>IF(AND(Programme_Grunddaten!$A310="Geprüft",Programme_Grunddaten!AX310&lt;&gt;""),Programme_Grunddaten!AX310,"")</f>
        <v/>
      </c>
    </row>
    <row r="306" spans="1:9" x14ac:dyDescent="0.3">
      <c r="A306" s="1" t="str">
        <f>IF(AND(Programme_Grunddaten!$A311="Geprüft",Programme_Grunddaten!B311&lt;&gt;""),Programme_Grunddaten!B311,"")</f>
        <v/>
      </c>
      <c r="B306" s="1" t="str">
        <f>IF(AND(Programme_Grunddaten!$A311="Geprüft",Programme_Grunddaten!C311&lt;&gt;""),Programme_Grunddaten!C311,"")</f>
        <v/>
      </c>
      <c r="C306" s="1" t="str">
        <f>IF(AND(Programme_Grunddaten!$A311="Geprüft",Programme_Grunddaten!D311&lt;&gt;""),Programme_Grunddaten!D311,"")</f>
        <v/>
      </c>
      <c r="D306" s="2" t="str">
        <f>IF(AND(Programme_Grunddaten!$A311="Geprüft",Programme_Grunddaten!E311&lt;&gt;""),Programme_Grunddaten!E311,"")</f>
        <v/>
      </c>
      <c r="E306" t="str">
        <f>IF(AND(Programme_Grunddaten!$A311="Geprüft",Programme_Grunddaten!G311&lt;&gt;""),Programme_Grunddaten!G311,"")</f>
        <v/>
      </c>
      <c r="F306" t="str">
        <f>IF(AND(Programme_Grunddaten!$A311="Geprüft",Programme_Grunddaten!F311&lt;&gt;""),Programme_Grunddaten!F311,"")</f>
        <v/>
      </c>
      <c r="G306" s="3" t="str">
        <f>IF(AND(Programme_Grunddaten!$A311="Geprüft",Programme_Grunddaten!S311&lt;&gt;""),Programme_Grunddaten!S311,"")</f>
        <v/>
      </c>
      <c r="H306" t="str">
        <f>IF(AND(Programme_Grunddaten!$A311="Geprüft",Programme_Grunddaten!AW311&lt;&gt;""),Programme_Grunddaten!AW311,"")</f>
        <v/>
      </c>
      <c r="I306" t="str">
        <f>IF(AND(Programme_Grunddaten!$A311="Geprüft",Programme_Grunddaten!AX311&lt;&gt;""),Programme_Grunddaten!AX311,"")</f>
        <v/>
      </c>
    </row>
    <row r="307" spans="1:9" x14ac:dyDescent="0.3">
      <c r="A307" s="1" t="str">
        <f>IF(AND(Programme_Grunddaten!$A312="Geprüft",Programme_Grunddaten!B312&lt;&gt;""),Programme_Grunddaten!B312,"")</f>
        <v/>
      </c>
      <c r="B307" s="1" t="str">
        <f>IF(AND(Programme_Grunddaten!$A312="Geprüft",Programme_Grunddaten!C312&lt;&gt;""),Programme_Grunddaten!C312,"")</f>
        <v/>
      </c>
      <c r="C307" s="1" t="str">
        <f>IF(AND(Programme_Grunddaten!$A312="Geprüft",Programme_Grunddaten!D312&lt;&gt;""),Programme_Grunddaten!D312,"")</f>
        <v/>
      </c>
      <c r="D307" s="2" t="str">
        <f>IF(AND(Programme_Grunddaten!$A312="Geprüft",Programme_Grunddaten!E312&lt;&gt;""),Programme_Grunddaten!E312,"")</f>
        <v/>
      </c>
      <c r="E307" t="str">
        <f>IF(AND(Programme_Grunddaten!$A312="Geprüft",Programme_Grunddaten!G312&lt;&gt;""),Programme_Grunddaten!G312,"")</f>
        <v/>
      </c>
      <c r="F307" t="str">
        <f>IF(AND(Programme_Grunddaten!$A312="Geprüft",Programme_Grunddaten!F312&lt;&gt;""),Programme_Grunddaten!F312,"")</f>
        <v/>
      </c>
      <c r="G307" s="3" t="str">
        <f>IF(AND(Programme_Grunddaten!$A312="Geprüft",Programme_Grunddaten!S312&lt;&gt;""),Programme_Grunddaten!S312,"")</f>
        <v/>
      </c>
      <c r="H307" t="str">
        <f>IF(AND(Programme_Grunddaten!$A312="Geprüft",Programme_Grunddaten!AW312&lt;&gt;""),Programme_Grunddaten!AW312,"")</f>
        <v/>
      </c>
      <c r="I307" t="str">
        <f>IF(AND(Programme_Grunddaten!$A312="Geprüft",Programme_Grunddaten!AX312&lt;&gt;""),Programme_Grunddaten!AX312,"")</f>
        <v/>
      </c>
    </row>
    <row r="308" spans="1:9" x14ac:dyDescent="0.3">
      <c r="A308" s="1" t="str">
        <f>IF(AND(Programme_Grunddaten!$A313="Geprüft",Programme_Grunddaten!B313&lt;&gt;""),Programme_Grunddaten!B313,"")</f>
        <v/>
      </c>
      <c r="B308" s="1" t="str">
        <f>IF(AND(Programme_Grunddaten!$A313="Geprüft",Programme_Grunddaten!C313&lt;&gt;""),Programme_Grunddaten!C313,"")</f>
        <v/>
      </c>
      <c r="C308" s="1" t="str">
        <f>IF(AND(Programme_Grunddaten!$A313="Geprüft",Programme_Grunddaten!D313&lt;&gt;""),Programme_Grunddaten!D313,"")</f>
        <v/>
      </c>
      <c r="D308" s="2" t="str">
        <f>IF(AND(Programme_Grunddaten!$A313="Geprüft",Programme_Grunddaten!E313&lt;&gt;""),Programme_Grunddaten!E313,"")</f>
        <v/>
      </c>
      <c r="E308" t="str">
        <f>IF(AND(Programme_Grunddaten!$A313="Geprüft",Programme_Grunddaten!G313&lt;&gt;""),Programme_Grunddaten!G313,"")</f>
        <v/>
      </c>
      <c r="F308" t="str">
        <f>IF(AND(Programme_Grunddaten!$A313="Geprüft",Programme_Grunddaten!F313&lt;&gt;""),Programme_Grunddaten!F313,"")</f>
        <v/>
      </c>
      <c r="G308" s="3" t="str">
        <f>IF(AND(Programme_Grunddaten!$A313="Geprüft",Programme_Grunddaten!S313&lt;&gt;""),Programme_Grunddaten!S313,"")</f>
        <v/>
      </c>
      <c r="H308" t="str">
        <f>IF(AND(Programme_Grunddaten!$A313="Geprüft",Programme_Grunddaten!AW313&lt;&gt;""),Programme_Grunddaten!AW313,"")</f>
        <v/>
      </c>
      <c r="I308" t="str">
        <f>IF(AND(Programme_Grunddaten!$A313="Geprüft",Programme_Grunddaten!AX313&lt;&gt;""),Programme_Grunddaten!AX313,"")</f>
        <v/>
      </c>
    </row>
    <row r="309" spans="1:9" x14ac:dyDescent="0.3">
      <c r="A309" s="1" t="str">
        <f>IF(AND(Programme_Grunddaten!$A314="Geprüft",Programme_Grunddaten!B314&lt;&gt;""),Programme_Grunddaten!B314,"")</f>
        <v/>
      </c>
      <c r="B309" s="1" t="str">
        <f>IF(AND(Programme_Grunddaten!$A314="Geprüft",Programme_Grunddaten!C314&lt;&gt;""),Programme_Grunddaten!C314,"")</f>
        <v/>
      </c>
      <c r="C309" s="1" t="str">
        <f>IF(AND(Programme_Grunddaten!$A314="Geprüft",Programme_Grunddaten!D314&lt;&gt;""),Programme_Grunddaten!D314,"")</f>
        <v/>
      </c>
      <c r="D309" s="2" t="str">
        <f>IF(AND(Programme_Grunddaten!$A314="Geprüft",Programme_Grunddaten!E314&lt;&gt;""),Programme_Grunddaten!E314,"")</f>
        <v/>
      </c>
      <c r="E309" t="str">
        <f>IF(AND(Programme_Grunddaten!$A314="Geprüft",Programme_Grunddaten!G314&lt;&gt;""),Programme_Grunddaten!G314,"")</f>
        <v/>
      </c>
      <c r="F309" t="str">
        <f>IF(AND(Programme_Grunddaten!$A314="Geprüft",Programme_Grunddaten!F314&lt;&gt;""),Programme_Grunddaten!F314,"")</f>
        <v/>
      </c>
      <c r="G309" s="3" t="str">
        <f>IF(AND(Programme_Grunddaten!$A314="Geprüft",Programme_Grunddaten!S314&lt;&gt;""),Programme_Grunddaten!S314,"")</f>
        <v/>
      </c>
      <c r="H309" t="str">
        <f>IF(AND(Programme_Grunddaten!$A314="Geprüft",Programme_Grunddaten!AW314&lt;&gt;""),Programme_Grunddaten!AW314,"")</f>
        <v/>
      </c>
      <c r="I309" t="str">
        <f>IF(AND(Programme_Grunddaten!$A314="Geprüft",Programme_Grunddaten!AX314&lt;&gt;""),Programme_Grunddaten!AX314,"")</f>
        <v/>
      </c>
    </row>
    <row r="310" spans="1:9" x14ac:dyDescent="0.3">
      <c r="A310" s="1" t="str">
        <f>IF(AND(Programme_Grunddaten!$A315="Geprüft",Programme_Grunddaten!B315&lt;&gt;""),Programme_Grunddaten!B315,"")</f>
        <v/>
      </c>
      <c r="B310" s="1" t="str">
        <f>IF(AND(Programme_Grunddaten!$A315="Geprüft",Programme_Grunddaten!C315&lt;&gt;""),Programme_Grunddaten!C315,"")</f>
        <v/>
      </c>
      <c r="C310" s="1" t="str">
        <f>IF(AND(Programme_Grunddaten!$A315="Geprüft",Programme_Grunddaten!D315&lt;&gt;""),Programme_Grunddaten!D315,"")</f>
        <v/>
      </c>
      <c r="D310" s="2" t="str">
        <f>IF(AND(Programme_Grunddaten!$A315="Geprüft",Programme_Grunddaten!E315&lt;&gt;""),Programme_Grunddaten!E315,"")</f>
        <v/>
      </c>
      <c r="E310" t="str">
        <f>IF(AND(Programme_Grunddaten!$A315="Geprüft",Programme_Grunddaten!G315&lt;&gt;""),Programme_Grunddaten!G315,"")</f>
        <v/>
      </c>
      <c r="F310" t="str">
        <f>IF(AND(Programme_Grunddaten!$A315="Geprüft",Programme_Grunddaten!F315&lt;&gt;""),Programme_Grunddaten!F315,"")</f>
        <v/>
      </c>
      <c r="G310" s="3" t="str">
        <f>IF(AND(Programme_Grunddaten!$A315="Geprüft",Programme_Grunddaten!S315&lt;&gt;""),Programme_Grunddaten!S315,"")</f>
        <v/>
      </c>
      <c r="H310" t="str">
        <f>IF(AND(Programme_Grunddaten!$A315="Geprüft",Programme_Grunddaten!AW315&lt;&gt;""),Programme_Grunddaten!AW315,"")</f>
        <v/>
      </c>
      <c r="I310" t="str">
        <f>IF(AND(Programme_Grunddaten!$A315="Geprüft",Programme_Grunddaten!AX315&lt;&gt;""),Programme_Grunddaten!AX315,"")</f>
        <v/>
      </c>
    </row>
    <row r="311" spans="1:9" x14ac:dyDescent="0.3">
      <c r="A311" s="1" t="str">
        <f>IF(AND(Programme_Grunddaten!$A316="Geprüft",Programme_Grunddaten!B316&lt;&gt;""),Programme_Grunddaten!B316,"")</f>
        <v/>
      </c>
      <c r="B311" s="1" t="str">
        <f>IF(AND(Programme_Grunddaten!$A316="Geprüft",Programme_Grunddaten!C316&lt;&gt;""),Programme_Grunddaten!C316,"")</f>
        <v/>
      </c>
      <c r="C311" s="1" t="str">
        <f>IF(AND(Programme_Grunddaten!$A316="Geprüft",Programme_Grunddaten!D316&lt;&gt;""),Programme_Grunddaten!D316,"")</f>
        <v/>
      </c>
      <c r="D311" s="2" t="str">
        <f>IF(AND(Programme_Grunddaten!$A316="Geprüft",Programme_Grunddaten!E316&lt;&gt;""),Programme_Grunddaten!E316,"")</f>
        <v/>
      </c>
      <c r="E311" t="str">
        <f>IF(AND(Programme_Grunddaten!$A316="Geprüft",Programme_Grunddaten!G316&lt;&gt;""),Programme_Grunddaten!G316,"")</f>
        <v/>
      </c>
      <c r="F311" t="str">
        <f>IF(AND(Programme_Grunddaten!$A316="Geprüft",Programme_Grunddaten!F316&lt;&gt;""),Programme_Grunddaten!F316,"")</f>
        <v/>
      </c>
      <c r="G311" s="3" t="str">
        <f>IF(AND(Programme_Grunddaten!$A316="Geprüft",Programme_Grunddaten!S316&lt;&gt;""),Programme_Grunddaten!S316,"")</f>
        <v/>
      </c>
      <c r="H311" t="str">
        <f>IF(AND(Programme_Grunddaten!$A316="Geprüft",Programme_Grunddaten!AW316&lt;&gt;""),Programme_Grunddaten!AW316,"")</f>
        <v/>
      </c>
      <c r="I311" t="str">
        <f>IF(AND(Programme_Grunddaten!$A316="Geprüft",Programme_Grunddaten!AX316&lt;&gt;""),Programme_Grunddaten!AX316,"")</f>
        <v/>
      </c>
    </row>
    <row r="312" spans="1:9" x14ac:dyDescent="0.3">
      <c r="A312" s="1" t="str">
        <f>IF(AND(Programme_Grunddaten!$A317="Geprüft",Programme_Grunddaten!B317&lt;&gt;""),Programme_Grunddaten!B317,"")</f>
        <v/>
      </c>
      <c r="B312" s="1" t="str">
        <f>IF(AND(Programme_Grunddaten!$A317="Geprüft",Programme_Grunddaten!C317&lt;&gt;""),Programme_Grunddaten!C317,"")</f>
        <v/>
      </c>
      <c r="C312" s="1" t="str">
        <f>IF(AND(Programme_Grunddaten!$A317="Geprüft",Programme_Grunddaten!D317&lt;&gt;""),Programme_Grunddaten!D317,"")</f>
        <v/>
      </c>
      <c r="D312" s="2" t="str">
        <f>IF(AND(Programme_Grunddaten!$A317="Geprüft",Programme_Grunddaten!E317&lt;&gt;""),Programme_Grunddaten!E317,"")</f>
        <v/>
      </c>
      <c r="E312" t="str">
        <f>IF(AND(Programme_Grunddaten!$A317="Geprüft",Programme_Grunddaten!G317&lt;&gt;""),Programme_Grunddaten!G317,"")</f>
        <v/>
      </c>
      <c r="F312" t="str">
        <f>IF(AND(Programme_Grunddaten!$A317="Geprüft",Programme_Grunddaten!F317&lt;&gt;""),Programme_Grunddaten!F317,"")</f>
        <v/>
      </c>
      <c r="G312" s="3" t="str">
        <f>IF(AND(Programme_Grunddaten!$A317="Geprüft",Programme_Grunddaten!S317&lt;&gt;""),Programme_Grunddaten!S317,"")</f>
        <v/>
      </c>
      <c r="H312" t="str">
        <f>IF(AND(Programme_Grunddaten!$A317="Geprüft",Programme_Grunddaten!AW317&lt;&gt;""),Programme_Grunddaten!AW317,"")</f>
        <v/>
      </c>
      <c r="I312" t="str">
        <f>IF(AND(Programme_Grunddaten!$A317="Geprüft",Programme_Grunddaten!AX317&lt;&gt;""),Programme_Grunddaten!AX317,"")</f>
        <v/>
      </c>
    </row>
    <row r="313" spans="1:9" x14ac:dyDescent="0.3">
      <c r="A313" s="1" t="str">
        <f>IF(AND(Programme_Grunddaten!$A318="Geprüft",Programme_Grunddaten!B318&lt;&gt;""),Programme_Grunddaten!B318,"")</f>
        <v/>
      </c>
      <c r="B313" s="1" t="str">
        <f>IF(AND(Programme_Grunddaten!$A318="Geprüft",Programme_Grunddaten!C318&lt;&gt;""),Programme_Grunddaten!C318,"")</f>
        <v/>
      </c>
      <c r="C313" s="1" t="str">
        <f>IF(AND(Programme_Grunddaten!$A318="Geprüft",Programme_Grunddaten!D318&lt;&gt;""),Programme_Grunddaten!D318,"")</f>
        <v/>
      </c>
      <c r="D313" s="2" t="str">
        <f>IF(AND(Programme_Grunddaten!$A318="Geprüft",Programme_Grunddaten!E318&lt;&gt;""),Programme_Grunddaten!E318,"")</f>
        <v/>
      </c>
      <c r="E313" t="str">
        <f>IF(AND(Programme_Grunddaten!$A318="Geprüft",Programme_Grunddaten!G318&lt;&gt;""),Programme_Grunddaten!G318,"")</f>
        <v/>
      </c>
      <c r="F313" t="str">
        <f>IF(AND(Programme_Grunddaten!$A318="Geprüft",Programme_Grunddaten!F318&lt;&gt;""),Programme_Grunddaten!F318,"")</f>
        <v/>
      </c>
      <c r="G313" s="3" t="str">
        <f>IF(AND(Programme_Grunddaten!$A318="Geprüft",Programme_Grunddaten!S318&lt;&gt;""),Programme_Grunddaten!S318,"")</f>
        <v/>
      </c>
      <c r="H313" t="str">
        <f>IF(AND(Programme_Grunddaten!$A318="Geprüft",Programme_Grunddaten!AW318&lt;&gt;""),Programme_Grunddaten!AW318,"")</f>
        <v/>
      </c>
      <c r="I313" t="str">
        <f>IF(AND(Programme_Grunddaten!$A318="Geprüft",Programme_Grunddaten!AX318&lt;&gt;""),Programme_Grunddaten!AX318,"")</f>
        <v/>
      </c>
    </row>
    <row r="314" spans="1:9" x14ac:dyDescent="0.3">
      <c r="A314" s="1" t="str">
        <f>IF(AND(Programme_Grunddaten!$A319="Geprüft",Programme_Grunddaten!B319&lt;&gt;""),Programme_Grunddaten!B319,"")</f>
        <v/>
      </c>
      <c r="B314" s="1" t="str">
        <f>IF(AND(Programme_Grunddaten!$A319="Geprüft",Programme_Grunddaten!C319&lt;&gt;""),Programme_Grunddaten!C319,"")</f>
        <v/>
      </c>
      <c r="C314" s="1" t="str">
        <f>IF(AND(Programme_Grunddaten!$A319="Geprüft",Programme_Grunddaten!D319&lt;&gt;""),Programme_Grunddaten!D319,"")</f>
        <v/>
      </c>
      <c r="D314" s="2" t="str">
        <f>IF(AND(Programme_Grunddaten!$A319="Geprüft",Programme_Grunddaten!E319&lt;&gt;""),Programme_Grunddaten!E319,"")</f>
        <v/>
      </c>
      <c r="E314" t="str">
        <f>IF(AND(Programme_Grunddaten!$A319="Geprüft",Programme_Grunddaten!G319&lt;&gt;""),Programme_Grunddaten!G319,"")</f>
        <v/>
      </c>
      <c r="F314" t="str">
        <f>IF(AND(Programme_Grunddaten!$A319="Geprüft",Programme_Grunddaten!F319&lt;&gt;""),Programme_Grunddaten!F319,"")</f>
        <v/>
      </c>
      <c r="G314" s="3" t="str">
        <f>IF(AND(Programme_Grunddaten!$A319="Geprüft",Programme_Grunddaten!S319&lt;&gt;""),Programme_Grunddaten!S319,"")</f>
        <v/>
      </c>
      <c r="H314" t="str">
        <f>IF(AND(Programme_Grunddaten!$A319="Geprüft",Programme_Grunddaten!AW319&lt;&gt;""),Programme_Grunddaten!AW319,"")</f>
        <v/>
      </c>
      <c r="I314" t="str">
        <f>IF(AND(Programme_Grunddaten!$A319="Geprüft",Programme_Grunddaten!AX319&lt;&gt;""),Programme_Grunddaten!AX319,"")</f>
        <v/>
      </c>
    </row>
    <row r="315" spans="1:9" x14ac:dyDescent="0.3">
      <c r="A315" s="1" t="str">
        <f>IF(AND(Programme_Grunddaten!$A320="Geprüft",Programme_Grunddaten!B320&lt;&gt;""),Programme_Grunddaten!B320,"")</f>
        <v/>
      </c>
      <c r="B315" s="1" t="str">
        <f>IF(AND(Programme_Grunddaten!$A320="Geprüft",Programme_Grunddaten!C320&lt;&gt;""),Programme_Grunddaten!C320,"")</f>
        <v/>
      </c>
      <c r="C315" s="1" t="str">
        <f>IF(AND(Programme_Grunddaten!$A320="Geprüft",Programme_Grunddaten!D320&lt;&gt;""),Programme_Grunddaten!D320,"")</f>
        <v/>
      </c>
      <c r="D315" s="2" t="str">
        <f>IF(AND(Programme_Grunddaten!$A320="Geprüft",Programme_Grunddaten!E320&lt;&gt;""),Programme_Grunddaten!E320,"")</f>
        <v/>
      </c>
      <c r="E315" t="str">
        <f>IF(AND(Programme_Grunddaten!$A320="Geprüft",Programme_Grunddaten!G320&lt;&gt;""),Programme_Grunddaten!G320,"")</f>
        <v/>
      </c>
      <c r="F315" t="str">
        <f>IF(AND(Programme_Grunddaten!$A320="Geprüft",Programme_Grunddaten!F320&lt;&gt;""),Programme_Grunddaten!F320,"")</f>
        <v/>
      </c>
      <c r="G315" s="3" t="str">
        <f>IF(AND(Programme_Grunddaten!$A320="Geprüft",Programme_Grunddaten!S320&lt;&gt;""),Programme_Grunddaten!S320,"")</f>
        <v/>
      </c>
      <c r="H315" t="str">
        <f>IF(AND(Programme_Grunddaten!$A320="Geprüft",Programme_Grunddaten!AW320&lt;&gt;""),Programme_Grunddaten!AW320,"")</f>
        <v/>
      </c>
      <c r="I315" t="str">
        <f>IF(AND(Programme_Grunddaten!$A320="Geprüft",Programme_Grunddaten!AX320&lt;&gt;""),Programme_Grunddaten!AX320,"")</f>
        <v/>
      </c>
    </row>
    <row r="316" spans="1:9" x14ac:dyDescent="0.3">
      <c r="A316" s="1" t="str">
        <f>IF(AND(Programme_Grunddaten!$A321="Geprüft",Programme_Grunddaten!B321&lt;&gt;""),Programme_Grunddaten!B321,"")</f>
        <v/>
      </c>
      <c r="B316" s="1" t="str">
        <f>IF(AND(Programme_Grunddaten!$A321="Geprüft",Programme_Grunddaten!C321&lt;&gt;""),Programme_Grunddaten!C321,"")</f>
        <v/>
      </c>
      <c r="C316" s="1" t="str">
        <f>IF(AND(Programme_Grunddaten!$A321="Geprüft",Programme_Grunddaten!D321&lt;&gt;""),Programme_Grunddaten!D321,"")</f>
        <v/>
      </c>
      <c r="D316" s="2" t="str">
        <f>IF(AND(Programme_Grunddaten!$A321="Geprüft",Programme_Grunddaten!E321&lt;&gt;""),Programme_Grunddaten!E321,"")</f>
        <v/>
      </c>
      <c r="E316" t="str">
        <f>IF(AND(Programme_Grunddaten!$A321="Geprüft",Programme_Grunddaten!G321&lt;&gt;""),Programme_Grunddaten!G321,"")</f>
        <v/>
      </c>
      <c r="F316" t="str">
        <f>IF(AND(Programme_Grunddaten!$A321="Geprüft",Programme_Grunddaten!F321&lt;&gt;""),Programme_Grunddaten!F321,"")</f>
        <v/>
      </c>
      <c r="G316" s="3" t="str">
        <f>IF(AND(Programme_Grunddaten!$A321="Geprüft",Programme_Grunddaten!S321&lt;&gt;""),Programme_Grunddaten!S321,"")</f>
        <v/>
      </c>
      <c r="H316" t="str">
        <f>IF(AND(Programme_Grunddaten!$A321="Geprüft",Programme_Grunddaten!AW321&lt;&gt;""),Programme_Grunddaten!AW321,"")</f>
        <v/>
      </c>
      <c r="I316" t="str">
        <f>IF(AND(Programme_Grunddaten!$A321="Geprüft",Programme_Grunddaten!AX321&lt;&gt;""),Programme_Grunddaten!AX321,"")</f>
        <v/>
      </c>
    </row>
    <row r="317" spans="1:9" x14ac:dyDescent="0.3">
      <c r="A317" s="1" t="str">
        <f>IF(AND(Programme_Grunddaten!$A322="Geprüft",Programme_Grunddaten!B322&lt;&gt;""),Programme_Grunddaten!B322,"")</f>
        <v/>
      </c>
      <c r="B317" s="1" t="str">
        <f>IF(AND(Programme_Grunddaten!$A322="Geprüft",Programme_Grunddaten!C322&lt;&gt;""),Programme_Grunddaten!C322,"")</f>
        <v/>
      </c>
      <c r="C317" s="1" t="str">
        <f>IF(AND(Programme_Grunddaten!$A322="Geprüft",Programme_Grunddaten!D322&lt;&gt;""),Programme_Grunddaten!D322,"")</f>
        <v/>
      </c>
      <c r="D317" s="2" t="str">
        <f>IF(AND(Programme_Grunddaten!$A322="Geprüft",Programme_Grunddaten!E322&lt;&gt;""),Programme_Grunddaten!E322,"")</f>
        <v/>
      </c>
      <c r="E317" t="str">
        <f>IF(AND(Programme_Grunddaten!$A322="Geprüft",Programme_Grunddaten!G322&lt;&gt;""),Programme_Grunddaten!G322,"")</f>
        <v/>
      </c>
      <c r="F317" t="str">
        <f>IF(AND(Programme_Grunddaten!$A322="Geprüft",Programme_Grunddaten!F322&lt;&gt;""),Programme_Grunddaten!F322,"")</f>
        <v/>
      </c>
      <c r="G317" s="3" t="str">
        <f>IF(AND(Programme_Grunddaten!$A322="Geprüft",Programme_Grunddaten!S322&lt;&gt;""),Programme_Grunddaten!S322,"")</f>
        <v/>
      </c>
      <c r="H317" t="str">
        <f>IF(AND(Programme_Grunddaten!$A322="Geprüft",Programme_Grunddaten!AW322&lt;&gt;""),Programme_Grunddaten!AW322,"")</f>
        <v/>
      </c>
      <c r="I317" t="str">
        <f>IF(AND(Programme_Grunddaten!$A322="Geprüft",Programme_Grunddaten!AX322&lt;&gt;""),Programme_Grunddaten!AX322,"")</f>
        <v/>
      </c>
    </row>
    <row r="318" spans="1:9" x14ac:dyDescent="0.3">
      <c r="A318" s="1" t="str">
        <f>IF(AND(Programme_Grunddaten!$A323="Geprüft",Programme_Grunddaten!B323&lt;&gt;""),Programme_Grunddaten!B323,"")</f>
        <v/>
      </c>
      <c r="B318" s="1" t="str">
        <f>IF(AND(Programme_Grunddaten!$A323="Geprüft",Programme_Grunddaten!C323&lt;&gt;""),Programme_Grunddaten!C323,"")</f>
        <v/>
      </c>
      <c r="C318" s="1" t="str">
        <f>IF(AND(Programme_Grunddaten!$A323="Geprüft",Programme_Grunddaten!D323&lt;&gt;""),Programme_Grunddaten!D323,"")</f>
        <v/>
      </c>
      <c r="D318" s="2" t="str">
        <f>IF(AND(Programme_Grunddaten!$A323="Geprüft",Programme_Grunddaten!E323&lt;&gt;""),Programme_Grunddaten!E323,"")</f>
        <v/>
      </c>
      <c r="E318" t="str">
        <f>IF(AND(Programme_Grunddaten!$A323="Geprüft",Programme_Grunddaten!G323&lt;&gt;""),Programme_Grunddaten!G323,"")</f>
        <v/>
      </c>
      <c r="F318" t="str">
        <f>IF(AND(Programme_Grunddaten!$A323="Geprüft",Programme_Grunddaten!F323&lt;&gt;""),Programme_Grunddaten!F323,"")</f>
        <v/>
      </c>
      <c r="G318" s="3" t="str">
        <f>IF(AND(Programme_Grunddaten!$A323="Geprüft",Programme_Grunddaten!S323&lt;&gt;""),Programme_Grunddaten!S323,"")</f>
        <v/>
      </c>
      <c r="H318" t="str">
        <f>IF(AND(Programme_Grunddaten!$A323="Geprüft",Programme_Grunddaten!AW323&lt;&gt;""),Programme_Grunddaten!AW323,"")</f>
        <v/>
      </c>
      <c r="I318" t="str">
        <f>IF(AND(Programme_Grunddaten!$A323="Geprüft",Programme_Grunddaten!AX323&lt;&gt;""),Programme_Grunddaten!AX323,"")</f>
        <v/>
      </c>
    </row>
    <row r="319" spans="1:9" x14ac:dyDescent="0.3">
      <c r="A319" s="1" t="str">
        <f>IF(AND(Programme_Grunddaten!$A324="Geprüft",Programme_Grunddaten!B324&lt;&gt;""),Programme_Grunddaten!B324,"")</f>
        <v/>
      </c>
      <c r="B319" s="1" t="str">
        <f>IF(AND(Programme_Grunddaten!$A324="Geprüft",Programme_Grunddaten!C324&lt;&gt;""),Programme_Grunddaten!C324,"")</f>
        <v/>
      </c>
      <c r="C319" s="1" t="str">
        <f>IF(AND(Programme_Grunddaten!$A324="Geprüft",Programme_Grunddaten!D324&lt;&gt;""),Programme_Grunddaten!D324,"")</f>
        <v/>
      </c>
      <c r="D319" s="2" t="str">
        <f>IF(AND(Programme_Grunddaten!$A324="Geprüft",Programme_Grunddaten!E324&lt;&gt;""),Programme_Grunddaten!E324,"")</f>
        <v/>
      </c>
      <c r="E319" t="str">
        <f>IF(AND(Programme_Grunddaten!$A324="Geprüft",Programme_Grunddaten!G324&lt;&gt;""),Programme_Grunddaten!G324,"")</f>
        <v/>
      </c>
      <c r="F319" t="str">
        <f>IF(AND(Programme_Grunddaten!$A324="Geprüft",Programme_Grunddaten!F324&lt;&gt;""),Programme_Grunddaten!F324,"")</f>
        <v/>
      </c>
      <c r="G319" s="3" t="str">
        <f>IF(AND(Programme_Grunddaten!$A324="Geprüft",Programme_Grunddaten!S324&lt;&gt;""),Programme_Grunddaten!S324,"")</f>
        <v/>
      </c>
      <c r="H319" t="str">
        <f>IF(AND(Programme_Grunddaten!$A324="Geprüft",Programme_Grunddaten!AW324&lt;&gt;""),Programme_Grunddaten!AW324,"")</f>
        <v/>
      </c>
      <c r="I319" t="str">
        <f>IF(AND(Programme_Grunddaten!$A324="Geprüft",Programme_Grunddaten!AX324&lt;&gt;""),Programme_Grunddaten!AX324,"")</f>
        <v/>
      </c>
    </row>
    <row r="320" spans="1:9" x14ac:dyDescent="0.3">
      <c r="A320" s="1" t="str">
        <f>IF(AND(Programme_Grunddaten!$A325="Geprüft",Programme_Grunddaten!B325&lt;&gt;""),Programme_Grunddaten!B325,"")</f>
        <v/>
      </c>
      <c r="B320" s="1" t="str">
        <f>IF(AND(Programme_Grunddaten!$A325="Geprüft",Programme_Grunddaten!C325&lt;&gt;""),Programme_Grunddaten!C325,"")</f>
        <v/>
      </c>
      <c r="C320" s="1" t="str">
        <f>IF(AND(Programme_Grunddaten!$A325="Geprüft",Programme_Grunddaten!D325&lt;&gt;""),Programme_Grunddaten!D325,"")</f>
        <v/>
      </c>
      <c r="D320" s="2" t="str">
        <f>IF(AND(Programme_Grunddaten!$A325="Geprüft",Programme_Grunddaten!E325&lt;&gt;""),Programme_Grunddaten!E325,"")</f>
        <v/>
      </c>
      <c r="E320" t="str">
        <f>IF(AND(Programme_Grunddaten!$A325="Geprüft",Programme_Grunddaten!G325&lt;&gt;""),Programme_Grunddaten!G325,"")</f>
        <v/>
      </c>
      <c r="F320" t="str">
        <f>IF(AND(Programme_Grunddaten!$A325="Geprüft",Programme_Grunddaten!F325&lt;&gt;""),Programme_Grunddaten!F325,"")</f>
        <v/>
      </c>
      <c r="G320" s="3" t="str">
        <f>IF(AND(Programme_Grunddaten!$A325="Geprüft",Programme_Grunddaten!S325&lt;&gt;""),Programme_Grunddaten!S325,"")</f>
        <v/>
      </c>
      <c r="H320" t="str">
        <f>IF(AND(Programme_Grunddaten!$A325="Geprüft",Programme_Grunddaten!AW325&lt;&gt;""),Programme_Grunddaten!AW325,"")</f>
        <v/>
      </c>
      <c r="I320" t="str">
        <f>IF(AND(Programme_Grunddaten!$A325="Geprüft",Programme_Grunddaten!AX325&lt;&gt;""),Programme_Grunddaten!AX325,"")</f>
        <v/>
      </c>
    </row>
    <row r="321" spans="1:9" x14ac:dyDescent="0.3">
      <c r="A321" s="1" t="str">
        <f>IF(AND(Programme_Grunddaten!$A326="Geprüft",Programme_Grunddaten!B326&lt;&gt;""),Programme_Grunddaten!B326,"")</f>
        <v/>
      </c>
      <c r="B321" s="1" t="str">
        <f>IF(AND(Programme_Grunddaten!$A326="Geprüft",Programme_Grunddaten!C326&lt;&gt;""),Programme_Grunddaten!C326,"")</f>
        <v/>
      </c>
      <c r="C321" s="1" t="str">
        <f>IF(AND(Programme_Grunddaten!$A326="Geprüft",Programme_Grunddaten!D326&lt;&gt;""),Programme_Grunddaten!D326,"")</f>
        <v/>
      </c>
      <c r="D321" s="2" t="str">
        <f>IF(AND(Programme_Grunddaten!$A326="Geprüft",Programme_Grunddaten!E326&lt;&gt;""),Programme_Grunddaten!E326,"")</f>
        <v/>
      </c>
      <c r="E321" t="str">
        <f>IF(AND(Programme_Grunddaten!$A326="Geprüft",Programme_Grunddaten!G326&lt;&gt;""),Programme_Grunddaten!G326,"")</f>
        <v/>
      </c>
      <c r="F321" t="str">
        <f>IF(AND(Programme_Grunddaten!$A326="Geprüft",Programme_Grunddaten!F326&lt;&gt;""),Programme_Grunddaten!F326,"")</f>
        <v/>
      </c>
      <c r="G321" s="3" t="str">
        <f>IF(AND(Programme_Grunddaten!$A326="Geprüft",Programme_Grunddaten!S326&lt;&gt;""),Programme_Grunddaten!S326,"")</f>
        <v/>
      </c>
      <c r="H321" t="str">
        <f>IF(AND(Programme_Grunddaten!$A326="Geprüft",Programme_Grunddaten!AW326&lt;&gt;""),Programme_Grunddaten!AW326,"")</f>
        <v/>
      </c>
      <c r="I321" t="str">
        <f>IF(AND(Programme_Grunddaten!$A326="Geprüft",Programme_Grunddaten!AX326&lt;&gt;""),Programme_Grunddaten!AX326,"")</f>
        <v/>
      </c>
    </row>
    <row r="322" spans="1:9" x14ac:dyDescent="0.3">
      <c r="A322" s="1" t="str">
        <f>IF(AND(Programme_Grunddaten!$A327="Geprüft",Programme_Grunddaten!B327&lt;&gt;""),Programme_Grunddaten!B327,"")</f>
        <v/>
      </c>
      <c r="B322" s="1" t="str">
        <f>IF(AND(Programme_Grunddaten!$A327="Geprüft",Programme_Grunddaten!C327&lt;&gt;""),Programme_Grunddaten!C327,"")</f>
        <v/>
      </c>
      <c r="C322" s="1" t="str">
        <f>IF(AND(Programme_Grunddaten!$A327="Geprüft",Programme_Grunddaten!D327&lt;&gt;""),Programme_Grunddaten!D327,"")</f>
        <v/>
      </c>
      <c r="D322" s="2" t="str">
        <f>IF(AND(Programme_Grunddaten!$A327="Geprüft",Programme_Grunddaten!E327&lt;&gt;""),Programme_Grunddaten!E327,"")</f>
        <v/>
      </c>
      <c r="E322" t="str">
        <f>IF(AND(Programme_Grunddaten!$A327="Geprüft",Programme_Grunddaten!G327&lt;&gt;""),Programme_Grunddaten!G327,"")</f>
        <v/>
      </c>
      <c r="F322" t="str">
        <f>IF(AND(Programme_Grunddaten!$A327="Geprüft",Programme_Grunddaten!F327&lt;&gt;""),Programme_Grunddaten!F327,"")</f>
        <v/>
      </c>
      <c r="G322" s="3" t="str">
        <f>IF(AND(Programme_Grunddaten!$A327="Geprüft",Programme_Grunddaten!S327&lt;&gt;""),Programme_Grunddaten!S327,"")</f>
        <v/>
      </c>
      <c r="H322" t="str">
        <f>IF(AND(Programme_Grunddaten!$A327="Geprüft",Programme_Grunddaten!AW327&lt;&gt;""),Programme_Grunddaten!AW327,"")</f>
        <v/>
      </c>
      <c r="I322" t="str">
        <f>IF(AND(Programme_Grunddaten!$A327="Geprüft",Programme_Grunddaten!AX327&lt;&gt;""),Programme_Grunddaten!AX327,"")</f>
        <v/>
      </c>
    </row>
    <row r="323" spans="1:9" x14ac:dyDescent="0.3">
      <c r="A323" s="1" t="str">
        <f>IF(AND(Programme_Grunddaten!$A328="Geprüft",Programme_Grunddaten!B328&lt;&gt;""),Programme_Grunddaten!B328,"")</f>
        <v/>
      </c>
      <c r="B323" s="1" t="str">
        <f>IF(AND(Programme_Grunddaten!$A328="Geprüft",Programme_Grunddaten!C328&lt;&gt;""),Programme_Grunddaten!C328,"")</f>
        <v/>
      </c>
      <c r="C323" s="1" t="str">
        <f>IF(AND(Programme_Grunddaten!$A328="Geprüft",Programme_Grunddaten!D328&lt;&gt;""),Programme_Grunddaten!D328,"")</f>
        <v/>
      </c>
      <c r="D323" s="2" t="str">
        <f>IF(AND(Programme_Grunddaten!$A328="Geprüft",Programme_Grunddaten!E328&lt;&gt;""),Programme_Grunddaten!E328,"")</f>
        <v/>
      </c>
      <c r="E323" t="str">
        <f>IF(AND(Programme_Grunddaten!$A328="Geprüft",Programme_Grunddaten!G328&lt;&gt;""),Programme_Grunddaten!G328,"")</f>
        <v/>
      </c>
      <c r="F323" t="str">
        <f>IF(AND(Programme_Grunddaten!$A328="Geprüft",Programme_Grunddaten!F328&lt;&gt;""),Programme_Grunddaten!F328,"")</f>
        <v/>
      </c>
      <c r="G323" s="3" t="str">
        <f>IF(AND(Programme_Grunddaten!$A328="Geprüft",Programme_Grunddaten!S328&lt;&gt;""),Programme_Grunddaten!S328,"")</f>
        <v/>
      </c>
      <c r="H323" t="str">
        <f>IF(AND(Programme_Grunddaten!$A328="Geprüft",Programme_Grunddaten!AW328&lt;&gt;""),Programme_Grunddaten!AW328,"")</f>
        <v/>
      </c>
      <c r="I323" t="str">
        <f>IF(AND(Programme_Grunddaten!$A328="Geprüft",Programme_Grunddaten!AX328&lt;&gt;""),Programme_Grunddaten!AX328,"")</f>
        <v/>
      </c>
    </row>
    <row r="324" spans="1:9" x14ac:dyDescent="0.3">
      <c r="A324" s="1" t="str">
        <f>IF(AND(Programme_Grunddaten!$A329="Geprüft",Programme_Grunddaten!B329&lt;&gt;""),Programme_Grunddaten!B329,"")</f>
        <v/>
      </c>
      <c r="B324" s="1" t="str">
        <f>IF(AND(Programme_Grunddaten!$A329="Geprüft",Programme_Grunddaten!C329&lt;&gt;""),Programme_Grunddaten!C329,"")</f>
        <v/>
      </c>
      <c r="C324" s="1" t="str">
        <f>IF(AND(Programme_Grunddaten!$A329="Geprüft",Programme_Grunddaten!D329&lt;&gt;""),Programme_Grunddaten!D329,"")</f>
        <v/>
      </c>
      <c r="D324" s="2" t="str">
        <f>IF(AND(Programme_Grunddaten!$A329="Geprüft",Programme_Grunddaten!E329&lt;&gt;""),Programme_Grunddaten!E329,"")</f>
        <v/>
      </c>
      <c r="E324" t="str">
        <f>IF(AND(Programme_Grunddaten!$A329="Geprüft",Programme_Grunddaten!G329&lt;&gt;""),Programme_Grunddaten!G329,"")</f>
        <v/>
      </c>
      <c r="F324" t="str">
        <f>IF(AND(Programme_Grunddaten!$A329="Geprüft",Programme_Grunddaten!F329&lt;&gt;""),Programme_Grunddaten!F329,"")</f>
        <v/>
      </c>
      <c r="G324" s="3" t="str">
        <f>IF(AND(Programme_Grunddaten!$A329="Geprüft",Programme_Grunddaten!S329&lt;&gt;""),Programme_Grunddaten!S329,"")</f>
        <v/>
      </c>
      <c r="H324" t="str">
        <f>IF(AND(Programme_Grunddaten!$A329="Geprüft",Programme_Grunddaten!AW329&lt;&gt;""),Programme_Grunddaten!AW329,"")</f>
        <v/>
      </c>
      <c r="I324" t="str">
        <f>IF(AND(Programme_Grunddaten!$A329="Geprüft",Programme_Grunddaten!AX329&lt;&gt;""),Programme_Grunddaten!AX329,"")</f>
        <v/>
      </c>
    </row>
    <row r="325" spans="1:9" x14ac:dyDescent="0.3">
      <c r="A325" s="1" t="str">
        <f>IF(AND(Programme_Grunddaten!$A330="Geprüft",Programme_Grunddaten!B330&lt;&gt;""),Programme_Grunddaten!B330,"")</f>
        <v/>
      </c>
      <c r="B325" s="1" t="str">
        <f>IF(AND(Programme_Grunddaten!$A330="Geprüft",Programme_Grunddaten!C330&lt;&gt;""),Programme_Grunddaten!C330,"")</f>
        <v/>
      </c>
      <c r="C325" s="1" t="str">
        <f>IF(AND(Programme_Grunddaten!$A330="Geprüft",Programme_Grunddaten!D330&lt;&gt;""),Programme_Grunddaten!D330,"")</f>
        <v/>
      </c>
      <c r="D325" s="2" t="str">
        <f>IF(AND(Programme_Grunddaten!$A330="Geprüft",Programme_Grunddaten!E330&lt;&gt;""),Programme_Grunddaten!E330,"")</f>
        <v/>
      </c>
      <c r="E325" t="str">
        <f>IF(AND(Programme_Grunddaten!$A330="Geprüft",Programme_Grunddaten!G330&lt;&gt;""),Programme_Grunddaten!G330,"")</f>
        <v/>
      </c>
      <c r="F325" t="str">
        <f>IF(AND(Programme_Grunddaten!$A330="Geprüft",Programme_Grunddaten!F330&lt;&gt;""),Programme_Grunddaten!F330,"")</f>
        <v/>
      </c>
      <c r="G325" s="3" t="str">
        <f>IF(AND(Programme_Grunddaten!$A330="Geprüft",Programme_Grunddaten!S330&lt;&gt;""),Programme_Grunddaten!S330,"")</f>
        <v/>
      </c>
      <c r="H325" t="str">
        <f>IF(AND(Programme_Grunddaten!$A330="Geprüft",Programme_Grunddaten!AW330&lt;&gt;""),Programme_Grunddaten!AW330,"")</f>
        <v/>
      </c>
      <c r="I325" t="str">
        <f>IF(AND(Programme_Grunddaten!$A330="Geprüft",Programme_Grunddaten!AX330&lt;&gt;""),Programme_Grunddaten!AX330,"")</f>
        <v/>
      </c>
    </row>
    <row r="326" spans="1:9" x14ac:dyDescent="0.3">
      <c r="A326" s="1" t="str">
        <f>IF(AND(Programme_Grunddaten!$A331="Geprüft",Programme_Grunddaten!B331&lt;&gt;""),Programme_Grunddaten!B331,"")</f>
        <v/>
      </c>
      <c r="B326" s="1" t="str">
        <f>IF(AND(Programme_Grunddaten!$A331="Geprüft",Programme_Grunddaten!C331&lt;&gt;""),Programme_Grunddaten!C331,"")</f>
        <v/>
      </c>
      <c r="C326" s="1" t="str">
        <f>IF(AND(Programme_Grunddaten!$A331="Geprüft",Programme_Grunddaten!D331&lt;&gt;""),Programme_Grunddaten!D331,"")</f>
        <v/>
      </c>
      <c r="D326" s="2" t="str">
        <f>IF(AND(Programme_Grunddaten!$A331="Geprüft",Programme_Grunddaten!E331&lt;&gt;""),Programme_Grunddaten!E331,"")</f>
        <v/>
      </c>
      <c r="E326" t="str">
        <f>IF(AND(Programme_Grunddaten!$A331="Geprüft",Programme_Grunddaten!G331&lt;&gt;""),Programme_Grunddaten!G331,"")</f>
        <v/>
      </c>
      <c r="F326" t="str">
        <f>IF(AND(Programme_Grunddaten!$A331="Geprüft",Programme_Grunddaten!F331&lt;&gt;""),Programme_Grunddaten!F331,"")</f>
        <v/>
      </c>
      <c r="G326" s="3" t="str">
        <f>IF(AND(Programme_Grunddaten!$A331="Geprüft",Programme_Grunddaten!S331&lt;&gt;""),Programme_Grunddaten!S331,"")</f>
        <v/>
      </c>
      <c r="H326" t="str">
        <f>IF(AND(Programme_Grunddaten!$A331="Geprüft",Programme_Grunddaten!AW331&lt;&gt;""),Programme_Grunddaten!AW331,"")</f>
        <v/>
      </c>
      <c r="I326" t="str">
        <f>IF(AND(Programme_Grunddaten!$A331="Geprüft",Programme_Grunddaten!AX331&lt;&gt;""),Programme_Grunddaten!AX331,"")</f>
        <v/>
      </c>
    </row>
    <row r="327" spans="1:9" x14ac:dyDescent="0.3">
      <c r="A327" s="1" t="str">
        <f>IF(AND(Programme_Grunddaten!$A332="Geprüft",Programme_Grunddaten!B332&lt;&gt;""),Programme_Grunddaten!B332,"")</f>
        <v/>
      </c>
      <c r="B327" s="1" t="str">
        <f>IF(AND(Programme_Grunddaten!$A332="Geprüft",Programme_Grunddaten!C332&lt;&gt;""),Programme_Grunddaten!C332,"")</f>
        <v/>
      </c>
      <c r="C327" s="1" t="str">
        <f>IF(AND(Programme_Grunddaten!$A332="Geprüft",Programme_Grunddaten!D332&lt;&gt;""),Programme_Grunddaten!D332,"")</f>
        <v/>
      </c>
      <c r="D327" s="2" t="str">
        <f>IF(AND(Programme_Grunddaten!$A332="Geprüft",Programme_Grunddaten!E332&lt;&gt;""),Programme_Grunddaten!E332,"")</f>
        <v/>
      </c>
      <c r="E327" t="str">
        <f>IF(AND(Programme_Grunddaten!$A332="Geprüft",Programme_Grunddaten!G332&lt;&gt;""),Programme_Grunddaten!G332,"")</f>
        <v/>
      </c>
      <c r="F327" t="str">
        <f>IF(AND(Programme_Grunddaten!$A332="Geprüft",Programme_Grunddaten!F332&lt;&gt;""),Programme_Grunddaten!F332,"")</f>
        <v/>
      </c>
      <c r="G327" s="3" t="str">
        <f>IF(AND(Programme_Grunddaten!$A332="Geprüft",Programme_Grunddaten!S332&lt;&gt;""),Programme_Grunddaten!S332,"")</f>
        <v/>
      </c>
      <c r="H327" t="str">
        <f>IF(AND(Programme_Grunddaten!$A332="Geprüft",Programme_Grunddaten!AW332&lt;&gt;""),Programme_Grunddaten!AW332,"")</f>
        <v/>
      </c>
      <c r="I327" t="str">
        <f>IF(AND(Programme_Grunddaten!$A332="Geprüft",Programme_Grunddaten!AX332&lt;&gt;""),Programme_Grunddaten!AX332,"")</f>
        <v/>
      </c>
    </row>
    <row r="328" spans="1:9" x14ac:dyDescent="0.3">
      <c r="A328" s="1" t="str">
        <f>IF(AND(Programme_Grunddaten!$A333="Geprüft",Programme_Grunddaten!B333&lt;&gt;""),Programme_Grunddaten!B333,"")</f>
        <v/>
      </c>
      <c r="B328" s="1" t="str">
        <f>IF(AND(Programme_Grunddaten!$A333="Geprüft",Programme_Grunddaten!C333&lt;&gt;""),Programme_Grunddaten!C333,"")</f>
        <v/>
      </c>
      <c r="C328" s="1" t="str">
        <f>IF(AND(Programme_Grunddaten!$A333="Geprüft",Programme_Grunddaten!D333&lt;&gt;""),Programme_Grunddaten!D333,"")</f>
        <v/>
      </c>
      <c r="D328" s="2" t="str">
        <f>IF(AND(Programme_Grunddaten!$A333="Geprüft",Programme_Grunddaten!E333&lt;&gt;""),Programme_Grunddaten!E333,"")</f>
        <v/>
      </c>
      <c r="E328" t="str">
        <f>IF(AND(Programme_Grunddaten!$A333="Geprüft",Programme_Grunddaten!G333&lt;&gt;""),Programme_Grunddaten!G333,"")</f>
        <v/>
      </c>
      <c r="F328" t="str">
        <f>IF(AND(Programme_Grunddaten!$A333="Geprüft",Programme_Grunddaten!F333&lt;&gt;""),Programme_Grunddaten!F333,"")</f>
        <v/>
      </c>
      <c r="G328" s="3" t="str">
        <f>IF(AND(Programme_Grunddaten!$A333="Geprüft",Programme_Grunddaten!S333&lt;&gt;""),Programme_Grunddaten!S333,"")</f>
        <v/>
      </c>
      <c r="H328" t="str">
        <f>IF(AND(Programme_Grunddaten!$A333="Geprüft",Programme_Grunddaten!AW333&lt;&gt;""),Programme_Grunddaten!AW333,"")</f>
        <v/>
      </c>
      <c r="I328" t="str">
        <f>IF(AND(Programme_Grunddaten!$A333="Geprüft",Programme_Grunddaten!AX333&lt;&gt;""),Programme_Grunddaten!AX333,"")</f>
        <v/>
      </c>
    </row>
    <row r="329" spans="1:9" x14ac:dyDescent="0.3">
      <c r="A329" s="1" t="str">
        <f>IF(AND(Programme_Grunddaten!$A334="Geprüft",Programme_Grunddaten!B334&lt;&gt;""),Programme_Grunddaten!B334,"")</f>
        <v/>
      </c>
      <c r="B329" s="1" t="str">
        <f>IF(AND(Programme_Grunddaten!$A334="Geprüft",Programme_Grunddaten!C334&lt;&gt;""),Programme_Grunddaten!C334,"")</f>
        <v/>
      </c>
      <c r="C329" s="1" t="str">
        <f>IF(AND(Programme_Grunddaten!$A334="Geprüft",Programme_Grunddaten!D334&lt;&gt;""),Programme_Grunddaten!D334,"")</f>
        <v/>
      </c>
      <c r="D329" s="2" t="str">
        <f>IF(AND(Programme_Grunddaten!$A334="Geprüft",Programme_Grunddaten!E334&lt;&gt;""),Programme_Grunddaten!E334,"")</f>
        <v/>
      </c>
      <c r="E329" t="str">
        <f>IF(AND(Programme_Grunddaten!$A334="Geprüft",Programme_Grunddaten!G334&lt;&gt;""),Programme_Grunddaten!G334,"")</f>
        <v/>
      </c>
      <c r="F329" t="str">
        <f>IF(AND(Programme_Grunddaten!$A334="Geprüft",Programme_Grunddaten!F334&lt;&gt;""),Programme_Grunddaten!F334,"")</f>
        <v/>
      </c>
      <c r="G329" s="3" t="str">
        <f>IF(AND(Programme_Grunddaten!$A334="Geprüft",Programme_Grunddaten!S334&lt;&gt;""),Programme_Grunddaten!S334,"")</f>
        <v/>
      </c>
      <c r="H329" t="str">
        <f>IF(AND(Programme_Grunddaten!$A334="Geprüft",Programme_Grunddaten!AW334&lt;&gt;""),Programme_Grunddaten!AW334,"")</f>
        <v/>
      </c>
      <c r="I329" t="str">
        <f>IF(AND(Programme_Grunddaten!$A334="Geprüft",Programme_Grunddaten!AX334&lt;&gt;""),Programme_Grunddaten!AX334,"")</f>
        <v/>
      </c>
    </row>
    <row r="330" spans="1:9" x14ac:dyDescent="0.3">
      <c r="A330" s="1" t="str">
        <f>IF(AND(Programme_Grunddaten!$A335="Geprüft",Programme_Grunddaten!B335&lt;&gt;""),Programme_Grunddaten!B335,"")</f>
        <v/>
      </c>
      <c r="B330" s="1" t="str">
        <f>IF(AND(Programme_Grunddaten!$A335="Geprüft",Programme_Grunddaten!C335&lt;&gt;""),Programme_Grunddaten!C335,"")</f>
        <v/>
      </c>
      <c r="C330" s="1" t="str">
        <f>IF(AND(Programme_Grunddaten!$A335="Geprüft",Programme_Grunddaten!D335&lt;&gt;""),Programme_Grunddaten!D335,"")</f>
        <v/>
      </c>
      <c r="D330" s="2" t="str">
        <f>IF(AND(Programme_Grunddaten!$A335="Geprüft",Programme_Grunddaten!E335&lt;&gt;""),Programme_Grunddaten!E335,"")</f>
        <v/>
      </c>
      <c r="E330" t="str">
        <f>IF(AND(Programme_Grunddaten!$A335="Geprüft",Programme_Grunddaten!G335&lt;&gt;""),Programme_Grunddaten!G335,"")</f>
        <v/>
      </c>
      <c r="F330" t="str">
        <f>IF(AND(Programme_Grunddaten!$A335="Geprüft",Programme_Grunddaten!F335&lt;&gt;""),Programme_Grunddaten!F335,"")</f>
        <v/>
      </c>
      <c r="G330" s="3" t="str">
        <f>IF(AND(Programme_Grunddaten!$A335="Geprüft",Programme_Grunddaten!S335&lt;&gt;""),Programme_Grunddaten!S335,"")</f>
        <v/>
      </c>
      <c r="H330" t="str">
        <f>IF(AND(Programme_Grunddaten!$A335="Geprüft",Programme_Grunddaten!AW335&lt;&gt;""),Programme_Grunddaten!AW335,"")</f>
        <v/>
      </c>
      <c r="I330" t="str">
        <f>IF(AND(Programme_Grunddaten!$A335="Geprüft",Programme_Grunddaten!AX335&lt;&gt;""),Programme_Grunddaten!AX335,"")</f>
        <v/>
      </c>
    </row>
    <row r="331" spans="1:9" x14ac:dyDescent="0.3">
      <c r="A331" s="1" t="str">
        <f>IF(AND(Programme_Grunddaten!$A336="Geprüft",Programme_Grunddaten!B336&lt;&gt;""),Programme_Grunddaten!B336,"")</f>
        <v/>
      </c>
      <c r="B331" s="1" t="str">
        <f>IF(AND(Programme_Grunddaten!$A336="Geprüft",Programme_Grunddaten!C336&lt;&gt;""),Programme_Grunddaten!C336,"")</f>
        <v/>
      </c>
      <c r="C331" s="1" t="str">
        <f>IF(AND(Programme_Grunddaten!$A336="Geprüft",Programme_Grunddaten!D336&lt;&gt;""),Programme_Grunddaten!D336,"")</f>
        <v/>
      </c>
      <c r="D331" s="2" t="str">
        <f>IF(AND(Programme_Grunddaten!$A336="Geprüft",Programme_Grunddaten!E336&lt;&gt;""),Programme_Grunddaten!E336,"")</f>
        <v/>
      </c>
      <c r="E331" t="str">
        <f>IF(AND(Programme_Grunddaten!$A336="Geprüft",Programme_Grunddaten!G336&lt;&gt;""),Programme_Grunddaten!G336,"")</f>
        <v/>
      </c>
      <c r="F331" t="str">
        <f>IF(AND(Programme_Grunddaten!$A336="Geprüft",Programme_Grunddaten!F336&lt;&gt;""),Programme_Grunddaten!F336,"")</f>
        <v/>
      </c>
      <c r="G331" s="3" t="str">
        <f>IF(AND(Programme_Grunddaten!$A336="Geprüft",Programme_Grunddaten!S336&lt;&gt;""),Programme_Grunddaten!S336,"")</f>
        <v/>
      </c>
      <c r="H331" t="str">
        <f>IF(AND(Programme_Grunddaten!$A336="Geprüft",Programme_Grunddaten!AW336&lt;&gt;""),Programme_Grunddaten!AW336,"")</f>
        <v/>
      </c>
      <c r="I331" t="str">
        <f>IF(AND(Programme_Grunddaten!$A336="Geprüft",Programme_Grunddaten!AX336&lt;&gt;""),Programme_Grunddaten!AX336,"")</f>
        <v/>
      </c>
    </row>
    <row r="332" spans="1:9" x14ac:dyDescent="0.3">
      <c r="A332" s="1" t="str">
        <f>IF(AND(Programme_Grunddaten!$A337="Geprüft",Programme_Grunddaten!B337&lt;&gt;""),Programme_Grunddaten!B337,"")</f>
        <v/>
      </c>
      <c r="B332" s="1" t="str">
        <f>IF(AND(Programme_Grunddaten!$A337="Geprüft",Programme_Grunddaten!C337&lt;&gt;""),Programme_Grunddaten!C337,"")</f>
        <v/>
      </c>
      <c r="C332" s="1" t="str">
        <f>IF(AND(Programme_Grunddaten!$A337="Geprüft",Programme_Grunddaten!D337&lt;&gt;""),Programme_Grunddaten!D337,"")</f>
        <v/>
      </c>
      <c r="D332" s="2" t="str">
        <f>IF(AND(Programme_Grunddaten!$A337="Geprüft",Programme_Grunddaten!E337&lt;&gt;""),Programme_Grunddaten!E337,"")</f>
        <v/>
      </c>
      <c r="E332" t="str">
        <f>IF(AND(Programme_Grunddaten!$A337="Geprüft",Programme_Grunddaten!G337&lt;&gt;""),Programme_Grunddaten!G337,"")</f>
        <v/>
      </c>
      <c r="F332" t="str">
        <f>IF(AND(Programme_Grunddaten!$A337="Geprüft",Programme_Grunddaten!F337&lt;&gt;""),Programme_Grunddaten!F337,"")</f>
        <v/>
      </c>
      <c r="G332" s="3" t="str">
        <f>IF(AND(Programme_Grunddaten!$A337="Geprüft",Programme_Grunddaten!S337&lt;&gt;""),Programme_Grunddaten!S337,"")</f>
        <v/>
      </c>
      <c r="H332" t="str">
        <f>IF(AND(Programme_Grunddaten!$A337="Geprüft",Programme_Grunddaten!AW337&lt;&gt;""),Programme_Grunddaten!AW337,"")</f>
        <v/>
      </c>
      <c r="I332" t="str">
        <f>IF(AND(Programme_Grunddaten!$A337="Geprüft",Programme_Grunddaten!AX337&lt;&gt;""),Programme_Grunddaten!AX337,"")</f>
        <v/>
      </c>
    </row>
    <row r="333" spans="1:9" x14ac:dyDescent="0.3">
      <c r="A333" s="1" t="str">
        <f>IF(AND(Programme_Grunddaten!$A338="Geprüft",Programme_Grunddaten!B338&lt;&gt;""),Programme_Grunddaten!B338,"")</f>
        <v/>
      </c>
      <c r="B333" s="1" t="str">
        <f>IF(AND(Programme_Grunddaten!$A338="Geprüft",Programme_Grunddaten!C338&lt;&gt;""),Programme_Grunddaten!C338,"")</f>
        <v/>
      </c>
      <c r="C333" s="1" t="str">
        <f>IF(AND(Programme_Grunddaten!$A338="Geprüft",Programme_Grunddaten!D338&lt;&gt;""),Programme_Grunddaten!D338,"")</f>
        <v/>
      </c>
      <c r="D333" s="2" t="str">
        <f>IF(AND(Programme_Grunddaten!$A338="Geprüft",Programme_Grunddaten!E338&lt;&gt;""),Programme_Grunddaten!E338,"")</f>
        <v/>
      </c>
      <c r="E333" t="str">
        <f>IF(AND(Programme_Grunddaten!$A338="Geprüft",Programme_Grunddaten!G338&lt;&gt;""),Programme_Grunddaten!G338,"")</f>
        <v/>
      </c>
      <c r="F333" t="str">
        <f>IF(AND(Programme_Grunddaten!$A338="Geprüft",Programme_Grunddaten!F338&lt;&gt;""),Programme_Grunddaten!F338,"")</f>
        <v/>
      </c>
      <c r="G333" s="3" t="str">
        <f>IF(AND(Programme_Grunddaten!$A338="Geprüft",Programme_Grunddaten!S338&lt;&gt;""),Programme_Grunddaten!S338,"")</f>
        <v/>
      </c>
      <c r="H333" t="str">
        <f>IF(AND(Programme_Grunddaten!$A338="Geprüft",Programme_Grunddaten!AW338&lt;&gt;""),Programme_Grunddaten!AW338,"")</f>
        <v/>
      </c>
      <c r="I333" t="str">
        <f>IF(AND(Programme_Grunddaten!$A338="Geprüft",Programme_Grunddaten!AX338&lt;&gt;""),Programme_Grunddaten!AX338,"")</f>
        <v/>
      </c>
    </row>
    <row r="334" spans="1:9" x14ac:dyDescent="0.3">
      <c r="A334" s="1" t="str">
        <f>IF(AND(Programme_Grunddaten!$A339="Geprüft",Programme_Grunddaten!B339&lt;&gt;""),Programme_Grunddaten!B339,"")</f>
        <v/>
      </c>
      <c r="B334" s="1" t="str">
        <f>IF(AND(Programme_Grunddaten!$A339="Geprüft",Programme_Grunddaten!C339&lt;&gt;""),Programme_Grunddaten!C339,"")</f>
        <v/>
      </c>
      <c r="C334" s="1" t="str">
        <f>IF(AND(Programme_Grunddaten!$A339="Geprüft",Programme_Grunddaten!D339&lt;&gt;""),Programme_Grunddaten!D339,"")</f>
        <v/>
      </c>
      <c r="D334" s="2" t="str">
        <f>IF(AND(Programme_Grunddaten!$A339="Geprüft",Programme_Grunddaten!E339&lt;&gt;""),Programme_Grunddaten!E339,"")</f>
        <v/>
      </c>
      <c r="E334" t="str">
        <f>IF(AND(Programme_Grunddaten!$A339="Geprüft",Programme_Grunddaten!G339&lt;&gt;""),Programme_Grunddaten!G339,"")</f>
        <v/>
      </c>
      <c r="F334" t="str">
        <f>IF(AND(Programme_Grunddaten!$A339="Geprüft",Programme_Grunddaten!F339&lt;&gt;""),Programme_Grunddaten!F339,"")</f>
        <v/>
      </c>
      <c r="G334" s="3" t="str">
        <f>IF(AND(Programme_Grunddaten!$A339="Geprüft",Programme_Grunddaten!S339&lt;&gt;""),Programme_Grunddaten!S339,"")</f>
        <v/>
      </c>
      <c r="H334" t="str">
        <f>IF(AND(Programme_Grunddaten!$A339="Geprüft",Programme_Grunddaten!AW339&lt;&gt;""),Programme_Grunddaten!AW339,"")</f>
        <v/>
      </c>
      <c r="I334" t="str">
        <f>IF(AND(Programme_Grunddaten!$A339="Geprüft",Programme_Grunddaten!AX339&lt;&gt;""),Programme_Grunddaten!AX339,"")</f>
        <v/>
      </c>
    </row>
    <row r="335" spans="1:9" x14ac:dyDescent="0.3">
      <c r="A335" s="1" t="str">
        <f>IF(AND(Programme_Grunddaten!$A340="Geprüft",Programme_Grunddaten!B340&lt;&gt;""),Programme_Grunddaten!B340,"")</f>
        <v/>
      </c>
      <c r="B335" s="1" t="str">
        <f>IF(AND(Programme_Grunddaten!$A340="Geprüft",Programme_Grunddaten!C340&lt;&gt;""),Programme_Grunddaten!C340,"")</f>
        <v/>
      </c>
      <c r="C335" s="1" t="str">
        <f>IF(AND(Programme_Grunddaten!$A340="Geprüft",Programme_Grunddaten!D340&lt;&gt;""),Programme_Grunddaten!D340,"")</f>
        <v/>
      </c>
      <c r="D335" s="2" t="str">
        <f>IF(AND(Programme_Grunddaten!$A340="Geprüft",Programme_Grunddaten!E340&lt;&gt;""),Programme_Grunddaten!E340,"")</f>
        <v/>
      </c>
      <c r="E335" t="str">
        <f>IF(AND(Programme_Grunddaten!$A340="Geprüft",Programme_Grunddaten!G340&lt;&gt;""),Programme_Grunddaten!G340,"")</f>
        <v/>
      </c>
      <c r="F335" t="str">
        <f>IF(AND(Programme_Grunddaten!$A340="Geprüft",Programme_Grunddaten!F340&lt;&gt;""),Programme_Grunddaten!F340,"")</f>
        <v/>
      </c>
      <c r="G335" s="3" t="str">
        <f>IF(AND(Programme_Grunddaten!$A340="Geprüft",Programme_Grunddaten!S340&lt;&gt;""),Programme_Grunddaten!S340,"")</f>
        <v/>
      </c>
      <c r="H335" t="str">
        <f>IF(AND(Programme_Grunddaten!$A340="Geprüft",Programme_Grunddaten!AW340&lt;&gt;""),Programme_Grunddaten!AW340,"")</f>
        <v/>
      </c>
      <c r="I335" t="str">
        <f>IF(AND(Programme_Grunddaten!$A340="Geprüft",Programme_Grunddaten!AX340&lt;&gt;""),Programme_Grunddaten!AX340,"")</f>
        <v/>
      </c>
    </row>
    <row r="336" spans="1:9" x14ac:dyDescent="0.3">
      <c r="A336" s="1" t="str">
        <f>IF(AND(Programme_Grunddaten!$A341="Geprüft",Programme_Grunddaten!B341&lt;&gt;""),Programme_Grunddaten!B341,"")</f>
        <v/>
      </c>
      <c r="B336" s="1" t="str">
        <f>IF(AND(Programme_Grunddaten!$A341="Geprüft",Programme_Grunddaten!C341&lt;&gt;""),Programme_Grunddaten!C341,"")</f>
        <v/>
      </c>
      <c r="C336" s="1" t="str">
        <f>IF(AND(Programme_Grunddaten!$A341="Geprüft",Programme_Grunddaten!D341&lt;&gt;""),Programme_Grunddaten!D341,"")</f>
        <v/>
      </c>
      <c r="D336" s="2" t="str">
        <f>IF(AND(Programme_Grunddaten!$A341="Geprüft",Programme_Grunddaten!E341&lt;&gt;""),Programme_Grunddaten!E341,"")</f>
        <v/>
      </c>
      <c r="E336" t="str">
        <f>IF(AND(Programme_Grunddaten!$A341="Geprüft",Programme_Grunddaten!G341&lt;&gt;""),Programme_Grunddaten!G341,"")</f>
        <v/>
      </c>
      <c r="F336" t="str">
        <f>IF(AND(Programme_Grunddaten!$A341="Geprüft",Programme_Grunddaten!F341&lt;&gt;""),Programme_Grunddaten!F341,"")</f>
        <v/>
      </c>
      <c r="G336" s="3" t="str">
        <f>IF(AND(Programme_Grunddaten!$A341="Geprüft",Programme_Grunddaten!S341&lt;&gt;""),Programme_Grunddaten!S341,"")</f>
        <v/>
      </c>
      <c r="H336" t="str">
        <f>IF(AND(Programme_Grunddaten!$A341="Geprüft",Programme_Grunddaten!AW341&lt;&gt;""),Programme_Grunddaten!AW341,"")</f>
        <v/>
      </c>
      <c r="I336" t="str">
        <f>IF(AND(Programme_Grunddaten!$A341="Geprüft",Programme_Grunddaten!AX341&lt;&gt;""),Programme_Grunddaten!AX341,"")</f>
        <v/>
      </c>
    </row>
    <row r="337" spans="1:9" x14ac:dyDescent="0.3">
      <c r="A337" s="1" t="str">
        <f>IF(AND(Programme_Grunddaten!$A342="Geprüft",Programme_Grunddaten!B342&lt;&gt;""),Programme_Grunddaten!B342,"")</f>
        <v/>
      </c>
      <c r="B337" s="1" t="str">
        <f>IF(AND(Programme_Grunddaten!$A342="Geprüft",Programme_Grunddaten!C342&lt;&gt;""),Programme_Grunddaten!C342,"")</f>
        <v/>
      </c>
      <c r="C337" s="1" t="str">
        <f>IF(AND(Programme_Grunddaten!$A342="Geprüft",Programme_Grunddaten!D342&lt;&gt;""),Programme_Grunddaten!D342,"")</f>
        <v/>
      </c>
      <c r="D337" s="2" t="str">
        <f>IF(AND(Programme_Grunddaten!$A342="Geprüft",Programme_Grunddaten!E342&lt;&gt;""),Programme_Grunddaten!E342,"")</f>
        <v/>
      </c>
      <c r="E337" t="str">
        <f>IF(AND(Programme_Grunddaten!$A342="Geprüft",Programme_Grunddaten!G342&lt;&gt;""),Programme_Grunddaten!G342,"")</f>
        <v/>
      </c>
      <c r="F337" t="str">
        <f>IF(AND(Programme_Grunddaten!$A342="Geprüft",Programme_Grunddaten!F342&lt;&gt;""),Programme_Grunddaten!F342,"")</f>
        <v/>
      </c>
      <c r="G337" s="3" t="str">
        <f>IF(AND(Programme_Grunddaten!$A342="Geprüft",Programme_Grunddaten!S342&lt;&gt;""),Programme_Grunddaten!S342,"")</f>
        <v/>
      </c>
      <c r="H337" t="str">
        <f>IF(AND(Programme_Grunddaten!$A342="Geprüft",Programme_Grunddaten!AW342&lt;&gt;""),Programme_Grunddaten!AW342,"")</f>
        <v/>
      </c>
      <c r="I337" t="str">
        <f>IF(AND(Programme_Grunddaten!$A342="Geprüft",Programme_Grunddaten!AX342&lt;&gt;""),Programme_Grunddaten!AX342,"")</f>
        <v/>
      </c>
    </row>
    <row r="338" spans="1:9" x14ac:dyDescent="0.3">
      <c r="A338" s="1" t="str">
        <f>IF(AND(Programme_Grunddaten!$A343="Geprüft",Programme_Grunddaten!B343&lt;&gt;""),Programme_Grunddaten!B343,"")</f>
        <v/>
      </c>
      <c r="B338" s="1" t="str">
        <f>IF(AND(Programme_Grunddaten!$A343="Geprüft",Programme_Grunddaten!C343&lt;&gt;""),Programme_Grunddaten!C343,"")</f>
        <v/>
      </c>
      <c r="C338" s="1" t="str">
        <f>IF(AND(Programme_Grunddaten!$A343="Geprüft",Programme_Grunddaten!D343&lt;&gt;""),Programme_Grunddaten!D343,"")</f>
        <v/>
      </c>
      <c r="D338" s="2" t="str">
        <f>IF(AND(Programme_Grunddaten!$A343="Geprüft",Programme_Grunddaten!E343&lt;&gt;""),Programme_Grunddaten!E343,"")</f>
        <v/>
      </c>
      <c r="E338" t="str">
        <f>IF(AND(Programme_Grunddaten!$A343="Geprüft",Programme_Grunddaten!G343&lt;&gt;""),Programme_Grunddaten!G343,"")</f>
        <v/>
      </c>
      <c r="F338" t="str">
        <f>IF(AND(Programme_Grunddaten!$A343="Geprüft",Programme_Grunddaten!F343&lt;&gt;""),Programme_Grunddaten!F343,"")</f>
        <v/>
      </c>
      <c r="G338" s="3" t="str">
        <f>IF(AND(Programme_Grunddaten!$A343="Geprüft",Programme_Grunddaten!S343&lt;&gt;""),Programme_Grunddaten!S343,"")</f>
        <v/>
      </c>
      <c r="H338" t="str">
        <f>IF(AND(Programme_Grunddaten!$A343="Geprüft",Programme_Grunddaten!AW343&lt;&gt;""),Programme_Grunddaten!AW343,"")</f>
        <v/>
      </c>
      <c r="I338" t="str">
        <f>IF(AND(Programme_Grunddaten!$A343="Geprüft",Programme_Grunddaten!AX343&lt;&gt;""),Programme_Grunddaten!AX343,"")</f>
        <v/>
      </c>
    </row>
    <row r="339" spans="1:9" x14ac:dyDescent="0.3">
      <c r="A339" s="1" t="str">
        <f>IF(AND(Programme_Grunddaten!$A344="Geprüft",Programme_Grunddaten!B344&lt;&gt;""),Programme_Grunddaten!B344,"")</f>
        <v/>
      </c>
      <c r="B339" s="1" t="str">
        <f>IF(AND(Programme_Grunddaten!$A344="Geprüft",Programme_Grunddaten!C344&lt;&gt;""),Programme_Grunddaten!C344,"")</f>
        <v/>
      </c>
      <c r="C339" s="1" t="str">
        <f>IF(AND(Programme_Grunddaten!$A344="Geprüft",Programme_Grunddaten!D344&lt;&gt;""),Programme_Grunddaten!D344,"")</f>
        <v/>
      </c>
      <c r="D339" s="2" t="str">
        <f>IF(AND(Programme_Grunddaten!$A344="Geprüft",Programme_Grunddaten!E344&lt;&gt;""),Programme_Grunddaten!E344,"")</f>
        <v/>
      </c>
      <c r="E339" t="str">
        <f>IF(AND(Programme_Grunddaten!$A344="Geprüft",Programme_Grunddaten!G344&lt;&gt;""),Programme_Grunddaten!G344,"")</f>
        <v/>
      </c>
      <c r="F339" t="str">
        <f>IF(AND(Programme_Grunddaten!$A344="Geprüft",Programme_Grunddaten!F344&lt;&gt;""),Programme_Grunddaten!F344,"")</f>
        <v/>
      </c>
      <c r="G339" s="3" t="str">
        <f>IF(AND(Programme_Grunddaten!$A344="Geprüft",Programme_Grunddaten!S344&lt;&gt;""),Programme_Grunddaten!S344,"")</f>
        <v/>
      </c>
      <c r="H339" t="str">
        <f>IF(AND(Programme_Grunddaten!$A344="Geprüft",Programme_Grunddaten!AW344&lt;&gt;""),Programme_Grunddaten!AW344,"")</f>
        <v/>
      </c>
      <c r="I339" t="str">
        <f>IF(AND(Programme_Grunddaten!$A344="Geprüft",Programme_Grunddaten!AX344&lt;&gt;""),Programme_Grunddaten!AX344,"")</f>
        <v/>
      </c>
    </row>
    <row r="340" spans="1:9" x14ac:dyDescent="0.3">
      <c r="A340" s="1" t="str">
        <f>IF(AND(Programme_Grunddaten!$A345="Geprüft",Programme_Grunddaten!B345&lt;&gt;""),Programme_Grunddaten!B345,"")</f>
        <v/>
      </c>
      <c r="B340" s="1" t="str">
        <f>IF(AND(Programme_Grunddaten!$A345="Geprüft",Programme_Grunddaten!C345&lt;&gt;""),Programme_Grunddaten!C345,"")</f>
        <v/>
      </c>
      <c r="C340" s="1" t="str">
        <f>IF(AND(Programme_Grunddaten!$A345="Geprüft",Programme_Grunddaten!D345&lt;&gt;""),Programme_Grunddaten!D345,"")</f>
        <v/>
      </c>
      <c r="D340" s="2" t="str">
        <f>IF(AND(Programme_Grunddaten!$A345="Geprüft",Programme_Grunddaten!E345&lt;&gt;""),Programme_Grunddaten!E345,"")</f>
        <v/>
      </c>
      <c r="E340" t="str">
        <f>IF(AND(Programme_Grunddaten!$A345="Geprüft",Programme_Grunddaten!G345&lt;&gt;""),Programme_Grunddaten!G345,"")</f>
        <v/>
      </c>
      <c r="F340" t="str">
        <f>IF(AND(Programme_Grunddaten!$A345="Geprüft",Programme_Grunddaten!F345&lt;&gt;""),Programme_Grunddaten!F345,"")</f>
        <v/>
      </c>
      <c r="G340" s="3" t="str">
        <f>IF(AND(Programme_Grunddaten!$A345="Geprüft",Programme_Grunddaten!S345&lt;&gt;""),Programme_Grunddaten!S345,"")</f>
        <v/>
      </c>
      <c r="H340" t="str">
        <f>IF(AND(Programme_Grunddaten!$A345="Geprüft",Programme_Grunddaten!AW345&lt;&gt;""),Programme_Grunddaten!AW345,"")</f>
        <v/>
      </c>
      <c r="I340" t="str">
        <f>IF(AND(Programme_Grunddaten!$A345="Geprüft",Programme_Grunddaten!AX345&lt;&gt;""),Programme_Grunddaten!AX345,"")</f>
        <v/>
      </c>
    </row>
    <row r="341" spans="1:9" x14ac:dyDescent="0.3">
      <c r="A341" s="1" t="str">
        <f>IF(AND(Programme_Grunddaten!$A346="Geprüft",Programme_Grunddaten!B346&lt;&gt;""),Programme_Grunddaten!B346,"")</f>
        <v/>
      </c>
      <c r="B341" s="1" t="str">
        <f>IF(AND(Programme_Grunddaten!$A346="Geprüft",Programme_Grunddaten!C346&lt;&gt;""),Programme_Grunddaten!C346,"")</f>
        <v/>
      </c>
      <c r="C341" s="1" t="str">
        <f>IF(AND(Programme_Grunddaten!$A346="Geprüft",Programme_Grunddaten!D346&lt;&gt;""),Programme_Grunddaten!D346,"")</f>
        <v/>
      </c>
      <c r="D341" s="2" t="str">
        <f>IF(AND(Programme_Grunddaten!$A346="Geprüft",Programme_Grunddaten!E346&lt;&gt;""),Programme_Grunddaten!E346,"")</f>
        <v/>
      </c>
      <c r="E341" t="str">
        <f>IF(AND(Programme_Grunddaten!$A346="Geprüft",Programme_Grunddaten!G346&lt;&gt;""),Programme_Grunddaten!G346,"")</f>
        <v/>
      </c>
      <c r="F341" t="str">
        <f>IF(AND(Programme_Grunddaten!$A346="Geprüft",Programme_Grunddaten!F346&lt;&gt;""),Programme_Grunddaten!F346,"")</f>
        <v/>
      </c>
      <c r="G341" s="3" t="str">
        <f>IF(AND(Programme_Grunddaten!$A346="Geprüft",Programme_Grunddaten!S346&lt;&gt;""),Programme_Grunddaten!S346,"")</f>
        <v/>
      </c>
      <c r="H341" t="str">
        <f>IF(AND(Programme_Grunddaten!$A346="Geprüft",Programme_Grunddaten!AW346&lt;&gt;""),Programme_Grunddaten!AW346,"")</f>
        <v/>
      </c>
      <c r="I341" t="str">
        <f>IF(AND(Programme_Grunddaten!$A346="Geprüft",Programme_Grunddaten!AX346&lt;&gt;""),Programme_Grunddaten!AX346,"")</f>
        <v/>
      </c>
    </row>
    <row r="342" spans="1:9" x14ac:dyDescent="0.3">
      <c r="A342" s="1" t="str">
        <f>IF(AND(Programme_Grunddaten!$A347="Geprüft",Programme_Grunddaten!B347&lt;&gt;""),Programme_Grunddaten!B347,"")</f>
        <v/>
      </c>
      <c r="B342" s="1" t="str">
        <f>IF(AND(Programme_Grunddaten!$A347="Geprüft",Programme_Grunddaten!C347&lt;&gt;""),Programme_Grunddaten!C347,"")</f>
        <v/>
      </c>
      <c r="C342" s="1" t="str">
        <f>IF(AND(Programme_Grunddaten!$A347="Geprüft",Programme_Grunddaten!D347&lt;&gt;""),Programme_Grunddaten!D347,"")</f>
        <v/>
      </c>
      <c r="D342" s="2" t="str">
        <f>IF(AND(Programme_Grunddaten!$A347="Geprüft",Programme_Grunddaten!E347&lt;&gt;""),Programme_Grunddaten!E347,"")</f>
        <v/>
      </c>
      <c r="E342" t="str">
        <f>IF(AND(Programme_Grunddaten!$A347="Geprüft",Programme_Grunddaten!G347&lt;&gt;""),Programme_Grunddaten!G347,"")</f>
        <v/>
      </c>
      <c r="F342" t="str">
        <f>IF(AND(Programme_Grunddaten!$A347="Geprüft",Programme_Grunddaten!F347&lt;&gt;""),Programme_Grunddaten!F347,"")</f>
        <v/>
      </c>
      <c r="G342" s="3" t="str">
        <f>IF(AND(Programme_Grunddaten!$A347="Geprüft",Programme_Grunddaten!S347&lt;&gt;""),Programme_Grunddaten!S347,"")</f>
        <v/>
      </c>
      <c r="H342" t="str">
        <f>IF(AND(Programme_Grunddaten!$A347="Geprüft",Programme_Grunddaten!AW347&lt;&gt;""),Programme_Grunddaten!AW347,"")</f>
        <v/>
      </c>
      <c r="I342" t="str">
        <f>IF(AND(Programme_Grunddaten!$A347="Geprüft",Programme_Grunddaten!AX347&lt;&gt;""),Programme_Grunddaten!AX347,"")</f>
        <v/>
      </c>
    </row>
    <row r="343" spans="1:9" x14ac:dyDescent="0.3">
      <c r="A343" s="1" t="str">
        <f>IF(AND(Programme_Grunddaten!$A348="Geprüft",Programme_Grunddaten!B348&lt;&gt;""),Programme_Grunddaten!B348,"")</f>
        <v/>
      </c>
      <c r="B343" s="1" t="str">
        <f>IF(AND(Programme_Grunddaten!$A348="Geprüft",Programme_Grunddaten!C348&lt;&gt;""),Programme_Grunddaten!C348,"")</f>
        <v/>
      </c>
      <c r="C343" s="1" t="str">
        <f>IF(AND(Programme_Grunddaten!$A348="Geprüft",Programme_Grunddaten!D348&lt;&gt;""),Programme_Grunddaten!D348,"")</f>
        <v/>
      </c>
      <c r="D343" s="2" t="str">
        <f>IF(AND(Programme_Grunddaten!$A348="Geprüft",Programme_Grunddaten!E348&lt;&gt;""),Programme_Grunddaten!E348,"")</f>
        <v/>
      </c>
      <c r="E343" t="str">
        <f>IF(AND(Programme_Grunddaten!$A348="Geprüft",Programme_Grunddaten!G348&lt;&gt;""),Programme_Grunddaten!G348,"")</f>
        <v/>
      </c>
      <c r="F343" t="str">
        <f>IF(AND(Programme_Grunddaten!$A348="Geprüft",Programme_Grunddaten!F348&lt;&gt;""),Programme_Grunddaten!F348,"")</f>
        <v/>
      </c>
      <c r="G343" s="3" t="str">
        <f>IF(AND(Programme_Grunddaten!$A348="Geprüft",Programme_Grunddaten!S348&lt;&gt;""),Programme_Grunddaten!S348,"")</f>
        <v/>
      </c>
      <c r="H343" t="str">
        <f>IF(AND(Programme_Grunddaten!$A348="Geprüft",Programme_Grunddaten!AW348&lt;&gt;""),Programme_Grunddaten!AW348,"")</f>
        <v/>
      </c>
      <c r="I343" t="str">
        <f>IF(AND(Programme_Grunddaten!$A348="Geprüft",Programme_Grunddaten!AX348&lt;&gt;""),Programme_Grunddaten!AX348,"")</f>
        <v/>
      </c>
    </row>
    <row r="344" spans="1:9" x14ac:dyDescent="0.3">
      <c r="A344" s="1" t="str">
        <f>IF(AND(Programme_Grunddaten!$A349="Geprüft",Programme_Grunddaten!B349&lt;&gt;""),Programme_Grunddaten!B349,"")</f>
        <v/>
      </c>
      <c r="B344" s="1" t="str">
        <f>IF(AND(Programme_Grunddaten!$A349="Geprüft",Programme_Grunddaten!C349&lt;&gt;""),Programme_Grunddaten!C349,"")</f>
        <v/>
      </c>
      <c r="C344" s="1" t="str">
        <f>IF(AND(Programme_Grunddaten!$A349="Geprüft",Programme_Grunddaten!D349&lt;&gt;""),Programme_Grunddaten!D349,"")</f>
        <v/>
      </c>
      <c r="D344" s="2" t="str">
        <f>IF(AND(Programme_Grunddaten!$A349="Geprüft",Programme_Grunddaten!E349&lt;&gt;""),Programme_Grunddaten!E349,"")</f>
        <v/>
      </c>
      <c r="E344" t="str">
        <f>IF(AND(Programme_Grunddaten!$A349="Geprüft",Programme_Grunddaten!G349&lt;&gt;""),Programme_Grunddaten!G349,"")</f>
        <v/>
      </c>
      <c r="F344" t="str">
        <f>IF(AND(Programme_Grunddaten!$A349="Geprüft",Programme_Grunddaten!F349&lt;&gt;""),Programme_Grunddaten!F349,"")</f>
        <v/>
      </c>
      <c r="G344" s="3" t="str">
        <f>IF(AND(Programme_Grunddaten!$A349="Geprüft",Programme_Grunddaten!S349&lt;&gt;""),Programme_Grunddaten!S349,"")</f>
        <v/>
      </c>
      <c r="H344" t="str">
        <f>IF(AND(Programme_Grunddaten!$A349="Geprüft",Programme_Grunddaten!AW349&lt;&gt;""),Programme_Grunddaten!AW349,"")</f>
        <v/>
      </c>
      <c r="I344" t="str">
        <f>IF(AND(Programme_Grunddaten!$A349="Geprüft",Programme_Grunddaten!AX349&lt;&gt;""),Programme_Grunddaten!AX349,"")</f>
        <v/>
      </c>
    </row>
    <row r="345" spans="1:9" x14ac:dyDescent="0.3">
      <c r="A345" s="1" t="str">
        <f>IF(AND(Programme_Grunddaten!$A350="Geprüft",Programme_Grunddaten!B350&lt;&gt;""),Programme_Grunddaten!B350,"")</f>
        <v/>
      </c>
      <c r="B345" s="1" t="str">
        <f>IF(AND(Programme_Grunddaten!$A350="Geprüft",Programme_Grunddaten!C350&lt;&gt;""),Programme_Grunddaten!C350,"")</f>
        <v/>
      </c>
      <c r="C345" s="1" t="str">
        <f>IF(AND(Programme_Grunddaten!$A350="Geprüft",Programme_Grunddaten!D350&lt;&gt;""),Programme_Grunddaten!D350,"")</f>
        <v/>
      </c>
      <c r="D345" s="2" t="str">
        <f>IF(AND(Programme_Grunddaten!$A350="Geprüft",Programme_Grunddaten!E350&lt;&gt;""),Programme_Grunddaten!E350,"")</f>
        <v/>
      </c>
      <c r="E345" t="str">
        <f>IF(AND(Programme_Grunddaten!$A350="Geprüft",Programme_Grunddaten!G350&lt;&gt;""),Programme_Grunddaten!G350,"")</f>
        <v/>
      </c>
      <c r="F345" t="str">
        <f>IF(AND(Programme_Grunddaten!$A350="Geprüft",Programme_Grunddaten!F350&lt;&gt;""),Programme_Grunddaten!F350,"")</f>
        <v/>
      </c>
      <c r="G345" s="3" t="str">
        <f>IF(AND(Programme_Grunddaten!$A350="Geprüft",Programme_Grunddaten!S350&lt;&gt;""),Programme_Grunddaten!S350,"")</f>
        <v/>
      </c>
      <c r="H345" t="str">
        <f>IF(AND(Programme_Grunddaten!$A350="Geprüft",Programme_Grunddaten!AW350&lt;&gt;""),Programme_Grunddaten!AW350,"")</f>
        <v/>
      </c>
      <c r="I345" t="str">
        <f>IF(AND(Programme_Grunddaten!$A350="Geprüft",Programme_Grunddaten!AX350&lt;&gt;""),Programme_Grunddaten!AX350,"")</f>
        <v/>
      </c>
    </row>
    <row r="346" spans="1:9" x14ac:dyDescent="0.3">
      <c r="A346" s="1" t="str">
        <f>IF(AND(Programme_Grunddaten!$A351="Geprüft",Programme_Grunddaten!B351&lt;&gt;""),Programme_Grunddaten!B351,"")</f>
        <v/>
      </c>
      <c r="B346" s="1" t="str">
        <f>IF(AND(Programme_Grunddaten!$A351="Geprüft",Programme_Grunddaten!C351&lt;&gt;""),Programme_Grunddaten!C351,"")</f>
        <v/>
      </c>
      <c r="C346" s="1" t="str">
        <f>IF(AND(Programme_Grunddaten!$A351="Geprüft",Programme_Grunddaten!D351&lt;&gt;""),Programme_Grunddaten!D351,"")</f>
        <v/>
      </c>
      <c r="D346" s="2" t="str">
        <f>IF(AND(Programme_Grunddaten!$A351="Geprüft",Programme_Grunddaten!E351&lt;&gt;""),Programme_Grunddaten!E351,"")</f>
        <v/>
      </c>
      <c r="E346" t="str">
        <f>IF(AND(Programme_Grunddaten!$A351="Geprüft",Programme_Grunddaten!G351&lt;&gt;""),Programme_Grunddaten!G351,"")</f>
        <v/>
      </c>
      <c r="F346" t="str">
        <f>IF(AND(Programme_Grunddaten!$A351="Geprüft",Programme_Grunddaten!F351&lt;&gt;""),Programme_Grunddaten!F351,"")</f>
        <v/>
      </c>
      <c r="G346" s="3" t="str">
        <f>IF(AND(Programme_Grunddaten!$A351="Geprüft",Programme_Grunddaten!S351&lt;&gt;""),Programme_Grunddaten!S351,"")</f>
        <v/>
      </c>
      <c r="H346" t="str">
        <f>IF(AND(Programme_Grunddaten!$A351="Geprüft",Programme_Grunddaten!AW351&lt;&gt;""),Programme_Grunddaten!AW351,"")</f>
        <v/>
      </c>
      <c r="I346" t="str">
        <f>IF(AND(Programme_Grunddaten!$A351="Geprüft",Programme_Grunddaten!AX351&lt;&gt;""),Programme_Grunddaten!AX351,"")</f>
        <v/>
      </c>
    </row>
    <row r="347" spans="1:9" x14ac:dyDescent="0.3">
      <c r="A347" s="1" t="str">
        <f>IF(AND(Programme_Grunddaten!$A352="Geprüft",Programme_Grunddaten!B352&lt;&gt;""),Programme_Grunddaten!B352,"")</f>
        <v/>
      </c>
      <c r="B347" s="1" t="str">
        <f>IF(AND(Programme_Grunddaten!$A352="Geprüft",Programme_Grunddaten!C352&lt;&gt;""),Programme_Grunddaten!C352,"")</f>
        <v/>
      </c>
      <c r="C347" s="1" t="str">
        <f>IF(AND(Programme_Grunddaten!$A352="Geprüft",Programme_Grunddaten!D352&lt;&gt;""),Programme_Grunddaten!D352,"")</f>
        <v/>
      </c>
      <c r="D347" s="2" t="str">
        <f>IF(AND(Programme_Grunddaten!$A352="Geprüft",Programme_Grunddaten!E352&lt;&gt;""),Programme_Grunddaten!E352,"")</f>
        <v/>
      </c>
      <c r="E347" t="str">
        <f>IF(AND(Programme_Grunddaten!$A352="Geprüft",Programme_Grunddaten!G352&lt;&gt;""),Programme_Grunddaten!G352,"")</f>
        <v/>
      </c>
      <c r="F347" t="str">
        <f>IF(AND(Programme_Grunddaten!$A352="Geprüft",Programme_Grunddaten!F352&lt;&gt;""),Programme_Grunddaten!F352,"")</f>
        <v/>
      </c>
      <c r="G347" s="3" t="str">
        <f>IF(AND(Programme_Grunddaten!$A352="Geprüft",Programme_Grunddaten!S352&lt;&gt;""),Programme_Grunddaten!S352,"")</f>
        <v/>
      </c>
      <c r="H347" t="str">
        <f>IF(AND(Programme_Grunddaten!$A352="Geprüft",Programme_Grunddaten!AW352&lt;&gt;""),Programme_Grunddaten!AW352,"")</f>
        <v/>
      </c>
      <c r="I347" t="str">
        <f>IF(AND(Programme_Grunddaten!$A352="Geprüft",Programme_Grunddaten!AX352&lt;&gt;""),Programme_Grunddaten!AX352,"")</f>
        <v/>
      </c>
    </row>
    <row r="348" spans="1:9" x14ac:dyDescent="0.3">
      <c r="A348" s="1" t="str">
        <f>IF(AND(Programme_Grunddaten!$A353="Geprüft",Programme_Grunddaten!B353&lt;&gt;""),Programme_Grunddaten!B353,"")</f>
        <v/>
      </c>
      <c r="B348" s="1" t="str">
        <f>IF(AND(Programme_Grunddaten!$A353="Geprüft",Programme_Grunddaten!C353&lt;&gt;""),Programme_Grunddaten!C353,"")</f>
        <v/>
      </c>
      <c r="C348" s="1" t="str">
        <f>IF(AND(Programme_Grunddaten!$A353="Geprüft",Programme_Grunddaten!D353&lt;&gt;""),Programme_Grunddaten!D353,"")</f>
        <v/>
      </c>
      <c r="D348" s="2" t="str">
        <f>IF(AND(Programme_Grunddaten!$A353="Geprüft",Programme_Grunddaten!E353&lt;&gt;""),Programme_Grunddaten!E353,"")</f>
        <v/>
      </c>
      <c r="E348" t="str">
        <f>IF(AND(Programme_Grunddaten!$A353="Geprüft",Programme_Grunddaten!G353&lt;&gt;""),Programme_Grunddaten!G353,"")</f>
        <v/>
      </c>
      <c r="F348" t="str">
        <f>IF(AND(Programme_Grunddaten!$A353="Geprüft",Programme_Grunddaten!F353&lt;&gt;""),Programme_Grunddaten!F353,"")</f>
        <v/>
      </c>
      <c r="G348" s="3" t="str">
        <f>IF(AND(Programme_Grunddaten!$A353="Geprüft",Programme_Grunddaten!S353&lt;&gt;""),Programme_Grunddaten!S353,"")</f>
        <v/>
      </c>
      <c r="H348" t="str">
        <f>IF(AND(Programme_Grunddaten!$A353="Geprüft",Programme_Grunddaten!AW353&lt;&gt;""),Programme_Grunddaten!AW353,"")</f>
        <v/>
      </c>
      <c r="I348" t="str">
        <f>IF(AND(Programme_Grunddaten!$A353="Geprüft",Programme_Grunddaten!AX353&lt;&gt;""),Programme_Grunddaten!AX353,"")</f>
        <v/>
      </c>
    </row>
    <row r="349" spans="1:9" x14ac:dyDescent="0.3">
      <c r="A349" s="1" t="str">
        <f>IF(AND(Programme_Grunddaten!$A354="Geprüft",Programme_Grunddaten!B354&lt;&gt;""),Programme_Grunddaten!B354,"")</f>
        <v/>
      </c>
      <c r="B349" s="1" t="str">
        <f>IF(AND(Programme_Grunddaten!$A354="Geprüft",Programme_Grunddaten!C354&lt;&gt;""),Programme_Grunddaten!C354,"")</f>
        <v/>
      </c>
      <c r="C349" s="1" t="str">
        <f>IF(AND(Programme_Grunddaten!$A354="Geprüft",Programme_Grunddaten!D354&lt;&gt;""),Programme_Grunddaten!D354,"")</f>
        <v/>
      </c>
      <c r="D349" s="2" t="str">
        <f>IF(AND(Programme_Grunddaten!$A354="Geprüft",Programme_Grunddaten!E354&lt;&gt;""),Programme_Grunddaten!E354,"")</f>
        <v/>
      </c>
      <c r="E349" t="str">
        <f>IF(AND(Programme_Grunddaten!$A354="Geprüft",Programme_Grunddaten!G354&lt;&gt;""),Programme_Grunddaten!G354,"")</f>
        <v/>
      </c>
      <c r="F349" t="str">
        <f>IF(AND(Programme_Grunddaten!$A354="Geprüft",Programme_Grunddaten!F354&lt;&gt;""),Programme_Grunddaten!F354,"")</f>
        <v/>
      </c>
      <c r="G349" s="3" t="str">
        <f>IF(AND(Programme_Grunddaten!$A354="Geprüft",Programme_Grunddaten!S354&lt;&gt;""),Programme_Grunddaten!S354,"")</f>
        <v/>
      </c>
      <c r="H349" t="str">
        <f>IF(AND(Programme_Grunddaten!$A354="Geprüft",Programme_Grunddaten!AW354&lt;&gt;""),Programme_Grunddaten!AW354,"")</f>
        <v/>
      </c>
      <c r="I349" t="str">
        <f>IF(AND(Programme_Grunddaten!$A354="Geprüft",Programme_Grunddaten!AX354&lt;&gt;""),Programme_Grunddaten!AX354,"")</f>
        <v/>
      </c>
    </row>
    <row r="350" spans="1:9" x14ac:dyDescent="0.3">
      <c r="A350" s="1" t="str">
        <f>IF(AND(Programme_Grunddaten!$A355="Geprüft",Programme_Grunddaten!B355&lt;&gt;""),Programme_Grunddaten!B355,"")</f>
        <v/>
      </c>
      <c r="B350" s="1" t="str">
        <f>IF(AND(Programme_Grunddaten!$A355="Geprüft",Programme_Grunddaten!C355&lt;&gt;""),Programme_Grunddaten!C355,"")</f>
        <v/>
      </c>
      <c r="C350" s="1" t="str">
        <f>IF(AND(Programme_Grunddaten!$A355="Geprüft",Programme_Grunddaten!D355&lt;&gt;""),Programme_Grunddaten!D355,"")</f>
        <v/>
      </c>
      <c r="D350" s="2" t="str">
        <f>IF(AND(Programme_Grunddaten!$A355="Geprüft",Programme_Grunddaten!E355&lt;&gt;""),Programme_Grunddaten!E355,"")</f>
        <v/>
      </c>
      <c r="E350" t="str">
        <f>IF(AND(Programme_Grunddaten!$A355="Geprüft",Programme_Grunddaten!G355&lt;&gt;""),Programme_Grunddaten!G355,"")</f>
        <v/>
      </c>
      <c r="F350" t="str">
        <f>IF(AND(Programme_Grunddaten!$A355="Geprüft",Programme_Grunddaten!F355&lt;&gt;""),Programme_Grunddaten!F355,"")</f>
        <v/>
      </c>
      <c r="G350" s="3" t="str">
        <f>IF(AND(Programme_Grunddaten!$A355="Geprüft",Programme_Grunddaten!S355&lt;&gt;""),Programme_Grunddaten!S355,"")</f>
        <v/>
      </c>
      <c r="H350" t="str">
        <f>IF(AND(Programme_Grunddaten!$A355="Geprüft",Programme_Grunddaten!AW355&lt;&gt;""),Programme_Grunddaten!AW355,"")</f>
        <v/>
      </c>
      <c r="I350" t="str">
        <f>IF(AND(Programme_Grunddaten!$A355="Geprüft",Programme_Grunddaten!AX355&lt;&gt;""),Programme_Grunddaten!AX355,"")</f>
        <v/>
      </c>
    </row>
    <row r="351" spans="1:9" x14ac:dyDescent="0.3">
      <c r="A351" s="1" t="str">
        <f>IF(AND(Programme_Grunddaten!$A356="Geprüft",Programme_Grunddaten!B356&lt;&gt;""),Programme_Grunddaten!B356,"")</f>
        <v/>
      </c>
      <c r="B351" s="1" t="str">
        <f>IF(AND(Programme_Grunddaten!$A356="Geprüft",Programme_Grunddaten!C356&lt;&gt;""),Programme_Grunddaten!C356,"")</f>
        <v/>
      </c>
      <c r="C351" s="1" t="str">
        <f>IF(AND(Programme_Grunddaten!$A356="Geprüft",Programme_Grunddaten!D356&lt;&gt;""),Programme_Grunddaten!D356,"")</f>
        <v/>
      </c>
      <c r="D351" s="2" t="str">
        <f>IF(AND(Programme_Grunddaten!$A356="Geprüft",Programme_Grunddaten!E356&lt;&gt;""),Programme_Grunddaten!E356,"")</f>
        <v/>
      </c>
      <c r="E351" t="str">
        <f>IF(AND(Programme_Grunddaten!$A356="Geprüft",Programme_Grunddaten!G356&lt;&gt;""),Programme_Grunddaten!G356,"")</f>
        <v/>
      </c>
      <c r="F351" t="str">
        <f>IF(AND(Programme_Grunddaten!$A356="Geprüft",Programme_Grunddaten!F356&lt;&gt;""),Programme_Grunddaten!F356,"")</f>
        <v/>
      </c>
      <c r="G351" s="3" t="str">
        <f>IF(AND(Programme_Grunddaten!$A356="Geprüft",Programme_Grunddaten!S356&lt;&gt;""),Programme_Grunddaten!S356,"")</f>
        <v/>
      </c>
      <c r="H351" t="str">
        <f>IF(AND(Programme_Grunddaten!$A356="Geprüft",Programme_Grunddaten!AW356&lt;&gt;""),Programme_Grunddaten!AW356,"")</f>
        <v/>
      </c>
      <c r="I351" t="str">
        <f>IF(AND(Programme_Grunddaten!$A356="Geprüft",Programme_Grunddaten!AX356&lt;&gt;""),Programme_Grunddaten!AX356,"")</f>
        <v/>
      </c>
    </row>
    <row r="352" spans="1:9" x14ac:dyDescent="0.3">
      <c r="A352" s="1" t="str">
        <f>IF(AND(Programme_Grunddaten!$A357="Geprüft",Programme_Grunddaten!B357&lt;&gt;""),Programme_Grunddaten!B357,"")</f>
        <v/>
      </c>
      <c r="B352" s="1" t="str">
        <f>IF(AND(Programme_Grunddaten!$A357="Geprüft",Programme_Grunddaten!C357&lt;&gt;""),Programme_Grunddaten!C357,"")</f>
        <v/>
      </c>
      <c r="C352" s="1" t="str">
        <f>IF(AND(Programme_Grunddaten!$A357="Geprüft",Programme_Grunddaten!D357&lt;&gt;""),Programme_Grunddaten!D357,"")</f>
        <v/>
      </c>
      <c r="D352" s="2" t="str">
        <f>IF(AND(Programme_Grunddaten!$A357="Geprüft",Programme_Grunddaten!E357&lt;&gt;""),Programme_Grunddaten!E357,"")</f>
        <v/>
      </c>
      <c r="E352" t="str">
        <f>IF(AND(Programme_Grunddaten!$A357="Geprüft",Programme_Grunddaten!G357&lt;&gt;""),Programme_Grunddaten!G357,"")</f>
        <v/>
      </c>
      <c r="F352" t="str">
        <f>IF(AND(Programme_Grunddaten!$A357="Geprüft",Programme_Grunddaten!F357&lt;&gt;""),Programme_Grunddaten!F357,"")</f>
        <v/>
      </c>
      <c r="G352" s="3" t="str">
        <f>IF(AND(Programme_Grunddaten!$A357="Geprüft",Programme_Grunddaten!S357&lt;&gt;""),Programme_Grunddaten!S357,"")</f>
        <v/>
      </c>
      <c r="H352" t="str">
        <f>IF(AND(Programme_Grunddaten!$A357="Geprüft",Programme_Grunddaten!AW357&lt;&gt;""),Programme_Grunddaten!AW357,"")</f>
        <v/>
      </c>
      <c r="I352" t="str">
        <f>IF(AND(Programme_Grunddaten!$A357="Geprüft",Programme_Grunddaten!AX357&lt;&gt;""),Programme_Grunddaten!AX357,"")</f>
        <v/>
      </c>
    </row>
    <row r="353" spans="1:9" x14ac:dyDescent="0.3">
      <c r="A353" s="1" t="str">
        <f>IF(AND(Programme_Grunddaten!$A358="Geprüft",Programme_Grunddaten!B358&lt;&gt;""),Programme_Grunddaten!B358,"")</f>
        <v/>
      </c>
      <c r="B353" s="1" t="str">
        <f>IF(AND(Programme_Grunddaten!$A358="Geprüft",Programme_Grunddaten!C358&lt;&gt;""),Programme_Grunddaten!C358,"")</f>
        <v/>
      </c>
      <c r="C353" s="1" t="str">
        <f>IF(AND(Programme_Grunddaten!$A358="Geprüft",Programme_Grunddaten!D358&lt;&gt;""),Programme_Grunddaten!D358,"")</f>
        <v/>
      </c>
      <c r="D353" s="2" t="str">
        <f>IF(AND(Programme_Grunddaten!$A358="Geprüft",Programme_Grunddaten!E358&lt;&gt;""),Programme_Grunddaten!E358,"")</f>
        <v/>
      </c>
      <c r="E353" t="str">
        <f>IF(AND(Programme_Grunddaten!$A358="Geprüft",Programme_Grunddaten!G358&lt;&gt;""),Programme_Grunddaten!G358,"")</f>
        <v/>
      </c>
      <c r="F353" t="str">
        <f>IF(AND(Programme_Grunddaten!$A358="Geprüft",Programme_Grunddaten!F358&lt;&gt;""),Programme_Grunddaten!F358,"")</f>
        <v/>
      </c>
      <c r="G353" s="3" t="str">
        <f>IF(AND(Programme_Grunddaten!$A358="Geprüft",Programme_Grunddaten!S358&lt;&gt;""),Programme_Grunddaten!S358,"")</f>
        <v/>
      </c>
      <c r="H353" t="str">
        <f>IF(AND(Programme_Grunddaten!$A358="Geprüft",Programme_Grunddaten!AW358&lt;&gt;""),Programme_Grunddaten!AW358,"")</f>
        <v/>
      </c>
      <c r="I353" t="str">
        <f>IF(AND(Programme_Grunddaten!$A358="Geprüft",Programme_Grunddaten!AX358&lt;&gt;""),Programme_Grunddaten!AX358,"")</f>
        <v/>
      </c>
    </row>
    <row r="354" spans="1:9" x14ac:dyDescent="0.3">
      <c r="A354" s="1" t="str">
        <f>IF(AND(Programme_Grunddaten!$A359="Geprüft",Programme_Grunddaten!B359&lt;&gt;""),Programme_Grunddaten!B359,"")</f>
        <v/>
      </c>
      <c r="B354" s="1" t="str">
        <f>IF(AND(Programme_Grunddaten!$A359="Geprüft",Programme_Grunddaten!C359&lt;&gt;""),Programme_Grunddaten!C359,"")</f>
        <v/>
      </c>
      <c r="C354" s="1" t="str">
        <f>IF(AND(Programme_Grunddaten!$A359="Geprüft",Programme_Grunddaten!D359&lt;&gt;""),Programme_Grunddaten!D359,"")</f>
        <v/>
      </c>
      <c r="D354" s="2" t="str">
        <f>IF(AND(Programme_Grunddaten!$A359="Geprüft",Programme_Grunddaten!E359&lt;&gt;""),Programme_Grunddaten!E359,"")</f>
        <v/>
      </c>
      <c r="E354" t="str">
        <f>IF(AND(Programme_Grunddaten!$A359="Geprüft",Programme_Grunddaten!G359&lt;&gt;""),Programme_Grunddaten!G359,"")</f>
        <v/>
      </c>
      <c r="F354" t="str">
        <f>IF(AND(Programme_Grunddaten!$A359="Geprüft",Programme_Grunddaten!F359&lt;&gt;""),Programme_Grunddaten!F359,"")</f>
        <v/>
      </c>
      <c r="G354" s="3" t="str">
        <f>IF(AND(Programme_Grunddaten!$A359="Geprüft",Programme_Grunddaten!S359&lt;&gt;""),Programme_Grunddaten!S359,"")</f>
        <v/>
      </c>
      <c r="H354" t="str">
        <f>IF(AND(Programme_Grunddaten!$A359="Geprüft",Programme_Grunddaten!AW359&lt;&gt;""),Programme_Grunddaten!AW359,"")</f>
        <v/>
      </c>
      <c r="I354" t="str">
        <f>IF(AND(Programme_Grunddaten!$A359="Geprüft",Programme_Grunddaten!AX359&lt;&gt;""),Programme_Grunddaten!AX359,"")</f>
        <v/>
      </c>
    </row>
    <row r="355" spans="1:9" x14ac:dyDescent="0.3">
      <c r="A355" s="1" t="str">
        <f>IF(AND(Programme_Grunddaten!$A360="Geprüft",Programme_Grunddaten!B360&lt;&gt;""),Programme_Grunddaten!B360,"")</f>
        <v/>
      </c>
      <c r="B355" s="1" t="str">
        <f>IF(AND(Programme_Grunddaten!$A360="Geprüft",Programme_Grunddaten!C360&lt;&gt;""),Programme_Grunddaten!C360,"")</f>
        <v/>
      </c>
      <c r="C355" s="1" t="str">
        <f>IF(AND(Programme_Grunddaten!$A360="Geprüft",Programme_Grunddaten!D360&lt;&gt;""),Programme_Grunddaten!D360,"")</f>
        <v/>
      </c>
      <c r="D355" s="2" t="str">
        <f>IF(AND(Programme_Grunddaten!$A360="Geprüft",Programme_Grunddaten!E360&lt;&gt;""),Programme_Grunddaten!E360,"")</f>
        <v/>
      </c>
      <c r="E355" t="str">
        <f>IF(AND(Programme_Grunddaten!$A360="Geprüft",Programme_Grunddaten!G360&lt;&gt;""),Programme_Grunddaten!G360,"")</f>
        <v/>
      </c>
      <c r="F355" t="str">
        <f>IF(AND(Programme_Grunddaten!$A360="Geprüft",Programme_Grunddaten!F360&lt;&gt;""),Programme_Grunddaten!F360,"")</f>
        <v/>
      </c>
      <c r="G355" s="3" t="str">
        <f>IF(AND(Programme_Grunddaten!$A360="Geprüft",Programme_Grunddaten!S360&lt;&gt;""),Programme_Grunddaten!S360,"")</f>
        <v/>
      </c>
      <c r="H355" t="str">
        <f>IF(AND(Programme_Grunddaten!$A360="Geprüft",Programme_Grunddaten!AW360&lt;&gt;""),Programme_Grunddaten!AW360,"")</f>
        <v/>
      </c>
      <c r="I355" t="str">
        <f>IF(AND(Programme_Grunddaten!$A360="Geprüft",Programme_Grunddaten!AX360&lt;&gt;""),Programme_Grunddaten!AX360,"")</f>
        <v/>
      </c>
    </row>
    <row r="356" spans="1:9" x14ac:dyDescent="0.3">
      <c r="A356" s="1" t="str">
        <f>IF(AND(Programme_Grunddaten!$A361="Geprüft",Programme_Grunddaten!B361&lt;&gt;""),Programme_Grunddaten!B361,"")</f>
        <v/>
      </c>
      <c r="B356" s="1" t="str">
        <f>IF(AND(Programme_Grunddaten!$A361="Geprüft",Programme_Grunddaten!C361&lt;&gt;""),Programme_Grunddaten!C361,"")</f>
        <v/>
      </c>
      <c r="C356" s="1" t="str">
        <f>IF(AND(Programme_Grunddaten!$A361="Geprüft",Programme_Grunddaten!D361&lt;&gt;""),Programme_Grunddaten!D361,"")</f>
        <v/>
      </c>
      <c r="D356" s="2" t="str">
        <f>IF(AND(Programme_Grunddaten!$A361="Geprüft",Programme_Grunddaten!E361&lt;&gt;""),Programme_Grunddaten!E361,"")</f>
        <v/>
      </c>
      <c r="E356" t="str">
        <f>IF(AND(Programme_Grunddaten!$A361="Geprüft",Programme_Grunddaten!G361&lt;&gt;""),Programme_Grunddaten!G361,"")</f>
        <v/>
      </c>
      <c r="F356" t="str">
        <f>IF(AND(Programme_Grunddaten!$A361="Geprüft",Programme_Grunddaten!F361&lt;&gt;""),Programme_Grunddaten!F361,"")</f>
        <v/>
      </c>
      <c r="G356" s="3" t="str">
        <f>IF(AND(Programme_Grunddaten!$A361="Geprüft",Programme_Grunddaten!S361&lt;&gt;""),Programme_Grunddaten!S361,"")</f>
        <v/>
      </c>
      <c r="H356" t="str">
        <f>IF(AND(Programme_Grunddaten!$A361="Geprüft",Programme_Grunddaten!AW361&lt;&gt;""),Programme_Grunddaten!AW361,"")</f>
        <v/>
      </c>
      <c r="I356" t="str">
        <f>IF(AND(Programme_Grunddaten!$A361="Geprüft",Programme_Grunddaten!AX361&lt;&gt;""),Programme_Grunddaten!AX361,"")</f>
        <v/>
      </c>
    </row>
    <row r="357" spans="1:9" x14ac:dyDescent="0.3">
      <c r="A357" s="1" t="str">
        <f>IF(AND(Programme_Grunddaten!$A362="Geprüft",Programme_Grunddaten!B362&lt;&gt;""),Programme_Grunddaten!B362,"")</f>
        <v/>
      </c>
      <c r="B357" s="1" t="str">
        <f>IF(AND(Programme_Grunddaten!$A362="Geprüft",Programme_Grunddaten!C362&lt;&gt;""),Programme_Grunddaten!C362,"")</f>
        <v/>
      </c>
      <c r="C357" s="1" t="str">
        <f>IF(AND(Programme_Grunddaten!$A362="Geprüft",Programme_Grunddaten!D362&lt;&gt;""),Programme_Grunddaten!D362,"")</f>
        <v/>
      </c>
      <c r="D357" s="2" t="str">
        <f>IF(AND(Programme_Grunddaten!$A362="Geprüft",Programme_Grunddaten!E362&lt;&gt;""),Programme_Grunddaten!E362,"")</f>
        <v/>
      </c>
      <c r="E357" t="str">
        <f>IF(AND(Programme_Grunddaten!$A362="Geprüft",Programme_Grunddaten!G362&lt;&gt;""),Programme_Grunddaten!G362,"")</f>
        <v/>
      </c>
      <c r="F357" t="str">
        <f>IF(AND(Programme_Grunddaten!$A362="Geprüft",Programme_Grunddaten!F362&lt;&gt;""),Programme_Grunddaten!F362,"")</f>
        <v/>
      </c>
      <c r="G357" s="3" t="str">
        <f>IF(AND(Programme_Grunddaten!$A362="Geprüft",Programme_Grunddaten!S362&lt;&gt;""),Programme_Grunddaten!S362,"")</f>
        <v/>
      </c>
      <c r="H357" t="str">
        <f>IF(AND(Programme_Grunddaten!$A362="Geprüft",Programme_Grunddaten!AW362&lt;&gt;""),Programme_Grunddaten!AW362,"")</f>
        <v/>
      </c>
      <c r="I357" t="str">
        <f>IF(AND(Programme_Grunddaten!$A362="Geprüft",Programme_Grunddaten!AX362&lt;&gt;""),Programme_Grunddaten!AX362,"")</f>
        <v/>
      </c>
    </row>
    <row r="358" spans="1:9" x14ac:dyDescent="0.3">
      <c r="A358" s="1" t="str">
        <f>IF(AND(Programme_Grunddaten!$A363="Geprüft",Programme_Grunddaten!B363&lt;&gt;""),Programme_Grunddaten!B363,"")</f>
        <v/>
      </c>
      <c r="B358" s="1" t="str">
        <f>IF(AND(Programme_Grunddaten!$A363="Geprüft",Programme_Grunddaten!C363&lt;&gt;""),Programme_Grunddaten!C363,"")</f>
        <v/>
      </c>
      <c r="C358" s="1" t="str">
        <f>IF(AND(Programme_Grunddaten!$A363="Geprüft",Programme_Grunddaten!D363&lt;&gt;""),Programme_Grunddaten!D363,"")</f>
        <v/>
      </c>
      <c r="D358" s="2" t="str">
        <f>IF(AND(Programme_Grunddaten!$A363="Geprüft",Programme_Grunddaten!E363&lt;&gt;""),Programme_Grunddaten!E363,"")</f>
        <v/>
      </c>
      <c r="E358" t="str">
        <f>IF(AND(Programme_Grunddaten!$A363="Geprüft",Programme_Grunddaten!G363&lt;&gt;""),Programme_Grunddaten!G363,"")</f>
        <v/>
      </c>
      <c r="F358" t="str">
        <f>IF(AND(Programme_Grunddaten!$A363="Geprüft",Programme_Grunddaten!F363&lt;&gt;""),Programme_Grunddaten!F363,"")</f>
        <v/>
      </c>
      <c r="G358" s="3" t="str">
        <f>IF(AND(Programme_Grunddaten!$A363="Geprüft",Programme_Grunddaten!S363&lt;&gt;""),Programme_Grunddaten!S363,"")</f>
        <v/>
      </c>
      <c r="H358" t="str">
        <f>IF(AND(Programme_Grunddaten!$A363="Geprüft",Programme_Grunddaten!AW363&lt;&gt;""),Programme_Grunddaten!AW363,"")</f>
        <v/>
      </c>
      <c r="I358" t="str">
        <f>IF(AND(Programme_Grunddaten!$A363="Geprüft",Programme_Grunddaten!AX363&lt;&gt;""),Programme_Grunddaten!AX363,"")</f>
        <v/>
      </c>
    </row>
    <row r="359" spans="1:9" x14ac:dyDescent="0.3">
      <c r="A359" s="1" t="str">
        <f>IF(AND(Programme_Grunddaten!$A364="Geprüft",Programme_Grunddaten!B364&lt;&gt;""),Programme_Grunddaten!B364,"")</f>
        <v/>
      </c>
      <c r="B359" s="1" t="str">
        <f>IF(AND(Programme_Grunddaten!$A364="Geprüft",Programme_Grunddaten!C364&lt;&gt;""),Programme_Grunddaten!C364,"")</f>
        <v/>
      </c>
      <c r="C359" s="1" t="str">
        <f>IF(AND(Programme_Grunddaten!$A364="Geprüft",Programme_Grunddaten!D364&lt;&gt;""),Programme_Grunddaten!D364,"")</f>
        <v/>
      </c>
      <c r="D359" s="2" t="str">
        <f>IF(AND(Programme_Grunddaten!$A364="Geprüft",Programme_Grunddaten!E364&lt;&gt;""),Programme_Grunddaten!E364,"")</f>
        <v/>
      </c>
      <c r="E359" t="str">
        <f>IF(AND(Programme_Grunddaten!$A364="Geprüft",Programme_Grunddaten!G364&lt;&gt;""),Programme_Grunddaten!G364,"")</f>
        <v/>
      </c>
      <c r="F359" t="str">
        <f>IF(AND(Programme_Grunddaten!$A364="Geprüft",Programme_Grunddaten!F364&lt;&gt;""),Programme_Grunddaten!F364,"")</f>
        <v/>
      </c>
      <c r="G359" s="3" t="str">
        <f>IF(AND(Programme_Grunddaten!$A364="Geprüft",Programme_Grunddaten!S364&lt;&gt;""),Programme_Grunddaten!S364,"")</f>
        <v/>
      </c>
      <c r="H359" t="str">
        <f>IF(AND(Programme_Grunddaten!$A364="Geprüft",Programme_Grunddaten!AW364&lt;&gt;""),Programme_Grunddaten!AW364,"")</f>
        <v/>
      </c>
      <c r="I359" t="str">
        <f>IF(AND(Programme_Grunddaten!$A364="Geprüft",Programme_Grunddaten!AX364&lt;&gt;""),Programme_Grunddaten!AX364,"")</f>
        <v/>
      </c>
    </row>
    <row r="360" spans="1:9" x14ac:dyDescent="0.3">
      <c r="A360" s="1" t="str">
        <f>IF(AND(Programme_Grunddaten!$A365="Geprüft",Programme_Grunddaten!B365&lt;&gt;""),Programme_Grunddaten!B365,"")</f>
        <v/>
      </c>
      <c r="B360" s="1" t="str">
        <f>IF(AND(Programme_Grunddaten!$A365="Geprüft",Programme_Grunddaten!C365&lt;&gt;""),Programme_Grunddaten!C365,"")</f>
        <v/>
      </c>
      <c r="C360" s="1" t="str">
        <f>IF(AND(Programme_Grunddaten!$A365="Geprüft",Programme_Grunddaten!D365&lt;&gt;""),Programme_Grunddaten!D365,"")</f>
        <v/>
      </c>
      <c r="D360" s="2" t="str">
        <f>IF(AND(Programme_Grunddaten!$A365="Geprüft",Programme_Grunddaten!E365&lt;&gt;""),Programme_Grunddaten!E365,"")</f>
        <v/>
      </c>
      <c r="E360" t="str">
        <f>IF(AND(Programme_Grunddaten!$A365="Geprüft",Programme_Grunddaten!G365&lt;&gt;""),Programme_Grunddaten!G365,"")</f>
        <v/>
      </c>
      <c r="F360" t="str">
        <f>IF(AND(Programme_Grunddaten!$A365="Geprüft",Programme_Grunddaten!F365&lt;&gt;""),Programme_Grunddaten!F365,"")</f>
        <v/>
      </c>
      <c r="G360" s="3" t="str">
        <f>IF(AND(Programme_Grunddaten!$A365="Geprüft",Programme_Grunddaten!S365&lt;&gt;""),Programme_Grunddaten!S365,"")</f>
        <v/>
      </c>
      <c r="H360" t="str">
        <f>IF(AND(Programme_Grunddaten!$A365="Geprüft",Programme_Grunddaten!AW365&lt;&gt;""),Programme_Grunddaten!AW365,"")</f>
        <v/>
      </c>
      <c r="I360" t="str">
        <f>IF(AND(Programme_Grunddaten!$A365="Geprüft",Programme_Grunddaten!AX365&lt;&gt;""),Programme_Grunddaten!AX365,"")</f>
        <v/>
      </c>
    </row>
    <row r="361" spans="1:9" x14ac:dyDescent="0.3">
      <c r="A361" s="1" t="str">
        <f>IF(AND(Programme_Grunddaten!$A366="Geprüft",Programme_Grunddaten!B366&lt;&gt;""),Programme_Grunddaten!B366,"")</f>
        <v/>
      </c>
      <c r="B361" s="1" t="str">
        <f>IF(AND(Programme_Grunddaten!$A366="Geprüft",Programme_Grunddaten!C366&lt;&gt;""),Programme_Grunddaten!C366,"")</f>
        <v/>
      </c>
      <c r="C361" s="1" t="str">
        <f>IF(AND(Programme_Grunddaten!$A366="Geprüft",Programme_Grunddaten!D366&lt;&gt;""),Programme_Grunddaten!D366,"")</f>
        <v/>
      </c>
      <c r="D361" s="2" t="str">
        <f>IF(AND(Programme_Grunddaten!$A366="Geprüft",Programme_Grunddaten!E366&lt;&gt;""),Programme_Grunddaten!E366,"")</f>
        <v/>
      </c>
      <c r="E361" t="str">
        <f>IF(AND(Programme_Grunddaten!$A366="Geprüft",Programme_Grunddaten!G366&lt;&gt;""),Programme_Grunddaten!G366,"")</f>
        <v/>
      </c>
      <c r="F361" t="str">
        <f>IF(AND(Programme_Grunddaten!$A366="Geprüft",Programme_Grunddaten!F366&lt;&gt;""),Programme_Grunddaten!F366,"")</f>
        <v/>
      </c>
      <c r="G361" s="3" t="str">
        <f>IF(AND(Programme_Grunddaten!$A366="Geprüft",Programme_Grunddaten!S366&lt;&gt;""),Programme_Grunddaten!S366,"")</f>
        <v/>
      </c>
      <c r="H361" t="str">
        <f>IF(AND(Programme_Grunddaten!$A366="Geprüft",Programme_Grunddaten!AW366&lt;&gt;""),Programme_Grunddaten!AW366,"")</f>
        <v/>
      </c>
      <c r="I361" t="str">
        <f>IF(AND(Programme_Grunddaten!$A366="Geprüft",Programme_Grunddaten!AX366&lt;&gt;""),Programme_Grunddaten!AX366,"")</f>
        <v/>
      </c>
    </row>
    <row r="362" spans="1:9" x14ac:dyDescent="0.3">
      <c r="A362" s="1" t="str">
        <f>IF(AND(Programme_Grunddaten!$A367="Geprüft",Programme_Grunddaten!B367&lt;&gt;""),Programme_Grunddaten!B367,"")</f>
        <v/>
      </c>
      <c r="B362" s="1" t="str">
        <f>IF(AND(Programme_Grunddaten!$A367="Geprüft",Programme_Grunddaten!C367&lt;&gt;""),Programme_Grunddaten!C367,"")</f>
        <v/>
      </c>
      <c r="C362" s="1" t="str">
        <f>IF(AND(Programme_Grunddaten!$A367="Geprüft",Programme_Grunddaten!D367&lt;&gt;""),Programme_Grunddaten!D367,"")</f>
        <v/>
      </c>
      <c r="D362" s="2" t="str">
        <f>IF(AND(Programme_Grunddaten!$A367="Geprüft",Programme_Grunddaten!E367&lt;&gt;""),Programme_Grunddaten!E367,"")</f>
        <v/>
      </c>
      <c r="E362" t="str">
        <f>IF(AND(Programme_Grunddaten!$A367="Geprüft",Programme_Grunddaten!G367&lt;&gt;""),Programme_Grunddaten!G367,"")</f>
        <v/>
      </c>
      <c r="F362" t="str">
        <f>IF(AND(Programme_Grunddaten!$A367="Geprüft",Programme_Grunddaten!F367&lt;&gt;""),Programme_Grunddaten!F367,"")</f>
        <v/>
      </c>
      <c r="G362" s="3" t="str">
        <f>IF(AND(Programme_Grunddaten!$A367="Geprüft",Programme_Grunddaten!S367&lt;&gt;""),Programme_Grunddaten!S367,"")</f>
        <v/>
      </c>
      <c r="H362" t="str">
        <f>IF(AND(Programme_Grunddaten!$A367="Geprüft",Programme_Grunddaten!AW367&lt;&gt;""),Programme_Grunddaten!AW367,"")</f>
        <v/>
      </c>
      <c r="I362" t="str">
        <f>IF(AND(Programme_Grunddaten!$A367="Geprüft",Programme_Grunddaten!AX367&lt;&gt;""),Programme_Grunddaten!AX367,"")</f>
        <v/>
      </c>
    </row>
    <row r="363" spans="1:9" x14ac:dyDescent="0.3">
      <c r="A363" s="1" t="str">
        <f>IF(AND(Programme_Grunddaten!$A368="Geprüft",Programme_Grunddaten!B368&lt;&gt;""),Programme_Grunddaten!B368,"")</f>
        <v/>
      </c>
      <c r="B363" s="1" t="str">
        <f>IF(AND(Programme_Grunddaten!$A368="Geprüft",Programme_Grunddaten!C368&lt;&gt;""),Programme_Grunddaten!C368,"")</f>
        <v/>
      </c>
      <c r="C363" s="1" t="str">
        <f>IF(AND(Programme_Grunddaten!$A368="Geprüft",Programme_Grunddaten!D368&lt;&gt;""),Programme_Grunddaten!D368,"")</f>
        <v/>
      </c>
      <c r="D363" s="2" t="str">
        <f>IF(AND(Programme_Grunddaten!$A368="Geprüft",Programme_Grunddaten!E368&lt;&gt;""),Programme_Grunddaten!E368,"")</f>
        <v/>
      </c>
      <c r="E363" t="str">
        <f>IF(AND(Programme_Grunddaten!$A368="Geprüft",Programme_Grunddaten!G368&lt;&gt;""),Programme_Grunddaten!G368,"")</f>
        <v/>
      </c>
      <c r="F363" t="str">
        <f>IF(AND(Programme_Grunddaten!$A368="Geprüft",Programme_Grunddaten!F368&lt;&gt;""),Programme_Grunddaten!F368,"")</f>
        <v/>
      </c>
      <c r="G363" s="3" t="str">
        <f>IF(AND(Programme_Grunddaten!$A368="Geprüft",Programme_Grunddaten!S368&lt;&gt;""),Programme_Grunddaten!S368,"")</f>
        <v/>
      </c>
      <c r="H363" t="str">
        <f>IF(AND(Programme_Grunddaten!$A368="Geprüft",Programme_Grunddaten!AW368&lt;&gt;""),Programme_Grunddaten!AW368,"")</f>
        <v/>
      </c>
      <c r="I363" t="str">
        <f>IF(AND(Programme_Grunddaten!$A368="Geprüft",Programme_Grunddaten!AX368&lt;&gt;""),Programme_Grunddaten!AX368,"")</f>
        <v/>
      </c>
    </row>
    <row r="364" spans="1:9" x14ac:dyDescent="0.3">
      <c r="A364" s="1" t="str">
        <f>IF(AND(Programme_Grunddaten!$A369="Geprüft",Programme_Grunddaten!B369&lt;&gt;""),Programme_Grunddaten!B369,"")</f>
        <v/>
      </c>
      <c r="B364" s="1" t="str">
        <f>IF(AND(Programme_Grunddaten!$A369="Geprüft",Programme_Grunddaten!C369&lt;&gt;""),Programme_Grunddaten!C369,"")</f>
        <v/>
      </c>
      <c r="C364" s="1" t="str">
        <f>IF(AND(Programme_Grunddaten!$A369="Geprüft",Programme_Grunddaten!D369&lt;&gt;""),Programme_Grunddaten!D369,"")</f>
        <v/>
      </c>
      <c r="D364" s="2" t="str">
        <f>IF(AND(Programme_Grunddaten!$A369="Geprüft",Programme_Grunddaten!E369&lt;&gt;""),Programme_Grunddaten!E369,"")</f>
        <v/>
      </c>
      <c r="E364" t="str">
        <f>IF(AND(Programme_Grunddaten!$A369="Geprüft",Programme_Grunddaten!G369&lt;&gt;""),Programme_Grunddaten!G369,"")</f>
        <v/>
      </c>
      <c r="F364" t="str">
        <f>IF(AND(Programme_Grunddaten!$A369="Geprüft",Programme_Grunddaten!F369&lt;&gt;""),Programme_Grunddaten!F369,"")</f>
        <v/>
      </c>
      <c r="G364" s="3" t="str">
        <f>IF(AND(Programme_Grunddaten!$A369="Geprüft",Programme_Grunddaten!S369&lt;&gt;""),Programme_Grunddaten!S369,"")</f>
        <v/>
      </c>
      <c r="H364" t="str">
        <f>IF(AND(Programme_Grunddaten!$A369="Geprüft",Programme_Grunddaten!AW369&lt;&gt;""),Programme_Grunddaten!AW369,"")</f>
        <v/>
      </c>
      <c r="I364" t="str">
        <f>IF(AND(Programme_Grunddaten!$A369="Geprüft",Programme_Grunddaten!AX369&lt;&gt;""),Programme_Grunddaten!AX369,"")</f>
        <v/>
      </c>
    </row>
    <row r="365" spans="1:9" x14ac:dyDescent="0.3">
      <c r="A365" s="1" t="str">
        <f>IF(AND(Programme_Grunddaten!$A370="Geprüft",Programme_Grunddaten!B370&lt;&gt;""),Programme_Grunddaten!B370,"")</f>
        <v/>
      </c>
      <c r="B365" s="1" t="str">
        <f>IF(AND(Programme_Grunddaten!$A370="Geprüft",Programme_Grunddaten!C370&lt;&gt;""),Programme_Grunddaten!C370,"")</f>
        <v/>
      </c>
      <c r="C365" s="1" t="str">
        <f>IF(AND(Programme_Grunddaten!$A370="Geprüft",Programme_Grunddaten!D370&lt;&gt;""),Programme_Grunddaten!D370,"")</f>
        <v/>
      </c>
      <c r="D365" s="2" t="str">
        <f>IF(AND(Programme_Grunddaten!$A370="Geprüft",Programme_Grunddaten!E370&lt;&gt;""),Programme_Grunddaten!E370,"")</f>
        <v/>
      </c>
      <c r="E365" t="str">
        <f>IF(AND(Programme_Grunddaten!$A370="Geprüft",Programme_Grunddaten!G370&lt;&gt;""),Programme_Grunddaten!G370,"")</f>
        <v/>
      </c>
      <c r="F365" t="str">
        <f>IF(AND(Programme_Grunddaten!$A370="Geprüft",Programme_Grunddaten!F370&lt;&gt;""),Programme_Grunddaten!F370,"")</f>
        <v/>
      </c>
      <c r="G365" s="3" t="str">
        <f>IF(AND(Programme_Grunddaten!$A370="Geprüft",Programme_Grunddaten!S370&lt;&gt;""),Programme_Grunddaten!S370,"")</f>
        <v/>
      </c>
      <c r="H365" t="str">
        <f>IF(AND(Programme_Grunddaten!$A370="Geprüft",Programme_Grunddaten!AW370&lt;&gt;""),Programme_Grunddaten!AW370,"")</f>
        <v/>
      </c>
      <c r="I365" t="str">
        <f>IF(AND(Programme_Grunddaten!$A370="Geprüft",Programme_Grunddaten!AX370&lt;&gt;""),Programme_Grunddaten!AX370,"")</f>
        <v/>
      </c>
    </row>
    <row r="366" spans="1:9" x14ac:dyDescent="0.3">
      <c r="A366" s="1" t="str">
        <f>IF(AND(Programme_Grunddaten!$A371="Geprüft",Programme_Grunddaten!B371&lt;&gt;""),Programme_Grunddaten!B371,"")</f>
        <v/>
      </c>
      <c r="B366" s="1" t="str">
        <f>IF(AND(Programme_Grunddaten!$A371="Geprüft",Programme_Grunddaten!C371&lt;&gt;""),Programme_Grunddaten!C371,"")</f>
        <v/>
      </c>
      <c r="C366" s="1" t="str">
        <f>IF(AND(Programme_Grunddaten!$A371="Geprüft",Programme_Grunddaten!D371&lt;&gt;""),Programme_Grunddaten!D371,"")</f>
        <v/>
      </c>
      <c r="D366" s="2" t="str">
        <f>IF(AND(Programme_Grunddaten!$A371="Geprüft",Programme_Grunddaten!E371&lt;&gt;""),Programme_Grunddaten!E371,"")</f>
        <v/>
      </c>
      <c r="E366" t="str">
        <f>IF(AND(Programme_Grunddaten!$A371="Geprüft",Programme_Grunddaten!G371&lt;&gt;""),Programme_Grunddaten!G371,"")</f>
        <v/>
      </c>
      <c r="F366" t="str">
        <f>IF(AND(Programme_Grunddaten!$A371="Geprüft",Programme_Grunddaten!F371&lt;&gt;""),Programme_Grunddaten!F371,"")</f>
        <v/>
      </c>
      <c r="G366" s="3" t="str">
        <f>IF(AND(Programme_Grunddaten!$A371="Geprüft",Programme_Grunddaten!S371&lt;&gt;""),Programme_Grunddaten!S371,"")</f>
        <v/>
      </c>
      <c r="H366" t="str">
        <f>IF(AND(Programme_Grunddaten!$A371="Geprüft",Programme_Grunddaten!AW371&lt;&gt;""),Programme_Grunddaten!AW371,"")</f>
        <v/>
      </c>
      <c r="I366" t="str">
        <f>IF(AND(Programme_Grunddaten!$A371="Geprüft",Programme_Grunddaten!AX371&lt;&gt;""),Programme_Grunddaten!AX371,"")</f>
        <v/>
      </c>
    </row>
    <row r="367" spans="1:9" x14ac:dyDescent="0.3">
      <c r="A367" s="1" t="str">
        <f>IF(AND(Programme_Grunddaten!$A372="Geprüft",Programme_Grunddaten!B372&lt;&gt;""),Programme_Grunddaten!B372,"")</f>
        <v/>
      </c>
      <c r="B367" s="1" t="str">
        <f>IF(AND(Programme_Grunddaten!$A372="Geprüft",Programme_Grunddaten!C372&lt;&gt;""),Programme_Grunddaten!C372,"")</f>
        <v/>
      </c>
      <c r="C367" s="1" t="str">
        <f>IF(AND(Programme_Grunddaten!$A372="Geprüft",Programme_Grunddaten!D372&lt;&gt;""),Programme_Grunddaten!D372,"")</f>
        <v/>
      </c>
      <c r="D367" s="2" t="str">
        <f>IF(AND(Programme_Grunddaten!$A372="Geprüft",Programme_Grunddaten!E372&lt;&gt;""),Programme_Grunddaten!E372,"")</f>
        <v/>
      </c>
      <c r="E367" t="str">
        <f>IF(AND(Programme_Grunddaten!$A372="Geprüft",Programme_Grunddaten!G372&lt;&gt;""),Programme_Grunddaten!G372,"")</f>
        <v/>
      </c>
      <c r="F367" t="str">
        <f>IF(AND(Programme_Grunddaten!$A372="Geprüft",Programme_Grunddaten!F372&lt;&gt;""),Programme_Grunddaten!F372,"")</f>
        <v/>
      </c>
      <c r="G367" s="3" t="str">
        <f>IF(AND(Programme_Grunddaten!$A372="Geprüft",Programme_Grunddaten!S372&lt;&gt;""),Programme_Grunddaten!S372,"")</f>
        <v/>
      </c>
      <c r="H367" t="str">
        <f>IF(AND(Programme_Grunddaten!$A372="Geprüft",Programme_Grunddaten!AW372&lt;&gt;""),Programme_Grunddaten!AW372,"")</f>
        <v/>
      </c>
      <c r="I367" t="str">
        <f>IF(AND(Programme_Grunddaten!$A372="Geprüft",Programme_Grunddaten!AX372&lt;&gt;""),Programme_Grunddaten!AX372,"")</f>
        <v/>
      </c>
    </row>
    <row r="368" spans="1:9" x14ac:dyDescent="0.3">
      <c r="A368" s="1" t="str">
        <f>IF(AND(Programme_Grunddaten!$A373="Geprüft",Programme_Grunddaten!B373&lt;&gt;""),Programme_Grunddaten!B373,"")</f>
        <v/>
      </c>
      <c r="B368" s="1" t="str">
        <f>IF(AND(Programme_Grunddaten!$A373="Geprüft",Programme_Grunddaten!C373&lt;&gt;""),Programme_Grunddaten!C373,"")</f>
        <v/>
      </c>
      <c r="C368" s="1" t="str">
        <f>IF(AND(Programme_Grunddaten!$A373="Geprüft",Programme_Grunddaten!D373&lt;&gt;""),Programme_Grunddaten!D373,"")</f>
        <v/>
      </c>
      <c r="D368" s="2" t="str">
        <f>IF(AND(Programme_Grunddaten!$A373="Geprüft",Programme_Grunddaten!E373&lt;&gt;""),Programme_Grunddaten!E373,"")</f>
        <v/>
      </c>
      <c r="E368" t="str">
        <f>IF(AND(Programme_Grunddaten!$A373="Geprüft",Programme_Grunddaten!G373&lt;&gt;""),Programme_Grunddaten!G373,"")</f>
        <v/>
      </c>
      <c r="F368" t="str">
        <f>IF(AND(Programme_Grunddaten!$A373="Geprüft",Programme_Grunddaten!F373&lt;&gt;""),Programme_Grunddaten!F373,"")</f>
        <v/>
      </c>
      <c r="G368" s="3" t="str">
        <f>IF(AND(Programme_Grunddaten!$A373="Geprüft",Programme_Grunddaten!S373&lt;&gt;""),Programme_Grunddaten!S373,"")</f>
        <v/>
      </c>
      <c r="H368" t="str">
        <f>IF(AND(Programme_Grunddaten!$A373="Geprüft",Programme_Grunddaten!AW373&lt;&gt;""),Programme_Grunddaten!AW373,"")</f>
        <v/>
      </c>
      <c r="I368" t="str">
        <f>IF(AND(Programme_Grunddaten!$A373="Geprüft",Programme_Grunddaten!AX373&lt;&gt;""),Programme_Grunddaten!AX373,"")</f>
        <v/>
      </c>
    </row>
    <row r="369" spans="1:9" x14ac:dyDescent="0.3">
      <c r="A369" s="1" t="str">
        <f>IF(AND(Programme_Grunddaten!$A374="Geprüft",Programme_Grunddaten!B374&lt;&gt;""),Programme_Grunddaten!B374,"")</f>
        <v/>
      </c>
      <c r="B369" s="1" t="str">
        <f>IF(AND(Programme_Grunddaten!$A374="Geprüft",Programme_Grunddaten!C374&lt;&gt;""),Programme_Grunddaten!C374,"")</f>
        <v/>
      </c>
      <c r="C369" s="1" t="str">
        <f>IF(AND(Programme_Grunddaten!$A374="Geprüft",Programme_Grunddaten!D374&lt;&gt;""),Programme_Grunddaten!D374,"")</f>
        <v/>
      </c>
      <c r="D369" s="2" t="str">
        <f>IF(AND(Programme_Grunddaten!$A374="Geprüft",Programme_Grunddaten!E374&lt;&gt;""),Programme_Grunddaten!E374,"")</f>
        <v/>
      </c>
      <c r="E369" t="str">
        <f>IF(AND(Programme_Grunddaten!$A374="Geprüft",Programme_Grunddaten!G374&lt;&gt;""),Programme_Grunddaten!G374,"")</f>
        <v/>
      </c>
      <c r="F369" t="str">
        <f>IF(AND(Programme_Grunddaten!$A374="Geprüft",Programme_Grunddaten!F374&lt;&gt;""),Programme_Grunddaten!F374,"")</f>
        <v/>
      </c>
      <c r="G369" s="3" t="str">
        <f>IF(AND(Programme_Grunddaten!$A374="Geprüft",Programme_Grunddaten!S374&lt;&gt;""),Programme_Grunddaten!S374,"")</f>
        <v/>
      </c>
      <c r="H369" t="str">
        <f>IF(AND(Programme_Grunddaten!$A374="Geprüft",Programme_Grunddaten!AW374&lt;&gt;""),Programme_Grunddaten!AW374,"")</f>
        <v/>
      </c>
      <c r="I369" t="str">
        <f>IF(AND(Programme_Grunddaten!$A374="Geprüft",Programme_Grunddaten!AX374&lt;&gt;""),Programme_Grunddaten!AX374,"")</f>
        <v/>
      </c>
    </row>
    <row r="370" spans="1:9" x14ac:dyDescent="0.3">
      <c r="A370" s="1" t="str">
        <f>IF(AND(Programme_Grunddaten!$A375="Geprüft",Programme_Grunddaten!B375&lt;&gt;""),Programme_Grunddaten!B375,"")</f>
        <v/>
      </c>
      <c r="B370" s="1" t="str">
        <f>IF(AND(Programme_Grunddaten!$A375="Geprüft",Programme_Grunddaten!C375&lt;&gt;""),Programme_Grunddaten!C375,"")</f>
        <v/>
      </c>
      <c r="C370" s="1" t="str">
        <f>IF(AND(Programme_Grunddaten!$A375="Geprüft",Programme_Grunddaten!D375&lt;&gt;""),Programme_Grunddaten!D375,"")</f>
        <v/>
      </c>
      <c r="D370" s="2" t="str">
        <f>IF(AND(Programme_Grunddaten!$A375="Geprüft",Programme_Grunddaten!E375&lt;&gt;""),Programme_Grunddaten!E375,"")</f>
        <v/>
      </c>
      <c r="E370" t="str">
        <f>IF(AND(Programme_Grunddaten!$A375="Geprüft",Programme_Grunddaten!G375&lt;&gt;""),Programme_Grunddaten!G375,"")</f>
        <v/>
      </c>
      <c r="F370" t="str">
        <f>IF(AND(Programme_Grunddaten!$A375="Geprüft",Programme_Grunddaten!F375&lt;&gt;""),Programme_Grunddaten!F375,"")</f>
        <v/>
      </c>
      <c r="G370" s="3" t="str">
        <f>IF(AND(Programme_Grunddaten!$A375="Geprüft",Programme_Grunddaten!S375&lt;&gt;""),Programme_Grunddaten!S375,"")</f>
        <v/>
      </c>
      <c r="H370" t="str">
        <f>IF(AND(Programme_Grunddaten!$A375="Geprüft",Programme_Grunddaten!AW375&lt;&gt;""),Programme_Grunddaten!AW375,"")</f>
        <v/>
      </c>
      <c r="I370" t="str">
        <f>IF(AND(Programme_Grunddaten!$A375="Geprüft",Programme_Grunddaten!AX375&lt;&gt;""),Programme_Grunddaten!AX375,"")</f>
        <v/>
      </c>
    </row>
    <row r="371" spans="1:9" x14ac:dyDescent="0.3">
      <c r="A371" s="1" t="str">
        <f>IF(AND(Programme_Grunddaten!$A376="Geprüft",Programme_Grunddaten!B376&lt;&gt;""),Programme_Grunddaten!B376,"")</f>
        <v/>
      </c>
      <c r="B371" s="1" t="str">
        <f>IF(AND(Programme_Grunddaten!$A376="Geprüft",Programme_Grunddaten!C376&lt;&gt;""),Programme_Grunddaten!C376,"")</f>
        <v/>
      </c>
      <c r="C371" s="1" t="str">
        <f>IF(AND(Programme_Grunddaten!$A376="Geprüft",Programme_Grunddaten!D376&lt;&gt;""),Programme_Grunddaten!D376,"")</f>
        <v/>
      </c>
      <c r="D371" s="2" t="str">
        <f>IF(AND(Programme_Grunddaten!$A376="Geprüft",Programme_Grunddaten!E376&lt;&gt;""),Programme_Grunddaten!E376,"")</f>
        <v/>
      </c>
      <c r="E371" t="str">
        <f>IF(AND(Programme_Grunddaten!$A376="Geprüft",Programme_Grunddaten!G376&lt;&gt;""),Programme_Grunddaten!G376,"")</f>
        <v/>
      </c>
      <c r="F371" t="str">
        <f>IF(AND(Programme_Grunddaten!$A376="Geprüft",Programme_Grunddaten!F376&lt;&gt;""),Programme_Grunddaten!F376,"")</f>
        <v/>
      </c>
      <c r="G371" s="3" t="str">
        <f>IF(AND(Programme_Grunddaten!$A376="Geprüft",Programme_Grunddaten!S376&lt;&gt;""),Programme_Grunddaten!S376,"")</f>
        <v/>
      </c>
      <c r="H371" t="str">
        <f>IF(AND(Programme_Grunddaten!$A376="Geprüft",Programme_Grunddaten!AW376&lt;&gt;""),Programme_Grunddaten!AW376,"")</f>
        <v/>
      </c>
      <c r="I371" t="str">
        <f>IF(AND(Programme_Grunddaten!$A376="Geprüft",Programme_Grunddaten!AX376&lt;&gt;""),Programme_Grunddaten!AX376,"")</f>
        <v/>
      </c>
    </row>
    <row r="372" spans="1:9" x14ac:dyDescent="0.3">
      <c r="A372" s="1" t="str">
        <f>IF(AND(Programme_Grunddaten!$A377="Geprüft",Programme_Grunddaten!B377&lt;&gt;""),Programme_Grunddaten!B377,"")</f>
        <v/>
      </c>
      <c r="B372" s="1" t="str">
        <f>IF(AND(Programme_Grunddaten!$A377="Geprüft",Programme_Grunddaten!C377&lt;&gt;""),Programme_Grunddaten!C377,"")</f>
        <v/>
      </c>
      <c r="C372" s="1" t="str">
        <f>IF(AND(Programme_Grunddaten!$A377="Geprüft",Programme_Grunddaten!D377&lt;&gt;""),Programme_Grunddaten!D377,"")</f>
        <v/>
      </c>
      <c r="D372" s="2" t="str">
        <f>IF(AND(Programme_Grunddaten!$A377="Geprüft",Programme_Grunddaten!E377&lt;&gt;""),Programme_Grunddaten!E377,"")</f>
        <v/>
      </c>
      <c r="E372" t="str">
        <f>IF(AND(Programme_Grunddaten!$A377="Geprüft",Programme_Grunddaten!G377&lt;&gt;""),Programme_Grunddaten!G377,"")</f>
        <v/>
      </c>
      <c r="F372" t="str">
        <f>IF(AND(Programme_Grunddaten!$A377="Geprüft",Programme_Grunddaten!F377&lt;&gt;""),Programme_Grunddaten!F377,"")</f>
        <v/>
      </c>
      <c r="G372" s="3" t="str">
        <f>IF(AND(Programme_Grunddaten!$A377="Geprüft",Programme_Grunddaten!S377&lt;&gt;""),Programme_Grunddaten!S377,"")</f>
        <v/>
      </c>
      <c r="H372" t="str">
        <f>IF(AND(Programme_Grunddaten!$A377="Geprüft",Programme_Grunddaten!AW377&lt;&gt;""),Programme_Grunddaten!AW377,"")</f>
        <v/>
      </c>
      <c r="I372" t="str">
        <f>IF(AND(Programme_Grunddaten!$A377="Geprüft",Programme_Grunddaten!AX377&lt;&gt;""),Programme_Grunddaten!AX377,"")</f>
        <v/>
      </c>
    </row>
    <row r="373" spans="1:9" x14ac:dyDescent="0.3">
      <c r="A373" s="1" t="str">
        <f>IF(AND(Programme_Grunddaten!$A378="Geprüft",Programme_Grunddaten!B378&lt;&gt;""),Programme_Grunddaten!B378,"")</f>
        <v/>
      </c>
      <c r="B373" s="1" t="str">
        <f>IF(AND(Programme_Grunddaten!$A378="Geprüft",Programme_Grunddaten!C378&lt;&gt;""),Programme_Grunddaten!C378,"")</f>
        <v/>
      </c>
      <c r="C373" s="1" t="str">
        <f>IF(AND(Programme_Grunddaten!$A378="Geprüft",Programme_Grunddaten!D378&lt;&gt;""),Programme_Grunddaten!D378,"")</f>
        <v/>
      </c>
      <c r="D373" s="2" t="str">
        <f>IF(AND(Programme_Grunddaten!$A378="Geprüft",Programme_Grunddaten!E378&lt;&gt;""),Programme_Grunddaten!E378,"")</f>
        <v/>
      </c>
      <c r="E373" t="str">
        <f>IF(AND(Programme_Grunddaten!$A378="Geprüft",Programme_Grunddaten!G378&lt;&gt;""),Programme_Grunddaten!G378,"")</f>
        <v/>
      </c>
      <c r="F373" t="str">
        <f>IF(AND(Programme_Grunddaten!$A378="Geprüft",Programme_Grunddaten!F378&lt;&gt;""),Programme_Grunddaten!F378,"")</f>
        <v/>
      </c>
      <c r="G373" s="3" t="str">
        <f>IF(AND(Programme_Grunddaten!$A378="Geprüft",Programme_Grunddaten!S378&lt;&gt;""),Programme_Grunddaten!S378,"")</f>
        <v/>
      </c>
      <c r="H373" t="str">
        <f>IF(AND(Programme_Grunddaten!$A378="Geprüft",Programme_Grunddaten!AW378&lt;&gt;""),Programme_Grunddaten!AW378,"")</f>
        <v/>
      </c>
      <c r="I373" t="str">
        <f>IF(AND(Programme_Grunddaten!$A378="Geprüft",Programme_Grunddaten!AX378&lt;&gt;""),Programme_Grunddaten!AX378,"")</f>
        <v/>
      </c>
    </row>
    <row r="374" spans="1:9" x14ac:dyDescent="0.3">
      <c r="A374" s="1" t="str">
        <f>IF(AND(Programme_Grunddaten!$A379="Geprüft",Programme_Grunddaten!B379&lt;&gt;""),Programme_Grunddaten!B379,"")</f>
        <v/>
      </c>
      <c r="B374" s="1" t="str">
        <f>IF(AND(Programme_Grunddaten!$A379="Geprüft",Programme_Grunddaten!C379&lt;&gt;""),Programme_Grunddaten!C379,"")</f>
        <v/>
      </c>
      <c r="C374" s="1" t="str">
        <f>IF(AND(Programme_Grunddaten!$A379="Geprüft",Programme_Grunddaten!D379&lt;&gt;""),Programme_Grunddaten!D379,"")</f>
        <v/>
      </c>
      <c r="D374" s="2" t="str">
        <f>IF(AND(Programme_Grunddaten!$A379="Geprüft",Programme_Grunddaten!E379&lt;&gt;""),Programme_Grunddaten!E379,"")</f>
        <v/>
      </c>
      <c r="E374" t="str">
        <f>IF(AND(Programme_Grunddaten!$A379="Geprüft",Programme_Grunddaten!G379&lt;&gt;""),Programme_Grunddaten!G379,"")</f>
        <v/>
      </c>
      <c r="F374" t="str">
        <f>IF(AND(Programme_Grunddaten!$A379="Geprüft",Programme_Grunddaten!F379&lt;&gt;""),Programme_Grunddaten!F379,"")</f>
        <v/>
      </c>
      <c r="G374" s="3" t="str">
        <f>IF(AND(Programme_Grunddaten!$A379="Geprüft",Programme_Grunddaten!S379&lt;&gt;""),Programme_Grunddaten!S379,"")</f>
        <v/>
      </c>
      <c r="H374" t="str">
        <f>IF(AND(Programme_Grunddaten!$A379="Geprüft",Programme_Grunddaten!AW379&lt;&gt;""),Programme_Grunddaten!AW379,"")</f>
        <v/>
      </c>
      <c r="I374" t="str">
        <f>IF(AND(Programme_Grunddaten!$A379="Geprüft",Programme_Grunddaten!AX379&lt;&gt;""),Programme_Grunddaten!AX379,"")</f>
        <v/>
      </c>
    </row>
    <row r="375" spans="1:9" x14ac:dyDescent="0.3">
      <c r="A375" s="1" t="str">
        <f>IF(AND(Programme_Grunddaten!$A380="Geprüft",Programme_Grunddaten!B380&lt;&gt;""),Programme_Grunddaten!B380,"")</f>
        <v/>
      </c>
      <c r="B375" s="1" t="str">
        <f>IF(AND(Programme_Grunddaten!$A380="Geprüft",Programme_Grunddaten!C380&lt;&gt;""),Programme_Grunddaten!C380,"")</f>
        <v/>
      </c>
      <c r="C375" s="1" t="str">
        <f>IF(AND(Programme_Grunddaten!$A380="Geprüft",Programme_Grunddaten!D380&lt;&gt;""),Programme_Grunddaten!D380,"")</f>
        <v/>
      </c>
      <c r="D375" s="2" t="str">
        <f>IF(AND(Programme_Grunddaten!$A380="Geprüft",Programme_Grunddaten!E380&lt;&gt;""),Programme_Grunddaten!E380,"")</f>
        <v/>
      </c>
      <c r="E375" t="str">
        <f>IF(AND(Programme_Grunddaten!$A380="Geprüft",Programme_Grunddaten!G380&lt;&gt;""),Programme_Grunddaten!G380,"")</f>
        <v/>
      </c>
      <c r="F375" t="str">
        <f>IF(AND(Programme_Grunddaten!$A380="Geprüft",Programme_Grunddaten!F380&lt;&gt;""),Programme_Grunddaten!F380,"")</f>
        <v/>
      </c>
      <c r="G375" s="3" t="str">
        <f>IF(AND(Programme_Grunddaten!$A380="Geprüft",Programme_Grunddaten!S380&lt;&gt;""),Programme_Grunddaten!S380,"")</f>
        <v/>
      </c>
      <c r="H375" t="str">
        <f>IF(AND(Programme_Grunddaten!$A380="Geprüft",Programme_Grunddaten!AW380&lt;&gt;""),Programme_Grunddaten!AW380,"")</f>
        <v/>
      </c>
      <c r="I375" t="str">
        <f>IF(AND(Programme_Grunddaten!$A380="Geprüft",Programme_Grunddaten!AX380&lt;&gt;""),Programme_Grunddaten!AX380,"")</f>
        <v/>
      </c>
    </row>
    <row r="376" spans="1:9" x14ac:dyDescent="0.3">
      <c r="A376" s="1" t="str">
        <f>IF(AND(Programme_Grunddaten!$A381="Geprüft",Programme_Grunddaten!B381&lt;&gt;""),Programme_Grunddaten!B381,"")</f>
        <v/>
      </c>
      <c r="B376" s="1" t="str">
        <f>IF(AND(Programme_Grunddaten!$A381="Geprüft",Programme_Grunddaten!C381&lt;&gt;""),Programme_Grunddaten!C381,"")</f>
        <v/>
      </c>
      <c r="C376" s="1" t="str">
        <f>IF(AND(Programme_Grunddaten!$A381="Geprüft",Programme_Grunddaten!D381&lt;&gt;""),Programme_Grunddaten!D381,"")</f>
        <v/>
      </c>
      <c r="D376" s="2" t="str">
        <f>IF(AND(Programme_Grunddaten!$A381="Geprüft",Programme_Grunddaten!E381&lt;&gt;""),Programme_Grunddaten!E381,"")</f>
        <v/>
      </c>
      <c r="E376" t="str">
        <f>IF(AND(Programme_Grunddaten!$A381="Geprüft",Programme_Grunddaten!G381&lt;&gt;""),Programme_Grunddaten!G381,"")</f>
        <v/>
      </c>
      <c r="F376" t="str">
        <f>IF(AND(Programme_Grunddaten!$A381="Geprüft",Programme_Grunddaten!F381&lt;&gt;""),Programme_Grunddaten!F381,"")</f>
        <v/>
      </c>
      <c r="G376" s="3" t="str">
        <f>IF(AND(Programme_Grunddaten!$A381="Geprüft",Programme_Grunddaten!S381&lt;&gt;""),Programme_Grunddaten!S381,"")</f>
        <v/>
      </c>
      <c r="H376" t="str">
        <f>IF(AND(Programme_Grunddaten!$A381="Geprüft",Programme_Grunddaten!AW381&lt;&gt;""),Programme_Grunddaten!AW381,"")</f>
        <v/>
      </c>
      <c r="I376" t="str">
        <f>IF(AND(Programme_Grunddaten!$A381="Geprüft",Programme_Grunddaten!AX381&lt;&gt;""),Programme_Grunddaten!AX381,"")</f>
        <v/>
      </c>
    </row>
    <row r="377" spans="1:9" x14ac:dyDescent="0.3">
      <c r="A377" s="1" t="str">
        <f>IF(AND(Programme_Grunddaten!$A382="Geprüft",Programme_Grunddaten!B382&lt;&gt;""),Programme_Grunddaten!B382,"")</f>
        <v/>
      </c>
      <c r="B377" s="1" t="str">
        <f>IF(AND(Programme_Grunddaten!$A382="Geprüft",Programme_Grunddaten!C382&lt;&gt;""),Programme_Grunddaten!C382,"")</f>
        <v/>
      </c>
      <c r="C377" s="1" t="str">
        <f>IF(AND(Programme_Grunddaten!$A382="Geprüft",Programme_Grunddaten!D382&lt;&gt;""),Programme_Grunddaten!D382,"")</f>
        <v/>
      </c>
      <c r="D377" s="2" t="str">
        <f>IF(AND(Programme_Grunddaten!$A382="Geprüft",Programme_Grunddaten!E382&lt;&gt;""),Programme_Grunddaten!E382,"")</f>
        <v/>
      </c>
      <c r="E377" t="str">
        <f>IF(AND(Programme_Grunddaten!$A382="Geprüft",Programme_Grunddaten!G382&lt;&gt;""),Programme_Grunddaten!G382,"")</f>
        <v/>
      </c>
      <c r="F377" t="str">
        <f>IF(AND(Programme_Grunddaten!$A382="Geprüft",Programme_Grunddaten!F382&lt;&gt;""),Programme_Grunddaten!F382,"")</f>
        <v/>
      </c>
      <c r="G377" s="3" t="str">
        <f>IF(AND(Programme_Grunddaten!$A382="Geprüft",Programme_Grunddaten!S382&lt;&gt;""),Programme_Grunddaten!S382,"")</f>
        <v/>
      </c>
      <c r="H377" t="str">
        <f>IF(AND(Programme_Grunddaten!$A382="Geprüft",Programme_Grunddaten!AW382&lt;&gt;""),Programme_Grunddaten!AW382,"")</f>
        <v/>
      </c>
      <c r="I377" t="str">
        <f>IF(AND(Programme_Grunddaten!$A382="Geprüft",Programme_Grunddaten!AX382&lt;&gt;""),Programme_Grunddaten!AX382,"")</f>
        <v/>
      </c>
    </row>
    <row r="378" spans="1:9" x14ac:dyDescent="0.3">
      <c r="A378" s="1" t="str">
        <f>IF(AND(Programme_Grunddaten!$A383="Geprüft",Programme_Grunddaten!B383&lt;&gt;""),Programme_Grunddaten!B383,"")</f>
        <v/>
      </c>
      <c r="B378" s="1" t="str">
        <f>IF(AND(Programme_Grunddaten!$A383="Geprüft",Programme_Grunddaten!C383&lt;&gt;""),Programme_Grunddaten!C383,"")</f>
        <v/>
      </c>
      <c r="C378" s="1" t="str">
        <f>IF(AND(Programme_Grunddaten!$A383="Geprüft",Programme_Grunddaten!D383&lt;&gt;""),Programme_Grunddaten!D383,"")</f>
        <v/>
      </c>
      <c r="D378" s="2" t="str">
        <f>IF(AND(Programme_Grunddaten!$A383="Geprüft",Programme_Grunddaten!E383&lt;&gt;""),Programme_Grunddaten!E383,"")</f>
        <v/>
      </c>
      <c r="E378" t="str">
        <f>IF(AND(Programme_Grunddaten!$A383="Geprüft",Programme_Grunddaten!G383&lt;&gt;""),Programme_Grunddaten!G383,"")</f>
        <v/>
      </c>
      <c r="F378" t="str">
        <f>IF(AND(Programme_Grunddaten!$A383="Geprüft",Programme_Grunddaten!F383&lt;&gt;""),Programme_Grunddaten!F383,"")</f>
        <v/>
      </c>
      <c r="G378" s="3" t="str">
        <f>IF(AND(Programme_Grunddaten!$A383="Geprüft",Programme_Grunddaten!S383&lt;&gt;""),Programme_Grunddaten!S383,"")</f>
        <v/>
      </c>
      <c r="H378" t="str">
        <f>IF(AND(Programme_Grunddaten!$A383="Geprüft",Programme_Grunddaten!AW383&lt;&gt;""),Programme_Grunddaten!AW383,"")</f>
        <v/>
      </c>
      <c r="I378" t="str">
        <f>IF(AND(Programme_Grunddaten!$A383="Geprüft",Programme_Grunddaten!AX383&lt;&gt;""),Programme_Grunddaten!AX383,"")</f>
        <v/>
      </c>
    </row>
    <row r="379" spans="1:9" x14ac:dyDescent="0.3">
      <c r="A379" s="1" t="str">
        <f>IF(AND(Programme_Grunddaten!$A384="Geprüft",Programme_Grunddaten!B384&lt;&gt;""),Programme_Grunddaten!B384,"")</f>
        <v/>
      </c>
      <c r="B379" s="1" t="str">
        <f>IF(AND(Programme_Grunddaten!$A384="Geprüft",Programme_Grunddaten!C384&lt;&gt;""),Programme_Grunddaten!C384,"")</f>
        <v/>
      </c>
      <c r="C379" s="1" t="str">
        <f>IF(AND(Programme_Grunddaten!$A384="Geprüft",Programme_Grunddaten!D384&lt;&gt;""),Programme_Grunddaten!D384,"")</f>
        <v/>
      </c>
      <c r="D379" s="2" t="str">
        <f>IF(AND(Programme_Grunddaten!$A384="Geprüft",Programme_Grunddaten!E384&lt;&gt;""),Programme_Grunddaten!E384,"")</f>
        <v/>
      </c>
      <c r="E379" t="str">
        <f>IF(AND(Programme_Grunddaten!$A384="Geprüft",Programme_Grunddaten!G384&lt;&gt;""),Programme_Grunddaten!G384,"")</f>
        <v/>
      </c>
      <c r="F379" t="str">
        <f>IF(AND(Programme_Grunddaten!$A384="Geprüft",Programme_Grunddaten!F384&lt;&gt;""),Programme_Grunddaten!F384,"")</f>
        <v/>
      </c>
      <c r="G379" s="3" t="str">
        <f>IF(AND(Programme_Grunddaten!$A384="Geprüft",Programme_Grunddaten!S384&lt;&gt;""),Programme_Grunddaten!S384,"")</f>
        <v/>
      </c>
      <c r="H379" t="str">
        <f>IF(AND(Programme_Grunddaten!$A384="Geprüft",Programme_Grunddaten!AW384&lt;&gt;""),Programme_Grunddaten!AW384,"")</f>
        <v/>
      </c>
      <c r="I379" t="str">
        <f>IF(AND(Programme_Grunddaten!$A384="Geprüft",Programme_Grunddaten!AX384&lt;&gt;""),Programme_Grunddaten!AX384,"")</f>
        <v/>
      </c>
    </row>
    <row r="380" spans="1:9" x14ac:dyDescent="0.3">
      <c r="A380" s="1" t="str">
        <f>IF(AND(Programme_Grunddaten!$A385="Geprüft",Programme_Grunddaten!B385&lt;&gt;""),Programme_Grunddaten!B385,"")</f>
        <v/>
      </c>
      <c r="B380" s="1" t="str">
        <f>IF(AND(Programme_Grunddaten!$A385="Geprüft",Programme_Grunddaten!C385&lt;&gt;""),Programme_Grunddaten!C385,"")</f>
        <v/>
      </c>
      <c r="C380" s="1" t="str">
        <f>IF(AND(Programme_Grunddaten!$A385="Geprüft",Programme_Grunddaten!D385&lt;&gt;""),Programme_Grunddaten!D385,"")</f>
        <v/>
      </c>
      <c r="D380" s="2" t="str">
        <f>IF(AND(Programme_Grunddaten!$A385="Geprüft",Programme_Grunddaten!E385&lt;&gt;""),Programme_Grunddaten!E385,"")</f>
        <v/>
      </c>
      <c r="E380" t="str">
        <f>IF(AND(Programme_Grunddaten!$A385="Geprüft",Programme_Grunddaten!G385&lt;&gt;""),Programme_Grunddaten!G385,"")</f>
        <v/>
      </c>
      <c r="F380" t="str">
        <f>IF(AND(Programme_Grunddaten!$A385="Geprüft",Programme_Grunddaten!F385&lt;&gt;""),Programme_Grunddaten!F385,"")</f>
        <v/>
      </c>
      <c r="G380" s="3" t="str">
        <f>IF(AND(Programme_Grunddaten!$A385="Geprüft",Programme_Grunddaten!S385&lt;&gt;""),Programme_Grunddaten!S385,"")</f>
        <v/>
      </c>
      <c r="H380" t="str">
        <f>IF(AND(Programme_Grunddaten!$A385="Geprüft",Programme_Grunddaten!AW385&lt;&gt;""),Programme_Grunddaten!AW385,"")</f>
        <v/>
      </c>
      <c r="I380" t="str">
        <f>IF(AND(Programme_Grunddaten!$A385="Geprüft",Programme_Grunddaten!AX385&lt;&gt;""),Programme_Grunddaten!AX385,"")</f>
        <v/>
      </c>
    </row>
    <row r="381" spans="1:9" x14ac:dyDescent="0.3">
      <c r="A381" s="1" t="str">
        <f>IF(AND(Programme_Grunddaten!$A386="Geprüft",Programme_Grunddaten!B386&lt;&gt;""),Programme_Grunddaten!B386,"")</f>
        <v/>
      </c>
      <c r="B381" s="1" t="str">
        <f>IF(AND(Programme_Grunddaten!$A386="Geprüft",Programme_Grunddaten!C386&lt;&gt;""),Programme_Grunddaten!C386,"")</f>
        <v/>
      </c>
      <c r="C381" s="1" t="str">
        <f>IF(AND(Programme_Grunddaten!$A386="Geprüft",Programme_Grunddaten!D386&lt;&gt;""),Programme_Grunddaten!D386,"")</f>
        <v/>
      </c>
      <c r="D381" s="2" t="str">
        <f>IF(AND(Programme_Grunddaten!$A386="Geprüft",Programme_Grunddaten!E386&lt;&gt;""),Programme_Grunddaten!E386,"")</f>
        <v/>
      </c>
      <c r="E381" t="str">
        <f>IF(AND(Programme_Grunddaten!$A386="Geprüft",Programme_Grunddaten!G386&lt;&gt;""),Programme_Grunddaten!G386,"")</f>
        <v/>
      </c>
      <c r="F381" t="str">
        <f>IF(AND(Programme_Grunddaten!$A386="Geprüft",Programme_Grunddaten!F386&lt;&gt;""),Programme_Grunddaten!F386,"")</f>
        <v/>
      </c>
      <c r="G381" s="3" t="str">
        <f>IF(AND(Programme_Grunddaten!$A386="Geprüft",Programme_Grunddaten!S386&lt;&gt;""),Programme_Grunddaten!S386,"")</f>
        <v/>
      </c>
      <c r="H381" t="str">
        <f>IF(AND(Programme_Grunddaten!$A386="Geprüft",Programme_Grunddaten!AW386&lt;&gt;""),Programme_Grunddaten!AW386,"")</f>
        <v/>
      </c>
      <c r="I381" t="str">
        <f>IF(AND(Programme_Grunddaten!$A386="Geprüft",Programme_Grunddaten!AX386&lt;&gt;""),Programme_Grunddaten!AX386,"")</f>
        <v/>
      </c>
    </row>
    <row r="382" spans="1:9" x14ac:dyDescent="0.3">
      <c r="A382" s="1" t="str">
        <f>IF(AND(Programme_Grunddaten!$A387="Geprüft",Programme_Grunddaten!B387&lt;&gt;""),Programme_Grunddaten!B387,"")</f>
        <v/>
      </c>
      <c r="B382" s="1" t="str">
        <f>IF(AND(Programme_Grunddaten!$A387="Geprüft",Programme_Grunddaten!C387&lt;&gt;""),Programme_Grunddaten!C387,"")</f>
        <v/>
      </c>
      <c r="C382" s="1" t="str">
        <f>IF(AND(Programme_Grunddaten!$A387="Geprüft",Programme_Grunddaten!D387&lt;&gt;""),Programme_Grunddaten!D387,"")</f>
        <v/>
      </c>
      <c r="D382" s="2" t="str">
        <f>IF(AND(Programme_Grunddaten!$A387="Geprüft",Programme_Grunddaten!E387&lt;&gt;""),Programme_Grunddaten!E387,"")</f>
        <v/>
      </c>
      <c r="E382" t="str">
        <f>IF(AND(Programme_Grunddaten!$A387="Geprüft",Programme_Grunddaten!G387&lt;&gt;""),Programme_Grunddaten!G387,"")</f>
        <v/>
      </c>
      <c r="F382" t="str">
        <f>IF(AND(Programme_Grunddaten!$A387="Geprüft",Programme_Grunddaten!F387&lt;&gt;""),Programme_Grunddaten!F387,"")</f>
        <v/>
      </c>
      <c r="G382" s="3" t="str">
        <f>IF(AND(Programme_Grunddaten!$A387="Geprüft",Programme_Grunddaten!S387&lt;&gt;""),Programme_Grunddaten!S387,"")</f>
        <v/>
      </c>
      <c r="H382" t="str">
        <f>IF(AND(Programme_Grunddaten!$A387="Geprüft",Programme_Grunddaten!AW387&lt;&gt;""),Programme_Grunddaten!AW387,"")</f>
        <v/>
      </c>
      <c r="I382" t="str">
        <f>IF(AND(Programme_Grunddaten!$A387="Geprüft",Programme_Grunddaten!AX387&lt;&gt;""),Programme_Grunddaten!AX387,"")</f>
        <v/>
      </c>
    </row>
    <row r="383" spans="1:9" x14ac:dyDescent="0.3">
      <c r="A383" s="1" t="str">
        <f>IF(AND(Programme_Grunddaten!$A388="Geprüft",Programme_Grunddaten!B388&lt;&gt;""),Programme_Grunddaten!B388,"")</f>
        <v/>
      </c>
      <c r="B383" s="1" t="str">
        <f>IF(AND(Programme_Grunddaten!$A388="Geprüft",Programme_Grunddaten!C388&lt;&gt;""),Programme_Grunddaten!C388,"")</f>
        <v/>
      </c>
      <c r="C383" s="1" t="str">
        <f>IF(AND(Programme_Grunddaten!$A388="Geprüft",Programme_Grunddaten!D388&lt;&gt;""),Programme_Grunddaten!D388,"")</f>
        <v/>
      </c>
      <c r="D383" s="2" t="str">
        <f>IF(AND(Programme_Grunddaten!$A388="Geprüft",Programme_Grunddaten!E388&lt;&gt;""),Programme_Grunddaten!E388,"")</f>
        <v/>
      </c>
      <c r="E383" t="str">
        <f>IF(AND(Programme_Grunddaten!$A388="Geprüft",Programme_Grunddaten!G388&lt;&gt;""),Programme_Grunddaten!G388,"")</f>
        <v/>
      </c>
      <c r="F383" t="str">
        <f>IF(AND(Programme_Grunddaten!$A388="Geprüft",Programme_Grunddaten!F388&lt;&gt;""),Programme_Grunddaten!F388,"")</f>
        <v/>
      </c>
      <c r="G383" s="3" t="str">
        <f>IF(AND(Programme_Grunddaten!$A388="Geprüft",Programme_Grunddaten!S388&lt;&gt;""),Programme_Grunddaten!S388,"")</f>
        <v/>
      </c>
      <c r="H383" t="str">
        <f>IF(AND(Programme_Grunddaten!$A388="Geprüft",Programme_Grunddaten!AW388&lt;&gt;""),Programme_Grunddaten!AW388,"")</f>
        <v/>
      </c>
      <c r="I383" t="str">
        <f>IF(AND(Programme_Grunddaten!$A388="Geprüft",Programme_Grunddaten!AX388&lt;&gt;""),Programme_Grunddaten!AX388,"")</f>
        <v/>
      </c>
    </row>
    <row r="384" spans="1:9" x14ac:dyDescent="0.3">
      <c r="A384" s="1" t="str">
        <f>IF(AND(Programme_Grunddaten!$A389="Geprüft",Programme_Grunddaten!B389&lt;&gt;""),Programme_Grunddaten!B389,"")</f>
        <v/>
      </c>
      <c r="B384" s="1" t="str">
        <f>IF(AND(Programme_Grunddaten!$A389="Geprüft",Programme_Grunddaten!C389&lt;&gt;""),Programme_Grunddaten!C389,"")</f>
        <v/>
      </c>
      <c r="C384" s="1" t="str">
        <f>IF(AND(Programme_Grunddaten!$A389="Geprüft",Programme_Grunddaten!D389&lt;&gt;""),Programme_Grunddaten!D389,"")</f>
        <v/>
      </c>
      <c r="D384" s="2" t="str">
        <f>IF(AND(Programme_Grunddaten!$A389="Geprüft",Programme_Grunddaten!E389&lt;&gt;""),Programme_Grunddaten!E389,"")</f>
        <v/>
      </c>
      <c r="E384" t="str">
        <f>IF(AND(Programme_Grunddaten!$A389="Geprüft",Programme_Grunddaten!G389&lt;&gt;""),Programme_Grunddaten!G389,"")</f>
        <v/>
      </c>
      <c r="F384" t="str">
        <f>IF(AND(Programme_Grunddaten!$A389="Geprüft",Programme_Grunddaten!F389&lt;&gt;""),Programme_Grunddaten!F389,"")</f>
        <v/>
      </c>
      <c r="G384" s="3" t="str">
        <f>IF(AND(Programme_Grunddaten!$A389="Geprüft",Programme_Grunddaten!S389&lt;&gt;""),Programme_Grunddaten!S389,"")</f>
        <v/>
      </c>
      <c r="H384" t="str">
        <f>IF(AND(Programme_Grunddaten!$A389="Geprüft",Programme_Grunddaten!AW389&lt;&gt;""),Programme_Grunddaten!AW389,"")</f>
        <v/>
      </c>
      <c r="I384" t="str">
        <f>IF(AND(Programme_Grunddaten!$A389="Geprüft",Programme_Grunddaten!AX389&lt;&gt;""),Programme_Grunddaten!AX389,"")</f>
        <v/>
      </c>
    </row>
    <row r="385" spans="1:9" x14ac:dyDescent="0.3">
      <c r="A385" s="1" t="str">
        <f>IF(AND(Programme_Grunddaten!$A390="Geprüft",Programme_Grunddaten!B390&lt;&gt;""),Programme_Grunddaten!B390,"")</f>
        <v/>
      </c>
      <c r="B385" s="1" t="str">
        <f>IF(AND(Programme_Grunddaten!$A390="Geprüft",Programme_Grunddaten!C390&lt;&gt;""),Programme_Grunddaten!C390,"")</f>
        <v/>
      </c>
      <c r="C385" s="1" t="str">
        <f>IF(AND(Programme_Grunddaten!$A390="Geprüft",Programme_Grunddaten!D390&lt;&gt;""),Programme_Grunddaten!D390,"")</f>
        <v/>
      </c>
      <c r="D385" s="2" t="str">
        <f>IF(AND(Programme_Grunddaten!$A390="Geprüft",Programme_Grunddaten!E390&lt;&gt;""),Programme_Grunddaten!E390,"")</f>
        <v/>
      </c>
      <c r="E385" t="str">
        <f>IF(AND(Programme_Grunddaten!$A390="Geprüft",Programme_Grunddaten!G390&lt;&gt;""),Programme_Grunddaten!G390,"")</f>
        <v/>
      </c>
      <c r="F385" t="str">
        <f>IF(AND(Programme_Grunddaten!$A390="Geprüft",Programme_Grunddaten!F390&lt;&gt;""),Programme_Grunddaten!F390,"")</f>
        <v/>
      </c>
      <c r="G385" s="3" t="str">
        <f>IF(AND(Programme_Grunddaten!$A390="Geprüft",Programme_Grunddaten!S390&lt;&gt;""),Programme_Grunddaten!S390,"")</f>
        <v/>
      </c>
      <c r="H385" t="str">
        <f>IF(AND(Programme_Grunddaten!$A390="Geprüft",Programme_Grunddaten!AW390&lt;&gt;""),Programme_Grunddaten!AW390,"")</f>
        <v/>
      </c>
      <c r="I385" t="str">
        <f>IF(AND(Programme_Grunddaten!$A390="Geprüft",Programme_Grunddaten!AX390&lt;&gt;""),Programme_Grunddaten!AX390,"")</f>
        <v/>
      </c>
    </row>
    <row r="386" spans="1:9" x14ac:dyDescent="0.3">
      <c r="A386" s="1" t="str">
        <f>IF(AND(Programme_Grunddaten!$A391="Geprüft",Programme_Grunddaten!B391&lt;&gt;""),Programme_Grunddaten!B391,"")</f>
        <v/>
      </c>
      <c r="B386" s="1" t="str">
        <f>IF(AND(Programme_Grunddaten!$A391="Geprüft",Programme_Grunddaten!C391&lt;&gt;""),Programme_Grunddaten!C391,"")</f>
        <v/>
      </c>
      <c r="C386" s="1" t="str">
        <f>IF(AND(Programme_Grunddaten!$A391="Geprüft",Programme_Grunddaten!D391&lt;&gt;""),Programme_Grunddaten!D391,"")</f>
        <v/>
      </c>
      <c r="D386" s="2" t="str">
        <f>IF(AND(Programme_Grunddaten!$A391="Geprüft",Programme_Grunddaten!E391&lt;&gt;""),Programme_Grunddaten!E391,"")</f>
        <v/>
      </c>
      <c r="E386" t="str">
        <f>IF(AND(Programme_Grunddaten!$A391="Geprüft",Programme_Grunddaten!G391&lt;&gt;""),Programme_Grunddaten!G391,"")</f>
        <v/>
      </c>
      <c r="F386" t="str">
        <f>IF(AND(Programme_Grunddaten!$A391="Geprüft",Programme_Grunddaten!F391&lt;&gt;""),Programme_Grunddaten!F391,"")</f>
        <v/>
      </c>
      <c r="G386" s="3" t="str">
        <f>IF(AND(Programme_Grunddaten!$A391="Geprüft",Programme_Grunddaten!S391&lt;&gt;""),Programme_Grunddaten!S391,"")</f>
        <v/>
      </c>
      <c r="H386" t="str">
        <f>IF(AND(Programme_Grunddaten!$A391="Geprüft",Programme_Grunddaten!AW391&lt;&gt;""),Programme_Grunddaten!AW391,"")</f>
        <v/>
      </c>
      <c r="I386" t="str">
        <f>IF(AND(Programme_Grunddaten!$A391="Geprüft",Programme_Grunddaten!AX391&lt;&gt;""),Programme_Grunddaten!AX391,"")</f>
        <v/>
      </c>
    </row>
    <row r="387" spans="1:9" x14ac:dyDescent="0.3">
      <c r="A387" s="1" t="str">
        <f>IF(AND(Programme_Grunddaten!$A392="Geprüft",Programme_Grunddaten!B392&lt;&gt;""),Programme_Grunddaten!B392,"")</f>
        <v/>
      </c>
      <c r="B387" s="1" t="str">
        <f>IF(AND(Programme_Grunddaten!$A392="Geprüft",Programme_Grunddaten!C392&lt;&gt;""),Programme_Grunddaten!C392,"")</f>
        <v/>
      </c>
      <c r="C387" s="1" t="str">
        <f>IF(AND(Programme_Grunddaten!$A392="Geprüft",Programme_Grunddaten!D392&lt;&gt;""),Programme_Grunddaten!D392,"")</f>
        <v/>
      </c>
      <c r="D387" s="2" t="str">
        <f>IF(AND(Programme_Grunddaten!$A392="Geprüft",Programme_Grunddaten!E392&lt;&gt;""),Programme_Grunddaten!E392,"")</f>
        <v/>
      </c>
      <c r="E387" t="str">
        <f>IF(AND(Programme_Grunddaten!$A392="Geprüft",Programme_Grunddaten!G392&lt;&gt;""),Programme_Grunddaten!G392,"")</f>
        <v/>
      </c>
      <c r="F387" t="str">
        <f>IF(AND(Programme_Grunddaten!$A392="Geprüft",Programme_Grunddaten!F392&lt;&gt;""),Programme_Grunddaten!F392,"")</f>
        <v/>
      </c>
      <c r="G387" s="3" t="str">
        <f>IF(AND(Programme_Grunddaten!$A392="Geprüft",Programme_Grunddaten!S392&lt;&gt;""),Programme_Grunddaten!S392,"")</f>
        <v/>
      </c>
      <c r="H387" t="str">
        <f>IF(AND(Programme_Grunddaten!$A392="Geprüft",Programme_Grunddaten!AW392&lt;&gt;""),Programme_Grunddaten!AW392,"")</f>
        <v/>
      </c>
      <c r="I387" t="str">
        <f>IF(AND(Programme_Grunddaten!$A392="Geprüft",Programme_Grunddaten!AX392&lt;&gt;""),Programme_Grunddaten!AX392,"")</f>
        <v/>
      </c>
    </row>
    <row r="388" spans="1:9" x14ac:dyDescent="0.3">
      <c r="A388" s="1" t="str">
        <f>IF(AND(Programme_Grunddaten!$A393="Geprüft",Programme_Grunddaten!B393&lt;&gt;""),Programme_Grunddaten!B393,"")</f>
        <v/>
      </c>
      <c r="B388" s="1" t="str">
        <f>IF(AND(Programme_Grunddaten!$A393="Geprüft",Programme_Grunddaten!C393&lt;&gt;""),Programme_Grunddaten!C393,"")</f>
        <v/>
      </c>
      <c r="C388" s="1" t="str">
        <f>IF(AND(Programme_Grunddaten!$A393="Geprüft",Programme_Grunddaten!D393&lt;&gt;""),Programme_Grunddaten!D393,"")</f>
        <v/>
      </c>
      <c r="D388" s="2" t="str">
        <f>IF(AND(Programme_Grunddaten!$A393="Geprüft",Programme_Grunddaten!E393&lt;&gt;""),Programme_Grunddaten!E393,"")</f>
        <v/>
      </c>
      <c r="E388" t="str">
        <f>IF(AND(Programme_Grunddaten!$A393="Geprüft",Programme_Grunddaten!G393&lt;&gt;""),Programme_Grunddaten!G393,"")</f>
        <v/>
      </c>
      <c r="F388" t="str">
        <f>IF(AND(Programme_Grunddaten!$A393="Geprüft",Programme_Grunddaten!F393&lt;&gt;""),Programme_Grunddaten!F393,"")</f>
        <v/>
      </c>
      <c r="G388" s="3" t="str">
        <f>IF(AND(Programme_Grunddaten!$A393="Geprüft",Programme_Grunddaten!S393&lt;&gt;""),Programme_Grunddaten!S393,"")</f>
        <v/>
      </c>
      <c r="H388" t="str">
        <f>IF(AND(Programme_Grunddaten!$A393="Geprüft",Programme_Grunddaten!AW393&lt;&gt;""),Programme_Grunddaten!AW393,"")</f>
        <v/>
      </c>
      <c r="I388" t="str">
        <f>IF(AND(Programme_Grunddaten!$A393="Geprüft",Programme_Grunddaten!AX393&lt;&gt;""),Programme_Grunddaten!AX393,"")</f>
        <v/>
      </c>
    </row>
    <row r="389" spans="1:9" x14ac:dyDescent="0.3">
      <c r="A389" s="1" t="str">
        <f>IF(AND(Programme_Grunddaten!$A394="Geprüft",Programme_Grunddaten!B394&lt;&gt;""),Programme_Grunddaten!B394,"")</f>
        <v/>
      </c>
      <c r="B389" s="1" t="str">
        <f>IF(AND(Programme_Grunddaten!$A394="Geprüft",Programme_Grunddaten!C394&lt;&gt;""),Programme_Grunddaten!C394,"")</f>
        <v/>
      </c>
      <c r="C389" s="1" t="str">
        <f>IF(AND(Programme_Grunddaten!$A394="Geprüft",Programme_Grunddaten!D394&lt;&gt;""),Programme_Grunddaten!D394,"")</f>
        <v/>
      </c>
      <c r="D389" s="2" t="str">
        <f>IF(AND(Programme_Grunddaten!$A394="Geprüft",Programme_Grunddaten!E394&lt;&gt;""),Programme_Grunddaten!E394,"")</f>
        <v/>
      </c>
      <c r="E389" t="str">
        <f>IF(AND(Programme_Grunddaten!$A394="Geprüft",Programme_Grunddaten!G394&lt;&gt;""),Programme_Grunddaten!G394,"")</f>
        <v/>
      </c>
      <c r="F389" t="str">
        <f>IF(AND(Programme_Grunddaten!$A394="Geprüft",Programme_Grunddaten!F394&lt;&gt;""),Programme_Grunddaten!F394,"")</f>
        <v/>
      </c>
      <c r="G389" s="3" t="str">
        <f>IF(AND(Programme_Grunddaten!$A394="Geprüft",Programme_Grunddaten!S394&lt;&gt;""),Programme_Grunddaten!S394,"")</f>
        <v/>
      </c>
      <c r="H389" t="str">
        <f>IF(AND(Programme_Grunddaten!$A394="Geprüft",Programme_Grunddaten!AW394&lt;&gt;""),Programme_Grunddaten!AW394,"")</f>
        <v/>
      </c>
      <c r="I389" t="str">
        <f>IF(AND(Programme_Grunddaten!$A394="Geprüft",Programme_Grunddaten!AX394&lt;&gt;""),Programme_Grunddaten!AX394,"")</f>
        <v/>
      </c>
    </row>
    <row r="390" spans="1:9" x14ac:dyDescent="0.3">
      <c r="A390" s="1" t="str">
        <f>IF(AND(Programme_Grunddaten!$A395="Geprüft",Programme_Grunddaten!B395&lt;&gt;""),Programme_Grunddaten!B395,"")</f>
        <v/>
      </c>
      <c r="B390" s="1" t="str">
        <f>IF(AND(Programme_Grunddaten!$A395="Geprüft",Programme_Grunddaten!C395&lt;&gt;""),Programme_Grunddaten!C395,"")</f>
        <v/>
      </c>
      <c r="C390" s="1" t="str">
        <f>IF(AND(Programme_Grunddaten!$A395="Geprüft",Programme_Grunddaten!D395&lt;&gt;""),Programme_Grunddaten!D395,"")</f>
        <v/>
      </c>
      <c r="D390" s="2" t="str">
        <f>IF(AND(Programme_Grunddaten!$A395="Geprüft",Programme_Grunddaten!E395&lt;&gt;""),Programme_Grunddaten!E395,"")</f>
        <v/>
      </c>
      <c r="E390" t="str">
        <f>IF(AND(Programme_Grunddaten!$A395="Geprüft",Programme_Grunddaten!G395&lt;&gt;""),Programme_Grunddaten!G395,"")</f>
        <v/>
      </c>
      <c r="F390" t="str">
        <f>IF(AND(Programme_Grunddaten!$A395="Geprüft",Programme_Grunddaten!F395&lt;&gt;""),Programme_Grunddaten!F395,"")</f>
        <v/>
      </c>
      <c r="G390" s="3" t="str">
        <f>IF(AND(Programme_Grunddaten!$A395="Geprüft",Programme_Grunddaten!S395&lt;&gt;""),Programme_Grunddaten!S395,"")</f>
        <v/>
      </c>
      <c r="H390" t="str">
        <f>IF(AND(Programme_Grunddaten!$A395="Geprüft",Programme_Grunddaten!AW395&lt;&gt;""),Programme_Grunddaten!AW395,"")</f>
        <v/>
      </c>
      <c r="I390" t="str">
        <f>IF(AND(Programme_Grunddaten!$A395="Geprüft",Programme_Grunddaten!AX395&lt;&gt;""),Programme_Grunddaten!AX395,"")</f>
        <v/>
      </c>
    </row>
    <row r="391" spans="1:9" x14ac:dyDescent="0.3">
      <c r="A391" s="1" t="str">
        <f>IF(AND(Programme_Grunddaten!$A396="Geprüft",Programme_Grunddaten!B396&lt;&gt;""),Programme_Grunddaten!B396,"")</f>
        <v/>
      </c>
      <c r="B391" s="1" t="str">
        <f>IF(AND(Programme_Grunddaten!$A396="Geprüft",Programme_Grunddaten!C396&lt;&gt;""),Programme_Grunddaten!C396,"")</f>
        <v/>
      </c>
      <c r="C391" s="1" t="str">
        <f>IF(AND(Programme_Grunddaten!$A396="Geprüft",Programme_Grunddaten!D396&lt;&gt;""),Programme_Grunddaten!D396,"")</f>
        <v/>
      </c>
      <c r="D391" s="2" t="str">
        <f>IF(AND(Programme_Grunddaten!$A396="Geprüft",Programme_Grunddaten!E396&lt;&gt;""),Programme_Grunddaten!E396,"")</f>
        <v/>
      </c>
      <c r="E391" t="str">
        <f>IF(AND(Programme_Grunddaten!$A396="Geprüft",Programme_Grunddaten!G396&lt;&gt;""),Programme_Grunddaten!G396,"")</f>
        <v/>
      </c>
      <c r="F391" t="str">
        <f>IF(AND(Programme_Grunddaten!$A396="Geprüft",Programme_Grunddaten!F396&lt;&gt;""),Programme_Grunddaten!F396,"")</f>
        <v/>
      </c>
      <c r="G391" s="3" t="str">
        <f>IF(AND(Programme_Grunddaten!$A396="Geprüft",Programme_Grunddaten!S396&lt;&gt;""),Programme_Grunddaten!S396,"")</f>
        <v/>
      </c>
      <c r="H391" t="str">
        <f>IF(AND(Programme_Grunddaten!$A396="Geprüft",Programme_Grunddaten!AW396&lt;&gt;""),Programme_Grunddaten!AW396,"")</f>
        <v/>
      </c>
      <c r="I391" t="str">
        <f>IF(AND(Programme_Grunddaten!$A396="Geprüft",Programme_Grunddaten!AX396&lt;&gt;""),Programme_Grunddaten!AX396,"")</f>
        <v/>
      </c>
    </row>
    <row r="392" spans="1:9" x14ac:dyDescent="0.3">
      <c r="A392" s="1" t="str">
        <f>IF(AND(Programme_Grunddaten!$A397="Geprüft",Programme_Grunddaten!B397&lt;&gt;""),Programme_Grunddaten!B397,"")</f>
        <v/>
      </c>
      <c r="B392" s="1" t="str">
        <f>IF(AND(Programme_Grunddaten!$A397="Geprüft",Programme_Grunddaten!C397&lt;&gt;""),Programme_Grunddaten!C397,"")</f>
        <v/>
      </c>
      <c r="C392" s="1" t="str">
        <f>IF(AND(Programme_Grunddaten!$A397="Geprüft",Programme_Grunddaten!D397&lt;&gt;""),Programme_Grunddaten!D397,"")</f>
        <v/>
      </c>
      <c r="D392" s="2" t="str">
        <f>IF(AND(Programme_Grunddaten!$A397="Geprüft",Programme_Grunddaten!E397&lt;&gt;""),Programme_Grunddaten!E397,"")</f>
        <v/>
      </c>
      <c r="E392" t="str">
        <f>IF(AND(Programme_Grunddaten!$A397="Geprüft",Programme_Grunddaten!G397&lt;&gt;""),Programme_Grunddaten!G397,"")</f>
        <v/>
      </c>
      <c r="F392" t="str">
        <f>IF(AND(Programme_Grunddaten!$A397="Geprüft",Programme_Grunddaten!F397&lt;&gt;""),Programme_Grunddaten!F397,"")</f>
        <v/>
      </c>
      <c r="G392" s="3" t="str">
        <f>IF(AND(Programme_Grunddaten!$A397="Geprüft",Programme_Grunddaten!S397&lt;&gt;""),Programme_Grunddaten!S397,"")</f>
        <v/>
      </c>
      <c r="H392" t="str">
        <f>IF(AND(Programme_Grunddaten!$A397="Geprüft",Programme_Grunddaten!AW397&lt;&gt;""),Programme_Grunddaten!AW397,"")</f>
        <v/>
      </c>
      <c r="I392" t="str">
        <f>IF(AND(Programme_Grunddaten!$A397="Geprüft",Programme_Grunddaten!AX397&lt;&gt;""),Programme_Grunddaten!AX397,"")</f>
        <v/>
      </c>
    </row>
    <row r="393" spans="1:9" x14ac:dyDescent="0.3">
      <c r="A393" s="1" t="str">
        <f>IF(AND(Programme_Grunddaten!$A398="Geprüft",Programme_Grunddaten!B398&lt;&gt;""),Programme_Grunddaten!B398,"")</f>
        <v/>
      </c>
      <c r="B393" s="1" t="str">
        <f>IF(AND(Programme_Grunddaten!$A398="Geprüft",Programme_Grunddaten!C398&lt;&gt;""),Programme_Grunddaten!C398,"")</f>
        <v/>
      </c>
      <c r="C393" s="1" t="str">
        <f>IF(AND(Programme_Grunddaten!$A398="Geprüft",Programme_Grunddaten!D398&lt;&gt;""),Programme_Grunddaten!D398,"")</f>
        <v/>
      </c>
      <c r="D393" s="2" t="str">
        <f>IF(AND(Programme_Grunddaten!$A398="Geprüft",Programme_Grunddaten!E398&lt;&gt;""),Programme_Grunddaten!E398,"")</f>
        <v/>
      </c>
      <c r="E393" t="str">
        <f>IF(AND(Programme_Grunddaten!$A398="Geprüft",Programme_Grunddaten!G398&lt;&gt;""),Programme_Grunddaten!G398,"")</f>
        <v/>
      </c>
      <c r="F393" t="str">
        <f>IF(AND(Programme_Grunddaten!$A398="Geprüft",Programme_Grunddaten!F398&lt;&gt;""),Programme_Grunddaten!F398,"")</f>
        <v/>
      </c>
      <c r="G393" s="3" t="str">
        <f>IF(AND(Programme_Grunddaten!$A398="Geprüft",Programme_Grunddaten!S398&lt;&gt;""),Programme_Grunddaten!S398,"")</f>
        <v/>
      </c>
      <c r="H393" t="str">
        <f>IF(AND(Programme_Grunddaten!$A398="Geprüft",Programme_Grunddaten!AW398&lt;&gt;""),Programme_Grunddaten!AW398,"")</f>
        <v/>
      </c>
      <c r="I393" t="str">
        <f>IF(AND(Programme_Grunddaten!$A398="Geprüft",Programme_Grunddaten!AX398&lt;&gt;""),Programme_Grunddaten!AX398,"")</f>
        <v/>
      </c>
    </row>
    <row r="394" spans="1:9" x14ac:dyDescent="0.3">
      <c r="A394" s="1" t="str">
        <f>IF(AND(Programme_Grunddaten!$A399="Geprüft",Programme_Grunddaten!B399&lt;&gt;""),Programme_Grunddaten!B399,"")</f>
        <v/>
      </c>
      <c r="B394" s="1" t="str">
        <f>IF(AND(Programme_Grunddaten!$A399="Geprüft",Programme_Grunddaten!C399&lt;&gt;""),Programme_Grunddaten!C399,"")</f>
        <v/>
      </c>
      <c r="C394" s="1" t="str">
        <f>IF(AND(Programme_Grunddaten!$A399="Geprüft",Programme_Grunddaten!D399&lt;&gt;""),Programme_Grunddaten!D399,"")</f>
        <v/>
      </c>
      <c r="D394" s="2" t="str">
        <f>IF(AND(Programme_Grunddaten!$A399="Geprüft",Programme_Grunddaten!E399&lt;&gt;""),Programme_Grunddaten!E399,"")</f>
        <v/>
      </c>
      <c r="E394" t="str">
        <f>IF(AND(Programme_Grunddaten!$A399="Geprüft",Programme_Grunddaten!G399&lt;&gt;""),Programme_Grunddaten!G399,"")</f>
        <v/>
      </c>
      <c r="F394" t="str">
        <f>IF(AND(Programme_Grunddaten!$A399="Geprüft",Programme_Grunddaten!F399&lt;&gt;""),Programme_Grunddaten!F399,"")</f>
        <v/>
      </c>
      <c r="G394" s="3" t="str">
        <f>IF(AND(Programme_Grunddaten!$A399="Geprüft",Programme_Grunddaten!S399&lt;&gt;""),Programme_Grunddaten!S399,"")</f>
        <v/>
      </c>
      <c r="H394" t="str">
        <f>IF(AND(Programme_Grunddaten!$A399="Geprüft",Programme_Grunddaten!AW399&lt;&gt;""),Programme_Grunddaten!AW399,"")</f>
        <v/>
      </c>
      <c r="I394" t="str">
        <f>IF(AND(Programme_Grunddaten!$A399="Geprüft",Programme_Grunddaten!AX399&lt;&gt;""),Programme_Grunddaten!AX399,"")</f>
        <v/>
      </c>
    </row>
    <row r="395" spans="1:9" x14ac:dyDescent="0.3">
      <c r="A395" s="1" t="str">
        <f>IF(AND(Programme_Grunddaten!$A400="Geprüft",Programme_Grunddaten!B400&lt;&gt;""),Programme_Grunddaten!B400,"")</f>
        <v/>
      </c>
      <c r="B395" s="1" t="str">
        <f>IF(AND(Programme_Grunddaten!$A400="Geprüft",Programme_Grunddaten!C400&lt;&gt;""),Programme_Grunddaten!C400,"")</f>
        <v/>
      </c>
      <c r="C395" s="1" t="str">
        <f>IF(AND(Programme_Grunddaten!$A400="Geprüft",Programme_Grunddaten!D400&lt;&gt;""),Programme_Grunddaten!D400,"")</f>
        <v/>
      </c>
      <c r="D395" s="2" t="str">
        <f>IF(AND(Programme_Grunddaten!$A400="Geprüft",Programme_Grunddaten!E400&lt;&gt;""),Programme_Grunddaten!E400,"")</f>
        <v/>
      </c>
      <c r="E395" t="str">
        <f>IF(AND(Programme_Grunddaten!$A400="Geprüft",Programme_Grunddaten!G400&lt;&gt;""),Programme_Grunddaten!G400,"")</f>
        <v/>
      </c>
      <c r="F395" t="str">
        <f>IF(AND(Programme_Grunddaten!$A400="Geprüft",Programme_Grunddaten!F400&lt;&gt;""),Programme_Grunddaten!F400,"")</f>
        <v/>
      </c>
      <c r="G395" s="3" t="str">
        <f>IF(AND(Programme_Grunddaten!$A400="Geprüft",Programme_Grunddaten!S400&lt;&gt;""),Programme_Grunddaten!S400,"")</f>
        <v/>
      </c>
      <c r="H395" t="str">
        <f>IF(AND(Programme_Grunddaten!$A400="Geprüft",Programme_Grunddaten!AW400&lt;&gt;""),Programme_Grunddaten!AW400,"")</f>
        <v/>
      </c>
      <c r="I395" t="str">
        <f>IF(AND(Programme_Grunddaten!$A400="Geprüft",Programme_Grunddaten!AX400&lt;&gt;""),Programme_Grunddaten!AX400,"")</f>
        <v/>
      </c>
    </row>
    <row r="396" spans="1:9" x14ac:dyDescent="0.3">
      <c r="A396" s="1" t="str">
        <f>IF(AND(Programme_Grunddaten!$A401="Geprüft",Programme_Grunddaten!B401&lt;&gt;""),Programme_Grunddaten!B401,"")</f>
        <v/>
      </c>
      <c r="B396" s="1" t="str">
        <f>IF(AND(Programme_Grunddaten!$A401="Geprüft",Programme_Grunddaten!C401&lt;&gt;""),Programme_Grunddaten!C401,"")</f>
        <v/>
      </c>
      <c r="C396" s="1" t="str">
        <f>IF(AND(Programme_Grunddaten!$A401="Geprüft",Programme_Grunddaten!D401&lt;&gt;""),Programme_Grunddaten!D401,"")</f>
        <v/>
      </c>
      <c r="D396" s="2" t="str">
        <f>IF(AND(Programme_Grunddaten!$A401="Geprüft",Programme_Grunddaten!E401&lt;&gt;""),Programme_Grunddaten!E401,"")</f>
        <v/>
      </c>
      <c r="E396" t="str">
        <f>IF(AND(Programme_Grunddaten!$A401="Geprüft",Programme_Grunddaten!G401&lt;&gt;""),Programme_Grunddaten!G401,"")</f>
        <v/>
      </c>
      <c r="F396" t="str">
        <f>IF(AND(Programme_Grunddaten!$A401="Geprüft",Programme_Grunddaten!F401&lt;&gt;""),Programme_Grunddaten!F401,"")</f>
        <v/>
      </c>
      <c r="G396" s="3" t="str">
        <f>IF(AND(Programme_Grunddaten!$A401="Geprüft",Programme_Grunddaten!S401&lt;&gt;""),Programme_Grunddaten!S401,"")</f>
        <v/>
      </c>
      <c r="H396" t="str">
        <f>IF(AND(Programme_Grunddaten!$A401="Geprüft",Programme_Grunddaten!AW401&lt;&gt;""),Programme_Grunddaten!AW401,"")</f>
        <v/>
      </c>
      <c r="I396" t="str">
        <f>IF(AND(Programme_Grunddaten!$A401="Geprüft",Programme_Grunddaten!AX401&lt;&gt;""),Programme_Grunddaten!AX401,"")</f>
        <v/>
      </c>
    </row>
    <row r="397" spans="1:9" x14ac:dyDescent="0.3">
      <c r="A397" s="1" t="str">
        <f>IF(AND(Programme_Grunddaten!$A402="Geprüft",Programme_Grunddaten!B402&lt;&gt;""),Programme_Grunddaten!B402,"")</f>
        <v/>
      </c>
      <c r="B397" s="1" t="str">
        <f>IF(AND(Programme_Grunddaten!$A402="Geprüft",Programme_Grunddaten!C402&lt;&gt;""),Programme_Grunddaten!C402,"")</f>
        <v/>
      </c>
      <c r="C397" s="1" t="str">
        <f>IF(AND(Programme_Grunddaten!$A402="Geprüft",Programme_Grunddaten!D402&lt;&gt;""),Programme_Grunddaten!D402,"")</f>
        <v/>
      </c>
      <c r="D397" s="2" t="str">
        <f>IF(AND(Programme_Grunddaten!$A402="Geprüft",Programme_Grunddaten!E402&lt;&gt;""),Programme_Grunddaten!E402,"")</f>
        <v/>
      </c>
      <c r="E397" t="str">
        <f>IF(AND(Programme_Grunddaten!$A402="Geprüft",Programme_Grunddaten!G402&lt;&gt;""),Programme_Grunddaten!G402,"")</f>
        <v/>
      </c>
      <c r="F397" t="str">
        <f>IF(AND(Programme_Grunddaten!$A402="Geprüft",Programme_Grunddaten!F402&lt;&gt;""),Programme_Grunddaten!F402,"")</f>
        <v/>
      </c>
      <c r="G397" s="3" t="str">
        <f>IF(AND(Programme_Grunddaten!$A402="Geprüft",Programme_Grunddaten!S402&lt;&gt;""),Programme_Grunddaten!S402,"")</f>
        <v/>
      </c>
      <c r="H397" t="str">
        <f>IF(AND(Programme_Grunddaten!$A402="Geprüft",Programme_Grunddaten!AW402&lt;&gt;""),Programme_Grunddaten!AW402,"")</f>
        <v/>
      </c>
      <c r="I397" t="str">
        <f>IF(AND(Programme_Grunddaten!$A402="Geprüft",Programme_Grunddaten!AX402&lt;&gt;""),Programme_Grunddaten!AX402,"")</f>
        <v/>
      </c>
    </row>
    <row r="398" spans="1:9" x14ac:dyDescent="0.3">
      <c r="A398" s="1" t="str">
        <f>IF(AND(Programme_Grunddaten!$A403="Geprüft",Programme_Grunddaten!B403&lt;&gt;""),Programme_Grunddaten!B403,"")</f>
        <v/>
      </c>
      <c r="B398" s="1" t="str">
        <f>IF(AND(Programme_Grunddaten!$A403="Geprüft",Programme_Grunddaten!C403&lt;&gt;""),Programme_Grunddaten!C403,"")</f>
        <v/>
      </c>
      <c r="C398" s="1" t="str">
        <f>IF(AND(Programme_Grunddaten!$A403="Geprüft",Programme_Grunddaten!D403&lt;&gt;""),Programme_Grunddaten!D403,"")</f>
        <v/>
      </c>
      <c r="D398" s="2" t="str">
        <f>IF(AND(Programme_Grunddaten!$A403="Geprüft",Programme_Grunddaten!E403&lt;&gt;""),Programme_Grunddaten!E403,"")</f>
        <v/>
      </c>
      <c r="E398" t="str">
        <f>IF(AND(Programme_Grunddaten!$A403="Geprüft",Programme_Grunddaten!G403&lt;&gt;""),Programme_Grunddaten!G403,"")</f>
        <v/>
      </c>
      <c r="F398" t="str">
        <f>IF(AND(Programme_Grunddaten!$A403="Geprüft",Programme_Grunddaten!F403&lt;&gt;""),Programme_Grunddaten!F403,"")</f>
        <v/>
      </c>
      <c r="G398" s="3" t="str">
        <f>IF(AND(Programme_Grunddaten!$A403="Geprüft",Programme_Grunddaten!S403&lt;&gt;""),Programme_Grunddaten!S403,"")</f>
        <v/>
      </c>
      <c r="H398" t="str">
        <f>IF(AND(Programme_Grunddaten!$A403="Geprüft",Programme_Grunddaten!AW403&lt;&gt;""),Programme_Grunddaten!AW403,"")</f>
        <v/>
      </c>
      <c r="I398" t="str">
        <f>IF(AND(Programme_Grunddaten!$A403="Geprüft",Programme_Grunddaten!AX403&lt;&gt;""),Programme_Grunddaten!AX403,"")</f>
        <v/>
      </c>
    </row>
    <row r="399" spans="1:9" x14ac:dyDescent="0.3">
      <c r="A399" s="1" t="str">
        <f>IF(AND(Programme_Grunddaten!$A404="Geprüft",Programme_Grunddaten!B404&lt;&gt;""),Programme_Grunddaten!B404,"")</f>
        <v/>
      </c>
      <c r="B399" s="1" t="str">
        <f>IF(AND(Programme_Grunddaten!$A404="Geprüft",Programme_Grunddaten!C404&lt;&gt;""),Programme_Grunddaten!C404,"")</f>
        <v/>
      </c>
      <c r="C399" s="1" t="str">
        <f>IF(AND(Programme_Grunddaten!$A404="Geprüft",Programme_Grunddaten!D404&lt;&gt;""),Programme_Grunddaten!D404,"")</f>
        <v/>
      </c>
      <c r="D399" s="2" t="str">
        <f>IF(AND(Programme_Grunddaten!$A404="Geprüft",Programme_Grunddaten!E404&lt;&gt;""),Programme_Grunddaten!E404,"")</f>
        <v/>
      </c>
      <c r="E399" t="str">
        <f>IF(AND(Programme_Grunddaten!$A404="Geprüft",Programme_Grunddaten!G404&lt;&gt;""),Programme_Grunddaten!G404,"")</f>
        <v/>
      </c>
      <c r="F399" t="str">
        <f>IF(AND(Programme_Grunddaten!$A404="Geprüft",Programme_Grunddaten!F404&lt;&gt;""),Programme_Grunddaten!F404,"")</f>
        <v/>
      </c>
      <c r="G399" s="3" t="str">
        <f>IF(AND(Programme_Grunddaten!$A404="Geprüft",Programme_Grunddaten!S404&lt;&gt;""),Programme_Grunddaten!S404,"")</f>
        <v/>
      </c>
      <c r="H399" t="str">
        <f>IF(AND(Programme_Grunddaten!$A404="Geprüft",Programme_Grunddaten!AW404&lt;&gt;""),Programme_Grunddaten!AW404,"")</f>
        <v/>
      </c>
      <c r="I399" t="str">
        <f>IF(AND(Programme_Grunddaten!$A404="Geprüft",Programme_Grunddaten!AX404&lt;&gt;""),Programme_Grunddaten!AX404,"")</f>
        <v/>
      </c>
    </row>
    <row r="400" spans="1:9" x14ac:dyDescent="0.3">
      <c r="A400" s="1" t="str">
        <f>IF(AND(Programme_Grunddaten!$A405="Geprüft",Programme_Grunddaten!B405&lt;&gt;""),Programme_Grunddaten!B405,"")</f>
        <v/>
      </c>
      <c r="B400" s="1" t="str">
        <f>IF(AND(Programme_Grunddaten!$A405="Geprüft",Programme_Grunddaten!C405&lt;&gt;""),Programme_Grunddaten!C405,"")</f>
        <v/>
      </c>
      <c r="C400" s="1" t="str">
        <f>IF(AND(Programme_Grunddaten!$A405="Geprüft",Programme_Grunddaten!D405&lt;&gt;""),Programme_Grunddaten!D405,"")</f>
        <v/>
      </c>
      <c r="D400" s="2" t="str">
        <f>IF(AND(Programme_Grunddaten!$A405="Geprüft",Programme_Grunddaten!E405&lt;&gt;""),Programme_Grunddaten!E405,"")</f>
        <v/>
      </c>
      <c r="E400" t="str">
        <f>IF(AND(Programme_Grunddaten!$A405="Geprüft",Programme_Grunddaten!G405&lt;&gt;""),Programme_Grunddaten!G405,"")</f>
        <v/>
      </c>
      <c r="F400" t="str">
        <f>IF(AND(Programme_Grunddaten!$A405="Geprüft",Programme_Grunddaten!F405&lt;&gt;""),Programme_Grunddaten!F405,"")</f>
        <v/>
      </c>
      <c r="G400" s="3" t="str">
        <f>IF(AND(Programme_Grunddaten!$A405="Geprüft",Programme_Grunddaten!S405&lt;&gt;""),Programme_Grunddaten!S405,"")</f>
        <v/>
      </c>
      <c r="H400" t="str">
        <f>IF(AND(Programme_Grunddaten!$A405="Geprüft",Programme_Grunddaten!AW405&lt;&gt;""),Programme_Grunddaten!AW405,"")</f>
        <v/>
      </c>
      <c r="I400" t="str">
        <f>IF(AND(Programme_Grunddaten!$A405="Geprüft",Programme_Grunddaten!AX405&lt;&gt;""),Programme_Grunddaten!AX405,"")</f>
        <v/>
      </c>
    </row>
    <row r="401" spans="1:9" x14ac:dyDescent="0.3">
      <c r="A401" s="1" t="str">
        <f>IF(AND(Programme_Grunddaten!$A406="Geprüft",Programme_Grunddaten!B406&lt;&gt;""),Programme_Grunddaten!B406,"")</f>
        <v/>
      </c>
      <c r="B401" s="1" t="str">
        <f>IF(AND(Programme_Grunddaten!$A406="Geprüft",Programme_Grunddaten!C406&lt;&gt;""),Programme_Grunddaten!C406,"")</f>
        <v/>
      </c>
      <c r="C401" s="1" t="str">
        <f>IF(AND(Programme_Grunddaten!$A406="Geprüft",Programme_Grunddaten!D406&lt;&gt;""),Programme_Grunddaten!D406,"")</f>
        <v/>
      </c>
      <c r="D401" s="2" t="str">
        <f>IF(AND(Programme_Grunddaten!$A406="Geprüft",Programme_Grunddaten!E406&lt;&gt;""),Programme_Grunddaten!E406,"")</f>
        <v/>
      </c>
      <c r="E401" t="str">
        <f>IF(AND(Programme_Grunddaten!$A406="Geprüft",Programme_Grunddaten!G406&lt;&gt;""),Programme_Grunddaten!G406,"")</f>
        <v/>
      </c>
      <c r="F401" t="str">
        <f>IF(AND(Programme_Grunddaten!$A406="Geprüft",Programme_Grunddaten!F406&lt;&gt;""),Programme_Grunddaten!F406,"")</f>
        <v/>
      </c>
      <c r="G401" s="3" t="str">
        <f>IF(AND(Programme_Grunddaten!$A406="Geprüft",Programme_Grunddaten!S406&lt;&gt;""),Programme_Grunddaten!S406,"")</f>
        <v/>
      </c>
      <c r="H401" t="str">
        <f>IF(AND(Programme_Grunddaten!$A406="Geprüft",Programme_Grunddaten!AW406&lt;&gt;""),Programme_Grunddaten!AW406,"")</f>
        <v/>
      </c>
      <c r="I401" t="str">
        <f>IF(AND(Programme_Grunddaten!$A406="Geprüft",Programme_Grunddaten!AX406&lt;&gt;""),Programme_Grunddaten!AX406,"")</f>
        <v/>
      </c>
    </row>
    <row r="402" spans="1:9" x14ac:dyDescent="0.3">
      <c r="A402" s="1" t="str">
        <f>IF(AND(Programme_Grunddaten!$A407="Geprüft",Programme_Grunddaten!B407&lt;&gt;""),Programme_Grunddaten!B407,"")</f>
        <v/>
      </c>
      <c r="B402" s="1" t="str">
        <f>IF(AND(Programme_Grunddaten!$A407="Geprüft",Programme_Grunddaten!C407&lt;&gt;""),Programme_Grunddaten!C407,"")</f>
        <v/>
      </c>
      <c r="C402" s="1" t="str">
        <f>IF(AND(Programme_Grunddaten!$A407="Geprüft",Programme_Grunddaten!D407&lt;&gt;""),Programme_Grunddaten!D407,"")</f>
        <v/>
      </c>
      <c r="D402" s="2" t="str">
        <f>IF(AND(Programme_Grunddaten!$A407="Geprüft",Programme_Grunddaten!E407&lt;&gt;""),Programme_Grunddaten!E407,"")</f>
        <v/>
      </c>
      <c r="E402" t="str">
        <f>IF(AND(Programme_Grunddaten!$A407="Geprüft",Programme_Grunddaten!G407&lt;&gt;""),Programme_Grunddaten!G407,"")</f>
        <v/>
      </c>
      <c r="F402" t="str">
        <f>IF(AND(Programme_Grunddaten!$A407="Geprüft",Programme_Grunddaten!F407&lt;&gt;""),Programme_Grunddaten!F407,"")</f>
        <v/>
      </c>
      <c r="G402" s="3" t="str">
        <f>IF(AND(Programme_Grunddaten!$A407="Geprüft",Programme_Grunddaten!S407&lt;&gt;""),Programme_Grunddaten!S407,"")</f>
        <v/>
      </c>
      <c r="H402" t="str">
        <f>IF(AND(Programme_Grunddaten!$A407="Geprüft",Programme_Grunddaten!AW407&lt;&gt;""),Programme_Grunddaten!AW407,"")</f>
        <v/>
      </c>
      <c r="I402" t="str">
        <f>IF(AND(Programme_Grunddaten!$A407="Geprüft",Programme_Grunddaten!AX407&lt;&gt;""),Programme_Grunddaten!AX407,"")</f>
        <v/>
      </c>
    </row>
    <row r="403" spans="1:9" x14ac:dyDescent="0.3">
      <c r="A403" s="1" t="str">
        <f>IF(AND(Programme_Grunddaten!$A408="Geprüft",Programme_Grunddaten!B408&lt;&gt;""),Programme_Grunddaten!B408,"")</f>
        <v/>
      </c>
      <c r="B403" s="1" t="str">
        <f>IF(AND(Programme_Grunddaten!$A408="Geprüft",Programme_Grunddaten!C408&lt;&gt;""),Programme_Grunddaten!C408,"")</f>
        <v/>
      </c>
      <c r="C403" s="1" t="str">
        <f>IF(AND(Programme_Grunddaten!$A408="Geprüft",Programme_Grunddaten!D408&lt;&gt;""),Programme_Grunddaten!D408,"")</f>
        <v/>
      </c>
      <c r="D403" s="2" t="str">
        <f>IF(AND(Programme_Grunddaten!$A408="Geprüft",Programme_Grunddaten!E408&lt;&gt;""),Programme_Grunddaten!E408,"")</f>
        <v/>
      </c>
      <c r="E403" t="str">
        <f>IF(AND(Programme_Grunddaten!$A408="Geprüft",Programme_Grunddaten!G408&lt;&gt;""),Programme_Grunddaten!G408,"")</f>
        <v/>
      </c>
      <c r="F403" t="str">
        <f>IF(AND(Programme_Grunddaten!$A408="Geprüft",Programme_Grunddaten!F408&lt;&gt;""),Programme_Grunddaten!F408,"")</f>
        <v/>
      </c>
      <c r="G403" s="3" t="str">
        <f>IF(AND(Programme_Grunddaten!$A408="Geprüft",Programme_Grunddaten!S408&lt;&gt;""),Programme_Grunddaten!S408,"")</f>
        <v/>
      </c>
      <c r="H403" t="str">
        <f>IF(AND(Programme_Grunddaten!$A408="Geprüft",Programme_Grunddaten!AW408&lt;&gt;""),Programme_Grunddaten!AW408,"")</f>
        <v/>
      </c>
      <c r="I403" t="str">
        <f>IF(AND(Programme_Grunddaten!$A408="Geprüft",Programme_Grunddaten!AX408&lt;&gt;""),Programme_Grunddaten!AX408,"")</f>
        <v/>
      </c>
    </row>
    <row r="404" spans="1:9" x14ac:dyDescent="0.3">
      <c r="A404" s="1" t="str">
        <f>IF(AND(Programme_Grunddaten!$A409="Geprüft",Programme_Grunddaten!B409&lt;&gt;""),Programme_Grunddaten!B409,"")</f>
        <v/>
      </c>
      <c r="B404" s="1" t="str">
        <f>IF(AND(Programme_Grunddaten!$A409="Geprüft",Programme_Grunddaten!C409&lt;&gt;""),Programme_Grunddaten!C409,"")</f>
        <v/>
      </c>
      <c r="C404" s="1" t="str">
        <f>IF(AND(Programme_Grunddaten!$A409="Geprüft",Programme_Grunddaten!D409&lt;&gt;""),Programme_Grunddaten!D409,"")</f>
        <v/>
      </c>
      <c r="D404" s="2" t="str">
        <f>IF(AND(Programme_Grunddaten!$A409="Geprüft",Programme_Grunddaten!E409&lt;&gt;""),Programme_Grunddaten!E409,"")</f>
        <v/>
      </c>
      <c r="E404" t="str">
        <f>IF(AND(Programme_Grunddaten!$A409="Geprüft",Programme_Grunddaten!G409&lt;&gt;""),Programme_Grunddaten!G409,"")</f>
        <v/>
      </c>
      <c r="F404" t="str">
        <f>IF(AND(Programme_Grunddaten!$A409="Geprüft",Programme_Grunddaten!F409&lt;&gt;""),Programme_Grunddaten!F409,"")</f>
        <v/>
      </c>
      <c r="G404" s="3" t="str">
        <f>IF(AND(Programme_Grunddaten!$A409="Geprüft",Programme_Grunddaten!S409&lt;&gt;""),Programme_Grunddaten!S409,"")</f>
        <v/>
      </c>
      <c r="H404" t="str">
        <f>IF(AND(Programme_Grunddaten!$A409="Geprüft",Programme_Grunddaten!AW409&lt;&gt;""),Programme_Grunddaten!AW409,"")</f>
        <v/>
      </c>
      <c r="I404" t="str">
        <f>IF(AND(Programme_Grunddaten!$A409="Geprüft",Programme_Grunddaten!AX409&lt;&gt;""),Programme_Grunddaten!AX409,"")</f>
        <v/>
      </c>
    </row>
    <row r="405" spans="1:9" x14ac:dyDescent="0.3">
      <c r="A405" s="1" t="str">
        <f>IF(AND(Programme_Grunddaten!$A410="Geprüft",Programme_Grunddaten!B410&lt;&gt;""),Programme_Grunddaten!B410,"")</f>
        <v/>
      </c>
      <c r="B405" s="1" t="str">
        <f>IF(AND(Programme_Grunddaten!$A410="Geprüft",Programme_Grunddaten!C410&lt;&gt;""),Programme_Grunddaten!C410,"")</f>
        <v/>
      </c>
      <c r="C405" s="1" t="str">
        <f>IF(AND(Programme_Grunddaten!$A410="Geprüft",Programme_Grunddaten!D410&lt;&gt;""),Programme_Grunddaten!D410,"")</f>
        <v/>
      </c>
      <c r="D405" s="2" t="str">
        <f>IF(AND(Programme_Grunddaten!$A410="Geprüft",Programme_Grunddaten!E410&lt;&gt;""),Programme_Grunddaten!E410,"")</f>
        <v/>
      </c>
      <c r="E405" t="str">
        <f>IF(AND(Programme_Grunddaten!$A410="Geprüft",Programme_Grunddaten!G410&lt;&gt;""),Programme_Grunddaten!G410,"")</f>
        <v/>
      </c>
      <c r="F405" t="str">
        <f>IF(AND(Programme_Grunddaten!$A410="Geprüft",Programme_Grunddaten!F410&lt;&gt;""),Programme_Grunddaten!F410,"")</f>
        <v/>
      </c>
      <c r="G405" s="3" t="str">
        <f>IF(AND(Programme_Grunddaten!$A410="Geprüft",Programme_Grunddaten!S410&lt;&gt;""),Programme_Grunddaten!S410,"")</f>
        <v/>
      </c>
      <c r="H405" t="str">
        <f>IF(AND(Programme_Grunddaten!$A410="Geprüft",Programme_Grunddaten!AW410&lt;&gt;""),Programme_Grunddaten!AW410,"")</f>
        <v/>
      </c>
      <c r="I405" t="str">
        <f>IF(AND(Programme_Grunddaten!$A410="Geprüft",Programme_Grunddaten!AX410&lt;&gt;""),Programme_Grunddaten!AX410,"")</f>
        <v/>
      </c>
    </row>
    <row r="406" spans="1:9" x14ac:dyDescent="0.3">
      <c r="A406" s="1" t="str">
        <f>IF(AND(Programme_Grunddaten!$A411="Geprüft",Programme_Grunddaten!B411&lt;&gt;""),Programme_Grunddaten!B411,"")</f>
        <v/>
      </c>
      <c r="B406" s="1" t="str">
        <f>IF(AND(Programme_Grunddaten!$A411="Geprüft",Programme_Grunddaten!C411&lt;&gt;""),Programme_Grunddaten!C411,"")</f>
        <v/>
      </c>
      <c r="C406" s="1" t="str">
        <f>IF(AND(Programme_Grunddaten!$A411="Geprüft",Programme_Grunddaten!D411&lt;&gt;""),Programme_Grunddaten!D411,"")</f>
        <v/>
      </c>
      <c r="D406" s="2" t="str">
        <f>IF(AND(Programme_Grunddaten!$A411="Geprüft",Programme_Grunddaten!E411&lt;&gt;""),Programme_Grunddaten!E411,"")</f>
        <v/>
      </c>
      <c r="E406" t="str">
        <f>IF(AND(Programme_Grunddaten!$A411="Geprüft",Programme_Grunddaten!G411&lt;&gt;""),Programme_Grunddaten!G411,"")</f>
        <v/>
      </c>
      <c r="F406" t="str">
        <f>IF(AND(Programme_Grunddaten!$A411="Geprüft",Programme_Grunddaten!F411&lt;&gt;""),Programme_Grunddaten!F411,"")</f>
        <v/>
      </c>
      <c r="G406" s="3" t="str">
        <f>IF(AND(Programme_Grunddaten!$A411="Geprüft",Programme_Grunddaten!S411&lt;&gt;""),Programme_Grunddaten!S411,"")</f>
        <v/>
      </c>
      <c r="H406" t="str">
        <f>IF(AND(Programme_Grunddaten!$A411="Geprüft",Programme_Grunddaten!AW411&lt;&gt;""),Programme_Grunddaten!AW411,"")</f>
        <v/>
      </c>
      <c r="I406" t="str">
        <f>IF(AND(Programme_Grunddaten!$A411="Geprüft",Programme_Grunddaten!AX411&lt;&gt;""),Programme_Grunddaten!AX411,"")</f>
        <v/>
      </c>
    </row>
    <row r="407" spans="1:9" x14ac:dyDescent="0.3">
      <c r="A407" s="1" t="str">
        <f>IF(AND(Programme_Grunddaten!$A412="Geprüft",Programme_Grunddaten!B412&lt;&gt;""),Programme_Grunddaten!B412,"")</f>
        <v/>
      </c>
      <c r="B407" s="1" t="str">
        <f>IF(AND(Programme_Grunddaten!$A412="Geprüft",Programme_Grunddaten!C412&lt;&gt;""),Programme_Grunddaten!C412,"")</f>
        <v/>
      </c>
      <c r="C407" s="1" t="str">
        <f>IF(AND(Programme_Grunddaten!$A412="Geprüft",Programme_Grunddaten!D412&lt;&gt;""),Programme_Grunddaten!D412,"")</f>
        <v/>
      </c>
      <c r="D407" s="2" t="str">
        <f>IF(AND(Programme_Grunddaten!$A412="Geprüft",Programme_Grunddaten!E412&lt;&gt;""),Programme_Grunddaten!E412,"")</f>
        <v/>
      </c>
      <c r="E407" t="str">
        <f>IF(AND(Programme_Grunddaten!$A412="Geprüft",Programme_Grunddaten!G412&lt;&gt;""),Programme_Grunddaten!G412,"")</f>
        <v/>
      </c>
      <c r="F407" t="str">
        <f>IF(AND(Programme_Grunddaten!$A412="Geprüft",Programme_Grunddaten!F412&lt;&gt;""),Programme_Grunddaten!F412,"")</f>
        <v/>
      </c>
      <c r="G407" s="3" t="str">
        <f>IF(AND(Programme_Grunddaten!$A412="Geprüft",Programme_Grunddaten!S412&lt;&gt;""),Programme_Grunddaten!S412,"")</f>
        <v/>
      </c>
      <c r="H407" t="str">
        <f>IF(AND(Programme_Grunddaten!$A412="Geprüft",Programme_Grunddaten!AW412&lt;&gt;""),Programme_Grunddaten!AW412,"")</f>
        <v/>
      </c>
      <c r="I407" t="str">
        <f>IF(AND(Programme_Grunddaten!$A412="Geprüft",Programme_Grunddaten!AX412&lt;&gt;""),Programme_Grunddaten!AX412,"")</f>
        <v/>
      </c>
    </row>
    <row r="408" spans="1:9" x14ac:dyDescent="0.3">
      <c r="A408" s="1" t="str">
        <f>IF(AND(Programme_Grunddaten!$A413="Geprüft",Programme_Grunddaten!B413&lt;&gt;""),Programme_Grunddaten!B413,"")</f>
        <v/>
      </c>
      <c r="B408" s="1" t="str">
        <f>IF(AND(Programme_Grunddaten!$A413="Geprüft",Programme_Grunddaten!C413&lt;&gt;""),Programme_Grunddaten!C413,"")</f>
        <v/>
      </c>
      <c r="C408" s="1" t="str">
        <f>IF(AND(Programme_Grunddaten!$A413="Geprüft",Programme_Grunddaten!D413&lt;&gt;""),Programme_Grunddaten!D413,"")</f>
        <v/>
      </c>
      <c r="D408" s="2" t="str">
        <f>IF(AND(Programme_Grunddaten!$A413="Geprüft",Programme_Grunddaten!E413&lt;&gt;""),Programme_Grunddaten!E413,"")</f>
        <v/>
      </c>
      <c r="E408" t="str">
        <f>IF(AND(Programme_Grunddaten!$A413="Geprüft",Programme_Grunddaten!G413&lt;&gt;""),Programme_Grunddaten!G413,"")</f>
        <v/>
      </c>
      <c r="F408" t="str">
        <f>IF(AND(Programme_Grunddaten!$A413="Geprüft",Programme_Grunddaten!F413&lt;&gt;""),Programme_Grunddaten!F413,"")</f>
        <v/>
      </c>
      <c r="G408" s="3" t="str">
        <f>IF(AND(Programme_Grunddaten!$A413="Geprüft",Programme_Grunddaten!S413&lt;&gt;""),Programme_Grunddaten!S413,"")</f>
        <v/>
      </c>
      <c r="H408" t="str">
        <f>IF(AND(Programme_Grunddaten!$A413="Geprüft",Programme_Grunddaten!AW413&lt;&gt;""),Programme_Grunddaten!AW413,"")</f>
        <v/>
      </c>
      <c r="I408" t="str">
        <f>IF(AND(Programme_Grunddaten!$A413="Geprüft",Programme_Grunddaten!AX413&lt;&gt;""),Programme_Grunddaten!AX413,"")</f>
        <v/>
      </c>
    </row>
    <row r="409" spans="1:9" x14ac:dyDescent="0.3">
      <c r="A409" s="1" t="str">
        <f>IF(AND(Programme_Grunddaten!$A414="Geprüft",Programme_Grunddaten!B414&lt;&gt;""),Programme_Grunddaten!B414,"")</f>
        <v/>
      </c>
      <c r="B409" s="1" t="str">
        <f>IF(AND(Programme_Grunddaten!$A414="Geprüft",Programme_Grunddaten!C414&lt;&gt;""),Programme_Grunddaten!C414,"")</f>
        <v/>
      </c>
      <c r="C409" s="1" t="str">
        <f>IF(AND(Programme_Grunddaten!$A414="Geprüft",Programme_Grunddaten!D414&lt;&gt;""),Programme_Grunddaten!D414,"")</f>
        <v/>
      </c>
      <c r="D409" s="2" t="str">
        <f>IF(AND(Programme_Grunddaten!$A414="Geprüft",Programme_Grunddaten!E414&lt;&gt;""),Programme_Grunddaten!E414,"")</f>
        <v/>
      </c>
      <c r="E409" t="str">
        <f>IF(AND(Programme_Grunddaten!$A414="Geprüft",Programme_Grunddaten!G414&lt;&gt;""),Programme_Grunddaten!G414,"")</f>
        <v/>
      </c>
      <c r="F409" t="str">
        <f>IF(AND(Programme_Grunddaten!$A414="Geprüft",Programme_Grunddaten!F414&lt;&gt;""),Programme_Grunddaten!F414,"")</f>
        <v/>
      </c>
      <c r="G409" s="3" t="str">
        <f>IF(AND(Programme_Grunddaten!$A414="Geprüft",Programme_Grunddaten!S414&lt;&gt;""),Programme_Grunddaten!S414,"")</f>
        <v/>
      </c>
      <c r="H409" t="str">
        <f>IF(AND(Programme_Grunddaten!$A414="Geprüft",Programme_Grunddaten!AW414&lt;&gt;""),Programme_Grunddaten!AW414,"")</f>
        <v/>
      </c>
      <c r="I409" t="str">
        <f>IF(AND(Programme_Grunddaten!$A414="Geprüft",Programme_Grunddaten!AX414&lt;&gt;""),Programme_Grunddaten!AX414,"")</f>
        <v/>
      </c>
    </row>
    <row r="410" spans="1:9" x14ac:dyDescent="0.3">
      <c r="A410" s="1" t="str">
        <f>IF(AND(Programme_Grunddaten!$A415="Geprüft",Programme_Grunddaten!B415&lt;&gt;""),Programme_Grunddaten!B415,"")</f>
        <v/>
      </c>
      <c r="B410" s="1" t="str">
        <f>IF(AND(Programme_Grunddaten!$A415="Geprüft",Programme_Grunddaten!C415&lt;&gt;""),Programme_Grunddaten!C415,"")</f>
        <v/>
      </c>
      <c r="C410" s="1" t="str">
        <f>IF(AND(Programme_Grunddaten!$A415="Geprüft",Programme_Grunddaten!D415&lt;&gt;""),Programme_Grunddaten!D415,"")</f>
        <v/>
      </c>
      <c r="D410" s="2" t="str">
        <f>IF(AND(Programme_Grunddaten!$A415="Geprüft",Programme_Grunddaten!E415&lt;&gt;""),Programme_Grunddaten!E415,"")</f>
        <v/>
      </c>
      <c r="E410" t="str">
        <f>IF(AND(Programme_Grunddaten!$A415="Geprüft",Programme_Grunddaten!G415&lt;&gt;""),Programme_Grunddaten!G415,"")</f>
        <v/>
      </c>
      <c r="F410" t="str">
        <f>IF(AND(Programme_Grunddaten!$A415="Geprüft",Programme_Grunddaten!F415&lt;&gt;""),Programme_Grunddaten!F415,"")</f>
        <v/>
      </c>
      <c r="G410" s="3" t="str">
        <f>IF(AND(Programme_Grunddaten!$A415="Geprüft",Programme_Grunddaten!S415&lt;&gt;""),Programme_Grunddaten!S415,"")</f>
        <v/>
      </c>
      <c r="H410" t="str">
        <f>IF(AND(Programme_Grunddaten!$A415="Geprüft",Programme_Grunddaten!AW415&lt;&gt;""),Programme_Grunddaten!AW415,"")</f>
        <v/>
      </c>
      <c r="I410" t="str">
        <f>IF(AND(Programme_Grunddaten!$A415="Geprüft",Programme_Grunddaten!AX415&lt;&gt;""),Programme_Grunddaten!AX415,"")</f>
        <v/>
      </c>
    </row>
    <row r="411" spans="1:9" x14ac:dyDescent="0.3">
      <c r="A411" s="1" t="str">
        <f>IF(AND(Programme_Grunddaten!$A416="Geprüft",Programme_Grunddaten!B416&lt;&gt;""),Programme_Grunddaten!B416,"")</f>
        <v/>
      </c>
      <c r="B411" s="1" t="str">
        <f>IF(AND(Programme_Grunddaten!$A416="Geprüft",Programme_Grunddaten!C416&lt;&gt;""),Programme_Grunddaten!C416,"")</f>
        <v/>
      </c>
      <c r="C411" s="1" t="str">
        <f>IF(AND(Programme_Grunddaten!$A416="Geprüft",Programme_Grunddaten!D416&lt;&gt;""),Programme_Grunddaten!D416,"")</f>
        <v/>
      </c>
      <c r="D411" s="2" t="str">
        <f>IF(AND(Programme_Grunddaten!$A416="Geprüft",Programme_Grunddaten!E416&lt;&gt;""),Programme_Grunddaten!E416,"")</f>
        <v/>
      </c>
      <c r="E411" t="str">
        <f>IF(AND(Programme_Grunddaten!$A416="Geprüft",Programme_Grunddaten!G416&lt;&gt;""),Programme_Grunddaten!G416,"")</f>
        <v/>
      </c>
      <c r="F411" t="str">
        <f>IF(AND(Programme_Grunddaten!$A416="Geprüft",Programme_Grunddaten!F416&lt;&gt;""),Programme_Grunddaten!F416,"")</f>
        <v/>
      </c>
      <c r="G411" s="3" t="str">
        <f>IF(AND(Programme_Grunddaten!$A416="Geprüft",Programme_Grunddaten!S416&lt;&gt;""),Programme_Grunddaten!S416,"")</f>
        <v/>
      </c>
      <c r="H411" t="str">
        <f>IF(AND(Programme_Grunddaten!$A416="Geprüft",Programme_Grunddaten!AW416&lt;&gt;""),Programme_Grunddaten!AW416,"")</f>
        <v/>
      </c>
      <c r="I411" t="str">
        <f>IF(AND(Programme_Grunddaten!$A416="Geprüft",Programme_Grunddaten!AX416&lt;&gt;""),Programme_Grunddaten!AX416,"")</f>
        <v/>
      </c>
    </row>
    <row r="412" spans="1:9" x14ac:dyDescent="0.3">
      <c r="A412" s="1" t="str">
        <f>IF(AND(Programme_Grunddaten!$A417="Geprüft",Programme_Grunddaten!B417&lt;&gt;""),Programme_Grunddaten!B417,"")</f>
        <v/>
      </c>
      <c r="B412" s="1" t="str">
        <f>IF(AND(Programme_Grunddaten!$A417="Geprüft",Programme_Grunddaten!C417&lt;&gt;""),Programme_Grunddaten!C417,"")</f>
        <v/>
      </c>
      <c r="C412" s="1" t="str">
        <f>IF(AND(Programme_Grunddaten!$A417="Geprüft",Programme_Grunddaten!D417&lt;&gt;""),Programme_Grunddaten!D417,"")</f>
        <v/>
      </c>
      <c r="D412" s="2" t="str">
        <f>IF(AND(Programme_Grunddaten!$A417="Geprüft",Programme_Grunddaten!E417&lt;&gt;""),Programme_Grunddaten!E417,"")</f>
        <v/>
      </c>
      <c r="E412" t="str">
        <f>IF(AND(Programme_Grunddaten!$A417="Geprüft",Programme_Grunddaten!G417&lt;&gt;""),Programme_Grunddaten!G417,"")</f>
        <v/>
      </c>
      <c r="F412" t="str">
        <f>IF(AND(Programme_Grunddaten!$A417="Geprüft",Programme_Grunddaten!F417&lt;&gt;""),Programme_Grunddaten!F417,"")</f>
        <v/>
      </c>
      <c r="G412" s="3" t="str">
        <f>IF(AND(Programme_Grunddaten!$A417="Geprüft",Programme_Grunddaten!S417&lt;&gt;""),Programme_Grunddaten!S417,"")</f>
        <v/>
      </c>
      <c r="H412" t="str">
        <f>IF(AND(Programme_Grunddaten!$A417="Geprüft",Programme_Grunddaten!AW417&lt;&gt;""),Programme_Grunddaten!AW417,"")</f>
        <v/>
      </c>
      <c r="I412" t="str">
        <f>IF(AND(Programme_Grunddaten!$A417="Geprüft",Programme_Grunddaten!AX417&lt;&gt;""),Programme_Grunddaten!AX417,"")</f>
        <v/>
      </c>
    </row>
    <row r="413" spans="1:9" x14ac:dyDescent="0.3">
      <c r="A413" s="1" t="str">
        <f>IF(AND(Programme_Grunddaten!$A418="Geprüft",Programme_Grunddaten!B418&lt;&gt;""),Programme_Grunddaten!B418,"")</f>
        <v/>
      </c>
      <c r="B413" s="1" t="str">
        <f>IF(AND(Programme_Grunddaten!$A418="Geprüft",Programme_Grunddaten!C418&lt;&gt;""),Programme_Grunddaten!C418,"")</f>
        <v/>
      </c>
      <c r="C413" s="1" t="str">
        <f>IF(AND(Programme_Grunddaten!$A418="Geprüft",Programme_Grunddaten!D418&lt;&gt;""),Programme_Grunddaten!D418,"")</f>
        <v/>
      </c>
      <c r="D413" s="2" t="str">
        <f>IF(AND(Programme_Grunddaten!$A418="Geprüft",Programme_Grunddaten!E418&lt;&gt;""),Programme_Grunddaten!E418,"")</f>
        <v/>
      </c>
      <c r="E413" t="str">
        <f>IF(AND(Programme_Grunddaten!$A418="Geprüft",Programme_Grunddaten!G418&lt;&gt;""),Programme_Grunddaten!G418,"")</f>
        <v/>
      </c>
      <c r="F413" t="str">
        <f>IF(AND(Programme_Grunddaten!$A418="Geprüft",Programme_Grunddaten!F418&lt;&gt;""),Programme_Grunddaten!F418,"")</f>
        <v/>
      </c>
      <c r="G413" s="3" t="str">
        <f>IF(AND(Programme_Grunddaten!$A418="Geprüft",Programme_Grunddaten!S418&lt;&gt;""),Programme_Grunddaten!S418,"")</f>
        <v/>
      </c>
      <c r="H413" t="str">
        <f>IF(AND(Programme_Grunddaten!$A418="Geprüft",Programme_Grunddaten!AW418&lt;&gt;""),Programme_Grunddaten!AW418,"")</f>
        <v/>
      </c>
      <c r="I413" t="str">
        <f>IF(AND(Programme_Grunddaten!$A418="Geprüft",Programme_Grunddaten!AX418&lt;&gt;""),Programme_Grunddaten!AX418,"")</f>
        <v/>
      </c>
    </row>
    <row r="414" spans="1:9" x14ac:dyDescent="0.3">
      <c r="A414" s="1" t="str">
        <f>IF(AND(Programme_Grunddaten!$A419="Geprüft",Programme_Grunddaten!B419&lt;&gt;""),Programme_Grunddaten!B419,"")</f>
        <v/>
      </c>
      <c r="B414" s="1" t="str">
        <f>IF(AND(Programme_Grunddaten!$A419="Geprüft",Programme_Grunddaten!C419&lt;&gt;""),Programme_Grunddaten!C419,"")</f>
        <v/>
      </c>
      <c r="C414" s="1" t="str">
        <f>IF(AND(Programme_Grunddaten!$A419="Geprüft",Programme_Grunddaten!D419&lt;&gt;""),Programme_Grunddaten!D419,"")</f>
        <v/>
      </c>
      <c r="D414" s="2" t="str">
        <f>IF(AND(Programme_Grunddaten!$A419="Geprüft",Programme_Grunddaten!E419&lt;&gt;""),Programme_Grunddaten!E419,"")</f>
        <v/>
      </c>
      <c r="E414" t="str">
        <f>IF(AND(Programme_Grunddaten!$A419="Geprüft",Programme_Grunddaten!G419&lt;&gt;""),Programme_Grunddaten!G419,"")</f>
        <v/>
      </c>
      <c r="F414" t="str">
        <f>IF(AND(Programme_Grunddaten!$A419="Geprüft",Programme_Grunddaten!F419&lt;&gt;""),Programme_Grunddaten!F419,"")</f>
        <v/>
      </c>
      <c r="G414" s="3" t="str">
        <f>IF(AND(Programme_Grunddaten!$A419="Geprüft",Programme_Grunddaten!S419&lt;&gt;""),Programme_Grunddaten!S419,"")</f>
        <v/>
      </c>
      <c r="H414" t="str">
        <f>IF(AND(Programme_Grunddaten!$A419="Geprüft",Programme_Grunddaten!AW419&lt;&gt;""),Programme_Grunddaten!AW419,"")</f>
        <v/>
      </c>
      <c r="I414" t="str">
        <f>IF(AND(Programme_Grunddaten!$A419="Geprüft",Programme_Grunddaten!AX419&lt;&gt;""),Programme_Grunddaten!AX419,"")</f>
        <v/>
      </c>
    </row>
    <row r="415" spans="1:9" x14ac:dyDescent="0.3">
      <c r="A415" s="1" t="str">
        <f>IF(AND(Programme_Grunddaten!$A420="Geprüft",Programme_Grunddaten!B420&lt;&gt;""),Programme_Grunddaten!B420,"")</f>
        <v/>
      </c>
      <c r="B415" s="1" t="str">
        <f>IF(AND(Programme_Grunddaten!$A420="Geprüft",Programme_Grunddaten!C420&lt;&gt;""),Programme_Grunddaten!C420,"")</f>
        <v/>
      </c>
      <c r="C415" s="1" t="str">
        <f>IF(AND(Programme_Grunddaten!$A420="Geprüft",Programme_Grunddaten!D420&lt;&gt;""),Programme_Grunddaten!D420,"")</f>
        <v/>
      </c>
      <c r="D415" s="2" t="str">
        <f>IF(AND(Programme_Grunddaten!$A420="Geprüft",Programme_Grunddaten!E420&lt;&gt;""),Programme_Grunddaten!E420,"")</f>
        <v/>
      </c>
      <c r="E415" t="str">
        <f>IF(AND(Programme_Grunddaten!$A420="Geprüft",Programme_Grunddaten!G420&lt;&gt;""),Programme_Grunddaten!G420,"")</f>
        <v/>
      </c>
      <c r="F415" t="str">
        <f>IF(AND(Programme_Grunddaten!$A420="Geprüft",Programme_Grunddaten!F420&lt;&gt;""),Programme_Grunddaten!F420,"")</f>
        <v/>
      </c>
      <c r="G415" s="3" t="str">
        <f>IF(AND(Programme_Grunddaten!$A420="Geprüft",Programme_Grunddaten!S420&lt;&gt;""),Programme_Grunddaten!S420,"")</f>
        <v/>
      </c>
      <c r="H415" t="str">
        <f>IF(AND(Programme_Grunddaten!$A420="Geprüft",Programme_Grunddaten!AW420&lt;&gt;""),Programme_Grunddaten!AW420,"")</f>
        <v/>
      </c>
      <c r="I415" t="str">
        <f>IF(AND(Programme_Grunddaten!$A420="Geprüft",Programme_Grunddaten!AX420&lt;&gt;""),Programme_Grunddaten!AX420,"")</f>
        <v/>
      </c>
    </row>
    <row r="416" spans="1:9" x14ac:dyDescent="0.3">
      <c r="A416" s="1" t="str">
        <f>IF(AND(Programme_Grunddaten!$A421="Geprüft",Programme_Grunddaten!B421&lt;&gt;""),Programme_Grunddaten!B421,"")</f>
        <v/>
      </c>
      <c r="B416" s="1" t="str">
        <f>IF(AND(Programme_Grunddaten!$A421="Geprüft",Programme_Grunddaten!C421&lt;&gt;""),Programme_Grunddaten!C421,"")</f>
        <v/>
      </c>
      <c r="C416" s="1" t="str">
        <f>IF(AND(Programme_Grunddaten!$A421="Geprüft",Programme_Grunddaten!D421&lt;&gt;""),Programme_Grunddaten!D421,"")</f>
        <v/>
      </c>
      <c r="D416" s="2" t="str">
        <f>IF(AND(Programme_Grunddaten!$A421="Geprüft",Programme_Grunddaten!E421&lt;&gt;""),Programme_Grunddaten!E421,"")</f>
        <v/>
      </c>
      <c r="E416" t="str">
        <f>IF(AND(Programme_Grunddaten!$A421="Geprüft",Programme_Grunddaten!G421&lt;&gt;""),Programme_Grunddaten!G421,"")</f>
        <v/>
      </c>
      <c r="F416" t="str">
        <f>IF(AND(Programme_Grunddaten!$A421="Geprüft",Programme_Grunddaten!F421&lt;&gt;""),Programme_Grunddaten!F421,"")</f>
        <v/>
      </c>
      <c r="G416" s="3" t="str">
        <f>IF(AND(Programme_Grunddaten!$A421="Geprüft",Programme_Grunddaten!S421&lt;&gt;""),Programme_Grunddaten!S421,"")</f>
        <v/>
      </c>
      <c r="H416" t="str">
        <f>IF(AND(Programme_Grunddaten!$A421="Geprüft",Programme_Grunddaten!AW421&lt;&gt;""),Programme_Grunddaten!AW421,"")</f>
        <v/>
      </c>
      <c r="I416" t="str">
        <f>IF(AND(Programme_Grunddaten!$A421="Geprüft",Programme_Grunddaten!AX421&lt;&gt;""),Programme_Grunddaten!AX421,"")</f>
        <v/>
      </c>
    </row>
    <row r="417" spans="1:9" x14ac:dyDescent="0.3">
      <c r="A417" s="1" t="str">
        <f>IF(AND(Programme_Grunddaten!$A422="Geprüft",Programme_Grunddaten!B422&lt;&gt;""),Programme_Grunddaten!B422,"")</f>
        <v/>
      </c>
      <c r="B417" s="1" t="str">
        <f>IF(AND(Programme_Grunddaten!$A422="Geprüft",Programme_Grunddaten!C422&lt;&gt;""),Programme_Grunddaten!C422,"")</f>
        <v/>
      </c>
      <c r="C417" s="1" t="str">
        <f>IF(AND(Programme_Grunddaten!$A422="Geprüft",Programme_Grunddaten!D422&lt;&gt;""),Programme_Grunddaten!D422,"")</f>
        <v/>
      </c>
      <c r="D417" s="2" t="str">
        <f>IF(AND(Programme_Grunddaten!$A422="Geprüft",Programme_Grunddaten!E422&lt;&gt;""),Programme_Grunddaten!E422,"")</f>
        <v/>
      </c>
      <c r="E417" t="str">
        <f>IF(AND(Programme_Grunddaten!$A422="Geprüft",Programme_Grunddaten!G422&lt;&gt;""),Programme_Grunddaten!G422,"")</f>
        <v/>
      </c>
      <c r="F417" t="str">
        <f>IF(AND(Programme_Grunddaten!$A422="Geprüft",Programme_Grunddaten!F422&lt;&gt;""),Programme_Grunddaten!F422,"")</f>
        <v/>
      </c>
      <c r="G417" s="3" t="str">
        <f>IF(AND(Programme_Grunddaten!$A422="Geprüft",Programme_Grunddaten!S422&lt;&gt;""),Programme_Grunddaten!S422,"")</f>
        <v/>
      </c>
      <c r="H417" t="str">
        <f>IF(AND(Programme_Grunddaten!$A422="Geprüft",Programme_Grunddaten!AW422&lt;&gt;""),Programme_Grunddaten!AW422,"")</f>
        <v/>
      </c>
      <c r="I417" t="str">
        <f>IF(AND(Programme_Grunddaten!$A422="Geprüft",Programme_Grunddaten!AX422&lt;&gt;""),Programme_Grunddaten!AX422,"")</f>
        <v/>
      </c>
    </row>
    <row r="418" spans="1:9" x14ac:dyDescent="0.3">
      <c r="A418" s="1" t="str">
        <f>IF(AND(Programme_Grunddaten!$A423="Geprüft",Programme_Grunddaten!B423&lt;&gt;""),Programme_Grunddaten!B423,"")</f>
        <v/>
      </c>
      <c r="B418" s="1" t="str">
        <f>IF(AND(Programme_Grunddaten!$A423="Geprüft",Programme_Grunddaten!C423&lt;&gt;""),Programme_Grunddaten!C423,"")</f>
        <v/>
      </c>
      <c r="C418" s="1" t="str">
        <f>IF(AND(Programme_Grunddaten!$A423="Geprüft",Programme_Grunddaten!D423&lt;&gt;""),Programme_Grunddaten!D423,"")</f>
        <v/>
      </c>
      <c r="D418" s="2" t="str">
        <f>IF(AND(Programme_Grunddaten!$A423="Geprüft",Programme_Grunddaten!E423&lt;&gt;""),Programme_Grunddaten!E423,"")</f>
        <v/>
      </c>
      <c r="E418" t="str">
        <f>IF(AND(Programme_Grunddaten!$A423="Geprüft",Programme_Grunddaten!G423&lt;&gt;""),Programme_Grunddaten!G423,"")</f>
        <v/>
      </c>
      <c r="F418" t="str">
        <f>IF(AND(Programme_Grunddaten!$A423="Geprüft",Programme_Grunddaten!F423&lt;&gt;""),Programme_Grunddaten!F423,"")</f>
        <v/>
      </c>
      <c r="G418" s="3" t="str">
        <f>IF(AND(Programme_Grunddaten!$A423="Geprüft",Programme_Grunddaten!S423&lt;&gt;""),Programme_Grunddaten!S423,"")</f>
        <v/>
      </c>
      <c r="H418" t="str">
        <f>IF(AND(Programme_Grunddaten!$A423="Geprüft",Programme_Grunddaten!AW423&lt;&gt;""),Programme_Grunddaten!AW423,"")</f>
        <v/>
      </c>
      <c r="I418" t="str">
        <f>IF(AND(Programme_Grunddaten!$A423="Geprüft",Programme_Grunddaten!AX423&lt;&gt;""),Programme_Grunddaten!AX423,"")</f>
        <v/>
      </c>
    </row>
    <row r="419" spans="1:9" x14ac:dyDescent="0.3">
      <c r="A419" s="1" t="str">
        <f>IF(AND(Programme_Grunddaten!$A424="Geprüft",Programme_Grunddaten!B424&lt;&gt;""),Programme_Grunddaten!B424,"")</f>
        <v/>
      </c>
      <c r="B419" s="1" t="str">
        <f>IF(AND(Programme_Grunddaten!$A424="Geprüft",Programme_Grunddaten!C424&lt;&gt;""),Programme_Grunddaten!C424,"")</f>
        <v/>
      </c>
      <c r="C419" s="1" t="str">
        <f>IF(AND(Programme_Grunddaten!$A424="Geprüft",Programme_Grunddaten!D424&lt;&gt;""),Programme_Grunddaten!D424,"")</f>
        <v/>
      </c>
      <c r="D419" s="2" t="str">
        <f>IF(AND(Programme_Grunddaten!$A424="Geprüft",Programme_Grunddaten!E424&lt;&gt;""),Programme_Grunddaten!E424,"")</f>
        <v/>
      </c>
      <c r="E419" t="str">
        <f>IF(AND(Programme_Grunddaten!$A424="Geprüft",Programme_Grunddaten!G424&lt;&gt;""),Programme_Grunddaten!G424,"")</f>
        <v/>
      </c>
      <c r="F419" t="str">
        <f>IF(AND(Programme_Grunddaten!$A424="Geprüft",Programme_Grunddaten!F424&lt;&gt;""),Programme_Grunddaten!F424,"")</f>
        <v/>
      </c>
      <c r="G419" s="3" t="str">
        <f>IF(AND(Programme_Grunddaten!$A424="Geprüft",Programme_Grunddaten!S424&lt;&gt;""),Programme_Grunddaten!S424,"")</f>
        <v/>
      </c>
      <c r="H419" t="str">
        <f>IF(AND(Programme_Grunddaten!$A424="Geprüft",Programme_Grunddaten!AW424&lt;&gt;""),Programme_Grunddaten!AW424,"")</f>
        <v/>
      </c>
      <c r="I419" t="str">
        <f>IF(AND(Programme_Grunddaten!$A424="Geprüft",Programme_Grunddaten!AX424&lt;&gt;""),Programme_Grunddaten!AX424,"")</f>
        <v/>
      </c>
    </row>
    <row r="420" spans="1:9" x14ac:dyDescent="0.3">
      <c r="A420" s="1" t="str">
        <f>IF(AND(Programme_Grunddaten!$A425="Geprüft",Programme_Grunddaten!B425&lt;&gt;""),Programme_Grunddaten!B425,"")</f>
        <v/>
      </c>
      <c r="B420" s="1" t="str">
        <f>IF(AND(Programme_Grunddaten!$A425="Geprüft",Programme_Grunddaten!C425&lt;&gt;""),Programme_Grunddaten!C425,"")</f>
        <v/>
      </c>
      <c r="C420" s="1" t="str">
        <f>IF(AND(Programme_Grunddaten!$A425="Geprüft",Programme_Grunddaten!D425&lt;&gt;""),Programme_Grunddaten!D425,"")</f>
        <v/>
      </c>
      <c r="D420" s="2" t="str">
        <f>IF(AND(Programme_Grunddaten!$A425="Geprüft",Programme_Grunddaten!E425&lt;&gt;""),Programme_Grunddaten!E425,"")</f>
        <v/>
      </c>
      <c r="E420" t="str">
        <f>IF(AND(Programme_Grunddaten!$A425="Geprüft",Programme_Grunddaten!G425&lt;&gt;""),Programme_Grunddaten!G425,"")</f>
        <v/>
      </c>
      <c r="F420" t="str">
        <f>IF(AND(Programme_Grunddaten!$A425="Geprüft",Programme_Grunddaten!F425&lt;&gt;""),Programme_Grunddaten!F425,"")</f>
        <v/>
      </c>
      <c r="G420" s="3" t="str">
        <f>IF(AND(Programme_Grunddaten!$A425="Geprüft",Programme_Grunddaten!S425&lt;&gt;""),Programme_Grunddaten!S425,"")</f>
        <v/>
      </c>
      <c r="H420" t="str">
        <f>IF(AND(Programme_Grunddaten!$A425="Geprüft",Programme_Grunddaten!AW425&lt;&gt;""),Programme_Grunddaten!AW425,"")</f>
        <v/>
      </c>
      <c r="I420" t="str">
        <f>IF(AND(Programme_Grunddaten!$A425="Geprüft",Programme_Grunddaten!AX425&lt;&gt;""),Programme_Grunddaten!AX425,"")</f>
        <v/>
      </c>
    </row>
    <row r="421" spans="1:9" x14ac:dyDescent="0.3">
      <c r="A421" s="1" t="str">
        <f>IF(AND(Programme_Grunddaten!$A426="Geprüft",Programme_Grunddaten!B426&lt;&gt;""),Programme_Grunddaten!B426,"")</f>
        <v/>
      </c>
      <c r="B421" s="1" t="str">
        <f>IF(AND(Programme_Grunddaten!$A426="Geprüft",Programme_Grunddaten!C426&lt;&gt;""),Programme_Grunddaten!C426,"")</f>
        <v/>
      </c>
      <c r="C421" s="1" t="str">
        <f>IF(AND(Programme_Grunddaten!$A426="Geprüft",Programme_Grunddaten!D426&lt;&gt;""),Programme_Grunddaten!D426,"")</f>
        <v/>
      </c>
      <c r="D421" s="2" t="str">
        <f>IF(AND(Programme_Grunddaten!$A426="Geprüft",Programme_Grunddaten!E426&lt;&gt;""),Programme_Grunddaten!E426,"")</f>
        <v/>
      </c>
      <c r="E421" t="str">
        <f>IF(AND(Programme_Grunddaten!$A426="Geprüft",Programme_Grunddaten!G426&lt;&gt;""),Programme_Grunddaten!G426,"")</f>
        <v/>
      </c>
      <c r="F421" t="str">
        <f>IF(AND(Programme_Grunddaten!$A426="Geprüft",Programme_Grunddaten!F426&lt;&gt;""),Programme_Grunddaten!F426,"")</f>
        <v/>
      </c>
      <c r="G421" s="3" t="str">
        <f>IF(AND(Programme_Grunddaten!$A426="Geprüft",Programme_Grunddaten!S426&lt;&gt;""),Programme_Grunddaten!S426,"")</f>
        <v/>
      </c>
      <c r="H421" t="str">
        <f>IF(AND(Programme_Grunddaten!$A426="Geprüft",Programme_Grunddaten!AW426&lt;&gt;""),Programme_Grunddaten!AW426,"")</f>
        <v/>
      </c>
      <c r="I421" t="str">
        <f>IF(AND(Programme_Grunddaten!$A426="Geprüft",Programme_Grunddaten!AX426&lt;&gt;""),Programme_Grunddaten!AX426,"")</f>
        <v/>
      </c>
    </row>
    <row r="422" spans="1:9" x14ac:dyDescent="0.3">
      <c r="A422" s="1" t="str">
        <f>IF(AND(Programme_Grunddaten!$A427="Geprüft",Programme_Grunddaten!B427&lt;&gt;""),Programme_Grunddaten!B427,"")</f>
        <v/>
      </c>
      <c r="B422" s="1" t="str">
        <f>IF(AND(Programme_Grunddaten!$A427="Geprüft",Programme_Grunddaten!C427&lt;&gt;""),Programme_Grunddaten!C427,"")</f>
        <v/>
      </c>
      <c r="C422" s="1" t="str">
        <f>IF(AND(Programme_Grunddaten!$A427="Geprüft",Programme_Grunddaten!D427&lt;&gt;""),Programme_Grunddaten!D427,"")</f>
        <v/>
      </c>
      <c r="D422" s="2" t="str">
        <f>IF(AND(Programme_Grunddaten!$A427="Geprüft",Programme_Grunddaten!E427&lt;&gt;""),Programme_Grunddaten!E427,"")</f>
        <v/>
      </c>
      <c r="E422" t="str">
        <f>IF(AND(Programme_Grunddaten!$A427="Geprüft",Programme_Grunddaten!G427&lt;&gt;""),Programme_Grunddaten!G427,"")</f>
        <v/>
      </c>
      <c r="F422" t="str">
        <f>IF(AND(Programme_Grunddaten!$A427="Geprüft",Programme_Grunddaten!F427&lt;&gt;""),Programme_Grunddaten!F427,"")</f>
        <v/>
      </c>
      <c r="G422" s="3" t="str">
        <f>IF(AND(Programme_Grunddaten!$A427="Geprüft",Programme_Grunddaten!S427&lt;&gt;""),Programme_Grunddaten!S427,"")</f>
        <v/>
      </c>
      <c r="H422" t="str">
        <f>IF(AND(Programme_Grunddaten!$A427="Geprüft",Programme_Grunddaten!AW427&lt;&gt;""),Programme_Grunddaten!AW427,"")</f>
        <v/>
      </c>
      <c r="I422" t="str">
        <f>IF(AND(Programme_Grunddaten!$A427="Geprüft",Programme_Grunddaten!AX427&lt;&gt;""),Programme_Grunddaten!AX427,"")</f>
        <v/>
      </c>
    </row>
    <row r="423" spans="1:9" x14ac:dyDescent="0.3">
      <c r="A423" s="1" t="str">
        <f>IF(AND(Programme_Grunddaten!$A428="Geprüft",Programme_Grunddaten!B428&lt;&gt;""),Programme_Grunddaten!B428,"")</f>
        <v/>
      </c>
      <c r="B423" s="1" t="str">
        <f>IF(AND(Programme_Grunddaten!$A428="Geprüft",Programme_Grunddaten!C428&lt;&gt;""),Programme_Grunddaten!C428,"")</f>
        <v/>
      </c>
      <c r="C423" s="1" t="str">
        <f>IF(AND(Programme_Grunddaten!$A428="Geprüft",Programme_Grunddaten!D428&lt;&gt;""),Programme_Grunddaten!D428,"")</f>
        <v/>
      </c>
      <c r="D423" s="2" t="str">
        <f>IF(AND(Programme_Grunddaten!$A428="Geprüft",Programme_Grunddaten!E428&lt;&gt;""),Programme_Grunddaten!E428,"")</f>
        <v/>
      </c>
      <c r="E423" t="str">
        <f>IF(AND(Programme_Grunddaten!$A428="Geprüft",Programme_Grunddaten!G428&lt;&gt;""),Programme_Grunddaten!G428,"")</f>
        <v/>
      </c>
      <c r="F423" t="str">
        <f>IF(AND(Programme_Grunddaten!$A428="Geprüft",Programme_Grunddaten!F428&lt;&gt;""),Programme_Grunddaten!F428,"")</f>
        <v/>
      </c>
      <c r="G423" s="3" t="str">
        <f>IF(AND(Programme_Grunddaten!$A428="Geprüft",Programme_Grunddaten!S428&lt;&gt;""),Programme_Grunddaten!S428,"")</f>
        <v/>
      </c>
      <c r="H423" t="str">
        <f>IF(AND(Programme_Grunddaten!$A428="Geprüft",Programme_Grunddaten!AW428&lt;&gt;""),Programme_Grunddaten!AW428,"")</f>
        <v/>
      </c>
      <c r="I423" t="str">
        <f>IF(AND(Programme_Grunddaten!$A428="Geprüft",Programme_Grunddaten!AX428&lt;&gt;""),Programme_Grunddaten!AX428,"")</f>
        <v/>
      </c>
    </row>
    <row r="424" spans="1:9" x14ac:dyDescent="0.3">
      <c r="A424" s="1" t="str">
        <f>IF(AND(Programme_Grunddaten!$A429="Geprüft",Programme_Grunddaten!B429&lt;&gt;""),Programme_Grunddaten!B429,"")</f>
        <v/>
      </c>
      <c r="B424" s="1" t="str">
        <f>IF(AND(Programme_Grunddaten!$A429="Geprüft",Programme_Grunddaten!C429&lt;&gt;""),Programme_Grunddaten!C429,"")</f>
        <v/>
      </c>
      <c r="C424" s="1" t="str">
        <f>IF(AND(Programme_Grunddaten!$A429="Geprüft",Programme_Grunddaten!D429&lt;&gt;""),Programme_Grunddaten!D429,"")</f>
        <v/>
      </c>
      <c r="D424" s="2" t="str">
        <f>IF(AND(Programme_Grunddaten!$A429="Geprüft",Programme_Grunddaten!E429&lt;&gt;""),Programme_Grunddaten!E429,"")</f>
        <v/>
      </c>
      <c r="E424" t="str">
        <f>IF(AND(Programme_Grunddaten!$A429="Geprüft",Programme_Grunddaten!G429&lt;&gt;""),Programme_Grunddaten!G429,"")</f>
        <v/>
      </c>
      <c r="F424" t="str">
        <f>IF(AND(Programme_Grunddaten!$A429="Geprüft",Programme_Grunddaten!F429&lt;&gt;""),Programme_Grunddaten!F429,"")</f>
        <v/>
      </c>
      <c r="G424" s="3" t="str">
        <f>IF(AND(Programme_Grunddaten!$A429="Geprüft",Programme_Grunddaten!S429&lt;&gt;""),Programme_Grunddaten!S429,"")</f>
        <v/>
      </c>
      <c r="H424" t="str">
        <f>IF(AND(Programme_Grunddaten!$A429="Geprüft",Programme_Grunddaten!AW429&lt;&gt;""),Programme_Grunddaten!AW429,"")</f>
        <v/>
      </c>
      <c r="I424" t="str">
        <f>IF(AND(Programme_Grunddaten!$A429="Geprüft",Programme_Grunddaten!AX429&lt;&gt;""),Programme_Grunddaten!AX429,"")</f>
        <v/>
      </c>
    </row>
    <row r="425" spans="1:9" x14ac:dyDescent="0.3">
      <c r="A425" s="1" t="str">
        <f>IF(AND(Programme_Grunddaten!$A430="Geprüft",Programme_Grunddaten!B430&lt;&gt;""),Programme_Grunddaten!B430,"")</f>
        <v/>
      </c>
      <c r="B425" s="1" t="str">
        <f>IF(AND(Programme_Grunddaten!$A430="Geprüft",Programme_Grunddaten!C430&lt;&gt;""),Programme_Grunddaten!C430,"")</f>
        <v/>
      </c>
      <c r="C425" s="1" t="str">
        <f>IF(AND(Programme_Grunddaten!$A430="Geprüft",Programme_Grunddaten!D430&lt;&gt;""),Programme_Grunddaten!D430,"")</f>
        <v/>
      </c>
      <c r="D425" s="2" t="str">
        <f>IF(AND(Programme_Grunddaten!$A430="Geprüft",Programme_Grunddaten!E430&lt;&gt;""),Programme_Grunddaten!E430,"")</f>
        <v/>
      </c>
      <c r="E425" t="str">
        <f>IF(AND(Programme_Grunddaten!$A430="Geprüft",Programme_Grunddaten!G430&lt;&gt;""),Programme_Grunddaten!G430,"")</f>
        <v/>
      </c>
      <c r="F425" t="str">
        <f>IF(AND(Programme_Grunddaten!$A430="Geprüft",Programme_Grunddaten!F430&lt;&gt;""),Programme_Grunddaten!F430,"")</f>
        <v/>
      </c>
      <c r="G425" s="3" t="str">
        <f>IF(AND(Programme_Grunddaten!$A430="Geprüft",Programme_Grunddaten!S430&lt;&gt;""),Programme_Grunddaten!S430,"")</f>
        <v/>
      </c>
      <c r="H425" t="str">
        <f>IF(AND(Programme_Grunddaten!$A430="Geprüft",Programme_Grunddaten!AW430&lt;&gt;""),Programme_Grunddaten!AW430,"")</f>
        <v/>
      </c>
      <c r="I425" t="str">
        <f>IF(AND(Programme_Grunddaten!$A430="Geprüft",Programme_Grunddaten!AX430&lt;&gt;""),Programme_Grunddaten!AX430,"")</f>
        <v/>
      </c>
    </row>
    <row r="426" spans="1:9" x14ac:dyDescent="0.3">
      <c r="A426" s="1" t="str">
        <f>IF(AND(Programme_Grunddaten!$A431="Geprüft",Programme_Grunddaten!B431&lt;&gt;""),Programme_Grunddaten!B431,"")</f>
        <v/>
      </c>
      <c r="B426" s="1" t="str">
        <f>IF(AND(Programme_Grunddaten!$A431="Geprüft",Programme_Grunddaten!C431&lt;&gt;""),Programme_Grunddaten!C431,"")</f>
        <v/>
      </c>
      <c r="C426" s="1" t="str">
        <f>IF(AND(Programme_Grunddaten!$A431="Geprüft",Programme_Grunddaten!D431&lt;&gt;""),Programme_Grunddaten!D431,"")</f>
        <v/>
      </c>
      <c r="D426" s="2" t="str">
        <f>IF(AND(Programme_Grunddaten!$A431="Geprüft",Programme_Grunddaten!E431&lt;&gt;""),Programme_Grunddaten!E431,"")</f>
        <v/>
      </c>
      <c r="E426" t="str">
        <f>IF(AND(Programme_Grunddaten!$A431="Geprüft",Programme_Grunddaten!G431&lt;&gt;""),Programme_Grunddaten!G431,"")</f>
        <v/>
      </c>
      <c r="F426" t="str">
        <f>IF(AND(Programme_Grunddaten!$A431="Geprüft",Programme_Grunddaten!F431&lt;&gt;""),Programme_Grunddaten!F431,"")</f>
        <v/>
      </c>
      <c r="G426" s="3" t="str">
        <f>IF(AND(Programme_Grunddaten!$A431="Geprüft",Programme_Grunddaten!S431&lt;&gt;""),Programme_Grunddaten!S431,"")</f>
        <v/>
      </c>
      <c r="H426" t="str">
        <f>IF(AND(Programme_Grunddaten!$A431="Geprüft",Programme_Grunddaten!AW431&lt;&gt;""),Programme_Grunddaten!AW431,"")</f>
        <v/>
      </c>
      <c r="I426" t="str">
        <f>IF(AND(Programme_Grunddaten!$A431="Geprüft",Programme_Grunddaten!AX431&lt;&gt;""),Programme_Grunddaten!AX431,"")</f>
        <v/>
      </c>
    </row>
    <row r="427" spans="1:9" x14ac:dyDescent="0.3">
      <c r="A427" s="1" t="str">
        <f>IF(AND(Programme_Grunddaten!$A432="Geprüft",Programme_Grunddaten!B432&lt;&gt;""),Programme_Grunddaten!B432,"")</f>
        <v/>
      </c>
      <c r="B427" s="1" t="str">
        <f>IF(AND(Programme_Grunddaten!$A432="Geprüft",Programme_Grunddaten!C432&lt;&gt;""),Programme_Grunddaten!C432,"")</f>
        <v/>
      </c>
      <c r="C427" s="1" t="str">
        <f>IF(AND(Programme_Grunddaten!$A432="Geprüft",Programme_Grunddaten!D432&lt;&gt;""),Programme_Grunddaten!D432,"")</f>
        <v/>
      </c>
      <c r="D427" s="2" t="str">
        <f>IF(AND(Programme_Grunddaten!$A432="Geprüft",Programme_Grunddaten!E432&lt;&gt;""),Programme_Grunddaten!E432,"")</f>
        <v/>
      </c>
      <c r="E427" t="str">
        <f>IF(AND(Programme_Grunddaten!$A432="Geprüft",Programme_Grunddaten!G432&lt;&gt;""),Programme_Grunddaten!G432,"")</f>
        <v/>
      </c>
      <c r="F427" t="str">
        <f>IF(AND(Programme_Grunddaten!$A432="Geprüft",Programme_Grunddaten!F432&lt;&gt;""),Programme_Grunddaten!F432,"")</f>
        <v/>
      </c>
      <c r="G427" s="3" t="str">
        <f>IF(AND(Programme_Grunddaten!$A432="Geprüft",Programme_Grunddaten!S432&lt;&gt;""),Programme_Grunddaten!S432,"")</f>
        <v/>
      </c>
      <c r="H427" t="str">
        <f>IF(AND(Programme_Grunddaten!$A432="Geprüft",Programme_Grunddaten!AW432&lt;&gt;""),Programme_Grunddaten!AW432,"")</f>
        <v/>
      </c>
      <c r="I427" t="str">
        <f>IF(AND(Programme_Grunddaten!$A432="Geprüft",Programme_Grunddaten!AX432&lt;&gt;""),Programme_Grunddaten!AX432,"")</f>
        <v/>
      </c>
    </row>
    <row r="428" spans="1:9" x14ac:dyDescent="0.3">
      <c r="A428" s="1" t="str">
        <f>IF(AND(Programme_Grunddaten!$A433="Geprüft",Programme_Grunddaten!B433&lt;&gt;""),Programme_Grunddaten!B433,"")</f>
        <v/>
      </c>
      <c r="B428" s="1" t="str">
        <f>IF(AND(Programme_Grunddaten!$A433="Geprüft",Programme_Grunddaten!C433&lt;&gt;""),Programme_Grunddaten!C433,"")</f>
        <v/>
      </c>
      <c r="C428" s="1" t="str">
        <f>IF(AND(Programme_Grunddaten!$A433="Geprüft",Programme_Grunddaten!D433&lt;&gt;""),Programme_Grunddaten!D433,"")</f>
        <v/>
      </c>
      <c r="D428" s="2" t="str">
        <f>IF(AND(Programme_Grunddaten!$A433="Geprüft",Programme_Grunddaten!E433&lt;&gt;""),Programme_Grunddaten!E433,"")</f>
        <v/>
      </c>
      <c r="E428" t="str">
        <f>IF(AND(Programme_Grunddaten!$A433="Geprüft",Programme_Grunddaten!G433&lt;&gt;""),Programme_Grunddaten!G433,"")</f>
        <v/>
      </c>
      <c r="F428" t="str">
        <f>IF(AND(Programme_Grunddaten!$A433="Geprüft",Programme_Grunddaten!F433&lt;&gt;""),Programme_Grunddaten!F433,"")</f>
        <v/>
      </c>
      <c r="G428" s="3" t="str">
        <f>IF(AND(Programme_Grunddaten!$A433="Geprüft",Programme_Grunddaten!S433&lt;&gt;""),Programme_Grunddaten!S433,"")</f>
        <v/>
      </c>
      <c r="H428" t="str">
        <f>IF(AND(Programme_Grunddaten!$A433="Geprüft",Programme_Grunddaten!AW433&lt;&gt;""),Programme_Grunddaten!AW433,"")</f>
        <v/>
      </c>
      <c r="I428" t="str">
        <f>IF(AND(Programme_Grunddaten!$A433="Geprüft",Programme_Grunddaten!AX433&lt;&gt;""),Programme_Grunddaten!AX433,"")</f>
        <v/>
      </c>
    </row>
    <row r="429" spans="1:9" x14ac:dyDescent="0.3">
      <c r="A429" s="1" t="str">
        <f>IF(AND(Programme_Grunddaten!$A434="Geprüft",Programme_Grunddaten!B434&lt;&gt;""),Programme_Grunddaten!B434,"")</f>
        <v/>
      </c>
      <c r="B429" s="1" t="str">
        <f>IF(AND(Programme_Grunddaten!$A434="Geprüft",Programme_Grunddaten!C434&lt;&gt;""),Programme_Grunddaten!C434,"")</f>
        <v/>
      </c>
      <c r="C429" s="1" t="str">
        <f>IF(AND(Programme_Grunddaten!$A434="Geprüft",Programme_Grunddaten!D434&lt;&gt;""),Programme_Grunddaten!D434,"")</f>
        <v/>
      </c>
      <c r="D429" s="2" t="str">
        <f>IF(AND(Programme_Grunddaten!$A434="Geprüft",Programme_Grunddaten!E434&lt;&gt;""),Programme_Grunddaten!E434,"")</f>
        <v/>
      </c>
      <c r="E429" t="str">
        <f>IF(AND(Programme_Grunddaten!$A434="Geprüft",Programme_Grunddaten!G434&lt;&gt;""),Programme_Grunddaten!G434,"")</f>
        <v/>
      </c>
      <c r="F429" t="str">
        <f>IF(AND(Programme_Grunddaten!$A434="Geprüft",Programme_Grunddaten!F434&lt;&gt;""),Programme_Grunddaten!F434,"")</f>
        <v/>
      </c>
      <c r="G429" s="3" t="str">
        <f>IF(AND(Programme_Grunddaten!$A434="Geprüft",Programme_Grunddaten!S434&lt;&gt;""),Programme_Grunddaten!S434,"")</f>
        <v/>
      </c>
      <c r="H429" t="str">
        <f>IF(AND(Programme_Grunddaten!$A434="Geprüft",Programme_Grunddaten!AW434&lt;&gt;""),Programme_Grunddaten!AW434,"")</f>
        <v/>
      </c>
      <c r="I429" t="str">
        <f>IF(AND(Programme_Grunddaten!$A434="Geprüft",Programme_Grunddaten!AX434&lt;&gt;""),Programme_Grunddaten!AX434,"")</f>
        <v/>
      </c>
    </row>
    <row r="430" spans="1:9" x14ac:dyDescent="0.3">
      <c r="A430" s="1" t="str">
        <f>IF(AND(Programme_Grunddaten!$A435="Geprüft",Programme_Grunddaten!B435&lt;&gt;""),Programme_Grunddaten!B435,"")</f>
        <v/>
      </c>
      <c r="B430" s="1" t="str">
        <f>IF(AND(Programme_Grunddaten!$A435="Geprüft",Programme_Grunddaten!C435&lt;&gt;""),Programme_Grunddaten!C435,"")</f>
        <v/>
      </c>
      <c r="C430" s="1" t="str">
        <f>IF(AND(Programme_Grunddaten!$A435="Geprüft",Programme_Grunddaten!D435&lt;&gt;""),Programme_Grunddaten!D435,"")</f>
        <v/>
      </c>
      <c r="D430" s="2" t="str">
        <f>IF(AND(Programme_Grunddaten!$A435="Geprüft",Programme_Grunddaten!E435&lt;&gt;""),Programme_Grunddaten!E435,"")</f>
        <v/>
      </c>
      <c r="E430" t="str">
        <f>IF(AND(Programme_Grunddaten!$A435="Geprüft",Programme_Grunddaten!G435&lt;&gt;""),Programme_Grunddaten!G435,"")</f>
        <v/>
      </c>
      <c r="F430" t="str">
        <f>IF(AND(Programme_Grunddaten!$A435="Geprüft",Programme_Grunddaten!F435&lt;&gt;""),Programme_Grunddaten!F435,"")</f>
        <v/>
      </c>
      <c r="G430" s="3" t="str">
        <f>IF(AND(Programme_Grunddaten!$A435="Geprüft",Programme_Grunddaten!S435&lt;&gt;""),Programme_Grunddaten!S435,"")</f>
        <v/>
      </c>
      <c r="H430" t="str">
        <f>IF(AND(Programme_Grunddaten!$A435="Geprüft",Programme_Grunddaten!AW435&lt;&gt;""),Programme_Grunddaten!AW435,"")</f>
        <v/>
      </c>
      <c r="I430" t="str">
        <f>IF(AND(Programme_Grunddaten!$A435="Geprüft",Programme_Grunddaten!AX435&lt;&gt;""),Programme_Grunddaten!AX435,"")</f>
        <v/>
      </c>
    </row>
    <row r="431" spans="1:9" x14ac:dyDescent="0.3">
      <c r="A431" s="1" t="str">
        <f>IF(AND(Programme_Grunddaten!$A436="Geprüft",Programme_Grunddaten!B436&lt;&gt;""),Programme_Grunddaten!B436,"")</f>
        <v/>
      </c>
      <c r="B431" s="1" t="str">
        <f>IF(AND(Programme_Grunddaten!$A436="Geprüft",Programme_Grunddaten!C436&lt;&gt;""),Programme_Grunddaten!C436,"")</f>
        <v/>
      </c>
      <c r="C431" s="1" t="str">
        <f>IF(AND(Programme_Grunddaten!$A436="Geprüft",Programme_Grunddaten!D436&lt;&gt;""),Programme_Grunddaten!D436,"")</f>
        <v/>
      </c>
      <c r="D431" s="2" t="str">
        <f>IF(AND(Programme_Grunddaten!$A436="Geprüft",Programme_Grunddaten!E436&lt;&gt;""),Programme_Grunddaten!E436,"")</f>
        <v/>
      </c>
      <c r="E431" t="str">
        <f>IF(AND(Programme_Grunddaten!$A436="Geprüft",Programme_Grunddaten!G436&lt;&gt;""),Programme_Grunddaten!G436,"")</f>
        <v/>
      </c>
      <c r="F431" t="str">
        <f>IF(AND(Programme_Grunddaten!$A436="Geprüft",Programme_Grunddaten!F436&lt;&gt;""),Programme_Grunddaten!F436,"")</f>
        <v/>
      </c>
      <c r="G431" s="3" t="str">
        <f>IF(AND(Programme_Grunddaten!$A436="Geprüft",Programme_Grunddaten!S436&lt;&gt;""),Programme_Grunddaten!S436,"")</f>
        <v/>
      </c>
      <c r="H431" t="str">
        <f>IF(AND(Programme_Grunddaten!$A436="Geprüft",Programme_Grunddaten!AW436&lt;&gt;""),Programme_Grunddaten!AW436,"")</f>
        <v/>
      </c>
      <c r="I431" t="str">
        <f>IF(AND(Programme_Grunddaten!$A436="Geprüft",Programme_Grunddaten!AX436&lt;&gt;""),Programme_Grunddaten!AX436,"")</f>
        <v/>
      </c>
    </row>
    <row r="432" spans="1:9" x14ac:dyDescent="0.3">
      <c r="A432" s="1" t="str">
        <f>IF(AND(Programme_Grunddaten!$A437="Geprüft",Programme_Grunddaten!B437&lt;&gt;""),Programme_Grunddaten!B437,"")</f>
        <v/>
      </c>
      <c r="B432" s="1" t="str">
        <f>IF(AND(Programme_Grunddaten!$A437="Geprüft",Programme_Grunddaten!C437&lt;&gt;""),Programme_Grunddaten!C437,"")</f>
        <v/>
      </c>
      <c r="C432" s="1" t="str">
        <f>IF(AND(Programme_Grunddaten!$A437="Geprüft",Programme_Grunddaten!D437&lt;&gt;""),Programme_Grunddaten!D437,"")</f>
        <v/>
      </c>
      <c r="D432" s="2" t="str">
        <f>IF(AND(Programme_Grunddaten!$A437="Geprüft",Programme_Grunddaten!E437&lt;&gt;""),Programme_Grunddaten!E437,"")</f>
        <v/>
      </c>
      <c r="E432" t="str">
        <f>IF(AND(Programme_Grunddaten!$A437="Geprüft",Programme_Grunddaten!G437&lt;&gt;""),Programme_Grunddaten!G437,"")</f>
        <v/>
      </c>
      <c r="F432" t="str">
        <f>IF(AND(Programme_Grunddaten!$A437="Geprüft",Programme_Grunddaten!F437&lt;&gt;""),Programme_Grunddaten!F437,"")</f>
        <v/>
      </c>
      <c r="G432" s="3" t="str">
        <f>IF(AND(Programme_Grunddaten!$A437="Geprüft",Programme_Grunddaten!S437&lt;&gt;""),Programme_Grunddaten!S437,"")</f>
        <v/>
      </c>
      <c r="H432" t="str">
        <f>IF(AND(Programme_Grunddaten!$A437="Geprüft",Programme_Grunddaten!AW437&lt;&gt;""),Programme_Grunddaten!AW437,"")</f>
        <v/>
      </c>
      <c r="I432" t="str">
        <f>IF(AND(Programme_Grunddaten!$A437="Geprüft",Programme_Grunddaten!AX437&lt;&gt;""),Programme_Grunddaten!AX437,"")</f>
        <v/>
      </c>
    </row>
    <row r="433" spans="1:9" x14ac:dyDescent="0.3">
      <c r="A433" s="1" t="str">
        <f>IF(AND(Programme_Grunddaten!$A438="Geprüft",Programme_Grunddaten!B438&lt;&gt;""),Programme_Grunddaten!B438,"")</f>
        <v/>
      </c>
      <c r="B433" s="1" t="str">
        <f>IF(AND(Programme_Grunddaten!$A438="Geprüft",Programme_Grunddaten!C438&lt;&gt;""),Programme_Grunddaten!C438,"")</f>
        <v/>
      </c>
      <c r="C433" s="1" t="str">
        <f>IF(AND(Programme_Grunddaten!$A438="Geprüft",Programme_Grunddaten!D438&lt;&gt;""),Programme_Grunddaten!D438,"")</f>
        <v/>
      </c>
      <c r="D433" s="2" t="str">
        <f>IF(AND(Programme_Grunddaten!$A438="Geprüft",Programme_Grunddaten!E438&lt;&gt;""),Programme_Grunddaten!E438,"")</f>
        <v/>
      </c>
      <c r="E433" t="str">
        <f>IF(AND(Programme_Grunddaten!$A438="Geprüft",Programme_Grunddaten!G438&lt;&gt;""),Programme_Grunddaten!G438,"")</f>
        <v/>
      </c>
      <c r="F433" t="str">
        <f>IF(AND(Programme_Grunddaten!$A438="Geprüft",Programme_Grunddaten!F438&lt;&gt;""),Programme_Grunddaten!F438,"")</f>
        <v/>
      </c>
      <c r="G433" s="3" t="str">
        <f>IF(AND(Programme_Grunddaten!$A438="Geprüft",Programme_Grunddaten!S438&lt;&gt;""),Programme_Grunddaten!S438,"")</f>
        <v/>
      </c>
      <c r="H433" t="str">
        <f>IF(AND(Programme_Grunddaten!$A438="Geprüft",Programme_Grunddaten!AW438&lt;&gt;""),Programme_Grunddaten!AW438,"")</f>
        <v/>
      </c>
      <c r="I433" t="str">
        <f>IF(AND(Programme_Grunddaten!$A438="Geprüft",Programme_Grunddaten!AX438&lt;&gt;""),Programme_Grunddaten!AX438,"")</f>
        <v/>
      </c>
    </row>
    <row r="434" spans="1:9" x14ac:dyDescent="0.3">
      <c r="A434" s="1" t="str">
        <f>IF(AND(Programme_Grunddaten!$A439="Geprüft",Programme_Grunddaten!B439&lt;&gt;""),Programme_Grunddaten!B439,"")</f>
        <v/>
      </c>
      <c r="B434" s="1" t="str">
        <f>IF(AND(Programme_Grunddaten!$A439="Geprüft",Programme_Grunddaten!C439&lt;&gt;""),Programme_Grunddaten!C439,"")</f>
        <v/>
      </c>
      <c r="C434" s="1" t="str">
        <f>IF(AND(Programme_Grunddaten!$A439="Geprüft",Programme_Grunddaten!D439&lt;&gt;""),Programme_Grunddaten!D439,"")</f>
        <v/>
      </c>
      <c r="D434" s="2" t="str">
        <f>IF(AND(Programme_Grunddaten!$A439="Geprüft",Programme_Grunddaten!E439&lt;&gt;""),Programme_Grunddaten!E439,"")</f>
        <v/>
      </c>
      <c r="E434" t="str">
        <f>IF(AND(Programme_Grunddaten!$A439="Geprüft",Programme_Grunddaten!G439&lt;&gt;""),Programme_Grunddaten!G439,"")</f>
        <v/>
      </c>
      <c r="F434" t="str">
        <f>IF(AND(Programme_Grunddaten!$A439="Geprüft",Programme_Grunddaten!F439&lt;&gt;""),Programme_Grunddaten!F439,"")</f>
        <v/>
      </c>
      <c r="G434" s="3" t="str">
        <f>IF(AND(Programme_Grunddaten!$A439="Geprüft",Programme_Grunddaten!S439&lt;&gt;""),Programme_Grunddaten!S439,"")</f>
        <v/>
      </c>
      <c r="H434" t="str">
        <f>IF(AND(Programme_Grunddaten!$A439="Geprüft",Programme_Grunddaten!AW439&lt;&gt;""),Programme_Grunddaten!AW439,"")</f>
        <v/>
      </c>
      <c r="I434" t="str">
        <f>IF(AND(Programme_Grunddaten!$A439="Geprüft",Programme_Grunddaten!AX439&lt;&gt;""),Programme_Grunddaten!AX439,"")</f>
        <v/>
      </c>
    </row>
    <row r="435" spans="1:9" x14ac:dyDescent="0.3">
      <c r="A435" s="1" t="str">
        <f>IF(AND(Programme_Grunddaten!$A440="Geprüft",Programme_Grunddaten!B440&lt;&gt;""),Programme_Grunddaten!B440,"")</f>
        <v/>
      </c>
      <c r="B435" s="1" t="str">
        <f>IF(AND(Programme_Grunddaten!$A440="Geprüft",Programme_Grunddaten!C440&lt;&gt;""),Programme_Grunddaten!C440,"")</f>
        <v/>
      </c>
      <c r="C435" s="1" t="str">
        <f>IF(AND(Programme_Grunddaten!$A440="Geprüft",Programme_Grunddaten!D440&lt;&gt;""),Programme_Grunddaten!D440,"")</f>
        <v/>
      </c>
      <c r="D435" s="2" t="str">
        <f>IF(AND(Programme_Grunddaten!$A440="Geprüft",Programme_Grunddaten!E440&lt;&gt;""),Programme_Grunddaten!E440,"")</f>
        <v/>
      </c>
      <c r="E435" t="str">
        <f>IF(AND(Programme_Grunddaten!$A440="Geprüft",Programme_Grunddaten!G440&lt;&gt;""),Programme_Grunddaten!G440,"")</f>
        <v/>
      </c>
      <c r="F435" t="str">
        <f>IF(AND(Programme_Grunddaten!$A440="Geprüft",Programme_Grunddaten!F440&lt;&gt;""),Programme_Grunddaten!F440,"")</f>
        <v/>
      </c>
      <c r="G435" s="3" t="str">
        <f>IF(AND(Programme_Grunddaten!$A440="Geprüft",Programme_Grunddaten!S440&lt;&gt;""),Programme_Grunddaten!S440,"")</f>
        <v/>
      </c>
      <c r="H435" t="str">
        <f>IF(AND(Programme_Grunddaten!$A440="Geprüft",Programme_Grunddaten!AW440&lt;&gt;""),Programme_Grunddaten!AW440,"")</f>
        <v/>
      </c>
      <c r="I435" t="str">
        <f>IF(AND(Programme_Grunddaten!$A440="Geprüft",Programme_Grunddaten!AX440&lt;&gt;""),Programme_Grunddaten!AX440,"")</f>
        <v/>
      </c>
    </row>
    <row r="436" spans="1:9" x14ac:dyDescent="0.3">
      <c r="A436" s="1" t="str">
        <f>IF(AND(Programme_Grunddaten!$A441="Geprüft",Programme_Grunddaten!B441&lt;&gt;""),Programme_Grunddaten!B441,"")</f>
        <v/>
      </c>
      <c r="B436" s="1" t="str">
        <f>IF(AND(Programme_Grunddaten!$A441="Geprüft",Programme_Grunddaten!C441&lt;&gt;""),Programme_Grunddaten!C441,"")</f>
        <v/>
      </c>
      <c r="C436" s="1" t="str">
        <f>IF(AND(Programme_Grunddaten!$A441="Geprüft",Programme_Grunddaten!D441&lt;&gt;""),Programme_Grunddaten!D441,"")</f>
        <v/>
      </c>
      <c r="D436" s="2" t="str">
        <f>IF(AND(Programme_Grunddaten!$A441="Geprüft",Programme_Grunddaten!E441&lt;&gt;""),Programme_Grunddaten!E441,"")</f>
        <v/>
      </c>
      <c r="E436" t="str">
        <f>IF(AND(Programme_Grunddaten!$A441="Geprüft",Programme_Grunddaten!G441&lt;&gt;""),Programme_Grunddaten!G441,"")</f>
        <v/>
      </c>
      <c r="F436" t="str">
        <f>IF(AND(Programme_Grunddaten!$A441="Geprüft",Programme_Grunddaten!F441&lt;&gt;""),Programme_Grunddaten!F441,"")</f>
        <v/>
      </c>
      <c r="G436" s="3" t="str">
        <f>IF(AND(Programme_Grunddaten!$A441="Geprüft",Programme_Grunddaten!S441&lt;&gt;""),Programme_Grunddaten!S441,"")</f>
        <v/>
      </c>
      <c r="H436" t="str">
        <f>IF(AND(Programme_Grunddaten!$A441="Geprüft",Programme_Grunddaten!AW441&lt;&gt;""),Programme_Grunddaten!AW441,"")</f>
        <v/>
      </c>
      <c r="I436" t="str">
        <f>IF(AND(Programme_Grunddaten!$A441="Geprüft",Programme_Grunddaten!AX441&lt;&gt;""),Programme_Grunddaten!AX441,"")</f>
        <v/>
      </c>
    </row>
    <row r="437" spans="1:9" x14ac:dyDescent="0.3">
      <c r="A437" s="1" t="str">
        <f>IF(AND(Programme_Grunddaten!$A442="Geprüft",Programme_Grunddaten!B442&lt;&gt;""),Programme_Grunddaten!B442,"")</f>
        <v/>
      </c>
      <c r="B437" s="1" t="str">
        <f>IF(AND(Programme_Grunddaten!$A442="Geprüft",Programme_Grunddaten!C442&lt;&gt;""),Programme_Grunddaten!C442,"")</f>
        <v/>
      </c>
      <c r="C437" s="1" t="str">
        <f>IF(AND(Programme_Grunddaten!$A442="Geprüft",Programme_Grunddaten!D442&lt;&gt;""),Programme_Grunddaten!D442,"")</f>
        <v/>
      </c>
      <c r="D437" s="2" t="str">
        <f>IF(AND(Programme_Grunddaten!$A442="Geprüft",Programme_Grunddaten!E442&lt;&gt;""),Programme_Grunddaten!E442,"")</f>
        <v/>
      </c>
      <c r="E437" t="str">
        <f>IF(AND(Programme_Grunddaten!$A442="Geprüft",Programme_Grunddaten!G442&lt;&gt;""),Programme_Grunddaten!G442,"")</f>
        <v/>
      </c>
      <c r="F437" t="str">
        <f>IF(AND(Programme_Grunddaten!$A442="Geprüft",Programme_Grunddaten!F442&lt;&gt;""),Programme_Grunddaten!F442,"")</f>
        <v/>
      </c>
      <c r="G437" s="3" t="str">
        <f>IF(AND(Programme_Grunddaten!$A442="Geprüft",Programme_Grunddaten!S442&lt;&gt;""),Programme_Grunddaten!S442,"")</f>
        <v/>
      </c>
      <c r="H437" t="str">
        <f>IF(AND(Programme_Grunddaten!$A442="Geprüft",Programme_Grunddaten!AW442&lt;&gt;""),Programme_Grunddaten!AW442,"")</f>
        <v/>
      </c>
      <c r="I437" t="str">
        <f>IF(AND(Programme_Grunddaten!$A442="Geprüft",Programme_Grunddaten!AX442&lt;&gt;""),Programme_Grunddaten!AX442,"")</f>
        <v/>
      </c>
    </row>
    <row r="438" spans="1:9" x14ac:dyDescent="0.3">
      <c r="A438" s="1" t="str">
        <f>IF(AND(Programme_Grunddaten!$A443="Geprüft",Programme_Grunddaten!B443&lt;&gt;""),Programme_Grunddaten!B443,"")</f>
        <v/>
      </c>
      <c r="B438" s="1" t="str">
        <f>IF(AND(Programme_Grunddaten!$A443="Geprüft",Programme_Grunddaten!C443&lt;&gt;""),Programme_Grunddaten!C443,"")</f>
        <v/>
      </c>
      <c r="C438" s="1" t="str">
        <f>IF(AND(Programme_Grunddaten!$A443="Geprüft",Programme_Grunddaten!D443&lt;&gt;""),Programme_Grunddaten!D443,"")</f>
        <v/>
      </c>
      <c r="D438" s="2" t="str">
        <f>IF(AND(Programme_Grunddaten!$A443="Geprüft",Programme_Grunddaten!E443&lt;&gt;""),Programme_Grunddaten!E443,"")</f>
        <v/>
      </c>
      <c r="E438" t="str">
        <f>IF(AND(Programme_Grunddaten!$A443="Geprüft",Programme_Grunddaten!G443&lt;&gt;""),Programme_Grunddaten!G443,"")</f>
        <v/>
      </c>
      <c r="F438" t="str">
        <f>IF(AND(Programme_Grunddaten!$A443="Geprüft",Programme_Grunddaten!F443&lt;&gt;""),Programme_Grunddaten!F443,"")</f>
        <v/>
      </c>
      <c r="G438" s="3" t="str">
        <f>IF(AND(Programme_Grunddaten!$A443="Geprüft",Programme_Grunddaten!S443&lt;&gt;""),Programme_Grunddaten!S443,"")</f>
        <v/>
      </c>
      <c r="H438" t="str">
        <f>IF(AND(Programme_Grunddaten!$A443="Geprüft",Programme_Grunddaten!AW443&lt;&gt;""),Programme_Grunddaten!AW443,"")</f>
        <v/>
      </c>
      <c r="I438" t="str">
        <f>IF(AND(Programme_Grunddaten!$A443="Geprüft",Programme_Grunddaten!AX443&lt;&gt;""),Programme_Grunddaten!AX443,"")</f>
        <v/>
      </c>
    </row>
    <row r="439" spans="1:9" x14ac:dyDescent="0.3">
      <c r="A439" s="1" t="str">
        <f>IF(AND(Programme_Grunddaten!$A444="Geprüft",Programme_Grunddaten!B444&lt;&gt;""),Programme_Grunddaten!B444,"")</f>
        <v/>
      </c>
      <c r="B439" s="1" t="str">
        <f>IF(AND(Programme_Grunddaten!$A444="Geprüft",Programme_Grunddaten!C444&lt;&gt;""),Programme_Grunddaten!C444,"")</f>
        <v/>
      </c>
      <c r="C439" s="1" t="str">
        <f>IF(AND(Programme_Grunddaten!$A444="Geprüft",Programme_Grunddaten!D444&lt;&gt;""),Programme_Grunddaten!D444,"")</f>
        <v/>
      </c>
      <c r="D439" s="2" t="str">
        <f>IF(AND(Programme_Grunddaten!$A444="Geprüft",Programme_Grunddaten!E444&lt;&gt;""),Programme_Grunddaten!E444,"")</f>
        <v/>
      </c>
      <c r="E439" t="str">
        <f>IF(AND(Programme_Grunddaten!$A444="Geprüft",Programme_Grunddaten!G444&lt;&gt;""),Programme_Grunddaten!G444,"")</f>
        <v/>
      </c>
      <c r="F439" t="str">
        <f>IF(AND(Programme_Grunddaten!$A444="Geprüft",Programme_Grunddaten!F444&lt;&gt;""),Programme_Grunddaten!F444,"")</f>
        <v/>
      </c>
      <c r="G439" s="3" t="str">
        <f>IF(AND(Programme_Grunddaten!$A444="Geprüft",Programme_Grunddaten!S444&lt;&gt;""),Programme_Grunddaten!S444,"")</f>
        <v/>
      </c>
      <c r="H439" t="str">
        <f>IF(AND(Programme_Grunddaten!$A444="Geprüft",Programme_Grunddaten!AW444&lt;&gt;""),Programme_Grunddaten!AW444,"")</f>
        <v/>
      </c>
      <c r="I439" t="str">
        <f>IF(AND(Programme_Grunddaten!$A444="Geprüft",Programme_Grunddaten!AX444&lt;&gt;""),Programme_Grunddaten!AX444,"")</f>
        <v/>
      </c>
    </row>
    <row r="440" spans="1:9" x14ac:dyDescent="0.3">
      <c r="A440" s="1" t="str">
        <f>IF(AND(Programme_Grunddaten!$A445="Geprüft",Programme_Grunddaten!B445&lt;&gt;""),Programme_Grunddaten!B445,"")</f>
        <v/>
      </c>
      <c r="B440" s="1" t="str">
        <f>IF(AND(Programme_Grunddaten!$A445="Geprüft",Programme_Grunddaten!C445&lt;&gt;""),Programme_Grunddaten!C445,"")</f>
        <v/>
      </c>
      <c r="C440" s="1" t="str">
        <f>IF(AND(Programme_Grunddaten!$A445="Geprüft",Programme_Grunddaten!D445&lt;&gt;""),Programme_Grunddaten!D445,"")</f>
        <v/>
      </c>
      <c r="D440" s="2" t="str">
        <f>IF(AND(Programme_Grunddaten!$A445="Geprüft",Programme_Grunddaten!E445&lt;&gt;""),Programme_Grunddaten!E445,"")</f>
        <v/>
      </c>
      <c r="E440" t="str">
        <f>IF(AND(Programme_Grunddaten!$A445="Geprüft",Programme_Grunddaten!G445&lt;&gt;""),Programme_Grunddaten!G445,"")</f>
        <v/>
      </c>
      <c r="F440" t="str">
        <f>IF(AND(Programme_Grunddaten!$A445="Geprüft",Programme_Grunddaten!F445&lt;&gt;""),Programme_Grunddaten!F445,"")</f>
        <v/>
      </c>
      <c r="G440" s="3" t="str">
        <f>IF(AND(Programme_Grunddaten!$A445="Geprüft",Programme_Grunddaten!S445&lt;&gt;""),Programme_Grunddaten!S445,"")</f>
        <v/>
      </c>
      <c r="H440" t="str">
        <f>IF(AND(Programme_Grunddaten!$A445="Geprüft",Programme_Grunddaten!AW445&lt;&gt;""),Programme_Grunddaten!AW445,"")</f>
        <v/>
      </c>
      <c r="I440" t="str">
        <f>IF(AND(Programme_Grunddaten!$A445="Geprüft",Programme_Grunddaten!AX445&lt;&gt;""),Programme_Grunddaten!AX445,"")</f>
        <v/>
      </c>
    </row>
    <row r="441" spans="1:9" x14ac:dyDescent="0.3">
      <c r="A441" s="1" t="str">
        <f>IF(AND(Programme_Grunddaten!$A446="Geprüft",Programme_Grunddaten!B446&lt;&gt;""),Programme_Grunddaten!B446,"")</f>
        <v/>
      </c>
      <c r="B441" s="1" t="str">
        <f>IF(AND(Programme_Grunddaten!$A446="Geprüft",Programme_Grunddaten!C446&lt;&gt;""),Programme_Grunddaten!C446,"")</f>
        <v/>
      </c>
      <c r="C441" s="1" t="str">
        <f>IF(AND(Programme_Grunddaten!$A446="Geprüft",Programme_Grunddaten!D446&lt;&gt;""),Programme_Grunddaten!D446,"")</f>
        <v/>
      </c>
      <c r="D441" s="2" t="str">
        <f>IF(AND(Programme_Grunddaten!$A446="Geprüft",Programme_Grunddaten!E446&lt;&gt;""),Programme_Grunddaten!E446,"")</f>
        <v/>
      </c>
      <c r="E441" t="str">
        <f>IF(AND(Programme_Grunddaten!$A446="Geprüft",Programme_Grunddaten!G446&lt;&gt;""),Programme_Grunddaten!G446,"")</f>
        <v/>
      </c>
      <c r="F441" t="str">
        <f>IF(AND(Programme_Grunddaten!$A446="Geprüft",Programme_Grunddaten!F446&lt;&gt;""),Programme_Grunddaten!F446,"")</f>
        <v/>
      </c>
      <c r="G441" s="3" t="str">
        <f>IF(AND(Programme_Grunddaten!$A446="Geprüft",Programme_Grunddaten!S446&lt;&gt;""),Programme_Grunddaten!S446,"")</f>
        <v/>
      </c>
      <c r="H441" t="str">
        <f>IF(AND(Programme_Grunddaten!$A446="Geprüft",Programme_Grunddaten!AW446&lt;&gt;""),Programme_Grunddaten!AW446,"")</f>
        <v/>
      </c>
      <c r="I441" t="str">
        <f>IF(AND(Programme_Grunddaten!$A446="Geprüft",Programme_Grunddaten!AX446&lt;&gt;""),Programme_Grunddaten!AX446,"")</f>
        <v/>
      </c>
    </row>
    <row r="442" spans="1:9" x14ac:dyDescent="0.3">
      <c r="A442" s="1" t="str">
        <f>IF(AND(Programme_Grunddaten!$A447="Geprüft",Programme_Grunddaten!B447&lt;&gt;""),Programme_Grunddaten!B447,"")</f>
        <v/>
      </c>
      <c r="B442" s="1" t="str">
        <f>IF(AND(Programme_Grunddaten!$A447="Geprüft",Programme_Grunddaten!C447&lt;&gt;""),Programme_Grunddaten!C447,"")</f>
        <v/>
      </c>
      <c r="C442" s="1" t="str">
        <f>IF(AND(Programme_Grunddaten!$A447="Geprüft",Programme_Grunddaten!D447&lt;&gt;""),Programme_Grunddaten!D447,"")</f>
        <v/>
      </c>
      <c r="D442" s="2" t="str">
        <f>IF(AND(Programme_Grunddaten!$A447="Geprüft",Programme_Grunddaten!E447&lt;&gt;""),Programme_Grunddaten!E447,"")</f>
        <v/>
      </c>
      <c r="E442" t="str">
        <f>IF(AND(Programme_Grunddaten!$A447="Geprüft",Programme_Grunddaten!G447&lt;&gt;""),Programme_Grunddaten!G447,"")</f>
        <v/>
      </c>
      <c r="F442" t="str">
        <f>IF(AND(Programme_Grunddaten!$A447="Geprüft",Programme_Grunddaten!F447&lt;&gt;""),Programme_Grunddaten!F447,"")</f>
        <v/>
      </c>
      <c r="G442" s="3" t="str">
        <f>IF(AND(Programme_Grunddaten!$A447="Geprüft",Programme_Grunddaten!S447&lt;&gt;""),Programme_Grunddaten!S447,"")</f>
        <v/>
      </c>
      <c r="H442" t="str">
        <f>IF(AND(Programme_Grunddaten!$A447="Geprüft",Programme_Grunddaten!AW447&lt;&gt;""),Programme_Grunddaten!AW447,"")</f>
        <v/>
      </c>
      <c r="I442" t="str">
        <f>IF(AND(Programme_Grunddaten!$A447="Geprüft",Programme_Grunddaten!AX447&lt;&gt;""),Programme_Grunddaten!AX447,"")</f>
        <v/>
      </c>
    </row>
    <row r="443" spans="1:9" x14ac:dyDescent="0.3">
      <c r="A443" s="1" t="str">
        <f>IF(AND(Programme_Grunddaten!$A448="Geprüft",Programme_Grunddaten!B448&lt;&gt;""),Programme_Grunddaten!B448,"")</f>
        <v/>
      </c>
      <c r="B443" s="1" t="str">
        <f>IF(AND(Programme_Grunddaten!$A448="Geprüft",Programme_Grunddaten!C448&lt;&gt;""),Programme_Grunddaten!C448,"")</f>
        <v/>
      </c>
      <c r="C443" s="1" t="str">
        <f>IF(AND(Programme_Grunddaten!$A448="Geprüft",Programme_Grunddaten!D448&lt;&gt;""),Programme_Grunddaten!D448,"")</f>
        <v/>
      </c>
      <c r="D443" s="2" t="str">
        <f>IF(AND(Programme_Grunddaten!$A448="Geprüft",Programme_Grunddaten!E448&lt;&gt;""),Programme_Grunddaten!E448,"")</f>
        <v/>
      </c>
      <c r="E443" t="str">
        <f>IF(AND(Programme_Grunddaten!$A448="Geprüft",Programme_Grunddaten!G448&lt;&gt;""),Programme_Grunddaten!G448,"")</f>
        <v/>
      </c>
      <c r="F443" t="str">
        <f>IF(AND(Programme_Grunddaten!$A448="Geprüft",Programme_Grunddaten!F448&lt;&gt;""),Programme_Grunddaten!F448,"")</f>
        <v/>
      </c>
      <c r="G443" s="3" t="str">
        <f>IF(AND(Programme_Grunddaten!$A448="Geprüft",Programme_Grunddaten!S448&lt;&gt;""),Programme_Grunddaten!S448,"")</f>
        <v/>
      </c>
      <c r="H443" t="str">
        <f>IF(AND(Programme_Grunddaten!$A448="Geprüft",Programme_Grunddaten!AW448&lt;&gt;""),Programme_Grunddaten!AW448,"")</f>
        <v/>
      </c>
      <c r="I443" t="str">
        <f>IF(AND(Programme_Grunddaten!$A448="Geprüft",Programme_Grunddaten!AX448&lt;&gt;""),Programme_Grunddaten!AX448,"")</f>
        <v/>
      </c>
    </row>
    <row r="444" spans="1:9" x14ac:dyDescent="0.3">
      <c r="A444" s="1" t="str">
        <f>IF(AND(Programme_Grunddaten!$A449="Geprüft",Programme_Grunddaten!B449&lt;&gt;""),Programme_Grunddaten!B449,"")</f>
        <v/>
      </c>
      <c r="B444" s="1" t="str">
        <f>IF(AND(Programme_Grunddaten!$A449="Geprüft",Programme_Grunddaten!C449&lt;&gt;""),Programme_Grunddaten!C449,"")</f>
        <v/>
      </c>
      <c r="C444" s="1" t="str">
        <f>IF(AND(Programme_Grunddaten!$A449="Geprüft",Programme_Grunddaten!D449&lt;&gt;""),Programme_Grunddaten!D449,"")</f>
        <v/>
      </c>
      <c r="D444" s="2" t="str">
        <f>IF(AND(Programme_Grunddaten!$A449="Geprüft",Programme_Grunddaten!E449&lt;&gt;""),Programme_Grunddaten!E449,"")</f>
        <v/>
      </c>
      <c r="E444" t="str">
        <f>IF(AND(Programme_Grunddaten!$A449="Geprüft",Programme_Grunddaten!G449&lt;&gt;""),Programme_Grunddaten!G449,"")</f>
        <v/>
      </c>
      <c r="F444" t="str">
        <f>IF(AND(Programme_Grunddaten!$A449="Geprüft",Programme_Grunddaten!F449&lt;&gt;""),Programme_Grunddaten!F449,"")</f>
        <v/>
      </c>
      <c r="G444" s="3" t="str">
        <f>IF(AND(Programme_Grunddaten!$A449="Geprüft",Programme_Grunddaten!S449&lt;&gt;""),Programme_Grunddaten!S449,"")</f>
        <v/>
      </c>
      <c r="H444" t="str">
        <f>IF(AND(Programme_Grunddaten!$A449="Geprüft",Programme_Grunddaten!AW449&lt;&gt;""),Programme_Grunddaten!AW449,"")</f>
        <v/>
      </c>
      <c r="I444" t="str">
        <f>IF(AND(Programme_Grunddaten!$A449="Geprüft",Programme_Grunddaten!AX449&lt;&gt;""),Programme_Grunddaten!AX449,"")</f>
        <v/>
      </c>
    </row>
    <row r="445" spans="1:9" x14ac:dyDescent="0.3">
      <c r="A445" s="1" t="str">
        <f>IF(AND(Programme_Grunddaten!$A450="Geprüft",Programme_Grunddaten!B450&lt;&gt;""),Programme_Grunddaten!B450,"")</f>
        <v/>
      </c>
      <c r="B445" s="1" t="str">
        <f>IF(AND(Programme_Grunddaten!$A450="Geprüft",Programme_Grunddaten!C450&lt;&gt;""),Programme_Grunddaten!C450,"")</f>
        <v/>
      </c>
      <c r="C445" s="1" t="str">
        <f>IF(AND(Programme_Grunddaten!$A450="Geprüft",Programme_Grunddaten!D450&lt;&gt;""),Programme_Grunddaten!D450,"")</f>
        <v/>
      </c>
      <c r="D445" s="2" t="str">
        <f>IF(AND(Programme_Grunddaten!$A450="Geprüft",Programme_Grunddaten!E450&lt;&gt;""),Programme_Grunddaten!E450,"")</f>
        <v/>
      </c>
      <c r="E445" t="str">
        <f>IF(AND(Programme_Grunddaten!$A450="Geprüft",Programme_Grunddaten!G450&lt;&gt;""),Programme_Grunddaten!G450,"")</f>
        <v/>
      </c>
      <c r="F445" t="str">
        <f>IF(AND(Programme_Grunddaten!$A450="Geprüft",Programme_Grunddaten!F450&lt;&gt;""),Programme_Grunddaten!F450,"")</f>
        <v/>
      </c>
      <c r="G445" s="3" t="str">
        <f>IF(AND(Programme_Grunddaten!$A450="Geprüft",Programme_Grunddaten!S450&lt;&gt;""),Programme_Grunddaten!S450,"")</f>
        <v/>
      </c>
      <c r="H445" t="str">
        <f>IF(AND(Programme_Grunddaten!$A450="Geprüft",Programme_Grunddaten!AW450&lt;&gt;""),Programme_Grunddaten!AW450,"")</f>
        <v/>
      </c>
      <c r="I445" t="str">
        <f>IF(AND(Programme_Grunddaten!$A450="Geprüft",Programme_Grunddaten!AX450&lt;&gt;""),Programme_Grunddaten!AX450,"")</f>
        <v/>
      </c>
    </row>
    <row r="446" spans="1:9" x14ac:dyDescent="0.3">
      <c r="A446" s="1" t="str">
        <f>IF(AND(Programme_Grunddaten!$A451="Geprüft",Programme_Grunddaten!B451&lt;&gt;""),Programme_Grunddaten!B451,"")</f>
        <v/>
      </c>
      <c r="B446" s="1" t="str">
        <f>IF(AND(Programme_Grunddaten!$A451="Geprüft",Programme_Grunddaten!C451&lt;&gt;""),Programme_Grunddaten!C451,"")</f>
        <v/>
      </c>
      <c r="C446" s="1" t="str">
        <f>IF(AND(Programme_Grunddaten!$A451="Geprüft",Programme_Grunddaten!D451&lt;&gt;""),Programme_Grunddaten!D451,"")</f>
        <v/>
      </c>
      <c r="D446" s="2" t="str">
        <f>IF(AND(Programme_Grunddaten!$A451="Geprüft",Programme_Grunddaten!E451&lt;&gt;""),Programme_Grunddaten!E451,"")</f>
        <v/>
      </c>
      <c r="E446" t="str">
        <f>IF(AND(Programme_Grunddaten!$A451="Geprüft",Programme_Grunddaten!G451&lt;&gt;""),Programme_Grunddaten!G451,"")</f>
        <v/>
      </c>
      <c r="F446" t="str">
        <f>IF(AND(Programme_Grunddaten!$A451="Geprüft",Programme_Grunddaten!F451&lt;&gt;""),Programme_Grunddaten!F451,"")</f>
        <v/>
      </c>
      <c r="G446" s="3" t="str">
        <f>IF(AND(Programme_Grunddaten!$A451="Geprüft",Programme_Grunddaten!S451&lt;&gt;""),Programme_Grunddaten!S451,"")</f>
        <v/>
      </c>
      <c r="H446" t="str">
        <f>IF(AND(Programme_Grunddaten!$A451="Geprüft",Programme_Grunddaten!AW451&lt;&gt;""),Programme_Grunddaten!AW451,"")</f>
        <v/>
      </c>
      <c r="I446" t="str">
        <f>IF(AND(Programme_Grunddaten!$A451="Geprüft",Programme_Grunddaten!AX451&lt;&gt;""),Programme_Grunddaten!AX451,"")</f>
        <v/>
      </c>
    </row>
    <row r="447" spans="1:9" x14ac:dyDescent="0.3">
      <c r="A447" s="1" t="str">
        <f>IF(AND(Programme_Grunddaten!$A452="Geprüft",Programme_Grunddaten!B452&lt;&gt;""),Programme_Grunddaten!B452,"")</f>
        <v/>
      </c>
      <c r="B447" s="1" t="str">
        <f>IF(AND(Programme_Grunddaten!$A452="Geprüft",Programme_Grunddaten!C452&lt;&gt;""),Programme_Grunddaten!C452,"")</f>
        <v/>
      </c>
      <c r="C447" s="1" t="str">
        <f>IF(AND(Programme_Grunddaten!$A452="Geprüft",Programme_Grunddaten!D452&lt;&gt;""),Programme_Grunddaten!D452,"")</f>
        <v/>
      </c>
      <c r="D447" s="2" t="str">
        <f>IF(AND(Programme_Grunddaten!$A452="Geprüft",Programme_Grunddaten!E452&lt;&gt;""),Programme_Grunddaten!E452,"")</f>
        <v/>
      </c>
      <c r="E447" t="str">
        <f>IF(AND(Programme_Grunddaten!$A452="Geprüft",Programme_Grunddaten!G452&lt;&gt;""),Programme_Grunddaten!G452,"")</f>
        <v/>
      </c>
      <c r="F447" t="str">
        <f>IF(AND(Programme_Grunddaten!$A452="Geprüft",Programme_Grunddaten!F452&lt;&gt;""),Programme_Grunddaten!F452,"")</f>
        <v/>
      </c>
      <c r="G447" s="3" t="str">
        <f>IF(AND(Programme_Grunddaten!$A452="Geprüft",Programme_Grunddaten!S452&lt;&gt;""),Programme_Grunddaten!S452,"")</f>
        <v/>
      </c>
      <c r="H447" t="str">
        <f>IF(AND(Programme_Grunddaten!$A452="Geprüft",Programme_Grunddaten!AW452&lt;&gt;""),Programme_Grunddaten!AW452,"")</f>
        <v/>
      </c>
      <c r="I447" t="str">
        <f>IF(AND(Programme_Grunddaten!$A452="Geprüft",Programme_Grunddaten!AX452&lt;&gt;""),Programme_Grunddaten!AX452,"")</f>
        <v/>
      </c>
    </row>
    <row r="448" spans="1:9" x14ac:dyDescent="0.3">
      <c r="A448" s="1" t="str">
        <f>IF(AND(Programme_Grunddaten!$A453="Geprüft",Programme_Grunddaten!B453&lt;&gt;""),Programme_Grunddaten!B453,"")</f>
        <v/>
      </c>
      <c r="B448" s="1" t="str">
        <f>IF(AND(Programme_Grunddaten!$A453="Geprüft",Programme_Grunddaten!C453&lt;&gt;""),Programme_Grunddaten!C453,"")</f>
        <v/>
      </c>
      <c r="C448" s="1" t="str">
        <f>IF(AND(Programme_Grunddaten!$A453="Geprüft",Programme_Grunddaten!D453&lt;&gt;""),Programme_Grunddaten!D453,"")</f>
        <v/>
      </c>
      <c r="D448" s="2" t="str">
        <f>IF(AND(Programme_Grunddaten!$A453="Geprüft",Programme_Grunddaten!E453&lt;&gt;""),Programme_Grunddaten!E453,"")</f>
        <v/>
      </c>
      <c r="E448" t="str">
        <f>IF(AND(Programme_Grunddaten!$A453="Geprüft",Programme_Grunddaten!G453&lt;&gt;""),Programme_Grunddaten!G453,"")</f>
        <v/>
      </c>
      <c r="F448" t="str">
        <f>IF(AND(Programme_Grunddaten!$A453="Geprüft",Programme_Grunddaten!F453&lt;&gt;""),Programme_Grunddaten!F453,"")</f>
        <v/>
      </c>
      <c r="G448" s="3" t="str">
        <f>IF(AND(Programme_Grunddaten!$A453="Geprüft",Programme_Grunddaten!S453&lt;&gt;""),Programme_Grunddaten!S453,"")</f>
        <v/>
      </c>
      <c r="H448" t="str">
        <f>IF(AND(Programme_Grunddaten!$A453="Geprüft",Programme_Grunddaten!AW453&lt;&gt;""),Programme_Grunddaten!AW453,"")</f>
        <v/>
      </c>
      <c r="I448" t="str">
        <f>IF(AND(Programme_Grunddaten!$A453="Geprüft",Programme_Grunddaten!AX453&lt;&gt;""),Programme_Grunddaten!AX453,"")</f>
        <v/>
      </c>
    </row>
    <row r="449" spans="1:9" x14ac:dyDescent="0.3">
      <c r="A449" s="1" t="str">
        <f>IF(AND(Programme_Grunddaten!$A454="Geprüft",Programme_Grunddaten!B454&lt;&gt;""),Programme_Grunddaten!B454,"")</f>
        <v/>
      </c>
      <c r="B449" s="1" t="str">
        <f>IF(AND(Programme_Grunddaten!$A454="Geprüft",Programme_Grunddaten!C454&lt;&gt;""),Programme_Grunddaten!C454,"")</f>
        <v/>
      </c>
      <c r="C449" s="1" t="str">
        <f>IF(AND(Programme_Grunddaten!$A454="Geprüft",Programme_Grunddaten!D454&lt;&gt;""),Programme_Grunddaten!D454,"")</f>
        <v/>
      </c>
      <c r="D449" s="2" t="str">
        <f>IF(AND(Programme_Grunddaten!$A454="Geprüft",Programme_Grunddaten!E454&lt;&gt;""),Programme_Grunddaten!E454,"")</f>
        <v/>
      </c>
      <c r="E449" t="str">
        <f>IF(AND(Programme_Grunddaten!$A454="Geprüft",Programme_Grunddaten!G454&lt;&gt;""),Programme_Grunddaten!G454,"")</f>
        <v/>
      </c>
      <c r="F449" t="str">
        <f>IF(AND(Programme_Grunddaten!$A454="Geprüft",Programme_Grunddaten!F454&lt;&gt;""),Programme_Grunddaten!F454,"")</f>
        <v/>
      </c>
      <c r="G449" s="3" t="str">
        <f>IF(AND(Programme_Grunddaten!$A454="Geprüft",Programme_Grunddaten!S454&lt;&gt;""),Programme_Grunddaten!S454,"")</f>
        <v/>
      </c>
      <c r="H449" t="str">
        <f>IF(AND(Programme_Grunddaten!$A454="Geprüft",Programme_Grunddaten!AW454&lt;&gt;""),Programme_Grunddaten!AW454,"")</f>
        <v/>
      </c>
      <c r="I449" t="str">
        <f>IF(AND(Programme_Grunddaten!$A454="Geprüft",Programme_Grunddaten!AX454&lt;&gt;""),Programme_Grunddaten!AX454,"")</f>
        <v/>
      </c>
    </row>
    <row r="450" spans="1:9" x14ac:dyDescent="0.3">
      <c r="A450" s="1" t="str">
        <f>IF(AND(Programme_Grunddaten!$A455="Geprüft",Programme_Grunddaten!B455&lt;&gt;""),Programme_Grunddaten!B455,"")</f>
        <v/>
      </c>
      <c r="B450" s="1" t="str">
        <f>IF(AND(Programme_Grunddaten!$A455="Geprüft",Programme_Grunddaten!C455&lt;&gt;""),Programme_Grunddaten!C455,"")</f>
        <v/>
      </c>
      <c r="C450" s="1" t="str">
        <f>IF(AND(Programme_Grunddaten!$A455="Geprüft",Programme_Grunddaten!D455&lt;&gt;""),Programme_Grunddaten!D455,"")</f>
        <v/>
      </c>
      <c r="D450" s="2" t="str">
        <f>IF(AND(Programme_Grunddaten!$A455="Geprüft",Programme_Grunddaten!E455&lt;&gt;""),Programme_Grunddaten!E455,"")</f>
        <v/>
      </c>
      <c r="E450" t="str">
        <f>IF(AND(Programme_Grunddaten!$A455="Geprüft",Programme_Grunddaten!G455&lt;&gt;""),Programme_Grunddaten!G455,"")</f>
        <v/>
      </c>
      <c r="F450" t="str">
        <f>IF(AND(Programme_Grunddaten!$A455="Geprüft",Programme_Grunddaten!F455&lt;&gt;""),Programme_Grunddaten!F455,"")</f>
        <v/>
      </c>
      <c r="G450" s="3" t="str">
        <f>IF(AND(Programme_Grunddaten!$A455="Geprüft",Programme_Grunddaten!S455&lt;&gt;""),Programme_Grunddaten!S455,"")</f>
        <v/>
      </c>
      <c r="H450" t="str">
        <f>IF(AND(Programme_Grunddaten!$A455="Geprüft",Programme_Grunddaten!AW455&lt;&gt;""),Programme_Grunddaten!AW455,"")</f>
        <v/>
      </c>
      <c r="I450" t="str">
        <f>IF(AND(Programme_Grunddaten!$A455="Geprüft",Programme_Grunddaten!AX455&lt;&gt;""),Programme_Grunddaten!AX455,"")</f>
        <v/>
      </c>
    </row>
    <row r="451" spans="1:9" x14ac:dyDescent="0.3">
      <c r="A451" s="1" t="str">
        <f>IF(AND(Programme_Grunddaten!$A456="Geprüft",Programme_Grunddaten!B456&lt;&gt;""),Programme_Grunddaten!B456,"")</f>
        <v/>
      </c>
      <c r="B451" s="1" t="str">
        <f>IF(AND(Programme_Grunddaten!$A456="Geprüft",Programme_Grunddaten!C456&lt;&gt;""),Programme_Grunddaten!C456,"")</f>
        <v/>
      </c>
      <c r="C451" s="1" t="str">
        <f>IF(AND(Programme_Grunddaten!$A456="Geprüft",Programme_Grunddaten!D456&lt;&gt;""),Programme_Grunddaten!D456,"")</f>
        <v/>
      </c>
      <c r="D451" s="2" t="str">
        <f>IF(AND(Programme_Grunddaten!$A456="Geprüft",Programme_Grunddaten!E456&lt;&gt;""),Programme_Grunddaten!E456,"")</f>
        <v/>
      </c>
      <c r="E451" t="str">
        <f>IF(AND(Programme_Grunddaten!$A456="Geprüft",Programme_Grunddaten!G456&lt;&gt;""),Programme_Grunddaten!G456,"")</f>
        <v/>
      </c>
      <c r="F451" t="str">
        <f>IF(AND(Programme_Grunddaten!$A456="Geprüft",Programme_Grunddaten!F456&lt;&gt;""),Programme_Grunddaten!F456,"")</f>
        <v/>
      </c>
      <c r="G451" s="3" t="str">
        <f>IF(AND(Programme_Grunddaten!$A456="Geprüft",Programme_Grunddaten!S456&lt;&gt;""),Programme_Grunddaten!S456,"")</f>
        <v/>
      </c>
      <c r="H451" t="str">
        <f>IF(AND(Programme_Grunddaten!$A456="Geprüft",Programme_Grunddaten!AW456&lt;&gt;""),Programme_Grunddaten!AW456,"")</f>
        <v/>
      </c>
      <c r="I451" t="str">
        <f>IF(AND(Programme_Grunddaten!$A456="Geprüft",Programme_Grunddaten!AX456&lt;&gt;""),Programme_Grunddaten!AX456,"")</f>
        <v/>
      </c>
    </row>
    <row r="452" spans="1:9" x14ac:dyDescent="0.3">
      <c r="A452" s="1" t="str">
        <f>IF(AND(Programme_Grunddaten!$A457="Geprüft",Programme_Grunddaten!B457&lt;&gt;""),Programme_Grunddaten!B457,"")</f>
        <v/>
      </c>
      <c r="B452" s="1" t="str">
        <f>IF(AND(Programme_Grunddaten!$A457="Geprüft",Programme_Grunddaten!C457&lt;&gt;""),Programme_Grunddaten!C457,"")</f>
        <v/>
      </c>
      <c r="C452" s="1" t="str">
        <f>IF(AND(Programme_Grunddaten!$A457="Geprüft",Programme_Grunddaten!D457&lt;&gt;""),Programme_Grunddaten!D457,"")</f>
        <v/>
      </c>
      <c r="D452" s="2" t="str">
        <f>IF(AND(Programme_Grunddaten!$A457="Geprüft",Programme_Grunddaten!E457&lt;&gt;""),Programme_Grunddaten!E457,"")</f>
        <v/>
      </c>
      <c r="E452" t="str">
        <f>IF(AND(Programme_Grunddaten!$A457="Geprüft",Programme_Grunddaten!G457&lt;&gt;""),Programme_Grunddaten!G457,"")</f>
        <v/>
      </c>
      <c r="F452" t="str">
        <f>IF(AND(Programme_Grunddaten!$A457="Geprüft",Programme_Grunddaten!F457&lt;&gt;""),Programme_Grunddaten!F457,"")</f>
        <v/>
      </c>
      <c r="G452" s="3" t="str">
        <f>IF(AND(Programme_Grunddaten!$A457="Geprüft",Programme_Grunddaten!S457&lt;&gt;""),Programme_Grunddaten!S457,"")</f>
        <v/>
      </c>
      <c r="H452" t="str">
        <f>IF(AND(Programme_Grunddaten!$A457="Geprüft",Programme_Grunddaten!AW457&lt;&gt;""),Programme_Grunddaten!AW457,"")</f>
        <v/>
      </c>
      <c r="I452" t="str">
        <f>IF(AND(Programme_Grunddaten!$A457="Geprüft",Programme_Grunddaten!AX457&lt;&gt;""),Programme_Grunddaten!AX457,"")</f>
        <v/>
      </c>
    </row>
    <row r="453" spans="1:9" x14ac:dyDescent="0.3">
      <c r="A453" s="1" t="str">
        <f>IF(AND(Programme_Grunddaten!$A458="Geprüft",Programme_Grunddaten!B458&lt;&gt;""),Programme_Grunddaten!B458,"")</f>
        <v/>
      </c>
      <c r="B453" s="1" t="str">
        <f>IF(AND(Programme_Grunddaten!$A458="Geprüft",Programme_Grunddaten!C458&lt;&gt;""),Programme_Grunddaten!C458,"")</f>
        <v/>
      </c>
      <c r="C453" s="1" t="str">
        <f>IF(AND(Programme_Grunddaten!$A458="Geprüft",Programme_Grunddaten!D458&lt;&gt;""),Programme_Grunddaten!D458,"")</f>
        <v/>
      </c>
      <c r="D453" s="2" t="str">
        <f>IF(AND(Programme_Grunddaten!$A458="Geprüft",Programme_Grunddaten!E458&lt;&gt;""),Programme_Grunddaten!E458,"")</f>
        <v/>
      </c>
      <c r="E453" t="str">
        <f>IF(AND(Programme_Grunddaten!$A458="Geprüft",Programme_Grunddaten!G458&lt;&gt;""),Programme_Grunddaten!G458,"")</f>
        <v/>
      </c>
      <c r="F453" t="str">
        <f>IF(AND(Programme_Grunddaten!$A458="Geprüft",Programme_Grunddaten!F458&lt;&gt;""),Programme_Grunddaten!F458,"")</f>
        <v/>
      </c>
      <c r="G453" s="3" t="str">
        <f>IF(AND(Programme_Grunddaten!$A458="Geprüft",Programme_Grunddaten!S458&lt;&gt;""),Programme_Grunddaten!S458,"")</f>
        <v/>
      </c>
      <c r="H453" t="str">
        <f>IF(AND(Programme_Grunddaten!$A458="Geprüft",Programme_Grunddaten!AW458&lt;&gt;""),Programme_Grunddaten!AW458,"")</f>
        <v/>
      </c>
      <c r="I453" t="str">
        <f>IF(AND(Programme_Grunddaten!$A458="Geprüft",Programme_Grunddaten!AX458&lt;&gt;""),Programme_Grunddaten!AX458,"")</f>
        <v/>
      </c>
    </row>
    <row r="454" spans="1:9" x14ac:dyDescent="0.3">
      <c r="A454" s="1" t="str">
        <f>IF(AND(Programme_Grunddaten!$A459="Geprüft",Programme_Grunddaten!B459&lt;&gt;""),Programme_Grunddaten!B459,"")</f>
        <v/>
      </c>
      <c r="B454" s="1" t="str">
        <f>IF(AND(Programme_Grunddaten!$A459="Geprüft",Programme_Grunddaten!C459&lt;&gt;""),Programme_Grunddaten!C459,"")</f>
        <v/>
      </c>
      <c r="C454" s="1" t="str">
        <f>IF(AND(Programme_Grunddaten!$A459="Geprüft",Programme_Grunddaten!D459&lt;&gt;""),Programme_Grunddaten!D459,"")</f>
        <v/>
      </c>
      <c r="D454" s="2" t="str">
        <f>IF(AND(Programme_Grunddaten!$A459="Geprüft",Programme_Grunddaten!E459&lt;&gt;""),Programme_Grunddaten!E459,"")</f>
        <v/>
      </c>
      <c r="E454" t="str">
        <f>IF(AND(Programme_Grunddaten!$A459="Geprüft",Programme_Grunddaten!G459&lt;&gt;""),Programme_Grunddaten!G459,"")</f>
        <v/>
      </c>
      <c r="F454" t="str">
        <f>IF(AND(Programme_Grunddaten!$A459="Geprüft",Programme_Grunddaten!F459&lt;&gt;""),Programme_Grunddaten!F459,"")</f>
        <v/>
      </c>
      <c r="G454" s="3" t="str">
        <f>IF(AND(Programme_Grunddaten!$A459="Geprüft",Programme_Grunddaten!S459&lt;&gt;""),Programme_Grunddaten!S459,"")</f>
        <v/>
      </c>
      <c r="H454" t="str">
        <f>IF(AND(Programme_Grunddaten!$A459="Geprüft",Programme_Grunddaten!AW459&lt;&gt;""),Programme_Grunddaten!AW459,"")</f>
        <v/>
      </c>
      <c r="I454" t="str">
        <f>IF(AND(Programme_Grunddaten!$A459="Geprüft",Programme_Grunddaten!AX459&lt;&gt;""),Programme_Grunddaten!AX459,"")</f>
        <v/>
      </c>
    </row>
    <row r="455" spans="1:9" x14ac:dyDescent="0.3">
      <c r="A455" s="1" t="str">
        <f>IF(AND(Programme_Grunddaten!$A460="Geprüft",Programme_Grunddaten!B460&lt;&gt;""),Programme_Grunddaten!B460,"")</f>
        <v/>
      </c>
      <c r="B455" s="1" t="str">
        <f>IF(AND(Programme_Grunddaten!$A460="Geprüft",Programme_Grunddaten!C460&lt;&gt;""),Programme_Grunddaten!C460,"")</f>
        <v/>
      </c>
      <c r="C455" s="1" t="str">
        <f>IF(AND(Programme_Grunddaten!$A460="Geprüft",Programme_Grunddaten!D460&lt;&gt;""),Programme_Grunddaten!D460,"")</f>
        <v/>
      </c>
      <c r="D455" s="2" t="str">
        <f>IF(AND(Programme_Grunddaten!$A460="Geprüft",Programme_Grunddaten!E460&lt;&gt;""),Programme_Grunddaten!E460,"")</f>
        <v/>
      </c>
      <c r="E455" t="str">
        <f>IF(AND(Programme_Grunddaten!$A460="Geprüft",Programme_Grunddaten!G460&lt;&gt;""),Programme_Grunddaten!G460,"")</f>
        <v/>
      </c>
      <c r="F455" t="str">
        <f>IF(AND(Programme_Grunddaten!$A460="Geprüft",Programme_Grunddaten!F460&lt;&gt;""),Programme_Grunddaten!F460,"")</f>
        <v/>
      </c>
      <c r="G455" s="3" t="str">
        <f>IF(AND(Programme_Grunddaten!$A460="Geprüft",Programme_Grunddaten!S460&lt;&gt;""),Programme_Grunddaten!S460,"")</f>
        <v/>
      </c>
      <c r="H455" t="str">
        <f>IF(AND(Programme_Grunddaten!$A460="Geprüft",Programme_Grunddaten!AW460&lt;&gt;""),Programme_Grunddaten!AW460,"")</f>
        <v/>
      </c>
      <c r="I455" t="str">
        <f>IF(AND(Programme_Grunddaten!$A460="Geprüft",Programme_Grunddaten!AX460&lt;&gt;""),Programme_Grunddaten!AX460,"")</f>
        <v/>
      </c>
    </row>
    <row r="456" spans="1:9" x14ac:dyDescent="0.3">
      <c r="A456" s="1" t="str">
        <f>IF(AND(Programme_Grunddaten!$A461="Geprüft",Programme_Grunddaten!B461&lt;&gt;""),Programme_Grunddaten!B461,"")</f>
        <v/>
      </c>
      <c r="B456" s="1" t="str">
        <f>IF(AND(Programme_Grunddaten!$A461="Geprüft",Programme_Grunddaten!C461&lt;&gt;""),Programme_Grunddaten!C461,"")</f>
        <v/>
      </c>
      <c r="C456" s="1" t="str">
        <f>IF(AND(Programme_Grunddaten!$A461="Geprüft",Programme_Grunddaten!D461&lt;&gt;""),Programme_Grunddaten!D461,"")</f>
        <v/>
      </c>
      <c r="D456" s="2" t="str">
        <f>IF(AND(Programme_Grunddaten!$A461="Geprüft",Programme_Grunddaten!E461&lt;&gt;""),Programme_Grunddaten!E461,"")</f>
        <v/>
      </c>
      <c r="E456" t="str">
        <f>IF(AND(Programme_Grunddaten!$A461="Geprüft",Programme_Grunddaten!G461&lt;&gt;""),Programme_Grunddaten!G461,"")</f>
        <v/>
      </c>
      <c r="F456" t="str">
        <f>IF(AND(Programme_Grunddaten!$A461="Geprüft",Programme_Grunddaten!F461&lt;&gt;""),Programme_Grunddaten!F461,"")</f>
        <v/>
      </c>
      <c r="G456" s="3" t="str">
        <f>IF(AND(Programme_Grunddaten!$A461="Geprüft",Programme_Grunddaten!S461&lt;&gt;""),Programme_Grunddaten!S461,"")</f>
        <v/>
      </c>
      <c r="H456" t="str">
        <f>IF(AND(Programme_Grunddaten!$A461="Geprüft",Programme_Grunddaten!AW461&lt;&gt;""),Programme_Grunddaten!AW461,"")</f>
        <v/>
      </c>
      <c r="I456" t="str">
        <f>IF(AND(Programme_Grunddaten!$A461="Geprüft",Programme_Grunddaten!AX461&lt;&gt;""),Programme_Grunddaten!AX461,"")</f>
        <v/>
      </c>
    </row>
    <row r="457" spans="1:9" x14ac:dyDescent="0.3">
      <c r="A457" s="1" t="str">
        <f>IF(AND(Programme_Grunddaten!$A462="Geprüft",Programme_Grunddaten!B462&lt;&gt;""),Programme_Grunddaten!B462,"")</f>
        <v/>
      </c>
      <c r="B457" s="1" t="str">
        <f>IF(AND(Programme_Grunddaten!$A462="Geprüft",Programme_Grunddaten!C462&lt;&gt;""),Programme_Grunddaten!C462,"")</f>
        <v/>
      </c>
      <c r="C457" s="1" t="str">
        <f>IF(AND(Programme_Grunddaten!$A462="Geprüft",Programme_Grunddaten!D462&lt;&gt;""),Programme_Grunddaten!D462,"")</f>
        <v/>
      </c>
      <c r="D457" s="2" t="str">
        <f>IF(AND(Programme_Grunddaten!$A462="Geprüft",Programme_Grunddaten!E462&lt;&gt;""),Programme_Grunddaten!E462,"")</f>
        <v/>
      </c>
      <c r="E457" t="str">
        <f>IF(AND(Programme_Grunddaten!$A462="Geprüft",Programme_Grunddaten!G462&lt;&gt;""),Programme_Grunddaten!G462,"")</f>
        <v/>
      </c>
      <c r="F457" t="str">
        <f>IF(AND(Programme_Grunddaten!$A462="Geprüft",Programme_Grunddaten!F462&lt;&gt;""),Programme_Grunddaten!F462,"")</f>
        <v/>
      </c>
      <c r="G457" s="3" t="str">
        <f>IF(AND(Programme_Grunddaten!$A462="Geprüft",Programme_Grunddaten!S462&lt;&gt;""),Programme_Grunddaten!S462,"")</f>
        <v/>
      </c>
      <c r="H457" t="str">
        <f>IF(AND(Programme_Grunddaten!$A462="Geprüft",Programme_Grunddaten!AW462&lt;&gt;""),Programme_Grunddaten!AW462,"")</f>
        <v/>
      </c>
      <c r="I457" t="str">
        <f>IF(AND(Programme_Grunddaten!$A462="Geprüft",Programme_Grunddaten!AX462&lt;&gt;""),Programme_Grunddaten!AX462,"")</f>
        <v/>
      </c>
    </row>
    <row r="458" spans="1:9" x14ac:dyDescent="0.3">
      <c r="A458" s="1" t="str">
        <f>IF(AND(Programme_Grunddaten!$A463="Geprüft",Programme_Grunddaten!B463&lt;&gt;""),Programme_Grunddaten!B463,"")</f>
        <v/>
      </c>
      <c r="B458" s="1" t="str">
        <f>IF(AND(Programme_Grunddaten!$A463="Geprüft",Programme_Grunddaten!C463&lt;&gt;""),Programme_Grunddaten!C463,"")</f>
        <v/>
      </c>
      <c r="C458" s="1" t="str">
        <f>IF(AND(Programme_Grunddaten!$A463="Geprüft",Programme_Grunddaten!D463&lt;&gt;""),Programme_Grunddaten!D463,"")</f>
        <v/>
      </c>
      <c r="D458" s="2" t="str">
        <f>IF(AND(Programme_Grunddaten!$A463="Geprüft",Programme_Grunddaten!E463&lt;&gt;""),Programme_Grunddaten!E463,"")</f>
        <v/>
      </c>
      <c r="E458" t="str">
        <f>IF(AND(Programme_Grunddaten!$A463="Geprüft",Programme_Grunddaten!G463&lt;&gt;""),Programme_Grunddaten!G463,"")</f>
        <v/>
      </c>
      <c r="F458" t="str">
        <f>IF(AND(Programme_Grunddaten!$A463="Geprüft",Programme_Grunddaten!F463&lt;&gt;""),Programme_Grunddaten!F463,"")</f>
        <v/>
      </c>
      <c r="G458" s="3" t="str">
        <f>IF(AND(Programme_Grunddaten!$A463="Geprüft",Programme_Grunddaten!S463&lt;&gt;""),Programme_Grunddaten!S463,"")</f>
        <v/>
      </c>
      <c r="H458" t="str">
        <f>IF(AND(Programme_Grunddaten!$A463="Geprüft",Programme_Grunddaten!AW463&lt;&gt;""),Programme_Grunddaten!AW463,"")</f>
        <v/>
      </c>
      <c r="I458" t="str">
        <f>IF(AND(Programme_Grunddaten!$A463="Geprüft",Programme_Grunddaten!AX463&lt;&gt;""),Programme_Grunddaten!AX463,"")</f>
        <v/>
      </c>
    </row>
    <row r="459" spans="1:9" x14ac:dyDescent="0.3">
      <c r="A459" s="1" t="str">
        <f>IF(AND(Programme_Grunddaten!$A464="Geprüft",Programme_Grunddaten!B464&lt;&gt;""),Programme_Grunddaten!B464,"")</f>
        <v/>
      </c>
      <c r="B459" s="1" t="str">
        <f>IF(AND(Programme_Grunddaten!$A464="Geprüft",Programme_Grunddaten!C464&lt;&gt;""),Programme_Grunddaten!C464,"")</f>
        <v/>
      </c>
      <c r="C459" s="1" t="str">
        <f>IF(AND(Programme_Grunddaten!$A464="Geprüft",Programme_Grunddaten!D464&lt;&gt;""),Programme_Grunddaten!D464,"")</f>
        <v/>
      </c>
      <c r="D459" s="2" t="str">
        <f>IF(AND(Programme_Grunddaten!$A464="Geprüft",Programme_Grunddaten!E464&lt;&gt;""),Programme_Grunddaten!E464,"")</f>
        <v/>
      </c>
      <c r="E459" t="str">
        <f>IF(AND(Programme_Grunddaten!$A464="Geprüft",Programme_Grunddaten!G464&lt;&gt;""),Programme_Grunddaten!G464,"")</f>
        <v/>
      </c>
      <c r="F459" t="str">
        <f>IF(AND(Programme_Grunddaten!$A464="Geprüft",Programme_Grunddaten!F464&lt;&gt;""),Programme_Grunddaten!F464,"")</f>
        <v/>
      </c>
      <c r="G459" s="3" t="str">
        <f>IF(AND(Programme_Grunddaten!$A464="Geprüft",Programme_Grunddaten!S464&lt;&gt;""),Programme_Grunddaten!S464,"")</f>
        <v/>
      </c>
      <c r="H459" t="str">
        <f>IF(AND(Programme_Grunddaten!$A464="Geprüft",Programme_Grunddaten!AW464&lt;&gt;""),Programme_Grunddaten!AW464,"")</f>
        <v/>
      </c>
      <c r="I459" t="str">
        <f>IF(AND(Programme_Grunddaten!$A464="Geprüft",Programme_Grunddaten!AX464&lt;&gt;""),Programme_Grunddaten!AX464,"")</f>
        <v/>
      </c>
    </row>
    <row r="460" spans="1:9" x14ac:dyDescent="0.3">
      <c r="A460" s="1" t="str">
        <f>IF(AND(Programme_Grunddaten!$A465="Geprüft",Programme_Grunddaten!B465&lt;&gt;""),Programme_Grunddaten!B465,"")</f>
        <v/>
      </c>
      <c r="B460" s="1" t="str">
        <f>IF(AND(Programme_Grunddaten!$A465="Geprüft",Programme_Grunddaten!C465&lt;&gt;""),Programme_Grunddaten!C465,"")</f>
        <v/>
      </c>
      <c r="C460" s="1" t="str">
        <f>IF(AND(Programme_Grunddaten!$A465="Geprüft",Programme_Grunddaten!D465&lt;&gt;""),Programme_Grunddaten!D465,"")</f>
        <v/>
      </c>
      <c r="D460" s="2" t="str">
        <f>IF(AND(Programme_Grunddaten!$A465="Geprüft",Programme_Grunddaten!E465&lt;&gt;""),Programme_Grunddaten!E465,"")</f>
        <v/>
      </c>
      <c r="E460" t="str">
        <f>IF(AND(Programme_Grunddaten!$A465="Geprüft",Programme_Grunddaten!G465&lt;&gt;""),Programme_Grunddaten!G465,"")</f>
        <v/>
      </c>
      <c r="F460" t="str">
        <f>IF(AND(Programme_Grunddaten!$A465="Geprüft",Programme_Grunddaten!F465&lt;&gt;""),Programme_Grunddaten!F465,"")</f>
        <v/>
      </c>
      <c r="G460" s="3" t="str">
        <f>IF(AND(Programme_Grunddaten!$A465="Geprüft",Programme_Grunddaten!S465&lt;&gt;""),Programme_Grunddaten!S465,"")</f>
        <v/>
      </c>
      <c r="H460" t="str">
        <f>IF(AND(Programme_Grunddaten!$A465="Geprüft",Programme_Grunddaten!AW465&lt;&gt;""),Programme_Grunddaten!AW465,"")</f>
        <v/>
      </c>
      <c r="I460" t="str">
        <f>IF(AND(Programme_Grunddaten!$A465="Geprüft",Programme_Grunddaten!AX465&lt;&gt;""),Programme_Grunddaten!AX465,"")</f>
        <v/>
      </c>
    </row>
    <row r="461" spans="1:9" x14ac:dyDescent="0.3">
      <c r="A461" s="1" t="str">
        <f>IF(AND(Programme_Grunddaten!$A466="Geprüft",Programme_Grunddaten!B466&lt;&gt;""),Programme_Grunddaten!B466,"")</f>
        <v/>
      </c>
      <c r="B461" s="1" t="str">
        <f>IF(AND(Programme_Grunddaten!$A466="Geprüft",Programme_Grunddaten!C466&lt;&gt;""),Programme_Grunddaten!C466,"")</f>
        <v/>
      </c>
      <c r="C461" s="1" t="str">
        <f>IF(AND(Programme_Grunddaten!$A466="Geprüft",Programme_Grunddaten!D466&lt;&gt;""),Programme_Grunddaten!D466,"")</f>
        <v/>
      </c>
      <c r="D461" s="2" t="str">
        <f>IF(AND(Programme_Grunddaten!$A466="Geprüft",Programme_Grunddaten!E466&lt;&gt;""),Programme_Grunddaten!E466,"")</f>
        <v/>
      </c>
      <c r="E461" t="str">
        <f>IF(AND(Programme_Grunddaten!$A466="Geprüft",Programme_Grunddaten!G466&lt;&gt;""),Programme_Grunddaten!G466,"")</f>
        <v/>
      </c>
      <c r="F461" t="str">
        <f>IF(AND(Programme_Grunddaten!$A466="Geprüft",Programme_Grunddaten!F466&lt;&gt;""),Programme_Grunddaten!F466,"")</f>
        <v/>
      </c>
      <c r="G461" s="3" t="str">
        <f>IF(AND(Programme_Grunddaten!$A466="Geprüft",Programme_Grunddaten!S466&lt;&gt;""),Programme_Grunddaten!S466,"")</f>
        <v/>
      </c>
      <c r="H461" t="str">
        <f>IF(AND(Programme_Grunddaten!$A466="Geprüft",Programme_Grunddaten!AW466&lt;&gt;""),Programme_Grunddaten!AW466,"")</f>
        <v/>
      </c>
      <c r="I461" t="str">
        <f>IF(AND(Programme_Grunddaten!$A466="Geprüft",Programme_Grunddaten!AX466&lt;&gt;""),Programme_Grunddaten!AX466,"")</f>
        <v/>
      </c>
    </row>
    <row r="462" spans="1:9" x14ac:dyDescent="0.3">
      <c r="A462" s="1" t="str">
        <f>IF(AND(Programme_Grunddaten!$A467="Geprüft",Programme_Grunddaten!B467&lt;&gt;""),Programme_Grunddaten!B467,"")</f>
        <v/>
      </c>
      <c r="B462" s="1" t="str">
        <f>IF(AND(Programme_Grunddaten!$A467="Geprüft",Programme_Grunddaten!C467&lt;&gt;""),Programme_Grunddaten!C467,"")</f>
        <v/>
      </c>
      <c r="C462" s="1" t="str">
        <f>IF(AND(Programme_Grunddaten!$A467="Geprüft",Programme_Grunddaten!D467&lt;&gt;""),Programme_Grunddaten!D467,"")</f>
        <v/>
      </c>
      <c r="D462" s="2" t="str">
        <f>IF(AND(Programme_Grunddaten!$A467="Geprüft",Programme_Grunddaten!E467&lt;&gt;""),Programme_Grunddaten!E467,"")</f>
        <v/>
      </c>
      <c r="E462" t="str">
        <f>IF(AND(Programme_Grunddaten!$A467="Geprüft",Programme_Grunddaten!G467&lt;&gt;""),Programme_Grunddaten!G467,"")</f>
        <v/>
      </c>
      <c r="F462" t="str">
        <f>IF(AND(Programme_Grunddaten!$A467="Geprüft",Programme_Grunddaten!F467&lt;&gt;""),Programme_Grunddaten!F467,"")</f>
        <v/>
      </c>
      <c r="G462" s="3" t="str">
        <f>IF(AND(Programme_Grunddaten!$A467="Geprüft",Programme_Grunddaten!S467&lt;&gt;""),Programme_Grunddaten!S467,"")</f>
        <v/>
      </c>
      <c r="H462" t="str">
        <f>IF(AND(Programme_Grunddaten!$A467="Geprüft",Programme_Grunddaten!AW467&lt;&gt;""),Programme_Grunddaten!AW467,"")</f>
        <v/>
      </c>
      <c r="I462" t="str">
        <f>IF(AND(Programme_Grunddaten!$A467="Geprüft",Programme_Grunddaten!AX467&lt;&gt;""),Programme_Grunddaten!AX467,"")</f>
        <v/>
      </c>
    </row>
    <row r="463" spans="1:9" x14ac:dyDescent="0.3">
      <c r="A463" s="1" t="str">
        <f>IF(AND(Programme_Grunddaten!$A468="Geprüft",Programme_Grunddaten!B468&lt;&gt;""),Programme_Grunddaten!B468,"")</f>
        <v/>
      </c>
      <c r="B463" s="1" t="str">
        <f>IF(AND(Programme_Grunddaten!$A468="Geprüft",Programme_Grunddaten!C468&lt;&gt;""),Programme_Grunddaten!C468,"")</f>
        <v/>
      </c>
      <c r="C463" s="1" t="str">
        <f>IF(AND(Programme_Grunddaten!$A468="Geprüft",Programme_Grunddaten!D468&lt;&gt;""),Programme_Grunddaten!D468,"")</f>
        <v/>
      </c>
      <c r="D463" s="2" t="str">
        <f>IF(AND(Programme_Grunddaten!$A468="Geprüft",Programme_Grunddaten!E468&lt;&gt;""),Programme_Grunddaten!E468,"")</f>
        <v/>
      </c>
      <c r="E463" t="str">
        <f>IF(AND(Programme_Grunddaten!$A468="Geprüft",Programme_Grunddaten!G468&lt;&gt;""),Programme_Grunddaten!G468,"")</f>
        <v/>
      </c>
      <c r="F463" t="str">
        <f>IF(AND(Programme_Grunddaten!$A468="Geprüft",Programme_Grunddaten!F468&lt;&gt;""),Programme_Grunddaten!F468,"")</f>
        <v/>
      </c>
      <c r="G463" s="3" t="str">
        <f>IF(AND(Programme_Grunddaten!$A468="Geprüft",Programme_Grunddaten!S468&lt;&gt;""),Programme_Grunddaten!S468,"")</f>
        <v/>
      </c>
      <c r="H463" t="str">
        <f>IF(AND(Programme_Grunddaten!$A468="Geprüft",Programme_Grunddaten!AW468&lt;&gt;""),Programme_Grunddaten!AW468,"")</f>
        <v/>
      </c>
      <c r="I463" t="str">
        <f>IF(AND(Programme_Grunddaten!$A468="Geprüft",Programme_Grunddaten!AX468&lt;&gt;""),Programme_Grunddaten!AX468,"")</f>
        <v/>
      </c>
    </row>
    <row r="464" spans="1:9" x14ac:dyDescent="0.3">
      <c r="A464" s="1" t="str">
        <f>IF(AND(Programme_Grunddaten!$A469="Geprüft",Programme_Grunddaten!B469&lt;&gt;""),Programme_Grunddaten!B469,"")</f>
        <v/>
      </c>
      <c r="B464" s="1" t="str">
        <f>IF(AND(Programme_Grunddaten!$A469="Geprüft",Programme_Grunddaten!C469&lt;&gt;""),Programme_Grunddaten!C469,"")</f>
        <v/>
      </c>
      <c r="C464" s="1" t="str">
        <f>IF(AND(Programme_Grunddaten!$A469="Geprüft",Programme_Grunddaten!D469&lt;&gt;""),Programme_Grunddaten!D469,"")</f>
        <v/>
      </c>
      <c r="D464" s="2" t="str">
        <f>IF(AND(Programme_Grunddaten!$A469="Geprüft",Programme_Grunddaten!E469&lt;&gt;""),Programme_Grunddaten!E469,"")</f>
        <v/>
      </c>
      <c r="E464" t="str">
        <f>IF(AND(Programme_Grunddaten!$A469="Geprüft",Programme_Grunddaten!G469&lt;&gt;""),Programme_Grunddaten!G469,"")</f>
        <v/>
      </c>
      <c r="F464" t="str">
        <f>IF(AND(Programme_Grunddaten!$A469="Geprüft",Programme_Grunddaten!F469&lt;&gt;""),Programme_Grunddaten!F469,"")</f>
        <v/>
      </c>
      <c r="G464" s="3" t="str">
        <f>IF(AND(Programme_Grunddaten!$A469="Geprüft",Programme_Grunddaten!S469&lt;&gt;""),Programme_Grunddaten!S469,"")</f>
        <v/>
      </c>
      <c r="H464" t="str">
        <f>IF(AND(Programme_Grunddaten!$A469="Geprüft",Programme_Grunddaten!AW469&lt;&gt;""),Programme_Grunddaten!AW469,"")</f>
        <v/>
      </c>
      <c r="I464" t="str">
        <f>IF(AND(Programme_Grunddaten!$A469="Geprüft",Programme_Grunddaten!AX469&lt;&gt;""),Programme_Grunddaten!AX469,"")</f>
        <v/>
      </c>
    </row>
    <row r="465" spans="1:9" x14ac:dyDescent="0.3">
      <c r="A465" s="1" t="str">
        <f>IF(AND(Programme_Grunddaten!$A470="Geprüft",Programme_Grunddaten!B470&lt;&gt;""),Programme_Grunddaten!B470,"")</f>
        <v/>
      </c>
      <c r="B465" s="1" t="str">
        <f>IF(AND(Programme_Grunddaten!$A470="Geprüft",Programme_Grunddaten!C470&lt;&gt;""),Programme_Grunddaten!C470,"")</f>
        <v/>
      </c>
      <c r="C465" s="1" t="str">
        <f>IF(AND(Programme_Grunddaten!$A470="Geprüft",Programme_Grunddaten!D470&lt;&gt;""),Programme_Grunddaten!D470,"")</f>
        <v/>
      </c>
      <c r="D465" s="2" t="str">
        <f>IF(AND(Programme_Grunddaten!$A470="Geprüft",Programme_Grunddaten!E470&lt;&gt;""),Programme_Grunddaten!E470,"")</f>
        <v/>
      </c>
      <c r="E465" t="str">
        <f>IF(AND(Programme_Grunddaten!$A470="Geprüft",Programme_Grunddaten!G470&lt;&gt;""),Programme_Grunddaten!G470,"")</f>
        <v/>
      </c>
      <c r="F465" t="str">
        <f>IF(AND(Programme_Grunddaten!$A470="Geprüft",Programme_Grunddaten!F470&lt;&gt;""),Programme_Grunddaten!F470,"")</f>
        <v/>
      </c>
      <c r="G465" s="3" t="str">
        <f>IF(AND(Programme_Grunddaten!$A470="Geprüft",Programme_Grunddaten!S470&lt;&gt;""),Programme_Grunddaten!S470,"")</f>
        <v/>
      </c>
      <c r="H465" t="str">
        <f>IF(AND(Programme_Grunddaten!$A470="Geprüft",Programme_Grunddaten!AW470&lt;&gt;""),Programme_Grunddaten!AW470,"")</f>
        <v/>
      </c>
      <c r="I465" t="str">
        <f>IF(AND(Programme_Grunddaten!$A470="Geprüft",Programme_Grunddaten!AX470&lt;&gt;""),Programme_Grunddaten!AX470,"")</f>
        <v/>
      </c>
    </row>
    <row r="466" spans="1:9" x14ac:dyDescent="0.3">
      <c r="A466" s="1" t="str">
        <f>IF(AND(Programme_Grunddaten!$A471="Geprüft",Programme_Grunddaten!B471&lt;&gt;""),Programme_Grunddaten!B471,"")</f>
        <v/>
      </c>
      <c r="B466" s="1" t="str">
        <f>IF(AND(Programme_Grunddaten!$A471="Geprüft",Programme_Grunddaten!C471&lt;&gt;""),Programme_Grunddaten!C471,"")</f>
        <v/>
      </c>
      <c r="C466" s="1" t="str">
        <f>IF(AND(Programme_Grunddaten!$A471="Geprüft",Programme_Grunddaten!D471&lt;&gt;""),Programme_Grunddaten!D471,"")</f>
        <v/>
      </c>
      <c r="D466" s="2" t="str">
        <f>IF(AND(Programme_Grunddaten!$A471="Geprüft",Programme_Grunddaten!E471&lt;&gt;""),Programme_Grunddaten!E471,"")</f>
        <v/>
      </c>
      <c r="E466" t="str">
        <f>IF(AND(Programme_Grunddaten!$A471="Geprüft",Programme_Grunddaten!G471&lt;&gt;""),Programme_Grunddaten!G471,"")</f>
        <v/>
      </c>
      <c r="F466" t="str">
        <f>IF(AND(Programme_Grunddaten!$A471="Geprüft",Programme_Grunddaten!F471&lt;&gt;""),Programme_Grunddaten!F471,"")</f>
        <v/>
      </c>
      <c r="G466" s="3" t="str">
        <f>IF(AND(Programme_Grunddaten!$A471="Geprüft",Programme_Grunddaten!S471&lt;&gt;""),Programme_Grunddaten!S471,"")</f>
        <v/>
      </c>
      <c r="H466" t="str">
        <f>IF(AND(Programme_Grunddaten!$A471="Geprüft",Programme_Grunddaten!AW471&lt;&gt;""),Programme_Grunddaten!AW471,"")</f>
        <v/>
      </c>
      <c r="I466" t="str">
        <f>IF(AND(Programme_Grunddaten!$A471="Geprüft",Programme_Grunddaten!AX471&lt;&gt;""),Programme_Grunddaten!AX471,"")</f>
        <v/>
      </c>
    </row>
    <row r="467" spans="1:9" x14ac:dyDescent="0.3">
      <c r="A467" s="1" t="str">
        <f>IF(AND(Programme_Grunddaten!$A472="Geprüft",Programme_Grunddaten!B472&lt;&gt;""),Programme_Grunddaten!B472,"")</f>
        <v/>
      </c>
      <c r="B467" s="1" t="str">
        <f>IF(AND(Programme_Grunddaten!$A472="Geprüft",Programme_Grunddaten!C472&lt;&gt;""),Programme_Grunddaten!C472,"")</f>
        <v/>
      </c>
      <c r="C467" s="1" t="str">
        <f>IF(AND(Programme_Grunddaten!$A472="Geprüft",Programme_Grunddaten!D472&lt;&gt;""),Programme_Grunddaten!D472,"")</f>
        <v/>
      </c>
      <c r="D467" s="2" t="str">
        <f>IF(AND(Programme_Grunddaten!$A472="Geprüft",Programme_Grunddaten!E472&lt;&gt;""),Programme_Grunddaten!E472,"")</f>
        <v/>
      </c>
      <c r="E467" t="str">
        <f>IF(AND(Programme_Grunddaten!$A472="Geprüft",Programme_Grunddaten!G472&lt;&gt;""),Programme_Grunddaten!G472,"")</f>
        <v/>
      </c>
      <c r="F467" t="str">
        <f>IF(AND(Programme_Grunddaten!$A472="Geprüft",Programme_Grunddaten!F472&lt;&gt;""),Programme_Grunddaten!F472,"")</f>
        <v/>
      </c>
      <c r="G467" s="3" t="str">
        <f>IF(AND(Programme_Grunddaten!$A472="Geprüft",Programme_Grunddaten!S472&lt;&gt;""),Programme_Grunddaten!S472,"")</f>
        <v/>
      </c>
      <c r="H467" t="str">
        <f>IF(AND(Programme_Grunddaten!$A472="Geprüft",Programme_Grunddaten!AW472&lt;&gt;""),Programme_Grunddaten!AW472,"")</f>
        <v/>
      </c>
      <c r="I467" t="str">
        <f>IF(AND(Programme_Grunddaten!$A472="Geprüft",Programme_Grunddaten!AX472&lt;&gt;""),Programme_Grunddaten!AX472,"")</f>
        <v/>
      </c>
    </row>
    <row r="468" spans="1:9" x14ac:dyDescent="0.3">
      <c r="A468" s="1" t="str">
        <f>IF(AND(Programme_Grunddaten!$A473="Geprüft",Programme_Grunddaten!B473&lt;&gt;""),Programme_Grunddaten!B473,"")</f>
        <v/>
      </c>
      <c r="B468" s="1" t="str">
        <f>IF(AND(Programme_Grunddaten!$A473="Geprüft",Programme_Grunddaten!C473&lt;&gt;""),Programme_Grunddaten!C473,"")</f>
        <v/>
      </c>
      <c r="C468" s="1" t="str">
        <f>IF(AND(Programme_Grunddaten!$A473="Geprüft",Programme_Grunddaten!D473&lt;&gt;""),Programme_Grunddaten!D473,"")</f>
        <v/>
      </c>
      <c r="D468" s="2" t="str">
        <f>IF(AND(Programme_Grunddaten!$A473="Geprüft",Programme_Grunddaten!E473&lt;&gt;""),Programme_Grunddaten!E473,"")</f>
        <v/>
      </c>
      <c r="E468" t="str">
        <f>IF(AND(Programme_Grunddaten!$A473="Geprüft",Programme_Grunddaten!G473&lt;&gt;""),Programme_Grunddaten!G473,"")</f>
        <v/>
      </c>
      <c r="F468" t="str">
        <f>IF(AND(Programme_Grunddaten!$A473="Geprüft",Programme_Grunddaten!F473&lt;&gt;""),Programme_Grunddaten!F473,"")</f>
        <v/>
      </c>
      <c r="G468" s="3" t="str">
        <f>IF(AND(Programme_Grunddaten!$A473="Geprüft",Programme_Grunddaten!S473&lt;&gt;""),Programme_Grunddaten!S473,"")</f>
        <v/>
      </c>
      <c r="H468" t="str">
        <f>IF(AND(Programme_Grunddaten!$A473="Geprüft",Programme_Grunddaten!AW473&lt;&gt;""),Programme_Grunddaten!AW473,"")</f>
        <v/>
      </c>
      <c r="I468" t="str">
        <f>IF(AND(Programme_Grunddaten!$A473="Geprüft",Programme_Grunddaten!AX473&lt;&gt;""),Programme_Grunddaten!AX473,"")</f>
        <v/>
      </c>
    </row>
    <row r="469" spans="1:9" x14ac:dyDescent="0.3">
      <c r="A469" s="1" t="str">
        <f>IF(AND(Programme_Grunddaten!$A474="Geprüft",Programme_Grunddaten!B474&lt;&gt;""),Programme_Grunddaten!B474,"")</f>
        <v/>
      </c>
      <c r="B469" s="1" t="str">
        <f>IF(AND(Programme_Grunddaten!$A474="Geprüft",Programme_Grunddaten!C474&lt;&gt;""),Programme_Grunddaten!C474,"")</f>
        <v/>
      </c>
      <c r="C469" s="1" t="str">
        <f>IF(AND(Programme_Grunddaten!$A474="Geprüft",Programme_Grunddaten!D474&lt;&gt;""),Programme_Grunddaten!D474,"")</f>
        <v/>
      </c>
      <c r="D469" s="2" t="str">
        <f>IF(AND(Programme_Grunddaten!$A474="Geprüft",Programme_Grunddaten!E474&lt;&gt;""),Programme_Grunddaten!E474,"")</f>
        <v/>
      </c>
      <c r="E469" t="str">
        <f>IF(AND(Programme_Grunddaten!$A474="Geprüft",Programme_Grunddaten!G474&lt;&gt;""),Programme_Grunddaten!G474,"")</f>
        <v/>
      </c>
      <c r="F469" t="str">
        <f>IF(AND(Programme_Grunddaten!$A474="Geprüft",Programme_Grunddaten!F474&lt;&gt;""),Programme_Grunddaten!F474,"")</f>
        <v/>
      </c>
      <c r="G469" s="3" t="str">
        <f>IF(AND(Programme_Grunddaten!$A474="Geprüft",Programme_Grunddaten!S474&lt;&gt;""),Programme_Grunddaten!S474,"")</f>
        <v/>
      </c>
      <c r="H469" t="str">
        <f>IF(AND(Programme_Grunddaten!$A474="Geprüft",Programme_Grunddaten!AW474&lt;&gt;""),Programme_Grunddaten!AW474,"")</f>
        <v/>
      </c>
      <c r="I469" t="str">
        <f>IF(AND(Programme_Grunddaten!$A474="Geprüft",Programme_Grunddaten!AX474&lt;&gt;""),Programme_Grunddaten!AX474,"")</f>
        <v/>
      </c>
    </row>
    <row r="470" spans="1:9" x14ac:dyDescent="0.3">
      <c r="A470" s="1" t="str">
        <f>IF(AND(Programme_Grunddaten!$A475="Geprüft",Programme_Grunddaten!B475&lt;&gt;""),Programme_Grunddaten!B475,"")</f>
        <v/>
      </c>
      <c r="B470" s="1" t="str">
        <f>IF(AND(Programme_Grunddaten!$A475="Geprüft",Programme_Grunddaten!C475&lt;&gt;""),Programme_Grunddaten!C475,"")</f>
        <v/>
      </c>
      <c r="C470" s="1" t="str">
        <f>IF(AND(Programme_Grunddaten!$A475="Geprüft",Programme_Grunddaten!D475&lt;&gt;""),Programme_Grunddaten!D475,"")</f>
        <v/>
      </c>
      <c r="D470" s="2" t="str">
        <f>IF(AND(Programme_Grunddaten!$A475="Geprüft",Programme_Grunddaten!E475&lt;&gt;""),Programme_Grunddaten!E475,"")</f>
        <v/>
      </c>
      <c r="E470" t="str">
        <f>IF(AND(Programme_Grunddaten!$A475="Geprüft",Programme_Grunddaten!G475&lt;&gt;""),Programme_Grunddaten!G475,"")</f>
        <v/>
      </c>
      <c r="F470" t="str">
        <f>IF(AND(Programme_Grunddaten!$A475="Geprüft",Programme_Grunddaten!F475&lt;&gt;""),Programme_Grunddaten!F475,"")</f>
        <v/>
      </c>
      <c r="G470" s="3" t="str">
        <f>IF(AND(Programme_Grunddaten!$A475="Geprüft",Programme_Grunddaten!S475&lt;&gt;""),Programme_Grunddaten!S475,"")</f>
        <v/>
      </c>
      <c r="H470" t="str">
        <f>IF(AND(Programme_Grunddaten!$A475="Geprüft",Programme_Grunddaten!AW475&lt;&gt;""),Programme_Grunddaten!AW475,"")</f>
        <v/>
      </c>
      <c r="I470" t="str">
        <f>IF(AND(Programme_Grunddaten!$A475="Geprüft",Programme_Grunddaten!AX475&lt;&gt;""),Programme_Grunddaten!AX475,"")</f>
        <v/>
      </c>
    </row>
    <row r="471" spans="1:9" x14ac:dyDescent="0.3">
      <c r="A471" s="1" t="str">
        <f>IF(AND(Programme_Grunddaten!$A476="Geprüft",Programme_Grunddaten!B476&lt;&gt;""),Programme_Grunddaten!B476,"")</f>
        <v/>
      </c>
      <c r="B471" s="1" t="str">
        <f>IF(AND(Programme_Grunddaten!$A476="Geprüft",Programme_Grunddaten!C476&lt;&gt;""),Programme_Grunddaten!C476,"")</f>
        <v/>
      </c>
      <c r="C471" s="1" t="str">
        <f>IF(AND(Programme_Grunddaten!$A476="Geprüft",Programme_Grunddaten!D476&lt;&gt;""),Programme_Grunddaten!D476,"")</f>
        <v/>
      </c>
      <c r="D471" s="2" t="str">
        <f>IF(AND(Programme_Grunddaten!$A476="Geprüft",Programme_Grunddaten!E476&lt;&gt;""),Programme_Grunddaten!E476,"")</f>
        <v/>
      </c>
      <c r="E471" t="str">
        <f>IF(AND(Programme_Grunddaten!$A476="Geprüft",Programme_Grunddaten!G476&lt;&gt;""),Programme_Grunddaten!G476,"")</f>
        <v/>
      </c>
      <c r="F471" t="str">
        <f>IF(AND(Programme_Grunddaten!$A476="Geprüft",Programme_Grunddaten!F476&lt;&gt;""),Programme_Grunddaten!F476,"")</f>
        <v/>
      </c>
      <c r="G471" s="3" t="str">
        <f>IF(AND(Programme_Grunddaten!$A476="Geprüft",Programme_Grunddaten!S476&lt;&gt;""),Programme_Grunddaten!S476,"")</f>
        <v/>
      </c>
      <c r="H471" t="str">
        <f>IF(AND(Programme_Grunddaten!$A476="Geprüft",Programme_Grunddaten!AW476&lt;&gt;""),Programme_Grunddaten!AW476,"")</f>
        <v/>
      </c>
      <c r="I471" t="str">
        <f>IF(AND(Programme_Grunddaten!$A476="Geprüft",Programme_Grunddaten!AX476&lt;&gt;""),Programme_Grunddaten!AX476,"")</f>
        <v/>
      </c>
    </row>
    <row r="472" spans="1:9" x14ac:dyDescent="0.3">
      <c r="A472" s="1" t="str">
        <f>IF(AND(Programme_Grunddaten!$A477="Geprüft",Programme_Grunddaten!B477&lt;&gt;""),Programme_Grunddaten!B477,"")</f>
        <v/>
      </c>
      <c r="B472" s="1" t="str">
        <f>IF(AND(Programme_Grunddaten!$A477="Geprüft",Programme_Grunddaten!C477&lt;&gt;""),Programme_Grunddaten!C477,"")</f>
        <v/>
      </c>
      <c r="C472" s="1" t="str">
        <f>IF(AND(Programme_Grunddaten!$A477="Geprüft",Programme_Grunddaten!D477&lt;&gt;""),Programme_Grunddaten!D477,"")</f>
        <v/>
      </c>
      <c r="D472" s="2" t="str">
        <f>IF(AND(Programme_Grunddaten!$A477="Geprüft",Programme_Grunddaten!E477&lt;&gt;""),Programme_Grunddaten!E477,"")</f>
        <v/>
      </c>
      <c r="E472" t="str">
        <f>IF(AND(Programme_Grunddaten!$A477="Geprüft",Programme_Grunddaten!G477&lt;&gt;""),Programme_Grunddaten!G477,"")</f>
        <v/>
      </c>
      <c r="F472" t="str">
        <f>IF(AND(Programme_Grunddaten!$A477="Geprüft",Programme_Grunddaten!F477&lt;&gt;""),Programme_Grunddaten!F477,"")</f>
        <v/>
      </c>
      <c r="G472" s="3" t="str">
        <f>IF(AND(Programme_Grunddaten!$A477="Geprüft",Programme_Grunddaten!S477&lt;&gt;""),Programme_Grunddaten!S477,"")</f>
        <v/>
      </c>
      <c r="H472" t="str">
        <f>IF(AND(Programme_Grunddaten!$A477="Geprüft",Programme_Grunddaten!AW477&lt;&gt;""),Programme_Grunddaten!AW477,"")</f>
        <v/>
      </c>
      <c r="I472" t="str">
        <f>IF(AND(Programme_Grunddaten!$A477="Geprüft",Programme_Grunddaten!AX477&lt;&gt;""),Programme_Grunddaten!AX477,"")</f>
        <v/>
      </c>
    </row>
    <row r="473" spans="1:9" x14ac:dyDescent="0.3">
      <c r="A473" s="1" t="str">
        <f>IF(AND(Programme_Grunddaten!$A478="Geprüft",Programme_Grunddaten!B478&lt;&gt;""),Programme_Grunddaten!B478,"")</f>
        <v/>
      </c>
      <c r="B473" s="1" t="str">
        <f>IF(AND(Programme_Grunddaten!$A478="Geprüft",Programme_Grunddaten!C478&lt;&gt;""),Programme_Grunddaten!C478,"")</f>
        <v/>
      </c>
      <c r="C473" s="1" t="str">
        <f>IF(AND(Programme_Grunddaten!$A478="Geprüft",Programme_Grunddaten!D478&lt;&gt;""),Programme_Grunddaten!D478,"")</f>
        <v/>
      </c>
      <c r="D473" s="2" t="str">
        <f>IF(AND(Programme_Grunddaten!$A478="Geprüft",Programme_Grunddaten!E478&lt;&gt;""),Programme_Grunddaten!E478,"")</f>
        <v/>
      </c>
      <c r="E473" t="str">
        <f>IF(AND(Programme_Grunddaten!$A478="Geprüft",Programme_Grunddaten!G478&lt;&gt;""),Programme_Grunddaten!G478,"")</f>
        <v/>
      </c>
      <c r="F473" t="str">
        <f>IF(AND(Programme_Grunddaten!$A478="Geprüft",Programme_Grunddaten!F478&lt;&gt;""),Programme_Grunddaten!F478,"")</f>
        <v/>
      </c>
      <c r="G473" s="3" t="str">
        <f>IF(AND(Programme_Grunddaten!$A478="Geprüft",Programme_Grunddaten!S478&lt;&gt;""),Programme_Grunddaten!S478,"")</f>
        <v/>
      </c>
      <c r="H473" t="str">
        <f>IF(AND(Programme_Grunddaten!$A478="Geprüft",Programme_Grunddaten!AW478&lt;&gt;""),Programme_Grunddaten!AW478,"")</f>
        <v/>
      </c>
      <c r="I473" t="str">
        <f>IF(AND(Programme_Grunddaten!$A478="Geprüft",Programme_Grunddaten!AX478&lt;&gt;""),Programme_Grunddaten!AX478,"")</f>
        <v/>
      </c>
    </row>
    <row r="474" spans="1:9" x14ac:dyDescent="0.3">
      <c r="A474" s="1" t="str">
        <f>IF(AND(Programme_Grunddaten!$A479="Geprüft",Programme_Grunddaten!B479&lt;&gt;""),Programme_Grunddaten!B479,"")</f>
        <v/>
      </c>
      <c r="B474" s="1" t="str">
        <f>IF(AND(Programme_Grunddaten!$A479="Geprüft",Programme_Grunddaten!C479&lt;&gt;""),Programme_Grunddaten!C479,"")</f>
        <v/>
      </c>
      <c r="C474" s="1" t="str">
        <f>IF(AND(Programme_Grunddaten!$A479="Geprüft",Programme_Grunddaten!D479&lt;&gt;""),Programme_Grunddaten!D479,"")</f>
        <v/>
      </c>
      <c r="D474" s="2" t="str">
        <f>IF(AND(Programme_Grunddaten!$A479="Geprüft",Programme_Grunddaten!E479&lt;&gt;""),Programme_Grunddaten!E479,"")</f>
        <v/>
      </c>
      <c r="E474" t="str">
        <f>IF(AND(Programme_Grunddaten!$A479="Geprüft",Programme_Grunddaten!G479&lt;&gt;""),Programme_Grunddaten!G479,"")</f>
        <v/>
      </c>
      <c r="F474" t="str">
        <f>IF(AND(Programme_Grunddaten!$A479="Geprüft",Programme_Grunddaten!F479&lt;&gt;""),Programme_Grunddaten!F479,"")</f>
        <v/>
      </c>
      <c r="G474" s="3" t="str">
        <f>IF(AND(Programme_Grunddaten!$A479="Geprüft",Programme_Grunddaten!S479&lt;&gt;""),Programme_Grunddaten!S479,"")</f>
        <v/>
      </c>
      <c r="H474" t="str">
        <f>IF(AND(Programme_Grunddaten!$A479="Geprüft",Programme_Grunddaten!AW479&lt;&gt;""),Programme_Grunddaten!AW479,"")</f>
        <v/>
      </c>
      <c r="I474" t="str">
        <f>IF(AND(Programme_Grunddaten!$A479="Geprüft",Programme_Grunddaten!AX479&lt;&gt;""),Programme_Grunddaten!AX479,"")</f>
        <v/>
      </c>
    </row>
    <row r="475" spans="1:9" x14ac:dyDescent="0.3">
      <c r="A475" s="1" t="str">
        <f>IF(AND(Programme_Grunddaten!$A480="Geprüft",Programme_Grunddaten!B480&lt;&gt;""),Programme_Grunddaten!B480,"")</f>
        <v/>
      </c>
      <c r="B475" s="1" t="str">
        <f>IF(AND(Programme_Grunddaten!$A480="Geprüft",Programme_Grunddaten!C480&lt;&gt;""),Programme_Grunddaten!C480,"")</f>
        <v/>
      </c>
      <c r="C475" s="1" t="str">
        <f>IF(AND(Programme_Grunddaten!$A480="Geprüft",Programme_Grunddaten!D480&lt;&gt;""),Programme_Grunddaten!D480,"")</f>
        <v/>
      </c>
      <c r="D475" s="2" t="str">
        <f>IF(AND(Programme_Grunddaten!$A480="Geprüft",Programme_Grunddaten!E480&lt;&gt;""),Programme_Grunddaten!E480,"")</f>
        <v/>
      </c>
      <c r="E475" t="str">
        <f>IF(AND(Programme_Grunddaten!$A480="Geprüft",Programme_Grunddaten!G480&lt;&gt;""),Programme_Grunddaten!G480,"")</f>
        <v/>
      </c>
      <c r="F475" t="str">
        <f>IF(AND(Programme_Grunddaten!$A480="Geprüft",Programme_Grunddaten!F480&lt;&gt;""),Programme_Grunddaten!F480,"")</f>
        <v/>
      </c>
      <c r="G475" s="3" t="str">
        <f>IF(AND(Programme_Grunddaten!$A480="Geprüft",Programme_Grunddaten!S480&lt;&gt;""),Programme_Grunddaten!S480,"")</f>
        <v/>
      </c>
      <c r="H475" t="str">
        <f>IF(AND(Programme_Grunddaten!$A480="Geprüft",Programme_Grunddaten!AW480&lt;&gt;""),Programme_Grunddaten!AW480,"")</f>
        <v/>
      </c>
      <c r="I475" t="str">
        <f>IF(AND(Programme_Grunddaten!$A480="Geprüft",Programme_Grunddaten!AX480&lt;&gt;""),Programme_Grunddaten!AX480,"")</f>
        <v/>
      </c>
    </row>
    <row r="476" spans="1:9" x14ac:dyDescent="0.3">
      <c r="A476" s="1" t="str">
        <f>IF(AND(Programme_Grunddaten!$A481="Geprüft",Programme_Grunddaten!B481&lt;&gt;""),Programme_Grunddaten!B481,"")</f>
        <v/>
      </c>
      <c r="B476" s="1" t="str">
        <f>IF(AND(Programme_Grunddaten!$A481="Geprüft",Programme_Grunddaten!C481&lt;&gt;""),Programme_Grunddaten!C481,"")</f>
        <v/>
      </c>
      <c r="C476" s="1" t="str">
        <f>IF(AND(Programme_Grunddaten!$A481="Geprüft",Programme_Grunddaten!D481&lt;&gt;""),Programme_Grunddaten!D481,"")</f>
        <v/>
      </c>
      <c r="D476" s="2" t="str">
        <f>IF(AND(Programme_Grunddaten!$A481="Geprüft",Programme_Grunddaten!E481&lt;&gt;""),Programme_Grunddaten!E481,"")</f>
        <v/>
      </c>
      <c r="E476" t="str">
        <f>IF(AND(Programme_Grunddaten!$A481="Geprüft",Programme_Grunddaten!G481&lt;&gt;""),Programme_Grunddaten!G481,"")</f>
        <v/>
      </c>
      <c r="F476" t="str">
        <f>IF(AND(Programme_Grunddaten!$A481="Geprüft",Programme_Grunddaten!F481&lt;&gt;""),Programme_Grunddaten!F481,"")</f>
        <v/>
      </c>
      <c r="G476" s="3" t="str">
        <f>IF(AND(Programme_Grunddaten!$A481="Geprüft",Programme_Grunddaten!S481&lt;&gt;""),Programme_Grunddaten!S481,"")</f>
        <v/>
      </c>
      <c r="H476" t="str">
        <f>IF(AND(Programme_Grunddaten!$A481="Geprüft",Programme_Grunddaten!AW481&lt;&gt;""),Programme_Grunddaten!AW481,"")</f>
        <v/>
      </c>
      <c r="I476" t="str">
        <f>IF(AND(Programme_Grunddaten!$A481="Geprüft",Programme_Grunddaten!AX481&lt;&gt;""),Programme_Grunddaten!AX481,"")</f>
        <v/>
      </c>
    </row>
    <row r="477" spans="1:9" x14ac:dyDescent="0.3">
      <c r="A477" s="1" t="str">
        <f>IF(AND(Programme_Grunddaten!$A482="Geprüft",Programme_Grunddaten!B482&lt;&gt;""),Programme_Grunddaten!B482,"")</f>
        <v/>
      </c>
      <c r="B477" s="1" t="str">
        <f>IF(AND(Programme_Grunddaten!$A482="Geprüft",Programme_Grunddaten!C482&lt;&gt;""),Programme_Grunddaten!C482,"")</f>
        <v/>
      </c>
      <c r="C477" s="1" t="str">
        <f>IF(AND(Programme_Grunddaten!$A482="Geprüft",Programme_Grunddaten!D482&lt;&gt;""),Programme_Grunddaten!D482,"")</f>
        <v/>
      </c>
      <c r="D477" s="2" t="str">
        <f>IF(AND(Programme_Grunddaten!$A482="Geprüft",Programme_Grunddaten!E482&lt;&gt;""),Programme_Grunddaten!E482,"")</f>
        <v/>
      </c>
      <c r="E477" t="str">
        <f>IF(AND(Programme_Grunddaten!$A482="Geprüft",Programme_Grunddaten!G482&lt;&gt;""),Programme_Grunddaten!G482,"")</f>
        <v/>
      </c>
      <c r="F477" t="str">
        <f>IF(AND(Programme_Grunddaten!$A482="Geprüft",Programme_Grunddaten!F482&lt;&gt;""),Programme_Grunddaten!F482,"")</f>
        <v/>
      </c>
      <c r="G477" s="3" t="str">
        <f>IF(AND(Programme_Grunddaten!$A482="Geprüft",Programme_Grunddaten!S482&lt;&gt;""),Programme_Grunddaten!S482,"")</f>
        <v/>
      </c>
      <c r="H477" t="str">
        <f>IF(AND(Programme_Grunddaten!$A482="Geprüft",Programme_Grunddaten!AW482&lt;&gt;""),Programme_Grunddaten!AW482,"")</f>
        <v/>
      </c>
      <c r="I477" t="str">
        <f>IF(AND(Programme_Grunddaten!$A482="Geprüft",Programme_Grunddaten!AX482&lt;&gt;""),Programme_Grunddaten!AX482,"")</f>
        <v/>
      </c>
    </row>
    <row r="478" spans="1:9" x14ac:dyDescent="0.3">
      <c r="A478" s="1" t="str">
        <f>IF(AND(Programme_Grunddaten!$A483="Geprüft",Programme_Grunddaten!B483&lt;&gt;""),Programme_Grunddaten!B483,"")</f>
        <v/>
      </c>
      <c r="B478" s="1" t="str">
        <f>IF(AND(Programme_Grunddaten!$A483="Geprüft",Programme_Grunddaten!C483&lt;&gt;""),Programme_Grunddaten!C483,"")</f>
        <v/>
      </c>
      <c r="C478" s="1" t="str">
        <f>IF(AND(Programme_Grunddaten!$A483="Geprüft",Programme_Grunddaten!D483&lt;&gt;""),Programme_Grunddaten!D483,"")</f>
        <v/>
      </c>
      <c r="D478" s="2" t="str">
        <f>IF(AND(Programme_Grunddaten!$A483="Geprüft",Programme_Grunddaten!E483&lt;&gt;""),Programme_Grunddaten!E483,"")</f>
        <v/>
      </c>
      <c r="E478" t="str">
        <f>IF(AND(Programme_Grunddaten!$A483="Geprüft",Programme_Grunddaten!G483&lt;&gt;""),Programme_Grunddaten!G483,"")</f>
        <v/>
      </c>
      <c r="F478" t="str">
        <f>IF(AND(Programme_Grunddaten!$A483="Geprüft",Programme_Grunddaten!F483&lt;&gt;""),Programme_Grunddaten!F483,"")</f>
        <v/>
      </c>
      <c r="G478" s="3" t="str">
        <f>IF(AND(Programme_Grunddaten!$A483="Geprüft",Programme_Grunddaten!S483&lt;&gt;""),Programme_Grunddaten!S483,"")</f>
        <v/>
      </c>
      <c r="H478" t="str">
        <f>IF(AND(Programme_Grunddaten!$A483="Geprüft",Programme_Grunddaten!AW483&lt;&gt;""),Programme_Grunddaten!AW483,"")</f>
        <v/>
      </c>
      <c r="I478" t="str">
        <f>IF(AND(Programme_Grunddaten!$A483="Geprüft",Programme_Grunddaten!AX483&lt;&gt;""),Programme_Grunddaten!AX483,"")</f>
        <v/>
      </c>
    </row>
    <row r="479" spans="1:9" x14ac:dyDescent="0.3">
      <c r="A479" s="1" t="str">
        <f>IF(AND(Programme_Grunddaten!$A484="Geprüft",Programme_Grunddaten!B484&lt;&gt;""),Programme_Grunddaten!B484,"")</f>
        <v/>
      </c>
      <c r="B479" s="1" t="str">
        <f>IF(AND(Programme_Grunddaten!$A484="Geprüft",Programme_Grunddaten!C484&lt;&gt;""),Programme_Grunddaten!C484,"")</f>
        <v/>
      </c>
      <c r="C479" s="1" t="str">
        <f>IF(AND(Programme_Grunddaten!$A484="Geprüft",Programme_Grunddaten!D484&lt;&gt;""),Programme_Grunddaten!D484,"")</f>
        <v/>
      </c>
      <c r="D479" s="2" t="str">
        <f>IF(AND(Programme_Grunddaten!$A484="Geprüft",Programme_Grunddaten!E484&lt;&gt;""),Programme_Grunddaten!E484,"")</f>
        <v/>
      </c>
      <c r="E479" t="str">
        <f>IF(AND(Programme_Grunddaten!$A484="Geprüft",Programme_Grunddaten!G484&lt;&gt;""),Programme_Grunddaten!G484,"")</f>
        <v/>
      </c>
      <c r="F479" t="str">
        <f>IF(AND(Programme_Grunddaten!$A484="Geprüft",Programme_Grunddaten!F484&lt;&gt;""),Programme_Grunddaten!F484,"")</f>
        <v/>
      </c>
      <c r="G479" s="3" t="str">
        <f>IF(AND(Programme_Grunddaten!$A484="Geprüft",Programme_Grunddaten!S484&lt;&gt;""),Programme_Grunddaten!S484,"")</f>
        <v/>
      </c>
      <c r="H479" t="str">
        <f>IF(AND(Programme_Grunddaten!$A484="Geprüft",Programme_Grunddaten!AW484&lt;&gt;""),Programme_Grunddaten!AW484,"")</f>
        <v/>
      </c>
      <c r="I479" t="str">
        <f>IF(AND(Programme_Grunddaten!$A484="Geprüft",Programme_Grunddaten!AX484&lt;&gt;""),Programme_Grunddaten!AX484,"")</f>
        <v/>
      </c>
    </row>
    <row r="480" spans="1:9" x14ac:dyDescent="0.3">
      <c r="A480" s="1" t="str">
        <f>IF(AND(Programme_Grunddaten!$A485="Geprüft",Programme_Grunddaten!B485&lt;&gt;""),Programme_Grunddaten!B485,"")</f>
        <v/>
      </c>
      <c r="B480" s="1" t="str">
        <f>IF(AND(Programme_Grunddaten!$A485="Geprüft",Programme_Grunddaten!C485&lt;&gt;""),Programme_Grunddaten!C485,"")</f>
        <v/>
      </c>
      <c r="C480" s="1" t="str">
        <f>IF(AND(Programme_Grunddaten!$A485="Geprüft",Programme_Grunddaten!D485&lt;&gt;""),Programme_Grunddaten!D485,"")</f>
        <v/>
      </c>
      <c r="D480" s="2" t="str">
        <f>IF(AND(Programme_Grunddaten!$A485="Geprüft",Programme_Grunddaten!E485&lt;&gt;""),Programme_Grunddaten!E485,"")</f>
        <v/>
      </c>
      <c r="E480" t="str">
        <f>IF(AND(Programme_Grunddaten!$A485="Geprüft",Programme_Grunddaten!G485&lt;&gt;""),Programme_Grunddaten!G485,"")</f>
        <v/>
      </c>
      <c r="F480" t="str">
        <f>IF(AND(Programme_Grunddaten!$A485="Geprüft",Programme_Grunddaten!F485&lt;&gt;""),Programme_Grunddaten!F485,"")</f>
        <v/>
      </c>
      <c r="G480" s="3" t="str">
        <f>IF(AND(Programme_Grunddaten!$A485="Geprüft",Programme_Grunddaten!S485&lt;&gt;""),Programme_Grunddaten!S485,"")</f>
        <v/>
      </c>
      <c r="H480" t="str">
        <f>IF(AND(Programme_Grunddaten!$A485="Geprüft",Programme_Grunddaten!AW485&lt;&gt;""),Programme_Grunddaten!AW485,"")</f>
        <v/>
      </c>
      <c r="I480" t="str">
        <f>IF(AND(Programme_Grunddaten!$A485="Geprüft",Programme_Grunddaten!AX485&lt;&gt;""),Programme_Grunddaten!AX485,"")</f>
        <v/>
      </c>
    </row>
    <row r="481" spans="1:9" x14ac:dyDescent="0.3">
      <c r="A481" s="1" t="str">
        <f>IF(AND(Programme_Grunddaten!$A486="Geprüft",Programme_Grunddaten!B486&lt;&gt;""),Programme_Grunddaten!B486,"")</f>
        <v/>
      </c>
      <c r="B481" s="1" t="str">
        <f>IF(AND(Programme_Grunddaten!$A486="Geprüft",Programme_Grunddaten!C486&lt;&gt;""),Programme_Grunddaten!C486,"")</f>
        <v/>
      </c>
      <c r="C481" s="1" t="str">
        <f>IF(AND(Programme_Grunddaten!$A486="Geprüft",Programme_Grunddaten!D486&lt;&gt;""),Programme_Grunddaten!D486,"")</f>
        <v/>
      </c>
      <c r="D481" s="2" t="str">
        <f>IF(AND(Programme_Grunddaten!$A486="Geprüft",Programme_Grunddaten!E486&lt;&gt;""),Programme_Grunddaten!E486,"")</f>
        <v/>
      </c>
      <c r="E481" t="str">
        <f>IF(AND(Programme_Grunddaten!$A486="Geprüft",Programme_Grunddaten!G486&lt;&gt;""),Programme_Grunddaten!G486,"")</f>
        <v/>
      </c>
      <c r="F481" t="str">
        <f>IF(AND(Programme_Grunddaten!$A486="Geprüft",Programme_Grunddaten!F486&lt;&gt;""),Programme_Grunddaten!F486,"")</f>
        <v/>
      </c>
      <c r="G481" s="3" t="str">
        <f>IF(AND(Programme_Grunddaten!$A486="Geprüft",Programme_Grunddaten!S486&lt;&gt;""),Programme_Grunddaten!S486,"")</f>
        <v/>
      </c>
      <c r="H481" t="str">
        <f>IF(AND(Programme_Grunddaten!$A486="Geprüft",Programme_Grunddaten!AW486&lt;&gt;""),Programme_Grunddaten!AW486,"")</f>
        <v/>
      </c>
      <c r="I481" t="str">
        <f>IF(AND(Programme_Grunddaten!$A486="Geprüft",Programme_Grunddaten!AX486&lt;&gt;""),Programme_Grunddaten!AX486,"")</f>
        <v/>
      </c>
    </row>
    <row r="482" spans="1:9" x14ac:dyDescent="0.3">
      <c r="A482" s="1" t="str">
        <f>IF(AND(Programme_Grunddaten!$A487="Geprüft",Programme_Grunddaten!B487&lt;&gt;""),Programme_Grunddaten!B487,"")</f>
        <v/>
      </c>
      <c r="B482" s="1" t="str">
        <f>IF(AND(Programme_Grunddaten!$A487="Geprüft",Programme_Grunddaten!C487&lt;&gt;""),Programme_Grunddaten!C487,"")</f>
        <v/>
      </c>
      <c r="C482" s="1" t="str">
        <f>IF(AND(Programme_Grunddaten!$A487="Geprüft",Programme_Grunddaten!D487&lt;&gt;""),Programme_Grunddaten!D487,"")</f>
        <v/>
      </c>
      <c r="D482" s="2" t="str">
        <f>IF(AND(Programme_Grunddaten!$A487="Geprüft",Programme_Grunddaten!E487&lt;&gt;""),Programme_Grunddaten!E487,"")</f>
        <v/>
      </c>
      <c r="E482" t="str">
        <f>IF(AND(Programme_Grunddaten!$A487="Geprüft",Programme_Grunddaten!G487&lt;&gt;""),Programme_Grunddaten!G487,"")</f>
        <v/>
      </c>
      <c r="F482" t="str">
        <f>IF(AND(Programme_Grunddaten!$A487="Geprüft",Programme_Grunddaten!F487&lt;&gt;""),Programme_Grunddaten!F487,"")</f>
        <v/>
      </c>
      <c r="G482" s="3" t="str">
        <f>IF(AND(Programme_Grunddaten!$A487="Geprüft",Programme_Grunddaten!S487&lt;&gt;""),Programme_Grunddaten!S487,"")</f>
        <v/>
      </c>
      <c r="H482" t="str">
        <f>IF(AND(Programme_Grunddaten!$A487="Geprüft",Programme_Grunddaten!AW487&lt;&gt;""),Programme_Grunddaten!AW487,"")</f>
        <v/>
      </c>
      <c r="I482" t="str">
        <f>IF(AND(Programme_Grunddaten!$A487="Geprüft",Programme_Grunddaten!AX487&lt;&gt;""),Programme_Grunddaten!AX487,"")</f>
        <v/>
      </c>
    </row>
    <row r="483" spans="1:9" x14ac:dyDescent="0.3">
      <c r="A483" s="1" t="str">
        <f>IF(AND(Programme_Grunddaten!$A488="Geprüft",Programme_Grunddaten!B488&lt;&gt;""),Programme_Grunddaten!B488,"")</f>
        <v/>
      </c>
      <c r="B483" s="1" t="str">
        <f>IF(AND(Programme_Grunddaten!$A488="Geprüft",Programme_Grunddaten!C488&lt;&gt;""),Programme_Grunddaten!C488,"")</f>
        <v/>
      </c>
      <c r="C483" s="1" t="str">
        <f>IF(AND(Programme_Grunddaten!$A488="Geprüft",Programme_Grunddaten!D488&lt;&gt;""),Programme_Grunddaten!D488,"")</f>
        <v/>
      </c>
      <c r="D483" s="2" t="str">
        <f>IF(AND(Programme_Grunddaten!$A488="Geprüft",Programme_Grunddaten!E488&lt;&gt;""),Programme_Grunddaten!E488,"")</f>
        <v/>
      </c>
      <c r="E483" t="str">
        <f>IF(AND(Programme_Grunddaten!$A488="Geprüft",Programme_Grunddaten!G488&lt;&gt;""),Programme_Grunddaten!G488,"")</f>
        <v/>
      </c>
      <c r="F483" t="str">
        <f>IF(AND(Programme_Grunddaten!$A488="Geprüft",Programme_Grunddaten!F488&lt;&gt;""),Programme_Grunddaten!F488,"")</f>
        <v/>
      </c>
      <c r="G483" s="3" t="str">
        <f>IF(AND(Programme_Grunddaten!$A488="Geprüft",Programme_Grunddaten!S488&lt;&gt;""),Programme_Grunddaten!S488,"")</f>
        <v/>
      </c>
      <c r="H483" t="str">
        <f>IF(AND(Programme_Grunddaten!$A488="Geprüft",Programme_Grunddaten!AW488&lt;&gt;""),Programme_Grunddaten!AW488,"")</f>
        <v/>
      </c>
      <c r="I483" t="str">
        <f>IF(AND(Programme_Grunddaten!$A488="Geprüft",Programme_Grunddaten!AX488&lt;&gt;""),Programme_Grunddaten!AX488,"")</f>
        <v/>
      </c>
    </row>
    <row r="484" spans="1:9" x14ac:dyDescent="0.3">
      <c r="A484" s="1" t="str">
        <f>IF(AND(Programme_Grunddaten!$A489="Geprüft",Programme_Grunddaten!B489&lt;&gt;""),Programme_Grunddaten!B489,"")</f>
        <v/>
      </c>
      <c r="B484" s="1" t="str">
        <f>IF(AND(Programme_Grunddaten!$A489="Geprüft",Programme_Grunddaten!C489&lt;&gt;""),Programme_Grunddaten!C489,"")</f>
        <v/>
      </c>
      <c r="C484" s="1" t="str">
        <f>IF(AND(Programme_Grunddaten!$A489="Geprüft",Programme_Grunddaten!D489&lt;&gt;""),Programme_Grunddaten!D489,"")</f>
        <v/>
      </c>
      <c r="D484" s="2" t="str">
        <f>IF(AND(Programme_Grunddaten!$A489="Geprüft",Programme_Grunddaten!E489&lt;&gt;""),Programme_Grunddaten!E489,"")</f>
        <v/>
      </c>
      <c r="E484" t="str">
        <f>IF(AND(Programme_Grunddaten!$A489="Geprüft",Programme_Grunddaten!G489&lt;&gt;""),Programme_Grunddaten!G489,"")</f>
        <v/>
      </c>
      <c r="F484" t="str">
        <f>IF(AND(Programme_Grunddaten!$A489="Geprüft",Programme_Grunddaten!F489&lt;&gt;""),Programme_Grunddaten!F489,"")</f>
        <v/>
      </c>
      <c r="G484" s="3" t="str">
        <f>IF(AND(Programme_Grunddaten!$A489="Geprüft",Programme_Grunddaten!S489&lt;&gt;""),Programme_Grunddaten!S489,"")</f>
        <v/>
      </c>
      <c r="H484" t="str">
        <f>IF(AND(Programme_Grunddaten!$A489="Geprüft",Programme_Grunddaten!AW489&lt;&gt;""),Programme_Grunddaten!AW489,"")</f>
        <v/>
      </c>
      <c r="I484" t="str">
        <f>IF(AND(Programme_Grunddaten!$A489="Geprüft",Programme_Grunddaten!AX489&lt;&gt;""),Programme_Grunddaten!AX489,"")</f>
        <v/>
      </c>
    </row>
    <row r="485" spans="1:9" x14ac:dyDescent="0.3">
      <c r="A485" s="1" t="str">
        <f>IF(AND(Programme_Grunddaten!$A490="Geprüft",Programme_Grunddaten!B490&lt;&gt;""),Programme_Grunddaten!B490,"")</f>
        <v/>
      </c>
      <c r="B485" s="1" t="str">
        <f>IF(AND(Programme_Grunddaten!$A490="Geprüft",Programme_Grunddaten!C490&lt;&gt;""),Programme_Grunddaten!C490,"")</f>
        <v/>
      </c>
      <c r="C485" s="1" t="str">
        <f>IF(AND(Programme_Grunddaten!$A490="Geprüft",Programme_Grunddaten!D490&lt;&gt;""),Programme_Grunddaten!D490,"")</f>
        <v/>
      </c>
      <c r="D485" s="2" t="str">
        <f>IF(AND(Programme_Grunddaten!$A490="Geprüft",Programme_Grunddaten!E490&lt;&gt;""),Programme_Grunddaten!E490,"")</f>
        <v/>
      </c>
      <c r="E485" t="str">
        <f>IF(AND(Programme_Grunddaten!$A490="Geprüft",Programme_Grunddaten!G490&lt;&gt;""),Programme_Grunddaten!G490,"")</f>
        <v/>
      </c>
      <c r="F485" t="str">
        <f>IF(AND(Programme_Grunddaten!$A490="Geprüft",Programme_Grunddaten!F490&lt;&gt;""),Programme_Grunddaten!F490,"")</f>
        <v/>
      </c>
      <c r="G485" s="3" t="str">
        <f>IF(AND(Programme_Grunddaten!$A490="Geprüft",Programme_Grunddaten!S490&lt;&gt;""),Programme_Grunddaten!S490,"")</f>
        <v/>
      </c>
      <c r="H485" t="str">
        <f>IF(AND(Programme_Grunddaten!$A490="Geprüft",Programme_Grunddaten!AW490&lt;&gt;""),Programme_Grunddaten!AW490,"")</f>
        <v/>
      </c>
      <c r="I485" t="str">
        <f>IF(AND(Programme_Grunddaten!$A490="Geprüft",Programme_Grunddaten!AX490&lt;&gt;""),Programme_Grunddaten!AX490,"")</f>
        <v/>
      </c>
    </row>
    <row r="486" spans="1:9" x14ac:dyDescent="0.3">
      <c r="A486" s="1" t="str">
        <f>IF(AND(Programme_Grunddaten!$A491="Geprüft",Programme_Grunddaten!B491&lt;&gt;""),Programme_Grunddaten!B491,"")</f>
        <v/>
      </c>
      <c r="B486" s="1" t="str">
        <f>IF(AND(Programme_Grunddaten!$A491="Geprüft",Programme_Grunddaten!C491&lt;&gt;""),Programme_Grunddaten!C491,"")</f>
        <v/>
      </c>
      <c r="C486" s="1" t="str">
        <f>IF(AND(Programme_Grunddaten!$A491="Geprüft",Programme_Grunddaten!D491&lt;&gt;""),Programme_Grunddaten!D491,"")</f>
        <v/>
      </c>
      <c r="D486" s="2" t="str">
        <f>IF(AND(Programme_Grunddaten!$A491="Geprüft",Programme_Grunddaten!E491&lt;&gt;""),Programme_Grunddaten!E491,"")</f>
        <v/>
      </c>
      <c r="E486" t="str">
        <f>IF(AND(Programme_Grunddaten!$A491="Geprüft",Programme_Grunddaten!G491&lt;&gt;""),Programme_Grunddaten!G491,"")</f>
        <v/>
      </c>
      <c r="F486" t="str">
        <f>IF(AND(Programme_Grunddaten!$A491="Geprüft",Programme_Grunddaten!F491&lt;&gt;""),Programme_Grunddaten!F491,"")</f>
        <v/>
      </c>
      <c r="G486" s="3" t="str">
        <f>IF(AND(Programme_Grunddaten!$A491="Geprüft",Programme_Grunddaten!S491&lt;&gt;""),Programme_Grunddaten!S491,"")</f>
        <v/>
      </c>
      <c r="H486" t="str">
        <f>IF(AND(Programme_Grunddaten!$A491="Geprüft",Programme_Grunddaten!AW491&lt;&gt;""),Programme_Grunddaten!AW491,"")</f>
        <v/>
      </c>
      <c r="I486" t="str">
        <f>IF(AND(Programme_Grunddaten!$A491="Geprüft",Programme_Grunddaten!AX491&lt;&gt;""),Programme_Grunddaten!AX491,"")</f>
        <v/>
      </c>
    </row>
    <row r="487" spans="1:9" x14ac:dyDescent="0.3">
      <c r="A487" s="1" t="str">
        <f>IF(AND(Programme_Grunddaten!$A492="Geprüft",Programme_Grunddaten!B492&lt;&gt;""),Programme_Grunddaten!B492,"")</f>
        <v/>
      </c>
      <c r="B487" s="1" t="str">
        <f>IF(AND(Programme_Grunddaten!$A492="Geprüft",Programme_Grunddaten!C492&lt;&gt;""),Programme_Grunddaten!C492,"")</f>
        <v/>
      </c>
      <c r="C487" s="1" t="str">
        <f>IF(AND(Programme_Grunddaten!$A492="Geprüft",Programme_Grunddaten!D492&lt;&gt;""),Programme_Grunddaten!D492,"")</f>
        <v/>
      </c>
      <c r="D487" s="2" t="str">
        <f>IF(AND(Programme_Grunddaten!$A492="Geprüft",Programme_Grunddaten!E492&lt;&gt;""),Programme_Grunddaten!E492,"")</f>
        <v/>
      </c>
      <c r="E487" t="str">
        <f>IF(AND(Programme_Grunddaten!$A492="Geprüft",Programme_Grunddaten!G492&lt;&gt;""),Programme_Grunddaten!G492,"")</f>
        <v/>
      </c>
      <c r="F487" t="str">
        <f>IF(AND(Programme_Grunddaten!$A492="Geprüft",Programme_Grunddaten!F492&lt;&gt;""),Programme_Grunddaten!F492,"")</f>
        <v/>
      </c>
      <c r="G487" s="3" t="str">
        <f>IF(AND(Programme_Grunddaten!$A492="Geprüft",Programme_Grunddaten!S492&lt;&gt;""),Programme_Grunddaten!S492,"")</f>
        <v/>
      </c>
      <c r="H487" t="str">
        <f>IF(AND(Programme_Grunddaten!$A492="Geprüft",Programme_Grunddaten!AW492&lt;&gt;""),Programme_Grunddaten!AW492,"")</f>
        <v/>
      </c>
      <c r="I487" t="str">
        <f>IF(AND(Programme_Grunddaten!$A492="Geprüft",Programme_Grunddaten!AX492&lt;&gt;""),Programme_Grunddaten!AX492,"")</f>
        <v/>
      </c>
    </row>
    <row r="488" spans="1:9" x14ac:dyDescent="0.3">
      <c r="A488" s="1" t="str">
        <f>IF(AND(Programme_Grunddaten!$A493="Geprüft",Programme_Grunddaten!B493&lt;&gt;""),Programme_Grunddaten!B493,"")</f>
        <v/>
      </c>
      <c r="B488" s="1" t="str">
        <f>IF(AND(Programme_Grunddaten!$A493="Geprüft",Programme_Grunddaten!C493&lt;&gt;""),Programme_Grunddaten!C493,"")</f>
        <v/>
      </c>
      <c r="C488" s="1" t="str">
        <f>IF(AND(Programme_Grunddaten!$A493="Geprüft",Programme_Grunddaten!D493&lt;&gt;""),Programme_Grunddaten!D493,"")</f>
        <v/>
      </c>
      <c r="D488" s="2" t="str">
        <f>IF(AND(Programme_Grunddaten!$A493="Geprüft",Programme_Grunddaten!E493&lt;&gt;""),Programme_Grunddaten!E493,"")</f>
        <v/>
      </c>
      <c r="E488" t="str">
        <f>IF(AND(Programme_Grunddaten!$A493="Geprüft",Programme_Grunddaten!G493&lt;&gt;""),Programme_Grunddaten!G493,"")</f>
        <v/>
      </c>
      <c r="F488" t="str">
        <f>IF(AND(Programme_Grunddaten!$A493="Geprüft",Programme_Grunddaten!F493&lt;&gt;""),Programme_Grunddaten!F493,"")</f>
        <v/>
      </c>
      <c r="G488" s="3" t="str">
        <f>IF(AND(Programme_Grunddaten!$A493="Geprüft",Programme_Grunddaten!S493&lt;&gt;""),Programme_Grunddaten!S493,"")</f>
        <v/>
      </c>
      <c r="H488" t="str">
        <f>IF(AND(Programme_Grunddaten!$A493="Geprüft",Programme_Grunddaten!AW493&lt;&gt;""),Programme_Grunddaten!AW493,"")</f>
        <v/>
      </c>
      <c r="I488" t="str">
        <f>IF(AND(Programme_Grunddaten!$A493="Geprüft",Programme_Grunddaten!AX493&lt;&gt;""),Programme_Grunddaten!AX493,"")</f>
        <v/>
      </c>
    </row>
    <row r="489" spans="1:9" x14ac:dyDescent="0.3">
      <c r="A489" s="1" t="str">
        <f>IF(AND(Programme_Grunddaten!$A494="Geprüft",Programme_Grunddaten!B494&lt;&gt;""),Programme_Grunddaten!B494,"")</f>
        <v/>
      </c>
      <c r="B489" s="1" t="str">
        <f>IF(AND(Programme_Grunddaten!$A494="Geprüft",Programme_Grunddaten!C494&lt;&gt;""),Programme_Grunddaten!C494,"")</f>
        <v/>
      </c>
      <c r="C489" s="1" t="str">
        <f>IF(AND(Programme_Grunddaten!$A494="Geprüft",Programme_Grunddaten!D494&lt;&gt;""),Programme_Grunddaten!D494,"")</f>
        <v/>
      </c>
      <c r="D489" s="2" t="str">
        <f>IF(AND(Programme_Grunddaten!$A494="Geprüft",Programme_Grunddaten!E494&lt;&gt;""),Programme_Grunddaten!E494,"")</f>
        <v/>
      </c>
      <c r="E489" t="str">
        <f>IF(AND(Programme_Grunddaten!$A494="Geprüft",Programme_Grunddaten!G494&lt;&gt;""),Programme_Grunddaten!G494,"")</f>
        <v/>
      </c>
      <c r="F489" t="str">
        <f>IF(AND(Programme_Grunddaten!$A494="Geprüft",Programme_Grunddaten!F494&lt;&gt;""),Programme_Grunddaten!F494,"")</f>
        <v/>
      </c>
      <c r="G489" s="3" t="str">
        <f>IF(AND(Programme_Grunddaten!$A494="Geprüft",Programme_Grunddaten!S494&lt;&gt;""),Programme_Grunddaten!S494,"")</f>
        <v/>
      </c>
      <c r="H489" t="str">
        <f>IF(AND(Programme_Grunddaten!$A494="Geprüft",Programme_Grunddaten!AW494&lt;&gt;""),Programme_Grunddaten!AW494,"")</f>
        <v/>
      </c>
      <c r="I489" t="str">
        <f>IF(AND(Programme_Grunddaten!$A494="Geprüft",Programme_Grunddaten!AX494&lt;&gt;""),Programme_Grunddaten!AX494,"")</f>
        <v/>
      </c>
    </row>
    <row r="490" spans="1:9" x14ac:dyDescent="0.3">
      <c r="A490" s="1" t="str">
        <f>IF(AND(Programme_Grunddaten!$A495="Geprüft",Programme_Grunddaten!B495&lt;&gt;""),Programme_Grunddaten!B495,"")</f>
        <v/>
      </c>
      <c r="B490" s="1" t="str">
        <f>IF(AND(Programme_Grunddaten!$A495="Geprüft",Programme_Grunddaten!C495&lt;&gt;""),Programme_Grunddaten!C495,"")</f>
        <v/>
      </c>
      <c r="C490" s="1" t="str">
        <f>IF(AND(Programme_Grunddaten!$A495="Geprüft",Programme_Grunddaten!D495&lt;&gt;""),Programme_Grunddaten!D495,"")</f>
        <v/>
      </c>
      <c r="D490" s="2" t="str">
        <f>IF(AND(Programme_Grunddaten!$A495="Geprüft",Programme_Grunddaten!E495&lt;&gt;""),Programme_Grunddaten!E495,"")</f>
        <v/>
      </c>
      <c r="E490" t="str">
        <f>IF(AND(Programme_Grunddaten!$A495="Geprüft",Programme_Grunddaten!G495&lt;&gt;""),Programme_Grunddaten!G495,"")</f>
        <v/>
      </c>
      <c r="F490" t="str">
        <f>IF(AND(Programme_Grunddaten!$A495="Geprüft",Programme_Grunddaten!F495&lt;&gt;""),Programme_Grunddaten!F495,"")</f>
        <v/>
      </c>
      <c r="G490" s="3" t="str">
        <f>IF(AND(Programme_Grunddaten!$A495="Geprüft",Programme_Grunddaten!S495&lt;&gt;""),Programme_Grunddaten!S495,"")</f>
        <v/>
      </c>
      <c r="H490" t="str">
        <f>IF(AND(Programme_Grunddaten!$A495="Geprüft",Programme_Grunddaten!AW495&lt;&gt;""),Programme_Grunddaten!AW495,"")</f>
        <v/>
      </c>
      <c r="I490" t="str">
        <f>IF(AND(Programme_Grunddaten!$A495="Geprüft",Programme_Grunddaten!AX495&lt;&gt;""),Programme_Grunddaten!AX495,"")</f>
        <v/>
      </c>
    </row>
    <row r="491" spans="1:9" x14ac:dyDescent="0.3">
      <c r="A491" s="1" t="str">
        <f>IF(AND(Programme_Grunddaten!$A496="Geprüft",Programme_Grunddaten!B496&lt;&gt;""),Programme_Grunddaten!B496,"")</f>
        <v/>
      </c>
      <c r="B491" s="1" t="str">
        <f>IF(AND(Programme_Grunddaten!$A496="Geprüft",Programme_Grunddaten!C496&lt;&gt;""),Programme_Grunddaten!C496,"")</f>
        <v/>
      </c>
      <c r="C491" s="1" t="str">
        <f>IF(AND(Programme_Grunddaten!$A496="Geprüft",Programme_Grunddaten!D496&lt;&gt;""),Programme_Grunddaten!D496,"")</f>
        <v/>
      </c>
      <c r="D491" s="2" t="str">
        <f>IF(AND(Programme_Grunddaten!$A496="Geprüft",Programme_Grunddaten!E496&lt;&gt;""),Programme_Grunddaten!E496,"")</f>
        <v/>
      </c>
      <c r="E491" t="str">
        <f>IF(AND(Programme_Grunddaten!$A496="Geprüft",Programme_Grunddaten!G496&lt;&gt;""),Programme_Grunddaten!G496,"")</f>
        <v/>
      </c>
      <c r="F491" t="str">
        <f>IF(AND(Programme_Grunddaten!$A496="Geprüft",Programme_Grunddaten!F496&lt;&gt;""),Programme_Grunddaten!F496,"")</f>
        <v/>
      </c>
      <c r="G491" s="3" t="str">
        <f>IF(AND(Programme_Grunddaten!$A496="Geprüft",Programme_Grunddaten!S496&lt;&gt;""),Programme_Grunddaten!S496,"")</f>
        <v/>
      </c>
      <c r="H491" t="str">
        <f>IF(AND(Programme_Grunddaten!$A496="Geprüft",Programme_Grunddaten!AW496&lt;&gt;""),Programme_Grunddaten!AW496,"")</f>
        <v/>
      </c>
      <c r="I491" t="str">
        <f>IF(AND(Programme_Grunddaten!$A496="Geprüft",Programme_Grunddaten!AX496&lt;&gt;""),Programme_Grunddaten!AX496,"")</f>
        <v/>
      </c>
    </row>
    <row r="492" spans="1:9" x14ac:dyDescent="0.3">
      <c r="A492" s="1" t="str">
        <f>IF(AND(Programme_Grunddaten!$A497="Geprüft",Programme_Grunddaten!B497&lt;&gt;""),Programme_Grunddaten!B497,"")</f>
        <v/>
      </c>
      <c r="B492" s="1" t="str">
        <f>IF(AND(Programme_Grunddaten!$A497="Geprüft",Programme_Grunddaten!C497&lt;&gt;""),Programme_Grunddaten!C497,"")</f>
        <v/>
      </c>
      <c r="C492" s="1" t="str">
        <f>IF(AND(Programme_Grunddaten!$A497="Geprüft",Programme_Grunddaten!D497&lt;&gt;""),Programme_Grunddaten!D497,"")</f>
        <v/>
      </c>
      <c r="D492" s="2" t="str">
        <f>IF(AND(Programme_Grunddaten!$A497="Geprüft",Programme_Grunddaten!E497&lt;&gt;""),Programme_Grunddaten!E497,"")</f>
        <v/>
      </c>
      <c r="E492" t="str">
        <f>IF(AND(Programme_Grunddaten!$A497="Geprüft",Programme_Grunddaten!G497&lt;&gt;""),Programme_Grunddaten!G497,"")</f>
        <v/>
      </c>
      <c r="F492" t="str">
        <f>IF(AND(Programme_Grunddaten!$A497="Geprüft",Programme_Grunddaten!F497&lt;&gt;""),Programme_Grunddaten!F497,"")</f>
        <v/>
      </c>
      <c r="G492" s="3" t="str">
        <f>IF(AND(Programme_Grunddaten!$A497="Geprüft",Programme_Grunddaten!S497&lt;&gt;""),Programme_Grunddaten!S497,"")</f>
        <v/>
      </c>
      <c r="H492" t="str">
        <f>IF(AND(Programme_Grunddaten!$A497="Geprüft",Programme_Grunddaten!AW497&lt;&gt;""),Programme_Grunddaten!AW497,"")</f>
        <v/>
      </c>
      <c r="I492" t="str">
        <f>IF(AND(Programme_Grunddaten!$A497="Geprüft",Programme_Grunddaten!AX497&lt;&gt;""),Programme_Grunddaten!AX497,"")</f>
        <v/>
      </c>
    </row>
    <row r="493" spans="1:9" x14ac:dyDescent="0.3">
      <c r="A493" s="1" t="str">
        <f>IF(AND(Programme_Grunddaten!$A498="Geprüft",Programme_Grunddaten!B498&lt;&gt;""),Programme_Grunddaten!B498,"")</f>
        <v/>
      </c>
      <c r="B493" s="1" t="str">
        <f>IF(AND(Programme_Grunddaten!$A498="Geprüft",Programme_Grunddaten!C498&lt;&gt;""),Programme_Grunddaten!C498,"")</f>
        <v/>
      </c>
      <c r="C493" s="1" t="str">
        <f>IF(AND(Programme_Grunddaten!$A498="Geprüft",Programme_Grunddaten!D498&lt;&gt;""),Programme_Grunddaten!D498,"")</f>
        <v/>
      </c>
      <c r="D493" s="2" t="str">
        <f>IF(AND(Programme_Grunddaten!$A498="Geprüft",Programme_Grunddaten!E498&lt;&gt;""),Programme_Grunddaten!E498,"")</f>
        <v/>
      </c>
      <c r="E493" t="str">
        <f>IF(AND(Programme_Grunddaten!$A498="Geprüft",Programme_Grunddaten!G498&lt;&gt;""),Programme_Grunddaten!G498,"")</f>
        <v/>
      </c>
      <c r="F493" t="str">
        <f>IF(AND(Programme_Grunddaten!$A498="Geprüft",Programme_Grunddaten!F498&lt;&gt;""),Programme_Grunddaten!F498,"")</f>
        <v/>
      </c>
      <c r="G493" s="3" t="str">
        <f>IF(AND(Programme_Grunddaten!$A498="Geprüft",Programme_Grunddaten!S498&lt;&gt;""),Programme_Grunddaten!S498,"")</f>
        <v/>
      </c>
      <c r="H493" t="str">
        <f>IF(AND(Programme_Grunddaten!$A498="Geprüft",Programme_Grunddaten!AW498&lt;&gt;""),Programme_Grunddaten!AW498,"")</f>
        <v/>
      </c>
      <c r="I493" t="str">
        <f>IF(AND(Programme_Grunddaten!$A498="Geprüft",Programme_Grunddaten!AX498&lt;&gt;""),Programme_Grunddaten!AX498,"")</f>
        <v/>
      </c>
    </row>
    <row r="494" spans="1:9" x14ac:dyDescent="0.3">
      <c r="A494" s="1" t="str">
        <f>IF(AND(Programme_Grunddaten!$A499="Geprüft",Programme_Grunddaten!B499&lt;&gt;""),Programme_Grunddaten!B499,"")</f>
        <v/>
      </c>
      <c r="B494" s="1" t="str">
        <f>IF(AND(Programme_Grunddaten!$A499="Geprüft",Programme_Grunddaten!C499&lt;&gt;""),Programme_Grunddaten!C499,"")</f>
        <v/>
      </c>
      <c r="C494" s="1" t="str">
        <f>IF(AND(Programme_Grunddaten!$A499="Geprüft",Programme_Grunddaten!D499&lt;&gt;""),Programme_Grunddaten!D499,"")</f>
        <v/>
      </c>
      <c r="D494" s="2" t="str">
        <f>IF(AND(Programme_Grunddaten!$A499="Geprüft",Programme_Grunddaten!E499&lt;&gt;""),Programme_Grunddaten!E499,"")</f>
        <v/>
      </c>
      <c r="E494" t="str">
        <f>IF(AND(Programme_Grunddaten!$A499="Geprüft",Programme_Grunddaten!G499&lt;&gt;""),Programme_Grunddaten!G499,"")</f>
        <v/>
      </c>
      <c r="F494" t="str">
        <f>IF(AND(Programme_Grunddaten!$A499="Geprüft",Programme_Grunddaten!F499&lt;&gt;""),Programme_Grunddaten!F499,"")</f>
        <v/>
      </c>
      <c r="G494" s="3" t="str">
        <f>IF(AND(Programme_Grunddaten!$A499="Geprüft",Programme_Grunddaten!S499&lt;&gt;""),Programme_Grunddaten!S499,"")</f>
        <v/>
      </c>
      <c r="H494" t="str">
        <f>IF(AND(Programme_Grunddaten!$A499="Geprüft",Programme_Grunddaten!AW499&lt;&gt;""),Programme_Grunddaten!AW499,"")</f>
        <v/>
      </c>
      <c r="I494" t="str">
        <f>IF(AND(Programme_Grunddaten!$A499="Geprüft",Programme_Grunddaten!AX499&lt;&gt;""),Programme_Grunddaten!AX499,"")</f>
        <v/>
      </c>
    </row>
    <row r="495" spans="1:9" x14ac:dyDescent="0.3">
      <c r="A495" s="1" t="str">
        <f>IF(AND(Programme_Grunddaten!$A500="Geprüft",Programme_Grunddaten!B500&lt;&gt;""),Programme_Grunddaten!B500,"")</f>
        <v/>
      </c>
      <c r="B495" s="1" t="str">
        <f>IF(AND(Programme_Grunddaten!$A500="Geprüft",Programme_Grunddaten!C500&lt;&gt;""),Programme_Grunddaten!C500,"")</f>
        <v/>
      </c>
      <c r="C495" s="1" t="str">
        <f>IF(AND(Programme_Grunddaten!$A500="Geprüft",Programme_Grunddaten!D500&lt;&gt;""),Programme_Grunddaten!D500,"")</f>
        <v/>
      </c>
      <c r="D495" s="2" t="str">
        <f>IF(AND(Programme_Grunddaten!$A500="Geprüft",Programme_Grunddaten!E500&lt;&gt;""),Programme_Grunddaten!E500,"")</f>
        <v/>
      </c>
      <c r="E495" t="str">
        <f>IF(AND(Programme_Grunddaten!$A500="Geprüft",Programme_Grunddaten!G500&lt;&gt;""),Programme_Grunddaten!G500,"")</f>
        <v/>
      </c>
      <c r="F495" t="str">
        <f>IF(AND(Programme_Grunddaten!$A500="Geprüft",Programme_Grunddaten!F500&lt;&gt;""),Programme_Grunddaten!F500,"")</f>
        <v/>
      </c>
      <c r="G495" s="3" t="str">
        <f>IF(AND(Programme_Grunddaten!$A500="Geprüft",Programme_Grunddaten!S500&lt;&gt;""),Programme_Grunddaten!S500,"")</f>
        <v/>
      </c>
      <c r="H495" t="str">
        <f>IF(AND(Programme_Grunddaten!$A500="Geprüft",Programme_Grunddaten!AW500&lt;&gt;""),Programme_Grunddaten!AW500,"")</f>
        <v/>
      </c>
      <c r="I495" t="str">
        <f>IF(AND(Programme_Grunddaten!$A500="Geprüft",Programme_Grunddaten!AX500&lt;&gt;""),Programme_Grunddaten!AX500,"")</f>
        <v/>
      </c>
    </row>
    <row r="496" spans="1:9" x14ac:dyDescent="0.3">
      <c r="A496" s="1" t="str">
        <f>IF(AND(Programme_Grunddaten!$A501="Geprüft",Programme_Grunddaten!B501&lt;&gt;""),Programme_Grunddaten!B501,"")</f>
        <v/>
      </c>
      <c r="B496" s="1" t="str">
        <f>IF(AND(Programme_Grunddaten!$A501="Geprüft",Programme_Grunddaten!C501&lt;&gt;""),Programme_Grunddaten!C501,"")</f>
        <v/>
      </c>
      <c r="C496" s="1" t="str">
        <f>IF(AND(Programme_Grunddaten!$A501="Geprüft",Programme_Grunddaten!D501&lt;&gt;""),Programme_Grunddaten!D501,"")</f>
        <v/>
      </c>
      <c r="D496" s="2" t="str">
        <f>IF(AND(Programme_Grunddaten!$A501="Geprüft",Programme_Grunddaten!E501&lt;&gt;""),Programme_Grunddaten!E501,"")</f>
        <v/>
      </c>
      <c r="E496" t="str">
        <f>IF(AND(Programme_Grunddaten!$A501="Geprüft",Programme_Grunddaten!G501&lt;&gt;""),Programme_Grunddaten!G501,"")</f>
        <v/>
      </c>
      <c r="F496" t="str">
        <f>IF(AND(Programme_Grunddaten!$A501="Geprüft",Programme_Grunddaten!F501&lt;&gt;""),Programme_Grunddaten!F501,"")</f>
        <v/>
      </c>
      <c r="G496" s="3" t="str">
        <f>IF(AND(Programme_Grunddaten!$A501="Geprüft",Programme_Grunddaten!S501&lt;&gt;""),Programme_Grunddaten!S501,"")</f>
        <v/>
      </c>
      <c r="H496" t="str">
        <f>IF(AND(Programme_Grunddaten!$A501="Geprüft",Programme_Grunddaten!AW501&lt;&gt;""),Programme_Grunddaten!AW501,"")</f>
        <v/>
      </c>
      <c r="I496" t="str">
        <f>IF(AND(Programme_Grunddaten!$A501="Geprüft",Programme_Grunddaten!AX501&lt;&gt;""),Programme_Grunddaten!AX501,"")</f>
        <v/>
      </c>
    </row>
    <row r="497" spans="1:9" x14ac:dyDescent="0.3">
      <c r="A497" s="1" t="str">
        <f>IF(AND(Programme_Grunddaten!$A502="Geprüft",Programme_Grunddaten!B502&lt;&gt;""),Programme_Grunddaten!B502,"")</f>
        <v/>
      </c>
      <c r="B497" s="1" t="str">
        <f>IF(AND(Programme_Grunddaten!$A502="Geprüft",Programme_Grunddaten!C502&lt;&gt;""),Programme_Grunddaten!C502,"")</f>
        <v/>
      </c>
      <c r="C497" s="1" t="str">
        <f>IF(AND(Programme_Grunddaten!$A502="Geprüft",Programme_Grunddaten!D502&lt;&gt;""),Programme_Grunddaten!D502,"")</f>
        <v/>
      </c>
      <c r="D497" s="2" t="str">
        <f>IF(AND(Programme_Grunddaten!$A502="Geprüft",Programme_Grunddaten!E502&lt;&gt;""),Programme_Grunddaten!E502,"")</f>
        <v/>
      </c>
      <c r="E497" t="str">
        <f>IF(AND(Programme_Grunddaten!$A502="Geprüft",Programme_Grunddaten!G502&lt;&gt;""),Programme_Grunddaten!G502,"")</f>
        <v/>
      </c>
      <c r="F497" t="str">
        <f>IF(AND(Programme_Grunddaten!$A502="Geprüft",Programme_Grunddaten!F502&lt;&gt;""),Programme_Grunddaten!F502,"")</f>
        <v/>
      </c>
      <c r="G497" s="3" t="str">
        <f>IF(AND(Programme_Grunddaten!$A502="Geprüft",Programme_Grunddaten!S502&lt;&gt;""),Programme_Grunddaten!S502,"")</f>
        <v/>
      </c>
      <c r="H497" t="str">
        <f>IF(AND(Programme_Grunddaten!$A502="Geprüft",Programme_Grunddaten!AW502&lt;&gt;""),Programme_Grunddaten!AW502,"")</f>
        <v/>
      </c>
      <c r="I497" t="str">
        <f>IF(AND(Programme_Grunddaten!$A502="Geprüft",Programme_Grunddaten!AX502&lt;&gt;""),Programme_Grunddaten!AX502,"")</f>
        <v/>
      </c>
    </row>
    <row r="498" spans="1:9" x14ac:dyDescent="0.3">
      <c r="A498" s="1" t="str">
        <f>IF(AND(Programme_Grunddaten!$A503="Geprüft",Programme_Grunddaten!B503&lt;&gt;""),Programme_Grunddaten!B503,"")</f>
        <v/>
      </c>
      <c r="B498" s="1" t="str">
        <f>IF(AND(Programme_Grunddaten!$A503="Geprüft",Programme_Grunddaten!C503&lt;&gt;""),Programme_Grunddaten!C503,"")</f>
        <v/>
      </c>
      <c r="C498" s="1" t="str">
        <f>IF(AND(Programme_Grunddaten!$A503="Geprüft",Programme_Grunddaten!D503&lt;&gt;""),Programme_Grunddaten!D503,"")</f>
        <v/>
      </c>
      <c r="D498" s="2" t="str">
        <f>IF(AND(Programme_Grunddaten!$A503="Geprüft",Programme_Grunddaten!E503&lt;&gt;""),Programme_Grunddaten!E503,"")</f>
        <v/>
      </c>
      <c r="E498" t="str">
        <f>IF(AND(Programme_Grunddaten!$A503="Geprüft",Programme_Grunddaten!G503&lt;&gt;""),Programme_Grunddaten!G503,"")</f>
        <v/>
      </c>
      <c r="F498" t="str">
        <f>IF(AND(Programme_Grunddaten!$A503="Geprüft",Programme_Grunddaten!F503&lt;&gt;""),Programme_Grunddaten!F503,"")</f>
        <v/>
      </c>
      <c r="G498" s="3" t="str">
        <f>IF(AND(Programme_Grunddaten!$A503="Geprüft",Programme_Grunddaten!S503&lt;&gt;""),Programme_Grunddaten!S503,"")</f>
        <v/>
      </c>
      <c r="H498" t="str">
        <f>IF(AND(Programme_Grunddaten!$A503="Geprüft",Programme_Grunddaten!AW503&lt;&gt;""),Programme_Grunddaten!AW503,"")</f>
        <v/>
      </c>
      <c r="I498" t="str">
        <f>IF(AND(Programme_Grunddaten!$A503="Geprüft",Programme_Grunddaten!AX503&lt;&gt;""),Programme_Grunddaten!AX503,"")</f>
        <v/>
      </c>
    </row>
    <row r="499" spans="1:9" x14ac:dyDescent="0.3">
      <c r="A499" s="1" t="str">
        <f>IF(AND(Programme_Grunddaten!$A504="Geprüft",Programme_Grunddaten!B504&lt;&gt;""),Programme_Grunddaten!B504,"")</f>
        <v/>
      </c>
      <c r="B499" s="1" t="str">
        <f>IF(AND(Programme_Grunddaten!$A504="Geprüft",Programme_Grunddaten!C504&lt;&gt;""),Programme_Grunddaten!C504,"")</f>
        <v/>
      </c>
      <c r="C499" s="1" t="str">
        <f>IF(AND(Programme_Grunddaten!$A504="Geprüft",Programme_Grunddaten!D504&lt;&gt;""),Programme_Grunddaten!D504,"")</f>
        <v/>
      </c>
      <c r="D499" s="2" t="str">
        <f>IF(AND(Programme_Grunddaten!$A504="Geprüft",Programme_Grunddaten!E504&lt;&gt;""),Programme_Grunddaten!E504,"")</f>
        <v/>
      </c>
      <c r="E499" t="str">
        <f>IF(AND(Programme_Grunddaten!$A504="Geprüft",Programme_Grunddaten!G504&lt;&gt;""),Programme_Grunddaten!G504,"")</f>
        <v/>
      </c>
      <c r="F499" t="str">
        <f>IF(AND(Programme_Grunddaten!$A504="Geprüft",Programme_Grunddaten!F504&lt;&gt;""),Programme_Grunddaten!F504,"")</f>
        <v/>
      </c>
      <c r="G499" s="3" t="str">
        <f>IF(AND(Programme_Grunddaten!$A504="Geprüft",Programme_Grunddaten!S504&lt;&gt;""),Programme_Grunddaten!S504,"")</f>
        <v/>
      </c>
      <c r="H499" t="str">
        <f>IF(AND(Programme_Grunddaten!$A504="Geprüft",Programme_Grunddaten!AW504&lt;&gt;""),Programme_Grunddaten!AW504,"")</f>
        <v/>
      </c>
      <c r="I499" t="str">
        <f>IF(AND(Programme_Grunddaten!$A504="Geprüft",Programme_Grunddaten!AX504&lt;&gt;""),Programme_Grunddaten!AX504,"")</f>
        <v/>
      </c>
    </row>
    <row r="500" spans="1:9" x14ac:dyDescent="0.3">
      <c r="A500" s="1" t="str">
        <f>IF(AND(Programme_Grunddaten!$A505="Geprüft",Programme_Grunddaten!B505&lt;&gt;""),Programme_Grunddaten!B505,"")</f>
        <v/>
      </c>
      <c r="B500" s="1" t="str">
        <f>IF(AND(Programme_Grunddaten!$A505="Geprüft",Programme_Grunddaten!C505&lt;&gt;""),Programme_Grunddaten!C505,"")</f>
        <v/>
      </c>
      <c r="C500" s="1" t="str">
        <f>IF(AND(Programme_Grunddaten!$A505="Geprüft",Programme_Grunddaten!D505&lt;&gt;""),Programme_Grunddaten!D505,"")</f>
        <v/>
      </c>
      <c r="D500" s="2" t="str">
        <f>IF(AND(Programme_Grunddaten!$A505="Geprüft",Programme_Grunddaten!E505&lt;&gt;""),Programme_Grunddaten!E505,"")</f>
        <v/>
      </c>
      <c r="E500" t="str">
        <f>IF(AND(Programme_Grunddaten!$A505="Geprüft",Programme_Grunddaten!G505&lt;&gt;""),Programme_Grunddaten!G505,"")</f>
        <v/>
      </c>
      <c r="F500" t="str">
        <f>IF(AND(Programme_Grunddaten!$A505="Geprüft",Programme_Grunddaten!F505&lt;&gt;""),Programme_Grunddaten!F505,"")</f>
        <v/>
      </c>
      <c r="G500" s="3" t="str">
        <f>IF(AND(Programme_Grunddaten!$A505="Geprüft",Programme_Grunddaten!S505&lt;&gt;""),Programme_Grunddaten!S505,"")</f>
        <v/>
      </c>
      <c r="H500" t="str">
        <f>IF(AND(Programme_Grunddaten!$A505="Geprüft",Programme_Grunddaten!AW505&lt;&gt;""),Programme_Grunddaten!AW505,"")</f>
        <v/>
      </c>
      <c r="I500" t="str">
        <f>IF(AND(Programme_Grunddaten!$A505="Geprüft",Programme_Grunddaten!AX505&lt;&gt;""),Programme_Grunddaten!AX505,"")</f>
        <v/>
      </c>
    </row>
    <row r="501" spans="1:9" x14ac:dyDescent="0.3">
      <c r="A501" s="1" t="str">
        <f>IF(AND(Programme_Grunddaten!$A506="Geprüft",Programme_Grunddaten!B506&lt;&gt;""),Programme_Grunddaten!B506,"")</f>
        <v/>
      </c>
      <c r="B501" s="1" t="str">
        <f>IF(AND(Programme_Grunddaten!$A506="Geprüft",Programme_Grunddaten!C506&lt;&gt;""),Programme_Grunddaten!C506,"")</f>
        <v/>
      </c>
      <c r="C501" s="1" t="str">
        <f>IF(AND(Programme_Grunddaten!$A506="Geprüft",Programme_Grunddaten!D506&lt;&gt;""),Programme_Grunddaten!D506,"")</f>
        <v/>
      </c>
      <c r="D501" s="2" t="str">
        <f>IF(AND(Programme_Grunddaten!$A506="Geprüft",Programme_Grunddaten!E506&lt;&gt;""),Programme_Grunddaten!E506,"")</f>
        <v/>
      </c>
      <c r="E501" t="str">
        <f>IF(AND(Programme_Grunddaten!$A506="Geprüft",Programme_Grunddaten!G506&lt;&gt;""),Programme_Grunddaten!G506,"")</f>
        <v/>
      </c>
      <c r="F501" t="str">
        <f>IF(AND(Programme_Grunddaten!$A506="Geprüft",Programme_Grunddaten!F506&lt;&gt;""),Programme_Grunddaten!F506,"")</f>
        <v/>
      </c>
      <c r="G501" s="3" t="str">
        <f>IF(AND(Programme_Grunddaten!$A506="Geprüft",Programme_Grunddaten!S506&lt;&gt;""),Programme_Grunddaten!S506,"")</f>
        <v/>
      </c>
      <c r="H501" t="str">
        <f>IF(AND(Programme_Grunddaten!$A506="Geprüft",Programme_Grunddaten!AW506&lt;&gt;""),Programme_Grunddaten!AW506,"")</f>
        <v/>
      </c>
      <c r="I501" t="str">
        <f>IF(AND(Programme_Grunddaten!$A506="Geprüft",Programme_Grunddaten!AX506&lt;&gt;""),Programme_Grunddaten!AX506,"")</f>
        <v/>
      </c>
    </row>
    <row r="502" spans="1:9" x14ac:dyDescent="0.3">
      <c r="A502" s="1" t="str">
        <f>IF(AND(Programme_Grunddaten!$A507="Geprüft",Programme_Grunddaten!B507&lt;&gt;""),Programme_Grunddaten!B507,"")</f>
        <v/>
      </c>
      <c r="B502" s="1" t="str">
        <f>IF(AND(Programme_Grunddaten!$A507="Geprüft",Programme_Grunddaten!C507&lt;&gt;""),Programme_Grunddaten!C507,"")</f>
        <v/>
      </c>
      <c r="C502" s="1" t="str">
        <f>IF(AND(Programme_Grunddaten!$A507="Geprüft",Programme_Grunddaten!D507&lt;&gt;""),Programme_Grunddaten!D507,"")</f>
        <v/>
      </c>
      <c r="D502" s="2" t="str">
        <f>IF(AND(Programme_Grunddaten!$A507="Geprüft",Programme_Grunddaten!E507&lt;&gt;""),Programme_Grunddaten!E507,"")</f>
        <v/>
      </c>
      <c r="E502" t="str">
        <f>IF(AND(Programme_Grunddaten!$A507="Geprüft",Programme_Grunddaten!G507&lt;&gt;""),Programme_Grunddaten!G507,"")</f>
        <v/>
      </c>
      <c r="F502" t="str">
        <f>IF(AND(Programme_Grunddaten!$A507="Geprüft",Programme_Grunddaten!F507&lt;&gt;""),Programme_Grunddaten!F507,"")</f>
        <v/>
      </c>
      <c r="G502" s="3" t="str">
        <f>IF(AND(Programme_Grunddaten!$A507="Geprüft",Programme_Grunddaten!S507&lt;&gt;""),Programme_Grunddaten!S507,"")</f>
        <v/>
      </c>
      <c r="H502" t="str">
        <f>IF(AND(Programme_Grunddaten!$A507="Geprüft",Programme_Grunddaten!AW507&lt;&gt;""),Programme_Grunddaten!AW507,"")</f>
        <v/>
      </c>
      <c r="I502" t="str">
        <f>IF(AND(Programme_Grunddaten!$A507="Geprüft",Programme_Grunddaten!AX507&lt;&gt;""),Programme_Grunddaten!AX507,"")</f>
        <v/>
      </c>
    </row>
    <row r="503" spans="1:9" x14ac:dyDescent="0.3">
      <c r="A503" s="1" t="str">
        <f>IF(AND(Programme_Grunddaten!$A508="Geprüft",Programme_Grunddaten!B508&lt;&gt;""),Programme_Grunddaten!B508,"")</f>
        <v/>
      </c>
      <c r="B503" s="1" t="str">
        <f>IF(AND(Programme_Grunddaten!$A508="Geprüft",Programme_Grunddaten!C508&lt;&gt;""),Programme_Grunddaten!C508,"")</f>
        <v/>
      </c>
      <c r="C503" s="1" t="str">
        <f>IF(AND(Programme_Grunddaten!$A508="Geprüft",Programme_Grunddaten!D508&lt;&gt;""),Programme_Grunddaten!D508,"")</f>
        <v/>
      </c>
      <c r="D503" s="2" t="str">
        <f>IF(AND(Programme_Grunddaten!$A508="Geprüft",Programme_Grunddaten!E508&lt;&gt;""),Programme_Grunddaten!E508,"")</f>
        <v/>
      </c>
      <c r="E503" t="str">
        <f>IF(AND(Programme_Grunddaten!$A508="Geprüft",Programme_Grunddaten!G508&lt;&gt;""),Programme_Grunddaten!G508,"")</f>
        <v/>
      </c>
      <c r="F503" t="str">
        <f>IF(AND(Programme_Grunddaten!$A508="Geprüft",Programme_Grunddaten!F508&lt;&gt;""),Programme_Grunddaten!F508,"")</f>
        <v/>
      </c>
      <c r="G503" s="3" t="str">
        <f>IF(AND(Programme_Grunddaten!$A508="Geprüft",Programme_Grunddaten!S508&lt;&gt;""),Programme_Grunddaten!S508,"")</f>
        <v/>
      </c>
      <c r="H503" t="str">
        <f>IF(AND(Programme_Grunddaten!$A508="Geprüft",Programme_Grunddaten!AW508&lt;&gt;""),Programme_Grunddaten!AW508,"")</f>
        <v/>
      </c>
      <c r="I503" t="str">
        <f>IF(AND(Programme_Grunddaten!$A508="Geprüft",Programme_Grunddaten!AX508&lt;&gt;""),Programme_Grunddaten!AX508,"")</f>
        <v/>
      </c>
    </row>
    <row r="504" spans="1:9" x14ac:dyDescent="0.3">
      <c r="A504" s="1" t="str">
        <f>IF(AND(Programme_Grunddaten!$A509="Geprüft",Programme_Grunddaten!B509&lt;&gt;""),Programme_Grunddaten!B509,"")</f>
        <v/>
      </c>
      <c r="B504" s="1" t="str">
        <f>IF(AND(Programme_Grunddaten!$A509="Geprüft",Programme_Grunddaten!C509&lt;&gt;""),Programme_Grunddaten!C509,"")</f>
        <v/>
      </c>
      <c r="C504" s="1" t="str">
        <f>IF(AND(Programme_Grunddaten!$A509="Geprüft",Programme_Grunddaten!D509&lt;&gt;""),Programme_Grunddaten!D509,"")</f>
        <v/>
      </c>
      <c r="D504" s="2" t="str">
        <f>IF(AND(Programme_Grunddaten!$A509="Geprüft",Programme_Grunddaten!E509&lt;&gt;""),Programme_Grunddaten!E509,"")</f>
        <v/>
      </c>
      <c r="E504" t="str">
        <f>IF(AND(Programme_Grunddaten!$A509="Geprüft",Programme_Grunddaten!G509&lt;&gt;""),Programme_Grunddaten!G509,"")</f>
        <v/>
      </c>
      <c r="F504" t="str">
        <f>IF(AND(Programme_Grunddaten!$A509="Geprüft",Programme_Grunddaten!F509&lt;&gt;""),Programme_Grunddaten!F509,"")</f>
        <v/>
      </c>
      <c r="G504" s="3" t="str">
        <f>IF(AND(Programme_Grunddaten!$A509="Geprüft",Programme_Grunddaten!S509&lt;&gt;""),Programme_Grunddaten!S509,"")</f>
        <v/>
      </c>
      <c r="H504" t="str">
        <f>IF(AND(Programme_Grunddaten!$A509="Geprüft",Programme_Grunddaten!AW509&lt;&gt;""),Programme_Grunddaten!AW509,"")</f>
        <v/>
      </c>
      <c r="I504" t="str">
        <f>IF(AND(Programme_Grunddaten!$A509="Geprüft",Programme_Grunddaten!AX509&lt;&gt;""),Programme_Grunddaten!AX509,"")</f>
        <v/>
      </c>
    </row>
    <row r="505" spans="1:9" x14ac:dyDescent="0.3">
      <c r="A505" s="1" t="str">
        <f>IF(AND(Programme_Grunddaten!$A510="Geprüft",Programme_Grunddaten!B510&lt;&gt;""),Programme_Grunddaten!B510,"")</f>
        <v/>
      </c>
      <c r="B505" s="1" t="str">
        <f>IF(AND(Programme_Grunddaten!$A510="Geprüft",Programme_Grunddaten!C510&lt;&gt;""),Programme_Grunddaten!C510,"")</f>
        <v/>
      </c>
      <c r="C505" s="1" t="str">
        <f>IF(AND(Programme_Grunddaten!$A510="Geprüft",Programme_Grunddaten!D510&lt;&gt;""),Programme_Grunddaten!D510,"")</f>
        <v/>
      </c>
      <c r="D505" s="2" t="str">
        <f>IF(AND(Programme_Grunddaten!$A510="Geprüft",Programme_Grunddaten!E510&lt;&gt;""),Programme_Grunddaten!E510,"")</f>
        <v/>
      </c>
      <c r="E505" t="str">
        <f>IF(AND(Programme_Grunddaten!$A510="Geprüft",Programme_Grunddaten!G510&lt;&gt;""),Programme_Grunddaten!G510,"")</f>
        <v/>
      </c>
      <c r="F505" t="str">
        <f>IF(AND(Programme_Grunddaten!$A510="Geprüft",Programme_Grunddaten!F510&lt;&gt;""),Programme_Grunddaten!F510,"")</f>
        <v/>
      </c>
      <c r="G505" s="3" t="str">
        <f>IF(AND(Programme_Grunddaten!$A510="Geprüft",Programme_Grunddaten!S510&lt;&gt;""),Programme_Grunddaten!S510,"")</f>
        <v/>
      </c>
      <c r="H505" t="str">
        <f>IF(AND(Programme_Grunddaten!$A510="Geprüft",Programme_Grunddaten!AW510&lt;&gt;""),Programme_Grunddaten!AW510,"")</f>
        <v/>
      </c>
      <c r="I505" t="str">
        <f>IF(AND(Programme_Grunddaten!$A510="Geprüft",Programme_Grunddaten!AX510&lt;&gt;""),Programme_Grunddaten!AX510,"")</f>
        <v/>
      </c>
    </row>
    <row r="506" spans="1:9" x14ac:dyDescent="0.3">
      <c r="A506" s="1" t="str">
        <f>IF(AND(Programme_Grunddaten!$A511="Geprüft",Programme_Grunddaten!B511&lt;&gt;""),Programme_Grunddaten!B511,"")</f>
        <v/>
      </c>
      <c r="B506" s="1" t="str">
        <f>IF(AND(Programme_Grunddaten!$A511="Geprüft",Programme_Grunddaten!C511&lt;&gt;""),Programme_Grunddaten!C511,"")</f>
        <v/>
      </c>
      <c r="C506" s="1" t="str">
        <f>IF(AND(Programme_Grunddaten!$A511="Geprüft",Programme_Grunddaten!D511&lt;&gt;""),Programme_Grunddaten!D511,"")</f>
        <v/>
      </c>
      <c r="D506" s="2" t="str">
        <f>IF(AND(Programme_Grunddaten!$A511="Geprüft",Programme_Grunddaten!E511&lt;&gt;""),Programme_Grunddaten!E511,"")</f>
        <v/>
      </c>
      <c r="E506" t="str">
        <f>IF(AND(Programme_Grunddaten!$A511="Geprüft",Programme_Grunddaten!G511&lt;&gt;""),Programme_Grunddaten!G511,"")</f>
        <v/>
      </c>
      <c r="F506" t="str">
        <f>IF(AND(Programme_Grunddaten!$A511="Geprüft",Programme_Grunddaten!F511&lt;&gt;""),Programme_Grunddaten!F511,"")</f>
        <v/>
      </c>
      <c r="G506" s="3" t="str">
        <f>IF(AND(Programme_Grunddaten!$A511="Geprüft",Programme_Grunddaten!S511&lt;&gt;""),Programme_Grunddaten!S511,"")</f>
        <v/>
      </c>
      <c r="H506" t="str">
        <f>IF(AND(Programme_Grunddaten!$A511="Geprüft",Programme_Grunddaten!AW511&lt;&gt;""),Programme_Grunddaten!AW511,"")</f>
        <v/>
      </c>
      <c r="I506" t="str">
        <f>IF(AND(Programme_Grunddaten!$A511="Geprüft",Programme_Grunddaten!AX511&lt;&gt;""),Programme_Grunddaten!AX511,"")</f>
        <v/>
      </c>
    </row>
    <row r="507" spans="1:9" x14ac:dyDescent="0.3">
      <c r="A507" s="1" t="str">
        <f>IF(AND(Programme_Grunddaten!$A512="Geprüft",Programme_Grunddaten!B512&lt;&gt;""),Programme_Grunddaten!B512,"")</f>
        <v/>
      </c>
      <c r="B507" s="1" t="str">
        <f>IF(AND(Programme_Grunddaten!$A512="Geprüft",Programme_Grunddaten!C512&lt;&gt;""),Programme_Grunddaten!C512,"")</f>
        <v/>
      </c>
      <c r="C507" s="1" t="str">
        <f>IF(AND(Programme_Grunddaten!$A512="Geprüft",Programme_Grunddaten!D512&lt;&gt;""),Programme_Grunddaten!D512,"")</f>
        <v/>
      </c>
      <c r="D507" s="2" t="str">
        <f>IF(AND(Programme_Grunddaten!$A512="Geprüft",Programme_Grunddaten!E512&lt;&gt;""),Programme_Grunddaten!E512,"")</f>
        <v/>
      </c>
      <c r="E507" t="str">
        <f>IF(AND(Programme_Grunddaten!$A512="Geprüft",Programme_Grunddaten!G512&lt;&gt;""),Programme_Grunddaten!G512,"")</f>
        <v/>
      </c>
      <c r="F507" t="str">
        <f>IF(AND(Programme_Grunddaten!$A512="Geprüft",Programme_Grunddaten!F512&lt;&gt;""),Programme_Grunddaten!F512,"")</f>
        <v/>
      </c>
      <c r="G507" s="3" t="str">
        <f>IF(AND(Programme_Grunddaten!$A512="Geprüft",Programme_Grunddaten!S512&lt;&gt;""),Programme_Grunddaten!S512,"")</f>
        <v/>
      </c>
      <c r="H507" t="str">
        <f>IF(AND(Programme_Grunddaten!$A512="Geprüft",Programme_Grunddaten!AW512&lt;&gt;""),Programme_Grunddaten!AW512,"")</f>
        <v/>
      </c>
      <c r="I507" t="str">
        <f>IF(AND(Programme_Grunddaten!$A512="Geprüft",Programme_Grunddaten!AX512&lt;&gt;""),Programme_Grunddaten!AX512,"")</f>
        <v/>
      </c>
    </row>
    <row r="508" spans="1:9" x14ac:dyDescent="0.3">
      <c r="A508" s="1" t="str">
        <f>IF(AND(Programme_Grunddaten!$A513="Geprüft",Programme_Grunddaten!B513&lt;&gt;""),Programme_Grunddaten!B513,"")</f>
        <v/>
      </c>
      <c r="B508" s="1" t="str">
        <f>IF(AND(Programme_Grunddaten!$A513="Geprüft",Programme_Grunddaten!C513&lt;&gt;""),Programme_Grunddaten!C513,"")</f>
        <v/>
      </c>
      <c r="C508" s="1" t="str">
        <f>IF(AND(Programme_Grunddaten!$A513="Geprüft",Programme_Grunddaten!D513&lt;&gt;""),Programme_Grunddaten!D513,"")</f>
        <v/>
      </c>
      <c r="D508" s="2" t="str">
        <f>IF(AND(Programme_Grunddaten!$A513="Geprüft",Programme_Grunddaten!E513&lt;&gt;""),Programme_Grunddaten!E513,"")</f>
        <v/>
      </c>
      <c r="E508" t="str">
        <f>IF(AND(Programme_Grunddaten!$A513="Geprüft",Programme_Grunddaten!G513&lt;&gt;""),Programme_Grunddaten!G513,"")</f>
        <v/>
      </c>
      <c r="F508" t="str">
        <f>IF(AND(Programme_Grunddaten!$A513="Geprüft",Programme_Grunddaten!F513&lt;&gt;""),Programme_Grunddaten!F513,"")</f>
        <v/>
      </c>
      <c r="G508" s="3" t="str">
        <f>IF(AND(Programme_Grunddaten!$A513="Geprüft",Programme_Grunddaten!S513&lt;&gt;""),Programme_Grunddaten!S513,"")</f>
        <v/>
      </c>
      <c r="H508" t="str">
        <f>IF(AND(Programme_Grunddaten!$A513="Geprüft",Programme_Grunddaten!AW513&lt;&gt;""),Programme_Grunddaten!AW513,"")</f>
        <v/>
      </c>
      <c r="I508" t="str">
        <f>IF(AND(Programme_Grunddaten!$A513="Geprüft",Programme_Grunddaten!AX513&lt;&gt;""),Programme_Grunddaten!AX513,"")</f>
        <v/>
      </c>
    </row>
    <row r="509" spans="1:9" x14ac:dyDescent="0.3">
      <c r="A509" s="1" t="str">
        <f>IF(AND(Programme_Grunddaten!$A514="Geprüft",Programme_Grunddaten!B514&lt;&gt;""),Programme_Grunddaten!B514,"")</f>
        <v/>
      </c>
      <c r="B509" s="1" t="str">
        <f>IF(AND(Programme_Grunddaten!$A514="Geprüft",Programme_Grunddaten!C514&lt;&gt;""),Programme_Grunddaten!C514,"")</f>
        <v/>
      </c>
      <c r="C509" s="1" t="str">
        <f>IF(AND(Programme_Grunddaten!$A514="Geprüft",Programme_Grunddaten!D514&lt;&gt;""),Programme_Grunddaten!D514,"")</f>
        <v/>
      </c>
      <c r="D509" s="2" t="str">
        <f>IF(AND(Programme_Grunddaten!$A514="Geprüft",Programme_Grunddaten!E514&lt;&gt;""),Programme_Grunddaten!E514,"")</f>
        <v/>
      </c>
      <c r="E509" t="str">
        <f>IF(AND(Programme_Grunddaten!$A514="Geprüft",Programme_Grunddaten!G514&lt;&gt;""),Programme_Grunddaten!G514,"")</f>
        <v/>
      </c>
      <c r="F509" t="str">
        <f>IF(AND(Programme_Grunddaten!$A514="Geprüft",Programme_Grunddaten!F514&lt;&gt;""),Programme_Grunddaten!F514,"")</f>
        <v/>
      </c>
      <c r="G509" s="3" t="str">
        <f>IF(AND(Programme_Grunddaten!$A514="Geprüft",Programme_Grunddaten!S514&lt;&gt;""),Programme_Grunddaten!S514,"")</f>
        <v/>
      </c>
      <c r="H509" t="str">
        <f>IF(AND(Programme_Grunddaten!$A514="Geprüft",Programme_Grunddaten!AW514&lt;&gt;""),Programme_Grunddaten!AW514,"")</f>
        <v/>
      </c>
      <c r="I509" t="str">
        <f>IF(AND(Programme_Grunddaten!$A514="Geprüft",Programme_Grunddaten!AX514&lt;&gt;""),Programme_Grunddaten!AX514,"")</f>
        <v/>
      </c>
    </row>
    <row r="510" spans="1:9" x14ac:dyDescent="0.3">
      <c r="A510" s="1" t="str">
        <f>IF(AND(Programme_Grunddaten!$A515="Geprüft",Programme_Grunddaten!B515&lt;&gt;""),Programme_Grunddaten!B515,"")</f>
        <v/>
      </c>
      <c r="B510" s="1" t="str">
        <f>IF(AND(Programme_Grunddaten!$A515="Geprüft",Programme_Grunddaten!C515&lt;&gt;""),Programme_Grunddaten!C515,"")</f>
        <v/>
      </c>
      <c r="C510" s="1" t="str">
        <f>IF(AND(Programme_Grunddaten!$A515="Geprüft",Programme_Grunddaten!D515&lt;&gt;""),Programme_Grunddaten!D515,"")</f>
        <v/>
      </c>
      <c r="D510" s="2" t="str">
        <f>IF(AND(Programme_Grunddaten!$A515="Geprüft",Programme_Grunddaten!E515&lt;&gt;""),Programme_Grunddaten!E515,"")</f>
        <v/>
      </c>
      <c r="E510" t="str">
        <f>IF(AND(Programme_Grunddaten!$A515="Geprüft",Programme_Grunddaten!G515&lt;&gt;""),Programme_Grunddaten!G515,"")</f>
        <v/>
      </c>
      <c r="F510" t="str">
        <f>IF(AND(Programme_Grunddaten!$A515="Geprüft",Programme_Grunddaten!F515&lt;&gt;""),Programme_Grunddaten!F515,"")</f>
        <v/>
      </c>
      <c r="G510" s="3" t="str">
        <f>IF(AND(Programme_Grunddaten!$A515="Geprüft",Programme_Grunddaten!S515&lt;&gt;""),Programme_Grunddaten!S515,"")</f>
        <v/>
      </c>
      <c r="H510" t="str">
        <f>IF(AND(Programme_Grunddaten!$A515="Geprüft",Programme_Grunddaten!AW515&lt;&gt;""),Programme_Grunddaten!AW515,"")</f>
        <v/>
      </c>
      <c r="I510" t="str">
        <f>IF(AND(Programme_Grunddaten!$A515="Geprüft",Programme_Grunddaten!AX515&lt;&gt;""),Programme_Grunddaten!AX515,"")</f>
        <v/>
      </c>
    </row>
    <row r="511" spans="1:9" x14ac:dyDescent="0.3">
      <c r="A511" s="1" t="str">
        <f>IF(AND(Programme_Grunddaten!$A516="Geprüft",Programme_Grunddaten!B516&lt;&gt;""),Programme_Grunddaten!B516,"")</f>
        <v/>
      </c>
      <c r="B511" s="1" t="str">
        <f>IF(AND(Programme_Grunddaten!$A516="Geprüft",Programme_Grunddaten!C516&lt;&gt;""),Programme_Grunddaten!C516,"")</f>
        <v/>
      </c>
      <c r="C511" s="1" t="str">
        <f>IF(AND(Programme_Grunddaten!$A516="Geprüft",Programme_Grunddaten!D516&lt;&gt;""),Programme_Grunddaten!D516,"")</f>
        <v/>
      </c>
      <c r="D511" s="2" t="str">
        <f>IF(AND(Programme_Grunddaten!$A516="Geprüft",Programme_Grunddaten!E516&lt;&gt;""),Programme_Grunddaten!E516,"")</f>
        <v/>
      </c>
      <c r="E511" t="str">
        <f>IF(AND(Programme_Grunddaten!$A516="Geprüft",Programme_Grunddaten!G516&lt;&gt;""),Programme_Grunddaten!G516,"")</f>
        <v/>
      </c>
      <c r="F511" t="str">
        <f>IF(AND(Programme_Grunddaten!$A516="Geprüft",Programme_Grunddaten!F516&lt;&gt;""),Programme_Grunddaten!F516,"")</f>
        <v/>
      </c>
      <c r="G511" s="3" t="str">
        <f>IF(AND(Programme_Grunddaten!$A516="Geprüft",Programme_Grunddaten!S516&lt;&gt;""),Programme_Grunddaten!S516,"")</f>
        <v/>
      </c>
      <c r="H511" t="str">
        <f>IF(AND(Programme_Grunddaten!$A516="Geprüft",Programme_Grunddaten!AW516&lt;&gt;""),Programme_Grunddaten!AW516,"")</f>
        <v/>
      </c>
      <c r="I511" t="str">
        <f>IF(AND(Programme_Grunddaten!$A516="Geprüft",Programme_Grunddaten!AX516&lt;&gt;""),Programme_Grunddaten!AX516,"")</f>
        <v/>
      </c>
    </row>
    <row r="512" spans="1:9" x14ac:dyDescent="0.3">
      <c r="A512" s="1" t="str">
        <f>IF(AND(Programme_Grunddaten!$A517="Geprüft",Programme_Grunddaten!B517&lt;&gt;""),Programme_Grunddaten!B517,"")</f>
        <v/>
      </c>
      <c r="B512" s="1" t="str">
        <f>IF(AND(Programme_Grunddaten!$A517="Geprüft",Programme_Grunddaten!C517&lt;&gt;""),Programme_Grunddaten!C517,"")</f>
        <v/>
      </c>
      <c r="C512" s="1" t="str">
        <f>IF(AND(Programme_Grunddaten!$A517="Geprüft",Programme_Grunddaten!D517&lt;&gt;""),Programme_Grunddaten!D517,"")</f>
        <v/>
      </c>
      <c r="D512" s="2" t="str">
        <f>IF(AND(Programme_Grunddaten!$A517="Geprüft",Programme_Grunddaten!E517&lt;&gt;""),Programme_Grunddaten!E517,"")</f>
        <v/>
      </c>
      <c r="E512" t="str">
        <f>IF(AND(Programme_Grunddaten!$A517="Geprüft",Programme_Grunddaten!G517&lt;&gt;""),Programme_Grunddaten!G517,"")</f>
        <v/>
      </c>
      <c r="F512" t="str">
        <f>IF(AND(Programme_Grunddaten!$A517="Geprüft",Programme_Grunddaten!F517&lt;&gt;""),Programme_Grunddaten!F517,"")</f>
        <v/>
      </c>
      <c r="G512" s="3" t="str">
        <f>IF(AND(Programme_Grunddaten!$A517="Geprüft",Programme_Grunddaten!S517&lt;&gt;""),Programme_Grunddaten!S517,"")</f>
        <v/>
      </c>
      <c r="H512" t="str">
        <f>IF(AND(Programme_Grunddaten!$A517="Geprüft",Programme_Grunddaten!AW517&lt;&gt;""),Programme_Grunddaten!AW517,"")</f>
        <v/>
      </c>
      <c r="I512" t="str">
        <f>IF(AND(Programme_Grunddaten!$A517="Geprüft",Programme_Grunddaten!AX517&lt;&gt;""),Programme_Grunddaten!AX517,"")</f>
        <v/>
      </c>
    </row>
    <row r="513" spans="1:9" x14ac:dyDescent="0.3">
      <c r="A513" s="1" t="str">
        <f>IF(AND(Programme_Grunddaten!$A518="Geprüft",Programme_Grunddaten!B518&lt;&gt;""),Programme_Grunddaten!B518,"")</f>
        <v/>
      </c>
      <c r="B513" s="1" t="str">
        <f>IF(AND(Programme_Grunddaten!$A518="Geprüft",Programme_Grunddaten!C518&lt;&gt;""),Programme_Grunddaten!C518,"")</f>
        <v/>
      </c>
      <c r="C513" s="1" t="str">
        <f>IF(AND(Programme_Grunddaten!$A518="Geprüft",Programme_Grunddaten!D518&lt;&gt;""),Programme_Grunddaten!D518,"")</f>
        <v/>
      </c>
      <c r="D513" s="2" t="str">
        <f>IF(AND(Programme_Grunddaten!$A518="Geprüft",Programme_Grunddaten!E518&lt;&gt;""),Programme_Grunddaten!E518,"")</f>
        <v/>
      </c>
      <c r="E513" t="str">
        <f>IF(AND(Programme_Grunddaten!$A518="Geprüft",Programme_Grunddaten!G518&lt;&gt;""),Programme_Grunddaten!G518,"")</f>
        <v/>
      </c>
      <c r="F513" t="str">
        <f>IF(AND(Programme_Grunddaten!$A518="Geprüft",Programme_Grunddaten!F518&lt;&gt;""),Programme_Grunddaten!F518,"")</f>
        <v/>
      </c>
      <c r="G513" s="3" t="str">
        <f>IF(AND(Programme_Grunddaten!$A518="Geprüft",Programme_Grunddaten!S518&lt;&gt;""),Programme_Grunddaten!S518,"")</f>
        <v/>
      </c>
      <c r="H513" t="str">
        <f>IF(AND(Programme_Grunddaten!$A518="Geprüft",Programme_Grunddaten!AW518&lt;&gt;""),Programme_Grunddaten!AW518,"")</f>
        <v/>
      </c>
      <c r="I513" t="str">
        <f>IF(AND(Programme_Grunddaten!$A518="Geprüft",Programme_Grunddaten!AX518&lt;&gt;""),Programme_Grunddaten!AX518,"")</f>
        <v/>
      </c>
    </row>
    <row r="514" spans="1:9" x14ac:dyDescent="0.3">
      <c r="A514" s="1" t="str">
        <f>IF(AND(Programme_Grunddaten!$A519="Geprüft",Programme_Grunddaten!B519&lt;&gt;""),Programme_Grunddaten!B519,"")</f>
        <v/>
      </c>
      <c r="B514" s="1" t="str">
        <f>IF(AND(Programme_Grunddaten!$A519="Geprüft",Programme_Grunddaten!C519&lt;&gt;""),Programme_Grunddaten!C519,"")</f>
        <v/>
      </c>
      <c r="C514" s="1" t="str">
        <f>IF(AND(Programme_Grunddaten!$A519="Geprüft",Programme_Grunddaten!D519&lt;&gt;""),Programme_Grunddaten!D519,"")</f>
        <v/>
      </c>
      <c r="D514" s="2" t="str">
        <f>IF(AND(Programme_Grunddaten!$A519="Geprüft",Programme_Grunddaten!E519&lt;&gt;""),Programme_Grunddaten!E519,"")</f>
        <v/>
      </c>
      <c r="E514" t="str">
        <f>IF(AND(Programme_Grunddaten!$A519="Geprüft",Programme_Grunddaten!G519&lt;&gt;""),Programme_Grunddaten!G519,"")</f>
        <v/>
      </c>
      <c r="F514" t="str">
        <f>IF(AND(Programme_Grunddaten!$A519="Geprüft",Programme_Grunddaten!F519&lt;&gt;""),Programme_Grunddaten!F519,"")</f>
        <v/>
      </c>
      <c r="G514" s="3" t="str">
        <f>IF(AND(Programme_Grunddaten!$A519="Geprüft",Programme_Grunddaten!S519&lt;&gt;""),Programme_Grunddaten!S519,"")</f>
        <v/>
      </c>
      <c r="H514" t="str">
        <f>IF(AND(Programme_Grunddaten!$A519="Geprüft",Programme_Grunddaten!AW519&lt;&gt;""),Programme_Grunddaten!AW519,"")</f>
        <v/>
      </c>
      <c r="I514" t="str">
        <f>IF(AND(Programme_Grunddaten!$A519="Geprüft",Programme_Grunddaten!AX519&lt;&gt;""),Programme_Grunddaten!AX519,"")</f>
        <v/>
      </c>
    </row>
    <row r="515" spans="1:9" x14ac:dyDescent="0.3">
      <c r="A515" s="1" t="str">
        <f>IF(AND(Programme_Grunddaten!$A520="Geprüft",Programme_Grunddaten!B520&lt;&gt;""),Programme_Grunddaten!B520,"")</f>
        <v/>
      </c>
      <c r="B515" s="1" t="str">
        <f>IF(AND(Programme_Grunddaten!$A520="Geprüft",Programme_Grunddaten!C520&lt;&gt;""),Programme_Grunddaten!C520,"")</f>
        <v/>
      </c>
      <c r="C515" s="1" t="str">
        <f>IF(AND(Programme_Grunddaten!$A520="Geprüft",Programme_Grunddaten!D520&lt;&gt;""),Programme_Grunddaten!D520,"")</f>
        <v/>
      </c>
      <c r="D515" s="2" t="str">
        <f>IF(AND(Programme_Grunddaten!$A520="Geprüft",Programme_Grunddaten!E520&lt;&gt;""),Programme_Grunddaten!E520,"")</f>
        <v/>
      </c>
      <c r="E515" t="str">
        <f>IF(AND(Programme_Grunddaten!$A520="Geprüft",Programme_Grunddaten!G520&lt;&gt;""),Programme_Grunddaten!G520,"")</f>
        <v/>
      </c>
      <c r="F515" t="str">
        <f>IF(AND(Programme_Grunddaten!$A520="Geprüft",Programme_Grunddaten!F520&lt;&gt;""),Programme_Grunddaten!F520,"")</f>
        <v/>
      </c>
      <c r="G515" s="3" t="str">
        <f>IF(AND(Programme_Grunddaten!$A520="Geprüft",Programme_Grunddaten!S520&lt;&gt;""),Programme_Grunddaten!S520,"")</f>
        <v/>
      </c>
      <c r="H515" t="str">
        <f>IF(AND(Programme_Grunddaten!$A520="Geprüft",Programme_Grunddaten!AW520&lt;&gt;""),Programme_Grunddaten!AW520,"")</f>
        <v/>
      </c>
      <c r="I515" t="str">
        <f>IF(AND(Programme_Grunddaten!$A520="Geprüft",Programme_Grunddaten!AX520&lt;&gt;""),Programme_Grunddaten!AX520,"")</f>
        <v/>
      </c>
    </row>
    <row r="516" spans="1:9" x14ac:dyDescent="0.3">
      <c r="A516" s="1" t="str">
        <f>IF(AND(Programme_Grunddaten!$A521="Geprüft",Programme_Grunddaten!B521&lt;&gt;""),Programme_Grunddaten!B521,"")</f>
        <v/>
      </c>
      <c r="B516" s="1" t="str">
        <f>IF(AND(Programme_Grunddaten!$A521="Geprüft",Programme_Grunddaten!C521&lt;&gt;""),Programme_Grunddaten!C521,"")</f>
        <v/>
      </c>
      <c r="C516" s="1" t="str">
        <f>IF(AND(Programme_Grunddaten!$A521="Geprüft",Programme_Grunddaten!D521&lt;&gt;""),Programme_Grunddaten!D521,"")</f>
        <v/>
      </c>
      <c r="D516" s="2" t="str">
        <f>IF(AND(Programme_Grunddaten!$A521="Geprüft",Programme_Grunddaten!E521&lt;&gt;""),Programme_Grunddaten!E521,"")</f>
        <v/>
      </c>
      <c r="E516" t="str">
        <f>IF(AND(Programme_Grunddaten!$A521="Geprüft",Programme_Grunddaten!G521&lt;&gt;""),Programme_Grunddaten!G521,"")</f>
        <v/>
      </c>
      <c r="F516" t="str">
        <f>IF(AND(Programme_Grunddaten!$A521="Geprüft",Programme_Grunddaten!F521&lt;&gt;""),Programme_Grunddaten!F521,"")</f>
        <v/>
      </c>
      <c r="G516" s="3" t="str">
        <f>IF(AND(Programme_Grunddaten!$A521="Geprüft",Programme_Grunddaten!S521&lt;&gt;""),Programme_Grunddaten!S521,"")</f>
        <v/>
      </c>
      <c r="H516" t="str">
        <f>IF(AND(Programme_Grunddaten!$A521="Geprüft",Programme_Grunddaten!AW521&lt;&gt;""),Programme_Grunddaten!AW521,"")</f>
        <v/>
      </c>
      <c r="I516" t="str">
        <f>IF(AND(Programme_Grunddaten!$A521="Geprüft",Programme_Grunddaten!AX521&lt;&gt;""),Programme_Grunddaten!AX521,"")</f>
        <v/>
      </c>
    </row>
    <row r="517" spans="1:9" x14ac:dyDescent="0.3">
      <c r="A517" s="1" t="str">
        <f>IF(AND(Programme_Grunddaten!$A522="Geprüft",Programme_Grunddaten!B522&lt;&gt;""),Programme_Grunddaten!B522,"")</f>
        <v/>
      </c>
      <c r="B517" s="1" t="str">
        <f>IF(AND(Programme_Grunddaten!$A522="Geprüft",Programme_Grunddaten!C522&lt;&gt;""),Programme_Grunddaten!C522,"")</f>
        <v/>
      </c>
      <c r="C517" s="1" t="str">
        <f>IF(AND(Programme_Grunddaten!$A522="Geprüft",Programme_Grunddaten!D522&lt;&gt;""),Programme_Grunddaten!D522,"")</f>
        <v/>
      </c>
      <c r="D517" s="2" t="str">
        <f>IF(AND(Programme_Grunddaten!$A522="Geprüft",Programme_Grunddaten!E522&lt;&gt;""),Programme_Grunddaten!E522,"")</f>
        <v/>
      </c>
      <c r="E517" t="str">
        <f>IF(AND(Programme_Grunddaten!$A522="Geprüft",Programme_Grunddaten!G522&lt;&gt;""),Programme_Grunddaten!G522,"")</f>
        <v/>
      </c>
      <c r="F517" t="str">
        <f>IF(AND(Programme_Grunddaten!$A522="Geprüft",Programme_Grunddaten!F522&lt;&gt;""),Programme_Grunddaten!F522,"")</f>
        <v/>
      </c>
      <c r="G517" s="3" t="str">
        <f>IF(AND(Programme_Grunddaten!$A522="Geprüft",Programme_Grunddaten!S522&lt;&gt;""),Programme_Grunddaten!S522,"")</f>
        <v/>
      </c>
      <c r="H517" t="str">
        <f>IF(AND(Programme_Grunddaten!$A522="Geprüft",Programme_Grunddaten!AW522&lt;&gt;""),Programme_Grunddaten!AW522,"")</f>
        <v/>
      </c>
      <c r="I517" t="str">
        <f>IF(AND(Programme_Grunddaten!$A522="Geprüft",Programme_Grunddaten!AX522&lt;&gt;""),Programme_Grunddaten!AX522,"")</f>
        <v/>
      </c>
    </row>
    <row r="518" spans="1:9" x14ac:dyDescent="0.3">
      <c r="A518" s="1" t="str">
        <f>IF(AND(Programme_Grunddaten!$A523="Geprüft",Programme_Grunddaten!B523&lt;&gt;""),Programme_Grunddaten!B523,"")</f>
        <v/>
      </c>
      <c r="B518" s="1" t="str">
        <f>IF(AND(Programme_Grunddaten!$A523="Geprüft",Programme_Grunddaten!C523&lt;&gt;""),Programme_Grunddaten!C523,"")</f>
        <v/>
      </c>
      <c r="C518" s="1" t="str">
        <f>IF(AND(Programme_Grunddaten!$A523="Geprüft",Programme_Grunddaten!D523&lt;&gt;""),Programme_Grunddaten!D523,"")</f>
        <v/>
      </c>
      <c r="D518" s="2" t="str">
        <f>IF(AND(Programme_Grunddaten!$A523="Geprüft",Programme_Grunddaten!E523&lt;&gt;""),Programme_Grunddaten!E523,"")</f>
        <v/>
      </c>
      <c r="E518" t="str">
        <f>IF(AND(Programme_Grunddaten!$A523="Geprüft",Programme_Grunddaten!G523&lt;&gt;""),Programme_Grunddaten!G523,"")</f>
        <v/>
      </c>
      <c r="F518" t="str">
        <f>IF(AND(Programme_Grunddaten!$A523="Geprüft",Programme_Grunddaten!F523&lt;&gt;""),Programme_Grunddaten!F523,"")</f>
        <v/>
      </c>
      <c r="G518" s="3" t="str">
        <f>IF(AND(Programme_Grunddaten!$A523="Geprüft",Programme_Grunddaten!S523&lt;&gt;""),Programme_Grunddaten!S523,"")</f>
        <v/>
      </c>
      <c r="H518" t="str">
        <f>IF(AND(Programme_Grunddaten!$A523="Geprüft",Programme_Grunddaten!AW523&lt;&gt;""),Programme_Grunddaten!AW523,"")</f>
        <v/>
      </c>
      <c r="I518" t="str">
        <f>IF(AND(Programme_Grunddaten!$A523="Geprüft",Programme_Grunddaten!AX523&lt;&gt;""),Programme_Grunddaten!AX523,"")</f>
        <v/>
      </c>
    </row>
    <row r="519" spans="1:9" x14ac:dyDescent="0.3">
      <c r="A519" s="1" t="str">
        <f>IF(AND(Programme_Grunddaten!$A524="Geprüft",Programme_Grunddaten!B524&lt;&gt;""),Programme_Grunddaten!B524,"")</f>
        <v/>
      </c>
      <c r="B519" s="1" t="str">
        <f>IF(AND(Programme_Grunddaten!$A524="Geprüft",Programme_Grunddaten!C524&lt;&gt;""),Programme_Grunddaten!C524,"")</f>
        <v/>
      </c>
      <c r="C519" s="1" t="str">
        <f>IF(AND(Programme_Grunddaten!$A524="Geprüft",Programme_Grunddaten!D524&lt;&gt;""),Programme_Grunddaten!D524,"")</f>
        <v/>
      </c>
      <c r="D519" s="2" t="str">
        <f>IF(AND(Programme_Grunddaten!$A524="Geprüft",Programme_Grunddaten!E524&lt;&gt;""),Programme_Grunddaten!E524,"")</f>
        <v/>
      </c>
      <c r="E519" t="str">
        <f>IF(AND(Programme_Grunddaten!$A524="Geprüft",Programme_Grunddaten!G524&lt;&gt;""),Programme_Grunddaten!G524,"")</f>
        <v/>
      </c>
      <c r="F519" t="str">
        <f>IF(AND(Programme_Grunddaten!$A524="Geprüft",Programme_Grunddaten!F524&lt;&gt;""),Programme_Grunddaten!F524,"")</f>
        <v/>
      </c>
      <c r="G519" s="3" t="str">
        <f>IF(AND(Programme_Grunddaten!$A524="Geprüft",Programme_Grunddaten!S524&lt;&gt;""),Programme_Grunddaten!S524,"")</f>
        <v/>
      </c>
      <c r="H519" t="str">
        <f>IF(AND(Programme_Grunddaten!$A524="Geprüft",Programme_Grunddaten!AW524&lt;&gt;""),Programme_Grunddaten!AW524,"")</f>
        <v/>
      </c>
      <c r="I519" t="str">
        <f>IF(AND(Programme_Grunddaten!$A524="Geprüft",Programme_Grunddaten!AX524&lt;&gt;""),Programme_Grunddaten!AX524,"")</f>
        <v/>
      </c>
    </row>
    <row r="520" spans="1:9" x14ac:dyDescent="0.3">
      <c r="A520" s="1" t="str">
        <f>IF(AND(Programme_Grunddaten!$A525="Geprüft",Programme_Grunddaten!B525&lt;&gt;""),Programme_Grunddaten!B525,"")</f>
        <v/>
      </c>
      <c r="B520" s="1" t="str">
        <f>IF(AND(Programme_Grunddaten!$A525="Geprüft",Programme_Grunddaten!C525&lt;&gt;""),Programme_Grunddaten!C525,"")</f>
        <v/>
      </c>
      <c r="C520" s="1" t="str">
        <f>IF(AND(Programme_Grunddaten!$A525="Geprüft",Programme_Grunddaten!D525&lt;&gt;""),Programme_Grunddaten!D525,"")</f>
        <v/>
      </c>
      <c r="D520" s="2" t="str">
        <f>IF(AND(Programme_Grunddaten!$A525="Geprüft",Programme_Grunddaten!E525&lt;&gt;""),Programme_Grunddaten!E525,"")</f>
        <v/>
      </c>
      <c r="E520" t="str">
        <f>IF(AND(Programme_Grunddaten!$A525="Geprüft",Programme_Grunddaten!G525&lt;&gt;""),Programme_Grunddaten!G525,"")</f>
        <v/>
      </c>
      <c r="F520" t="str">
        <f>IF(AND(Programme_Grunddaten!$A525="Geprüft",Programme_Grunddaten!F525&lt;&gt;""),Programme_Grunddaten!F525,"")</f>
        <v/>
      </c>
      <c r="G520" s="3" t="str">
        <f>IF(AND(Programme_Grunddaten!$A525="Geprüft",Programme_Grunddaten!S525&lt;&gt;""),Programme_Grunddaten!S525,"")</f>
        <v/>
      </c>
      <c r="H520" t="str">
        <f>IF(AND(Programme_Grunddaten!$A525="Geprüft",Programme_Grunddaten!AW525&lt;&gt;""),Programme_Grunddaten!AW525,"")</f>
        <v/>
      </c>
      <c r="I520" t="str">
        <f>IF(AND(Programme_Grunddaten!$A525="Geprüft",Programme_Grunddaten!AX525&lt;&gt;""),Programme_Grunddaten!AX525,"")</f>
        <v/>
      </c>
    </row>
    <row r="521" spans="1:9" x14ac:dyDescent="0.3">
      <c r="A521" s="1" t="str">
        <f>IF(AND(Programme_Grunddaten!$A526="Geprüft",Programme_Grunddaten!B526&lt;&gt;""),Programme_Grunddaten!B526,"")</f>
        <v/>
      </c>
      <c r="B521" s="1" t="str">
        <f>IF(AND(Programme_Grunddaten!$A526="Geprüft",Programme_Grunddaten!C526&lt;&gt;""),Programme_Grunddaten!C526,"")</f>
        <v/>
      </c>
      <c r="C521" s="1" t="str">
        <f>IF(AND(Programme_Grunddaten!$A526="Geprüft",Programme_Grunddaten!D526&lt;&gt;""),Programme_Grunddaten!D526,"")</f>
        <v/>
      </c>
      <c r="D521" s="2" t="str">
        <f>IF(AND(Programme_Grunddaten!$A526="Geprüft",Programme_Grunddaten!E526&lt;&gt;""),Programme_Grunddaten!E526,"")</f>
        <v/>
      </c>
      <c r="E521" t="str">
        <f>IF(AND(Programme_Grunddaten!$A526="Geprüft",Programme_Grunddaten!G526&lt;&gt;""),Programme_Grunddaten!G526,"")</f>
        <v/>
      </c>
      <c r="F521" t="str">
        <f>IF(AND(Programme_Grunddaten!$A526="Geprüft",Programme_Grunddaten!F526&lt;&gt;""),Programme_Grunddaten!F526,"")</f>
        <v/>
      </c>
      <c r="G521" s="3" t="str">
        <f>IF(AND(Programme_Grunddaten!$A526="Geprüft",Programme_Grunddaten!S526&lt;&gt;""),Programme_Grunddaten!S526,"")</f>
        <v/>
      </c>
      <c r="H521" t="str">
        <f>IF(AND(Programme_Grunddaten!$A526="Geprüft",Programme_Grunddaten!AW526&lt;&gt;""),Programme_Grunddaten!AW526,"")</f>
        <v/>
      </c>
      <c r="I521" t="str">
        <f>IF(AND(Programme_Grunddaten!$A526="Geprüft",Programme_Grunddaten!AX526&lt;&gt;""),Programme_Grunddaten!AX526,"")</f>
        <v/>
      </c>
    </row>
    <row r="522" spans="1:9" x14ac:dyDescent="0.3">
      <c r="A522" s="1" t="str">
        <f>IF(AND(Programme_Grunddaten!$A527="Geprüft",Programme_Grunddaten!B527&lt;&gt;""),Programme_Grunddaten!B527,"")</f>
        <v/>
      </c>
      <c r="B522" s="1" t="str">
        <f>IF(AND(Programme_Grunddaten!$A527="Geprüft",Programme_Grunddaten!C527&lt;&gt;""),Programme_Grunddaten!C527,"")</f>
        <v/>
      </c>
      <c r="C522" s="1" t="str">
        <f>IF(AND(Programme_Grunddaten!$A527="Geprüft",Programme_Grunddaten!D527&lt;&gt;""),Programme_Grunddaten!D527,"")</f>
        <v/>
      </c>
      <c r="D522" s="2" t="str">
        <f>IF(AND(Programme_Grunddaten!$A527="Geprüft",Programme_Grunddaten!E527&lt;&gt;""),Programme_Grunddaten!E527,"")</f>
        <v/>
      </c>
      <c r="E522" t="str">
        <f>IF(AND(Programme_Grunddaten!$A527="Geprüft",Programme_Grunddaten!G527&lt;&gt;""),Programme_Grunddaten!G527,"")</f>
        <v/>
      </c>
      <c r="F522" t="str">
        <f>IF(AND(Programme_Grunddaten!$A527="Geprüft",Programme_Grunddaten!F527&lt;&gt;""),Programme_Grunddaten!F527,"")</f>
        <v/>
      </c>
      <c r="G522" s="3" t="str">
        <f>IF(AND(Programme_Grunddaten!$A527="Geprüft",Programme_Grunddaten!S527&lt;&gt;""),Programme_Grunddaten!S527,"")</f>
        <v/>
      </c>
      <c r="H522" t="str">
        <f>IF(AND(Programme_Grunddaten!$A527="Geprüft",Programme_Grunddaten!AW527&lt;&gt;""),Programme_Grunddaten!AW527,"")</f>
        <v/>
      </c>
      <c r="I522" t="str">
        <f>IF(AND(Programme_Grunddaten!$A527="Geprüft",Programme_Grunddaten!AX527&lt;&gt;""),Programme_Grunddaten!AX527,"")</f>
        <v/>
      </c>
    </row>
    <row r="523" spans="1:9" x14ac:dyDescent="0.3">
      <c r="A523" s="1" t="str">
        <f>IF(AND(Programme_Grunddaten!$A528="Geprüft",Programme_Grunddaten!B528&lt;&gt;""),Programme_Grunddaten!B528,"")</f>
        <v/>
      </c>
      <c r="B523" s="1" t="str">
        <f>IF(AND(Programme_Grunddaten!$A528="Geprüft",Programme_Grunddaten!C528&lt;&gt;""),Programme_Grunddaten!C528,"")</f>
        <v/>
      </c>
      <c r="C523" s="1" t="str">
        <f>IF(AND(Programme_Grunddaten!$A528="Geprüft",Programme_Grunddaten!D528&lt;&gt;""),Programme_Grunddaten!D528,"")</f>
        <v/>
      </c>
      <c r="D523" s="2" t="str">
        <f>IF(AND(Programme_Grunddaten!$A528="Geprüft",Programme_Grunddaten!E528&lt;&gt;""),Programme_Grunddaten!E528,"")</f>
        <v/>
      </c>
      <c r="E523" t="str">
        <f>IF(AND(Programme_Grunddaten!$A528="Geprüft",Programme_Grunddaten!G528&lt;&gt;""),Programme_Grunddaten!G528,"")</f>
        <v/>
      </c>
      <c r="F523" t="str">
        <f>IF(AND(Programme_Grunddaten!$A528="Geprüft",Programme_Grunddaten!F528&lt;&gt;""),Programme_Grunddaten!F528,"")</f>
        <v/>
      </c>
      <c r="G523" s="3" t="str">
        <f>IF(AND(Programme_Grunddaten!$A528="Geprüft",Programme_Grunddaten!S528&lt;&gt;""),Programme_Grunddaten!S528,"")</f>
        <v/>
      </c>
      <c r="H523" t="str">
        <f>IF(AND(Programme_Grunddaten!$A528="Geprüft",Programme_Grunddaten!AW528&lt;&gt;""),Programme_Grunddaten!AW528,"")</f>
        <v/>
      </c>
      <c r="I523" t="str">
        <f>IF(AND(Programme_Grunddaten!$A528="Geprüft",Programme_Grunddaten!AX528&lt;&gt;""),Programme_Grunddaten!AX528,"")</f>
        <v/>
      </c>
    </row>
    <row r="524" spans="1:9" x14ac:dyDescent="0.3">
      <c r="A524" s="1" t="str">
        <f>IF(AND(Programme_Grunddaten!$A529="Geprüft",Programme_Grunddaten!B529&lt;&gt;""),Programme_Grunddaten!B529,"")</f>
        <v/>
      </c>
      <c r="B524" s="1" t="str">
        <f>IF(AND(Programme_Grunddaten!$A529="Geprüft",Programme_Grunddaten!C529&lt;&gt;""),Programme_Grunddaten!C529,"")</f>
        <v/>
      </c>
      <c r="C524" s="1" t="str">
        <f>IF(AND(Programme_Grunddaten!$A529="Geprüft",Programme_Grunddaten!D529&lt;&gt;""),Programme_Grunddaten!D529,"")</f>
        <v/>
      </c>
      <c r="D524" s="2" t="str">
        <f>IF(AND(Programme_Grunddaten!$A529="Geprüft",Programme_Grunddaten!E529&lt;&gt;""),Programme_Grunddaten!E529,"")</f>
        <v/>
      </c>
      <c r="E524" t="str">
        <f>IF(AND(Programme_Grunddaten!$A529="Geprüft",Programme_Grunddaten!G529&lt;&gt;""),Programme_Grunddaten!G529,"")</f>
        <v/>
      </c>
      <c r="F524" t="str">
        <f>IF(AND(Programme_Grunddaten!$A529="Geprüft",Programme_Grunddaten!F529&lt;&gt;""),Programme_Grunddaten!F529,"")</f>
        <v/>
      </c>
      <c r="G524" s="3" t="str">
        <f>IF(AND(Programme_Grunddaten!$A529="Geprüft",Programme_Grunddaten!S529&lt;&gt;""),Programme_Grunddaten!S529,"")</f>
        <v/>
      </c>
      <c r="H524" t="str">
        <f>IF(AND(Programme_Grunddaten!$A529="Geprüft",Programme_Grunddaten!AW529&lt;&gt;""),Programme_Grunddaten!AW529,"")</f>
        <v/>
      </c>
      <c r="I524" t="str">
        <f>IF(AND(Programme_Grunddaten!$A529="Geprüft",Programme_Grunddaten!AX529&lt;&gt;""),Programme_Grunddaten!AX529,"")</f>
        <v/>
      </c>
    </row>
    <row r="525" spans="1:9" x14ac:dyDescent="0.3">
      <c r="A525" s="1" t="str">
        <f>IF(AND(Programme_Grunddaten!$A530="Geprüft",Programme_Grunddaten!B530&lt;&gt;""),Programme_Grunddaten!B530,"")</f>
        <v/>
      </c>
      <c r="B525" s="1" t="str">
        <f>IF(AND(Programme_Grunddaten!$A530="Geprüft",Programme_Grunddaten!C530&lt;&gt;""),Programme_Grunddaten!C530,"")</f>
        <v/>
      </c>
      <c r="C525" s="1" t="str">
        <f>IF(AND(Programme_Grunddaten!$A530="Geprüft",Programme_Grunddaten!D530&lt;&gt;""),Programme_Grunddaten!D530,"")</f>
        <v/>
      </c>
      <c r="D525" s="2" t="str">
        <f>IF(AND(Programme_Grunddaten!$A530="Geprüft",Programme_Grunddaten!E530&lt;&gt;""),Programme_Grunddaten!E530,"")</f>
        <v/>
      </c>
      <c r="E525" t="str">
        <f>IF(AND(Programme_Grunddaten!$A530="Geprüft",Programme_Grunddaten!G530&lt;&gt;""),Programme_Grunddaten!G530,"")</f>
        <v/>
      </c>
      <c r="F525" t="str">
        <f>IF(AND(Programme_Grunddaten!$A530="Geprüft",Programme_Grunddaten!F530&lt;&gt;""),Programme_Grunddaten!F530,"")</f>
        <v/>
      </c>
      <c r="G525" s="3" t="str">
        <f>IF(AND(Programme_Grunddaten!$A530="Geprüft",Programme_Grunddaten!S530&lt;&gt;""),Programme_Grunddaten!S530,"")</f>
        <v/>
      </c>
      <c r="H525" t="str">
        <f>IF(AND(Programme_Grunddaten!$A530="Geprüft",Programme_Grunddaten!AW530&lt;&gt;""),Programme_Grunddaten!AW530,"")</f>
        <v/>
      </c>
      <c r="I525" t="str">
        <f>IF(AND(Programme_Grunddaten!$A530="Geprüft",Programme_Grunddaten!AX530&lt;&gt;""),Programme_Grunddaten!AX530,"")</f>
        <v/>
      </c>
    </row>
    <row r="526" spans="1:9" x14ac:dyDescent="0.3">
      <c r="A526" s="1" t="str">
        <f>IF(AND(Programme_Grunddaten!$A531="Geprüft",Programme_Grunddaten!B531&lt;&gt;""),Programme_Grunddaten!B531,"")</f>
        <v/>
      </c>
      <c r="B526" s="1" t="str">
        <f>IF(AND(Programme_Grunddaten!$A531="Geprüft",Programme_Grunddaten!C531&lt;&gt;""),Programme_Grunddaten!C531,"")</f>
        <v/>
      </c>
      <c r="C526" s="1" t="str">
        <f>IF(AND(Programme_Grunddaten!$A531="Geprüft",Programme_Grunddaten!D531&lt;&gt;""),Programme_Grunddaten!D531,"")</f>
        <v/>
      </c>
      <c r="D526" s="2" t="str">
        <f>IF(AND(Programme_Grunddaten!$A531="Geprüft",Programme_Grunddaten!E531&lt;&gt;""),Programme_Grunddaten!E531,"")</f>
        <v/>
      </c>
      <c r="E526" t="str">
        <f>IF(AND(Programme_Grunddaten!$A531="Geprüft",Programme_Grunddaten!G531&lt;&gt;""),Programme_Grunddaten!G531,"")</f>
        <v/>
      </c>
      <c r="F526" t="str">
        <f>IF(AND(Programme_Grunddaten!$A531="Geprüft",Programme_Grunddaten!F531&lt;&gt;""),Programme_Grunddaten!F531,"")</f>
        <v/>
      </c>
      <c r="G526" s="3" t="str">
        <f>IF(AND(Programme_Grunddaten!$A531="Geprüft",Programme_Grunddaten!S531&lt;&gt;""),Programme_Grunddaten!S531,"")</f>
        <v/>
      </c>
      <c r="H526" t="str">
        <f>IF(AND(Programme_Grunddaten!$A531="Geprüft",Programme_Grunddaten!AW531&lt;&gt;""),Programme_Grunddaten!AW531,"")</f>
        <v/>
      </c>
      <c r="I526" t="str">
        <f>IF(AND(Programme_Grunddaten!$A531="Geprüft",Programme_Grunddaten!AX531&lt;&gt;""),Programme_Grunddaten!AX531,"")</f>
        <v/>
      </c>
    </row>
    <row r="527" spans="1:9" x14ac:dyDescent="0.3">
      <c r="A527" s="1" t="str">
        <f>IF(AND(Programme_Grunddaten!$A532="Geprüft",Programme_Grunddaten!B532&lt;&gt;""),Programme_Grunddaten!B532,"")</f>
        <v/>
      </c>
      <c r="B527" s="1" t="str">
        <f>IF(AND(Programme_Grunddaten!$A532="Geprüft",Programme_Grunddaten!C532&lt;&gt;""),Programme_Grunddaten!C532,"")</f>
        <v/>
      </c>
      <c r="C527" s="1" t="str">
        <f>IF(AND(Programme_Grunddaten!$A532="Geprüft",Programme_Grunddaten!D532&lt;&gt;""),Programme_Grunddaten!D532,"")</f>
        <v/>
      </c>
      <c r="D527" s="2" t="str">
        <f>IF(AND(Programme_Grunddaten!$A532="Geprüft",Programme_Grunddaten!E532&lt;&gt;""),Programme_Grunddaten!E532,"")</f>
        <v/>
      </c>
      <c r="E527" t="str">
        <f>IF(AND(Programme_Grunddaten!$A532="Geprüft",Programme_Grunddaten!G532&lt;&gt;""),Programme_Grunddaten!G532,"")</f>
        <v/>
      </c>
      <c r="F527" t="str">
        <f>IF(AND(Programme_Grunddaten!$A532="Geprüft",Programme_Grunddaten!F532&lt;&gt;""),Programme_Grunddaten!F532,"")</f>
        <v/>
      </c>
      <c r="G527" s="3" t="str">
        <f>IF(AND(Programme_Grunddaten!$A532="Geprüft",Programme_Grunddaten!S532&lt;&gt;""),Programme_Grunddaten!S532,"")</f>
        <v/>
      </c>
      <c r="H527" t="str">
        <f>IF(AND(Programme_Grunddaten!$A532="Geprüft",Programme_Grunddaten!AW532&lt;&gt;""),Programme_Grunddaten!AW532,"")</f>
        <v/>
      </c>
      <c r="I527" t="str">
        <f>IF(AND(Programme_Grunddaten!$A532="Geprüft",Programme_Grunddaten!AX532&lt;&gt;""),Programme_Grunddaten!AX532,"")</f>
        <v/>
      </c>
    </row>
    <row r="528" spans="1:9" x14ac:dyDescent="0.3">
      <c r="A528" s="1" t="str">
        <f>IF(AND(Programme_Grunddaten!$A533="Geprüft",Programme_Grunddaten!B533&lt;&gt;""),Programme_Grunddaten!B533,"")</f>
        <v/>
      </c>
      <c r="B528" s="1" t="str">
        <f>IF(AND(Programme_Grunddaten!$A533="Geprüft",Programme_Grunddaten!C533&lt;&gt;""),Programme_Grunddaten!C533,"")</f>
        <v/>
      </c>
      <c r="C528" s="1" t="str">
        <f>IF(AND(Programme_Grunddaten!$A533="Geprüft",Programme_Grunddaten!D533&lt;&gt;""),Programme_Grunddaten!D533,"")</f>
        <v/>
      </c>
      <c r="D528" s="2" t="str">
        <f>IF(AND(Programme_Grunddaten!$A533="Geprüft",Programme_Grunddaten!E533&lt;&gt;""),Programme_Grunddaten!E533,"")</f>
        <v/>
      </c>
      <c r="E528" t="str">
        <f>IF(AND(Programme_Grunddaten!$A533="Geprüft",Programme_Grunddaten!G533&lt;&gt;""),Programme_Grunddaten!G533,"")</f>
        <v/>
      </c>
      <c r="F528" t="str">
        <f>IF(AND(Programme_Grunddaten!$A533="Geprüft",Programme_Grunddaten!F533&lt;&gt;""),Programme_Grunddaten!F533,"")</f>
        <v/>
      </c>
      <c r="G528" s="3" t="str">
        <f>IF(AND(Programme_Grunddaten!$A533="Geprüft",Programme_Grunddaten!S533&lt;&gt;""),Programme_Grunddaten!S533,"")</f>
        <v/>
      </c>
      <c r="H528" t="str">
        <f>IF(AND(Programme_Grunddaten!$A533="Geprüft",Programme_Grunddaten!AW533&lt;&gt;""),Programme_Grunddaten!AW533,"")</f>
        <v/>
      </c>
      <c r="I528" t="str">
        <f>IF(AND(Programme_Grunddaten!$A533="Geprüft",Programme_Grunddaten!AX533&lt;&gt;""),Programme_Grunddaten!AX533,"")</f>
        <v/>
      </c>
    </row>
    <row r="529" spans="1:9" x14ac:dyDescent="0.3">
      <c r="A529" s="1" t="str">
        <f>IF(AND(Programme_Grunddaten!$A534="Geprüft",Programme_Grunddaten!B534&lt;&gt;""),Programme_Grunddaten!B534,"")</f>
        <v/>
      </c>
      <c r="B529" s="1" t="str">
        <f>IF(AND(Programme_Grunddaten!$A534="Geprüft",Programme_Grunddaten!C534&lt;&gt;""),Programme_Grunddaten!C534,"")</f>
        <v/>
      </c>
      <c r="C529" s="1" t="str">
        <f>IF(AND(Programme_Grunddaten!$A534="Geprüft",Programme_Grunddaten!D534&lt;&gt;""),Programme_Grunddaten!D534,"")</f>
        <v/>
      </c>
      <c r="D529" s="2" t="str">
        <f>IF(AND(Programme_Grunddaten!$A534="Geprüft",Programme_Grunddaten!E534&lt;&gt;""),Programme_Grunddaten!E534,"")</f>
        <v/>
      </c>
      <c r="E529" t="str">
        <f>IF(AND(Programme_Grunddaten!$A534="Geprüft",Programme_Grunddaten!G534&lt;&gt;""),Programme_Grunddaten!G534,"")</f>
        <v/>
      </c>
      <c r="F529" t="str">
        <f>IF(AND(Programme_Grunddaten!$A534="Geprüft",Programme_Grunddaten!F534&lt;&gt;""),Programme_Grunddaten!F534,"")</f>
        <v/>
      </c>
      <c r="G529" s="3" t="str">
        <f>IF(AND(Programme_Grunddaten!$A534="Geprüft",Programme_Grunddaten!S534&lt;&gt;""),Programme_Grunddaten!S534,"")</f>
        <v/>
      </c>
      <c r="H529" t="str">
        <f>IF(AND(Programme_Grunddaten!$A534="Geprüft",Programme_Grunddaten!AW534&lt;&gt;""),Programme_Grunddaten!AW534,"")</f>
        <v/>
      </c>
      <c r="I529" t="str">
        <f>IF(AND(Programme_Grunddaten!$A534="Geprüft",Programme_Grunddaten!AX534&lt;&gt;""),Programme_Grunddaten!AX534,"")</f>
        <v/>
      </c>
    </row>
    <row r="530" spans="1:9" x14ac:dyDescent="0.3">
      <c r="A530" s="1" t="str">
        <f>IF(AND(Programme_Grunddaten!$A535="Geprüft",Programme_Grunddaten!B535&lt;&gt;""),Programme_Grunddaten!B535,"")</f>
        <v/>
      </c>
      <c r="B530" s="1" t="str">
        <f>IF(AND(Programme_Grunddaten!$A535="Geprüft",Programme_Grunddaten!C535&lt;&gt;""),Programme_Grunddaten!C535,"")</f>
        <v/>
      </c>
      <c r="C530" s="1" t="str">
        <f>IF(AND(Programme_Grunddaten!$A535="Geprüft",Programme_Grunddaten!D535&lt;&gt;""),Programme_Grunddaten!D535,"")</f>
        <v/>
      </c>
      <c r="D530" s="2" t="str">
        <f>IF(AND(Programme_Grunddaten!$A535="Geprüft",Programme_Grunddaten!E535&lt;&gt;""),Programme_Grunddaten!E535,"")</f>
        <v/>
      </c>
      <c r="E530" t="str">
        <f>IF(AND(Programme_Grunddaten!$A535="Geprüft",Programme_Grunddaten!G535&lt;&gt;""),Programme_Grunddaten!G535,"")</f>
        <v/>
      </c>
      <c r="F530" t="str">
        <f>IF(AND(Programme_Grunddaten!$A535="Geprüft",Programme_Grunddaten!F535&lt;&gt;""),Programme_Grunddaten!F535,"")</f>
        <v/>
      </c>
      <c r="G530" s="3" t="str">
        <f>IF(AND(Programme_Grunddaten!$A535="Geprüft",Programme_Grunddaten!S535&lt;&gt;""),Programme_Grunddaten!S535,"")</f>
        <v/>
      </c>
      <c r="H530" t="str">
        <f>IF(AND(Programme_Grunddaten!$A535="Geprüft",Programme_Grunddaten!AW535&lt;&gt;""),Programme_Grunddaten!AW535,"")</f>
        <v/>
      </c>
      <c r="I530" t="str">
        <f>IF(AND(Programme_Grunddaten!$A535="Geprüft",Programme_Grunddaten!AX535&lt;&gt;""),Programme_Grunddaten!AX535,"")</f>
        <v/>
      </c>
    </row>
    <row r="531" spans="1:9" x14ac:dyDescent="0.3">
      <c r="A531" s="1" t="str">
        <f>IF(AND(Programme_Grunddaten!$A536="Geprüft",Programme_Grunddaten!B536&lt;&gt;""),Programme_Grunddaten!B536,"")</f>
        <v/>
      </c>
      <c r="B531" s="1" t="str">
        <f>IF(AND(Programme_Grunddaten!$A536="Geprüft",Programme_Grunddaten!C536&lt;&gt;""),Programme_Grunddaten!C536,"")</f>
        <v/>
      </c>
      <c r="C531" s="1" t="str">
        <f>IF(AND(Programme_Grunddaten!$A536="Geprüft",Programme_Grunddaten!D536&lt;&gt;""),Programme_Grunddaten!D536,"")</f>
        <v/>
      </c>
      <c r="D531" s="2" t="str">
        <f>IF(AND(Programme_Grunddaten!$A536="Geprüft",Programme_Grunddaten!E536&lt;&gt;""),Programme_Grunddaten!E536,"")</f>
        <v/>
      </c>
      <c r="E531" t="str">
        <f>IF(AND(Programme_Grunddaten!$A536="Geprüft",Programme_Grunddaten!G536&lt;&gt;""),Programme_Grunddaten!G536,"")</f>
        <v/>
      </c>
      <c r="F531" t="str">
        <f>IF(AND(Programme_Grunddaten!$A536="Geprüft",Programme_Grunddaten!F536&lt;&gt;""),Programme_Grunddaten!F536,"")</f>
        <v/>
      </c>
      <c r="G531" s="3" t="str">
        <f>IF(AND(Programme_Grunddaten!$A536="Geprüft",Programme_Grunddaten!S536&lt;&gt;""),Programme_Grunddaten!S536,"")</f>
        <v/>
      </c>
      <c r="H531" t="str">
        <f>IF(AND(Programme_Grunddaten!$A536="Geprüft",Programme_Grunddaten!AW536&lt;&gt;""),Programme_Grunddaten!AW536,"")</f>
        <v/>
      </c>
      <c r="I531" t="str">
        <f>IF(AND(Programme_Grunddaten!$A536="Geprüft",Programme_Grunddaten!AX536&lt;&gt;""),Programme_Grunddaten!AX536,"")</f>
        <v/>
      </c>
    </row>
    <row r="532" spans="1:9" x14ac:dyDescent="0.3">
      <c r="A532" s="1" t="str">
        <f>IF(AND(Programme_Grunddaten!$A537="Geprüft",Programme_Grunddaten!B537&lt;&gt;""),Programme_Grunddaten!B537,"")</f>
        <v/>
      </c>
      <c r="B532" s="1" t="str">
        <f>IF(AND(Programme_Grunddaten!$A537="Geprüft",Programme_Grunddaten!C537&lt;&gt;""),Programme_Grunddaten!C537,"")</f>
        <v/>
      </c>
      <c r="C532" s="1" t="str">
        <f>IF(AND(Programme_Grunddaten!$A537="Geprüft",Programme_Grunddaten!D537&lt;&gt;""),Programme_Grunddaten!D537,"")</f>
        <v/>
      </c>
      <c r="D532" s="2" t="str">
        <f>IF(AND(Programme_Grunddaten!$A537="Geprüft",Programme_Grunddaten!E537&lt;&gt;""),Programme_Grunddaten!E537,"")</f>
        <v/>
      </c>
      <c r="E532" t="str">
        <f>IF(AND(Programme_Grunddaten!$A537="Geprüft",Programme_Grunddaten!G537&lt;&gt;""),Programme_Grunddaten!G537,"")</f>
        <v/>
      </c>
      <c r="F532" t="str">
        <f>IF(AND(Programme_Grunddaten!$A537="Geprüft",Programme_Grunddaten!F537&lt;&gt;""),Programme_Grunddaten!F537,"")</f>
        <v/>
      </c>
      <c r="G532" s="3" t="str">
        <f>IF(AND(Programme_Grunddaten!$A537="Geprüft",Programme_Grunddaten!S537&lt;&gt;""),Programme_Grunddaten!S537,"")</f>
        <v/>
      </c>
      <c r="H532" t="str">
        <f>IF(AND(Programme_Grunddaten!$A537="Geprüft",Programme_Grunddaten!AW537&lt;&gt;""),Programme_Grunddaten!AW537,"")</f>
        <v/>
      </c>
      <c r="I532" t="str">
        <f>IF(AND(Programme_Grunddaten!$A537="Geprüft",Programme_Grunddaten!AX537&lt;&gt;""),Programme_Grunddaten!AX537,"")</f>
        <v/>
      </c>
    </row>
    <row r="533" spans="1:9" x14ac:dyDescent="0.3">
      <c r="A533" s="1" t="str">
        <f>IF(AND(Programme_Grunddaten!$A538="Geprüft",Programme_Grunddaten!B538&lt;&gt;""),Programme_Grunddaten!B538,"")</f>
        <v/>
      </c>
      <c r="B533" s="1" t="str">
        <f>IF(AND(Programme_Grunddaten!$A538="Geprüft",Programme_Grunddaten!C538&lt;&gt;""),Programme_Grunddaten!C538,"")</f>
        <v/>
      </c>
      <c r="C533" s="1" t="str">
        <f>IF(AND(Programme_Grunddaten!$A538="Geprüft",Programme_Grunddaten!D538&lt;&gt;""),Programme_Grunddaten!D538,"")</f>
        <v/>
      </c>
      <c r="D533" s="2" t="str">
        <f>IF(AND(Programme_Grunddaten!$A538="Geprüft",Programme_Grunddaten!E538&lt;&gt;""),Programme_Grunddaten!E538,"")</f>
        <v/>
      </c>
      <c r="E533" t="str">
        <f>IF(AND(Programme_Grunddaten!$A538="Geprüft",Programme_Grunddaten!G538&lt;&gt;""),Programme_Grunddaten!G538,"")</f>
        <v/>
      </c>
      <c r="F533" t="str">
        <f>IF(AND(Programme_Grunddaten!$A538="Geprüft",Programme_Grunddaten!F538&lt;&gt;""),Programme_Grunddaten!F538,"")</f>
        <v/>
      </c>
      <c r="G533" s="3" t="str">
        <f>IF(AND(Programme_Grunddaten!$A538="Geprüft",Programme_Grunddaten!S538&lt;&gt;""),Programme_Grunddaten!S538,"")</f>
        <v/>
      </c>
      <c r="H533" t="str">
        <f>IF(AND(Programme_Grunddaten!$A538="Geprüft",Programme_Grunddaten!AW538&lt;&gt;""),Programme_Grunddaten!AW538,"")</f>
        <v/>
      </c>
      <c r="I533" t="str">
        <f>IF(AND(Programme_Grunddaten!$A538="Geprüft",Programme_Grunddaten!AX538&lt;&gt;""),Programme_Grunddaten!AX538,"")</f>
        <v/>
      </c>
    </row>
    <row r="534" spans="1:9" x14ac:dyDescent="0.3">
      <c r="A534" s="1" t="str">
        <f>IF(AND(Programme_Grunddaten!$A539="Geprüft",Programme_Grunddaten!B539&lt;&gt;""),Programme_Grunddaten!B539,"")</f>
        <v/>
      </c>
      <c r="B534" s="1" t="str">
        <f>IF(AND(Programme_Grunddaten!$A539="Geprüft",Programme_Grunddaten!C539&lt;&gt;""),Programme_Grunddaten!C539,"")</f>
        <v/>
      </c>
      <c r="C534" s="1" t="str">
        <f>IF(AND(Programme_Grunddaten!$A539="Geprüft",Programme_Grunddaten!D539&lt;&gt;""),Programme_Grunddaten!D539,"")</f>
        <v/>
      </c>
      <c r="D534" s="2" t="str">
        <f>IF(AND(Programme_Grunddaten!$A539="Geprüft",Programme_Grunddaten!E539&lt;&gt;""),Programme_Grunddaten!E539,"")</f>
        <v/>
      </c>
      <c r="E534" t="str">
        <f>IF(AND(Programme_Grunddaten!$A539="Geprüft",Programme_Grunddaten!G539&lt;&gt;""),Programme_Grunddaten!G539,"")</f>
        <v/>
      </c>
      <c r="F534" t="str">
        <f>IF(AND(Programme_Grunddaten!$A539="Geprüft",Programme_Grunddaten!F539&lt;&gt;""),Programme_Grunddaten!F539,"")</f>
        <v/>
      </c>
      <c r="G534" s="3" t="str">
        <f>IF(AND(Programme_Grunddaten!$A539="Geprüft",Programme_Grunddaten!S539&lt;&gt;""),Programme_Grunddaten!S539,"")</f>
        <v/>
      </c>
      <c r="H534" t="str">
        <f>IF(AND(Programme_Grunddaten!$A539="Geprüft",Programme_Grunddaten!AW539&lt;&gt;""),Programme_Grunddaten!AW539,"")</f>
        <v/>
      </c>
      <c r="I534" t="str">
        <f>IF(AND(Programme_Grunddaten!$A539="Geprüft",Programme_Grunddaten!AX539&lt;&gt;""),Programme_Grunddaten!AX539,"")</f>
        <v/>
      </c>
    </row>
    <row r="535" spans="1:9" x14ac:dyDescent="0.3">
      <c r="A535" s="1" t="str">
        <f>IF(AND(Programme_Grunddaten!$A540="Geprüft",Programme_Grunddaten!B540&lt;&gt;""),Programme_Grunddaten!B540,"")</f>
        <v/>
      </c>
      <c r="B535" s="1" t="str">
        <f>IF(AND(Programme_Grunddaten!$A540="Geprüft",Programme_Grunddaten!C540&lt;&gt;""),Programme_Grunddaten!C540,"")</f>
        <v/>
      </c>
      <c r="C535" s="1" t="str">
        <f>IF(AND(Programme_Grunddaten!$A540="Geprüft",Programme_Grunddaten!D540&lt;&gt;""),Programme_Grunddaten!D540,"")</f>
        <v/>
      </c>
      <c r="D535" s="2" t="str">
        <f>IF(AND(Programme_Grunddaten!$A540="Geprüft",Programme_Grunddaten!E540&lt;&gt;""),Programme_Grunddaten!E540,"")</f>
        <v/>
      </c>
      <c r="E535" t="str">
        <f>IF(AND(Programme_Grunddaten!$A540="Geprüft",Programme_Grunddaten!G540&lt;&gt;""),Programme_Grunddaten!G540,"")</f>
        <v/>
      </c>
      <c r="F535" t="str">
        <f>IF(AND(Programme_Grunddaten!$A540="Geprüft",Programme_Grunddaten!F540&lt;&gt;""),Programme_Grunddaten!F540,"")</f>
        <v/>
      </c>
      <c r="G535" s="3" t="str">
        <f>IF(AND(Programme_Grunddaten!$A540="Geprüft",Programme_Grunddaten!S540&lt;&gt;""),Programme_Grunddaten!S540,"")</f>
        <v/>
      </c>
      <c r="H535" t="str">
        <f>IF(AND(Programme_Grunddaten!$A540="Geprüft",Programme_Grunddaten!AW540&lt;&gt;""),Programme_Grunddaten!AW540,"")</f>
        <v/>
      </c>
      <c r="I535" t="str">
        <f>IF(AND(Programme_Grunddaten!$A540="Geprüft",Programme_Grunddaten!AX540&lt;&gt;""),Programme_Grunddaten!AX540,"")</f>
        <v/>
      </c>
    </row>
    <row r="536" spans="1:9" x14ac:dyDescent="0.3">
      <c r="A536" s="1" t="str">
        <f>IF(AND(Programme_Grunddaten!$A541="Geprüft",Programme_Grunddaten!B541&lt;&gt;""),Programme_Grunddaten!B541,"")</f>
        <v/>
      </c>
      <c r="B536" s="1" t="str">
        <f>IF(AND(Programme_Grunddaten!$A541="Geprüft",Programme_Grunddaten!C541&lt;&gt;""),Programme_Grunddaten!C541,"")</f>
        <v/>
      </c>
      <c r="C536" s="1" t="str">
        <f>IF(AND(Programme_Grunddaten!$A541="Geprüft",Programme_Grunddaten!D541&lt;&gt;""),Programme_Grunddaten!D541,"")</f>
        <v/>
      </c>
      <c r="D536" s="2" t="str">
        <f>IF(AND(Programme_Grunddaten!$A541="Geprüft",Programme_Grunddaten!E541&lt;&gt;""),Programme_Grunddaten!E541,"")</f>
        <v/>
      </c>
      <c r="E536" t="str">
        <f>IF(AND(Programme_Grunddaten!$A541="Geprüft",Programme_Grunddaten!G541&lt;&gt;""),Programme_Grunddaten!G541,"")</f>
        <v/>
      </c>
      <c r="F536" t="str">
        <f>IF(AND(Programme_Grunddaten!$A541="Geprüft",Programme_Grunddaten!F541&lt;&gt;""),Programme_Grunddaten!F541,"")</f>
        <v/>
      </c>
      <c r="G536" s="3" t="str">
        <f>IF(AND(Programme_Grunddaten!$A541="Geprüft",Programme_Grunddaten!S541&lt;&gt;""),Programme_Grunddaten!S541,"")</f>
        <v/>
      </c>
      <c r="H536" t="str">
        <f>IF(AND(Programme_Grunddaten!$A541="Geprüft",Programme_Grunddaten!AW541&lt;&gt;""),Programme_Grunddaten!AW541,"")</f>
        <v/>
      </c>
      <c r="I536" t="str">
        <f>IF(AND(Programme_Grunddaten!$A541="Geprüft",Programme_Grunddaten!AX541&lt;&gt;""),Programme_Grunddaten!AX541,"")</f>
        <v/>
      </c>
    </row>
    <row r="537" spans="1:9" x14ac:dyDescent="0.3">
      <c r="A537" s="1" t="str">
        <f>IF(AND(Programme_Grunddaten!$A542="Geprüft",Programme_Grunddaten!B542&lt;&gt;""),Programme_Grunddaten!B542,"")</f>
        <v/>
      </c>
      <c r="B537" s="1" t="str">
        <f>IF(AND(Programme_Grunddaten!$A542="Geprüft",Programme_Grunddaten!C542&lt;&gt;""),Programme_Grunddaten!C542,"")</f>
        <v/>
      </c>
      <c r="C537" s="1" t="str">
        <f>IF(AND(Programme_Grunddaten!$A542="Geprüft",Programme_Grunddaten!D542&lt;&gt;""),Programme_Grunddaten!D542,"")</f>
        <v/>
      </c>
      <c r="D537" s="2" t="str">
        <f>IF(AND(Programme_Grunddaten!$A542="Geprüft",Programme_Grunddaten!E542&lt;&gt;""),Programme_Grunddaten!E542,"")</f>
        <v/>
      </c>
      <c r="E537" t="str">
        <f>IF(AND(Programme_Grunddaten!$A542="Geprüft",Programme_Grunddaten!G542&lt;&gt;""),Programme_Grunddaten!G542,"")</f>
        <v/>
      </c>
      <c r="F537" t="str">
        <f>IF(AND(Programme_Grunddaten!$A542="Geprüft",Programme_Grunddaten!F542&lt;&gt;""),Programme_Grunddaten!F542,"")</f>
        <v/>
      </c>
      <c r="G537" s="3" t="str">
        <f>IF(AND(Programme_Grunddaten!$A542="Geprüft",Programme_Grunddaten!S542&lt;&gt;""),Programme_Grunddaten!S542,"")</f>
        <v/>
      </c>
      <c r="H537" t="str">
        <f>IF(AND(Programme_Grunddaten!$A542="Geprüft",Programme_Grunddaten!AW542&lt;&gt;""),Programme_Grunddaten!AW542,"")</f>
        <v/>
      </c>
      <c r="I537" t="str">
        <f>IF(AND(Programme_Grunddaten!$A542="Geprüft",Programme_Grunddaten!AX542&lt;&gt;""),Programme_Grunddaten!AX542,"")</f>
        <v/>
      </c>
    </row>
    <row r="538" spans="1:9" x14ac:dyDescent="0.3">
      <c r="A538" s="1" t="str">
        <f>IF(AND(Programme_Grunddaten!$A543="Geprüft",Programme_Grunddaten!B543&lt;&gt;""),Programme_Grunddaten!B543,"")</f>
        <v/>
      </c>
      <c r="B538" s="1" t="str">
        <f>IF(AND(Programme_Grunddaten!$A543="Geprüft",Programme_Grunddaten!C543&lt;&gt;""),Programme_Grunddaten!C543,"")</f>
        <v/>
      </c>
      <c r="C538" s="1" t="str">
        <f>IF(AND(Programme_Grunddaten!$A543="Geprüft",Programme_Grunddaten!D543&lt;&gt;""),Programme_Grunddaten!D543,"")</f>
        <v/>
      </c>
      <c r="D538" s="2" t="str">
        <f>IF(AND(Programme_Grunddaten!$A543="Geprüft",Programme_Grunddaten!E543&lt;&gt;""),Programme_Grunddaten!E543,"")</f>
        <v/>
      </c>
      <c r="E538" t="str">
        <f>IF(AND(Programme_Grunddaten!$A543="Geprüft",Programme_Grunddaten!G543&lt;&gt;""),Programme_Grunddaten!G543,"")</f>
        <v/>
      </c>
      <c r="F538" t="str">
        <f>IF(AND(Programme_Grunddaten!$A543="Geprüft",Programme_Grunddaten!F543&lt;&gt;""),Programme_Grunddaten!F543,"")</f>
        <v/>
      </c>
      <c r="G538" s="3" t="str">
        <f>IF(AND(Programme_Grunddaten!$A543="Geprüft",Programme_Grunddaten!S543&lt;&gt;""),Programme_Grunddaten!S543,"")</f>
        <v/>
      </c>
      <c r="H538" t="str">
        <f>IF(AND(Programme_Grunddaten!$A543="Geprüft",Programme_Grunddaten!AW543&lt;&gt;""),Programme_Grunddaten!AW543,"")</f>
        <v/>
      </c>
      <c r="I538" t="str">
        <f>IF(AND(Programme_Grunddaten!$A543="Geprüft",Programme_Grunddaten!AX543&lt;&gt;""),Programme_Grunddaten!AX543,"")</f>
        <v/>
      </c>
    </row>
    <row r="539" spans="1:9" x14ac:dyDescent="0.3">
      <c r="A539" s="1" t="str">
        <f>IF(AND(Programme_Grunddaten!$A544="Geprüft",Programme_Grunddaten!B544&lt;&gt;""),Programme_Grunddaten!B544,"")</f>
        <v/>
      </c>
      <c r="B539" s="1" t="str">
        <f>IF(AND(Programme_Grunddaten!$A544="Geprüft",Programme_Grunddaten!C544&lt;&gt;""),Programme_Grunddaten!C544,"")</f>
        <v/>
      </c>
      <c r="C539" s="1" t="str">
        <f>IF(AND(Programme_Grunddaten!$A544="Geprüft",Programme_Grunddaten!D544&lt;&gt;""),Programme_Grunddaten!D544,"")</f>
        <v/>
      </c>
      <c r="D539" s="2" t="str">
        <f>IF(AND(Programme_Grunddaten!$A544="Geprüft",Programme_Grunddaten!E544&lt;&gt;""),Programme_Grunddaten!E544,"")</f>
        <v/>
      </c>
      <c r="E539" t="str">
        <f>IF(AND(Programme_Grunddaten!$A544="Geprüft",Programme_Grunddaten!G544&lt;&gt;""),Programme_Grunddaten!G544,"")</f>
        <v/>
      </c>
      <c r="F539" t="str">
        <f>IF(AND(Programme_Grunddaten!$A544="Geprüft",Programme_Grunddaten!F544&lt;&gt;""),Programme_Grunddaten!F544,"")</f>
        <v/>
      </c>
      <c r="G539" s="3" t="str">
        <f>IF(AND(Programme_Grunddaten!$A544="Geprüft",Programme_Grunddaten!S544&lt;&gt;""),Programme_Grunddaten!S544,"")</f>
        <v/>
      </c>
      <c r="H539" t="str">
        <f>IF(AND(Programme_Grunddaten!$A544="Geprüft",Programme_Grunddaten!AW544&lt;&gt;""),Programme_Grunddaten!AW544,"")</f>
        <v/>
      </c>
      <c r="I539" t="str">
        <f>IF(AND(Programme_Grunddaten!$A544="Geprüft",Programme_Grunddaten!AX544&lt;&gt;""),Programme_Grunddaten!AX544,"")</f>
        <v/>
      </c>
    </row>
    <row r="540" spans="1:9" x14ac:dyDescent="0.3">
      <c r="A540" s="1" t="str">
        <f>IF(AND(Programme_Grunddaten!$A545="Geprüft",Programme_Grunddaten!B545&lt;&gt;""),Programme_Grunddaten!B545,"")</f>
        <v/>
      </c>
      <c r="B540" s="1" t="str">
        <f>IF(AND(Programme_Grunddaten!$A545="Geprüft",Programme_Grunddaten!C545&lt;&gt;""),Programme_Grunddaten!C545,"")</f>
        <v/>
      </c>
      <c r="C540" s="1" t="str">
        <f>IF(AND(Programme_Grunddaten!$A545="Geprüft",Programme_Grunddaten!D545&lt;&gt;""),Programme_Grunddaten!D545,"")</f>
        <v/>
      </c>
      <c r="D540" s="2" t="str">
        <f>IF(AND(Programme_Grunddaten!$A545="Geprüft",Programme_Grunddaten!E545&lt;&gt;""),Programme_Grunddaten!E545,"")</f>
        <v/>
      </c>
      <c r="E540" t="str">
        <f>IF(AND(Programme_Grunddaten!$A545="Geprüft",Programme_Grunddaten!G545&lt;&gt;""),Programme_Grunddaten!G545,"")</f>
        <v/>
      </c>
      <c r="F540" t="str">
        <f>IF(AND(Programme_Grunddaten!$A545="Geprüft",Programme_Grunddaten!F545&lt;&gt;""),Programme_Grunddaten!F545,"")</f>
        <v/>
      </c>
      <c r="G540" s="3" t="str">
        <f>IF(AND(Programme_Grunddaten!$A545="Geprüft",Programme_Grunddaten!S545&lt;&gt;""),Programme_Grunddaten!S545,"")</f>
        <v/>
      </c>
      <c r="H540" t="str">
        <f>IF(AND(Programme_Grunddaten!$A545="Geprüft",Programme_Grunddaten!AW545&lt;&gt;""),Programme_Grunddaten!AW545,"")</f>
        <v/>
      </c>
      <c r="I540" t="str">
        <f>IF(AND(Programme_Grunddaten!$A545="Geprüft",Programme_Grunddaten!AX545&lt;&gt;""),Programme_Grunddaten!AX545,"")</f>
        <v/>
      </c>
    </row>
    <row r="541" spans="1:9" x14ac:dyDescent="0.3">
      <c r="A541" s="1" t="str">
        <f>IF(AND(Programme_Grunddaten!$A546="Geprüft",Programme_Grunddaten!B546&lt;&gt;""),Programme_Grunddaten!B546,"")</f>
        <v/>
      </c>
      <c r="B541" s="1" t="str">
        <f>IF(AND(Programme_Grunddaten!$A546="Geprüft",Programme_Grunddaten!C546&lt;&gt;""),Programme_Grunddaten!C546,"")</f>
        <v/>
      </c>
      <c r="C541" s="1" t="str">
        <f>IF(AND(Programme_Grunddaten!$A546="Geprüft",Programme_Grunddaten!D546&lt;&gt;""),Programme_Grunddaten!D546,"")</f>
        <v/>
      </c>
      <c r="D541" s="2" t="str">
        <f>IF(AND(Programme_Grunddaten!$A546="Geprüft",Programme_Grunddaten!E546&lt;&gt;""),Programme_Grunddaten!E546,"")</f>
        <v/>
      </c>
      <c r="E541" t="str">
        <f>IF(AND(Programme_Grunddaten!$A546="Geprüft",Programme_Grunddaten!G546&lt;&gt;""),Programme_Grunddaten!G546,"")</f>
        <v/>
      </c>
      <c r="F541" t="str">
        <f>IF(AND(Programme_Grunddaten!$A546="Geprüft",Programme_Grunddaten!F546&lt;&gt;""),Programme_Grunddaten!F546,"")</f>
        <v/>
      </c>
      <c r="G541" s="3" t="str">
        <f>IF(AND(Programme_Grunddaten!$A546="Geprüft",Programme_Grunddaten!S546&lt;&gt;""),Programme_Grunddaten!S546,"")</f>
        <v/>
      </c>
      <c r="H541" t="str">
        <f>IF(AND(Programme_Grunddaten!$A546="Geprüft",Programme_Grunddaten!AW546&lt;&gt;""),Programme_Grunddaten!AW546,"")</f>
        <v/>
      </c>
      <c r="I541" t="str">
        <f>IF(AND(Programme_Grunddaten!$A546="Geprüft",Programme_Grunddaten!AX546&lt;&gt;""),Programme_Grunddaten!AX546,"")</f>
        <v/>
      </c>
    </row>
    <row r="542" spans="1:9" x14ac:dyDescent="0.3">
      <c r="A542" s="1" t="str">
        <f>IF(AND(Programme_Grunddaten!$A547="Geprüft",Programme_Grunddaten!B547&lt;&gt;""),Programme_Grunddaten!B547,"")</f>
        <v/>
      </c>
      <c r="B542" s="1" t="str">
        <f>IF(AND(Programme_Grunddaten!$A547="Geprüft",Programme_Grunddaten!C547&lt;&gt;""),Programme_Grunddaten!C547,"")</f>
        <v/>
      </c>
      <c r="C542" s="1" t="str">
        <f>IF(AND(Programme_Grunddaten!$A547="Geprüft",Programme_Grunddaten!D547&lt;&gt;""),Programme_Grunddaten!D547,"")</f>
        <v/>
      </c>
      <c r="D542" s="2" t="str">
        <f>IF(AND(Programme_Grunddaten!$A547="Geprüft",Programme_Grunddaten!E547&lt;&gt;""),Programme_Grunddaten!E547,"")</f>
        <v/>
      </c>
      <c r="E542" t="str">
        <f>IF(AND(Programme_Grunddaten!$A547="Geprüft",Programme_Grunddaten!G547&lt;&gt;""),Programme_Grunddaten!G547,"")</f>
        <v/>
      </c>
      <c r="F542" t="str">
        <f>IF(AND(Programme_Grunddaten!$A547="Geprüft",Programme_Grunddaten!F547&lt;&gt;""),Programme_Grunddaten!F547,"")</f>
        <v/>
      </c>
      <c r="G542" s="3" t="str">
        <f>IF(AND(Programme_Grunddaten!$A547="Geprüft",Programme_Grunddaten!S547&lt;&gt;""),Programme_Grunddaten!S547,"")</f>
        <v/>
      </c>
      <c r="H542" t="str">
        <f>IF(AND(Programme_Grunddaten!$A547="Geprüft",Programme_Grunddaten!AW547&lt;&gt;""),Programme_Grunddaten!AW547,"")</f>
        <v/>
      </c>
      <c r="I542" t="str">
        <f>IF(AND(Programme_Grunddaten!$A547="Geprüft",Programme_Grunddaten!AX547&lt;&gt;""),Programme_Grunddaten!AX547,"")</f>
        <v/>
      </c>
    </row>
    <row r="543" spans="1:9" x14ac:dyDescent="0.3">
      <c r="A543" s="1" t="str">
        <f>IF(AND(Programme_Grunddaten!$A548="Geprüft",Programme_Grunddaten!B548&lt;&gt;""),Programme_Grunddaten!B548,"")</f>
        <v/>
      </c>
      <c r="B543" s="1" t="str">
        <f>IF(AND(Programme_Grunddaten!$A548="Geprüft",Programme_Grunddaten!C548&lt;&gt;""),Programme_Grunddaten!C548,"")</f>
        <v/>
      </c>
      <c r="C543" s="1" t="str">
        <f>IF(AND(Programme_Grunddaten!$A548="Geprüft",Programme_Grunddaten!D548&lt;&gt;""),Programme_Grunddaten!D548,"")</f>
        <v/>
      </c>
      <c r="D543" s="2" t="str">
        <f>IF(AND(Programme_Grunddaten!$A548="Geprüft",Programme_Grunddaten!E548&lt;&gt;""),Programme_Grunddaten!E548,"")</f>
        <v/>
      </c>
      <c r="E543" t="str">
        <f>IF(AND(Programme_Grunddaten!$A548="Geprüft",Programme_Grunddaten!G548&lt;&gt;""),Programme_Grunddaten!G548,"")</f>
        <v/>
      </c>
      <c r="F543" t="str">
        <f>IF(AND(Programme_Grunddaten!$A548="Geprüft",Programme_Grunddaten!F548&lt;&gt;""),Programme_Grunddaten!F548,"")</f>
        <v/>
      </c>
      <c r="G543" s="3" t="str">
        <f>IF(AND(Programme_Grunddaten!$A548="Geprüft",Programme_Grunddaten!S548&lt;&gt;""),Programme_Grunddaten!S548,"")</f>
        <v/>
      </c>
      <c r="H543" t="str">
        <f>IF(AND(Programme_Grunddaten!$A548="Geprüft",Programme_Grunddaten!AW548&lt;&gt;""),Programme_Grunddaten!AW548,"")</f>
        <v/>
      </c>
      <c r="I543" t="str">
        <f>IF(AND(Programme_Grunddaten!$A548="Geprüft",Programme_Grunddaten!AX548&lt;&gt;""),Programme_Grunddaten!AX548,"")</f>
        <v/>
      </c>
    </row>
    <row r="544" spans="1:9" x14ac:dyDescent="0.3">
      <c r="A544" s="1" t="str">
        <f>IF(AND(Programme_Grunddaten!$A549="Geprüft",Programme_Grunddaten!B549&lt;&gt;""),Programme_Grunddaten!B549,"")</f>
        <v/>
      </c>
      <c r="B544" s="1" t="str">
        <f>IF(AND(Programme_Grunddaten!$A549="Geprüft",Programme_Grunddaten!C549&lt;&gt;""),Programme_Grunddaten!C549,"")</f>
        <v/>
      </c>
      <c r="C544" s="1" t="str">
        <f>IF(AND(Programme_Grunddaten!$A549="Geprüft",Programme_Grunddaten!D549&lt;&gt;""),Programme_Grunddaten!D549,"")</f>
        <v/>
      </c>
      <c r="D544" s="2" t="str">
        <f>IF(AND(Programme_Grunddaten!$A549="Geprüft",Programme_Grunddaten!E549&lt;&gt;""),Programme_Grunddaten!E549,"")</f>
        <v/>
      </c>
      <c r="E544" t="str">
        <f>IF(AND(Programme_Grunddaten!$A549="Geprüft",Programme_Grunddaten!G549&lt;&gt;""),Programme_Grunddaten!G549,"")</f>
        <v/>
      </c>
      <c r="F544" t="str">
        <f>IF(AND(Programme_Grunddaten!$A549="Geprüft",Programme_Grunddaten!F549&lt;&gt;""),Programme_Grunddaten!F549,"")</f>
        <v/>
      </c>
      <c r="G544" s="3" t="str">
        <f>IF(AND(Programme_Grunddaten!$A549="Geprüft",Programme_Grunddaten!S549&lt;&gt;""),Programme_Grunddaten!S549,"")</f>
        <v/>
      </c>
      <c r="H544" t="str">
        <f>IF(AND(Programme_Grunddaten!$A549="Geprüft",Programme_Grunddaten!AW549&lt;&gt;""),Programme_Grunddaten!AW549,"")</f>
        <v/>
      </c>
      <c r="I544" t="str">
        <f>IF(AND(Programme_Grunddaten!$A549="Geprüft",Programme_Grunddaten!AX549&lt;&gt;""),Programme_Grunddaten!AX549,"")</f>
        <v/>
      </c>
    </row>
    <row r="545" spans="1:9" x14ac:dyDescent="0.3">
      <c r="A545" s="1" t="str">
        <f>IF(AND(Programme_Grunddaten!$A550="Geprüft",Programme_Grunddaten!B550&lt;&gt;""),Programme_Grunddaten!B550,"")</f>
        <v/>
      </c>
      <c r="B545" s="1" t="str">
        <f>IF(AND(Programme_Grunddaten!$A550="Geprüft",Programme_Grunddaten!C550&lt;&gt;""),Programme_Grunddaten!C550,"")</f>
        <v/>
      </c>
      <c r="C545" s="1" t="str">
        <f>IF(AND(Programme_Grunddaten!$A550="Geprüft",Programme_Grunddaten!D550&lt;&gt;""),Programme_Grunddaten!D550,"")</f>
        <v/>
      </c>
      <c r="D545" s="2" t="str">
        <f>IF(AND(Programme_Grunddaten!$A550="Geprüft",Programme_Grunddaten!E550&lt;&gt;""),Programme_Grunddaten!E550,"")</f>
        <v/>
      </c>
      <c r="E545" t="str">
        <f>IF(AND(Programme_Grunddaten!$A550="Geprüft",Programme_Grunddaten!G550&lt;&gt;""),Programme_Grunddaten!G550,"")</f>
        <v/>
      </c>
      <c r="F545" t="str">
        <f>IF(AND(Programme_Grunddaten!$A550="Geprüft",Programme_Grunddaten!F550&lt;&gt;""),Programme_Grunddaten!F550,"")</f>
        <v/>
      </c>
      <c r="G545" s="3" t="str">
        <f>IF(AND(Programme_Grunddaten!$A550="Geprüft",Programme_Grunddaten!S550&lt;&gt;""),Programme_Grunddaten!S550,"")</f>
        <v/>
      </c>
      <c r="H545" t="str">
        <f>IF(AND(Programme_Grunddaten!$A550="Geprüft",Programme_Grunddaten!AW550&lt;&gt;""),Programme_Grunddaten!AW550,"")</f>
        <v/>
      </c>
      <c r="I545" t="str">
        <f>IF(AND(Programme_Grunddaten!$A550="Geprüft",Programme_Grunddaten!AX550&lt;&gt;""),Programme_Grunddaten!AX550,"")</f>
        <v/>
      </c>
    </row>
    <row r="546" spans="1:9" x14ac:dyDescent="0.3">
      <c r="A546" s="1" t="str">
        <f>IF(AND(Programme_Grunddaten!$A551="Geprüft",Programme_Grunddaten!B551&lt;&gt;""),Programme_Grunddaten!B551,"")</f>
        <v/>
      </c>
      <c r="B546" s="1" t="str">
        <f>IF(AND(Programme_Grunddaten!$A551="Geprüft",Programme_Grunddaten!C551&lt;&gt;""),Programme_Grunddaten!C551,"")</f>
        <v/>
      </c>
      <c r="C546" s="1" t="str">
        <f>IF(AND(Programme_Grunddaten!$A551="Geprüft",Programme_Grunddaten!D551&lt;&gt;""),Programme_Grunddaten!D551,"")</f>
        <v/>
      </c>
      <c r="D546" s="2" t="str">
        <f>IF(AND(Programme_Grunddaten!$A551="Geprüft",Programme_Grunddaten!E551&lt;&gt;""),Programme_Grunddaten!E551,"")</f>
        <v/>
      </c>
      <c r="E546" t="str">
        <f>IF(AND(Programme_Grunddaten!$A551="Geprüft",Programme_Grunddaten!G551&lt;&gt;""),Programme_Grunddaten!G551,"")</f>
        <v/>
      </c>
      <c r="F546" t="str">
        <f>IF(AND(Programme_Grunddaten!$A551="Geprüft",Programme_Grunddaten!F551&lt;&gt;""),Programme_Grunddaten!F551,"")</f>
        <v/>
      </c>
      <c r="G546" s="3" t="str">
        <f>IF(AND(Programme_Grunddaten!$A551="Geprüft",Programme_Grunddaten!S551&lt;&gt;""),Programme_Grunddaten!S551,"")</f>
        <v/>
      </c>
      <c r="H546" t="str">
        <f>IF(AND(Programme_Grunddaten!$A551="Geprüft",Programme_Grunddaten!AW551&lt;&gt;""),Programme_Grunddaten!AW551,"")</f>
        <v/>
      </c>
      <c r="I546" t="str">
        <f>IF(AND(Programme_Grunddaten!$A551="Geprüft",Programme_Grunddaten!AX551&lt;&gt;""),Programme_Grunddaten!AX551,"")</f>
        <v/>
      </c>
    </row>
    <row r="547" spans="1:9" x14ac:dyDescent="0.3">
      <c r="A547" s="1" t="str">
        <f>IF(AND(Programme_Grunddaten!$A552="Geprüft",Programme_Grunddaten!B552&lt;&gt;""),Programme_Grunddaten!B552,"")</f>
        <v/>
      </c>
      <c r="B547" s="1" t="str">
        <f>IF(AND(Programme_Grunddaten!$A552="Geprüft",Programme_Grunddaten!C552&lt;&gt;""),Programme_Grunddaten!C552,"")</f>
        <v/>
      </c>
      <c r="C547" s="1" t="str">
        <f>IF(AND(Programme_Grunddaten!$A552="Geprüft",Programme_Grunddaten!D552&lt;&gt;""),Programme_Grunddaten!D552,"")</f>
        <v/>
      </c>
      <c r="D547" s="2" t="str">
        <f>IF(AND(Programme_Grunddaten!$A552="Geprüft",Programme_Grunddaten!E552&lt;&gt;""),Programme_Grunddaten!E552,"")</f>
        <v/>
      </c>
      <c r="E547" t="str">
        <f>IF(AND(Programme_Grunddaten!$A552="Geprüft",Programme_Grunddaten!G552&lt;&gt;""),Programme_Grunddaten!G552,"")</f>
        <v/>
      </c>
      <c r="F547" t="str">
        <f>IF(AND(Programme_Grunddaten!$A552="Geprüft",Programme_Grunddaten!F552&lt;&gt;""),Programme_Grunddaten!F552,"")</f>
        <v/>
      </c>
      <c r="G547" s="3" t="str">
        <f>IF(AND(Programme_Grunddaten!$A552="Geprüft",Programme_Grunddaten!S552&lt;&gt;""),Programme_Grunddaten!S552,"")</f>
        <v/>
      </c>
      <c r="H547" t="str">
        <f>IF(AND(Programme_Grunddaten!$A552="Geprüft",Programme_Grunddaten!AW552&lt;&gt;""),Programme_Grunddaten!AW552,"")</f>
        <v/>
      </c>
      <c r="I547" t="str">
        <f>IF(AND(Programme_Grunddaten!$A552="Geprüft",Programme_Grunddaten!AX552&lt;&gt;""),Programme_Grunddaten!AX552,"")</f>
        <v/>
      </c>
    </row>
    <row r="548" spans="1:9" x14ac:dyDescent="0.3">
      <c r="A548" s="1" t="str">
        <f>IF(AND(Programme_Grunddaten!$A553="Geprüft",Programme_Grunddaten!B553&lt;&gt;""),Programme_Grunddaten!B553,"")</f>
        <v/>
      </c>
      <c r="B548" s="1" t="str">
        <f>IF(AND(Programme_Grunddaten!$A553="Geprüft",Programme_Grunddaten!C553&lt;&gt;""),Programme_Grunddaten!C553,"")</f>
        <v/>
      </c>
      <c r="C548" s="1" t="str">
        <f>IF(AND(Programme_Grunddaten!$A553="Geprüft",Programme_Grunddaten!D553&lt;&gt;""),Programme_Grunddaten!D553,"")</f>
        <v/>
      </c>
      <c r="D548" s="2" t="str">
        <f>IF(AND(Programme_Grunddaten!$A553="Geprüft",Programme_Grunddaten!E553&lt;&gt;""),Programme_Grunddaten!E553,"")</f>
        <v/>
      </c>
      <c r="E548" t="str">
        <f>IF(AND(Programme_Grunddaten!$A553="Geprüft",Programme_Grunddaten!G553&lt;&gt;""),Programme_Grunddaten!G553,"")</f>
        <v/>
      </c>
      <c r="F548" t="str">
        <f>IF(AND(Programme_Grunddaten!$A553="Geprüft",Programme_Grunddaten!F553&lt;&gt;""),Programme_Grunddaten!F553,"")</f>
        <v/>
      </c>
      <c r="G548" s="3" t="str">
        <f>IF(AND(Programme_Grunddaten!$A553="Geprüft",Programme_Grunddaten!S553&lt;&gt;""),Programme_Grunddaten!S553,"")</f>
        <v/>
      </c>
      <c r="H548" t="str">
        <f>IF(AND(Programme_Grunddaten!$A553="Geprüft",Programme_Grunddaten!AW553&lt;&gt;""),Programme_Grunddaten!AW553,"")</f>
        <v/>
      </c>
      <c r="I548" t="str">
        <f>IF(AND(Programme_Grunddaten!$A553="Geprüft",Programme_Grunddaten!AX553&lt;&gt;""),Programme_Grunddaten!AX553,"")</f>
        <v/>
      </c>
    </row>
    <row r="549" spans="1:9" x14ac:dyDescent="0.3">
      <c r="A549" s="1" t="str">
        <f>IF(AND(Programme_Grunddaten!$A554="Geprüft",Programme_Grunddaten!B554&lt;&gt;""),Programme_Grunddaten!B554,"")</f>
        <v/>
      </c>
      <c r="B549" s="1" t="str">
        <f>IF(AND(Programme_Grunddaten!$A554="Geprüft",Programme_Grunddaten!C554&lt;&gt;""),Programme_Grunddaten!C554,"")</f>
        <v/>
      </c>
      <c r="C549" s="1" t="str">
        <f>IF(AND(Programme_Grunddaten!$A554="Geprüft",Programme_Grunddaten!D554&lt;&gt;""),Programme_Grunddaten!D554,"")</f>
        <v/>
      </c>
      <c r="D549" s="2" t="str">
        <f>IF(AND(Programme_Grunddaten!$A554="Geprüft",Programme_Grunddaten!E554&lt;&gt;""),Programme_Grunddaten!E554,"")</f>
        <v/>
      </c>
      <c r="E549" t="str">
        <f>IF(AND(Programme_Grunddaten!$A554="Geprüft",Programme_Grunddaten!G554&lt;&gt;""),Programme_Grunddaten!G554,"")</f>
        <v/>
      </c>
      <c r="F549" t="str">
        <f>IF(AND(Programme_Grunddaten!$A554="Geprüft",Programme_Grunddaten!F554&lt;&gt;""),Programme_Grunddaten!F554,"")</f>
        <v/>
      </c>
      <c r="G549" s="3" t="str">
        <f>IF(AND(Programme_Grunddaten!$A554="Geprüft",Programme_Grunddaten!S554&lt;&gt;""),Programme_Grunddaten!S554,"")</f>
        <v/>
      </c>
      <c r="H549" t="str">
        <f>IF(AND(Programme_Grunddaten!$A554="Geprüft",Programme_Grunddaten!AW554&lt;&gt;""),Programme_Grunddaten!AW554,"")</f>
        <v/>
      </c>
      <c r="I549" t="str">
        <f>IF(AND(Programme_Grunddaten!$A554="Geprüft",Programme_Grunddaten!AX554&lt;&gt;""),Programme_Grunddaten!AX554,"")</f>
        <v/>
      </c>
    </row>
    <row r="550" spans="1:9" x14ac:dyDescent="0.3">
      <c r="A550" s="1" t="str">
        <f>IF(AND(Programme_Grunddaten!$A555="Geprüft",Programme_Grunddaten!B555&lt;&gt;""),Programme_Grunddaten!B555,"")</f>
        <v/>
      </c>
      <c r="B550" s="1" t="str">
        <f>IF(AND(Programme_Grunddaten!$A555="Geprüft",Programme_Grunddaten!C555&lt;&gt;""),Programme_Grunddaten!C555,"")</f>
        <v/>
      </c>
      <c r="C550" s="1" t="str">
        <f>IF(AND(Programme_Grunddaten!$A555="Geprüft",Programme_Grunddaten!D555&lt;&gt;""),Programme_Grunddaten!D555,"")</f>
        <v/>
      </c>
      <c r="D550" s="2" t="str">
        <f>IF(AND(Programme_Grunddaten!$A555="Geprüft",Programme_Grunddaten!E555&lt;&gt;""),Programme_Grunddaten!E555,"")</f>
        <v/>
      </c>
      <c r="E550" t="str">
        <f>IF(AND(Programme_Grunddaten!$A555="Geprüft",Programme_Grunddaten!G555&lt;&gt;""),Programme_Grunddaten!G555,"")</f>
        <v/>
      </c>
      <c r="F550" t="str">
        <f>IF(AND(Programme_Grunddaten!$A555="Geprüft",Programme_Grunddaten!F555&lt;&gt;""),Programme_Grunddaten!F555,"")</f>
        <v/>
      </c>
      <c r="G550" s="3" t="str">
        <f>IF(AND(Programme_Grunddaten!$A555="Geprüft",Programme_Grunddaten!S555&lt;&gt;""),Programme_Grunddaten!S555,"")</f>
        <v/>
      </c>
      <c r="H550" t="str">
        <f>IF(AND(Programme_Grunddaten!$A555="Geprüft",Programme_Grunddaten!AW555&lt;&gt;""),Programme_Grunddaten!AW555,"")</f>
        <v/>
      </c>
      <c r="I550" t="str">
        <f>IF(AND(Programme_Grunddaten!$A555="Geprüft",Programme_Grunddaten!AX555&lt;&gt;""),Programme_Grunddaten!AX555,"")</f>
        <v/>
      </c>
    </row>
    <row r="551" spans="1:9" x14ac:dyDescent="0.3">
      <c r="A551" s="1" t="str">
        <f>IF(AND(Programme_Grunddaten!$A556="Geprüft",Programme_Grunddaten!B556&lt;&gt;""),Programme_Grunddaten!B556,"")</f>
        <v/>
      </c>
      <c r="B551" s="1" t="str">
        <f>IF(AND(Programme_Grunddaten!$A556="Geprüft",Programme_Grunddaten!C556&lt;&gt;""),Programme_Grunddaten!C556,"")</f>
        <v/>
      </c>
      <c r="C551" s="1" t="str">
        <f>IF(AND(Programme_Grunddaten!$A556="Geprüft",Programme_Grunddaten!D556&lt;&gt;""),Programme_Grunddaten!D556,"")</f>
        <v/>
      </c>
      <c r="D551" s="2" t="str">
        <f>IF(AND(Programme_Grunddaten!$A556="Geprüft",Programme_Grunddaten!E556&lt;&gt;""),Programme_Grunddaten!E556,"")</f>
        <v/>
      </c>
      <c r="E551" t="str">
        <f>IF(AND(Programme_Grunddaten!$A556="Geprüft",Programme_Grunddaten!G556&lt;&gt;""),Programme_Grunddaten!G556,"")</f>
        <v/>
      </c>
      <c r="F551" t="str">
        <f>IF(AND(Programme_Grunddaten!$A556="Geprüft",Programme_Grunddaten!F556&lt;&gt;""),Programme_Grunddaten!F556,"")</f>
        <v/>
      </c>
      <c r="G551" s="3" t="str">
        <f>IF(AND(Programme_Grunddaten!$A556="Geprüft",Programme_Grunddaten!S556&lt;&gt;""),Programme_Grunddaten!S556,"")</f>
        <v/>
      </c>
      <c r="H551" t="str">
        <f>IF(AND(Programme_Grunddaten!$A556="Geprüft",Programme_Grunddaten!AW556&lt;&gt;""),Programme_Grunddaten!AW556,"")</f>
        <v/>
      </c>
      <c r="I551" t="str">
        <f>IF(AND(Programme_Grunddaten!$A556="Geprüft",Programme_Grunddaten!AX556&lt;&gt;""),Programme_Grunddaten!AX556,"")</f>
        <v/>
      </c>
    </row>
    <row r="552" spans="1:9" x14ac:dyDescent="0.3">
      <c r="A552" s="1" t="str">
        <f>IF(AND(Programme_Grunddaten!$A557="Geprüft",Programme_Grunddaten!B557&lt;&gt;""),Programme_Grunddaten!B557,"")</f>
        <v/>
      </c>
      <c r="B552" s="1" t="str">
        <f>IF(AND(Programme_Grunddaten!$A557="Geprüft",Programme_Grunddaten!C557&lt;&gt;""),Programme_Grunddaten!C557,"")</f>
        <v/>
      </c>
      <c r="C552" s="1" t="str">
        <f>IF(AND(Programme_Grunddaten!$A557="Geprüft",Programme_Grunddaten!D557&lt;&gt;""),Programme_Grunddaten!D557,"")</f>
        <v/>
      </c>
      <c r="D552" s="2" t="str">
        <f>IF(AND(Programme_Grunddaten!$A557="Geprüft",Programme_Grunddaten!E557&lt;&gt;""),Programme_Grunddaten!E557,"")</f>
        <v/>
      </c>
      <c r="E552" t="str">
        <f>IF(AND(Programme_Grunddaten!$A557="Geprüft",Programme_Grunddaten!G557&lt;&gt;""),Programme_Grunddaten!G557,"")</f>
        <v/>
      </c>
      <c r="F552" t="str">
        <f>IF(AND(Programme_Grunddaten!$A557="Geprüft",Programme_Grunddaten!F557&lt;&gt;""),Programme_Grunddaten!F557,"")</f>
        <v/>
      </c>
      <c r="G552" s="3" t="str">
        <f>IF(AND(Programme_Grunddaten!$A557="Geprüft",Programme_Grunddaten!S557&lt;&gt;""),Programme_Grunddaten!S557,"")</f>
        <v/>
      </c>
      <c r="H552" t="str">
        <f>IF(AND(Programme_Grunddaten!$A557="Geprüft",Programme_Grunddaten!AW557&lt;&gt;""),Programme_Grunddaten!AW557,"")</f>
        <v/>
      </c>
      <c r="I552" t="str">
        <f>IF(AND(Programme_Grunddaten!$A557="Geprüft",Programme_Grunddaten!AX557&lt;&gt;""),Programme_Grunddaten!AX557,"")</f>
        <v/>
      </c>
    </row>
    <row r="553" spans="1:9" x14ac:dyDescent="0.3">
      <c r="A553" s="1" t="str">
        <f>IF(AND(Programme_Grunddaten!$A558="Geprüft",Programme_Grunddaten!B558&lt;&gt;""),Programme_Grunddaten!B558,"")</f>
        <v/>
      </c>
      <c r="B553" s="1" t="str">
        <f>IF(AND(Programme_Grunddaten!$A558="Geprüft",Programme_Grunddaten!C558&lt;&gt;""),Programme_Grunddaten!C558,"")</f>
        <v/>
      </c>
      <c r="C553" s="1" t="str">
        <f>IF(AND(Programme_Grunddaten!$A558="Geprüft",Programme_Grunddaten!D558&lt;&gt;""),Programme_Grunddaten!D558,"")</f>
        <v/>
      </c>
      <c r="D553" s="2" t="str">
        <f>IF(AND(Programme_Grunddaten!$A558="Geprüft",Programme_Grunddaten!E558&lt;&gt;""),Programme_Grunddaten!E558,"")</f>
        <v/>
      </c>
      <c r="E553" t="str">
        <f>IF(AND(Programme_Grunddaten!$A558="Geprüft",Programme_Grunddaten!G558&lt;&gt;""),Programme_Grunddaten!G558,"")</f>
        <v/>
      </c>
      <c r="F553" t="str">
        <f>IF(AND(Programme_Grunddaten!$A558="Geprüft",Programme_Grunddaten!F558&lt;&gt;""),Programme_Grunddaten!F558,"")</f>
        <v/>
      </c>
      <c r="G553" s="3" t="str">
        <f>IF(AND(Programme_Grunddaten!$A558="Geprüft",Programme_Grunddaten!S558&lt;&gt;""),Programme_Grunddaten!S558,"")</f>
        <v/>
      </c>
      <c r="H553" t="str">
        <f>IF(AND(Programme_Grunddaten!$A558="Geprüft",Programme_Grunddaten!AW558&lt;&gt;""),Programme_Grunddaten!AW558,"")</f>
        <v/>
      </c>
      <c r="I553" t="str">
        <f>IF(AND(Programme_Grunddaten!$A558="Geprüft",Programme_Grunddaten!AX558&lt;&gt;""),Programme_Grunddaten!AX558,"")</f>
        <v/>
      </c>
    </row>
    <row r="554" spans="1:9" x14ac:dyDescent="0.3">
      <c r="A554" s="1" t="str">
        <f>IF(AND(Programme_Grunddaten!$A559="Geprüft",Programme_Grunddaten!B559&lt;&gt;""),Programme_Grunddaten!B559,"")</f>
        <v/>
      </c>
      <c r="B554" s="1" t="str">
        <f>IF(AND(Programme_Grunddaten!$A559="Geprüft",Programme_Grunddaten!C559&lt;&gt;""),Programme_Grunddaten!C559,"")</f>
        <v/>
      </c>
      <c r="C554" s="1" t="str">
        <f>IF(AND(Programme_Grunddaten!$A559="Geprüft",Programme_Grunddaten!D559&lt;&gt;""),Programme_Grunddaten!D559,"")</f>
        <v/>
      </c>
      <c r="D554" s="2" t="str">
        <f>IF(AND(Programme_Grunddaten!$A559="Geprüft",Programme_Grunddaten!E559&lt;&gt;""),Programme_Grunddaten!E559,"")</f>
        <v/>
      </c>
      <c r="E554" t="str">
        <f>IF(AND(Programme_Grunddaten!$A559="Geprüft",Programme_Grunddaten!G559&lt;&gt;""),Programme_Grunddaten!G559,"")</f>
        <v/>
      </c>
      <c r="F554" t="str">
        <f>IF(AND(Programme_Grunddaten!$A559="Geprüft",Programme_Grunddaten!F559&lt;&gt;""),Programme_Grunddaten!F559,"")</f>
        <v/>
      </c>
      <c r="G554" s="3" t="str">
        <f>IF(AND(Programme_Grunddaten!$A559="Geprüft",Programme_Grunddaten!S559&lt;&gt;""),Programme_Grunddaten!S559,"")</f>
        <v/>
      </c>
      <c r="H554" t="str">
        <f>IF(AND(Programme_Grunddaten!$A559="Geprüft",Programme_Grunddaten!AW559&lt;&gt;""),Programme_Grunddaten!AW559,"")</f>
        <v/>
      </c>
      <c r="I554" t="str">
        <f>IF(AND(Programme_Grunddaten!$A559="Geprüft",Programme_Grunddaten!AX559&lt;&gt;""),Programme_Grunddaten!AX559,"")</f>
        <v/>
      </c>
    </row>
    <row r="555" spans="1:9" x14ac:dyDescent="0.3">
      <c r="A555" s="1" t="str">
        <f>IF(AND(Programme_Grunddaten!$A560="Geprüft",Programme_Grunddaten!B560&lt;&gt;""),Programme_Grunddaten!B560,"")</f>
        <v/>
      </c>
      <c r="B555" s="1" t="str">
        <f>IF(AND(Programme_Grunddaten!$A560="Geprüft",Programme_Grunddaten!C560&lt;&gt;""),Programme_Grunddaten!C560,"")</f>
        <v/>
      </c>
      <c r="C555" s="1" t="str">
        <f>IF(AND(Programme_Grunddaten!$A560="Geprüft",Programme_Grunddaten!D560&lt;&gt;""),Programme_Grunddaten!D560,"")</f>
        <v/>
      </c>
      <c r="D555" s="2" t="str">
        <f>IF(AND(Programme_Grunddaten!$A560="Geprüft",Programme_Grunddaten!E560&lt;&gt;""),Programme_Grunddaten!E560,"")</f>
        <v/>
      </c>
      <c r="E555" t="str">
        <f>IF(AND(Programme_Grunddaten!$A560="Geprüft",Programme_Grunddaten!G560&lt;&gt;""),Programme_Grunddaten!G560,"")</f>
        <v/>
      </c>
      <c r="F555" t="str">
        <f>IF(AND(Programme_Grunddaten!$A560="Geprüft",Programme_Grunddaten!F560&lt;&gt;""),Programme_Grunddaten!F560,"")</f>
        <v/>
      </c>
      <c r="G555" s="3" t="str">
        <f>IF(AND(Programme_Grunddaten!$A560="Geprüft",Programme_Grunddaten!S560&lt;&gt;""),Programme_Grunddaten!S560,"")</f>
        <v/>
      </c>
      <c r="H555" t="str">
        <f>IF(AND(Programme_Grunddaten!$A560="Geprüft",Programme_Grunddaten!AW560&lt;&gt;""),Programme_Grunddaten!AW560,"")</f>
        <v/>
      </c>
      <c r="I555" t="str">
        <f>IF(AND(Programme_Grunddaten!$A560="Geprüft",Programme_Grunddaten!AX560&lt;&gt;""),Programme_Grunddaten!AX560,"")</f>
        <v/>
      </c>
    </row>
    <row r="556" spans="1:9" x14ac:dyDescent="0.3">
      <c r="A556" s="1" t="str">
        <f>IF(AND(Programme_Grunddaten!$A561="Geprüft",Programme_Grunddaten!B561&lt;&gt;""),Programme_Grunddaten!B561,"")</f>
        <v/>
      </c>
      <c r="B556" s="1" t="str">
        <f>IF(AND(Programme_Grunddaten!$A561="Geprüft",Programme_Grunddaten!C561&lt;&gt;""),Programme_Grunddaten!C561,"")</f>
        <v/>
      </c>
      <c r="C556" s="1" t="str">
        <f>IF(AND(Programme_Grunddaten!$A561="Geprüft",Programme_Grunddaten!D561&lt;&gt;""),Programme_Grunddaten!D561,"")</f>
        <v/>
      </c>
      <c r="D556" s="2" t="str">
        <f>IF(AND(Programme_Grunddaten!$A561="Geprüft",Programme_Grunddaten!E561&lt;&gt;""),Programme_Grunddaten!E561,"")</f>
        <v/>
      </c>
      <c r="E556" t="str">
        <f>IF(AND(Programme_Grunddaten!$A561="Geprüft",Programme_Grunddaten!G561&lt;&gt;""),Programme_Grunddaten!G561,"")</f>
        <v/>
      </c>
      <c r="F556" t="str">
        <f>IF(AND(Programme_Grunddaten!$A561="Geprüft",Programme_Grunddaten!F561&lt;&gt;""),Programme_Grunddaten!F561,"")</f>
        <v/>
      </c>
      <c r="G556" s="3" t="str">
        <f>IF(AND(Programme_Grunddaten!$A561="Geprüft",Programme_Grunddaten!S561&lt;&gt;""),Programme_Grunddaten!S561,"")</f>
        <v/>
      </c>
      <c r="H556" t="str">
        <f>IF(AND(Programme_Grunddaten!$A561="Geprüft",Programme_Grunddaten!AW561&lt;&gt;""),Programme_Grunddaten!AW561,"")</f>
        <v/>
      </c>
      <c r="I556" t="str">
        <f>IF(AND(Programme_Grunddaten!$A561="Geprüft",Programme_Grunddaten!AX561&lt;&gt;""),Programme_Grunddaten!AX561,"")</f>
        <v/>
      </c>
    </row>
    <row r="557" spans="1:9" x14ac:dyDescent="0.3">
      <c r="A557" s="1" t="str">
        <f>IF(AND(Programme_Grunddaten!$A562="Geprüft",Programme_Grunddaten!B562&lt;&gt;""),Programme_Grunddaten!B562,"")</f>
        <v/>
      </c>
      <c r="B557" s="1" t="str">
        <f>IF(AND(Programme_Grunddaten!$A562="Geprüft",Programme_Grunddaten!C562&lt;&gt;""),Programme_Grunddaten!C562,"")</f>
        <v/>
      </c>
      <c r="C557" s="1" t="str">
        <f>IF(AND(Programme_Grunddaten!$A562="Geprüft",Programme_Grunddaten!D562&lt;&gt;""),Programme_Grunddaten!D562,"")</f>
        <v/>
      </c>
      <c r="D557" s="2" t="str">
        <f>IF(AND(Programme_Grunddaten!$A562="Geprüft",Programme_Grunddaten!E562&lt;&gt;""),Programme_Grunddaten!E562,"")</f>
        <v/>
      </c>
      <c r="E557" t="str">
        <f>IF(AND(Programme_Grunddaten!$A562="Geprüft",Programme_Grunddaten!G562&lt;&gt;""),Programme_Grunddaten!G562,"")</f>
        <v/>
      </c>
      <c r="F557" t="str">
        <f>IF(AND(Programme_Grunddaten!$A562="Geprüft",Programme_Grunddaten!F562&lt;&gt;""),Programme_Grunddaten!F562,"")</f>
        <v/>
      </c>
      <c r="G557" s="3" t="str">
        <f>IF(AND(Programme_Grunddaten!$A562="Geprüft",Programme_Grunddaten!S562&lt;&gt;""),Programme_Grunddaten!S562,"")</f>
        <v/>
      </c>
      <c r="H557" t="str">
        <f>IF(AND(Programme_Grunddaten!$A562="Geprüft",Programme_Grunddaten!AW562&lt;&gt;""),Programme_Grunddaten!AW562,"")</f>
        <v/>
      </c>
      <c r="I557" t="str">
        <f>IF(AND(Programme_Grunddaten!$A562="Geprüft",Programme_Grunddaten!AX562&lt;&gt;""),Programme_Grunddaten!AX562,"")</f>
        <v/>
      </c>
    </row>
    <row r="558" spans="1:9" x14ac:dyDescent="0.3">
      <c r="A558" s="1" t="str">
        <f>IF(AND(Programme_Grunddaten!$A563="Geprüft",Programme_Grunddaten!B563&lt;&gt;""),Programme_Grunddaten!B563,"")</f>
        <v/>
      </c>
      <c r="B558" s="1" t="str">
        <f>IF(AND(Programme_Grunddaten!$A563="Geprüft",Programme_Grunddaten!C563&lt;&gt;""),Programme_Grunddaten!C563,"")</f>
        <v/>
      </c>
      <c r="C558" s="1" t="str">
        <f>IF(AND(Programme_Grunddaten!$A563="Geprüft",Programme_Grunddaten!D563&lt;&gt;""),Programme_Grunddaten!D563,"")</f>
        <v/>
      </c>
      <c r="D558" s="2" t="str">
        <f>IF(AND(Programme_Grunddaten!$A563="Geprüft",Programme_Grunddaten!E563&lt;&gt;""),Programme_Grunddaten!E563,"")</f>
        <v/>
      </c>
      <c r="E558" t="str">
        <f>IF(AND(Programme_Grunddaten!$A563="Geprüft",Programme_Grunddaten!G563&lt;&gt;""),Programme_Grunddaten!G563,"")</f>
        <v/>
      </c>
      <c r="F558" t="str">
        <f>IF(AND(Programme_Grunddaten!$A563="Geprüft",Programme_Grunddaten!F563&lt;&gt;""),Programme_Grunddaten!F563,"")</f>
        <v/>
      </c>
      <c r="G558" s="3" t="str">
        <f>IF(AND(Programme_Grunddaten!$A563="Geprüft",Programme_Grunddaten!S563&lt;&gt;""),Programme_Grunddaten!S563,"")</f>
        <v/>
      </c>
      <c r="H558" t="str">
        <f>IF(AND(Programme_Grunddaten!$A563="Geprüft",Programme_Grunddaten!AW563&lt;&gt;""),Programme_Grunddaten!AW563,"")</f>
        <v/>
      </c>
      <c r="I558" t="str">
        <f>IF(AND(Programme_Grunddaten!$A563="Geprüft",Programme_Grunddaten!AX563&lt;&gt;""),Programme_Grunddaten!AX563,"")</f>
        <v/>
      </c>
    </row>
    <row r="559" spans="1:9" x14ac:dyDescent="0.3">
      <c r="A559" s="1" t="str">
        <f>IF(AND(Programme_Grunddaten!$A564="Geprüft",Programme_Grunddaten!B564&lt;&gt;""),Programme_Grunddaten!B564,"")</f>
        <v/>
      </c>
      <c r="B559" s="1" t="str">
        <f>IF(AND(Programme_Grunddaten!$A564="Geprüft",Programme_Grunddaten!C564&lt;&gt;""),Programme_Grunddaten!C564,"")</f>
        <v/>
      </c>
      <c r="C559" s="1" t="str">
        <f>IF(AND(Programme_Grunddaten!$A564="Geprüft",Programme_Grunddaten!D564&lt;&gt;""),Programme_Grunddaten!D564,"")</f>
        <v/>
      </c>
      <c r="D559" s="2" t="str">
        <f>IF(AND(Programme_Grunddaten!$A564="Geprüft",Programme_Grunddaten!E564&lt;&gt;""),Programme_Grunddaten!E564,"")</f>
        <v/>
      </c>
      <c r="E559" t="str">
        <f>IF(AND(Programme_Grunddaten!$A564="Geprüft",Programme_Grunddaten!G564&lt;&gt;""),Programme_Grunddaten!G564,"")</f>
        <v/>
      </c>
      <c r="F559" t="str">
        <f>IF(AND(Programme_Grunddaten!$A564="Geprüft",Programme_Grunddaten!F564&lt;&gt;""),Programme_Grunddaten!F564,"")</f>
        <v/>
      </c>
      <c r="G559" s="3" t="str">
        <f>IF(AND(Programme_Grunddaten!$A564="Geprüft",Programme_Grunddaten!S564&lt;&gt;""),Programme_Grunddaten!S564,"")</f>
        <v/>
      </c>
      <c r="H559" t="str">
        <f>IF(AND(Programme_Grunddaten!$A564="Geprüft",Programme_Grunddaten!AW564&lt;&gt;""),Programme_Grunddaten!AW564,"")</f>
        <v/>
      </c>
      <c r="I559" t="str">
        <f>IF(AND(Programme_Grunddaten!$A564="Geprüft",Programme_Grunddaten!AX564&lt;&gt;""),Programme_Grunddaten!AX564,"")</f>
        <v/>
      </c>
    </row>
    <row r="560" spans="1:9" x14ac:dyDescent="0.3">
      <c r="A560" s="1" t="str">
        <f>IF(AND(Programme_Grunddaten!$A565="Geprüft",Programme_Grunddaten!B565&lt;&gt;""),Programme_Grunddaten!B565,"")</f>
        <v/>
      </c>
      <c r="B560" s="1" t="str">
        <f>IF(AND(Programme_Grunddaten!$A565="Geprüft",Programme_Grunddaten!C565&lt;&gt;""),Programme_Grunddaten!C565,"")</f>
        <v/>
      </c>
      <c r="C560" s="1" t="str">
        <f>IF(AND(Programme_Grunddaten!$A565="Geprüft",Programme_Grunddaten!D565&lt;&gt;""),Programme_Grunddaten!D565,"")</f>
        <v/>
      </c>
      <c r="D560" s="2" t="str">
        <f>IF(AND(Programme_Grunddaten!$A565="Geprüft",Programme_Grunddaten!E565&lt;&gt;""),Programme_Grunddaten!E565,"")</f>
        <v/>
      </c>
      <c r="E560" t="str">
        <f>IF(AND(Programme_Grunddaten!$A565="Geprüft",Programme_Grunddaten!G565&lt;&gt;""),Programme_Grunddaten!G565,"")</f>
        <v/>
      </c>
      <c r="F560" t="str">
        <f>IF(AND(Programme_Grunddaten!$A565="Geprüft",Programme_Grunddaten!F565&lt;&gt;""),Programme_Grunddaten!F565,"")</f>
        <v/>
      </c>
      <c r="G560" s="3" t="str">
        <f>IF(AND(Programme_Grunddaten!$A565="Geprüft",Programme_Grunddaten!S565&lt;&gt;""),Programme_Grunddaten!S565,"")</f>
        <v/>
      </c>
      <c r="H560" t="str">
        <f>IF(AND(Programme_Grunddaten!$A565="Geprüft",Programme_Grunddaten!AW565&lt;&gt;""),Programme_Grunddaten!AW565,"")</f>
        <v/>
      </c>
      <c r="I560" t="str">
        <f>IF(AND(Programme_Grunddaten!$A565="Geprüft",Programme_Grunddaten!AX565&lt;&gt;""),Programme_Grunddaten!AX565,"")</f>
        <v/>
      </c>
    </row>
    <row r="561" spans="1:9" x14ac:dyDescent="0.3">
      <c r="A561" s="1" t="str">
        <f>IF(AND(Programme_Grunddaten!$A566="Geprüft",Programme_Grunddaten!B566&lt;&gt;""),Programme_Grunddaten!B566,"")</f>
        <v/>
      </c>
      <c r="B561" s="1" t="str">
        <f>IF(AND(Programme_Grunddaten!$A566="Geprüft",Programme_Grunddaten!C566&lt;&gt;""),Programme_Grunddaten!C566,"")</f>
        <v/>
      </c>
      <c r="C561" s="1" t="str">
        <f>IF(AND(Programme_Grunddaten!$A566="Geprüft",Programme_Grunddaten!D566&lt;&gt;""),Programme_Grunddaten!D566,"")</f>
        <v/>
      </c>
      <c r="D561" s="2" t="str">
        <f>IF(AND(Programme_Grunddaten!$A566="Geprüft",Programme_Grunddaten!E566&lt;&gt;""),Programme_Grunddaten!E566,"")</f>
        <v/>
      </c>
      <c r="E561" t="str">
        <f>IF(AND(Programme_Grunddaten!$A566="Geprüft",Programme_Grunddaten!G566&lt;&gt;""),Programme_Grunddaten!G566,"")</f>
        <v/>
      </c>
      <c r="F561" t="str">
        <f>IF(AND(Programme_Grunddaten!$A566="Geprüft",Programme_Grunddaten!F566&lt;&gt;""),Programme_Grunddaten!F566,"")</f>
        <v/>
      </c>
      <c r="G561" s="3" t="str">
        <f>IF(AND(Programme_Grunddaten!$A566="Geprüft",Programme_Grunddaten!S566&lt;&gt;""),Programme_Grunddaten!S566,"")</f>
        <v/>
      </c>
      <c r="H561" t="str">
        <f>IF(AND(Programme_Grunddaten!$A566="Geprüft",Programme_Grunddaten!AW566&lt;&gt;""),Programme_Grunddaten!AW566,"")</f>
        <v/>
      </c>
      <c r="I561" t="str">
        <f>IF(AND(Programme_Grunddaten!$A566="Geprüft",Programme_Grunddaten!AX566&lt;&gt;""),Programme_Grunddaten!AX566,"")</f>
        <v/>
      </c>
    </row>
    <row r="562" spans="1:9" x14ac:dyDescent="0.3">
      <c r="A562" s="1" t="str">
        <f>IF(AND(Programme_Grunddaten!$A567="Geprüft",Programme_Grunddaten!B567&lt;&gt;""),Programme_Grunddaten!B567,"")</f>
        <v/>
      </c>
      <c r="B562" s="1" t="str">
        <f>IF(AND(Programme_Grunddaten!$A567="Geprüft",Programme_Grunddaten!C567&lt;&gt;""),Programme_Grunddaten!C567,"")</f>
        <v/>
      </c>
      <c r="C562" s="1" t="str">
        <f>IF(AND(Programme_Grunddaten!$A567="Geprüft",Programme_Grunddaten!D567&lt;&gt;""),Programme_Grunddaten!D567,"")</f>
        <v/>
      </c>
      <c r="D562" s="2" t="str">
        <f>IF(AND(Programme_Grunddaten!$A567="Geprüft",Programme_Grunddaten!E567&lt;&gt;""),Programme_Grunddaten!E567,"")</f>
        <v/>
      </c>
      <c r="E562" t="str">
        <f>IF(AND(Programme_Grunddaten!$A567="Geprüft",Programme_Grunddaten!G567&lt;&gt;""),Programme_Grunddaten!G567,"")</f>
        <v/>
      </c>
      <c r="F562" t="str">
        <f>IF(AND(Programme_Grunddaten!$A567="Geprüft",Programme_Grunddaten!F567&lt;&gt;""),Programme_Grunddaten!F567,"")</f>
        <v/>
      </c>
      <c r="G562" s="3" t="str">
        <f>IF(AND(Programme_Grunddaten!$A567="Geprüft",Programme_Grunddaten!S567&lt;&gt;""),Programme_Grunddaten!S567,"")</f>
        <v/>
      </c>
      <c r="H562" t="str">
        <f>IF(AND(Programme_Grunddaten!$A567="Geprüft",Programme_Grunddaten!AW567&lt;&gt;""),Programme_Grunddaten!AW567,"")</f>
        <v/>
      </c>
      <c r="I562" t="str">
        <f>IF(AND(Programme_Grunddaten!$A567="Geprüft",Programme_Grunddaten!AX567&lt;&gt;""),Programme_Grunddaten!AX567,"")</f>
        <v/>
      </c>
    </row>
    <row r="563" spans="1:9" x14ac:dyDescent="0.3">
      <c r="A563" s="1" t="str">
        <f>IF(AND(Programme_Grunddaten!$A568="Geprüft",Programme_Grunddaten!B568&lt;&gt;""),Programme_Grunddaten!B568,"")</f>
        <v/>
      </c>
      <c r="B563" s="1" t="str">
        <f>IF(AND(Programme_Grunddaten!$A568="Geprüft",Programme_Grunddaten!C568&lt;&gt;""),Programme_Grunddaten!C568,"")</f>
        <v/>
      </c>
      <c r="C563" s="1" t="str">
        <f>IF(AND(Programme_Grunddaten!$A568="Geprüft",Programme_Grunddaten!D568&lt;&gt;""),Programme_Grunddaten!D568,"")</f>
        <v/>
      </c>
      <c r="D563" s="2" t="str">
        <f>IF(AND(Programme_Grunddaten!$A568="Geprüft",Programme_Grunddaten!E568&lt;&gt;""),Programme_Grunddaten!E568,"")</f>
        <v/>
      </c>
      <c r="E563" t="str">
        <f>IF(AND(Programme_Grunddaten!$A568="Geprüft",Programme_Grunddaten!G568&lt;&gt;""),Programme_Grunddaten!G568,"")</f>
        <v/>
      </c>
      <c r="F563" t="str">
        <f>IF(AND(Programme_Grunddaten!$A568="Geprüft",Programme_Grunddaten!F568&lt;&gt;""),Programme_Grunddaten!F568,"")</f>
        <v/>
      </c>
      <c r="G563" s="3" t="str">
        <f>IF(AND(Programme_Grunddaten!$A568="Geprüft",Programme_Grunddaten!S568&lt;&gt;""),Programme_Grunddaten!S568,"")</f>
        <v/>
      </c>
      <c r="H563" t="str">
        <f>IF(AND(Programme_Grunddaten!$A568="Geprüft",Programme_Grunddaten!AW568&lt;&gt;""),Programme_Grunddaten!AW568,"")</f>
        <v/>
      </c>
      <c r="I563" t="str">
        <f>IF(AND(Programme_Grunddaten!$A568="Geprüft",Programme_Grunddaten!AX568&lt;&gt;""),Programme_Grunddaten!AX568,"")</f>
        <v/>
      </c>
    </row>
    <row r="564" spans="1:9" x14ac:dyDescent="0.3">
      <c r="A564" s="1" t="str">
        <f>IF(AND(Programme_Grunddaten!$A569="Geprüft",Programme_Grunddaten!B569&lt;&gt;""),Programme_Grunddaten!B569,"")</f>
        <v/>
      </c>
      <c r="B564" s="1" t="str">
        <f>IF(AND(Programme_Grunddaten!$A569="Geprüft",Programme_Grunddaten!C569&lt;&gt;""),Programme_Grunddaten!C569,"")</f>
        <v/>
      </c>
      <c r="C564" s="1" t="str">
        <f>IF(AND(Programme_Grunddaten!$A569="Geprüft",Programme_Grunddaten!D569&lt;&gt;""),Programme_Grunddaten!D569,"")</f>
        <v/>
      </c>
      <c r="D564" s="2" t="str">
        <f>IF(AND(Programme_Grunddaten!$A569="Geprüft",Programme_Grunddaten!E569&lt;&gt;""),Programme_Grunddaten!E569,"")</f>
        <v/>
      </c>
      <c r="E564" t="str">
        <f>IF(AND(Programme_Grunddaten!$A569="Geprüft",Programme_Grunddaten!G569&lt;&gt;""),Programme_Grunddaten!G569,"")</f>
        <v/>
      </c>
      <c r="F564" t="str">
        <f>IF(AND(Programme_Grunddaten!$A569="Geprüft",Programme_Grunddaten!F569&lt;&gt;""),Programme_Grunddaten!F569,"")</f>
        <v/>
      </c>
      <c r="G564" s="3" t="str">
        <f>IF(AND(Programme_Grunddaten!$A569="Geprüft",Programme_Grunddaten!S569&lt;&gt;""),Programme_Grunddaten!S569,"")</f>
        <v/>
      </c>
      <c r="H564" t="str">
        <f>IF(AND(Programme_Grunddaten!$A569="Geprüft",Programme_Grunddaten!AW569&lt;&gt;""),Programme_Grunddaten!AW569,"")</f>
        <v/>
      </c>
      <c r="I564" t="str">
        <f>IF(AND(Programme_Grunddaten!$A569="Geprüft",Programme_Grunddaten!AX569&lt;&gt;""),Programme_Grunddaten!AX569,"")</f>
        <v/>
      </c>
    </row>
    <row r="565" spans="1:9" x14ac:dyDescent="0.3">
      <c r="A565" s="1" t="str">
        <f>IF(AND(Programme_Grunddaten!$A570="Geprüft",Programme_Grunddaten!B570&lt;&gt;""),Programme_Grunddaten!B570,"")</f>
        <v/>
      </c>
      <c r="B565" s="1" t="str">
        <f>IF(AND(Programme_Grunddaten!$A570="Geprüft",Programme_Grunddaten!C570&lt;&gt;""),Programme_Grunddaten!C570,"")</f>
        <v/>
      </c>
      <c r="C565" s="1" t="str">
        <f>IF(AND(Programme_Grunddaten!$A570="Geprüft",Programme_Grunddaten!D570&lt;&gt;""),Programme_Grunddaten!D570,"")</f>
        <v/>
      </c>
      <c r="D565" s="2" t="str">
        <f>IF(AND(Programme_Grunddaten!$A570="Geprüft",Programme_Grunddaten!E570&lt;&gt;""),Programme_Grunddaten!E570,"")</f>
        <v/>
      </c>
      <c r="E565" t="str">
        <f>IF(AND(Programme_Grunddaten!$A570="Geprüft",Programme_Grunddaten!G570&lt;&gt;""),Programme_Grunddaten!G570,"")</f>
        <v/>
      </c>
      <c r="F565" t="str">
        <f>IF(AND(Programme_Grunddaten!$A570="Geprüft",Programme_Grunddaten!F570&lt;&gt;""),Programme_Grunddaten!F570,"")</f>
        <v/>
      </c>
      <c r="G565" s="3" t="str">
        <f>IF(AND(Programme_Grunddaten!$A570="Geprüft",Programme_Grunddaten!S570&lt;&gt;""),Programme_Grunddaten!S570,"")</f>
        <v/>
      </c>
      <c r="H565" t="str">
        <f>IF(AND(Programme_Grunddaten!$A570="Geprüft",Programme_Grunddaten!AW570&lt;&gt;""),Programme_Grunddaten!AW570,"")</f>
        <v/>
      </c>
      <c r="I565" t="str">
        <f>IF(AND(Programme_Grunddaten!$A570="Geprüft",Programme_Grunddaten!AX570&lt;&gt;""),Programme_Grunddaten!AX570,"")</f>
        <v/>
      </c>
    </row>
    <row r="566" spans="1:9" x14ac:dyDescent="0.3">
      <c r="A566" s="1" t="str">
        <f>IF(AND(Programme_Grunddaten!$A571="Geprüft",Programme_Grunddaten!B571&lt;&gt;""),Programme_Grunddaten!B571,"")</f>
        <v/>
      </c>
      <c r="B566" s="1" t="str">
        <f>IF(AND(Programme_Grunddaten!$A571="Geprüft",Programme_Grunddaten!C571&lt;&gt;""),Programme_Grunddaten!C571,"")</f>
        <v/>
      </c>
      <c r="C566" s="1" t="str">
        <f>IF(AND(Programme_Grunddaten!$A571="Geprüft",Programme_Grunddaten!D571&lt;&gt;""),Programme_Grunddaten!D571,"")</f>
        <v/>
      </c>
      <c r="D566" s="2" t="str">
        <f>IF(AND(Programme_Grunddaten!$A571="Geprüft",Programme_Grunddaten!E571&lt;&gt;""),Programme_Grunddaten!E571,"")</f>
        <v/>
      </c>
      <c r="E566" t="str">
        <f>IF(AND(Programme_Grunddaten!$A571="Geprüft",Programme_Grunddaten!G571&lt;&gt;""),Programme_Grunddaten!G571,"")</f>
        <v/>
      </c>
      <c r="F566" t="str">
        <f>IF(AND(Programme_Grunddaten!$A571="Geprüft",Programme_Grunddaten!F571&lt;&gt;""),Programme_Grunddaten!F571,"")</f>
        <v/>
      </c>
      <c r="G566" s="3" t="str">
        <f>IF(AND(Programme_Grunddaten!$A571="Geprüft",Programme_Grunddaten!S571&lt;&gt;""),Programme_Grunddaten!S571,"")</f>
        <v/>
      </c>
      <c r="H566" t="str">
        <f>IF(AND(Programme_Grunddaten!$A571="Geprüft",Programme_Grunddaten!AW571&lt;&gt;""),Programme_Grunddaten!AW571,"")</f>
        <v/>
      </c>
      <c r="I566" t="str">
        <f>IF(AND(Programme_Grunddaten!$A571="Geprüft",Programme_Grunddaten!AX571&lt;&gt;""),Programme_Grunddaten!AX571,"")</f>
        <v/>
      </c>
    </row>
    <row r="567" spans="1:9" x14ac:dyDescent="0.3">
      <c r="A567" s="1" t="str">
        <f>IF(AND(Programme_Grunddaten!$A572="Geprüft",Programme_Grunddaten!B572&lt;&gt;""),Programme_Grunddaten!B572,"")</f>
        <v/>
      </c>
      <c r="B567" s="1" t="str">
        <f>IF(AND(Programme_Grunddaten!$A572="Geprüft",Programme_Grunddaten!C572&lt;&gt;""),Programme_Grunddaten!C572,"")</f>
        <v/>
      </c>
      <c r="C567" s="1" t="str">
        <f>IF(AND(Programme_Grunddaten!$A572="Geprüft",Programme_Grunddaten!D572&lt;&gt;""),Programme_Grunddaten!D572,"")</f>
        <v/>
      </c>
      <c r="D567" s="2" t="str">
        <f>IF(AND(Programme_Grunddaten!$A572="Geprüft",Programme_Grunddaten!E572&lt;&gt;""),Programme_Grunddaten!E572,"")</f>
        <v/>
      </c>
      <c r="E567" t="str">
        <f>IF(AND(Programme_Grunddaten!$A572="Geprüft",Programme_Grunddaten!G572&lt;&gt;""),Programme_Grunddaten!G572,"")</f>
        <v/>
      </c>
      <c r="F567" t="str">
        <f>IF(AND(Programme_Grunddaten!$A572="Geprüft",Programme_Grunddaten!F572&lt;&gt;""),Programme_Grunddaten!F572,"")</f>
        <v/>
      </c>
      <c r="G567" s="3" t="str">
        <f>IF(AND(Programme_Grunddaten!$A572="Geprüft",Programme_Grunddaten!S572&lt;&gt;""),Programme_Grunddaten!S572,"")</f>
        <v/>
      </c>
      <c r="H567" t="str">
        <f>IF(AND(Programme_Grunddaten!$A572="Geprüft",Programme_Grunddaten!AW572&lt;&gt;""),Programme_Grunddaten!AW572,"")</f>
        <v/>
      </c>
      <c r="I567" t="str">
        <f>IF(AND(Programme_Grunddaten!$A572="Geprüft",Programme_Grunddaten!AX572&lt;&gt;""),Programme_Grunddaten!AX572,"")</f>
        <v/>
      </c>
    </row>
    <row r="568" spans="1:9" x14ac:dyDescent="0.3">
      <c r="A568" s="1" t="str">
        <f>IF(AND(Programme_Grunddaten!$A573="Geprüft",Programme_Grunddaten!B573&lt;&gt;""),Programme_Grunddaten!B573,"")</f>
        <v/>
      </c>
      <c r="B568" s="1" t="str">
        <f>IF(AND(Programme_Grunddaten!$A573="Geprüft",Programme_Grunddaten!C573&lt;&gt;""),Programme_Grunddaten!C573,"")</f>
        <v/>
      </c>
      <c r="C568" s="1" t="str">
        <f>IF(AND(Programme_Grunddaten!$A573="Geprüft",Programme_Grunddaten!D573&lt;&gt;""),Programme_Grunddaten!D573,"")</f>
        <v/>
      </c>
      <c r="D568" s="2" t="str">
        <f>IF(AND(Programme_Grunddaten!$A573="Geprüft",Programme_Grunddaten!E573&lt;&gt;""),Programme_Grunddaten!E573,"")</f>
        <v/>
      </c>
      <c r="E568" t="str">
        <f>IF(AND(Programme_Grunddaten!$A573="Geprüft",Programme_Grunddaten!G573&lt;&gt;""),Programme_Grunddaten!G573,"")</f>
        <v/>
      </c>
      <c r="F568" t="str">
        <f>IF(AND(Programme_Grunddaten!$A573="Geprüft",Programme_Grunddaten!F573&lt;&gt;""),Programme_Grunddaten!F573,"")</f>
        <v/>
      </c>
      <c r="G568" s="3" t="str">
        <f>IF(AND(Programme_Grunddaten!$A573="Geprüft",Programme_Grunddaten!S573&lt;&gt;""),Programme_Grunddaten!S573,"")</f>
        <v/>
      </c>
      <c r="H568" t="str">
        <f>IF(AND(Programme_Grunddaten!$A573="Geprüft",Programme_Grunddaten!AW573&lt;&gt;""),Programme_Grunddaten!AW573,"")</f>
        <v/>
      </c>
      <c r="I568" t="str">
        <f>IF(AND(Programme_Grunddaten!$A573="Geprüft",Programme_Grunddaten!AX573&lt;&gt;""),Programme_Grunddaten!AX573,"")</f>
        <v/>
      </c>
    </row>
    <row r="569" spans="1:9" x14ac:dyDescent="0.3">
      <c r="A569" s="1" t="str">
        <f>IF(AND(Programme_Grunddaten!$A574="Geprüft",Programme_Grunddaten!B574&lt;&gt;""),Programme_Grunddaten!B574,"")</f>
        <v/>
      </c>
      <c r="B569" s="1" t="str">
        <f>IF(AND(Programme_Grunddaten!$A574="Geprüft",Programme_Grunddaten!C574&lt;&gt;""),Programme_Grunddaten!C574,"")</f>
        <v/>
      </c>
      <c r="C569" s="1" t="str">
        <f>IF(AND(Programme_Grunddaten!$A574="Geprüft",Programme_Grunddaten!D574&lt;&gt;""),Programme_Grunddaten!D574,"")</f>
        <v/>
      </c>
      <c r="D569" s="2" t="str">
        <f>IF(AND(Programme_Grunddaten!$A574="Geprüft",Programme_Grunddaten!E574&lt;&gt;""),Programme_Grunddaten!E574,"")</f>
        <v/>
      </c>
      <c r="E569" t="str">
        <f>IF(AND(Programme_Grunddaten!$A574="Geprüft",Programme_Grunddaten!G574&lt;&gt;""),Programme_Grunddaten!G574,"")</f>
        <v/>
      </c>
      <c r="F569" t="str">
        <f>IF(AND(Programme_Grunddaten!$A574="Geprüft",Programme_Grunddaten!F574&lt;&gt;""),Programme_Grunddaten!F574,"")</f>
        <v/>
      </c>
      <c r="G569" s="3" t="str">
        <f>IF(AND(Programme_Grunddaten!$A574="Geprüft",Programme_Grunddaten!S574&lt;&gt;""),Programme_Grunddaten!S574,"")</f>
        <v/>
      </c>
      <c r="H569" t="str">
        <f>IF(AND(Programme_Grunddaten!$A574="Geprüft",Programme_Grunddaten!AW574&lt;&gt;""),Programme_Grunddaten!AW574,"")</f>
        <v/>
      </c>
      <c r="I569" t="str">
        <f>IF(AND(Programme_Grunddaten!$A574="Geprüft",Programme_Grunddaten!AX574&lt;&gt;""),Programme_Grunddaten!AX574,"")</f>
        <v/>
      </c>
    </row>
    <row r="570" spans="1:9" x14ac:dyDescent="0.3">
      <c r="A570" s="1" t="str">
        <f>IF(AND(Programme_Grunddaten!$A575="Geprüft",Programme_Grunddaten!B575&lt;&gt;""),Programme_Grunddaten!B575,"")</f>
        <v/>
      </c>
      <c r="B570" s="1" t="str">
        <f>IF(AND(Programme_Grunddaten!$A575="Geprüft",Programme_Grunddaten!C575&lt;&gt;""),Programme_Grunddaten!C575,"")</f>
        <v/>
      </c>
      <c r="C570" s="1" t="str">
        <f>IF(AND(Programme_Grunddaten!$A575="Geprüft",Programme_Grunddaten!D575&lt;&gt;""),Programme_Grunddaten!D575,"")</f>
        <v/>
      </c>
      <c r="D570" s="2" t="str">
        <f>IF(AND(Programme_Grunddaten!$A575="Geprüft",Programme_Grunddaten!E575&lt;&gt;""),Programme_Grunddaten!E575,"")</f>
        <v/>
      </c>
      <c r="E570" t="str">
        <f>IF(AND(Programme_Grunddaten!$A575="Geprüft",Programme_Grunddaten!G575&lt;&gt;""),Programme_Grunddaten!G575,"")</f>
        <v/>
      </c>
      <c r="F570" t="str">
        <f>IF(AND(Programme_Grunddaten!$A575="Geprüft",Programme_Grunddaten!F575&lt;&gt;""),Programme_Grunddaten!F575,"")</f>
        <v/>
      </c>
      <c r="G570" s="3" t="str">
        <f>IF(AND(Programme_Grunddaten!$A575="Geprüft",Programme_Grunddaten!S575&lt;&gt;""),Programme_Grunddaten!S575,"")</f>
        <v/>
      </c>
      <c r="H570" t="str">
        <f>IF(AND(Programme_Grunddaten!$A575="Geprüft",Programme_Grunddaten!AW575&lt;&gt;""),Programme_Grunddaten!AW575,"")</f>
        <v/>
      </c>
      <c r="I570" t="str">
        <f>IF(AND(Programme_Grunddaten!$A575="Geprüft",Programme_Grunddaten!AX575&lt;&gt;""),Programme_Grunddaten!AX575,"")</f>
        <v/>
      </c>
    </row>
    <row r="571" spans="1:9" x14ac:dyDescent="0.3">
      <c r="A571" s="1" t="str">
        <f>IF(AND(Programme_Grunddaten!$A576="Geprüft",Programme_Grunddaten!B576&lt;&gt;""),Programme_Grunddaten!B576,"")</f>
        <v/>
      </c>
      <c r="B571" s="1" t="str">
        <f>IF(AND(Programme_Grunddaten!$A576="Geprüft",Programme_Grunddaten!C576&lt;&gt;""),Programme_Grunddaten!C576,"")</f>
        <v/>
      </c>
      <c r="C571" s="1" t="str">
        <f>IF(AND(Programme_Grunddaten!$A576="Geprüft",Programme_Grunddaten!D576&lt;&gt;""),Programme_Grunddaten!D576,"")</f>
        <v/>
      </c>
      <c r="D571" s="2" t="str">
        <f>IF(AND(Programme_Grunddaten!$A576="Geprüft",Programme_Grunddaten!E576&lt;&gt;""),Programme_Grunddaten!E576,"")</f>
        <v/>
      </c>
      <c r="E571" t="str">
        <f>IF(AND(Programme_Grunddaten!$A576="Geprüft",Programme_Grunddaten!G576&lt;&gt;""),Programme_Grunddaten!G576,"")</f>
        <v/>
      </c>
      <c r="F571" t="str">
        <f>IF(AND(Programme_Grunddaten!$A576="Geprüft",Programme_Grunddaten!F576&lt;&gt;""),Programme_Grunddaten!F576,"")</f>
        <v/>
      </c>
      <c r="G571" s="3" t="str">
        <f>IF(AND(Programme_Grunddaten!$A576="Geprüft",Programme_Grunddaten!S576&lt;&gt;""),Programme_Grunddaten!S576,"")</f>
        <v/>
      </c>
      <c r="H571" t="str">
        <f>IF(AND(Programme_Grunddaten!$A576="Geprüft",Programme_Grunddaten!AW576&lt;&gt;""),Programme_Grunddaten!AW576,"")</f>
        <v/>
      </c>
      <c r="I571" t="str">
        <f>IF(AND(Programme_Grunddaten!$A576="Geprüft",Programme_Grunddaten!AX576&lt;&gt;""),Programme_Grunddaten!AX576,"")</f>
        <v/>
      </c>
    </row>
    <row r="572" spans="1:9" x14ac:dyDescent="0.3">
      <c r="A572" s="1" t="str">
        <f>IF(AND(Programme_Grunddaten!$A577="Geprüft",Programme_Grunddaten!B577&lt;&gt;""),Programme_Grunddaten!B577,"")</f>
        <v/>
      </c>
      <c r="B572" s="1" t="str">
        <f>IF(AND(Programme_Grunddaten!$A577="Geprüft",Programme_Grunddaten!C577&lt;&gt;""),Programme_Grunddaten!C577,"")</f>
        <v/>
      </c>
      <c r="C572" s="1" t="str">
        <f>IF(AND(Programme_Grunddaten!$A577="Geprüft",Programme_Grunddaten!D577&lt;&gt;""),Programme_Grunddaten!D577,"")</f>
        <v/>
      </c>
      <c r="D572" s="2" t="str">
        <f>IF(AND(Programme_Grunddaten!$A577="Geprüft",Programme_Grunddaten!E577&lt;&gt;""),Programme_Grunddaten!E577,"")</f>
        <v/>
      </c>
      <c r="E572" t="str">
        <f>IF(AND(Programme_Grunddaten!$A577="Geprüft",Programme_Grunddaten!G577&lt;&gt;""),Programme_Grunddaten!G577,"")</f>
        <v/>
      </c>
      <c r="F572" t="str">
        <f>IF(AND(Programme_Grunddaten!$A577="Geprüft",Programme_Grunddaten!F577&lt;&gt;""),Programme_Grunddaten!F577,"")</f>
        <v/>
      </c>
      <c r="G572" s="3" t="str">
        <f>IF(AND(Programme_Grunddaten!$A577="Geprüft",Programme_Grunddaten!S577&lt;&gt;""),Programme_Grunddaten!S577,"")</f>
        <v/>
      </c>
      <c r="H572" t="str">
        <f>IF(AND(Programme_Grunddaten!$A577="Geprüft",Programme_Grunddaten!AW577&lt;&gt;""),Programme_Grunddaten!AW577,"")</f>
        <v/>
      </c>
      <c r="I572" t="str">
        <f>IF(AND(Programme_Grunddaten!$A577="Geprüft",Programme_Grunddaten!AX577&lt;&gt;""),Programme_Grunddaten!AX577,"")</f>
        <v/>
      </c>
    </row>
    <row r="573" spans="1:9" x14ac:dyDescent="0.3">
      <c r="A573" s="1" t="str">
        <f>IF(AND(Programme_Grunddaten!$A578="Geprüft",Programme_Grunddaten!B578&lt;&gt;""),Programme_Grunddaten!B578,"")</f>
        <v/>
      </c>
      <c r="B573" s="1" t="str">
        <f>IF(AND(Programme_Grunddaten!$A578="Geprüft",Programme_Grunddaten!C578&lt;&gt;""),Programme_Grunddaten!C578,"")</f>
        <v/>
      </c>
      <c r="C573" s="1" t="str">
        <f>IF(AND(Programme_Grunddaten!$A578="Geprüft",Programme_Grunddaten!D578&lt;&gt;""),Programme_Grunddaten!D578,"")</f>
        <v/>
      </c>
      <c r="D573" s="2" t="str">
        <f>IF(AND(Programme_Grunddaten!$A578="Geprüft",Programme_Grunddaten!E578&lt;&gt;""),Programme_Grunddaten!E578,"")</f>
        <v/>
      </c>
      <c r="E573" t="str">
        <f>IF(AND(Programme_Grunddaten!$A578="Geprüft",Programme_Grunddaten!G578&lt;&gt;""),Programme_Grunddaten!G578,"")</f>
        <v/>
      </c>
      <c r="F573" t="str">
        <f>IF(AND(Programme_Grunddaten!$A578="Geprüft",Programme_Grunddaten!F578&lt;&gt;""),Programme_Grunddaten!F578,"")</f>
        <v/>
      </c>
      <c r="G573" s="3" t="str">
        <f>IF(AND(Programme_Grunddaten!$A578="Geprüft",Programme_Grunddaten!S578&lt;&gt;""),Programme_Grunddaten!S578,"")</f>
        <v/>
      </c>
      <c r="H573" t="str">
        <f>IF(AND(Programme_Grunddaten!$A578="Geprüft",Programme_Grunddaten!AW578&lt;&gt;""),Programme_Grunddaten!AW578,"")</f>
        <v/>
      </c>
      <c r="I573" t="str">
        <f>IF(AND(Programme_Grunddaten!$A578="Geprüft",Programme_Grunddaten!AX578&lt;&gt;""),Programme_Grunddaten!AX578,"")</f>
        <v/>
      </c>
    </row>
    <row r="574" spans="1:9" x14ac:dyDescent="0.3">
      <c r="A574" s="1" t="str">
        <f>IF(AND(Programme_Grunddaten!$A579="Geprüft",Programme_Grunddaten!B579&lt;&gt;""),Programme_Grunddaten!B579,"")</f>
        <v/>
      </c>
      <c r="B574" s="1" t="str">
        <f>IF(AND(Programme_Grunddaten!$A579="Geprüft",Programme_Grunddaten!C579&lt;&gt;""),Programme_Grunddaten!C579,"")</f>
        <v/>
      </c>
      <c r="C574" s="1" t="str">
        <f>IF(AND(Programme_Grunddaten!$A579="Geprüft",Programme_Grunddaten!D579&lt;&gt;""),Programme_Grunddaten!D579,"")</f>
        <v/>
      </c>
      <c r="D574" s="2" t="str">
        <f>IF(AND(Programme_Grunddaten!$A579="Geprüft",Programme_Grunddaten!E579&lt;&gt;""),Programme_Grunddaten!E579,"")</f>
        <v/>
      </c>
      <c r="E574" t="str">
        <f>IF(AND(Programme_Grunddaten!$A579="Geprüft",Programme_Grunddaten!G579&lt;&gt;""),Programme_Grunddaten!G579,"")</f>
        <v/>
      </c>
      <c r="F574" t="str">
        <f>IF(AND(Programme_Grunddaten!$A579="Geprüft",Programme_Grunddaten!F579&lt;&gt;""),Programme_Grunddaten!F579,"")</f>
        <v/>
      </c>
      <c r="G574" s="3" t="str">
        <f>IF(AND(Programme_Grunddaten!$A579="Geprüft",Programme_Grunddaten!S579&lt;&gt;""),Programme_Grunddaten!S579,"")</f>
        <v/>
      </c>
      <c r="H574" t="str">
        <f>IF(AND(Programme_Grunddaten!$A579="Geprüft",Programme_Grunddaten!AW579&lt;&gt;""),Programme_Grunddaten!AW579,"")</f>
        <v/>
      </c>
      <c r="I574" t="str">
        <f>IF(AND(Programme_Grunddaten!$A579="Geprüft",Programme_Grunddaten!AX579&lt;&gt;""),Programme_Grunddaten!AX579,"")</f>
        <v/>
      </c>
    </row>
    <row r="575" spans="1:9" x14ac:dyDescent="0.3">
      <c r="A575" s="1" t="str">
        <f>IF(AND(Programme_Grunddaten!$A580="Geprüft",Programme_Grunddaten!B580&lt;&gt;""),Programme_Grunddaten!B580,"")</f>
        <v/>
      </c>
      <c r="B575" s="1" t="str">
        <f>IF(AND(Programme_Grunddaten!$A580="Geprüft",Programme_Grunddaten!C580&lt;&gt;""),Programme_Grunddaten!C580,"")</f>
        <v/>
      </c>
      <c r="C575" s="1" t="str">
        <f>IF(AND(Programme_Grunddaten!$A580="Geprüft",Programme_Grunddaten!D580&lt;&gt;""),Programme_Grunddaten!D580,"")</f>
        <v/>
      </c>
      <c r="D575" s="2" t="str">
        <f>IF(AND(Programme_Grunddaten!$A580="Geprüft",Programme_Grunddaten!E580&lt;&gt;""),Programme_Grunddaten!E580,"")</f>
        <v/>
      </c>
      <c r="E575" t="str">
        <f>IF(AND(Programme_Grunddaten!$A580="Geprüft",Programme_Grunddaten!G580&lt;&gt;""),Programme_Grunddaten!G580,"")</f>
        <v/>
      </c>
      <c r="F575" t="str">
        <f>IF(AND(Programme_Grunddaten!$A580="Geprüft",Programme_Grunddaten!F580&lt;&gt;""),Programme_Grunddaten!F580,"")</f>
        <v/>
      </c>
      <c r="G575" s="3" t="str">
        <f>IF(AND(Programme_Grunddaten!$A580="Geprüft",Programme_Grunddaten!S580&lt;&gt;""),Programme_Grunddaten!S580,"")</f>
        <v/>
      </c>
      <c r="H575" t="str">
        <f>IF(AND(Programme_Grunddaten!$A580="Geprüft",Programme_Grunddaten!AW580&lt;&gt;""),Programme_Grunddaten!AW580,"")</f>
        <v/>
      </c>
      <c r="I575" t="str">
        <f>IF(AND(Programme_Grunddaten!$A580="Geprüft",Programme_Grunddaten!AX580&lt;&gt;""),Programme_Grunddaten!AX580,"")</f>
        <v/>
      </c>
    </row>
    <row r="576" spans="1:9" x14ac:dyDescent="0.3">
      <c r="A576" s="1" t="str">
        <f>IF(AND(Programme_Grunddaten!$A581="Geprüft",Programme_Grunddaten!B581&lt;&gt;""),Programme_Grunddaten!B581,"")</f>
        <v/>
      </c>
      <c r="B576" s="1" t="str">
        <f>IF(AND(Programme_Grunddaten!$A581="Geprüft",Programme_Grunddaten!C581&lt;&gt;""),Programme_Grunddaten!C581,"")</f>
        <v/>
      </c>
      <c r="C576" s="1" t="str">
        <f>IF(AND(Programme_Grunddaten!$A581="Geprüft",Programme_Grunddaten!D581&lt;&gt;""),Programme_Grunddaten!D581,"")</f>
        <v/>
      </c>
      <c r="D576" s="2" t="str">
        <f>IF(AND(Programme_Grunddaten!$A581="Geprüft",Programme_Grunddaten!E581&lt;&gt;""),Programme_Grunddaten!E581,"")</f>
        <v/>
      </c>
      <c r="E576" t="str">
        <f>IF(AND(Programme_Grunddaten!$A581="Geprüft",Programme_Grunddaten!G581&lt;&gt;""),Programme_Grunddaten!G581,"")</f>
        <v/>
      </c>
      <c r="F576" t="str">
        <f>IF(AND(Programme_Grunddaten!$A581="Geprüft",Programme_Grunddaten!F581&lt;&gt;""),Programme_Grunddaten!F581,"")</f>
        <v/>
      </c>
      <c r="G576" s="3" t="str">
        <f>IF(AND(Programme_Grunddaten!$A581="Geprüft",Programme_Grunddaten!S581&lt;&gt;""),Programme_Grunddaten!S581,"")</f>
        <v/>
      </c>
      <c r="H576" t="str">
        <f>IF(AND(Programme_Grunddaten!$A581="Geprüft",Programme_Grunddaten!AW581&lt;&gt;""),Programme_Grunddaten!AW581,"")</f>
        <v/>
      </c>
      <c r="I576" t="str">
        <f>IF(AND(Programme_Grunddaten!$A581="Geprüft",Programme_Grunddaten!AX581&lt;&gt;""),Programme_Grunddaten!AX581,"")</f>
        <v/>
      </c>
    </row>
    <row r="577" spans="1:9" x14ac:dyDescent="0.3">
      <c r="A577" s="1" t="str">
        <f>IF(AND(Programme_Grunddaten!$A582="Geprüft",Programme_Grunddaten!B582&lt;&gt;""),Programme_Grunddaten!B582,"")</f>
        <v/>
      </c>
      <c r="B577" s="1" t="str">
        <f>IF(AND(Programme_Grunddaten!$A582="Geprüft",Programme_Grunddaten!C582&lt;&gt;""),Programme_Grunddaten!C582,"")</f>
        <v/>
      </c>
      <c r="C577" s="1" t="str">
        <f>IF(AND(Programme_Grunddaten!$A582="Geprüft",Programme_Grunddaten!D582&lt;&gt;""),Programme_Grunddaten!D582,"")</f>
        <v/>
      </c>
      <c r="D577" s="2" t="str">
        <f>IF(AND(Programme_Grunddaten!$A582="Geprüft",Programme_Grunddaten!E582&lt;&gt;""),Programme_Grunddaten!E582,"")</f>
        <v/>
      </c>
      <c r="E577" t="str">
        <f>IF(AND(Programme_Grunddaten!$A582="Geprüft",Programme_Grunddaten!G582&lt;&gt;""),Programme_Grunddaten!G582,"")</f>
        <v/>
      </c>
      <c r="F577" t="str">
        <f>IF(AND(Programme_Grunddaten!$A582="Geprüft",Programme_Grunddaten!F582&lt;&gt;""),Programme_Grunddaten!F582,"")</f>
        <v/>
      </c>
      <c r="G577" s="3" t="str">
        <f>IF(AND(Programme_Grunddaten!$A582="Geprüft",Programme_Grunddaten!S582&lt;&gt;""),Programme_Grunddaten!S582,"")</f>
        <v/>
      </c>
      <c r="H577" t="str">
        <f>IF(AND(Programme_Grunddaten!$A582="Geprüft",Programme_Grunddaten!AW582&lt;&gt;""),Programme_Grunddaten!AW582,"")</f>
        <v/>
      </c>
      <c r="I577" t="str">
        <f>IF(AND(Programme_Grunddaten!$A582="Geprüft",Programme_Grunddaten!AX582&lt;&gt;""),Programme_Grunddaten!AX582,"")</f>
        <v/>
      </c>
    </row>
    <row r="578" spans="1:9" x14ac:dyDescent="0.3">
      <c r="A578" s="1" t="str">
        <f>IF(AND(Programme_Grunddaten!$A583="Geprüft",Programme_Grunddaten!B583&lt;&gt;""),Programme_Grunddaten!B583,"")</f>
        <v/>
      </c>
      <c r="B578" s="1" t="str">
        <f>IF(AND(Programme_Grunddaten!$A583="Geprüft",Programme_Grunddaten!C583&lt;&gt;""),Programme_Grunddaten!C583,"")</f>
        <v/>
      </c>
      <c r="C578" s="1" t="str">
        <f>IF(AND(Programme_Grunddaten!$A583="Geprüft",Programme_Grunddaten!D583&lt;&gt;""),Programme_Grunddaten!D583,"")</f>
        <v/>
      </c>
      <c r="D578" s="2" t="str">
        <f>IF(AND(Programme_Grunddaten!$A583="Geprüft",Programme_Grunddaten!E583&lt;&gt;""),Programme_Grunddaten!E583,"")</f>
        <v/>
      </c>
      <c r="E578" t="str">
        <f>IF(AND(Programme_Grunddaten!$A583="Geprüft",Programme_Grunddaten!G583&lt;&gt;""),Programme_Grunddaten!G583,"")</f>
        <v/>
      </c>
      <c r="F578" t="str">
        <f>IF(AND(Programme_Grunddaten!$A583="Geprüft",Programme_Grunddaten!F583&lt;&gt;""),Programme_Grunddaten!F583,"")</f>
        <v/>
      </c>
      <c r="G578" s="3" t="str">
        <f>IF(AND(Programme_Grunddaten!$A583="Geprüft",Programme_Grunddaten!S583&lt;&gt;""),Programme_Grunddaten!S583,"")</f>
        <v/>
      </c>
      <c r="H578" t="str">
        <f>IF(AND(Programme_Grunddaten!$A583="Geprüft",Programme_Grunddaten!AW583&lt;&gt;""),Programme_Grunddaten!AW583,"")</f>
        <v/>
      </c>
      <c r="I578" t="str">
        <f>IF(AND(Programme_Grunddaten!$A583="Geprüft",Programme_Grunddaten!AX583&lt;&gt;""),Programme_Grunddaten!AX583,"")</f>
        <v/>
      </c>
    </row>
    <row r="579" spans="1:9" x14ac:dyDescent="0.3">
      <c r="A579" s="1" t="str">
        <f>IF(AND(Programme_Grunddaten!$A584="Geprüft",Programme_Grunddaten!B584&lt;&gt;""),Programme_Grunddaten!B584,"")</f>
        <v/>
      </c>
      <c r="B579" s="1" t="str">
        <f>IF(AND(Programme_Grunddaten!$A584="Geprüft",Programme_Grunddaten!C584&lt;&gt;""),Programme_Grunddaten!C584,"")</f>
        <v/>
      </c>
      <c r="C579" s="1" t="str">
        <f>IF(AND(Programme_Grunddaten!$A584="Geprüft",Programme_Grunddaten!D584&lt;&gt;""),Programme_Grunddaten!D584,"")</f>
        <v/>
      </c>
      <c r="D579" s="2" t="str">
        <f>IF(AND(Programme_Grunddaten!$A584="Geprüft",Programme_Grunddaten!E584&lt;&gt;""),Programme_Grunddaten!E584,"")</f>
        <v/>
      </c>
      <c r="E579" t="str">
        <f>IF(AND(Programme_Grunddaten!$A584="Geprüft",Programme_Grunddaten!G584&lt;&gt;""),Programme_Grunddaten!G584,"")</f>
        <v/>
      </c>
      <c r="F579" t="str">
        <f>IF(AND(Programme_Grunddaten!$A584="Geprüft",Programme_Grunddaten!F584&lt;&gt;""),Programme_Grunddaten!F584,"")</f>
        <v/>
      </c>
      <c r="G579" s="3" t="str">
        <f>IF(AND(Programme_Grunddaten!$A584="Geprüft",Programme_Grunddaten!S584&lt;&gt;""),Programme_Grunddaten!S584,"")</f>
        <v/>
      </c>
      <c r="H579" t="str">
        <f>IF(AND(Programme_Grunddaten!$A584="Geprüft",Programme_Grunddaten!AW584&lt;&gt;""),Programme_Grunddaten!AW584,"")</f>
        <v/>
      </c>
      <c r="I579" t="str">
        <f>IF(AND(Programme_Grunddaten!$A584="Geprüft",Programme_Grunddaten!AX584&lt;&gt;""),Programme_Grunddaten!AX584,"")</f>
        <v/>
      </c>
    </row>
    <row r="580" spans="1:9" x14ac:dyDescent="0.3">
      <c r="A580" s="1" t="str">
        <f>IF(AND(Programme_Grunddaten!$A585="Geprüft",Programme_Grunddaten!B585&lt;&gt;""),Programme_Grunddaten!B585,"")</f>
        <v/>
      </c>
      <c r="B580" s="1" t="str">
        <f>IF(AND(Programme_Grunddaten!$A585="Geprüft",Programme_Grunddaten!C585&lt;&gt;""),Programme_Grunddaten!C585,"")</f>
        <v/>
      </c>
      <c r="C580" s="1" t="str">
        <f>IF(AND(Programme_Grunddaten!$A585="Geprüft",Programme_Grunddaten!D585&lt;&gt;""),Programme_Grunddaten!D585,"")</f>
        <v/>
      </c>
      <c r="D580" s="2" t="str">
        <f>IF(AND(Programme_Grunddaten!$A585="Geprüft",Programme_Grunddaten!E585&lt;&gt;""),Programme_Grunddaten!E585,"")</f>
        <v/>
      </c>
      <c r="E580" t="str">
        <f>IF(AND(Programme_Grunddaten!$A585="Geprüft",Programme_Grunddaten!G585&lt;&gt;""),Programme_Grunddaten!G585,"")</f>
        <v/>
      </c>
      <c r="F580" t="str">
        <f>IF(AND(Programme_Grunddaten!$A585="Geprüft",Programme_Grunddaten!F585&lt;&gt;""),Programme_Grunddaten!F585,"")</f>
        <v/>
      </c>
      <c r="G580" s="3" t="str">
        <f>IF(AND(Programme_Grunddaten!$A585="Geprüft",Programme_Grunddaten!S585&lt;&gt;""),Programme_Grunddaten!S585,"")</f>
        <v/>
      </c>
      <c r="H580" t="str">
        <f>IF(AND(Programme_Grunddaten!$A585="Geprüft",Programme_Grunddaten!AW585&lt;&gt;""),Programme_Grunddaten!AW585,"")</f>
        <v/>
      </c>
      <c r="I580" t="str">
        <f>IF(AND(Programme_Grunddaten!$A585="Geprüft",Programme_Grunddaten!AX585&lt;&gt;""),Programme_Grunddaten!AX585,"")</f>
        <v/>
      </c>
    </row>
    <row r="581" spans="1:9" x14ac:dyDescent="0.3">
      <c r="A581" s="1" t="str">
        <f>IF(AND(Programme_Grunddaten!$A586="Geprüft",Programme_Grunddaten!B586&lt;&gt;""),Programme_Grunddaten!B586,"")</f>
        <v/>
      </c>
      <c r="B581" s="1" t="str">
        <f>IF(AND(Programme_Grunddaten!$A586="Geprüft",Programme_Grunddaten!C586&lt;&gt;""),Programme_Grunddaten!C586,"")</f>
        <v/>
      </c>
      <c r="C581" s="1" t="str">
        <f>IF(AND(Programme_Grunddaten!$A586="Geprüft",Programme_Grunddaten!D586&lt;&gt;""),Programme_Grunddaten!D586,"")</f>
        <v/>
      </c>
      <c r="D581" s="2" t="str">
        <f>IF(AND(Programme_Grunddaten!$A586="Geprüft",Programme_Grunddaten!E586&lt;&gt;""),Programme_Grunddaten!E586,"")</f>
        <v/>
      </c>
      <c r="E581" t="str">
        <f>IF(AND(Programme_Grunddaten!$A586="Geprüft",Programme_Grunddaten!G586&lt;&gt;""),Programme_Grunddaten!G586,"")</f>
        <v/>
      </c>
      <c r="F581" t="str">
        <f>IF(AND(Programme_Grunddaten!$A586="Geprüft",Programme_Grunddaten!F586&lt;&gt;""),Programme_Grunddaten!F586,"")</f>
        <v/>
      </c>
      <c r="G581" s="3" t="str">
        <f>IF(AND(Programme_Grunddaten!$A586="Geprüft",Programme_Grunddaten!S586&lt;&gt;""),Programme_Grunddaten!S586,"")</f>
        <v/>
      </c>
      <c r="H581" t="str">
        <f>IF(AND(Programme_Grunddaten!$A586="Geprüft",Programme_Grunddaten!AW586&lt;&gt;""),Programme_Grunddaten!AW586,"")</f>
        <v/>
      </c>
      <c r="I581" t="str">
        <f>IF(AND(Programme_Grunddaten!$A586="Geprüft",Programme_Grunddaten!AX586&lt;&gt;""),Programme_Grunddaten!AX586,"")</f>
        <v/>
      </c>
    </row>
    <row r="582" spans="1:9" x14ac:dyDescent="0.3">
      <c r="A582" s="1" t="str">
        <f>IF(AND(Programme_Grunddaten!$A587="Geprüft",Programme_Grunddaten!B587&lt;&gt;""),Programme_Grunddaten!B587,"")</f>
        <v/>
      </c>
      <c r="B582" s="1" t="str">
        <f>IF(AND(Programme_Grunddaten!$A587="Geprüft",Programme_Grunddaten!C587&lt;&gt;""),Programme_Grunddaten!C587,"")</f>
        <v/>
      </c>
      <c r="C582" s="1" t="str">
        <f>IF(AND(Programme_Grunddaten!$A587="Geprüft",Programme_Grunddaten!D587&lt;&gt;""),Programme_Grunddaten!D587,"")</f>
        <v/>
      </c>
      <c r="D582" s="2" t="str">
        <f>IF(AND(Programme_Grunddaten!$A587="Geprüft",Programme_Grunddaten!E587&lt;&gt;""),Programme_Grunddaten!E587,"")</f>
        <v/>
      </c>
      <c r="E582" t="str">
        <f>IF(AND(Programme_Grunddaten!$A587="Geprüft",Programme_Grunddaten!G587&lt;&gt;""),Programme_Grunddaten!G587,"")</f>
        <v/>
      </c>
      <c r="F582" t="str">
        <f>IF(AND(Programme_Grunddaten!$A587="Geprüft",Programme_Grunddaten!F587&lt;&gt;""),Programme_Grunddaten!F587,"")</f>
        <v/>
      </c>
      <c r="G582" s="3" t="str">
        <f>IF(AND(Programme_Grunddaten!$A587="Geprüft",Programme_Grunddaten!S587&lt;&gt;""),Programme_Grunddaten!S587,"")</f>
        <v/>
      </c>
      <c r="H582" t="str">
        <f>IF(AND(Programme_Grunddaten!$A587="Geprüft",Programme_Grunddaten!AW587&lt;&gt;""),Programme_Grunddaten!AW587,"")</f>
        <v/>
      </c>
      <c r="I582" t="str">
        <f>IF(AND(Programme_Grunddaten!$A587="Geprüft",Programme_Grunddaten!AX587&lt;&gt;""),Programme_Grunddaten!AX587,"")</f>
        <v/>
      </c>
    </row>
    <row r="583" spans="1:9" x14ac:dyDescent="0.3">
      <c r="A583" s="1" t="str">
        <f>IF(AND(Programme_Grunddaten!$A588="Geprüft",Programme_Grunddaten!B588&lt;&gt;""),Programme_Grunddaten!B588,"")</f>
        <v/>
      </c>
      <c r="B583" s="1" t="str">
        <f>IF(AND(Programme_Grunddaten!$A588="Geprüft",Programme_Grunddaten!C588&lt;&gt;""),Programme_Grunddaten!C588,"")</f>
        <v/>
      </c>
      <c r="C583" s="1" t="str">
        <f>IF(AND(Programme_Grunddaten!$A588="Geprüft",Programme_Grunddaten!D588&lt;&gt;""),Programme_Grunddaten!D588,"")</f>
        <v/>
      </c>
      <c r="D583" s="2" t="str">
        <f>IF(AND(Programme_Grunddaten!$A588="Geprüft",Programme_Grunddaten!E588&lt;&gt;""),Programme_Grunddaten!E588,"")</f>
        <v/>
      </c>
      <c r="E583" t="str">
        <f>IF(AND(Programme_Grunddaten!$A588="Geprüft",Programme_Grunddaten!G588&lt;&gt;""),Programme_Grunddaten!G588,"")</f>
        <v/>
      </c>
      <c r="F583" t="str">
        <f>IF(AND(Programme_Grunddaten!$A588="Geprüft",Programme_Grunddaten!F588&lt;&gt;""),Programme_Grunddaten!F588,"")</f>
        <v/>
      </c>
      <c r="G583" s="3" t="str">
        <f>IF(AND(Programme_Grunddaten!$A588="Geprüft",Programme_Grunddaten!S588&lt;&gt;""),Programme_Grunddaten!S588,"")</f>
        <v/>
      </c>
      <c r="H583" t="str">
        <f>IF(AND(Programme_Grunddaten!$A588="Geprüft",Programme_Grunddaten!AW588&lt;&gt;""),Programme_Grunddaten!AW588,"")</f>
        <v/>
      </c>
      <c r="I583" t="str">
        <f>IF(AND(Programme_Grunddaten!$A588="Geprüft",Programme_Grunddaten!AX588&lt;&gt;""),Programme_Grunddaten!AX588,"")</f>
        <v/>
      </c>
    </row>
    <row r="584" spans="1:9" x14ac:dyDescent="0.3">
      <c r="A584" s="1" t="str">
        <f>IF(AND(Programme_Grunddaten!$A589="Geprüft",Programme_Grunddaten!B589&lt;&gt;""),Programme_Grunddaten!B589,"")</f>
        <v/>
      </c>
      <c r="B584" s="1" t="str">
        <f>IF(AND(Programme_Grunddaten!$A589="Geprüft",Programme_Grunddaten!C589&lt;&gt;""),Programme_Grunddaten!C589,"")</f>
        <v/>
      </c>
      <c r="C584" s="1" t="str">
        <f>IF(AND(Programme_Grunddaten!$A589="Geprüft",Programme_Grunddaten!D589&lt;&gt;""),Programme_Grunddaten!D589,"")</f>
        <v/>
      </c>
      <c r="D584" s="2" t="str">
        <f>IF(AND(Programme_Grunddaten!$A589="Geprüft",Programme_Grunddaten!E589&lt;&gt;""),Programme_Grunddaten!E589,"")</f>
        <v/>
      </c>
      <c r="E584" t="str">
        <f>IF(AND(Programme_Grunddaten!$A589="Geprüft",Programme_Grunddaten!G589&lt;&gt;""),Programme_Grunddaten!G589,"")</f>
        <v/>
      </c>
      <c r="F584" t="str">
        <f>IF(AND(Programme_Grunddaten!$A589="Geprüft",Programme_Grunddaten!F589&lt;&gt;""),Programme_Grunddaten!F589,"")</f>
        <v/>
      </c>
      <c r="G584" s="3" t="str">
        <f>IF(AND(Programme_Grunddaten!$A589="Geprüft",Programme_Grunddaten!S589&lt;&gt;""),Programme_Grunddaten!S589,"")</f>
        <v/>
      </c>
      <c r="H584" t="str">
        <f>IF(AND(Programme_Grunddaten!$A589="Geprüft",Programme_Grunddaten!AW589&lt;&gt;""),Programme_Grunddaten!AW589,"")</f>
        <v/>
      </c>
      <c r="I584" t="str">
        <f>IF(AND(Programme_Grunddaten!$A589="Geprüft",Programme_Grunddaten!AX589&lt;&gt;""),Programme_Grunddaten!AX589,"")</f>
        <v/>
      </c>
    </row>
    <row r="585" spans="1:9" x14ac:dyDescent="0.3">
      <c r="A585" s="1" t="str">
        <f>IF(AND(Programme_Grunddaten!$A590="Geprüft",Programme_Grunddaten!B590&lt;&gt;""),Programme_Grunddaten!B590,"")</f>
        <v/>
      </c>
      <c r="B585" s="1" t="str">
        <f>IF(AND(Programme_Grunddaten!$A590="Geprüft",Programme_Grunddaten!C590&lt;&gt;""),Programme_Grunddaten!C590,"")</f>
        <v/>
      </c>
      <c r="C585" s="1" t="str">
        <f>IF(AND(Programme_Grunddaten!$A590="Geprüft",Programme_Grunddaten!D590&lt;&gt;""),Programme_Grunddaten!D590,"")</f>
        <v/>
      </c>
      <c r="D585" s="2" t="str">
        <f>IF(AND(Programme_Grunddaten!$A590="Geprüft",Programme_Grunddaten!E590&lt;&gt;""),Programme_Grunddaten!E590,"")</f>
        <v/>
      </c>
      <c r="E585" t="str">
        <f>IF(AND(Programme_Grunddaten!$A590="Geprüft",Programme_Grunddaten!G590&lt;&gt;""),Programme_Grunddaten!G590,"")</f>
        <v/>
      </c>
      <c r="F585" t="str">
        <f>IF(AND(Programme_Grunddaten!$A590="Geprüft",Programme_Grunddaten!F590&lt;&gt;""),Programme_Grunddaten!F590,"")</f>
        <v/>
      </c>
      <c r="G585" s="3" t="str">
        <f>IF(AND(Programme_Grunddaten!$A590="Geprüft",Programme_Grunddaten!S590&lt;&gt;""),Programme_Grunddaten!S590,"")</f>
        <v/>
      </c>
      <c r="H585" t="str">
        <f>IF(AND(Programme_Grunddaten!$A590="Geprüft",Programme_Grunddaten!AW590&lt;&gt;""),Programme_Grunddaten!AW590,"")</f>
        <v/>
      </c>
      <c r="I585" t="str">
        <f>IF(AND(Programme_Grunddaten!$A590="Geprüft",Programme_Grunddaten!AX590&lt;&gt;""),Programme_Grunddaten!AX590,"")</f>
        <v/>
      </c>
    </row>
    <row r="586" spans="1:9" x14ac:dyDescent="0.3">
      <c r="A586" s="1" t="str">
        <f>IF(AND(Programme_Grunddaten!$A591="Geprüft",Programme_Grunddaten!B591&lt;&gt;""),Programme_Grunddaten!B591,"")</f>
        <v/>
      </c>
      <c r="B586" s="1" t="str">
        <f>IF(AND(Programme_Grunddaten!$A591="Geprüft",Programme_Grunddaten!C591&lt;&gt;""),Programme_Grunddaten!C591,"")</f>
        <v/>
      </c>
      <c r="C586" s="1" t="str">
        <f>IF(AND(Programme_Grunddaten!$A591="Geprüft",Programme_Grunddaten!D591&lt;&gt;""),Programme_Grunddaten!D591,"")</f>
        <v/>
      </c>
      <c r="D586" s="2" t="str">
        <f>IF(AND(Programme_Grunddaten!$A591="Geprüft",Programme_Grunddaten!E591&lt;&gt;""),Programme_Grunddaten!E591,"")</f>
        <v/>
      </c>
      <c r="E586" t="str">
        <f>IF(AND(Programme_Grunddaten!$A591="Geprüft",Programme_Grunddaten!G591&lt;&gt;""),Programme_Grunddaten!G591,"")</f>
        <v/>
      </c>
      <c r="F586" t="str">
        <f>IF(AND(Programme_Grunddaten!$A591="Geprüft",Programme_Grunddaten!F591&lt;&gt;""),Programme_Grunddaten!F591,"")</f>
        <v/>
      </c>
      <c r="G586" s="3" t="str">
        <f>IF(AND(Programme_Grunddaten!$A591="Geprüft",Programme_Grunddaten!S591&lt;&gt;""),Programme_Grunddaten!S591,"")</f>
        <v/>
      </c>
      <c r="H586" t="str">
        <f>IF(AND(Programme_Grunddaten!$A591="Geprüft",Programme_Grunddaten!AW591&lt;&gt;""),Programme_Grunddaten!AW591,"")</f>
        <v/>
      </c>
      <c r="I586" t="str">
        <f>IF(AND(Programme_Grunddaten!$A591="Geprüft",Programme_Grunddaten!AX591&lt;&gt;""),Programme_Grunddaten!AX591,"")</f>
        <v/>
      </c>
    </row>
    <row r="587" spans="1:9" x14ac:dyDescent="0.3">
      <c r="A587" s="1" t="str">
        <f>IF(AND(Programme_Grunddaten!$A592="Geprüft",Programme_Grunddaten!B592&lt;&gt;""),Programme_Grunddaten!B592,"")</f>
        <v/>
      </c>
      <c r="B587" s="1" t="str">
        <f>IF(AND(Programme_Grunddaten!$A592="Geprüft",Programme_Grunddaten!C592&lt;&gt;""),Programme_Grunddaten!C592,"")</f>
        <v/>
      </c>
      <c r="C587" s="1" t="str">
        <f>IF(AND(Programme_Grunddaten!$A592="Geprüft",Programme_Grunddaten!D592&lt;&gt;""),Programme_Grunddaten!D592,"")</f>
        <v/>
      </c>
      <c r="D587" s="2" t="str">
        <f>IF(AND(Programme_Grunddaten!$A592="Geprüft",Programme_Grunddaten!E592&lt;&gt;""),Programme_Grunddaten!E592,"")</f>
        <v/>
      </c>
      <c r="E587" t="str">
        <f>IF(AND(Programme_Grunddaten!$A592="Geprüft",Programme_Grunddaten!G592&lt;&gt;""),Programme_Grunddaten!G592,"")</f>
        <v/>
      </c>
      <c r="F587" t="str">
        <f>IF(AND(Programme_Grunddaten!$A592="Geprüft",Programme_Grunddaten!F592&lt;&gt;""),Programme_Grunddaten!F592,"")</f>
        <v/>
      </c>
      <c r="G587" s="3" t="str">
        <f>IF(AND(Programme_Grunddaten!$A592="Geprüft",Programme_Grunddaten!S592&lt;&gt;""),Programme_Grunddaten!S592,"")</f>
        <v/>
      </c>
      <c r="H587" t="str">
        <f>IF(AND(Programme_Grunddaten!$A592="Geprüft",Programme_Grunddaten!AW592&lt;&gt;""),Programme_Grunddaten!AW592,"")</f>
        <v/>
      </c>
      <c r="I587" t="str">
        <f>IF(AND(Programme_Grunddaten!$A592="Geprüft",Programme_Grunddaten!AX592&lt;&gt;""),Programme_Grunddaten!AX592,"")</f>
        <v/>
      </c>
    </row>
    <row r="588" spans="1:9" x14ac:dyDescent="0.3">
      <c r="A588" s="1" t="str">
        <f>IF(AND(Programme_Grunddaten!$A593="Geprüft",Programme_Grunddaten!B593&lt;&gt;""),Programme_Grunddaten!B593,"")</f>
        <v/>
      </c>
      <c r="B588" s="1" t="str">
        <f>IF(AND(Programme_Grunddaten!$A593="Geprüft",Programme_Grunddaten!C593&lt;&gt;""),Programme_Grunddaten!C593,"")</f>
        <v/>
      </c>
      <c r="C588" s="1" t="str">
        <f>IF(AND(Programme_Grunddaten!$A593="Geprüft",Programme_Grunddaten!D593&lt;&gt;""),Programme_Grunddaten!D593,"")</f>
        <v/>
      </c>
      <c r="D588" s="2" t="str">
        <f>IF(AND(Programme_Grunddaten!$A593="Geprüft",Programme_Grunddaten!E593&lt;&gt;""),Programme_Grunddaten!E593,"")</f>
        <v/>
      </c>
      <c r="E588" t="str">
        <f>IF(AND(Programme_Grunddaten!$A593="Geprüft",Programme_Grunddaten!G593&lt;&gt;""),Programme_Grunddaten!G593,"")</f>
        <v/>
      </c>
      <c r="F588" t="str">
        <f>IF(AND(Programme_Grunddaten!$A593="Geprüft",Programme_Grunddaten!F593&lt;&gt;""),Programme_Grunddaten!F593,"")</f>
        <v/>
      </c>
      <c r="G588" s="3" t="str">
        <f>IF(AND(Programme_Grunddaten!$A593="Geprüft",Programme_Grunddaten!S593&lt;&gt;""),Programme_Grunddaten!S593,"")</f>
        <v/>
      </c>
      <c r="H588" t="str">
        <f>IF(AND(Programme_Grunddaten!$A593="Geprüft",Programme_Grunddaten!AW593&lt;&gt;""),Programme_Grunddaten!AW593,"")</f>
        <v/>
      </c>
      <c r="I588" t="str">
        <f>IF(AND(Programme_Grunddaten!$A593="Geprüft",Programme_Grunddaten!AX593&lt;&gt;""),Programme_Grunddaten!AX593,"")</f>
        <v/>
      </c>
    </row>
    <row r="589" spans="1:9" x14ac:dyDescent="0.3">
      <c r="A589" s="1" t="str">
        <f>IF(AND(Programme_Grunddaten!$A594="Geprüft",Programme_Grunddaten!B594&lt;&gt;""),Programme_Grunddaten!B594,"")</f>
        <v/>
      </c>
      <c r="B589" s="1" t="str">
        <f>IF(AND(Programme_Grunddaten!$A594="Geprüft",Programme_Grunddaten!C594&lt;&gt;""),Programme_Grunddaten!C594,"")</f>
        <v/>
      </c>
      <c r="C589" s="1" t="str">
        <f>IF(AND(Programme_Grunddaten!$A594="Geprüft",Programme_Grunddaten!D594&lt;&gt;""),Programme_Grunddaten!D594,"")</f>
        <v/>
      </c>
      <c r="D589" s="2" t="str">
        <f>IF(AND(Programme_Grunddaten!$A594="Geprüft",Programme_Grunddaten!E594&lt;&gt;""),Programme_Grunddaten!E594,"")</f>
        <v/>
      </c>
      <c r="E589" t="str">
        <f>IF(AND(Programme_Grunddaten!$A594="Geprüft",Programme_Grunddaten!G594&lt;&gt;""),Programme_Grunddaten!G594,"")</f>
        <v/>
      </c>
      <c r="F589" t="str">
        <f>IF(AND(Programme_Grunddaten!$A594="Geprüft",Programme_Grunddaten!F594&lt;&gt;""),Programme_Grunddaten!F594,"")</f>
        <v/>
      </c>
      <c r="G589" s="3" t="str">
        <f>IF(AND(Programme_Grunddaten!$A594="Geprüft",Programme_Grunddaten!S594&lt;&gt;""),Programme_Grunddaten!S594,"")</f>
        <v/>
      </c>
      <c r="H589" t="str">
        <f>IF(AND(Programme_Grunddaten!$A594="Geprüft",Programme_Grunddaten!AW594&lt;&gt;""),Programme_Grunddaten!AW594,"")</f>
        <v/>
      </c>
      <c r="I589" t="str">
        <f>IF(AND(Programme_Grunddaten!$A594="Geprüft",Programme_Grunddaten!AX594&lt;&gt;""),Programme_Grunddaten!AX594,"")</f>
        <v/>
      </c>
    </row>
    <row r="590" spans="1:9" x14ac:dyDescent="0.3">
      <c r="A590" s="1" t="str">
        <f>IF(AND(Programme_Grunddaten!$A595="Geprüft",Programme_Grunddaten!B595&lt;&gt;""),Programme_Grunddaten!B595,"")</f>
        <v/>
      </c>
      <c r="B590" s="1" t="str">
        <f>IF(AND(Programme_Grunddaten!$A595="Geprüft",Programme_Grunddaten!C595&lt;&gt;""),Programme_Grunddaten!C595,"")</f>
        <v/>
      </c>
      <c r="C590" s="1" t="str">
        <f>IF(AND(Programme_Grunddaten!$A595="Geprüft",Programme_Grunddaten!D595&lt;&gt;""),Programme_Grunddaten!D595,"")</f>
        <v/>
      </c>
      <c r="D590" s="2" t="str">
        <f>IF(AND(Programme_Grunddaten!$A595="Geprüft",Programme_Grunddaten!E595&lt;&gt;""),Programme_Grunddaten!E595,"")</f>
        <v/>
      </c>
      <c r="E590" t="str">
        <f>IF(AND(Programme_Grunddaten!$A595="Geprüft",Programme_Grunddaten!G595&lt;&gt;""),Programme_Grunddaten!G595,"")</f>
        <v/>
      </c>
      <c r="F590" t="str">
        <f>IF(AND(Programme_Grunddaten!$A595="Geprüft",Programme_Grunddaten!F595&lt;&gt;""),Programme_Grunddaten!F595,"")</f>
        <v/>
      </c>
      <c r="G590" s="3" t="str">
        <f>IF(AND(Programme_Grunddaten!$A595="Geprüft",Programme_Grunddaten!S595&lt;&gt;""),Programme_Grunddaten!S595,"")</f>
        <v/>
      </c>
      <c r="H590" t="str">
        <f>IF(AND(Programme_Grunddaten!$A595="Geprüft",Programme_Grunddaten!AW595&lt;&gt;""),Programme_Grunddaten!AW595,"")</f>
        <v/>
      </c>
      <c r="I590" t="str">
        <f>IF(AND(Programme_Grunddaten!$A595="Geprüft",Programme_Grunddaten!AX595&lt;&gt;""),Programme_Grunddaten!AX595,"")</f>
        <v/>
      </c>
    </row>
    <row r="591" spans="1:9" x14ac:dyDescent="0.3">
      <c r="A591" s="1" t="str">
        <f>IF(AND(Programme_Grunddaten!$A596="Geprüft",Programme_Grunddaten!B596&lt;&gt;""),Programme_Grunddaten!B596,"")</f>
        <v/>
      </c>
      <c r="B591" s="1" t="str">
        <f>IF(AND(Programme_Grunddaten!$A596="Geprüft",Programme_Grunddaten!C596&lt;&gt;""),Programme_Grunddaten!C596,"")</f>
        <v/>
      </c>
      <c r="C591" s="1" t="str">
        <f>IF(AND(Programme_Grunddaten!$A596="Geprüft",Programme_Grunddaten!D596&lt;&gt;""),Programme_Grunddaten!D596,"")</f>
        <v/>
      </c>
      <c r="D591" s="2" t="str">
        <f>IF(AND(Programme_Grunddaten!$A596="Geprüft",Programme_Grunddaten!E596&lt;&gt;""),Programme_Grunddaten!E596,"")</f>
        <v/>
      </c>
      <c r="E591" t="str">
        <f>IF(AND(Programme_Grunddaten!$A596="Geprüft",Programme_Grunddaten!G596&lt;&gt;""),Programme_Grunddaten!G596,"")</f>
        <v/>
      </c>
      <c r="F591" t="str">
        <f>IF(AND(Programme_Grunddaten!$A596="Geprüft",Programme_Grunddaten!F596&lt;&gt;""),Programme_Grunddaten!F596,"")</f>
        <v/>
      </c>
      <c r="G591" s="3" t="str">
        <f>IF(AND(Programme_Grunddaten!$A596="Geprüft",Programme_Grunddaten!S596&lt;&gt;""),Programme_Grunddaten!S596,"")</f>
        <v/>
      </c>
      <c r="H591" t="str">
        <f>IF(AND(Programme_Grunddaten!$A596="Geprüft",Programme_Grunddaten!AW596&lt;&gt;""),Programme_Grunddaten!AW596,"")</f>
        <v/>
      </c>
      <c r="I591" t="str">
        <f>IF(AND(Programme_Grunddaten!$A596="Geprüft",Programme_Grunddaten!AX596&lt;&gt;""),Programme_Grunddaten!AX596,"")</f>
        <v/>
      </c>
    </row>
    <row r="592" spans="1:9" x14ac:dyDescent="0.3">
      <c r="A592" s="1" t="str">
        <f>IF(AND(Programme_Grunddaten!$A597="Geprüft",Programme_Grunddaten!B597&lt;&gt;""),Programme_Grunddaten!B597,"")</f>
        <v/>
      </c>
      <c r="B592" s="1" t="str">
        <f>IF(AND(Programme_Grunddaten!$A597="Geprüft",Programme_Grunddaten!C597&lt;&gt;""),Programme_Grunddaten!C597,"")</f>
        <v/>
      </c>
      <c r="C592" s="1" t="str">
        <f>IF(AND(Programme_Grunddaten!$A597="Geprüft",Programme_Grunddaten!D597&lt;&gt;""),Programme_Grunddaten!D597,"")</f>
        <v/>
      </c>
      <c r="D592" s="2" t="str">
        <f>IF(AND(Programme_Grunddaten!$A597="Geprüft",Programme_Grunddaten!E597&lt;&gt;""),Programme_Grunddaten!E597,"")</f>
        <v/>
      </c>
      <c r="E592" t="str">
        <f>IF(AND(Programme_Grunddaten!$A597="Geprüft",Programme_Grunddaten!G597&lt;&gt;""),Programme_Grunddaten!G597,"")</f>
        <v/>
      </c>
      <c r="F592" t="str">
        <f>IF(AND(Programme_Grunddaten!$A597="Geprüft",Programme_Grunddaten!F597&lt;&gt;""),Programme_Grunddaten!F597,"")</f>
        <v/>
      </c>
      <c r="G592" s="3" t="str">
        <f>IF(AND(Programme_Grunddaten!$A597="Geprüft",Programme_Grunddaten!S597&lt;&gt;""),Programme_Grunddaten!S597,"")</f>
        <v/>
      </c>
      <c r="H592" t="str">
        <f>IF(AND(Programme_Grunddaten!$A597="Geprüft",Programme_Grunddaten!AW597&lt;&gt;""),Programme_Grunddaten!AW597,"")</f>
        <v/>
      </c>
      <c r="I592" t="str">
        <f>IF(AND(Programme_Grunddaten!$A597="Geprüft",Programme_Grunddaten!AX597&lt;&gt;""),Programme_Grunddaten!AX597,"")</f>
        <v/>
      </c>
    </row>
    <row r="593" spans="1:9" x14ac:dyDescent="0.3">
      <c r="A593" s="1" t="str">
        <f>IF(AND(Programme_Grunddaten!$A598="Geprüft",Programme_Grunddaten!B598&lt;&gt;""),Programme_Grunddaten!B598,"")</f>
        <v/>
      </c>
      <c r="B593" s="1" t="str">
        <f>IF(AND(Programme_Grunddaten!$A598="Geprüft",Programme_Grunddaten!C598&lt;&gt;""),Programme_Grunddaten!C598,"")</f>
        <v/>
      </c>
      <c r="C593" s="1" t="str">
        <f>IF(AND(Programme_Grunddaten!$A598="Geprüft",Programme_Grunddaten!D598&lt;&gt;""),Programme_Grunddaten!D598,"")</f>
        <v/>
      </c>
      <c r="D593" s="2" t="str">
        <f>IF(AND(Programme_Grunddaten!$A598="Geprüft",Programme_Grunddaten!E598&lt;&gt;""),Programme_Grunddaten!E598,"")</f>
        <v/>
      </c>
      <c r="E593" t="str">
        <f>IF(AND(Programme_Grunddaten!$A598="Geprüft",Programme_Grunddaten!G598&lt;&gt;""),Programme_Grunddaten!G598,"")</f>
        <v/>
      </c>
      <c r="F593" t="str">
        <f>IF(AND(Programme_Grunddaten!$A598="Geprüft",Programme_Grunddaten!F598&lt;&gt;""),Programme_Grunddaten!F598,"")</f>
        <v/>
      </c>
      <c r="G593" s="3" t="str">
        <f>IF(AND(Programme_Grunddaten!$A598="Geprüft",Programme_Grunddaten!S598&lt;&gt;""),Programme_Grunddaten!S598,"")</f>
        <v/>
      </c>
      <c r="H593" t="str">
        <f>IF(AND(Programme_Grunddaten!$A598="Geprüft",Programme_Grunddaten!AW598&lt;&gt;""),Programme_Grunddaten!AW598,"")</f>
        <v/>
      </c>
      <c r="I593" t="str">
        <f>IF(AND(Programme_Grunddaten!$A598="Geprüft",Programme_Grunddaten!AX598&lt;&gt;""),Programme_Grunddaten!AX598,"")</f>
        <v/>
      </c>
    </row>
    <row r="594" spans="1:9" x14ac:dyDescent="0.3">
      <c r="A594" s="1" t="str">
        <f>IF(AND(Programme_Grunddaten!$A599="Geprüft",Programme_Grunddaten!B599&lt;&gt;""),Programme_Grunddaten!B599,"")</f>
        <v/>
      </c>
      <c r="B594" s="1" t="str">
        <f>IF(AND(Programme_Grunddaten!$A599="Geprüft",Programme_Grunddaten!C599&lt;&gt;""),Programme_Grunddaten!C599,"")</f>
        <v/>
      </c>
      <c r="C594" s="1" t="str">
        <f>IF(AND(Programme_Grunddaten!$A599="Geprüft",Programme_Grunddaten!D599&lt;&gt;""),Programme_Grunddaten!D599,"")</f>
        <v/>
      </c>
      <c r="D594" s="2" t="str">
        <f>IF(AND(Programme_Grunddaten!$A599="Geprüft",Programme_Grunddaten!E599&lt;&gt;""),Programme_Grunddaten!E599,"")</f>
        <v/>
      </c>
      <c r="E594" t="str">
        <f>IF(AND(Programme_Grunddaten!$A599="Geprüft",Programme_Grunddaten!G599&lt;&gt;""),Programme_Grunddaten!G599,"")</f>
        <v/>
      </c>
      <c r="F594" t="str">
        <f>IF(AND(Programme_Grunddaten!$A599="Geprüft",Programme_Grunddaten!F599&lt;&gt;""),Programme_Grunddaten!F599,"")</f>
        <v/>
      </c>
      <c r="G594" s="3" t="str">
        <f>IF(AND(Programme_Grunddaten!$A599="Geprüft",Programme_Grunddaten!S599&lt;&gt;""),Programme_Grunddaten!S599,"")</f>
        <v/>
      </c>
      <c r="H594" t="str">
        <f>IF(AND(Programme_Grunddaten!$A599="Geprüft",Programme_Grunddaten!AW599&lt;&gt;""),Programme_Grunddaten!AW599,"")</f>
        <v/>
      </c>
      <c r="I594" t="str">
        <f>IF(AND(Programme_Grunddaten!$A599="Geprüft",Programme_Grunddaten!AX599&lt;&gt;""),Programme_Grunddaten!AX599,"")</f>
        <v/>
      </c>
    </row>
    <row r="595" spans="1:9" x14ac:dyDescent="0.3">
      <c r="A595" s="1" t="str">
        <f>IF(AND(Programme_Grunddaten!$A600="Geprüft",Programme_Grunddaten!B600&lt;&gt;""),Programme_Grunddaten!B600,"")</f>
        <v/>
      </c>
      <c r="B595" s="1" t="str">
        <f>IF(AND(Programme_Grunddaten!$A600="Geprüft",Programme_Grunddaten!C600&lt;&gt;""),Programme_Grunddaten!C600,"")</f>
        <v/>
      </c>
      <c r="C595" s="1" t="str">
        <f>IF(AND(Programme_Grunddaten!$A600="Geprüft",Programme_Grunddaten!D600&lt;&gt;""),Programme_Grunddaten!D600,"")</f>
        <v/>
      </c>
      <c r="D595" s="2" t="str">
        <f>IF(AND(Programme_Grunddaten!$A600="Geprüft",Programme_Grunddaten!E600&lt;&gt;""),Programme_Grunddaten!E600,"")</f>
        <v/>
      </c>
      <c r="E595" t="str">
        <f>IF(AND(Programme_Grunddaten!$A600="Geprüft",Programme_Grunddaten!G600&lt;&gt;""),Programme_Grunddaten!G600,"")</f>
        <v/>
      </c>
      <c r="F595" t="str">
        <f>IF(AND(Programme_Grunddaten!$A600="Geprüft",Programme_Grunddaten!F600&lt;&gt;""),Programme_Grunddaten!F600,"")</f>
        <v/>
      </c>
      <c r="G595" s="3" t="str">
        <f>IF(AND(Programme_Grunddaten!$A600="Geprüft",Programme_Grunddaten!S600&lt;&gt;""),Programme_Grunddaten!S600,"")</f>
        <v/>
      </c>
      <c r="H595" t="str">
        <f>IF(AND(Programme_Grunddaten!$A600="Geprüft",Programme_Grunddaten!AW600&lt;&gt;""),Programme_Grunddaten!AW600,"")</f>
        <v/>
      </c>
      <c r="I595" t="str">
        <f>IF(AND(Programme_Grunddaten!$A600="Geprüft",Programme_Grunddaten!AX600&lt;&gt;""),Programme_Grunddaten!AX600,"")</f>
        <v/>
      </c>
    </row>
    <row r="596" spans="1:9" x14ac:dyDescent="0.3">
      <c r="A596" s="1" t="str">
        <f>IF(AND(Programme_Grunddaten!$A601="Geprüft",Programme_Grunddaten!B601&lt;&gt;""),Programme_Grunddaten!B601,"")</f>
        <v/>
      </c>
      <c r="B596" s="1" t="str">
        <f>IF(AND(Programme_Grunddaten!$A601="Geprüft",Programme_Grunddaten!C601&lt;&gt;""),Programme_Grunddaten!C601,"")</f>
        <v/>
      </c>
      <c r="C596" s="1" t="str">
        <f>IF(AND(Programme_Grunddaten!$A601="Geprüft",Programme_Grunddaten!D601&lt;&gt;""),Programme_Grunddaten!D601,"")</f>
        <v/>
      </c>
      <c r="D596" s="2" t="str">
        <f>IF(AND(Programme_Grunddaten!$A601="Geprüft",Programme_Grunddaten!E601&lt;&gt;""),Programme_Grunddaten!E601,"")</f>
        <v/>
      </c>
      <c r="E596" t="str">
        <f>IF(AND(Programme_Grunddaten!$A601="Geprüft",Programme_Grunddaten!G601&lt;&gt;""),Programme_Grunddaten!G601,"")</f>
        <v/>
      </c>
      <c r="F596" t="str">
        <f>IF(AND(Programme_Grunddaten!$A601="Geprüft",Programme_Grunddaten!F601&lt;&gt;""),Programme_Grunddaten!F601,"")</f>
        <v/>
      </c>
      <c r="G596" s="3" t="str">
        <f>IF(AND(Programme_Grunddaten!$A601="Geprüft",Programme_Grunddaten!S601&lt;&gt;""),Programme_Grunddaten!S601,"")</f>
        <v/>
      </c>
      <c r="H596" t="str">
        <f>IF(AND(Programme_Grunddaten!$A601="Geprüft",Programme_Grunddaten!AW601&lt;&gt;""),Programme_Grunddaten!AW601,"")</f>
        <v/>
      </c>
      <c r="I596" t="str">
        <f>IF(AND(Programme_Grunddaten!$A601="Geprüft",Programme_Grunddaten!AX601&lt;&gt;""),Programme_Grunddaten!AX601,"")</f>
        <v/>
      </c>
    </row>
    <row r="597" spans="1:9" x14ac:dyDescent="0.3">
      <c r="A597" s="1" t="str">
        <f>IF(AND(Programme_Grunddaten!$A602="Geprüft",Programme_Grunddaten!B602&lt;&gt;""),Programme_Grunddaten!B602,"")</f>
        <v/>
      </c>
      <c r="B597" s="1" t="str">
        <f>IF(AND(Programme_Grunddaten!$A602="Geprüft",Programme_Grunddaten!C602&lt;&gt;""),Programme_Grunddaten!C602,"")</f>
        <v/>
      </c>
      <c r="C597" s="1" t="str">
        <f>IF(AND(Programme_Grunddaten!$A602="Geprüft",Programme_Grunddaten!D602&lt;&gt;""),Programme_Grunddaten!D602,"")</f>
        <v/>
      </c>
      <c r="D597" s="2" t="str">
        <f>IF(AND(Programme_Grunddaten!$A602="Geprüft",Programme_Grunddaten!E602&lt;&gt;""),Programme_Grunddaten!E602,"")</f>
        <v/>
      </c>
      <c r="E597" t="str">
        <f>IF(AND(Programme_Grunddaten!$A602="Geprüft",Programme_Grunddaten!G602&lt;&gt;""),Programme_Grunddaten!G602,"")</f>
        <v/>
      </c>
      <c r="F597" t="str">
        <f>IF(AND(Programme_Grunddaten!$A602="Geprüft",Programme_Grunddaten!F602&lt;&gt;""),Programme_Grunddaten!F602,"")</f>
        <v/>
      </c>
      <c r="G597" s="3" t="str">
        <f>IF(AND(Programme_Grunddaten!$A602="Geprüft",Programme_Grunddaten!S602&lt;&gt;""),Programme_Grunddaten!S602,"")</f>
        <v/>
      </c>
      <c r="H597" t="str">
        <f>IF(AND(Programme_Grunddaten!$A602="Geprüft",Programme_Grunddaten!AW602&lt;&gt;""),Programme_Grunddaten!AW602,"")</f>
        <v/>
      </c>
      <c r="I597" t="str">
        <f>IF(AND(Programme_Grunddaten!$A602="Geprüft",Programme_Grunddaten!AX602&lt;&gt;""),Programme_Grunddaten!AX602,"")</f>
        <v/>
      </c>
    </row>
    <row r="598" spans="1:9" x14ac:dyDescent="0.3">
      <c r="A598" s="1" t="str">
        <f>IF(AND(Programme_Grunddaten!$A603="Geprüft",Programme_Grunddaten!B603&lt;&gt;""),Programme_Grunddaten!B603,"")</f>
        <v/>
      </c>
      <c r="B598" s="1" t="str">
        <f>IF(AND(Programme_Grunddaten!$A603="Geprüft",Programme_Grunddaten!C603&lt;&gt;""),Programme_Grunddaten!C603,"")</f>
        <v/>
      </c>
      <c r="C598" s="1" t="str">
        <f>IF(AND(Programme_Grunddaten!$A603="Geprüft",Programme_Grunddaten!D603&lt;&gt;""),Programme_Grunddaten!D603,"")</f>
        <v/>
      </c>
      <c r="D598" s="2" t="str">
        <f>IF(AND(Programme_Grunddaten!$A603="Geprüft",Programme_Grunddaten!E603&lt;&gt;""),Programme_Grunddaten!E603,"")</f>
        <v/>
      </c>
      <c r="E598" t="str">
        <f>IF(AND(Programme_Grunddaten!$A603="Geprüft",Programme_Grunddaten!G603&lt;&gt;""),Programme_Grunddaten!G603,"")</f>
        <v/>
      </c>
      <c r="F598" t="str">
        <f>IF(AND(Programme_Grunddaten!$A603="Geprüft",Programme_Grunddaten!F603&lt;&gt;""),Programme_Grunddaten!F603,"")</f>
        <v/>
      </c>
      <c r="G598" s="3" t="str">
        <f>IF(AND(Programme_Grunddaten!$A603="Geprüft",Programme_Grunddaten!S603&lt;&gt;""),Programme_Grunddaten!S603,"")</f>
        <v/>
      </c>
      <c r="H598" t="str">
        <f>IF(AND(Programme_Grunddaten!$A603="Geprüft",Programme_Grunddaten!AW603&lt;&gt;""),Programme_Grunddaten!AW603,"")</f>
        <v/>
      </c>
      <c r="I598" t="str">
        <f>IF(AND(Programme_Grunddaten!$A603="Geprüft",Programme_Grunddaten!AX603&lt;&gt;""),Programme_Grunddaten!AX603,"")</f>
        <v/>
      </c>
    </row>
    <row r="599" spans="1:9" x14ac:dyDescent="0.3">
      <c r="A599" s="1" t="str">
        <f>IF(AND(Programme_Grunddaten!$A604="Geprüft",Programme_Grunddaten!B604&lt;&gt;""),Programme_Grunddaten!B604,"")</f>
        <v/>
      </c>
      <c r="B599" s="1" t="str">
        <f>IF(AND(Programme_Grunddaten!$A604="Geprüft",Programme_Grunddaten!C604&lt;&gt;""),Programme_Grunddaten!C604,"")</f>
        <v/>
      </c>
      <c r="C599" s="1" t="str">
        <f>IF(AND(Programme_Grunddaten!$A604="Geprüft",Programme_Grunddaten!D604&lt;&gt;""),Programme_Grunddaten!D604,"")</f>
        <v/>
      </c>
      <c r="D599" s="2" t="str">
        <f>IF(AND(Programme_Grunddaten!$A604="Geprüft",Programme_Grunddaten!E604&lt;&gt;""),Programme_Grunddaten!E604,"")</f>
        <v/>
      </c>
      <c r="E599" t="str">
        <f>IF(AND(Programme_Grunddaten!$A604="Geprüft",Programme_Grunddaten!G604&lt;&gt;""),Programme_Grunddaten!G604,"")</f>
        <v/>
      </c>
      <c r="F599" t="str">
        <f>IF(AND(Programme_Grunddaten!$A604="Geprüft",Programme_Grunddaten!F604&lt;&gt;""),Programme_Grunddaten!F604,"")</f>
        <v/>
      </c>
      <c r="G599" s="3" t="str">
        <f>IF(AND(Programme_Grunddaten!$A604="Geprüft",Programme_Grunddaten!S604&lt;&gt;""),Programme_Grunddaten!S604,"")</f>
        <v/>
      </c>
      <c r="H599" t="str">
        <f>IF(AND(Programme_Grunddaten!$A604="Geprüft",Programme_Grunddaten!AW604&lt;&gt;""),Programme_Grunddaten!AW604,"")</f>
        <v/>
      </c>
      <c r="I599" t="str">
        <f>IF(AND(Programme_Grunddaten!$A604="Geprüft",Programme_Grunddaten!AX604&lt;&gt;""),Programme_Grunddaten!AX604,"")</f>
        <v/>
      </c>
    </row>
    <row r="600" spans="1:9" x14ac:dyDescent="0.3">
      <c r="A600" s="1" t="str">
        <f>IF(AND(Programme_Grunddaten!$A605="Geprüft",Programme_Grunddaten!B605&lt;&gt;""),Programme_Grunddaten!B605,"")</f>
        <v/>
      </c>
      <c r="B600" s="1" t="str">
        <f>IF(AND(Programme_Grunddaten!$A605="Geprüft",Programme_Grunddaten!C605&lt;&gt;""),Programme_Grunddaten!C605,"")</f>
        <v/>
      </c>
      <c r="C600" s="1" t="str">
        <f>IF(AND(Programme_Grunddaten!$A605="Geprüft",Programme_Grunddaten!D605&lt;&gt;""),Programme_Grunddaten!D605,"")</f>
        <v/>
      </c>
      <c r="D600" s="2" t="str">
        <f>IF(AND(Programme_Grunddaten!$A605="Geprüft",Programme_Grunddaten!E605&lt;&gt;""),Programme_Grunddaten!E605,"")</f>
        <v/>
      </c>
      <c r="E600" t="str">
        <f>IF(AND(Programme_Grunddaten!$A605="Geprüft",Programme_Grunddaten!G605&lt;&gt;""),Programme_Grunddaten!G605,"")</f>
        <v/>
      </c>
      <c r="F600" t="str">
        <f>IF(AND(Programme_Grunddaten!$A605="Geprüft",Programme_Grunddaten!F605&lt;&gt;""),Programme_Grunddaten!F605,"")</f>
        <v/>
      </c>
      <c r="G600" s="3" t="str">
        <f>IF(AND(Programme_Grunddaten!$A605="Geprüft",Programme_Grunddaten!S605&lt;&gt;""),Programme_Grunddaten!S605,"")</f>
        <v/>
      </c>
      <c r="H600" t="str">
        <f>IF(AND(Programme_Grunddaten!$A605="Geprüft",Programme_Grunddaten!AW605&lt;&gt;""),Programme_Grunddaten!AW605,"")</f>
        <v/>
      </c>
      <c r="I600" t="str">
        <f>IF(AND(Programme_Grunddaten!$A605="Geprüft",Programme_Grunddaten!AX605&lt;&gt;""),Programme_Grunddaten!AX605,"")</f>
        <v/>
      </c>
    </row>
    <row r="601" spans="1:9" x14ac:dyDescent="0.3">
      <c r="A601" s="1" t="str">
        <f>IF(AND(Programme_Grunddaten!$A606="Geprüft",Programme_Grunddaten!B606&lt;&gt;""),Programme_Grunddaten!B606,"")</f>
        <v/>
      </c>
      <c r="B601" s="1" t="str">
        <f>IF(AND(Programme_Grunddaten!$A606="Geprüft",Programme_Grunddaten!C606&lt;&gt;""),Programme_Grunddaten!C606,"")</f>
        <v/>
      </c>
      <c r="C601" s="1" t="str">
        <f>IF(AND(Programme_Grunddaten!$A606="Geprüft",Programme_Grunddaten!D606&lt;&gt;""),Programme_Grunddaten!D606,"")</f>
        <v/>
      </c>
      <c r="D601" s="2" t="str">
        <f>IF(AND(Programme_Grunddaten!$A606="Geprüft",Programme_Grunddaten!E606&lt;&gt;""),Programme_Grunddaten!E606,"")</f>
        <v/>
      </c>
      <c r="E601" t="str">
        <f>IF(AND(Programme_Grunddaten!$A606="Geprüft",Programme_Grunddaten!G606&lt;&gt;""),Programme_Grunddaten!G606,"")</f>
        <v/>
      </c>
      <c r="F601" t="str">
        <f>IF(AND(Programme_Grunddaten!$A606="Geprüft",Programme_Grunddaten!F606&lt;&gt;""),Programme_Grunddaten!F606,"")</f>
        <v/>
      </c>
      <c r="G601" s="3" t="str">
        <f>IF(AND(Programme_Grunddaten!$A606="Geprüft",Programme_Grunddaten!S606&lt;&gt;""),Programme_Grunddaten!S606,"")</f>
        <v/>
      </c>
      <c r="H601" t="str">
        <f>IF(AND(Programme_Grunddaten!$A606="Geprüft",Programme_Grunddaten!AW606&lt;&gt;""),Programme_Grunddaten!AW606,"")</f>
        <v/>
      </c>
      <c r="I601" t="str">
        <f>IF(AND(Programme_Grunddaten!$A606="Geprüft",Programme_Grunddaten!AX606&lt;&gt;""),Programme_Grunddaten!AX606,"")</f>
        <v/>
      </c>
    </row>
    <row r="602" spans="1:9" x14ac:dyDescent="0.3">
      <c r="A602" s="1" t="str">
        <f>IF(AND(Programme_Grunddaten!$A607="Geprüft",Programme_Grunddaten!B607&lt;&gt;""),Programme_Grunddaten!B607,"")</f>
        <v/>
      </c>
      <c r="B602" s="1" t="str">
        <f>IF(AND(Programme_Grunddaten!$A607="Geprüft",Programme_Grunddaten!C607&lt;&gt;""),Programme_Grunddaten!C607,"")</f>
        <v/>
      </c>
      <c r="C602" s="1" t="str">
        <f>IF(AND(Programme_Grunddaten!$A607="Geprüft",Programme_Grunddaten!D607&lt;&gt;""),Programme_Grunddaten!D607,"")</f>
        <v/>
      </c>
      <c r="D602" s="2" t="str">
        <f>IF(AND(Programme_Grunddaten!$A607="Geprüft",Programme_Grunddaten!E607&lt;&gt;""),Programme_Grunddaten!E607,"")</f>
        <v/>
      </c>
      <c r="E602" t="str">
        <f>IF(AND(Programme_Grunddaten!$A607="Geprüft",Programme_Grunddaten!G607&lt;&gt;""),Programme_Grunddaten!G607,"")</f>
        <v/>
      </c>
      <c r="F602" t="str">
        <f>IF(AND(Programme_Grunddaten!$A607="Geprüft",Programme_Grunddaten!F607&lt;&gt;""),Programme_Grunddaten!F607,"")</f>
        <v/>
      </c>
      <c r="G602" s="3" t="str">
        <f>IF(AND(Programme_Grunddaten!$A607="Geprüft",Programme_Grunddaten!S607&lt;&gt;""),Programme_Grunddaten!S607,"")</f>
        <v/>
      </c>
      <c r="H602" t="str">
        <f>IF(AND(Programme_Grunddaten!$A607="Geprüft",Programme_Grunddaten!AW607&lt;&gt;""),Programme_Grunddaten!AW607,"")</f>
        <v/>
      </c>
      <c r="I602" t="str">
        <f>IF(AND(Programme_Grunddaten!$A607="Geprüft",Programme_Grunddaten!AX607&lt;&gt;""),Programme_Grunddaten!AX607,"")</f>
        <v/>
      </c>
    </row>
    <row r="603" spans="1:9" x14ac:dyDescent="0.3">
      <c r="A603" s="1" t="str">
        <f>IF(AND(Programme_Grunddaten!$A608="Geprüft",Programme_Grunddaten!B608&lt;&gt;""),Programme_Grunddaten!B608,"")</f>
        <v/>
      </c>
      <c r="B603" s="1" t="str">
        <f>IF(AND(Programme_Grunddaten!$A608="Geprüft",Programme_Grunddaten!C608&lt;&gt;""),Programme_Grunddaten!C608,"")</f>
        <v/>
      </c>
      <c r="C603" s="1" t="str">
        <f>IF(AND(Programme_Grunddaten!$A608="Geprüft",Programme_Grunddaten!D608&lt;&gt;""),Programme_Grunddaten!D608,"")</f>
        <v/>
      </c>
      <c r="D603" s="2" t="str">
        <f>IF(AND(Programme_Grunddaten!$A608="Geprüft",Programme_Grunddaten!E608&lt;&gt;""),Programme_Grunddaten!E608,"")</f>
        <v/>
      </c>
      <c r="E603" t="str">
        <f>IF(AND(Programme_Grunddaten!$A608="Geprüft",Programme_Grunddaten!G608&lt;&gt;""),Programme_Grunddaten!G608,"")</f>
        <v/>
      </c>
      <c r="F603" t="str">
        <f>IF(AND(Programme_Grunddaten!$A608="Geprüft",Programme_Grunddaten!F608&lt;&gt;""),Programme_Grunddaten!F608,"")</f>
        <v/>
      </c>
      <c r="G603" s="3" t="str">
        <f>IF(AND(Programme_Grunddaten!$A608="Geprüft",Programme_Grunddaten!S608&lt;&gt;""),Programme_Grunddaten!S608,"")</f>
        <v/>
      </c>
      <c r="H603" t="str">
        <f>IF(AND(Programme_Grunddaten!$A608="Geprüft",Programme_Grunddaten!AW608&lt;&gt;""),Programme_Grunddaten!AW608,"")</f>
        <v/>
      </c>
      <c r="I603" t="str">
        <f>IF(AND(Programme_Grunddaten!$A608="Geprüft",Programme_Grunddaten!AX608&lt;&gt;""),Programme_Grunddaten!AX608,"")</f>
        <v/>
      </c>
    </row>
    <row r="604" spans="1:9" x14ac:dyDescent="0.3">
      <c r="A604" s="1" t="str">
        <f>IF(AND(Programme_Grunddaten!$A609="Geprüft",Programme_Grunddaten!B609&lt;&gt;""),Programme_Grunddaten!B609,"")</f>
        <v/>
      </c>
      <c r="B604" s="1" t="str">
        <f>IF(AND(Programme_Grunddaten!$A609="Geprüft",Programme_Grunddaten!C609&lt;&gt;""),Programme_Grunddaten!C609,"")</f>
        <v/>
      </c>
      <c r="C604" s="1" t="str">
        <f>IF(AND(Programme_Grunddaten!$A609="Geprüft",Programme_Grunddaten!D609&lt;&gt;""),Programme_Grunddaten!D609,"")</f>
        <v/>
      </c>
      <c r="D604" s="2" t="str">
        <f>IF(AND(Programme_Grunddaten!$A609="Geprüft",Programme_Grunddaten!E609&lt;&gt;""),Programme_Grunddaten!E609,"")</f>
        <v/>
      </c>
      <c r="E604" t="str">
        <f>IF(AND(Programme_Grunddaten!$A609="Geprüft",Programme_Grunddaten!G609&lt;&gt;""),Programme_Grunddaten!G609,"")</f>
        <v/>
      </c>
      <c r="F604" t="str">
        <f>IF(AND(Programme_Grunddaten!$A609="Geprüft",Programme_Grunddaten!F609&lt;&gt;""),Programme_Grunddaten!F609,"")</f>
        <v/>
      </c>
      <c r="G604" s="3" t="str">
        <f>IF(AND(Programme_Grunddaten!$A609="Geprüft",Programme_Grunddaten!S609&lt;&gt;""),Programme_Grunddaten!S609,"")</f>
        <v/>
      </c>
      <c r="H604" t="str">
        <f>IF(AND(Programme_Grunddaten!$A609="Geprüft",Programme_Grunddaten!AW609&lt;&gt;""),Programme_Grunddaten!AW609,"")</f>
        <v/>
      </c>
      <c r="I604" t="str">
        <f>IF(AND(Programme_Grunddaten!$A609="Geprüft",Programme_Grunddaten!AX609&lt;&gt;""),Programme_Grunddaten!AX609,"")</f>
        <v/>
      </c>
    </row>
    <row r="605" spans="1:9" x14ac:dyDescent="0.3">
      <c r="A605" s="1" t="str">
        <f>IF(AND(Programme_Grunddaten!$A610="Geprüft",Programme_Grunddaten!B610&lt;&gt;""),Programme_Grunddaten!B610,"")</f>
        <v/>
      </c>
      <c r="B605" s="1" t="str">
        <f>IF(AND(Programme_Grunddaten!$A610="Geprüft",Programme_Grunddaten!C610&lt;&gt;""),Programme_Grunddaten!C610,"")</f>
        <v/>
      </c>
      <c r="C605" s="1" t="str">
        <f>IF(AND(Programme_Grunddaten!$A610="Geprüft",Programme_Grunddaten!D610&lt;&gt;""),Programme_Grunddaten!D610,"")</f>
        <v/>
      </c>
      <c r="D605" s="2" t="str">
        <f>IF(AND(Programme_Grunddaten!$A610="Geprüft",Programme_Grunddaten!E610&lt;&gt;""),Programme_Grunddaten!E610,"")</f>
        <v/>
      </c>
      <c r="E605" t="str">
        <f>IF(AND(Programme_Grunddaten!$A610="Geprüft",Programme_Grunddaten!G610&lt;&gt;""),Programme_Grunddaten!G610,"")</f>
        <v/>
      </c>
      <c r="F605" t="str">
        <f>IF(AND(Programme_Grunddaten!$A610="Geprüft",Programme_Grunddaten!F610&lt;&gt;""),Programme_Grunddaten!F610,"")</f>
        <v/>
      </c>
      <c r="G605" s="3" t="str">
        <f>IF(AND(Programme_Grunddaten!$A610="Geprüft",Programme_Grunddaten!S610&lt;&gt;""),Programme_Grunddaten!S610,"")</f>
        <v/>
      </c>
      <c r="H605" t="str">
        <f>IF(AND(Programme_Grunddaten!$A610="Geprüft",Programme_Grunddaten!AW610&lt;&gt;""),Programme_Grunddaten!AW610,"")</f>
        <v/>
      </c>
      <c r="I605" t="str">
        <f>IF(AND(Programme_Grunddaten!$A610="Geprüft",Programme_Grunddaten!AX610&lt;&gt;""),Programme_Grunddaten!AX610,"")</f>
        <v/>
      </c>
    </row>
    <row r="606" spans="1:9" x14ac:dyDescent="0.3">
      <c r="A606" s="1" t="str">
        <f>IF(AND(Programme_Grunddaten!$A611="Geprüft",Programme_Grunddaten!B611&lt;&gt;""),Programme_Grunddaten!B611,"")</f>
        <v/>
      </c>
      <c r="B606" s="1" t="str">
        <f>IF(AND(Programme_Grunddaten!$A611="Geprüft",Programme_Grunddaten!C611&lt;&gt;""),Programme_Grunddaten!C611,"")</f>
        <v/>
      </c>
      <c r="C606" s="1" t="str">
        <f>IF(AND(Programme_Grunddaten!$A611="Geprüft",Programme_Grunddaten!D611&lt;&gt;""),Programme_Grunddaten!D611,"")</f>
        <v/>
      </c>
      <c r="D606" s="2" t="str">
        <f>IF(AND(Programme_Grunddaten!$A611="Geprüft",Programme_Grunddaten!E611&lt;&gt;""),Programme_Grunddaten!E611,"")</f>
        <v/>
      </c>
      <c r="E606" t="str">
        <f>IF(AND(Programme_Grunddaten!$A611="Geprüft",Programme_Grunddaten!G611&lt;&gt;""),Programme_Grunddaten!G611,"")</f>
        <v/>
      </c>
      <c r="F606" t="str">
        <f>IF(AND(Programme_Grunddaten!$A611="Geprüft",Programme_Grunddaten!F611&lt;&gt;""),Programme_Grunddaten!F611,"")</f>
        <v/>
      </c>
      <c r="G606" s="3" t="str">
        <f>IF(AND(Programme_Grunddaten!$A611="Geprüft",Programme_Grunddaten!S611&lt;&gt;""),Programme_Grunddaten!S611,"")</f>
        <v/>
      </c>
      <c r="H606" t="str">
        <f>IF(AND(Programme_Grunddaten!$A611="Geprüft",Programme_Grunddaten!AW611&lt;&gt;""),Programme_Grunddaten!AW611,"")</f>
        <v/>
      </c>
      <c r="I606" t="str">
        <f>IF(AND(Programme_Grunddaten!$A611="Geprüft",Programme_Grunddaten!AX611&lt;&gt;""),Programme_Grunddaten!AX611,"")</f>
        <v/>
      </c>
    </row>
    <row r="607" spans="1:9" x14ac:dyDescent="0.3">
      <c r="A607" s="1" t="str">
        <f>IF(AND(Programme_Grunddaten!$A612="Geprüft",Programme_Grunddaten!B612&lt;&gt;""),Programme_Grunddaten!B612,"")</f>
        <v/>
      </c>
      <c r="B607" s="1" t="str">
        <f>IF(AND(Programme_Grunddaten!$A612="Geprüft",Programme_Grunddaten!C612&lt;&gt;""),Programme_Grunddaten!C612,"")</f>
        <v/>
      </c>
      <c r="C607" s="1" t="str">
        <f>IF(AND(Programme_Grunddaten!$A612="Geprüft",Programme_Grunddaten!D612&lt;&gt;""),Programme_Grunddaten!D612,"")</f>
        <v/>
      </c>
      <c r="D607" s="2" t="str">
        <f>IF(AND(Programme_Grunddaten!$A612="Geprüft",Programme_Grunddaten!E612&lt;&gt;""),Programme_Grunddaten!E612,"")</f>
        <v/>
      </c>
      <c r="E607" t="str">
        <f>IF(AND(Programme_Grunddaten!$A612="Geprüft",Programme_Grunddaten!G612&lt;&gt;""),Programme_Grunddaten!G612,"")</f>
        <v/>
      </c>
      <c r="F607" t="str">
        <f>IF(AND(Programme_Grunddaten!$A612="Geprüft",Programme_Grunddaten!F612&lt;&gt;""),Programme_Grunddaten!F612,"")</f>
        <v/>
      </c>
      <c r="G607" s="3" t="str">
        <f>IF(AND(Programme_Grunddaten!$A612="Geprüft",Programme_Grunddaten!S612&lt;&gt;""),Programme_Grunddaten!S612,"")</f>
        <v/>
      </c>
      <c r="H607" t="str">
        <f>IF(AND(Programme_Grunddaten!$A612="Geprüft",Programme_Grunddaten!AW612&lt;&gt;""),Programme_Grunddaten!AW612,"")</f>
        <v/>
      </c>
      <c r="I607" t="str">
        <f>IF(AND(Programme_Grunddaten!$A612="Geprüft",Programme_Grunddaten!AX612&lt;&gt;""),Programme_Grunddaten!AX612,"")</f>
        <v/>
      </c>
    </row>
    <row r="608" spans="1:9" x14ac:dyDescent="0.3">
      <c r="A608" s="1" t="str">
        <f>IF(AND(Programme_Grunddaten!$A613="Geprüft",Programme_Grunddaten!B613&lt;&gt;""),Programme_Grunddaten!B613,"")</f>
        <v/>
      </c>
      <c r="B608" s="1" t="str">
        <f>IF(AND(Programme_Grunddaten!$A613="Geprüft",Programme_Grunddaten!C613&lt;&gt;""),Programme_Grunddaten!C613,"")</f>
        <v/>
      </c>
      <c r="C608" s="1" t="str">
        <f>IF(AND(Programme_Grunddaten!$A613="Geprüft",Programme_Grunddaten!D613&lt;&gt;""),Programme_Grunddaten!D613,"")</f>
        <v/>
      </c>
      <c r="D608" s="2" t="str">
        <f>IF(AND(Programme_Grunddaten!$A613="Geprüft",Programme_Grunddaten!E613&lt;&gt;""),Programme_Grunddaten!E613,"")</f>
        <v/>
      </c>
      <c r="E608" t="str">
        <f>IF(AND(Programme_Grunddaten!$A613="Geprüft",Programme_Grunddaten!G613&lt;&gt;""),Programme_Grunddaten!G613,"")</f>
        <v/>
      </c>
      <c r="F608" t="str">
        <f>IF(AND(Programme_Grunddaten!$A613="Geprüft",Programme_Grunddaten!F613&lt;&gt;""),Programme_Grunddaten!F613,"")</f>
        <v/>
      </c>
      <c r="G608" s="3" t="str">
        <f>IF(AND(Programme_Grunddaten!$A613="Geprüft",Programme_Grunddaten!S613&lt;&gt;""),Programme_Grunddaten!S613,"")</f>
        <v/>
      </c>
      <c r="H608" t="str">
        <f>IF(AND(Programme_Grunddaten!$A613="Geprüft",Programme_Grunddaten!AW613&lt;&gt;""),Programme_Grunddaten!AW613,"")</f>
        <v/>
      </c>
      <c r="I608" t="str">
        <f>IF(AND(Programme_Grunddaten!$A613="Geprüft",Programme_Grunddaten!AX613&lt;&gt;""),Programme_Grunddaten!AX613,"")</f>
        <v/>
      </c>
    </row>
    <row r="609" spans="1:9" x14ac:dyDescent="0.3">
      <c r="A609" s="1" t="str">
        <f>IF(AND(Programme_Grunddaten!$A614="Geprüft",Programme_Grunddaten!B614&lt;&gt;""),Programme_Grunddaten!B614,"")</f>
        <v/>
      </c>
      <c r="B609" s="1" t="str">
        <f>IF(AND(Programme_Grunddaten!$A614="Geprüft",Programme_Grunddaten!C614&lt;&gt;""),Programme_Grunddaten!C614,"")</f>
        <v/>
      </c>
      <c r="C609" s="1" t="str">
        <f>IF(AND(Programme_Grunddaten!$A614="Geprüft",Programme_Grunddaten!D614&lt;&gt;""),Programme_Grunddaten!D614,"")</f>
        <v/>
      </c>
      <c r="D609" s="2" t="str">
        <f>IF(AND(Programme_Grunddaten!$A614="Geprüft",Programme_Grunddaten!E614&lt;&gt;""),Programme_Grunddaten!E614,"")</f>
        <v/>
      </c>
      <c r="E609" t="str">
        <f>IF(AND(Programme_Grunddaten!$A614="Geprüft",Programme_Grunddaten!G614&lt;&gt;""),Programme_Grunddaten!G614,"")</f>
        <v/>
      </c>
      <c r="F609" t="str">
        <f>IF(AND(Programme_Grunddaten!$A614="Geprüft",Programme_Grunddaten!F614&lt;&gt;""),Programme_Grunddaten!F614,"")</f>
        <v/>
      </c>
      <c r="G609" s="3" t="str">
        <f>IF(AND(Programme_Grunddaten!$A614="Geprüft",Programme_Grunddaten!S614&lt;&gt;""),Programme_Grunddaten!S614,"")</f>
        <v/>
      </c>
      <c r="H609" t="str">
        <f>IF(AND(Programme_Grunddaten!$A614="Geprüft",Programme_Grunddaten!AW614&lt;&gt;""),Programme_Grunddaten!AW614,"")</f>
        <v/>
      </c>
      <c r="I609" t="str">
        <f>IF(AND(Programme_Grunddaten!$A614="Geprüft",Programme_Grunddaten!AX614&lt;&gt;""),Programme_Grunddaten!AX614,"")</f>
        <v/>
      </c>
    </row>
    <row r="610" spans="1:9" x14ac:dyDescent="0.3">
      <c r="A610" s="1" t="str">
        <f>IF(AND(Programme_Grunddaten!$A615="Geprüft",Programme_Grunddaten!B615&lt;&gt;""),Programme_Grunddaten!B615,"")</f>
        <v/>
      </c>
      <c r="B610" s="1" t="str">
        <f>IF(AND(Programme_Grunddaten!$A615="Geprüft",Programme_Grunddaten!C615&lt;&gt;""),Programme_Grunddaten!C615,"")</f>
        <v/>
      </c>
      <c r="C610" s="1" t="str">
        <f>IF(AND(Programme_Grunddaten!$A615="Geprüft",Programme_Grunddaten!D615&lt;&gt;""),Programme_Grunddaten!D615,"")</f>
        <v/>
      </c>
      <c r="D610" s="2" t="str">
        <f>IF(AND(Programme_Grunddaten!$A615="Geprüft",Programme_Grunddaten!E615&lt;&gt;""),Programme_Grunddaten!E615,"")</f>
        <v/>
      </c>
      <c r="E610" t="str">
        <f>IF(AND(Programme_Grunddaten!$A615="Geprüft",Programme_Grunddaten!G615&lt;&gt;""),Programme_Grunddaten!G615,"")</f>
        <v/>
      </c>
      <c r="F610" t="str">
        <f>IF(AND(Programme_Grunddaten!$A615="Geprüft",Programme_Grunddaten!F615&lt;&gt;""),Programme_Grunddaten!F615,"")</f>
        <v/>
      </c>
      <c r="G610" s="3" t="str">
        <f>IF(AND(Programme_Grunddaten!$A615="Geprüft",Programme_Grunddaten!S615&lt;&gt;""),Programme_Grunddaten!S615,"")</f>
        <v/>
      </c>
      <c r="H610" t="str">
        <f>IF(AND(Programme_Grunddaten!$A615="Geprüft",Programme_Grunddaten!AW615&lt;&gt;""),Programme_Grunddaten!AW615,"")</f>
        <v/>
      </c>
      <c r="I610" t="str">
        <f>IF(AND(Programme_Grunddaten!$A615="Geprüft",Programme_Grunddaten!AX615&lt;&gt;""),Programme_Grunddaten!AX615,"")</f>
        <v/>
      </c>
    </row>
    <row r="611" spans="1:9" x14ac:dyDescent="0.3">
      <c r="A611" s="1" t="str">
        <f>IF(AND(Programme_Grunddaten!$A616="Geprüft",Programme_Grunddaten!B616&lt;&gt;""),Programme_Grunddaten!B616,"")</f>
        <v/>
      </c>
      <c r="B611" s="1" t="str">
        <f>IF(AND(Programme_Grunddaten!$A616="Geprüft",Programme_Grunddaten!C616&lt;&gt;""),Programme_Grunddaten!C616,"")</f>
        <v/>
      </c>
      <c r="C611" s="1" t="str">
        <f>IF(AND(Programme_Grunddaten!$A616="Geprüft",Programme_Grunddaten!D616&lt;&gt;""),Programme_Grunddaten!D616,"")</f>
        <v/>
      </c>
      <c r="D611" s="2" t="str">
        <f>IF(AND(Programme_Grunddaten!$A616="Geprüft",Programme_Grunddaten!E616&lt;&gt;""),Programme_Grunddaten!E616,"")</f>
        <v/>
      </c>
      <c r="E611" t="str">
        <f>IF(AND(Programme_Grunddaten!$A616="Geprüft",Programme_Grunddaten!G616&lt;&gt;""),Programme_Grunddaten!G616,"")</f>
        <v/>
      </c>
      <c r="F611" t="str">
        <f>IF(AND(Programme_Grunddaten!$A616="Geprüft",Programme_Grunddaten!F616&lt;&gt;""),Programme_Grunddaten!F616,"")</f>
        <v/>
      </c>
      <c r="G611" s="3" t="str">
        <f>IF(AND(Programme_Grunddaten!$A616="Geprüft",Programme_Grunddaten!S616&lt;&gt;""),Programme_Grunddaten!S616,"")</f>
        <v/>
      </c>
      <c r="H611" t="str">
        <f>IF(AND(Programme_Grunddaten!$A616="Geprüft",Programme_Grunddaten!AW616&lt;&gt;""),Programme_Grunddaten!AW616,"")</f>
        <v/>
      </c>
      <c r="I611" t="str">
        <f>IF(AND(Programme_Grunddaten!$A616="Geprüft",Programme_Grunddaten!AX616&lt;&gt;""),Programme_Grunddaten!AX616,"")</f>
        <v/>
      </c>
    </row>
    <row r="612" spans="1:9" x14ac:dyDescent="0.3">
      <c r="A612" s="1" t="str">
        <f>IF(AND(Programme_Grunddaten!$A617="Geprüft",Programme_Grunddaten!B617&lt;&gt;""),Programme_Grunddaten!B617,"")</f>
        <v/>
      </c>
      <c r="B612" s="1" t="str">
        <f>IF(AND(Programme_Grunddaten!$A617="Geprüft",Programme_Grunddaten!C617&lt;&gt;""),Programme_Grunddaten!C617,"")</f>
        <v/>
      </c>
      <c r="C612" s="1" t="str">
        <f>IF(AND(Programme_Grunddaten!$A617="Geprüft",Programme_Grunddaten!D617&lt;&gt;""),Programme_Grunddaten!D617,"")</f>
        <v/>
      </c>
      <c r="D612" s="2" t="str">
        <f>IF(AND(Programme_Grunddaten!$A617="Geprüft",Programme_Grunddaten!E617&lt;&gt;""),Programme_Grunddaten!E617,"")</f>
        <v/>
      </c>
      <c r="E612" t="str">
        <f>IF(AND(Programme_Grunddaten!$A617="Geprüft",Programme_Grunddaten!G617&lt;&gt;""),Programme_Grunddaten!G617,"")</f>
        <v/>
      </c>
      <c r="F612" t="str">
        <f>IF(AND(Programme_Grunddaten!$A617="Geprüft",Programme_Grunddaten!F617&lt;&gt;""),Programme_Grunddaten!F617,"")</f>
        <v/>
      </c>
      <c r="G612" s="3" t="str">
        <f>IF(AND(Programme_Grunddaten!$A617="Geprüft",Programme_Grunddaten!S617&lt;&gt;""),Programme_Grunddaten!S617,"")</f>
        <v/>
      </c>
      <c r="H612" t="str">
        <f>IF(AND(Programme_Grunddaten!$A617="Geprüft",Programme_Grunddaten!AW617&lt;&gt;""),Programme_Grunddaten!AW617,"")</f>
        <v/>
      </c>
      <c r="I612" t="str">
        <f>IF(AND(Programme_Grunddaten!$A617="Geprüft",Programme_Grunddaten!AX617&lt;&gt;""),Programme_Grunddaten!AX617,"")</f>
        <v/>
      </c>
    </row>
    <row r="613" spans="1:9" x14ac:dyDescent="0.3">
      <c r="A613" s="1" t="str">
        <f>IF(AND(Programme_Grunddaten!$A618="Geprüft",Programme_Grunddaten!B618&lt;&gt;""),Programme_Grunddaten!B618,"")</f>
        <v/>
      </c>
      <c r="B613" s="1" t="str">
        <f>IF(AND(Programme_Grunddaten!$A618="Geprüft",Programme_Grunddaten!C618&lt;&gt;""),Programme_Grunddaten!C618,"")</f>
        <v/>
      </c>
      <c r="C613" s="1" t="str">
        <f>IF(AND(Programme_Grunddaten!$A618="Geprüft",Programme_Grunddaten!D618&lt;&gt;""),Programme_Grunddaten!D618,"")</f>
        <v/>
      </c>
      <c r="D613" s="2" t="str">
        <f>IF(AND(Programme_Grunddaten!$A618="Geprüft",Programme_Grunddaten!E618&lt;&gt;""),Programme_Grunddaten!E618,"")</f>
        <v/>
      </c>
      <c r="E613" t="str">
        <f>IF(AND(Programme_Grunddaten!$A618="Geprüft",Programme_Grunddaten!G618&lt;&gt;""),Programme_Grunddaten!G618,"")</f>
        <v/>
      </c>
      <c r="F613" t="str">
        <f>IF(AND(Programme_Grunddaten!$A618="Geprüft",Programme_Grunddaten!F618&lt;&gt;""),Programme_Grunddaten!F618,"")</f>
        <v/>
      </c>
      <c r="G613" s="3" t="str">
        <f>IF(AND(Programme_Grunddaten!$A618="Geprüft",Programme_Grunddaten!S618&lt;&gt;""),Programme_Grunddaten!S618,"")</f>
        <v/>
      </c>
      <c r="H613" t="str">
        <f>IF(AND(Programme_Grunddaten!$A618="Geprüft",Programme_Grunddaten!AW618&lt;&gt;""),Programme_Grunddaten!AW618,"")</f>
        <v/>
      </c>
      <c r="I613" t="str">
        <f>IF(AND(Programme_Grunddaten!$A618="Geprüft",Programme_Grunddaten!AX618&lt;&gt;""),Programme_Grunddaten!AX618,"")</f>
        <v/>
      </c>
    </row>
    <row r="614" spans="1:9" x14ac:dyDescent="0.3">
      <c r="A614" s="1" t="str">
        <f>IF(AND(Programme_Grunddaten!$A619="Geprüft",Programme_Grunddaten!B619&lt;&gt;""),Programme_Grunddaten!B619,"")</f>
        <v/>
      </c>
      <c r="B614" s="1" t="str">
        <f>IF(AND(Programme_Grunddaten!$A619="Geprüft",Programme_Grunddaten!C619&lt;&gt;""),Programme_Grunddaten!C619,"")</f>
        <v/>
      </c>
      <c r="C614" s="1" t="str">
        <f>IF(AND(Programme_Grunddaten!$A619="Geprüft",Programme_Grunddaten!D619&lt;&gt;""),Programme_Grunddaten!D619,"")</f>
        <v/>
      </c>
      <c r="D614" s="2" t="str">
        <f>IF(AND(Programme_Grunddaten!$A619="Geprüft",Programme_Grunddaten!E619&lt;&gt;""),Programme_Grunddaten!E619,"")</f>
        <v/>
      </c>
      <c r="E614" t="str">
        <f>IF(AND(Programme_Grunddaten!$A619="Geprüft",Programme_Grunddaten!G619&lt;&gt;""),Programme_Grunddaten!G619,"")</f>
        <v/>
      </c>
      <c r="F614" t="str">
        <f>IF(AND(Programme_Grunddaten!$A619="Geprüft",Programme_Grunddaten!F619&lt;&gt;""),Programme_Grunddaten!F619,"")</f>
        <v/>
      </c>
      <c r="G614" s="3" t="str">
        <f>IF(AND(Programme_Grunddaten!$A619="Geprüft",Programme_Grunddaten!S619&lt;&gt;""),Programme_Grunddaten!S619,"")</f>
        <v/>
      </c>
      <c r="H614" t="str">
        <f>IF(AND(Programme_Grunddaten!$A619="Geprüft",Programme_Grunddaten!AW619&lt;&gt;""),Programme_Grunddaten!AW619,"")</f>
        <v/>
      </c>
      <c r="I614" t="str">
        <f>IF(AND(Programme_Grunddaten!$A619="Geprüft",Programme_Grunddaten!AX619&lt;&gt;""),Programme_Grunddaten!AX619,"")</f>
        <v/>
      </c>
    </row>
    <row r="615" spans="1:9" x14ac:dyDescent="0.3">
      <c r="A615" s="1" t="str">
        <f>IF(AND(Programme_Grunddaten!$A620="Geprüft",Programme_Grunddaten!B620&lt;&gt;""),Programme_Grunddaten!B620,"")</f>
        <v/>
      </c>
      <c r="B615" s="1" t="str">
        <f>IF(AND(Programme_Grunddaten!$A620="Geprüft",Programme_Grunddaten!C620&lt;&gt;""),Programme_Grunddaten!C620,"")</f>
        <v/>
      </c>
      <c r="C615" s="1" t="str">
        <f>IF(AND(Programme_Grunddaten!$A620="Geprüft",Programme_Grunddaten!D620&lt;&gt;""),Programme_Grunddaten!D620,"")</f>
        <v/>
      </c>
      <c r="D615" s="2" t="str">
        <f>IF(AND(Programme_Grunddaten!$A620="Geprüft",Programme_Grunddaten!E620&lt;&gt;""),Programme_Grunddaten!E620,"")</f>
        <v/>
      </c>
      <c r="E615" t="str">
        <f>IF(AND(Programme_Grunddaten!$A620="Geprüft",Programme_Grunddaten!G620&lt;&gt;""),Programme_Grunddaten!G620,"")</f>
        <v/>
      </c>
      <c r="F615" t="str">
        <f>IF(AND(Programme_Grunddaten!$A620="Geprüft",Programme_Grunddaten!F620&lt;&gt;""),Programme_Grunddaten!F620,"")</f>
        <v/>
      </c>
      <c r="G615" s="3" t="str">
        <f>IF(AND(Programme_Grunddaten!$A620="Geprüft",Programme_Grunddaten!S620&lt;&gt;""),Programme_Grunddaten!S620,"")</f>
        <v/>
      </c>
      <c r="H615" t="str">
        <f>IF(AND(Programme_Grunddaten!$A620="Geprüft",Programme_Grunddaten!AW620&lt;&gt;""),Programme_Grunddaten!AW620,"")</f>
        <v/>
      </c>
      <c r="I615" t="str">
        <f>IF(AND(Programme_Grunddaten!$A620="Geprüft",Programme_Grunddaten!AX620&lt;&gt;""),Programme_Grunddaten!AX620,"")</f>
        <v/>
      </c>
    </row>
    <row r="616" spans="1:9" x14ac:dyDescent="0.3">
      <c r="A616" s="1" t="str">
        <f>IF(AND(Programme_Grunddaten!$A621="Geprüft",Programme_Grunddaten!B621&lt;&gt;""),Programme_Grunddaten!B621,"")</f>
        <v/>
      </c>
      <c r="B616" s="1" t="str">
        <f>IF(AND(Programme_Grunddaten!$A621="Geprüft",Programme_Grunddaten!C621&lt;&gt;""),Programme_Grunddaten!C621,"")</f>
        <v/>
      </c>
      <c r="C616" s="1" t="str">
        <f>IF(AND(Programme_Grunddaten!$A621="Geprüft",Programme_Grunddaten!D621&lt;&gt;""),Programme_Grunddaten!D621,"")</f>
        <v/>
      </c>
      <c r="D616" s="2" t="str">
        <f>IF(AND(Programme_Grunddaten!$A621="Geprüft",Programme_Grunddaten!E621&lt;&gt;""),Programme_Grunddaten!E621,"")</f>
        <v/>
      </c>
      <c r="E616" t="str">
        <f>IF(AND(Programme_Grunddaten!$A621="Geprüft",Programme_Grunddaten!G621&lt;&gt;""),Programme_Grunddaten!G621,"")</f>
        <v/>
      </c>
      <c r="F616" t="str">
        <f>IF(AND(Programme_Grunddaten!$A621="Geprüft",Programme_Grunddaten!F621&lt;&gt;""),Programme_Grunddaten!F621,"")</f>
        <v/>
      </c>
      <c r="G616" s="3" t="str">
        <f>IF(AND(Programme_Grunddaten!$A621="Geprüft",Programme_Grunddaten!S621&lt;&gt;""),Programme_Grunddaten!S621,"")</f>
        <v/>
      </c>
      <c r="H616" t="str">
        <f>IF(AND(Programme_Grunddaten!$A621="Geprüft",Programme_Grunddaten!AW621&lt;&gt;""),Programme_Grunddaten!AW621,"")</f>
        <v/>
      </c>
      <c r="I616" t="str">
        <f>IF(AND(Programme_Grunddaten!$A621="Geprüft",Programme_Grunddaten!AX621&lt;&gt;""),Programme_Grunddaten!AX621,"")</f>
        <v/>
      </c>
    </row>
    <row r="617" spans="1:9" x14ac:dyDescent="0.3">
      <c r="A617" s="1" t="str">
        <f>IF(AND(Programme_Grunddaten!$A622="Geprüft",Programme_Grunddaten!B622&lt;&gt;""),Programme_Grunddaten!B622,"")</f>
        <v/>
      </c>
      <c r="B617" s="1" t="str">
        <f>IF(AND(Programme_Grunddaten!$A622="Geprüft",Programme_Grunddaten!C622&lt;&gt;""),Programme_Grunddaten!C622,"")</f>
        <v/>
      </c>
      <c r="C617" s="1" t="str">
        <f>IF(AND(Programme_Grunddaten!$A622="Geprüft",Programme_Grunddaten!D622&lt;&gt;""),Programme_Grunddaten!D622,"")</f>
        <v/>
      </c>
      <c r="D617" s="2" t="str">
        <f>IF(AND(Programme_Grunddaten!$A622="Geprüft",Programme_Grunddaten!E622&lt;&gt;""),Programme_Grunddaten!E622,"")</f>
        <v/>
      </c>
      <c r="E617" t="str">
        <f>IF(AND(Programme_Grunddaten!$A622="Geprüft",Programme_Grunddaten!G622&lt;&gt;""),Programme_Grunddaten!G622,"")</f>
        <v/>
      </c>
      <c r="F617" t="str">
        <f>IF(AND(Programme_Grunddaten!$A622="Geprüft",Programme_Grunddaten!F622&lt;&gt;""),Programme_Grunddaten!F622,"")</f>
        <v/>
      </c>
      <c r="G617" s="3" t="str">
        <f>IF(AND(Programme_Grunddaten!$A622="Geprüft",Programme_Grunddaten!S622&lt;&gt;""),Programme_Grunddaten!S622,"")</f>
        <v/>
      </c>
      <c r="H617" t="str">
        <f>IF(AND(Programme_Grunddaten!$A622="Geprüft",Programme_Grunddaten!AW622&lt;&gt;""),Programme_Grunddaten!AW622,"")</f>
        <v/>
      </c>
      <c r="I617" t="str">
        <f>IF(AND(Programme_Grunddaten!$A622="Geprüft",Programme_Grunddaten!AX622&lt;&gt;""),Programme_Grunddaten!AX622,"")</f>
        <v/>
      </c>
    </row>
    <row r="618" spans="1:9" x14ac:dyDescent="0.3">
      <c r="A618" s="1" t="str">
        <f>IF(AND(Programme_Grunddaten!$A623="Geprüft",Programme_Grunddaten!B623&lt;&gt;""),Programme_Grunddaten!B623,"")</f>
        <v/>
      </c>
      <c r="B618" s="1" t="str">
        <f>IF(AND(Programme_Grunddaten!$A623="Geprüft",Programme_Grunddaten!C623&lt;&gt;""),Programme_Grunddaten!C623,"")</f>
        <v/>
      </c>
      <c r="C618" s="1" t="str">
        <f>IF(AND(Programme_Grunddaten!$A623="Geprüft",Programme_Grunddaten!D623&lt;&gt;""),Programme_Grunddaten!D623,"")</f>
        <v/>
      </c>
      <c r="D618" s="2" t="str">
        <f>IF(AND(Programme_Grunddaten!$A623="Geprüft",Programme_Grunddaten!E623&lt;&gt;""),Programme_Grunddaten!E623,"")</f>
        <v/>
      </c>
      <c r="E618" t="str">
        <f>IF(AND(Programme_Grunddaten!$A623="Geprüft",Programme_Grunddaten!G623&lt;&gt;""),Programme_Grunddaten!G623,"")</f>
        <v/>
      </c>
      <c r="F618" t="str">
        <f>IF(AND(Programme_Grunddaten!$A623="Geprüft",Programme_Grunddaten!F623&lt;&gt;""),Programme_Grunddaten!F623,"")</f>
        <v/>
      </c>
      <c r="G618" s="3" t="str">
        <f>IF(AND(Programme_Grunddaten!$A623="Geprüft",Programme_Grunddaten!S623&lt;&gt;""),Programme_Grunddaten!S623,"")</f>
        <v/>
      </c>
      <c r="H618" t="str">
        <f>IF(AND(Programme_Grunddaten!$A623="Geprüft",Programme_Grunddaten!AW623&lt;&gt;""),Programme_Grunddaten!AW623,"")</f>
        <v/>
      </c>
      <c r="I618" t="str">
        <f>IF(AND(Programme_Grunddaten!$A623="Geprüft",Programme_Grunddaten!AX623&lt;&gt;""),Programme_Grunddaten!AX623,"")</f>
        <v/>
      </c>
    </row>
    <row r="619" spans="1:9" x14ac:dyDescent="0.3">
      <c r="A619" s="1" t="str">
        <f>IF(AND(Programme_Grunddaten!$A624="Geprüft",Programme_Grunddaten!B624&lt;&gt;""),Programme_Grunddaten!B624,"")</f>
        <v/>
      </c>
      <c r="B619" s="1" t="str">
        <f>IF(AND(Programme_Grunddaten!$A624="Geprüft",Programme_Grunddaten!C624&lt;&gt;""),Programme_Grunddaten!C624,"")</f>
        <v/>
      </c>
      <c r="C619" s="1" t="str">
        <f>IF(AND(Programme_Grunddaten!$A624="Geprüft",Programme_Grunddaten!D624&lt;&gt;""),Programme_Grunddaten!D624,"")</f>
        <v/>
      </c>
      <c r="D619" s="2" t="str">
        <f>IF(AND(Programme_Grunddaten!$A624="Geprüft",Programme_Grunddaten!E624&lt;&gt;""),Programme_Grunddaten!E624,"")</f>
        <v/>
      </c>
      <c r="E619" t="str">
        <f>IF(AND(Programme_Grunddaten!$A624="Geprüft",Programme_Grunddaten!G624&lt;&gt;""),Programme_Grunddaten!G624,"")</f>
        <v/>
      </c>
      <c r="F619" t="str">
        <f>IF(AND(Programme_Grunddaten!$A624="Geprüft",Programme_Grunddaten!F624&lt;&gt;""),Programme_Grunddaten!F624,"")</f>
        <v/>
      </c>
      <c r="G619" s="3" t="str">
        <f>IF(AND(Programme_Grunddaten!$A624="Geprüft",Programme_Grunddaten!S624&lt;&gt;""),Programme_Grunddaten!S624,"")</f>
        <v/>
      </c>
      <c r="H619" t="str">
        <f>IF(AND(Programme_Grunddaten!$A624="Geprüft",Programme_Grunddaten!AW624&lt;&gt;""),Programme_Grunddaten!AW624,"")</f>
        <v/>
      </c>
      <c r="I619" t="str">
        <f>IF(AND(Programme_Grunddaten!$A624="Geprüft",Programme_Grunddaten!AX624&lt;&gt;""),Programme_Grunddaten!AX624,"")</f>
        <v/>
      </c>
    </row>
    <row r="620" spans="1:9" x14ac:dyDescent="0.3">
      <c r="A620" s="1" t="str">
        <f>IF(AND(Programme_Grunddaten!$A625="Geprüft",Programme_Grunddaten!B625&lt;&gt;""),Programme_Grunddaten!B625,"")</f>
        <v/>
      </c>
      <c r="B620" s="1" t="str">
        <f>IF(AND(Programme_Grunddaten!$A625="Geprüft",Programme_Grunddaten!C625&lt;&gt;""),Programme_Grunddaten!C625,"")</f>
        <v/>
      </c>
      <c r="C620" s="1" t="str">
        <f>IF(AND(Programme_Grunddaten!$A625="Geprüft",Programme_Grunddaten!D625&lt;&gt;""),Programme_Grunddaten!D625,"")</f>
        <v/>
      </c>
      <c r="D620" s="2" t="str">
        <f>IF(AND(Programme_Grunddaten!$A625="Geprüft",Programme_Grunddaten!E625&lt;&gt;""),Programme_Grunddaten!E625,"")</f>
        <v/>
      </c>
      <c r="E620" t="str">
        <f>IF(AND(Programme_Grunddaten!$A625="Geprüft",Programme_Grunddaten!G625&lt;&gt;""),Programme_Grunddaten!G625,"")</f>
        <v/>
      </c>
      <c r="F620" t="str">
        <f>IF(AND(Programme_Grunddaten!$A625="Geprüft",Programme_Grunddaten!F625&lt;&gt;""),Programme_Grunddaten!F625,"")</f>
        <v/>
      </c>
      <c r="G620" s="3" t="str">
        <f>IF(AND(Programme_Grunddaten!$A625="Geprüft",Programme_Grunddaten!S625&lt;&gt;""),Programme_Grunddaten!S625,"")</f>
        <v/>
      </c>
      <c r="H620" t="str">
        <f>IF(AND(Programme_Grunddaten!$A625="Geprüft",Programme_Grunddaten!AW625&lt;&gt;""),Programme_Grunddaten!AW625,"")</f>
        <v/>
      </c>
      <c r="I620" t="str">
        <f>IF(AND(Programme_Grunddaten!$A625="Geprüft",Programme_Grunddaten!AX625&lt;&gt;""),Programme_Grunddaten!AX625,"")</f>
        <v/>
      </c>
    </row>
    <row r="621" spans="1:9" x14ac:dyDescent="0.3">
      <c r="A621" s="1" t="str">
        <f>IF(AND(Programme_Grunddaten!$A626="Geprüft",Programme_Grunddaten!B626&lt;&gt;""),Programme_Grunddaten!B626,"")</f>
        <v/>
      </c>
      <c r="B621" s="1" t="str">
        <f>IF(AND(Programme_Grunddaten!$A626="Geprüft",Programme_Grunddaten!C626&lt;&gt;""),Programme_Grunddaten!C626,"")</f>
        <v/>
      </c>
      <c r="C621" s="1" t="str">
        <f>IF(AND(Programme_Grunddaten!$A626="Geprüft",Programme_Grunddaten!D626&lt;&gt;""),Programme_Grunddaten!D626,"")</f>
        <v/>
      </c>
      <c r="D621" s="2" t="str">
        <f>IF(AND(Programme_Grunddaten!$A626="Geprüft",Programme_Grunddaten!E626&lt;&gt;""),Programme_Grunddaten!E626,"")</f>
        <v/>
      </c>
      <c r="E621" t="str">
        <f>IF(AND(Programme_Grunddaten!$A626="Geprüft",Programme_Grunddaten!G626&lt;&gt;""),Programme_Grunddaten!G626,"")</f>
        <v/>
      </c>
      <c r="F621" t="str">
        <f>IF(AND(Programme_Grunddaten!$A626="Geprüft",Programme_Grunddaten!F626&lt;&gt;""),Programme_Grunddaten!F626,"")</f>
        <v/>
      </c>
      <c r="G621" s="3" t="str">
        <f>IF(AND(Programme_Grunddaten!$A626="Geprüft",Programme_Grunddaten!S626&lt;&gt;""),Programme_Grunddaten!S626,"")</f>
        <v/>
      </c>
      <c r="H621" t="str">
        <f>IF(AND(Programme_Grunddaten!$A626="Geprüft",Programme_Grunddaten!AW626&lt;&gt;""),Programme_Grunddaten!AW626,"")</f>
        <v/>
      </c>
      <c r="I621" t="str">
        <f>IF(AND(Programme_Grunddaten!$A626="Geprüft",Programme_Grunddaten!AX626&lt;&gt;""),Programme_Grunddaten!AX626,"")</f>
        <v/>
      </c>
    </row>
    <row r="622" spans="1:9" x14ac:dyDescent="0.3">
      <c r="A622" s="1" t="str">
        <f>IF(AND(Programme_Grunddaten!$A627="Geprüft",Programme_Grunddaten!B627&lt;&gt;""),Programme_Grunddaten!B627,"")</f>
        <v/>
      </c>
      <c r="B622" s="1" t="str">
        <f>IF(AND(Programme_Grunddaten!$A627="Geprüft",Programme_Grunddaten!C627&lt;&gt;""),Programme_Grunddaten!C627,"")</f>
        <v/>
      </c>
      <c r="C622" s="1" t="str">
        <f>IF(AND(Programme_Grunddaten!$A627="Geprüft",Programme_Grunddaten!D627&lt;&gt;""),Programme_Grunddaten!D627,"")</f>
        <v/>
      </c>
      <c r="D622" s="2" t="str">
        <f>IF(AND(Programme_Grunddaten!$A627="Geprüft",Programme_Grunddaten!E627&lt;&gt;""),Programme_Grunddaten!E627,"")</f>
        <v/>
      </c>
      <c r="E622" t="str">
        <f>IF(AND(Programme_Grunddaten!$A627="Geprüft",Programme_Grunddaten!G627&lt;&gt;""),Programme_Grunddaten!G627,"")</f>
        <v/>
      </c>
      <c r="F622" t="str">
        <f>IF(AND(Programme_Grunddaten!$A627="Geprüft",Programme_Grunddaten!F627&lt;&gt;""),Programme_Grunddaten!F627,"")</f>
        <v/>
      </c>
      <c r="G622" s="3" t="str">
        <f>IF(AND(Programme_Grunddaten!$A627="Geprüft",Programme_Grunddaten!S627&lt;&gt;""),Programme_Grunddaten!S627,"")</f>
        <v/>
      </c>
      <c r="H622" t="str">
        <f>IF(AND(Programme_Grunddaten!$A627="Geprüft",Programme_Grunddaten!AW627&lt;&gt;""),Programme_Grunddaten!AW627,"")</f>
        <v/>
      </c>
      <c r="I622" t="str">
        <f>IF(AND(Programme_Grunddaten!$A627="Geprüft",Programme_Grunddaten!AX627&lt;&gt;""),Programme_Grunddaten!AX627,"")</f>
        <v/>
      </c>
    </row>
    <row r="623" spans="1:9" x14ac:dyDescent="0.3">
      <c r="A623" s="1" t="str">
        <f>IF(AND(Programme_Grunddaten!$A628="Geprüft",Programme_Grunddaten!B628&lt;&gt;""),Programme_Grunddaten!B628,"")</f>
        <v/>
      </c>
      <c r="B623" s="1" t="str">
        <f>IF(AND(Programme_Grunddaten!$A628="Geprüft",Programme_Grunddaten!C628&lt;&gt;""),Programme_Grunddaten!C628,"")</f>
        <v/>
      </c>
      <c r="C623" s="1" t="str">
        <f>IF(AND(Programme_Grunddaten!$A628="Geprüft",Programme_Grunddaten!D628&lt;&gt;""),Programme_Grunddaten!D628,"")</f>
        <v/>
      </c>
      <c r="D623" s="2" t="str">
        <f>IF(AND(Programme_Grunddaten!$A628="Geprüft",Programme_Grunddaten!E628&lt;&gt;""),Programme_Grunddaten!E628,"")</f>
        <v/>
      </c>
      <c r="E623" t="str">
        <f>IF(AND(Programme_Grunddaten!$A628="Geprüft",Programme_Grunddaten!G628&lt;&gt;""),Programme_Grunddaten!G628,"")</f>
        <v/>
      </c>
      <c r="F623" t="str">
        <f>IF(AND(Programme_Grunddaten!$A628="Geprüft",Programme_Grunddaten!F628&lt;&gt;""),Programme_Grunddaten!F628,"")</f>
        <v/>
      </c>
      <c r="G623" s="3" t="str">
        <f>IF(AND(Programme_Grunddaten!$A628="Geprüft",Programme_Grunddaten!S628&lt;&gt;""),Programme_Grunddaten!S628,"")</f>
        <v/>
      </c>
      <c r="H623" t="str">
        <f>IF(AND(Programme_Grunddaten!$A628="Geprüft",Programme_Grunddaten!AW628&lt;&gt;""),Programme_Grunddaten!AW628,"")</f>
        <v/>
      </c>
      <c r="I623" t="str">
        <f>IF(AND(Programme_Grunddaten!$A628="Geprüft",Programme_Grunddaten!AX628&lt;&gt;""),Programme_Grunddaten!AX628,"")</f>
        <v/>
      </c>
    </row>
    <row r="624" spans="1:9" x14ac:dyDescent="0.3">
      <c r="A624" s="1" t="str">
        <f>IF(AND(Programme_Grunddaten!$A629="Geprüft",Programme_Grunddaten!B629&lt;&gt;""),Programme_Grunddaten!B629,"")</f>
        <v/>
      </c>
      <c r="B624" s="1" t="str">
        <f>IF(AND(Programme_Grunddaten!$A629="Geprüft",Programme_Grunddaten!C629&lt;&gt;""),Programme_Grunddaten!C629,"")</f>
        <v/>
      </c>
      <c r="C624" s="1" t="str">
        <f>IF(AND(Programme_Grunddaten!$A629="Geprüft",Programme_Grunddaten!D629&lt;&gt;""),Programme_Grunddaten!D629,"")</f>
        <v/>
      </c>
      <c r="D624" s="2" t="str">
        <f>IF(AND(Programme_Grunddaten!$A629="Geprüft",Programme_Grunddaten!E629&lt;&gt;""),Programme_Grunddaten!E629,"")</f>
        <v/>
      </c>
      <c r="E624" t="str">
        <f>IF(AND(Programme_Grunddaten!$A629="Geprüft",Programme_Grunddaten!G629&lt;&gt;""),Programme_Grunddaten!G629,"")</f>
        <v/>
      </c>
      <c r="F624" t="str">
        <f>IF(AND(Programme_Grunddaten!$A629="Geprüft",Programme_Grunddaten!F629&lt;&gt;""),Programme_Grunddaten!F629,"")</f>
        <v/>
      </c>
      <c r="G624" s="3" t="str">
        <f>IF(AND(Programme_Grunddaten!$A629="Geprüft",Programme_Grunddaten!S629&lt;&gt;""),Programme_Grunddaten!S629,"")</f>
        <v/>
      </c>
      <c r="H624" t="str">
        <f>IF(AND(Programme_Grunddaten!$A629="Geprüft",Programme_Grunddaten!AW629&lt;&gt;""),Programme_Grunddaten!AW629,"")</f>
        <v/>
      </c>
      <c r="I624" t="str">
        <f>IF(AND(Programme_Grunddaten!$A629="Geprüft",Programme_Grunddaten!AX629&lt;&gt;""),Programme_Grunddaten!AX629,"")</f>
        <v/>
      </c>
    </row>
    <row r="625" spans="1:9" x14ac:dyDescent="0.3">
      <c r="A625" s="1" t="str">
        <f>IF(AND(Programme_Grunddaten!$A630="Geprüft",Programme_Grunddaten!B630&lt;&gt;""),Programme_Grunddaten!B630,"")</f>
        <v/>
      </c>
      <c r="B625" s="1" t="str">
        <f>IF(AND(Programme_Grunddaten!$A630="Geprüft",Programme_Grunddaten!C630&lt;&gt;""),Programme_Grunddaten!C630,"")</f>
        <v/>
      </c>
      <c r="C625" s="1" t="str">
        <f>IF(AND(Programme_Grunddaten!$A630="Geprüft",Programme_Grunddaten!D630&lt;&gt;""),Programme_Grunddaten!D630,"")</f>
        <v/>
      </c>
      <c r="D625" s="2" t="str">
        <f>IF(AND(Programme_Grunddaten!$A630="Geprüft",Programme_Grunddaten!E630&lt;&gt;""),Programme_Grunddaten!E630,"")</f>
        <v/>
      </c>
      <c r="E625" t="str">
        <f>IF(AND(Programme_Grunddaten!$A630="Geprüft",Programme_Grunddaten!G630&lt;&gt;""),Programme_Grunddaten!G630,"")</f>
        <v/>
      </c>
      <c r="F625" t="str">
        <f>IF(AND(Programme_Grunddaten!$A630="Geprüft",Programme_Grunddaten!F630&lt;&gt;""),Programme_Grunddaten!F630,"")</f>
        <v/>
      </c>
      <c r="G625" s="3" t="str">
        <f>IF(AND(Programme_Grunddaten!$A630="Geprüft",Programme_Grunddaten!S630&lt;&gt;""),Programme_Grunddaten!S630,"")</f>
        <v/>
      </c>
      <c r="H625" t="str">
        <f>IF(AND(Programme_Grunddaten!$A630="Geprüft",Programme_Grunddaten!AW630&lt;&gt;""),Programme_Grunddaten!AW630,"")</f>
        <v/>
      </c>
      <c r="I625" t="str">
        <f>IF(AND(Programme_Grunddaten!$A630="Geprüft",Programme_Grunddaten!AX630&lt;&gt;""),Programme_Grunddaten!AX630,"")</f>
        <v/>
      </c>
    </row>
    <row r="626" spans="1:9" x14ac:dyDescent="0.3">
      <c r="A626" s="1" t="str">
        <f>IF(AND(Programme_Grunddaten!$A631="Geprüft",Programme_Grunddaten!B631&lt;&gt;""),Programme_Grunddaten!B631,"")</f>
        <v/>
      </c>
      <c r="B626" s="1" t="str">
        <f>IF(AND(Programme_Grunddaten!$A631="Geprüft",Programme_Grunddaten!C631&lt;&gt;""),Programme_Grunddaten!C631,"")</f>
        <v/>
      </c>
      <c r="C626" s="1" t="str">
        <f>IF(AND(Programme_Grunddaten!$A631="Geprüft",Programme_Grunddaten!D631&lt;&gt;""),Programme_Grunddaten!D631,"")</f>
        <v/>
      </c>
      <c r="D626" s="2" t="str">
        <f>IF(AND(Programme_Grunddaten!$A631="Geprüft",Programme_Grunddaten!E631&lt;&gt;""),Programme_Grunddaten!E631,"")</f>
        <v/>
      </c>
      <c r="E626" t="str">
        <f>IF(AND(Programme_Grunddaten!$A631="Geprüft",Programme_Grunddaten!G631&lt;&gt;""),Programme_Grunddaten!G631,"")</f>
        <v/>
      </c>
      <c r="F626" t="str">
        <f>IF(AND(Programme_Grunddaten!$A631="Geprüft",Programme_Grunddaten!F631&lt;&gt;""),Programme_Grunddaten!F631,"")</f>
        <v/>
      </c>
      <c r="G626" s="3" t="str">
        <f>IF(AND(Programme_Grunddaten!$A631="Geprüft",Programme_Grunddaten!S631&lt;&gt;""),Programme_Grunddaten!S631,"")</f>
        <v/>
      </c>
      <c r="H626" t="str">
        <f>IF(AND(Programme_Grunddaten!$A631="Geprüft",Programme_Grunddaten!AW631&lt;&gt;""),Programme_Grunddaten!AW631,"")</f>
        <v/>
      </c>
      <c r="I626" t="str">
        <f>IF(AND(Programme_Grunddaten!$A631="Geprüft",Programme_Grunddaten!AX631&lt;&gt;""),Programme_Grunddaten!AX631,"")</f>
        <v/>
      </c>
    </row>
    <row r="627" spans="1:9" x14ac:dyDescent="0.3">
      <c r="A627" s="1" t="str">
        <f>IF(AND(Programme_Grunddaten!$A632="Geprüft",Programme_Grunddaten!B632&lt;&gt;""),Programme_Grunddaten!B632,"")</f>
        <v/>
      </c>
      <c r="B627" s="1" t="str">
        <f>IF(AND(Programme_Grunddaten!$A632="Geprüft",Programme_Grunddaten!C632&lt;&gt;""),Programme_Grunddaten!C632,"")</f>
        <v/>
      </c>
      <c r="C627" s="1" t="str">
        <f>IF(AND(Programme_Grunddaten!$A632="Geprüft",Programme_Grunddaten!D632&lt;&gt;""),Programme_Grunddaten!D632,"")</f>
        <v/>
      </c>
      <c r="D627" s="2" t="str">
        <f>IF(AND(Programme_Grunddaten!$A632="Geprüft",Programme_Grunddaten!E632&lt;&gt;""),Programme_Grunddaten!E632,"")</f>
        <v/>
      </c>
      <c r="E627" t="str">
        <f>IF(AND(Programme_Grunddaten!$A632="Geprüft",Programme_Grunddaten!G632&lt;&gt;""),Programme_Grunddaten!G632,"")</f>
        <v/>
      </c>
      <c r="F627" t="str">
        <f>IF(AND(Programme_Grunddaten!$A632="Geprüft",Programme_Grunddaten!F632&lt;&gt;""),Programme_Grunddaten!F632,"")</f>
        <v/>
      </c>
      <c r="G627" s="3" t="str">
        <f>IF(AND(Programme_Grunddaten!$A632="Geprüft",Programme_Grunddaten!S632&lt;&gt;""),Programme_Grunddaten!S632,"")</f>
        <v/>
      </c>
      <c r="H627" t="str">
        <f>IF(AND(Programme_Grunddaten!$A632="Geprüft",Programme_Grunddaten!AW632&lt;&gt;""),Programme_Grunddaten!AW632,"")</f>
        <v/>
      </c>
      <c r="I627" t="str">
        <f>IF(AND(Programme_Grunddaten!$A632="Geprüft",Programme_Grunddaten!AX632&lt;&gt;""),Programme_Grunddaten!AX632,"")</f>
        <v/>
      </c>
    </row>
    <row r="628" spans="1:9" x14ac:dyDescent="0.3">
      <c r="A628" s="1" t="str">
        <f>IF(AND(Programme_Grunddaten!$A633="Geprüft",Programme_Grunddaten!B633&lt;&gt;""),Programme_Grunddaten!B633,"")</f>
        <v/>
      </c>
      <c r="B628" s="1" t="str">
        <f>IF(AND(Programme_Grunddaten!$A633="Geprüft",Programme_Grunddaten!C633&lt;&gt;""),Programme_Grunddaten!C633,"")</f>
        <v/>
      </c>
      <c r="C628" s="1" t="str">
        <f>IF(AND(Programme_Grunddaten!$A633="Geprüft",Programme_Grunddaten!D633&lt;&gt;""),Programme_Grunddaten!D633,"")</f>
        <v/>
      </c>
      <c r="D628" s="2" t="str">
        <f>IF(AND(Programme_Grunddaten!$A633="Geprüft",Programme_Grunddaten!E633&lt;&gt;""),Programme_Grunddaten!E633,"")</f>
        <v/>
      </c>
      <c r="E628" t="str">
        <f>IF(AND(Programme_Grunddaten!$A633="Geprüft",Programme_Grunddaten!G633&lt;&gt;""),Programme_Grunddaten!G633,"")</f>
        <v/>
      </c>
      <c r="F628" t="str">
        <f>IF(AND(Programme_Grunddaten!$A633="Geprüft",Programme_Grunddaten!F633&lt;&gt;""),Programme_Grunddaten!F633,"")</f>
        <v/>
      </c>
      <c r="G628" s="3" t="str">
        <f>IF(AND(Programme_Grunddaten!$A633="Geprüft",Programme_Grunddaten!S633&lt;&gt;""),Programme_Grunddaten!S633,"")</f>
        <v/>
      </c>
      <c r="H628" t="str">
        <f>IF(AND(Programme_Grunddaten!$A633="Geprüft",Programme_Grunddaten!AW633&lt;&gt;""),Programme_Grunddaten!AW633,"")</f>
        <v/>
      </c>
      <c r="I628" t="str">
        <f>IF(AND(Programme_Grunddaten!$A633="Geprüft",Programme_Grunddaten!AX633&lt;&gt;""),Programme_Grunddaten!AX633,"")</f>
        <v/>
      </c>
    </row>
    <row r="629" spans="1:9" x14ac:dyDescent="0.3">
      <c r="A629" s="1" t="str">
        <f>IF(AND(Programme_Grunddaten!$A634="Geprüft",Programme_Grunddaten!B634&lt;&gt;""),Programme_Grunddaten!B634,"")</f>
        <v/>
      </c>
      <c r="B629" s="1" t="str">
        <f>IF(AND(Programme_Grunddaten!$A634="Geprüft",Programme_Grunddaten!C634&lt;&gt;""),Programme_Grunddaten!C634,"")</f>
        <v/>
      </c>
      <c r="C629" s="1" t="str">
        <f>IF(AND(Programme_Grunddaten!$A634="Geprüft",Programme_Grunddaten!D634&lt;&gt;""),Programme_Grunddaten!D634,"")</f>
        <v/>
      </c>
      <c r="D629" s="2" t="str">
        <f>IF(AND(Programme_Grunddaten!$A634="Geprüft",Programme_Grunddaten!E634&lt;&gt;""),Programme_Grunddaten!E634,"")</f>
        <v/>
      </c>
      <c r="E629" t="str">
        <f>IF(AND(Programme_Grunddaten!$A634="Geprüft",Programme_Grunddaten!G634&lt;&gt;""),Programme_Grunddaten!G634,"")</f>
        <v/>
      </c>
      <c r="F629" t="str">
        <f>IF(AND(Programme_Grunddaten!$A634="Geprüft",Programme_Grunddaten!F634&lt;&gt;""),Programme_Grunddaten!F634,"")</f>
        <v/>
      </c>
      <c r="G629" s="3" t="str">
        <f>IF(AND(Programme_Grunddaten!$A634="Geprüft",Programme_Grunddaten!S634&lt;&gt;""),Programme_Grunddaten!S634,"")</f>
        <v/>
      </c>
      <c r="H629" t="str">
        <f>IF(AND(Programme_Grunddaten!$A634="Geprüft",Programme_Grunddaten!AW634&lt;&gt;""),Programme_Grunddaten!AW634,"")</f>
        <v/>
      </c>
      <c r="I629" t="str">
        <f>IF(AND(Programme_Grunddaten!$A634="Geprüft",Programme_Grunddaten!AX634&lt;&gt;""),Programme_Grunddaten!AX634,"")</f>
        <v/>
      </c>
    </row>
    <row r="630" spans="1:9" x14ac:dyDescent="0.3">
      <c r="A630" s="1" t="str">
        <f>IF(AND(Programme_Grunddaten!$A635="Geprüft",Programme_Grunddaten!B635&lt;&gt;""),Programme_Grunddaten!B635,"")</f>
        <v/>
      </c>
      <c r="B630" s="1" t="str">
        <f>IF(AND(Programme_Grunddaten!$A635="Geprüft",Programme_Grunddaten!C635&lt;&gt;""),Programme_Grunddaten!C635,"")</f>
        <v/>
      </c>
      <c r="C630" s="1" t="str">
        <f>IF(AND(Programme_Grunddaten!$A635="Geprüft",Programme_Grunddaten!D635&lt;&gt;""),Programme_Grunddaten!D635,"")</f>
        <v/>
      </c>
      <c r="D630" s="2" t="str">
        <f>IF(AND(Programme_Grunddaten!$A635="Geprüft",Programme_Grunddaten!E635&lt;&gt;""),Programme_Grunddaten!E635,"")</f>
        <v/>
      </c>
      <c r="E630" t="str">
        <f>IF(AND(Programme_Grunddaten!$A635="Geprüft",Programme_Grunddaten!G635&lt;&gt;""),Programme_Grunddaten!G635,"")</f>
        <v/>
      </c>
      <c r="F630" t="str">
        <f>IF(AND(Programme_Grunddaten!$A635="Geprüft",Programme_Grunddaten!F635&lt;&gt;""),Programme_Grunddaten!F635,"")</f>
        <v/>
      </c>
      <c r="G630" s="3" t="str">
        <f>IF(AND(Programme_Grunddaten!$A635="Geprüft",Programme_Grunddaten!S635&lt;&gt;""),Programme_Grunddaten!S635,"")</f>
        <v/>
      </c>
      <c r="H630" t="str">
        <f>IF(AND(Programme_Grunddaten!$A635="Geprüft",Programme_Grunddaten!AW635&lt;&gt;""),Programme_Grunddaten!AW635,"")</f>
        <v/>
      </c>
      <c r="I630" t="str">
        <f>IF(AND(Programme_Grunddaten!$A635="Geprüft",Programme_Grunddaten!AX635&lt;&gt;""),Programme_Grunddaten!AX635,"")</f>
        <v/>
      </c>
    </row>
    <row r="631" spans="1:9" x14ac:dyDescent="0.3">
      <c r="A631" s="1" t="str">
        <f>IF(AND(Programme_Grunddaten!$A636="Geprüft",Programme_Grunddaten!B636&lt;&gt;""),Programme_Grunddaten!B636,"")</f>
        <v/>
      </c>
      <c r="B631" s="1" t="str">
        <f>IF(AND(Programme_Grunddaten!$A636="Geprüft",Programme_Grunddaten!C636&lt;&gt;""),Programme_Grunddaten!C636,"")</f>
        <v/>
      </c>
      <c r="C631" s="1" t="str">
        <f>IF(AND(Programme_Grunddaten!$A636="Geprüft",Programme_Grunddaten!D636&lt;&gt;""),Programme_Grunddaten!D636,"")</f>
        <v/>
      </c>
      <c r="D631" s="2" t="str">
        <f>IF(AND(Programme_Grunddaten!$A636="Geprüft",Programme_Grunddaten!E636&lt;&gt;""),Programme_Grunddaten!E636,"")</f>
        <v/>
      </c>
      <c r="E631" t="str">
        <f>IF(AND(Programme_Grunddaten!$A636="Geprüft",Programme_Grunddaten!G636&lt;&gt;""),Programme_Grunddaten!G636,"")</f>
        <v/>
      </c>
      <c r="F631" t="str">
        <f>IF(AND(Programme_Grunddaten!$A636="Geprüft",Programme_Grunddaten!F636&lt;&gt;""),Programme_Grunddaten!F636,"")</f>
        <v/>
      </c>
      <c r="G631" s="3" t="str">
        <f>IF(AND(Programme_Grunddaten!$A636="Geprüft",Programme_Grunddaten!S636&lt;&gt;""),Programme_Grunddaten!S636,"")</f>
        <v/>
      </c>
      <c r="H631" t="str">
        <f>IF(AND(Programme_Grunddaten!$A636="Geprüft",Programme_Grunddaten!AW636&lt;&gt;""),Programme_Grunddaten!AW636,"")</f>
        <v/>
      </c>
      <c r="I631" t="str">
        <f>IF(AND(Programme_Grunddaten!$A636="Geprüft",Programme_Grunddaten!AX636&lt;&gt;""),Programme_Grunddaten!AX636,"")</f>
        <v/>
      </c>
    </row>
    <row r="632" spans="1:9" x14ac:dyDescent="0.3">
      <c r="A632" s="1" t="str">
        <f>IF(AND(Programme_Grunddaten!$A637="Geprüft",Programme_Grunddaten!B637&lt;&gt;""),Programme_Grunddaten!B637,"")</f>
        <v/>
      </c>
      <c r="B632" s="1" t="str">
        <f>IF(AND(Programme_Grunddaten!$A637="Geprüft",Programme_Grunddaten!C637&lt;&gt;""),Programme_Grunddaten!C637,"")</f>
        <v/>
      </c>
      <c r="C632" s="1" t="str">
        <f>IF(AND(Programme_Grunddaten!$A637="Geprüft",Programme_Grunddaten!D637&lt;&gt;""),Programme_Grunddaten!D637,"")</f>
        <v/>
      </c>
      <c r="D632" s="2" t="str">
        <f>IF(AND(Programme_Grunddaten!$A637="Geprüft",Programme_Grunddaten!E637&lt;&gt;""),Programme_Grunddaten!E637,"")</f>
        <v/>
      </c>
      <c r="E632" t="str">
        <f>IF(AND(Programme_Grunddaten!$A637="Geprüft",Programme_Grunddaten!G637&lt;&gt;""),Programme_Grunddaten!G637,"")</f>
        <v/>
      </c>
      <c r="F632" t="str">
        <f>IF(AND(Programme_Grunddaten!$A637="Geprüft",Programme_Grunddaten!F637&lt;&gt;""),Programme_Grunddaten!F637,"")</f>
        <v/>
      </c>
      <c r="G632" s="3" t="str">
        <f>IF(AND(Programme_Grunddaten!$A637="Geprüft",Programme_Grunddaten!S637&lt;&gt;""),Programme_Grunddaten!S637,"")</f>
        <v/>
      </c>
      <c r="H632" t="str">
        <f>IF(AND(Programme_Grunddaten!$A637="Geprüft",Programme_Grunddaten!AW637&lt;&gt;""),Programme_Grunddaten!AW637,"")</f>
        <v/>
      </c>
      <c r="I632" t="str">
        <f>IF(AND(Programme_Grunddaten!$A637="Geprüft",Programme_Grunddaten!AX637&lt;&gt;""),Programme_Grunddaten!AX637,"")</f>
        <v/>
      </c>
    </row>
    <row r="633" spans="1:9" x14ac:dyDescent="0.3">
      <c r="A633" s="1" t="str">
        <f>IF(AND(Programme_Grunddaten!$A638="Geprüft",Programme_Grunddaten!B638&lt;&gt;""),Programme_Grunddaten!B638,"")</f>
        <v/>
      </c>
      <c r="B633" s="1" t="str">
        <f>IF(AND(Programme_Grunddaten!$A638="Geprüft",Programme_Grunddaten!C638&lt;&gt;""),Programme_Grunddaten!C638,"")</f>
        <v/>
      </c>
      <c r="C633" s="1" t="str">
        <f>IF(AND(Programme_Grunddaten!$A638="Geprüft",Programme_Grunddaten!D638&lt;&gt;""),Programme_Grunddaten!D638,"")</f>
        <v/>
      </c>
      <c r="D633" s="2" t="str">
        <f>IF(AND(Programme_Grunddaten!$A638="Geprüft",Programme_Grunddaten!E638&lt;&gt;""),Programme_Grunddaten!E638,"")</f>
        <v/>
      </c>
      <c r="E633" t="str">
        <f>IF(AND(Programme_Grunddaten!$A638="Geprüft",Programme_Grunddaten!G638&lt;&gt;""),Programme_Grunddaten!G638,"")</f>
        <v/>
      </c>
      <c r="F633" t="str">
        <f>IF(AND(Programme_Grunddaten!$A638="Geprüft",Programme_Grunddaten!F638&lt;&gt;""),Programme_Grunddaten!F638,"")</f>
        <v/>
      </c>
      <c r="G633" s="3" t="str">
        <f>IF(AND(Programme_Grunddaten!$A638="Geprüft",Programme_Grunddaten!S638&lt;&gt;""),Programme_Grunddaten!S638,"")</f>
        <v/>
      </c>
      <c r="H633" t="str">
        <f>IF(AND(Programme_Grunddaten!$A638="Geprüft",Programme_Grunddaten!AW638&lt;&gt;""),Programme_Grunddaten!AW638,"")</f>
        <v/>
      </c>
      <c r="I633" t="str">
        <f>IF(AND(Programme_Grunddaten!$A638="Geprüft",Programme_Grunddaten!AX638&lt;&gt;""),Programme_Grunddaten!AX638,"")</f>
        <v/>
      </c>
    </row>
    <row r="634" spans="1:9" x14ac:dyDescent="0.3">
      <c r="A634" s="1" t="str">
        <f>IF(AND(Programme_Grunddaten!$A639="Geprüft",Programme_Grunddaten!B639&lt;&gt;""),Programme_Grunddaten!B639,"")</f>
        <v/>
      </c>
      <c r="B634" s="1" t="str">
        <f>IF(AND(Programme_Grunddaten!$A639="Geprüft",Programme_Grunddaten!C639&lt;&gt;""),Programme_Grunddaten!C639,"")</f>
        <v/>
      </c>
      <c r="C634" s="1" t="str">
        <f>IF(AND(Programme_Grunddaten!$A639="Geprüft",Programme_Grunddaten!D639&lt;&gt;""),Programme_Grunddaten!D639,"")</f>
        <v/>
      </c>
      <c r="D634" s="2" t="str">
        <f>IF(AND(Programme_Grunddaten!$A639="Geprüft",Programme_Grunddaten!E639&lt;&gt;""),Programme_Grunddaten!E639,"")</f>
        <v/>
      </c>
      <c r="E634" t="str">
        <f>IF(AND(Programme_Grunddaten!$A639="Geprüft",Programme_Grunddaten!G639&lt;&gt;""),Programme_Grunddaten!G639,"")</f>
        <v/>
      </c>
      <c r="F634" t="str">
        <f>IF(AND(Programme_Grunddaten!$A639="Geprüft",Programme_Grunddaten!F639&lt;&gt;""),Programme_Grunddaten!F639,"")</f>
        <v/>
      </c>
      <c r="G634" s="3" t="str">
        <f>IF(AND(Programme_Grunddaten!$A639="Geprüft",Programme_Grunddaten!S639&lt;&gt;""),Programme_Grunddaten!S639,"")</f>
        <v/>
      </c>
      <c r="H634" t="str">
        <f>IF(AND(Programme_Grunddaten!$A639="Geprüft",Programme_Grunddaten!AW639&lt;&gt;""),Programme_Grunddaten!AW639,"")</f>
        <v/>
      </c>
      <c r="I634" t="str">
        <f>IF(AND(Programme_Grunddaten!$A639="Geprüft",Programme_Grunddaten!AX639&lt;&gt;""),Programme_Grunddaten!AX639,"")</f>
        <v/>
      </c>
    </row>
    <row r="635" spans="1:9" x14ac:dyDescent="0.3">
      <c r="A635" s="1" t="str">
        <f>IF(AND(Programme_Grunddaten!$A640="Geprüft",Programme_Grunddaten!B640&lt;&gt;""),Programme_Grunddaten!B640,"")</f>
        <v/>
      </c>
      <c r="B635" s="1" t="str">
        <f>IF(AND(Programme_Grunddaten!$A640="Geprüft",Programme_Grunddaten!C640&lt;&gt;""),Programme_Grunddaten!C640,"")</f>
        <v/>
      </c>
      <c r="C635" s="1" t="str">
        <f>IF(AND(Programme_Grunddaten!$A640="Geprüft",Programme_Grunddaten!D640&lt;&gt;""),Programme_Grunddaten!D640,"")</f>
        <v/>
      </c>
      <c r="D635" s="2" t="str">
        <f>IF(AND(Programme_Grunddaten!$A640="Geprüft",Programme_Grunddaten!E640&lt;&gt;""),Programme_Grunddaten!E640,"")</f>
        <v/>
      </c>
      <c r="E635" t="str">
        <f>IF(AND(Programme_Grunddaten!$A640="Geprüft",Programme_Grunddaten!G640&lt;&gt;""),Programme_Grunddaten!G640,"")</f>
        <v/>
      </c>
      <c r="F635" t="str">
        <f>IF(AND(Programme_Grunddaten!$A640="Geprüft",Programme_Grunddaten!F640&lt;&gt;""),Programme_Grunddaten!F640,"")</f>
        <v/>
      </c>
      <c r="G635" s="3" t="str">
        <f>IF(AND(Programme_Grunddaten!$A640="Geprüft",Programme_Grunddaten!S640&lt;&gt;""),Programme_Grunddaten!S640,"")</f>
        <v/>
      </c>
      <c r="H635" t="str">
        <f>IF(AND(Programme_Grunddaten!$A640="Geprüft",Programme_Grunddaten!AW640&lt;&gt;""),Programme_Grunddaten!AW640,"")</f>
        <v/>
      </c>
      <c r="I635" t="str">
        <f>IF(AND(Programme_Grunddaten!$A640="Geprüft",Programme_Grunddaten!AX640&lt;&gt;""),Programme_Grunddaten!AX640,"")</f>
        <v/>
      </c>
    </row>
    <row r="636" spans="1:9" x14ac:dyDescent="0.3">
      <c r="A636" s="1" t="str">
        <f>IF(AND(Programme_Grunddaten!$A641="Geprüft",Programme_Grunddaten!B641&lt;&gt;""),Programme_Grunddaten!B641,"")</f>
        <v/>
      </c>
      <c r="B636" s="1" t="str">
        <f>IF(AND(Programme_Grunddaten!$A641="Geprüft",Programme_Grunddaten!C641&lt;&gt;""),Programme_Grunddaten!C641,"")</f>
        <v/>
      </c>
      <c r="C636" s="1" t="str">
        <f>IF(AND(Programme_Grunddaten!$A641="Geprüft",Programme_Grunddaten!D641&lt;&gt;""),Programme_Grunddaten!D641,"")</f>
        <v/>
      </c>
      <c r="D636" s="2" t="str">
        <f>IF(AND(Programme_Grunddaten!$A641="Geprüft",Programme_Grunddaten!E641&lt;&gt;""),Programme_Grunddaten!E641,"")</f>
        <v/>
      </c>
      <c r="E636" t="str">
        <f>IF(AND(Programme_Grunddaten!$A641="Geprüft",Programme_Grunddaten!G641&lt;&gt;""),Programme_Grunddaten!G641,"")</f>
        <v/>
      </c>
      <c r="F636" t="str">
        <f>IF(AND(Programme_Grunddaten!$A641="Geprüft",Programme_Grunddaten!F641&lt;&gt;""),Programme_Grunddaten!F641,"")</f>
        <v/>
      </c>
      <c r="G636" s="3" t="str">
        <f>IF(AND(Programme_Grunddaten!$A641="Geprüft",Programme_Grunddaten!S641&lt;&gt;""),Programme_Grunddaten!S641,"")</f>
        <v/>
      </c>
      <c r="H636" t="str">
        <f>IF(AND(Programme_Grunddaten!$A641="Geprüft",Programme_Grunddaten!AW641&lt;&gt;""),Programme_Grunddaten!AW641,"")</f>
        <v/>
      </c>
      <c r="I636" t="str">
        <f>IF(AND(Programme_Grunddaten!$A641="Geprüft",Programme_Grunddaten!AX641&lt;&gt;""),Programme_Grunddaten!AX641,"")</f>
        <v/>
      </c>
    </row>
    <row r="637" spans="1:9" x14ac:dyDescent="0.3">
      <c r="A637" s="1" t="str">
        <f>IF(AND(Programme_Grunddaten!$A642="Geprüft",Programme_Grunddaten!B642&lt;&gt;""),Programme_Grunddaten!B642,"")</f>
        <v/>
      </c>
      <c r="B637" s="1" t="str">
        <f>IF(AND(Programme_Grunddaten!$A642="Geprüft",Programme_Grunddaten!C642&lt;&gt;""),Programme_Grunddaten!C642,"")</f>
        <v/>
      </c>
      <c r="C637" s="1" t="str">
        <f>IF(AND(Programme_Grunddaten!$A642="Geprüft",Programme_Grunddaten!D642&lt;&gt;""),Programme_Grunddaten!D642,"")</f>
        <v/>
      </c>
      <c r="D637" s="2" t="str">
        <f>IF(AND(Programme_Grunddaten!$A642="Geprüft",Programme_Grunddaten!E642&lt;&gt;""),Programme_Grunddaten!E642,"")</f>
        <v/>
      </c>
      <c r="E637" t="str">
        <f>IF(AND(Programme_Grunddaten!$A642="Geprüft",Programme_Grunddaten!G642&lt;&gt;""),Programme_Grunddaten!G642,"")</f>
        <v/>
      </c>
      <c r="F637" t="str">
        <f>IF(AND(Programme_Grunddaten!$A642="Geprüft",Programme_Grunddaten!F642&lt;&gt;""),Programme_Grunddaten!F642,"")</f>
        <v/>
      </c>
      <c r="G637" s="3" t="str">
        <f>IF(AND(Programme_Grunddaten!$A642="Geprüft",Programme_Grunddaten!S642&lt;&gt;""),Programme_Grunddaten!S642,"")</f>
        <v/>
      </c>
      <c r="H637" t="str">
        <f>IF(AND(Programme_Grunddaten!$A642="Geprüft",Programme_Grunddaten!AW642&lt;&gt;""),Programme_Grunddaten!AW642,"")</f>
        <v/>
      </c>
      <c r="I637" t="str">
        <f>IF(AND(Programme_Grunddaten!$A642="Geprüft",Programme_Grunddaten!AX642&lt;&gt;""),Programme_Grunddaten!AX642,"")</f>
        <v/>
      </c>
    </row>
    <row r="638" spans="1:9" x14ac:dyDescent="0.3">
      <c r="A638" s="1" t="str">
        <f>IF(AND(Programme_Grunddaten!$A643="Geprüft",Programme_Grunddaten!B643&lt;&gt;""),Programme_Grunddaten!B643,"")</f>
        <v/>
      </c>
      <c r="B638" s="1" t="str">
        <f>IF(AND(Programme_Grunddaten!$A643="Geprüft",Programme_Grunddaten!C643&lt;&gt;""),Programme_Grunddaten!C643,"")</f>
        <v/>
      </c>
      <c r="C638" s="1" t="str">
        <f>IF(AND(Programme_Grunddaten!$A643="Geprüft",Programme_Grunddaten!D643&lt;&gt;""),Programme_Grunddaten!D643,"")</f>
        <v/>
      </c>
      <c r="D638" s="2" t="str">
        <f>IF(AND(Programme_Grunddaten!$A643="Geprüft",Programme_Grunddaten!E643&lt;&gt;""),Programme_Grunddaten!E643,"")</f>
        <v/>
      </c>
      <c r="E638" t="str">
        <f>IF(AND(Programme_Grunddaten!$A643="Geprüft",Programme_Grunddaten!G643&lt;&gt;""),Programme_Grunddaten!G643,"")</f>
        <v/>
      </c>
      <c r="F638" t="str">
        <f>IF(AND(Programme_Grunddaten!$A643="Geprüft",Programme_Grunddaten!F643&lt;&gt;""),Programme_Grunddaten!F643,"")</f>
        <v/>
      </c>
      <c r="G638" s="3" t="str">
        <f>IF(AND(Programme_Grunddaten!$A643="Geprüft",Programme_Grunddaten!S643&lt;&gt;""),Programme_Grunddaten!S643,"")</f>
        <v/>
      </c>
      <c r="H638" t="str">
        <f>IF(AND(Programme_Grunddaten!$A643="Geprüft",Programme_Grunddaten!AW643&lt;&gt;""),Programme_Grunddaten!AW643,"")</f>
        <v/>
      </c>
      <c r="I638" t="str">
        <f>IF(AND(Programme_Grunddaten!$A643="Geprüft",Programme_Grunddaten!AX643&lt;&gt;""),Programme_Grunddaten!AX643,"")</f>
        <v/>
      </c>
    </row>
    <row r="639" spans="1:9" x14ac:dyDescent="0.3">
      <c r="A639" s="1" t="str">
        <f>IF(AND(Programme_Grunddaten!$A644="Geprüft",Programme_Grunddaten!B644&lt;&gt;""),Programme_Grunddaten!B644,"")</f>
        <v/>
      </c>
      <c r="B639" s="1" t="str">
        <f>IF(AND(Programme_Grunddaten!$A644="Geprüft",Programme_Grunddaten!C644&lt;&gt;""),Programme_Grunddaten!C644,"")</f>
        <v/>
      </c>
      <c r="C639" s="1" t="str">
        <f>IF(AND(Programme_Grunddaten!$A644="Geprüft",Programme_Grunddaten!D644&lt;&gt;""),Programme_Grunddaten!D644,"")</f>
        <v/>
      </c>
      <c r="D639" s="2" t="str">
        <f>IF(AND(Programme_Grunddaten!$A644="Geprüft",Programme_Grunddaten!E644&lt;&gt;""),Programme_Grunddaten!E644,"")</f>
        <v/>
      </c>
      <c r="E639" t="str">
        <f>IF(AND(Programme_Grunddaten!$A644="Geprüft",Programme_Grunddaten!G644&lt;&gt;""),Programme_Grunddaten!G644,"")</f>
        <v/>
      </c>
      <c r="F639" t="str">
        <f>IF(AND(Programme_Grunddaten!$A644="Geprüft",Programme_Grunddaten!F644&lt;&gt;""),Programme_Grunddaten!F644,"")</f>
        <v/>
      </c>
      <c r="G639" s="3" t="str">
        <f>IF(AND(Programme_Grunddaten!$A644="Geprüft",Programme_Grunddaten!S644&lt;&gt;""),Programme_Grunddaten!S644,"")</f>
        <v/>
      </c>
      <c r="H639" t="str">
        <f>IF(AND(Programme_Grunddaten!$A644="Geprüft",Programme_Grunddaten!AW644&lt;&gt;""),Programme_Grunddaten!AW644,"")</f>
        <v/>
      </c>
      <c r="I639" t="str">
        <f>IF(AND(Programme_Grunddaten!$A644="Geprüft",Programme_Grunddaten!AX644&lt;&gt;""),Programme_Grunddaten!AX644,"")</f>
        <v/>
      </c>
    </row>
    <row r="640" spans="1:9" x14ac:dyDescent="0.3">
      <c r="A640" s="1" t="str">
        <f>IF(AND(Programme_Grunddaten!$A645="Geprüft",Programme_Grunddaten!B645&lt;&gt;""),Programme_Grunddaten!B645,"")</f>
        <v/>
      </c>
      <c r="B640" s="1" t="str">
        <f>IF(AND(Programme_Grunddaten!$A645="Geprüft",Programme_Grunddaten!C645&lt;&gt;""),Programme_Grunddaten!C645,"")</f>
        <v/>
      </c>
      <c r="C640" s="1" t="str">
        <f>IF(AND(Programme_Grunddaten!$A645="Geprüft",Programme_Grunddaten!D645&lt;&gt;""),Programme_Grunddaten!D645,"")</f>
        <v/>
      </c>
      <c r="D640" s="2" t="str">
        <f>IF(AND(Programme_Grunddaten!$A645="Geprüft",Programme_Grunddaten!E645&lt;&gt;""),Programme_Grunddaten!E645,"")</f>
        <v/>
      </c>
      <c r="E640" t="str">
        <f>IF(AND(Programme_Grunddaten!$A645="Geprüft",Programme_Grunddaten!G645&lt;&gt;""),Programme_Grunddaten!G645,"")</f>
        <v/>
      </c>
      <c r="F640" t="str">
        <f>IF(AND(Programme_Grunddaten!$A645="Geprüft",Programme_Grunddaten!F645&lt;&gt;""),Programme_Grunddaten!F645,"")</f>
        <v/>
      </c>
      <c r="G640" s="3" t="str">
        <f>IF(AND(Programme_Grunddaten!$A645="Geprüft",Programme_Grunddaten!S645&lt;&gt;""),Programme_Grunddaten!S645,"")</f>
        <v/>
      </c>
      <c r="H640" t="str">
        <f>IF(AND(Programme_Grunddaten!$A645="Geprüft",Programme_Grunddaten!AW645&lt;&gt;""),Programme_Grunddaten!AW645,"")</f>
        <v/>
      </c>
      <c r="I640" t="str">
        <f>IF(AND(Programme_Grunddaten!$A645="Geprüft",Programme_Grunddaten!AX645&lt;&gt;""),Programme_Grunddaten!AX645,"")</f>
        <v/>
      </c>
    </row>
    <row r="641" spans="1:9" x14ac:dyDescent="0.3">
      <c r="A641" s="1" t="str">
        <f>IF(AND(Programme_Grunddaten!$A646="Geprüft",Programme_Grunddaten!B646&lt;&gt;""),Programme_Grunddaten!B646,"")</f>
        <v/>
      </c>
      <c r="B641" s="1" t="str">
        <f>IF(AND(Programme_Grunddaten!$A646="Geprüft",Programme_Grunddaten!C646&lt;&gt;""),Programme_Grunddaten!C646,"")</f>
        <v/>
      </c>
      <c r="C641" s="1" t="str">
        <f>IF(AND(Programme_Grunddaten!$A646="Geprüft",Programme_Grunddaten!D646&lt;&gt;""),Programme_Grunddaten!D646,"")</f>
        <v/>
      </c>
      <c r="D641" s="2" t="str">
        <f>IF(AND(Programme_Grunddaten!$A646="Geprüft",Programme_Grunddaten!E646&lt;&gt;""),Programme_Grunddaten!E646,"")</f>
        <v/>
      </c>
      <c r="E641" t="str">
        <f>IF(AND(Programme_Grunddaten!$A646="Geprüft",Programme_Grunddaten!G646&lt;&gt;""),Programme_Grunddaten!G646,"")</f>
        <v/>
      </c>
      <c r="F641" t="str">
        <f>IF(AND(Programme_Grunddaten!$A646="Geprüft",Programme_Grunddaten!F646&lt;&gt;""),Programme_Grunddaten!F646,"")</f>
        <v/>
      </c>
      <c r="G641" s="3" t="str">
        <f>IF(AND(Programme_Grunddaten!$A646="Geprüft",Programme_Grunddaten!S646&lt;&gt;""),Programme_Grunddaten!S646,"")</f>
        <v/>
      </c>
      <c r="H641" t="str">
        <f>IF(AND(Programme_Grunddaten!$A646="Geprüft",Programme_Grunddaten!AW646&lt;&gt;""),Programme_Grunddaten!AW646,"")</f>
        <v/>
      </c>
      <c r="I641" t="str">
        <f>IF(AND(Programme_Grunddaten!$A646="Geprüft",Programme_Grunddaten!AX646&lt;&gt;""),Programme_Grunddaten!AX646,"")</f>
        <v/>
      </c>
    </row>
    <row r="642" spans="1:9" x14ac:dyDescent="0.3">
      <c r="A642" s="1" t="str">
        <f>IF(AND(Programme_Grunddaten!$A647="Geprüft",Programme_Grunddaten!B647&lt;&gt;""),Programme_Grunddaten!B647,"")</f>
        <v/>
      </c>
      <c r="B642" s="1" t="str">
        <f>IF(AND(Programme_Grunddaten!$A647="Geprüft",Programme_Grunddaten!C647&lt;&gt;""),Programme_Grunddaten!C647,"")</f>
        <v/>
      </c>
      <c r="C642" s="1" t="str">
        <f>IF(AND(Programme_Grunddaten!$A647="Geprüft",Programme_Grunddaten!D647&lt;&gt;""),Programme_Grunddaten!D647,"")</f>
        <v/>
      </c>
      <c r="D642" s="2" t="str">
        <f>IF(AND(Programme_Grunddaten!$A647="Geprüft",Programme_Grunddaten!E647&lt;&gt;""),Programme_Grunddaten!E647,"")</f>
        <v/>
      </c>
      <c r="E642" t="str">
        <f>IF(AND(Programme_Grunddaten!$A647="Geprüft",Programme_Grunddaten!G647&lt;&gt;""),Programme_Grunddaten!G647,"")</f>
        <v/>
      </c>
      <c r="F642" t="str">
        <f>IF(AND(Programme_Grunddaten!$A647="Geprüft",Programme_Grunddaten!F647&lt;&gt;""),Programme_Grunddaten!F647,"")</f>
        <v/>
      </c>
      <c r="G642" s="3" t="str">
        <f>IF(AND(Programme_Grunddaten!$A647="Geprüft",Programme_Grunddaten!S647&lt;&gt;""),Programme_Grunddaten!S647,"")</f>
        <v/>
      </c>
      <c r="H642" t="str">
        <f>IF(AND(Programme_Grunddaten!$A647="Geprüft",Programme_Grunddaten!AW647&lt;&gt;""),Programme_Grunddaten!AW647,"")</f>
        <v/>
      </c>
      <c r="I642" t="str">
        <f>IF(AND(Programme_Grunddaten!$A647="Geprüft",Programme_Grunddaten!AX647&lt;&gt;""),Programme_Grunddaten!AX647,"")</f>
        <v/>
      </c>
    </row>
    <row r="643" spans="1:9" x14ac:dyDescent="0.3">
      <c r="A643" s="1" t="str">
        <f>IF(AND(Programme_Grunddaten!$A648="Geprüft",Programme_Grunddaten!B648&lt;&gt;""),Programme_Grunddaten!B648,"")</f>
        <v/>
      </c>
      <c r="B643" s="1" t="str">
        <f>IF(AND(Programme_Grunddaten!$A648="Geprüft",Programme_Grunddaten!C648&lt;&gt;""),Programme_Grunddaten!C648,"")</f>
        <v/>
      </c>
      <c r="C643" s="1" t="str">
        <f>IF(AND(Programme_Grunddaten!$A648="Geprüft",Programme_Grunddaten!D648&lt;&gt;""),Programme_Grunddaten!D648,"")</f>
        <v/>
      </c>
      <c r="D643" s="2" t="str">
        <f>IF(AND(Programme_Grunddaten!$A648="Geprüft",Programme_Grunddaten!E648&lt;&gt;""),Programme_Grunddaten!E648,"")</f>
        <v/>
      </c>
      <c r="E643" t="str">
        <f>IF(AND(Programme_Grunddaten!$A648="Geprüft",Programme_Grunddaten!G648&lt;&gt;""),Programme_Grunddaten!G648,"")</f>
        <v/>
      </c>
      <c r="F643" t="str">
        <f>IF(AND(Programme_Grunddaten!$A648="Geprüft",Programme_Grunddaten!F648&lt;&gt;""),Programme_Grunddaten!F648,"")</f>
        <v/>
      </c>
      <c r="G643" s="3" t="str">
        <f>IF(AND(Programme_Grunddaten!$A648="Geprüft",Programme_Grunddaten!S648&lt;&gt;""),Programme_Grunddaten!S648,"")</f>
        <v/>
      </c>
      <c r="H643" t="str">
        <f>IF(AND(Programme_Grunddaten!$A648="Geprüft",Programme_Grunddaten!AW648&lt;&gt;""),Programme_Grunddaten!AW648,"")</f>
        <v/>
      </c>
      <c r="I643" t="str">
        <f>IF(AND(Programme_Grunddaten!$A648="Geprüft",Programme_Grunddaten!AX648&lt;&gt;""),Programme_Grunddaten!AX648,"")</f>
        <v/>
      </c>
    </row>
    <row r="644" spans="1:9" x14ac:dyDescent="0.3">
      <c r="A644" s="1" t="str">
        <f>IF(AND(Programme_Grunddaten!$A649="Geprüft",Programme_Grunddaten!B649&lt;&gt;""),Programme_Grunddaten!B649,"")</f>
        <v/>
      </c>
      <c r="B644" s="1" t="str">
        <f>IF(AND(Programme_Grunddaten!$A649="Geprüft",Programme_Grunddaten!C649&lt;&gt;""),Programme_Grunddaten!C649,"")</f>
        <v/>
      </c>
      <c r="C644" s="1" t="str">
        <f>IF(AND(Programme_Grunddaten!$A649="Geprüft",Programme_Grunddaten!D649&lt;&gt;""),Programme_Grunddaten!D649,"")</f>
        <v/>
      </c>
      <c r="D644" s="2" t="str">
        <f>IF(AND(Programme_Grunddaten!$A649="Geprüft",Programme_Grunddaten!E649&lt;&gt;""),Programme_Grunddaten!E649,"")</f>
        <v/>
      </c>
      <c r="E644" t="str">
        <f>IF(AND(Programme_Grunddaten!$A649="Geprüft",Programme_Grunddaten!G649&lt;&gt;""),Programme_Grunddaten!G649,"")</f>
        <v/>
      </c>
      <c r="F644" t="str">
        <f>IF(AND(Programme_Grunddaten!$A649="Geprüft",Programme_Grunddaten!F649&lt;&gt;""),Programme_Grunddaten!F649,"")</f>
        <v/>
      </c>
      <c r="G644" s="3" t="str">
        <f>IF(AND(Programme_Grunddaten!$A649="Geprüft",Programme_Grunddaten!S649&lt;&gt;""),Programme_Grunddaten!S649,"")</f>
        <v/>
      </c>
      <c r="H644" t="str">
        <f>IF(AND(Programme_Grunddaten!$A649="Geprüft",Programme_Grunddaten!AW649&lt;&gt;""),Programme_Grunddaten!AW649,"")</f>
        <v/>
      </c>
      <c r="I644" t="str">
        <f>IF(AND(Programme_Grunddaten!$A649="Geprüft",Programme_Grunddaten!AX649&lt;&gt;""),Programme_Grunddaten!AX649,"")</f>
        <v/>
      </c>
    </row>
    <row r="645" spans="1:9" x14ac:dyDescent="0.3">
      <c r="A645" s="1" t="str">
        <f>IF(AND(Programme_Grunddaten!$A650="Geprüft",Programme_Grunddaten!B650&lt;&gt;""),Programme_Grunddaten!B650,"")</f>
        <v/>
      </c>
      <c r="B645" s="1" t="str">
        <f>IF(AND(Programme_Grunddaten!$A650="Geprüft",Programme_Grunddaten!C650&lt;&gt;""),Programme_Grunddaten!C650,"")</f>
        <v/>
      </c>
      <c r="C645" s="1" t="str">
        <f>IF(AND(Programme_Grunddaten!$A650="Geprüft",Programme_Grunddaten!D650&lt;&gt;""),Programme_Grunddaten!D650,"")</f>
        <v/>
      </c>
      <c r="D645" s="2" t="str">
        <f>IF(AND(Programme_Grunddaten!$A650="Geprüft",Programme_Grunddaten!E650&lt;&gt;""),Programme_Grunddaten!E650,"")</f>
        <v/>
      </c>
      <c r="E645" t="str">
        <f>IF(AND(Programme_Grunddaten!$A650="Geprüft",Programme_Grunddaten!G650&lt;&gt;""),Programme_Grunddaten!G650,"")</f>
        <v/>
      </c>
      <c r="F645" t="str">
        <f>IF(AND(Programme_Grunddaten!$A650="Geprüft",Programme_Grunddaten!F650&lt;&gt;""),Programme_Grunddaten!F650,"")</f>
        <v/>
      </c>
      <c r="G645" s="3" t="str">
        <f>IF(AND(Programme_Grunddaten!$A650="Geprüft",Programme_Grunddaten!S650&lt;&gt;""),Programme_Grunddaten!S650,"")</f>
        <v/>
      </c>
      <c r="H645" t="str">
        <f>IF(AND(Programme_Grunddaten!$A650="Geprüft",Programme_Grunddaten!AW650&lt;&gt;""),Programme_Grunddaten!AW650,"")</f>
        <v/>
      </c>
      <c r="I645" t="str">
        <f>IF(AND(Programme_Grunddaten!$A650="Geprüft",Programme_Grunddaten!AX650&lt;&gt;""),Programme_Grunddaten!AX650,"")</f>
        <v/>
      </c>
    </row>
    <row r="646" spans="1:9" x14ac:dyDescent="0.3">
      <c r="A646" s="1" t="str">
        <f>IF(AND(Programme_Grunddaten!$A651="Geprüft",Programme_Grunddaten!B651&lt;&gt;""),Programme_Grunddaten!B651,"")</f>
        <v/>
      </c>
      <c r="B646" s="1" t="str">
        <f>IF(AND(Programme_Grunddaten!$A651="Geprüft",Programme_Grunddaten!C651&lt;&gt;""),Programme_Grunddaten!C651,"")</f>
        <v/>
      </c>
      <c r="C646" s="1" t="str">
        <f>IF(AND(Programme_Grunddaten!$A651="Geprüft",Programme_Grunddaten!D651&lt;&gt;""),Programme_Grunddaten!D651,"")</f>
        <v/>
      </c>
      <c r="D646" s="2" t="str">
        <f>IF(AND(Programme_Grunddaten!$A651="Geprüft",Programme_Grunddaten!E651&lt;&gt;""),Programme_Grunddaten!E651,"")</f>
        <v/>
      </c>
      <c r="E646" t="str">
        <f>IF(AND(Programme_Grunddaten!$A651="Geprüft",Programme_Grunddaten!G651&lt;&gt;""),Programme_Grunddaten!G651,"")</f>
        <v/>
      </c>
      <c r="F646" t="str">
        <f>IF(AND(Programme_Grunddaten!$A651="Geprüft",Programme_Grunddaten!F651&lt;&gt;""),Programme_Grunddaten!F651,"")</f>
        <v/>
      </c>
      <c r="G646" s="3" t="str">
        <f>IF(AND(Programme_Grunddaten!$A651="Geprüft",Programme_Grunddaten!S651&lt;&gt;""),Programme_Grunddaten!S651,"")</f>
        <v/>
      </c>
      <c r="H646" t="str">
        <f>IF(AND(Programme_Grunddaten!$A651="Geprüft",Programme_Grunddaten!AW651&lt;&gt;""),Programme_Grunddaten!AW651,"")</f>
        <v/>
      </c>
      <c r="I646" t="str">
        <f>IF(AND(Programme_Grunddaten!$A651="Geprüft",Programme_Grunddaten!AX651&lt;&gt;""),Programme_Grunddaten!AX651,"")</f>
        <v/>
      </c>
    </row>
    <row r="647" spans="1:9" x14ac:dyDescent="0.3">
      <c r="A647" s="1" t="str">
        <f>IF(AND(Programme_Grunddaten!$A652="Geprüft",Programme_Grunddaten!B652&lt;&gt;""),Programme_Grunddaten!B652,"")</f>
        <v/>
      </c>
      <c r="B647" s="1" t="str">
        <f>IF(AND(Programme_Grunddaten!$A652="Geprüft",Programme_Grunddaten!C652&lt;&gt;""),Programme_Grunddaten!C652,"")</f>
        <v/>
      </c>
      <c r="C647" s="1" t="str">
        <f>IF(AND(Programme_Grunddaten!$A652="Geprüft",Programme_Grunddaten!D652&lt;&gt;""),Programme_Grunddaten!D652,"")</f>
        <v/>
      </c>
      <c r="D647" s="2" t="str">
        <f>IF(AND(Programme_Grunddaten!$A652="Geprüft",Programme_Grunddaten!E652&lt;&gt;""),Programme_Grunddaten!E652,"")</f>
        <v/>
      </c>
      <c r="E647" t="str">
        <f>IF(AND(Programme_Grunddaten!$A652="Geprüft",Programme_Grunddaten!G652&lt;&gt;""),Programme_Grunddaten!G652,"")</f>
        <v/>
      </c>
      <c r="F647" t="str">
        <f>IF(AND(Programme_Grunddaten!$A652="Geprüft",Programme_Grunddaten!F652&lt;&gt;""),Programme_Grunddaten!F652,"")</f>
        <v/>
      </c>
      <c r="G647" s="3" t="str">
        <f>IF(AND(Programme_Grunddaten!$A652="Geprüft",Programme_Grunddaten!S652&lt;&gt;""),Programme_Grunddaten!S652,"")</f>
        <v/>
      </c>
      <c r="H647" t="str">
        <f>IF(AND(Programme_Grunddaten!$A652="Geprüft",Programme_Grunddaten!AW652&lt;&gt;""),Programme_Grunddaten!AW652,"")</f>
        <v/>
      </c>
      <c r="I647" t="str">
        <f>IF(AND(Programme_Grunddaten!$A652="Geprüft",Programme_Grunddaten!AX652&lt;&gt;""),Programme_Grunddaten!AX652,"")</f>
        <v/>
      </c>
    </row>
    <row r="648" spans="1:9" x14ac:dyDescent="0.3">
      <c r="A648" s="1" t="str">
        <f>IF(AND(Programme_Grunddaten!$A653="Geprüft",Programme_Grunddaten!B653&lt;&gt;""),Programme_Grunddaten!B653,"")</f>
        <v/>
      </c>
      <c r="B648" s="1" t="str">
        <f>IF(AND(Programme_Grunddaten!$A653="Geprüft",Programme_Grunddaten!C653&lt;&gt;""),Programme_Grunddaten!C653,"")</f>
        <v/>
      </c>
      <c r="C648" s="1" t="str">
        <f>IF(AND(Programme_Grunddaten!$A653="Geprüft",Programme_Grunddaten!D653&lt;&gt;""),Programme_Grunddaten!D653,"")</f>
        <v/>
      </c>
      <c r="D648" s="2" t="str">
        <f>IF(AND(Programme_Grunddaten!$A653="Geprüft",Programme_Grunddaten!E653&lt;&gt;""),Programme_Grunddaten!E653,"")</f>
        <v/>
      </c>
      <c r="E648" t="str">
        <f>IF(AND(Programme_Grunddaten!$A653="Geprüft",Programme_Grunddaten!G653&lt;&gt;""),Programme_Grunddaten!G653,"")</f>
        <v/>
      </c>
      <c r="F648" t="str">
        <f>IF(AND(Programme_Grunddaten!$A653="Geprüft",Programme_Grunddaten!F653&lt;&gt;""),Programme_Grunddaten!F653,"")</f>
        <v/>
      </c>
      <c r="G648" s="3" t="str">
        <f>IF(AND(Programme_Grunddaten!$A653="Geprüft",Programme_Grunddaten!S653&lt;&gt;""),Programme_Grunddaten!S653,"")</f>
        <v/>
      </c>
      <c r="H648" t="str">
        <f>IF(AND(Programme_Grunddaten!$A653="Geprüft",Programme_Grunddaten!AW653&lt;&gt;""),Programme_Grunddaten!AW653,"")</f>
        <v/>
      </c>
      <c r="I648" t="str">
        <f>IF(AND(Programme_Grunddaten!$A653="Geprüft",Programme_Grunddaten!AX653&lt;&gt;""),Programme_Grunddaten!AX653,"")</f>
        <v/>
      </c>
    </row>
    <row r="649" spans="1:9" x14ac:dyDescent="0.3">
      <c r="A649" s="1" t="str">
        <f>IF(AND(Programme_Grunddaten!$A654="Geprüft",Programme_Grunddaten!B654&lt;&gt;""),Programme_Grunddaten!B654,"")</f>
        <v/>
      </c>
      <c r="B649" s="1" t="str">
        <f>IF(AND(Programme_Grunddaten!$A654="Geprüft",Programme_Grunddaten!C654&lt;&gt;""),Programme_Grunddaten!C654,"")</f>
        <v/>
      </c>
      <c r="C649" s="1" t="str">
        <f>IF(AND(Programme_Grunddaten!$A654="Geprüft",Programme_Grunddaten!D654&lt;&gt;""),Programme_Grunddaten!D654,"")</f>
        <v/>
      </c>
      <c r="D649" s="2" t="str">
        <f>IF(AND(Programme_Grunddaten!$A654="Geprüft",Programme_Grunddaten!E654&lt;&gt;""),Programme_Grunddaten!E654,"")</f>
        <v/>
      </c>
      <c r="E649" t="str">
        <f>IF(AND(Programme_Grunddaten!$A654="Geprüft",Programme_Grunddaten!G654&lt;&gt;""),Programme_Grunddaten!G654,"")</f>
        <v/>
      </c>
      <c r="F649" t="str">
        <f>IF(AND(Programme_Grunddaten!$A654="Geprüft",Programme_Grunddaten!F654&lt;&gt;""),Programme_Grunddaten!F654,"")</f>
        <v/>
      </c>
      <c r="G649" s="3" t="str">
        <f>IF(AND(Programme_Grunddaten!$A654="Geprüft",Programme_Grunddaten!S654&lt;&gt;""),Programme_Grunddaten!S654,"")</f>
        <v/>
      </c>
      <c r="H649" t="str">
        <f>IF(AND(Programme_Grunddaten!$A654="Geprüft",Programme_Grunddaten!AW654&lt;&gt;""),Programme_Grunddaten!AW654,"")</f>
        <v/>
      </c>
      <c r="I649" t="str">
        <f>IF(AND(Programme_Grunddaten!$A654="Geprüft",Programme_Grunddaten!AX654&lt;&gt;""),Programme_Grunddaten!AX654,"")</f>
        <v/>
      </c>
    </row>
    <row r="650" spans="1:9" x14ac:dyDescent="0.3">
      <c r="A650" s="1" t="str">
        <f>IF(AND(Programme_Grunddaten!$A655="Geprüft",Programme_Grunddaten!B655&lt;&gt;""),Programme_Grunddaten!B655,"")</f>
        <v/>
      </c>
      <c r="B650" s="1" t="str">
        <f>IF(AND(Programme_Grunddaten!$A655="Geprüft",Programme_Grunddaten!C655&lt;&gt;""),Programme_Grunddaten!C655,"")</f>
        <v/>
      </c>
      <c r="C650" s="1" t="str">
        <f>IF(AND(Programme_Grunddaten!$A655="Geprüft",Programme_Grunddaten!D655&lt;&gt;""),Programme_Grunddaten!D655,"")</f>
        <v/>
      </c>
      <c r="D650" s="2" t="str">
        <f>IF(AND(Programme_Grunddaten!$A655="Geprüft",Programme_Grunddaten!E655&lt;&gt;""),Programme_Grunddaten!E655,"")</f>
        <v/>
      </c>
      <c r="E650" t="str">
        <f>IF(AND(Programme_Grunddaten!$A655="Geprüft",Programme_Grunddaten!G655&lt;&gt;""),Programme_Grunddaten!G655,"")</f>
        <v/>
      </c>
      <c r="F650" t="str">
        <f>IF(AND(Programme_Grunddaten!$A655="Geprüft",Programme_Grunddaten!F655&lt;&gt;""),Programme_Grunddaten!F655,"")</f>
        <v/>
      </c>
      <c r="G650" s="3" t="str">
        <f>IF(AND(Programme_Grunddaten!$A655="Geprüft",Programme_Grunddaten!S655&lt;&gt;""),Programme_Grunddaten!S655,"")</f>
        <v/>
      </c>
      <c r="H650" t="str">
        <f>IF(AND(Programme_Grunddaten!$A655="Geprüft",Programme_Grunddaten!AW655&lt;&gt;""),Programme_Grunddaten!AW655,"")</f>
        <v/>
      </c>
      <c r="I650" t="str">
        <f>IF(AND(Programme_Grunddaten!$A655="Geprüft",Programme_Grunddaten!AX655&lt;&gt;""),Programme_Grunddaten!AX655,"")</f>
        <v/>
      </c>
    </row>
    <row r="651" spans="1:9" x14ac:dyDescent="0.3">
      <c r="A651" s="1" t="str">
        <f>IF(AND(Programme_Grunddaten!$A656="Geprüft",Programme_Grunddaten!B656&lt;&gt;""),Programme_Grunddaten!B656,"")</f>
        <v/>
      </c>
      <c r="B651" s="1" t="str">
        <f>IF(AND(Programme_Grunddaten!$A656="Geprüft",Programme_Grunddaten!C656&lt;&gt;""),Programme_Grunddaten!C656,"")</f>
        <v/>
      </c>
      <c r="C651" s="1" t="str">
        <f>IF(AND(Programme_Grunddaten!$A656="Geprüft",Programme_Grunddaten!D656&lt;&gt;""),Programme_Grunddaten!D656,"")</f>
        <v/>
      </c>
      <c r="D651" s="2" t="str">
        <f>IF(AND(Programme_Grunddaten!$A656="Geprüft",Programme_Grunddaten!E656&lt;&gt;""),Programme_Grunddaten!E656,"")</f>
        <v/>
      </c>
      <c r="E651" t="str">
        <f>IF(AND(Programme_Grunddaten!$A656="Geprüft",Programme_Grunddaten!G656&lt;&gt;""),Programme_Grunddaten!G656,"")</f>
        <v/>
      </c>
      <c r="F651" t="str">
        <f>IF(AND(Programme_Grunddaten!$A656="Geprüft",Programme_Grunddaten!F656&lt;&gt;""),Programme_Grunddaten!F656,"")</f>
        <v/>
      </c>
      <c r="G651" s="3" t="str">
        <f>IF(AND(Programme_Grunddaten!$A656="Geprüft",Programme_Grunddaten!S656&lt;&gt;""),Programme_Grunddaten!S656,"")</f>
        <v/>
      </c>
      <c r="H651" t="str">
        <f>IF(AND(Programme_Grunddaten!$A656="Geprüft",Programme_Grunddaten!AW656&lt;&gt;""),Programme_Grunddaten!AW656,"")</f>
        <v/>
      </c>
      <c r="I651" t="str">
        <f>IF(AND(Programme_Grunddaten!$A656="Geprüft",Programme_Grunddaten!AX656&lt;&gt;""),Programme_Grunddaten!AX656,"")</f>
        <v/>
      </c>
    </row>
    <row r="652" spans="1:9" x14ac:dyDescent="0.3">
      <c r="A652" s="1" t="str">
        <f>IF(AND(Programme_Grunddaten!$A657="Geprüft",Programme_Grunddaten!B657&lt;&gt;""),Programme_Grunddaten!B657,"")</f>
        <v/>
      </c>
      <c r="B652" s="1" t="str">
        <f>IF(AND(Programme_Grunddaten!$A657="Geprüft",Programme_Grunddaten!C657&lt;&gt;""),Programme_Grunddaten!C657,"")</f>
        <v/>
      </c>
      <c r="C652" s="1" t="str">
        <f>IF(AND(Programme_Grunddaten!$A657="Geprüft",Programme_Grunddaten!D657&lt;&gt;""),Programme_Grunddaten!D657,"")</f>
        <v/>
      </c>
      <c r="D652" s="2" t="str">
        <f>IF(AND(Programme_Grunddaten!$A657="Geprüft",Programme_Grunddaten!E657&lt;&gt;""),Programme_Grunddaten!E657,"")</f>
        <v/>
      </c>
      <c r="E652" t="str">
        <f>IF(AND(Programme_Grunddaten!$A657="Geprüft",Programme_Grunddaten!G657&lt;&gt;""),Programme_Grunddaten!G657,"")</f>
        <v/>
      </c>
      <c r="F652" t="str">
        <f>IF(AND(Programme_Grunddaten!$A657="Geprüft",Programme_Grunddaten!F657&lt;&gt;""),Programme_Grunddaten!F657,"")</f>
        <v/>
      </c>
      <c r="G652" s="3" t="str">
        <f>IF(AND(Programme_Grunddaten!$A657="Geprüft",Programme_Grunddaten!S657&lt;&gt;""),Programme_Grunddaten!S657,"")</f>
        <v/>
      </c>
      <c r="H652" t="str">
        <f>IF(AND(Programme_Grunddaten!$A657="Geprüft",Programme_Grunddaten!AW657&lt;&gt;""),Programme_Grunddaten!AW657,"")</f>
        <v/>
      </c>
      <c r="I652" t="str">
        <f>IF(AND(Programme_Grunddaten!$A657="Geprüft",Programme_Grunddaten!AX657&lt;&gt;""),Programme_Grunddaten!AX657,"")</f>
        <v/>
      </c>
    </row>
    <row r="653" spans="1:9" x14ac:dyDescent="0.3">
      <c r="A653" s="1" t="str">
        <f>IF(AND(Programme_Grunddaten!$A658="Geprüft",Programme_Grunddaten!B658&lt;&gt;""),Programme_Grunddaten!B658,"")</f>
        <v/>
      </c>
      <c r="B653" s="1" t="str">
        <f>IF(AND(Programme_Grunddaten!$A658="Geprüft",Programme_Grunddaten!C658&lt;&gt;""),Programme_Grunddaten!C658,"")</f>
        <v/>
      </c>
      <c r="C653" s="1" t="str">
        <f>IF(AND(Programme_Grunddaten!$A658="Geprüft",Programme_Grunddaten!D658&lt;&gt;""),Programme_Grunddaten!D658,"")</f>
        <v/>
      </c>
      <c r="D653" s="2" t="str">
        <f>IF(AND(Programme_Grunddaten!$A658="Geprüft",Programme_Grunddaten!E658&lt;&gt;""),Programme_Grunddaten!E658,"")</f>
        <v/>
      </c>
      <c r="E653" t="str">
        <f>IF(AND(Programme_Grunddaten!$A658="Geprüft",Programme_Grunddaten!G658&lt;&gt;""),Programme_Grunddaten!G658,"")</f>
        <v/>
      </c>
      <c r="F653" t="str">
        <f>IF(AND(Programme_Grunddaten!$A658="Geprüft",Programme_Grunddaten!F658&lt;&gt;""),Programme_Grunddaten!F658,"")</f>
        <v/>
      </c>
      <c r="G653" s="3" t="str">
        <f>IF(AND(Programme_Grunddaten!$A658="Geprüft",Programme_Grunddaten!S658&lt;&gt;""),Programme_Grunddaten!S658,"")</f>
        <v/>
      </c>
      <c r="H653" t="str">
        <f>IF(AND(Programme_Grunddaten!$A658="Geprüft",Programme_Grunddaten!AW658&lt;&gt;""),Programme_Grunddaten!AW658,"")</f>
        <v/>
      </c>
      <c r="I653" t="str">
        <f>IF(AND(Programme_Grunddaten!$A658="Geprüft",Programme_Grunddaten!AX658&lt;&gt;""),Programme_Grunddaten!AX658,"")</f>
        <v/>
      </c>
    </row>
    <row r="654" spans="1:9" x14ac:dyDescent="0.3">
      <c r="A654" s="1" t="str">
        <f>IF(AND(Programme_Grunddaten!$A659="Geprüft",Programme_Grunddaten!B659&lt;&gt;""),Programme_Grunddaten!B659,"")</f>
        <v/>
      </c>
      <c r="B654" s="1" t="str">
        <f>IF(AND(Programme_Grunddaten!$A659="Geprüft",Programme_Grunddaten!C659&lt;&gt;""),Programme_Grunddaten!C659,"")</f>
        <v/>
      </c>
      <c r="C654" s="1" t="str">
        <f>IF(AND(Programme_Grunddaten!$A659="Geprüft",Programme_Grunddaten!D659&lt;&gt;""),Programme_Grunddaten!D659,"")</f>
        <v/>
      </c>
      <c r="D654" s="2" t="str">
        <f>IF(AND(Programme_Grunddaten!$A659="Geprüft",Programme_Grunddaten!E659&lt;&gt;""),Programme_Grunddaten!E659,"")</f>
        <v/>
      </c>
      <c r="E654" t="str">
        <f>IF(AND(Programme_Grunddaten!$A659="Geprüft",Programme_Grunddaten!G659&lt;&gt;""),Programme_Grunddaten!G659,"")</f>
        <v/>
      </c>
      <c r="F654" t="str">
        <f>IF(AND(Programme_Grunddaten!$A659="Geprüft",Programme_Grunddaten!F659&lt;&gt;""),Programme_Grunddaten!F659,"")</f>
        <v/>
      </c>
      <c r="G654" s="3" t="str">
        <f>IF(AND(Programme_Grunddaten!$A659="Geprüft",Programme_Grunddaten!S659&lt;&gt;""),Programme_Grunddaten!S659,"")</f>
        <v/>
      </c>
      <c r="H654" t="str">
        <f>IF(AND(Programme_Grunddaten!$A659="Geprüft",Programme_Grunddaten!AW659&lt;&gt;""),Programme_Grunddaten!AW659,"")</f>
        <v/>
      </c>
      <c r="I654" t="str">
        <f>IF(AND(Programme_Grunddaten!$A659="Geprüft",Programme_Grunddaten!AX659&lt;&gt;""),Programme_Grunddaten!AX659,"")</f>
        <v/>
      </c>
    </row>
    <row r="655" spans="1:9" x14ac:dyDescent="0.3">
      <c r="A655" s="1" t="str">
        <f>IF(AND(Programme_Grunddaten!$A660="Geprüft",Programme_Grunddaten!B660&lt;&gt;""),Programme_Grunddaten!B660,"")</f>
        <v/>
      </c>
      <c r="B655" s="1" t="str">
        <f>IF(AND(Programme_Grunddaten!$A660="Geprüft",Programme_Grunddaten!C660&lt;&gt;""),Programme_Grunddaten!C660,"")</f>
        <v/>
      </c>
      <c r="C655" s="1" t="str">
        <f>IF(AND(Programme_Grunddaten!$A660="Geprüft",Programme_Grunddaten!D660&lt;&gt;""),Programme_Grunddaten!D660,"")</f>
        <v/>
      </c>
      <c r="D655" s="2" t="str">
        <f>IF(AND(Programme_Grunddaten!$A660="Geprüft",Programme_Grunddaten!E660&lt;&gt;""),Programme_Grunddaten!E660,"")</f>
        <v/>
      </c>
      <c r="E655" t="str">
        <f>IF(AND(Programme_Grunddaten!$A660="Geprüft",Programme_Grunddaten!G660&lt;&gt;""),Programme_Grunddaten!G660,"")</f>
        <v/>
      </c>
      <c r="F655" t="str">
        <f>IF(AND(Programme_Grunddaten!$A660="Geprüft",Programme_Grunddaten!F660&lt;&gt;""),Programme_Grunddaten!F660,"")</f>
        <v/>
      </c>
      <c r="G655" s="3" t="str">
        <f>IF(AND(Programme_Grunddaten!$A660="Geprüft",Programme_Grunddaten!S660&lt;&gt;""),Programme_Grunddaten!S660,"")</f>
        <v/>
      </c>
      <c r="H655" t="str">
        <f>IF(AND(Programme_Grunddaten!$A660="Geprüft",Programme_Grunddaten!AW660&lt;&gt;""),Programme_Grunddaten!AW660,"")</f>
        <v/>
      </c>
      <c r="I655" t="str">
        <f>IF(AND(Programme_Grunddaten!$A660="Geprüft",Programme_Grunddaten!AX660&lt;&gt;""),Programme_Grunddaten!AX660,"")</f>
        <v/>
      </c>
    </row>
    <row r="656" spans="1:9" x14ac:dyDescent="0.3">
      <c r="A656" s="1" t="str">
        <f>IF(AND(Programme_Grunddaten!$A661="Geprüft",Programme_Grunddaten!B661&lt;&gt;""),Programme_Grunddaten!B661,"")</f>
        <v/>
      </c>
      <c r="B656" s="1" t="str">
        <f>IF(AND(Programme_Grunddaten!$A661="Geprüft",Programme_Grunddaten!C661&lt;&gt;""),Programme_Grunddaten!C661,"")</f>
        <v/>
      </c>
      <c r="C656" s="1" t="str">
        <f>IF(AND(Programme_Grunddaten!$A661="Geprüft",Programme_Grunddaten!D661&lt;&gt;""),Programme_Grunddaten!D661,"")</f>
        <v/>
      </c>
      <c r="D656" s="2" t="str">
        <f>IF(AND(Programme_Grunddaten!$A661="Geprüft",Programme_Grunddaten!E661&lt;&gt;""),Programme_Grunddaten!E661,"")</f>
        <v/>
      </c>
      <c r="E656" t="str">
        <f>IF(AND(Programme_Grunddaten!$A661="Geprüft",Programme_Grunddaten!G661&lt;&gt;""),Programme_Grunddaten!G661,"")</f>
        <v/>
      </c>
      <c r="F656" t="str">
        <f>IF(AND(Programme_Grunddaten!$A661="Geprüft",Programme_Grunddaten!F661&lt;&gt;""),Programme_Grunddaten!F661,"")</f>
        <v/>
      </c>
      <c r="G656" s="3" t="str">
        <f>IF(AND(Programme_Grunddaten!$A661="Geprüft",Programme_Grunddaten!S661&lt;&gt;""),Programme_Grunddaten!S661,"")</f>
        <v/>
      </c>
      <c r="H656" t="str">
        <f>IF(AND(Programme_Grunddaten!$A661="Geprüft",Programme_Grunddaten!AW661&lt;&gt;""),Programme_Grunddaten!AW661,"")</f>
        <v/>
      </c>
      <c r="I656" t="str">
        <f>IF(AND(Programme_Grunddaten!$A661="Geprüft",Programme_Grunddaten!AX661&lt;&gt;""),Programme_Grunddaten!AX661,"")</f>
        <v/>
      </c>
    </row>
    <row r="657" spans="1:9" x14ac:dyDescent="0.3">
      <c r="A657" s="1" t="str">
        <f>IF(AND(Programme_Grunddaten!$A662="Geprüft",Programme_Grunddaten!B662&lt;&gt;""),Programme_Grunddaten!B662,"")</f>
        <v/>
      </c>
      <c r="B657" s="1" t="str">
        <f>IF(AND(Programme_Grunddaten!$A662="Geprüft",Programme_Grunddaten!C662&lt;&gt;""),Programme_Grunddaten!C662,"")</f>
        <v/>
      </c>
      <c r="C657" s="1" t="str">
        <f>IF(AND(Programme_Grunddaten!$A662="Geprüft",Programme_Grunddaten!D662&lt;&gt;""),Programme_Grunddaten!D662,"")</f>
        <v/>
      </c>
      <c r="D657" s="2" t="str">
        <f>IF(AND(Programme_Grunddaten!$A662="Geprüft",Programme_Grunddaten!E662&lt;&gt;""),Programme_Grunddaten!E662,"")</f>
        <v/>
      </c>
      <c r="E657" t="str">
        <f>IF(AND(Programme_Grunddaten!$A662="Geprüft",Programme_Grunddaten!G662&lt;&gt;""),Programme_Grunddaten!G662,"")</f>
        <v/>
      </c>
      <c r="F657" t="str">
        <f>IF(AND(Programme_Grunddaten!$A662="Geprüft",Programme_Grunddaten!F662&lt;&gt;""),Programme_Grunddaten!F662,"")</f>
        <v/>
      </c>
      <c r="G657" s="3" t="str">
        <f>IF(AND(Programme_Grunddaten!$A662="Geprüft",Programme_Grunddaten!S662&lt;&gt;""),Programme_Grunddaten!S662,"")</f>
        <v/>
      </c>
      <c r="H657" t="str">
        <f>IF(AND(Programme_Grunddaten!$A662="Geprüft",Programme_Grunddaten!AW662&lt;&gt;""),Programme_Grunddaten!AW662,"")</f>
        <v/>
      </c>
      <c r="I657" t="str">
        <f>IF(AND(Programme_Grunddaten!$A662="Geprüft",Programme_Grunddaten!AX662&lt;&gt;""),Programme_Grunddaten!AX662,"")</f>
        <v/>
      </c>
    </row>
    <row r="658" spans="1:9" x14ac:dyDescent="0.3">
      <c r="A658" s="1" t="str">
        <f>IF(AND(Programme_Grunddaten!$A663="Geprüft",Programme_Grunddaten!B663&lt;&gt;""),Programme_Grunddaten!B663,"")</f>
        <v/>
      </c>
      <c r="B658" s="1" t="str">
        <f>IF(AND(Programme_Grunddaten!$A663="Geprüft",Programme_Grunddaten!C663&lt;&gt;""),Programme_Grunddaten!C663,"")</f>
        <v/>
      </c>
      <c r="C658" s="1" t="str">
        <f>IF(AND(Programme_Grunddaten!$A663="Geprüft",Programme_Grunddaten!D663&lt;&gt;""),Programme_Grunddaten!D663,"")</f>
        <v/>
      </c>
      <c r="D658" s="2" t="str">
        <f>IF(AND(Programme_Grunddaten!$A663="Geprüft",Programme_Grunddaten!E663&lt;&gt;""),Programme_Grunddaten!E663,"")</f>
        <v/>
      </c>
      <c r="E658" t="str">
        <f>IF(AND(Programme_Grunddaten!$A663="Geprüft",Programme_Grunddaten!G663&lt;&gt;""),Programme_Grunddaten!G663,"")</f>
        <v/>
      </c>
      <c r="F658" t="str">
        <f>IF(AND(Programme_Grunddaten!$A663="Geprüft",Programme_Grunddaten!F663&lt;&gt;""),Programme_Grunddaten!F663,"")</f>
        <v/>
      </c>
      <c r="G658" s="3" t="str">
        <f>IF(AND(Programme_Grunddaten!$A663="Geprüft",Programme_Grunddaten!S663&lt;&gt;""),Programme_Grunddaten!S663,"")</f>
        <v/>
      </c>
      <c r="H658" t="str">
        <f>IF(AND(Programme_Grunddaten!$A663="Geprüft",Programme_Grunddaten!AW663&lt;&gt;""),Programme_Grunddaten!AW663,"")</f>
        <v/>
      </c>
      <c r="I658" t="str">
        <f>IF(AND(Programme_Grunddaten!$A663="Geprüft",Programme_Grunddaten!AX663&lt;&gt;""),Programme_Grunddaten!AX663,"")</f>
        <v/>
      </c>
    </row>
    <row r="659" spans="1:9" x14ac:dyDescent="0.3">
      <c r="A659" s="1" t="str">
        <f>IF(AND(Programme_Grunddaten!$A664="Geprüft",Programme_Grunddaten!B664&lt;&gt;""),Programme_Grunddaten!B664,"")</f>
        <v/>
      </c>
      <c r="B659" s="1" t="str">
        <f>IF(AND(Programme_Grunddaten!$A664="Geprüft",Programme_Grunddaten!C664&lt;&gt;""),Programme_Grunddaten!C664,"")</f>
        <v/>
      </c>
      <c r="C659" s="1" t="str">
        <f>IF(AND(Programme_Grunddaten!$A664="Geprüft",Programme_Grunddaten!D664&lt;&gt;""),Programme_Grunddaten!D664,"")</f>
        <v/>
      </c>
      <c r="D659" s="2" t="str">
        <f>IF(AND(Programme_Grunddaten!$A664="Geprüft",Programme_Grunddaten!E664&lt;&gt;""),Programme_Grunddaten!E664,"")</f>
        <v/>
      </c>
      <c r="E659" t="str">
        <f>IF(AND(Programme_Grunddaten!$A664="Geprüft",Programme_Grunddaten!G664&lt;&gt;""),Programme_Grunddaten!G664,"")</f>
        <v/>
      </c>
      <c r="F659" t="str">
        <f>IF(AND(Programme_Grunddaten!$A664="Geprüft",Programme_Grunddaten!F664&lt;&gt;""),Programme_Grunddaten!F664,"")</f>
        <v/>
      </c>
      <c r="G659" s="3" t="str">
        <f>IF(AND(Programme_Grunddaten!$A664="Geprüft",Programme_Grunddaten!S664&lt;&gt;""),Programme_Grunddaten!S664,"")</f>
        <v/>
      </c>
      <c r="H659" t="str">
        <f>IF(AND(Programme_Grunddaten!$A664="Geprüft",Programme_Grunddaten!AW664&lt;&gt;""),Programme_Grunddaten!AW664,"")</f>
        <v/>
      </c>
      <c r="I659" t="str">
        <f>IF(AND(Programme_Grunddaten!$A664="Geprüft",Programme_Grunddaten!AX664&lt;&gt;""),Programme_Grunddaten!AX664,"")</f>
        <v/>
      </c>
    </row>
    <row r="660" spans="1:9" x14ac:dyDescent="0.3">
      <c r="A660" s="1" t="str">
        <f>IF(AND(Programme_Grunddaten!$A665="Geprüft",Programme_Grunddaten!B665&lt;&gt;""),Programme_Grunddaten!B665,"")</f>
        <v/>
      </c>
      <c r="B660" s="1" t="str">
        <f>IF(AND(Programme_Grunddaten!$A665="Geprüft",Programme_Grunddaten!C665&lt;&gt;""),Programme_Grunddaten!C665,"")</f>
        <v/>
      </c>
      <c r="C660" s="1" t="str">
        <f>IF(AND(Programme_Grunddaten!$A665="Geprüft",Programme_Grunddaten!D665&lt;&gt;""),Programme_Grunddaten!D665,"")</f>
        <v/>
      </c>
      <c r="D660" s="2" t="str">
        <f>IF(AND(Programme_Grunddaten!$A665="Geprüft",Programme_Grunddaten!E665&lt;&gt;""),Programme_Grunddaten!E665,"")</f>
        <v/>
      </c>
      <c r="E660" t="str">
        <f>IF(AND(Programme_Grunddaten!$A665="Geprüft",Programme_Grunddaten!G665&lt;&gt;""),Programme_Grunddaten!G665,"")</f>
        <v/>
      </c>
      <c r="F660" t="str">
        <f>IF(AND(Programme_Grunddaten!$A665="Geprüft",Programme_Grunddaten!F665&lt;&gt;""),Programme_Grunddaten!F665,"")</f>
        <v/>
      </c>
      <c r="G660" s="3" t="str">
        <f>IF(AND(Programme_Grunddaten!$A665="Geprüft",Programme_Grunddaten!S665&lt;&gt;""),Programme_Grunddaten!S665,"")</f>
        <v/>
      </c>
      <c r="H660" t="str">
        <f>IF(AND(Programme_Grunddaten!$A665="Geprüft",Programme_Grunddaten!AW665&lt;&gt;""),Programme_Grunddaten!AW665,"")</f>
        <v/>
      </c>
      <c r="I660" t="str">
        <f>IF(AND(Programme_Grunddaten!$A665="Geprüft",Programme_Grunddaten!AX665&lt;&gt;""),Programme_Grunddaten!AX665,"")</f>
        <v/>
      </c>
    </row>
    <row r="661" spans="1:9" x14ac:dyDescent="0.3">
      <c r="A661" s="1" t="str">
        <f>IF(AND(Programme_Grunddaten!$A666="Geprüft",Programme_Grunddaten!B666&lt;&gt;""),Programme_Grunddaten!B666,"")</f>
        <v/>
      </c>
      <c r="B661" s="1" t="str">
        <f>IF(AND(Programme_Grunddaten!$A666="Geprüft",Programme_Grunddaten!C666&lt;&gt;""),Programme_Grunddaten!C666,"")</f>
        <v/>
      </c>
      <c r="C661" s="1" t="str">
        <f>IF(AND(Programme_Grunddaten!$A666="Geprüft",Programme_Grunddaten!D666&lt;&gt;""),Programme_Grunddaten!D666,"")</f>
        <v/>
      </c>
      <c r="D661" s="2" t="str">
        <f>IF(AND(Programme_Grunddaten!$A666="Geprüft",Programme_Grunddaten!E666&lt;&gt;""),Programme_Grunddaten!E666,"")</f>
        <v/>
      </c>
      <c r="E661" t="str">
        <f>IF(AND(Programme_Grunddaten!$A666="Geprüft",Programme_Grunddaten!G666&lt;&gt;""),Programme_Grunddaten!G666,"")</f>
        <v/>
      </c>
      <c r="F661" t="str">
        <f>IF(AND(Programme_Grunddaten!$A666="Geprüft",Programme_Grunddaten!F666&lt;&gt;""),Programme_Grunddaten!F666,"")</f>
        <v/>
      </c>
      <c r="G661" s="3" t="str">
        <f>IF(AND(Programme_Grunddaten!$A666="Geprüft",Programme_Grunddaten!S666&lt;&gt;""),Programme_Grunddaten!S666,"")</f>
        <v/>
      </c>
      <c r="H661" t="str">
        <f>IF(AND(Programme_Grunddaten!$A666="Geprüft",Programme_Grunddaten!AW666&lt;&gt;""),Programme_Grunddaten!AW666,"")</f>
        <v/>
      </c>
      <c r="I661" t="str">
        <f>IF(AND(Programme_Grunddaten!$A666="Geprüft",Programme_Grunddaten!AX666&lt;&gt;""),Programme_Grunddaten!AX666,"")</f>
        <v/>
      </c>
    </row>
    <row r="662" spans="1:9" x14ac:dyDescent="0.3">
      <c r="A662" s="1" t="str">
        <f>IF(AND(Programme_Grunddaten!$A667="Geprüft",Programme_Grunddaten!B667&lt;&gt;""),Programme_Grunddaten!B667,"")</f>
        <v/>
      </c>
      <c r="B662" s="1" t="str">
        <f>IF(AND(Programme_Grunddaten!$A667="Geprüft",Programme_Grunddaten!C667&lt;&gt;""),Programme_Grunddaten!C667,"")</f>
        <v/>
      </c>
      <c r="C662" s="1" t="str">
        <f>IF(AND(Programme_Grunddaten!$A667="Geprüft",Programme_Grunddaten!D667&lt;&gt;""),Programme_Grunddaten!D667,"")</f>
        <v/>
      </c>
      <c r="D662" s="2" t="str">
        <f>IF(AND(Programme_Grunddaten!$A667="Geprüft",Programme_Grunddaten!E667&lt;&gt;""),Programme_Grunddaten!E667,"")</f>
        <v/>
      </c>
      <c r="E662" t="str">
        <f>IF(AND(Programme_Grunddaten!$A667="Geprüft",Programme_Grunddaten!G667&lt;&gt;""),Programme_Grunddaten!G667,"")</f>
        <v/>
      </c>
      <c r="F662" t="str">
        <f>IF(AND(Programme_Grunddaten!$A667="Geprüft",Programme_Grunddaten!F667&lt;&gt;""),Programme_Grunddaten!F667,"")</f>
        <v/>
      </c>
      <c r="G662" s="3" t="str">
        <f>IF(AND(Programme_Grunddaten!$A667="Geprüft",Programme_Grunddaten!S667&lt;&gt;""),Programme_Grunddaten!S667,"")</f>
        <v/>
      </c>
      <c r="H662" t="str">
        <f>IF(AND(Programme_Grunddaten!$A667="Geprüft",Programme_Grunddaten!AW667&lt;&gt;""),Programme_Grunddaten!AW667,"")</f>
        <v/>
      </c>
      <c r="I662" t="str">
        <f>IF(AND(Programme_Grunddaten!$A667="Geprüft",Programme_Grunddaten!AX667&lt;&gt;""),Programme_Grunddaten!AX667,"")</f>
        <v/>
      </c>
    </row>
    <row r="663" spans="1:9" x14ac:dyDescent="0.3">
      <c r="A663" s="1" t="str">
        <f>IF(AND(Programme_Grunddaten!$A668="Geprüft",Programme_Grunddaten!B668&lt;&gt;""),Programme_Grunddaten!B668,"")</f>
        <v/>
      </c>
      <c r="B663" s="1" t="str">
        <f>IF(AND(Programme_Grunddaten!$A668="Geprüft",Programme_Grunddaten!C668&lt;&gt;""),Programme_Grunddaten!C668,"")</f>
        <v/>
      </c>
      <c r="C663" s="1" t="str">
        <f>IF(AND(Programme_Grunddaten!$A668="Geprüft",Programme_Grunddaten!D668&lt;&gt;""),Programme_Grunddaten!D668,"")</f>
        <v/>
      </c>
      <c r="D663" s="2" t="str">
        <f>IF(AND(Programme_Grunddaten!$A668="Geprüft",Programme_Grunddaten!E668&lt;&gt;""),Programme_Grunddaten!E668,"")</f>
        <v/>
      </c>
      <c r="E663" t="str">
        <f>IF(AND(Programme_Grunddaten!$A668="Geprüft",Programme_Grunddaten!G668&lt;&gt;""),Programme_Grunddaten!G668,"")</f>
        <v/>
      </c>
      <c r="F663" t="str">
        <f>IF(AND(Programme_Grunddaten!$A668="Geprüft",Programme_Grunddaten!F668&lt;&gt;""),Programme_Grunddaten!F668,"")</f>
        <v/>
      </c>
      <c r="G663" s="3" t="str">
        <f>IF(AND(Programme_Grunddaten!$A668="Geprüft",Programme_Grunddaten!S668&lt;&gt;""),Programme_Grunddaten!S668,"")</f>
        <v/>
      </c>
      <c r="H663" t="str">
        <f>IF(AND(Programme_Grunddaten!$A668="Geprüft",Programme_Grunddaten!AW668&lt;&gt;""),Programme_Grunddaten!AW668,"")</f>
        <v/>
      </c>
      <c r="I663" t="str">
        <f>IF(AND(Programme_Grunddaten!$A668="Geprüft",Programme_Grunddaten!AX668&lt;&gt;""),Programme_Grunddaten!AX668,"")</f>
        <v/>
      </c>
    </row>
    <row r="664" spans="1:9" x14ac:dyDescent="0.3">
      <c r="A664" s="1" t="str">
        <f>IF(AND(Programme_Grunddaten!$A669="Geprüft",Programme_Grunddaten!B669&lt;&gt;""),Programme_Grunddaten!B669,"")</f>
        <v/>
      </c>
      <c r="B664" s="1" t="str">
        <f>IF(AND(Programme_Grunddaten!$A669="Geprüft",Programme_Grunddaten!C669&lt;&gt;""),Programme_Grunddaten!C669,"")</f>
        <v/>
      </c>
      <c r="C664" s="1" t="str">
        <f>IF(AND(Programme_Grunddaten!$A669="Geprüft",Programme_Grunddaten!D669&lt;&gt;""),Programme_Grunddaten!D669,"")</f>
        <v/>
      </c>
      <c r="D664" s="2" t="str">
        <f>IF(AND(Programme_Grunddaten!$A669="Geprüft",Programme_Grunddaten!E669&lt;&gt;""),Programme_Grunddaten!E669,"")</f>
        <v/>
      </c>
      <c r="E664" t="str">
        <f>IF(AND(Programme_Grunddaten!$A669="Geprüft",Programme_Grunddaten!G669&lt;&gt;""),Programme_Grunddaten!G669,"")</f>
        <v/>
      </c>
      <c r="F664" t="str">
        <f>IF(AND(Programme_Grunddaten!$A669="Geprüft",Programme_Grunddaten!F669&lt;&gt;""),Programme_Grunddaten!F669,"")</f>
        <v/>
      </c>
      <c r="G664" s="3" t="str">
        <f>IF(AND(Programme_Grunddaten!$A669="Geprüft",Programme_Grunddaten!S669&lt;&gt;""),Programme_Grunddaten!S669,"")</f>
        <v/>
      </c>
      <c r="H664" t="str">
        <f>IF(AND(Programme_Grunddaten!$A669="Geprüft",Programme_Grunddaten!AW669&lt;&gt;""),Programme_Grunddaten!AW669,"")</f>
        <v/>
      </c>
      <c r="I664" t="str">
        <f>IF(AND(Programme_Grunddaten!$A669="Geprüft",Programme_Grunddaten!AX669&lt;&gt;""),Programme_Grunddaten!AX669,"")</f>
        <v/>
      </c>
    </row>
    <row r="665" spans="1:9" x14ac:dyDescent="0.3">
      <c r="A665" s="1" t="str">
        <f>IF(AND(Programme_Grunddaten!$A670="Geprüft",Programme_Grunddaten!B670&lt;&gt;""),Programme_Grunddaten!B670,"")</f>
        <v/>
      </c>
      <c r="B665" s="1" t="str">
        <f>IF(AND(Programme_Grunddaten!$A670="Geprüft",Programme_Grunddaten!C670&lt;&gt;""),Programme_Grunddaten!C670,"")</f>
        <v/>
      </c>
      <c r="C665" s="1" t="str">
        <f>IF(AND(Programme_Grunddaten!$A670="Geprüft",Programme_Grunddaten!D670&lt;&gt;""),Programme_Grunddaten!D670,"")</f>
        <v/>
      </c>
      <c r="D665" s="2" t="str">
        <f>IF(AND(Programme_Grunddaten!$A670="Geprüft",Programme_Grunddaten!E670&lt;&gt;""),Programme_Grunddaten!E670,"")</f>
        <v/>
      </c>
      <c r="E665" t="str">
        <f>IF(AND(Programme_Grunddaten!$A670="Geprüft",Programme_Grunddaten!G670&lt;&gt;""),Programme_Grunddaten!G670,"")</f>
        <v/>
      </c>
      <c r="F665" t="str">
        <f>IF(AND(Programme_Grunddaten!$A670="Geprüft",Programme_Grunddaten!F670&lt;&gt;""),Programme_Grunddaten!F670,"")</f>
        <v/>
      </c>
      <c r="G665" s="3" t="str">
        <f>IF(AND(Programme_Grunddaten!$A670="Geprüft",Programme_Grunddaten!S670&lt;&gt;""),Programme_Grunddaten!S670,"")</f>
        <v/>
      </c>
      <c r="H665" t="str">
        <f>IF(AND(Programme_Grunddaten!$A670="Geprüft",Programme_Grunddaten!AW670&lt;&gt;""),Programme_Grunddaten!AW670,"")</f>
        <v/>
      </c>
      <c r="I665" t="str">
        <f>IF(AND(Programme_Grunddaten!$A670="Geprüft",Programme_Grunddaten!AX670&lt;&gt;""),Programme_Grunddaten!AX670,"")</f>
        <v/>
      </c>
    </row>
    <row r="666" spans="1:9" x14ac:dyDescent="0.3">
      <c r="A666" s="1" t="str">
        <f>IF(AND(Programme_Grunddaten!$A671="Geprüft",Programme_Grunddaten!B671&lt;&gt;""),Programme_Grunddaten!B671,"")</f>
        <v/>
      </c>
      <c r="B666" s="1" t="str">
        <f>IF(AND(Programme_Grunddaten!$A671="Geprüft",Programme_Grunddaten!C671&lt;&gt;""),Programme_Grunddaten!C671,"")</f>
        <v/>
      </c>
      <c r="C666" s="1" t="str">
        <f>IF(AND(Programme_Grunddaten!$A671="Geprüft",Programme_Grunddaten!D671&lt;&gt;""),Programme_Grunddaten!D671,"")</f>
        <v/>
      </c>
      <c r="D666" s="2" t="str">
        <f>IF(AND(Programme_Grunddaten!$A671="Geprüft",Programme_Grunddaten!E671&lt;&gt;""),Programme_Grunddaten!E671,"")</f>
        <v/>
      </c>
      <c r="E666" t="str">
        <f>IF(AND(Programme_Grunddaten!$A671="Geprüft",Programme_Grunddaten!G671&lt;&gt;""),Programme_Grunddaten!G671,"")</f>
        <v/>
      </c>
      <c r="F666" t="str">
        <f>IF(AND(Programme_Grunddaten!$A671="Geprüft",Programme_Grunddaten!F671&lt;&gt;""),Programme_Grunddaten!F671,"")</f>
        <v/>
      </c>
      <c r="G666" s="3" t="str">
        <f>IF(AND(Programme_Grunddaten!$A671="Geprüft",Programme_Grunddaten!S671&lt;&gt;""),Programme_Grunddaten!S671,"")</f>
        <v/>
      </c>
      <c r="H666" t="str">
        <f>IF(AND(Programme_Grunddaten!$A671="Geprüft",Programme_Grunddaten!AW671&lt;&gt;""),Programme_Grunddaten!AW671,"")</f>
        <v/>
      </c>
      <c r="I666" t="str">
        <f>IF(AND(Programme_Grunddaten!$A671="Geprüft",Programme_Grunddaten!AX671&lt;&gt;""),Programme_Grunddaten!AX671,"")</f>
        <v/>
      </c>
    </row>
    <row r="667" spans="1:9" x14ac:dyDescent="0.3">
      <c r="A667" s="1" t="str">
        <f>IF(AND(Programme_Grunddaten!$A672="Geprüft",Programme_Grunddaten!B672&lt;&gt;""),Programme_Grunddaten!B672,"")</f>
        <v/>
      </c>
      <c r="B667" s="1" t="str">
        <f>IF(AND(Programme_Grunddaten!$A672="Geprüft",Programme_Grunddaten!C672&lt;&gt;""),Programme_Grunddaten!C672,"")</f>
        <v/>
      </c>
      <c r="C667" s="1" t="str">
        <f>IF(AND(Programme_Grunddaten!$A672="Geprüft",Programme_Grunddaten!D672&lt;&gt;""),Programme_Grunddaten!D672,"")</f>
        <v/>
      </c>
      <c r="D667" s="2" t="str">
        <f>IF(AND(Programme_Grunddaten!$A672="Geprüft",Programme_Grunddaten!E672&lt;&gt;""),Programme_Grunddaten!E672,"")</f>
        <v/>
      </c>
      <c r="E667" t="str">
        <f>IF(AND(Programme_Grunddaten!$A672="Geprüft",Programme_Grunddaten!G672&lt;&gt;""),Programme_Grunddaten!G672,"")</f>
        <v/>
      </c>
      <c r="F667" t="str">
        <f>IF(AND(Programme_Grunddaten!$A672="Geprüft",Programme_Grunddaten!F672&lt;&gt;""),Programme_Grunddaten!F672,"")</f>
        <v/>
      </c>
      <c r="G667" s="3" t="str">
        <f>IF(AND(Programme_Grunddaten!$A672="Geprüft",Programme_Grunddaten!S672&lt;&gt;""),Programme_Grunddaten!S672,"")</f>
        <v/>
      </c>
      <c r="H667" t="str">
        <f>IF(AND(Programme_Grunddaten!$A672="Geprüft",Programme_Grunddaten!AW672&lt;&gt;""),Programme_Grunddaten!AW672,"")</f>
        <v/>
      </c>
      <c r="I667" t="str">
        <f>IF(AND(Programme_Grunddaten!$A672="Geprüft",Programme_Grunddaten!AX672&lt;&gt;""),Programme_Grunddaten!AX672,"")</f>
        <v/>
      </c>
    </row>
    <row r="668" spans="1:9" x14ac:dyDescent="0.3">
      <c r="A668" s="1" t="str">
        <f>IF(AND(Programme_Grunddaten!$A673="Geprüft",Programme_Grunddaten!B673&lt;&gt;""),Programme_Grunddaten!B673,"")</f>
        <v/>
      </c>
      <c r="B668" s="1" t="str">
        <f>IF(AND(Programme_Grunddaten!$A673="Geprüft",Programme_Grunddaten!C673&lt;&gt;""),Programme_Grunddaten!C673,"")</f>
        <v/>
      </c>
      <c r="C668" s="1" t="str">
        <f>IF(AND(Programme_Grunddaten!$A673="Geprüft",Programme_Grunddaten!D673&lt;&gt;""),Programme_Grunddaten!D673,"")</f>
        <v/>
      </c>
      <c r="D668" s="2" t="str">
        <f>IF(AND(Programme_Grunddaten!$A673="Geprüft",Programme_Grunddaten!E673&lt;&gt;""),Programme_Grunddaten!E673,"")</f>
        <v/>
      </c>
      <c r="E668" t="str">
        <f>IF(AND(Programme_Grunddaten!$A673="Geprüft",Programme_Grunddaten!G673&lt;&gt;""),Programme_Grunddaten!G673,"")</f>
        <v/>
      </c>
      <c r="F668" t="str">
        <f>IF(AND(Programme_Grunddaten!$A673="Geprüft",Programme_Grunddaten!F673&lt;&gt;""),Programme_Grunddaten!F673,"")</f>
        <v/>
      </c>
      <c r="G668" s="3" t="str">
        <f>IF(AND(Programme_Grunddaten!$A673="Geprüft",Programme_Grunddaten!S673&lt;&gt;""),Programme_Grunddaten!S673,"")</f>
        <v/>
      </c>
      <c r="H668" t="str">
        <f>IF(AND(Programme_Grunddaten!$A673="Geprüft",Programme_Grunddaten!AW673&lt;&gt;""),Programme_Grunddaten!AW673,"")</f>
        <v/>
      </c>
      <c r="I668" t="str">
        <f>IF(AND(Programme_Grunddaten!$A673="Geprüft",Programme_Grunddaten!AX673&lt;&gt;""),Programme_Grunddaten!AX673,"")</f>
        <v/>
      </c>
    </row>
    <row r="669" spans="1:9" x14ac:dyDescent="0.3">
      <c r="A669" s="1" t="str">
        <f>IF(AND(Programme_Grunddaten!$A674="Geprüft",Programme_Grunddaten!B674&lt;&gt;""),Programme_Grunddaten!B674,"")</f>
        <v/>
      </c>
      <c r="B669" s="1" t="str">
        <f>IF(AND(Programme_Grunddaten!$A674="Geprüft",Programme_Grunddaten!C674&lt;&gt;""),Programme_Grunddaten!C674,"")</f>
        <v/>
      </c>
      <c r="C669" s="1" t="str">
        <f>IF(AND(Programme_Grunddaten!$A674="Geprüft",Programme_Grunddaten!D674&lt;&gt;""),Programme_Grunddaten!D674,"")</f>
        <v/>
      </c>
      <c r="D669" s="2" t="str">
        <f>IF(AND(Programme_Grunddaten!$A674="Geprüft",Programme_Grunddaten!E674&lt;&gt;""),Programme_Grunddaten!E674,"")</f>
        <v/>
      </c>
      <c r="E669" t="str">
        <f>IF(AND(Programme_Grunddaten!$A674="Geprüft",Programme_Grunddaten!G674&lt;&gt;""),Programme_Grunddaten!G674,"")</f>
        <v/>
      </c>
      <c r="F669" t="str">
        <f>IF(AND(Programme_Grunddaten!$A674="Geprüft",Programme_Grunddaten!F674&lt;&gt;""),Programme_Grunddaten!F674,"")</f>
        <v/>
      </c>
      <c r="G669" s="3" t="str">
        <f>IF(AND(Programme_Grunddaten!$A674="Geprüft",Programme_Grunddaten!S674&lt;&gt;""),Programme_Grunddaten!S674,"")</f>
        <v/>
      </c>
      <c r="H669" t="str">
        <f>IF(AND(Programme_Grunddaten!$A674="Geprüft",Programme_Grunddaten!AW674&lt;&gt;""),Programme_Grunddaten!AW674,"")</f>
        <v/>
      </c>
      <c r="I669" t="str">
        <f>IF(AND(Programme_Grunddaten!$A674="Geprüft",Programme_Grunddaten!AX674&lt;&gt;""),Programme_Grunddaten!AX674,"")</f>
        <v/>
      </c>
    </row>
    <row r="670" spans="1:9" x14ac:dyDescent="0.3">
      <c r="A670" s="1" t="str">
        <f>IF(AND(Programme_Grunddaten!$A675="Geprüft",Programme_Grunddaten!B675&lt;&gt;""),Programme_Grunddaten!B675,"")</f>
        <v/>
      </c>
      <c r="B670" s="1" t="str">
        <f>IF(AND(Programme_Grunddaten!$A675="Geprüft",Programme_Grunddaten!C675&lt;&gt;""),Programme_Grunddaten!C675,"")</f>
        <v/>
      </c>
      <c r="C670" s="1" t="str">
        <f>IF(AND(Programme_Grunddaten!$A675="Geprüft",Programme_Grunddaten!D675&lt;&gt;""),Programme_Grunddaten!D675,"")</f>
        <v/>
      </c>
      <c r="D670" s="2" t="str">
        <f>IF(AND(Programme_Grunddaten!$A675="Geprüft",Programme_Grunddaten!E675&lt;&gt;""),Programme_Grunddaten!E675,"")</f>
        <v/>
      </c>
      <c r="E670" t="str">
        <f>IF(AND(Programme_Grunddaten!$A675="Geprüft",Programme_Grunddaten!G675&lt;&gt;""),Programme_Grunddaten!G675,"")</f>
        <v/>
      </c>
      <c r="F670" t="str">
        <f>IF(AND(Programme_Grunddaten!$A675="Geprüft",Programme_Grunddaten!F675&lt;&gt;""),Programme_Grunddaten!F675,"")</f>
        <v/>
      </c>
      <c r="G670" s="3" t="str">
        <f>IF(AND(Programme_Grunddaten!$A675="Geprüft",Programme_Grunddaten!S675&lt;&gt;""),Programme_Grunddaten!S675,"")</f>
        <v/>
      </c>
      <c r="H670" t="str">
        <f>IF(AND(Programme_Grunddaten!$A675="Geprüft",Programme_Grunddaten!AW675&lt;&gt;""),Programme_Grunddaten!AW675,"")</f>
        <v/>
      </c>
      <c r="I670" t="str">
        <f>IF(AND(Programme_Grunddaten!$A675="Geprüft",Programme_Grunddaten!AX675&lt;&gt;""),Programme_Grunddaten!AX675,"")</f>
        <v/>
      </c>
    </row>
    <row r="671" spans="1:9" x14ac:dyDescent="0.3">
      <c r="A671" s="1" t="str">
        <f>IF(AND(Programme_Grunddaten!$A676="Geprüft",Programme_Grunddaten!B676&lt;&gt;""),Programme_Grunddaten!B676,"")</f>
        <v/>
      </c>
      <c r="B671" s="1" t="str">
        <f>IF(AND(Programme_Grunddaten!$A676="Geprüft",Programme_Grunddaten!C676&lt;&gt;""),Programme_Grunddaten!C676,"")</f>
        <v/>
      </c>
      <c r="C671" s="1" t="str">
        <f>IF(AND(Programme_Grunddaten!$A676="Geprüft",Programme_Grunddaten!D676&lt;&gt;""),Programme_Grunddaten!D676,"")</f>
        <v/>
      </c>
      <c r="D671" s="2" t="str">
        <f>IF(AND(Programme_Grunddaten!$A676="Geprüft",Programme_Grunddaten!E676&lt;&gt;""),Programme_Grunddaten!E676,"")</f>
        <v/>
      </c>
      <c r="E671" t="str">
        <f>IF(AND(Programme_Grunddaten!$A676="Geprüft",Programme_Grunddaten!G676&lt;&gt;""),Programme_Grunddaten!G676,"")</f>
        <v/>
      </c>
      <c r="F671" t="str">
        <f>IF(AND(Programme_Grunddaten!$A676="Geprüft",Programme_Grunddaten!F676&lt;&gt;""),Programme_Grunddaten!F676,"")</f>
        <v/>
      </c>
      <c r="G671" s="3" t="str">
        <f>IF(AND(Programme_Grunddaten!$A676="Geprüft",Programme_Grunddaten!S676&lt;&gt;""),Programme_Grunddaten!S676,"")</f>
        <v/>
      </c>
      <c r="H671" t="str">
        <f>IF(AND(Programme_Grunddaten!$A676="Geprüft",Programme_Grunddaten!AW676&lt;&gt;""),Programme_Grunddaten!AW676,"")</f>
        <v/>
      </c>
      <c r="I671" t="str">
        <f>IF(AND(Programme_Grunddaten!$A676="Geprüft",Programme_Grunddaten!AX676&lt;&gt;""),Programme_Grunddaten!AX676,"")</f>
        <v/>
      </c>
    </row>
    <row r="672" spans="1:9" x14ac:dyDescent="0.3">
      <c r="A672" s="1" t="str">
        <f>IF(AND(Programme_Grunddaten!$A677="Geprüft",Programme_Grunddaten!B677&lt;&gt;""),Programme_Grunddaten!B677,"")</f>
        <v/>
      </c>
      <c r="B672" s="1" t="str">
        <f>IF(AND(Programme_Grunddaten!$A677="Geprüft",Programme_Grunddaten!C677&lt;&gt;""),Programme_Grunddaten!C677,"")</f>
        <v/>
      </c>
      <c r="C672" s="1" t="str">
        <f>IF(AND(Programme_Grunddaten!$A677="Geprüft",Programme_Grunddaten!D677&lt;&gt;""),Programme_Grunddaten!D677,"")</f>
        <v/>
      </c>
      <c r="D672" s="2" t="str">
        <f>IF(AND(Programme_Grunddaten!$A677="Geprüft",Programme_Grunddaten!E677&lt;&gt;""),Programme_Grunddaten!E677,"")</f>
        <v/>
      </c>
      <c r="E672" t="str">
        <f>IF(AND(Programme_Grunddaten!$A677="Geprüft",Programme_Grunddaten!G677&lt;&gt;""),Programme_Grunddaten!G677,"")</f>
        <v/>
      </c>
      <c r="F672" t="str">
        <f>IF(AND(Programme_Grunddaten!$A677="Geprüft",Programme_Grunddaten!F677&lt;&gt;""),Programme_Grunddaten!F677,"")</f>
        <v/>
      </c>
      <c r="G672" s="3" t="str">
        <f>IF(AND(Programme_Grunddaten!$A677="Geprüft",Programme_Grunddaten!S677&lt;&gt;""),Programme_Grunddaten!S677,"")</f>
        <v/>
      </c>
      <c r="H672" t="str">
        <f>IF(AND(Programme_Grunddaten!$A677="Geprüft",Programme_Grunddaten!AW677&lt;&gt;""),Programme_Grunddaten!AW677,"")</f>
        <v/>
      </c>
      <c r="I672" t="str">
        <f>IF(AND(Programme_Grunddaten!$A677="Geprüft",Programme_Grunddaten!AX677&lt;&gt;""),Programme_Grunddaten!AX677,"")</f>
        <v/>
      </c>
    </row>
    <row r="673" spans="1:9" x14ac:dyDescent="0.3">
      <c r="A673" s="1" t="str">
        <f>IF(AND(Programme_Grunddaten!$A678="Geprüft",Programme_Grunddaten!B678&lt;&gt;""),Programme_Grunddaten!B678,"")</f>
        <v/>
      </c>
      <c r="B673" s="1" t="str">
        <f>IF(AND(Programme_Grunddaten!$A678="Geprüft",Programme_Grunddaten!C678&lt;&gt;""),Programme_Grunddaten!C678,"")</f>
        <v/>
      </c>
      <c r="C673" s="1" t="str">
        <f>IF(AND(Programme_Grunddaten!$A678="Geprüft",Programme_Grunddaten!D678&lt;&gt;""),Programme_Grunddaten!D678,"")</f>
        <v/>
      </c>
      <c r="D673" s="2" t="str">
        <f>IF(AND(Programme_Grunddaten!$A678="Geprüft",Programme_Grunddaten!E678&lt;&gt;""),Programme_Grunddaten!E678,"")</f>
        <v/>
      </c>
      <c r="E673" t="str">
        <f>IF(AND(Programme_Grunddaten!$A678="Geprüft",Programme_Grunddaten!G678&lt;&gt;""),Programme_Grunddaten!G678,"")</f>
        <v/>
      </c>
      <c r="F673" t="str">
        <f>IF(AND(Programme_Grunddaten!$A678="Geprüft",Programme_Grunddaten!F678&lt;&gt;""),Programme_Grunddaten!F678,"")</f>
        <v/>
      </c>
      <c r="G673" s="3" t="str">
        <f>IF(AND(Programme_Grunddaten!$A678="Geprüft",Programme_Grunddaten!S678&lt;&gt;""),Programme_Grunddaten!S678,"")</f>
        <v/>
      </c>
      <c r="H673" t="str">
        <f>IF(AND(Programme_Grunddaten!$A678="Geprüft",Programme_Grunddaten!AW678&lt;&gt;""),Programme_Grunddaten!AW678,"")</f>
        <v/>
      </c>
      <c r="I673" t="str">
        <f>IF(AND(Programme_Grunddaten!$A678="Geprüft",Programme_Grunddaten!AX678&lt;&gt;""),Programme_Grunddaten!AX678,"")</f>
        <v/>
      </c>
    </row>
    <row r="674" spans="1:9" x14ac:dyDescent="0.3">
      <c r="A674" s="1" t="str">
        <f>IF(AND(Programme_Grunddaten!$A679="Geprüft",Programme_Grunddaten!B679&lt;&gt;""),Programme_Grunddaten!B679,"")</f>
        <v/>
      </c>
      <c r="B674" s="1" t="str">
        <f>IF(AND(Programme_Grunddaten!$A679="Geprüft",Programme_Grunddaten!C679&lt;&gt;""),Programme_Grunddaten!C679,"")</f>
        <v/>
      </c>
      <c r="C674" s="1" t="str">
        <f>IF(AND(Programme_Grunddaten!$A679="Geprüft",Programme_Grunddaten!D679&lt;&gt;""),Programme_Grunddaten!D679,"")</f>
        <v/>
      </c>
      <c r="D674" s="2" t="str">
        <f>IF(AND(Programme_Grunddaten!$A679="Geprüft",Programme_Grunddaten!E679&lt;&gt;""),Programme_Grunddaten!E679,"")</f>
        <v/>
      </c>
      <c r="E674" t="str">
        <f>IF(AND(Programme_Grunddaten!$A679="Geprüft",Programme_Grunddaten!G679&lt;&gt;""),Programme_Grunddaten!G679,"")</f>
        <v/>
      </c>
      <c r="F674" t="str">
        <f>IF(AND(Programme_Grunddaten!$A679="Geprüft",Programme_Grunddaten!F679&lt;&gt;""),Programme_Grunddaten!F679,"")</f>
        <v/>
      </c>
      <c r="G674" s="3" t="str">
        <f>IF(AND(Programme_Grunddaten!$A679="Geprüft",Programme_Grunddaten!S679&lt;&gt;""),Programme_Grunddaten!S679,"")</f>
        <v/>
      </c>
      <c r="H674" t="str">
        <f>IF(AND(Programme_Grunddaten!$A679="Geprüft",Programme_Grunddaten!AW679&lt;&gt;""),Programme_Grunddaten!AW679,"")</f>
        <v/>
      </c>
      <c r="I674" t="str">
        <f>IF(AND(Programme_Grunddaten!$A679="Geprüft",Programme_Grunddaten!AX679&lt;&gt;""),Programme_Grunddaten!AX679,"")</f>
        <v/>
      </c>
    </row>
    <row r="675" spans="1:9" x14ac:dyDescent="0.3">
      <c r="A675" s="1" t="str">
        <f>IF(AND(Programme_Grunddaten!$A680="Geprüft",Programme_Grunddaten!B680&lt;&gt;""),Programme_Grunddaten!B680,"")</f>
        <v/>
      </c>
      <c r="B675" s="1" t="str">
        <f>IF(AND(Programme_Grunddaten!$A680="Geprüft",Programme_Grunddaten!C680&lt;&gt;""),Programme_Grunddaten!C680,"")</f>
        <v/>
      </c>
      <c r="C675" s="1" t="str">
        <f>IF(AND(Programme_Grunddaten!$A680="Geprüft",Programme_Grunddaten!D680&lt;&gt;""),Programme_Grunddaten!D680,"")</f>
        <v/>
      </c>
      <c r="D675" s="2" t="str">
        <f>IF(AND(Programme_Grunddaten!$A680="Geprüft",Programme_Grunddaten!E680&lt;&gt;""),Programme_Grunddaten!E680,"")</f>
        <v/>
      </c>
      <c r="E675" t="str">
        <f>IF(AND(Programme_Grunddaten!$A680="Geprüft",Programme_Grunddaten!G680&lt;&gt;""),Programme_Grunddaten!G680,"")</f>
        <v/>
      </c>
      <c r="F675" t="str">
        <f>IF(AND(Programme_Grunddaten!$A680="Geprüft",Programme_Grunddaten!F680&lt;&gt;""),Programme_Grunddaten!F680,"")</f>
        <v/>
      </c>
      <c r="G675" s="3" t="str">
        <f>IF(AND(Programme_Grunddaten!$A680="Geprüft",Programme_Grunddaten!S680&lt;&gt;""),Programme_Grunddaten!S680,"")</f>
        <v/>
      </c>
      <c r="H675" t="str">
        <f>IF(AND(Programme_Grunddaten!$A680="Geprüft",Programme_Grunddaten!AW680&lt;&gt;""),Programme_Grunddaten!AW680,"")</f>
        <v/>
      </c>
      <c r="I675" t="str">
        <f>IF(AND(Programme_Grunddaten!$A680="Geprüft",Programme_Grunddaten!AX680&lt;&gt;""),Programme_Grunddaten!AX680,"")</f>
        <v/>
      </c>
    </row>
    <row r="676" spans="1:9" x14ac:dyDescent="0.3">
      <c r="A676" s="1" t="str">
        <f>IF(AND(Programme_Grunddaten!$A681="Geprüft",Programme_Grunddaten!B681&lt;&gt;""),Programme_Grunddaten!B681,"")</f>
        <v/>
      </c>
      <c r="B676" s="1" t="str">
        <f>IF(AND(Programme_Grunddaten!$A681="Geprüft",Programme_Grunddaten!C681&lt;&gt;""),Programme_Grunddaten!C681,"")</f>
        <v/>
      </c>
      <c r="C676" s="1" t="str">
        <f>IF(AND(Programme_Grunddaten!$A681="Geprüft",Programme_Grunddaten!D681&lt;&gt;""),Programme_Grunddaten!D681,"")</f>
        <v/>
      </c>
      <c r="D676" s="2" t="str">
        <f>IF(AND(Programme_Grunddaten!$A681="Geprüft",Programme_Grunddaten!E681&lt;&gt;""),Programme_Grunddaten!E681,"")</f>
        <v/>
      </c>
      <c r="E676" t="str">
        <f>IF(AND(Programme_Grunddaten!$A681="Geprüft",Programme_Grunddaten!G681&lt;&gt;""),Programme_Grunddaten!G681,"")</f>
        <v/>
      </c>
      <c r="F676" t="str">
        <f>IF(AND(Programme_Grunddaten!$A681="Geprüft",Programme_Grunddaten!F681&lt;&gt;""),Programme_Grunddaten!F681,"")</f>
        <v/>
      </c>
      <c r="G676" s="3" t="str">
        <f>IF(AND(Programme_Grunddaten!$A681="Geprüft",Programme_Grunddaten!S681&lt;&gt;""),Programme_Grunddaten!S681,"")</f>
        <v/>
      </c>
      <c r="H676" t="str">
        <f>IF(AND(Programme_Grunddaten!$A681="Geprüft",Programme_Grunddaten!AW681&lt;&gt;""),Programme_Grunddaten!AW681,"")</f>
        <v/>
      </c>
      <c r="I676" t="str">
        <f>IF(AND(Programme_Grunddaten!$A681="Geprüft",Programme_Grunddaten!AX681&lt;&gt;""),Programme_Grunddaten!AX681,"")</f>
        <v/>
      </c>
    </row>
    <row r="677" spans="1:9" x14ac:dyDescent="0.3">
      <c r="A677" s="1" t="str">
        <f>IF(AND(Programme_Grunddaten!$A682="Geprüft",Programme_Grunddaten!B682&lt;&gt;""),Programme_Grunddaten!B682,"")</f>
        <v/>
      </c>
      <c r="B677" s="1" t="str">
        <f>IF(AND(Programme_Grunddaten!$A682="Geprüft",Programme_Grunddaten!C682&lt;&gt;""),Programme_Grunddaten!C682,"")</f>
        <v/>
      </c>
      <c r="C677" s="1" t="str">
        <f>IF(AND(Programme_Grunddaten!$A682="Geprüft",Programme_Grunddaten!D682&lt;&gt;""),Programme_Grunddaten!D682,"")</f>
        <v/>
      </c>
      <c r="D677" s="2" t="str">
        <f>IF(AND(Programme_Grunddaten!$A682="Geprüft",Programme_Grunddaten!E682&lt;&gt;""),Programme_Grunddaten!E682,"")</f>
        <v/>
      </c>
      <c r="E677" t="str">
        <f>IF(AND(Programme_Grunddaten!$A682="Geprüft",Programme_Grunddaten!G682&lt;&gt;""),Programme_Grunddaten!G682,"")</f>
        <v/>
      </c>
      <c r="F677" t="str">
        <f>IF(AND(Programme_Grunddaten!$A682="Geprüft",Programme_Grunddaten!F682&lt;&gt;""),Programme_Grunddaten!F682,"")</f>
        <v/>
      </c>
      <c r="G677" s="3" t="str">
        <f>IF(AND(Programme_Grunddaten!$A682="Geprüft",Programme_Grunddaten!S682&lt;&gt;""),Programme_Grunddaten!S682,"")</f>
        <v/>
      </c>
      <c r="H677" t="str">
        <f>IF(AND(Programme_Grunddaten!$A682="Geprüft",Programme_Grunddaten!AW682&lt;&gt;""),Programme_Grunddaten!AW682,"")</f>
        <v/>
      </c>
      <c r="I677" t="str">
        <f>IF(AND(Programme_Grunddaten!$A682="Geprüft",Programme_Grunddaten!AX682&lt;&gt;""),Programme_Grunddaten!AX682,"")</f>
        <v/>
      </c>
    </row>
    <row r="678" spans="1:9" x14ac:dyDescent="0.3">
      <c r="A678" s="1" t="str">
        <f>IF(AND(Programme_Grunddaten!$A683="Geprüft",Programme_Grunddaten!B683&lt;&gt;""),Programme_Grunddaten!B683,"")</f>
        <v/>
      </c>
      <c r="B678" s="1" t="str">
        <f>IF(AND(Programme_Grunddaten!$A683="Geprüft",Programme_Grunddaten!C683&lt;&gt;""),Programme_Grunddaten!C683,"")</f>
        <v/>
      </c>
      <c r="C678" s="1" t="str">
        <f>IF(AND(Programme_Grunddaten!$A683="Geprüft",Programme_Grunddaten!D683&lt;&gt;""),Programme_Grunddaten!D683,"")</f>
        <v/>
      </c>
      <c r="D678" s="2" t="str">
        <f>IF(AND(Programme_Grunddaten!$A683="Geprüft",Programme_Grunddaten!E683&lt;&gt;""),Programme_Grunddaten!E683,"")</f>
        <v/>
      </c>
      <c r="E678" t="str">
        <f>IF(AND(Programme_Grunddaten!$A683="Geprüft",Programme_Grunddaten!G683&lt;&gt;""),Programme_Grunddaten!G683,"")</f>
        <v/>
      </c>
      <c r="F678" t="str">
        <f>IF(AND(Programme_Grunddaten!$A683="Geprüft",Programme_Grunddaten!F683&lt;&gt;""),Programme_Grunddaten!F683,"")</f>
        <v/>
      </c>
      <c r="G678" s="3" t="str">
        <f>IF(AND(Programme_Grunddaten!$A683="Geprüft",Programme_Grunddaten!S683&lt;&gt;""),Programme_Grunddaten!S683,"")</f>
        <v/>
      </c>
      <c r="H678" t="str">
        <f>IF(AND(Programme_Grunddaten!$A683="Geprüft",Programme_Grunddaten!AW683&lt;&gt;""),Programme_Grunddaten!AW683,"")</f>
        <v/>
      </c>
      <c r="I678" t="str">
        <f>IF(AND(Programme_Grunddaten!$A683="Geprüft",Programme_Grunddaten!AX683&lt;&gt;""),Programme_Grunddaten!AX683,"")</f>
        <v/>
      </c>
    </row>
    <row r="679" spans="1:9" x14ac:dyDescent="0.3">
      <c r="A679" s="1" t="str">
        <f>IF(AND(Programme_Grunddaten!$A684="Geprüft",Programme_Grunddaten!B684&lt;&gt;""),Programme_Grunddaten!B684,"")</f>
        <v/>
      </c>
      <c r="B679" s="1" t="str">
        <f>IF(AND(Programme_Grunddaten!$A684="Geprüft",Programme_Grunddaten!C684&lt;&gt;""),Programme_Grunddaten!C684,"")</f>
        <v/>
      </c>
      <c r="C679" s="1" t="str">
        <f>IF(AND(Programme_Grunddaten!$A684="Geprüft",Programme_Grunddaten!D684&lt;&gt;""),Programme_Grunddaten!D684,"")</f>
        <v/>
      </c>
      <c r="D679" s="2" t="str">
        <f>IF(AND(Programme_Grunddaten!$A684="Geprüft",Programme_Grunddaten!E684&lt;&gt;""),Programme_Grunddaten!E684,"")</f>
        <v/>
      </c>
      <c r="E679" t="str">
        <f>IF(AND(Programme_Grunddaten!$A684="Geprüft",Programme_Grunddaten!G684&lt;&gt;""),Programme_Grunddaten!G684,"")</f>
        <v/>
      </c>
      <c r="F679" t="str">
        <f>IF(AND(Programme_Grunddaten!$A684="Geprüft",Programme_Grunddaten!F684&lt;&gt;""),Programme_Grunddaten!F684,"")</f>
        <v/>
      </c>
      <c r="G679" s="3" t="str">
        <f>IF(AND(Programme_Grunddaten!$A684="Geprüft",Programme_Grunddaten!S684&lt;&gt;""),Programme_Grunddaten!S684,"")</f>
        <v/>
      </c>
      <c r="H679" t="str">
        <f>IF(AND(Programme_Grunddaten!$A684="Geprüft",Programme_Grunddaten!AW684&lt;&gt;""),Programme_Grunddaten!AW684,"")</f>
        <v/>
      </c>
      <c r="I679" t="str">
        <f>IF(AND(Programme_Grunddaten!$A684="Geprüft",Programme_Grunddaten!AX684&lt;&gt;""),Programme_Grunddaten!AX684,"")</f>
        <v/>
      </c>
    </row>
    <row r="680" spans="1:9" x14ac:dyDescent="0.3">
      <c r="A680" s="1" t="str">
        <f>IF(AND(Programme_Grunddaten!$A685="Geprüft",Programme_Grunddaten!B685&lt;&gt;""),Programme_Grunddaten!B685,"")</f>
        <v/>
      </c>
      <c r="B680" s="1" t="str">
        <f>IF(AND(Programme_Grunddaten!$A685="Geprüft",Programme_Grunddaten!C685&lt;&gt;""),Programme_Grunddaten!C685,"")</f>
        <v/>
      </c>
      <c r="C680" s="1" t="str">
        <f>IF(AND(Programme_Grunddaten!$A685="Geprüft",Programme_Grunddaten!D685&lt;&gt;""),Programme_Grunddaten!D685,"")</f>
        <v/>
      </c>
      <c r="D680" s="2" t="str">
        <f>IF(AND(Programme_Grunddaten!$A685="Geprüft",Programme_Grunddaten!E685&lt;&gt;""),Programme_Grunddaten!E685,"")</f>
        <v/>
      </c>
      <c r="E680" t="str">
        <f>IF(AND(Programme_Grunddaten!$A685="Geprüft",Programme_Grunddaten!G685&lt;&gt;""),Programme_Grunddaten!G685,"")</f>
        <v/>
      </c>
      <c r="F680" t="str">
        <f>IF(AND(Programme_Grunddaten!$A685="Geprüft",Programme_Grunddaten!F685&lt;&gt;""),Programme_Grunddaten!F685,"")</f>
        <v/>
      </c>
      <c r="G680" s="3" t="str">
        <f>IF(AND(Programme_Grunddaten!$A685="Geprüft",Programme_Grunddaten!S685&lt;&gt;""),Programme_Grunddaten!S685,"")</f>
        <v/>
      </c>
      <c r="H680" t="str">
        <f>IF(AND(Programme_Grunddaten!$A685="Geprüft",Programme_Grunddaten!AW685&lt;&gt;""),Programme_Grunddaten!AW685,"")</f>
        <v/>
      </c>
      <c r="I680" t="str">
        <f>IF(AND(Programme_Grunddaten!$A685="Geprüft",Programme_Grunddaten!AX685&lt;&gt;""),Programme_Grunddaten!AX685,"")</f>
        <v/>
      </c>
    </row>
    <row r="681" spans="1:9" x14ac:dyDescent="0.3">
      <c r="A681" s="1" t="str">
        <f>IF(AND(Programme_Grunddaten!$A686="Geprüft",Programme_Grunddaten!B686&lt;&gt;""),Programme_Grunddaten!B686,"")</f>
        <v/>
      </c>
      <c r="B681" s="1" t="str">
        <f>IF(AND(Programme_Grunddaten!$A686="Geprüft",Programme_Grunddaten!C686&lt;&gt;""),Programme_Grunddaten!C686,"")</f>
        <v/>
      </c>
      <c r="C681" s="1" t="str">
        <f>IF(AND(Programme_Grunddaten!$A686="Geprüft",Programme_Grunddaten!D686&lt;&gt;""),Programme_Grunddaten!D686,"")</f>
        <v/>
      </c>
      <c r="D681" s="2" t="str">
        <f>IF(AND(Programme_Grunddaten!$A686="Geprüft",Programme_Grunddaten!E686&lt;&gt;""),Programme_Grunddaten!E686,"")</f>
        <v/>
      </c>
      <c r="E681" t="str">
        <f>IF(AND(Programme_Grunddaten!$A686="Geprüft",Programme_Grunddaten!G686&lt;&gt;""),Programme_Grunddaten!G686,"")</f>
        <v/>
      </c>
      <c r="F681" t="str">
        <f>IF(AND(Programme_Grunddaten!$A686="Geprüft",Programme_Grunddaten!F686&lt;&gt;""),Programme_Grunddaten!F686,"")</f>
        <v/>
      </c>
      <c r="G681" s="3" t="str">
        <f>IF(AND(Programme_Grunddaten!$A686="Geprüft",Programme_Grunddaten!S686&lt;&gt;""),Programme_Grunddaten!S686,"")</f>
        <v/>
      </c>
      <c r="H681" t="str">
        <f>IF(AND(Programme_Grunddaten!$A686="Geprüft",Programme_Grunddaten!AW686&lt;&gt;""),Programme_Grunddaten!AW686,"")</f>
        <v/>
      </c>
      <c r="I681" t="str">
        <f>IF(AND(Programme_Grunddaten!$A686="Geprüft",Programme_Grunddaten!AX686&lt;&gt;""),Programme_Grunddaten!AX686,"")</f>
        <v/>
      </c>
    </row>
    <row r="682" spans="1:9" x14ac:dyDescent="0.3">
      <c r="A682" s="1" t="str">
        <f>IF(AND(Programme_Grunddaten!$A687="Geprüft",Programme_Grunddaten!B687&lt;&gt;""),Programme_Grunddaten!B687,"")</f>
        <v/>
      </c>
      <c r="B682" s="1" t="str">
        <f>IF(AND(Programme_Grunddaten!$A687="Geprüft",Programme_Grunddaten!C687&lt;&gt;""),Programme_Grunddaten!C687,"")</f>
        <v/>
      </c>
      <c r="C682" s="1" t="str">
        <f>IF(AND(Programme_Grunddaten!$A687="Geprüft",Programme_Grunddaten!D687&lt;&gt;""),Programme_Grunddaten!D687,"")</f>
        <v/>
      </c>
      <c r="D682" s="2" t="str">
        <f>IF(AND(Programme_Grunddaten!$A687="Geprüft",Programme_Grunddaten!E687&lt;&gt;""),Programme_Grunddaten!E687,"")</f>
        <v/>
      </c>
      <c r="E682" t="str">
        <f>IF(AND(Programme_Grunddaten!$A687="Geprüft",Programme_Grunddaten!G687&lt;&gt;""),Programme_Grunddaten!G687,"")</f>
        <v/>
      </c>
      <c r="F682" t="str">
        <f>IF(AND(Programme_Grunddaten!$A687="Geprüft",Programme_Grunddaten!F687&lt;&gt;""),Programme_Grunddaten!F687,"")</f>
        <v/>
      </c>
      <c r="G682" s="3" t="str">
        <f>IF(AND(Programme_Grunddaten!$A687="Geprüft",Programme_Grunddaten!S687&lt;&gt;""),Programme_Grunddaten!S687,"")</f>
        <v/>
      </c>
      <c r="H682" t="str">
        <f>IF(AND(Programme_Grunddaten!$A687="Geprüft",Programme_Grunddaten!AW687&lt;&gt;""),Programme_Grunddaten!AW687,"")</f>
        <v/>
      </c>
      <c r="I682" t="str">
        <f>IF(AND(Programme_Grunddaten!$A687="Geprüft",Programme_Grunddaten!AX687&lt;&gt;""),Programme_Grunddaten!AX687,"")</f>
        <v/>
      </c>
    </row>
    <row r="683" spans="1:9" x14ac:dyDescent="0.3">
      <c r="A683" s="1" t="str">
        <f>IF(AND(Programme_Grunddaten!$A688="Geprüft",Programme_Grunddaten!B688&lt;&gt;""),Programme_Grunddaten!B688,"")</f>
        <v/>
      </c>
      <c r="B683" s="1" t="str">
        <f>IF(AND(Programme_Grunddaten!$A688="Geprüft",Programme_Grunddaten!C688&lt;&gt;""),Programme_Grunddaten!C688,"")</f>
        <v/>
      </c>
      <c r="C683" s="1" t="str">
        <f>IF(AND(Programme_Grunddaten!$A688="Geprüft",Programme_Grunddaten!D688&lt;&gt;""),Programme_Grunddaten!D688,"")</f>
        <v/>
      </c>
      <c r="D683" s="2" t="str">
        <f>IF(AND(Programme_Grunddaten!$A688="Geprüft",Programme_Grunddaten!E688&lt;&gt;""),Programme_Grunddaten!E688,"")</f>
        <v/>
      </c>
      <c r="E683" t="str">
        <f>IF(AND(Programme_Grunddaten!$A688="Geprüft",Programme_Grunddaten!G688&lt;&gt;""),Programme_Grunddaten!G688,"")</f>
        <v/>
      </c>
      <c r="F683" t="str">
        <f>IF(AND(Programme_Grunddaten!$A688="Geprüft",Programme_Grunddaten!F688&lt;&gt;""),Programme_Grunddaten!F688,"")</f>
        <v/>
      </c>
      <c r="G683" s="3" t="str">
        <f>IF(AND(Programme_Grunddaten!$A688="Geprüft",Programme_Grunddaten!S688&lt;&gt;""),Programme_Grunddaten!S688,"")</f>
        <v/>
      </c>
      <c r="H683" t="str">
        <f>IF(AND(Programme_Grunddaten!$A688="Geprüft",Programme_Grunddaten!AW688&lt;&gt;""),Programme_Grunddaten!AW688,"")</f>
        <v/>
      </c>
      <c r="I683" t="str">
        <f>IF(AND(Programme_Grunddaten!$A688="Geprüft",Programme_Grunddaten!AX688&lt;&gt;""),Programme_Grunddaten!AX688,"")</f>
        <v/>
      </c>
    </row>
    <row r="684" spans="1:9" x14ac:dyDescent="0.3">
      <c r="A684" s="1" t="str">
        <f>IF(AND(Programme_Grunddaten!$A689="Geprüft",Programme_Grunddaten!B689&lt;&gt;""),Programme_Grunddaten!B689,"")</f>
        <v/>
      </c>
      <c r="B684" s="1" t="str">
        <f>IF(AND(Programme_Grunddaten!$A689="Geprüft",Programme_Grunddaten!C689&lt;&gt;""),Programme_Grunddaten!C689,"")</f>
        <v/>
      </c>
      <c r="C684" s="1" t="str">
        <f>IF(AND(Programme_Grunddaten!$A689="Geprüft",Programme_Grunddaten!D689&lt;&gt;""),Programme_Grunddaten!D689,"")</f>
        <v/>
      </c>
      <c r="D684" s="2" t="str">
        <f>IF(AND(Programme_Grunddaten!$A689="Geprüft",Programme_Grunddaten!E689&lt;&gt;""),Programme_Grunddaten!E689,"")</f>
        <v/>
      </c>
      <c r="E684" t="str">
        <f>IF(AND(Programme_Grunddaten!$A689="Geprüft",Programme_Grunddaten!G689&lt;&gt;""),Programme_Grunddaten!G689,"")</f>
        <v/>
      </c>
      <c r="F684" t="str">
        <f>IF(AND(Programme_Grunddaten!$A689="Geprüft",Programme_Grunddaten!F689&lt;&gt;""),Programme_Grunddaten!F689,"")</f>
        <v/>
      </c>
      <c r="G684" s="3" t="str">
        <f>IF(AND(Programme_Grunddaten!$A689="Geprüft",Programme_Grunddaten!S689&lt;&gt;""),Programme_Grunddaten!S689,"")</f>
        <v/>
      </c>
      <c r="H684" t="str">
        <f>IF(AND(Programme_Grunddaten!$A689="Geprüft",Programme_Grunddaten!AW689&lt;&gt;""),Programme_Grunddaten!AW689,"")</f>
        <v/>
      </c>
      <c r="I684" t="str">
        <f>IF(AND(Programme_Grunddaten!$A689="Geprüft",Programme_Grunddaten!AX689&lt;&gt;""),Programme_Grunddaten!AX689,"")</f>
        <v/>
      </c>
    </row>
    <row r="685" spans="1:9" x14ac:dyDescent="0.3">
      <c r="A685" s="1" t="str">
        <f>IF(AND(Programme_Grunddaten!$A690="Geprüft",Programme_Grunddaten!B690&lt;&gt;""),Programme_Grunddaten!B690,"")</f>
        <v/>
      </c>
      <c r="B685" s="1" t="str">
        <f>IF(AND(Programme_Grunddaten!$A690="Geprüft",Programme_Grunddaten!C690&lt;&gt;""),Programme_Grunddaten!C690,"")</f>
        <v/>
      </c>
      <c r="C685" s="1" t="str">
        <f>IF(AND(Programme_Grunddaten!$A690="Geprüft",Programme_Grunddaten!D690&lt;&gt;""),Programme_Grunddaten!D690,"")</f>
        <v/>
      </c>
      <c r="D685" s="2" t="str">
        <f>IF(AND(Programme_Grunddaten!$A690="Geprüft",Programme_Grunddaten!E690&lt;&gt;""),Programme_Grunddaten!E690,"")</f>
        <v/>
      </c>
      <c r="E685" t="str">
        <f>IF(AND(Programme_Grunddaten!$A690="Geprüft",Programme_Grunddaten!G690&lt;&gt;""),Programme_Grunddaten!G690,"")</f>
        <v/>
      </c>
      <c r="F685" t="str">
        <f>IF(AND(Programme_Grunddaten!$A690="Geprüft",Programme_Grunddaten!F690&lt;&gt;""),Programme_Grunddaten!F690,"")</f>
        <v/>
      </c>
      <c r="G685" s="3" t="str">
        <f>IF(AND(Programme_Grunddaten!$A690="Geprüft",Programme_Grunddaten!S690&lt;&gt;""),Programme_Grunddaten!S690,"")</f>
        <v/>
      </c>
      <c r="H685" t="str">
        <f>IF(AND(Programme_Grunddaten!$A690="Geprüft",Programme_Grunddaten!AW690&lt;&gt;""),Programme_Grunddaten!AW690,"")</f>
        <v/>
      </c>
      <c r="I685" t="str">
        <f>IF(AND(Programme_Grunddaten!$A690="Geprüft",Programme_Grunddaten!AX690&lt;&gt;""),Programme_Grunddaten!AX690,"")</f>
        <v/>
      </c>
    </row>
    <row r="686" spans="1:9" x14ac:dyDescent="0.3">
      <c r="A686" s="1" t="str">
        <f>IF(AND(Programme_Grunddaten!$A691="Geprüft",Programme_Grunddaten!B691&lt;&gt;""),Programme_Grunddaten!B691,"")</f>
        <v/>
      </c>
      <c r="B686" s="1" t="str">
        <f>IF(AND(Programme_Grunddaten!$A691="Geprüft",Programme_Grunddaten!C691&lt;&gt;""),Programme_Grunddaten!C691,"")</f>
        <v/>
      </c>
      <c r="C686" s="1" t="str">
        <f>IF(AND(Programme_Grunddaten!$A691="Geprüft",Programme_Grunddaten!D691&lt;&gt;""),Programme_Grunddaten!D691,"")</f>
        <v/>
      </c>
      <c r="D686" s="2" t="str">
        <f>IF(AND(Programme_Grunddaten!$A691="Geprüft",Programme_Grunddaten!E691&lt;&gt;""),Programme_Grunddaten!E691,"")</f>
        <v/>
      </c>
      <c r="E686" t="str">
        <f>IF(AND(Programme_Grunddaten!$A691="Geprüft",Programme_Grunddaten!G691&lt;&gt;""),Programme_Grunddaten!G691,"")</f>
        <v/>
      </c>
      <c r="F686" t="str">
        <f>IF(AND(Programme_Grunddaten!$A691="Geprüft",Programme_Grunddaten!F691&lt;&gt;""),Programme_Grunddaten!F691,"")</f>
        <v/>
      </c>
      <c r="G686" s="3" t="str">
        <f>IF(AND(Programme_Grunddaten!$A691="Geprüft",Programme_Grunddaten!S691&lt;&gt;""),Programme_Grunddaten!S691,"")</f>
        <v/>
      </c>
      <c r="H686" t="str">
        <f>IF(AND(Programme_Grunddaten!$A691="Geprüft",Programme_Grunddaten!AW691&lt;&gt;""),Programme_Grunddaten!AW691,"")</f>
        <v/>
      </c>
      <c r="I686" t="str">
        <f>IF(AND(Programme_Grunddaten!$A691="Geprüft",Programme_Grunddaten!AX691&lt;&gt;""),Programme_Grunddaten!AX691,"")</f>
        <v/>
      </c>
    </row>
    <row r="687" spans="1:9" x14ac:dyDescent="0.3">
      <c r="A687" s="1" t="str">
        <f>IF(AND(Programme_Grunddaten!$A692="Geprüft",Programme_Grunddaten!B692&lt;&gt;""),Programme_Grunddaten!B692,"")</f>
        <v/>
      </c>
      <c r="B687" s="1" t="str">
        <f>IF(AND(Programme_Grunddaten!$A692="Geprüft",Programme_Grunddaten!C692&lt;&gt;""),Programme_Grunddaten!C692,"")</f>
        <v/>
      </c>
      <c r="C687" s="1" t="str">
        <f>IF(AND(Programme_Grunddaten!$A692="Geprüft",Programme_Grunddaten!D692&lt;&gt;""),Programme_Grunddaten!D692,"")</f>
        <v/>
      </c>
      <c r="D687" s="2" t="str">
        <f>IF(AND(Programme_Grunddaten!$A692="Geprüft",Programme_Grunddaten!E692&lt;&gt;""),Programme_Grunddaten!E692,"")</f>
        <v/>
      </c>
      <c r="E687" t="str">
        <f>IF(AND(Programme_Grunddaten!$A692="Geprüft",Programme_Grunddaten!G692&lt;&gt;""),Programme_Grunddaten!G692,"")</f>
        <v/>
      </c>
      <c r="F687" t="str">
        <f>IF(AND(Programme_Grunddaten!$A692="Geprüft",Programme_Grunddaten!F692&lt;&gt;""),Programme_Grunddaten!F692,"")</f>
        <v/>
      </c>
      <c r="G687" s="3" t="str">
        <f>IF(AND(Programme_Grunddaten!$A692="Geprüft",Programme_Grunddaten!S692&lt;&gt;""),Programme_Grunddaten!S692,"")</f>
        <v/>
      </c>
      <c r="H687" t="str">
        <f>IF(AND(Programme_Grunddaten!$A692="Geprüft",Programme_Grunddaten!AW692&lt;&gt;""),Programme_Grunddaten!AW692,"")</f>
        <v/>
      </c>
      <c r="I687" t="str">
        <f>IF(AND(Programme_Grunddaten!$A692="Geprüft",Programme_Grunddaten!AX692&lt;&gt;""),Programme_Grunddaten!AX692,"")</f>
        <v/>
      </c>
    </row>
    <row r="688" spans="1:9" x14ac:dyDescent="0.3">
      <c r="A688" s="1" t="str">
        <f>IF(AND(Programme_Grunddaten!$A693="Geprüft",Programme_Grunddaten!B693&lt;&gt;""),Programme_Grunddaten!B693,"")</f>
        <v/>
      </c>
      <c r="B688" s="1" t="str">
        <f>IF(AND(Programme_Grunddaten!$A693="Geprüft",Programme_Grunddaten!C693&lt;&gt;""),Programme_Grunddaten!C693,"")</f>
        <v/>
      </c>
      <c r="C688" s="1" t="str">
        <f>IF(AND(Programme_Grunddaten!$A693="Geprüft",Programme_Grunddaten!D693&lt;&gt;""),Programme_Grunddaten!D693,"")</f>
        <v/>
      </c>
      <c r="D688" s="2" t="str">
        <f>IF(AND(Programme_Grunddaten!$A693="Geprüft",Programme_Grunddaten!E693&lt;&gt;""),Programme_Grunddaten!E693,"")</f>
        <v/>
      </c>
      <c r="E688" t="str">
        <f>IF(AND(Programme_Grunddaten!$A693="Geprüft",Programme_Grunddaten!G693&lt;&gt;""),Programme_Grunddaten!G693,"")</f>
        <v/>
      </c>
      <c r="F688" t="str">
        <f>IF(AND(Programme_Grunddaten!$A693="Geprüft",Programme_Grunddaten!F693&lt;&gt;""),Programme_Grunddaten!F693,"")</f>
        <v/>
      </c>
      <c r="G688" s="3" t="str">
        <f>IF(AND(Programme_Grunddaten!$A693="Geprüft",Programme_Grunddaten!S693&lt;&gt;""),Programme_Grunddaten!S693,"")</f>
        <v/>
      </c>
      <c r="H688" t="str">
        <f>IF(AND(Programme_Grunddaten!$A693="Geprüft",Programme_Grunddaten!AW693&lt;&gt;""),Programme_Grunddaten!AW693,"")</f>
        <v/>
      </c>
      <c r="I688" t="str">
        <f>IF(AND(Programme_Grunddaten!$A693="Geprüft",Programme_Grunddaten!AX693&lt;&gt;""),Programme_Grunddaten!AX693,"")</f>
        <v/>
      </c>
    </row>
    <row r="689" spans="1:9" x14ac:dyDescent="0.3">
      <c r="A689" s="1" t="str">
        <f>IF(AND(Programme_Grunddaten!$A694="Geprüft",Programme_Grunddaten!B694&lt;&gt;""),Programme_Grunddaten!B694,"")</f>
        <v/>
      </c>
      <c r="B689" s="1" t="str">
        <f>IF(AND(Programme_Grunddaten!$A694="Geprüft",Programme_Grunddaten!C694&lt;&gt;""),Programme_Grunddaten!C694,"")</f>
        <v/>
      </c>
      <c r="C689" s="1" t="str">
        <f>IF(AND(Programme_Grunddaten!$A694="Geprüft",Programme_Grunddaten!D694&lt;&gt;""),Programme_Grunddaten!D694,"")</f>
        <v/>
      </c>
      <c r="D689" s="2" t="str">
        <f>IF(AND(Programme_Grunddaten!$A694="Geprüft",Programme_Grunddaten!E694&lt;&gt;""),Programme_Grunddaten!E694,"")</f>
        <v/>
      </c>
      <c r="E689" t="str">
        <f>IF(AND(Programme_Grunddaten!$A694="Geprüft",Programme_Grunddaten!G694&lt;&gt;""),Programme_Grunddaten!G694,"")</f>
        <v/>
      </c>
      <c r="F689" t="str">
        <f>IF(AND(Programme_Grunddaten!$A694="Geprüft",Programme_Grunddaten!F694&lt;&gt;""),Programme_Grunddaten!F694,"")</f>
        <v/>
      </c>
      <c r="G689" s="3" t="str">
        <f>IF(AND(Programme_Grunddaten!$A694="Geprüft",Programme_Grunddaten!S694&lt;&gt;""),Programme_Grunddaten!S694,"")</f>
        <v/>
      </c>
      <c r="H689" t="str">
        <f>IF(AND(Programme_Grunddaten!$A694="Geprüft",Programme_Grunddaten!AW694&lt;&gt;""),Programme_Grunddaten!AW694,"")</f>
        <v/>
      </c>
      <c r="I689" t="str">
        <f>IF(AND(Programme_Grunddaten!$A694="Geprüft",Programme_Grunddaten!AX694&lt;&gt;""),Programme_Grunddaten!AX694,"")</f>
        <v/>
      </c>
    </row>
    <row r="690" spans="1:9" x14ac:dyDescent="0.3">
      <c r="A690" s="1" t="str">
        <f>IF(AND(Programme_Grunddaten!$A695="Geprüft",Programme_Grunddaten!B695&lt;&gt;""),Programme_Grunddaten!B695,"")</f>
        <v/>
      </c>
      <c r="B690" s="1" t="str">
        <f>IF(AND(Programme_Grunddaten!$A695="Geprüft",Programme_Grunddaten!C695&lt;&gt;""),Programme_Grunddaten!C695,"")</f>
        <v/>
      </c>
      <c r="C690" s="1" t="str">
        <f>IF(AND(Programme_Grunddaten!$A695="Geprüft",Programme_Grunddaten!D695&lt;&gt;""),Programme_Grunddaten!D695,"")</f>
        <v/>
      </c>
      <c r="D690" s="2" t="str">
        <f>IF(AND(Programme_Grunddaten!$A695="Geprüft",Programme_Grunddaten!E695&lt;&gt;""),Programme_Grunddaten!E695,"")</f>
        <v/>
      </c>
      <c r="E690" t="str">
        <f>IF(AND(Programme_Grunddaten!$A695="Geprüft",Programme_Grunddaten!G695&lt;&gt;""),Programme_Grunddaten!G695,"")</f>
        <v/>
      </c>
      <c r="F690" t="str">
        <f>IF(AND(Programme_Grunddaten!$A695="Geprüft",Programme_Grunddaten!F695&lt;&gt;""),Programme_Grunddaten!F695,"")</f>
        <v/>
      </c>
      <c r="G690" s="3" t="str">
        <f>IF(AND(Programme_Grunddaten!$A695="Geprüft",Programme_Grunddaten!S695&lt;&gt;""),Programme_Grunddaten!S695,"")</f>
        <v/>
      </c>
      <c r="H690" t="str">
        <f>IF(AND(Programme_Grunddaten!$A695="Geprüft",Programme_Grunddaten!AW695&lt;&gt;""),Programme_Grunddaten!AW695,"")</f>
        <v/>
      </c>
      <c r="I690" t="str">
        <f>IF(AND(Programme_Grunddaten!$A695="Geprüft",Programme_Grunddaten!AX695&lt;&gt;""),Programme_Grunddaten!AX695,"")</f>
        <v/>
      </c>
    </row>
    <row r="691" spans="1:9" x14ac:dyDescent="0.3">
      <c r="A691" s="1" t="str">
        <f>IF(AND(Programme_Grunddaten!$A696="Geprüft",Programme_Grunddaten!B696&lt;&gt;""),Programme_Grunddaten!B696,"")</f>
        <v/>
      </c>
      <c r="B691" s="1" t="str">
        <f>IF(AND(Programme_Grunddaten!$A696="Geprüft",Programme_Grunddaten!C696&lt;&gt;""),Programme_Grunddaten!C696,"")</f>
        <v/>
      </c>
      <c r="C691" s="1" t="str">
        <f>IF(AND(Programme_Grunddaten!$A696="Geprüft",Programme_Grunddaten!D696&lt;&gt;""),Programme_Grunddaten!D696,"")</f>
        <v/>
      </c>
      <c r="D691" s="2" t="str">
        <f>IF(AND(Programme_Grunddaten!$A696="Geprüft",Programme_Grunddaten!E696&lt;&gt;""),Programme_Grunddaten!E696,"")</f>
        <v/>
      </c>
      <c r="E691" t="str">
        <f>IF(AND(Programme_Grunddaten!$A696="Geprüft",Programme_Grunddaten!G696&lt;&gt;""),Programme_Grunddaten!G696,"")</f>
        <v/>
      </c>
      <c r="F691" t="str">
        <f>IF(AND(Programme_Grunddaten!$A696="Geprüft",Programme_Grunddaten!F696&lt;&gt;""),Programme_Grunddaten!F696,"")</f>
        <v/>
      </c>
      <c r="G691" s="3" t="str">
        <f>IF(AND(Programme_Grunddaten!$A696="Geprüft",Programme_Grunddaten!S696&lt;&gt;""),Programme_Grunddaten!S696,"")</f>
        <v/>
      </c>
      <c r="H691" t="str">
        <f>IF(AND(Programme_Grunddaten!$A696="Geprüft",Programme_Grunddaten!AW696&lt;&gt;""),Programme_Grunddaten!AW696,"")</f>
        <v/>
      </c>
      <c r="I691" t="str">
        <f>IF(AND(Programme_Grunddaten!$A696="Geprüft",Programme_Grunddaten!AX696&lt;&gt;""),Programme_Grunddaten!AX696,"")</f>
        <v/>
      </c>
    </row>
    <row r="692" spans="1:9" x14ac:dyDescent="0.3">
      <c r="A692" s="1" t="str">
        <f>IF(AND(Programme_Grunddaten!$A697="Geprüft",Programme_Grunddaten!B697&lt;&gt;""),Programme_Grunddaten!B697,"")</f>
        <v/>
      </c>
      <c r="B692" s="1" t="str">
        <f>IF(AND(Programme_Grunddaten!$A697="Geprüft",Programme_Grunddaten!C697&lt;&gt;""),Programme_Grunddaten!C697,"")</f>
        <v/>
      </c>
      <c r="C692" s="1" t="str">
        <f>IF(AND(Programme_Grunddaten!$A697="Geprüft",Programme_Grunddaten!D697&lt;&gt;""),Programme_Grunddaten!D697,"")</f>
        <v/>
      </c>
      <c r="D692" s="2" t="str">
        <f>IF(AND(Programme_Grunddaten!$A697="Geprüft",Programme_Grunddaten!E697&lt;&gt;""),Programme_Grunddaten!E697,"")</f>
        <v/>
      </c>
      <c r="E692" t="str">
        <f>IF(AND(Programme_Grunddaten!$A697="Geprüft",Programme_Grunddaten!G697&lt;&gt;""),Programme_Grunddaten!G697,"")</f>
        <v/>
      </c>
      <c r="F692" t="str">
        <f>IF(AND(Programme_Grunddaten!$A697="Geprüft",Programme_Grunddaten!F697&lt;&gt;""),Programme_Grunddaten!F697,"")</f>
        <v/>
      </c>
      <c r="G692" s="3" t="str">
        <f>IF(AND(Programme_Grunddaten!$A697="Geprüft",Programme_Grunddaten!S697&lt;&gt;""),Programme_Grunddaten!S697,"")</f>
        <v/>
      </c>
      <c r="H692" t="str">
        <f>IF(AND(Programme_Grunddaten!$A697="Geprüft",Programme_Grunddaten!AW697&lt;&gt;""),Programme_Grunddaten!AW697,"")</f>
        <v/>
      </c>
      <c r="I692" t="str">
        <f>IF(AND(Programme_Grunddaten!$A697="Geprüft",Programme_Grunddaten!AX697&lt;&gt;""),Programme_Grunddaten!AX697,"")</f>
        <v/>
      </c>
    </row>
    <row r="693" spans="1:9" x14ac:dyDescent="0.3">
      <c r="A693" s="1" t="str">
        <f>IF(AND(Programme_Grunddaten!$A698="Geprüft",Programme_Grunddaten!B698&lt;&gt;""),Programme_Grunddaten!B698,"")</f>
        <v/>
      </c>
      <c r="B693" s="1" t="str">
        <f>IF(AND(Programme_Grunddaten!$A698="Geprüft",Programme_Grunddaten!C698&lt;&gt;""),Programme_Grunddaten!C698,"")</f>
        <v/>
      </c>
      <c r="C693" s="1" t="str">
        <f>IF(AND(Programme_Grunddaten!$A698="Geprüft",Programme_Grunddaten!D698&lt;&gt;""),Programme_Grunddaten!D698,"")</f>
        <v/>
      </c>
      <c r="D693" s="2" t="str">
        <f>IF(AND(Programme_Grunddaten!$A698="Geprüft",Programme_Grunddaten!E698&lt;&gt;""),Programme_Grunddaten!E698,"")</f>
        <v/>
      </c>
      <c r="E693" t="str">
        <f>IF(AND(Programme_Grunddaten!$A698="Geprüft",Programme_Grunddaten!G698&lt;&gt;""),Programme_Grunddaten!G698,"")</f>
        <v/>
      </c>
      <c r="F693" t="str">
        <f>IF(AND(Programme_Grunddaten!$A698="Geprüft",Programme_Grunddaten!F698&lt;&gt;""),Programme_Grunddaten!F698,"")</f>
        <v/>
      </c>
      <c r="G693" s="3" t="str">
        <f>IF(AND(Programme_Grunddaten!$A698="Geprüft",Programme_Grunddaten!S698&lt;&gt;""),Programme_Grunddaten!S698,"")</f>
        <v/>
      </c>
      <c r="H693" t="str">
        <f>IF(AND(Programme_Grunddaten!$A698="Geprüft",Programme_Grunddaten!AW698&lt;&gt;""),Programme_Grunddaten!AW698,"")</f>
        <v/>
      </c>
      <c r="I693" t="str">
        <f>IF(AND(Programme_Grunddaten!$A698="Geprüft",Programme_Grunddaten!AX698&lt;&gt;""),Programme_Grunddaten!AX698,"")</f>
        <v/>
      </c>
    </row>
    <row r="694" spans="1:9" x14ac:dyDescent="0.3">
      <c r="A694" s="1" t="str">
        <f>IF(AND(Programme_Grunddaten!$A699="Geprüft",Programme_Grunddaten!B699&lt;&gt;""),Programme_Grunddaten!B699,"")</f>
        <v/>
      </c>
      <c r="B694" s="1" t="str">
        <f>IF(AND(Programme_Grunddaten!$A699="Geprüft",Programme_Grunddaten!C699&lt;&gt;""),Programme_Grunddaten!C699,"")</f>
        <v/>
      </c>
      <c r="C694" s="1" t="str">
        <f>IF(AND(Programme_Grunddaten!$A699="Geprüft",Programme_Grunddaten!D699&lt;&gt;""),Programme_Grunddaten!D699,"")</f>
        <v/>
      </c>
      <c r="D694" s="2" t="str">
        <f>IF(AND(Programme_Grunddaten!$A699="Geprüft",Programme_Grunddaten!E699&lt;&gt;""),Programme_Grunddaten!E699,"")</f>
        <v/>
      </c>
      <c r="E694" t="str">
        <f>IF(AND(Programme_Grunddaten!$A699="Geprüft",Programme_Grunddaten!G699&lt;&gt;""),Programme_Grunddaten!G699,"")</f>
        <v/>
      </c>
      <c r="F694" t="str">
        <f>IF(AND(Programme_Grunddaten!$A699="Geprüft",Programme_Grunddaten!F699&lt;&gt;""),Programme_Grunddaten!F699,"")</f>
        <v/>
      </c>
      <c r="G694" s="3" t="str">
        <f>IF(AND(Programme_Grunddaten!$A699="Geprüft",Programme_Grunddaten!S699&lt;&gt;""),Programme_Grunddaten!S699,"")</f>
        <v/>
      </c>
      <c r="H694" t="str">
        <f>IF(AND(Programme_Grunddaten!$A699="Geprüft",Programme_Grunddaten!AW699&lt;&gt;""),Programme_Grunddaten!AW699,"")</f>
        <v/>
      </c>
      <c r="I694" t="str">
        <f>IF(AND(Programme_Grunddaten!$A699="Geprüft",Programme_Grunddaten!AX699&lt;&gt;""),Programme_Grunddaten!AX699,"")</f>
        <v/>
      </c>
    </row>
    <row r="695" spans="1:9" x14ac:dyDescent="0.3">
      <c r="A695" s="1" t="str">
        <f>IF(AND(Programme_Grunddaten!$A700="Geprüft",Programme_Grunddaten!B700&lt;&gt;""),Programme_Grunddaten!B700,"")</f>
        <v/>
      </c>
      <c r="B695" s="1" t="str">
        <f>IF(AND(Programme_Grunddaten!$A700="Geprüft",Programme_Grunddaten!C700&lt;&gt;""),Programme_Grunddaten!C700,"")</f>
        <v/>
      </c>
      <c r="C695" s="1" t="str">
        <f>IF(AND(Programme_Grunddaten!$A700="Geprüft",Programme_Grunddaten!D700&lt;&gt;""),Programme_Grunddaten!D700,"")</f>
        <v/>
      </c>
      <c r="D695" s="2" t="str">
        <f>IF(AND(Programme_Grunddaten!$A700="Geprüft",Programme_Grunddaten!E700&lt;&gt;""),Programme_Grunddaten!E700,"")</f>
        <v/>
      </c>
      <c r="E695" t="str">
        <f>IF(AND(Programme_Grunddaten!$A700="Geprüft",Programme_Grunddaten!G700&lt;&gt;""),Programme_Grunddaten!G700,"")</f>
        <v/>
      </c>
      <c r="F695" t="str">
        <f>IF(AND(Programme_Grunddaten!$A700="Geprüft",Programme_Grunddaten!F700&lt;&gt;""),Programme_Grunddaten!F700,"")</f>
        <v/>
      </c>
      <c r="G695" s="3" t="str">
        <f>IF(AND(Programme_Grunddaten!$A700="Geprüft",Programme_Grunddaten!S700&lt;&gt;""),Programme_Grunddaten!S700,"")</f>
        <v/>
      </c>
      <c r="H695" t="str">
        <f>IF(AND(Programme_Grunddaten!$A700="Geprüft",Programme_Grunddaten!AW700&lt;&gt;""),Programme_Grunddaten!AW700,"")</f>
        <v/>
      </c>
      <c r="I695" t="str">
        <f>IF(AND(Programme_Grunddaten!$A700="Geprüft",Programme_Grunddaten!AX700&lt;&gt;""),Programme_Grunddaten!AX700,"")</f>
        <v/>
      </c>
    </row>
    <row r="696" spans="1:9" x14ac:dyDescent="0.3">
      <c r="A696" s="1" t="str">
        <f>IF(AND(Programme_Grunddaten!$A701="Geprüft",Programme_Grunddaten!B701&lt;&gt;""),Programme_Grunddaten!B701,"")</f>
        <v/>
      </c>
      <c r="B696" s="1" t="str">
        <f>IF(AND(Programme_Grunddaten!$A701="Geprüft",Programme_Grunddaten!C701&lt;&gt;""),Programme_Grunddaten!C701,"")</f>
        <v/>
      </c>
      <c r="C696" s="1" t="str">
        <f>IF(AND(Programme_Grunddaten!$A701="Geprüft",Programme_Grunddaten!D701&lt;&gt;""),Programme_Grunddaten!D701,"")</f>
        <v/>
      </c>
      <c r="D696" s="2" t="str">
        <f>IF(AND(Programme_Grunddaten!$A701="Geprüft",Programme_Grunddaten!E701&lt;&gt;""),Programme_Grunddaten!E701,"")</f>
        <v/>
      </c>
      <c r="E696" t="str">
        <f>IF(AND(Programme_Grunddaten!$A701="Geprüft",Programme_Grunddaten!G701&lt;&gt;""),Programme_Grunddaten!G701,"")</f>
        <v/>
      </c>
      <c r="F696" t="str">
        <f>IF(AND(Programme_Grunddaten!$A701="Geprüft",Programme_Grunddaten!F701&lt;&gt;""),Programme_Grunddaten!F701,"")</f>
        <v/>
      </c>
      <c r="G696" s="3" t="str">
        <f>IF(AND(Programme_Grunddaten!$A701="Geprüft",Programme_Grunddaten!S701&lt;&gt;""),Programme_Grunddaten!S701,"")</f>
        <v/>
      </c>
      <c r="H696" t="str">
        <f>IF(AND(Programme_Grunddaten!$A701="Geprüft",Programme_Grunddaten!AW701&lt;&gt;""),Programme_Grunddaten!AW701,"")</f>
        <v/>
      </c>
      <c r="I696" t="str">
        <f>IF(AND(Programme_Grunddaten!$A701="Geprüft",Programme_Grunddaten!AX701&lt;&gt;""),Programme_Grunddaten!AX701,"")</f>
        <v/>
      </c>
    </row>
    <row r="697" spans="1:9" x14ac:dyDescent="0.3">
      <c r="A697" s="1" t="str">
        <f>IF(AND(Programme_Grunddaten!$A702="Geprüft",Programme_Grunddaten!B702&lt;&gt;""),Programme_Grunddaten!B702,"")</f>
        <v/>
      </c>
      <c r="B697" s="1" t="str">
        <f>IF(AND(Programme_Grunddaten!$A702="Geprüft",Programme_Grunddaten!C702&lt;&gt;""),Programme_Grunddaten!C702,"")</f>
        <v/>
      </c>
      <c r="C697" s="1" t="str">
        <f>IF(AND(Programme_Grunddaten!$A702="Geprüft",Programme_Grunddaten!D702&lt;&gt;""),Programme_Grunddaten!D702,"")</f>
        <v/>
      </c>
      <c r="D697" s="2" t="str">
        <f>IF(AND(Programme_Grunddaten!$A702="Geprüft",Programme_Grunddaten!E702&lt;&gt;""),Programme_Grunddaten!E702,"")</f>
        <v/>
      </c>
      <c r="E697" t="str">
        <f>IF(AND(Programme_Grunddaten!$A702="Geprüft",Programme_Grunddaten!G702&lt;&gt;""),Programme_Grunddaten!G702,"")</f>
        <v/>
      </c>
      <c r="F697" t="str">
        <f>IF(AND(Programme_Grunddaten!$A702="Geprüft",Programme_Grunddaten!F702&lt;&gt;""),Programme_Grunddaten!F702,"")</f>
        <v/>
      </c>
      <c r="G697" s="3" t="str">
        <f>IF(AND(Programme_Grunddaten!$A702="Geprüft",Programme_Grunddaten!S702&lt;&gt;""),Programme_Grunddaten!S702,"")</f>
        <v/>
      </c>
      <c r="H697" t="str">
        <f>IF(AND(Programme_Grunddaten!$A702="Geprüft",Programme_Grunddaten!AW702&lt;&gt;""),Programme_Grunddaten!AW702,"")</f>
        <v/>
      </c>
      <c r="I697" t="str">
        <f>IF(AND(Programme_Grunddaten!$A702="Geprüft",Programme_Grunddaten!AX702&lt;&gt;""),Programme_Grunddaten!AX702,"")</f>
        <v/>
      </c>
    </row>
    <row r="698" spans="1:9" x14ac:dyDescent="0.3">
      <c r="A698" s="1" t="str">
        <f>IF(AND(Programme_Grunddaten!$A703="Geprüft",Programme_Grunddaten!B703&lt;&gt;""),Programme_Grunddaten!B703,"")</f>
        <v/>
      </c>
      <c r="B698" s="1" t="str">
        <f>IF(AND(Programme_Grunddaten!$A703="Geprüft",Programme_Grunddaten!C703&lt;&gt;""),Programme_Grunddaten!C703,"")</f>
        <v/>
      </c>
      <c r="C698" s="1" t="str">
        <f>IF(AND(Programme_Grunddaten!$A703="Geprüft",Programme_Grunddaten!D703&lt;&gt;""),Programme_Grunddaten!D703,"")</f>
        <v/>
      </c>
      <c r="D698" s="2" t="str">
        <f>IF(AND(Programme_Grunddaten!$A703="Geprüft",Programme_Grunddaten!E703&lt;&gt;""),Programme_Grunddaten!E703,"")</f>
        <v/>
      </c>
      <c r="E698" t="str">
        <f>IF(AND(Programme_Grunddaten!$A703="Geprüft",Programme_Grunddaten!G703&lt;&gt;""),Programme_Grunddaten!G703,"")</f>
        <v/>
      </c>
      <c r="F698" t="str">
        <f>IF(AND(Programme_Grunddaten!$A703="Geprüft",Programme_Grunddaten!F703&lt;&gt;""),Programme_Grunddaten!F703,"")</f>
        <v/>
      </c>
      <c r="G698" s="3" t="str">
        <f>IF(AND(Programme_Grunddaten!$A703="Geprüft",Programme_Grunddaten!S703&lt;&gt;""),Programme_Grunddaten!S703,"")</f>
        <v/>
      </c>
      <c r="H698" t="str">
        <f>IF(AND(Programme_Grunddaten!$A703="Geprüft",Programme_Grunddaten!AW703&lt;&gt;""),Programme_Grunddaten!AW703,"")</f>
        <v/>
      </c>
      <c r="I698" t="str">
        <f>IF(AND(Programme_Grunddaten!$A703="Geprüft",Programme_Grunddaten!AX703&lt;&gt;""),Programme_Grunddaten!AX703,"")</f>
        <v/>
      </c>
    </row>
    <row r="699" spans="1:9" x14ac:dyDescent="0.3">
      <c r="A699" s="1" t="str">
        <f>IF(AND(Programme_Grunddaten!$A704="Geprüft",Programme_Grunddaten!B704&lt;&gt;""),Programme_Grunddaten!B704,"")</f>
        <v/>
      </c>
      <c r="B699" s="1" t="str">
        <f>IF(AND(Programme_Grunddaten!$A704="Geprüft",Programme_Grunddaten!C704&lt;&gt;""),Programme_Grunddaten!C704,"")</f>
        <v/>
      </c>
      <c r="C699" s="1" t="str">
        <f>IF(AND(Programme_Grunddaten!$A704="Geprüft",Programme_Grunddaten!D704&lt;&gt;""),Programme_Grunddaten!D704,"")</f>
        <v/>
      </c>
      <c r="D699" s="2" t="str">
        <f>IF(AND(Programme_Grunddaten!$A704="Geprüft",Programme_Grunddaten!E704&lt;&gt;""),Programme_Grunddaten!E704,"")</f>
        <v/>
      </c>
      <c r="E699" t="str">
        <f>IF(AND(Programme_Grunddaten!$A704="Geprüft",Programme_Grunddaten!G704&lt;&gt;""),Programme_Grunddaten!G704,"")</f>
        <v/>
      </c>
      <c r="F699" t="str">
        <f>IF(AND(Programme_Grunddaten!$A704="Geprüft",Programme_Grunddaten!F704&lt;&gt;""),Programme_Grunddaten!F704,"")</f>
        <v/>
      </c>
      <c r="G699" s="3" t="str">
        <f>IF(AND(Programme_Grunddaten!$A704="Geprüft",Programme_Grunddaten!S704&lt;&gt;""),Programme_Grunddaten!S704,"")</f>
        <v/>
      </c>
      <c r="H699" t="str">
        <f>IF(AND(Programme_Grunddaten!$A704="Geprüft",Programme_Grunddaten!AW704&lt;&gt;""),Programme_Grunddaten!AW704,"")</f>
        <v/>
      </c>
      <c r="I699" t="str">
        <f>IF(AND(Programme_Grunddaten!$A704="Geprüft",Programme_Grunddaten!AX704&lt;&gt;""),Programme_Grunddaten!AX704,"")</f>
        <v/>
      </c>
    </row>
    <row r="700" spans="1:9" x14ac:dyDescent="0.3">
      <c r="A700" s="1" t="str">
        <f>IF(AND(Programme_Grunddaten!$A705="Geprüft",Programme_Grunddaten!B705&lt;&gt;""),Programme_Grunddaten!B705,"")</f>
        <v/>
      </c>
      <c r="B700" s="1" t="str">
        <f>IF(AND(Programme_Grunddaten!$A705="Geprüft",Programme_Grunddaten!C705&lt;&gt;""),Programme_Grunddaten!C705,"")</f>
        <v/>
      </c>
      <c r="C700" s="1" t="str">
        <f>IF(AND(Programme_Grunddaten!$A705="Geprüft",Programme_Grunddaten!D705&lt;&gt;""),Programme_Grunddaten!D705,"")</f>
        <v/>
      </c>
      <c r="D700" s="2" t="str">
        <f>IF(AND(Programme_Grunddaten!$A705="Geprüft",Programme_Grunddaten!E705&lt;&gt;""),Programme_Grunddaten!E705,"")</f>
        <v/>
      </c>
      <c r="E700" t="str">
        <f>IF(AND(Programme_Grunddaten!$A705="Geprüft",Programme_Grunddaten!G705&lt;&gt;""),Programme_Grunddaten!G705,"")</f>
        <v/>
      </c>
      <c r="F700" t="str">
        <f>IF(AND(Programme_Grunddaten!$A705="Geprüft",Programme_Grunddaten!F705&lt;&gt;""),Programme_Grunddaten!F705,"")</f>
        <v/>
      </c>
      <c r="G700" s="3" t="str">
        <f>IF(AND(Programme_Grunddaten!$A705="Geprüft",Programme_Grunddaten!S705&lt;&gt;""),Programme_Grunddaten!S705,"")</f>
        <v/>
      </c>
      <c r="H700" t="str">
        <f>IF(AND(Programme_Grunddaten!$A705="Geprüft",Programme_Grunddaten!AW705&lt;&gt;""),Programme_Grunddaten!AW705,"")</f>
        <v/>
      </c>
      <c r="I700" t="str">
        <f>IF(AND(Programme_Grunddaten!$A705="Geprüft",Programme_Grunddaten!AX705&lt;&gt;""),Programme_Grunddaten!AX705,"")</f>
        <v/>
      </c>
    </row>
    <row r="701" spans="1:9" x14ac:dyDescent="0.3">
      <c r="A701" s="1" t="str">
        <f>IF(AND(Programme_Grunddaten!$A706="Geprüft",Programme_Grunddaten!B706&lt;&gt;""),Programme_Grunddaten!B706,"")</f>
        <v/>
      </c>
      <c r="B701" s="1" t="str">
        <f>IF(AND(Programme_Grunddaten!$A706="Geprüft",Programme_Grunddaten!C706&lt;&gt;""),Programme_Grunddaten!C706,"")</f>
        <v/>
      </c>
      <c r="C701" s="1" t="str">
        <f>IF(AND(Programme_Grunddaten!$A706="Geprüft",Programme_Grunddaten!D706&lt;&gt;""),Programme_Grunddaten!D706,"")</f>
        <v/>
      </c>
      <c r="D701" s="2" t="str">
        <f>IF(AND(Programme_Grunddaten!$A706="Geprüft",Programme_Grunddaten!E706&lt;&gt;""),Programme_Grunddaten!E706,"")</f>
        <v/>
      </c>
      <c r="E701" t="str">
        <f>IF(AND(Programme_Grunddaten!$A706="Geprüft",Programme_Grunddaten!G706&lt;&gt;""),Programme_Grunddaten!G706,"")</f>
        <v/>
      </c>
      <c r="F701" t="str">
        <f>IF(AND(Programme_Grunddaten!$A706="Geprüft",Programme_Grunddaten!F706&lt;&gt;""),Programme_Grunddaten!F706,"")</f>
        <v/>
      </c>
      <c r="G701" s="3" t="str">
        <f>IF(AND(Programme_Grunddaten!$A706="Geprüft",Programme_Grunddaten!S706&lt;&gt;""),Programme_Grunddaten!S706,"")</f>
        <v/>
      </c>
      <c r="H701" t="str">
        <f>IF(AND(Programme_Grunddaten!$A706="Geprüft",Programme_Grunddaten!AW706&lt;&gt;""),Programme_Grunddaten!AW706,"")</f>
        <v/>
      </c>
      <c r="I701" t="str">
        <f>IF(AND(Programme_Grunddaten!$A706="Geprüft",Programme_Grunddaten!AX706&lt;&gt;""),Programme_Grunddaten!AX706,"")</f>
        <v/>
      </c>
    </row>
    <row r="702" spans="1:9" x14ac:dyDescent="0.3">
      <c r="A702" s="1" t="str">
        <f>IF(AND(Programme_Grunddaten!$A707="Geprüft",Programme_Grunddaten!B707&lt;&gt;""),Programme_Grunddaten!B707,"")</f>
        <v/>
      </c>
      <c r="B702" s="1" t="str">
        <f>IF(AND(Programme_Grunddaten!$A707="Geprüft",Programme_Grunddaten!C707&lt;&gt;""),Programme_Grunddaten!C707,"")</f>
        <v/>
      </c>
      <c r="C702" s="1" t="str">
        <f>IF(AND(Programme_Grunddaten!$A707="Geprüft",Programme_Grunddaten!D707&lt;&gt;""),Programme_Grunddaten!D707,"")</f>
        <v/>
      </c>
      <c r="D702" s="2" t="str">
        <f>IF(AND(Programme_Grunddaten!$A707="Geprüft",Programme_Grunddaten!E707&lt;&gt;""),Programme_Grunddaten!E707,"")</f>
        <v/>
      </c>
      <c r="E702" t="str">
        <f>IF(AND(Programme_Grunddaten!$A707="Geprüft",Programme_Grunddaten!G707&lt;&gt;""),Programme_Grunddaten!G707,"")</f>
        <v/>
      </c>
      <c r="F702" t="str">
        <f>IF(AND(Programme_Grunddaten!$A707="Geprüft",Programme_Grunddaten!F707&lt;&gt;""),Programme_Grunddaten!F707,"")</f>
        <v/>
      </c>
      <c r="G702" s="3" t="str">
        <f>IF(AND(Programme_Grunddaten!$A707="Geprüft",Programme_Grunddaten!S707&lt;&gt;""),Programme_Grunddaten!S707,"")</f>
        <v/>
      </c>
      <c r="H702" t="str">
        <f>IF(AND(Programme_Grunddaten!$A707="Geprüft",Programme_Grunddaten!AW707&lt;&gt;""),Programme_Grunddaten!AW707,"")</f>
        <v/>
      </c>
      <c r="I702" t="str">
        <f>IF(AND(Programme_Grunddaten!$A707="Geprüft",Programme_Grunddaten!AX707&lt;&gt;""),Programme_Grunddaten!AX707,"")</f>
        <v/>
      </c>
    </row>
    <row r="703" spans="1:9" x14ac:dyDescent="0.3">
      <c r="A703" s="1" t="str">
        <f>IF(AND(Programme_Grunddaten!$A708="Geprüft",Programme_Grunddaten!B708&lt;&gt;""),Programme_Grunddaten!B708,"")</f>
        <v/>
      </c>
      <c r="B703" s="1" t="str">
        <f>IF(AND(Programme_Grunddaten!$A708="Geprüft",Programme_Grunddaten!C708&lt;&gt;""),Programme_Grunddaten!C708,"")</f>
        <v/>
      </c>
      <c r="C703" s="1" t="str">
        <f>IF(AND(Programme_Grunddaten!$A708="Geprüft",Programme_Grunddaten!D708&lt;&gt;""),Programme_Grunddaten!D708,"")</f>
        <v/>
      </c>
      <c r="D703" s="2" t="str">
        <f>IF(AND(Programme_Grunddaten!$A708="Geprüft",Programme_Grunddaten!E708&lt;&gt;""),Programme_Grunddaten!E708,"")</f>
        <v/>
      </c>
      <c r="E703" t="str">
        <f>IF(AND(Programme_Grunddaten!$A708="Geprüft",Programme_Grunddaten!G708&lt;&gt;""),Programme_Grunddaten!G708,"")</f>
        <v/>
      </c>
      <c r="F703" t="str">
        <f>IF(AND(Programme_Grunddaten!$A708="Geprüft",Programme_Grunddaten!F708&lt;&gt;""),Programme_Grunddaten!F708,"")</f>
        <v/>
      </c>
      <c r="G703" s="3" t="str">
        <f>IF(AND(Programme_Grunddaten!$A708="Geprüft",Programme_Grunddaten!S708&lt;&gt;""),Programme_Grunddaten!S708,"")</f>
        <v/>
      </c>
      <c r="H703" t="str">
        <f>IF(AND(Programme_Grunddaten!$A708="Geprüft",Programme_Grunddaten!AW708&lt;&gt;""),Programme_Grunddaten!AW708,"")</f>
        <v/>
      </c>
      <c r="I703" t="str">
        <f>IF(AND(Programme_Grunddaten!$A708="Geprüft",Programme_Grunddaten!AX708&lt;&gt;""),Programme_Grunddaten!AX708,"")</f>
        <v/>
      </c>
    </row>
    <row r="704" spans="1:9" x14ac:dyDescent="0.3">
      <c r="A704" s="1" t="str">
        <f>IF(AND(Programme_Grunddaten!$A709="Geprüft",Programme_Grunddaten!B709&lt;&gt;""),Programme_Grunddaten!B709,"")</f>
        <v/>
      </c>
      <c r="B704" s="1" t="str">
        <f>IF(AND(Programme_Grunddaten!$A709="Geprüft",Programme_Grunddaten!C709&lt;&gt;""),Programme_Grunddaten!C709,"")</f>
        <v/>
      </c>
      <c r="C704" s="1" t="str">
        <f>IF(AND(Programme_Grunddaten!$A709="Geprüft",Programme_Grunddaten!D709&lt;&gt;""),Programme_Grunddaten!D709,"")</f>
        <v/>
      </c>
      <c r="D704" s="2" t="str">
        <f>IF(AND(Programme_Grunddaten!$A709="Geprüft",Programme_Grunddaten!E709&lt;&gt;""),Programme_Grunddaten!E709,"")</f>
        <v/>
      </c>
      <c r="E704" t="str">
        <f>IF(AND(Programme_Grunddaten!$A709="Geprüft",Programme_Grunddaten!G709&lt;&gt;""),Programme_Grunddaten!G709,"")</f>
        <v/>
      </c>
      <c r="F704" t="str">
        <f>IF(AND(Programme_Grunddaten!$A709="Geprüft",Programme_Grunddaten!F709&lt;&gt;""),Programme_Grunddaten!F709,"")</f>
        <v/>
      </c>
      <c r="G704" s="3" t="str">
        <f>IF(AND(Programme_Grunddaten!$A709="Geprüft",Programme_Grunddaten!S709&lt;&gt;""),Programme_Grunddaten!S709,"")</f>
        <v/>
      </c>
      <c r="H704" t="str">
        <f>IF(AND(Programme_Grunddaten!$A709="Geprüft",Programme_Grunddaten!AW709&lt;&gt;""),Programme_Grunddaten!AW709,"")</f>
        <v/>
      </c>
      <c r="I704" t="str">
        <f>IF(AND(Programme_Grunddaten!$A709="Geprüft",Programme_Grunddaten!AX709&lt;&gt;""),Programme_Grunddaten!AX709,"")</f>
        <v/>
      </c>
    </row>
    <row r="705" spans="1:9" x14ac:dyDescent="0.3">
      <c r="A705" s="1" t="str">
        <f>IF(AND(Programme_Grunddaten!$A710="Geprüft",Programme_Grunddaten!B710&lt;&gt;""),Programme_Grunddaten!B710,"")</f>
        <v/>
      </c>
      <c r="B705" s="1" t="str">
        <f>IF(AND(Programme_Grunddaten!$A710="Geprüft",Programme_Grunddaten!C710&lt;&gt;""),Programme_Grunddaten!C710,"")</f>
        <v/>
      </c>
      <c r="C705" s="1" t="str">
        <f>IF(AND(Programme_Grunddaten!$A710="Geprüft",Programme_Grunddaten!D710&lt;&gt;""),Programme_Grunddaten!D710,"")</f>
        <v/>
      </c>
      <c r="D705" s="2" t="str">
        <f>IF(AND(Programme_Grunddaten!$A710="Geprüft",Programme_Grunddaten!E710&lt;&gt;""),Programme_Grunddaten!E710,"")</f>
        <v/>
      </c>
      <c r="E705" t="str">
        <f>IF(AND(Programme_Grunddaten!$A710="Geprüft",Programme_Grunddaten!G710&lt;&gt;""),Programme_Grunddaten!G710,"")</f>
        <v/>
      </c>
      <c r="F705" t="str">
        <f>IF(AND(Programme_Grunddaten!$A710="Geprüft",Programme_Grunddaten!F710&lt;&gt;""),Programme_Grunddaten!F710,"")</f>
        <v/>
      </c>
      <c r="G705" s="3" t="str">
        <f>IF(AND(Programme_Grunddaten!$A710="Geprüft",Programme_Grunddaten!S710&lt;&gt;""),Programme_Grunddaten!S710,"")</f>
        <v/>
      </c>
      <c r="H705" t="str">
        <f>IF(AND(Programme_Grunddaten!$A710="Geprüft",Programme_Grunddaten!AW710&lt;&gt;""),Programme_Grunddaten!AW710,"")</f>
        <v/>
      </c>
      <c r="I705" t="str">
        <f>IF(AND(Programme_Grunddaten!$A710="Geprüft",Programme_Grunddaten!AX710&lt;&gt;""),Programme_Grunddaten!AX710,"")</f>
        <v/>
      </c>
    </row>
    <row r="706" spans="1:9" x14ac:dyDescent="0.3">
      <c r="A706" s="1" t="str">
        <f>IF(AND(Programme_Grunddaten!$A711="Geprüft",Programme_Grunddaten!B711&lt;&gt;""),Programme_Grunddaten!B711,"")</f>
        <v/>
      </c>
      <c r="B706" s="1" t="str">
        <f>IF(AND(Programme_Grunddaten!$A711="Geprüft",Programme_Grunddaten!C711&lt;&gt;""),Programme_Grunddaten!C711,"")</f>
        <v/>
      </c>
      <c r="C706" s="1" t="str">
        <f>IF(AND(Programme_Grunddaten!$A711="Geprüft",Programme_Grunddaten!D711&lt;&gt;""),Programme_Grunddaten!D711,"")</f>
        <v/>
      </c>
      <c r="D706" s="2" t="str">
        <f>IF(AND(Programme_Grunddaten!$A711="Geprüft",Programme_Grunddaten!E711&lt;&gt;""),Programme_Grunddaten!E711,"")</f>
        <v/>
      </c>
      <c r="E706" t="str">
        <f>IF(AND(Programme_Grunddaten!$A711="Geprüft",Programme_Grunddaten!G711&lt;&gt;""),Programme_Grunddaten!G711,"")</f>
        <v/>
      </c>
      <c r="F706" t="str">
        <f>IF(AND(Programme_Grunddaten!$A711="Geprüft",Programme_Grunddaten!F711&lt;&gt;""),Programme_Grunddaten!F711,"")</f>
        <v/>
      </c>
      <c r="G706" s="3" t="str">
        <f>IF(AND(Programme_Grunddaten!$A711="Geprüft",Programme_Grunddaten!S711&lt;&gt;""),Programme_Grunddaten!S711,"")</f>
        <v/>
      </c>
      <c r="H706" t="str">
        <f>IF(AND(Programme_Grunddaten!$A711="Geprüft",Programme_Grunddaten!AW711&lt;&gt;""),Programme_Grunddaten!AW711,"")</f>
        <v/>
      </c>
      <c r="I706" t="str">
        <f>IF(AND(Programme_Grunddaten!$A711="Geprüft",Programme_Grunddaten!AX711&lt;&gt;""),Programme_Grunddaten!AX711,"")</f>
        <v/>
      </c>
    </row>
    <row r="707" spans="1:9" x14ac:dyDescent="0.3">
      <c r="A707" s="1" t="str">
        <f>IF(AND(Programme_Grunddaten!$A712="Geprüft",Programme_Grunddaten!B712&lt;&gt;""),Programme_Grunddaten!B712,"")</f>
        <v/>
      </c>
      <c r="B707" s="1" t="str">
        <f>IF(AND(Programme_Grunddaten!$A712="Geprüft",Programme_Grunddaten!C712&lt;&gt;""),Programme_Grunddaten!C712,"")</f>
        <v/>
      </c>
      <c r="C707" s="1" t="str">
        <f>IF(AND(Programme_Grunddaten!$A712="Geprüft",Programme_Grunddaten!D712&lt;&gt;""),Programme_Grunddaten!D712,"")</f>
        <v/>
      </c>
      <c r="D707" s="2" t="str">
        <f>IF(AND(Programme_Grunddaten!$A712="Geprüft",Programme_Grunddaten!E712&lt;&gt;""),Programme_Grunddaten!E712,"")</f>
        <v/>
      </c>
      <c r="E707" t="str">
        <f>IF(AND(Programme_Grunddaten!$A712="Geprüft",Programme_Grunddaten!G712&lt;&gt;""),Programme_Grunddaten!G712,"")</f>
        <v/>
      </c>
      <c r="F707" t="str">
        <f>IF(AND(Programme_Grunddaten!$A712="Geprüft",Programme_Grunddaten!F712&lt;&gt;""),Programme_Grunddaten!F712,"")</f>
        <v/>
      </c>
      <c r="G707" s="3" t="str">
        <f>IF(AND(Programme_Grunddaten!$A712="Geprüft",Programme_Grunddaten!S712&lt;&gt;""),Programme_Grunddaten!S712,"")</f>
        <v/>
      </c>
      <c r="H707" t="str">
        <f>IF(AND(Programme_Grunddaten!$A712="Geprüft",Programme_Grunddaten!AW712&lt;&gt;""),Programme_Grunddaten!AW712,"")</f>
        <v/>
      </c>
      <c r="I707" t="str">
        <f>IF(AND(Programme_Grunddaten!$A712="Geprüft",Programme_Grunddaten!AX712&lt;&gt;""),Programme_Grunddaten!AX712,"")</f>
        <v/>
      </c>
    </row>
    <row r="708" spans="1:9" x14ac:dyDescent="0.3">
      <c r="A708" s="1" t="str">
        <f>IF(AND(Programme_Grunddaten!$A713="Geprüft",Programme_Grunddaten!B713&lt;&gt;""),Programme_Grunddaten!B713,"")</f>
        <v/>
      </c>
      <c r="B708" s="1" t="str">
        <f>IF(AND(Programme_Grunddaten!$A713="Geprüft",Programme_Grunddaten!C713&lt;&gt;""),Programme_Grunddaten!C713,"")</f>
        <v/>
      </c>
      <c r="C708" s="1" t="str">
        <f>IF(AND(Programme_Grunddaten!$A713="Geprüft",Programme_Grunddaten!D713&lt;&gt;""),Programme_Grunddaten!D713,"")</f>
        <v/>
      </c>
      <c r="D708" s="2" t="str">
        <f>IF(AND(Programme_Grunddaten!$A713="Geprüft",Programme_Grunddaten!E713&lt;&gt;""),Programme_Grunddaten!E713,"")</f>
        <v/>
      </c>
      <c r="E708" t="str">
        <f>IF(AND(Programme_Grunddaten!$A713="Geprüft",Programme_Grunddaten!G713&lt;&gt;""),Programme_Grunddaten!G713,"")</f>
        <v/>
      </c>
      <c r="F708" t="str">
        <f>IF(AND(Programme_Grunddaten!$A713="Geprüft",Programme_Grunddaten!F713&lt;&gt;""),Programme_Grunddaten!F713,"")</f>
        <v/>
      </c>
      <c r="G708" s="3" t="str">
        <f>IF(AND(Programme_Grunddaten!$A713="Geprüft",Programme_Grunddaten!S713&lt;&gt;""),Programme_Grunddaten!S713,"")</f>
        <v/>
      </c>
      <c r="H708" t="str">
        <f>IF(AND(Programme_Grunddaten!$A713="Geprüft",Programme_Grunddaten!AW713&lt;&gt;""),Programme_Grunddaten!AW713,"")</f>
        <v/>
      </c>
      <c r="I708" t="str">
        <f>IF(AND(Programme_Grunddaten!$A713="Geprüft",Programme_Grunddaten!AX713&lt;&gt;""),Programme_Grunddaten!AX713,"")</f>
        <v/>
      </c>
    </row>
    <row r="709" spans="1:9" x14ac:dyDescent="0.3">
      <c r="A709" s="1" t="str">
        <f>IF(AND(Programme_Grunddaten!$A714="Geprüft",Programme_Grunddaten!B714&lt;&gt;""),Programme_Grunddaten!B714,"")</f>
        <v/>
      </c>
      <c r="B709" s="1" t="str">
        <f>IF(AND(Programme_Grunddaten!$A714="Geprüft",Programme_Grunddaten!C714&lt;&gt;""),Programme_Grunddaten!C714,"")</f>
        <v/>
      </c>
      <c r="C709" s="1" t="str">
        <f>IF(AND(Programme_Grunddaten!$A714="Geprüft",Programme_Grunddaten!D714&lt;&gt;""),Programme_Grunddaten!D714,"")</f>
        <v/>
      </c>
      <c r="D709" s="2" t="str">
        <f>IF(AND(Programme_Grunddaten!$A714="Geprüft",Programme_Grunddaten!E714&lt;&gt;""),Programme_Grunddaten!E714,"")</f>
        <v/>
      </c>
      <c r="E709" t="str">
        <f>IF(AND(Programme_Grunddaten!$A714="Geprüft",Programme_Grunddaten!G714&lt;&gt;""),Programme_Grunddaten!G714,"")</f>
        <v/>
      </c>
      <c r="F709" t="str">
        <f>IF(AND(Programme_Grunddaten!$A714="Geprüft",Programme_Grunddaten!F714&lt;&gt;""),Programme_Grunddaten!F714,"")</f>
        <v/>
      </c>
      <c r="G709" s="3" t="str">
        <f>IF(AND(Programme_Grunddaten!$A714="Geprüft",Programme_Grunddaten!S714&lt;&gt;""),Programme_Grunddaten!S714,"")</f>
        <v/>
      </c>
      <c r="H709" t="str">
        <f>IF(AND(Programme_Grunddaten!$A714="Geprüft",Programme_Grunddaten!AW714&lt;&gt;""),Programme_Grunddaten!AW714,"")</f>
        <v/>
      </c>
      <c r="I709" t="str">
        <f>IF(AND(Programme_Grunddaten!$A714="Geprüft",Programme_Grunddaten!AX714&lt;&gt;""),Programme_Grunddaten!AX714,"")</f>
        <v/>
      </c>
    </row>
    <row r="710" spans="1:9" x14ac:dyDescent="0.3">
      <c r="A710" s="1" t="str">
        <f>IF(AND(Programme_Grunddaten!$A715="Geprüft",Programme_Grunddaten!B715&lt;&gt;""),Programme_Grunddaten!B715,"")</f>
        <v/>
      </c>
      <c r="B710" s="1" t="str">
        <f>IF(AND(Programme_Grunddaten!$A715="Geprüft",Programme_Grunddaten!C715&lt;&gt;""),Programme_Grunddaten!C715,"")</f>
        <v/>
      </c>
      <c r="C710" s="1" t="str">
        <f>IF(AND(Programme_Grunddaten!$A715="Geprüft",Programme_Grunddaten!D715&lt;&gt;""),Programme_Grunddaten!D715,"")</f>
        <v/>
      </c>
      <c r="D710" s="2" t="str">
        <f>IF(AND(Programme_Grunddaten!$A715="Geprüft",Programme_Grunddaten!E715&lt;&gt;""),Programme_Grunddaten!E715,"")</f>
        <v/>
      </c>
      <c r="E710" t="str">
        <f>IF(AND(Programme_Grunddaten!$A715="Geprüft",Programme_Grunddaten!G715&lt;&gt;""),Programme_Grunddaten!G715,"")</f>
        <v/>
      </c>
      <c r="F710" t="str">
        <f>IF(AND(Programme_Grunddaten!$A715="Geprüft",Programme_Grunddaten!F715&lt;&gt;""),Programme_Grunddaten!F715,"")</f>
        <v/>
      </c>
      <c r="G710" s="3" t="str">
        <f>IF(AND(Programme_Grunddaten!$A715="Geprüft",Programme_Grunddaten!S715&lt;&gt;""),Programme_Grunddaten!S715,"")</f>
        <v/>
      </c>
      <c r="H710" t="str">
        <f>IF(AND(Programme_Grunddaten!$A715="Geprüft",Programme_Grunddaten!AW715&lt;&gt;""),Programme_Grunddaten!AW715,"")</f>
        <v/>
      </c>
      <c r="I710" t="str">
        <f>IF(AND(Programme_Grunddaten!$A715="Geprüft",Programme_Grunddaten!AX715&lt;&gt;""),Programme_Grunddaten!AX715,"")</f>
        <v/>
      </c>
    </row>
    <row r="711" spans="1:9" x14ac:dyDescent="0.3">
      <c r="A711" s="1" t="str">
        <f>IF(AND(Programme_Grunddaten!$A716="Geprüft",Programme_Grunddaten!B716&lt;&gt;""),Programme_Grunddaten!B716,"")</f>
        <v/>
      </c>
      <c r="B711" s="1" t="str">
        <f>IF(AND(Programme_Grunddaten!$A716="Geprüft",Programme_Grunddaten!C716&lt;&gt;""),Programme_Grunddaten!C716,"")</f>
        <v/>
      </c>
      <c r="C711" s="1" t="str">
        <f>IF(AND(Programme_Grunddaten!$A716="Geprüft",Programme_Grunddaten!D716&lt;&gt;""),Programme_Grunddaten!D716,"")</f>
        <v/>
      </c>
      <c r="D711" s="2" t="str">
        <f>IF(AND(Programme_Grunddaten!$A716="Geprüft",Programme_Grunddaten!E716&lt;&gt;""),Programme_Grunddaten!E716,"")</f>
        <v/>
      </c>
      <c r="E711" t="str">
        <f>IF(AND(Programme_Grunddaten!$A716="Geprüft",Programme_Grunddaten!G716&lt;&gt;""),Programme_Grunddaten!G716,"")</f>
        <v/>
      </c>
      <c r="F711" t="str">
        <f>IF(AND(Programme_Grunddaten!$A716="Geprüft",Programme_Grunddaten!F716&lt;&gt;""),Programme_Grunddaten!F716,"")</f>
        <v/>
      </c>
      <c r="G711" s="3" t="str">
        <f>IF(AND(Programme_Grunddaten!$A716="Geprüft",Programme_Grunddaten!S716&lt;&gt;""),Programme_Grunddaten!S716,"")</f>
        <v/>
      </c>
      <c r="H711" t="str">
        <f>IF(AND(Programme_Grunddaten!$A716="Geprüft",Programme_Grunddaten!AW716&lt;&gt;""),Programme_Grunddaten!AW716,"")</f>
        <v/>
      </c>
      <c r="I711" t="str">
        <f>IF(AND(Programme_Grunddaten!$A716="Geprüft",Programme_Grunddaten!AX716&lt;&gt;""),Programme_Grunddaten!AX716,"")</f>
        <v/>
      </c>
    </row>
    <row r="712" spans="1:9" x14ac:dyDescent="0.3">
      <c r="A712" s="1" t="str">
        <f>IF(AND(Programme_Grunddaten!$A717="Geprüft",Programme_Grunddaten!B717&lt;&gt;""),Programme_Grunddaten!B717,"")</f>
        <v/>
      </c>
      <c r="B712" s="1" t="str">
        <f>IF(AND(Programme_Grunddaten!$A717="Geprüft",Programme_Grunddaten!C717&lt;&gt;""),Programme_Grunddaten!C717,"")</f>
        <v/>
      </c>
      <c r="C712" s="1" t="str">
        <f>IF(AND(Programme_Grunddaten!$A717="Geprüft",Programme_Grunddaten!D717&lt;&gt;""),Programme_Grunddaten!D717,"")</f>
        <v/>
      </c>
      <c r="D712" s="2" t="str">
        <f>IF(AND(Programme_Grunddaten!$A717="Geprüft",Programme_Grunddaten!E717&lt;&gt;""),Programme_Grunddaten!E717,"")</f>
        <v/>
      </c>
      <c r="E712" t="str">
        <f>IF(AND(Programme_Grunddaten!$A717="Geprüft",Programme_Grunddaten!G717&lt;&gt;""),Programme_Grunddaten!G717,"")</f>
        <v/>
      </c>
      <c r="F712" t="str">
        <f>IF(AND(Programme_Grunddaten!$A717="Geprüft",Programme_Grunddaten!F717&lt;&gt;""),Programme_Grunddaten!F717,"")</f>
        <v/>
      </c>
      <c r="G712" s="3" t="str">
        <f>IF(AND(Programme_Grunddaten!$A717="Geprüft",Programme_Grunddaten!S717&lt;&gt;""),Programme_Grunddaten!S717,"")</f>
        <v/>
      </c>
      <c r="H712" t="str">
        <f>IF(AND(Programme_Grunddaten!$A717="Geprüft",Programme_Grunddaten!AW717&lt;&gt;""),Programme_Grunddaten!AW717,"")</f>
        <v/>
      </c>
      <c r="I712" t="str">
        <f>IF(AND(Programme_Grunddaten!$A717="Geprüft",Programme_Grunddaten!AX717&lt;&gt;""),Programme_Grunddaten!AX717,"")</f>
        <v/>
      </c>
    </row>
    <row r="713" spans="1:9" x14ac:dyDescent="0.3">
      <c r="A713" s="1" t="str">
        <f>IF(AND(Programme_Grunddaten!$A718="Geprüft",Programme_Grunddaten!B718&lt;&gt;""),Programme_Grunddaten!B718,"")</f>
        <v/>
      </c>
      <c r="B713" s="1" t="str">
        <f>IF(AND(Programme_Grunddaten!$A718="Geprüft",Programme_Grunddaten!C718&lt;&gt;""),Programme_Grunddaten!C718,"")</f>
        <v/>
      </c>
      <c r="C713" s="1" t="str">
        <f>IF(AND(Programme_Grunddaten!$A718="Geprüft",Programme_Grunddaten!D718&lt;&gt;""),Programme_Grunddaten!D718,"")</f>
        <v/>
      </c>
      <c r="D713" s="2" t="str">
        <f>IF(AND(Programme_Grunddaten!$A718="Geprüft",Programme_Grunddaten!E718&lt;&gt;""),Programme_Grunddaten!E718,"")</f>
        <v/>
      </c>
      <c r="E713" t="str">
        <f>IF(AND(Programme_Grunddaten!$A718="Geprüft",Programme_Grunddaten!G718&lt;&gt;""),Programme_Grunddaten!G718,"")</f>
        <v/>
      </c>
      <c r="F713" t="str">
        <f>IF(AND(Programme_Grunddaten!$A718="Geprüft",Programme_Grunddaten!F718&lt;&gt;""),Programme_Grunddaten!F718,"")</f>
        <v/>
      </c>
      <c r="G713" s="3" t="str">
        <f>IF(AND(Programme_Grunddaten!$A718="Geprüft",Programme_Grunddaten!S718&lt;&gt;""),Programme_Grunddaten!S718,"")</f>
        <v/>
      </c>
      <c r="H713" t="str">
        <f>IF(AND(Programme_Grunddaten!$A718="Geprüft",Programme_Grunddaten!AW718&lt;&gt;""),Programme_Grunddaten!AW718,"")</f>
        <v/>
      </c>
      <c r="I713" t="str">
        <f>IF(AND(Programme_Grunddaten!$A718="Geprüft",Programme_Grunddaten!AX718&lt;&gt;""),Programme_Grunddaten!AX718,"")</f>
        <v/>
      </c>
    </row>
    <row r="714" spans="1:9" x14ac:dyDescent="0.3">
      <c r="A714" s="1" t="str">
        <f>IF(AND(Programme_Grunddaten!$A719="Geprüft",Programme_Grunddaten!B719&lt;&gt;""),Programme_Grunddaten!B719,"")</f>
        <v/>
      </c>
      <c r="B714" s="1" t="str">
        <f>IF(AND(Programme_Grunddaten!$A719="Geprüft",Programme_Grunddaten!C719&lt;&gt;""),Programme_Grunddaten!C719,"")</f>
        <v/>
      </c>
      <c r="C714" s="1" t="str">
        <f>IF(AND(Programme_Grunddaten!$A719="Geprüft",Programme_Grunddaten!D719&lt;&gt;""),Programme_Grunddaten!D719,"")</f>
        <v/>
      </c>
      <c r="D714" s="2" t="str">
        <f>IF(AND(Programme_Grunddaten!$A719="Geprüft",Programme_Grunddaten!E719&lt;&gt;""),Programme_Grunddaten!E719,"")</f>
        <v/>
      </c>
      <c r="E714" t="str">
        <f>IF(AND(Programme_Grunddaten!$A719="Geprüft",Programme_Grunddaten!G719&lt;&gt;""),Programme_Grunddaten!G719,"")</f>
        <v/>
      </c>
      <c r="F714" t="str">
        <f>IF(AND(Programme_Grunddaten!$A719="Geprüft",Programme_Grunddaten!F719&lt;&gt;""),Programme_Grunddaten!F719,"")</f>
        <v/>
      </c>
      <c r="G714" s="3" t="str">
        <f>IF(AND(Programme_Grunddaten!$A719="Geprüft",Programme_Grunddaten!S719&lt;&gt;""),Programme_Grunddaten!S719,"")</f>
        <v/>
      </c>
      <c r="H714" t="str">
        <f>IF(AND(Programme_Grunddaten!$A719="Geprüft",Programme_Grunddaten!AW719&lt;&gt;""),Programme_Grunddaten!AW719,"")</f>
        <v/>
      </c>
      <c r="I714" t="str">
        <f>IF(AND(Programme_Grunddaten!$A719="Geprüft",Programme_Grunddaten!AX719&lt;&gt;""),Programme_Grunddaten!AX719,"")</f>
        <v/>
      </c>
    </row>
    <row r="715" spans="1:9" x14ac:dyDescent="0.3">
      <c r="A715" s="1" t="str">
        <f>IF(AND(Programme_Grunddaten!$A720="Geprüft",Programme_Grunddaten!B720&lt;&gt;""),Programme_Grunddaten!B720,"")</f>
        <v/>
      </c>
      <c r="B715" s="1" t="str">
        <f>IF(AND(Programme_Grunddaten!$A720="Geprüft",Programme_Grunddaten!C720&lt;&gt;""),Programme_Grunddaten!C720,"")</f>
        <v/>
      </c>
      <c r="C715" s="1" t="str">
        <f>IF(AND(Programme_Grunddaten!$A720="Geprüft",Programme_Grunddaten!D720&lt;&gt;""),Programme_Grunddaten!D720,"")</f>
        <v/>
      </c>
      <c r="D715" s="2" t="str">
        <f>IF(AND(Programme_Grunddaten!$A720="Geprüft",Programme_Grunddaten!E720&lt;&gt;""),Programme_Grunddaten!E720,"")</f>
        <v/>
      </c>
      <c r="E715" t="str">
        <f>IF(AND(Programme_Grunddaten!$A720="Geprüft",Programme_Grunddaten!G720&lt;&gt;""),Programme_Grunddaten!G720,"")</f>
        <v/>
      </c>
      <c r="F715" t="str">
        <f>IF(AND(Programme_Grunddaten!$A720="Geprüft",Programme_Grunddaten!F720&lt;&gt;""),Programme_Grunddaten!F720,"")</f>
        <v/>
      </c>
      <c r="G715" s="3" t="str">
        <f>IF(AND(Programme_Grunddaten!$A720="Geprüft",Programme_Grunddaten!S720&lt;&gt;""),Programme_Grunddaten!S720,"")</f>
        <v/>
      </c>
      <c r="H715" t="str">
        <f>IF(AND(Programme_Grunddaten!$A720="Geprüft",Programme_Grunddaten!AW720&lt;&gt;""),Programme_Grunddaten!AW720,"")</f>
        <v/>
      </c>
      <c r="I715" t="str">
        <f>IF(AND(Programme_Grunddaten!$A720="Geprüft",Programme_Grunddaten!AX720&lt;&gt;""),Programme_Grunddaten!AX720,"")</f>
        <v/>
      </c>
    </row>
    <row r="716" spans="1:9" x14ac:dyDescent="0.3">
      <c r="A716" s="1" t="str">
        <f>IF(AND(Programme_Grunddaten!$A721="Geprüft",Programme_Grunddaten!B721&lt;&gt;""),Programme_Grunddaten!B721,"")</f>
        <v/>
      </c>
      <c r="B716" s="1" t="str">
        <f>IF(AND(Programme_Grunddaten!$A721="Geprüft",Programme_Grunddaten!C721&lt;&gt;""),Programme_Grunddaten!C721,"")</f>
        <v/>
      </c>
      <c r="C716" s="1" t="str">
        <f>IF(AND(Programme_Grunddaten!$A721="Geprüft",Programme_Grunddaten!D721&lt;&gt;""),Programme_Grunddaten!D721,"")</f>
        <v/>
      </c>
      <c r="D716" s="2" t="str">
        <f>IF(AND(Programme_Grunddaten!$A721="Geprüft",Programme_Grunddaten!E721&lt;&gt;""),Programme_Grunddaten!E721,"")</f>
        <v/>
      </c>
      <c r="E716" t="str">
        <f>IF(AND(Programme_Grunddaten!$A721="Geprüft",Programme_Grunddaten!G721&lt;&gt;""),Programme_Grunddaten!G721,"")</f>
        <v/>
      </c>
      <c r="F716" t="str">
        <f>IF(AND(Programme_Grunddaten!$A721="Geprüft",Programme_Grunddaten!F721&lt;&gt;""),Programme_Grunddaten!F721,"")</f>
        <v/>
      </c>
      <c r="G716" s="3" t="str">
        <f>IF(AND(Programme_Grunddaten!$A721="Geprüft",Programme_Grunddaten!S721&lt;&gt;""),Programme_Grunddaten!S721,"")</f>
        <v/>
      </c>
      <c r="H716" t="str">
        <f>IF(AND(Programme_Grunddaten!$A721="Geprüft",Programme_Grunddaten!AW721&lt;&gt;""),Programme_Grunddaten!AW721,"")</f>
        <v/>
      </c>
      <c r="I716" t="str">
        <f>IF(AND(Programme_Grunddaten!$A721="Geprüft",Programme_Grunddaten!AX721&lt;&gt;""),Programme_Grunddaten!AX721,"")</f>
        <v/>
      </c>
    </row>
    <row r="717" spans="1:9" x14ac:dyDescent="0.3">
      <c r="A717" s="1" t="str">
        <f>IF(AND(Programme_Grunddaten!$A722="Geprüft",Programme_Grunddaten!B722&lt;&gt;""),Programme_Grunddaten!B722,"")</f>
        <v/>
      </c>
      <c r="B717" s="1" t="str">
        <f>IF(AND(Programme_Grunddaten!$A722="Geprüft",Programme_Grunddaten!C722&lt;&gt;""),Programme_Grunddaten!C722,"")</f>
        <v/>
      </c>
      <c r="C717" s="1" t="str">
        <f>IF(AND(Programme_Grunddaten!$A722="Geprüft",Programme_Grunddaten!D722&lt;&gt;""),Programme_Grunddaten!D722,"")</f>
        <v/>
      </c>
      <c r="D717" s="2" t="str">
        <f>IF(AND(Programme_Grunddaten!$A722="Geprüft",Programme_Grunddaten!E722&lt;&gt;""),Programme_Grunddaten!E722,"")</f>
        <v/>
      </c>
      <c r="E717" t="str">
        <f>IF(AND(Programme_Grunddaten!$A722="Geprüft",Programme_Grunddaten!G722&lt;&gt;""),Programme_Grunddaten!G722,"")</f>
        <v/>
      </c>
      <c r="F717" t="str">
        <f>IF(AND(Programme_Grunddaten!$A722="Geprüft",Programme_Grunddaten!F722&lt;&gt;""),Programme_Grunddaten!F722,"")</f>
        <v/>
      </c>
      <c r="G717" s="3" t="str">
        <f>IF(AND(Programme_Grunddaten!$A722="Geprüft",Programme_Grunddaten!S722&lt;&gt;""),Programme_Grunddaten!S722,"")</f>
        <v/>
      </c>
      <c r="H717" t="str">
        <f>IF(AND(Programme_Grunddaten!$A722="Geprüft",Programme_Grunddaten!AW722&lt;&gt;""),Programme_Grunddaten!AW722,"")</f>
        <v/>
      </c>
      <c r="I717" t="str">
        <f>IF(AND(Programme_Grunddaten!$A722="Geprüft",Programme_Grunddaten!AX722&lt;&gt;""),Programme_Grunddaten!AX722,"")</f>
        <v/>
      </c>
    </row>
    <row r="718" spans="1:9" x14ac:dyDescent="0.3">
      <c r="A718" s="1" t="str">
        <f>IF(AND(Programme_Grunddaten!$A723="Geprüft",Programme_Grunddaten!B723&lt;&gt;""),Programme_Grunddaten!B723,"")</f>
        <v/>
      </c>
      <c r="B718" s="1" t="str">
        <f>IF(AND(Programme_Grunddaten!$A723="Geprüft",Programme_Grunddaten!C723&lt;&gt;""),Programme_Grunddaten!C723,"")</f>
        <v/>
      </c>
      <c r="C718" s="1" t="str">
        <f>IF(AND(Programme_Grunddaten!$A723="Geprüft",Programme_Grunddaten!D723&lt;&gt;""),Programme_Grunddaten!D723,"")</f>
        <v/>
      </c>
      <c r="D718" s="2" t="str">
        <f>IF(AND(Programme_Grunddaten!$A723="Geprüft",Programme_Grunddaten!E723&lt;&gt;""),Programme_Grunddaten!E723,"")</f>
        <v/>
      </c>
      <c r="E718" t="str">
        <f>IF(AND(Programme_Grunddaten!$A723="Geprüft",Programme_Grunddaten!G723&lt;&gt;""),Programme_Grunddaten!G723,"")</f>
        <v/>
      </c>
      <c r="F718" t="str">
        <f>IF(AND(Programme_Grunddaten!$A723="Geprüft",Programme_Grunddaten!F723&lt;&gt;""),Programme_Grunddaten!F723,"")</f>
        <v/>
      </c>
      <c r="G718" s="3" t="str">
        <f>IF(AND(Programme_Grunddaten!$A723="Geprüft",Programme_Grunddaten!S723&lt;&gt;""),Programme_Grunddaten!S723,"")</f>
        <v/>
      </c>
      <c r="H718" t="str">
        <f>IF(AND(Programme_Grunddaten!$A723="Geprüft",Programme_Grunddaten!AW723&lt;&gt;""),Programme_Grunddaten!AW723,"")</f>
        <v/>
      </c>
      <c r="I718" t="str">
        <f>IF(AND(Programme_Grunddaten!$A723="Geprüft",Programme_Grunddaten!AX723&lt;&gt;""),Programme_Grunddaten!AX723,"")</f>
        <v/>
      </c>
    </row>
    <row r="719" spans="1:9" x14ac:dyDescent="0.3">
      <c r="A719" s="1" t="str">
        <f>IF(AND(Programme_Grunddaten!$A724="Geprüft",Programme_Grunddaten!B724&lt;&gt;""),Programme_Grunddaten!B724,"")</f>
        <v/>
      </c>
      <c r="B719" s="1" t="str">
        <f>IF(AND(Programme_Grunddaten!$A724="Geprüft",Programme_Grunddaten!C724&lt;&gt;""),Programme_Grunddaten!C724,"")</f>
        <v/>
      </c>
      <c r="C719" s="1" t="str">
        <f>IF(AND(Programme_Grunddaten!$A724="Geprüft",Programme_Grunddaten!D724&lt;&gt;""),Programme_Grunddaten!D724,"")</f>
        <v/>
      </c>
      <c r="D719" s="2" t="str">
        <f>IF(AND(Programme_Grunddaten!$A724="Geprüft",Programme_Grunddaten!E724&lt;&gt;""),Programme_Grunddaten!E724,"")</f>
        <v/>
      </c>
      <c r="E719" t="str">
        <f>IF(AND(Programme_Grunddaten!$A724="Geprüft",Programme_Grunddaten!G724&lt;&gt;""),Programme_Grunddaten!G724,"")</f>
        <v/>
      </c>
      <c r="F719" t="str">
        <f>IF(AND(Programme_Grunddaten!$A724="Geprüft",Programme_Grunddaten!F724&lt;&gt;""),Programme_Grunddaten!F724,"")</f>
        <v/>
      </c>
      <c r="G719" s="3" t="str">
        <f>IF(AND(Programme_Grunddaten!$A724="Geprüft",Programme_Grunddaten!S724&lt;&gt;""),Programme_Grunddaten!S724,"")</f>
        <v/>
      </c>
      <c r="H719" t="str">
        <f>IF(AND(Programme_Grunddaten!$A724="Geprüft",Programme_Grunddaten!AW724&lt;&gt;""),Programme_Grunddaten!AW724,"")</f>
        <v/>
      </c>
      <c r="I719" t="str">
        <f>IF(AND(Programme_Grunddaten!$A724="Geprüft",Programme_Grunddaten!AX724&lt;&gt;""),Programme_Grunddaten!AX724,"")</f>
        <v/>
      </c>
    </row>
    <row r="720" spans="1:9" x14ac:dyDescent="0.3">
      <c r="A720" s="1" t="str">
        <f>IF(AND(Programme_Grunddaten!$A725="Geprüft",Programme_Grunddaten!B725&lt;&gt;""),Programme_Grunddaten!B725,"")</f>
        <v/>
      </c>
      <c r="B720" s="1" t="str">
        <f>IF(AND(Programme_Grunddaten!$A725="Geprüft",Programme_Grunddaten!C725&lt;&gt;""),Programme_Grunddaten!C725,"")</f>
        <v/>
      </c>
      <c r="C720" s="1" t="str">
        <f>IF(AND(Programme_Grunddaten!$A725="Geprüft",Programme_Grunddaten!D725&lt;&gt;""),Programme_Grunddaten!D725,"")</f>
        <v/>
      </c>
      <c r="D720" s="2" t="str">
        <f>IF(AND(Programme_Grunddaten!$A725="Geprüft",Programme_Grunddaten!E725&lt;&gt;""),Programme_Grunddaten!E725,"")</f>
        <v/>
      </c>
      <c r="E720" t="str">
        <f>IF(AND(Programme_Grunddaten!$A725="Geprüft",Programme_Grunddaten!G725&lt;&gt;""),Programme_Grunddaten!G725,"")</f>
        <v/>
      </c>
      <c r="F720" t="str">
        <f>IF(AND(Programme_Grunddaten!$A725="Geprüft",Programme_Grunddaten!F725&lt;&gt;""),Programme_Grunddaten!F725,"")</f>
        <v/>
      </c>
      <c r="G720" s="3" t="str">
        <f>IF(AND(Programme_Grunddaten!$A725="Geprüft",Programme_Grunddaten!S725&lt;&gt;""),Programme_Grunddaten!S725,"")</f>
        <v/>
      </c>
      <c r="H720" t="str">
        <f>IF(AND(Programme_Grunddaten!$A725="Geprüft",Programme_Grunddaten!AW725&lt;&gt;""),Programme_Grunddaten!AW725,"")</f>
        <v/>
      </c>
      <c r="I720" t="str">
        <f>IF(AND(Programme_Grunddaten!$A725="Geprüft",Programme_Grunddaten!AX725&lt;&gt;""),Programme_Grunddaten!AX725,"")</f>
        <v/>
      </c>
    </row>
    <row r="721" spans="1:9" x14ac:dyDescent="0.3">
      <c r="A721" s="1" t="str">
        <f>IF(AND(Programme_Grunddaten!$A726="Geprüft",Programme_Grunddaten!B726&lt;&gt;""),Programme_Grunddaten!B726,"")</f>
        <v/>
      </c>
      <c r="B721" s="1" t="str">
        <f>IF(AND(Programme_Grunddaten!$A726="Geprüft",Programme_Grunddaten!C726&lt;&gt;""),Programme_Grunddaten!C726,"")</f>
        <v/>
      </c>
      <c r="C721" s="1" t="str">
        <f>IF(AND(Programme_Grunddaten!$A726="Geprüft",Programme_Grunddaten!D726&lt;&gt;""),Programme_Grunddaten!D726,"")</f>
        <v/>
      </c>
      <c r="D721" s="2" t="str">
        <f>IF(AND(Programme_Grunddaten!$A726="Geprüft",Programme_Grunddaten!E726&lt;&gt;""),Programme_Grunddaten!E726,"")</f>
        <v/>
      </c>
      <c r="E721" t="str">
        <f>IF(AND(Programme_Grunddaten!$A726="Geprüft",Programme_Grunddaten!G726&lt;&gt;""),Programme_Grunddaten!G726,"")</f>
        <v/>
      </c>
      <c r="F721" t="str">
        <f>IF(AND(Programme_Grunddaten!$A726="Geprüft",Programme_Grunddaten!F726&lt;&gt;""),Programme_Grunddaten!F726,"")</f>
        <v/>
      </c>
      <c r="G721" s="3" t="str">
        <f>IF(AND(Programme_Grunddaten!$A726="Geprüft",Programme_Grunddaten!S726&lt;&gt;""),Programme_Grunddaten!S726,"")</f>
        <v/>
      </c>
      <c r="H721" t="str">
        <f>IF(AND(Programme_Grunddaten!$A726="Geprüft",Programme_Grunddaten!AW726&lt;&gt;""),Programme_Grunddaten!AW726,"")</f>
        <v/>
      </c>
      <c r="I721" t="str">
        <f>IF(AND(Programme_Grunddaten!$A726="Geprüft",Programme_Grunddaten!AX726&lt;&gt;""),Programme_Grunddaten!AX726,"")</f>
        <v/>
      </c>
    </row>
    <row r="722" spans="1:9" x14ac:dyDescent="0.3">
      <c r="A722" s="1" t="str">
        <f>IF(AND(Programme_Grunddaten!$A727="Geprüft",Programme_Grunddaten!B727&lt;&gt;""),Programme_Grunddaten!B727,"")</f>
        <v/>
      </c>
      <c r="B722" s="1" t="str">
        <f>IF(AND(Programme_Grunddaten!$A727="Geprüft",Programme_Grunddaten!C727&lt;&gt;""),Programme_Grunddaten!C727,"")</f>
        <v/>
      </c>
      <c r="C722" s="1" t="str">
        <f>IF(AND(Programme_Grunddaten!$A727="Geprüft",Programme_Grunddaten!D727&lt;&gt;""),Programme_Grunddaten!D727,"")</f>
        <v/>
      </c>
      <c r="D722" s="2" t="str">
        <f>IF(AND(Programme_Grunddaten!$A727="Geprüft",Programme_Grunddaten!E727&lt;&gt;""),Programme_Grunddaten!E727,"")</f>
        <v/>
      </c>
      <c r="E722" t="str">
        <f>IF(AND(Programme_Grunddaten!$A727="Geprüft",Programme_Grunddaten!G727&lt;&gt;""),Programme_Grunddaten!G727,"")</f>
        <v/>
      </c>
      <c r="F722" t="str">
        <f>IF(AND(Programme_Grunddaten!$A727="Geprüft",Programme_Grunddaten!F727&lt;&gt;""),Programme_Grunddaten!F727,"")</f>
        <v/>
      </c>
      <c r="G722" s="3" t="str">
        <f>IF(AND(Programme_Grunddaten!$A727="Geprüft",Programme_Grunddaten!S727&lt;&gt;""),Programme_Grunddaten!S727,"")</f>
        <v/>
      </c>
      <c r="H722" t="str">
        <f>IF(AND(Programme_Grunddaten!$A727="Geprüft",Programme_Grunddaten!AW727&lt;&gt;""),Programme_Grunddaten!AW727,"")</f>
        <v/>
      </c>
      <c r="I722" t="str">
        <f>IF(AND(Programme_Grunddaten!$A727="Geprüft",Programme_Grunddaten!AX727&lt;&gt;""),Programme_Grunddaten!AX727,"")</f>
        <v/>
      </c>
    </row>
    <row r="723" spans="1:9" x14ac:dyDescent="0.3">
      <c r="A723" s="1" t="str">
        <f>IF(AND(Programme_Grunddaten!$A728="Geprüft",Programme_Grunddaten!B728&lt;&gt;""),Programme_Grunddaten!B728,"")</f>
        <v/>
      </c>
      <c r="B723" s="1" t="str">
        <f>IF(AND(Programme_Grunddaten!$A728="Geprüft",Programme_Grunddaten!C728&lt;&gt;""),Programme_Grunddaten!C728,"")</f>
        <v/>
      </c>
      <c r="C723" s="1" t="str">
        <f>IF(AND(Programme_Grunddaten!$A728="Geprüft",Programme_Grunddaten!D728&lt;&gt;""),Programme_Grunddaten!D728,"")</f>
        <v/>
      </c>
      <c r="D723" s="2" t="str">
        <f>IF(AND(Programme_Grunddaten!$A728="Geprüft",Programme_Grunddaten!E728&lt;&gt;""),Programme_Grunddaten!E728,"")</f>
        <v/>
      </c>
      <c r="E723" t="str">
        <f>IF(AND(Programme_Grunddaten!$A728="Geprüft",Programme_Grunddaten!G728&lt;&gt;""),Programme_Grunddaten!G728,"")</f>
        <v/>
      </c>
      <c r="F723" t="str">
        <f>IF(AND(Programme_Grunddaten!$A728="Geprüft",Programme_Grunddaten!F728&lt;&gt;""),Programme_Grunddaten!F728,"")</f>
        <v/>
      </c>
      <c r="G723" s="3" t="str">
        <f>IF(AND(Programme_Grunddaten!$A728="Geprüft",Programme_Grunddaten!S728&lt;&gt;""),Programme_Grunddaten!S728,"")</f>
        <v/>
      </c>
      <c r="H723" t="str">
        <f>IF(AND(Programme_Grunddaten!$A728="Geprüft",Programme_Grunddaten!AW728&lt;&gt;""),Programme_Grunddaten!AW728,"")</f>
        <v/>
      </c>
      <c r="I723" t="str">
        <f>IF(AND(Programme_Grunddaten!$A728="Geprüft",Programme_Grunddaten!AX728&lt;&gt;""),Programme_Grunddaten!AX728,"")</f>
        <v/>
      </c>
    </row>
    <row r="724" spans="1:9" x14ac:dyDescent="0.3">
      <c r="A724" s="1" t="str">
        <f>IF(AND(Programme_Grunddaten!$A729="Geprüft",Programme_Grunddaten!B729&lt;&gt;""),Programme_Grunddaten!B729,"")</f>
        <v/>
      </c>
      <c r="B724" s="1" t="str">
        <f>IF(AND(Programme_Grunddaten!$A729="Geprüft",Programme_Grunddaten!C729&lt;&gt;""),Programme_Grunddaten!C729,"")</f>
        <v/>
      </c>
      <c r="C724" s="1" t="str">
        <f>IF(AND(Programme_Grunddaten!$A729="Geprüft",Programme_Grunddaten!D729&lt;&gt;""),Programme_Grunddaten!D729,"")</f>
        <v/>
      </c>
      <c r="D724" s="2" t="str">
        <f>IF(AND(Programme_Grunddaten!$A729="Geprüft",Programme_Grunddaten!E729&lt;&gt;""),Programme_Grunddaten!E729,"")</f>
        <v/>
      </c>
      <c r="E724" t="str">
        <f>IF(AND(Programme_Grunddaten!$A729="Geprüft",Programme_Grunddaten!G729&lt;&gt;""),Programme_Grunddaten!G729,"")</f>
        <v/>
      </c>
      <c r="F724" t="str">
        <f>IF(AND(Programme_Grunddaten!$A729="Geprüft",Programme_Grunddaten!F729&lt;&gt;""),Programme_Grunddaten!F729,"")</f>
        <v/>
      </c>
      <c r="G724" s="3" t="str">
        <f>IF(AND(Programme_Grunddaten!$A729="Geprüft",Programme_Grunddaten!S729&lt;&gt;""),Programme_Grunddaten!S729,"")</f>
        <v/>
      </c>
      <c r="H724" t="str">
        <f>IF(AND(Programme_Grunddaten!$A729="Geprüft",Programme_Grunddaten!AW729&lt;&gt;""),Programme_Grunddaten!AW729,"")</f>
        <v/>
      </c>
      <c r="I724" t="str">
        <f>IF(AND(Programme_Grunddaten!$A729="Geprüft",Programme_Grunddaten!AX729&lt;&gt;""),Programme_Grunddaten!AX729,"")</f>
        <v/>
      </c>
    </row>
    <row r="725" spans="1:9" x14ac:dyDescent="0.3">
      <c r="A725" s="1" t="str">
        <f>IF(AND(Programme_Grunddaten!$A730="Geprüft",Programme_Grunddaten!B730&lt;&gt;""),Programme_Grunddaten!B730,"")</f>
        <v/>
      </c>
      <c r="B725" s="1" t="str">
        <f>IF(AND(Programme_Grunddaten!$A730="Geprüft",Programme_Grunddaten!C730&lt;&gt;""),Programme_Grunddaten!C730,"")</f>
        <v/>
      </c>
      <c r="C725" s="1" t="str">
        <f>IF(AND(Programme_Grunddaten!$A730="Geprüft",Programme_Grunddaten!D730&lt;&gt;""),Programme_Grunddaten!D730,"")</f>
        <v/>
      </c>
      <c r="D725" s="2" t="str">
        <f>IF(AND(Programme_Grunddaten!$A730="Geprüft",Programme_Grunddaten!E730&lt;&gt;""),Programme_Grunddaten!E730,"")</f>
        <v/>
      </c>
      <c r="E725" t="str">
        <f>IF(AND(Programme_Grunddaten!$A730="Geprüft",Programme_Grunddaten!G730&lt;&gt;""),Programme_Grunddaten!G730,"")</f>
        <v/>
      </c>
      <c r="F725" t="str">
        <f>IF(AND(Programme_Grunddaten!$A730="Geprüft",Programme_Grunddaten!F730&lt;&gt;""),Programme_Grunddaten!F730,"")</f>
        <v/>
      </c>
      <c r="G725" s="3" t="str">
        <f>IF(AND(Programme_Grunddaten!$A730="Geprüft",Programme_Grunddaten!S730&lt;&gt;""),Programme_Grunddaten!S730,"")</f>
        <v/>
      </c>
      <c r="H725" t="str">
        <f>IF(AND(Programme_Grunddaten!$A730="Geprüft",Programme_Grunddaten!AW730&lt;&gt;""),Programme_Grunddaten!AW730,"")</f>
        <v/>
      </c>
      <c r="I725" t="str">
        <f>IF(AND(Programme_Grunddaten!$A730="Geprüft",Programme_Grunddaten!AX730&lt;&gt;""),Programme_Grunddaten!AX730,"")</f>
        <v/>
      </c>
    </row>
    <row r="726" spans="1:9" x14ac:dyDescent="0.3">
      <c r="A726" s="1" t="str">
        <f>IF(AND(Programme_Grunddaten!$A731="Geprüft",Programme_Grunddaten!B731&lt;&gt;""),Programme_Grunddaten!B731,"")</f>
        <v/>
      </c>
      <c r="B726" s="1" t="str">
        <f>IF(AND(Programme_Grunddaten!$A731="Geprüft",Programme_Grunddaten!C731&lt;&gt;""),Programme_Grunddaten!C731,"")</f>
        <v/>
      </c>
      <c r="C726" s="1" t="str">
        <f>IF(AND(Programme_Grunddaten!$A731="Geprüft",Programme_Grunddaten!D731&lt;&gt;""),Programme_Grunddaten!D731,"")</f>
        <v/>
      </c>
      <c r="D726" s="2" t="str">
        <f>IF(AND(Programme_Grunddaten!$A731="Geprüft",Programme_Grunddaten!E731&lt;&gt;""),Programme_Grunddaten!E731,"")</f>
        <v/>
      </c>
      <c r="E726" t="str">
        <f>IF(AND(Programme_Grunddaten!$A731="Geprüft",Programme_Grunddaten!G731&lt;&gt;""),Programme_Grunddaten!G731,"")</f>
        <v/>
      </c>
      <c r="F726" t="str">
        <f>IF(AND(Programme_Grunddaten!$A731="Geprüft",Programme_Grunddaten!F731&lt;&gt;""),Programme_Grunddaten!F731,"")</f>
        <v/>
      </c>
      <c r="G726" s="3" t="str">
        <f>IF(AND(Programme_Grunddaten!$A731="Geprüft",Programme_Grunddaten!S731&lt;&gt;""),Programme_Grunddaten!S731,"")</f>
        <v/>
      </c>
      <c r="H726" t="str">
        <f>IF(AND(Programme_Grunddaten!$A731="Geprüft",Programme_Grunddaten!AW731&lt;&gt;""),Programme_Grunddaten!AW731,"")</f>
        <v/>
      </c>
      <c r="I726" t="str">
        <f>IF(AND(Programme_Grunddaten!$A731="Geprüft",Programme_Grunddaten!AX731&lt;&gt;""),Programme_Grunddaten!AX731,"")</f>
        <v/>
      </c>
    </row>
    <row r="727" spans="1:9" x14ac:dyDescent="0.3">
      <c r="A727" s="1" t="str">
        <f>IF(AND(Programme_Grunddaten!$A732="Geprüft",Programme_Grunddaten!B732&lt;&gt;""),Programme_Grunddaten!B732,"")</f>
        <v/>
      </c>
      <c r="B727" s="1" t="str">
        <f>IF(AND(Programme_Grunddaten!$A732="Geprüft",Programme_Grunddaten!C732&lt;&gt;""),Programme_Grunddaten!C732,"")</f>
        <v/>
      </c>
      <c r="C727" s="1" t="str">
        <f>IF(AND(Programme_Grunddaten!$A732="Geprüft",Programme_Grunddaten!D732&lt;&gt;""),Programme_Grunddaten!D732,"")</f>
        <v/>
      </c>
      <c r="D727" s="2" t="str">
        <f>IF(AND(Programme_Grunddaten!$A732="Geprüft",Programme_Grunddaten!E732&lt;&gt;""),Programme_Grunddaten!E732,"")</f>
        <v/>
      </c>
      <c r="E727" t="str">
        <f>IF(AND(Programme_Grunddaten!$A732="Geprüft",Programme_Grunddaten!G732&lt;&gt;""),Programme_Grunddaten!G732,"")</f>
        <v/>
      </c>
      <c r="F727" t="str">
        <f>IF(AND(Programme_Grunddaten!$A732="Geprüft",Programme_Grunddaten!F732&lt;&gt;""),Programme_Grunddaten!F732,"")</f>
        <v/>
      </c>
      <c r="G727" s="3" t="str">
        <f>IF(AND(Programme_Grunddaten!$A732="Geprüft",Programme_Grunddaten!S732&lt;&gt;""),Programme_Grunddaten!S732,"")</f>
        <v/>
      </c>
      <c r="H727" t="str">
        <f>IF(AND(Programme_Grunddaten!$A732="Geprüft",Programme_Grunddaten!AW732&lt;&gt;""),Programme_Grunddaten!AW732,"")</f>
        <v/>
      </c>
      <c r="I727" t="str">
        <f>IF(AND(Programme_Grunddaten!$A732="Geprüft",Programme_Grunddaten!AX732&lt;&gt;""),Programme_Grunddaten!AX732,"")</f>
        <v/>
      </c>
    </row>
    <row r="728" spans="1:9" x14ac:dyDescent="0.3">
      <c r="A728" s="1" t="str">
        <f>IF(AND(Programme_Grunddaten!$A733="Geprüft",Programme_Grunddaten!B733&lt;&gt;""),Programme_Grunddaten!B733,"")</f>
        <v/>
      </c>
      <c r="B728" s="1" t="str">
        <f>IF(AND(Programme_Grunddaten!$A733="Geprüft",Programme_Grunddaten!C733&lt;&gt;""),Programme_Grunddaten!C733,"")</f>
        <v/>
      </c>
      <c r="C728" s="1" t="str">
        <f>IF(AND(Programme_Grunddaten!$A733="Geprüft",Programme_Grunddaten!D733&lt;&gt;""),Programme_Grunddaten!D733,"")</f>
        <v/>
      </c>
      <c r="D728" s="2" t="str">
        <f>IF(AND(Programme_Grunddaten!$A733="Geprüft",Programme_Grunddaten!E733&lt;&gt;""),Programme_Grunddaten!E733,"")</f>
        <v/>
      </c>
      <c r="E728" t="str">
        <f>IF(AND(Programme_Grunddaten!$A733="Geprüft",Programme_Grunddaten!G733&lt;&gt;""),Programme_Grunddaten!G733,"")</f>
        <v/>
      </c>
      <c r="F728" t="str">
        <f>IF(AND(Programme_Grunddaten!$A733="Geprüft",Programme_Grunddaten!F733&lt;&gt;""),Programme_Grunddaten!F733,"")</f>
        <v/>
      </c>
      <c r="G728" s="3" t="str">
        <f>IF(AND(Programme_Grunddaten!$A733="Geprüft",Programme_Grunddaten!S733&lt;&gt;""),Programme_Grunddaten!S733,"")</f>
        <v/>
      </c>
      <c r="H728" t="str">
        <f>IF(AND(Programme_Grunddaten!$A733="Geprüft",Programme_Grunddaten!AW733&lt;&gt;""),Programme_Grunddaten!AW733,"")</f>
        <v/>
      </c>
      <c r="I728" t="str">
        <f>IF(AND(Programme_Grunddaten!$A733="Geprüft",Programme_Grunddaten!AX733&lt;&gt;""),Programme_Grunddaten!AX733,"")</f>
        <v/>
      </c>
    </row>
    <row r="729" spans="1:9" x14ac:dyDescent="0.3">
      <c r="A729" s="1" t="str">
        <f>IF(AND(Programme_Grunddaten!$A734="Geprüft",Programme_Grunddaten!B734&lt;&gt;""),Programme_Grunddaten!B734,"")</f>
        <v/>
      </c>
      <c r="B729" s="1" t="str">
        <f>IF(AND(Programme_Grunddaten!$A734="Geprüft",Programme_Grunddaten!C734&lt;&gt;""),Programme_Grunddaten!C734,"")</f>
        <v/>
      </c>
      <c r="C729" s="1" t="str">
        <f>IF(AND(Programme_Grunddaten!$A734="Geprüft",Programme_Grunddaten!D734&lt;&gt;""),Programme_Grunddaten!D734,"")</f>
        <v/>
      </c>
      <c r="D729" s="2" t="str">
        <f>IF(AND(Programme_Grunddaten!$A734="Geprüft",Programme_Grunddaten!E734&lt;&gt;""),Programme_Grunddaten!E734,"")</f>
        <v/>
      </c>
      <c r="E729" t="str">
        <f>IF(AND(Programme_Grunddaten!$A734="Geprüft",Programme_Grunddaten!G734&lt;&gt;""),Programme_Grunddaten!G734,"")</f>
        <v/>
      </c>
      <c r="F729" t="str">
        <f>IF(AND(Programme_Grunddaten!$A734="Geprüft",Programme_Grunddaten!F734&lt;&gt;""),Programme_Grunddaten!F734,"")</f>
        <v/>
      </c>
      <c r="G729" s="3" t="str">
        <f>IF(AND(Programme_Grunddaten!$A734="Geprüft",Programme_Grunddaten!S734&lt;&gt;""),Programme_Grunddaten!S734,"")</f>
        <v/>
      </c>
      <c r="H729" t="str">
        <f>IF(AND(Programme_Grunddaten!$A734="Geprüft",Programme_Grunddaten!AW734&lt;&gt;""),Programme_Grunddaten!AW734,"")</f>
        <v/>
      </c>
      <c r="I729" t="str">
        <f>IF(AND(Programme_Grunddaten!$A734="Geprüft",Programme_Grunddaten!AX734&lt;&gt;""),Programme_Grunddaten!AX734,"")</f>
        <v/>
      </c>
    </row>
    <row r="730" spans="1:9" x14ac:dyDescent="0.3">
      <c r="A730" s="1" t="str">
        <f>IF(AND(Programme_Grunddaten!$A735="Geprüft",Programme_Grunddaten!B735&lt;&gt;""),Programme_Grunddaten!B735,"")</f>
        <v/>
      </c>
      <c r="B730" s="1" t="str">
        <f>IF(AND(Programme_Grunddaten!$A735="Geprüft",Programme_Grunddaten!C735&lt;&gt;""),Programme_Grunddaten!C735,"")</f>
        <v/>
      </c>
      <c r="C730" s="1" t="str">
        <f>IF(AND(Programme_Grunddaten!$A735="Geprüft",Programme_Grunddaten!D735&lt;&gt;""),Programme_Grunddaten!D735,"")</f>
        <v/>
      </c>
      <c r="D730" s="2" t="str">
        <f>IF(AND(Programme_Grunddaten!$A735="Geprüft",Programme_Grunddaten!E735&lt;&gt;""),Programme_Grunddaten!E735,"")</f>
        <v/>
      </c>
      <c r="E730" t="str">
        <f>IF(AND(Programme_Grunddaten!$A735="Geprüft",Programme_Grunddaten!G735&lt;&gt;""),Programme_Grunddaten!G735,"")</f>
        <v/>
      </c>
      <c r="F730" t="str">
        <f>IF(AND(Programme_Grunddaten!$A735="Geprüft",Programme_Grunddaten!F735&lt;&gt;""),Programme_Grunddaten!F735,"")</f>
        <v/>
      </c>
      <c r="G730" s="3" t="str">
        <f>IF(AND(Programme_Grunddaten!$A735="Geprüft",Programme_Grunddaten!S735&lt;&gt;""),Programme_Grunddaten!S735,"")</f>
        <v/>
      </c>
      <c r="H730" t="str">
        <f>IF(AND(Programme_Grunddaten!$A735="Geprüft",Programme_Grunddaten!AW735&lt;&gt;""),Programme_Grunddaten!AW735,"")</f>
        <v/>
      </c>
      <c r="I730" t="str">
        <f>IF(AND(Programme_Grunddaten!$A735="Geprüft",Programme_Grunddaten!AX735&lt;&gt;""),Programme_Grunddaten!AX735,"")</f>
        <v/>
      </c>
    </row>
    <row r="731" spans="1:9" x14ac:dyDescent="0.3">
      <c r="A731" s="1" t="str">
        <f>IF(AND(Programme_Grunddaten!$A736="Geprüft",Programme_Grunddaten!B736&lt;&gt;""),Programme_Grunddaten!B736,"")</f>
        <v/>
      </c>
      <c r="B731" s="1" t="str">
        <f>IF(AND(Programme_Grunddaten!$A736="Geprüft",Programme_Grunddaten!C736&lt;&gt;""),Programme_Grunddaten!C736,"")</f>
        <v/>
      </c>
      <c r="C731" s="1" t="str">
        <f>IF(AND(Programme_Grunddaten!$A736="Geprüft",Programme_Grunddaten!D736&lt;&gt;""),Programme_Grunddaten!D736,"")</f>
        <v/>
      </c>
      <c r="D731" s="2" t="str">
        <f>IF(AND(Programme_Grunddaten!$A736="Geprüft",Programme_Grunddaten!E736&lt;&gt;""),Programme_Grunddaten!E736,"")</f>
        <v/>
      </c>
      <c r="E731" t="str">
        <f>IF(AND(Programme_Grunddaten!$A736="Geprüft",Programme_Grunddaten!G736&lt;&gt;""),Programme_Grunddaten!G736,"")</f>
        <v/>
      </c>
      <c r="F731" t="str">
        <f>IF(AND(Programme_Grunddaten!$A736="Geprüft",Programme_Grunddaten!F736&lt;&gt;""),Programme_Grunddaten!F736,"")</f>
        <v/>
      </c>
      <c r="G731" s="3" t="str">
        <f>IF(AND(Programme_Grunddaten!$A736="Geprüft",Programme_Grunddaten!S736&lt;&gt;""),Programme_Grunddaten!S736,"")</f>
        <v/>
      </c>
      <c r="H731" t="str">
        <f>IF(AND(Programme_Grunddaten!$A736="Geprüft",Programme_Grunddaten!AW736&lt;&gt;""),Programme_Grunddaten!AW736,"")</f>
        <v/>
      </c>
      <c r="I731" t="str">
        <f>IF(AND(Programme_Grunddaten!$A736="Geprüft",Programme_Grunddaten!AX736&lt;&gt;""),Programme_Grunddaten!AX736,"")</f>
        <v/>
      </c>
    </row>
    <row r="732" spans="1:9" x14ac:dyDescent="0.3">
      <c r="A732" s="1" t="str">
        <f>IF(AND(Programme_Grunddaten!$A737="Geprüft",Programme_Grunddaten!B737&lt;&gt;""),Programme_Grunddaten!B737,"")</f>
        <v/>
      </c>
      <c r="B732" s="1" t="str">
        <f>IF(AND(Programme_Grunddaten!$A737="Geprüft",Programme_Grunddaten!C737&lt;&gt;""),Programme_Grunddaten!C737,"")</f>
        <v/>
      </c>
      <c r="C732" s="1" t="str">
        <f>IF(AND(Programme_Grunddaten!$A737="Geprüft",Programme_Grunddaten!D737&lt;&gt;""),Programme_Grunddaten!D737,"")</f>
        <v/>
      </c>
      <c r="D732" s="2" t="str">
        <f>IF(AND(Programme_Grunddaten!$A737="Geprüft",Programme_Grunddaten!E737&lt;&gt;""),Programme_Grunddaten!E737,"")</f>
        <v/>
      </c>
      <c r="E732" t="str">
        <f>IF(AND(Programme_Grunddaten!$A737="Geprüft",Programme_Grunddaten!G737&lt;&gt;""),Programme_Grunddaten!G737,"")</f>
        <v/>
      </c>
      <c r="F732" t="str">
        <f>IF(AND(Programme_Grunddaten!$A737="Geprüft",Programme_Grunddaten!F737&lt;&gt;""),Programme_Grunddaten!F737,"")</f>
        <v/>
      </c>
      <c r="G732" s="3" t="str">
        <f>IF(AND(Programme_Grunddaten!$A737="Geprüft",Programme_Grunddaten!S737&lt;&gt;""),Programme_Grunddaten!S737,"")</f>
        <v/>
      </c>
      <c r="H732" t="str">
        <f>IF(AND(Programme_Grunddaten!$A737="Geprüft",Programme_Grunddaten!AW737&lt;&gt;""),Programme_Grunddaten!AW737,"")</f>
        <v/>
      </c>
      <c r="I732" t="str">
        <f>IF(AND(Programme_Grunddaten!$A737="Geprüft",Programme_Grunddaten!AX737&lt;&gt;""),Programme_Grunddaten!AX737,"")</f>
        <v/>
      </c>
    </row>
    <row r="733" spans="1:9" x14ac:dyDescent="0.3">
      <c r="A733" s="1" t="str">
        <f>IF(AND(Programme_Grunddaten!$A738="Geprüft",Programme_Grunddaten!B738&lt;&gt;""),Programme_Grunddaten!B738,"")</f>
        <v/>
      </c>
      <c r="B733" s="1" t="str">
        <f>IF(AND(Programme_Grunddaten!$A738="Geprüft",Programme_Grunddaten!C738&lt;&gt;""),Programme_Grunddaten!C738,"")</f>
        <v/>
      </c>
      <c r="C733" s="1" t="str">
        <f>IF(AND(Programme_Grunddaten!$A738="Geprüft",Programme_Grunddaten!D738&lt;&gt;""),Programme_Grunddaten!D738,"")</f>
        <v/>
      </c>
      <c r="D733" s="2" t="str">
        <f>IF(AND(Programme_Grunddaten!$A738="Geprüft",Programme_Grunddaten!E738&lt;&gt;""),Programme_Grunddaten!E738,"")</f>
        <v/>
      </c>
      <c r="E733" t="str">
        <f>IF(AND(Programme_Grunddaten!$A738="Geprüft",Programme_Grunddaten!G738&lt;&gt;""),Programme_Grunddaten!G738,"")</f>
        <v/>
      </c>
      <c r="F733" t="str">
        <f>IF(AND(Programme_Grunddaten!$A738="Geprüft",Programme_Grunddaten!F738&lt;&gt;""),Programme_Grunddaten!F738,"")</f>
        <v/>
      </c>
      <c r="G733" s="3" t="str">
        <f>IF(AND(Programme_Grunddaten!$A738="Geprüft",Programme_Grunddaten!S738&lt;&gt;""),Programme_Grunddaten!S738,"")</f>
        <v/>
      </c>
      <c r="H733" t="str">
        <f>IF(AND(Programme_Grunddaten!$A738="Geprüft",Programme_Grunddaten!AW738&lt;&gt;""),Programme_Grunddaten!AW738,"")</f>
        <v/>
      </c>
      <c r="I733" t="str">
        <f>IF(AND(Programme_Grunddaten!$A738="Geprüft",Programme_Grunddaten!AX738&lt;&gt;""),Programme_Grunddaten!AX738,"")</f>
        <v/>
      </c>
    </row>
    <row r="734" spans="1:9" x14ac:dyDescent="0.3">
      <c r="A734" s="1" t="str">
        <f>IF(AND(Programme_Grunddaten!$A739="Geprüft",Programme_Grunddaten!B739&lt;&gt;""),Programme_Grunddaten!B739,"")</f>
        <v/>
      </c>
      <c r="B734" s="1" t="str">
        <f>IF(AND(Programme_Grunddaten!$A739="Geprüft",Programme_Grunddaten!C739&lt;&gt;""),Programme_Grunddaten!C739,"")</f>
        <v/>
      </c>
      <c r="C734" s="1" t="str">
        <f>IF(AND(Programme_Grunddaten!$A739="Geprüft",Programme_Grunddaten!D739&lt;&gt;""),Programme_Grunddaten!D739,"")</f>
        <v/>
      </c>
      <c r="D734" s="2" t="str">
        <f>IF(AND(Programme_Grunddaten!$A739="Geprüft",Programme_Grunddaten!E739&lt;&gt;""),Programme_Grunddaten!E739,"")</f>
        <v/>
      </c>
      <c r="E734" t="str">
        <f>IF(AND(Programme_Grunddaten!$A739="Geprüft",Programme_Grunddaten!G739&lt;&gt;""),Programme_Grunddaten!G739,"")</f>
        <v/>
      </c>
      <c r="F734" t="str">
        <f>IF(AND(Programme_Grunddaten!$A739="Geprüft",Programme_Grunddaten!F739&lt;&gt;""),Programme_Grunddaten!F739,"")</f>
        <v/>
      </c>
      <c r="G734" s="3" t="str">
        <f>IF(AND(Programme_Grunddaten!$A739="Geprüft",Programme_Grunddaten!S739&lt;&gt;""),Programme_Grunddaten!S739,"")</f>
        <v/>
      </c>
      <c r="H734" t="str">
        <f>IF(AND(Programme_Grunddaten!$A739="Geprüft",Programme_Grunddaten!AW739&lt;&gt;""),Programme_Grunddaten!AW739,"")</f>
        <v/>
      </c>
      <c r="I734" t="str">
        <f>IF(AND(Programme_Grunddaten!$A739="Geprüft",Programme_Grunddaten!AX739&lt;&gt;""),Programme_Grunddaten!AX739,"")</f>
        <v/>
      </c>
    </row>
    <row r="735" spans="1:9" x14ac:dyDescent="0.3">
      <c r="A735" s="1" t="str">
        <f>IF(AND(Programme_Grunddaten!$A740="Geprüft",Programme_Grunddaten!B740&lt;&gt;""),Programme_Grunddaten!B740,"")</f>
        <v/>
      </c>
      <c r="B735" s="1" t="str">
        <f>IF(AND(Programme_Grunddaten!$A740="Geprüft",Programme_Grunddaten!C740&lt;&gt;""),Programme_Grunddaten!C740,"")</f>
        <v/>
      </c>
      <c r="C735" s="1" t="str">
        <f>IF(AND(Programme_Grunddaten!$A740="Geprüft",Programme_Grunddaten!D740&lt;&gt;""),Programme_Grunddaten!D740,"")</f>
        <v/>
      </c>
      <c r="D735" s="2" t="str">
        <f>IF(AND(Programme_Grunddaten!$A740="Geprüft",Programme_Grunddaten!E740&lt;&gt;""),Programme_Grunddaten!E740,"")</f>
        <v/>
      </c>
      <c r="E735" t="str">
        <f>IF(AND(Programme_Grunddaten!$A740="Geprüft",Programme_Grunddaten!G740&lt;&gt;""),Programme_Grunddaten!G740,"")</f>
        <v/>
      </c>
      <c r="F735" t="str">
        <f>IF(AND(Programme_Grunddaten!$A740="Geprüft",Programme_Grunddaten!F740&lt;&gt;""),Programme_Grunddaten!F740,"")</f>
        <v/>
      </c>
      <c r="G735" s="3" t="str">
        <f>IF(AND(Programme_Grunddaten!$A740="Geprüft",Programme_Grunddaten!S740&lt;&gt;""),Programme_Grunddaten!S740,"")</f>
        <v/>
      </c>
      <c r="H735" t="str">
        <f>IF(AND(Programme_Grunddaten!$A740="Geprüft",Programme_Grunddaten!AW740&lt;&gt;""),Programme_Grunddaten!AW740,"")</f>
        <v/>
      </c>
      <c r="I735" t="str">
        <f>IF(AND(Programme_Grunddaten!$A740="Geprüft",Programme_Grunddaten!AX740&lt;&gt;""),Programme_Grunddaten!AX740,"")</f>
        <v/>
      </c>
    </row>
    <row r="736" spans="1:9" x14ac:dyDescent="0.3">
      <c r="A736" s="1" t="str">
        <f>IF(AND(Programme_Grunddaten!$A741="Geprüft",Programme_Grunddaten!B741&lt;&gt;""),Programme_Grunddaten!B741,"")</f>
        <v/>
      </c>
      <c r="B736" s="1" t="str">
        <f>IF(AND(Programme_Grunddaten!$A741="Geprüft",Programme_Grunddaten!C741&lt;&gt;""),Programme_Grunddaten!C741,"")</f>
        <v/>
      </c>
      <c r="C736" s="1" t="str">
        <f>IF(AND(Programme_Grunddaten!$A741="Geprüft",Programme_Grunddaten!D741&lt;&gt;""),Programme_Grunddaten!D741,"")</f>
        <v/>
      </c>
      <c r="D736" s="2" t="str">
        <f>IF(AND(Programme_Grunddaten!$A741="Geprüft",Programme_Grunddaten!E741&lt;&gt;""),Programme_Grunddaten!E741,"")</f>
        <v/>
      </c>
      <c r="E736" t="str">
        <f>IF(AND(Programme_Grunddaten!$A741="Geprüft",Programme_Grunddaten!G741&lt;&gt;""),Programme_Grunddaten!G741,"")</f>
        <v/>
      </c>
      <c r="F736" t="str">
        <f>IF(AND(Programme_Grunddaten!$A741="Geprüft",Programme_Grunddaten!F741&lt;&gt;""),Programme_Grunddaten!F741,"")</f>
        <v/>
      </c>
      <c r="G736" s="3" t="str">
        <f>IF(AND(Programme_Grunddaten!$A741="Geprüft",Programme_Grunddaten!S741&lt;&gt;""),Programme_Grunddaten!S741,"")</f>
        <v/>
      </c>
      <c r="H736" t="str">
        <f>IF(AND(Programme_Grunddaten!$A741="Geprüft",Programme_Grunddaten!AW741&lt;&gt;""),Programme_Grunddaten!AW741,"")</f>
        <v/>
      </c>
      <c r="I736" t="str">
        <f>IF(AND(Programme_Grunddaten!$A741="Geprüft",Programme_Grunddaten!AX741&lt;&gt;""),Programme_Grunddaten!AX741,"")</f>
        <v/>
      </c>
    </row>
    <row r="737" spans="1:9" x14ac:dyDescent="0.3">
      <c r="A737" s="1" t="str">
        <f>IF(AND(Programme_Grunddaten!$A742="Geprüft",Programme_Grunddaten!B742&lt;&gt;""),Programme_Grunddaten!B742,"")</f>
        <v/>
      </c>
      <c r="B737" s="1" t="str">
        <f>IF(AND(Programme_Grunddaten!$A742="Geprüft",Programme_Grunddaten!C742&lt;&gt;""),Programme_Grunddaten!C742,"")</f>
        <v/>
      </c>
      <c r="C737" s="1" t="str">
        <f>IF(AND(Programme_Grunddaten!$A742="Geprüft",Programme_Grunddaten!D742&lt;&gt;""),Programme_Grunddaten!D742,"")</f>
        <v/>
      </c>
      <c r="D737" s="2" t="str">
        <f>IF(AND(Programme_Grunddaten!$A742="Geprüft",Programme_Grunddaten!E742&lt;&gt;""),Programme_Grunddaten!E742,"")</f>
        <v/>
      </c>
      <c r="E737" t="str">
        <f>IF(AND(Programme_Grunddaten!$A742="Geprüft",Programme_Grunddaten!G742&lt;&gt;""),Programme_Grunddaten!G742,"")</f>
        <v/>
      </c>
      <c r="F737" t="str">
        <f>IF(AND(Programme_Grunddaten!$A742="Geprüft",Programme_Grunddaten!F742&lt;&gt;""),Programme_Grunddaten!F742,"")</f>
        <v/>
      </c>
      <c r="G737" s="3" t="str">
        <f>IF(AND(Programme_Grunddaten!$A742="Geprüft",Programme_Grunddaten!S742&lt;&gt;""),Programme_Grunddaten!S742,"")</f>
        <v/>
      </c>
      <c r="H737" t="str">
        <f>IF(AND(Programme_Grunddaten!$A742="Geprüft",Programme_Grunddaten!AW742&lt;&gt;""),Programme_Grunddaten!AW742,"")</f>
        <v/>
      </c>
      <c r="I737" t="str">
        <f>IF(AND(Programme_Grunddaten!$A742="Geprüft",Programme_Grunddaten!AX742&lt;&gt;""),Programme_Grunddaten!AX742,"")</f>
        <v/>
      </c>
    </row>
    <row r="738" spans="1:9" x14ac:dyDescent="0.3">
      <c r="A738" s="1" t="str">
        <f>IF(AND(Programme_Grunddaten!$A743="Geprüft",Programme_Grunddaten!B743&lt;&gt;""),Programme_Grunddaten!B743,"")</f>
        <v/>
      </c>
      <c r="B738" s="1" t="str">
        <f>IF(AND(Programme_Grunddaten!$A743="Geprüft",Programme_Grunddaten!C743&lt;&gt;""),Programme_Grunddaten!C743,"")</f>
        <v/>
      </c>
      <c r="C738" s="1" t="str">
        <f>IF(AND(Programme_Grunddaten!$A743="Geprüft",Programme_Grunddaten!D743&lt;&gt;""),Programme_Grunddaten!D743,"")</f>
        <v/>
      </c>
      <c r="D738" s="2" t="str">
        <f>IF(AND(Programme_Grunddaten!$A743="Geprüft",Programme_Grunddaten!E743&lt;&gt;""),Programme_Grunddaten!E743,"")</f>
        <v/>
      </c>
      <c r="E738" t="str">
        <f>IF(AND(Programme_Grunddaten!$A743="Geprüft",Programme_Grunddaten!G743&lt;&gt;""),Programme_Grunddaten!G743,"")</f>
        <v/>
      </c>
      <c r="F738" t="str">
        <f>IF(AND(Programme_Grunddaten!$A743="Geprüft",Programme_Grunddaten!F743&lt;&gt;""),Programme_Grunddaten!F743,"")</f>
        <v/>
      </c>
      <c r="G738" s="3" t="str">
        <f>IF(AND(Programme_Grunddaten!$A743="Geprüft",Programme_Grunddaten!S743&lt;&gt;""),Programme_Grunddaten!S743,"")</f>
        <v/>
      </c>
      <c r="H738" t="str">
        <f>IF(AND(Programme_Grunddaten!$A743="Geprüft",Programme_Grunddaten!AW743&lt;&gt;""),Programme_Grunddaten!AW743,"")</f>
        <v/>
      </c>
      <c r="I738" t="str">
        <f>IF(AND(Programme_Grunddaten!$A743="Geprüft",Programme_Grunddaten!AX743&lt;&gt;""),Programme_Grunddaten!AX743,"")</f>
        <v/>
      </c>
    </row>
    <row r="739" spans="1:9" x14ac:dyDescent="0.3">
      <c r="A739" s="1" t="str">
        <f>IF(AND(Programme_Grunddaten!$A744="Geprüft",Programme_Grunddaten!B744&lt;&gt;""),Programme_Grunddaten!B744,"")</f>
        <v/>
      </c>
      <c r="B739" s="1" t="str">
        <f>IF(AND(Programme_Grunddaten!$A744="Geprüft",Programme_Grunddaten!C744&lt;&gt;""),Programme_Grunddaten!C744,"")</f>
        <v/>
      </c>
      <c r="C739" s="1" t="str">
        <f>IF(AND(Programme_Grunddaten!$A744="Geprüft",Programme_Grunddaten!D744&lt;&gt;""),Programme_Grunddaten!D744,"")</f>
        <v/>
      </c>
      <c r="D739" s="2" t="str">
        <f>IF(AND(Programme_Grunddaten!$A744="Geprüft",Programme_Grunddaten!E744&lt;&gt;""),Programme_Grunddaten!E744,"")</f>
        <v/>
      </c>
      <c r="E739" t="str">
        <f>IF(AND(Programme_Grunddaten!$A744="Geprüft",Programme_Grunddaten!G744&lt;&gt;""),Programme_Grunddaten!G744,"")</f>
        <v/>
      </c>
      <c r="F739" t="str">
        <f>IF(AND(Programme_Grunddaten!$A744="Geprüft",Programme_Grunddaten!F744&lt;&gt;""),Programme_Grunddaten!F744,"")</f>
        <v/>
      </c>
      <c r="G739" s="3" t="str">
        <f>IF(AND(Programme_Grunddaten!$A744="Geprüft",Programme_Grunddaten!S744&lt;&gt;""),Programme_Grunddaten!S744,"")</f>
        <v/>
      </c>
      <c r="H739" t="str">
        <f>IF(AND(Programme_Grunddaten!$A744="Geprüft",Programme_Grunddaten!AW744&lt;&gt;""),Programme_Grunddaten!AW744,"")</f>
        <v/>
      </c>
      <c r="I739" t="str">
        <f>IF(AND(Programme_Grunddaten!$A744="Geprüft",Programme_Grunddaten!AX744&lt;&gt;""),Programme_Grunddaten!AX744,"")</f>
        <v/>
      </c>
    </row>
    <row r="740" spans="1:9" x14ac:dyDescent="0.3">
      <c r="A740" s="1" t="str">
        <f>IF(AND(Programme_Grunddaten!$A745="Geprüft",Programme_Grunddaten!B745&lt;&gt;""),Programme_Grunddaten!B745,"")</f>
        <v/>
      </c>
      <c r="B740" s="1" t="str">
        <f>IF(AND(Programme_Grunddaten!$A745="Geprüft",Programme_Grunddaten!C745&lt;&gt;""),Programme_Grunddaten!C745,"")</f>
        <v/>
      </c>
      <c r="C740" s="1" t="str">
        <f>IF(AND(Programme_Grunddaten!$A745="Geprüft",Programme_Grunddaten!D745&lt;&gt;""),Programme_Grunddaten!D745,"")</f>
        <v/>
      </c>
      <c r="D740" s="2" t="str">
        <f>IF(AND(Programme_Grunddaten!$A745="Geprüft",Programme_Grunddaten!E745&lt;&gt;""),Programme_Grunddaten!E745,"")</f>
        <v/>
      </c>
      <c r="E740" t="str">
        <f>IF(AND(Programme_Grunddaten!$A745="Geprüft",Programme_Grunddaten!G745&lt;&gt;""),Programme_Grunddaten!G745,"")</f>
        <v/>
      </c>
      <c r="F740" t="str">
        <f>IF(AND(Programme_Grunddaten!$A745="Geprüft",Programme_Grunddaten!F745&lt;&gt;""),Programme_Grunddaten!F745,"")</f>
        <v/>
      </c>
      <c r="G740" s="3" t="str">
        <f>IF(AND(Programme_Grunddaten!$A745="Geprüft",Programme_Grunddaten!S745&lt;&gt;""),Programme_Grunddaten!S745,"")</f>
        <v/>
      </c>
      <c r="H740" t="str">
        <f>IF(AND(Programme_Grunddaten!$A745="Geprüft",Programme_Grunddaten!AW745&lt;&gt;""),Programme_Grunddaten!AW745,"")</f>
        <v/>
      </c>
      <c r="I740" t="str">
        <f>IF(AND(Programme_Grunddaten!$A745="Geprüft",Programme_Grunddaten!AX745&lt;&gt;""),Programme_Grunddaten!AX745,"")</f>
        <v/>
      </c>
    </row>
    <row r="741" spans="1:9" x14ac:dyDescent="0.3">
      <c r="A741" s="1" t="str">
        <f>IF(AND(Programme_Grunddaten!$A746="Geprüft",Programme_Grunddaten!B746&lt;&gt;""),Programme_Grunddaten!B746,"")</f>
        <v/>
      </c>
      <c r="B741" s="1" t="str">
        <f>IF(AND(Programme_Grunddaten!$A746="Geprüft",Programme_Grunddaten!C746&lt;&gt;""),Programme_Grunddaten!C746,"")</f>
        <v/>
      </c>
      <c r="C741" s="1" t="str">
        <f>IF(AND(Programme_Grunddaten!$A746="Geprüft",Programme_Grunddaten!D746&lt;&gt;""),Programme_Grunddaten!D746,"")</f>
        <v/>
      </c>
      <c r="D741" s="2" t="str">
        <f>IF(AND(Programme_Grunddaten!$A746="Geprüft",Programme_Grunddaten!E746&lt;&gt;""),Programme_Grunddaten!E746,"")</f>
        <v/>
      </c>
      <c r="E741" t="str">
        <f>IF(AND(Programme_Grunddaten!$A746="Geprüft",Programme_Grunddaten!G746&lt;&gt;""),Programme_Grunddaten!G746,"")</f>
        <v/>
      </c>
      <c r="F741" t="str">
        <f>IF(AND(Programme_Grunddaten!$A746="Geprüft",Programme_Grunddaten!F746&lt;&gt;""),Programme_Grunddaten!F746,"")</f>
        <v/>
      </c>
      <c r="G741" s="3" t="str">
        <f>IF(AND(Programme_Grunddaten!$A746="Geprüft",Programme_Grunddaten!S746&lt;&gt;""),Programme_Grunddaten!S746,"")</f>
        <v/>
      </c>
      <c r="H741" t="str">
        <f>IF(AND(Programme_Grunddaten!$A746="Geprüft",Programme_Grunddaten!AW746&lt;&gt;""),Programme_Grunddaten!AW746,"")</f>
        <v/>
      </c>
      <c r="I741" t="str">
        <f>IF(AND(Programme_Grunddaten!$A746="Geprüft",Programme_Grunddaten!AX746&lt;&gt;""),Programme_Grunddaten!AX746,"")</f>
        <v/>
      </c>
    </row>
    <row r="742" spans="1:9" x14ac:dyDescent="0.3">
      <c r="A742" s="1" t="str">
        <f>IF(AND(Programme_Grunddaten!$A747="Geprüft",Programme_Grunddaten!B747&lt;&gt;""),Programme_Grunddaten!B747,"")</f>
        <v/>
      </c>
      <c r="B742" s="1" t="str">
        <f>IF(AND(Programme_Grunddaten!$A747="Geprüft",Programme_Grunddaten!C747&lt;&gt;""),Programme_Grunddaten!C747,"")</f>
        <v/>
      </c>
      <c r="C742" s="1" t="str">
        <f>IF(AND(Programme_Grunddaten!$A747="Geprüft",Programme_Grunddaten!D747&lt;&gt;""),Programme_Grunddaten!D747,"")</f>
        <v/>
      </c>
      <c r="D742" s="2" t="str">
        <f>IF(AND(Programme_Grunddaten!$A747="Geprüft",Programme_Grunddaten!E747&lt;&gt;""),Programme_Grunddaten!E747,"")</f>
        <v/>
      </c>
      <c r="E742" t="str">
        <f>IF(AND(Programme_Grunddaten!$A747="Geprüft",Programme_Grunddaten!G747&lt;&gt;""),Programme_Grunddaten!G747,"")</f>
        <v/>
      </c>
      <c r="F742" t="str">
        <f>IF(AND(Programme_Grunddaten!$A747="Geprüft",Programme_Grunddaten!F747&lt;&gt;""),Programme_Grunddaten!F747,"")</f>
        <v/>
      </c>
      <c r="G742" s="3" t="str">
        <f>IF(AND(Programme_Grunddaten!$A747="Geprüft",Programme_Grunddaten!S747&lt;&gt;""),Programme_Grunddaten!S747,"")</f>
        <v/>
      </c>
      <c r="H742" t="str">
        <f>IF(AND(Programme_Grunddaten!$A747="Geprüft",Programme_Grunddaten!AW747&lt;&gt;""),Programme_Grunddaten!AW747,"")</f>
        <v/>
      </c>
      <c r="I742" t="str">
        <f>IF(AND(Programme_Grunddaten!$A747="Geprüft",Programme_Grunddaten!AX747&lt;&gt;""),Programme_Grunddaten!AX747,"")</f>
        <v/>
      </c>
    </row>
    <row r="743" spans="1:9" x14ac:dyDescent="0.3">
      <c r="A743" s="1" t="str">
        <f>IF(AND(Programme_Grunddaten!$A748="Geprüft",Programme_Grunddaten!B748&lt;&gt;""),Programme_Grunddaten!B748,"")</f>
        <v/>
      </c>
      <c r="B743" s="1" t="str">
        <f>IF(AND(Programme_Grunddaten!$A748="Geprüft",Programme_Grunddaten!C748&lt;&gt;""),Programme_Grunddaten!C748,"")</f>
        <v/>
      </c>
      <c r="C743" s="1" t="str">
        <f>IF(AND(Programme_Grunddaten!$A748="Geprüft",Programme_Grunddaten!D748&lt;&gt;""),Programme_Grunddaten!D748,"")</f>
        <v/>
      </c>
      <c r="D743" s="2" t="str">
        <f>IF(AND(Programme_Grunddaten!$A748="Geprüft",Programme_Grunddaten!E748&lt;&gt;""),Programme_Grunddaten!E748,"")</f>
        <v/>
      </c>
      <c r="E743" t="str">
        <f>IF(AND(Programme_Grunddaten!$A748="Geprüft",Programme_Grunddaten!G748&lt;&gt;""),Programme_Grunddaten!G748,"")</f>
        <v/>
      </c>
      <c r="F743" t="str">
        <f>IF(AND(Programme_Grunddaten!$A748="Geprüft",Programme_Grunddaten!F748&lt;&gt;""),Programme_Grunddaten!F748,"")</f>
        <v/>
      </c>
      <c r="G743" s="3" t="str">
        <f>IF(AND(Programme_Grunddaten!$A748="Geprüft",Programme_Grunddaten!S748&lt;&gt;""),Programme_Grunddaten!S748,"")</f>
        <v/>
      </c>
      <c r="H743" t="str">
        <f>IF(AND(Programme_Grunddaten!$A748="Geprüft",Programme_Grunddaten!AW748&lt;&gt;""),Programme_Grunddaten!AW748,"")</f>
        <v/>
      </c>
      <c r="I743" t="str">
        <f>IF(AND(Programme_Grunddaten!$A748="Geprüft",Programme_Grunddaten!AX748&lt;&gt;""),Programme_Grunddaten!AX748,"")</f>
        <v/>
      </c>
    </row>
    <row r="744" spans="1:9" x14ac:dyDescent="0.3">
      <c r="A744" s="1" t="str">
        <f>IF(AND(Programme_Grunddaten!$A749="Geprüft",Programme_Grunddaten!B749&lt;&gt;""),Programme_Grunddaten!B749,"")</f>
        <v/>
      </c>
      <c r="B744" s="1" t="str">
        <f>IF(AND(Programme_Grunddaten!$A749="Geprüft",Programme_Grunddaten!C749&lt;&gt;""),Programme_Grunddaten!C749,"")</f>
        <v/>
      </c>
      <c r="C744" s="1" t="str">
        <f>IF(AND(Programme_Grunddaten!$A749="Geprüft",Programme_Grunddaten!D749&lt;&gt;""),Programme_Grunddaten!D749,"")</f>
        <v/>
      </c>
      <c r="D744" s="2" t="str">
        <f>IF(AND(Programme_Grunddaten!$A749="Geprüft",Programme_Grunddaten!E749&lt;&gt;""),Programme_Grunddaten!E749,"")</f>
        <v/>
      </c>
      <c r="E744" t="str">
        <f>IF(AND(Programme_Grunddaten!$A749="Geprüft",Programme_Grunddaten!G749&lt;&gt;""),Programme_Grunddaten!G749,"")</f>
        <v/>
      </c>
      <c r="F744" t="str">
        <f>IF(AND(Programme_Grunddaten!$A749="Geprüft",Programme_Grunddaten!F749&lt;&gt;""),Programme_Grunddaten!F749,"")</f>
        <v/>
      </c>
      <c r="G744" s="3" t="str">
        <f>IF(AND(Programme_Grunddaten!$A749="Geprüft",Programme_Grunddaten!S749&lt;&gt;""),Programme_Grunddaten!S749,"")</f>
        <v/>
      </c>
      <c r="H744" t="str">
        <f>IF(AND(Programme_Grunddaten!$A749="Geprüft",Programme_Grunddaten!AW749&lt;&gt;""),Programme_Grunddaten!AW749,"")</f>
        <v/>
      </c>
      <c r="I744" t="str">
        <f>IF(AND(Programme_Grunddaten!$A749="Geprüft",Programme_Grunddaten!AX749&lt;&gt;""),Programme_Grunddaten!AX749,"")</f>
        <v/>
      </c>
    </row>
    <row r="745" spans="1:9" x14ac:dyDescent="0.3">
      <c r="A745" s="1" t="str">
        <f>IF(AND(Programme_Grunddaten!$A750="Geprüft",Programme_Grunddaten!B750&lt;&gt;""),Programme_Grunddaten!B750,"")</f>
        <v/>
      </c>
      <c r="B745" s="1" t="str">
        <f>IF(AND(Programme_Grunddaten!$A750="Geprüft",Programme_Grunddaten!C750&lt;&gt;""),Programme_Grunddaten!C750,"")</f>
        <v/>
      </c>
      <c r="C745" s="1" t="str">
        <f>IF(AND(Programme_Grunddaten!$A750="Geprüft",Programme_Grunddaten!D750&lt;&gt;""),Programme_Grunddaten!D750,"")</f>
        <v/>
      </c>
      <c r="D745" s="2" t="str">
        <f>IF(AND(Programme_Grunddaten!$A750="Geprüft",Programme_Grunddaten!E750&lt;&gt;""),Programme_Grunddaten!E750,"")</f>
        <v/>
      </c>
      <c r="E745" t="str">
        <f>IF(AND(Programme_Grunddaten!$A750="Geprüft",Programme_Grunddaten!G750&lt;&gt;""),Programme_Grunddaten!G750,"")</f>
        <v/>
      </c>
      <c r="F745" t="str">
        <f>IF(AND(Programme_Grunddaten!$A750="Geprüft",Programme_Grunddaten!F750&lt;&gt;""),Programme_Grunddaten!F750,"")</f>
        <v/>
      </c>
      <c r="G745" s="3" t="str">
        <f>IF(AND(Programme_Grunddaten!$A750="Geprüft",Programme_Grunddaten!S750&lt;&gt;""),Programme_Grunddaten!S750,"")</f>
        <v/>
      </c>
      <c r="H745" t="str">
        <f>IF(AND(Programme_Grunddaten!$A750="Geprüft",Programme_Grunddaten!AW750&lt;&gt;""),Programme_Grunddaten!AW750,"")</f>
        <v/>
      </c>
      <c r="I745" t="str">
        <f>IF(AND(Programme_Grunddaten!$A750="Geprüft",Programme_Grunddaten!AX750&lt;&gt;""),Programme_Grunddaten!AX750,"")</f>
        <v/>
      </c>
    </row>
    <row r="746" spans="1:9" x14ac:dyDescent="0.3">
      <c r="A746" s="1" t="str">
        <f>IF(AND(Programme_Grunddaten!$A751="Geprüft",Programme_Grunddaten!B751&lt;&gt;""),Programme_Grunddaten!B751,"")</f>
        <v/>
      </c>
      <c r="B746" s="1" t="str">
        <f>IF(AND(Programme_Grunddaten!$A751="Geprüft",Programme_Grunddaten!C751&lt;&gt;""),Programme_Grunddaten!C751,"")</f>
        <v/>
      </c>
      <c r="C746" s="1" t="str">
        <f>IF(AND(Programme_Grunddaten!$A751="Geprüft",Programme_Grunddaten!D751&lt;&gt;""),Programme_Grunddaten!D751,"")</f>
        <v/>
      </c>
      <c r="D746" s="2" t="str">
        <f>IF(AND(Programme_Grunddaten!$A751="Geprüft",Programme_Grunddaten!E751&lt;&gt;""),Programme_Grunddaten!E751,"")</f>
        <v/>
      </c>
      <c r="E746" t="str">
        <f>IF(AND(Programme_Grunddaten!$A751="Geprüft",Programme_Grunddaten!G751&lt;&gt;""),Programme_Grunddaten!G751,"")</f>
        <v/>
      </c>
      <c r="F746" t="str">
        <f>IF(AND(Programme_Grunddaten!$A751="Geprüft",Programme_Grunddaten!F751&lt;&gt;""),Programme_Grunddaten!F751,"")</f>
        <v/>
      </c>
      <c r="G746" s="3" t="str">
        <f>IF(AND(Programme_Grunddaten!$A751="Geprüft",Programme_Grunddaten!S751&lt;&gt;""),Programme_Grunddaten!S751,"")</f>
        <v/>
      </c>
      <c r="H746" t="str">
        <f>IF(AND(Programme_Grunddaten!$A751="Geprüft",Programme_Grunddaten!AW751&lt;&gt;""),Programme_Grunddaten!AW751,"")</f>
        <v/>
      </c>
      <c r="I746" t="str">
        <f>IF(AND(Programme_Grunddaten!$A751="Geprüft",Programme_Grunddaten!AX751&lt;&gt;""),Programme_Grunddaten!AX751,"")</f>
        <v/>
      </c>
    </row>
    <row r="747" spans="1:9" x14ac:dyDescent="0.3">
      <c r="A747" s="1" t="str">
        <f>IF(AND(Programme_Grunddaten!$A752="Geprüft",Programme_Grunddaten!B752&lt;&gt;""),Programme_Grunddaten!B752,"")</f>
        <v/>
      </c>
      <c r="B747" s="1" t="str">
        <f>IF(AND(Programme_Grunddaten!$A752="Geprüft",Programme_Grunddaten!C752&lt;&gt;""),Programme_Grunddaten!C752,"")</f>
        <v/>
      </c>
      <c r="C747" s="1" t="str">
        <f>IF(AND(Programme_Grunddaten!$A752="Geprüft",Programme_Grunddaten!D752&lt;&gt;""),Programme_Grunddaten!D752,"")</f>
        <v/>
      </c>
      <c r="D747" s="2" t="str">
        <f>IF(AND(Programme_Grunddaten!$A752="Geprüft",Programme_Grunddaten!E752&lt;&gt;""),Programme_Grunddaten!E752,"")</f>
        <v/>
      </c>
      <c r="E747" t="str">
        <f>IF(AND(Programme_Grunddaten!$A752="Geprüft",Programme_Grunddaten!G752&lt;&gt;""),Programme_Grunddaten!G752,"")</f>
        <v/>
      </c>
      <c r="F747" t="str">
        <f>IF(AND(Programme_Grunddaten!$A752="Geprüft",Programme_Grunddaten!F752&lt;&gt;""),Programme_Grunddaten!F752,"")</f>
        <v/>
      </c>
      <c r="G747" s="3" t="str">
        <f>IF(AND(Programme_Grunddaten!$A752="Geprüft",Programme_Grunddaten!S752&lt;&gt;""),Programme_Grunddaten!S752,"")</f>
        <v/>
      </c>
      <c r="H747" t="str">
        <f>IF(AND(Programme_Grunddaten!$A752="Geprüft",Programme_Grunddaten!AW752&lt;&gt;""),Programme_Grunddaten!AW752,"")</f>
        <v/>
      </c>
      <c r="I747" t="str">
        <f>IF(AND(Programme_Grunddaten!$A752="Geprüft",Programme_Grunddaten!AX752&lt;&gt;""),Programme_Grunddaten!AX752,"")</f>
        <v/>
      </c>
    </row>
    <row r="748" spans="1:9" x14ac:dyDescent="0.3">
      <c r="A748" s="1" t="str">
        <f>IF(AND(Programme_Grunddaten!$A753="Geprüft",Programme_Grunddaten!B753&lt;&gt;""),Programme_Grunddaten!B753,"")</f>
        <v/>
      </c>
      <c r="B748" s="1" t="str">
        <f>IF(AND(Programme_Grunddaten!$A753="Geprüft",Programme_Grunddaten!C753&lt;&gt;""),Programme_Grunddaten!C753,"")</f>
        <v/>
      </c>
      <c r="C748" s="1" t="str">
        <f>IF(AND(Programme_Grunddaten!$A753="Geprüft",Programme_Grunddaten!D753&lt;&gt;""),Programme_Grunddaten!D753,"")</f>
        <v/>
      </c>
      <c r="D748" s="2" t="str">
        <f>IF(AND(Programme_Grunddaten!$A753="Geprüft",Programme_Grunddaten!E753&lt;&gt;""),Programme_Grunddaten!E753,"")</f>
        <v/>
      </c>
      <c r="E748" t="str">
        <f>IF(AND(Programme_Grunddaten!$A753="Geprüft",Programme_Grunddaten!G753&lt;&gt;""),Programme_Grunddaten!G753,"")</f>
        <v/>
      </c>
      <c r="F748" t="str">
        <f>IF(AND(Programme_Grunddaten!$A753="Geprüft",Programme_Grunddaten!F753&lt;&gt;""),Programme_Grunddaten!F753,"")</f>
        <v/>
      </c>
      <c r="G748" s="3" t="str">
        <f>IF(AND(Programme_Grunddaten!$A753="Geprüft",Programme_Grunddaten!S753&lt;&gt;""),Programme_Grunddaten!S753,"")</f>
        <v/>
      </c>
      <c r="H748" t="str">
        <f>IF(AND(Programme_Grunddaten!$A753="Geprüft",Programme_Grunddaten!AW753&lt;&gt;""),Programme_Grunddaten!AW753,"")</f>
        <v/>
      </c>
      <c r="I748" t="str">
        <f>IF(AND(Programme_Grunddaten!$A753="Geprüft",Programme_Grunddaten!AX753&lt;&gt;""),Programme_Grunddaten!AX753,"")</f>
        <v/>
      </c>
    </row>
    <row r="749" spans="1:9" x14ac:dyDescent="0.3">
      <c r="A749" s="1" t="str">
        <f>IF(AND(Programme_Grunddaten!$A754="Geprüft",Programme_Grunddaten!B754&lt;&gt;""),Programme_Grunddaten!B754,"")</f>
        <v/>
      </c>
      <c r="B749" s="1" t="str">
        <f>IF(AND(Programme_Grunddaten!$A754="Geprüft",Programme_Grunddaten!C754&lt;&gt;""),Programme_Grunddaten!C754,"")</f>
        <v/>
      </c>
      <c r="C749" s="1" t="str">
        <f>IF(AND(Programme_Grunddaten!$A754="Geprüft",Programme_Grunddaten!D754&lt;&gt;""),Programme_Grunddaten!D754,"")</f>
        <v/>
      </c>
      <c r="D749" s="2" t="str">
        <f>IF(AND(Programme_Grunddaten!$A754="Geprüft",Programme_Grunddaten!E754&lt;&gt;""),Programme_Grunddaten!E754,"")</f>
        <v/>
      </c>
      <c r="E749" t="str">
        <f>IF(AND(Programme_Grunddaten!$A754="Geprüft",Programme_Grunddaten!G754&lt;&gt;""),Programme_Grunddaten!G754,"")</f>
        <v/>
      </c>
      <c r="F749" t="str">
        <f>IF(AND(Programme_Grunddaten!$A754="Geprüft",Programme_Grunddaten!F754&lt;&gt;""),Programme_Grunddaten!F754,"")</f>
        <v/>
      </c>
      <c r="G749" s="3" t="str">
        <f>IF(AND(Programme_Grunddaten!$A754="Geprüft",Programme_Grunddaten!S754&lt;&gt;""),Programme_Grunddaten!S754,"")</f>
        <v/>
      </c>
      <c r="H749" t="str">
        <f>IF(AND(Programme_Grunddaten!$A754="Geprüft",Programme_Grunddaten!AW754&lt;&gt;""),Programme_Grunddaten!AW754,"")</f>
        <v/>
      </c>
      <c r="I749" t="str">
        <f>IF(AND(Programme_Grunddaten!$A754="Geprüft",Programme_Grunddaten!AX754&lt;&gt;""),Programme_Grunddaten!AX754,"")</f>
        <v/>
      </c>
    </row>
    <row r="750" spans="1:9" x14ac:dyDescent="0.3">
      <c r="A750" s="1" t="str">
        <f>IF(AND(Programme_Grunddaten!$A755="Geprüft",Programme_Grunddaten!B755&lt;&gt;""),Programme_Grunddaten!B755,"")</f>
        <v/>
      </c>
      <c r="B750" s="1" t="str">
        <f>IF(AND(Programme_Grunddaten!$A755="Geprüft",Programme_Grunddaten!C755&lt;&gt;""),Programme_Grunddaten!C755,"")</f>
        <v/>
      </c>
      <c r="C750" s="1" t="str">
        <f>IF(AND(Programme_Grunddaten!$A755="Geprüft",Programme_Grunddaten!D755&lt;&gt;""),Programme_Grunddaten!D755,"")</f>
        <v/>
      </c>
      <c r="D750" s="2" t="str">
        <f>IF(AND(Programme_Grunddaten!$A755="Geprüft",Programme_Grunddaten!E755&lt;&gt;""),Programme_Grunddaten!E755,"")</f>
        <v/>
      </c>
      <c r="E750" t="str">
        <f>IF(AND(Programme_Grunddaten!$A755="Geprüft",Programme_Grunddaten!G755&lt;&gt;""),Programme_Grunddaten!G755,"")</f>
        <v/>
      </c>
      <c r="F750" t="str">
        <f>IF(AND(Programme_Grunddaten!$A755="Geprüft",Programme_Grunddaten!F755&lt;&gt;""),Programme_Grunddaten!F755,"")</f>
        <v/>
      </c>
      <c r="G750" s="3" t="str">
        <f>IF(AND(Programme_Grunddaten!$A755="Geprüft",Programme_Grunddaten!S755&lt;&gt;""),Programme_Grunddaten!S755,"")</f>
        <v/>
      </c>
      <c r="H750" t="str">
        <f>IF(AND(Programme_Grunddaten!$A755="Geprüft",Programme_Grunddaten!AW755&lt;&gt;""),Programme_Grunddaten!AW755,"")</f>
        <v/>
      </c>
      <c r="I750" t="str">
        <f>IF(AND(Programme_Grunddaten!$A755="Geprüft",Programme_Grunddaten!AX755&lt;&gt;""),Programme_Grunddaten!AX755,"")</f>
        <v/>
      </c>
    </row>
    <row r="751" spans="1:9" x14ac:dyDescent="0.3">
      <c r="A751" s="1" t="str">
        <f>IF(AND(Programme_Grunddaten!$A756="Geprüft",Programme_Grunddaten!B756&lt;&gt;""),Programme_Grunddaten!B756,"")</f>
        <v/>
      </c>
      <c r="B751" s="1" t="str">
        <f>IF(AND(Programme_Grunddaten!$A756="Geprüft",Programme_Grunddaten!C756&lt;&gt;""),Programme_Grunddaten!C756,"")</f>
        <v/>
      </c>
      <c r="C751" s="1" t="str">
        <f>IF(AND(Programme_Grunddaten!$A756="Geprüft",Programme_Grunddaten!D756&lt;&gt;""),Programme_Grunddaten!D756,"")</f>
        <v/>
      </c>
      <c r="D751" s="2" t="str">
        <f>IF(AND(Programme_Grunddaten!$A756="Geprüft",Programme_Grunddaten!E756&lt;&gt;""),Programme_Grunddaten!E756,"")</f>
        <v/>
      </c>
      <c r="E751" t="str">
        <f>IF(AND(Programme_Grunddaten!$A756="Geprüft",Programme_Grunddaten!G756&lt;&gt;""),Programme_Grunddaten!G756,"")</f>
        <v/>
      </c>
      <c r="F751" t="str">
        <f>IF(AND(Programme_Grunddaten!$A756="Geprüft",Programme_Grunddaten!F756&lt;&gt;""),Programme_Grunddaten!F756,"")</f>
        <v/>
      </c>
      <c r="G751" s="3" t="str">
        <f>IF(AND(Programme_Grunddaten!$A756="Geprüft",Programme_Grunddaten!S756&lt;&gt;""),Programme_Grunddaten!S756,"")</f>
        <v/>
      </c>
      <c r="H751" t="str">
        <f>IF(AND(Programme_Grunddaten!$A756="Geprüft",Programme_Grunddaten!AW756&lt;&gt;""),Programme_Grunddaten!AW756,"")</f>
        <v/>
      </c>
      <c r="I751" t="str">
        <f>IF(AND(Programme_Grunddaten!$A756="Geprüft",Programme_Grunddaten!AX756&lt;&gt;""),Programme_Grunddaten!AX756,"")</f>
        <v/>
      </c>
    </row>
    <row r="752" spans="1:9" x14ac:dyDescent="0.3">
      <c r="A752" s="1" t="str">
        <f>IF(AND(Programme_Grunddaten!$A757="Geprüft",Programme_Grunddaten!B757&lt;&gt;""),Programme_Grunddaten!B757,"")</f>
        <v/>
      </c>
      <c r="B752" s="1" t="str">
        <f>IF(AND(Programme_Grunddaten!$A757="Geprüft",Programme_Grunddaten!C757&lt;&gt;""),Programme_Grunddaten!C757,"")</f>
        <v/>
      </c>
      <c r="C752" s="1" t="str">
        <f>IF(AND(Programme_Grunddaten!$A757="Geprüft",Programme_Grunddaten!D757&lt;&gt;""),Programme_Grunddaten!D757,"")</f>
        <v/>
      </c>
      <c r="D752" s="2" t="str">
        <f>IF(AND(Programme_Grunddaten!$A757="Geprüft",Programme_Grunddaten!E757&lt;&gt;""),Programme_Grunddaten!E757,"")</f>
        <v/>
      </c>
      <c r="E752" t="str">
        <f>IF(AND(Programme_Grunddaten!$A757="Geprüft",Programme_Grunddaten!G757&lt;&gt;""),Programme_Grunddaten!G757,"")</f>
        <v/>
      </c>
      <c r="F752" t="str">
        <f>IF(AND(Programme_Grunddaten!$A757="Geprüft",Programme_Grunddaten!F757&lt;&gt;""),Programme_Grunddaten!F757,"")</f>
        <v/>
      </c>
      <c r="G752" s="3" t="str">
        <f>IF(AND(Programme_Grunddaten!$A757="Geprüft",Programme_Grunddaten!S757&lt;&gt;""),Programme_Grunddaten!S757,"")</f>
        <v/>
      </c>
      <c r="H752" t="str">
        <f>IF(AND(Programme_Grunddaten!$A757="Geprüft",Programme_Grunddaten!AW757&lt;&gt;""),Programme_Grunddaten!AW757,"")</f>
        <v/>
      </c>
      <c r="I752" t="str">
        <f>IF(AND(Programme_Grunddaten!$A757="Geprüft",Programme_Grunddaten!AX757&lt;&gt;""),Programme_Grunddaten!AX757,"")</f>
        <v/>
      </c>
    </row>
    <row r="753" spans="1:9" x14ac:dyDescent="0.3">
      <c r="A753" s="1" t="str">
        <f>IF(AND(Programme_Grunddaten!$A758="Geprüft",Programme_Grunddaten!B758&lt;&gt;""),Programme_Grunddaten!B758,"")</f>
        <v/>
      </c>
      <c r="B753" s="1" t="str">
        <f>IF(AND(Programme_Grunddaten!$A758="Geprüft",Programme_Grunddaten!C758&lt;&gt;""),Programme_Grunddaten!C758,"")</f>
        <v/>
      </c>
      <c r="C753" s="1" t="str">
        <f>IF(AND(Programme_Grunddaten!$A758="Geprüft",Programme_Grunddaten!D758&lt;&gt;""),Programme_Grunddaten!D758,"")</f>
        <v/>
      </c>
      <c r="D753" s="2" t="str">
        <f>IF(AND(Programme_Grunddaten!$A758="Geprüft",Programme_Grunddaten!E758&lt;&gt;""),Programme_Grunddaten!E758,"")</f>
        <v/>
      </c>
      <c r="E753" t="str">
        <f>IF(AND(Programme_Grunddaten!$A758="Geprüft",Programme_Grunddaten!G758&lt;&gt;""),Programme_Grunddaten!G758,"")</f>
        <v/>
      </c>
      <c r="F753" t="str">
        <f>IF(AND(Programme_Grunddaten!$A758="Geprüft",Programme_Grunddaten!F758&lt;&gt;""),Programme_Grunddaten!F758,"")</f>
        <v/>
      </c>
      <c r="G753" s="3" t="str">
        <f>IF(AND(Programme_Grunddaten!$A758="Geprüft",Programme_Grunddaten!S758&lt;&gt;""),Programme_Grunddaten!S758,"")</f>
        <v/>
      </c>
      <c r="H753" t="str">
        <f>IF(AND(Programme_Grunddaten!$A758="Geprüft",Programme_Grunddaten!AW758&lt;&gt;""),Programme_Grunddaten!AW758,"")</f>
        <v/>
      </c>
      <c r="I753" t="str">
        <f>IF(AND(Programme_Grunddaten!$A758="Geprüft",Programme_Grunddaten!AX758&lt;&gt;""),Programme_Grunddaten!AX758,"")</f>
        <v/>
      </c>
    </row>
    <row r="754" spans="1:9" x14ac:dyDescent="0.3">
      <c r="A754" s="1" t="str">
        <f>IF(AND(Programme_Grunddaten!$A759="Geprüft",Programme_Grunddaten!B759&lt;&gt;""),Programme_Grunddaten!B759,"")</f>
        <v/>
      </c>
      <c r="B754" s="1" t="str">
        <f>IF(AND(Programme_Grunddaten!$A759="Geprüft",Programme_Grunddaten!C759&lt;&gt;""),Programme_Grunddaten!C759,"")</f>
        <v/>
      </c>
      <c r="C754" s="1" t="str">
        <f>IF(AND(Programme_Grunddaten!$A759="Geprüft",Programme_Grunddaten!D759&lt;&gt;""),Programme_Grunddaten!D759,"")</f>
        <v/>
      </c>
      <c r="D754" s="2" t="str">
        <f>IF(AND(Programme_Grunddaten!$A759="Geprüft",Programme_Grunddaten!E759&lt;&gt;""),Programme_Grunddaten!E759,"")</f>
        <v/>
      </c>
      <c r="E754" t="str">
        <f>IF(AND(Programme_Grunddaten!$A759="Geprüft",Programme_Grunddaten!G759&lt;&gt;""),Programme_Grunddaten!G759,"")</f>
        <v/>
      </c>
      <c r="F754" t="str">
        <f>IF(AND(Programme_Grunddaten!$A759="Geprüft",Programme_Grunddaten!F759&lt;&gt;""),Programme_Grunddaten!F759,"")</f>
        <v/>
      </c>
      <c r="G754" s="3" t="str">
        <f>IF(AND(Programme_Grunddaten!$A759="Geprüft",Programme_Grunddaten!S759&lt;&gt;""),Programme_Grunddaten!S759,"")</f>
        <v/>
      </c>
      <c r="H754" t="str">
        <f>IF(AND(Programme_Grunddaten!$A759="Geprüft",Programme_Grunddaten!AW759&lt;&gt;""),Programme_Grunddaten!AW759,"")</f>
        <v/>
      </c>
      <c r="I754" t="str">
        <f>IF(AND(Programme_Grunddaten!$A759="Geprüft",Programme_Grunddaten!AX759&lt;&gt;""),Programme_Grunddaten!AX759,"")</f>
        <v/>
      </c>
    </row>
    <row r="755" spans="1:9" x14ac:dyDescent="0.3">
      <c r="A755" s="1" t="str">
        <f>IF(AND(Programme_Grunddaten!$A760="Geprüft",Programme_Grunddaten!B760&lt;&gt;""),Programme_Grunddaten!B760,"")</f>
        <v/>
      </c>
      <c r="B755" s="1" t="str">
        <f>IF(AND(Programme_Grunddaten!$A760="Geprüft",Programme_Grunddaten!C760&lt;&gt;""),Programme_Grunddaten!C760,"")</f>
        <v/>
      </c>
      <c r="C755" s="1" t="str">
        <f>IF(AND(Programme_Grunddaten!$A760="Geprüft",Programme_Grunddaten!D760&lt;&gt;""),Programme_Grunddaten!D760,"")</f>
        <v/>
      </c>
      <c r="D755" s="2" t="str">
        <f>IF(AND(Programme_Grunddaten!$A760="Geprüft",Programme_Grunddaten!E760&lt;&gt;""),Programme_Grunddaten!E760,"")</f>
        <v/>
      </c>
      <c r="E755" t="str">
        <f>IF(AND(Programme_Grunddaten!$A760="Geprüft",Programme_Grunddaten!G760&lt;&gt;""),Programme_Grunddaten!G760,"")</f>
        <v/>
      </c>
      <c r="F755" t="str">
        <f>IF(AND(Programme_Grunddaten!$A760="Geprüft",Programme_Grunddaten!F760&lt;&gt;""),Programme_Grunddaten!F760,"")</f>
        <v/>
      </c>
      <c r="G755" s="3" t="str">
        <f>IF(AND(Programme_Grunddaten!$A760="Geprüft",Programme_Grunddaten!S760&lt;&gt;""),Programme_Grunddaten!S760,"")</f>
        <v/>
      </c>
      <c r="H755" t="str">
        <f>IF(AND(Programme_Grunddaten!$A760="Geprüft",Programme_Grunddaten!AW760&lt;&gt;""),Programme_Grunddaten!AW760,"")</f>
        <v/>
      </c>
      <c r="I755" t="str">
        <f>IF(AND(Programme_Grunddaten!$A760="Geprüft",Programme_Grunddaten!AX760&lt;&gt;""),Programme_Grunddaten!AX760,"")</f>
        <v/>
      </c>
    </row>
    <row r="756" spans="1:9" x14ac:dyDescent="0.3">
      <c r="A756" s="1" t="str">
        <f>IF(AND(Programme_Grunddaten!$A761="Geprüft",Programme_Grunddaten!B761&lt;&gt;""),Programme_Grunddaten!B761,"")</f>
        <v/>
      </c>
      <c r="B756" s="1" t="str">
        <f>IF(AND(Programme_Grunddaten!$A761="Geprüft",Programme_Grunddaten!C761&lt;&gt;""),Programme_Grunddaten!C761,"")</f>
        <v/>
      </c>
      <c r="C756" s="1" t="str">
        <f>IF(AND(Programme_Grunddaten!$A761="Geprüft",Programme_Grunddaten!D761&lt;&gt;""),Programme_Grunddaten!D761,"")</f>
        <v/>
      </c>
      <c r="D756" s="2" t="str">
        <f>IF(AND(Programme_Grunddaten!$A761="Geprüft",Programme_Grunddaten!E761&lt;&gt;""),Programme_Grunddaten!E761,"")</f>
        <v/>
      </c>
      <c r="E756" t="str">
        <f>IF(AND(Programme_Grunddaten!$A761="Geprüft",Programme_Grunddaten!G761&lt;&gt;""),Programme_Grunddaten!G761,"")</f>
        <v/>
      </c>
      <c r="F756" t="str">
        <f>IF(AND(Programme_Grunddaten!$A761="Geprüft",Programme_Grunddaten!F761&lt;&gt;""),Programme_Grunddaten!F761,"")</f>
        <v/>
      </c>
      <c r="G756" s="3" t="str">
        <f>IF(AND(Programme_Grunddaten!$A761="Geprüft",Programme_Grunddaten!S761&lt;&gt;""),Programme_Grunddaten!S761,"")</f>
        <v/>
      </c>
      <c r="H756" t="str">
        <f>IF(AND(Programme_Grunddaten!$A761="Geprüft",Programme_Grunddaten!AW761&lt;&gt;""),Programme_Grunddaten!AW761,"")</f>
        <v/>
      </c>
      <c r="I756" t="str">
        <f>IF(AND(Programme_Grunddaten!$A761="Geprüft",Programme_Grunddaten!AX761&lt;&gt;""),Programme_Grunddaten!AX761,"")</f>
        <v/>
      </c>
    </row>
    <row r="757" spans="1:9" x14ac:dyDescent="0.3">
      <c r="A757" s="1" t="str">
        <f>IF(AND(Programme_Grunddaten!$A762="Geprüft",Programme_Grunddaten!B762&lt;&gt;""),Programme_Grunddaten!B762,"")</f>
        <v/>
      </c>
      <c r="B757" s="1" t="str">
        <f>IF(AND(Programme_Grunddaten!$A762="Geprüft",Programme_Grunddaten!C762&lt;&gt;""),Programme_Grunddaten!C762,"")</f>
        <v/>
      </c>
      <c r="C757" s="1" t="str">
        <f>IF(AND(Programme_Grunddaten!$A762="Geprüft",Programme_Grunddaten!D762&lt;&gt;""),Programme_Grunddaten!D762,"")</f>
        <v/>
      </c>
      <c r="D757" s="2" t="str">
        <f>IF(AND(Programme_Grunddaten!$A762="Geprüft",Programme_Grunddaten!E762&lt;&gt;""),Programme_Grunddaten!E762,"")</f>
        <v/>
      </c>
      <c r="E757" t="str">
        <f>IF(AND(Programme_Grunddaten!$A762="Geprüft",Programme_Grunddaten!G762&lt;&gt;""),Programme_Grunddaten!G762,"")</f>
        <v/>
      </c>
      <c r="F757" t="str">
        <f>IF(AND(Programme_Grunddaten!$A762="Geprüft",Programme_Grunddaten!F762&lt;&gt;""),Programme_Grunddaten!F762,"")</f>
        <v/>
      </c>
      <c r="G757" s="3" t="str">
        <f>IF(AND(Programme_Grunddaten!$A762="Geprüft",Programme_Grunddaten!S762&lt;&gt;""),Programme_Grunddaten!S762,"")</f>
        <v/>
      </c>
      <c r="H757" t="str">
        <f>IF(AND(Programme_Grunddaten!$A762="Geprüft",Programme_Grunddaten!AW762&lt;&gt;""),Programme_Grunddaten!AW762,"")</f>
        <v/>
      </c>
      <c r="I757" t="str">
        <f>IF(AND(Programme_Grunddaten!$A762="Geprüft",Programme_Grunddaten!AX762&lt;&gt;""),Programme_Grunddaten!AX762,"")</f>
        <v/>
      </c>
    </row>
    <row r="758" spans="1:9" x14ac:dyDescent="0.3">
      <c r="A758" s="1" t="str">
        <f>IF(AND(Programme_Grunddaten!$A763="Geprüft",Programme_Grunddaten!B763&lt;&gt;""),Programme_Grunddaten!B763,"")</f>
        <v/>
      </c>
      <c r="B758" s="1" t="str">
        <f>IF(AND(Programme_Grunddaten!$A763="Geprüft",Programme_Grunddaten!C763&lt;&gt;""),Programme_Grunddaten!C763,"")</f>
        <v/>
      </c>
      <c r="C758" s="1" t="str">
        <f>IF(AND(Programme_Grunddaten!$A763="Geprüft",Programme_Grunddaten!D763&lt;&gt;""),Programme_Grunddaten!D763,"")</f>
        <v/>
      </c>
      <c r="D758" s="2" t="str">
        <f>IF(AND(Programme_Grunddaten!$A763="Geprüft",Programme_Grunddaten!E763&lt;&gt;""),Programme_Grunddaten!E763,"")</f>
        <v/>
      </c>
      <c r="E758" t="str">
        <f>IF(AND(Programme_Grunddaten!$A763="Geprüft",Programme_Grunddaten!G763&lt;&gt;""),Programme_Grunddaten!G763,"")</f>
        <v/>
      </c>
      <c r="F758" t="str">
        <f>IF(AND(Programme_Grunddaten!$A763="Geprüft",Programme_Grunddaten!F763&lt;&gt;""),Programme_Grunddaten!F763,"")</f>
        <v/>
      </c>
      <c r="G758" s="3" t="str">
        <f>IF(AND(Programme_Grunddaten!$A763="Geprüft",Programme_Grunddaten!S763&lt;&gt;""),Programme_Grunddaten!S763,"")</f>
        <v/>
      </c>
      <c r="H758" t="str">
        <f>IF(AND(Programme_Grunddaten!$A763="Geprüft",Programme_Grunddaten!AW763&lt;&gt;""),Programme_Grunddaten!AW763,"")</f>
        <v/>
      </c>
      <c r="I758" t="str">
        <f>IF(AND(Programme_Grunddaten!$A763="Geprüft",Programme_Grunddaten!AX763&lt;&gt;""),Programme_Grunddaten!AX763,"")</f>
        <v/>
      </c>
    </row>
    <row r="759" spans="1:9" x14ac:dyDescent="0.3">
      <c r="A759" s="1" t="str">
        <f>IF(AND(Programme_Grunddaten!$A764="Geprüft",Programme_Grunddaten!B764&lt;&gt;""),Programme_Grunddaten!B764,"")</f>
        <v/>
      </c>
      <c r="B759" s="1" t="str">
        <f>IF(AND(Programme_Grunddaten!$A764="Geprüft",Programme_Grunddaten!C764&lt;&gt;""),Programme_Grunddaten!C764,"")</f>
        <v/>
      </c>
      <c r="C759" s="1" t="str">
        <f>IF(AND(Programme_Grunddaten!$A764="Geprüft",Programme_Grunddaten!D764&lt;&gt;""),Programme_Grunddaten!D764,"")</f>
        <v/>
      </c>
      <c r="D759" s="2" t="str">
        <f>IF(AND(Programme_Grunddaten!$A764="Geprüft",Programme_Grunddaten!E764&lt;&gt;""),Programme_Grunddaten!E764,"")</f>
        <v/>
      </c>
      <c r="E759" t="str">
        <f>IF(AND(Programme_Grunddaten!$A764="Geprüft",Programme_Grunddaten!G764&lt;&gt;""),Programme_Grunddaten!G764,"")</f>
        <v/>
      </c>
      <c r="F759" t="str">
        <f>IF(AND(Programme_Grunddaten!$A764="Geprüft",Programme_Grunddaten!F764&lt;&gt;""),Programme_Grunddaten!F764,"")</f>
        <v/>
      </c>
      <c r="G759" s="3" t="str">
        <f>IF(AND(Programme_Grunddaten!$A764="Geprüft",Programme_Grunddaten!S764&lt;&gt;""),Programme_Grunddaten!S764,"")</f>
        <v/>
      </c>
      <c r="H759" t="str">
        <f>IF(AND(Programme_Grunddaten!$A764="Geprüft",Programme_Grunddaten!AW764&lt;&gt;""),Programme_Grunddaten!AW764,"")</f>
        <v/>
      </c>
      <c r="I759" t="str">
        <f>IF(AND(Programme_Grunddaten!$A764="Geprüft",Programme_Grunddaten!AX764&lt;&gt;""),Programme_Grunddaten!AX764,"")</f>
        <v/>
      </c>
    </row>
    <row r="760" spans="1:9" x14ac:dyDescent="0.3">
      <c r="A760" s="1" t="str">
        <f>IF(AND(Programme_Grunddaten!$A765="Geprüft",Programme_Grunddaten!B765&lt;&gt;""),Programme_Grunddaten!B765,"")</f>
        <v/>
      </c>
      <c r="B760" s="1" t="str">
        <f>IF(AND(Programme_Grunddaten!$A765="Geprüft",Programme_Grunddaten!C765&lt;&gt;""),Programme_Grunddaten!C765,"")</f>
        <v/>
      </c>
      <c r="C760" s="1" t="str">
        <f>IF(AND(Programme_Grunddaten!$A765="Geprüft",Programme_Grunddaten!D765&lt;&gt;""),Programme_Grunddaten!D765,"")</f>
        <v/>
      </c>
      <c r="D760" s="2" t="str">
        <f>IF(AND(Programme_Grunddaten!$A765="Geprüft",Programme_Grunddaten!E765&lt;&gt;""),Programme_Grunddaten!E765,"")</f>
        <v/>
      </c>
      <c r="E760" t="str">
        <f>IF(AND(Programme_Grunddaten!$A765="Geprüft",Programme_Grunddaten!G765&lt;&gt;""),Programme_Grunddaten!G765,"")</f>
        <v/>
      </c>
      <c r="F760" t="str">
        <f>IF(AND(Programme_Grunddaten!$A765="Geprüft",Programme_Grunddaten!F765&lt;&gt;""),Programme_Grunddaten!F765,"")</f>
        <v/>
      </c>
      <c r="G760" s="3" t="str">
        <f>IF(AND(Programme_Grunddaten!$A765="Geprüft",Programme_Grunddaten!S765&lt;&gt;""),Programme_Grunddaten!S765,"")</f>
        <v/>
      </c>
      <c r="H760" t="str">
        <f>IF(AND(Programme_Grunddaten!$A765="Geprüft",Programme_Grunddaten!AW765&lt;&gt;""),Programme_Grunddaten!AW765,"")</f>
        <v/>
      </c>
      <c r="I760" t="str">
        <f>IF(AND(Programme_Grunddaten!$A765="Geprüft",Programme_Grunddaten!AX765&lt;&gt;""),Programme_Grunddaten!AX765,"")</f>
        <v/>
      </c>
    </row>
    <row r="761" spans="1:9" x14ac:dyDescent="0.3">
      <c r="A761" s="1" t="str">
        <f>IF(AND(Programme_Grunddaten!$A766="Geprüft",Programme_Grunddaten!B766&lt;&gt;""),Programme_Grunddaten!B766,"")</f>
        <v/>
      </c>
      <c r="B761" s="1" t="str">
        <f>IF(AND(Programme_Grunddaten!$A766="Geprüft",Programme_Grunddaten!C766&lt;&gt;""),Programme_Grunddaten!C766,"")</f>
        <v/>
      </c>
      <c r="C761" s="1" t="str">
        <f>IF(AND(Programme_Grunddaten!$A766="Geprüft",Programme_Grunddaten!D766&lt;&gt;""),Programme_Grunddaten!D766,"")</f>
        <v/>
      </c>
      <c r="D761" s="2" t="str">
        <f>IF(AND(Programme_Grunddaten!$A766="Geprüft",Programme_Grunddaten!E766&lt;&gt;""),Programme_Grunddaten!E766,"")</f>
        <v/>
      </c>
      <c r="E761" t="str">
        <f>IF(AND(Programme_Grunddaten!$A766="Geprüft",Programme_Grunddaten!G766&lt;&gt;""),Programme_Grunddaten!G766,"")</f>
        <v/>
      </c>
      <c r="F761" t="str">
        <f>IF(AND(Programme_Grunddaten!$A766="Geprüft",Programme_Grunddaten!F766&lt;&gt;""),Programme_Grunddaten!F766,"")</f>
        <v/>
      </c>
      <c r="G761" s="3" t="str">
        <f>IF(AND(Programme_Grunddaten!$A766="Geprüft",Programme_Grunddaten!S766&lt;&gt;""),Programme_Grunddaten!S766,"")</f>
        <v/>
      </c>
      <c r="H761" t="str">
        <f>IF(AND(Programme_Grunddaten!$A766="Geprüft",Programme_Grunddaten!AW766&lt;&gt;""),Programme_Grunddaten!AW766,"")</f>
        <v/>
      </c>
      <c r="I761" t="str">
        <f>IF(AND(Programme_Grunddaten!$A766="Geprüft",Programme_Grunddaten!AX766&lt;&gt;""),Programme_Grunddaten!AX766,"")</f>
        <v/>
      </c>
    </row>
    <row r="762" spans="1:9" x14ac:dyDescent="0.3">
      <c r="A762" s="1" t="str">
        <f>IF(AND(Programme_Grunddaten!$A767="Geprüft",Programme_Grunddaten!B767&lt;&gt;""),Programme_Grunddaten!B767,"")</f>
        <v/>
      </c>
      <c r="B762" s="1" t="str">
        <f>IF(AND(Programme_Grunddaten!$A767="Geprüft",Programme_Grunddaten!C767&lt;&gt;""),Programme_Grunddaten!C767,"")</f>
        <v/>
      </c>
      <c r="C762" s="1" t="str">
        <f>IF(AND(Programme_Grunddaten!$A767="Geprüft",Programme_Grunddaten!D767&lt;&gt;""),Programme_Grunddaten!D767,"")</f>
        <v/>
      </c>
      <c r="D762" s="2" t="str">
        <f>IF(AND(Programme_Grunddaten!$A767="Geprüft",Programme_Grunddaten!E767&lt;&gt;""),Programme_Grunddaten!E767,"")</f>
        <v/>
      </c>
      <c r="E762" t="str">
        <f>IF(AND(Programme_Grunddaten!$A767="Geprüft",Programme_Grunddaten!G767&lt;&gt;""),Programme_Grunddaten!G767,"")</f>
        <v/>
      </c>
      <c r="F762" t="str">
        <f>IF(AND(Programme_Grunddaten!$A767="Geprüft",Programme_Grunddaten!F767&lt;&gt;""),Programme_Grunddaten!F767,"")</f>
        <v/>
      </c>
      <c r="G762" s="3" t="str">
        <f>IF(AND(Programme_Grunddaten!$A767="Geprüft",Programme_Grunddaten!S767&lt;&gt;""),Programme_Grunddaten!S767,"")</f>
        <v/>
      </c>
      <c r="H762" t="str">
        <f>IF(AND(Programme_Grunddaten!$A767="Geprüft",Programme_Grunddaten!AW767&lt;&gt;""),Programme_Grunddaten!AW767,"")</f>
        <v/>
      </c>
      <c r="I762" t="str">
        <f>IF(AND(Programme_Grunddaten!$A767="Geprüft",Programme_Grunddaten!AX767&lt;&gt;""),Programme_Grunddaten!AX767,"")</f>
        <v/>
      </c>
    </row>
    <row r="763" spans="1:9" x14ac:dyDescent="0.3">
      <c r="A763" s="1" t="str">
        <f>IF(AND(Programme_Grunddaten!$A768="Geprüft",Programme_Grunddaten!B768&lt;&gt;""),Programme_Grunddaten!B768,"")</f>
        <v/>
      </c>
      <c r="B763" s="1" t="str">
        <f>IF(AND(Programme_Grunddaten!$A768="Geprüft",Programme_Grunddaten!C768&lt;&gt;""),Programme_Grunddaten!C768,"")</f>
        <v/>
      </c>
      <c r="C763" s="1" t="str">
        <f>IF(AND(Programme_Grunddaten!$A768="Geprüft",Programme_Grunddaten!D768&lt;&gt;""),Programme_Grunddaten!D768,"")</f>
        <v/>
      </c>
      <c r="D763" s="2" t="str">
        <f>IF(AND(Programme_Grunddaten!$A768="Geprüft",Programme_Grunddaten!E768&lt;&gt;""),Programme_Grunddaten!E768,"")</f>
        <v/>
      </c>
      <c r="E763" t="str">
        <f>IF(AND(Programme_Grunddaten!$A768="Geprüft",Programme_Grunddaten!G768&lt;&gt;""),Programme_Grunddaten!G768,"")</f>
        <v/>
      </c>
      <c r="F763" t="str">
        <f>IF(AND(Programme_Grunddaten!$A768="Geprüft",Programme_Grunddaten!F768&lt;&gt;""),Programme_Grunddaten!F768,"")</f>
        <v/>
      </c>
      <c r="G763" s="3" t="str">
        <f>IF(AND(Programme_Grunddaten!$A768="Geprüft",Programme_Grunddaten!S768&lt;&gt;""),Programme_Grunddaten!S768,"")</f>
        <v/>
      </c>
      <c r="H763" t="str">
        <f>IF(AND(Programme_Grunddaten!$A768="Geprüft",Programme_Grunddaten!AW768&lt;&gt;""),Programme_Grunddaten!AW768,"")</f>
        <v/>
      </c>
      <c r="I763" t="str">
        <f>IF(AND(Programme_Grunddaten!$A768="Geprüft",Programme_Grunddaten!AX768&lt;&gt;""),Programme_Grunddaten!AX768,"")</f>
        <v/>
      </c>
    </row>
    <row r="764" spans="1:9" x14ac:dyDescent="0.3">
      <c r="A764" s="1" t="str">
        <f>IF(AND(Programme_Grunddaten!$A769="Geprüft",Programme_Grunddaten!B769&lt;&gt;""),Programme_Grunddaten!B769,"")</f>
        <v/>
      </c>
      <c r="B764" s="1" t="str">
        <f>IF(AND(Programme_Grunddaten!$A769="Geprüft",Programme_Grunddaten!C769&lt;&gt;""),Programme_Grunddaten!C769,"")</f>
        <v/>
      </c>
      <c r="C764" s="1" t="str">
        <f>IF(AND(Programme_Grunddaten!$A769="Geprüft",Programme_Grunddaten!D769&lt;&gt;""),Programme_Grunddaten!D769,"")</f>
        <v/>
      </c>
      <c r="D764" s="2" t="str">
        <f>IF(AND(Programme_Grunddaten!$A769="Geprüft",Programme_Grunddaten!E769&lt;&gt;""),Programme_Grunddaten!E769,"")</f>
        <v/>
      </c>
      <c r="E764" t="str">
        <f>IF(AND(Programme_Grunddaten!$A769="Geprüft",Programme_Grunddaten!G769&lt;&gt;""),Programme_Grunddaten!G769,"")</f>
        <v/>
      </c>
      <c r="F764" t="str">
        <f>IF(AND(Programme_Grunddaten!$A769="Geprüft",Programme_Grunddaten!F769&lt;&gt;""),Programme_Grunddaten!F769,"")</f>
        <v/>
      </c>
      <c r="G764" s="3" t="str">
        <f>IF(AND(Programme_Grunddaten!$A769="Geprüft",Programme_Grunddaten!S769&lt;&gt;""),Programme_Grunddaten!S769,"")</f>
        <v/>
      </c>
      <c r="H764" t="str">
        <f>IF(AND(Programme_Grunddaten!$A769="Geprüft",Programme_Grunddaten!AW769&lt;&gt;""),Programme_Grunddaten!AW769,"")</f>
        <v/>
      </c>
      <c r="I764" t="str">
        <f>IF(AND(Programme_Grunddaten!$A769="Geprüft",Programme_Grunddaten!AX769&lt;&gt;""),Programme_Grunddaten!AX769,"")</f>
        <v/>
      </c>
    </row>
    <row r="765" spans="1:9" x14ac:dyDescent="0.3">
      <c r="A765" s="1" t="str">
        <f>IF(AND(Programme_Grunddaten!$A770="Geprüft",Programme_Grunddaten!B770&lt;&gt;""),Programme_Grunddaten!B770,"")</f>
        <v/>
      </c>
      <c r="B765" s="1" t="str">
        <f>IF(AND(Programme_Grunddaten!$A770="Geprüft",Programme_Grunddaten!C770&lt;&gt;""),Programme_Grunddaten!C770,"")</f>
        <v/>
      </c>
      <c r="C765" s="1" t="str">
        <f>IF(AND(Programme_Grunddaten!$A770="Geprüft",Programme_Grunddaten!D770&lt;&gt;""),Programme_Grunddaten!D770,"")</f>
        <v/>
      </c>
      <c r="D765" s="2" t="str">
        <f>IF(AND(Programme_Grunddaten!$A770="Geprüft",Programme_Grunddaten!E770&lt;&gt;""),Programme_Grunddaten!E770,"")</f>
        <v/>
      </c>
      <c r="E765" t="str">
        <f>IF(AND(Programme_Grunddaten!$A770="Geprüft",Programme_Grunddaten!G770&lt;&gt;""),Programme_Grunddaten!G770,"")</f>
        <v/>
      </c>
      <c r="F765" t="str">
        <f>IF(AND(Programme_Grunddaten!$A770="Geprüft",Programme_Grunddaten!F770&lt;&gt;""),Programme_Grunddaten!F770,"")</f>
        <v/>
      </c>
      <c r="G765" s="3" t="str">
        <f>IF(AND(Programme_Grunddaten!$A770="Geprüft",Programme_Grunddaten!S770&lt;&gt;""),Programme_Grunddaten!S770,"")</f>
        <v/>
      </c>
      <c r="H765" t="str">
        <f>IF(AND(Programme_Grunddaten!$A770="Geprüft",Programme_Grunddaten!AW770&lt;&gt;""),Programme_Grunddaten!AW770,"")</f>
        <v/>
      </c>
      <c r="I765" t="str">
        <f>IF(AND(Programme_Grunddaten!$A770="Geprüft",Programme_Grunddaten!AX770&lt;&gt;""),Programme_Grunddaten!AX770,"")</f>
        <v/>
      </c>
    </row>
    <row r="766" spans="1:9" x14ac:dyDescent="0.3">
      <c r="A766" s="1" t="str">
        <f>IF(AND(Programme_Grunddaten!$A771="Geprüft",Programme_Grunddaten!B771&lt;&gt;""),Programme_Grunddaten!B771,"")</f>
        <v/>
      </c>
      <c r="B766" s="1" t="str">
        <f>IF(AND(Programme_Grunddaten!$A771="Geprüft",Programme_Grunddaten!C771&lt;&gt;""),Programme_Grunddaten!C771,"")</f>
        <v/>
      </c>
      <c r="C766" s="1" t="str">
        <f>IF(AND(Programme_Grunddaten!$A771="Geprüft",Programme_Grunddaten!D771&lt;&gt;""),Programme_Grunddaten!D771,"")</f>
        <v/>
      </c>
      <c r="D766" s="2" t="str">
        <f>IF(AND(Programme_Grunddaten!$A771="Geprüft",Programme_Grunddaten!E771&lt;&gt;""),Programme_Grunddaten!E771,"")</f>
        <v/>
      </c>
      <c r="E766" t="str">
        <f>IF(AND(Programme_Grunddaten!$A771="Geprüft",Programme_Grunddaten!G771&lt;&gt;""),Programme_Grunddaten!G771,"")</f>
        <v/>
      </c>
      <c r="F766" t="str">
        <f>IF(AND(Programme_Grunddaten!$A771="Geprüft",Programme_Grunddaten!F771&lt;&gt;""),Programme_Grunddaten!F771,"")</f>
        <v/>
      </c>
      <c r="G766" s="3" t="str">
        <f>IF(AND(Programme_Grunddaten!$A771="Geprüft",Programme_Grunddaten!S771&lt;&gt;""),Programme_Grunddaten!S771,"")</f>
        <v/>
      </c>
      <c r="H766" t="str">
        <f>IF(AND(Programme_Grunddaten!$A771="Geprüft",Programme_Grunddaten!AW771&lt;&gt;""),Programme_Grunddaten!AW771,"")</f>
        <v/>
      </c>
      <c r="I766" t="str">
        <f>IF(AND(Programme_Grunddaten!$A771="Geprüft",Programme_Grunddaten!AX771&lt;&gt;""),Programme_Grunddaten!AX771,"")</f>
        <v/>
      </c>
    </row>
    <row r="767" spans="1:9" x14ac:dyDescent="0.3">
      <c r="A767" s="1" t="str">
        <f>IF(AND(Programme_Grunddaten!$A772="Geprüft",Programme_Grunddaten!B772&lt;&gt;""),Programme_Grunddaten!B772,"")</f>
        <v/>
      </c>
      <c r="B767" s="1" t="str">
        <f>IF(AND(Programme_Grunddaten!$A772="Geprüft",Programme_Grunddaten!C772&lt;&gt;""),Programme_Grunddaten!C772,"")</f>
        <v/>
      </c>
      <c r="C767" s="1" t="str">
        <f>IF(AND(Programme_Grunddaten!$A772="Geprüft",Programme_Grunddaten!D772&lt;&gt;""),Programme_Grunddaten!D772,"")</f>
        <v/>
      </c>
      <c r="D767" s="2" t="str">
        <f>IF(AND(Programme_Grunddaten!$A772="Geprüft",Programme_Grunddaten!E772&lt;&gt;""),Programme_Grunddaten!E772,"")</f>
        <v/>
      </c>
      <c r="E767" t="str">
        <f>IF(AND(Programme_Grunddaten!$A772="Geprüft",Programme_Grunddaten!G772&lt;&gt;""),Programme_Grunddaten!G772,"")</f>
        <v/>
      </c>
      <c r="F767" t="str">
        <f>IF(AND(Programme_Grunddaten!$A772="Geprüft",Programme_Grunddaten!F772&lt;&gt;""),Programme_Grunddaten!F772,"")</f>
        <v/>
      </c>
      <c r="G767" s="3" t="str">
        <f>IF(AND(Programme_Grunddaten!$A772="Geprüft",Programme_Grunddaten!S772&lt;&gt;""),Programme_Grunddaten!S772,"")</f>
        <v/>
      </c>
      <c r="H767" t="str">
        <f>IF(AND(Programme_Grunddaten!$A772="Geprüft",Programme_Grunddaten!AW772&lt;&gt;""),Programme_Grunddaten!AW772,"")</f>
        <v/>
      </c>
      <c r="I767" t="str">
        <f>IF(AND(Programme_Grunddaten!$A772="Geprüft",Programme_Grunddaten!AX772&lt;&gt;""),Programme_Grunddaten!AX772,"")</f>
        <v/>
      </c>
    </row>
    <row r="768" spans="1:9" x14ac:dyDescent="0.3">
      <c r="A768" s="1" t="str">
        <f>IF(AND(Programme_Grunddaten!$A773="Geprüft",Programme_Grunddaten!B773&lt;&gt;""),Programme_Grunddaten!B773,"")</f>
        <v/>
      </c>
      <c r="B768" s="1" t="str">
        <f>IF(AND(Programme_Grunddaten!$A773="Geprüft",Programme_Grunddaten!C773&lt;&gt;""),Programme_Grunddaten!C773,"")</f>
        <v/>
      </c>
      <c r="C768" s="1" t="str">
        <f>IF(AND(Programme_Grunddaten!$A773="Geprüft",Programme_Grunddaten!D773&lt;&gt;""),Programme_Grunddaten!D773,"")</f>
        <v/>
      </c>
      <c r="D768" s="2" t="str">
        <f>IF(AND(Programme_Grunddaten!$A773="Geprüft",Programme_Grunddaten!E773&lt;&gt;""),Programme_Grunddaten!E773,"")</f>
        <v/>
      </c>
      <c r="E768" t="str">
        <f>IF(AND(Programme_Grunddaten!$A773="Geprüft",Programme_Grunddaten!G773&lt;&gt;""),Programme_Grunddaten!G773,"")</f>
        <v/>
      </c>
      <c r="F768" t="str">
        <f>IF(AND(Programme_Grunddaten!$A773="Geprüft",Programme_Grunddaten!F773&lt;&gt;""),Programme_Grunddaten!F773,"")</f>
        <v/>
      </c>
      <c r="G768" s="3" t="str">
        <f>IF(AND(Programme_Grunddaten!$A773="Geprüft",Programme_Grunddaten!S773&lt;&gt;""),Programme_Grunddaten!S773,"")</f>
        <v/>
      </c>
      <c r="H768" t="str">
        <f>IF(AND(Programme_Grunddaten!$A773="Geprüft",Programme_Grunddaten!AW773&lt;&gt;""),Programme_Grunddaten!AW773,"")</f>
        <v/>
      </c>
      <c r="I768" t="str">
        <f>IF(AND(Programme_Grunddaten!$A773="Geprüft",Programme_Grunddaten!AX773&lt;&gt;""),Programme_Grunddaten!AX773,"")</f>
        <v/>
      </c>
    </row>
    <row r="769" spans="1:9" x14ac:dyDescent="0.3">
      <c r="A769" s="1" t="str">
        <f>IF(AND(Programme_Grunddaten!$A774="Geprüft",Programme_Grunddaten!B774&lt;&gt;""),Programme_Grunddaten!B774,"")</f>
        <v/>
      </c>
      <c r="B769" s="1" t="str">
        <f>IF(AND(Programme_Grunddaten!$A774="Geprüft",Programme_Grunddaten!C774&lt;&gt;""),Programme_Grunddaten!C774,"")</f>
        <v/>
      </c>
      <c r="C769" s="1" t="str">
        <f>IF(AND(Programme_Grunddaten!$A774="Geprüft",Programme_Grunddaten!D774&lt;&gt;""),Programme_Grunddaten!D774,"")</f>
        <v/>
      </c>
      <c r="D769" s="2" t="str">
        <f>IF(AND(Programme_Grunddaten!$A774="Geprüft",Programme_Grunddaten!E774&lt;&gt;""),Programme_Grunddaten!E774,"")</f>
        <v/>
      </c>
      <c r="E769" t="str">
        <f>IF(AND(Programme_Grunddaten!$A774="Geprüft",Programme_Grunddaten!G774&lt;&gt;""),Programme_Grunddaten!G774,"")</f>
        <v/>
      </c>
      <c r="F769" t="str">
        <f>IF(AND(Programme_Grunddaten!$A774="Geprüft",Programme_Grunddaten!F774&lt;&gt;""),Programme_Grunddaten!F774,"")</f>
        <v/>
      </c>
      <c r="G769" s="3" t="str">
        <f>IF(AND(Programme_Grunddaten!$A774="Geprüft",Programme_Grunddaten!S774&lt;&gt;""),Programme_Grunddaten!S774,"")</f>
        <v/>
      </c>
      <c r="H769" t="str">
        <f>IF(AND(Programme_Grunddaten!$A774="Geprüft",Programme_Grunddaten!AW774&lt;&gt;""),Programme_Grunddaten!AW774,"")</f>
        <v/>
      </c>
      <c r="I769" t="str">
        <f>IF(AND(Programme_Grunddaten!$A774="Geprüft",Programme_Grunddaten!AX774&lt;&gt;""),Programme_Grunddaten!AX774,"")</f>
        <v/>
      </c>
    </row>
    <row r="770" spans="1:9" x14ac:dyDescent="0.3">
      <c r="A770" s="1" t="str">
        <f>IF(AND(Programme_Grunddaten!$A775="Geprüft",Programme_Grunddaten!B775&lt;&gt;""),Programme_Grunddaten!B775,"")</f>
        <v/>
      </c>
      <c r="B770" s="1" t="str">
        <f>IF(AND(Programme_Grunddaten!$A775="Geprüft",Programme_Grunddaten!C775&lt;&gt;""),Programme_Grunddaten!C775,"")</f>
        <v/>
      </c>
      <c r="C770" s="1" t="str">
        <f>IF(AND(Programme_Grunddaten!$A775="Geprüft",Programme_Grunddaten!D775&lt;&gt;""),Programme_Grunddaten!D775,"")</f>
        <v/>
      </c>
      <c r="D770" s="2" t="str">
        <f>IF(AND(Programme_Grunddaten!$A775="Geprüft",Programme_Grunddaten!E775&lt;&gt;""),Programme_Grunddaten!E775,"")</f>
        <v/>
      </c>
      <c r="E770" t="str">
        <f>IF(AND(Programme_Grunddaten!$A775="Geprüft",Programme_Grunddaten!G775&lt;&gt;""),Programme_Grunddaten!G775,"")</f>
        <v/>
      </c>
      <c r="F770" t="str">
        <f>IF(AND(Programme_Grunddaten!$A775="Geprüft",Programme_Grunddaten!F775&lt;&gt;""),Programme_Grunddaten!F775,"")</f>
        <v/>
      </c>
      <c r="G770" s="3" t="str">
        <f>IF(AND(Programme_Grunddaten!$A775="Geprüft",Programme_Grunddaten!S775&lt;&gt;""),Programme_Grunddaten!S775,"")</f>
        <v/>
      </c>
      <c r="H770" t="str">
        <f>IF(AND(Programme_Grunddaten!$A775="Geprüft",Programme_Grunddaten!AW775&lt;&gt;""),Programme_Grunddaten!AW775,"")</f>
        <v/>
      </c>
      <c r="I770" t="str">
        <f>IF(AND(Programme_Grunddaten!$A775="Geprüft",Programme_Grunddaten!AX775&lt;&gt;""),Programme_Grunddaten!AX775,"")</f>
        <v/>
      </c>
    </row>
    <row r="771" spans="1:9" x14ac:dyDescent="0.3">
      <c r="A771" s="1" t="str">
        <f>IF(AND(Programme_Grunddaten!$A776="Geprüft",Programme_Grunddaten!B776&lt;&gt;""),Programme_Grunddaten!B776,"")</f>
        <v/>
      </c>
      <c r="B771" s="1" t="str">
        <f>IF(AND(Programme_Grunddaten!$A776="Geprüft",Programme_Grunddaten!C776&lt;&gt;""),Programme_Grunddaten!C776,"")</f>
        <v/>
      </c>
      <c r="C771" s="1" t="str">
        <f>IF(AND(Programme_Grunddaten!$A776="Geprüft",Programme_Grunddaten!D776&lt;&gt;""),Programme_Grunddaten!D776,"")</f>
        <v/>
      </c>
      <c r="D771" s="2" t="str">
        <f>IF(AND(Programme_Grunddaten!$A776="Geprüft",Programme_Grunddaten!E776&lt;&gt;""),Programme_Grunddaten!E776,"")</f>
        <v/>
      </c>
      <c r="E771" t="str">
        <f>IF(AND(Programme_Grunddaten!$A776="Geprüft",Programme_Grunddaten!G776&lt;&gt;""),Programme_Grunddaten!G776,"")</f>
        <v/>
      </c>
      <c r="F771" t="str">
        <f>IF(AND(Programme_Grunddaten!$A776="Geprüft",Programme_Grunddaten!F776&lt;&gt;""),Programme_Grunddaten!F776,"")</f>
        <v/>
      </c>
      <c r="G771" s="3" t="str">
        <f>IF(AND(Programme_Grunddaten!$A776="Geprüft",Programme_Grunddaten!S776&lt;&gt;""),Programme_Grunddaten!S776,"")</f>
        <v/>
      </c>
      <c r="H771" t="str">
        <f>IF(AND(Programme_Grunddaten!$A776="Geprüft",Programme_Grunddaten!AW776&lt;&gt;""),Programme_Grunddaten!AW776,"")</f>
        <v/>
      </c>
      <c r="I771" t="str">
        <f>IF(AND(Programme_Grunddaten!$A776="Geprüft",Programme_Grunddaten!AX776&lt;&gt;""),Programme_Grunddaten!AX776,"")</f>
        <v/>
      </c>
    </row>
    <row r="772" spans="1:9" x14ac:dyDescent="0.3">
      <c r="A772" s="1" t="str">
        <f>IF(AND(Programme_Grunddaten!$A777="Geprüft",Programme_Grunddaten!B777&lt;&gt;""),Programme_Grunddaten!B777,"")</f>
        <v/>
      </c>
      <c r="B772" s="1" t="str">
        <f>IF(AND(Programme_Grunddaten!$A777="Geprüft",Programme_Grunddaten!C777&lt;&gt;""),Programme_Grunddaten!C777,"")</f>
        <v/>
      </c>
      <c r="C772" s="1" t="str">
        <f>IF(AND(Programme_Grunddaten!$A777="Geprüft",Programme_Grunddaten!D777&lt;&gt;""),Programme_Grunddaten!D777,"")</f>
        <v/>
      </c>
      <c r="D772" s="2" t="str">
        <f>IF(AND(Programme_Grunddaten!$A777="Geprüft",Programme_Grunddaten!E777&lt;&gt;""),Programme_Grunddaten!E777,"")</f>
        <v/>
      </c>
      <c r="E772" t="str">
        <f>IF(AND(Programme_Grunddaten!$A777="Geprüft",Programme_Grunddaten!G777&lt;&gt;""),Programme_Grunddaten!G777,"")</f>
        <v/>
      </c>
      <c r="F772" t="str">
        <f>IF(AND(Programme_Grunddaten!$A777="Geprüft",Programme_Grunddaten!F777&lt;&gt;""),Programme_Grunddaten!F777,"")</f>
        <v/>
      </c>
      <c r="G772" s="3" t="str">
        <f>IF(AND(Programme_Grunddaten!$A777="Geprüft",Programme_Grunddaten!S777&lt;&gt;""),Programme_Grunddaten!S777,"")</f>
        <v/>
      </c>
      <c r="H772" t="str">
        <f>IF(AND(Programme_Grunddaten!$A777="Geprüft",Programme_Grunddaten!AW777&lt;&gt;""),Programme_Grunddaten!AW777,"")</f>
        <v/>
      </c>
      <c r="I772" t="str">
        <f>IF(AND(Programme_Grunddaten!$A777="Geprüft",Programme_Grunddaten!AX777&lt;&gt;""),Programme_Grunddaten!AX777,"")</f>
        <v/>
      </c>
    </row>
    <row r="773" spans="1:9" x14ac:dyDescent="0.3">
      <c r="A773" s="1" t="str">
        <f>IF(AND(Programme_Grunddaten!$A778="Geprüft",Programme_Grunddaten!B778&lt;&gt;""),Programme_Grunddaten!B778,"")</f>
        <v/>
      </c>
      <c r="B773" s="1" t="str">
        <f>IF(AND(Programme_Grunddaten!$A778="Geprüft",Programme_Grunddaten!C778&lt;&gt;""),Programme_Grunddaten!C778,"")</f>
        <v/>
      </c>
      <c r="C773" s="1" t="str">
        <f>IF(AND(Programme_Grunddaten!$A778="Geprüft",Programme_Grunddaten!D778&lt;&gt;""),Programme_Grunddaten!D778,"")</f>
        <v/>
      </c>
      <c r="D773" s="2" t="str">
        <f>IF(AND(Programme_Grunddaten!$A778="Geprüft",Programme_Grunddaten!E778&lt;&gt;""),Programme_Grunddaten!E778,"")</f>
        <v/>
      </c>
      <c r="E773" t="str">
        <f>IF(AND(Programme_Grunddaten!$A778="Geprüft",Programme_Grunddaten!G778&lt;&gt;""),Programme_Grunddaten!G778,"")</f>
        <v/>
      </c>
      <c r="F773" t="str">
        <f>IF(AND(Programme_Grunddaten!$A778="Geprüft",Programme_Grunddaten!F778&lt;&gt;""),Programme_Grunddaten!F778,"")</f>
        <v/>
      </c>
      <c r="G773" s="3" t="str">
        <f>IF(AND(Programme_Grunddaten!$A778="Geprüft",Programme_Grunddaten!S778&lt;&gt;""),Programme_Grunddaten!S778,"")</f>
        <v/>
      </c>
      <c r="H773" t="str">
        <f>IF(AND(Programme_Grunddaten!$A778="Geprüft",Programme_Grunddaten!AW778&lt;&gt;""),Programme_Grunddaten!AW778,"")</f>
        <v/>
      </c>
      <c r="I773" t="str">
        <f>IF(AND(Programme_Grunddaten!$A778="Geprüft",Programme_Grunddaten!AX778&lt;&gt;""),Programme_Grunddaten!AX778,"")</f>
        <v/>
      </c>
    </row>
    <row r="774" spans="1:9" x14ac:dyDescent="0.3">
      <c r="A774" s="1" t="str">
        <f>IF(AND(Programme_Grunddaten!$A779="Geprüft",Programme_Grunddaten!B779&lt;&gt;""),Programme_Grunddaten!B779,"")</f>
        <v/>
      </c>
      <c r="B774" s="1" t="str">
        <f>IF(AND(Programme_Grunddaten!$A779="Geprüft",Programme_Grunddaten!C779&lt;&gt;""),Programme_Grunddaten!C779,"")</f>
        <v/>
      </c>
      <c r="C774" s="1" t="str">
        <f>IF(AND(Programme_Grunddaten!$A779="Geprüft",Programme_Grunddaten!D779&lt;&gt;""),Programme_Grunddaten!D779,"")</f>
        <v/>
      </c>
      <c r="D774" s="2" t="str">
        <f>IF(AND(Programme_Grunddaten!$A779="Geprüft",Programme_Grunddaten!E779&lt;&gt;""),Programme_Grunddaten!E779,"")</f>
        <v/>
      </c>
      <c r="E774" t="str">
        <f>IF(AND(Programme_Grunddaten!$A779="Geprüft",Programme_Grunddaten!G779&lt;&gt;""),Programme_Grunddaten!G779,"")</f>
        <v/>
      </c>
      <c r="F774" t="str">
        <f>IF(AND(Programme_Grunddaten!$A779="Geprüft",Programme_Grunddaten!F779&lt;&gt;""),Programme_Grunddaten!F779,"")</f>
        <v/>
      </c>
      <c r="G774" s="3" t="str">
        <f>IF(AND(Programme_Grunddaten!$A779="Geprüft",Programme_Grunddaten!S779&lt;&gt;""),Programme_Grunddaten!S779,"")</f>
        <v/>
      </c>
      <c r="H774" t="str">
        <f>IF(AND(Programme_Grunddaten!$A779="Geprüft",Programme_Grunddaten!AW779&lt;&gt;""),Programme_Grunddaten!AW779,"")</f>
        <v/>
      </c>
      <c r="I774" t="str">
        <f>IF(AND(Programme_Grunddaten!$A779="Geprüft",Programme_Grunddaten!AX779&lt;&gt;""),Programme_Grunddaten!AX779,"")</f>
        <v/>
      </c>
    </row>
    <row r="775" spans="1:9" x14ac:dyDescent="0.3">
      <c r="A775" s="1" t="str">
        <f>IF(AND(Programme_Grunddaten!$A780="Geprüft",Programme_Grunddaten!B780&lt;&gt;""),Programme_Grunddaten!B780,"")</f>
        <v/>
      </c>
      <c r="B775" s="1" t="str">
        <f>IF(AND(Programme_Grunddaten!$A780="Geprüft",Programme_Grunddaten!C780&lt;&gt;""),Programme_Grunddaten!C780,"")</f>
        <v/>
      </c>
      <c r="C775" s="1" t="str">
        <f>IF(AND(Programme_Grunddaten!$A780="Geprüft",Programme_Grunddaten!D780&lt;&gt;""),Programme_Grunddaten!D780,"")</f>
        <v/>
      </c>
      <c r="D775" s="2" t="str">
        <f>IF(AND(Programme_Grunddaten!$A780="Geprüft",Programme_Grunddaten!E780&lt;&gt;""),Programme_Grunddaten!E780,"")</f>
        <v/>
      </c>
      <c r="E775" t="str">
        <f>IF(AND(Programme_Grunddaten!$A780="Geprüft",Programme_Grunddaten!G780&lt;&gt;""),Programme_Grunddaten!G780,"")</f>
        <v/>
      </c>
      <c r="F775" t="str">
        <f>IF(AND(Programme_Grunddaten!$A780="Geprüft",Programme_Grunddaten!F780&lt;&gt;""),Programme_Grunddaten!F780,"")</f>
        <v/>
      </c>
      <c r="G775" s="3" t="str">
        <f>IF(AND(Programme_Grunddaten!$A780="Geprüft",Programme_Grunddaten!S780&lt;&gt;""),Programme_Grunddaten!S780,"")</f>
        <v/>
      </c>
      <c r="H775" t="str">
        <f>IF(AND(Programme_Grunddaten!$A780="Geprüft",Programme_Grunddaten!AW780&lt;&gt;""),Programme_Grunddaten!AW780,"")</f>
        <v/>
      </c>
      <c r="I775" t="str">
        <f>IF(AND(Programme_Grunddaten!$A780="Geprüft",Programme_Grunddaten!AX780&lt;&gt;""),Programme_Grunddaten!AX780,"")</f>
        <v/>
      </c>
    </row>
    <row r="776" spans="1:9" x14ac:dyDescent="0.3">
      <c r="A776" s="1" t="str">
        <f>IF(AND(Programme_Grunddaten!$A781="Geprüft",Programme_Grunddaten!B781&lt;&gt;""),Programme_Grunddaten!B781,"")</f>
        <v/>
      </c>
      <c r="B776" s="1" t="str">
        <f>IF(AND(Programme_Grunddaten!$A781="Geprüft",Programme_Grunddaten!C781&lt;&gt;""),Programme_Grunddaten!C781,"")</f>
        <v/>
      </c>
      <c r="C776" s="1" t="str">
        <f>IF(AND(Programme_Grunddaten!$A781="Geprüft",Programme_Grunddaten!D781&lt;&gt;""),Programme_Grunddaten!D781,"")</f>
        <v/>
      </c>
      <c r="D776" s="2" t="str">
        <f>IF(AND(Programme_Grunddaten!$A781="Geprüft",Programme_Grunddaten!E781&lt;&gt;""),Programme_Grunddaten!E781,"")</f>
        <v/>
      </c>
      <c r="E776" t="str">
        <f>IF(AND(Programme_Grunddaten!$A781="Geprüft",Programme_Grunddaten!G781&lt;&gt;""),Programme_Grunddaten!G781,"")</f>
        <v/>
      </c>
      <c r="F776" t="str">
        <f>IF(AND(Programme_Grunddaten!$A781="Geprüft",Programme_Grunddaten!F781&lt;&gt;""),Programme_Grunddaten!F781,"")</f>
        <v/>
      </c>
      <c r="G776" s="3" t="str">
        <f>IF(AND(Programme_Grunddaten!$A781="Geprüft",Programme_Grunddaten!S781&lt;&gt;""),Programme_Grunddaten!S781,"")</f>
        <v/>
      </c>
      <c r="H776" t="str">
        <f>IF(AND(Programme_Grunddaten!$A781="Geprüft",Programme_Grunddaten!AW781&lt;&gt;""),Programme_Grunddaten!AW781,"")</f>
        <v/>
      </c>
      <c r="I776" t="str">
        <f>IF(AND(Programme_Grunddaten!$A781="Geprüft",Programme_Grunddaten!AX781&lt;&gt;""),Programme_Grunddaten!AX781,"")</f>
        <v/>
      </c>
    </row>
    <row r="777" spans="1:9" x14ac:dyDescent="0.3">
      <c r="A777" s="1" t="str">
        <f>IF(AND(Programme_Grunddaten!$A782="Geprüft",Programme_Grunddaten!B782&lt;&gt;""),Programme_Grunddaten!B782,"")</f>
        <v/>
      </c>
      <c r="B777" s="1" t="str">
        <f>IF(AND(Programme_Grunddaten!$A782="Geprüft",Programme_Grunddaten!C782&lt;&gt;""),Programme_Grunddaten!C782,"")</f>
        <v/>
      </c>
      <c r="C777" s="1" t="str">
        <f>IF(AND(Programme_Grunddaten!$A782="Geprüft",Programme_Grunddaten!D782&lt;&gt;""),Programme_Grunddaten!D782,"")</f>
        <v/>
      </c>
      <c r="D777" s="2" t="str">
        <f>IF(AND(Programme_Grunddaten!$A782="Geprüft",Programme_Grunddaten!E782&lt;&gt;""),Programme_Grunddaten!E782,"")</f>
        <v/>
      </c>
      <c r="E777" t="str">
        <f>IF(AND(Programme_Grunddaten!$A782="Geprüft",Programme_Grunddaten!G782&lt;&gt;""),Programme_Grunddaten!G782,"")</f>
        <v/>
      </c>
      <c r="F777" t="str">
        <f>IF(AND(Programme_Grunddaten!$A782="Geprüft",Programme_Grunddaten!F782&lt;&gt;""),Programme_Grunddaten!F782,"")</f>
        <v/>
      </c>
      <c r="G777" s="3" t="str">
        <f>IF(AND(Programme_Grunddaten!$A782="Geprüft",Programme_Grunddaten!S782&lt;&gt;""),Programme_Grunddaten!S782,"")</f>
        <v/>
      </c>
      <c r="H777" t="str">
        <f>IF(AND(Programme_Grunddaten!$A782="Geprüft",Programme_Grunddaten!AW782&lt;&gt;""),Programme_Grunddaten!AW782,"")</f>
        <v/>
      </c>
      <c r="I777" t="str">
        <f>IF(AND(Programme_Grunddaten!$A782="Geprüft",Programme_Grunddaten!AX782&lt;&gt;""),Programme_Grunddaten!AX782,"")</f>
        <v/>
      </c>
    </row>
    <row r="778" spans="1:9" x14ac:dyDescent="0.3">
      <c r="A778" s="1" t="str">
        <f>IF(AND(Programme_Grunddaten!$A783="Geprüft",Programme_Grunddaten!B783&lt;&gt;""),Programme_Grunddaten!B783,"")</f>
        <v/>
      </c>
      <c r="B778" s="1" t="str">
        <f>IF(AND(Programme_Grunddaten!$A783="Geprüft",Programme_Grunddaten!C783&lt;&gt;""),Programme_Grunddaten!C783,"")</f>
        <v/>
      </c>
      <c r="C778" s="1" t="str">
        <f>IF(AND(Programme_Grunddaten!$A783="Geprüft",Programme_Grunddaten!D783&lt;&gt;""),Programme_Grunddaten!D783,"")</f>
        <v/>
      </c>
      <c r="D778" s="2" t="str">
        <f>IF(AND(Programme_Grunddaten!$A783="Geprüft",Programme_Grunddaten!E783&lt;&gt;""),Programme_Grunddaten!E783,"")</f>
        <v/>
      </c>
      <c r="E778" t="str">
        <f>IF(AND(Programme_Grunddaten!$A783="Geprüft",Programme_Grunddaten!G783&lt;&gt;""),Programme_Grunddaten!G783,"")</f>
        <v/>
      </c>
      <c r="F778" t="str">
        <f>IF(AND(Programme_Grunddaten!$A783="Geprüft",Programme_Grunddaten!F783&lt;&gt;""),Programme_Grunddaten!F783,"")</f>
        <v/>
      </c>
      <c r="G778" s="3" t="str">
        <f>IF(AND(Programme_Grunddaten!$A783="Geprüft",Programme_Grunddaten!S783&lt;&gt;""),Programme_Grunddaten!S783,"")</f>
        <v/>
      </c>
      <c r="H778" t="str">
        <f>IF(AND(Programme_Grunddaten!$A783="Geprüft",Programme_Grunddaten!AW783&lt;&gt;""),Programme_Grunddaten!AW783,"")</f>
        <v/>
      </c>
      <c r="I778" t="str">
        <f>IF(AND(Programme_Grunddaten!$A783="Geprüft",Programme_Grunddaten!AX783&lt;&gt;""),Programme_Grunddaten!AX783,"")</f>
        <v/>
      </c>
    </row>
    <row r="779" spans="1:9" x14ac:dyDescent="0.3">
      <c r="A779" s="1" t="str">
        <f>IF(AND(Programme_Grunddaten!$A784="Geprüft",Programme_Grunddaten!B784&lt;&gt;""),Programme_Grunddaten!B784,"")</f>
        <v/>
      </c>
      <c r="B779" s="1" t="str">
        <f>IF(AND(Programme_Grunddaten!$A784="Geprüft",Programme_Grunddaten!C784&lt;&gt;""),Programme_Grunddaten!C784,"")</f>
        <v/>
      </c>
      <c r="C779" s="1" t="str">
        <f>IF(AND(Programme_Grunddaten!$A784="Geprüft",Programme_Grunddaten!D784&lt;&gt;""),Programme_Grunddaten!D784,"")</f>
        <v/>
      </c>
      <c r="D779" s="2" t="str">
        <f>IF(AND(Programme_Grunddaten!$A784="Geprüft",Programme_Grunddaten!E784&lt;&gt;""),Programme_Grunddaten!E784,"")</f>
        <v/>
      </c>
      <c r="E779" t="str">
        <f>IF(AND(Programme_Grunddaten!$A784="Geprüft",Programme_Grunddaten!G784&lt;&gt;""),Programme_Grunddaten!G784,"")</f>
        <v/>
      </c>
      <c r="F779" t="str">
        <f>IF(AND(Programme_Grunddaten!$A784="Geprüft",Programme_Grunddaten!F784&lt;&gt;""),Programme_Grunddaten!F784,"")</f>
        <v/>
      </c>
      <c r="G779" s="3" t="str">
        <f>IF(AND(Programme_Grunddaten!$A784="Geprüft",Programme_Grunddaten!S784&lt;&gt;""),Programme_Grunddaten!S784,"")</f>
        <v/>
      </c>
      <c r="H779" t="str">
        <f>IF(AND(Programme_Grunddaten!$A784="Geprüft",Programme_Grunddaten!AW784&lt;&gt;""),Programme_Grunddaten!AW784,"")</f>
        <v/>
      </c>
      <c r="I779" t="str">
        <f>IF(AND(Programme_Grunddaten!$A784="Geprüft",Programme_Grunddaten!AX784&lt;&gt;""),Programme_Grunddaten!AX784,"")</f>
        <v/>
      </c>
    </row>
    <row r="780" spans="1:9" x14ac:dyDescent="0.3">
      <c r="A780" s="1" t="str">
        <f>IF(AND(Programme_Grunddaten!$A785="Geprüft",Programme_Grunddaten!B785&lt;&gt;""),Programme_Grunddaten!B785,"")</f>
        <v/>
      </c>
      <c r="B780" s="1" t="str">
        <f>IF(AND(Programme_Grunddaten!$A785="Geprüft",Programme_Grunddaten!C785&lt;&gt;""),Programme_Grunddaten!C785,"")</f>
        <v/>
      </c>
      <c r="C780" s="1" t="str">
        <f>IF(AND(Programme_Grunddaten!$A785="Geprüft",Programme_Grunddaten!D785&lt;&gt;""),Programme_Grunddaten!D785,"")</f>
        <v/>
      </c>
      <c r="D780" s="2" t="str">
        <f>IF(AND(Programme_Grunddaten!$A785="Geprüft",Programme_Grunddaten!E785&lt;&gt;""),Programme_Grunddaten!E785,"")</f>
        <v/>
      </c>
      <c r="E780" t="str">
        <f>IF(AND(Programme_Grunddaten!$A785="Geprüft",Programme_Grunddaten!G785&lt;&gt;""),Programme_Grunddaten!G785,"")</f>
        <v/>
      </c>
      <c r="F780" t="str">
        <f>IF(AND(Programme_Grunddaten!$A785="Geprüft",Programme_Grunddaten!F785&lt;&gt;""),Programme_Grunddaten!F785,"")</f>
        <v/>
      </c>
      <c r="G780" s="3" t="str">
        <f>IF(AND(Programme_Grunddaten!$A785="Geprüft",Programme_Grunddaten!S785&lt;&gt;""),Programme_Grunddaten!S785,"")</f>
        <v/>
      </c>
      <c r="H780" t="str">
        <f>IF(AND(Programme_Grunddaten!$A785="Geprüft",Programme_Grunddaten!AW785&lt;&gt;""),Programme_Grunddaten!AW785,"")</f>
        <v/>
      </c>
      <c r="I780" t="str">
        <f>IF(AND(Programme_Grunddaten!$A785="Geprüft",Programme_Grunddaten!AX785&lt;&gt;""),Programme_Grunddaten!AX785,"")</f>
        <v/>
      </c>
    </row>
    <row r="781" spans="1:9" x14ac:dyDescent="0.3">
      <c r="A781" s="1" t="str">
        <f>IF(AND(Programme_Grunddaten!$A786="Geprüft",Programme_Grunddaten!B786&lt;&gt;""),Programme_Grunddaten!B786,"")</f>
        <v/>
      </c>
      <c r="B781" s="1" t="str">
        <f>IF(AND(Programme_Grunddaten!$A786="Geprüft",Programme_Grunddaten!C786&lt;&gt;""),Programme_Grunddaten!C786,"")</f>
        <v/>
      </c>
      <c r="C781" s="1" t="str">
        <f>IF(AND(Programme_Grunddaten!$A786="Geprüft",Programme_Grunddaten!D786&lt;&gt;""),Programme_Grunddaten!D786,"")</f>
        <v/>
      </c>
      <c r="D781" s="2" t="str">
        <f>IF(AND(Programme_Grunddaten!$A786="Geprüft",Programme_Grunddaten!E786&lt;&gt;""),Programme_Grunddaten!E786,"")</f>
        <v/>
      </c>
      <c r="E781" t="str">
        <f>IF(AND(Programme_Grunddaten!$A786="Geprüft",Programme_Grunddaten!G786&lt;&gt;""),Programme_Grunddaten!G786,"")</f>
        <v/>
      </c>
      <c r="F781" t="str">
        <f>IF(AND(Programme_Grunddaten!$A786="Geprüft",Programme_Grunddaten!F786&lt;&gt;""),Programme_Grunddaten!F786,"")</f>
        <v/>
      </c>
      <c r="G781" s="3" t="str">
        <f>IF(AND(Programme_Grunddaten!$A786="Geprüft",Programme_Grunddaten!S786&lt;&gt;""),Programme_Grunddaten!S786,"")</f>
        <v/>
      </c>
      <c r="H781" t="str">
        <f>IF(AND(Programme_Grunddaten!$A786="Geprüft",Programme_Grunddaten!AW786&lt;&gt;""),Programme_Grunddaten!AW786,"")</f>
        <v/>
      </c>
      <c r="I781" t="str">
        <f>IF(AND(Programme_Grunddaten!$A786="Geprüft",Programme_Grunddaten!AX786&lt;&gt;""),Programme_Grunddaten!AX786,"")</f>
        <v/>
      </c>
    </row>
    <row r="782" spans="1:9" x14ac:dyDescent="0.3">
      <c r="A782" s="1" t="str">
        <f>IF(AND(Programme_Grunddaten!$A787="Geprüft",Programme_Grunddaten!B787&lt;&gt;""),Programme_Grunddaten!B787,"")</f>
        <v/>
      </c>
      <c r="B782" s="1" t="str">
        <f>IF(AND(Programme_Grunddaten!$A787="Geprüft",Programme_Grunddaten!C787&lt;&gt;""),Programme_Grunddaten!C787,"")</f>
        <v/>
      </c>
      <c r="C782" s="1" t="str">
        <f>IF(AND(Programme_Grunddaten!$A787="Geprüft",Programme_Grunddaten!D787&lt;&gt;""),Programme_Grunddaten!D787,"")</f>
        <v/>
      </c>
      <c r="D782" s="2" t="str">
        <f>IF(AND(Programme_Grunddaten!$A787="Geprüft",Programme_Grunddaten!E787&lt;&gt;""),Programme_Grunddaten!E787,"")</f>
        <v/>
      </c>
      <c r="E782" t="str">
        <f>IF(AND(Programme_Grunddaten!$A787="Geprüft",Programme_Grunddaten!G787&lt;&gt;""),Programme_Grunddaten!G787,"")</f>
        <v/>
      </c>
      <c r="F782" t="str">
        <f>IF(AND(Programme_Grunddaten!$A787="Geprüft",Programme_Grunddaten!F787&lt;&gt;""),Programme_Grunddaten!F787,"")</f>
        <v/>
      </c>
      <c r="G782" s="3" t="str">
        <f>IF(AND(Programme_Grunddaten!$A787="Geprüft",Programme_Grunddaten!S787&lt;&gt;""),Programme_Grunddaten!S787,"")</f>
        <v/>
      </c>
      <c r="H782" t="str">
        <f>IF(AND(Programme_Grunddaten!$A787="Geprüft",Programme_Grunddaten!AW787&lt;&gt;""),Programme_Grunddaten!AW787,"")</f>
        <v/>
      </c>
      <c r="I782" t="str">
        <f>IF(AND(Programme_Grunddaten!$A787="Geprüft",Programme_Grunddaten!AX787&lt;&gt;""),Programme_Grunddaten!AX787,"")</f>
        <v/>
      </c>
    </row>
    <row r="783" spans="1:9" x14ac:dyDescent="0.3">
      <c r="A783" s="1" t="str">
        <f>IF(AND(Programme_Grunddaten!$A788="Geprüft",Programme_Grunddaten!B788&lt;&gt;""),Programme_Grunddaten!B788,"")</f>
        <v/>
      </c>
      <c r="B783" s="1" t="str">
        <f>IF(AND(Programme_Grunddaten!$A788="Geprüft",Programme_Grunddaten!C788&lt;&gt;""),Programme_Grunddaten!C788,"")</f>
        <v/>
      </c>
      <c r="C783" s="1" t="str">
        <f>IF(AND(Programme_Grunddaten!$A788="Geprüft",Programme_Grunddaten!D788&lt;&gt;""),Programme_Grunddaten!D788,"")</f>
        <v/>
      </c>
      <c r="D783" s="2" t="str">
        <f>IF(AND(Programme_Grunddaten!$A788="Geprüft",Programme_Grunddaten!E788&lt;&gt;""),Programme_Grunddaten!E788,"")</f>
        <v/>
      </c>
      <c r="E783" t="str">
        <f>IF(AND(Programme_Grunddaten!$A788="Geprüft",Programme_Grunddaten!G788&lt;&gt;""),Programme_Grunddaten!G788,"")</f>
        <v/>
      </c>
      <c r="F783" t="str">
        <f>IF(AND(Programme_Grunddaten!$A788="Geprüft",Programme_Grunddaten!F788&lt;&gt;""),Programme_Grunddaten!F788,"")</f>
        <v/>
      </c>
      <c r="G783" s="3" t="str">
        <f>IF(AND(Programme_Grunddaten!$A788="Geprüft",Programme_Grunddaten!S788&lt;&gt;""),Programme_Grunddaten!S788,"")</f>
        <v/>
      </c>
      <c r="H783" t="str">
        <f>IF(AND(Programme_Grunddaten!$A788="Geprüft",Programme_Grunddaten!AW788&lt;&gt;""),Programme_Grunddaten!AW788,"")</f>
        <v/>
      </c>
      <c r="I783" t="str">
        <f>IF(AND(Programme_Grunddaten!$A788="Geprüft",Programme_Grunddaten!AX788&lt;&gt;""),Programme_Grunddaten!AX788,"")</f>
        <v/>
      </c>
    </row>
    <row r="784" spans="1:9" x14ac:dyDescent="0.3">
      <c r="A784" s="1" t="str">
        <f>IF(AND(Programme_Grunddaten!$A789="Geprüft",Programme_Grunddaten!B789&lt;&gt;""),Programme_Grunddaten!B789,"")</f>
        <v/>
      </c>
      <c r="B784" s="1" t="str">
        <f>IF(AND(Programme_Grunddaten!$A789="Geprüft",Programme_Grunddaten!C789&lt;&gt;""),Programme_Grunddaten!C789,"")</f>
        <v/>
      </c>
      <c r="C784" s="1" t="str">
        <f>IF(AND(Programme_Grunddaten!$A789="Geprüft",Programme_Grunddaten!D789&lt;&gt;""),Programme_Grunddaten!D789,"")</f>
        <v/>
      </c>
      <c r="D784" s="2" t="str">
        <f>IF(AND(Programme_Grunddaten!$A789="Geprüft",Programme_Grunddaten!E789&lt;&gt;""),Programme_Grunddaten!E789,"")</f>
        <v/>
      </c>
      <c r="E784" t="str">
        <f>IF(AND(Programme_Grunddaten!$A789="Geprüft",Programme_Grunddaten!G789&lt;&gt;""),Programme_Grunddaten!G789,"")</f>
        <v/>
      </c>
      <c r="F784" t="str">
        <f>IF(AND(Programme_Grunddaten!$A789="Geprüft",Programme_Grunddaten!F789&lt;&gt;""),Programme_Grunddaten!F789,"")</f>
        <v/>
      </c>
      <c r="G784" s="3" t="str">
        <f>IF(AND(Programme_Grunddaten!$A789="Geprüft",Programme_Grunddaten!S789&lt;&gt;""),Programme_Grunddaten!S789,"")</f>
        <v/>
      </c>
      <c r="H784" t="str">
        <f>IF(AND(Programme_Grunddaten!$A789="Geprüft",Programme_Grunddaten!AW789&lt;&gt;""),Programme_Grunddaten!AW789,"")</f>
        <v/>
      </c>
      <c r="I784" t="str">
        <f>IF(AND(Programme_Grunddaten!$A789="Geprüft",Programme_Grunddaten!AX789&lt;&gt;""),Programme_Grunddaten!AX789,"")</f>
        <v/>
      </c>
    </row>
    <row r="785" spans="1:9" x14ac:dyDescent="0.3">
      <c r="A785" s="1" t="str">
        <f>IF(AND(Programme_Grunddaten!$A790="Geprüft",Programme_Grunddaten!B790&lt;&gt;""),Programme_Grunddaten!B790,"")</f>
        <v/>
      </c>
      <c r="B785" s="1" t="str">
        <f>IF(AND(Programme_Grunddaten!$A790="Geprüft",Programme_Grunddaten!C790&lt;&gt;""),Programme_Grunddaten!C790,"")</f>
        <v/>
      </c>
      <c r="C785" s="1" t="str">
        <f>IF(AND(Programme_Grunddaten!$A790="Geprüft",Programme_Grunddaten!D790&lt;&gt;""),Programme_Grunddaten!D790,"")</f>
        <v/>
      </c>
      <c r="D785" s="2" t="str">
        <f>IF(AND(Programme_Grunddaten!$A790="Geprüft",Programme_Grunddaten!E790&lt;&gt;""),Programme_Grunddaten!E790,"")</f>
        <v/>
      </c>
      <c r="E785" t="str">
        <f>IF(AND(Programme_Grunddaten!$A790="Geprüft",Programme_Grunddaten!G790&lt;&gt;""),Programme_Grunddaten!G790,"")</f>
        <v/>
      </c>
      <c r="F785" t="str">
        <f>IF(AND(Programme_Grunddaten!$A790="Geprüft",Programme_Grunddaten!F790&lt;&gt;""),Programme_Grunddaten!F790,"")</f>
        <v/>
      </c>
      <c r="G785" s="3" t="str">
        <f>IF(AND(Programme_Grunddaten!$A790="Geprüft",Programme_Grunddaten!S790&lt;&gt;""),Programme_Grunddaten!S790,"")</f>
        <v/>
      </c>
      <c r="H785" t="str">
        <f>IF(AND(Programme_Grunddaten!$A790="Geprüft",Programme_Grunddaten!AW790&lt;&gt;""),Programme_Grunddaten!AW790,"")</f>
        <v/>
      </c>
      <c r="I785" t="str">
        <f>IF(AND(Programme_Grunddaten!$A790="Geprüft",Programme_Grunddaten!AX790&lt;&gt;""),Programme_Grunddaten!AX790,"")</f>
        <v/>
      </c>
    </row>
    <row r="786" spans="1:9" x14ac:dyDescent="0.3">
      <c r="A786" s="1" t="str">
        <f>IF(AND(Programme_Grunddaten!$A791="Geprüft",Programme_Grunddaten!B791&lt;&gt;""),Programme_Grunddaten!B791,"")</f>
        <v/>
      </c>
      <c r="B786" s="1" t="str">
        <f>IF(AND(Programme_Grunddaten!$A791="Geprüft",Programme_Grunddaten!C791&lt;&gt;""),Programme_Grunddaten!C791,"")</f>
        <v/>
      </c>
      <c r="C786" s="1" t="str">
        <f>IF(AND(Programme_Grunddaten!$A791="Geprüft",Programme_Grunddaten!D791&lt;&gt;""),Programme_Grunddaten!D791,"")</f>
        <v/>
      </c>
      <c r="D786" s="2" t="str">
        <f>IF(AND(Programme_Grunddaten!$A791="Geprüft",Programme_Grunddaten!E791&lt;&gt;""),Programme_Grunddaten!E791,"")</f>
        <v/>
      </c>
      <c r="E786" t="str">
        <f>IF(AND(Programme_Grunddaten!$A791="Geprüft",Programme_Grunddaten!G791&lt;&gt;""),Programme_Grunddaten!G791,"")</f>
        <v/>
      </c>
      <c r="F786" t="str">
        <f>IF(AND(Programme_Grunddaten!$A791="Geprüft",Programme_Grunddaten!F791&lt;&gt;""),Programme_Grunddaten!F791,"")</f>
        <v/>
      </c>
      <c r="G786" s="3" t="str">
        <f>IF(AND(Programme_Grunddaten!$A791="Geprüft",Programme_Grunddaten!S791&lt;&gt;""),Programme_Grunddaten!S791,"")</f>
        <v/>
      </c>
      <c r="H786" t="str">
        <f>IF(AND(Programme_Grunddaten!$A791="Geprüft",Programme_Grunddaten!AW791&lt;&gt;""),Programme_Grunddaten!AW791,"")</f>
        <v/>
      </c>
      <c r="I786" t="str">
        <f>IF(AND(Programme_Grunddaten!$A791="Geprüft",Programme_Grunddaten!AX791&lt;&gt;""),Programme_Grunddaten!AX791,"")</f>
        <v/>
      </c>
    </row>
    <row r="787" spans="1:9" x14ac:dyDescent="0.3">
      <c r="A787" s="1" t="str">
        <f>IF(AND(Programme_Grunddaten!$A792="Geprüft",Programme_Grunddaten!B792&lt;&gt;""),Programme_Grunddaten!B792,"")</f>
        <v/>
      </c>
      <c r="B787" s="1" t="str">
        <f>IF(AND(Programme_Grunddaten!$A792="Geprüft",Programme_Grunddaten!C792&lt;&gt;""),Programme_Grunddaten!C792,"")</f>
        <v/>
      </c>
      <c r="C787" s="1" t="str">
        <f>IF(AND(Programme_Grunddaten!$A792="Geprüft",Programme_Grunddaten!D792&lt;&gt;""),Programme_Grunddaten!D792,"")</f>
        <v/>
      </c>
      <c r="D787" s="2" t="str">
        <f>IF(AND(Programme_Grunddaten!$A792="Geprüft",Programme_Grunddaten!E792&lt;&gt;""),Programme_Grunddaten!E792,"")</f>
        <v/>
      </c>
      <c r="E787" t="str">
        <f>IF(AND(Programme_Grunddaten!$A792="Geprüft",Programme_Grunddaten!G792&lt;&gt;""),Programme_Grunddaten!G792,"")</f>
        <v/>
      </c>
      <c r="F787" t="str">
        <f>IF(AND(Programme_Grunddaten!$A792="Geprüft",Programme_Grunddaten!F792&lt;&gt;""),Programme_Grunddaten!F792,"")</f>
        <v/>
      </c>
      <c r="G787" s="3" t="str">
        <f>IF(AND(Programme_Grunddaten!$A792="Geprüft",Programme_Grunddaten!S792&lt;&gt;""),Programme_Grunddaten!S792,"")</f>
        <v/>
      </c>
      <c r="H787" t="str">
        <f>IF(AND(Programme_Grunddaten!$A792="Geprüft",Programme_Grunddaten!AW792&lt;&gt;""),Programme_Grunddaten!AW792,"")</f>
        <v/>
      </c>
      <c r="I787" t="str">
        <f>IF(AND(Programme_Grunddaten!$A792="Geprüft",Programme_Grunddaten!AX792&lt;&gt;""),Programme_Grunddaten!AX792,"")</f>
        <v/>
      </c>
    </row>
    <row r="788" spans="1:9" x14ac:dyDescent="0.3">
      <c r="A788" s="1" t="str">
        <f>IF(AND(Programme_Grunddaten!$A793="Geprüft",Programme_Grunddaten!B793&lt;&gt;""),Programme_Grunddaten!B793,"")</f>
        <v/>
      </c>
      <c r="B788" s="1" t="str">
        <f>IF(AND(Programme_Grunddaten!$A793="Geprüft",Programme_Grunddaten!C793&lt;&gt;""),Programme_Grunddaten!C793,"")</f>
        <v/>
      </c>
      <c r="C788" s="1" t="str">
        <f>IF(AND(Programme_Grunddaten!$A793="Geprüft",Programme_Grunddaten!D793&lt;&gt;""),Programme_Grunddaten!D793,"")</f>
        <v/>
      </c>
      <c r="D788" s="2" t="str">
        <f>IF(AND(Programme_Grunddaten!$A793="Geprüft",Programme_Grunddaten!E793&lt;&gt;""),Programme_Grunddaten!E793,"")</f>
        <v/>
      </c>
      <c r="E788" t="str">
        <f>IF(AND(Programme_Grunddaten!$A793="Geprüft",Programme_Grunddaten!G793&lt;&gt;""),Programme_Grunddaten!G793,"")</f>
        <v/>
      </c>
      <c r="F788" t="str">
        <f>IF(AND(Programme_Grunddaten!$A793="Geprüft",Programme_Grunddaten!F793&lt;&gt;""),Programme_Grunddaten!F793,"")</f>
        <v/>
      </c>
      <c r="G788" s="3" t="str">
        <f>IF(AND(Programme_Grunddaten!$A793="Geprüft",Programme_Grunddaten!S793&lt;&gt;""),Programme_Grunddaten!S793,"")</f>
        <v/>
      </c>
      <c r="H788" t="str">
        <f>IF(AND(Programme_Grunddaten!$A793="Geprüft",Programme_Grunddaten!AW793&lt;&gt;""),Programme_Grunddaten!AW793,"")</f>
        <v/>
      </c>
      <c r="I788" t="str">
        <f>IF(AND(Programme_Grunddaten!$A793="Geprüft",Programme_Grunddaten!AX793&lt;&gt;""),Programme_Grunddaten!AX793,"")</f>
        <v/>
      </c>
    </row>
    <row r="789" spans="1:9" x14ac:dyDescent="0.3">
      <c r="A789" s="1" t="str">
        <f>IF(AND(Programme_Grunddaten!$A794="Geprüft",Programme_Grunddaten!B794&lt;&gt;""),Programme_Grunddaten!B794,"")</f>
        <v/>
      </c>
      <c r="B789" s="1" t="str">
        <f>IF(AND(Programme_Grunddaten!$A794="Geprüft",Programme_Grunddaten!C794&lt;&gt;""),Programme_Grunddaten!C794,"")</f>
        <v/>
      </c>
      <c r="C789" s="1" t="str">
        <f>IF(AND(Programme_Grunddaten!$A794="Geprüft",Programme_Grunddaten!D794&lt;&gt;""),Programme_Grunddaten!D794,"")</f>
        <v/>
      </c>
      <c r="D789" s="2" t="str">
        <f>IF(AND(Programme_Grunddaten!$A794="Geprüft",Programme_Grunddaten!E794&lt;&gt;""),Programme_Grunddaten!E794,"")</f>
        <v/>
      </c>
      <c r="E789" t="str">
        <f>IF(AND(Programme_Grunddaten!$A794="Geprüft",Programme_Grunddaten!G794&lt;&gt;""),Programme_Grunddaten!G794,"")</f>
        <v/>
      </c>
      <c r="F789" t="str">
        <f>IF(AND(Programme_Grunddaten!$A794="Geprüft",Programme_Grunddaten!F794&lt;&gt;""),Programme_Grunddaten!F794,"")</f>
        <v/>
      </c>
      <c r="G789" s="3" t="str">
        <f>IF(AND(Programme_Grunddaten!$A794="Geprüft",Programme_Grunddaten!S794&lt;&gt;""),Programme_Grunddaten!S794,"")</f>
        <v/>
      </c>
      <c r="H789" t="str">
        <f>IF(AND(Programme_Grunddaten!$A794="Geprüft",Programme_Grunddaten!AW794&lt;&gt;""),Programme_Grunddaten!AW794,"")</f>
        <v/>
      </c>
      <c r="I789" t="str">
        <f>IF(AND(Programme_Grunddaten!$A794="Geprüft",Programme_Grunddaten!AX794&lt;&gt;""),Programme_Grunddaten!AX794,"")</f>
        <v/>
      </c>
    </row>
    <row r="790" spans="1:9" x14ac:dyDescent="0.3">
      <c r="A790" s="1" t="str">
        <f>IF(AND(Programme_Grunddaten!$A795="Geprüft",Programme_Grunddaten!B795&lt;&gt;""),Programme_Grunddaten!B795,"")</f>
        <v/>
      </c>
      <c r="B790" s="1" t="str">
        <f>IF(AND(Programme_Grunddaten!$A795="Geprüft",Programme_Grunddaten!C795&lt;&gt;""),Programme_Grunddaten!C795,"")</f>
        <v/>
      </c>
      <c r="C790" s="1" t="str">
        <f>IF(AND(Programme_Grunddaten!$A795="Geprüft",Programme_Grunddaten!D795&lt;&gt;""),Programme_Grunddaten!D795,"")</f>
        <v/>
      </c>
      <c r="D790" s="2" t="str">
        <f>IF(AND(Programme_Grunddaten!$A795="Geprüft",Programme_Grunddaten!E795&lt;&gt;""),Programme_Grunddaten!E795,"")</f>
        <v/>
      </c>
      <c r="E790" t="str">
        <f>IF(AND(Programme_Grunddaten!$A795="Geprüft",Programme_Grunddaten!G795&lt;&gt;""),Programme_Grunddaten!G795,"")</f>
        <v/>
      </c>
      <c r="F790" t="str">
        <f>IF(AND(Programme_Grunddaten!$A795="Geprüft",Programme_Grunddaten!F795&lt;&gt;""),Programme_Grunddaten!F795,"")</f>
        <v/>
      </c>
      <c r="G790" s="3" t="str">
        <f>IF(AND(Programme_Grunddaten!$A795="Geprüft",Programme_Grunddaten!S795&lt;&gt;""),Programme_Grunddaten!S795,"")</f>
        <v/>
      </c>
      <c r="H790" t="str">
        <f>IF(AND(Programme_Grunddaten!$A795="Geprüft",Programme_Grunddaten!AW795&lt;&gt;""),Programme_Grunddaten!AW795,"")</f>
        <v/>
      </c>
      <c r="I790" t="str">
        <f>IF(AND(Programme_Grunddaten!$A795="Geprüft",Programme_Grunddaten!AX795&lt;&gt;""),Programme_Grunddaten!AX795,"")</f>
        <v/>
      </c>
    </row>
    <row r="791" spans="1:9" x14ac:dyDescent="0.3">
      <c r="A791" s="1" t="str">
        <f>IF(AND(Programme_Grunddaten!$A796="Geprüft",Programme_Grunddaten!B796&lt;&gt;""),Programme_Grunddaten!B796,"")</f>
        <v/>
      </c>
      <c r="B791" s="1" t="str">
        <f>IF(AND(Programme_Grunddaten!$A796="Geprüft",Programme_Grunddaten!C796&lt;&gt;""),Programme_Grunddaten!C796,"")</f>
        <v/>
      </c>
      <c r="C791" s="1" t="str">
        <f>IF(AND(Programme_Grunddaten!$A796="Geprüft",Programme_Grunddaten!D796&lt;&gt;""),Programme_Grunddaten!D796,"")</f>
        <v/>
      </c>
      <c r="D791" s="2" t="str">
        <f>IF(AND(Programme_Grunddaten!$A796="Geprüft",Programme_Grunddaten!E796&lt;&gt;""),Programme_Grunddaten!E796,"")</f>
        <v/>
      </c>
      <c r="E791" t="str">
        <f>IF(AND(Programme_Grunddaten!$A796="Geprüft",Programme_Grunddaten!G796&lt;&gt;""),Programme_Grunddaten!G796,"")</f>
        <v/>
      </c>
      <c r="F791" t="str">
        <f>IF(AND(Programme_Grunddaten!$A796="Geprüft",Programme_Grunddaten!F796&lt;&gt;""),Programme_Grunddaten!F796,"")</f>
        <v/>
      </c>
      <c r="G791" s="3" t="str">
        <f>IF(AND(Programme_Grunddaten!$A796="Geprüft",Programme_Grunddaten!S796&lt;&gt;""),Programme_Grunddaten!S796,"")</f>
        <v/>
      </c>
      <c r="H791" t="str">
        <f>IF(AND(Programme_Grunddaten!$A796="Geprüft",Programme_Grunddaten!AW796&lt;&gt;""),Programme_Grunddaten!AW796,"")</f>
        <v/>
      </c>
      <c r="I791" t="str">
        <f>IF(AND(Programme_Grunddaten!$A796="Geprüft",Programme_Grunddaten!AX796&lt;&gt;""),Programme_Grunddaten!AX796,"")</f>
        <v/>
      </c>
    </row>
    <row r="792" spans="1:9" x14ac:dyDescent="0.3">
      <c r="A792" s="1" t="str">
        <f>IF(AND(Programme_Grunddaten!$A797="Geprüft",Programme_Grunddaten!B797&lt;&gt;""),Programme_Grunddaten!B797,"")</f>
        <v/>
      </c>
      <c r="B792" s="1" t="str">
        <f>IF(AND(Programme_Grunddaten!$A797="Geprüft",Programme_Grunddaten!C797&lt;&gt;""),Programme_Grunddaten!C797,"")</f>
        <v/>
      </c>
      <c r="C792" s="1" t="str">
        <f>IF(AND(Programme_Grunddaten!$A797="Geprüft",Programme_Grunddaten!D797&lt;&gt;""),Programme_Grunddaten!D797,"")</f>
        <v/>
      </c>
      <c r="D792" s="2" t="str">
        <f>IF(AND(Programme_Grunddaten!$A797="Geprüft",Programme_Grunddaten!E797&lt;&gt;""),Programme_Grunddaten!E797,"")</f>
        <v/>
      </c>
      <c r="E792" t="str">
        <f>IF(AND(Programme_Grunddaten!$A797="Geprüft",Programme_Grunddaten!G797&lt;&gt;""),Programme_Grunddaten!G797,"")</f>
        <v/>
      </c>
      <c r="F792" t="str">
        <f>IF(AND(Programme_Grunddaten!$A797="Geprüft",Programme_Grunddaten!F797&lt;&gt;""),Programme_Grunddaten!F797,"")</f>
        <v/>
      </c>
      <c r="G792" s="3" t="str">
        <f>IF(AND(Programme_Grunddaten!$A797="Geprüft",Programme_Grunddaten!S797&lt;&gt;""),Programme_Grunddaten!S797,"")</f>
        <v/>
      </c>
      <c r="H792" t="str">
        <f>IF(AND(Programme_Grunddaten!$A797="Geprüft",Programme_Grunddaten!AW797&lt;&gt;""),Programme_Grunddaten!AW797,"")</f>
        <v/>
      </c>
      <c r="I792" t="str">
        <f>IF(AND(Programme_Grunddaten!$A797="Geprüft",Programme_Grunddaten!AX797&lt;&gt;""),Programme_Grunddaten!AX797,"")</f>
        <v/>
      </c>
    </row>
    <row r="793" spans="1:9" x14ac:dyDescent="0.3">
      <c r="A793" s="1" t="str">
        <f>IF(AND(Programme_Grunddaten!$A798="Geprüft",Programme_Grunddaten!B798&lt;&gt;""),Programme_Grunddaten!B798,"")</f>
        <v/>
      </c>
      <c r="B793" s="1" t="str">
        <f>IF(AND(Programme_Grunddaten!$A798="Geprüft",Programme_Grunddaten!C798&lt;&gt;""),Programme_Grunddaten!C798,"")</f>
        <v/>
      </c>
      <c r="C793" s="1" t="str">
        <f>IF(AND(Programme_Grunddaten!$A798="Geprüft",Programme_Grunddaten!D798&lt;&gt;""),Programme_Grunddaten!D798,"")</f>
        <v/>
      </c>
      <c r="D793" s="2" t="str">
        <f>IF(AND(Programme_Grunddaten!$A798="Geprüft",Programme_Grunddaten!E798&lt;&gt;""),Programme_Grunddaten!E798,"")</f>
        <v/>
      </c>
      <c r="E793" t="str">
        <f>IF(AND(Programme_Grunddaten!$A798="Geprüft",Programme_Grunddaten!G798&lt;&gt;""),Programme_Grunddaten!G798,"")</f>
        <v/>
      </c>
      <c r="F793" t="str">
        <f>IF(AND(Programme_Grunddaten!$A798="Geprüft",Programme_Grunddaten!F798&lt;&gt;""),Programme_Grunddaten!F798,"")</f>
        <v/>
      </c>
      <c r="G793" s="3" t="str">
        <f>IF(AND(Programme_Grunddaten!$A798="Geprüft",Programme_Grunddaten!S798&lt;&gt;""),Programme_Grunddaten!S798,"")</f>
        <v/>
      </c>
      <c r="H793" t="str">
        <f>IF(AND(Programme_Grunddaten!$A798="Geprüft",Programme_Grunddaten!AW798&lt;&gt;""),Programme_Grunddaten!AW798,"")</f>
        <v/>
      </c>
      <c r="I793" t="str">
        <f>IF(AND(Programme_Grunddaten!$A798="Geprüft",Programme_Grunddaten!AX798&lt;&gt;""),Programme_Grunddaten!AX798,"")</f>
        <v/>
      </c>
    </row>
    <row r="794" spans="1:9" x14ac:dyDescent="0.3">
      <c r="A794" s="1" t="str">
        <f>IF(AND(Programme_Grunddaten!$A799="Geprüft",Programme_Grunddaten!B799&lt;&gt;""),Programme_Grunddaten!B799,"")</f>
        <v/>
      </c>
      <c r="B794" s="1" t="str">
        <f>IF(AND(Programme_Grunddaten!$A799="Geprüft",Programme_Grunddaten!C799&lt;&gt;""),Programme_Grunddaten!C799,"")</f>
        <v/>
      </c>
      <c r="C794" s="1" t="str">
        <f>IF(AND(Programme_Grunddaten!$A799="Geprüft",Programme_Grunddaten!D799&lt;&gt;""),Programme_Grunddaten!D799,"")</f>
        <v/>
      </c>
      <c r="D794" s="2" t="str">
        <f>IF(AND(Programme_Grunddaten!$A799="Geprüft",Programme_Grunddaten!E799&lt;&gt;""),Programme_Grunddaten!E799,"")</f>
        <v/>
      </c>
      <c r="E794" t="str">
        <f>IF(AND(Programme_Grunddaten!$A799="Geprüft",Programme_Grunddaten!G799&lt;&gt;""),Programme_Grunddaten!G799,"")</f>
        <v/>
      </c>
      <c r="F794" t="str">
        <f>IF(AND(Programme_Grunddaten!$A799="Geprüft",Programme_Grunddaten!F799&lt;&gt;""),Programme_Grunddaten!F799,"")</f>
        <v/>
      </c>
      <c r="G794" s="3" t="str">
        <f>IF(AND(Programme_Grunddaten!$A799="Geprüft",Programme_Grunddaten!S799&lt;&gt;""),Programme_Grunddaten!S799,"")</f>
        <v/>
      </c>
      <c r="H794" t="str">
        <f>IF(AND(Programme_Grunddaten!$A799="Geprüft",Programme_Grunddaten!AW799&lt;&gt;""),Programme_Grunddaten!AW799,"")</f>
        <v/>
      </c>
      <c r="I794" t="str">
        <f>IF(AND(Programme_Grunddaten!$A799="Geprüft",Programme_Grunddaten!AX799&lt;&gt;""),Programme_Grunddaten!AX799,"")</f>
        <v/>
      </c>
    </row>
    <row r="795" spans="1:9" x14ac:dyDescent="0.3">
      <c r="A795" s="1" t="str">
        <f>IF(AND(Programme_Grunddaten!$A800="Geprüft",Programme_Grunddaten!B800&lt;&gt;""),Programme_Grunddaten!B800,"")</f>
        <v/>
      </c>
      <c r="B795" s="1" t="str">
        <f>IF(AND(Programme_Grunddaten!$A800="Geprüft",Programme_Grunddaten!C800&lt;&gt;""),Programme_Grunddaten!C800,"")</f>
        <v/>
      </c>
      <c r="C795" s="1" t="str">
        <f>IF(AND(Programme_Grunddaten!$A800="Geprüft",Programme_Grunddaten!D800&lt;&gt;""),Programme_Grunddaten!D800,"")</f>
        <v/>
      </c>
      <c r="D795" s="2" t="str">
        <f>IF(AND(Programme_Grunddaten!$A800="Geprüft",Programme_Grunddaten!E800&lt;&gt;""),Programme_Grunddaten!E800,"")</f>
        <v/>
      </c>
      <c r="E795" t="str">
        <f>IF(AND(Programme_Grunddaten!$A800="Geprüft",Programme_Grunddaten!G800&lt;&gt;""),Programme_Grunddaten!G800,"")</f>
        <v/>
      </c>
      <c r="F795" t="str">
        <f>IF(AND(Programme_Grunddaten!$A800="Geprüft",Programme_Grunddaten!F800&lt;&gt;""),Programme_Grunddaten!F800,"")</f>
        <v/>
      </c>
      <c r="G795" s="3" t="str">
        <f>IF(AND(Programme_Grunddaten!$A800="Geprüft",Programme_Grunddaten!S800&lt;&gt;""),Programme_Grunddaten!S800,"")</f>
        <v/>
      </c>
      <c r="H795" t="str">
        <f>IF(AND(Programme_Grunddaten!$A800="Geprüft",Programme_Grunddaten!AW800&lt;&gt;""),Programme_Grunddaten!AW800,"")</f>
        <v/>
      </c>
      <c r="I795" t="str">
        <f>IF(AND(Programme_Grunddaten!$A800="Geprüft",Programme_Grunddaten!AX800&lt;&gt;""),Programme_Grunddaten!AX800,"")</f>
        <v/>
      </c>
    </row>
    <row r="796" spans="1:9" x14ac:dyDescent="0.3">
      <c r="A796" s="1" t="str">
        <f>IF(AND(Programme_Grunddaten!$A801="Geprüft",Programme_Grunddaten!B801&lt;&gt;""),Programme_Grunddaten!B801,"")</f>
        <v/>
      </c>
      <c r="B796" s="1" t="str">
        <f>IF(AND(Programme_Grunddaten!$A801="Geprüft",Programme_Grunddaten!C801&lt;&gt;""),Programme_Grunddaten!C801,"")</f>
        <v/>
      </c>
      <c r="C796" s="1" t="str">
        <f>IF(AND(Programme_Grunddaten!$A801="Geprüft",Programme_Grunddaten!D801&lt;&gt;""),Programme_Grunddaten!D801,"")</f>
        <v/>
      </c>
      <c r="D796" s="2" t="str">
        <f>IF(AND(Programme_Grunddaten!$A801="Geprüft",Programme_Grunddaten!E801&lt;&gt;""),Programme_Grunddaten!E801,"")</f>
        <v/>
      </c>
      <c r="E796" t="str">
        <f>IF(AND(Programme_Grunddaten!$A801="Geprüft",Programme_Grunddaten!G801&lt;&gt;""),Programme_Grunddaten!G801,"")</f>
        <v/>
      </c>
      <c r="F796" t="str">
        <f>IF(AND(Programme_Grunddaten!$A801="Geprüft",Programme_Grunddaten!F801&lt;&gt;""),Programme_Grunddaten!F801,"")</f>
        <v/>
      </c>
      <c r="G796" s="3" t="str">
        <f>IF(AND(Programme_Grunddaten!$A801="Geprüft",Programme_Grunddaten!S801&lt;&gt;""),Programme_Grunddaten!S801,"")</f>
        <v/>
      </c>
      <c r="H796" t="str">
        <f>IF(AND(Programme_Grunddaten!$A801="Geprüft",Programme_Grunddaten!AW801&lt;&gt;""),Programme_Grunddaten!AW801,"")</f>
        <v/>
      </c>
      <c r="I796" t="str">
        <f>IF(AND(Programme_Grunddaten!$A801="Geprüft",Programme_Grunddaten!AX801&lt;&gt;""),Programme_Grunddaten!AX801,"")</f>
        <v/>
      </c>
    </row>
    <row r="797" spans="1:9" x14ac:dyDescent="0.3">
      <c r="A797" s="1" t="str">
        <f>IF(AND(Programme_Grunddaten!$A802="Geprüft",Programme_Grunddaten!B802&lt;&gt;""),Programme_Grunddaten!B802,"")</f>
        <v/>
      </c>
      <c r="B797" s="1" t="str">
        <f>IF(AND(Programme_Grunddaten!$A802="Geprüft",Programme_Grunddaten!C802&lt;&gt;""),Programme_Grunddaten!C802,"")</f>
        <v/>
      </c>
      <c r="C797" s="1" t="str">
        <f>IF(AND(Programme_Grunddaten!$A802="Geprüft",Programme_Grunddaten!D802&lt;&gt;""),Programme_Grunddaten!D802,"")</f>
        <v/>
      </c>
      <c r="D797" s="2" t="str">
        <f>IF(AND(Programme_Grunddaten!$A802="Geprüft",Programme_Grunddaten!E802&lt;&gt;""),Programme_Grunddaten!E802,"")</f>
        <v/>
      </c>
      <c r="E797" t="str">
        <f>IF(AND(Programme_Grunddaten!$A802="Geprüft",Programme_Grunddaten!G802&lt;&gt;""),Programme_Grunddaten!G802,"")</f>
        <v/>
      </c>
      <c r="F797" t="str">
        <f>IF(AND(Programme_Grunddaten!$A802="Geprüft",Programme_Grunddaten!F802&lt;&gt;""),Programme_Grunddaten!F802,"")</f>
        <v/>
      </c>
      <c r="G797" s="3" t="str">
        <f>IF(AND(Programme_Grunddaten!$A802="Geprüft",Programme_Grunddaten!S802&lt;&gt;""),Programme_Grunddaten!S802,"")</f>
        <v/>
      </c>
      <c r="H797" t="str">
        <f>IF(AND(Programme_Grunddaten!$A802="Geprüft",Programme_Grunddaten!AW802&lt;&gt;""),Programme_Grunddaten!AW802,"")</f>
        <v/>
      </c>
      <c r="I797" t="str">
        <f>IF(AND(Programme_Grunddaten!$A802="Geprüft",Programme_Grunddaten!AX802&lt;&gt;""),Programme_Grunddaten!AX802,"")</f>
        <v/>
      </c>
    </row>
    <row r="798" spans="1:9" x14ac:dyDescent="0.3">
      <c r="A798" s="1" t="str">
        <f>IF(AND(Programme_Grunddaten!$A803="Geprüft",Programme_Grunddaten!B803&lt;&gt;""),Programme_Grunddaten!B803,"")</f>
        <v/>
      </c>
      <c r="B798" s="1" t="str">
        <f>IF(AND(Programme_Grunddaten!$A803="Geprüft",Programme_Grunddaten!C803&lt;&gt;""),Programme_Grunddaten!C803,"")</f>
        <v/>
      </c>
      <c r="C798" s="1" t="str">
        <f>IF(AND(Programme_Grunddaten!$A803="Geprüft",Programme_Grunddaten!D803&lt;&gt;""),Programme_Grunddaten!D803,"")</f>
        <v/>
      </c>
      <c r="D798" s="2" t="str">
        <f>IF(AND(Programme_Grunddaten!$A803="Geprüft",Programme_Grunddaten!E803&lt;&gt;""),Programme_Grunddaten!E803,"")</f>
        <v/>
      </c>
      <c r="E798" t="str">
        <f>IF(AND(Programme_Grunddaten!$A803="Geprüft",Programme_Grunddaten!G803&lt;&gt;""),Programme_Grunddaten!G803,"")</f>
        <v/>
      </c>
      <c r="F798" t="str">
        <f>IF(AND(Programme_Grunddaten!$A803="Geprüft",Programme_Grunddaten!F803&lt;&gt;""),Programme_Grunddaten!F803,"")</f>
        <v/>
      </c>
      <c r="G798" s="3" t="str">
        <f>IF(AND(Programme_Grunddaten!$A803="Geprüft",Programme_Grunddaten!S803&lt;&gt;""),Programme_Grunddaten!S803,"")</f>
        <v/>
      </c>
      <c r="H798" t="str">
        <f>IF(AND(Programme_Grunddaten!$A803="Geprüft",Programme_Grunddaten!AW803&lt;&gt;""),Programme_Grunddaten!AW803,"")</f>
        <v/>
      </c>
      <c r="I798" t="str">
        <f>IF(AND(Programme_Grunddaten!$A803="Geprüft",Programme_Grunddaten!AX803&lt;&gt;""),Programme_Grunddaten!AX803,"")</f>
        <v/>
      </c>
    </row>
    <row r="799" spans="1:9" x14ac:dyDescent="0.3">
      <c r="A799" s="1" t="str">
        <f>IF(AND(Programme_Grunddaten!$A804="Geprüft",Programme_Grunddaten!B804&lt;&gt;""),Programme_Grunddaten!B804,"")</f>
        <v/>
      </c>
      <c r="B799" s="1" t="str">
        <f>IF(AND(Programme_Grunddaten!$A804="Geprüft",Programme_Grunddaten!C804&lt;&gt;""),Programme_Grunddaten!C804,"")</f>
        <v/>
      </c>
      <c r="C799" s="1" t="str">
        <f>IF(AND(Programme_Grunddaten!$A804="Geprüft",Programme_Grunddaten!D804&lt;&gt;""),Programme_Grunddaten!D804,"")</f>
        <v/>
      </c>
      <c r="D799" s="2" t="str">
        <f>IF(AND(Programme_Grunddaten!$A804="Geprüft",Programme_Grunddaten!E804&lt;&gt;""),Programme_Grunddaten!E804,"")</f>
        <v/>
      </c>
      <c r="E799" t="str">
        <f>IF(AND(Programme_Grunddaten!$A804="Geprüft",Programme_Grunddaten!G804&lt;&gt;""),Programme_Grunddaten!G804,"")</f>
        <v/>
      </c>
      <c r="F799" t="str">
        <f>IF(AND(Programme_Grunddaten!$A804="Geprüft",Programme_Grunddaten!F804&lt;&gt;""),Programme_Grunddaten!F804,"")</f>
        <v/>
      </c>
      <c r="G799" s="3" t="str">
        <f>IF(AND(Programme_Grunddaten!$A804="Geprüft",Programme_Grunddaten!S804&lt;&gt;""),Programme_Grunddaten!S804,"")</f>
        <v/>
      </c>
      <c r="H799" t="str">
        <f>IF(AND(Programme_Grunddaten!$A804="Geprüft",Programme_Grunddaten!AW804&lt;&gt;""),Programme_Grunddaten!AW804,"")</f>
        <v/>
      </c>
      <c r="I799" t="str">
        <f>IF(AND(Programme_Grunddaten!$A804="Geprüft",Programme_Grunddaten!AX804&lt;&gt;""),Programme_Grunddaten!AX804,"")</f>
        <v/>
      </c>
    </row>
    <row r="800" spans="1:9" x14ac:dyDescent="0.3">
      <c r="A800" s="1" t="str">
        <f>IF(AND(Programme_Grunddaten!$A805="Geprüft",Programme_Grunddaten!B805&lt;&gt;""),Programme_Grunddaten!B805,"")</f>
        <v/>
      </c>
      <c r="B800" s="1" t="str">
        <f>IF(AND(Programme_Grunddaten!$A805="Geprüft",Programme_Grunddaten!C805&lt;&gt;""),Programme_Grunddaten!C805,"")</f>
        <v/>
      </c>
      <c r="C800" s="1" t="str">
        <f>IF(AND(Programme_Grunddaten!$A805="Geprüft",Programme_Grunddaten!D805&lt;&gt;""),Programme_Grunddaten!D805,"")</f>
        <v/>
      </c>
      <c r="D800" s="2" t="str">
        <f>IF(AND(Programme_Grunddaten!$A805="Geprüft",Programme_Grunddaten!E805&lt;&gt;""),Programme_Grunddaten!E805,"")</f>
        <v/>
      </c>
      <c r="E800" t="str">
        <f>IF(AND(Programme_Grunddaten!$A805="Geprüft",Programme_Grunddaten!G805&lt;&gt;""),Programme_Grunddaten!G805,"")</f>
        <v/>
      </c>
      <c r="F800" t="str">
        <f>IF(AND(Programme_Grunddaten!$A805="Geprüft",Programme_Grunddaten!F805&lt;&gt;""),Programme_Grunddaten!F805,"")</f>
        <v/>
      </c>
      <c r="G800" s="3" t="str">
        <f>IF(AND(Programme_Grunddaten!$A805="Geprüft",Programme_Grunddaten!S805&lt;&gt;""),Programme_Grunddaten!S805,"")</f>
        <v/>
      </c>
      <c r="H800" t="str">
        <f>IF(AND(Programme_Grunddaten!$A805="Geprüft",Programme_Grunddaten!AW805&lt;&gt;""),Programme_Grunddaten!AW805,"")</f>
        <v/>
      </c>
      <c r="I800" t="str">
        <f>IF(AND(Programme_Grunddaten!$A805="Geprüft",Programme_Grunddaten!AX805&lt;&gt;""),Programme_Grunddaten!AX805,"")</f>
        <v/>
      </c>
    </row>
    <row r="801" spans="1:9" x14ac:dyDescent="0.3">
      <c r="A801" s="1" t="str">
        <f>IF(AND(Programme_Grunddaten!$A806="Geprüft",Programme_Grunddaten!B806&lt;&gt;""),Programme_Grunddaten!B806,"")</f>
        <v/>
      </c>
      <c r="B801" s="1" t="str">
        <f>IF(AND(Programme_Grunddaten!$A806="Geprüft",Programme_Grunddaten!C806&lt;&gt;""),Programme_Grunddaten!C806,"")</f>
        <v/>
      </c>
      <c r="C801" s="1" t="str">
        <f>IF(AND(Programme_Grunddaten!$A806="Geprüft",Programme_Grunddaten!D806&lt;&gt;""),Programme_Grunddaten!D806,"")</f>
        <v/>
      </c>
      <c r="D801" s="2" t="str">
        <f>IF(AND(Programme_Grunddaten!$A806="Geprüft",Programme_Grunddaten!E806&lt;&gt;""),Programme_Grunddaten!E806,"")</f>
        <v/>
      </c>
      <c r="E801" t="str">
        <f>IF(AND(Programme_Grunddaten!$A806="Geprüft",Programme_Grunddaten!G806&lt;&gt;""),Programme_Grunddaten!G806,"")</f>
        <v/>
      </c>
      <c r="F801" t="str">
        <f>IF(AND(Programme_Grunddaten!$A806="Geprüft",Programme_Grunddaten!F806&lt;&gt;""),Programme_Grunddaten!F806,"")</f>
        <v/>
      </c>
      <c r="G801" s="3" t="str">
        <f>IF(AND(Programme_Grunddaten!$A806="Geprüft",Programme_Grunddaten!S806&lt;&gt;""),Programme_Grunddaten!S806,"")</f>
        <v/>
      </c>
      <c r="H801" t="str">
        <f>IF(AND(Programme_Grunddaten!$A806="Geprüft",Programme_Grunddaten!AW806&lt;&gt;""),Programme_Grunddaten!AW806,"")</f>
        <v/>
      </c>
      <c r="I801" t="str">
        <f>IF(AND(Programme_Grunddaten!$A806="Geprüft",Programme_Grunddaten!AX806&lt;&gt;""),Programme_Grunddaten!AX806,"")</f>
        <v/>
      </c>
    </row>
    <row r="802" spans="1:9" x14ac:dyDescent="0.3">
      <c r="A802" s="1" t="str">
        <f>IF(AND(Programme_Grunddaten!$A807="Geprüft",Programme_Grunddaten!B807&lt;&gt;""),Programme_Grunddaten!B807,"")</f>
        <v/>
      </c>
      <c r="B802" s="1" t="str">
        <f>IF(AND(Programme_Grunddaten!$A807="Geprüft",Programme_Grunddaten!C807&lt;&gt;""),Programme_Grunddaten!C807,"")</f>
        <v/>
      </c>
      <c r="C802" s="1" t="str">
        <f>IF(AND(Programme_Grunddaten!$A807="Geprüft",Programme_Grunddaten!D807&lt;&gt;""),Programme_Grunddaten!D807,"")</f>
        <v/>
      </c>
      <c r="D802" s="2" t="str">
        <f>IF(AND(Programme_Grunddaten!$A807="Geprüft",Programme_Grunddaten!E807&lt;&gt;""),Programme_Grunddaten!E807,"")</f>
        <v/>
      </c>
      <c r="E802" t="str">
        <f>IF(AND(Programme_Grunddaten!$A807="Geprüft",Programme_Grunddaten!G807&lt;&gt;""),Programme_Grunddaten!G807,"")</f>
        <v/>
      </c>
      <c r="F802" t="str">
        <f>IF(AND(Programme_Grunddaten!$A807="Geprüft",Programme_Grunddaten!F807&lt;&gt;""),Programme_Grunddaten!F807,"")</f>
        <v/>
      </c>
      <c r="G802" s="3" t="str">
        <f>IF(AND(Programme_Grunddaten!$A807="Geprüft",Programme_Grunddaten!S807&lt;&gt;""),Programme_Grunddaten!S807,"")</f>
        <v/>
      </c>
      <c r="H802" t="str">
        <f>IF(AND(Programme_Grunddaten!$A807="Geprüft",Programme_Grunddaten!AW807&lt;&gt;""),Programme_Grunddaten!AW807,"")</f>
        <v/>
      </c>
      <c r="I802" t="str">
        <f>IF(AND(Programme_Grunddaten!$A807="Geprüft",Programme_Grunddaten!AX807&lt;&gt;""),Programme_Grunddaten!AX807,"")</f>
        <v/>
      </c>
    </row>
    <row r="803" spans="1:9" x14ac:dyDescent="0.3">
      <c r="A803" s="1" t="str">
        <f>IF(AND(Programme_Grunddaten!$A808="Geprüft",Programme_Grunddaten!B808&lt;&gt;""),Programme_Grunddaten!B808,"")</f>
        <v/>
      </c>
      <c r="B803" s="1" t="str">
        <f>IF(AND(Programme_Grunddaten!$A808="Geprüft",Programme_Grunddaten!C808&lt;&gt;""),Programme_Grunddaten!C808,"")</f>
        <v/>
      </c>
      <c r="C803" s="1" t="str">
        <f>IF(AND(Programme_Grunddaten!$A808="Geprüft",Programme_Grunddaten!D808&lt;&gt;""),Programme_Grunddaten!D808,"")</f>
        <v/>
      </c>
      <c r="D803" s="2" t="str">
        <f>IF(AND(Programme_Grunddaten!$A808="Geprüft",Programme_Grunddaten!E808&lt;&gt;""),Programme_Grunddaten!E808,"")</f>
        <v/>
      </c>
      <c r="E803" t="str">
        <f>IF(AND(Programme_Grunddaten!$A808="Geprüft",Programme_Grunddaten!G808&lt;&gt;""),Programme_Grunddaten!G808,"")</f>
        <v/>
      </c>
      <c r="F803" t="str">
        <f>IF(AND(Programme_Grunddaten!$A808="Geprüft",Programme_Grunddaten!F808&lt;&gt;""),Programme_Grunddaten!F808,"")</f>
        <v/>
      </c>
      <c r="G803" s="3" t="str">
        <f>IF(AND(Programme_Grunddaten!$A808="Geprüft",Programme_Grunddaten!S808&lt;&gt;""),Programme_Grunddaten!S808,"")</f>
        <v/>
      </c>
      <c r="H803" t="str">
        <f>IF(AND(Programme_Grunddaten!$A808="Geprüft",Programme_Grunddaten!AW808&lt;&gt;""),Programme_Grunddaten!AW808,"")</f>
        <v/>
      </c>
      <c r="I803" t="str">
        <f>IF(AND(Programme_Grunddaten!$A808="Geprüft",Programme_Grunddaten!AX808&lt;&gt;""),Programme_Grunddaten!AX808,"")</f>
        <v/>
      </c>
    </row>
    <row r="804" spans="1:9" x14ac:dyDescent="0.3">
      <c r="A804" s="1" t="str">
        <f>IF(AND(Programme_Grunddaten!$A809="Geprüft",Programme_Grunddaten!B809&lt;&gt;""),Programme_Grunddaten!B809,"")</f>
        <v/>
      </c>
      <c r="B804" s="1" t="str">
        <f>IF(AND(Programme_Grunddaten!$A809="Geprüft",Programme_Grunddaten!C809&lt;&gt;""),Programme_Grunddaten!C809,"")</f>
        <v/>
      </c>
      <c r="C804" s="1" t="str">
        <f>IF(AND(Programme_Grunddaten!$A809="Geprüft",Programme_Grunddaten!D809&lt;&gt;""),Programme_Grunddaten!D809,"")</f>
        <v/>
      </c>
      <c r="D804" s="2" t="str">
        <f>IF(AND(Programme_Grunddaten!$A809="Geprüft",Programme_Grunddaten!E809&lt;&gt;""),Programme_Grunddaten!E809,"")</f>
        <v/>
      </c>
      <c r="E804" t="str">
        <f>IF(AND(Programme_Grunddaten!$A809="Geprüft",Programme_Grunddaten!G809&lt;&gt;""),Programme_Grunddaten!G809,"")</f>
        <v/>
      </c>
      <c r="F804" t="str">
        <f>IF(AND(Programme_Grunddaten!$A809="Geprüft",Programme_Grunddaten!F809&lt;&gt;""),Programme_Grunddaten!F809,"")</f>
        <v/>
      </c>
      <c r="G804" s="3" t="str">
        <f>IF(AND(Programme_Grunddaten!$A809="Geprüft",Programme_Grunddaten!S809&lt;&gt;""),Programme_Grunddaten!S809,"")</f>
        <v/>
      </c>
      <c r="H804" t="str">
        <f>IF(AND(Programme_Grunddaten!$A809="Geprüft",Programme_Grunddaten!AW809&lt;&gt;""),Programme_Grunddaten!AW809,"")</f>
        <v/>
      </c>
      <c r="I804" t="str">
        <f>IF(AND(Programme_Grunddaten!$A809="Geprüft",Programme_Grunddaten!AX809&lt;&gt;""),Programme_Grunddaten!AX809,"")</f>
        <v/>
      </c>
    </row>
    <row r="805" spans="1:9" x14ac:dyDescent="0.3">
      <c r="A805" s="1" t="str">
        <f>IF(AND(Programme_Grunddaten!$A810="Geprüft",Programme_Grunddaten!B810&lt;&gt;""),Programme_Grunddaten!B810,"")</f>
        <v/>
      </c>
      <c r="B805" s="1" t="str">
        <f>IF(AND(Programme_Grunddaten!$A810="Geprüft",Programme_Grunddaten!C810&lt;&gt;""),Programme_Grunddaten!C810,"")</f>
        <v/>
      </c>
      <c r="C805" s="1" t="str">
        <f>IF(AND(Programme_Grunddaten!$A810="Geprüft",Programme_Grunddaten!D810&lt;&gt;""),Programme_Grunddaten!D810,"")</f>
        <v/>
      </c>
      <c r="D805" s="2" t="str">
        <f>IF(AND(Programme_Grunddaten!$A810="Geprüft",Programme_Grunddaten!E810&lt;&gt;""),Programme_Grunddaten!E810,"")</f>
        <v/>
      </c>
      <c r="E805" t="str">
        <f>IF(AND(Programme_Grunddaten!$A810="Geprüft",Programme_Grunddaten!G810&lt;&gt;""),Programme_Grunddaten!G810,"")</f>
        <v/>
      </c>
      <c r="F805" t="str">
        <f>IF(AND(Programme_Grunddaten!$A810="Geprüft",Programme_Grunddaten!F810&lt;&gt;""),Programme_Grunddaten!F810,"")</f>
        <v/>
      </c>
      <c r="G805" s="3" t="str">
        <f>IF(AND(Programme_Grunddaten!$A810="Geprüft",Programme_Grunddaten!S810&lt;&gt;""),Programme_Grunddaten!S810,"")</f>
        <v/>
      </c>
      <c r="H805" t="str">
        <f>IF(AND(Programme_Grunddaten!$A810="Geprüft",Programme_Grunddaten!AW810&lt;&gt;""),Programme_Grunddaten!AW810,"")</f>
        <v/>
      </c>
      <c r="I805" t="str">
        <f>IF(AND(Programme_Grunddaten!$A810="Geprüft",Programme_Grunddaten!AX810&lt;&gt;""),Programme_Grunddaten!AX810,"")</f>
        <v/>
      </c>
    </row>
    <row r="806" spans="1:9" x14ac:dyDescent="0.3">
      <c r="A806" s="1" t="str">
        <f>IF(AND(Programme_Grunddaten!$A811="Geprüft",Programme_Grunddaten!B811&lt;&gt;""),Programme_Grunddaten!B811,"")</f>
        <v/>
      </c>
      <c r="B806" s="1" t="str">
        <f>IF(AND(Programme_Grunddaten!$A811="Geprüft",Programme_Grunddaten!C811&lt;&gt;""),Programme_Grunddaten!C811,"")</f>
        <v/>
      </c>
      <c r="C806" s="1" t="str">
        <f>IF(AND(Programme_Grunddaten!$A811="Geprüft",Programme_Grunddaten!D811&lt;&gt;""),Programme_Grunddaten!D811,"")</f>
        <v/>
      </c>
      <c r="D806" s="2" t="str">
        <f>IF(AND(Programme_Grunddaten!$A811="Geprüft",Programme_Grunddaten!E811&lt;&gt;""),Programme_Grunddaten!E811,"")</f>
        <v/>
      </c>
      <c r="E806" t="str">
        <f>IF(AND(Programme_Grunddaten!$A811="Geprüft",Programme_Grunddaten!G811&lt;&gt;""),Programme_Grunddaten!G811,"")</f>
        <v/>
      </c>
      <c r="F806" t="str">
        <f>IF(AND(Programme_Grunddaten!$A811="Geprüft",Programme_Grunddaten!F811&lt;&gt;""),Programme_Grunddaten!F811,"")</f>
        <v/>
      </c>
      <c r="G806" s="3" t="str">
        <f>IF(AND(Programme_Grunddaten!$A811="Geprüft",Programme_Grunddaten!S811&lt;&gt;""),Programme_Grunddaten!S811,"")</f>
        <v/>
      </c>
      <c r="H806" t="str">
        <f>IF(AND(Programme_Grunddaten!$A811="Geprüft",Programme_Grunddaten!AW811&lt;&gt;""),Programme_Grunddaten!AW811,"")</f>
        <v/>
      </c>
      <c r="I806" t="str">
        <f>IF(AND(Programme_Grunddaten!$A811="Geprüft",Programme_Grunddaten!AX811&lt;&gt;""),Programme_Grunddaten!AX811,"")</f>
        <v/>
      </c>
    </row>
    <row r="807" spans="1:9" x14ac:dyDescent="0.3">
      <c r="A807" s="1" t="str">
        <f>IF(AND(Programme_Grunddaten!$A812="Geprüft",Programme_Grunddaten!B812&lt;&gt;""),Programme_Grunddaten!B812,"")</f>
        <v/>
      </c>
      <c r="B807" s="1" t="str">
        <f>IF(AND(Programme_Grunddaten!$A812="Geprüft",Programme_Grunddaten!C812&lt;&gt;""),Programme_Grunddaten!C812,"")</f>
        <v/>
      </c>
      <c r="C807" s="1" t="str">
        <f>IF(AND(Programme_Grunddaten!$A812="Geprüft",Programme_Grunddaten!D812&lt;&gt;""),Programme_Grunddaten!D812,"")</f>
        <v/>
      </c>
      <c r="D807" s="2" t="str">
        <f>IF(AND(Programme_Grunddaten!$A812="Geprüft",Programme_Grunddaten!E812&lt;&gt;""),Programme_Grunddaten!E812,"")</f>
        <v/>
      </c>
      <c r="E807" t="str">
        <f>IF(AND(Programme_Grunddaten!$A812="Geprüft",Programme_Grunddaten!G812&lt;&gt;""),Programme_Grunddaten!G812,"")</f>
        <v/>
      </c>
      <c r="F807" t="str">
        <f>IF(AND(Programme_Grunddaten!$A812="Geprüft",Programme_Grunddaten!F812&lt;&gt;""),Programme_Grunddaten!F812,"")</f>
        <v/>
      </c>
      <c r="G807" s="3" t="str">
        <f>IF(AND(Programme_Grunddaten!$A812="Geprüft",Programme_Grunddaten!S812&lt;&gt;""),Programme_Grunddaten!S812,"")</f>
        <v/>
      </c>
      <c r="H807" t="str">
        <f>IF(AND(Programme_Grunddaten!$A812="Geprüft",Programme_Grunddaten!AW812&lt;&gt;""),Programme_Grunddaten!AW812,"")</f>
        <v/>
      </c>
      <c r="I807" t="str">
        <f>IF(AND(Programme_Grunddaten!$A812="Geprüft",Programme_Grunddaten!AX812&lt;&gt;""),Programme_Grunddaten!AX812,"")</f>
        <v/>
      </c>
    </row>
    <row r="808" spans="1:9" x14ac:dyDescent="0.3">
      <c r="A808" s="1" t="str">
        <f>IF(AND(Programme_Grunddaten!$A813="Geprüft",Programme_Grunddaten!B813&lt;&gt;""),Programme_Grunddaten!B813,"")</f>
        <v/>
      </c>
      <c r="B808" s="1" t="str">
        <f>IF(AND(Programme_Grunddaten!$A813="Geprüft",Programme_Grunddaten!C813&lt;&gt;""),Programme_Grunddaten!C813,"")</f>
        <v/>
      </c>
      <c r="C808" s="1" t="str">
        <f>IF(AND(Programme_Grunddaten!$A813="Geprüft",Programme_Grunddaten!D813&lt;&gt;""),Programme_Grunddaten!D813,"")</f>
        <v/>
      </c>
      <c r="D808" s="2" t="str">
        <f>IF(AND(Programme_Grunddaten!$A813="Geprüft",Programme_Grunddaten!E813&lt;&gt;""),Programme_Grunddaten!E813,"")</f>
        <v/>
      </c>
      <c r="E808" t="str">
        <f>IF(AND(Programme_Grunddaten!$A813="Geprüft",Programme_Grunddaten!G813&lt;&gt;""),Programme_Grunddaten!G813,"")</f>
        <v/>
      </c>
      <c r="F808" t="str">
        <f>IF(AND(Programme_Grunddaten!$A813="Geprüft",Programme_Grunddaten!F813&lt;&gt;""),Programme_Grunddaten!F813,"")</f>
        <v/>
      </c>
      <c r="G808" s="3" t="str">
        <f>IF(AND(Programme_Grunddaten!$A813="Geprüft",Programme_Grunddaten!S813&lt;&gt;""),Programme_Grunddaten!S813,"")</f>
        <v/>
      </c>
      <c r="H808" t="str">
        <f>IF(AND(Programme_Grunddaten!$A813="Geprüft",Programme_Grunddaten!AW813&lt;&gt;""),Programme_Grunddaten!AW813,"")</f>
        <v/>
      </c>
      <c r="I808" t="str">
        <f>IF(AND(Programme_Grunddaten!$A813="Geprüft",Programme_Grunddaten!AX813&lt;&gt;""),Programme_Grunddaten!AX813,"")</f>
        <v/>
      </c>
    </row>
    <row r="809" spans="1:9" x14ac:dyDescent="0.3">
      <c r="A809" s="1" t="str">
        <f>IF(AND(Programme_Grunddaten!$A814="Geprüft",Programme_Grunddaten!B814&lt;&gt;""),Programme_Grunddaten!B814,"")</f>
        <v/>
      </c>
      <c r="B809" s="1" t="str">
        <f>IF(AND(Programme_Grunddaten!$A814="Geprüft",Programme_Grunddaten!C814&lt;&gt;""),Programme_Grunddaten!C814,"")</f>
        <v/>
      </c>
      <c r="C809" s="1" t="str">
        <f>IF(AND(Programme_Grunddaten!$A814="Geprüft",Programme_Grunddaten!D814&lt;&gt;""),Programme_Grunddaten!D814,"")</f>
        <v/>
      </c>
      <c r="D809" s="2" t="str">
        <f>IF(AND(Programme_Grunddaten!$A814="Geprüft",Programme_Grunddaten!E814&lt;&gt;""),Programme_Grunddaten!E814,"")</f>
        <v/>
      </c>
      <c r="E809" t="str">
        <f>IF(AND(Programme_Grunddaten!$A814="Geprüft",Programme_Grunddaten!G814&lt;&gt;""),Programme_Grunddaten!G814,"")</f>
        <v/>
      </c>
      <c r="F809" t="str">
        <f>IF(AND(Programme_Grunddaten!$A814="Geprüft",Programme_Grunddaten!F814&lt;&gt;""),Programme_Grunddaten!F814,"")</f>
        <v/>
      </c>
      <c r="G809" s="3" t="str">
        <f>IF(AND(Programme_Grunddaten!$A814="Geprüft",Programme_Grunddaten!S814&lt;&gt;""),Programme_Grunddaten!S814,"")</f>
        <v/>
      </c>
      <c r="H809" t="str">
        <f>IF(AND(Programme_Grunddaten!$A814="Geprüft",Programme_Grunddaten!AW814&lt;&gt;""),Programme_Grunddaten!AW814,"")</f>
        <v/>
      </c>
      <c r="I809" t="str">
        <f>IF(AND(Programme_Grunddaten!$A814="Geprüft",Programme_Grunddaten!AX814&lt;&gt;""),Programme_Grunddaten!AX814,"")</f>
        <v/>
      </c>
    </row>
    <row r="810" spans="1:9" x14ac:dyDescent="0.3">
      <c r="A810" s="1" t="str">
        <f>IF(AND(Programme_Grunddaten!$A815="Geprüft",Programme_Grunddaten!B815&lt;&gt;""),Programme_Grunddaten!B815,"")</f>
        <v/>
      </c>
      <c r="B810" s="1" t="str">
        <f>IF(AND(Programme_Grunddaten!$A815="Geprüft",Programme_Grunddaten!C815&lt;&gt;""),Programme_Grunddaten!C815,"")</f>
        <v/>
      </c>
      <c r="C810" s="1" t="str">
        <f>IF(AND(Programme_Grunddaten!$A815="Geprüft",Programme_Grunddaten!D815&lt;&gt;""),Programme_Grunddaten!D815,"")</f>
        <v/>
      </c>
      <c r="D810" s="2" t="str">
        <f>IF(AND(Programme_Grunddaten!$A815="Geprüft",Programme_Grunddaten!E815&lt;&gt;""),Programme_Grunddaten!E815,"")</f>
        <v/>
      </c>
      <c r="E810" t="str">
        <f>IF(AND(Programme_Grunddaten!$A815="Geprüft",Programme_Grunddaten!G815&lt;&gt;""),Programme_Grunddaten!G815,"")</f>
        <v/>
      </c>
      <c r="F810" t="str">
        <f>IF(AND(Programme_Grunddaten!$A815="Geprüft",Programme_Grunddaten!F815&lt;&gt;""),Programme_Grunddaten!F815,"")</f>
        <v/>
      </c>
      <c r="G810" s="3" t="str">
        <f>IF(AND(Programme_Grunddaten!$A815="Geprüft",Programme_Grunddaten!S815&lt;&gt;""),Programme_Grunddaten!S815,"")</f>
        <v/>
      </c>
      <c r="H810" t="str">
        <f>IF(AND(Programme_Grunddaten!$A815="Geprüft",Programme_Grunddaten!AW815&lt;&gt;""),Programme_Grunddaten!AW815,"")</f>
        <v/>
      </c>
      <c r="I810" t="str">
        <f>IF(AND(Programme_Grunddaten!$A815="Geprüft",Programme_Grunddaten!AX815&lt;&gt;""),Programme_Grunddaten!AX815,"")</f>
        <v/>
      </c>
    </row>
    <row r="811" spans="1:9" x14ac:dyDescent="0.3">
      <c r="A811" s="1" t="str">
        <f>IF(AND(Programme_Grunddaten!$A816="Geprüft",Programme_Grunddaten!B816&lt;&gt;""),Programme_Grunddaten!B816,"")</f>
        <v/>
      </c>
      <c r="B811" s="1" t="str">
        <f>IF(AND(Programme_Grunddaten!$A816="Geprüft",Programme_Grunddaten!C816&lt;&gt;""),Programme_Grunddaten!C816,"")</f>
        <v/>
      </c>
      <c r="C811" s="1" t="str">
        <f>IF(AND(Programme_Grunddaten!$A816="Geprüft",Programme_Grunddaten!D816&lt;&gt;""),Programme_Grunddaten!D816,"")</f>
        <v/>
      </c>
      <c r="D811" s="2" t="str">
        <f>IF(AND(Programme_Grunddaten!$A816="Geprüft",Programme_Grunddaten!E816&lt;&gt;""),Programme_Grunddaten!E816,"")</f>
        <v/>
      </c>
      <c r="E811" t="str">
        <f>IF(AND(Programme_Grunddaten!$A816="Geprüft",Programme_Grunddaten!G816&lt;&gt;""),Programme_Grunddaten!G816,"")</f>
        <v/>
      </c>
      <c r="F811" t="str">
        <f>IF(AND(Programme_Grunddaten!$A816="Geprüft",Programme_Grunddaten!F816&lt;&gt;""),Programme_Grunddaten!F816,"")</f>
        <v/>
      </c>
      <c r="G811" s="3" t="str">
        <f>IF(AND(Programme_Grunddaten!$A816="Geprüft",Programme_Grunddaten!S816&lt;&gt;""),Programme_Grunddaten!S816,"")</f>
        <v/>
      </c>
      <c r="H811" t="str">
        <f>IF(AND(Programme_Grunddaten!$A816="Geprüft",Programme_Grunddaten!AW816&lt;&gt;""),Programme_Grunddaten!AW816,"")</f>
        <v/>
      </c>
      <c r="I811" t="str">
        <f>IF(AND(Programme_Grunddaten!$A816="Geprüft",Programme_Grunddaten!AX816&lt;&gt;""),Programme_Grunddaten!AX816,"")</f>
        <v/>
      </c>
    </row>
    <row r="812" spans="1:9" x14ac:dyDescent="0.3">
      <c r="A812" s="1" t="str">
        <f>IF(AND(Programme_Grunddaten!$A817="Geprüft",Programme_Grunddaten!B817&lt;&gt;""),Programme_Grunddaten!B817,"")</f>
        <v/>
      </c>
      <c r="B812" s="1" t="str">
        <f>IF(AND(Programme_Grunddaten!$A817="Geprüft",Programme_Grunddaten!C817&lt;&gt;""),Programme_Grunddaten!C817,"")</f>
        <v/>
      </c>
      <c r="C812" s="1" t="str">
        <f>IF(AND(Programme_Grunddaten!$A817="Geprüft",Programme_Grunddaten!D817&lt;&gt;""),Programme_Grunddaten!D817,"")</f>
        <v/>
      </c>
      <c r="D812" s="2" t="str">
        <f>IF(AND(Programme_Grunddaten!$A817="Geprüft",Programme_Grunddaten!E817&lt;&gt;""),Programme_Grunddaten!E817,"")</f>
        <v/>
      </c>
      <c r="E812" t="str">
        <f>IF(AND(Programme_Grunddaten!$A817="Geprüft",Programme_Grunddaten!G817&lt;&gt;""),Programme_Grunddaten!G817,"")</f>
        <v/>
      </c>
      <c r="F812" t="str">
        <f>IF(AND(Programme_Grunddaten!$A817="Geprüft",Programme_Grunddaten!F817&lt;&gt;""),Programme_Grunddaten!F817,"")</f>
        <v/>
      </c>
      <c r="G812" s="3" t="str">
        <f>IF(AND(Programme_Grunddaten!$A817="Geprüft",Programme_Grunddaten!S817&lt;&gt;""),Programme_Grunddaten!S817,"")</f>
        <v/>
      </c>
      <c r="H812" t="str">
        <f>IF(AND(Programme_Grunddaten!$A817="Geprüft",Programme_Grunddaten!AW817&lt;&gt;""),Programme_Grunddaten!AW817,"")</f>
        <v/>
      </c>
      <c r="I812" t="str">
        <f>IF(AND(Programme_Grunddaten!$A817="Geprüft",Programme_Grunddaten!AX817&lt;&gt;""),Programme_Grunddaten!AX817,"")</f>
        <v/>
      </c>
    </row>
    <row r="813" spans="1:9" x14ac:dyDescent="0.3">
      <c r="A813" s="1" t="str">
        <f>IF(AND(Programme_Grunddaten!$A818="Geprüft",Programme_Grunddaten!B818&lt;&gt;""),Programme_Grunddaten!B818,"")</f>
        <v/>
      </c>
      <c r="B813" s="1" t="str">
        <f>IF(AND(Programme_Grunddaten!$A818="Geprüft",Programme_Grunddaten!C818&lt;&gt;""),Programme_Grunddaten!C818,"")</f>
        <v/>
      </c>
      <c r="C813" s="1" t="str">
        <f>IF(AND(Programme_Grunddaten!$A818="Geprüft",Programme_Grunddaten!D818&lt;&gt;""),Programme_Grunddaten!D818,"")</f>
        <v/>
      </c>
      <c r="D813" s="2" t="str">
        <f>IF(AND(Programme_Grunddaten!$A818="Geprüft",Programme_Grunddaten!E818&lt;&gt;""),Programme_Grunddaten!E818,"")</f>
        <v/>
      </c>
      <c r="E813" t="str">
        <f>IF(AND(Programme_Grunddaten!$A818="Geprüft",Programme_Grunddaten!G818&lt;&gt;""),Programme_Grunddaten!G818,"")</f>
        <v/>
      </c>
      <c r="F813" t="str">
        <f>IF(AND(Programme_Grunddaten!$A818="Geprüft",Programme_Grunddaten!F818&lt;&gt;""),Programme_Grunddaten!F818,"")</f>
        <v/>
      </c>
      <c r="G813" s="3" t="str">
        <f>IF(AND(Programme_Grunddaten!$A818="Geprüft",Programme_Grunddaten!S818&lt;&gt;""),Programme_Grunddaten!S818,"")</f>
        <v/>
      </c>
      <c r="H813" t="str">
        <f>IF(AND(Programme_Grunddaten!$A818="Geprüft",Programme_Grunddaten!AW818&lt;&gt;""),Programme_Grunddaten!AW818,"")</f>
        <v/>
      </c>
      <c r="I813" t="str">
        <f>IF(AND(Programme_Grunddaten!$A818="Geprüft",Programme_Grunddaten!AX818&lt;&gt;""),Programme_Grunddaten!AX818,"")</f>
        <v/>
      </c>
    </row>
    <row r="814" spans="1:9" x14ac:dyDescent="0.3">
      <c r="A814" s="1" t="str">
        <f>IF(AND(Programme_Grunddaten!$A819="Geprüft",Programme_Grunddaten!B819&lt;&gt;""),Programme_Grunddaten!B819,"")</f>
        <v/>
      </c>
      <c r="B814" s="1" t="str">
        <f>IF(AND(Programme_Grunddaten!$A819="Geprüft",Programme_Grunddaten!C819&lt;&gt;""),Programme_Grunddaten!C819,"")</f>
        <v/>
      </c>
      <c r="C814" s="1" t="str">
        <f>IF(AND(Programme_Grunddaten!$A819="Geprüft",Programme_Grunddaten!D819&lt;&gt;""),Programme_Grunddaten!D819,"")</f>
        <v/>
      </c>
      <c r="D814" s="2" t="str">
        <f>IF(AND(Programme_Grunddaten!$A819="Geprüft",Programme_Grunddaten!E819&lt;&gt;""),Programme_Grunddaten!E819,"")</f>
        <v/>
      </c>
      <c r="E814" t="str">
        <f>IF(AND(Programme_Grunddaten!$A819="Geprüft",Programme_Grunddaten!G819&lt;&gt;""),Programme_Grunddaten!G819,"")</f>
        <v/>
      </c>
      <c r="F814" t="str">
        <f>IF(AND(Programme_Grunddaten!$A819="Geprüft",Programme_Grunddaten!F819&lt;&gt;""),Programme_Grunddaten!F819,"")</f>
        <v/>
      </c>
      <c r="G814" s="3" t="str">
        <f>IF(AND(Programme_Grunddaten!$A819="Geprüft",Programme_Grunddaten!S819&lt;&gt;""),Programme_Grunddaten!S819,"")</f>
        <v/>
      </c>
      <c r="H814" t="str">
        <f>IF(AND(Programme_Grunddaten!$A819="Geprüft",Programme_Grunddaten!AW819&lt;&gt;""),Programme_Grunddaten!AW819,"")</f>
        <v/>
      </c>
      <c r="I814" t="str">
        <f>IF(AND(Programme_Grunddaten!$A819="Geprüft",Programme_Grunddaten!AX819&lt;&gt;""),Programme_Grunddaten!AX819,"")</f>
        <v/>
      </c>
    </row>
    <row r="815" spans="1:9" x14ac:dyDescent="0.3">
      <c r="A815" s="1" t="str">
        <f>IF(AND(Programme_Grunddaten!$A820="Geprüft",Programme_Grunddaten!B820&lt;&gt;""),Programme_Grunddaten!B820,"")</f>
        <v/>
      </c>
      <c r="B815" s="1" t="str">
        <f>IF(AND(Programme_Grunddaten!$A820="Geprüft",Programme_Grunddaten!C820&lt;&gt;""),Programme_Grunddaten!C820,"")</f>
        <v/>
      </c>
      <c r="C815" s="1" t="str">
        <f>IF(AND(Programme_Grunddaten!$A820="Geprüft",Programme_Grunddaten!D820&lt;&gt;""),Programme_Grunddaten!D820,"")</f>
        <v/>
      </c>
      <c r="D815" s="2" t="str">
        <f>IF(AND(Programme_Grunddaten!$A820="Geprüft",Programme_Grunddaten!E820&lt;&gt;""),Programme_Grunddaten!E820,"")</f>
        <v/>
      </c>
      <c r="E815" t="str">
        <f>IF(AND(Programme_Grunddaten!$A820="Geprüft",Programme_Grunddaten!G820&lt;&gt;""),Programme_Grunddaten!G820,"")</f>
        <v/>
      </c>
      <c r="F815" t="str">
        <f>IF(AND(Programme_Grunddaten!$A820="Geprüft",Programme_Grunddaten!F820&lt;&gt;""),Programme_Grunddaten!F820,"")</f>
        <v/>
      </c>
      <c r="G815" s="3" t="str">
        <f>IF(AND(Programme_Grunddaten!$A820="Geprüft",Programme_Grunddaten!S820&lt;&gt;""),Programme_Grunddaten!S820,"")</f>
        <v/>
      </c>
      <c r="H815" t="str">
        <f>IF(AND(Programme_Grunddaten!$A820="Geprüft",Programme_Grunddaten!AW820&lt;&gt;""),Programme_Grunddaten!AW820,"")</f>
        <v/>
      </c>
      <c r="I815" t="str">
        <f>IF(AND(Programme_Grunddaten!$A820="Geprüft",Programme_Grunddaten!AX820&lt;&gt;""),Programme_Grunddaten!AX820,"")</f>
        <v/>
      </c>
    </row>
    <row r="816" spans="1:9" x14ac:dyDescent="0.3">
      <c r="A816" s="1" t="str">
        <f>IF(AND(Programme_Grunddaten!$A821="Geprüft",Programme_Grunddaten!B821&lt;&gt;""),Programme_Grunddaten!B821,"")</f>
        <v/>
      </c>
      <c r="B816" s="1" t="str">
        <f>IF(AND(Programme_Grunddaten!$A821="Geprüft",Programme_Grunddaten!C821&lt;&gt;""),Programme_Grunddaten!C821,"")</f>
        <v/>
      </c>
      <c r="C816" s="1" t="str">
        <f>IF(AND(Programme_Grunddaten!$A821="Geprüft",Programme_Grunddaten!D821&lt;&gt;""),Programme_Grunddaten!D821,"")</f>
        <v/>
      </c>
      <c r="D816" s="2" t="str">
        <f>IF(AND(Programme_Grunddaten!$A821="Geprüft",Programme_Grunddaten!E821&lt;&gt;""),Programme_Grunddaten!E821,"")</f>
        <v/>
      </c>
      <c r="E816" t="str">
        <f>IF(AND(Programme_Grunddaten!$A821="Geprüft",Programme_Grunddaten!G821&lt;&gt;""),Programme_Grunddaten!G821,"")</f>
        <v/>
      </c>
      <c r="F816" t="str">
        <f>IF(AND(Programme_Grunddaten!$A821="Geprüft",Programme_Grunddaten!F821&lt;&gt;""),Programme_Grunddaten!F821,"")</f>
        <v/>
      </c>
      <c r="G816" s="3" t="str">
        <f>IF(AND(Programme_Grunddaten!$A821="Geprüft",Programme_Grunddaten!S821&lt;&gt;""),Programme_Grunddaten!S821,"")</f>
        <v/>
      </c>
      <c r="H816" t="str">
        <f>IF(AND(Programme_Grunddaten!$A821="Geprüft",Programme_Grunddaten!AW821&lt;&gt;""),Programme_Grunddaten!AW821,"")</f>
        <v/>
      </c>
      <c r="I816" t="str">
        <f>IF(AND(Programme_Grunddaten!$A821="Geprüft",Programme_Grunddaten!AX821&lt;&gt;""),Programme_Grunddaten!AX821,"")</f>
        <v/>
      </c>
    </row>
    <row r="817" spans="1:9" x14ac:dyDescent="0.3">
      <c r="A817" s="1" t="str">
        <f>IF(AND(Programme_Grunddaten!$A822="Geprüft",Programme_Grunddaten!B822&lt;&gt;""),Programme_Grunddaten!B822,"")</f>
        <v/>
      </c>
      <c r="B817" s="1" t="str">
        <f>IF(AND(Programme_Grunddaten!$A822="Geprüft",Programme_Grunddaten!C822&lt;&gt;""),Programme_Grunddaten!C822,"")</f>
        <v/>
      </c>
      <c r="C817" s="1" t="str">
        <f>IF(AND(Programme_Grunddaten!$A822="Geprüft",Programme_Grunddaten!D822&lt;&gt;""),Programme_Grunddaten!D822,"")</f>
        <v/>
      </c>
      <c r="D817" s="2" t="str">
        <f>IF(AND(Programme_Grunddaten!$A822="Geprüft",Programme_Grunddaten!E822&lt;&gt;""),Programme_Grunddaten!E822,"")</f>
        <v/>
      </c>
      <c r="E817" t="str">
        <f>IF(AND(Programme_Grunddaten!$A822="Geprüft",Programme_Grunddaten!G822&lt;&gt;""),Programme_Grunddaten!G822,"")</f>
        <v/>
      </c>
      <c r="F817" t="str">
        <f>IF(AND(Programme_Grunddaten!$A822="Geprüft",Programme_Grunddaten!F822&lt;&gt;""),Programme_Grunddaten!F822,"")</f>
        <v/>
      </c>
      <c r="G817" s="3" t="str">
        <f>IF(AND(Programme_Grunddaten!$A822="Geprüft",Programme_Grunddaten!S822&lt;&gt;""),Programme_Grunddaten!S822,"")</f>
        <v/>
      </c>
      <c r="H817" t="str">
        <f>IF(AND(Programme_Grunddaten!$A822="Geprüft",Programme_Grunddaten!AW822&lt;&gt;""),Programme_Grunddaten!AW822,"")</f>
        <v/>
      </c>
      <c r="I817" t="str">
        <f>IF(AND(Programme_Grunddaten!$A822="Geprüft",Programme_Grunddaten!AX822&lt;&gt;""),Programme_Grunddaten!AX822,"")</f>
        <v/>
      </c>
    </row>
    <row r="818" spans="1:9" x14ac:dyDescent="0.3">
      <c r="A818" s="1" t="str">
        <f>IF(AND(Programme_Grunddaten!$A823="Geprüft",Programme_Grunddaten!B823&lt;&gt;""),Programme_Grunddaten!B823,"")</f>
        <v/>
      </c>
      <c r="B818" s="1" t="str">
        <f>IF(AND(Programme_Grunddaten!$A823="Geprüft",Programme_Grunddaten!C823&lt;&gt;""),Programme_Grunddaten!C823,"")</f>
        <v/>
      </c>
      <c r="C818" s="1" t="str">
        <f>IF(AND(Programme_Grunddaten!$A823="Geprüft",Programme_Grunddaten!D823&lt;&gt;""),Programme_Grunddaten!D823,"")</f>
        <v/>
      </c>
      <c r="D818" s="2" t="str">
        <f>IF(AND(Programme_Grunddaten!$A823="Geprüft",Programme_Grunddaten!E823&lt;&gt;""),Programme_Grunddaten!E823,"")</f>
        <v/>
      </c>
      <c r="E818" t="str">
        <f>IF(AND(Programme_Grunddaten!$A823="Geprüft",Programme_Grunddaten!G823&lt;&gt;""),Programme_Grunddaten!G823,"")</f>
        <v/>
      </c>
      <c r="F818" t="str">
        <f>IF(AND(Programme_Grunddaten!$A823="Geprüft",Programme_Grunddaten!F823&lt;&gt;""),Programme_Grunddaten!F823,"")</f>
        <v/>
      </c>
      <c r="G818" s="3" t="str">
        <f>IF(AND(Programme_Grunddaten!$A823="Geprüft",Programme_Grunddaten!S823&lt;&gt;""),Programme_Grunddaten!S823,"")</f>
        <v/>
      </c>
      <c r="H818" t="str">
        <f>IF(AND(Programme_Grunddaten!$A823="Geprüft",Programme_Grunddaten!AW823&lt;&gt;""),Programme_Grunddaten!AW823,"")</f>
        <v/>
      </c>
      <c r="I818" t="str">
        <f>IF(AND(Programme_Grunddaten!$A823="Geprüft",Programme_Grunddaten!AX823&lt;&gt;""),Programme_Grunddaten!AX823,"")</f>
        <v/>
      </c>
    </row>
    <row r="819" spans="1:9" x14ac:dyDescent="0.3">
      <c r="A819" s="1" t="str">
        <f>IF(AND(Programme_Grunddaten!$A824="Geprüft",Programme_Grunddaten!B824&lt;&gt;""),Programme_Grunddaten!B824,"")</f>
        <v/>
      </c>
      <c r="B819" s="1" t="str">
        <f>IF(AND(Programme_Grunddaten!$A824="Geprüft",Programme_Grunddaten!C824&lt;&gt;""),Programme_Grunddaten!C824,"")</f>
        <v/>
      </c>
      <c r="C819" s="1" t="str">
        <f>IF(AND(Programme_Grunddaten!$A824="Geprüft",Programme_Grunddaten!D824&lt;&gt;""),Programme_Grunddaten!D824,"")</f>
        <v/>
      </c>
      <c r="D819" s="2" t="str">
        <f>IF(AND(Programme_Grunddaten!$A824="Geprüft",Programme_Grunddaten!E824&lt;&gt;""),Programme_Grunddaten!E824,"")</f>
        <v/>
      </c>
      <c r="E819" t="str">
        <f>IF(AND(Programme_Grunddaten!$A824="Geprüft",Programme_Grunddaten!G824&lt;&gt;""),Programme_Grunddaten!G824,"")</f>
        <v/>
      </c>
      <c r="F819" t="str">
        <f>IF(AND(Programme_Grunddaten!$A824="Geprüft",Programme_Grunddaten!F824&lt;&gt;""),Programme_Grunddaten!F824,"")</f>
        <v/>
      </c>
      <c r="G819" s="3" t="str">
        <f>IF(AND(Programme_Grunddaten!$A824="Geprüft",Programme_Grunddaten!S824&lt;&gt;""),Programme_Grunddaten!S824,"")</f>
        <v/>
      </c>
      <c r="H819" t="str">
        <f>IF(AND(Programme_Grunddaten!$A824="Geprüft",Programme_Grunddaten!AW824&lt;&gt;""),Programme_Grunddaten!AW824,"")</f>
        <v/>
      </c>
      <c r="I819" t="str">
        <f>IF(AND(Programme_Grunddaten!$A824="Geprüft",Programme_Grunddaten!AX824&lt;&gt;""),Programme_Grunddaten!AX824,"")</f>
        <v/>
      </c>
    </row>
    <row r="820" spans="1:9" x14ac:dyDescent="0.3">
      <c r="A820" s="1" t="str">
        <f>IF(AND(Programme_Grunddaten!$A825="Geprüft",Programme_Grunddaten!B825&lt;&gt;""),Programme_Grunddaten!B825,"")</f>
        <v/>
      </c>
      <c r="B820" s="1" t="str">
        <f>IF(AND(Programme_Grunddaten!$A825="Geprüft",Programme_Grunddaten!C825&lt;&gt;""),Programme_Grunddaten!C825,"")</f>
        <v/>
      </c>
      <c r="C820" s="1" t="str">
        <f>IF(AND(Programme_Grunddaten!$A825="Geprüft",Programme_Grunddaten!D825&lt;&gt;""),Programme_Grunddaten!D825,"")</f>
        <v/>
      </c>
      <c r="D820" s="2" t="str">
        <f>IF(AND(Programme_Grunddaten!$A825="Geprüft",Programme_Grunddaten!E825&lt;&gt;""),Programme_Grunddaten!E825,"")</f>
        <v/>
      </c>
      <c r="E820" t="str">
        <f>IF(AND(Programme_Grunddaten!$A825="Geprüft",Programme_Grunddaten!G825&lt;&gt;""),Programme_Grunddaten!G825,"")</f>
        <v/>
      </c>
      <c r="F820" t="str">
        <f>IF(AND(Programme_Grunddaten!$A825="Geprüft",Programme_Grunddaten!F825&lt;&gt;""),Programme_Grunddaten!F825,"")</f>
        <v/>
      </c>
      <c r="G820" s="3" t="str">
        <f>IF(AND(Programme_Grunddaten!$A825="Geprüft",Programme_Grunddaten!S825&lt;&gt;""),Programme_Grunddaten!S825,"")</f>
        <v/>
      </c>
      <c r="H820" t="str">
        <f>IF(AND(Programme_Grunddaten!$A825="Geprüft",Programme_Grunddaten!AW825&lt;&gt;""),Programme_Grunddaten!AW825,"")</f>
        <v/>
      </c>
      <c r="I820" t="str">
        <f>IF(AND(Programme_Grunddaten!$A825="Geprüft",Programme_Grunddaten!AX825&lt;&gt;""),Programme_Grunddaten!AX825,"")</f>
        <v/>
      </c>
    </row>
    <row r="821" spans="1:9" x14ac:dyDescent="0.3">
      <c r="A821" s="1" t="str">
        <f>IF(AND(Programme_Grunddaten!$A826="Geprüft",Programme_Grunddaten!B826&lt;&gt;""),Programme_Grunddaten!B826,"")</f>
        <v/>
      </c>
      <c r="B821" s="1" t="str">
        <f>IF(AND(Programme_Grunddaten!$A826="Geprüft",Programme_Grunddaten!C826&lt;&gt;""),Programme_Grunddaten!C826,"")</f>
        <v/>
      </c>
      <c r="C821" s="1" t="str">
        <f>IF(AND(Programme_Grunddaten!$A826="Geprüft",Programme_Grunddaten!D826&lt;&gt;""),Programme_Grunddaten!D826,"")</f>
        <v/>
      </c>
      <c r="D821" s="2" t="str">
        <f>IF(AND(Programme_Grunddaten!$A826="Geprüft",Programme_Grunddaten!E826&lt;&gt;""),Programme_Grunddaten!E826,"")</f>
        <v/>
      </c>
      <c r="E821" t="str">
        <f>IF(AND(Programme_Grunddaten!$A826="Geprüft",Programme_Grunddaten!G826&lt;&gt;""),Programme_Grunddaten!G826,"")</f>
        <v/>
      </c>
      <c r="F821" t="str">
        <f>IF(AND(Programme_Grunddaten!$A826="Geprüft",Programme_Grunddaten!F826&lt;&gt;""),Programme_Grunddaten!F826,"")</f>
        <v/>
      </c>
      <c r="G821" s="3" t="str">
        <f>IF(AND(Programme_Grunddaten!$A826="Geprüft",Programme_Grunddaten!S826&lt;&gt;""),Programme_Grunddaten!S826,"")</f>
        <v/>
      </c>
      <c r="H821" t="str">
        <f>IF(AND(Programme_Grunddaten!$A826="Geprüft",Programme_Grunddaten!AW826&lt;&gt;""),Programme_Grunddaten!AW826,"")</f>
        <v/>
      </c>
      <c r="I821" t="str">
        <f>IF(AND(Programme_Grunddaten!$A826="Geprüft",Programme_Grunddaten!AX826&lt;&gt;""),Programme_Grunddaten!AX826,"")</f>
        <v/>
      </c>
    </row>
    <row r="822" spans="1:9" x14ac:dyDescent="0.3">
      <c r="A822" s="1" t="str">
        <f>IF(AND(Programme_Grunddaten!$A827="Geprüft",Programme_Grunddaten!B827&lt;&gt;""),Programme_Grunddaten!B827,"")</f>
        <v/>
      </c>
      <c r="B822" s="1" t="str">
        <f>IF(AND(Programme_Grunddaten!$A827="Geprüft",Programme_Grunddaten!C827&lt;&gt;""),Programme_Grunddaten!C827,"")</f>
        <v/>
      </c>
      <c r="C822" s="1" t="str">
        <f>IF(AND(Programme_Grunddaten!$A827="Geprüft",Programme_Grunddaten!D827&lt;&gt;""),Programme_Grunddaten!D827,"")</f>
        <v/>
      </c>
      <c r="D822" s="2" t="str">
        <f>IF(AND(Programme_Grunddaten!$A827="Geprüft",Programme_Grunddaten!E827&lt;&gt;""),Programme_Grunddaten!E827,"")</f>
        <v/>
      </c>
      <c r="E822" t="str">
        <f>IF(AND(Programme_Grunddaten!$A827="Geprüft",Programme_Grunddaten!G827&lt;&gt;""),Programme_Grunddaten!G827,"")</f>
        <v/>
      </c>
      <c r="F822" t="str">
        <f>IF(AND(Programme_Grunddaten!$A827="Geprüft",Programme_Grunddaten!F827&lt;&gt;""),Programme_Grunddaten!F827,"")</f>
        <v/>
      </c>
      <c r="G822" s="3" t="str">
        <f>IF(AND(Programme_Grunddaten!$A827="Geprüft",Programme_Grunddaten!S827&lt;&gt;""),Programme_Grunddaten!S827,"")</f>
        <v/>
      </c>
      <c r="H822" t="str">
        <f>IF(AND(Programme_Grunddaten!$A827="Geprüft",Programme_Grunddaten!AW827&lt;&gt;""),Programme_Grunddaten!AW827,"")</f>
        <v/>
      </c>
      <c r="I822" t="str">
        <f>IF(AND(Programme_Grunddaten!$A827="Geprüft",Programme_Grunddaten!AX827&lt;&gt;""),Programme_Grunddaten!AX827,"")</f>
        <v/>
      </c>
    </row>
    <row r="823" spans="1:9" x14ac:dyDescent="0.3">
      <c r="A823" s="1" t="str">
        <f>IF(AND(Programme_Grunddaten!$A828="Geprüft",Programme_Grunddaten!B828&lt;&gt;""),Programme_Grunddaten!B828,"")</f>
        <v/>
      </c>
      <c r="B823" s="1" t="str">
        <f>IF(AND(Programme_Grunddaten!$A828="Geprüft",Programme_Grunddaten!C828&lt;&gt;""),Programme_Grunddaten!C828,"")</f>
        <v/>
      </c>
      <c r="C823" s="1" t="str">
        <f>IF(AND(Programme_Grunddaten!$A828="Geprüft",Programme_Grunddaten!D828&lt;&gt;""),Programme_Grunddaten!D828,"")</f>
        <v/>
      </c>
      <c r="D823" s="2" t="str">
        <f>IF(AND(Programme_Grunddaten!$A828="Geprüft",Programme_Grunddaten!E828&lt;&gt;""),Programme_Grunddaten!E828,"")</f>
        <v/>
      </c>
      <c r="E823" t="str">
        <f>IF(AND(Programme_Grunddaten!$A828="Geprüft",Programme_Grunddaten!G828&lt;&gt;""),Programme_Grunddaten!G828,"")</f>
        <v/>
      </c>
      <c r="F823" t="str">
        <f>IF(AND(Programme_Grunddaten!$A828="Geprüft",Programme_Grunddaten!F828&lt;&gt;""),Programme_Grunddaten!F828,"")</f>
        <v/>
      </c>
      <c r="G823" s="3" t="str">
        <f>IF(AND(Programme_Grunddaten!$A828="Geprüft",Programme_Grunddaten!S828&lt;&gt;""),Programme_Grunddaten!S828,"")</f>
        <v/>
      </c>
      <c r="H823" t="str">
        <f>IF(AND(Programme_Grunddaten!$A828="Geprüft",Programme_Grunddaten!AW828&lt;&gt;""),Programme_Grunddaten!AW828,"")</f>
        <v/>
      </c>
      <c r="I823" t="str">
        <f>IF(AND(Programme_Grunddaten!$A828="Geprüft",Programme_Grunddaten!AX828&lt;&gt;""),Programme_Grunddaten!AX828,"")</f>
        <v/>
      </c>
    </row>
    <row r="824" spans="1:9" x14ac:dyDescent="0.3">
      <c r="A824" s="1" t="str">
        <f>IF(AND(Programme_Grunddaten!$A829="Geprüft",Programme_Grunddaten!B829&lt;&gt;""),Programme_Grunddaten!B829,"")</f>
        <v/>
      </c>
      <c r="B824" s="1" t="str">
        <f>IF(AND(Programme_Grunddaten!$A829="Geprüft",Programme_Grunddaten!C829&lt;&gt;""),Programme_Grunddaten!C829,"")</f>
        <v/>
      </c>
      <c r="C824" s="1" t="str">
        <f>IF(AND(Programme_Grunddaten!$A829="Geprüft",Programme_Grunddaten!D829&lt;&gt;""),Programme_Grunddaten!D829,"")</f>
        <v/>
      </c>
      <c r="D824" s="2" t="str">
        <f>IF(AND(Programme_Grunddaten!$A829="Geprüft",Programme_Grunddaten!E829&lt;&gt;""),Programme_Grunddaten!E829,"")</f>
        <v/>
      </c>
      <c r="E824" t="str">
        <f>IF(AND(Programme_Grunddaten!$A829="Geprüft",Programme_Grunddaten!G829&lt;&gt;""),Programme_Grunddaten!G829,"")</f>
        <v/>
      </c>
      <c r="F824" t="str">
        <f>IF(AND(Programme_Grunddaten!$A829="Geprüft",Programme_Grunddaten!F829&lt;&gt;""),Programme_Grunddaten!F829,"")</f>
        <v/>
      </c>
      <c r="G824" s="3" t="str">
        <f>IF(AND(Programme_Grunddaten!$A829="Geprüft",Programme_Grunddaten!S829&lt;&gt;""),Programme_Grunddaten!S829,"")</f>
        <v/>
      </c>
      <c r="H824" t="str">
        <f>IF(AND(Programme_Grunddaten!$A829="Geprüft",Programme_Grunddaten!AW829&lt;&gt;""),Programme_Grunddaten!AW829,"")</f>
        <v/>
      </c>
      <c r="I824" t="str">
        <f>IF(AND(Programme_Grunddaten!$A829="Geprüft",Programme_Grunddaten!AX829&lt;&gt;""),Programme_Grunddaten!AX829,"")</f>
        <v/>
      </c>
    </row>
    <row r="825" spans="1:9" x14ac:dyDescent="0.3">
      <c r="A825" s="1" t="str">
        <f>IF(AND(Programme_Grunddaten!$A830="Geprüft",Programme_Grunddaten!B830&lt;&gt;""),Programme_Grunddaten!B830,"")</f>
        <v/>
      </c>
      <c r="B825" s="1" t="str">
        <f>IF(AND(Programme_Grunddaten!$A830="Geprüft",Programme_Grunddaten!C830&lt;&gt;""),Programme_Grunddaten!C830,"")</f>
        <v/>
      </c>
      <c r="C825" s="1" t="str">
        <f>IF(AND(Programme_Grunddaten!$A830="Geprüft",Programme_Grunddaten!D830&lt;&gt;""),Programme_Grunddaten!D830,"")</f>
        <v/>
      </c>
      <c r="D825" s="2" t="str">
        <f>IF(AND(Programme_Grunddaten!$A830="Geprüft",Programme_Grunddaten!E830&lt;&gt;""),Programme_Grunddaten!E830,"")</f>
        <v/>
      </c>
      <c r="E825" t="str">
        <f>IF(AND(Programme_Grunddaten!$A830="Geprüft",Programme_Grunddaten!G830&lt;&gt;""),Programme_Grunddaten!G830,"")</f>
        <v/>
      </c>
      <c r="F825" t="str">
        <f>IF(AND(Programme_Grunddaten!$A830="Geprüft",Programme_Grunddaten!F830&lt;&gt;""),Programme_Grunddaten!F830,"")</f>
        <v/>
      </c>
      <c r="G825" s="3" t="str">
        <f>IF(AND(Programme_Grunddaten!$A830="Geprüft",Programme_Grunddaten!S830&lt;&gt;""),Programme_Grunddaten!S830,"")</f>
        <v/>
      </c>
      <c r="H825" t="str">
        <f>IF(AND(Programme_Grunddaten!$A830="Geprüft",Programme_Grunddaten!AW830&lt;&gt;""),Programme_Grunddaten!AW830,"")</f>
        <v/>
      </c>
      <c r="I825" t="str">
        <f>IF(AND(Programme_Grunddaten!$A830="Geprüft",Programme_Grunddaten!AX830&lt;&gt;""),Programme_Grunddaten!AX830,"")</f>
        <v/>
      </c>
    </row>
    <row r="826" spans="1:9" x14ac:dyDescent="0.3">
      <c r="A826" s="1" t="str">
        <f>IF(AND(Programme_Grunddaten!$A831="Geprüft",Programme_Grunddaten!B831&lt;&gt;""),Programme_Grunddaten!B831,"")</f>
        <v/>
      </c>
      <c r="B826" s="1" t="str">
        <f>IF(AND(Programme_Grunddaten!$A831="Geprüft",Programme_Grunddaten!C831&lt;&gt;""),Programme_Grunddaten!C831,"")</f>
        <v/>
      </c>
      <c r="C826" s="1" t="str">
        <f>IF(AND(Programme_Grunddaten!$A831="Geprüft",Programme_Grunddaten!D831&lt;&gt;""),Programme_Grunddaten!D831,"")</f>
        <v/>
      </c>
      <c r="D826" s="2" t="str">
        <f>IF(AND(Programme_Grunddaten!$A831="Geprüft",Programme_Grunddaten!E831&lt;&gt;""),Programme_Grunddaten!E831,"")</f>
        <v/>
      </c>
      <c r="E826" t="str">
        <f>IF(AND(Programme_Grunddaten!$A831="Geprüft",Programme_Grunddaten!G831&lt;&gt;""),Programme_Grunddaten!G831,"")</f>
        <v/>
      </c>
      <c r="F826" t="str">
        <f>IF(AND(Programme_Grunddaten!$A831="Geprüft",Programme_Grunddaten!F831&lt;&gt;""),Programme_Grunddaten!F831,"")</f>
        <v/>
      </c>
      <c r="G826" s="3" t="str">
        <f>IF(AND(Programme_Grunddaten!$A831="Geprüft",Programme_Grunddaten!S831&lt;&gt;""),Programme_Grunddaten!S831,"")</f>
        <v/>
      </c>
      <c r="H826" t="str">
        <f>IF(AND(Programme_Grunddaten!$A831="Geprüft",Programme_Grunddaten!AW831&lt;&gt;""),Programme_Grunddaten!AW831,"")</f>
        <v/>
      </c>
      <c r="I826" t="str">
        <f>IF(AND(Programme_Grunddaten!$A831="Geprüft",Programme_Grunddaten!AX831&lt;&gt;""),Programme_Grunddaten!AX831,"")</f>
        <v/>
      </c>
    </row>
    <row r="827" spans="1:9" x14ac:dyDescent="0.3">
      <c r="A827" s="1" t="str">
        <f>IF(AND(Programme_Grunddaten!$A832="Geprüft",Programme_Grunddaten!B832&lt;&gt;""),Programme_Grunddaten!B832,"")</f>
        <v/>
      </c>
      <c r="B827" s="1" t="str">
        <f>IF(AND(Programme_Grunddaten!$A832="Geprüft",Programme_Grunddaten!C832&lt;&gt;""),Programme_Grunddaten!C832,"")</f>
        <v/>
      </c>
      <c r="C827" s="1" t="str">
        <f>IF(AND(Programme_Grunddaten!$A832="Geprüft",Programme_Grunddaten!D832&lt;&gt;""),Programme_Grunddaten!D832,"")</f>
        <v/>
      </c>
      <c r="D827" s="2" t="str">
        <f>IF(AND(Programme_Grunddaten!$A832="Geprüft",Programme_Grunddaten!E832&lt;&gt;""),Programme_Grunddaten!E832,"")</f>
        <v/>
      </c>
      <c r="E827" t="str">
        <f>IF(AND(Programme_Grunddaten!$A832="Geprüft",Programme_Grunddaten!G832&lt;&gt;""),Programme_Grunddaten!G832,"")</f>
        <v/>
      </c>
      <c r="F827" t="str">
        <f>IF(AND(Programme_Grunddaten!$A832="Geprüft",Programme_Grunddaten!F832&lt;&gt;""),Programme_Grunddaten!F832,"")</f>
        <v/>
      </c>
      <c r="G827" s="3" t="str">
        <f>IF(AND(Programme_Grunddaten!$A832="Geprüft",Programme_Grunddaten!S832&lt;&gt;""),Programme_Grunddaten!S832,"")</f>
        <v/>
      </c>
      <c r="H827" t="str">
        <f>IF(AND(Programme_Grunddaten!$A832="Geprüft",Programme_Grunddaten!AW832&lt;&gt;""),Programme_Grunddaten!AW832,"")</f>
        <v/>
      </c>
      <c r="I827" t="str">
        <f>IF(AND(Programme_Grunddaten!$A832="Geprüft",Programme_Grunddaten!AX832&lt;&gt;""),Programme_Grunddaten!AX832,"")</f>
        <v/>
      </c>
    </row>
    <row r="828" spans="1:9" x14ac:dyDescent="0.3">
      <c r="A828" s="1" t="str">
        <f>IF(AND(Programme_Grunddaten!$A833="Geprüft",Programme_Grunddaten!B833&lt;&gt;""),Programme_Grunddaten!B833,"")</f>
        <v/>
      </c>
      <c r="B828" s="1" t="str">
        <f>IF(AND(Programme_Grunddaten!$A833="Geprüft",Programme_Grunddaten!C833&lt;&gt;""),Programme_Grunddaten!C833,"")</f>
        <v/>
      </c>
      <c r="C828" s="1" t="str">
        <f>IF(AND(Programme_Grunddaten!$A833="Geprüft",Programme_Grunddaten!D833&lt;&gt;""),Programme_Grunddaten!D833,"")</f>
        <v/>
      </c>
      <c r="D828" s="2" t="str">
        <f>IF(AND(Programme_Grunddaten!$A833="Geprüft",Programme_Grunddaten!E833&lt;&gt;""),Programme_Grunddaten!E833,"")</f>
        <v/>
      </c>
      <c r="E828" t="str">
        <f>IF(AND(Programme_Grunddaten!$A833="Geprüft",Programme_Grunddaten!G833&lt;&gt;""),Programme_Grunddaten!G833,"")</f>
        <v/>
      </c>
      <c r="F828" t="str">
        <f>IF(AND(Programme_Grunddaten!$A833="Geprüft",Programme_Grunddaten!F833&lt;&gt;""),Programme_Grunddaten!F833,"")</f>
        <v/>
      </c>
      <c r="G828" s="3" t="str">
        <f>IF(AND(Programme_Grunddaten!$A833="Geprüft",Programme_Grunddaten!S833&lt;&gt;""),Programme_Grunddaten!S833,"")</f>
        <v/>
      </c>
      <c r="H828" t="str">
        <f>IF(AND(Programme_Grunddaten!$A833="Geprüft",Programme_Grunddaten!AW833&lt;&gt;""),Programme_Grunddaten!AW833,"")</f>
        <v/>
      </c>
      <c r="I828" t="str">
        <f>IF(AND(Programme_Grunddaten!$A833="Geprüft",Programme_Grunddaten!AX833&lt;&gt;""),Programme_Grunddaten!AX833,"")</f>
        <v/>
      </c>
    </row>
    <row r="829" spans="1:9" x14ac:dyDescent="0.3">
      <c r="A829" s="1" t="str">
        <f>IF(AND(Programme_Grunddaten!$A834="Geprüft",Programme_Grunddaten!B834&lt;&gt;""),Programme_Grunddaten!B834,"")</f>
        <v/>
      </c>
      <c r="B829" s="1" t="str">
        <f>IF(AND(Programme_Grunddaten!$A834="Geprüft",Programme_Grunddaten!C834&lt;&gt;""),Programme_Grunddaten!C834,"")</f>
        <v/>
      </c>
      <c r="C829" s="1" t="str">
        <f>IF(AND(Programme_Grunddaten!$A834="Geprüft",Programme_Grunddaten!D834&lt;&gt;""),Programme_Grunddaten!D834,"")</f>
        <v/>
      </c>
      <c r="D829" s="2" t="str">
        <f>IF(AND(Programme_Grunddaten!$A834="Geprüft",Programme_Grunddaten!E834&lt;&gt;""),Programme_Grunddaten!E834,"")</f>
        <v/>
      </c>
      <c r="E829" t="str">
        <f>IF(AND(Programme_Grunddaten!$A834="Geprüft",Programme_Grunddaten!G834&lt;&gt;""),Programme_Grunddaten!G834,"")</f>
        <v/>
      </c>
      <c r="F829" t="str">
        <f>IF(AND(Programme_Grunddaten!$A834="Geprüft",Programme_Grunddaten!F834&lt;&gt;""),Programme_Grunddaten!F834,"")</f>
        <v/>
      </c>
      <c r="G829" s="3" t="str">
        <f>IF(AND(Programme_Grunddaten!$A834="Geprüft",Programme_Grunddaten!S834&lt;&gt;""),Programme_Grunddaten!S834,"")</f>
        <v/>
      </c>
      <c r="H829" t="str">
        <f>IF(AND(Programme_Grunddaten!$A834="Geprüft",Programme_Grunddaten!AW834&lt;&gt;""),Programme_Grunddaten!AW834,"")</f>
        <v/>
      </c>
      <c r="I829" t="str">
        <f>IF(AND(Programme_Grunddaten!$A834="Geprüft",Programme_Grunddaten!AX834&lt;&gt;""),Programme_Grunddaten!AX834,"")</f>
        <v/>
      </c>
    </row>
    <row r="830" spans="1:9" x14ac:dyDescent="0.3">
      <c r="A830" s="1" t="str">
        <f>IF(AND(Programme_Grunddaten!$A835="Geprüft",Programme_Grunddaten!B835&lt;&gt;""),Programme_Grunddaten!B835,"")</f>
        <v/>
      </c>
      <c r="B830" s="1" t="str">
        <f>IF(AND(Programme_Grunddaten!$A835="Geprüft",Programme_Grunddaten!C835&lt;&gt;""),Programme_Grunddaten!C835,"")</f>
        <v/>
      </c>
      <c r="C830" s="1" t="str">
        <f>IF(AND(Programme_Grunddaten!$A835="Geprüft",Programme_Grunddaten!D835&lt;&gt;""),Programme_Grunddaten!D835,"")</f>
        <v/>
      </c>
      <c r="D830" s="2" t="str">
        <f>IF(AND(Programme_Grunddaten!$A835="Geprüft",Programme_Grunddaten!E835&lt;&gt;""),Programme_Grunddaten!E835,"")</f>
        <v/>
      </c>
      <c r="E830" t="str">
        <f>IF(AND(Programme_Grunddaten!$A835="Geprüft",Programme_Grunddaten!G835&lt;&gt;""),Programme_Grunddaten!G835,"")</f>
        <v/>
      </c>
      <c r="F830" t="str">
        <f>IF(AND(Programme_Grunddaten!$A835="Geprüft",Programme_Grunddaten!F835&lt;&gt;""),Programme_Grunddaten!F835,"")</f>
        <v/>
      </c>
      <c r="G830" s="3" t="str">
        <f>IF(AND(Programme_Grunddaten!$A835="Geprüft",Programme_Grunddaten!S835&lt;&gt;""),Programme_Grunddaten!S835,"")</f>
        <v/>
      </c>
      <c r="H830" t="str">
        <f>IF(AND(Programme_Grunddaten!$A835="Geprüft",Programme_Grunddaten!AW835&lt;&gt;""),Programme_Grunddaten!AW835,"")</f>
        <v/>
      </c>
      <c r="I830" t="str">
        <f>IF(AND(Programme_Grunddaten!$A835="Geprüft",Programme_Grunddaten!AX835&lt;&gt;""),Programme_Grunddaten!AX835,"")</f>
        <v/>
      </c>
    </row>
    <row r="831" spans="1:9" x14ac:dyDescent="0.3">
      <c r="A831" s="1" t="str">
        <f>IF(AND(Programme_Grunddaten!$A836="Geprüft",Programme_Grunddaten!B836&lt;&gt;""),Programme_Grunddaten!B836,"")</f>
        <v/>
      </c>
      <c r="B831" s="1" t="str">
        <f>IF(AND(Programme_Grunddaten!$A836="Geprüft",Programme_Grunddaten!C836&lt;&gt;""),Programme_Grunddaten!C836,"")</f>
        <v/>
      </c>
      <c r="C831" s="1" t="str">
        <f>IF(AND(Programme_Grunddaten!$A836="Geprüft",Programme_Grunddaten!D836&lt;&gt;""),Programme_Grunddaten!D836,"")</f>
        <v/>
      </c>
      <c r="D831" s="2" t="str">
        <f>IF(AND(Programme_Grunddaten!$A836="Geprüft",Programme_Grunddaten!E836&lt;&gt;""),Programme_Grunddaten!E836,"")</f>
        <v/>
      </c>
      <c r="E831" t="str">
        <f>IF(AND(Programme_Grunddaten!$A836="Geprüft",Programme_Grunddaten!G836&lt;&gt;""),Programme_Grunddaten!G836,"")</f>
        <v/>
      </c>
      <c r="F831" t="str">
        <f>IF(AND(Programme_Grunddaten!$A836="Geprüft",Programme_Grunddaten!F836&lt;&gt;""),Programme_Grunddaten!F836,"")</f>
        <v/>
      </c>
      <c r="G831" s="3" t="str">
        <f>IF(AND(Programme_Grunddaten!$A836="Geprüft",Programme_Grunddaten!S836&lt;&gt;""),Programme_Grunddaten!S836,"")</f>
        <v/>
      </c>
      <c r="H831" t="str">
        <f>IF(AND(Programme_Grunddaten!$A836="Geprüft",Programme_Grunddaten!AW836&lt;&gt;""),Programme_Grunddaten!AW836,"")</f>
        <v/>
      </c>
      <c r="I831" t="str">
        <f>IF(AND(Programme_Grunddaten!$A836="Geprüft",Programme_Grunddaten!AX836&lt;&gt;""),Programme_Grunddaten!AX836,"")</f>
        <v/>
      </c>
    </row>
    <row r="832" spans="1:9" x14ac:dyDescent="0.3">
      <c r="A832" s="1" t="str">
        <f>IF(AND(Programme_Grunddaten!$A837="Geprüft",Programme_Grunddaten!B837&lt;&gt;""),Programme_Grunddaten!B837,"")</f>
        <v/>
      </c>
      <c r="B832" s="1" t="str">
        <f>IF(AND(Programme_Grunddaten!$A837="Geprüft",Programme_Grunddaten!C837&lt;&gt;""),Programme_Grunddaten!C837,"")</f>
        <v/>
      </c>
      <c r="C832" s="1" t="str">
        <f>IF(AND(Programme_Grunddaten!$A837="Geprüft",Programme_Grunddaten!D837&lt;&gt;""),Programme_Grunddaten!D837,"")</f>
        <v/>
      </c>
      <c r="D832" s="2" t="str">
        <f>IF(AND(Programme_Grunddaten!$A837="Geprüft",Programme_Grunddaten!E837&lt;&gt;""),Programme_Grunddaten!E837,"")</f>
        <v/>
      </c>
      <c r="E832" t="str">
        <f>IF(AND(Programme_Grunddaten!$A837="Geprüft",Programme_Grunddaten!G837&lt;&gt;""),Programme_Grunddaten!G837,"")</f>
        <v/>
      </c>
      <c r="F832" t="str">
        <f>IF(AND(Programme_Grunddaten!$A837="Geprüft",Programme_Grunddaten!F837&lt;&gt;""),Programme_Grunddaten!F837,"")</f>
        <v/>
      </c>
      <c r="G832" s="3" t="str">
        <f>IF(AND(Programme_Grunddaten!$A837="Geprüft",Programme_Grunddaten!S837&lt;&gt;""),Programme_Grunddaten!S837,"")</f>
        <v/>
      </c>
      <c r="H832" t="str">
        <f>IF(AND(Programme_Grunddaten!$A837="Geprüft",Programme_Grunddaten!AW837&lt;&gt;""),Programme_Grunddaten!AW837,"")</f>
        <v/>
      </c>
      <c r="I832" t="str">
        <f>IF(AND(Programme_Grunddaten!$A837="Geprüft",Programme_Grunddaten!AX837&lt;&gt;""),Programme_Grunddaten!AX837,"")</f>
        <v/>
      </c>
    </row>
    <row r="833" spans="1:9" x14ac:dyDescent="0.3">
      <c r="A833" s="1" t="str">
        <f>IF(AND(Programme_Grunddaten!$A838="Geprüft",Programme_Grunddaten!B838&lt;&gt;""),Programme_Grunddaten!B838,"")</f>
        <v/>
      </c>
      <c r="B833" s="1" t="str">
        <f>IF(AND(Programme_Grunddaten!$A838="Geprüft",Programme_Grunddaten!C838&lt;&gt;""),Programme_Grunddaten!C838,"")</f>
        <v/>
      </c>
      <c r="C833" s="1" t="str">
        <f>IF(AND(Programme_Grunddaten!$A838="Geprüft",Programme_Grunddaten!D838&lt;&gt;""),Programme_Grunddaten!D838,"")</f>
        <v/>
      </c>
      <c r="D833" s="2" t="str">
        <f>IF(AND(Programme_Grunddaten!$A838="Geprüft",Programme_Grunddaten!E838&lt;&gt;""),Programme_Grunddaten!E838,"")</f>
        <v/>
      </c>
      <c r="E833" t="str">
        <f>IF(AND(Programme_Grunddaten!$A838="Geprüft",Programme_Grunddaten!G838&lt;&gt;""),Programme_Grunddaten!G838,"")</f>
        <v/>
      </c>
      <c r="F833" t="str">
        <f>IF(AND(Programme_Grunddaten!$A838="Geprüft",Programme_Grunddaten!F838&lt;&gt;""),Programme_Grunddaten!F838,"")</f>
        <v/>
      </c>
      <c r="G833" s="3" t="str">
        <f>IF(AND(Programme_Grunddaten!$A838="Geprüft",Programme_Grunddaten!S838&lt;&gt;""),Programme_Grunddaten!S838,"")</f>
        <v/>
      </c>
      <c r="H833" t="str">
        <f>IF(AND(Programme_Grunddaten!$A838="Geprüft",Programme_Grunddaten!AW838&lt;&gt;""),Programme_Grunddaten!AW838,"")</f>
        <v/>
      </c>
      <c r="I833" t="str">
        <f>IF(AND(Programme_Grunddaten!$A838="Geprüft",Programme_Grunddaten!AX838&lt;&gt;""),Programme_Grunddaten!AX838,"")</f>
        <v/>
      </c>
    </row>
    <row r="834" spans="1:9" x14ac:dyDescent="0.3">
      <c r="A834" s="1" t="str">
        <f>IF(AND(Programme_Grunddaten!$A839="Geprüft",Programme_Grunddaten!B839&lt;&gt;""),Programme_Grunddaten!B839,"")</f>
        <v/>
      </c>
      <c r="B834" s="1" t="str">
        <f>IF(AND(Programme_Grunddaten!$A839="Geprüft",Programme_Grunddaten!C839&lt;&gt;""),Programme_Grunddaten!C839,"")</f>
        <v/>
      </c>
      <c r="C834" s="1" t="str">
        <f>IF(AND(Programme_Grunddaten!$A839="Geprüft",Programme_Grunddaten!D839&lt;&gt;""),Programme_Grunddaten!D839,"")</f>
        <v/>
      </c>
      <c r="D834" s="2" t="str">
        <f>IF(AND(Programme_Grunddaten!$A839="Geprüft",Programme_Grunddaten!E839&lt;&gt;""),Programme_Grunddaten!E839,"")</f>
        <v/>
      </c>
      <c r="E834" t="str">
        <f>IF(AND(Programme_Grunddaten!$A839="Geprüft",Programme_Grunddaten!G839&lt;&gt;""),Programme_Grunddaten!G839,"")</f>
        <v/>
      </c>
      <c r="F834" t="str">
        <f>IF(AND(Programme_Grunddaten!$A839="Geprüft",Programme_Grunddaten!F839&lt;&gt;""),Programme_Grunddaten!F839,"")</f>
        <v/>
      </c>
      <c r="G834" s="3" t="str">
        <f>IF(AND(Programme_Grunddaten!$A839="Geprüft",Programme_Grunddaten!S839&lt;&gt;""),Programme_Grunddaten!S839,"")</f>
        <v/>
      </c>
      <c r="H834" t="str">
        <f>IF(AND(Programme_Grunddaten!$A839="Geprüft",Programme_Grunddaten!AW839&lt;&gt;""),Programme_Grunddaten!AW839,"")</f>
        <v/>
      </c>
      <c r="I834" t="str">
        <f>IF(AND(Programme_Grunddaten!$A839="Geprüft",Programme_Grunddaten!AX839&lt;&gt;""),Programme_Grunddaten!AX839,"")</f>
        <v/>
      </c>
    </row>
    <row r="835" spans="1:9" x14ac:dyDescent="0.3">
      <c r="A835" s="1" t="str">
        <f>IF(AND(Programme_Grunddaten!$A840="Geprüft",Programme_Grunddaten!B840&lt;&gt;""),Programme_Grunddaten!B840,"")</f>
        <v/>
      </c>
      <c r="B835" s="1" t="str">
        <f>IF(AND(Programme_Grunddaten!$A840="Geprüft",Programme_Grunddaten!C840&lt;&gt;""),Programme_Grunddaten!C840,"")</f>
        <v/>
      </c>
      <c r="C835" s="1" t="str">
        <f>IF(AND(Programme_Grunddaten!$A840="Geprüft",Programme_Grunddaten!D840&lt;&gt;""),Programme_Grunddaten!D840,"")</f>
        <v/>
      </c>
      <c r="D835" s="2" t="str">
        <f>IF(AND(Programme_Grunddaten!$A840="Geprüft",Programme_Grunddaten!E840&lt;&gt;""),Programme_Grunddaten!E840,"")</f>
        <v/>
      </c>
      <c r="E835" t="str">
        <f>IF(AND(Programme_Grunddaten!$A840="Geprüft",Programme_Grunddaten!G840&lt;&gt;""),Programme_Grunddaten!G840,"")</f>
        <v/>
      </c>
      <c r="F835" t="str">
        <f>IF(AND(Programme_Grunddaten!$A840="Geprüft",Programme_Grunddaten!F840&lt;&gt;""),Programme_Grunddaten!F840,"")</f>
        <v/>
      </c>
      <c r="G835" s="3" t="str">
        <f>IF(AND(Programme_Grunddaten!$A840="Geprüft",Programme_Grunddaten!S840&lt;&gt;""),Programme_Grunddaten!S840,"")</f>
        <v/>
      </c>
      <c r="H835" t="str">
        <f>IF(AND(Programme_Grunddaten!$A840="Geprüft",Programme_Grunddaten!AW840&lt;&gt;""),Programme_Grunddaten!AW840,"")</f>
        <v/>
      </c>
      <c r="I835" t="str">
        <f>IF(AND(Programme_Grunddaten!$A840="Geprüft",Programme_Grunddaten!AX840&lt;&gt;""),Programme_Grunddaten!AX840,"")</f>
        <v/>
      </c>
    </row>
    <row r="836" spans="1:9" x14ac:dyDescent="0.3">
      <c r="A836" s="1" t="str">
        <f>IF(AND(Programme_Grunddaten!$A841="Geprüft",Programme_Grunddaten!B841&lt;&gt;""),Programme_Grunddaten!B841,"")</f>
        <v/>
      </c>
      <c r="B836" s="1" t="str">
        <f>IF(AND(Programme_Grunddaten!$A841="Geprüft",Programme_Grunddaten!C841&lt;&gt;""),Programme_Grunddaten!C841,"")</f>
        <v/>
      </c>
      <c r="C836" s="1" t="str">
        <f>IF(AND(Programme_Grunddaten!$A841="Geprüft",Programme_Grunddaten!D841&lt;&gt;""),Programme_Grunddaten!D841,"")</f>
        <v/>
      </c>
      <c r="D836" s="2" t="str">
        <f>IF(AND(Programme_Grunddaten!$A841="Geprüft",Programme_Grunddaten!E841&lt;&gt;""),Programme_Grunddaten!E841,"")</f>
        <v/>
      </c>
      <c r="E836" t="str">
        <f>IF(AND(Programme_Grunddaten!$A841="Geprüft",Programme_Grunddaten!G841&lt;&gt;""),Programme_Grunddaten!G841,"")</f>
        <v/>
      </c>
      <c r="F836" t="str">
        <f>IF(AND(Programme_Grunddaten!$A841="Geprüft",Programme_Grunddaten!F841&lt;&gt;""),Programme_Grunddaten!F841,"")</f>
        <v/>
      </c>
      <c r="G836" s="3" t="str">
        <f>IF(AND(Programme_Grunddaten!$A841="Geprüft",Programme_Grunddaten!S841&lt;&gt;""),Programme_Grunddaten!S841,"")</f>
        <v/>
      </c>
      <c r="H836" t="str">
        <f>IF(AND(Programme_Grunddaten!$A841="Geprüft",Programme_Grunddaten!AW841&lt;&gt;""),Programme_Grunddaten!AW841,"")</f>
        <v/>
      </c>
      <c r="I836" t="str">
        <f>IF(AND(Programme_Grunddaten!$A841="Geprüft",Programme_Grunddaten!AX841&lt;&gt;""),Programme_Grunddaten!AX841,"")</f>
        <v/>
      </c>
    </row>
    <row r="837" spans="1:9" x14ac:dyDescent="0.3">
      <c r="A837" s="1" t="str">
        <f>IF(AND(Programme_Grunddaten!$A842="Geprüft",Programme_Grunddaten!B842&lt;&gt;""),Programme_Grunddaten!B842,"")</f>
        <v/>
      </c>
      <c r="B837" s="1" t="str">
        <f>IF(AND(Programme_Grunddaten!$A842="Geprüft",Programme_Grunddaten!C842&lt;&gt;""),Programme_Grunddaten!C842,"")</f>
        <v/>
      </c>
      <c r="C837" s="1" t="str">
        <f>IF(AND(Programme_Grunddaten!$A842="Geprüft",Programme_Grunddaten!D842&lt;&gt;""),Programme_Grunddaten!D842,"")</f>
        <v/>
      </c>
      <c r="D837" s="2" t="str">
        <f>IF(AND(Programme_Grunddaten!$A842="Geprüft",Programme_Grunddaten!E842&lt;&gt;""),Programme_Grunddaten!E842,"")</f>
        <v/>
      </c>
      <c r="E837" t="str">
        <f>IF(AND(Programme_Grunddaten!$A842="Geprüft",Programme_Grunddaten!G842&lt;&gt;""),Programme_Grunddaten!G842,"")</f>
        <v/>
      </c>
      <c r="F837" t="str">
        <f>IF(AND(Programme_Grunddaten!$A842="Geprüft",Programme_Grunddaten!F842&lt;&gt;""),Programme_Grunddaten!F842,"")</f>
        <v/>
      </c>
      <c r="G837" s="3" t="str">
        <f>IF(AND(Programme_Grunddaten!$A842="Geprüft",Programme_Grunddaten!S842&lt;&gt;""),Programme_Grunddaten!S842,"")</f>
        <v/>
      </c>
      <c r="H837" t="str">
        <f>IF(AND(Programme_Grunddaten!$A842="Geprüft",Programme_Grunddaten!AW842&lt;&gt;""),Programme_Grunddaten!AW842,"")</f>
        <v/>
      </c>
      <c r="I837" t="str">
        <f>IF(AND(Programme_Grunddaten!$A842="Geprüft",Programme_Grunddaten!AX842&lt;&gt;""),Programme_Grunddaten!AX842,"")</f>
        <v/>
      </c>
    </row>
    <row r="838" spans="1:9" x14ac:dyDescent="0.3">
      <c r="A838" s="1" t="str">
        <f>IF(AND(Programme_Grunddaten!$A843="Geprüft",Programme_Grunddaten!B843&lt;&gt;""),Programme_Grunddaten!B843,"")</f>
        <v/>
      </c>
      <c r="B838" s="1" t="str">
        <f>IF(AND(Programme_Grunddaten!$A843="Geprüft",Programme_Grunddaten!C843&lt;&gt;""),Programme_Grunddaten!C843,"")</f>
        <v/>
      </c>
      <c r="C838" s="1" t="str">
        <f>IF(AND(Programme_Grunddaten!$A843="Geprüft",Programme_Grunddaten!D843&lt;&gt;""),Programme_Grunddaten!D843,"")</f>
        <v/>
      </c>
      <c r="D838" s="2" t="str">
        <f>IF(AND(Programme_Grunddaten!$A843="Geprüft",Programme_Grunddaten!E843&lt;&gt;""),Programme_Grunddaten!E843,"")</f>
        <v/>
      </c>
      <c r="E838" t="str">
        <f>IF(AND(Programme_Grunddaten!$A843="Geprüft",Programme_Grunddaten!G843&lt;&gt;""),Programme_Grunddaten!G843,"")</f>
        <v/>
      </c>
      <c r="F838" t="str">
        <f>IF(AND(Programme_Grunddaten!$A843="Geprüft",Programme_Grunddaten!F843&lt;&gt;""),Programme_Grunddaten!F843,"")</f>
        <v/>
      </c>
      <c r="G838" s="3" t="str">
        <f>IF(AND(Programme_Grunddaten!$A843="Geprüft",Programme_Grunddaten!S843&lt;&gt;""),Programme_Grunddaten!S843,"")</f>
        <v/>
      </c>
      <c r="H838" t="str">
        <f>IF(AND(Programme_Grunddaten!$A843="Geprüft",Programme_Grunddaten!AW843&lt;&gt;""),Programme_Grunddaten!AW843,"")</f>
        <v/>
      </c>
      <c r="I838" t="str">
        <f>IF(AND(Programme_Grunddaten!$A843="Geprüft",Programme_Grunddaten!AX843&lt;&gt;""),Programme_Grunddaten!AX843,"")</f>
        <v/>
      </c>
    </row>
    <row r="839" spans="1:9" x14ac:dyDescent="0.3">
      <c r="A839" s="1" t="str">
        <f>IF(AND(Programme_Grunddaten!$A844="Geprüft",Programme_Grunddaten!B844&lt;&gt;""),Programme_Grunddaten!B844,"")</f>
        <v/>
      </c>
      <c r="B839" s="1" t="str">
        <f>IF(AND(Programme_Grunddaten!$A844="Geprüft",Programme_Grunddaten!C844&lt;&gt;""),Programme_Grunddaten!C844,"")</f>
        <v/>
      </c>
      <c r="C839" s="1" t="str">
        <f>IF(AND(Programme_Grunddaten!$A844="Geprüft",Programme_Grunddaten!D844&lt;&gt;""),Programme_Grunddaten!D844,"")</f>
        <v/>
      </c>
      <c r="D839" s="2" t="str">
        <f>IF(AND(Programme_Grunddaten!$A844="Geprüft",Programme_Grunddaten!E844&lt;&gt;""),Programme_Grunddaten!E844,"")</f>
        <v/>
      </c>
      <c r="E839" t="str">
        <f>IF(AND(Programme_Grunddaten!$A844="Geprüft",Programme_Grunddaten!G844&lt;&gt;""),Programme_Grunddaten!G844,"")</f>
        <v/>
      </c>
      <c r="F839" t="str">
        <f>IF(AND(Programme_Grunddaten!$A844="Geprüft",Programme_Grunddaten!F844&lt;&gt;""),Programme_Grunddaten!F844,"")</f>
        <v/>
      </c>
      <c r="G839" s="3" t="str">
        <f>IF(AND(Programme_Grunddaten!$A844="Geprüft",Programme_Grunddaten!S844&lt;&gt;""),Programme_Grunddaten!S844,"")</f>
        <v/>
      </c>
      <c r="H839" t="str">
        <f>IF(AND(Programme_Grunddaten!$A844="Geprüft",Programme_Grunddaten!AW844&lt;&gt;""),Programme_Grunddaten!AW844,"")</f>
        <v/>
      </c>
      <c r="I839" t="str">
        <f>IF(AND(Programme_Grunddaten!$A844="Geprüft",Programme_Grunddaten!AX844&lt;&gt;""),Programme_Grunddaten!AX844,"")</f>
        <v/>
      </c>
    </row>
    <row r="840" spans="1:9" x14ac:dyDescent="0.3">
      <c r="A840" s="1" t="str">
        <f>IF(AND(Programme_Grunddaten!$A845="Geprüft",Programme_Grunddaten!B845&lt;&gt;""),Programme_Grunddaten!B845,"")</f>
        <v/>
      </c>
      <c r="B840" s="1" t="str">
        <f>IF(AND(Programme_Grunddaten!$A845="Geprüft",Programme_Grunddaten!C845&lt;&gt;""),Programme_Grunddaten!C845,"")</f>
        <v/>
      </c>
      <c r="C840" s="1" t="str">
        <f>IF(AND(Programme_Grunddaten!$A845="Geprüft",Programme_Grunddaten!D845&lt;&gt;""),Programme_Grunddaten!D845,"")</f>
        <v/>
      </c>
      <c r="D840" s="2" t="str">
        <f>IF(AND(Programme_Grunddaten!$A845="Geprüft",Programme_Grunddaten!E845&lt;&gt;""),Programme_Grunddaten!E845,"")</f>
        <v/>
      </c>
      <c r="E840" t="str">
        <f>IF(AND(Programme_Grunddaten!$A845="Geprüft",Programme_Grunddaten!G845&lt;&gt;""),Programme_Grunddaten!G845,"")</f>
        <v/>
      </c>
      <c r="F840" t="str">
        <f>IF(AND(Programme_Grunddaten!$A845="Geprüft",Programme_Grunddaten!F845&lt;&gt;""),Programme_Grunddaten!F845,"")</f>
        <v/>
      </c>
      <c r="G840" s="3" t="str">
        <f>IF(AND(Programme_Grunddaten!$A845="Geprüft",Programme_Grunddaten!S845&lt;&gt;""),Programme_Grunddaten!S845,"")</f>
        <v/>
      </c>
      <c r="H840" t="str">
        <f>IF(AND(Programme_Grunddaten!$A845="Geprüft",Programme_Grunddaten!AW845&lt;&gt;""),Programme_Grunddaten!AW845,"")</f>
        <v/>
      </c>
      <c r="I840" t="str">
        <f>IF(AND(Programme_Grunddaten!$A845="Geprüft",Programme_Grunddaten!AX845&lt;&gt;""),Programme_Grunddaten!AX845,"")</f>
        <v/>
      </c>
    </row>
    <row r="841" spans="1:9" x14ac:dyDescent="0.3">
      <c r="A841" s="1" t="str">
        <f>IF(AND(Programme_Grunddaten!$A846="Geprüft",Programme_Grunddaten!B846&lt;&gt;""),Programme_Grunddaten!B846,"")</f>
        <v/>
      </c>
      <c r="B841" s="1" t="str">
        <f>IF(AND(Programme_Grunddaten!$A846="Geprüft",Programme_Grunddaten!C846&lt;&gt;""),Programme_Grunddaten!C846,"")</f>
        <v/>
      </c>
      <c r="C841" s="1" t="str">
        <f>IF(AND(Programme_Grunddaten!$A846="Geprüft",Programme_Grunddaten!D846&lt;&gt;""),Programme_Grunddaten!D846,"")</f>
        <v/>
      </c>
      <c r="D841" s="2" t="str">
        <f>IF(AND(Programme_Grunddaten!$A846="Geprüft",Programme_Grunddaten!E846&lt;&gt;""),Programme_Grunddaten!E846,"")</f>
        <v/>
      </c>
      <c r="E841" t="str">
        <f>IF(AND(Programme_Grunddaten!$A846="Geprüft",Programme_Grunddaten!G846&lt;&gt;""),Programme_Grunddaten!G846,"")</f>
        <v/>
      </c>
      <c r="F841" t="str">
        <f>IF(AND(Programme_Grunddaten!$A846="Geprüft",Programme_Grunddaten!F846&lt;&gt;""),Programme_Grunddaten!F846,"")</f>
        <v/>
      </c>
      <c r="G841" s="3" t="str">
        <f>IF(AND(Programme_Grunddaten!$A846="Geprüft",Programme_Grunddaten!S846&lt;&gt;""),Programme_Grunddaten!S846,"")</f>
        <v/>
      </c>
      <c r="H841" t="str">
        <f>IF(AND(Programme_Grunddaten!$A846="Geprüft",Programme_Grunddaten!AW846&lt;&gt;""),Programme_Grunddaten!AW846,"")</f>
        <v/>
      </c>
      <c r="I841" t="str">
        <f>IF(AND(Programme_Grunddaten!$A846="Geprüft",Programme_Grunddaten!AX846&lt;&gt;""),Programme_Grunddaten!AX846,"")</f>
        <v/>
      </c>
    </row>
    <row r="842" spans="1:9" x14ac:dyDescent="0.3">
      <c r="A842" s="1" t="str">
        <f>IF(AND(Programme_Grunddaten!$A847="Geprüft",Programme_Grunddaten!B847&lt;&gt;""),Programme_Grunddaten!B847,"")</f>
        <v/>
      </c>
      <c r="B842" s="1" t="str">
        <f>IF(AND(Programme_Grunddaten!$A847="Geprüft",Programme_Grunddaten!C847&lt;&gt;""),Programme_Grunddaten!C847,"")</f>
        <v/>
      </c>
      <c r="C842" s="1" t="str">
        <f>IF(AND(Programme_Grunddaten!$A847="Geprüft",Programme_Grunddaten!D847&lt;&gt;""),Programme_Grunddaten!D847,"")</f>
        <v/>
      </c>
      <c r="D842" s="2" t="str">
        <f>IF(AND(Programme_Grunddaten!$A847="Geprüft",Programme_Grunddaten!E847&lt;&gt;""),Programme_Grunddaten!E847,"")</f>
        <v/>
      </c>
      <c r="E842" t="str">
        <f>IF(AND(Programme_Grunddaten!$A847="Geprüft",Programme_Grunddaten!G847&lt;&gt;""),Programme_Grunddaten!G847,"")</f>
        <v/>
      </c>
      <c r="F842" t="str">
        <f>IF(AND(Programme_Grunddaten!$A847="Geprüft",Programme_Grunddaten!F847&lt;&gt;""),Programme_Grunddaten!F847,"")</f>
        <v/>
      </c>
      <c r="G842" s="3" t="str">
        <f>IF(AND(Programme_Grunddaten!$A847="Geprüft",Programme_Grunddaten!S847&lt;&gt;""),Programme_Grunddaten!S847,"")</f>
        <v/>
      </c>
      <c r="H842" t="str">
        <f>IF(AND(Programme_Grunddaten!$A847="Geprüft",Programme_Grunddaten!AW847&lt;&gt;""),Programme_Grunddaten!AW847,"")</f>
        <v/>
      </c>
      <c r="I842" t="str">
        <f>IF(AND(Programme_Grunddaten!$A847="Geprüft",Programme_Grunddaten!AX847&lt;&gt;""),Programme_Grunddaten!AX847,"")</f>
        <v/>
      </c>
    </row>
    <row r="843" spans="1:9" x14ac:dyDescent="0.3">
      <c r="A843" s="1" t="str">
        <f>IF(AND(Programme_Grunddaten!$A848="Geprüft",Programme_Grunddaten!B848&lt;&gt;""),Programme_Grunddaten!B848,"")</f>
        <v/>
      </c>
      <c r="B843" s="1" t="str">
        <f>IF(AND(Programme_Grunddaten!$A848="Geprüft",Programme_Grunddaten!C848&lt;&gt;""),Programme_Grunddaten!C848,"")</f>
        <v/>
      </c>
      <c r="C843" s="1" t="str">
        <f>IF(AND(Programme_Grunddaten!$A848="Geprüft",Programme_Grunddaten!D848&lt;&gt;""),Programme_Grunddaten!D848,"")</f>
        <v/>
      </c>
      <c r="D843" s="2" t="str">
        <f>IF(AND(Programme_Grunddaten!$A848="Geprüft",Programme_Grunddaten!E848&lt;&gt;""),Programme_Grunddaten!E848,"")</f>
        <v/>
      </c>
      <c r="E843" t="str">
        <f>IF(AND(Programme_Grunddaten!$A848="Geprüft",Programme_Grunddaten!G848&lt;&gt;""),Programme_Grunddaten!G848,"")</f>
        <v/>
      </c>
      <c r="F843" t="str">
        <f>IF(AND(Programme_Grunddaten!$A848="Geprüft",Programme_Grunddaten!F848&lt;&gt;""),Programme_Grunddaten!F848,"")</f>
        <v/>
      </c>
      <c r="G843" s="3" t="str">
        <f>IF(AND(Programme_Grunddaten!$A848="Geprüft",Programme_Grunddaten!S848&lt;&gt;""),Programme_Grunddaten!S848,"")</f>
        <v/>
      </c>
      <c r="H843" t="str">
        <f>IF(AND(Programme_Grunddaten!$A848="Geprüft",Programme_Grunddaten!AW848&lt;&gt;""),Programme_Grunddaten!AW848,"")</f>
        <v/>
      </c>
      <c r="I843" t="str">
        <f>IF(AND(Programme_Grunddaten!$A848="Geprüft",Programme_Grunddaten!AX848&lt;&gt;""),Programme_Grunddaten!AX848,"")</f>
        <v/>
      </c>
    </row>
    <row r="844" spans="1:9" x14ac:dyDescent="0.3">
      <c r="A844" s="1" t="str">
        <f>IF(AND(Programme_Grunddaten!$A849="Geprüft",Programme_Grunddaten!B849&lt;&gt;""),Programme_Grunddaten!B849,"")</f>
        <v/>
      </c>
      <c r="B844" s="1" t="str">
        <f>IF(AND(Programme_Grunddaten!$A849="Geprüft",Programme_Grunddaten!C849&lt;&gt;""),Programme_Grunddaten!C849,"")</f>
        <v/>
      </c>
      <c r="C844" s="1" t="str">
        <f>IF(AND(Programme_Grunddaten!$A849="Geprüft",Programme_Grunddaten!D849&lt;&gt;""),Programme_Grunddaten!D849,"")</f>
        <v/>
      </c>
      <c r="D844" s="2" t="str">
        <f>IF(AND(Programme_Grunddaten!$A849="Geprüft",Programme_Grunddaten!E849&lt;&gt;""),Programme_Grunddaten!E849,"")</f>
        <v/>
      </c>
      <c r="E844" t="str">
        <f>IF(AND(Programme_Grunddaten!$A849="Geprüft",Programme_Grunddaten!G849&lt;&gt;""),Programme_Grunddaten!G849,"")</f>
        <v/>
      </c>
      <c r="F844" t="str">
        <f>IF(AND(Programme_Grunddaten!$A849="Geprüft",Programme_Grunddaten!F849&lt;&gt;""),Programme_Grunddaten!F849,"")</f>
        <v/>
      </c>
      <c r="G844" s="3" t="str">
        <f>IF(AND(Programme_Grunddaten!$A849="Geprüft",Programme_Grunddaten!S849&lt;&gt;""),Programme_Grunddaten!S849,"")</f>
        <v/>
      </c>
      <c r="H844" t="str">
        <f>IF(AND(Programme_Grunddaten!$A849="Geprüft",Programme_Grunddaten!AW849&lt;&gt;""),Programme_Grunddaten!AW849,"")</f>
        <v/>
      </c>
      <c r="I844" t="str">
        <f>IF(AND(Programme_Grunddaten!$A849="Geprüft",Programme_Grunddaten!AX849&lt;&gt;""),Programme_Grunddaten!AX849,"")</f>
        <v/>
      </c>
    </row>
    <row r="845" spans="1:9" x14ac:dyDescent="0.3">
      <c r="A845" s="1" t="str">
        <f>IF(AND(Programme_Grunddaten!$A850="Geprüft",Programme_Grunddaten!B850&lt;&gt;""),Programme_Grunddaten!B850,"")</f>
        <v/>
      </c>
      <c r="B845" s="1" t="str">
        <f>IF(AND(Programme_Grunddaten!$A850="Geprüft",Programme_Grunddaten!C850&lt;&gt;""),Programme_Grunddaten!C850,"")</f>
        <v/>
      </c>
      <c r="C845" s="1" t="str">
        <f>IF(AND(Programme_Grunddaten!$A850="Geprüft",Programme_Grunddaten!D850&lt;&gt;""),Programme_Grunddaten!D850,"")</f>
        <v/>
      </c>
      <c r="D845" s="2" t="str">
        <f>IF(AND(Programme_Grunddaten!$A850="Geprüft",Programme_Grunddaten!E850&lt;&gt;""),Programme_Grunddaten!E850,"")</f>
        <v/>
      </c>
      <c r="E845" t="str">
        <f>IF(AND(Programme_Grunddaten!$A850="Geprüft",Programme_Grunddaten!G850&lt;&gt;""),Programme_Grunddaten!G850,"")</f>
        <v/>
      </c>
      <c r="F845" t="str">
        <f>IF(AND(Programme_Grunddaten!$A850="Geprüft",Programme_Grunddaten!F850&lt;&gt;""),Programme_Grunddaten!F850,"")</f>
        <v/>
      </c>
      <c r="G845" s="3" t="str">
        <f>IF(AND(Programme_Grunddaten!$A850="Geprüft",Programme_Grunddaten!S850&lt;&gt;""),Programme_Grunddaten!S850,"")</f>
        <v/>
      </c>
      <c r="H845" t="str">
        <f>IF(AND(Programme_Grunddaten!$A850="Geprüft",Programme_Grunddaten!AW850&lt;&gt;""),Programme_Grunddaten!AW850,"")</f>
        <v/>
      </c>
      <c r="I845" t="str">
        <f>IF(AND(Programme_Grunddaten!$A850="Geprüft",Programme_Grunddaten!AX850&lt;&gt;""),Programme_Grunddaten!AX850,"")</f>
        <v/>
      </c>
    </row>
    <row r="846" spans="1:9" x14ac:dyDescent="0.3">
      <c r="A846" s="1" t="str">
        <f>IF(AND(Programme_Grunddaten!$A851="Geprüft",Programme_Grunddaten!B851&lt;&gt;""),Programme_Grunddaten!B851,"")</f>
        <v/>
      </c>
      <c r="B846" s="1" t="str">
        <f>IF(AND(Programme_Grunddaten!$A851="Geprüft",Programme_Grunddaten!C851&lt;&gt;""),Programme_Grunddaten!C851,"")</f>
        <v/>
      </c>
      <c r="C846" s="1" t="str">
        <f>IF(AND(Programme_Grunddaten!$A851="Geprüft",Programme_Grunddaten!D851&lt;&gt;""),Programme_Grunddaten!D851,"")</f>
        <v/>
      </c>
      <c r="D846" s="2" t="str">
        <f>IF(AND(Programme_Grunddaten!$A851="Geprüft",Programme_Grunddaten!E851&lt;&gt;""),Programme_Grunddaten!E851,"")</f>
        <v/>
      </c>
      <c r="E846" t="str">
        <f>IF(AND(Programme_Grunddaten!$A851="Geprüft",Programme_Grunddaten!G851&lt;&gt;""),Programme_Grunddaten!G851,"")</f>
        <v/>
      </c>
      <c r="F846" t="str">
        <f>IF(AND(Programme_Grunddaten!$A851="Geprüft",Programme_Grunddaten!F851&lt;&gt;""),Programme_Grunddaten!F851,"")</f>
        <v/>
      </c>
      <c r="G846" s="3" t="str">
        <f>IF(AND(Programme_Grunddaten!$A851="Geprüft",Programme_Grunddaten!S851&lt;&gt;""),Programme_Grunddaten!S851,"")</f>
        <v/>
      </c>
      <c r="H846" t="str">
        <f>IF(AND(Programme_Grunddaten!$A851="Geprüft",Programme_Grunddaten!AW851&lt;&gt;""),Programme_Grunddaten!AW851,"")</f>
        <v/>
      </c>
      <c r="I846" t="str">
        <f>IF(AND(Programme_Grunddaten!$A851="Geprüft",Programme_Grunddaten!AX851&lt;&gt;""),Programme_Grunddaten!AX851,"")</f>
        <v/>
      </c>
    </row>
    <row r="847" spans="1:9" x14ac:dyDescent="0.3">
      <c r="A847" s="1" t="str">
        <f>IF(AND(Programme_Grunddaten!$A852="Geprüft",Programme_Grunddaten!B852&lt;&gt;""),Programme_Grunddaten!B852,"")</f>
        <v/>
      </c>
      <c r="B847" s="1" t="str">
        <f>IF(AND(Programme_Grunddaten!$A852="Geprüft",Programme_Grunddaten!C852&lt;&gt;""),Programme_Grunddaten!C852,"")</f>
        <v/>
      </c>
      <c r="C847" s="1" t="str">
        <f>IF(AND(Programme_Grunddaten!$A852="Geprüft",Programme_Grunddaten!D852&lt;&gt;""),Programme_Grunddaten!D852,"")</f>
        <v/>
      </c>
      <c r="D847" s="2" t="str">
        <f>IF(AND(Programme_Grunddaten!$A852="Geprüft",Programme_Grunddaten!E852&lt;&gt;""),Programme_Grunddaten!E852,"")</f>
        <v/>
      </c>
      <c r="E847" t="str">
        <f>IF(AND(Programme_Grunddaten!$A852="Geprüft",Programme_Grunddaten!G852&lt;&gt;""),Programme_Grunddaten!G852,"")</f>
        <v/>
      </c>
      <c r="F847" t="str">
        <f>IF(AND(Programme_Grunddaten!$A852="Geprüft",Programme_Grunddaten!F852&lt;&gt;""),Programme_Grunddaten!F852,"")</f>
        <v/>
      </c>
      <c r="G847" s="3" t="str">
        <f>IF(AND(Programme_Grunddaten!$A852="Geprüft",Programme_Grunddaten!S852&lt;&gt;""),Programme_Grunddaten!S852,"")</f>
        <v/>
      </c>
      <c r="H847" t="str">
        <f>IF(AND(Programme_Grunddaten!$A852="Geprüft",Programme_Grunddaten!AW852&lt;&gt;""),Programme_Grunddaten!AW852,"")</f>
        <v/>
      </c>
      <c r="I847" t="str">
        <f>IF(AND(Programme_Grunddaten!$A852="Geprüft",Programme_Grunddaten!AX852&lt;&gt;""),Programme_Grunddaten!AX852,"")</f>
        <v/>
      </c>
    </row>
    <row r="848" spans="1:9" x14ac:dyDescent="0.3">
      <c r="A848" s="1" t="str">
        <f>IF(AND(Programme_Grunddaten!$A853="Geprüft",Programme_Grunddaten!B853&lt;&gt;""),Programme_Grunddaten!B853,"")</f>
        <v/>
      </c>
      <c r="B848" s="1" t="str">
        <f>IF(AND(Programme_Grunddaten!$A853="Geprüft",Programme_Grunddaten!C853&lt;&gt;""),Programme_Grunddaten!C853,"")</f>
        <v/>
      </c>
      <c r="C848" s="1" t="str">
        <f>IF(AND(Programme_Grunddaten!$A853="Geprüft",Programme_Grunddaten!D853&lt;&gt;""),Programme_Grunddaten!D853,"")</f>
        <v/>
      </c>
      <c r="D848" s="2" t="str">
        <f>IF(AND(Programme_Grunddaten!$A853="Geprüft",Programme_Grunddaten!E853&lt;&gt;""),Programme_Grunddaten!E853,"")</f>
        <v/>
      </c>
      <c r="E848" t="str">
        <f>IF(AND(Programme_Grunddaten!$A853="Geprüft",Programme_Grunddaten!G853&lt;&gt;""),Programme_Grunddaten!G853,"")</f>
        <v/>
      </c>
      <c r="F848" t="str">
        <f>IF(AND(Programme_Grunddaten!$A853="Geprüft",Programme_Grunddaten!F853&lt;&gt;""),Programme_Grunddaten!F853,"")</f>
        <v/>
      </c>
      <c r="G848" s="3" t="str">
        <f>IF(AND(Programme_Grunddaten!$A853="Geprüft",Programme_Grunddaten!S853&lt;&gt;""),Programme_Grunddaten!S853,"")</f>
        <v/>
      </c>
      <c r="H848" t="str">
        <f>IF(AND(Programme_Grunddaten!$A853="Geprüft",Programme_Grunddaten!AW853&lt;&gt;""),Programme_Grunddaten!AW853,"")</f>
        <v/>
      </c>
      <c r="I848" t="str">
        <f>IF(AND(Programme_Grunddaten!$A853="Geprüft",Programme_Grunddaten!AX853&lt;&gt;""),Programme_Grunddaten!AX853,"")</f>
        <v/>
      </c>
    </row>
    <row r="849" spans="1:9" x14ac:dyDescent="0.3">
      <c r="A849" s="1" t="str">
        <f>IF(AND(Programme_Grunddaten!$A854="Geprüft",Programme_Grunddaten!B854&lt;&gt;""),Programme_Grunddaten!B854,"")</f>
        <v/>
      </c>
      <c r="B849" s="1" t="str">
        <f>IF(AND(Programme_Grunddaten!$A854="Geprüft",Programme_Grunddaten!C854&lt;&gt;""),Programme_Grunddaten!C854,"")</f>
        <v/>
      </c>
      <c r="C849" s="1" t="str">
        <f>IF(AND(Programme_Grunddaten!$A854="Geprüft",Programme_Grunddaten!D854&lt;&gt;""),Programme_Grunddaten!D854,"")</f>
        <v/>
      </c>
      <c r="D849" s="2" t="str">
        <f>IF(AND(Programme_Grunddaten!$A854="Geprüft",Programme_Grunddaten!E854&lt;&gt;""),Programme_Grunddaten!E854,"")</f>
        <v/>
      </c>
      <c r="E849" t="str">
        <f>IF(AND(Programme_Grunddaten!$A854="Geprüft",Programme_Grunddaten!G854&lt;&gt;""),Programme_Grunddaten!G854,"")</f>
        <v/>
      </c>
      <c r="F849" t="str">
        <f>IF(AND(Programme_Grunddaten!$A854="Geprüft",Programme_Grunddaten!F854&lt;&gt;""),Programme_Grunddaten!F854,"")</f>
        <v/>
      </c>
      <c r="G849" s="3" t="str">
        <f>IF(AND(Programme_Grunddaten!$A854="Geprüft",Programme_Grunddaten!S854&lt;&gt;""),Programme_Grunddaten!S854,"")</f>
        <v/>
      </c>
      <c r="H849" t="str">
        <f>IF(AND(Programme_Grunddaten!$A854="Geprüft",Programme_Grunddaten!AW854&lt;&gt;""),Programme_Grunddaten!AW854,"")</f>
        <v/>
      </c>
      <c r="I849" t="str">
        <f>IF(AND(Programme_Grunddaten!$A854="Geprüft",Programme_Grunddaten!AX854&lt;&gt;""),Programme_Grunddaten!AX854,"")</f>
        <v/>
      </c>
    </row>
    <row r="850" spans="1:9" x14ac:dyDescent="0.3">
      <c r="A850" s="1" t="str">
        <f>IF(AND(Programme_Grunddaten!$A855="Geprüft",Programme_Grunddaten!B855&lt;&gt;""),Programme_Grunddaten!B855,"")</f>
        <v/>
      </c>
      <c r="B850" s="1" t="str">
        <f>IF(AND(Programme_Grunddaten!$A855="Geprüft",Programme_Grunddaten!C855&lt;&gt;""),Programme_Grunddaten!C855,"")</f>
        <v/>
      </c>
      <c r="C850" s="1" t="str">
        <f>IF(AND(Programme_Grunddaten!$A855="Geprüft",Programme_Grunddaten!D855&lt;&gt;""),Programme_Grunddaten!D855,"")</f>
        <v/>
      </c>
      <c r="D850" s="2" t="str">
        <f>IF(AND(Programme_Grunddaten!$A855="Geprüft",Programme_Grunddaten!E855&lt;&gt;""),Programme_Grunddaten!E855,"")</f>
        <v/>
      </c>
      <c r="E850" t="str">
        <f>IF(AND(Programme_Grunddaten!$A855="Geprüft",Programme_Grunddaten!G855&lt;&gt;""),Programme_Grunddaten!G855,"")</f>
        <v/>
      </c>
      <c r="F850" t="str">
        <f>IF(AND(Programme_Grunddaten!$A855="Geprüft",Programme_Grunddaten!F855&lt;&gt;""),Programme_Grunddaten!F855,"")</f>
        <v/>
      </c>
      <c r="G850" s="3" t="str">
        <f>IF(AND(Programme_Grunddaten!$A855="Geprüft",Programme_Grunddaten!S855&lt;&gt;""),Programme_Grunddaten!S855,"")</f>
        <v/>
      </c>
      <c r="H850" t="str">
        <f>IF(AND(Programme_Grunddaten!$A855="Geprüft",Programme_Grunddaten!AW855&lt;&gt;""),Programme_Grunddaten!AW855,"")</f>
        <v/>
      </c>
      <c r="I850" t="str">
        <f>IF(AND(Programme_Grunddaten!$A855="Geprüft",Programme_Grunddaten!AX855&lt;&gt;""),Programme_Grunddaten!AX855,"")</f>
        <v/>
      </c>
    </row>
    <row r="851" spans="1:9" x14ac:dyDescent="0.3">
      <c r="A851" s="1" t="str">
        <f>IF(AND(Programme_Grunddaten!$A856="Geprüft",Programme_Grunddaten!B856&lt;&gt;""),Programme_Grunddaten!B856,"")</f>
        <v/>
      </c>
      <c r="B851" s="1" t="str">
        <f>IF(AND(Programme_Grunddaten!$A856="Geprüft",Programme_Grunddaten!C856&lt;&gt;""),Programme_Grunddaten!C856,"")</f>
        <v/>
      </c>
      <c r="C851" s="1" t="str">
        <f>IF(AND(Programme_Grunddaten!$A856="Geprüft",Programme_Grunddaten!D856&lt;&gt;""),Programme_Grunddaten!D856,"")</f>
        <v/>
      </c>
      <c r="D851" s="2" t="str">
        <f>IF(AND(Programme_Grunddaten!$A856="Geprüft",Programme_Grunddaten!E856&lt;&gt;""),Programme_Grunddaten!E856,"")</f>
        <v/>
      </c>
      <c r="E851" t="str">
        <f>IF(AND(Programme_Grunddaten!$A856="Geprüft",Programme_Grunddaten!G856&lt;&gt;""),Programme_Grunddaten!G856,"")</f>
        <v/>
      </c>
      <c r="F851" t="str">
        <f>IF(AND(Programme_Grunddaten!$A856="Geprüft",Programme_Grunddaten!F856&lt;&gt;""),Programme_Grunddaten!F856,"")</f>
        <v/>
      </c>
      <c r="G851" s="3" t="str">
        <f>IF(AND(Programme_Grunddaten!$A856="Geprüft",Programme_Grunddaten!S856&lt;&gt;""),Programme_Grunddaten!S856,"")</f>
        <v/>
      </c>
      <c r="H851" t="str">
        <f>IF(AND(Programme_Grunddaten!$A856="Geprüft",Programme_Grunddaten!AW856&lt;&gt;""),Programme_Grunddaten!AW856,"")</f>
        <v/>
      </c>
      <c r="I851" t="str">
        <f>IF(AND(Programme_Grunddaten!$A856="Geprüft",Programme_Grunddaten!AX856&lt;&gt;""),Programme_Grunddaten!AX856,"")</f>
        <v/>
      </c>
    </row>
    <row r="852" spans="1:9" x14ac:dyDescent="0.3">
      <c r="A852" s="1" t="str">
        <f>IF(AND(Programme_Grunddaten!$A857="Geprüft",Programme_Grunddaten!B857&lt;&gt;""),Programme_Grunddaten!B857,"")</f>
        <v/>
      </c>
      <c r="B852" s="1" t="str">
        <f>IF(AND(Programme_Grunddaten!$A857="Geprüft",Programme_Grunddaten!C857&lt;&gt;""),Programme_Grunddaten!C857,"")</f>
        <v/>
      </c>
      <c r="C852" s="1" t="str">
        <f>IF(AND(Programme_Grunddaten!$A857="Geprüft",Programme_Grunddaten!D857&lt;&gt;""),Programme_Grunddaten!D857,"")</f>
        <v/>
      </c>
      <c r="D852" s="2" t="str">
        <f>IF(AND(Programme_Grunddaten!$A857="Geprüft",Programme_Grunddaten!E857&lt;&gt;""),Programme_Grunddaten!E857,"")</f>
        <v/>
      </c>
      <c r="E852" t="str">
        <f>IF(AND(Programme_Grunddaten!$A857="Geprüft",Programme_Grunddaten!G857&lt;&gt;""),Programme_Grunddaten!G857,"")</f>
        <v/>
      </c>
      <c r="F852" t="str">
        <f>IF(AND(Programme_Grunddaten!$A857="Geprüft",Programme_Grunddaten!F857&lt;&gt;""),Programme_Grunddaten!F857,"")</f>
        <v/>
      </c>
      <c r="G852" s="3" t="str">
        <f>IF(AND(Programme_Grunddaten!$A857="Geprüft",Programme_Grunddaten!S857&lt;&gt;""),Programme_Grunddaten!S857,"")</f>
        <v/>
      </c>
      <c r="H852" t="str">
        <f>IF(AND(Programme_Grunddaten!$A857="Geprüft",Programme_Grunddaten!AW857&lt;&gt;""),Programme_Grunddaten!AW857,"")</f>
        <v/>
      </c>
      <c r="I852" t="str">
        <f>IF(AND(Programme_Grunddaten!$A857="Geprüft",Programme_Grunddaten!AX857&lt;&gt;""),Programme_Grunddaten!AX857,"")</f>
        <v/>
      </c>
    </row>
    <row r="853" spans="1:9" x14ac:dyDescent="0.3">
      <c r="A853" s="1" t="str">
        <f>IF(AND(Programme_Grunddaten!$A858="Geprüft",Programme_Grunddaten!B858&lt;&gt;""),Programme_Grunddaten!B858,"")</f>
        <v/>
      </c>
      <c r="B853" s="1" t="str">
        <f>IF(AND(Programme_Grunddaten!$A858="Geprüft",Programme_Grunddaten!C858&lt;&gt;""),Programme_Grunddaten!C858,"")</f>
        <v/>
      </c>
      <c r="C853" s="1" t="str">
        <f>IF(AND(Programme_Grunddaten!$A858="Geprüft",Programme_Grunddaten!D858&lt;&gt;""),Programme_Grunddaten!D858,"")</f>
        <v/>
      </c>
      <c r="D853" s="2" t="str">
        <f>IF(AND(Programme_Grunddaten!$A858="Geprüft",Programme_Grunddaten!E858&lt;&gt;""),Programme_Grunddaten!E858,"")</f>
        <v/>
      </c>
      <c r="E853" t="str">
        <f>IF(AND(Programme_Grunddaten!$A858="Geprüft",Programme_Grunddaten!G858&lt;&gt;""),Programme_Grunddaten!G858,"")</f>
        <v/>
      </c>
      <c r="F853" t="str">
        <f>IF(AND(Programme_Grunddaten!$A858="Geprüft",Programme_Grunddaten!F858&lt;&gt;""),Programme_Grunddaten!F858,"")</f>
        <v/>
      </c>
      <c r="G853" s="3" t="str">
        <f>IF(AND(Programme_Grunddaten!$A858="Geprüft",Programme_Grunddaten!S858&lt;&gt;""),Programme_Grunddaten!S858,"")</f>
        <v/>
      </c>
      <c r="H853" t="str">
        <f>IF(AND(Programme_Grunddaten!$A858="Geprüft",Programme_Grunddaten!AW858&lt;&gt;""),Programme_Grunddaten!AW858,"")</f>
        <v/>
      </c>
      <c r="I853" t="str">
        <f>IF(AND(Programme_Grunddaten!$A858="Geprüft",Programme_Grunddaten!AX858&lt;&gt;""),Programme_Grunddaten!AX858,"")</f>
        <v/>
      </c>
    </row>
    <row r="854" spans="1:9" x14ac:dyDescent="0.3">
      <c r="A854" s="1" t="str">
        <f>IF(AND(Programme_Grunddaten!$A859="Geprüft",Programme_Grunddaten!B859&lt;&gt;""),Programme_Grunddaten!B859,"")</f>
        <v/>
      </c>
      <c r="B854" s="1" t="str">
        <f>IF(AND(Programme_Grunddaten!$A859="Geprüft",Programme_Grunddaten!C859&lt;&gt;""),Programme_Grunddaten!C859,"")</f>
        <v/>
      </c>
      <c r="C854" s="1" t="str">
        <f>IF(AND(Programme_Grunddaten!$A859="Geprüft",Programme_Grunddaten!D859&lt;&gt;""),Programme_Grunddaten!D859,"")</f>
        <v/>
      </c>
      <c r="D854" s="2" t="str">
        <f>IF(AND(Programme_Grunddaten!$A859="Geprüft",Programme_Grunddaten!E859&lt;&gt;""),Programme_Grunddaten!E859,"")</f>
        <v/>
      </c>
      <c r="E854" t="str">
        <f>IF(AND(Programme_Grunddaten!$A859="Geprüft",Programme_Grunddaten!G859&lt;&gt;""),Programme_Grunddaten!G859,"")</f>
        <v/>
      </c>
      <c r="F854" t="str">
        <f>IF(AND(Programme_Grunddaten!$A859="Geprüft",Programme_Grunddaten!F859&lt;&gt;""),Programme_Grunddaten!F859,"")</f>
        <v/>
      </c>
      <c r="G854" s="3" t="str">
        <f>IF(AND(Programme_Grunddaten!$A859="Geprüft",Programme_Grunddaten!S859&lt;&gt;""),Programme_Grunddaten!S859,"")</f>
        <v/>
      </c>
      <c r="H854" t="str">
        <f>IF(AND(Programme_Grunddaten!$A859="Geprüft",Programme_Grunddaten!AW859&lt;&gt;""),Programme_Grunddaten!AW859,"")</f>
        <v/>
      </c>
      <c r="I854" t="str">
        <f>IF(AND(Programme_Grunddaten!$A859="Geprüft",Programme_Grunddaten!AX859&lt;&gt;""),Programme_Grunddaten!AX859,"")</f>
        <v/>
      </c>
    </row>
    <row r="855" spans="1:9" x14ac:dyDescent="0.3">
      <c r="A855" s="1" t="str">
        <f>IF(AND(Programme_Grunddaten!$A860="Geprüft",Programme_Grunddaten!B860&lt;&gt;""),Programme_Grunddaten!B860,"")</f>
        <v/>
      </c>
      <c r="B855" s="1" t="str">
        <f>IF(AND(Programme_Grunddaten!$A860="Geprüft",Programme_Grunddaten!C860&lt;&gt;""),Programme_Grunddaten!C860,"")</f>
        <v/>
      </c>
      <c r="C855" s="1" t="str">
        <f>IF(AND(Programme_Grunddaten!$A860="Geprüft",Programme_Grunddaten!D860&lt;&gt;""),Programme_Grunddaten!D860,"")</f>
        <v/>
      </c>
      <c r="D855" s="2" t="str">
        <f>IF(AND(Programme_Grunddaten!$A860="Geprüft",Programme_Grunddaten!E860&lt;&gt;""),Programme_Grunddaten!E860,"")</f>
        <v/>
      </c>
      <c r="E855" t="str">
        <f>IF(AND(Programme_Grunddaten!$A860="Geprüft",Programme_Grunddaten!G860&lt;&gt;""),Programme_Grunddaten!G860,"")</f>
        <v/>
      </c>
      <c r="F855" t="str">
        <f>IF(AND(Programme_Grunddaten!$A860="Geprüft",Programme_Grunddaten!F860&lt;&gt;""),Programme_Grunddaten!F860,"")</f>
        <v/>
      </c>
      <c r="G855" s="3" t="str">
        <f>IF(AND(Programme_Grunddaten!$A860="Geprüft",Programme_Grunddaten!S860&lt;&gt;""),Programme_Grunddaten!S860,"")</f>
        <v/>
      </c>
      <c r="H855" t="str">
        <f>IF(AND(Programme_Grunddaten!$A860="Geprüft",Programme_Grunddaten!AW860&lt;&gt;""),Programme_Grunddaten!AW860,"")</f>
        <v/>
      </c>
      <c r="I855" t="str">
        <f>IF(AND(Programme_Grunddaten!$A860="Geprüft",Programme_Grunddaten!AX860&lt;&gt;""),Programme_Grunddaten!AX860,"")</f>
        <v/>
      </c>
    </row>
    <row r="856" spans="1:9" x14ac:dyDescent="0.3">
      <c r="A856" s="1" t="str">
        <f>IF(AND(Programme_Grunddaten!$A861="Geprüft",Programme_Grunddaten!B861&lt;&gt;""),Programme_Grunddaten!B861,"")</f>
        <v/>
      </c>
      <c r="B856" s="1" t="str">
        <f>IF(AND(Programme_Grunddaten!$A861="Geprüft",Programme_Grunddaten!C861&lt;&gt;""),Programme_Grunddaten!C861,"")</f>
        <v/>
      </c>
      <c r="C856" s="1" t="str">
        <f>IF(AND(Programme_Grunddaten!$A861="Geprüft",Programme_Grunddaten!D861&lt;&gt;""),Programme_Grunddaten!D861,"")</f>
        <v/>
      </c>
      <c r="D856" s="2" t="str">
        <f>IF(AND(Programme_Grunddaten!$A861="Geprüft",Programme_Grunddaten!E861&lt;&gt;""),Programme_Grunddaten!E861,"")</f>
        <v/>
      </c>
      <c r="E856" t="str">
        <f>IF(AND(Programme_Grunddaten!$A861="Geprüft",Programme_Grunddaten!G861&lt;&gt;""),Programme_Grunddaten!G861,"")</f>
        <v/>
      </c>
      <c r="F856" t="str">
        <f>IF(AND(Programme_Grunddaten!$A861="Geprüft",Programme_Grunddaten!F861&lt;&gt;""),Programme_Grunddaten!F861,"")</f>
        <v/>
      </c>
      <c r="G856" s="3" t="str">
        <f>IF(AND(Programme_Grunddaten!$A861="Geprüft",Programme_Grunddaten!S861&lt;&gt;""),Programme_Grunddaten!S861,"")</f>
        <v/>
      </c>
      <c r="H856" t="str">
        <f>IF(AND(Programme_Grunddaten!$A861="Geprüft",Programme_Grunddaten!AW861&lt;&gt;""),Programme_Grunddaten!AW861,"")</f>
        <v/>
      </c>
      <c r="I856" t="str">
        <f>IF(AND(Programme_Grunddaten!$A861="Geprüft",Programme_Grunddaten!AX861&lt;&gt;""),Programme_Grunddaten!AX861,"")</f>
        <v/>
      </c>
    </row>
    <row r="857" spans="1:9" x14ac:dyDescent="0.3">
      <c r="A857" s="1" t="str">
        <f>IF(AND(Programme_Grunddaten!$A862="Geprüft",Programme_Grunddaten!B862&lt;&gt;""),Programme_Grunddaten!B862,"")</f>
        <v/>
      </c>
      <c r="B857" s="1" t="str">
        <f>IF(AND(Programme_Grunddaten!$A862="Geprüft",Programme_Grunddaten!C862&lt;&gt;""),Programme_Grunddaten!C862,"")</f>
        <v/>
      </c>
      <c r="C857" s="1" t="str">
        <f>IF(AND(Programme_Grunddaten!$A862="Geprüft",Programme_Grunddaten!D862&lt;&gt;""),Programme_Grunddaten!D862,"")</f>
        <v/>
      </c>
      <c r="D857" s="2" t="str">
        <f>IF(AND(Programme_Grunddaten!$A862="Geprüft",Programme_Grunddaten!E862&lt;&gt;""),Programme_Grunddaten!E862,"")</f>
        <v/>
      </c>
      <c r="E857" t="str">
        <f>IF(AND(Programme_Grunddaten!$A862="Geprüft",Programme_Grunddaten!G862&lt;&gt;""),Programme_Grunddaten!G862,"")</f>
        <v/>
      </c>
      <c r="F857" t="str">
        <f>IF(AND(Programme_Grunddaten!$A862="Geprüft",Programme_Grunddaten!F862&lt;&gt;""),Programme_Grunddaten!F862,"")</f>
        <v/>
      </c>
      <c r="G857" s="3" t="str">
        <f>IF(AND(Programme_Grunddaten!$A862="Geprüft",Programme_Grunddaten!S862&lt;&gt;""),Programme_Grunddaten!S862,"")</f>
        <v/>
      </c>
      <c r="H857" t="str">
        <f>IF(AND(Programme_Grunddaten!$A862="Geprüft",Programme_Grunddaten!AW862&lt;&gt;""),Programme_Grunddaten!AW862,"")</f>
        <v/>
      </c>
      <c r="I857" t="str">
        <f>IF(AND(Programme_Grunddaten!$A862="Geprüft",Programme_Grunddaten!AX862&lt;&gt;""),Programme_Grunddaten!AX862,"")</f>
        <v/>
      </c>
    </row>
    <row r="858" spans="1:9" x14ac:dyDescent="0.3">
      <c r="A858" s="1" t="str">
        <f>IF(AND(Programme_Grunddaten!$A863="Geprüft",Programme_Grunddaten!B863&lt;&gt;""),Programme_Grunddaten!B863,"")</f>
        <v/>
      </c>
      <c r="B858" s="1" t="str">
        <f>IF(AND(Programme_Grunddaten!$A863="Geprüft",Programme_Grunddaten!C863&lt;&gt;""),Programme_Grunddaten!C863,"")</f>
        <v/>
      </c>
      <c r="C858" s="1" t="str">
        <f>IF(AND(Programme_Grunddaten!$A863="Geprüft",Programme_Grunddaten!D863&lt;&gt;""),Programme_Grunddaten!D863,"")</f>
        <v/>
      </c>
      <c r="D858" s="2" t="str">
        <f>IF(AND(Programme_Grunddaten!$A863="Geprüft",Programme_Grunddaten!E863&lt;&gt;""),Programme_Grunddaten!E863,"")</f>
        <v/>
      </c>
      <c r="E858" t="str">
        <f>IF(AND(Programme_Grunddaten!$A863="Geprüft",Programme_Grunddaten!G863&lt;&gt;""),Programme_Grunddaten!G863,"")</f>
        <v/>
      </c>
      <c r="F858" t="str">
        <f>IF(AND(Programme_Grunddaten!$A863="Geprüft",Programme_Grunddaten!F863&lt;&gt;""),Programme_Grunddaten!F863,"")</f>
        <v/>
      </c>
      <c r="G858" s="3" t="str">
        <f>IF(AND(Programme_Grunddaten!$A863="Geprüft",Programme_Grunddaten!S863&lt;&gt;""),Programme_Grunddaten!S863,"")</f>
        <v/>
      </c>
      <c r="H858" t="str">
        <f>IF(AND(Programme_Grunddaten!$A863="Geprüft",Programme_Grunddaten!AW863&lt;&gt;""),Programme_Grunddaten!AW863,"")</f>
        <v/>
      </c>
      <c r="I858" t="str">
        <f>IF(AND(Programme_Grunddaten!$A863="Geprüft",Programme_Grunddaten!AX863&lt;&gt;""),Programme_Grunddaten!AX863,"")</f>
        <v/>
      </c>
    </row>
    <row r="859" spans="1:9" x14ac:dyDescent="0.3">
      <c r="A859" s="1" t="str">
        <f>IF(AND(Programme_Grunddaten!$A864="Geprüft",Programme_Grunddaten!B864&lt;&gt;""),Programme_Grunddaten!B864,"")</f>
        <v/>
      </c>
      <c r="B859" s="1" t="str">
        <f>IF(AND(Programme_Grunddaten!$A864="Geprüft",Programme_Grunddaten!C864&lt;&gt;""),Programme_Grunddaten!C864,"")</f>
        <v/>
      </c>
      <c r="C859" s="1" t="str">
        <f>IF(AND(Programme_Grunddaten!$A864="Geprüft",Programme_Grunddaten!D864&lt;&gt;""),Programme_Grunddaten!D864,"")</f>
        <v/>
      </c>
      <c r="D859" s="2" t="str">
        <f>IF(AND(Programme_Grunddaten!$A864="Geprüft",Programme_Grunddaten!E864&lt;&gt;""),Programme_Grunddaten!E864,"")</f>
        <v/>
      </c>
      <c r="E859" t="str">
        <f>IF(AND(Programme_Grunddaten!$A864="Geprüft",Programme_Grunddaten!G864&lt;&gt;""),Programme_Grunddaten!G864,"")</f>
        <v/>
      </c>
      <c r="F859" t="str">
        <f>IF(AND(Programme_Grunddaten!$A864="Geprüft",Programme_Grunddaten!F864&lt;&gt;""),Programme_Grunddaten!F864,"")</f>
        <v/>
      </c>
      <c r="G859" s="3" t="str">
        <f>IF(AND(Programme_Grunddaten!$A864="Geprüft",Programme_Grunddaten!S864&lt;&gt;""),Programme_Grunddaten!S864,"")</f>
        <v/>
      </c>
      <c r="H859" t="str">
        <f>IF(AND(Programme_Grunddaten!$A864="Geprüft",Programme_Grunddaten!AW864&lt;&gt;""),Programme_Grunddaten!AW864,"")</f>
        <v/>
      </c>
      <c r="I859" t="str">
        <f>IF(AND(Programme_Grunddaten!$A864="Geprüft",Programme_Grunddaten!AX864&lt;&gt;""),Programme_Grunddaten!AX864,"")</f>
        <v/>
      </c>
    </row>
    <row r="860" spans="1:9" x14ac:dyDescent="0.3">
      <c r="A860" s="1" t="str">
        <f>IF(AND(Programme_Grunddaten!$A865="Geprüft",Programme_Grunddaten!B865&lt;&gt;""),Programme_Grunddaten!B865,"")</f>
        <v/>
      </c>
      <c r="B860" s="1" t="str">
        <f>IF(AND(Programme_Grunddaten!$A865="Geprüft",Programme_Grunddaten!C865&lt;&gt;""),Programme_Grunddaten!C865,"")</f>
        <v/>
      </c>
      <c r="C860" s="1" t="str">
        <f>IF(AND(Programme_Grunddaten!$A865="Geprüft",Programme_Grunddaten!D865&lt;&gt;""),Programme_Grunddaten!D865,"")</f>
        <v/>
      </c>
      <c r="D860" s="2" t="str">
        <f>IF(AND(Programme_Grunddaten!$A865="Geprüft",Programme_Grunddaten!E865&lt;&gt;""),Programme_Grunddaten!E865,"")</f>
        <v/>
      </c>
      <c r="E860" t="str">
        <f>IF(AND(Programme_Grunddaten!$A865="Geprüft",Programme_Grunddaten!G865&lt;&gt;""),Programme_Grunddaten!G865,"")</f>
        <v/>
      </c>
      <c r="F860" t="str">
        <f>IF(AND(Programme_Grunddaten!$A865="Geprüft",Programme_Grunddaten!F865&lt;&gt;""),Programme_Grunddaten!F865,"")</f>
        <v/>
      </c>
      <c r="G860" s="3" t="str">
        <f>IF(AND(Programme_Grunddaten!$A865="Geprüft",Programme_Grunddaten!S865&lt;&gt;""),Programme_Grunddaten!S865,"")</f>
        <v/>
      </c>
      <c r="H860" t="str">
        <f>IF(AND(Programme_Grunddaten!$A865="Geprüft",Programme_Grunddaten!AW865&lt;&gt;""),Programme_Grunddaten!AW865,"")</f>
        <v/>
      </c>
      <c r="I860" t="str">
        <f>IF(AND(Programme_Grunddaten!$A865="Geprüft",Programme_Grunddaten!AX865&lt;&gt;""),Programme_Grunddaten!AX865,"")</f>
        <v/>
      </c>
    </row>
    <row r="861" spans="1:9" x14ac:dyDescent="0.3">
      <c r="A861" s="1" t="str">
        <f>IF(AND(Programme_Grunddaten!$A866="Geprüft",Programme_Grunddaten!B866&lt;&gt;""),Programme_Grunddaten!B866,"")</f>
        <v/>
      </c>
      <c r="B861" s="1" t="str">
        <f>IF(AND(Programme_Grunddaten!$A866="Geprüft",Programme_Grunddaten!C866&lt;&gt;""),Programme_Grunddaten!C866,"")</f>
        <v/>
      </c>
      <c r="C861" s="1" t="str">
        <f>IF(AND(Programme_Grunddaten!$A866="Geprüft",Programme_Grunddaten!D866&lt;&gt;""),Programme_Grunddaten!D866,"")</f>
        <v/>
      </c>
      <c r="D861" s="2" t="str">
        <f>IF(AND(Programme_Grunddaten!$A866="Geprüft",Programme_Grunddaten!E866&lt;&gt;""),Programme_Grunddaten!E866,"")</f>
        <v/>
      </c>
      <c r="E861" t="str">
        <f>IF(AND(Programme_Grunddaten!$A866="Geprüft",Programme_Grunddaten!G866&lt;&gt;""),Programme_Grunddaten!G866,"")</f>
        <v/>
      </c>
      <c r="F861" t="str">
        <f>IF(AND(Programme_Grunddaten!$A866="Geprüft",Programme_Grunddaten!F866&lt;&gt;""),Programme_Grunddaten!F866,"")</f>
        <v/>
      </c>
      <c r="G861" s="3" t="str">
        <f>IF(AND(Programme_Grunddaten!$A866="Geprüft",Programme_Grunddaten!S866&lt;&gt;""),Programme_Grunddaten!S866,"")</f>
        <v/>
      </c>
      <c r="H861" t="str">
        <f>IF(AND(Programme_Grunddaten!$A866="Geprüft",Programme_Grunddaten!AW866&lt;&gt;""),Programme_Grunddaten!AW866,"")</f>
        <v/>
      </c>
      <c r="I861" t="str">
        <f>IF(AND(Programme_Grunddaten!$A866="Geprüft",Programme_Grunddaten!AX866&lt;&gt;""),Programme_Grunddaten!AX866,"")</f>
        <v/>
      </c>
    </row>
    <row r="862" spans="1:9" x14ac:dyDescent="0.3">
      <c r="A862" s="1" t="str">
        <f>IF(AND(Programme_Grunddaten!$A867="Geprüft",Programme_Grunddaten!B867&lt;&gt;""),Programme_Grunddaten!B867,"")</f>
        <v/>
      </c>
      <c r="B862" s="1" t="str">
        <f>IF(AND(Programme_Grunddaten!$A867="Geprüft",Programme_Grunddaten!C867&lt;&gt;""),Programme_Grunddaten!C867,"")</f>
        <v/>
      </c>
      <c r="C862" s="1" t="str">
        <f>IF(AND(Programme_Grunddaten!$A867="Geprüft",Programme_Grunddaten!D867&lt;&gt;""),Programme_Grunddaten!D867,"")</f>
        <v/>
      </c>
      <c r="D862" s="2" t="str">
        <f>IF(AND(Programme_Grunddaten!$A867="Geprüft",Programme_Grunddaten!E867&lt;&gt;""),Programme_Grunddaten!E867,"")</f>
        <v/>
      </c>
      <c r="E862" t="str">
        <f>IF(AND(Programme_Grunddaten!$A867="Geprüft",Programme_Grunddaten!G867&lt;&gt;""),Programme_Grunddaten!G867,"")</f>
        <v/>
      </c>
      <c r="F862" t="str">
        <f>IF(AND(Programme_Grunddaten!$A867="Geprüft",Programme_Grunddaten!F867&lt;&gt;""),Programme_Grunddaten!F867,"")</f>
        <v/>
      </c>
      <c r="G862" s="3" t="str">
        <f>IF(AND(Programme_Grunddaten!$A867="Geprüft",Programme_Grunddaten!S867&lt;&gt;""),Programme_Grunddaten!S867,"")</f>
        <v/>
      </c>
      <c r="H862" t="str">
        <f>IF(AND(Programme_Grunddaten!$A867="Geprüft",Programme_Grunddaten!AW867&lt;&gt;""),Programme_Grunddaten!AW867,"")</f>
        <v/>
      </c>
      <c r="I862" t="str">
        <f>IF(AND(Programme_Grunddaten!$A867="Geprüft",Programme_Grunddaten!AX867&lt;&gt;""),Programme_Grunddaten!AX867,"")</f>
        <v/>
      </c>
    </row>
    <row r="863" spans="1:9" x14ac:dyDescent="0.3">
      <c r="A863" s="1" t="str">
        <f>IF(AND(Programme_Grunddaten!$A868="Geprüft",Programme_Grunddaten!B868&lt;&gt;""),Programme_Grunddaten!B868,"")</f>
        <v/>
      </c>
      <c r="B863" s="1" t="str">
        <f>IF(AND(Programme_Grunddaten!$A868="Geprüft",Programme_Grunddaten!C868&lt;&gt;""),Programme_Grunddaten!C868,"")</f>
        <v/>
      </c>
      <c r="C863" s="1" t="str">
        <f>IF(AND(Programme_Grunddaten!$A868="Geprüft",Programme_Grunddaten!D868&lt;&gt;""),Programme_Grunddaten!D868,"")</f>
        <v/>
      </c>
      <c r="D863" s="2" t="str">
        <f>IF(AND(Programme_Grunddaten!$A868="Geprüft",Programme_Grunddaten!E868&lt;&gt;""),Programme_Grunddaten!E868,"")</f>
        <v/>
      </c>
      <c r="E863" t="str">
        <f>IF(AND(Programme_Grunddaten!$A868="Geprüft",Programme_Grunddaten!G868&lt;&gt;""),Programme_Grunddaten!G868,"")</f>
        <v/>
      </c>
      <c r="F863" t="str">
        <f>IF(AND(Programme_Grunddaten!$A868="Geprüft",Programme_Grunddaten!F868&lt;&gt;""),Programme_Grunddaten!F868,"")</f>
        <v/>
      </c>
      <c r="G863" s="3" t="str">
        <f>IF(AND(Programme_Grunddaten!$A868="Geprüft",Programme_Grunddaten!S868&lt;&gt;""),Programme_Grunddaten!S868,"")</f>
        <v/>
      </c>
      <c r="H863" t="str">
        <f>IF(AND(Programme_Grunddaten!$A868="Geprüft",Programme_Grunddaten!AW868&lt;&gt;""),Programme_Grunddaten!AW868,"")</f>
        <v/>
      </c>
      <c r="I863" t="str">
        <f>IF(AND(Programme_Grunddaten!$A868="Geprüft",Programme_Grunddaten!AX868&lt;&gt;""),Programme_Grunddaten!AX868,"")</f>
        <v/>
      </c>
    </row>
    <row r="864" spans="1:9" x14ac:dyDescent="0.3">
      <c r="A864" s="1" t="str">
        <f>IF(AND(Programme_Grunddaten!$A869="Geprüft",Programme_Grunddaten!B869&lt;&gt;""),Programme_Grunddaten!B869,"")</f>
        <v/>
      </c>
      <c r="B864" s="1" t="str">
        <f>IF(AND(Programme_Grunddaten!$A869="Geprüft",Programme_Grunddaten!C869&lt;&gt;""),Programme_Grunddaten!C869,"")</f>
        <v/>
      </c>
      <c r="C864" s="1" t="str">
        <f>IF(AND(Programme_Grunddaten!$A869="Geprüft",Programme_Grunddaten!D869&lt;&gt;""),Programme_Grunddaten!D869,"")</f>
        <v/>
      </c>
      <c r="D864" s="2" t="str">
        <f>IF(AND(Programme_Grunddaten!$A869="Geprüft",Programme_Grunddaten!E869&lt;&gt;""),Programme_Grunddaten!E869,"")</f>
        <v/>
      </c>
      <c r="E864" t="str">
        <f>IF(AND(Programme_Grunddaten!$A869="Geprüft",Programme_Grunddaten!G869&lt;&gt;""),Programme_Grunddaten!G869,"")</f>
        <v/>
      </c>
      <c r="F864" t="str">
        <f>IF(AND(Programme_Grunddaten!$A869="Geprüft",Programme_Grunddaten!F869&lt;&gt;""),Programme_Grunddaten!F869,"")</f>
        <v/>
      </c>
      <c r="G864" s="3" t="str">
        <f>IF(AND(Programme_Grunddaten!$A869="Geprüft",Programme_Grunddaten!S869&lt;&gt;""),Programme_Grunddaten!S869,"")</f>
        <v/>
      </c>
      <c r="H864" t="str">
        <f>IF(AND(Programme_Grunddaten!$A869="Geprüft",Programme_Grunddaten!AW869&lt;&gt;""),Programme_Grunddaten!AW869,"")</f>
        <v/>
      </c>
      <c r="I864" t="str">
        <f>IF(AND(Programme_Grunddaten!$A869="Geprüft",Programme_Grunddaten!AX869&lt;&gt;""),Programme_Grunddaten!AX869,"")</f>
        <v/>
      </c>
    </row>
    <row r="865" spans="1:9" x14ac:dyDescent="0.3">
      <c r="A865" s="1" t="str">
        <f>IF(AND(Programme_Grunddaten!$A870="Geprüft",Programme_Grunddaten!B870&lt;&gt;""),Programme_Grunddaten!B870,"")</f>
        <v/>
      </c>
      <c r="B865" s="1" t="str">
        <f>IF(AND(Programme_Grunddaten!$A870="Geprüft",Programme_Grunddaten!C870&lt;&gt;""),Programme_Grunddaten!C870,"")</f>
        <v/>
      </c>
      <c r="C865" s="1" t="str">
        <f>IF(AND(Programme_Grunddaten!$A870="Geprüft",Programme_Grunddaten!D870&lt;&gt;""),Programme_Grunddaten!D870,"")</f>
        <v/>
      </c>
      <c r="D865" s="2" t="str">
        <f>IF(AND(Programme_Grunddaten!$A870="Geprüft",Programme_Grunddaten!E870&lt;&gt;""),Programme_Grunddaten!E870,"")</f>
        <v/>
      </c>
      <c r="E865" t="str">
        <f>IF(AND(Programme_Grunddaten!$A870="Geprüft",Programme_Grunddaten!G870&lt;&gt;""),Programme_Grunddaten!G870,"")</f>
        <v/>
      </c>
      <c r="F865" t="str">
        <f>IF(AND(Programme_Grunddaten!$A870="Geprüft",Programme_Grunddaten!F870&lt;&gt;""),Programme_Grunddaten!F870,"")</f>
        <v/>
      </c>
      <c r="G865" s="3" t="str">
        <f>IF(AND(Programme_Grunddaten!$A870="Geprüft",Programme_Grunddaten!S870&lt;&gt;""),Programme_Grunddaten!S870,"")</f>
        <v/>
      </c>
      <c r="H865" t="str">
        <f>IF(AND(Programme_Grunddaten!$A870="Geprüft",Programme_Grunddaten!AW870&lt;&gt;""),Programme_Grunddaten!AW870,"")</f>
        <v/>
      </c>
      <c r="I865" t="str">
        <f>IF(AND(Programme_Grunddaten!$A870="Geprüft",Programme_Grunddaten!AX870&lt;&gt;""),Programme_Grunddaten!AX870,"")</f>
        <v/>
      </c>
    </row>
    <row r="866" spans="1:9" x14ac:dyDescent="0.3">
      <c r="A866" s="1" t="str">
        <f>IF(AND(Programme_Grunddaten!$A871="Geprüft",Programme_Grunddaten!B871&lt;&gt;""),Programme_Grunddaten!B871,"")</f>
        <v/>
      </c>
      <c r="B866" s="1" t="str">
        <f>IF(AND(Programme_Grunddaten!$A871="Geprüft",Programme_Grunddaten!C871&lt;&gt;""),Programme_Grunddaten!C871,"")</f>
        <v/>
      </c>
      <c r="C866" s="1" t="str">
        <f>IF(AND(Programme_Grunddaten!$A871="Geprüft",Programme_Grunddaten!D871&lt;&gt;""),Programme_Grunddaten!D871,"")</f>
        <v/>
      </c>
      <c r="D866" s="2" t="str">
        <f>IF(AND(Programme_Grunddaten!$A871="Geprüft",Programme_Grunddaten!E871&lt;&gt;""),Programme_Grunddaten!E871,"")</f>
        <v/>
      </c>
      <c r="E866" t="str">
        <f>IF(AND(Programme_Grunddaten!$A871="Geprüft",Programme_Grunddaten!G871&lt;&gt;""),Programme_Grunddaten!G871,"")</f>
        <v/>
      </c>
      <c r="F866" t="str">
        <f>IF(AND(Programme_Grunddaten!$A871="Geprüft",Programme_Grunddaten!F871&lt;&gt;""),Programme_Grunddaten!F871,"")</f>
        <v/>
      </c>
      <c r="G866" s="3" t="str">
        <f>IF(AND(Programme_Grunddaten!$A871="Geprüft",Programme_Grunddaten!S871&lt;&gt;""),Programme_Grunddaten!S871,"")</f>
        <v/>
      </c>
      <c r="H866" t="str">
        <f>IF(AND(Programme_Grunddaten!$A871="Geprüft",Programme_Grunddaten!AW871&lt;&gt;""),Programme_Grunddaten!AW871,"")</f>
        <v/>
      </c>
      <c r="I866" t="str">
        <f>IF(AND(Programme_Grunddaten!$A871="Geprüft",Programme_Grunddaten!AX871&lt;&gt;""),Programme_Grunddaten!AX871,"")</f>
        <v/>
      </c>
    </row>
    <row r="867" spans="1:9" x14ac:dyDescent="0.3">
      <c r="A867" s="1" t="str">
        <f>IF(AND(Programme_Grunddaten!$A872="Geprüft",Programme_Grunddaten!B872&lt;&gt;""),Programme_Grunddaten!B872,"")</f>
        <v/>
      </c>
      <c r="B867" s="1" t="str">
        <f>IF(AND(Programme_Grunddaten!$A872="Geprüft",Programme_Grunddaten!C872&lt;&gt;""),Programme_Grunddaten!C872,"")</f>
        <v/>
      </c>
      <c r="C867" s="1" t="str">
        <f>IF(AND(Programme_Grunddaten!$A872="Geprüft",Programme_Grunddaten!D872&lt;&gt;""),Programme_Grunddaten!D872,"")</f>
        <v/>
      </c>
      <c r="D867" s="2" t="str">
        <f>IF(AND(Programme_Grunddaten!$A872="Geprüft",Programme_Grunddaten!E872&lt;&gt;""),Programme_Grunddaten!E872,"")</f>
        <v/>
      </c>
      <c r="E867" t="str">
        <f>IF(AND(Programme_Grunddaten!$A872="Geprüft",Programme_Grunddaten!G872&lt;&gt;""),Programme_Grunddaten!G872,"")</f>
        <v/>
      </c>
      <c r="F867" t="str">
        <f>IF(AND(Programme_Grunddaten!$A872="Geprüft",Programme_Grunddaten!F872&lt;&gt;""),Programme_Grunddaten!F872,"")</f>
        <v/>
      </c>
      <c r="G867" s="3" t="str">
        <f>IF(AND(Programme_Grunddaten!$A872="Geprüft",Programme_Grunddaten!S872&lt;&gt;""),Programme_Grunddaten!S872,"")</f>
        <v/>
      </c>
      <c r="H867" t="str">
        <f>IF(AND(Programme_Grunddaten!$A872="Geprüft",Programme_Grunddaten!AW872&lt;&gt;""),Programme_Grunddaten!AW872,"")</f>
        <v/>
      </c>
      <c r="I867" t="str">
        <f>IF(AND(Programme_Grunddaten!$A872="Geprüft",Programme_Grunddaten!AX872&lt;&gt;""),Programme_Grunddaten!AX872,"")</f>
        <v/>
      </c>
    </row>
    <row r="868" spans="1:9" x14ac:dyDescent="0.3">
      <c r="A868" s="1" t="str">
        <f>IF(AND(Programme_Grunddaten!$A873="Geprüft",Programme_Grunddaten!B873&lt;&gt;""),Programme_Grunddaten!B873,"")</f>
        <v/>
      </c>
      <c r="B868" s="1" t="str">
        <f>IF(AND(Programme_Grunddaten!$A873="Geprüft",Programme_Grunddaten!C873&lt;&gt;""),Programme_Grunddaten!C873,"")</f>
        <v/>
      </c>
      <c r="C868" s="1" t="str">
        <f>IF(AND(Programme_Grunddaten!$A873="Geprüft",Programme_Grunddaten!D873&lt;&gt;""),Programme_Grunddaten!D873,"")</f>
        <v/>
      </c>
      <c r="D868" s="2" t="str">
        <f>IF(AND(Programme_Grunddaten!$A873="Geprüft",Programme_Grunddaten!E873&lt;&gt;""),Programme_Grunddaten!E873,"")</f>
        <v/>
      </c>
      <c r="E868" t="str">
        <f>IF(AND(Programme_Grunddaten!$A873="Geprüft",Programme_Grunddaten!G873&lt;&gt;""),Programme_Grunddaten!G873,"")</f>
        <v/>
      </c>
      <c r="F868" t="str">
        <f>IF(AND(Programme_Grunddaten!$A873="Geprüft",Programme_Grunddaten!F873&lt;&gt;""),Programme_Grunddaten!F873,"")</f>
        <v/>
      </c>
      <c r="G868" s="3" t="str">
        <f>IF(AND(Programme_Grunddaten!$A873="Geprüft",Programme_Grunddaten!S873&lt;&gt;""),Programme_Grunddaten!S873,"")</f>
        <v/>
      </c>
      <c r="H868" t="str">
        <f>IF(AND(Programme_Grunddaten!$A873="Geprüft",Programme_Grunddaten!AW873&lt;&gt;""),Programme_Grunddaten!AW873,"")</f>
        <v/>
      </c>
      <c r="I868" t="str">
        <f>IF(AND(Programme_Grunddaten!$A873="Geprüft",Programme_Grunddaten!AX873&lt;&gt;""),Programme_Grunddaten!AX873,"")</f>
        <v/>
      </c>
    </row>
    <row r="869" spans="1:9" x14ac:dyDescent="0.3">
      <c r="A869" s="1" t="str">
        <f>IF(AND(Programme_Grunddaten!$A874="Geprüft",Programme_Grunddaten!B874&lt;&gt;""),Programme_Grunddaten!B874,"")</f>
        <v/>
      </c>
      <c r="B869" s="1" t="str">
        <f>IF(AND(Programme_Grunddaten!$A874="Geprüft",Programme_Grunddaten!C874&lt;&gt;""),Programme_Grunddaten!C874,"")</f>
        <v/>
      </c>
      <c r="C869" s="1" t="str">
        <f>IF(AND(Programme_Grunddaten!$A874="Geprüft",Programme_Grunddaten!D874&lt;&gt;""),Programme_Grunddaten!D874,"")</f>
        <v/>
      </c>
      <c r="D869" s="2" t="str">
        <f>IF(AND(Programme_Grunddaten!$A874="Geprüft",Programme_Grunddaten!E874&lt;&gt;""),Programme_Grunddaten!E874,"")</f>
        <v/>
      </c>
      <c r="E869" t="str">
        <f>IF(AND(Programme_Grunddaten!$A874="Geprüft",Programme_Grunddaten!G874&lt;&gt;""),Programme_Grunddaten!G874,"")</f>
        <v/>
      </c>
      <c r="F869" t="str">
        <f>IF(AND(Programme_Grunddaten!$A874="Geprüft",Programme_Grunddaten!F874&lt;&gt;""),Programme_Grunddaten!F874,"")</f>
        <v/>
      </c>
      <c r="G869" s="3" t="str">
        <f>IF(AND(Programme_Grunddaten!$A874="Geprüft",Programme_Grunddaten!S874&lt;&gt;""),Programme_Grunddaten!S874,"")</f>
        <v/>
      </c>
      <c r="H869" t="str">
        <f>IF(AND(Programme_Grunddaten!$A874="Geprüft",Programme_Grunddaten!AW874&lt;&gt;""),Programme_Grunddaten!AW874,"")</f>
        <v/>
      </c>
      <c r="I869" t="str">
        <f>IF(AND(Programme_Grunddaten!$A874="Geprüft",Programme_Grunddaten!AX874&lt;&gt;""),Programme_Grunddaten!AX874,"")</f>
        <v/>
      </c>
    </row>
    <row r="870" spans="1:9" x14ac:dyDescent="0.3">
      <c r="A870" s="1" t="str">
        <f>IF(AND(Programme_Grunddaten!$A875="Geprüft",Programme_Grunddaten!B875&lt;&gt;""),Programme_Grunddaten!B875,"")</f>
        <v/>
      </c>
      <c r="B870" s="1" t="str">
        <f>IF(AND(Programme_Grunddaten!$A875="Geprüft",Programme_Grunddaten!C875&lt;&gt;""),Programme_Grunddaten!C875,"")</f>
        <v/>
      </c>
      <c r="C870" s="1" t="str">
        <f>IF(AND(Programme_Grunddaten!$A875="Geprüft",Programme_Grunddaten!D875&lt;&gt;""),Programme_Grunddaten!D875,"")</f>
        <v/>
      </c>
      <c r="D870" s="2" t="str">
        <f>IF(AND(Programme_Grunddaten!$A875="Geprüft",Programme_Grunddaten!E875&lt;&gt;""),Programme_Grunddaten!E875,"")</f>
        <v/>
      </c>
      <c r="E870" t="str">
        <f>IF(AND(Programme_Grunddaten!$A875="Geprüft",Programme_Grunddaten!G875&lt;&gt;""),Programme_Grunddaten!G875,"")</f>
        <v/>
      </c>
      <c r="F870" t="str">
        <f>IF(AND(Programme_Grunddaten!$A875="Geprüft",Programme_Grunddaten!F875&lt;&gt;""),Programme_Grunddaten!F875,"")</f>
        <v/>
      </c>
      <c r="G870" s="3" t="str">
        <f>IF(AND(Programme_Grunddaten!$A875="Geprüft",Programme_Grunddaten!S875&lt;&gt;""),Programme_Grunddaten!S875,"")</f>
        <v/>
      </c>
      <c r="H870" t="str">
        <f>IF(AND(Programme_Grunddaten!$A875="Geprüft",Programme_Grunddaten!AW875&lt;&gt;""),Programme_Grunddaten!AW875,"")</f>
        <v/>
      </c>
      <c r="I870" t="str">
        <f>IF(AND(Programme_Grunddaten!$A875="Geprüft",Programme_Grunddaten!AX875&lt;&gt;""),Programme_Grunddaten!AX875,"")</f>
        <v/>
      </c>
    </row>
    <row r="871" spans="1:9" x14ac:dyDescent="0.3">
      <c r="A871" s="1" t="str">
        <f>IF(AND(Programme_Grunddaten!$A876="Geprüft",Programme_Grunddaten!B876&lt;&gt;""),Programme_Grunddaten!B876,"")</f>
        <v/>
      </c>
      <c r="B871" s="1" t="str">
        <f>IF(AND(Programme_Grunddaten!$A876="Geprüft",Programme_Grunddaten!C876&lt;&gt;""),Programme_Grunddaten!C876,"")</f>
        <v/>
      </c>
      <c r="C871" s="1" t="str">
        <f>IF(AND(Programme_Grunddaten!$A876="Geprüft",Programme_Grunddaten!D876&lt;&gt;""),Programme_Grunddaten!D876,"")</f>
        <v/>
      </c>
      <c r="D871" s="2" t="str">
        <f>IF(AND(Programme_Grunddaten!$A876="Geprüft",Programme_Grunddaten!E876&lt;&gt;""),Programme_Grunddaten!E876,"")</f>
        <v/>
      </c>
      <c r="E871" t="str">
        <f>IF(AND(Programme_Grunddaten!$A876="Geprüft",Programme_Grunddaten!G876&lt;&gt;""),Programme_Grunddaten!G876,"")</f>
        <v/>
      </c>
      <c r="F871" t="str">
        <f>IF(AND(Programme_Grunddaten!$A876="Geprüft",Programme_Grunddaten!F876&lt;&gt;""),Programme_Grunddaten!F876,"")</f>
        <v/>
      </c>
      <c r="G871" s="3" t="str">
        <f>IF(AND(Programme_Grunddaten!$A876="Geprüft",Programme_Grunddaten!S876&lt;&gt;""),Programme_Grunddaten!S876,"")</f>
        <v/>
      </c>
      <c r="H871" t="str">
        <f>IF(AND(Programme_Grunddaten!$A876="Geprüft",Programme_Grunddaten!AW876&lt;&gt;""),Programme_Grunddaten!AW876,"")</f>
        <v/>
      </c>
      <c r="I871" t="str">
        <f>IF(AND(Programme_Grunddaten!$A876="Geprüft",Programme_Grunddaten!AX876&lt;&gt;""),Programme_Grunddaten!AX876,"")</f>
        <v/>
      </c>
    </row>
    <row r="872" spans="1:9" x14ac:dyDescent="0.3">
      <c r="A872" s="1" t="str">
        <f>IF(AND(Programme_Grunddaten!$A877="Geprüft",Programme_Grunddaten!B877&lt;&gt;""),Programme_Grunddaten!B877,"")</f>
        <v/>
      </c>
      <c r="B872" s="1" t="str">
        <f>IF(AND(Programme_Grunddaten!$A877="Geprüft",Programme_Grunddaten!C877&lt;&gt;""),Programme_Grunddaten!C877,"")</f>
        <v/>
      </c>
      <c r="C872" s="1" t="str">
        <f>IF(AND(Programme_Grunddaten!$A877="Geprüft",Programme_Grunddaten!D877&lt;&gt;""),Programme_Grunddaten!D877,"")</f>
        <v/>
      </c>
      <c r="D872" s="2" t="str">
        <f>IF(AND(Programme_Grunddaten!$A877="Geprüft",Programme_Grunddaten!E877&lt;&gt;""),Programme_Grunddaten!E877,"")</f>
        <v/>
      </c>
      <c r="E872" t="str">
        <f>IF(AND(Programme_Grunddaten!$A877="Geprüft",Programme_Grunddaten!G877&lt;&gt;""),Programme_Grunddaten!G877,"")</f>
        <v/>
      </c>
      <c r="F872" t="str">
        <f>IF(AND(Programme_Grunddaten!$A877="Geprüft",Programme_Grunddaten!F877&lt;&gt;""),Programme_Grunddaten!F877,"")</f>
        <v/>
      </c>
      <c r="G872" s="3" t="str">
        <f>IF(AND(Programme_Grunddaten!$A877="Geprüft",Programme_Grunddaten!S877&lt;&gt;""),Programme_Grunddaten!S877,"")</f>
        <v/>
      </c>
      <c r="H872" t="str">
        <f>IF(AND(Programme_Grunddaten!$A877="Geprüft",Programme_Grunddaten!AW877&lt;&gt;""),Programme_Grunddaten!AW877,"")</f>
        <v/>
      </c>
      <c r="I872" t="str">
        <f>IF(AND(Programme_Grunddaten!$A877="Geprüft",Programme_Grunddaten!AX877&lt;&gt;""),Programme_Grunddaten!AX877,"")</f>
        <v/>
      </c>
    </row>
    <row r="873" spans="1:9" x14ac:dyDescent="0.3">
      <c r="A873" s="1" t="str">
        <f>IF(AND(Programme_Grunddaten!$A878="Geprüft",Programme_Grunddaten!B878&lt;&gt;""),Programme_Grunddaten!B878,"")</f>
        <v/>
      </c>
      <c r="B873" s="1" t="str">
        <f>IF(AND(Programme_Grunddaten!$A878="Geprüft",Programme_Grunddaten!C878&lt;&gt;""),Programme_Grunddaten!C878,"")</f>
        <v/>
      </c>
      <c r="C873" s="1" t="str">
        <f>IF(AND(Programme_Grunddaten!$A878="Geprüft",Programme_Grunddaten!D878&lt;&gt;""),Programme_Grunddaten!D878,"")</f>
        <v/>
      </c>
      <c r="D873" s="2" t="str">
        <f>IF(AND(Programme_Grunddaten!$A878="Geprüft",Programme_Grunddaten!E878&lt;&gt;""),Programme_Grunddaten!E878,"")</f>
        <v/>
      </c>
      <c r="E873" t="str">
        <f>IF(AND(Programme_Grunddaten!$A878="Geprüft",Programme_Grunddaten!G878&lt;&gt;""),Programme_Grunddaten!G878,"")</f>
        <v/>
      </c>
      <c r="F873" t="str">
        <f>IF(AND(Programme_Grunddaten!$A878="Geprüft",Programme_Grunddaten!F878&lt;&gt;""),Programme_Grunddaten!F878,"")</f>
        <v/>
      </c>
      <c r="G873" s="3" t="str">
        <f>IF(AND(Programme_Grunddaten!$A878="Geprüft",Programme_Grunddaten!S878&lt;&gt;""),Programme_Grunddaten!S878,"")</f>
        <v/>
      </c>
      <c r="H873" t="str">
        <f>IF(AND(Programme_Grunddaten!$A878="Geprüft",Programme_Grunddaten!AW878&lt;&gt;""),Programme_Grunddaten!AW878,"")</f>
        <v/>
      </c>
      <c r="I873" t="str">
        <f>IF(AND(Programme_Grunddaten!$A878="Geprüft",Programme_Grunddaten!AX878&lt;&gt;""),Programme_Grunddaten!AX878,"")</f>
        <v/>
      </c>
    </row>
    <row r="874" spans="1:9" x14ac:dyDescent="0.3">
      <c r="A874" s="1" t="str">
        <f>IF(AND(Programme_Grunddaten!$A879="Geprüft",Programme_Grunddaten!B879&lt;&gt;""),Programme_Grunddaten!B879,"")</f>
        <v/>
      </c>
      <c r="B874" s="1" t="str">
        <f>IF(AND(Programme_Grunddaten!$A879="Geprüft",Programme_Grunddaten!C879&lt;&gt;""),Programme_Grunddaten!C879,"")</f>
        <v/>
      </c>
      <c r="C874" s="1" t="str">
        <f>IF(AND(Programme_Grunddaten!$A879="Geprüft",Programme_Grunddaten!D879&lt;&gt;""),Programme_Grunddaten!D879,"")</f>
        <v/>
      </c>
      <c r="D874" s="2" t="str">
        <f>IF(AND(Programme_Grunddaten!$A879="Geprüft",Programme_Grunddaten!E879&lt;&gt;""),Programme_Grunddaten!E879,"")</f>
        <v/>
      </c>
      <c r="E874" t="str">
        <f>IF(AND(Programme_Grunddaten!$A879="Geprüft",Programme_Grunddaten!G879&lt;&gt;""),Programme_Grunddaten!G879,"")</f>
        <v/>
      </c>
      <c r="F874" t="str">
        <f>IF(AND(Programme_Grunddaten!$A879="Geprüft",Programme_Grunddaten!F879&lt;&gt;""),Programme_Grunddaten!F879,"")</f>
        <v/>
      </c>
      <c r="G874" s="3" t="str">
        <f>IF(AND(Programme_Grunddaten!$A879="Geprüft",Programme_Grunddaten!S879&lt;&gt;""),Programme_Grunddaten!S879,"")</f>
        <v/>
      </c>
      <c r="H874" t="str">
        <f>IF(AND(Programme_Grunddaten!$A879="Geprüft",Programme_Grunddaten!AW879&lt;&gt;""),Programme_Grunddaten!AW879,"")</f>
        <v/>
      </c>
      <c r="I874" t="str">
        <f>IF(AND(Programme_Grunddaten!$A879="Geprüft",Programme_Grunddaten!AX879&lt;&gt;""),Programme_Grunddaten!AX879,"")</f>
        <v/>
      </c>
    </row>
    <row r="875" spans="1:9" x14ac:dyDescent="0.3">
      <c r="A875" s="1" t="str">
        <f>IF(AND(Programme_Grunddaten!$A880="Geprüft",Programme_Grunddaten!B880&lt;&gt;""),Programme_Grunddaten!B880,"")</f>
        <v/>
      </c>
      <c r="B875" s="1" t="str">
        <f>IF(AND(Programme_Grunddaten!$A880="Geprüft",Programme_Grunddaten!C880&lt;&gt;""),Programme_Grunddaten!C880,"")</f>
        <v/>
      </c>
      <c r="C875" s="1" t="str">
        <f>IF(AND(Programme_Grunddaten!$A880="Geprüft",Programme_Grunddaten!D880&lt;&gt;""),Programme_Grunddaten!D880,"")</f>
        <v/>
      </c>
      <c r="D875" s="2" t="str">
        <f>IF(AND(Programme_Grunddaten!$A880="Geprüft",Programme_Grunddaten!E880&lt;&gt;""),Programme_Grunddaten!E880,"")</f>
        <v/>
      </c>
      <c r="E875" t="str">
        <f>IF(AND(Programme_Grunddaten!$A880="Geprüft",Programme_Grunddaten!G880&lt;&gt;""),Programme_Grunddaten!G880,"")</f>
        <v/>
      </c>
      <c r="F875" t="str">
        <f>IF(AND(Programme_Grunddaten!$A880="Geprüft",Programme_Grunddaten!F880&lt;&gt;""),Programme_Grunddaten!F880,"")</f>
        <v/>
      </c>
      <c r="G875" s="3" t="str">
        <f>IF(AND(Programme_Grunddaten!$A880="Geprüft",Programme_Grunddaten!S880&lt;&gt;""),Programme_Grunddaten!S880,"")</f>
        <v/>
      </c>
      <c r="H875" t="str">
        <f>IF(AND(Programme_Grunddaten!$A880="Geprüft",Programme_Grunddaten!AW880&lt;&gt;""),Programme_Grunddaten!AW880,"")</f>
        <v/>
      </c>
      <c r="I875" t="str">
        <f>IF(AND(Programme_Grunddaten!$A880="Geprüft",Programme_Grunddaten!AX880&lt;&gt;""),Programme_Grunddaten!AX880,"")</f>
        <v/>
      </c>
    </row>
    <row r="876" spans="1:9" x14ac:dyDescent="0.3">
      <c r="A876" s="1" t="str">
        <f>IF(AND(Programme_Grunddaten!$A881="Geprüft",Programme_Grunddaten!B881&lt;&gt;""),Programme_Grunddaten!B881,"")</f>
        <v/>
      </c>
      <c r="B876" s="1" t="str">
        <f>IF(AND(Programme_Grunddaten!$A881="Geprüft",Programme_Grunddaten!C881&lt;&gt;""),Programme_Grunddaten!C881,"")</f>
        <v/>
      </c>
      <c r="C876" s="1" t="str">
        <f>IF(AND(Programme_Grunddaten!$A881="Geprüft",Programme_Grunddaten!D881&lt;&gt;""),Programme_Grunddaten!D881,"")</f>
        <v/>
      </c>
      <c r="D876" s="2" t="str">
        <f>IF(AND(Programme_Grunddaten!$A881="Geprüft",Programme_Grunddaten!E881&lt;&gt;""),Programme_Grunddaten!E881,"")</f>
        <v/>
      </c>
      <c r="E876" t="str">
        <f>IF(AND(Programme_Grunddaten!$A881="Geprüft",Programme_Grunddaten!G881&lt;&gt;""),Programme_Grunddaten!G881,"")</f>
        <v/>
      </c>
      <c r="F876" t="str">
        <f>IF(AND(Programme_Grunddaten!$A881="Geprüft",Programme_Grunddaten!F881&lt;&gt;""),Programme_Grunddaten!F881,"")</f>
        <v/>
      </c>
      <c r="G876" s="3" t="str">
        <f>IF(AND(Programme_Grunddaten!$A881="Geprüft",Programme_Grunddaten!S881&lt;&gt;""),Programme_Grunddaten!S881,"")</f>
        <v/>
      </c>
      <c r="H876" t="str">
        <f>IF(AND(Programme_Grunddaten!$A881="Geprüft",Programme_Grunddaten!AW881&lt;&gt;""),Programme_Grunddaten!AW881,"")</f>
        <v/>
      </c>
      <c r="I876" t="str">
        <f>IF(AND(Programme_Grunddaten!$A881="Geprüft",Programme_Grunddaten!AX881&lt;&gt;""),Programme_Grunddaten!AX881,"")</f>
        <v/>
      </c>
    </row>
    <row r="877" spans="1:9" x14ac:dyDescent="0.3">
      <c r="A877" s="1" t="str">
        <f>IF(AND(Programme_Grunddaten!$A882="Geprüft",Programme_Grunddaten!B882&lt;&gt;""),Programme_Grunddaten!B882,"")</f>
        <v/>
      </c>
      <c r="B877" s="1" t="str">
        <f>IF(AND(Programme_Grunddaten!$A882="Geprüft",Programme_Grunddaten!C882&lt;&gt;""),Programme_Grunddaten!C882,"")</f>
        <v/>
      </c>
      <c r="C877" s="1" t="str">
        <f>IF(AND(Programme_Grunddaten!$A882="Geprüft",Programme_Grunddaten!D882&lt;&gt;""),Programme_Grunddaten!D882,"")</f>
        <v/>
      </c>
      <c r="D877" s="2" t="str">
        <f>IF(AND(Programme_Grunddaten!$A882="Geprüft",Programme_Grunddaten!E882&lt;&gt;""),Programme_Grunddaten!E882,"")</f>
        <v/>
      </c>
      <c r="E877" t="str">
        <f>IF(AND(Programme_Grunddaten!$A882="Geprüft",Programme_Grunddaten!G882&lt;&gt;""),Programme_Grunddaten!G882,"")</f>
        <v/>
      </c>
      <c r="F877" t="str">
        <f>IF(AND(Programme_Grunddaten!$A882="Geprüft",Programme_Grunddaten!F882&lt;&gt;""),Programme_Grunddaten!F882,"")</f>
        <v/>
      </c>
      <c r="G877" s="3" t="str">
        <f>IF(AND(Programme_Grunddaten!$A882="Geprüft",Programme_Grunddaten!S882&lt;&gt;""),Programme_Grunddaten!S882,"")</f>
        <v/>
      </c>
      <c r="H877" t="str">
        <f>IF(AND(Programme_Grunddaten!$A882="Geprüft",Programme_Grunddaten!AW882&lt;&gt;""),Programme_Grunddaten!AW882,"")</f>
        <v/>
      </c>
      <c r="I877" t="str">
        <f>IF(AND(Programme_Grunddaten!$A882="Geprüft",Programme_Grunddaten!AX882&lt;&gt;""),Programme_Grunddaten!AX882,"")</f>
        <v/>
      </c>
    </row>
    <row r="878" spans="1:9" x14ac:dyDescent="0.3">
      <c r="A878" s="1" t="str">
        <f>IF(AND(Programme_Grunddaten!$A883="Geprüft",Programme_Grunddaten!B883&lt;&gt;""),Programme_Grunddaten!B883,"")</f>
        <v/>
      </c>
      <c r="B878" s="1" t="str">
        <f>IF(AND(Programme_Grunddaten!$A883="Geprüft",Programme_Grunddaten!C883&lt;&gt;""),Programme_Grunddaten!C883,"")</f>
        <v/>
      </c>
      <c r="C878" s="1" t="str">
        <f>IF(AND(Programme_Grunddaten!$A883="Geprüft",Programme_Grunddaten!D883&lt;&gt;""),Programme_Grunddaten!D883,"")</f>
        <v/>
      </c>
      <c r="D878" s="2" t="str">
        <f>IF(AND(Programme_Grunddaten!$A883="Geprüft",Programme_Grunddaten!E883&lt;&gt;""),Programme_Grunddaten!E883,"")</f>
        <v/>
      </c>
      <c r="E878" t="str">
        <f>IF(AND(Programme_Grunddaten!$A883="Geprüft",Programme_Grunddaten!G883&lt;&gt;""),Programme_Grunddaten!G883,"")</f>
        <v/>
      </c>
      <c r="F878" t="str">
        <f>IF(AND(Programme_Grunddaten!$A883="Geprüft",Programme_Grunddaten!F883&lt;&gt;""),Programme_Grunddaten!F883,"")</f>
        <v/>
      </c>
      <c r="G878" s="3" t="str">
        <f>IF(AND(Programme_Grunddaten!$A883="Geprüft",Programme_Grunddaten!S883&lt;&gt;""),Programme_Grunddaten!S883,"")</f>
        <v/>
      </c>
      <c r="H878" t="str">
        <f>IF(AND(Programme_Grunddaten!$A883="Geprüft",Programme_Grunddaten!AW883&lt;&gt;""),Programme_Grunddaten!AW883,"")</f>
        <v/>
      </c>
      <c r="I878" t="str">
        <f>IF(AND(Programme_Grunddaten!$A883="Geprüft",Programme_Grunddaten!AX883&lt;&gt;""),Programme_Grunddaten!AX883,"")</f>
        <v/>
      </c>
    </row>
    <row r="879" spans="1:9" x14ac:dyDescent="0.3">
      <c r="A879" s="1" t="str">
        <f>IF(AND(Programme_Grunddaten!$A884="Geprüft",Programme_Grunddaten!B884&lt;&gt;""),Programme_Grunddaten!B884,"")</f>
        <v/>
      </c>
      <c r="B879" s="1" t="str">
        <f>IF(AND(Programme_Grunddaten!$A884="Geprüft",Programme_Grunddaten!C884&lt;&gt;""),Programme_Grunddaten!C884,"")</f>
        <v/>
      </c>
      <c r="C879" s="1" t="str">
        <f>IF(AND(Programme_Grunddaten!$A884="Geprüft",Programme_Grunddaten!D884&lt;&gt;""),Programme_Grunddaten!D884,"")</f>
        <v/>
      </c>
      <c r="D879" s="2" t="str">
        <f>IF(AND(Programme_Grunddaten!$A884="Geprüft",Programme_Grunddaten!E884&lt;&gt;""),Programme_Grunddaten!E884,"")</f>
        <v/>
      </c>
      <c r="E879" t="str">
        <f>IF(AND(Programme_Grunddaten!$A884="Geprüft",Programme_Grunddaten!G884&lt;&gt;""),Programme_Grunddaten!G884,"")</f>
        <v/>
      </c>
      <c r="F879" t="str">
        <f>IF(AND(Programme_Grunddaten!$A884="Geprüft",Programme_Grunddaten!F884&lt;&gt;""),Programme_Grunddaten!F884,"")</f>
        <v/>
      </c>
      <c r="G879" s="3" t="str">
        <f>IF(AND(Programme_Grunddaten!$A884="Geprüft",Programme_Grunddaten!S884&lt;&gt;""),Programme_Grunddaten!S884,"")</f>
        <v/>
      </c>
      <c r="H879" t="str">
        <f>IF(AND(Programme_Grunddaten!$A884="Geprüft",Programme_Grunddaten!AW884&lt;&gt;""),Programme_Grunddaten!AW884,"")</f>
        <v/>
      </c>
      <c r="I879" t="str">
        <f>IF(AND(Programme_Grunddaten!$A884="Geprüft",Programme_Grunddaten!AX884&lt;&gt;""),Programme_Grunddaten!AX884,"")</f>
        <v/>
      </c>
    </row>
    <row r="880" spans="1:9" x14ac:dyDescent="0.3">
      <c r="A880" s="1" t="str">
        <f>IF(AND(Programme_Grunddaten!$A885="Geprüft",Programme_Grunddaten!B885&lt;&gt;""),Programme_Grunddaten!B885,"")</f>
        <v/>
      </c>
      <c r="B880" s="1" t="str">
        <f>IF(AND(Programme_Grunddaten!$A885="Geprüft",Programme_Grunddaten!C885&lt;&gt;""),Programme_Grunddaten!C885,"")</f>
        <v/>
      </c>
      <c r="C880" s="1" t="str">
        <f>IF(AND(Programme_Grunddaten!$A885="Geprüft",Programme_Grunddaten!D885&lt;&gt;""),Programme_Grunddaten!D885,"")</f>
        <v/>
      </c>
      <c r="D880" s="2" t="str">
        <f>IF(AND(Programme_Grunddaten!$A885="Geprüft",Programme_Grunddaten!E885&lt;&gt;""),Programme_Grunddaten!E885,"")</f>
        <v/>
      </c>
      <c r="E880" t="str">
        <f>IF(AND(Programme_Grunddaten!$A885="Geprüft",Programme_Grunddaten!G885&lt;&gt;""),Programme_Grunddaten!G885,"")</f>
        <v/>
      </c>
      <c r="F880" t="str">
        <f>IF(AND(Programme_Grunddaten!$A885="Geprüft",Programme_Grunddaten!F885&lt;&gt;""),Programme_Grunddaten!F885,"")</f>
        <v/>
      </c>
      <c r="G880" s="3" t="str">
        <f>IF(AND(Programme_Grunddaten!$A885="Geprüft",Programme_Grunddaten!S885&lt;&gt;""),Programme_Grunddaten!S885,"")</f>
        <v/>
      </c>
      <c r="H880" t="str">
        <f>IF(AND(Programme_Grunddaten!$A885="Geprüft",Programme_Grunddaten!AW885&lt;&gt;""),Programme_Grunddaten!AW885,"")</f>
        <v/>
      </c>
      <c r="I880" t="str">
        <f>IF(AND(Programme_Grunddaten!$A885="Geprüft",Programme_Grunddaten!AX885&lt;&gt;""),Programme_Grunddaten!AX885,"")</f>
        <v/>
      </c>
    </row>
    <row r="881" spans="1:9" x14ac:dyDescent="0.3">
      <c r="A881" s="1" t="str">
        <f>IF(AND(Programme_Grunddaten!$A886="Geprüft",Programme_Grunddaten!B886&lt;&gt;""),Programme_Grunddaten!B886,"")</f>
        <v/>
      </c>
      <c r="B881" s="1" t="str">
        <f>IF(AND(Programme_Grunddaten!$A886="Geprüft",Programme_Grunddaten!C886&lt;&gt;""),Programme_Grunddaten!C886,"")</f>
        <v/>
      </c>
      <c r="C881" s="1" t="str">
        <f>IF(AND(Programme_Grunddaten!$A886="Geprüft",Programme_Grunddaten!D886&lt;&gt;""),Programme_Grunddaten!D886,"")</f>
        <v/>
      </c>
      <c r="D881" s="2" t="str">
        <f>IF(AND(Programme_Grunddaten!$A886="Geprüft",Programme_Grunddaten!E886&lt;&gt;""),Programme_Grunddaten!E886,"")</f>
        <v/>
      </c>
      <c r="E881" t="str">
        <f>IF(AND(Programme_Grunddaten!$A886="Geprüft",Programme_Grunddaten!G886&lt;&gt;""),Programme_Grunddaten!G886,"")</f>
        <v/>
      </c>
      <c r="F881" t="str">
        <f>IF(AND(Programme_Grunddaten!$A886="Geprüft",Programme_Grunddaten!F886&lt;&gt;""),Programme_Grunddaten!F886,"")</f>
        <v/>
      </c>
      <c r="G881" s="3" t="str">
        <f>IF(AND(Programme_Grunddaten!$A886="Geprüft",Programme_Grunddaten!S886&lt;&gt;""),Programme_Grunddaten!S886,"")</f>
        <v/>
      </c>
      <c r="H881" t="str">
        <f>IF(AND(Programme_Grunddaten!$A886="Geprüft",Programme_Grunddaten!AW886&lt;&gt;""),Programme_Grunddaten!AW886,"")</f>
        <v/>
      </c>
      <c r="I881" t="str">
        <f>IF(AND(Programme_Grunddaten!$A886="Geprüft",Programme_Grunddaten!AX886&lt;&gt;""),Programme_Grunddaten!AX886,"")</f>
        <v/>
      </c>
    </row>
    <row r="882" spans="1:9" x14ac:dyDescent="0.3">
      <c r="A882" s="1" t="str">
        <f>IF(AND(Programme_Grunddaten!$A887="Geprüft",Programme_Grunddaten!B887&lt;&gt;""),Programme_Grunddaten!B887,"")</f>
        <v/>
      </c>
      <c r="B882" s="1" t="str">
        <f>IF(AND(Programme_Grunddaten!$A887="Geprüft",Programme_Grunddaten!C887&lt;&gt;""),Programme_Grunddaten!C887,"")</f>
        <v/>
      </c>
      <c r="C882" s="1" t="str">
        <f>IF(AND(Programme_Grunddaten!$A887="Geprüft",Programme_Grunddaten!D887&lt;&gt;""),Programme_Grunddaten!D887,"")</f>
        <v/>
      </c>
      <c r="D882" s="2" t="str">
        <f>IF(AND(Programme_Grunddaten!$A887="Geprüft",Programme_Grunddaten!E887&lt;&gt;""),Programme_Grunddaten!E887,"")</f>
        <v/>
      </c>
      <c r="E882" t="str">
        <f>IF(AND(Programme_Grunddaten!$A887="Geprüft",Programme_Grunddaten!G887&lt;&gt;""),Programme_Grunddaten!G887,"")</f>
        <v/>
      </c>
      <c r="F882" t="str">
        <f>IF(AND(Programme_Grunddaten!$A887="Geprüft",Programme_Grunddaten!F887&lt;&gt;""),Programme_Grunddaten!F887,"")</f>
        <v/>
      </c>
      <c r="G882" s="3" t="str">
        <f>IF(AND(Programme_Grunddaten!$A887="Geprüft",Programme_Grunddaten!S887&lt;&gt;""),Programme_Grunddaten!S887,"")</f>
        <v/>
      </c>
      <c r="H882" t="str">
        <f>IF(AND(Programme_Grunddaten!$A887="Geprüft",Programme_Grunddaten!AW887&lt;&gt;""),Programme_Grunddaten!AW887,"")</f>
        <v/>
      </c>
      <c r="I882" t="str">
        <f>IF(AND(Programme_Grunddaten!$A887="Geprüft",Programme_Grunddaten!AX887&lt;&gt;""),Programme_Grunddaten!AX887,"")</f>
        <v/>
      </c>
    </row>
    <row r="883" spans="1:9" x14ac:dyDescent="0.3">
      <c r="A883" s="1" t="str">
        <f>IF(AND(Programme_Grunddaten!$A888="Geprüft",Programme_Grunddaten!B888&lt;&gt;""),Programme_Grunddaten!B888,"")</f>
        <v/>
      </c>
      <c r="B883" s="1" t="str">
        <f>IF(AND(Programme_Grunddaten!$A888="Geprüft",Programme_Grunddaten!C888&lt;&gt;""),Programme_Grunddaten!C888,"")</f>
        <v/>
      </c>
      <c r="C883" s="1" t="str">
        <f>IF(AND(Programme_Grunddaten!$A888="Geprüft",Programme_Grunddaten!D888&lt;&gt;""),Programme_Grunddaten!D888,"")</f>
        <v/>
      </c>
      <c r="D883" s="2" t="str">
        <f>IF(AND(Programme_Grunddaten!$A888="Geprüft",Programme_Grunddaten!E888&lt;&gt;""),Programme_Grunddaten!E888,"")</f>
        <v/>
      </c>
      <c r="E883" t="str">
        <f>IF(AND(Programme_Grunddaten!$A888="Geprüft",Programme_Grunddaten!G888&lt;&gt;""),Programme_Grunddaten!G888,"")</f>
        <v/>
      </c>
      <c r="F883" t="str">
        <f>IF(AND(Programme_Grunddaten!$A888="Geprüft",Programme_Grunddaten!F888&lt;&gt;""),Programme_Grunddaten!F888,"")</f>
        <v/>
      </c>
      <c r="G883" s="3" t="str">
        <f>IF(AND(Programme_Grunddaten!$A888="Geprüft",Programme_Grunddaten!S888&lt;&gt;""),Programme_Grunddaten!S888,"")</f>
        <v/>
      </c>
      <c r="H883" t="str">
        <f>IF(AND(Programme_Grunddaten!$A888="Geprüft",Programme_Grunddaten!AW888&lt;&gt;""),Programme_Grunddaten!AW888,"")</f>
        <v/>
      </c>
      <c r="I883" t="str">
        <f>IF(AND(Programme_Grunddaten!$A888="Geprüft",Programme_Grunddaten!AX888&lt;&gt;""),Programme_Grunddaten!AX888,"")</f>
        <v/>
      </c>
    </row>
    <row r="884" spans="1:9" x14ac:dyDescent="0.3">
      <c r="A884" s="1" t="str">
        <f>IF(AND(Programme_Grunddaten!$A889="Geprüft",Programme_Grunddaten!B889&lt;&gt;""),Programme_Grunddaten!B889,"")</f>
        <v/>
      </c>
      <c r="B884" s="1" t="str">
        <f>IF(AND(Programme_Grunddaten!$A889="Geprüft",Programme_Grunddaten!C889&lt;&gt;""),Programme_Grunddaten!C889,"")</f>
        <v/>
      </c>
      <c r="C884" s="1" t="str">
        <f>IF(AND(Programme_Grunddaten!$A889="Geprüft",Programme_Grunddaten!D889&lt;&gt;""),Programme_Grunddaten!D889,"")</f>
        <v/>
      </c>
      <c r="D884" s="2" t="str">
        <f>IF(AND(Programme_Grunddaten!$A889="Geprüft",Programme_Grunddaten!E889&lt;&gt;""),Programme_Grunddaten!E889,"")</f>
        <v/>
      </c>
      <c r="E884" t="str">
        <f>IF(AND(Programme_Grunddaten!$A889="Geprüft",Programme_Grunddaten!G889&lt;&gt;""),Programme_Grunddaten!G889,"")</f>
        <v/>
      </c>
      <c r="F884" t="str">
        <f>IF(AND(Programme_Grunddaten!$A889="Geprüft",Programme_Grunddaten!F889&lt;&gt;""),Programme_Grunddaten!F889,"")</f>
        <v/>
      </c>
      <c r="G884" s="3" t="str">
        <f>IF(AND(Programme_Grunddaten!$A889="Geprüft",Programme_Grunddaten!S889&lt;&gt;""),Programme_Grunddaten!S889,"")</f>
        <v/>
      </c>
      <c r="H884" t="str">
        <f>IF(AND(Programme_Grunddaten!$A889="Geprüft",Programme_Grunddaten!AW889&lt;&gt;""),Programme_Grunddaten!AW889,"")</f>
        <v/>
      </c>
      <c r="I884" t="str">
        <f>IF(AND(Programme_Grunddaten!$A889="Geprüft",Programme_Grunddaten!AX889&lt;&gt;""),Programme_Grunddaten!AX889,"")</f>
        <v/>
      </c>
    </row>
    <row r="885" spans="1:9" x14ac:dyDescent="0.3">
      <c r="A885" s="1" t="str">
        <f>IF(AND(Programme_Grunddaten!$A890="Geprüft",Programme_Grunddaten!B890&lt;&gt;""),Programme_Grunddaten!B890,"")</f>
        <v/>
      </c>
      <c r="B885" s="1" t="str">
        <f>IF(AND(Programme_Grunddaten!$A890="Geprüft",Programme_Grunddaten!C890&lt;&gt;""),Programme_Grunddaten!C890,"")</f>
        <v/>
      </c>
      <c r="C885" s="1" t="str">
        <f>IF(AND(Programme_Grunddaten!$A890="Geprüft",Programme_Grunddaten!D890&lt;&gt;""),Programme_Grunddaten!D890,"")</f>
        <v/>
      </c>
      <c r="D885" s="2" t="str">
        <f>IF(AND(Programme_Grunddaten!$A890="Geprüft",Programme_Grunddaten!E890&lt;&gt;""),Programme_Grunddaten!E890,"")</f>
        <v/>
      </c>
      <c r="E885" t="str">
        <f>IF(AND(Programme_Grunddaten!$A890="Geprüft",Programme_Grunddaten!G890&lt;&gt;""),Programme_Grunddaten!G890,"")</f>
        <v/>
      </c>
      <c r="F885" t="str">
        <f>IF(AND(Programme_Grunddaten!$A890="Geprüft",Programme_Grunddaten!F890&lt;&gt;""),Programme_Grunddaten!F890,"")</f>
        <v/>
      </c>
      <c r="G885" s="3" t="str">
        <f>IF(AND(Programme_Grunddaten!$A890="Geprüft",Programme_Grunddaten!S890&lt;&gt;""),Programme_Grunddaten!S890,"")</f>
        <v/>
      </c>
      <c r="H885" t="str">
        <f>IF(AND(Programme_Grunddaten!$A890="Geprüft",Programme_Grunddaten!AW890&lt;&gt;""),Programme_Grunddaten!AW890,"")</f>
        <v/>
      </c>
      <c r="I885" t="str">
        <f>IF(AND(Programme_Grunddaten!$A890="Geprüft",Programme_Grunddaten!AX890&lt;&gt;""),Programme_Grunddaten!AX890,"")</f>
        <v/>
      </c>
    </row>
    <row r="886" spans="1:9" x14ac:dyDescent="0.3">
      <c r="A886" s="1" t="str">
        <f>IF(AND(Programme_Grunddaten!$A891="Geprüft",Programme_Grunddaten!B891&lt;&gt;""),Programme_Grunddaten!B891,"")</f>
        <v/>
      </c>
      <c r="B886" s="1" t="str">
        <f>IF(AND(Programme_Grunddaten!$A891="Geprüft",Programme_Grunddaten!C891&lt;&gt;""),Programme_Grunddaten!C891,"")</f>
        <v/>
      </c>
      <c r="C886" s="1" t="str">
        <f>IF(AND(Programme_Grunddaten!$A891="Geprüft",Programme_Grunddaten!D891&lt;&gt;""),Programme_Grunddaten!D891,"")</f>
        <v/>
      </c>
      <c r="D886" s="2" t="str">
        <f>IF(AND(Programme_Grunddaten!$A891="Geprüft",Programme_Grunddaten!E891&lt;&gt;""),Programme_Grunddaten!E891,"")</f>
        <v/>
      </c>
      <c r="E886" t="str">
        <f>IF(AND(Programme_Grunddaten!$A891="Geprüft",Programme_Grunddaten!G891&lt;&gt;""),Programme_Grunddaten!G891,"")</f>
        <v/>
      </c>
      <c r="F886" t="str">
        <f>IF(AND(Programme_Grunddaten!$A891="Geprüft",Programme_Grunddaten!F891&lt;&gt;""),Programme_Grunddaten!F891,"")</f>
        <v/>
      </c>
      <c r="G886" s="3" t="str">
        <f>IF(AND(Programme_Grunddaten!$A891="Geprüft",Programme_Grunddaten!S891&lt;&gt;""),Programme_Grunddaten!S891,"")</f>
        <v/>
      </c>
      <c r="H886" t="str">
        <f>IF(AND(Programme_Grunddaten!$A891="Geprüft",Programme_Grunddaten!AW891&lt;&gt;""),Programme_Grunddaten!AW891,"")</f>
        <v/>
      </c>
      <c r="I886" t="str">
        <f>IF(AND(Programme_Grunddaten!$A891="Geprüft",Programme_Grunddaten!AX891&lt;&gt;""),Programme_Grunddaten!AX891,"")</f>
        <v/>
      </c>
    </row>
    <row r="887" spans="1:9" x14ac:dyDescent="0.3">
      <c r="A887" s="1" t="str">
        <f>IF(AND(Programme_Grunddaten!$A892="Geprüft",Programme_Grunddaten!B892&lt;&gt;""),Programme_Grunddaten!B892,"")</f>
        <v/>
      </c>
      <c r="B887" s="1" t="str">
        <f>IF(AND(Programme_Grunddaten!$A892="Geprüft",Programme_Grunddaten!C892&lt;&gt;""),Programme_Grunddaten!C892,"")</f>
        <v/>
      </c>
      <c r="C887" s="1" t="str">
        <f>IF(AND(Programme_Grunddaten!$A892="Geprüft",Programme_Grunddaten!D892&lt;&gt;""),Programme_Grunddaten!D892,"")</f>
        <v/>
      </c>
      <c r="D887" s="2" t="str">
        <f>IF(AND(Programme_Grunddaten!$A892="Geprüft",Programme_Grunddaten!E892&lt;&gt;""),Programme_Grunddaten!E892,"")</f>
        <v/>
      </c>
      <c r="E887" t="str">
        <f>IF(AND(Programme_Grunddaten!$A892="Geprüft",Programme_Grunddaten!G892&lt;&gt;""),Programme_Grunddaten!G892,"")</f>
        <v/>
      </c>
      <c r="F887" t="str">
        <f>IF(AND(Programme_Grunddaten!$A892="Geprüft",Programme_Grunddaten!F892&lt;&gt;""),Programme_Grunddaten!F892,"")</f>
        <v/>
      </c>
      <c r="G887" s="3" t="str">
        <f>IF(AND(Programme_Grunddaten!$A892="Geprüft",Programme_Grunddaten!S892&lt;&gt;""),Programme_Grunddaten!S892,"")</f>
        <v/>
      </c>
      <c r="H887" t="str">
        <f>IF(AND(Programme_Grunddaten!$A892="Geprüft",Programme_Grunddaten!AW892&lt;&gt;""),Programme_Grunddaten!AW892,"")</f>
        <v/>
      </c>
      <c r="I887" t="str">
        <f>IF(AND(Programme_Grunddaten!$A892="Geprüft",Programme_Grunddaten!AX892&lt;&gt;""),Programme_Grunddaten!AX892,"")</f>
        <v/>
      </c>
    </row>
    <row r="888" spans="1:9" x14ac:dyDescent="0.3">
      <c r="A888" s="1" t="str">
        <f>IF(AND(Programme_Grunddaten!$A893="Geprüft",Programme_Grunddaten!B893&lt;&gt;""),Programme_Grunddaten!B893,"")</f>
        <v/>
      </c>
      <c r="B888" s="1" t="str">
        <f>IF(AND(Programme_Grunddaten!$A893="Geprüft",Programme_Grunddaten!C893&lt;&gt;""),Programme_Grunddaten!C893,"")</f>
        <v/>
      </c>
      <c r="C888" s="1" t="str">
        <f>IF(AND(Programme_Grunddaten!$A893="Geprüft",Programme_Grunddaten!D893&lt;&gt;""),Programme_Grunddaten!D893,"")</f>
        <v/>
      </c>
      <c r="D888" s="2" t="str">
        <f>IF(AND(Programme_Grunddaten!$A893="Geprüft",Programme_Grunddaten!E893&lt;&gt;""),Programme_Grunddaten!E893,"")</f>
        <v/>
      </c>
      <c r="E888" t="str">
        <f>IF(AND(Programme_Grunddaten!$A893="Geprüft",Programme_Grunddaten!G893&lt;&gt;""),Programme_Grunddaten!G893,"")</f>
        <v/>
      </c>
      <c r="F888" t="str">
        <f>IF(AND(Programme_Grunddaten!$A893="Geprüft",Programme_Grunddaten!F893&lt;&gt;""),Programme_Grunddaten!F893,"")</f>
        <v/>
      </c>
      <c r="G888" s="3" t="str">
        <f>IF(AND(Programme_Grunddaten!$A893="Geprüft",Programme_Grunddaten!S893&lt;&gt;""),Programme_Grunddaten!S893,"")</f>
        <v/>
      </c>
      <c r="H888" t="str">
        <f>IF(AND(Programme_Grunddaten!$A893="Geprüft",Programme_Grunddaten!AW893&lt;&gt;""),Programme_Grunddaten!AW893,"")</f>
        <v/>
      </c>
      <c r="I888" t="str">
        <f>IF(AND(Programme_Grunddaten!$A893="Geprüft",Programme_Grunddaten!AX893&lt;&gt;""),Programme_Grunddaten!AX893,"")</f>
        <v/>
      </c>
    </row>
    <row r="889" spans="1:9" x14ac:dyDescent="0.3">
      <c r="A889" s="1" t="str">
        <f>IF(AND(Programme_Grunddaten!$A894="Geprüft",Programme_Grunddaten!B894&lt;&gt;""),Programme_Grunddaten!B894,"")</f>
        <v/>
      </c>
      <c r="B889" s="1" t="str">
        <f>IF(AND(Programme_Grunddaten!$A894="Geprüft",Programme_Grunddaten!C894&lt;&gt;""),Programme_Grunddaten!C894,"")</f>
        <v/>
      </c>
      <c r="C889" s="1" t="str">
        <f>IF(AND(Programme_Grunddaten!$A894="Geprüft",Programme_Grunddaten!D894&lt;&gt;""),Programme_Grunddaten!D894,"")</f>
        <v/>
      </c>
      <c r="D889" s="2" t="str">
        <f>IF(AND(Programme_Grunddaten!$A894="Geprüft",Programme_Grunddaten!E894&lt;&gt;""),Programme_Grunddaten!E894,"")</f>
        <v/>
      </c>
      <c r="E889" t="str">
        <f>IF(AND(Programme_Grunddaten!$A894="Geprüft",Programme_Grunddaten!G894&lt;&gt;""),Programme_Grunddaten!G894,"")</f>
        <v/>
      </c>
      <c r="F889" t="str">
        <f>IF(AND(Programme_Grunddaten!$A894="Geprüft",Programme_Grunddaten!F894&lt;&gt;""),Programme_Grunddaten!F894,"")</f>
        <v/>
      </c>
      <c r="G889" s="3" t="str">
        <f>IF(AND(Programme_Grunddaten!$A894="Geprüft",Programme_Grunddaten!S894&lt;&gt;""),Programme_Grunddaten!S894,"")</f>
        <v/>
      </c>
      <c r="H889" t="str">
        <f>IF(AND(Programme_Grunddaten!$A894="Geprüft",Programme_Grunddaten!AW894&lt;&gt;""),Programme_Grunddaten!AW894,"")</f>
        <v/>
      </c>
      <c r="I889" t="str">
        <f>IF(AND(Programme_Grunddaten!$A894="Geprüft",Programme_Grunddaten!AX894&lt;&gt;""),Programme_Grunddaten!AX894,"")</f>
        <v/>
      </c>
    </row>
    <row r="890" spans="1:9" x14ac:dyDescent="0.3">
      <c r="A890" s="1" t="str">
        <f>IF(AND(Programme_Grunddaten!$A895="Geprüft",Programme_Grunddaten!B895&lt;&gt;""),Programme_Grunddaten!B895,"")</f>
        <v/>
      </c>
      <c r="B890" s="1" t="str">
        <f>IF(AND(Programme_Grunddaten!$A895="Geprüft",Programme_Grunddaten!C895&lt;&gt;""),Programme_Grunddaten!C895,"")</f>
        <v/>
      </c>
      <c r="C890" s="1" t="str">
        <f>IF(AND(Programme_Grunddaten!$A895="Geprüft",Programme_Grunddaten!D895&lt;&gt;""),Programme_Grunddaten!D895,"")</f>
        <v/>
      </c>
      <c r="D890" s="2" t="str">
        <f>IF(AND(Programme_Grunddaten!$A895="Geprüft",Programme_Grunddaten!E895&lt;&gt;""),Programme_Grunddaten!E895,"")</f>
        <v/>
      </c>
      <c r="E890" t="str">
        <f>IF(AND(Programme_Grunddaten!$A895="Geprüft",Programme_Grunddaten!G895&lt;&gt;""),Programme_Grunddaten!G895,"")</f>
        <v/>
      </c>
      <c r="F890" t="str">
        <f>IF(AND(Programme_Grunddaten!$A895="Geprüft",Programme_Grunddaten!F895&lt;&gt;""),Programme_Grunddaten!F895,"")</f>
        <v/>
      </c>
      <c r="G890" s="3" t="str">
        <f>IF(AND(Programme_Grunddaten!$A895="Geprüft",Programme_Grunddaten!S895&lt;&gt;""),Programme_Grunddaten!S895,"")</f>
        <v/>
      </c>
      <c r="H890" t="str">
        <f>IF(AND(Programme_Grunddaten!$A895="Geprüft",Programme_Grunddaten!AW895&lt;&gt;""),Programme_Grunddaten!AW895,"")</f>
        <v/>
      </c>
      <c r="I890" t="str">
        <f>IF(AND(Programme_Grunddaten!$A895="Geprüft",Programme_Grunddaten!AX895&lt;&gt;""),Programme_Grunddaten!AX895,"")</f>
        <v/>
      </c>
    </row>
    <row r="891" spans="1:9" x14ac:dyDescent="0.3">
      <c r="A891" s="1" t="str">
        <f>IF(AND(Programme_Grunddaten!$A896="Geprüft",Programme_Grunddaten!B896&lt;&gt;""),Programme_Grunddaten!B896,"")</f>
        <v/>
      </c>
      <c r="B891" s="1" t="str">
        <f>IF(AND(Programme_Grunddaten!$A896="Geprüft",Programme_Grunddaten!C896&lt;&gt;""),Programme_Grunddaten!C896,"")</f>
        <v/>
      </c>
      <c r="C891" s="1" t="str">
        <f>IF(AND(Programme_Grunddaten!$A896="Geprüft",Programme_Grunddaten!D896&lt;&gt;""),Programme_Grunddaten!D896,"")</f>
        <v/>
      </c>
      <c r="D891" s="2" t="str">
        <f>IF(AND(Programme_Grunddaten!$A896="Geprüft",Programme_Grunddaten!E896&lt;&gt;""),Programme_Grunddaten!E896,"")</f>
        <v/>
      </c>
      <c r="E891" t="str">
        <f>IF(AND(Programme_Grunddaten!$A896="Geprüft",Programme_Grunddaten!G896&lt;&gt;""),Programme_Grunddaten!G896,"")</f>
        <v/>
      </c>
      <c r="F891" t="str">
        <f>IF(AND(Programme_Grunddaten!$A896="Geprüft",Programme_Grunddaten!F896&lt;&gt;""),Programme_Grunddaten!F896,"")</f>
        <v/>
      </c>
      <c r="G891" s="3" t="str">
        <f>IF(AND(Programme_Grunddaten!$A896="Geprüft",Programme_Grunddaten!S896&lt;&gt;""),Programme_Grunddaten!S896,"")</f>
        <v/>
      </c>
      <c r="H891" t="str">
        <f>IF(AND(Programme_Grunddaten!$A896="Geprüft",Programme_Grunddaten!AW896&lt;&gt;""),Programme_Grunddaten!AW896,"")</f>
        <v/>
      </c>
      <c r="I891" t="str">
        <f>IF(AND(Programme_Grunddaten!$A896="Geprüft",Programme_Grunddaten!AX896&lt;&gt;""),Programme_Grunddaten!AX896,"")</f>
        <v/>
      </c>
    </row>
    <row r="892" spans="1:9" x14ac:dyDescent="0.3">
      <c r="A892" s="1" t="str">
        <f>IF(AND(Programme_Grunddaten!$A897="Geprüft",Programme_Grunddaten!B897&lt;&gt;""),Programme_Grunddaten!B897,"")</f>
        <v/>
      </c>
      <c r="B892" s="1" t="str">
        <f>IF(AND(Programme_Grunddaten!$A897="Geprüft",Programme_Grunddaten!C897&lt;&gt;""),Programme_Grunddaten!C897,"")</f>
        <v/>
      </c>
      <c r="C892" s="1" t="str">
        <f>IF(AND(Programme_Grunddaten!$A897="Geprüft",Programme_Grunddaten!D897&lt;&gt;""),Programme_Grunddaten!D897,"")</f>
        <v/>
      </c>
      <c r="D892" s="2" t="str">
        <f>IF(AND(Programme_Grunddaten!$A897="Geprüft",Programme_Grunddaten!E897&lt;&gt;""),Programme_Grunddaten!E897,"")</f>
        <v/>
      </c>
      <c r="E892" t="str">
        <f>IF(AND(Programme_Grunddaten!$A897="Geprüft",Programme_Grunddaten!G897&lt;&gt;""),Programme_Grunddaten!G897,"")</f>
        <v/>
      </c>
      <c r="F892" t="str">
        <f>IF(AND(Programme_Grunddaten!$A897="Geprüft",Programme_Grunddaten!F897&lt;&gt;""),Programme_Grunddaten!F897,"")</f>
        <v/>
      </c>
      <c r="G892" s="3" t="str">
        <f>IF(AND(Programme_Grunddaten!$A897="Geprüft",Programme_Grunddaten!S897&lt;&gt;""),Programme_Grunddaten!S897,"")</f>
        <v/>
      </c>
      <c r="H892" t="str">
        <f>IF(AND(Programme_Grunddaten!$A897="Geprüft",Programme_Grunddaten!AW897&lt;&gt;""),Programme_Grunddaten!AW897,"")</f>
        <v/>
      </c>
      <c r="I892" t="str">
        <f>IF(AND(Programme_Grunddaten!$A897="Geprüft",Programme_Grunddaten!AX897&lt;&gt;""),Programme_Grunddaten!AX897,"")</f>
        <v/>
      </c>
    </row>
    <row r="893" spans="1:9" x14ac:dyDescent="0.3">
      <c r="A893" s="1" t="str">
        <f>IF(AND(Programme_Grunddaten!$A898="Geprüft",Programme_Grunddaten!B898&lt;&gt;""),Programme_Grunddaten!B898,"")</f>
        <v/>
      </c>
      <c r="B893" s="1" t="str">
        <f>IF(AND(Programme_Grunddaten!$A898="Geprüft",Programme_Grunddaten!C898&lt;&gt;""),Programme_Grunddaten!C898,"")</f>
        <v/>
      </c>
      <c r="C893" s="1" t="str">
        <f>IF(AND(Programme_Grunddaten!$A898="Geprüft",Programme_Grunddaten!D898&lt;&gt;""),Programme_Grunddaten!D898,"")</f>
        <v/>
      </c>
      <c r="D893" s="2" t="str">
        <f>IF(AND(Programme_Grunddaten!$A898="Geprüft",Programme_Grunddaten!E898&lt;&gt;""),Programme_Grunddaten!E898,"")</f>
        <v/>
      </c>
      <c r="E893" t="str">
        <f>IF(AND(Programme_Grunddaten!$A898="Geprüft",Programme_Grunddaten!G898&lt;&gt;""),Programme_Grunddaten!G898,"")</f>
        <v/>
      </c>
      <c r="F893" t="str">
        <f>IF(AND(Programme_Grunddaten!$A898="Geprüft",Programme_Grunddaten!F898&lt;&gt;""),Programme_Grunddaten!F898,"")</f>
        <v/>
      </c>
      <c r="G893" s="3" t="str">
        <f>IF(AND(Programme_Grunddaten!$A898="Geprüft",Programme_Grunddaten!S898&lt;&gt;""),Programme_Grunddaten!S898,"")</f>
        <v/>
      </c>
      <c r="H893" t="str">
        <f>IF(AND(Programme_Grunddaten!$A898="Geprüft",Programme_Grunddaten!AW898&lt;&gt;""),Programme_Grunddaten!AW898,"")</f>
        <v/>
      </c>
      <c r="I893" t="str">
        <f>IF(AND(Programme_Grunddaten!$A898="Geprüft",Programme_Grunddaten!AX898&lt;&gt;""),Programme_Grunddaten!AX898,"")</f>
        <v/>
      </c>
    </row>
    <row r="894" spans="1:9" x14ac:dyDescent="0.3">
      <c r="A894" s="1" t="str">
        <f>IF(AND(Programme_Grunddaten!$A899="Geprüft",Programme_Grunddaten!B899&lt;&gt;""),Programme_Grunddaten!B899,"")</f>
        <v/>
      </c>
      <c r="B894" s="1" t="str">
        <f>IF(AND(Programme_Grunddaten!$A899="Geprüft",Programme_Grunddaten!C899&lt;&gt;""),Programme_Grunddaten!C899,"")</f>
        <v/>
      </c>
      <c r="C894" s="1" t="str">
        <f>IF(AND(Programme_Grunddaten!$A899="Geprüft",Programme_Grunddaten!D899&lt;&gt;""),Programme_Grunddaten!D899,"")</f>
        <v/>
      </c>
      <c r="D894" s="2" t="str">
        <f>IF(AND(Programme_Grunddaten!$A899="Geprüft",Programme_Grunddaten!E899&lt;&gt;""),Programme_Grunddaten!E899,"")</f>
        <v/>
      </c>
      <c r="E894" t="str">
        <f>IF(AND(Programme_Grunddaten!$A899="Geprüft",Programme_Grunddaten!G899&lt;&gt;""),Programme_Grunddaten!G899,"")</f>
        <v/>
      </c>
      <c r="F894" t="str">
        <f>IF(AND(Programme_Grunddaten!$A899="Geprüft",Programme_Grunddaten!F899&lt;&gt;""),Programme_Grunddaten!F899,"")</f>
        <v/>
      </c>
      <c r="G894" s="3" t="str">
        <f>IF(AND(Programme_Grunddaten!$A899="Geprüft",Programme_Grunddaten!S899&lt;&gt;""),Programme_Grunddaten!S899,"")</f>
        <v/>
      </c>
      <c r="H894" t="str">
        <f>IF(AND(Programme_Grunddaten!$A899="Geprüft",Programme_Grunddaten!AW899&lt;&gt;""),Programme_Grunddaten!AW899,"")</f>
        <v/>
      </c>
      <c r="I894" t="str">
        <f>IF(AND(Programme_Grunddaten!$A899="Geprüft",Programme_Grunddaten!AX899&lt;&gt;""),Programme_Grunddaten!AX899,"")</f>
        <v/>
      </c>
    </row>
    <row r="895" spans="1:9" x14ac:dyDescent="0.3">
      <c r="A895" s="1" t="str">
        <f>IF(AND(Programme_Grunddaten!$A900="Geprüft",Programme_Grunddaten!B900&lt;&gt;""),Programme_Grunddaten!B900,"")</f>
        <v/>
      </c>
      <c r="B895" s="1" t="str">
        <f>IF(AND(Programme_Grunddaten!$A900="Geprüft",Programme_Grunddaten!C900&lt;&gt;""),Programme_Grunddaten!C900,"")</f>
        <v/>
      </c>
      <c r="C895" s="1" t="str">
        <f>IF(AND(Programme_Grunddaten!$A900="Geprüft",Programme_Grunddaten!D900&lt;&gt;""),Programme_Grunddaten!D900,"")</f>
        <v/>
      </c>
      <c r="D895" s="2" t="str">
        <f>IF(AND(Programme_Grunddaten!$A900="Geprüft",Programme_Grunddaten!E900&lt;&gt;""),Programme_Grunddaten!E900,"")</f>
        <v/>
      </c>
      <c r="E895" t="str">
        <f>IF(AND(Programme_Grunddaten!$A900="Geprüft",Programme_Grunddaten!G900&lt;&gt;""),Programme_Grunddaten!G900,"")</f>
        <v/>
      </c>
      <c r="F895" t="str">
        <f>IF(AND(Programme_Grunddaten!$A900="Geprüft",Programme_Grunddaten!F900&lt;&gt;""),Programme_Grunddaten!F900,"")</f>
        <v/>
      </c>
      <c r="G895" s="3" t="str">
        <f>IF(AND(Programme_Grunddaten!$A900="Geprüft",Programme_Grunddaten!S900&lt;&gt;""),Programme_Grunddaten!S900,"")</f>
        <v/>
      </c>
      <c r="H895" t="str">
        <f>IF(AND(Programme_Grunddaten!$A900="Geprüft",Programme_Grunddaten!AW900&lt;&gt;""),Programme_Grunddaten!AW900,"")</f>
        <v/>
      </c>
      <c r="I895" t="str">
        <f>IF(AND(Programme_Grunddaten!$A900="Geprüft",Programme_Grunddaten!AX900&lt;&gt;""),Programme_Grunddaten!AX900,"")</f>
        <v/>
      </c>
    </row>
    <row r="896" spans="1:9" x14ac:dyDescent="0.3">
      <c r="A896" s="1" t="str">
        <f>IF(AND(Programme_Grunddaten!$A901="Geprüft",Programme_Grunddaten!B901&lt;&gt;""),Programme_Grunddaten!B901,"")</f>
        <v/>
      </c>
      <c r="B896" s="1" t="str">
        <f>IF(AND(Programme_Grunddaten!$A901="Geprüft",Programme_Grunddaten!C901&lt;&gt;""),Programme_Grunddaten!C901,"")</f>
        <v/>
      </c>
      <c r="C896" s="1" t="str">
        <f>IF(AND(Programme_Grunddaten!$A901="Geprüft",Programme_Grunddaten!D901&lt;&gt;""),Programme_Grunddaten!D901,"")</f>
        <v/>
      </c>
      <c r="D896" s="2" t="str">
        <f>IF(AND(Programme_Grunddaten!$A901="Geprüft",Programme_Grunddaten!E901&lt;&gt;""),Programme_Grunddaten!E901,"")</f>
        <v/>
      </c>
      <c r="E896" t="str">
        <f>IF(AND(Programme_Grunddaten!$A901="Geprüft",Programme_Grunddaten!G901&lt;&gt;""),Programme_Grunddaten!G901,"")</f>
        <v/>
      </c>
      <c r="F896" t="str">
        <f>IF(AND(Programme_Grunddaten!$A901="Geprüft",Programme_Grunddaten!F901&lt;&gt;""),Programme_Grunddaten!F901,"")</f>
        <v/>
      </c>
      <c r="G896" s="3" t="str">
        <f>IF(AND(Programme_Grunddaten!$A901="Geprüft",Programme_Grunddaten!S901&lt;&gt;""),Programme_Grunddaten!S901,"")</f>
        <v/>
      </c>
      <c r="H896" t="str">
        <f>IF(AND(Programme_Grunddaten!$A901="Geprüft",Programme_Grunddaten!AW901&lt;&gt;""),Programme_Grunddaten!AW901,"")</f>
        <v/>
      </c>
      <c r="I896" t="str">
        <f>IF(AND(Programme_Grunddaten!$A901="Geprüft",Programme_Grunddaten!AX901&lt;&gt;""),Programme_Grunddaten!AX901,"")</f>
        <v/>
      </c>
    </row>
    <row r="897" spans="1:9" x14ac:dyDescent="0.3">
      <c r="A897" s="1" t="str">
        <f>IF(AND(Programme_Grunddaten!$A902="Geprüft",Programme_Grunddaten!B902&lt;&gt;""),Programme_Grunddaten!B902,"")</f>
        <v/>
      </c>
      <c r="B897" s="1" t="str">
        <f>IF(AND(Programme_Grunddaten!$A902="Geprüft",Programme_Grunddaten!C902&lt;&gt;""),Programme_Grunddaten!C902,"")</f>
        <v/>
      </c>
      <c r="C897" s="1" t="str">
        <f>IF(AND(Programme_Grunddaten!$A902="Geprüft",Programme_Grunddaten!D902&lt;&gt;""),Programme_Grunddaten!D902,"")</f>
        <v/>
      </c>
      <c r="D897" s="2" t="str">
        <f>IF(AND(Programme_Grunddaten!$A902="Geprüft",Programme_Grunddaten!E902&lt;&gt;""),Programme_Grunddaten!E902,"")</f>
        <v/>
      </c>
      <c r="E897" t="str">
        <f>IF(AND(Programme_Grunddaten!$A902="Geprüft",Programme_Grunddaten!G902&lt;&gt;""),Programme_Grunddaten!G902,"")</f>
        <v/>
      </c>
      <c r="F897" t="str">
        <f>IF(AND(Programme_Grunddaten!$A902="Geprüft",Programme_Grunddaten!F902&lt;&gt;""),Programme_Grunddaten!F902,"")</f>
        <v/>
      </c>
      <c r="G897" s="3" t="str">
        <f>IF(AND(Programme_Grunddaten!$A902="Geprüft",Programme_Grunddaten!S902&lt;&gt;""),Programme_Grunddaten!S902,"")</f>
        <v/>
      </c>
      <c r="H897" t="str">
        <f>IF(AND(Programme_Grunddaten!$A902="Geprüft",Programme_Grunddaten!AW902&lt;&gt;""),Programme_Grunddaten!AW902,"")</f>
        <v/>
      </c>
      <c r="I897" t="str">
        <f>IF(AND(Programme_Grunddaten!$A902="Geprüft",Programme_Grunddaten!AX902&lt;&gt;""),Programme_Grunddaten!AX902,"")</f>
        <v/>
      </c>
    </row>
    <row r="898" spans="1:9" x14ac:dyDescent="0.3">
      <c r="A898" s="1" t="str">
        <f>IF(AND(Programme_Grunddaten!$A903="Geprüft",Programme_Grunddaten!B903&lt;&gt;""),Programme_Grunddaten!B903,"")</f>
        <v/>
      </c>
      <c r="B898" s="1" t="str">
        <f>IF(AND(Programme_Grunddaten!$A903="Geprüft",Programme_Grunddaten!C903&lt;&gt;""),Programme_Grunddaten!C903,"")</f>
        <v/>
      </c>
      <c r="C898" s="1" t="str">
        <f>IF(AND(Programme_Grunddaten!$A903="Geprüft",Programme_Grunddaten!D903&lt;&gt;""),Programme_Grunddaten!D903,"")</f>
        <v/>
      </c>
      <c r="D898" s="2" t="str">
        <f>IF(AND(Programme_Grunddaten!$A903="Geprüft",Programme_Grunddaten!E903&lt;&gt;""),Programme_Grunddaten!E903,"")</f>
        <v/>
      </c>
      <c r="E898" t="str">
        <f>IF(AND(Programme_Grunddaten!$A903="Geprüft",Programme_Grunddaten!G903&lt;&gt;""),Programme_Grunddaten!G903,"")</f>
        <v/>
      </c>
      <c r="F898" t="str">
        <f>IF(AND(Programme_Grunddaten!$A903="Geprüft",Programme_Grunddaten!F903&lt;&gt;""),Programme_Grunddaten!F903,"")</f>
        <v/>
      </c>
      <c r="G898" s="3" t="str">
        <f>IF(AND(Programme_Grunddaten!$A903="Geprüft",Programme_Grunddaten!S903&lt;&gt;""),Programme_Grunddaten!S903,"")</f>
        <v/>
      </c>
      <c r="H898" t="str">
        <f>IF(AND(Programme_Grunddaten!$A903="Geprüft",Programme_Grunddaten!AW903&lt;&gt;""),Programme_Grunddaten!AW903,"")</f>
        <v/>
      </c>
      <c r="I898" t="str">
        <f>IF(AND(Programme_Grunddaten!$A903="Geprüft",Programme_Grunddaten!AX903&lt;&gt;""),Programme_Grunddaten!AX903,"")</f>
        <v/>
      </c>
    </row>
    <row r="899" spans="1:9" x14ac:dyDescent="0.3">
      <c r="A899" s="1" t="str">
        <f>IF(AND(Programme_Grunddaten!$A904="Geprüft",Programme_Grunddaten!B904&lt;&gt;""),Programme_Grunddaten!B904,"")</f>
        <v/>
      </c>
      <c r="B899" s="1" t="str">
        <f>IF(AND(Programme_Grunddaten!$A904="Geprüft",Programme_Grunddaten!C904&lt;&gt;""),Programme_Grunddaten!C904,"")</f>
        <v/>
      </c>
      <c r="C899" s="1" t="str">
        <f>IF(AND(Programme_Grunddaten!$A904="Geprüft",Programme_Grunddaten!D904&lt;&gt;""),Programme_Grunddaten!D904,"")</f>
        <v/>
      </c>
      <c r="D899" s="2" t="str">
        <f>IF(AND(Programme_Grunddaten!$A904="Geprüft",Programme_Grunddaten!E904&lt;&gt;""),Programme_Grunddaten!E904,"")</f>
        <v/>
      </c>
      <c r="E899" t="str">
        <f>IF(AND(Programme_Grunddaten!$A904="Geprüft",Programme_Grunddaten!G904&lt;&gt;""),Programme_Grunddaten!G904,"")</f>
        <v/>
      </c>
      <c r="F899" t="str">
        <f>IF(AND(Programme_Grunddaten!$A904="Geprüft",Programme_Grunddaten!F904&lt;&gt;""),Programme_Grunddaten!F904,"")</f>
        <v/>
      </c>
      <c r="G899" s="3" t="str">
        <f>IF(AND(Programme_Grunddaten!$A904="Geprüft",Programme_Grunddaten!S904&lt;&gt;""),Programme_Grunddaten!S904,"")</f>
        <v/>
      </c>
      <c r="H899" t="str">
        <f>IF(AND(Programme_Grunddaten!$A904="Geprüft",Programme_Grunddaten!AW904&lt;&gt;""),Programme_Grunddaten!AW904,"")</f>
        <v/>
      </c>
      <c r="I899" t="str">
        <f>IF(AND(Programme_Grunddaten!$A904="Geprüft",Programme_Grunddaten!AX904&lt;&gt;""),Programme_Grunddaten!AX904,"")</f>
        <v/>
      </c>
    </row>
    <row r="900" spans="1:9" x14ac:dyDescent="0.3">
      <c r="A900" s="1" t="str">
        <f>IF(AND(Programme_Grunddaten!$A905="Geprüft",Programme_Grunddaten!B905&lt;&gt;""),Programme_Grunddaten!B905,"")</f>
        <v/>
      </c>
      <c r="B900" s="1" t="str">
        <f>IF(AND(Programme_Grunddaten!$A905="Geprüft",Programme_Grunddaten!C905&lt;&gt;""),Programme_Grunddaten!C905,"")</f>
        <v/>
      </c>
      <c r="C900" s="1" t="str">
        <f>IF(AND(Programme_Grunddaten!$A905="Geprüft",Programme_Grunddaten!D905&lt;&gt;""),Programme_Grunddaten!D905,"")</f>
        <v/>
      </c>
      <c r="D900" s="2" t="str">
        <f>IF(AND(Programme_Grunddaten!$A905="Geprüft",Programme_Grunddaten!E905&lt;&gt;""),Programme_Grunddaten!E905,"")</f>
        <v/>
      </c>
      <c r="E900" t="str">
        <f>IF(AND(Programme_Grunddaten!$A905="Geprüft",Programme_Grunddaten!G905&lt;&gt;""),Programme_Grunddaten!G905,"")</f>
        <v/>
      </c>
      <c r="F900" t="str">
        <f>IF(AND(Programme_Grunddaten!$A905="Geprüft",Programme_Grunddaten!F905&lt;&gt;""),Programme_Grunddaten!F905,"")</f>
        <v/>
      </c>
      <c r="G900" s="3" t="str">
        <f>IF(AND(Programme_Grunddaten!$A905="Geprüft",Programme_Grunddaten!S905&lt;&gt;""),Programme_Grunddaten!S905,"")</f>
        <v/>
      </c>
      <c r="H900" t="str">
        <f>IF(AND(Programme_Grunddaten!$A905="Geprüft",Programme_Grunddaten!AW905&lt;&gt;""),Programme_Grunddaten!AW905,"")</f>
        <v/>
      </c>
      <c r="I900" t="str">
        <f>IF(AND(Programme_Grunddaten!$A905="Geprüft",Programme_Grunddaten!AX905&lt;&gt;""),Programme_Grunddaten!AX905,"")</f>
        <v/>
      </c>
    </row>
    <row r="901" spans="1:9" x14ac:dyDescent="0.3">
      <c r="A901" s="1" t="str">
        <f>IF(AND(Programme_Grunddaten!$A906="Geprüft",Programme_Grunddaten!B906&lt;&gt;""),Programme_Grunddaten!B906,"")</f>
        <v/>
      </c>
      <c r="B901" s="1" t="str">
        <f>IF(AND(Programme_Grunddaten!$A906="Geprüft",Programme_Grunddaten!C906&lt;&gt;""),Programme_Grunddaten!C906,"")</f>
        <v/>
      </c>
      <c r="C901" s="1" t="str">
        <f>IF(AND(Programme_Grunddaten!$A906="Geprüft",Programme_Grunddaten!D906&lt;&gt;""),Programme_Grunddaten!D906,"")</f>
        <v/>
      </c>
      <c r="D901" s="2" t="str">
        <f>IF(AND(Programme_Grunddaten!$A906="Geprüft",Programme_Grunddaten!E906&lt;&gt;""),Programme_Grunddaten!E906,"")</f>
        <v/>
      </c>
      <c r="E901" t="str">
        <f>IF(AND(Programme_Grunddaten!$A906="Geprüft",Programme_Grunddaten!G906&lt;&gt;""),Programme_Grunddaten!G906,"")</f>
        <v/>
      </c>
      <c r="F901" t="str">
        <f>IF(AND(Programme_Grunddaten!$A906="Geprüft",Programme_Grunddaten!F906&lt;&gt;""),Programme_Grunddaten!F906,"")</f>
        <v/>
      </c>
      <c r="G901" s="3" t="str">
        <f>IF(AND(Programme_Grunddaten!$A906="Geprüft",Programme_Grunddaten!S906&lt;&gt;""),Programme_Grunddaten!S906,"")</f>
        <v/>
      </c>
      <c r="H901" t="str">
        <f>IF(AND(Programme_Grunddaten!$A906="Geprüft",Programme_Grunddaten!AW906&lt;&gt;""),Programme_Grunddaten!AW906,"")</f>
        <v/>
      </c>
      <c r="I901" t="str">
        <f>IF(AND(Programme_Grunddaten!$A906="Geprüft",Programme_Grunddaten!AX906&lt;&gt;""),Programme_Grunddaten!AX906,"")</f>
        <v/>
      </c>
    </row>
    <row r="902" spans="1:9" x14ac:dyDescent="0.3">
      <c r="A902" s="1" t="str">
        <f>IF(AND(Programme_Grunddaten!$A907="Geprüft",Programme_Grunddaten!B907&lt;&gt;""),Programme_Grunddaten!B907,"")</f>
        <v/>
      </c>
      <c r="B902" s="1" t="str">
        <f>IF(AND(Programme_Grunddaten!$A907="Geprüft",Programme_Grunddaten!C907&lt;&gt;""),Programme_Grunddaten!C907,"")</f>
        <v/>
      </c>
      <c r="C902" s="1" t="str">
        <f>IF(AND(Programme_Grunddaten!$A907="Geprüft",Programme_Grunddaten!D907&lt;&gt;""),Programme_Grunddaten!D907,"")</f>
        <v/>
      </c>
      <c r="D902" s="2" t="str">
        <f>IF(AND(Programme_Grunddaten!$A907="Geprüft",Programme_Grunddaten!E907&lt;&gt;""),Programme_Grunddaten!E907,"")</f>
        <v/>
      </c>
      <c r="E902" t="str">
        <f>IF(AND(Programme_Grunddaten!$A907="Geprüft",Programme_Grunddaten!G907&lt;&gt;""),Programme_Grunddaten!G907,"")</f>
        <v/>
      </c>
      <c r="F902" t="str">
        <f>IF(AND(Programme_Grunddaten!$A907="Geprüft",Programme_Grunddaten!F907&lt;&gt;""),Programme_Grunddaten!F907,"")</f>
        <v/>
      </c>
      <c r="G902" s="3" t="str">
        <f>IF(AND(Programme_Grunddaten!$A907="Geprüft",Programme_Grunddaten!S907&lt;&gt;""),Programme_Grunddaten!S907,"")</f>
        <v/>
      </c>
      <c r="H902" t="str">
        <f>IF(AND(Programme_Grunddaten!$A907="Geprüft",Programme_Grunddaten!AW907&lt;&gt;""),Programme_Grunddaten!AW907,"")</f>
        <v/>
      </c>
      <c r="I902" t="str">
        <f>IF(AND(Programme_Grunddaten!$A907="Geprüft",Programme_Grunddaten!AX907&lt;&gt;""),Programme_Grunddaten!AX907,"")</f>
        <v/>
      </c>
    </row>
    <row r="903" spans="1:9" x14ac:dyDescent="0.3">
      <c r="A903" s="1" t="str">
        <f>IF(AND(Programme_Grunddaten!$A908="Geprüft",Programme_Grunddaten!B908&lt;&gt;""),Programme_Grunddaten!B908,"")</f>
        <v/>
      </c>
      <c r="B903" s="1" t="str">
        <f>IF(AND(Programme_Grunddaten!$A908="Geprüft",Programme_Grunddaten!C908&lt;&gt;""),Programme_Grunddaten!C908,"")</f>
        <v/>
      </c>
      <c r="C903" s="1" t="str">
        <f>IF(AND(Programme_Grunddaten!$A908="Geprüft",Programme_Grunddaten!D908&lt;&gt;""),Programme_Grunddaten!D908,"")</f>
        <v/>
      </c>
      <c r="D903" s="2" t="str">
        <f>IF(AND(Programme_Grunddaten!$A908="Geprüft",Programme_Grunddaten!E908&lt;&gt;""),Programme_Grunddaten!E908,"")</f>
        <v/>
      </c>
      <c r="E903" t="str">
        <f>IF(AND(Programme_Grunddaten!$A908="Geprüft",Programme_Grunddaten!G908&lt;&gt;""),Programme_Grunddaten!G908,"")</f>
        <v/>
      </c>
      <c r="F903" t="str">
        <f>IF(AND(Programme_Grunddaten!$A908="Geprüft",Programme_Grunddaten!F908&lt;&gt;""),Programme_Grunddaten!F908,"")</f>
        <v/>
      </c>
      <c r="G903" s="3" t="str">
        <f>IF(AND(Programme_Grunddaten!$A908="Geprüft",Programme_Grunddaten!S908&lt;&gt;""),Programme_Grunddaten!S908,"")</f>
        <v/>
      </c>
      <c r="H903" t="str">
        <f>IF(AND(Programme_Grunddaten!$A908="Geprüft",Programme_Grunddaten!AW908&lt;&gt;""),Programme_Grunddaten!AW908,"")</f>
        <v/>
      </c>
      <c r="I903" t="str">
        <f>IF(AND(Programme_Grunddaten!$A908="Geprüft",Programme_Grunddaten!AX908&lt;&gt;""),Programme_Grunddaten!AX908,"")</f>
        <v/>
      </c>
    </row>
    <row r="904" spans="1:9" x14ac:dyDescent="0.3">
      <c r="A904" s="1" t="str">
        <f>IF(AND(Programme_Grunddaten!$A909="Geprüft",Programme_Grunddaten!B909&lt;&gt;""),Programme_Grunddaten!B909,"")</f>
        <v/>
      </c>
      <c r="B904" s="1" t="str">
        <f>IF(AND(Programme_Grunddaten!$A909="Geprüft",Programme_Grunddaten!C909&lt;&gt;""),Programme_Grunddaten!C909,"")</f>
        <v/>
      </c>
      <c r="C904" s="1" t="str">
        <f>IF(AND(Programme_Grunddaten!$A909="Geprüft",Programme_Grunddaten!D909&lt;&gt;""),Programme_Grunddaten!D909,"")</f>
        <v/>
      </c>
      <c r="D904" s="2" t="str">
        <f>IF(AND(Programme_Grunddaten!$A909="Geprüft",Programme_Grunddaten!E909&lt;&gt;""),Programme_Grunddaten!E909,"")</f>
        <v/>
      </c>
      <c r="E904" t="str">
        <f>IF(AND(Programme_Grunddaten!$A909="Geprüft",Programme_Grunddaten!G909&lt;&gt;""),Programme_Grunddaten!G909,"")</f>
        <v/>
      </c>
      <c r="F904" t="str">
        <f>IF(AND(Programme_Grunddaten!$A909="Geprüft",Programme_Grunddaten!F909&lt;&gt;""),Programme_Grunddaten!F909,"")</f>
        <v/>
      </c>
      <c r="G904" s="3" t="str">
        <f>IF(AND(Programme_Grunddaten!$A909="Geprüft",Programme_Grunddaten!S909&lt;&gt;""),Programme_Grunddaten!S909,"")</f>
        <v/>
      </c>
      <c r="H904" t="str">
        <f>IF(AND(Programme_Grunddaten!$A909="Geprüft",Programme_Grunddaten!AW909&lt;&gt;""),Programme_Grunddaten!AW909,"")</f>
        <v/>
      </c>
      <c r="I904" t="str">
        <f>IF(AND(Programme_Grunddaten!$A909="Geprüft",Programme_Grunddaten!AX909&lt;&gt;""),Programme_Grunddaten!AX909,"")</f>
        <v/>
      </c>
    </row>
    <row r="905" spans="1:9" x14ac:dyDescent="0.3">
      <c r="A905" s="1" t="str">
        <f>IF(AND(Programme_Grunddaten!$A910="Geprüft",Programme_Grunddaten!B910&lt;&gt;""),Programme_Grunddaten!B910,"")</f>
        <v/>
      </c>
      <c r="B905" s="1" t="str">
        <f>IF(AND(Programme_Grunddaten!$A910="Geprüft",Programme_Grunddaten!C910&lt;&gt;""),Programme_Grunddaten!C910,"")</f>
        <v/>
      </c>
      <c r="C905" s="1" t="str">
        <f>IF(AND(Programme_Grunddaten!$A910="Geprüft",Programme_Grunddaten!D910&lt;&gt;""),Programme_Grunddaten!D910,"")</f>
        <v/>
      </c>
      <c r="D905" s="2" t="str">
        <f>IF(AND(Programme_Grunddaten!$A910="Geprüft",Programme_Grunddaten!E910&lt;&gt;""),Programme_Grunddaten!E910,"")</f>
        <v/>
      </c>
      <c r="E905" t="str">
        <f>IF(AND(Programme_Grunddaten!$A910="Geprüft",Programme_Grunddaten!G910&lt;&gt;""),Programme_Grunddaten!G910,"")</f>
        <v/>
      </c>
      <c r="F905" t="str">
        <f>IF(AND(Programme_Grunddaten!$A910="Geprüft",Programme_Grunddaten!F910&lt;&gt;""),Programme_Grunddaten!F910,"")</f>
        <v/>
      </c>
      <c r="G905" s="3" t="str">
        <f>IF(AND(Programme_Grunddaten!$A910="Geprüft",Programme_Grunddaten!S910&lt;&gt;""),Programme_Grunddaten!S910,"")</f>
        <v/>
      </c>
      <c r="H905" t="str">
        <f>IF(AND(Programme_Grunddaten!$A910="Geprüft",Programme_Grunddaten!AW910&lt;&gt;""),Programme_Grunddaten!AW910,"")</f>
        <v/>
      </c>
      <c r="I905" t="str">
        <f>IF(AND(Programme_Grunddaten!$A910="Geprüft",Programme_Grunddaten!AX910&lt;&gt;""),Programme_Grunddaten!AX910,"")</f>
        <v/>
      </c>
    </row>
    <row r="906" spans="1:9" x14ac:dyDescent="0.3">
      <c r="A906" s="1" t="str">
        <f>IF(AND(Programme_Grunddaten!$A911="Geprüft",Programme_Grunddaten!B911&lt;&gt;""),Programme_Grunddaten!B911,"")</f>
        <v/>
      </c>
      <c r="B906" s="1" t="str">
        <f>IF(AND(Programme_Grunddaten!$A911="Geprüft",Programme_Grunddaten!C911&lt;&gt;""),Programme_Grunddaten!C911,"")</f>
        <v/>
      </c>
      <c r="C906" s="1" t="str">
        <f>IF(AND(Programme_Grunddaten!$A911="Geprüft",Programme_Grunddaten!D911&lt;&gt;""),Programme_Grunddaten!D911,"")</f>
        <v/>
      </c>
      <c r="D906" s="2" t="str">
        <f>IF(AND(Programme_Grunddaten!$A911="Geprüft",Programme_Grunddaten!E911&lt;&gt;""),Programme_Grunddaten!E911,"")</f>
        <v/>
      </c>
      <c r="E906" t="str">
        <f>IF(AND(Programme_Grunddaten!$A911="Geprüft",Programme_Grunddaten!G911&lt;&gt;""),Programme_Grunddaten!G911,"")</f>
        <v/>
      </c>
      <c r="F906" t="str">
        <f>IF(AND(Programme_Grunddaten!$A911="Geprüft",Programme_Grunddaten!F911&lt;&gt;""),Programme_Grunddaten!F911,"")</f>
        <v/>
      </c>
      <c r="G906" s="3" t="str">
        <f>IF(AND(Programme_Grunddaten!$A911="Geprüft",Programme_Grunddaten!S911&lt;&gt;""),Programme_Grunddaten!S911,"")</f>
        <v/>
      </c>
      <c r="H906" t="str">
        <f>IF(AND(Programme_Grunddaten!$A911="Geprüft",Programme_Grunddaten!AW911&lt;&gt;""),Programme_Grunddaten!AW911,"")</f>
        <v/>
      </c>
      <c r="I906" t="str">
        <f>IF(AND(Programme_Grunddaten!$A911="Geprüft",Programme_Grunddaten!AX911&lt;&gt;""),Programme_Grunddaten!AX911,"")</f>
        <v/>
      </c>
    </row>
    <row r="907" spans="1:9" x14ac:dyDescent="0.3">
      <c r="A907" s="1" t="str">
        <f>IF(AND(Programme_Grunddaten!$A912="Geprüft",Programme_Grunddaten!B912&lt;&gt;""),Programme_Grunddaten!B912,"")</f>
        <v/>
      </c>
      <c r="B907" s="1" t="str">
        <f>IF(AND(Programme_Grunddaten!$A912="Geprüft",Programme_Grunddaten!C912&lt;&gt;""),Programme_Grunddaten!C912,"")</f>
        <v/>
      </c>
      <c r="C907" s="1" t="str">
        <f>IF(AND(Programme_Grunddaten!$A912="Geprüft",Programme_Grunddaten!D912&lt;&gt;""),Programme_Grunddaten!D912,"")</f>
        <v/>
      </c>
      <c r="D907" s="2" t="str">
        <f>IF(AND(Programme_Grunddaten!$A912="Geprüft",Programme_Grunddaten!E912&lt;&gt;""),Programme_Grunddaten!E912,"")</f>
        <v/>
      </c>
      <c r="E907" t="str">
        <f>IF(AND(Programme_Grunddaten!$A912="Geprüft",Programme_Grunddaten!G912&lt;&gt;""),Programme_Grunddaten!G912,"")</f>
        <v/>
      </c>
      <c r="F907" t="str">
        <f>IF(AND(Programme_Grunddaten!$A912="Geprüft",Programme_Grunddaten!F912&lt;&gt;""),Programme_Grunddaten!F912,"")</f>
        <v/>
      </c>
      <c r="G907" s="3" t="str">
        <f>IF(AND(Programme_Grunddaten!$A912="Geprüft",Programme_Grunddaten!S912&lt;&gt;""),Programme_Grunddaten!S912,"")</f>
        <v/>
      </c>
      <c r="H907" t="str">
        <f>IF(AND(Programme_Grunddaten!$A912="Geprüft",Programme_Grunddaten!AW912&lt;&gt;""),Programme_Grunddaten!AW912,"")</f>
        <v/>
      </c>
      <c r="I907" t="str">
        <f>IF(AND(Programme_Grunddaten!$A912="Geprüft",Programme_Grunddaten!AX912&lt;&gt;""),Programme_Grunddaten!AX912,"")</f>
        <v/>
      </c>
    </row>
    <row r="908" spans="1:9" x14ac:dyDescent="0.3">
      <c r="A908" s="1" t="str">
        <f>IF(AND(Programme_Grunddaten!$A913="Geprüft",Programme_Grunddaten!B913&lt;&gt;""),Programme_Grunddaten!B913,"")</f>
        <v/>
      </c>
      <c r="B908" s="1" t="str">
        <f>IF(AND(Programme_Grunddaten!$A913="Geprüft",Programme_Grunddaten!C913&lt;&gt;""),Programme_Grunddaten!C913,"")</f>
        <v/>
      </c>
      <c r="C908" s="1" t="str">
        <f>IF(AND(Programme_Grunddaten!$A913="Geprüft",Programme_Grunddaten!D913&lt;&gt;""),Programme_Grunddaten!D913,"")</f>
        <v/>
      </c>
      <c r="D908" s="2" t="str">
        <f>IF(AND(Programme_Grunddaten!$A913="Geprüft",Programme_Grunddaten!E913&lt;&gt;""),Programme_Grunddaten!E913,"")</f>
        <v/>
      </c>
      <c r="E908" t="str">
        <f>IF(AND(Programme_Grunddaten!$A913="Geprüft",Programme_Grunddaten!G913&lt;&gt;""),Programme_Grunddaten!G913,"")</f>
        <v/>
      </c>
      <c r="F908" t="str">
        <f>IF(AND(Programme_Grunddaten!$A913="Geprüft",Programme_Grunddaten!F913&lt;&gt;""),Programme_Grunddaten!F913,"")</f>
        <v/>
      </c>
      <c r="G908" s="3" t="str">
        <f>IF(AND(Programme_Grunddaten!$A913="Geprüft",Programme_Grunddaten!S913&lt;&gt;""),Programme_Grunddaten!S913,"")</f>
        <v/>
      </c>
      <c r="H908" t="str">
        <f>IF(AND(Programme_Grunddaten!$A913="Geprüft",Programme_Grunddaten!AW913&lt;&gt;""),Programme_Grunddaten!AW913,"")</f>
        <v/>
      </c>
      <c r="I908" t="str">
        <f>IF(AND(Programme_Grunddaten!$A913="Geprüft",Programme_Grunddaten!AX913&lt;&gt;""),Programme_Grunddaten!AX913,"")</f>
        <v/>
      </c>
    </row>
    <row r="909" spans="1:9" x14ac:dyDescent="0.3">
      <c r="A909" s="1" t="str">
        <f>IF(AND(Programme_Grunddaten!$A914="Geprüft",Programme_Grunddaten!B914&lt;&gt;""),Programme_Grunddaten!B914,"")</f>
        <v/>
      </c>
      <c r="B909" s="1" t="str">
        <f>IF(AND(Programme_Grunddaten!$A914="Geprüft",Programme_Grunddaten!C914&lt;&gt;""),Programme_Grunddaten!C914,"")</f>
        <v/>
      </c>
      <c r="C909" s="1" t="str">
        <f>IF(AND(Programme_Grunddaten!$A914="Geprüft",Programme_Grunddaten!D914&lt;&gt;""),Programme_Grunddaten!D914,"")</f>
        <v/>
      </c>
      <c r="D909" s="2" t="str">
        <f>IF(AND(Programme_Grunddaten!$A914="Geprüft",Programme_Grunddaten!E914&lt;&gt;""),Programme_Grunddaten!E914,"")</f>
        <v/>
      </c>
      <c r="E909" t="str">
        <f>IF(AND(Programme_Grunddaten!$A914="Geprüft",Programme_Grunddaten!G914&lt;&gt;""),Programme_Grunddaten!G914,"")</f>
        <v/>
      </c>
      <c r="F909" t="str">
        <f>IF(AND(Programme_Grunddaten!$A914="Geprüft",Programme_Grunddaten!F914&lt;&gt;""),Programme_Grunddaten!F914,"")</f>
        <v/>
      </c>
      <c r="G909" s="3" t="str">
        <f>IF(AND(Programme_Grunddaten!$A914="Geprüft",Programme_Grunddaten!S914&lt;&gt;""),Programme_Grunddaten!S914,"")</f>
        <v/>
      </c>
      <c r="H909" t="str">
        <f>IF(AND(Programme_Grunddaten!$A914="Geprüft",Programme_Grunddaten!AW914&lt;&gt;""),Programme_Grunddaten!AW914,"")</f>
        <v/>
      </c>
      <c r="I909" t="str">
        <f>IF(AND(Programme_Grunddaten!$A914="Geprüft",Programme_Grunddaten!AX914&lt;&gt;""),Programme_Grunddaten!AX914,"")</f>
        <v/>
      </c>
    </row>
    <row r="910" spans="1:9" x14ac:dyDescent="0.3">
      <c r="A910" s="1" t="str">
        <f>IF(AND(Programme_Grunddaten!$A915="Geprüft",Programme_Grunddaten!B915&lt;&gt;""),Programme_Grunddaten!B915,"")</f>
        <v/>
      </c>
      <c r="B910" s="1" t="str">
        <f>IF(AND(Programme_Grunddaten!$A915="Geprüft",Programme_Grunddaten!C915&lt;&gt;""),Programme_Grunddaten!C915,"")</f>
        <v/>
      </c>
      <c r="C910" s="1" t="str">
        <f>IF(AND(Programme_Grunddaten!$A915="Geprüft",Programme_Grunddaten!D915&lt;&gt;""),Programme_Grunddaten!D915,"")</f>
        <v/>
      </c>
      <c r="D910" s="2" t="str">
        <f>IF(AND(Programme_Grunddaten!$A915="Geprüft",Programme_Grunddaten!E915&lt;&gt;""),Programme_Grunddaten!E915,"")</f>
        <v/>
      </c>
      <c r="E910" t="str">
        <f>IF(AND(Programme_Grunddaten!$A915="Geprüft",Programme_Grunddaten!G915&lt;&gt;""),Programme_Grunddaten!G915,"")</f>
        <v/>
      </c>
      <c r="F910" t="str">
        <f>IF(AND(Programme_Grunddaten!$A915="Geprüft",Programme_Grunddaten!F915&lt;&gt;""),Programme_Grunddaten!F915,"")</f>
        <v/>
      </c>
      <c r="G910" s="3" t="str">
        <f>IF(AND(Programme_Grunddaten!$A915="Geprüft",Programme_Grunddaten!S915&lt;&gt;""),Programme_Grunddaten!S915,"")</f>
        <v/>
      </c>
      <c r="H910" t="str">
        <f>IF(AND(Programme_Grunddaten!$A915="Geprüft",Programme_Grunddaten!AW915&lt;&gt;""),Programme_Grunddaten!AW915,"")</f>
        <v/>
      </c>
      <c r="I910" t="str">
        <f>IF(AND(Programme_Grunddaten!$A915="Geprüft",Programme_Grunddaten!AX915&lt;&gt;""),Programme_Grunddaten!AX915,"")</f>
        <v/>
      </c>
    </row>
    <row r="911" spans="1:9" x14ac:dyDescent="0.3">
      <c r="A911" s="1" t="str">
        <f>IF(AND(Programme_Grunddaten!$A916="Geprüft",Programme_Grunddaten!B916&lt;&gt;""),Programme_Grunddaten!B916,"")</f>
        <v/>
      </c>
      <c r="B911" s="1" t="str">
        <f>IF(AND(Programme_Grunddaten!$A916="Geprüft",Programme_Grunddaten!C916&lt;&gt;""),Programme_Grunddaten!C916,"")</f>
        <v/>
      </c>
      <c r="C911" s="1" t="str">
        <f>IF(AND(Programme_Grunddaten!$A916="Geprüft",Programme_Grunddaten!D916&lt;&gt;""),Programme_Grunddaten!D916,"")</f>
        <v/>
      </c>
      <c r="D911" s="2" t="str">
        <f>IF(AND(Programme_Grunddaten!$A916="Geprüft",Programme_Grunddaten!E916&lt;&gt;""),Programme_Grunddaten!E916,"")</f>
        <v/>
      </c>
      <c r="E911" t="str">
        <f>IF(AND(Programme_Grunddaten!$A916="Geprüft",Programme_Grunddaten!G916&lt;&gt;""),Programme_Grunddaten!G916,"")</f>
        <v/>
      </c>
      <c r="F911" t="str">
        <f>IF(AND(Programme_Grunddaten!$A916="Geprüft",Programme_Grunddaten!F916&lt;&gt;""),Programme_Grunddaten!F916,"")</f>
        <v/>
      </c>
      <c r="G911" s="3" t="str">
        <f>IF(AND(Programme_Grunddaten!$A916="Geprüft",Programme_Grunddaten!S916&lt;&gt;""),Programme_Grunddaten!S916,"")</f>
        <v/>
      </c>
      <c r="H911" t="str">
        <f>IF(AND(Programme_Grunddaten!$A916="Geprüft",Programme_Grunddaten!AW916&lt;&gt;""),Programme_Grunddaten!AW916,"")</f>
        <v/>
      </c>
      <c r="I911" t="str">
        <f>IF(AND(Programme_Grunddaten!$A916="Geprüft",Programme_Grunddaten!AX916&lt;&gt;""),Programme_Grunddaten!AX916,"")</f>
        <v/>
      </c>
    </row>
    <row r="912" spans="1:9" x14ac:dyDescent="0.3">
      <c r="A912" s="1" t="str">
        <f>IF(AND(Programme_Grunddaten!$A917="Geprüft",Programme_Grunddaten!B917&lt;&gt;""),Programme_Grunddaten!B917,"")</f>
        <v/>
      </c>
      <c r="B912" s="1" t="str">
        <f>IF(AND(Programme_Grunddaten!$A917="Geprüft",Programme_Grunddaten!C917&lt;&gt;""),Programme_Grunddaten!C917,"")</f>
        <v/>
      </c>
      <c r="C912" s="1" t="str">
        <f>IF(AND(Programme_Grunddaten!$A917="Geprüft",Programme_Grunddaten!D917&lt;&gt;""),Programme_Grunddaten!D917,"")</f>
        <v/>
      </c>
      <c r="D912" s="2" t="str">
        <f>IF(AND(Programme_Grunddaten!$A917="Geprüft",Programme_Grunddaten!E917&lt;&gt;""),Programme_Grunddaten!E917,"")</f>
        <v/>
      </c>
      <c r="E912" t="str">
        <f>IF(AND(Programme_Grunddaten!$A917="Geprüft",Programme_Grunddaten!G917&lt;&gt;""),Programme_Grunddaten!G917,"")</f>
        <v/>
      </c>
      <c r="F912" t="str">
        <f>IF(AND(Programme_Grunddaten!$A917="Geprüft",Programme_Grunddaten!F917&lt;&gt;""),Programme_Grunddaten!F917,"")</f>
        <v/>
      </c>
      <c r="G912" s="3" t="str">
        <f>IF(AND(Programme_Grunddaten!$A917="Geprüft",Programme_Grunddaten!S917&lt;&gt;""),Programme_Grunddaten!S917,"")</f>
        <v/>
      </c>
      <c r="H912" t="str">
        <f>IF(AND(Programme_Grunddaten!$A917="Geprüft",Programme_Grunddaten!AW917&lt;&gt;""),Programme_Grunddaten!AW917,"")</f>
        <v/>
      </c>
      <c r="I912" t="str">
        <f>IF(AND(Programme_Grunddaten!$A917="Geprüft",Programme_Grunddaten!AX917&lt;&gt;""),Programme_Grunddaten!AX917,"")</f>
        <v/>
      </c>
    </row>
    <row r="913" spans="1:9" x14ac:dyDescent="0.3">
      <c r="A913" s="1" t="str">
        <f>IF(AND(Programme_Grunddaten!$A918="Geprüft",Programme_Grunddaten!B918&lt;&gt;""),Programme_Grunddaten!B918,"")</f>
        <v/>
      </c>
      <c r="B913" s="1" t="str">
        <f>IF(AND(Programme_Grunddaten!$A918="Geprüft",Programme_Grunddaten!C918&lt;&gt;""),Programme_Grunddaten!C918,"")</f>
        <v/>
      </c>
      <c r="C913" s="1" t="str">
        <f>IF(AND(Programme_Grunddaten!$A918="Geprüft",Programme_Grunddaten!D918&lt;&gt;""),Programme_Grunddaten!D918,"")</f>
        <v/>
      </c>
      <c r="D913" s="2" t="str">
        <f>IF(AND(Programme_Grunddaten!$A918="Geprüft",Programme_Grunddaten!E918&lt;&gt;""),Programme_Grunddaten!E918,"")</f>
        <v/>
      </c>
      <c r="E913" t="str">
        <f>IF(AND(Programme_Grunddaten!$A918="Geprüft",Programme_Grunddaten!G918&lt;&gt;""),Programme_Grunddaten!G918,"")</f>
        <v/>
      </c>
      <c r="F913" t="str">
        <f>IF(AND(Programme_Grunddaten!$A918="Geprüft",Programme_Grunddaten!F918&lt;&gt;""),Programme_Grunddaten!F918,"")</f>
        <v/>
      </c>
      <c r="G913" s="3" t="str">
        <f>IF(AND(Programme_Grunddaten!$A918="Geprüft",Programme_Grunddaten!S918&lt;&gt;""),Programme_Grunddaten!S918,"")</f>
        <v/>
      </c>
      <c r="H913" t="str">
        <f>IF(AND(Programme_Grunddaten!$A918="Geprüft",Programme_Grunddaten!AW918&lt;&gt;""),Programme_Grunddaten!AW918,"")</f>
        <v/>
      </c>
      <c r="I913" t="str">
        <f>IF(AND(Programme_Grunddaten!$A918="Geprüft",Programme_Grunddaten!AX918&lt;&gt;""),Programme_Grunddaten!AX918,"")</f>
        <v/>
      </c>
    </row>
    <row r="914" spans="1:9" x14ac:dyDescent="0.3">
      <c r="A914" s="1" t="str">
        <f>IF(AND(Programme_Grunddaten!$A919="Geprüft",Programme_Grunddaten!B919&lt;&gt;""),Programme_Grunddaten!B919,"")</f>
        <v/>
      </c>
      <c r="B914" s="1" t="str">
        <f>IF(AND(Programme_Grunddaten!$A919="Geprüft",Programme_Grunddaten!C919&lt;&gt;""),Programme_Grunddaten!C919,"")</f>
        <v/>
      </c>
      <c r="C914" s="1" t="str">
        <f>IF(AND(Programme_Grunddaten!$A919="Geprüft",Programme_Grunddaten!D919&lt;&gt;""),Programme_Grunddaten!D919,"")</f>
        <v/>
      </c>
      <c r="D914" s="2" t="str">
        <f>IF(AND(Programme_Grunddaten!$A919="Geprüft",Programme_Grunddaten!E919&lt;&gt;""),Programme_Grunddaten!E919,"")</f>
        <v/>
      </c>
      <c r="E914" t="str">
        <f>IF(AND(Programme_Grunddaten!$A919="Geprüft",Programme_Grunddaten!G919&lt;&gt;""),Programme_Grunddaten!G919,"")</f>
        <v/>
      </c>
      <c r="F914" t="str">
        <f>IF(AND(Programme_Grunddaten!$A919="Geprüft",Programme_Grunddaten!F919&lt;&gt;""),Programme_Grunddaten!F919,"")</f>
        <v/>
      </c>
      <c r="G914" s="3" t="str">
        <f>IF(AND(Programme_Grunddaten!$A919="Geprüft",Programme_Grunddaten!S919&lt;&gt;""),Programme_Grunddaten!S919,"")</f>
        <v/>
      </c>
      <c r="H914" t="str">
        <f>IF(AND(Programme_Grunddaten!$A919="Geprüft",Programme_Grunddaten!AW919&lt;&gt;""),Programme_Grunddaten!AW919,"")</f>
        <v/>
      </c>
      <c r="I914" t="str">
        <f>IF(AND(Programme_Grunddaten!$A919="Geprüft",Programme_Grunddaten!AX919&lt;&gt;""),Programme_Grunddaten!AX919,"")</f>
        <v/>
      </c>
    </row>
    <row r="915" spans="1:9" x14ac:dyDescent="0.3">
      <c r="A915" s="1" t="str">
        <f>IF(AND(Programme_Grunddaten!$A920="Geprüft",Programme_Grunddaten!B920&lt;&gt;""),Programme_Grunddaten!B920,"")</f>
        <v/>
      </c>
      <c r="B915" s="1" t="str">
        <f>IF(AND(Programme_Grunddaten!$A920="Geprüft",Programme_Grunddaten!C920&lt;&gt;""),Programme_Grunddaten!C920,"")</f>
        <v/>
      </c>
      <c r="C915" s="1" t="str">
        <f>IF(AND(Programme_Grunddaten!$A920="Geprüft",Programme_Grunddaten!D920&lt;&gt;""),Programme_Grunddaten!D920,"")</f>
        <v/>
      </c>
      <c r="D915" s="2" t="str">
        <f>IF(AND(Programme_Grunddaten!$A920="Geprüft",Programme_Grunddaten!E920&lt;&gt;""),Programme_Grunddaten!E920,"")</f>
        <v/>
      </c>
      <c r="E915" t="str">
        <f>IF(AND(Programme_Grunddaten!$A920="Geprüft",Programme_Grunddaten!G920&lt;&gt;""),Programme_Grunddaten!G920,"")</f>
        <v/>
      </c>
      <c r="F915" t="str">
        <f>IF(AND(Programme_Grunddaten!$A920="Geprüft",Programme_Grunddaten!F920&lt;&gt;""),Programme_Grunddaten!F920,"")</f>
        <v/>
      </c>
      <c r="G915" s="3" t="str">
        <f>IF(AND(Programme_Grunddaten!$A920="Geprüft",Programme_Grunddaten!S920&lt;&gt;""),Programme_Grunddaten!S920,"")</f>
        <v/>
      </c>
      <c r="H915" t="str">
        <f>IF(AND(Programme_Grunddaten!$A920="Geprüft",Programme_Grunddaten!AW920&lt;&gt;""),Programme_Grunddaten!AW920,"")</f>
        <v/>
      </c>
      <c r="I915" t="str">
        <f>IF(AND(Programme_Grunddaten!$A920="Geprüft",Programme_Grunddaten!AX920&lt;&gt;""),Programme_Grunddaten!AX920,"")</f>
        <v/>
      </c>
    </row>
    <row r="916" spans="1:9" x14ac:dyDescent="0.3">
      <c r="A916" s="1" t="str">
        <f>IF(AND(Programme_Grunddaten!$A921="Geprüft",Programme_Grunddaten!B921&lt;&gt;""),Programme_Grunddaten!B921,"")</f>
        <v/>
      </c>
      <c r="B916" s="1" t="str">
        <f>IF(AND(Programme_Grunddaten!$A921="Geprüft",Programme_Grunddaten!C921&lt;&gt;""),Programme_Grunddaten!C921,"")</f>
        <v/>
      </c>
      <c r="C916" s="1" t="str">
        <f>IF(AND(Programme_Grunddaten!$A921="Geprüft",Programme_Grunddaten!D921&lt;&gt;""),Programme_Grunddaten!D921,"")</f>
        <v/>
      </c>
      <c r="D916" s="2" t="str">
        <f>IF(AND(Programme_Grunddaten!$A921="Geprüft",Programme_Grunddaten!E921&lt;&gt;""),Programme_Grunddaten!E921,"")</f>
        <v/>
      </c>
      <c r="E916" t="str">
        <f>IF(AND(Programme_Grunddaten!$A921="Geprüft",Programme_Grunddaten!G921&lt;&gt;""),Programme_Grunddaten!G921,"")</f>
        <v/>
      </c>
      <c r="F916" t="str">
        <f>IF(AND(Programme_Grunddaten!$A921="Geprüft",Programme_Grunddaten!F921&lt;&gt;""),Programme_Grunddaten!F921,"")</f>
        <v/>
      </c>
      <c r="G916" s="3" t="str">
        <f>IF(AND(Programme_Grunddaten!$A921="Geprüft",Programme_Grunddaten!S921&lt;&gt;""),Programme_Grunddaten!S921,"")</f>
        <v/>
      </c>
      <c r="H916" t="str">
        <f>IF(AND(Programme_Grunddaten!$A921="Geprüft",Programme_Grunddaten!AW921&lt;&gt;""),Programme_Grunddaten!AW921,"")</f>
        <v/>
      </c>
      <c r="I916" t="str">
        <f>IF(AND(Programme_Grunddaten!$A921="Geprüft",Programme_Grunddaten!AX921&lt;&gt;""),Programme_Grunddaten!AX921,"")</f>
        <v/>
      </c>
    </row>
    <row r="917" spans="1:9" x14ac:dyDescent="0.3">
      <c r="A917" s="1" t="str">
        <f>IF(AND(Programme_Grunddaten!$A922="Geprüft",Programme_Grunddaten!B922&lt;&gt;""),Programme_Grunddaten!B922,"")</f>
        <v/>
      </c>
      <c r="B917" s="1" t="str">
        <f>IF(AND(Programme_Grunddaten!$A922="Geprüft",Programme_Grunddaten!C922&lt;&gt;""),Programme_Grunddaten!C922,"")</f>
        <v/>
      </c>
      <c r="C917" s="1" t="str">
        <f>IF(AND(Programme_Grunddaten!$A922="Geprüft",Programme_Grunddaten!D922&lt;&gt;""),Programme_Grunddaten!D922,"")</f>
        <v/>
      </c>
      <c r="D917" s="2" t="str">
        <f>IF(AND(Programme_Grunddaten!$A922="Geprüft",Programme_Grunddaten!E922&lt;&gt;""),Programme_Grunddaten!E922,"")</f>
        <v/>
      </c>
      <c r="E917" t="str">
        <f>IF(AND(Programme_Grunddaten!$A922="Geprüft",Programme_Grunddaten!G922&lt;&gt;""),Programme_Grunddaten!G922,"")</f>
        <v/>
      </c>
      <c r="F917" t="str">
        <f>IF(AND(Programme_Grunddaten!$A922="Geprüft",Programme_Grunddaten!F922&lt;&gt;""),Programme_Grunddaten!F922,"")</f>
        <v/>
      </c>
      <c r="G917" s="3" t="str">
        <f>IF(AND(Programme_Grunddaten!$A922="Geprüft",Programme_Grunddaten!S922&lt;&gt;""),Programme_Grunddaten!S922,"")</f>
        <v/>
      </c>
      <c r="H917" t="str">
        <f>IF(AND(Programme_Grunddaten!$A922="Geprüft",Programme_Grunddaten!AW922&lt;&gt;""),Programme_Grunddaten!AW922,"")</f>
        <v/>
      </c>
      <c r="I917" t="str">
        <f>IF(AND(Programme_Grunddaten!$A922="Geprüft",Programme_Grunddaten!AX922&lt;&gt;""),Programme_Grunddaten!AX922,"")</f>
        <v/>
      </c>
    </row>
    <row r="918" spans="1:9" x14ac:dyDescent="0.3">
      <c r="A918" s="1" t="str">
        <f>IF(AND(Programme_Grunddaten!$A923="Geprüft",Programme_Grunddaten!B923&lt;&gt;""),Programme_Grunddaten!B923,"")</f>
        <v/>
      </c>
      <c r="B918" s="1" t="str">
        <f>IF(AND(Programme_Grunddaten!$A923="Geprüft",Programme_Grunddaten!C923&lt;&gt;""),Programme_Grunddaten!C923,"")</f>
        <v/>
      </c>
      <c r="C918" s="1" t="str">
        <f>IF(AND(Programme_Grunddaten!$A923="Geprüft",Programme_Grunddaten!D923&lt;&gt;""),Programme_Grunddaten!D923,"")</f>
        <v/>
      </c>
      <c r="D918" s="2" t="str">
        <f>IF(AND(Programme_Grunddaten!$A923="Geprüft",Programme_Grunddaten!E923&lt;&gt;""),Programme_Grunddaten!E923,"")</f>
        <v/>
      </c>
      <c r="E918" t="str">
        <f>IF(AND(Programme_Grunddaten!$A923="Geprüft",Programme_Grunddaten!G923&lt;&gt;""),Programme_Grunddaten!G923,"")</f>
        <v/>
      </c>
      <c r="F918" t="str">
        <f>IF(AND(Programme_Grunddaten!$A923="Geprüft",Programme_Grunddaten!F923&lt;&gt;""),Programme_Grunddaten!F923,"")</f>
        <v/>
      </c>
      <c r="G918" s="3" t="str">
        <f>IF(AND(Programme_Grunddaten!$A923="Geprüft",Programme_Grunddaten!S923&lt;&gt;""),Programme_Grunddaten!S923,"")</f>
        <v/>
      </c>
      <c r="H918" t="str">
        <f>IF(AND(Programme_Grunddaten!$A923="Geprüft",Programme_Grunddaten!AW923&lt;&gt;""),Programme_Grunddaten!AW923,"")</f>
        <v/>
      </c>
      <c r="I918" t="str">
        <f>IF(AND(Programme_Grunddaten!$A923="Geprüft",Programme_Grunddaten!AX923&lt;&gt;""),Programme_Grunddaten!AX923,"")</f>
        <v/>
      </c>
    </row>
    <row r="919" spans="1:9" x14ac:dyDescent="0.3">
      <c r="A919" s="1" t="str">
        <f>IF(AND(Programme_Grunddaten!$A924="Geprüft",Programme_Grunddaten!B924&lt;&gt;""),Programme_Grunddaten!B924,"")</f>
        <v/>
      </c>
      <c r="B919" s="1" t="str">
        <f>IF(AND(Programme_Grunddaten!$A924="Geprüft",Programme_Grunddaten!C924&lt;&gt;""),Programme_Grunddaten!C924,"")</f>
        <v/>
      </c>
      <c r="C919" s="1" t="str">
        <f>IF(AND(Programme_Grunddaten!$A924="Geprüft",Programme_Grunddaten!D924&lt;&gt;""),Programme_Grunddaten!D924,"")</f>
        <v/>
      </c>
      <c r="D919" s="2" t="str">
        <f>IF(AND(Programme_Grunddaten!$A924="Geprüft",Programme_Grunddaten!E924&lt;&gt;""),Programme_Grunddaten!E924,"")</f>
        <v/>
      </c>
      <c r="E919" t="str">
        <f>IF(AND(Programme_Grunddaten!$A924="Geprüft",Programme_Grunddaten!G924&lt;&gt;""),Programme_Grunddaten!G924,"")</f>
        <v/>
      </c>
      <c r="F919" t="str">
        <f>IF(AND(Programme_Grunddaten!$A924="Geprüft",Programme_Grunddaten!F924&lt;&gt;""),Programme_Grunddaten!F924,"")</f>
        <v/>
      </c>
      <c r="G919" s="3" t="str">
        <f>IF(AND(Programme_Grunddaten!$A924="Geprüft",Programme_Grunddaten!S924&lt;&gt;""),Programme_Grunddaten!S924,"")</f>
        <v/>
      </c>
      <c r="H919" t="str">
        <f>IF(AND(Programme_Grunddaten!$A924="Geprüft",Programme_Grunddaten!AW924&lt;&gt;""),Programme_Grunddaten!AW924,"")</f>
        <v/>
      </c>
      <c r="I919" t="str">
        <f>IF(AND(Programme_Grunddaten!$A924="Geprüft",Programme_Grunddaten!AX924&lt;&gt;""),Programme_Grunddaten!AX924,"")</f>
        <v/>
      </c>
    </row>
    <row r="920" spans="1:9" x14ac:dyDescent="0.3">
      <c r="A920" s="1" t="str">
        <f>IF(AND(Programme_Grunddaten!$A925="Geprüft",Programme_Grunddaten!B925&lt;&gt;""),Programme_Grunddaten!B925,"")</f>
        <v/>
      </c>
      <c r="B920" s="1" t="str">
        <f>IF(AND(Programme_Grunddaten!$A925="Geprüft",Programme_Grunddaten!C925&lt;&gt;""),Programme_Grunddaten!C925,"")</f>
        <v/>
      </c>
      <c r="C920" s="1" t="str">
        <f>IF(AND(Programme_Grunddaten!$A925="Geprüft",Programme_Grunddaten!D925&lt;&gt;""),Programme_Grunddaten!D925,"")</f>
        <v/>
      </c>
      <c r="D920" s="2" t="str">
        <f>IF(AND(Programme_Grunddaten!$A925="Geprüft",Programme_Grunddaten!E925&lt;&gt;""),Programme_Grunddaten!E925,"")</f>
        <v/>
      </c>
      <c r="E920" t="str">
        <f>IF(AND(Programme_Grunddaten!$A925="Geprüft",Programme_Grunddaten!G925&lt;&gt;""),Programme_Grunddaten!G925,"")</f>
        <v/>
      </c>
      <c r="F920" t="str">
        <f>IF(AND(Programme_Grunddaten!$A925="Geprüft",Programme_Grunddaten!F925&lt;&gt;""),Programme_Grunddaten!F925,"")</f>
        <v/>
      </c>
      <c r="G920" s="3" t="str">
        <f>IF(AND(Programme_Grunddaten!$A925="Geprüft",Programme_Grunddaten!S925&lt;&gt;""),Programme_Grunddaten!S925,"")</f>
        <v/>
      </c>
      <c r="H920" t="str">
        <f>IF(AND(Programme_Grunddaten!$A925="Geprüft",Programme_Grunddaten!AW925&lt;&gt;""),Programme_Grunddaten!AW925,"")</f>
        <v/>
      </c>
      <c r="I920" t="str">
        <f>IF(AND(Programme_Grunddaten!$A925="Geprüft",Programme_Grunddaten!AX925&lt;&gt;""),Programme_Grunddaten!AX925,"")</f>
        <v/>
      </c>
    </row>
    <row r="921" spans="1:9" x14ac:dyDescent="0.3">
      <c r="A921" s="1" t="str">
        <f>IF(AND(Programme_Grunddaten!$A926="Geprüft",Programme_Grunddaten!B926&lt;&gt;""),Programme_Grunddaten!B926,"")</f>
        <v/>
      </c>
      <c r="B921" s="1" t="str">
        <f>IF(AND(Programme_Grunddaten!$A926="Geprüft",Programme_Grunddaten!C926&lt;&gt;""),Programme_Grunddaten!C926,"")</f>
        <v/>
      </c>
      <c r="C921" s="1" t="str">
        <f>IF(AND(Programme_Grunddaten!$A926="Geprüft",Programme_Grunddaten!D926&lt;&gt;""),Programme_Grunddaten!D926,"")</f>
        <v/>
      </c>
      <c r="D921" s="2" t="str">
        <f>IF(AND(Programme_Grunddaten!$A926="Geprüft",Programme_Grunddaten!E926&lt;&gt;""),Programme_Grunddaten!E926,"")</f>
        <v/>
      </c>
      <c r="E921" t="str">
        <f>IF(AND(Programme_Grunddaten!$A926="Geprüft",Programme_Grunddaten!G926&lt;&gt;""),Programme_Grunddaten!G926,"")</f>
        <v/>
      </c>
      <c r="F921" t="str">
        <f>IF(AND(Programme_Grunddaten!$A926="Geprüft",Programme_Grunddaten!F926&lt;&gt;""),Programme_Grunddaten!F926,"")</f>
        <v/>
      </c>
      <c r="G921" s="3" t="str">
        <f>IF(AND(Programme_Grunddaten!$A926="Geprüft",Programme_Grunddaten!S926&lt;&gt;""),Programme_Grunddaten!S926,"")</f>
        <v/>
      </c>
      <c r="H921" t="str">
        <f>IF(AND(Programme_Grunddaten!$A926="Geprüft",Programme_Grunddaten!AW926&lt;&gt;""),Programme_Grunddaten!AW926,"")</f>
        <v/>
      </c>
      <c r="I921" t="str">
        <f>IF(AND(Programme_Grunddaten!$A926="Geprüft",Programme_Grunddaten!AX926&lt;&gt;""),Programme_Grunddaten!AX926,"")</f>
        <v/>
      </c>
    </row>
    <row r="922" spans="1:9" x14ac:dyDescent="0.3">
      <c r="A922" s="1" t="str">
        <f>IF(AND(Programme_Grunddaten!$A927="Geprüft",Programme_Grunddaten!B927&lt;&gt;""),Programme_Grunddaten!B927,"")</f>
        <v/>
      </c>
      <c r="B922" s="1" t="str">
        <f>IF(AND(Programme_Grunddaten!$A927="Geprüft",Programme_Grunddaten!C927&lt;&gt;""),Programme_Grunddaten!C927,"")</f>
        <v/>
      </c>
      <c r="C922" s="1" t="str">
        <f>IF(AND(Programme_Grunddaten!$A927="Geprüft",Programme_Grunddaten!D927&lt;&gt;""),Programme_Grunddaten!D927,"")</f>
        <v/>
      </c>
      <c r="D922" s="2" t="str">
        <f>IF(AND(Programme_Grunddaten!$A927="Geprüft",Programme_Grunddaten!E927&lt;&gt;""),Programme_Grunddaten!E927,"")</f>
        <v/>
      </c>
      <c r="E922" t="str">
        <f>IF(AND(Programme_Grunddaten!$A927="Geprüft",Programme_Grunddaten!G927&lt;&gt;""),Programme_Grunddaten!G927,"")</f>
        <v/>
      </c>
      <c r="F922" t="str">
        <f>IF(AND(Programme_Grunddaten!$A927="Geprüft",Programme_Grunddaten!F927&lt;&gt;""),Programme_Grunddaten!F927,"")</f>
        <v/>
      </c>
      <c r="G922" s="3" t="str">
        <f>IF(AND(Programme_Grunddaten!$A927="Geprüft",Programme_Grunddaten!S927&lt;&gt;""),Programme_Grunddaten!S927,"")</f>
        <v/>
      </c>
      <c r="H922" t="str">
        <f>IF(AND(Programme_Grunddaten!$A927="Geprüft",Programme_Grunddaten!AW927&lt;&gt;""),Programme_Grunddaten!AW927,"")</f>
        <v/>
      </c>
      <c r="I922" t="str">
        <f>IF(AND(Programme_Grunddaten!$A927="Geprüft",Programme_Grunddaten!AX927&lt;&gt;""),Programme_Grunddaten!AX927,"")</f>
        <v/>
      </c>
    </row>
    <row r="923" spans="1:9" x14ac:dyDescent="0.3">
      <c r="A923" s="1" t="str">
        <f>IF(AND(Programme_Grunddaten!$A928="Geprüft",Programme_Grunddaten!B928&lt;&gt;""),Programme_Grunddaten!B928,"")</f>
        <v/>
      </c>
      <c r="B923" s="1" t="str">
        <f>IF(AND(Programme_Grunddaten!$A928="Geprüft",Programme_Grunddaten!C928&lt;&gt;""),Programme_Grunddaten!C928,"")</f>
        <v/>
      </c>
      <c r="C923" s="1" t="str">
        <f>IF(AND(Programme_Grunddaten!$A928="Geprüft",Programme_Grunddaten!D928&lt;&gt;""),Programme_Grunddaten!D928,"")</f>
        <v/>
      </c>
      <c r="D923" s="2" t="str">
        <f>IF(AND(Programme_Grunddaten!$A928="Geprüft",Programme_Grunddaten!E928&lt;&gt;""),Programme_Grunddaten!E928,"")</f>
        <v/>
      </c>
      <c r="E923" t="str">
        <f>IF(AND(Programme_Grunddaten!$A928="Geprüft",Programme_Grunddaten!G928&lt;&gt;""),Programme_Grunddaten!G928,"")</f>
        <v/>
      </c>
      <c r="F923" t="str">
        <f>IF(AND(Programme_Grunddaten!$A928="Geprüft",Programme_Grunddaten!F928&lt;&gt;""),Programme_Grunddaten!F928,"")</f>
        <v/>
      </c>
      <c r="G923" s="3" t="str">
        <f>IF(AND(Programme_Grunddaten!$A928="Geprüft",Programme_Grunddaten!S928&lt;&gt;""),Programme_Grunddaten!S928,"")</f>
        <v/>
      </c>
      <c r="H923" t="str">
        <f>IF(AND(Programme_Grunddaten!$A928="Geprüft",Programme_Grunddaten!AW928&lt;&gt;""),Programme_Grunddaten!AW928,"")</f>
        <v/>
      </c>
      <c r="I923" t="str">
        <f>IF(AND(Programme_Grunddaten!$A928="Geprüft",Programme_Grunddaten!AX928&lt;&gt;""),Programme_Grunddaten!AX928,"")</f>
        <v/>
      </c>
    </row>
    <row r="924" spans="1:9" x14ac:dyDescent="0.3">
      <c r="A924" s="1" t="str">
        <f>IF(AND(Programme_Grunddaten!$A929="Geprüft",Programme_Grunddaten!B929&lt;&gt;""),Programme_Grunddaten!B929,"")</f>
        <v/>
      </c>
      <c r="B924" s="1" t="str">
        <f>IF(AND(Programme_Grunddaten!$A929="Geprüft",Programme_Grunddaten!C929&lt;&gt;""),Programme_Grunddaten!C929,"")</f>
        <v/>
      </c>
      <c r="C924" s="1" t="str">
        <f>IF(AND(Programme_Grunddaten!$A929="Geprüft",Programme_Grunddaten!D929&lt;&gt;""),Programme_Grunddaten!D929,"")</f>
        <v/>
      </c>
      <c r="D924" s="2" t="str">
        <f>IF(AND(Programme_Grunddaten!$A929="Geprüft",Programme_Grunddaten!E929&lt;&gt;""),Programme_Grunddaten!E929,"")</f>
        <v/>
      </c>
      <c r="E924" t="str">
        <f>IF(AND(Programme_Grunddaten!$A929="Geprüft",Programme_Grunddaten!G929&lt;&gt;""),Programme_Grunddaten!G929,"")</f>
        <v/>
      </c>
      <c r="F924" t="str">
        <f>IF(AND(Programme_Grunddaten!$A929="Geprüft",Programme_Grunddaten!F929&lt;&gt;""),Programme_Grunddaten!F929,"")</f>
        <v/>
      </c>
      <c r="G924" s="3" t="str">
        <f>IF(AND(Programme_Grunddaten!$A929="Geprüft",Programme_Grunddaten!S929&lt;&gt;""),Programme_Grunddaten!S929,"")</f>
        <v/>
      </c>
      <c r="H924" t="str">
        <f>IF(AND(Programme_Grunddaten!$A929="Geprüft",Programme_Grunddaten!AW929&lt;&gt;""),Programme_Grunddaten!AW929,"")</f>
        <v/>
      </c>
      <c r="I924" t="str">
        <f>IF(AND(Programme_Grunddaten!$A929="Geprüft",Programme_Grunddaten!AX929&lt;&gt;""),Programme_Grunddaten!AX929,"")</f>
        <v/>
      </c>
    </row>
    <row r="925" spans="1:9" x14ac:dyDescent="0.3">
      <c r="A925" s="1" t="str">
        <f>IF(AND(Programme_Grunddaten!$A930="Geprüft",Programme_Grunddaten!B930&lt;&gt;""),Programme_Grunddaten!B930,"")</f>
        <v/>
      </c>
      <c r="B925" s="1" t="str">
        <f>IF(AND(Programme_Grunddaten!$A930="Geprüft",Programme_Grunddaten!C930&lt;&gt;""),Programme_Grunddaten!C930,"")</f>
        <v/>
      </c>
      <c r="C925" s="1" t="str">
        <f>IF(AND(Programme_Grunddaten!$A930="Geprüft",Programme_Grunddaten!D930&lt;&gt;""),Programme_Grunddaten!D930,"")</f>
        <v/>
      </c>
      <c r="D925" s="2" t="str">
        <f>IF(AND(Programme_Grunddaten!$A930="Geprüft",Programme_Grunddaten!E930&lt;&gt;""),Programme_Grunddaten!E930,"")</f>
        <v/>
      </c>
      <c r="E925" t="str">
        <f>IF(AND(Programme_Grunddaten!$A930="Geprüft",Programme_Grunddaten!G930&lt;&gt;""),Programme_Grunddaten!G930,"")</f>
        <v/>
      </c>
      <c r="F925" t="str">
        <f>IF(AND(Programme_Grunddaten!$A930="Geprüft",Programme_Grunddaten!F930&lt;&gt;""),Programme_Grunddaten!F930,"")</f>
        <v/>
      </c>
      <c r="G925" s="3" t="str">
        <f>IF(AND(Programme_Grunddaten!$A930="Geprüft",Programme_Grunddaten!S930&lt;&gt;""),Programme_Grunddaten!S930,"")</f>
        <v/>
      </c>
      <c r="H925" t="str">
        <f>IF(AND(Programme_Grunddaten!$A930="Geprüft",Programme_Grunddaten!AW930&lt;&gt;""),Programme_Grunddaten!AW930,"")</f>
        <v/>
      </c>
      <c r="I925" t="str">
        <f>IF(AND(Programme_Grunddaten!$A930="Geprüft",Programme_Grunddaten!AX930&lt;&gt;""),Programme_Grunddaten!AX930,"")</f>
        <v/>
      </c>
    </row>
    <row r="926" spans="1:9" x14ac:dyDescent="0.3">
      <c r="A926" s="1" t="str">
        <f>IF(AND(Programme_Grunddaten!$A931="Geprüft",Programme_Grunddaten!B931&lt;&gt;""),Programme_Grunddaten!B931,"")</f>
        <v/>
      </c>
      <c r="B926" s="1" t="str">
        <f>IF(AND(Programme_Grunddaten!$A931="Geprüft",Programme_Grunddaten!C931&lt;&gt;""),Programme_Grunddaten!C931,"")</f>
        <v/>
      </c>
      <c r="C926" s="1" t="str">
        <f>IF(AND(Programme_Grunddaten!$A931="Geprüft",Programme_Grunddaten!D931&lt;&gt;""),Programme_Grunddaten!D931,"")</f>
        <v/>
      </c>
      <c r="D926" s="2" t="str">
        <f>IF(AND(Programme_Grunddaten!$A931="Geprüft",Programme_Grunddaten!E931&lt;&gt;""),Programme_Grunddaten!E931,"")</f>
        <v/>
      </c>
      <c r="E926" t="str">
        <f>IF(AND(Programme_Grunddaten!$A931="Geprüft",Programme_Grunddaten!G931&lt;&gt;""),Programme_Grunddaten!G931,"")</f>
        <v/>
      </c>
      <c r="F926" t="str">
        <f>IF(AND(Programme_Grunddaten!$A931="Geprüft",Programme_Grunddaten!F931&lt;&gt;""),Programme_Grunddaten!F931,"")</f>
        <v/>
      </c>
      <c r="G926" s="3" t="str">
        <f>IF(AND(Programme_Grunddaten!$A931="Geprüft",Programme_Grunddaten!S931&lt;&gt;""),Programme_Grunddaten!S931,"")</f>
        <v/>
      </c>
      <c r="H926" t="str">
        <f>IF(AND(Programme_Grunddaten!$A931="Geprüft",Programme_Grunddaten!AW931&lt;&gt;""),Programme_Grunddaten!AW931,"")</f>
        <v/>
      </c>
      <c r="I926" t="str">
        <f>IF(AND(Programme_Grunddaten!$A931="Geprüft",Programme_Grunddaten!AX931&lt;&gt;""),Programme_Grunddaten!AX931,"")</f>
        <v/>
      </c>
    </row>
    <row r="927" spans="1:9" x14ac:dyDescent="0.3">
      <c r="A927" s="1" t="str">
        <f>IF(AND(Programme_Grunddaten!$A932="Geprüft",Programme_Grunddaten!B932&lt;&gt;""),Programme_Grunddaten!B932,"")</f>
        <v/>
      </c>
      <c r="B927" s="1" t="str">
        <f>IF(AND(Programme_Grunddaten!$A932="Geprüft",Programme_Grunddaten!C932&lt;&gt;""),Programme_Grunddaten!C932,"")</f>
        <v/>
      </c>
      <c r="C927" s="1" t="str">
        <f>IF(AND(Programme_Grunddaten!$A932="Geprüft",Programme_Grunddaten!D932&lt;&gt;""),Programme_Grunddaten!D932,"")</f>
        <v/>
      </c>
      <c r="D927" s="2" t="str">
        <f>IF(AND(Programme_Grunddaten!$A932="Geprüft",Programme_Grunddaten!E932&lt;&gt;""),Programme_Grunddaten!E932,"")</f>
        <v/>
      </c>
      <c r="E927" t="str">
        <f>IF(AND(Programme_Grunddaten!$A932="Geprüft",Programme_Grunddaten!G932&lt;&gt;""),Programme_Grunddaten!G932,"")</f>
        <v/>
      </c>
      <c r="F927" t="str">
        <f>IF(AND(Programme_Grunddaten!$A932="Geprüft",Programme_Grunddaten!F932&lt;&gt;""),Programme_Grunddaten!F932,"")</f>
        <v/>
      </c>
      <c r="G927" s="3" t="str">
        <f>IF(AND(Programme_Grunddaten!$A932="Geprüft",Programme_Grunddaten!S932&lt;&gt;""),Programme_Grunddaten!S932,"")</f>
        <v/>
      </c>
      <c r="H927" t="str">
        <f>IF(AND(Programme_Grunddaten!$A932="Geprüft",Programme_Grunddaten!AW932&lt;&gt;""),Programme_Grunddaten!AW932,"")</f>
        <v/>
      </c>
      <c r="I927" t="str">
        <f>IF(AND(Programme_Grunddaten!$A932="Geprüft",Programme_Grunddaten!AX932&lt;&gt;""),Programme_Grunddaten!AX932,"")</f>
        <v/>
      </c>
    </row>
    <row r="928" spans="1:9" x14ac:dyDescent="0.3">
      <c r="A928" s="1" t="str">
        <f>IF(AND(Programme_Grunddaten!$A933="Geprüft",Programme_Grunddaten!B933&lt;&gt;""),Programme_Grunddaten!B933,"")</f>
        <v/>
      </c>
      <c r="B928" s="1" t="str">
        <f>IF(AND(Programme_Grunddaten!$A933="Geprüft",Programme_Grunddaten!C933&lt;&gt;""),Programme_Grunddaten!C933,"")</f>
        <v/>
      </c>
      <c r="C928" s="1" t="str">
        <f>IF(AND(Programme_Grunddaten!$A933="Geprüft",Programme_Grunddaten!D933&lt;&gt;""),Programme_Grunddaten!D933,"")</f>
        <v/>
      </c>
      <c r="D928" s="2" t="str">
        <f>IF(AND(Programme_Grunddaten!$A933="Geprüft",Programme_Grunddaten!E933&lt;&gt;""),Programme_Grunddaten!E933,"")</f>
        <v/>
      </c>
      <c r="E928" t="str">
        <f>IF(AND(Programme_Grunddaten!$A933="Geprüft",Programme_Grunddaten!G933&lt;&gt;""),Programme_Grunddaten!G933,"")</f>
        <v/>
      </c>
      <c r="F928" t="str">
        <f>IF(AND(Programme_Grunddaten!$A933="Geprüft",Programme_Grunddaten!F933&lt;&gt;""),Programme_Grunddaten!F933,"")</f>
        <v/>
      </c>
      <c r="G928" s="3" t="str">
        <f>IF(AND(Programme_Grunddaten!$A933="Geprüft",Programme_Grunddaten!S933&lt;&gt;""),Programme_Grunddaten!S933,"")</f>
        <v/>
      </c>
      <c r="H928" t="str">
        <f>IF(AND(Programme_Grunddaten!$A933="Geprüft",Programme_Grunddaten!AW933&lt;&gt;""),Programme_Grunddaten!AW933,"")</f>
        <v/>
      </c>
      <c r="I928" t="str">
        <f>IF(AND(Programme_Grunddaten!$A933="Geprüft",Programme_Grunddaten!AX933&lt;&gt;""),Programme_Grunddaten!AX933,"")</f>
        <v/>
      </c>
    </row>
    <row r="929" spans="1:9" x14ac:dyDescent="0.3">
      <c r="A929" s="1" t="str">
        <f>IF(AND(Programme_Grunddaten!$A934="Geprüft",Programme_Grunddaten!B934&lt;&gt;""),Programme_Grunddaten!B934,"")</f>
        <v/>
      </c>
      <c r="B929" s="1" t="str">
        <f>IF(AND(Programme_Grunddaten!$A934="Geprüft",Programme_Grunddaten!C934&lt;&gt;""),Programme_Grunddaten!C934,"")</f>
        <v/>
      </c>
      <c r="C929" s="1" t="str">
        <f>IF(AND(Programme_Grunddaten!$A934="Geprüft",Programme_Grunddaten!D934&lt;&gt;""),Programme_Grunddaten!D934,"")</f>
        <v/>
      </c>
      <c r="D929" s="2" t="str">
        <f>IF(AND(Programme_Grunddaten!$A934="Geprüft",Programme_Grunddaten!E934&lt;&gt;""),Programme_Grunddaten!E934,"")</f>
        <v/>
      </c>
      <c r="E929" t="str">
        <f>IF(AND(Programme_Grunddaten!$A934="Geprüft",Programme_Grunddaten!G934&lt;&gt;""),Programme_Grunddaten!G934,"")</f>
        <v/>
      </c>
      <c r="F929" t="str">
        <f>IF(AND(Programme_Grunddaten!$A934="Geprüft",Programme_Grunddaten!F934&lt;&gt;""),Programme_Grunddaten!F934,"")</f>
        <v/>
      </c>
      <c r="G929" s="3" t="str">
        <f>IF(AND(Programme_Grunddaten!$A934="Geprüft",Programme_Grunddaten!S934&lt;&gt;""),Programme_Grunddaten!S934,"")</f>
        <v/>
      </c>
      <c r="H929" t="str">
        <f>IF(AND(Programme_Grunddaten!$A934="Geprüft",Programme_Grunddaten!AW934&lt;&gt;""),Programme_Grunddaten!AW934,"")</f>
        <v/>
      </c>
      <c r="I929" t="str">
        <f>IF(AND(Programme_Grunddaten!$A934="Geprüft",Programme_Grunddaten!AX934&lt;&gt;""),Programme_Grunddaten!AX934,"")</f>
        <v/>
      </c>
    </row>
    <row r="930" spans="1:9" x14ac:dyDescent="0.3">
      <c r="A930" s="1" t="str">
        <f>IF(AND(Programme_Grunddaten!$A935="Geprüft",Programme_Grunddaten!B935&lt;&gt;""),Programme_Grunddaten!B935,"")</f>
        <v/>
      </c>
      <c r="B930" s="1" t="str">
        <f>IF(AND(Programme_Grunddaten!$A935="Geprüft",Programme_Grunddaten!C935&lt;&gt;""),Programme_Grunddaten!C935,"")</f>
        <v/>
      </c>
      <c r="C930" s="1" t="str">
        <f>IF(AND(Programme_Grunddaten!$A935="Geprüft",Programme_Grunddaten!D935&lt;&gt;""),Programme_Grunddaten!D935,"")</f>
        <v/>
      </c>
      <c r="D930" s="2" t="str">
        <f>IF(AND(Programme_Grunddaten!$A935="Geprüft",Programme_Grunddaten!E935&lt;&gt;""),Programme_Grunddaten!E935,"")</f>
        <v/>
      </c>
      <c r="E930" t="str">
        <f>IF(AND(Programme_Grunddaten!$A935="Geprüft",Programme_Grunddaten!G935&lt;&gt;""),Programme_Grunddaten!G935,"")</f>
        <v/>
      </c>
      <c r="F930" t="str">
        <f>IF(AND(Programme_Grunddaten!$A935="Geprüft",Programme_Grunddaten!F935&lt;&gt;""),Programme_Grunddaten!F935,"")</f>
        <v/>
      </c>
      <c r="G930" s="3" t="str">
        <f>IF(AND(Programme_Grunddaten!$A935="Geprüft",Programme_Grunddaten!S935&lt;&gt;""),Programme_Grunddaten!S935,"")</f>
        <v/>
      </c>
      <c r="H930" t="str">
        <f>IF(AND(Programme_Grunddaten!$A935="Geprüft",Programme_Grunddaten!AW935&lt;&gt;""),Programme_Grunddaten!AW935,"")</f>
        <v/>
      </c>
      <c r="I930" t="str">
        <f>IF(AND(Programme_Grunddaten!$A935="Geprüft",Programme_Grunddaten!AX935&lt;&gt;""),Programme_Grunddaten!AX935,"")</f>
        <v/>
      </c>
    </row>
    <row r="931" spans="1:9" x14ac:dyDescent="0.3">
      <c r="A931" s="1" t="str">
        <f>IF(AND(Programme_Grunddaten!$A936="Geprüft",Programme_Grunddaten!B936&lt;&gt;""),Programme_Grunddaten!B936,"")</f>
        <v/>
      </c>
      <c r="B931" s="1" t="str">
        <f>IF(AND(Programme_Grunddaten!$A936="Geprüft",Programme_Grunddaten!C936&lt;&gt;""),Programme_Grunddaten!C936,"")</f>
        <v/>
      </c>
      <c r="C931" s="1" t="str">
        <f>IF(AND(Programme_Grunddaten!$A936="Geprüft",Programme_Grunddaten!D936&lt;&gt;""),Programme_Grunddaten!D936,"")</f>
        <v/>
      </c>
      <c r="D931" s="2" t="str">
        <f>IF(AND(Programme_Grunddaten!$A936="Geprüft",Programme_Grunddaten!E936&lt;&gt;""),Programme_Grunddaten!E936,"")</f>
        <v/>
      </c>
      <c r="E931" t="str">
        <f>IF(AND(Programme_Grunddaten!$A936="Geprüft",Programme_Grunddaten!G936&lt;&gt;""),Programme_Grunddaten!G936,"")</f>
        <v/>
      </c>
      <c r="F931" t="str">
        <f>IF(AND(Programme_Grunddaten!$A936="Geprüft",Programme_Grunddaten!F936&lt;&gt;""),Programme_Grunddaten!F936,"")</f>
        <v/>
      </c>
      <c r="G931" s="3" t="str">
        <f>IF(AND(Programme_Grunddaten!$A936="Geprüft",Programme_Grunddaten!S936&lt;&gt;""),Programme_Grunddaten!S936,"")</f>
        <v/>
      </c>
      <c r="H931" t="str">
        <f>IF(AND(Programme_Grunddaten!$A936="Geprüft",Programme_Grunddaten!AW936&lt;&gt;""),Programme_Grunddaten!AW936,"")</f>
        <v/>
      </c>
      <c r="I931" t="str">
        <f>IF(AND(Programme_Grunddaten!$A936="Geprüft",Programme_Grunddaten!AX936&lt;&gt;""),Programme_Grunddaten!AX936,"")</f>
        <v/>
      </c>
    </row>
    <row r="932" spans="1:9" x14ac:dyDescent="0.3">
      <c r="A932" s="1" t="str">
        <f>IF(AND(Programme_Grunddaten!$A937="Geprüft",Programme_Grunddaten!B937&lt;&gt;""),Programme_Grunddaten!B937,"")</f>
        <v/>
      </c>
      <c r="B932" s="1" t="str">
        <f>IF(AND(Programme_Grunddaten!$A937="Geprüft",Programme_Grunddaten!C937&lt;&gt;""),Programme_Grunddaten!C937,"")</f>
        <v/>
      </c>
      <c r="C932" s="1" t="str">
        <f>IF(AND(Programme_Grunddaten!$A937="Geprüft",Programme_Grunddaten!D937&lt;&gt;""),Programme_Grunddaten!D937,"")</f>
        <v/>
      </c>
      <c r="D932" s="2" t="str">
        <f>IF(AND(Programme_Grunddaten!$A937="Geprüft",Programme_Grunddaten!E937&lt;&gt;""),Programme_Grunddaten!E937,"")</f>
        <v/>
      </c>
      <c r="E932" t="str">
        <f>IF(AND(Programme_Grunddaten!$A937="Geprüft",Programme_Grunddaten!G937&lt;&gt;""),Programme_Grunddaten!G937,"")</f>
        <v/>
      </c>
      <c r="F932" t="str">
        <f>IF(AND(Programme_Grunddaten!$A937="Geprüft",Programme_Grunddaten!F937&lt;&gt;""),Programme_Grunddaten!F937,"")</f>
        <v/>
      </c>
      <c r="G932" s="3" t="str">
        <f>IF(AND(Programme_Grunddaten!$A937="Geprüft",Programme_Grunddaten!S937&lt;&gt;""),Programme_Grunddaten!S937,"")</f>
        <v/>
      </c>
      <c r="H932" t="str">
        <f>IF(AND(Programme_Grunddaten!$A937="Geprüft",Programme_Grunddaten!AW937&lt;&gt;""),Programme_Grunddaten!AW937,"")</f>
        <v/>
      </c>
      <c r="I932" t="str">
        <f>IF(AND(Programme_Grunddaten!$A937="Geprüft",Programme_Grunddaten!AX937&lt;&gt;""),Programme_Grunddaten!AX937,"")</f>
        <v/>
      </c>
    </row>
    <row r="933" spans="1:9" x14ac:dyDescent="0.3">
      <c r="A933" s="1" t="str">
        <f>IF(AND(Programme_Grunddaten!$A938="Geprüft",Programme_Grunddaten!B938&lt;&gt;""),Programme_Grunddaten!B938,"")</f>
        <v/>
      </c>
      <c r="B933" s="1" t="str">
        <f>IF(AND(Programme_Grunddaten!$A938="Geprüft",Programme_Grunddaten!C938&lt;&gt;""),Programme_Grunddaten!C938,"")</f>
        <v/>
      </c>
      <c r="C933" s="1" t="str">
        <f>IF(AND(Programme_Grunddaten!$A938="Geprüft",Programme_Grunddaten!D938&lt;&gt;""),Programme_Grunddaten!D938,"")</f>
        <v/>
      </c>
      <c r="D933" s="2" t="str">
        <f>IF(AND(Programme_Grunddaten!$A938="Geprüft",Programme_Grunddaten!E938&lt;&gt;""),Programme_Grunddaten!E938,"")</f>
        <v/>
      </c>
      <c r="E933" t="str">
        <f>IF(AND(Programme_Grunddaten!$A938="Geprüft",Programme_Grunddaten!G938&lt;&gt;""),Programme_Grunddaten!G938,"")</f>
        <v/>
      </c>
      <c r="F933" t="str">
        <f>IF(AND(Programme_Grunddaten!$A938="Geprüft",Programme_Grunddaten!F938&lt;&gt;""),Programme_Grunddaten!F938,"")</f>
        <v/>
      </c>
      <c r="G933" s="3" t="str">
        <f>IF(AND(Programme_Grunddaten!$A938="Geprüft",Programme_Grunddaten!S938&lt;&gt;""),Programme_Grunddaten!S938,"")</f>
        <v/>
      </c>
      <c r="H933" t="str">
        <f>IF(AND(Programme_Grunddaten!$A938="Geprüft",Programme_Grunddaten!AW938&lt;&gt;""),Programme_Grunddaten!AW938,"")</f>
        <v/>
      </c>
      <c r="I933" t="str">
        <f>IF(AND(Programme_Grunddaten!$A938="Geprüft",Programme_Grunddaten!AX938&lt;&gt;""),Programme_Grunddaten!AX938,"")</f>
        <v/>
      </c>
    </row>
    <row r="934" spans="1:9" x14ac:dyDescent="0.3">
      <c r="A934" s="1" t="str">
        <f>IF(AND(Programme_Grunddaten!$A939="Geprüft",Programme_Grunddaten!B939&lt;&gt;""),Programme_Grunddaten!B939,"")</f>
        <v/>
      </c>
      <c r="B934" s="1" t="str">
        <f>IF(AND(Programme_Grunddaten!$A939="Geprüft",Programme_Grunddaten!C939&lt;&gt;""),Programme_Grunddaten!C939,"")</f>
        <v/>
      </c>
      <c r="C934" s="1" t="str">
        <f>IF(AND(Programme_Grunddaten!$A939="Geprüft",Programme_Grunddaten!D939&lt;&gt;""),Programme_Grunddaten!D939,"")</f>
        <v/>
      </c>
      <c r="D934" s="2" t="str">
        <f>IF(AND(Programme_Grunddaten!$A939="Geprüft",Programme_Grunddaten!E939&lt;&gt;""),Programme_Grunddaten!E939,"")</f>
        <v/>
      </c>
      <c r="E934" t="str">
        <f>IF(AND(Programme_Grunddaten!$A939="Geprüft",Programme_Grunddaten!G939&lt;&gt;""),Programme_Grunddaten!G939,"")</f>
        <v/>
      </c>
      <c r="F934" t="str">
        <f>IF(AND(Programme_Grunddaten!$A939="Geprüft",Programme_Grunddaten!F939&lt;&gt;""),Programme_Grunddaten!F939,"")</f>
        <v/>
      </c>
      <c r="G934" s="3" t="str">
        <f>IF(AND(Programme_Grunddaten!$A939="Geprüft",Programme_Grunddaten!S939&lt;&gt;""),Programme_Grunddaten!S939,"")</f>
        <v/>
      </c>
      <c r="H934" t="str">
        <f>IF(AND(Programme_Grunddaten!$A939="Geprüft",Programme_Grunddaten!AW939&lt;&gt;""),Programme_Grunddaten!AW939,"")</f>
        <v/>
      </c>
      <c r="I934" t="str">
        <f>IF(AND(Programme_Grunddaten!$A939="Geprüft",Programme_Grunddaten!AX939&lt;&gt;""),Programme_Grunddaten!AX939,"")</f>
        <v/>
      </c>
    </row>
    <row r="935" spans="1:9" x14ac:dyDescent="0.3">
      <c r="A935" s="1" t="str">
        <f>IF(AND(Programme_Grunddaten!$A940="Geprüft",Programme_Grunddaten!B940&lt;&gt;""),Programme_Grunddaten!B940,"")</f>
        <v/>
      </c>
      <c r="B935" s="1" t="str">
        <f>IF(AND(Programme_Grunddaten!$A940="Geprüft",Programme_Grunddaten!C940&lt;&gt;""),Programme_Grunddaten!C940,"")</f>
        <v/>
      </c>
      <c r="C935" s="1" t="str">
        <f>IF(AND(Programme_Grunddaten!$A940="Geprüft",Programme_Grunddaten!D940&lt;&gt;""),Programme_Grunddaten!D940,"")</f>
        <v/>
      </c>
      <c r="D935" s="2" t="str">
        <f>IF(AND(Programme_Grunddaten!$A940="Geprüft",Programme_Grunddaten!E940&lt;&gt;""),Programme_Grunddaten!E940,"")</f>
        <v/>
      </c>
      <c r="E935" t="str">
        <f>IF(AND(Programme_Grunddaten!$A940="Geprüft",Programme_Grunddaten!G940&lt;&gt;""),Programme_Grunddaten!G940,"")</f>
        <v/>
      </c>
      <c r="F935" t="str">
        <f>IF(AND(Programme_Grunddaten!$A940="Geprüft",Programme_Grunddaten!F940&lt;&gt;""),Programme_Grunddaten!F940,"")</f>
        <v/>
      </c>
      <c r="G935" s="3" t="str">
        <f>IF(AND(Programme_Grunddaten!$A940="Geprüft",Programme_Grunddaten!S940&lt;&gt;""),Programme_Grunddaten!S940,"")</f>
        <v/>
      </c>
      <c r="H935" t="str">
        <f>IF(AND(Programme_Grunddaten!$A940="Geprüft",Programme_Grunddaten!AW940&lt;&gt;""),Programme_Grunddaten!AW940,"")</f>
        <v/>
      </c>
      <c r="I935" t="str">
        <f>IF(AND(Programme_Grunddaten!$A940="Geprüft",Programme_Grunddaten!AX940&lt;&gt;""),Programme_Grunddaten!AX940,"")</f>
        <v/>
      </c>
    </row>
    <row r="936" spans="1:9" x14ac:dyDescent="0.3">
      <c r="A936" s="1" t="str">
        <f>IF(AND(Programme_Grunddaten!$A941="Geprüft",Programme_Grunddaten!B941&lt;&gt;""),Programme_Grunddaten!B941,"")</f>
        <v/>
      </c>
      <c r="B936" s="1" t="str">
        <f>IF(AND(Programme_Grunddaten!$A941="Geprüft",Programme_Grunddaten!C941&lt;&gt;""),Programme_Grunddaten!C941,"")</f>
        <v/>
      </c>
      <c r="C936" s="1" t="str">
        <f>IF(AND(Programme_Grunddaten!$A941="Geprüft",Programme_Grunddaten!D941&lt;&gt;""),Programme_Grunddaten!D941,"")</f>
        <v/>
      </c>
      <c r="D936" s="2" t="str">
        <f>IF(AND(Programme_Grunddaten!$A941="Geprüft",Programme_Grunddaten!E941&lt;&gt;""),Programme_Grunddaten!E941,"")</f>
        <v/>
      </c>
      <c r="E936" t="str">
        <f>IF(AND(Programme_Grunddaten!$A941="Geprüft",Programme_Grunddaten!G941&lt;&gt;""),Programme_Grunddaten!G941,"")</f>
        <v/>
      </c>
      <c r="F936" t="str">
        <f>IF(AND(Programme_Grunddaten!$A941="Geprüft",Programme_Grunddaten!F941&lt;&gt;""),Programme_Grunddaten!F941,"")</f>
        <v/>
      </c>
      <c r="G936" s="3" t="str">
        <f>IF(AND(Programme_Grunddaten!$A941="Geprüft",Programme_Grunddaten!S941&lt;&gt;""),Programme_Grunddaten!S941,"")</f>
        <v/>
      </c>
      <c r="H936" t="str">
        <f>IF(AND(Programme_Grunddaten!$A941="Geprüft",Programme_Grunddaten!AW941&lt;&gt;""),Programme_Grunddaten!AW941,"")</f>
        <v/>
      </c>
      <c r="I936" t="str">
        <f>IF(AND(Programme_Grunddaten!$A941="Geprüft",Programme_Grunddaten!AX941&lt;&gt;""),Programme_Grunddaten!AX941,"")</f>
        <v/>
      </c>
    </row>
    <row r="937" spans="1:9" x14ac:dyDescent="0.3">
      <c r="A937" s="1" t="str">
        <f>IF(AND(Programme_Grunddaten!$A942="Geprüft",Programme_Grunddaten!B942&lt;&gt;""),Programme_Grunddaten!B942,"")</f>
        <v/>
      </c>
      <c r="B937" s="1" t="str">
        <f>IF(AND(Programme_Grunddaten!$A942="Geprüft",Programme_Grunddaten!C942&lt;&gt;""),Programme_Grunddaten!C942,"")</f>
        <v/>
      </c>
      <c r="C937" s="1" t="str">
        <f>IF(AND(Programme_Grunddaten!$A942="Geprüft",Programme_Grunddaten!D942&lt;&gt;""),Programme_Grunddaten!D942,"")</f>
        <v/>
      </c>
      <c r="D937" s="2" t="str">
        <f>IF(AND(Programme_Grunddaten!$A942="Geprüft",Programme_Grunddaten!E942&lt;&gt;""),Programme_Grunddaten!E942,"")</f>
        <v/>
      </c>
      <c r="E937" t="str">
        <f>IF(AND(Programme_Grunddaten!$A942="Geprüft",Programme_Grunddaten!G942&lt;&gt;""),Programme_Grunddaten!G942,"")</f>
        <v/>
      </c>
      <c r="F937" t="str">
        <f>IF(AND(Programme_Grunddaten!$A942="Geprüft",Programme_Grunddaten!F942&lt;&gt;""),Programme_Grunddaten!F942,"")</f>
        <v/>
      </c>
      <c r="G937" s="3" t="str">
        <f>IF(AND(Programme_Grunddaten!$A942="Geprüft",Programme_Grunddaten!S942&lt;&gt;""),Programme_Grunddaten!S942,"")</f>
        <v/>
      </c>
      <c r="H937" t="str">
        <f>IF(AND(Programme_Grunddaten!$A942="Geprüft",Programme_Grunddaten!AW942&lt;&gt;""),Programme_Grunddaten!AW942,"")</f>
        <v/>
      </c>
      <c r="I937" t="str">
        <f>IF(AND(Programme_Grunddaten!$A942="Geprüft",Programme_Grunddaten!AX942&lt;&gt;""),Programme_Grunddaten!AX942,"")</f>
        <v/>
      </c>
    </row>
    <row r="938" spans="1:9" x14ac:dyDescent="0.3">
      <c r="A938" s="1" t="str">
        <f>IF(AND(Programme_Grunddaten!$A943="Geprüft",Programme_Grunddaten!B943&lt;&gt;""),Programme_Grunddaten!B943,"")</f>
        <v/>
      </c>
      <c r="B938" s="1" t="str">
        <f>IF(AND(Programme_Grunddaten!$A943="Geprüft",Programme_Grunddaten!C943&lt;&gt;""),Programme_Grunddaten!C943,"")</f>
        <v/>
      </c>
      <c r="C938" s="1" t="str">
        <f>IF(AND(Programme_Grunddaten!$A943="Geprüft",Programme_Grunddaten!D943&lt;&gt;""),Programme_Grunddaten!D943,"")</f>
        <v/>
      </c>
      <c r="D938" s="2" t="str">
        <f>IF(AND(Programme_Grunddaten!$A943="Geprüft",Programme_Grunddaten!E943&lt;&gt;""),Programme_Grunddaten!E943,"")</f>
        <v/>
      </c>
      <c r="E938" t="str">
        <f>IF(AND(Programme_Grunddaten!$A943="Geprüft",Programme_Grunddaten!G943&lt;&gt;""),Programme_Grunddaten!G943,"")</f>
        <v/>
      </c>
      <c r="F938" t="str">
        <f>IF(AND(Programme_Grunddaten!$A943="Geprüft",Programme_Grunddaten!F943&lt;&gt;""),Programme_Grunddaten!F943,"")</f>
        <v/>
      </c>
      <c r="G938" s="3" t="str">
        <f>IF(AND(Programme_Grunddaten!$A943="Geprüft",Programme_Grunddaten!S943&lt;&gt;""),Programme_Grunddaten!S943,"")</f>
        <v/>
      </c>
      <c r="H938" t="str">
        <f>IF(AND(Programme_Grunddaten!$A943="Geprüft",Programme_Grunddaten!AW943&lt;&gt;""),Programme_Grunddaten!AW943,"")</f>
        <v/>
      </c>
      <c r="I938" t="str">
        <f>IF(AND(Programme_Grunddaten!$A943="Geprüft",Programme_Grunddaten!AX943&lt;&gt;""),Programme_Grunddaten!AX943,"")</f>
        <v/>
      </c>
    </row>
    <row r="939" spans="1:9" x14ac:dyDescent="0.3">
      <c r="A939" s="1" t="str">
        <f>IF(AND(Programme_Grunddaten!$A944="Geprüft",Programme_Grunddaten!B944&lt;&gt;""),Programme_Grunddaten!B944,"")</f>
        <v/>
      </c>
      <c r="B939" s="1" t="str">
        <f>IF(AND(Programme_Grunddaten!$A944="Geprüft",Programme_Grunddaten!C944&lt;&gt;""),Programme_Grunddaten!C944,"")</f>
        <v/>
      </c>
      <c r="C939" s="1" t="str">
        <f>IF(AND(Programme_Grunddaten!$A944="Geprüft",Programme_Grunddaten!D944&lt;&gt;""),Programme_Grunddaten!D944,"")</f>
        <v/>
      </c>
      <c r="D939" s="2" t="str">
        <f>IF(AND(Programme_Grunddaten!$A944="Geprüft",Programme_Grunddaten!E944&lt;&gt;""),Programme_Grunddaten!E944,"")</f>
        <v/>
      </c>
      <c r="E939" t="str">
        <f>IF(AND(Programme_Grunddaten!$A944="Geprüft",Programme_Grunddaten!G944&lt;&gt;""),Programme_Grunddaten!G944,"")</f>
        <v/>
      </c>
      <c r="F939" t="str">
        <f>IF(AND(Programme_Grunddaten!$A944="Geprüft",Programme_Grunddaten!F944&lt;&gt;""),Programme_Grunddaten!F944,"")</f>
        <v/>
      </c>
      <c r="G939" s="3" t="str">
        <f>IF(AND(Programme_Grunddaten!$A944="Geprüft",Programme_Grunddaten!S944&lt;&gt;""),Programme_Grunddaten!S944,"")</f>
        <v/>
      </c>
      <c r="H939" t="str">
        <f>IF(AND(Programme_Grunddaten!$A944="Geprüft",Programme_Grunddaten!AW944&lt;&gt;""),Programme_Grunddaten!AW944,"")</f>
        <v/>
      </c>
      <c r="I939" t="str">
        <f>IF(AND(Programme_Grunddaten!$A944="Geprüft",Programme_Grunddaten!AX944&lt;&gt;""),Programme_Grunddaten!AX944,"")</f>
        <v/>
      </c>
    </row>
    <row r="940" spans="1:9" x14ac:dyDescent="0.3">
      <c r="A940" s="1" t="str">
        <f>IF(AND(Programme_Grunddaten!$A945="Geprüft",Programme_Grunddaten!B945&lt;&gt;""),Programme_Grunddaten!B945,"")</f>
        <v/>
      </c>
      <c r="B940" s="1" t="str">
        <f>IF(AND(Programme_Grunddaten!$A945="Geprüft",Programme_Grunddaten!C945&lt;&gt;""),Programme_Grunddaten!C945,"")</f>
        <v/>
      </c>
      <c r="C940" s="1" t="str">
        <f>IF(AND(Programme_Grunddaten!$A945="Geprüft",Programme_Grunddaten!D945&lt;&gt;""),Programme_Grunddaten!D945,"")</f>
        <v/>
      </c>
      <c r="D940" s="2" t="str">
        <f>IF(AND(Programme_Grunddaten!$A945="Geprüft",Programme_Grunddaten!E945&lt;&gt;""),Programme_Grunddaten!E945,"")</f>
        <v/>
      </c>
      <c r="E940" t="str">
        <f>IF(AND(Programme_Grunddaten!$A945="Geprüft",Programme_Grunddaten!G945&lt;&gt;""),Programme_Grunddaten!G945,"")</f>
        <v/>
      </c>
      <c r="F940" t="str">
        <f>IF(AND(Programme_Grunddaten!$A945="Geprüft",Programme_Grunddaten!F945&lt;&gt;""),Programme_Grunddaten!F945,"")</f>
        <v/>
      </c>
      <c r="G940" s="3" t="str">
        <f>IF(AND(Programme_Grunddaten!$A945="Geprüft",Programme_Grunddaten!S945&lt;&gt;""),Programme_Grunddaten!S945,"")</f>
        <v/>
      </c>
      <c r="H940" t="str">
        <f>IF(AND(Programme_Grunddaten!$A945="Geprüft",Programme_Grunddaten!AW945&lt;&gt;""),Programme_Grunddaten!AW945,"")</f>
        <v/>
      </c>
      <c r="I940" t="str">
        <f>IF(AND(Programme_Grunddaten!$A945="Geprüft",Programme_Grunddaten!AX945&lt;&gt;""),Programme_Grunddaten!AX945,"")</f>
        <v/>
      </c>
    </row>
    <row r="941" spans="1:9" x14ac:dyDescent="0.3">
      <c r="A941" s="1" t="str">
        <f>IF(AND(Programme_Grunddaten!$A946="Geprüft",Programme_Grunddaten!B946&lt;&gt;""),Programme_Grunddaten!B946,"")</f>
        <v/>
      </c>
      <c r="B941" s="1" t="str">
        <f>IF(AND(Programme_Grunddaten!$A946="Geprüft",Programme_Grunddaten!C946&lt;&gt;""),Programme_Grunddaten!C946,"")</f>
        <v/>
      </c>
      <c r="C941" s="1" t="str">
        <f>IF(AND(Programme_Grunddaten!$A946="Geprüft",Programme_Grunddaten!D946&lt;&gt;""),Programme_Grunddaten!D946,"")</f>
        <v/>
      </c>
      <c r="D941" s="2" t="str">
        <f>IF(AND(Programme_Grunddaten!$A946="Geprüft",Programme_Grunddaten!E946&lt;&gt;""),Programme_Grunddaten!E946,"")</f>
        <v/>
      </c>
      <c r="E941" t="str">
        <f>IF(AND(Programme_Grunddaten!$A946="Geprüft",Programme_Grunddaten!G946&lt;&gt;""),Programme_Grunddaten!G946,"")</f>
        <v/>
      </c>
      <c r="F941" t="str">
        <f>IF(AND(Programme_Grunddaten!$A946="Geprüft",Programme_Grunddaten!F946&lt;&gt;""),Programme_Grunddaten!F946,"")</f>
        <v/>
      </c>
      <c r="G941" s="3" t="str">
        <f>IF(AND(Programme_Grunddaten!$A946="Geprüft",Programme_Grunddaten!S946&lt;&gt;""),Programme_Grunddaten!S946,"")</f>
        <v/>
      </c>
      <c r="H941" t="str">
        <f>IF(AND(Programme_Grunddaten!$A946="Geprüft",Programme_Grunddaten!AW946&lt;&gt;""),Programme_Grunddaten!AW946,"")</f>
        <v/>
      </c>
      <c r="I941" t="str">
        <f>IF(AND(Programme_Grunddaten!$A946="Geprüft",Programme_Grunddaten!AX946&lt;&gt;""),Programme_Grunddaten!AX946,"")</f>
        <v/>
      </c>
    </row>
    <row r="942" spans="1:9" x14ac:dyDescent="0.3">
      <c r="A942" s="1" t="str">
        <f>IF(AND(Programme_Grunddaten!$A947="Geprüft",Programme_Grunddaten!B947&lt;&gt;""),Programme_Grunddaten!B947,"")</f>
        <v/>
      </c>
      <c r="B942" s="1" t="str">
        <f>IF(AND(Programme_Grunddaten!$A947="Geprüft",Programme_Grunddaten!C947&lt;&gt;""),Programme_Grunddaten!C947,"")</f>
        <v/>
      </c>
      <c r="C942" s="1" t="str">
        <f>IF(AND(Programme_Grunddaten!$A947="Geprüft",Programme_Grunddaten!D947&lt;&gt;""),Programme_Grunddaten!D947,"")</f>
        <v/>
      </c>
      <c r="D942" s="2" t="str">
        <f>IF(AND(Programme_Grunddaten!$A947="Geprüft",Programme_Grunddaten!E947&lt;&gt;""),Programme_Grunddaten!E947,"")</f>
        <v/>
      </c>
      <c r="E942" t="str">
        <f>IF(AND(Programme_Grunddaten!$A947="Geprüft",Programme_Grunddaten!G947&lt;&gt;""),Programme_Grunddaten!G947,"")</f>
        <v/>
      </c>
      <c r="F942" t="str">
        <f>IF(AND(Programme_Grunddaten!$A947="Geprüft",Programme_Grunddaten!F947&lt;&gt;""),Programme_Grunddaten!F947,"")</f>
        <v/>
      </c>
      <c r="G942" s="3" t="str">
        <f>IF(AND(Programme_Grunddaten!$A947="Geprüft",Programme_Grunddaten!S947&lt;&gt;""),Programme_Grunddaten!S947,"")</f>
        <v/>
      </c>
      <c r="H942" t="str">
        <f>IF(AND(Programme_Grunddaten!$A947="Geprüft",Programme_Grunddaten!AW947&lt;&gt;""),Programme_Grunddaten!AW947,"")</f>
        <v/>
      </c>
      <c r="I942" t="str">
        <f>IF(AND(Programme_Grunddaten!$A947="Geprüft",Programme_Grunddaten!AX947&lt;&gt;""),Programme_Grunddaten!AX947,"")</f>
        <v/>
      </c>
    </row>
    <row r="943" spans="1:9" x14ac:dyDescent="0.3">
      <c r="A943" s="1" t="str">
        <f>IF(AND(Programme_Grunddaten!$A948="Geprüft",Programme_Grunddaten!B948&lt;&gt;""),Programme_Grunddaten!B948,"")</f>
        <v/>
      </c>
      <c r="B943" s="1" t="str">
        <f>IF(AND(Programme_Grunddaten!$A948="Geprüft",Programme_Grunddaten!C948&lt;&gt;""),Programme_Grunddaten!C948,"")</f>
        <v/>
      </c>
      <c r="C943" s="1" t="str">
        <f>IF(AND(Programme_Grunddaten!$A948="Geprüft",Programme_Grunddaten!D948&lt;&gt;""),Programme_Grunddaten!D948,"")</f>
        <v/>
      </c>
      <c r="D943" s="2" t="str">
        <f>IF(AND(Programme_Grunddaten!$A948="Geprüft",Programme_Grunddaten!E948&lt;&gt;""),Programme_Grunddaten!E948,"")</f>
        <v/>
      </c>
      <c r="E943" t="str">
        <f>IF(AND(Programme_Grunddaten!$A948="Geprüft",Programme_Grunddaten!G948&lt;&gt;""),Programme_Grunddaten!G948,"")</f>
        <v/>
      </c>
      <c r="F943" t="str">
        <f>IF(AND(Programme_Grunddaten!$A948="Geprüft",Programme_Grunddaten!F948&lt;&gt;""),Programme_Grunddaten!F948,"")</f>
        <v/>
      </c>
      <c r="G943" s="3" t="str">
        <f>IF(AND(Programme_Grunddaten!$A948="Geprüft",Programme_Grunddaten!S948&lt;&gt;""),Programme_Grunddaten!S948,"")</f>
        <v/>
      </c>
      <c r="H943" t="str">
        <f>IF(AND(Programme_Grunddaten!$A948="Geprüft",Programme_Grunddaten!AW948&lt;&gt;""),Programme_Grunddaten!AW948,"")</f>
        <v/>
      </c>
      <c r="I943" t="str">
        <f>IF(AND(Programme_Grunddaten!$A948="Geprüft",Programme_Grunddaten!AX948&lt;&gt;""),Programme_Grunddaten!AX948,"")</f>
        <v/>
      </c>
    </row>
    <row r="944" spans="1:9" x14ac:dyDescent="0.3">
      <c r="A944" s="1" t="str">
        <f>IF(AND(Programme_Grunddaten!$A949="Geprüft",Programme_Grunddaten!B949&lt;&gt;""),Programme_Grunddaten!B949,"")</f>
        <v/>
      </c>
      <c r="B944" s="1" t="str">
        <f>IF(AND(Programme_Grunddaten!$A949="Geprüft",Programme_Grunddaten!C949&lt;&gt;""),Programme_Grunddaten!C949,"")</f>
        <v/>
      </c>
      <c r="C944" s="1" t="str">
        <f>IF(AND(Programme_Grunddaten!$A949="Geprüft",Programme_Grunddaten!D949&lt;&gt;""),Programme_Grunddaten!D949,"")</f>
        <v/>
      </c>
      <c r="D944" s="2" t="str">
        <f>IF(AND(Programme_Grunddaten!$A949="Geprüft",Programme_Grunddaten!E949&lt;&gt;""),Programme_Grunddaten!E949,"")</f>
        <v/>
      </c>
      <c r="E944" t="str">
        <f>IF(AND(Programme_Grunddaten!$A949="Geprüft",Programme_Grunddaten!G949&lt;&gt;""),Programme_Grunddaten!G949,"")</f>
        <v/>
      </c>
      <c r="F944" t="str">
        <f>IF(AND(Programme_Grunddaten!$A949="Geprüft",Programme_Grunddaten!F949&lt;&gt;""),Programme_Grunddaten!F949,"")</f>
        <v/>
      </c>
      <c r="G944" s="3" t="str">
        <f>IF(AND(Programme_Grunddaten!$A949="Geprüft",Programme_Grunddaten!S949&lt;&gt;""),Programme_Grunddaten!S949,"")</f>
        <v/>
      </c>
      <c r="H944" t="str">
        <f>IF(AND(Programme_Grunddaten!$A949="Geprüft",Programme_Grunddaten!AW949&lt;&gt;""),Programme_Grunddaten!AW949,"")</f>
        <v/>
      </c>
      <c r="I944" t="str">
        <f>IF(AND(Programme_Grunddaten!$A949="Geprüft",Programme_Grunddaten!AX949&lt;&gt;""),Programme_Grunddaten!AX949,"")</f>
        <v/>
      </c>
    </row>
    <row r="945" spans="1:9" x14ac:dyDescent="0.3">
      <c r="A945" s="1" t="str">
        <f>IF(AND(Programme_Grunddaten!$A950="Geprüft",Programme_Grunddaten!B950&lt;&gt;""),Programme_Grunddaten!B950,"")</f>
        <v/>
      </c>
      <c r="B945" s="1" t="str">
        <f>IF(AND(Programme_Grunddaten!$A950="Geprüft",Programme_Grunddaten!C950&lt;&gt;""),Programme_Grunddaten!C950,"")</f>
        <v/>
      </c>
      <c r="C945" s="1" t="str">
        <f>IF(AND(Programme_Grunddaten!$A950="Geprüft",Programme_Grunddaten!D950&lt;&gt;""),Programme_Grunddaten!D950,"")</f>
        <v/>
      </c>
      <c r="D945" s="2" t="str">
        <f>IF(AND(Programme_Grunddaten!$A950="Geprüft",Programme_Grunddaten!E950&lt;&gt;""),Programme_Grunddaten!E950,"")</f>
        <v/>
      </c>
      <c r="E945" t="str">
        <f>IF(AND(Programme_Grunddaten!$A950="Geprüft",Programme_Grunddaten!G950&lt;&gt;""),Programme_Grunddaten!G950,"")</f>
        <v/>
      </c>
      <c r="F945" t="str">
        <f>IF(AND(Programme_Grunddaten!$A950="Geprüft",Programme_Grunddaten!F950&lt;&gt;""),Programme_Grunddaten!F950,"")</f>
        <v/>
      </c>
      <c r="G945" s="3" t="str">
        <f>IF(AND(Programme_Grunddaten!$A950="Geprüft",Programme_Grunddaten!S950&lt;&gt;""),Programme_Grunddaten!S950,"")</f>
        <v/>
      </c>
      <c r="H945" t="str">
        <f>IF(AND(Programme_Grunddaten!$A950="Geprüft",Programme_Grunddaten!AW950&lt;&gt;""),Programme_Grunddaten!AW950,"")</f>
        <v/>
      </c>
      <c r="I945" t="str">
        <f>IF(AND(Programme_Grunddaten!$A950="Geprüft",Programme_Grunddaten!AX950&lt;&gt;""),Programme_Grunddaten!AX950,"")</f>
        <v/>
      </c>
    </row>
    <row r="946" spans="1:9" x14ac:dyDescent="0.3">
      <c r="A946" s="1" t="str">
        <f>IF(AND(Programme_Grunddaten!$A951="Geprüft",Programme_Grunddaten!B951&lt;&gt;""),Programme_Grunddaten!B951,"")</f>
        <v/>
      </c>
      <c r="B946" s="1" t="str">
        <f>IF(AND(Programme_Grunddaten!$A951="Geprüft",Programme_Grunddaten!C951&lt;&gt;""),Programme_Grunddaten!C951,"")</f>
        <v/>
      </c>
      <c r="C946" s="1" t="str">
        <f>IF(AND(Programme_Grunddaten!$A951="Geprüft",Programme_Grunddaten!D951&lt;&gt;""),Programme_Grunddaten!D951,"")</f>
        <v/>
      </c>
      <c r="D946" s="2" t="str">
        <f>IF(AND(Programme_Grunddaten!$A951="Geprüft",Programme_Grunddaten!E951&lt;&gt;""),Programme_Grunddaten!E951,"")</f>
        <v/>
      </c>
      <c r="E946" t="str">
        <f>IF(AND(Programme_Grunddaten!$A951="Geprüft",Programme_Grunddaten!G951&lt;&gt;""),Programme_Grunddaten!G951,"")</f>
        <v/>
      </c>
      <c r="F946" t="str">
        <f>IF(AND(Programme_Grunddaten!$A951="Geprüft",Programme_Grunddaten!F951&lt;&gt;""),Programme_Grunddaten!F951,"")</f>
        <v/>
      </c>
      <c r="G946" s="3" t="str">
        <f>IF(AND(Programme_Grunddaten!$A951="Geprüft",Programme_Grunddaten!S951&lt;&gt;""),Programme_Grunddaten!S951,"")</f>
        <v/>
      </c>
      <c r="H946" t="str">
        <f>IF(AND(Programme_Grunddaten!$A951="Geprüft",Programme_Grunddaten!AW951&lt;&gt;""),Programme_Grunddaten!AW951,"")</f>
        <v/>
      </c>
      <c r="I946" t="str">
        <f>IF(AND(Programme_Grunddaten!$A951="Geprüft",Programme_Grunddaten!AX951&lt;&gt;""),Programme_Grunddaten!AX951,"")</f>
        <v/>
      </c>
    </row>
    <row r="947" spans="1:9" x14ac:dyDescent="0.3">
      <c r="A947" s="1" t="str">
        <f>IF(AND(Programme_Grunddaten!$A952="Geprüft",Programme_Grunddaten!B952&lt;&gt;""),Programme_Grunddaten!B952,"")</f>
        <v/>
      </c>
      <c r="B947" s="1" t="str">
        <f>IF(AND(Programme_Grunddaten!$A952="Geprüft",Programme_Grunddaten!C952&lt;&gt;""),Programme_Grunddaten!C952,"")</f>
        <v/>
      </c>
      <c r="C947" s="1" t="str">
        <f>IF(AND(Programme_Grunddaten!$A952="Geprüft",Programme_Grunddaten!D952&lt;&gt;""),Programme_Grunddaten!D952,"")</f>
        <v/>
      </c>
      <c r="D947" s="2" t="str">
        <f>IF(AND(Programme_Grunddaten!$A952="Geprüft",Programme_Grunddaten!E952&lt;&gt;""),Programme_Grunddaten!E952,"")</f>
        <v/>
      </c>
      <c r="E947" t="str">
        <f>IF(AND(Programme_Grunddaten!$A952="Geprüft",Programme_Grunddaten!G952&lt;&gt;""),Programme_Grunddaten!G952,"")</f>
        <v/>
      </c>
      <c r="F947" t="str">
        <f>IF(AND(Programme_Grunddaten!$A952="Geprüft",Programme_Grunddaten!F952&lt;&gt;""),Programme_Grunddaten!F952,"")</f>
        <v/>
      </c>
      <c r="G947" s="3" t="str">
        <f>IF(AND(Programme_Grunddaten!$A952="Geprüft",Programme_Grunddaten!S952&lt;&gt;""),Programme_Grunddaten!S952,"")</f>
        <v/>
      </c>
      <c r="H947" t="str">
        <f>IF(AND(Programme_Grunddaten!$A952="Geprüft",Programme_Grunddaten!AW952&lt;&gt;""),Programme_Grunddaten!AW952,"")</f>
        <v/>
      </c>
      <c r="I947" t="str">
        <f>IF(AND(Programme_Grunddaten!$A952="Geprüft",Programme_Grunddaten!AX952&lt;&gt;""),Programme_Grunddaten!AX952,"")</f>
        <v/>
      </c>
    </row>
    <row r="948" spans="1:9" x14ac:dyDescent="0.3">
      <c r="A948" s="1" t="str">
        <f>IF(AND(Programme_Grunddaten!$A953="Geprüft",Programme_Grunddaten!B953&lt;&gt;""),Programme_Grunddaten!B953,"")</f>
        <v/>
      </c>
      <c r="B948" s="1" t="str">
        <f>IF(AND(Programme_Grunddaten!$A953="Geprüft",Programme_Grunddaten!C953&lt;&gt;""),Programme_Grunddaten!C953,"")</f>
        <v/>
      </c>
      <c r="C948" s="1" t="str">
        <f>IF(AND(Programme_Grunddaten!$A953="Geprüft",Programme_Grunddaten!D953&lt;&gt;""),Programme_Grunddaten!D953,"")</f>
        <v/>
      </c>
      <c r="D948" s="2" t="str">
        <f>IF(AND(Programme_Grunddaten!$A953="Geprüft",Programme_Grunddaten!E953&lt;&gt;""),Programme_Grunddaten!E953,"")</f>
        <v/>
      </c>
      <c r="E948" t="str">
        <f>IF(AND(Programme_Grunddaten!$A953="Geprüft",Programme_Grunddaten!G953&lt;&gt;""),Programme_Grunddaten!G953,"")</f>
        <v/>
      </c>
      <c r="F948" t="str">
        <f>IF(AND(Programme_Grunddaten!$A953="Geprüft",Programme_Grunddaten!F953&lt;&gt;""),Programme_Grunddaten!F953,"")</f>
        <v/>
      </c>
      <c r="G948" s="3" t="str">
        <f>IF(AND(Programme_Grunddaten!$A953="Geprüft",Programme_Grunddaten!S953&lt;&gt;""),Programme_Grunddaten!S953,"")</f>
        <v/>
      </c>
      <c r="H948" t="str">
        <f>IF(AND(Programme_Grunddaten!$A953="Geprüft",Programme_Grunddaten!AW953&lt;&gt;""),Programme_Grunddaten!AW953,"")</f>
        <v/>
      </c>
      <c r="I948" t="str">
        <f>IF(AND(Programme_Grunddaten!$A953="Geprüft",Programme_Grunddaten!AX953&lt;&gt;""),Programme_Grunddaten!AX953,"")</f>
        <v/>
      </c>
    </row>
    <row r="949" spans="1:9" x14ac:dyDescent="0.3">
      <c r="A949" s="1" t="str">
        <f>IF(AND(Programme_Grunddaten!$A954="Geprüft",Programme_Grunddaten!B954&lt;&gt;""),Programme_Grunddaten!B954,"")</f>
        <v/>
      </c>
      <c r="B949" s="1" t="str">
        <f>IF(AND(Programme_Grunddaten!$A954="Geprüft",Programme_Grunddaten!C954&lt;&gt;""),Programme_Grunddaten!C954,"")</f>
        <v/>
      </c>
      <c r="C949" s="1" t="str">
        <f>IF(AND(Programme_Grunddaten!$A954="Geprüft",Programme_Grunddaten!D954&lt;&gt;""),Programme_Grunddaten!D954,"")</f>
        <v/>
      </c>
      <c r="D949" s="2" t="str">
        <f>IF(AND(Programme_Grunddaten!$A954="Geprüft",Programme_Grunddaten!E954&lt;&gt;""),Programme_Grunddaten!E954,"")</f>
        <v/>
      </c>
      <c r="E949" t="str">
        <f>IF(AND(Programme_Grunddaten!$A954="Geprüft",Programme_Grunddaten!G954&lt;&gt;""),Programme_Grunddaten!G954,"")</f>
        <v/>
      </c>
      <c r="F949" t="str">
        <f>IF(AND(Programme_Grunddaten!$A954="Geprüft",Programme_Grunddaten!F954&lt;&gt;""),Programme_Grunddaten!F954,"")</f>
        <v/>
      </c>
      <c r="G949" s="3" t="str">
        <f>IF(AND(Programme_Grunddaten!$A954="Geprüft",Programme_Grunddaten!S954&lt;&gt;""),Programme_Grunddaten!S954,"")</f>
        <v/>
      </c>
      <c r="H949" t="str">
        <f>IF(AND(Programme_Grunddaten!$A954="Geprüft",Programme_Grunddaten!AW954&lt;&gt;""),Programme_Grunddaten!AW954,"")</f>
        <v/>
      </c>
      <c r="I949" t="str">
        <f>IF(AND(Programme_Grunddaten!$A954="Geprüft",Programme_Grunddaten!AX954&lt;&gt;""),Programme_Grunddaten!AX954,"")</f>
        <v/>
      </c>
    </row>
    <row r="950" spans="1:9" x14ac:dyDescent="0.3">
      <c r="A950" s="1" t="str">
        <f>IF(AND(Programme_Grunddaten!$A955="Geprüft",Programme_Grunddaten!B955&lt;&gt;""),Programme_Grunddaten!B955,"")</f>
        <v/>
      </c>
      <c r="B950" s="1" t="str">
        <f>IF(AND(Programme_Grunddaten!$A955="Geprüft",Programme_Grunddaten!C955&lt;&gt;""),Programme_Grunddaten!C955,"")</f>
        <v/>
      </c>
      <c r="C950" s="1" t="str">
        <f>IF(AND(Programme_Grunddaten!$A955="Geprüft",Programme_Grunddaten!D955&lt;&gt;""),Programme_Grunddaten!D955,"")</f>
        <v/>
      </c>
      <c r="D950" s="2" t="str">
        <f>IF(AND(Programme_Grunddaten!$A955="Geprüft",Programme_Grunddaten!E955&lt;&gt;""),Programme_Grunddaten!E955,"")</f>
        <v/>
      </c>
      <c r="E950" t="str">
        <f>IF(AND(Programme_Grunddaten!$A955="Geprüft",Programme_Grunddaten!G955&lt;&gt;""),Programme_Grunddaten!G955,"")</f>
        <v/>
      </c>
      <c r="F950" t="str">
        <f>IF(AND(Programme_Grunddaten!$A955="Geprüft",Programme_Grunddaten!F955&lt;&gt;""),Programme_Grunddaten!F955,"")</f>
        <v/>
      </c>
      <c r="G950" s="3" t="str">
        <f>IF(AND(Programme_Grunddaten!$A955="Geprüft",Programme_Grunddaten!S955&lt;&gt;""),Programme_Grunddaten!S955,"")</f>
        <v/>
      </c>
      <c r="H950" t="str">
        <f>IF(AND(Programme_Grunddaten!$A955="Geprüft",Programme_Grunddaten!AW955&lt;&gt;""),Programme_Grunddaten!AW955,"")</f>
        <v/>
      </c>
      <c r="I950" t="str">
        <f>IF(AND(Programme_Grunddaten!$A955="Geprüft",Programme_Grunddaten!AX955&lt;&gt;""),Programme_Grunddaten!AX955,"")</f>
        <v/>
      </c>
    </row>
    <row r="951" spans="1:9" x14ac:dyDescent="0.3">
      <c r="A951" s="1" t="str">
        <f>IF(AND(Programme_Grunddaten!$A956="Geprüft",Programme_Grunddaten!B956&lt;&gt;""),Programme_Grunddaten!B956,"")</f>
        <v/>
      </c>
      <c r="B951" s="1" t="str">
        <f>IF(AND(Programme_Grunddaten!$A956="Geprüft",Programme_Grunddaten!C956&lt;&gt;""),Programme_Grunddaten!C956,"")</f>
        <v/>
      </c>
      <c r="C951" s="1" t="str">
        <f>IF(AND(Programme_Grunddaten!$A956="Geprüft",Programme_Grunddaten!D956&lt;&gt;""),Programme_Grunddaten!D956,"")</f>
        <v/>
      </c>
      <c r="D951" s="2" t="str">
        <f>IF(AND(Programme_Grunddaten!$A956="Geprüft",Programme_Grunddaten!E956&lt;&gt;""),Programme_Grunddaten!E956,"")</f>
        <v/>
      </c>
      <c r="E951" t="str">
        <f>IF(AND(Programme_Grunddaten!$A956="Geprüft",Programme_Grunddaten!G956&lt;&gt;""),Programme_Grunddaten!G956,"")</f>
        <v/>
      </c>
      <c r="F951" t="str">
        <f>IF(AND(Programme_Grunddaten!$A956="Geprüft",Programme_Grunddaten!F956&lt;&gt;""),Programme_Grunddaten!F956,"")</f>
        <v/>
      </c>
      <c r="G951" s="3" t="str">
        <f>IF(AND(Programme_Grunddaten!$A956="Geprüft",Programme_Grunddaten!S956&lt;&gt;""),Programme_Grunddaten!S956,"")</f>
        <v/>
      </c>
      <c r="H951" t="str">
        <f>IF(AND(Programme_Grunddaten!$A956="Geprüft",Programme_Grunddaten!AW956&lt;&gt;""),Programme_Grunddaten!AW956,"")</f>
        <v/>
      </c>
      <c r="I951" t="str">
        <f>IF(AND(Programme_Grunddaten!$A956="Geprüft",Programme_Grunddaten!AX956&lt;&gt;""),Programme_Grunddaten!AX956,"")</f>
        <v/>
      </c>
    </row>
    <row r="952" spans="1:9" x14ac:dyDescent="0.3">
      <c r="A952" s="1" t="str">
        <f>IF(AND(Programme_Grunddaten!$A957="Geprüft",Programme_Grunddaten!B957&lt;&gt;""),Programme_Grunddaten!B957,"")</f>
        <v/>
      </c>
      <c r="B952" s="1" t="str">
        <f>IF(AND(Programme_Grunddaten!$A957="Geprüft",Programme_Grunddaten!C957&lt;&gt;""),Programme_Grunddaten!C957,"")</f>
        <v/>
      </c>
      <c r="C952" s="1" t="str">
        <f>IF(AND(Programme_Grunddaten!$A957="Geprüft",Programme_Grunddaten!D957&lt;&gt;""),Programme_Grunddaten!D957,"")</f>
        <v/>
      </c>
      <c r="D952" s="2" t="str">
        <f>IF(AND(Programme_Grunddaten!$A957="Geprüft",Programme_Grunddaten!E957&lt;&gt;""),Programme_Grunddaten!E957,"")</f>
        <v/>
      </c>
      <c r="E952" t="str">
        <f>IF(AND(Programme_Grunddaten!$A957="Geprüft",Programme_Grunddaten!G957&lt;&gt;""),Programme_Grunddaten!G957,"")</f>
        <v/>
      </c>
      <c r="F952" t="str">
        <f>IF(AND(Programme_Grunddaten!$A957="Geprüft",Programme_Grunddaten!F957&lt;&gt;""),Programme_Grunddaten!F957,"")</f>
        <v/>
      </c>
      <c r="G952" s="3" t="str">
        <f>IF(AND(Programme_Grunddaten!$A957="Geprüft",Programme_Grunddaten!S957&lt;&gt;""),Programme_Grunddaten!S957,"")</f>
        <v/>
      </c>
      <c r="H952" t="str">
        <f>IF(AND(Programme_Grunddaten!$A957="Geprüft",Programme_Grunddaten!AW957&lt;&gt;""),Programme_Grunddaten!AW957,"")</f>
        <v/>
      </c>
      <c r="I952" t="str">
        <f>IF(AND(Programme_Grunddaten!$A957="Geprüft",Programme_Grunddaten!AX957&lt;&gt;""),Programme_Grunddaten!AX957,"")</f>
        <v/>
      </c>
    </row>
    <row r="953" spans="1:9" x14ac:dyDescent="0.3">
      <c r="A953" s="1" t="str">
        <f>IF(AND(Programme_Grunddaten!$A958="Geprüft",Programme_Grunddaten!B958&lt;&gt;""),Programme_Grunddaten!B958,"")</f>
        <v/>
      </c>
      <c r="B953" s="1" t="str">
        <f>IF(AND(Programme_Grunddaten!$A958="Geprüft",Programme_Grunddaten!C958&lt;&gt;""),Programme_Grunddaten!C958,"")</f>
        <v/>
      </c>
      <c r="C953" s="1" t="str">
        <f>IF(AND(Programme_Grunddaten!$A958="Geprüft",Programme_Grunddaten!D958&lt;&gt;""),Programme_Grunddaten!D958,"")</f>
        <v/>
      </c>
      <c r="D953" s="2" t="str">
        <f>IF(AND(Programme_Grunddaten!$A958="Geprüft",Programme_Grunddaten!E958&lt;&gt;""),Programme_Grunddaten!E958,"")</f>
        <v/>
      </c>
      <c r="E953" t="str">
        <f>IF(AND(Programme_Grunddaten!$A958="Geprüft",Programme_Grunddaten!G958&lt;&gt;""),Programme_Grunddaten!G958,"")</f>
        <v/>
      </c>
      <c r="F953" t="str">
        <f>IF(AND(Programme_Grunddaten!$A958="Geprüft",Programme_Grunddaten!F958&lt;&gt;""),Programme_Grunddaten!F958,"")</f>
        <v/>
      </c>
      <c r="G953" s="3" t="str">
        <f>IF(AND(Programme_Grunddaten!$A958="Geprüft",Programme_Grunddaten!S958&lt;&gt;""),Programme_Grunddaten!S958,"")</f>
        <v/>
      </c>
      <c r="H953" t="str">
        <f>IF(AND(Programme_Grunddaten!$A958="Geprüft",Programme_Grunddaten!AW958&lt;&gt;""),Programme_Grunddaten!AW958,"")</f>
        <v/>
      </c>
      <c r="I953" t="str">
        <f>IF(AND(Programme_Grunddaten!$A958="Geprüft",Programme_Grunddaten!AX958&lt;&gt;""),Programme_Grunddaten!AX958,"")</f>
        <v/>
      </c>
    </row>
    <row r="954" spans="1:9" x14ac:dyDescent="0.3">
      <c r="A954" s="1" t="str">
        <f>IF(AND(Programme_Grunddaten!$A959="Geprüft",Programme_Grunddaten!B959&lt;&gt;""),Programme_Grunddaten!B959,"")</f>
        <v/>
      </c>
      <c r="B954" s="1" t="str">
        <f>IF(AND(Programme_Grunddaten!$A959="Geprüft",Programme_Grunddaten!C959&lt;&gt;""),Programme_Grunddaten!C959,"")</f>
        <v/>
      </c>
      <c r="C954" s="1" t="str">
        <f>IF(AND(Programme_Grunddaten!$A959="Geprüft",Programme_Grunddaten!D959&lt;&gt;""),Programme_Grunddaten!D959,"")</f>
        <v/>
      </c>
      <c r="D954" s="2" t="str">
        <f>IF(AND(Programme_Grunddaten!$A959="Geprüft",Programme_Grunddaten!E959&lt;&gt;""),Programme_Grunddaten!E959,"")</f>
        <v/>
      </c>
      <c r="E954" t="str">
        <f>IF(AND(Programme_Grunddaten!$A959="Geprüft",Programme_Grunddaten!G959&lt;&gt;""),Programme_Grunddaten!G959,"")</f>
        <v/>
      </c>
      <c r="F954" t="str">
        <f>IF(AND(Programme_Grunddaten!$A959="Geprüft",Programme_Grunddaten!F959&lt;&gt;""),Programme_Grunddaten!F959,"")</f>
        <v/>
      </c>
      <c r="G954" s="3" t="str">
        <f>IF(AND(Programme_Grunddaten!$A959="Geprüft",Programme_Grunddaten!S959&lt;&gt;""),Programme_Grunddaten!S959,"")</f>
        <v/>
      </c>
      <c r="H954" t="str">
        <f>IF(AND(Programme_Grunddaten!$A959="Geprüft",Programme_Grunddaten!AW959&lt;&gt;""),Programme_Grunddaten!AW959,"")</f>
        <v/>
      </c>
      <c r="I954" t="str">
        <f>IF(AND(Programme_Grunddaten!$A959="Geprüft",Programme_Grunddaten!AX959&lt;&gt;""),Programme_Grunddaten!AX959,"")</f>
        <v/>
      </c>
    </row>
    <row r="955" spans="1:9" x14ac:dyDescent="0.3">
      <c r="A955" s="1" t="str">
        <f>IF(AND(Programme_Grunddaten!$A960="Geprüft",Programme_Grunddaten!B960&lt;&gt;""),Programme_Grunddaten!B960,"")</f>
        <v/>
      </c>
      <c r="B955" s="1" t="str">
        <f>IF(AND(Programme_Grunddaten!$A960="Geprüft",Programme_Grunddaten!C960&lt;&gt;""),Programme_Grunddaten!C960,"")</f>
        <v/>
      </c>
      <c r="C955" s="1" t="str">
        <f>IF(AND(Programme_Grunddaten!$A960="Geprüft",Programme_Grunddaten!D960&lt;&gt;""),Programme_Grunddaten!D960,"")</f>
        <v/>
      </c>
      <c r="D955" s="2" t="str">
        <f>IF(AND(Programme_Grunddaten!$A960="Geprüft",Programme_Grunddaten!E960&lt;&gt;""),Programme_Grunddaten!E960,"")</f>
        <v/>
      </c>
      <c r="E955" t="str">
        <f>IF(AND(Programme_Grunddaten!$A960="Geprüft",Programme_Grunddaten!G960&lt;&gt;""),Programme_Grunddaten!G960,"")</f>
        <v/>
      </c>
      <c r="F955" t="str">
        <f>IF(AND(Programme_Grunddaten!$A960="Geprüft",Programme_Grunddaten!F960&lt;&gt;""),Programme_Grunddaten!F960,"")</f>
        <v/>
      </c>
      <c r="G955" s="3" t="str">
        <f>IF(AND(Programme_Grunddaten!$A960="Geprüft",Programme_Grunddaten!S960&lt;&gt;""),Programme_Grunddaten!S960,"")</f>
        <v/>
      </c>
      <c r="H955" t="str">
        <f>IF(AND(Programme_Grunddaten!$A960="Geprüft",Programme_Grunddaten!AW960&lt;&gt;""),Programme_Grunddaten!AW960,"")</f>
        <v/>
      </c>
      <c r="I955" t="str">
        <f>IF(AND(Programme_Grunddaten!$A960="Geprüft",Programme_Grunddaten!AX960&lt;&gt;""),Programme_Grunddaten!AX960,"")</f>
        <v/>
      </c>
    </row>
    <row r="956" spans="1:9" x14ac:dyDescent="0.3">
      <c r="A956" s="1" t="str">
        <f>IF(AND(Programme_Grunddaten!$A961="Geprüft",Programme_Grunddaten!B961&lt;&gt;""),Programme_Grunddaten!B961,"")</f>
        <v/>
      </c>
      <c r="B956" s="1" t="str">
        <f>IF(AND(Programme_Grunddaten!$A961="Geprüft",Programme_Grunddaten!C961&lt;&gt;""),Programme_Grunddaten!C961,"")</f>
        <v/>
      </c>
      <c r="C956" s="1" t="str">
        <f>IF(AND(Programme_Grunddaten!$A961="Geprüft",Programme_Grunddaten!D961&lt;&gt;""),Programme_Grunddaten!D961,"")</f>
        <v/>
      </c>
      <c r="D956" s="2" t="str">
        <f>IF(AND(Programme_Grunddaten!$A961="Geprüft",Programme_Grunddaten!E961&lt;&gt;""),Programme_Grunddaten!E961,"")</f>
        <v/>
      </c>
      <c r="E956" t="str">
        <f>IF(AND(Programme_Grunddaten!$A961="Geprüft",Programme_Grunddaten!G961&lt;&gt;""),Programme_Grunddaten!G961,"")</f>
        <v/>
      </c>
      <c r="F956" t="str">
        <f>IF(AND(Programme_Grunddaten!$A961="Geprüft",Programme_Grunddaten!F961&lt;&gt;""),Programme_Grunddaten!F961,"")</f>
        <v/>
      </c>
      <c r="G956" s="3" t="str">
        <f>IF(AND(Programme_Grunddaten!$A961="Geprüft",Programme_Grunddaten!S961&lt;&gt;""),Programme_Grunddaten!S961,"")</f>
        <v/>
      </c>
      <c r="H956" t="str">
        <f>IF(AND(Programme_Grunddaten!$A961="Geprüft",Programme_Grunddaten!AW961&lt;&gt;""),Programme_Grunddaten!AW961,"")</f>
        <v/>
      </c>
      <c r="I956" t="str">
        <f>IF(AND(Programme_Grunddaten!$A961="Geprüft",Programme_Grunddaten!AX961&lt;&gt;""),Programme_Grunddaten!AX961,"")</f>
        <v/>
      </c>
    </row>
    <row r="957" spans="1:9" x14ac:dyDescent="0.3">
      <c r="A957" s="1" t="str">
        <f>IF(AND(Programme_Grunddaten!$A962="Geprüft",Programme_Grunddaten!B962&lt;&gt;""),Programme_Grunddaten!B962,"")</f>
        <v/>
      </c>
      <c r="B957" s="1" t="str">
        <f>IF(AND(Programme_Grunddaten!$A962="Geprüft",Programme_Grunddaten!C962&lt;&gt;""),Programme_Grunddaten!C962,"")</f>
        <v/>
      </c>
      <c r="C957" s="1" t="str">
        <f>IF(AND(Programme_Grunddaten!$A962="Geprüft",Programme_Grunddaten!D962&lt;&gt;""),Programme_Grunddaten!D962,"")</f>
        <v/>
      </c>
      <c r="D957" s="2" t="str">
        <f>IF(AND(Programme_Grunddaten!$A962="Geprüft",Programme_Grunddaten!E962&lt;&gt;""),Programme_Grunddaten!E962,"")</f>
        <v/>
      </c>
      <c r="E957" t="str">
        <f>IF(AND(Programme_Grunddaten!$A962="Geprüft",Programme_Grunddaten!G962&lt;&gt;""),Programme_Grunddaten!G962,"")</f>
        <v/>
      </c>
      <c r="F957" t="str">
        <f>IF(AND(Programme_Grunddaten!$A962="Geprüft",Programme_Grunddaten!F962&lt;&gt;""),Programme_Grunddaten!F962,"")</f>
        <v/>
      </c>
      <c r="G957" s="3" t="str">
        <f>IF(AND(Programme_Grunddaten!$A962="Geprüft",Programme_Grunddaten!S962&lt;&gt;""),Programme_Grunddaten!S962,"")</f>
        <v/>
      </c>
      <c r="H957" t="str">
        <f>IF(AND(Programme_Grunddaten!$A962="Geprüft",Programme_Grunddaten!AW962&lt;&gt;""),Programme_Grunddaten!AW962,"")</f>
        <v/>
      </c>
      <c r="I957" t="str">
        <f>IF(AND(Programme_Grunddaten!$A962="Geprüft",Programme_Grunddaten!AX962&lt;&gt;""),Programme_Grunddaten!AX962,"")</f>
        <v/>
      </c>
    </row>
    <row r="958" spans="1:9" x14ac:dyDescent="0.3">
      <c r="A958" s="1" t="str">
        <f>IF(AND(Programme_Grunddaten!$A963="Geprüft",Programme_Grunddaten!B963&lt;&gt;""),Programme_Grunddaten!B963,"")</f>
        <v/>
      </c>
      <c r="B958" s="1" t="str">
        <f>IF(AND(Programme_Grunddaten!$A963="Geprüft",Programme_Grunddaten!C963&lt;&gt;""),Programme_Grunddaten!C963,"")</f>
        <v/>
      </c>
      <c r="C958" s="1" t="str">
        <f>IF(AND(Programme_Grunddaten!$A963="Geprüft",Programme_Grunddaten!D963&lt;&gt;""),Programme_Grunddaten!D963,"")</f>
        <v/>
      </c>
      <c r="D958" s="2" t="str">
        <f>IF(AND(Programme_Grunddaten!$A963="Geprüft",Programme_Grunddaten!E963&lt;&gt;""),Programme_Grunddaten!E963,"")</f>
        <v/>
      </c>
      <c r="E958" t="str">
        <f>IF(AND(Programme_Grunddaten!$A963="Geprüft",Programme_Grunddaten!G963&lt;&gt;""),Programme_Grunddaten!G963,"")</f>
        <v/>
      </c>
      <c r="F958" t="str">
        <f>IF(AND(Programme_Grunddaten!$A963="Geprüft",Programme_Grunddaten!F963&lt;&gt;""),Programme_Grunddaten!F963,"")</f>
        <v/>
      </c>
      <c r="G958" s="3" t="str">
        <f>IF(AND(Programme_Grunddaten!$A963="Geprüft",Programme_Grunddaten!S963&lt;&gt;""),Programme_Grunddaten!S963,"")</f>
        <v/>
      </c>
      <c r="H958" t="str">
        <f>IF(AND(Programme_Grunddaten!$A963="Geprüft",Programme_Grunddaten!AW963&lt;&gt;""),Programme_Grunddaten!AW963,"")</f>
        <v/>
      </c>
      <c r="I958" t="str">
        <f>IF(AND(Programme_Grunddaten!$A963="Geprüft",Programme_Grunddaten!AX963&lt;&gt;""),Programme_Grunddaten!AX963,"")</f>
        <v/>
      </c>
    </row>
    <row r="959" spans="1:9" x14ac:dyDescent="0.3">
      <c r="A959" s="1" t="str">
        <f>IF(AND(Programme_Grunddaten!$A964="Geprüft",Programme_Grunddaten!B964&lt;&gt;""),Programme_Grunddaten!B964,"")</f>
        <v/>
      </c>
      <c r="B959" s="1" t="str">
        <f>IF(AND(Programme_Grunddaten!$A964="Geprüft",Programme_Grunddaten!C964&lt;&gt;""),Programme_Grunddaten!C964,"")</f>
        <v/>
      </c>
      <c r="C959" s="1" t="str">
        <f>IF(AND(Programme_Grunddaten!$A964="Geprüft",Programme_Grunddaten!D964&lt;&gt;""),Programme_Grunddaten!D964,"")</f>
        <v/>
      </c>
      <c r="D959" s="2" t="str">
        <f>IF(AND(Programme_Grunddaten!$A964="Geprüft",Programme_Grunddaten!E964&lt;&gt;""),Programme_Grunddaten!E964,"")</f>
        <v/>
      </c>
      <c r="E959" t="str">
        <f>IF(AND(Programme_Grunddaten!$A964="Geprüft",Programme_Grunddaten!G964&lt;&gt;""),Programme_Grunddaten!G964,"")</f>
        <v/>
      </c>
      <c r="F959" t="str">
        <f>IF(AND(Programme_Grunddaten!$A964="Geprüft",Programme_Grunddaten!F964&lt;&gt;""),Programme_Grunddaten!F964,"")</f>
        <v/>
      </c>
      <c r="G959" s="3" t="str">
        <f>IF(AND(Programme_Grunddaten!$A964="Geprüft",Programme_Grunddaten!S964&lt;&gt;""),Programme_Grunddaten!S964,"")</f>
        <v/>
      </c>
      <c r="H959" t="str">
        <f>IF(AND(Programme_Grunddaten!$A964="Geprüft",Programme_Grunddaten!AW964&lt;&gt;""),Programme_Grunddaten!AW964,"")</f>
        <v/>
      </c>
      <c r="I959" t="str">
        <f>IF(AND(Programme_Grunddaten!$A964="Geprüft",Programme_Grunddaten!AX964&lt;&gt;""),Programme_Grunddaten!AX964,"")</f>
        <v/>
      </c>
    </row>
    <row r="960" spans="1:9" x14ac:dyDescent="0.3">
      <c r="A960" s="1" t="str">
        <f>IF(AND(Programme_Grunddaten!$A965="Geprüft",Programme_Grunddaten!B965&lt;&gt;""),Programme_Grunddaten!B965,"")</f>
        <v/>
      </c>
      <c r="B960" s="1" t="str">
        <f>IF(AND(Programme_Grunddaten!$A965="Geprüft",Programme_Grunddaten!C965&lt;&gt;""),Programme_Grunddaten!C965,"")</f>
        <v/>
      </c>
      <c r="C960" s="1" t="str">
        <f>IF(AND(Programme_Grunddaten!$A965="Geprüft",Programme_Grunddaten!D965&lt;&gt;""),Programme_Grunddaten!D965,"")</f>
        <v/>
      </c>
      <c r="D960" s="2" t="str">
        <f>IF(AND(Programme_Grunddaten!$A965="Geprüft",Programme_Grunddaten!E965&lt;&gt;""),Programme_Grunddaten!E965,"")</f>
        <v/>
      </c>
      <c r="E960" t="str">
        <f>IF(AND(Programme_Grunddaten!$A965="Geprüft",Programme_Grunddaten!G965&lt;&gt;""),Programme_Grunddaten!G965,"")</f>
        <v/>
      </c>
      <c r="F960" t="str">
        <f>IF(AND(Programme_Grunddaten!$A965="Geprüft",Programme_Grunddaten!F965&lt;&gt;""),Programme_Grunddaten!F965,"")</f>
        <v/>
      </c>
      <c r="G960" s="3" t="str">
        <f>IF(AND(Programme_Grunddaten!$A965="Geprüft",Programme_Grunddaten!S965&lt;&gt;""),Programme_Grunddaten!S965,"")</f>
        <v/>
      </c>
      <c r="H960" t="str">
        <f>IF(AND(Programme_Grunddaten!$A965="Geprüft",Programme_Grunddaten!AW965&lt;&gt;""),Programme_Grunddaten!AW965,"")</f>
        <v/>
      </c>
      <c r="I960" t="str">
        <f>IF(AND(Programme_Grunddaten!$A965="Geprüft",Programme_Grunddaten!AX965&lt;&gt;""),Programme_Grunddaten!AX965,"")</f>
        <v/>
      </c>
    </row>
    <row r="961" spans="1:9" x14ac:dyDescent="0.3">
      <c r="A961" s="1" t="str">
        <f>IF(AND(Programme_Grunddaten!$A966="Geprüft",Programme_Grunddaten!B966&lt;&gt;""),Programme_Grunddaten!B966,"")</f>
        <v/>
      </c>
      <c r="B961" s="1" t="str">
        <f>IF(AND(Programme_Grunddaten!$A966="Geprüft",Programme_Grunddaten!C966&lt;&gt;""),Programme_Grunddaten!C966,"")</f>
        <v/>
      </c>
      <c r="C961" s="1" t="str">
        <f>IF(AND(Programme_Grunddaten!$A966="Geprüft",Programme_Grunddaten!D966&lt;&gt;""),Programme_Grunddaten!D966,"")</f>
        <v/>
      </c>
      <c r="D961" s="2" t="str">
        <f>IF(AND(Programme_Grunddaten!$A966="Geprüft",Programme_Grunddaten!E966&lt;&gt;""),Programme_Grunddaten!E966,"")</f>
        <v/>
      </c>
      <c r="E961" t="str">
        <f>IF(AND(Programme_Grunddaten!$A966="Geprüft",Programme_Grunddaten!G966&lt;&gt;""),Programme_Grunddaten!G966,"")</f>
        <v/>
      </c>
      <c r="F961" t="str">
        <f>IF(AND(Programme_Grunddaten!$A966="Geprüft",Programme_Grunddaten!F966&lt;&gt;""),Programme_Grunddaten!F966,"")</f>
        <v/>
      </c>
      <c r="G961" s="3" t="str">
        <f>IF(AND(Programme_Grunddaten!$A966="Geprüft",Programme_Grunddaten!S966&lt;&gt;""),Programme_Grunddaten!S966,"")</f>
        <v/>
      </c>
      <c r="H961" t="str">
        <f>IF(AND(Programme_Grunddaten!$A966="Geprüft",Programme_Grunddaten!AW966&lt;&gt;""),Programme_Grunddaten!AW966,"")</f>
        <v/>
      </c>
      <c r="I961" t="str">
        <f>IF(AND(Programme_Grunddaten!$A966="Geprüft",Programme_Grunddaten!AX966&lt;&gt;""),Programme_Grunddaten!AX966,"")</f>
        <v/>
      </c>
    </row>
    <row r="962" spans="1:9" x14ac:dyDescent="0.3">
      <c r="A962" s="1" t="str">
        <f>IF(AND(Programme_Grunddaten!$A967="Geprüft",Programme_Grunddaten!B967&lt;&gt;""),Programme_Grunddaten!B967,"")</f>
        <v/>
      </c>
      <c r="B962" s="1" t="str">
        <f>IF(AND(Programme_Grunddaten!$A967="Geprüft",Programme_Grunddaten!C967&lt;&gt;""),Programme_Grunddaten!C967,"")</f>
        <v/>
      </c>
      <c r="C962" s="1" t="str">
        <f>IF(AND(Programme_Grunddaten!$A967="Geprüft",Programme_Grunddaten!D967&lt;&gt;""),Programme_Grunddaten!D967,"")</f>
        <v/>
      </c>
      <c r="D962" s="2" t="str">
        <f>IF(AND(Programme_Grunddaten!$A967="Geprüft",Programme_Grunddaten!E967&lt;&gt;""),Programme_Grunddaten!E967,"")</f>
        <v/>
      </c>
      <c r="E962" t="str">
        <f>IF(AND(Programme_Grunddaten!$A967="Geprüft",Programme_Grunddaten!G967&lt;&gt;""),Programme_Grunddaten!G967,"")</f>
        <v/>
      </c>
      <c r="F962" t="str">
        <f>IF(AND(Programme_Grunddaten!$A967="Geprüft",Programme_Grunddaten!F967&lt;&gt;""),Programme_Grunddaten!F967,"")</f>
        <v/>
      </c>
      <c r="G962" s="3" t="str">
        <f>IF(AND(Programme_Grunddaten!$A967="Geprüft",Programme_Grunddaten!S967&lt;&gt;""),Programme_Grunddaten!S967,"")</f>
        <v/>
      </c>
      <c r="H962" t="str">
        <f>IF(AND(Programme_Grunddaten!$A967="Geprüft",Programme_Grunddaten!AW967&lt;&gt;""),Programme_Grunddaten!AW967,"")</f>
        <v/>
      </c>
      <c r="I962" t="str">
        <f>IF(AND(Programme_Grunddaten!$A967="Geprüft",Programme_Grunddaten!AX967&lt;&gt;""),Programme_Grunddaten!AX967,"")</f>
        <v/>
      </c>
    </row>
    <row r="963" spans="1:9" x14ac:dyDescent="0.3">
      <c r="A963" s="1" t="str">
        <f>IF(AND(Programme_Grunddaten!$A968="Geprüft",Programme_Grunddaten!B968&lt;&gt;""),Programme_Grunddaten!B968,"")</f>
        <v/>
      </c>
      <c r="B963" s="1" t="str">
        <f>IF(AND(Programme_Grunddaten!$A968="Geprüft",Programme_Grunddaten!C968&lt;&gt;""),Programme_Grunddaten!C968,"")</f>
        <v/>
      </c>
      <c r="C963" s="1" t="str">
        <f>IF(AND(Programme_Grunddaten!$A968="Geprüft",Programme_Grunddaten!D968&lt;&gt;""),Programme_Grunddaten!D968,"")</f>
        <v/>
      </c>
      <c r="D963" s="2" t="str">
        <f>IF(AND(Programme_Grunddaten!$A968="Geprüft",Programme_Grunddaten!E968&lt;&gt;""),Programme_Grunddaten!E968,"")</f>
        <v/>
      </c>
      <c r="E963" t="str">
        <f>IF(AND(Programme_Grunddaten!$A968="Geprüft",Programme_Grunddaten!G968&lt;&gt;""),Programme_Grunddaten!G968,"")</f>
        <v/>
      </c>
      <c r="F963" t="str">
        <f>IF(AND(Programme_Grunddaten!$A968="Geprüft",Programme_Grunddaten!F968&lt;&gt;""),Programme_Grunddaten!F968,"")</f>
        <v/>
      </c>
      <c r="G963" s="3" t="str">
        <f>IF(AND(Programme_Grunddaten!$A968="Geprüft",Programme_Grunddaten!S968&lt;&gt;""),Programme_Grunddaten!S968,"")</f>
        <v/>
      </c>
      <c r="H963" t="str">
        <f>IF(AND(Programme_Grunddaten!$A968="Geprüft",Programme_Grunddaten!AW968&lt;&gt;""),Programme_Grunddaten!AW968,"")</f>
        <v/>
      </c>
      <c r="I963" t="str">
        <f>IF(AND(Programme_Grunddaten!$A968="Geprüft",Programme_Grunddaten!AX968&lt;&gt;""),Programme_Grunddaten!AX968,"")</f>
        <v/>
      </c>
    </row>
    <row r="964" spans="1:9" x14ac:dyDescent="0.3">
      <c r="A964" s="1" t="str">
        <f>IF(AND(Programme_Grunddaten!$A969="Geprüft",Programme_Grunddaten!B969&lt;&gt;""),Programme_Grunddaten!B969,"")</f>
        <v/>
      </c>
      <c r="B964" s="1" t="str">
        <f>IF(AND(Programme_Grunddaten!$A969="Geprüft",Programme_Grunddaten!C969&lt;&gt;""),Programme_Grunddaten!C969,"")</f>
        <v/>
      </c>
      <c r="C964" s="1" t="str">
        <f>IF(AND(Programme_Grunddaten!$A969="Geprüft",Programme_Grunddaten!D969&lt;&gt;""),Programme_Grunddaten!D969,"")</f>
        <v/>
      </c>
      <c r="D964" s="2" t="str">
        <f>IF(AND(Programme_Grunddaten!$A969="Geprüft",Programme_Grunddaten!E969&lt;&gt;""),Programme_Grunddaten!E969,"")</f>
        <v/>
      </c>
      <c r="E964" t="str">
        <f>IF(AND(Programme_Grunddaten!$A969="Geprüft",Programme_Grunddaten!G969&lt;&gt;""),Programme_Grunddaten!G969,"")</f>
        <v/>
      </c>
      <c r="F964" t="str">
        <f>IF(AND(Programme_Grunddaten!$A969="Geprüft",Programme_Grunddaten!F969&lt;&gt;""),Programme_Grunddaten!F969,"")</f>
        <v/>
      </c>
      <c r="G964" s="3" t="str">
        <f>IF(AND(Programme_Grunddaten!$A969="Geprüft",Programme_Grunddaten!S969&lt;&gt;""),Programme_Grunddaten!S969,"")</f>
        <v/>
      </c>
      <c r="H964" t="str">
        <f>IF(AND(Programme_Grunddaten!$A969="Geprüft",Programme_Grunddaten!AW969&lt;&gt;""),Programme_Grunddaten!AW969,"")</f>
        <v/>
      </c>
      <c r="I964" t="str">
        <f>IF(AND(Programme_Grunddaten!$A969="Geprüft",Programme_Grunddaten!AX969&lt;&gt;""),Programme_Grunddaten!AX969,"")</f>
        <v/>
      </c>
    </row>
    <row r="965" spans="1:9" x14ac:dyDescent="0.3">
      <c r="A965" s="1" t="str">
        <f>IF(AND(Programme_Grunddaten!$A970="Geprüft",Programme_Grunddaten!B970&lt;&gt;""),Programme_Grunddaten!B970,"")</f>
        <v/>
      </c>
      <c r="B965" s="1" t="str">
        <f>IF(AND(Programme_Grunddaten!$A970="Geprüft",Programme_Grunddaten!C970&lt;&gt;""),Programme_Grunddaten!C970,"")</f>
        <v/>
      </c>
      <c r="C965" s="1" t="str">
        <f>IF(AND(Programme_Grunddaten!$A970="Geprüft",Programme_Grunddaten!D970&lt;&gt;""),Programme_Grunddaten!D970,"")</f>
        <v/>
      </c>
      <c r="D965" s="2" t="str">
        <f>IF(AND(Programme_Grunddaten!$A970="Geprüft",Programme_Grunddaten!E970&lt;&gt;""),Programme_Grunddaten!E970,"")</f>
        <v/>
      </c>
      <c r="E965" t="str">
        <f>IF(AND(Programme_Grunddaten!$A970="Geprüft",Programme_Grunddaten!G970&lt;&gt;""),Programme_Grunddaten!G970,"")</f>
        <v/>
      </c>
      <c r="F965" t="str">
        <f>IF(AND(Programme_Grunddaten!$A970="Geprüft",Programme_Grunddaten!F970&lt;&gt;""),Programme_Grunddaten!F970,"")</f>
        <v/>
      </c>
      <c r="G965" s="3" t="str">
        <f>IF(AND(Programme_Grunddaten!$A970="Geprüft",Programme_Grunddaten!S970&lt;&gt;""),Programme_Grunddaten!S970,"")</f>
        <v/>
      </c>
      <c r="H965" t="str">
        <f>IF(AND(Programme_Grunddaten!$A970="Geprüft",Programme_Grunddaten!AW970&lt;&gt;""),Programme_Grunddaten!AW970,"")</f>
        <v/>
      </c>
      <c r="I965" t="str">
        <f>IF(AND(Programme_Grunddaten!$A970="Geprüft",Programme_Grunddaten!AX970&lt;&gt;""),Programme_Grunddaten!AX970,"")</f>
        <v/>
      </c>
    </row>
    <row r="966" spans="1:9" x14ac:dyDescent="0.3">
      <c r="A966" s="1" t="str">
        <f>IF(AND(Programme_Grunddaten!$A971="Geprüft",Programme_Grunddaten!B971&lt;&gt;""),Programme_Grunddaten!B971,"")</f>
        <v/>
      </c>
      <c r="B966" s="1" t="str">
        <f>IF(AND(Programme_Grunddaten!$A971="Geprüft",Programme_Grunddaten!C971&lt;&gt;""),Programme_Grunddaten!C971,"")</f>
        <v/>
      </c>
      <c r="C966" s="1" t="str">
        <f>IF(AND(Programme_Grunddaten!$A971="Geprüft",Programme_Grunddaten!D971&lt;&gt;""),Programme_Grunddaten!D971,"")</f>
        <v/>
      </c>
      <c r="D966" s="2" t="str">
        <f>IF(AND(Programme_Grunddaten!$A971="Geprüft",Programme_Grunddaten!E971&lt;&gt;""),Programme_Grunddaten!E971,"")</f>
        <v/>
      </c>
      <c r="E966" t="str">
        <f>IF(AND(Programme_Grunddaten!$A971="Geprüft",Programme_Grunddaten!G971&lt;&gt;""),Programme_Grunddaten!G971,"")</f>
        <v/>
      </c>
      <c r="F966" t="str">
        <f>IF(AND(Programme_Grunddaten!$A971="Geprüft",Programme_Grunddaten!F971&lt;&gt;""),Programme_Grunddaten!F971,"")</f>
        <v/>
      </c>
      <c r="G966" s="3" t="str">
        <f>IF(AND(Programme_Grunddaten!$A971="Geprüft",Programme_Grunddaten!S971&lt;&gt;""),Programme_Grunddaten!S971,"")</f>
        <v/>
      </c>
      <c r="H966" t="str">
        <f>IF(AND(Programme_Grunddaten!$A971="Geprüft",Programme_Grunddaten!AW971&lt;&gt;""),Programme_Grunddaten!AW971,"")</f>
        <v/>
      </c>
      <c r="I966" t="str">
        <f>IF(AND(Programme_Grunddaten!$A971="Geprüft",Programme_Grunddaten!AX971&lt;&gt;""),Programme_Grunddaten!AX971,"")</f>
        <v/>
      </c>
    </row>
    <row r="967" spans="1:9" x14ac:dyDescent="0.3">
      <c r="A967" s="1" t="str">
        <f>IF(AND(Programme_Grunddaten!$A972="Geprüft",Programme_Grunddaten!B972&lt;&gt;""),Programme_Grunddaten!B972,"")</f>
        <v/>
      </c>
      <c r="B967" s="1" t="str">
        <f>IF(AND(Programme_Grunddaten!$A972="Geprüft",Programme_Grunddaten!C972&lt;&gt;""),Programme_Grunddaten!C972,"")</f>
        <v/>
      </c>
      <c r="C967" s="1" t="str">
        <f>IF(AND(Programme_Grunddaten!$A972="Geprüft",Programme_Grunddaten!D972&lt;&gt;""),Programme_Grunddaten!D972,"")</f>
        <v/>
      </c>
      <c r="D967" s="2" t="str">
        <f>IF(AND(Programme_Grunddaten!$A972="Geprüft",Programme_Grunddaten!E972&lt;&gt;""),Programme_Grunddaten!E972,"")</f>
        <v/>
      </c>
      <c r="E967" t="str">
        <f>IF(AND(Programme_Grunddaten!$A972="Geprüft",Programme_Grunddaten!G972&lt;&gt;""),Programme_Grunddaten!G972,"")</f>
        <v/>
      </c>
      <c r="F967" t="str">
        <f>IF(AND(Programme_Grunddaten!$A972="Geprüft",Programme_Grunddaten!F972&lt;&gt;""),Programme_Grunddaten!F972,"")</f>
        <v/>
      </c>
      <c r="G967" s="3" t="str">
        <f>IF(AND(Programme_Grunddaten!$A972="Geprüft",Programme_Grunddaten!S972&lt;&gt;""),Programme_Grunddaten!S972,"")</f>
        <v/>
      </c>
      <c r="H967" t="str">
        <f>IF(AND(Programme_Grunddaten!$A972="Geprüft",Programme_Grunddaten!AW972&lt;&gt;""),Programme_Grunddaten!AW972,"")</f>
        <v/>
      </c>
      <c r="I967" t="str">
        <f>IF(AND(Programme_Grunddaten!$A972="Geprüft",Programme_Grunddaten!AX972&lt;&gt;""),Programme_Grunddaten!AX972,"")</f>
        <v/>
      </c>
    </row>
    <row r="968" spans="1:9" x14ac:dyDescent="0.3">
      <c r="A968" s="1" t="str">
        <f>IF(AND(Programme_Grunddaten!$A973="Geprüft",Programme_Grunddaten!B973&lt;&gt;""),Programme_Grunddaten!B973,"")</f>
        <v/>
      </c>
      <c r="B968" s="1" t="str">
        <f>IF(AND(Programme_Grunddaten!$A973="Geprüft",Programme_Grunddaten!C973&lt;&gt;""),Programme_Grunddaten!C973,"")</f>
        <v/>
      </c>
      <c r="C968" s="1" t="str">
        <f>IF(AND(Programme_Grunddaten!$A973="Geprüft",Programme_Grunddaten!D973&lt;&gt;""),Programme_Grunddaten!D973,"")</f>
        <v/>
      </c>
      <c r="D968" s="2" t="str">
        <f>IF(AND(Programme_Grunddaten!$A973="Geprüft",Programme_Grunddaten!E973&lt;&gt;""),Programme_Grunddaten!E973,"")</f>
        <v/>
      </c>
      <c r="E968" t="str">
        <f>IF(AND(Programme_Grunddaten!$A973="Geprüft",Programme_Grunddaten!G973&lt;&gt;""),Programme_Grunddaten!G973,"")</f>
        <v/>
      </c>
      <c r="F968" t="str">
        <f>IF(AND(Programme_Grunddaten!$A973="Geprüft",Programme_Grunddaten!F973&lt;&gt;""),Programme_Grunddaten!F973,"")</f>
        <v/>
      </c>
      <c r="G968" s="3" t="str">
        <f>IF(AND(Programme_Grunddaten!$A973="Geprüft",Programme_Grunddaten!S973&lt;&gt;""),Programme_Grunddaten!S973,"")</f>
        <v/>
      </c>
      <c r="H968" t="str">
        <f>IF(AND(Programme_Grunddaten!$A973="Geprüft",Programme_Grunddaten!AW973&lt;&gt;""),Programme_Grunddaten!AW973,"")</f>
        <v/>
      </c>
      <c r="I968" t="str">
        <f>IF(AND(Programme_Grunddaten!$A973="Geprüft",Programme_Grunddaten!AX973&lt;&gt;""),Programme_Grunddaten!AX973,"")</f>
        <v/>
      </c>
    </row>
    <row r="969" spans="1:9" x14ac:dyDescent="0.3">
      <c r="A969" s="1" t="str">
        <f>IF(AND(Programme_Grunddaten!$A974="Geprüft",Programme_Grunddaten!B974&lt;&gt;""),Programme_Grunddaten!B974,"")</f>
        <v/>
      </c>
      <c r="B969" s="1" t="str">
        <f>IF(AND(Programme_Grunddaten!$A974="Geprüft",Programme_Grunddaten!C974&lt;&gt;""),Programme_Grunddaten!C974,"")</f>
        <v/>
      </c>
      <c r="C969" s="1" t="str">
        <f>IF(AND(Programme_Grunddaten!$A974="Geprüft",Programme_Grunddaten!D974&lt;&gt;""),Programme_Grunddaten!D974,"")</f>
        <v/>
      </c>
      <c r="D969" s="2" t="str">
        <f>IF(AND(Programme_Grunddaten!$A974="Geprüft",Programme_Grunddaten!E974&lt;&gt;""),Programme_Grunddaten!E974,"")</f>
        <v/>
      </c>
      <c r="E969" t="str">
        <f>IF(AND(Programme_Grunddaten!$A974="Geprüft",Programme_Grunddaten!G974&lt;&gt;""),Programme_Grunddaten!G974,"")</f>
        <v/>
      </c>
      <c r="F969" t="str">
        <f>IF(AND(Programme_Grunddaten!$A974="Geprüft",Programme_Grunddaten!F974&lt;&gt;""),Programme_Grunddaten!F974,"")</f>
        <v/>
      </c>
      <c r="G969" s="3" t="str">
        <f>IF(AND(Programme_Grunddaten!$A974="Geprüft",Programme_Grunddaten!S974&lt;&gt;""),Programme_Grunddaten!S974,"")</f>
        <v/>
      </c>
      <c r="H969" t="str">
        <f>IF(AND(Programme_Grunddaten!$A974="Geprüft",Programme_Grunddaten!AW974&lt;&gt;""),Programme_Grunddaten!AW974,"")</f>
        <v/>
      </c>
      <c r="I969" t="str">
        <f>IF(AND(Programme_Grunddaten!$A974="Geprüft",Programme_Grunddaten!AX974&lt;&gt;""),Programme_Grunddaten!AX974,"")</f>
        <v/>
      </c>
    </row>
    <row r="970" spans="1:9" x14ac:dyDescent="0.3">
      <c r="A970" s="1" t="str">
        <f>IF(AND(Programme_Grunddaten!$A975="Geprüft",Programme_Grunddaten!B975&lt;&gt;""),Programme_Grunddaten!B975,"")</f>
        <v/>
      </c>
      <c r="B970" s="1" t="str">
        <f>IF(AND(Programme_Grunddaten!$A975="Geprüft",Programme_Grunddaten!C975&lt;&gt;""),Programme_Grunddaten!C975,"")</f>
        <v/>
      </c>
      <c r="C970" s="1" t="str">
        <f>IF(AND(Programme_Grunddaten!$A975="Geprüft",Programme_Grunddaten!D975&lt;&gt;""),Programme_Grunddaten!D975,"")</f>
        <v/>
      </c>
      <c r="D970" s="2" t="str">
        <f>IF(AND(Programme_Grunddaten!$A975="Geprüft",Programme_Grunddaten!E975&lt;&gt;""),Programme_Grunddaten!E975,"")</f>
        <v/>
      </c>
      <c r="E970" t="str">
        <f>IF(AND(Programme_Grunddaten!$A975="Geprüft",Programme_Grunddaten!G975&lt;&gt;""),Programme_Grunddaten!G975,"")</f>
        <v/>
      </c>
      <c r="F970" t="str">
        <f>IF(AND(Programme_Grunddaten!$A975="Geprüft",Programme_Grunddaten!F975&lt;&gt;""),Programme_Grunddaten!F975,"")</f>
        <v/>
      </c>
      <c r="G970" s="3" t="str">
        <f>IF(AND(Programme_Grunddaten!$A975="Geprüft",Programme_Grunddaten!S975&lt;&gt;""),Programme_Grunddaten!S975,"")</f>
        <v/>
      </c>
      <c r="H970" t="str">
        <f>IF(AND(Programme_Grunddaten!$A975="Geprüft",Programme_Grunddaten!AW975&lt;&gt;""),Programme_Grunddaten!AW975,"")</f>
        <v/>
      </c>
      <c r="I970" t="str">
        <f>IF(AND(Programme_Grunddaten!$A975="Geprüft",Programme_Grunddaten!AX975&lt;&gt;""),Programme_Grunddaten!AX975,"")</f>
        <v/>
      </c>
    </row>
    <row r="971" spans="1:9" x14ac:dyDescent="0.3">
      <c r="A971" s="1" t="str">
        <f>IF(AND(Programme_Grunddaten!$A976="Geprüft",Programme_Grunddaten!B976&lt;&gt;""),Programme_Grunddaten!B976,"")</f>
        <v/>
      </c>
      <c r="B971" s="1" t="str">
        <f>IF(AND(Programme_Grunddaten!$A976="Geprüft",Programme_Grunddaten!C976&lt;&gt;""),Programme_Grunddaten!C976,"")</f>
        <v/>
      </c>
      <c r="C971" s="1" t="str">
        <f>IF(AND(Programme_Grunddaten!$A976="Geprüft",Programme_Grunddaten!D976&lt;&gt;""),Programme_Grunddaten!D976,"")</f>
        <v/>
      </c>
      <c r="D971" s="2" t="str">
        <f>IF(AND(Programme_Grunddaten!$A976="Geprüft",Programme_Grunddaten!E976&lt;&gt;""),Programme_Grunddaten!E976,"")</f>
        <v/>
      </c>
      <c r="E971" t="str">
        <f>IF(AND(Programme_Grunddaten!$A976="Geprüft",Programme_Grunddaten!G976&lt;&gt;""),Programme_Grunddaten!G976,"")</f>
        <v/>
      </c>
      <c r="F971" t="str">
        <f>IF(AND(Programme_Grunddaten!$A976="Geprüft",Programme_Grunddaten!F976&lt;&gt;""),Programme_Grunddaten!F976,"")</f>
        <v/>
      </c>
      <c r="G971" s="3" t="str">
        <f>IF(AND(Programme_Grunddaten!$A976="Geprüft",Programme_Grunddaten!S976&lt;&gt;""),Programme_Grunddaten!S976,"")</f>
        <v/>
      </c>
      <c r="H971" t="str">
        <f>IF(AND(Programme_Grunddaten!$A976="Geprüft",Programme_Grunddaten!AW976&lt;&gt;""),Programme_Grunddaten!AW976,"")</f>
        <v/>
      </c>
      <c r="I971" t="str">
        <f>IF(AND(Programme_Grunddaten!$A976="Geprüft",Programme_Grunddaten!AX976&lt;&gt;""),Programme_Grunddaten!AX976,"")</f>
        <v/>
      </c>
    </row>
    <row r="972" spans="1:9" x14ac:dyDescent="0.3">
      <c r="A972" s="1" t="str">
        <f>IF(AND(Programme_Grunddaten!$A977="Geprüft",Programme_Grunddaten!B977&lt;&gt;""),Programme_Grunddaten!B977,"")</f>
        <v/>
      </c>
      <c r="B972" s="1" t="str">
        <f>IF(AND(Programme_Grunddaten!$A977="Geprüft",Programme_Grunddaten!C977&lt;&gt;""),Programme_Grunddaten!C977,"")</f>
        <v/>
      </c>
      <c r="C972" s="1" t="str">
        <f>IF(AND(Programme_Grunddaten!$A977="Geprüft",Programme_Grunddaten!D977&lt;&gt;""),Programme_Grunddaten!D977,"")</f>
        <v/>
      </c>
      <c r="D972" s="2" t="str">
        <f>IF(AND(Programme_Grunddaten!$A977="Geprüft",Programme_Grunddaten!E977&lt;&gt;""),Programme_Grunddaten!E977,"")</f>
        <v/>
      </c>
      <c r="E972" t="str">
        <f>IF(AND(Programme_Grunddaten!$A977="Geprüft",Programme_Grunddaten!G977&lt;&gt;""),Programme_Grunddaten!G977,"")</f>
        <v/>
      </c>
      <c r="F972" t="str">
        <f>IF(AND(Programme_Grunddaten!$A977="Geprüft",Programme_Grunddaten!F977&lt;&gt;""),Programme_Grunddaten!F977,"")</f>
        <v/>
      </c>
      <c r="G972" s="3" t="str">
        <f>IF(AND(Programme_Grunddaten!$A977="Geprüft",Programme_Grunddaten!S977&lt;&gt;""),Programme_Grunddaten!S977,"")</f>
        <v/>
      </c>
      <c r="H972" t="str">
        <f>IF(AND(Programme_Grunddaten!$A977="Geprüft",Programme_Grunddaten!AW977&lt;&gt;""),Programme_Grunddaten!AW977,"")</f>
        <v/>
      </c>
      <c r="I972" t="str">
        <f>IF(AND(Programme_Grunddaten!$A977="Geprüft",Programme_Grunddaten!AX977&lt;&gt;""),Programme_Grunddaten!AX977,"")</f>
        <v/>
      </c>
    </row>
    <row r="973" spans="1:9" x14ac:dyDescent="0.3">
      <c r="A973" s="1" t="str">
        <f>IF(AND(Programme_Grunddaten!$A978="Geprüft",Programme_Grunddaten!B978&lt;&gt;""),Programme_Grunddaten!B978,"")</f>
        <v/>
      </c>
      <c r="B973" s="1" t="str">
        <f>IF(AND(Programme_Grunddaten!$A978="Geprüft",Programme_Grunddaten!C978&lt;&gt;""),Programme_Grunddaten!C978,"")</f>
        <v/>
      </c>
      <c r="C973" s="1" t="str">
        <f>IF(AND(Programme_Grunddaten!$A978="Geprüft",Programme_Grunddaten!D978&lt;&gt;""),Programme_Grunddaten!D978,"")</f>
        <v/>
      </c>
      <c r="D973" s="2" t="str">
        <f>IF(AND(Programme_Grunddaten!$A978="Geprüft",Programme_Grunddaten!E978&lt;&gt;""),Programme_Grunddaten!E978,"")</f>
        <v/>
      </c>
      <c r="E973" t="str">
        <f>IF(AND(Programme_Grunddaten!$A978="Geprüft",Programme_Grunddaten!G978&lt;&gt;""),Programme_Grunddaten!G978,"")</f>
        <v/>
      </c>
      <c r="F973" t="str">
        <f>IF(AND(Programme_Grunddaten!$A978="Geprüft",Programme_Grunddaten!F978&lt;&gt;""),Programme_Grunddaten!F978,"")</f>
        <v/>
      </c>
      <c r="G973" s="3" t="str">
        <f>IF(AND(Programme_Grunddaten!$A978="Geprüft",Programme_Grunddaten!S978&lt;&gt;""),Programme_Grunddaten!S978,"")</f>
        <v/>
      </c>
      <c r="H973" t="str">
        <f>IF(AND(Programme_Grunddaten!$A978="Geprüft",Programme_Grunddaten!AW978&lt;&gt;""),Programme_Grunddaten!AW978,"")</f>
        <v/>
      </c>
      <c r="I973" t="str">
        <f>IF(AND(Programme_Grunddaten!$A978="Geprüft",Programme_Grunddaten!AX978&lt;&gt;""),Programme_Grunddaten!AX978,"")</f>
        <v/>
      </c>
    </row>
    <row r="974" spans="1:9" x14ac:dyDescent="0.3">
      <c r="A974" s="1" t="str">
        <f>IF(AND(Programme_Grunddaten!$A979="Geprüft",Programme_Grunddaten!B979&lt;&gt;""),Programme_Grunddaten!B979,"")</f>
        <v/>
      </c>
      <c r="B974" s="1" t="str">
        <f>IF(AND(Programme_Grunddaten!$A979="Geprüft",Programme_Grunddaten!C979&lt;&gt;""),Programme_Grunddaten!C979,"")</f>
        <v/>
      </c>
      <c r="C974" s="1" t="str">
        <f>IF(AND(Programme_Grunddaten!$A979="Geprüft",Programme_Grunddaten!D979&lt;&gt;""),Programme_Grunddaten!D979,"")</f>
        <v/>
      </c>
      <c r="D974" s="2" t="str">
        <f>IF(AND(Programme_Grunddaten!$A979="Geprüft",Programme_Grunddaten!E979&lt;&gt;""),Programme_Grunddaten!E979,"")</f>
        <v/>
      </c>
      <c r="E974" t="str">
        <f>IF(AND(Programme_Grunddaten!$A979="Geprüft",Programme_Grunddaten!G979&lt;&gt;""),Programme_Grunddaten!G979,"")</f>
        <v/>
      </c>
      <c r="F974" t="str">
        <f>IF(AND(Programme_Grunddaten!$A979="Geprüft",Programme_Grunddaten!F979&lt;&gt;""),Programme_Grunddaten!F979,"")</f>
        <v/>
      </c>
      <c r="G974" s="3" t="str">
        <f>IF(AND(Programme_Grunddaten!$A979="Geprüft",Programme_Grunddaten!S979&lt;&gt;""),Programme_Grunddaten!S979,"")</f>
        <v/>
      </c>
      <c r="H974" t="str">
        <f>IF(AND(Programme_Grunddaten!$A979="Geprüft",Programme_Grunddaten!AW979&lt;&gt;""),Programme_Grunddaten!AW979,"")</f>
        <v/>
      </c>
      <c r="I974" t="str">
        <f>IF(AND(Programme_Grunddaten!$A979="Geprüft",Programme_Grunddaten!AX979&lt;&gt;""),Programme_Grunddaten!AX979,"")</f>
        <v/>
      </c>
    </row>
    <row r="975" spans="1:9" x14ac:dyDescent="0.3">
      <c r="A975" s="1" t="str">
        <f>IF(AND(Programme_Grunddaten!$A980="Geprüft",Programme_Grunddaten!B980&lt;&gt;""),Programme_Grunddaten!B980,"")</f>
        <v/>
      </c>
      <c r="B975" s="1" t="str">
        <f>IF(AND(Programme_Grunddaten!$A980="Geprüft",Programme_Grunddaten!C980&lt;&gt;""),Programme_Grunddaten!C980,"")</f>
        <v/>
      </c>
      <c r="C975" s="1" t="str">
        <f>IF(AND(Programme_Grunddaten!$A980="Geprüft",Programme_Grunddaten!D980&lt;&gt;""),Programme_Grunddaten!D980,"")</f>
        <v/>
      </c>
      <c r="D975" s="2" t="str">
        <f>IF(AND(Programme_Grunddaten!$A980="Geprüft",Programme_Grunddaten!E980&lt;&gt;""),Programme_Grunddaten!E980,"")</f>
        <v/>
      </c>
      <c r="E975" t="str">
        <f>IF(AND(Programme_Grunddaten!$A980="Geprüft",Programme_Grunddaten!G980&lt;&gt;""),Programme_Grunddaten!G980,"")</f>
        <v/>
      </c>
      <c r="F975" t="str">
        <f>IF(AND(Programme_Grunddaten!$A980="Geprüft",Programme_Grunddaten!F980&lt;&gt;""),Programme_Grunddaten!F980,"")</f>
        <v/>
      </c>
      <c r="G975" s="3" t="str">
        <f>IF(AND(Programme_Grunddaten!$A980="Geprüft",Programme_Grunddaten!S980&lt;&gt;""),Programme_Grunddaten!S980,"")</f>
        <v/>
      </c>
      <c r="H975" t="str">
        <f>IF(AND(Programme_Grunddaten!$A980="Geprüft",Programme_Grunddaten!AW980&lt;&gt;""),Programme_Grunddaten!AW980,"")</f>
        <v/>
      </c>
      <c r="I975" t="str">
        <f>IF(AND(Programme_Grunddaten!$A980="Geprüft",Programme_Grunddaten!AX980&lt;&gt;""),Programme_Grunddaten!AX980,"")</f>
        <v/>
      </c>
    </row>
    <row r="976" spans="1:9" x14ac:dyDescent="0.3">
      <c r="A976" s="1" t="str">
        <f>IF(AND(Programme_Grunddaten!$A981="Geprüft",Programme_Grunddaten!B981&lt;&gt;""),Programme_Grunddaten!B981,"")</f>
        <v/>
      </c>
      <c r="B976" s="1" t="str">
        <f>IF(AND(Programme_Grunddaten!$A981="Geprüft",Programme_Grunddaten!C981&lt;&gt;""),Programme_Grunddaten!C981,"")</f>
        <v/>
      </c>
      <c r="C976" s="1" t="str">
        <f>IF(AND(Programme_Grunddaten!$A981="Geprüft",Programme_Grunddaten!D981&lt;&gt;""),Programme_Grunddaten!D981,"")</f>
        <v/>
      </c>
      <c r="D976" s="2" t="str">
        <f>IF(AND(Programme_Grunddaten!$A981="Geprüft",Programme_Grunddaten!E981&lt;&gt;""),Programme_Grunddaten!E981,"")</f>
        <v/>
      </c>
      <c r="E976" t="str">
        <f>IF(AND(Programme_Grunddaten!$A981="Geprüft",Programme_Grunddaten!G981&lt;&gt;""),Programme_Grunddaten!G981,"")</f>
        <v/>
      </c>
      <c r="F976" t="str">
        <f>IF(AND(Programme_Grunddaten!$A981="Geprüft",Programme_Grunddaten!F981&lt;&gt;""),Programme_Grunddaten!F981,"")</f>
        <v/>
      </c>
      <c r="G976" s="3" t="str">
        <f>IF(AND(Programme_Grunddaten!$A981="Geprüft",Programme_Grunddaten!S981&lt;&gt;""),Programme_Grunddaten!S981,"")</f>
        <v/>
      </c>
      <c r="H976" t="str">
        <f>IF(AND(Programme_Grunddaten!$A981="Geprüft",Programme_Grunddaten!AW981&lt;&gt;""),Programme_Grunddaten!AW981,"")</f>
        <v/>
      </c>
      <c r="I976" t="str">
        <f>IF(AND(Programme_Grunddaten!$A981="Geprüft",Programme_Grunddaten!AX981&lt;&gt;""),Programme_Grunddaten!AX981,"")</f>
        <v/>
      </c>
    </row>
    <row r="977" spans="1:9" x14ac:dyDescent="0.3">
      <c r="A977" s="1" t="str">
        <f>IF(AND(Programme_Grunddaten!$A982="Geprüft",Programme_Grunddaten!B982&lt;&gt;""),Programme_Grunddaten!B982,"")</f>
        <v/>
      </c>
      <c r="B977" s="1" t="str">
        <f>IF(AND(Programme_Grunddaten!$A982="Geprüft",Programme_Grunddaten!C982&lt;&gt;""),Programme_Grunddaten!C982,"")</f>
        <v/>
      </c>
      <c r="C977" s="1" t="str">
        <f>IF(AND(Programme_Grunddaten!$A982="Geprüft",Programme_Grunddaten!D982&lt;&gt;""),Programme_Grunddaten!D982,"")</f>
        <v/>
      </c>
      <c r="D977" s="2" t="str">
        <f>IF(AND(Programme_Grunddaten!$A982="Geprüft",Programme_Grunddaten!E982&lt;&gt;""),Programme_Grunddaten!E982,"")</f>
        <v/>
      </c>
      <c r="E977" t="str">
        <f>IF(AND(Programme_Grunddaten!$A982="Geprüft",Programme_Grunddaten!G982&lt;&gt;""),Programme_Grunddaten!G982,"")</f>
        <v/>
      </c>
      <c r="F977" t="str">
        <f>IF(AND(Programme_Grunddaten!$A982="Geprüft",Programme_Grunddaten!F982&lt;&gt;""),Programme_Grunddaten!F982,"")</f>
        <v/>
      </c>
      <c r="G977" s="3" t="str">
        <f>IF(AND(Programme_Grunddaten!$A982="Geprüft",Programme_Grunddaten!S982&lt;&gt;""),Programme_Grunddaten!S982,"")</f>
        <v/>
      </c>
      <c r="H977" t="str">
        <f>IF(AND(Programme_Grunddaten!$A982="Geprüft",Programme_Grunddaten!AW982&lt;&gt;""),Programme_Grunddaten!AW982,"")</f>
        <v/>
      </c>
      <c r="I977" t="str">
        <f>IF(AND(Programme_Grunddaten!$A982="Geprüft",Programme_Grunddaten!AX982&lt;&gt;""),Programme_Grunddaten!AX982,"")</f>
        <v/>
      </c>
    </row>
    <row r="978" spans="1:9" x14ac:dyDescent="0.3">
      <c r="A978" s="1" t="str">
        <f>IF(AND(Programme_Grunddaten!$A983="Geprüft",Programme_Grunddaten!B983&lt;&gt;""),Programme_Grunddaten!B983,"")</f>
        <v/>
      </c>
      <c r="B978" s="1" t="str">
        <f>IF(AND(Programme_Grunddaten!$A983="Geprüft",Programme_Grunddaten!C983&lt;&gt;""),Programme_Grunddaten!C983,"")</f>
        <v/>
      </c>
      <c r="C978" s="1" t="str">
        <f>IF(AND(Programme_Grunddaten!$A983="Geprüft",Programme_Grunddaten!D983&lt;&gt;""),Programme_Grunddaten!D983,"")</f>
        <v/>
      </c>
      <c r="D978" s="2" t="str">
        <f>IF(AND(Programme_Grunddaten!$A983="Geprüft",Programme_Grunddaten!E983&lt;&gt;""),Programme_Grunddaten!E983,"")</f>
        <v/>
      </c>
      <c r="E978" t="str">
        <f>IF(AND(Programme_Grunddaten!$A983="Geprüft",Programme_Grunddaten!G983&lt;&gt;""),Programme_Grunddaten!G983,"")</f>
        <v/>
      </c>
      <c r="F978" t="str">
        <f>IF(AND(Programme_Grunddaten!$A983="Geprüft",Programme_Grunddaten!F983&lt;&gt;""),Programme_Grunddaten!F983,"")</f>
        <v/>
      </c>
      <c r="G978" s="3" t="str">
        <f>IF(AND(Programme_Grunddaten!$A983="Geprüft",Programme_Grunddaten!S983&lt;&gt;""),Programme_Grunddaten!S983,"")</f>
        <v/>
      </c>
      <c r="H978" t="str">
        <f>IF(AND(Programme_Grunddaten!$A983="Geprüft",Programme_Grunddaten!AW983&lt;&gt;""),Programme_Grunddaten!AW983,"")</f>
        <v/>
      </c>
      <c r="I978" t="str">
        <f>IF(AND(Programme_Grunddaten!$A983="Geprüft",Programme_Grunddaten!AX983&lt;&gt;""),Programme_Grunddaten!AX983,"")</f>
        <v/>
      </c>
    </row>
    <row r="979" spans="1:9" x14ac:dyDescent="0.3">
      <c r="A979" s="1" t="str">
        <f>IF(AND(Programme_Grunddaten!$A984="Geprüft",Programme_Grunddaten!B984&lt;&gt;""),Programme_Grunddaten!B984,"")</f>
        <v/>
      </c>
      <c r="B979" s="1" t="str">
        <f>IF(AND(Programme_Grunddaten!$A984="Geprüft",Programme_Grunddaten!C984&lt;&gt;""),Programme_Grunddaten!C984,"")</f>
        <v/>
      </c>
      <c r="C979" s="1" t="str">
        <f>IF(AND(Programme_Grunddaten!$A984="Geprüft",Programme_Grunddaten!D984&lt;&gt;""),Programme_Grunddaten!D984,"")</f>
        <v/>
      </c>
      <c r="D979" s="2" t="str">
        <f>IF(AND(Programme_Grunddaten!$A984="Geprüft",Programme_Grunddaten!E984&lt;&gt;""),Programme_Grunddaten!E984,"")</f>
        <v/>
      </c>
      <c r="E979" t="str">
        <f>IF(AND(Programme_Grunddaten!$A984="Geprüft",Programme_Grunddaten!G984&lt;&gt;""),Programme_Grunddaten!G984,"")</f>
        <v/>
      </c>
      <c r="F979" t="str">
        <f>IF(AND(Programme_Grunddaten!$A984="Geprüft",Programme_Grunddaten!F984&lt;&gt;""),Programme_Grunddaten!F984,"")</f>
        <v/>
      </c>
      <c r="G979" s="3" t="str">
        <f>IF(AND(Programme_Grunddaten!$A984="Geprüft",Programme_Grunddaten!S984&lt;&gt;""),Programme_Grunddaten!S984,"")</f>
        <v/>
      </c>
      <c r="H979" t="str">
        <f>IF(AND(Programme_Grunddaten!$A984="Geprüft",Programme_Grunddaten!AW984&lt;&gt;""),Programme_Grunddaten!AW984,"")</f>
        <v/>
      </c>
      <c r="I979" t="str">
        <f>IF(AND(Programme_Grunddaten!$A984="Geprüft",Programme_Grunddaten!AX984&lt;&gt;""),Programme_Grunddaten!AX984,"")</f>
        <v/>
      </c>
    </row>
    <row r="980" spans="1:9" x14ac:dyDescent="0.3">
      <c r="A980" s="1" t="str">
        <f>IF(AND(Programme_Grunddaten!$A985="Geprüft",Programme_Grunddaten!B985&lt;&gt;""),Programme_Grunddaten!B985,"")</f>
        <v/>
      </c>
      <c r="B980" s="1" t="str">
        <f>IF(AND(Programme_Grunddaten!$A985="Geprüft",Programme_Grunddaten!C985&lt;&gt;""),Programme_Grunddaten!C985,"")</f>
        <v/>
      </c>
      <c r="C980" s="1" t="str">
        <f>IF(AND(Programme_Grunddaten!$A985="Geprüft",Programme_Grunddaten!D985&lt;&gt;""),Programme_Grunddaten!D985,"")</f>
        <v/>
      </c>
      <c r="D980" s="2" t="str">
        <f>IF(AND(Programme_Grunddaten!$A985="Geprüft",Programme_Grunddaten!E985&lt;&gt;""),Programme_Grunddaten!E985,"")</f>
        <v/>
      </c>
      <c r="E980" t="str">
        <f>IF(AND(Programme_Grunddaten!$A985="Geprüft",Programme_Grunddaten!G985&lt;&gt;""),Programme_Grunddaten!G985,"")</f>
        <v/>
      </c>
      <c r="F980" t="str">
        <f>IF(AND(Programme_Grunddaten!$A985="Geprüft",Programme_Grunddaten!F985&lt;&gt;""),Programme_Grunddaten!F985,"")</f>
        <v/>
      </c>
      <c r="G980" s="3" t="str">
        <f>IF(AND(Programme_Grunddaten!$A985="Geprüft",Programme_Grunddaten!S985&lt;&gt;""),Programme_Grunddaten!S985,"")</f>
        <v/>
      </c>
      <c r="H980" t="str">
        <f>IF(AND(Programme_Grunddaten!$A985="Geprüft",Programme_Grunddaten!AW985&lt;&gt;""),Programme_Grunddaten!AW985,"")</f>
        <v/>
      </c>
      <c r="I980" t="str">
        <f>IF(AND(Programme_Grunddaten!$A985="Geprüft",Programme_Grunddaten!AX985&lt;&gt;""),Programme_Grunddaten!AX985,"")</f>
        <v/>
      </c>
    </row>
    <row r="981" spans="1:9" x14ac:dyDescent="0.3">
      <c r="A981" s="1" t="str">
        <f>IF(AND(Programme_Grunddaten!$A986="Geprüft",Programme_Grunddaten!B986&lt;&gt;""),Programme_Grunddaten!B986,"")</f>
        <v/>
      </c>
      <c r="B981" s="1" t="str">
        <f>IF(AND(Programme_Grunddaten!$A986="Geprüft",Programme_Grunddaten!C986&lt;&gt;""),Programme_Grunddaten!C986,"")</f>
        <v/>
      </c>
      <c r="C981" s="1" t="str">
        <f>IF(AND(Programme_Grunddaten!$A986="Geprüft",Programme_Grunddaten!D986&lt;&gt;""),Programme_Grunddaten!D986,"")</f>
        <v/>
      </c>
      <c r="D981" s="2" t="str">
        <f>IF(AND(Programme_Grunddaten!$A986="Geprüft",Programme_Grunddaten!E986&lt;&gt;""),Programme_Grunddaten!E986,"")</f>
        <v/>
      </c>
      <c r="E981" t="str">
        <f>IF(AND(Programme_Grunddaten!$A986="Geprüft",Programme_Grunddaten!G986&lt;&gt;""),Programme_Grunddaten!G986,"")</f>
        <v/>
      </c>
      <c r="F981" t="str">
        <f>IF(AND(Programme_Grunddaten!$A986="Geprüft",Programme_Grunddaten!F986&lt;&gt;""),Programme_Grunddaten!F986,"")</f>
        <v/>
      </c>
      <c r="G981" s="3" t="str">
        <f>IF(AND(Programme_Grunddaten!$A986="Geprüft",Programme_Grunddaten!S986&lt;&gt;""),Programme_Grunddaten!S986,"")</f>
        <v/>
      </c>
      <c r="H981" t="str">
        <f>IF(AND(Programme_Grunddaten!$A986="Geprüft",Programme_Grunddaten!AW986&lt;&gt;""),Programme_Grunddaten!AW986,"")</f>
        <v/>
      </c>
      <c r="I981" t="str">
        <f>IF(AND(Programme_Grunddaten!$A986="Geprüft",Programme_Grunddaten!AX986&lt;&gt;""),Programme_Grunddaten!AX986,"")</f>
        <v/>
      </c>
    </row>
    <row r="982" spans="1:9" x14ac:dyDescent="0.3">
      <c r="A982" s="1" t="str">
        <f>IF(AND(Programme_Grunddaten!$A987="Geprüft",Programme_Grunddaten!B987&lt;&gt;""),Programme_Grunddaten!B987,"")</f>
        <v/>
      </c>
      <c r="B982" s="1" t="str">
        <f>IF(AND(Programme_Grunddaten!$A987="Geprüft",Programme_Grunddaten!C987&lt;&gt;""),Programme_Grunddaten!C987,"")</f>
        <v/>
      </c>
      <c r="C982" s="1" t="str">
        <f>IF(AND(Programme_Grunddaten!$A987="Geprüft",Programme_Grunddaten!D987&lt;&gt;""),Programme_Grunddaten!D987,"")</f>
        <v/>
      </c>
      <c r="D982" s="2" t="str">
        <f>IF(AND(Programme_Grunddaten!$A987="Geprüft",Programme_Grunddaten!E987&lt;&gt;""),Programme_Grunddaten!E987,"")</f>
        <v/>
      </c>
      <c r="E982" t="str">
        <f>IF(AND(Programme_Grunddaten!$A987="Geprüft",Programme_Grunddaten!G987&lt;&gt;""),Programme_Grunddaten!G987,"")</f>
        <v/>
      </c>
      <c r="F982" t="str">
        <f>IF(AND(Programme_Grunddaten!$A987="Geprüft",Programme_Grunddaten!F987&lt;&gt;""),Programme_Grunddaten!F987,"")</f>
        <v/>
      </c>
      <c r="G982" s="3" t="str">
        <f>IF(AND(Programme_Grunddaten!$A987="Geprüft",Programme_Grunddaten!S987&lt;&gt;""),Programme_Grunddaten!S987,"")</f>
        <v/>
      </c>
      <c r="H982" t="str">
        <f>IF(AND(Programme_Grunddaten!$A987="Geprüft",Programme_Grunddaten!AW987&lt;&gt;""),Programme_Grunddaten!AW987,"")</f>
        <v/>
      </c>
      <c r="I982" t="str">
        <f>IF(AND(Programme_Grunddaten!$A987="Geprüft",Programme_Grunddaten!AX987&lt;&gt;""),Programme_Grunddaten!AX987,"")</f>
        <v/>
      </c>
    </row>
    <row r="983" spans="1:9" x14ac:dyDescent="0.3">
      <c r="A983" s="1" t="str">
        <f>IF(AND(Programme_Grunddaten!$A988="Geprüft",Programme_Grunddaten!B988&lt;&gt;""),Programme_Grunddaten!B988,"")</f>
        <v/>
      </c>
      <c r="B983" s="1" t="str">
        <f>IF(AND(Programme_Grunddaten!$A988="Geprüft",Programme_Grunddaten!C988&lt;&gt;""),Programme_Grunddaten!C988,"")</f>
        <v/>
      </c>
      <c r="C983" s="1" t="str">
        <f>IF(AND(Programme_Grunddaten!$A988="Geprüft",Programme_Grunddaten!D988&lt;&gt;""),Programme_Grunddaten!D988,"")</f>
        <v/>
      </c>
      <c r="D983" s="2" t="str">
        <f>IF(AND(Programme_Grunddaten!$A988="Geprüft",Programme_Grunddaten!E988&lt;&gt;""),Programme_Grunddaten!E988,"")</f>
        <v/>
      </c>
      <c r="E983" t="str">
        <f>IF(AND(Programme_Grunddaten!$A988="Geprüft",Programme_Grunddaten!G988&lt;&gt;""),Programme_Grunddaten!G988,"")</f>
        <v/>
      </c>
      <c r="F983" t="str">
        <f>IF(AND(Programme_Grunddaten!$A988="Geprüft",Programme_Grunddaten!F988&lt;&gt;""),Programme_Grunddaten!F988,"")</f>
        <v/>
      </c>
      <c r="G983" s="3" t="str">
        <f>IF(AND(Programme_Grunddaten!$A988="Geprüft",Programme_Grunddaten!S988&lt;&gt;""),Programme_Grunddaten!S988,"")</f>
        <v/>
      </c>
      <c r="H983" t="str">
        <f>IF(AND(Programme_Grunddaten!$A988="Geprüft",Programme_Grunddaten!AW988&lt;&gt;""),Programme_Grunddaten!AW988,"")</f>
        <v/>
      </c>
      <c r="I983" t="str">
        <f>IF(AND(Programme_Grunddaten!$A988="Geprüft",Programme_Grunddaten!AX988&lt;&gt;""),Programme_Grunddaten!AX988,"")</f>
        <v/>
      </c>
    </row>
    <row r="984" spans="1:9" x14ac:dyDescent="0.3">
      <c r="A984" s="1" t="str">
        <f>IF(AND(Programme_Grunddaten!$A989="Geprüft",Programme_Grunddaten!B989&lt;&gt;""),Programme_Grunddaten!B989,"")</f>
        <v/>
      </c>
      <c r="B984" s="1" t="str">
        <f>IF(AND(Programme_Grunddaten!$A989="Geprüft",Programme_Grunddaten!C989&lt;&gt;""),Programme_Grunddaten!C989,"")</f>
        <v/>
      </c>
      <c r="C984" s="1" t="str">
        <f>IF(AND(Programme_Grunddaten!$A989="Geprüft",Programme_Grunddaten!D989&lt;&gt;""),Programme_Grunddaten!D989,"")</f>
        <v/>
      </c>
      <c r="D984" s="2" t="str">
        <f>IF(AND(Programme_Grunddaten!$A989="Geprüft",Programme_Grunddaten!E989&lt;&gt;""),Programme_Grunddaten!E989,"")</f>
        <v/>
      </c>
      <c r="E984" t="str">
        <f>IF(AND(Programme_Grunddaten!$A989="Geprüft",Programme_Grunddaten!G989&lt;&gt;""),Programme_Grunddaten!G989,"")</f>
        <v/>
      </c>
      <c r="F984" t="str">
        <f>IF(AND(Programme_Grunddaten!$A989="Geprüft",Programme_Grunddaten!F989&lt;&gt;""),Programme_Grunddaten!F989,"")</f>
        <v/>
      </c>
      <c r="G984" s="3" t="str">
        <f>IF(AND(Programme_Grunddaten!$A989="Geprüft",Programme_Grunddaten!S989&lt;&gt;""),Programme_Grunddaten!S989,"")</f>
        <v/>
      </c>
      <c r="H984" t="str">
        <f>IF(AND(Programme_Grunddaten!$A989="Geprüft",Programme_Grunddaten!AW989&lt;&gt;""),Programme_Grunddaten!AW989,"")</f>
        <v/>
      </c>
      <c r="I984" t="str">
        <f>IF(AND(Programme_Grunddaten!$A989="Geprüft",Programme_Grunddaten!AX989&lt;&gt;""),Programme_Grunddaten!AX989,"")</f>
        <v/>
      </c>
    </row>
    <row r="985" spans="1:9" x14ac:dyDescent="0.3">
      <c r="A985" s="1" t="str">
        <f>IF(AND(Programme_Grunddaten!$A990="Geprüft",Programme_Grunddaten!B990&lt;&gt;""),Programme_Grunddaten!B990,"")</f>
        <v/>
      </c>
      <c r="B985" s="1" t="str">
        <f>IF(AND(Programme_Grunddaten!$A990="Geprüft",Programme_Grunddaten!C990&lt;&gt;""),Programme_Grunddaten!C990,"")</f>
        <v/>
      </c>
      <c r="C985" s="1" t="str">
        <f>IF(AND(Programme_Grunddaten!$A990="Geprüft",Programme_Grunddaten!D990&lt;&gt;""),Programme_Grunddaten!D990,"")</f>
        <v/>
      </c>
      <c r="D985" s="2" t="str">
        <f>IF(AND(Programme_Grunddaten!$A990="Geprüft",Programme_Grunddaten!E990&lt;&gt;""),Programme_Grunddaten!E990,"")</f>
        <v/>
      </c>
      <c r="E985" t="str">
        <f>IF(AND(Programme_Grunddaten!$A990="Geprüft",Programme_Grunddaten!G990&lt;&gt;""),Programme_Grunddaten!G990,"")</f>
        <v/>
      </c>
      <c r="F985" t="str">
        <f>IF(AND(Programme_Grunddaten!$A990="Geprüft",Programme_Grunddaten!F990&lt;&gt;""),Programme_Grunddaten!F990,"")</f>
        <v/>
      </c>
      <c r="G985" s="3" t="str">
        <f>IF(AND(Programme_Grunddaten!$A990="Geprüft",Programme_Grunddaten!S990&lt;&gt;""),Programme_Grunddaten!S990,"")</f>
        <v/>
      </c>
      <c r="H985" t="str">
        <f>IF(AND(Programme_Grunddaten!$A990="Geprüft",Programme_Grunddaten!AW990&lt;&gt;""),Programme_Grunddaten!AW990,"")</f>
        <v/>
      </c>
      <c r="I985" t="str">
        <f>IF(AND(Programme_Grunddaten!$A990="Geprüft",Programme_Grunddaten!AX990&lt;&gt;""),Programme_Grunddaten!AX990,"")</f>
        <v/>
      </c>
    </row>
    <row r="986" spans="1:9" x14ac:dyDescent="0.3">
      <c r="A986" s="1" t="str">
        <f>IF(AND(Programme_Grunddaten!$A991="Geprüft",Programme_Grunddaten!B991&lt;&gt;""),Programme_Grunddaten!B991,"")</f>
        <v/>
      </c>
      <c r="B986" s="1" t="str">
        <f>IF(AND(Programme_Grunddaten!$A991="Geprüft",Programme_Grunddaten!C991&lt;&gt;""),Programme_Grunddaten!C991,"")</f>
        <v/>
      </c>
      <c r="C986" s="1" t="str">
        <f>IF(AND(Programme_Grunddaten!$A991="Geprüft",Programme_Grunddaten!D991&lt;&gt;""),Programme_Grunddaten!D991,"")</f>
        <v/>
      </c>
      <c r="D986" s="2" t="str">
        <f>IF(AND(Programme_Grunddaten!$A991="Geprüft",Programme_Grunddaten!E991&lt;&gt;""),Programme_Grunddaten!E991,"")</f>
        <v/>
      </c>
      <c r="E986" t="str">
        <f>IF(AND(Programme_Grunddaten!$A991="Geprüft",Programme_Grunddaten!G991&lt;&gt;""),Programme_Grunddaten!G991,"")</f>
        <v/>
      </c>
      <c r="F986" t="str">
        <f>IF(AND(Programme_Grunddaten!$A991="Geprüft",Programme_Grunddaten!F991&lt;&gt;""),Programme_Grunddaten!F991,"")</f>
        <v/>
      </c>
      <c r="G986" s="3" t="str">
        <f>IF(AND(Programme_Grunddaten!$A991="Geprüft",Programme_Grunddaten!S991&lt;&gt;""),Programme_Grunddaten!S991,"")</f>
        <v/>
      </c>
      <c r="H986" t="str">
        <f>IF(AND(Programme_Grunddaten!$A991="Geprüft",Programme_Grunddaten!AW991&lt;&gt;""),Programme_Grunddaten!AW991,"")</f>
        <v/>
      </c>
      <c r="I986" t="str">
        <f>IF(AND(Programme_Grunddaten!$A991="Geprüft",Programme_Grunddaten!AX991&lt;&gt;""),Programme_Grunddaten!AX991,"")</f>
        <v/>
      </c>
    </row>
    <row r="987" spans="1:9" x14ac:dyDescent="0.3">
      <c r="A987" s="1" t="str">
        <f>IF(AND(Programme_Grunddaten!$A992="Geprüft",Programme_Grunddaten!B992&lt;&gt;""),Programme_Grunddaten!B992,"")</f>
        <v/>
      </c>
      <c r="B987" s="1" t="str">
        <f>IF(AND(Programme_Grunddaten!$A992="Geprüft",Programme_Grunddaten!C992&lt;&gt;""),Programme_Grunddaten!C992,"")</f>
        <v/>
      </c>
      <c r="C987" s="1" t="str">
        <f>IF(AND(Programme_Grunddaten!$A992="Geprüft",Programme_Grunddaten!D992&lt;&gt;""),Programme_Grunddaten!D992,"")</f>
        <v/>
      </c>
      <c r="D987" s="2" t="str">
        <f>IF(AND(Programme_Grunddaten!$A992="Geprüft",Programme_Grunddaten!E992&lt;&gt;""),Programme_Grunddaten!E992,"")</f>
        <v/>
      </c>
      <c r="E987" t="str">
        <f>IF(AND(Programme_Grunddaten!$A992="Geprüft",Programme_Grunddaten!G992&lt;&gt;""),Programme_Grunddaten!G992,"")</f>
        <v/>
      </c>
      <c r="F987" t="str">
        <f>IF(AND(Programme_Grunddaten!$A992="Geprüft",Programme_Grunddaten!F992&lt;&gt;""),Programme_Grunddaten!F992,"")</f>
        <v/>
      </c>
      <c r="G987" s="3" t="str">
        <f>IF(AND(Programme_Grunddaten!$A992="Geprüft",Programme_Grunddaten!S992&lt;&gt;""),Programme_Grunddaten!S992,"")</f>
        <v/>
      </c>
      <c r="H987" t="str">
        <f>IF(AND(Programme_Grunddaten!$A992="Geprüft",Programme_Grunddaten!AW992&lt;&gt;""),Programme_Grunddaten!AW992,"")</f>
        <v/>
      </c>
      <c r="I987" t="str">
        <f>IF(AND(Programme_Grunddaten!$A992="Geprüft",Programme_Grunddaten!AX992&lt;&gt;""),Programme_Grunddaten!AX992,"")</f>
        <v/>
      </c>
    </row>
    <row r="988" spans="1:9" x14ac:dyDescent="0.3">
      <c r="A988" s="1" t="str">
        <f>IF(AND(Programme_Grunddaten!$A993="Geprüft",Programme_Grunddaten!B993&lt;&gt;""),Programme_Grunddaten!B993,"")</f>
        <v/>
      </c>
      <c r="B988" s="1" t="str">
        <f>IF(AND(Programme_Grunddaten!$A993="Geprüft",Programme_Grunddaten!C993&lt;&gt;""),Programme_Grunddaten!C993,"")</f>
        <v/>
      </c>
      <c r="C988" s="1" t="str">
        <f>IF(AND(Programme_Grunddaten!$A993="Geprüft",Programme_Grunddaten!D993&lt;&gt;""),Programme_Grunddaten!D993,"")</f>
        <v/>
      </c>
      <c r="D988" s="2" t="str">
        <f>IF(AND(Programme_Grunddaten!$A993="Geprüft",Programme_Grunddaten!E993&lt;&gt;""),Programme_Grunddaten!E993,"")</f>
        <v/>
      </c>
      <c r="E988" t="str">
        <f>IF(AND(Programme_Grunddaten!$A993="Geprüft",Programme_Grunddaten!G993&lt;&gt;""),Programme_Grunddaten!G993,"")</f>
        <v/>
      </c>
      <c r="F988" t="str">
        <f>IF(AND(Programme_Grunddaten!$A993="Geprüft",Programme_Grunddaten!F993&lt;&gt;""),Programme_Grunddaten!F993,"")</f>
        <v/>
      </c>
      <c r="G988" s="3" t="str">
        <f>IF(AND(Programme_Grunddaten!$A993="Geprüft",Programme_Grunddaten!S993&lt;&gt;""),Programme_Grunddaten!S993,"")</f>
        <v/>
      </c>
      <c r="H988" t="str">
        <f>IF(AND(Programme_Grunddaten!$A993="Geprüft",Programme_Grunddaten!AW993&lt;&gt;""),Programme_Grunddaten!AW993,"")</f>
        <v/>
      </c>
      <c r="I988" t="str">
        <f>IF(AND(Programme_Grunddaten!$A993="Geprüft",Programme_Grunddaten!AX993&lt;&gt;""),Programme_Grunddaten!AX993,"")</f>
        <v/>
      </c>
    </row>
    <row r="989" spans="1:9" x14ac:dyDescent="0.3">
      <c r="A989" s="1" t="str">
        <f>IF(AND(Programme_Grunddaten!$A994="Geprüft",Programme_Grunddaten!B994&lt;&gt;""),Programme_Grunddaten!B994,"")</f>
        <v/>
      </c>
      <c r="B989" s="1" t="str">
        <f>IF(AND(Programme_Grunddaten!$A994="Geprüft",Programme_Grunddaten!C994&lt;&gt;""),Programme_Grunddaten!C994,"")</f>
        <v/>
      </c>
      <c r="C989" s="1" t="str">
        <f>IF(AND(Programme_Grunddaten!$A994="Geprüft",Programme_Grunddaten!D994&lt;&gt;""),Programme_Grunddaten!D994,"")</f>
        <v/>
      </c>
      <c r="D989" s="2" t="str">
        <f>IF(AND(Programme_Grunddaten!$A994="Geprüft",Programme_Grunddaten!E994&lt;&gt;""),Programme_Grunddaten!E994,"")</f>
        <v/>
      </c>
      <c r="E989" t="str">
        <f>IF(AND(Programme_Grunddaten!$A994="Geprüft",Programme_Grunddaten!G994&lt;&gt;""),Programme_Grunddaten!G994,"")</f>
        <v/>
      </c>
      <c r="F989" t="str">
        <f>IF(AND(Programme_Grunddaten!$A994="Geprüft",Programme_Grunddaten!F994&lt;&gt;""),Programme_Grunddaten!F994,"")</f>
        <v/>
      </c>
      <c r="G989" s="3" t="str">
        <f>IF(AND(Programme_Grunddaten!$A994="Geprüft",Programme_Grunddaten!S994&lt;&gt;""),Programme_Grunddaten!S994,"")</f>
        <v/>
      </c>
      <c r="H989" t="str">
        <f>IF(AND(Programme_Grunddaten!$A994="Geprüft",Programme_Grunddaten!AW994&lt;&gt;""),Programme_Grunddaten!AW994,"")</f>
        <v/>
      </c>
      <c r="I989" t="str">
        <f>IF(AND(Programme_Grunddaten!$A994="Geprüft",Programme_Grunddaten!AX994&lt;&gt;""),Programme_Grunddaten!AX994,"")</f>
        <v/>
      </c>
    </row>
    <row r="990" spans="1:9" x14ac:dyDescent="0.3">
      <c r="A990" s="1" t="str">
        <f>IF(AND(Programme_Grunddaten!$A995="Geprüft",Programme_Grunddaten!B995&lt;&gt;""),Programme_Grunddaten!B995,"")</f>
        <v/>
      </c>
      <c r="B990" s="1" t="str">
        <f>IF(AND(Programme_Grunddaten!$A995="Geprüft",Programme_Grunddaten!C995&lt;&gt;""),Programme_Grunddaten!C995,"")</f>
        <v/>
      </c>
      <c r="C990" s="1" t="str">
        <f>IF(AND(Programme_Grunddaten!$A995="Geprüft",Programme_Grunddaten!D995&lt;&gt;""),Programme_Grunddaten!D995,"")</f>
        <v/>
      </c>
      <c r="D990" s="2" t="str">
        <f>IF(AND(Programme_Grunddaten!$A995="Geprüft",Programme_Grunddaten!E995&lt;&gt;""),Programme_Grunddaten!E995,"")</f>
        <v/>
      </c>
      <c r="E990" t="str">
        <f>IF(AND(Programme_Grunddaten!$A995="Geprüft",Programme_Grunddaten!G995&lt;&gt;""),Programme_Grunddaten!G995,"")</f>
        <v/>
      </c>
      <c r="F990" t="str">
        <f>IF(AND(Programme_Grunddaten!$A995="Geprüft",Programme_Grunddaten!F995&lt;&gt;""),Programme_Grunddaten!F995,"")</f>
        <v/>
      </c>
      <c r="G990" s="3" t="str">
        <f>IF(AND(Programme_Grunddaten!$A995="Geprüft",Programme_Grunddaten!S995&lt;&gt;""),Programme_Grunddaten!S995,"")</f>
        <v/>
      </c>
      <c r="H990" t="str">
        <f>IF(AND(Programme_Grunddaten!$A995="Geprüft",Programme_Grunddaten!AW995&lt;&gt;""),Programme_Grunddaten!AW995,"")</f>
        <v/>
      </c>
      <c r="I990" t="str">
        <f>IF(AND(Programme_Grunddaten!$A995="Geprüft",Programme_Grunddaten!AX995&lt;&gt;""),Programme_Grunddaten!AX995,"")</f>
        <v/>
      </c>
    </row>
    <row r="991" spans="1:9" x14ac:dyDescent="0.3">
      <c r="A991" s="1" t="str">
        <f>IF(AND(Programme_Grunddaten!$A996="Geprüft",Programme_Grunddaten!B996&lt;&gt;""),Programme_Grunddaten!B996,"")</f>
        <v/>
      </c>
      <c r="B991" s="1" t="str">
        <f>IF(AND(Programme_Grunddaten!$A996="Geprüft",Programme_Grunddaten!C996&lt;&gt;""),Programme_Grunddaten!C996,"")</f>
        <v/>
      </c>
      <c r="C991" s="1" t="str">
        <f>IF(AND(Programme_Grunddaten!$A996="Geprüft",Programme_Grunddaten!D996&lt;&gt;""),Programme_Grunddaten!D996,"")</f>
        <v/>
      </c>
      <c r="D991" s="2" t="str">
        <f>IF(AND(Programme_Grunddaten!$A996="Geprüft",Programme_Grunddaten!E996&lt;&gt;""),Programme_Grunddaten!E996,"")</f>
        <v/>
      </c>
      <c r="E991" t="str">
        <f>IF(AND(Programme_Grunddaten!$A996="Geprüft",Programme_Grunddaten!G996&lt;&gt;""),Programme_Grunddaten!G996,"")</f>
        <v/>
      </c>
      <c r="F991" t="str">
        <f>IF(AND(Programme_Grunddaten!$A996="Geprüft",Programme_Grunddaten!F996&lt;&gt;""),Programme_Grunddaten!F996,"")</f>
        <v/>
      </c>
      <c r="G991" s="3" t="str">
        <f>IF(AND(Programme_Grunddaten!$A996="Geprüft",Programme_Grunddaten!S996&lt;&gt;""),Programme_Grunddaten!S996,"")</f>
        <v/>
      </c>
      <c r="H991" t="str">
        <f>IF(AND(Programme_Grunddaten!$A996="Geprüft",Programme_Grunddaten!AW996&lt;&gt;""),Programme_Grunddaten!AW996,"")</f>
        <v/>
      </c>
      <c r="I991" t="str">
        <f>IF(AND(Programme_Grunddaten!$A996="Geprüft",Programme_Grunddaten!AX996&lt;&gt;""),Programme_Grunddaten!AX996,"")</f>
        <v/>
      </c>
    </row>
    <row r="992" spans="1:9" x14ac:dyDescent="0.3">
      <c r="A992" s="1" t="str">
        <f>IF(AND(Programme_Grunddaten!$A997="Geprüft",Programme_Grunddaten!B997&lt;&gt;""),Programme_Grunddaten!B997,"")</f>
        <v/>
      </c>
      <c r="B992" s="1" t="str">
        <f>IF(AND(Programme_Grunddaten!$A997="Geprüft",Programme_Grunddaten!C997&lt;&gt;""),Programme_Grunddaten!C997,"")</f>
        <v/>
      </c>
      <c r="C992" s="1" t="str">
        <f>IF(AND(Programme_Grunddaten!$A997="Geprüft",Programme_Grunddaten!D997&lt;&gt;""),Programme_Grunddaten!D997,"")</f>
        <v/>
      </c>
      <c r="D992" s="2" t="str">
        <f>IF(AND(Programme_Grunddaten!$A997="Geprüft",Programme_Grunddaten!E997&lt;&gt;""),Programme_Grunddaten!E997,"")</f>
        <v/>
      </c>
      <c r="E992" t="str">
        <f>IF(AND(Programme_Grunddaten!$A997="Geprüft",Programme_Grunddaten!G997&lt;&gt;""),Programme_Grunddaten!G997,"")</f>
        <v/>
      </c>
      <c r="F992" t="str">
        <f>IF(AND(Programme_Grunddaten!$A997="Geprüft",Programme_Grunddaten!F997&lt;&gt;""),Programme_Grunddaten!F997,"")</f>
        <v/>
      </c>
      <c r="G992" s="3" t="str">
        <f>IF(AND(Programme_Grunddaten!$A997="Geprüft",Programme_Grunddaten!S997&lt;&gt;""),Programme_Grunddaten!S997,"")</f>
        <v/>
      </c>
      <c r="H992" t="str">
        <f>IF(AND(Programme_Grunddaten!$A997="Geprüft",Programme_Grunddaten!AW997&lt;&gt;""),Programme_Grunddaten!AW997,"")</f>
        <v/>
      </c>
      <c r="I992" t="str">
        <f>IF(AND(Programme_Grunddaten!$A997="Geprüft",Programme_Grunddaten!AX997&lt;&gt;""),Programme_Grunddaten!AX997,"")</f>
        <v/>
      </c>
    </row>
    <row r="993" spans="1:9" x14ac:dyDescent="0.3">
      <c r="A993" s="1" t="str">
        <f>IF(AND(Programme_Grunddaten!$A998="Geprüft",Programme_Grunddaten!B998&lt;&gt;""),Programme_Grunddaten!B998,"")</f>
        <v/>
      </c>
      <c r="B993" s="1" t="str">
        <f>IF(AND(Programme_Grunddaten!$A998="Geprüft",Programme_Grunddaten!C998&lt;&gt;""),Programme_Grunddaten!C998,"")</f>
        <v/>
      </c>
      <c r="C993" s="1" t="str">
        <f>IF(AND(Programme_Grunddaten!$A998="Geprüft",Programme_Grunddaten!D998&lt;&gt;""),Programme_Grunddaten!D998,"")</f>
        <v/>
      </c>
      <c r="D993" s="2" t="str">
        <f>IF(AND(Programme_Grunddaten!$A998="Geprüft",Programme_Grunddaten!E998&lt;&gt;""),Programme_Grunddaten!E998,"")</f>
        <v/>
      </c>
      <c r="E993" t="str">
        <f>IF(AND(Programme_Grunddaten!$A998="Geprüft",Programme_Grunddaten!G998&lt;&gt;""),Programme_Grunddaten!G998,"")</f>
        <v/>
      </c>
      <c r="F993" t="str">
        <f>IF(AND(Programme_Grunddaten!$A998="Geprüft",Programme_Grunddaten!F998&lt;&gt;""),Programme_Grunddaten!F998,"")</f>
        <v/>
      </c>
      <c r="G993" s="3" t="str">
        <f>IF(AND(Programme_Grunddaten!$A998="Geprüft",Programme_Grunddaten!S998&lt;&gt;""),Programme_Grunddaten!S998,"")</f>
        <v/>
      </c>
      <c r="H993" t="str">
        <f>IF(AND(Programme_Grunddaten!$A998="Geprüft",Programme_Grunddaten!AW998&lt;&gt;""),Programme_Grunddaten!AW998,"")</f>
        <v/>
      </c>
      <c r="I993" t="str">
        <f>IF(AND(Programme_Grunddaten!$A998="Geprüft",Programme_Grunddaten!AX998&lt;&gt;""),Programme_Grunddaten!AX998,"")</f>
        <v/>
      </c>
    </row>
    <row r="994" spans="1:9" x14ac:dyDescent="0.3">
      <c r="A994" s="1" t="str">
        <f>IF(AND(Programme_Grunddaten!$A999="Geprüft",Programme_Grunddaten!B999&lt;&gt;""),Programme_Grunddaten!B999,"")</f>
        <v/>
      </c>
      <c r="B994" s="1" t="str">
        <f>IF(AND(Programme_Grunddaten!$A999="Geprüft",Programme_Grunddaten!C999&lt;&gt;""),Programme_Grunddaten!C999,"")</f>
        <v/>
      </c>
      <c r="C994" s="1" t="str">
        <f>IF(AND(Programme_Grunddaten!$A999="Geprüft",Programme_Grunddaten!D999&lt;&gt;""),Programme_Grunddaten!D999,"")</f>
        <v/>
      </c>
      <c r="D994" s="2" t="str">
        <f>IF(AND(Programme_Grunddaten!$A999="Geprüft",Programme_Grunddaten!E999&lt;&gt;""),Programme_Grunddaten!E999,"")</f>
        <v/>
      </c>
      <c r="E994" t="str">
        <f>IF(AND(Programme_Grunddaten!$A999="Geprüft",Programme_Grunddaten!G999&lt;&gt;""),Programme_Grunddaten!G999,"")</f>
        <v/>
      </c>
      <c r="F994" t="str">
        <f>IF(AND(Programme_Grunddaten!$A999="Geprüft",Programme_Grunddaten!F999&lt;&gt;""),Programme_Grunddaten!F999,"")</f>
        <v/>
      </c>
      <c r="G994" s="3" t="str">
        <f>IF(AND(Programme_Grunddaten!$A999="Geprüft",Programme_Grunddaten!S999&lt;&gt;""),Programme_Grunddaten!S999,"")</f>
        <v/>
      </c>
      <c r="H994" t="str">
        <f>IF(AND(Programme_Grunddaten!$A999="Geprüft",Programme_Grunddaten!AW999&lt;&gt;""),Programme_Grunddaten!AW999,"")</f>
        <v/>
      </c>
      <c r="I994" t="str">
        <f>IF(AND(Programme_Grunddaten!$A999="Geprüft",Programme_Grunddaten!AX999&lt;&gt;""),Programme_Grunddaten!AX999,"")</f>
        <v/>
      </c>
    </row>
    <row r="995" spans="1:9" x14ac:dyDescent="0.3">
      <c r="A995" s="1" t="str">
        <f>IF(AND(Programme_Grunddaten!$A1000="Geprüft",Programme_Grunddaten!B1000&lt;&gt;""),Programme_Grunddaten!B1000,"")</f>
        <v/>
      </c>
      <c r="B995" s="1" t="str">
        <f>IF(AND(Programme_Grunddaten!$A1000="Geprüft",Programme_Grunddaten!C1000&lt;&gt;""),Programme_Grunddaten!C1000,"")</f>
        <v/>
      </c>
      <c r="C995" s="1" t="str">
        <f>IF(AND(Programme_Grunddaten!$A1000="Geprüft",Programme_Grunddaten!D1000&lt;&gt;""),Programme_Grunddaten!D1000,"")</f>
        <v/>
      </c>
      <c r="D995" s="2" t="str">
        <f>IF(AND(Programme_Grunddaten!$A1000="Geprüft",Programme_Grunddaten!E1000&lt;&gt;""),Programme_Grunddaten!E1000,"")</f>
        <v/>
      </c>
      <c r="E995" t="str">
        <f>IF(AND(Programme_Grunddaten!$A1000="Geprüft",Programme_Grunddaten!G1000&lt;&gt;""),Programme_Grunddaten!G1000,"")</f>
        <v/>
      </c>
      <c r="F995" t="str">
        <f>IF(AND(Programme_Grunddaten!$A1000="Geprüft",Programme_Grunddaten!F1000&lt;&gt;""),Programme_Grunddaten!F1000,"")</f>
        <v/>
      </c>
      <c r="G995" s="3" t="str">
        <f>IF(AND(Programme_Grunddaten!$A1000="Geprüft",Programme_Grunddaten!S1000&lt;&gt;""),Programme_Grunddaten!S1000,"")</f>
        <v/>
      </c>
      <c r="H995" t="str">
        <f>IF(AND(Programme_Grunddaten!$A1000="Geprüft",Programme_Grunddaten!AW1000&lt;&gt;""),Programme_Grunddaten!AW1000,"")</f>
        <v/>
      </c>
      <c r="I995" t="str">
        <f>IF(AND(Programme_Grunddaten!$A1000="Geprüft",Programme_Grunddaten!AX1000&lt;&gt;""),Programme_Grunddaten!AX1000,"")</f>
        <v/>
      </c>
    </row>
    <row r="996" spans="1:9" x14ac:dyDescent="0.3">
      <c r="A996" s="1" t="str">
        <f>IF(AND(Programme_Grunddaten!$A1001="Geprüft",Programme_Grunddaten!B1001&lt;&gt;""),Programme_Grunddaten!B1001,"")</f>
        <v/>
      </c>
      <c r="B996" s="1" t="str">
        <f>IF(AND(Programme_Grunddaten!$A1001="Geprüft",Programme_Grunddaten!C1001&lt;&gt;""),Programme_Grunddaten!C1001,"")</f>
        <v/>
      </c>
      <c r="C996" s="1" t="str">
        <f>IF(AND(Programme_Grunddaten!$A1001="Geprüft",Programme_Grunddaten!D1001&lt;&gt;""),Programme_Grunddaten!D1001,"")</f>
        <v/>
      </c>
      <c r="D996" s="2" t="str">
        <f>IF(AND(Programme_Grunddaten!$A1001="Geprüft",Programme_Grunddaten!E1001&lt;&gt;""),Programme_Grunddaten!E1001,"")</f>
        <v/>
      </c>
      <c r="E996" t="str">
        <f>IF(AND(Programme_Grunddaten!$A1001="Geprüft",Programme_Grunddaten!G1001&lt;&gt;""),Programme_Grunddaten!G1001,"")</f>
        <v/>
      </c>
      <c r="F996" t="str">
        <f>IF(AND(Programme_Grunddaten!$A1001="Geprüft",Programme_Grunddaten!F1001&lt;&gt;""),Programme_Grunddaten!F1001,"")</f>
        <v/>
      </c>
      <c r="G996" s="3" t="str">
        <f>IF(AND(Programme_Grunddaten!$A1001="Geprüft",Programme_Grunddaten!S1001&lt;&gt;""),Programme_Grunddaten!S1001,"")</f>
        <v/>
      </c>
      <c r="H996" t="str">
        <f>IF(AND(Programme_Grunddaten!$A1001="Geprüft",Programme_Grunddaten!AW1001&lt;&gt;""),Programme_Grunddaten!AW1001,"")</f>
        <v/>
      </c>
      <c r="I996" t="str">
        <f>IF(AND(Programme_Grunddaten!$A1001="Geprüft",Programme_Grunddaten!AX1001&lt;&gt;""),Programme_Grunddaten!AX1001,"")</f>
        <v/>
      </c>
    </row>
    <row r="997" spans="1:9" x14ac:dyDescent="0.3">
      <c r="A997" s="1" t="str">
        <f>IF(AND(Programme_Grunddaten!$A1002="Geprüft",Programme_Grunddaten!B1002&lt;&gt;""),Programme_Grunddaten!B1002,"")</f>
        <v/>
      </c>
      <c r="B997" s="1" t="str">
        <f>IF(AND(Programme_Grunddaten!$A1002="Geprüft",Programme_Grunddaten!C1002&lt;&gt;""),Programme_Grunddaten!C1002,"")</f>
        <v/>
      </c>
      <c r="C997" s="1" t="str">
        <f>IF(AND(Programme_Grunddaten!$A1002="Geprüft",Programme_Grunddaten!D1002&lt;&gt;""),Programme_Grunddaten!D1002,"")</f>
        <v/>
      </c>
      <c r="D997" s="2" t="str">
        <f>IF(AND(Programme_Grunddaten!$A1002="Geprüft",Programme_Grunddaten!E1002&lt;&gt;""),Programme_Grunddaten!E1002,"")</f>
        <v/>
      </c>
      <c r="E997" t="str">
        <f>IF(AND(Programme_Grunddaten!$A1002="Geprüft",Programme_Grunddaten!G1002&lt;&gt;""),Programme_Grunddaten!G1002,"")</f>
        <v/>
      </c>
      <c r="F997" t="str">
        <f>IF(AND(Programme_Grunddaten!$A1002="Geprüft",Programme_Grunddaten!F1002&lt;&gt;""),Programme_Grunddaten!F1002,"")</f>
        <v/>
      </c>
      <c r="G997" s="3" t="str">
        <f>IF(AND(Programme_Grunddaten!$A1002="Geprüft",Programme_Grunddaten!S1002&lt;&gt;""),Programme_Grunddaten!S1002,"")</f>
        <v/>
      </c>
      <c r="H997" t="str">
        <f>IF(AND(Programme_Grunddaten!$A1002="Geprüft",Programme_Grunddaten!AW1002&lt;&gt;""),Programme_Grunddaten!AW1002,"")</f>
        <v/>
      </c>
      <c r="I997" t="str">
        <f>IF(AND(Programme_Grunddaten!$A1002="Geprüft",Programme_Grunddaten!AX1002&lt;&gt;""),Programme_Grunddaten!AX1002,"")</f>
        <v/>
      </c>
    </row>
    <row r="998" spans="1:9" x14ac:dyDescent="0.3">
      <c r="A998" s="1" t="str">
        <f>IF(AND(Programme_Grunddaten!$A1003="Geprüft",Programme_Grunddaten!B1003&lt;&gt;""),Programme_Grunddaten!B1003,"")</f>
        <v/>
      </c>
      <c r="B998" s="1" t="str">
        <f>IF(AND(Programme_Grunddaten!$A1003="Geprüft",Programme_Grunddaten!C1003&lt;&gt;""),Programme_Grunddaten!C1003,"")</f>
        <v/>
      </c>
      <c r="C998" s="1" t="str">
        <f>IF(AND(Programme_Grunddaten!$A1003="Geprüft",Programme_Grunddaten!D1003&lt;&gt;""),Programme_Grunddaten!D1003,"")</f>
        <v/>
      </c>
      <c r="D998" s="2" t="str">
        <f>IF(AND(Programme_Grunddaten!$A1003="Geprüft",Programme_Grunddaten!E1003&lt;&gt;""),Programme_Grunddaten!E1003,"")</f>
        <v/>
      </c>
      <c r="E998" t="str">
        <f>IF(AND(Programme_Grunddaten!$A1003="Geprüft",Programme_Grunddaten!G1003&lt;&gt;""),Programme_Grunddaten!G1003,"")</f>
        <v/>
      </c>
      <c r="F998" t="str">
        <f>IF(AND(Programme_Grunddaten!$A1003="Geprüft",Programme_Grunddaten!F1003&lt;&gt;""),Programme_Grunddaten!F1003,"")</f>
        <v/>
      </c>
      <c r="G998" s="3" t="str">
        <f>IF(AND(Programme_Grunddaten!$A1003="Geprüft",Programme_Grunddaten!S1003&lt;&gt;""),Programme_Grunddaten!S1003,"")</f>
        <v/>
      </c>
      <c r="H998" t="str">
        <f>IF(AND(Programme_Grunddaten!$A1003="Geprüft",Programme_Grunddaten!AW1003&lt;&gt;""),Programme_Grunddaten!AW1003,"")</f>
        <v/>
      </c>
      <c r="I998" t="str">
        <f>IF(AND(Programme_Grunddaten!$A1003="Geprüft",Programme_Grunddaten!AX1003&lt;&gt;""),Programme_Grunddaten!AX1003,"")</f>
        <v/>
      </c>
    </row>
    <row r="999" spans="1:9" x14ac:dyDescent="0.3">
      <c r="A999" s="1" t="str">
        <f>IF(AND(Programme_Grunddaten!$A1004="Geprüft",Programme_Grunddaten!B1004&lt;&gt;""),Programme_Grunddaten!B1004,"")</f>
        <v/>
      </c>
      <c r="B999" s="1" t="str">
        <f>IF(AND(Programme_Grunddaten!$A1004="Geprüft",Programme_Grunddaten!C1004&lt;&gt;""),Programme_Grunddaten!C1004,"")</f>
        <v/>
      </c>
      <c r="C999" s="1" t="str">
        <f>IF(AND(Programme_Grunddaten!$A1004="Geprüft",Programme_Grunddaten!D1004&lt;&gt;""),Programme_Grunddaten!D1004,"")</f>
        <v/>
      </c>
      <c r="D999" s="2" t="str">
        <f>IF(AND(Programme_Grunddaten!$A1004="Geprüft",Programme_Grunddaten!E1004&lt;&gt;""),Programme_Grunddaten!E1004,"")</f>
        <v/>
      </c>
      <c r="E999" t="str">
        <f>IF(AND(Programme_Grunddaten!$A1004="Geprüft",Programme_Grunddaten!G1004&lt;&gt;""),Programme_Grunddaten!G1004,"")</f>
        <v/>
      </c>
      <c r="F999" t="str">
        <f>IF(AND(Programme_Grunddaten!$A1004="Geprüft",Programme_Grunddaten!F1004&lt;&gt;""),Programme_Grunddaten!F1004,"")</f>
        <v/>
      </c>
      <c r="G999" s="3" t="str">
        <f>IF(AND(Programme_Grunddaten!$A1004="Geprüft",Programme_Grunddaten!S1004&lt;&gt;""),Programme_Grunddaten!S1004,"")</f>
        <v/>
      </c>
      <c r="H999" t="str">
        <f>IF(AND(Programme_Grunddaten!$A1004="Geprüft",Programme_Grunddaten!AW1004&lt;&gt;""),Programme_Grunddaten!AW1004,"")</f>
        <v/>
      </c>
      <c r="I999" t="str">
        <f>IF(AND(Programme_Grunddaten!$A1004="Geprüft",Programme_Grunddaten!AX1004&lt;&gt;""),Programme_Grunddaten!AX1004,"")</f>
        <v/>
      </c>
    </row>
    <row r="1000" spans="1:9" x14ac:dyDescent="0.3">
      <c r="A1000" s="1" t="str">
        <f>IF(AND(Programme_Grunddaten!$A1001="Geprüft",Programme_Grunddaten!B1001&lt;&gt;""),Programme_Grunddaten!B1001,"")</f>
        <v/>
      </c>
      <c r="B1000" s="1" t="str">
        <f>IF(AND(Programme_Grunddaten!$A1001="Geprüft",Programme_Grunddaten!C1001&lt;&gt;""),Programme_Grunddaten!C1001,"")</f>
        <v/>
      </c>
      <c r="C1000" s="1" t="str">
        <f>IF(AND(Programme_Grunddaten!$A1001="Geprüft",Programme_Grunddaten!D1001&lt;&gt;""),Programme_Grunddaten!D1001,"")</f>
        <v/>
      </c>
      <c r="D1000" s="2" t="str">
        <f>IF(AND(Programme_Grunddaten!$A1001="Geprüft",Programme_Grunddaten!E1001&lt;&gt;""),Programme_Grunddaten!E1001,"")</f>
        <v/>
      </c>
      <c r="E1000" t="str">
        <f>IF(AND(Programme_Grunddaten!$A1001="Geprüft",Programme_Grunddaten!G1001&lt;&gt;""),Programme_Grunddaten!G1001,"")</f>
        <v/>
      </c>
      <c r="F1000" t="str">
        <f>IF(AND(Programme_Grunddaten!$A1001="Geprüft",Programme_Grunddaten!F1001&lt;&gt;""),Programme_Grunddaten!F1001,"")</f>
        <v/>
      </c>
      <c r="G1000" s="3" t="str">
        <f>IF(AND(Programme_Grunddaten!$A1001="Geprüft",Programme_Grunddaten!S1001&lt;&gt;""),Programme_Grunddaten!S1001,"")</f>
        <v/>
      </c>
      <c r="H1000" t="str">
        <f>IF(AND(Programme_Grunddaten!$A1001="Geprüft",Programme_Grunddaten!AW1001&lt;&gt;""),Programme_Grunddaten!AW1001,"")</f>
        <v/>
      </c>
    </row>
  </sheetData>
  <phoneticPr fontId="1"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2AAAB-035B-4266-8C9D-1FE60CADD300}">
  <dimension ref="A1:AN1000"/>
  <sheetViews>
    <sheetView workbookViewId="0">
      <selection activeCell="A2" sqref="A2:AN999"/>
    </sheetView>
  </sheetViews>
  <sheetFormatPr baseColWidth="10" defaultRowHeight="15.05" x14ac:dyDescent="0.3"/>
  <cols>
    <col min="1" max="1" width="12" style="1" customWidth="1"/>
    <col min="2" max="16384" width="11.5546875" style="1"/>
  </cols>
  <sheetData>
    <row r="1" spans="1:40" x14ac:dyDescent="0.3">
      <c r="A1" s="1" t="s">
        <v>534</v>
      </c>
      <c r="B1" s="6" t="s">
        <v>386</v>
      </c>
      <c r="C1" s="6" t="s">
        <v>387</v>
      </c>
      <c r="D1" s="6" t="s">
        <v>504</v>
      </c>
      <c r="E1" s="6" t="s">
        <v>519</v>
      </c>
      <c r="F1" s="6" t="s">
        <v>388</v>
      </c>
      <c r="G1" s="6" t="s">
        <v>389</v>
      </c>
      <c r="H1" s="6" t="s">
        <v>505</v>
      </c>
      <c r="I1" s="6" t="s">
        <v>506</v>
      </c>
      <c r="J1" s="6" t="s">
        <v>390</v>
      </c>
      <c r="K1" s="6" t="s">
        <v>520</v>
      </c>
      <c r="L1" s="6" t="s">
        <v>507</v>
      </c>
      <c r="M1" s="6" t="s">
        <v>508</v>
      </c>
      <c r="N1" s="6" t="s">
        <v>521</v>
      </c>
      <c r="O1" s="6" t="s">
        <v>392</v>
      </c>
      <c r="P1" s="6" t="s">
        <v>393</v>
      </c>
      <c r="Q1" s="6" t="s">
        <v>509</v>
      </c>
      <c r="R1" s="6" t="s">
        <v>510</v>
      </c>
      <c r="S1" s="6" t="s">
        <v>394</v>
      </c>
      <c r="T1" s="6" t="s">
        <v>395</v>
      </c>
      <c r="U1" s="6" t="s">
        <v>528</v>
      </c>
      <c r="V1" s="6" t="s">
        <v>527</v>
      </c>
      <c r="W1" s="6" t="s">
        <v>526</v>
      </c>
      <c r="X1" s="6" t="s">
        <v>525</v>
      </c>
      <c r="Y1" s="6" t="s">
        <v>524</v>
      </c>
      <c r="Z1" s="6" t="s">
        <v>523</v>
      </c>
      <c r="AA1" s="6" t="s">
        <v>522</v>
      </c>
      <c r="AB1" s="6" t="s">
        <v>396</v>
      </c>
      <c r="AC1" s="6" t="s">
        <v>397</v>
      </c>
      <c r="AD1" s="6" t="s">
        <v>398</v>
      </c>
      <c r="AE1" s="6" t="s">
        <v>399</v>
      </c>
      <c r="AF1" s="6" t="s">
        <v>400</v>
      </c>
      <c r="AG1" s="6" t="s">
        <v>401</v>
      </c>
      <c r="AH1" s="6" t="s">
        <v>402</v>
      </c>
      <c r="AI1" s="6" t="s">
        <v>403</v>
      </c>
      <c r="AJ1" s="6" t="s">
        <v>404</v>
      </c>
      <c r="AK1" s="6" t="s">
        <v>405</v>
      </c>
      <c r="AL1" s="6" t="s">
        <v>406</v>
      </c>
      <c r="AM1" s="6" t="s">
        <v>407</v>
      </c>
      <c r="AN1" s="6" t="s">
        <v>1704</v>
      </c>
    </row>
    <row r="2" spans="1:40" x14ac:dyDescent="0.3">
      <c r="A2" s="1" t="str">
        <f>IF(AND(Programme_Grunddaten!A10="Geprüft",Programme_Grunddaten!B10&lt;&gt;""),Programme_Grunddaten!B10,"")</f>
        <v>P01</v>
      </c>
      <c r="B2" s="1">
        <f>IF(AND(Programme_Grunddaten!$A10="Geprüft",Programme_Grunddaten!I10&lt;&gt;""),IF(Programme_Grunddaten!I10="Ja",1,0),"")</f>
        <v>0</v>
      </c>
      <c r="C2" s="1">
        <f>IF(AND(Programme_Grunddaten!$A10="Geprüft",Programme_Grunddaten!J10&lt;&gt;""),IF(Programme_Grunddaten!J10="Ja",1,0),"")</f>
        <v>1</v>
      </c>
      <c r="D2" s="1">
        <f>IF(AND(Programme_Grunddaten!$A10="Geprüft",Programme_Grunddaten!K10&lt;&gt;""),IF(Programme_Grunddaten!K10="Ja",1,0),"")</f>
        <v>0</v>
      </c>
      <c r="E2" s="1" t="str">
        <f>IF(AND(Programme_Grunddaten!$A10="Geprüft",Programme_Grunddaten!L10&lt;&gt;""),IF(Programme_Grunddaten!L10="Abo / befristete Lizenz",1,0),"")</f>
        <v/>
      </c>
      <c r="F2" s="1">
        <f>IF(AND(Programme_Grunddaten!$A10="Geprüft",Programme_Grunddaten!M10&lt;&gt;""),IF(Programme_Grunddaten!M10="Ja",1,0),"")</f>
        <v>0</v>
      </c>
      <c r="G2" s="1">
        <f>IF(AND(Programme_Grunddaten!$A10="Geprüft",Programme_Grunddaten!N10&lt;&gt;""),IF(Programme_Grunddaten!N10="Ja",1,0),"")</f>
        <v>1</v>
      </c>
      <c r="H2" s="1" t="str">
        <f>IF(AND(Programme_Grunddaten!$A10="Geprüft",Programme_Grunddaten!O10&lt;&gt;""),IF(Programme_Grunddaten!O10="Deutschland",0,IF(Programme_Grunddaten!O10="EU",1,2)),"")</f>
        <v/>
      </c>
      <c r="I2" s="1" t="str">
        <f>IF(AND(Programme_Grunddaten!$A10="Geprüft",Programme_Grunddaten!P10&lt;&gt;""),IF(Programme_Grunddaten!P10="Ja",1,0),"")</f>
        <v/>
      </c>
      <c r="J2" s="1">
        <f>IF(AND(Programme_Grunddaten!$A10="Geprüft",Programme_Grunddaten!Q10&lt;&gt;""),IF(Programme_Grunddaten!Q10="geschlossenes System",1,0),"")</f>
        <v>0</v>
      </c>
      <c r="K2" s="1">
        <f>IF(AND(Programme_Grunddaten!$A10="Geprüft",Programme_Grunddaten!R10&lt;&gt;""),IF(Programme_Grunddaten!R10="Ja",1,0),"")</f>
        <v>1</v>
      </c>
      <c r="L2" s="1">
        <f>IF(AND(Programme_Grunddaten!$A10="Geprüft",Programme_Grunddaten!T10&lt;&gt;""),IF(Programme_Grunddaten!T10="Ja",1,0),"")</f>
        <v>1</v>
      </c>
      <c r="M2" s="1" t="str">
        <f>IF(AND(Programme_Grunddaten!$A10="Geprüft",Programme_Grunddaten!U10&lt;&gt;""),IF(Programme_Grunddaten!U10="Ja",1,0),"")</f>
        <v/>
      </c>
      <c r="N2" s="1">
        <f>IF(AND(Programme_Grunddaten!$A10="Geprüft",Programme_Grunddaten!V10&lt;&gt;""),IF(Programme_Grunddaten!V10="Ja",1,0),"")</f>
        <v>1</v>
      </c>
      <c r="O2" s="1">
        <f>IF(AND(Programme_Grunddaten!$A10="Geprüft",Programme_Grunddaten!W10&lt;&gt;""),IF(Programme_Grunddaten!W10="Ja",1,0),"")</f>
        <v>1</v>
      </c>
      <c r="P2" s="1" t="str">
        <f>IF(AND(Programme_Grunddaten!$A10="Geprüft",Programme_Grunddaten!X10&lt;&gt;""),IF(Programme_Grunddaten!X10="Ja",1,0),"")</f>
        <v/>
      </c>
      <c r="Q2" s="1">
        <f>IF(AND(Programme_Grunddaten!$A10="Geprüft",Programme_Grunddaten!Y10&lt;&gt;""),IF(Programme_Grunddaten!Y10="Ja",1,0),"")</f>
        <v>1</v>
      </c>
      <c r="R2" s="1">
        <f>IF(AND(Programme_Grunddaten!$A10="Geprüft",Programme_Grunddaten!Z10&lt;&gt;""),IF(Programme_Grunddaten!Z10="Ja",1,0),"")</f>
        <v>0</v>
      </c>
      <c r="S2" s="1" t="str">
        <f>IF(AND(Programme_Grunddaten!$A10="Geprüft",Programme_Grunddaten!AA10&lt;&gt;""),IF(Programme_Grunddaten!AA10="monolithisch",1,0),"")</f>
        <v/>
      </c>
      <c r="T2" s="1">
        <f>IF(AND(Programme_Grunddaten!$A10="Geprüft",Programme_Grunddaten!AB10&lt;&gt;""),IF(Programme_Grunddaten!AB10="Ja",1,0),"")</f>
        <v>1</v>
      </c>
      <c r="U2" s="1">
        <f>IF(AND(Programme_Grunddaten!$A10="Geprüft",Programme_Grunddaten!AC10&lt;&gt;""),IF(Programme_Grunddaten!AC10="Ja",1,0),"")</f>
        <v>1</v>
      </c>
      <c r="V2" s="1" t="str">
        <f>IF(AND(Programme_Grunddaten!$A10="Geprüft",Programme_Grunddaten!AD10&lt;&gt;""),IF(Programme_Grunddaten!AD10="Ja",1,0),"")</f>
        <v/>
      </c>
      <c r="W2" s="1" t="str">
        <f>IF(AND(Programme_Grunddaten!$A10="Geprüft",Programme_Grunddaten!AE10&lt;&gt;""),IF(Programme_Grunddaten!AE10="Ja",1,0),"")</f>
        <v/>
      </c>
      <c r="X2" s="1">
        <f>IF(AND(Programme_Grunddaten!$A10="Geprüft",Programme_Grunddaten!AF10&lt;&gt;""),IF(Programme_Grunddaten!AF10="Ja",1,0),"")</f>
        <v>1</v>
      </c>
      <c r="Y2" s="1">
        <f>IF(AND(Programme_Grunddaten!$A10="Geprüft",Programme_Grunddaten!AG10&lt;&gt;""),IF(Programme_Grunddaten!AG10="Ja",1,0),"")</f>
        <v>1</v>
      </c>
      <c r="Z2" s="1" t="str">
        <f>IF(AND(Programme_Grunddaten!$A10="Geprüft",Programme_Grunddaten!AH10&lt;&gt;""),IF(Programme_Grunddaten!AH10="Ja",1,0),"")</f>
        <v/>
      </c>
      <c r="AA2" s="1">
        <f>IF(AND(Programme_Grunddaten!$A10="Geprüft",Programme_Grunddaten!AI10&lt;&gt;""),IF(Programme_Grunddaten!AI10="Ja",1,0),"")</f>
        <v>1</v>
      </c>
      <c r="AB2" s="1" t="str">
        <f>IF(AND(Programme_Grunddaten!$A10="Geprüft",Programme_Grunddaten!AJ10&lt;&gt;""),IF(Programme_Grunddaten!AJ10="individuell programmierbar",1,0),"")</f>
        <v/>
      </c>
      <c r="AC2" s="1">
        <f>IF(AND(Programme_Grunddaten!$A10="Geprüft",Programme_Grunddaten!AK10&lt;&gt;""),IF(Programme_Grunddaten!AK10="Deutsch",0,IF(Programme_Grunddaten!AK10="Deutsch und Englisch",1,2)),"")</f>
        <v>2</v>
      </c>
      <c r="AD2" s="1">
        <f>IF(AND(Programme_Grunddaten!$A10="Geprüft",Programme_Grunddaten!AL10&lt;&gt;""),IF(Programme_Grunddaten!AL10="Ja",1,0),"")</f>
        <v>1</v>
      </c>
      <c r="AE2" s="1">
        <f>IF(AND(Programme_Grunddaten!$A10="Geprüft",Programme_Grunddaten!AM10&lt;&gt;""),IF(Programme_Grunddaten!AM10="Ja",1,0),"")</f>
        <v>0</v>
      </c>
      <c r="AF2" s="1" t="str">
        <f>IF(AND(Programme_Grunddaten!$A10="Geprüft",Programme_Grunddaten!AN10&lt;&gt;""),IF(Programme_Grunddaten!AN10="Ja",1,0),"")</f>
        <v/>
      </c>
      <c r="AG2" s="1" t="str">
        <f>IF(AND(Programme_Grunddaten!$A10="Geprüft",Programme_Grunddaten!AO10&lt;&gt;""),IF(Programme_Grunddaten!AO10="Ja",1,0),"")</f>
        <v/>
      </c>
      <c r="AH2" s="1" t="str">
        <f>IF(AND(Programme_Grunddaten!$A10="Geprüft",Programme_Grunddaten!AP10&lt;&gt;""),IF(Programme_Grunddaten!AP10="Ja",1,0),"")</f>
        <v/>
      </c>
      <c r="AI2" s="1">
        <f>IF(AND(Programme_Grunddaten!$A10="Geprüft",Programme_Grunddaten!AQ10&lt;&gt;""),IF(Programme_Grunddaten!AQ10="Ja",1,0),"")</f>
        <v>1</v>
      </c>
      <c r="AJ2" s="1">
        <f>IF(AND(Programme_Grunddaten!$A10="Geprüft",Programme_Grunddaten!AR10&lt;&gt;""),IF(Programme_Grunddaten!AR10="Ja",1,0),"")</f>
        <v>1</v>
      </c>
      <c r="AK2" s="1" t="str">
        <f>IF(AND(Programme_Grunddaten!$A10="Geprüft",Programme_Grunddaten!AS10&lt;&gt;""),IF(Programme_Grunddaten!AS10="Ja",1,0),"")</f>
        <v/>
      </c>
      <c r="AL2" s="1" t="str">
        <f>IF(AND(Programme_Grunddaten!$A10="Geprüft",Programme_Grunddaten!AT10&lt;&gt;""),IF(Programme_Grunddaten!AT10="Ja",1,0),"")</f>
        <v/>
      </c>
      <c r="AM2" s="1" t="str">
        <f>IF(AND(Programme_Grunddaten!$A10="Geprüft",Programme_Grunddaten!AU10&lt;&gt;""),IF(Programme_Grunddaten!AU10="Ja",1,0),"")</f>
        <v/>
      </c>
      <c r="AN2" s="1" t="str">
        <f>IF(AND(Programme_Grunddaten!$A10="Geprüft",Programme_Grunddaten!AV10&lt;&gt;""),IF(Programme_Grunddaten!AV10="Ja",1,0),"")</f>
        <v/>
      </c>
    </row>
    <row r="3" spans="1:40" x14ac:dyDescent="0.3">
      <c r="A3" s="1" t="str">
        <f>IF(AND(Programme_Grunddaten!A11="Geprüft",Programme_Grunddaten!B11&lt;&gt;""),Programme_Grunddaten!B11,"")</f>
        <v>P02</v>
      </c>
      <c r="B3" s="1">
        <f>IF(AND(Programme_Grunddaten!$A11="Geprüft",Programme_Grunddaten!I11&lt;&gt;""),IF(Programme_Grunddaten!I11="Ja",1,0),"")</f>
        <v>0</v>
      </c>
      <c r="C3" s="1">
        <f>IF(AND(Programme_Grunddaten!$A11="Geprüft",Programme_Grunddaten!J11&lt;&gt;""),IF(Programme_Grunddaten!J11="Ja",1,0),"")</f>
        <v>1</v>
      </c>
      <c r="D3" s="1">
        <f>IF(AND(Programme_Grunddaten!$A11="Geprüft",Programme_Grunddaten!K11&lt;&gt;""),IF(Programme_Grunddaten!K11="Ja",1,0),"")</f>
        <v>0</v>
      </c>
      <c r="E3" s="1" t="str">
        <f>IF(AND(Programme_Grunddaten!$A11="Geprüft",Programme_Grunddaten!L11&lt;&gt;""),IF(Programme_Grunddaten!L11="Abo / befristete Lizenz",1,0),"")</f>
        <v/>
      </c>
      <c r="F3" s="1">
        <f>IF(AND(Programme_Grunddaten!$A11="Geprüft",Programme_Grunddaten!M11&lt;&gt;""),IF(Programme_Grunddaten!M11="Ja",1,0),"")</f>
        <v>0</v>
      </c>
      <c r="G3" s="1">
        <f>IF(AND(Programme_Grunddaten!$A11="Geprüft",Programme_Grunddaten!N11&lt;&gt;""),IF(Programme_Grunddaten!N11="Ja",1,0),"")</f>
        <v>1</v>
      </c>
      <c r="H3" s="1">
        <f>IF(AND(Programme_Grunddaten!$A11="Geprüft",Programme_Grunddaten!O11&lt;&gt;""),IF(Programme_Grunddaten!O11="Deutschland",0,IF(Programme_Grunddaten!O11="EU",1,2)),"")</f>
        <v>0</v>
      </c>
      <c r="I3" s="1">
        <f>IF(AND(Programme_Grunddaten!$A11="Geprüft",Programme_Grunddaten!P11&lt;&gt;""),IF(Programme_Grunddaten!P11="Ja",1,0),"")</f>
        <v>1</v>
      </c>
      <c r="J3" s="1">
        <f>IF(AND(Programme_Grunddaten!$A11="Geprüft",Programme_Grunddaten!Q11&lt;&gt;""),IF(Programme_Grunddaten!Q11="geschlossenes System",1,0),"")</f>
        <v>0</v>
      </c>
      <c r="K3" s="1">
        <f>IF(AND(Programme_Grunddaten!$A11="Geprüft",Programme_Grunddaten!R11&lt;&gt;""),IF(Programme_Grunddaten!R11="Ja",1,0),"")</f>
        <v>1</v>
      </c>
      <c r="L3" s="1">
        <f>IF(AND(Programme_Grunddaten!$A11="Geprüft",Programme_Grunddaten!T11&lt;&gt;""),IF(Programme_Grunddaten!T11="Ja",1,0),"")</f>
        <v>1</v>
      </c>
      <c r="M3" s="1">
        <f>IF(AND(Programme_Grunddaten!$A11="Geprüft",Programme_Grunddaten!U11&lt;&gt;""),IF(Programme_Grunddaten!U11="Ja",1,0),"")</f>
        <v>1</v>
      </c>
      <c r="N3" s="1">
        <f>IF(AND(Programme_Grunddaten!$A11="Geprüft",Programme_Grunddaten!V11&lt;&gt;""),IF(Programme_Grunddaten!V11="Ja",1,0),"")</f>
        <v>1</v>
      </c>
      <c r="O3" s="1">
        <f>IF(AND(Programme_Grunddaten!$A11="Geprüft",Programme_Grunddaten!W11&lt;&gt;""),IF(Programme_Grunddaten!W11="Ja",1,0),"")</f>
        <v>1</v>
      </c>
      <c r="P3" s="1" t="str">
        <f>IF(AND(Programme_Grunddaten!$A11="Geprüft",Programme_Grunddaten!X11&lt;&gt;""),IF(Programme_Grunddaten!X11="Ja",1,0),"")</f>
        <v/>
      </c>
      <c r="Q3" s="1">
        <f>IF(AND(Programme_Grunddaten!$A11="Geprüft",Programme_Grunddaten!Y11&lt;&gt;""),IF(Programme_Grunddaten!Y11="Ja",1,0),"")</f>
        <v>1</v>
      </c>
      <c r="R3" s="1">
        <f>IF(AND(Programme_Grunddaten!$A11="Geprüft",Programme_Grunddaten!Z11&lt;&gt;""),IF(Programme_Grunddaten!Z11="Ja",1,0),"")</f>
        <v>0</v>
      </c>
      <c r="S3" s="1">
        <f>IF(AND(Programme_Grunddaten!$A11="Geprüft",Programme_Grunddaten!AA11&lt;&gt;""),IF(Programme_Grunddaten!AA11="monolithisch",1,0),"")</f>
        <v>0</v>
      </c>
      <c r="T3" s="1">
        <f>IF(AND(Programme_Grunddaten!$A11="Geprüft",Programme_Grunddaten!AB11&lt;&gt;""),IF(Programme_Grunddaten!AB11="Ja",1,0),"")</f>
        <v>1</v>
      </c>
      <c r="U3" s="1">
        <f>IF(AND(Programme_Grunddaten!$A11="Geprüft",Programme_Grunddaten!AC11&lt;&gt;""),IF(Programme_Grunddaten!AC11="Ja",1,0),"")</f>
        <v>1</v>
      </c>
      <c r="V3" s="1">
        <f>IF(AND(Programme_Grunddaten!$A11="Geprüft",Programme_Grunddaten!AD11&lt;&gt;""),IF(Programme_Grunddaten!AD11="Ja",1,0),"")</f>
        <v>1</v>
      </c>
      <c r="W3" s="1" t="str">
        <f>IF(AND(Programme_Grunddaten!$A11="Geprüft",Programme_Grunddaten!AE11&lt;&gt;""),IF(Programme_Grunddaten!AE11="Ja",1,0),"")</f>
        <v/>
      </c>
      <c r="X3" s="1">
        <f>IF(AND(Programme_Grunddaten!$A11="Geprüft",Programme_Grunddaten!AF11&lt;&gt;""),IF(Programme_Grunddaten!AF11="Ja",1,0),"")</f>
        <v>1</v>
      </c>
      <c r="Y3" s="1">
        <f>IF(AND(Programme_Grunddaten!$A11="Geprüft",Programme_Grunddaten!AG11&lt;&gt;""),IF(Programme_Grunddaten!AG11="Ja",1,0),"")</f>
        <v>1</v>
      </c>
      <c r="Z3" s="1">
        <f>IF(AND(Programme_Grunddaten!$A11="Geprüft",Programme_Grunddaten!AH11&lt;&gt;""),IF(Programme_Grunddaten!AH11="Ja",1,0),"")</f>
        <v>1</v>
      </c>
      <c r="AA3" s="1">
        <f>IF(AND(Programme_Grunddaten!$A11="Geprüft",Programme_Grunddaten!AI11&lt;&gt;""),IF(Programme_Grunddaten!AI11="Ja",1,0),"")</f>
        <v>1</v>
      </c>
      <c r="AB3" s="1" t="str">
        <f>IF(AND(Programme_Grunddaten!$A11="Geprüft",Programme_Grunddaten!AJ11&lt;&gt;""),IF(Programme_Grunddaten!AJ11="individuell programmierbar",1,0),"")</f>
        <v/>
      </c>
      <c r="AC3" s="1">
        <f>IF(AND(Programme_Grunddaten!$A11="Geprüft",Programme_Grunddaten!AK11&lt;&gt;""),IF(Programme_Grunddaten!AK11="Deutsch",0,IF(Programme_Grunddaten!AK11="Deutsch und Englisch",1,2)),"")</f>
        <v>1</v>
      </c>
      <c r="AD3" s="1">
        <f>IF(AND(Programme_Grunddaten!$A11="Geprüft",Programme_Grunddaten!AL11&lt;&gt;""),IF(Programme_Grunddaten!AL11="Ja",1,0),"")</f>
        <v>1</v>
      </c>
      <c r="AE3" s="1">
        <f>IF(AND(Programme_Grunddaten!$A11="Geprüft",Programme_Grunddaten!AM11&lt;&gt;""),IF(Programme_Grunddaten!AM11="Ja",1,0),"")</f>
        <v>0</v>
      </c>
      <c r="AF3" s="1" t="str">
        <f>IF(AND(Programme_Grunddaten!$A11="Geprüft",Programme_Grunddaten!AN11&lt;&gt;""),IF(Programme_Grunddaten!AN11="Ja",1,0),"")</f>
        <v/>
      </c>
      <c r="AG3" s="1">
        <f>IF(AND(Programme_Grunddaten!$A11="Geprüft",Programme_Grunddaten!AO11&lt;&gt;""),IF(Programme_Grunddaten!AO11="Ja",1,0),"")</f>
        <v>0</v>
      </c>
      <c r="AH3" s="1" t="str">
        <f>IF(AND(Programme_Grunddaten!$A11="Geprüft",Programme_Grunddaten!AP11&lt;&gt;""),IF(Programme_Grunddaten!AP11="Ja",1,0),"")</f>
        <v/>
      </c>
      <c r="AI3" s="1">
        <f>IF(AND(Programme_Grunddaten!$A11="Geprüft",Programme_Grunddaten!AQ11&lt;&gt;""),IF(Programme_Grunddaten!AQ11="Ja",1,0),"")</f>
        <v>1</v>
      </c>
      <c r="AJ3" s="1">
        <f>IF(AND(Programme_Grunddaten!$A11="Geprüft",Programme_Grunddaten!AR11&lt;&gt;""),IF(Programme_Grunddaten!AR11="Ja",1,0),"")</f>
        <v>1</v>
      </c>
      <c r="AK3" s="1">
        <f>IF(AND(Programme_Grunddaten!$A11="Geprüft",Programme_Grunddaten!AS11&lt;&gt;""),IF(Programme_Grunddaten!AS11="Ja",1,0),"")</f>
        <v>1</v>
      </c>
      <c r="AL3" s="1" t="str">
        <f>IF(AND(Programme_Grunddaten!$A11="Geprüft",Programme_Grunddaten!AT11&lt;&gt;""),IF(Programme_Grunddaten!AT11="Ja",1,0),"")</f>
        <v/>
      </c>
      <c r="AM3" s="1">
        <f>IF(AND(Programme_Grunddaten!$A11="Geprüft",Programme_Grunddaten!AU11&lt;&gt;""),IF(Programme_Grunddaten!AU11="Ja",1,0),"")</f>
        <v>1</v>
      </c>
      <c r="AN3" s="1" t="str">
        <f>IF(AND(Programme_Grunddaten!$A11="Geprüft",Programme_Grunddaten!AV11&lt;&gt;""),IF(Programme_Grunddaten!AV11="Ja",1,0),"")</f>
        <v/>
      </c>
    </row>
    <row r="4" spans="1:40" x14ac:dyDescent="0.3">
      <c r="A4" s="1" t="str">
        <f>IF(AND(Programme_Grunddaten!A12="Geprüft",Programme_Grunddaten!B12&lt;&gt;""),Programme_Grunddaten!B12,"")</f>
        <v>P03</v>
      </c>
      <c r="B4" s="1">
        <f>IF(AND(Programme_Grunddaten!$A12="Geprüft",Programme_Grunddaten!I12&lt;&gt;""),IF(Programme_Grunddaten!I12="Ja",1,0),"")</f>
        <v>0</v>
      </c>
      <c r="C4" s="1">
        <f>IF(AND(Programme_Grunddaten!$A12="Geprüft",Programme_Grunddaten!J12&lt;&gt;""),IF(Programme_Grunddaten!J12="Ja",1,0),"")</f>
        <v>1</v>
      </c>
      <c r="D4" s="1">
        <f>IF(AND(Programme_Grunddaten!$A12="Geprüft",Programme_Grunddaten!K12&lt;&gt;""),IF(Programme_Grunddaten!K12="Ja",1,0),"")</f>
        <v>0</v>
      </c>
      <c r="E4" s="1">
        <f>IF(AND(Programme_Grunddaten!$A12="Geprüft",Programme_Grunddaten!L12&lt;&gt;""),IF(Programme_Grunddaten!L12="Abo / befristete Lizenz",1,0),"")</f>
        <v>1</v>
      </c>
      <c r="F4" s="1">
        <f>IF(AND(Programme_Grunddaten!$A12="Geprüft",Programme_Grunddaten!M12&lt;&gt;""),IF(Programme_Grunddaten!M12="Ja",1,0),"")</f>
        <v>1</v>
      </c>
      <c r="G4" s="1">
        <f>IF(AND(Programme_Grunddaten!$A12="Geprüft",Programme_Grunddaten!N12&lt;&gt;""),IF(Programme_Grunddaten!N12="Ja",1,0),"")</f>
        <v>1</v>
      </c>
      <c r="H4" s="1" t="str">
        <f>IF(AND(Programme_Grunddaten!$A12="Geprüft",Programme_Grunddaten!O12&lt;&gt;""),IF(Programme_Grunddaten!O12="Deutschland",0,IF(Programme_Grunddaten!O12="EU",1,2)),"")</f>
        <v/>
      </c>
      <c r="I4" s="1">
        <f>IF(AND(Programme_Grunddaten!$A12="Geprüft",Programme_Grunddaten!P12&lt;&gt;""),IF(Programme_Grunddaten!P12="Ja",1,0),"")</f>
        <v>1</v>
      </c>
      <c r="J4" s="1">
        <f>IF(AND(Programme_Grunddaten!$A12="Geprüft",Programme_Grunddaten!Q12&lt;&gt;""),IF(Programme_Grunddaten!Q12="geschlossenes System",1,0),"")</f>
        <v>0</v>
      </c>
      <c r="K4" s="1">
        <f>IF(AND(Programme_Grunddaten!$A12="Geprüft",Programme_Grunddaten!R12&lt;&gt;""),IF(Programme_Grunddaten!R12="Ja",1,0),"")</f>
        <v>1</v>
      </c>
      <c r="L4" s="1">
        <f>IF(AND(Programme_Grunddaten!$A12="Geprüft",Programme_Grunddaten!T12&lt;&gt;""),IF(Programme_Grunddaten!T12="Ja",1,0),"")</f>
        <v>1</v>
      </c>
      <c r="M4" s="1">
        <f>IF(AND(Programme_Grunddaten!$A12="Geprüft",Programme_Grunddaten!U12&lt;&gt;""),IF(Programme_Grunddaten!U12="Ja",1,0),"")</f>
        <v>1</v>
      </c>
      <c r="N4" s="1">
        <f>IF(AND(Programme_Grunddaten!$A12="Geprüft",Programme_Grunddaten!V12&lt;&gt;""),IF(Programme_Grunddaten!V12="Ja",1,0),"")</f>
        <v>1</v>
      </c>
      <c r="O4" s="1">
        <f>IF(AND(Programme_Grunddaten!$A12="Geprüft",Programme_Grunddaten!W12&lt;&gt;""),IF(Programme_Grunddaten!W12="Ja",1,0),"")</f>
        <v>1</v>
      </c>
      <c r="P4" s="1" t="str">
        <f>IF(AND(Programme_Grunddaten!$A12="Geprüft",Programme_Grunddaten!X12&lt;&gt;""),IF(Programme_Grunddaten!X12="Ja",1,0),"")</f>
        <v/>
      </c>
      <c r="Q4" s="1">
        <f>IF(AND(Programme_Grunddaten!$A12="Geprüft",Programme_Grunddaten!Y12&lt;&gt;""),IF(Programme_Grunddaten!Y12="Ja",1,0),"")</f>
        <v>1</v>
      </c>
      <c r="R4" s="1">
        <f>IF(AND(Programme_Grunddaten!$A12="Geprüft",Programme_Grunddaten!Z12&lt;&gt;""),IF(Programme_Grunddaten!Z12="Ja",1,0),"")</f>
        <v>0</v>
      </c>
      <c r="S4" s="1">
        <f>IF(AND(Programme_Grunddaten!$A12="Geprüft",Programme_Grunddaten!AA12&lt;&gt;""),IF(Programme_Grunddaten!AA12="monolithisch",1,0),"")</f>
        <v>0</v>
      </c>
      <c r="T4" s="1">
        <f>IF(AND(Programme_Grunddaten!$A12="Geprüft",Programme_Grunddaten!AB12&lt;&gt;""),IF(Programme_Grunddaten!AB12="Ja",1,0),"")</f>
        <v>1</v>
      </c>
      <c r="U4" s="1">
        <f>IF(AND(Programme_Grunddaten!$A12="Geprüft",Programme_Grunddaten!AC12&lt;&gt;""),IF(Programme_Grunddaten!AC12="Ja",1,0),"")</f>
        <v>1</v>
      </c>
      <c r="V4" s="1" t="str">
        <f>IF(AND(Programme_Grunddaten!$A12="Geprüft",Programme_Grunddaten!AD12&lt;&gt;""),IF(Programme_Grunddaten!AD12="Ja",1,0),"")</f>
        <v/>
      </c>
      <c r="W4" s="1" t="str">
        <f>IF(AND(Programme_Grunddaten!$A12="Geprüft",Programme_Grunddaten!AE12&lt;&gt;""),IF(Programme_Grunddaten!AE12="Ja",1,0),"")</f>
        <v/>
      </c>
      <c r="X4" s="1">
        <f>IF(AND(Programme_Grunddaten!$A12="Geprüft",Programme_Grunddaten!AF12&lt;&gt;""),IF(Programme_Grunddaten!AF12="Ja",1,0),"")</f>
        <v>1</v>
      </c>
      <c r="Y4" s="1" t="str">
        <f>IF(AND(Programme_Grunddaten!$A12="Geprüft",Programme_Grunddaten!AG12&lt;&gt;""),IF(Programme_Grunddaten!AG12="Ja",1,0),"")</f>
        <v/>
      </c>
      <c r="Z4" s="1">
        <f>IF(AND(Programme_Grunddaten!$A12="Geprüft",Programme_Grunddaten!AH12&lt;&gt;""),IF(Programme_Grunddaten!AH12="Ja",1,0),"")</f>
        <v>1</v>
      </c>
      <c r="AA4" s="1">
        <f>IF(AND(Programme_Grunddaten!$A12="Geprüft",Programme_Grunddaten!AI12&lt;&gt;""),IF(Programme_Grunddaten!AI12="Ja",1,0),"")</f>
        <v>1</v>
      </c>
      <c r="AB4" s="1" t="str">
        <f>IF(AND(Programme_Grunddaten!$A12="Geprüft",Programme_Grunddaten!AJ12&lt;&gt;""),IF(Programme_Grunddaten!AJ12="individuell programmierbar",1,0),"")</f>
        <v/>
      </c>
      <c r="AC4" s="1">
        <f>IF(AND(Programme_Grunddaten!$A12="Geprüft",Programme_Grunddaten!AK12&lt;&gt;""),IF(Programme_Grunddaten!AK12="Deutsch",0,IF(Programme_Grunddaten!AK12="Deutsch und Englisch",1,2)),"")</f>
        <v>0</v>
      </c>
      <c r="AD4" s="1">
        <f>IF(AND(Programme_Grunddaten!$A12="Geprüft",Programme_Grunddaten!AL12&lt;&gt;""),IF(Programme_Grunddaten!AL12="Ja",1,0),"")</f>
        <v>1</v>
      </c>
      <c r="AE4" s="1">
        <f>IF(AND(Programme_Grunddaten!$A12="Geprüft",Programme_Grunddaten!AM12&lt;&gt;""),IF(Programme_Grunddaten!AM12="Ja",1,0),"")</f>
        <v>0</v>
      </c>
      <c r="AF4" s="1" t="str">
        <f>IF(AND(Programme_Grunddaten!$A12="Geprüft",Programme_Grunddaten!AN12&lt;&gt;""),IF(Programme_Grunddaten!AN12="Ja",1,0),"")</f>
        <v/>
      </c>
      <c r="AG4" s="1" t="str">
        <f>IF(AND(Programme_Grunddaten!$A12="Geprüft",Programme_Grunddaten!AO12&lt;&gt;""),IF(Programme_Grunddaten!AO12="Ja",1,0),"")</f>
        <v/>
      </c>
      <c r="AH4" s="1" t="str">
        <f>IF(AND(Programme_Grunddaten!$A12="Geprüft",Programme_Grunddaten!AP12&lt;&gt;""),IF(Programme_Grunddaten!AP12="Ja",1,0),"")</f>
        <v/>
      </c>
      <c r="AI4" s="1">
        <f>IF(AND(Programme_Grunddaten!$A12="Geprüft",Programme_Grunddaten!AQ12&lt;&gt;""),IF(Programme_Grunddaten!AQ12="Ja",1,0),"")</f>
        <v>1</v>
      </c>
      <c r="AJ4" s="1">
        <f>IF(AND(Programme_Grunddaten!$A12="Geprüft",Programme_Grunddaten!AR12&lt;&gt;""),IF(Programme_Grunddaten!AR12="Ja",1,0),"")</f>
        <v>1</v>
      </c>
      <c r="AK4" s="1">
        <f>IF(AND(Programme_Grunddaten!$A12="Geprüft",Programme_Grunddaten!AS12&lt;&gt;""),IF(Programme_Grunddaten!AS12="Ja",1,0),"")</f>
        <v>1</v>
      </c>
      <c r="AL4" s="1" t="str">
        <f>IF(AND(Programme_Grunddaten!$A12="Geprüft",Programme_Grunddaten!AT12&lt;&gt;""),IF(Programme_Grunddaten!AT12="Ja",1,0),"")</f>
        <v/>
      </c>
      <c r="AM4" s="1" t="str">
        <f>IF(AND(Programme_Grunddaten!$A12="Geprüft",Programme_Grunddaten!AU12&lt;&gt;""),IF(Programme_Grunddaten!AU12="Ja",1,0),"")</f>
        <v/>
      </c>
      <c r="AN4" s="1" t="str">
        <f>IF(AND(Programme_Grunddaten!$A12="Geprüft",Programme_Grunddaten!AV12&lt;&gt;""),IF(Programme_Grunddaten!AV12="Ja",1,0),"")</f>
        <v/>
      </c>
    </row>
    <row r="5" spans="1:40" x14ac:dyDescent="0.3">
      <c r="A5" s="1" t="str">
        <f>IF(AND(Programme_Grunddaten!A13="Geprüft",Programme_Grunddaten!B13&lt;&gt;""),Programme_Grunddaten!B13,"")</f>
        <v>P04</v>
      </c>
      <c r="B5" s="1">
        <f>IF(AND(Programme_Grunddaten!$A13="Geprüft",Programme_Grunddaten!I13&lt;&gt;""),IF(Programme_Grunddaten!I13="Ja",1,0),"")</f>
        <v>0</v>
      </c>
      <c r="C5" s="1">
        <f>IF(AND(Programme_Grunddaten!$A13="Geprüft",Programme_Grunddaten!J13&lt;&gt;""),IF(Programme_Grunddaten!J13="Ja",1,0),"")</f>
        <v>1</v>
      </c>
      <c r="D5" s="1">
        <f>IF(AND(Programme_Grunddaten!$A13="Geprüft",Programme_Grunddaten!K13&lt;&gt;""),IF(Programme_Grunddaten!K13="Ja",1,0),"")</f>
        <v>0</v>
      </c>
      <c r="E5" s="1" t="str">
        <f>IF(AND(Programme_Grunddaten!$A13="Geprüft",Programme_Grunddaten!L13&lt;&gt;""),IF(Programme_Grunddaten!L13="Abo / befristete Lizenz",1,0),"")</f>
        <v/>
      </c>
      <c r="F5" s="1">
        <f>IF(AND(Programme_Grunddaten!$A13="Geprüft",Programme_Grunddaten!M13&lt;&gt;""),IF(Programme_Grunddaten!M13="Ja",1,0),"")</f>
        <v>1</v>
      </c>
      <c r="G5" s="1">
        <f>IF(AND(Programme_Grunddaten!$A13="Geprüft",Programme_Grunddaten!N13&lt;&gt;""),IF(Programme_Grunddaten!N13="Ja",1,0),"")</f>
        <v>1</v>
      </c>
      <c r="H5" s="1">
        <f>IF(AND(Programme_Grunddaten!$A13="Geprüft",Programme_Grunddaten!O13&lt;&gt;""),IF(Programme_Grunddaten!O13="Deutschland",0,IF(Programme_Grunddaten!O13="EU",1,2)),"")</f>
        <v>0</v>
      </c>
      <c r="I5" s="1" t="str">
        <f>IF(AND(Programme_Grunddaten!$A13="Geprüft",Programme_Grunddaten!P13&lt;&gt;""),IF(Programme_Grunddaten!P13="Ja",1,0),"")</f>
        <v/>
      </c>
      <c r="J5" s="1">
        <f>IF(AND(Programme_Grunddaten!$A13="Geprüft",Programme_Grunddaten!Q13&lt;&gt;""),IF(Programme_Grunddaten!Q13="geschlossenes System",1,0),"")</f>
        <v>0</v>
      </c>
      <c r="K5" s="1">
        <f>IF(AND(Programme_Grunddaten!$A13="Geprüft",Programme_Grunddaten!R13&lt;&gt;""),IF(Programme_Grunddaten!R13="Ja",1,0),"")</f>
        <v>1</v>
      </c>
      <c r="L5" s="1">
        <f>IF(AND(Programme_Grunddaten!$A13="Geprüft",Programme_Grunddaten!T13&lt;&gt;""),IF(Programme_Grunddaten!T13="Ja",1,0),"")</f>
        <v>1</v>
      </c>
      <c r="M5" s="1">
        <f>IF(AND(Programme_Grunddaten!$A13="Geprüft",Programme_Grunddaten!U13&lt;&gt;""),IF(Programme_Grunddaten!U13="Ja",1,0),"")</f>
        <v>1</v>
      </c>
      <c r="N5" s="1">
        <f>IF(AND(Programme_Grunddaten!$A13="Geprüft",Programme_Grunddaten!V13&lt;&gt;""),IF(Programme_Grunddaten!V13="Ja",1,0),"")</f>
        <v>1</v>
      </c>
      <c r="O5" s="1">
        <f>IF(AND(Programme_Grunddaten!$A13="Geprüft",Programme_Grunddaten!W13&lt;&gt;""),IF(Programme_Grunddaten!W13="Ja",1,0),"")</f>
        <v>1</v>
      </c>
      <c r="P5" s="1" t="str">
        <f>IF(AND(Programme_Grunddaten!$A13="Geprüft",Programme_Grunddaten!X13&lt;&gt;""),IF(Programme_Grunddaten!X13="Ja",1,0),"")</f>
        <v/>
      </c>
      <c r="Q5" s="1">
        <f>IF(AND(Programme_Grunddaten!$A13="Geprüft",Programme_Grunddaten!Y13&lt;&gt;""),IF(Programme_Grunddaten!Y13="Ja",1,0),"")</f>
        <v>1</v>
      </c>
      <c r="R5" s="1">
        <f>IF(AND(Programme_Grunddaten!$A13="Geprüft",Programme_Grunddaten!Z13&lt;&gt;""),IF(Programme_Grunddaten!Z13="Ja",1,0),"")</f>
        <v>0</v>
      </c>
      <c r="S5" s="1">
        <f>IF(AND(Programme_Grunddaten!$A13="Geprüft",Programme_Grunddaten!AA13&lt;&gt;""),IF(Programme_Grunddaten!AA13="monolithisch",1,0),"")</f>
        <v>0</v>
      </c>
      <c r="T5" s="1">
        <f>IF(AND(Programme_Grunddaten!$A13="Geprüft",Programme_Grunddaten!AB13&lt;&gt;""),IF(Programme_Grunddaten!AB13="Ja",1,0),"")</f>
        <v>1</v>
      </c>
      <c r="U5" s="1">
        <f>IF(AND(Programme_Grunddaten!$A13="Geprüft",Programme_Grunddaten!AC13&lt;&gt;""),IF(Programme_Grunddaten!AC13="Ja",1,0),"")</f>
        <v>1</v>
      </c>
      <c r="V5" s="1">
        <f>IF(AND(Programme_Grunddaten!$A13="Geprüft",Programme_Grunddaten!AD13&lt;&gt;""),IF(Programme_Grunddaten!AD13="Ja",1,0),"")</f>
        <v>1</v>
      </c>
      <c r="W5" s="1" t="str">
        <f>IF(AND(Programme_Grunddaten!$A13="Geprüft",Programme_Grunddaten!AE13&lt;&gt;""),IF(Programme_Grunddaten!AE13="Ja",1,0),"")</f>
        <v/>
      </c>
      <c r="X5" s="1">
        <f>IF(AND(Programme_Grunddaten!$A13="Geprüft",Programme_Grunddaten!AF13&lt;&gt;""),IF(Programme_Grunddaten!AF13="Ja",1,0),"")</f>
        <v>1</v>
      </c>
      <c r="Y5" s="1" t="str">
        <f>IF(AND(Programme_Grunddaten!$A13="Geprüft",Programme_Grunddaten!AG13&lt;&gt;""),IF(Programme_Grunddaten!AG13="Ja",1,0),"")</f>
        <v/>
      </c>
      <c r="Z5" s="1">
        <f>IF(AND(Programme_Grunddaten!$A13="Geprüft",Programme_Grunddaten!AH13&lt;&gt;""),IF(Programme_Grunddaten!AH13="Ja",1,0),"")</f>
        <v>1</v>
      </c>
      <c r="AA5" s="1">
        <f>IF(AND(Programme_Grunddaten!$A13="Geprüft",Programme_Grunddaten!AI13&lt;&gt;""),IF(Programme_Grunddaten!AI13="Ja",1,0),"")</f>
        <v>1</v>
      </c>
      <c r="AB5" s="1" t="str">
        <f>IF(AND(Programme_Grunddaten!$A13="Geprüft",Programme_Grunddaten!AJ13&lt;&gt;""),IF(Programme_Grunddaten!AJ13="individuell programmierbar",1,0),"")</f>
        <v/>
      </c>
      <c r="AC5" s="1">
        <f>IF(AND(Programme_Grunddaten!$A13="Geprüft",Programme_Grunddaten!AK13&lt;&gt;""),IF(Programme_Grunddaten!AK13="Deutsch",0,IF(Programme_Grunddaten!AK13="Deutsch und Englisch",1,2)),"")</f>
        <v>0</v>
      </c>
      <c r="AD5" s="1">
        <f>IF(AND(Programme_Grunddaten!$A13="Geprüft",Programme_Grunddaten!AL13&lt;&gt;""),IF(Programme_Grunddaten!AL13="Ja",1,0),"")</f>
        <v>1</v>
      </c>
      <c r="AE5" s="1">
        <f>IF(AND(Programme_Grunddaten!$A13="Geprüft",Programme_Grunddaten!AM13&lt;&gt;""),IF(Programme_Grunddaten!AM13="Ja",1,0),"")</f>
        <v>0</v>
      </c>
      <c r="AF5" s="1" t="str">
        <f>IF(AND(Programme_Grunddaten!$A13="Geprüft",Programme_Grunddaten!AN13&lt;&gt;""),IF(Programme_Grunddaten!AN13="Ja",1,0),"")</f>
        <v/>
      </c>
      <c r="AG5" s="1">
        <f>IF(AND(Programme_Grunddaten!$A13="Geprüft",Programme_Grunddaten!AO13&lt;&gt;""),IF(Programme_Grunddaten!AO13="Ja",1,0),"")</f>
        <v>0</v>
      </c>
      <c r="AH5" s="1">
        <f>IF(AND(Programme_Grunddaten!$A13="Geprüft",Programme_Grunddaten!AP13&lt;&gt;""),IF(Programme_Grunddaten!AP13="Ja",1,0),"")</f>
        <v>1</v>
      </c>
      <c r="AI5" s="1">
        <f>IF(AND(Programme_Grunddaten!$A13="Geprüft",Programme_Grunddaten!AQ13&lt;&gt;""),IF(Programme_Grunddaten!AQ13="Ja",1,0),"")</f>
        <v>1</v>
      </c>
      <c r="AJ5" s="1">
        <f>IF(AND(Programme_Grunddaten!$A13="Geprüft",Programme_Grunddaten!AR13&lt;&gt;""),IF(Programme_Grunddaten!AR13="Ja",1,0),"")</f>
        <v>1</v>
      </c>
      <c r="AK5" s="1">
        <f>IF(AND(Programme_Grunddaten!$A13="Geprüft",Programme_Grunddaten!AS13&lt;&gt;""),IF(Programme_Grunddaten!AS13="Ja",1,0),"")</f>
        <v>1</v>
      </c>
      <c r="AL5" s="1" t="str">
        <f>IF(AND(Programme_Grunddaten!$A13="Geprüft",Programme_Grunddaten!AT13&lt;&gt;""),IF(Programme_Grunddaten!AT13="Ja",1,0),"")</f>
        <v/>
      </c>
      <c r="AM5" s="1">
        <f>IF(AND(Programme_Grunddaten!$A13="Geprüft",Programme_Grunddaten!AU13&lt;&gt;""),IF(Programme_Grunddaten!AU13="Ja",1,0),"")</f>
        <v>1</v>
      </c>
      <c r="AN5" s="1" t="str">
        <f>IF(AND(Programme_Grunddaten!$A13="Geprüft",Programme_Grunddaten!AV13&lt;&gt;""),IF(Programme_Grunddaten!AV13="Ja",1,0),"")</f>
        <v/>
      </c>
    </row>
    <row r="6" spans="1:40" x14ac:dyDescent="0.3">
      <c r="A6" s="1" t="str">
        <f>IF(AND(Programme_Grunddaten!A14="Geprüft",Programme_Grunddaten!B14&lt;&gt;""),Programme_Grunddaten!B14,"")</f>
        <v>P05</v>
      </c>
      <c r="B6" s="1">
        <f>IF(AND(Programme_Grunddaten!$A14="Geprüft",Programme_Grunddaten!I14&lt;&gt;""),IF(Programme_Grunddaten!I14="Ja",1,0),"")</f>
        <v>0</v>
      </c>
      <c r="C6" s="1">
        <f>IF(AND(Programme_Grunddaten!$A14="Geprüft",Programme_Grunddaten!J14&lt;&gt;""),IF(Programme_Grunddaten!J14="Ja",1,0),"")</f>
        <v>1</v>
      </c>
      <c r="D6" s="1">
        <f>IF(AND(Programme_Grunddaten!$A14="Geprüft",Programme_Grunddaten!K14&lt;&gt;""),IF(Programme_Grunddaten!K14="Ja",1,0),"")</f>
        <v>0</v>
      </c>
      <c r="E6" s="1">
        <f>IF(AND(Programme_Grunddaten!$A14="Geprüft",Programme_Grunddaten!L14&lt;&gt;""),IF(Programme_Grunddaten!L14="Abo / befristete Lizenz",1,0),"")</f>
        <v>0</v>
      </c>
      <c r="F6" s="1">
        <f>IF(AND(Programme_Grunddaten!$A14="Geprüft",Programme_Grunddaten!M14&lt;&gt;""),IF(Programme_Grunddaten!M14="Ja",1,0),"")</f>
        <v>1</v>
      </c>
      <c r="G6" s="1">
        <f>IF(AND(Programme_Grunddaten!$A14="Geprüft",Programme_Grunddaten!N14&lt;&gt;""),IF(Programme_Grunddaten!N14="Ja",1,0),"")</f>
        <v>1</v>
      </c>
      <c r="H6" s="1">
        <f>IF(AND(Programme_Grunddaten!$A14="Geprüft",Programme_Grunddaten!O14&lt;&gt;""),IF(Programme_Grunddaten!O14="Deutschland",0,IF(Programme_Grunddaten!O14="EU",1,2)),"")</f>
        <v>0</v>
      </c>
      <c r="I6" s="1">
        <f>IF(AND(Programme_Grunddaten!$A14="Geprüft",Programme_Grunddaten!P14&lt;&gt;""),IF(Programme_Grunddaten!P14="Ja",1,0),"")</f>
        <v>1</v>
      </c>
      <c r="J6" s="1">
        <f>IF(AND(Programme_Grunddaten!$A14="Geprüft",Programme_Grunddaten!Q14&lt;&gt;""),IF(Programme_Grunddaten!Q14="geschlossenes System",1,0),"")</f>
        <v>0</v>
      </c>
      <c r="K6" s="1">
        <f>IF(AND(Programme_Grunddaten!$A14="Geprüft",Programme_Grunddaten!R14&lt;&gt;""),IF(Programme_Grunddaten!R14="Ja",1,0),"")</f>
        <v>1</v>
      </c>
      <c r="L6" s="1">
        <f>IF(AND(Programme_Grunddaten!$A14="Geprüft",Programme_Grunddaten!T14&lt;&gt;""),IF(Programme_Grunddaten!T14="Ja",1,0),"")</f>
        <v>1</v>
      </c>
      <c r="M6" s="1">
        <f>IF(AND(Programme_Grunddaten!$A14="Geprüft",Programme_Grunddaten!U14&lt;&gt;""),IF(Programme_Grunddaten!U14="Ja",1,0),"")</f>
        <v>1</v>
      </c>
      <c r="N6" s="1">
        <f>IF(AND(Programme_Grunddaten!$A14="Geprüft",Programme_Grunddaten!V14&lt;&gt;""),IF(Programme_Grunddaten!V14="Ja",1,0),"")</f>
        <v>1</v>
      </c>
      <c r="O6" s="1" t="str">
        <f>IF(AND(Programme_Grunddaten!$A14="Geprüft",Programme_Grunddaten!W14&lt;&gt;""),IF(Programme_Grunddaten!W14="Ja",1,0),"")</f>
        <v/>
      </c>
      <c r="P6" s="1">
        <f>IF(AND(Programme_Grunddaten!$A14="Geprüft",Programme_Grunddaten!X14&lt;&gt;""),IF(Programme_Grunddaten!X14="Ja",1,0),"")</f>
        <v>1</v>
      </c>
      <c r="Q6" s="1" t="str">
        <f>IF(AND(Programme_Grunddaten!$A14="Geprüft",Programme_Grunddaten!Y14&lt;&gt;""),IF(Programme_Grunddaten!Y14="Ja",1,0),"")</f>
        <v/>
      </c>
      <c r="R6" s="1">
        <f>IF(AND(Programme_Grunddaten!$A14="Geprüft",Programme_Grunddaten!Z14&lt;&gt;""),IF(Programme_Grunddaten!Z14="Ja",1,0),"")</f>
        <v>0</v>
      </c>
      <c r="S6" s="1">
        <f>IF(AND(Programme_Grunddaten!$A14="Geprüft",Programme_Grunddaten!AA14&lt;&gt;""),IF(Programme_Grunddaten!AA14="monolithisch",1,0),"")</f>
        <v>0</v>
      </c>
      <c r="T6" s="1">
        <f>IF(AND(Programme_Grunddaten!$A14="Geprüft",Programme_Grunddaten!AB14&lt;&gt;""),IF(Programme_Grunddaten!AB14="Ja",1,0),"")</f>
        <v>1</v>
      </c>
      <c r="U6" s="1" t="str">
        <f>IF(AND(Programme_Grunddaten!$A14="Geprüft",Programme_Grunddaten!AC14&lt;&gt;""),IF(Programme_Grunddaten!AC14="Ja",1,0),"")</f>
        <v/>
      </c>
      <c r="V6" s="1">
        <f>IF(AND(Programme_Grunddaten!$A14="Geprüft",Programme_Grunddaten!AD14&lt;&gt;""),IF(Programme_Grunddaten!AD14="Ja",1,0),"")</f>
        <v>1</v>
      </c>
      <c r="W6" s="1" t="str">
        <f>IF(AND(Programme_Grunddaten!$A14="Geprüft",Programme_Grunddaten!AE14&lt;&gt;""),IF(Programme_Grunddaten!AE14="Ja",1,0),"")</f>
        <v/>
      </c>
      <c r="X6" s="1">
        <f>IF(AND(Programme_Grunddaten!$A14="Geprüft",Programme_Grunddaten!AF14&lt;&gt;""),IF(Programme_Grunddaten!AF14="Ja",1,0),"")</f>
        <v>1</v>
      </c>
      <c r="Y6" s="1" t="str">
        <f>IF(AND(Programme_Grunddaten!$A14="Geprüft",Programme_Grunddaten!AG14&lt;&gt;""),IF(Programme_Grunddaten!AG14="Ja",1,0),"")</f>
        <v/>
      </c>
      <c r="Z6" s="1">
        <f>IF(AND(Programme_Grunddaten!$A14="Geprüft",Programme_Grunddaten!AH14&lt;&gt;""),IF(Programme_Grunddaten!AH14="Ja",1,0),"")</f>
        <v>1</v>
      </c>
      <c r="AA6" s="1">
        <f>IF(AND(Programme_Grunddaten!$A14="Geprüft",Programme_Grunddaten!AI14&lt;&gt;""),IF(Programme_Grunddaten!AI14="Ja",1,0),"")</f>
        <v>1</v>
      </c>
      <c r="AB6" s="1" t="str">
        <f>IF(AND(Programme_Grunddaten!$A14="Geprüft",Programme_Grunddaten!AJ14&lt;&gt;""),IF(Programme_Grunddaten!AJ14="individuell programmierbar",1,0),"")</f>
        <v/>
      </c>
      <c r="AC6" s="1">
        <f>IF(AND(Programme_Grunddaten!$A14="Geprüft",Programme_Grunddaten!AK14&lt;&gt;""),IF(Programme_Grunddaten!AK14="Deutsch",0,IF(Programme_Grunddaten!AK14="Deutsch und Englisch",1,2)),"")</f>
        <v>1</v>
      </c>
      <c r="AD6" s="1">
        <f>IF(AND(Programme_Grunddaten!$A14="Geprüft",Programme_Grunddaten!AL14&lt;&gt;""),IF(Programme_Grunddaten!AL14="Ja",1,0),"")</f>
        <v>1</v>
      </c>
      <c r="AE6" s="1">
        <f>IF(AND(Programme_Grunddaten!$A14="Geprüft",Programme_Grunddaten!AM14&lt;&gt;""),IF(Programme_Grunddaten!AM14="Ja",1,0),"")</f>
        <v>0</v>
      </c>
      <c r="AF6" s="1" t="str">
        <f>IF(AND(Programme_Grunddaten!$A14="Geprüft",Programme_Grunddaten!AN14&lt;&gt;""),IF(Programme_Grunddaten!AN14="Ja",1,0),"")</f>
        <v/>
      </c>
      <c r="AG6" s="1">
        <f>IF(AND(Programme_Grunddaten!$A14="Geprüft",Programme_Grunddaten!AO14&lt;&gt;""),IF(Programme_Grunddaten!AO14="Ja",1,0),"")</f>
        <v>0</v>
      </c>
      <c r="AH6" s="1" t="str">
        <f>IF(AND(Programme_Grunddaten!$A14="Geprüft",Programme_Grunddaten!AP14&lt;&gt;""),IF(Programme_Grunddaten!AP14="Ja",1,0),"")</f>
        <v/>
      </c>
      <c r="AI6" s="1">
        <f>IF(AND(Programme_Grunddaten!$A14="Geprüft",Programme_Grunddaten!AQ14&lt;&gt;""),IF(Programme_Grunddaten!AQ14="Ja",1,0),"")</f>
        <v>1</v>
      </c>
      <c r="AJ6" s="1">
        <f>IF(AND(Programme_Grunddaten!$A14="Geprüft",Programme_Grunddaten!AR14&lt;&gt;""),IF(Programme_Grunddaten!AR14="Ja",1,0),"")</f>
        <v>1</v>
      </c>
      <c r="AK6" s="1">
        <f>IF(AND(Programme_Grunddaten!$A14="Geprüft",Programme_Grunddaten!AS14&lt;&gt;""),IF(Programme_Grunddaten!AS14="Ja",1,0),"")</f>
        <v>1</v>
      </c>
      <c r="AL6" s="1" t="str">
        <f>IF(AND(Programme_Grunddaten!$A14="Geprüft",Programme_Grunddaten!AT14&lt;&gt;""),IF(Programme_Grunddaten!AT14="Ja",1,0),"")</f>
        <v/>
      </c>
      <c r="AM6" s="1" t="str">
        <f>IF(AND(Programme_Grunddaten!$A14="Geprüft",Programme_Grunddaten!AU14&lt;&gt;""),IF(Programme_Grunddaten!AU14="Ja",1,0),"")</f>
        <v/>
      </c>
      <c r="AN6" s="1" t="str">
        <f>IF(AND(Programme_Grunddaten!$A14="Geprüft",Programme_Grunddaten!AV14&lt;&gt;""),IF(Programme_Grunddaten!AV14="Ja",1,0),"")</f>
        <v/>
      </c>
    </row>
    <row r="7" spans="1:40" x14ac:dyDescent="0.3">
      <c r="A7" s="1" t="str">
        <f>IF(AND(Programme_Grunddaten!A15="Geprüft",Programme_Grunddaten!B15&lt;&gt;""),Programme_Grunddaten!B15,"")</f>
        <v>P06</v>
      </c>
      <c r="B7" s="1">
        <f>IF(AND(Programme_Grunddaten!$A15="Geprüft",Programme_Grunddaten!I15&lt;&gt;""),IF(Programme_Grunddaten!I15="Ja",1,0),"")</f>
        <v>0</v>
      </c>
      <c r="C7" s="1">
        <f>IF(AND(Programme_Grunddaten!$A15="Geprüft",Programme_Grunddaten!J15&lt;&gt;""),IF(Programme_Grunddaten!J15="Ja",1,0),"")</f>
        <v>1</v>
      </c>
      <c r="D7" s="1">
        <f>IF(AND(Programme_Grunddaten!$A15="Geprüft",Programme_Grunddaten!K15&lt;&gt;""),IF(Programme_Grunddaten!K15="Ja",1,0),"")</f>
        <v>0</v>
      </c>
      <c r="E7" s="1" t="str">
        <f>IF(AND(Programme_Grunddaten!$A15="Geprüft",Programme_Grunddaten!L15&lt;&gt;""),IF(Programme_Grunddaten!L15="Abo / befristete Lizenz",1,0),"")</f>
        <v/>
      </c>
      <c r="F7" s="1">
        <f>IF(AND(Programme_Grunddaten!$A15="Geprüft",Programme_Grunddaten!M15&lt;&gt;""),IF(Programme_Grunddaten!M15="Ja",1,0),"")</f>
        <v>0</v>
      </c>
      <c r="G7" s="1">
        <f>IF(AND(Programme_Grunddaten!$A15="Geprüft",Programme_Grunddaten!N15&lt;&gt;""),IF(Programme_Grunddaten!N15="Ja",1,0),"")</f>
        <v>1</v>
      </c>
      <c r="H7" s="1" t="str">
        <f>IF(AND(Programme_Grunddaten!$A15="Geprüft",Programme_Grunddaten!O15&lt;&gt;""),IF(Programme_Grunddaten!O15="Deutschland",0,IF(Programme_Grunddaten!O15="EU",1,2)),"")</f>
        <v/>
      </c>
      <c r="I7" s="1" t="str">
        <f>IF(AND(Programme_Grunddaten!$A15="Geprüft",Programme_Grunddaten!P15&lt;&gt;""),IF(Programme_Grunddaten!P15="Ja",1,0),"")</f>
        <v/>
      </c>
      <c r="J7" s="1">
        <f>IF(AND(Programme_Grunddaten!$A15="Geprüft",Programme_Grunddaten!Q15&lt;&gt;""),IF(Programme_Grunddaten!Q15="geschlossenes System",1,0),"")</f>
        <v>0</v>
      </c>
      <c r="K7" s="1">
        <f>IF(AND(Programme_Grunddaten!$A15="Geprüft",Programme_Grunddaten!R15&lt;&gt;""),IF(Programme_Grunddaten!R15="Ja",1,0),"")</f>
        <v>1</v>
      </c>
      <c r="L7" s="1">
        <f>IF(AND(Programme_Grunddaten!$A15="Geprüft",Programme_Grunddaten!T15&lt;&gt;""),IF(Programme_Grunddaten!T15="Ja",1,0),"")</f>
        <v>1</v>
      </c>
      <c r="M7" s="1" t="str">
        <f>IF(AND(Programme_Grunddaten!$A15="Geprüft",Programme_Grunddaten!U15&lt;&gt;""),IF(Programme_Grunddaten!U15="Ja",1,0),"")</f>
        <v/>
      </c>
      <c r="N7" s="1">
        <f>IF(AND(Programme_Grunddaten!$A15="Geprüft",Programme_Grunddaten!V15&lt;&gt;""),IF(Programme_Grunddaten!V15="Ja",1,0),"")</f>
        <v>1</v>
      </c>
      <c r="O7" s="1" t="str">
        <f>IF(AND(Programme_Grunddaten!$A15="Geprüft",Programme_Grunddaten!W15&lt;&gt;""),IF(Programme_Grunddaten!W15="Ja",1,0),"")</f>
        <v/>
      </c>
      <c r="P7" s="1">
        <f>IF(AND(Programme_Grunddaten!$A15="Geprüft",Programme_Grunddaten!X15&lt;&gt;""),IF(Programme_Grunddaten!X15="Ja",1,0),"")</f>
        <v>1</v>
      </c>
      <c r="Q7" s="1" t="str">
        <f>IF(AND(Programme_Grunddaten!$A15="Geprüft",Programme_Grunddaten!Y15&lt;&gt;""),IF(Programme_Grunddaten!Y15="Ja",1,0),"")</f>
        <v/>
      </c>
      <c r="R7" s="1">
        <f>IF(AND(Programme_Grunddaten!$A15="Geprüft",Programme_Grunddaten!Z15&lt;&gt;""),IF(Programme_Grunddaten!Z15="Ja",1,0),"")</f>
        <v>0</v>
      </c>
      <c r="S7" s="1">
        <f>IF(AND(Programme_Grunddaten!$A15="Geprüft",Programme_Grunddaten!AA15&lt;&gt;""),IF(Programme_Grunddaten!AA15="monolithisch",1,0),"")</f>
        <v>0</v>
      </c>
      <c r="T7" s="1">
        <f>IF(AND(Programme_Grunddaten!$A15="Geprüft",Programme_Grunddaten!AB15&lt;&gt;""),IF(Programme_Grunddaten!AB15="Ja",1,0),"")</f>
        <v>1</v>
      </c>
      <c r="U7" s="1" t="str">
        <f>IF(AND(Programme_Grunddaten!$A15="Geprüft",Programme_Grunddaten!AC15&lt;&gt;""),IF(Programme_Grunddaten!AC15="Ja",1,0),"")</f>
        <v/>
      </c>
      <c r="V7" s="1">
        <f>IF(AND(Programme_Grunddaten!$A15="Geprüft",Programme_Grunddaten!AD15&lt;&gt;""),IF(Programme_Grunddaten!AD15="Ja",1,0),"")</f>
        <v>1</v>
      </c>
      <c r="W7" s="1" t="str">
        <f>IF(AND(Programme_Grunddaten!$A15="Geprüft",Programme_Grunddaten!AE15&lt;&gt;""),IF(Programme_Grunddaten!AE15="Ja",1,0),"")</f>
        <v/>
      </c>
      <c r="X7" s="1" t="str">
        <f>IF(AND(Programme_Grunddaten!$A15="Geprüft",Programme_Grunddaten!AF15&lt;&gt;""),IF(Programme_Grunddaten!AF15="Ja",1,0),"")</f>
        <v/>
      </c>
      <c r="Y7" s="1" t="str">
        <f>IF(AND(Programme_Grunddaten!$A15="Geprüft",Programme_Grunddaten!AG15&lt;&gt;""),IF(Programme_Grunddaten!AG15="Ja",1,0),"")</f>
        <v/>
      </c>
      <c r="Z7" s="1" t="str">
        <f>IF(AND(Programme_Grunddaten!$A15="Geprüft",Programme_Grunddaten!AH15&lt;&gt;""),IF(Programme_Grunddaten!AH15="Ja",1,0),"")</f>
        <v/>
      </c>
      <c r="AA7" s="1">
        <f>IF(AND(Programme_Grunddaten!$A15="Geprüft",Programme_Grunddaten!AI15&lt;&gt;""),IF(Programme_Grunddaten!AI15="Ja",1,0),"")</f>
        <v>1</v>
      </c>
      <c r="AB7" s="1" t="str">
        <f>IF(AND(Programme_Grunddaten!$A15="Geprüft",Programme_Grunddaten!AJ15&lt;&gt;""),IF(Programme_Grunddaten!AJ15="individuell programmierbar",1,0),"")</f>
        <v/>
      </c>
      <c r="AC7" s="1">
        <f>IF(AND(Programme_Grunddaten!$A15="Geprüft",Programme_Grunddaten!AK15&lt;&gt;""),IF(Programme_Grunddaten!AK15="Deutsch",0,IF(Programme_Grunddaten!AK15="Deutsch und Englisch",1,2)),"")</f>
        <v>0</v>
      </c>
      <c r="AD7" s="1">
        <f>IF(AND(Programme_Grunddaten!$A15="Geprüft",Programme_Grunddaten!AL15&lt;&gt;""),IF(Programme_Grunddaten!AL15="Ja",1,0),"")</f>
        <v>1</v>
      </c>
      <c r="AE7" s="1">
        <f>IF(AND(Programme_Grunddaten!$A15="Geprüft",Programme_Grunddaten!AM15&lt;&gt;""),IF(Programme_Grunddaten!AM15="Ja",1,0),"")</f>
        <v>0</v>
      </c>
      <c r="AF7" s="1" t="str">
        <f>IF(AND(Programme_Grunddaten!$A15="Geprüft",Programme_Grunddaten!AN15&lt;&gt;""),IF(Programme_Grunddaten!AN15="Ja",1,0),"")</f>
        <v/>
      </c>
      <c r="AG7" s="1">
        <f>IF(AND(Programme_Grunddaten!$A15="Geprüft",Programme_Grunddaten!AO15&lt;&gt;""),IF(Programme_Grunddaten!AO15="Ja",1,0),"")</f>
        <v>0</v>
      </c>
      <c r="AH7" s="1" t="str">
        <f>IF(AND(Programme_Grunddaten!$A15="Geprüft",Programme_Grunddaten!AP15&lt;&gt;""),IF(Programme_Grunddaten!AP15="Ja",1,0),"")</f>
        <v/>
      </c>
      <c r="AI7" s="1">
        <f>IF(AND(Programme_Grunddaten!$A15="Geprüft",Programme_Grunddaten!AQ15&lt;&gt;""),IF(Programme_Grunddaten!AQ15="Ja",1,0),"")</f>
        <v>1</v>
      </c>
      <c r="AJ7" s="1">
        <f>IF(AND(Programme_Grunddaten!$A15="Geprüft",Programme_Grunddaten!AR15&lt;&gt;""),IF(Programme_Grunddaten!AR15="Ja",1,0),"")</f>
        <v>1</v>
      </c>
      <c r="AK7" s="1" t="str">
        <f>IF(AND(Programme_Grunddaten!$A15="Geprüft",Programme_Grunddaten!AS15&lt;&gt;""),IF(Programme_Grunddaten!AS15="Ja",1,0),"")</f>
        <v/>
      </c>
      <c r="AL7" s="1" t="str">
        <f>IF(AND(Programme_Grunddaten!$A15="Geprüft",Programme_Grunddaten!AT15&lt;&gt;""),IF(Programme_Grunddaten!AT15="Ja",1,0),"")</f>
        <v/>
      </c>
      <c r="AM7" s="1" t="str">
        <f>IF(AND(Programme_Grunddaten!$A15="Geprüft",Programme_Grunddaten!AU15&lt;&gt;""),IF(Programme_Grunddaten!AU15="Ja",1,0),"")</f>
        <v/>
      </c>
      <c r="AN7" s="1" t="str">
        <f>IF(AND(Programme_Grunddaten!$A15="Geprüft",Programme_Grunddaten!AV15&lt;&gt;""),IF(Programme_Grunddaten!AV15="Ja",1,0),"")</f>
        <v/>
      </c>
    </row>
    <row r="8" spans="1:40" x14ac:dyDescent="0.3">
      <c r="A8" s="1" t="str">
        <f>IF(AND(Programme_Grunddaten!A16="Geprüft",Programme_Grunddaten!B16&lt;&gt;""),Programme_Grunddaten!B16,"")</f>
        <v>P07</v>
      </c>
      <c r="B8" s="1">
        <f>IF(AND(Programme_Grunddaten!$A16="Geprüft",Programme_Grunddaten!I16&lt;&gt;""),IF(Programme_Grunddaten!I16="Ja",1,0),"")</f>
        <v>0</v>
      </c>
      <c r="C8" s="1">
        <f>IF(AND(Programme_Grunddaten!$A16="Geprüft",Programme_Grunddaten!J16&lt;&gt;""),IF(Programme_Grunddaten!J16="Ja",1,0),"")</f>
        <v>1</v>
      </c>
      <c r="D8" s="1">
        <f>IF(AND(Programme_Grunddaten!$A16="Geprüft",Programme_Grunddaten!K16&lt;&gt;""),IF(Programme_Grunddaten!K16="Ja",1,0),"")</f>
        <v>0</v>
      </c>
      <c r="E8" s="1">
        <f>IF(AND(Programme_Grunddaten!$A16="Geprüft",Programme_Grunddaten!L16&lt;&gt;""),IF(Programme_Grunddaten!L16="Abo / befristete Lizenz",1,0),"")</f>
        <v>1</v>
      </c>
      <c r="F8" s="1">
        <f>IF(AND(Programme_Grunddaten!$A16="Geprüft",Programme_Grunddaten!M16&lt;&gt;""),IF(Programme_Grunddaten!M16="Ja",1,0),"")</f>
        <v>0</v>
      </c>
      <c r="G8" s="1">
        <f>IF(AND(Programme_Grunddaten!$A16="Geprüft",Programme_Grunddaten!N16&lt;&gt;""),IF(Programme_Grunddaten!N16="Ja",1,0),"")</f>
        <v>1</v>
      </c>
      <c r="H8" s="1" t="str">
        <f>IF(AND(Programme_Grunddaten!$A16="Geprüft",Programme_Grunddaten!O16&lt;&gt;""),IF(Programme_Grunddaten!O16="Deutschland",0,IF(Programme_Grunddaten!O16="EU",1,2)),"")</f>
        <v/>
      </c>
      <c r="I8" s="1" t="str">
        <f>IF(AND(Programme_Grunddaten!$A16="Geprüft",Programme_Grunddaten!P16&lt;&gt;""),IF(Programme_Grunddaten!P16="Ja",1,0),"")</f>
        <v/>
      </c>
      <c r="J8" s="1">
        <f>IF(AND(Programme_Grunddaten!$A16="Geprüft",Programme_Grunddaten!Q16&lt;&gt;""),IF(Programme_Grunddaten!Q16="geschlossenes System",1,0),"")</f>
        <v>0</v>
      </c>
      <c r="K8" s="1">
        <f>IF(AND(Programme_Grunddaten!$A16="Geprüft",Programme_Grunddaten!R16&lt;&gt;""),IF(Programme_Grunddaten!R16="Ja",1,0),"")</f>
        <v>1</v>
      </c>
      <c r="L8" s="1">
        <f>IF(AND(Programme_Grunddaten!$A16="Geprüft",Programme_Grunddaten!T16&lt;&gt;""),IF(Programme_Grunddaten!T16="Ja",1,0),"")</f>
        <v>1</v>
      </c>
      <c r="M8" s="1">
        <f>IF(AND(Programme_Grunddaten!$A16="Geprüft",Programme_Grunddaten!U16&lt;&gt;""),IF(Programme_Grunddaten!U16="Ja",1,0),"")</f>
        <v>1</v>
      </c>
      <c r="N8" s="1">
        <f>IF(AND(Programme_Grunddaten!$A16="Geprüft",Programme_Grunddaten!V16&lt;&gt;""),IF(Programme_Grunddaten!V16="Ja",1,0),"")</f>
        <v>1</v>
      </c>
      <c r="O8" s="1">
        <f>IF(AND(Programme_Grunddaten!$A16="Geprüft",Programme_Grunddaten!W16&lt;&gt;""),IF(Programme_Grunddaten!W16="Ja",1,0),"")</f>
        <v>1</v>
      </c>
      <c r="P8" s="1" t="str">
        <f>IF(AND(Programme_Grunddaten!$A16="Geprüft",Programme_Grunddaten!X16&lt;&gt;""),IF(Programme_Grunddaten!X16="Ja",1,0),"")</f>
        <v/>
      </c>
      <c r="Q8" s="1">
        <f>IF(AND(Programme_Grunddaten!$A16="Geprüft",Programme_Grunddaten!Y16&lt;&gt;""),IF(Programme_Grunddaten!Y16="Ja",1,0),"")</f>
        <v>1</v>
      </c>
      <c r="R8" s="1">
        <f>IF(AND(Programme_Grunddaten!$A16="Geprüft",Programme_Grunddaten!Z16&lt;&gt;""),IF(Programme_Grunddaten!Z16="Ja",1,0),"")</f>
        <v>0</v>
      </c>
      <c r="S8" s="1">
        <f>IF(AND(Programme_Grunddaten!$A16="Geprüft",Programme_Grunddaten!AA16&lt;&gt;""),IF(Programme_Grunddaten!AA16="monolithisch",1,0),"")</f>
        <v>0</v>
      </c>
      <c r="T8" s="1">
        <f>IF(AND(Programme_Grunddaten!$A16="Geprüft",Programme_Grunddaten!AB16&lt;&gt;""),IF(Programme_Grunddaten!AB16="Ja",1,0),"")</f>
        <v>1</v>
      </c>
      <c r="U8" s="1">
        <f>IF(AND(Programme_Grunddaten!$A16="Geprüft",Programme_Grunddaten!AC16&lt;&gt;""),IF(Programme_Grunddaten!AC16="Ja",1,0),"")</f>
        <v>1</v>
      </c>
      <c r="V8" s="1">
        <f>IF(AND(Programme_Grunddaten!$A16="Geprüft",Programme_Grunddaten!AD16&lt;&gt;""),IF(Programme_Grunddaten!AD16="Ja",1,0),"")</f>
        <v>1</v>
      </c>
      <c r="W8" s="1">
        <f>IF(AND(Programme_Grunddaten!$A16="Geprüft",Programme_Grunddaten!AE16&lt;&gt;""),IF(Programme_Grunddaten!AE16="Ja",1,0),"")</f>
        <v>1</v>
      </c>
      <c r="X8" s="1">
        <f>IF(AND(Programme_Grunddaten!$A16="Geprüft",Programme_Grunddaten!AF16&lt;&gt;""),IF(Programme_Grunddaten!AF16="Ja",1,0),"")</f>
        <v>1</v>
      </c>
      <c r="Y8" s="1">
        <f>IF(AND(Programme_Grunddaten!$A16="Geprüft",Programme_Grunddaten!AG16&lt;&gt;""),IF(Programme_Grunddaten!AG16="Ja",1,0),"")</f>
        <v>1</v>
      </c>
      <c r="Z8" s="1" t="str">
        <f>IF(AND(Programme_Grunddaten!$A16="Geprüft",Programme_Grunddaten!AH16&lt;&gt;""),IF(Programme_Grunddaten!AH16="Ja",1,0),"")</f>
        <v/>
      </c>
      <c r="AA8" s="1">
        <f>IF(AND(Programme_Grunddaten!$A16="Geprüft",Programme_Grunddaten!AI16&lt;&gt;""),IF(Programme_Grunddaten!AI16="Ja",1,0),"")</f>
        <v>1</v>
      </c>
      <c r="AB8" s="1" t="str">
        <f>IF(AND(Programme_Grunddaten!$A16="Geprüft",Programme_Grunddaten!AJ16&lt;&gt;""),IF(Programme_Grunddaten!AJ16="individuell programmierbar",1,0),"")</f>
        <v/>
      </c>
      <c r="AC8" s="1" t="str">
        <f>IF(AND(Programme_Grunddaten!$A16="Geprüft",Programme_Grunddaten!AK16&lt;&gt;""),IF(Programme_Grunddaten!AK16="Deutsch",0,IF(Programme_Grunddaten!AK16="Deutsch und Englisch",1,2)),"")</f>
        <v/>
      </c>
      <c r="AD8" s="1">
        <f>IF(AND(Programme_Grunddaten!$A16="Geprüft",Programme_Grunddaten!AL16&lt;&gt;""),IF(Programme_Grunddaten!AL16="Ja",1,0),"")</f>
        <v>1</v>
      </c>
      <c r="AE8" s="1">
        <f>IF(AND(Programme_Grunddaten!$A16="Geprüft",Programme_Grunddaten!AM16&lt;&gt;""),IF(Programme_Grunddaten!AM16="Ja",1,0),"")</f>
        <v>0</v>
      </c>
      <c r="AF8" s="1" t="str">
        <f>IF(AND(Programme_Grunddaten!$A16="Geprüft",Programme_Grunddaten!AN16&lt;&gt;""),IF(Programme_Grunddaten!AN16="Ja",1,0),"")</f>
        <v/>
      </c>
      <c r="AG8" s="1">
        <f>IF(AND(Programme_Grunddaten!$A16="Geprüft",Programme_Grunddaten!AO16&lt;&gt;""),IF(Programme_Grunddaten!AO16="Ja",1,0),"")</f>
        <v>0</v>
      </c>
      <c r="AH8" s="1" t="str">
        <f>IF(AND(Programme_Grunddaten!$A16="Geprüft",Programme_Grunddaten!AP16&lt;&gt;""),IF(Programme_Grunddaten!AP16="Ja",1,0),"")</f>
        <v/>
      </c>
      <c r="AI8" s="1">
        <f>IF(AND(Programme_Grunddaten!$A16="Geprüft",Programme_Grunddaten!AQ16&lt;&gt;""),IF(Programme_Grunddaten!AQ16="Ja",1,0),"")</f>
        <v>1</v>
      </c>
      <c r="AJ8" s="1">
        <f>IF(AND(Programme_Grunddaten!$A16="Geprüft",Programme_Grunddaten!AR16&lt;&gt;""),IF(Programme_Grunddaten!AR16="Ja",1,0),"")</f>
        <v>1</v>
      </c>
      <c r="AK8" s="1">
        <f>IF(AND(Programme_Grunddaten!$A16="Geprüft",Programme_Grunddaten!AS16&lt;&gt;""),IF(Programme_Grunddaten!AS16="Ja",1,0),"")</f>
        <v>1</v>
      </c>
      <c r="AL8" s="1" t="str">
        <f>IF(AND(Programme_Grunddaten!$A16="Geprüft",Programme_Grunddaten!AT16&lt;&gt;""),IF(Programme_Grunddaten!AT16="Ja",1,0),"")</f>
        <v/>
      </c>
      <c r="AM8" s="1">
        <f>IF(AND(Programme_Grunddaten!$A16="Geprüft",Programme_Grunddaten!AU16&lt;&gt;""),IF(Programme_Grunddaten!AU16="Ja",1,0),"")</f>
        <v>1</v>
      </c>
      <c r="AN8" s="1" t="str">
        <f>IF(AND(Programme_Grunddaten!$A16="Geprüft",Programme_Grunddaten!AV16&lt;&gt;""),IF(Programme_Grunddaten!AV16="Ja",1,0),"")</f>
        <v/>
      </c>
    </row>
    <row r="9" spans="1:40" x14ac:dyDescent="0.3">
      <c r="A9" s="1" t="str">
        <f>IF(AND(Programme_Grunddaten!A17="Geprüft",Programme_Grunddaten!B17&lt;&gt;""),Programme_Grunddaten!B17,"")</f>
        <v>P08</v>
      </c>
      <c r="B9" s="1">
        <f>IF(AND(Programme_Grunddaten!$A17="Geprüft",Programme_Grunddaten!I17&lt;&gt;""),IF(Programme_Grunddaten!I17="Ja",1,0),"")</f>
        <v>0</v>
      </c>
      <c r="C9" s="1">
        <f>IF(AND(Programme_Grunddaten!$A17="Geprüft",Programme_Grunddaten!J17&lt;&gt;""),IF(Programme_Grunddaten!J17="Ja",1,0),"")</f>
        <v>1</v>
      </c>
      <c r="D9" s="1">
        <f>IF(AND(Programme_Grunddaten!$A17="Geprüft",Programme_Grunddaten!K17&lt;&gt;""),IF(Programme_Grunddaten!K17="Ja",1,0),"")</f>
        <v>0</v>
      </c>
      <c r="E9" s="1">
        <f>IF(AND(Programme_Grunddaten!$A17="Geprüft",Programme_Grunddaten!L17&lt;&gt;""),IF(Programme_Grunddaten!L17="Abo / befristete Lizenz",1,0),"")</f>
        <v>1</v>
      </c>
      <c r="F9" s="1">
        <f>IF(AND(Programme_Grunddaten!$A17="Geprüft",Programme_Grunddaten!M17&lt;&gt;""),IF(Programme_Grunddaten!M17="Ja",1,0),"")</f>
        <v>0</v>
      </c>
      <c r="G9" s="1">
        <f>IF(AND(Programme_Grunddaten!$A17="Geprüft",Programme_Grunddaten!N17&lt;&gt;""),IF(Programme_Grunddaten!N17="Ja",1,0),"")</f>
        <v>1</v>
      </c>
      <c r="H9" s="1" t="str">
        <f>IF(AND(Programme_Grunddaten!$A17="Geprüft",Programme_Grunddaten!O17&lt;&gt;""),IF(Programme_Grunddaten!O17="Deutschland",0,IF(Programme_Grunddaten!O17="EU",1,2)),"")</f>
        <v/>
      </c>
      <c r="I9" s="1">
        <f>IF(AND(Programme_Grunddaten!$A17="Geprüft",Programme_Grunddaten!P17&lt;&gt;""),IF(Programme_Grunddaten!P17="Ja",1,0),"")</f>
        <v>1</v>
      </c>
      <c r="J9" s="1">
        <f>IF(AND(Programme_Grunddaten!$A17="Geprüft",Programme_Grunddaten!Q17&lt;&gt;""),IF(Programme_Grunddaten!Q17="geschlossenes System",1,0),"")</f>
        <v>0</v>
      </c>
      <c r="K9" s="1">
        <f>IF(AND(Programme_Grunddaten!$A17="Geprüft",Programme_Grunddaten!R17&lt;&gt;""),IF(Programme_Grunddaten!R17="Ja",1,0),"")</f>
        <v>1</v>
      </c>
      <c r="L9" s="1">
        <f>IF(AND(Programme_Grunddaten!$A17="Geprüft",Programme_Grunddaten!T17&lt;&gt;""),IF(Programme_Grunddaten!T17="Ja",1,0),"")</f>
        <v>1</v>
      </c>
      <c r="M9" s="1">
        <f>IF(AND(Programme_Grunddaten!$A17="Geprüft",Programme_Grunddaten!U17&lt;&gt;""),IF(Programme_Grunddaten!U17="Ja",1,0),"")</f>
        <v>1</v>
      </c>
      <c r="N9" s="1">
        <f>IF(AND(Programme_Grunddaten!$A17="Geprüft",Programme_Grunddaten!V17&lt;&gt;""),IF(Programme_Grunddaten!V17="Ja",1,0),"")</f>
        <v>1</v>
      </c>
      <c r="O9" s="1">
        <f>IF(AND(Programme_Grunddaten!$A17="Geprüft",Programme_Grunddaten!W17&lt;&gt;""),IF(Programme_Grunddaten!W17="Ja",1,0),"")</f>
        <v>1</v>
      </c>
      <c r="P9" s="1">
        <f>IF(AND(Programme_Grunddaten!$A17="Geprüft",Programme_Grunddaten!X17&lt;&gt;""),IF(Programme_Grunddaten!X17="Ja",1,0),"")</f>
        <v>1</v>
      </c>
      <c r="Q9" s="1" t="str">
        <f>IF(AND(Programme_Grunddaten!$A17="Geprüft",Programme_Grunddaten!Y17&lt;&gt;""),IF(Programme_Grunddaten!Y17="Ja",1,0),"")</f>
        <v/>
      </c>
      <c r="R9" s="1">
        <f>IF(AND(Programme_Grunddaten!$A17="Geprüft",Programme_Grunddaten!Z17&lt;&gt;""),IF(Programme_Grunddaten!Z17="Ja",1,0),"")</f>
        <v>0</v>
      </c>
      <c r="S9" s="1">
        <f>IF(AND(Programme_Grunddaten!$A17="Geprüft",Programme_Grunddaten!AA17&lt;&gt;""),IF(Programme_Grunddaten!AA17="monolithisch",1,0),"")</f>
        <v>0</v>
      </c>
      <c r="T9" s="1">
        <f>IF(AND(Programme_Grunddaten!$A17="Geprüft",Programme_Grunddaten!AB17&lt;&gt;""),IF(Programme_Grunddaten!AB17="Ja",1,0),"")</f>
        <v>1</v>
      </c>
      <c r="U9" s="1">
        <f>IF(AND(Programme_Grunddaten!$A17="Geprüft",Programme_Grunddaten!AC17&lt;&gt;""),IF(Programme_Grunddaten!AC17="Ja",1,0),"")</f>
        <v>1</v>
      </c>
      <c r="V9" s="1">
        <f>IF(AND(Programme_Grunddaten!$A17="Geprüft",Programme_Grunddaten!AD17&lt;&gt;""),IF(Programme_Grunddaten!AD17="Ja",1,0),"")</f>
        <v>1</v>
      </c>
      <c r="W9" s="1">
        <f>IF(AND(Programme_Grunddaten!$A17="Geprüft",Programme_Grunddaten!AE17&lt;&gt;""),IF(Programme_Grunddaten!AE17="Ja",1,0),"")</f>
        <v>1</v>
      </c>
      <c r="X9" s="1">
        <f>IF(AND(Programme_Grunddaten!$A17="Geprüft",Programme_Grunddaten!AF17&lt;&gt;""),IF(Programme_Grunddaten!AF17="Ja",1,0),"")</f>
        <v>1</v>
      </c>
      <c r="Y9" s="1">
        <f>IF(AND(Programme_Grunddaten!$A17="Geprüft",Programme_Grunddaten!AG17&lt;&gt;""),IF(Programme_Grunddaten!AG17="Ja",1,0),"")</f>
        <v>1</v>
      </c>
      <c r="Z9" s="1" t="str">
        <f>IF(AND(Programme_Grunddaten!$A17="Geprüft",Programme_Grunddaten!AH17&lt;&gt;""),IF(Programme_Grunddaten!AH17="Ja",1,0),"")</f>
        <v/>
      </c>
      <c r="AA9" s="1">
        <f>IF(AND(Programme_Grunddaten!$A17="Geprüft",Programme_Grunddaten!AI17&lt;&gt;""),IF(Programme_Grunddaten!AI17="Ja",1,0),"")</f>
        <v>1</v>
      </c>
      <c r="AB9" s="1" t="str">
        <f>IF(AND(Programme_Grunddaten!$A17="Geprüft",Programme_Grunddaten!AJ17&lt;&gt;""),IF(Programme_Grunddaten!AJ17="individuell programmierbar",1,0),"")</f>
        <v/>
      </c>
      <c r="AC9" s="1">
        <f>IF(AND(Programme_Grunddaten!$A17="Geprüft",Programme_Grunddaten!AK17&lt;&gt;""),IF(Programme_Grunddaten!AK17="Deutsch",0,IF(Programme_Grunddaten!AK17="Deutsch und Englisch",1,2)),"")</f>
        <v>2</v>
      </c>
      <c r="AD9" s="1">
        <f>IF(AND(Programme_Grunddaten!$A17="Geprüft",Programme_Grunddaten!AL17&lt;&gt;""),IF(Programme_Grunddaten!AL17="Ja",1,0),"")</f>
        <v>1</v>
      </c>
      <c r="AE9" s="1">
        <f>IF(AND(Programme_Grunddaten!$A17="Geprüft",Programme_Grunddaten!AM17&lt;&gt;""),IF(Programme_Grunddaten!AM17="Ja",1,0),"")</f>
        <v>0</v>
      </c>
      <c r="AF9" s="1" t="str">
        <f>IF(AND(Programme_Grunddaten!$A17="Geprüft",Programme_Grunddaten!AN17&lt;&gt;""),IF(Programme_Grunddaten!AN17="Ja",1,0),"")</f>
        <v/>
      </c>
      <c r="AG9" s="1">
        <f>IF(AND(Programme_Grunddaten!$A17="Geprüft",Programme_Grunddaten!AO17&lt;&gt;""),IF(Programme_Grunddaten!AO17="Ja",1,0),"")</f>
        <v>0</v>
      </c>
      <c r="AH9" s="1" t="str">
        <f>IF(AND(Programme_Grunddaten!$A17="Geprüft",Programme_Grunddaten!AP17&lt;&gt;""),IF(Programme_Grunddaten!AP17="Ja",1,0),"")</f>
        <v/>
      </c>
      <c r="AI9" s="1">
        <f>IF(AND(Programme_Grunddaten!$A17="Geprüft",Programme_Grunddaten!AQ17&lt;&gt;""),IF(Programme_Grunddaten!AQ17="Ja",1,0),"")</f>
        <v>1</v>
      </c>
      <c r="AJ9" s="1">
        <f>IF(AND(Programme_Grunddaten!$A17="Geprüft",Programme_Grunddaten!AR17&lt;&gt;""),IF(Programme_Grunddaten!AR17="Ja",1,0),"")</f>
        <v>1</v>
      </c>
      <c r="AK9" s="1" t="str">
        <f>IF(AND(Programme_Grunddaten!$A17="Geprüft",Programme_Grunddaten!AS17&lt;&gt;""),IF(Programme_Grunddaten!AS17="Ja",1,0),"")</f>
        <v/>
      </c>
      <c r="AL9" s="1" t="str">
        <f>IF(AND(Programme_Grunddaten!$A17="Geprüft",Programme_Grunddaten!AT17&lt;&gt;""),IF(Programme_Grunddaten!AT17="Ja",1,0),"")</f>
        <v/>
      </c>
      <c r="AM9" s="1">
        <f>IF(AND(Programme_Grunddaten!$A17="Geprüft",Programme_Grunddaten!AU17&lt;&gt;""),IF(Programme_Grunddaten!AU17="Ja",1,0),"")</f>
        <v>1</v>
      </c>
      <c r="AN9" s="1">
        <f>IF(AND(Programme_Grunddaten!$A17="Geprüft",Programme_Grunddaten!AV17&lt;&gt;""),IF(Programme_Grunddaten!AV17="Ja",1,0),"")</f>
        <v>0</v>
      </c>
    </row>
    <row r="10" spans="1:40" x14ac:dyDescent="0.3">
      <c r="A10" s="1" t="str">
        <f>IF(AND(Programme_Grunddaten!A18="Geprüft",Programme_Grunddaten!B18&lt;&gt;""),Programme_Grunddaten!B18,"")</f>
        <v>P09</v>
      </c>
      <c r="B10" s="1">
        <f>IF(AND(Programme_Grunddaten!$A18="Geprüft",Programme_Grunddaten!I18&lt;&gt;""),IF(Programme_Grunddaten!I18="Ja",1,0),"")</f>
        <v>0</v>
      </c>
      <c r="C10" s="1">
        <f>IF(AND(Programme_Grunddaten!$A18="Geprüft",Programme_Grunddaten!J18&lt;&gt;""),IF(Programme_Grunddaten!J18="Ja",1,0),"")</f>
        <v>1</v>
      </c>
      <c r="D10" s="1">
        <f>IF(AND(Programme_Grunddaten!$A18="Geprüft",Programme_Grunddaten!K18&lt;&gt;""),IF(Programme_Grunddaten!K18="Ja",1,0),"")</f>
        <v>0</v>
      </c>
      <c r="E10" s="1" t="str">
        <f>IF(AND(Programme_Grunddaten!$A18="Geprüft",Programme_Grunddaten!L18&lt;&gt;""),IF(Programme_Grunddaten!L18="Abo / befristete Lizenz",1,0),"")</f>
        <v/>
      </c>
      <c r="F10" s="1">
        <f>IF(AND(Programme_Grunddaten!$A18="Geprüft",Programme_Grunddaten!M18&lt;&gt;""),IF(Programme_Grunddaten!M18="Ja",1,0),"")</f>
        <v>1</v>
      </c>
      <c r="G10" s="1">
        <f>IF(AND(Programme_Grunddaten!$A18="Geprüft",Programme_Grunddaten!N18&lt;&gt;""),IF(Programme_Grunddaten!N18="Ja",1,0),"")</f>
        <v>1</v>
      </c>
      <c r="H10" s="1">
        <f>IF(AND(Programme_Grunddaten!$A18="Geprüft",Programme_Grunddaten!O18&lt;&gt;""),IF(Programme_Grunddaten!O18="Deutschland",0,IF(Programme_Grunddaten!O18="EU",1,2)),"")</f>
        <v>0</v>
      </c>
      <c r="I10" s="1">
        <f>IF(AND(Programme_Grunddaten!$A18="Geprüft",Programme_Grunddaten!P18&lt;&gt;""),IF(Programme_Grunddaten!P18="Ja",1,0),"")</f>
        <v>1</v>
      </c>
      <c r="J10" s="1">
        <f>IF(AND(Programme_Grunddaten!$A18="Geprüft",Programme_Grunddaten!Q18&lt;&gt;""),IF(Programme_Grunddaten!Q18="geschlossenes System",1,0),"")</f>
        <v>0</v>
      </c>
      <c r="K10" s="1">
        <f>IF(AND(Programme_Grunddaten!$A18="Geprüft",Programme_Grunddaten!R18&lt;&gt;""),IF(Programme_Grunddaten!R18="Ja",1,0),"")</f>
        <v>1</v>
      </c>
      <c r="L10" s="1">
        <f>IF(AND(Programme_Grunddaten!$A18="Geprüft",Programme_Grunddaten!T18&lt;&gt;""),IF(Programme_Grunddaten!T18="Ja",1,0),"")</f>
        <v>1</v>
      </c>
      <c r="M10" s="1">
        <f>IF(AND(Programme_Grunddaten!$A18="Geprüft",Programme_Grunddaten!U18&lt;&gt;""),IF(Programme_Grunddaten!U18="Ja",1,0),"")</f>
        <v>1</v>
      </c>
      <c r="N10" s="1">
        <f>IF(AND(Programme_Grunddaten!$A18="Geprüft",Programme_Grunddaten!V18&lt;&gt;""),IF(Programme_Grunddaten!V18="Ja",1,0),"")</f>
        <v>1</v>
      </c>
      <c r="O10" s="1">
        <f>IF(AND(Programme_Grunddaten!$A18="Geprüft",Programme_Grunddaten!W18&lt;&gt;""),IF(Programme_Grunddaten!W18="Ja",1,0),"")</f>
        <v>1</v>
      </c>
      <c r="P10" s="1">
        <f>IF(AND(Programme_Grunddaten!$A18="Geprüft",Programme_Grunddaten!X18&lt;&gt;""),IF(Programme_Grunddaten!X18="Ja",1,0),"")</f>
        <v>1</v>
      </c>
      <c r="Q10" s="1" t="str">
        <f>IF(AND(Programme_Grunddaten!$A18="Geprüft",Programme_Grunddaten!Y18&lt;&gt;""),IF(Programme_Grunddaten!Y18="Ja",1,0),"")</f>
        <v/>
      </c>
      <c r="R10" s="1">
        <f>IF(AND(Programme_Grunddaten!$A18="Geprüft",Programme_Grunddaten!Z18&lt;&gt;""),IF(Programme_Grunddaten!Z18="Ja",1,0),"")</f>
        <v>0</v>
      </c>
      <c r="S10" s="1">
        <f>IF(AND(Programme_Grunddaten!$A18="Geprüft",Programme_Grunddaten!AA18&lt;&gt;""),IF(Programme_Grunddaten!AA18="monolithisch",1,0),"")</f>
        <v>0</v>
      </c>
      <c r="T10" s="1">
        <f>IF(AND(Programme_Grunddaten!$A18="Geprüft",Programme_Grunddaten!AB18&lt;&gt;""),IF(Programme_Grunddaten!AB18="Ja",1,0),"")</f>
        <v>1</v>
      </c>
      <c r="U10" s="1">
        <f>IF(AND(Programme_Grunddaten!$A18="Geprüft",Programme_Grunddaten!AC18&lt;&gt;""),IF(Programme_Grunddaten!AC18="Ja",1,0),"")</f>
        <v>1</v>
      </c>
      <c r="V10" s="1">
        <f>IF(AND(Programme_Grunddaten!$A18="Geprüft",Programme_Grunddaten!AD18&lt;&gt;""),IF(Programme_Grunddaten!AD18="Ja",1,0),"")</f>
        <v>1</v>
      </c>
      <c r="W10" s="1" t="str">
        <f>IF(AND(Programme_Grunddaten!$A18="Geprüft",Programme_Grunddaten!AE18&lt;&gt;""),IF(Programme_Grunddaten!AE18="Ja",1,0),"")</f>
        <v/>
      </c>
      <c r="X10" s="1">
        <f>IF(AND(Programme_Grunddaten!$A18="Geprüft",Programme_Grunddaten!AF18&lt;&gt;""),IF(Programme_Grunddaten!AF18="Ja",1,0),"")</f>
        <v>1</v>
      </c>
      <c r="Y10" s="1">
        <f>IF(AND(Programme_Grunddaten!$A18="Geprüft",Programme_Grunddaten!AG18&lt;&gt;""),IF(Programme_Grunddaten!AG18="Ja",1,0),"")</f>
        <v>1</v>
      </c>
      <c r="Z10" s="1" t="str">
        <f>IF(AND(Programme_Grunddaten!$A18="Geprüft",Programme_Grunddaten!AH18&lt;&gt;""),IF(Programme_Grunddaten!AH18="Ja",1,0),"")</f>
        <v/>
      </c>
      <c r="AA10" s="1">
        <f>IF(AND(Programme_Grunddaten!$A18="Geprüft",Programme_Grunddaten!AI18&lt;&gt;""),IF(Programme_Grunddaten!AI18="Ja",1,0),"")</f>
        <v>1</v>
      </c>
      <c r="AB10" s="1" t="str">
        <f>IF(AND(Programme_Grunddaten!$A18="Geprüft",Programme_Grunddaten!AJ18&lt;&gt;""),IF(Programme_Grunddaten!AJ18="individuell programmierbar",1,0),"")</f>
        <v/>
      </c>
      <c r="AC10" s="1">
        <f>IF(AND(Programme_Grunddaten!$A18="Geprüft",Programme_Grunddaten!AK18&lt;&gt;""),IF(Programme_Grunddaten!AK18="Deutsch",0,IF(Programme_Grunddaten!AK18="Deutsch und Englisch",1,2)),"")</f>
        <v>1</v>
      </c>
      <c r="AD10" s="1">
        <f>IF(AND(Programme_Grunddaten!$A18="Geprüft",Programme_Grunddaten!AL18&lt;&gt;""),IF(Programme_Grunddaten!AL18="Ja",1,0),"")</f>
        <v>1</v>
      </c>
      <c r="AE10" s="1">
        <f>IF(AND(Programme_Grunddaten!$A18="Geprüft",Programme_Grunddaten!AM18&lt;&gt;""),IF(Programme_Grunddaten!AM18="Ja",1,0),"")</f>
        <v>0</v>
      </c>
      <c r="AF10" s="1" t="str">
        <f>IF(AND(Programme_Grunddaten!$A18="Geprüft",Programme_Grunddaten!AN18&lt;&gt;""),IF(Programme_Grunddaten!AN18="Ja",1,0),"")</f>
        <v/>
      </c>
      <c r="AG10" s="1">
        <f>IF(AND(Programme_Grunddaten!$A18="Geprüft",Programme_Grunddaten!AO18&lt;&gt;""),IF(Programme_Grunddaten!AO18="Ja",1,0),"")</f>
        <v>0</v>
      </c>
      <c r="AH10" s="1">
        <f>IF(AND(Programme_Grunddaten!$A18="Geprüft",Programme_Grunddaten!AP18&lt;&gt;""),IF(Programme_Grunddaten!AP18="Ja",1,0),"")</f>
        <v>1</v>
      </c>
      <c r="AI10" s="1">
        <f>IF(AND(Programme_Grunddaten!$A18="Geprüft",Programme_Grunddaten!AQ18&lt;&gt;""),IF(Programme_Grunddaten!AQ18="Ja",1,0),"")</f>
        <v>1</v>
      </c>
      <c r="AJ10" s="1">
        <f>IF(AND(Programme_Grunddaten!$A18="Geprüft",Programme_Grunddaten!AR18&lt;&gt;""),IF(Programme_Grunddaten!AR18="Ja",1,0),"")</f>
        <v>1</v>
      </c>
      <c r="AK10" s="1">
        <f>IF(AND(Programme_Grunddaten!$A18="Geprüft",Programme_Grunddaten!AS18&lt;&gt;""),IF(Programme_Grunddaten!AS18="Ja",1,0),"")</f>
        <v>1</v>
      </c>
      <c r="AL10" s="1" t="str">
        <f>IF(AND(Programme_Grunddaten!$A18="Geprüft",Programme_Grunddaten!AT18&lt;&gt;""),IF(Programme_Grunddaten!AT18="Ja",1,0),"")</f>
        <v/>
      </c>
      <c r="AM10" s="1" t="str">
        <f>IF(AND(Programme_Grunddaten!$A18="Geprüft",Programme_Grunddaten!AU18&lt;&gt;""),IF(Programme_Grunddaten!AU18="Ja",1,0),"")</f>
        <v/>
      </c>
      <c r="AN10" s="1" t="str">
        <f>IF(AND(Programme_Grunddaten!$A18="Geprüft",Programme_Grunddaten!AV18&lt;&gt;""),IF(Programme_Grunddaten!AV18="Ja",1,0),"")</f>
        <v/>
      </c>
    </row>
    <row r="11" spans="1:40" x14ac:dyDescent="0.3">
      <c r="A11" s="1" t="str">
        <f>IF(AND(Programme_Grunddaten!A19="Geprüft",Programme_Grunddaten!B19&lt;&gt;""),Programme_Grunddaten!B19,"")</f>
        <v>P10</v>
      </c>
      <c r="B11" s="1">
        <f>IF(AND(Programme_Grunddaten!$A19="Geprüft",Programme_Grunddaten!I19&lt;&gt;""),IF(Programme_Grunddaten!I19="Ja",1,0),"")</f>
        <v>0</v>
      </c>
      <c r="C11" s="1">
        <f>IF(AND(Programme_Grunddaten!$A19="Geprüft",Programme_Grunddaten!J19&lt;&gt;""),IF(Programme_Grunddaten!J19="Ja",1,0),"")</f>
        <v>1</v>
      </c>
      <c r="D11" s="1">
        <f>IF(AND(Programme_Grunddaten!$A19="Geprüft",Programme_Grunddaten!K19&lt;&gt;""),IF(Programme_Grunddaten!K19="Ja",1,0),"")</f>
        <v>0</v>
      </c>
      <c r="E11" s="1">
        <f>IF(AND(Programme_Grunddaten!$A19="Geprüft",Programme_Grunddaten!L19&lt;&gt;""),IF(Programme_Grunddaten!L19="Abo / befristete Lizenz",1,0),"")</f>
        <v>1</v>
      </c>
      <c r="F11" s="1">
        <f>IF(AND(Programme_Grunddaten!$A19="Geprüft",Programme_Grunddaten!M19&lt;&gt;""),IF(Programme_Grunddaten!M19="Ja",1,0),"")</f>
        <v>0</v>
      </c>
      <c r="G11" s="1">
        <f>IF(AND(Programme_Grunddaten!$A19="Geprüft",Programme_Grunddaten!N19&lt;&gt;""),IF(Programme_Grunddaten!N19="Ja",1,0),"")</f>
        <v>1</v>
      </c>
      <c r="H11" s="1" t="str">
        <f>IF(AND(Programme_Grunddaten!$A19="Geprüft",Programme_Grunddaten!O19&lt;&gt;""),IF(Programme_Grunddaten!O19="Deutschland",0,IF(Programme_Grunddaten!O19="EU",1,2)),"")</f>
        <v/>
      </c>
      <c r="I11" s="1">
        <f>IF(AND(Programme_Grunddaten!$A19="Geprüft",Programme_Grunddaten!P19&lt;&gt;""),IF(Programme_Grunddaten!P19="Ja",1,0),"")</f>
        <v>1</v>
      </c>
      <c r="J11" s="1">
        <f>IF(AND(Programme_Grunddaten!$A19="Geprüft",Programme_Grunddaten!Q19&lt;&gt;""),IF(Programme_Grunddaten!Q19="geschlossenes System",1,0),"")</f>
        <v>0</v>
      </c>
      <c r="K11" s="1">
        <f>IF(AND(Programme_Grunddaten!$A19="Geprüft",Programme_Grunddaten!R19&lt;&gt;""),IF(Programme_Grunddaten!R19="Ja",1,0),"")</f>
        <v>1</v>
      </c>
      <c r="L11" s="1">
        <f>IF(AND(Programme_Grunddaten!$A19="Geprüft",Programme_Grunddaten!T19&lt;&gt;""),IF(Programme_Grunddaten!T19="Ja",1,0),"")</f>
        <v>1</v>
      </c>
      <c r="M11" s="1">
        <f>IF(AND(Programme_Grunddaten!$A19="Geprüft",Programme_Grunddaten!U19&lt;&gt;""),IF(Programme_Grunddaten!U19="Ja",1,0),"")</f>
        <v>1</v>
      </c>
      <c r="N11" s="1" t="str">
        <f>IF(AND(Programme_Grunddaten!$A19="Geprüft",Programme_Grunddaten!V19&lt;&gt;""),IF(Programme_Grunddaten!V19="Ja",1,0),"")</f>
        <v/>
      </c>
      <c r="O11" s="1">
        <f>IF(AND(Programme_Grunddaten!$A19="Geprüft",Programme_Grunddaten!W19&lt;&gt;""),IF(Programme_Grunddaten!W19="Ja",1,0),"")</f>
        <v>1</v>
      </c>
      <c r="P11" s="1">
        <f>IF(AND(Programme_Grunddaten!$A19="Geprüft",Programme_Grunddaten!X19&lt;&gt;""),IF(Programme_Grunddaten!X19="Ja",1,0),"")</f>
        <v>1</v>
      </c>
      <c r="Q11" s="1" t="str">
        <f>IF(AND(Programme_Grunddaten!$A19="Geprüft",Programme_Grunddaten!Y19&lt;&gt;""),IF(Programme_Grunddaten!Y19="Ja",1,0),"")</f>
        <v/>
      </c>
      <c r="R11" s="1">
        <f>IF(AND(Programme_Grunddaten!$A19="Geprüft",Programme_Grunddaten!Z19&lt;&gt;""),IF(Programme_Grunddaten!Z19="Ja",1,0),"")</f>
        <v>0</v>
      </c>
      <c r="S11" s="1">
        <f>IF(AND(Programme_Grunddaten!$A19="Geprüft",Programme_Grunddaten!AA19&lt;&gt;""),IF(Programme_Grunddaten!AA19="monolithisch",1,0),"")</f>
        <v>0</v>
      </c>
      <c r="T11" s="1">
        <f>IF(AND(Programme_Grunddaten!$A19="Geprüft",Programme_Grunddaten!AB19&lt;&gt;""),IF(Programme_Grunddaten!AB19="Ja",1,0),"")</f>
        <v>1</v>
      </c>
      <c r="U11" s="1">
        <f>IF(AND(Programme_Grunddaten!$A19="Geprüft",Programme_Grunddaten!AC19&lt;&gt;""),IF(Programme_Grunddaten!AC19="Ja",1,0),"")</f>
        <v>1</v>
      </c>
      <c r="V11" s="1" t="str">
        <f>IF(AND(Programme_Grunddaten!$A19="Geprüft",Programme_Grunddaten!AD19&lt;&gt;""),IF(Programme_Grunddaten!AD19="Ja",1,0),"")</f>
        <v/>
      </c>
      <c r="W11" s="1" t="str">
        <f>IF(AND(Programme_Grunddaten!$A19="Geprüft",Programme_Grunddaten!AE19&lt;&gt;""),IF(Programme_Grunddaten!AE19="Ja",1,0),"")</f>
        <v/>
      </c>
      <c r="X11" s="1">
        <f>IF(AND(Programme_Grunddaten!$A19="Geprüft",Programme_Grunddaten!AF19&lt;&gt;""),IF(Programme_Grunddaten!AF19="Ja",1,0),"")</f>
        <v>1</v>
      </c>
      <c r="Y11" s="1">
        <f>IF(AND(Programme_Grunddaten!$A19="Geprüft",Programme_Grunddaten!AG19&lt;&gt;""),IF(Programme_Grunddaten!AG19="Ja",1,0),"")</f>
        <v>1</v>
      </c>
      <c r="Z11" s="1" t="str">
        <f>IF(AND(Programme_Grunddaten!$A19="Geprüft",Programme_Grunddaten!AH19&lt;&gt;""),IF(Programme_Grunddaten!AH19="Ja",1,0),"")</f>
        <v/>
      </c>
      <c r="AA11" s="1">
        <f>IF(AND(Programme_Grunddaten!$A19="Geprüft",Programme_Grunddaten!AI19&lt;&gt;""),IF(Programme_Grunddaten!AI19="Ja",1,0),"")</f>
        <v>1</v>
      </c>
      <c r="AB11" s="1" t="str">
        <f>IF(AND(Programme_Grunddaten!$A19="Geprüft",Programme_Grunddaten!AJ19&lt;&gt;""),IF(Programme_Grunddaten!AJ19="individuell programmierbar",1,0),"")</f>
        <v/>
      </c>
      <c r="AC11" s="1">
        <f>IF(AND(Programme_Grunddaten!$A19="Geprüft",Programme_Grunddaten!AK19&lt;&gt;""),IF(Programme_Grunddaten!AK19="Deutsch",0,IF(Programme_Grunddaten!AK19="Deutsch und Englisch",1,2)),"")</f>
        <v>2</v>
      </c>
      <c r="AD11" s="1">
        <f>IF(AND(Programme_Grunddaten!$A19="Geprüft",Programme_Grunddaten!AL19&lt;&gt;""),IF(Programme_Grunddaten!AL19="Ja",1,0),"")</f>
        <v>1</v>
      </c>
      <c r="AE11" s="1">
        <f>IF(AND(Programme_Grunddaten!$A19="Geprüft",Programme_Grunddaten!AM19&lt;&gt;""),IF(Programme_Grunddaten!AM19="Ja",1,0),"")</f>
        <v>0</v>
      </c>
      <c r="AF11" s="1" t="str">
        <f>IF(AND(Programme_Grunddaten!$A19="Geprüft",Programme_Grunddaten!AN19&lt;&gt;""),IF(Programme_Grunddaten!AN19="Ja",1,0),"")</f>
        <v/>
      </c>
      <c r="AG11" s="1">
        <f>IF(AND(Programme_Grunddaten!$A19="Geprüft",Programme_Grunddaten!AO19&lt;&gt;""),IF(Programme_Grunddaten!AO19="Ja",1,0),"")</f>
        <v>0</v>
      </c>
      <c r="AH11" s="1" t="str">
        <f>IF(AND(Programme_Grunddaten!$A19="Geprüft",Programme_Grunddaten!AP19&lt;&gt;""),IF(Programme_Grunddaten!AP19="Ja",1,0),"")</f>
        <v/>
      </c>
      <c r="AI11" s="1">
        <f>IF(AND(Programme_Grunddaten!$A19="Geprüft",Programme_Grunddaten!AQ19&lt;&gt;""),IF(Programme_Grunddaten!AQ19="Ja",1,0),"")</f>
        <v>1</v>
      </c>
      <c r="AJ11" s="1">
        <f>IF(AND(Programme_Grunddaten!$A19="Geprüft",Programme_Grunddaten!AR19&lt;&gt;""),IF(Programme_Grunddaten!AR19="Ja",1,0),"")</f>
        <v>1</v>
      </c>
      <c r="AK11" s="1">
        <f>IF(AND(Programme_Grunddaten!$A19="Geprüft",Programme_Grunddaten!AS19&lt;&gt;""),IF(Programme_Grunddaten!AS19="Ja",1,0),"")</f>
        <v>1</v>
      </c>
      <c r="AL11" s="1" t="str">
        <f>IF(AND(Programme_Grunddaten!$A19="Geprüft",Programme_Grunddaten!AT19&lt;&gt;""),IF(Programme_Grunddaten!AT19="Ja",1,0),"")</f>
        <v/>
      </c>
      <c r="AM11" s="1">
        <f>IF(AND(Programme_Grunddaten!$A19="Geprüft",Programme_Grunddaten!AU19&lt;&gt;""),IF(Programme_Grunddaten!AU19="Ja",1,0),"")</f>
        <v>1</v>
      </c>
      <c r="AN11" s="1" t="str">
        <f>IF(AND(Programme_Grunddaten!$A19="Geprüft",Programme_Grunddaten!AV19&lt;&gt;""),IF(Programme_Grunddaten!AV19="Ja",1,0),"")</f>
        <v/>
      </c>
    </row>
    <row r="12" spans="1:40" x14ac:dyDescent="0.3">
      <c r="A12" s="1" t="str">
        <f>IF(AND(Programme_Grunddaten!A20="Geprüft",Programme_Grunddaten!B20&lt;&gt;""),Programme_Grunddaten!B20,"")</f>
        <v>P11</v>
      </c>
      <c r="B12" s="1">
        <f>IF(AND(Programme_Grunddaten!$A20="Geprüft",Programme_Grunddaten!I20&lt;&gt;""),IF(Programme_Grunddaten!I20="Ja",1,0),"")</f>
        <v>0</v>
      </c>
      <c r="C12" s="1">
        <f>IF(AND(Programme_Grunddaten!$A20="Geprüft",Programme_Grunddaten!J20&lt;&gt;""),IF(Programme_Grunddaten!J20="Ja",1,0),"")</f>
        <v>1</v>
      </c>
      <c r="D12" s="1">
        <f>IF(AND(Programme_Grunddaten!$A20="Geprüft",Programme_Grunddaten!K20&lt;&gt;""),IF(Programme_Grunddaten!K20="Ja",1,0),"")</f>
        <v>0</v>
      </c>
      <c r="E12" s="1" t="str">
        <f>IF(AND(Programme_Grunddaten!$A20="Geprüft",Programme_Grunddaten!L20&lt;&gt;""),IF(Programme_Grunddaten!L20="Abo / befristete Lizenz",1,0),"")</f>
        <v/>
      </c>
      <c r="F12" s="1">
        <f>IF(AND(Programme_Grunddaten!$A20="Geprüft",Programme_Grunddaten!M20&lt;&gt;""),IF(Programme_Grunddaten!M20="Ja",1,0),"")</f>
        <v>0</v>
      </c>
      <c r="G12" s="1">
        <f>IF(AND(Programme_Grunddaten!$A20="Geprüft",Programme_Grunddaten!N20&lt;&gt;""),IF(Programme_Grunddaten!N20="Ja",1,0),"")</f>
        <v>1</v>
      </c>
      <c r="H12" s="1">
        <f>IF(AND(Programme_Grunddaten!$A20="Geprüft",Programme_Grunddaten!O20&lt;&gt;""),IF(Programme_Grunddaten!O20="Deutschland",0,IF(Programme_Grunddaten!O20="EU",1,2)),"")</f>
        <v>0</v>
      </c>
      <c r="I12" s="1">
        <f>IF(AND(Programme_Grunddaten!$A20="Geprüft",Programme_Grunddaten!P20&lt;&gt;""),IF(Programme_Grunddaten!P20="Ja",1,0),"")</f>
        <v>1</v>
      </c>
      <c r="J12" s="1">
        <f>IF(AND(Programme_Grunddaten!$A20="Geprüft",Programme_Grunddaten!Q20&lt;&gt;""),IF(Programme_Grunddaten!Q20="geschlossenes System",1,0),"")</f>
        <v>0</v>
      </c>
      <c r="K12" s="1" t="str">
        <f>IF(AND(Programme_Grunddaten!$A20="Geprüft",Programme_Grunddaten!R20&lt;&gt;""),IF(Programme_Grunddaten!R20="Ja",1,0),"")</f>
        <v/>
      </c>
      <c r="L12" s="1">
        <f>IF(AND(Programme_Grunddaten!$A20="Geprüft",Programme_Grunddaten!T20&lt;&gt;""),IF(Programme_Grunddaten!T20="Ja",1,0),"")</f>
        <v>1</v>
      </c>
      <c r="M12" s="1">
        <f>IF(AND(Programme_Grunddaten!$A20="Geprüft",Programme_Grunddaten!U20&lt;&gt;""),IF(Programme_Grunddaten!U20="Ja",1,0),"")</f>
        <v>1</v>
      </c>
      <c r="N12" s="1" t="str">
        <f>IF(AND(Programme_Grunddaten!$A20="Geprüft",Programme_Grunddaten!V20&lt;&gt;""),IF(Programme_Grunddaten!V20="Ja",1,0),"")</f>
        <v/>
      </c>
      <c r="O12" s="1">
        <f>IF(AND(Programme_Grunddaten!$A20="Geprüft",Programme_Grunddaten!W20&lt;&gt;""),IF(Programme_Grunddaten!W20="Ja",1,0),"")</f>
        <v>1</v>
      </c>
      <c r="P12" s="1" t="str">
        <f>IF(AND(Programme_Grunddaten!$A20="Geprüft",Programme_Grunddaten!X20&lt;&gt;""),IF(Programme_Grunddaten!X20="Ja",1,0),"")</f>
        <v/>
      </c>
      <c r="Q12" s="1">
        <f>IF(AND(Programme_Grunddaten!$A20="Geprüft",Programme_Grunddaten!Y20&lt;&gt;""),IF(Programme_Grunddaten!Y20="Ja",1,0),"")</f>
        <v>1</v>
      </c>
      <c r="R12" s="1">
        <f>IF(AND(Programme_Grunddaten!$A20="Geprüft",Programme_Grunddaten!Z20&lt;&gt;""),IF(Programme_Grunddaten!Z20="Ja",1,0),"")</f>
        <v>0</v>
      </c>
      <c r="S12" s="1" t="str">
        <f>IF(AND(Programme_Grunddaten!$A20="Geprüft",Programme_Grunddaten!AA20&lt;&gt;""),IF(Programme_Grunddaten!AA20="monolithisch",1,0),"")</f>
        <v/>
      </c>
      <c r="T12" s="1">
        <f>IF(AND(Programme_Grunddaten!$A20="Geprüft",Programme_Grunddaten!AB20&lt;&gt;""),IF(Programme_Grunddaten!AB20="Ja",1,0),"")</f>
        <v>1</v>
      </c>
      <c r="U12" s="1" t="str">
        <f>IF(AND(Programme_Grunddaten!$A20="Geprüft",Programme_Grunddaten!AC20&lt;&gt;""),IF(Programme_Grunddaten!AC20="Ja",1,0),"")</f>
        <v/>
      </c>
      <c r="V12" s="1" t="str">
        <f>IF(AND(Programme_Grunddaten!$A20="Geprüft",Programme_Grunddaten!AD20&lt;&gt;""),IF(Programme_Grunddaten!AD20="Ja",1,0),"")</f>
        <v/>
      </c>
      <c r="W12" s="1" t="str">
        <f>IF(AND(Programme_Grunddaten!$A20="Geprüft",Programme_Grunddaten!AE20&lt;&gt;""),IF(Programme_Grunddaten!AE20="Ja",1,0),"")</f>
        <v/>
      </c>
      <c r="X12" s="1">
        <f>IF(AND(Programme_Grunddaten!$A20="Geprüft",Programme_Grunddaten!AF20&lt;&gt;""),IF(Programme_Grunddaten!AF20="Ja",1,0),"")</f>
        <v>1</v>
      </c>
      <c r="Y12" s="1" t="str">
        <f>IF(AND(Programme_Grunddaten!$A20="Geprüft",Programme_Grunddaten!AG20&lt;&gt;""),IF(Programme_Grunddaten!AG20="Ja",1,0),"")</f>
        <v/>
      </c>
      <c r="Z12" s="1" t="str">
        <f>IF(AND(Programme_Grunddaten!$A20="Geprüft",Programme_Grunddaten!AH20&lt;&gt;""),IF(Programme_Grunddaten!AH20="Ja",1,0),"")</f>
        <v/>
      </c>
      <c r="AA12" s="1">
        <f>IF(AND(Programme_Grunddaten!$A20="Geprüft",Programme_Grunddaten!AI20&lt;&gt;""),IF(Programme_Grunddaten!AI20="Ja",1,0),"")</f>
        <v>1</v>
      </c>
      <c r="AB12" s="1">
        <f>IF(AND(Programme_Grunddaten!$A20="Geprüft",Programme_Grunddaten!AJ20&lt;&gt;""),IF(Programme_Grunddaten!AJ20="individuell programmierbar",1,0),"")</f>
        <v>1</v>
      </c>
      <c r="AC12" s="1">
        <f>IF(AND(Programme_Grunddaten!$A20="Geprüft",Programme_Grunddaten!AK20&lt;&gt;""),IF(Programme_Grunddaten!AK20="Deutsch",0,IF(Programme_Grunddaten!AK20="Deutsch und Englisch",1,2)),"")</f>
        <v>2</v>
      </c>
      <c r="AD12" s="1">
        <f>IF(AND(Programme_Grunddaten!$A20="Geprüft",Programme_Grunddaten!AL20&lt;&gt;""),IF(Programme_Grunddaten!AL20="Ja",1,0),"")</f>
        <v>1</v>
      </c>
      <c r="AE12" s="1">
        <f>IF(AND(Programme_Grunddaten!$A20="Geprüft",Programme_Grunddaten!AM20&lt;&gt;""),IF(Programme_Grunddaten!AM20="Ja",1,0),"")</f>
        <v>0</v>
      </c>
      <c r="AF12" s="1" t="str">
        <f>IF(AND(Programme_Grunddaten!$A20="Geprüft",Programme_Grunddaten!AN20&lt;&gt;""),IF(Programme_Grunddaten!AN20="Ja",1,0),"")</f>
        <v/>
      </c>
      <c r="AG12" s="1">
        <f>IF(AND(Programme_Grunddaten!$A20="Geprüft",Programme_Grunddaten!AO20&lt;&gt;""),IF(Programme_Grunddaten!AO20="Ja",1,0),"")</f>
        <v>0</v>
      </c>
      <c r="AH12" s="1" t="str">
        <f>IF(AND(Programme_Grunddaten!$A20="Geprüft",Programme_Grunddaten!AP20&lt;&gt;""),IF(Programme_Grunddaten!AP20="Ja",1,0),"")</f>
        <v/>
      </c>
      <c r="AI12" s="1">
        <f>IF(AND(Programme_Grunddaten!$A20="Geprüft",Programme_Grunddaten!AQ20&lt;&gt;""),IF(Programme_Grunddaten!AQ20="Ja",1,0),"")</f>
        <v>1</v>
      </c>
      <c r="AJ12" s="1">
        <f>IF(AND(Programme_Grunddaten!$A20="Geprüft",Programme_Grunddaten!AR20&lt;&gt;""),IF(Programme_Grunddaten!AR20="Ja",1,0),"")</f>
        <v>1</v>
      </c>
      <c r="AK12" s="1">
        <f>IF(AND(Programme_Grunddaten!$A20="Geprüft",Programme_Grunddaten!AS20&lt;&gt;""),IF(Programme_Grunddaten!AS20="Ja",1,0),"")</f>
        <v>1</v>
      </c>
      <c r="AL12" s="1" t="str">
        <f>IF(AND(Programme_Grunddaten!$A20="Geprüft",Programme_Grunddaten!AT20&lt;&gt;""),IF(Programme_Grunddaten!AT20="Ja",1,0),"")</f>
        <v/>
      </c>
      <c r="AM12" s="1">
        <f>IF(AND(Programme_Grunddaten!$A20="Geprüft",Programme_Grunddaten!AU20&lt;&gt;""),IF(Programme_Grunddaten!AU20="Ja",1,0),"")</f>
        <v>1</v>
      </c>
      <c r="AN12" s="1" t="str">
        <f>IF(AND(Programme_Grunddaten!$A20="Geprüft",Programme_Grunddaten!AV20&lt;&gt;""),IF(Programme_Grunddaten!AV20="Ja",1,0),"")</f>
        <v/>
      </c>
    </row>
    <row r="13" spans="1:40" x14ac:dyDescent="0.3">
      <c r="A13" s="1" t="str">
        <f>IF(AND(Programme_Grunddaten!A21="Geprüft",Programme_Grunddaten!B21&lt;&gt;""),Programme_Grunddaten!B21,"")</f>
        <v>P12</v>
      </c>
      <c r="B13" s="1">
        <f>IF(AND(Programme_Grunddaten!$A21="Geprüft",Programme_Grunddaten!I21&lt;&gt;""),IF(Programme_Grunddaten!I21="Ja",1,0),"")</f>
        <v>0</v>
      </c>
      <c r="C13" s="1">
        <f>IF(AND(Programme_Grunddaten!$A21="Geprüft",Programme_Grunddaten!J21&lt;&gt;""),IF(Programme_Grunddaten!J21="Ja",1,0),"")</f>
        <v>1</v>
      </c>
      <c r="D13" s="1">
        <f>IF(AND(Programme_Grunddaten!$A21="Geprüft",Programme_Grunddaten!K21&lt;&gt;""),IF(Programme_Grunddaten!K21="Ja",1,0),"")</f>
        <v>0</v>
      </c>
      <c r="E13" s="1">
        <f>IF(AND(Programme_Grunddaten!$A21="Geprüft",Programme_Grunddaten!L21&lt;&gt;""),IF(Programme_Grunddaten!L21="Abo / befristete Lizenz",1,0),"")</f>
        <v>1</v>
      </c>
      <c r="F13" s="1">
        <f>IF(AND(Programme_Grunddaten!$A21="Geprüft",Programme_Grunddaten!M21&lt;&gt;""),IF(Programme_Grunddaten!M21="Ja",1,0),"")</f>
        <v>1</v>
      </c>
      <c r="G13" s="1">
        <f>IF(AND(Programme_Grunddaten!$A21="Geprüft",Programme_Grunddaten!N21&lt;&gt;""),IF(Programme_Grunddaten!N21="Ja",1,0),"")</f>
        <v>0</v>
      </c>
      <c r="H13" s="1">
        <f>IF(AND(Programme_Grunddaten!$A21="Geprüft",Programme_Grunddaten!O21&lt;&gt;""),IF(Programme_Grunddaten!O21="Deutschland",0,IF(Programme_Grunddaten!O21="EU",1,2)),"")</f>
        <v>0</v>
      </c>
      <c r="I13" s="1">
        <f>IF(AND(Programme_Grunddaten!$A21="Geprüft",Programme_Grunddaten!P21&lt;&gt;""),IF(Programme_Grunddaten!P21="Ja",1,0),"")</f>
        <v>1</v>
      </c>
      <c r="J13" s="1">
        <f>IF(AND(Programme_Grunddaten!$A21="Geprüft",Programme_Grunddaten!Q21&lt;&gt;""),IF(Programme_Grunddaten!Q21="geschlossenes System",1,0),"")</f>
        <v>0</v>
      </c>
      <c r="K13" s="1">
        <f>IF(AND(Programme_Grunddaten!$A21="Geprüft",Programme_Grunddaten!R21&lt;&gt;""),IF(Programme_Grunddaten!R21="Ja",1,0),"")</f>
        <v>1</v>
      </c>
      <c r="L13" s="1">
        <f>IF(AND(Programme_Grunddaten!$A21="Geprüft",Programme_Grunddaten!T21&lt;&gt;""),IF(Programme_Grunddaten!T21="Ja",1,0),"")</f>
        <v>1</v>
      </c>
      <c r="M13" s="1">
        <f>IF(AND(Programme_Grunddaten!$A21="Geprüft",Programme_Grunddaten!U21&lt;&gt;""),IF(Programme_Grunddaten!U21="Ja",1,0),"")</f>
        <v>1</v>
      </c>
      <c r="N13" s="1" t="str">
        <f>IF(AND(Programme_Grunddaten!$A21="Geprüft",Programme_Grunddaten!V21&lt;&gt;""),IF(Programme_Grunddaten!V21="Ja",1,0),"")</f>
        <v/>
      </c>
      <c r="O13" s="1">
        <f>IF(AND(Programme_Grunddaten!$A21="Geprüft",Programme_Grunddaten!W21&lt;&gt;""),IF(Programme_Grunddaten!W21="Ja",1,0),"")</f>
        <v>1</v>
      </c>
      <c r="P13" s="1">
        <f>IF(AND(Programme_Grunddaten!$A21="Geprüft",Programme_Grunddaten!X21&lt;&gt;""),IF(Programme_Grunddaten!X21="Ja",1,0),"")</f>
        <v>1</v>
      </c>
      <c r="Q13" s="1" t="str">
        <f>IF(AND(Programme_Grunddaten!$A21="Geprüft",Programme_Grunddaten!Y21&lt;&gt;""),IF(Programme_Grunddaten!Y21="Ja",1,0),"")</f>
        <v/>
      </c>
      <c r="R13" s="1">
        <f>IF(AND(Programme_Grunddaten!$A21="Geprüft",Programme_Grunddaten!Z21&lt;&gt;""),IF(Programme_Grunddaten!Z21="Ja",1,0),"")</f>
        <v>0</v>
      </c>
      <c r="S13" s="1">
        <f>IF(AND(Programme_Grunddaten!$A21="Geprüft",Programme_Grunddaten!AA21&lt;&gt;""),IF(Programme_Grunddaten!AA21="monolithisch",1,0),"")</f>
        <v>0</v>
      </c>
      <c r="T13" s="1">
        <f>IF(AND(Programme_Grunddaten!$A21="Geprüft",Programme_Grunddaten!AB21&lt;&gt;""),IF(Programme_Grunddaten!AB21="Ja",1,0),"")</f>
        <v>1</v>
      </c>
      <c r="U13" s="1">
        <f>IF(AND(Programme_Grunddaten!$A21="Geprüft",Programme_Grunddaten!AC21&lt;&gt;""),IF(Programme_Grunddaten!AC21="Ja",1,0),"")</f>
        <v>1</v>
      </c>
      <c r="V13" s="1" t="str">
        <f>IF(AND(Programme_Grunddaten!$A21="Geprüft",Programme_Grunddaten!AD21&lt;&gt;""),IF(Programme_Grunddaten!AD21="Ja",1,0),"")</f>
        <v/>
      </c>
      <c r="W13" s="1" t="str">
        <f>IF(AND(Programme_Grunddaten!$A21="Geprüft",Programme_Grunddaten!AE21&lt;&gt;""),IF(Programme_Grunddaten!AE21="Ja",1,0),"")</f>
        <v/>
      </c>
      <c r="X13" s="1">
        <f>IF(AND(Programme_Grunddaten!$A21="Geprüft",Programme_Grunddaten!AF21&lt;&gt;""),IF(Programme_Grunddaten!AF21="Ja",1,0),"")</f>
        <v>1</v>
      </c>
      <c r="Y13" s="1" t="str">
        <f>IF(AND(Programme_Grunddaten!$A21="Geprüft",Programme_Grunddaten!AG21&lt;&gt;""),IF(Programme_Grunddaten!AG21="Ja",1,0),"")</f>
        <v/>
      </c>
      <c r="Z13" s="1" t="str">
        <f>IF(AND(Programme_Grunddaten!$A21="Geprüft",Programme_Grunddaten!AH21&lt;&gt;""),IF(Programme_Grunddaten!AH21="Ja",1,0),"")</f>
        <v/>
      </c>
      <c r="AA13" s="1">
        <f>IF(AND(Programme_Grunddaten!$A21="Geprüft",Programme_Grunddaten!AI21&lt;&gt;""),IF(Programme_Grunddaten!AI21="Ja",1,0),"")</f>
        <v>1</v>
      </c>
      <c r="AB13" s="1" t="str">
        <f>IF(AND(Programme_Grunddaten!$A21="Geprüft",Programme_Grunddaten!AJ21&lt;&gt;""),IF(Programme_Grunddaten!AJ21="individuell programmierbar",1,0),"")</f>
        <v/>
      </c>
      <c r="AC13" s="1">
        <f>IF(AND(Programme_Grunddaten!$A21="Geprüft",Programme_Grunddaten!AK21&lt;&gt;""),IF(Programme_Grunddaten!AK21="Deutsch",0,IF(Programme_Grunddaten!AK21="Deutsch und Englisch",1,2)),"")</f>
        <v>1</v>
      </c>
      <c r="AD13" s="1">
        <f>IF(AND(Programme_Grunddaten!$A21="Geprüft",Programme_Grunddaten!AL21&lt;&gt;""),IF(Programme_Grunddaten!AL21="Ja",1,0),"")</f>
        <v>1</v>
      </c>
      <c r="AE13" s="1">
        <f>IF(AND(Programme_Grunddaten!$A21="Geprüft",Programme_Grunddaten!AM21&lt;&gt;""),IF(Programme_Grunddaten!AM21="Ja",1,0),"")</f>
        <v>0</v>
      </c>
      <c r="AF13" s="1" t="str">
        <f>IF(AND(Programme_Grunddaten!$A21="Geprüft",Programme_Grunddaten!AN21&lt;&gt;""),IF(Programme_Grunddaten!AN21="Ja",1,0),"")</f>
        <v/>
      </c>
      <c r="AG13" s="1">
        <f>IF(AND(Programme_Grunddaten!$A21="Geprüft",Programme_Grunddaten!AO21&lt;&gt;""),IF(Programme_Grunddaten!AO21="Ja",1,0),"")</f>
        <v>0</v>
      </c>
      <c r="AH13" s="1" t="str">
        <f>IF(AND(Programme_Grunddaten!$A21="Geprüft",Programme_Grunddaten!AP21&lt;&gt;""),IF(Programme_Grunddaten!AP21="Ja",1,0),"")</f>
        <v/>
      </c>
      <c r="AI13" s="1">
        <f>IF(AND(Programme_Grunddaten!$A21="Geprüft",Programme_Grunddaten!AQ21&lt;&gt;""),IF(Programme_Grunddaten!AQ21="Ja",1,0),"")</f>
        <v>1</v>
      </c>
      <c r="AJ13" s="1">
        <f>IF(AND(Programme_Grunddaten!$A21="Geprüft",Programme_Grunddaten!AR21&lt;&gt;""),IF(Programme_Grunddaten!AR21="Ja",1,0),"")</f>
        <v>1</v>
      </c>
      <c r="AK13" s="1">
        <f>IF(AND(Programme_Grunddaten!$A21="Geprüft",Programme_Grunddaten!AS21&lt;&gt;""),IF(Programme_Grunddaten!AS21="Ja",1,0),"")</f>
        <v>1</v>
      </c>
      <c r="AL13" s="1">
        <f>IF(AND(Programme_Grunddaten!$A21="Geprüft",Programme_Grunddaten!AT21&lt;&gt;""),IF(Programme_Grunddaten!AT21="Ja",1,0),"")</f>
        <v>1</v>
      </c>
      <c r="AM13" s="1">
        <f>IF(AND(Programme_Grunddaten!$A21="Geprüft",Programme_Grunddaten!AU21&lt;&gt;""),IF(Programme_Grunddaten!AU21="Ja",1,0),"")</f>
        <v>1</v>
      </c>
      <c r="AN13" s="1" t="str">
        <f>IF(AND(Programme_Grunddaten!$A21="Geprüft",Programme_Grunddaten!AV21&lt;&gt;""),IF(Programme_Grunddaten!AV21="Ja",1,0),"")</f>
        <v/>
      </c>
    </row>
    <row r="14" spans="1:40" x14ac:dyDescent="0.3">
      <c r="A14" s="1" t="str">
        <f>IF(AND(Programme_Grunddaten!A22="Geprüft",Programme_Grunddaten!B22&lt;&gt;""),Programme_Grunddaten!B22,"")</f>
        <v>P13</v>
      </c>
      <c r="B14" s="1">
        <f>IF(AND(Programme_Grunddaten!$A22="Geprüft",Programme_Grunddaten!I22&lt;&gt;""),IF(Programme_Grunddaten!I22="Ja",1,0),"")</f>
        <v>0</v>
      </c>
      <c r="C14" s="1">
        <f>IF(AND(Programme_Grunddaten!$A22="Geprüft",Programme_Grunddaten!J22&lt;&gt;""),IF(Programme_Grunddaten!J22="Ja",1,0),"")</f>
        <v>1</v>
      </c>
      <c r="D14" s="1">
        <f>IF(AND(Programme_Grunddaten!$A22="Geprüft",Programme_Grunddaten!K22&lt;&gt;""),IF(Programme_Grunddaten!K22="Ja",1,0),"")</f>
        <v>0</v>
      </c>
      <c r="E14" s="1">
        <f>IF(AND(Programme_Grunddaten!$A22="Geprüft",Programme_Grunddaten!L22&lt;&gt;""),IF(Programme_Grunddaten!L22="Abo / befristete Lizenz",1,0),"")</f>
        <v>1</v>
      </c>
      <c r="F14" s="1">
        <f>IF(AND(Programme_Grunddaten!$A22="Geprüft",Programme_Grunddaten!M22&lt;&gt;""),IF(Programme_Grunddaten!M22="Ja",1,0),"")</f>
        <v>0</v>
      </c>
      <c r="G14" s="1">
        <f>IF(AND(Programme_Grunddaten!$A22="Geprüft",Programme_Grunddaten!N22&lt;&gt;""),IF(Programme_Grunddaten!N22="Ja",1,0),"")</f>
        <v>1</v>
      </c>
      <c r="H14" s="1">
        <f>IF(AND(Programme_Grunddaten!$A22="Geprüft",Programme_Grunddaten!O22&lt;&gt;""),IF(Programme_Grunddaten!O22="Deutschland",0,IF(Programme_Grunddaten!O22="EU",1,2)),"")</f>
        <v>0</v>
      </c>
      <c r="I14" s="1" t="str">
        <f>IF(AND(Programme_Grunddaten!$A22="Geprüft",Programme_Grunddaten!P22&lt;&gt;""),IF(Programme_Grunddaten!P22="Ja",1,0),"")</f>
        <v/>
      </c>
      <c r="J14" s="1">
        <f>IF(AND(Programme_Grunddaten!$A22="Geprüft",Programme_Grunddaten!Q22&lt;&gt;""),IF(Programme_Grunddaten!Q22="geschlossenes System",1,0),"")</f>
        <v>0</v>
      </c>
      <c r="K14" s="1" t="str">
        <f>IF(AND(Programme_Grunddaten!$A22="Geprüft",Programme_Grunddaten!R22&lt;&gt;""),IF(Programme_Grunddaten!R22="Ja",1,0),"")</f>
        <v/>
      </c>
      <c r="L14" s="1">
        <f>IF(AND(Programme_Grunddaten!$A22="Geprüft",Programme_Grunddaten!T22&lt;&gt;""),IF(Programme_Grunddaten!T22="Ja",1,0),"")</f>
        <v>1</v>
      </c>
      <c r="M14" s="1">
        <f>IF(AND(Programme_Grunddaten!$A22="Geprüft",Programme_Grunddaten!U22&lt;&gt;""),IF(Programme_Grunddaten!U22="Ja",1,0),"")</f>
        <v>1</v>
      </c>
      <c r="N14" s="1" t="str">
        <f>IF(AND(Programme_Grunddaten!$A22="Geprüft",Programme_Grunddaten!V22&lt;&gt;""),IF(Programme_Grunddaten!V22="Ja",1,0),"")</f>
        <v/>
      </c>
      <c r="O14" s="1">
        <f>IF(AND(Programme_Grunddaten!$A22="Geprüft",Programme_Grunddaten!W22&lt;&gt;""),IF(Programme_Grunddaten!W22="Ja",1,0),"")</f>
        <v>1</v>
      </c>
      <c r="P14" s="1">
        <f>IF(AND(Programme_Grunddaten!$A22="Geprüft",Programme_Grunddaten!X22&lt;&gt;""),IF(Programme_Grunddaten!X22="Ja",1,0),"")</f>
        <v>1</v>
      </c>
      <c r="Q14" s="1" t="str">
        <f>IF(AND(Programme_Grunddaten!$A22="Geprüft",Programme_Grunddaten!Y22&lt;&gt;""),IF(Programme_Grunddaten!Y22="Ja",1,0),"")</f>
        <v/>
      </c>
      <c r="R14" s="1">
        <f>IF(AND(Programme_Grunddaten!$A22="Geprüft",Programme_Grunddaten!Z22&lt;&gt;""),IF(Programme_Grunddaten!Z22="Ja",1,0),"")</f>
        <v>0</v>
      </c>
      <c r="S14" s="1">
        <f>IF(AND(Programme_Grunddaten!$A22="Geprüft",Programme_Grunddaten!AA22&lt;&gt;""),IF(Programme_Grunddaten!AA22="monolithisch",1,0),"")</f>
        <v>0</v>
      </c>
      <c r="T14" s="1">
        <f>IF(AND(Programme_Grunddaten!$A22="Geprüft",Programme_Grunddaten!AB22&lt;&gt;""),IF(Programme_Grunddaten!AB22="Ja",1,0),"")</f>
        <v>1</v>
      </c>
      <c r="U14" s="1">
        <f>IF(AND(Programme_Grunddaten!$A22="Geprüft",Programme_Grunddaten!AC22&lt;&gt;""),IF(Programme_Grunddaten!AC22="Ja",1,0),"")</f>
        <v>1</v>
      </c>
      <c r="V14" s="1" t="str">
        <f>IF(AND(Programme_Grunddaten!$A22="Geprüft",Programme_Grunddaten!AD22&lt;&gt;""),IF(Programme_Grunddaten!AD22="Ja",1,0),"")</f>
        <v/>
      </c>
      <c r="W14" s="1">
        <f>IF(AND(Programme_Grunddaten!$A22="Geprüft",Programme_Grunddaten!AE22&lt;&gt;""),IF(Programme_Grunddaten!AE22="Ja",1,0),"")</f>
        <v>1</v>
      </c>
      <c r="X14" s="1">
        <f>IF(AND(Programme_Grunddaten!$A22="Geprüft",Programme_Grunddaten!AF22&lt;&gt;""),IF(Programme_Grunddaten!AF22="Ja",1,0),"")</f>
        <v>1</v>
      </c>
      <c r="Y14" s="1" t="str">
        <f>IF(AND(Programme_Grunddaten!$A22="Geprüft",Programme_Grunddaten!AG22&lt;&gt;""),IF(Programme_Grunddaten!AG22="Ja",1,0),"")</f>
        <v/>
      </c>
      <c r="Z14" s="1" t="str">
        <f>IF(AND(Programme_Grunddaten!$A22="Geprüft",Programme_Grunddaten!AH22&lt;&gt;""),IF(Programme_Grunddaten!AH22="Ja",1,0),"")</f>
        <v/>
      </c>
      <c r="AA14" s="1" t="str">
        <f>IF(AND(Programme_Grunddaten!$A22="Geprüft",Programme_Grunddaten!AI22&lt;&gt;""),IF(Programme_Grunddaten!AI22="Ja",1,0),"")</f>
        <v/>
      </c>
      <c r="AB14" s="1" t="str">
        <f>IF(AND(Programme_Grunddaten!$A22="Geprüft",Programme_Grunddaten!AJ22&lt;&gt;""),IF(Programme_Grunddaten!AJ22="individuell programmierbar",1,0),"")</f>
        <v/>
      </c>
      <c r="AC14" s="1">
        <f>IF(AND(Programme_Grunddaten!$A22="Geprüft",Programme_Grunddaten!AK22&lt;&gt;""),IF(Programme_Grunddaten!AK22="Deutsch",0,IF(Programme_Grunddaten!AK22="Deutsch und Englisch",1,2)),"")</f>
        <v>0</v>
      </c>
      <c r="AD14" s="1">
        <f>IF(AND(Programme_Grunddaten!$A22="Geprüft",Programme_Grunddaten!AL22&lt;&gt;""),IF(Programme_Grunddaten!AL22="Ja",1,0),"")</f>
        <v>1</v>
      </c>
      <c r="AE14" s="1">
        <f>IF(AND(Programme_Grunddaten!$A22="Geprüft",Programme_Grunddaten!AM22&lt;&gt;""),IF(Programme_Grunddaten!AM22="Ja",1,0),"")</f>
        <v>0</v>
      </c>
      <c r="AF14" s="1" t="str">
        <f>IF(AND(Programme_Grunddaten!$A22="Geprüft",Programme_Grunddaten!AN22&lt;&gt;""),IF(Programme_Grunddaten!AN22="Ja",1,0),"")</f>
        <v/>
      </c>
      <c r="AG14" s="1">
        <f>IF(AND(Programme_Grunddaten!$A22="Geprüft",Programme_Grunddaten!AO22&lt;&gt;""),IF(Programme_Grunddaten!AO22="Ja",1,0),"")</f>
        <v>0</v>
      </c>
      <c r="AH14" s="1" t="str">
        <f>IF(AND(Programme_Grunddaten!$A22="Geprüft",Programme_Grunddaten!AP22&lt;&gt;""),IF(Programme_Grunddaten!AP22="Ja",1,0),"")</f>
        <v/>
      </c>
      <c r="AI14" s="1">
        <f>IF(AND(Programme_Grunddaten!$A22="Geprüft",Programme_Grunddaten!AQ22&lt;&gt;""),IF(Programme_Grunddaten!AQ22="Ja",1,0),"")</f>
        <v>1</v>
      </c>
      <c r="AJ14" s="1">
        <f>IF(AND(Programme_Grunddaten!$A22="Geprüft",Programme_Grunddaten!AR22&lt;&gt;""),IF(Programme_Grunddaten!AR22="Ja",1,0),"")</f>
        <v>1</v>
      </c>
      <c r="AK14" s="1">
        <f>IF(AND(Programme_Grunddaten!$A22="Geprüft",Programme_Grunddaten!AS22&lt;&gt;""),IF(Programme_Grunddaten!AS22="Ja",1,0),"")</f>
        <v>1</v>
      </c>
      <c r="AL14" s="1" t="str">
        <f>IF(AND(Programme_Grunddaten!$A22="Geprüft",Programme_Grunddaten!AT22&lt;&gt;""),IF(Programme_Grunddaten!AT22="Ja",1,0),"")</f>
        <v/>
      </c>
      <c r="AM14" s="1">
        <f>IF(AND(Programme_Grunddaten!$A22="Geprüft",Programme_Grunddaten!AU22&lt;&gt;""),IF(Programme_Grunddaten!AU22="Ja",1,0),"")</f>
        <v>1</v>
      </c>
      <c r="AN14" s="1" t="str">
        <f>IF(AND(Programme_Grunddaten!$A22="Geprüft",Programme_Grunddaten!AV22&lt;&gt;""),IF(Programme_Grunddaten!AV22="Ja",1,0),"")</f>
        <v/>
      </c>
    </row>
    <row r="15" spans="1:40" x14ac:dyDescent="0.3">
      <c r="A15" s="1" t="str">
        <f>IF(AND(Programme_Grunddaten!A23="Geprüft",Programme_Grunddaten!B23&lt;&gt;""),Programme_Grunddaten!B23,"")</f>
        <v>P14</v>
      </c>
      <c r="B15" s="1">
        <f>IF(AND(Programme_Grunddaten!$A23="Geprüft",Programme_Grunddaten!I23&lt;&gt;""),IF(Programme_Grunddaten!I23="Ja",1,0),"")</f>
        <v>0</v>
      </c>
      <c r="C15" s="1">
        <f>IF(AND(Programme_Grunddaten!$A23="Geprüft",Programme_Grunddaten!J23&lt;&gt;""),IF(Programme_Grunddaten!J23="Ja",1,0),"")</f>
        <v>1</v>
      </c>
      <c r="D15" s="1">
        <f>IF(AND(Programme_Grunddaten!$A23="Geprüft",Programme_Grunddaten!K23&lt;&gt;""),IF(Programme_Grunddaten!K23="Ja",1,0),"")</f>
        <v>0</v>
      </c>
      <c r="E15" s="1">
        <f>IF(AND(Programme_Grunddaten!$A23="Geprüft",Programme_Grunddaten!L23&lt;&gt;""),IF(Programme_Grunddaten!L23="Abo / befristete Lizenz",1,0),"")</f>
        <v>1</v>
      </c>
      <c r="F15" s="1">
        <f>IF(AND(Programme_Grunddaten!$A23="Geprüft",Programme_Grunddaten!M23&lt;&gt;""),IF(Programme_Grunddaten!M23="Ja",1,0),"")</f>
        <v>0</v>
      </c>
      <c r="G15" s="1">
        <f>IF(AND(Programme_Grunddaten!$A23="Geprüft",Programme_Grunddaten!N23&lt;&gt;""),IF(Programme_Grunddaten!N23="Ja",1,0),"")</f>
        <v>1</v>
      </c>
      <c r="H15" s="1">
        <f>IF(AND(Programme_Grunddaten!$A23="Geprüft",Programme_Grunddaten!O23&lt;&gt;""),IF(Programme_Grunddaten!O23="Deutschland",0,IF(Programme_Grunddaten!O23="EU",1,2)),"")</f>
        <v>0</v>
      </c>
      <c r="I15" s="1" t="str">
        <f>IF(AND(Programme_Grunddaten!$A23="Geprüft",Programme_Grunddaten!P23&lt;&gt;""),IF(Programme_Grunddaten!P23="Ja",1,0),"")</f>
        <v/>
      </c>
      <c r="J15" s="1">
        <f>IF(AND(Programme_Grunddaten!$A23="Geprüft",Programme_Grunddaten!Q23&lt;&gt;""),IF(Programme_Grunddaten!Q23="geschlossenes System",1,0),"")</f>
        <v>0</v>
      </c>
      <c r="K15" s="1" t="str">
        <f>IF(AND(Programme_Grunddaten!$A23="Geprüft",Programme_Grunddaten!R23&lt;&gt;""),IF(Programme_Grunddaten!R23="Ja",1,0),"")</f>
        <v/>
      </c>
      <c r="L15" s="1">
        <f>IF(AND(Programme_Grunddaten!$A23="Geprüft",Programme_Grunddaten!T23&lt;&gt;""),IF(Programme_Grunddaten!T23="Ja",1,0),"")</f>
        <v>1</v>
      </c>
      <c r="M15" s="1">
        <f>IF(AND(Programme_Grunddaten!$A23="Geprüft",Programme_Grunddaten!U23&lt;&gt;""),IF(Programme_Grunddaten!U23="Ja",1,0),"")</f>
        <v>1</v>
      </c>
      <c r="N15" s="1">
        <f>IF(AND(Programme_Grunddaten!$A23="Geprüft",Programme_Grunddaten!V23&lt;&gt;""),IF(Programme_Grunddaten!V23="Ja",1,0),"")</f>
        <v>1</v>
      </c>
      <c r="O15" s="1" t="str">
        <f>IF(AND(Programme_Grunddaten!$A23="Geprüft",Programme_Grunddaten!W23&lt;&gt;""),IF(Programme_Grunddaten!W23="Ja",1,0),"")</f>
        <v/>
      </c>
      <c r="P15" s="1" t="str">
        <f>IF(AND(Programme_Grunddaten!$A23="Geprüft",Programme_Grunddaten!X23&lt;&gt;""),IF(Programme_Grunddaten!X23="Ja",1,0),"")</f>
        <v/>
      </c>
      <c r="Q15" s="1">
        <f>IF(AND(Programme_Grunddaten!$A23="Geprüft",Programme_Grunddaten!Y23&lt;&gt;""),IF(Programme_Grunddaten!Y23="Ja",1,0),"")</f>
        <v>1</v>
      </c>
      <c r="R15" s="1">
        <f>IF(AND(Programme_Grunddaten!$A23="Geprüft",Programme_Grunddaten!Z23&lt;&gt;""),IF(Programme_Grunddaten!Z23="Ja",1,0),"")</f>
        <v>0</v>
      </c>
      <c r="S15" s="1">
        <f>IF(AND(Programme_Grunddaten!$A23="Geprüft",Programme_Grunddaten!AA23&lt;&gt;""),IF(Programme_Grunddaten!AA23="monolithisch",1,0),"")</f>
        <v>0</v>
      </c>
      <c r="T15" s="1">
        <f>IF(AND(Programme_Grunddaten!$A23="Geprüft",Programme_Grunddaten!AB23&lt;&gt;""),IF(Programme_Grunddaten!AB23="Ja",1,0),"")</f>
        <v>1</v>
      </c>
      <c r="U15" s="1" t="str">
        <f>IF(AND(Programme_Grunddaten!$A23="Geprüft",Programme_Grunddaten!AC23&lt;&gt;""),IF(Programme_Grunddaten!AC23="Ja",1,0),"")</f>
        <v/>
      </c>
      <c r="V15" s="1" t="str">
        <f>IF(AND(Programme_Grunddaten!$A23="Geprüft",Programme_Grunddaten!AD23&lt;&gt;""),IF(Programme_Grunddaten!AD23="Ja",1,0),"")</f>
        <v/>
      </c>
      <c r="W15" s="1" t="str">
        <f>IF(AND(Programme_Grunddaten!$A23="Geprüft",Programme_Grunddaten!AE23&lt;&gt;""),IF(Programme_Grunddaten!AE23="Ja",1,0),"")</f>
        <v/>
      </c>
      <c r="X15" s="1">
        <f>IF(AND(Programme_Grunddaten!$A23="Geprüft",Programme_Grunddaten!AF23&lt;&gt;""),IF(Programme_Grunddaten!AF23="Ja",1,0),"")</f>
        <v>1</v>
      </c>
      <c r="Y15" s="1">
        <f>IF(AND(Programme_Grunddaten!$A23="Geprüft",Programme_Grunddaten!AG23&lt;&gt;""),IF(Programme_Grunddaten!AG23="Ja",1,0),"")</f>
        <v>1</v>
      </c>
      <c r="Z15" s="1" t="str">
        <f>IF(AND(Programme_Grunddaten!$A23="Geprüft",Programme_Grunddaten!AH23&lt;&gt;""),IF(Programme_Grunddaten!AH23="Ja",1,0),"")</f>
        <v/>
      </c>
      <c r="AA15" s="1" t="str">
        <f>IF(AND(Programme_Grunddaten!$A23="Geprüft",Programme_Grunddaten!AI23&lt;&gt;""),IF(Programme_Grunddaten!AI23="Ja",1,0),"")</f>
        <v/>
      </c>
      <c r="AB15" s="1" t="str">
        <f>IF(AND(Programme_Grunddaten!$A23="Geprüft",Programme_Grunddaten!AJ23&lt;&gt;""),IF(Programme_Grunddaten!AJ23="individuell programmierbar",1,0),"")</f>
        <v/>
      </c>
      <c r="AC15" s="1">
        <f>IF(AND(Programme_Grunddaten!$A23="Geprüft",Programme_Grunddaten!AK23&lt;&gt;""),IF(Programme_Grunddaten!AK23="Deutsch",0,IF(Programme_Grunddaten!AK23="Deutsch und Englisch",1,2)),"")</f>
        <v>1</v>
      </c>
      <c r="AD15" s="1">
        <f>IF(AND(Programme_Grunddaten!$A23="Geprüft",Programme_Grunddaten!AL23&lt;&gt;""),IF(Programme_Grunddaten!AL23="Ja",1,0),"")</f>
        <v>1</v>
      </c>
      <c r="AE15" s="1">
        <f>IF(AND(Programme_Grunddaten!$A23="Geprüft",Programme_Grunddaten!AM23&lt;&gt;""),IF(Programme_Grunddaten!AM23="Ja",1,0),"")</f>
        <v>0</v>
      </c>
      <c r="AF15" s="1" t="str">
        <f>IF(AND(Programme_Grunddaten!$A23="Geprüft",Programme_Grunddaten!AN23&lt;&gt;""),IF(Programme_Grunddaten!AN23="Ja",1,0),"")</f>
        <v/>
      </c>
      <c r="AG15" s="1">
        <f>IF(AND(Programme_Grunddaten!$A23="Geprüft",Programme_Grunddaten!AO23&lt;&gt;""),IF(Programme_Grunddaten!AO23="Ja",1,0),"")</f>
        <v>0</v>
      </c>
      <c r="AH15" s="1" t="str">
        <f>IF(AND(Programme_Grunddaten!$A23="Geprüft",Programme_Grunddaten!AP23&lt;&gt;""),IF(Programme_Grunddaten!AP23="Ja",1,0),"")</f>
        <v/>
      </c>
      <c r="AI15" s="1">
        <f>IF(AND(Programme_Grunddaten!$A23="Geprüft",Programme_Grunddaten!AQ23&lt;&gt;""),IF(Programme_Grunddaten!AQ23="Ja",1,0),"")</f>
        <v>1</v>
      </c>
      <c r="AJ15" s="1">
        <f>IF(AND(Programme_Grunddaten!$A23="Geprüft",Programme_Grunddaten!AR23&lt;&gt;""),IF(Programme_Grunddaten!AR23="Ja",1,0),"")</f>
        <v>1</v>
      </c>
      <c r="AK15" s="1">
        <f>IF(AND(Programme_Grunddaten!$A23="Geprüft",Programme_Grunddaten!AS23&lt;&gt;""),IF(Programme_Grunddaten!AS23="Ja",1,0),"")</f>
        <v>1</v>
      </c>
      <c r="AL15" s="1" t="str">
        <f>IF(AND(Programme_Grunddaten!$A23="Geprüft",Programme_Grunddaten!AT23&lt;&gt;""),IF(Programme_Grunddaten!AT23="Ja",1,0),"")</f>
        <v/>
      </c>
      <c r="AM15" s="1" t="str">
        <f>IF(AND(Programme_Grunddaten!$A23="Geprüft",Programme_Grunddaten!AU23&lt;&gt;""),IF(Programme_Grunddaten!AU23="Ja",1,0),"")</f>
        <v/>
      </c>
      <c r="AN15" s="1">
        <f>IF(AND(Programme_Grunddaten!$A23="Geprüft",Programme_Grunddaten!AV23&lt;&gt;""),IF(Programme_Grunddaten!AV23="Ja",1,0),"")</f>
        <v>0</v>
      </c>
    </row>
    <row r="16" spans="1:40" x14ac:dyDescent="0.3">
      <c r="A16" s="1" t="str">
        <f>IF(AND(Programme_Grunddaten!A24="Geprüft",Programme_Grunddaten!B24&lt;&gt;""),Programme_Grunddaten!B24,"")</f>
        <v>P15</v>
      </c>
      <c r="B16" s="1">
        <f>IF(AND(Programme_Grunddaten!$A24="Geprüft",Programme_Grunddaten!I24&lt;&gt;""),IF(Programme_Grunddaten!I24="Ja",1,0),"")</f>
        <v>0</v>
      </c>
      <c r="C16" s="1">
        <f>IF(AND(Programme_Grunddaten!$A24="Geprüft",Programme_Grunddaten!J24&lt;&gt;""),IF(Programme_Grunddaten!J24="Ja",1,0),"")</f>
        <v>1</v>
      </c>
      <c r="D16" s="1">
        <f>IF(AND(Programme_Grunddaten!$A24="Geprüft",Programme_Grunddaten!K24&lt;&gt;""),IF(Programme_Grunddaten!K24="Ja",1,0),"")</f>
        <v>0</v>
      </c>
      <c r="E16" s="1">
        <f>IF(AND(Programme_Grunddaten!$A24="Geprüft",Programme_Grunddaten!L24&lt;&gt;""),IF(Programme_Grunddaten!L24="Abo / befristete Lizenz",1,0),"")</f>
        <v>1</v>
      </c>
      <c r="F16" s="1">
        <f>IF(AND(Programme_Grunddaten!$A24="Geprüft",Programme_Grunddaten!M24&lt;&gt;""),IF(Programme_Grunddaten!M24="Ja",1,0),"")</f>
        <v>0</v>
      </c>
      <c r="G16" s="1">
        <f>IF(AND(Programme_Grunddaten!$A24="Geprüft",Programme_Grunddaten!N24&lt;&gt;""),IF(Programme_Grunddaten!N24="Ja",1,0),"")</f>
        <v>1</v>
      </c>
      <c r="H16" s="1" t="str">
        <f>IF(AND(Programme_Grunddaten!$A24="Geprüft",Programme_Grunddaten!O24&lt;&gt;""),IF(Programme_Grunddaten!O24="Deutschland",0,IF(Programme_Grunddaten!O24="EU",1,2)),"")</f>
        <v/>
      </c>
      <c r="I16" s="1" t="str">
        <f>IF(AND(Programme_Grunddaten!$A24="Geprüft",Programme_Grunddaten!P24&lt;&gt;""),IF(Programme_Grunddaten!P24="Ja",1,0),"")</f>
        <v/>
      </c>
      <c r="J16" s="1">
        <f>IF(AND(Programme_Grunddaten!$A24="Geprüft",Programme_Grunddaten!Q24&lt;&gt;""),IF(Programme_Grunddaten!Q24="geschlossenes System",1,0),"")</f>
        <v>0</v>
      </c>
      <c r="K16" s="1" t="str">
        <f>IF(AND(Programme_Grunddaten!$A24="Geprüft",Programme_Grunddaten!R24&lt;&gt;""),IF(Programme_Grunddaten!R24="Ja",1,0),"")</f>
        <v/>
      </c>
      <c r="L16" s="1">
        <f>IF(AND(Programme_Grunddaten!$A24="Geprüft",Programme_Grunddaten!T24&lt;&gt;""),IF(Programme_Grunddaten!T24="Ja",1,0),"")</f>
        <v>1</v>
      </c>
      <c r="M16" s="1">
        <f>IF(AND(Programme_Grunddaten!$A24="Geprüft",Programme_Grunddaten!U24&lt;&gt;""),IF(Programme_Grunddaten!U24="Ja",1,0),"")</f>
        <v>1</v>
      </c>
      <c r="N16" s="1" t="str">
        <f>IF(AND(Programme_Grunddaten!$A24="Geprüft",Programme_Grunddaten!V24&lt;&gt;""),IF(Programme_Grunddaten!V24="Ja",1,0),"")</f>
        <v/>
      </c>
      <c r="O16" s="1" t="str">
        <f>IF(AND(Programme_Grunddaten!$A24="Geprüft",Programme_Grunddaten!W24&lt;&gt;""),IF(Programme_Grunddaten!W24="Ja",1,0),"")</f>
        <v/>
      </c>
      <c r="P16" s="1">
        <f>IF(AND(Programme_Grunddaten!$A24="Geprüft",Programme_Grunddaten!X24&lt;&gt;""),IF(Programme_Grunddaten!X24="Ja",1,0),"")</f>
        <v>1</v>
      </c>
      <c r="Q16" s="1" t="str">
        <f>IF(AND(Programme_Grunddaten!$A24="Geprüft",Programme_Grunddaten!Y24&lt;&gt;""),IF(Programme_Grunddaten!Y24="Ja",1,0),"")</f>
        <v/>
      </c>
      <c r="R16" s="1">
        <f>IF(AND(Programme_Grunddaten!$A24="Geprüft",Programme_Grunddaten!Z24&lt;&gt;""),IF(Programme_Grunddaten!Z24="Ja",1,0),"")</f>
        <v>0</v>
      </c>
      <c r="S16" s="1">
        <f>IF(AND(Programme_Grunddaten!$A24="Geprüft",Programme_Grunddaten!AA24&lt;&gt;""),IF(Programme_Grunddaten!AA24="monolithisch",1,0),"")</f>
        <v>0</v>
      </c>
      <c r="T16" s="1">
        <f>IF(AND(Programme_Grunddaten!$A24="Geprüft",Programme_Grunddaten!AB24&lt;&gt;""),IF(Programme_Grunddaten!AB24="Ja",1,0),"")</f>
        <v>1</v>
      </c>
      <c r="U16" s="1" t="str">
        <f>IF(AND(Programme_Grunddaten!$A24="Geprüft",Programme_Grunddaten!AC24&lt;&gt;""),IF(Programme_Grunddaten!AC24="Ja",1,0),"")</f>
        <v/>
      </c>
      <c r="V16" s="1" t="str">
        <f>IF(AND(Programme_Grunddaten!$A24="Geprüft",Programme_Grunddaten!AD24&lt;&gt;""),IF(Programme_Grunddaten!AD24="Ja",1,0),"")</f>
        <v/>
      </c>
      <c r="W16" s="1" t="str">
        <f>IF(AND(Programme_Grunddaten!$A24="Geprüft",Programme_Grunddaten!AE24&lt;&gt;""),IF(Programme_Grunddaten!AE24="Ja",1,0),"")</f>
        <v/>
      </c>
      <c r="X16" s="1" t="str">
        <f>IF(AND(Programme_Grunddaten!$A24="Geprüft",Programme_Grunddaten!AF24&lt;&gt;""),IF(Programme_Grunddaten!AF24="Ja",1,0),"")</f>
        <v/>
      </c>
      <c r="Y16" s="1" t="str">
        <f>IF(AND(Programme_Grunddaten!$A24="Geprüft",Programme_Grunddaten!AG24&lt;&gt;""),IF(Programme_Grunddaten!AG24="Ja",1,0),"")</f>
        <v/>
      </c>
      <c r="Z16" s="1" t="str">
        <f>IF(AND(Programme_Grunddaten!$A24="Geprüft",Programme_Grunddaten!AH24&lt;&gt;""),IF(Programme_Grunddaten!AH24="Ja",1,0),"")</f>
        <v/>
      </c>
      <c r="AA16" s="1">
        <f>IF(AND(Programme_Grunddaten!$A24="Geprüft",Programme_Grunddaten!AI24&lt;&gt;""),IF(Programme_Grunddaten!AI24="Ja",1,0),"")</f>
        <v>1</v>
      </c>
      <c r="AB16" s="1" t="str">
        <f>IF(AND(Programme_Grunddaten!$A24="Geprüft",Programme_Grunddaten!AJ24&lt;&gt;""),IF(Programme_Grunddaten!AJ24="individuell programmierbar",1,0),"")</f>
        <v/>
      </c>
      <c r="AC16" s="1">
        <f>IF(AND(Programme_Grunddaten!$A24="Geprüft",Programme_Grunddaten!AK24&lt;&gt;""),IF(Programme_Grunddaten!AK24="Deutsch",0,IF(Programme_Grunddaten!AK24="Deutsch und Englisch",1,2)),"")</f>
        <v>2</v>
      </c>
      <c r="AD16" s="1">
        <f>IF(AND(Programme_Grunddaten!$A24="Geprüft",Programme_Grunddaten!AL24&lt;&gt;""),IF(Programme_Grunddaten!AL24="Ja",1,0),"")</f>
        <v>1</v>
      </c>
      <c r="AE16" s="1">
        <f>IF(AND(Programme_Grunddaten!$A24="Geprüft",Programme_Grunddaten!AM24&lt;&gt;""),IF(Programme_Grunddaten!AM24="Ja",1,0),"")</f>
        <v>0</v>
      </c>
      <c r="AF16" s="1" t="str">
        <f>IF(AND(Programme_Grunddaten!$A24="Geprüft",Programme_Grunddaten!AN24&lt;&gt;""),IF(Programme_Grunddaten!AN24="Ja",1,0),"")</f>
        <v/>
      </c>
      <c r="AG16" s="1">
        <f>IF(AND(Programme_Grunddaten!$A24="Geprüft",Programme_Grunddaten!AO24&lt;&gt;""),IF(Programme_Grunddaten!AO24="Ja",1,0),"")</f>
        <v>0</v>
      </c>
      <c r="AH16" s="1" t="str">
        <f>IF(AND(Programme_Grunddaten!$A24="Geprüft",Programme_Grunddaten!AP24&lt;&gt;""),IF(Programme_Grunddaten!AP24="Ja",1,0),"")</f>
        <v/>
      </c>
      <c r="AI16" s="1">
        <f>IF(AND(Programme_Grunddaten!$A24="Geprüft",Programme_Grunddaten!AQ24&lt;&gt;""),IF(Programme_Grunddaten!AQ24="Ja",1,0),"")</f>
        <v>1</v>
      </c>
      <c r="AJ16" s="1">
        <f>IF(AND(Programme_Grunddaten!$A24="Geprüft",Programme_Grunddaten!AR24&lt;&gt;""),IF(Programme_Grunddaten!AR24="Ja",1,0),"")</f>
        <v>1</v>
      </c>
      <c r="AK16" s="1">
        <f>IF(AND(Programme_Grunddaten!$A24="Geprüft",Programme_Grunddaten!AS24&lt;&gt;""),IF(Programme_Grunddaten!AS24="Ja",1,0),"")</f>
        <v>1</v>
      </c>
      <c r="AL16" s="1" t="str">
        <f>IF(AND(Programme_Grunddaten!$A24="Geprüft",Programme_Grunddaten!AT24&lt;&gt;""),IF(Programme_Grunddaten!AT24="Ja",1,0),"")</f>
        <v/>
      </c>
      <c r="AM16" s="1" t="str">
        <f>IF(AND(Programme_Grunddaten!$A24="Geprüft",Programme_Grunddaten!AU24&lt;&gt;""),IF(Programme_Grunddaten!AU24="Ja",1,0),"")</f>
        <v/>
      </c>
      <c r="AN16" s="1" t="str">
        <f>IF(AND(Programme_Grunddaten!$A24="Geprüft",Programme_Grunddaten!AV24&lt;&gt;""),IF(Programme_Grunddaten!AV24="Ja",1,0),"")</f>
        <v/>
      </c>
    </row>
    <row r="17" spans="1:40" x14ac:dyDescent="0.3">
      <c r="A17" s="1" t="str">
        <f>IF(AND(Programme_Grunddaten!A25="Geprüft",Programme_Grunddaten!B25&lt;&gt;""),Programme_Grunddaten!B25,"")</f>
        <v>P16</v>
      </c>
      <c r="B17" s="1">
        <f>IF(AND(Programme_Grunddaten!$A25="Geprüft",Programme_Grunddaten!I25&lt;&gt;""),IF(Programme_Grunddaten!I25="Ja",1,0),"")</f>
        <v>0</v>
      </c>
      <c r="C17" s="1">
        <f>IF(AND(Programme_Grunddaten!$A25="Geprüft",Programme_Grunddaten!J25&lt;&gt;""),IF(Programme_Grunddaten!J25="Ja",1,0),"")</f>
        <v>1</v>
      </c>
      <c r="D17" s="1">
        <f>IF(AND(Programme_Grunddaten!$A25="Geprüft",Programme_Grunddaten!K25&lt;&gt;""),IF(Programme_Grunddaten!K25="Ja",1,0),"")</f>
        <v>0</v>
      </c>
      <c r="E17" s="1">
        <f>IF(AND(Programme_Grunddaten!$A25="Geprüft",Programme_Grunddaten!L25&lt;&gt;""),IF(Programme_Grunddaten!L25="Abo / befristete Lizenz",1,0),"")</f>
        <v>1</v>
      </c>
      <c r="F17" s="1">
        <f>IF(AND(Programme_Grunddaten!$A25="Geprüft",Programme_Grunddaten!M25&lt;&gt;""),IF(Programme_Grunddaten!M25="Ja",1,0),"")</f>
        <v>0</v>
      </c>
      <c r="G17" s="1">
        <f>IF(AND(Programme_Grunddaten!$A25="Geprüft",Programme_Grunddaten!N25&lt;&gt;""),IF(Programme_Grunddaten!N25="Ja",1,0),"")</f>
        <v>1</v>
      </c>
      <c r="H17" s="1" t="str">
        <f>IF(AND(Programme_Grunddaten!$A25="Geprüft",Programme_Grunddaten!O25&lt;&gt;""),IF(Programme_Grunddaten!O25="Deutschland",0,IF(Programme_Grunddaten!O25="EU",1,2)),"")</f>
        <v/>
      </c>
      <c r="I17" s="1" t="str">
        <f>IF(AND(Programme_Grunddaten!$A25="Geprüft",Programme_Grunddaten!P25&lt;&gt;""),IF(Programme_Grunddaten!P25="Ja",1,0),"")</f>
        <v/>
      </c>
      <c r="J17" s="1">
        <f>IF(AND(Programme_Grunddaten!$A25="Geprüft",Programme_Grunddaten!Q25&lt;&gt;""),IF(Programme_Grunddaten!Q25="geschlossenes System",1,0),"")</f>
        <v>0</v>
      </c>
      <c r="K17" s="1">
        <f>IF(AND(Programme_Grunddaten!$A25="Geprüft",Programme_Grunddaten!R25&lt;&gt;""),IF(Programme_Grunddaten!R25="Ja",1,0),"")</f>
        <v>1</v>
      </c>
      <c r="L17" s="1">
        <f>IF(AND(Programme_Grunddaten!$A25="Geprüft",Programme_Grunddaten!T25&lt;&gt;""),IF(Programme_Grunddaten!T25="Ja",1,0),"")</f>
        <v>1</v>
      </c>
      <c r="M17" s="1">
        <f>IF(AND(Programme_Grunddaten!$A25="Geprüft",Programme_Grunddaten!U25&lt;&gt;""),IF(Programme_Grunddaten!U25="Ja",1,0),"")</f>
        <v>1</v>
      </c>
      <c r="N17" s="1">
        <f>IF(AND(Programme_Grunddaten!$A25="Geprüft",Programme_Grunddaten!V25&lt;&gt;""),IF(Programme_Grunddaten!V25="Ja",1,0),"")</f>
        <v>1</v>
      </c>
      <c r="O17" s="1" t="str">
        <f>IF(AND(Programme_Grunddaten!$A25="Geprüft",Programme_Grunddaten!W25&lt;&gt;""),IF(Programme_Grunddaten!W25="Ja",1,0),"")</f>
        <v/>
      </c>
      <c r="P17" s="1" t="str">
        <f>IF(AND(Programme_Grunddaten!$A25="Geprüft",Programme_Grunddaten!X25&lt;&gt;""),IF(Programme_Grunddaten!X25="Ja",1,0),"")</f>
        <v/>
      </c>
      <c r="Q17" s="1">
        <f>IF(AND(Programme_Grunddaten!$A25="Geprüft",Programme_Grunddaten!Y25&lt;&gt;""),IF(Programme_Grunddaten!Y25="Ja",1,0),"")</f>
        <v>1</v>
      </c>
      <c r="R17" s="1">
        <f>IF(AND(Programme_Grunddaten!$A25="Geprüft",Programme_Grunddaten!Z25&lt;&gt;""),IF(Programme_Grunddaten!Z25="Ja",1,0),"")</f>
        <v>0</v>
      </c>
      <c r="S17" s="1">
        <f>IF(AND(Programme_Grunddaten!$A25="Geprüft",Programme_Grunddaten!AA25&lt;&gt;""),IF(Programme_Grunddaten!AA25="monolithisch",1,0),"")</f>
        <v>0</v>
      </c>
      <c r="T17" s="1">
        <f>IF(AND(Programme_Grunddaten!$A25="Geprüft",Programme_Grunddaten!AB25&lt;&gt;""),IF(Programme_Grunddaten!AB25="Ja",1,0),"")</f>
        <v>1</v>
      </c>
      <c r="U17" s="1">
        <f>IF(AND(Programme_Grunddaten!$A25="Geprüft",Programme_Grunddaten!AC25&lt;&gt;""),IF(Programme_Grunddaten!AC25="Ja",1,0),"")</f>
        <v>1</v>
      </c>
      <c r="V17" s="1">
        <f>IF(AND(Programme_Grunddaten!$A25="Geprüft",Programme_Grunddaten!AD25&lt;&gt;""),IF(Programme_Grunddaten!AD25="Ja",1,0),"")</f>
        <v>1</v>
      </c>
      <c r="W17" s="1" t="str">
        <f>IF(AND(Programme_Grunddaten!$A25="Geprüft",Programme_Grunddaten!AE25&lt;&gt;""),IF(Programme_Grunddaten!AE25="Ja",1,0),"")</f>
        <v/>
      </c>
      <c r="X17" s="1">
        <f>IF(AND(Programme_Grunddaten!$A25="Geprüft",Programme_Grunddaten!AF25&lt;&gt;""),IF(Programme_Grunddaten!AF25="Ja",1,0),"")</f>
        <v>1</v>
      </c>
      <c r="Y17" s="1" t="str">
        <f>IF(AND(Programme_Grunddaten!$A25="Geprüft",Programme_Grunddaten!AG25&lt;&gt;""),IF(Programme_Grunddaten!AG25="Ja",1,0),"")</f>
        <v/>
      </c>
      <c r="Z17" s="1" t="str">
        <f>IF(AND(Programme_Grunddaten!$A25="Geprüft",Programme_Grunddaten!AH25&lt;&gt;""),IF(Programme_Grunddaten!AH25="Ja",1,0),"")</f>
        <v/>
      </c>
      <c r="AA17" s="1">
        <f>IF(AND(Programme_Grunddaten!$A25="Geprüft",Programme_Grunddaten!AI25&lt;&gt;""),IF(Programme_Grunddaten!AI25="Ja",1,0),"")</f>
        <v>1</v>
      </c>
      <c r="AB17" s="1" t="str">
        <f>IF(AND(Programme_Grunddaten!$A25="Geprüft",Programme_Grunddaten!AJ25&lt;&gt;""),IF(Programme_Grunddaten!AJ25="individuell programmierbar",1,0),"")</f>
        <v/>
      </c>
      <c r="AC17" s="1">
        <f>IF(AND(Programme_Grunddaten!$A25="Geprüft",Programme_Grunddaten!AK25&lt;&gt;""),IF(Programme_Grunddaten!AK25="Deutsch",0,IF(Programme_Grunddaten!AK25="Deutsch und Englisch",1,2)),"")</f>
        <v>2</v>
      </c>
      <c r="AD17" s="1">
        <f>IF(AND(Programme_Grunddaten!$A25="Geprüft",Programme_Grunddaten!AL25&lt;&gt;""),IF(Programme_Grunddaten!AL25="Ja",1,0),"")</f>
        <v>1</v>
      </c>
      <c r="AE17" s="1">
        <f>IF(AND(Programme_Grunddaten!$A25="Geprüft",Programme_Grunddaten!AM25&lt;&gt;""),IF(Programme_Grunddaten!AM25="Ja",1,0),"")</f>
        <v>0</v>
      </c>
      <c r="AF17" s="1">
        <f>IF(AND(Programme_Grunddaten!$A25="Geprüft",Programme_Grunddaten!AN25&lt;&gt;""),IF(Programme_Grunddaten!AN25="Ja",1,0),"")</f>
        <v>1</v>
      </c>
      <c r="AG17" s="1">
        <f>IF(AND(Programme_Grunddaten!$A25="Geprüft",Programme_Grunddaten!AO25&lt;&gt;""),IF(Programme_Grunddaten!AO25="Ja",1,0),"")</f>
        <v>0</v>
      </c>
      <c r="AH17" s="1" t="str">
        <f>IF(AND(Programme_Grunddaten!$A25="Geprüft",Programme_Grunddaten!AP25&lt;&gt;""),IF(Programme_Grunddaten!AP25="Ja",1,0),"")</f>
        <v/>
      </c>
      <c r="AI17" s="1">
        <f>IF(AND(Programme_Grunddaten!$A25="Geprüft",Programme_Grunddaten!AQ25&lt;&gt;""),IF(Programme_Grunddaten!AQ25="Ja",1,0),"")</f>
        <v>1</v>
      </c>
      <c r="AJ17" s="1">
        <f>IF(AND(Programme_Grunddaten!$A25="Geprüft",Programme_Grunddaten!AR25&lt;&gt;""),IF(Programme_Grunddaten!AR25="Ja",1,0),"")</f>
        <v>1</v>
      </c>
      <c r="AK17" s="1" t="str">
        <f>IF(AND(Programme_Grunddaten!$A25="Geprüft",Programme_Grunddaten!AS25&lt;&gt;""),IF(Programme_Grunddaten!AS25="Ja",1,0),"")</f>
        <v/>
      </c>
      <c r="AL17" s="1" t="str">
        <f>IF(AND(Programme_Grunddaten!$A25="Geprüft",Programme_Grunddaten!AT25&lt;&gt;""),IF(Programme_Grunddaten!AT25="Ja",1,0),"")</f>
        <v/>
      </c>
      <c r="AM17" s="1" t="str">
        <f>IF(AND(Programme_Grunddaten!$A25="Geprüft",Programme_Grunddaten!AU25&lt;&gt;""),IF(Programme_Grunddaten!AU25="Ja",1,0),"")</f>
        <v/>
      </c>
      <c r="AN17" s="1" t="str">
        <f>IF(AND(Programme_Grunddaten!$A25="Geprüft",Programme_Grunddaten!AV25&lt;&gt;""),IF(Programme_Grunddaten!AV25="Ja",1,0),"")</f>
        <v/>
      </c>
    </row>
    <row r="18" spans="1:40" x14ac:dyDescent="0.3">
      <c r="A18" s="1" t="str">
        <f>IF(AND(Programme_Grunddaten!A26="Geprüft",Programme_Grunddaten!B26&lt;&gt;""),Programme_Grunddaten!B26,"")</f>
        <v>P17</v>
      </c>
      <c r="B18" s="1">
        <f>IF(AND(Programme_Grunddaten!$A26="Geprüft",Programme_Grunddaten!I26&lt;&gt;""),IF(Programme_Grunddaten!I26="Ja",1,0),"")</f>
        <v>0</v>
      </c>
      <c r="C18" s="1">
        <f>IF(AND(Programme_Grunddaten!$A26="Geprüft",Programme_Grunddaten!J26&lt;&gt;""),IF(Programme_Grunddaten!J26="Ja",1,0),"")</f>
        <v>1</v>
      </c>
      <c r="D18" s="1">
        <f>IF(AND(Programme_Grunddaten!$A26="Geprüft",Programme_Grunddaten!K26&lt;&gt;""),IF(Programme_Grunddaten!K26="Ja",1,0),"")</f>
        <v>0</v>
      </c>
      <c r="E18" s="1" t="str">
        <f>IF(AND(Programme_Grunddaten!$A26="Geprüft",Programme_Grunddaten!L26&lt;&gt;""),IF(Programme_Grunddaten!L26="Abo / befristete Lizenz",1,0),"")</f>
        <v/>
      </c>
      <c r="F18" s="1">
        <f>IF(AND(Programme_Grunddaten!$A26="Geprüft",Programme_Grunddaten!M26&lt;&gt;""),IF(Programme_Grunddaten!M26="Ja",1,0),"")</f>
        <v>0</v>
      </c>
      <c r="G18" s="1">
        <f>IF(AND(Programme_Grunddaten!$A26="Geprüft",Programme_Grunddaten!N26&lt;&gt;""),IF(Programme_Grunddaten!N26="Ja",1,0),"")</f>
        <v>1</v>
      </c>
      <c r="H18" s="1" t="str">
        <f>IF(AND(Programme_Grunddaten!$A26="Geprüft",Programme_Grunddaten!O26&lt;&gt;""),IF(Programme_Grunddaten!O26="Deutschland",0,IF(Programme_Grunddaten!O26="EU",1,2)),"")</f>
        <v/>
      </c>
      <c r="I18" s="1" t="str">
        <f>IF(AND(Programme_Grunddaten!$A26="Geprüft",Programme_Grunddaten!P26&lt;&gt;""),IF(Programme_Grunddaten!P26="Ja",1,0),"")</f>
        <v/>
      </c>
      <c r="J18" s="1">
        <f>IF(AND(Programme_Grunddaten!$A26="Geprüft",Programme_Grunddaten!Q26&lt;&gt;""),IF(Programme_Grunddaten!Q26="geschlossenes System",1,0),"")</f>
        <v>0</v>
      </c>
      <c r="K18" s="1">
        <f>IF(AND(Programme_Grunddaten!$A26="Geprüft",Programme_Grunddaten!R26&lt;&gt;""),IF(Programme_Grunddaten!R26="Ja",1,0),"")</f>
        <v>1</v>
      </c>
      <c r="L18" s="1">
        <f>IF(AND(Programme_Grunddaten!$A26="Geprüft",Programme_Grunddaten!T26&lt;&gt;""),IF(Programme_Grunddaten!T26="Ja",1,0),"")</f>
        <v>1</v>
      </c>
      <c r="M18" s="1">
        <f>IF(AND(Programme_Grunddaten!$A26="Geprüft",Programme_Grunddaten!U26&lt;&gt;""),IF(Programme_Grunddaten!U26="Ja",1,0),"")</f>
        <v>1</v>
      </c>
      <c r="N18" s="1">
        <f>IF(AND(Programme_Grunddaten!$A26="Geprüft",Programme_Grunddaten!V26&lt;&gt;""),IF(Programme_Grunddaten!V26="Ja",1,0),"")</f>
        <v>1</v>
      </c>
      <c r="O18" s="1">
        <f>IF(AND(Programme_Grunddaten!$A26="Geprüft",Programme_Grunddaten!W26&lt;&gt;""),IF(Programme_Grunddaten!W26="Ja",1,0),"")</f>
        <v>1</v>
      </c>
      <c r="P18" s="1">
        <f>IF(AND(Programme_Grunddaten!$A26="Geprüft",Programme_Grunddaten!X26&lt;&gt;""),IF(Programme_Grunddaten!X26="Ja",1,0),"")</f>
        <v>1</v>
      </c>
      <c r="Q18" s="1" t="str">
        <f>IF(AND(Programme_Grunddaten!$A26="Geprüft",Programme_Grunddaten!Y26&lt;&gt;""),IF(Programme_Grunddaten!Y26="Ja",1,0),"")</f>
        <v/>
      </c>
      <c r="R18" s="1">
        <f>IF(AND(Programme_Grunddaten!$A26="Geprüft",Programme_Grunddaten!Z26&lt;&gt;""),IF(Programme_Grunddaten!Z26="Ja",1,0),"")</f>
        <v>0</v>
      </c>
      <c r="S18" s="1">
        <f>IF(AND(Programme_Grunddaten!$A26="Geprüft",Programme_Grunddaten!AA26&lt;&gt;""),IF(Programme_Grunddaten!AA26="monolithisch",1,0),"")</f>
        <v>0</v>
      </c>
      <c r="T18" s="1">
        <f>IF(AND(Programme_Grunddaten!$A26="Geprüft",Programme_Grunddaten!AB26&lt;&gt;""),IF(Programme_Grunddaten!AB26="Ja",1,0),"")</f>
        <v>1</v>
      </c>
      <c r="U18" s="1" t="str">
        <f>IF(AND(Programme_Grunddaten!$A26="Geprüft",Programme_Grunddaten!AC26&lt;&gt;""),IF(Programme_Grunddaten!AC26="Ja",1,0),"")</f>
        <v/>
      </c>
      <c r="V18" s="1">
        <f>IF(AND(Programme_Grunddaten!$A26="Geprüft",Programme_Grunddaten!AD26&lt;&gt;""),IF(Programme_Grunddaten!AD26="Ja",1,0),"")</f>
        <v>1</v>
      </c>
      <c r="W18" s="1">
        <f>IF(AND(Programme_Grunddaten!$A26="Geprüft",Programme_Grunddaten!AE26&lt;&gt;""),IF(Programme_Grunddaten!AE26="Ja",1,0),"")</f>
        <v>1</v>
      </c>
      <c r="X18" s="1">
        <f>IF(AND(Programme_Grunddaten!$A26="Geprüft",Programme_Grunddaten!AF26&lt;&gt;""),IF(Programme_Grunddaten!AF26="Ja",1,0),"")</f>
        <v>1</v>
      </c>
      <c r="Y18" s="1" t="str">
        <f>IF(AND(Programme_Grunddaten!$A26="Geprüft",Programme_Grunddaten!AG26&lt;&gt;""),IF(Programme_Grunddaten!AG26="Ja",1,0),"")</f>
        <v/>
      </c>
      <c r="Z18" s="1" t="str">
        <f>IF(AND(Programme_Grunddaten!$A26="Geprüft",Programme_Grunddaten!AH26&lt;&gt;""),IF(Programme_Grunddaten!AH26="Ja",1,0),"")</f>
        <v/>
      </c>
      <c r="AA18" s="1">
        <f>IF(AND(Programme_Grunddaten!$A26="Geprüft",Programme_Grunddaten!AI26&lt;&gt;""),IF(Programme_Grunddaten!AI26="Ja",1,0),"")</f>
        <v>1</v>
      </c>
      <c r="AB18" s="1" t="str">
        <f>IF(AND(Programme_Grunddaten!$A26="Geprüft",Programme_Grunddaten!AJ26&lt;&gt;""),IF(Programme_Grunddaten!AJ26="individuell programmierbar",1,0),"")</f>
        <v/>
      </c>
      <c r="AC18" s="1">
        <f>IF(AND(Programme_Grunddaten!$A26="Geprüft",Programme_Grunddaten!AK26&lt;&gt;""),IF(Programme_Grunddaten!AK26="Deutsch",0,IF(Programme_Grunddaten!AK26="Deutsch und Englisch",1,2)),"")</f>
        <v>1</v>
      </c>
      <c r="AD18" s="1">
        <f>IF(AND(Programme_Grunddaten!$A26="Geprüft",Programme_Grunddaten!AL26&lt;&gt;""),IF(Programme_Grunddaten!AL26="Ja",1,0),"")</f>
        <v>1</v>
      </c>
      <c r="AE18" s="1">
        <f>IF(AND(Programme_Grunddaten!$A26="Geprüft",Programme_Grunddaten!AM26&lt;&gt;""),IF(Programme_Grunddaten!AM26="Ja",1,0),"")</f>
        <v>0</v>
      </c>
      <c r="AF18" s="1" t="str">
        <f>IF(AND(Programme_Grunddaten!$A26="Geprüft",Programme_Grunddaten!AN26&lt;&gt;""),IF(Programme_Grunddaten!AN26="Ja",1,0),"")</f>
        <v/>
      </c>
      <c r="AG18" s="1">
        <f>IF(AND(Programme_Grunddaten!$A26="Geprüft",Programme_Grunddaten!AO26&lt;&gt;""),IF(Programme_Grunddaten!AO26="Ja",1,0),"")</f>
        <v>0</v>
      </c>
      <c r="AH18" s="1" t="str">
        <f>IF(AND(Programme_Grunddaten!$A26="Geprüft",Programme_Grunddaten!AP26&lt;&gt;""),IF(Programme_Grunddaten!AP26="Ja",1,0),"")</f>
        <v/>
      </c>
      <c r="AI18" s="1">
        <f>IF(AND(Programme_Grunddaten!$A26="Geprüft",Programme_Grunddaten!AQ26&lt;&gt;""),IF(Programme_Grunddaten!AQ26="Ja",1,0),"")</f>
        <v>1</v>
      </c>
      <c r="AJ18" s="1" t="str">
        <f>IF(AND(Programme_Grunddaten!$A26="Geprüft",Programme_Grunddaten!AR26&lt;&gt;""),IF(Programme_Grunddaten!AR26="Ja",1,0),"")</f>
        <v/>
      </c>
      <c r="AK18" s="1" t="str">
        <f>IF(AND(Programme_Grunddaten!$A26="Geprüft",Programme_Grunddaten!AS26&lt;&gt;""),IF(Programme_Grunddaten!AS26="Ja",1,0),"")</f>
        <v/>
      </c>
      <c r="AL18" s="1" t="str">
        <f>IF(AND(Programme_Grunddaten!$A26="Geprüft",Programme_Grunddaten!AT26&lt;&gt;""),IF(Programme_Grunddaten!AT26="Ja",1,0),"")</f>
        <v/>
      </c>
      <c r="AM18" s="1" t="str">
        <f>IF(AND(Programme_Grunddaten!$A26="Geprüft",Programme_Grunddaten!AU26&lt;&gt;""),IF(Programme_Grunddaten!AU26="Ja",1,0),"")</f>
        <v/>
      </c>
      <c r="AN18" s="1" t="str">
        <f>IF(AND(Programme_Grunddaten!$A26="Geprüft",Programme_Grunddaten!AV26&lt;&gt;""),IF(Programme_Grunddaten!AV26="Ja",1,0),"")</f>
        <v/>
      </c>
    </row>
    <row r="19" spans="1:40" x14ac:dyDescent="0.3">
      <c r="A19" s="1" t="str">
        <f>IF(AND(Programme_Grunddaten!A27="Geprüft",Programme_Grunddaten!B27&lt;&gt;""),Programme_Grunddaten!B27,"")</f>
        <v>P18</v>
      </c>
      <c r="B19" s="1">
        <f>IF(AND(Programme_Grunddaten!$A27="Geprüft",Programme_Grunddaten!I27&lt;&gt;""),IF(Programme_Grunddaten!I27="Ja",1,0),"")</f>
        <v>1</v>
      </c>
      <c r="C19" s="1">
        <f>IF(AND(Programme_Grunddaten!$A27="Geprüft",Programme_Grunddaten!J27&lt;&gt;""),IF(Programme_Grunddaten!J27="Ja",1,0),"")</f>
        <v>1</v>
      </c>
      <c r="D19" s="1">
        <f>IF(AND(Programme_Grunddaten!$A27="Geprüft",Programme_Grunddaten!K27&lt;&gt;""),IF(Programme_Grunddaten!K27="Ja",1,0),"")</f>
        <v>0</v>
      </c>
      <c r="E19" s="1">
        <f>IF(AND(Programme_Grunddaten!$A27="Geprüft",Programme_Grunddaten!L27&lt;&gt;""),IF(Programme_Grunddaten!L27="Abo / befristete Lizenz",1,0),"")</f>
        <v>1</v>
      </c>
      <c r="F19" s="1">
        <f>IF(AND(Programme_Grunddaten!$A27="Geprüft",Programme_Grunddaten!M27&lt;&gt;""),IF(Programme_Grunddaten!M27="Ja",1,0),"")</f>
        <v>0</v>
      </c>
      <c r="G19" s="1">
        <f>IF(AND(Programme_Grunddaten!$A27="Geprüft",Programme_Grunddaten!N27&lt;&gt;""),IF(Programme_Grunddaten!N27="Ja",1,0),"")</f>
        <v>1</v>
      </c>
      <c r="H19" s="1">
        <f>IF(AND(Programme_Grunddaten!$A27="Geprüft",Programme_Grunddaten!O27&lt;&gt;""),IF(Programme_Grunddaten!O27="Deutschland",0,IF(Programme_Grunddaten!O27="EU",1,2)),"")</f>
        <v>0</v>
      </c>
      <c r="I19" s="1" t="str">
        <f>IF(AND(Programme_Grunddaten!$A27="Geprüft",Programme_Grunddaten!P27&lt;&gt;""),IF(Programme_Grunddaten!P27="Ja",1,0),"")</f>
        <v/>
      </c>
      <c r="J19" s="1">
        <f>IF(AND(Programme_Grunddaten!$A27="Geprüft",Programme_Grunddaten!Q27&lt;&gt;""),IF(Programme_Grunddaten!Q27="geschlossenes System",1,0),"")</f>
        <v>0</v>
      </c>
      <c r="K19" s="1" t="str">
        <f>IF(AND(Programme_Grunddaten!$A27="Geprüft",Programme_Grunddaten!R27&lt;&gt;""),IF(Programme_Grunddaten!R27="Ja",1,0),"")</f>
        <v/>
      </c>
      <c r="L19" s="1">
        <f>IF(AND(Programme_Grunddaten!$A27="Geprüft",Programme_Grunddaten!T27&lt;&gt;""),IF(Programme_Grunddaten!T27="Ja",1,0),"")</f>
        <v>1</v>
      </c>
      <c r="M19" s="1">
        <f>IF(AND(Programme_Grunddaten!$A27="Geprüft",Programme_Grunddaten!U27&lt;&gt;""),IF(Programme_Grunddaten!U27="Ja",1,0),"")</f>
        <v>1</v>
      </c>
      <c r="N19" s="1" t="str">
        <f>IF(AND(Programme_Grunddaten!$A27="Geprüft",Programme_Grunddaten!V27&lt;&gt;""),IF(Programme_Grunddaten!V27="Ja",1,0),"")</f>
        <v/>
      </c>
      <c r="O19" s="1" t="str">
        <f>IF(AND(Programme_Grunddaten!$A27="Geprüft",Programme_Grunddaten!W27&lt;&gt;""),IF(Programme_Grunddaten!W27="Ja",1,0),"")</f>
        <v/>
      </c>
      <c r="P19" s="1">
        <f>IF(AND(Programme_Grunddaten!$A27="Geprüft",Programme_Grunddaten!X27&lt;&gt;""),IF(Programme_Grunddaten!X27="Ja",1,0),"")</f>
        <v>1</v>
      </c>
      <c r="Q19" s="1" t="str">
        <f>IF(AND(Programme_Grunddaten!$A27="Geprüft",Programme_Grunddaten!Y27&lt;&gt;""),IF(Programme_Grunddaten!Y27="Ja",1,0),"")</f>
        <v/>
      </c>
      <c r="R19" s="1">
        <f>IF(AND(Programme_Grunddaten!$A27="Geprüft",Programme_Grunddaten!Z27&lt;&gt;""),IF(Programme_Grunddaten!Z27="Ja",1,0),"")</f>
        <v>0</v>
      </c>
      <c r="S19" s="1">
        <f>IF(AND(Programme_Grunddaten!$A27="Geprüft",Programme_Grunddaten!AA27&lt;&gt;""),IF(Programme_Grunddaten!AA27="monolithisch",1,0),"")</f>
        <v>0</v>
      </c>
      <c r="T19" s="1">
        <f>IF(AND(Programme_Grunddaten!$A27="Geprüft",Programme_Grunddaten!AB27&lt;&gt;""),IF(Programme_Grunddaten!AB27="Ja",1,0),"")</f>
        <v>1</v>
      </c>
      <c r="U19" s="1" t="str">
        <f>IF(AND(Programme_Grunddaten!$A27="Geprüft",Programme_Grunddaten!AC27&lt;&gt;""),IF(Programme_Grunddaten!AC27="Ja",1,0),"")</f>
        <v/>
      </c>
      <c r="V19" s="1" t="str">
        <f>IF(AND(Programme_Grunddaten!$A27="Geprüft",Programme_Grunddaten!AD27&lt;&gt;""),IF(Programme_Grunddaten!AD27="Ja",1,0),"")</f>
        <v/>
      </c>
      <c r="W19" s="1" t="str">
        <f>IF(AND(Programme_Grunddaten!$A27="Geprüft",Programme_Grunddaten!AE27&lt;&gt;""),IF(Programme_Grunddaten!AE27="Ja",1,0),"")</f>
        <v/>
      </c>
      <c r="X19" s="1" t="str">
        <f>IF(AND(Programme_Grunddaten!$A27="Geprüft",Programme_Grunddaten!AF27&lt;&gt;""),IF(Programme_Grunddaten!AF27="Ja",1,0),"")</f>
        <v/>
      </c>
      <c r="Y19" s="1" t="str">
        <f>IF(AND(Programme_Grunddaten!$A27="Geprüft",Programme_Grunddaten!AG27&lt;&gt;""),IF(Programme_Grunddaten!AG27="Ja",1,0),"")</f>
        <v/>
      </c>
      <c r="Z19" s="1" t="str">
        <f>IF(AND(Programme_Grunddaten!$A27="Geprüft",Programme_Grunddaten!AH27&lt;&gt;""),IF(Programme_Grunddaten!AH27="Ja",1,0),"")</f>
        <v/>
      </c>
      <c r="AA19" s="1">
        <f>IF(AND(Programme_Grunddaten!$A27="Geprüft",Programme_Grunddaten!AI27&lt;&gt;""),IF(Programme_Grunddaten!AI27="Ja",1,0),"")</f>
        <v>1</v>
      </c>
      <c r="AB19" s="1">
        <f>IF(AND(Programme_Grunddaten!$A27="Geprüft",Programme_Grunddaten!AJ27&lt;&gt;""),IF(Programme_Grunddaten!AJ27="individuell programmierbar",1,0),"")</f>
        <v>1</v>
      </c>
      <c r="AC19" s="1">
        <f>IF(AND(Programme_Grunddaten!$A27="Geprüft",Programme_Grunddaten!AK27&lt;&gt;""),IF(Programme_Grunddaten!AK27="Deutsch",0,IF(Programme_Grunddaten!AK27="Deutsch und Englisch",1,2)),"")</f>
        <v>1</v>
      </c>
      <c r="AD19" s="1">
        <f>IF(AND(Programme_Grunddaten!$A27="Geprüft",Programme_Grunddaten!AL27&lt;&gt;""),IF(Programme_Grunddaten!AL27="Ja",1,0),"")</f>
        <v>1</v>
      </c>
      <c r="AE19" s="1">
        <f>IF(AND(Programme_Grunddaten!$A27="Geprüft",Programme_Grunddaten!AM27&lt;&gt;""),IF(Programme_Grunddaten!AM27="Ja",1,0),"")</f>
        <v>0</v>
      </c>
      <c r="AF19" s="1" t="str">
        <f>IF(AND(Programme_Grunddaten!$A27="Geprüft",Programme_Grunddaten!AN27&lt;&gt;""),IF(Programme_Grunddaten!AN27="Ja",1,0),"")</f>
        <v/>
      </c>
      <c r="AG19" s="1">
        <f>IF(AND(Programme_Grunddaten!$A27="Geprüft",Programme_Grunddaten!AO27&lt;&gt;""),IF(Programme_Grunddaten!AO27="Ja",1,0),"")</f>
        <v>0</v>
      </c>
      <c r="AH19" s="1" t="str">
        <f>IF(AND(Programme_Grunddaten!$A27="Geprüft",Programme_Grunddaten!AP27&lt;&gt;""),IF(Programme_Grunddaten!AP27="Ja",1,0),"")</f>
        <v/>
      </c>
      <c r="AI19" s="1">
        <f>IF(AND(Programme_Grunddaten!$A27="Geprüft",Programme_Grunddaten!AQ27&lt;&gt;""),IF(Programme_Grunddaten!AQ27="Ja",1,0),"")</f>
        <v>1</v>
      </c>
      <c r="AJ19" s="1" t="str">
        <f>IF(AND(Programme_Grunddaten!$A27="Geprüft",Programme_Grunddaten!AR27&lt;&gt;""),IF(Programme_Grunddaten!AR27="Ja",1,0),"")</f>
        <v/>
      </c>
      <c r="AK19" s="1">
        <f>IF(AND(Programme_Grunddaten!$A27="Geprüft",Programme_Grunddaten!AS27&lt;&gt;""),IF(Programme_Grunddaten!AS27="Ja",1,0),"")</f>
        <v>1</v>
      </c>
      <c r="AL19" s="1" t="str">
        <f>IF(AND(Programme_Grunddaten!$A27="Geprüft",Programme_Grunddaten!AT27&lt;&gt;""),IF(Programme_Grunddaten!AT27="Ja",1,0),"")</f>
        <v/>
      </c>
      <c r="AM19" s="1" t="str">
        <f>IF(AND(Programme_Grunddaten!$A27="Geprüft",Programme_Grunddaten!AU27&lt;&gt;""),IF(Programme_Grunddaten!AU27="Ja",1,0),"")</f>
        <v/>
      </c>
      <c r="AN19" s="1" t="str">
        <f>IF(AND(Programme_Grunddaten!$A27="Geprüft",Programme_Grunddaten!AV27&lt;&gt;""),IF(Programme_Grunddaten!AV27="Ja",1,0),"")</f>
        <v/>
      </c>
    </row>
    <row r="20" spans="1:40" x14ac:dyDescent="0.3">
      <c r="A20" s="1" t="str">
        <f>IF(AND(Programme_Grunddaten!A28="Geprüft",Programme_Grunddaten!B28&lt;&gt;""),Programme_Grunddaten!B28,"")</f>
        <v>P19</v>
      </c>
      <c r="B20" s="1">
        <f>IF(AND(Programme_Grunddaten!$A28="Geprüft",Programme_Grunddaten!I28&lt;&gt;""),IF(Programme_Grunddaten!I28="Ja",1,0),"")</f>
        <v>0</v>
      </c>
      <c r="C20" s="1">
        <f>IF(AND(Programme_Grunddaten!$A28="Geprüft",Programme_Grunddaten!J28&lt;&gt;""),IF(Programme_Grunddaten!J28="Ja",1,0),"")</f>
        <v>1</v>
      </c>
      <c r="D20" s="1">
        <f>IF(AND(Programme_Grunddaten!$A28="Geprüft",Programme_Grunddaten!K28&lt;&gt;""),IF(Programme_Grunddaten!K28="Ja",1,0),"")</f>
        <v>0</v>
      </c>
      <c r="E20" s="1">
        <f>IF(AND(Programme_Grunddaten!$A28="Geprüft",Programme_Grunddaten!L28&lt;&gt;""),IF(Programme_Grunddaten!L28="Abo / befristete Lizenz",1,0),"")</f>
        <v>1</v>
      </c>
      <c r="F20" s="1">
        <f>IF(AND(Programme_Grunddaten!$A28="Geprüft",Programme_Grunddaten!M28&lt;&gt;""),IF(Programme_Grunddaten!M28="Ja",1,0),"")</f>
        <v>0</v>
      </c>
      <c r="G20" s="1">
        <f>IF(AND(Programme_Grunddaten!$A28="Geprüft",Programme_Grunddaten!N28&lt;&gt;""),IF(Programme_Grunddaten!N28="Ja",1,0),"")</f>
        <v>1</v>
      </c>
      <c r="H20" s="1">
        <f>IF(AND(Programme_Grunddaten!$A28="Geprüft",Programme_Grunddaten!O28&lt;&gt;""),IF(Programme_Grunddaten!O28="Deutschland",0,IF(Programme_Grunddaten!O28="EU",1,2)),"")</f>
        <v>1</v>
      </c>
      <c r="I20" s="1">
        <f>IF(AND(Programme_Grunddaten!$A28="Geprüft",Programme_Grunddaten!P28&lt;&gt;""),IF(Programme_Grunddaten!P28="Ja",1,0),"")</f>
        <v>1</v>
      </c>
      <c r="J20" s="1">
        <f>IF(AND(Programme_Grunddaten!$A28="Geprüft",Programme_Grunddaten!Q28&lt;&gt;""),IF(Programme_Grunddaten!Q28="geschlossenes System",1,0),"")</f>
        <v>0</v>
      </c>
      <c r="K20" s="1">
        <f>IF(AND(Programme_Grunddaten!$A28="Geprüft",Programme_Grunddaten!R28&lt;&gt;""),IF(Programme_Grunddaten!R28="Ja",1,0),"")</f>
        <v>1</v>
      </c>
      <c r="L20" s="1">
        <f>IF(AND(Programme_Grunddaten!$A28="Geprüft",Programme_Grunddaten!T28&lt;&gt;""),IF(Programme_Grunddaten!T28="Ja",1,0),"")</f>
        <v>1</v>
      </c>
      <c r="M20" s="1">
        <f>IF(AND(Programme_Grunddaten!$A28="Geprüft",Programme_Grunddaten!U28&lt;&gt;""),IF(Programme_Grunddaten!U28="Ja",1,0),"")</f>
        <v>1</v>
      </c>
      <c r="N20" s="1">
        <f>IF(AND(Programme_Grunddaten!$A28="Geprüft",Programme_Grunddaten!V28&lt;&gt;""),IF(Programme_Grunddaten!V28="Ja",1,0),"")</f>
        <v>1</v>
      </c>
      <c r="O20" s="1">
        <f>IF(AND(Programme_Grunddaten!$A28="Geprüft",Programme_Grunddaten!W28&lt;&gt;""),IF(Programme_Grunddaten!W28="Ja",1,0),"")</f>
        <v>1</v>
      </c>
      <c r="P20" s="1">
        <f>IF(AND(Programme_Grunddaten!$A28="Geprüft",Programme_Grunddaten!X28&lt;&gt;""),IF(Programme_Grunddaten!X28="Ja",1,0),"")</f>
        <v>1</v>
      </c>
      <c r="Q20" s="1" t="str">
        <f>IF(AND(Programme_Grunddaten!$A28="Geprüft",Programme_Grunddaten!Y28&lt;&gt;""),IF(Programme_Grunddaten!Y28="Ja",1,0),"")</f>
        <v/>
      </c>
      <c r="R20" s="1">
        <f>IF(AND(Programme_Grunddaten!$A28="Geprüft",Programme_Grunddaten!Z28&lt;&gt;""),IF(Programme_Grunddaten!Z28="Ja",1,0),"")</f>
        <v>0</v>
      </c>
      <c r="S20" s="1">
        <f>IF(AND(Programme_Grunddaten!$A28="Geprüft",Programme_Grunddaten!AA28&lt;&gt;""),IF(Programme_Grunddaten!AA28="monolithisch",1,0),"")</f>
        <v>0</v>
      </c>
      <c r="T20" s="1">
        <f>IF(AND(Programme_Grunddaten!$A28="Geprüft",Programme_Grunddaten!AB28&lt;&gt;""),IF(Programme_Grunddaten!AB28="Ja",1,0),"")</f>
        <v>1</v>
      </c>
      <c r="U20" s="1" t="str">
        <f>IF(AND(Programme_Grunddaten!$A28="Geprüft",Programme_Grunddaten!AC28&lt;&gt;""),IF(Programme_Grunddaten!AC28="Ja",1,0),"")</f>
        <v/>
      </c>
      <c r="V20" s="1" t="str">
        <f>IF(AND(Programme_Grunddaten!$A28="Geprüft",Programme_Grunddaten!AD28&lt;&gt;""),IF(Programme_Grunddaten!AD28="Ja",1,0),"")</f>
        <v/>
      </c>
      <c r="W20" s="1" t="str">
        <f>IF(AND(Programme_Grunddaten!$A28="Geprüft",Programme_Grunddaten!AE28&lt;&gt;""),IF(Programme_Grunddaten!AE28="Ja",1,0),"")</f>
        <v/>
      </c>
      <c r="X20" s="1">
        <f>IF(AND(Programme_Grunddaten!$A28="Geprüft",Programme_Grunddaten!AF28&lt;&gt;""),IF(Programme_Grunddaten!AF28="Ja",1,0),"")</f>
        <v>1</v>
      </c>
      <c r="Y20" s="1" t="str">
        <f>IF(AND(Programme_Grunddaten!$A28="Geprüft",Programme_Grunddaten!AG28&lt;&gt;""),IF(Programme_Grunddaten!AG28="Ja",1,0),"")</f>
        <v/>
      </c>
      <c r="Z20" s="1" t="str">
        <f>IF(AND(Programme_Grunddaten!$A28="Geprüft",Programme_Grunddaten!AH28&lt;&gt;""),IF(Programme_Grunddaten!AH28="Ja",1,0),"")</f>
        <v/>
      </c>
      <c r="AA20" s="1">
        <f>IF(AND(Programme_Grunddaten!$A28="Geprüft",Programme_Grunddaten!AI28&lt;&gt;""),IF(Programme_Grunddaten!AI28="Ja",1,0),"")</f>
        <v>1</v>
      </c>
      <c r="AB20" s="1" t="str">
        <f>IF(AND(Programme_Grunddaten!$A28="Geprüft",Programme_Grunddaten!AJ28&lt;&gt;""),IF(Programme_Grunddaten!AJ28="individuell programmierbar",1,0),"")</f>
        <v/>
      </c>
      <c r="AC20" s="1">
        <f>IF(AND(Programme_Grunddaten!$A28="Geprüft",Programme_Grunddaten!AK28&lt;&gt;""),IF(Programme_Grunddaten!AK28="Deutsch",0,IF(Programme_Grunddaten!AK28="Deutsch und Englisch",1,2)),"")</f>
        <v>2</v>
      </c>
      <c r="AD20" s="1">
        <f>IF(AND(Programme_Grunddaten!$A28="Geprüft",Programme_Grunddaten!AL28&lt;&gt;""),IF(Programme_Grunddaten!AL28="Ja",1,0),"")</f>
        <v>1</v>
      </c>
      <c r="AE20" s="1">
        <f>IF(AND(Programme_Grunddaten!$A28="Geprüft",Programme_Grunddaten!AM28&lt;&gt;""),IF(Programme_Grunddaten!AM28="Ja",1,0),"")</f>
        <v>0</v>
      </c>
      <c r="AF20" s="1" t="str">
        <f>IF(AND(Programme_Grunddaten!$A28="Geprüft",Programme_Grunddaten!AN28&lt;&gt;""),IF(Programme_Grunddaten!AN28="Ja",1,0),"")</f>
        <v/>
      </c>
      <c r="AG20" s="1">
        <f>IF(AND(Programme_Grunddaten!$A28="Geprüft",Programme_Grunddaten!AO28&lt;&gt;""),IF(Programme_Grunddaten!AO28="Ja",1,0),"")</f>
        <v>0</v>
      </c>
      <c r="AH20" s="1" t="str">
        <f>IF(AND(Programme_Grunddaten!$A28="Geprüft",Programme_Grunddaten!AP28&lt;&gt;""),IF(Programme_Grunddaten!AP28="Ja",1,0),"")</f>
        <v/>
      </c>
      <c r="AI20" s="1">
        <f>IF(AND(Programme_Grunddaten!$A28="Geprüft",Programme_Grunddaten!AQ28&lt;&gt;""),IF(Programme_Grunddaten!AQ28="Ja",1,0),"")</f>
        <v>1</v>
      </c>
      <c r="AJ20" s="1" t="str">
        <f>IF(AND(Programme_Grunddaten!$A28="Geprüft",Programme_Grunddaten!AR28&lt;&gt;""),IF(Programme_Grunddaten!AR28="Ja",1,0),"")</f>
        <v/>
      </c>
      <c r="AK20" s="1" t="str">
        <f>IF(AND(Programme_Grunddaten!$A28="Geprüft",Programme_Grunddaten!AS28&lt;&gt;""),IF(Programme_Grunddaten!AS28="Ja",1,0),"")</f>
        <v/>
      </c>
      <c r="AL20" s="1" t="str">
        <f>IF(AND(Programme_Grunddaten!$A28="Geprüft",Programme_Grunddaten!AT28&lt;&gt;""),IF(Programme_Grunddaten!AT28="Ja",1,0),"")</f>
        <v/>
      </c>
      <c r="AM20" s="1" t="str">
        <f>IF(AND(Programme_Grunddaten!$A28="Geprüft",Programme_Grunddaten!AU28&lt;&gt;""),IF(Programme_Grunddaten!AU28="Ja",1,0),"")</f>
        <v/>
      </c>
      <c r="AN20" s="1" t="str">
        <f>IF(AND(Programme_Grunddaten!$A28="Geprüft",Programme_Grunddaten!AV28&lt;&gt;""),IF(Programme_Grunddaten!AV28="Ja",1,0),"")</f>
        <v/>
      </c>
    </row>
    <row r="21" spans="1:40" x14ac:dyDescent="0.3">
      <c r="A21" s="1" t="str">
        <f>IF(AND(Programme_Grunddaten!A29="Geprüft",Programme_Grunddaten!B29&lt;&gt;""),Programme_Grunddaten!B29,"")</f>
        <v>P20</v>
      </c>
      <c r="B21" s="1">
        <f>IF(AND(Programme_Grunddaten!$A29="Geprüft",Programme_Grunddaten!I29&lt;&gt;""),IF(Programme_Grunddaten!I29="Ja",1,0),"")</f>
        <v>0</v>
      </c>
      <c r="C21" s="1">
        <f>IF(AND(Programme_Grunddaten!$A29="Geprüft",Programme_Grunddaten!J29&lt;&gt;""),IF(Programme_Grunddaten!J29="Ja",1,0),"")</f>
        <v>1</v>
      </c>
      <c r="D21" s="1">
        <f>IF(AND(Programme_Grunddaten!$A29="Geprüft",Programme_Grunddaten!K29&lt;&gt;""),IF(Programme_Grunddaten!K29="Ja",1,0),"")</f>
        <v>1</v>
      </c>
      <c r="E21" s="1">
        <f>IF(AND(Programme_Grunddaten!$A29="Geprüft",Programme_Grunddaten!L29&lt;&gt;""),IF(Programme_Grunddaten!L29="Abo / befristete Lizenz",1,0),"")</f>
        <v>1</v>
      </c>
      <c r="F21" s="1">
        <f>IF(AND(Programme_Grunddaten!$A29="Geprüft",Programme_Grunddaten!M29&lt;&gt;""),IF(Programme_Grunddaten!M29="Ja",1,0),"")</f>
        <v>0</v>
      </c>
      <c r="G21" s="1">
        <f>IF(AND(Programme_Grunddaten!$A29="Geprüft",Programme_Grunddaten!N29&lt;&gt;""),IF(Programme_Grunddaten!N29="Ja",1,0),"")</f>
        <v>1</v>
      </c>
      <c r="H21" s="1">
        <f>IF(AND(Programme_Grunddaten!$A29="Geprüft",Programme_Grunddaten!O29&lt;&gt;""),IF(Programme_Grunddaten!O29="Deutschland",0,IF(Programme_Grunddaten!O29="EU",1,2)),"")</f>
        <v>0</v>
      </c>
      <c r="I21" s="1" t="str">
        <f>IF(AND(Programme_Grunddaten!$A29="Geprüft",Programme_Grunddaten!P29&lt;&gt;""),IF(Programme_Grunddaten!P29="Ja",1,0),"")</f>
        <v/>
      </c>
      <c r="J21" s="1" t="str">
        <f>IF(AND(Programme_Grunddaten!$A29="Geprüft",Programme_Grunddaten!Q29&lt;&gt;""),IF(Programme_Grunddaten!Q29="geschlossenes System",1,0),"")</f>
        <v/>
      </c>
      <c r="K21" s="1" t="str">
        <f>IF(AND(Programme_Grunddaten!$A29="Geprüft",Programme_Grunddaten!R29&lt;&gt;""),IF(Programme_Grunddaten!R29="Ja",1,0),"")</f>
        <v/>
      </c>
      <c r="L21" s="1">
        <f>IF(AND(Programme_Grunddaten!$A29="Geprüft",Programme_Grunddaten!T29&lt;&gt;""),IF(Programme_Grunddaten!T29="Ja",1,0),"")</f>
        <v>1</v>
      </c>
      <c r="M21" s="1">
        <f>IF(AND(Programme_Grunddaten!$A29="Geprüft",Programme_Grunddaten!U29&lt;&gt;""),IF(Programme_Grunddaten!U29="Ja",1,0),"")</f>
        <v>1</v>
      </c>
      <c r="N21" s="1">
        <f>IF(AND(Programme_Grunddaten!$A29="Geprüft",Programme_Grunddaten!V29&lt;&gt;""),IF(Programme_Grunddaten!V29="Ja",1,0),"")</f>
        <v>1</v>
      </c>
      <c r="O21" s="1">
        <f>IF(AND(Programme_Grunddaten!$A29="Geprüft",Programme_Grunddaten!W29&lt;&gt;""),IF(Programme_Grunddaten!W29="Ja",1,0),"")</f>
        <v>1</v>
      </c>
      <c r="P21" s="1">
        <f>IF(AND(Programme_Grunddaten!$A29="Geprüft",Programme_Grunddaten!X29&lt;&gt;""),IF(Programme_Grunddaten!X29="Ja",1,0),"")</f>
        <v>1</v>
      </c>
      <c r="Q21" s="1" t="str">
        <f>IF(AND(Programme_Grunddaten!$A29="Geprüft",Programme_Grunddaten!Y29&lt;&gt;""),IF(Programme_Grunddaten!Y29="Ja",1,0),"")</f>
        <v/>
      </c>
      <c r="R21" s="1">
        <f>IF(AND(Programme_Grunddaten!$A29="Geprüft",Programme_Grunddaten!Z29&lt;&gt;""),IF(Programme_Grunddaten!Z29="Ja",1,0),"")</f>
        <v>0</v>
      </c>
      <c r="S21" s="1">
        <f>IF(AND(Programme_Grunddaten!$A29="Geprüft",Programme_Grunddaten!AA29&lt;&gt;""),IF(Programme_Grunddaten!AA29="monolithisch",1,0),"")</f>
        <v>0</v>
      </c>
      <c r="T21" s="1">
        <f>IF(AND(Programme_Grunddaten!$A29="Geprüft",Programme_Grunddaten!AB29&lt;&gt;""),IF(Programme_Grunddaten!AB29="Ja",1,0),"")</f>
        <v>1</v>
      </c>
      <c r="U21" s="1" t="str">
        <f>IF(AND(Programme_Grunddaten!$A29="Geprüft",Programme_Grunddaten!AC29&lt;&gt;""),IF(Programme_Grunddaten!AC29="Ja",1,0),"")</f>
        <v/>
      </c>
      <c r="V21" s="1" t="str">
        <f>IF(AND(Programme_Grunddaten!$A29="Geprüft",Programme_Grunddaten!AD29&lt;&gt;""),IF(Programme_Grunddaten!AD29="Ja",1,0),"")</f>
        <v/>
      </c>
      <c r="W21" s="1" t="str">
        <f>IF(AND(Programme_Grunddaten!$A29="Geprüft",Programme_Grunddaten!AE29&lt;&gt;""),IF(Programme_Grunddaten!AE29="Ja",1,0),"")</f>
        <v/>
      </c>
      <c r="X21" s="1">
        <f>IF(AND(Programme_Grunddaten!$A29="Geprüft",Programme_Grunddaten!AF29&lt;&gt;""),IF(Programme_Grunddaten!AF29="Ja",1,0),"")</f>
        <v>1</v>
      </c>
      <c r="Y21" s="1" t="str">
        <f>IF(AND(Programme_Grunddaten!$A29="Geprüft",Programme_Grunddaten!AG29&lt;&gt;""),IF(Programme_Grunddaten!AG29="Ja",1,0),"")</f>
        <v/>
      </c>
      <c r="Z21" s="1">
        <f>IF(AND(Programme_Grunddaten!$A29="Geprüft",Programme_Grunddaten!AH29&lt;&gt;""),IF(Programme_Grunddaten!AH29="Ja",1,0),"")</f>
        <v>1</v>
      </c>
      <c r="AA21" s="1">
        <f>IF(AND(Programme_Grunddaten!$A29="Geprüft",Programme_Grunddaten!AI29&lt;&gt;""),IF(Programme_Grunddaten!AI29="Ja",1,0),"")</f>
        <v>1</v>
      </c>
      <c r="AB21" s="1" t="str">
        <f>IF(AND(Programme_Grunddaten!$A29="Geprüft",Programme_Grunddaten!AJ29&lt;&gt;""),IF(Programme_Grunddaten!AJ29="individuell programmierbar",1,0),"")</f>
        <v/>
      </c>
      <c r="AC21" s="1">
        <f>IF(AND(Programme_Grunddaten!$A29="Geprüft",Programme_Grunddaten!AK29&lt;&gt;""),IF(Programme_Grunddaten!AK29="Deutsch",0,IF(Programme_Grunddaten!AK29="Deutsch und Englisch",1,2)),"")</f>
        <v>2</v>
      </c>
      <c r="AD21" s="1">
        <f>IF(AND(Programme_Grunddaten!$A29="Geprüft",Programme_Grunddaten!AL29&lt;&gt;""),IF(Programme_Grunddaten!AL29="Ja",1,0),"")</f>
        <v>1</v>
      </c>
      <c r="AE21" s="1">
        <f>IF(AND(Programme_Grunddaten!$A29="Geprüft",Programme_Grunddaten!AM29&lt;&gt;""),IF(Programme_Grunddaten!AM29="Ja",1,0),"")</f>
        <v>0</v>
      </c>
      <c r="AF21" s="1">
        <f>IF(AND(Programme_Grunddaten!$A29="Geprüft",Programme_Grunddaten!AN29&lt;&gt;""),IF(Programme_Grunddaten!AN29="Ja",1,0),"")</f>
        <v>1</v>
      </c>
      <c r="AG21" s="1">
        <f>IF(AND(Programme_Grunddaten!$A29="Geprüft",Programme_Grunddaten!AO29&lt;&gt;""),IF(Programme_Grunddaten!AO29="Ja",1,0),"")</f>
        <v>0</v>
      </c>
      <c r="AH21" s="1" t="str">
        <f>IF(AND(Programme_Grunddaten!$A29="Geprüft",Programme_Grunddaten!AP29&lt;&gt;""),IF(Programme_Grunddaten!AP29="Ja",1,0),"")</f>
        <v/>
      </c>
      <c r="AI21" s="1">
        <f>IF(AND(Programme_Grunddaten!$A29="Geprüft",Programme_Grunddaten!AQ29&lt;&gt;""),IF(Programme_Grunddaten!AQ29="Ja",1,0),"")</f>
        <v>1</v>
      </c>
      <c r="AJ21" s="1">
        <f>IF(AND(Programme_Grunddaten!$A29="Geprüft",Programme_Grunddaten!AR29&lt;&gt;""),IF(Programme_Grunddaten!AR29="Ja",1,0),"")</f>
        <v>1</v>
      </c>
      <c r="AK21" s="1" t="str">
        <f>IF(AND(Programme_Grunddaten!$A29="Geprüft",Programme_Grunddaten!AS29&lt;&gt;""),IF(Programme_Grunddaten!AS29="Ja",1,0),"")</f>
        <v/>
      </c>
      <c r="AL21" s="1">
        <f>IF(AND(Programme_Grunddaten!$A29="Geprüft",Programme_Grunddaten!AT29&lt;&gt;""),IF(Programme_Grunddaten!AT29="Ja",1,0),"")</f>
        <v>1</v>
      </c>
      <c r="AM21" s="1">
        <f>IF(AND(Programme_Grunddaten!$A29="Geprüft",Programme_Grunddaten!AU29&lt;&gt;""),IF(Programme_Grunddaten!AU29="Ja",1,0),"")</f>
        <v>1</v>
      </c>
      <c r="AN21" s="1" t="str">
        <f>IF(AND(Programme_Grunddaten!$A29="Geprüft",Programme_Grunddaten!AV29&lt;&gt;""),IF(Programme_Grunddaten!AV29="Ja",1,0),"")</f>
        <v/>
      </c>
    </row>
    <row r="22" spans="1:40" x14ac:dyDescent="0.3">
      <c r="A22" s="1" t="str">
        <f>IF(AND(Programme_Grunddaten!A30="Geprüft",Programme_Grunddaten!B30&lt;&gt;""),Programme_Grunddaten!B30,"")</f>
        <v>P21</v>
      </c>
      <c r="B22" s="1">
        <f>IF(AND(Programme_Grunddaten!$A30="Geprüft",Programme_Grunddaten!I30&lt;&gt;""),IF(Programme_Grunddaten!I30="Ja",1,0),"")</f>
        <v>0</v>
      </c>
      <c r="C22" s="1">
        <f>IF(AND(Programme_Grunddaten!$A30="Geprüft",Programme_Grunddaten!J30&lt;&gt;""),IF(Programme_Grunddaten!J30="Ja",1,0),"")</f>
        <v>1</v>
      </c>
      <c r="D22" s="1">
        <f>IF(AND(Programme_Grunddaten!$A30="Geprüft",Programme_Grunddaten!K30&lt;&gt;""),IF(Programme_Grunddaten!K30="Ja",1,0),"")</f>
        <v>0</v>
      </c>
      <c r="E22" s="1">
        <f>IF(AND(Programme_Grunddaten!$A30="Geprüft",Programme_Grunddaten!L30&lt;&gt;""),IF(Programme_Grunddaten!L30="Abo / befristete Lizenz",1,0),"")</f>
        <v>1</v>
      </c>
      <c r="F22" s="1">
        <f>IF(AND(Programme_Grunddaten!$A30="Geprüft",Programme_Grunddaten!M30&lt;&gt;""),IF(Programme_Grunddaten!M30="Ja",1,0),"")</f>
        <v>1</v>
      </c>
      <c r="G22" s="1">
        <f>IF(AND(Programme_Grunddaten!$A30="Geprüft",Programme_Grunddaten!N30&lt;&gt;""),IF(Programme_Grunddaten!N30="Ja",1,0),"")</f>
        <v>0</v>
      </c>
      <c r="H22" s="1" t="str">
        <f>IF(AND(Programme_Grunddaten!$A30="Geprüft",Programme_Grunddaten!O30&lt;&gt;""),IF(Programme_Grunddaten!O30="Deutschland",0,IF(Programme_Grunddaten!O30="EU",1,2)),"")</f>
        <v/>
      </c>
      <c r="I22" s="1" t="str">
        <f>IF(AND(Programme_Grunddaten!$A30="Geprüft",Programme_Grunddaten!P30&lt;&gt;""),IF(Programme_Grunddaten!P30="Ja",1,0),"")</f>
        <v/>
      </c>
      <c r="J22" s="1">
        <f>IF(AND(Programme_Grunddaten!$A30="Geprüft",Programme_Grunddaten!Q30&lt;&gt;""),IF(Programme_Grunddaten!Q30="geschlossenes System",1,0),"")</f>
        <v>0</v>
      </c>
      <c r="K22" s="1">
        <f>IF(AND(Programme_Grunddaten!$A30="Geprüft",Programme_Grunddaten!R30&lt;&gt;""),IF(Programme_Grunddaten!R30="Ja",1,0),"")</f>
        <v>1</v>
      </c>
      <c r="L22" s="1" t="str">
        <f>IF(AND(Programme_Grunddaten!$A30="Geprüft",Programme_Grunddaten!T30&lt;&gt;""),IF(Programme_Grunddaten!T30="Ja",1,0),"")</f>
        <v/>
      </c>
      <c r="M22" s="1">
        <f>IF(AND(Programme_Grunddaten!$A30="Geprüft",Programme_Grunddaten!U30&lt;&gt;""),IF(Programme_Grunddaten!U30="Ja",1,0),"")</f>
        <v>1</v>
      </c>
      <c r="N22" s="1">
        <f>IF(AND(Programme_Grunddaten!$A30="Geprüft",Programme_Grunddaten!V30&lt;&gt;""),IF(Programme_Grunddaten!V30="Ja",1,0),"")</f>
        <v>1</v>
      </c>
      <c r="O22" s="1" t="str">
        <f>IF(AND(Programme_Grunddaten!$A30="Geprüft",Programme_Grunddaten!W30&lt;&gt;""),IF(Programme_Grunddaten!W30="Ja",1,0),"")</f>
        <v/>
      </c>
      <c r="P22" s="1">
        <f>IF(AND(Programme_Grunddaten!$A30="Geprüft",Programme_Grunddaten!X30&lt;&gt;""),IF(Programme_Grunddaten!X30="Ja",1,0),"")</f>
        <v>1</v>
      </c>
      <c r="Q22" s="1" t="str">
        <f>IF(AND(Programme_Grunddaten!$A30="Geprüft",Programme_Grunddaten!Y30&lt;&gt;""),IF(Programme_Grunddaten!Y30="Ja",1,0),"")</f>
        <v/>
      </c>
      <c r="R22" s="1">
        <f>IF(AND(Programme_Grunddaten!$A30="Geprüft",Programme_Grunddaten!Z30&lt;&gt;""),IF(Programme_Grunddaten!Z30="Ja",1,0),"")</f>
        <v>0</v>
      </c>
      <c r="S22" s="1">
        <f>IF(AND(Programme_Grunddaten!$A30="Geprüft",Programme_Grunddaten!AA30&lt;&gt;""),IF(Programme_Grunddaten!AA30="monolithisch",1,0),"")</f>
        <v>0</v>
      </c>
      <c r="T22" s="1">
        <f>IF(AND(Programme_Grunddaten!$A30="Geprüft",Programme_Grunddaten!AB30&lt;&gt;""),IF(Programme_Grunddaten!AB30="Ja",1,0),"")</f>
        <v>1</v>
      </c>
      <c r="U22" s="1">
        <f>IF(AND(Programme_Grunddaten!$A30="Geprüft",Programme_Grunddaten!AC30&lt;&gt;""),IF(Programme_Grunddaten!AC30="Ja",1,0),"")</f>
        <v>1</v>
      </c>
      <c r="V22" s="1" t="str">
        <f>IF(AND(Programme_Grunddaten!$A30="Geprüft",Programme_Grunddaten!AD30&lt;&gt;""),IF(Programme_Grunddaten!AD30="Ja",1,0),"")</f>
        <v/>
      </c>
      <c r="W22" s="1" t="str">
        <f>IF(AND(Programme_Grunddaten!$A30="Geprüft",Programme_Grunddaten!AE30&lt;&gt;""),IF(Programme_Grunddaten!AE30="Ja",1,0),"")</f>
        <v/>
      </c>
      <c r="X22" s="1">
        <f>IF(AND(Programme_Grunddaten!$A30="Geprüft",Programme_Grunddaten!AF30&lt;&gt;""),IF(Programme_Grunddaten!AF30="Ja",1,0),"")</f>
        <v>1</v>
      </c>
      <c r="Y22" s="1" t="str">
        <f>IF(AND(Programme_Grunddaten!$A30="Geprüft",Programme_Grunddaten!AG30&lt;&gt;""),IF(Programme_Grunddaten!AG30="Ja",1,0),"")</f>
        <v/>
      </c>
      <c r="Z22" s="1" t="str">
        <f>IF(AND(Programme_Grunddaten!$A30="Geprüft",Programme_Grunddaten!AH30&lt;&gt;""),IF(Programme_Grunddaten!AH30="Ja",1,0),"")</f>
        <v/>
      </c>
      <c r="AA22" s="1">
        <f>IF(AND(Programme_Grunddaten!$A30="Geprüft",Programme_Grunddaten!AI30&lt;&gt;""),IF(Programme_Grunddaten!AI30="Ja",1,0),"")</f>
        <v>1</v>
      </c>
      <c r="AB22" s="1" t="str">
        <f>IF(AND(Programme_Grunddaten!$A30="Geprüft",Programme_Grunddaten!AJ30&lt;&gt;""),IF(Programme_Grunddaten!AJ30="individuell programmierbar",1,0),"")</f>
        <v/>
      </c>
      <c r="AC22" s="1" t="str">
        <f>IF(AND(Programme_Grunddaten!$A30="Geprüft",Programme_Grunddaten!AK30&lt;&gt;""),IF(Programme_Grunddaten!AK30="Deutsch",0,IF(Programme_Grunddaten!AK30="Deutsch und Englisch",1,2)),"")</f>
        <v/>
      </c>
      <c r="AD22" s="1">
        <f>IF(AND(Programme_Grunddaten!$A30="Geprüft",Programme_Grunddaten!AL30&lt;&gt;""),IF(Programme_Grunddaten!AL30="Ja",1,0),"")</f>
        <v>1</v>
      </c>
      <c r="AE22" s="1">
        <f>IF(AND(Programme_Grunddaten!$A30="Geprüft",Programme_Grunddaten!AM30&lt;&gt;""),IF(Programme_Grunddaten!AM30="Ja",1,0),"")</f>
        <v>0</v>
      </c>
      <c r="AF22" s="1" t="str">
        <f>IF(AND(Programme_Grunddaten!$A30="Geprüft",Programme_Grunddaten!AN30&lt;&gt;""),IF(Programme_Grunddaten!AN30="Ja",1,0),"")</f>
        <v/>
      </c>
      <c r="AG22" s="1" t="str">
        <f>IF(AND(Programme_Grunddaten!$A30="Geprüft",Programme_Grunddaten!AO30&lt;&gt;""),IF(Programme_Grunddaten!AO30="Ja",1,0),"")</f>
        <v/>
      </c>
      <c r="AH22" s="1" t="str">
        <f>IF(AND(Programme_Grunddaten!$A30="Geprüft",Programme_Grunddaten!AP30&lt;&gt;""),IF(Programme_Grunddaten!AP30="Ja",1,0),"")</f>
        <v/>
      </c>
      <c r="AI22" s="1">
        <f>IF(AND(Programme_Grunddaten!$A30="Geprüft",Programme_Grunddaten!AQ30&lt;&gt;""),IF(Programme_Grunddaten!AQ30="Ja",1,0),"")</f>
        <v>1</v>
      </c>
      <c r="AJ22" s="1" t="str">
        <f>IF(AND(Programme_Grunddaten!$A30="Geprüft",Programme_Grunddaten!AR30&lt;&gt;""),IF(Programme_Grunddaten!AR30="Ja",1,0),"")</f>
        <v/>
      </c>
      <c r="AK22" s="1" t="str">
        <f>IF(AND(Programme_Grunddaten!$A30="Geprüft",Programme_Grunddaten!AS30&lt;&gt;""),IF(Programme_Grunddaten!AS30="Ja",1,0),"")</f>
        <v/>
      </c>
      <c r="AL22" s="1" t="str">
        <f>IF(AND(Programme_Grunddaten!$A30="Geprüft",Programme_Grunddaten!AT30&lt;&gt;""),IF(Programme_Grunddaten!AT30="Ja",1,0),"")</f>
        <v/>
      </c>
      <c r="AM22" s="1" t="str">
        <f>IF(AND(Programme_Grunddaten!$A30="Geprüft",Programme_Grunddaten!AU30&lt;&gt;""),IF(Programme_Grunddaten!AU30="Ja",1,0),"")</f>
        <v/>
      </c>
      <c r="AN22" s="1" t="str">
        <f>IF(AND(Programme_Grunddaten!$A30="Geprüft",Programme_Grunddaten!AV30&lt;&gt;""),IF(Programme_Grunddaten!AV30="Ja",1,0),"")</f>
        <v/>
      </c>
    </row>
    <row r="23" spans="1:40" x14ac:dyDescent="0.3">
      <c r="A23" s="1" t="str">
        <f>IF(AND(Programme_Grunddaten!A31="Geprüft",Programme_Grunddaten!B31&lt;&gt;""),Programme_Grunddaten!B31,"")</f>
        <v>P22</v>
      </c>
      <c r="B23" s="1">
        <f>IF(AND(Programme_Grunddaten!$A31="Geprüft",Programme_Grunddaten!I31&lt;&gt;""),IF(Programme_Grunddaten!I31="Ja",1,0),"")</f>
        <v>0</v>
      </c>
      <c r="C23" s="1">
        <f>IF(AND(Programme_Grunddaten!$A31="Geprüft",Programme_Grunddaten!J31&lt;&gt;""),IF(Programme_Grunddaten!J31="Ja",1,0),"")</f>
        <v>1</v>
      </c>
      <c r="D23" s="1">
        <f>IF(AND(Programme_Grunddaten!$A31="Geprüft",Programme_Grunddaten!K31&lt;&gt;""),IF(Programme_Grunddaten!K31="Ja",1,0),"")</f>
        <v>0</v>
      </c>
      <c r="E23" s="1">
        <f>IF(AND(Programme_Grunddaten!$A31="Geprüft",Programme_Grunddaten!L31&lt;&gt;""),IF(Programme_Grunddaten!L31="Abo / befristete Lizenz",1,0),"")</f>
        <v>1</v>
      </c>
      <c r="F23" s="1">
        <f>IF(AND(Programme_Grunddaten!$A31="Geprüft",Programme_Grunddaten!M31&lt;&gt;""),IF(Programme_Grunddaten!M31="Ja",1,0),"")</f>
        <v>1</v>
      </c>
      <c r="G23" s="1">
        <f>IF(AND(Programme_Grunddaten!$A31="Geprüft",Programme_Grunddaten!N31&lt;&gt;""),IF(Programme_Grunddaten!N31="Ja",1,0),"")</f>
        <v>0</v>
      </c>
      <c r="H23" s="1">
        <f>IF(AND(Programme_Grunddaten!$A31="Geprüft",Programme_Grunddaten!O31&lt;&gt;""),IF(Programme_Grunddaten!O31="Deutschland",0,IF(Programme_Grunddaten!O31="EU",1,2)),"")</f>
        <v>1</v>
      </c>
      <c r="I23" s="1" t="str">
        <f>IF(AND(Programme_Grunddaten!$A31="Geprüft",Programme_Grunddaten!P31&lt;&gt;""),IF(Programme_Grunddaten!P31="Ja",1,0),"")</f>
        <v/>
      </c>
      <c r="J23" s="1">
        <f>IF(AND(Programme_Grunddaten!$A31="Geprüft",Programme_Grunddaten!Q31&lt;&gt;""),IF(Programme_Grunddaten!Q31="geschlossenes System",1,0),"")</f>
        <v>0</v>
      </c>
      <c r="K23" s="1">
        <f>IF(AND(Programme_Grunddaten!$A31="Geprüft",Programme_Grunddaten!R31&lt;&gt;""),IF(Programme_Grunddaten!R31="Ja",1,0),"")</f>
        <v>1</v>
      </c>
      <c r="L23" s="1">
        <f>IF(AND(Programme_Grunddaten!$A31="Geprüft",Programme_Grunddaten!T31&lt;&gt;""),IF(Programme_Grunddaten!T31="Ja",1,0),"")</f>
        <v>1</v>
      </c>
      <c r="M23" s="1">
        <f>IF(AND(Programme_Grunddaten!$A31="Geprüft",Programme_Grunddaten!U31&lt;&gt;""),IF(Programme_Grunddaten!U31="Ja",1,0),"")</f>
        <v>1</v>
      </c>
      <c r="N23" s="1" t="str">
        <f>IF(AND(Programme_Grunddaten!$A31="Geprüft",Programme_Grunddaten!V31&lt;&gt;""),IF(Programme_Grunddaten!V31="Ja",1,0),"")</f>
        <v/>
      </c>
      <c r="O23" s="1">
        <f>IF(AND(Programme_Grunddaten!$A31="Geprüft",Programme_Grunddaten!W31&lt;&gt;""),IF(Programme_Grunddaten!W31="Ja",1,0),"")</f>
        <v>1</v>
      </c>
      <c r="P23" s="1">
        <f>IF(AND(Programme_Grunddaten!$A31="Geprüft",Programme_Grunddaten!X31&lt;&gt;""),IF(Programme_Grunddaten!X31="Ja",1,0),"")</f>
        <v>1</v>
      </c>
      <c r="Q23" s="1" t="str">
        <f>IF(AND(Programme_Grunddaten!$A31="Geprüft",Programme_Grunddaten!Y31&lt;&gt;""),IF(Programme_Grunddaten!Y31="Ja",1,0),"")</f>
        <v/>
      </c>
      <c r="R23" s="1">
        <f>IF(AND(Programme_Grunddaten!$A31="Geprüft",Programme_Grunddaten!Z31&lt;&gt;""),IF(Programme_Grunddaten!Z31="Ja",1,0),"")</f>
        <v>0</v>
      </c>
      <c r="S23" s="1">
        <f>IF(AND(Programme_Grunddaten!$A31="Geprüft",Programme_Grunddaten!AA31&lt;&gt;""),IF(Programme_Grunddaten!AA31="monolithisch",1,0),"")</f>
        <v>0</v>
      </c>
      <c r="T23" s="1">
        <f>IF(AND(Programme_Grunddaten!$A31="Geprüft",Programme_Grunddaten!AB31&lt;&gt;""),IF(Programme_Grunddaten!AB31="Ja",1,0),"")</f>
        <v>1</v>
      </c>
      <c r="U23" s="1" t="str">
        <f>IF(AND(Programme_Grunddaten!$A31="Geprüft",Programme_Grunddaten!AC31&lt;&gt;""),IF(Programme_Grunddaten!AC31="Ja",1,0),"")</f>
        <v/>
      </c>
      <c r="V23" s="1" t="str">
        <f>IF(AND(Programme_Grunddaten!$A31="Geprüft",Programme_Grunddaten!AD31&lt;&gt;""),IF(Programme_Grunddaten!AD31="Ja",1,0),"")</f>
        <v/>
      </c>
      <c r="W23" s="1">
        <f>IF(AND(Programme_Grunddaten!$A31="Geprüft",Programme_Grunddaten!AE31&lt;&gt;""),IF(Programme_Grunddaten!AE31="Ja",1,0),"")</f>
        <v>1</v>
      </c>
      <c r="X23" s="1">
        <f>IF(AND(Programme_Grunddaten!$A31="Geprüft",Programme_Grunddaten!AF31&lt;&gt;""),IF(Programme_Grunddaten!AF31="Ja",1,0),"")</f>
        <v>1</v>
      </c>
      <c r="Y23" s="1">
        <f>IF(AND(Programme_Grunddaten!$A31="Geprüft",Programme_Grunddaten!AG31&lt;&gt;""),IF(Programme_Grunddaten!AG31="Ja",1,0),"")</f>
        <v>1</v>
      </c>
      <c r="Z23" s="1">
        <f>IF(AND(Programme_Grunddaten!$A31="Geprüft",Programme_Grunddaten!AH31&lt;&gt;""),IF(Programme_Grunddaten!AH31="Ja",1,0),"")</f>
        <v>1</v>
      </c>
      <c r="AA23" s="1">
        <f>IF(AND(Programme_Grunddaten!$A31="Geprüft",Programme_Grunddaten!AI31&lt;&gt;""),IF(Programme_Grunddaten!AI31="Ja",1,0),"")</f>
        <v>1</v>
      </c>
      <c r="AB23" s="1" t="str">
        <f>IF(AND(Programme_Grunddaten!$A31="Geprüft",Programme_Grunddaten!AJ31&lt;&gt;""),IF(Programme_Grunddaten!AJ31="individuell programmierbar",1,0),"")</f>
        <v/>
      </c>
      <c r="AC23" s="1">
        <f>IF(AND(Programme_Grunddaten!$A31="Geprüft",Programme_Grunddaten!AK31&lt;&gt;""),IF(Programme_Grunddaten!AK31="Deutsch",0,IF(Programme_Grunddaten!AK31="Deutsch und Englisch",1,2)),"")</f>
        <v>1</v>
      </c>
      <c r="AD23" s="1">
        <f>IF(AND(Programme_Grunddaten!$A31="Geprüft",Programme_Grunddaten!AL31&lt;&gt;""),IF(Programme_Grunddaten!AL31="Ja",1,0),"")</f>
        <v>1</v>
      </c>
      <c r="AE23" s="1">
        <f>IF(AND(Programme_Grunddaten!$A31="Geprüft",Programme_Grunddaten!AM31&lt;&gt;""),IF(Programme_Grunddaten!AM31="Ja",1,0),"")</f>
        <v>0</v>
      </c>
      <c r="AF23" s="1" t="str">
        <f>IF(AND(Programme_Grunddaten!$A31="Geprüft",Programme_Grunddaten!AN31&lt;&gt;""),IF(Programme_Grunddaten!AN31="Ja",1,0),"")</f>
        <v/>
      </c>
      <c r="AG23" s="1">
        <f>IF(AND(Programme_Grunddaten!$A31="Geprüft",Programme_Grunddaten!AO31&lt;&gt;""),IF(Programme_Grunddaten!AO31="Ja",1,0),"")</f>
        <v>0</v>
      </c>
      <c r="AH23" s="1" t="str">
        <f>IF(AND(Programme_Grunddaten!$A31="Geprüft",Programme_Grunddaten!AP31&lt;&gt;""),IF(Programme_Grunddaten!AP31="Ja",1,0),"")</f>
        <v/>
      </c>
      <c r="AI23" s="1">
        <f>IF(AND(Programme_Grunddaten!$A31="Geprüft",Programme_Grunddaten!AQ31&lt;&gt;""),IF(Programme_Grunddaten!AQ31="Ja",1,0),"")</f>
        <v>1</v>
      </c>
      <c r="AJ23" s="1">
        <f>IF(AND(Programme_Grunddaten!$A31="Geprüft",Programme_Grunddaten!AR31&lt;&gt;""),IF(Programme_Grunddaten!AR31="Ja",1,0),"")</f>
        <v>1</v>
      </c>
      <c r="AK23" s="1">
        <f>IF(AND(Programme_Grunddaten!$A31="Geprüft",Programme_Grunddaten!AS31&lt;&gt;""),IF(Programme_Grunddaten!AS31="Ja",1,0),"")</f>
        <v>1</v>
      </c>
      <c r="AL23" s="1" t="str">
        <f>IF(AND(Programme_Grunddaten!$A31="Geprüft",Programme_Grunddaten!AT31&lt;&gt;""),IF(Programme_Grunddaten!AT31="Ja",1,0),"")</f>
        <v/>
      </c>
      <c r="AM23" s="1" t="str">
        <f>IF(AND(Programme_Grunddaten!$A31="Geprüft",Programme_Grunddaten!AU31&lt;&gt;""),IF(Programme_Grunddaten!AU31="Ja",1,0),"")</f>
        <v/>
      </c>
      <c r="AN23" s="1">
        <f>IF(AND(Programme_Grunddaten!$A31="Geprüft",Programme_Grunddaten!AV31&lt;&gt;""),IF(Programme_Grunddaten!AV31="Ja",1,0),"")</f>
        <v>0</v>
      </c>
    </row>
    <row r="24" spans="1:40" x14ac:dyDescent="0.3">
      <c r="A24" s="1" t="str">
        <f>IF(AND(Programme_Grunddaten!A32="Geprüft",Programme_Grunddaten!B32&lt;&gt;""),Programme_Grunddaten!B32,"")</f>
        <v>P23</v>
      </c>
      <c r="B24" s="1">
        <f>IF(AND(Programme_Grunddaten!$A32="Geprüft",Programme_Grunddaten!I32&lt;&gt;""),IF(Programme_Grunddaten!I32="Ja",1,0),"")</f>
        <v>0</v>
      </c>
      <c r="C24" s="1">
        <f>IF(AND(Programme_Grunddaten!$A32="Geprüft",Programme_Grunddaten!J32&lt;&gt;""),IF(Programme_Grunddaten!J32="Ja",1,0),"")</f>
        <v>1</v>
      </c>
      <c r="D24" s="1">
        <f>IF(AND(Programme_Grunddaten!$A32="Geprüft",Programme_Grunddaten!K32&lt;&gt;""),IF(Programme_Grunddaten!K32="Ja",1,0),"")</f>
        <v>0</v>
      </c>
      <c r="E24" s="1">
        <f>IF(AND(Programme_Grunddaten!$A32="Geprüft",Programme_Grunddaten!L32&lt;&gt;""),IF(Programme_Grunddaten!L32="Abo / befristete Lizenz",1,0),"")</f>
        <v>1</v>
      </c>
      <c r="F24" s="1">
        <f>IF(AND(Programme_Grunddaten!$A32="Geprüft",Programme_Grunddaten!M32&lt;&gt;""),IF(Programme_Grunddaten!M32="Ja",1,0),"")</f>
        <v>0</v>
      </c>
      <c r="G24" s="1">
        <f>IF(AND(Programme_Grunddaten!$A32="Geprüft",Programme_Grunddaten!N32&lt;&gt;""),IF(Programme_Grunddaten!N32="Ja",1,0),"")</f>
        <v>1</v>
      </c>
      <c r="H24" s="1">
        <f>IF(AND(Programme_Grunddaten!$A32="Geprüft",Programme_Grunddaten!O32&lt;&gt;""),IF(Programme_Grunddaten!O32="Deutschland",0,IF(Programme_Grunddaten!O32="EU",1,2)),"")</f>
        <v>0</v>
      </c>
      <c r="I24" s="1" t="str">
        <f>IF(AND(Programme_Grunddaten!$A32="Geprüft",Programme_Grunddaten!P32&lt;&gt;""),IF(Programme_Grunddaten!P32="Ja",1,0),"")</f>
        <v/>
      </c>
      <c r="J24" s="1">
        <f>IF(AND(Programme_Grunddaten!$A32="Geprüft",Programme_Grunddaten!Q32&lt;&gt;""),IF(Programme_Grunddaten!Q32="geschlossenes System",1,0),"")</f>
        <v>0</v>
      </c>
      <c r="K24" s="1">
        <f>IF(AND(Programme_Grunddaten!$A32="Geprüft",Programme_Grunddaten!R32&lt;&gt;""),IF(Programme_Grunddaten!R32="Ja",1,0),"")</f>
        <v>1</v>
      </c>
      <c r="L24" s="1">
        <f>IF(AND(Programme_Grunddaten!$A32="Geprüft",Programme_Grunddaten!T32&lt;&gt;""),IF(Programme_Grunddaten!T32="Ja",1,0),"")</f>
        <v>1</v>
      </c>
      <c r="M24" s="1">
        <f>IF(AND(Programme_Grunddaten!$A32="Geprüft",Programme_Grunddaten!U32&lt;&gt;""),IF(Programme_Grunddaten!U32="Ja",1,0),"")</f>
        <v>1</v>
      </c>
      <c r="N24" s="1" t="str">
        <f>IF(AND(Programme_Grunddaten!$A32="Geprüft",Programme_Grunddaten!V32&lt;&gt;""),IF(Programme_Grunddaten!V32="Ja",1,0),"")</f>
        <v/>
      </c>
      <c r="O24" s="1" t="str">
        <f>IF(AND(Programme_Grunddaten!$A32="Geprüft",Programme_Grunddaten!W32&lt;&gt;""),IF(Programme_Grunddaten!W32="Ja",1,0),"")</f>
        <v/>
      </c>
      <c r="P24" s="1" t="str">
        <f>IF(AND(Programme_Grunddaten!$A32="Geprüft",Programme_Grunddaten!X32&lt;&gt;""),IF(Programme_Grunddaten!X32="Ja",1,0),"")</f>
        <v/>
      </c>
      <c r="Q24" s="1" t="str">
        <f>IF(AND(Programme_Grunddaten!$A32="Geprüft",Programme_Grunddaten!Y32&lt;&gt;""),IF(Programme_Grunddaten!Y32="Ja",1,0),"")</f>
        <v/>
      </c>
      <c r="R24" s="1">
        <f>IF(AND(Programme_Grunddaten!$A32="Geprüft",Programme_Grunddaten!Z32&lt;&gt;""),IF(Programme_Grunddaten!Z32="Ja",1,0),"")</f>
        <v>1</v>
      </c>
      <c r="S24" s="1">
        <f>IF(AND(Programme_Grunddaten!$A32="Geprüft",Programme_Grunddaten!AA32&lt;&gt;""),IF(Programme_Grunddaten!AA32="monolithisch",1,0),"")</f>
        <v>1</v>
      </c>
      <c r="T24" s="1">
        <f>IF(AND(Programme_Grunddaten!$A32="Geprüft",Programme_Grunddaten!AB32&lt;&gt;""),IF(Programme_Grunddaten!AB32="Ja",1,0),"")</f>
        <v>1</v>
      </c>
      <c r="U24" s="1" t="str">
        <f>IF(AND(Programme_Grunddaten!$A32="Geprüft",Programme_Grunddaten!AC32&lt;&gt;""),IF(Programme_Grunddaten!AC32="Ja",1,0),"")</f>
        <v/>
      </c>
      <c r="V24" s="1" t="str">
        <f>IF(AND(Programme_Grunddaten!$A32="Geprüft",Programme_Grunddaten!AD32&lt;&gt;""),IF(Programme_Grunddaten!AD32="Ja",1,0),"")</f>
        <v/>
      </c>
      <c r="W24" s="1" t="str">
        <f>IF(AND(Programme_Grunddaten!$A32="Geprüft",Programme_Grunddaten!AE32&lt;&gt;""),IF(Programme_Grunddaten!AE32="Ja",1,0),"")</f>
        <v/>
      </c>
      <c r="X24" s="1">
        <f>IF(AND(Programme_Grunddaten!$A32="Geprüft",Programme_Grunddaten!AF32&lt;&gt;""),IF(Programme_Grunddaten!AF32="Ja",1,0),"")</f>
        <v>1</v>
      </c>
      <c r="Y24" s="1" t="str">
        <f>IF(AND(Programme_Grunddaten!$A32="Geprüft",Programme_Grunddaten!AG32&lt;&gt;""),IF(Programme_Grunddaten!AG32="Ja",1,0),"")</f>
        <v/>
      </c>
      <c r="Z24" s="1" t="str">
        <f>IF(AND(Programme_Grunddaten!$A32="Geprüft",Programme_Grunddaten!AH32&lt;&gt;""),IF(Programme_Grunddaten!AH32="Ja",1,0),"")</f>
        <v/>
      </c>
      <c r="AA24" s="1">
        <f>IF(AND(Programme_Grunddaten!$A32="Geprüft",Programme_Grunddaten!AI32&lt;&gt;""),IF(Programme_Grunddaten!AI32="Ja",1,0),"")</f>
        <v>1</v>
      </c>
      <c r="AB24" s="1" t="str">
        <f>IF(AND(Programme_Grunddaten!$A32="Geprüft",Programme_Grunddaten!AJ32&lt;&gt;""),IF(Programme_Grunddaten!AJ32="individuell programmierbar",1,0),"")</f>
        <v/>
      </c>
      <c r="AC24" s="1">
        <f>IF(AND(Programme_Grunddaten!$A32="Geprüft",Programme_Grunddaten!AK32&lt;&gt;""),IF(Programme_Grunddaten!AK32="Deutsch",0,IF(Programme_Grunddaten!AK32="Deutsch und Englisch",1,2)),"")</f>
        <v>0</v>
      </c>
      <c r="AD24" s="1">
        <f>IF(AND(Programme_Grunddaten!$A32="Geprüft",Programme_Grunddaten!AL32&lt;&gt;""),IF(Programme_Grunddaten!AL32="Ja",1,0),"")</f>
        <v>1</v>
      </c>
      <c r="AE24" s="1">
        <f>IF(AND(Programme_Grunddaten!$A32="Geprüft",Programme_Grunddaten!AM32&lt;&gt;""),IF(Programme_Grunddaten!AM32="Ja",1,0),"")</f>
        <v>0</v>
      </c>
      <c r="AF24" s="1" t="str">
        <f>IF(AND(Programme_Grunddaten!$A32="Geprüft",Programme_Grunddaten!AN32&lt;&gt;""),IF(Programme_Grunddaten!AN32="Ja",1,0),"")</f>
        <v/>
      </c>
      <c r="AG24" s="1">
        <f>IF(AND(Programme_Grunddaten!$A32="Geprüft",Programme_Grunddaten!AO32&lt;&gt;""),IF(Programme_Grunddaten!AO32="Ja",1,0),"")</f>
        <v>0</v>
      </c>
      <c r="AH24" s="1" t="str">
        <f>IF(AND(Programme_Grunddaten!$A32="Geprüft",Programme_Grunddaten!AP32&lt;&gt;""),IF(Programme_Grunddaten!AP32="Ja",1,0),"")</f>
        <v/>
      </c>
      <c r="AI24" s="1">
        <f>IF(AND(Programme_Grunddaten!$A32="Geprüft",Programme_Grunddaten!AQ32&lt;&gt;""),IF(Programme_Grunddaten!AQ32="Ja",1,0),"")</f>
        <v>1</v>
      </c>
      <c r="AJ24" s="1" t="str">
        <f>IF(AND(Programme_Grunddaten!$A32="Geprüft",Programme_Grunddaten!AR32&lt;&gt;""),IF(Programme_Grunddaten!AR32="Ja",1,0),"")</f>
        <v/>
      </c>
      <c r="AK24" s="1" t="str">
        <f>IF(AND(Programme_Grunddaten!$A32="Geprüft",Programme_Grunddaten!AS32&lt;&gt;""),IF(Programme_Grunddaten!AS32="Ja",1,0),"")</f>
        <v/>
      </c>
      <c r="AL24" s="1" t="str">
        <f>IF(AND(Programme_Grunddaten!$A32="Geprüft",Programme_Grunddaten!AT32&lt;&gt;""),IF(Programme_Grunddaten!AT32="Ja",1,0),"")</f>
        <v/>
      </c>
      <c r="AM24" s="1" t="str">
        <f>IF(AND(Programme_Grunddaten!$A32="Geprüft",Programme_Grunddaten!AU32&lt;&gt;""),IF(Programme_Grunddaten!AU32="Ja",1,0),"")</f>
        <v/>
      </c>
      <c r="AN24" s="1" t="str">
        <f>IF(AND(Programme_Grunddaten!$A32="Geprüft",Programme_Grunddaten!AV32&lt;&gt;""),IF(Programme_Grunddaten!AV32="Ja",1,0),"")</f>
        <v/>
      </c>
    </row>
    <row r="25" spans="1:40" x14ac:dyDescent="0.3">
      <c r="A25" s="1" t="str">
        <f>IF(AND(Programme_Grunddaten!A33="Geprüft",Programme_Grunddaten!B33&lt;&gt;""),Programme_Grunddaten!B33,"")</f>
        <v>P24</v>
      </c>
      <c r="B25" s="1">
        <f>IF(AND(Programme_Grunddaten!$A33="Geprüft",Programme_Grunddaten!I33&lt;&gt;""),IF(Programme_Grunddaten!I33="Ja",1,0),"")</f>
        <v>0</v>
      </c>
      <c r="C25" s="1">
        <f>IF(AND(Programme_Grunddaten!$A33="Geprüft",Programme_Grunddaten!J33&lt;&gt;""),IF(Programme_Grunddaten!J33="Ja",1,0),"")</f>
        <v>1</v>
      </c>
      <c r="D25" s="1">
        <f>IF(AND(Programme_Grunddaten!$A33="Geprüft",Programme_Grunddaten!K33&lt;&gt;""),IF(Programme_Grunddaten!K33="Ja",1,0),"")</f>
        <v>1</v>
      </c>
      <c r="E25" s="1">
        <f>IF(AND(Programme_Grunddaten!$A33="Geprüft",Programme_Grunddaten!L33&lt;&gt;""),IF(Programme_Grunddaten!L33="Abo / befristete Lizenz",1,0),"")</f>
        <v>1</v>
      </c>
      <c r="F25" s="1">
        <f>IF(AND(Programme_Grunddaten!$A33="Geprüft",Programme_Grunddaten!M33&lt;&gt;""),IF(Programme_Grunddaten!M33="Ja",1,0),"")</f>
        <v>0</v>
      </c>
      <c r="G25" s="1">
        <f>IF(AND(Programme_Grunddaten!$A33="Geprüft",Programme_Grunddaten!N33&lt;&gt;""),IF(Programme_Grunddaten!N33="Ja",1,0),"")</f>
        <v>1</v>
      </c>
      <c r="H25" s="1" t="str">
        <f>IF(AND(Programme_Grunddaten!$A33="Geprüft",Programme_Grunddaten!O33&lt;&gt;""),IF(Programme_Grunddaten!O33="Deutschland",0,IF(Programme_Grunddaten!O33="EU",1,2)),"")</f>
        <v/>
      </c>
      <c r="I25" s="1" t="str">
        <f>IF(AND(Programme_Grunddaten!$A33="Geprüft",Programme_Grunddaten!P33&lt;&gt;""),IF(Programme_Grunddaten!P33="Ja",1,0),"")</f>
        <v/>
      </c>
      <c r="J25" s="1">
        <f>IF(AND(Programme_Grunddaten!$A33="Geprüft",Programme_Grunddaten!Q33&lt;&gt;""),IF(Programme_Grunddaten!Q33="geschlossenes System",1,0),"")</f>
        <v>0</v>
      </c>
      <c r="K25" s="1">
        <f>IF(AND(Programme_Grunddaten!$A33="Geprüft",Programme_Grunddaten!R33&lt;&gt;""),IF(Programme_Grunddaten!R33="Ja",1,0),"")</f>
        <v>1</v>
      </c>
      <c r="L25" s="1">
        <f>IF(AND(Programme_Grunddaten!$A33="Geprüft",Programme_Grunddaten!T33&lt;&gt;""),IF(Programme_Grunddaten!T33="Ja",1,0),"")</f>
        <v>1</v>
      </c>
      <c r="M25" s="1">
        <f>IF(AND(Programme_Grunddaten!$A33="Geprüft",Programme_Grunddaten!U33&lt;&gt;""),IF(Programme_Grunddaten!U33="Ja",1,0),"")</f>
        <v>1</v>
      </c>
      <c r="N25" s="1">
        <f>IF(AND(Programme_Grunddaten!$A33="Geprüft",Programme_Grunddaten!V33&lt;&gt;""),IF(Programme_Grunddaten!V33="Ja",1,0),"")</f>
        <v>1</v>
      </c>
      <c r="O25" s="1">
        <f>IF(AND(Programme_Grunddaten!$A33="Geprüft",Programme_Grunddaten!W33&lt;&gt;""),IF(Programme_Grunddaten!W33="Ja",1,0),"")</f>
        <v>1</v>
      </c>
      <c r="P25" s="1">
        <f>IF(AND(Programme_Grunddaten!$A33="Geprüft",Programme_Grunddaten!X33&lt;&gt;""),IF(Programme_Grunddaten!X33="Ja",1,0),"")</f>
        <v>1</v>
      </c>
      <c r="Q25" s="1" t="str">
        <f>IF(AND(Programme_Grunddaten!$A33="Geprüft",Programme_Grunddaten!Y33&lt;&gt;""),IF(Programme_Grunddaten!Y33="Ja",1,0),"")</f>
        <v/>
      </c>
      <c r="R25" s="1">
        <f>IF(AND(Programme_Grunddaten!$A33="Geprüft",Programme_Grunddaten!Z33&lt;&gt;""),IF(Programme_Grunddaten!Z33="Ja",1,0),"")</f>
        <v>0</v>
      </c>
      <c r="S25" s="1">
        <f>IF(AND(Programme_Grunddaten!$A33="Geprüft",Programme_Grunddaten!AA33&lt;&gt;""),IF(Programme_Grunddaten!AA33="monolithisch",1,0),"")</f>
        <v>0</v>
      </c>
      <c r="T25" s="1">
        <f>IF(AND(Programme_Grunddaten!$A33="Geprüft",Programme_Grunddaten!AB33&lt;&gt;""),IF(Programme_Grunddaten!AB33="Ja",1,0),"")</f>
        <v>1</v>
      </c>
      <c r="U25" s="1">
        <f>IF(AND(Programme_Grunddaten!$A33="Geprüft",Programme_Grunddaten!AC33&lt;&gt;""),IF(Programme_Grunddaten!AC33="Ja",1,0),"")</f>
        <v>1</v>
      </c>
      <c r="V25" s="1" t="str">
        <f>IF(AND(Programme_Grunddaten!$A33="Geprüft",Programme_Grunddaten!AD33&lt;&gt;""),IF(Programme_Grunddaten!AD33="Ja",1,0),"")</f>
        <v/>
      </c>
      <c r="W25" s="1">
        <f>IF(AND(Programme_Grunddaten!$A33="Geprüft",Programme_Grunddaten!AE33&lt;&gt;""),IF(Programme_Grunddaten!AE33="Ja",1,0),"")</f>
        <v>1</v>
      </c>
      <c r="X25" s="1">
        <f>IF(AND(Programme_Grunddaten!$A33="Geprüft",Programme_Grunddaten!AF33&lt;&gt;""),IF(Programme_Grunddaten!AF33="Ja",1,0),"")</f>
        <v>1</v>
      </c>
      <c r="Y25" s="1">
        <f>IF(AND(Programme_Grunddaten!$A33="Geprüft",Programme_Grunddaten!AG33&lt;&gt;""),IF(Programme_Grunddaten!AG33="Ja",1,0),"")</f>
        <v>1</v>
      </c>
      <c r="Z25" s="1" t="str">
        <f>IF(AND(Programme_Grunddaten!$A33="Geprüft",Programme_Grunddaten!AH33&lt;&gt;""),IF(Programme_Grunddaten!AH33="Ja",1,0),"")</f>
        <v/>
      </c>
      <c r="AA25" s="1">
        <f>IF(AND(Programme_Grunddaten!$A33="Geprüft",Programme_Grunddaten!AI33&lt;&gt;""),IF(Programme_Grunddaten!AI33="Ja",1,0),"")</f>
        <v>1</v>
      </c>
      <c r="AB25" s="1" t="str">
        <f>IF(AND(Programme_Grunddaten!$A33="Geprüft",Programme_Grunddaten!AJ33&lt;&gt;""),IF(Programme_Grunddaten!AJ33="individuell programmierbar",1,0),"")</f>
        <v/>
      </c>
      <c r="AC25" s="1" t="str">
        <f>IF(AND(Programme_Grunddaten!$A33="Geprüft",Programme_Grunddaten!AK33&lt;&gt;""),IF(Programme_Grunddaten!AK33="Deutsch",0,IF(Programme_Grunddaten!AK33="Deutsch und Englisch",1,2)),"")</f>
        <v/>
      </c>
      <c r="AD25" s="1">
        <f>IF(AND(Programme_Grunddaten!$A33="Geprüft",Programme_Grunddaten!AL33&lt;&gt;""),IF(Programme_Grunddaten!AL33="Ja",1,0),"")</f>
        <v>1</v>
      </c>
      <c r="AE25" s="1">
        <f>IF(AND(Programme_Grunddaten!$A33="Geprüft",Programme_Grunddaten!AM33&lt;&gt;""),IF(Programme_Grunddaten!AM33="Ja",1,0),"")</f>
        <v>0</v>
      </c>
      <c r="AF25" s="1" t="str">
        <f>IF(AND(Programme_Grunddaten!$A33="Geprüft",Programme_Grunddaten!AN33&lt;&gt;""),IF(Programme_Grunddaten!AN33="Ja",1,0),"")</f>
        <v/>
      </c>
      <c r="AG25" s="1" t="str">
        <f>IF(AND(Programme_Grunddaten!$A33="Geprüft",Programme_Grunddaten!AO33&lt;&gt;""),IF(Programme_Grunddaten!AO33="Ja",1,0),"")</f>
        <v/>
      </c>
      <c r="AH25" s="1" t="str">
        <f>IF(AND(Programme_Grunddaten!$A33="Geprüft",Programme_Grunddaten!AP33&lt;&gt;""),IF(Programme_Grunddaten!AP33="Ja",1,0),"")</f>
        <v/>
      </c>
      <c r="AI25" s="1">
        <f>IF(AND(Programme_Grunddaten!$A33="Geprüft",Programme_Grunddaten!AQ33&lt;&gt;""),IF(Programme_Grunddaten!AQ33="Ja",1,0),"")</f>
        <v>1</v>
      </c>
      <c r="AJ25" s="1" t="str">
        <f>IF(AND(Programme_Grunddaten!$A33="Geprüft",Programme_Grunddaten!AR33&lt;&gt;""),IF(Programme_Grunddaten!AR33="Ja",1,0),"")</f>
        <v/>
      </c>
      <c r="AK25" s="1" t="str">
        <f>IF(AND(Programme_Grunddaten!$A33="Geprüft",Programme_Grunddaten!AS33&lt;&gt;""),IF(Programme_Grunddaten!AS33="Ja",1,0),"")</f>
        <v/>
      </c>
      <c r="AL25" s="1" t="str">
        <f>IF(AND(Programme_Grunddaten!$A33="Geprüft",Programme_Grunddaten!AT33&lt;&gt;""),IF(Programme_Grunddaten!AT33="Ja",1,0),"")</f>
        <v/>
      </c>
      <c r="AM25" s="1">
        <f>IF(AND(Programme_Grunddaten!$A33="Geprüft",Programme_Grunddaten!AU33&lt;&gt;""),IF(Programme_Grunddaten!AU33="Ja",1,0),"")</f>
        <v>1</v>
      </c>
      <c r="AN25" s="1" t="str">
        <f>IF(AND(Programme_Grunddaten!$A33="Geprüft",Programme_Grunddaten!AV33&lt;&gt;""),IF(Programme_Grunddaten!AV33="Ja",1,0),"")</f>
        <v/>
      </c>
    </row>
    <row r="26" spans="1:40" x14ac:dyDescent="0.3">
      <c r="A26" s="1" t="str">
        <f>IF(AND(Programme_Grunddaten!A34="Geprüft",Programme_Grunddaten!B34&lt;&gt;""),Programme_Grunddaten!B34,"")</f>
        <v>P25</v>
      </c>
      <c r="B26" s="1">
        <f>IF(AND(Programme_Grunddaten!$A34="Geprüft",Programme_Grunddaten!I34&lt;&gt;""),IF(Programme_Grunddaten!I34="Ja",1,0),"")</f>
        <v>0</v>
      </c>
      <c r="C26" s="1">
        <f>IF(AND(Programme_Grunddaten!$A34="Geprüft",Programme_Grunddaten!J34&lt;&gt;""),IF(Programme_Grunddaten!J34="Ja",1,0),"")</f>
        <v>1</v>
      </c>
      <c r="D26" s="1" t="str">
        <f>IF(AND(Programme_Grunddaten!$A34="Geprüft",Programme_Grunddaten!K34&lt;&gt;""),IF(Programme_Grunddaten!K34="Ja",1,0),"")</f>
        <v/>
      </c>
      <c r="E26" s="1" t="str">
        <f>IF(AND(Programme_Grunddaten!$A34="Geprüft",Programme_Grunddaten!L34&lt;&gt;""),IF(Programme_Grunddaten!L34="Abo / befristete Lizenz",1,0),"")</f>
        <v/>
      </c>
      <c r="F26" s="1">
        <f>IF(AND(Programme_Grunddaten!$A34="Geprüft",Programme_Grunddaten!M34&lt;&gt;""),IF(Programme_Grunddaten!M34="Ja",1,0),"")</f>
        <v>1</v>
      </c>
      <c r="G26" s="1">
        <f>IF(AND(Programme_Grunddaten!$A34="Geprüft",Programme_Grunddaten!N34&lt;&gt;""),IF(Programme_Grunddaten!N34="Ja",1,0),"")</f>
        <v>0</v>
      </c>
      <c r="H26" s="1" t="str">
        <f>IF(AND(Programme_Grunddaten!$A34="Geprüft",Programme_Grunddaten!O34&lt;&gt;""),IF(Programme_Grunddaten!O34="Deutschland",0,IF(Programme_Grunddaten!O34="EU",1,2)),"")</f>
        <v/>
      </c>
      <c r="I26" s="1" t="str">
        <f>IF(AND(Programme_Grunddaten!$A34="Geprüft",Programme_Grunddaten!P34&lt;&gt;""),IF(Programme_Grunddaten!P34="Ja",1,0),"")</f>
        <v/>
      </c>
      <c r="J26" s="1">
        <f>IF(AND(Programme_Grunddaten!$A34="Geprüft",Programme_Grunddaten!Q34&lt;&gt;""),IF(Programme_Grunddaten!Q34="geschlossenes System",1,0),"")</f>
        <v>0</v>
      </c>
      <c r="K26" s="1">
        <f>IF(AND(Programme_Grunddaten!$A34="Geprüft",Programme_Grunddaten!R34&lt;&gt;""),IF(Programme_Grunddaten!R34="Ja",1,0),"")</f>
        <v>1</v>
      </c>
      <c r="L26" s="1">
        <f>IF(AND(Programme_Grunddaten!$A34="Geprüft",Programme_Grunddaten!T34&lt;&gt;""),IF(Programme_Grunddaten!T34="Ja",1,0),"")</f>
        <v>1</v>
      </c>
      <c r="M26" s="1" t="str">
        <f>IF(AND(Programme_Grunddaten!$A34="Geprüft",Programme_Grunddaten!U34&lt;&gt;""),IF(Programme_Grunddaten!U34="Ja",1,0),"")</f>
        <v/>
      </c>
      <c r="N26" s="1">
        <f>IF(AND(Programme_Grunddaten!$A34="Geprüft",Programme_Grunddaten!V34&lt;&gt;""),IF(Programme_Grunddaten!V34="Ja",1,0),"")</f>
        <v>1</v>
      </c>
      <c r="O26" s="1" t="str">
        <f>IF(AND(Programme_Grunddaten!$A34="Geprüft",Programme_Grunddaten!W34&lt;&gt;""),IF(Programme_Grunddaten!W34="Ja",1,0),"")</f>
        <v/>
      </c>
      <c r="P26" s="1" t="str">
        <f>IF(AND(Programme_Grunddaten!$A34="Geprüft",Programme_Grunddaten!X34&lt;&gt;""),IF(Programme_Grunddaten!X34="Ja",1,0),"")</f>
        <v/>
      </c>
      <c r="Q26" s="1" t="str">
        <f>IF(AND(Programme_Grunddaten!$A34="Geprüft",Programme_Grunddaten!Y34&lt;&gt;""),IF(Programme_Grunddaten!Y34="Ja",1,0),"")</f>
        <v/>
      </c>
      <c r="R26" s="1">
        <f>IF(AND(Programme_Grunddaten!$A34="Geprüft",Programme_Grunddaten!Z34&lt;&gt;""),IF(Programme_Grunddaten!Z34="Ja",1,0),"")</f>
        <v>1</v>
      </c>
      <c r="S26" s="1">
        <f>IF(AND(Programme_Grunddaten!$A34="Geprüft",Programme_Grunddaten!AA34&lt;&gt;""),IF(Programme_Grunddaten!AA34="monolithisch",1,0),"")</f>
        <v>0</v>
      </c>
      <c r="T26" s="1">
        <f>IF(AND(Programme_Grunddaten!$A34="Geprüft",Programme_Grunddaten!AB34&lt;&gt;""),IF(Programme_Grunddaten!AB34="Ja",1,0),"")</f>
        <v>1</v>
      </c>
      <c r="U26" s="1" t="str">
        <f>IF(AND(Programme_Grunddaten!$A34="Geprüft",Programme_Grunddaten!AC34&lt;&gt;""),IF(Programme_Grunddaten!AC34="Ja",1,0),"")</f>
        <v/>
      </c>
      <c r="V26" s="1" t="str">
        <f>IF(AND(Programme_Grunddaten!$A34="Geprüft",Programme_Grunddaten!AD34&lt;&gt;""),IF(Programme_Grunddaten!AD34="Ja",1,0),"")</f>
        <v/>
      </c>
      <c r="W26" s="1" t="str">
        <f>IF(AND(Programme_Grunddaten!$A34="Geprüft",Programme_Grunddaten!AE34&lt;&gt;""),IF(Programme_Grunddaten!AE34="Ja",1,0),"")</f>
        <v/>
      </c>
      <c r="X26" s="1" t="str">
        <f>IF(AND(Programme_Grunddaten!$A34="Geprüft",Programme_Grunddaten!AF34&lt;&gt;""),IF(Programme_Grunddaten!AF34="Ja",1,0),"")</f>
        <v/>
      </c>
      <c r="Y26" s="1">
        <f>IF(AND(Programme_Grunddaten!$A34="Geprüft",Programme_Grunddaten!AG34&lt;&gt;""),IF(Programme_Grunddaten!AG34="Ja",1,0),"")</f>
        <v>1</v>
      </c>
      <c r="Z26" s="1" t="str">
        <f>IF(AND(Programme_Grunddaten!$A34="Geprüft",Programme_Grunddaten!AH34&lt;&gt;""),IF(Programme_Grunddaten!AH34="Ja",1,0),"")</f>
        <v/>
      </c>
      <c r="AA26" s="1" t="str">
        <f>IF(AND(Programme_Grunddaten!$A34="Geprüft",Programme_Grunddaten!AI34&lt;&gt;""),IF(Programme_Grunddaten!AI34="Ja",1,0),"")</f>
        <v/>
      </c>
      <c r="AB26" s="1" t="str">
        <f>IF(AND(Programme_Grunddaten!$A34="Geprüft",Programme_Grunddaten!AJ34&lt;&gt;""),IF(Programme_Grunddaten!AJ34="individuell programmierbar",1,0),"")</f>
        <v/>
      </c>
      <c r="AC26" s="1">
        <f>IF(AND(Programme_Grunddaten!$A34="Geprüft",Programme_Grunddaten!AK34&lt;&gt;""),IF(Programme_Grunddaten!AK34="Deutsch",0,IF(Programme_Grunddaten!AK34="Deutsch und Englisch",1,2)),"")</f>
        <v>0</v>
      </c>
      <c r="AD26" s="1">
        <f>IF(AND(Programme_Grunddaten!$A34="Geprüft",Programme_Grunddaten!AL34&lt;&gt;""),IF(Programme_Grunddaten!AL34="Ja",1,0),"")</f>
        <v>1</v>
      </c>
      <c r="AE26" s="1">
        <f>IF(AND(Programme_Grunddaten!$A34="Geprüft",Programme_Grunddaten!AM34&lt;&gt;""),IF(Programme_Grunddaten!AM34="Ja",1,0),"")</f>
        <v>0</v>
      </c>
      <c r="AF26" s="1" t="str">
        <f>IF(AND(Programme_Grunddaten!$A34="Geprüft",Programme_Grunddaten!AN34&lt;&gt;""),IF(Programme_Grunddaten!AN34="Ja",1,0),"")</f>
        <v/>
      </c>
      <c r="AG26" s="1">
        <f>IF(AND(Programme_Grunddaten!$A34="Geprüft",Programme_Grunddaten!AO34&lt;&gt;""),IF(Programme_Grunddaten!AO34="Ja",1,0),"")</f>
        <v>0</v>
      </c>
      <c r="AH26" s="1" t="str">
        <f>IF(AND(Programme_Grunddaten!$A34="Geprüft",Programme_Grunddaten!AP34&lt;&gt;""),IF(Programme_Grunddaten!AP34="Ja",1,0),"")</f>
        <v/>
      </c>
      <c r="AI26" s="1">
        <f>IF(AND(Programme_Grunddaten!$A34="Geprüft",Programme_Grunddaten!AQ34&lt;&gt;""),IF(Programme_Grunddaten!AQ34="Ja",1,0),"")</f>
        <v>1</v>
      </c>
      <c r="AJ26" s="1">
        <f>IF(AND(Programme_Grunddaten!$A34="Geprüft",Programme_Grunddaten!AR34&lt;&gt;""),IF(Programme_Grunddaten!AR34="Ja",1,0),"")</f>
        <v>1</v>
      </c>
      <c r="AK26" s="1" t="str">
        <f>IF(AND(Programme_Grunddaten!$A34="Geprüft",Programme_Grunddaten!AS34&lt;&gt;""),IF(Programme_Grunddaten!AS34="Ja",1,0),"")</f>
        <v/>
      </c>
      <c r="AL26" s="1" t="str">
        <f>IF(AND(Programme_Grunddaten!$A34="Geprüft",Programme_Grunddaten!AT34&lt;&gt;""),IF(Programme_Grunddaten!AT34="Ja",1,0),"")</f>
        <v/>
      </c>
      <c r="AM26" s="1" t="str">
        <f>IF(AND(Programme_Grunddaten!$A34="Geprüft",Programme_Grunddaten!AU34&lt;&gt;""),IF(Programme_Grunddaten!AU34="Ja",1,0),"")</f>
        <v/>
      </c>
      <c r="AN26" s="1" t="str">
        <f>IF(AND(Programme_Grunddaten!$A34="Geprüft",Programme_Grunddaten!AV34&lt;&gt;""),IF(Programme_Grunddaten!AV34="Ja",1,0),"")</f>
        <v/>
      </c>
    </row>
    <row r="27" spans="1:40" x14ac:dyDescent="0.3">
      <c r="A27" s="1" t="str">
        <f>IF(AND(Programme_Grunddaten!A35="Geprüft",Programme_Grunddaten!B35&lt;&gt;""),Programme_Grunddaten!B35,"")</f>
        <v>P26</v>
      </c>
      <c r="B27" s="1">
        <f>IF(AND(Programme_Grunddaten!$A35="Geprüft",Programme_Grunddaten!I35&lt;&gt;""),IF(Programme_Grunddaten!I35="Ja",1,0),"")</f>
        <v>0</v>
      </c>
      <c r="C27" s="1">
        <f>IF(AND(Programme_Grunddaten!$A35="Geprüft",Programme_Grunddaten!J35&lt;&gt;""),IF(Programme_Grunddaten!J35="Ja",1,0),"")</f>
        <v>1</v>
      </c>
      <c r="D27" s="1">
        <f>IF(AND(Programme_Grunddaten!$A35="Geprüft",Programme_Grunddaten!K35&lt;&gt;""),IF(Programme_Grunddaten!K35="Ja",1,0),"")</f>
        <v>1</v>
      </c>
      <c r="E27" s="1" t="str">
        <f>IF(AND(Programme_Grunddaten!$A35="Geprüft",Programme_Grunddaten!L35&lt;&gt;""),IF(Programme_Grunddaten!L35="Abo / befristete Lizenz",1,0),"")</f>
        <v/>
      </c>
      <c r="F27" s="1">
        <f>IF(AND(Programme_Grunddaten!$A35="Geprüft",Programme_Grunddaten!M35&lt;&gt;""),IF(Programme_Grunddaten!M35="Ja",1,0),"")</f>
        <v>0</v>
      </c>
      <c r="G27" s="1">
        <f>IF(AND(Programme_Grunddaten!$A35="Geprüft",Programme_Grunddaten!N35&lt;&gt;""),IF(Programme_Grunddaten!N35="Ja",1,0),"")</f>
        <v>1</v>
      </c>
      <c r="H27" s="1" t="str">
        <f>IF(AND(Programme_Grunddaten!$A35="Geprüft",Programme_Grunddaten!O35&lt;&gt;""),IF(Programme_Grunddaten!O35="Deutschland",0,IF(Programme_Grunddaten!O35="EU",1,2)),"")</f>
        <v/>
      </c>
      <c r="I27" s="1" t="str">
        <f>IF(AND(Programme_Grunddaten!$A35="Geprüft",Programme_Grunddaten!P35&lt;&gt;""),IF(Programme_Grunddaten!P35="Ja",1,0),"")</f>
        <v/>
      </c>
      <c r="J27" s="1">
        <f>IF(AND(Programme_Grunddaten!$A35="Geprüft",Programme_Grunddaten!Q35&lt;&gt;""),IF(Programme_Grunddaten!Q35="geschlossenes System",1,0),"")</f>
        <v>0</v>
      </c>
      <c r="K27" s="1" t="str">
        <f>IF(AND(Programme_Grunddaten!$A35="Geprüft",Programme_Grunddaten!R35&lt;&gt;""),IF(Programme_Grunddaten!R35="Ja",1,0),"")</f>
        <v/>
      </c>
      <c r="L27" s="1">
        <f>IF(AND(Programme_Grunddaten!$A35="Geprüft",Programme_Grunddaten!T35&lt;&gt;""),IF(Programme_Grunddaten!T35="Ja",1,0),"")</f>
        <v>1</v>
      </c>
      <c r="M27" s="1" t="str">
        <f>IF(AND(Programme_Grunddaten!$A35="Geprüft",Programme_Grunddaten!U35&lt;&gt;""),IF(Programme_Grunddaten!U35="Ja",1,0),"")</f>
        <v/>
      </c>
      <c r="N27" s="1" t="str">
        <f>IF(AND(Programme_Grunddaten!$A35="Geprüft",Programme_Grunddaten!V35&lt;&gt;""),IF(Programme_Grunddaten!V35="Ja",1,0),"")</f>
        <v/>
      </c>
      <c r="O27" s="1" t="str">
        <f>IF(AND(Programme_Grunddaten!$A35="Geprüft",Programme_Grunddaten!W35&lt;&gt;""),IF(Programme_Grunddaten!W35="Ja",1,0),"")</f>
        <v/>
      </c>
      <c r="P27" s="1">
        <f>IF(AND(Programme_Grunddaten!$A35="Geprüft",Programme_Grunddaten!X35&lt;&gt;""),IF(Programme_Grunddaten!X35="Ja",1,0),"")</f>
        <v>1</v>
      </c>
      <c r="Q27" s="1" t="str">
        <f>IF(AND(Programme_Grunddaten!$A35="Geprüft",Programme_Grunddaten!Y35&lt;&gt;""),IF(Programme_Grunddaten!Y35="Ja",1,0),"")</f>
        <v/>
      </c>
      <c r="R27" s="1">
        <f>IF(AND(Programme_Grunddaten!$A35="Geprüft",Programme_Grunddaten!Z35&lt;&gt;""),IF(Programme_Grunddaten!Z35="Ja",1,0),"")</f>
        <v>0</v>
      </c>
      <c r="S27" s="1">
        <f>IF(AND(Programme_Grunddaten!$A35="Geprüft",Programme_Grunddaten!AA35&lt;&gt;""),IF(Programme_Grunddaten!AA35="monolithisch",1,0),"")</f>
        <v>1</v>
      </c>
      <c r="T27" s="1">
        <f>IF(AND(Programme_Grunddaten!$A35="Geprüft",Programme_Grunddaten!AB35&lt;&gt;""),IF(Programme_Grunddaten!AB35="Ja",1,0),"")</f>
        <v>1</v>
      </c>
      <c r="U27" s="1" t="str">
        <f>IF(AND(Programme_Grunddaten!$A35="Geprüft",Programme_Grunddaten!AC35&lt;&gt;""),IF(Programme_Grunddaten!AC35="Ja",1,0),"")</f>
        <v/>
      </c>
      <c r="V27" s="1" t="str">
        <f>IF(AND(Programme_Grunddaten!$A35="Geprüft",Programme_Grunddaten!AD35&lt;&gt;""),IF(Programme_Grunddaten!AD35="Ja",1,0),"")</f>
        <v/>
      </c>
      <c r="W27" s="1" t="str">
        <f>IF(AND(Programme_Grunddaten!$A35="Geprüft",Programme_Grunddaten!AE35&lt;&gt;""),IF(Programme_Grunddaten!AE35="Ja",1,0),"")</f>
        <v/>
      </c>
      <c r="X27" s="1" t="str">
        <f>IF(AND(Programme_Grunddaten!$A35="Geprüft",Programme_Grunddaten!AF35&lt;&gt;""),IF(Programme_Grunddaten!AF35="Ja",1,0),"")</f>
        <v/>
      </c>
      <c r="Y27" s="1" t="str">
        <f>IF(AND(Programme_Grunddaten!$A35="Geprüft",Programme_Grunddaten!AG35&lt;&gt;""),IF(Programme_Grunddaten!AG35="Ja",1,0),"")</f>
        <v/>
      </c>
      <c r="Z27" s="1" t="str">
        <f>IF(AND(Programme_Grunddaten!$A35="Geprüft",Programme_Grunddaten!AH35&lt;&gt;""),IF(Programme_Grunddaten!AH35="Ja",1,0),"")</f>
        <v/>
      </c>
      <c r="AA27" s="1">
        <f>IF(AND(Programme_Grunddaten!$A35="Geprüft",Programme_Grunddaten!AI35&lt;&gt;""),IF(Programme_Grunddaten!AI35="Ja",1,0),"")</f>
        <v>1</v>
      </c>
      <c r="AB27" s="1" t="str">
        <f>IF(AND(Programme_Grunddaten!$A35="Geprüft",Programme_Grunddaten!AJ35&lt;&gt;""),IF(Programme_Grunddaten!AJ35="individuell programmierbar",1,0),"")</f>
        <v/>
      </c>
      <c r="AC27" s="1" t="str">
        <f>IF(AND(Programme_Grunddaten!$A35="Geprüft",Programme_Grunddaten!AK35&lt;&gt;""),IF(Programme_Grunddaten!AK35="Deutsch",0,IF(Programme_Grunddaten!AK35="Deutsch und Englisch",1,2)),"")</f>
        <v/>
      </c>
      <c r="AD27" s="1">
        <f>IF(AND(Programme_Grunddaten!$A35="Geprüft",Programme_Grunddaten!AL35&lt;&gt;""),IF(Programme_Grunddaten!AL35="Ja",1,0),"")</f>
        <v>1</v>
      </c>
      <c r="AE27" s="1">
        <f>IF(AND(Programme_Grunddaten!$A35="Geprüft",Programme_Grunddaten!AM35&lt;&gt;""),IF(Programme_Grunddaten!AM35="Ja",1,0),"")</f>
        <v>1</v>
      </c>
      <c r="AF27" s="1">
        <f>IF(AND(Programme_Grunddaten!$A35="Geprüft",Programme_Grunddaten!AN35&lt;&gt;""),IF(Programme_Grunddaten!AN35="Ja",1,0),"")</f>
        <v>1</v>
      </c>
      <c r="AG27" s="1">
        <f>IF(AND(Programme_Grunddaten!$A35="Geprüft",Programme_Grunddaten!AO35&lt;&gt;""),IF(Programme_Grunddaten!AO35="Ja",1,0),"")</f>
        <v>0</v>
      </c>
      <c r="AH27" s="1" t="str">
        <f>IF(AND(Programme_Grunddaten!$A35="Geprüft",Programme_Grunddaten!AP35&lt;&gt;""),IF(Programme_Grunddaten!AP35="Ja",1,0),"")</f>
        <v/>
      </c>
      <c r="AI27" s="1" t="str">
        <f>IF(AND(Programme_Grunddaten!$A35="Geprüft",Programme_Grunddaten!AQ35&lt;&gt;""),IF(Programme_Grunddaten!AQ35="Ja",1,0),"")</f>
        <v/>
      </c>
      <c r="AJ27" s="1">
        <f>IF(AND(Programme_Grunddaten!$A35="Geprüft",Programme_Grunddaten!AR35&lt;&gt;""),IF(Programme_Grunddaten!AR35="Ja",1,0),"")</f>
        <v>1</v>
      </c>
      <c r="AK27" s="1" t="str">
        <f>IF(AND(Programme_Grunddaten!$A35="Geprüft",Programme_Grunddaten!AS35&lt;&gt;""),IF(Programme_Grunddaten!AS35="Ja",1,0),"")</f>
        <v/>
      </c>
      <c r="AL27" s="1" t="str">
        <f>IF(AND(Programme_Grunddaten!$A35="Geprüft",Programme_Grunddaten!AT35&lt;&gt;""),IF(Programme_Grunddaten!AT35="Ja",1,0),"")</f>
        <v/>
      </c>
      <c r="AM27" s="1" t="str">
        <f>IF(AND(Programme_Grunddaten!$A35="Geprüft",Programme_Grunddaten!AU35&lt;&gt;""),IF(Programme_Grunddaten!AU35="Ja",1,0),"")</f>
        <v/>
      </c>
      <c r="AN27" s="1" t="str">
        <f>IF(AND(Programme_Grunddaten!$A35="Geprüft",Programme_Grunddaten!AV35&lt;&gt;""),IF(Programme_Grunddaten!AV35="Ja",1,0),"")</f>
        <v/>
      </c>
    </row>
    <row r="28" spans="1:40" x14ac:dyDescent="0.3">
      <c r="A28" s="1" t="str">
        <f>IF(AND(Programme_Grunddaten!A36="Geprüft",Programme_Grunddaten!B36&lt;&gt;""),Programme_Grunddaten!B36,"")</f>
        <v>P27</v>
      </c>
      <c r="B28" s="1">
        <f>IF(AND(Programme_Grunddaten!$A36="Geprüft",Programme_Grunddaten!I36&lt;&gt;""),IF(Programme_Grunddaten!I36="Ja",1,0),"")</f>
        <v>0</v>
      </c>
      <c r="C28" s="1">
        <f>IF(AND(Programme_Grunddaten!$A36="Geprüft",Programme_Grunddaten!J36&lt;&gt;""),IF(Programme_Grunddaten!J36="Ja",1,0),"")</f>
        <v>1</v>
      </c>
      <c r="D28" s="1">
        <f>IF(AND(Programme_Grunddaten!$A36="Geprüft",Programme_Grunddaten!K36&lt;&gt;""),IF(Programme_Grunddaten!K36="Ja",1,0),"")</f>
        <v>0</v>
      </c>
      <c r="E28" s="1" t="str">
        <f>IF(AND(Programme_Grunddaten!$A36="Geprüft",Programme_Grunddaten!L36&lt;&gt;""),IF(Programme_Grunddaten!L36="Abo / befristete Lizenz",1,0),"")</f>
        <v/>
      </c>
      <c r="F28" s="1">
        <f>IF(AND(Programme_Grunddaten!$A36="Geprüft",Programme_Grunddaten!M36&lt;&gt;""),IF(Programme_Grunddaten!M36="Ja",1,0),"")</f>
        <v>1</v>
      </c>
      <c r="G28" s="1">
        <f>IF(AND(Programme_Grunddaten!$A36="Geprüft",Programme_Grunddaten!N36&lt;&gt;""),IF(Programme_Grunddaten!N36="Ja",1,0),"")</f>
        <v>0</v>
      </c>
      <c r="H28" s="1" t="str">
        <f>IF(AND(Programme_Grunddaten!$A36="Geprüft",Programme_Grunddaten!O36&lt;&gt;""),IF(Programme_Grunddaten!O36="Deutschland",0,IF(Programme_Grunddaten!O36="EU",1,2)),"")</f>
        <v/>
      </c>
      <c r="I28" s="1" t="str">
        <f>IF(AND(Programme_Grunddaten!$A36="Geprüft",Programme_Grunddaten!P36&lt;&gt;""),IF(Programme_Grunddaten!P36="Ja",1,0),"")</f>
        <v/>
      </c>
      <c r="J28" s="1">
        <f>IF(AND(Programme_Grunddaten!$A36="Geprüft",Programme_Grunddaten!Q36&lt;&gt;""),IF(Programme_Grunddaten!Q36="geschlossenes System",1,0),"")</f>
        <v>0</v>
      </c>
      <c r="K28" s="1" t="str">
        <f>IF(AND(Programme_Grunddaten!$A36="Geprüft",Programme_Grunddaten!R36&lt;&gt;""),IF(Programme_Grunddaten!R36="Ja",1,0),"")</f>
        <v/>
      </c>
      <c r="L28" s="1" t="str">
        <f>IF(AND(Programme_Grunddaten!$A36="Geprüft",Programme_Grunddaten!T36&lt;&gt;""),IF(Programme_Grunddaten!T36="Ja",1,0),"")</f>
        <v/>
      </c>
      <c r="M28" s="1">
        <f>IF(AND(Programme_Grunddaten!$A36="Geprüft",Programme_Grunddaten!U36&lt;&gt;""),IF(Programme_Grunddaten!U36="Ja",1,0),"")</f>
        <v>1</v>
      </c>
      <c r="N28" s="1">
        <f>IF(AND(Programme_Grunddaten!$A36="Geprüft",Programme_Grunddaten!V36&lt;&gt;""),IF(Programme_Grunddaten!V36="Ja",1,0),"")</f>
        <v>1</v>
      </c>
      <c r="O28" s="1" t="str">
        <f>IF(AND(Programme_Grunddaten!$A36="Geprüft",Programme_Grunddaten!W36&lt;&gt;""),IF(Programme_Grunddaten!W36="Ja",1,0),"")</f>
        <v/>
      </c>
      <c r="P28" s="1" t="str">
        <f>IF(AND(Programme_Grunddaten!$A36="Geprüft",Programme_Grunddaten!X36&lt;&gt;""),IF(Programme_Grunddaten!X36="Ja",1,0),"")</f>
        <v/>
      </c>
      <c r="Q28" s="1">
        <f>IF(AND(Programme_Grunddaten!$A36="Geprüft",Programme_Grunddaten!Y36&lt;&gt;""),IF(Programme_Grunddaten!Y36="Ja",1,0),"")</f>
        <v>1</v>
      </c>
      <c r="R28" s="1">
        <f>IF(AND(Programme_Grunddaten!$A36="Geprüft",Programme_Grunddaten!Z36&lt;&gt;""),IF(Programme_Grunddaten!Z36="Ja",1,0),"")</f>
        <v>0</v>
      </c>
      <c r="S28" s="1">
        <f>IF(AND(Programme_Grunddaten!$A36="Geprüft",Programme_Grunddaten!AA36&lt;&gt;""),IF(Programme_Grunddaten!AA36="monolithisch",1,0),"")</f>
        <v>0</v>
      </c>
      <c r="T28" s="1">
        <f>IF(AND(Programme_Grunddaten!$A36="Geprüft",Programme_Grunddaten!AB36&lt;&gt;""),IF(Programme_Grunddaten!AB36="Ja",1,0),"")</f>
        <v>1</v>
      </c>
      <c r="U28" s="1">
        <f>IF(AND(Programme_Grunddaten!$A36="Geprüft",Programme_Grunddaten!AC36&lt;&gt;""),IF(Programme_Grunddaten!AC36="Ja",1,0),"")</f>
        <v>1</v>
      </c>
      <c r="V28" s="1">
        <f>IF(AND(Programme_Grunddaten!$A36="Geprüft",Programme_Grunddaten!AD36&lt;&gt;""),IF(Programme_Grunddaten!AD36="Ja",1,0),"")</f>
        <v>1</v>
      </c>
      <c r="W28" s="1" t="str">
        <f>IF(AND(Programme_Grunddaten!$A36="Geprüft",Programme_Grunddaten!AE36&lt;&gt;""),IF(Programme_Grunddaten!AE36="Ja",1,0),"")</f>
        <v/>
      </c>
      <c r="X28" s="1">
        <f>IF(AND(Programme_Grunddaten!$A36="Geprüft",Programme_Grunddaten!AF36&lt;&gt;""),IF(Programme_Grunddaten!AF36="Ja",1,0),"")</f>
        <v>1</v>
      </c>
      <c r="Y28" s="1" t="str">
        <f>IF(AND(Programme_Grunddaten!$A36="Geprüft",Programme_Grunddaten!AG36&lt;&gt;""),IF(Programme_Grunddaten!AG36="Ja",1,0),"")</f>
        <v/>
      </c>
      <c r="Z28" s="1">
        <f>IF(AND(Programme_Grunddaten!$A36="Geprüft",Programme_Grunddaten!AH36&lt;&gt;""),IF(Programme_Grunddaten!AH36="Ja",1,0),"")</f>
        <v>1</v>
      </c>
      <c r="AA28" s="1">
        <f>IF(AND(Programme_Grunddaten!$A36="Geprüft",Programme_Grunddaten!AI36&lt;&gt;""),IF(Programme_Grunddaten!AI36="Ja",1,0),"")</f>
        <v>1</v>
      </c>
      <c r="AB28" s="1" t="str">
        <f>IF(AND(Programme_Grunddaten!$A36="Geprüft",Programme_Grunddaten!AJ36&lt;&gt;""),IF(Programme_Grunddaten!AJ36="individuell programmierbar",1,0),"")</f>
        <v/>
      </c>
      <c r="AC28" s="1">
        <f>IF(AND(Programme_Grunddaten!$A36="Geprüft",Programme_Grunddaten!AK36&lt;&gt;""),IF(Programme_Grunddaten!AK36="Deutsch",0,IF(Programme_Grunddaten!AK36="Deutsch und Englisch",1,2)),"")</f>
        <v>2</v>
      </c>
      <c r="AD28" s="1">
        <f>IF(AND(Programme_Grunddaten!$A36="Geprüft",Programme_Grunddaten!AL36&lt;&gt;""),IF(Programme_Grunddaten!AL36="Ja",1,0),"")</f>
        <v>1</v>
      </c>
      <c r="AE28" s="1">
        <f>IF(AND(Programme_Grunddaten!$A36="Geprüft",Programme_Grunddaten!AM36&lt;&gt;""),IF(Programme_Grunddaten!AM36="Ja",1,0),"")</f>
        <v>0</v>
      </c>
      <c r="AF28" s="1" t="str">
        <f>IF(AND(Programme_Grunddaten!$A36="Geprüft",Programme_Grunddaten!AN36&lt;&gt;""),IF(Programme_Grunddaten!AN36="Ja",1,0),"")</f>
        <v/>
      </c>
      <c r="AG28" s="1" t="str">
        <f>IF(AND(Programme_Grunddaten!$A36="Geprüft",Programme_Grunddaten!AO36&lt;&gt;""),IF(Programme_Grunddaten!AO36="Ja",1,0),"")</f>
        <v/>
      </c>
      <c r="AH28" s="1" t="str">
        <f>IF(AND(Programme_Grunddaten!$A36="Geprüft",Programme_Grunddaten!AP36&lt;&gt;""),IF(Programme_Grunddaten!AP36="Ja",1,0),"")</f>
        <v/>
      </c>
      <c r="AI28" s="1">
        <f>IF(AND(Programme_Grunddaten!$A36="Geprüft",Programme_Grunddaten!AQ36&lt;&gt;""),IF(Programme_Grunddaten!AQ36="Ja",1,0),"")</f>
        <v>1</v>
      </c>
      <c r="AJ28" s="1">
        <f>IF(AND(Programme_Grunddaten!$A36="Geprüft",Programme_Grunddaten!AR36&lt;&gt;""),IF(Programme_Grunddaten!AR36="Ja",1,0),"")</f>
        <v>1</v>
      </c>
      <c r="AK28" s="1">
        <f>IF(AND(Programme_Grunddaten!$A36="Geprüft",Programme_Grunddaten!AS36&lt;&gt;""),IF(Programme_Grunddaten!AS36="Ja",1,0),"")</f>
        <v>1</v>
      </c>
      <c r="AL28" s="1" t="str">
        <f>IF(AND(Programme_Grunddaten!$A36="Geprüft",Programme_Grunddaten!AT36&lt;&gt;""),IF(Programme_Grunddaten!AT36="Ja",1,0),"")</f>
        <v/>
      </c>
      <c r="AM28" s="1">
        <f>IF(AND(Programme_Grunddaten!$A36="Geprüft",Programme_Grunddaten!AU36&lt;&gt;""),IF(Programme_Grunddaten!AU36="Ja",1,0),"")</f>
        <v>1</v>
      </c>
      <c r="AN28" s="1" t="str">
        <f>IF(AND(Programme_Grunddaten!$A36="Geprüft",Programme_Grunddaten!AV36&lt;&gt;""),IF(Programme_Grunddaten!AV36="Ja",1,0),"")</f>
        <v/>
      </c>
    </row>
    <row r="29" spans="1:40" x14ac:dyDescent="0.3">
      <c r="A29" s="1" t="str">
        <f>IF(AND(Programme_Grunddaten!A37="Geprüft",Programme_Grunddaten!B37&lt;&gt;""),Programme_Grunddaten!B37,"")</f>
        <v>P28</v>
      </c>
      <c r="B29" s="1">
        <f>IF(AND(Programme_Grunddaten!$A37="Geprüft",Programme_Grunddaten!I37&lt;&gt;""),IF(Programme_Grunddaten!I37="Ja",1,0),"")</f>
        <v>0</v>
      </c>
      <c r="C29" s="1">
        <f>IF(AND(Programme_Grunddaten!$A37="Geprüft",Programme_Grunddaten!J37&lt;&gt;""),IF(Programme_Grunddaten!J37="Ja",1,0),"")</f>
        <v>1</v>
      </c>
      <c r="D29" s="1" t="str">
        <f>IF(AND(Programme_Grunddaten!$A37="Geprüft",Programme_Grunddaten!K37&lt;&gt;""),IF(Programme_Grunddaten!K37="Ja",1,0),"")</f>
        <v/>
      </c>
      <c r="E29" s="1">
        <f>IF(AND(Programme_Grunddaten!$A37="Geprüft",Programme_Grunddaten!L37&lt;&gt;""),IF(Programme_Grunddaten!L37="Abo / befristete Lizenz",1,0),"")</f>
        <v>1</v>
      </c>
      <c r="F29" s="1">
        <f>IF(AND(Programme_Grunddaten!$A37="Geprüft",Programme_Grunddaten!M37&lt;&gt;""),IF(Programme_Grunddaten!M37="Ja",1,0),"")</f>
        <v>0</v>
      </c>
      <c r="G29" s="1" t="str">
        <f>IF(AND(Programme_Grunddaten!$A37="Geprüft",Programme_Grunddaten!N37&lt;&gt;""),IF(Programme_Grunddaten!N37="Ja",1,0),"")</f>
        <v/>
      </c>
      <c r="H29" s="1" t="str">
        <f>IF(AND(Programme_Grunddaten!$A37="Geprüft",Programme_Grunddaten!O37&lt;&gt;""),IF(Programme_Grunddaten!O37="Deutschland",0,IF(Programme_Grunddaten!O37="EU",1,2)),"")</f>
        <v/>
      </c>
      <c r="I29" s="1" t="str">
        <f>IF(AND(Programme_Grunddaten!$A37="Geprüft",Programme_Grunddaten!P37&lt;&gt;""),IF(Programme_Grunddaten!P37="Ja",1,0),"")</f>
        <v/>
      </c>
      <c r="J29" s="1">
        <f>IF(AND(Programme_Grunddaten!$A37="Geprüft",Programme_Grunddaten!Q37&lt;&gt;""),IF(Programme_Grunddaten!Q37="geschlossenes System",1,0),"")</f>
        <v>0</v>
      </c>
      <c r="K29" s="1">
        <f>IF(AND(Programme_Grunddaten!$A37="Geprüft",Programme_Grunddaten!R37&lt;&gt;""),IF(Programme_Grunddaten!R37="Ja",1,0),"")</f>
        <v>1</v>
      </c>
      <c r="L29" s="1">
        <f>IF(AND(Programme_Grunddaten!$A37="Geprüft",Programme_Grunddaten!T37&lt;&gt;""),IF(Programme_Grunddaten!T37="Ja",1,0),"")</f>
        <v>1</v>
      </c>
      <c r="M29" s="1" t="str">
        <f>IF(AND(Programme_Grunddaten!$A37="Geprüft",Programme_Grunddaten!U37&lt;&gt;""),IF(Programme_Grunddaten!U37="Ja",1,0),"")</f>
        <v/>
      </c>
      <c r="N29" s="1">
        <f>IF(AND(Programme_Grunddaten!$A37="Geprüft",Programme_Grunddaten!V37&lt;&gt;""),IF(Programme_Grunddaten!V37="Ja",1,0),"")</f>
        <v>1</v>
      </c>
      <c r="O29" s="1" t="str">
        <f>IF(AND(Programme_Grunddaten!$A37="Geprüft",Programme_Grunddaten!W37&lt;&gt;""),IF(Programme_Grunddaten!W37="Ja",1,0),"")</f>
        <v/>
      </c>
      <c r="P29" s="1" t="str">
        <f>IF(AND(Programme_Grunddaten!$A37="Geprüft",Programme_Grunddaten!X37&lt;&gt;""),IF(Programme_Grunddaten!X37="Ja",1,0),"")</f>
        <v/>
      </c>
      <c r="Q29" s="1">
        <f>IF(AND(Programme_Grunddaten!$A37="Geprüft",Programme_Grunddaten!Y37&lt;&gt;""),IF(Programme_Grunddaten!Y37="Ja",1,0),"")</f>
        <v>1</v>
      </c>
      <c r="R29" s="1">
        <f>IF(AND(Programme_Grunddaten!$A37="Geprüft",Programme_Grunddaten!Z37&lt;&gt;""),IF(Programme_Grunddaten!Z37="Ja",1,0),"")</f>
        <v>0</v>
      </c>
      <c r="S29" s="1">
        <f>IF(AND(Programme_Grunddaten!$A37="Geprüft",Programme_Grunddaten!AA37&lt;&gt;""),IF(Programme_Grunddaten!AA37="monolithisch",1,0),"")</f>
        <v>0</v>
      </c>
      <c r="T29" s="1">
        <f>IF(AND(Programme_Grunddaten!$A37="Geprüft",Programme_Grunddaten!AB37&lt;&gt;""),IF(Programme_Grunddaten!AB37="Ja",1,0),"")</f>
        <v>1</v>
      </c>
      <c r="U29" s="1" t="str">
        <f>IF(AND(Programme_Grunddaten!$A37="Geprüft",Programme_Grunddaten!AC37&lt;&gt;""),IF(Programme_Grunddaten!AC37="Ja",1,0),"")</f>
        <v/>
      </c>
      <c r="V29" s="1" t="str">
        <f>IF(AND(Programme_Grunddaten!$A37="Geprüft",Programme_Grunddaten!AD37&lt;&gt;""),IF(Programme_Grunddaten!AD37="Ja",1,0),"")</f>
        <v/>
      </c>
      <c r="W29" s="1" t="str">
        <f>IF(AND(Programme_Grunddaten!$A37="Geprüft",Programme_Grunddaten!AE37&lt;&gt;""),IF(Programme_Grunddaten!AE37="Ja",1,0),"")</f>
        <v/>
      </c>
      <c r="X29" s="1" t="str">
        <f>IF(AND(Programme_Grunddaten!$A37="Geprüft",Programme_Grunddaten!AF37&lt;&gt;""),IF(Programme_Grunddaten!AF37="Ja",1,0),"")</f>
        <v/>
      </c>
      <c r="Y29" s="1">
        <f>IF(AND(Programme_Grunddaten!$A37="Geprüft",Programme_Grunddaten!AG37&lt;&gt;""),IF(Programme_Grunddaten!AG37="Ja",1,0),"")</f>
        <v>1</v>
      </c>
      <c r="Z29" s="1" t="str">
        <f>IF(AND(Programme_Grunddaten!$A37="Geprüft",Programme_Grunddaten!AH37&lt;&gt;""),IF(Programme_Grunddaten!AH37="Ja",1,0),"")</f>
        <v/>
      </c>
      <c r="AA29" s="1" t="str">
        <f>IF(AND(Programme_Grunddaten!$A37="Geprüft",Programme_Grunddaten!AI37&lt;&gt;""),IF(Programme_Grunddaten!AI37="Ja",1,0),"")</f>
        <v/>
      </c>
      <c r="AB29" s="1" t="str">
        <f>IF(AND(Programme_Grunddaten!$A37="Geprüft",Programme_Grunddaten!AJ37&lt;&gt;""),IF(Programme_Grunddaten!AJ37="individuell programmierbar",1,0),"")</f>
        <v/>
      </c>
      <c r="AC29" s="1">
        <f>IF(AND(Programme_Grunddaten!$A37="Geprüft",Programme_Grunddaten!AK37&lt;&gt;""),IF(Programme_Grunddaten!AK37="Deutsch",0,IF(Programme_Grunddaten!AK37="Deutsch und Englisch",1,2)),"")</f>
        <v>2</v>
      </c>
      <c r="AD29" s="1">
        <f>IF(AND(Programme_Grunddaten!$A37="Geprüft",Programme_Grunddaten!AL37&lt;&gt;""),IF(Programme_Grunddaten!AL37="Ja",1,0),"")</f>
        <v>1</v>
      </c>
      <c r="AE29" s="1">
        <f>IF(AND(Programme_Grunddaten!$A37="Geprüft",Programme_Grunddaten!AM37&lt;&gt;""),IF(Programme_Grunddaten!AM37="Ja",1,0),"")</f>
        <v>0</v>
      </c>
      <c r="AF29" s="1" t="str">
        <f>IF(AND(Programme_Grunddaten!$A37="Geprüft",Programme_Grunddaten!AN37&lt;&gt;""),IF(Programme_Grunddaten!AN37="Ja",1,0),"")</f>
        <v/>
      </c>
      <c r="AG29" s="1" t="str">
        <f>IF(AND(Programme_Grunddaten!$A37="Geprüft",Programme_Grunddaten!AO37&lt;&gt;""),IF(Programme_Grunddaten!AO37="Ja",1,0),"")</f>
        <v/>
      </c>
      <c r="AH29" s="1" t="str">
        <f>IF(AND(Programme_Grunddaten!$A37="Geprüft",Programme_Grunddaten!AP37&lt;&gt;""),IF(Programme_Grunddaten!AP37="Ja",1,0),"")</f>
        <v/>
      </c>
      <c r="AI29" s="1">
        <f>IF(AND(Programme_Grunddaten!$A37="Geprüft",Programme_Grunddaten!AQ37&lt;&gt;""),IF(Programme_Grunddaten!AQ37="Ja",1,0),"")</f>
        <v>1</v>
      </c>
      <c r="AJ29" s="1">
        <f>IF(AND(Programme_Grunddaten!$A37="Geprüft",Programme_Grunddaten!AR37&lt;&gt;""),IF(Programme_Grunddaten!AR37="Ja",1,0),"")</f>
        <v>1</v>
      </c>
      <c r="AK29" s="1">
        <f>IF(AND(Programme_Grunddaten!$A37="Geprüft",Programme_Grunddaten!AS37&lt;&gt;""),IF(Programme_Grunddaten!AS37="Ja",1,0),"")</f>
        <v>1</v>
      </c>
      <c r="AL29" s="1" t="str">
        <f>IF(AND(Programme_Grunddaten!$A37="Geprüft",Programme_Grunddaten!AT37&lt;&gt;""),IF(Programme_Grunddaten!AT37="Ja",1,0),"")</f>
        <v/>
      </c>
      <c r="AM29" s="1">
        <f>IF(AND(Programme_Grunddaten!$A37="Geprüft",Programme_Grunddaten!AU37&lt;&gt;""),IF(Programme_Grunddaten!AU37="Ja",1,0),"")</f>
        <v>1</v>
      </c>
      <c r="AN29" s="1" t="str">
        <f>IF(AND(Programme_Grunddaten!$A37="Geprüft",Programme_Grunddaten!AV37&lt;&gt;""),IF(Programme_Grunddaten!AV37="Ja",1,0),"")</f>
        <v/>
      </c>
    </row>
    <row r="30" spans="1:40" x14ac:dyDescent="0.3">
      <c r="A30" s="1" t="str">
        <f>IF(AND(Programme_Grunddaten!A38="Geprüft",Programme_Grunddaten!B38&lt;&gt;""),Programme_Grunddaten!B38,"")</f>
        <v>P29</v>
      </c>
      <c r="B30" s="1">
        <f>IF(AND(Programme_Grunddaten!$A38="Geprüft",Programme_Grunddaten!I38&lt;&gt;""),IF(Programme_Grunddaten!I38="Ja",1,0),"")</f>
        <v>0</v>
      </c>
      <c r="C30" s="1">
        <f>IF(AND(Programme_Grunddaten!$A38="Geprüft",Programme_Grunddaten!J38&lt;&gt;""),IF(Programme_Grunddaten!J38="Ja",1,0),"")</f>
        <v>1</v>
      </c>
      <c r="D30" s="1" t="str">
        <f>IF(AND(Programme_Grunddaten!$A38="Geprüft",Programme_Grunddaten!K38&lt;&gt;""),IF(Programme_Grunddaten!K38="Ja",1,0),"")</f>
        <v/>
      </c>
      <c r="E30" s="1" t="str">
        <f>IF(AND(Programme_Grunddaten!$A38="Geprüft",Programme_Grunddaten!L38&lt;&gt;""),IF(Programme_Grunddaten!L38="Abo / befristete Lizenz",1,0),"")</f>
        <v/>
      </c>
      <c r="F30" s="1">
        <f>IF(AND(Programme_Grunddaten!$A38="Geprüft",Programme_Grunddaten!M38&lt;&gt;""),IF(Programme_Grunddaten!M38="Ja",1,0),"")</f>
        <v>0</v>
      </c>
      <c r="G30" s="1">
        <f>IF(AND(Programme_Grunddaten!$A38="Geprüft",Programme_Grunddaten!N38&lt;&gt;""),IF(Programme_Grunddaten!N38="Ja",1,0),"")</f>
        <v>1</v>
      </c>
      <c r="H30" s="1">
        <f>IF(AND(Programme_Grunddaten!$A38="Geprüft",Programme_Grunddaten!O38&lt;&gt;""),IF(Programme_Grunddaten!O38="Deutschland",0,IF(Programme_Grunddaten!O38="EU",1,2)),"")</f>
        <v>0</v>
      </c>
      <c r="I30" s="1" t="str">
        <f>IF(AND(Programme_Grunddaten!$A38="Geprüft",Programme_Grunddaten!P38&lt;&gt;""),IF(Programme_Grunddaten!P38="Ja",1,0),"")</f>
        <v/>
      </c>
      <c r="J30" s="1">
        <f>IF(AND(Programme_Grunddaten!$A38="Geprüft",Programme_Grunddaten!Q38&lt;&gt;""),IF(Programme_Grunddaten!Q38="geschlossenes System",1,0),"")</f>
        <v>0</v>
      </c>
      <c r="K30" s="1">
        <f>IF(AND(Programme_Grunddaten!$A38="Geprüft",Programme_Grunddaten!R38&lt;&gt;""),IF(Programme_Grunddaten!R38="Ja",1,0),"")</f>
        <v>1</v>
      </c>
      <c r="L30" s="1">
        <f>IF(AND(Programme_Grunddaten!$A38="Geprüft",Programme_Grunddaten!T38&lt;&gt;""),IF(Programme_Grunddaten!T38="Ja",1,0),"")</f>
        <v>1</v>
      </c>
      <c r="M30" s="1">
        <f>IF(AND(Programme_Grunddaten!$A38="Geprüft",Programme_Grunddaten!U38&lt;&gt;""),IF(Programme_Grunddaten!U38="Ja",1,0),"")</f>
        <v>1</v>
      </c>
      <c r="N30" s="1">
        <f>IF(AND(Programme_Grunddaten!$A38="Geprüft",Programme_Grunddaten!V38&lt;&gt;""),IF(Programme_Grunddaten!V38="Ja",1,0),"")</f>
        <v>1</v>
      </c>
      <c r="O30" s="1">
        <f>IF(AND(Programme_Grunddaten!$A38="Geprüft",Programme_Grunddaten!W38&lt;&gt;""),IF(Programme_Grunddaten!W38="Ja",1,0),"")</f>
        <v>1</v>
      </c>
      <c r="P30" s="1" t="str">
        <f>IF(AND(Programme_Grunddaten!$A38="Geprüft",Programme_Grunddaten!X38&lt;&gt;""),IF(Programme_Grunddaten!X38="Ja",1,0),"")</f>
        <v/>
      </c>
      <c r="Q30" s="1">
        <f>IF(AND(Programme_Grunddaten!$A38="Geprüft",Programme_Grunddaten!Y38&lt;&gt;""),IF(Programme_Grunddaten!Y38="Ja",1,0),"")</f>
        <v>1</v>
      </c>
      <c r="R30" s="1">
        <f>IF(AND(Programme_Grunddaten!$A38="Geprüft",Programme_Grunddaten!Z38&lt;&gt;""),IF(Programme_Grunddaten!Z38="Ja",1,0),"")</f>
        <v>0</v>
      </c>
      <c r="S30" s="1">
        <f>IF(AND(Programme_Grunddaten!$A38="Geprüft",Programme_Grunddaten!AA38&lt;&gt;""),IF(Programme_Grunddaten!AA38="monolithisch",1,0),"")</f>
        <v>0</v>
      </c>
      <c r="T30" s="1">
        <f>IF(AND(Programme_Grunddaten!$A38="Geprüft",Programme_Grunddaten!AB38&lt;&gt;""),IF(Programme_Grunddaten!AB38="Ja",1,0),"")</f>
        <v>1</v>
      </c>
      <c r="U30" s="1">
        <f>IF(AND(Programme_Grunddaten!$A38="Geprüft",Programme_Grunddaten!AC38&lt;&gt;""),IF(Programme_Grunddaten!AC38="Ja",1,0),"")</f>
        <v>1</v>
      </c>
      <c r="V30" s="1">
        <f>IF(AND(Programme_Grunddaten!$A38="Geprüft",Programme_Grunddaten!AD38&lt;&gt;""),IF(Programme_Grunddaten!AD38="Ja",1,0),"")</f>
        <v>1</v>
      </c>
      <c r="W30" s="1" t="str">
        <f>IF(AND(Programme_Grunddaten!$A38="Geprüft",Programme_Grunddaten!AE38&lt;&gt;""),IF(Programme_Grunddaten!AE38="Ja",1,0),"")</f>
        <v/>
      </c>
      <c r="X30" s="1">
        <f>IF(AND(Programme_Grunddaten!$A38="Geprüft",Programme_Grunddaten!AF38&lt;&gt;""),IF(Programme_Grunddaten!AF38="Ja",1,0),"")</f>
        <v>1</v>
      </c>
      <c r="Y30" s="1">
        <f>IF(AND(Programme_Grunddaten!$A38="Geprüft",Programme_Grunddaten!AG38&lt;&gt;""),IF(Programme_Grunddaten!AG38="Ja",1,0),"")</f>
        <v>1</v>
      </c>
      <c r="Z30" s="1" t="str">
        <f>IF(AND(Programme_Grunddaten!$A38="Geprüft",Programme_Grunddaten!AH38&lt;&gt;""),IF(Programme_Grunddaten!AH38="Ja",1,0),"")</f>
        <v/>
      </c>
      <c r="AA30" s="1">
        <f>IF(AND(Programme_Grunddaten!$A38="Geprüft",Programme_Grunddaten!AI38&lt;&gt;""),IF(Programme_Grunddaten!AI38="Ja",1,0),"")</f>
        <v>1</v>
      </c>
      <c r="AB30" s="1" t="str">
        <f>IF(AND(Programme_Grunddaten!$A38="Geprüft",Programme_Grunddaten!AJ38&lt;&gt;""),IF(Programme_Grunddaten!AJ38="individuell programmierbar",1,0),"")</f>
        <v/>
      </c>
      <c r="AC30" s="1" t="str">
        <f>IF(AND(Programme_Grunddaten!$A38="Geprüft",Programme_Grunddaten!AK38&lt;&gt;""),IF(Programme_Grunddaten!AK38="Deutsch",0,IF(Programme_Grunddaten!AK38="Deutsch und Englisch",1,2)),"")</f>
        <v/>
      </c>
      <c r="AD30" s="1">
        <f>IF(AND(Programme_Grunddaten!$A38="Geprüft",Programme_Grunddaten!AL38&lt;&gt;""),IF(Programme_Grunddaten!AL38="Ja",1,0),"")</f>
        <v>1</v>
      </c>
      <c r="AE30" s="1">
        <f>IF(AND(Programme_Grunddaten!$A38="Geprüft",Programme_Grunddaten!AM38&lt;&gt;""),IF(Programme_Grunddaten!AM38="Ja",1,0),"")</f>
        <v>0</v>
      </c>
      <c r="AF30" s="1" t="str">
        <f>IF(AND(Programme_Grunddaten!$A38="Geprüft",Programme_Grunddaten!AN38&lt;&gt;""),IF(Programme_Grunddaten!AN38="Ja",1,0),"")</f>
        <v/>
      </c>
      <c r="AG30" s="1">
        <f>IF(AND(Programme_Grunddaten!$A38="Geprüft",Programme_Grunddaten!AO38&lt;&gt;""),IF(Programme_Grunddaten!AO38="Ja",1,0),"")</f>
        <v>0</v>
      </c>
      <c r="AH30" s="1" t="str">
        <f>IF(AND(Programme_Grunddaten!$A38="Geprüft",Programme_Grunddaten!AP38&lt;&gt;""),IF(Programme_Grunddaten!AP38="Ja",1,0),"")</f>
        <v/>
      </c>
      <c r="AI30" s="1">
        <f>IF(AND(Programme_Grunddaten!$A38="Geprüft",Programme_Grunddaten!AQ38&lt;&gt;""),IF(Programme_Grunddaten!AQ38="Ja",1,0),"")</f>
        <v>1</v>
      </c>
      <c r="AJ30" s="1">
        <f>IF(AND(Programme_Grunddaten!$A38="Geprüft",Programme_Grunddaten!AR38&lt;&gt;""),IF(Programme_Grunddaten!AR38="Ja",1,0),"")</f>
        <v>1</v>
      </c>
      <c r="AK30" s="1">
        <f>IF(AND(Programme_Grunddaten!$A38="Geprüft",Programme_Grunddaten!AS38&lt;&gt;""),IF(Programme_Grunddaten!AS38="Ja",1,0),"")</f>
        <v>1</v>
      </c>
      <c r="AL30" s="1" t="str">
        <f>IF(AND(Programme_Grunddaten!$A38="Geprüft",Programme_Grunddaten!AT38&lt;&gt;""),IF(Programme_Grunddaten!AT38="Ja",1,0),"")</f>
        <v/>
      </c>
      <c r="AM30" s="1" t="str">
        <f>IF(AND(Programme_Grunddaten!$A38="Geprüft",Programme_Grunddaten!AU38&lt;&gt;""),IF(Programme_Grunddaten!AU38="Ja",1,0),"")</f>
        <v/>
      </c>
      <c r="AN30" s="1">
        <f>IF(AND(Programme_Grunddaten!$A38="Geprüft",Programme_Grunddaten!AV38&lt;&gt;""),IF(Programme_Grunddaten!AV38="Ja",1,0),"")</f>
        <v>0</v>
      </c>
    </row>
    <row r="31" spans="1:40" x14ac:dyDescent="0.3">
      <c r="A31" s="1" t="str">
        <f>IF(AND(Programme_Grunddaten!A39="Geprüft",Programme_Grunddaten!B39&lt;&gt;""),Programme_Grunddaten!B39,"")</f>
        <v>P30</v>
      </c>
      <c r="B31" s="1">
        <f>IF(AND(Programme_Grunddaten!$A39="Geprüft",Programme_Grunddaten!I39&lt;&gt;""),IF(Programme_Grunddaten!I39="Ja",1,0),"")</f>
        <v>0</v>
      </c>
      <c r="C31" s="1">
        <f>IF(AND(Programme_Grunddaten!$A39="Geprüft",Programme_Grunddaten!J39&lt;&gt;""),IF(Programme_Grunddaten!J39="Ja",1,0),"")</f>
        <v>1</v>
      </c>
      <c r="D31" s="1">
        <f>IF(AND(Programme_Grunddaten!$A39="Geprüft",Programme_Grunddaten!K39&lt;&gt;""),IF(Programme_Grunddaten!K39="Ja",1,0),"")</f>
        <v>0</v>
      </c>
      <c r="E31" s="1" t="str">
        <f>IF(AND(Programme_Grunddaten!$A39="Geprüft",Programme_Grunddaten!L39&lt;&gt;""),IF(Programme_Grunddaten!L39="Abo / befristete Lizenz",1,0),"")</f>
        <v/>
      </c>
      <c r="F31" s="1">
        <f>IF(AND(Programme_Grunddaten!$A39="Geprüft",Programme_Grunddaten!M39&lt;&gt;""),IF(Programme_Grunddaten!M39="Ja",1,0),"")</f>
        <v>1</v>
      </c>
      <c r="G31" s="1">
        <f>IF(AND(Programme_Grunddaten!$A39="Geprüft",Programme_Grunddaten!N39&lt;&gt;""),IF(Programme_Grunddaten!N39="Ja",1,0),"")</f>
        <v>1</v>
      </c>
      <c r="H31" s="1" t="str">
        <f>IF(AND(Programme_Grunddaten!$A39="Geprüft",Programme_Grunddaten!O39&lt;&gt;""),IF(Programme_Grunddaten!O39="Deutschland",0,IF(Programme_Grunddaten!O39="EU",1,2)),"")</f>
        <v/>
      </c>
      <c r="I31" s="1" t="str">
        <f>IF(AND(Programme_Grunddaten!$A39="Geprüft",Programme_Grunddaten!P39&lt;&gt;""),IF(Programme_Grunddaten!P39="Ja",1,0),"")</f>
        <v/>
      </c>
      <c r="J31" s="1">
        <f>IF(AND(Programme_Grunddaten!$A39="Geprüft",Programme_Grunddaten!Q39&lt;&gt;""),IF(Programme_Grunddaten!Q39="geschlossenes System",1,0),"")</f>
        <v>0</v>
      </c>
      <c r="K31" s="1">
        <f>IF(AND(Programme_Grunddaten!$A39="Geprüft",Programme_Grunddaten!R39&lt;&gt;""),IF(Programme_Grunddaten!R39="Ja",1,0),"")</f>
        <v>1</v>
      </c>
      <c r="L31" s="1">
        <f>IF(AND(Programme_Grunddaten!$A39="Geprüft",Programme_Grunddaten!T39&lt;&gt;""),IF(Programme_Grunddaten!T39="Ja",1,0),"")</f>
        <v>1</v>
      </c>
      <c r="M31" s="1">
        <f>IF(AND(Programme_Grunddaten!$A39="Geprüft",Programme_Grunddaten!U39&lt;&gt;""),IF(Programme_Grunddaten!U39="Ja",1,0),"")</f>
        <v>1</v>
      </c>
      <c r="N31" s="1">
        <f>IF(AND(Programme_Grunddaten!$A39="Geprüft",Programme_Grunddaten!V39&lt;&gt;""),IF(Programme_Grunddaten!V39="Ja",1,0),"")</f>
        <v>1</v>
      </c>
      <c r="O31" s="1" t="str">
        <f>IF(AND(Programme_Grunddaten!$A39="Geprüft",Programme_Grunddaten!W39&lt;&gt;""),IF(Programme_Grunddaten!W39="Ja",1,0),"")</f>
        <v/>
      </c>
      <c r="P31" s="1">
        <f>IF(AND(Programme_Grunddaten!$A39="Geprüft",Programme_Grunddaten!X39&lt;&gt;""),IF(Programme_Grunddaten!X39="Ja",1,0),"")</f>
        <v>1</v>
      </c>
      <c r="Q31" s="1" t="str">
        <f>IF(AND(Programme_Grunddaten!$A39="Geprüft",Programme_Grunddaten!Y39&lt;&gt;""),IF(Programme_Grunddaten!Y39="Ja",1,0),"")</f>
        <v/>
      </c>
      <c r="R31" s="1">
        <f>IF(AND(Programme_Grunddaten!$A39="Geprüft",Programme_Grunddaten!Z39&lt;&gt;""),IF(Programme_Grunddaten!Z39="Ja",1,0),"")</f>
        <v>0</v>
      </c>
      <c r="S31" s="1">
        <f>IF(AND(Programme_Grunddaten!$A39="Geprüft",Programme_Grunddaten!AA39&lt;&gt;""),IF(Programme_Grunddaten!AA39="monolithisch",1,0),"")</f>
        <v>0</v>
      </c>
      <c r="T31" s="1">
        <f>IF(AND(Programme_Grunddaten!$A39="Geprüft",Programme_Grunddaten!AB39&lt;&gt;""),IF(Programme_Grunddaten!AB39="Ja",1,0),"")</f>
        <v>1</v>
      </c>
      <c r="U31" s="1">
        <f>IF(AND(Programme_Grunddaten!$A39="Geprüft",Programme_Grunddaten!AC39&lt;&gt;""),IF(Programme_Grunddaten!AC39="Ja",1,0),"")</f>
        <v>1</v>
      </c>
      <c r="V31" s="1">
        <f>IF(AND(Programme_Grunddaten!$A39="Geprüft",Programme_Grunddaten!AD39&lt;&gt;""),IF(Programme_Grunddaten!AD39="Ja",1,0),"")</f>
        <v>1</v>
      </c>
      <c r="W31" s="1">
        <f>IF(AND(Programme_Grunddaten!$A39="Geprüft",Programme_Grunddaten!AE39&lt;&gt;""),IF(Programme_Grunddaten!AE39="Ja",1,0),"")</f>
        <v>1</v>
      </c>
      <c r="X31" s="1">
        <f>IF(AND(Programme_Grunddaten!$A39="Geprüft",Programme_Grunddaten!AF39&lt;&gt;""),IF(Programme_Grunddaten!AF39="Ja",1,0),"")</f>
        <v>1</v>
      </c>
      <c r="Y31" s="1">
        <f>IF(AND(Programme_Grunddaten!$A39="Geprüft",Programme_Grunddaten!AG39&lt;&gt;""),IF(Programme_Grunddaten!AG39="Ja",1,0),"")</f>
        <v>1</v>
      </c>
      <c r="Z31" s="1" t="str">
        <f>IF(AND(Programme_Grunddaten!$A39="Geprüft",Programme_Grunddaten!AH39&lt;&gt;""),IF(Programme_Grunddaten!AH39="Ja",1,0),"")</f>
        <v/>
      </c>
      <c r="AA31" s="1" t="str">
        <f>IF(AND(Programme_Grunddaten!$A39="Geprüft",Programme_Grunddaten!AI39&lt;&gt;""),IF(Programme_Grunddaten!AI39="Ja",1,0),"")</f>
        <v/>
      </c>
      <c r="AB31" s="1" t="str">
        <f>IF(AND(Programme_Grunddaten!$A39="Geprüft",Programme_Grunddaten!AJ39&lt;&gt;""),IF(Programme_Grunddaten!AJ39="individuell programmierbar",1,0),"")</f>
        <v/>
      </c>
      <c r="AC31" s="1">
        <f>IF(AND(Programme_Grunddaten!$A39="Geprüft",Programme_Grunddaten!AK39&lt;&gt;""),IF(Programme_Grunddaten!AK39="Deutsch",0,IF(Programme_Grunddaten!AK39="Deutsch und Englisch",1,2)),"")</f>
        <v>1</v>
      </c>
      <c r="AD31" s="1">
        <f>IF(AND(Programme_Grunddaten!$A39="Geprüft",Programme_Grunddaten!AL39&lt;&gt;""),IF(Programme_Grunddaten!AL39="Ja",1,0),"")</f>
        <v>1</v>
      </c>
      <c r="AE31" s="1">
        <f>IF(AND(Programme_Grunddaten!$A39="Geprüft",Programme_Grunddaten!AM39&lt;&gt;""),IF(Programme_Grunddaten!AM39="Ja",1,0),"")</f>
        <v>0</v>
      </c>
      <c r="AF31" s="1" t="str">
        <f>IF(AND(Programme_Grunddaten!$A39="Geprüft",Programme_Grunddaten!AN39&lt;&gt;""),IF(Programme_Grunddaten!AN39="Ja",1,0),"")</f>
        <v/>
      </c>
      <c r="AG31" s="1">
        <f>IF(AND(Programme_Grunddaten!$A39="Geprüft",Programme_Grunddaten!AO39&lt;&gt;""),IF(Programme_Grunddaten!AO39="Ja",1,0),"")</f>
        <v>0</v>
      </c>
      <c r="AH31" s="1" t="str">
        <f>IF(AND(Programme_Grunddaten!$A39="Geprüft",Programme_Grunddaten!AP39&lt;&gt;""),IF(Programme_Grunddaten!AP39="Ja",1,0),"")</f>
        <v/>
      </c>
      <c r="AI31" s="1">
        <f>IF(AND(Programme_Grunddaten!$A39="Geprüft",Programme_Grunddaten!AQ39&lt;&gt;""),IF(Programme_Grunddaten!AQ39="Ja",1,0),"")</f>
        <v>1</v>
      </c>
      <c r="AJ31" s="1">
        <f>IF(AND(Programme_Grunddaten!$A39="Geprüft",Programme_Grunddaten!AR39&lt;&gt;""),IF(Programme_Grunddaten!AR39="Ja",1,0),"")</f>
        <v>1</v>
      </c>
      <c r="AK31" s="1">
        <f>IF(AND(Programme_Grunddaten!$A39="Geprüft",Programme_Grunddaten!AS39&lt;&gt;""),IF(Programme_Grunddaten!AS39="Ja",1,0),"")</f>
        <v>1</v>
      </c>
      <c r="AL31" s="1" t="str">
        <f>IF(AND(Programme_Grunddaten!$A39="Geprüft",Programme_Grunddaten!AT39&lt;&gt;""),IF(Programme_Grunddaten!AT39="Ja",1,0),"")</f>
        <v/>
      </c>
      <c r="AM31" s="1" t="str">
        <f>IF(AND(Programme_Grunddaten!$A39="Geprüft",Programme_Grunddaten!AU39&lt;&gt;""),IF(Programme_Grunddaten!AU39="Ja",1,0),"")</f>
        <v/>
      </c>
      <c r="AN31" s="1" t="str">
        <f>IF(AND(Programme_Grunddaten!$A39="Geprüft",Programme_Grunddaten!AV39&lt;&gt;""),IF(Programme_Grunddaten!AV39="Ja",1,0),"")</f>
        <v/>
      </c>
    </row>
    <row r="32" spans="1:40" x14ac:dyDescent="0.3">
      <c r="A32" s="1" t="str">
        <f>IF(AND(Programme_Grunddaten!A40="Geprüft",Programme_Grunddaten!B40&lt;&gt;""),Programme_Grunddaten!B40,"")</f>
        <v>P31</v>
      </c>
      <c r="B32" s="1">
        <f>IF(AND(Programme_Grunddaten!$A40="Geprüft",Programme_Grunddaten!I40&lt;&gt;""),IF(Programme_Grunddaten!I40="Ja",1,0),"")</f>
        <v>0</v>
      </c>
      <c r="C32" s="1">
        <f>IF(AND(Programme_Grunddaten!$A40="Geprüft",Programme_Grunddaten!J40&lt;&gt;""),IF(Programme_Grunddaten!J40="Ja",1,0),"")</f>
        <v>1</v>
      </c>
      <c r="D32" s="1">
        <f>IF(AND(Programme_Grunddaten!$A40="Geprüft",Programme_Grunddaten!K40&lt;&gt;""),IF(Programme_Grunddaten!K40="Ja",1,0),"")</f>
        <v>0</v>
      </c>
      <c r="E32" s="1">
        <f>IF(AND(Programme_Grunddaten!$A40="Geprüft",Programme_Grunddaten!L40&lt;&gt;""),IF(Programme_Grunddaten!L40="Abo / befristete Lizenz",1,0),"")</f>
        <v>1</v>
      </c>
      <c r="F32" s="1">
        <f>IF(AND(Programme_Grunddaten!$A40="Geprüft",Programme_Grunddaten!M40&lt;&gt;""),IF(Programme_Grunddaten!M40="Ja",1,0),"")</f>
        <v>0</v>
      </c>
      <c r="G32" s="1">
        <f>IF(AND(Programme_Grunddaten!$A40="Geprüft",Programme_Grunddaten!N40&lt;&gt;""),IF(Programme_Grunddaten!N40="Ja",1,0),"")</f>
        <v>1</v>
      </c>
      <c r="H32" s="1">
        <f>IF(AND(Programme_Grunddaten!$A40="Geprüft",Programme_Grunddaten!O40&lt;&gt;""),IF(Programme_Grunddaten!O40="Deutschland",0,IF(Programme_Grunddaten!O40="EU",1,2)),"")</f>
        <v>1</v>
      </c>
      <c r="I32" s="1" t="str">
        <f>IF(AND(Programme_Grunddaten!$A40="Geprüft",Programme_Grunddaten!P40&lt;&gt;""),IF(Programme_Grunddaten!P40="Ja",1,0),"")</f>
        <v/>
      </c>
      <c r="J32" s="1">
        <f>IF(AND(Programme_Grunddaten!$A40="Geprüft",Programme_Grunddaten!Q40&lt;&gt;""),IF(Programme_Grunddaten!Q40="geschlossenes System",1,0),"")</f>
        <v>0</v>
      </c>
      <c r="K32" s="1">
        <f>IF(AND(Programme_Grunddaten!$A40="Geprüft",Programme_Grunddaten!R40&lt;&gt;""),IF(Programme_Grunddaten!R40="Ja",1,0),"")</f>
        <v>1</v>
      </c>
      <c r="L32" s="1">
        <f>IF(AND(Programme_Grunddaten!$A40="Geprüft",Programme_Grunddaten!T40&lt;&gt;""),IF(Programme_Grunddaten!T40="Ja",1,0),"")</f>
        <v>1</v>
      </c>
      <c r="M32" s="1">
        <f>IF(AND(Programme_Grunddaten!$A40="Geprüft",Programme_Grunddaten!U40&lt;&gt;""),IF(Programme_Grunddaten!U40="Ja",1,0),"")</f>
        <v>1</v>
      </c>
      <c r="N32" s="1" t="str">
        <f>IF(AND(Programme_Grunddaten!$A40="Geprüft",Programme_Grunddaten!V40&lt;&gt;""),IF(Programme_Grunddaten!V40="Ja",1,0),"")</f>
        <v/>
      </c>
      <c r="O32" s="1" t="str">
        <f>IF(AND(Programme_Grunddaten!$A40="Geprüft",Programme_Grunddaten!W40&lt;&gt;""),IF(Programme_Grunddaten!W40="Ja",1,0),"")</f>
        <v/>
      </c>
      <c r="P32" s="1" t="str">
        <f>IF(AND(Programme_Grunddaten!$A40="Geprüft",Programme_Grunddaten!X40&lt;&gt;""),IF(Programme_Grunddaten!X40="Ja",1,0),"")</f>
        <v/>
      </c>
      <c r="Q32" s="1">
        <f>IF(AND(Programme_Grunddaten!$A40="Geprüft",Programme_Grunddaten!Y40&lt;&gt;""),IF(Programme_Grunddaten!Y40="Ja",1,0),"")</f>
        <v>1</v>
      </c>
      <c r="R32" s="1">
        <f>IF(AND(Programme_Grunddaten!$A40="Geprüft",Programme_Grunddaten!Z40&lt;&gt;""),IF(Programme_Grunddaten!Z40="Ja",1,0),"")</f>
        <v>0</v>
      </c>
      <c r="S32" s="1">
        <f>IF(AND(Programme_Grunddaten!$A40="Geprüft",Programme_Grunddaten!AA40&lt;&gt;""),IF(Programme_Grunddaten!AA40="monolithisch",1,0),"")</f>
        <v>0</v>
      </c>
      <c r="T32" s="1">
        <f>IF(AND(Programme_Grunddaten!$A40="Geprüft",Programme_Grunddaten!AB40&lt;&gt;""),IF(Programme_Grunddaten!AB40="Ja",1,0),"")</f>
        <v>1</v>
      </c>
      <c r="U32" s="1" t="str">
        <f>IF(AND(Programme_Grunddaten!$A40="Geprüft",Programme_Grunddaten!AC40&lt;&gt;""),IF(Programme_Grunddaten!AC40="Ja",1,0),"")</f>
        <v/>
      </c>
      <c r="V32" s="1" t="str">
        <f>IF(AND(Programme_Grunddaten!$A40="Geprüft",Programme_Grunddaten!AD40&lt;&gt;""),IF(Programme_Grunddaten!AD40="Ja",1,0),"")</f>
        <v/>
      </c>
      <c r="W32" s="1" t="str">
        <f>IF(AND(Programme_Grunddaten!$A40="Geprüft",Programme_Grunddaten!AE40&lt;&gt;""),IF(Programme_Grunddaten!AE40="Ja",1,0),"")</f>
        <v/>
      </c>
      <c r="X32" s="1">
        <f>IF(AND(Programme_Grunddaten!$A40="Geprüft",Programme_Grunddaten!AF40&lt;&gt;""),IF(Programme_Grunddaten!AF40="Ja",1,0),"")</f>
        <v>1</v>
      </c>
      <c r="Y32" s="1">
        <f>IF(AND(Programme_Grunddaten!$A40="Geprüft",Programme_Grunddaten!AG40&lt;&gt;""),IF(Programme_Grunddaten!AG40="Ja",1,0),"")</f>
        <v>1</v>
      </c>
      <c r="Z32" s="1" t="str">
        <f>IF(AND(Programme_Grunddaten!$A40="Geprüft",Programme_Grunddaten!AH40&lt;&gt;""),IF(Programme_Grunddaten!AH40="Ja",1,0),"")</f>
        <v/>
      </c>
      <c r="AA32" s="1">
        <f>IF(AND(Programme_Grunddaten!$A40="Geprüft",Programme_Grunddaten!AI40&lt;&gt;""),IF(Programme_Grunddaten!AI40="Ja",1,0),"")</f>
        <v>1</v>
      </c>
      <c r="AB32" s="1" t="str">
        <f>IF(AND(Programme_Grunddaten!$A40="Geprüft",Programme_Grunddaten!AJ40&lt;&gt;""),IF(Programme_Grunddaten!AJ40="individuell programmierbar",1,0),"")</f>
        <v/>
      </c>
      <c r="AC32" s="1">
        <f>IF(AND(Programme_Grunddaten!$A40="Geprüft",Programme_Grunddaten!AK40&lt;&gt;""),IF(Programme_Grunddaten!AK40="Deutsch",0,IF(Programme_Grunddaten!AK40="Deutsch und Englisch",1,2)),"")</f>
        <v>1</v>
      </c>
      <c r="AD32" s="1">
        <f>IF(AND(Programme_Grunddaten!$A40="Geprüft",Programme_Grunddaten!AL40&lt;&gt;""),IF(Programme_Grunddaten!AL40="Ja",1,0),"")</f>
        <v>1</v>
      </c>
      <c r="AE32" s="1">
        <f>IF(AND(Programme_Grunddaten!$A40="Geprüft",Programme_Grunddaten!AM40&lt;&gt;""),IF(Programme_Grunddaten!AM40="Ja",1,0),"")</f>
        <v>0</v>
      </c>
      <c r="AF32" s="1" t="str">
        <f>IF(AND(Programme_Grunddaten!$A40="Geprüft",Programme_Grunddaten!AN40&lt;&gt;""),IF(Programme_Grunddaten!AN40="Ja",1,0),"")</f>
        <v/>
      </c>
      <c r="AG32" s="1">
        <f>IF(AND(Programme_Grunddaten!$A40="Geprüft",Programme_Grunddaten!AO40&lt;&gt;""),IF(Programme_Grunddaten!AO40="Ja",1,0),"")</f>
        <v>0</v>
      </c>
      <c r="AH32" s="1" t="str">
        <f>IF(AND(Programme_Grunddaten!$A40="Geprüft",Programme_Grunddaten!AP40&lt;&gt;""),IF(Programme_Grunddaten!AP40="Ja",1,0),"")</f>
        <v/>
      </c>
      <c r="AI32" s="1">
        <f>IF(AND(Programme_Grunddaten!$A40="Geprüft",Programme_Grunddaten!AQ40&lt;&gt;""),IF(Programme_Grunddaten!AQ40="Ja",1,0),"")</f>
        <v>1</v>
      </c>
      <c r="AJ32" s="1">
        <f>IF(AND(Programme_Grunddaten!$A40="Geprüft",Programme_Grunddaten!AR40&lt;&gt;""),IF(Programme_Grunddaten!AR40="Ja",1,0),"")</f>
        <v>1</v>
      </c>
      <c r="AK32" s="1" t="str">
        <f>IF(AND(Programme_Grunddaten!$A40="Geprüft",Programme_Grunddaten!AS40&lt;&gt;""),IF(Programme_Grunddaten!AS40="Ja",1,0),"")</f>
        <v/>
      </c>
      <c r="AL32" s="1" t="str">
        <f>IF(AND(Programme_Grunddaten!$A40="Geprüft",Programme_Grunddaten!AT40&lt;&gt;""),IF(Programme_Grunddaten!AT40="Ja",1,0),"")</f>
        <v/>
      </c>
      <c r="AM32" s="1">
        <f>IF(AND(Programme_Grunddaten!$A40="Geprüft",Programme_Grunddaten!AU40&lt;&gt;""),IF(Programme_Grunddaten!AU40="Ja",1,0),"")</f>
        <v>1</v>
      </c>
      <c r="AN32" s="1" t="str">
        <f>IF(AND(Programme_Grunddaten!$A40="Geprüft",Programme_Grunddaten!AV40&lt;&gt;""),IF(Programme_Grunddaten!AV40="Ja",1,0),"")</f>
        <v/>
      </c>
    </row>
    <row r="33" spans="1:40" x14ac:dyDescent="0.3">
      <c r="A33" s="1" t="str">
        <f>IF(AND(Programme_Grunddaten!A41="Geprüft",Programme_Grunddaten!B41&lt;&gt;""),Programme_Grunddaten!B41,"")</f>
        <v>P32</v>
      </c>
      <c r="B33" s="1">
        <f>IF(AND(Programme_Grunddaten!$A41="Geprüft",Programme_Grunddaten!I41&lt;&gt;""),IF(Programme_Grunddaten!I41="Ja",1,0),"")</f>
        <v>0</v>
      </c>
      <c r="C33" s="1">
        <f>IF(AND(Programme_Grunddaten!$A41="Geprüft",Programme_Grunddaten!J41&lt;&gt;""),IF(Programme_Grunddaten!J41="Ja",1,0),"")</f>
        <v>1</v>
      </c>
      <c r="D33" s="1">
        <f>IF(AND(Programme_Grunddaten!$A41="Geprüft",Programme_Grunddaten!K41&lt;&gt;""),IF(Programme_Grunddaten!K41="Ja",1,0),"")</f>
        <v>0</v>
      </c>
      <c r="E33" s="1">
        <f>IF(AND(Programme_Grunddaten!$A41="Geprüft",Programme_Grunddaten!L41&lt;&gt;""),IF(Programme_Grunddaten!L41="Abo / befristete Lizenz",1,0),"")</f>
        <v>1</v>
      </c>
      <c r="F33" s="1">
        <f>IF(AND(Programme_Grunddaten!$A41="Geprüft",Programme_Grunddaten!M41&lt;&gt;""),IF(Programme_Grunddaten!M41="Ja",1,0),"")</f>
        <v>0</v>
      </c>
      <c r="G33" s="1">
        <f>IF(AND(Programme_Grunddaten!$A41="Geprüft",Programme_Grunddaten!N41&lt;&gt;""),IF(Programme_Grunddaten!N41="Ja",1,0),"")</f>
        <v>1</v>
      </c>
      <c r="H33" s="1" t="str">
        <f>IF(AND(Programme_Grunddaten!$A41="Geprüft",Programme_Grunddaten!O41&lt;&gt;""),IF(Programme_Grunddaten!O41="Deutschland",0,IF(Programme_Grunddaten!O41="EU",1,2)),"")</f>
        <v/>
      </c>
      <c r="I33" s="1">
        <f>IF(AND(Programme_Grunddaten!$A41="Geprüft",Programme_Grunddaten!P41&lt;&gt;""),IF(Programme_Grunddaten!P41="Ja",1,0),"")</f>
        <v>1</v>
      </c>
      <c r="J33" s="1">
        <f>IF(AND(Programme_Grunddaten!$A41="Geprüft",Programme_Grunddaten!Q41&lt;&gt;""),IF(Programme_Grunddaten!Q41="geschlossenes System",1,0),"")</f>
        <v>0</v>
      </c>
      <c r="K33" s="1">
        <f>IF(AND(Programme_Grunddaten!$A41="Geprüft",Programme_Grunddaten!R41&lt;&gt;""),IF(Programme_Grunddaten!R41="Ja",1,0),"")</f>
        <v>1</v>
      </c>
      <c r="L33" s="1">
        <f>IF(AND(Programme_Grunddaten!$A41="Geprüft",Programme_Grunddaten!T41&lt;&gt;""),IF(Programme_Grunddaten!T41="Ja",1,0),"")</f>
        <v>1</v>
      </c>
      <c r="M33" s="1" t="str">
        <f>IF(AND(Programme_Grunddaten!$A41="Geprüft",Programme_Grunddaten!U41&lt;&gt;""),IF(Programme_Grunddaten!U41="Ja",1,0),"")</f>
        <v/>
      </c>
      <c r="N33" s="1" t="str">
        <f>IF(AND(Programme_Grunddaten!$A41="Geprüft",Programme_Grunddaten!V41&lt;&gt;""),IF(Programme_Grunddaten!V41="Ja",1,0),"")</f>
        <v/>
      </c>
      <c r="O33" s="1" t="str">
        <f>IF(AND(Programme_Grunddaten!$A41="Geprüft",Programme_Grunddaten!W41&lt;&gt;""),IF(Programme_Grunddaten!W41="Ja",1,0),"")</f>
        <v/>
      </c>
      <c r="P33" s="1" t="str">
        <f>IF(AND(Programme_Grunddaten!$A41="Geprüft",Programme_Grunddaten!X41&lt;&gt;""),IF(Programme_Grunddaten!X41="Ja",1,0),"")</f>
        <v/>
      </c>
      <c r="Q33" s="1" t="str">
        <f>IF(AND(Programme_Grunddaten!$A41="Geprüft",Programme_Grunddaten!Y41&lt;&gt;""),IF(Programme_Grunddaten!Y41="Ja",1,0),"")</f>
        <v/>
      </c>
      <c r="R33" s="1">
        <f>IF(AND(Programme_Grunddaten!$A41="Geprüft",Programme_Grunddaten!Z41&lt;&gt;""),IF(Programme_Grunddaten!Z41="Ja",1,0),"")</f>
        <v>1</v>
      </c>
      <c r="S33" s="1">
        <f>IF(AND(Programme_Grunddaten!$A41="Geprüft",Programme_Grunddaten!AA41&lt;&gt;""),IF(Programme_Grunddaten!AA41="monolithisch",1,0),"")</f>
        <v>0</v>
      </c>
      <c r="T33" s="1">
        <f>IF(AND(Programme_Grunddaten!$A41="Geprüft",Programme_Grunddaten!AB41&lt;&gt;""),IF(Programme_Grunddaten!AB41="Ja",1,0),"")</f>
        <v>1</v>
      </c>
      <c r="U33" s="1" t="str">
        <f>IF(AND(Programme_Grunddaten!$A41="Geprüft",Programme_Grunddaten!AC41&lt;&gt;""),IF(Programme_Grunddaten!AC41="Ja",1,0),"")</f>
        <v/>
      </c>
      <c r="V33" s="1" t="str">
        <f>IF(AND(Programme_Grunddaten!$A41="Geprüft",Programme_Grunddaten!AD41&lt;&gt;""),IF(Programme_Grunddaten!AD41="Ja",1,0),"")</f>
        <v/>
      </c>
      <c r="W33" s="1" t="str">
        <f>IF(AND(Programme_Grunddaten!$A41="Geprüft",Programme_Grunddaten!AE41&lt;&gt;""),IF(Programme_Grunddaten!AE41="Ja",1,0),"")</f>
        <v/>
      </c>
      <c r="X33" s="1" t="str">
        <f>IF(AND(Programme_Grunddaten!$A41="Geprüft",Programme_Grunddaten!AF41&lt;&gt;""),IF(Programme_Grunddaten!AF41="Ja",1,0),"")</f>
        <v/>
      </c>
      <c r="Y33" s="1" t="str">
        <f>IF(AND(Programme_Grunddaten!$A41="Geprüft",Programme_Grunddaten!AG41&lt;&gt;""),IF(Programme_Grunddaten!AG41="Ja",1,0),"")</f>
        <v/>
      </c>
      <c r="Z33" s="1" t="str">
        <f>IF(AND(Programme_Grunddaten!$A41="Geprüft",Programme_Grunddaten!AH41&lt;&gt;""),IF(Programme_Grunddaten!AH41="Ja",1,0),"")</f>
        <v/>
      </c>
      <c r="AA33" s="1">
        <f>IF(AND(Programme_Grunddaten!$A41="Geprüft",Programme_Grunddaten!AI41&lt;&gt;""),IF(Programme_Grunddaten!AI41="Ja",1,0),"")</f>
        <v>1</v>
      </c>
      <c r="AB33" s="1" t="str">
        <f>IF(AND(Programme_Grunddaten!$A41="Geprüft",Programme_Grunddaten!AJ41&lt;&gt;""),IF(Programme_Grunddaten!AJ41="individuell programmierbar",1,0),"")</f>
        <v/>
      </c>
      <c r="AC33" s="1">
        <f>IF(AND(Programme_Grunddaten!$A41="Geprüft",Programme_Grunddaten!AK41&lt;&gt;""),IF(Programme_Grunddaten!AK41="Deutsch",0,IF(Programme_Grunddaten!AK41="Deutsch und Englisch",1,2)),"")</f>
        <v>2</v>
      </c>
      <c r="AD33" s="1">
        <f>IF(AND(Programme_Grunddaten!$A41="Geprüft",Programme_Grunddaten!AL41&lt;&gt;""),IF(Programme_Grunddaten!AL41="Ja",1,0),"")</f>
        <v>1</v>
      </c>
      <c r="AE33" s="1" t="str">
        <f>IF(AND(Programme_Grunddaten!$A41="Geprüft",Programme_Grunddaten!AM41&lt;&gt;""),IF(Programme_Grunddaten!AM41="Ja",1,0),"")</f>
        <v/>
      </c>
      <c r="AF33" s="1" t="str">
        <f>IF(AND(Programme_Grunddaten!$A41="Geprüft",Programme_Grunddaten!AN41&lt;&gt;""),IF(Programme_Grunddaten!AN41="Ja",1,0),"")</f>
        <v/>
      </c>
      <c r="AG33" s="1">
        <f>IF(AND(Programme_Grunddaten!$A41="Geprüft",Programme_Grunddaten!AO41&lt;&gt;""),IF(Programme_Grunddaten!AO41="Ja",1,0),"")</f>
        <v>0</v>
      </c>
      <c r="AH33" s="1" t="str">
        <f>IF(AND(Programme_Grunddaten!$A41="Geprüft",Programme_Grunddaten!AP41&lt;&gt;""),IF(Programme_Grunddaten!AP41="Ja",1,0),"")</f>
        <v/>
      </c>
      <c r="AI33" s="1">
        <f>IF(AND(Programme_Grunddaten!$A41="Geprüft",Programme_Grunddaten!AQ41&lt;&gt;""),IF(Programme_Grunddaten!AQ41="Ja",1,0),"")</f>
        <v>1</v>
      </c>
      <c r="AJ33" s="1">
        <f>IF(AND(Programme_Grunddaten!$A41="Geprüft",Programme_Grunddaten!AR41&lt;&gt;""),IF(Programme_Grunddaten!AR41="Ja",1,0),"")</f>
        <v>1</v>
      </c>
      <c r="AK33" s="1" t="str">
        <f>IF(AND(Programme_Grunddaten!$A41="Geprüft",Programme_Grunddaten!AS41&lt;&gt;""),IF(Programme_Grunddaten!AS41="Ja",1,0),"")</f>
        <v/>
      </c>
      <c r="AL33" s="1" t="str">
        <f>IF(AND(Programme_Grunddaten!$A41="Geprüft",Programme_Grunddaten!AT41&lt;&gt;""),IF(Programme_Grunddaten!AT41="Ja",1,0),"")</f>
        <v/>
      </c>
      <c r="AM33" s="1" t="str">
        <f>IF(AND(Programme_Grunddaten!$A41="Geprüft",Programme_Grunddaten!AU41&lt;&gt;""),IF(Programme_Grunddaten!AU41="Ja",1,0),"")</f>
        <v/>
      </c>
      <c r="AN33" s="1" t="str">
        <f>IF(AND(Programme_Grunddaten!$A41="Geprüft",Programme_Grunddaten!AV41&lt;&gt;""),IF(Programme_Grunddaten!AV41="Ja",1,0),"")</f>
        <v/>
      </c>
    </row>
    <row r="34" spans="1:40" x14ac:dyDescent="0.3">
      <c r="A34" s="1" t="str">
        <f>IF(AND(Programme_Grunddaten!A42="Geprüft",Programme_Grunddaten!B42&lt;&gt;""),Programme_Grunddaten!B42,"")</f>
        <v>P33</v>
      </c>
      <c r="B34" s="1">
        <f>IF(AND(Programme_Grunddaten!$A42="Geprüft",Programme_Grunddaten!I42&lt;&gt;""),IF(Programme_Grunddaten!I42="Ja",1,0),"")</f>
        <v>0</v>
      </c>
      <c r="C34" s="1">
        <f>IF(AND(Programme_Grunddaten!$A42="Geprüft",Programme_Grunddaten!J42&lt;&gt;""),IF(Programme_Grunddaten!J42="Ja",1,0),"")</f>
        <v>1</v>
      </c>
      <c r="D34" s="1">
        <f>IF(AND(Programme_Grunddaten!$A42="Geprüft",Programme_Grunddaten!K42&lt;&gt;""),IF(Programme_Grunddaten!K42="Ja",1,0),"")</f>
        <v>0</v>
      </c>
      <c r="E34" s="1">
        <f>IF(AND(Programme_Grunddaten!$A42="Geprüft",Programme_Grunddaten!L42&lt;&gt;""),IF(Programme_Grunddaten!L42="Abo / befristete Lizenz",1,0),"")</f>
        <v>1</v>
      </c>
      <c r="F34" s="1">
        <f>IF(AND(Programme_Grunddaten!$A42="Geprüft",Programme_Grunddaten!M42&lt;&gt;""),IF(Programme_Grunddaten!M42="Ja",1,0),"")</f>
        <v>0</v>
      </c>
      <c r="G34" s="1">
        <f>IF(AND(Programme_Grunddaten!$A42="Geprüft",Programme_Grunddaten!N42&lt;&gt;""),IF(Programme_Grunddaten!N42="Ja",1,0),"")</f>
        <v>1</v>
      </c>
      <c r="H34" s="1" t="str">
        <f>IF(AND(Programme_Grunddaten!$A42="Geprüft",Programme_Grunddaten!O42&lt;&gt;""),IF(Programme_Grunddaten!O42="Deutschland",0,IF(Programme_Grunddaten!O42="EU",1,2)),"")</f>
        <v/>
      </c>
      <c r="I34" s="1" t="str">
        <f>IF(AND(Programme_Grunddaten!$A42="Geprüft",Programme_Grunddaten!P42&lt;&gt;""),IF(Programme_Grunddaten!P42="Ja",1,0),"")</f>
        <v/>
      </c>
      <c r="J34" s="1">
        <f>IF(AND(Programme_Grunddaten!$A42="Geprüft",Programme_Grunddaten!Q42&lt;&gt;""),IF(Programme_Grunddaten!Q42="geschlossenes System",1,0),"")</f>
        <v>0</v>
      </c>
      <c r="K34" s="1">
        <f>IF(AND(Programme_Grunddaten!$A42="Geprüft",Programme_Grunddaten!R42&lt;&gt;""),IF(Programme_Grunddaten!R42="Ja",1,0),"")</f>
        <v>1</v>
      </c>
      <c r="L34" s="1">
        <f>IF(AND(Programme_Grunddaten!$A42="Geprüft",Programme_Grunddaten!T42&lt;&gt;""),IF(Programme_Grunddaten!T42="Ja",1,0),"")</f>
        <v>1</v>
      </c>
      <c r="M34" s="1">
        <f>IF(AND(Programme_Grunddaten!$A42="Geprüft",Programme_Grunddaten!U42&lt;&gt;""),IF(Programme_Grunddaten!U42="Ja",1,0),"")</f>
        <v>1</v>
      </c>
      <c r="N34" s="1" t="str">
        <f>IF(AND(Programme_Grunddaten!$A42="Geprüft",Programme_Grunddaten!V42&lt;&gt;""),IF(Programme_Grunddaten!V42="Ja",1,0),"")</f>
        <v/>
      </c>
      <c r="O34" s="1" t="str">
        <f>IF(AND(Programme_Grunddaten!$A42="Geprüft",Programme_Grunddaten!W42&lt;&gt;""),IF(Programme_Grunddaten!W42="Ja",1,0),"")</f>
        <v/>
      </c>
      <c r="P34" s="1" t="str">
        <f>IF(AND(Programme_Grunddaten!$A42="Geprüft",Programme_Grunddaten!X42&lt;&gt;""),IF(Programme_Grunddaten!X42="Ja",1,0),"")</f>
        <v/>
      </c>
      <c r="Q34" s="1" t="str">
        <f>IF(AND(Programme_Grunddaten!$A42="Geprüft",Programme_Grunddaten!Y42&lt;&gt;""),IF(Programme_Grunddaten!Y42="Ja",1,0),"")</f>
        <v/>
      </c>
      <c r="R34" s="1">
        <f>IF(AND(Programme_Grunddaten!$A42="Geprüft",Programme_Grunddaten!Z42&lt;&gt;""),IF(Programme_Grunddaten!Z42="Ja",1,0),"")</f>
        <v>0</v>
      </c>
      <c r="S34" s="1" t="str">
        <f>IF(AND(Programme_Grunddaten!$A42="Geprüft",Programme_Grunddaten!AA42&lt;&gt;""),IF(Programme_Grunddaten!AA42="monolithisch",1,0),"")</f>
        <v/>
      </c>
      <c r="T34" s="1">
        <f>IF(AND(Programme_Grunddaten!$A42="Geprüft",Programme_Grunddaten!AB42&lt;&gt;""),IF(Programme_Grunddaten!AB42="Ja",1,0),"")</f>
        <v>1</v>
      </c>
      <c r="U34" s="1">
        <f>IF(AND(Programme_Grunddaten!$A42="Geprüft",Programme_Grunddaten!AC42&lt;&gt;""),IF(Programme_Grunddaten!AC42="Ja",1,0),"")</f>
        <v>1</v>
      </c>
      <c r="V34" s="1" t="str">
        <f>IF(AND(Programme_Grunddaten!$A42="Geprüft",Programme_Grunddaten!AD42&lt;&gt;""),IF(Programme_Grunddaten!AD42="Ja",1,0),"")</f>
        <v/>
      </c>
      <c r="W34" s="1">
        <f>IF(AND(Programme_Grunddaten!$A42="Geprüft",Programme_Grunddaten!AE42&lt;&gt;""),IF(Programme_Grunddaten!AE42="Ja",1,0),"")</f>
        <v>1</v>
      </c>
      <c r="X34" s="1" t="str">
        <f>IF(AND(Programme_Grunddaten!$A42="Geprüft",Programme_Grunddaten!AF42&lt;&gt;""),IF(Programme_Grunddaten!AF42="Ja",1,0),"")</f>
        <v/>
      </c>
      <c r="Y34" s="1">
        <f>IF(AND(Programme_Grunddaten!$A42="Geprüft",Programme_Grunddaten!AG42&lt;&gt;""),IF(Programme_Grunddaten!AG42="Ja",1,0),"")</f>
        <v>1</v>
      </c>
      <c r="Z34" s="1" t="str">
        <f>IF(AND(Programme_Grunddaten!$A42="Geprüft",Programme_Grunddaten!AH42&lt;&gt;""),IF(Programme_Grunddaten!AH42="Ja",1,0),"")</f>
        <v/>
      </c>
      <c r="AA34" s="1" t="str">
        <f>IF(AND(Programme_Grunddaten!$A42="Geprüft",Programme_Grunddaten!AI42&lt;&gt;""),IF(Programme_Grunddaten!AI42="Ja",1,0),"")</f>
        <v/>
      </c>
      <c r="AB34" s="1" t="str">
        <f>IF(AND(Programme_Grunddaten!$A42="Geprüft",Programme_Grunddaten!AJ42&lt;&gt;""),IF(Programme_Grunddaten!AJ42="individuell programmierbar",1,0),"")</f>
        <v/>
      </c>
      <c r="AC34" s="1">
        <f>IF(AND(Programme_Grunddaten!$A42="Geprüft",Programme_Grunddaten!AK42&lt;&gt;""),IF(Programme_Grunddaten!AK42="Deutsch",0,IF(Programme_Grunddaten!AK42="Deutsch und Englisch",1,2)),"")</f>
        <v>2</v>
      </c>
      <c r="AD34" s="1">
        <f>IF(AND(Programme_Grunddaten!$A42="Geprüft",Programme_Grunddaten!AL42&lt;&gt;""),IF(Programme_Grunddaten!AL42="Ja",1,0),"")</f>
        <v>1</v>
      </c>
      <c r="AE34" s="1">
        <f>IF(AND(Programme_Grunddaten!$A42="Geprüft",Programme_Grunddaten!AM42&lt;&gt;""),IF(Programme_Grunddaten!AM42="Ja",1,0),"")</f>
        <v>0</v>
      </c>
      <c r="AF34" s="1" t="str">
        <f>IF(AND(Programme_Grunddaten!$A42="Geprüft",Programme_Grunddaten!AN42&lt;&gt;""),IF(Programme_Grunddaten!AN42="Ja",1,0),"")</f>
        <v/>
      </c>
      <c r="AG34" s="1">
        <f>IF(AND(Programme_Grunddaten!$A42="Geprüft",Programme_Grunddaten!AO42&lt;&gt;""),IF(Programme_Grunddaten!AO42="Ja",1,0),"")</f>
        <v>0</v>
      </c>
      <c r="AH34" s="1" t="str">
        <f>IF(AND(Programme_Grunddaten!$A42="Geprüft",Programme_Grunddaten!AP42&lt;&gt;""),IF(Programme_Grunddaten!AP42="Ja",1,0),"")</f>
        <v/>
      </c>
      <c r="AI34" s="1">
        <f>IF(AND(Programme_Grunddaten!$A42="Geprüft",Programme_Grunddaten!AQ42&lt;&gt;""),IF(Programme_Grunddaten!AQ42="Ja",1,0),"")</f>
        <v>1</v>
      </c>
      <c r="AJ34" s="1">
        <f>IF(AND(Programme_Grunddaten!$A42="Geprüft",Programme_Grunddaten!AR42&lt;&gt;""),IF(Programme_Grunddaten!AR42="Ja",1,0),"")</f>
        <v>1</v>
      </c>
      <c r="AK34" s="1">
        <f>IF(AND(Programme_Grunddaten!$A42="Geprüft",Programme_Grunddaten!AS42&lt;&gt;""),IF(Programme_Grunddaten!AS42="Ja",1,0),"")</f>
        <v>1</v>
      </c>
      <c r="AL34" s="1">
        <f>IF(AND(Programme_Grunddaten!$A42="Geprüft",Programme_Grunddaten!AT42&lt;&gt;""),IF(Programme_Grunddaten!AT42="Ja",1,0),"")</f>
        <v>1</v>
      </c>
      <c r="AM34" s="1">
        <f>IF(AND(Programme_Grunddaten!$A42="Geprüft",Programme_Grunddaten!AU42&lt;&gt;""),IF(Programme_Grunddaten!AU42="Ja",1,0),"")</f>
        <v>1</v>
      </c>
      <c r="AN34" s="1">
        <f>IF(AND(Programme_Grunddaten!$A42="Geprüft",Programme_Grunddaten!AV42&lt;&gt;""),IF(Programme_Grunddaten!AV42="Ja",1,0),"")</f>
        <v>0</v>
      </c>
    </row>
    <row r="35" spans="1:40" x14ac:dyDescent="0.3">
      <c r="A35" s="1" t="str">
        <f>IF(AND(Programme_Grunddaten!A43="Geprüft",Programme_Grunddaten!B43&lt;&gt;""),Programme_Grunddaten!B43,"")</f>
        <v>P34</v>
      </c>
      <c r="B35" s="1">
        <f>IF(AND(Programme_Grunddaten!$A43="Geprüft",Programme_Grunddaten!I43&lt;&gt;""),IF(Programme_Grunddaten!I43="Ja",1,0),"")</f>
        <v>0</v>
      </c>
      <c r="C35" s="1">
        <f>IF(AND(Programme_Grunddaten!$A43="Geprüft",Programme_Grunddaten!J43&lt;&gt;""),IF(Programme_Grunddaten!J43="Ja",1,0),"")</f>
        <v>1</v>
      </c>
      <c r="D35" s="1" t="str">
        <f>IF(AND(Programme_Grunddaten!$A43="Geprüft",Programme_Grunddaten!K43&lt;&gt;""),IF(Programme_Grunddaten!K43="Ja",1,0),"")</f>
        <v/>
      </c>
      <c r="E35" s="1" t="str">
        <f>IF(AND(Programme_Grunddaten!$A43="Geprüft",Programme_Grunddaten!L43&lt;&gt;""),IF(Programme_Grunddaten!L43="Abo / befristete Lizenz",1,0),"")</f>
        <v/>
      </c>
      <c r="F35" s="1">
        <f>IF(AND(Programme_Grunddaten!$A43="Geprüft",Programme_Grunddaten!M43&lt;&gt;""),IF(Programme_Grunddaten!M43="Ja",1,0),"")</f>
        <v>0</v>
      </c>
      <c r="G35" s="1">
        <f>IF(AND(Programme_Grunddaten!$A43="Geprüft",Programme_Grunddaten!N43&lt;&gt;""),IF(Programme_Grunddaten!N43="Ja",1,0),"")</f>
        <v>1</v>
      </c>
      <c r="H35" s="1" t="str">
        <f>IF(AND(Programme_Grunddaten!$A43="Geprüft",Programme_Grunddaten!O43&lt;&gt;""),IF(Programme_Grunddaten!O43="Deutschland",0,IF(Programme_Grunddaten!O43="EU",1,2)),"")</f>
        <v/>
      </c>
      <c r="I35" s="1" t="str">
        <f>IF(AND(Programme_Grunddaten!$A43="Geprüft",Programme_Grunddaten!P43&lt;&gt;""),IF(Programme_Grunddaten!P43="Ja",1,0),"")</f>
        <v/>
      </c>
      <c r="J35" s="1">
        <f>IF(AND(Programme_Grunddaten!$A43="Geprüft",Programme_Grunddaten!Q43&lt;&gt;""),IF(Programme_Grunddaten!Q43="geschlossenes System",1,0),"")</f>
        <v>0</v>
      </c>
      <c r="K35" s="1">
        <f>IF(AND(Programme_Grunddaten!$A43="Geprüft",Programme_Grunddaten!R43&lt;&gt;""),IF(Programme_Grunddaten!R43="Ja",1,0),"")</f>
        <v>1</v>
      </c>
      <c r="L35" s="1">
        <f>IF(AND(Programme_Grunddaten!$A43="Geprüft",Programme_Grunddaten!T43&lt;&gt;""),IF(Programme_Grunddaten!T43="Ja",1,0),"")</f>
        <v>1</v>
      </c>
      <c r="M35" s="1">
        <f>IF(AND(Programme_Grunddaten!$A43="Geprüft",Programme_Grunddaten!U43&lt;&gt;""),IF(Programme_Grunddaten!U43="Ja",1,0),"")</f>
        <v>1</v>
      </c>
      <c r="N35" s="1">
        <f>IF(AND(Programme_Grunddaten!$A43="Geprüft",Programme_Grunddaten!V43&lt;&gt;""),IF(Programme_Grunddaten!V43="Ja",1,0),"")</f>
        <v>1</v>
      </c>
      <c r="O35" s="1" t="str">
        <f>IF(AND(Programme_Grunddaten!$A43="Geprüft",Programme_Grunddaten!W43&lt;&gt;""),IF(Programme_Grunddaten!W43="Ja",1,0),"")</f>
        <v/>
      </c>
      <c r="P35" s="1" t="str">
        <f>IF(AND(Programme_Grunddaten!$A43="Geprüft",Programme_Grunddaten!X43&lt;&gt;""),IF(Programme_Grunddaten!X43="Ja",1,0),"")</f>
        <v/>
      </c>
      <c r="Q35" s="1" t="str">
        <f>IF(AND(Programme_Grunddaten!$A43="Geprüft",Programme_Grunddaten!Y43&lt;&gt;""),IF(Programme_Grunddaten!Y43="Ja",1,0),"")</f>
        <v/>
      </c>
      <c r="R35" s="1">
        <f>IF(AND(Programme_Grunddaten!$A43="Geprüft",Programme_Grunddaten!Z43&lt;&gt;""),IF(Programme_Grunddaten!Z43="Ja",1,0),"")</f>
        <v>1</v>
      </c>
      <c r="S35" s="1" t="str">
        <f>IF(AND(Programme_Grunddaten!$A43="Geprüft",Programme_Grunddaten!AA43&lt;&gt;""),IF(Programme_Grunddaten!AA43="monolithisch",1,0),"")</f>
        <v/>
      </c>
      <c r="T35" s="1">
        <f>IF(AND(Programme_Grunddaten!$A43="Geprüft",Programme_Grunddaten!AB43&lt;&gt;""),IF(Programme_Grunddaten!AB43="Ja",1,0),"")</f>
        <v>1</v>
      </c>
      <c r="U35" s="1" t="str">
        <f>IF(AND(Programme_Grunddaten!$A43="Geprüft",Programme_Grunddaten!AC43&lt;&gt;""),IF(Programme_Grunddaten!AC43="Ja",1,0),"")</f>
        <v/>
      </c>
      <c r="V35" s="1" t="str">
        <f>IF(AND(Programme_Grunddaten!$A43="Geprüft",Programme_Grunddaten!AD43&lt;&gt;""),IF(Programme_Grunddaten!AD43="Ja",1,0),"")</f>
        <v/>
      </c>
      <c r="W35" s="1" t="str">
        <f>IF(AND(Programme_Grunddaten!$A43="Geprüft",Programme_Grunddaten!AE43&lt;&gt;""),IF(Programme_Grunddaten!AE43="Ja",1,0),"")</f>
        <v/>
      </c>
      <c r="X35" s="1" t="str">
        <f>IF(AND(Programme_Grunddaten!$A43="Geprüft",Programme_Grunddaten!AF43&lt;&gt;""),IF(Programme_Grunddaten!AF43="Ja",1,0),"")</f>
        <v/>
      </c>
      <c r="Y35" s="1">
        <f>IF(AND(Programme_Grunddaten!$A43="Geprüft",Programme_Grunddaten!AG43&lt;&gt;""),IF(Programme_Grunddaten!AG43="Ja",1,0),"")</f>
        <v>1</v>
      </c>
      <c r="Z35" s="1" t="str">
        <f>IF(AND(Programme_Grunddaten!$A43="Geprüft",Programme_Grunddaten!AH43&lt;&gt;""),IF(Programme_Grunddaten!AH43="Ja",1,0),"")</f>
        <v/>
      </c>
      <c r="AA35" s="1">
        <f>IF(AND(Programme_Grunddaten!$A43="Geprüft",Programme_Grunddaten!AI43&lt;&gt;""),IF(Programme_Grunddaten!AI43="Ja",1,0),"")</f>
        <v>1</v>
      </c>
      <c r="AB35" s="1" t="str">
        <f>IF(AND(Programme_Grunddaten!$A43="Geprüft",Programme_Grunddaten!AJ43&lt;&gt;""),IF(Programme_Grunddaten!AJ43="individuell programmierbar",1,0),"")</f>
        <v/>
      </c>
      <c r="AC35" s="1">
        <f>IF(AND(Programme_Grunddaten!$A43="Geprüft",Programme_Grunddaten!AK43&lt;&gt;""),IF(Programme_Grunddaten!AK43="Deutsch",0,IF(Programme_Grunddaten!AK43="Deutsch und Englisch",1,2)),"")</f>
        <v>2</v>
      </c>
      <c r="AD35" s="1" t="str">
        <f>IF(AND(Programme_Grunddaten!$A43="Geprüft",Programme_Grunddaten!AL43&lt;&gt;""),IF(Programme_Grunddaten!AL43="Ja",1,0),"")</f>
        <v/>
      </c>
      <c r="AE35" s="1" t="str">
        <f>IF(AND(Programme_Grunddaten!$A43="Geprüft",Programme_Grunddaten!AM43&lt;&gt;""),IF(Programme_Grunddaten!AM43="Ja",1,0),"")</f>
        <v/>
      </c>
      <c r="AF35" s="1" t="str">
        <f>IF(AND(Programme_Grunddaten!$A43="Geprüft",Programme_Grunddaten!AN43&lt;&gt;""),IF(Programme_Grunddaten!AN43="Ja",1,0),"")</f>
        <v/>
      </c>
      <c r="AG35" s="1">
        <f>IF(AND(Programme_Grunddaten!$A43="Geprüft",Programme_Grunddaten!AO43&lt;&gt;""),IF(Programme_Grunddaten!AO43="Ja",1,0),"")</f>
        <v>0</v>
      </c>
      <c r="AH35" s="1" t="str">
        <f>IF(AND(Programme_Grunddaten!$A43="Geprüft",Programme_Grunddaten!AP43&lt;&gt;""),IF(Programme_Grunddaten!AP43="Ja",1,0),"")</f>
        <v/>
      </c>
      <c r="AI35" s="1">
        <f>IF(AND(Programme_Grunddaten!$A43="Geprüft",Programme_Grunddaten!AQ43&lt;&gt;""),IF(Programme_Grunddaten!AQ43="Ja",1,0),"")</f>
        <v>1</v>
      </c>
      <c r="AJ35" s="1">
        <f>IF(AND(Programme_Grunddaten!$A43="Geprüft",Programme_Grunddaten!AR43&lt;&gt;""),IF(Programme_Grunddaten!AR43="Ja",1,0),"")</f>
        <v>1</v>
      </c>
      <c r="AK35" s="1">
        <f>IF(AND(Programme_Grunddaten!$A43="Geprüft",Programme_Grunddaten!AS43&lt;&gt;""),IF(Programme_Grunddaten!AS43="Ja",1,0),"")</f>
        <v>1</v>
      </c>
      <c r="AL35" s="1" t="str">
        <f>IF(AND(Programme_Grunddaten!$A43="Geprüft",Programme_Grunddaten!AT43&lt;&gt;""),IF(Programme_Grunddaten!AT43="Ja",1,0),"")</f>
        <v/>
      </c>
      <c r="AM35" s="1">
        <f>IF(AND(Programme_Grunddaten!$A43="Geprüft",Programme_Grunddaten!AU43&lt;&gt;""),IF(Programme_Grunddaten!AU43="Ja",1,0),"")</f>
        <v>1</v>
      </c>
      <c r="AN35" s="1" t="str">
        <f>IF(AND(Programme_Grunddaten!$A43="Geprüft",Programme_Grunddaten!AV43&lt;&gt;""),IF(Programme_Grunddaten!AV43="Ja",1,0),"")</f>
        <v/>
      </c>
    </row>
    <row r="36" spans="1:40" x14ac:dyDescent="0.3">
      <c r="A36" s="1" t="str">
        <f>IF(AND(Programme_Grunddaten!A44="Geprüft",Programme_Grunddaten!B44&lt;&gt;""),Programme_Grunddaten!B44,"")</f>
        <v>P35</v>
      </c>
      <c r="B36" s="1">
        <f>IF(AND(Programme_Grunddaten!$A44="Geprüft",Programme_Grunddaten!I44&lt;&gt;""),IF(Programme_Grunddaten!I44="Ja",1,0),"")</f>
        <v>0</v>
      </c>
      <c r="C36" s="1">
        <f>IF(AND(Programme_Grunddaten!$A44="Geprüft",Programme_Grunddaten!J44&lt;&gt;""),IF(Programme_Grunddaten!J44="Ja",1,0),"")</f>
        <v>1</v>
      </c>
      <c r="D36" s="1">
        <f>IF(AND(Programme_Grunddaten!$A44="Geprüft",Programme_Grunddaten!K44&lt;&gt;""),IF(Programme_Grunddaten!K44="Ja",1,0),"")</f>
        <v>0</v>
      </c>
      <c r="E36" s="1">
        <f>IF(AND(Programme_Grunddaten!$A44="Geprüft",Programme_Grunddaten!L44&lt;&gt;""),IF(Programme_Grunddaten!L44="Abo / befristete Lizenz",1,0),"")</f>
        <v>1</v>
      </c>
      <c r="F36" s="1">
        <f>IF(AND(Programme_Grunddaten!$A44="Geprüft",Programme_Grunddaten!M44&lt;&gt;""),IF(Programme_Grunddaten!M44="Ja",1,0),"")</f>
        <v>0</v>
      </c>
      <c r="G36" s="1">
        <f>IF(AND(Programme_Grunddaten!$A44="Geprüft",Programme_Grunddaten!N44&lt;&gt;""),IF(Programme_Grunddaten!N44="Ja",1,0),"")</f>
        <v>1</v>
      </c>
      <c r="H36" s="1">
        <f>IF(AND(Programme_Grunddaten!$A44="Geprüft",Programme_Grunddaten!O44&lt;&gt;""),IF(Programme_Grunddaten!O44="Deutschland",0,IF(Programme_Grunddaten!O44="EU",1,2)),"")</f>
        <v>0</v>
      </c>
      <c r="I36" s="1">
        <f>IF(AND(Programme_Grunddaten!$A44="Geprüft",Programme_Grunddaten!P44&lt;&gt;""),IF(Programme_Grunddaten!P44="Ja",1,0),"")</f>
        <v>1</v>
      </c>
      <c r="J36" s="1">
        <f>IF(AND(Programme_Grunddaten!$A44="Geprüft",Programme_Grunddaten!Q44&lt;&gt;""),IF(Programme_Grunddaten!Q44="geschlossenes System",1,0),"")</f>
        <v>0</v>
      </c>
      <c r="K36" s="1" t="str">
        <f>IF(AND(Programme_Grunddaten!$A44="Geprüft",Programme_Grunddaten!R44&lt;&gt;""),IF(Programme_Grunddaten!R44="Ja",1,0),"")</f>
        <v/>
      </c>
      <c r="L36" s="1">
        <f>IF(AND(Programme_Grunddaten!$A44="Geprüft",Programme_Grunddaten!T44&lt;&gt;""),IF(Programme_Grunddaten!T44="Ja",1,0),"")</f>
        <v>1</v>
      </c>
      <c r="M36" s="1">
        <f>IF(AND(Programme_Grunddaten!$A44="Geprüft",Programme_Grunddaten!U44&lt;&gt;""),IF(Programme_Grunddaten!U44="Ja",1,0),"")</f>
        <v>1</v>
      </c>
      <c r="N36" s="1" t="str">
        <f>IF(AND(Programme_Grunddaten!$A44="Geprüft",Programme_Grunddaten!V44&lt;&gt;""),IF(Programme_Grunddaten!V44="Ja",1,0),"")</f>
        <v/>
      </c>
      <c r="O36" s="1" t="str">
        <f>IF(AND(Programme_Grunddaten!$A44="Geprüft",Programme_Grunddaten!W44&lt;&gt;""),IF(Programme_Grunddaten!W44="Ja",1,0),"")</f>
        <v/>
      </c>
      <c r="P36" s="1" t="str">
        <f>IF(AND(Programme_Grunddaten!$A44="Geprüft",Programme_Grunddaten!X44&lt;&gt;""),IF(Programme_Grunddaten!X44="Ja",1,0),"")</f>
        <v/>
      </c>
      <c r="Q36" s="1" t="str">
        <f>IF(AND(Programme_Grunddaten!$A44="Geprüft",Programme_Grunddaten!Y44&lt;&gt;""),IF(Programme_Grunddaten!Y44="Ja",1,0),"")</f>
        <v/>
      </c>
      <c r="R36" s="1">
        <f>IF(AND(Programme_Grunddaten!$A44="Geprüft",Programme_Grunddaten!Z44&lt;&gt;""),IF(Programme_Grunddaten!Z44="Ja",1,0),"")</f>
        <v>0</v>
      </c>
      <c r="S36" s="1">
        <f>IF(AND(Programme_Grunddaten!$A44="Geprüft",Programme_Grunddaten!AA44&lt;&gt;""),IF(Programme_Grunddaten!AA44="monolithisch",1,0),"")</f>
        <v>0</v>
      </c>
      <c r="T36" s="1">
        <f>IF(AND(Programme_Grunddaten!$A44="Geprüft",Programme_Grunddaten!AB44&lt;&gt;""),IF(Programme_Grunddaten!AB44="Ja",1,0),"")</f>
        <v>1</v>
      </c>
      <c r="U36" s="1" t="str">
        <f>IF(AND(Programme_Grunddaten!$A44="Geprüft",Programme_Grunddaten!AC44&lt;&gt;""),IF(Programme_Grunddaten!AC44="Ja",1,0),"")</f>
        <v/>
      </c>
      <c r="V36" s="1" t="str">
        <f>IF(AND(Programme_Grunddaten!$A44="Geprüft",Programme_Grunddaten!AD44&lt;&gt;""),IF(Programme_Grunddaten!AD44="Ja",1,0),"")</f>
        <v/>
      </c>
      <c r="W36" s="1" t="str">
        <f>IF(AND(Programme_Grunddaten!$A44="Geprüft",Programme_Grunddaten!AE44&lt;&gt;""),IF(Programme_Grunddaten!AE44="Ja",1,0),"")</f>
        <v/>
      </c>
      <c r="X36" s="1">
        <f>IF(AND(Programme_Grunddaten!$A44="Geprüft",Programme_Grunddaten!AF44&lt;&gt;""),IF(Programme_Grunddaten!AF44="Ja",1,0),"")</f>
        <v>1</v>
      </c>
      <c r="Y36" s="1" t="str">
        <f>IF(AND(Programme_Grunddaten!$A44="Geprüft",Programme_Grunddaten!AG44&lt;&gt;""),IF(Programme_Grunddaten!AG44="Ja",1,0),"")</f>
        <v/>
      </c>
      <c r="Z36" s="1" t="str">
        <f>IF(AND(Programme_Grunddaten!$A44="Geprüft",Programme_Grunddaten!AH44&lt;&gt;""),IF(Programme_Grunddaten!AH44="Ja",1,0),"")</f>
        <v/>
      </c>
      <c r="AA36" s="1">
        <f>IF(AND(Programme_Grunddaten!$A44="Geprüft",Programme_Grunddaten!AI44&lt;&gt;""),IF(Programme_Grunddaten!AI44="Ja",1,0),"")</f>
        <v>1</v>
      </c>
      <c r="AB36" s="1" t="str">
        <f>IF(AND(Programme_Grunddaten!$A44="Geprüft",Programme_Grunddaten!AJ44&lt;&gt;""),IF(Programme_Grunddaten!AJ44="individuell programmierbar",1,0),"")</f>
        <v/>
      </c>
      <c r="AC36" s="1" t="str">
        <f>IF(AND(Programme_Grunddaten!$A44="Geprüft",Programme_Grunddaten!AK44&lt;&gt;""),IF(Programme_Grunddaten!AK44="Deutsch",0,IF(Programme_Grunddaten!AK44="Deutsch und Englisch",1,2)),"")</f>
        <v/>
      </c>
      <c r="AD36" s="1" t="str">
        <f>IF(AND(Programme_Grunddaten!$A44="Geprüft",Programme_Grunddaten!AL44&lt;&gt;""),IF(Programme_Grunddaten!AL44="Ja",1,0),"")</f>
        <v/>
      </c>
      <c r="AE36" s="1">
        <f>IF(AND(Programme_Grunddaten!$A44="Geprüft",Programme_Grunddaten!AM44&lt;&gt;""),IF(Programme_Grunddaten!AM44="Ja",1,0),"")</f>
        <v>0</v>
      </c>
      <c r="AF36" s="1" t="str">
        <f>IF(AND(Programme_Grunddaten!$A44="Geprüft",Programme_Grunddaten!AN44&lt;&gt;""),IF(Programme_Grunddaten!AN44="Ja",1,0),"")</f>
        <v/>
      </c>
      <c r="AG36" s="1">
        <f>IF(AND(Programme_Grunddaten!$A44="Geprüft",Programme_Grunddaten!AO44&lt;&gt;""),IF(Programme_Grunddaten!AO44="Ja",1,0),"")</f>
        <v>0</v>
      </c>
      <c r="AH36" s="1" t="str">
        <f>IF(AND(Programme_Grunddaten!$A44="Geprüft",Programme_Grunddaten!AP44&lt;&gt;""),IF(Programme_Grunddaten!AP44="Ja",1,0),"")</f>
        <v/>
      </c>
      <c r="AI36" s="1">
        <f>IF(AND(Programme_Grunddaten!$A44="Geprüft",Programme_Grunddaten!AQ44&lt;&gt;""),IF(Programme_Grunddaten!AQ44="Ja",1,0),"")</f>
        <v>1</v>
      </c>
      <c r="AJ36" s="1">
        <f>IF(AND(Programme_Grunddaten!$A44="Geprüft",Programme_Grunddaten!AR44&lt;&gt;""),IF(Programme_Grunddaten!AR44="Ja",1,0),"")</f>
        <v>1</v>
      </c>
      <c r="AK36" s="1" t="str">
        <f>IF(AND(Programme_Grunddaten!$A44="Geprüft",Programme_Grunddaten!AS44&lt;&gt;""),IF(Programme_Grunddaten!AS44="Ja",1,0),"")</f>
        <v/>
      </c>
      <c r="AL36" s="1" t="str">
        <f>IF(AND(Programme_Grunddaten!$A44="Geprüft",Programme_Grunddaten!AT44&lt;&gt;""),IF(Programme_Grunddaten!AT44="Ja",1,0),"")</f>
        <v/>
      </c>
      <c r="AM36" s="1" t="str">
        <f>IF(AND(Programme_Grunddaten!$A44="Geprüft",Programme_Grunddaten!AU44&lt;&gt;""),IF(Programme_Grunddaten!AU44="Ja",1,0),"")</f>
        <v/>
      </c>
      <c r="AN36" s="1" t="str">
        <f>IF(AND(Programme_Grunddaten!$A44="Geprüft",Programme_Grunddaten!AV44&lt;&gt;""),IF(Programme_Grunddaten!AV44="Ja",1,0),"")</f>
        <v/>
      </c>
    </row>
    <row r="37" spans="1:40" x14ac:dyDescent="0.3">
      <c r="A37" s="1" t="str">
        <f>IF(AND(Programme_Grunddaten!A45="Geprüft",Programme_Grunddaten!B45&lt;&gt;""),Programme_Grunddaten!B45,"")</f>
        <v>P36</v>
      </c>
      <c r="B37" s="1">
        <f>IF(AND(Programme_Grunddaten!$A45="Geprüft",Programme_Grunddaten!I45&lt;&gt;""),IF(Programme_Grunddaten!I45="Ja",1,0),"")</f>
        <v>0</v>
      </c>
      <c r="C37" s="1">
        <f>IF(AND(Programme_Grunddaten!$A45="Geprüft",Programme_Grunddaten!J45&lt;&gt;""),IF(Programme_Grunddaten!J45="Ja",1,0),"")</f>
        <v>1</v>
      </c>
      <c r="D37" s="1">
        <f>IF(AND(Programme_Grunddaten!$A45="Geprüft",Programme_Grunddaten!K45&lt;&gt;""),IF(Programme_Grunddaten!K45="Ja",1,0),"")</f>
        <v>0</v>
      </c>
      <c r="E37" s="1">
        <f>IF(AND(Programme_Grunddaten!$A45="Geprüft",Programme_Grunddaten!L45&lt;&gt;""),IF(Programme_Grunddaten!L45="Abo / befristete Lizenz",1,0),"")</f>
        <v>1</v>
      </c>
      <c r="F37" s="1">
        <f>IF(AND(Programme_Grunddaten!$A45="Geprüft",Programme_Grunddaten!M45&lt;&gt;""),IF(Programme_Grunddaten!M45="Ja",1,0),"")</f>
        <v>0</v>
      </c>
      <c r="G37" s="1">
        <f>IF(AND(Programme_Grunddaten!$A45="Geprüft",Programme_Grunddaten!N45&lt;&gt;""),IF(Programme_Grunddaten!N45="Ja",1,0),"")</f>
        <v>1</v>
      </c>
      <c r="H37" s="1" t="str">
        <f>IF(AND(Programme_Grunddaten!$A45="Geprüft",Programme_Grunddaten!O45&lt;&gt;""),IF(Programme_Grunddaten!O45="Deutschland",0,IF(Programme_Grunddaten!O45="EU",1,2)),"")</f>
        <v/>
      </c>
      <c r="I37" s="1">
        <f>IF(AND(Programme_Grunddaten!$A45="Geprüft",Programme_Grunddaten!P45&lt;&gt;""),IF(Programme_Grunddaten!P45="Ja",1,0),"")</f>
        <v>1</v>
      </c>
      <c r="J37" s="1">
        <f>IF(AND(Programme_Grunddaten!$A45="Geprüft",Programme_Grunddaten!Q45&lt;&gt;""),IF(Programme_Grunddaten!Q45="geschlossenes System",1,0),"")</f>
        <v>0</v>
      </c>
      <c r="K37" s="1" t="str">
        <f>IF(AND(Programme_Grunddaten!$A45="Geprüft",Programme_Grunddaten!R45&lt;&gt;""),IF(Programme_Grunddaten!R45="Ja",1,0),"")</f>
        <v/>
      </c>
      <c r="L37" s="1">
        <f>IF(AND(Programme_Grunddaten!$A45="Geprüft",Programme_Grunddaten!T45&lt;&gt;""),IF(Programme_Grunddaten!T45="Ja",1,0),"")</f>
        <v>1</v>
      </c>
      <c r="M37" s="1" t="str">
        <f>IF(AND(Programme_Grunddaten!$A45="Geprüft",Programme_Grunddaten!U45&lt;&gt;""),IF(Programme_Grunddaten!U45="Ja",1,0),"")</f>
        <v/>
      </c>
      <c r="N37" s="1" t="str">
        <f>IF(AND(Programme_Grunddaten!$A45="Geprüft",Programme_Grunddaten!V45&lt;&gt;""),IF(Programme_Grunddaten!V45="Ja",1,0),"")</f>
        <v/>
      </c>
      <c r="O37" s="1">
        <f>IF(AND(Programme_Grunddaten!$A45="Geprüft",Programme_Grunddaten!W45&lt;&gt;""),IF(Programme_Grunddaten!W45="Ja",1,0),"")</f>
        <v>0</v>
      </c>
      <c r="P37" s="1" t="str">
        <f>IF(AND(Programme_Grunddaten!$A45="Geprüft",Programme_Grunddaten!X45&lt;&gt;""),IF(Programme_Grunddaten!X45="Ja",1,0),"")</f>
        <v/>
      </c>
      <c r="Q37" s="1" t="str">
        <f>IF(AND(Programme_Grunddaten!$A45="Geprüft",Programme_Grunddaten!Y45&lt;&gt;""),IF(Programme_Grunddaten!Y45="Ja",1,0),"")</f>
        <v/>
      </c>
      <c r="R37" s="1">
        <f>IF(AND(Programme_Grunddaten!$A45="Geprüft",Programme_Grunddaten!Z45&lt;&gt;""),IF(Programme_Grunddaten!Z45="Ja",1,0),"")</f>
        <v>1</v>
      </c>
      <c r="S37" s="1" t="str">
        <f>IF(AND(Programme_Grunddaten!$A45="Geprüft",Programme_Grunddaten!AA45&lt;&gt;""),IF(Programme_Grunddaten!AA45="monolithisch",1,0),"")</f>
        <v/>
      </c>
      <c r="T37" s="1">
        <f>IF(AND(Programme_Grunddaten!$A45="Geprüft",Programme_Grunddaten!AB45&lt;&gt;""),IF(Programme_Grunddaten!AB45="Ja",1,0),"")</f>
        <v>0</v>
      </c>
      <c r="U37" s="1" t="str">
        <f>IF(AND(Programme_Grunddaten!$A45="Geprüft",Programme_Grunddaten!AC45&lt;&gt;""),IF(Programme_Grunddaten!AC45="Ja",1,0),"")</f>
        <v/>
      </c>
      <c r="V37" s="1" t="str">
        <f>IF(AND(Programme_Grunddaten!$A45="Geprüft",Programme_Grunddaten!AD45&lt;&gt;""),IF(Programme_Grunddaten!AD45="Ja",1,0),"")</f>
        <v/>
      </c>
      <c r="W37" s="1" t="str">
        <f>IF(AND(Programme_Grunddaten!$A45="Geprüft",Programme_Grunddaten!AE45&lt;&gt;""),IF(Programme_Grunddaten!AE45="Ja",1,0),"")</f>
        <v/>
      </c>
      <c r="X37" s="1" t="str">
        <f>IF(AND(Programme_Grunddaten!$A45="Geprüft",Programme_Grunddaten!AF45&lt;&gt;""),IF(Programme_Grunddaten!AF45="Ja",1,0),"")</f>
        <v/>
      </c>
      <c r="Y37" s="1" t="str">
        <f>IF(AND(Programme_Grunddaten!$A45="Geprüft",Programme_Grunddaten!AG45&lt;&gt;""),IF(Programme_Grunddaten!AG45="Ja",1,0),"")</f>
        <v/>
      </c>
      <c r="Z37" s="1" t="str">
        <f>IF(AND(Programme_Grunddaten!$A45="Geprüft",Programme_Grunddaten!AH45&lt;&gt;""),IF(Programme_Grunddaten!AH45="Ja",1,0),"")</f>
        <v/>
      </c>
      <c r="AA37" s="1" t="str">
        <f>IF(AND(Programme_Grunddaten!$A45="Geprüft",Programme_Grunddaten!AI45&lt;&gt;""),IF(Programme_Grunddaten!AI45="Ja",1,0),"")</f>
        <v/>
      </c>
      <c r="AB37" s="1" t="str">
        <f>IF(AND(Programme_Grunddaten!$A45="Geprüft",Programme_Grunddaten!AJ45&lt;&gt;""),IF(Programme_Grunddaten!AJ45="individuell programmierbar",1,0),"")</f>
        <v/>
      </c>
      <c r="AC37" s="1">
        <f>IF(AND(Programme_Grunddaten!$A45="Geprüft",Programme_Grunddaten!AK45&lt;&gt;""),IF(Programme_Grunddaten!AK45="Deutsch",0,IF(Programme_Grunddaten!AK45="Deutsch und Englisch",1,2)),"")</f>
        <v>0</v>
      </c>
      <c r="AD37" s="1">
        <f>IF(AND(Programme_Grunddaten!$A45="Geprüft",Programme_Grunddaten!AL45&lt;&gt;""),IF(Programme_Grunddaten!AL45="Ja",1,0),"")</f>
        <v>1</v>
      </c>
      <c r="AE37" s="1" t="str">
        <f>IF(AND(Programme_Grunddaten!$A45="Geprüft",Programme_Grunddaten!AM45&lt;&gt;""),IF(Programme_Grunddaten!AM45="Ja",1,0),"")</f>
        <v/>
      </c>
      <c r="AF37" s="1" t="str">
        <f>IF(AND(Programme_Grunddaten!$A45="Geprüft",Programme_Grunddaten!AN45&lt;&gt;""),IF(Programme_Grunddaten!AN45="Ja",1,0),"")</f>
        <v/>
      </c>
      <c r="AG37" s="1">
        <f>IF(AND(Programme_Grunddaten!$A45="Geprüft",Programme_Grunddaten!AO45&lt;&gt;""),IF(Programme_Grunddaten!AO45="Ja",1,0),"")</f>
        <v>0</v>
      </c>
      <c r="AH37" s="1" t="str">
        <f>IF(AND(Programme_Grunddaten!$A45="Geprüft",Programme_Grunddaten!AP45&lt;&gt;""),IF(Programme_Grunddaten!AP45="Ja",1,0),"")</f>
        <v/>
      </c>
      <c r="AI37" s="1">
        <f>IF(AND(Programme_Grunddaten!$A45="Geprüft",Programme_Grunddaten!AQ45&lt;&gt;""),IF(Programme_Grunddaten!AQ45="Ja",1,0),"")</f>
        <v>1</v>
      </c>
      <c r="AJ37" s="1">
        <f>IF(AND(Programme_Grunddaten!$A45="Geprüft",Programme_Grunddaten!AR45&lt;&gt;""),IF(Programme_Grunddaten!AR45="Ja",1,0),"")</f>
        <v>1</v>
      </c>
      <c r="AK37" s="1" t="str">
        <f>IF(AND(Programme_Grunddaten!$A45="Geprüft",Programme_Grunddaten!AS45&lt;&gt;""),IF(Programme_Grunddaten!AS45="Ja",1,0),"")</f>
        <v/>
      </c>
      <c r="AL37" s="1" t="str">
        <f>IF(AND(Programme_Grunddaten!$A45="Geprüft",Programme_Grunddaten!AT45&lt;&gt;""),IF(Programme_Grunddaten!AT45="Ja",1,0),"")</f>
        <v/>
      </c>
      <c r="AM37" s="1" t="str">
        <f>IF(AND(Programme_Grunddaten!$A45="Geprüft",Programme_Grunddaten!AU45&lt;&gt;""),IF(Programme_Grunddaten!AU45="Ja",1,0),"")</f>
        <v/>
      </c>
      <c r="AN37" s="1" t="str">
        <f>IF(AND(Programme_Grunddaten!$A45="Geprüft",Programme_Grunddaten!AV45&lt;&gt;""),IF(Programme_Grunddaten!AV45="Ja",1,0),"")</f>
        <v/>
      </c>
    </row>
    <row r="38" spans="1:40" x14ac:dyDescent="0.3">
      <c r="A38" s="1" t="str">
        <f>IF(AND(Programme_Grunddaten!A46="Geprüft",Programme_Grunddaten!B46&lt;&gt;""),Programme_Grunddaten!B46,"")</f>
        <v>P37</v>
      </c>
      <c r="B38" s="1">
        <f>IF(AND(Programme_Grunddaten!$A46="Geprüft",Programme_Grunddaten!I46&lt;&gt;""),IF(Programme_Grunddaten!I46="Ja",1,0),"")</f>
        <v>0</v>
      </c>
      <c r="C38" s="1">
        <f>IF(AND(Programme_Grunddaten!$A46="Geprüft",Programme_Grunddaten!J46&lt;&gt;""),IF(Programme_Grunddaten!J46="Ja",1,0),"")</f>
        <v>1</v>
      </c>
      <c r="D38" s="1">
        <f>IF(AND(Programme_Grunddaten!$A46="Geprüft",Programme_Grunddaten!K46&lt;&gt;""),IF(Programme_Grunddaten!K46="Ja",1,0),"")</f>
        <v>0</v>
      </c>
      <c r="E38" s="1">
        <f>IF(AND(Programme_Grunddaten!$A46="Geprüft",Programme_Grunddaten!L46&lt;&gt;""),IF(Programme_Grunddaten!L46="Abo / befristete Lizenz",1,0),"")</f>
        <v>1</v>
      </c>
      <c r="F38" s="1">
        <f>IF(AND(Programme_Grunddaten!$A46="Geprüft",Programme_Grunddaten!M46&lt;&gt;""),IF(Programme_Grunddaten!M46="Ja",1,0),"")</f>
        <v>0</v>
      </c>
      <c r="G38" s="1">
        <f>IF(AND(Programme_Grunddaten!$A46="Geprüft",Programme_Grunddaten!N46&lt;&gt;""),IF(Programme_Grunddaten!N46="Ja",1,0),"")</f>
        <v>1</v>
      </c>
      <c r="H38" s="1">
        <f>IF(AND(Programme_Grunddaten!$A46="Geprüft",Programme_Grunddaten!O46&lt;&gt;""),IF(Programme_Grunddaten!O46="Deutschland",0,IF(Programme_Grunddaten!O46="EU",1,2)),"")</f>
        <v>1</v>
      </c>
      <c r="I38" s="1" t="str">
        <f>IF(AND(Programme_Grunddaten!$A46="Geprüft",Programme_Grunddaten!P46&lt;&gt;""),IF(Programme_Grunddaten!P46="Ja",1,0),"")</f>
        <v/>
      </c>
      <c r="J38" s="1">
        <f>IF(AND(Programme_Grunddaten!$A46="Geprüft",Programme_Grunddaten!Q46&lt;&gt;""),IF(Programme_Grunddaten!Q46="geschlossenes System",1,0),"")</f>
        <v>0</v>
      </c>
      <c r="K38" s="1">
        <f>IF(AND(Programme_Grunddaten!$A46="Geprüft",Programme_Grunddaten!R46&lt;&gt;""),IF(Programme_Grunddaten!R46="Ja",1,0),"")</f>
        <v>1</v>
      </c>
      <c r="L38" s="1" t="str">
        <f>IF(AND(Programme_Grunddaten!$A46="Geprüft",Programme_Grunddaten!T46&lt;&gt;""),IF(Programme_Grunddaten!T46="Ja",1,0),"")</f>
        <v/>
      </c>
      <c r="M38" s="1">
        <f>IF(AND(Programme_Grunddaten!$A46="Geprüft",Programme_Grunddaten!U46&lt;&gt;""),IF(Programme_Grunddaten!U46="Ja",1,0),"")</f>
        <v>1</v>
      </c>
      <c r="N38" s="1">
        <f>IF(AND(Programme_Grunddaten!$A46="Geprüft",Programme_Grunddaten!V46&lt;&gt;""),IF(Programme_Grunddaten!V46="Ja",1,0),"")</f>
        <v>1</v>
      </c>
      <c r="O38" s="1">
        <f>IF(AND(Programme_Grunddaten!$A46="Geprüft",Programme_Grunddaten!W46&lt;&gt;""),IF(Programme_Grunddaten!W46="Ja",1,0),"")</f>
        <v>1</v>
      </c>
      <c r="P38" s="1" t="str">
        <f>IF(AND(Programme_Grunddaten!$A46="Geprüft",Programme_Grunddaten!X46&lt;&gt;""),IF(Programme_Grunddaten!X46="Ja",1,0),"")</f>
        <v/>
      </c>
      <c r="Q38" s="1">
        <f>IF(AND(Programme_Grunddaten!$A46="Geprüft",Programme_Grunddaten!Y46&lt;&gt;""),IF(Programme_Grunddaten!Y46="Ja",1,0),"")</f>
        <v>1</v>
      </c>
      <c r="R38" s="1">
        <f>IF(AND(Programme_Grunddaten!$A46="Geprüft",Programme_Grunddaten!Z46&lt;&gt;""),IF(Programme_Grunddaten!Z46="Ja",1,0),"")</f>
        <v>0</v>
      </c>
      <c r="S38" s="1">
        <f>IF(AND(Programme_Grunddaten!$A46="Geprüft",Programme_Grunddaten!AA46&lt;&gt;""),IF(Programme_Grunddaten!AA46="monolithisch",1,0),"")</f>
        <v>1</v>
      </c>
      <c r="T38" s="1">
        <f>IF(AND(Programme_Grunddaten!$A46="Geprüft",Programme_Grunddaten!AB46&lt;&gt;""),IF(Programme_Grunddaten!AB46="Ja",1,0),"")</f>
        <v>1</v>
      </c>
      <c r="U38" s="1" t="str">
        <f>IF(AND(Programme_Grunddaten!$A46="Geprüft",Programme_Grunddaten!AC46&lt;&gt;""),IF(Programme_Grunddaten!AC46="Ja",1,0),"")</f>
        <v/>
      </c>
      <c r="V38" s="1" t="str">
        <f>IF(AND(Programme_Grunddaten!$A46="Geprüft",Programme_Grunddaten!AD46&lt;&gt;""),IF(Programme_Grunddaten!AD46="Ja",1,0),"")</f>
        <v/>
      </c>
      <c r="W38" s="1" t="str">
        <f>IF(AND(Programme_Grunddaten!$A46="Geprüft",Programme_Grunddaten!AE46&lt;&gt;""),IF(Programme_Grunddaten!AE46="Ja",1,0),"")</f>
        <v/>
      </c>
      <c r="X38" s="1">
        <f>IF(AND(Programme_Grunddaten!$A46="Geprüft",Programme_Grunddaten!AF46&lt;&gt;""),IF(Programme_Grunddaten!AF46="Ja",1,0),"")</f>
        <v>1</v>
      </c>
      <c r="Y38" s="1">
        <f>IF(AND(Programme_Grunddaten!$A46="Geprüft",Programme_Grunddaten!AG46&lt;&gt;""),IF(Programme_Grunddaten!AG46="Ja",1,0),"")</f>
        <v>1</v>
      </c>
      <c r="Z38" s="1" t="str">
        <f>IF(AND(Programme_Grunddaten!$A46="Geprüft",Programme_Grunddaten!AH46&lt;&gt;""),IF(Programme_Grunddaten!AH46="Ja",1,0),"")</f>
        <v/>
      </c>
      <c r="AA38" s="1">
        <f>IF(AND(Programme_Grunddaten!$A46="Geprüft",Programme_Grunddaten!AI46&lt;&gt;""),IF(Programme_Grunddaten!AI46="Ja",1,0),"")</f>
        <v>1</v>
      </c>
      <c r="AB38" s="1" t="str">
        <f>IF(AND(Programme_Grunddaten!$A46="Geprüft",Programme_Grunddaten!AJ46&lt;&gt;""),IF(Programme_Grunddaten!AJ46="individuell programmierbar",1,0),"")</f>
        <v/>
      </c>
      <c r="AC38" s="1" t="str">
        <f>IF(AND(Programme_Grunddaten!$A46="Geprüft",Programme_Grunddaten!AK46&lt;&gt;""),IF(Programme_Grunddaten!AK46="Deutsch",0,IF(Programme_Grunddaten!AK46="Deutsch und Englisch",1,2)),"")</f>
        <v/>
      </c>
      <c r="AD38" s="1">
        <f>IF(AND(Programme_Grunddaten!$A46="Geprüft",Programme_Grunddaten!AL46&lt;&gt;""),IF(Programme_Grunddaten!AL46="Ja",1,0),"")</f>
        <v>1</v>
      </c>
      <c r="AE38" s="1">
        <f>IF(AND(Programme_Grunddaten!$A46="Geprüft",Programme_Grunddaten!AM46&lt;&gt;""),IF(Programme_Grunddaten!AM46="Ja",1,0),"")</f>
        <v>0</v>
      </c>
      <c r="AF38" s="1" t="str">
        <f>IF(AND(Programme_Grunddaten!$A46="Geprüft",Programme_Grunddaten!AN46&lt;&gt;""),IF(Programme_Grunddaten!AN46="Ja",1,0),"")</f>
        <v/>
      </c>
      <c r="AG38" s="1">
        <f>IF(AND(Programme_Grunddaten!$A46="Geprüft",Programme_Grunddaten!AO46&lt;&gt;""),IF(Programme_Grunddaten!AO46="Ja",1,0),"")</f>
        <v>0</v>
      </c>
      <c r="AH38" s="1" t="str">
        <f>IF(AND(Programme_Grunddaten!$A46="Geprüft",Programme_Grunddaten!AP46&lt;&gt;""),IF(Programme_Grunddaten!AP46="Ja",1,0),"")</f>
        <v/>
      </c>
      <c r="AI38" s="1">
        <f>IF(AND(Programme_Grunddaten!$A46="Geprüft",Programme_Grunddaten!AQ46&lt;&gt;""),IF(Programme_Grunddaten!AQ46="Ja",1,0),"")</f>
        <v>1</v>
      </c>
      <c r="AJ38" s="1">
        <f>IF(AND(Programme_Grunddaten!$A46="Geprüft",Programme_Grunddaten!AR46&lt;&gt;""),IF(Programme_Grunddaten!AR46="Ja",1,0),"")</f>
        <v>1</v>
      </c>
      <c r="AK38" s="1" t="str">
        <f>IF(AND(Programme_Grunddaten!$A46="Geprüft",Programme_Grunddaten!AS46&lt;&gt;""),IF(Programme_Grunddaten!AS46="Ja",1,0),"")</f>
        <v/>
      </c>
      <c r="AL38" s="1">
        <f>IF(AND(Programme_Grunddaten!$A46="Geprüft",Programme_Grunddaten!AT46&lt;&gt;""),IF(Programme_Grunddaten!AT46="Ja",1,0),"")</f>
        <v>1</v>
      </c>
      <c r="AM38" s="1" t="str">
        <f>IF(AND(Programme_Grunddaten!$A46="Geprüft",Programme_Grunddaten!AU46&lt;&gt;""),IF(Programme_Grunddaten!AU46="Ja",1,0),"")</f>
        <v/>
      </c>
      <c r="AN38" s="1">
        <f>IF(AND(Programme_Grunddaten!$A46="Geprüft",Programme_Grunddaten!AV46&lt;&gt;""),IF(Programme_Grunddaten!AV46="Ja",1,0),"")</f>
        <v>0</v>
      </c>
    </row>
    <row r="39" spans="1:40" x14ac:dyDescent="0.3">
      <c r="A39" s="1" t="str">
        <f>IF(AND(Programme_Grunddaten!A47="Geprüft",Programme_Grunddaten!B47&lt;&gt;""),Programme_Grunddaten!B47,"")</f>
        <v>P38</v>
      </c>
      <c r="B39" s="1">
        <f>IF(AND(Programme_Grunddaten!$A47="Geprüft",Programme_Grunddaten!I47&lt;&gt;""),IF(Programme_Grunddaten!I47="Ja",1,0),"")</f>
        <v>0</v>
      </c>
      <c r="C39" s="1">
        <f>IF(AND(Programme_Grunddaten!$A47="Geprüft",Programme_Grunddaten!J47&lt;&gt;""),IF(Programme_Grunddaten!J47="Ja",1,0),"")</f>
        <v>1</v>
      </c>
      <c r="D39" s="1">
        <f>IF(AND(Programme_Grunddaten!$A47="Geprüft",Programme_Grunddaten!K47&lt;&gt;""),IF(Programme_Grunddaten!K47="Ja",1,0),"")</f>
        <v>0</v>
      </c>
      <c r="E39" s="1">
        <f>IF(AND(Programme_Grunddaten!$A47="Geprüft",Programme_Grunddaten!L47&lt;&gt;""),IF(Programme_Grunddaten!L47="Abo / befristete Lizenz",1,0),"")</f>
        <v>1</v>
      </c>
      <c r="F39" s="1">
        <f>IF(AND(Programme_Grunddaten!$A47="Geprüft",Programme_Grunddaten!M47&lt;&gt;""),IF(Programme_Grunddaten!M47="Ja",1,0),"")</f>
        <v>1</v>
      </c>
      <c r="G39" s="1">
        <f>IF(AND(Programme_Grunddaten!$A47="Geprüft",Programme_Grunddaten!N47&lt;&gt;""),IF(Programme_Grunddaten!N47="Ja",1,0),"")</f>
        <v>1</v>
      </c>
      <c r="H39" s="1" t="str">
        <f>IF(AND(Programme_Grunddaten!$A47="Geprüft",Programme_Grunddaten!O47&lt;&gt;""),IF(Programme_Grunddaten!O47="Deutschland",0,IF(Programme_Grunddaten!O47="EU",1,2)),"")</f>
        <v/>
      </c>
      <c r="I39" s="1" t="str">
        <f>IF(AND(Programme_Grunddaten!$A47="Geprüft",Programme_Grunddaten!P47&lt;&gt;""),IF(Programme_Grunddaten!P47="Ja",1,0),"")</f>
        <v/>
      </c>
      <c r="J39" s="1">
        <f>IF(AND(Programme_Grunddaten!$A47="Geprüft",Programme_Grunddaten!Q47&lt;&gt;""),IF(Programme_Grunddaten!Q47="geschlossenes System",1,0),"")</f>
        <v>0</v>
      </c>
      <c r="K39" s="1" t="str">
        <f>IF(AND(Programme_Grunddaten!$A47="Geprüft",Programme_Grunddaten!R47&lt;&gt;""),IF(Programme_Grunddaten!R47="Ja",1,0),"")</f>
        <v/>
      </c>
      <c r="L39" s="1" t="str">
        <f>IF(AND(Programme_Grunddaten!$A47="Geprüft",Programme_Grunddaten!T47&lt;&gt;""),IF(Programme_Grunddaten!T47="Ja",1,0),"")</f>
        <v/>
      </c>
      <c r="M39" s="1">
        <f>IF(AND(Programme_Grunddaten!$A47="Geprüft",Programme_Grunddaten!U47&lt;&gt;""),IF(Programme_Grunddaten!U47="Ja",1,0),"")</f>
        <v>1</v>
      </c>
      <c r="N39" s="1">
        <f>IF(AND(Programme_Grunddaten!$A47="Geprüft",Programme_Grunddaten!V47&lt;&gt;""),IF(Programme_Grunddaten!V47="Ja",1,0),"")</f>
        <v>1</v>
      </c>
      <c r="O39" s="1">
        <f>IF(AND(Programme_Grunddaten!$A47="Geprüft",Programme_Grunddaten!W47&lt;&gt;""),IF(Programme_Grunddaten!W47="Ja",1,0),"")</f>
        <v>1</v>
      </c>
      <c r="P39" s="1" t="str">
        <f>IF(AND(Programme_Grunddaten!$A47="Geprüft",Programme_Grunddaten!X47&lt;&gt;""),IF(Programme_Grunddaten!X47="Ja",1,0),"")</f>
        <v/>
      </c>
      <c r="Q39" s="1">
        <f>IF(AND(Programme_Grunddaten!$A47="Geprüft",Programme_Grunddaten!Y47&lt;&gt;""),IF(Programme_Grunddaten!Y47="Ja",1,0),"")</f>
        <v>1</v>
      </c>
      <c r="R39" s="1">
        <f>IF(AND(Programme_Grunddaten!$A47="Geprüft",Programme_Grunddaten!Z47&lt;&gt;""),IF(Programme_Grunddaten!Z47="Ja",1,0),"")</f>
        <v>0</v>
      </c>
      <c r="S39" s="1">
        <f>IF(AND(Programme_Grunddaten!$A47="Geprüft",Programme_Grunddaten!AA47&lt;&gt;""),IF(Programme_Grunddaten!AA47="monolithisch",1,0),"")</f>
        <v>0</v>
      </c>
      <c r="T39" s="1">
        <f>IF(AND(Programme_Grunddaten!$A47="Geprüft",Programme_Grunddaten!AB47&lt;&gt;""),IF(Programme_Grunddaten!AB47="Ja",1,0),"")</f>
        <v>1</v>
      </c>
      <c r="U39" s="1">
        <f>IF(AND(Programme_Grunddaten!$A47="Geprüft",Programme_Grunddaten!AC47&lt;&gt;""),IF(Programme_Grunddaten!AC47="Ja",1,0),"")</f>
        <v>1</v>
      </c>
      <c r="V39" s="1" t="str">
        <f>IF(AND(Programme_Grunddaten!$A47="Geprüft",Programme_Grunddaten!AD47&lt;&gt;""),IF(Programme_Grunddaten!AD47="Ja",1,0),"")</f>
        <v/>
      </c>
      <c r="W39" s="1" t="str">
        <f>IF(AND(Programme_Grunddaten!$A47="Geprüft",Programme_Grunddaten!AE47&lt;&gt;""),IF(Programme_Grunddaten!AE47="Ja",1,0),"")</f>
        <v/>
      </c>
      <c r="X39" s="1">
        <f>IF(AND(Programme_Grunddaten!$A47="Geprüft",Programme_Grunddaten!AF47&lt;&gt;""),IF(Programme_Grunddaten!AF47="Ja",1,0),"")</f>
        <v>1</v>
      </c>
      <c r="Y39" s="1" t="str">
        <f>IF(AND(Programme_Grunddaten!$A47="Geprüft",Programme_Grunddaten!AG47&lt;&gt;""),IF(Programme_Grunddaten!AG47="Ja",1,0),"")</f>
        <v/>
      </c>
      <c r="Z39" s="1" t="str">
        <f>IF(AND(Programme_Grunddaten!$A47="Geprüft",Programme_Grunddaten!AH47&lt;&gt;""),IF(Programme_Grunddaten!AH47="Ja",1,0),"")</f>
        <v/>
      </c>
      <c r="AA39" s="1" t="str">
        <f>IF(AND(Programme_Grunddaten!$A47="Geprüft",Programme_Grunddaten!AI47&lt;&gt;""),IF(Programme_Grunddaten!AI47="Ja",1,0),"")</f>
        <v/>
      </c>
      <c r="AB39" s="1" t="str">
        <f>IF(AND(Programme_Grunddaten!$A47="Geprüft",Programme_Grunddaten!AJ47&lt;&gt;""),IF(Programme_Grunddaten!AJ47="individuell programmierbar",1,0),"")</f>
        <v/>
      </c>
      <c r="AC39" s="1">
        <f>IF(AND(Programme_Grunddaten!$A47="Geprüft",Programme_Grunddaten!AK47&lt;&gt;""),IF(Programme_Grunddaten!AK47="Deutsch",0,IF(Programme_Grunddaten!AK47="Deutsch und Englisch",1,2)),"")</f>
        <v>2</v>
      </c>
      <c r="AD39" s="1">
        <f>IF(AND(Programme_Grunddaten!$A47="Geprüft",Programme_Grunddaten!AL47&lt;&gt;""),IF(Programme_Grunddaten!AL47="Ja",1,0),"")</f>
        <v>1</v>
      </c>
      <c r="AE39" s="1">
        <f>IF(AND(Programme_Grunddaten!$A47="Geprüft",Programme_Grunddaten!AM47&lt;&gt;""),IF(Programme_Grunddaten!AM47="Ja",1,0),"")</f>
        <v>0</v>
      </c>
      <c r="AF39" s="1">
        <f>IF(AND(Programme_Grunddaten!$A47="Geprüft",Programme_Grunddaten!AN47&lt;&gt;""),IF(Programme_Grunddaten!AN47="Ja",1,0),"")</f>
        <v>1</v>
      </c>
      <c r="AG39" s="1">
        <f>IF(AND(Programme_Grunddaten!$A47="Geprüft",Programme_Grunddaten!AO47&lt;&gt;""),IF(Programme_Grunddaten!AO47="Ja",1,0),"")</f>
        <v>0</v>
      </c>
      <c r="AH39" s="1" t="str">
        <f>IF(AND(Programme_Grunddaten!$A47="Geprüft",Programme_Grunddaten!AP47&lt;&gt;""),IF(Programme_Grunddaten!AP47="Ja",1,0),"")</f>
        <v/>
      </c>
      <c r="AI39" s="1">
        <f>IF(AND(Programme_Grunddaten!$A47="Geprüft",Programme_Grunddaten!AQ47&lt;&gt;""),IF(Programme_Grunddaten!AQ47="Ja",1,0),"")</f>
        <v>1</v>
      </c>
      <c r="AJ39" s="1">
        <f>IF(AND(Programme_Grunddaten!$A47="Geprüft",Programme_Grunddaten!AR47&lt;&gt;""),IF(Programme_Grunddaten!AR47="Ja",1,0),"")</f>
        <v>1</v>
      </c>
      <c r="AK39" s="1" t="str">
        <f>IF(AND(Programme_Grunddaten!$A47="Geprüft",Programme_Grunddaten!AS47&lt;&gt;""),IF(Programme_Grunddaten!AS47="Ja",1,0),"")</f>
        <v/>
      </c>
      <c r="AL39" s="1" t="str">
        <f>IF(AND(Programme_Grunddaten!$A47="Geprüft",Programme_Grunddaten!AT47&lt;&gt;""),IF(Programme_Grunddaten!AT47="Ja",1,0),"")</f>
        <v/>
      </c>
      <c r="AM39" s="1">
        <f>IF(AND(Programme_Grunddaten!$A47="Geprüft",Programme_Grunddaten!AU47&lt;&gt;""),IF(Programme_Grunddaten!AU47="Ja",1,0),"")</f>
        <v>1</v>
      </c>
      <c r="AN39" s="1" t="str">
        <f>IF(AND(Programme_Grunddaten!$A47="Geprüft",Programme_Grunddaten!AV47&lt;&gt;""),IF(Programme_Grunddaten!AV47="Ja",1,0),"")</f>
        <v/>
      </c>
    </row>
    <row r="40" spans="1:40" x14ac:dyDescent="0.3">
      <c r="A40" s="1" t="str">
        <f>IF(AND(Programme_Grunddaten!A48="Geprüft",Programme_Grunddaten!B48&lt;&gt;""),Programme_Grunddaten!B48,"")</f>
        <v>P39</v>
      </c>
      <c r="B40" s="1">
        <f>IF(AND(Programme_Grunddaten!$A48="Geprüft",Programme_Grunddaten!I48&lt;&gt;""),IF(Programme_Grunddaten!I48="Ja",1,0),"")</f>
        <v>0</v>
      </c>
      <c r="C40" s="1">
        <f>IF(AND(Programme_Grunddaten!$A48="Geprüft",Programme_Grunddaten!J48&lt;&gt;""),IF(Programme_Grunddaten!J48="Ja",1,0),"")</f>
        <v>1</v>
      </c>
      <c r="D40" s="1">
        <f>IF(AND(Programme_Grunddaten!$A48="Geprüft",Programme_Grunddaten!K48&lt;&gt;""),IF(Programme_Grunddaten!K48="Ja",1,0),"")</f>
        <v>1</v>
      </c>
      <c r="E40" s="1">
        <f>IF(AND(Programme_Grunddaten!$A48="Geprüft",Programme_Grunddaten!L48&lt;&gt;""),IF(Programme_Grunddaten!L48="Abo / befristete Lizenz",1,0),"")</f>
        <v>1</v>
      </c>
      <c r="F40" s="1">
        <f>IF(AND(Programme_Grunddaten!$A48="Geprüft",Programme_Grunddaten!M48&lt;&gt;""),IF(Programme_Grunddaten!M48="Ja",1,0),"")</f>
        <v>0</v>
      </c>
      <c r="G40" s="1">
        <f>IF(AND(Programme_Grunddaten!$A48="Geprüft",Programme_Grunddaten!N48&lt;&gt;""),IF(Programme_Grunddaten!N48="Ja",1,0),"")</f>
        <v>1</v>
      </c>
      <c r="H40" s="1" t="str">
        <f>IF(AND(Programme_Grunddaten!$A48="Geprüft",Programme_Grunddaten!O48&lt;&gt;""),IF(Programme_Grunddaten!O48="Deutschland",0,IF(Programme_Grunddaten!O48="EU",1,2)),"")</f>
        <v/>
      </c>
      <c r="I40" s="1" t="str">
        <f>IF(AND(Programme_Grunddaten!$A48="Geprüft",Programme_Grunddaten!P48&lt;&gt;""),IF(Programme_Grunddaten!P48="Ja",1,0),"")</f>
        <v/>
      </c>
      <c r="J40" s="1">
        <f>IF(AND(Programme_Grunddaten!$A48="Geprüft",Programme_Grunddaten!Q48&lt;&gt;""),IF(Programme_Grunddaten!Q48="geschlossenes System",1,0),"")</f>
        <v>0</v>
      </c>
      <c r="K40" s="1" t="str">
        <f>IF(AND(Programme_Grunddaten!$A48="Geprüft",Programme_Grunddaten!R48&lt;&gt;""),IF(Programme_Grunddaten!R48="Ja",1,0),"")</f>
        <v/>
      </c>
      <c r="L40" s="1">
        <f>IF(AND(Programme_Grunddaten!$A48="Geprüft",Programme_Grunddaten!T48&lt;&gt;""),IF(Programme_Grunddaten!T48="Ja",1,0),"")</f>
        <v>1</v>
      </c>
      <c r="M40" s="1">
        <f>IF(AND(Programme_Grunddaten!$A48="Geprüft",Programme_Grunddaten!U48&lt;&gt;""),IF(Programme_Grunddaten!U48="Ja",1,0),"")</f>
        <v>1</v>
      </c>
      <c r="N40" s="1">
        <f>IF(AND(Programme_Grunddaten!$A48="Geprüft",Programme_Grunddaten!V48&lt;&gt;""),IF(Programme_Grunddaten!V48="Ja",1,0),"")</f>
        <v>1</v>
      </c>
      <c r="O40" s="1" t="str">
        <f>IF(AND(Programme_Grunddaten!$A48="Geprüft",Programme_Grunddaten!W48&lt;&gt;""),IF(Programme_Grunddaten!W48="Ja",1,0),"")</f>
        <v/>
      </c>
      <c r="P40" s="1" t="str">
        <f>IF(AND(Programme_Grunddaten!$A48="Geprüft",Programme_Grunddaten!X48&lt;&gt;""),IF(Programme_Grunddaten!X48="Ja",1,0),"")</f>
        <v/>
      </c>
      <c r="Q40" s="1">
        <f>IF(AND(Programme_Grunddaten!$A48="Geprüft",Programme_Grunddaten!Y48&lt;&gt;""),IF(Programme_Grunddaten!Y48="Ja",1,0),"")</f>
        <v>1</v>
      </c>
      <c r="R40" s="1">
        <f>IF(AND(Programme_Grunddaten!$A48="Geprüft",Programme_Grunddaten!Z48&lt;&gt;""),IF(Programme_Grunddaten!Z48="Ja",1,0),"")</f>
        <v>0</v>
      </c>
      <c r="S40" s="1">
        <f>IF(AND(Programme_Grunddaten!$A48="Geprüft",Programme_Grunddaten!AA48&lt;&gt;""),IF(Programme_Grunddaten!AA48="monolithisch",1,0),"")</f>
        <v>0</v>
      </c>
      <c r="T40" s="1">
        <f>IF(AND(Programme_Grunddaten!$A48="Geprüft",Programme_Grunddaten!AB48&lt;&gt;""),IF(Programme_Grunddaten!AB48="Ja",1,0),"")</f>
        <v>1</v>
      </c>
      <c r="U40" s="1" t="str">
        <f>IF(AND(Programme_Grunddaten!$A48="Geprüft",Programme_Grunddaten!AC48&lt;&gt;""),IF(Programme_Grunddaten!AC48="Ja",1,0),"")</f>
        <v/>
      </c>
      <c r="V40" s="1" t="str">
        <f>IF(AND(Programme_Grunddaten!$A48="Geprüft",Programme_Grunddaten!AD48&lt;&gt;""),IF(Programme_Grunddaten!AD48="Ja",1,0),"")</f>
        <v/>
      </c>
      <c r="W40" s="1" t="str">
        <f>IF(AND(Programme_Grunddaten!$A48="Geprüft",Programme_Grunddaten!AE48&lt;&gt;""),IF(Programme_Grunddaten!AE48="Ja",1,0),"")</f>
        <v/>
      </c>
      <c r="X40" s="1" t="str">
        <f>IF(AND(Programme_Grunddaten!$A48="Geprüft",Programme_Grunddaten!AF48&lt;&gt;""),IF(Programme_Grunddaten!AF48="Ja",1,0),"")</f>
        <v/>
      </c>
      <c r="Y40" s="1" t="str">
        <f>IF(AND(Programme_Grunddaten!$A48="Geprüft",Programme_Grunddaten!AG48&lt;&gt;""),IF(Programme_Grunddaten!AG48="Ja",1,0),"")</f>
        <v/>
      </c>
      <c r="Z40" s="1" t="str">
        <f>IF(AND(Programme_Grunddaten!$A48="Geprüft",Programme_Grunddaten!AH48&lt;&gt;""),IF(Programme_Grunddaten!AH48="Ja",1,0),"")</f>
        <v/>
      </c>
      <c r="AA40" s="1">
        <f>IF(AND(Programme_Grunddaten!$A48="Geprüft",Programme_Grunddaten!AI48&lt;&gt;""),IF(Programme_Grunddaten!AI48="Ja",1,0),"")</f>
        <v>1</v>
      </c>
      <c r="AB40" s="1" t="str">
        <f>IF(AND(Programme_Grunddaten!$A48="Geprüft",Programme_Grunddaten!AJ48&lt;&gt;""),IF(Programme_Grunddaten!AJ48="individuell programmierbar",1,0),"")</f>
        <v/>
      </c>
      <c r="AC40" s="1">
        <f>IF(AND(Programme_Grunddaten!$A48="Geprüft",Programme_Grunddaten!AK48&lt;&gt;""),IF(Programme_Grunddaten!AK48="Deutsch",0,IF(Programme_Grunddaten!AK48="Deutsch und Englisch",1,2)),"")</f>
        <v>0</v>
      </c>
      <c r="AD40" s="1">
        <f>IF(AND(Programme_Grunddaten!$A48="Geprüft",Programme_Grunddaten!AL48&lt;&gt;""),IF(Programme_Grunddaten!AL48="Ja",1,0),"")</f>
        <v>1</v>
      </c>
      <c r="AE40" s="1">
        <f>IF(AND(Programme_Grunddaten!$A48="Geprüft",Programme_Grunddaten!AM48&lt;&gt;""),IF(Programme_Grunddaten!AM48="Ja",1,0),"")</f>
        <v>0</v>
      </c>
      <c r="AF40" s="1" t="str">
        <f>IF(AND(Programme_Grunddaten!$A48="Geprüft",Programme_Grunddaten!AN48&lt;&gt;""),IF(Programme_Grunddaten!AN48="Ja",1,0),"")</f>
        <v/>
      </c>
      <c r="AG40" s="1" t="str">
        <f>IF(AND(Programme_Grunddaten!$A48="Geprüft",Programme_Grunddaten!AO48&lt;&gt;""),IF(Programme_Grunddaten!AO48="Ja",1,0),"")</f>
        <v/>
      </c>
      <c r="AH40" s="1" t="str">
        <f>IF(AND(Programme_Grunddaten!$A48="Geprüft",Programme_Grunddaten!AP48&lt;&gt;""),IF(Programme_Grunddaten!AP48="Ja",1,0),"")</f>
        <v/>
      </c>
      <c r="AI40" s="1">
        <f>IF(AND(Programme_Grunddaten!$A48="Geprüft",Programme_Grunddaten!AQ48&lt;&gt;""),IF(Programme_Grunddaten!AQ48="Ja",1,0),"")</f>
        <v>1</v>
      </c>
      <c r="AJ40" s="1">
        <f>IF(AND(Programme_Grunddaten!$A48="Geprüft",Programme_Grunddaten!AR48&lt;&gt;""),IF(Programme_Grunddaten!AR48="Ja",1,0),"")</f>
        <v>1</v>
      </c>
      <c r="AK40" s="1" t="str">
        <f>IF(AND(Programme_Grunddaten!$A48="Geprüft",Programme_Grunddaten!AS48&lt;&gt;""),IF(Programme_Grunddaten!AS48="Ja",1,0),"")</f>
        <v/>
      </c>
      <c r="AL40" s="1" t="str">
        <f>IF(AND(Programme_Grunddaten!$A48="Geprüft",Programme_Grunddaten!AT48&lt;&gt;""),IF(Programme_Grunddaten!AT48="Ja",1,0),"")</f>
        <v/>
      </c>
      <c r="AM40" s="1" t="str">
        <f>IF(AND(Programme_Grunddaten!$A48="Geprüft",Programme_Grunddaten!AU48&lt;&gt;""),IF(Programme_Grunddaten!AU48="Ja",1,0),"")</f>
        <v/>
      </c>
      <c r="AN40" s="1" t="str">
        <f>IF(AND(Programme_Grunddaten!$A48="Geprüft",Programme_Grunddaten!AV48&lt;&gt;""),IF(Programme_Grunddaten!AV48="Ja",1,0),"")</f>
        <v/>
      </c>
    </row>
    <row r="41" spans="1:40" x14ac:dyDescent="0.3">
      <c r="A41" s="1" t="str">
        <f>IF(AND(Programme_Grunddaten!A49="Geprüft",Programme_Grunddaten!B49&lt;&gt;""),Programme_Grunddaten!B49,"")</f>
        <v>P40</v>
      </c>
      <c r="B41" s="1">
        <f>IF(AND(Programme_Grunddaten!$A49="Geprüft",Programme_Grunddaten!I49&lt;&gt;""),IF(Programme_Grunddaten!I49="Ja",1,0),"")</f>
        <v>0</v>
      </c>
      <c r="C41" s="1">
        <f>IF(AND(Programme_Grunddaten!$A49="Geprüft",Programme_Grunddaten!J49&lt;&gt;""),IF(Programme_Grunddaten!J49="Ja",1,0),"")</f>
        <v>1</v>
      </c>
      <c r="D41" s="1">
        <f>IF(AND(Programme_Grunddaten!$A49="Geprüft",Programme_Grunddaten!K49&lt;&gt;""),IF(Programme_Grunddaten!K49="Ja",1,0),"")</f>
        <v>0</v>
      </c>
      <c r="E41" s="1">
        <f>IF(AND(Programme_Grunddaten!$A49="Geprüft",Programme_Grunddaten!L49&lt;&gt;""),IF(Programme_Grunddaten!L49="Abo / befristete Lizenz",1,0),"")</f>
        <v>1</v>
      </c>
      <c r="F41" s="1">
        <f>IF(AND(Programme_Grunddaten!$A49="Geprüft",Programme_Grunddaten!M49&lt;&gt;""),IF(Programme_Grunddaten!M49="Ja",1,0),"")</f>
        <v>0</v>
      </c>
      <c r="G41" s="1">
        <f>IF(AND(Programme_Grunddaten!$A49="Geprüft",Programme_Grunddaten!N49&lt;&gt;""),IF(Programme_Grunddaten!N49="Ja",1,0),"")</f>
        <v>1</v>
      </c>
      <c r="H41" s="1">
        <f>IF(AND(Programme_Grunddaten!$A49="Geprüft",Programme_Grunddaten!O49&lt;&gt;""),IF(Programme_Grunddaten!O49="Deutschland",0,IF(Programme_Grunddaten!O49="EU",1,2)),"")</f>
        <v>0</v>
      </c>
      <c r="I41" s="1">
        <f>IF(AND(Programme_Grunddaten!$A49="Geprüft",Programme_Grunddaten!P49&lt;&gt;""),IF(Programme_Grunddaten!P49="Ja",1,0),"")</f>
        <v>1</v>
      </c>
      <c r="J41" s="1">
        <f>IF(AND(Programme_Grunddaten!$A49="Geprüft",Programme_Grunddaten!Q49&lt;&gt;""),IF(Programme_Grunddaten!Q49="geschlossenes System",1,0),"")</f>
        <v>0</v>
      </c>
      <c r="K41" s="1" t="str">
        <f>IF(AND(Programme_Grunddaten!$A49="Geprüft",Programme_Grunddaten!R49&lt;&gt;""),IF(Programme_Grunddaten!R49="Ja",1,0),"")</f>
        <v/>
      </c>
      <c r="L41" s="1">
        <f>IF(AND(Programme_Grunddaten!$A49="Geprüft",Programme_Grunddaten!T49&lt;&gt;""),IF(Programme_Grunddaten!T49="Ja",1,0),"")</f>
        <v>1</v>
      </c>
      <c r="M41" s="1">
        <f>IF(AND(Programme_Grunddaten!$A49="Geprüft",Programme_Grunddaten!U49&lt;&gt;""),IF(Programme_Grunddaten!U49="Ja",1,0),"")</f>
        <v>1</v>
      </c>
      <c r="N41" s="1">
        <f>IF(AND(Programme_Grunddaten!$A49="Geprüft",Programme_Grunddaten!V49&lt;&gt;""),IF(Programme_Grunddaten!V49="Ja",1,0),"")</f>
        <v>1</v>
      </c>
      <c r="O41" s="1">
        <f>IF(AND(Programme_Grunddaten!$A49="Geprüft",Programme_Grunddaten!W49&lt;&gt;""),IF(Programme_Grunddaten!W49="Ja",1,0),"")</f>
        <v>1</v>
      </c>
      <c r="P41" s="1" t="str">
        <f>IF(AND(Programme_Grunddaten!$A49="Geprüft",Programme_Grunddaten!X49&lt;&gt;""),IF(Programme_Grunddaten!X49="Ja",1,0),"")</f>
        <v/>
      </c>
      <c r="Q41" s="1" t="str">
        <f>IF(AND(Programme_Grunddaten!$A49="Geprüft",Programme_Grunddaten!Y49&lt;&gt;""),IF(Programme_Grunddaten!Y49="Ja",1,0),"")</f>
        <v/>
      </c>
      <c r="R41" s="1">
        <f>IF(AND(Programme_Grunddaten!$A49="Geprüft",Programme_Grunddaten!Z49&lt;&gt;""),IF(Programme_Grunddaten!Z49="Ja",1,0),"")</f>
        <v>0</v>
      </c>
      <c r="S41" s="1">
        <f>IF(AND(Programme_Grunddaten!$A49="Geprüft",Programme_Grunddaten!AA49&lt;&gt;""),IF(Programme_Grunddaten!AA49="monolithisch",1,0),"")</f>
        <v>0</v>
      </c>
      <c r="T41" s="1">
        <f>IF(AND(Programme_Grunddaten!$A49="Geprüft",Programme_Grunddaten!AB49&lt;&gt;""),IF(Programme_Grunddaten!AB49="Ja",1,0),"")</f>
        <v>1</v>
      </c>
      <c r="U41" s="1">
        <f>IF(AND(Programme_Grunddaten!$A49="Geprüft",Programme_Grunddaten!AC49&lt;&gt;""),IF(Programme_Grunddaten!AC49="Ja",1,0),"")</f>
        <v>1</v>
      </c>
      <c r="V41" s="1" t="str">
        <f>IF(AND(Programme_Grunddaten!$A49="Geprüft",Programme_Grunddaten!AD49&lt;&gt;""),IF(Programme_Grunddaten!AD49="Ja",1,0),"")</f>
        <v/>
      </c>
      <c r="W41" s="1" t="str">
        <f>IF(AND(Programme_Grunddaten!$A49="Geprüft",Programme_Grunddaten!AE49&lt;&gt;""),IF(Programme_Grunddaten!AE49="Ja",1,0),"")</f>
        <v/>
      </c>
      <c r="X41" s="1">
        <f>IF(AND(Programme_Grunddaten!$A49="Geprüft",Programme_Grunddaten!AF49&lt;&gt;""),IF(Programme_Grunddaten!AF49="Ja",1,0),"")</f>
        <v>1</v>
      </c>
      <c r="Y41" s="1" t="str">
        <f>IF(AND(Programme_Grunddaten!$A49="Geprüft",Programme_Grunddaten!AG49&lt;&gt;""),IF(Programme_Grunddaten!AG49="Ja",1,0),"")</f>
        <v/>
      </c>
      <c r="Z41" s="1" t="str">
        <f>IF(AND(Programme_Grunddaten!$A49="Geprüft",Programme_Grunddaten!AH49&lt;&gt;""),IF(Programme_Grunddaten!AH49="Ja",1,0),"")</f>
        <v/>
      </c>
      <c r="AA41" s="1">
        <f>IF(AND(Programme_Grunddaten!$A49="Geprüft",Programme_Grunddaten!AI49&lt;&gt;""),IF(Programme_Grunddaten!AI49="Ja",1,0),"")</f>
        <v>1</v>
      </c>
      <c r="AB41" s="1" t="str">
        <f>IF(AND(Programme_Grunddaten!$A49="Geprüft",Programme_Grunddaten!AJ49&lt;&gt;""),IF(Programme_Grunddaten!AJ49="individuell programmierbar",1,0),"")</f>
        <v/>
      </c>
      <c r="AC41" s="1">
        <f>IF(AND(Programme_Grunddaten!$A49="Geprüft",Programme_Grunddaten!AK49&lt;&gt;""),IF(Programme_Grunddaten!AK49="Deutsch",0,IF(Programme_Grunddaten!AK49="Deutsch und Englisch",1,2)),"")</f>
        <v>1</v>
      </c>
      <c r="AD41" s="1">
        <f>IF(AND(Programme_Grunddaten!$A49="Geprüft",Programme_Grunddaten!AL49&lt;&gt;""),IF(Programme_Grunddaten!AL49="Ja",1,0),"")</f>
        <v>1</v>
      </c>
      <c r="AE41" s="1">
        <f>IF(AND(Programme_Grunddaten!$A49="Geprüft",Programme_Grunddaten!AM49&lt;&gt;""),IF(Programme_Grunddaten!AM49="Ja",1,0),"")</f>
        <v>0</v>
      </c>
      <c r="AF41" s="1">
        <f>IF(AND(Programme_Grunddaten!$A49="Geprüft",Programme_Grunddaten!AN49&lt;&gt;""),IF(Programme_Grunddaten!AN49="Ja",1,0),"")</f>
        <v>1</v>
      </c>
      <c r="AG41" s="1">
        <f>IF(AND(Programme_Grunddaten!$A49="Geprüft",Programme_Grunddaten!AO49&lt;&gt;""),IF(Programme_Grunddaten!AO49="Ja",1,0),"")</f>
        <v>0</v>
      </c>
      <c r="AH41" s="1" t="str">
        <f>IF(AND(Programme_Grunddaten!$A49="Geprüft",Programme_Grunddaten!AP49&lt;&gt;""),IF(Programme_Grunddaten!AP49="Ja",1,0),"")</f>
        <v/>
      </c>
      <c r="AI41" s="1">
        <f>IF(AND(Programme_Grunddaten!$A49="Geprüft",Programme_Grunddaten!AQ49&lt;&gt;""),IF(Programme_Grunddaten!AQ49="Ja",1,0),"")</f>
        <v>1</v>
      </c>
      <c r="AJ41" s="1">
        <f>IF(AND(Programme_Grunddaten!$A49="Geprüft",Programme_Grunddaten!AR49&lt;&gt;""),IF(Programme_Grunddaten!AR49="Ja",1,0),"")</f>
        <v>1</v>
      </c>
      <c r="AK41" s="1">
        <f>IF(AND(Programme_Grunddaten!$A49="Geprüft",Programme_Grunddaten!AS49&lt;&gt;""),IF(Programme_Grunddaten!AS49="Ja",1,0),"")</f>
        <v>1</v>
      </c>
      <c r="AL41" s="1">
        <f>IF(AND(Programme_Grunddaten!$A49="Geprüft",Programme_Grunddaten!AT49&lt;&gt;""),IF(Programme_Grunddaten!AT49="Ja",1,0),"")</f>
        <v>1</v>
      </c>
      <c r="AM41" s="1" t="str">
        <f>IF(AND(Programme_Grunddaten!$A49="Geprüft",Programme_Grunddaten!AU49&lt;&gt;""),IF(Programme_Grunddaten!AU49="Ja",1,0),"")</f>
        <v/>
      </c>
      <c r="AN41" s="1">
        <f>IF(AND(Programme_Grunddaten!$A49="Geprüft",Programme_Grunddaten!AV49&lt;&gt;""),IF(Programme_Grunddaten!AV49="Ja",1,0),"")</f>
        <v>0</v>
      </c>
    </row>
    <row r="42" spans="1:40" x14ac:dyDescent="0.3">
      <c r="A42" s="1" t="str">
        <f>IF(AND(Programme_Grunddaten!A50="Geprüft",Programme_Grunddaten!B50&lt;&gt;""),Programme_Grunddaten!B50,"")</f>
        <v>P41</v>
      </c>
      <c r="B42" s="1">
        <f>IF(AND(Programme_Grunddaten!$A50="Geprüft",Programme_Grunddaten!I50&lt;&gt;""),IF(Programme_Grunddaten!I50="Ja",1,0),"")</f>
        <v>0</v>
      </c>
      <c r="C42" s="1">
        <f>IF(AND(Programme_Grunddaten!$A50="Geprüft",Programme_Grunddaten!J50&lt;&gt;""),IF(Programme_Grunddaten!J50="Ja",1,0),"")</f>
        <v>1</v>
      </c>
      <c r="D42" s="1">
        <f>IF(AND(Programme_Grunddaten!$A50="Geprüft",Programme_Grunddaten!K50&lt;&gt;""),IF(Programme_Grunddaten!K50="Ja",1,0),"")</f>
        <v>0</v>
      </c>
      <c r="E42" s="1">
        <f>IF(AND(Programme_Grunddaten!$A50="Geprüft",Programme_Grunddaten!L50&lt;&gt;""),IF(Programme_Grunddaten!L50="Abo / befristete Lizenz",1,0),"")</f>
        <v>1</v>
      </c>
      <c r="F42" s="1">
        <f>IF(AND(Programme_Grunddaten!$A50="Geprüft",Programme_Grunddaten!M50&lt;&gt;""),IF(Programme_Grunddaten!M50="Ja",1,0),"")</f>
        <v>0</v>
      </c>
      <c r="G42" s="1">
        <f>IF(AND(Programme_Grunddaten!$A50="Geprüft",Programme_Grunddaten!N50&lt;&gt;""),IF(Programme_Grunddaten!N50="Ja",1,0),"")</f>
        <v>1</v>
      </c>
      <c r="H42" s="1">
        <f>IF(AND(Programme_Grunddaten!$A50="Geprüft",Programme_Grunddaten!O50&lt;&gt;""),IF(Programme_Grunddaten!O50="Deutschland",0,IF(Programme_Grunddaten!O50="EU",1,2)),"")</f>
        <v>0</v>
      </c>
      <c r="I42" s="1" t="str">
        <f>IF(AND(Programme_Grunddaten!$A50="Geprüft",Programme_Grunddaten!P50&lt;&gt;""),IF(Programme_Grunddaten!P50="Ja",1,0),"")</f>
        <v/>
      </c>
      <c r="J42" s="1">
        <f>IF(AND(Programme_Grunddaten!$A50="Geprüft",Programme_Grunddaten!Q50&lt;&gt;""),IF(Programme_Grunddaten!Q50="geschlossenes System",1,0),"")</f>
        <v>0</v>
      </c>
      <c r="K42" s="1">
        <f>IF(AND(Programme_Grunddaten!$A50="Geprüft",Programme_Grunddaten!R50&lt;&gt;""),IF(Programme_Grunddaten!R50="Ja",1,0),"")</f>
        <v>1</v>
      </c>
      <c r="L42" s="1">
        <f>IF(AND(Programme_Grunddaten!$A50="Geprüft",Programme_Grunddaten!T50&lt;&gt;""),IF(Programme_Grunddaten!T50="Ja",1,0),"")</f>
        <v>1</v>
      </c>
      <c r="M42" s="1">
        <f>IF(AND(Programme_Grunddaten!$A50="Geprüft",Programme_Grunddaten!U50&lt;&gt;""),IF(Programme_Grunddaten!U50="Ja",1,0),"")</f>
        <v>1</v>
      </c>
      <c r="N42" s="1">
        <f>IF(AND(Programme_Grunddaten!$A50="Geprüft",Programme_Grunddaten!V50&lt;&gt;""),IF(Programme_Grunddaten!V50="Ja",1,0),"")</f>
        <v>1</v>
      </c>
      <c r="O42" s="1">
        <f>IF(AND(Programme_Grunddaten!$A50="Geprüft",Programme_Grunddaten!W50&lt;&gt;""),IF(Programme_Grunddaten!W50="Ja",1,0),"")</f>
        <v>1</v>
      </c>
      <c r="P42" s="1" t="str">
        <f>IF(AND(Programme_Grunddaten!$A50="Geprüft",Programme_Grunddaten!X50&lt;&gt;""),IF(Programme_Grunddaten!X50="Ja",1,0),"")</f>
        <v/>
      </c>
      <c r="Q42" s="1" t="str">
        <f>IF(AND(Programme_Grunddaten!$A50="Geprüft",Programme_Grunddaten!Y50&lt;&gt;""),IF(Programme_Grunddaten!Y50="Ja",1,0),"")</f>
        <v/>
      </c>
      <c r="R42" s="1">
        <f>IF(AND(Programme_Grunddaten!$A50="Geprüft",Programme_Grunddaten!Z50&lt;&gt;""),IF(Programme_Grunddaten!Z50="Ja",1,0),"")</f>
        <v>0</v>
      </c>
      <c r="S42" s="1">
        <f>IF(AND(Programme_Grunddaten!$A50="Geprüft",Programme_Grunddaten!AA50&lt;&gt;""),IF(Programme_Grunddaten!AA50="monolithisch",1,0),"")</f>
        <v>0</v>
      </c>
      <c r="T42" s="1">
        <f>IF(AND(Programme_Grunddaten!$A50="Geprüft",Programme_Grunddaten!AB50&lt;&gt;""),IF(Programme_Grunddaten!AB50="Ja",1,0),"")</f>
        <v>1</v>
      </c>
      <c r="U42" s="1" t="str">
        <f>IF(AND(Programme_Grunddaten!$A50="Geprüft",Programme_Grunddaten!AC50&lt;&gt;""),IF(Programme_Grunddaten!AC50="Ja",1,0),"")</f>
        <v/>
      </c>
      <c r="V42" s="1" t="str">
        <f>IF(AND(Programme_Grunddaten!$A50="Geprüft",Programme_Grunddaten!AD50&lt;&gt;""),IF(Programme_Grunddaten!AD50="Ja",1,0),"")</f>
        <v/>
      </c>
      <c r="W42" s="1" t="str">
        <f>IF(AND(Programme_Grunddaten!$A50="Geprüft",Programme_Grunddaten!AE50&lt;&gt;""),IF(Programme_Grunddaten!AE50="Ja",1,0),"")</f>
        <v/>
      </c>
      <c r="X42" s="1">
        <f>IF(AND(Programme_Grunddaten!$A50="Geprüft",Programme_Grunddaten!AF50&lt;&gt;""),IF(Programme_Grunddaten!AF50="Ja",1,0),"")</f>
        <v>1</v>
      </c>
      <c r="Y42" s="1" t="str">
        <f>IF(AND(Programme_Grunddaten!$A50="Geprüft",Programme_Grunddaten!AG50&lt;&gt;""),IF(Programme_Grunddaten!AG50="Ja",1,0),"")</f>
        <v/>
      </c>
      <c r="Z42" s="1" t="str">
        <f>IF(AND(Programme_Grunddaten!$A50="Geprüft",Programme_Grunddaten!AH50&lt;&gt;""),IF(Programme_Grunddaten!AH50="Ja",1,0),"")</f>
        <v/>
      </c>
      <c r="AA42" s="1">
        <f>IF(AND(Programme_Grunddaten!$A50="Geprüft",Programme_Grunddaten!AI50&lt;&gt;""),IF(Programme_Grunddaten!AI50="Ja",1,0),"")</f>
        <v>1</v>
      </c>
      <c r="AB42" s="1" t="str">
        <f>IF(AND(Programme_Grunddaten!$A50="Geprüft",Programme_Grunddaten!AJ50&lt;&gt;""),IF(Programme_Grunddaten!AJ50="individuell programmierbar",1,0),"")</f>
        <v/>
      </c>
      <c r="AC42" s="1">
        <f>IF(AND(Programme_Grunddaten!$A50="Geprüft",Programme_Grunddaten!AK50&lt;&gt;""),IF(Programme_Grunddaten!AK50="Deutsch",0,IF(Programme_Grunddaten!AK50="Deutsch und Englisch",1,2)),"")</f>
        <v>1</v>
      </c>
      <c r="AD42" s="1">
        <f>IF(AND(Programme_Grunddaten!$A50="Geprüft",Programme_Grunddaten!AL50&lt;&gt;""),IF(Programme_Grunddaten!AL50="Ja",1,0),"")</f>
        <v>1</v>
      </c>
      <c r="AE42" s="1">
        <f>IF(AND(Programme_Grunddaten!$A50="Geprüft",Programme_Grunddaten!AM50&lt;&gt;""),IF(Programme_Grunddaten!AM50="Ja",1,0),"")</f>
        <v>0</v>
      </c>
      <c r="AF42" s="1" t="str">
        <f>IF(AND(Programme_Grunddaten!$A50="Geprüft",Programme_Grunddaten!AN50&lt;&gt;""),IF(Programme_Grunddaten!AN50="Ja",1,0),"")</f>
        <v/>
      </c>
      <c r="AG42" s="1">
        <f>IF(AND(Programme_Grunddaten!$A50="Geprüft",Programme_Grunddaten!AO50&lt;&gt;""),IF(Programme_Grunddaten!AO50="Ja",1,0),"")</f>
        <v>0</v>
      </c>
      <c r="AH42" s="1" t="str">
        <f>IF(AND(Programme_Grunddaten!$A50="Geprüft",Programme_Grunddaten!AP50&lt;&gt;""),IF(Programme_Grunddaten!AP50="Ja",1,0),"")</f>
        <v/>
      </c>
      <c r="AI42" s="1">
        <f>IF(AND(Programme_Grunddaten!$A50="Geprüft",Programme_Grunddaten!AQ50&lt;&gt;""),IF(Programme_Grunddaten!AQ50="Ja",1,0),"")</f>
        <v>1</v>
      </c>
      <c r="AJ42" s="1">
        <f>IF(AND(Programme_Grunddaten!$A50="Geprüft",Programme_Grunddaten!AR50&lt;&gt;""),IF(Programme_Grunddaten!AR50="Ja",1,0),"")</f>
        <v>1</v>
      </c>
      <c r="AK42" s="1">
        <f>IF(AND(Programme_Grunddaten!$A50="Geprüft",Programme_Grunddaten!AS50&lt;&gt;""),IF(Programme_Grunddaten!AS50="Ja",1,0),"")</f>
        <v>1</v>
      </c>
      <c r="AL42" s="1" t="str">
        <f>IF(AND(Programme_Grunddaten!$A50="Geprüft",Programme_Grunddaten!AT50&lt;&gt;""),IF(Programme_Grunddaten!AT50="Ja",1,0),"")</f>
        <v/>
      </c>
      <c r="AM42" s="1" t="str">
        <f>IF(AND(Programme_Grunddaten!$A50="Geprüft",Programme_Grunddaten!AU50&lt;&gt;""),IF(Programme_Grunddaten!AU50="Ja",1,0),"")</f>
        <v/>
      </c>
      <c r="AN42" s="1" t="str">
        <f>IF(AND(Programme_Grunddaten!$A50="Geprüft",Programme_Grunddaten!AV50&lt;&gt;""),IF(Programme_Grunddaten!AV50="Ja",1,0),"")</f>
        <v/>
      </c>
    </row>
    <row r="43" spans="1:40" x14ac:dyDescent="0.3">
      <c r="A43" s="1" t="str">
        <f>IF(AND(Programme_Grunddaten!A51="Geprüft",Programme_Grunddaten!B51&lt;&gt;""),Programme_Grunddaten!B51,"")</f>
        <v>P42</v>
      </c>
      <c r="B43" s="1">
        <f>IF(AND(Programme_Grunddaten!$A51="Geprüft",Programme_Grunddaten!I51&lt;&gt;""),IF(Programme_Grunddaten!I51="Ja",1,0),"")</f>
        <v>0</v>
      </c>
      <c r="C43" s="1">
        <f>IF(AND(Programme_Grunddaten!$A51="Geprüft",Programme_Grunddaten!J51&lt;&gt;""),IF(Programme_Grunddaten!J51="Ja",1,0),"")</f>
        <v>1</v>
      </c>
      <c r="D43" s="1">
        <f>IF(AND(Programme_Grunddaten!$A51="Geprüft",Programme_Grunddaten!K51&lt;&gt;""),IF(Programme_Grunddaten!K51="Ja",1,0),"")</f>
        <v>0</v>
      </c>
      <c r="E43" s="1">
        <f>IF(AND(Programme_Grunddaten!$A51="Geprüft",Programme_Grunddaten!L51&lt;&gt;""),IF(Programme_Grunddaten!L51="Abo / befristete Lizenz",1,0),"")</f>
        <v>1</v>
      </c>
      <c r="F43" s="1">
        <f>IF(AND(Programme_Grunddaten!$A51="Geprüft",Programme_Grunddaten!M51&lt;&gt;""),IF(Programme_Grunddaten!M51="Ja",1,0),"")</f>
        <v>0</v>
      </c>
      <c r="G43" s="1">
        <f>IF(AND(Programme_Grunddaten!$A51="Geprüft",Programme_Grunddaten!N51&lt;&gt;""),IF(Programme_Grunddaten!N51="Ja",1,0),"")</f>
        <v>1</v>
      </c>
      <c r="H43" s="1">
        <f>IF(AND(Programme_Grunddaten!$A51="Geprüft",Programme_Grunddaten!O51&lt;&gt;""),IF(Programme_Grunddaten!O51="Deutschland",0,IF(Programme_Grunddaten!O51="EU",1,2)),"")</f>
        <v>0</v>
      </c>
      <c r="I43" s="1" t="str">
        <f>IF(AND(Programme_Grunddaten!$A51="Geprüft",Programme_Grunddaten!P51&lt;&gt;""),IF(Programme_Grunddaten!P51="Ja",1,0),"")</f>
        <v/>
      </c>
      <c r="J43" s="1">
        <f>IF(AND(Programme_Grunddaten!$A51="Geprüft",Programme_Grunddaten!Q51&lt;&gt;""),IF(Programme_Grunddaten!Q51="geschlossenes System",1,0),"")</f>
        <v>0</v>
      </c>
      <c r="K43" s="1" t="str">
        <f>IF(AND(Programme_Grunddaten!$A51="Geprüft",Programme_Grunddaten!R51&lt;&gt;""),IF(Programme_Grunddaten!R51="Ja",1,0),"")</f>
        <v/>
      </c>
      <c r="L43" s="1">
        <f>IF(AND(Programme_Grunddaten!$A51="Geprüft",Programme_Grunddaten!T51&lt;&gt;""),IF(Programme_Grunddaten!T51="Ja",1,0),"")</f>
        <v>1</v>
      </c>
      <c r="M43" s="1">
        <f>IF(AND(Programme_Grunddaten!$A51="Geprüft",Programme_Grunddaten!U51&lt;&gt;""),IF(Programme_Grunddaten!U51="Ja",1,0),"")</f>
        <v>1</v>
      </c>
      <c r="N43" s="1" t="str">
        <f>IF(AND(Programme_Grunddaten!$A51="Geprüft",Programme_Grunddaten!V51&lt;&gt;""),IF(Programme_Grunddaten!V51="Ja",1,0),"")</f>
        <v/>
      </c>
      <c r="O43" s="1" t="str">
        <f>IF(AND(Programme_Grunddaten!$A51="Geprüft",Programme_Grunddaten!W51&lt;&gt;""),IF(Programme_Grunddaten!W51="Ja",1,0),"")</f>
        <v/>
      </c>
      <c r="P43" s="1" t="str">
        <f>IF(AND(Programme_Grunddaten!$A51="Geprüft",Programme_Grunddaten!X51&lt;&gt;""),IF(Programme_Grunddaten!X51="Ja",1,0),"")</f>
        <v/>
      </c>
      <c r="Q43" s="1" t="str">
        <f>IF(AND(Programme_Grunddaten!$A51="Geprüft",Programme_Grunddaten!Y51&lt;&gt;""),IF(Programme_Grunddaten!Y51="Ja",1,0),"")</f>
        <v/>
      </c>
      <c r="R43" s="1">
        <f>IF(AND(Programme_Grunddaten!$A51="Geprüft",Programme_Grunddaten!Z51&lt;&gt;""),IF(Programme_Grunddaten!Z51="Ja",1,0),"")</f>
        <v>0</v>
      </c>
      <c r="S43" s="1">
        <f>IF(AND(Programme_Grunddaten!$A51="Geprüft",Programme_Grunddaten!AA51&lt;&gt;""),IF(Programme_Grunddaten!AA51="monolithisch",1,0),"")</f>
        <v>0</v>
      </c>
      <c r="T43" s="1">
        <f>IF(AND(Programme_Grunddaten!$A51="Geprüft",Programme_Grunddaten!AB51&lt;&gt;""),IF(Programme_Grunddaten!AB51="Ja",1,0),"")</f>
        <v>1</v>
      </c>
      <c r="U43" s="1">
        <f>IF(AND(Programme_Grunddaten!$A51="Geprüft",Programme_Grunddaten!AC51&lt;&gt;""),IF(Programme_Grunddaten!AC51="Ja",1,0),"")</f>
        <v>1</v>
      </c>
      <c r="V43" s="1" t="str">
        <f>IF(AND(Programme_Grunddaten!$A51="Geprüft",Programme_Grunddaten!AD51&lt;&gt;""),IF(Programme_Grunddaten!AD51="Ja",1,0),"")</f>
        <v/>
      </c>
      <c r="W43" s="1">
        <f>IF(AND(Programme_Grunddaten!$A51="Geprüft",Programme_Grunddaten!AE51&lt;&gt;""),IF(Programme_Grunddaten!AE51="Ja",1,0),"")</f>
        <v>1</v>
      </c>
      <c r="X43" s="1">
        <f>IF(AND(Programme_Grunddaten!$A51="Geprüft",Programme_Grunddaten!AF51&lt;&gt;""),IF(Programme_Grunddaten!AF51="Ja",1,0),"")</f>
        <v>1</v>
      </c>
      <c r="Y43" s="1">
        <f>IF(AND(Programme_Grunddaten!$A51="Geprüft",Programme_Grunddaten!AG51&lt;&gt;""),IF(Programme_Grunddaten!AG51="Ja",1,0),"")</f>
        <v>1</v>
      </c>
      <c r="Z43" s="1">
        <f>IF(AND(Programme_Grunddaten!$A51="Geprüft",Programme_Grunddaten!AH51&lt;&gt;""),IF(Programme_Grunddaten!AH51="Ja",1,0),"")</f>
        <v>1</v>
      </c>
      <c r="AA43" s="1" t="str">
        <f>IF(AND(Programme_Grunddaten!$A51="Geprüft",Programme_Grunddaten!AI51&lt;&gt;""),IF(Programme_Grunddaten!AI51="Ja",1,0),"")</f>
        <v/>
      </c>
      <c r="AB43" s="1" t="str">
        <f>IF(AND(Programme_Grunddaten!$A51="Geprüft",Programme_Grunddaten!AJ51&lt;&gt;""),IF(Programme_Grunddaten!AJ51="individuell programmierbar",1,0),"")</f>
        <v/>
      </c>
      <c r="AC43" s="1">
        <f>IF(AND(Programme_Grunddaten!$A51="Geprüft",Programme_Grunddaten!AK51&lt;&gt;""),IF(Programme_Grunddaten!AK51="Deutsch",0,IF(Programme_Grunddaten!AK51="Deutsch und Englisch",1,2)),"")</f>
        <v>0</v>
      </c>
      <c r="AD43" s="1">
        <f>IF(AND(Programme_Grunddaten!$A51="Geprüft",Programme_Grunddaten!AL51&lt;&gt;""),IF(Programme_Grunddaten!AL51="Ja",1,0),"")</f>
        <v>1</v>
      </c>
      <c r="AE43" s="1">
        <f>IF(AND(Programme_Grunddaten!$A51="Geprüft",Programme_Grunddaten!AM51&lt;&gt;""),IF(Programme_Grunddaten!AM51="Ja",1,0),"")</f>
        <v>0</v>
      </c>
      <c r="AF43" s="1" t="str">
        <f>IF(AND(Programme_Grunddaten!$A51="Geprüft",Programme_Grunddaten!AN51&lt;&gt;""),IF(Programme_Grunddaten!AN51="Ja",1,0),"")</f>
        <v/>
      </c>
      <c r="AG43" s="1">
        <f>IF(AND(Programme_Grunddaten!$A51="Geprüft",Programme_Grunddaten!AO51&lt;&gt;""),IF(Programme_Grunddaten!AO51="Ja",1,0),"")</f>
        <v>0</v>
      </c>
      <c r="AH43" s="1" t="str">
        <f>IF(AND(Programme_Grunddaten!$A51="Geprüft",Programme_Grunddaten!AP51&lt;&gt;""),IF(Programme_Grunddaten!AP51="Ja",1,0),"")</f>
        <v/>
      </c>
      <c r="AI43" s="1">
        <f>IF(AND(Programme_Grunddaten!$A51="Geprüft",Programme_Grunddaten!AQ51&lt;&gt;""),IF(Programme_Grunddaten!AQ51="Ja",1,0),"")</f>
        <v>1</v>
      </c>
      <c r="AJ43" s="1">
        <f>IF(AND(Programme_Grunddaten!$A51="Geprüft",Programme_Grunddaten!AR51&lt;&gt;""),IF(Programme_Grunddaten!AR51="Ja",1,0),"")</f>
        <v>1</v>
      </c>
      <c r="AK43" s="1">
        <f>IF(AND(Programme_Grunddaten!$A51="Geprüft",Programme_Grunddaten!AS51&lt;&gt;""),IF(Programme_Grunddaten!AS51="Ja",1,0),"")</f>
        <v>1</v>
      </c>
      <c r="AL43" s="1">
        <f>IF(AND(Programme_Grunddaten!$A51="Geprüft",Programme_Grunddaten!AT51&lt;&gt;""),IF(Programme_Grunddaten!AT51="Ja",1,0),"")</f>
        <v>1</v>
      </c>
      <c r="AM43" s="1" t="str">
        <f>IF(AND(Programme_Grunddaten!$A51="Geprüft",Programme_Grunddaten!AU51&lt;&gt;""),IF(Programme_Grunddaten!AU51="Ja",1,0),"")</f>
        <v/>
      </c>
      <c r="AN43" s="1" t="str">
        <f>IF(AND(Programme_Grunddaten!$A51="Geprüft",Programme_Grunddaten!AV51&lt;&gt;""),IF(Programme_Grunddaten!AV51="Ja",1,0),"")</f>
        <v/>
      </c>
    </row>
    <row r="44" spans="1:40" x14ac:dyDescent="0.3">
      <c r="A44" s="1" t="str">
        <f>IF(AND(Programme_Grunddaten!A52="Geprüft",Programme_Grunddaten!B52&lt;&gt;""),Programme_Grunddaten!B52,"")</f>
        <v>P43</v>
      </c>
      <c r="B44" s="1">
        <f>IF(AND(Programme_Grunddaten!$A52="Geprüft",Programme_Grunddaten!I52&lt;&gt;""),IF(Programme_Grunddaten!I52="Ja",1,0),"")</f>
        <v>0</v>
      </c>
      <c r="C44" s="1">
        <f>IF(AND(Programme_Grunddaten!$A52="Geprüft",Programme_Grunddaten!J52&lt;&gt;""),IF(Programme_Grunddaten!J52="Ja",1,0),"")</f>
        <v>1</v>
      </c>
      <c r="D44" s="1">
        <f>IF(AND(Programme_Grunddaten!$A52="Geprüft",Programme_Grunddaten!K52&lt;&gt;""),IF(Programme_Grunddaten!K52="Ja",1,0),"")</f>
        <v>0</v>
      </c>
      <c r="E44" s="1">
        <f>IF(AND(Programme_Grunddaten!$A52="Geprüft",Programme_Grunddaten!L52&lt;&gt;""),IF(Programme_Grunddaten!L52="Abo / befristete Lizenz",1,0),"")</f>
        <v>1</v>
      </c>
      <c r="F44" s="1">
        <f>IF(AND(Programme_Grunddaten!$A52="Geprüft",Programme_Grunddaten!M52&lt;&gt;""),IF(Programme_Grunddaten!M52="Ja",1,0),"")</f>
        <v>0</v>
      </c>
      <c r="G44" s="1">
        <f>IF(AND(Programme_Grunddaten!$A52="Geprüft",Programme_Grunddaten!N52&lt;&gt;""),IF(Programme_Grunddaten!N52="Ja",1,0),"")</f>
        <v>1</v>
      </c>
      <c r="H44" s="1">
        <f>IF(AND(Programme_Grunddaten!$A52="Geprüft",Programme_Grunddaten!O52&lt;&gt;""),IF(Programme_Grunddaten!O52="Deutschland",0,IF(Programme_Grunddaten!O52="EU",1,2)),"")</f>
        <v>0</v>
      </c>
      <c r="I44" s="1" t="str">
        <f>IF(AND(Programme_Grunddaten!$A52="Geprüft",Programme_Grunddaten!P52&lt;&gt;""),IF(Programme_Grunddaten!P52="Ja",1,0),"")</f>
        <v/>
      </c>
      <c r="J44" s="1">
        <f>IF(AND(Programme_Grunddaten!$A52="Geprüft",Programme_Grunddaten!Q52&lt;&gt;""),IF(Programme_Grunddaten!Q52="geschlossenes System",1,0),"")</f>
        <v>0</v>
      </c>
      <c r="K44" s="1">
        <f>IF(AND(Programme_Grunddaten!$A52="Geprüft",Programme_Grunddaten!R52&lt;&gt;""),IF(Programme_Grunddaten!R52="Ja",1,0),"")</f>
        <v>1</v>
      </c>
      <c r="L44" s="1">
        <f>IF(AND(Programme_Grunddaten!$A52="Geprüft",Programme_Grunddaten!T52&lt;&gt;""),IF(Programme_Grunddaten!T52="Ja",1,0),"")</f>
        <v>1</v>
      </c>
      <c r="M44" s="1">
        <f>IF(AND(Programme_Grunddaten!$A52="Geprüft",Programme_Grunddaten!U52&lt;&gt;""),IF(Programme_Grunddaten!U52="Ja",1,0),"")</f>
        <v>1</v>
      </c>
      <c r="N44" s="1">
        <f>IF(AND(Programme_Grunddaten!$A52="Geprüft",Programme_Grunddaten!V52&lt;&gt;""),IF(Programme_Grunddaten!V52="Ja",1,0),"")</f>
        <v>1</v>
      </c>
      <c r="O44" s="1" t="str">
        <f>IF(AND(Programme_Grunddaten!$A52="Geprüft",Programme_Grunddaten!W52&lt;&gt;""),IF(Programme_Grunddaten!W52="Ja",1,0),"")</f>
        <v/>
      </c>
      <c r="P44" s="1" t="str">
        <f>IF(AND(Programme_Grunddaten!$A52="Geprüft",Programme_Grunddaten!X52&lt;&gt;""),IF(Programme_Grunddaten!X52="Ja",1,0),"")</f>
        <v/>
      </c>
      <c r="Q44" s="1" t="str">
        <f>IF(AND(Programme_Grunddaten!$A52="Geprüft",Programme_Grunddaten!Y52&lt;&gt;""),IF(Programme_Grunddaten!Y52="Ja",1,0),"")</f>
        <v/>
      </c>
      <c r="R44" s="1">
        <f>IF(AND(Programme_Grunddaten!$A52="Geprüft",Programme_Grunddaten!Z52&lt;&gt;""),IF(Programme_Grunddaten!Z52="Ja",1,0),"")</f>
        <v>0</v>
      </c>
      <c r="S44" s="1">
        <f>IF(AND(Programme_Grunddaten!$A52="Geprüft",Programme_Grunddaten!AA52&lt;&gt;""),IF(Programme_Grunddaten!AA52="monolithisch",1,0),"")</f>
        <v>0</v>
      </c>
      <c r="T44" s="1">
        <f>IF(AND(Programme_Grunddaten!$A52="Geprüft",Programme_Grunddaten!AB52&lt;&gt;""),IF(Programme_Grunddaten!AB52="Ja",1,0),"")</f>
        <v>1</v>
      </c>
      <c r="U44" s="1">
        <f>IF(AND(Programme_Grunddaten!$A52="Geprüft",Programme_Grunddaten!AC52&lt;&gt;""),IF(Programme_Grunddaten!AC52="Ja",1,0),"")</f>
        <v>1</v>
      </c>
      <c r="V44" s="1" t="str">
        <f>IF(AND(Programme_Grunddaten!$A52="Geprüft",Programme_Grunddaten!AD52&lt;&gt;""),IF(Programme_Grunddaten!AD52="Ja",1,0),"")</f>
        <v/>
      </c>
      <c r="W44" s="1" t="str">
        <f>IF(AND(Programme_Grunddaten!$A52="Geprüft",Programme_Grunddaten!AE52&lt;&gt;""),IF(Programme_Grunddaten!AE52="Ja",1,0),"")</f>
        <v/>
      </c>
      <c r="X44" s="1">
        <f>IF(AND(Programme_Grunddaten!$A52="Geprüft",Programme_Grunddaten!AF52&lt;&gt;""),IF(Programme_Grunddaten!AF52="Ja",1,0),"")</f>
        <v>1</v>
      </c>
      <c r="Y44" s="1">
        <f>IF(AND(Programme_Grunddaten!$A52="Geprüft",Programme_Grunddaten!AG52&lt;&gt;""),IF(Programme_Grunddaten!AG52="Ja",1,0),"")</f>
        <v>1</v>
      </c>
      <c r="Z44" s="1">
        <f>IF(AND(Programme_Grunddaten!$A52="Geprüft",Programme_Grunddaten!AH52&lt;&gt;""),IF(Programme_Grunddaten!AH52="Ja",1,0),"")</f>
        <v>1</v>
      </c>
      <c r="AA44" s="1" t="str">
        <f>IF(AND(Programme_Grunddaten!$A52="Geprüft",Programme_Grunddaten!AI52&lt;&gt;""),IF(Programme_Grunddaten!AI52="Ja",1,0),"")</f>
        <v/>
      </c>
      <c r="AB44" s="1" t="str">
        <f>IF(AND(Programme_Grunddaten!$A52="Geprüft",Programme_Grunddaten!AJ52&lt;&gt;""),IF(Programme_Grunddaten!AJ52="individuell programmierbar",1,0),"")</f>
        <v/>
      </c>
      <c r="AC44" s="1">
        <f>IF(AND(Programme_Grunddaten!$A52="Geprüft",Programme_Grunddaten!AK52&lt;&gt;""),IF(Programme_Grunddaten!AK52="Deutsch",0,IF(Programme_Grunddaten!AK52="Deutsch und Englisch",1,2)),"")</f>
        <v>1</v>
      </c>
      <c r="AD44" s="1">
        <f>IF(AND(Programme_Grunddaten!$A52="Geprüft",Programme_Grunddaten!AL52&lt;&gt;""),IF(Programme_Grunddaten!AL52="Ja",1,0),"")</f>
        <v>1</v>
      </c>
      <c r="AE44" s="1">
        <f>IF(AND(Programme_Grunddaten!$A52="Geprüft",Programme_Grunddaten!AM52&lt;&gt;""),IF(Programme_Grunddaten!AM52="Ja",1,0),"")</f>
        <v>0</v>
      </c>
      <c r="AF44" s="1">
        <f>IF(AND(Programme_Grunddaten!$A52="Geprüft",Programme_Grunddaten!AN52&lt;&gt;""),IF(Programme_Grunddaten!AN52="Ja",1,0),"")</f>
        <v>1</v>
      </c>
      <c r="AG44" s="1">
        <f>IF(AND(Programme_Grunddaten!$A52="Geprüft",Programme_Grunddaten!AO52&lt;&gt;""),IF(Programme_Grunddaten!AO52="Ja",1,0),"")</f>
        <v>0</v>
      </c>
      <c r="AH44" s="1" t="str">
        <f>IF(AND(Programme_Grunddaten!$A52="Geprüft",Programme_Grunddaten!AP52&lt;&gt;""),IF(Programme_Grunddaten!AP52="Ja",1,0),"")</f>
        <v/>
      </c>
      <c r="AI44" s="1">
        <f>IF(AND(Programme_Grunddaten!$A52="Geprüft",Programme_Grunddaten!AQ52&lt;&gt;""),IF(Programme_Grunddaten!AQ52="Ja",1,0),"")</f>
        <v>1</v>
      </c>
      <c r="AJ44" s="1" t="str">
        <f>IF(AND(Programme_Grunddaten!$A52="Geprüft",Programme_Grunddaten!AR52&lt;&gt;""),IF(Programme_Grunddaten!AR52="Ja",1,0),"")</f>
        <v/>
      </c>
      <c r="AK44" s="1" t="str">
        <f>IF(AND(Programme_Grunddaten!$A52="Geprüft",Programme_Grunddaten!AS52&lt;&gt;""),IF(Programme_Grunddaten!AS52="Ja",1,0),"")</f>
        <v/>
      </c>
      <c r="AL44" s="1">
        <f>IF(AND(Programme_Grunddaten!$A52="Geprüft",Programme_Grunddaten!AT52&lt;&gt;""),IF(Programme_Grunddaten!AT52="Ja",1,0),"")</f>
        <v>1</v>
      </c>
      <c r="AM44" s="1" t="str">
        <f>IF(AND(Programme_Grunddaten!$A52="Geprüft",Programme_Grunddaten!AU52&lt;&gt;""),IF(Programme_Grunddaten!AU52="Ja",1,0),"")</f>
        <v/>
      </c>
      <c r="AN44" s="1">
        <f>IF(AND(Programme_Grunddaten!$A52="Geprüft",Programme_Grunddaten!AV52&lt;&gt;""),IF(Programme_Grunddaten!AV52="Ja",1,0),"")</f>
        <v>0</v>
      </c>
    </row>
    <row r="45" spans="1:40" x14ac:dyDescent="0.3">
      <c r="A45" s="1" t="str">
        <f>IF(AND(Programme_Grunddaten!A53="Geprüft",Programme_Grunddaten!B53&lt;&gt;""),Programme_Grunddaten!B53,"")</f>
        <v>P44</v>
      </c>
      <c r="B45" s="1">
        <f>IF(AND(Programme_Grunddaten!$A53="Geprüft",Programme_Grunddaten!I53&lt;&gt;""),IF(Programme_Grunddaten!I53="Ja",1,0),"")</f>
        <v>0</v>
      </c>
      <c r="C45" s="1">
        <f>IF(AND(Programme_Grunddaten!$A53="Geprüft",Programme_Grunddaten!J53&lt;&gt;""),IF(Programme_Grunddaten!J53="Ja",1,0),"")</f>
        <v>1</v>
      </c>
      <c r="D45" s="1">
        <f>IF(AND(Programme_Grunddaten!$A53="Geprüft",Programme_Grunddaten!K53&lt;&gt;""),IF(Programme_Grunddaten!K53="Ja",1,0),"")</f>
        <v>0</v>
      </c>
      <c r="E45" s="1">
        <f>IF(AND(Programme_Grunddaten!$A53="Geprüft",Programme_Grunddaten!L53&lt;&gt;""),IF(Programme_Grunddaten!L53="Abo / befristete Lizenz",1,0),"")</f>
        <v>1</v>
      </c>
      <c r="F45" s="1">
        <f>IF(AND(Programme_Grunddaten!$A53="Geprüft",Programme_Grunddaten!M53&lt;&gt;""),IF(Programme_Grunddaten!M53="Ja",1,0),"")</f>
        <v>0</v>
      </c>
      <c r="G45" s="1">
        <f>IF(AND(Programme_Grunddaten!$A53="Geprüft",Programme_Grunddaten!N53&lt;&gt;""),IF(Programme_Grunddaten!N53="Ja",1,0),"")</f>
        <v>1</v>
      </c>
      <c r="H45" s="1" t="str">
        <f>IF(AND(Programme_Grunddaten!$A53="Geprüft",Programme_Grunddaten!O53&lt;&gt;""),IF(Programme_Grunddaten!O53="Deutschland",0,IF(Programme_Grunddaten!O53="EU",1,2)),"")</f>
        <v/>
      </c>
      <c r="I45" s="1" t="str">
        <f>IF(AND(Programme_Grunddaten!$A53="Geprüft",Programme_Grunddaten!P53&lt;&gt;""),IF(Programme_Grunddaten!P53="Ja",1,0),"")</f>
        <v/>
      </c>
      <c r="J45" s="1">
        <f>IF(AND(Programme_Grunddaten!$A53="Geprüft",Programme_Grunddaten!Q53&lt;&gt;""),IF(Programme_Grunddaten!Q53="geschlossenes System",1,0),"")</f>
        <v>0</v>
      </c>
      <c r="K45" s="1" t="str">
        <f>IF(AND(Programme_Grunddaten!$A53="Geprüft",Programme_Grunddaten!R53&lt;&gt;""),IF(Programme_Grunddaten!R53="Ja",1,0),"")</f>
        <v/>
      </c>
      <c r="L45" s="1">
        <f>IF(AND(Programme_Grunddaten!$A53="Geprüft",Programme_Grunddaten!T53&lt;&gt;""),IF(Programme_Grunddaten!T53="Ja",1,0),"")</f>
        <v>1</v>
      </c>
      <c r="M45" s="1">
        <f>IF(AND(Programme_Grunddaten!$A53="Geprüft",Programme_Grunddaten!U53&lt;&gt;""),IF(Programme_Grunddaten!U53="Ja",1,0),"")</f>
        <v>1</v>
      </c>
      <c r="N45" s="1" t="str">
        <f>IF(AND(Programme_Grunddaten!$A53="Geprüft",Programme_Grunddaten!V53&lt;&gt;""),IF(Programme_Grunddaten!V53="Ja",1,0),"")</f>
        <v/>
      </c>
      <c r="O45" s="1" t="str">
        <f>IF(AND(Programme_Grunddaten!$A53="Geprüft",Programme_Grunddaten!W53&lt;&gt;""),IF(Programme_Grunddaten!W53="Ja",1,0),"")</f>
        <v/>
      </c>
      <c r="P45" s="1">
        <f>IF(AND(Programme_Grunddaten!$A53="Geprüft",Programme_Grunddaten!X53&lt;&gt;""),IF(Programme_Grunddaten!X53="Ja",1,0),"")</f>
        <v>1</v>
      </c>
      <c r="Q45" s="1" t="str">
        <f>IF(AND(Programme_Grunddaten!$A53="Geprüft",Programme_Grunddaten!Y53&lt;&gt;""),IF(Programme_Grunddaten!Y53="Ja",1,0),"")</f>
        <v/>
      </c>
      <c r="R45" s="1">
        <f>IF(AND(Programme_Grunddaten!$A53="Geprüft",Programme_Grunddaten!Z53&lt;&gt;""),IF(Programme_Grunddaten!Z53="Ja",1,0),"")</f>
        <v>0</v>
      </c>
      <c r="S45" s="1">
        <f>IF(AND(Programme_Grunddaten!$A53="Geprüft",Programme_Grunddaten!AA53&lt;&gt;""),IF(Programme_Grunddaten!AA53="monolithisch",1,0),"")</f>
        <v>1</v>
      </c>
      <c r="T45" s="1">
        <f>IF(AND(Programme_Grunddaten!$A53="Geprüft",Programme_Grunddaten!AB53&lt;&gt;""),IF(Programme_Grunddaten!AB53="Ja",1,0),"")</f>
        <v>1</v>
      </c>
      <c r="U45" s="1">
        <f>IF(AND(Programme_Grunddaten!$A53="Geprüft",Programme_Grunddaten!AC53&lt;&gt;""),IF(Programme_Grunddaten!AC53="Ja",1,0),"")</f>
        <v>1</v>
      </c>
      <c r="V45" s="1" t="str">
        <f>IF(AND(Programme_Grunddaten!$A53="Geprüft",Programme_Grunddaten!AD53&lt;&gt;""),IF(Programme_Grunddaten!AD53="Ja",1,0),"")</f>
        <v/>
      </c>
      <c r="W45" s="1" t="str">
        <f>IF(AND(Programme_Grunddaten!$A53="Geprüft",Programme_Grunddaten!AE53&lt;&gt;""),IF(Programme_Grunddaten!AE53="Ja",1,0),"")</f>
        <v/>
      </c>
      <c r="X45" s="1">
        <f>IF(AND(Programme_Grunddaten!$A53="Geprüft",Programme_Grunddaten!AF53&lt;&gt;""),IF(Programme_Grunddaten!AF53="Ja",1,0),"")</f>
        <v>1</v>
      </c>
      <c r="Y45" s="1" t="str">
        <f>IF(AND(Programme_Grunddaten!$A53="Geprüft",Programme_Grunddaten!AG53&lt;&gt;""),IF(Programme_Grunddaten!AG53="Ja",1,0),"")</f>
        <v/>
      </c>
      <c r="Z45" s="1" t="str">
        <f>IF(AND(Programme_Grunddaten!$A53="Geprüft",Programme_Grunddaten!AH53&lt;&gt;""),IF(Programme_Grunddaten!AH53="Ja",1,0),"")</f>
        <v/>
      </c>
      <c r="AA45" s="1" t="str">
        <f>IF(AND(Programme_Grunddaten!$A53="Geprüft",Programme_Grunddaten!AI53&lt;&gt;""),IF(Programme_Grunddaten!AI53="Ja",1,0),"")</f>
        <v/>
      </c>
      <c r="AB45" s="1" t="str">
        <f>IF(AND(Programme_Grunddaten!$A53="Geprüft",Programme_Grunddaten!AJ53&lt;&gt;""),IF(Programme_Grunddaten!AJ53="individuell programmierbar",1,0),"")</f>
        <v/>
      </c>
      <c r="AC45" s="1">
        <f>IF(AND(Programme_Grunddaten!$A53="Geprüft",Programme_Grunddaten!AK53&lt;&gt;""),IF(Programme_Grunddaten!AK53="Deutsch",0,IF(Programme_Grunddaten!AK53="Deutsch und Englisch",1,2)),"")</f>
        <v>0</v>
      </c>
      <c r="AD45" s="1">
        <f>IF(AND(Programme_Grunddaten!$A53="Geprüft",Programme_Grunddaten!AL53&lt;&gt;""),IF(Programme_Grunddaten!AL53="Ja",1,0),"")</f>
        <v>1</v>
      </c>
      <c r="AE45" s="1">
        <f>IF(AND(Programme_Grunddaten!$A53="Geprüft",Programme_Grunddaten!AM53&lt;&gt;""),IF(Programme_Grunddaten!AM53="Ja",1,0),"")</f>
        <v>0</v>
      </c>
      <c r="AF45" s="1">
        <f>IF(AND(Programme_Grunddaten!$A53="Geprüft",Programme_Grunddaten!AN53&lt;&gt;""),IF(Programme_Grunddaten!AN53="Ja",1,0),"")</f>
        <v>1</v>
      </c>
      <c r="AG45" s="1">
        <f>IF(AND(Programme_Grunddaten!$A53="Geprüft",Programme_Grunddaten!AO53&lt;&gt;""),IF(Programme_Grunddaten!AO53="Ja",1,0),"")</f>
        <v>0</v>
      </c>
      <c r="AH45" s="1" t="str">
        <f>IF(AND(Programme_Grunddaten!$A53="Geprüft",Programme_Grunddaten!AP53&lt;&gt;""),IF(Programme_Grunddaten!AP53="Ja",1,0),"")</f>
        <v/>
      </c>
      <c r="AI45" s="1">
        <f>IF(AND(Programme_Grunddaten!$A53="Geprüft",Programme_Grunddaten!AQ53&lt;&gt;""),IF(Programme_Grunddaten!AQ53="Ja",1,0),"")</f>
        <v>1</v>
      </c>
      <c r="AJ45" s="1">
        <f>IF(AND(Programme_Grunddaten!$A53="Geprüft",Programme_Grunddaten!AR53&lt;&gt;""),IF(Programme_Grunddaten!AR53="Ja",1,0),"")</f>
        <v>1</v>
      </c>
      <c r="AK45" s="1" t="str">
        <f>IF(AND(Programme_Grunddaten!$A53="Geprüft",Programme_Grunddaten!AS53&lt;&gt;""),IF(Programme_Grunddaten!AS53="Ja",1,0),"")</f>
        <v/>
      </c>
      <c r="AL45" s="1">
        <f>IF(AND(Programme_Grunddaten!$A53="Geprüft",Programme_Grunddaten!AT53&lt;&gt;""),IF(Programme_Grunddaten!AT53="Ja",1,0),"")</f>
        <v>1</v>
      </c>
      <c r="AM45" s="1" t="str">
        <f>IF(AND(Programme_Grunddaten!$A53="Geprüft",Programme_Grunddaten!AU53&lt;&gt;""),IF(Programme_Grunddaten!AU53="Ja",1,0),"")</f>
        <v/>
      </c>
      <c r="AN45" s="1" t="str">
        <f>IF(AND(Programme_Grunddaten!$A53="Geprüft",Programme_Grunddaten!AV53&lt;&gt;""),IF(Programme_Grunddaten!AV53="Ja",1,0),"")</f>
        <v/>
      </c>
    </row>
    <row r="46" spans="1:40" x14ac:dyDescent="0.3">
      <c r="A46" s="1" t="str">
        <f>IF(AND(Programme_Grunddaten!A54="Geprüft",Programme_Grunddaten!B54&lt;&gt;""),Programme_Grunddaten!B54,"")</f>
        <v>P45</v>
      </c>
      <c r="B46" s="1">
        <f>IF(AND(Programme_Grunddaten!$A54="Geprüft",Programme_Grunddaten!I54&lt;&gt;""),IF(Programme_Grunddaten!I54="Ja",1,0),"")</f>
        <v>0</v>
      </c>
      <c r="C46" s="1">
        <f>IF(AND(Programme_Grunddaten!$A54="Geprüft",Programme_Grunddaten!J54&lt;&gt;""),IF(Programme_Grunddaten!J54="Ja",1,0),"")</f>
        <v>1</v>
      </c>
      <c r="D46" s="1">
        <f>IF(AND(Programme_Grunddaten!$A54="Geprüft",Programme_Grunddaten!K54&lt;&gt;""),IF(Programme_Grunddaten!K54="Ja",1,0),"")</f>
        <v>0</v>
      </c>
      <c r="E46" s="1">
        <f>IF(AND(Programme_Grunddaten!$A54="Geprüft",Programme_Grunddaten!L54&lt;&gt;""),IF(Programme_Grunddaten!L54="Abo / befristete Lizenz",1,0),"")</f>
        <v>1</v>
      </c>
      <c r="F46" s="1">
        <f>IF(AND(Programme_Grunddaten!$A54="Geprüft",Programme_Grunddaten!M54&lt;&gt;""),IF(Programme_Grunddaten!M54="Ja",1,0),"")</f>
        <v>0</v>
      </c>
      <c r="G46" s="1">
        <f>IF(AND(Programme_Grunddaten!$A54="Geprüft",Programme_Grunddaten!N54&lt;&gt;""),IF(Programme_Grunddaten!N54="Ja",1,0),"")</f>
        <v>1</v>
      </c>
      <c r="H46" s="1" t="str">
        <f>IF(AND(Programme_Grunddaten!$A54="Geprüft",Programme_Grunddaten!O54&lt;&gt;""),IF(Programme_Grunddaten!O54="Deutschland",0,IF(Programme_Grunddaten!O54="EU",1,2)),"")</f>
        <v/>
      </c>
      <c r="I46" s="1" t="str">
        <f>IF(AND(Programme_Grunddaten!$A54="Geprüft",Programme_Grunddaten!P54&lt;&gt;""),IF(Programme_Grunddaten!P54="Ja",1,0),"")</f>
        <v/>
      </c>
      <c r="J46" s="1">
        <f>IF(AND(Programme_Grunddaten!$A54="Geprüft",Programme_Grunddaten!Q54&lt;&gt;""),IF(Programme_Grunddaten!Q54="geschlossenes System",1,0),"")</f>
        <v>0</v>
      </c>
      <c r="K46" s="1" t="str">
        <f>IF(AND(Programme_Grunddaten!$A54="Geprüft",Programme_Grunddaten!R54&lt;&gt;""),IF(Programme_Grunddaten!R54="Ja",1,0),"")</f>
        <v/>
      </c>
      <c r="L46" s="1">
        <f>IF(AND(Programme_Grunddaten!$A54="Geprüft",Programme_Grunddaten!T54&lt;&gt;""),IF(Programme_Grunddaten!T54="Ja",1,0),"")</f>
        <v>1</v>
      </c>
      <c r="M46" s="1">
        <f>IF(AND(Programme_Grunddaten!$A54="Geprüft",Programme_Grunddaten!U54&lt;&gt;""),IF(Programme_Grunddaten!U54="Ja",1,0),"")</f>
        <v>1</v>
      </c>
      <c r="N46" s="1">
        <f>IF(AND(Programme_Grunddaten!$A54="Geprüft",Programme_Grunddaten!V54&lt;&gt;""),IF(Programme_Grunddaten!V54="Ja",1,0),"")</f>
        <v>1</v>
      </c>
      <c r="O46" s="1">
        <f>IF(AND(Programme_Grunddaten!$A54="Geprüft",Programme_Grunddaten!W54&lt;&gt;""),IF(Programme_Grunddaten!W54="Ja",1,0),"")</f>
        <v>1</v>
      </c>
      <c r="P46" s="1" t="str">
        <f>IF(AND(Programme_Grunddaten!$A54="Geprüft",Programme_Grunddaten!X54&lt;&gt;""),IF(Programme_Grunddaten!X54="Ja",1,0),"")</f>
        <v/>
      </c>
      <c r="Q46" s="1" t="str">
        <f>IF(AND(Programme_Grunddaten!$A54="Geprüft",Programme_Grunddaten!Y54&lt;&gt;""),IF(Programme_Grunddaten!Y54="Ja",1,0),"")</f>
        <v/>
      </c>
      <c r="R46" s="1">
        <f>IF(AND(Programme_Grunddaten!$A54="Geprüft",Programme_Grunddaten!Z54&lt;&gt;""),IF(Programme_Grunddaten!Z54="Ja",1,0),"")</f>
        <v>0</v>
      </c>
      <c r="S46" s="1">
        <f>IF(AND(Programme_Grunddaten!$A54="Geprüft",Programme_Grunddaten!AA54&lt;&gt;""),IF(Programme_Grunddaten!AA54="monolithisch",1,0),"")</f>
        <v>0</v>
      </c>
      <c r="T46" s="1">
        <f>IF(AND(Programme_Grunddaten!$A54="Geprüft",Programme_Grunddaten!AB54&lt;&gt;""),IF(Programme_Grunddaten!AB54="Ja",1,0),"")</f>
        <v>1</v>
      </c>
      <c r="U46" s="1">
        <f>IF(AND(Programme_Grunddaten!$A54="Geprüft",Programme_Grunddaten!AC54&lt;&gt;""),IF(Programme_Grunddaten!AC54="Ja",1,0),"")</f>
        <v>1</v>
      </c>
      <c r="V46" s="1" t="str">
        <f>IF(AND(Programme_Grunddaten!$A54="Geprüft",Programme_Grunddaten!AD54&lt;&gt;""),IF(Programme_Grunddaten!AD54="Ja",1,0),"")</f>
        <v/>
      </c>
      <c r="W46" s="1" t="str">
        <f>IF(AND(Programme_Grunddaten!$A54="Geprüft",Programme_Grunddaten!AE54&lt;&gt;""),IF(Programme_Grunddaten!AE54="Ja",1,0),"")</f>
        <v/>
      </c>
      <c r="X46" s="1">
        <f>IF(AND(Programme_Grunddaten!$A54="Geprüft",Programme_Grunddaten!AF54&lt;&gt;""),IF(Programme_Grunddaten!AF54="Ja",1,0),"")</f>
        <v>1</v>
      </c>
      <c r="Y46" s="1">
        <f>IF(AND(Programme_Grunddaten!$A54="Geprüft",Programme_Grunddaten!AG54&lt;&gt;""),IF(Programme_Grunddaten!AG54="Ja",1,0),"")</f>
        <v>1</v>
      </c>
      <c r="Z46" s="1" t="str">
        <f>IF(AND(Programme_Grunddaten!$A54="Geprüft",Programme_Grunddaten!AH54&lt;&gt;""),IF(Programme_Grunddaten!AH54="Ja",1,0),"")</f>
        <v/>
      </c>
      <c r="AA46" s="1" t="str">
        <f>IF(AND(Programme_Grunddaten!$A54="Geprüft",Programme_Grunddaten!AI54&lt;&gt;""),IF(Programme_Grunddaten!AI54="Ja",1,0),"")</f>
        <v/>
      </c>
      <c r="AB46" s="1" t="str">
        <f>IF(AND(Programme_Grunddaten!$A54="Geprüft",Programme_Grunddaten!AJ54&lt;&gt;""),IF(Programme_Grunddaten!AJ54="individuell programmierbar",1,0),"")</f>
        <v/>
      </c>
      <c r="AC46" s="1">
        <f>IF(AND(Programme_Grunddaten!$A54="Geprüft",Programme_Grunddaten!AK54&lt;&gt;""),IF(Programme_Grunddaten!AK54="Deutsch",0,IF(Programme_Grunddaten!AK54="Deutsch und Englisch",1,2)),"")</f>
        <v>1</v>
      </c>
      <c r="AD46" s="1">
        <f>IF(AND(Programme_Grunddaten!$A54="Geprüft",Programme_Grunddaten!AL54&lt;&gt;""),IF(Programme_Grunddaten!AL54="Ja",1,0),"")</f>
        <v>1</v>
      </c>
      <c r="AE46" s="1">
        <f>IF(AND(Programme_Grunddaten!$A54="Geprüft",Programme_Grunddaten!AM54&lt;&gt;""),IF(Programme_Grunddaten!AM54="Ja",1,0),"")</f>
        <v>0</v>
      </c>
      <c r="AF46" s="1">
        <f>IF(AND(Programme_Grunddaten!$A54="Geprüft",Programme_Grunddaten!AN54&lt;&gt;""),IF(Programme_Grunddaten!AN54="Ja",1,0),"")</f>
        <v>1</v>
      </c>
      <c r="AG46" s="1">
        <f>IF(AND(Programme_Grunddaten!$A54="Geprüft",Programme_Grunddaten!AO54&lt;&gt;""),IF(Programme_Grunddaten!AO54="Ja",1,0),"")</f>
        <v>0</v>
      </c>
      <c r="AH46" s="1" t="str">
        <f>IF(AND(Programme_Grunddaten!$A54="Geprüft",Programme_Grunddaten!AP54&lt;&gt;""),IF(Programme_Grunddaten!AP54="Ja",1,0),"")</f>
        <v/>
      </c>
      <c r="AI46" s="1">
        <f>IF(AND(Programme_Grunddaten!$A54="Geprüft",Programme_Grunddaten!AQ54&lt;&gt;""),IF(Programme_Grunddaten!AQ54="Ja",1,0),"")</f>
        <v>1</v>
      </c>
      <c r="AJ46" s="1">
        <f>IF(AND(Programme_Grunddaten!$A54="Geprüft",Programme_Grunddaten!AR54&lt;&gt;""),IF(Programme_Grunddaten!AR54="Ja",1,0),"")</f>
        <v>1</v>
      </c>
      <c r="AK46" s="1" t="str">
        <f>IF(AND(Programme_Grunddaten!$A54="Geprüft",Programme_Grunddaten!AS54&lt;&gt;""),IF(Programme_Grunddaten!AS54="Ja",1,0),"")</f>
        <v/>
      </c>
      <c r="AL46" s="1" t="str">
        <f>IF(AND(Programme_Grunddaten!$A54="Geprüft",Programme_Grunddaten!AT54&lt;&gt;""),IF(Programme_Grunddaten!AT54="Ja",1,0),"")</f>
        <v/>
      </c>
      <c r="AM46" s="1">
        <f>IF(AND(Programme_Grunddaten!$A54="Geprüft",Programme_Grunddaten!AU54&lt;&gt;""),IF(Programme_Grunddaten!AU54="Ja",1,0),"")</f>
        <v>1</v>
      </c>
      <c r="AN46" s="1" t="str">
        <f>IF(AND(Programme_Grunddaten!$A54="Geprüft",Programme_Grunddaten!AV54&lt;&gt;""),IF(Programme_Grunddaten!AV54="Ja",1,0),"")</f>
        <v/>
      </c>
    </row>
    <row r="47" spans="1:40" x14ac:dyDescent="0.3">
      <c r="A47" s="1" t="str">
        <f>IF(AND(Programme_Grunddaten!A55="Geprüft",Programme_Grunddaten!B55&lt;&gt;""),Programme_Grunddaten!B55,"")</f>
        <v>P46</v>
      </c>
      <c r="B47" s="1">
        <f>IF(AND(Programme_Grunddaten!$A55="Geprüft",Programme_Grunddaten!I55&lt;&gt;""),IF(Programme_Grunddaten!I55="Ja",1,0),"")</f>
        <v>0</v>
      </c>
      <c r="C47" s="1">
        <f>IF(AND(Programme_Grunddaten!$A55="Geprüft",Programme_Grunddaten!J55&lt;&gt;""),IF(Programme_Grunddaten!J55="Ja",1,0),"")</f>
        <v>1</v>
      </c>
      <c r="D47" s="1">
        <f>IF(AND(Programme_Grunddaten!$A55="Geprüft",Programme_Grunddaten!K55&lt;&gt;""),IF(Programme_Grunddaten!K55="Ja",1,0),"")</f>
        <v>0</v>
      </c>
      <c r="E47" s="1">
        <f>IF(AND(Programme_Grunddaten!$A55="Geprüft",Programme_Grunddaten!L55&lt;&gt;""),IF(Programme_Grunddaten!L55="Abo / befristete Lizenz",1,0),"")</f>
        <v>1</v>
      </c>
      <c r="F47" s="1">
        <f>IF(AND(Programme_Grunddaten!$A55="Geprüft",Programme_Grunddaten!M55&lt;&gt;""),IF(Programme_Grunddaten!M55="Ja",1,0),"")</f>
        <v>0</v>
      </c>
      <c r="G47" s="1">
        <f>IF(AND(Programme_Grunddaten!$A55="Geprüft",Programme_Grunddaten!N55&lt;&gt;""),IF(Programme_Grunddaten!N55="Ja",1,0),"")</f>
        <v>1</v>
      </c>
      <c r="H47" s="1" t="str">
        <f>IF(AND(Programme_Grunddaten!$A55="Geprüft",Programme_Grunddaten!O55&lt;&gt;""),IF(Programme_Grunddaten!O55="Deutschland",0,IF(Programme_Grunddaten!O55="EU",1,2)),"")</f>
        <v/>
      </c>
      <c r="I47" s="1" t="str">
        <f>IF(AND(Programme_Grunddaten!$A55="Geprüft",Programme_Grunddaten!P55&lt;&gt;""),IF(Programme_Grunddaten!P55="Ja",1,0),"")</f>
        <v/>
      </c>
      <c r="J47" s="1">
        <f>IF(AND(Programme_Grunddaten!$A55="Geprüft",Programme_Grunddaten!Q55&lt;&gt;""),IF(Programme_Grunddaten!Q55="geschlossenes System",1,0),"")</f>
        <v>0</v>
      </c>
      <c r="K47" s="1">
        <f>IF(AND(Programme_Grunddaten!$A55="Geprüft",Programme_Grunddaten!R55&lt;&gt;""),IF(Programme_Grunddaten!R55="Ja",1,0),"")</f>
        <v>1</v>
      </c>
      <c r="L47" s="1">
        <f>IF(AND(Programme_Grunddaten!$A55="Geprüft",Programme_Grunddaten!T55&lt;&gt;""),IF(Programme_Grunddaten!T55="Ja",1,0),"")</f>
        <v>1</v>
      </c>
      <c r="M47" s="1">
        <f>IF(AND(Programme_Grunddaten!$A55="Geprüft",Programme_Grunddaten!U55&lt;&gt;""),IF(Programme_Grunddaten!U55="Ja",1,0),"")</f>
        <v>1</v>
      </c>
      <c r="N47" s="1">
        <f>IF(AND(Programme_Grunddaten!$A55="Geprüft",Programme_Grunddaten!V55&lt;&gt;""),IF(Programme_Grunddaten!V55="Ja",1,0),"")</f>
        <v>1</v>
      </c>
      <c r="O47" s="1">
        <f>IF(AND(Programme_Grunddaten!$A55="Geprüft",Programme_Grunddaten!W55&lt;&gt;""),IF(Programme_Grunddaten!W55="Ja",1,0),"")</f>
        <v>1</v>
      </c>
      <c r="P47" s="1" t="str">
        <f>IF(AND(Programme_Grunddaten!$A55="Geprüft",Programme_Grunddaten!X55&lt;&gt;""),IF(Programme_Grunddaten!X55="Ja",1,0),"")</f>
        <v/>
      </c>
      <c r="Q47" s="1">
        <f>IF(AND(Programme_Grunddaten!$A55="Geprüft",Programme_Grunddaten!Y55&lt;&gt;""),IF(Programme_Grunddaten!Y55="Ja",1,0),"")</f>
        <v>1</v>
      </c>
      <c r="R47" s="1">
        <f>IF(AND(Programme_Grunddaten!$A55="Geprüft",Programme_Grunddaten!Z55&lt;&gt;""),IF(Programme_Grunddaten!Z55="Ja",1,0),"")</f>
        <v>0</v>
      </c>
      <c r="S47" s="1" t="str">
        <f>IF(AND(Programme_Grunddaten!$A55="Geprüft",Programme_Grunddaten!AA55&lt;&gt;""),IF(Programme_Grunddaten!AA55="monolithisch",1,0),"")</f>
        <v/>
      </c>
      <c r="T47" s="1">
        <f>IF(AND(Programme_Grunddaten!$A55="Geprüft",Programme_Grunddaten!AB55&lt;&gt;""),IF(Programme_Grunddaten!AB55="Ja",1,0),"")</f>
        <v>1</v>
      </c>
      <c r="U47" s="1">
        <f>IF(AND(Programme_Grunddaten!$A55="Geprüft",Programme_Grunddaten!AC55&lt;&gt;""),IF(Programme_Grunddaten!AC55="Ja",1,0),"")</f>
        <v>1</v>
      </c>
      <c r="V47" s="1" t="str">
        <f>IF(AND(Programme_Grunddaten!$A55="Geprüft",Programme_Grunddaten!AD55&lt;&gt;""),IF(Programme_Grunddaten!AD55="Ja",1,0),"")</f>
        <v/>
      </c>
      <c r="W47" s="1" t="str">
        <f>IF(AND(Programme_Grunddaten!$A55="Geprüft",Programme_Grunddaten!AE55&lt;&gt;""),IF(Programme_Grunddaten!AE55="Ja",1,0),"")</f>
        <v/>
      </c>
      <c r="X47" s="1">
        <f>IF(AND(Programme_Grunddaten!$A55="Geprüft",Programme_Grunddaten!AF55&lt;&gt;""),IF(Programme_Grunddaten!AF55="Ja",1,0),"")</f>
        <v>1</v>
      </c>
      <c r="Y47" s="1" t="str">
        <f>IF(AND(Programme_Grunddaten!$A55="Geprüft",Programme_Grunddaten!AG55&lt;&gt;""),IF(Programme_Grunddaten!AG55="Ja",1,0),"")</f>
        <v/>
      </c>
      <c r="Z47" s="1" t="str">
        <f>IF(AND(Programme_Grunddaten!$A55="Geprüft",Programme_Grunddaten!AH55&lt;&gt;""),IF(Programme_Grunddaten!AH55="Ja",1,0),"")</f>
        <v/>
      </c>
      <c r="AA47" s="1">
        <f>IF(AND(Programme_Grunddaten!$A55="Geprüft",Programme_Grunddaten!AI55&lt;&gt;""),IF(Programme_Grunddaten!AI55="Ja",1,0),"")</f>
        <v>1</v>
      </c>
      <c r="AB47" s="1" t="str">
        <f>IF(AND(Programme_Grunddaten!$A55="Geprüft",Programme_Grunddaten!AJ55&lt;&gt;""),IF(Programme_Grunddaten!AJ55="individuell programmierbar",1,0),"")</f>
        <v/>
      </c>
      <c r="AC47" s="1" t="str">
        <f>IF(AND(Programme_Grunddaten!$A55="Geprüft",Programme_Grunddaten!AK55&lt;&gt;""),IF(Programme_Grunddaten!AK55="Deutsch",0,IF(Programme_Grunddaten!AK55="Deutsch und Englisch",1,2)),"")</f>
        <v/>
      </c>
      <c r="AD47" s="1">
        <f>IF(AND(Programme_Grunddaten!$A55="Geprüft",Programme_Grunddaten!AL55&lt;&gt;""),IF(Programme_Grunddaten!AL55="Ja",1,0),"")</f>
        <v>1</v>
      </c>
      <c r="AE47" s="1">
        <f>IF(AND(Programme_Grunddaten!$A55="Geprüft",Programme_Grunddaten!AM55&lt;&gt;""),IF(Programme_Grunddaten!AM55="Ja",1,0),"")</f>
        <v>0</v>
      </c>
      <c r="AF47" s="1">
        <f>IF(AND(Programme_Grunddaten!$A55="Geprüft",Programme_Grunddaten!AN55&lt;&gt;""),IF(Programme_Grunddaten!AN55="Ja",1,0),"")</f>
        <v>1</v>
      </c>
      <c r="AG47" s="1">
        <f>IF(AND(Programme_Grunddaten!$A55="Geprüft",Programme_Grunddaten!AO55&lt;&gt;""),IF(Programme_Grunddaten!AO55="Ja",1,0),"")</f>
        <v>0</v>
      </c>
      <c r="AH47" s="1" t="str">
        <f>IF(AND(Programme_Grunddaten!$A55="Geprüft",Programme_Grunddaten!AP55&lt;&gt;""),IF(Programme_Grunddaten!AP55="Ja",1,0),"")</f>
        <v/>
      </c>
      <c r="AI47" s="1">
        <f>IF(AND(Programme_Grunddaten!$A55="Geprüft",Programme_Grunddaten!AQ55&lt;&gt;""),IF(Programme_Grunddaten!AQ55="Ja",1,0),"")</f>
        <v>1</v>
      </c>
      <c r="AJ47" s="1">
        <f>IF(AND(Programme_Grunddaten!$A55="Geprüft",Programme_Grunddaten!AR55&lt;&gt;""),IF(Programme_Grunddaten!AR55="Ja",1,0),"")</f>
        <v>1</v>
      </c>
      <c r="AK47" s="1" t="str">
        <f>IF(AND(Programme_Grunddaten!$A55="Geprüft",Programme_Grunddaten!AS55&lt;&gt;""),IF(Programme_Grunddaten!AS55="Ja",1,0),"")</f>
        <v/>
      </c>
      <c r="AL47" s="1" t="str">
        <f>IF(AND(Programme_Grunddaten!$A55="Geprüft",Programme_Grunddaten!AT55&lt;&gt;""),IF(Programme_Grunddaten!AT55="Ja",1,0),"")</f>
        <v/>
      </c>
      <c r="AM47" s="1" t="str">
        <f>IF(AND(Programme_Grunddaten!$A55="Geprüft",Programme_Grunddaten!AU55&lt;&gt;""),IF(Programme_Grunddaten!AU55="Ja",1,0),"")</f>
        <v/>
      </c>
      <c r="AN47" s="1" t="str">
        <f>IF(AND(Programme_Grunddaten!$A55="Geprüft",Programme_Grunddaten!AV55&lt;&gt;""),IF(Programme_Grunddaten!AV55="Ja",1,0),"")</f>
        <v/>
      </c>
    </row>
    <row r="48" spans="1:40" x14ac:dyDescent="0.3">
      <c r="A48" s="1" t="str">
        <f>IF(AND(Programme_Grunddaten!A56="Geprüft",Programme_Grunddaten!B56&lt;&gt;""),Programme_Grunddaten!B56,"")</f>
        <v>P47</v>
      </c>
      <c r="B48" s="1">
        <f>IF(AND(Programme_Grunddaten!$A56="Geprüft",Programme_Grunddaten!I56&lt;&gt;""),IF(Programme_Grunddaten!I56="Ja",1,0),"")</f>
        <v>0</v>
      </c>
      <c r="C48" s="1">
        <f>IF(AND(Programme_Grunddaten!$A56="Geprüft",Programme_Grunddaten!J56&lt;&gt;""),IF(Programme_Grunddaten!J56="Ja",1,0),"")</f>
        <v>1</v>
      </c>
      <c r="D48" s="1">
        <f>IF(AND(Programme_Grunddaten!$A56="Geprüft",Programme_Grunddaten!K56&lt;&gt;""),IF(Programme_Grunddaten!K56="Ja",1,0),"")</f>
        <v>1</v>
      </c>
      <c r="E48" s="1">
        <f>IF(AND(Programme_Grunddaten!$A56="Geprüft",Programme_Grunddaten!L56&lt;&gt;""),IF(Programme_Grunddaten!L56="Abo / befristete Lizenz",1,0),"")</f>
        <v>1</v>
      </c>
      <c r="F48" s="1">
        <f>IF(AND(Programme_Grunddaten!$A56="Geprüft",Programme_Grunddaten!M56&lt;&gt;""),IF(Programme_Grunddaten!M56="Ja",1,0),"")</f>
        <v>0</v>
      </c>
      <c r="G48" s="1">
        <f>IF(AND(Programme_Grunddaten!$A56="Geprüft",Programme_Grunddaten!N56&lt;&gt;""),IF(Programme_Grunddaten!N56="Ja",1,0),"")</f>
        <v>1</v>
      </c>
      <c r="H48" s="1" t="str">
        <f>IF(AND(Programme_Grunddaten!$A56="Geprüft",Programme_Grunddaten!O56&lt;&gt;""),IF(Programme_Grunddaten!O56="Deutschland",0,IF(Programme_Grunddaten!O56="EU",1,2)),"")</f>
        <v/>
      </c>
      <c r="I48" s="1" t="str">
        <f>IF(AND(Programme_Grunddaten!$A56="Geprüft",Programme_Grunddaten!P56&lt;&gt;""),IF(Programme_Grunddaten!P56="Ja",1,0),"")</f>
        <v/>
      </c>
      <c r="J48" s="1">
        <f>IF(AND(Programme_Grunddaten!$A56="Geprüft",Programme_Grunddaten!Q56&lt;&gt;""),IF(Programme_Grunddaten!Q56="geschlossenes System",1,0),"")</f>
        <v>0</v>
      </c>
      <c r="K48" s="1">
        <f>IF(AND(Programme_Grunddaten!$A56="Geprüft",Programme_Grunddaten!R56&lt;&gt;""),IF(Programme_Grunddaten!R56="Ja",1,0),"")</f>
        <v>1</v>
      </c>
      <c r="L48" s="1">
        <f>IF(AND(Programme_Grunddaten!$A56="Geprüft",Programme_Grunddaten!T56&lt;&gt;""),IF(Programme_Grunddaten!T56="Ja",1,0),"")</f>
        <v>1</v>
      </c>
      <c r="M48" s="1" t="str">
        <f>IF(AND(Programme_Grunddaten!$A56="Geprüft",Programme_Grunddaten!U56&lt;&gt;""),IF(Programme_Grunddaten!U56="Ja",1,0),"")</f>
        <v/>
      </c>
      <c r="N48" s="1">
        <f>IF(AND(Programme_Grunddaten!$A56="Geprüft",Programme_Grunddaten!V56&lt;&gt;""),IF(Programme_Grunddaten!V56="Ja",1,0),"")</f>
        <v>1</v>
      </c>
      <c r="O48" s="1" t="str">
        <f>IF(AND(Programme_Grunddaten!$A56="Geprüft",Programme_Grunddaten!W56&lt;&gt;""),IF(Programme_Grunddaten!W56="Ja",1,0),"")</f>
        <v/>
      </c>
      <c r="P48" s="1" t="str">
        <f>IF(AND(Programme_Grunddaten!$A56="Geprüft",Programme_Grunddaten!X56&lt;&gt;""),IF(Programme_Grunddaten!X56="Ja",1,0),"")</f>
        <v/>
      </c>
      <c r="Q48" s="1" t="str">
        <f>IF(AND(Programme_Grunddaten!$A56="Geprüft",Programme_Grunddaten!Y56&lt;&gt;""),IF(Programme_Grunddaten!Y56="Ja",1,0),"")</f>
        <v/>
      </c>
      <c r="R48" s="1">
        <f>IF(AND(Programme_Grunddaten!$A56="Geprüft",Programme_Grunddaten!Z56&lt;&gt;""),IF(Programme_Grunddaten!Z56="Ja",1,0),"")</f>
        <v>0</v>
      </c>
      <c r="S48" s="1" t="str">
        <f>IF(AND(Programme_Grunddaten!$A56="Geprüft",Programme_Grunddaten!AA56&lt;&gt;""),IF(Programme_Grunddaten!AA56="monolithisch",1,0),"")</f>
        <v/>
      </c>
      <c r="T48" s="1">
        <f>IF(AND(Programme_Grunddaten!$A56="Geprüft",Programme_Grunddaten!AB56&lt;&gt;""),IF(Programme_Grunddaten!AB56="Ja",1,0),"")</f>
        <v>1</v>
      </c>
      <c r="U48" s="1">
        <f>IF(AND(Programme_Grunddaten!$A56="Geprüft",Programme_Grunddaten!AC56&lt;&gt;""),IF(Programme_Grunddaten!AC56="Ja",1,0),"")</f>
        <v>1</v>
      </c>
      <c r="V48" s="1" t="str">
        <f>IF(AND(Programme_Grunddaten!$A56="Geprüft",Programme_Grunddaten!AD56&lt;&gt;""),IF(Programme_Grunddaten!AD56="Ja",1,0),"")</f>
        <v/>
      </c>
      <c r="W48" s="1" t="str">
        <f>IF(AND(Programme_Grunddaten!$A56="Geprüft",Programme_Grunddaten!AE56&lt;&gt;""),IF(Programme_Grunddaten!AE56="Ja",1,0),"")</f>
        <v/>
      </c>
      <c r="X48" s="1">
        <f>IF(AND(Programme_Grunddaten!$A56="Geprüft",Programme_Grunddaten!AF56&lt;&gt;""),IF(Programme_Grunddaten!AF56="Ja",1,0),"")</f>
        <v>1</v>
      </c>
      <c r="Y48" s="1">
        <f>IF(AND(Programme_Grunddaten!$A56="Geprüft",Programme_Grunddaten!AG56&lt;&gt;""),IF(Programme_Grunddaten!AG56="Ja",1,0),"")</f>
        <v>1</v>
      </c>
      <c r="Z48" s="1" t="str">
        <f>IF(AND(Programme_Grunddaten!$A56="Geprüft",Programme_Grunddaten!AH56&lt;&gt;""),IF(Programme_Grunddaten!AH56="Ja",1,0),"")</f>
        <v/>
      </c>
      <c r="AA48" s="1" t="str">
        <f>IF(AND(Programme_Grunddaten!$A56="Geprüft",Programme_Grunddaten!AI56&lt;&gt;""),IF(Programme_Grunddaten!AI56="Ja",1,0),"")</f>
        <v/>
      </c>
      <c r="AB48" s="1" t="str">
        <f>IF(AND(Programme_Grunddaten!$A56="Geprüft",Programme_Grunddaten!AJ56&lt;&gt;""),IF(Programme_Grunddaten!AJ56="individuell programmierbar",1,0),"")</f>
        <v/>
      </c>
      <c r="AC48" s="1">
        <f>IF(AND(Programme_Grunddaten!$A56="Geprüft",Programme_Grunddaten!AK56&lt;&gt;""),IF(Programme_Grunddaten!AK56="Deutsch",0,IF(Programme_Grunddaten!AK56="Deutsch und Englisch",1,2)),"")</f>
        <v>2</v>
      </c>
      <c r="AD48" s="1">
        <f>IF(AND(Programme_Grunddaten!$A56="Geprüft",Programme_Grunddaten!AL56&lt;&gt;""),IF(Programme_Grunddaten!AL56="Ja",1,0),"")</f>
        <v>1</v>
      </c>
      <c r="AE48" s="1">
        <f>IF(AND(Programme_Grunddaten!$A56="Geprüft",Programme_Grunddaten!AM56&lt;&gt;""),IF(Programme_Grunddaten!AM56="Ja",1,0),"")</f>
        <v>0</v>
      </c>
      <c r="AF48" s="1">
        <f>IF(AND(Programme_Grunddaten!$A56="Geprüft",Programme_Grunddaten!AN56&lt;&gt;""),IF(Programme_Grunddaten!AN56="Ja",1,0),"")</f>
        <v>1</v>
      </c>
      <c r="AG48" s="1">
        <f>IF(AND(Programme_Grunddaten!$A56="Geprüft",Programme_Grunddaten!AO56&lt;&gt;""),IF(Programme_Grunddaten!AO56="Ja",1,0),"")</f>
        <v>0</v>
      </c>
      <c r="AH48" s="1" t="str">
        <f>IF(AND(Programme_Grunddaten!$A56="Geprüft",Programme_Grunddaten!AP56&lt;&gt;""),IF(Programme_Grunddaten!AP56="Ja",1,0),"")</f>
        <v/>
      </c>
      <c r="AI48" s="1">
        <f>IF(AND(Programme_Grunddaten!$A56="Geprüft",Programme_Grunddaten!AQ56&lt;&gt;""),IF(Programme_Grunddaten!AQ56="Ja",1,0),"")</f>
        <v>1</v>
      </c>
      <c r="AJ48" s="1">
        <f>IF(AND(Programme_Grunddaten!$A56="Geprüft",Programme_Grunddaten!AR56&lt;&gt;""),IF(Programme_Grunddaten!AR56="Ja",1,0),"")</f>
        <v>1</v>
      </c>
      <c r="AK48" s="1">
        <f>IF(AND(Programme_Grunddaten!$A56="Geprüft",Programme_Grunddaten!AS56&lt;&gt;""),IF(Programme_Grunddaten!AS56="Ja",1,0),"")</f>
        <v>1</v>
      </c>
      <c r="AL48" s="1">
        <f>IF(AND(Programme_Grunddaten!$A56="Geprüft",Programme_Grunddaten!AT56&lt;&gt;""),IF(Programme_Grunddaten!AT56="Ja",1,0),"")</f>
        <v>1</v>
      </c>
      <c r="AM48" s="1">
        <f>IF(AND(Programme_Grunddaten!$A56="Geprüft",Programme_Grunddaten!AU56&lt;&gt;""),IF(Programme_Grunddaten!AU56="Ja",1,0),"")</f>
        <v>1</v>
      </c>
      <c r="AN48" s="1">
        <f>IF(AND(Programme_Grunddaten!$A56="Geprüft",Programme_Grunddaten!AV56&lt;&gt;""),IF(Programme_Grunddaten!AV56="Ja",1,0),"")</f>
        <v>0</v>
      </c>
    </row>
    <row r="49" spans="1:40" x14ac:dyDescent="0.3">
      <c r="A49" s="1" t="str">
        <f>IF(AND(Programme_Grunddaten!A57="Geprüft",Programme_Grunddaten!B57&lt;&gt;""),Programme_Grunddaten!B57,"")</f>
        <v>P48</v>
      </c>
      <c r="B49" s="1">
        <f>IF(AND(Programme_Grunddaten!$A57="Geprüft",Programme_Grunddaten!I57&lt;&gt;""),IF(Programme_Grunddaten!I57="Ja",1,0),"")</f>
        <v>0</v>
      </c>
      <c r="C49" s="1">
        <f>IF(AND(Programme_Grunddaten!$A57="Geprüft",Programme_Grunddaten!J57&lt;&gt;""),IF(Programme_Grunddaten!J57="Ja",1,0),"")</f>
        <v>1</v>
      </c>
      <c r="D49" s="1">
        <f>IF(AND(Programme_Grunddaten!$A57="Geprüft",Programme_Grunddaten!K57&lt;&gt;""),IF(Programme_Grunddaten!K57="Ja",1,0),"")</f>
        <v>1</v>
      </c>
      <c r="E49" s="1">
        <f>IF(AND(Programme_Grunddaten!$A57="Geprüft",Programme_Grunddaten!L57&lt;&gt;""),IF(Programme_Grunddaten!L57="Abo / befristete Lizenz",1,0),"")</f>
        <v>1</v>
      </c>
      <c r="F49" s="1">
        <f>IF(AND(Programme_Grunddaten!$A57="Geprüft",Programme_Grunddaten!M57&lt;&gt;""),IF(Programme_Grunddaten!M57="Ja",1,0),"")</f>
        <v>1</v>
      </c>
      <c r="G49" s="1">
        <f>IF(AND(Programme_Grunddaten!$A57="Geprüft",Programme_Grunddaten!N57&lt;&gt;""),IF(Programme_Grunddaten!N57="Ja",1,0),"")</f>
        <v>1</v>
      </c>
      <c r="H49" s="1" t="str">
        <f>IF(AND(Programme_Grunddaten!$A57="Geprüft",Programme_Grunddaten!O57&lt;&gt;""),IF(Programme_Grunddaten!O57="Deutschland",0,IF(Programme_Grunddaten!O57="EU",1,2)),"")</f>
        <v/>
      </c>
      <c r="I49" s="1">
        <f>IF(AND(Programme_Grunddaten!$A57="Geprüft",Programme_Grunddaten!P57&lt;&gt;""),IF(Programme_Grunddaten!P57="Ja",1,0),"")</f>
        <v>1</v>
      </c>
      <c r="J49" s="1">
        <f>IF(AND(Programme_Grunddaten!$A57="Geprüft",Programme_Grunddaten!Q57&lt;&gt;""),IF(Programme_Grunddaten!Q57="geschlossenes System",1,0),"")</f>
        <v>0</v>
      </c>
      <c r="K49" s="1">
        <f>IF(AND(Programme_Grunddaten!$A57="Geprüft",Programme_Grunddaten!R57&lt;&gt;""),IF(Programme_Grunddaten!R57="Ja",1,0),"")</f>
        <v>1</v>
      </c>
      <c r="L49" s="1">
        <f>IF(AND(Programme_Grunddaten!$A57="Geprüft",Programme_Grunddaten!T57&lt;&gt;""),IF(Programme_Grunddaten!T57="Ja",1,0),"")</f>
        <v>1</v>
      </c>
      <c r="M49" s="1">
        <f>IF(AND(Programme_Grunddaten!$A57="Geprüft",Programme_Grunddaten!U57&lt;&gt;""),IF(Programme_Grunddaten!U57="Ja",1,0),"")</f>
        <v>1</v>
      </c>
      <c r="N49" s="1">
        <f>IF(AND(Programme_Grunddaten!$A57="Geprüft",Programme_Grunddaten!V57&lt;&gt;""),IF(Programme_Grunddaten!V57="Ja",1,0),"")</f>
        <v>1</v>
      </c>
      <c r="O49" s="1" t="str">
        <f>IF(AND(Programme_Grunddaten!$A57="Geprüft",Programme_Grunddaten!W57&lt;&gt;""),IF(Programme_Grunddaten!W57="Ja",1,0),"")</f>
        <v/>
      </c>
      <c r="P49" s="1" t="str">
        <f>IF(AND(Programme_Grunddaten!$A57="Geprüft",Programme_Grunddaten!X57&lt;&gt;""),IF(Programme_Grunddaten!X57="Ja",1,0),"")</f>
        <v/>
      </c>
      <c r="Q49" s="1">
        <f>IF(AND(Programme_Grunddaten!$A57="Geprüft",Programme_Grunddaten!Y57&lt;&gt;""),IF(Programme_Grunddaten!Y57="Ja",1,0),"")</f>
        <v>0</v>
      </c>
      <c r="R49" s="1">
        <f>IF(AND(Programme_Grunddaten!$A57="Geprüft",Programme_Grunddaten!Z57&lt;&gt;""),IF(Programme_Grunddaten!Z57="Ja",1,0),"")</f>
        <v>0</v>
      </c>
      <c r="S49" s="1">
        <f>IF(AND(Programme_Grunddaten!$A57="Geprüft",Programme_Grunddaten!AA57&lt;&gt;""),IF(Programme_Grunddaten!AA57="monolithisch",1,0),"")</f>
        <v>0</v>
      </c>
      <c r="T49" s="1">
        <f>IF(AND(Programme_Grunddaten!$A57="Geprüft",Programme_Grunddaten!AB57&lt;&gt;""),IF(Programme_Grunddaten!AB57="Ja",1,0),"")</f>
        <v>1</v>
      </c>
      <c r="U49" s="1">
        <f>IF(AND(Programme_Grunddaten!$A57="Geprüft",Programme_Grunddaten!AC57&lt;&gt;""),IF(Programme_Grunddaten!AC57="Ja",1,0),"")</f>
        <v>1</v>
      </c>
      <c r="V49" s="1">
        <f>IF(AND(Programme_Grunddaten!$A57="Geprüft",Programme_Grunddaten!AD57&lt;&gt;""),IF(Programme_Grunddaten!AD57="Ja",1,0),"")</f>
        <v>1</v>
      </c>
      <c r="W49" s="1">
        <f>IF(AND(Programme_Grunddaten!$A57="Geprüft",Programme_Grunddaten!AE57&lt;&gt;""),IF(Programme_Grunddaten!AE57="Ja",1,0),"")</f>
        <v>1</v>
      </c>
      <c r="X49" s="1">
        <f>IF(AND(Programme_Grunddaten!$A57="Geprüft",Programme_Grunddaten!AF57&lt;&gt;""),IF(Programme_Grunddaten!AF57="Ja",1,0),"")</f>
        <v>1</v>
      </c>
      <c r="Y49" s="1" t="str">
        <f>IF(AND(Programme_Grunddaten!$A57="Geprüft",Programme_Grunddaten!AG57&lt;&gt;""),IF(Programme_Grunddaten!AG57="Ja",1,0),"")</f>
        <v/>
      </c>
      <c r="Z49" s="1" t="str">
        <f>IF(AND(Programme_Grunddaten!$A57="Geprüft",Programme_Grunddaten!AH57&lt;&gt;""),IF(Programme_Grunddaten!AH57="Ja",1,0),"")</f>
        <v/>
      </c>
      <c r="AA49" s="1">
        <f>IF(AND(Programme_Grunddaten!$A57="Geprüft",Programme_Grunddaten!AI57&lt;&gt;""),IF(Programme_Grunddaten!AI57="Ja",1,0),"")</f>
        <v>1</v>
      </c>
      <c r="AB49" s="1" t="str">
        <f>IF(AND(Programme_Grunddaten!$A57="Geprüft",Programme_Grunddaten!AJ57&lt;&gt;""),IF(Programme_Grunddaten!AJ57="individuell programmierbar",1,0),"")</f>
        <v/>
      </c>
      <c r="AC49" s="1">
        <f>IF(AND(Programme_Grunddaten!$A57="Geprüft",Programme_Grunddaten!AK57&lt;&gt;""),IF(Programme_Grunddaten!AK57="Deutsch",0,IF(Programme_Grunddaten!AK57="Deutsch und Englisch",1,2)),"")</f>
        <v>1</v>
      </c>
      <c r="AD49" s="1">
        <f>IF(AND(Programme_Grunddaten!$A57="Geprüft",Programme_Grunddaten!AL57&lt;&gt;""),IF(Programme_Grunddaten!AL57="Ja",1,0),"")</f>
        <v>1</v>
      </c>
      <c r="AE49" s="1">
        <f>IF(AND(Programme_Grunddaten!$A57="Geprüft",Programme_Grunddaten!AM57&lt;&gt;""),IF(Programme_Grunddaten!AM57="Ja",1,0),"")</f>
        <v>0</v>
      </c>
      <c r="AF49" s="1">
        <f>IF(AND(Programme_Grunddaten!$A57="Geprüft",Programme_Grunddaten!AN57&lt;&gt;""),IF(Programme_Grunddaten!AN57="Ja",1,0),"")</f>
        <v>1</v>
      </c>
      <c r="AG49" s="1">
        <f>IF(AND(Programme_Grunddaten!$A57="Geprüft",Programme_Grunddaten!AO57&lt;&gt;""),IF(Programme_Grunddaten!AO57="Ja",1,0),"")</f>
        <v>0</v>
      </c>
      <c r="AH49" s="1" t="str">
        <f>IF(AND(Programme_Grunddaten!$A57="Geprüft",Programme_Grunddaten!AP57&lt;&gt;""),IF(Programme_Grunddaten!AP57="Ja",1,0),"")</f>
        <v/>
      </c>
      <c r="AI49" s="1">
        <f>IF(AND(Programme_Grunddaten!$A57="Geprüft",Programme_Grunddaten!AQ57&lt;&gt;""),IF(Programme_Grunddaten!AQ57="Ja",1,0),"")</f>
        <v>1</v>
      </c>
      <c r="AJ49" s="1">
        <f>IF(AND(Programme_Grunddaten!$A57="Geprüft",Programme_Grunddaten!AR57&lt;&gt;""),IF(Programme_Grunddaten!AR57="Ja",1,0),"")</f>
        <v>1</v>
      </c>
      <c r="AK49" s="1" t="str">
        <f>IF(AND(Programme_Grunddaten!$A57="Geprüft",Programme_Grunddaten!AS57&lt;&gt;""),IF(Programme_Grunddaten!AS57="Ja",1,0),"")</f>
        <v/>
      </c>
      <c r="AL49" s="1" t="str">
        <f>IF(AND(Programme_Grunddaten!$A57="Geprüft",Programme_Grunddaten!AT57&lt;&gt;""),IF(Programme_Grunddaten!AT57="Ja",1,0),"")</f>
        <v/>
      </c>
      <c r="AM49" s="1" t="str">
        <f>IF(AND(Programme_Grunddaten!$A57="Geprüft",Programme_Grunddaten!AU57&lt;&gt;""),IF(Programme_Grunddaten!AU57="Ja",1,0),"")</f>
        <v/>
      </c>
      <c r="AN49" s="1" t="str">
        <f>IF(AND(Programme_Grunddaten!$A57="Geprüft",Programme_Grunddaten!AV57&lt;&gt;""),IF(Programme_Grunddaten!AV57="Ja",1,0),"")</f>
        <v/>
      </c>
    </row>
    <row r="50" spans="1:40" x14ac:dyDescent="0.3">
      <c r="A50" s="1" t="str">
        <f>IF(AND(Programme_Grunddaten!A58="Geprüft",Programme_Grunddaten!B58&lt;&gt;""),Programme_Grunddaten!B58,"")</f>
        <v>P49</v>
      </c>
      <c r="B50" s="1">
        <f>IF(AND(Programme_Grunddaten!$A58="Geprüft",Programme_Grunddaten!I58&lt;&gt;""),IF(Programme_Grunddaten!I58="Ja",1,0),"")</f>
        <v>0</v>
      </c>
      <c r="C50" s="1">
        <f>IF(AND(Programme_Grunddaten!$A58="Geprüft",Programme_Grunddaten!J58&lt;&gt;""),IF(Programme_Grunddaten!J58="Ja",1,0),"")</f>
        <v>1</v>
      </c>
      <c r="D50" s="1">
        <f>IF(AND(Programme_Grunddaten!$A58="Geprüft",Programme_Grunddaten!K58&lt;&gt;""),IF(Programme_Grunddaten!K58="Ja",1,0),"")</f>
        <v>1</v>
      </c>
      <c r="E50" s="1">
        <f>IF(AND(Programme_Grunddaten!$A58="Geprüft",Programme_Grunddaten!L58&lt;&gt;""),IF(Programme_Grunddaten!L58="Abo / befristete Lizenz",1,0),"")</f>
        <v>1</v>
      </c>
      <c r="F50" s="1">
        <f>IF(AND(Programme_Grunddaten!$A58="Geprüft",Programme_Grunddaten!M58&lt;&gt;""),IF(Programme_Grunddaten!M58="Ja",1,0),"")</f>
        <v>0</v>
      </c>
      <c r="G50" s="1">
        <f>IF(AND(Programme_Grunddaten!$A58="Geprüft",Programme_Grunddaten!N58&lt;&gt;""),IF(Programme_Grunddaten!N58="Ja",1,0),"")</f>
        <v>1</v>
      </c>
      <c r="H50" s="1" t="str">
        <f>IF(AND(Programme_Grunddaten!$A58="Geprüft",Programme_Grunddaten!O58&lt;&gt;""),IF(Programme_Grunddaten!O58="Deutschland",0,IF(Programme_Grunddaten!O58="EU",1,2)),"")</f>
        <v/>
      </c>
      <c r="I50" s="1">
        <f>IF(AND(Programme_Grunddaten!$A58="Geprüft",Programme_Grunddaten!P58&lt;&gt;""),IF(Programme_Grunddaten!P58="Ja",1,0),"")</f>
        <v>1</v>
      </c>
      <c r="J50" s="1">
        <f>IF(AND(Programme_Grunddaten!$A58="Geprüft",Programme_Grunddaten!Q58&lt;&gt;""),IF(Programme_Grunddaten!Q58="geschlossenes System",1,0),"")</f>
        <v>0</v>
      </c>
      <c r="K50" s="1" t="str">
        <f>IF(AND(Programme_Grunddaten!$A58="Geprüft",Programme_Grunddaten!R58&lt;&gt;""),IF(Programme_Grunddaten!R58="Ja",1,0),"")</f>
        <v/>
      </c>
      <c r="L50" s="1">
        <f>IF(AND(Programme_Grunddaten!$A58="Geprüft",Programme_Grunddaten!T58&lt;&gt;""),IF(Programme_Grunddaten!T58="Ja",1,0),"")</f>
        <v>1</v>
      </c>
      <c r="M50" s="1" t="str">
        <f>IF(AND(Programme_Grunddaten!$A58="Geprüft",Programme_Grunddaten!U58&lt;&gt;""),IF(Programme_Grunddaten!U58="Ja",1,0),"")</f>
        <v/>
      </c>
      <c r="N50" s="1" t="str">
        <f>IF(AND(Programme_Grunddaten!$A58="Geprüft",Programme_Grunddaten!V58&lt;&gt;""),IF(Programme_Grunddaten!V58="Ja",1,0),"")</f>
        <v/>
      </c>
      <c r="O50" s="1" t="str">
        <f>IF(AND(Programme_Grunddaten!$A58="Geprüft",Programme_Grunddaten!W58&lt;&gt;""),IF(Programme_Grunddaten!W58="Ja",1,0),"")</f>
        <v/>
      </c>
      <c r="P50" s="1" t="str">
        <f>IF(AND(Programme_Grunddaten!$A58="Geprüft",Programme_Grunddaten!X58&lt;&gt;""),IF(Programme_Grunddaten!X58="Ja",1,0),"")</f>
        <v/>
      </c>
      <c r="Q50" s="1" t="str">
        <f>IF(AND(Programme_Grunddaten!$A58="Geprüft",Programme_Grunddaten!Y58&lt;&gt;""),IF(Programme_Grunddaten!Y58="Ja",1,0),"")</f>
        <v/>
      </c>
      <c r="R50" s="1">
        <f>IF(AND(Programme_Grunddaten!$A58="Geprüft",Programme_Grunddaten!Z58&lt;&gt;""),IF(Programme_Grunddaten!Z58="Ja",1,0),"")</f>
        <v>0</v>
      </c>
      <c r="S50" s="1">
        <f>IF(AND(Programme_Grunddaten!$A58="Geprüft",Programme_Grunddaten!AA58&lt;&gt;""),IF(Programme_Grunddaten!AA58="monolithisch",1,0),"")</f>
        <v>0</v>
      </c>
      <c r="T50" s="1">
        <f>IF(AND(Programme_Grunddaten!$A58="Geprüft",Programme_Grunddaten!AB58&lt;&gt;""),IF(Programme_Grunddaten!AB58="Ja",1,0),"")</f>
        <v>1</v>
      </c>
      <c r="U50" s="1" t="str">
        <f>IF(AND(Programme_Grunddaten!$A58="Geprüft",Programme_Grunddaten!AC58&lt;&gt;""),IF(Programme_Grunddaten!AC58="Ja",1,0),"")</f>
        <v/>
      </c>
      <c r="V50" s="1" t="str">
        <f>IF(AND(Programme_Grunddaten!$A58="Geprüft",Programme_Grunddaten!AD58&lt;&gt;""),IF(Programme_Grunddaten!AD58="Ja",1,0),"")</f>
        <v/>
      </c>
      <c r="W50" s="1" t="str">
        <f>IF(AND(Programme_Grunddaten!$A58="Geprüft",Programme_Grunddaten!AE58&lt;&gt;""),IF(Programme_Grunddaten!AE58="Ja",1,0),"")</f>
        <v/>
      </c>
      <c r="X50" s="1" t="str">
        <f>IF(AND(Programme_Grunddaten!$A58="Geprüft",Programme_Grunddaten!AF58&lt;&gt;""),IF(Programme_Grunddaten!AF58="Ja",1,0),"")</f>
        <v/>
      </c>
      <c r="Y50" s="1" t="str">
        <f>IF(AND(Programme_Grunddaten!$A58="Geprüft",Programme_Grunddaten!AG58&lt;&gt;""),IF(Programme_Grunddaten!AG58="Ja",1,0),"")</f>
        <v/>
      </c>
      <c r="Z50" s="1" t="str">
        <f>IF(AND(Programme_Grunddaten!$A58="Geprüft",Programme_Grunddaten!AH58&lt;&gt;""),IF(Programme_Grunddaten!AH58="Ja",1,0),"")</f>
        <v/>
      </c>
      <c r="AA50" s="1">
        <f>IF(AND(Programme_Grunddaten!$A58="Geprüft",Programme_Grunddaten!AI58&lt;&gt;""),IF(Programme_Grunddaten!AI58="Ja",1,0),"")</f>
        <v>1</v>
      </c>
      <c r="AB50" s="1" t="str">
        <f>IF(AND(Programme_Grunddaten!$A58="Geprüft",Programme_Grunddaten!AJ58&lt;&gt;""),IF(Programme_Grunddaten!AJ58="individuell programmierbar",1,0),"")</f>
        <v/>
      </c>
      <c r="AC50" s="1">
        <f>IF(AND(Programme_Grunddaten!$A58="Geprüft",Programme_Grunddaten!AK58&lt;&gt;""),IF(Programme_Grunddaten!AK58="Deutsch",0,IF(Programme_Grunddaten!AK58="Deutsch und Englisch",1,2)),"")</f>
        <v>2</v>
      </c>
      <c r="AD50" s="1">
        <f>IF(AND(Programme_Grunddaten!$A58="Geprüft",Programme_Grunddaten!AL58&lt;&gt;""),IF(Programme_Grunddaten!AL58="Ja",1,0),"")</f>
        <v>1</v>
      </c>
      <c r="AE50" s="1">
        <f>IF(AND(Programme_Grunddaten!$A58="Geprüft",Programme_Grunddaten!AM58&lt;&gt;""),IF(Programme_Grunddaten!AM58="Ja",1,0),"")</f>
        <v>0</v>
      </c>
      <c r="AF50" s="1" t="str">
        <f>IF(AND(Programme_Grunddaten!$A58="Geprüft",Programme_Grunddaten!AN58&lt;&gt;""),IF(Programme_Grunddaten!AN58="Ja",1,0),"")</f>
        <v/>
      </c>
      <c r="AG50" s="1">
        <f>IF(AND(Programme_Grunddaten!$A58="Geprüft",Programme_Grunddaten!AO58&lt;&gt;""),IF(Programme_Grunddaten!AO58="Ja",1,0),"")</f>
        <v>0</v>
      </c>
      <c r="AH50" s="1" t="str">
        <f>IF(AND(Programme_Grunddaten!$A58="Geprüft",Programme_Grunddaten!AP58&lt;&gt;""),IF(Programme_Grunddaten!AP58="Ja",1,0),"")</f>
        <v/>
      </c>
      <c r="AI50" s="1">
        <f>IF(AND(Programme_Grunddaten!$A58="Geprüft",Programme_Grunddaten!AQ58&lt;&gt;""),IF(Programme_Grunddaten!AQ58="Ja",1,0),"")</f>
        <v>1</v>
      </c>
      <c r="AJ50" s="1">
        <f>IF(AND(Programme_Grunddaten!$A58="Geprüft",Programme_Grunddaten!AR58&lt;&gt;""),IF(Programme_Grunddaten!AR58="Ja",1,0),"")</f>
        <v>1</v>
      </c>
      <c r="AK50" s="1" t="str">
        <f>IF(AND(Programme_Grunddaten!$A58="Geprüft",Programme_Grunddaten!AS58&lt;&gt;""),IF(Programme_Grunddaten!AS58="Ja",1,0),"")</f>
        <v/>
      </c>
      <c r="AL50" s="1" t="str">
        <f>IF(AND(Programme_Grunddaten!$A58="Geprüft",Programme_Grunddaten!AT58&lt;&gt;""),IF(Programme_Grunddaten!AT58="Ja",1,0),"")</f>
        <v/>
      </c>
      <c r="AM50" s="1" t="str">
        <f>IF(AND(Programme_Grunddaten!$A58="Geprüft",Programme_Grunddaten!AU58&lt;&gt;""),IF(Programme_Grunddaten!AU58="Ja",1,0),"")</f>
        <v/>
      </c>
      <c r="AN50" s="1" t="str">
        <f>IF(AND(Programme_Grunddaten!$A58="Geprüft",Programme_Grunddaten!AV58&lt;&gt;""),IF(Programme_Grunddaten!AV58="Ja",1,0),"")</f>
        <v/>
      </c>
    </row>
    <row r="51" spans="1:40" x14ac:dyDescent="0.3">
      <c r="A51" s="1" t="str">
        <f>IF(AND(Programme_Grunddaten!A59="Geprüft",Programme_Grunddaten!B59&lt;&gt;""),Programme_Grunddaten!B59,"")</f>
        <v>P50</v>
      </c>
      <c r="B51" s="1">
        <f>IF(AND(Programme_Grunddaten!$A59="Geprüft",Programme_Grunddaten!I59&lt;&gt;""),IF(Programme_Grunddaten!I59="Ja",1,0),"")</f>
        <v>0</v>
      </c>
      <c r="C51" s="1">
        <f>IF(AND(Programme_Grunddaten!$A59="Geprüft",Programme_Grunddaten!J59&lt;&gt;""),IF(Programme_Grunddaten!J59="Ja",1,0),"")</f>
        <v>1</v>
      </c>
      <c r="D51" s="1">
        <f>IF(AND(Programme_Grunddaten!$A59="Geprüft",Programme_Grunddaten!K59&lt;&gt;""),IF(Programme_Grunddaten!K59="Ja",1,0),"")</f>
        <v>1</v>
      </c>
      <c r="E51" s="1" t="str">
        <f>IF(AND(Programme_Grunddaten!$A59="Geprüft",Programme_Grunddaten!L59&lt;&gt;""),IF(Programme_Grunddaten!L59="Abo / befristete Lizenz",1,0),"")</f>
        <v/>
      </c>
      <c r="F51" s="1">
        <f>IF(AND(Programme_Grunddaten!$A59="Geprüft",Programme_Grunddaten!M59&lt;&gt;""),IF(Programme_Grunddaten!M59="Ja",1,0),"")</f>
        <v>0</v>
      </c>
      <c r="G51" s="1">
        <f>IF(AND(Programme_Grunddaten!$A59="Geprüft",Programme_Grunddaten!N59&lt;&gt;""),IF(Programme_Grunddaten!N59="Ja",1,0),"")</f>
        <v>1</v>
      </c>
      <c r="H51" s="1" t="str">
        <f>IF(AND(Programme_Grunddaten!$A59="Geprüft",Programme_Grunddaten!O59&lt;&gt;""),IF(Programme_Grunddaten!O59="Deutschland",0,IF(Programme_Grunddaten!O59="EU",1,2)),"")</f>
        <v/>
      </c>
      <c r="I51" s="1" t="str">
        <f>IF(AND(Programme_Grunddaten!$A59="Geprüft",Programme_Grunddaten!P59&lt;&gt;""),IF(Programme_Grunddaten!P59="Ja",1,0),"")</f>
        <v/>
      </c>
      <c r="J51" s="1">
        <f>IF(AND(Programme_Grunddaten!$A59="Geprüft",Programme_Grunddaten!Q59&lt;&gt;""),IF(Programme_Grunddaten!Q59="geschlossenes System",1,0),"")</f>
        <v>0</v>
      </c>
      <c r="K51" s="1" t="str">
        <f>IF(AND(Programme_Grunddaten!$A59="Geprüft",Programme_Grunddaten!R59&lt;&gt;""),IF(Programme_Grunddaten!R59="Ja",1,0),"")</f>
        <v/>
      </c>
      <c r="L51" s="1">
        <f>IF(AND(Programme_Grunddaten!$A59="Geprüft",Programme_Grunddaten!T59&lt;&gt;""),IF(Programme_Grunddaten!T59="Ja",1,0),"")</f>
        <v>1</v>
      </c>
      <c r="M51" s="1">
        <f>IF(AND(Programme_Grunddaten!$A59="Geprüft",Programme_Grunddaten!U59&lt;&gt;""),IF(Programme_Grunddaten!U59="Ja",1,0),"")</f>
        <v>1</v>
      </c>
      <c r="N51" s="1" t="str">
        <f>IF(AND(Programme_Grunddaten!$A59="Geprüft",Programme_Grunddaten!V59&lt;&gt;""),IF(Programme_Grunddaten!V59="Ja",1,0),"")</f>
        <v/>
      </c>
      <c r="O51" s="1" t="str">
        <f>IF(AND(Programme_Grunddaten!$A59="Geprüft",Programme_Grunddaten!W59&lt;&gt;""),IF(Programme_Grunddaten!W59="Ja",1,0),"")</f>
        <v/>
      </c>
      <c r="P51" s="1" t="str">
        <f>IF(AND(Programme_Grunddaten!$A59="Geprüft",Programme_Grunddaten!X59&lt;&gt;""),IF(Programme_Grunddaten!X59="Ja",1,0),"")</f>
        <v/>
      </c>
      <c r="Q51" s="1" t="str">
        <f>IF(AND(Programme_Grunddaten!$A59="Geprüft",Programme_Grunddaten!Y59&lt;&gt;""),IF(Programme_Grunddaten!Y59="Ja",1,0),"")</f>
        <v/>
      </c>
      <c r="R51" s="1">
        <f>IF(AND(Programme_Grunddaten!$A59="Geprüft",Programme_Grunddaten!Z59&lt;&gt;""),IF(Programme_Grunddaten!Z59="Ja",1,0),"")</f>
        <v>0</v>
      </c>
      <c r="S51" s="1">
        <f>IF(AND(Programme_Grunddaten!$A59="Geprüft",Programme_Grunddaten!AA59&lt;&gt;""),IF(Programme_Grunddaten!AA59="monolithisch",1,0),"")</f>
        <v>0</v>
      </c>
      <c r="T51" s="1">
        <f>IF(AND(Programme_Grunddaten!$A59="Geprüft",Programme_Grunddaten!AB59&lt;&gt;""),IF(Programme_Grunddaten!AB59="Ja",1,0),"")</f>
        <v>1</v>
      </c>
      <c r="U51" s="1" t="str">
        <f>IF(AND(Programme_Grunddaten!$A59="Geprüft",Programme_Grunddaten!AC59&lt;&gt;""),IF(Programme_Grunddaten!AC59="Ja",1,0),"")</f>
        <v/>
      </c>
      <c r="V51" s="1" t="str">
        <f>IF(AND(Programme_Grunddaten!$A59="Geprüft",Programme_Grunddaten!AD59&lt;&gt;""),IF(Programme_Grunddaten!AD59="Ja",1,0),"")</f>
        <v/>
      </c>
      <c r="W51" s="1" t="str">
        <f>IF(AND(Programme_Grunddaten!$A59="Geprüft",Programme_Grunddaten!AE59&lt;&gt;""),IF(Programme_Grunddaten!AE59="Ja",1,0),"")</f>
        <v/>
      </c>
      <c r="X51" s="1">
        <f>IF(AND(Programme_Grunddaten!$A59="Geprüft",Programme_Grunddaten!AF59&lt;&gt;""),IF(Programme_Grunddaten!AF59="Ja",1,0),"")</f>
        <v>1</v>
      </c>
      <c r="Y51" s="1" t="str">
        <f>IF(AND(Programme_Grunddaten!$A59="Geprüft",Programme_Grunddaten!AG59&lt;&gt;""),IF(Programme_Grunddaten!AG59="Ja",1,0),"")</f>
        <v/>
      </c>
      <c r="Z51" s="1" t="str">
        <f>IF(AND(Programme_Grunddaten!$A59="Geprüft",Programme_Grunddaten!AH59&lt;&gt;""),IF(Programme_Grunddaten!AH59="Ja",1,0),"")</f>
        <v/>
      </c>
      <c r="AA51" s="1">
        <f>IF(AND(Programme_Grunddaten!$A59="Geprüft",Programme_Grunddaten!AI59&lt;&gt;""),IF(Programme_Grunddaten!AI59="Ja",1,0),"")</f>
        <v>1</v>
      </c>
      <c r="AB51" s="1" t="str">
        <f>IF(AND(Programme_Grunddaten!$A59="Geprüft",Programme_Grunddaten!AJ59&lt;&gt;""),IF(Programme_Grunddaten!AJ59="individuell programmierbar",1,0),"")</f>
        <v/>
      </c>
      <c r="AC51" s="1">
        <f>IF(AND(Programme_Grunddaten!$A59="Geprüft",Programme_Grunddaten!AK59&lt;&gt;""),IF(Programme_Grunddaten!AK59="Deutsch",0,IF(Programme_Grunddaten!AK59="Deutsch und Englisch",1,2)),"")</f>
        <v>2</v>
      </c>
      <c r="AD51" s="1">
        <f>IF(AND(Programme_Grunddaten!$A59="Geprüft",Programme_Grunddaten!AL59&lt;&gt;""),IF(Programme_Grunddaten!AL59="Ja",1,0),"")</f>
        <v>1</v>
      </c>
      <c r="AE51" s="1">
        <f>IF(AND(Programme_Grunddaten!$A59="Geprüft",Programme_Grunddaten!AM59&lt;&gt;""),IF(Programme_Grunddaten!AM59="Ja",1,0),"")</f>
        <v>0</v>
      </c>
      <c r="AF51" s="1" t="str">
        <f>IF(AND(Programme_Grunddaten!$A59="Geprüft",Programme_Grunddaten!AN59&lt;&gt;""),IF(Programme_Grunddaten!AN59="Ja",1,0),"")</f>
        <v/>
      </c>
      <c r="AG51" s="1">
        <f>IF(AND(Programme_Grunddaten!$A59="Geprüft",Programme_Grunddaten!AO59&lt;&gt;""),IF(Programme_Grunddaten!AO59="Ja",1,0),"")</f>
        <v>0</v>
      </c>
      <c r="AH51" s="1" t="str">
        <f>IF(AND(Programme_Grunddaten!$A59="Geprüft",Programme_Grunddaten!AP59&lt;&gt;""),IF(Programme_Grunddaten!AP59="Ja",1,0),"")</f>
        <v/>
      </c>
      <c r="AI51" s="1">
        <f>IF(AND(Programme_Grunddaten!$A59="Geprüft",Programme_Grunddaten!AQ59&lt;&gt;""),IF(Programme_Grunddaten!AQ59="Ja",1,0),"")</f>
        <v>1</v>
      </c>
      <c r="AJ51" s="1">
        <f>IF(AND(Programme_Grunddaten!$A59="Geprüft",Programme_Grunddaten!AR59&lt;&gt;""),IF(Programme_Grunddaten!AR59="Ja",1,0),"")</f>
        <v>1</v>
      </c>
      <c r="AK51" s="1" t="str">
        <f>IF(AND(Programme_Grunddaten!$A59="Geprüft",Programme_Grunddaten!AS59&lt;&gt;""),IF(Programme_Grunddaten!AS59="Ja",1,0),"")</f>
        <v/>
      </c>
      <c r="AL51" s="1" t="str">
        <f>IF(AND(Programme_Grunddaten!$A59="Geprüft",Programme_Grunddaten!AT59&lt;&gt;""),IF(Programme_Grunddaten!AT59="Ja",1,0),"")</f>
        <v/>
      </c>
      <c r="AM51" s="1" t="str">
        <f>IF(AND(Programme_Grunddaten!$A59="Geprüft",Programme_Grunddaten!AU59&lt;&gt;""),IF(Programme_Grunddaten!AU59="Ja",1,0),"")</f>
        <v/>
      </c>
      <c r="AN51" s="1" t="str">
        <f>IF(AND(Programme_Grunddaten!$A59="Geprüft",Programme_Grunddaten!AV59&lt;&gt;""),IF(Programme_Grunddaten!AV59="Ja",1,0),"")</f>
        <v/>
      </c>
    </row>
    <row r="52" spans="1:40" x14ac:dyDescent="0.3">
      <c r="A52" s="1" t="str">
        <f>IF(AND(Programme_Grunddaten!A60="Geprüft",Programme_Grunddaten!B60&lt;&gt;""),Programme_Grunddaten!B60,"")</f>
        <v>P51</v>
      </c>
      <c r="B52" s="1">
        <f>IF(AND(Programme_Grunddaten!$A60="Geprüft",Programme_Grunddaten!I60&lt;&gt;""),IF(Programme_Grunddaten!I60="Ja",1,0),"")</f>
        <v>0</v>
      </c>
      <c r="C52" s="1">
        <f>IF(AND(Programme_Grunddaten!$A60="Geprüft",Programme_Grunddaten!J60&lt;&gt;""),IF(Programme_Grunddaten!J60="Ja",1,0),"")</f>
        <v>1</v>
      </c>
      <c r="D52" s="1">
        <f>IF(AND(Programme_Grunddaten!$A60="Geprüft",Programme_Grunddaten!K60&lt;&gt;""),IF(Programme_Grunddaten!K60="Ja",1,0),"")</f>
        <v>1</v>
      </c>
      <c r="E52" s="1">
        <f>IF(AND(Programme_Grunddaten!$A60="Geprüft",Programme_Grunddaten!L60&lt;&gt;""),IF(Programme_Grunddaten!L60="Abo / befristete Lizenz",1,0),"")</f>
        <v>1</v>
      </c>
      <c r="F52" s="1">
        <f>IF(AND(Programme_Grunddaten!$A60="Geprüft",Programme_Grunddaten!M60&lt;&gt;""),IF(Programme_Grunddaten!M60="Ja",1,0),"")</f>
        <v>0</v>
      </c>
      <c r="G52" s="1">
        <f>IF(AND(Programme_Grunddaten!$A60="Geprüft",Programme_Grunddaten!N60&lt;&gt;""),IF(Programme_Grunddaten!N60="Ja",1,0),"")</f>
        <v>1</v>
      </c>
      <c r="H52" s="1" t="str">
        <f>IF(AND(Programme_Grunddaten!$A60="Geprüft",Programme_Grunddaten!O60&lt;&gt;""),IF(Programme_Grunddaten!O60="Deutschland",0,IF(Programme_Grunddaten!O60="EU",1,2)),"")</f>
        <v/>
      </c>
      <c r="I52" s="1" t="str">
        <f>IF(AND(Programme_Grunddaten!$A60="Geprüft",Programme_Grunddaten!P60&lt;&gt;""),IF(Programme_Grunddaten!P60="Ja",1,0),"")</f>
        <v/>
      </c>
      <c r="J52" s="1">
        <f>IF(AND(Programme_Grunddaten!$A60="Geprüft",Programme_Grunddaten!Q60&lt;&gt;""),IF(Programme_Grunddaten!Q60="geschlossenes System",1,0),"")</f>
        <v>0</v>
      </c>
      <c r="K52" s="1">
        <f>IF(AND(Programme_Grunddaten!$A60="Geprüft",Programme_Grunddaten!R60&lt;&gt;""),IF(Programme_Grunddaten!R60="Ja",1,0),"")</f>
        <v>0</v>
      </c>
      <c r="L52" s="1">
        <f>IF(AND(Programme_Grunddaten!$A60="Geprüft",Programme_Grunddaten!T60&lt;&gt;""),IF(Programme_Grunddaten!T60="Ja",1,0),"")</f>
        <v>1</v>
      </c>
      <c r="M52" s="1">
        <f>IF(AND(Programme_Grunddaten!$A60="Geprüft",Programme_Grunddaten!U60&lt;&gt;""),IF(Programme_Grunddaten!U60="Ja",1,0),"")</f>
        <v>1</v>
      </c>
      <c r="N52" s="1" t="str">
        <f>IF(AND(Programme_Grunddaten!$A60="Geprüft",Programme_Grunddaten!V60&lt;&gt;""),IF(Programme_Grunddaten!V60="Ja",1,0),"")</f>
        <v/>
      </c>
      <c r="O52" s="1" t="str">
        <f>IF(AND(Programme_Grunddaten!$A60="Geprüft",Programme_Grunddaten!W60&lt;&gt;""),IF(Programme_Grunddaten!W60="Ja",1,0),"")</f>
        <v/>
      </c>
      <c r="P52" s="1" t="str">
        <f>IF(AND(Programme_Grunddaten!$A60="Geprüft",Programme_Grunddaten!X60&lt;&gt;""),IF(Programme_Grunddaten!X60="Ja",1,0),"")</f>
        <v/>
      </c>
      <c r="Q52" s="1" t="str">
        <f>IF(AND(Programme_Grunddaten!$A60="Geprüft",Programme_Grunddaten!Y60&lt;&gt;""),IF(Programme_Grunddaten!Y60="Ja",1,0),"")</f>
        <v/>
      </c>
      <c r="R52" s="1">
        <f>IF(AND(Programme_Grunddaten!$A60="Geprüft",Programme_Grunddaten!Z60&lt;&gt;""),IF(Programme_Grunddaten!Z60="Ja",1,0),"")</f>
        <v>0</v>
      </c>
      <c r="S52" s="1" t="str">
        <f>IF(AND(Programme_Grunddaten!$A60="Geprüft",Programme_Grunddaten!AA60&lt;&gt;""),IF(Programme_Grunddaten!AA60="monolithisch",1,0),"")</f>
        <v/>
      </c>
      <c r="T52" s="1">
        <f>IF(AND(Programme_Grunddaten!$A60="Geprüft",Programme_Grunddaten!AB60&lt;&gt;""),IF(Programme_Grunddaten!AB60="Ja",1,0),"")</f>
        <v>1</v>
      </c>
      <c r="U52" s="1" t="str">
        <f>IF(AND(Programme_Grunddaten!$A60="Geprüft",Programme_Grunddaten!AC60&lt;&gt;""),IF(Programme_Grunddaten!AC60="Ja",1,0),"")</f>
        <v/>
      </c>
      <c r="V52" s="1" t="str">
        <f>IF(AND(Programme_Grunddaten!$A60="Geprüft",Programme_Grunddaten!AD60&lt;&gt;""),IF(Programme_Grunddaten!AD60="Ja",1,0),"")</f>
        <v/>
      </c>
      <c r="W52" s="1" t="str">
        <f>IF(AND(Programme_Grunddaten!$A60="Geprüft",Programme_Grunddaten!AE60&lt;&gt;""),IF(Programme_Grunddaten!AE60="Ja",1,0),"")</f>
        <v/>
      </c>
      <c r="X52" s="1" t="str">
        <f>IF(AND(Programme_Grunddaten!$A60="Geprüft",Programme_Grunddaten!AF60&lt;&gt;""),IF(Programme_Grunddaten!AF60="Ja",1,0),"")</f>
        <v/>
      </c>
      <c r="Y52" s="1" t="str">
        <f>IF(AND(Programme_Grunddaten!$A60="Geprüft",Programme_Grunddaten!AG60&lt;&gt;""),IF(Programme_Grunddaten!AG60="Ja",1,0),"")</f>
        <v/>
      </c>
      <c r="Z52" s="1" t="str">
        <f>IF(AND(Programme_Grunddaten!$A60="Geprüft",Programme_Grunddaten!AH60&lt;&gt;""),IF(Programme_Grunddaten!AH60="Ja",1,0),"")</f>
        <v/>
      </c>
      <c r="AA52" s="1">
        <f>IF(AND(Programme_Grunddaten!$A60="Geprüft",Programme_Grunddaten!AI60&lt;&gt;""),IF(Programme_Grunddaten!AI60="Ja",1,0),"")</f>
        <v>1</v>
      </c>
      <c r="AB52" s="1" t="str">
        <f>IF(AND(Programme_Grunddaten!$A60="Geprüft",Programme_Grunddaten!AJ60&lt;&gt;""),IF(Programme_Grunddaten!AJ60="individuell programmierbar",1,0),"")</f>
        <v/>
      </c>
      <c r="AC52" s="1">
        <f>IF(AND(Programme_Grunddaten!$A60="Geprüft",Programme_Grunddaten!AK60&lt;&gt;""),IF(Programme_Grunddaten!AK60="Deutsch",0,IF(Programme_Grunddaten!AK60="Deutsch und Englisch",1,2)),"")</f>
        <v>2</v>
      </c>
      <c r="AD52" s="1" t="str">
        <f>IF(AND(Programme_Grunddaten!$A60="Geprüft",Programme_Grunddaten!AL60&lt;&gt;""),IF(Programme_Grunddaten!AL60="Ja",1,0),"")</f>
        <v/>
      </c>
      <c r="AE52" s="1">
        <f>IF(AND(Programme_Grunddaten!$A60="Geprüft",Programme_Grunddaten!AM60&lt;&gt;""),IF(Programme_Grunddaten!AM60="Ja",1,0),"")</f>
        <v>0</v>
      </c>
      <c r="AF52" s="1" t="str">
        <f>IF(AND(Programme_Grunddaten!$A60="Geprüft",Programme_Grunddaten!AN60&lt;&gt;""),IF(Programme_Grunddaten!AN60="Ja",1,0),"")</f>
        <v/>
      </c>
      <c r="AG52" s="1" t="str">
        <f>IF(AND(Programme_Grunddaten!$A60="Geprüft",Programme_Grunddaten!AO60&lt;&gt;""),IF(Programme_Grunddaten!AO60="Ja",1,0),"")</f>
        <v/>
      </c>
      <c r="AH52" s="1" t="str">
        <f>IF(AND(Programme_Grunddaten!$A60="Geprüft",Programme_Grunddaten!AP60&lt;&gt;""),IF(Programme_Grunddaten!AP60="Ja",1,0),"")</f>
        <v/>
      </c>
      <c r="AI52" s="1">
        <f>IF(AND(Programme_Grunddaten!$A60="Geprüft",Programme_Grunddaten!AQ60&lt;&gt;""),IF(Programme_Grunddaten!AQ60="Ja",1,0),"")</f>
        <v>1</v>
      </c>
      <c r="AJ52" s="1">
        <f>IF(AND(Programme_Grunddaten!$A60="Geprüft",Programme_Grunddaten!AR60&lt;&gt;""),IF(Programme_Grunddaten!AR60="Ja",1,0),"")</f>
        <v>1</v>
      </c>
      <c r="AK52" s="1" t="str">
        <f>IF(AND(Programme_Grunddaten!$A60="Geprüft",Programme_Grunddaten!AS60&lt;&gt;""),IF(Programme_Grunddaten!AS60="Ja",1,0),"")</f>
        <v/>
      </c>
      <c r="AL52" s="1" t="str">
        <f>IF(AND(Programme_Grunddaten!$A60="Geprüft",Programme_Grunddaten!AT60&lt;&gt;""),IF(Programme_Grunddaten!AT60="Ja",1,0),"")</f>
        <v/>
      </c>
      <c r="AM52" s="1" t="str">
        <f>IF(AND(Programme_Grunddaten!$A60="Geprüft",Programme_Grunddaten!AU60&lt;&gt;""),IF(Programme_Grunddaten!AU60="Ja",1,0),"")</f>
        <v/>
      </c>
      <c r="AN52" s="1" t="str">
        <f>IF(AND(Programme_Grunddaten!$A60="Geprüft",Programme_Grunddaten!AV60&lt;&gt;""),IF(Programme_Grunddaten!AV60="Ja",1,0),"")</f>
        <v/>
      </c>
    </row>
    <row r="53" spans="1:40" x14ac:dyDescent="0.3">
      <c r="A53" s="1" t="str">
        <f>IF(AND(Programme_Grunddaten!A61="Geprüft",Programme_Grunddaten!B61&lt;&gt;""),Programme_Grunddaten!B61,"")</f>
        <v/>
      </c>
      <c r="B53" s="1" t="str">
        <f>IF(AND(Programme_Grunddaten!$A61="Geprüft",Programme_Grunddaten!I61&lt;&gt;""),IF(Programme_Grunddaten!I61="Ja",1,0),"")</f>
        <v/>
      </c>
      <c r="C53" s="1" t="str">
        <f>IF(AND(Programme_Grunddaten!$A61="Geprüft",Programme_Grunddaten!J61&lt;&gt;""),IF(Programme_Grunddaten!J61="Ja",1,0),"")</f>
        <v/>
      </c>
      <c r="D53" s="1" t="str">
        <f>IF(AND(Programme_Grunddaten!$A61="Geprüft",Programme_Grunddaten!K61&lt;&gt;""),IF(Programme_Grunddaten!K61="Ja",1,0),"")</f>
        <v/>
      </c>
      <c r="E53" s="1" t="str">
        <f>IF(AND(Programme_Grunddaten!$A61="Geprüft",Programme_Grunddaten!L61&lt;&gt;""),IF(Programme_Grunddaten!L61="Abo / befristete Lizenz",1,0),"")</f>
        <v/>
      </c>
      <c r="F53" s="1" t="str">
        <f>IF(AND(Programme_Grunddaten!$A61="Geprüft",Programme_Grunddaten!M61&lt;&gt;""),IF(Programme_Grunddaten!M61="Ja",1,0),"")</f>
        <v/>
      </c>
      <c r="G53" s="1" t="str">
        <f>IF(AND(Programme_Grunddaten!$A61="Geprüft",Programme_Grunddaten!N61&lt;&gt;""),IF(Programme_Grunddaten!N61="Ja",1,0),"")</f>
        <v/>
      </c>
      <c r="H53" s="1" t="str">
        <f>IF(AND(Programme_Grunddaten!$A61="Geprüft",Programme_Grunddaten!O61&lt;&gt;""),IF(Programme_Grunddaten!O61="Deutschland",0,IF(Programme_Grunddaten!O61="EU",1,2)),"")</f>
        <v/>
      </c>
      <c r="I53" s="1" t="str">
        <f>IF(AND(Programme_Grunddaten!$A61="Geprüft",Programme_Grunddaten!P61&lt;&gt;""),IF(Programme_Grunddaten!P61="Ja",1,0),"")</f>
        <v/>
      </c>
      <c r="J53" s="1" t="str">
        <f>IF(AND(Programme_Grunddaten!$A61="Geprüft",Programme_Grunddaten!Q61&lt;&gt;""),IF(Programme_Grunddaten!Q61="geschlossenes System",1,0),"")</f>
        <v/>
      </c>
      <c r="K53" s="1" t="str">
        <f>IF(AND(Programme_Grunddaten!$A61="Geprüft",Programme_Grunddaten!R61&lt;&gt;""),IF(Programme_Grunddaten!R61="Ja",1,0),"")</f>
        <v/>
      </c>
      <c r="L53" s="1" t="str">
        <f>IF(AND(Programme_Grunddaten!$A61="Geprüft",Programme_Grunddaten!T61&lt;&gt;""),IF(Programme_Grunddaten!T61="Ja",1,0),"")</f>
        <v/>
      </c>
      <c r="M53" s="1" t="str">
        <f>IF(AND(Programme_Grunddaten!$A61="Geprüft",Programme_Grunddaten!U61&lt;&gt;""),IF(Programme_Grunddaten!U61="Ja",1,0),"")</f>
        <v/>
      </c>
      <c r="N53" s="1" t="str">
        <f>IF(AND(Programme_Grunddaten!$A61="Geprüft",Programme_Grunddaten!V61&lt;&gt;""),IF(Programme_Grunddaten!V61="Ja",1,0),"")</f>
        <v/>
      </c>
      <c r="O53" s="1" t="str">
        <f>IF(AND(Programme_Grunddaten!$A61="Geprüft",Programme_Grunddaten!W61&lt;&gt;""),IF(Programme_Grunddaten!W61="Ja",1,0),"")</f>
        <v/>
      </c>
      <c r="P53" s="1" t="str">
        <f>IF(AND(Programme_Grunddaten!$A61="Geprüft",Programme_Grunddaten!X61&lt;&gt;""),IF(Programme_Grunddaten!X61="Ja",1,0),"")</f>
        <v/>
      </c>
      <c r="Q53" s="1" t="str">
        <f>IF(AND(Programme_Grunddaten!$A61="Geprüft",Programme_Grunddaten!Y61&lt;&gt;""),IF(Programme_Grunddaten!Y61="Ja",1,0),"")</f>
        <v/>
      </c>
      <c r="R53" s="1" t="str">
        <f>IF(AND(Programme_Grunddaten!$A61="Geprüft",Programme_Grunddaten!Z61&lt;&gt;""),IF(Programme_Grunddaten!Z61="Ja",1,0),"")</f>
        <v/>
      </c>
      <c r="S53" s="1" t="str">
        <f>IF(AND(Programme_Grunddaten!$A61="Geprüft",Programme_Grunddaten!AA61&lt;&gt;""),IF(Programme_Grunddaten!AA61="monolithisch",1,0),"")</f>
        <v/>
      </c>
      <c r="T53" s="1" t="str">
        <f>IF(AND(Programme_Grunddaten!$A61="Geprüft",Programme_Grunddaten!AB61&lt;&gt;""),IF(Programme_Grunddaten!AB61="Ja",1,0),"")</f>
        <v/>
      </c>
      <c r="U53" s="1" t="str">
        <f>IF(AND(Programme_Grunddaten!$A61="Geprüft",Programme_Grunddaten!AC61&lt;&gt;""),IF(Programme_Grunddaten!AC61="Ja",1,0),"")</f>
        <v/>
      </c>
      <c r="V53" s="1" t="str">
        <f>IF(AND(Programme_Grunddaten!$A61="Geprüft",Programme_Grunddaten!AD61&lt;&gt;""),IF(Programme_Grunddaten!AD61="Ja",1,0),"")</f>
        <v/>
      </c>
      <c r="W53" s="1" t="str">
        <f>IF(AND(Programme_Grunddaten!$A61="Geprüft",Programme_Grunddaten!AE61&lt;&gt;""),IF(Programme_Grunddaten!AE61="Ja",1,0),"")</f>
        <v/>
      </c>
      <c r="X53" s="1" t="str">
        <f>IF(AND(Programme_Grunddaten!$A61="Geprüft",Programme_Grunddaten!AF61&lt;&gt;""),IF(Programme_Grunddaten!AF61="Ja",1,0),"")</f>
        <v/>
      </c>
      <c r="Y53" s="1" t="str">
        <f>IF(AND(Programme_Grunddaten!$A61="Geprüft",Programme_Grunddaten!AG61&lt;&gt;""),IF(Programme_Grunddaten!AG61="Ja",1,0),"")</f>
        <v/>
      </c>
      <c r="Z53" s="1" t="str">
        <f>IF(AND(Programme_Grunddaten!$A61="Geprüft",Programme_Grunddaten!AH61&lt;&gt;""),IF(Programme_Grunddaten!AH61="Ja",1,0),"")</f>
        <v/>
      </c>
      <c r="AA53" s="1" t="str">
        <f>IF(AND(Programme_Grunddaten!$A61="Geprüft",Programme_Grunddaten!AI61&lt;&gt;""),IF(Programme_Grunddaten!AI61="Ja",1,0),"")</f>
        <v/>
      </c>
      <c r="AB53" s="1" t="str">
        <f>IF(AND(Programme_Grunddaten!$A61="Geprüft",Programme_Grunddaten!AJ61&lt;&gt;""),IF(Programme_Grunddaten!AJ61="individuell programmierbar",1,0),"")</f>
        <v/>
      </c>
      <c r="AC53" s="1" t="str">
        <f>IF(AND(Programme_Grunddaten!$A61="Geprüft",Programme_Grunddaten!AK61&lt;&gt;""),IF(Programme_Grunddaten!AK61="Deutsch",0,IF(Programme_Grunddaten!AK61="Deutsch und Englisch",1,2)),"")</f>
        <v/>
      </c>
      <c r="AD53" s="1" t="str">
        <f>IF(AND(Programme_Grunddaten!$A61="Geprüft",Programme_Grunddaten!AL61&lt;&gt;""),IF(Programme_Grunddaten!AL61="Ja",1,0),"")</f>
        <v/>
      </c>
      <c r="AE53" s="1" t="str">
        <f>IF(AND(Programme_Grunddaten!$A61="Geprüft",Programme_Grunddaten!AM61&lt;&gt;""),IF(Programme_Grunddaten!AM61="Ja",1,0),"")</f>
        <v/>
      </c>
      <c r="AF53" s="1" t="str">
        <f>IF(AND(Programme_Grunddaten!$A61="Geprüft",Programme_Grunddaten!AN61&lt;&gt;""),IF(Programme_Grunddaten!AN61="Ja",1,0),"")</f>
        <v/>
      </c>
      <c r="AG53" s="1" t="str">
        <f>IF(AND(Programme_Grunddaten!$A61="Geprüft",Programme_Grunddaten!AO61&lt;&gt;""),IF(Programme_Grunddaten!AO61="Ja",1,0),"")</f>
        <v/>
      </c>
      <c r="AH53" s="1" t="str">
        <f>IF(AND(Programme_Grunddaten!$A61="Geprüft",Programme_Grunddaten!AP61&lt;&gt;""),IF(Programme_Grunddaten!AP61="Ja",1,0),"")</f>
        <v/>
      </c>
      <c r="AI53" s="1" t="str">
        <f>IF(AND(Programme_Grunddaten!$A61="Geprüft",Programme_Grunddaten!AQ61&lt;&gt;""),IF(Programme_Grunddaten!AQ61="Ja",1,0),"")</f>
        <v/>
      </c>
      <c r="AJ53" s="1" t="str">
        <f>IF(AND(Programme_Grunddaten!$A61="Geprüft",Programme_Grunddaten!AR61&lt;&gt;""),IF(Programme_Grunddaten!AR61="Ja",1,0),"")</f>
        <v/>
      </c>
      <c r="AK53" s="1" t="str">
        <f>IF(AND(Programme_Grunddaten!$A61="Geprüft",Programme_Grunddaten!AS61&lt;&gt;""),IF(Programme_Grunddaten!AS61="Ja",1,0),"")</f>
        <v/>
      </c>
      <c r="AL53" s="1" t="str">
        <f>IF(AND(Programme_Grunddaten!$A61="Geprüft",Programme_Grunddaten!AT61&lt;&gt;""),IF(Programme_Grunddaten!AT61="Ja",1,0),"")</f>
        <v/>
      </c>
      <c r="AM53" s="1" t="str">
        <f>IF(AND(Programme_Grunddaten!$A61="Geprüft",Programme_Grunddaten!AU61&lt;&gt;""),IF(Programme_Grunddaten!AU61="Ja",1,0),"")</f>
        <v/>
      </c>
      <c r="AN53" s="1" t="str">
        <f>IF(AND(Programme_Grunddaten!$A61="Geprüft",Programme_Grunddaten!AV61&lt;&gt;""),IF(Programme_Grunddaten!AV61="Ja",1,0),"")</f>
        <v/>
      </c>
    </row>
    <row r="54" spans="1:40" x14ac:dyDescent="0.3">
      <c r="A54" s="1" t="str">
        <f>IF(AND(Programme_Grunddaten!A62="Geprüft",Programme_Grunddaten!B62&lt;&gt;""),Programme_Grunddaten!B62,"")</f>
        <v/>
      </c>
      <c r="B54" s="1" t="str">
        <f>IF(AND(Programme_Grunddaten!$A62="Geprüft",Programme_Grunddaten!I62&lt;&gt;""),IF(Programme_Grunddaten!I62="Ja",1,0),"")</f>
        <v/>
      </c>
      <c r="C54" s="1" t="str">
        <f>IF(AND(Programme_Grunddaten!$A62="Geprüft",Programme_Grunddaten!J62&lt;&gt;""),IF(Programme_Grunddaten!J62="Ja",1,0),"")</f>
        <v/>
      </c>
      <c r="D54" s="1" t="str">
        <f>IF(AND(Programme_Grunddaten!$A62="Geprüft",Programme_Grunddaten!K62&lt;&gt;""),IF(Programme_Grunddaten!K62="Ja",1,0),"")</f>
        <v/>
      </c>
      <c r="E54" s="1" t="str">
        <f>IF(AND(Programme_Grunddaten!$A62="Geprüft",Programme_Grunddaten!L62&lt;&gt;""),IF(Programme_Grunddaten!L62="Abo / befristete Lizenz",1,0),"")</f>
        <v/>
      </c>
      <c r="F54" s="1" t="str">
        <f>IF(AND(Programme_Grunddaten!$A62="Geprüft",Programme_Grunddaten!M62&lt;&gt;""),IF(Programme_Grunddaten!M62="Ja",1,0),"")</f>
        <v/>
      </c>
      <c r="G54" s="1" t="str">
        <f>IF(AND(Programme_Grunddaten!$A62="Geprüft",Programme_Grunddaten!N62&lt;&gt;""),IF(Programme_Grunddaten!N62="Ja",1,0),"")</f>
        <v/>
      </c>
      <c r="H54" s="1" t="str">
        <f>IF(AND(Programme_Grunddaten!$A62="Geprüft",Programme_Grunddaten!O62&lt;&gt;""),IF(Programme_Grunddaten!O62="Deutschland",0,IF(Programme_Grunddaten!O62="EU",1,2)),"")</f>
        <v/>
      </c>
      <c r="I54" s="1" t="str">
        <f>IF(AND(Programme_Grunddaten!$A62="Geprüft",Programme_Grunddaten!P62&lt;&gt;""),IF(Programme_Grunddaten!P62="Ja",1,0),"")</f>
        <v/>
      </c>
      <c r="J54" s="1" t="str">
        <f>IF(AND(Programme_Grunddaten!$A62="Geprüft",Programme_Grunddaten!Q62&lt;&gt;""),IF(Programme_Grunddaten!Q62="geschlossenes System",1,0),"")</f>
        <v/>
      </c>
      <c r="K54" s="1" t="str">
        <f>IF(AND(Programme_Grunddaten!$A62="Geprüft",Programme_Grunddaten!R62&lt;&gt;""),IF(Programme_Grunddaten!R62="Ja",1,0),"")</f>
        <v/>
      </c>
      <c r="L54" s="1" t="str">
        <f>IF(AND(Programme_Grunddaten!$A62="Geprüft",Programme_Grunddaten!T62&lt;&gt;""),IF(Programme_Grunddaten!T62="Ja",1,0),"")</f>
        <v/>
      </c>
      <c r="M54" s="1" t="str">
        <f>IF(AND(Programme_Grunddaten!$A62="Geprüft",Programme_Grunddaten!U62&lt;&gt;""),IF(Programme_Grunddaten!U62="Ja",1,0),"")</f>
        <v/>
      </c>
      <c r="N54" s="1" t="str">
        <f>IF(AND(Programme_Grunddaten!$A62="Geprüft",Programme_Grunddaten!V62&lt;&gt;""),IF(Programme_Grunddaten!V62="Ja",1,0),"")</f>
        <v/>
      </c>
      <c r="O54" s="1" t="str">
        <f>IF(AND(Programme_Grunddaten!$A62="Geprüft",Programme_Grunddaten!W62&lt;&gt;""),IF(Programme_Grunddaten!W62="Ja",1,0),"")</f>
        <v/>
      </c>
      <c r="P54" s="1" t="str">
        <f>IF(AND(Programme_Grunddaten!$A62="Geprüft",Programme_Grunddaten!X62&lt;&gt;""),IF(Programme_Grunddaten!X62="Ja",1,0),"")</f>
        <v/>
      </c>
      <c r="Q54" s="1" t="str">
        <f>IF(AND(Programme_Grunddaten!$A62="Geprüft",Programme_Grunddaten!Y62&lt;&gt;""),IF(Programme_Grunddaten!Y62="Ja",1,0),"")</f>
        <v/>
      </c>
      <c r="R54" s="1" t="str">
        <f>IF(AND(Programme_Grunddaten!$A62="Geprüft",Programme_Grunddaten!Z62&lt;&gt;""),IF(Programme_Grunddaten!Z62="Ja",1,0),"")</f>
        <v/>
      </c>
      <c r="S54" s="1" t="str">
        <f>IF(AND(Programme_Grunddaten!$A62="Geprüft",Programme_Grunddaten!AA62&lt;&gt;""),IF(Programme_Grunddaten!AA62="monolithisch",1,0),"")</f>
        <v/>
      </c>
      <c r="T54" s="1" t="str">
        <f>IF(AND(Programme_Grunddaten!$A62="Geprüft",Programme_Grunddaten!AB62&lt;&gt;""),IF(Programme_Grunddaten!AB62="Ja",1,0),"")</f>
        <v/>
      </c>
      <c r="U54" s="1" t="str">
        <f>IF(AND(Programme_Grunddaten!$A62="Geprüft",Programme_Grunddaten!AC62&lt;&gt;""),IF(Programme_Grunddaten!AC62="Ja",1,0),"")</f>
        <v/>
      </c>
      <c r="V54" s="1" t="str">
        <f>IF(AND(Programme_Grunddaten!$A62="Geprüft",Programme_Grunddaten!AD62&lt;&gt;""),IF(Programme_Grunddaten!AD62="Ja",1,0),"")</f>
        <v/>
      </c>
      <c r="W54" s="1" t="str">
        <f>IF(AND(Programme_Grunddaten!$A62="Geprüft",Programme_Grunddaten!AE62&lt;&gt;""),IF(Programme_Grunddaten!AE62="Ja",1,0),"")</f>
        <v/>
      </c>
      <c r="X54" s="1" t="str">
        <f>IF(AND(Programme_Grunddaten!$A62="Geprüft",Programme_Grunddaten!AF62&lt;&gt;""),IF(Programme_Grunddaten!AF62="Ja",1,0),"")</f>
        <v/>
      </c>
      <c r="Y54" s="1" t="str">
        <f>IF(AND(Programme_Grunddaten!$A62="Geprüft",Programme_Grunddaten!AG62&lt;&gt;""),IF(Programme_Grunddaten!AG62="Ja",1,0),"")</f>
        <v/>
      </c>
      <c r="Z54" s="1" t="str">
        <f>IF(AND(Programme_Grunddaten!$A62="Geprüft",Programme_Grunddaten!AH62&lt;&gt;""),IF(Programme_Grunddaten!AH62="Ja",1,0),"")</f>
        <v/>
      </c>
      <c r="AA54" s="1" t="str">
        <f>IF(AND(Programme_Grunddaten!$A62="Geprüft",Programme_Grunddaten!AI62&lt;&gt;""),IF(Programme_Grunddaten!AI62="Ja",1,0),"")</f>
        <v/>
      </c>
      <c r="AB54" s="1" t="str">
        <f>IF(AND(Programme_Grunddaten!$A62="Geprüft",Programme_Grunddaten!AJ62&lt;&gt;""),IF(Programme_Grunddaten!AJ62="individuell programmierbar",1,0),"")</f>
        <v/>
      </c>
      <c r="AC54" s="1" t="str">
        <f>IF(AND(Programme_Grunddaten!$A62="Geprüft",Programme_Grunddaten!AK62&lt;&gt;""),IF(Programme_Grunddaten!AK62="Deutsch",0,IF(Programme_Grunddaten!AK62="Deutsch und Englisch",1,2)),"")</f>
        <v/>
      </c>
      <c r="AD54" s="1" t="str">
        <f>IF(AND(Programme_Grunddaten!$A62="Geprüft",Programme_Grunddaten!AL62&lt;&gt;""),IF(Programme_Grunddaten!AL62="Ja",1,0),"")</f>
        <v/>
      </c>
      <c r="AE54" s="1" t="str">
        <f>IF(AND(Programme_Grunddaten!$A62="Geprüft",Programme_Grunddaten!AM62&lt;&gt;""),IF(Programme_Grunddaten!AM62="Ja",1,0),"")</f>
        <v/>
      </c>
      <c r="AF54" s="1" t="str">
        <f>IF(AND(Programme_Grunddaten!$A62="Geprüft",Programme_Grunddaten!AN62&lt;&gt;""),IF(Programme_Grunddaten!AN62="Ja",1,0),"")</f>
        <v/>
      </c>
      <c r="AG54" s="1" t="str">
        <f>IF(AND(Programme_Grunddaten!$A62="Geprüft",Programme_Grunddaten!AO62&lt;&gt;""),IF(Programme_Grunddaten!AO62="Ja",1,0),"")</f>
        <v/>
      </c>
      <c r="AH54" s="1" t="str">
        <f>IF(AND(Programme_Grunddaten!$A62="Geprüft",Programme_Grunddaten!AP62&lt;&gt;""),IF(Programme_Grunddaten!AP62="Ja",1,0),"")</f>
        <v/>
      </c>
      <c r="AI54" s="1" t="str">
        <f>IF(AND(Programme_Grunddaten!$A62="Geprüft",Programme_Grunddaten!AQ62&lt;&gt;""),IF(Programme_Grunddaten!AQ62="Ja",1,0),"")</f>
        <v/>
      </c>
      <c r="AJ54" s="1" t="str">
        <f>IF(AND(Programme_Grunddaten!$A62="Geprüft",Programme_Grunddaten!AR62&lt;&gt;""),IF(Programme_Grunddaten!AR62="Ja",1,0),"")</f>
        <v/>
      </c>
      <c r="AK54" s="1" t="str">
        <f>IF(AND(Programme_Grunddaten!$A62="Geprüft",Programme_Grunddaten!AS62&lt;&gt;""),IF(Programme_Grunddaten!AS62="Ja",1,0),"")</f>
        <v/>
      </c>
      <c r="AL54" s="1" t="str">
        <f>IF(AND(Programme_Grunddaten!$A62="Geprüft",Programme_Grunddaten!AT62&lt;&gt;""),IF(Programme_Grunddaten!AT62="Ja",1,0),"")</f>
        <v/>
      </c>
      <c r="AM54" s="1" t="str">
        <f>IF(AND(Programme_Grunddaten!$A62="Geprüft",Programme_Grunddaten!AU62&lt;&gt;""),IF(Programme_Grunddaten!AU62="Ja",1,0),"")</f>
        <v/>
      </c>
      <c r="AN54" s="1" t="str">
        <f>IF(AND(Programme_Grunddaten!$A62="Geprüft",Programme_Grunddaten!AV62&lt;&gt;""),IF(Programme_Grunddaten!AV62="Ja",1,0),"")</f>
        <v/>
      </c>
    </row>
    <row r="55" spans="1:40" x14ac:dyDescent="0.3">
      <c r="A55" s="1" t="str">
        <f>IF(AND(Programme_Grunddaten!A63="Geprüft",Programme_Grunddaten!B63&lt;&gt;""),Programme_Grunddaten!B63,"")</f>
        <v/>
      </c>
      <c r="B55" s="1" t="str">
        <f>IF(AND(Programme_Grunddaten!$A63="Geprüft",Programme_Grunddaten!I63&lt;&gt;""),IF(Programme_Grunddaten!I63="Ja",1,0),"")</f>
        <v/>
      </c>
      <c r="C55" s="1" t="str">
        <f>IF(AND(Programme_Grunddaten!$A63="Geprüft",Programme_Grunddaten!J63&lt;&gt;""),IF(Programme_Grunddaten!J63="Ja",1,0),"")</f>
        <v/>
      </c>
      <c r="D55" s="1" t="str">
        <f>IF(AND(Programme_Grunddaten!$A63="Geprüft",Programme_Grunddaten!K63&lt;&gt;""),IF(Programme_Grunddaten!K63="Ja",1,0),"")</f>
        <v/>
      </c>
      <c r="E55" s="1" t="str">
        <f>IF(AND(Programme_Grunddaten!$A63="Geprüft",Programme_Grunddaten!L63&lt;&gt;""),IF(Programme_Grunddaten!L63="Abo / befristete Lizenz",1,0),"")</f>
        <v/>
      </c>
      <c r="F55" s="1" t="str">
        <f>IF(AND(Programme_Grunddaten!$A63="Geprüft",Programme_Grunddaten!M63&lt;&gt;""),IF(Programme_Grunddaten!M63="Ja",1,0),"")</f>
        <v/>
      </c>
      <c r="G55" s="1" t="str">
        <f>IF(AND(Programme_Grunddaten!$A63="Geprüft",Programme_Grunddaten!N63&lt;&gt;""),IF(Programme_Grunddaten!N63="Ja",1,0),"")</f>
        <v/>
      </c>
      <c r="H55" s="1" t="str">
        <f>IF(AND(Programme_Grunddaten!$A63="Geprüft",Programme_Grunddaten!O63&lt;&gt;""),IF(Programme_Grunddaten!O63="Deutschland",0,IF(Programme_Grunddaten!O63="EU",1,2)),"")</f>
        <v/>
      </c>
      <c r="I55" s="1" t="str">
        <f>IF(AND(Programme_Grunddaten!$A63="Geprüft",Programme_Grunddaten!P63&lt;&gt;""),IF(Programme_Grunddaten!P63="Ja",1,0),"")</f>
        <v/>
      </c>
      <c r="J55" s="1" t="str">
        <f>IF(AND(Programme_Grunddaten!$A63="Geprüft",Programme_Grunddaten!Q63&lt;&gt;""),IF(Programme_Grunddaten!Q63="geschlossenes System",1,0),"")</f>
        <v/>
      </c>
      <c r="K55" s="1" t="str">
        <f>IF(AND(Programme_Grunddaten!$A63="Geprüft",Programme_Grunddaten!R63&lt;&gt;""),IF(Programme_Grunddaten!R63="Ja",1,0),"")</f>
        <v/>
      </c>
      <c r="L55" s="1" t="str">
        <f>IF(AND(Programme_Grunddaten!$A63="Geprüft",Programme_Grunddaten!T63&lt;&gt;""),IF(Programme_Grunddaten!T63="Ja",1,0),"")</f>
        <v/>
      </c>
      <c r="M55" s="1" t="str">
        <f>IF(AND(Programme_Grunddaten!$A63="Geprüft",Programme_Grunddaten!U63&lt;&gt;""),IF(Programme_Grunddaten!U63="Ja",1,0),"")</f>
        <v/>
      </c>
      <c r="N55" s="1" t="str">
        <f>IF(AND(Programme_Grunddaten!$A63="Geprüft",Programme_Grunddaten!V63&lt;&gt;""),IF(Programme_Grunddaten!V63="Ja",1,0),"")</f>
        <v/>
      </c>
      <c r="O55" s="1" t="str">
        <f>IF(AND(Programme_Grunddaten!$A63="Geprüft",Programme_Grunddaten!W63&lt;&gt;""),IF(Programme_Grunddaten!W63="Ja",1,0),"")</f>
        <v/>
      </c>
      <c r="P55" s="1" t="str">
        <f>IF(AND(Programme_Grunddaten!$A63="Geprüft",Programme_Grunddaten!X63&lt;&gt;""),IF(Programme_Grunddaten!X63="Ja",1,0),"")</f>
        <v/>
      </c>
      <c r="Q55" s="1" t="str">
        <f>IF(AND(Programme_Grunddaten!$A63="Geprüft",Programme_Grunddaten!Y63&lt;&gt;""),IF(Programme_Grunddaten!Y63="Ja",1,0),"")</f>
        <v/>
      </c>
      <c r="R55" s="1" t="str">
        <f>IF(AND(Programme_Grunddaten!$A63="Geprüft",Programme_Grunddaten!Z63&lt;&gt;""),IF(Programme_Grunddaten!Z63="Ja",1,0),"")</f>
        <v/>
      </c>
      <c r="S55" s="1" t="str">
        <f>IF(AND(Programme_Grunddaten!$A63="Geprüft",Programme_Grunddaten!AA63&lt;&gt;""),IF(Programme_Grunddaten!AA63="monolithisch",1,0),"")</f>
        <v/>
      </c>
      <c r="T55" s="1" t="str">
        <f>IF(AND(Programme_Grunddaten!$A63="Geprüft",Programme_Grunddaten!AB63&lt;&gt;""),IF(Programme_Grunddaten!AB63="Ja",1,0),"")</f>
        <v/>
      </c>
      <c r="U55" s="1" t="str">
        <f>IF(AND(Programme_Grunddaten!$A63="Geprüft",Programme_Grunddaten!AC63&lt;&gt;""),IF(Programme_Grunddaten!AC63="Ja",1,0),"")</f>
        <v/>
      </c>
      <c r="V55" s="1" t="str">
        <f>IF(AND(Programme_Grunddaten!$A63="Geprüft",Programme_Grunddaten!AD63&lt;&gt;""),IF(Programme_Grunddaten!AD63="Ja",1,0),"")</f>
        <v/>
      </c>
      <c r="W55" s="1" t="str">
        <f>IF(AND(Programme_Grunddaten!$A63="Geprüft",Programme_Grunddaten!AE63&lt;&gt;""),IF(Programme_Grunddaten!AE63="Ja",1,0),"")</f>
        <v/>
      </c>
      <c r="X55" s="1" t="str">
        <f>IF(AND(Programme_Grunddaten!$A63="Geprüft",Programme_Grunddaten!AF63&lt;&gt;""),IF(Programme_Grunddaten!AF63="Ja",1,0),"")</f>
        <v/>
      </c>
      <c r="Y55" s="1" t="str">
        <f>IF(AND(Programme_Grunddaten!$A63="Geprüft",Programme_Grunddaten!AG63&lt;&gt;""),IF(Programme_Grunddaten!AG63="Ja",1,0),"")</f>
        <v/>
      </c>
      <c r="Z55" s="1" t="str">
        <f>IF(AND(Programme_Grunddaten!$A63="Geprüft",Programme_Grunddaten!AH63&lt;&gt;""),IF(Programme_Grunddaten!AH63="Ja",1,0),"")</f>
        <v/>
      </c>
      <c r="AA55" s="1" t="str">
        <f>IF(AND(Programme_Grunddaten!$A63="Geprüft",Programme_Grunddaten!AI63&lt;&gt;""),IF(Programme_Grunddaten!AI63="Ja",1,0),"")</f>
        <v/>
      </c>
      <c r="AB55" s="1" t="str">
        <f>IF(AND(Programme_Grunddaten!$A63="Geprüft",Programme_Grunddaten!AJ63&lt;&gt;""),IF(Programme_Grunddaten!AJ63="individuell programmierbar",1,0),"")</f>
        <v/>
      </c>
      <c r="AC55" s="1" t="str">
        <f>IF(AND(Programme_Grunddaten!$A63="Geprüft",Programme_Grunddaten!AK63&lt;&gt;""),IF(Programme_Grunddaten!AK63="Deutsch",0,IF(Programme_Grunddaten!AK63="Deutsch und Englisch",1,2)),"")</f>
        <v/>
      </c>
      <c r="AD55" s="1" t="str">
        <f>IF(AND(Programme_Grunddaten!$A63="Geprüft",Programme_Grunddaten!AL63&lt;&gt;""),IF(Programme_Grunddaten!AL63="Ja",1,0),"")</f>
        <v/>
      </c>
      <c r="AE55" s="1" t="str">
        <f>IF(AND(Programme_Grunddaten!$A63="Geprüft",Programme_Grunddaten!AM63&lt;&gt;""),IF(Programme_Grunddaten!AM63="Ja",1,0),"")</f>
        <v/>
      </c>
      <c r="AF55" s="1" t="str">
        <f>IF(AND(Programme_Grunddaten!$A63="Geprüft",Programme_Grunddaten!AN63&lt;&gt;""),IF(Programme_Grunddaten!AN63="Ja",1,0),"")</f>
        <v/>
      </c>
      <c r="AG55" s="1" t="str">
        <f>IF(AND(Programme_Grunddaten!$A63="Geprüft",Programme_Grunddaten!AO63&lt;&gt;""),IF(Programme_Grunddaten!AO63="Ja",1,0),"")</f>
        <v/>
      </c>
      <c r="AH55" s="1" t="str">
        <f>IF(AND(Programme_Grunddaten!$A63="Geprüft",Programme_Grunddaten!AP63&lt;&gt;""),IF(Programme_Grunddaten!AP63="Ja",1,0),"")</f>
        <v/>
      </c>
      <c r="AI55" s="1" t="str">
        <f>IF(AND(Programme_Grunddaten!$A63="Geprüft",Programme_Grunddaten!AQ63&lt;&gt;""),IF(Programme_Grunddaten!AQ63="Ja",1,0),"")</f>
        <v/>
      </c>
      <c r="AJ55" s="1" t="str">
        <f>IF(AND(Programme_Grunddaten!$A63="Geprüft",Programme_Grunddaten!AR63&lt;&gt;""),IF(Programme_Grunddaten!AR63="Ja",1,0),"")</f>
        <v/>
      </c>
      <c r="AK55" s="1" t="str">
        <f>IF(AND(Programme_Grunddaten!$A63="Geprüft",Programme_Grunddaten!AS63&lt;&gt;""),IF(Programme_Grunddaten!AS63="Ja",1,0),"")</f>
        <v/>
      </c>
      <c r="AL55" s="1" t="str">
        <f>IF(AND(Programme_Grunddaten!$A63="Geprüft",Programme_Grunddaten!AT63&lt;&gt;""),IF(Programme_Grunddaten!AT63="Ja",1,0),"")</f>
        <v/>
      </c>
      <c r="AM55" s="1" t="str">
        <f>IF(AND(Programme_Grunddaten!$A63="Geprüft",Programme_Grunddaten!AU63&lt;&gt;""),IF(Programme_Grunddaten!AU63="Ja",1,0),"")</f>
        <v/>
      </c>
      <c r="AN55" s="1" t="str">
        <f>IF(AND(Programme_Grunddaten!$A63="Geprüft",Programme_Grunddaten!AV63&lt;&gt;""),IF(Programme_Grunddaten!AV63="Ja",1,0),"")</f>
        <v/>
      </c>
    </row>
    <row r="56" spans="1:40" x14ac:dyDescent="0.3">
      <c r="A56" s="1" t="str">
        <f>IF(AND(Programme_Grunddaten!A64="Geprüft",Programme_Grunddaten!B64&lt;&gt;""),Programme_Grunddaten!B64,"")</f>
        <v/>
      </c>
      <c r="B56" s="1" t="str">
        <f>IF(AND(Programme_Grunddaten!$A64="Geprüft",Programme_Grunddaten!I64&lt;&gt;""),IF(Programme_Grunddaten!I64="Ja",1,0),"")</f>
        <v/>
      </c>
      <c r="C56" s="1" t="str">
        <f>IF(AND(Programme_Grunddaten!$A64="Geprüft",Programme_Grunddaten!J64&lt;&gt;""),IF(Programme_Grunddaten!J64="Ja",1,0),"")</f>
        <v/>
      </c>
      <c r="D56" s="1" t="str">
        <f>IF(AND(Programme_Grunddaten!$A64="Geprüft",Programme_Grunddaten!K64&lt;&gt;""),IF(Programme_Grunddaten!K64="Ja",1,0),"")</f>
        <v/>
      </c>
      <c r="E56" s="1" t="str">
        <f>IF(AND(Programme_Grunddaten!$A64="Geprüft",Programme_Grunddaten!L64&lt;&gt;""),IF(Programme_Grunddaten!L64="Abo / befristete Lizenz",1,0),"")</f>
        <v/>
      </c>
      <c r="F56" s="1" t="str">
        <f>IF(AND(Programme_Grunddaten!$A64="Geprüft",Programme_Grunddaten!M64&lt;&gt;""),IF(Programme_Grunddaten!M64="Ja",1,0),"")</f>
        <v/>
      </c>
      <c r="G56" s="1" t="str">
        <f>IF(AND(Programme_Grunddaten!$A64="Geprüft",Programme_Grunddaten!N64&lt;&gt;""),IF(Programme_Grunddaten!N64="Ja",1,0),"")</f>
        <v/>
      </c>
      <c r="H56" s="1" t="str">
        <f>IF(AND(Programme_Grunddaten!$A64="Geprüft",Programme_Grunddaten!O64&lt;&gt;""),IF(Programme_Grunddaten!O64="Deutschland",0,IF(Programme_Grunddaten!O64="EU",1,2)),"")</f>
        <v/>
      </c>
      <c r="I56" s="1" t="str">
        <f>IF(AND(Programme_Grunddaten!$A64="Geprüft",Programme_Grunddaten!P64&lt;&gt;""),IF(Programme_Grunddaten!P64="Ja",1,0),"")</f>
        <v/>
      </c>
      <c r="J56" s="1" t="str">
        <f>IF(AND(Programme_Grunddaten!$A64="Geprüft",Programme_Grunddaten!Q64&lt;&gt;""),IF(Programme_Grunddaten!Q64="geschlossenes System",1,0),"")</f>
        <v/>
      </c>
      <c r="K56" s="1" t="str">
        <f>IF(AND(Programme_Grunddaten!$A64="Geprüft",Programme_Grunddaten!R64&lt;&gt;""),IF(Programme_Grunddaten!R64="Ja",1,0),"")</f>
        <v/>
      </c>
      <c r="L56" s="1" t="str">
        <f>IF(AND(Programme_Grunddaten!$A64="Geprüft",Programme_Grunddaten!T64&lt;&gt;""),IF(Programme_Grunddaten!T64="Ja",1,0),"")</f>
        <v/>
      </c>
      <c r="M56" s="1" t="str">
        <f>IF(AND(Programme_Grunddaten!$A64="Geprüft",Programme_Grunddaten!U64&lt;&gt;""),IF(Programme_Grunddaten!U64="Ja",1,0),"")</f>
        <v/>
      </c>
      <c r="N56" s="1" t="str">
        <f>IF(AND(Programme_Grunddaten!$A64="Geprüft",Programme_Grunddaten!V64&lt;&gt;""),IF(Programme_Grunddaten!V64="Ja",1,0),"")</f>
        <v/>
      </c>
      <c r="O56" s="1" t="str">
        <f>IF(AND(Programme_Grunddaten!$A64="Geprüft",Programme_Grunddaten!W64&lt;&gt;""),IF(Programme_Grunddaten!W64="Ja",1,0),"")</f>
        <v/>
      </c>
      <c r="P56" s="1" t="str">
        <f>IF(AND(Programme_Grunddaten!$A64="Geprüft",Programme_Grunddaten!X64&lt;&gt;""),IF(Programme_Grunddaten!X64="Ja",1,0),"")</f>
        <v/>
      </c>
      <c r="Q56" s="1" t="str">
        <f>IF(AND(Programme_Grunddaten!$A64="Geprüft",Programme_Grunddaten!Y64&lt;&gt;""),IF(Programme_Grunddaten!Y64="Ja",1,0),"")</f>
        <v/>
      </c>
      <c r="R56" s="1" t="str">
        <f>IF(AND(Programme_Grunddaten!$A64="Geprüft",Programme_Grunddaten!Z64&lt;&gt;""),IF(Programme_Grunddaten!Z64="Ja",1,0),"")</f>
        <v/>
      </c>
      <c r="S56" s="1" t="str">
        <f>IF(AND(Programme_Grunddaten!$A64="Geprüft",Programme_Grunddaten!AA64&lt;&gt;""),IF(Programme_Grunddaten!AA64="monolithisch",1,0),"")</f>
        <v/>
      </c>
      <c r="T56" s="1" t="str">
        <f>IF(AND(Programme_Grunddaten!$A64="Geprüft",Programme_Grunddaten!AB64&lt;&gt;""),IF(Programme_Grunddaten!AB64="Ja",1,0),"")</f>
        <v/>
      </c>
      <c r="U56" s="1" t="str">
        <f>IF(AND(Programme_Grunddaten!$A64="Geprüft",Programme_Grunddaten!AC64&lt;&gt;""),IF(Programme_Grunddaten!AC64="Ja",1,0),"")</f>
        <v/>
      </c>
      <c r="V56" s="1" t="str">
        <f>IF(AND(Programme_Grunddaten!$A64="Geprüft",Programme_Grunddaten!AD64&lt;&gt;""),IF(Programme_Grunddaten!AD64="Ja",1,0),"")</f>
        <v/>
      </c>
      <c r="W56" s="1" t="str">
        <f>IF(AND(Programme_Grunddaten!$A64="Geprüft",Programme_Grunddaten!AE64&lt;&gt;""),IF(Programme_Grunddaten!AE64="Ja",1,0),"")</f>
        <v/>
      </c>
      <c r="X56" s="1" t="str">
        <f>IF(AND(Programme_Grunddaten!$A64="Geprüft",Programme_Grunddaten!AF64&lt;&gt;""),IF(Programme_Grunddaten!AF64="Ja",1,0),"")</f>
        <v/>
      </c>
      <c r="Y56" s="1" t="str">
        <f>IF(AND(Programme_Grunddaten!$A64="Geprüft",Programme_Grunddaten!AG64&lt;&gt;""),IF(Programme_Grunddaten!AG64="Ja",1,0),"")</f>
        <v/>
      </c>
      <c r="Z56" s="1" t="str">
        <f>IF(AND(Programme_Grunddaten!$A64="Geprüft",Programme_Grunddaten!AH64&lt;&gt;""),IF(Programme_Grunddaten!AH64="Ja",1,0),"")</f>
        <v/>
      </c>
      <c r="AA56" s="1" t="str">
        <f>IF(AND(Programme_Grunddaten!$A64="Geprüft",Programme_Grunddaten!AI64&lt;&gt;""),IF(Programme_Grunddaten!AI64="Ja",1,0),"")</f>
        <v/>
      </c>
      <c r="AB56" s="1" t="str">
        <f>IF(AND(Programme_Grunddaten!$A64="Geprüft",Programme_Grunddaten!AJ64&lt;&gt;""),IF(Programme_Grunddaten!AJ64="individuell programmierbar",1,0),"")</f>
        <v/>
      </c>
      <c r="AC56" s="1" t="str">
        <f>IF(AND(Programme_Grunddaten!$A64="Geprüft",Programme_Grunddaten!AK64&lt;&gt;""),IF(Programme_Grunddaten!AK64="Deutsch",0,IF(Programme_Grunddaten!AK64="Deutsch und Englisch",1,2)),"")</f>
        <v/>
      </c>
      <c r="AD56" s="1" t="str">
        <f>IF(AND(Programme_Grunddaten!$A64="Geprüft",Programme_Grunddaten!AL64&lt;&gt;""),IF(Programme_Grunddaten!AL64="Ja",1,0),"")</f>
        <v/>
      </c>
      <c r="AE56" s="1" t="str">
        <f>IF(AND(Programme_Grunddaten!$A64="Geprüft",Programme_Grunddaten!AM64&lt;&gt;""),IF(Programme_Grunddaten!AM64="Ja",1,0),"")</f>
        <v/>
      </c>
      <c r="AF56" s="1" t="str">
        <f>IF(AND(Programme_Grunddaten!$A64="Geprüft",Programme_Grunddaten!AN64&lt;&gt;""),IF(Programme_Grunddaten!AN64="Ja",1,0),"")</f>
        <v/>
      </c>
      <c r="AG56" s="1" t="str">
        <f>IF(AND(Programme_Grunddaten!$A64="Geprüft",Programme_Grunddaten!AO64&lt;&gt;""),IF(Programme_Grunddaten!AO64="Ja",1,0),"")</f>
        <v/>
      </c>
      <c r="AH56" s="1" t="str">
        <f>IF(AND(Programme_Grunddaten!$A64="Geprüft",Programme_Grunddaten!AP64&lt;&gt;""),IF(Programme_Grunddaten!AP64="Ja",1,0),"")</f>
        <v/>
      </c>
      <c r="AI56" s="1" t="str">
        <f>IF(AND(Programme_Grunddaten!$A64="Geprüft",Programme_Grunddaten!AQ64&lt;&gt;""),IF(Programme_Grunddaten!AQ64="Ja",1,0),"")</f>
        <v/>
      </c>
      <c r="AJ56" s="1" t="str">
        <f>IF(AND(Programme_Grunddaten!$A64="Geprüft",Programme_Grunddaten!AR64&lt;&gt;""),IF(Programme_Grunddaten!AR64="Ja",1,0),"")</f>
        <v/>
      </c>
      <c r="AK56" s="1" t="str">
        <f>IF(AND(Programme_Grunddaten!$A64="Geprüft",Programme_Grunddaten!AS64&lt;&gt;""),IF(Programme_Grunddaten!AS64="Ja",1,0),"")</f>
        <v/>
      </c>
      <c r="AL56" s="1" t="str">
        <f>IF(AND(Programme_Grunddaten!$A64="Geprüft",Programme_Grunddaten!AT64&lt;&gt;""),IF(Programme_Grunddaten!AT64="Ja",1,0),"")</f>
        <v/>
      </c>
      <c r="AM56" s="1" t="str">
        <f>IF(AND(Programme_Grunddaten!$A64="Geprüft",Programme_Grunddaten!AU64&lt;&gt;""),IF(Programme_Grunddaten!AU64="Ja",1,0),"")</f>
        <v/>
      </c>
      <c r="AN56" s="1" t="str">
        <f>IF(AND(Programme_Grunddaten!$A64="Geprüft",Programme_Grunddaten!AV64&lt;&gt;""),IF(Programme_Grunddaten!AV64="Ja",1,0),"")</f>
        <v/>
      </c>
    </row>
    <row r="57" spans="1:40" x14ac:dyDescent="0.3">
      <c r="A57" s="1" t="str">
        <f>IF(AND(Programme_Grunddaten!A65="Geprüft",Programme_Grunddaten!B65&lt;&gt;""),Programme_Grunddaten!B65,"")</f>
        <v/>
      </c>
      <c r="B57" s="1" t="str">
        <f>IF(AND(Programme_Grunddaten!$A65="Geprüft",Programme_Grunddaten!I65&lt;&gt;""),IF(Programme_Grunddaten!I65="Ja",1,0),"")</f>
        <v/>
      </c>
      <c r="C57" s="1" t="str">
        <f>IF(AND(Programme_Grunddaten!$A65="Geprüft",Programme_Grunddaten!J65&lt;&gt;""),IF(Programme_Grunddaten!J65="Ja",1,0),"")</f>
        <v/>
      </c>
      <c r="D57" s="1" t="str">
        <f>IF(AND(Programme_Grunddaten!$A65="Geprüft",Programme_Grunddaten!K65&lt;&gt;""),IF(Programme_Grunddaten!K65="Ja",1,0),"")</f>
        <v/>
      </c>
      <c r="E57" s="1" t="str">
        <f>IF(AND(Programme_Grunddaten!$A65="Geprüft",Programme_Grunddaten!L65&lt;&gt;""),IF(Programme_Grunddaten!L65="Abo / befristete Lizenz",1,0),"")</f>
        <v/>
      </c>
      <c r="F57" s="1" t="str">
        <f>IF(AND(Programme_Grunddaten!$A65="Geprüft",Programme_Grunddaten!M65&lt;&gt;""),IF(Programme_Grunddaten!M65="Ja",1,0),"")</f>
        <v/>
      </c>
      <c r="G57" s="1" t="str">
        <f>IF(AND(Programme_Grunddaten!$A65="Geprüft",Programme_Grunddaten!N65&lt;&gt;""),IF(Programme_Grunddaten!N65="Ja",1,0),"")</f>
        <v/>
      </c>
      <c r="H57" s="1" t="str">
        <f>IF(AND(Programme_Grunddaten!$A65="Geprüft",Programme_Grunddaten!O65&lt;&gt;""),IF(Programme_Grunddaten!O65="Deutschland",0,IF(Programme_Grunddaten!O65="EU",1,2)),"")</f>
        <v/>
      </c>
      <c r="I57" s="1" t="str">
        <f>IF(AND(Programme_Grunddaten!$A65="Geprüft",Programme_Grunddaten!P65&lt;&gt;""),IF(Programme_Grunddaten!P65="Ja",1,0),"")</f>
        <v/>
      </c>
      <c r="J57" s="1" t="str">
        <f>IF(AND(Programme_Grunddaten!$A65="Geprüft",Programme_Grunddaten!Q65&lt;&gt;""),IF(Programme_Grunddaten!Q65="geschlossenes System",1,0),"")</f>
        <v/>
      </c>
      <c r="K57" s="1" t="str">
        <f>IF(AND(Programme_Grunddaten!$A65="Geprüft",Programme_Grunddaten!R65&lt;&gt;""),IF(Programme_Grunddaten!R65="Ja",1,0),"")</f>
        <v/>
      </c>
      <c r="L57" s="1" t="str">
        <f>IF(AND(Programme_Grunddaten!$A65="Geprüft",Programme_Grunddaten!T65&lt;&gt;""),IF(Programme_Grunddaten!T65="Ja",1,0),"")</f>
        <v/>
      </c>
      <c r="M57" s="1" t="str">
        <f>IF(AND(Programme_Grunddaten!$A65="Geprüft",Programme_Grunddaten!U65&lt;&gt;""),IF(Programme_Grunddaten!U65="Ja",1,0),"")</f>
        <v/>
      </c>
      <c r="N57" s="1" t="str">
        <f>IF(AND(Programme_Grunddaten!$A65="Geprüft",Programme_Grunddaten!V65&lt;&gt;""),IF(Programme_Grunddaten!V65="Ja",1,0),"")</f>
        <v/>
      </c>
      <c r="O57" s="1" t="str">
        <f>IF(AND(Programme_Grunddaten!$A65="Geprüft",Programme_Grunddaten!W65&lt;&gt;""),IF(Programme_Grunddaten!W65="Ja",1,0),"")</f>
        <v/>
      </c>
      <c r="P57" s="1" t="str">
        <f>IF(AND(Programme_Grunddaten!$A65="Geprüft",Programme_Grunddaten!X65&lt;&gt;""),IF(Programme_Grunddaten!X65="Ja",1,0),"")</f>
        <v/>
      </c>
      <c r="Q57" s="1" t="str">
        <f>IF(AND(Programme_Grunddaten!$A65="Geprüft",Programme_Grunddaten!Y65&lt;&gt;""),IF(Programme_Grunddaten!Y65="Ja",1,0),"")</f>
        <v/>
      </c>
      <c r="R57" s="1" t="str">
        <f>IF(AND(Programme_Grunddaten!$A65="Geprüft",Programme_Grunddaten!Z65&lt;&gt;""),IF(Programme_Grunddaten!Z65="Ja",1,0),"")</f>
        <v/>
      </c>
      <c r="S57" s="1" t="str">
        <f>IF(AND(Programme_Grunddaten!$A65="Geprüft",Programme_Grunddaten!AA65&lt;&gt;""),IF(Programme_Grunddaten!AA65="monolithisch",1,0),"")</f>
        <v/>
      </c>
      <c r="T57" s="1" t="str">
        <f>IF(AND(Programme_Grunddaten!$A65="Geprüft",Programme_Grunddaten!AB65&lt;&gt;""),IF(Programme_Grunddaten!AB65="Ja",1,0),"")</f>
        <v/>
      </c>
      <c r="U57" s="1" t="str">
        <f>IF(AND(Programme_Grunddaten!$A65="Geprüft",Programme_Grunddaten!AC65&lt;&gt;""),IF(Programme_Grunddaten!AC65="Ja",1,0),"")</f>
        <v/>
      </c>
      <c r="V57" s="1" t="str">
        <f>IF(AND(Programme_Grunddaten!$A65="Geprüft",Programme_Grunddaten!AD65&lt;&gt;""),IF(Programme_Grunddaten!AD65="Ja",1,0),"")</f>
        <v/>
      </c>
      <c r="W57" s="1" t="str">
        <f>IF(AND(Programme_Grunddaten!$A65="Geprüft",Programme_Grunddaten!AE65&lt;&gt;""),IF(Programme_Grunddaten!AE65="Ja",1,0),"")</f>
        <v/>
      </c>
      <c r="X57" s="1" t="str">
        <f>IF(AND(Programme_Grunddaten!$A65="Geprüft",Programme_Grunddaten!AF65&lt;&gt;""),IF(Programme_Grunddaten!AF65="Ja",1,0),"")</f>
        <v/>
      </c>
      <c r="Y57" s="1" t="str">
        <f>IF(AND(Programme_Grunddaten!$A65="Geprüft",Programme_Grunddaten!AG65&lt;&gt;""),IF(Programme_Grunddaten!AG65="Ja",1,0),"")</f>
        <v/>
      </c>
      <c r="Z57" s="1" t="str">
        <f>IF(AND(Programme_Grunddaten!$A65="Geprüft",Programme_Grunddaten!AH65&lt;&gt;""),IF(Programme_Grunddaten!AH65="Ja",1,0),"")</f>
        <v/>
      </c>
      <c r="AA57" s="1" t="str">
        <f>IF(AND(Programme_Grunddaten!$A65="Geprüft",Programme_Grunddaten!AI65&lt;&gt;""),IF(Programme_Grunddaten!AI65="Ja",1,0),"")</f>
        <v/>
      </c>
      <c r="AB57" s="1" t="str">
        <f>IF(AND(Programme_Grunddaten!$A65="Geprüft",Programme_Grunddaten!AJ65&lt;&gt;""),IF(Programme_Grunddaten!AJ65="individuell programmierbar",1,0),"")</f>
        <v/>
      </c>
      <c r="AC57" s="1" t="str">
        <f>IF(AND(Programme_Grunddaten!$A65="Geprüft",Programme_Grunddaten!AK65&lt;&gt;""),IF(Programme_Grunddaten!AK65="Deutsch",0,IF(Programme_Grunddaten!AK65="Deutsch und Englisch",1,2)),"")</f>
        <v/>
      </c>
      <c r="AD57" s="1" t="str">
        <f>IF(AND(Programme_Grunddaten!$A65="Geprüft",Programme_Grunddaten!AL65&lt;&gt;""),IF(Programme_Grunddaten!AL65="Ja",1,0),"")</f>
        <v/>
      </c>
      <c r="AE57" s="1" t="str">
        <f>IF(AND(Programme_Grunddaten!$A65="Geprüft",Programme_Grunddaten!AM65&lt;&gt;""),IF(Programme_Grunddaten!AM65="Ja",1,0),"")</f>
        <v/>
      </c>
      <c r="AF57" s="1" t="str">
        <f>IF(AND(Programme_Grunddaten!$A65="Geprüft",Programme_Grunddaten!AN65&lt;&gt;""),IF(Programme_Grunddaten!AN65="Ja",1,0),"")</f>
        <v/>
      </c>
      <c r="AG57" s="1" t="str">
        <f>IF(AND(Programme_Grunddaten!$A65="Geprüft",Programme_Grunddaten!AO65&lt;&gt;""),IF(Programme_Grunddaten!AO65="Ja",1,0),"")</f>
        <v/>
      </c>
      <c r="AH57" s="1" t="str">
        <f>IF(AND(Programme_Grunddaten!$A65="Geprüft",Programme_Grunddaten!AP65&lt;&gt;""),IF(Programme_Grunddaten!AP65="Ja",1,0),"")</f>
        <v/>
      </c>
      <c r="AI57" s="1" t="str">
        <f>IF(AND(Programme_Grunddaten!$A65="Geprüft",Programme_Grunddaten!AQ65&lt;&gt;""),IF(Programme_Grunddaten!AQ65="Ja",1,0),"")</f>
        <v/>
      </c>
      <c r="AJ57" s="1" t="str">
        <f>IF(AND(Programme_Grunddaten!$A65="Geprüft",Programme_Grunddaten!AR65&lt;&gt;""),IF(Programme_Grunddaten!AR65="Ja",1,0),"")</f>
        <v/>
      </c>
      <c r="AK57" s="1" t="str">
        <f>IF(AND(Programme_Grunddaten!$A65="Geprüft",Programme_Grunddaten!AS65&lt;&gt;""),IF(Programme_Grunddaten!AS65="Ja",1,0),"")</f>
        <v/>
      </c>
      <c r="AL57" s="1" t="str">
        <f>IF(AND(Programme_Grunddaten!$A65="Geprüft",Programme_Grunddaten!AT65&lt;&gt;""),IF(Programme_Grunddaten!AT65="Ja",1,0),"")</f>
        <v/>
      </c>
      <c r="AM57" s="1" t="str">
        <f>IF(AND(Programme_Grunddaten!$A65="Geprüft",Programme_Grunddaten!AU65&lt;&gt;""),IF(Programme_Grunddaten!AU65="Ja",1,0),"")</f>
        <v/>
      </c>
      <c r="AN57" s="1" t="str">
        <f>IF(AND(Programme_Grunddaten!$A65="Geprüft",Programme_Grunddaten!AV65&lt;&gt;""),IF(Programme_Grunddaten!AV65="Ja",1,0),"")</f>
        <v/>
      </c>
    </row>
    <row r="58" spans="1:40" x14ac:dyDescent="0.3">
      <c r="A58" s="1" t="str">
        <f>IF(AND(Programme_Grunddaten!A66="Geprüft",Programme_Grunddaten!B66&lt;&gt;""),Programme_Grunddaten!B66,"")</f>
        <v/>
      </c>
      <c r="B58" s="1" t="str">
        <f>IF(AND(Programme_Grunddaten!$A66="Geprüft",Programme_Grunddaten!I66&lt;&gt;""),IF(Programme_Grunddaten!I66="Ja",1,0),"")</f>
        <v/>
      </c>
      <c r="C58" s="1" t="str">
        <f>IF(AND(Programme_Grunddaten!$A66="Geprüft",Programme_Grunddaten!J66&lt;&gt;""),IF(Programme_Grunddaten!J66="Ja",1,0),"")</f>
        <v/>
      </c>
      <c r="D58" s="1" t="str">
        <f>IF(AND(Programme_Grunddaten!$A66="Geprüft",Programme_Grunddaten!K66&lt;&gt;""),IF(Programme_Grunddaten!K66="Ja",1,0),"")</f>
        <v/>
      </c>
      <c r="E58" s="1" t="str">
        <f>IF(AND(Programme_Grunddaten!$A66="Geprüft",Programme_Grunddaten!L66&lt;&gt;""),IF(Programme_Grunddaten!L66="Abo / befristete Lizenz",1,0),"")</f>
        <v/>
      </c>
      <c r="F58" s="1" t="str">
        <f>IF(AND(Programme_Grunddaten!$A66="Geprüft",Programme_Grunddaten!M66&lt;&gt;""),IF(Programme_Grunddaten!M66="Ja",1,0),"")</f>
        <v/>
      </c>
      <c r="G58" s="1" t="str">
        <f>IF(AND(Programme_Grunddaten!$A66="Geprüft",Programme_Grunddaten!N66&lt;&gt;""),IF(Programme_Grunddaten!N66="Ja",1,0),"")</f>
        <v/>
      </c>
      <c r="H58" s="1" t="str">
        <f>IF(AND(Programme_Grunddaten!$A66="Geprüft",Programme_Grunddaten!O66&lt;&gt;""),IF(Programme_Grunddaten!O66="Deutschland",0,IF(Programme_Grunddaten!O66="EU",1,2)),"")</f>
        <v/>
      </c>
      <c r="I58" s="1" t="str">
        <f>IF(AND(Programme_Grunddaten!$A66="Geprüft",Programme_Grunddaten!P66&lt;&gt;""),IF(Programme_Grunddaten!P66="Ja",1,0),"")</f>
        <v/>
      </c>
      <c r="J58" s="1" t="str">
        <f>IF(AND(Programme_Grunddaten!$A66="Geprüft",Programme_Grunddaten!Q66&lt;&gt;""),IF(Programme_Grunddaten!Q66="geschlossenes System",1,0),"")</f>
        <v/>
      </c>
      <c r="K58" s="1" t="str">
        <f>IF(AND(Programme_Grunddaten!$A66="Geprüft",Programme_Grunddaten!R66&lt;&gt;""),IF(Programme_Grunddaten!R66="Ja",1,0),"")</f>
        <v/>
      </c>
      <c r="L58" s="1" t="str">
        <f>IF(AND(Programme_Grunddaten!$A66="Geprüft",Programme_Grunddaten!T66&lt;&gt;""),IF(Programme_Grunddaten!T66="Ja",1,0),"")</f>
        <v/>
      </c>
      <c r="M58" s="1" t="str">
        <f>IF(AND(Programme_Grunddaten!$A66="Geprüft",Programme_Grunddaten!U66&lt;&gt;""),IF(Programme_Grunddaten!U66="Ja",1,0),"")</f>
        <v/>
      </c>
      <c r="N58" s="1" t="str">
        <f>IF(AND(Programme_Grunddaten!$A66="Geprüft",Programme_Grunddaten!V66&lt;&gt;""),IF(Programme_Grunddaten!V66="Ja",1,0),"")</f>
        <v/>
      </c>
      <c r="O58" s="1" t="str">
        <f>IF(AND(Programme_Grunddaten!$A66="Geprüft",Programme_Grunddaten!W66&lt;&gt;""),IF(Programme_Grunddaten!W66="Ja",1,0),"")</f>
        <v/>
      </c>
      <c r="P58" s="1" t="str">
        <f>IF(AND(Programme_Grunddaten!$A66="Geprüft",Programme_Grunddaten!X66&lt;&gt;""),IF(Programme_Grunddaten!X66="Ja",1,0),"")</f>
        <v/>
      </c>
      <c r="Q58" s="1" t="str">
        <f>IF(AND(Programme_Grunddaten!$A66="Geprüft",Programme_Grunddaten!Y66&lt;&gt;""),IF(Programme_Grunddaten!Y66="Ja",1,0),"")</f>
        <v/>
      </c>
      <c r="R58" s="1" t="str">
        <f>IF(AND(Programme_Grunddaten!$A66="Geprüft",Programme_Grunddaten!Z66&lt;&gt;""),IF(Programme_Grunddaten!Z66="Ja",1,0),"")</f>
        <v/>
      </c>
      <c r="S58" s="1" t="str">
        <f>IF(AND(Programme_Grunddaten!$A66="Geprüft",Programme_Grunddaten!AA66&lt;&gt;""),IF(Programme_Grunddaten!AA66="monolithisch",1,0),"")</f>
        <v/>
      </c>
      <c r="T58" s="1" t="str">
        <f>IF(AND(Programme_Grunddaten!$A66="Geprüft",Programme_Grunddaten!AB66&lt;&gt;""),IF(Programme_Grunddaten!AB66="Ja",1,0),"")</f>
        <v/>
      </c>
      <c r="U58" s="1" t="str">
        <f>IF(AND(Programme_Grunddaten!$A66="Geprüft",Programme_Grunddaten!AC66&lt;&gt;""),IF(Programme_Grunddaten!AC66="Ja",1,0),"")</f>
        <v/>
      </c>
      <c r="V58" s="1" t="str">
        <f>IF(AND(Programme_Grunddaten!$A66="Geprüft",Programme_Grunddaten!AD66&lt;&gt;""),IF(Programme_Grunddaten!AD66="Ja",1,0),"")</f>
        <v/>
      </c>
      <c r="W58" s="1" t="str">
        <f>IF(AND(Programme_Grunddaten!$A66="Geprüft",Programme_Grunddaten!AE66&lt;&gt;""),IF(Programme_Grunddaten!AE66="Ja",1,0),"")</f>
        <v/>
      </c>
      <c r="X58" s="1" t="str">
        <f>IF(AND(Programme_Grunddaten!$A66="Geprüft",Programme_Grunddaten!AF66&lt;&gt;""),IF(Programme_Grunddaten!AF66="Ja",1,0),"")</f>
        <v/>
      </c>
      <c r="Y58" s="1" t="str">
        <f>IF(AND(Programme_Grunddaten!$A66="Geprüft",Programme_Grunddaten!AG66&lt;&gt;""),IF(Programme_Grunddaten!AG66="Ja",1,0),"")</f>
        <v/>
      </c>
      <c r="Z58" s="1" t="str">
        <f>IF(AND(Programme_Grunddaten!$A66="Geprüft",Programme_Grunddaten!AH66&lt;&gt;""),IF(Programme_Grunddaten!AH66="Ja",1,0),"")</f>
        <v/>
      </c>
      <c r="AA58" s="1" t="str">
        <f>IF(AND(Programme_Grunddaten!$A66="Geprüft",Programme_Grunddaten!AI66&lt;&gt;""),IF(Programme_Grunddaten!AI66="Ja",1,0),"")</f>
        <v/>
      </c>
      <c r="AB58" s="1" t="str">
        <f>IF(AND(Programme_Grunddaten!$A66="Geprüft",Programme_Grunddaten!AJ66&lt;&gt;""),IF(Programme_Grunddaten!AJ66="individuell programmierbar",1,0),"")</f>
        <v/>
      </c>
      <c r="AC58" s="1" t="str">
        <f>IF(AND(Programme_Grunddaten!$A66="Geprüft",Programme_Grunddaten!AK66&lt;&gt;""),IF(Programme_Grunddaten!AK66="Deutsch",0,IF(Programme_Grunddaten!AK66="Deutsch und Englisch",1,2)),"")</f>
        <v/>
      </c>
      <c r="AD58" s="1" t="str">
        <f>IF(AND(Programme_Grunddaten!$A66="Geprüft",Programme_Grunddaten!AL66&lt;&gt;""),IF(Programme_Grunddaten!AL66="Ja",1,0),"")</f>
        <v/>
      </c>
      <c r="AE58" s="1" t="str">
        <f>IF(AND(Programme_Grunddaten!$A66="Geprüft",Programme_Grunddaten!AM66&lt;&gt;""),IF(Programme_Grunddaten!AM66="Ja",1,0),"")</f>
        <v/>
      </c>
      <c r="AF58" s="1" t="str">
        <f>IF(AND(Programme_Grunddaten!$A66="Geprüft",Programme_Grunddaten!AN66&lt;&gt;""),IF(Programme_Grunddaten!AN66="Ja",1,0),"")</f>
        <v/>
      </c>
      <c r="AG58" s="1" t="str">
        <f>IF(AND(Programme_Grunddaten!$A66="Geprüft",Programme_Grunddaten!AO66&lt;&gt;""),IF(Programme_Grunddaten!AO66="Ja",1,0),"")</f>
        <v/>
      </c>
      <c r="AH58" s="1" t="str">
        <f>IF(AND(Programme_Grunddaten!$A66="Geprüft",Programme_Grunddaten!AP66&lt;&gt;""),IF(Programme_Grunddaten!AP66="Ja",1,0),"")</f>
        <v/>
      </c>
      <c r="AI58" s="1" t="str">
        <f>IF(AND(Programme_Grunddaten!$A66="Geprüft",Programme_Grunddaten!AQ66&lt;&gt;""),IF(Programme_Grunddaten!AQ66="Ja",1,0),"")</f>
        <v/>
      </c>
      <c r="AJ58" s="1" t="str">
        <f>IF(AND(Programme_Grunddaten!$A66="Geprüft",Programme_Grunddaten!AR66&lt;&gt;""),IF(Programme_Grunddaten!AR66="Ja",1,0),"")</f>
        <v/>
      </c>
      <c r="AK58" s="1" t="str">
        <f>IF(AND(Programme_Grunddaten!$A66="Geprüft",Programme_Grunddaten!AS66&lt;&gt;""),IF(Programme_Grunddaten!AS66="Ja",1,0),"")</f>
        <v/>
      </c>
      <c r="AL58" s="1" t="str">
        <f>IF(AND(Programme_Grunddaten!$A66="Geprüft",Programme_Grunddaten!AT66&lt;&gt;""),IF(Programme_Grunddaten!AT66="Ja",1,0),"")</f>
        <v/>
      </c>
      <c r="AM58" s="1" t="str">
        <f>IF(AND(Programme_Grunddaten!$A66="Geprüft",Programme_Grunddaten!AU66&lt;&gt;""),IF(Programme_Grunddaten!AU66="Ja",1,0),"")</f>
        <v/>
      </c>
      <c r="AN58" s="1" t="str">
        <f>IF(AND(Programme_Grunddaten!$A66="Geprüft",Programme_Grunddaten!AV66&lt;&gt;""),IF(Programme_Grunddaten!AV66="Ja",1,0),"")</f>
        <v/>
      </c>
    </row>
    <row r="59" spans="1:40" x14ac:dyDescent="0.3">
      <c r="A59" s="1" t="str">
        <f>IF(AND(Programme_Grunddaten!A67="Geprüft",Programme_Grunddaten!B67&lt;&gt;""),Programme_Grunddaten!B67,"")</f>
        <v/>
      </c>
      <c r="B59" s="1" t="str">
        <f>IF(AND(Programme_Grunddaten!$A67="Geprüft",Programme_Grunddaten!I67&lt;&gt;""),IF(Programme_Grunddaten!I67="Ja",1,0),"")</f>
        <v/>
      </c>
      <c r="C59" s="1" t="str">
        <f>IF(AND(Programme_Grunddaten!$A67="Geprüft",Programme_Grunddaten!J67&lt;&gt;""),IF(Programme_Grunddaten!J67="Ja",1,0),"")</f>
        <v/>
      </c>
      <c r="D59" s="1" t="str">
        <f>IF(AND(Programme_Grunddaten!$A67="Geprüft",Programme_Grunddaten!K67&lt;&gt;""),IF(Programme_Grunddaten!K67="Ja",1,0),"")</f>
        <v/>
      </c>
      <c r="E59" s="1" t="str">
        <f>IF(AND(Programme_Grunddaten!$A67="Geprüft",Programme_Grunddaten!L67&lt;&gt;""),IF(Programme_Grunddaten!L67="Abo / befristete Lizenz",1,0),"")</f>
        <v/>
      </c>
      <c r="F59" s="1" t="str">
        <f>IF(AND(Programme_Grunddaten!$A67="Geprüft",Programme_Grunddaten!M67&lt;&gt;""),IF(Programme_Grunddaten!M67="Ja",1,0),"")</f>
        <v/>
      </c>
      <c r="G59" s="1" t="str">
        <f>IF(AND(Programme_Grunddaten!$A67="Geprüft",Programme_Grunddaten!N67&lt;&gt;""),IF(Programme_Grunddaten!N67="Ja",1,0),"")</f>
        <v/>
      </c>
      <c r="H59" s="1" t="str">
        <f>IF(AND(Programme_Grunddaten!$A67="Geprüft",Programme_Grunddaten!O67&lt;&gt;""),IF(Programme_Grunddaten!O67="Deutschland",0,IF(Programme_Grunddaten!O67="EU",1,2)),"")</f>
        <v/>
      </c>
      <c r="I59" s="1" t="str">
        <f>IF(AND(Programme_Grunddaten!$A67="Geprüft",Programme_Grunddaten!P67&lt;&gt;""),IF(Programme_Grunddaten!P67="Ja",1,0),"")</f>
        <v/>
      </c>
      <c r="J59" s="1" t="str">
        <f>IF(AND(Programme_Grunddaten!$A67="Geprüft",Programme_Grunddaten!Q67&lt;&gt;""),IF(Programme_Grunddaten!Q67="geschlossenes System",1,0),"")</f>
        <v/>
      </c>
      <c r="K59" s="1" t="str">
        <f>IF(AND(Programme_Grunddaten!$A67="Geprüft",Programme_Grunddaten!R67&lt;&gt;""),IF(Programme_Grunddaten!R67="Ja",1,0),"")</f>
        <v/>
      </c>
      <c r="L59" s="1" t="str">
        <f>IF(AND(Programme_Grunddaten!$A67="Geprüft",Programme_Grunddaten!T67&lt;&gt;""),IF(Programme_Grunddaten!T67="Ja",1,0),"")</f>
        <v/>
      </c>
      <c r="M59" s="1" t="str">
        <f>IF(AND(Programme_Grunddaten!$A67="Geprüft",Programme_Grunddaten!U67&lt;&gt;""),IF(Programme_Grunddaten!U67="Ja",1,0),"")</f>
        <v/>
      </c>
      <c r="N59" s="1" t="str">
        <f>IF(AND(Programme_Grunddaten!$A67="Geprüft",Programme_Grunddaten!V67&lt;&gt;""),IF(Programme_Grunddaten!V67="Ja",1,0),"")</f>
        <v/>
      </c>
      <c r="O59" s="1" t="str">
        <f>IF(AND(Programme_Grunddaten!$A67="Geprüft",Programme_Grunddaten!W67&lt;&gt;""),IF(Programme_Grunddaten!W67="Ja",1,0),"")</f>
        <v/>
      </c>
      <c r="P59" s="1" t="str">
        <f>IF(AND(Programme_Grunddaten!$A67="Geprüft",Programme_Grunddaten!X67&lt;&gt;""),IF(Programme_Grunddaten!X67="Ja",1,0),"")</f>
        <v/>
      </c>
      <c r="Q59" s="1" t="str">
        <f>IF(AND(Programme_Grunddaten!$A67="Geprüft",Programme_Grunddaten!Y67&lt;&gt;""),IF(Programme_Grunddaten!Y67="Ja",1,0),"")</f>
        <v/>
      </c>
      <c r="R59" s="1" t="str">
        <f>IF(AND(Programme_Grunddaten!$A67="Geprüft",Programme_Grunddaten!Z67&lt;&gt;""),IF(Programme_Grunddaten!Z67="Ja",1,0),"")</f>
        <v/>
      </c>
      <c r="S59" s="1" t="str">
        <f>IF(AND(Programme_Grunddaten!$A67="Geprüft",Programme_Grunddaten!AA67&lt;&gt;""),IF(Programme_Grunddaten!AA67="monolithisch",1,0),"")</f>
        <v/>
      </c>
      <c r="T59" s="1" t="str">
        <f>IF(AND(Programme_Grunddaten!$A67="Geprüft",Programme_Grunddaten!AB67&lt;&gt;""),IF(Programme_Grunddaten!AB67="Ja",1,0),"")</f>
        <v/>
      </c>
      <c r="U59" s="1" t="str">
        <f>IF(AND(Programme_Grunddaten!$A67="Geprüft",Programme_Grunddaten!AC67&lt;&gt;""),IF(Programme_Grunddaten!AC67="Ja",1,0),"")</f>
        <v/>
      </c>
      <c r="V59" s="1" t="str">
        <f>IF(AND(Programme_Grunddaten!$A67="Geprüft",Programme_Grunddaten!AD67&lt;&gt;""),IF(Programme_Grunddaten!AD67="Ja",1,0),"")</f>
        <v/>
      </c>
      <c r="W59" s="1" t="str">
        <f>IF(AND(Programme_Grunddaten!$A67="Geprüft",Programme_Grunddaten!AE67&lt;&gt;""),IF(Programme_Grunddaten!AE67="Ja",1,0),"")</f>
        <v/>
      </c>
      <c r="X59" s="1" t="str">
        <f>IF(AND(Programme_Grunddaten!$A67="Geprüft",Programme_Grunddaten!AF67&lt;&gt;""),IF(Programme_Grunddaten!AF67="Ja",1,0),"")</f>
        <v/>
      </c>
      <c r="Y59" s="1" t="str">
        <f>IF(AND(Programme_Grunddaten!$A67="Geprüft",Programme_Grunddaten!AG67&lt;&gt;""),IF(Programme_Grunddaten!AG67="Ja",1,0),"")</f>
        <v/>
      </c>
      <c r="Z59" s="1" t="str">
        <f>IF(AND(Programme_Grunddaten!$A67="Geprüft",Programme_Grunddaten!AH67&lt;&gt;""),IF(Programme_Grunddaten!AH67="Ja",1,0),"")</f>
        <v/>
      </c>
      <c r="AA59" s="1" t="str">
        <f>IF(AND(Programme_Grunddaten!$A67="Geprüft",Programme_Grunddaten!AI67&lt;&gt;""),IF(Programme_Grunddaten!AI67="Ja",1,0),"")</f>
        <v/>
      </c>
      <c r="AB59" s="1" t="str">
        <f>IF(AND(Programme_Grunddaten!$A67="Geprüft",Programme_Grunddaten!AJ67&lt;&gt;""),IF(Programme_Grunddaten!AJ67="individuell programmierbar",1,0),"")</f>
        <v/>
      </c>
      <c r="AC59" s="1" t="str">
        <f>IF(AND(Programme_Grunddaten!$A67="Geprüft",Programme_Grunddaten!AK67&lt;&gt;""),IF(Programme_Grunddaten!AK67="Deutsch",0,IF(Programme_Grunddaten!AK67="Deutsch und Englisch",1,2)),"")</f>
        <v/>
      </c>
      <c r="AD59" s="1" t="str">
        <f>IF(AND(Programme_Grunddaten!$A67="Geprüft",Programme_Grunddaten!AL67&lt;&gt;""),IF(Programme_Grunddaten!AL67="Ja",1,0),"")</f>
        <v/>
      </c>
      <c r="AE59" s="1" t="str">
        <f>IF(AND(Programme_Grunddaten!$A67="Geprüft",Programme_Grunddaten!AM67&lt;&gt;""),IF(Programme_Grunddaten!AM67="Ja",1,0),"")</f>
        <v/>
      </c>
      <c r="AF59" s="1" t="str">
        <f>IF(AND(Programme_Grunddaten!$A67="Geprüft",Programme_Grunddaten!AN67&lt;&gt;""),IF(Programme_Grunddaten!AN67="Ja",1,0),"")</f>
        <v/>
      </c>
      <c r="AG59" s="1" t="str">
        <f>IF(AND(Programme_Grunddaten!$A67="Geprüft",Programme_Grunddaten!AO67&lt;&gt;""),IF(Programme_Grunddaten!AO67="Ja",1,0),"")</f>
        <v/>
      </c>
      <c r="AH59" s="1" t="str">
        <f>IF(AND(Programme_Grunddaten!$A67="Geprüft",Programme_Grunddaten!AP67&lt;&gt;""),IF(Programme_Grunddaten!AP67="Ja",1,0),"")</f>
        <v/>
      </c>
      <c r="AI59" s="1" t="str">
        <f>IF(AND(Programme_Grunddaten!$A67="Geprüft",Programme_Grunddaten!AQ67&lt;&gt;""),IF(Programme_Grunddaten!AQ67="Ja",1,0),"")</f>
        <v/>
      </c>
      <c r="AJ59" s="1" t="str">
        <f>IF(AND(Programme_Grunddaten!$A67="Geprüft",Programme_Grunddaten!AR67&lt;&gt;""),IF(Programme_Grunddaten!AR67="Ja",1,0),"")</f>
        <v/>
      </c>
      <c r="AK59" s="1" t="str">
        <f>IF(AND(Programme_Grunddaten!$A67="Geprüft",Programme_Grunddaten!AS67&lt;&gt;""),IF(Programme_Grunddaten!AS67="Ja",1,0),"")</f>
        <v/>
      </c>
      <c r="AL59" s="1" t="str">
        <f>IF(AND(Programme_Grunddaten!$A67="Geprüft",Programme_Grunddaten!AT67&lt;&gt;""),IF(Programme_Grunddaten!AT67="Ja",1,0),"")</f>
        <v/>
      </c>
      <c r="AM59" s="1" t="str">
        <f>IF(AND(Programme_Grunddaten!$A67="Geprüft",Programme_Grunddaten!AU67&lt;&gt;""),IF(Programme_Grunddaten!AU67="Ja",1,0),"")</f>
        <v/>
      </c>
      <c r="AN59" s="1" t="str">
        <f>IF(AND(Programme_Grunddaten!$A67="Geprüft",Programme_Grunddaten!AV67&lt;&gt;""),IF(Programme_Grunddaten!AV67="Ja",1,0),"")</f>
        <v/>
      </c>
    </row>
    <row r="60" spans="1:40" x14ac:dyDescent="0.3">
      <c r="A60" s="1" t="str">
        <f>IF(AND(Programme_Grunddaten!A68="Geprüft",Programme_Grunddaten!B68&lt;&gt;""),Programme_Grunddaten!B68,"")</f>
        <v/>
      </c>
      <c r="B60" s="1" t="str">
        <f>IF(AND(Programme_Grunddaten!$A68="Geprüft",Programme_Grunddaten!I68&lt;&gt;""),IF(Programme_Grunddaten!I68="Ja",1,0),"")</f>
        <v/>
      </c>
      <c r="C60" s="1" t="str">
        <f>IF(AND(Programme_Grunddaten!$A68="Geprüft",Programme_Grunddaten!J68&lt;&gt;""),IF(Programme_Grunddaten!J68="Ja",1,0),"")</f>
        <v/>
      </c>
      <c r="D60" s="1" t="str">
        <f>IF(AND(Programme_Grunddaten!$A68="Geprüft",Programme_Grunddaten!K68&lt;&gt;""),IF(Programme_Grunddaten!K68="Ja",1,0),"")</f>
        <v/>
      </c>
      <c r="E60" s="1" t="str">
        <f>IF(AND(Programme_Grunddaten!$A68="Geprüft",Programme_Grunddaten!L68&lt;&gt;""),IF(Programme_Grunddaten!L68="Abo / befristete Lizenz",1,0),"")</f>
        <v/>
      </c>
      <c r="F60" s="1" t="str">
        <f>IF(AND(Programme_Grunddaten!$A68="Geprüft",Programme_Grunddaten!M68&lt;&gt;""),IF(Programme_Grunddaten!M68="Ja",1,0),"")</f>
        <v/>
      </c>
      <c r="G60" s="1" t="str">
        <f>IF(AND(Programme_Grunddaten!$A68="Geprüft",Programme_Grunddaten!N68&lt;&gt;""),IF(Programme_Grunddaten!N68="Ja",1,0),"")</f>
        <v/>
      </c>
      <c r="H60" s="1" t="str">
        <f>IF(AND(Programme_Grunddaten!$A68="Geprüft",Programme_Grunddaten!O68&lt;&gt;""),IF(Programme_Grunddaten!O68="Deutschland",0,IF(Programme_Grunddaten!O68="EU",1,2)),"")</f>
        <v/>
      </c>
      <c r="I60" s="1" t="str">
        <f>IF(AND(Programme_Grunddaten!$A68="Geprüft",Programme_Grunddaten!P68&lt;&gt;""),IF(Programme_Grunddaten!P68="Ja",1,0),"")</f>
        <v/>
      </c>
      <c r="J60" s="1" t="str">
        <f>IF(AND(Programme_Grunddaten!$A68="Geprüft",Programme_Grunddaten!Q68&lt;&gt;""),IF(Programme_Grunddaten!Q68="geschlossenes System",1,0),"")</f>
        <v/>
      </c>
      <c r="K60" s="1" t="str">
        <f>IF(AND(Programme_Grunddaten!$A68="Geprüft",Programme_Grunddaten!R68&lt;&gt;""),IF(Programme_Grunddaten!R68="Ja",1,0),"")</f>
        <v/>
      </c>
      <c r="L60" s="1" t="str">
        <f>IF(AND(Programme_Grunddaten!$A68="Geprüft",Programme_Grunddaten!T68&lt;&gt;""),IF(Programme_Grunddaten!T68="Ja",1,0),"")</f>
        <v/>
      </c>
      <c r="M60" s="1" t="str">
        <f>IF(AND(Programme_Grunddaten!$A68="Geprüft",Programme_Grunddaten!U68&lt;&gt;""),IF(Programme_Grunddaten!U68="Ja",1,0),"")</f>
        <v/>
      </c>
      <c r="N60" s="1" t="str">
        <f>IF(AND(Programme_Grunddaten!$A68="Geprüft",Programme_Grunddaten!V68&lt;&gt;""),IF(Programme_Grunddaten!V68="Ja",1,0),"")</f>
        <v/>
      </c>
      <c r="O60" s="1" t="str">
        <f>IF(AND(Programme_Grunddaten!$A68="Geprüft",Programme_Grunddaten!W68&lt;&gt;""),IF(Programme_Grunddaten!W68="Ja",1,0),"")</f>
        <v/>
      </c>
      <c r="P60" s="1" t="str">
        <f>IF(AND(Programme_Grunddaten!$A68="Geprüft",Programme_Grunddaten!X68&lt;&gt;""),IF(Programme_Grunddaten!X68="Ja",1,0),"")</f>
        <v/>
      </c>
      <c r="Q60" s="1" t="str">
        <f>IF(AND(Programme_Grunddaten!$A68="Geprüft",Programme_Grunddaten!Y68&lt;&gt;""),IF(Programme_Grunddaten!Y68="Ja",1,0),"")</f>
        <v/>
      </c>
      <c r="R60" s="1" t="str">
        <f>IF(AND(Programme_Grunddaten!$A68="Geprüft",Programme_Grunddaten!Z68&lt;&gt;""),IF(Programme_Grunddaten!Z68="Ja",1,0),"")</f>
        <v/>
      </c>
      <c r="S60" s="1" t="str">
        <f>IF(AND(Programme_Grunddaten!$A68="Geprüft",Programme_Grunddaten!AA68&lt;&gt;""),IF(Programme_Grunddaten!AA68="monolithisch",1,0),"")</f>
        <v/>
      </c>
      <c r="T60" s="1" t="str">
        <f>IF(AND(Programme_Grunddaten!$A68="Geprüft",Programme_Grunddaten!AB68&lt;&gt;""),IF(Programme_Grunddaten!AB68="Ja",1,0),"")</f>
        <v/>
      </c>
      <c r="U60" s="1" t="str">
        <f>IF(AND(Programme_Grunddaten!$A68="Geprüft",Programme_Grunddaten!AC68&lt;&gt;""),IF(Programme_Grunddaten!AC68="Ja",1,0),"")</f>
        <v/>
      </c>
      <c r="V60" s="1" t="str">
        <f>IF(AND(Programme_Grunddaten!$A68="Geprüft",Programme_Grunddaten!AD68&lt;&gt;""),IF(Programme_Grunddaten!AD68="Ja",1,0),"")</f>
        <v/>
      </c>
      <c r="W60" s="1" t="str">
        <f>IF(AND(Programme_Grunddaten!$A68="Geprüft",Programme_Grunddaten!AE68&lt;&gt;""),IF(Programme_Grunddaten!AE68="Ja",1,0),"")</f>
        <v/>
      </c>
      <c r="X60" s="1" t="str">
        <f>IF(AND(Programme_Grunddaten!$A68="Geprüft",Programme_Grunddaten!AF68&lt;&gt;""),IF(Programme_Grunddaten!AF68="Ja",1,0),"")</f>
        <v/>
      </c>
      <c r="Y60" s="1" t="str">
        <f>IF(AND(Programme_Grunddaten!$A68="Geprüft",Programme_Grunddaten!AG68&lt;&gt;""),IF(Programme_Grunddaten!AG68="Ja",1,0),"")</f>
        <v/>
      </c>
      <c r="Z60" s="1" t="str">
        <f>IF(AND(Programme_Grunddaten!$A68="Geprüft",Programme_Grunddaten!AH68&lt;&gt;""),IF(Programme_Grunddaten!AH68="Ja",1,0),"")</f>
        <v/>
      </c>
      <c r="AA60" s="1" t="str">
        <f>IF(AND(Programme_Grunddaten!$A68="Geprüft",Programme_Grunddaten!AI68&lt;&gt;""),IF(Programme_Grunddaten!AI68="Ja",1,0),"")</f>
        <v/>
      </c>
      <c r="AB60" s="1" t="str">
        <f>IF(AND(Programme_Grunddaten!$A68="Geprüft",Programme_Grunddaten!AJ68&lt;&gt;""),IF(Programme_Grunddaten!AJ68="individuell programmierbar",1,0),"")</f>
        <v/>
      </c>
      <c r="AC60" s="1" t="str">
        <f>IF(AND(Programme_Grunddaten!$A68="Geprüft",Programme_Grunddaten!AK68&lt;&gt;""),IF(Programme_Grunddaten!AK68="Deutsch",0,IF(Programme_Grunddaten!AK68="Deutsch und Englisch",1,2)),"")</f>
        <v/>
      </c>
      <c r="AD60" s="1" t="str">
        <f>IF(AND(Programme_Grunddaten!$A68="Geprüft",Programme_Grunddaten!AL68&lt;&gt;""),IF(Programme_Grunddaten!AL68="Ja",1,0),"")</f>
        <v/>
      </c>
      <c r="AE60" s="1" t="str">
        <f>IF(AND(Programme_Grunddaten!$A68="Geprüft",Programme_Grunddaten!AM68&lt;&gt;""),IF(Programme_Grunddaten!AM68="Ja",1,0),"")</f>
        <v/>
      </c>
      <c r="AF60" s="1" t="str">
        <f>IF(AND(Programme_Grunddaten!$A68="Geprüft",Programme_Grunddaten!AN68&lt;&gt;""),IF(Programme_Grunddaten!AN68="Ja",1,0),"")</f>
        <v/>
      </c>
      <c r="AG60" s="1" t="str">
        <f>IF(AND(Programme_Grunddaten!$A68="Geprüft",Programme_Grunddaten!AO68&lt;&gt;""),IF(Programme_Grunddaten!AO68="Ja",1,0),"")</f>
        <v/>
      </c>
      <c r="AH60" s="1" t="str">
        <f>IF(AND(Programme_Grunddaten!$A68="Geprüft",Programme_Grunddaten!AP68&lt;&gt;""),IF(Programme_Grunddaten!AP68="Ja",1,0),"")</f>
        <v/>
      </c>
      <c r="AI60" s="1" t="str">
        <f>IF(AND(Programme_Grunddaten!$A68="Geprüft",Programme_Grunddaten!AQ68&lt;&gt;""),IF(Programme_Grunddaten!AQ68="Ja",1,0),"")</f>
        <v/>
      </c>
      <c r="AJ60" s="1" t="str">
        <f>IF(AND(Programme_Grunddaten!$A68="Geprüft",Programme_Grunddaten!AR68&lt;&gt;""),IF(Programme_Grunddaten!AR68="Ja",1,0),"")</f>
        <v/>
      </c>
      <c r="AK60" s="1" t="str">
        <f>IF(AND(Programme_Grunddaten!$A68="Geprüft",Programme_Grunddaten!AS68&lt;&gt;""),IF(Programme_Grunddaten!AS68="Ja",1,0),"")</f>
        <v/>
      </c>
      <c r="AL60" s="1" t="str">
        <f>IF(AND(Programme_Grunddaten!$A68="Geprüft",Programme_Grunddaten!AT68&lt;&gt;""),IF(Programme_Grunddaten!AT68="Ja",1,0),"")</f>
        <v/>
      </c>
      <c r="AM60" s="1" t="str">
        <f>IF(AND(Programme_Grunddaten!$A68="Geprüft",Programme_Grunddaten!AU68&lt;&gt;""),IF(Programme_Grunddaten!AU68="Ja",1,0),"")</f>
        <v/>
      </c>
      <c r="AN60" s="1" t="str">
        <f>IF(AND(Programme_Grunddaten!$A68="Geprüft",Programme_Grunddaten!AV68&lt;&gt;""),IF(Programme_Grunddaten!AV68="Ja",1,0),"")</f>
        <v/>
      </c>
    </row>
    <row r="61" spans="1:40" x14ac:dyDescent="0.3">
      <c r="A61" s="1" t="str">
        <f>IF(AND(Programme_Grunddaten!A69="Geprüft",Programme_Grunddaten!B69&lt;&gt;""),Programme_Grunddaten!B69,"")</f>
        <v/>
      </c>
      <c r="B61" s="1" t="str">
        <f>IF(AND(Programme_Grunddaten!$A69="Geprüft",Programme_Grunddaten!I69&lt;&gt;""),IF(Programme_Grunddaten!I69="Ja",1,0),"")</f>
        <v/>
      </c>
      <c r="C61" s="1" t="str">
        <f>IF(AND(Programme_Grunddaten!$A69="Geprüft",Programme_Grunddaten!J69&lt;&gt;""),IF(Programme_Grunddaten!J69="Ja",1,0),"")</f>
        <v/>
      </c>
      <c r="D61" s="1" t="str">
        <f>IF(AND(Programme_Grunddaten!$A69="Geprüft",Programme_Grunddaten!K69&lt;&gt;""),IF(Programme_Grunddaten!K69="Ja",1,0),"")</f>
        <v/>
      </c>
      <c r="E61" s="1" t="str">
        <f>IF(AND(Programme_Grunddaten!$A69="Geprüft",Programme_Grunddaten!L69&lt;&gt;""),IF(Programme_Grunddaten!L69="Abo / befristete Lizenz",1,0),"")</f>
        <v/>
      </c>
      <c r="F61" s="1" t="str">
        <f>IF(AND(Programme_Grunddaten!$A69="Geprüft",Programme_Grunddaten!M69&lt;&gt;""),IF(Programme_Grunddaten!M69="Ja",1,0),"")</f>
        <v/>
      </c>
      <c r="G61" s="1" t="str">
        <f>IF(AND(Programme_Grunddaten!$A69="Geprüft",Programme_Grunddaten!N69&lt;&gt;""),IF(Programme_Grunddaten!N69="Ja",1,0),"")</f>
        <v/>
      </c>
      <c r="H61" s="1" t="str">
        <f>IF(AND(Programme_Grunddaten!$A69="Geprüft",Programme_Grunddaten!O69&lt;&gt;""),IF(Programme_Grunddaten!O69="Deutschland",0,IF(Programme_Grunddaten!O69="EU",1,2)),"")</f>
        <v/>
      </c>
      <c r="I61" s="1" t="str">
        <f>IF(AND(Programme_Grunddaten!$A69="Geprüft",Programme_Grunddaten!P69&lt;&gt;""),IF(Programme_Grunddaten!P69="Ja",1,0),"")</f>
        <v/>
      </c>
      <c r="J61" s="1" t="str">
        <f>IF(AND(Programme_Grunddaten!$A69="Geprüft",Programme_Grunddaten!Q69&lt;&gt;""),IF(Programme_Grunddaten!Q69="geschlossenes System",1,0),"")</f>
        <v/>
      </c>
      <c r="K61" s="1" t="str">
        <f>IF(AND(Programme_Grunddaten!$A69="Geprüft",Programme_Grunddaten!R69&lt;&gt;""),IF(Programme_Grunddaten!R69="Ja",1,0),"")</f>
        <v/>
      </c>
      <c r="L61" s="1" t="str">
        <f>IF(AND(Programme_Grunddaten!$A69="Geprüft",Programme_Grunddaten!T69&lt;&gt;""),IF(Programme_Grunddaten!T69="Ja",1,0),"")</f>
        <v/>
      </c>
      <c r="M61" s="1" t="str">
        <f>IF(AND(Programme_Grunddaten!$A69="Geprüft",Programme_Grunddaten!U69&lt;&gt;""),IF(Programme_Grunddaten!U69="Ja",1,0),"")</f>
        <v/>
      </c>
      <c r="N61" s="1" t="str">
        <f>IF(AND(Programme_Grunddaten!$A69="Geprüft",Programme_Grunddaten!V69&lt;&gt;""),IF(Programme_Grunddaten!V69="Ja",1,0),"")</f>
        <v/>
      </c>
      <c r="O61" s="1" t="str">
        <f>IF(AND(Programme_Grunddaten!$A69="Geprüft",Programme_Grunddaten!W69&lt;&gt;""),IF(Programme_Grunddaten!W69="Ja",1,0),"")</f>
        <v/>
      </c>
      <c r="P61" s="1" t="str">
        <f>IF(AND(Programme_Grunddaten!$A69="Geprüft",Programme_Grunddaten!X69&lt;&gt;""),IF(Programme_Grunddaten!X69="Ja",1,0),"")</f>
        <v/>
      </c>
      <c r="Q61" s="1" t="str">
        <f>IF(AND(Programme_Grunddaten!$A69="Geprüft",Programme_Grunddaten!Y69&lt;&gt;""),IF(Programme_Grunddaten!Y69="Ja",1,0),"")</f>
        <v/>
      </c>
      <c r="R61" s="1" t="str">
        <f>IF(AND(Programme_Grunddaten!$A69="Geprüft",Programme_Grunddaten!Z69&lt;&gt;""),IF(Programme_Grunddaten!Z69="Ja",1,0),"")</f>
        <v/>
      </c>
      <c r="S61" s="1" t="str">
        <f>IF(AND(Programme_Grunddaten!$A69="Geprüft",Programme_Grunddaten!AA69&lt;&gt;""),IF(Programme_Grunddaten!AA69="monolithisch",1,0),"")</f>
        <v/>
      </c>
      <c r="T61" s="1" t="str">
        <f>IF(AND(Programme_Grunddaten!$A69="Geprüft",Programme_Grunddaten!AB69&lt;&gt;""),IF(Programme_Grunddaten!AB69="Ja",1,0),"")</f>
        <v/>
      </c>
      <c r="U61" s="1" t="str">
        <f>IF(AND(Programme_Grunddaten!$A69="Geprüft",Programme_Grunddaten!AC69&lt;&gt;""),IF(Programme_Grunddaten!AC69="Ja",1,0),"")</f>
        <v/>
      </c>
      <c r="V61" s="1" t="str">
        <f>IF(AND(Programme_Grunddaten!$A69="Geprüft",Programme_Grunddaten!AD69&lt;&gt;""),IF(Programme_Grunddaten!AD69="Ja",1,0),"")</f>
        <v/>
      </c>
      <c r="W61" s="1" t="str">
        <f>IF(AND(Programme_Grunddaten!$A69="Geprüft",Programme_Grunddaten!AE69&lt;&gt;""),IF(Programme_Grunddaten!AE69="Ja",1,0),"")</f>
        <v/>
      </c>
      <c r="X61" s="1" t="str">
        <f>IF(AND(Programme_Grunddaten!$A69="Geprüft",Programme_Grunddaten!AF69&lt;&gt;""),IF(Programme_Grunddaten!AF69="Ja",1,0),"")</f>
        <v/>
      </c>
      <c r="Y61" s="1" t="str">
        <f>IF(AND(Programme_Grunddaten!$A69="Geprüft",Programme_Grunddaten!AG69&lt;&gt;""),IF(Programme_Grunddaten!AG69="Ja",1,0),"")</f>
        <v/>
      </c>
      <c r="Z61" s="1" t="str">
        <f>IF(AND(Programme_Grunddaten!$A69="Geprüft",Programme_Grunddaten!AH69&lt;&gt;""),IF(Programme_Grunddaten!AH69="Ja",1,0),"")</f>
        <v/>
      </c>
      <c r="AA61" s="1" t="str">
        <f>IF(AND(Programme_Grunddaten!$A69="Geprüft",Programme_Grunddaten!AI69&lt;&gt;""),IF(Programme_Grunddaten!AI69="Ja",1,0),"")</f>
        <v/>
      </c>
      <c r="AB61" s="1" t="str">
        <f>IF(AND(Programme_Grunddaten!$A69="Geprüft",Programme_Grunddaten!AJ69&lt;&gt;""),IF(Programme_Grunddaten!AJ69="individuell programmierbar",1,0),"")</f>
        <v/>
      </c>
      <c r="AC61" s="1" t="str">
        <f>IF(AND(Programme_Grunddaten!$A69="Geprüft",Programme_Grunddaten!AK69&lt;&gt;""),IF(Programme_Grunddaten!AK69="Deutsch",0,IF(Programme_Grunddaten!AK69="Deutsch und Englisch",1,2)),"")</f>
        <v/>
      </c>
      <c r="AD61" s="1" t="str">
        <f>IF(AND(Programme_Grunddaten!$A69="Geprüft",Programme_Grunddaten!AL69&lt;&gt;""),IF(Programme_Grunddaten!AL69="Ja",1,0),"")</f>
        <v/>
      </c>
      <c r="AE61" s="1" t="str">
        <f>IF(AND(Programme_Grunddaten!$A69="Geprüft",Programme_Grunddaten!AM69&lt;&gt;""),IF(Programme_Grunddaten!AM69="Ja",1,0),"")</f>
        <v/>
      </c>
      <c r="AF61" s="1" t="str">
        <f>IF(AND(Programme_Grunddaten!$A69="Geprüft",Programme_Grunddaten!AN69&lt;&gt;""),IF(Programme_Grunddaten!AN69="Ja",1,0),"")</f>
        <v/>
      </c>
      <c r="AG61" s="1" t="str">
        <f>IF(AND(Programme_Grunddaten!$A69="Geprüft",Programme_Grunddaten!AO69&lt;&gt;""),IF(Programme_Grunddaten!AO69="Ja",1,0),"")</f>
        <v/>
      </c>
      <c r="AH61" s="1" t="str">
        <f>IF(AND(Programme_Grunddaten!$A69="Geprüft",Programme_Grunddaten!AP69&lt;&gt;""),IF(Programme_Grunddaten!AP69="Ja",1,0),"")</f>
        <v/>
      </c>
      <c r="AI61" s="1" t="str">
        <f>IF(AND(Programme_Grunddaten!$A69="Geprüft",Programme_Grunddaten!AQ69&lt;&gt;""),IF(Programme_Grunddaten!AQ69="Ja",1,0),"")</f>
        <v/>
      </c>
      <c r="AJ61" s="1" t="str">
        <f>IF(AND(Programme_Grunddaten!$A69="Geprüft",Programme_Grunddaten!AR69&lt;&gt;""),IF(Programme_Grunddaten!AR69="Ja",1,0),"")</f>
        <v/>
      </c>
      <c r="AK61" s="1" t="str">
        <f>IF(AND(Programme_Grunddaten!$A69="Geprüft",Programme_Grunddaten!AS69&lt;&gt;""),IF(Programme_Grunddaten!AS69="Ja",1,0),"")</f>
        <v/>
      </c>
      <c r="AL61" s="1" t="str">
        <f>IF(AND(Programme_Grunddaten!$A69="Geprüft",Programme_Grunddaten!AT69&lt;&gt;""),IF(Programme_Grunddaten!AT69="Ja",1,0),"")</f>
        <v/>
      </c>
      <c r="AM61" s="1" t="str">
        <f>IF(AND(Programme_Grunddaten!$A69="Geprüft",Programme_Grunddaten!AU69&lt;&gt;""),IF(Programme_Grunddaten!AU69="Ja",1,0),"")</f>
        <v/>
      </c>
      <c r="AN61" s="1" t="str">
        <f>IF(AND(Programme_Grunddaten!$A69="Geprüft",Programme_Grunddaten!AV69&lt;&gt;""),IF(Programme_Grunddaten!AV69="Ja",1,0),"")</f>
        <v/>
      </c>
    </row>
    <row r="62" spans="1:40" x14ac:dyDescent="0.3">
      <c r="A62" s="1" t="str">
        <f>IF(AND(Programme_Grunddaten!A70="Geprüft",Programme_Grunddaten!B70&lt;&gt;""),Programme_Grunddaten!B70,"")</f>
        <v/>
      </c>
      <c r="B62" s="1" t="str">
        <f>IF(AND(Programme_Grunddaten!$A70="Geprüft",Programme_Grunddaten!I70&lt;&gt;""),IF(Programme_Grunddaten!I70="Ja",1,0),"")</f>
        <v/>
      </c>
      <c r="C62" s="1" t="str">
        <f>IF(AND(Programme_Grunddaten!$A70="Geprüft",Programme_Grunddaten!J70&lt;&gt;""),IF(Programme_Grunddaten!J70="Ja",1,0),"")</f>
        <v/>
      </c>
      <c r="D62" s="1" t="str">
        <f>IF(AND(Programme_Grunddaten!$A70="Geprüft",Programme_Grunddaten!K70&lt;&gt;""),IF(Programme_Grunddaten!K70="Ja",1,0),"")</f>
        <v/>
      </c>
      <c r="E62" s="1" t="str">
        <f>IF(AND(Programme_Grunddaten!$A70="Geprüft",Programme_Grunddaten!L70&lt;&gt;""),IF(Programme_Grunddaten!L70="Abo / befristete Lizenz",1,0),"")</f>
        <v/>
      </c>
      <c r="F62" s="1" t="str">
        <f>IF(AND(Programme_Grunddaten!$A70="Geprüft",Programme_Grunddaten!M70&lt;&gt;""),IF(Programme_Grunddaten!M70="Ja",1,0),"")</f>
        <v/>
      </c>
      <c r="G62" s="1" t="str">
        <f>IF(AND(Programme_Grunddaten!$A70="Geprüft",Programme_Grunddaten!N70&lt;&gt;""),IF(Programme_Grunddaten!N70="Ja",1,0),"")</f>
        <v/>
      </c>
      <c r="H62" s="1" t="str">
        <f>IF(AND(Programme_Grunddaten!$A70="Geprüft",Programme_Grunddaten!O70&lt;&gt;""),IF(Programme_Grunddaten!O70="Deutschland",0,IF(Programme_Grunddaten!O70="EU",1,2)),"")</f>
        <v/>
      </c>
      <c r="I62" s="1" t="str">
        <f>IF(AND(Programme_Grunddaten!$A70="Geprüft",Programme_Grunddaten!P70&lt;&gt;""),IF(Programme_Grunddaten!P70="Ja",1,0),"")</f>
        <v/>
      </c>
      <c r="J62" s="1" t="str">
        <f>IF(AND(Programme_Grunddaten!$A70="Geprüft",Programme_Grunddaten!Q70&lt;&gt;""),IF(Programme_Grunddaten!Q70="geschlossenes System",1,0),"")</f>
        <v/>
      </c>
      <c r="K62" s="1" t="str">
        <f>IF(AND(Programme_Grunddaten!$A70="Geprüft",Programme_Grunddaten!R70&lt;&gt;""),IF(Programme_Grunddaten!R70="Ja",1,0),"")</f>
        <v/>
      </c>
      <c r="L62" s="1" t="str">
        <f>IF(AND(Programme_Grunddaten!$A70="Geprüft",Programme_Grunddaten!T70&lt;&gt;""),IF(Programme_Grunddaten!T70="Ja",1,0),"")</f>
        <v/>
      </c>
      <c r="M62" s="1" t="str">
        <f>IF(AND(Programme_Grunddaten!$A70="Geprüft",Programme_Grunddaten!U70&lt;&gt;""),IF(Programme_Grunddaten!U70="Ja",1,0),"")</f>
        <v/>
      </c>
      <c r="N62" s="1" t="str">
        <f>IF(AND(Programme_Grunddaten!$A70="Geprüft",Programme_Grunddaten!V70&lt;&gt;""),IF(Programme_Grunddaten!V70="Ja",1,0),"")</f>
        <v/>
      </c>
      <c r="O62" s="1" t="str">
        <f>IF(AND(Programme_Grunddaten!$A70="Geprüft",Programme_Grunddaten!W70&lt;&gt;""),IF(Programme_Grunddaten!W70="Ja",1,0),"")</f>
        <v/>
      </c>
      <c r="P62" s="1" t="str">
        <f>IF(AND(Programme_Grunddaten!$A70="Geprüft",Programme_Grunddaten!X70&lt;&gt;""),IF(Programme_Grunddaten!X70="Ja",1,0),"")</f>
        <v/>
      </c>
      <c r="Q62" s="1" t="str">
        <f>IF(AND(Programme_Grunddaten!$A70="Geprüft",Programme_Grunddaten!Y70&lt;&gt;""),IF(Programme_Grunddaten!Y70="Ja",1,0),"")</f>
        <v/>
      </c>
      <c r="R62" s="1" t="str">
        <f>IF(AND(Programme_Grunddaten!$A70="Geprüft",Programme_Grunddaten!Z70&lt;&gt;""),IF(Programme_Grunddaten!Z70="Ja",1,0),"")</f>
        <v/>
      </c>
      <c r="S62" s="1" t="str">
        <f>IF(AND(Programme_Grunddaten!$A70="Geprüft",Programme_Grunddaten!AA70&lt;&gt;""),IF(Programme_Grunddaten!AA70="monolithisch",1,0),"")</f>
        <v/>
      </c>
      <c r="T62" s="1" t="str">
        <f>IF(AND(Programme_Grunddaten!$A70="Geprüft",Programme_Grunddaten!AB70&lt;&gt;""),IF(Programme_Grunddaten!AB70="Ja",1,0),"")</f>
        <v/>
      </c>
      <c r="U62" s="1" t="str">
        <f>IF(AND(Programme_Grunddaten!$A70="Geprüft",Programme_Grunddaten!AC70&lt;&gt;""),IF(Programme_Grunddaten!AC70="Ja",1,0),"")</f>
        <v/>
      </c>
      <c r="V62" s="1" t="str">
        <f>IF(AND(Programme_Grunddaten!$A70="Geprüft",Programme_Grunddaten!AD70&lt;&gt;""),IF(Programme_Grunddaten!AD70="Ja",1,0),"")</f>
        <v/>
      </c>
      <c r="W62" s="1" t="str">
        <f>IF(AND(Programme_Grunddaten!$A70="Geprüft",Programme_Grunddaten!AE70&lt;&gt;""),IF(Programme_Grunddaten!AE70="Ja",1,0),"")</f>
        <v/>
      </c>
      <c r="X62" s="1" t="str">
        <f>IF(AND(Programme_Grunddaten!$A70="Geprüft",Programme_Grunddaten!AF70&lt;&gt;""),IF(Programme_Grunddaten!AF70="Ja",1,0),"")</f>
        <v/>
      </c>
      <c r="Y62" s="1" t="str">
        <f>IF(AND(Programme_Grunddaten!$A70="Geprüft",Programme_Grunddaten!AG70&lt;&gt;""),IF(Programme_Grunddaten!AG70="Ja",1,0),"")</f>
        <v/>
      </c>
      <c r="Z62" s="1" t="str">
        <f>IF(AND(Programme_Grunddaten!$A70="Geprüft",Programme_Grunddaten!AH70&lt;&gt;""),IF(Programme_Grunddaten!AH70="Ja",1,0),"")</f>
        <v/>
      </c>
      <c r="AA62" s="1" t="str">
        <f>IF(AND(Programme_Grunddaten!$A70="Geprüft",Programme_Grunddaten!AI70&lt;&gt;""),IF(Programme_Grunddaten!AI70="Ja",1,0),"")</f>
        <v/>
      </c>
      <c r="AB62" s="1" t="str">
        <f>IF(AND(Programme_Grunddaten!$A70="Geprüft",Programme_Grunddaten!AJ70&lt;&gt;""),IF(Programme_Grunddaten!AJ70="individuell programmierbar",1,0),"")</f>
        <v/>
      </c>
      <c r="AC62" s="1" t="str">
        <f>IF(AND(Programme_Grunddaten!$A70="Geprüft",Programme_Grunddaten!AK70&lt;&gt;""),IF(Programme_Grunddaten!AK70="Deutsch",0,IF(Programme_Grunddaten!AK70="Deutsch und Englisch",1,2)),"")</f>
        <v/>
      </c>
      <c r="AD62" s="1" t="str">
        <f>IF(AND(Programme_Grunddaten!$A70="Geprüft",Programme_Grunddaten!AL70&lt;&gt;""),IF(Programme_Grunddaten!AL70="Ja",1,0),"")</f>
        <v/>
      </c>
      <c r="AE62" s="1" t="str">
        <f>IF(AND(Programme_Grunddaten!$A70="Geprüft",Programme_Grunddaten!AM70&lt;&gt;""),IF(Programme_Grunddaten!AM70="Ja",1,0),"")</f>
        <v/>
      </c>
      <c r="AF62" s="1" t="str">
        <f>IF(AND(Programme_Grunddaten!$A70="Geprüft",Programme_Grunddaten!AN70&lt;&gt;""),IF(Programme_Grunddaten!AN70="Ja",1,0),"")</f>
        <v/>
      </c>
      <c r="AG62" s="1" t="str">
        <f>IF(AND(Programme_Grunddaten!$A70="Geprüft",Programme_Grunddaten!AO70&lt;&gt;""),IF(Programme_Grunddaten!AO70="Ja",1,0),"")</f>
        <v/>
      </c>
      <c r="AH62" s="1" t="str">
        <f>IF(AND(Programme_Grunddaten!$A70="Geprüft",Programme_Grunddaten!AP70&lt;&gt;""),IF(Programme_Grunddaten!AP70="Ja",1,0),"")</f>
        <v/>
      </c>
      <c r="AI62" s="1" t="str">
        <f>IF(AND(Programme_Grunddaten!$A70="Geprüft",Programme_Grunddaten!AQ70&lt;&gt;""),IF(Programme_Grunddaten!AQ70="Ja",1,0),"")</f>
        <v/>
      </c>
      <c r="AJ62" s="1" t="str">
        <f>IF(AND(Programme_Grunddaten!$A70="Geprüft",Programme_Grunddaten!AR70&lt;&gt;""),IF(Programme_Grunddaten!AR70="Ja",1,0),"")</f>
        <v/>
      </c>
      <c r="AK62" s="1" t="str">
        <f>IF(AND(Programme_Grunddaten!$A70="Geprüft",Programme_Grunddaten!AS70&lt;&gt;""),IF(Programme_Grunddaten!AS70="Ja",1,0),"")</f>
        <v/>
      </c>
      <c r="AL62" s="1" t="str">
        <f>IF(AND(Programme_Grunddaten!$A70="Geprüft",Programme_Grunddaten!AT70&lt;&gt;""),IF(Programme_Grunddaten!AT70="Ja",1,0),"")</f>
        <v/>
      </c>
      <c r="AM62" s="1" t="str">
        <f>IF(AND(Programme_Grunddaten!$A70="Geprüft",Programme_Grunddaten!AU70&lt;&gt;""),IF(Programme_Grunddaten!AU70="Ja",1,0),"")</f>
        <v/>
      </c>
      <c r="AN62" s="1" t="str">
        <f>IF(AND(Programme_Grunddaten!$A70="Geprüft",Programme_Grunddaten!AV70&lt;&gt;""),IF(Programme_Grunddaten!AV70="Ja",1,0),"")</f>
        <v/>
      </c>
    </row>
    <row r="63" spans="1:40" x14ac:dyDescent="0.3">
      <c r="A63" s="1" t="str">
        <f>IF(AND(Programme_Grunddaten!A71="Geprüft",Programme_Grunddaten!B71&lt;&gt;""),Programme_Grunddaten!B71,"")</f>
        <v/>
      </c>
      <c r="B63" s="1" t="str">
        <f>IF(AND(Programme_Grunddaten!$A71="Geprüft",Programme_Grunddaten!I71&lt;&gt;""),IF(Programme_Grunddaten!I71="Ja",1,0),"")</f>
        <v/>
      </c>
      <c r="C63" s="1" t="str">
        <f>IF(AND(Programme_Grunddaten!$A71="Geprüft",Programme_Grunddaten!J71&lt;&gt;""),IF(Programme_Grunddaten!J71="Ja",1,0),"")</f>
        <v/>
      </c>
      <c r="D63" s="1" t="str">
        <f>IF(AND(Programme_Grunddaten!$A71="Geprüft",Programme_Grunddaten!K71&lt;&gt;""),IF(Programme_Grunddaten!K71="Ja",1,0),"")</f>
        <v/>
      </c>
      <c r="E63" s="1" t="str">
        <f>IF(AND(Programme_Grunddaten!$A71="Geprüft",Programme_Grunddaten!L71&lt;&gt;""),IF(Programme_Grunddaten!L71="Abo / befristete Lizenz",1,0),"")</f>
        <v/>
      </c>
      <c r="F63" s="1" t="str">
        <f>IF(AND(Programme_Grunddaten!$A71="Geprüft",Programme_Grunddaten!M71&lt;&gt;""),IF(Programme_Grunddaten!M71="Ja",1,0),"")</f>
        <v/>
      </c>
      <c r="G63" s="1" t="str">
        <f>IF(AND(Programme_Grunddaten!$A71="Geprüft",Programme_Grunddaten!N71&lt;&gt;""),IF(Programme_Grunddaten!N71="Ja",1,0),"")</f>
        <v/>
      </c>
      <c r="H63" s="1" t="str">
        <f>IF(AND(Programme_Grunddaten!$A71="Geprüft",Programme_Grunddaten!O71&lt;&gt;""),IF(Programme_Grunddaten!O71="Deutschland",0,IF(Programme_Grunddaten!O71="EU",1,2)),"")</f>
        <v/>
      </c>
      <c r="I63" s="1" t="str">
        <f>IF(AND(Programme_Grunddaten!$A71="Geprüft",Programme_Grunddaten!P71&lt;&gt;""),IF(Programme_Grunddaten!P71="Ja",1,0),"")</f>
        <v/>
      </c>
      <c r="J63" s="1" t="str">
        <f>IF(AND(Programme_Grunddaten!$A71="Geprüft",Programme_Grunddaten!Q71&lt;&gt;""),IF(Programme_Grunddaten!Q71="geschlossenes System",1,0),"")</f>
        <v/>
      </c>
      <c r="K63" s="1" t="str">
        <f>IF(AND(Programme_Grunddaten!$A71="Geprüft",Programme_Grunddaten!R71&lt;&gt;""),IF(Programme_Grunddaten!R71="Ja",1,0),"")</f>
        <v/>
      </c>
      <c r="L63" s="1" t="str">
        <f>IF(AND(Programme_Grunddaten!$A71="Geprüft",Programme_Grunddaten!T71&lt;&gt;""),IF(Programme_Grunddaten!T71="Ja",1,0),"")</f>
        <v/>
      </c>
      <c r="M63" s="1" t="str">
        <f>IF(AND(Programme_Grunddaten!$A71="Geprüft",Programme_Grunddaten!U71&lt;&gt;""),IF(Programme_Grunddaten!U71="Ja",1,0),"")</f>
        <v/>
      </c>
      <c r="N63" s="1" t="str">
        <f>IF(AND(Programme_Grunddaten!$A71="Geprüft",Programme_Grunddaten!V71&lt;&gt;""),IF(Programme_Grunddaten!V71="Ja",1,0),"")</f>
        <v/>
      </c>
      <c r="O63" s="1" t="str">
        <f>IF(AND(Programme_Grunddaten!$A71="Geprüft",Programme_Grunddaten!W71&lt;&gt;""),IF(Programme_Grunddaten!W71="Ja",1,0),"")</f>
        <v/>
      </c>
      <c r="P63" s="1" t="str">
        <f>IF(AND(Programme_Grunddaten!$A71="Geprüft",Programme_Grunddaten!X71&lt;&gt;""),IF(Programme_Grunddaten!X71="Ja",1,0),"")</f>
        <v/>
      </c>
      <c r="Q63" s="1" t="str">
        <f>IF(AND(Programme_Grunddaten!$A71="Geprüft",Programme_Grunddaten!Y71&lt;&gt;""),IF(Programme_Grunddaten!Y71="Ja",1,0),"")</f>
        <v/>
      </c>
      <c r="R63" s="1" t="str">
        <f>IF(AND(Programme_Grunddaten!$A71="Geprüft",Programme_Grunddaten!Z71&lt;&gt;""),IF(Programme_Grunddaten!Z71="Ja",1,0),"")</f>
        <v/>
      </c>
      <c r="S63" s="1" t="str">
        <f>IF(AND(Programme_Grunddaten!$A71="Geprüft",Programme_Grunddaten!AA71&lt;&gt;""),IF(Programme_Grunddaten!AA71="monolithisch",1,0),"")</f>
        <v/>
      </c>
      <c r="T63" s="1" t="str">
        <f>IF(AND(Programme_Grunddaten!$A71="Geprüft",Programme_Grunddaten!AB71&lt;&gt;""),IF(Programme_Grunddaten!AB71="Ja",1,0),"")</f>
        <v/>
      </c>
      <c r="U63" s="1" t="str">
        <f>IF(AND(Programme_Grunddaten!$A71="Geprüft",Programme_Grunddaten!AC71&lt;&gt;""),IF(Programme_Grunddaten!AC71="Ja",1,0),"")</f>
        <v/>
      </c>
      <c r="V63" s="1" t="str">
        <f>IF(AND(Programme_Grunddaten!$A71="Geprüft",Programme_Grunddaten!AD71&lt;&gt;""),IF(Programme_Grunddaten!AD71="Ja",1,0),"")</f>
        <v/>
      </c>
      <c r="W63" s="1" t="str">
        <f>IF(AND(Programme_Grunddaten!$A71="Geprüft",Programme_Grunddaten!AE71&lt;&gt;""),IF(Programme_Grunddaten!AE71="Ja",1,0),"")</f>
        <v/>
      </c>
      <c r="X63" s="1" t="str">
        <f>IF(AND(Programme_Grunddaten!$A71="Geprüft",Programme_Grunddaten!AF71&lt;&gt;""),IF(Programme_Grunddaten!AF71="Ja",1,0),"")</f>
        <v/>
      </c>
      <c r="Y63" s="1" t="str">
        <f>IF(AND(Programme_Grunddaten!$A71="Geprüft",Programme_Grunddaten!AG71&lt;&gt;""),IF(Programme_Grunddaten!AG71="Ja",1,0),"")</f>
        <v/>
      </c>
      <c r="Z63" s="1" t="str">
        <f>IF(AND(Programme_Grunddaten!$A71="Geprüft",Programme_Grunddaten!AH71&lt;&gt;""),IF(Programme_Grunddaten!AH71="Ja",1,0),"")</f>
        <v/>
      </c>
      <c r="AA63" s="1" t="str">
        <f>IF(AND(Programme_Grunddaten!$A71="Geprüft",Programme_Grunddaten!AI71&lt;&gt;""),IF(Programme_Grunddaten!AI71="Ja",1,0),"")</f>
        <v/>
      </c>
      <c r="AB63" s="1" t="str">
        <f>IF(AND(Programme_Grunddaten!$A71="Geprüft",Programme_Grunddaten!AJ71&lt;&gt;""),IF(Programme_Grunddaten!AJ71="individuell programmierbar",1,0),"")</f>
        <v/>
      </c>
      <c r="AC63" s="1" t="str">
        <f>IF(AND(Programme_Grunddaten!$A71="Geprüft",Programme_Grunddaten!AK71&lt;&gt;""),IF(Programme_Grunddaten!AK71="Deutsch",0,IF(Programme_Grunddaten!AK71="Deutsch und Englisch",1,2)),"")</f>
        <v/>
      </c>
      <c r="AD63" s="1" t="str">
        <f>IF(AND(Programme_Grunddaten!$A71="Geprüft",Programme_Grunddaten!AL71&lt;&gt;""),IF(Programme_Grunddaten!AL71="Ja",1,0),"")</f>
        <v/>
      </c>
      <c r="AE63" s="1" t="str">
        <f>IF(AND(Programme_Grunddaten!$A71="Geprüft",Programme_Grunddaten!AM71&lt;&gt;""),IF(Programme_Grunddaten!AM71="Ja",1,0),"")</f>
        <v/>
      </c>
      <c r="AF63" s="1" t="str">
        <f>IF(AND(Programme_Grunddaten!$A71="Geprüft",Programme_Grunddaten!AN71&lt;&gt;""),IF(Programme_Grunddaten!AN71="Ja",1,0),"")</f>
        <v/>
      </c>
      <c r="AG63" s="1" t="str">
        <f>IF(AND(Programme_Grunddaten!$A71="Geprüft",Programme_Grunddaten!AO71&lt;&gt;""),IF(Programme_Grunddaten!AO71="Ja",1,0),"")</f>
        <v/>
      </c>
      <c r="AH63" s="1" t="str">
        <f>IF(AND(Programme_Grunddaten!$A71="Geprüft",Programme_Grunddaten!AP71&lt;&gt;""),IF(Programme_Grunddaten!AP71="Ja",1,0),"")</f>
        <v/>
      </c>
      <c r="AI63" s="1" t="str">
        <f>IF(AND(Programme_Grunddaten!$A71="Geprüft",Programme_Grunddaten!AQ71&lt;&gt;""),IF(Programme_Grunddaten!AQ71="Ja",1,0),"")</f>
        <v/>
      </c>
      <c r="AJ63" s="1" t="str">
        <f>IF(AND(Programme_Grunddaten!$A71="Geprüft",Programme_Grunddaten!AR71&lt;&gt;""),IF(Programme_Grunddaten!AR71="Ja",1,0),"")</f>
        <v/>
      </c>
      <c r="AK63" s="1" t="str">
        <f>IF(AND(Programme_Grunddaten!$A71="Geprüft",Programme_Grunddaten!AS71&lt;&gt;""),IF(Programme_Grunddaten!AS71="Ja",1,0),"")</f>
        <v/>
      </c>
      <c r="AL63" s="1" t="str">
        <f>IF(AND(Programme_Grunddaten!$A71="Geprüft",Programme_Grunddaten!AT71&lt;&gt;""),IF(Programme_Grunddaten!AT71="Ja",1,0),"")</f>
        <v/>
      </c>
      <c r="AM63" s="1" t="str">
        <f>IF(AND(Programme_Grunddaten!$A71="Geprüft",Programme_Grunddaten!AU71&lt;&gt;""),IF(Programme_Grunddaten!AU71="Ja",1,0),"")</f>
        <v/>
      </c>
      <c r="AN63" s="1" t="str">
        <f>IF(AND(Programme_Grunddaten!$A71="Geprüft",Programme_Grunddaten!AV71&lt;&gt;""),IF(Programme_Grunddaten!AV71="Ja",1,0),"")</f>
        <v/>
      </c>
    </row>
    <row r="64" spans="1:40" x14ac:dyDescent="0.3">
      <c r="A64" s="1" t="str">
        <f>IF(AND(Programme_Grunddaten!A72="Geprüft",Programme_Grunddaten!B72&lt;&gt;""),Programme_Grunddaten!B72,"")</f>
        <v/>
      </c>
      <c r="B64" s="1" t="str">
        <f>IF(AND(Programme_Grunddaten!$A72="Geprüft",Programme_Grunddaten!I72&lt;&gt;""),IF(Programme_Grunddaten!I72="Ja",1,0),"")</f>
        <v/>
      </c>
      <c r="C64" s="1" t="str">
        <f>IF(AND(Programme_Grunddaten!$A72="Geprüft",Programme_Grunddaten!J72&lt;&gt;""),IF(Programme_Grunddaten!J72="Ja",1,0),"")</f>
        <v/>
      </c>
      <c r="D64" s="1" t="str">
        <f>IF(AND(Programme_Grunddaten!$A72="Geprüft",Programme_Grunddaten!K72&lt;&gt;""),IF(Programme_Grunddaten!K72="Ja",1,0),"")</f>
        <v/>
      </c>
      <c r="E64" s="1" t="str">
        <f>IF(AND(Programme_Grunddaten!$A72="Geprüft",Programme_Grunddaten!L72&lt;&gt;""),IF(Programme_Grunddaten!L72="Abo / befristete Lizenz",1,0),"")</f>
        <v/>
      </c>
      <c r="F64" s="1" t="str">
        <f>IF(AND(Programme_Grunddaten!$A72="Geprüft",Programme_Grunddaten!M72&lt;&gt;""),IF(Programme_Grunddaten!M72="Ja",1,0),"")</f>
        <v/>
      </c>
      <c r="G64" s="1" t="str">
        <f>IF(AND(Programme_Grunddaten!$A72="Geprüft",Programme_Grunddaten!N72&lt;&gt;""),IF(Programme_Grunddaten!N72="Ja",1,0),"")</f>
        <v/>
      </c>
      <c r="H64" s="1" t="str">
        <f>IF(AND(Programme_Grunddaten!$A72="Geprüft",Programme_Grunddaten!O72&lt;&gt;""),IF(Programme_Grunddaten!O72="Deutschland",0,IF(Programme_Grunddaten!O72="EU",1,2)),"")</f>
        <v/>
      </c>
      <c r="I64" s="1" t="str">
        <f>IF(AND(Programme_Grunddaten!$A72="Geprüft",Programme_Grunddaten!P72&lt;&gt;""),IF(Programme_Grunddaten!P72="Ja",1,0),"")</f>
        <v/>
      </c>
      <c r="J64" s="1" t="str">
        <f>IF(AND(Programme_Grunddaten!$A72="Geprüft",Programme_Grunddaten!Q72&lt;&gt;""),IF(Programme_Grunddaten!Q72="geschlossenes System",1,0),"")</f>
        <v/>
      </c>
      <c r="K64" s="1" t="str">
        <f>IF(AND(Programme_Grunddaten!$A72="Geprüft",Programme_Grunddaten!R72&lt;&gt;""),IF(Programme_Grunddaten!R72="Ja",1,0),"")</f>
        <v/>
      </c>
      <c r="L64" s="1" t="str">
        <f>IF(AND(Programme_Grunddaten!$A72="Geprüft",Programme_Grunddaten!T72&lt;&gt;""),IF(Programme_Grunddaten!T72="Ja",1,0),"")</f>
        <v/>
      </c>
      <c r="M64" s="1" t="str">
        <f>IF(AND(Programme_Grunddaten!$A72="Geprüft",Programme_Grunddaten!U72&lt;&gt;""),IF(Programme_Grunddaten!U72="Ja",1,0),"")</f>
        <v/>
      </c>
      <c r="N64" s="1" t="str">
        <f>IF(AND(Programme_Grunddaten!$A72="Geprüft",Programme_Grunddaten!V72&lt;&gt;""),IF(Programme_Grunddaten!V72="Ja",1,0),"")</f>
        <v/>
      </c>
      <c r="O64" s="1" t="str">
        <f>IF(AND(Programme_Grunddaten!$A72="Geprüft",Programme_Grunddaten!W72&lt;&gt;""),IF(Programme_Grunddaten!W72="Ja",1,0),"")</f>
        <v/>
      </c>
      <c r="P64" s="1" t="str">
        <f>IF(AND(Programme_Grunddaten!$A72="Geprüft",Programme_Grunddaten!X72&lt;&gt;""),IF(Programme_Grunddaten!X72="Ja",1,0),"")</f>
        <v/>
      </c>
      <c r="Q64" s="1" t="str">
        <f>IF(AND(Programme_Grunddaten!$A72="Geprüft",Programme_Grunddaten!Y72&lt;&gt;""),IF(Programme_Grunddaten!Y72="Ja",1,0),"")</f>
        <v/>
      </c>
      <c r="R64" s="1" t="str">
        <f>IF(AND(Programme_Grunddaten!$A72="Geprüft",Programme_Grunddaten!Z72&lt;&gt;""),IF(Programme_Grunddaten!Z72="Ja",1,0),"")</f>
        <v/>
      </c>
      <c r="S64" s="1" t="str">
        <f>IF(AND(Programme_Grunddaten!$A72="Geprüft",Programme_Grunddaten!AA72&lt;&gt;""),IF(Programme_Grunddaten!AA72="monolithisch",1,0),"")</f>
        <v/>
      </c>
      <c r="T64" s="1" t="str">
        <f>IF(AND(Programme_Grunddaten!$A72="Geprüft",Programme_Grunddaten!AB72&lt;&gt;""),IF(Programme_Grunddaten!AB72="Ja",1,0),"")</f>
        <v/>
      </c>
      <c r="U64" s="1" t="str">
        <f>IF(AND(Programme_Grunddaten!$A72="Geprüft",Programme_Grunddaten!AC72&lt;&gt;""),IF(Programme_Grunddaten!AC72="Ja",1,0),"")</f>
        <v/>
      </c>
      <c r="V64" s="1" t="str">
        <f>IF(AND(Programme_Grunddaten!$A72="Geprüft",Programme_Grunddaten!AD72&lt;&gt;""),IF(Programme_Grunddaten!AD72="Ja",1,0),"")</f>
        <v/>
      </c>
      <c r="W64" s="1" t="str">
        <f>IF(AND(Programme_Grunddaten!$A72="Geprüft",Programme_Grunddaten!AE72&lt;&gt;""),IF(Programme_Grunddaten!AE72="Ja",1,0),"")</f>
        <v/>
      </c>
      <c r="X64" s="1" t="str">
        <f>IF(AND(Programme_Grunddaten!$A72="Geprüft",Programme_Grunddaten!AF72&lt;&gt;""),IF(Programme_Grunddaten!AF72="Ja",1,0),"")</f>
        <v/>
      </c>
      <c r="Y64" s="1" t="str">
        <f>IF(AND(Programme_Grunddaten!$A72="Geprüft",Programme_Grunddaten!AG72&lt;&gt;""),IF(Programme_Grunddaten!AG72="Ja",1,0),"")</f>
        <v/>
      </c>
      <c r="Z64" s="1" t="str">
        <f>IF(AND(Programme_Grunddaten!$A72="Geprüft",Programme_Grunddaten!AH72&lt;&gt;""),IF(Programme_Grunddaten!AH72="Ja",1,0),"")</f>
        <v/>
      </c>
      <c r="AA64" s="1" t="str">
        <f>IF(AND(Programme_Grunddaten!$A72="Geprüft",Programme_Grunddaten!AI72&lt;&gt;""),IF(Programme_Grunddaten!AI72="Ja",1,0),"")</f>
        <v/>
      </c>
      <c r="AB64" s="1" t="str">
        <f>IF(AND(Programme_Grunddaten!$A72="Geprüft",Programme_Grunddaten!AJ72&lt;&gt;""),IF(Programme_Grunddaten!AJ72="individuell programmierbar",1,0),"")</f>
        <v/>
      </c>
      <c r="AC64" s="1" t="str">
        <f>IF(AND(Programme_Grunddaten!$A72="Geprüft",Programme_Grunddaten!AK72&lt;&gt;""),IF(Programme_Grunddaten!AK72="Deutsch",0,IF(Programme_Grunddaten!AK72="Deutsch und Englisch",1,2)),"")</f>
        <v/>
      </c>
      <c r="AD64" s="1" t="str">
        <f>IF(AND(Programme_Grunddaten!$A72="Geprüft",Programme_Grunddaten!AL72&lt;&gt;""),IF(Programme_Grunddaten!AL72="Ja",1,0),"")</f>
        <v/>
      </c>
      <c r="AE64" s="1" t="str">
        <f>IF(AND(Programme_Grunddaten!$A72="Geprüft",Programme_Grunddaten!AM72&lt;&gt;""),IF(Programme_Grunddaten!AM72="Ja",1,0),"")</f>
        <v/>
      </c>
      <c r="AF64" s="1" t="str">
        <f>IF(AND(Programme_Grunddaten!$A72="Geprüft",Programme_Grunddaten!AN72&lt;&gt;""),IF(Programme_Grunddaten!AN72="Ja",1,0),"")</f>
        <v/>
      </c>
      <c r="AG64" s="1" t="str">
        <f>IF(AND(Programme_Grunddaten!$A72="Geprüft",Programme_Grunddaten!AO72&lt;&gt;""),IF(Programme_Grunddaten!AO72="Ja",1,0),"")</f>
        <v/>
      </c>
      <c r="AH64" s="1" t="str">
        <f>IF(AND(Programme_Grunddaten!$A72="Geprüft",Programme_Grunddaten!AP72&lt;&gt;""),IF(Programme_Grunddaten!AP72="Ja",1,0),"")</f>
        <v/>
      </c>
      <c r="AI64" s="1" t="str">
        <f>IF(AND(Programme_Grunddaten!$A72="Geprüft",Programme_Grunddaten!AQ72&lt;&gt;""),IF(Programme_Grunddaten!AQ72="Ja",1,0),"")</f>
        <v/>
      </c>
      <c r="AJ64" s="1" t="str">
        <f>IF(AND(Programme_Grunddaten!$A72="Geprüft",Programme_Grunddaten!AR72&lt;&gt;""),IF(Programme_Grunddaten!AR72="Ja",1,0),"")</f>
        <v/>
      </c>
      <c r="AK64" s="1" t="str">
        <f>IF(AND(Programme_Grunddaten!$A72="Geprüft",Programme_Grunddaten!AS72&lt;&gt;""),IF(Programme_Grunddaten!AS72="Ja",1,0),"")</f>
        <v/>
      </c>
      <c r="AL64" s="1" t="str">
        <f>IF(AND(Programme_Grunddaten!$A72="Geprüft",Programme_Grunddaten!AT72&lt;&gt;""),IF(Programme_Grunddaten!AT72="Ja",1,0),"")</f>
        <v/>
      </c>
      <c r="AM64" s="1" t="str">
        <f>IF(AND(Programme_Grunddaten!$A72="Geprüft",Programme_Grunddaten!AU72&lt;&gt;""),IF(Programme_Grunddaten!AU72="Ja",1,0),"")</f>
        <v/>
      </c>
      <c r="AN64" s="1" t="str">
        <f>IF(AND(Programme_Grunddaten!$A72="Geprüft",Programme_Grunddaten!AV72&lt;&gt;""),IF(Programme_Grunddaten!AV72="Ja",1,0),"")</f>
        <v/>
      </c>
    </row>
    <row r="65" spans="1:40" x14ac:dyDescent="0.3">
      <c r="A65" s="1" t="str">
        <f>IF(AND(Programme_Grunddaten!A73="Geprüft",Programme_Grunddaten!B73&lt;&gt;""),Programme_Grunddaten!B73,"")</f>
        <v/>
      </c>
      <c r="B65" s="1" t="str">
        <f>IF(AND(Programme_Grunddaten!$A73="Geprüft",Programme_Grunddaten!I73&lt;&gt;""),IF(Programme_Grunddaten!I73="Ja",1,0),"")</f>
        <v/>
      </c>
      <c r="C65" s="1" t="str">
        <f>IF(AND(Programme_Grunddaten!$A73="Geprüft",Programme_Grunddaten!J73&lt;&gt;""),IF(Programme_Grunddaten!J73="Ja",1,0),"")</f>
        <v/>
      </c>
      <c r="D65" s="1" t="str">
        <f>IF(AND(Programme_Grunddaten!$A73="Geprüft",Programme_Grunddaten!K73&lt;&gt;""),IF(Programme_Grunddaten!K73="Ja",1,0),"")</f>
        <v/>
      </c>
      <c r="E65" s="1" t="str">
        <f>IF(AND(Programme_Grunddaten!$A73="Geprüft",Programme_Grunddaten!L73&lt;&gt;""),IF(Programme_Grunddaten!L73="Abo / befristete Lizenz",1,0),"")</f>
        <v/>
      </c>
      <c r="F65" s="1" t="str">
        <f>IF(AND(Programme_Grunddaten!$A73="Geprüft",Programme_Grunddaten!M73&lt;&gt;""),IF(Programme_Grunddaten!M73="Ja",1,0),"")</f>
        <v/>
      </c>
      <c r="G65" s="1" t="str">
        <f>IF(AND(Programme_Grunddaten!$A73="Geprüft",Programme_Grunddaten!N73&lt;&gt;""),IF(Programme_Grunddaten!N73="Ja",1,0),"")</f>
        <v/>
      </c>
      <c r="H65" s="1" t="str">
        <f>IF(AND(Programme_Grunddaten!$A73="Geprüft",Programme_Grunddaten!O73&lt;&gt;""),IF(Programme_Grunddaten!O73="Deutschland",0,IF(Programme_Grunddaten!O73="EU",1,2)),"")</f>
        <v/>
      </c>
      <c r="I65" s="1" t="str">
        <f>IF(AND(Programme_Grunddaten!$A73="Geprüft",Programme_Grunddaten!P73&lt;&gt;""),IF(Programme_Grunddaten!P73="Ja",1,0),"")</f>
        <v/>
      </c>
      <c r="J65" s="1" t="str">
        <f>IF(AND(Programme_Grunddaten!$A73="Geprüft",Programme_Grunddaten!Q73&lt;&gt;""),IF(Programme_Grunddaten!Q73="geschlossenes System",1,0),"")</f>
        <v/>
      </c>
      <c r="K65" s="1" t="str">
        <f>IF(AND(Programme_Grunddaten!$A73="Geprüft",Programme_Grunddaten!R73&lt;&gt;""),IF(Programme_Grunddaten!R73="Ja",1,0),"")</f>
        <v/>
      </c>
      <c r="L65" s="1" t="str">
        <f>IF(AND(Programme_Grunddaten!$A73="Geprüft",Programme_Grunddaten!T73&lt;&gt;""),IF(Programme_Grunddaten!T73="Ja",1,0),"")</f>
        <v/>
      </c>
      <c r="M65" s="1" t="str">
        <f>IF(AND(Programme_Grunddaten!$A73="Geprüft",Programme_Grunddaten!U73&lt;&gt;""),IF(Programme_Grunddaten!U73="Ja",1,0),"")</f>
        <v/>
      </c>
      <c r="N65" s="1" t="str">
        <f>IF(AND(Programme_Grunddaten!$A73="Geprüft",Programme_Grunddaten!V73&lt;&gt;""),IF(Programme_Grunddaten!V73="Ja",1,0),"")</f>
        <v/>
      </c>
      <c r="O65" s="1" t="str">
        <f>IF(AND(Programme_Grunddaten!$A73="Geprüft",Programme_Grunddaten!W73&lt;&gt;""),IF(Programme_Grunddaten!W73="Ja",1,0),"")</f>
        <v/>
      </c>
      <c r="P65" s="1" t="str">
        <f>IF(AND(Programme_Grunddaten!$A73="Geprüft",Programme_Grunddaten!X73&lt;&gt;""),IF(Programme_Grunddaten!X73="Ja",1,0),"")</f>
        <v/>
      </c>
      <c r="Q65" s="1" t="str">
        <f>IF(AND(Programme_Grunddaten!$A73="Geprüft",Programme_Grunddaten!Y73&lt;&gt;""),IF(Programme_Grunddaten!Y73="Ja",1,0),"")</f>
        <v/>
      </c>
      <c r="R65" s="1" t="str">
        <f>IF(AND(Programme_Grunddaten!$A73="Geprüft",Programme_Grunddaten!Z73&lt;&gt;""),IF(Programme_Grunddaten!Z73="Ja",1,0),"")</f>
        <v/>
      </c>
      <c r="S65" s="1" t="str">
        <f>IF(AND(Programme_Grunddaten!$A73="Geprüft",Programme_Grunddaten!AA73&lt;&gt;""),IF(Programme_Grunddaten!AA73="monolithisch",1,0),"")</f>
        <v/>
      </c>
      <c r="T65" s="1" t="str">
        <f>IF(AND(Programme_Grunddaten!$A73="Geprüft",Programme_Grunddaten!AB73&lt;&gt;""),IF(Programme_Grunddaten!AB73="Ja",1,0),"")</f>
        <v/>
      </c>
      <c r="U65" s="1" t="str">
        <f>IF(AND(Programme_Grunddaten!$A73="Geprüft",Programme_Grunddaten!AC73&lt;&gt;""),IF(Programme_Grunddaten!AC73="Ja",1,0),"")</f>
        <v/>
      </c>
      <c r="V65" s="1" t="str">
        <f>IF(AND(Programme_Grunddaten!$A73="Geprüft",Programme_Grunddaten!AD73&lt;&gt;""),IF(Programme_Grunddaten!AD73="Ja",1,0),"")</f>
        <v/>
      </c>
      <c r="W65" s="1" t="str">
        <f>IF(AND(Programme_Grunddaten!$A73="Geprüft",Programme_Grunddaten!AE73&lt;&gt;""),IF(Programme_Grunddaten!AE73="Ja",1,0),"")</f>
        <v/>
      </c>
      <c r="X65" s="1" t="str">
        <f>IF(AND(Programme_Grunddaten!$A73="Geprüft",Programme_Grunddaten!AF73&lt;&gt;""),IF(Programme_Grunddaten!AF73="Ja",1,0),"")</f>
        <v/>
      </c>
      <c r="Y65" s="1" t="str">
        <f>IF(AND(Programme_Grunddaten!$A73="Geprüft",Programme_Grunddaten!AG73&lt;&gt;""),IF(Programme_Grunddaten!AG73="Ja",1,0),"")</f>
        <v/>
      </c>
      <c r="Z65" s="1" t="str">
        <f>IF(AND(Programme_Grunddaten!$A73="Geprüft",Programme_Grunddaten!AH73&lt;&gt;""),IF(Programme_Grunddaten!AH73="Ja",1,0),"")</f>
        <v/>
      </c>
      <c r="AA65" s="1" t="str">
        <f>IF(AND(Programme_Grunddaten!$A73="Geprüft",Programme_Grunddaten!AI73&lt;&gt;""),IF(Programme_Grunddaten!AI73="Ja",1,0),"")</f>
        <v/>
      </c>
      <c r="AB65" s="1" t="str">
        <f>IF(AND(Programme_Grunddaten!$A73="Geprüft",Programme_Grunddaten!AJ73&lt;&gt;""),IF(Programme_Grunddaten!AJ73="individuell programmierbar",1,0),"")</f>
        <v/>
      </c>
      <c r="AC65" s="1" t="str">
        <f>IF(AND(Programme_Grunddaten!$A73="Geprüft",Programme_Grunddaten!AK73&lt;&gt;""),IF(Programme_Grunddaten!AK73="Deutsch",0,IF(Programme_Grunddaten!AK73="Deutsch und Englisch",1,2)),"")</f>
        <v/>
      </c>
      <c r="AD65" s="1" t="str">
        <f>IF(AND(Programme_Grunddaten!$A73="Geprüft",Programme_Grunddaten!AL73&lt;&gt;""),IF(Programme_Grunddaten!AL73="Ja",1,0),"")</f>
        <v/>
      </c>
      <c r="AE65" s="1" t="str">
        <f>IF(AND(Programme_Grunddaten!$A73="Geprüft",Programme_Grunddaten!AM73&lt;&gt;""),IF(Programme_Grunddaten!AM73="Ja",1,0),"")</f>
        <v/>
      </c>
      <c r="AF65" s="1" t="str">
        <f>IF(AND(Programme_Grunddaten!$A73="Geprüft",Programme_Grunddaten!AN73&lt;&gt;""),IF(Programme_Grunddaten!AN73="Ja",1,0),"")</f>
        <v/>
      </c>
      <c r="AG65" s="1" t="str">
        <f>IF(AND(Programme_Grunddaten!$A73="Geprüft",Programme_Grunddaten!AO73&lt;&gt;""),IF(Programme_Grunddaten!AO73="Ja",1,0),"")</f>
        <v/>
      </c>
      <c r="AH65" s="1" t="str">
        <f>IF(AND(Programme_Grunddaten!$A73="Geprüft",Programme_Grunddaten!AP73&lt;&gt;""),IF(Programme_Grunddaten!AP73="Ja",1,0),"")</f>
        <v/>
      </c>
      <c r="AI65" s="1" t="str">
        <f>IF(AND(Programme_Grunddaten!$A73="Geprüft",Programme_Grunddaten!AQ73&lt;&gt;""),IF(Programme_Grunddaten!AQ73="Ja",1,0),"")</f>
        <v/>
      </c>
      <c r="AJ65" s="1" t="str">
        <f>IF(AND(Programme_Grunddaten!$A73="Geprüft",Programme_Grunddaten!AR73&lt;&gt;""),IF(Programme_Grunddaten!AR73="Ja",1,0),"")</f>
        <v/>
      </c>
      <c r="AK65" s="1" t="str">
        <f>IF(AND(Programme_Grunddaten!$A73="Geprüft",Programme_Grunddaten!AS73&lt;&gt;""),IF(Programme_Grunddaten!AS73="Ja",1,0),"")</f>
        <v/>
      </c>
      <c r="AL65" s="1" t="str">
        <f>IF(AND(Programme_Grunddaten!$A73="Geprüft",Programme_Grunddaten!AT73&lt;&gt;""),IF(Programme_Grunddaten!AT73="Ja",1,0),"")</f>
        <v/>
      </c>
      <c r="AM65" s="1" t="str">
        <f>IF(AND(Programme_Grunddaten!$A73="Geprüft",Programme_Grunddaten!AU73&lt;&gt;""),IF(Programme_Grunddaten!AU73="Ja",1,0),"")</f>
        <v/>
      </c>
      <c r="AN65" s="1" t="str">
        <f>IF(AND(Programme_Grunddaten!$A73="Geprüft",Programme_Grunddaten!AV73&lt;&gt;""),IF(Programme_Grunddaten!AV73="Ja",1,0),"")</f>
        <v/>
      </c>
    </row>
    <row r="66" spans="1:40" x14ac:dyDescent="0.3">
      <c r="A66" s="1" t="str">
        <f>IF(AND(Programme_Grunddaten!A74="Geprüft",Programme_Grunddaten!B74&lt;&gt;""),Programme_Grunddaten!B74,"")</f>
        <v/>
      </c>
      <c r="B66" s="1" t="str">
        <f>IF(AND(Programme_Grunddaten!$A74="Geprüft",Programme_Grunddaten!I74&lt;&gt;""),IF(Programme_Grunddaten!I74="Ja",1,0),"")</f>
        <v/>
      </c>
      <c r="C66" s="1" t="str">
        <f>IF(AND(Programme_Grunddaten!$A74="Geprüft",Programme_Grunddaten!J74&lt;&gt;""),IF(Programme_Grunddaten!J74="Ja",1,0),"")</f>
        <v/>
      </c>
      <c r="D66" s="1" t="str">
        <f>IF(AND(Programme_Grunddaten!$A74="Geprüft",Programme_Grunddaten!K74&lt;&gt;""),IF(Programme_Grunddaten!K74="Ja",1,0),"")</f>
        <v/>
      </c>
      <c r="E66" s="1" t="str">
        <f>IF(AND(Programme_Grunddaten!$A74="Geprüft",Programme_Grunddaten!L74&lt;&gt;""),IF(Programme_Grunddaten!L74="Abo / befristete Lizenz",1,0),"")</f>
        <v/>
      </c>
      <c r="F66" s="1" t="str">
        <f>IF(AND(Programme_Grunddaten!$A74="Geprüft",Programme_Grunddaten!M74&lt;&gt;""),IF(Programme_Grunddaten!M74="Ja",1,0),"")</f>
        <v/>
      </c>
      <c r="G66" s="1" t="str">
        <f>IF(AND(Programme_Grunddaten!$A74="Geprüft",Programme_Grunddaten!N74&lt;&gt;""),IF(Programme_Grunddaten!N74="Ja",1,0),"")</f>
        <v/>
      </c>
      <c r="H66" s="1" t="str">
        <f>IF(AND(Programme_Grunddaten!$A74="Geprüft",Programme_Grunddaten!O74&lt;&gt;""),IF(Programme_Grunddaten!O74="Deutschland",0,IF(Programme_Grunddaten!O74="EU",1,2)),"")</f>
        <v/>
      </c>
      <c r="I66" s="1" t="str">
        <f>IF(AND(Programme_Grunddaten!$A74="Geprüft",Programme_Grunddaten!P74&lt;&gt;""),IF(Programme_Grunddaten!P74="Ja",1,0),"")</f>
        <v/>
      </c>
      <c r="J66" s="1" t="str">
        <f>IF(AND(Programme_Grunddaten!$A74="Geprüft",Programme_Grunddaten!Q74&lt;&gt;""),IF(Programme_Grunddaten!Q74="geschlossenes System",1,0),"")</f>
        <v/>
      </c>
      <c r="K66" s="1" t="str">
        <f>IF(AND(Programme_Grunddaten!$A74="Geprüft",Programme_Grunddaten!R74&lt;&gt;""),IF(Programme_Grunddaten!R74="Ja",1,0),"")</f>
        <v/>
      </c>
      <c r="L66" s="1" t="str">
        <f>IF(AND(Programme_Grunddaten!$A74="Geprüft",Programme_Grunddaten!T74&lt;&gt;""),IF(Programme_Grunddaten!T74="Ja",1,0),"")</f>
        <v/>
      </c>
      <c r="M66" s="1" t="str">
        <f>IF(AND(Programme_Grunddaten!$A74="Geprüft",Programme_Grunddaten!U74&lt;&gt;""),IF(Programme_Grunddaten!U74="Ja",1,0),"")</f>
        <v/>
      </c>
      <c r="N66" s="1" t="str">
        <f>IF(AND(Programme_Grunddaten!$A74="Geprüft",Programme_Grunddaten!V74&lt;&gt;""),IF(Programme_Grunddaten!V74="Ja",1,0),"")</f>
        <v/>
      </c>
      <c r="O66" s="1" t="str">
        <f>IF(AND(Programme_Grunddaten!$A74="Geprüft",Programme_Grunddaten!W74&lt;&gt;""),IF(Programme_Grunddaten!W74="Ja",1,0),"")</f>
        <v/>
      </c>
      <c r="P66" s="1" t="str">
        <f>IF(AND(Programme_Grunddaten!$A74="Geprüft",Programme_Grunddaten!X74&lt;&gt;""),IF(Programme_Grunddaten!X74="Ja",1,0),"")</f>
        <v/>
      </c>
      <c r="Q66" s="1" t="str">
        <f>IF(AND(Programme_Grunddaten!$A74="Geprüft",Programme_Grunddaten!Y74&lt;&gt;""),IF(Programme_Grunddaten!Y74="Ja",1,0),"")</f>
        <v/>
      </c>
      <c r="R66" s="1" t="str">
        <f>IF(AND(Programme_Grunddaten!$A74="Geprüft",Programme_Grunddaten!Z74&lt;&gt;""),IF(Programme_Grunddaten!Z74="Ja",1,0),"")</f>
        <v/>
      </c>
      <c r="S66" s="1" t="str">
        <f>IF(AND(Programme_Grunddaten!$A74="Geprüft",Programme_Grunddaten!AA74&lt;&gt;""),IF(Programme_Grunddaten!AA74="monolithisch",1,0),"")</f>
        <v/>
      </c>
      <c r="T66" s="1" t="str">
        <f>IF(AND(Programme_Grunddaten!$A74="Geprüft",Programme_Grunddaten!AB74&lt;&gt;""),IF(Programme_Grunddaten!AB74="Ja",1,0),"")</f>
        <v/>
      </c>
      <c r="U66" s="1" t="str">
        <f>IF(AND(Programme_Grunddaten!$A74="Geprüft",Programme_Grunddaten!AC74&lt;&gt;""),IF(Programme_Grunddaten!AC74="Ja",1,0),"")</f>
        <v/>
      </c>
      <c r="V66" s="1" t="str">
        <f>IF(AND(Programme_Grunddaten!$A74="Geprüft",Programme_Grunddaten!AD74&lt;&gt;""),IF(Programme_Grunddaten!AD74="Ja",1,0),"")</f>
        <v/>
      </c>
      <c r="W66" s="1" t="str">
        <f>IF(AND(Programme_Grunddaten!$A74="Geprüft",Programme_Grunddaten!AE74&lt;&gt;""),IF(Programme_Grunddaten!AE74="Ja",1,0),"")</f>
        <v/>
      </c>
      <c r="X66" s="1" t="str">
        <f>IF(AND(Programme_Grunddaten!$A74="Geprüft",Programme_Grunddaten!AF74&lt;&gt;""),IF(Programme_Grunddaten!AF74="Ja",1,0),"")</f>
        <v/>
      </c>
      <c r="Y66" s="1" t="str">
        <f>IF(AND(Programme_Grunddaten!$A74="Geprüft",Programme_Grunddaten!AG74&lt;&gt;""),IF(Programme_Grunddaten!AG74="Ja",1,0),"")</f>
        <v/>
      </c>
      <c r="Z66" s="1" t="str">
        <f>IF(AND(Programme_Grunddaten!$A74="Geprüft",Programme_Grunddaten!AH74&lt;&gt;""),IF(Programme_Grunddaten!AH74="Ja",1,0),"")</f>
        <v/>
      </c>
      <c r="AA66" s="1" t="str">
        <f>IF(AND(Programme_Grunddaten!$A74="Geprüft",Programme_Grunddaten!AI74&lt;&gt;""),IF(Programme_Grunddaten!AI74="Ja",1,0),"")</f>
        <v/>
      </c>
      <c r="AB66" s="1" t="str">
        <f>IF(AND(Programme_Grunddaten!$A74="Geprüft",Programme_Grunddaten!AJ74&lt;&gt;""),IF(Programme_Grunddaten!AJ74="individuell programmierbar",1,0),"")</f>
        <v/>
      </c>
      <c r="AC66" s="1" t="str">
        <f>IF(AND(Programme_Grunddaten!$A74="Geprüft",Programme_Grunddaten!AK74&lt;&gt;""),IF(Programme_Grunddaten!AK74="Deutsch",0,IF(Programme_Grunddaten!AK74="Deutsch und Englisch",1,2)),"")</f>
        <v/>
      </c>
      <c r="AD66" s="1" t="str">
        <f>IF(AND(Programme_Grunddaten!$A74="Geprüft",Programme_Grunddaten!AL74&lt;&gt;""),IF(Programme_Grunddaten!AL74="Ja",1,0),"")</f>
        <v/>
      </c>
      <c r="AE66" s="1" t="str">
        <f>IF(AND(Programme_Grunddaten!$A74="Geprüft",Programme_Grunddaten!AM74&lt;&gt;""),IF(Programme_Grunddaten!AM74="Ja",1,0),"")</f>
        <v/>
      </c>
      <c r="AF66" s="1" t="str">
        <f>IF(AND(Programme_Grunddaten!$A74="Geprüft",Programme_Grunddaten!AN74&lt;&gt;""),IF(Programme_Grunddaten!AN74="Ja",1,0),"")</f>
        <v/>
      </c>
      <c r="AG66" s="1" t="str">
        <f>IF(AND(Programme_Grunddaten!$A74="Geprüft",Programme_Grunddaten!AO74&lt;&gt;""),IF(Programme_Grunddaten!AO74="Ja",1,0),"")</f>
        <v/>
      </c>
      <c r="AH66" s="1" t="str">
        <f>IF(AND(Programme_Grunddaten!$A74="Geprüft",Programme_Grunddaten!AP74&lt;&gt;""),IF(Programme_Grunddaten!AP74="Ja",1,0),"")</f>
        <v/>
      </c>
      <c r="AI66" s="1" t="str">
        <f>IF(AND(Programme_Grunddaten!$A74="Geprüft",Programme_Grunddaten!AQ74&lt;&gt;""),IF(Programme_Grunddaten!AQ74="Ja",1,0),"")</f>
        <v/>
      </c>
      <c r="AJ66" s="1" t="str">
        <f>IF(AND(Programme_Grunddaten!$A74="Geprüft",Programme_Grunddaten!AR74&lt;&gt;""),IF(Programme_Grunddaten!AR74="Ja",1,0),"")</f>
        <v/>
      </c>
      <c r="AK66" s="1" t="str">
        <f>IF(AND(Programme_Grunddaten!$A74="Geprüft",Programme_Grunddaten!AS74&lt;&gt;""),IF(Programme_Grunddaten!AS74="Ja",1,0),"")</f>
        <v/>
      </c>
      <c r="AL66" s="1" t="str">
        <f>IF(AND(Programme_Grunddaten!$A74="Geprüft",Programme_Grunddaten!AT74&lt;&gt;""),IF(Programme_Grunddaten!AT74="Ja",1,0),"")</f>
        <v/>
      </c>
      <c r="AM66" s="1" t="str">
        <f>IF(AND(Programme_Grunddaten!$A74="Geprüft",Programme_Grunddaten!AU74&lt;&gt;""),IF(Programme_Grunddaten!AU74="Ja",1,0),"")</f>
        <v/>
      </c>
      <c r="AN66" s="1" t="str">
        <f>IF(AND(Programme_Grunddaten!$A74="Geprüft",Programme_Grunddaten!AV74&lt;&gt;""),IF(Programme_Grunddaten!AV74="Ja",1,0),"")</f>
        <v/>
      </c>
    </row>
    <row r="67" spans="1:40" x14ac:dyDescent="0.3">
      <c r="A67" s="1" t="str">
        <f>IF(AND(Programme_Grunddaten!A75="Geprüft",Programme_Grunddaten!B75&lt;&gt;""),Programme_Grunddaten!B75,"")</f>
        <v/>
      </c>
      <c r="B67" s="1" t="str">
        <f>IF(AND(Programme_Grunddaten!$A75="Geprüft",Programme_Grunddaten!I75&lt;&gt;""),IF(Programme_Grunddaten!I75="Ja",1,0),"")</f>
        <v/>
      </c>
      <c r="C67" s="1" t="str">
        <f>IF(AND(Programme_Grunddaten!$A75="Geprüft",Programme_Grunddaten!J75&lt;&gt;""),IF(Programme_Grunddaten!J75="Ja",1,0),"")</f>
        <v/>
      </c>
      <c r="D67" s="1" t="str">
        <f>IF(AND(Programme_Grunddaten!$A75="Geprüft",Programme_Grunddaten!K75&lt;&gt;""),IF(Programme_Grunddaten!K75="Ja",1,0),"")</f>
        <v/>
      </c>
      <c r="E67" s="1" t="str">
        <f>IF(AND(Programme_Grunddaten!$A75="Geprüft",Programme_Grunddaten!L75&lt;&gt;""),IF(Programme_Grunddaten!L75="Abo / befristete Lizenz",1,0),"")</f>
        <v/>
      </c>
      <c r="F67" s="1" t="str">
        <f>IF(AND(Programme_Grunddaten!$A75="Geprüft",Programme_Grunddaten!M75&lt;&gt;""),IF(Programme_Grunddaten!M75="Ja",1,0),"")</f>
        <v/>
      </c>
      <c r="G67" s="1" t="str">
        <f>IF(AND(Programme_Grunddaten!$A75="Geprüft",Programme_Grunddaten!N75&lt;&gt;""),IF(Programme_Grunddaten!N75="Ja",1,0),"")</f>
        <v/>
      </c>
      <c r="H67" s="1" t="str">
        <f>IF(AND(Programme_Grunddaten!$A75="Geprüft",Programme_Grunddaten!O75&lt;&gt;""),IF(Programme_Grunddaten!O75="Deutschland",0,IF(Programme_Grunddaten!O75="EU",1,2)),"")</f>
        <v/>
      </c>
      <c r="I67" s="1" t="str">
        <f>IF(AND(Programme_Grunddaten!$A75="Geprüft",Programme_Grunddaten!P75&lt;&gt;""),IF(Programme_Grunddaten!P75="Ja",1,0),"")</f>
        <v/>
      </c>
      <c r="J67" s="1" t="str">
        <f>IF(AND(Programme_Grunddaten!$A75="Geprüft",Programme_Grunddaten!Q75&lt;&gt;""),IF(Programme_Grunddaten!Q75="geschlossenes System",1,0),"")</f>
        <v/>
      </c>
      <c r="K67" s="1" t="str">
        <f>IF(AND(Programme_Grunddaten!$A75="Geprüft",Programme_Grunddaten!R75&lt;&gt;""),IF(Programme_Grunddaten!R75="Ja",1,0),"")</f>
        <v/>
      </c>
      <c r="L67" s="1" t="str">
        <f>IF(AND(Programme_Grunddaten!$A75="Geprüft",Programme_Grunddaten!T75&lt;&gt;""),IF(Programme_Grunddaten!T75="Ja",1,0),"")</f>
        <v/>
      </c>
      <c r="M67" s="1" t="str">
        <f>IF(AND(Programme_Grunddaten!$A75="Geprüft",Programme_Grunddaten!U75&lt;&gt;""),IF(Programme_Grunddaten!U75="Ja",1,0),"")</f>
        <v/>
      </c>
      <c r="N67" s="1" t="str">
        <f>IF(AND(Programme_Grunddaten!$A75="Geprüft",Programme_Grunddaten!V75&lt;&gt;""),IF(Programme_Grunddaten!V75="Ja",1,0),"")</f>
        <v/>
      </c>
      <c r="O67" s="1" t="str">
        <f>IF(AND(Programme_Grunddaten!$A75="Geprüft",Programme_Grunddaten!W75&lt;&gt;""),IF(Programme_Grunddaten!W75="Ja",1,0),"")</f>
        <v/>
      </c>
      <c r="P67" s="1" t="str">
        <f>IF(AND(Programme_Grunddaten!$A75="Geprüft",Programme_Grunddaten!X75&lt;&gt;""),IF(Programme_Grunddaten!X75="Ja",1,0),"")</f>
        <v/>
      </c>
      <c r="Q67" s="1" t="str">
        <f>IF(AND(Programme_Grunddaten!$A75="Geprüft",Programme_Grunddaten!Y75&lt;&gt;""),IF(Programme_Grunddaten!Y75="Ja",1,0),"")</f>
        <v/>
      </c>
      <c r="R67" s="1" t="str">
        <f>IF(AND(Programme_Grunddaten!$A75="Geprüft",Programme_Grunddaten!Z75&lt;&gt;""),IF(Programme_Grunddaten!Z75="Ja",1,0),"")</f>
        <v/>
      </c>
      <c r="S67" s="1" t="str">
        <f>IF(AND(Programme_Grunddaten!$A75="Geprüft",Programme_Grunddaten!AA75&lt;&gt;""),IF(Programme_Grunddaten!AA75="monolithisch",1,0),"")</f>
        <v/>
      </c>
      <c r="T67" s="1" t="str">
        <f>IF(AND(Programme_Grunddaten!$A75="Geprüft",Programme_Grunddaten!AB75&lt;&gt;""),IF(Programme_Grunddaten!AB75="Ja",1,0),"")</f>
        <v/>
      </c>
      <c r="U67" s="1" t="str">
        <f>IF(AND(Programme_Grunddaten!$A75="Geprüft",Programme_Grunddaten!AC75&lt;&gt;""),IF(Programme_Grunddaten!AC75="Ja",1,0),"")</f>
        <v/>
      </c>
      <c r="V67" s="1" t="str">
        <f>IF(AND(Programme_Grunddaten!$A75="Geprüft",Programme_Grunddaten!AD75&lt;&gt;""),IF(Programme_Grunddaten!AD75="Ja",1,0),"")</f>
        <v/>
      </c>
      <c r="W67" s="1" t="str">
        <f>IF(AND(Programme_Grunddaten!$A75="Geprüft",Programme_Grunddaten!AE75&lt;&gt;""),IF(Programme_Grunddaten!AE75="Ja",1,0),"")</f>
        <v/>
      </c>
      <c r="X67" s="1" t="str">
        <f>IF(AND(Programme_Grunddaten!$A75="Geprüft",Programme_Grunddaten!AF75&lt;&gt;""),IF(Programme_Grunddaten!AF75="Ja",1,0),"")</f>
        <v/>
      </c>
      <c r="Y67" s="1" t="str">
        <f>IF(AND(Programme_Grunddaten!$A75="Geprüft",Programme_Grunddaten!AG75&lt;&gt;""),IF(Programme_Grunddaten!AG75="Ja",1,0),"")</f>
        <v/>
      </c>
      <c r="Z67" s="1" t="str">
        <f>IF(AND(Programme_Grunddaten!$A75="Geprüft",Programme_Grunddaten!AH75&lt;&gt;""),IF(Programme_Grunddaten!AH75="Ja",1,0),"")</f>
        <v/>
      </c>
      <c r="AA67" s="1" t="str">
        <f>IF(AND(Programme_Grunddaten!$A75="Geprüft",Programme_Grunddaten!AI75&lt;&gt;""),IF(Programme_Grunddaten!AI75="Ja",1,0),"")</f>
        <v/>
      </c>
      <c r="AB67" s="1" t="str">
        <f>IF(AND(Programme_Grunddaten!$A75="Geprüft",Programme_Grunddaten!AJ75&lt;&gt;""),IF(Programme_Grunddaten!AJ75="individuell programmierbar",1,0),"")</f>
        <v/>
      </c>
      <c r="AC67" s="1" t="str">
        <f>IF(AND(Programme_Grunddaten!$A75="Geprüft",Programme_Grunddaten!AK75&lt;&gt;""),IF(Programme_Grunddaten!AK75="Deutsch",0,IF(Programme_Grunddaten!AK75="Deutsch und Englisch",1,2)),"")</f>
        <v/>
      </c>
      <c r="AD67" s="1" t="str">
        <f>IF(AND(Programme_Grunddaten!$A75="Geprüft",Programme_Grunddaten!AL75&lt;&gt;""),IF(Programme_Grunddaten!AL75="Ja",1,0),"")</f>
        <v/>
      </c>
      <c r="AE67" s="1" t="str">
        <f>IF(AND(Programme_Grunddaten!$A75="Geprüft",Programme_Grunddaten!AM75&lt;&gt;""),IF(Programme_Grunddaten!AM75="Ja",1,0),"")</f>
        <v/>
      </c>
      <c r="AF67" s="1" t="str">
        <f>IF(AND(Programme_Grunddaten!$A75="Geprüft",Programme_Grunddaten!AN75&lt;&gt;""),IF(Programme_Grunddaten!AN75="Ja",1,0),"")</f>
        <v/>
      </c>
      <c r="AG67" s="1" t="str">
        <f>IF(AND(Programme_Grunddaten!$A75="Geprüft",Programme_Grunddaten!AO75&lt;&gt;""),IF(Programme_Grunddaten!AO75="Ja",1,0),"")</f>
        <v/>
      </c>
      <c r="AH67" s="1" t="str">
        <f>IF(AND(Programme_Grunddaten!$A75="Geprüft",Programme_Grunddaten!AP75&lt;&gt;""),IF(Programme_Grunddaten!AP75="Ja",1,0),"")</f>
        <v/>
      </c>
      <c r="AI67" s="1" t="str">
        <f>IF(AND(Programme_Grunddaten!$A75="Geprüft",Programme_Grunddaten!AQ75&lt;&gt;""),IF(Programme_Grunddaten!AQ75="Ja",1,0),"")</f>
        <v/>
      </c>
      <c r="AJ67" s="1" t="str">
        <f>IF(AND(Programme_Grunddaten!$A75="Geprüft",Programme_Grunddaten!AR75&lt;&gt;""),IF(Programme_Grunddaten!AR75="Ja",1,0),"")</f>
        <v/>
      </c>
      <c r="AK67" s="1" t="str">
        <f>IF(AND(Programme_Grunddaten!$A75="Geprüft",Programme_Grunddaten!AS75&lt;&gt;""),IF(Programme_Grunddaten!AS75="Ja",1,0),"")</f>
        <v/>
      </c>
      <c r="AL67" s="1" t="str">
        <f>IF(AND(Programme_Grunddaten!$A75="Geprüft",Programme_Grunddaten!AT75&lt;&gt;""),IF(Programme_Grunddaten!AT75="Ja",1,0),"")</f>
        <v/>
      </c>
      <c r="AM67" s="1" t="str">
        <f>IF(AND(Programme_Grunddaten!$A75="Geprüft",Programme_Grunddaten!AU75&lt;&gt;""),IF(Programme_Grunddaten!AU75="Ja",1,0),"")</f>
        <v/>
      </c>
      <c r="AN67" s="1" t="str">
        <f>IF(AND(Programme_Grunddaten!$A75="Geprüft",Programme_Grunddaten!AV75&lt;&gt;""),IF(Programme_Grunddaten!AV75="Ja",1,0),"")</f>
        <v/>
      </c>
    </row>
    <row r="68" spans="1:40" x14ac:dyDescent="0.3">
      <c r="A68" s="1" t="str">
        <f>IF(AND(Programme_Grunddaten!A76="Geprüft",Programme_Grunddaten!B76&lt;&gt;""),Programme_Grunddaten!B76,"")</f>
        <v/>
      </c>
      <c r="B68" s="1" t="str">
        <f>IF(AND(Programme_Grunddaten!$A76="Geprüft",Programme_Grunddaten!I76&lt;&gt;""),IF(Programme_Grunddaten!I76="Ja",1,0),"")</f>
        <v/>
      </c>
      <c r="C68" s="1" t="str">
        <f>IF(AND(Programme_Grunddaten!$A76="Geprüft",Programme_Grunddaten!J76&lt;&gt;""),IF(Programme_Grunddaten!J76="Ja",1,0),"")</f>
        <v/>
      </c>
      <c r="D68" s="1" t="str">
        <f>IF(AND(Programme_Grunddaten!$A76="Geprüft",Programme_Grunddaten!K76&lt;&gt;""),IF(Programme_Grunddaten!K76="Ja",1,0),"")</f>
        <v/>
      </c>
      <c r="E68" s="1" t="str">
        <f>IF(AND(Programme_Grunddaten!$A76="Geprüft",Programme_Grunddaten!L76&lt;&gt;""),IF(Programme_Grunddaten!L76="Abo / befristete Lizenz",1,0),"")</f>
        <v/>
      </c>
      <c r="F68" s="1" t="str">
        <f>IF(AND(Programme_Grunddaten!$A76="Geprüft",Programme_Grunddaten!M76&lt;&gt;""),IF(Programme_Grunddaten!M76="Ja",1,0),"")</f>
        <v/>
      </c>
      <c r="G68" s="1" t="str">
        <f>IF(AND(Programme_Grunddaten!$A76="Geprüft",Programme_Grunddaten!N76&lt;&gt;""),IF(Programme_Grunddaten!N76="Ja",1,0),"")</f>
        <v/>
      </c>
      <c r="H68" s="1" t="str">
        <f>IF(AND(Programme_Grunddaten!$A76="Geprüft",Programme_Grunddaten!O76&lt;&gt;""),IF(Programme_Grunddaten!O76="Deutschland",0,IF(Programme_Grunddaten!O76="EU",1,2)),"")</f>
        <v/>
      </c>
      <c r="I68" s="1" t="str">
        <f>IF(AND(Programme_Grunddaten!$A76="Geprüft",Programme_Grunddaten!P76&lt;&gt;""),IF(Programme_Grunddaten!P76="Ja",1,0),"")</f>
        <v/>
      </c>
      <c r="J68" s="1" t="str">
        <f>IF(AND(Programme_Grunddaten!$A76="Geprüft",Programme_Grunddaten!Q76&lt;&gt;""),IF(Programme_Grunddaten!Q76="geschlossenes System",1,0),"")</f>
        <v/>
      </c>
      <c r="K68" s="1" t="str">
        <f>IF(AND(Programme_Grunddaten!$A76="Geprüft",Programme_Grunddaten!R76&lt;&gt;""),IF(Programme_Grunddaten!R76="Ja",1,0),"")</f>
        <v/>
      </c>
      <c r="L68" s="1" t="str">
        <f>IF(AND(Programme_Grunddaten!$A76="Geprüft",Programme_Grunddaten!T76&lt;&gt;""),IF(Programme_Grunddaten!T76="Ja",1,0),"")</f>
        <v/>
      </c>
      <c r="M68" s="1" t="str">
        <f>IF(AND(Programme_Grunddaten!$A76="Geprüft",Programme_Grunddaten!U76&lt;&gt;""),IF(Programme_Grunddaten!U76="Ja",1,0),"")</f>
        <v/>
      </c>
      <c r="N68" s="1" t="str">
        <f>IF(AND(Programme_Grunddaten!$A76="Geprüft",Programme_Grunddaten!V76&lt;&gt;""),IF(Programme_Grunddaten!V76="Ja",1,0),"")</f>
        <v/>
      </c>
      <c r="O68" s="1" t="str">
        <f>IF(AND(Programme_Grunddaten!$A76="Geprüft",Programme_Grunddaten!W76&lt;&gt;""),IF(Programme_Grunddaten!W76="Ja",1,0),"")</f>
        <v/>
      </c>
      <c r="P68" s="1" t="str">
        <f>IF(AND(Programme_Grunddaten!$A76="Geprüft",Programme_Grunddaten!X76&lt;&gt;""),IF(Programme_Grunddaten!X76="Ja",1,0),"")</f>
        <v/>
      </c>
      <c r="Q68" s="1" t="str">
        <f>IF(AND(Programme_Grunddaten!$A76="Geprüft",Programme_Grunddaten!Y76&lt;&gt;""),IF(Programme_Grunddaten!Y76="Ja",1,0),"")</f>
        <v/>
      </c>
      <c r="R68" s="1" t="str">
        <f>IF(AND(Programme_Grunddaten!$A76="Geprüft",Programme_Grunddaten!Z76&lt;&gt;""),IF(Programme_Grunddaten!Z76="Ja",1,0),"")</f>
        <v/>
      </c>
      <c r="S68" s="1" t="str">
        <f>IF(AND(Programme_Grunddaten!$A76="Geprüft",Programme_Grunddaten!AA76&lt;&gt;""),IF(Programme_Grunddaten!AA76="monolithisch",1,0),"")</f>
        <v/>
      </c>
      <c r="T68" s="1" t="str">
        <f>IF(AND(Programme_Grunddaten!$A76="Geprüft",Programme_Grunddaten!AB76&lt;&gt;""),IF(Programme_Grunddaten!AB76="Ja",1,0),"")</f>
        <v/>
      </c>
      <c r="U68" s="1" t="str">
        <f>IF(AND(Programme_Grunddaten!$A76="Geprüft",Programme_Grunddaten!AC76&lt;&gt;""),IF(Programme_Grunddaten!AC76="Ja",1,0),"")</f>
        <v/>
      </c>
      <c r="V68" s="1" t="str">
        <f>IF(AND(Programme_Grunddaten!$A76="Geprüft",Programme_Grunddaten!AD76&lt;&gt;""),IF(Programme_Grunddaten!AD76="Ja",1,0),"")</f>
        <v/>
      </c>
      <c r="W68" s="1" t="str">
        <f>IF(AND(Programme_Grunddaten!$A76="Geprüft",Programme_Grunddaten!AE76&lt;&gt;""),IF(Programme_Grunddaten!AE76="Ja",1,0),"")</f>
        <v/>
      </c>
      <c r="X68" s="1" t="str">
        <f>IF(AND(Programme_Grunddaten!$A76="Geprüft",Programme_Grunddaten!AF76&lt;&gt;""),IF(Programme_Grunddaten!AF76="Ja",1,0),"")</f>
        <v/>
      </c>
      <c r="Y68" s="1" t="str">
        <f>IF(AND(Programme_Grunddaten!$A76="Geprüft",Programme_Grunddaten!AG76&lt;&gt;""),IF(Programme_Grunddaten!AG76="Ja",1,0),"")</f>
        <v/>
      </c>
      <c r="Z68" s="1" t="str">
        <f>IF(AND(Programme_Grunddaten!$A76="Geprüft",Programme_Grunddaten!AH76&lt;&gt;""),IF(Programme_Grunddaten!AH76="Ja",1,0),"")</f>
        <v/>
      </c>
      <c r="AA68" s="1" t="str">
        <f>IF(AND(Programme_Grunddaten!$A76="Geprüft",Programme_Grunddaten!AI76&lt;&gt;""),IF(Programme_Grunddaten!AI76="Ja",1,0),"")</f>
        <v/>
      </c>
      <c r="AB68" s="1" t="str">
        <f>IF(AND(Programme_Grunddaten!$A76="Geprüft",Programme_Grunddaten!AJ76&lt;&gt;""),IF(Programme_Grunddaten!AJ76="individuell programmierbar",1,0),"")</f>
        <v/>
      </c>
      <c r="AC68" s="1" t="str">
        <f>IF(AND(Programme_Grunddaten!$A76="Geprüft",Programme_Grunddaten!AK76&lt;&gt;""),IF(Programme_Grunddaten!AK76="Deutsch",0,IF(Programme_Grunddaten!AK76="Deutsch und Englisch",1,2)),"")</f>
        <v/>
      </c>
      <c r="AD68" s="1" t="str">
        <f>IF(AND(Programme_Grunddaten!$A76="Geprüft",Programme_Grunddaten!AL76&lt;&gt;""),IF(Programme_Grunddaten!AL76="Ja",1,0),"")</f>
        <v/>
      </c>
      <c r="AE68" s="1" t="str">
        <f>IF(AND(Programme_Grunddaten!$A76="Geprüft",Programme_Grunddaten!AM76&lt;&gt;""),IF(Programme_Grunddaten!AM76="Ja",1,0),"")</f>
        <v/>
      </c>
      <c r="AF68" s="1" t="str">
        <f>IF(AND(Programme_Grunddaten!$A76="Geprüft",Programme_Grunddaten!AN76&lt;&gt;""),IF(Programme_Grunddaten!AN76="Ja",1,0),"")</f>
        <v/>
      </c>
      <c r="AG68" s="1" t="str">
        <f>IF(AND(Programme_Grunddaten!$A76="Geprüft",Programme_Grunddaten!AO76&lt;&gt;""),IF(Programme_Grunddaten!AO76="Ja",1,0),"")</f>
        <v/>
      </c>
      <c r="AH68" s="1" t="str">
        <f>IF(AND(Programme_Grunddaten!$A76="Geprüft",Programme_Grunddaten!AP76&lt;&gt;""),IF(Programme_Grunddaten!AP76="Ja",1,0),"")</f>
        <v/>
      </c>
      <c r="AI68" s="1" t="str">
        <f>IF(AND(Programme_Grunddaten!$A76="Geprüft",Programme_Grunddaten!AQ76&lt;&gt;""),IF(Programme_Grunddaten!AQ76="Ja",1,0),"")</f>
        <v/>
      </c>
      <c r="AJ68" s="1" t="str">
        <f>IF(AND(Programme_Grunddaten!$A76="Geprüft",Programme_Grunddaten!AR76&lt;&gt;""),IF(Programme_Grunddaten!AR76="Ja",1,0),"")</f>
        <v/>
      </c>
      <c r="AK68" s="1" t="str">
        <f>IF(AND(Programme_Grunddaten!$A76="Geprüft",Programme_Grunddaten!AS76&lt;&gt;""),IF(Programme_Grunddaten!AS76="Ja",1,0),"")</f>
        <v/>
      </c>
      <c r="AL68" s="1" t="str">
        <f>IF(AND(Programme_Grunddaten!$A76="Geprüft",Programme_Grunddaten!AT76&lt;&gt;""),IF(Programme_Grunddaten!AT76="Ja",1,0),"")</f>
        <v/>
      </c>
      <c r="AM68" s="1" t="str">
        <f>IF(AND(Programme_Grunddaten!$A76="Geprüft",Programme_Grunddaten!AU76&lt;&gt;""),IF(Programme_Grunddaten!AU76="Ja",1,0),"")</f>
        <v/>
      </c>
      <c r="AN68" s="1" t="str">
        <f>IF(AND(Programme_Grunddaten!$A76="Geprüft",Programme_Grunddaten!AV76&lt;&gt;""),IF(Programme_Grunddaten!AV76="Ja",1,0),"")</f>
        <v/>
      </c>
    </row>
    <row r="69" spans="1:40" x14ac:dyDescent="0.3">
      <c r="A69" s="1" t="str">
        <f>IF(AND(Programme_Grunddaten!A77="Geprüft",Programme_Grunddaten!B77&lt;&gt;""),Programme_Grunddaten!B77,"")</f>
        <v/>
      </c>
      <c r="B69" s="1" t="str">
        <f>IF(AND(Programme_Grunddaten!$A77="Geprüft",Programme_Grunddaten!I77&lt;&gt;""),IF(Programme_Grunddaten!I77="Ja",1,0),"")</f>
        <v/>
      </c>
      <c r="C69" s="1" t="str">
        <f>IF(AND(Programme_Grunddaten!$A77="Geprüft",Programme_Grunddaten!J77&lt;&gt;""),IF(Programme_Grunddaten!J77="Ja",1,0),"")</f>
        <v/>
      </c>
      <c r="D69" s="1" t="str">
        <f>IF(AND(Programme_Grunddaten!$A77="Geprüft",Programme_Grunddaten!K77&lt;&gt;""),IF(Programme_Grunddaten!K77="Ja",1,0),"")</f>
        <v/>
      </c>
      <c r="E69" s="1" t="str">
        <f>IF(AND(Programme_Grunddaten!$A77="Geprüft",Programme_Grunddaten!L77&lt;&gt;""),IF(Programme_Grunddaten!L77="Abo / befristete Lizenz",1,0),"")</f>
        <v/>
      </c>
      <c r="F69" s="1" t="str">
        <f>IF(AND(Programme_Grunddaten!$A77="Geprüft",Programme_Grunddaten!M77&lt;&gt;""),IF(Programme_Grunddaten!M77="Ja",1,0),"")</f>
        <v/>
      </c>
      <c r="G69" s="1" t="str">
        <f>IF(AND(Programme_Grunddaten!$A77="Geprüft",Programme_Grunddaten!N77&lt;&gt;""),IF(Programme_Grunddaten!N77="Ja",1,0),"")</f>
        <v/>
      </c>
      <c r="H69" s="1" t="str">
        <f>IF(AND(Programme_Grunddaten!$A77="Geprüft",Programme_Grunddaten!O77&lt;&gt;""),IF(Programme_Grunddaten!O77="Deutschland",0,IF(Programme_Grunddaten!O77="EU",1,2)),"")</f>
        <v/>
      </c>
      <c r="I69" s="1" t="str">
        <f>IF(AND(Programme_Grunddaten!$A77="Geprüft",Programme_Grunddaten!P77&lt;&gt;""),IF(Programme_Grunddaten!P77="Ja",1,0),"")</f>
        <v/>
      </c>
      <c r="J69" s="1" t="str">
        <f>IF(AND(Programme_Grunddaten!$A77="Geprüft",Programme_Grunddaten!Q77&lt;&gt;""),IF(Programme_Grunddaten!Q77="geschlossenes System",1,0),"")</f>
        <v/>
      </c>
      <c r="K69" s="1" t="str">
        <f>IF(AND(Programme_Grunddaten!$A77="Geprüft",Programme_Grunddaten!R77&lt;&gt;""),IF(Programme_Grunddaten!R77="Ja",1,0),"")</f>
        <v/>
      </c>
      <c r="L69" s="1" t="str">
        <f>IF(AND(Programme_Grunddaten!$A77="Geprüft",Programme_Grunddaten!T77&lt;&gt;""),IF(Programme_Grunddaten!T77="Ja",1,0),"")</f>
        <v/>
      </c>
      <c r="M69" s="1" t="str">
        <f>IF(AND(Programme_Grunddaten!$A77="Geprüft",Programme_Grunddaten!U77&lt;&gt;""),IF(Programme_Grunddaten!U77="Ja",1,0),"")</f>
        <v/>
      </c>
      <c r="N69" s="1" t="str">
        <f>IF(AND(Programme_Grunddaten!$A77="Geprüft",Programme_Grunddaten!V77&lt;&gt;""),IF(Programme_Grunddaten!V77="Ja",1,0),"")</f>
        <v/>
      </c>
      <c r="O69" s="1" t="str">
        <f>IF(AND(Programme_Grunddaten!$A77="Geprüft",Programme_Grunddaten!W77&lt;&gt;""),IF(Programme_Grunddaten!W77="Ja",1,0),"")</f>
        <v/>
      </c>
      <c r="P69" s="1" t="str">
        <f>IF(AND(Programme_Grunddaten!$A77="Geprüft",Programme_Grunddaten!X77&lt;&gt;""),IF(Programme_Grunddaten!X77="Ja",1,0),"")</f>
        <v/>
      </c>
      <c r="Q69" s="1" t="str">
        <f>IF(AND(Programme_Grunddaten!$A77="Geprüft",Programme_Grunddaten!Y77&lt;&gt;""),IF(Programme_Grunddaten!Y77="Ja",1,0),"")</f>
        <v/>
      </c>
      <c r="R69" s="1" t="str">
        <f>IF(AND(Programme_Grunddaten!$A77="Geprüft",Programme_Grunddaten!Z77&lt;&gt;""),IF(Programme_Grunddaten!Z77="Ja",1,0),"")</f>
        <v/>
      </c>
      <c r="S69" s="1" t="str">
        <f>IF(AND(Programme_Grunddaten!$A77="Geprüft",Programme_Grunddaten!AA77&lt;&gt;""),IF(Programme_Grunddaten!AA77="monolithisch",1,0),"")</f>
        <v/>
      </c>
      <c r="T69" s="1" t="str">
        <f>IF(AND(Programme_Grunddaten!$A77="Geprüft",Programme_Grunddaten!AB77&lt;&gt;""),IF(Programme_Grunddaten!AB77="Ja",1,0),"")</f>
        <v/>
      </c>
      <c r="U69" s="1" t="str">
        <f>IF(AND(Programme_Grunddaten!$A77="Geprüft",Programme_Grunddaten!AC77&lt;&gt;""),IF(Programme_Grunddaten!AC77="Ja",1,0),"")</f>
        <v/>
      </c>
      <c r="V69" s="1" t="str">
        <f>IF(AND(Programme_Grunddaten!$A77="Geprüft",Programme_Grunddaten!AD77&lt;&gt;""),IF(Programme_Grunddaten!AD77="Ja",1,0),"")</f>
        <v/>
      </c>
      <c r="W69" s="1" t="str">
        <f>IF(AND(Programme_Grunddaten!$A77="Geprüft",Programme_Grunddaten!AE77&lt;&gt;""),IF(Programme_Grunddaten!AE77="Ja",1,0),"")</f>
        <v/>
      </c>
      <c r="X69" s="1" t="str">
        <f>IF(AND(Programme_Grunddaten!$A77="Geprüft",Programme_Grunddaten!AF77&lt;&gt;""),IF(Programme_Grunddaten!AF77="Ja",1,0),"")</f>
        <v/>
      </c>
      <c r="Y69" s="1" t="str">
        <f>IF(AND(Programme_Grunddaten!$A77="Geprüft",Programme_Grunddaten!AG77&lt;&gt;""),IF(Programme_Grunddaten!AG77="Ja",1,0),"")</f>
        <v/>
      </c>
      <c r="Z69" s="1" t="str">
        <f>IF(AND(Programme_Grunddaten!$A77="Geprüft",Programme_Grunddaten!AH77&lt;&gt;""),IF(Programme_Grunddaten!AH77="Ja",1,0),"")</f>
        <v/>
      </c>
      <c r="AA69" s="1" t="str">
        <f>IF(AND(Programme_Grunddaten!$A77="Geprüft",Programme_Grunddaten!AI77&lt;&gt;""),IF(Programme_Grunddaten!AI77="Ja",1,0),"")</f>
        <v/>
      </c>
      <c r="AB69" s="1" t="str">
        <f>IF(AND(Programme_Grunddaten!$A77="Geprüft",Programme_Grunddaten!AJ77&lt;&gt;""),IF(Programme_Grunddaten!AJ77="individuell programmierbar",1,0),"")</f>
        <v/>
      </c>
      <c r="AC69" s="1" t="str">
        <f>IF(AND(Programme_Grunddaten!$A77="Geprüft",Programme_Grunddaten!AK77&lt;&gt;""),IF(Programme_Grunddaten!AK77="Deutsch",0,IF(Programme_Grunddaten!AK77="Deutsch und Englisch",1,2)),"")</f>
        <v/>
      </c>
      <c r="AD69" s="1" t="str">
        <f>IF(AND(Programme_Grunddaten!$A77="Geprüft",Programme_Grunddaten!AL77&lt;&gt;""),IF(Programme_Grunddaten!AL77="Ja",1,0),"")</f>
        <v/>
      </c>
      <c r="AE69" s="1" t="str">
        <f>IF(AND(Programme_Grunddaten!$A77="Geprüft",Programme_Grunddaten!AM77&lt;&gt;""),IF(Programme_Grunddaten!AM77="Ja",1,0),"")</f>
        <v/>
      </c>
      <c r="AF69" s="1" t="str">
        <f>IF(AND(Programme_Grunddaten!$A77="Geprüft",Programme_Grunddaten!AN77&lt;&gt;""),IF(Programme_Grunddaten!AN77="Ja",1,0),"")</f>
        <v/>
      </c>
      <c r="AG69" s="1" t="str">
        <f>IF(AND(Programme_Grunddaten!$A77="Geprüft",Programme_Grunddaten!AO77&lt;&gt;""),IF(Programme_Grunddaten!AO77="Ja",1,0),"")</f>
        <v/>
      </c>
      <c r="AH69" s="1" t="str">
        <f>IF(AND(Programme_Grunddaten!$A77="Geprüft",Programme_Grunddaten!AP77&lt;&gt;""),IF(Programme_Grunddaten!AP77="Ja",1,0),"")</f>
        <v/>
      </c>
      <c r="AI69" s="1" t="str">
        <f>IF(AND(Programme_Grunddaten!$A77="Geprüft",Programme_Grunddaten!AQ77&lt;&gt;""),IF(Programme_Grunddaten!AQ77="Ja",1,0),"")</f>
        <v/>
      </c>
      <c r="AJ69" s="1" t="str">
        <f>IF(AND(Programme_Grunddaten!$A77="Geprüft",Programme_Grunddaten!AR77&lt;&gt;""),IF(Programme_Grunddaten!AR77="Ja",1,0),"")</f>
        <v/>
      </c>
      <c r="AK69" s="1" t="str">
        <f>IF(AND(Programme_Grunddaten!$A77="Geprüft",Programme_Grunddaten!AS77&lt;&gt;""),IF(Programme_Grunddaten!AS77="Ja",1,0),"")</f>
        <v/>
      </c>
      <c r="AL69" s="1" t="str">
        <f>IF(AND(Programme_Grunddaten!$A77="Geprüft",Programme_Grunddaten!AT77&lt;&gt;""),IF(Programme_Grunddaten!AT77="Ja",1,0),"")</f>
        <v/>
      </c>
      <c r="AM69" s="1" t="str">
        <f>IF(AND(Programme_Grunddaten!$A77="Geprüft",Programme_Grunddaten!AU77&lt;&gt;""),IF(Programme_Grunddaten!AU77="Ja",1,0),"")</f>
        <v/>
      </c>
      <c r="AN69" s="1" t="str">
        <f>IF(AND(Programme_Grunddaten!$A77="Geprüft",Programme_Grunddaten!AV77&lt;&gt;""),IF(Programme_Grunddaten!AV77="Ja",1,0),"")</f>
        <v/>
      </c>
    </row>
    <row r="70" spans="1:40" x14ac:dyDescent="0.3">
      <c r="A70" s="1" t="str">
        <f>IF(AND(Programme_Grunddaten!A78="Geprüft",Programme_Grunddaten!B78&lt;&gt;""),Programme_Grunddaten!B78,"")</f>
        <v/>
      </c>
      <c r="B70" s="1" t="str">
        <f>IF(AND(Programme_Grunddaten!$A78="Geprüft",Programme_Grunddaten!I78&lt;&gt;""),IF(Programme_Grunddaten!I78="Ja",1,0),"")</f>
        <v/>
      </c>
      <c r="C70" s="1" t="str">
        <f>IF(AND(Programme_Grunddaten!$A78="Geprüft",Programme_Grunddaten!J78&lt;&gt;""),IF(Programme_Grunddaten!J78="Ja",1,0),"")</f>
        <v/>
      </c>
      <c r="D70" s="1" t="str">
        <f>IF(AND(Programme_Grunddaten!$A78="Geprüft",Programme_Grunddaten!K78&lt;&gt;""),IF(Programme_Grunddaten!K78="Ja",1,0),"")</f>
        <v/>
      </c>
      <c r="E70" s="1" t="str">
        <f>IF(AND(Programme_Grunddaten!$A78="Geprüft",Programme_Grunddaten!L78&lt;&gt;""),IF(Programme_Grunddaten!L78="Abo / befristete Lizenz",1,0),"")</f>
        <v/>
      </c>
      <c r="F70" s="1" t="str">
        <f>IF(AND(Programme_Grunddaten!$A78="Geprüft",Programme_Grunddaten!M78&lt;&gt;""),IF(Programme_Grunddaten!M78="Ja",1,0),"")</f>
        <v/>
      </c>
      <c r="G70" s="1" t="str">
        <f>IF(AND(Programme_Grunddaten!$A78="Geprüft",Programme_Grunddaten!N78&lt;&gt;""),IF(Programme_Grunddaten!N78="Ja",1,0),"")</f>
        <v/>
      </c>
      <c r="H70" s="1" t="str">
        <f>IF(AND(Programme_Grunddaten!$A78="Geprüft",Programme_Grunddaten!O78&lt;&gt;""),IF(Programme_Grunddaten!O78="Deutschland",0,IF(Programme_Grunddaten!O78="EU",1,2)),"")</f>
        <v/>
      </c>
      <c r="I70" s="1" t="str">
        <f>IF(AND(Programme_Grunddaten!$A78="Geprüft",Programme_Grunddaten!P78&lt;&gt;""),IF(Programme_Grunddaten!P78="Ja",1,0),"")</f>
        <v/>
      </c>
      <c r="J70" s="1" t="str">
        <f>IF(AND(Programme_Grunddaten!$A78="Geprüft",Programme_Grunddaten!Q78&lt;&gt;""),IF(Programme_Grunddaten!Q78="geschlossenes System",1,0),"")</f>
        <v/>
      </c>
      <c r="K70" s="1" t="str">
        <f>IF(AND(Programme_Grunddaten!$A78="Geprüft",Programme_Grunddaten!R78&lt;&gt;""),IF(Programme_Grunddaten!R78="Ja",1,0),"")</f>
        <v/>
      </c>
      <c r="L70" s="1" t="str">
        <f>IF(AND(Programme_Grunddaten!$A78="Geprüft",Programme_Grunddaten!T78&lt;&gt;""),IF(Programme_Grunddaten!T78="Ja",1,0),"")</f>
        <v/>
      </c>
      <c r="M70" s="1" t="str">
        <f>IF(AND(Programme_Grunddaten!$A78="Geprüft",Programme_Grunddaten!U78&lt;&gt;""),IF(Programme_Grunddaten!U78="Ja",1,0),"")</f>
        <v/>
      </c>
      <c r="N70" s="1" t="str">
        <f>IF(AND(Programme_Grunddaten!$A78="Geprüft",Programme_Grunddaten!V78&lt;&gt;""),IF(Programme_Grunddaten!V78="Ja",1,0),"")</f>
        <v/>
      </c>
      <c r="O70" s="1" t="str">
        <f>IF(AND(Programme_Grunddaten!$A78="Geprüft",Programme_Grunddaten!W78&lt;&gt;""),IF(Programme_Grunddaten!W78="Ja",1,0),"")</f>
        <v/>
      </c>
      <c r="P70" s="1" t="str">
        <f>IF(AND(Programme_Grunddaten!$A78="Geprüft",Programme_Grunddaten!X78&lt;&gt;""),IF(Programme_Grunddaten!X78="Ja",1,0),"")</f>
        <v/>
      </c>
      <c r="Q70" s="1" t="str">
        <f>IF(AND(Programme_Grunddaten!$A78="Geprüft",Programme_Grunddaten!Y78&lt;&gt;""),IF(Programme_Grunddaten!Y78="Ja",1,0),"")</f>
        <v/>
      </c>
      <c r="R70" s="1" t="str">
        <f>IF(AND(Programme_Grunddaten!$A78="Geprüft",Programme_Grunddaten!Z78&lt;&gt;""),IF(Programme_Grunddaten!Z78="Ja",1,0),"")</f>
        <v/>
      </c>
      <c r="S70" s="1" t="str">
        <f>IF(AND(Programme_Grunddaten!$A78="Geprüft",Programme_Grunddaten!AA78&lt;&gt;""),IF(Programme_Grunddaten!AA78="monolithisch",1,0),"")</f>
        <v/>
      </c>
      <c r="T70" s="1" t="str">
        <f>IF(AND(Programme_Grunddaten!$A78="Geprüft",Programme_Grunddaten!AB78&lt;&gt;""),IF(Programme_Grunddaten!AB78="Ja",1,0),"")</f>
        <v/>
      </c>
      <c r="U70" s="1" t="str">
        <f>IF(AND(Programme_Grunddaten!$A78="Geprüft",Programme_Grunddaten!AC78&lt;&gt;""),IF(Programme_Grunddaten!AC78="Ja",1,0),"")</f>
        <v/>
      </c>
      <c r="V70" s="1" t="str">
        <f>IF(AND(Programme_Grunddaten!$A78="Geprüft",Programme_Grunddaten!AD78&lt;&gt;""),IF(Programme_Grunddaten!AD78="Ja",1,0),"")</f>
        <v/>
      </c>
      <c r="W70" s="1" t="str">
        <f>IF(AND(Programme_Grunddaten!$A78="Geprüft",Programme_Grunddaten!AE78&lt;&gt;""),IF(Programme_Grunddaten!AE78="Ja",1,0),"")</f>
        <v/>
      </c>
      <c r="X70" s="1" t="str">
        <f>IF(AND(Programme_Grunddaten!$A78="Geprüft",Programme_Grunddaten!AF78&lt;&gt;""),IF(Programme_Grunddaten!AF78="Ja",1,0),"")</f>
        <v/>
      </c>
      <c r="Y70" s="1" t="str">
        <f>IF(AND(Programme_Grunddaten!$A78="Geprüft",Programme_Grunddaten!AG78&lt;&gt;""),IF(Programme_Grunddaten!AG78="Ja",1,0),"")</f>
        <v/>
      </c>
      <c r="Z70" s="1" t="str">
        <f>IF(AND(Programme_Grunddaten!$A78="Geprüft",Programme_Grunddaten!AH78&lt;&gt;""),IF(Programme_Grunddaten!AH78="Ja",1,0),"")</f>
        <v/>
      </c>
      <c r="AA70" s="1" t="str">
        <f>IF(AND(Programme_Grunddaten!$A78="Geprüft",Programme_Grunddaten!AI78&lt;&gt;""),IF(Programme_Grunddaten!AI78="Ja",1,0),"")</f>
        <v/>
      </c>
      <c r="AB70" s="1" t="str">
        <f>IF(AND(Programme_Grunddaten!$A78="Geprüft",Programme_Grunddaten!AJ78&lt;&gt;""),IF(Programme_Grunddaten!AJ78="individuell programmierbar",1,0),"")</f>
        <v/>
      </c>
      <c r="AC70" s="1" t="str">
        <f>IF(AND(Programme_Grunddaten!$A78="Geprüft",Programme_Grunddaten!AK78&lt;&gt;""),IF(Programme_Grunddaten!AK78="Deutsch",0,IF(Programme_Grunddaten!AK78="Deutsch und Englisch",1,2)),"")</f>
        <v/>
      </c>
      <c r="AD70" s="1" t="str">
        <f>IF(AND(Programme_Grunddaten!$A78="Geprüft",Programme_Grunddaten!AL78&lt;&gt;""),IF(Programme_Grunddaten!AL78="Ja",1,0),"")</f>
        <v/>
      </c>
      <c r="AE70" s="1" t="str">
        <f>IF(AND(Programme_Grunddaten!$A78="Geprüft",Programme_Grunddaten!AM78&lt;&gt;""),IF(Programme_Grunddaten!AM78="Ja",1,0),"")</f>
        <v/>
      </c>
      <c r="AF70" s="1" t="str">
        <f>IF(AND(Programme_Grunddaten!$A78="Geprüft",Programme_Grunddaten!AN78&lt;&gt;""),IF(Programme_Grunddaten!AN78="Ja",1,0),"")</f>
        <v/>
      </c>
      <c r="AG70" s="1" t="str">
        <f>IF(AND(Programme_Grunddaten!$A78="Geprüft",Programme_Grunddaten!AO78&lt;&gt;""),IF(Programme_Grunddaten!AO78="Ja",1,0),"")</f>
        <v/>
      </c>
      <c r="AH70" s="1" t="str">
        <f>IF(AND(Programme_Grunddaten!$A78="Geprüft",Programme_Grunddaten!AP78&lt;&gt;""),IF(Programme_Grunddaten!AP78="Ja",1,0),"")</f>
        <v/>
      </c>
      <c r="AI70" s="1" t="str">
        <f>IF(AND(Programme_Grunddaten!$A78="Geprüft",Programme_Grunddaten!AQ78&lt;&gt;""),IF(Programme_Grunddaten!AQ78="Ja",1,0),"")</f>
        <v/>
      </c>
      <c r="AJ70" s="1" t="str">
        <f>IF(AND(Programme_Grunddaten!$A78="Geprüft",Programme_Grunddaten!AR78&lt;&gt;""),IF(Programme_Grunddaten!AR78="Ja",1,0),"")</f>
        <v/>
      </c>
      <c r="AK70" s="1" t="str">
        <f>IF(AND(Programme_Grunddaten!$A78="Geprüft",Programme_Grunddaten!AS78&lt;&gt;""),IF(Programme_Grunddaten!AS78="Ja",1,0),"")</f>
        <v/>
      </c>
      <c r="AL70" s="1" t="str">
        <f>IF(AND(Programme_Grunddaten!$A78="Geprüft",Programme_Grunddaten!AT78&lt;&gt;""),IF(Programme_Grunddaten!AT78="Ja",1,0),"")</f>
        <v/>
      </c>
      <c r="AM70" s="1" t="str">
        <f>IF(AND(Programme_Grunddaten!$A78="Geprüft",Programme_Grunddaten!AU78&lt;&gt;""),IF(Programme_Grunddaten!AU78="Ja",1,0),"")</f>
        <v/>
      </c>
      <c r="AN70" s="1" t="str">
        <f>IF(AND(Programme_Grunddaten!$A78="Geprüft",Programme_Grunddaten!AV78&lt;&gt;""),IF(Programme_Grunddaten!AV78="Ja",1,0),"")</f>
        <v/>
      </c>
    </row>
    <row r="71" spans="1:40" x14ac:dyDescent="0.3">
      <c r="A71" s="1" t="str">
        <f>IF(AND(Programme_Grunddaten!A79="Geprüft",Programme_Grunddaten!B79&lt;&gt;""),Programme_Grunddaten!B79,"")</f>
        <v/>
      </c>
      <c r="B71" s="1" t="str">
        <f>IF(AND(Programme_Grunddaten!$A79="Geprüft",Programme_Grunddaten!I79&lt;&gt;""),IF(Programme_Grunddaten!I79="Ja",1,0),"")</f>
        <v/>
      </c>
      <c r="C71" s="1" t="str">
        <f>IF(AND(Programme_Grunddaten!$A79="Geprüft",Programme_Grunddaten!J79&lt;&gt;""),IF(Programme_Grunddaten!J79="Ja",1,0),"")</f>
        <v/>
      </c>
      <c r="D71" s="1" t="str">
        <f>IF(AND(Programme_Grunddaten!$A79="Geprüft",Programme_Grunddaten!K79&lt;&gt;""),IF(Programme_Grunddaten!K79="Ja",1,0),"")</f>
        <v/>
      </c>
      <c r="E71" s="1" t="str">
        <f>IF(AND(Programme_Grunddaten!$A79="Geprüft",Programme_Grunddaten!L79&lt;&gt;""),IF(Programme_Grunddaten!L79="Abo / befristete Lizenz",1,0),"")</f>
        <v/>
      </c>
      <c r="F71" s="1" t="str">
        <f>IF(AND(Programme_Grunddaten!$A79="Geprüft",Programme_Grunddaten!M79&lt;&gt;""),IF(Programme_Grunddaten!M79="Ja",1,0),"")</f>
        <v/>
      </c>
      <c r="G71" s="1" t="str">
        <f>IF(AND(Programme_Grunddaten!$A79="Geprüft",Programme_Grunddaten!N79&lt;&gt;""),IF(Programme_Grunddaten!N79="Ja",1,0),"")</f>
        <v/>
      </c>
      <c r="H71" s="1" t="str">
        <f>IF(AND(Programme_Grunddaten!$A79="Geprüft",Programme_Grunddaten!O79&lt;&gt;""),IF(Programme_Grunddaten!O79="Deutschland",0,IF(Programme_Grunddaten!O79="EU",1,2)),"")</f>
        <v/>
      </c>
      <c r="I71" s="1" t="str">
        <f>IF(AND(Programme_Grunddaten!$A79="Geprüft",Programme_Grunddaten!P79&lt;&gt;""),IF(Programme_Grunddaten!P79="Ja",1,0),"")</f>
        <v/>
      </c>
      <c r="J71" s="1" t="str">
        <f>IF(AND(Programme_Grunddaten!$A79="Geprüft",Programme_Grunddaten!Q79&lt;&gt;""),IF(Programme_Grunddaten!Q79="geschlossenes System",1,0),"")</f>
        <v/>
      </c>
      <c r="K71" s="1" t="str">
        <f>IF(AND(Programme_Grunddaten!$A79="Geprüft",Programme_Grunddaten!R79&lt;&gt;""),IF(Programme_Grunddaten!R79="Ja",1,0),"")</f>
        <v/>
      </c>
      <c r="L71" s="1" t="str">
        <f>IF(AND(Programme_Grunddaten!$A79="Geprüft",Programme_Grunddaten!T79&lt;&gt;""),IF(Programme_Grunddaten!T79="Ja",1,0),"")</f>
        <v/>
      </c>
      <c r="M71" s="1" t="str">
        <f>IF(AND(Programme_Grunddaten!$A79="Geprüft",Programme_Grunddaten!U79&lt;&gt;""),IF(Programme_Grunddaten!U79="Ja",1,0),"")</f>
        <v/>
      </c>
      <c r="N71" s="1" t="str">
        <f>IF(AND(Programme_Grunddaten!$A79="Geprüft",Programme_Grunddaten!V79&lt;&gt;""),IF(Programme_Grunddaten!V79="Ja",1,0),"")</f>
        <v/>
      </c>
      <c r="O71" s="1" t="str">
        <f>IF(AND(Programme_Grunddaten!$A79="Geprüft",Programme_Grunddaten!W79&lt;&gt;""),IF(Programme_Grunddaten!W79="Ja",1,0),"")</f>
        <v/>
      </c>
      <c r="P71" s="1" t="str">
        <f>IF(AND(Programme_Grunddaten!$A79="Geprüft",Programme_Grunddaten!X79&lt;&gt;""),IF(Programme_Grunddaten!X79="Ja",1,0),"")</f>
        <v/>
      </c>
      <c r="Q71" s="1" t="str">
        <f>IF(AND(Programme_Grunddaten!$A79="Geprüft",Programme_Grunddaten!Y79&lt;&gt;""),IF(Programme_Grunddaten!Y79="Ja",1,0),"")</f>
        <v/>
      </c>
      <c r="R71" s="1" t="str">
        <f>IF(AND(Programme_Grunddaten!$A79="Geprüft",Programme_Grunddaten!Z79&lt;&gt;""),IF(Programme_Grunddaten!Z79="Ja",1,0),"")</f>
        <v/>
      </c>
      <c r="S71" s="1" t="str">
        <f>IF(AND(Programme_Grunddaten!$A79="Geprüft",Programme_Grunddaten!AA79&lt;&gt;""),IF(Programme_Grunddaten!AA79="monolithisch",1,0),"")</f>
        <v/>
      </c>
      <c r="T71" s="1" t="str">
        <f>IF(AND(Programme_Grunddaten!$A79="Geprüft",Programme_Grunddaten!AB79&lt;&gt;""),IF(Programme_Grunddaten!AB79="Ja",1,0),"")</f>
        <v/>
      </c>
      <c r="U71" s="1" t="str">
        <f>IF(AND(Programme_Grunddaten!$A79="Geprüft",Programme_Grunddaten!AC79&lt;&gt;""),IF(Programme_Grunddaten!AC79="Ja",1,0),"")</f>
        <v/>
      </c>
      <c r="V71" s="1" t="str">
        <f>IF(AND(Programme_Grunddaten!$A79="Geprüft",Programme_Grunddaten!AD79&lt;&gt;""),IF(Programme_Grunddaten!AD79="Ja",1,0),"")</f>
        <v/>
      </c>
      <c r="W71" s="1" t="str">
        <f>IF(AND(Programme_Grunddaten!$A79="Geprüft",Programme_Grunddaten!AE79&lt;&gt;""),IF(Programme_Grunddaten!AE79="Ja",1,0),"")</f>
        <v/>
      </c>
      <c r="X71" s="1" t="str">
        <f>IF(AND(Programme_Grunddaten!$A79="Geprüft",Programme_Grunddaten!AF79&lt;&gt;""),IF(Programme_Grunddaten!AF79="Ja",1,0),"")</f>
        <v/>
      </c>
      <c r="Y71" s="1" t="str">
        <f>IF(AND(Programme_Grunddaten!$A79="Geprüft",Programme_Grunddaten!AG79&lt;&gt;""),IF(Programme_Grunddaten!AG79="Ja",1,0),"")</f>
        <v/>
      </c>
      <c r="Z71" s="1" t="str">
        <f>IF(AND(Programme_Grunddaten!$A79="Geprüft",Programme_Grunddaten!AH79&lt;&gt;""),IF(Programme_Grunddaten!AH79="Ja",1,0),"")</f>
        <v/>
      </c>
      <c r="AA71" s="1" t="str">
        <f>IF(AND(Programme_Grunddaten!$A79="Geprüft",Programme_Grunddaten!AI79&lt;&gt;""),IF(Programme_Grunddaten!AI79="Ja",1,0),"")</f>
        <v/>
      </c>
      <c r="AB71" s="1" t="str">
        <f>IF(AND(Programme_Grunddaten!$A79="Geprüft",Programme_Grunddaten!AJ79&lt;&gt;""),IF(Programme_Grunddaten!AJ79="individuell programmierbar",1,0),"")</f>
        <v/>
      </c>
      <c r="AC71" s="1" t="str">
        <f>IF(AND(Programme_Grunddaten!$A79="Geprüft",Programme_Grunddaten!AK79&lt;&gt;""),IF(Programme_Grunddaten!AK79="Deutsch",0,IF(Programme_Grunddaten!AK79="Deutsch und Englisch",1,2)),"")</f>
        <v/>
      </c>
      <c r="AD71" s="1" t="str">
        <f>IF(AND(Programme_Grunddaten!$A79="Geprüft",Programme_Grunddaten!AL79&lt;&gt;""),IF(Programme_Grunddaten!AL79="Ja",1,0),"")</f>
        <v/>
      </c>
      <c r="AE71" s="1" t="str">
        <f>IF(AND(Programme_Grunddaten!$A79="Geprüft",Programme_Grunddaten!AM79&lt;&gt;""),IF(Programme_Grunddaten!AM79="Ja",1,0),"")</f>
        <v/>
      </c>
      <c r="AF71" s="1" t="str">
        <f>IF(AND(Programme_Grunddaten!$A79="Geprüft",Programme_Grunddaten!AN79&lt;&gt;""),IF(Programme_Grunddaten!AN79="Ja",1,0),"")</f>
        <v/>
      </c>
      <c r="AG71" s="1" t="str">
        <f>IF(AND(Programme_Grunddaten!$A79="Geprüft",Programme_Grunddaten!AO79&lt;&gt;""),IF(Programme_Grunddaten!AO79="Ja",1,0),"")</f>
        <v/>
      </c>
      <c r="AH71" s="1" t="str">
        <f>IF(AND(Programme_Grunddaten!$A79="Geprüft",Programme_Grunddaten!AP79&lt;&gt;""),IF(Programme_Grunddaten!AP79="Ja",1,0),"")</f>
        <v/>
      </c>
      <c r="AI71" s="1" t="str">
        <f>IF(AND(Programme_Grunddaten!$A79="Geprüft",Programme_Grunddaten!AQ79&lt;&gt;""),IF(Programme_Grunddaten!AQ79="Ja",1,0),"")</f>
        <v/>
      </c>
      <c r="AJ71" s="1" t="str">
        <f>IF(AND(Programme_Grunddaten!$A79="Geprüft",Programme_Grunddaten!AR79&lt;&gt;""),IF(Programme_Grunddaten!AR79="Ja",1,0),"")</f>
        <v/>
      </c>
      <c r="AK71" s="1" t="str">
        <f>IF(AND(Programme_Grunddaten!$A79="Geprüft",Programme_Grunddaten!AS79&lt;&gt;""),IF(Programme_Grunddaten!AS79="Ja",1,0),"")</f>
        <v/>
      </c>
      <c r="AL71" s="1" t="str">
        <f>IF(AND(Programme_Grunddaten!$A79="Geprüft",Programme_Grunddaten!AT79&lt;&gt;""),IF(Programme_Grunddaten!AT79="Ja",1,0),"")</f>
        <v/>
      </c>
      <c r="AM71" s="1" t="str">
        <f>IF(AND(Programme_Grunddaten!$A79="Geprüft",Programme_Grunddaten!AU79&lt;&gt;""),IF(Programme_Grunddaten!AU79="Ja",1,0),"")</f>
        <v/>
      </c>
      <c r="AN71" s="1" t="str">
        <f>IF(AND(Programme_Grunddaten!$A79="Geprüft",Programme_Grunddaten!AV79&lt;&gt;""),IF(Programme_Grunddaten!AV79="Ja",1,0),"")</f>
        <v/>
      </c>
    </row>
    <row r="72" spans="1:40" x14ac:dyDescent="0.3">
      <c r="A72" s="1" t="str">
        <f>IF(AND(Programme_Grunddaten!A80="Geprüft",Programme_Grunddaten!B80&lt;&gt;""),Programme_Grunddaten!B80,"")</f>
        <v/>
      </c>
      <c r="B72" s="1" t="str">
        <f>IF(AND(Programme_Grunddaten!$A80="Geprüft",Programme_Grunddaten!I80&lt;&gt;""),IF(Programme_Grunddaten!I80="Ja",1,0),"")</f>
        <v/>
      </c>
      <c r="C72" s="1" t="str">
        <f>IF(AND(Programme_Grunddaten!$A80="Geprüft",Programme_Grunddaten!J80&lt;&gt;""),IF(Programme_Grunddaten!J80="Ja",1,0),"")</f>
        <v/>
      </c>
      <c r="D72" s="1" t="str">
        <f>IF(AND(Programme_Grunddaten!$A80="Geprüft",Programme_Grunddaten!K80&lt;&gt;""),IF(Programme_Grunddaten!K80="Ja",1,0),"")</f>
        <v/>
      </c>
      <c r="E72" s="1" t="str">
        <f>IF(AND(Programme_Grunddaten!$A80="Geprüft",Programme_Grunddaten!L80&lt;&gt;""),IF(Programme_Grunddaten!L80="Abo / befristete Lizenz",1,0),"")</f>
        <v/>
      </c>
      <c r="F72" s="1" t="str">
        <f>IF(AND(Programme_Grunddaten!$A80="Geprüft",Programme_Grunddaten!M80&lt;&gt;""),IF(Programme_Grunddaten!M80="Ja",1,0),"")</f>
        <v/>
      </c>
      <c r="G72" s="1" t="str">
        <f>IF(AND(Programme_Grunddaten!$A80="Geprüft",Programme_Grunddaten!N80&lt;&gt;""),IF(Programme_Grunddaten!N80="Ja",1,0),"")</f>
        <v/>
      </c>
      <c r="H72" s="1" t="str">
        <f>IF(AND(Programme_Grunddaten!$A80="Geprüft",Programme_Grunddaten!O80&lt;&gt;""),IF(Programme_Grunddaten!O80="Deutschland",0,IF(Programme_Grunddaten!O80="EU",1,2)),"")</f>
        <v/>
      </c>
      <c r="I72" s="1" t="str">
        <f>IF(AND(Programme_Grunddaten!$A80="Geprüft",Programme_Grunddaten!P80&lt;&gt;""),IF(Programme_Grunddaten!P80="Ja",1,0),"")</f>
        <v/>
      </c>
      <c r="J72" s="1" t="str">
        <f>IF(AND(Programme_Grunddaten!$A80="Geprüft",Programme_Grunddaten!Q80&lt;&gt;""),IF(Programme_Grunddaten!Q80="geschlossenes System",1,0),"")</f>
        <v/>
      </c>
      <c r="K72" s="1" t="str">
        <f>IF(AND(Programme_Grunddaten!$A80="Geprüft",Programme_Grunddaten!R80&lt;&gt;""),IF(Programme_Grunddaten!R80="Ja",1,0),"")</f>
        <v/>
      </c>
      <c r="L72" s="1" t="str">
        <f>IF(AND(Programme_Grunddaten!$A80="Geprüft",Programme_Grunddaten!T80&lt;&gt;""),IF(Programme_Grunddaten!T80="Ja",1,0),"")</f>
        <v/>
      </c>
      <c r="M72" s="1" t="str">
        <f>IF(AND(Programme_Grunddaten!$A80="Geprüft",Programme_Grunddaten!U80&lt;&gt;""),IF(Programme_Grunddaten!U80="Ja",1,0),"")</f>
        <v/>
      </c>
      <c r="N72" s="1" t="str">
        <f>IF(AND(Programme_Grunddaten!$A80="Geprüft",Programme_Grunddaten!V80&lt;&gt;""),IF(Programme_Grunddaten!V80="Ja",1,0),"")</f>
        <v/>
      </c>
      <c r="O72" s="1" t="str">
        <f>IF(AND(Programme_Grunddaten!$A80="Geprüft",Programme_Grunddaten!W80&lt;&gt;""),IF(Programme_Grunddaten!W80="Ja",1,0),"")</f>
        <v/>
      </c>
      <c r="P72" s="1" t="str">
        <f>IF(AND(Programme_Grunddaten!$A80="Geprüft",Programme_Grunddaten!X80&lt;&gt;""),IF(Programme_Grunddaten!X80="Ja",1,0),"")</f>
        <v/>
      </c>
      <c r="Q72" s="1" t="str">
        <f>IF(AND(Programme_Grunddaten!$A80="Geprüft",Programme_Grunddaten!Y80&lt;&gt;""),IF(Programme_Grunddaten!Y80="Ja",1,0),"")</f>
        <v/>
      </c>
      <c r="R72" s="1" t="str">
        <f>IF(AND(Programme_Grunddaten!$A80="Geprüft",Programme_Grunddaten!Z80&lt;&gt;""),IF(Programme_Grunddaten!Z80="Ja",1,0),"")</f>
        <v/>
      </c>
      <c r="S72" s="1" t="str">
        <f>IF(AND(Programme_Grunddaten!$A80="Geprüft",Programme_Grunddaten!AA80&lt;&gt;""),IF(Programme_Grunddaten!AA80="monolithisch",1,0),"")</f>
        <v/>
      </c>
      <c r="T72" s="1" t="str">
        <f>IF(AND(Programme_Grunddaten!$A80="Geprüft",Programme_Grunddaten!AB80&lt;&gt;""),IF(Programme_Grunddaten!AB80="Ja",1,0),"")</f>
        <v/>
      </c>
      <c r="U72" s="1" t="str">
        <f>IF(AND(Programme_Grunddaten!$A80="Geprüft",Programme_Grunddaten!AC80&lt;&gt;""),IF(Programme_Grunddaten!AC80="Ja",1,0),"")</f>
        <v/>
      </c>
      <c r="V72" s="1" t="str">
        <f>IF(AND(Programme_Grunddaten!$A80="Geprüft",Programme_Grunddaten!AD80&lt;&gt;""),IF(Programme_Grunddaten!AD80="Ja",1,0),"")</f>
        <v/>
      </c>
      <c r="W72" s="1" t="str">
        <f>IF(AND(Programme_Grunddaten!$A80="Geprüft",Programme_Grunddaten!AE80&lt;&gt;""),IF(Programme_Grunddaten!AE80="Ja",1,0),"")</f>
        <v/>
      </c>
      <c r="X72" s="1" t="str">
        <f>IF(AND(Programme_Grunddaten!$A80="Geprüft",Programme_Grunddaten!AF80&lt;&gt;""),IF(Programme_Grunddaten!AF80="Ja",1,0),"")</f>
        <v/>
      </c>
      <c r="Y72" s="1" t="str">
        <f>IF(AND(Programme_Grunddaten!$A80="Geprüft",Programme_Grunddaten!AG80&lt;&gt;""),IF(Programme_Grunddaten!AG80="Ja",1,0),"")</f>
        <v/>
      </c>
      <c r="Z72" s="1" t="str">
        <f>IF(AND(Programme_Grunddaten!$A80="Geprüft",Programme_Grunddaten!AH80&lt;&gt;""),IF(Programme_Grunddaten!AH80="Ja",1,0),"")</f>
        <v/>
      </c>
      <c r="AA72" s="1" t="str">
        <f>IF(AND(Programme_Grunddaten!$A80="Geprüft",Programme_Grunddaten!AI80&lt;&gt;""),IF(Programme_Grunddaten!AI80="Ja",1,0),"")</f>
        <v/>
      </c>
      <c r="AB72" s="1" t="str">
        <f>IF(AND(Programme_Grunddaten!$A80="Geprüft",Programme_Grunddaten!AJ80&lt;&gt;""),IF(Programme_Grunddaten!AJ80="individuell programmierbar",1,0),"")</f>
        <v/>
      </c>
      <c r="AC72" s="1" t="str">
        <f>IF(AND(Programme_Grunddaten!$A80="Geprüft",Programme_Grunddaten!AK80&lt;&gt;""),IF(Programme_Grunddaten!AK80="Deutsch",0,IF(Programme_Grunddaten!AK80="Deutsch und Englisch",1,2)),"")</f>
        <v/>
      </c>
      <c r="AD72" s="1" t="str">
        <f>IF(AND(Programme_Grunddaten!$A80="Geprüft",Programme_Grunddaten!AL80&lt;&gt;""),IF(Programme_Grunddaten!AL80="Ja",1,0),"")</f>
        <v/>
      </c>
      <c r="AE72" s="1" t="str">
        <f>IF(AND(Programme_Grunddaten!$A80="Geprüft",Programme_Grunddaten!AM80&lt;&gt;""),IF(Programme_Grunddaten!AM80="Ja",1,0),"")</f>
        <v/>
      </c>
      <c r="AF72" s="1" t="str">
        <f>IF(AND(Programme_Grunddaten!$A80="Geprüft",Programme_Grunddaten!AN80&lt;&gt;""),IF(Programme_Grunddaten!AN80="Ja",1,0),"")</f>
        <v/>
      </c>
      <c r="AG72" s="1" t="str">
        <f>IF(AND(Programme_Grunddaten!$A80="Geprüft",Programme_Grunddaten!AO80&lt;&gt;""),IF(Programme_Grunddaten!AO80="Ja",1,0),"")</f>
        <v/>
      </c>
      <c r="AH72" s="1" t="str">
        <f>IF(AND(Programme_Grunddaten!$A80="Geprüft",Programme_Grunddaten!AP80&lt;&gt;""),IF(Programme_Grunddaten!AP80="Ja",1,0),"")</f>
        <v/>
      </c>
      <c r="AI72" s="1" t="str">
        <f>IF(AND(Programme_Grunddaten!$A80="Geprüft",Programme_Grunddaten!AQ80&lt;&gt;""),IF(Programme_Grunddaten!AQ80="Ja",1,0),"")</f>
        <v/>
      </c>
      <c r="AJ72" s="1" t="str">
        <f>IF(AND(Programme_Grunddaten!$A80="Geprüft",Programme_Grunddaten!AR80&lt;&gt;""),IF(Programme_Grunddaten!AR80="Ja",1,0),"")</f>
        <v/>
      </c>
      <c r="AK72" s="1" t="str">
        <f>IF(AND(Programme_Grunddaten!$A80="Geprüft",Programme_Grunddaten!AS80&lt;&gt;""),IF(Programme_Grunddaten!AS80="Ja",1,0),"")</f>
        <v/>
      </c>
      <c r="AL72" s="1" t="str">
        <f>IF(AND(Programme_Grunddaten!$A80="Geprüft",Programme_Grunddaten!AT80&lt;&gt;""),IF(Programme_Grunddaten!AT80="Ja",1,0),"")</f>
        <v/>
      </c>
      <c r="AM72" s="1" t="str">
        <f>IF(AND(Programme_Grunddaten!$A80="Geprüft",Programme_Grunddaten!AU80&lt;&gt;""),IF(Programme_Grunddaten!AU80="Ja",1,0),"")</f>
        <v/>
      </c>
      <c r="AN72" s="1" t="str">
        <f>IF(AND(Programme_Grunddaten!$A80="Geprüft",Programme_Grunddaten!AV80&lt;&gt;""),IF(Programme_Grunddaten!AV80="Ja",1,0),"")</f>
        <v/>
      </c>
    </row>
    <row r="73" spans="1:40" x14ac:dyDescent="0.3">
      <c r="A73" s="1" t="str">
        <f>IF(AND(Programme_Grunddaten!A81="Geprüft",Programme_Grunddaten!B81&lt;&gt;""),Programme_Grunddaten!B81,"")</f>
        <v/>
      </c>
      <c r="B73" s="1" t="str">
        <f>IF(AND(Programme_Grunddaten!$A81="Geprüft",Programme_Grunddaten!I81&lt;&gt;""),IF(Programme_Grunddaten!I81="Ja",1,0),"")</f>
        <v/>
      </c>
      <c r="C73" s="1" t="str">
        <f>IF(AND(Programme_Grunddaten!$A81="Geprüft",Programme_Grunddaten!J81&lt;&gt;""),IF(Programme_Grunddaten!J81="Ja",1,0),"")</f>
        <v/>
      </c>
      <c r="D73" s="1" t="str">
        <f>IF(AND(Programme_Grunddaten!$A81="Geprüft",Programme_Grunddaten!K81&lt;&gt;""),IF(Programme_Grunddaten!K81="Ja",1,0),"")</f>
        <v/>
      </c>
      <c r="E73" s="1" t="str">
        <f>IF(AND(Programme_Grunddaten!$A81="Geprüft",Programme_Grunddaten!L81&lt;&gt;""),IF(Programme_Grunddaten!L81="Abo / befristete Lizenz",1,0),"")</f>
        <v/>
      </c>
      <c r="F73" s="1" t="str">
        <f>IF(AND(Programme_Grunddaten!$A81="Geprüft",Programme_Grunddaten!M81&lt;&gt;""),IF(Programme_Grunddaten!M81="Ja",1,0),"")</f>
        <v/>
      </c>
      <c r="G73" s="1" t="str">
        <f>IF(AND(Programme_Grunddaten!$A81="Geprüft",Programme_Grunddaten!N81&lt;&gt;""),IF(Programme_Grunddaten!N81="Ja",1,0),"")</f>
        <v/>
      </c>
      <c r="H73" s="1" t="str">
        <f>IF(AND(Programme_Grunddaten!$A81="Geprüft",Programme_Grunddaten!O81&lt;&gt;""),IF(Programme_Grunddaten!O81="Deutschland",0,IF(Programme_Grunddaten!O81="EU",1,2)),"")</f>
        <v/>
      </c>
      <c r="I73" s="1" t="str">
        <f>IF(AND(Programme_Grunddaten!$A81="Geprüft",Programme_Grunddaten!P81&lt;&gt;""),IF(Programme_Grunddaten!P81="Ja",1,0),"")</f>
        <v/>
      </c>
      <c r="J73" s="1" t="str">
        <f>IF(AND(Programme_Grunddaten!$A81="Geprüft",Programme_Grunddaten!Q81&lt;&gt;""),IF(Programme_Grunddaten!Q81="geschlossenes System",1,0),"")</f>
        <v/>
      </c>
      <c r="K73" s="1" t="str">
        <f>IF(AND(Programme_Grunddaten!$A81="Geprüft",Programme_Grunddaten!R81&lt;&gt;""),IF(Programme_Grunddaten!R81="Ja",1,0),"")</f>
        <v/>
      </c>
      <c r="L73" s="1" t="str">
        <f>IF(AND(Programme_Grunddaten!$A81="Geprüft",Programme_Grunddaten!T81&lt;&gt;""),IF(Programme_Grunddaten!T81="Ja",1,0),"")</f>
        <v/>
      </c>
      <c r="M73" s="1" t="str">
        <f>IF(AND(Programme_Grunddaten!$A81="Geprüft",Programme_Grunddaten!U81&lt;&gt;""),IF(Programme_Grunddaten!U81="Ja",1,0),"")</f>
        <v/>
      </c>
      <c r="N73" s="1" t="str">
        <f>IF(AND(Programme_Grunddaten!$A81="Geprüft",Programme_Grunddaten!V81&lt;&gt;""),IF(Programme_Grunddaten!V81="Ja",1,0),"")</f>
        <v/>
      </c>
      <c r="O73" s="1" t="str">
        <f>IF(AND(Programme_Grunddaten!$A81="Geprüft",Programme_Grunddaten!W81&lt;&gt;""),IF(Programme_Grunddaten!W81="Ja",1,0),"")</f>
        <v/>
      </c>
      <c r="P73" s="1" t="str">
        <f>IF(AND(Programme_Grunddaten!$A81="Geprüft",Programme_Grunddaten!X81&lt;&gt;""),IF(Programme_Grunddaten!X81="Ja",1,0),"")</f>
        <v/>
      </c>
      <c r="Q73" s="1" t="str">
        <f>IF(AND(Programme_Grunddaten!$A81="Geprüft",Programme_Grunddaten!Y81&lt;&gt;""),IF(Programme_Grunddaten!Y81="Ja",1,0),"")</f>
        <v/>
      </c>
      <c r="R73" s="1" t="str">
        <f>IF(AND(Programme_Grunddaten!$A81="Geprüft",Programme_Grunddaten!Z81&lt;&gt;""),IF(Programme_Grunddaten!Z81="Ja",1,0),"")</f>
        <v/>
      </c>
      <c r="S73" s="1" t="str">
        <f>IF(AND(Programme_Grunddaten!$A81="Geprüft",Programme_Grunddaten!AA81&lt;&gt;""),IF(Programme_Grunddaten!AA81="monolithisch",1,0),"")</f>
        <v/>
      </c>
      <c r="T73" s="1" t="str">
        <f>IF(AND(Programme_Grunddaten!$A81="Geprüft",Programme_Grunddaten!AB81&lt;&gt;""),IF(Programme_Grunddaten!AB81="Ja",1,0),"")</f>
        <v/>
      </c>
      <c r="U73" s="1" t="str">
        <f>IF(AND(Programme_Grunddaten!$A81="Geprüft",Programme_Grunddaten!AC81&lt;&gt;""),IF(Programme_Grunddaten!AC81="Ja",1,0),"")</f>
        <v/>
      </c>
      <c r="V73" s="1" t="str">
        <f>IF(AND(Programme_Grunddaten!$A81="Geprüft",Programme_Grunddaten!AD81&lt;&gt;""),IF(Programme_Grunddaten!AD81="Ja",1,0),"")</f>
        <v/>
      </c>
      <c r="W73" s="1" t="str">
        <f>IF(AND(Programme_Grunddaten!$A81="Geprüft",Programme_Grunddaten!AE81&lt;&gt;""),IF(Programme_Grunddaten!AE81="Ja",1,0),"")</f>
        <v/>
      </c>
      <c r="X73" s="1" t="str">
        <f>IF(AND(Programme_Grunddaten!$A81="Geprüft",Programme_Grunddaten!AF81&lt;&gt;""),IF(Programme_Grunddaten!AF81="Ja",1,0),"")</f>
        <v/>
      </c>
      <c r="Y73" s="1" t="str">
        <f>IF(AND(Programme_Grunddaten!$A81="Geprüft",Programme_Grunddaten!AG81&lt;&gt;""),IF(Programme_Grunddaten!AG81="Ja",1,0),"")</f>
        <v/>
      </c>
      <c r="Z73" s="1" t="str">
        <f>IF(AND(Programme_Grunddaten!$A81="Geprüft",Programme_Grunddaten!AH81&lt;&gt;""),IF(Programme_Grunddaten!AH81="Ja",1,0),"")</f>
        <v/>
      </c>
      <c r="AA73" s="1" t="str">
        <f>IF(AND(Programme_Grunddaten!$A81="Geprüft",Programme_Grunddaten!AI81&lt;&gt;""),IF(Programme_Grunddaten!AI81="Ja",1,0),"")</f>
        <v/>
      </c>
      <c r="AB73" s="1" t="str">
        <f>IF(AND(Programme_Grunddaten!$A81="Geprüft",Programme_Grunddaten!AJ81&lt;&gt;""),IF(Programme_Grunddaten!AJ81="individuell programmierbar",1,0),"")</f>
        <v/>
      </c>
      <c r="AC73" s="1" t="str">
        <f>IF(AND(Programme_Grunddaten!$A81="Geprüft",Programme_Grunddaten!AK81&lt;&gt;""),IF(Programme_Grunddaten!AK81="Deutsch",0,IF(Programme_Grunddaten!AK81="Deutsch und Englisch",1,2)),"")</f>
        <v/>
      </c>
      <c r="AD73" s="1" t="str">
        <f>IF(AND(Programme_Grunddaten!$A81="Geprüft",Programme_Grunddaten!AL81&lt;&gt;""),IF(Programme_Grunddaten!AL81="Ja",1,0),"")</f>
        <v/>
      </c>
      <c r="AE73" s="1" t="str">
        <f>IF(AND(Programme_Grunddaten!$A81="Geprüft",Programme_Grunddaten!AM81&lt;&gt;""),IF(Programme_Grunddaten!AM81="Ja",1,0),"")</f>
        <v/>
      </c>
      <c r="AF73" s="1" t="str">
        <f>IF(AND(Programme_Grunddaten!$A81="Geprüft",Programme_Grunddaten!AN81&lt;&gt;""),IF(Programme_Grunddaten!AN81="Ja",1,0),"")</f>
        <v/>
      </c>
      <c r="AG73" s="1" t="str">
        <f>IF(AND(Programme_Grunddaten!$A81="Geprüft",Programme_Grunddaten!AO81&lt;&gt;""),IF(Programme_Grunddaten!AO81="Ja",1,0),"")</f>
        <v/>
      </c>
      <c r="AH73" s="1" t="str">
        <f>IF(AND(Programme_Grunddaten!$A81="Geprüft",Programme_Grunddaten!AP81&lt;&gt;""),IF(Programme_Grunddaten!AP81="Ja",1,0),"")</f>
        <v/>
      </c>
      <c r="AI73" s="1" t="str">
        <f>IF(AND(Programme_Grunddaten!$A81="Geprüft",Programme_Grunddaten!AQ81&lt;&gt;""),IF(Programme_Grunddaten!AQ81="Ja",1,0),"")</f>
        <v/>
      </c>
      <c r="AJ73" s="1" t="str">
        <f>IF(AND(Programme_Grunddaten!$A81="Geprüft",Programme_Grunddaten!AR81&lt;&gt;""),IF(Programme_Grunddaten!AR81="Ja",1,0),"")</f>
        <v/>
      </c>
      <c r="AK73" s="1" t="str">
        <f>IF(AND(Programme_Grunddaten!$A81="Geprüft",Programme_Grunddaten!AS81&lt;&gt;""),IF(Programme_Grunddaten!AS81="Ja",1,0),"")</f>
        <v/>
      </c>
      <c r="AL73" s="1" t="str">
        <f>IF(AND(Programme_Grunddaten!$A81="Geprüft",Programme_Grunddaten!AT81&lt;&gt;""),IF(Programme_Grunddaten!AT81="Ja",1,0),"")</f>
        <v/>
      </c>
      <c r="AM73" s="1" t="str">
        <f>IF(AND(Programme_Grunddaten!$A81="Geprüft",Programme_Grunddaten!AU81&lt;&gt;""),IF(Programme_Grunddaten!AU81="Ja",1,0),"")</f>
        <v/>
      </c>
      <c r="AN73" s="1" t="str">
        <f>IF(AND(Programme_Grunddaten!$A81="Geprüft",Programme_Grunddaten!AV81&lt;&gt;""),IF(Programme_Grunddaten!AV81="Ja",1,0),"")</f>
        <v/>
      </c>
    </row>
    <row r="74" spans="1:40" x14ac:dyDescent="0.3">
      <c r="A74" s="1" t="str">
        <f>IF(AND(Programme_Grunddaten!A82="Geprüft",Programme_Grunddaten!B82&lt;&gt;""),Programme_Grunddaten!B82,"")</f>
        <v/>
      </c>
      <c r="B74" s="1" t="str">
        <f>IF(AND(Programme_Grunddaten!$A82="Geprüft",Programme_Grunddaten!I82&lt;&gt;""),IF(Programme_Grunddaten!I82="Ja",1,0),"")</f>
        <v/>
      </c>
      <c r="C74" s="1" t="str">
        <f>IF(AND(Programme_Grunddaten!$A82="Geprüft",Programme_Grunddaten!J82&lt;&gt;""),IF(Programme_Grunddaten!J82="Ja",1,0),"")</f>
        <v/>
      </c>
      <c r="D74" s="1" t="str">
        <f>IF(AND(Programme_Grunddaten!$A82="Geprüft",Programme_Grunddaten!K82&lt;&gt;""),IF(Programme_Grunddaten!K82="Ja",1,0),"")</f>
        <v/>
      </c>
      <c r="E74" s="1" t="str">
        <f>IF(AND(Programme_Grunddaten!$A82="Geprüft",Programme_Grunddaten!L82&lt;&gt;""),IF(Programme_Grunddaten!L82="Abo / befristete Lizenz",1,0),"")</f>
        <v/>
      </c>
      <c r="F74" s="1" t="str">
        <f>IF(AND(Programme_Grunddaten!$A82="Geprüft",Programme_Grunddaten!M82&lt;&gt;""),IF(Programme_Grunddaten!M82="Ja",1,0),"")</f>
        <v/>
      </c>
      <c r="G74" s="1" t="str">
        <f>IF(AND(Programme_Grunddaten!$A82="Geprüft",Programme_Grunddaten!N82&lt;&gt;""),IF(Programme_Grunddaten!N82="Ja",1,0),"")</f>
        <v/>
      </c>
      <c r="H74" s="1" t="str">
        <f>IF(AND(Programme_Grunddaten!$A82="Geprüft",Programme_Grunddaten!O82&lt;&gt;""),IF(Programme_Grunddaten!O82="Deutschland",0,IF(Programme_Grunddaten!O82="EU",1,2)),"")</f>
        <v/>
      </c>
      <c r="I74" s="1" t="str">
        <f>IF(AND(Programme_Grunddaten!$A82="Geprüft",Programme_Grunddaten!P82&lt;&gt;""),IF(Programme_Grunddaten!P82="Ja",1,0),"")</f>
        <v/>
      </c>
      <c r="J74" s="1" t="str">
        <f>IF(AND(Programme_Grunddaten!$A82="Geprüft",Programme_Grunddaten!Q82&lt;&gt;""),IF(Programme_Grunddaten!Q82="geschlossenes System",1,0),"")</f>
        <v/>
      </c>
      <c r="K74" s="1" t="str">
        <f>IF(AND(Programme_Grunddaten!$A82="Geprüft",Programme_Grunddaten!R82&lt;&gt;""),IF(Programme_Grunddaten!R82="Ja",1,0),"")</f>
        <v/>
      </c>
      <c r="L74" s="1" t="str">
        <f>IF(AND(Programme_Grunddaten!$A82="Geprüft",Programme_Grunddaten!T82&lt;&gt;""),IF(Programme_Grunddaten!T82="Ja",1,0),"")</f>
        <v/>
      </c>
      <c r="M74" s="1" t="str">
        <f>IF(AND(Programme_Grunddaten!$A82="Geprüft",Programme_Grunddaten!U82&lt;&gt;""),IF(Programme_Grunddaten!U82="Ja",1,0),"")</f>
        <v/>
      </c>
      <c r="N74" s="1" t="str">
        <f>IF(AND(Programme_Grunddaten!$A82="Geprüft",Programme_Grunddaten!V82&lt;&gt;""),IF(Programme_Grunddaten!V82="Ja",1,0),"")</f>
        <v/>
      </c>
      <c r="O74" s="1" t="str">
        <f>IF(AND(Programme_Grunddaten!$A82="Geprüft",Programme_Grunddaten!W82&lt;&gt;""),IF(Programme_Grunddaten!W82="Ja",1,0),"")</f>
        <v/>
      </c>
      <c r="P74" s="1" t="str">
        <f>IF(AND(Programme_Grunddaten!$A82="Geprüft",Programme_Grunddaten!X82&lt;&gt;""),IF(Programme_Grunddaten!X82="Ja",1,0),"")</f>
        <v/>
      </c>
      <c r="Q74" s="1" t="str">
        <f>IF(AND(Programme_Grunddaten!$A82="Geprüft",Programme_Grunddaten!Y82&lt;&gt;""),IF(Programme_Grunddaten!Y82="Ja",1,0),"")</f>
        <v/>
      </c>
      <c r="R74" s="1" t="str">
        <f>IF(AND(Programme_Grunddaten!$A82="Geprüft",Programme_Grunddaten!Z82&lt;&gt;""),IF(Programme_Grunddaten!Z82="Ja",1,0),"")</f>
        <v/>
      </c>
      <c r="S74" s="1" t="str">
        <f>IF(AND(Programme_Grunddaten!$A82="Geprüft",Programme_Grunddaten!AA82&lt;&gt;""),IF(Programme_Grunddaten!AA82="monolithisch",1,0),"")</f>
        <v/>
      </c>
      <c r="T74" s="1" t="str">
        <f>IF(AND(Programme_Grunddaten!$A82="Geprüft",Programme_Grunddaten!AB82&lt;&gt;""),IF(Programme_Grunddaten!AB82="Ja",1,0),"")</f>
        <v/>
      </c>
      <c r="U74" s="1" t="str">
        <f>IF(AND(Programme_Grunddaten!$A82="Geprüft",Programme_Grunddaten!AC82&lt;&gt;""),IF(Programme_Grunddaten!AC82="Ja",1,0),"")</f>
        <v/>
      </c>
      <c r="V74" s="1" t="str">
        <f>IF(AND(Programme_Grunddaten!$A82="Geprüft",Programme_Grunddaten!AD82&lt;&gt;""),IF(Programme_Grunddaten!AD82="Ja",1,0),"")</f>
        <v/>
      </c>
      <c r="W74" s="1" t="str">
        <f>IF(AND(Programme_Grunddaten!$A82="Geprüft",Programme_Grunddaten!AE82&lt;&gt;""),IF(Programme_Grunddaten!AE82="Ja",1,0),"")</f>
        <v/>
      </c>
      <c r="X74" s="1" t="str">
        <f>IF(AND(Programme_Grunddaten!$A82="Geprüft",Programme_Grunddaten!AF82&lt;&gt;""),IF(Programme_Grunddaten!AF82="Ja",1,0),"")</f>
        <v/>
      </c>
      <c r="Y74" s="1" t="str">
        <f>IF(AND(Programme_Grunddaten!$A82="Geprüft",Programme_Grunddaten!AG82&lt;&gt;""),IF(Programme_Grunddaten!AG82="Ja",1,0),"")</f>
        <v/>
      </c>
      <c r="Z74" s="1" t="str">
        <f>IF(AND(Programme_Grunddaten!$A82="Geprüft",Programme_Grunddaten!AH82&lt;&gt;""),IF(Programme_Grunddaten!AH82="Ja",1,0),"")</f>
        <v/>
      </c>
      <c r="AA74" s="1" t="str">
        <f>IF(AND(Programme_Grunddaten!$A82="Geprüft",Programme_Grunddaten!AI82&lt;&gt;""),IF(Programme_Grunddaten!AI82="Ja",1,0),"")</f>
        <v/>
      </c>
      <c r="AB74" s="1" t="str">
        <f>IF(AND(Programme_Grunddaten!$A82="Geprüft",Programme_Grunddaten!AJ82&lt;&gt;""),IF(Programme_Grunddaten!AJ82="individuell programmierbar",1,0),"")</f>
        <v/>
      </c>
      <c r="AC74" s="1" t="str">
        <f>IF(AND(Programme_Grunddaten!$A82="Geprüft",Programme_Grunddaten!AK82&lt;&gt;""),IF(Programme_Grunddaten!AK82="Deutsch",0,IF(Programme_Grunddaten!AK82="Deutsch und Englisch",1,2)),"")</f>
        <v/>
      </c>
      <c r="AD74" s="1" t="str">
        <f>IF(AND(Programme_Grunddaten!$A82="Geprüft",Programme_Grunddaten!AL82&lt;&gt;""),IF(Programme_Grunddaten!AL82="Ja",1,0),"")</f>
        <v/>
      </c>
      <c r="AE74" s="1" t="str">
        <f>IF(AND(Programme_Grunddaten!$A82="Geprüft",Programme_Grunddaten!AM82&lt;&gt;""),IF(Programme_Grunddaten!AM82="Ja",1,0),"")</f>
        <v/>
      </c>
      <c r="AF74" s="1" t="str">
        <f>IF(AND(Programme_Grunddaten!$A82="Geprüft",Programme_Grunddaten!AN82&lt;&gt;""),IF(Programme_Grunddaten!AN82="Ja",1,0),"")</f>
        <v/>
      </c>
      <c r="AG74" s="1" t="str">
        <f>IF(AND(Programme_Grunddaten!$A82="Geprüft",Programme_Grunddaten!AO82&lt;&gt;""),IF(Programme_Grunddaten!AO82="Ja",1,0),"")</f>
        <v/>
      </c>
      <c r="AH74" s="1" t="str">
        <f>IF(AND(Programme_Grunddaten!$A82="Geprüft",Programme_Grunddaten!AP82&lt;&gt;""),IF(Programme_Grunddaten!AP82="Ja",1,0),"")</f>
        <v/>
      </c>
      <c r="AI74" s="1" t="str">
        <f>IF(AND(Programme_Grunddaten!$A82="Geprüft",Programme_Grunddaten!AQ82&lt;&gt;""),IF(Programme_Grunddaten!AQ82="Ja",1,0),"")</f>
        <v/>
      </c>
      <c r="AJ74" s="1" t="str">
        <f>IF(AND(Programme_Grunddaten!$A82="Geprüft",Programme_Grunddaten!AR82&lt;&gt;""),IF(Programme_Grunddaten!AR82="Ja",1,0),"")</f>
        <v/>
      </c>
      <c r="AK74" s="1" t="str">
        <f>IF(AND(Programme_Grunddaten!$A82="Geprüft",Programme_Grunddaten!AS82&lt;&gt;""),IF(Programme_Grunddaten!AS82="Ja",1,0),"")</f>
        <v/>
      </c>
      <c r="AL74" s="1" t="str">
        <f>IF(AND(Programme_Grunddaten!$A82="Geprüft",Programme_Grunddaten!AT82&lt;&gt;""),IF(Programme_Grunddaten!AT82="Ja",1,0),"")</f>
        <v/>
      </c>
      <c r="AM74" s="1" t="str">
        <f>IF(AND(Programme_Grunddaten!$A82="Geprüft",Programme_Grunddaten!AU82&lt;&gt;""),IF(Programme_Grunddaten!AU82="Ja",1,0),"")</f>
        <v/>
      </c>
      <c r="AN74" s="1" t="str">
        <f>IF(AND(Programme_Grunddaten!$A82="Geprüft",Programme_Grunddaten!AV82&lt;&gt;""),IF(Programme_Grunddaten!AV82="Ja",1,0),"")</f>
        <v/>
      </c>
    </row>
    <row r="75" spans="1:40" x14ac:dyDescent="0.3">
      <c r="A75" s="1" t="str">
        <f>IF(AND(Programme_Grunddaten!A83="Geprüft",Programme_Grunddaten!B83&lt;&gt;""),Programme_Grunddaten!B83,"")</f>
        <v/>
      </c>
      <c r="B75" s="1" t="str">
        <f>IF(AND(Programme_Grunddaten!$A83="Geprüft",Programme_Grunddaten!I83&lt;&gt;""),IF(Programme_Grunddaten!I83="Ja",1,0),"")</f>
        <v/>
      </c>
      <c r="C75" s="1" t="str">
        <f>IF(AND(Programme_Grunddaten!$A83="Geprüft",Programme_Grunddaten!J83&lt;&gt;""),IF(Programme_Grunddaten!J83="Ja",1,0),"")</f>
        <v/>
      </c>
      <c r="D75" s="1" t="str">
        <f>IF(AND(Programme_Grunddaten!$A83="Geprüft",Programme_Grunddaten!K83&lt;&gt;""),IF(Programme_Grunddaten!K83="Ja",1,0),"")</f>
        <v/>
      </c>
      <c r="E75" s="1" t="str">
        <f>IF(AND(Programme_Grunddaten!$A83="Geprüft",Programme_Grunddaten!L83&lt;&gt;""),IF(Programme_Grunddaten!L83="Abo / befristete Lizenz",1,0),"")</f>
        <v/>
      </c>
      <c r="F75" s="1" t="str">
        <f>IF(AND(Programme_Grunddaten!$A83="Geprüft",Programme_Grunddaten!M83&lt;&gt;""),IF(Programme_Grunddaten!M83="Ja",1,0),"")</f>
        <v/>
      </c>
      <c r="G75" s="1" t="str">
        <f>IF(AND(Programme_Grunddaten!$A83="Geprüft",Programme_Grunddaten!N83&lt;&gt;""),IF(Programme_Grunddaten!N83="Ja",1,0),"")</f>
        <v/>
      </c>
      <c r="H75" s="1" t="str">
        <f>IF(AND(Programme_Grunddaten!$A83="Geprüft",Programme_Grunddaten!O83&lt;&gt;""),IF(Programme_Grunddaten!O83="Deutschland",0,IF(Programme_Grunddaten!O83="EU",1,2)),"")</f>
        <v/>
      </c>
      <c r="I75" s="1" t="str">
        <f>IF(AND(Programme_Grunddaten!$A83="Geprüft",Programme_Grunddaten!P83&lt;&gt;""),IF(Programme_Grunddaten!P83="Ja",1,0),"")</f>
        <v/>
      </c>
      <c r="J75" s="1" t="str">
        <f>IF(AND(Programme_Grunddaten!$A83="Geprüft",Programme_Grunddaten!Q83&lt;&gt;""),IF(Programme_Grunddaten!Q83="geschlossenes System",1,0),"")</f>
        <v/>
      </c>
      <c r="K75" s="1" t="str">
        <f>IF(AND(Programme_Grunddaten!$A83="Geprüft",Programme_Grunddaten!R83&lt;&gt;""),IF(Programme_Grunddaten!R83="Ja",1,0),"")</f>
        <v/>
      </c>
      <c r="L75" s="1" t="str">
        <f>IF(AND(Programme_Grunddaten!$A83="Geprüft",Programme_Grunddaten!T83&lt;&gt;""),IF(Programme_Grunddaten!T83="Ja",1,0),"")</f>
        <v/>
      </c>
      <c r="M75" s="1" t="str">
        <f>IF(AND(Programme_Grunddaten!$A83="Geprüft",Programme_Grunddaten!U83&lt;&gt;""),IF(Programme_Grunddaten!U83="Ja",1,0),"")</f>
        <v/>
      </c>
      <c r="N75" s="1" t="str">
        <f>IF(AND(Programme_Grunddaten!$A83="Geprüft",Programme_Grunddaten!V83&lt;&gt;""),IF(Programme_Grunddaten!V83="Ja",1,0),"")</f>
        <v/>
      </c>
      <c r="O75" s="1" t="str">
        <f>IF(AND(Programme_Grunddaten!$A83="Geprüft",Programme_Grunddaten!W83&lt;&gt;""),IF(Programme_Grunddaten!W83="Ja",1,0),"")</f>
        <v/>
      </c>
      <c r="P75" s="1" t="str">
        <f>IF(AND(Programme_Grunddaten!$A83="Geprüft",Programme_Grunddaten!X83&lt;&gt;""),IF(Programme_Grunddaten!X83="Ja",1,0),"")</f>
        <v/>
      </c>
      <c r="Q75" s="1" t="str">
        <f>IF(AND(Programme_Grunddaten!$A83="Geprüft",Programme_Grunddaten!Y83&lt;&gt;""),IF(Programme_Grunddaten!Y83="Ja",1,0),"")</f>
        <v/>
      </c>
      <c r="R75" s="1" t="str">
        <f>IF(AND(Programme_Grunddaten!$A83="Geprüft",Programme_Grunddaten!Z83&lt;&gt;""),IF(Programme_Grunddaten!Z83="Ja",1,0),"")</f>
        <v/>
      </c>
      <c r="S75" s="1" t="str">
        <f>IF(AND(Programme_Grunddaten!$A83="Geprüft",Programme_Grunddaten!AA83&lt;&gt;""),IF(Programme_Grunddaten!AA83="monolithisch",1,0),"")</f>
        <v/>
      </c>
      <c r="T75" s="1" t="str">
        <f>IF(AND(Programme_Grunddaten!$A83="Geprüft",Programme_Grunddaten!AB83&lt;&gt;""),IF(Programme_Grunddaten!AB83="Ja",1,0),"")</f>
        <v/>
      </c>
      <c r="U75" s="1" t="str">
        <f>IF(AND(Programme_Grunddaten!$A83="Geprüft",Programme_Grunddaten!AC83&lt;&gt;""),IF(Programme_Grunddaten!AC83="Ja",1,0),"")</f>
        <v/>
      </c>
      <c r="V75" s="1" t="str">
        <f>IF(AND(Programme_Grunddaten!$A83="Geprüft",Programme_Grunddaten!AD83&lt;&gt;""),IF(Programme_Grunddaten!AD83="Ja",1,0),"")</f>
        <v/>
      </c>
      <c r="W75" s="1" t="str">
        <f>IF(AND(Programme_Grunddaten!$A83="Geprüft",Programme_Grunddaten!AE83&lt;&gt;""),IF(Programme_Grunddaten!AE83="Ja",1,0),"")</f>
        <v/>
      </c>
      <c r="X75" s="1" t="str">
        <f>IF(AND(Programme_Grunddaten!$A83="Geprüft",Programme_Grunddaten!AF83&lt;&gt;""),IF(Programme_Grunddaten!AF83="Ja",1,0),"")</f>
        <v/>
      </c>
      <c r="Y75" s="1" t="str">
        <f>IF(AND(Programme_Grunddaten!$A83="Geprüft",Programme_Grunddaten!AG83&lt;&gt;""),IF(Programme_Grunddaten!AG83="Ja",1,0),"")</f>
        <v/>
      </c>
      <c r="Z75" s="1" t="str">
        <f>IF(AND(Programme_Grunddaten!$A83="Geprüft",Programme_Grunddaten!AH83&lt;&gt;""),IF(Programme_Grunddaten!AH83="Ja",1,0),"")</f>
        <v/>
      </c>
      <c r="AA75" s="1" t="str">
        <f>IF(AND(Programme_Grunddaten!$A83="Geprüft",Programme_Grunddaten!AI83&lt;&gt;""),IF(Programme_Grunddaten!AI83="Ja",1,0),"")</f>
        <v/>
      </c>
      <c r="AB75" s="1" t="str">
        <f>IF(AND(Programme_Grunddaten!$A83="Geprüft",Programme_Grunddaten!AJ83&lt;&gt;""),IF(Programme_Grunddaten!AJ83="individuell programmierbar",1,0),"")</f>
        <v/>
      </c>
      <c r="AC75" s="1" t="str">
        <f>IF(AND(Programme_Grunddaten!$A83="Geprüft",Programme_Grunddaten!AK83&lt;&gt;""),IF(Programme_Grunddaten!AK83="Deutsch",0,IF(Programme_Grunddaten!AK83="Deutsch und Englisch",1,2)),"")</f>
        <v/>
      </c>
      <c r="AD75" s="1" t="str">
        <f>IF(AND(Programme_Grunddaten!$A83="Geprüft",Programme_Grunddaten!AL83&lt;&gt;""),IF(Programme_Grunddaten!AL83="Ja",1,0),"")</f>
        <v/>
      </c>
      <c r="AE75" s="1" t="str">
        <f>IF(AND(Programme_Grunddaten!$A83="Geprüft",Programme_Grunddaten!AM83&lt;&gt;""),IF(Programme_Grunddaten!AM83="Ja",1,0),"")</f>
        <v/>
      </c>
      <c r="AF75" s="1" t="str">
        <f>IF(AND(Programme_Grunddaten!$A83="Geprüft",Programme_Grunddaten!AN83&lt;&gt;""),IF(Programme_Grunddaten!AN83="Ja",1,0),"")</f>
        <v/>
      </c>
      <c r="AG75" s="1" t="str">
        <f>IF(AND(Programme_Grunddaten!$A83="Geprüft",Programme_Grunddaten!AO83&lt;&gt;""),IF(Programme_Grunddaten!AO83="Ja",1,0),"")</f>
        <v/>
      </c>
      <c r="AH75" s="1" t="str">
        <f>IF(AND(Programme_Grunddaten!$A83="Geprüft",Programme_Grunddaten!AP83&lt;&gt;""),IF(Programme_Grunddaten!AP83="Ja",1,0),"")</f>
        <v/>
      </c>
      <c r="AI75" s="1" t="str">
        <f>IF(AND(Programme_Grunddaten!$A83="Geprüft",Programme_Grunddaten!AQ83&lt;&gt;""),IF(Programme_Grunddaten!AQ83="Ja",1,0),"")</f>
        <v/>
      </c>
      <c r="AJ75" s="1" t="str">
        <f>IF(AND(Programme_Grunddaten!$A83="Geprüft",Programme_Grunddaten!AR83&lt;&gt;""),IF(Programme_Grunddaten!AR83="Ja",1,0),"")</f>
        <v/>
      </c>
      <c r="AK75" s="1" t="str">
        <f>IF(AND(Programme_Grunddaten!$A83="Geprüft",Programme_Grunddaten!AS83&lt;&gt;""),IF(Programme_Grunddaten!AS83="Ja",1,0),"")</f>
        <v/>
      </c>
      <c r="AL75" s="1" t="str">
        <f>IF(AND(Programme_Grunddaten!$A83="Geprüft",Programme_Grunddaten!AT83&lt;&gt;""),IF(Programme_Grunddaten!AT83="Ja",1,0),"")</f>
        <v/>
      </c>
      <c r="AM75" s="1" t="str">
        <f>IF(AND(Programme_Grunddaten!$A83="Geprüft",Programme_Grunddaten!AU83&lt;&gt;""),IF(Programme_Grunddaten!AU83="Ja",1,0),"")</f>
        <v/>
      </c>
      <c r="AN75" s="1" t="str">
        <f>IF(AND(Programme_Grunddaten!$A83="Geprüft",Programme_Grunddaten!AV83&lt;&gt;""),IF(Programme_Grunddaten!AV83="Ja",1,0),"")</f>
        <v/>
      </c>
    </row>
    <row r="76" spans="1:40" x14ac:dyDescent="0.3">
      <c r="A76" s="1" t="str">
        <f>IF(AND(Programme_Grunddaten!A84="Geprüft",Programme_Grunddaten!B84&lt;&gt;""),Programme_Grunddaten!B84,"")</f>
        <v/>
      </c>
      <c r="B76" s="1" t="str">
        <f>IF(AND(Programme_Grunddaten!$A84="Geprüft",Programme_Grunddaten!I84&lt;&gt;""),IF(Programme_Grunddaten!I84="Ja",1,0),"")</f>
        <v/>
      </c>
      <c r="C76" s="1" t="str">
        <f>IF(AND(Programme_Grunddaten!$A84="Geprüft",Programme_Grunddaten!J84&lt;&gt;""),IF(Programme_Grunddaten!J84="Ja",1,0),"")</f>
        <v/>
      </c>
      <c r="D76" s="1" t="str">
        <f>IF(AND(Programme_Grunddaten!$A84="Geprüft",Programme_Grunddaten!K84&lt;&gt;""),IF(Programme_Grunddaten!K84="Ja",1,0),"")</f>
        <v/>
      </c>
      <c r="E76" s="1" t="str">
        <f>IF(AND(Programme_Grunddaten!$A84="Geprüft",Programme_Grunddaten!L84&lt;&gt;""),IF(Programme_Grunddaten!L84="Abo / befristete Lizenz",1,0),"")</f>
        <v/>
      </c>
      <c r="F76" s="1" t="str">
        <f>IF(AND(Programme_Grunddaten!$A84="Geprüft",Programme_Grunddaten!M84&lt;&gt;""),IF(Programme_Grunddaten!M84="Ja",1,0),"")</f>
        <v/>
      </c>
      <c r="G76" s="1" t="str">
        <f>IF(AND(Programme_Grunddaten!$A84="Geprüft",Programme_Grunddaten!N84&lt;&gt;""),IF(Programme_Grunddaten!N84="Ja",1,0),"")</f>
        <v/>
      </c>
      <c r="H76" s="1" t="str">
        <f>IF(AND(Programme_Grunddaten!$A84="Geprüft",Programme_Grunddaten!O84&lt;&gt;""),IF(Programme_Grunddaten!O84="Deutschland",0,IF(Programme_Grunddaten!O84="EU",1,2)),"")</f>
        <v/>
      </c>
      <c r="I76" s="1" t="str">
        <f>IF(AND(Programme_Grunddaten!$A84="Geprüft",Programme_Grunddaten!P84&lt;&gt;""),IF(Programme_Grunddaten!P84="Ja",1,0),"")</f>
        <v/>
      </c>
      <c r="J76" s="1" t="str">
        <f>IF(AND(Programme_Grunddaten!$A84="Geprüft",Programme_Grunddaten!Q84&lt;&gt;""),IF(Programme_Grunddaten!Q84="geschlossenes System",1,0),"")</f>
        <v/>
      </c>
      <c r="K76" s="1" t="str">
        <f>IF(AND(Programme_Grunddaten!$A84="Geprüft",Programme_Grunddaten!R84&lt;&gt;""),IF(Programme_Grunddaten!R84="Ja",1,0),"")</f>
        <v/>
      </c>
      <c r="L76" s="1" t="str">
        <f>IF(AND(Programme_Grunddaten!$A84="Geprüft",Programme_Grunddaten!T84&lt;&gt;""),IF(Programme_Grunddaten!T84="Ja",1,0),"")</f>
        <v/>
      </c>
      <c r="M76" s="1" t="str">
        <f>IF(AND(Programme_Grunddaten!$A84="Geprüft",Programme_Grunddaten!U84&lt;&gt;""),IF(Programme_Grunddaten!U84="Ja",1,0),"")</f>
        <v/>
      </c>
      <c r="N76" s="1" t="str">
        <f>IF(AND(Programme_Grunddaten!$A84="Geprüft",Programme_Grunddaten!V84&lt;&gt;""),IF(Programme_Grunddaten!V84="Ja",1,0),"")</f>
        <v/>
      </c>
      <c r="O76" s="1" t="str">
        <f>IF(AND(Programme_Grunddaten!$A84="Geprüft",Programme_Grunddaten!W84&lt;&gt;""),IF(Programme_Grunddaten!W84="Ja",1,0),"")</f>
        <v/>
      </c>
      <c r="P76" s="1" t="str">
        <f>IF(AND(Programme_Grunddaten!$A84="Geprüft",Programme_Grunddaten!X84&lt;&gt;""),IF(Programme_Grunddaten!X84="Ja",1,0),"")</f>
        <v/>
      </c>
      <c r="Q76" s="1" t="str">
        <f>IF(AND(Programme_Grunddaten!$A84="Geprüft",Programme_Grunddaten!Y84&lt;&gt;""),IF(Programme_Grunddaten!Y84="Ja",1,0),"")</f>
        <v/>
      </c>
      <c r="R76" s="1" t="str">
        <f>IF(AND(Programme_Grunddaten!$A84="Geprüft",Programme_Grunddaten!Z84&lt;&gt;""),IF(Programme_Grunddaten!Z84="Ja",1,0),"")</f>
        <v/>
      </c>
      <c r="S76" s="1" t="str">
        <f>IF(AND(Programme_Grunddaten!$A84="Geprüft",Programme_Grunddaten!AA84&lt;&gt;""),IF(Programme_Grunddaten!AA84="monolithisch",1,0),"")</f>
        <v/>
      </c>
      <c r="T76" s="1" t="str">
        <f>IF(AND(Programme_Grunddaten!$A84="Geprüft",Programme_Grunddaten!AB84&lt;&gt;""),IF(Programme_Grunddaten!AB84="Ja",1,0),"")</f>
        <v/>
      </c>
      <c r="U76" s="1" t="str">
        <f>IF(AND(Programme_Grunddaten!$A84="Geprüft",Programme_Grunddaten!AC84&lt;&gt;""),IF(Programme_Grunddaten!AC84="Ja",1,0),"")</f>
        <v/>
      </c>
      <c r="V76" s="1" t="str">
        <f>IF(AND(Programme_Grunddaten!$A84="Geprüft",Programme_Grunddaten!AD84&lt;&gt;""),IF(Programme_Grunddaten!AD84="Ja",1,0),"")</f>
        <v/>
      </c>
      <c r="W76" s="1" t="str">
        <f>IF(AND(Programme_Grunddaten!$A84="Geprüft",Programme_Grunddaten!AE84&lt;&gt;""),IF(Programme_Grunddaten!AE84="Ja",1,0),"")</f>
        <v/>
      </c>
      <c r="X76" s="1" t="str">
        <f>IF(AND(Programme_Grunddaten!$A84="Geprüft",Programme_Grunddaten!AF84&lt;&gt;""),IF(Programme_Grunddaten!AF84="Ja",1,0),"")</f>
        <v/>
      </c>
      <c r="Y76" s="1" t="str">
        <f>IF(AND(Programme_Grunddaten!$A84="Geprüft",Programme_Grunddaten!AG84&lt;&gt;""),IF(Programme_Grunddaten!AG84="Ja",1,0),"")</f>
        <v/>
      </c>
      <c r="Z76" s="1" t="str">
        <f>IF(AND(Programme_Grunddaten!$A84="Geprüft",Programme_Grunddaten!AH84&lt;&gt;""),IF(Programme_Grunddaten!AH84="Ja",1,0),"")</f>
        <v/>
      </c>
      <c r="AA76" s="1" t="str">
        <f>IF(AND(Programme_Grunddaten!$A84="Geprüft",Programme_Grunddaten!AI84&lt;&gt;""),IF(Programme_Grunddaten!AI84="Ja",1,0),"")</f>
        <v/>
      </c>
      <c r="AB76" s="1" t="str">
        <f>IF(AND(Programme_Grunddaten!$A84="Geprüft",Programme_Grunddaten!AJ84&lt;&gt;""),IF(Programme_Grunddaten!AJ84="individuell programmierbar",1,0),"")</f>
        <v/>
      </c>
      <c r="AC76" s="1" t="str">
        <f>IF(AND(Programme_Grunddaten!$A84="Geprüft",Programme_Grunddaten!AK84&lt;&gt;""),IF(Programme_Grunddaten!AK84="Deutsch",0,IF(Programme_Grunddaten!AK84="Deutsch und Englisch",1,2)),"")</f>
        <v/>
      </c>
      <c r="AD76" s="1" t="str">
        <f>IF(AND(Programme_Grunddaten!$A84="Geprüft",Programme_Grunddaten!AL84&lt;&gt;""),IF(Programme_Grunddaten!AL84="Ja",1,0),"")</f>
        <v/>
      </c>
      <c r="AE76" s="1" t="str">
        <f>IF(AND(Programme_Grunddaten!$A84="Geprüft",Programme_Grunddaten!AM84&lt;&gt;""),IF(Programme_Grunddaten!AM84="Ja",1,0),"")</f>
        <v/>
      </c>
      <c r="AF76" s="1" t="str">
        <f>IF(AND(Programme_Grunddaten!$A84="Geprüft",Programme_Grunddaten!AN84&lt;&gt;""),IF(Programme_Grunddaten!AN84="Ja",1,0),"")</f>
        <v/>
      </c>
      <c r="AG76" s="1" t="str">
        <f>IF(AND(Programme_Grunddaten!$A84="Geprüft",Programme_Grunddaten!AO84&lt;&gt;""),IF(Programme_Grunddaten!AO84="Ja",1,0),"")</f>
        <v/>
      </c>
      <c r="AH76" s="1" t="str">
        <f>IF(AND(Programme_Grunddaten!$A84="Geprüft",Programme_Grunddaten!AP84&lt;&gt;""),IF(Programme_Grunddaten!AP84="Ja",1,0),"")</f>
        <v/>
      </c>
      <c r="AI76" s="1" t="str">
        <f>IF(AND(Programme_Grunddaten!$A84="Geprüft",Programme_Grunddaten!AQ84&lt;&gt;""),IF(Programme_Grunddaten!AQ84="Ja",1,0),"")</f>
        <v/>
      </c>
      <c r="AJ76" s="1" t="str">
        <f>IF(AND(Programme_Grunddaten!$A84="Geprüft",Programme_Grunddaten!AR84&lt;&gt;""),IF(Programme_Grunddaten!AR84="Ja",1,0),"")</f>
        <v/>
      </c>
      <c r="AK76" s="1" t="str">
        <f>IF(AND(Programme_Grunddaten!$A84="Geprüft",Programme_Grunddaten!AS84&lt;&gt;""),IF(Programme_Grunddaten!AS84="Ja",1,0),"")</f>
        <v/>
      </c>
      <c r="AL76" s="1" t="str">
        <f>IF(AND(Programme_Grunddaten!$A84="Geprüft",Programme_Grunddaten!AT84&lt;&gt;""),IF(Programme_Grunddaten!AT84="Ja",1,0),"")</f>
        <v/>
      </c>
      <c r="AM76" s="1" t="str">
        <f>IF(AND(Programme_Grunddaten!$A84="Geprüft",Programme_Grunddaten!AU84&lt;&gt;""),IF(Programme_Grunddaten!AU84="Ja",1,0),"")</f>
        <v/>
      </c>
      <c r="AN76" s="1" t="str">
        <f>IF(AND(Programme_Grunddaten!$A84="Geprüft",Programme_Grunddaten!AV84&lt;&gt;""),IF(Programme_Grunddaten!AV84="Ja",1,0),"")</f>
        <v/>
      </c>
    </row>
    <row r="77" spans="1:40" x14ac:dyDescent="0.3">
      <c r="A77" s="1" t="str">
        <f>IF(AND(Programme_Grunddaten!A85="Geprüft",Programme_Grunddaten!B85&lt;&gt;""),Programme_Grunddaten!B85,"")</f>
        <v/>
      </c>
      <c r="B77" s="1" t="str">
        <f>IF(AND(Programme_Grunddaten!$A85="Geprüft",Programme_Grunddaten!I85&lt;&gt;""),IF(Programme_Grunddaten!I85="Ja",1,0),"")</f>
        <v/>
      </c>
      <c r="C77" s="1" t="str">
        <f>IF(AND(Programme_Grunddaten!$A85="Geprüft",Programme_Grunddaten!J85&lt;&gt;""),IF(Programme_Grunddaten!J85="Ja",1,0),"")</f>
        <v/>
      </c>
      <c r="D77" s="1" t="str">
        <f>IF(AND(Programme_Grunddaten!$A85="Geprüft",Programme_Grunddaten!K85&lt;&gt;""),IF(Programme_Grunddaten!K85="Ja",1,0),"")</f>
        <v/>
      </c>
      <c r="E77" s="1" t="str">
        <f>IF(AND(Programme_Grunddaten!$A85="Geprüft",Programme_Grunddaten!L85&lt;&gt;""),IF(Programme_Grunddaten!L85="Abo / befristete Lizenz",1,0),"")</f>
        <v/>
      </c>
      <c r="F77" s="1" t="str">
        <f>IF(AND(Programme_Grunddaten!$A85="Geprüft",Programme_Grunddaten!M85&lt;&gt;""),IF(Programme_Grunddaten!M85="Ja",1,0),"")</f>
        <v/>
      </c>
      <c r="G77" s="1" t="str">
        <f>IF(AND(Programme_Grunddaten!$A85="Geprüft",Programme_Grunddaten!N85&lt;&gt;""),IF(Programme_Grunddaten!N85="Ja",1,0),"")</f>
        <v/>
      </c>
      <c r="H77" s="1" t="str">
        <f>IF(AND(Programme_Grunddaten!$A85="Geprüft",Programme_Grunddaten!O85&lt;&gt;""),IF(Programme_Grunddaten!O85="Deutschland",0,IF(Programme_Grunddaten!O85="EU",1,2)),"")</f>
        <v/>
      </c>
      <c r="I77" s="1" t="str">
        <f>IF(AND(Programme_Grunddaten!$A85="Geprüft",Programme_Grunddaten!P85&lt;&gt;""),IF(Programme_Grunddaten!P85="Ja",1,0),"")</f>
        <v/>
      </c>
      <c r="J77" s="1" t="str">
        <f>IF(AND(Programme_Grunddaten!$A85="Geprüft",Programme_Grunddaten!Q85&lt;&gt;""),IF(Programme_Grunddaten!Q85="geschlossenes System",1,0),"")</f>
        <v/>
      </c>
      <c r="K77" s="1" t="str">
        <f>IF(AND(Programme_Grunddaten!$A85="Geprüft",Programme_Grunddaten!R85&lt;&gt;""),IF(Programme_Grunddaten!R85="Ja",1,0),"")</f>
        <v/>
      </c>
      <c r="L77" s="1" t="str">
        <f>IF(AND(Programme_Grunddaten!$A85="Geprüft",Programme_Grunddaten!T85&lt;&gt;""),IF(Programme_Grunddaten!T85="Ja",1,0),"")</f>
        <v/>
      </c>
      <c r="M77" s="1" t="str">
        <f>IF(AND(Programme_Grunddaten!$A85="Geprüft",Programme_Grunddaten!U85&lt;&gt;""),IF(Programme_Grunddaten!U85="Ja",1,0),"")</f>
        <v/>
      </c>
      <c r="N77" s="1" t="str">
        <f>IF(AND(Programme_Grunddaten!$A85="Geprüft",Programme_Grunddaten!V85&lt;&gt;""),IF(Programme_Grunddaten!V85="Ja",1,0),"")</f>
        <v/>
      </c>
      <c r="O77" s="1" t="str">
        <f>IF(AND(Programme_Grunddaten!$A85="Geprüft",Programme_Grunddaten!W85&lt;&gt;""),IF(Programme_Grunddaten!W85="Ja",1,0),"")</f>
        <v/>
      </c>
      <c r="P77" s="1" t="str">
        <f>IF(AND(Programme_Grunddaten!$A85="Geprüft",Programme_Grunddaten!X85&lt;&gt;""),IF(Programme_Grunddaten!X85="Ja",1,0),"")</f>
        <v/>
      </c>
      <c r="Q77" s="1" t="str">
        <f>IF(AND(Programme_Grunddaten!$A85="Geprüft",Programme_Grunddaten!Y85&lt;&gt;""),IF(Programme_Grunddaten!Y85="Ja",1,0),"")</f>
        <v/>
      </c>
      <c r="R77" s="1" t="str">
        <f>IF(AND(Programme_Grunddaten!$A85="Geprüft",Programme_Grunddaten!Z85&lt;&gt;""),IF(Programme_Grunddaten!Z85="Ja",1,0),"")</f>
        <v/>
      </c>
      <c r="S77" s="1" t="str">
        <f>IF(AND(Programme_Grunddaten!$A85="Geprüft",Programme_Grunddaten!AA85&lt;&gt;""),IF(Programme_Grunddaten!AA85="monolithisch",1,0),"")</f>
        <v/>
      </c>
      <c r="T77" s="1" t="str">
        <f>IF(AND(Programme_Grunddaten!$A85="Geprüft",Programme_Grunddaten!AB85&lt;&gt;""),IF(Programme_Grunddaten!AB85="Ja",1,0),"")</f>
        <v/>
      </c>
      <c r="U77" s="1" t="str">
        <f>IF(AND(Programme_Grunddaten!$A85="Geprüft",Programme_Grunddaten!AC85&lt;&gt;""),IF(Programme_Grunddaten!AC85="Ja",1,0),"")</f>
        <v/>
      </c>
      <c r="V77" s="1" t="str">
        <f>IF(AND(Programme_Grunddaten!$A85="Geprüft",Programme_Grunddaten!AD85&lt;&gt;""),IF(Programme_Grunddaten!AD85="Ja",1,0),"")</f>
        <v/>
      </c>
      <c r="W77" s="1" t="str">
        <f>IF(AND(Programme_Grunddaten!$A85="Geprüft",Programme_Grunddaten!AE85&lt;&gt;""),IF(Programme_Grunddaten!AE85="Ja",1,0),"")</f>
        <v/>
      </c>
      <c r="X77" s="1" t="str">
        <f>IF(AND(Programme_Grunddaten!$A85="Geprüft",Programme_Grunddaten!AF85&lt;&gt;""),IF(Programme_Grunddaten!AF85="Ja",1,0),"")</f>
        <v/>
      </c>
      <c r="Y77" s="1" t="str">
        <f>IF(AND(Programme_Grunddaten!$A85="Geprüft",Programme_Grunddaten!AG85&lt;&gt;""),IF(Programme_Grunddaten!AG85="Ja",1,0),"")</f>
        <v/>
      </c>
      <c r="Z77" s="1" t="str">
        <f>IF(AND(Programme_Grunddaten!$A85="Geprüft",Programme_Grunddaten!AH85&lt;&gt;""),IF(Programme_Grunddaten!AH85="Ja",1,0),"")</f>
        <v/>
      </c>
      <c r="AA77" s="1" t="str">
        <f>IF(AND(Programme_Grunddaten!$A85="Geprüft",Programme_Grunddaten!AI85&lt;&gt;""),IF(Programme_Grunddaten!AI85="Ja",1,0),"")</f>
        <v/>
      </c>
      <c r="AB77" s="1" t="str">
        <f>IF(AND(Programme_Grunddaten!$A85="Geprüft",Programme_Grunddaten!AJ85&lt;&gt;""),IF(Programme_Grunddaten!AJ85="individuell programmierbar",1,0),"")</f>
        <v/>
      </c>
      <c r="AC77" s="1" t="str">
        <f>IF(AND(Programme_Grunddaten!$A85="Geprüft",Programme_Grunddaten!AK85&lt;&gt;""),IF(Programme_Grunddaten!AK85="Deutsch",0,IF(Programme_Grunddaten!AK85="Deutsch und Englisch",1,2)),"")</f>
        <v/>
      </c>
      <c r="AD77" s="1" t="str">
        <f>IF(AND(Programme_Grunddaten!$A85="Geprüft",Programme_Grunddaten!AL85&lt;&gt;""),IF(Programme_Grunddaten!AL85="Ja",1,0),"")</f>
        <v/>
      </c>
      <c r="AE77" s="1" t="str">
        <f>IF(AND(Programme_Grunddaten!$A85="Geprüft",Programme_Grunddaten!AM85&lt;&gt;""),IF(Programme_Grunddaten!AM85="Ja",1,0),"")</f>
        <v/>
      </c>
      <c r="AF77" s="1" t="str">
        <f>IF(AND(Programme_Grunddaten!$A85="Geprüft",Programme_Grunddaten!AN85&lt;&gt;""),IF(Programme_Grunddaten!AN85="Ja",1,0),"")</f>
        <v/>
      </c>
      <c r="AG77" s="1" t="str">
        <f>IF(AND(Programme_Grunddaten!$A85="Geprüft",Programme_Grunddaten!AO85&lt;&gt;""),IF(Programme_Grunddaten!AO85="Ja",1,0),"")</f>
        <v/>
      </c>
      <c r="AH77" s="1" t="str">
        <f>IF(AND(Programme_Grunddaten!$A85="Geprüft",Programme_Grunddaten!AP85&lt;&gt;""),IF(Programme_Grunddaten!AP85="Ja",1,0),"")</f>
        <v/>
      </c>
      <c r="AI77" s="1" t="str">
        <f>IF(AND(Programme_Grunddaten!$A85="Geprüft",Programme_Grunddaten!AQ85&lt;&gt;""),IF(Programme_Grunddaten!AQ85="Ja",1,0),"")</f>
        <v/>
      </c>
      <c r="AJ77" s="1" t="str">
        <f>IF(AND(Programme_Grunddaten!$A85="Geprüft",Programme_Grunddaten!AR85&lt;&gt;""),IF(Programme_Grunddaten!AR85="Ja",1,0),"")</f>
        <v/>
      </c>
      <c r="AK77" s="1" t="str">
        <f>IF(AND(Programme_Grunddaten!$A85="Geprüft",Programme_Grunddaten!AS85&lt;&gt;""),IF(Programme_Grunddaten!AS85="Ja",1,0),"")</f>
        <v/>
      </c>
      <c r="AL77" s="1" t="str">
        <f>IF(AND(Programme_Grunddaten!$A85="Geprüft",Programme_Grunddaten!AT85&lt;&gt;""),IF(Programme_Grunddaten!AT85="Ja",1,0),"")</f>
        <v/>
      </c>
      <c r="AM77" s="1" t="str">
        <f>IF(AND(Programme_Grunddaten!$A85="Geprüft",Programme_Grunddaten!AU85&lt;&gt;""),IF(Programme_Grunddaten!AU85="Ja",1,0),"")</f>
        <v/>
      </c>
      <c r="AN77" s="1" t="str">
        <f>IF(AND(Programme_Grunddaten!$A85="Geprüft",Programme_Grunddaten!AV85&lt;&gt;""),IF(Programme_Grunddaten!AV85="Ja",1,0),"")</f>
        <v/>
      </c>
    </row>
    <row r="78" spans="1:40" x14ac:dyDescent="0.3">
      <c r="A78" s="1" t="str">
        <f>IF(AND(Programme_Grunddaten!A86="Geprüft",Programme_Grunddaten!B86&lt;&gt;""),Programme_Grunddaten!B86,"")</f>
        <v/>
      </c>
      <c r="B78" s="1" t="str">
        <f>IF(AND(Programme_Grunddaten!$A86="Geprüft",Programme_Grunddaten!I86&lt;&gt;""),IF(Programme_Grunddaten!I86="Ja",1,0),"")</f>
        <v/>
      </c>
      <c r="C78" s="1" t="str">
        <f>IF(AND(Programme_Grunddaten!$A86="Geprüft",Programme_Grunddaten!J86&lt;&gt;""),IF(Programme_Grunddaten!J86="Ja",1,0),"")</f>
        <v/>
      </c>
      <c r="D78" s="1" t="str">
        <f>IF(AND(Programme_Grunddaten!$A86="Geprüft",Programme_Grunddaten!K86&lt;&gt;""),IF(Programme_Grunddaten!K86="Ja",1,0),"")</f>
        <v/>
      </c>
      <c r="E78" s="1" t="str">
        <f>IF(AND(Programme_Grunddaten!$A86="Geprüft",Programme_Grunddaten!L86&lt;&gt;""),IF(Programme_Grunddaten!L86="Abo / befristete Lizenz",1,0),"")</f>
        <v/>
      </c>
      <c r="F78" s="1" t="str">
        <f>IF(AND(Programme_Grunddaten!$A86="Geprüft",Programme_Grunddaten!M86&lt;&gt;""),IF(Programme_Grunddaten!M86="Ja",1,0),"")</f>
        <v/>
      </c>
      <c r="G78" s="1" t="str">
        <f>IF(AND(Programme_Grunddaten!$A86="Geprüft",Programme_Grunddaten!N86&lt;&gt;""),IF(Programme_Grunddaten!N86="Ja",1,0),"")</f>
        <v/>
      </c>
      <c r="H78" s="1" t="str">
        <f>IF(AND(Programme_Grunddaten!$A86="Geprüft",Programme_Grunddaten!O86&lt;&gt;""),IF(Programme_Grunddaten!O86="Deutschland",0,IF(Programme_Grunddaten!O86="EU",1,2)),"")</f>
        <v/>
      </c>
      <c r="I78" s="1" t="str">
        <f>IF(AND(Programme_Grunddaten!$A86="Geprüft",Programme_Grunddaten!P86&lt;&gt;""),IF(Programme_Grunddaten!P86="Ja",1,0),"")</f>
        <v/>
      </c>
      <c r="J78" s="1" t="str">
        <f>IF(AND(Programme_Grunddaten!$A86="Geprüft",Programme_Grunddaten!Q86&lt;&gt;""),IF(Programme_Grunddaten!Q86="geschlossenes System",1,0),"")</f>
        <v/>
      </c>
      <c r="K78" s="1" t="str">
        <f>IF(AND(Programme_Grunddaten!$A86="Geprüft",Programme_Grunddaten!R86&lt;&gt;""),IF(Programme_Grunddaten!R86="Ja",1,0),"")</f>
        <v/>
      </c>
      <c r="L78" s="1" t="str">
        <f>IF(AND(Programme_Grunddaten!$A86="Geprüft",Programme_Grunddaten!T86&lt;&gt;""),IF(Programme_Grunddaten!T86="Ja",1,0),"")</f>
        <v/>
      </c>
      <c r="M78" s="1" t="str">
        <f>IF(AND(Programme_Grunddaten!$A86="Geprüft",Programme_Grunddaten!U86&lt;&gt;""),IF(Programme_Grunddaten!U86="Ja",1,0),"")</f>
        <v/>
      </c>
      <c r="N78" s="1" t="str">
        <f>IF(AND(Programme_Grunddaten!$A86="Geprüft",Programme_Grunddaten!V86&lt;&gt;""),IF(Programme_Grunddaten!V86="Ja",1,0),"")</f>
        <v/>
      </c>
      <c r="O78" s="1" t="str">
        <f>IF(AND(Programme_Grunddaten!$A86="Geprüft",Programme_Grunddaten!W86&lt;&gt;""),IF(Programme_Grunddaten!W86="Ja",1,0),"")</f>
        <v/>
      </c>
      <c r="P78" s="1" t="str">
        <f>IF(AND(Programme_Grunddaten!$A86="Geprüft",Programme_Grunddaten!X86&lt;&gt;""),IF(Programme_Grunddaten!X86="Ja",1,0),"")</f>
        <v/>
      </c>
      <c r="Q78" s="1" t="str">
        <f>IF(AND(Programme_Grunddaten!$A86="Geprüft",Programme_Grunddaten!Y86&lt;&gt;""),IF(Programme_Grunddaten!Y86="Ja",1,0),"")</f>
        <v/>
      </c>
      <c r="R78" s="1" t="str">
        <f>IF(AND(Programme_Grunddaten!$A86="Geprüft",Programme_Grunddaten!Z86&lt;&gt;""),IF(Programme_Grunddaten!Z86="Ja",1,0),"")</f>
        <v/>
      </c>
      <c r="S78" s="1" t="str">
        <f>IF(AND(Programme_Grunddaten!$A86="Geprüft",Programme_Grunddaten!AA86&lt;&gt;""),IF(Programme_Grunddaten!AA86="monolithisch",1,0),"")</f>
        <v/>
      </c>
      <c r="T78" s="1" t="str">
        <f>IF(AND(Programme_Grunddaten!$A86="Geprüft",Programme_Grunddaten!AB86&lt;&gt;""),IF(Programme_Grunddaten!AB86="Ja",1,0),"")</f>
        <v/>
      </c>
      <c r="U78" s="1" t="str">
        <f>IF(AND(Programme_Grunddaten!$A86="Geprüft",Programme_Grunddaten!AC86&lt;&gt;""),IF(Programme_Grunddaten!AC86="Ja",1,0),"")</f>
        <v/>
      </c>
      <c r="V78" s="1" t="str">
        <f>IF(AND(Programme_Grunddaten!$A86="Geprüft",Programme_Grunddaten!AD86&lt;&gt;""),IF(Programme_Grunddaten!AD86="Ja",1,0),"")</f>
        <v/>
      </c>
      <c r="W78" s="1" t="str">
        <f>IF(AND(Programme_Grunddaten!$A86="Geprüft",Programme_Grunddaten!AE86&lt;&gt;""),IF(Programme_Grunddaten!AE86="Ja",1,0),"")</f>
        <v/>
      </c>
      <c r="X78" s="1" t="str">
        <f>IF(AND(Programme_Grunddaten!$A86="Geprüft",Programme_Grunddaten!AF86&lt;&gt;""),IF(Programme_Grunddaten!AF86="Ja",1,0),"")</f>
        <v/>
      </c>
      <c r="Y78" s="1" t="str">
        <f>IF(AND(Programme_Grunddaten!$A86="Geprüft",Programme_Grunddaten!AG86&lt;&gt;""),IF(Programme_Grunddaten!AG86="Ja",1,0),"")</f>
        <v/>
      </c>
      <c r="Z78" s="1" t="str">
        <f>IF(AND(Programme_Grunddaten!$A86="Geprüft",Programme_Grunddaten!AH86&lt;&gt;""),IF(Programme_Grunddaten!AH86="Ja",1,0),"")</f>
        <v/>
      </c>
      <c r="AA78" s="1" t="str">
        <f>IF(AND(Programme_Grunddaten!$A86="Geprüft",Programme_Grunddaten!AI86&lt;&gt;""),IF(Programme_Grunddaten!AI86="Ja",1,0),"")</f>
        <v/>
      </c>
      <c r="AB78" s="1" t="str">
        <f>IF(AND(Programme_Grunddaten!$A86="Geprüft",Programme_Grunddaten!AJ86&lt;&gt;""),IF(Programme_Grunddaten!AJ86="individuell programmierbar",1,0),"")</f>
        <v/>
      </c>
      <c r="AC78" s="1" t="str">
        <f>IF(AND(Programme_Grunddaten!$A86="Geprüft",Programme_Grunddaten!AK86&lt;&gt;""),IF(Programme_Grunddaten!AK86="Deutsch",0,IF(Programme_Grunddaten!AK86="Deutsch und Englisch",1,2)),"")</f>
        <v/>
      </c>
      <c r="AD78" s="1" t="str">
        <f>IF(AND(Programme_Grunddaten!$A86="Geprüft",Programme_Grunddaten!AL86&lt;&gt;""),IF(Programme_Grunddaten!AL86="Ja",1,0),"")</f>
        <v/>
      </c>
      <c r="AE78" s="1" t="str">
        <f>IF(AND(Programme_Grunddaten!$A86="Geprüft",Programme_Grunddaten!AM86&lt;&gt;""),IF(Programme_Grunddaten!AM86="Ja",1,0),"")</f>
        <v/>
      </c>
      <c r="AF78" s="1" t="str">
        <f>IF(AND(Programme_Grunddaten!$A86="Geprüft",Programme_Grunddaten!AN86&lt;&gt;""),IF(Programme_Grunddaten!AN86="Ja",1,0),"")</f>
        <v/>
      </c>
      <c r="AG78" s="1" t="str">
        <f>IF(AND(Programme_Grunddaten!$A86="Geprüft",Programme_Grunddaten!AO86&lt;&gt;""),IF(Programme_Grunddaten!AO86="Ja",1,0),"")</f>
        <v/>
      </c>
      <c r="AH78" s="1" t="str">
        <f>IF(AND(Programme_Grunddaten!$A86="Geprüft",Programme_Grunddaten!AP86&lt;&gt;""),IF(Programme_Grunddaten!AP86="Ja",1,0),"")</f>
        <v/>
      </c>
      <c r="AI78" s="1" t="str">
        <f>IF(AND(Programme_Grunddaten!$A86="Geprüft",Programme_Grunddaten!AQ86&lt;&gt;""),IF(Programme_Grunddaten!AQ86="Ja",1,0),"")</f>
        <v/>
      </c>
      <c r="AJ78" s="1" t="str">
        <f>IF(AND(Programme_Grunddaten!$A86="Geprüft",Programme_Grunddaten!AR86&lt;&gt;""),IF(Programme_Grunddaten!AR86="Ja",1,0),"")</f>
        <v/>
      </c>
      <c r="AK78" s="1" t="str">
        <f>IF(AND(Programme_Grunddaten!$A86="Geprüft",Programme_Grunddaten!AS86&lt;&gt;""),IF(Programme_Grunddaten!AS86="Ja",1,0),"")</f>
        <v/>
      </c>
      <c r="AL78" s="1" t="str">
        <f>IF(AND(Programme_Grunddaten!$A86="Geprüft",Programme_Grunddaten!AT86&lt;&gt;""),IF(Programme_Grunddaten!AT86="Ja",1,0),"")</f>
        <v/>
      </c>
      <c r="AM78" s="1" t="str">
        <f>IF(AND(Programme_Grunddaten!$A86="Geprüft",Programme_Grunddaten!AU86&lt;&gt;""),IF(Programme_Grunddaten!AU86="Ja",1,0),"")</f>
        <v/>
      </c>
      <c r="AN78" s="1" t="str">
        <f>IF(AND(Programme_Grunddaten!$A86="Geprüft",Programme_Grunddaten!AV86&lt;&gt;""),IF(Programme_Grunddaten!AV86="Ja",1,0),"")</f>
        <v/>
      </c>
    </row>
    <row r="79" spans="1:40" x14ac:dyDescent="0.3">
      <c r="A79" s="1" t="str">
        <f>IF(AND(Programme_Grunddaten!A87="Geprüft",Programme_Grunddaten!B87&lt;&gt;""),Programme_Grunddaten!B87,"")</f>
        <v/>
      </c>
      <c r="B79" s="1" t="str">
        <f>IF(AND(Programme_Grunddaten!$A87="Geprüft",Programme_Grunddaten!I87&lt;&gt;""),IF(Programme_Grunddaten!I87="Ja",1,0),"")</f>
        <v/>
      </c>
      <c r="C79" s="1" t="str">
        <f>IF(AND(Programme_Grunddaten!$A87="Geprüft",Programme_Grunddaten!J87&lt;&gt;""),IF(Programme_Grunddaten!J87="Ja",1,0),"")</f>
        <v/>
      </c>
      <c r="D79" s="1" t="str">
        <f>IF(AND(Programme_Grunddaten!$A87="Geprüft",Programme_Grunddaten!K87&lt;&gt;""),IF(Programme_Grunddaten!K87="Ja",1,0),"")</f>
        <v/>
      </c>
      <c r="E79" s="1" t="str">
        <f>IF(AND(Programme_Grunddaten!$A87="Geprüft",Programme_Grunddaten!L87&lt;&gt;""),IF(Programme_Grunddaten!L87="Abo / befristete Lizenz",1,0),"")</f>
        <v/>
      </c>
      <c r="F79" s="1" t="str">
        <f>IF(AND(Programme_Grunddaten!$A87="Geprüft",Programme_Grunddaten!M87&lt;&gt;""),IF(Programme_Grunddaten!M87="Ja",1,0),"")</f>
        <v/>
      </c>
      <c r="G79" s="1" t="str">
        <f>IF(AND(Programme_Grunddaten!$A87="Geprüft",Programme_Grunddaten!N87&lt;&gt;""),IF(Programme_Grunddaten!N87="Ja",1,0),"")</f>
        <v/>
      </c>
      <c r="H79" s="1" t="str">
        <f>IF(AND(Programme_Grunddaten!$A87="Geprüft",Programme_Grunddaten!O87&lt;&gt;""),IF(Programme_Grunddaten!O87="Deutschland",0,IF(Programme_Grunddaten!O87="EU",1,2)),"")</f>
        <v/>
      </c>
      <c r="I79" s="1" t="str">
        <f>IF(AND(Programme_Grunddaten!$A87="Geprüft",Programme_Grunddaten!P87&lt;&gt;""),IF(Programme_Grunddaten!P87="Ja",1,0),"")</f>
        <v/>
      </c>
      <c r="J79" s="1" t="str">
        <f>IF(AND(Programme_Grunddaten!$A87="Geprüft",Programme_Grunddaten!Q87&lt;&gt;""),IF(Programme_Grunddaten!Q87="geschlossenes System",1,0),"")</f>
        <v/>
      </c>
      <c r="K79" s="1" t="str">
        <f>IF(AND(Programme_Grunddaten!$A87="Geprüft",Programme_Grunddaten!R87&lt;&gt;""),IF(Programme_Grunddaten!R87="Ja",1,0),"")</f>
        <v/>
      </c>
      <c r="L79" s="1" t="str">
        <f>IF(AND(Programme_Grunddaten!$A87="Geprüft",Programme_Grunddaten!T87&lt;&gt;""),IF(Programme_Grunddaten!T87="Ja",1,0),"")</f>
        <v/>
      </c>
      <c r="M79" s="1" t="str">
        <f>IF(AND(Programme_Grunddaten!$A87="Geprüft",Programme_Grunddaten!U87&lt;&gt;""),IF(Programme_Grunddaten!U87="Ja",1,0),"")</f>
        <v/>
      </c>
      <c r="N79" s="1" t="str">
        <f>IF(AND(Programme_Grunddaten!$A87="Geprüft",Programme_Grunddaten!V87&lt;&gt;""),IF(Programme_Grunddaten!V87="Ja",1,0),"")</f>
        <v/>
      </c>
      <c r="O79" s="1" t="str">
        <f>IF(AND(Programme_Grunddaten!$A87="Geprüft",Programme_Grunddaten!W87&lt;&gt;""),IF(Programme_Grunddaten!W87="Ja",1,0),"")</f>
        <v/>
      </c>
      <c r="P79" s="1" t="str">
        <f>IF(AND(Programme_Grunddaten!$A87="Geprüft",Programme_Grunddaten!X87&lt;&gt;""),IF(Programme_Grunddaten!X87="Ja",1,0),"")</f>
        <v/>
      </c>
      <c r="Q79" s="1" t="str">
        <f>IF(AND(Programme_Grunddaten!$A87="Geprüft",Programme_Grunddaten!Y87&lt;&gt;""),IF(Programme_Grunddaten!Y87="Ja",1,0),"")</f>
        <v/>
      </c>
      <c r="R79" s="1" t="str">
        <f>IF(AND(Programme_Grunddaten!$A87="Geprüft",Programme_Grunddaten!Z87&lt;&gt;""),IF(Programme_Grunddaten!Z87="Ja",1,0),"")</f>
        <v/>
      </c>
      <c r="S79" s="1" t="str">
        <f>IF(AND(Programme_Grunddaten!$A87="Geprüft",Programme_Grunddaten!AA87&lt;&gt;""),IF(Programme_Grunddaten!AA87="monolithisch",1,0),"")</f>
        <v/>
      </c>
      <c r="T79" s="1" t="str">
        <f>IF(AND(Programme_Grunddaten!$A87="Geprüft",Programme_Grunddaten!AB87&lt;&gt;""),IF(Programme_Grunddaten!AB87="Ja",1,0),"")</f>
        <v/>
      </c>
      <c r="U79" s="1" t="str">
        <f>IF(AND(Programme_Grunddaten!$A87="Geprüft",Programme_Grunddaten!AC87&lt;&gt;""),IF(Programme_Grunddaten!AC87="Ja",1,0),"")</f>
        <v/>
      </c>
      <c r="V79" s="1" t="str">
        <f>IF(AND(Programme_Grunddaten!$A87="Geprüft",Programme_Grunddaten!AD87&lt;&gt;""),IF(Programme_Grunddaten!AD87="Ja",1,0),"")</f>
        <v/>
      </c>
      <c r="W79" s="1" t="str">
        <f>IF(AND(Programme_Grunddaten!$A87="Geprüft",Programme_Grunddaten!AE87&lt;&gt;""),IF(Programme_Grunddaten!AE87="Ja",1,0),"")</f>
        <v/>
      </c>
      <c r="X79" s="1" t="str">
        <f>IF(AND(Programme_Grunddaten!$A87="Geprüft",Programme_Grunddaten!AF87&lt;&gt;""),IF(Programme_Grunddaten!AF87="Ja",1,0),"")</f>
        <v/>
      </c>
      <c r="Y79" s="1" t="str">
        <f>IF(AND(Programme_Grunddaten!$A87="Geprüft",Programme_Grunddaten!AG87&lt;&gt;""),IF(Programme_Grunddaten!AG87="Ja",1,0),"")</f>
        <v/>
      </c>
      <c r="Z79" s="1" t="str">
        <f>IF(AND(Programme_Grunddaten!$A87="Geprüft",Programme_Grunddaten!AH87&lt;&gt;""),IF(Programme_Grunddaten!AH87="Ja",1,0),"")</f>
        <v/>
      </c>
      <c r="AA79" s="1" t="str">
        <f>IF(AND(Programme_Grunddaten!$A87="Geprüft",Programme_Grunddaten!AI87&lt;&gt;""),IF(Programme_Grunddaten!AI87="Ja",1,0),"")</f>
        <v/>
      </c>
      <c r="AB79" s="1" t="str">
        <f>IF(AND(Programme_Grunddaten!$A87="Geprüft",Programme_Grunddaten!AJ87&lt;&gt;""),IF(Programme_Grunddaten!AJ87="individuell programmierbar",1,0),"")</f>
        <v/>
      </c>
      <c r="AC79" s="1" t="str">
        <f>IF(AND(Programme_Grunddaten!$A87="Geprüft",Programme_Grunddaten!AK87&lt;&gt;""),IF(Programme_Grunddaten!AK87="Deutsch",0,IF(Programme_Grunddaten!AK87="Deutsch und Englisch",1,2)),"")</f>
        <v/>
      </c>
      <c r="AD79" s="1" t="str">
        <f>IF(AND(Programme_Grunddaten!$A87="Geprüft",Programme_Grunddaten!AL87&lt;&gt;""),IF(Programme_Grunddaten!AL87="Ja",1,0),"")</f>
        <v/>
      </c>
      <c r="AE79" s="1" t="str">
        <f>IF(AND(Programme_Grunddaten!$A87="Geprüft",Programme_Grunddaten!AM87&lt;&gt;""),IF(Programme_Grunddaten!AM87="Ja",1,0),"")</f>
        <v/>
      </c>
      <c r="AF79" s="1" t="str">
        <f>IF(AND(Programme_Grunddaten!$A87="Geprüft",Programme_Grunddaten!AN87&lt;&gt;""),IF(Programme_Grunddaten!AN87="Ja",1,0),"")</f>
        <v/>
      </c>
      <c r="AG79" s="1" t="str">
        <f>IF(AND(Programme_Grunddaten!$A87="Geprüft",Programme_Grunddaten!AO87&lt;&gt;""),IF(Programme_Grunddaten!AO87="Ja",1,0),"")</f>
        <v/>
      </c>
      <c r="AH79" s="1" t="str">
        <f>IF(AND(Programme_Grunddaten!$A87="Geprüft",Programme_Grunddaten!AP87&lt;&gt;""),IF(Programme_Grunddaten!AP87="Ja",1,0),"")</f>
        <v/>
      </c>
      <c r="AI79" s="1" t="str">
        <f>IF(AND(Programme_Grunddaten!$A87="Geprüft",Programme_Grunddaten!AQ87&lt;&gt;""),IF(Programme_Grunddaten!AQ87="Ja",1,0),"")</f>
        <v/>
      </c>
      <c r="AJ79" s="1" t="str">
        <f>IF(AND(Programme_Grunddaten!$A87="Geprüft",Programme_Grunddaten!AR87&lt;&gt;""),IF(Programme_Grunddaten!AR87="Ja",1,0),"")</f>
        <v/>
      </c>
      <c r="AK79" s="1" t="str">
        <f>IF(AND(Programme_Grunddaten!$A87="Geprüft",Programme_Grunddaten!AS87&lt;&gt;""),IF(Programme_Grunddaten!AS87="Ja",1,0),"")</f>
        <v/>
      </c>
      <c r="AL79" s="1" t="str">
        <f>IF(AND(Programme_Grunddaten!$A87="Geprüft",Programme_Grunddaten!AT87&lt;&gt;""),IF(Programme_Grunddaten!AT87="Ja",1,0),"")</f>
        <v/>
      </c>
      <c r="AM79" s="1" t="str">
        <f>IF(AND(Programme_Grunddaten!$A87="Geprüft",Programme_Grunddaten!AU87&lt;&gt;""),IF(Programme_Grunddaten!AU87="Ja",1,0),"")</f>
        <v/>
      </c>
      <c r="AN79" s="1" t="str">
        <f>IF(AND(Programme_Grunddaten!$A87="Geprüft",Programme_Grunddaten!AV87&lt;&gt;""),IF(Programme_Grunddaten!AV87="Ja",1,0),"")</f>
        <v/>
      </c>
    </row>
    <row r="80" spans="1:40" x14ac:dyDescent="0.3">
      <c r="A80" s="1" t="str">
        <f>IF(AND(Programme_Grunddaten!A88="Geprüft",Programme_Grunddaten!B88&lt;&gt;""),Programme_Grunddaten!B88,"")</f>
        <v/>
      </c>
      <c r="B80" s="1" t="str">
        <f>IF(AND(Programme_Grunddaten!$A88="Geprüft",Programme_Grunddaten!I88&lt;&gt;""),IF(Programme_Grunddaten!I88="Ja",1,0),"")</f>
        <v/>
      </c>
      <c r="C80" s="1" t="str">
        <f>IF(AND(Programme_Grunddaten!$A88="Geprüft",Programme_Grunddaten!J88&lt;&gt;""),IF(Programme_Grunddaten!J88="Ja",1,0),"")</f>
        <v/>
      </c>
      <c r="D80" s="1" t="str">
        <f>IF(AND(Programme_Grunddaten!$A88="Geprüft",Programme_Grunddaten!K88&lt;&gt;""),IF(Programme_Grunddaten!K88="Ja",1,0),"")</f>
        <v/>
      </c>
      <c r="E80" s="1" t="str">
        <f>IF(AND(Programme_Grunddaten!$A88="Geprüft",Programme_Grunddaten!L88&lt;&gt;""),IF(Programme_Grunddaten!L88="Abo / befristete Lizenz",1,0),"")</f>
        <v/>
      </c>
      <c r="F80" s="1" t="str">
        <f>IF(AND(Programme_Grunddaten!$A88="Geprüft",Programme_Grunddaten!M88&lt;&gt;""),IF(Programme_Grunddaten!M88="Ja",1,0),"")</f>
        <v/>
      </c>
      <c r="G80" s="1" t="str">
        <f>IF(AND(Programme_Grunddaten!$A88="Geprüft",Programme_Grunddaten!N88&lt;&gt;""),IF(Programme_Grunddaten!N88="Ja",1,0),"")</f>
        <v/>
      </c>
      <c r="H80" s="1" t="str">
        <f>IF(AND(Programme_Grunddaten!$A88="Geprüft",Programme_Grunddaten!O88&lt;&gt;""),IF(Programme_Grunddaten!O88="Deutschland",0,IF(Programme_Grunddaten!O88="EU",1,2)),"")</f>
        <v/>
      </c>
      <c r="I80" s="1" t="str">
        <f>IF(AND(Programme_Grunddaten!$A88="Geprüft",Programme_Grunddaten!P88&lt;&gt;""),IF(Programme_Grunddaten!P88="Ja",1,0),"")</f>
        <v/>
      </c>
      <c r="J80" s="1" t="str">
        <f>IF(AND(Programme_Grunddaten!$A88="Geprüft",Programme_Grunddaten!Q88&lt;&gt;""),IF(Programme_Grunddaten!Q88="geschlossenes System",1,0),"")</f>
        <v/>
      </c>
      <c r="K80" s="1" t="str">
        <f>IF(AND(Programme_Grunddaten!$A88="Geprüft",Programme_Grunddaten!R88&lt;&gt;""),IF(Programme_Grunddaten!R88="Ja",1,0),"")</f>
        <v/>
      </c>
      <c r="L80" s="1" t="str">
        <f>IF(AND(Programme_Grunddaten!$A88="Geprüft",Programme_Grunddaten!T88&lt;&gt;""),IF(Programme_Grunddaten!T88="Ja",1,0),"")</f>
        <v/>
      </c>
      <c r="M80" s="1" t="str">
        <f>IF(AND(Programme_Grunddaten!$A88="Geprüft",Programme_Grunddaten!U88&lt;&gt;""),IF(Programme_Grunddaten!U88="Ja",1,0),"")</f>
        <v/>
      </c>
      <c r="N80" s="1" t="str">
        <f>IF(AND(Programme_Grunddaten!$A88="Geprüft",Programme_Grunddaten!V88&lt;&gt;""),IF(Programme_Grunddaten!V88="Ja",1,0),"")</f>
        <v/>
      </c>
      <c r="O80" s="1" t="str">
        <f>IF(AND(Programme_Grunddaten!$A88="Geprüft",Programme_Grunddaten!W88&lt;&gt;""),IF(Programme_Grunddaten!W88="Ja",1,0),"")</f>
        <v/>
      </c>
      <c r="P80" s="1" t="str">
        <f>IF(AND(Programme_Grunddaten!$A88="Geprüft",Programme_Grunddaten!X88&lt;&gt;""),IF(Programme_Grunddaten!X88="Ja",1,0),"")</f>
        <v/>
      </c>
      <c r="Q80" s="1" t="str">
        <f>IF(AND(Programme_Grunddaten!$A88="Geprüft",Programme_Grunddaten!Y88&lt;&gt;""),IF(Programme_Grunddaten!Y88="Ja",1,0),"")</f>
        <v/>
      </c>
      <c r="R80" s="1" t="str">
        <f>IF(AND(Programme_Grunddaten!$A88="Geprüft",Programme_Grunddaten!Z88&lt;&gt;""),IF(Programme_Grunddaten!Z88="Ja",1,0),"")</f>
        <v/>
      </c>
      <c r="S80" s="1" t="str">
        <f>IF(AND(Programme_Grunddaten!$A88="Geprüft",Programme_Grunddaten!AA88&lt;&gt;""),IF(Programme_Grunddaten!AA88="monolithisch",1,0),"")</f>
        <v/>
      </c>
      <c r="T80" s="1" t="str">
        <f>IF(AND(Programme_Grunddaten!$A88="Geprüft",Programme_Grunddaten!AB88&lt;&gt;""),IF(Programme_Grunddaten!AB88="Ja",1,0),"")</f>
        <v/>
      </c>
      <c r="U80" s="1" t="str">
        <f>IF(AND(Programme_Grunddaten!$A88="Geprüft",Programme_Grunddaten!AC88&lt;&gt;""),IF(Programme_Grunddaten!AC88="Ja",1,0),"")</f>
        <v/>
      </c>
      <c r="V80" s="1" t="str">
        <f>IF(AND(Programme_Grunddaten!$A88="Geprüft",Programme_Grunddaten!AD88&lt;&gt;""),IF(Programme_Grunddaten!AD88="Ja",1,0),"")</f>
        <v/>
      </c>
      <c r="W80" s="1" t="str">
        <f>IF(AND(Programme_Grunddaten!$A88="Geprüft",Programme_Grunddaten!AE88&lt;&gt;""),IF(Programme_Grunddaten!AE88="Ja",1,0),"")</f>
        <v/>
      </c>
      <c r="X80" s="1" t="str">
        <f>IF(AND(Programme_Grunddaten!$A88="Geprüft",Programme_Grunddaten!AF88&lt;&gt;""),IF(Programme_Grunddaten!AF88="Ja",1,0),"")</f>
        <v/>
      </c>
      <c r="Y80" s="1" t="str">
        <f>IF(AND(Programme_Grunddaten!$A88="Geprüft",Programme_Grunddaten!AG88&lt;&gt;""),IF(Programme_Grunddaten!AG88="Ja",1,0),"")</f>
        <v/>
      </c>
      <c r="Z80" s="1" t="str">
        <f>IF(AND(Programme_Grunddaten!$A88="Geprüft",Programme_Grunddaten!AH88&lt;&gt;""),IF(Programme_Grunddaten!AH88="Ja",1,0),"")</f>
        <v/>
      </c>
      <c r="AA80" s="1" t="str">
        <f>IF(AND(Programme_Grunddaten!$A88="Geprüft",Programme_Grunddaten!AI88&lt;&gt;""),IF(Programme_Grunddaten!AI88="Ja",1,0),"")</f>
        <v/>
      </c>
      <c r="AB80" s="1" t="str">
        <f>IF(AND(Programme_Grunddaten!$A88="Geprüft",Programme_Grunddaten!AJ88&lt;&gt;""),IF(Programme_Grunddaten!AJ88="individuell programmierbar",1,0),"")</f>
        <v/>
      </c>
      <c r="AC80" s="1" t="str">
        <f>IF(AND(Programme_Grunddaten!$A88="Geprüft",Programme_Grunddaten!AK88&lt;&gt;""),IF(Programme_Grunddaten!AK88="Deutsch",0,IF(Programme_Grunddaten!AK88="Deutsch und Englisch",1,2)),"")</f>
        <v/>
      </c>
      <c r="AD80" s="1" t="str">
        <f>IF(AND(Programme_Grunddaten!$A88="Geprüft",Programme_Grunddaten!AL88&lt;&gt;""),IF(Programme_Grunddaten!AL88="Ja",1,0),"")</f>
        <v/>
      </c>
      <c r="AE80" s="1" t="str">
        <f>IF(AND(Programme_Grunddaten!$A88="Geprüft",Programme_Grunddaten!AM88&lt;&gt;""),IF(Programme_Grunddaten!AM88="Ja",1,0),"")</f>
        <v/>
      </c>
      <c r="AF80" s="1" t="str">
        <f>IF(AND(Programme_Grunddaten!$A88="Geprüft",Programme_Grunddaten!AN88&lt;&gt;""),IF(Programme_Grunddaten!AN88="Ja",1,0),"")</f>
        <v/>
      </c>
      <c r="AG80" s="1" t="str">
        <f>IF(AND(Programme_Grunddaten!$A88="Geprüft",Programme_Grunddaten!AO88&lt;&gt;""),IF(Programme_Grunddaten!AO88="Ja",1,0),"")</f>
        <v/>
      </c>
      <c r="AH80" s="1" t="str">
        <f>IF(AND(Programme_Grunddaten!$A88="Geprüft",Programme_Grunddaten!AP88&lt;&gt;""),IF(Programme_Grunddaten!AP88="Ja",1,0),"")</f>
        <v/>
      </c>
      <c r="AI80" s="1" t="str">
        <f>IF(AND(Programme_Grunddaten!$A88="Geprüft",Programme_Grunddaten!AQ88&lt;&gt;""),IF(Programme_Grunddaten!AQ88="Ja",1,0),"")</f>
        <v/>
      </c>
      <c r="AJ80" s="1" t="str">
        <f>IF(AND(Programme_Grunddaten!$A88="Geprüft",Programme_Grunddaten!AR88&lt;&gt;""),IF(Programme_Grunddaten!AR88="Ja",1,0),"")</f>
        <v/>
      </c>
      <c r="AK80" s="1" t="str">
        <f>IF(AND(Programme_Grunddaten!$A88="Geprüft",Programme_Grunddaten!AS88&lt;&gt;""),IF(Programme_Grunddaten!AS88="Ja",1,0),"")</f>
        <v/>
      </c>
      <c r="AL80" s="1" t="str">
        <f>IF(AND(Programme_Grunddaten!$A88="Geprüft",Programme_Grunddaten!AT88&lt;&gt;""),IF(Programme_Grunddaten!AT88="Ja",1,0),"")</f>
        <v/>
      </c>
      <c r="AM80" s="1" t="str">
        <f>IF(AND(Programme_Grunddaten!$A88="Geprüft",Programme_Grunddaten!AU88&lt;&gt;""),IF(Programme_Grunddaten!AU88="Ja",1,0),"")</f>
        <v/>
      </c>
      <c r="AN80" s="1" t="str">
        <f>IF(AND(Programme_Grunddaten!$A88="Geprüft",Programme_Grunddaten!AV88&lt;&gt;""),IF(Programme_Grunddaten!AV88="Ja",1,0),"")</f>
        <v/>
      </c>
    </row>
    <row r="81" spans="1:40" x14ac:dyDescent="0.3">
      <c r="A81" s="1" t="str">
        <f>IF(AND(Programme_Grunddaten!A89="Geprüft",Programme_Grunddaten!B89&lt;&gt;""),Programme_Grunddaten!B89,"")</f>
        <v/>
      </c>
      <c r="B81" s="1" t="str">
        <f>IF(AND(Programme_Grunddaten!$A89="Geprüft",Programme_Grunddaten!I89&lt;&gt;""),IF(Programme_Grunddaten!I89="Ja",1,0),"")</f>
        <v/>
      </c>
      <c r="C81" s="1" t="str">
        <f>IF(AND(Programme_Grunddaten!$A89="Geprüft",Programme_Grunddaten!J89&lt;&gt;""),IF(Programme_Grunddaten!J89="Ja",1,0),"")</f>
        <v/>
      </c>
      <c r="D81" s="1" t="str">
        <f>IF(AND(Programme_Grunddaten!$A89="Geprüft",Programme_Grunddaten!K89&lt;&gt;""),IF(Programme_Grunddaten!K89="Ja",1,0),"")</f>
        <v/>
      </c>
      <c r="E81" s="1" t="str">
        <f>IF(AND(Programme_Grunddaten!$A89="Geprüft",Programme_Grunddaten!L89&lt;&gt;""),IF(Programme_Grunddaten!L89="Abo / befristete Lizenz",1,0),"")</f>
        <v/>
      </c>
      <c r="F81" s="1" t="str">
        <f>IF(AND(Programme_Grunddaten!$A89="Geprüft",Programme_Grunddaten!M89&lt;&gt;""),IF(Programme_Grunddaten!M89="Ja",1,0),"")</f>
        <v/>
      </c>
      <c r="G81" s="1" t="str">
        <f>IF(AND(Programme_Grunddaten!$A89="Geprüft",Programme_Grunddaten!N89&lt;&gt;""),IF(Programme_Grunddaten!N89="Ja",1,0),"")</f>
        <v/>
      </c>
      <c r="H81" s="1" t="str">
        <f>IF(AND(Programme_Grunddaten!$A89="Geprüft",Programme_Grunddaten!O89&lt;&gt;""),IF(Programme_Grunddaten!O89="Deutschland",0,IF(Programme_Grunddaten!O89="EU",1,2)),"")</f>
        <v/>
      </c>
      <c r="I81" s="1" t="str">
        <f>IF(AND(Programme_Grunddaten!$A89="Geprüft",Programme_Grunddaten!P89&lt;&gt;""),IF(Programme_Grunddaten!P89="Ja",1,0),"")</f>
        <v/>
      </c>
      <c r="J81" s="1" t="str">
        <f>IF(AND(Programme_Grunddaten!$A89="Geprüft",Programme_Grunddaten!Q89&lt;&gt;""),IF(Programme_Grunddaten!Q89="geschlossenes System",1,0),"")</f>
        <v/>
      </c>
      <c r="K81" s="1" t="str">
        <f>IF(AND(Programme_Grunddaten!$A89="Geprüft",Programme_Grunddaten!R89&lt;&gt;""),IF(Programme_Grunddaten!R89="Ja",1,0),"")</f>
        <v/>
      </c>
      <c r="L81" s="1" t="str">
        <f>IF(AND(Programme_Grunddaten!$A89="Geprüft",Programme_Grunddaten!T89&lt;&gt;""),IF(Programme_Grunddaten!T89="Ja",1,0),"")</f>
        <v/>
      </c>
      <c r="M81" s="1" t="str">
        <f>IF(AND(Programme_Grunddaten!$A89="Geprüft",Programme_Grunddaten!U89&lt;&gt;""),IF(Programme_Grunddaten!U89="Ja",1,0),"")</f>
        <v/>
      </c>
      <c r="N81" s="1" t="str">
        <f>IF(AND(Programme_Grunddaten!$A89="Geprüft",Programme_Grunddaten!V89&lt;&gt;""),IF(Programme_Grunddaten!V89="Ja",1,0),"")</f>
        <v/>
      </c>
      <c r="O81" s="1" t="str">
        <f>IF(AND(Programme_Grunddaten!$A89="Geprüft",Programme_Grunddaten!W89&lt;&gt;""),IF(Programme_Grunddaten!W89="Ja",1,0),"")</f>
        <v/>
      </c>
      <c r="P81" s="1" t="str">
        <f>IF(AND(Programme_Grunddaten!$A89="Geprüft",Programme_Grunddaten!X89&lt;&gt;""),IF(Programme_Grunddaten!X89="Ja",1,0),"")</f>
        <v/>
      </c>
      <c r="Q81" s="1" t="str">
        <f>IF(AND(Programme_Grunddaten!$A89="Geprüft",Programme_Grunddaten!Y89&lt;&gt;""),IF(Programme_Grunddaten!Y89="Ja",1,0),"")</f>
        <v/>
      </c>
      <c r="R81" s="1" t="str">
        <f>IF(AND(Programme_Grunddaten!$A89="Geprüft",Programme_Grunddaten!Z89&lt;&gt;""),IF(Programme_Grunddaten!Z89="Ja",1,0),"")</f>
        <v/>
      </c>
      <c r="S81" s="1" t="str">
        <f>IF(AND(Programme_Grunddaten!$A89="Geprüft",Programme_Grunddaten!AA89&lt;&gt;""),IF(Programme_Grunddaten!AA89="monolithisch",1,0),"")</f>
        <v/>
      </c>
      <c r="T81" s="1" t="str">
        <f>IF(AND(Programme_Grunddaten!$A89="Geprüft",Programme_Grunddaten!AB89&lt;&gt;""),IF(Programme_Grunddaten!AB89="Ja",1,0),"")</f>
        <v/>
      </c>
      <c r="U81" s="1" t="str">
        <f>IF(AND(Programme_Grunddaten!$A89="Geprüft",Programme_Grunddaten!AC89&lt;&gt;""),IF(Programme_Grunddaten!AC89="Ja",1,0),"")</f>
        <v/>
      </c>
      <c r="V81" s="1" t="str">
        <f>IF(AND(Programme_Grunddaten!$A89="Geprüft",Programme_Grunddaten!AD89&lt;&gt;""),IF(Programme_Grunddaten!AD89="Ja",1,0),"")</f>
        <v/>
      </c>
      <c r="W81" s="1" t="str">
        <f>IF(AND(Programme_Grunddaten!$A89="Geprüft",Programme_Grunddaten!AE89&lt;&gt;""),IF(Programme_Grunddaten!AE89="Ja",1,0),"")</f>
        <v/>
      </c>
      <c r="X81" s="1" t="str">
        <f>IF(AND(Programme_Grunddaten!$A89="Geprüft",Programme_Grunddaten!AF89&lt;&gt;""),IF(Programme_Grunddaten!AF89="Ja",1,0),"")</f>
        <v/>
      </c>
      <c r="Y81" s="1" t="str">
        <f>IF(AND(Programme_Grunddaten!$A89="Geprüft",Programme_Grunddaten!AG89&lt;&gt;""),IF(Programme_Grunddaten!AG89="Ja",1,0),"")</f>
        <v/>
      </c>
      <c r="Z81" s="1" t="str">
        <f>IF(AND(Programme_Grunddaten!$A89="Geprüft",Programme_Grunddaten!AH89&lt;&gt;""),IF(Programme_Grunddaten!AH89="Ja",1,0),"")</f>
        <v/>
      </c>
      <c r="AA81" s="1" t="str">
        <f>IF(AND(Programme_Grunddaten!$A89="Geprüft",Programme_Grunddaten!AI89&lt;&gt;""),IF(Programme_Grunddaten!AI89="Ja",1,0),"")</f>
        <v/>
      </c>
      <c r="AB81" s="1" t="str">
        <f>IF(AND(Programme_Grunddaten!$A89="Geprüft",Programme_Grunddaten!AJ89&lt;&gt;""),IF(Programme_Grunddaten!AJ89="individuell programmierbar",1,0),"")</f>
        <v/>
      </c>
      <c r="AC81" s="1" t="str">
        <f>IF(AND(Programme_Grunddaten!$A89="Geprüft",Programme_Grunddaten!AK89&lt;&gt;""),IF(Programme_Grunddaten!AK89="Deutsch",0,IF(Programme_Grunddaten!AK89="Deutsch und Englisch",1,2)),"")</f>
        <v/>
      </c>
      <c r="AD81" s="1" t="str">
        <f>IF(AND(Programme_Grunddaten!$A89="Geprüft",Programme_Grunddaten!AL89&lt;&gt;""),IF(Programme_Grunddaten!AL89="Ja",1,0),"")</f>
        <v/>
      </c>
      <c r="AE81" s="1" t="str">
        <f>IF(AND(Programme_Grunddaten!$A89="Geprüft",Programme_Grunddaten!AM89&lt;&gt;""),IF(Programme_Grunddaten!AM89="Ja",1,0),"")</f>
        <v/>
      </c>
      <c r="AF81" s="1" t="str">
        <f>IF(AND(Programme_Grunddaten!$A89="Geprüft",Programme_Grunddaten!AN89&lt;&gt;""),IF(Programme_Grunddaten!AN89="Ja",1,0),"")</f>
        <v/>
      </c>
      <c r="AG81" s="1" t="str">
        <f>IF(AND(Programme_Grunddaten!$A89="Geprüft",Programme_Grunddaten!AO89&lt;&gt;""),IF(Programme_Grunddaten!AO89="Ja",1,0),"")</f>
        <v/>
      </c>
      <c r="AH81" s="1" t="str">
        <f>IF(AND(Programme_Grunddaten!$A89="Geprüft",Programme_Grunddaten!AP89&lt;&gt;""),IF(Programme_Grunddaten!AP89="Ja",1,0),"")</f>
        <v/>
      </c>
      <c r="AI81" s="1" t="str">
        <f>IF(AND(Programme_Grunddaten!$A89="Geprüft",Programme_Grunddaten!AQ89&lt;&gt;""),IF(Programme_Grunddaten!AQ89="Ja",1,0),"")</f>
        <v/>
      </c>
      <c r="AJ81" s="1" t="str">
        <f>IF(AND(Programme_Grunddaten!$A89="Geprüft",Programme_Grunddaten!AR89&lt;&gt;""),IF(Programme_Grunddaten!AR89="Ja",1,0),"")</f>
        <v/>
      </c>
      <c r="AK81" s="1" t="str">
        <f>IF(AND(Programme_Grunddaten!$A89="Geprüft",Programme_Grunddaten!AS89&lt;&gt;""),IF(Programme_Grunddaten!AS89="Ja",1,0),"")</f>
        <v/>
      </c>
      <c r="AL81" s="1" t="str">
        <f>IF(AND(Programme_Grunddaten!$A89="Geprüft",Programme_Grunddaten!AT89&lt;&gt;""),IF(Programme_Grunddaten!AT89="Ja",1,0),"")</f>
        <v/>
      </c>
      <c r="AM81" s="1" t="str">
        <f>IF(AND(Programme_Grunddaten!$A89="Geprüft",Programme_Grunddaten!AU89&lt;&gt;""),IF(Programme_Grunddaten!AU89="Ja",1,0),"")</f>
        <v/>
      </c>
      <c r="AN81" s="1" t="str">
        <f>IF(AND(Programme_Grunddaten!$A89="Geprüft",Programme_Grunddaten!AV89&lt;&gt;""),IF(Programme_Grunddaten!AV89="Ja",1,0),"")</f>
        <v/>
      </c>
    </row>
    <row r="82" spans="1:40" x14ac:dyDescent="0.3">
      <c r="A82" s="1" t="str">
        <f>IF(AND(Programme_Grunddaten!A90="Geprüft",Programme_Grunddaten!B90&lt;&gt;""),Programme_Grunddaten!B90,"")</f>
        <v/>
      </c>
      <c r="B82" s="1" t="str">
        <f>IF(AND(Programme_Grunddaten!$A90="Geprüft",Programme_Grunddaten!I90&lt;&gt;""),IF(Programme_Grunddaten!I90="Ja",1,0),"")</f>
        <v/>
      </c>
      <c r="C82" s="1" t="str">
        <f>IF(AND(Programme_Grunddaten!$A90="Geprüft",Programme_Grunddaten!J90&lt;&gt;""),IF(Programme_Grunddaten!J90="Ja",1,0),"")</f>
        <v/>
      </c>
      <c r="D82" s="1" t="str">
        <f>IF(AND(Programme_Grunddaten!$A90="Geprüft",Programme_Grunddaten!K90&lt;&gt;""),IF(Programme_Grunddaten!K90="Ja",1,0),"")</f>
        <v/>
      </c>
      <c r="E82" s="1" t="str">
        <f>IF(AND(Programme_Grunddaten!$A90="Geprüft",Programme_Grunddaten!L90&lt;&gt;""),IF(Programme_Grunddaten!L90="Abo / befristete Lizenz",1,0),"")</f>
        <v/>
      </c>
      <c r="F82" s="1" t="str">
        <f>IF(AND(Programme_Grunddaten!$A90="Geprüft",Programme_Grunddaten!M90&lt;&gt;""),IF(Programme_Grunddaten!M90="Ja",1,0),"")</f>
        <v/>
      </c>
      <c r="G82" s="1" t="str">
        <f>IF(AND(Programme_Grunddaten!$A90="Geprüft",Programme_Grunddaten!N90&lt;&gt;""),IF(Programme_Grunddaten!N90="Ja",1,0),"")</f>
        <v/>
      </c>
      <c r="H82" s="1" t="str">
        <f>IF(AND(Programme_Grunddaten!$A90="Geprüft",Programme_Grunddaten!O90&lt;&gt;""),IF(Programme_Grunddaten!O90="Deutschland",0,IF(Programme_Grunddaten!O90="EU",1,2)),"")</f>
        <v/>
      </c>
      <c r="I82" s="1" t="str">
        <f>IF(AND(Programme_Grunddaten!$A90="Geprüft",Programme_Grunddaten!P90&lt;&gt;""),IF(Programme_Grunddaten!P90="Ja",1,0),"")</f>
        <v/>
      </c>
      <c r="J82" s="1" t="str">
        <f>IF(AND(Programme_Grunddaten!$A90="Geprüft",Programme_Grunddaten!Q90&lt;&gt;""),IF(Programme_Grunddaten!Q90="geschlossenes System",1,0),"")</f>
        <v/>
      </c>
      <c r="K82" s="1" t="str">
        <f>IF(AND(Programme_Grunddaten!$A90="Geprüft",Programme_Grunddaten!R90&lt;&gt;""),IF(Programme_Grunddaten!R90="Ja",1,0),"")</f>
        <v/>
      </c>
      <c r="L82" s="1" t="str">
        <f>IF(AND(Programme_Grunddaten!$A90="Geprüft",Programme_Grunddaten!T90&lt;&gt;""),IF(Programme_Grunddaten!T90="Ja",1,0),"")</f>
        <v/>
      </c>
      <c r="M82" s="1" t="str">
        <f>IF(AND(Programme_Grunddaten!$A90="Geprüft",Programme_Grunddaten!U90&lt;&gt;""),IF(Programme_Grunddaten!U90="Ja",1,0),"")</f>
        <v/>
      </c>
      <c r="N82" s="1" t="str">
        <f>IF(AND(Programme_Grunddaten!$A90="Geprüft",Programme_Grunddaten!V90&lt;&gt;""),IF(Programme_Grunddaten!V90="Ja",1,0),"")</f>
        <v/>
      </c>
      <c r="O82" s="1" t="str">
        <f>IF(AND(Programme_Grunddaten!$A90="Geprüft",Programme_Grunddaten!W90&lt;&gt;""),IF(Programme_Grunddaten!W90="Ja",1,0),"")</f>
        <v/>
      </c>
      <c r="P82" s="1" t="str">
        <f>IF(AND(Programme_Grunddaten!$A90="Geprüft",Programme_Grunddaten!X90&lt;&gt;""),IF(Programme_Grunddaten!X90="Ja",1,0),"")</f>
        <v/>
      </c>
      <c r="Q82" s="1" t="str">
        <f>IF(AND(Programme_Grunddaten!$A90="Geprüft",Programme_Grunddaten!Y90&lt;&gt;""),IF(Programme_Grunddaten!Y90="Ja",1,0),"")</f>
        <v/>
      </c>
      <c r="R82" s="1" t="str">
        <f>IF(AND(Programme_Grunddaten!$A90="Geprüft",Programme_Grunddaten!Z90&lt;&gt;""),IF(Programme_Grunddaten!Z90="Ja",1,0),"")</f>
        <v/>
      </c>
      <c r="S82" s="1" t="str">
        <f>IF(AND(Programme_Grunddaten!$A90="Geprüft",Programme_Grunddaten!AA90&lt;&gt;""),IF(Programme_Grunddaten!AA90="monolithisch",1,0),"")</f>
        <v/>
      </c>
      <c r="T82" s="1" t="str">
        <f>IF(AND(Programme_Grunddaten!$A90="Geprüft",Programme_Grunddaten!AB90&lt;&gt;""),IF(Programme_Grunddaten!AB90="Ja",1,0),"")</f>
        <v/>
      </c>
      <c r="U82" s="1" t="str">
        <f>IF(AND(Programme_Grunddaten!$A90="Geprüft",Programme_Grunddaten!AC90&lt;&gt;""),IF(Programme_Grunddaten!AC90="Ja",1,0),"")</f>
        <v/>
      </c>
      <c r="V82" s="1" t="str">
        <f>IF(AND(Programme_Grunddaten!$A90="Geprüft",Programme_Grunddaten!AD90&lt;&gt;""),IF(Programme_Grunddaten!AD90="Ja",1,0),"")</f>
        <v/>
      </c>
      <c r="W82" s="1" t="str">
        <f>IF(AND(Programme_Grunddaten!$A90="Geprüft",Programme_Grunddaten!AE90&lt;&gt;""),IF(Programme_Grunddaten!AE90="Ja",1,0),"")</f>
        <v/>
      </c>
      <c r="X82" s="1" t="str">
        <f>IF(AND(Programme_Grunddaten!$A90="Geprüft",Programme_Grunddaten!AF90&lt;&gt;""),IF(Programme_Grunddaten!AF90="Ja",1,0),"")</f>
        <v/>
      </c>
      <c r="Y82" s="1" t="str">
        <f>IF(AND(Programme_Grunddaten!$A90="Geprüft",Programme_Grunddaten!AG90&lt;&gt;""),IF(Programme_Grunddaten!AG90="Ja",1,0),"")</f>
        <v/>
      </c>
      <c r="Z82" s="1" t="str">
        <f>IF(AND(Programme_Grunddaten!$A90="Geprüft",Programme_Grunddaten!AH90&lt;&gt;""),IF(Programme_Grunddaten!AH90="Ja",1,0),"")</f>
        <v/>
      </c>
      <c r="AA82" s="1" t="str">
        <f>IF(AND(Programme_Grunddaten!$A90="Geprüft",Programme_Grunddaten!AI90&lt;&gt;""),IF(Programme_Grunddaten!AI90="Ja",1,0),"")</f>
        <v/>
      </c>
      <c r="AB82" s="1" t="str">
        <f>IF(AND(Programme_Grunddaten!$A90="Geprüft",Programme_Grunddaten!AJ90&lt;&gt;""),IF(Programme_Grunddaten!AJ90="individuell programmierbar",1,0),"")</f>
        <v/>
      </c>
      <c r="AC82" s="1" t="str">
        <f>IF(AND(Programme_Grunddaten!$A90="Geprüft",Programme_Grunddaten!AK90&lt;&gt;""),IF(Programme_Grunddaten!AK90="Deutsch",0,IF(Programme_Grunddaten!AK90="Deutsch und Englisch",1,2)),"")</f>
        <v/>
      </c>
      <c r="AD82" s="1" t="str">
        <f>IF(AND(Programme_Grunddaten!$A90="Geprüft",Programme_Grunddaten!AL90&lt;&gt;""),IF(Programme_Grunddaten!AL90="Ja",1,0),"")</f>
        <v/>
      </c>
      <c r="AE82" s="1" t="str">
        <f>IF(AND(Programme_Grunddaten!$A90="Geprüft",Programme_Grunddaten!AM90&lt;&gt;""),IF(Programme_Grunddaten!AM90="Ja",1,0),"")</f>
        <v/>
      </c>
      <c r="AF82" s="1" t="str">
        <f>IF(AND(Programme_Grunddaten!$A90="Geprüft",Programme_Grunddaten!AN90&lt;&gt;""),IF(Programme_Grunddaten!AN90="Ja",1,0),"")</f>
        <v/>
      </c>
      <c r="AG82" s="1" t="str">
        <f>IF(AND(Programme_Grunddaten!$A90="Geprüft",Programme_Grunddaten!AO90&lt;&gt;""),IF(Programme_Grunddaten!AO90="Ja",1,0),"")</f>
        <v/>
      </c>
      <c r="AH82" s="1" t="str">
        <f>IF(AND(Programme_Grunddaten!$A90="Geprüft",Programme_Grunddaten!AP90&lt;&gt;""),IF(Programme_Grunddaten!AP90="Ja",1,0),"")</f>
        <v/>
      </c>
      <c r="AI82" s="1" t="str">
        <f>IF(AND(Programme_Grunddaten!$A90="Geprüft",Programme_Grunddaten!AQ90&lt;&gt;""),IF(Programme_Grunddaten!AQ90="Ja",1,0),"")</f>
        <v/>
      </c>
      <c r="AJ82" s="1" t="str">
        <f>IF(AND(Programme_Grunddaten!$A90="Geprüft",Programme_Grunddaten!AR90&lt;&gt;""),IF(Programme_Grunddaten!AR90="Ja",1,0),"")</f>
        <v/>
      </c>
      <c r="AK82" s="1" t="str">
        <f>IF(AND(Programme_Grunddaten!$A90="Geprüft",Programme_Grunddaten!AS90&lt;&gt;""),IF(Programme_Grunddaten!AS90="Ja",1,0),"")</f>
        <v/>
      </c>
      <c r="AL82" s="1" t="str">
        <f>IF(AND(Programme_Grunddaten!$A90="Geprüft",Programme_Grunddaten!AT90&lt;&gt;""),IF(Programme_Grunddaten!AT90="Ja",1,0),"")</f>
        <v/>
      </c>
      <c r="AM82" s="1" t="str">
        <f>IF(AND(Programme_Grunddaten!$A90="Geprüft",Programme_Grunddaten!AU90&lt;&gt;""),IF(Programme_Grunddaten!AU90="Ja",1,0),"")</f>
        <v/>
      </c>
      <c r="AN82" s="1" t="str">
        <f>IF(AND(Programme_Grunddaten!$A90="Geprüft",Programme_Grunddaten!AV90&lt;&gt;""),IF(Programme_Grunddaten!AV90="Ja",1,0),"")</f>
        <v/>
      </c>
    </row>
    <row r="83" spans="1:40" x14ac:dyDescent="0.3">
      <c r="A83" s="1" t="str">
        <f>IF(AND(Programme_Grunddaten!A91="Geprüft",Programme_Grunddaten!B91&lt;&gt;""),Programme_Grunddaten!B91,"")</f>
        <v/>
      </c>
      <c r="B83" s="1" t="str">
        <f>IF(AND(Programme_Grunddaten!$A91="Geprüft",Programme_Grunddaten!I91&lt;&gt;""),IF(Programme_Grunddaten!I91="Ja",1,0),"")</f>
        <v/>
      </c>
      <c r="C83" s="1" t="str">
        <f>IF(AND(Programme_Grunddaten!$A91="Geprüft",Programme_Grunddaten!J91&lt;&gt;""),IF(Programme_Grunddaten!J91="Ja",1,0),"")</f>
        <v/>
      </c>
      <c r="D83" s="1" t="str">
        <f>IF(AND(Programme_Grunddaten!$A91="Geprüft",Programme_Grunddaten!K91&lt;&gt;""),IF(Programme_Grunddaten!K91="Ja",1,0),"")</f>
        <v/>
      </c>
      <c r="E83" s="1" t="str">
        <f>IF(AND(Programme_Grunddaten!$A91="Geprüft",Programme_Grunddaten!L91&lt;&gt;""),IF(Programme_Grunddaten!L91="Abo / befristete Lizenz",1,0),"")</f>
        <v/>
      </c>
      <c r="F83" s="1" t="str">
        <f>IF(AND(Programme_Grunddaten!$A91="Geprüft",Programme_Grunddaten!M91&lt;&gt;""),IF(Programme_Grunddaten!M91="Ja",1,0),"")</f>
        <v/>
      </c>
      <c r="G83" s="1" t="str">
        <f>IF(AND(Programme_Grunddaten!$A91="Geprüft",Programme_Grunddaten!N91&lt;&gt;""),IF(Programme_Grunddaten!N91="Ja",1,0),"")</f>
        <v/>
      </c>
      <c r="H83" s="1" t="str">
        <f>IF(AND(Programme_Grunddaten!$A91="Geprüft",Programme_Grunddaten!O91&lt;&gt;""),IF(Programme_Grunddaten!O91="Deutschland",0,IF(Programme_Grunddaten!O91="EU",1,2)),"")</f>
        <v/>
      </c>
      <c r="I83" s="1" t="str">
        <f>IF(AND(Programme_Grunddaten!$A91="Geprüft",Programme_Grunddaten!P91&lt;&gt;""),IF(Programme_Grunddaten!P91="Ja",1,0),"")</f>
        <v/>
      </c>
      <c r="J83" s="1" t="str">
        <f>IF(AND(Programme_Grunddaten!$A91="Geprüft",Programme_Grunddaten!Q91&lt;&gt;""),IF(Programme_Grunddaten!Q91="geschlossenes System",1,0),"")</f>
        <v/>
      </c>
      <c r="K83" s="1" t="str">
        <f>IF(AND(Programme_Grunddaten!$A91="Geprüft",Programme_Grunddaten!R91&lt;&gt;""),IF(Programme_Grunddaten!R91="Ja",1,0),"")</f>
        <v/>
      </c>
      <c r="L83" s="1" t="str">
        <f>IF(AND(Programme_Grunddaten!$A91="Geprüft",Programme_Grunddaten!T91&lt;&gt;""),IF(Programme_Grunddaten!T91="Ja",1,0),"")</f>
        <v/>
      </c>
      <c r="M83" s="1" t="str">
        <f>IF(AND(Programme_Grunddaten!$A91="Geprüft",Programme_Grunddaten!U91&lt;&gt;""),IF(Programme_Grunddaten!U91="Ja",1,0),"")</f>
        <v/>
      </c>
      <c r="N83" s="1" t="str">
        <f>IF(AND(Programme_Grunddaten!$A91="Geprüft",Programme_Grunddaten!V91&lt;&gt;""),IF(Programme_Grunddaten!V91="Ja",1,0),"")</f>
        <v/>
      </c>
      <c r="O83" s="1" t="str">
        <f>IF(AND(Programme_Grunddaten!$A91="Geprüft",Programme_Grunddaten!W91&lt;&gt;""),IF(Programme_Grunddaten!W91="Ja",1,0),"")</f>
        <v/>
      </c>
      <c r="P83" s="1" t="str">
        <f>IF(AND(Programme_Grunddaten!$A91="Geprüft",Programme_Grunddaten!X91&lt;&gt;""),IF(Programme_Grunddaten!X91="Ja",1,0),"")</f>
        <v/>
      </c>
      <c r="Q83" s="1" t="str">
        <f>IF(AND(Programme_Grunddaten!$A91="Geprüft",Programme_Grunddaten!Y91&lt;&gt;""),IF(Programme_Grunddaten!Y91="Ja",1,0),"")</f>
        <v/>
      </c>
      <c r="R83" s="1" t="str">
        <f>IF(AND(Programme_Grunddaten!$A91="Geprüft",Programme_Grunddaten!Z91&lt;&gt;""),IF(Programme_Grunddaten!Z91="Ja",1,0),"")</f>
        <v/>
      </c>
      <c r="S83" s="1" t="str">
        <f>IF(AND(Programme_Grunddaten!$A91="Geprüft",Programme_Grunddaten!AA91&lt;&gt;""),IF(Programme_Grunddaten!AA91="monolithisch",1,0),"")</f>
        <v/>
      </c>
      <c r="T83" s="1" t="str">
        <f>IF(AND(Programme_Grunddaten!$A91="Geprüft",Programme_Grunddaten!AB91&lt;&gt;""),IF(Programme_Grunddaten!AB91="Ja",1,0),"")</f>
        <v/>
      </c>
      <c r="U83" s="1" t="str">
        <f>IF(AND(Programme_Grunddaten!$A91="Geprüft",Programme_Grunddaten!AC91&lt;&gt;""),IF(Programme_Grunddaten!AC91="Ja",1,0),"")</f>
        <v/>
      </c>
      <c r="V83" s="1" t="str">
        <f>IF(AND(Programme_Grunddaten!$A91="Geprüft",Programme_Grunddaten!AD91&lt;&gt;""),IF(Programme_Grunddaten!AD91="Ja",1,0),"")</f>
        <v/>
      </c>
      <c r="W83" s="1" t="str">
        <f>IF(AND(Programme_Grunddaten!$A91="Geprüft",Programme_Grunddaten!AE91&lt;&gt;""),IF(Programme_Grunddaten!AE91="Ja",1,0),"")</f>
        <v/>
      </c>
      <c r="X83" s="1" t="str">
        <f>IF(AND(Programme_Grunddaten!$A91="Geprüft",Programme_Grunddaten!AF91&lt;&gt;""),IF(Programme_Grunddaten!AF91="Ja",1,0),"")</f>
        <v/>
      </c>
      <c r="Y83" s="1" t="str">
        <f>IF(AND(Programme_Grunddaten!$A91="Geprüft",Programme_Grunddaten!AG91&lt;&gt;""),IF(Programme_Grunddaten!AG91="Ja",1,0),"")</f>
        <v/>
      </c>
      <c r="Z83" s="1" t="str">
        <f>IF(AND(Programme_Grunddaten!$A91="Geprüft",Programme_Grunddaten!AH91&lt;&gt;""),IF(Programme_Grunddaten!AH91="Ja",1,0),"")</f>
        <v/>
      </c>
      <c r="AA83" s="1" t="str">
        <f>IF(AND(Programme_Grunddaten!$A91="Geprüft",Programme_Grunddaten!AI91&lt;&gt;""),IF(Programme_Grunddaten!AI91="Ja",1,0),"")</f>
        <v/>
      </c>
      <c r="AB83" s="1" t="str">
        <f>IF(AND(Programme_Grunddaten!$A91="Geprüft",Programme_Grunddaten!AJ91&lt;&gt;""),IF(Programme_Grunddaten!AJ91="individuell programmierbar",1,0),"")</f>
        <v/>
      </c>
      <c r="AC83" s="1" t="str">
        <f>IF(AND(Programme_Grunddaten!$A91="Geprüft",Programme_Grunddaten!AK91&lt;&gt;""),IF(Programme_Grunddaten!AK91="Deutsch",0,IF(Programme_Grunddaten!AK91="Deutsch und Englisch",1,2)),"")</f>
        <v/>
      </c>
      <c r="AD83" s="1" t="str">
        <f>IF(AND(Programme_Grunddaten!$A91="Geprüft",Programme_Grunddaten!AL91&lt;&gt;""),IF(Programme_Grunddaten!AL91="Ja",1,0),"")</f>
        <v/>
      </c>
      <c r="AE83" s="1" t="str">
        <f>IF(AND(Programme_Grunddaten!$A91="Geprüft",Programme_Grunddaten!AM91&lt;&gt;""),IF(Programme_Grunddaten!AM91="Ja",1,0),"")</f>
        <v/>
      </c>
      <c r="AF83" s="1" t="str">
        <f>IF(AND(Programme_Grunddaten!$A91="Geprüft",Programme_Grunddaten!AN91&lt;&gt;""),IF(Programme_Grunddaten!AN91="Ja",1,0),"")</f>
        <v/>
      </c>
      <c r="AG83" s="1" t="str">
        <f>IF(AND(Programme_Grunddaten!$A91="Geprüft",Programme_Grunddaten!AO91&lt;&gt;""),IF(Programme_Grunddaten!AO91="Ja",1,0),"")</f>
        <v/>
      </c>
      <c r="AH83" s="1" t="str">
        <f>IF(AND(Programme_Grunddaten!$A91="Geprüft",Programme_Grunddaten!AP91&lt;&gt;""),IF(Programme_Grunddaten!AP91="Ja",1,0),"")</f>
        <v/>
      </c>
      <c r="AI83" s="1" t="str">
        <f>IF(AND(Programme_Grunddaten!$A91="Geprüft",Programme_Grunddaten!AQ91&lt;&gt;""),IF(Programme_Grunddaten!AQ91="Ja",1,0),"")</f>
        <v/>
      </c>
      <c r="AJ83" s="1" t="str">
        <f>IF(AND(Programme_Grunddaten!$A91="Geprüft",Programme_Grunddaten!AR91&lt;&gt;""),IF(Programme_Grunddaten!AR91="Ja",1,0),"")</f>
        <v/>
      </c>
      <c r="AK83" s="1" t="str">
        <f>IF(AND(Programme_Grunddaten!$A91="Geprüft",Programme_Grunddaten!AS91&lt;&gt;""),IF(Programme_Grunddaten!AS91="Ja",1,0),"")</f>
        <v/>
      </c>
      <c r="AL83" s="1" t="str">
        <f>IF(AND(Programme_Grunddaten!$A91="Geprüft",Programme_Grunddaten!AT91&lt;&gt;""),IF(Programme_Grunddaten!AT91="Ja",1,0),"")</f>
        <v/>
      </c>
      <c r="AM83" s="1" t="str">
        <f>IF(AND(Programme_Grunddaten!$A91="Geprüft",Programme_Grunddaten!AU91&lt;&gt;""),IF(Programme_Grunddaten!AU91="Ja",1,0),"")</f>
        <v/>
      </c>
      <c r="AN83" s="1" t="str">
        <f>IF(AND(Programme_Grunddaten!$A91="Geprüft",Programme_Grunddaten!AV91&lt;&gt;""),IF(Programme_Grunddaten!AV91="Ja",1,0),"")</f>
        <v/>
      </c>
    </row>
    <row r="84" spans="1:40" x14ac:dyDescent="0.3">
      <c r="A84" s="1" t="str">
        <f>IF(AND(Programme_Grunddaten!A92="Geprüft",Programme_Grunddaten!B92&lt;&gt;""),Programme_Grunddaten!B92,"")</f>
        <v/>
      </c>
      <c r="B84" s="1" t="str">
        <f>IF(AND(Programme_Grunddaten!$A92="Geprüft",Programme_Grunddaten!I92&lt;&gt;""),IF(Programme_Grunddaten!I92="Ja",1,0),"")</f>
        <v/>
      </c>
      <c r="C84" s="1" t="str">
        <f>IF(AND(Programme_Grunddaten!$A92="Geprüft",Programme_Grunddaten!J92&lt;&gt;""),IF(Programme_Grunddaten!J92="Ja",1,0),"")</f>
        <v/>
      </c>
      <c r="D84" s="1" t="str">
        <f>IF(AND(Programme_Grunddaten!$A92="Geprüft",Programme_Grunddaten!K92&lt;&gt;""),IF(Programme_Grunddaten!K92="Ja",1,0),"")</f>
        <v/>
      </c>
      <c r="E84" s="1" t="str">
        <f>IF(AND(Programme_Grunddaten!$A92="Geprüft",Programme_Grunddaten!L92&lt;&gt;""),IF(Programme_Grunddaten!L92="Abo / befristete Lizenz",1,0),"")</f>
        <v/>
      </c>
      <c r="F84" s="1" t="str">
        <f>IF(AND(Programme_Grunddaten!$A92="Geprüft",Programme_Grunddaten!M92&lt;&gt;""),IF(Programme_Grunddaten!M92="Ja",1,0),"")</f>
        <v/>
      </c>
      <c r="G84" s="1" t="str">
        <f>IF(AND(Programme_Grunddaten!$A92="Geprüft",Programme_Grunddaten!N92&lt;&gt;""),IF(Programme_Grunddaten!N92="Ja",1,0),"")</f>
        <v/>
      </c>
      <c r="H84" s="1" t="str">
        <f>IF(AND(Programme_Grunddaten!$A92="Geprüft",Programme_Grunddaten!O92&lt;&gt;""),IF(Programme_Grunddaten!O92="Deutschland",0,IF(Programme_Grunddaten!O92="EU",1,2)),"")</f>
        <v/>
      </c>
      <c r="I84" s="1" t="str">
        <f>IF(AND(Programme_Grunddaten!$A92="Geprüft",Programme_Grunddaten!P92&lt;&gt;""),IF(Programme_Grunddaten!P92="Ja",1,0),"")</f>
        <v/>
      </c>
      <c r="J84" s="1" t="str">
        <f>IF(AND(Programme_Grunddaten!$A92="Geprüft",Programme_Grunddaten!Q92&lt;&gt;""),IF(Programme_Grunddaten!Q92="geschlossenes System",1,0),"")</f>
        <v/>
      </c>
      <c r="K84" s="1" t="str">
        <f>IF(AND(Programme_Grunddaten!$A92="Geprüft",Programme_Grunddaten!R92&lt;&gt;""),IF(Programme_Grunddaten!R92="Ja",1,0),"")</f>
        <v/>
      </c>
      <c r="L84" s="1" t="str">
        <f>IF(AND(Programme_Grunddaten!$A92="Geprüft",Programme_Grunddaten!T92&lt;&gt;""),IF(Programme_Grunddaten!T92="Ja",1,0),"")</f>
        <v/>
      </c>
      <c r="M84" s="1" t="str">
        <f>IF(AND(Programme_Grunddaten!$A92="Geprüft",Programme_Grunddaten!U92&lt;&gt;""),IF(Programme_Grunddaten!U92="Ja",1,0),"")</f>
        <v/>
      </c>
      <c r="N84" s="1" t="str">
        <f>IF(AND(Programme_Grunddaten!$A92="Geprüft",Programme_Grunddaten!V92&lt;&gt;""),IF(Programme_Grunddaten!V92="Ja",1,0),"")</f>
        <v/>
      </c>
      <c r="O84" s="1" t="str">
        <f>IF(AND(Programme_Grunddaten!$A92="Geprüft",Programme_Grunddaten!W92&lt;&gt;""),IF(Programme_Grunddaten!W92="Ja",1,0),"")</f>
        <v/>
      </c>
      <c r="P84" s="1" t="str">
        <f>IF(AND(Programme_Grunddaten!$A92="Geprüft",Programme_Grunddaten!X92&lt;&gt;""),IF(Programme_Grunddaten!X92="Ja",1,0),"")</f>
        <v/>
      </c>
      <c r="Q84" s="1" t="str">
        <f>IF(AND(Programme_Grunddaten!$A92="Geprüft",Programme_Grunddaten!Y92&lt;&gt;""),IF(Programme_Grunddaten!Y92="Ja",1,0),"")</f>
        <v/>
      </c>
      <c r="R84" s="1" t="str">
        <f>IF(AND(Programme_Grunddaten!$A92="Geprüft",Programme_Grunddaten!Z92&lt;&gt;""),IF(Programme_Grunddaten!Z92="Ja",1,0),"")</f>
        <v/>
      </c>
      <c r="S84" s="1" t="str">
        <f>IF(AND(Programme_Grunddaten!$A92="Geprüft",Programme_Grunddaten!AA92&lt;&gt;""),IF(Programme_Grunddaten!AA92="monolithisch",1,0),"")</f>
        <v/>
      </c>
      <c r="T84" s="1" t="str">
        <f>IF(AND(Programme_Grunddaten!$A92="Geprüft",Programme_Grunddaten!AB92&lt;&gt;""),IF(Programme_Grunddaten!AB92="Ja",1,0),"")</f>
        <v/>
      </c>
      <c r="U84" s="1" t="str">
        <f>IF(AND(Programme_Grunddaten!$A92="Geprüft",Programme_Grunddaten!AC92&lt;&gt;""),IF(Programme_Grunddaten!AC92="Ja",1,0),"")</f>
        <v/>
      </c>
      <c r="V84" s="1" t="str">
        <f>IF(AND(Programme_Grunddaten!$A92="Geprüft",Programme_Grunddaten!AD92&lt;&gt;""),IF(Programme_Grunddaten!AD92="Ja",1,0),"")</f>
        <v/>
      </c>
      <c r="W84" s="1" t="str">
        <f>IF(AND(Programme_Grunddaten!$A92="Geprüft",Programme_Grunddaten!AE92&lt;&gt;""),IF(Programme_Grunddaten!AE92="Ja",1,0),"")</f>
        <v/>
      </c>
      <c r="X84" s="1" t="str">
        <f>IF(AND(Programme_Grunddaten!$A92="Geprüft",Programme_Grunddaten!AF92&lt;&gt;""),IF(Programme_Grunddaten!AF92="Ja",1,0),"")</f>
        <v/>
      </c>
      <c r="Y84" s="1" t="str">
        <f>IF(AND(Programme_Grunddaten!$A92="Geprüft",Programme_Grunddaten!AG92&lt;&gt;""),IF(Programme_Grunddaten!AG92="Ja",1,0),"")</f>
        <v/>
      </c>
      <c r="Z84" s="1" t="str">
        <f>IF(AND(Programme_Grunddaten!$A92="Geprüft",Programme_Grunddaten!AH92&lt;&gt;""),IF(Programme_Grunddaten!AH92="Ja",1,0),"")</f>
        <v/>
      </c>
      <c r="AA84" s="1" t="str">
        <f>IF(AND(Programme_Grunddaten!$A92="Geprüft",Programme_Grunddaten!AI92&lt;&gt;""),IF(Programme_Grunddaten!AI92="Ja",1,0),"")</f>
        <v/>
      </c>
      <c r="AB84" s="1" t="str">
        <f>IF(AND(Programme_Grunddaten!$A92="Geprüft",Programme_Grunddaten!AJ92&lt;&gt;""),IF(Programme_Grunddaten!AJ92="individuell programmierbar",1,0),"")</f>
        <v/>
      </c>
      <c r="AC84" s="1" t="str">
        <f>IF(AND(Programme_Grunddaten!$A92="Geprüft",Programme_Grunddaten!AK92&lt;&gt;""),IF(Programme_Grunddaten!AK92="Deutsch",0,IF(Programme_Grunddaten!AK92="Deutsch und Englisch",1,2)),"")</f>
        <v/>
      </c>
      <c r="AD84" s="1" t="str">
        <f>IF(AND(Programme_Grunddaten!$A92="Geprüft",Programme_Grunddaten!AL92&lt;&gt;""),IF(Programme_Grunddaten!AL92="Ja",1,0),"")</f>
        <v/>
      </c>
      <c r="AE84" s="1" t="str">
        <f>IF(AND(Programme_Grunddaten!$A92="Geprüft",Programme_Grunddaten!AM92&lt;&gt;""),IF(Programme_Grunddaten!AM92="Ja",1,0),"")</f>
        <v/>
      </c>
      <c r="AF84" s="1" t="str">
        <f>IF(AND(Programme_Grunddaten!$A92="Geprüft",Programme_Grunddaten!AN92&lt;&gt;""),IF(Programme_Grunddaten!AN92="Ja",1,0),"")</f>
        <v/>
      </c>
      <c r="AG84" s="1" t="str">
        <f>IF(AND(Programme_Grunddaten!$A92="Geprüft",Programme_Grunddaten!AO92&lt;&gt;""),IF(Programme_Grunddaten!AO92="Ja",1,0),"")</f>
        <v/>
      </c>
      <c r="AH84" s="1" t="str">
        <f>IF(AND(Programme_Grunddaten!$A92="Geprüft",Programme_Grunddaten!AP92&lt;&gt;""),IF(Programme_Grunddaten!AP92="Ja",1,0),"")</f>
        <v/>
      </c>
      <c r="AI84" s="1" t="str">
        <f>IF(AND(Programme_Grunddaten!$A92="Geprüft",Programme_Grunddaten!AQ92&lt;&gt;""),IF(Programme_Grunddaten!AQ92="Ja",1,0),"")</f>
        <v/>
      </c>
      <c r="AJ84" s="1" t="str">
        <f>IF(AND(Programme_Grunddaten!$A92="Geprüft",Programme_Grunddaten!AR92&lt;&gt;""),IF(Programme_Grunddaten!AR92="Ja",1,0),"")</f>
        <v/>
      </c>
      <c r="AK84" s="1" t="str">
        <f>IF(AND(Programme_Grunddaten!$A92="Geprüft",Programme_Grunddaten!AS92&lt;&gt;""),IF(Programme_Grunddaten!AS92="Ja",1,0),"")</f>
        <v/>
      </c>
      <c r="AL84" s="1" t="str">
        <f>IF(AND(Programme_Grunddaten!$A92="Geprüft",Programme_Grunddaten!AT92&lt;&gt;""),IF(Programme_Grunddaten!AT92="Ja",1,0),"")</f>
        <v/>
      </c>
      <c r="AM84" s="1" t="str">
        <f>IF(AND(Programme_Grunddaten!$A92="Geprüft",Programme_Grunddaten!AU92&lt;&gt;""),IF(Programme_Grunddaten!AU92="Ja",1,0),"")</f>
        <v/>
      </c>
      <c r="AN84" s="1" t="str">
        <f>IF(AND(Programme_Grunddaten!$A92="Geprüft",Programme_Grunddaten!AV92&lt;&gt;""),IF(Programme_Grunddaten!AV92="Ja",1,0),"")</f>
        <v/>
      </c>
    </row>
    <row r="85" spans="1:40" x14ac:dyDescent="0.3">
      <c r="A85" s="1" t="str">
        <f>IF(AND(Programme_Grunddaten!A93="Geprüft",Programme_Grunddaten!B93&lt;&gt;""),Programme_Grunddaten!B93,"")</f>
        <v/>
      </c>
      <c r="B85" s="1" t="str">
        <f>IF(AND(Programme_Grunddaten!$A93="Geprüft",Programme_Grunddaten!I93&lt;&gt;""),IF(Programme_Grunddaten!I93="Ja",1,0),"")</f>
        <v/>
      </c>
      <c r="C85" s="1" t="str">
        <f>IF(AND(Programme_Grunddaten!$A93="Geprüft",Programme_Grunddaten!J93&lt;&gt;""),IF(Programme_Grunddaten!J93="Ja",1,0),"")</f>
        <v/>
      </c>
      <c r="D85" s="1" t="str">
        <f>IF(AND(Programme_Grunddaten!$A93="Geprüft",Programme_Grunddaten!K93&lt;&gt;""),IF(Programme_Grunddaten!K93="Ja",1,0),"")</f>
        <v/>
      </c>
      <c r="E85" s="1" t="str">
        <f>IF(AND(Programme_Grunddaten!$A93="Geprüft",Programme_Grunddaten!L93&lt;&gt;""),IF(Programme_Grunddaten!L93="Abo / befristete Lizenz",1,0),"")</f>
        <v/>
      </c>
      <c r="F85" s="1" t="str">
        <f>IF(AND(Programme_Grunddaten!$A93="Geprüft",Programme_Grunddaten!M93&lt;&gt;""),IF(Programme_Grunddaten!M93="Ja",1,0),"")</f>
        <v/>
      </c>
      <c r="G85" s="1" t="str">
        <f>IF(AND(Programme_Grunddaten!$A93="Geprüft",Programme_Grunddaten!N93&lt;&gt;""),IF(Programme_Grunddaten!N93="Ja",1,0),"")</f>
        <v/>
      </c>
      <c r="H85" s="1" t="str">
        <f>IF(AND(Programme_Grunddaten!$A93="Geprüft",Programme_Grunddaten!O93&lt;&gt;""),IF(Programme_Grunddaten!O93="Deutschland",0,IF(Programme_Grunddaten!O93="EU",1,2)),"")</f>
        <v/>
      </c>
      <c r="I85" s="1" t="str">
        <f>IF(AND(Programme_Grunddaten!$A93="Geprüft",Programme_Grunddaten!P93&lt;&gt;""),IF(Programme_Grunddaten!P93="Ja",1,0),"")</f>
        <v/>
      </c>
      <c r="J85" s="1" t="str">
        <f>IF(AND(Programme_Grunddaten!$A93="Geprüft",Programme_Grunddaten!Q93&lt;&gt;""),IF(Programme_Grunddaten!Q93="geschlossenes System",1,0),"")</f>
        <v/>
      </c>
      <c r="K85" s="1" t="str">
        <f>IF(AND(Programme_Grunddaten!$A93="Geprüft",Programme_Grunddaten!R93&lt;&gt;""),IF(Programme_Grunddaten!R93="Ja",1,0),"")</f>
        <v/>
      </c>
      <c r="L85" s="1" t="str">
        <f>IF(AND(Programme_Grunddaten!$A93="Geprüft",Programme_Grunddaten!T93&lt;&gt;""),IF(Programme_Grunddaten!T93="Ja",1,0),"")</f>
        <v/>
      </c>
      <c r="M85" s="1" t="str">
        <f>IF(AND(Programme_Grunddaten!$A93="Geprüft",Programme_Grunddaten!U93&lt;&gt;""),IF(Programme_Grunddaten!U93="Ja",1,0),"")</f>
        <v/>
      </c>
      <c r="N85" s="1" t="str">
        <f>IF(AND(Programme_Grunddaten!$A93="Geprüft",Programme_Grunddaten!V93&lt;&gt;""),IF(Programme_Grunddaten!V93="Ja",1,0),"")</f>
        <v/>
      </c>
      <c r="O85" s="1" t="str">
        <f>IF(AND(Programme_Grunddaten!$A93="Geprüft",Programme_Grunddaten!W93&lt;&gt;""),IF(Programme_Grunddaten!W93="Ja",1,0),"")</f>
        <v/>
      </c>
      <c r="P85" s="1" t="str">
        <f>IF(AND(Programme_Grunddaten!$A93="Geprüft",Programme_Grunddaten!X93&lt;&gt;""),IF(Programme_Grunddaten!X93="Ja",1,0),"")</f>
        <v/>
      </c>
      <c r="Q85" s="1" t="str">
        <f>IF(AND(Programme_Grunddaten!$A93="Geprüft",Programme_Grunddaten!Y93&lt;&gt;""),IF(Programme_Grunddaten!Y93="Ja",1,0),"")</f>
        <v/>
      </c>
      <c r="R85" s="1" t="str">
        <f>IF(AND(Programme_Grunddaten!$A93="Geprüft",Programme_Grunddaten!Z93&lt;&gt;""),IF(Programme_Grunddaten!Z93="Ja",1,0),"")</f>
        <v/>
      </c>
      <c r="S85" s="1" t="str">
        <f>IF(AND(Programme_Grunddaten!$A93="Geprüft",Programme_Grunddaten!AA93&lt;&gt;""),IF(Programme_Grunddaten!AA93="monolithisch",1,0),"")</f>
        <v/>
      </c>
      <c r="T85" s="1" t="str">
        <f>IF(AND(Programme_Grunddaten!$A93="Geprüft",Programme_Grunddaten!AB93&lt;&gt;""),IF(Programme_Grunddaten!AB93="Ja",1,0),"")</f>
        <v/>
      </c>
      <c r="U85" s="1" t="str">
        <f>IF(AND(Programme_Grunddaten!$A93="Geprüft",Programme_Grunddaten!AC93&lt;&gt;""),IF(Programme_Grunddaten!AC93="Ja",1,0),"")</f>
        <v/>
      </c>
      <c r="V85" s="1" t="str">
        <f>IF(AND(Programme_Grunddaten!$A93="Geprüft",Programme_Grunddaten!AD93&lt;&gt;""),IF(Programme_Grunddaten!AD93="Ja",1,0),"")</f>
        <v/>
      </c>
      <c r="W85" s="1" t="str">
        <f>IF(AND(Programme_Grunddaten!$A93="Geprüft",Programme_Grunddaten!AE93&lt;&gt;""),IF(Programme_Grunddaten!AE93="Ja",1,0),"")</f>
        <v/>
      </c>
      <c r="X85" s="1" t="str">
        <f>IF(AND(Programme_Grunddaten!$A93="Geprüft",Programme_Grunddaten!AF93&lt;&gt;""),IF(Programme_Grunddaten!AF93="Ja",1,0),"")</f>
        <v/>
      </c>
      <c r="Y85" s="1" t="str">
        <f>IF(AND(Programme_Grunddaten!$A93="Geprüft",Programme_Grunddaten!AG93&lt;&gt;""),IF(Programme_Grunddaten!AG93="Ja",1,0),"")</f>
        <v/>
      </c>
      <c r="Z85" s="1" t="str">
        <f>IF(AND(Programme_Grunddaten!$A93="Geprüft",Programme_Grunddaten!AH93&lt;&gt;""),IF(Programme_Grunddaten!AH93="Ja",1,0),"")</f>
        <v/>
      </c>
      <c r="AA85" s="1" t="str">
        <f>IF(AND(Programme_Grunddaten!$A93="Geprüft",Programme_Grunddaten!AI93&lt;&gt;""),IF(Programme_Grunddaten!AI93="Ja",1,0),"")</f>
        <v/>
      </c>
      <c r="AB85" s="1" t="str">
        <f>IF(AND(Programme_Grunddaten!$A93="Geprüft",Programme_Grunddaten!AJ93&lt;&gt;""),IF(Programme_Grunddaten!AJ93="individuell programmierbar",1,0),"")</f>
        <v/>
      </c>
      <c r="AC85" s="1" t="str">
        <f>IF(AND(Programme_Grunddaten!$A93="Geprüft",Programme_Grunddaten!AK93&lt;&gt;""),IF(Programme_Grunddaten!AK93="Deutsch",0,IF(Programme_Grunddaten!AK93="Deutsch und Englisch",1,2)),"")</f>
        <v/>
      </c>
      <c r="AD85" s="1" t="str">
        <f>IF(AND(Programme_Grunddaten!$A93="Geprüft",Programme_Grunddaten!AL93&lt;&gt;""),IF(Programme_Grunddaten!AL93="Ja",1,0),"")</f>
        <v/>
      </c>
      <c r="AE85" s="1" t="str">
        <f>IF(AND(Programme_Grunddaten!$A93="Geprüft",Programme_Grunddaten!AM93&lt;&gt;""),IF(Programme_Grunddaten!AM93="Ja",1,0),"")</f>
        <v/>
      </c>
      <c r="AF85" s="1" t="str">
        <f>IF(AND(Programme_Grunddaten!$A93="Geprüft",Programme_Grunddaten!AN93&lt;&gt;""),IF(Programme_Grunddaten!AN93="Ja",1,0),"")</f>
        <v/>
      </c>
      <c r="AG85" s="1" t="str">
        <f>IF(AND(Programme_Grunddaten!$A93="Geprüft",Programme_Grunddaten!AO93&lt;&gt;""),IF(Programme_Grunddaten!AO93="Ja",1,0),"")</f>
        <v/>
      </c>
      <c r="AH85" s="1" t="str">
        <f>IF(AND(Programme_Grunddaten!$A93="Geprüft",Programme_Grunddaten!AP93&lt;&gt;""),IF(Programme_Grunddaten!AP93="Ja",1,0),"")</f>
        <v/>
      </c>
      <c r="AI85" s="1" t="str">
        <f>IF(AND(Programme_Grunddaten!$A93="Geprüft",Programme_Grunddaten!AQ93&lt;&gt;""),IF(Programme_Grunddaten!AQ93="Ja",1,0),"")</f>
        <v/>
      </c>
      <c r="AJ85" s="1" t="str">
        <f>IF(AND(Programme_Grunddaten!$A93="Geprüft",Programme_Grunddaten!AR93&lt;&gt;""),IF(Programme_Grunddaten!AR93="Ja",1,0),"")</f>
        <v/>
      </c>
      <c r="AK85" s="1" t="str">
        <f>IF(AND(Programme_Grunddaten!$A93="Geprüft",Programme_Grunddaten!AS93&lt;&gt;""),IF(Programme_Grunddaten!AS93="Ja",1,0),"")</f>
        <v/>
      </c>
      <c r="AL85" s="1" t="str">
        <f>IF(AND(Programme_Grunddaten!$A93="Geprüft",Programme_Grunddaten!AT93&lt;&gt;""),IF(Programme_Grunddaten!AT93="Ja",1,0),"")</f>
        <v/>
      </c>
      <c r="AM85" s="1" t="str">
        <f>IF(AND(Programme_Grunddaten!$A93="Geprüft",Programme_Grunddaten!AU93&lt;&gt;""),IF(Programme_Grunddaten!AU93="Ja",1,0),"")</f>
        <v/>
      </c>
      <c r="AN85" s="1" t="str">
        <f>IF(AND(Programme_Grunddaten!$A93="Geprüft",Programme_Grunddaten!AV93&lt;&gt;""),IF(Programme_Grunddaten!AV93="Ja",1,0),"")</f>
        <v/>
      </c>
    </row>
    <row r="86" spans="1:40" x14ac:dyDescent="0.3">
      <c r="A86" s="1" t="str">
        <f>IF(AND(Programme_Grunddaten!A94="Geprüft",Programme_Grunddaten!B94&lt;&gt;""),Programme_Grunddaten!B94,"")</f>
        <v/>
      </c>
      <c r="B86" s="1" t="str">
        <f>IF(AND(Programme_Grunddaten!$A94="Geprüft",Programme_Grunddaten!I94&lt;&gt;""),IF(Programme_Grunddaten!I94="Ja",1,0),"")</f>
        <v/>
      </c>
      <c r="C86" s="1" t="str">
        <f>IF(AND(Programme_Grunddaten!$A94="Geprüft",Programme_Grunddaten!J94&lt;&gt;""),IF(Programme_Grunddaten!J94="Ja",1,0),"")</f>
        <v/>
      </c>
      <c r="D86" s="1" t="str">
        <f>IF(AND(Programme_Grunddaten!$A94="Geprüft",Programme_Grunddaten!K94&lt;&gt;""),IF(Programme_Grunddaten!K94="Ja",1,0),"")</f>
        <v/>
      </c>
      <c r="E86" s="1" t="str">
        <f>IF(AND(Programme_Grunddaten!$A94="Geprüft",Programme_Grunddaten!L94&lt;&gt;""),IF(Programme_Grunddaten!L94="Abo / befristete Lizenz",1,0),"")</f>
        <v/>
      </c>
      <c r="F86" s="1" t="str">
        <f>IF(AND(Programme_Grunddaten!$A94="Geprüft",Programme_Grunddaten!M94&lt;&gt;""),IF(Programme_Grunddaten!M94="Ja",1,0),"")</f>
        <v/>
      </c>
      <c r="G86" s="1" t="str">
        <f>IF(AND(Programme_Grunddaten!$A94="Geprüft",Programme_Grunddaten!N94&lt;&gt;""),IF(Programme_Grunddaten!N94="Ja",1,0),"")</f>
        <v/>
      </c>
      <c r="H86" s="1" t="str">
        <f>IF(AND(Programme_Grunddaten!$A94="Geprüft",Programme_Grunddaten!O94&lt;&gt;""),IF(Programme_Grunddaten!O94="Deutschland",0,IF(Programme_Grunddaten!O94="EU",1,2)),"")</f>
        <v/>
      </c>
      <c r="I86" s="1" t="str">
        <f>IF(AND(Programme_Grunddaten!$A94="Geprüft",Programme_Grunddaten!P94&lt;&gt;""),IF(Programme_Grunddaten!P94="Ja",1,0),"")</f>
        <v/>
      </c>
      <c r="J86" s="1" t="str">
        <f>IF(AND(Programme_Grunddaten!$A94="Geprüft",Programme_Grunddaten!Q94&lt;&gt;""),IF(Programme_Grunddaten!Q94="geschlossenes System",1,0),"")</f>
        <v/>
      </c>
      <c r="K86" s="1" t="str">
        <f>IF(AND(Programme_Grunddaten!$A94="Geprüft",Programme_Grunddaten!R94&lt;&gt;""),IF(Programme_Grunddaten!R94="Ja",1,0),"")</f>
        <v/>
      </c>
      <c r="L86" s="1" t="str">
        <f>IF(AND(Programme_Grunddaten!$A94="Geprüft",Programme_Grunddaten!T94&lt;&gt;""),IF(Programme_Grunddaten!T94="Ja",1,0),"")</f>
        <v/>
      </c>
      <c r="M86" s="1" t="str">
        <f>IF(AND(Programme_Grunddaten!$A94="Geprüft",Programme_Grunddaten!U94&lt;&gt;""),IF(Programme_Grunddaten!U94="Ja",1,0),"")</f>
        <v/>
      </c>
      <c r="N86" s="1" t="str">
        <f>IF(AND(Programme_Grunddaten!$A94="Geprüft",Programme_Grunddaten!V94&lt;&gt;""),IF(Programme_Grunddaten!V94="Ja",1,0),"")</f>
        <v/>
      </c>
      <c r="O86" s="1" t="str">
        <f>IF(AND(Programme_Grunddaten!$A94="Geprüft",Programme_Grunddaten!W94&lt;&gt;""),IF(Programme_Grunddaten!W94="Ja",1,0),"")</f>
        <v/>
      </c>
      <c r="P86" s="1" t="str">
        <f>IF(AND(Programme_Grunddaten!$A94="Geprüft",Programme_Grunddaten!X94&lt;&gt;""),IF(Programme_Grunddaten!X94="Ja",1,0),"")</f>
        <v/>
      </c>
      <c r="Q86" s="1" t="str">
        <f>IF(AND(Programme_Grunddaten!$A94="Geprüft",Programme_Grunddaten!Y94&lt;&gt;""),IF(Programme_Grunddaten!Y94="Ja",1,0),"")</f>
        <v/>
      </c>
      <c r="R86" s="1" t="str">
        <f>IF(AND(Programme_Grunddaten!$A94="Geprüft",Programme_Grunddaten!Z94&lt;&gt;""),IF(Programme_Grunddaten!Z94="Ja",1,0),"")</f>
        <v/>
      </c>
      <c r="S86" s="1" t="str">
        <f>IF(AND(Programme_Grunddaten!$A94="Geprüft",Programme_Grunddaten!AA94&lt;&gt;""),IF(Programme_Grunddaten!AA94="monolithisch",1,0),"")</f>
        <v/>
      </c>
      <c r="T86" s="1" t="str">
        <f>IF(AND(Programme_Grunddaten!$A94="Geprüft",Programme_Grunddaten!AB94&lt;&gt;""),IF(Programme_Grunddaten!AB94="Ja",1,0),"")</f>
        <v/>
      </c>
      <c r="U86" s="1" t="str">
        <f>IF(AND(Programme_Grunddaten!$A94="Geprüft",Programme_Grunddaten!AC94&lt;&gt;""),IF(Programme_Grunddaten!AC94="Ja",1,0),"")</f>
        <v/>
      </c>
      <c r="V86" s="1" t="str">
        <f>IF(AND(Programme_Grunddaten!$A94="Geprüft",Programme_Grunddaten!AD94&lt;&gt;""),IF(Programme_Grunddaten!AD94="Ja",1,0),"")</f>
        <v/>
      </c>
      <c r="W86" s="1" t="str">
        <f>IF(AND(Programme_Grunddaten!$A94="Geprüft",Programme_Grunddaten!AE94&lt;&gt;""),IF(Programme_Grunddaten!AE94="Ja",1,0),"")</f>
        <v/>
      </c>
      <c r="X86" s="1" t="str">
        <f>IF(AND(Programme_Grunddaten!$A94="Geprüft",Programme_Grunddaten!AF94&lt;&gt;""),IF(Programme_Grunddaten!AF94="Ja",1,0),"")</f>
        <v/>
      </c>
      <c r="Y86" s="1" t="str">
        <f>IF(AND(Programme_Grunddaten!$A94="Geprüft",Programme_Grunddaten!AG94&lt;&gt;""),IF(Programme_Grunddaten!AG94="Ja",1,0),"")</f>
        <v/>
      </c>
      <c r="Z86" s="1" t="str">
        <f>IF(AND(Programme_Grunddaten!$A94="Geprüft",Programme_Grunddaten!AH94&lt;&gt;""),IF(Programme_Grunddaten!AH94="Ja",1,0),"")</f>
        <v/>
      </c>
      <c r="AA86" s="1" t="str">
        <f>IF(AND(Programme_Grunddaten!$A94="Geprüft",Programme_Grunddaten!AI94&lt;&gt;""),IF(Programme_Grunddaten!AI94="Ja",1,0),"")</f>
        <v/>
      </c>
      <c r="AB86" s="1" t="str">
        <f>IF(AND(Programme_Grunddaten!$A94="Geprüft",Programme_Grunddaten!AJ94&lt;&gt;""),IF(Programme_Grunddaten!AJ94="individuell programmierbar",1,0),"")</f>
        <v/>
      </c>
      <c r="AC86" s="1" t="str">
        <f>IF(AND(Programme_Grunddaten!$A94="Geprüft",Programme_Grunddaten!AK94&lt;&gt;""),IF(Programme_Grunddaten!AK94="Deutsch",0,IF(Programme_Grunddaten!AK94="Deutsch und Englisch",1,2)),"")</f>
        <v/>
      </c>
      <c r="AD86" s="1" t="str">
        <f>IF(AND(Programme_Grunddaten!$A94="Geprüft",Programme_Grunddaten!AL94&lt;&gt;""),IF(Programme_Grunddaten!AL94="Ja",1,0),"")</f>
        <v/>
      </c>
      <c r="AE86" s="1" t="str">
        <f>IF(AND(Programme_Grunddaten!$A94="Geprüft",Programme_Grunddaten!AM94&lt;&gt;""),IF(Programme_Grunddaten!AM94="Ja",1,0),"")</f>
        <v/>
      </c>
      <c r="AF86" s="1" t="str">
        <f>IF(AND(Programme_Grunddaten!$A94="Geprüft",Programme_Grunddaten!AN94&lt;&gt;""),IF(Programme_Grunddaten!AN94="Ja",1,0),"")</f>
        <v/>
      </c>
      <c r="AG86" s="1" t="str">
        <f>IF(AND(Programme_Grunddaten!$A94="Geprüft",Programme_Grunddaten!AO94&lt;&gt;""),IF(Programme_Grunddaten!AO94="Ja",1,0),"")</f>
        <v/>
      </c>
      <c r="AH86" s="1" t="str">
        <f>IF(AND(Programme_Grunddaten!$A94="Geprüft",Programme_Grunddaten!AP94&lt;&gt;""),IF(Programme_Grunddaten!AP94="Ja",1,0),"")</f>
        <v/>
      </c>
      <c r="AI86" s="1" t="str">
        <f>IF(AND(Programme_Grunddaten!$A94="Geprüft",Programme_Grunddaten!AQ94&lt;&gt;""),IF(Programme_Grunddaten!AQ94="Ja",1,0),"")</f>
        <v/>
      </c>
      <c r="AJ86" s="1" t="str">
        <f>IF(AND(Programme_Grunddaten!$A94="Geprüft",Programme_Grunddaten!AR94&lt;&gt;""),IF(Programme_Grunddaten!AR94="Ja",1,0),"")</f>
        <v/>
      </c>
      <c r="AK86" s="1" t="str">
        <f>IF(AND(Programme_Grunddaten!$A94="Geprüft",Programme_Grunddaten!AS94&lt;&gt;""),IF(Programme_Grunddaten!AS94="Ja",1,0),"")</f>
        <v/>
      </c>
      <c r="AL86" s="1" t="str">
        <f>IF(AND(Programme_Grunddaten!$A94="Geprüft",Programme_Grunddaten!AT94&lt;&gt;""),IF(Programme_Grunddaten!AT94="Ja",1,0),"")</f>
        <v/>
      </c>
      <c r="AM86" s="1" t="str">
        <f>IF(AND(Programme_Grunddaten!$A94="Geprüft",Programme_Grunddaten!AU94&lt;&gt;""),IF(Programme_Grunddaten!AU94="Ja",1,0),"")</f>
        <v/>
      </c>
      <c r="AN86" s="1" t="str">
        <f>IF(AND(Programme_Grunddaten!$A94="Geprüft",Programme_Grunddaten!AV94&lt;&gt;""),IF(Programme_Grunddaten!AV94="Ja",1,0),"")</f>
        <v/>
      </c>
    </row>
    <row r="87" spans="1:40" x14ac:dyDescent="0.3">
      <c r="A87" s="1" t="str">
        <f>IF(AND(Programme_Grunddaten!A95="Geprüft",Programme_Grunddaten!B95&lt;&gt;""),Programme_Grunddaten!B95,"")</f>
        <v/>
      </c>
      <c r="B87" s="1" t="str">
        <f>IF(AND(Programme_Grunddaten!$A95="Geprüft",Programme_Grunddaten!I95&lt;&gt;""),IF(Programme_Grunddaten!I95="Ja",1,0),"")</f>
        <v/>
      </c>
      <c r="C87" s="1" t="str">
        <f>IF(AND(Programme_Grunddaten!$A95="Geprüft",Programme_Grunddaten!J95&lt;&gt;""),IF(Programme_Grunddaten!J95="Ja",1,0),"")</f>
        <v/>
      </c>
      <c r="D87" s="1" t="str">
        <f>IF(AND(Programme_Grunddaten!$A95="Geprüft",Programme_Grunddaten!K95&lt;&gt;""),IF(Programme_Grunddaten!K95="Ja",1,0),"")</f>
        <v/>
      </c>
      <c r="E87" s="1" t="str">
        <f>IF(AND(Programme_Grunddaten!$A95="Geprüft",Programme_Grunddaten!L95&lt;&gt;""),IF(Programme_Grunddaten!L95="Abo / befristete Lizenz",1,0),"")</f>
        <v/>
      </c>
      <c r="F87" s="1" t="str">
        <f>IF(AND(Programme_Grunddaten!$A95="Geprüft",Programme_Grunddaten!M95&lt;&gt;""),IF(Programme_Grunddaten!M95="Ja",1,0),"")</f>
        <v/>
      </c>
      <c r="G87" s="1" t="str">
        <f>IF(AND(Programme_Grunddaten!$A95="Geprüft",Programme_Grunddaten!N95&lt;&gt;""),IF(Programme_Grunddaten!N95="Ja",1,0),"")</f>
        <v/>
      </c>
      <c r="H87" s="1" t="str">
        <f>IF(AND(Programme_Grunddaten!$A95="Geprüft",Programme_Grunddaten!O95&lt;&gt;""),IF(Programme_Grunddaten!O95="Deutschland",0,IF(Programme_Grunddaten!O95="EU",1,2)),"")</f>
        <v/>
      </c>
      <c r="I87" s="1" t="str">
        <f>IF(AND(Programme_Grunddaten!$A95="Geprüft",Programme_Grunddaten!P95&lt;&gt;""),IF(Programme_Grunddaten!P95="Ja",1,0),"")</f>
        <v/>
      </c>
      <c r="J87" s="1" t="str">
        <f>IF(AND(Programme_Grunddaten!$A95="Geprüft",Programme_Grunddaten!Q95&lt;&gt;""),IF(Programme_Grunddaten!Q95="geschlossenes System",1,0),"")</f>
        <v/>
      </c>
      <c r="K87" s="1" t="str">
        <f>IF(AND(Programme_Grunddaten!$A95="Geprüft",Programme_Grunddaten!R95&lt;&gt;""),IF(Programme_Grunddaten!R95="Ja",1,0),"")</f>
        <v/>
      </c>
      <c r="L87" s="1" t="str">
        <f>IF(AND(Programme_Grunddaten!$A95="Geprüft",Programme_Grunddaten!T95&lt;&gt;""),IF(Programme_Grunddaten!T95="Ja",1,0),"")</f>
        <v/>
      </c>
      <c r="M87" s="1" t="str">
        <f>IF(AND(Programme_Grunddaten!$A95="Geprüft",Programme_Grunddaten!U95&lt;&gt;""),IF(Programme_Grunddaten!U95="Ja",1,0),"")</f>
        <v/>
      </c>
      <c r="N87" s="1" t="str">
        <f>IF(AND(Programme_Grunddaten!$A95="Geprüft",Programme_Grunddaten!V95&lt;&gt;""),IF(Programme_Grunddaten!V95="Ja",1,0),"")</f>
        <v/>
      </c>
      <c r="O87" s="1" t="str">
        <f>IF(AND(Programme_Grunddaten!$A95="Geprüft",Programme_Grunddaten!W95&lt;&gt;""),IF(Programme_Grunddaten!W95="Ja",1,0),"")</f>
        <v/>
      </c>
      <c r="P87" s="1" t="str">
        <f>IF(AND(Programme_Grunddaten!$A95="Geprüft",Programme_Grunddaten!X95&lt;&gt;""),IF(Programme_Grunddaten!X95="Ja",1,0),"")</f>
        <v/>
      </c>
      <c r="Q87" s="1" t="str">
        <f>IF(AND(Programme_Grunddaten!$A95="Geprüft",Programme_Grunddaten!Y95&lt;&gt;""),IF(Programme_Grunddaten!Y95="Ja",1,0),"")</f>
        <v/>
      </c>
      <c r="R87" s="1" t="str">
        <f>IF(AND(Programme_Grunddaten!$A95="Geprüft",Programme_Grunddaten!Z95&lt;&gt;""),IF(Programme_Grunddaten!Z95="Ja",1,0),"")</f>
        <v/>
      </c>
      <c r="S87" s="1" t="str">
        <f>IF(AND(Programme_Grunddaten!$A95="Geprüft",Programme_Grunddaten!AA95&lt;&gt;""),IF(Programme_Grunddaten!AA95="monolithisch",1,0),"")</f>
        <v/>
      </c>
      <c r="T87" s="1" t="str">
        <f>IF(AND(Programme_Grunddaten!$A95="Geprüft",Programme_Grunddaten!AB95&lt;&gt;""),IF(Programme_Grunddaten!AB95="Ja",1,0),"")</f>
        <v/>
      </c>
      <c r="U87" s="1" t="str">
        <f>IF(AND(Programme_Grunddaten!$A95="Geprüft",Programme_Grunddaten!AC95&lt;&gt;""),IF(Programme_Grunddaten!AC95="Ja",1,0),"")</f>
        <v/>
      </c>
      <c r="V87" s="1" t="str">
        <f>IF(AND(Programme_Grunddaten!$A95="Geprüft",Programme_Grunddaten!AD95&lt;&gt;""),IF(Programme_Grunddaten!AD95="Ja",1,0),"")</f>
        <v/>
      </c>
      <c r="W87" s="1" t="str">
        <f>IF(AND(Programme_Grunddaten!$A95="Geprüft",Programme_Grunddaten!AE95&lt;&gt;""),IF(Programme_Grunddaten!AE95="Ja",1,0),"")</f>
        <v/>
      </c>
      <c r="X87" s="1" t="str">
        <f>IF(AND(Programme_Grunddaten!$A95="Geprüft",Programme_Grunddaten!AF95&lt;&gt;""),IF(Programme_Grunddaten!AF95="Ja",1,0),"")</f>
        <v/>
      </c>
      <c r="Y87" s="1" t="str">
        <f>IF(AND(Programme_Grunddaten!$A95="Geprüft",Programme_Grunddaten!AG95&lt;&gt;""),IF(Programme_Grunddaten!AG95="Ja",1,0),"")</f>
        <v/>
      </c>
      <c r="Z87" s="1" t="str">
        <f>IF(AND(Programme_Grunddaten!$A95="Geprüft",Programme_Grunddaten!AH95&lt;&gt;""),IF(Programme_Grunddaten!AH95="Ja",1,0),"")</f>
        <v/>
      </c>
      <c r="AA87" s="1" t="str">
        <f>IF(AND(Programme_Grunddaten!$A95="Geprüft",Programme_Grunddaten!AI95&lt;&gt;""),IF(Programme_Grunddaten!AI95="Ja",1,0),"")</f>
        <v/>
      </c>
      <c r="AB87" s="1" t="str">
        <f>IF(AND(Programme_Grunddaten!$A95="Geprüft",Programme_Grunddaten!AJ95&lt;&gt;""),IF(Programme_Grunddaten!AJ95="individuell programmierbar",1,0),"")</f>
        <v/>
      </c>
      <c r="AC87" s="1" t="str">
        <f>IF(AND(Programme_Grunddaten!$A95="Geprüft",Programme_Grunddaten!AK95&lt;&gt;""),IF(Programme_Grunddaten!AK95="Deutsch",0,IF(Programme_Grunddaten!AK95="Deutsch und Englisch",1,2)),"")</f>
        <v/>
      </c>
      <c r="AD87" s="1" t="str">
        <f>IF(AND(Programme_Grunddaten!$A95="Geprüft",Programme_Grunddaten!AL95&lt;&gt;""),IF(Programme_Grunddaten!AL95="Ja",1,0),"")</f>
        <v/>
      </c>
      <c r="AE87" s="1" t="str">
        <f>IF(AND(Programme_Grunddaten!$A95="Geprüft",Programme_Grunddaten!AM95&lt;&gt;""),IF(Programme_Grunddaten!AM95="Ja",1,0),"")</f>
        <v/>
      </c>
      <c r="AF87" s="1" t="str">
        <f>IF(AND(Programme_Grunddaten!$A95="Geprüft",Programme_Grunddaten!AN95&lt;&gt;""),IF(Programme_Grunddaten!AN95="Ja",1,0),"")</f>
        <v/>
      </c>
      <c r="AG87" s="1" t="str">
        <f>IF(AND(Programme_Grunddaten!$A95="Geprüft",Programme_Grunddaten!AO95&lt;&gt;""),IF(Programme_Grunddaten!AO95="Ja",1,0),"")</f>
        <v/>
      </c>
      <c r="AH87" s="1" t="str">
        <f>IF(AND(Programme_Grunddaten!$A95="Geprüft",Programme_Grunddaten!AP95&lt;&gt;""),IF(Programme_Grunddaten!AP95="Ja",1,0),"")</f>
        <v/>
      </c>
      <c r="AI87" s="1" t="str">
        <f>IF(AND(Programme_Grunddaten!$A95="Geprüft",Programme_Grunddaten!AQ95&lt;&gt;""),IF(Programme_Grunddaten!AQ95="Ja",1,0),"")</f>
        <v/>
      </c>
      <c r="AJ87" s="1" t="str">
        <f>IF(AND(Programme_Grunddaten!$A95="Geprüft",Programme_Grunddaten!AR95&lt;&gt;""),IF(Programme_Grunddaten!AR95="Ja",1,0),"")</f>
        <v/>
      </c>
      <c r="AK87" s="1" t="str">
        <f>IF(AND(Programme_Grunddaten!$A95="Geprüft",Programme_Grunddaten!AS95&lt;&gt;""),IF(Programme_Grunddaten!AS95="Ja",1,0),"")</f>
        <v/>
      </c>
      <c r="AL87" s="1" t="str">
        <f>IF(AND(Programme_Grunddaten!$A95="Geprüft",Programme_Grunddaten!AT95&lt;&gt;""),IF(Programme_Grunddaten!AT95="Ja",1,0),"")</f>
        <v/>
      </c>
      <c r="AM87" s="1" t="str">
        <f>IF(AND(Programme_Grunddaten!$A95="Geprüft",Programme_Grunddaten!AU95&lt;&gt;""),IF(Programme_Grunddaten!AU95="Ja",1,0),"")</f>
        <v/>
      </c>
      <c r="AN87" s="1" t="str">
        <f>IF(AND(Programme_Grunddaten!$A95="Geprüft",Programme_Grunddaten!AV95&lt;&gt;""),IF(Programme_Grunddaten!AV95="Ja",1,0),"")</f>
        <v/>
      </c>
    </row>
    <row r="88" spans="1:40" x14ac:dyDescent="0.3">
      <c r="A88" s="1" t="str">
        <f>IF(AND(Programme_Grunddaten!A96="Geprüft",Programme_Grunddaten!B96&lt;&gt;""),Programme_Grunddaten!B96,"")</f>
        <v/>
      </c>
      <c r="B88" s="1" t="str">
        <f>IF(AND(Programme_Grunddaten!$A96="Geprüft",Programme_Grunddaten!I96&lt;&gt;""),IF(Programme_Grunddaten!I96="Ja",1,0),"")</f>
        <v/>
      </c>
      <c r="C88" s="1" t="str">
        <f>IF(AND(Programme_Grunddaten!$A96="Geprüft",Programme_Grunddaten!J96&lt;&gt;""),IF(Programme_Grunddaten!J96="Ja",1,0),"")</f>
        <v/>
      </c>
      <c r="D88" s="1" t="str">
        <f>IF(AND(Programme_Grunddaten!$A96="Geprüft",Programme_Grunddaten!K96&lt;&gt;""),IF(Programme_Grunddaten!K96="Ja",1,0),"")</f>
        <v/>
      </c>
      <c r="E88" s="1" t="str">
        <f>IF(AND(Programme_Grunddaten!$A96="Geprüft",Programme_Grunddaten!L96&lt;&gt;""),IF(Programme_Grunddaten!L96="Abo / befristete Lizenz",1,0),"")</f>
        <v/>
      </c>
      <c r="F88" s="1" t="str">
        <f>IF(AND(Programme_Grunddaten!$A96="Geprüft",Programme_Grunddaten!M96&lt;&gt;""),IF(Programme_Grunddaten!M96="Ja",1,0),"")</f>
        <v/>
      </c>
      <c r="G88" s="1" t="str">
        <f>IF(AND(Programme_Grunddaten!$A96="Geprüft",Programme_Grunddaten!N96&lt;&gt;""),IF(Programme_Grunddaten!N96="Ja",1,0),"")</f>
        <v/>
      </c>
      <c r="H88" s="1" t="str">
        <f>IF(AND(Programme_Grunddaten!$A96="Geprüft",Programme_Grunddaten!O96&lt;&gt;""),IF(Programme_Grunddaten!O96="Deutschland",0,IF(Programme_Grunddaten!O96="EU",1,2)),"")</f>
        <v/>
      </c>
      <c r="I88" s="1" t="str">
        <f>IF(AND(Programme_Grunddaten!$A96="Geprüft",Programme_Grunddaten!P96&lt;&gt;""),IF(Programme_Grunddaten!P96="Ja",1,0),"")</f>
        <v/>
      </c>
      <c r="J88" s="1" t="str">
        <f>IF(AND(Programme_Grunddaten!$A96="Geprüft",Programme_Grunddaten!Q96&lt;&gt;""),IF(Programme_Grunddaten!Q96="geschlossenes System",1,0),"")</f>
        <v/>
      </c>
      <c r="K88" s="1" t="str">
        <f>IF(AND(Programme_Grunddaten!$A96="Geprüft",Programme_Grunddaten!R96&lt;&gt;""),IF(Programme_Grunddaten!R96="Ja",1,0),"")</f>
        <v/>
      </c>
      <c r="L88" s="1" t="str">
        <f>IF(AND(Programme_Grunddaten!$A96="Geprüft",Programme_Grunddaten!T96&lt;&gt;""),IF(Programme_Grunddaten!T96="Ja",1,0),"")</f>
        <v/>
      </c>
      <c r="M88" s="1" t="str">
        <f>IF(AND(Programme_Grunddaten!$A96="Geprüft",Programme_Grunddaten!U96&lt;&gt;""),IF(Programme_Grunddaten!U96="Ja",1,0),"")</f>
        <v/>
      </c>
      <c r="N88" s="1" t="str">
        <f>IF(AND(Programme_Grunddaten!$A96="Geprüft",Programme_Grunddaten!V96&lt;&gt;""),IF(Programme_Grunddaten!V96="Ja",1,0),"")</f>
        <v/>
      </c>
      <c r="O88" s="1" t="str">
        <f>IF(AND(Programme_Grunddaten!$A96="Geprüft",Programme_Grunddaten!W96&lt;&gt;""),IF(Programme_Grunddaten!W96="Ja",1,0),"")</f>
        <v/>
      </c>
      <c r="P88" s="1" t="str">
        <f>IF(AND(Programme_Grunddaten!$A96="Geprüft",Programme_Grunddaten!X96&lt;&gt;""),IF(Programme_Grunddaten!X96="Ja",1,0),"")</f>
        <v/>
      </c>
      <c r="Q88" s="1" t="str">
        <f>IF(AND(Programme_Grunddaten!$A96="Geprüft",Programme_Grunddaten!Y96&lt;&gt;""),IF(Programme_Grunddaten!Y96="Ja",1,0),"")</f>
        <v/>
      </c>
      <c r="R88" s="1" t="str">
        <f>IF(AND(Programme_Grunddaten!$A96="Geprüft",Programme_Grunddaten!Z96&lt;&gt;""),IF(Programme_Grunddaten!Z96="Ja",1,0),"")</f>
        <v/>
      </c>
      <c r="S88" s="1" t="str">
        <f>IF(AND(Programme_Grunddaten!$A96="Geprüft",Programme_Grunddaten!AA96&lt;&gt;""),IF(Programme_Grunddaten!AA96="monolithisch",1,0),"")</f>
        <v/>
      </c>
      <c r="T88" s="1" t="str">
        <f>IF(AND(Programme_Grunddaten!$A96="Geprüft",Programme_Grunddaten!AB96&lt;&gt;""),IF(Programme_Grunddaten!AB96="Ja",1,0),"")</f>
        <v/>
      </c>
      <c r="U88" s="1" t="str">
        <f>IF(AND(Programme_Grunddaten!$A96="Geprüft",Programme_Grunddaten!AC96&lt;&gt;""),IF(Programme_Grunddaten!AC96="Ja",1,0),"")</f>
        <v/>
      </c>
      <c r="V88" s="1" t="str">
        <f>IF(AND(Programme_Grunddaten!$A96="Geprüft",Programme_Grunddaten!AD96&lt;&gt;""),IF(Programme_Grunddaten!AD96="Ja",1,0),"")</f>
        <v/>
      </c>
      <c r="W88" s="1" t="str">
        <f>IF(AND(Programme_Grunddaten!$A96="Geprüft",Programme_Grunddaten!AE96&lt;&gt;""),IF(Programme_Grunddaten!AE96="Ja",1,0),"")</f>
        <v/>
      </c>
      <c r="X88" s="1" t="str">
        <f>IF(AND(Programme_Grunddaten!$A96="Geprüft",Programme_Grunddaten!AF96&lt;&gt;""),IF(Programme_Grunddaten!AF96="Ja",1,0),"")</f>
        <v/>
      </c>
      <c r="Y88" s="1" t="str">
        <f>IF(AND(Programme_Grunddaten!$A96="Geprüft",Programme_Grunddaten!AG96&lt;&gt;""),IF(Programme_Grunddaten!AG96="Ja",1,0),"")</f>
        <v/>
      </c>
      <c r="Z88" s="1" t="str">
        <f>IF(AND(Programme_Grunddaten!$A96="Geprüft",Programme_Grunddaten!AH96&lt;&gt;""),IF(Programme_Grunddaten!AH96="Ja",1,0),"")</f>
        <v/>
      </c>
      <c r="AA88" s="1" t="str">
        <f>IF(AND(Programme_Grunddaten!$A96="Geprüft",Programme_Grunddaten!AI96&lt;&gt;""),IF(Programme_Grunddaten!AI96="Ja",1,0),"")</f>
        <v/>
      </c>
      <c r="AB88" s="1" t="str">
        <f>IF(AND(Programme_Grunddaten!$A96="Geprüft",Programme_Grunddaten!AJ96&lt;&gt;""),IF(Programme_Grunddaten!AJ96="individuell programmierbar",1,0),"")</f>
        <v/>
      </c>
      <c r="AC88" s="1" t="str">
        <f>IF(AND(Programme_Grunddaten!$A96="Geprüft",Programme_Grunddaten!AK96&lt;&gt;""),IF(Programme_Grunddaten!AK96="Deutsch",0,IF(Programme_Grunddaten!AK96="Deutsch und Englisch",1,2)),"")</f>
        <v/>
      </c>
      <c r="AD88" s="1" t="str">
        <f>IF(AND(Programme_Grunddaten!$A96="Geprüft",Programme_Grunddaten!AL96&lt;&gt;""),IF(Programme_Grunddaten!AL96="Ja",1,0),"")</f>
        <v/>
      </c>
      <c r="AE88" s="1" t="str">
        <f>IF(AND(Programme_Grunddaten!$A96="Geprüft",Programme_Grunddaten!AM96&lt;&gt;""),IF(Programme_Grunddaten!AM96="Ja",1,0),"")</f>
        <v/>
      </c>
      <c r="AF88" s="1" t="str">
        <f>IF(AND(Programme_Grunddaten!$A96="Geprüft",Programme_Grunddaten!AN96&lt;&gt;""),IF(Programme_Grunddaten!AN96="Ja",1,0),"")</f>
        <v/>
      </c>
      <c r="AG88" s="1" t="str">
        <f>IF(AND(Programme_Grunddaten!$A96="Geprüft",Programme_Grunddaten!AO96&lt;&gt;""),IF(Programme_Grunddaten!AO96="Ja",1,0),"")</f>
        <v/>
      </c>
      <c r="AH88" s="1" t="str">
        <f>IF(AND(Programme_Grunddaten!$A96="Geprüft",Programme_Grunddaten!AP96&lt;&gt;""),IF(Programme_Grunddaten!AP96="Ja",1,0),"")</f>
        <v/>
      </c>
      <c r="AI88" s="1" t="str">
        <f>IF(AND(Programme_Grunddaten!$A96="Geprüft",Programme_Grunddaten!AQ96&lt;&gt;""),IF(Programme_Grunddaten!AQ96="Ja",1,0),"")</f>
        <v/>
      </c>
      <c r="AJ88" s="1" t="str">
        <f>IF(AND(Programme_Grunddaten!$A96="Geprüft",Programme_Grunddaten!AR96&lt;&gt;""),IF(Programme_Grunddaten!AR96="Ja",1,0),"")</f>
        <v/>
      </c>
      <c r="AK88" s="1" t="str">
        <f>IF(AND(Programme_Grunddaten!$A96="Geprüft",Programme_Grunddaten!AS96&lt;&gt;""),IF(Programme_Grunddaten!AS96="Ja",1,0),"")</f>
        <v/>
      </c>
      <c r="AL88" s="1" t="str">
        <f>IF(AND(Programme_Grunddaten!$A96="Geprüft",Programme_Grunddaten!AT96&lt;&gt;""),IF(Programme_Grunddaten!AT96="Ja",1,0),"")</f>
        <v/>
      </c>
      <c r="AM88" s="1" t="str">
        <f>IF(AND(Programme_Grunddaten!$A96="Geprüft",Programme_Grunddaten!AU96&lt;&gt;""),IF(Programme_Grunddaten!AU96="Ja",1,0),"")</f>
        <v/>
      </c>
      <c r="AN88" s="1" t="str">
        <f>IF(AND(Programme_Grunddaten!$A96="Geprüft",Programme_Grunddaten!AV96&lt;&gt;""),IF(Programme_Grunddaten!AV96="Ja",1,0),"")</f>
        <v/>
      </c>
    </row>
    <row r="89" spans="1:40" x14ac:dyDescent="0.3">
      <c r="A89" s="1" t="str">
        <f>IF(AND(Programme_Grunddaten!A97="Geprüft",Programme_Grunddaten!B97&lt;&gt;""),Programme_Grunddaten!B97,"")</f>
        <v/>
      </c>
      <c r="B89" s="1" t="str">
        <f>IF(AND(Programme_Grunddaten!$A97="Geprüft",Programme_Grunddaten!I97&lt;&gt;""),IF(Programme_Grunddaten!I97="Ja",1,0),"")</f>
        <v/>
      </c>
      <c r="C89" s="1" t="str">
        <f>IF(AND(Programme_Grunddaten!$A97="Geprüft",Programme_Grunddaten!J97&lt;&gt;""),IF(Programme_Grunddaten!J97="Ja",1,0),"")</f>
        <v/>
      </c>
      <c r="D89" s="1" t="str">
        <f>IF(AND(Programme_Grunddaten!$A97="Geprüft",Programme_Grunddaten!K97&lt;&gt;""),IF(Programme_Grunddaten!K97="Ja",1,0),"")</f>
        <v/>
      </c>
      <c r="E89" s="1" t="str">
        <f>IF(AND(Programme_Grunddaten!$A97="Geprüft",Programme_Grunddaten!L97&lt;&gt;""),IF(Programme_Grunddaten!L97="Abo / befristete Lizenz",1,0),"")</f>
        <v/>
      </c>
      <c r="F89" s="1" t="str">
        <f>IF(AND(Programme_Grunddaten!$A97="Geprüft",Programme_Grunddaten!M97&lt;&gt;""),IF(Programme_Grunddaten!M97="Ja",1,0),"")</f>
        <v/>
      </c>
      <c r="G89" s="1" t="str">
        <f>IF(AND(Programme_Grunddaten!$A97="Geprüft",Programme_Grunddaten!N97&lt;&gt;""),IF(Programme_Grunddaten!N97="Ja",1,0),"")</f>
        <v/>
      </c>
      <c r="H89" s="1" t="str">
        <f>IF(AND(Programme_Grunddaten!$A97="Geprüft",Programme_Grunddaten!O97&lt;&gt;""),IF(Programme_Grunddaten!O97="Deutschland",0,IF(Programme_Grunddaten!O97="EU",1,2)),"")</f>
        <v/>
      </c>
      <c r="I89" s="1" t="str">
        <f>IF(AND(Programme_Grunddaten!$A97="Geprüft",Programme_Grunddaten!P97&lt;&gt;""),IF(Programme_Grunddaten!P97="Ja",1,0),"")</f>
        <v/>
      </c>
      <c r="J89" s="1" t="str">
        <f>IF(AND(Programme_Grunddaten!$A97="Geprüft",Programme_Grunddaten!Q97&lt;&gt;""),IF(Programme_Grunddaten!Q97="geschlossenes System",1,0),"")</f>
        <v/>
      </c>
      <c r="K89" s="1" t="str">
        <f>IF(AND(Programme_Grunddaten!$A97="Geprüft",Programme_Grunddaten!R97&lt;&gt;""),IF(Programme_Grunddaten!R97="Ja",1,0),"")</f>
        <v/>
      </c>
      <c r="L89" s="1" t="str">
        <f>IF(AND(Programme_Grunddaten!$A97="Geprüft",Programme_Grunddaten!T97&lt;&gt;""),IF(Programme_Grunddaten!T97="Ja",1,0),"")</f>
        <v/>
      </c>
      <c r="M89" s="1" t="str">
        <f>IF(AND(Programme_Grunddaten!$A97="Geprüft",Programme_Grunddaten!U97&lt;&gt;""),IF(Programme_Grunddaten!U97="Ja",1,0),"")</f>
        <v/>
      </c>
      <c r="N89" s="1" t="str">
        <f>IF(AND(Programme_Grunddaten!$A97="Geprüft",Programme_Grunddaten!V97&lt;&gt;""),IF(Programme_Grunddaten!V97="Ja",1,0),"")</f>
        <v/>
      </c>
      <c r="O89" s="1" t="str">
        <f>IF(AND(Programme_Grunddaten!$A97="Geprüft",Programme_Grunddaten!W97&lt;&gt;""),IF(Programme_Grunddaten!W97="Ja",1,0),"")</f>
        <v/>
      </c>
      <c r="P89" s="1" t="str">
        <f>IF(AND(Programme_Grunddaten!$A97="Geprüft",Programme_Grunddaten!X97&lt;&gt;""),IF(Programme_Grunddaten!X97="Ja",1,0),"")</f>
        <v/>
      </c>
      <c r="Q89" s="1" t="str">
        <f>IF(AND(Programme_Grunddaten!$A97="Geprüft",Programme_Grunddaten!Y97&lt;&gt;""),IF(Programme_Grunddaten!Y97="Ja",1,0),"")</f>
        <v/>
      </c>
      <c r="R89" s="1" t="str">
        <f>IF(AND(Programme_Grunddaten!$A97="Geprüft",Programme_Grunddaten!Z97&lt;&gt;""),IF(Programme_Grunddaten!Z97="Ja",1,0),"")</f>
        <v/>
      </c>
      <c r="S89" s="1" t="str">
        <f>IF(AND(Programme_Grunddaten!$A97="Geprüft",Programme_Grunddaten!AA97&lt;&gt;""),IF(Programme_Grunddaten!AA97="monolithisch",1,0),"")</f>
        <v/>
      </c>
      <c r="T89" s="1" t="str">
        <f>IF(AND(Programme_Grunddaten!$A97="Geprüft",Programme_Grunddaten!AB97&lt;&gt;""),IF(Programme_Grunddaten!AB97="Ja",1,0),"")</f>
        <v/>
      </c>
      <c r="U89" s="1" t="str">
        <f>IF(AND(Programme_Grunddaten!$A97="Geprüft",Programme_Grunddaten!AC97&lt;&gt;""),IF(Programme_Grunddaten!AC97="Ja",1,0),"")</f>
        <v/>
      </c>
      <c r="V89" s="1" t="str">
        <f>IF(AND(Programme_Grunddaten!$A97="Geprüft",Programme_Grunddaten!AD97&lt;&gt;""),IF(Programme_Grunddaten!AD97="Ja",1,0),"")</f>
        <v/>
      </c>
      <c r="W89" s="1" t="str">
        <f>IF(AND(Programme_Grunddaten!$A97="Geprüft",Programme_Grunddaten!AE97&lt;&gt;""),IF(Programme_Grunddaten!AE97="Ja",1,0),"")</f>
        <v/>
      </c>
      <c r="X89" s="1" t="str">
        <f>IF(AND(Programme_Grunddaten!$A97="Geprüft",Programme_Grunddaten!AF97&lt;&gt;""),IF(Programme_Grunddaten!AF97="Ja",1,0),"")</f>
        <v/>
      </c>
      <c r="Y89" s="1" t="str">
        <f>IF(AND(Programme_Grunddaten!$A97="Geprüft",Programme_Grunddaten!AG97&lt;&gt;""),IF(Programme_Grunddaten!AG97="Ja",1,0),"")</f>
        <v/>
      </c>
      <c r="Z89" s="1" t="str">
        <f>IF(AND(Programme_Grunddaten!$A97="Geprüft",Programme_Grunddaten!AH97&lt;&gt;""),IF(Programme_Grunddaten!AH97="Ja",1,0),"")</f>
        <v/>
      </c>
      <c r="AA89" s="1" t="str">
        <f>IF(AND(Programme_Grunddaten!$A97="Geprüft",Programme_Grunddaten!AI97&lt;&gt;""),IF(Programme_Grunddaten!AI97="Ja",1,0),"")</f>
        <v/>
      </c>
      <c r="AB89" s="1" t="str">
        <f>IF(AND(Programme_Grunddaten!$A97="Geprüft",Programme_Grunddaten!AJ97&lt;&gt;""),IF(Programme_Grunddaten!AJ97="individuell programmierbar",1,0),"")</f>
        <v/>
      </c>
      <c r="AC89" s="1" t="str">
        <f>IF(AND(Programme_Grunddaten!$A97="Geprüft",Programme_Grunddaten!AK97&lt;&gt;""),IF(Programme_Grunddaten!AK97="Deutsch",0,IF(Programme_Grunddaten!AK97="Deutsch und Englisch",1,2)),"")</f>
        <v/>
      </c>
      <c r="AD89" s="1" t="str">
        <f>IF(AND(Programme_Grunddaten!$A97="Geprüft",Programme_Grunddaten!AL97&lt;&gt;""),IF(Programme_Grunddaten!AL97="Ja",1,0),"")</f>
        <v/>
      </c>
      <c r="AE89" s="1" t="str">
        <f>IF(AND(Programme_Grunddaten!$A97="Geprüft",Programme_Grunddaten!AM97&lt;&gt;""),IF(Programme_Grunddaten!AM97="Ja",1,0),"")</f>
        <v/>
      </c>
      <c r="AF89" s="1" t="str">
        <f>IF(AND(Programme_Grunddaten!$A97="Geprüft",Programme_Grunddaten!AN97&lt;&gt;""),IF(Programme_Grunddaten!AN97="Ja",1,0),"")</f>
        <v/>
      </c>
      <c r="AG89" s="1" t="str">
        <f>IF(AND(Programme_Grunddaten!$A97="Geprüft",Programme_Grunddaten!AO97&lt;&gt;""),IF(Programme_Grunddaten!AO97="Ja",1,0),"")</f>
        <v/>
      </c>
      <c r="AH89" s="1" t="str">
        <f>IF(AND(Programme_Grunddaten!$A97="Geprüft",Programme_Grunddaten!AP97&lt;&gt;""),IF(Programme_Grunddaten!AP97="Ja",1,0),"")</f>
        <v/>
      </c>
      <c r="AI89" s="1" t="str">
        <f>IF(AND(Programme_Grunddaten!$A97="Geprüft",Programme_Grunddaten!AQ97&lt;&gt;""),IF(Programme_Grunddaten!AQ97="Ja",1,0),"")</f>
        <v/>
      </c>
      <c r="AJ89" s="1" t="str">
        <f>IF(AND(Programme_Grunddaten!$A97="Geprüft",Programme_Grunddaten!AR97&lt;&gt;""),IF(Programme_Grunddaten!AR97="Ja",1,0),"")</f>
        <v/>
      </c>
      <c r="AK89" s="1" t="str">
        <f>IF(AND(Programme_Grunddaten!$A97="Geprüft",Programme_Grunddaten!AS97&lt;&gt;""),IF(Programme_Grunddaten!AS97="Ja",1,0),"")</f>
        <v/>
      </c>
      <c r="AL89" s="1" t="str">
        <f>IF(AND(Programme_Grunddaten!$A97="Geprüft",Programme_Grunddaten!AT97&lt;&gt;""),IF(Programme_Grunddaten!AT97="Ja",1,0),"")</f>
        <v/>
      </c>
      <c r="AM89" s="1" t="str">
        <f>IF(AND(Programme_Grunddaten!$A97="Geprüft",Programme_Grunddaten!AU97&lt;&gt;""),IF(Programme_Grunddaten!AU97="Ja",1,0),"")</f>
        <v/>
      </c>
      <c r="AN89" s="1" t="str">
        <f>IF(AND(Programme_Grunddaten!$A97="Geprüft",Programme_Grunddaten!AV97&lt;&gt;""),IF(Programme_Grunddaten!AV97="Ja",1,0),"")</f>
        <v/>
      </c>
    </row>
    <row r="90" spans="1:40" x14ac:dyDescent="0.3">
      <c r="A90" s="1" t="str">
        <f>IF(AND(Programme_Grunddaten!A98="Geprüft",Programme_Grunddaten!B98&lt;&gt;""),Programme_Grunddaten!B98,"")</f>
        <v/>
      </c>
      <c r="B90" s="1" t="str">
        <f>IF(AND(Programme_Grunddaten!$A98="Geprüft",Programme_Grunddaten!I98&lt;&gt;""),IF(Programme_Grunddaten!I98="Ja",1,0),"")</f>
        <v/>
      </c>
      <c r="C90" s="1" t="str">
        <f>IF(AND(Programme_Grunddaten!$A98="Geprüft",Programme_Grunddaten!J98&lt;&gt;""),IF(Programme_Grunddaten!J98="Ja",1,0),"")</f>
        <v/>
      </c>
      <c r="D90" s="1" t="str">
        <f>IF(AND(Programme_Grunddaten!$A98="Geprüft",Programme_Grunddaten!K98&lt;&gt;""),IF(Programme_Grunddaten!K98="Ja",1,0),"")</f>
        <v/>
      </c>
      <c r="E90" s="1" t="str">
        <f>IF(AND(Programme_Grunddaten!$A98="Geprüft",Programme_Grunddaten!L98&lt;&gt;""),IF(Programme_Grunddaten!L98="Abo / befristete Lizenz",1,0),"")</f>
        <v/>
      </c>
      <c r="F90" s="1" t="str">
        <f>IF(AND(Programme_Grunddaten!$A98="Geprüft",Programme_Grunddaten!M98&lt;&gt;""),IF(Programme_Grunddaten!M98="Ja",1,0),"")</f>
        <v/>
      </c>
      <c r="G90" s="1" t="str">
        <f>IF(AND(Programme_Grunddaten!$A98="Geprüft",Programme_Grunddaten!N98&lt;&gt;""),IF(Programme_Grunddaten!N98="Ja",1,0),"")</f>
        <v/>
      </c>
      <c r="H90" s="1" t="str">
        <f>IF(AND(Programme_Grunddaten!$A98="Geprüft",Programme_Grunddaten!O98&lt;&gt;""),IF(Programme_Grunddaten!O98="Deutschland",0,IF(Programme_Grunddaten!O98="EU",1,2)),"")</f>
        <v/>
      </c>
      <c r="I90" s="1" t="str">
        <f>IF(AND(Programme_Grunddaten!$A98="Geprüft",Programme_Grunddaten!P98&lt;&gt;""),IF(Programme_Grunddaten!P98="Ja",1,0),"")</f>
        <v/>
      </c>
      <c r="J90" s="1" t="str">
        <f>IF(AND(Programme_Grunddaten!$A98="Geprüft",Programme_Grunddaten!Q98&lt;&gt;""),IF(Programme_Grunddaten!Q98="geschlossenes System",1,0),"")</f>
        <v/>
      </c>
      <c r="K90" s="1" t="str">
        <f>IF(AND(Programme_Grunddaten!$A98="Geprüft",Programme_Grunddaten!R98&lt;&gt;""),IF(Programme_Grunddaten!R98="Ja",1,0),"")</f>
        <v/>
      </c>
      <c r="L90" s="1" t="str">
        <f>IF(AND(Programme_Grunddaten!$A98="Geprüft",Programme_Grunddaten!T98&lt;&gt;""),IF(Programme_Grunddaten!T98="Ja",1,0),"")</f>
        <v/>
      </c>
      <c r="M90" s="1" t="str">
        <f>IF(AND(Programme_Grunddaten!$A98="Geprüft",Programme_Grunddaten!U98&lt;&gt;""),IF(Programme_Grunddaten!U98="Ja",1,0),"")</f>
        <v/>
      </c>
      <c r="N90" s="1" t="str">
        <f>IF(AND(Programme_Grunddaten!$A98="Geprüft",Programme_Grunddaten!V98&lt;&gt;""),IF(Programme_Grunddaten!V98="Ja",1,0),"")</f>
        <v/>
      </c>
      <c r="O90" s="1" t="str">
        <f>IF(AND(Programme_Grunddaten!$A98="Geprüft",Programme_Grunddaten!W98&lt;&gt;""),IF(Programme_Grunddaten!W98="Ja",1,0),"")</f>
        <v/>
      </c>
      <c r="P90" s="1" t="str">
        <f>IF(AND(Programme_Grunddaten!$A98="Geprüft",Programme_Grunddaten!X98&lt;&gt;""),IF(Programme_Grunddaten!X98="Ja",1,0),"")</f>
        <v/>
      </c>
      <c r="Q90" s="1" t="str">
        <f>IF(AND(Programme_Grunddaten!$A98="Geprüft",Programme_Grunddaten!Y98&lt;&gt;""),IF(Programme_Grunddaten!Y98="Ja",1,0),"")</f>
        <v/>
      </c>
      <c r="R90" s="1" t="str">
        <f>IF(AND(Programme_Grunddaten!$A98="Geprüft",Programme_Grunddaten!Z98&lt;&gt;""),IF(Programme_Grunddaten!Z98="Ja",1,0),"")</f>
        <v/>
      </c>
      <c r="S90" s="1" t="str">
        <f>IF(AND(Programme_Grunddaten!$A98="Geprüft",Programme_Grunddaten!AA98&lt;&gt;""),IF(Programme_Grunddaten!AA98="monolithisch",1,0),"")</f>
        <v/>
      </c>
      <c r="T90" s="1" t="str">
        <f>IF(AND(Programme_Grunddaten!$A98="Geprüft",Programme_Grunddaten!AB98&lt;&gt;""),IF(Programme_Grunddaten!AB98="Ja",1,0),"")</f>
        <v/>
      </c>
      <c r="U90" s="1" t="str">
        <f>IF(AND(Programme_Grunddaten!$A98="Geprüft",Programme_Grunddaten!AC98&lt;&gt;""),IF(Programme_Grunddaten!AC98="Ja",1,0),"")</f>
        <v/>
      </c>
      <c r="V90" s="1" t="str">
        <f>IF(AND(Programme_Grunddaten!$A98="Geprüft",Programme_Grunddaten!AD98&lt;&gt;""),IF(Programme_Grunddaten!AD98="Ja",1,0),"")</f>
        <v/>
      </c>
      <c r="W90" s="1" t="str">
        <f>IF(AND(Programme_Grunddaten!$A98="Geprüft",Programme_Grunddaten!AE98&lt;&gt;""),IF(Programme_Grunddaten!AE98="Ja",1,0),"")</f>
        <v/>
      </c>
      <c r="X90" s="1" t="str">
        <f>IF(AND(Programme_Grunddaten!$A98="Geprüft",Programme_Grunddaten!AF98&lt;&gt;""),IF(Programme_Grunddaten!AF98="Ja",1,0),"")</f>
        <v/>
      </c>
      <c r="Y90" s="1" t="str">
        <f>IF(AND(Programme_Grunddaten!$A98="Geprüft",Programme_Grunddaten!AG98&lt;&gt;""),IF(Programme_Grunddaten!AG98="Ja",1,0),"")</f>
        <v/>
      </c>
      <c r="Z90" s="1" t="str">
        <f>IF(AND(Programme_Grunddaten!$A98="Geprüft",Programme_Grunddaten!AH98&lt;&gt;""),IF(Programme_Grunddaten!AH98="Ja",1,0),"")</f>
        <v/>
      </c>
      <c r="AA90" s="1" t="str">
        <f>IF(AND(Programme_Grunddaten!$A98="Geprüft",Programme_Grunddaten!AI98&lt;&gt;""),IF(Programme_Grunddaten!AI98="Ja",1,0),"")</f>
        <v/>
      </c>
      <c r="AB90" s="1" t="str">
        <f>IF(AND(Programme_Grunddaten!$A98="Geprüft",Programme_Grunddaten!AJ98&lt;&gt;""),IF(Programme_Grunddaten!AJ98="individuell programmierbar",1,0),"")</f>
        <v/>
      </c>
      <c r="AC90" s="1" t="str">
        <f>IF(AND(Programme_Grunddaten!$A98="Geprüft",Programme_Grunddaten!AK98&lt;&gt;""),IF(Programme_Grunddaten!AK98="Deutsch",0,IF(Programme_Grunddaten!AK98="Deutsch und Englisch",1,2)),"")</f>
        <v/>
      </c>
      <c r="AD90" s="1" t="str">
        <f>IF(AND(Programme_Grunddaten!$A98="Geprüft",Programme_Grunddaten!AL98&lt;&gt;""),IF(Programme_Grunddaten!AL98="Ja",1,0),"")</f>
        <v/>
      </c>
      <c r="AE90" s="1" t="str">
        <f>IF(AND(Programme_Grunddaten!$A98="Geprüft",Programme_Grunddaten!AM98&lt;&gt;""),IF(Programme_Grunddaten!AM98="Ja",1,0),"")</f>
        <v/>
      </c>
      <c r="AF90" s="1" t="str">
        <f>IF(AND(Programme_Grunddaten!$A98="Geprüft",Programme_Grunddaten!AN98&lt;&gt;""),IF(Programme_Grunddaten!AN98="Ja",1,0),"")</f>
        <v/>
      </c>
      <c r="AG90" s="1" t="str">
        <f>IF(AND(Programme_Grunddaten!$A98="Geprüft",Programme_Grunddaten!AO98&lt;&gt;""),IF(Programme_Grunddaten!AO98="Ja",1,0),"")</f>
        <v/>
      </c>
      <c r="AH90" s="1" t="str">
        <f>IF(AND(Programme_Grunddaten!$A98="Geprüft",Programme_Grunddaten!AP98&lt;&gt;""),IF(Programme_Grunddaten!AP98="Ja",1,0),"")</f>
        <v/>
      </c>
      <c r="AI90" s="1" t="str">
        <f>IF(AND(Programme_Grunddaten!$A98="Geprüft",Programme_Grunddaten!AQ98&lt;&gt;""),IF(Programme_Grunddaten!AQ98="Ja",1,0),"")</f>
        <v/>
      </c>
      <c r="AJ90" s="1" t="str">
        <f>IF(AND(Programme_Grunddaten!$A98="Geprüft",Programme_Grunddaten!AR98&lt;&gt;""),IF(Programme_Grunddaten!AR98="Ja",1,0),"")</f>
        <v/>
      </c>
      <c r="AK90" s="1" t="str">
        <f>IF(AND(Programme_Grunddaten!$A98="Geprüft",Programme_Grunddaten!AS98&lt;&gt;""),IF(Programme_Grunddaten!AS98="Ja",1,0),"")</f>
        <v/>
      </c>
      <c r="AL90" s="1" t="str">
        <f>IF(AND(Programme_Grunddaten!$A98="Geprüft",Programme_Grunddaten!AT98&lt;&gt;""),IF(Programme_Grunddaten!AT98="Ja",1,0),"")</f>
        <v/>
      </c>
      <c r="AM90" s="1" t="str">
        <f>IF(AND(Programme_Grunddaten!$A98="Geprüft",Programme_Grunddaten!AU98&lt;&gt;""),IF(Programme_Grunddaten!AU98="Ja",1,0),"")</f>
        <v/>
      </c>
      <c r="AN90" s="1" t="str">
        <f>IF(AND(Programme_Grunddaten!$A98="Geprüft",Programme_Grunddaten!AV98&lt;&gt;""),IF(Programme_Grunddaten!AV98="Ja",1,0),"")</f>
        <v/>
      </c>
    </row>
    <row r="91" spans="1:40" x14ac:dyDescent="0.3">
      <c r="A91" s="1" t="str">
        <f>IF(AND(Programme_Grunddaten!A99="Geprüft",Programme_Grunddaten!B99&lt;&gt;""),Programme_Grunddaten!B99,"")</f>
        <v/>
      </c>
      <c r="B91" s="1" t="str">
        <f>IF(AND(Programme_Grunddaten!$A99="Geprüft",Programme_Grunddaten!I99&lt;&gt;""),IF(Programme_Grunddaten!I99="Ja",1,0),"")</f>
        <v/>
      </c>
      <c r="C91" s="1" t="str">
        <f>IF(AND(Programme_Grunddaten!$A99="Geprüft",Programme_Grunddaten!J99&lt;&gt;""),IF(Programme_Grunddaten!J99="Ja",1,0),"")</f>
        <v/>
      </c>
      <c r="D91" s="1" t="str">
        <f>IF(AND(Programme_Grunddaten!$A99="Geprüft",Programme_Grunddaten!K99&lt;&gt;""),IF(Programme_Grunddaten!K99="Ja",1,0),"")</f>
        <v/>
      </c>
      <c r="E91" s="1" t="str">
        <f>IF(AND(Programme_Grunddaten!$A99="Geprüft",Programme_Grunddaten!L99&lt;&gt;""),IF(Programme_Grunddaten!L99="Abo / befristete Lizenz",1,0),"")</f>
        <v/>
      </c>
      <c r="F91" s="1" t="str">
        <f>IF(AND(Programme_Grunddaten!$A99="Geprüft",Programme_Grunddaten!M99&lt;&gt;""),IF(Programme_Grunddaten!M99="Ja",1,0),"")</f>
        <v/>
      </c>
      <c r="G91" s="1" t="str">
        <f>IF(AND(Programme_Grunddaten!$A99="Geprüft",Programme_Grunddaten!N99&lt;&gt;""),IF(Programme_Grunddaten!N99="Ja",1,0),"")</f>
        <v/>
      </c>
      <c r="H91" s="1" t="str">
        <f>IF(AND(Programme_Grunddaten!$A99="Geprüft",Programme_Grunddaten!O99&lt;&gt;""),IF(Programme_Grunddaten!O99="Deutschland",0,IF(Programme_Grunddaten!O99="EU",1,2)),"")</f>
        <v/>
      </c>
      <c r="I91" s="1" t="str">
        <f>IF(AND(Programme_Grunddaten!$A99="Geprüft",Programme_Grunddaten!P99&lt;&gt;""),IF(Programme_Grunddaten!P99="Ja",1,0),"")</f>
        <v/>
      </c>
      <c r="J91" s="1" t="str">
        <f>IF(AND(Programme_Grunddaten!$A99="Geprüft",Programme_Grunddaten!Q99&lt;&gt;""),IF(Programme_Grunddaten!Q99="geschlossenes System",1,0),"")</f>
        <v/>
      </c>
      <c r="K91" s="1" t="str">
        <f>IF(AND(Programme_Grunddaten!$A99="Geprüft",Programme_Grunddaten!R99&lt;&gt;""),IF(Programme_Grunddaten!R99="Ja",1,0),"")</f>
        <v/>
      </c>
      <c r="L91" s="1" t="str">
        <f>IF(AND(Programme_Grunddaten!$A99="Geprüft",Programme_Grunddaten!T99&lt;&gt;""),IF(Programme_Grunddaten!T99="Ja",1,0),"")</f>
        <v/>
      </c>
      <c r="M91" s="1" t="str">
        <f>IF(AND(Programme_Grunddaten!$A99="Geprüft",Programme_Grunddaten!U99&lt;&gt;""),IF(Programme_Grunddaten!U99="Ja",1,0),"")</f>
        <v/>
      </c>
      <c r="N91" s="1" t="str">
        <f>IF(AND(Programme_Grunddaten!$A99="Geprüft",Programme_Grunddaten!V99&lt;&gt;""),IF(Programme_Grunddaten!V99="Ja",1,0),"")</f>
        <v/>
      </c>
      <c r="O91" s="1" t="str">
        <f>IF(AND(Programme_Grunddaten!$A99="Geprüft",Programme_Grunddaten!W99&lt;&gt;""),IF(Programme_Grunddaten!W99="Ja",1,0),"")</f>
        <v/>
      </c>
      <c r="P91" s="1" t="str">
        <f>IF(AND(Programme_Grunddaten!$A99="Geprüft",Programme_Grunddaten!X99&lt;&gt;""),IF(Programme_Grunddaten!X99="Ja",1,0),"")</f>
        <v/>
      </c>
      <c r="Q91" s="1" t="str">
        <f>IF(AND(Programme_Grunddaten!$A99="Geprüft",Programme_Grunddaten!Y99&lt;&gt;""),IF(Programme_Grunddaten!Y99="Ja",1,0),"")</f>
        <v/>
      </c>
      <c r="R91" s="1" t="str">
        <f>IF(AND(Programme_Grunddaten!$A99="Geprüft",Programme_Grunddaten!Z99&lt;&gt;""),IF(Programme_Grunddaten!Z99="Ja",1,0),"")</f>
        <v/>
      </c>
      <c r="S91" s="1" t="str">
        <f>IF(AND(Programme_Grunddaten!$A99="Geprüft",Programme_Grunddaten!AA99&lt;&gt;""),IF(Programme_Grunddaten!AA99="monolithisch",1,0),"")</f>
        <v/>
      </c>
      <c r="T91" s="1" t="str">
        <f>IF(AND(Programme_Grunddaten!$A99="Geprüft",Programme_Grunddaten!AB99&lt;&gt;""),IF(Programme_Grunddaten!AB99="Ja",1,0),"")</f>
        <v/>
      </c>
      <c r="U91" s="1" t="str">
        <f>IF(AND(Programme_Grunddaten!$A99="Geprüft",Programme_Grunddaten!AC99&lt;&gt;""),IF(Programme_Grunddaten!AC99="Ja",1,0),"")</f>
        <v/>
      </c>
      <c r="V91" s="1" t="str">
        <f>IF(AND(Programme_Grunddaten!$A99="Geprüft",Programme_Grunddaten!AD99&lt;&gt;""),IF(Programme_Grunddaten!AD99="Ja",1,0),"")</f>
        <v/>
      </c>
      <c r="W91" s="1" t="str">
        <f>IF(AND(Programme_Grunddaten!$A99="Geprüft",Programme_Grunddaten!AE99&lt;&gt;""),IF(Programme_Grunddaten!AE99="Ja",1,0),"")</f>
        <v/>
      </c>
      <c r="X91" s="1" t="str">
        <f>IF(AND(Programme_Grunddaten!$A99="Geprüft",Programme_Grunddaten!AF99&lt;&gt;""),IF(Programme_Grunddaten!AF99="Ja",1,0),"")</f>
        <v/>
      </c>
      <c r="Y91" s="1" t="str">
        <f>IF(AND(Programme_Grunddaten!$A99="Geprüft",Programme_Grunddaten!AG99&lt;&gt;""),IF(Programme_Grunddaten!AG99="Ja",1,0),"")</f>
        <v/>
      </c>
      <c r="Z91" s="1" t="str">
        <f>IF(AND(Programme_Grunddaten!$A99="Geprüft",Programme_Grunddaten!AH99&lt;&gt;""),IF(Programme_Grunddaten!AH99="Ja",1,0),"")</f>
        <v/>
      </c>
      <c r="AA91" s="1" t="str">
        <f>IF(AND(Programme_Grunddaten!$A99="Geprüft",Programme_Grunddaten!AI99&lt;&gt;""),IF(Programme_Grunddaten!AI99="Ja",1,0),"")</f>
        <v/>
      </c>
      <c r="AB91" s="1" t="str">
        <f>IF(AND(Programme_Grunddaten!$A99="Geprüft",Programme_Grunddaten!AJ99&lt;&gt;""),IF(Programme_Grunddaten!AJ99="individuell programmierbar",1,0),"")</f>
        <v/>
      </c>
      <c r="AC91" s="1" t="str">
        <f>IF(AND(Programme_Grunddaten!$A99="Geprüft",Programme_Grunddaten!AK99&lt;&gt;""),IF(Programme_Grunddaten!AK99="Deutsch",0,IF(Programme_Grunddaten!AK99="Deutsch und Englisch",1,2)),"")</f>
        <v/>
      </c>
      <c r="AD91" s="1" t="str">
        <f>IF(AND(Programme_Grunddaten!$A99="Geprüft",Programme_Grunddaten!AL99&lt;&gt;""),IF(Programme_Grunddaten!AL99="Ja",1,0),"")</f>
        <v/>
      </c>
      <c r="AE91" s="1" t="str">
        <f>IF(AND(Programme_Grunddaten!$A99="Geprüft",Programme_Grunddaten!AM99&lt;&gt;""),IF(Programme_Grunddaten!AM99="Ja",1,0),"")</f>
        <v/>
      </c>
      <c r="AF91" s="1" t="str">
        <f>IF(AND(Programme_Grunddaten!$A99="Geprüft",Programme_Grunddaten!AN99&lt;&gt;""),IF(Programme_Grunddaten!AN99="Ja",1,0),"")</f>
        <v/>
      </c>
      <c r="AG91" s="1" t="str">
        <f>IF(AND(Programme_Grunddaten!$A99="Geprüft",Programme_Grunddaten!AO99&lt;&gt;""),IF(Programme_Grunddaten!AO99="Ja",1,0),"")</f>
        <v/>
      </c>
      <c r="AH91" s="1" t="str">
        <f>IF(AND(Programme_Grunddaten!$A99="Geprüft",Programme_Grunddaten!AP99&lt;&gt;""),IF(Programme_Grunddaten!AP99="Ja",1,0),"")</f>
        <v/>
      </c>
      <c r="AI91" s="1" t="str">
        <f>IF(AND(Programme_Grunddaten!$A99="Geprüft",Programme_Grunddaten!AQ99&lt;&gt;""),IF(Programme_Grunddaten!AQ99="Ja",1,0),"")</f>
        <v/>
      </c>
      <c r="AJ91" s="1" t="str">
        <f>IF(AND(Programme_Grunddaten!$A99="Geprüft",Programme_Grunddaten!AR99&lt;&gt;""),IF(Programme_Grunddaten!AR99="Ja",1,0),"")</f>
        <v/>
      </c>
      <c r="AK91" s="1" t="str">
        <f>IF(AND(Programme_Grunddaten!$A99="Geprüft",Programme_Grunddaten!AS99&lt;&gt;""),IF(Programme_Grunddaten!AS99="Ja",1,0),"")</f>
        <v/>
      </c>
      <c r="AL91" s="1" t="str">
        <f>IF(AND(Programme_Grunddaten!$A99="Geprüft",Programme_Grunddaten!AT99&lt;&gt;""),IF(Programme_Grunddaten!AT99="Ja",1,0),"")</f>
        <v/>
      </c>
      <c r="AM91" s="1" t="str">
        <f>IF(AND(Programme_Grunddaten!$A99="Geprüft",Programme_Grunddaten!AU99&lt;&gt;""),IF(Programme_Grunddaten!AU99="Ja",1,0),"")</f>
        <v/>
      </c>
      <c r="AN91" s="1" t="str">
        <f>IF(AND(Programme_Grunddaten!$A99="Geprüft",Programme_Grunddaten!AV99&lt;&gt;""),IF(Programme_Grunddaten!AV99="Ja",1,0),"")</f>
        <v/>
      </c>
    </row>
    <row r="92" spans="1:40" x14ac:dyDescent="0.3">
      <c r="A92" s="1" t="str">
        <f>IF(AND(Programme_Grunddaten!A100="Geprüft",Programme_Grunddaten!B100&lt;&gt;""),Programme_Grunddaten!B100,"")</f>
        <v/>
      </c>
      <c r="B92" s="1" t="str">
        <f>IF(AND(Programme_Grunddaten!$A100="Geprüft",Programme_Grunddaten!I100&lt;&gt;""),IF(Programme_Grunddaten!I100="Ja",1,0),"")</f>
        <v/>
      </c>
      <c r="C92" s="1" t="str">
        <f>IF(AND(Programme_Grunddaten!$A100="Geprüft",Programme_Grunddaten!J100&lt;&gt;""),IF(Programme_Grunddaten!J100="Ja",1,0),"")</f>
        <v/>
      </c>
      <c r="D92" s="1" t="str">
        <f>IF(AND(Programme_Grunddaten!$A100="Geprüft",Programme_Grunddaten!K100&lt;&gt;""),IF(Programme_Grunddaten!K100="Ja",1,0),"")</f>
        <v/>
      </c>
      <c r="E92" s="1" t="str">
        <f>IF(AND(Programme_Grunddaten!$A100="Geprüft",Programme_Grunddaten!L100&lt;&gt;""),IF(Programme_Grunddaten!L100="Abo / befristete Lizenz",1,0),"")</f>
        <v/>
      </c>
      <c r="F92" s="1" t="str">
        <f>IF(AND(Programme_Grunddaten!$A100="Geprüft",Programme_Grunddaten!M100&lt;&gt;""),IF(Programme_Grunddaten!M100="Ja",1,0),"")</f>
        <v/>
      </c>
      <c r="G92" s="1" t="str">
        <f>IF(AND(Programme_Grunddaten!$A100="Geprüft",Programme_Grunddaten!N100&lt;&gt;""),IF(Programme_Grunddaten!N100="Ja",1,0),"")</f>
        <v/>
      </c>
      <c r="H92" s="1" t="str">
        <f>IF(AND(Programme_Grunddaten!$A100="Geprüft",Programme_Grunddaten!O100&lt;&gt;""),IF(Programme_Grunddaten!O100="Deutschland",0,IF(Programme_Grunddaten!O100="EU",1,2)),"")</f>
        <v/>
      </c>
      <c r="I92" s="1" t="str">
        <f>IF(AND(Programme_Grunddaten!$A100="Geprüft",Programme_Grunddaten!P100&lt;&gt;""),IF(Programme_Grunddaten!P100="Ja",1,0),"")</f>
        <v/>
      </c>
      <c r="J92" s="1" t="str">
        <f>IF(AND(Programme_Grunddaten!$A100="Geprüft",Programme_Grunddaten!Q100&lt;&gt;""),IF(Programme_Grunddaten!Q100="geschlossenes System",1,0),"")</f>
        <v/>
      </c>
      <c r="K92" s="1" t="str">
        <f>IF(AND(Programme_Grunddaten!$A100="Geprüft",Programme_Grunddaten!R100&lt;&gt;""),IF(Programme_Grunddaten!R100="Ja",1,0),"")</f>
        <v/>
      </c>
      <c r="L92" s="1" t="str">
        <f>IF(AND(Programme_Grunddaten!$A100="Geprüft",Programme_Grunddaten!T100&lt;&gt;""),IF(Programme_Grunddaten!T100="Ja",1,0),"")</f>
        <v/>
      </c>
      <c r="M92" s="1" t="str">
        <f>IF(AND(Programme_Grunddaten!$A100="Geprüft",Programme_Grunddaten!U100&lt;&gt;""),IF(Programme_Grunddaten!U100="Ja",1,0),"")</f>
        <v/>
      </c>
      <c r="N92" s="1" t="str">
        <f>IF(AND(Programme_Grunddaten!$A100="Geprüft",Programme_Grunddaten!V100&lt;&gt;""),IF(Programme_Grunddaten!V100="Ja",1,0),"")</f>
        <v/>
      </c>
      <c r="O92" s="1" t="str">
        <f>IF(AND(Programme_Grunddaten!$A100="Geprüft",Programme_Grunddaten!W100&lt;&gt;""),IF(Programme_Grunddaten!W100="Ja",1,0),"")</f>
        <v/>
      </c>
      <c r="P92" s="1" t="str">
        <f>IF(AND(Programme_Grunddaten!$A100="Geprüft",Programme_Grunddaten!X100&lt;&gt;""),IF(Programme_Grunddaten!X100="Ja",1,0),"")</f>
        <v/>
      </c>
      <c r="Q92" s="1" t="str">
        <f>IF(AND(Programme_Grunddaten!$A100="Geprüft",Programme_Grunddaten!Y100&lt;&gt;""),IF(Programme_Grunddaten!Y100="Ja",1,0),"")</f>
        <v/>
      </c>
      <c r="R92" s="1" t="str">
        <f>IF(AND(Programme_Grunddaten!$A100="Geprüft",Programme_Grunddaten!Z100&lt;&gt;""),IF(Programme_Grunddaten!Z100="Ja",1,0),"")</f>
        <v/>
      </c>
      <c r="S92" s="1" t="str">
        <f>IF(AND(Programme_Grunddaten!$A100="Geprüft",Programme_Grunddaten!AA100&lt;&gt;""),IF(Programme_Grunddaten!AA100="monolithisch",1,0),"")</f>
        <v/>
      </c>
      <c r="T92" s="1" t="str">
        <f>IF(AND(Programme_Grunddaten!$A100="Geprüft",Programme_Grunddaten!AB100&lt;&gt;""),IF(Programme_Grunddaten!AB100="Ja",1,0),"")</f>
        <v/>
      </c>
      <c r="U92" s="1" t="str">
        <f>IF(AND(Programme_Grunddaten!$A100="Geprüft",Programme_Grunddaten!AC100&lt;&gt;""),IF(Programme_Grunddaten!AC100="Ja",1,0),"")</f>
        <v/>
      </c>
      <c r="V92" s="1" t="str">
        <f>IF(AND(Programme_Grunddaten!$A100="Geprüft",Programme_Grunddaten!AD100&lt;&gt;""),IF(Programme_Grunddaten!AD100="Ja",1,0),"")</f>
        <v/>
      </c>
      <c r="W92" s="1" t="str">
        <f>IF(AND(Programme_Grunddaten!$A100="Geprüft",Programme_Grunddaten!AE100&lt;&gt;""),IF(Programme_Grunddaten!AE100="Ja",1,0),"")</f>
        <v/>
      </c>
      <c r="X92" s="1" t="str">
        <f>IF(AND(Programme_Grunddaten!$A100="Geprüft",Programme_Grunddaten!AF100&lt;&gt;""),IF(Programme_Grunddaten!AF100="Ja",1,0),"")</f>
        <v/>
      </c>
      <c r="Y92" s="1" t="str">
        <f>IF(AND(Programme_Grunddaten!$A100="Geprüft",Programme_Grunddaten!AG100&lt;&gt;""),IF(Programme_Grunddaten!AG100="Ja",1,0),"")</f>
        <v/>
      </c>
      <c r="Z92" s="1" t="str">
        <f>IF(AND(Programme_Grunddaten!$A100="Geprüft",Programme_Grunddaten!AH100&lt;&gt;""),IF(Programme_Grunddaten!AH100="Ja",1,0),"")</f>
        <v/>
      </c>
      <c r="AA92" s="1" t="str">
        <f>IF(AND(Programme_Grunddaten!$A100="Geprüft",Programme_Grunddaten!AI100&lt;&gt;""),IF(Programme_Grunddaten!AI100="Ja",1,0),"")</f>
        <v/>
      </c>
      <c r="AB92" s="1" t="str">
        <f>IF(AND(Programme_Grunddaten!$A100="Geprüft",Programme_Grunddaten!AJ100&lt;&gt;""),IF(Programme_Grunddaten!AJ100="individuell programmierbar",1,0),"")</f>
        <v/>
      </c>
      <c r="AC92" s="1" t="str">
        <f>IF(AND(Programme_Grunddaten!$A100="Geprüft",Programme_Grunddaten!AK100&lt;&gt;""),IF(Programme_Grunddaten!AK100="Deutsch",0,IF(Programme_Grunddaten!AK100="Deutsch und Englisch",1,2)),"")</f>
        <v/>
      </c>
      <c r="AD92" s="1" t="str">
        <f>IF(AND(Programme_Grunddaten!$A100="Geprüft",Programme_Grunddaten!AL100&lt;&gt;""),IF(Programme_Grunddaten!AL100="Ja",1,0),"")</f>
        <v/>
      </c>
      <c r="AE92" s="1" t="str">
        <f>IF(AND(Programme_Grunddaten!$A100="Geprüft",Programme_Grunddaten!AM100&lt;&gt;""),IF(Programme_Grunddaten!AM100="Ja",1,0),"")</f>
        <v/>
      </c>
      <c r="AF92" s="1" t="str">
        <f>IF(AND(Programme_Grunddaten!$A100="Geprüft",Programme_Grunddaten!AN100&lt;&gt;""),IF(Programme_Grunddaten!AN100="Ja",1,0),"")</f>
        <v/>
      </c>
      <c r="AG92" s="1" t="str">
        <f>IF(AND(Programme_Grunddaten!$A100="Geprüft",Programme_Grunddaten!AO100&lt;&gt;""),IF(Programme_Grunddaten!AO100="Ja",1,0),"")</f>
        <v/>
      </c>
      <c r="AH92" s="1" t="str">
        <f>IF(AND(Programme_Grunddaten!$A100="Geprüft",Programme_Grunddaten!AP100&lt;&gt;""),IF(Programme_Grunddaten!AP100="Ja",1,0),"")</f>
        <v/>
      </c>
      <c r="AI92" s="1" t="str">
        <f>IF(AND(Programme_Grunddaten!$A100="Geprüft",Programme_Grunddaten!AQ100&lt;&gt;""),IF(Programme_Grunddaten!AQ100="Ja",1,0),"")</f>
        <v/>
      </c>
      <c r="AJ92" s="1" t="str">
        <f>IF(AND(Programme_Grunddaten!$A100="Geprüft",Programme_Grunddaten!AR100&lt;&gt;""),IF(Programme_Grunddaten!AR100="Ja",1,0),"")</f>
        <v/>
      </c>
      <c r="AK92" s="1" t="str">
        <f>IF(AND(Programme_Grunddaten!$A100="Geprüft",Programme_Grunddaten!AS100&lt;&gt;""),IF(Programme_Grunddaten!AS100="Ja",1,0),"")</f>
        <v/>
      </c>
      <c r="AL92" s="1" t="str">
        <f>IF(AND(Programme_Grunddaten!$A100="Geprüft",Programme_Grunddaten!AT100&lt;&gt;""),IF(Programme_Grunddaten!AT100="Ja",1,0),"")</f>
        <v/>
      </c>
      <c r="AM92" s="1" t="str">
        <f>IF(AND(Programme_Grunddaten!$A100="Geprüft",Programme_Grunddaten!AU100&lt;&gt;""),IF(Programme_Grunddaten!AU100="Ja",1,0),"")</f>
        <v/>
      </c>
      <c r="AN92" s="1" t="str">
        <f>IF(AND(Programme_Grunddaten!$A100="Geprüft",Programme_Grunddaten!AV100&lt;&gt;""),IF(Programme_Grunddaten!AV100="Ja",1,0),"")</f>
        <v/>
      </c>
    </row>
    <row r="93" spans="1:40" x14ac:dyDescent="0.3">
      <c r="A93" s="1" t="str">
        <f>IF(AND(Programme_Grunddaten!A101="Geprüft",Programme_Grunddaten!B101&lt;&gt;""),Programme_Grunddaten!B101,"")</f>
        <v/>
      </c>
      <c r="B93" s="1" t="str">
        <f>IF(AND(Programme_Grunddaten!$A101="Geprüft",Programme_Grunddaten!I101&lt;&gt;""),IF(Programme_Grunddaten!I101="Ja",1,0),"")</f>
        <v/>
      </c>
      <c r="C93" s="1" t="str">
        <f>IF(AND(Programme_Grunddaten!$A101="Geprüft",Programme_Grunddaten!J101&lt;&gt;""),IF(Programme_Grunddaten!J101="Ja",1,0),"")</f>
        <v/>
      </c>
      <c r="D93" s="1" t="str">
        <f>IF(AND(Programme_Grunddaten!$A101="Geprüft",Programme_Grunddaten!K101&lt;&gt;""),IF(Programme_Grunddaten!K101="Ja",1,0),"")</f>
        <v/>
      </c>
      <c r="E93" s="1" t="str">
        <f>IF(AND(Programme_Grunddaten!$A101="Geprüft",Programme_Grunddaten!L101&lt;&gt;""),IF(Programme_Grunddaten!L101="Abo / befristete Lizenz",1,0),"")</f>
        <v/>
      </c>
      <c r="F93" s="1" t="str">
        <f>IF(AND(Programme_Grunddaten!$A101="Geprüft",Programme_Grunddaten!M101&lt;&gt;""),IF(Programme_Grunddaten!M101="Ja",1,0),"")</f>
        <v/>
      </c>
      <c r="G93" s="1" t="str">
        <f>IF(AND(Programme_Grunddaten!$A101="Geprüft",Programme_Grunddaten!N101&lt;&gt;""),IF(Programme_Grunddaten!N101="Ja",1,0),"")</f>
        <v/>
      </c>
      <c r="H93" s="1" t="str">
        <f>IF(AND(Programme_Grunddaten!$A101="Geprüft",Programme_Grunddaten!O101&lt;&gt;""),IF(Programme_Grunddaten!O101="Deutschland",0,IF(Programme_Grunddaten!O101="EU",1,2)),"")</f>
        <v/>
      </c>
      <c r="I93" s="1" t="str">
        <f>IF(AND(Programme_Grunddaten!$A101="Geprüft",Programme_Grunddaten!P101&lt;&gt;""),IF(Programme_Grunddaten!P101="Ja",1,0),"")</f>
        <v/>
      </c>
      <c r="J93" s="1" t="str">
        <f>IF(AND(Programme_Grunddaten!$A101="Geprüft",Programme_Grunddaten!Q101&lt;&gt;""),IF(Programme_Grunddaten!Q101="geschlossenes System",1,0),"")</f>
        <v/>
      </c>
      <c r="K93" s="1" t="str">
        <f>IF(AND(Programme_Grunddaten!$A101="Geprüft",Programme_Grunddaten!R101&lt;&gt;""),IF(Programme_Grunddaten!R101="Ja",1,0),"")</f>
        <v/>
      </c>
      <c r="L93" s="1" t="str">
        <f>IF(AND(Programme_Grunddaten!$A101="Geprüft",Programme_Grunddaten!T101&lt;&gt;""),IF(Programme_Grunddaten!T101="Ja",1,0),"")</f>
        <v/>
      </c>
      <c r="M93" s="1" t="str">
        <f>IF(AND(Programme_Grunddaten!$A101="Geprüft",Programme_Grunddaten!U101&lt;&gt;""),IF(Programme_Grunddaten!U101="Ja",1,0),"")</f>
        <v/>
      </c>
      <c r="N93" s="1" t="str">
        <f>IF(AND(Programme_Grunddaten!$A101="Geprüft",Programme_Grunddaten!V101&lt;&gt;""),IF(Programme_Grunddaten!V101="Ja",1,0),"")</f>
        <v/>
      </c>
      <c r="O93" s="1" t="str">
        <f>IF(AND(Programme_Grunddaten!$A101="Geprüft",Programme_Grunddaten!W101&lt;&gt;""),IF(Programme_Grunddaten!W101="Ja",1,0),"")</f>
        <v/>
      </c>
      <c r="P93" s="1" t="str">
        <f>IF(AND(Programme_Grunddaten!$A101="Geprüft",Programme_Grunddaten!X101&lt;&gt;""),IF(Programme_Grunddaten!X101="Ja",1,0),"")</f>
        <v/>
      </c>
      <c r="Q93" s="1" t="str">
        <f>IF(AND(Programme_Grunddaten!$A101="Geprüft",Programme_Grunddaten!Y101&lt;&gt;""),IF(Programme_Grunddaten!Y101="Ja",1,0),"")</f>
        <v/>
      </c>
      <c r="R93" s="1" t="str">
        <f>IF(AND(Programme_Grunddaten!$A101="Geprüft",Programme_Grunddaten!Z101&lt;&gt;""),IF(Programme_Grunddaten!Z101="Ja",1,0),"")</f>
        <v/>
      </c>
      <c r="S93" s="1" t="str">
        <f>IF(AND(Programme_Grunddaten!$A101="Geprüft",Programme_Grunddaten!AA101&lt;&gt;""),IF(Programme_Grunddaten!AA101="monolithisch",1,0),"")</f>
        <v/>
      </c>
      <c r="T93" s="1" t="str">
        <f>IF(AND(Programme_Grunddaten!$A101="Geprüft",Programme_Grunddaten!AB101&lt;&gt;""),IF(Programme_Grunddaten!AB101="Ja",1,0),"")</f>
        <v/>
      </c>
      <c r="U93" s="1" t="str">
        <f>IF(AND(Programme_Grunddaten!$A101="Geprüft",Programme_Grunddaten!AC101&lt;&gt;""),IF(Programme_Grunddaten!AC101="Ja",1,0),"")</f>
        <v/>
      </c>
      <c r="V93" s="1" t="str">
        <f>IF(AND(Programme_Grunddaten!$A101="Geprüft",Programme_Grunddaten!AD101&lt;&gt;""),IF(Programme_Grunddaten!AD101="Ja",1,0),"")</f>
        <v/>
      </c>
      <c r="W93" s="1" t="str">
        <f>IF(AND(Programme_Grunddaten!$A101="Geprüft",Programme_Grunddaten!AE101&lt;&gt;""),IF(Programme_Grunddaten!AE101="Ja",1,0),"")</f>
        <v/>
      </c>
      <c r="X93" s="1" t="str">
        <f>IF(AND(Programme_Grunddaten!$A101="Geprüft",Programme_Grunddaten!AF101&lt;&gt;""),IF(Programme_Grunddaten!AF101="Ja",1,0),"")</f>
        <v/>
      </c>
      <c r="Y93" s="1" t="str">
        <f>IF(AND(Programme_Grunddaten!$A101="Geprüft",Programme_Grunddaten!AG101&lt;&gt;""),IF(Programme_Grunddaten!AG101="Ja",1,0),"")</f>
        <v/>
      </c>
      <c r="Z93" s="1" t="str">
        <f>IF(AND(Programme_Grunddaten!$A101="Geprüft",Programme_Grunddaten!AH101&lt;&gt;""),IF(Programme_Grunddaten!AH101="Ja",1,0),"")</f>
        <v/>
      </c>
      <c r="AA93" s="1" t="str">
        <f>IF(AND(Programme_Grunddaten!$A101="Geprüft",Programme_Grunddaten!AI101&lt;&gt;""),IF(Programme_Grunddaten!AI101="Ja",1,0),"")</f>
        <v/>
      </c>
      <c r="AB93" s="1" t="str">
        <f>IF(AND(Programme_Grunddaten!$A101="Geprüft",Programme_Grunddaten!AJ101&lt;&gt;""),IF(Programme_Grunddaten!AJ101="individuell programmierbar",1,0),"")</f>
        <v/>
      </c>
      <c r="AC93" s="1" t="str">
        <f>IF(AND(Programme_Grunddaten!$A101="Geprüft",Programme_Grunddaten!AK101&lt;&gt;""),IF(Programme_Grunddaten!AK101="Deutsch",0,IF(Programme_Grunddaten!AK101="Deutsch und Englisch",1,2)),"")</f>
        <v/>
      </c>
      <c r="AD93" s="1" t="str">
        <f>IF(AND(Programme_Grunddaten!$A101="Geprüft",Programme_Grunddaten!AL101&lt;&gt;""),IF(Programme_Grunddaten!AL101="Ja",1,0),"")</f>
        <v/>
      </c>
      <c r="AE93" s="1" t="str">
        <f>IF(AND(Programme_Grunddaten!$A101="Geprüft",Programme_Grunddaten!AM101&lt;&gt;""),IF(Programme_Grunddaten!AM101="Ja",1,0),"")</f>
        <v/>
      </c>
      <c r="AF93" s="1" t="str">
        <f>IF(AND(Programme_Grunddaten!$A101="Geprüft",Programme_Grunddaten!AN101&lt;&gt;""),IF(Programme_Grunddaten!AN101="Ja",1,0),"")</f>
        <v/>
      </c>
      <c r="AG93" s="1" t="str">
        <f>IF(AND(Programme_Grunddaten!$A101="Geprüft",Programme_Grunddaten!AO101&lt;&gt;""),IF(Programme_Grunddaten!AO101="Ja",1,0),"")</f>
        <v/>
      </c>
      <c r="AH93" s="1" t="str">
        <f>IF(AND(Programme_Grunddaten!$A101="Geprüft",Programme_Grunddaten!AP101&lt;&gt;""),IF(Programme_Grunddaten!AP101="Ja",1,0),"")</f>
        <v/>
      </c>
      <c r="AI93" s="1" t="str">
        <f>IF(AND(Programme_Grunddaten!$A101="Geprüft",Programme_Grunddaten!AQ101&lt;&gt;""),IF(Programme_Grunddaten!AQ101="Ja",1,0),"")</f>
        <v/>
      </c>
      <c r="AJ93" s="1" t="str">
        <f>IF(AND(Programme_Grunddaten!$A101="Geprüft",Programme_Grunddaten!AR101&lt;&gt;""),IF(Programme_Grunddaten!AR101="Ja",1,0),"")</f>
        <v/>
      </c>
      <c r="AK93" s="1" t="str">
        <f>IF(AND(Programme_Grunddaten!$A101="Geprüft",Programme_Grunddaten!AS101&lt;&gt;""),IF(Programme_Grunddaten!AS101="Ja",1,0),"")</f>
        <v/>
      </c>
      <c r="AL93" s="1" t="str">
        <f>IF(AND(Programme_Grunddaten!$A101="Geprüft",Programme_Grunddaten!AT101&lt;&gt;""),IF(Programme_Grunddaten!AT101="Ja",1,0),"")</f>
        <v/>
      </c>
      <c r="AM93" s="1" t="str">
        <f>IF(AND(Programme_Grunddaten!$A101="Geprüft",Programme_Grunddaten!AU101&lt;&gt;""),IF(Programme_Grunddaten!AU101="Ja",1,0),"")</f>
        <v/>
      </c>
      <c r="AN93" s="1" t="str">
        <f>IF(AND(Programme_Grunddaten!$A101="Geprüft",Programme_Grunddaten!AV101&lt;&gt;""),IF(Programme_Grunddaten!AV101="Ja",1,0),"")</f>
        <v/>
      </c>
    </row>
    <row r="94" spans="1:40" x14ac:dyDescent="0.3">
      <c r="A94" s="1" t="str">
        <f>IF(AND(Programme_Grunddaten!A102="Geprüft",Programme_Grunddaten!B102&lt;&gt;""),Programme_Grunddaten!B102,"")</f>
        <v/>
      </c>
      <c r="B94" s="1" t="str">
        <f>IF(AND(Programme_Grunddaten!$A102="Geprüft",Programme_Grunddaten!I102&lt;&gt;""),IF(Programme_Grunddaten!I102="Ja",1,0),"")</f>
        <v/>
      </c>
      <c r="C94" s="1" t="str">
        <f>IF(AND(Programme_Grunddaten!$A102="Geprüft",Programme_Grunddaten!J102&lt;&gt;""),IF(Programme_Grunddaten!J102="Ja",1,0),"")</f>
        <v/>
      </c>
      <c r="D94" s="1" t="str">
        <f>IF(AND(Programme_Grunddaten!$A102="Geprüft",Programme_Grunddaten!K102&lt;&gt;""),IF(Programme_Grunddaten!K102="Ja",1,0),"")</f>
        <v/>
      </c>
      <c r="E94" s="1" t="str">
        <f>IF(AND(Programme_Grunddaten!$A102="Geprüft",Programme_Grunddaten!L102&lt;&gt;""),IF(Programme_Grunddaten!L102="Abo / befristete Lizenz",1,0),"")</f>
        <v/>
      </c>
      <c r="F94" s="1" t="str">
        <f>IF(AND(Programme_Grunddaten!$A102="Geprüft",Programme_Grunddaten!M102&lt;&gt;""),IF(Programme_Grunddaten!M102="Ja",1,0),"")</f>
        <v/>
      </c>
      <c r="G94" s="1" t="str">
        <f>IF(AND(Programme_Grunddaten!$A102="Geprüft",Programme_Grunddaten!N102&lt;&gt;""),IF(Programme_Grunddaten!N102="Ja",1,0),"")</f>
        <v/>
      </c>
      <c r="H94" s="1" t="str">
        <f>IF(AND(Programme_Grunddaten!$A102="Geprüft",Programme_Grunddaten!O102&lt;&gt;""),IF(Programme_Grunddaten!O102="Deutschland",0,IF(Programme_Grunddaten!O102="EU",1,2)),"")</f>
        <v/>
      </c>
      <c r="I94" s="1" t="str">
        <f>IF(AND(Programme_Grunddaten!$A102="Geprüft",Programme_Grunddaten!P102&lt;&gt;""),IF(Programme_Grunddaten!P102="Ja",1,0),"")</f>
        <v/>
      </c>
      <c r="J94" s="1" t="str">
        <f>IF(AND(Programme_Grunddaten!$A102="Geprüft",Programme_Grunddaten!Q102&lt;&gt;""),IF(Programme_Grunddaten!Q102="geschlossenes System",1,0),"")</f>
        <v/>
      </c>
      <c r="K94" s="1" t="str">
        <f>IF(AND(Programme_Grunddaten!$A102="Geprüft",Programme_Grunddaten!R102&lt;&gt;""),IF(Programme_Grunddaten!R102="Ja",1,0),"")</f>
        <v/>
      </c>
      <c r="L94" s="1" t="str">
        <f>IF(AND(Programme_Grunddaten!$A102="Geprüft",Programme_Grunddaten!T102&lt;&gt;""),IF(Programme_Grunddaten!T102="Ja",1,0),"")</f>
        <v/>
      </c>
      <c r="M94" s="1" t="str">
        <f>IF(AND(Programme_Grunddaten!$A102="Geprüft",Programme_Grunddaten!U102&lt;&gt;""),IF(Programme_Grunddaten!U102="Ja",1,0),"")</f>
        <v/>
      </c>
      <c r="N94" s="1" t="str">
        <f>IF(AND(Programme_Grunddaten!$A102="Geprüft",Programme_Grunddaten!V102&lt;&gt;""),IF(Programme_Grunddaten!V102="Ja",1,0),"")</f>
        <v/>
      </c>
      <c r="O94" s="1" t="str">
        <f>IF(AND(Programme_Grunddaten!$A102="Geprüft",Programme_Grunddaten!W102&lt;&gt;""),IF(Programme_Grunddaten!W102="Ja",1,0),"")</f>
        <v/>
      </c>
      <c r="P94" s="1" t="str">
        <f>IF(AND(Programme_Grunddaten!$A102="Geprüft",Programme_Grunddaten!X102&lt;&gt;""),IF(Programme_Grunddaten!X102="Ja",1,0),"")</f>
        <v/>
      </c>
      <c r="Q94" s="1" t="str">
        <f>IF(AND(Programme_Grunddaten!$A102="Geprüft",Programme_Grunddaten!Y102&lt;&gt;""),IF(Programme_Grunddaten!Y102="Ja",1,0),"")</f>
        <v/>
      </c>
      <c r="R94" s="1" t="str">
        <f>IF(AND(Programme_Grunddaten!$A102="Geprüft",Programme_Grunddaten!Z102&lt;&gt;""),IF(Programme_Grunddaten!Z102="Ja",1,0),"")</f>
        <v/>
      </c>
      <c r="S94" s="1" t="str">
        <f>IF(AND(Programme_Grunddaten!$A102="Geprüft",Programme_Grunddaten!AA102&lt;&gt;""),IF(Programme_Grunddaten!AA102="monolithisch",1,0),"")</f>
        <v/>
      </c>
      <c r="T94" s="1" t="str">
        <f>IF(AND(Programme_Grunddaten!$A102="Geprüft",Programme_Grunddaten!AB102&lt;&gt;""),IF(Programme_Grunddaten!AB102="Ja",1,0),"")</f>
        <v/>
      </c>
      <c r="U94" s="1" t="str">
        <f>IF(AND(Programme_Grunddaten!$A102="Geprüft",Programme_Grunddaten!AC102&lt;&gt;""),IF(Programme_Grunddaten!AC102="Ja",1,0),"")</f>
        <v/>
      </c>
      <c r="V94" s="1" t="str">
        <f>IF(AND(Programme_Grunddaten!$A102="Geprüft",Programme_Grunddaten!AD102&lt;&gt;""),IF(Programme_Grunddaten!AD102="Ja",1,0),"")</f>
        <v/>
      </c>
      <c r="W94" s="1" t="str">
        <f>IF(AND(Programme_Grunddaten!$A102="Geprüft",Programme_Grunddaten!AE102&lt;&gt;""),IF(Programme_Grunddaten!AE102="Ja",1,0),"")</f>
        <v/>
      </c>
      <c r="X94" s="1" t="str">
        <f>IF(AND(Programme_Grunddaten!$A102="Geprüft",Programme_Grunddaten!AF102&lt;&gt;""),IF(Programme_Grunddaten!AF102="Ja",1,0),"")</f>
        <v/>
      </c>
      <c r="Y94" s="1" t="str">
        <f>IF(AND(Programme_Grunddaten!$A102="Geprüft",Programme_Grunddaten!AG102&lt;&gt;""),IF(Programme_Grunddaten!AG102="Ja",1,0),"")</f>
        <v/>
      </c>
      <c r="Z94" s="1" t="str">
        <f>IF(AND(Programme_Grunddaten!$A102="Geprüft",Programme_Grunddaten!AH102&lt;&gt;""),IF(Programme_Grunddaten!AH102="Ja",1,0),"")</f>
        <v/>
      </c>
      <c r="AA94" s="1" t="str">
        <f>IF(AND(Programme_Grunddaten!$A102="Geprüft",Programme_Grunddaten!AI102&lt;&gt;""),IF(Programme_Grunddaten!AI102="Ja",1,0),"")</f>
        <v/>
      </c>
      <c r="AB94" s="1" t="str">
        <f>IF(AND(Programme_Grunddaten!$A102="Geprüft",Programme_Grunddaten!AJ102&lt;&gt;""),IF(Programme_Grunddaten!AJ102="individuell programmierbar",1,0),"")</f>
        <v/>
      </c>
      <c r="AC94" s="1" t="str">
        <f>IF(AND(Programme_Grunddaten!$A102="Geprüft",Programme_Grunddaten!AK102&lt;&gt;""),IF(Programme_Grunddaten!AK102="Deutsch",0,IF(Programme_Grunddaten!AK102="Deutsch und Englisch",1,2)),"")</f>
        <v/>
      </c>
      <c r="AD94" s="1" t="str">
        <f>IF(AND(Programme_Grunddaten!$A102="Geprüft",Programme_Grunddaten!AL102&lt;&gt;""),IF(Programme_Grunddaten!AL102="Ja",1,0),"")</f>
        <v/>
      </c>
      <c r="AE94" s="1" t="str">
        <f>IF(AND(Programme_Grunddaten!$A102="Geprüft",Programme_Grunddaten!AM102&lt;&gt;""),IF(Programme_Grunddaten!AM102="Ja",1,0),"")</f>
        <v/>
      </c>
      <c r="AF94" s="1" t="str">
        <f>IF(AND(Programme_Grunddaten!$A102="Geprüft",Programme_Grunddaten!AN102&lt;&gt;""),IF(Programme_Grunddaten!AN102="Ja",1,0),"")</f>
        <v/>
      </c>
      <c r="AG94" s="1" t="str">
        <f>IF(AND(Programme_Grunddaten!$A102="Geprüft",Programme_Grunddaten!AO102&lt;&gt;""),IF(Programme_Grunddaten!AO102="Ja",1,0),"")</f>
        <v/>
      </c>
      <c r="AH94" s="1" t="str">
        <f>IF(AND(Programme_Grunddaten!$A102="Geprüft",Programme_Grunddaten!AP102&lt;&gt;""),IF(Programme_Grunddaten!AP102="Ja",1,0),"")</f>
        <v/>
      </c>
      <c r="AI94" s="1" t="str">
        <f>IF(AND(Programme_Grunddaten!$A102="Geprüft",Programme_Grunddaten!AQ102&lt;&gt;""),IF(Programme_Grunddaten!AQ102="Ja",1,0),"")</f>
        <v/>
      </c>
      <c r="AJ94" s="1" t="str">
        <f>IF(AND(Programme_Grunddaten!$A102="Geprüft",Programme_Grunddaten!AR102&lt;&gt;""),IF(Programme_Grunddaten!AR102="Ja",1,0),"")</f>
        <v/>
      </c>
      <c r="AK94" s="1" t="str">
        <f>IF(AND(Programme_Grunddaten!$A102="Geprüft",Programme_Grunddaten!AS102&lt;&gt;""),IF(Programme_Grunddaten!AS102="Ja",1,0),"")</f>
        <v/>
      </c>
      <c r="AL94" s="1" t="str">
        <f>IF(AND(Programme_Grunddaten!$A102="Geprüft",Programme_Grunddaten!AT102&lt;&gt;""),IF(Programme_Grunddaten!AT102="Ja",1,0),"")</f>
        <v/>
      </c>
      <c r="AM94" s="1" t="str">
        <f>IF(AND(Programme_Grunddaten!$A102="Geprüft",Programme_Grunddaten!AU102&lt;&gt;""),IF(Programme_Grunddaten!AU102="Ja",1,0),"")</f>
        <v/>
      </c>
      <c r="AN94" s="1" t="str">
        <f>IF(AND(Programme_Grunddaten!$A102="Geprüft",Programme_Grunddaten!AV102&lt;&gt;""),IF(Programme_Grunddaten!AV102="Ja",1,0),"")</f>
        <v/>
      </c>
    </row>
    <row r="95" spans="1:40" x14ac:dyDescent="0.3">
      <c r="A95" s="1" t="str">
        <f>IF(AND(Programme_Grunddaten!A103="Geprüft",Programme_Grunddaten!B103&lt;&gt;""),Programme_Grunddaten!B103,"")</f>
        <v/>
      </c>
      <c r="B95" s="1" t="str">
        <f>IF(AND(Programme_Grunddaten!$A103="Geprüft",Programme_Grunddaten!I103&lt;&gt;""),IF(Programme_Grunddaten!I103="Ja",1,0),"")</f>
        <v/>
      </c>
      <c r="C95" s="1" t="str">
        <f>IF(AND(Programme_Grunddaten!$A103="Geprüft",Programme_Grunddaten!J103&lt;&gt;""),IF(Programme_Grunddaten!J103="Ja",1,0),"")</f>
        <v/>
      </c>
      <c r="D95" s="1" t="str">
        <f>IF(AND(Programme_Grunddaten!$A103="Geprüft",Programme_Grunddaten!K103&lt;&gt;""),IF(Programme_Grunddaten!K103="Ja",1,0),"")</f>
        <v/>
      </c>
      <c r="E95" s="1" t="str">
        <f>IF(AND(Programme_Grunddaten!$A103="Geprüft",Programme_Grunddaten!L103&lt;&gt;""),IF(Programme_Grunddaten!L103="Abo / befristete Lizenz",1,0),"")</f>
        <v/>
      </c>
      <c r="F95" s="1" t="str">
        <f>IF(AND(Programme_Grunddaten!$A103="Geprüft",Programme_Grunddaten!M103&lt;&gt;""),IF(Programme_Grunddaten!M103="Ja",1,0),"")</f>
        <v/>
      </c>
      <c r="G95" s="1" t="str">
        <f>IF(AND(Programme_Grunddaten!$A103="Geprüft",Programme_Grunddaten!N103&lt;&gt;""),IF(Programme_Grunddaten!N103="Ja",1,0),"")</f>
        <v/>
      </c>
      <c r="H95" s="1" t="str">
        <f>IF(AND(Programme_Grunddaten!$A103="Geprüft",Programme_Grunddaten!O103&lt;&gt;""),IF(Programme_Grunddaten!O103="Deutschland",0,IF(Programme_Grunddaten!O103="EU",1,2)),"")</f>
        <v/>
      </c>
      <c r="I95" s="1" t="str">
        <f>IF(AND(Programme_Grunddaten!$A103="Geprüft",Programme_Grunddaten!P103&lt;&gt;""),IF(Programme_Grunddaten!P103="Ja",1,0),"")</f>
        <v/>
      </c>
      <c r="J95" s="1" t="str">
        <f>IF(AND(Programme_Grunddaten!$A103="Geprüft",Programme_Grunddaten!Q103&lt;&gt;""),IF(Programme_Grunddaten!Q103="geschlossenes System",1,0),"")</f>
        <v/>
      </c>
      <c r="K95" s="1" t="str">
        <f>IF(AND(Programme_Grunddaten!$A103="Geprüft",Programme_Grunddaten!R103&lt;&gt;""),IF(Programme_Grunddaten!R103="Ja",1,0),"")</f>
        <v/>
      </c>
      <c r="L95" s="1" t="str">
        <f>IF(AND(Programme_Grunddaten!$A103="Geprüft",Programme_Grunddaten!T103&lt;&gt;""),IF(Programme_Grunddaten!T103="Ja",1,0),"")</f>
        <v/>
      </c>
      <c r="M95" s="1" t="str">
        <f>IF(AND(Programme_Grunddaten!$A103="Geprüft",Programme_Grunddaten!U103&lt;&gt;""),IF(Programme_Grunddaten!U103="Ja",1,0),"")</f>
        <v/>
      </c>
      <c r="N95" s="1" t="str">
        <f>IF(AND(Programme_Grunddaten!$A103="Geprüft",Programme_Grunddaten!V103&lt;&gt;""),IF(Programme_Grunddaten!V103="Ja",1,0),"")</f>
        <v/>
      </c>
      <c r="O95" s="1" t="str">
        <f>IF(AND(Programme_Grunddaten!$A103="Geprüft",Programme_Grunddaten!W103&lt;&gt;""),IF(Programme_Grunddaten!W103="Ja",1,0),"")</f>
        <v/>
      </c>
      <c r="P95" s="1" t="str">
        <f>IF(AND(Programme_Grunddaten!$A103="Geprüft",Programme_Grunddaten!X103&lt;&gt;""),IF(Programme_Grunddaten!X103="Ja",1,0),"")</f>
        <v/>
      </c>
      <c r="Q95" s="1" t="str">
        <f>IF(AND(Programme_Grunddaten!$A103="Geprüft",Programme_Grunddaten!Y103&lt;&gt;""),IF(Programme_Grunddaten!Y103="Ja",1,0),"")</f>
        <v/>
      </c>
      <c r="R95" s="1" t="str">
        <f>IF(AND(Programme_Grunddaten!$A103="Geprüft",Programme_Grunddaten!Z103&lt;&gt;""),IF(Programme_Grunddaten!Z103="Ja",1,0),"")</f>
        <v/>
      </c>
      <c r="S95" s="1" t="str">
        <f>IF(AND(Programme_Grunddaten!$A103="Geprüft",Programme_Grunddaten!AA103&lt;&gt;""),IF(Programme_Grunddaten!AA103="monolithisch",1,0),"")</f>
        <v/>
      </c>
      <c r="T95" s="1" t="str">
        <f>IF(AND(Programme_Grunddaten!$A103="Geprüft",Programme_Grunddaten!AB103&lt;&gt;""),IF(Programme_Grunddaten!AB103="Ja",1,0),"")</f>
        <v/>
      </c>
      <c r="U95" s="1" t="str">
        <f>IF(AND(Programme_Grunddaten!$A103="Geprüft",Programme_Grunddaten!AC103&lt;&gt;""),IF(Programme_Grunddaten!AC103="Ja",1,0),"")</f>
        <v/>
      </c>
      <c r="V95" s="1" t="str">
        <f>IF(AND(Programme_Grunddaten!$A103="Geprüft",Programme_Grunddaten!AD103&lt;&gt;""),IF(Programme_Grunddaten!AD103="Ja",1,0),"")</f>
        <v/>
      </c>
      <c r="W95" s="1" t="str">
        <f>IF(AND(Programme_Grunddaten!$A103="Geprüft",Programme_Grunddaten!AE103&lt;&gt;""),IF(Programme_Grunddaten!AE103="Ja",1,0),"")</f>
        <v/>
      </c>
      <c r="X95" s="1" t="str">
        <f>IF(AND(Programme_Grunddaten!$A103="Geprüft",Programme_Grunddaten!AF103&lt;&gt;""),IF(Programme_Grunddaten!AF103="Ja",1,0),"")</f>
        <v/>
      </c>
      <c r="Y95" s="1" t="str">
        <f>IF(AND(Programme_Grunddaten!$A103="Geprüft",Programme_Grunddaten!AG103&lt;&gt;""),IF(Programme_Grunddaten!AG103="Ja",1,0),"")</f>
        <v/>
      </c>
      <c r="Z95" s="1" t="str">
        <f>IF(AND(Programme_Grunddaten!$A103="Geprüft",Programme_Grunddaten!AH103&lt;&gt;""),IF(Programme_Grunddaten!AH103="Ja",1,0),"")</f>
        <v/>
      </c>
      <c r="AA95" s="1" t="str">
        <f>IF(AND(Programme_Grunddaten!$A103="Geprüft",Programme_Grunddaten!AI103&lt;&gt;""),IF(Programme_Grunddaten!AI103="Ja",1,0),"")</f>
        <v/>
      </c>
      <c r="AB95" s="1" t="str">
        <f>IF(AND(Programme_Grunddaten!$A103="Geprüft",Programme_Grunddaten!AJ103&lt;&gt;""),IF(Programme_Grunddaten!AJ103="individuell programmierbar",1,0),"")</f>
        <v/>
      </c>
      <c r="AC95" s="1" t="str">
        <f>IF(AND(Programme_Grunddaten!$A103="Geprüft",Programme_Grunddaten!AK103&lt;&gt;""),IF(Programme_Grunddaten!AK103="Deutsch",0,IF(Programme_Grunddaten!AK103="Deutsch und Englisch",1,2)),"")</f>
        <v/>
      </c>
      <c r="AD95" s="1" t="str">
        <f>IF(AND(Programme_Grunddaten!$A103="Geprüft",Programme_Grunddaten!AL103&lt;&gt;""),IF(Programme_Grunddaten!AL103="Ja",1,0),"")</f>
        <v/>
      </c>
      <c r="AE95" s="1" t="str">
        <f>IF(AND(Programme_Grunddaten!$A103="Geprüft",Programme_Grunddaten!AM103&lt;&gt;""),IF(Programme_Grunddaten!AM103="Ja",1,0),"")</f>
        <v/>
      </c>
      <c r="AF95" s="1" t="str">
        <f>IF(AND(Programme_Grunddaten!$A103="Geprüft",Programme_Grunddaten!AN103&lt;&gt;""),IF(Programme_Grunddaten!AN103="Ja",1,0),"")</f>
        <v/>
      </c>
      <c r="AG95" s="1" t="str">
        <f>IF(AND(Programme_Grunddaten!$A103="Geprüft",Programme_Grunddaten!AO103&lt;&gt;""),IF(Programme_Grunddaten!AO103="Ja",1,0),"")</f>
        <v/>
      </c>
      <c r="AH95" s="1" t="str">
        <f>IF(AND(Programme_Grunddaten!$A103="Geprüft",Programme_Grunddaten!AP103&lt;&gt;""),IF(Programme_Grunddaten!AP103="Ja",1,0),"")</f>
        <v/>
      </c>
      <c r="AI95" s="1" t="str">
        <f>IF(AND(Programme_Grunddaten!$A103="Geprüft",Programme_Grunddaten!AQ103&lt;&gt;""),IF(Programme_Grunddaten!AQ103="Ja",1,0),"")</f>
        <v/>
      </c>
      <c r="AJ95" s="1" t="str">
        <f>IF(AND(Programme_Grunddaten!$A103="Geprüft",Programme_Grunddaten!AR103&lt;&gt;""),IF(Programme_Grunddaten!AR103="Ja",1,0),"")</f>
        <v/>
      </c>
      <c r="AK95" s="1" t="str">
        <f>IF(AND(Programme_Grunddaten!$A103="Geprüft",Programme_Grunddaten!AS103&lt;&gt;""),IF(Programme_Grunddaten!AS103="Ja",1,0),"")</f>
        <v/>
      </c>
      <c r="AL95" s="1" t="str">
        <f>IF(AND(Programme_Grunddaten!$A103="Geprüft",Programme_Grunddaten!AT103&lt;&gt;""),IF(Programme_Grunddaten!AT103="Ja",1,0),"")</f>
        <v/>
      </c>
      <c r="AM95" s="1" t="str">
        <f>IF(AND(Programme_Grunddaten!$A103="Geprüft",Programme_Grunddaten!AU103&lt;&gt;""),IF(Programme_Grunddaten!AU103="Ja",1,0),"")</f>
        <v/>
      </c>
      <c r="AN95" s="1" t="str">
        <f>IF(AND(Programme_Grunddaten!$A103="Geprüft",Programme_Grunddaten!AV103&lt;&gt;""),IF(Programme_Grunddaten!AV103="Ja",1,0),"")</f>
        <v/>
      </c>
    </row>
    <row r="96" spans="1:40" x14ac:dyDescent="0.3">
      <c r="A96" s="1" t="str">
        <f>IF(AND(Programme_Grunddaten!A104="Geprüft",Programme_Grunddaten!B104&lt;&gt;""),Programme_Grunddaten!B104,"")</f>
        <v/>
      </c>
      <c r="B96" s="1" t="str">
        <f>IF(AND(Programme_Grunddaten!$A104="Geprüft",Programme_Grunddaten!I104&lt;&gt;""),IF(Programme_Grunddaten!I104="Ja",1,0),"")</f>
        <v/>
      </c>
      <c r="C96" s="1" t="str">
        <f>IF(AND(Programme_Grunddaten!$A104="Geprüft",Programme_Grunddaten!J104&lt;&gt;""),IF(Programme_Grunddaten!J104="Ja",1,0),"")</f>
        <v/>
      </c>
      <c r="D96" s="1" t="str">
        <f>IF(AND(Programme_Grunddaten!$A104="Geprüft",Programme_Grunddaten!K104&lt;&gt;""),IF(Programme_Grunddaten!K104="Ja",1,0),"")</f>
        <v/>
      </c>
      <c r="E96" s="1" t="str">
        <f>IF(AND(Programme_Grunddaten!$A104="Geprüft",Programme_Grunddaten!L104&lt;&gt;""),IF(Programme_Grunddaten!L104="Abo / befristete Lizenz",1,0),"")</f>
        <v/>
      </c>
      <c r="F96" s="1" t="str">
        <f>IF(AND(Programme_Grunddaten!$A104="Geprüft",Programme_Grunddaten!M104&lt;&gt;""),IF(Programme_Grunddaten!M104="Ja",1,0),"")</f>
        <v/>
      </c>
      <c r="G96" s="1" t="str">
        <f>IF(AND(Programme_Grunddaten!$A104="Geprüft",Programme_Grunddaten!N104&lt;&gt;""),IF(Programme_Grunddaten!N104="Ja",1,0),"")</f>
        <v/>
      </c>
      <c r="H96" s="1" t="str">
        <f>IF(AND(Programme_Grunddaten!$A104="Geprüft",Programme_Grunddaten!O104&lt;&gt;""),IF(Programme_Grunddaten!O104="Deutschland",0,IF(Programme_Grunddaten!O104="EU",1,2)),"")</f>
        <v/>
      </c>
      <c r="I96" s="1" t="str">
        <f>IF(AND(Programme_Grunddaten!$A104="Geprüft",Programme_Grunddaten!P104&lt;&gt;""),IF(Programme_Grunddaten!P104="Ja",1,0),"")</f>
        <v/>
      </c>
      <c r="J96" s="1" t="str">
        <f>IF(AND(Programme_Grunddaten!$A104="Geprüft",Programme_Grunddaten!Q104&lt;&gt;""),IF(Programme_Grunddaten!Q104="geschlossenes System",1,0),"")</f>
        <v/>
      </c>
      <c r="K96" s="1" t="str">
        <f>IF(AND(Programme_Grunddaten!$A104="Geprüft",Programme_Grunddaten!R104&lt;&gt;""),IF(Programme_Grunddaten!R104="Ja",1,0),"")</f>
        <v/>
      </c>
      <c r="L96" s="1" t="str">
        <f>IF(AND(Programme_Grunddaten!$A104="Geprüft",Programme_Grunddaten!T104&lt;&gt;""),IF(Programme_Grunddaten!T104="Ja",1,0),"")</f>
        <v/>
      </c>
      <c r="M96" s="1" t="str">
        <f>IF(AND(Programme_Grunddaten!$A104="Geprüft",Programme_Grunddaten!U104&lt;&gt;""),IF(Programme_Grunddaten!U104="Ja",1,0),"")</f>
        <v/>
      </c>
      <c r="N96" s="1" t="str">
        <f>IF(AND(Programme_Grunddaten!$A104="Geprüft",Programme_Grunddaten!V104&lt;&gt;""),IF(Programme_Grunddaten!V104="Ja",1,0),"")</f>
        <v/>
      </c>
      <c r="O96" s="1" t="str">
        <f>IF(AND(Programme_Grunddaten!$A104="Geprüft",Programme_Grunddaten!W104&lt;&gt;""),IF(Programme_Grunddaten!W104="Ja",1,0),"")</f>
        <v/>
      </c>
      <c r="P96" s="1" t="str">
        <f>IF(AND(Programme_Grunddaten!$A104="Geprüft",Programme_Grunddaten!X104&lt;&gt;""),IF(Programme_Grunddaten!X104="Ja",1,0),"")</f>
        <v/>
      </c>
      <c r="Q96" s="1" t="str">
        <f>IF(AND(Programme_Grunddaten!$A104="Geprüft",Programme_Grunddaten!Y104&lt;&gt;""),IF(Programme_Grunddaten!Y104="Ja",1,0),"")</f>
        <v/>
      </c>
      <c r="R96" s="1" t="str">
        <f>IF(AND(Programme_Grunddaten!$A104="Geprüft",Programme_Grunddaten!Z104&lt;&gt;""),IF(Programme_Grunddaten!Z104="Ja",1,0),"")</f>
        <v/>
      </c>
      <c r="S96" s="1" t="str">
        <f>IF(AND(Programme_Grunddaten!$A104="Geprüft",Programme_Grunddaten!AA104&lt;&gt;""),IF(Programme_Grunddaten!AA104="monolithisch",1,0),"")</f>
        <v/>
      </c>
      <c r="T96" s="1" t="str">
        <f>IF(AND(Programme_Grunddaten!$A104="Geprüft",Programme_Grunddaten!AB104&lt;&gt;""),IF(Programme_Grunddaten!AB104="Ja",1,0),"")</f>
        <v/>
      </c>
      <c r="U96" s="1" t="str">
        <f>IF(AND(Programme_Grunddaten!$A104="Geprüft",Programme_Grunddaten!AC104&lt;&gt;""),IF(Programme_Grunddaten!AC104="Ja",1,0),"")</f>
        <v/>
      </c>
      <c r="V96" s="1" t="str">
        <f>IF(AND(Programme_Grunddaten!$A104="Geprüft",Programme_Grunddaten!AD104&lt;&gt;""),IF(Programme_Grunddaten!AD104="Ja",1,0),"")</f>
        <v/>
      </c>
      <c r="W96" s="1" t="str">
        <f>IF(AND(Programme_Grunddaten!$A104="Geprüft",Programme_Grunddaten!AE104&lt;&gt;""),IF(Programme_Grunddaten!AE104="Ja",1,0),"")</f>
        <v/>
      </c>
      <c r="X96" s="1" t="str">
        <f>IF(AND(Programme_Grunddaten!$A104="Geprüft",Programme_Grunddaten!AF104&lt;&gt;""),IF(Programme_Grunddaten!AF104="Ja",1,0),"")</f>
        <v/>
      </c>
      <c r="Y96" s="1" t="str">
        <f>IF(AND(Programme_Grunddaten!$A104="Geprüft",Programme_Grunddaten!AG104&lt;&gt;""),IF(Programme_Grunddaten!AG104="Ja",1,0),"")</f>
        <v/>
      </c>
      <c r="Z96" s="1" t="str">
        <f>IF(AND(Programme_Grunddaten!$A104="Geprüft",Programme_Grunddaten!AH104&lt;&gt;""),IF(Programme_Grunddaten!AH104="Ja",1,0),"")</f>
        <v/>
      </c>
      <c r="AA96" s="1" t="str">
        <f>IF(AND(Programme_Grunddaten!$A104="Geprüft",Programme_Grunddaten!AI104&lt;&gt;""),IF(Programme_Grunddaten!AI104="Ja",1,0),"")</f>
        <v/>
      </c>
      <c r="AB96" s="1" t="str">
        <f>IF(AND(Programme_Grunddaten!$A104="Geprüft",Programme_Grunddaten!AJ104&lt;&gt;""),IF(Programme_Grunddaten!AJ104="individuell programmierbar",1,0),"")</f>
        <v/>
      </c>
      <c r="AC96" s="1" t="str">
        <f>IF(AND(Programme_Grunddaten!$A104="Geprüft",Programme_Grunddaten!AK104&lt;&gt;""),IF(Programme_Grunddaten!AK104="Deutsch",0,IF(Programme_Grunddaten!AK104="Deutsch und Englisch",1,2)),"")</f>
        <v/>
      </c>
      <c r="AD96" s="1" t="str">
        <f>IF(AND(Programme_Grunddaten!$A104="Geprüft",Programme_Grunddaten!AL104&lt;&gt;""),IF(Programme_Grunddaten!AL104="Ja",1,0),"")</f>
        <v/>
      </c>
      <c r="AE96" s="1" t="str">
        <f>IF(AND(Programme_Grunddaten!$A104="Geprüft",Programme_Grunddaten!AM104&lt;&gt;""),IF(Programme_Grunddaten!AM104="Ja",1,0),"")</f>
        <v/>
      </c>
      <c r="AF96" s="1" t="str">
        <f>IF(AND(Programme_Grunddaten!$A104="Geprüft",Programme_Grunddaten!AN104&lt;&gt;""),IF(Programme_Grunddaten!AN104="Ja",1,0),"")</f>
        <v/>
      </c>
      <c r="AG96" s="1" t="str">
        <f>IF(AND(Programme_Grunddaten!$A104="Geprüft",Programme_Grunddaten!AO104&lt;&gt;""),IF(Programme_Grunddaten!AO104="Ja",1,0),"")</f>
        <v/>
      </c>
      <c r="AH96" s="1" t="str">
        <f>IF(AND(Programme_Grunddaten!$A104="Geprüft",Programme_Grunddaten!AP104&lt;&gt;""),IF(Programme_Grunddaten!AP104="Ja",1,0),"")</f>
        <v/>
      </c>
      <c r="AI96" s="1" t="str">
        <f>IF(AND(Programme_Grunddaten!$A104="Geprüft",Programme_Grunddaten!AQ104&lt;&gt;""),IF(Programme_Grunddaten!AQ104="Ja",1,0),"")</f>
        <v/>
      </c>
      <c r="AJ96" s="1" t="str">
        <f>IF(AND(Programme_Grunddaten!$A104="Geprüft",Programme_Grunddaten!AR104&lt;&gt;""),IF(Programme_Grunddaten!AR104="Ja",1,0),"")</f>
        <v/>
      </c>
      <c r="AK96" s="1" t="str">
        <f>IF(AND(Programme_Grunddaten!$A104="Geprüft",Programme_Grunddaten!AS104&lt;&gt;""),IF(Programme_Grunddaten!AS104="Ja",1,0),"")</f>
        <v/>
      </c>
      <c r="AL96" s="1" t="str">
        <f>IF(AND(Programme_Grunddaten!$A104="Geprüft",Programme_Grunddaten!AT104&lt;&gt;""),IF(Programme_Grunddaten!AT104="Ja",1,0),"")</f>
        <v/>
      </c>
      <c r="AM96" s="1" t="str">
        <f>IF(AND(Programme_Grunddaten!$A104="Geprüft",Programme_Grunddaten!AU104&lt;&gt;""),IF(Programme_Grunddaten!AU104="Ja",1,0),"")</f>
        <v/>
      </c>
      <c r="AN96" s="1" t="str">
        <f>IF(AND(Programme_Grunddaten!$A104="Geprüft",Programme_Grunddaten!AV104&lt;&gt;""),IF(Programme_Grunddaten!AV104="Ja",1,0),"")</f>
        <v/>
      </c>
    </row>
    <row r="97" spans="1:40" x14ac:dyDescent="0.3">
      <c r="A97" s="1" t="str">
        <f>IF(AND(Programme_Grunddaten!A105="Geprüft",Programme_Grunddaten!B105&lt;&gt;""),Programme_Grunddaten!B105,"")</f>
        <v/>
      </c>
      <c r="B97" s="1" t="str">
        <f>IF(AND(Programme_Grunddaten!$A105="Geprüft",Programme_Grunddaten!I105&lt;&gt;""),IF(Programme_Grunddaten!I105="Ja",1,0),"")</f>
        <v/>
      </c>
      <c r="C97" s="1" t="str">
        <f>IF(AND(Programme_Grunddaten!$A105="Geprüft",Programme_Grunddaten!J105&lt;&gt;""),IF(Programme_Grunddaten!J105="Ja",1,0),"")</f>
        <v/>
      </c>
      <c r="D97" s="1" t="str">
        <f>IF(AND(Programme_Grunddaten!$A105="Geprüft",Programme_Grunddaten!K105&lt;&gt;""),IF(Programme_Grunddaten!K105="Ja",1,0),"")</f>
        <v/>
      </c>
      <c r="E97" s="1" t="str">
        <f>IF(AND(Programme_Grunddaten!$A105="Geprüft",Programme_Grunddaten!L105&lt;&gt;""),IF(Programme_Grunddaten!L105="Abo / befristete Lizenz",1,0),"")</f>
        <v/>
      </c>
      <c r="F97" s="1" t="str">
        <f>IF(AND(Programme_Grunddaten!$A105="Geprüft",Programme_Grunddaten!M105&lt;&gt;""),IF(Programme_Grunddaten!M105="Ja",1,0),"")</f>
        <v/>
      </c>
      <c r="G97" s="1" t="str">
        <f>IF(AND(Programme_Grunddaten!$A105="Geprüft",Programme_Grunddaten!N105&lt;&gt;""),IF(Programme_Grunddaten!N105="Ja",1,0),"")</f>
        <v/>
      </c>
      <c r="H97" s="1" t="str">
        <f>IF(AND(Programme_Grunddaten!$A105="Geprüft",Programme_Grunddaten!O105&lt;&gt;""),IF(Programme_Grunddaten!O105="Deutschland",0,IF(Programme_Grunddaten!O105="EU",1,2)),"")</f>
        <v/>
      </c>
      <c r="I97" s="1" t="str">
        <f>IF(AND(Programme_Grunddaten!$A105="Geprüft",Programme_Grunddaten!P105&lt;&gt;""),IF(Programme_Grunddaten!P105="Ja",1,0),"")</f>
        <v/>
      </c>
      <c r="J97" s="1" t="str">
        <f>IF(AND(Programme_Grunddaten!$A105="Geprüft",Programme_Grunddaten!Q105&lt;&gt;""),IF(Programme_Grunddaten!Q105="geschlossenes System",1,0),"")</f>
        <v/>
      </c>
      <c r="K97" s="1" t="str">
        <f>IF(AND(Programme_Grunddaten!$A105="Geprüft",Programme_Grunddaten!R105&lt;&gt;""),IF(Programme_Grunddaten!R105="Ja",1,0),"")</f>
        <v/>
      </c>
      <c r="L97" s="1" t="str">
        <f>IF(AND(Programme_Grunddaten!$A105="Geprüft",Programme_Grunddaten!T105&lt;&gt;""),IF(Programme_Grunddaten!T105="Ja",1,0),"")</f>
        <v/>
      </c>
      <c r="M97" s="1" t="str">
        <f>IF(AND(Programme_Grunddaten!$A105="Geprüft",Programme_Grunddaten!U105&lt;&gt;""),IF(Programme_Grunddaten!U105="Ja",1,0),"")</f>
        <v/>
      </c>
      <c r="N97" s="1" t="str">
        <f>IF(AND(Programme_Grunddaten!$A105="Geprüft",Programme_Grunddaten!V105&lt;&gt;""),IF(Programme_Grunddaten!V105="Ja",1,0),"")</f>
        <v/>
      </c>
      <c r="O97" s="1" t="str">
        <f>IF(AND(Programme_Grunddaten!$A105="Geprüft",Programme_Grunddaten!W105&lt;&gt;""),IF(Programme_Grunddaten!W105="Ja",1,0),"")</f>
        <v/>
      </c>
      <c r="P97" s="1" t="str">
        <f>IF(AND(Programme_Grunddaten!$A105="Geprüft",Programme_Grunddaten!X105&lt;&gt;""),IF(Programme_Grunddaten!X105="Ja",1,0),"")</f>
        <v/>
      </c>
      <c r="Q97" s="1" t="str">
        <f>IF(AND(Programme_Grunddaten!$A105="Geprüft",Programme_Grunddaten!Y105&lt;&gt;""),IF(Programme_Grunddaten!Y105="Ja",1,0),"")</f>
        <v/>
      </c>
      <c r="R97" s="1" t="str">
        <f>IF(AND(Programme_Grunddaten!$A105="Geprüft",Programme_Grunddaten!Z105&lt;&gt;""),IF(Programme_Grunddaten!Z105="Ja",1,0),"")</f>
        <v/>
      </c>
      <c r="S97" s="1" t="str">
        <f>IF(AND(Programme_Grunddaten!$A105="Geprüft",Programme_Grunddaten!AA105&lt;&gt;""),IF(Programme_Grunddaten!AA105="monolithisch",1,0),"")</f>
        <v/>
      </c>
      <c r="T97" s="1" t="str">
        <f>IF(AND(Programme_Grunddaten!$A105="Geprüft",Programme_Grunddaten!AB105&lt;&gt;""),IF(Programme_Grunddaten!AB105="Ja",1,0),"")</f>
        <v/>
      </c>
      <c r="U97" s="1" t="str">
        <f>IF(AND(Programme_Grunddaten!$A105="Geprüft",Programme_Grunddaten!AC105&lt;&gt;""),IF(Programme_Grunddaten!AC105="Ja",1,0),"")</f>
        <v/>
      </c>
      <c r="V97" s="1" t="str">
        <f>IF(AND(Programme_Grunddaten!$A105="Geprüft",Programme_Grunddaten!AD105&lt;&gt;""),IF(Programme_Grunddaten!AD105="Ja",1,0),"")</f>
        <v/>
      </c>
      <c r="W97" s="1" t="str">
        <f>IF(AND(Programme_Grunddaten!$A105="Geprüft",Programme_Grunddaten!AE105&lt;&gt;""),IF(Programme_Grunddaten!AE105="Ja",1,0),"")</f>
        <v/>
      </c>
      <c r="X97" s="1" t="str">
        <f>IF(AND(Programme_Grunddaten!$A105="Geprüft",Programme_Grunddaten!AF105&lt;&gt;""),IF(Programme_Grunddaten!AF105="Ja",1,0),"")</f>
        <v/>
      </c>
      <c r="Y97" s="1" t="str">
        <f>IF(AND(Programme_Grunddaten!$A105="Geprüft",Programme_Grunddaten!AG105&lt;&gt;""),IF(Programme_Grunddaten!AG105="Ja",1,0),"")</f>
        <v/>
      </c>
      <c r="Z97" s="1" t="str">
        <f>IF(AND(Programme_Grunddaten!$A105="Geprüft",Programme_Grunddaten!AH105&lt;&gt;""),IF(Programme_Grunddaten!AH105="Ja",1,0),"")</f>
        <v/>
      </c>
      <c r="AA97" s="1" t="str">
        <f>IF(AND(Programme_Grunddaten!$A105="Geprüft",Programme_Grunddaten!AI105&lt;&gt;""),IF(Programme_Grunddaten!AI105="Ja",1,0),"")</f>
        <v/>
      </c>
      <c r="AB97" s="1" t="str">
        <f>IF(AND(Programme_Grunddaten!$A105="Geprüft",Programme_Grunddaten!AJ105&lt;&gt;""),IF(Programme_Grunddaten!AJ105="individuell programmierbar",1,0),"")</f>
        <v/>
      </c>
      <c r="AC97" s="1" t="str">
        <f>IF(AND(Programme_Grunddaten!$A105="Geprüft",Programme_Grunddaten!AK105&lt;&gt;""),IF(Programme_Grunddaten!AK105="Deutsch",0,IF(Programme_Grunddaten!AK105="Deutsch und Englisch",1,2)),"")</f>
        <v/>
      </c>
      <c r="AD97" s="1" t="str">
        <f>IF(AND(Programme_Grunddaten!$A105="Geprüft",Programme_Grunddaten!AL105&lt;&gt;""),IF(Programme_Grunddaten!AL105="Ja",1,0),"")</f>
        <v/>
      </c>
      <c r="AE97" s="1" t="str">
        <f>IF(AND(Programme_Grunddaten!$A105="Geprüft",Programme_Grunddaten!AM105&lt;&gt;""),IF(Programme_Grunddaten!AM105="Ja",1,0),"")</f>
        <v/>
      </c>
      <c r="AF97" s="1" t="str">
        <f>IF(AND(Programme_Grunddaten!$A105="Geprüft",Programme_Grunddaten!AN105&lt;&gt;""),IF(Programme_Grunddaten!AN105="Ja",1,0),"")</f>
        <v/>
      </c>
      <c r="AG97" s="1" t="str">
        <f>IF(AND(Programme_Grunddaten!$A105="Geprüft",Programme_Grunddaten!AO105&lt;&gt;""),IF(Programme_Grunddaten!AO105="Ja",1,0),"")</f>
        <v/>
      </c>
      <c r="AH97" s="1" t="str">
        <f>IF(AND(Programme_Grunddaten!$A105="Geprüft",Programme_Grunddaten!AP105&lt;&gt;""),IF(Programme_Grunddaten!AP105="Ja",1,0),"")</f>
        <v/>
      </c>
      <c r="AI97" s="1" t="str">
        <f>IF(AND(Programme_Grunddaten!$A105="Geprüft",Programme_Grunddaten!AQ105&lt;&gt;""),IF(Programme_Grunddaten!AQ105="Ja",1,0),"")</f>
        <v/>
      </c>
      <c r="AJ97" s="1" t="str">
        <f>IF(AND(Programme_Grunddaten!$A105="Geprüft",Programme_Grunddaten!AR105&lt;&gt;""),IF(Programme_Grunddaten!AR105="Ja",1,0),"")</f>
        <v/>
      </c>
      <c r="AK97" s="1" t="str">
        <f>IF(AND(Programme_Grunddaten!$A105="Geprüft",Programme_Grunddaten!AS105&lt;&gt;""),IF(Programme_Grunddaten!AS105="Ja",1,0),"")</f>
        <v/>
      </c>
      <c r="AL97" s="1" t="str">
        <f>IF(AND(Programme_Grunddaten!$A105="Geprüft",Programme_Grunddaten!AT105&lt;&gt;""),IF(Programme_Grunddaten!AT105="Ja",1,0),"")</f>
        <v/>
      </c>
      <c r="AM97" s="1" t="str">
        <f>IF(AND(Programme_Grunddaten!$A105="Geprüft",Programme_Grunddaten!AU105&lt;&gt;""),IF(Programme_Grunddaten!AU105="Ja",1,0),"")</f>
        <v/>
      </c>
      <c r="AN97" s="1" t="str">
        <f>IF(AND(Programme_Grunddaten!$A105="Geprüft",Programme_Grunddaten!AV105&lt;&gt;""),IF(Programme_Grunddaten!AV105="Ja",1,0),"")</f>
        <v/>
      </c>
    </row>
    <row r="98" spans="1:40" x14ac:dyDescent="0.3">
      <c r="A98" s="1" t="str">
        <f>IF(AND(Programme_Grunddaten!A106="Geprüft",Programme_Grunddaten!B106&lt;&gt;""),Programme_Grunddaten!B106,"")</f>
        <v/>
      </c>
      <c r="B98" s="1" t="str">
        <f>IF(AND(Programme_Grunddaten!$A106="Geprüft",Programme_Grunddaten!I106&lt;&gt;""),IF(Programme_Grunddaten!I106="Ja",1,0),"")</f>
        <v/>
      </c>
      <c r="C98" s="1" t="str">
        <f>IF(AND(Programme_Grunddaten!$A106="Geprüft",Programme_Grunddaten!J106&lt;&gt;""),IF(Programme_Grunddaten!J106="Ja",1,0),"")</f>
        <v/>
      </c>
      <c r="D98" s="1" t="str">
        <f>IF(AND(Programme_Grunddaten!$A106="Geprüft",Programme_Grunddaten!K106&lt;&gt;""),IF(Programme_Grunddaten!K106="Ja",1,0),"")</f>
        <v/>
      </c>
      <c r="E98" s="1" t="str">
        <f>IF(AND(Programme_Grunddaten!$A106="Geprüft",Programme_Grunddaten!L106&lt;&gt;""),IF(Programme_Grunddaten!L106="Abo / befristete Lizenz",1,0),"")</f>
        <v/>
      </c>
      <c r="F98" s="1" t="str">
        <f>IF(AND(Programme_Grunddaten!$A106="Geprüft",Programme_Grunddaten!M106&lt;&gt;""),IF(Programme_Grunddaten!M106="Ja",1,0),"")</f>
        <v/>
      </c>
      <c r="G98" s="1" t="str">
        <f>IF(AND(Programme_Grunddaten!$A106="Geprüft",Programme_Grunddaten!N106&lt;&gt;""),IF(Programme_Grunddaten!N106="Ja",1,0),"")</f>
        <v/>
      </c>
      <c r="H98" s="1" t="str">
        <f>IF(AND(Programme_Grunddaten!$A106="Geprüft",Programme_Grunddaten!O106&lt;&gt;""),IF(Programme_Grunddaten!O106="Deutschland",0,IF(Programme_Grunddaten!O106="EU",1,2)),"")</f>
        <v/>
      </c>
      <c r="I98" s="1" t="str">
        <f>IF(AND(Programme_Grunddaten!$A106="Geprüft",Programme_Grunddaten!P106&lt;&gt;""),IF(Programme_Grunddaten!P106="Ja",1,0),"")</f>
        <v/>
      </c>
      <c r="J98" s="1" t="str">
        <f>IF(AND(Programme_Grunddaten!$A106="Geprüft",Programme_Grunddaten!Q106&lt;&gt;""),IF(Programme_Grunddaten!Q106="geschlossenes System",1,0),"")</f>
        <v/>
      </c>
      <c r="K98" s="1" t="str">
        <f>IF(AND(Programme_Grunddaten!$A106="Geprüft",Programme_Grunddaten!R106&lt;&gt;""),IF(Programme_Grunddaten!R106="Ja",1,0),"")</f>
        <v/>
      </c>
      <c r="L98" s="1" t="str">
        <f>IF(AND(Programme_Grunddaten!$A106="Geprüft",Programme_Grunddaten!T106&lt;&gt;""),IF(Programme_Grunddaten!T106="Ja",1,0),"")</f>
        <v/>
      </c>
      <c r="M98" s="1" t="str">
        <f>IF(AND(Programme_Grunddaten!$A106="Geprüft",Programme_Grunddaten!U106&lt;&gt;""),IF(Programme_Grunddaten!U106="Ja",1,0),"")</f>
        <v/>
      </c>
      <c r="N98" s="1" t="str">
        <f>IF(AND(Programme_Grunddaten!$A106="Geprüft",Programme_Grunddaten!V106&lt;&gt;""),IF(Programme_Grunddaten!V106="Ja",1,0),"")</f>
        <v/>
      </c>
      <c r="O98" s="1" t="str">
        <f>IF(AND(Programme_Grunddaten!$A106="Geprüft",Programme_Grunddaten!W106&lt;&gt;""),IF(Programme_Grunddaten!W106="Ja",1,0),"")</f>
        <v/>
      </c>
      <c r="P98" s="1" t="str">
        <f>IF(AND(Programme_Grunddaten!$A106="Geprüft",Programme_Grunddaten!X106&lt;&gt;""),IF(Programme_Grunddaten!X106="Ja",1,0),"")</f>
        <v/>
      </c>
      <c r="Q98" s="1" t="str">
        <f>IF(AND(Programme_Grunddaten!$A106="Geprüft",Programme_Grunddaten!Y106&lt;&gt;""),IF(Programme_Grunddaten!Y106="Ja",1,0),"")</f>
        <v/>
      </c>
      <c r="R98" s="1" t="str">
        <f>IF(AND(Programme_Grunddaten!$A106="Geprüft",Programme_Grunddaten!Z106&lt;&gt;""),IF(Programme_Grunddaten!Z106="Ja",1,0),"")</f>
        <v/>
      </c>
      <c r="S98" s="1" t="str">
        <f>IF(AND(Programme_Grunddaten!$A106="Geprüft",Programme_Grunddaten!AA106&lt;&gt;""),IF(Programme_Grunddaten!AA106="monolithisch",1,0),"")</f>
        <v/>
      </c>
      <c r="T98" s="1" t="str">
        <f>IF(AND(Programme_Grunddaten!$A106="Geprüft",Programme_Grunddaten!AB106&lt;&gt;""),IF(Programme_Grunddaten!AB106="Ja",1,0),"")</f>
        <v/>
      </c>
      <c r="U98" s="1" t="str">
        <f>IF(AND(Programme_Grunddaten!$A106="Geprüft",Programme_Grunddaten!AC106&lt;&gt;""),IF(Programme_Grunddaten!AC106="Ja",1,0),"")</f>
        <v/>
      </c>
      <c r="V98" s="1" t="str">
        <f>IF(AND(Programme_Grunddaten!$A106="Geprüft",Programme_Grunddaten!AD106&lt;&gt;""),IF(Programme_Grunddaten!AD106="Ja",1,0),"")</f>
        <v/>
      </c>
      <c r="W98" s="1" t="str">
        <f>IF(AND(Programme_Grunddaten!$A106="Geprüft",Programme_Grunddaten!AE106&lt;&gt;""),IF(Programme_Grunddaten!AE106="Ja",1,0),"")</f>
        <v/>
      </c>
      <c r="X98" s="1" t="str">
        <f>IF(AND(Programme_Grunddaten!$A106="Geprüft",Programme_Grunddaten!AF106&lt;&gt;""),IF(Programme_Grunddaten!AF106="Ja",1,0),"")</f>
        <v/>
      </c>
      <c r="Y98" s="1" t="str">
        <f>IF(AND(Programme_Grunddaten!$A106="Geprüft",Programme_Grunddaten!AG106&lt;&gt;""),IF(Programme_Grunddaten!AG106="Ja",1,0),"")</f>
        <v/>
      </c>
      <c r="Z98" s="1" t="str">
        <f>IF(AND(Programme_Grunddaten!$A106="Geprüft",Programme_Grunddaten!AH106&lt;&gt;""),IF(Programme_Grunddaten!AH106="Ja",1,0),"")</f>
        <v/>
      </c>
      <c r="AA98" s="1" t="str">
        <f>IF(AND(Programme_Grunddaten!$A106="Geprüft",Programme_Grunddaten!AI106&lt;&gt;""),IF(Programme_Grunddaten!AI106="Ja",1,0),"")</f>
        <v/>
      </c>
      <c r="AB98" s="1" t="str">
        <f>IF(AND(Programme_Grunddaten!$A106="Geprüft",Programme_Grunddaten!AJ106&lt;&gt;""),IF(Programme_Grunddaten!AJ106="individuell programmierbar",1,0),"")</f>
        <v/>
      </c>
      <c r="AC98" s="1" t="str">
        <f>IF(AND(Programme_Grunddaten!$A106="Geprüft",Programme_Grunddaten!AK106&lt;&gt;""),IF(Programme_Grunddaten!AK106="Deutsch",0,IF(Programme_Grunddaten!AK106="Deutsch und Englisch",1,2)),"")</f>
        <v/>
      </c>
      <c r="AD98" s="1" t="str">
        <f>IF(AND(Programme_Grunddaten!$A106="Geprüft",Programme_Grunddaten!AL106&lt;&gt;""),IF(Programme_Grunddaten!AL106="Ja",1,0),"")</f>
        <v/>
      </c>
      <c r="AE98" s="1" t="str">
        <f>IF(AND(Programme_Grunddaten!$A106="Geprüft",Programme_Grunddaten!AM106&lt;&gt;""),IF(Programme_Grunddaten!AM106="Ja",1,0),"")</f>
        <v/>
      </c>
      <c r="AF98" s="1" t="str">
        <f>IF(AND(Programme_Grunddaten!$A106="Geprüft",Programme_Grunddaten!AN106&lt;&gt;""),IF(Programme_Grunddaten!AN106="Ja",1,0),"")</f>
        <v/>
      </c>
      <c r="AG98" s="1" t="str">
        <f>IF(AND(Programme_Grunddaten!$A106="Geprüft",Programme_Grunddaten!AO106&lt;&gt;""),IF(Programme_Grunddaten!AO106="Ja",1,0),"")</f>
        <v/>
      </c>
      <c r="AH98" s="1" t="str">
        <f>IF(AND(Programme_Grunddaten!$A106="Geprüft",Programme_Grunddaten!AP106&lt;&gt;""),IF(Programme_Grunddaten!AP106="Ja",1,0),"")</f>
        <v/>
      </c>
      <c r="AI98" s="1" t="str">
        <f>IF(AND(Programme_Grunddaten!$A106="Geprüft",Programme_Grunddaten!AQ106&lt;&gt;""),IF(Programme_Grunddaten!AQ106="Ja",1,0),"")</f>
        <v/>
      </c>
      <c r="AJ98" s="1" t="str">
        <f>IF(AND(Programme_Grunddaten!$A106="Geprüft",Programme_Grunddaten!AR106&lt;&gt;""),IF(Programme_Grunddaten!AR106="Ja",1,0),"")</f>
        <v/>
      </c>
      <c r="AK98" s="1" t="str">
        <f>IF(AND(Programme_Grunddaten!$A106="Geprüft",Programme_Grunddaten!AS106&lt;&gt;""),IF(Programme_Grunddaten!AS106="Ja",1,0),"")</f>
        <v/>
      </c>
      <c r="AL98" s="1" t="str">
        <f>IF(AND(Programme_Grunddaten!$A106="Geprüft",Programme_Grunddaten!AT106&lt;&gt;""),IF(Programme_Grunddaten!AT106="Ja",1,0),"")</f>
        <v/>
      </c>
      <c r="AM98" s="1" t="str">
        <f>IF(AND(Programme_Grunddaten!$A106="Geprüft",Programme_Grunddaten!AU106&lt;&gt;""),IF(Programme_Grunddaten!AU106="Ja",1,0),"")</f>
        <v/>
      </c>
      <c r="AN98" s="1" t="str">
        <f>IF(AND(Programme_Grunddaten!$A106="Geprüft",Programme_Grunddaten!AV106&lt;&gt;""),IF(Programme_Grunddaten!AV106="Ja",1,0),"")</f>
        <v/>
      </c>
    </row>
    <row r="99" spans="1:40" x14ac:dyDescent="0.3">
      <c r="A99" s="1" t="str">
        <f>IF(AND(Programme_Grunddaten!A107="Geprüft",Programme_Grunddaten!B107&lt;&gt;""),Programme_Grunddaten!B107,"")</f>
        <v/>
      </c>
      <c r="B99" s="1" t="str">
        <f>IF(AND(Programme_Grunddaten!$A107="Geprüft",Programme_Grunddaten!I107&lt;&gt;""),IF(Programme_Grunddaten!I107="Ja",1,0),"")</f>
        <v/>
      </c>
      <c r="C99" s="1" t="str">
        <f>IF(AND(Programme_Grunddaten!$A107="Geprüft",Programme_Grunddaten!J107&lt;&gt;""),IF(Programme_Grunddaten!J107="Ja",1,0),"")</f>
        <v/>
      </c>
      <c r="D99" s="1" t="str">
        <f>IF(AND(Programme_Grunddaten!$A107="Geprüft",Programme_Grunddaten!K107&lt;&gt;""),IF(Programme_Grunddaten!K107="Ja",1,0),"")</f>
        <v/>
      </c>
      <c r="E99" s="1" t="str">
        <f>IF(AND(Programme_Grunddaten!$A107="Geprüft",Programme_Grunddaten!L107&lt;&gt;""),IF(Programme_Grunddaten!L107="Abo / befristete Lizenz",1,0),"")</f>
        <v/>
      </c>
      <c r="F99" s="1" t="str">
        <f>IF(AND(Programme_Grunddaten!$A107="Geprüft",Programme_Grunddaten!M107&lt;&gt;""),IF(Programme_Grunddaten!M107="Ja",1,0),"")</f>
        <v/>
      </c>
      <c r="G99" s="1" t="str">
        <f>IF(AND(Programme_Grunddaten!$A107="Geprüft",Programme_Grunddaten!N107&lt;&gt;""),IF(Programme_Grunddaten!N107="Ja",1,0),"")</f>
        <v/>
      </c>
      <c r="H99" s="1" t="str">
        <f>IF(AND(Programme_Grunddaten!$A107="Geprüft",Programme_Grunddaten!O107&lt;&gt;""),IF(Programme_Grunddaten!O107="Deutschland",0,IF(Programme_Grunddaten!O107="EU",1,2)),"")</f>
        <v/>
      </c>
      <c r="I99" s="1" t="str">
        <f>IF(AND(Programme_Grunddaten!$A107="Geprüft",Programme_Grunddaten!P107&lt;&gt;""),IF(Programme_Grunddaten!P107="Ja",1,0),"")</f>
        <v/>
      </c>
      <c r="J99" s="1" t="str">
        <f>IF(AND(Programme_Grunddaten!$A107="Geprüft",Programme_Grunddaten!Q107&lt;&gt;""),IF(Programme_Grunddaten!Q107="geschlossenes System",1,0),"")</f>
        <v/>
      </c>
      <c r="K99" s="1" t="str">
        <f>IF(AND(Programme_Grunddaten!$A107="Geprüft",Programme_Grunddaten!R107&lt;&gt;""),IF(Programme_Grunddaten!R107="Ja",1,0),"")</f>
        <v/>
      </c>
      <c r="L99" s="1" t="str">
        <f>IF(AND(Programme_Grunddaten!$A107="Geprüft",Programme_Grunddaten!T107&lt;&gt;""),IF(Programme_Grunddaten!T107="Ja",1,0),"")</f>
        <v/>
      </c>
      <c r="M99" s="1" t="str">
        <f>IF(AND(Programme_Grunddaten!$A107="Geprüft",Programme_Grunddaten!U107&lt;&gt;""),IF(Programme_Grunddaten!U107="Ja",1,0),"")</f>
        <v/>
      </c>
      <c r="N99" s="1" t="str">
        <f>IF(AND(Programme_Grunddaten!$A107="Geprüft",Programme_Grunddaten!V107&lt;&gt;""),IF(Programme_Grunddaten!V107="Ja",1,0),"")</f>
        <v/>
      </c>
      <c r="O99" s="1" t="str">
        <f>IF(AND(Programme_Grunddaten!$A107="Geprüft",Programme_Grunddaten!W107&lt;&gt;""),IF(Programme_Grunddaten!W107="Ja",1,0),"")</f>
        <v/>
      </c>
      <c r="P99" s="1" t="str">
        <f>IF(AND(Programme_Grunddaten!$A107="Geprüft",Programme_Grunddaten!X107&lt;&gt;""),IF(Programme_Grunddaten!X107="Ja",1,0),"")</f>
        <v/>
      </c>
      <c r="Q99" s="1" t="str">
        <f>IF(AND(Programme_Grunddaten!$A107="Geprüft",Programme_Grunddaten!Y107&lt;&gt;""),IF(Programme_Grunddaten!Y107="Ja",1,0),"")</f>
        <v/>
      </c>
      <c r="R99" s="1" t="str">
        <f>IF(AND(Programme_Grunddaten!$A107="Geprüft",Programme_Grunddaten!Z107&lt;&gt;""),IF(Programme_Grunddaten!Z107="Ja",1,0),"")</f>
        <v/>
      </c>
      <c r="S99" s="1" t="str">
        <f>IF(AND(Programme_Grunddaten!$A107="Geprüft",Programme_Grunddaten!AA107&lt;&gt;""),IF(Programme_Grunddaten!AA107="monolithisch",1,0),"")</f>
        <v/>
      </c>
      <c r="T99" s="1" t="str">
        <f>IF(AND(Programme_Grunddaten!$A107="Geprüft",Programme_Grunddaten!AB107&lt;&gt;""),IF(Programme_Grunddaten!AB107="Ja",1,0),"")</f>
        <v/>
      </c>
      <c r="U99" s="1" t="str">
        <f>IF(AND(Programme_Grunddaten!$A107="Geprüft",Programme_Grunddaten!AC107&lt;&gt;""),IF(Programme_Grunddaten!AC107="Ja",1,0),"")</f>
        <v/>
      </c>
      <c r="V99" s="1" t="str">
        <f>IF(AND(Programme_Grunddaten!$A107="Geprüft",Programme_Grunddaten!AD107&lt;&gt;""),IF(Programme_Grunddaten!AD107="Ja",1,0),"")</f>
        <v/>
      </c>
      <c r="W99" s="1" t="str">
        <f>IF(AND(Programme_Grunddaten!$A107="Geprüft",Programme_Grunddaten!AE107&lt;&gt;""),IF(Programme_Grunddaten!AE107="Ja",1,0),"")</f>
        <v/>
      </c>
      <c r="X99" s="1" t="str">
        <f>IF(AND(Programme_Grunddaten!$A107="Geprüft",Programme_Grunddaten!AF107&lt;&gt;""),IF(Programme_Grunddaten!AF107="Ja",1,0),"")</f>
        <v/>
      </c>
      <c r="Y99" s="1" t="str">
        <f>IF(AND(Programme_Grunddaten!$A107="Geprüft",Programme_Grunddaten!AG107&lt;&gt;""),IF(Programme_Grunddaten!AG107="Ja",1,0),"")</f>
        <v/>
      </c>
      <c r="Z99" s="1" t="str">
        <f>IF(AND(Programme_Grunddaten!$A107="Geprüft",Programme_Grunddaten!AH107&lt;&gt;""),IF(Programme_Grunddaten!AH107="Ja",1,0),"")</f>
        <v/>
      </c>
      <c r="AA99" s="1" t="str">
        <f>IF(AND(Programme_Grunddaten!$A107="Geprüft",Programme_Grunddaten!AI107&lt;&gt;""),IF(Programme_Grunddaten!AI107="Ja",1,0),"")</f>
        <v/>
      </c>
      <c r="AB99" s="1" t="str">
        <f>IF(AND(Programme_Grunddaten!$A107="Geprüft",Programme_Grunddaten!AJ107&lt;&gt;""),IF(Programme_Grunddaten!AJ107="individuell programmierbar",1,0),"")</f>
        <v/>
      </c>
      <c r="AC99" s="1" t="str">
        <f>IF(AND(Programme_Grunddaten!$A107="Geprüft",Programme_Grunddaten!AK107&lt;&gt;""),IF(Programme_Grunddaten!AK107="Deutsch",0,IF(Programme_Grunddaten!AK107="Deutsch und Englisch",1,2)),"")</f>
        <v/>
      </c>
      <c r="AD99" s="1" t="str">
        <f>IF(AND(Programme_Grunddaten!$A107="Geprüft",Programme_Grunddaten!AL107&lt;&gt;""),IF(Programme_Grunddaten!AL107="Ja",1,0),"")</f>
        <v/>
      </c>
      <c r="AE99" s="1" t="str">
        <f>IF(AND(Programme_Grunddaten!$A107="Geprüft",Programme_Grunddaten!AM107&lt;&gt;""),IF(Programme_Grunddaten!AM107="Ja",1,0),"")</f>
        <v/>
      </c>
      <c r="AF99" s="1" t="str">
        <f>IF(AND(Programme_Grunddaten!$A107="Geprüft",Programme_Grunddaten!AN107&lt;&gt;""),IF(Programme_Grunddaten!AN107="Ja",1,0),"")</f>
        <v/>
      </c>
      <c r="AG99" s="1" t="str">
        <f>IF(AND(Programme_Grunddaten!$A107="Geprüft",Programme_Grunddaten!AO107&lt;&gt;""),IF(Programme_Grunddaten!AO107="Ja",1,0),"")</f>
        <v/>
      </c>
      <c r="AH99" s="1" t="str">
        <f>IF(AND(Programme_Grunddaten!$A107="Geprüft",Programme_Grunddaten!AP107&lt;&gt;""),IF(Programme_Grunddaten!AP107="Ja",1,0),"")</f>
        <v/>
      </c>
      <c r="AI99" s="1" t="str">
        <f>IF(AND(Programme_Grunddaten!$A107="Geprüft",Programme_Grunddaten!AQ107&lt;&gt;""),IF(Programme_Grunddaten!AQ107="Ja",1,0),"")</f>
        <v/>
      </c>
      <c r="AJ99" s="1" t="str">
        <f>IF(AND(Programme_Grunddaten!$A107="Geprüft",Programme_Grunddaten!AR107&lt;&gt;""),IF(Programme_Grunddaten!AR107="Ja",1,0),"")</f>
        <v/>
      </c>
      <c r="AK99" s="1" t="str">
        <f>IF(AND(Programme_Grunddaten!$A107="Geprüft",Programme_Grunddaten!AS107&lt;&gt;""),IF(Programme_Grunddaten!AS107="Ja",1,0),"")</f>
        <v/>
      </c>
      <c r="AL99" s="1" t="str">
        <f>IF(AND(Programme_Grunddaten!$A107="Geprüft",Programme_Grunddaten!AT107&lt;&gt;""),IF(Programme_Grunddaten!AT107="Ja",1,0),"")</f>
        <v/>
      </c>
      <c r="AM99" s="1" t="str">
        <f>IF(AND(Programme_Grunddaten!$A107="Geprüft",Programme_Grunddaten!AU107&lt;&gt;""),IF(Programme_Grunddaten!AU107="Ja",1,0),"")</f>
        <v/>
      </c>
      <c r="AN99" s="1" t="str">
        <f>IF(AND(Programme_Grunddaten!$A107="Geprüft",Programme_Grunddaten!AV107&lt;&gt;""),IF(Programme_Grunddaten!AV107="Ja",1,0),"")</f>
        <v/>
      </c>
    </row>
    <row r="100" spans="1:40" x14ac:dyDescent="0.3">
      <c r="A100" s="1" t="str">
        <f>IF(AND(Programme_Grunddaten!A108="Geprüft",Programme_Grunddaten!B108&lt;&gt;""),Programme_Grunddaten!B108,"")</f>
        <v/>
      </c>
      <c r="B100" s="1" t="str">
        <f>IF(AND(Programme_Grunddaten!$A108="Geprüft",Programme_Grunddaten!I108&lt;&gt;""),IF(Programme_Grunddaten!I108="Ja",1,0),"")</f>
        <v/>
      </c>
      <c r="C100" s="1" t="str">
        <f>IF(AND(Programme_Grunddaten!$A108="Geprüft",Programme_Grunddaten!J108&lt;&gt;""),IF(Programme_Grunddaten!J108="Ja",1,0),"")</f>
        <v/>
      </c>
      <c r="D100" s="1" t="str">
        <f>IF(AND(Programme_Grunddaten!$A108="Geprüft",Programme_Grunddaten!K108&lt;&gt;""),IF(Programme_Grunddaten!K108="Ja",1,0),"")</f>
        <v/>
      </c>
      <c r="E100" s="1" t="str">
        <f>IF(AND(Programme_Grunddaten!$A108="Geprüft",Programme_Grunddaten!L108&lt;&gt;""),IF(Programme_Grunddaten!L108="Abo / befristete Lizenz",1,0),"")</f>
        <v/>
      </c>
      <c r="F100" s="1" t="str">
        <f>IF(AND(Programme_Grunddaten!$A108="Geprüft",Programme_Grunddaten!M108&lt;&gt;""),IF(Programme_Grunddaten!M108="Ja",1,0),"")</f>
        <v/>
      </c>
      <c r="G100" s="1" t="str">
        <f>IF(AND(Programme_Grunddaten!$A108="Geprüft",Programme_Grunddaten!N108&lt;&gt;""),IF(Programme_Grunddaten!N108="Ja",1,0),"")</f>
        <v/>
      </c>
      <c r="H100" s="1" t="str">
        <f>IF(AND(Programme_Grunddaten!$A108="Geprüft",Programme_Grunddaten!O108&lt;&gt;""),IF(Programme_Grunddaten!O108="Deutschland",0,IF(Programme_Grunddaten!O108="EU",1,2)),"")</f>
        <v/>
      </c>
      <c r="I100" s="1" t="str">
        <f>IF(AND(Programme_Grunddaten!$A108="Geprüft",Programme_Grunddaten!P108&lt;&gt;""),IF(Programme_Grunddaten!P108="Ja",1,0),"")</f>
        <v/>
      </c>
      <c r="J100" s="1" t="str">
        <f>IF(AND(Programme_Grunddaten!$A108="Geprüft",Programme_Grunddaten!Q108&lt;&gt;""),IF(Programme_Grunddaten!Q108="geschlossenes System",1,0),"")</f>
        <v/>
      </c>
      <c r="K100" s="1" t="str">
        <f>IF(AND(Programme_Grunddaten!$A108="Geprüft",Programme_Grunddaten!R108&lt;&gt;""),IF(Programme_Grunddaten!R108="Ja",1,0),"")</f>
        <v/>
      </c>
      <c r="L100" s="1" t="str">
        <f>IF(AND(Programme_Grunddaten!$A108="Geprüft",Programme_Grunddaten!T108&lt;&gt;""),IF(Programme_Grunddaten!T108="Ja",1,0),"")</f>
        <v/>
      </c>
      <c r="M100" s="1" t="str">
        <f>IF(AND(Programme_Grunddaten!$A108="Geprüft",Programme_Grunddaten!U108&lt;&gt;""),IF(Programme_Grunddaten!U108="Ja",1,0),"")</f>
        <v/>
      </c>
      <c r="N100" s="1" t="str">
        <f>IF(AND(Programme_Grunddaten!$A108="Geprüft",Programme_Grunddaten!V108&lt;&gt;""),IF(Programme_Grunddaten!V108="Ja",1,0),"")</f>
        <v/>
      </c>
      <c r="O100" s="1" t="str">
        <f>IF(AND(Programme_Grunddaten!$A108="Geprüft",Programme_Grunddaten!W108&lt;&gt;""),IF(Programme_Grunddaten!W108="Ja",1,0),"")</f>
        <v/>
      </c>
      <c r="P100" s="1" t="str">
        <f>IF(AND(Programme_Grunddaten!$A108="Geprüft",Programme_Grunddaten!X108&lt;&gt;""),IF(Programme_Grunddaten!X108="Ja",1,0),"")</f>
        <v/>
      </c>
      <c r="Q100" s="1" t="str">
        <f>IF(AND(Programme_Grunddaten!$A108="Geprüft",Programme_Grunddaten!Y108&lt;&gt;""),IF(Programme_Grunddaten!Y108="Ja",1,0),"")</f>
        <v/>
      </c>
      <c r="R100" s="1" t="str">
        <f>IF(AND(Programme_Grunddaten!$A108="Geprüft",Programme_Grunddaten!Z108&lt;&gt;""),IF(Programme_Grunddaten!Z108="Ja",1,0),"")</f>
        <v/>
      </c>
      <c r="S100" s="1" t="str">
        <f>IF(AND(Programme_Grunddaten!$A108="Geprüft",Programme_Grunddaten!AA108&lt;&gt;""),IF(Programme_Grunddaten!AA108="monolithisch",1,0),"")</f>
        <v/>
      </c>
      <c r="T100" s="1" t="str">
        <f>IF(AND(Programme_Grunddaten!$A108="Geprüft",Programme_Grunddaten!AB108&lt;&gt;""),IF(Programme_Grunddaten!AB108="Ja",1,0),"")</f>
        <v/>
      </c>
      <c r="U100" s="1" t="str">
        <f>IF(AND(Programme_Grunddaten!$A108="Geprüft",Programme_Grunddaten!AC108&lt;&gt;""),IF(Programme_Grunddaten!AC108="Ja",1,0),"")</f>
        <v/>
      </c>
      <c r="V100" s="1" t="str">
        <f>IF(AND(Programme_Grunddaten!$A108="Geprüft",Programme_Grunddaten!AD108&lt;&gt;""),IF(Programme_Grunddaten!AD108="Ja",1,0),"")</f>
        <v/>
      </c>
      <c r="W100" s="1" t="str">
        <f>IF(AND(Programme_Grunddaten!$A108="Geprüft",Programme_Grunddaten!AE108&lt;&gt;""),IF(Programme_Grunddaten!AE108="Ja",1,0),"")</f>
        <v/>
      </c>
      <c r="X100" s="1" t="str">
        <f>IF(AND(Programme_Grunddaten!$A108="Geprüft",Programme_Grunddaten!AF108&lt;&gt;""),IF(Programme_Grunddaten!AF108="Ja",1,0),"")</f>
        <v/>
      </c>
      <c r="Y100" s="1" t="str">
        <f>IF(AND(Programme_Grunddaten!$A108="Geprüft",Programme_Grunddaten!AG108&lt;&gt;""),IF(Programme_Grunddaten!AG108="Ja",1,0),"")</f>
        <v/>
      </c>
      <c r="Z100" s="1" t="str">
        <f>IF(AND(Programme_Grunddaten!$A108="Geprüft",Programme_Grunddaten!AH108&lt;&gt;""),IF(Programme_Grunddaten!AH108="Ja",1,0),"")</f>
        <v/>
      </c>
      <c r="AA100" s="1" t="str">
        <f>IF(AND(Programme_Grunddaten!$A108="Geprüft",Programme_Grunddaten!AI108&lt;&gt;""),IF(Programme_Grunddaten!AI108="Ja",1,0),"")</f>
        <v/>
      </c>
      <c r="AB100" s="1" t="str">
        <f>IF(AND(Programme_Grunddaten!$A108="Geprüft",Programme_Grunddaten!AJ108&lt;&gt;""),IF(Programme_Grunddaten!AJ108="individuell programmierbar",1,0),"")</f>
        <v/>
      </c>
      <c r="AC100" s="1" t="str">
        <f>IF(AND(Programme_Grunddaten!$A108="Geprüft",Programme_Grunddaten!AK108&lt;&gt;""),IF(Programme_Grunddaten!AK108="Deutsch",0,IF(Programme_Grunddaten!AK108="Deutsch und Englisch",1,2)),"")</f>
        <v/>
      </c>
      <c r="AD100" s="1" t="str">
        <f>IF(AND(Programme_Grunddaten!$A108="Geprüft",Programme_Grunddaten!AL108&lt;&gt;""),IF(Programme_Grunddaten!AL108="Ja",1,0),"")</f>
        <v/>
      </c>
      <c r="AE100" s="1" t="str">
        <f>IF(AND(Programme_Grunddaten!$A108="Geprüft",Programme_Grunddaten!AM108&lt;&gt;""),IF(Programme_Grunddaten!AM108="Ja",1,0),"")</f>
        <v/>
      </c>
      <c r="AF100" s="1" t="str">
        <f>IF(AND(Programme_Grunddaten!$A108="Geprüft",Programme_Grunddaten!AN108&lt;&gt;""),IF(Programme_Grunddaten!AN108="Ja",1,0),"")</f>
        <v/>
      </c>
      <c r="AG100" s="1" t="str">
        <f>IF(AND(Programme_Grunddaten!$A108="Geprüft",Programme_Grunddaten!AO108&lt;&gt;""),IF(Programme_Grunddaten!AO108="Ja",1,0),"")</f>
        <v/>
      </c>
      <c r="AH100" s="1" t="str">
        <f>IF(AND(Programme_Grunddaten!$A108="Geprüft",Programme_Grunddaten!AP108&lt;&gt;""),IF(Programme_Grunddaten!AP108="Ja",1,0),"")</f>
        <v/>
      </c>
      <c r="AI100" s="1" t="str">
        <f>IF(AND(Programme_Grunddaten!$A108="Geprüft",Programme_Grunddaten!AQ108&lt;&gt;""),IF(Programme_Grunddaten!AQ108="Ja",1,0),"")</f>
        <v/>
      </c>
      <c r="AJ100" s="1" t="str">
        <f>IF(AND(Programme_Grunddaten!$A108="Geprüft",Programme_Grunddaten!AR108&lt;&gt;""),IF(Programme_Grunddaten!AR108="Ja",1,0),"")</f>
        <v/>
      </c>
      <c r="AK100" s="1" t="str">
        <f>IF(AND(Programme_Grunddaten!$A108="Geprüft",Programme_Grunddaten!AS108&lt;&gt;""),IF(Programme_Grunddaten!AS108="Ja",1,0),"")</f>
        <v/>
      </c>
      <c r="AL100" s="1" t="str">
        <f>IF(AND(Programme_Grunddaten!$A108="Geprüft",Programme_Grunddaten!AT108&lt;&gt;""),IF(Programme_Grunddaten!AT108="Ja",1,0),"")</f>
        <v/>
      </c>
      <c r="AM100" s="1" t="str">
        <f>IF(AND(Programme_Grunddaten!$A108="Geprüft",Programme_Grunddaten!AU108&lt;&gt;""),IF(Programme_Grunddaten!AU108="Ja",1,0),"")</f>
        <v/>
      </c>
      <c r="AN100" s="1" t="str">
        <f>IF(AND(Programme_Grunddaten!$A108="Geprüft",Programme_Grunddaten!AV108&lt;&gt;""),IF(Programme_Grunddaten!AV108="Ja",1,0),"")</f>
        <v/>
      </c>
    </row>
    <row r="101" spans="1:40" x14ac:dyDescent="0.3">
      <c r="A101" s="1" t="str">
        <f>IF(AND(Programme_Grunddaten!A109="Geprüft",Programme_Grunddaten!B109&lt;&gt;""),Programme_Grunddaten!B109,"")</f>
        <v/>
      </c>
      <c r="B101" s="1" t="str">
        <f>IF(AND(Programme_Grunddaten!$A109="Geprüft",Programme_Grunddaten!I109&lt;&gt;""),IF(Programme_Grunddaten!I109="Ja",1,0),"")</f>
        <v/>
      </c>
      <c r="C101" s="1" t="str">
        <f>IF(AND(Programme_Grunddaten!$A109="Geprüft",Programme_Grunddaten!J109&lt;&gt;""),IF(Programme_Grunddaten!J109="Ja",1,0),"")</f>
        <v/>
      </c>
      <c r="D101" s="1" t="str">
        <f>IF(AND(Programme_Grunddaten!$A109="Geprüft",Programme_Grunddaten!K109&lt;&gt;""),IF(Programme_Grunddaten!K109="Ja",1,0),"")</f>
        <v/>
      </c>
      <c r="E101" s="1" t="str">
        <f>IF(AND(Programme_Grunddaten!$A109="Geprüft",Programme_Grunddaten!L109&lt;&gt;""),IF(Programme_Grunddaten!L109="Abo / befristete Lizenz",1,0),"")</f>
        <v/>
      </c>
      <c r="F101" s="1" t="str">
        <f>IF(AND(Programme_Grunddaten!$A109="Geprüft",Programme_Grunddaten!M109&lt;&gt;""),IF(Programme_Grunddaten!M109="Ja",1,0),"")</f>
        <v/>
      </c>
      <c r="G101" s="1" t="str">
        <f>IF(AND(Programme_Grunddaten!$A109="Geprüft",Programme_Grunddaten!N109&lt;&gt;""),IF(Programme_Grunddaten!N109="Ja",1,0),"")</f>
        <v/>
      </c>
      <c r="H101" s="1" t="str">
        <f>IF(AND(Programme_Grunddaten!$A109="Geprüft",Programme_Grunddaten!O109&lt;&gt;""),IF(Programme_Grunddaten!O109="Deutschland",0,IF(Programme_Grunddaten!O109="EU",1,2)),"")</f>
        <v/>
      </c>
      <c r="I101" s="1" t="str">
        <f>IF(AND(Programme_Grunddaten!$A109="Geprüft",Programme_Grunddaten!P109&lt;&gt;""),IF(Programme_Grunddaten!P109="Ja",1,0),"")</f>
        <v/>
      </c>
      <c r="J101" s="1" t="str">
        <f>IF(AND(Programme_Grunddaten!$A109="Geprüft",Programme_Grunddaten!Q109&lt;&gt;""),IF(Programme_Grunddaten!Q109="geschlossenes System",1,0),"")</f>
        <v/>
      </c>
      <c r="K101" s="1" t="str">
        <f>IF(AND(Programme_Grunddaten!$A109="Geprüft",Programme_Grunddaten!R109&lt;&gt;""),IF(Programme_Grunddaten!R109="Ja",1,0),"")</f>
        <v/>
      </c>
      <c r="L101" s="1" t="str">
        <f>IF(AND(Programme_Grunddaten!$A109="Geprüft",Programme_Grunddaten!T109&lt;&gt;""),IF(Programme_Grunddaten!T109="Ja",1,0),"")</f>
        <v/>
      </c>
      <c r="M101" s="1" t="str">
        <f>IF(AND(Programme_Grunddaten!$A109="Geprüft",Programme_Grunddaten!U109&lt;&gt;""),IF(Programme_Grunddaten!U109="Ja",1,0),"")</f>
        <v/>
      </c>
      <c r="N101" s="1" t="str">
        <f>IF(AND(Programme_Grunddaten!$A109="Geprüft",Programme_Grunddaten!V109&lt;&gt;""),IF(Programme_Grunddaten!V109="Ja",1,0),"")</f>
        <v/>
      </c>
      <c r="O101" s="1" t="str">
        <f>IF(AND(Programme_Grunddaten!$A109="Geprüft",Programme_Grunddaten!W109&lt;&gt;""),IF(Programme_Grunddaten!W109="Ja",1,0),"")</f>
        <v/>
      </c>
      <c r="P101" s="1" t="str">
        <f>IF(AND(Programme_Grunddaten!$A109="Geprüft",Programme_Grunddaten!X109&lt;&gt;""),IF(Programme_Grunddaten!X109="Ja",1,0),"")</f>
        <v/>
      </c>
      <c r="Q101" s="1" t="str">
        <f>IF(AND(Programme_Grunddaten!$A109="Geprüft",Programme_Grunddaten!Y109&lt;&gt;""),IF(Programme_Grunddaten!Y109="Ja",1,0),"")</f>
        <v/>
      </c>
      <c r="R101" s="1" t="str">
        <f>IF(AND(Programme_Grunddaten!$A109="Geprüft",Programme_Grunddaten!Z109&lt;&gt;""),IF(Programme_Grunddaten!Z109="Ja",1,0),"")</f>
        <v/>
      </c>
      <c r="S101" s="1" t="str">
        <f>IF(AND(Programme_Grunddaten!$A109="Geprüft",Programme_Grunddaten!AA109&lt;&gt;""),IF(Programme_Grunddaten!AA109="monolithisch",1,0),"")</f>
        <v/>
      </c>
      <c r="T101" s="1" t="str">
        <f>IF(AND(Programme_Grunddaten!$A109="Geprüft",Programme_Grunddaten!AB109&lt;&gt;""),IF(Programme_Grunddaten!AB109="Ja",1,0),"")</f>
        <v/>
      </c>
      <c r="U101" s="1" t="str">
        <f>IF(AND(Programme_Grunddaten!$A109="Geprüft",Programme_Grunddaten!AC109&lt;&gt;""),IF(Programme_Grunddaten!AC109="Ja",1,0),"")</f>
        <v/>
      </c>
      <c r="V101" s="1" t="str">
        <f>IF(AND(Programme_Grunddaten!$A109="Geprüft",Programme_Grunddaten!AD109&lt;&gt;""),IF(Programme_Grunddaten!AD109="Ja",1,0),"")</f>
        <v/>
      </c>
      <c r="W101" s="1" t="str">
        <f>IF(AND(Programme_Grunddaten!$A109="Geprüft",Programme_Grunddaten!AE109&lt;&gt;""),IF(Programme_Grunddaten!AE109="Ja",1,0),"")</f>
        <v/>
      </c>
      <c r="X101" s="1" t="str">
        <f>IF(AND(Programme_Grunddaten!$A109="Geprüft",Programme_Grunddaten!AF109&lt;&gt;""),IF(Programme_Grunddaten!AF109="Ja",1,0),"")</f>
        <v/>
      </c>
      <c r="Y101" s="1" t="str">
        <f>IF(AND(Programme_Grunddaten!$A109="Geprüft",Programme_Grunddaten!AG109&lt;&gt;""),IF(Programme_Grunddaten!AG109="Ja",1,0),"")</f>
        <v/>
      </c>
      <c r="Z101" s="1" t="str">
        <f>IF(AND(Programme_Grunddaten!$A109="Geprüft",Programme_Grunddaten!AH109&lt;&gt;""),IF(Programme_Grunddaten!AH109="Ja",1,0),"")</f>
        <v/>
      </c>
      <c r="AA101" s="1" t="str">
        <f>IF(AND(Programme_Grunddaten!$A109="Geprüft",Programme_Grunddaten!AI109&lt;&gt;""),IF(Programme_Grunddaten!AI109="Ja",1,0),"")</f>
        <v/>
      </c>
      <c r="AB101" s="1" t="str">
        <f>IF(AND(Programme_Grunddaten!$A109="Geprüft",Programme_Grunddaten!AJ109&lt;&gt;""),IF(Programme_Grunddaten!AJ109="individuell programmierbar",1,0),"")</f>
        <v/>
      </c>
      <c r="AC101" s="1" t="str">
        <f>IF(AND(Programme_Grunddaten!$A109="Geprüft",Programme_Grunddaten!AK109&lt;&gt;""),IF(Programme_Grunddaten!AK109="Deutsch",0,IF(Programme_Grunddaten!AK109="Deutsch und Englisch",1,2)),"")</f>
        <v/>
      </c>
      <c r="AD101" s="1" t="str">
        <f>IF(AND(Programme_Grunddaten!$A109="Geprüft",Programme_Grunddaten!AL109&lt;&gt;""),IF(Programme_Grunddaten!AL109="Ja",1,0),"")</f>
        <v/>
      </c>
      <c r="AE101" s="1" t="str">
        <f>IF(AND(Programme_Grunddaten!$A109="Geprüft",Programme_Grunddaten!AM109&lt;&gt;""),IF(Programme_Grunddaten!AM109="Ja",1,0),"")</f>
        <v/>
      </c>
      <c r="AF101" s="1" t="str">
        <f>IF(AND(Programme_Grunddaten!$A109="Geprüft",Programme_Grunddaten!AN109&lt;&gt;""),IF(Programme_Grunddaten!AN109="Ja",1,0),"")</f>
        <v/>
      </c>
      <c r="AG101" s="1" t="str">
        <f>IF(AND(Programme_Grunddaten!$A109="Geprüft",Programme_Grunddaten!AO109&lt;&gt;""),IF(Programme_Grunddaten!AO109="Ja",1,0),"")</f>
        <v/>
      </c>
      <c r="AH101" s="1" t="str">
        <f>IF(AND(Programme_Grunddaten!$A109="Geprüft",Programme_Grunddaten!AP109&lt;&gt;""),IF(Programme_Grunddaten!AP109="Ja",1,0),"")</f>
        <v/>
      </c>
      <c r="AI101" s="1" t="str">
        <f>IF(AND(Programme_Grunddaten!$A109="Geprüft",Programme_Grunddaten!AQ109&lt;&gt;""),IF(Programme_Grunddaten!AQ109="Ja",1,0),"")</f>
        <v/>
      </c>
      <c r="AJ101" s="1" t="str">
        <f>IF(AND(Programme_Grunddaten!$A109="Geprüft",Programme_Grunddaten!AR109&lt;&gt;""),IF(Programme_Grunddaten!AR109="Ja",1,0),"")</f>
        <v/>
      </c>
      <c r="AK101" s="1" t="str">
        <f>IF(AND(Programme_Grunddaten!$A109="Geprüft",Programme_Grunddaten!AS109&lt;&gt;""),IF(Programme_Grunddaten!AS109="Ja",1,0),"")</f>
        <v/>
      </c>
      <c r="AL101" s="1" t="str">
        <f>IF(AND(Programme_Grunddaten!$A109="Geprüft",Programme_Grunddaten!AT109&lt;&gt;""),IF(Programme_Grunddaten!AT109="Ja",1,0),"")</f>
        <v/>
      </c>
      <c r="AM101" s="1" t="str">
        <f>IF(AND(Programme_Grunddaten!$A109="Geprüft",Programme_Grunddaten!AU109&lt;&gt;""),IF(Programme_Grunddaten!AU109="Ja",1,0),"")</f>
        <v/>
      </c>
      <c r="AN101" s="1" t="str">
        <f>IF(AND(Programme_Grunddaten!$A109="Geprüft",Programme_Grunddaten!AV109&lt;&gt;""),IF(Programme_Grunddaten!AV109="Ja",1,0),"")</f>
        <v/>
      </c>
    </row>
    <row r="102" spans="1:40" x14ac:dyDescent="0.3">
      <c r="A102" s="1" t="str">
        <f>IF(AND(Programme_Grunddaten!A110="Geprüft",Programme_Grunddaten!B110&lt;&gt;""),Programme_Grunddaten!B110,"")</f>
        <v/>
      </c>
      <c r="B102" s="1" t="str">
        <f>IF(AND(Programme_Grunddaten!$A110="Geprüft",Programme_Grunddaten!I110&lt;&gt;""),IF(Programme_Grunddaten!I110="Ja",1,0),"")</f>
        <v/>
      </c>
      <c r="C102" s="1" t="str">
        <f>IF(AND(Programme_Grunddaten!$A110="Geprüft",Programme_Grunddaten!J110&lt;&gt;""),IF(Programme_Grunddaten!J110="Ja",1,0),"")</f>
        <v/>
      </c>
      <c r="D102" s="1" t="str">
        <f>IF(AND(Programme_Grunddaten!$A110="Geprüft",Programme_Grunddaten!K110&lt;&gt;""),IF(Programme_Grunddaten!K110="Ja",1,0),"")</f>
        <v/>
      </c>
      <c r="E102" s="1" t="str">
        <f>IF(AND(Programme_Grunddaten!$A110="Geprüft",Programme_Grunddaten!L110&lt;&gt;""),IF(Programme_Grunddaten!L110="Abo / befristete Lizenz",1,0),"")</f>
        <v/>
      </c>
      <c r="F102" s="1" t="str">
        <f>IF(AND(Programme_Grunddaten!$A110="Geprüft",Programme_Grunddaten!M110&lt;&gt;""),IF(Programme_Grunddaten!M110="Ja",1,0),"")</f>
        <v/>
      </c>
      <c r="G102" s="1" t="str">
        <f>IF(AND(Programme_Grunddaten!$A110="Geprüft",Programme_Grunddaten!N110&lt;&gt;""),IF(Programme_Grunddaten!N110="Ja",1,0),"")</f>
        <v/>
      </c>
      <c r="H102" s="1" t="str">
        <f>IF(AND(Programme_Grunddaten!$A110="Geprüft",Programme_Grunddaten!O110&lt;&gt;""),IF(Programme_Grunddaten!O110="Deutschland",0,IF(Programme_Grunddaten!O110="EU",1,2)),"")</f>
        <v/>
      </c>
      <c r="I102" s="1" t="str">
        <f>IF(AND(Programme_Grunddaten!$A110="Geprüft",Programme_Grunddaten!P110&lt;&gt;""),IF(Programme_Grunddaten!P110="Ja",1,0),"")</f>
        <v/>
      </c>
      <c r="J102" s="1" t="str">
        <f>IF(AND(Programme_Grunddaten!$A110="Geprüft",Programme_Grunddaten!Q110&lt;&gt;""),IF(Programme_Grunddaten!Q110="geschlossenes System",1,0),"")</f>
        <v/>
      </c>
      <c r="K102" s="1" t="str">
        <f>IF(AND(Programme_Grunddaten!$A110="Geprüft",Programme_Grunddaten!R110&lt;&gt;""),IF(Programme_Grunddaten!R110="Ja",1,0),"")</f>
        <v/>
      </c>
      <c r="L102" s="1" t="str">
        <f>IF(AND(Programme_Grunddaten!$A110="Geprüft",Programme_Grunddaten!T110&lt;&gt;""),IF(Programme_Grunddaten!T110="Ja",1,0),"")</f>
        <v/>
      </c>
      <c r="M102" s="1" t="str">
        <f>IF(AND(Programme_Grunddaten!$A110="Geprüft",Programme_Grunddaten!U110&lt;&gt;""),IF(Programme_Grunddaten!U110="Ja",1,0),"")</f>
        <v/>
      </c>
      <c r="N102" s="1" t="str">
        <f>IF(AND(Programme_Grunddaten!$A110="Geprüft",Programme_Grunddaten!V110&lt;&gt;""),IF(Programme_Grunddaten!V110="Ja",1,0),"")</f>
        <v/>
      </c>
      <c r="O102" s="1" t="str">
        <f>IF(AND(Programme_Grunddaten!$A110="Geprüft",Programme_Grunddaten!W110&lt;&gt;""),IF(Programme_Grunddaten!W110="Ja",1,0),"")</f>
        <v/>
      </c>
      <c r="P102" s="1" t="str">
        <f>IF(AND(Programme_Grunddaten!$A110="Geprüft",Programme_Grunddaten!X110&lt;&gt;""),IF(Programme_Grunddaten!X110="Ja",1,0),"")</f>
        <v/>
      </c>
      <c r="Q102" s="1" t="str">
        <f>IF(AND(Programme_Grunddaten!$A110="Geprüft",Programme_Grunddaten!Y110&lt;&gt;""),IF(Programme_Grunddaten!Y110="Ja",1,0),"")</f>
        <v/>
      </c>
      <c r="R102" s="1" t="str">
        <f>IF(AND(Programme_Grunddaten!$A110="Geprüft",Programme_Grunddaten!Z110&lt;&gt;""),IF(Programme_Grunddaten!Z110="Ja",1,0),"")</f>
        <v/>
      </c>
      <c r="S102" s="1" t="str">
        <f>IF(AND(Programme_Grunddaten!$A110="Geprüft",Programme_Grunddaten!AA110&lt;&gt;""),IF(Programme_Grunddaten!AA110="monolithisch",1,0),"")</f>
        <v/>
      </c>
      <c r="T102" s="1" t="str">
        <f>IF(AND(Programme_Grunddaten!$A110="Geprüft",Programme_Grunddaten!AB110&lt;&gt;""),IF(Programme_Grunddaten!AB110="Ja",1,0),"")</f>
        <v/>
      </c>
      <c r="U102" s="1" t="str">
        <f>IF(AND(Programme_Grunddaten!$A110="Geprüft",Programme_Grunddaten!AC110&lt;&gt;""),IF(Programme_Grunddaten!AC110="Ja",1,0),"")</f>
        <v/>
      </c>
      <c r="V102" s="1" t="str">
        <f>IF(AND(Programme_Grunddaten!$A110="Geprüft",Programme_Grunddaten!AD110&lt;&gt;""),IF(Programme_Grunddaten!AD110="Ja",1,0),"")</f>
        <v/>
      </c>
      <c r="W102" s="1" t="str">
        <f>IF(AND(Programme_Grunddaten!$A110="Geprüft",Programme_Grunddaten!AE110&lt;&gt;""),IF(Programme_Grunddaten!AE110="Ja",1,0),"")</f>
        <v/>
      </c>
      <c r="X102" s="1" t="str">
        <f>IF(AND(Programme_Grunddaten!$A110="Geprüft",Programme_Grunddaten!AF110&lt;&gt;""),IF(Programme_Grunddaten!AF110="Ja",1,0),"")</f>
        <v/>
      </c>
      <c r="Y102" s="1" t="str">
        <f>IF(AND(Programme_Grunddaten!$A110="Geprüft",Programme_Grunddaten!AG110&lt;&gt;""),IF(Programme_Grunddaten!AG110="Ja",1,0),"")</f>
        <v/>
      </c>
      <c r="Z102" s="1" t="str">
        <f>IF(AND(Programme_Grunddaten!$A110="Geprüft",Programme_Grunddaten!AH110&lt;&gt;""),IF(Programme_Grunddaten!AH110="Ja",1,0),"")</f>
        <v/>
      </c>
      <c r="AA102" s="1" t="str">
        <f>IF(AND(Programme_Grunddaten!$A110="Geprüft",Programme_Grunddaten!AI110&lt;&gt;""),IF(Programme_Grunddaten!AI110="Ja",1,0),"")</f>
        <v/>
      </c>
      <c r="AB102" s="1" t="str">
        <f>IF(AND(Programme_Grunddaten!$A110="Geprüft",Programme_Grunddaten!AJ110&lt;&gt;""),IF(Programme_Grunddaten!AJ110="individuell programmierbar",1,0),"")</f>
        <v/>
      </c>
      <c r="AC102" s="1" t="str">
        <f>IF(AND(Programme_Grunddaten!$A110="Geprüft",Programme_Grunddaten!AK110&lt;&gt;""),IF(Programme_Grunddaten!AK110="Deutsch",0,IF(Programme_Grunddaten!AK110="Deutsch und Englisch",1,2)),"")</f>
        <v/>
      </c>
      <c r="AD102" s="1" t="str">
        <f>IF(AND(Programme_Grunddaten!$A110="Geprüft",Programme_Grunddaten!AL110&lt;&gt;""),IF(Programme_Grunddaten!AL110="Ja",1,0),"")</f>
        <v/>
      </c>
      <c r="AE102" s="1" t="str">
        <f>IF(AND(Programme_Grunddaten!$A110="Geprüft",Programme_Grunddaten!AM110&lt;&gt;""),IF(Programme_Grunddaten!AM110="Ja",1,0),"")</f>
        <v/>
      </c>
      <c r="AF102" s="1" t="str">
        <f>IF(AND(Programme_Grunddaten!$A110="Geprüft",Programme_Grunddaten!AN110&lt;&gt;""),IF(Programme_Grunddaten!AN110="Ja",1,0),"")</f>
        <v/>
      </c>
      <c r="AG102" s="1" t="str">
        <f>IF(AND(Programme_Grunddaten!$A110="Geprüft",Programme_Grunddaten!AO110&lt;&gt;""),IF(Programme_Grunddaten!AO110="Ja",1,0),"")</f>
        <v/>
      </c>
      <c r="AH102" s="1" t="str">
        <f>IF(AND(Programme_Grunddaten!$A110="Geprüft",Programme_Grunddaten!AP110&lt;&gt;""),IF(Programme_Grunddaten!AP110="Ja",1,0),"")</f>
        <v/>
      </c>
      <c r="AI102" s="1" t="str">
        <f>IF(AND(Programme_Grunddaten!$A110="Geprüft",Programme_Grunddaten!AQ110&lt;&gt;""),IF(Programme_Grunddaten!AQ110="Ja",1,0),"")</f>
        <v/>
      </c>
      <c r="AJ102" s="1" t="str">
        <f>IF(AND(Programme_Grunddaten!$A110="Geprüft",Programme_Grunddaten!AR110&lt;&gt;""),IF(Programme_Grunddaten!AR110="Ja",1,0),"")</f>
        <v/>
      </c>
      <c r="AK102" s="1" t="str">
        <f>IF(AND(Programme_Grunddaten!$A110="Geprüft",Programme_Grunddaten!AS110&lt;&gt;""),IF(Programme_Grunddaten!AS110="Ja",1,0),"")</f>
        <v/>
      </c>
      <c r="AL102" s="1" t="str">
        <f>IF(AND(Programme_Grunddaten!$A110="Geprüft",Programme_Grunddaten!AT110&lt;&gt;""),IF(Programme_Grunddaten!AT110="Ja",1,0),"")</f>
        <v/>
      </c>
      <c r="AM102" s="1" t="str">
        <f>IF(AND(Programme_Grunddaten!$A110="Geprüft",Programme_Grunddaten!AU110&lt;&gt;""),IF(Programme_Grunddaten!AU110="Ja",1,0),"")</f>
        <v/>
      </c>
      <c r="AN102" s="1" t="str">
        <f>IF(AND(Programme_Grunddaten!$A110="Geprüft",Programme_Grunddaten!AV110&lt;&gt;""),IF(Programme_Grunddaten!AV110="Ja",1,0),"")</f>
        <v/>
      </c>
    </row>
    <row r="103" spans="1:40" x14ac:dyDescent="0.3">
      <c r="A103" s="1" t="str">
        <f>IF(AND(Programme_Grunddaten!A111="Geprüft",Programme_Grunddaten!B111&lt;&gt;""),Programme_Grunddaten!B111,"")</f>
        <v/>
      </c>
      <c r="B103" s="1" t="str">
        <f>IF(AND(Programme_Grunddaten!$A111="Geprüft",Programme_Grunddaten!I111&lt;&gt;""),IF(Programme_Grunddaten!I111="Ja",1,0),"")</f>
        <v/>
      </c>
      <c r="C103" s="1" t="str">
        <f>IF(AND(Programme_Grunddaten!$A111="Geprüft",Programme_Grunddaten!J111&lt;&gt;""),IF(Programme_Grunddaten!J111="Ja",1,0),"")</f>
        <v/>
      </c>
      <c r="D103" s="1" t="str">
        <f>IF(AND(Programme_Grunddaten!$A111="Geprüft",Programme_Grunddaten!K111&lt;&gt;""),IF(Programme_Grunddaten!K111="Ja",1,0),"")</f>
        <v/>
      </c>
      <c r="E103" s="1" t="str">
        <f>IF(AND(Programme_Grunddaten!$A111="Geprüft",Programme_Grunddaten!L111&lt;&gt;""),IF(Programme_Grunddaten!L111="Abo / befristete Lizenz",1,0),"")</f>
        <v/>
      </c>
      <c r="F103" s="1" t="str">
        <f>IF(AND(Programme_Grunddaten!$A111="Geprüft",Programme_Grunddaten!M111&lt;&gt;""),IF(Programme_Grunddaten!M111="Ja",1,0),"")</f>
        <v/>
      </c>
      <c r="G103" s="1" t="str">
        <f>IF(AND(Programme_Grunddaten!$A111="Geprüft",Programme_Grunddaten!N111&lt;&gt;""),IF(Programme_Grunddaten!N111="Ja",1,0),"")</f>
        <v/>
      </c>
      <c r="H103" s="1" t="str">
        <f>IF(AND(Programme_Grunddaten!$A111="Geprüft",Programme_Grunddaten!O111&lt;&gt;""),IF(Programme_Grunddaten!O111="Deutschland",0,IF(Programme_Grunddaten!O111="EU",1,2)),"")</f>
        <v/>
      </c>
      <c r="I103" s="1" t="str">
        <f>IF(AND(Programme_Grunddaten!$A111="Geprüft",Programme_Grunddaten!P111&lt;&gt;""),IF(Programme_Grunddaten!P111="Ja",1,0),"")</f>
        <v/>
      </c>
      <c r="J103" s="1" t="str">
        <f>IF(AND(Programme_Grunddaten!$A111="Geprüft",Programme_Grunddaten!Q111&lt;&gt;""),IF(Programme_Grunddaten!Q111="geschlossenes System",1,0),"")</f>
        <v/>
      </c>
      <c r="K103" s="1" t="str">
        <f>IF(AND(Programme_Grunddaten!$A111="Geprüft",Programme_Grunddaten!R111&lt;&gt;""),IF(Programme_Grunddaten!R111="Ja",1,0),"")</f>
        <v/>
      </c>
      <c r="L103" s="1" t="str">
        <f>IF(AND(Programme_Grunddaten!$A111="Geprüft",Programme_Grunddaten!T111&lt;&gt;""),IF(Programme_Grunddaten!T111="Ja",1,0),"")</f>
        <v/>
      </c>
      <c r="M103" s="1" t="str">
        <f>IF(AND(Programme_Grunddaten!$A111="Geprüft",Programme_Grunddaten!U111&lt;&gt;""),IF(Programme_Grunddaten!U111="Ja",1,0),"")</f>
        <v/>
      </c>
      <c r="N103" s="1" t="str">
        <f>IF(AND(Programme_Grunddaten!$A111="Geprüft",Programme_Grunddaten!V111&lt;&gt;""),IF(Programme_Grunddaten!V111="Ja",1,0),"")</f>
        <v/>
      </c>
      <c r="O103" s="1" t="str">
        <f>IF(AND(Programme_Grunddaten!$A111="Geprüft",Programme_Grunddaten!W111&lt;&gt;""),IF(Programme_Grunddaten!W111="Ja",1,0),"")</f>
        <v/>
      </c>
      <c r="P103" s="1" t="str">
        <f>IF(AND(Programme_Grunddaten!$A111="Geprüft",Programme_Grunddaten!X111&lt;&gt;""),IF(Programme_Grunddaten!X111="Ja",1,0),"")</f>
        <v/>
      </c>
      <c r="Q103" s="1" t="str">
        <f>IF(AND(Programme_Grunddaten!$A111="Geprüft",Programme_Grunddaten!Y111&lt;&gt;""),IF(Programme_Grunddaten!Y111="Ja",1,0),"")</f>
        <v/>
      </c>
      <c r="R103" s="1" t="str">
        <f>IF(AND(Programme_Grunddaten!$A111="Geprüft",Programme_Grunddaten!Z111&lt;&gt;""),IF(Programme_Grunddaten!Z111="Ja",1,0),"")</f>
        <v/>
      </c>
      <c r="S103" s="1" t="str">
        <f>IF(AND(Programme_Grunddaten!$A111="Geprüft",Programme_Grunddaten!AA111&lt;&gt;""),IF(Programme_Grunddaten!AA111="monolithisch",1,0),"")</f>
        <v/>
      </c>
      <c r="T103" s="1" t="str">
        <f>IF(AND(Programme_Grunddaten!$A111="Geprüft",Programme_Grunddaten!AB111&lt;&gt;""),IF(Programme_Grunddaten!AB111="Ja",1,0),"")</f>
        <v/>
      </c>
      <c r="U103" s="1" t="str">
        <f>IF(AND(Programme_Grunddaten!$A111="Geprüft",Programme_Grunddaten!AC111&lt;&gt;""),IF(Programme_Grunddaten!AC111="Ja",1,0),"")</f>
        <v/>
      </c>
      <c r="V103" s="1" t="str">
        <f>IF(AND(Programme_Grunddaten!$A111="Geprüft",Programme_Grunddaten!AD111&lt;&gt;""),IF(Programme_Grunddaten!AD111="Ja",1,0),"")</f>
        <v/>
      </c>
      <c r="W103" s="1" t="str">
        <f>IF(AND(Programme_Grunddaten!$A111="Geprüft",Programme_Grunddaten!AE111&lt;&gt;""),IF(Programme_Grunddaten!AE111="Ja",1,0),"")</f>
        <v/>
      </c>
      <c r="X103" s="1" t="str">
        <f>IF(AND(Programme_Grunddaten!$A111="Geprüft",Programme_Grunddaten!AF111&lt;&gt;""),IF(Programme_Grunddaten!AF111="Ja",1,0),"")</f>
        <v/>
      </c>
      <c r="Y103" s="1" t="str">
        <f>IF(AND(Programme_Grunddaten!$A111="Geprüft",Programme_Grunddaten!AG111&lt;&gt;""),IF(Programme_Grunddaten!AG111="Ja",1,0),"")</f>
        <v/>
      </c>
      <c r="Z103" s="1" t="str">
        <f>IF(AND(Programme_Grunddaten!$A111="Geprüft",Programme_Grunddaten!AH111&lt;&gt;""),IF(Programme_Grunddaten!AH111="Ja",1,0),"")</f>
        <v/>
      </c>
      <c r="AA103" s="1" t="str">
        <f>IF(AND(Programme_Grunddaten!$A111="Geprüft",Programme_Grunddaten!AI111&lt;&gt;""),IF(Programme_Grunddaten!AI111="Ja",1,0),"")</f>
        <v/>
      </c>
      <c r="AB103" s="1" t="str">
        <f>IF(AND(Programme_Grunddaten!$A111="Geprüft",Programme_Grunddaten!AJ111&lt;&gt;""),IF(Programme_Grunddaten!AJ111="individuell programmierbar",1,0),"")</f>
        <v/>
      </c>
      <c r="AC103" s="1" t="str">
        <f>IF(AND(Programme_Grunddaten!$A111="Geprüft",Programme_Grunddaten!AK111&lt;&gt;""),IF(Programme_Grunddaten!AK111="Deutsch",0,IF(Programme_Grunddaten!AK111="Deutsch und Englisch",1,2)),"")</f>
        <v/>
      </c>
      <c r="AD103" s="1" t="str">
        <f>IF(AND(Programme_Grunddaten!$A111="Geprüft",Programme_Grunddaten!AL111&lt;&gt;""),IF(Programme_Grunddaten!AL111="Ja",1,0),"")</f>
        <v/>
      </c>
      <c r="AE103" s="1" t="str">
        <f>IF(AND(Programme_Grunddaten!$A111="Geprüft",Programme_Grunddaten!AM111&lt;&gt;""),IF(Programme_Grunddaten!AM111="Ja",1,0),"")</f>
        <v/>
      </c>
      <c r="AF103" s="1" t="str">
        <f>IF(AND(Programme_Grunddaten!$A111="Geprüft",Programme_Grunddaten!AN111&lt;&gt;""),IF(Programme_Grunddaten!AN111="Ja",1,0),"")</f>
        <v/>
      </c>
      <c r="AG103" s="1" t="str">
        <f>IF(AND(Programme_Grunddaten!$A111="Geprüft",Programme_Grunddaten!AO111&lt;&gt;""),IF(Programme_Grunddaten!AO111="Ja",1,0),"")</f>
        <v/>
      </c>
      <c r="AH103" s="1" t="str">
        <f>IF(AND(Programme_Grunddaten!$A111="Geprüft",Programme_Grunddaten!AP111&lt;&gt;""),IF(Programme_Grunddaten!AP111="Ja",1,0),"")</f>
        <v/>
      </c>
      <c r="AI103" s="1" t="str">
        <f>IF(AND(Programme_Grunddaten!$A111="Geprüft",Programme_Grunddaten!AQ111&lt;&gt;""),IF(Programme_Grunddaten!AQ111="Ja",1,0),"")</f>
        <v/>
      </c>
      <c r="AJ103" s="1" t="str">
        <f>IF(AND(Programme_Grunddaten!$A111="Geprüft",Programme_Grunddaten!AR111&lt;&gt;""),IF(Programme_Grunddaten!AR111="Ja",1,0),"")</f>
        <v/>
      </c>
      <c r="AK103" s="1" t="str">
        <f>IF(AND(Programme_Grunddaten!$A111="Geprüft",Programme_Grunddaten!AS111&lt;&gt;""),IF(Programme_Grunddaten!AS111="Ja",1,0),"")</f>
        <v/>
      </c>
      <c r="AL103" s="1" t="str">
        <f>IF(AND(Programme_Grunddaten!$A111="Geprüft",Programme_Grunddaten!AT111&lt;&gt;""),IF(Programme_Grunddaten!AT111="Ja",1,0),"")</f>
        <v/>
      </c>
      <c r="AM103" s="1" t="str">
        <f>IF(AND(Programme_Grunddaten!$A111="Geprüft",Programme_Grunddaten!AU111&lt;&gt;""),IF(Programme_Grunddaten!AU111="Ja",1,0),"")</f>
        <v/>
      </c>
      <c r="AN103" s="1" t="str">
        <f>IF(AND(Programme_Grunddaten!$A111="Geprüft",Programme_Grunddaten!AV111&lt;&gt;""),IF(Programme_Grunddaten!AV111="Ja",1,0),"")</f>
        <v/>
      </c>
    </row>
    <row r="104" spans="1:40" x14ac:dyDescent="0.3">
      <c r="A104" s="1" t="str">
        <f>IF(AND(Programme_Grunddaten!A112="Geprüft",Programme_Grunddaten!B112&lt;&gt;""),Programme_Grunddaten!B112,"")</f>
        <v/>
      </c>
      <c r="B104" s="1" t="str">
        <f>IF(AND(Programme_Grunddaten!$A112="Geprüft",Programme_Grunddaten!I112&lt;&gt;""),IF(Programme_Grunddaten!I112="Ja",1,0),"")</f>
        <v/>
      </c>
      <c r="C104" s="1" t="str">
        <f>IF(AND(Programme_Grunddaten!$A112="Geprüft",Programme_Grunddaten!J112&lt;&gt;""),IF(Programme_Grunddaten!J112="Ja",1,0),"")</f>
        <v/>
      </c>
      <c r="D104" s="1" t="str">
        <f>IF(AND(Programme_Grunddaten!$A112="Geprüft",Programme_Grunddaten!K112&lt;&gt;""),IF(Programme_Grunddaten!K112="Ja",1,0),"")</f>
        <v/>
      </c>
      <c r="E104" s="1" t="str">
        <f>IF(AND(Programme_Grunddaten!$A112="Geprüft",Programme_Grunddaten!L112&lt;&gt;""),IF(Programme_Grunddaten!L112="Abo / befristete Lizenz",1,0),"")</f>
        <v/>
      </c>
      <c r="F104" s="1" t="str">
        <f>IF(AND(Programme_Grunddaten!$A112="Geprüft",Programme_Grunddaten!M112&lt;&gt;""),IF(Programme_Grunddaten!M112="Ja",1,0),"")</f>
        <v/>
      </c>
      <c r="G104" s="1" t="str">
        <f>IF(AND(Programme_Grunddaten!$A112="Geprüft",Programme_Grunddaten!N112&lt;&gt;""),IF(Programme_Grunddaten!N112="Ja",1,0),"")</f>
        <v/>
      </c>
      <c r="H104" s="1" t="str">
        <f>IF(AND(Programme_Grunddaten!$A112="Geprüft",Programme_Grunddaten!O112&lt;&gt;""),IF(Programme_Grunddaten!O112="Deutschland",0,IF(Programme_Grunddaten!O112="EU",1,2)),"")</f>
        <v/>
      </c>
      <c r="I104" s="1" t="str">
        <f>IF(AND(Programme_Grunddaten!$A112="Geprüft",Programme_Grunddaten!P112&lt;&gt;""),IF(Programme_Grunddaten!P112="Ja",1,0),"")</f>
        <v/>
      </c>
      <c r="J104" s="1" t="str">
        <f>IF(AND(Programme_Grunddaten!$A112="Geprüft",Programme_Grunddaten!Q112&lt;&gt;""),IF(Programme_Grunddaten!Q112="geschlossenes System",1,0),"")</f>
        <v/>
      </c>
      <c r="K104" s="1" t="str">
        <f>IF(AND(Programme_Grunddaten!$A112="Geprüft",Programme_Grunddaten!R112&lt;&gt;""),IF(Programme_Grunddaten!R112="Ja",1,0),"")</f>
        <v/>
      </c>
      <c r="L104" s="1" t="str">
        <f>IF(AND(Programme_Grunddaten!$A112="Geprüft",Programme_Grunddaten!T112&lt;&gt;""),IF(Programme_Grunddaten!T112="Ja",1,0),"")</f>
        <v/>
      </c>
      <c r="M104" s="1" t="str">
        <f>IF(AND(Programme_Grunddaten!$A112="Geprüft",Programme_Grunddaten!U112&lt;&gt;""),IF(Programme_Grunddaten!U112="Ja",1,0),"")</f>
        <v/>
      </c>
      <c r="N104" s="1" t="str">
        <f>IF(AND(Programme_Grunddaten!$A112="Geprüft",Programme_Grunddaten!V112&lt;&gt;""),IF(Programme_Grunddaten!V112="Ja",1,0),"")</f>
        <v/>
      </c>
      <c r="O104" s="1" t="str">
        <f>IF(AND(Programme_Grunddaten!$A112="Geprüft",Programme_Grunddaten!W112&lt;&gt;""),IF(Programme_Grunddaten!W112="Ja",1,0),"")</f>
        <v/>
      </c>
      <c r="P104" s="1" t="str">
        <f>IF(AND(Programme_Grunddaten!$A112="Geprüft",Programme_Grunddaten!X112&lt;&gt;""),IF(Programme_Grunddaten!X112="Ja",1,0),"")</f>
        <v/>
      </c>
      <c r="Q104" s="1" t="str">
        <f>IF(AND(Programme_Grunddaten!$A112="Geprüft",Programme_Grunddaten!Y112&lt;&gt;""),IF(Programme_Grunddaten!Y112="Ja",1,0),"")</f>
        <v/>
      </c>
      <c r="R104" s="1" t="str">
        <f>IF(AND(Programme_Grunddaten!$A112="Geprüft",Programme_Grunddaten!Z112&lt;&gt;""),IF(Programme_Grunddaten!Z112="Ja",1,0),"")</f>
        <v/>
      </c>
      <c r="S104" s="1" t="str">
        <f>IF(AND(Programme_Grunddaten!$A112="Geprüft",Programme_Grunddaten!AA112&lt;&gt;""),IF(Programme_Grunddaten!AA112="monolithisch",1,0),"")</f>
        <v/>
      </c>
      <c r="T104" s="1" t="str">
        <f>IF(AND(Programme_Grunddaten!$A112="Geprüft",Programme_Grunddaten!AB112&lt;&gt;""),IF(Programme_Grunddaten!AB112="Ja",1,0),"")</f>
        <v/>
      </c>
      <c r="U104" s="1" t="str">
        <f>IF(AND(Programme_Grunddaten!$A112="Geprüft",Programme_Grunddaten!AC112&lt;&gt;""),IF(Programme_Grunddaten!AC112="Ja",1,0),"")</f>
        <v/>
      </c>
      <c r="V104" s="1" t="str">
        <f>IF(AND(Programme_Grunddaten!$A112="Geprüft",Programme_Grunddaten!AD112&lt;&gt;""),IF(Programme_Grunddaten!AD112="Ja",1,0),"")</f>
        <v/>
      </c>
      <c r="W104" s="1" t="str">
        <f>IF(AND(Programme_Grunddaten!$A112="Geprüft",Programme_Grunddaten!AE112&lt;&gt;""),IF(Programme_Grunddaten!AE112="Ja",1,0),"")</f>
        <v/>
      </c>
      <c r="X104" s="1" t="str">
        <f>IF(AND(Programme_Grunddaten!$A112="Geprüft",Programme_Grunddaten!AF112&lt;&gt;""),IF(Programme_Grunddaten!AF112="Ja",1,0),"")</f>
        <v/>
      </c>
      <c r="Y104" s="1" t="str">
        <f>IF(AND(Programme_Grunddaten!$A112="Geprüft",Programme_Grunddaten!AG112&lt;&gt;""),IF(Programme_Grunddaten!AG112="Ja",1,0),"")</f>
        <v/>
      </c>
      <c r="Z104" s="1" t="str">
        <f>IF(AND(Programme_Grunddaten!$A112="Geprüft",Programme_Grunddaten!AH112&lt;&gt;""),IF(Programme_Grunddaten!AH112="Ja",1,0),"")</f>
        <v/>
      </c>
      <c r="AA104" s="1" t="str">
        <f>IF(AND(Programme_Grunddaten!$A112="Geprüft",Programme_Grunddaten!AI112&lt;&gt;""),IF(Programme_Grunddaten!AI112="Ja",1,0),"")</f>
        <v/>
      </c>
      <c r="AB104" s="1" t="str">
        <f>IF(AND(Programme_Grunddaten!$A112="Geprüft",Programme_Grunddaten!AJ112&lt;&gt;""),IF(Programme_Grunddaten!AJ112="individuell programmierbar",1,0),"")</f>
        <v/>
      </c>
      <c r="AC104" s="1" t="str">
        <f>IF(AND(Programme_Grunddaten!$A112="Geprüft",Programme_Grunddaten!AK112&lt;&gt;""),IF(Programme_Grunddaten!AK112="Deutsch",0,IF(Programme_Grunddaten!AK112="Deutsch und Englisch",1,2)),"")</f>
        <v/>
      </c>
      <c r="AD104" s="1" t="str">
        <f>IF(AND(Programme_Grunddaten!$A112="Geprüft",Programme_Grunddaten!AL112&lt;&gt;""),IF(Programme_Grunddaten!AL112="Ja",1,0),"")</f>
        <v/>
      </c>
      <c r="AE104" s="1" t="str">
        <f>IF(AND(Programme_Grunddaten!$A112="Geprüft",Programme_Grunddaten!AM112&lt;&gt;""),IF(Programme_Grunddaten!AM112="Ja",1,0),"")</f>
        <v/>
      </c>
      <c r="AF104" s="1" t="str">
        <f>IF(AND(Programme_Grunddaten!$A112="Geprüft",Programme_Grunddaten!AN112&lt;&gt;""),IF(Programme_Grunddaten!AN112="Ja",1,0),"")</f>
        <v/>
      </c>
      <c r="AG104" s="1" t="str">
        <f>IF(AND(Programme_Grunddaten!$A112="Geprüft",Programme_Grunddaten!AO112&lt;&gt;""),IF(Programme_Grunddaten!AO112="Ja",1,0),"")</f>
        <v/>
      </c>
      <c r="AH104" s="1" t="str">
        <f>IF(AND(Programme_Grunddaten!$A112="Geprüft",Programme_Grunddaten!AP112&lt;&gt;""),IF(Programme_Grunddaten!AP112="Ja",1,0),"")</f>
        <v/>
      </c>
      <c r="AI104" s="1" t="str">
        <f>IF(AND(Programme_Grunddaten!$A112="Geprüft",Programme_Grunddaten!AQ112&lt;&gt;""),IF(Programme_Grunddaten!AQ112="Ja",1,0),"")</f>
        <v/>
      </c>
      <c r="AJ104" s="1" t="str">
        <f>IF(AND(Programme_Grunddaten!$A112="Geprüft",Programme_Grunddaten!AR112&lt;&gt;""),IF(Programme_Grunddaten!AR112="Ja",1,0),"")</f>
        <v/>
      </c>
      <c r="AK104" s="1" t="str">
        <f>IF(AND(Programme_Grunddaten!$A112="Geprüft",Programme_Grunddaten!AS112&lt;&gt;""),IF(Programme_Grunddaten!AS112="Ja",1,0),"")</f>
        <v/>
      </c>
      <c r="AL104" s="1" t="str">
        <f>IF(AND(Programme_Grunddaten!$A112="Geprüft",Programme_Grunddaten!AT112&lt;&gt;""),IF(Programme_Grunddaten!AT112="Ja",1,0),"")</f>
        <v/>
      </c>
      <c r="AM104" s="1" t="str">
        <f>IF(AND(Programme_Grunddaten!$A112="Geprüft",Programme_Grunddaten!AU112&lt;&gt;""),IF(Programme_Grunddaten!AU112="Ja",1,0),"")</f>
        <v/>
      </c>
      <c r="AN104" s="1" t="str">
        <f>IF(AND(Programme_Grunddaten!$A112="Geprüft",Programme_Grunddaten!AV112&lt;&gt;""),IF(Programme_Grunddaten!AV112="Ja",1,0),"")</f>
        <v/>
      </c>
    </row>
    <row r="105" spans="1:40" x14ac:dyDescent="0.3">
      <c r="A105" s="1" t="str">
        <f>IF(AND(Programme_Grunddaten!A113="Geprüft",Programme_Grunddaten!B113&lt;&gt;""),Programme_Grunddaten!B113,"")</f>
        <v/>
      </c>
      <c r="B105" s="1" t="str">
        <f>IF(AND(Programme_Grunddaten!$A113="Geprüft",Programme_Grunddaten!I113&lt;&gt;""),IF(Programme_Grunddaten!I113="Ja",1,0),"")</f>
        <v/>
      </c>
      <c r="C105" s="1" t="str">
        <f>IF(AND(Programme_Grunddaten!$A113="Geprüft",Programme_Grunddaten!J113&lt;&gt;""),IF(Programme_Grunddaten!J113="Ja",1,0),"")</f>
        <v/>
      </c>
      <c r="D105" s="1" t="str">
        <f>IF(AND(Programme_Grunddaten!$A113="Geprüft",Programme_Grunddaten!K113&lt;&gt;""),IF(Programme_Grunddaten!K113="Ja",1,0),"")</f>
        <v/>
      </c>
      <c r="E105" s="1" t="str">
        <f>IF(AND(Programme_Grunddaten!$A113="Geprüft",Programme_Grunddaten!L113&lt;&gt;""),IF(Programme_Grunddaten!L113="Abo / befristete Lizenz",1,0),"")</f>
        <v/>
      </c>
      <c r="F105" s="1" t="str">
        <f>IF(AND(Programme_Grunddaten!$A113="Geprüft",Programme_Grunddaten!M113&lt;&gt;""),IF(Programme_Grunddaten!M113="Ja",1,0),"")</f>
        <v/>
      </c>
      <c r="G105" s="1" t="str">
        <f>IF(AND(Programme_Grunddaten!$A113="Geprüft",Programme_Grunddaten!N113&lt;&gt;""),IF(Programme_Grunddaten!N113="Ja",1,0),"")</f>
        <v/>
      </c>
      <c r="H105" s="1" t="str">
        <f>IF(AND(Programme_Grunddaten!$A113="Geprüft",Programme_Grunddaten!O113&lt;&gt;""),IF(Programme_Grunddaten!O113="Deutschland",0,IF(Programme_Grunddaten!O113="EU",1,2)),"")</f>
        <v/>
      </c>
      <c r="I105" s="1" t="str">
        <f>IF(AND(Programme_Grunddaten!$A113="Geprüft",Programme_Grunddaten!P113&lt;&gt;""),IF(Programme_Grunddaten!P113="Ja",1,0),"")</f>
        <v/>
      </c>
      <c r="J105" s="1" t="str">
        <f>IF(AND(Programme_Grunddaten!$A113="Geprüft",Programme_Grunddaten!Q113&lt;&gt;""),IF(Programme_Grunddaten!Q113="geschlossenes System",1,0),"")</f>
        <v/>
      </c>
      <c r="K105" s="1" t="str">
        <f>IF(AND(Programme_Grunddaten!$A113="Geprüft",Programme_Grunddaten!R113&lt;&gt;""),IF(Programme_Grunddaten!R113="Ja",1,0),"")</f>
        <v/>
      </c>
      <c r="L105" s="1" t="str">
        <f>IF(AND(Programme_Grunddaten!$A113="Geprüft",Programme_Grunddaten!T113&lt;&gt;""),IF(Programme_Grunddaten!T113="Ja",1,0),"")</f>
        <v/>
      </c>
      <c r="M105" s="1" t="str">
        <f>IF(AND(Programme_Grunddaten!$A113="Geprüft",Programme_Grunddaten!U113&lt;&gt;""),IF(Programme_Grunddaten!U113="Ja",1,0),"")</f>
        <v/>
      </c>
      <c r="N105" s="1" t="str">
        <f>IF(AND(Programme_Grunddaten!$A113="Geprüft",Programme_Grunddaten!V113&lt;&gt;""),IF(Programme_Grunddaten!V113="Ja",1,0),"")</f>
        <v/>
      </c>
      <c r="O105" s="1" t="str">
        <f>IF(AND(Programme_Grunddaten!$A113="Geprüft",Programme_Grunddaten!W113&lt;&gt;""),IF(Programme_Grunddaten!W113="Ja",1,0),"")</f>
        <v/>
      </c>
      <c r="P105" s="1" t="str">
        <f>IF(AND(Programme_Grunddaten!$A113="Geprüft",Programme_Grunddaten!X113&lt;&gt;""),IF(Programme_Grunddaten!X113="Ja",1,0),"")</f>
        <v/>
      </c>
      <c r="Q105" s="1" t="str">
        <f>IF(AND(Programme_Grunddaten!$A113="Geprüft",Programme_Grunddaten!Y113&lt;&gt;""),IF(Programme_Grunddaten!Y113="Ja",1,0),"")</f>
        <v/>
      </c>
      <c r="R105" s="1" t="str">
        <f>IF(AND(Programme_Grunddaten!$A113="Geprüft",Programme_Grunddaten!Z113&lt;&gt;""),IF(Programme_Grunddaten!Z113="Ja",1,0),"")</f>
        <v/>
      </c>
      <c r="S105" s="1" t="str">
        <f>IF(AND(Programme_Grunddaten!$A113="Geprüft",Programme_Grunddaten!AA113&lt;&gt;""),IF(Programme_Grunddaten!AA113="monolithisch",1,0),"")</f>
        <v/>
      </c>
      <c r="T105" s="1" t="str">
        <f>IF(AND(Programme_Grunddaten!$A113="Geprüft",Programme_Grunddaten!AB113&lt;&gt;""),IF(Programme_Grunddaten!AB113="Ja",1,0),"")</f>
        <v/>
      </c>
      <c r="U105" s="1" t="str">
        <f>IF(AND(Programme_Grunddaten!$A113="Geprüft",Programme_Grunddaten!AC113&lt;&gt;""),IF(Programme_Grunddaten!AC113="Ja",1,0),"")</f>
        <v/>
      </c>
      <c r="V105" s="1" t="str">
        <f>IF(AND(Programme_Grunddaten!$A113="Geprüft",Programme_Grunddaten!AD113&lt;&gt;""),IF(Programme_Grunddaten!AD113="Ja",1,0),"")</f>
        <v/>
      </c>
      <c r="W105" s="1" t="str">
        <f>IF(AND(Programme_Grunddaten!$A113="Geprüft",Programme_Grunddaten!AE113&lt;&gt;""),IF(Programme_Grunddaten!AE113="Ja",1,0),"")</f>
        <v/>
      </c>
      <c r="X105" s="1" t="str">
        <f>IF(AND(Programme_Grunddaten!$A113="Geprüft",Programme_Grunddaten!AF113&lt;&gt;""),IF(Programme_Grunddaten!AF113="Ja",1,0),"")</f>
        <v/>
      </c>
      <c r="Y105" s="1" t="str">
        <f>IF(AND(Programme_Grunddaten!$A113="Geprüft",Programme_Grunddaten!AG113&lt;&gt;""),IF(Programme_Grunddaten!AG113="Ja",1,0),"")</f>
        <v/>
      </c>
      <c r="Z105" s="1" t="str">
        <f>IF(AND(Programme_Grunddaten!$A113="Geprüft",Programme_Grunddaten!AH113&lt;&gt;""),IF(Programme_Grunddaten!AH113="Ja",1,0),"")</f>
        <v/>
      </c>
      <c r="AA105" s="1" t="str">
        <f>IF(AND(Programme_Grunddaten!$A113="Geprüft",Programme_Grunddaten!AI113&lt;&gt;""),IF(Programme_Grunddaten!AI113="Ja",1,0),"")</f>
        <v/>
      </c>
      <c r="AB105" s="1" t="str">
        <f>IF(AND(Programme_Grunddaten!$A113="Geprüft",Programme_Grunddaten!AJ113&lt;&gt;""),IF(Programme_Grunddaten!AJ113="individuell programmierbar",1,0),"")</f>
        <v/>
      </c>
      <c r="AC105" s="1" t="str">
        <f>IF(AND(Programme_Grunddaten!$A113="Geprüft",Programme_Grunddaten!AK113&lt;&gt;""),IF(Programme_Grunddaten!AK113="Deutsch",0,IF(Programme_Grunddaten!AK113="Deutsch und Englisch",1,2)),"")</f>
        <v/>
      </c>
      <c r="AD105" s="1" t="str">
        <f>IF(AND(Programme_Grunddaten!$A113="Geprüft",Programme_Grunddaten!AL113&lt;&gt;""),IF(Programme_Grunddaten!AL113="Ja",1,0),"")</f>
        <v/>
      </c>
      <c r="AE105" s="1" t="str">
        <f>IF(AND(Programme_Grunddaten!$A113="Geprüft",Programme_Grunddaten!AM113&lt;&gt;""),IF(Programme_Grunddaten!AM113="Ja",1,0),"")</f>
        <v/>
      </c>
      <c r="AF105" s="1" t="str">
        <f>IF(AND(Programme_Grunddaten!$A113="Geprüft",Programme_Grunddaten!AN113&lt;&gt;""),IF(Programme_Grunddaten!AN113="Ja",1,0),"")</f>
        <v/>
      </c>
      <c r="AG105" s="1" t="str">
        <f>IF(AND(Programme_Grunddaten!$A113="Geprüft",Programme_Grunddaten!AO113&lt;&gt;""),IF(Programme_Grunddaten!AO113="Ja",1,0),"")</f>
        <v/>
      </c>
      <c r="AH105" s="1" t="str">
        <f>IF(AND(Programme_Grunddaten!$A113="Geprüft",Programme_Grunddaten!AP113&lt;&gt;""),IF(Programme_Grunddaten!AP113="Ja",1,0),"")</f>
        <v/>
      </c>
      <c r="AI105" s="1" t="str">
        <f>IF(AND(Programme_Grunddaten!$A113="Geprüft",Programme_Grunddaten!AQ113&lt;&gt;""),IF(Programme_Grunddaten!AQ113="Ja",1,0),"")</f>
        <v/>
      </c>
      <c r="AJ105" s="1" t="str">
        <f>IF(AND(Programme_Grunddaten!$A113="Geprüft",Programme_Grunddaten!AR113&lt;&gt;""),IF(Programme_Grunddaten!AR113="Ja",1,0),"")</f>
        <v/>
      </c>
      <c r="AK105" s="1" t="str">
        <f>IF(AND(Programme_Grunddaten!$A113="Geprüft",Programme_Grunddaten!AS113&lt;&gt;""),IF(Programme_Grunddaten!AS113="Ja",1,0),"")</f>
        <v/>
      </c>
      <c r="AL105" s="1" t="str">
        <f>IF(AND(Programme_Grunddaten!$A113="Geprüft",Programme_Grunddaten!AT113&lt;&gt;""),IF(Programme_Grunddaten!AT113="Ja",1,0),"")</f>
        <v/>
      </c>
      <c r="AM105" s="1" t="str">
        <f>IF(AND(Programme_Grunddaten!$A113="Geprüft",Programme_Grunddaten!AU113&lt;&gt;""),IF(Programme_Grunddaten!AU113="Ja",1,0),"")</f>
        <v/>
      </c>
      <c r="AN105" s="1" t="str">
        <f>IF(AND(Programme_Grunddaten!$A113="Geprüft",Programme_Grunddaten!AV113&lt;&gt;""),IF(Programme_Grunddaten!AV113="Ja",1,0),"")</f>
        <v/>
      </c>
    </row>
    <row r="106" spans="1:40" x14ac:dyDescent="0.3">
      <c r="A106" s="1" t="str">
        <f>IF(AND(Programme_Grunddaten!A114="Geprüft",Programme_Grunddaten!B114&lt;&gt;""),Programme_Grunddaten!B114,"")</f>
        <v/>
      </c>
      <c r="B106" s="1" t="str">
        <f>IF(AND(Programme_Grunddaten!$A114="Geprüft",Programme_Grunddaten!I114&lt;&gt;""),IF(Programme_Grunddaten!I114="Ja",1,0),"")</f>
        <v/>
      </c>
      <c r="C106" s="1" t="str">
        <f>IF(AND(Programme_Grunddaten!$A114="Geprüft",Programme_Grunddaten!J114&lt;&gt;""),IF(Programme_Grunddaten!J114="Ja",1,0),"")</f>
        <v/>
      </c>
      <c r="D106" s="1" t="str">
        <f>IF(AND(Programme_Grunddaten!$A114="Geprüft",Programme_Grunddaten!K114&lt;&gt;""),IF(Programme_Grunddaten!K114="Ja",1,0),"")</f>
        <v/>
      </c>
      <c r="E106" s="1" t="str">
        <f>IF(AND(Programme_Grunddaten!$A114="Geprüft",Programme_Grunddaten!L114&lt;&gt;""),IF(Programme_Grunddaten!L114="Abo / befristete Lizenz",1,0),"")</f>
        <v/>
      </c>
      <c r="F106" s="1" t="str">
        <f>IF(AND(Programme_Grunddaten!$A114="Geprüft",Programme_Grunddaten!M114&lt;&gt;""),IF(Programme_Grunddaten!M114="Ja",1,0),"")</f>
        <v/>
      </c>
      <c r="G106" s="1" t="str">
        <f>IF(AND(Programme_Grunddaten!$A114="Geprüft",Programme_Grunddaten!N114&lt;&gt;""),IF(Programme_Grunddaten!N114="Ja",1,0),"")</f>
        <v/>
      </c>
      <c r="H106" s="1" t="str">
        <f>IF(AND(Programme_Grunddaten!$A114="Geprüft",Programme_Grunddaten!O114&lt;&gt;""),IF(Programme_Grunddaten!O114="Deutschland",0,IF(Programme_Grunddaten!O114="EU",1,2)),"")</f>
        <v/>
      </c>
      <c r="I106" s="1" t="str">
        <f>IF(AND(Programme_Grunddaten!$A114="Geprüft",Programme_Grunddaten!P114&lt;&gt;""),IF(Programme_Grunddaten!P114="Ja",1,0),"")</f>
        <v/>
      </c>
      <c r="J106" s="1" t="str">
        <f>IF(AND(Programme_Grunddaten!$A114="Geprüft",Programme_Grunddaten!Q114&lt;&gt;""),IF(Programme_Grunddaten!Q114="geschlossenes System",1,0),"")</f>
        <v/>
      </c>
      <c r="K106" s="1" t="str">
        <f>IF(AND(Programme_Grunddaten!$A114="Geprüft",Programme_Grunddaten!R114&lt;&gt;""),IF(Programme_Grunddaten!R114="Ja",1,0),"")</f>
        <v/>
      </c>
      <c r="L106" s="1" t="str">
        <f>IF(AND(Programme_Grunddaten!$A114="Geprüft",Programme_Grunddaten!T114&lt;&gt;""),IF(Programme_Grunddaten!T114="Ja",1,0),"")</f>
        <v/>
      </c>
      <c r="M106" s="1" t="str">
        <f>IF(AND(Programme_Grunddaten!$A114="Geprüft",Programme_Grunddaten!U114&lt;&gt;""),IF(Programme_Grunddaten!U114="Ja",1,0),"")</f>
        <v/>
      </c>
      <c r="N106" s="1" t="str">
        <f>IF(AND(Programme_Grunddaten!$A114="Geprüft",Programme_Grunddaten!V114&lt;&gt;""),IF(Programme_Grunddaten!V114="Ja",1,0),"")</f>
        <v/>
      </c>
      <c r="O106" s="1" t="str">
        <f>IF(AND(Programme_Grunddaten!$A114="Geprüft",Programme_Grunddaten!W114&lt;&gt;""),IF(Programme_Grunddaten!W114="Ja",1,0),"")</f>
        <v/>
      </c>
      <c r="P106" s="1" t="str">
        <f>IF(AND(Programme_Grunddaten!$A114="Geprüft",Programme_Grunddaten!X114&lt;&gt;""),IF(Programme_Grunddaten!X114="Ja",1,0),"")</f>
        <v/>
      </c>
      <c r="Q106" s="1" t="str">
        <f>IF(AND(Programme_Grunddaten!$A114="Geprüft",Programme_Grunddaten!Y114&lt;&gt;""),IF(Programme_Grunddaten!Y114="Ja",1,0),"")</f>
        <v/>
      </c>
      <c r="R106" s="1" t="str">
        <f>IF(AND(Programme_Grunddaten!$A114="Geprüft",Programme_Grunddaten!Z114&lt;&gt;""),IF(Programme_Grunddaten!Z114="Ja",1,0),"")</f>
        <v/>
      </c>
      <c r="S106" s="1" t="str">
        <f>IF(AND(Programme_Grunddaten!$A114="Geprüft",Programme_Grunddaten!AA114&lt;&gt;""),IF(Programme_Grunddaten!AA114="monolithisch",1,0),"")</f>
        <v/>
      </c>
      <c r="T106" s="1" t="str">
        <f>IF(AND(Programme_Grunddaten!$A114="Geprüft",Programme_Grunddaten!AB114&lt;&gt;""),IF(Programme_Grunddaten!AB114="Ja",1,0),"")</f>
        <v/>
      </c>
      <c r="U106" s="1" t="str">
        <f>IF(AND(Programme_Grunddaten!$A114="Geprüft",Programme_Grunddaten!AC114&lt;&gt;""),IF(Programme_Grunddaten!AC114="Ja",1,0),"")</f>
        <v/>
      </c>
      <c r="V106" s="1" t="str">
        <f>IF(AND(Programme_Grunddaten!$A114="Geprüft",Programme_Grunddaten!AD114&lt;&gt;""),IF(Programme_Grunddaten!AD114="Ja",1,0),"")</f>
        <v/>
      </c>
      <c r="W106" s="1" t="str">
        <f>IF(AND(Programme_Grunddaten!$A114="Geprüft",Programme_Grunddaten!AE114&lt;&gt;""),IF(Programme_Grunddaten!AE114="Ja",1,0),"")</f>
        <v/>
      </c>
      <c r="X106" s="1" t="str">
        <f>IF(AND(Programme_Grunddaten!$A114="Geprüft",Programme_Grunddaten!AF114&lt;&gt;""),IF(Programme_Grunddaten!AF114="Ja",1,0),"")</f>
        <v/>
      </c>
      <c r="Y106" s="1" t="str">
        <f>IF(AND(Programme_Grunddaten!$A114="Geprüft",Programme_Grunddaten!AG114&lt;&gt;""),IF(Programme_Grunddaten!AG114="Ja",1,0),"")</f>
        <v/>
      </c>
      <c r="Z106" s="1" t="str">
        <f>IF(AND(Programme_Grunddaten!$A114="Geprüft",Programme_Grunddaten!AH114&lt;&gt;""),IF(Programme_Grunddaten!AH114="Ja",1,0),"")</f>
        <v/>
      </c>
      <c r="AA106" s="1" t="str">
        <f>IF(AND(Programme_Grunddaten!$A114="Geprüft",Programme_Grunddaten!AI114&lt;&gt;""),IF(Programme_Grunddaten!AI114="Ja",1,0),"")</f>
        <v/>
      </c>
      <c r="AB106" s="1" t="str">
        <f>IF(AND(Programme_Grunddaten!$A114="Geprüft",Programme_Grunddaten!AJ114&lt;&gt;""),IF(Programme_Grunddaten!AJ114="individuell programmierbar",1,0),"")</f>
        <v/>
      </c>
      <c r="AC106" s="1" t="str">
        <f>IF(AND(Programme_Grunddaten!$A114="Geprüft",Programme_Grunddaten!AK114&lt;&gt;""),IF(Programme_Grunddaten!AK114="Deutsch",0,IF(Programme_Grunddaten!AK114="Deutsch und Englisch",1,2)),"")</f>
        <v/>
      </c>
      <c r="AD106" s="1" t="str">
        <f>IF(AND(Programme_Grunddaten!$A114="Geprüft",Programme_Grunddaten!AL114&lt;&gt;""),IF(Programme_Grunddaten!AL114="Ja",1,0),"")</f>
        <v/>
      </c>
      <c r="AE106" s="1" t="str">
        <f>IF(AND(Programme_Grunddaten!$A114="Geprüft",Programme_Grunddaten!AM114&lt;&gt;""),IF(Programme_Grunddaten!AM114="Ja",1,0),"")</f>
        <v/>
      </c>
      <c r="AF106" s="1" t="str">
        <f>IF(AND(Programme_Grunddaten!$A114="Geprüft",Programme_Grunddaten!AN114&lt;&gt;""),IF(Programme_Grunddaten!AN114="Ja",1,0),"")</f>
        <v/>
      </c>
      <c r="AG106" s="1" t="str">
        <f>IF(AND(Programme_Grunddaten!$A114="Geprüft",Programme_Grunddaten!AO114&lt;&gt;""),IF(Programme_Grunddaten!AO114="Ja",1,0),"")</f>
        <v/>
      </c>
      <c r="AH106" s="1" t="str">
        <f>IF(AND(Programme_Grunddaten!$A114="Geprüft",Programme_Grunddaten!AP114&lt;&gt;""),IF(Programme_Grunddaten!AP114="Ja",1,0),"")</f>
        <v/>
      </c>
      <c r="AI106" s="1" t="str">
        <f>IF(AND(Programme_Grunddaten!$A114="Geprüft",Programme_Grunddaten!AQ114&lt;&gt;""),IF(Programme_Grunddaten!AQ114="Ja",1,0),"")</f>
        <v/>
      </c>
      <c r="AJ106" s="1" t="str">
        <f>IF(AND(Programme_Grunddaten!$A114="Geprüft",Programme_Grunddaten!AR114&lt;&gt;""),IF(Programme_Grunddaten!AR114="Ja",1,0),"")</f>
        <v/>
      </c>
      <c r="AK106" s="1" t="str">
        <f>IF(AND(Programme_Grunddaten!$A114="Geprüft",Programme_Grunddaten!AS114&lt;&gt;""),IF(Programme_Grunddaten!AS114="Ja",1,0),"")</f>
        <v/>
      </c>
      <c r="AL106" s="1" t="str">
        <f>IF(AND(Programme_Grunddaten!$A114="Geprüft",Programme_Grunddaten!AT114&lt;&gt;""),IF(Programme_Grunddaten!AT114="Ja",1,0),"")</f>
        <v/>
      </c>
      <c r="AM106" s="1" t="str">
        <f>IF(AND(Programme_Grunddaten!$A114="Geprüft",Programme_Grunddaten!AU114&lt;&gt;""),IF(Programme_Grunddaten!AU114="Ja",1,0),"")</f>
        <v/>
      </c>
      <c r="AN106" s="1" t="str">
        <f>IF(AND(Programme_Grunddaten!$A114="Geprüft",Programme_Grunddaten!AV114&lt;&gt;""),IF(Programme_Grunddaten!AV114="Ja",1,0),"")</f>
        <v/>
      </c>
    </row>
    <row r="107" spans="1:40" x14ac:dyDescent="0.3">
      <c r="A107" s="1" t="str">
        <f>IF(AND(Programme_Grunddaten!A115="Geprüft",Programme_Grunddaten!B115&lt;&gt;""),Programme_Grunddaten!B115,"")</f>
        <v/>
      </c>
      <c r="B107" s="1" t="str">
        <f>IF(AND(Programme_Grunddaten!$A115="Geprüft",Programme_Grunddaten!I115&lt;&gt;""),IF(Programme_Grunddaten!I115="Ja",1,0),"")</f>
        <v/>
      </c>
      <c r="C107" s="1" t="str">
        <f>IF(AND(Programme_Grunddaten!$A115="Geprüft",Programme_Grunddaten!J115&lt;&gt;""),IF(Programme_Grunddaten!J115="Ja",1,0),"")</f>
        <v/>
      </c>
      <c r="D107" s="1" t="str">
        <f>IF(AND(Programme_Grunddaten!$A115="Geprüft",Programme_Grunddaten!K115&lt;&gt;""),IF(Programme_Grunddaten!K115="Ja",1,0),"")</f>
        <v/>
      </c>
      <c r="E107" s="1" t="str">
        <f>IF(AND(Programme_Grunddaten!$A115="Geprüft",Programme_Grunddaten!L115&lt;&gt;""),IF(Programme_Grunddaten!L115="Abo / befristete Lizenz",1,0),"")</f>
        <v/>
      </c>
      <c r="F107" s="1" t="str">
        <f>IF(AND(Programme_Grunddaten!$A115="Geprüft",Programme_Grunddaten!M115&lt;&gt;""),IF(Programme_Grunddaten!M115="Ja",1,0),"")</f>
        <v/>
      </c>
      <c r="G107" s="1" t="str">
        <f>IF(AND(Programme_Grunddaten!$A115="Geprüft",Programme_Grunddaten!N115&lt;&gt;""),IF(Programme_Grunddaten!N115="Ja",1,0),"")</f>
        <v/>
      </c>
      <c r="H107" s="1" t="str">
        <f>IF(AND(Programme_Grunddaten!$A115="Geprüft",Programme_Grunddaten!O115&lt;&gt;""),IF(Programme_Grunddaten!O115="Deutschland",0,IF(Programme_Grunddaten!O115="EU",1,2)),"")</f>
        <v/>
      </c>
      <c r="I107" s="1" t="str">
        <f>IF(AND(Programme_Grunddaten!$A115="Geprüft",Programme_Grunddaten!P115&lt;&gt;""),IF(Programme_Grunddaten!P115="Ja",1,0),"")</f>
        <v/>
      </c>
      <c r="J107" s="1" t="str">
        <f>IF(AND(Programme_Grunddaten!$A115="Geprüft",Programme_Grunddaten!Q115&lt;&gt;""),IF(Programme_Grunddaten!Q115="geschlossenes System",1,0),"")</f>
        <v/>
      </c>
      <c r="K107" s="1" t="str">
        <f>IF(AND(Programme_Grunddaten!$A115="Geprüft",Programme_Grunddaten!R115&lt;&gt;""),IF(Programme_Grunddaten!R115="Ja",1,0),"")</f>
        <v/>
      </c>
      <c r="L107" s="1" t="str">
        <f>IF(AND(Programme_Grunddaten!$A115="Geprüft",Programme_Grunddaten!T115&lt;&gt;""),IF(Programme_Grunddaten!T115="Ja",1,0),"")</f>
        <v/>
      </c>
      <c r="M107" s="1" t="str">
        <f>IF(AND(Programme_Grunddaten!$A115="Geprüft",Programme_Grunddaten!U115&lt;&gt;""),IF(Programme_Grunddaten!U115="Ja",1,0),"")</f>
        <v/>
      </c>
      <c r="N107" s="1" t="str">
        <f>IF(AND(Programme_Grunddaten!$A115="Geprüft",Programme_Grunddaten!V115&lt;&gt;""),IF(Programme_Grunddaten!V115="Ja",1,0),"")</f>
        <v/>
      </c>
      <c r="O107" s="1" t="str">
        <f>IF(AND(Programme_Grunddaten!$A115="Geprüft",Programme_Grunddaten!W115&lt;&gt;""),IF(Programme_Grunddaten!W115="Ja",1,0),"")</f>
        <v/>
      </c>
      <c r="P107" s="1" t="str">
        <f>IF(AND(Programme_Grunddaten!$A115="Geprüft",Programme_Grunddaten!X115&lt;&gt;""),IF(Programme_Grunddaten!X115="Ja",1,0),"")</f>
        <v/>
      </c>
      <c r="Q107" s="1" t="str">
        <f>IF(AND(Programme_Grunddaten!$A115="Geprüft",Programme_Grunddaten!Y115&lt;&gt;""),IF(Programme_Grunddaten!Y115="Ja",1,0),"")</f>
        <v/>
      </c>
      <c r="R107" s="1" t="str">
        <f>IF(AND(Programme_Grunddaten!$A115="Geprüft",Programme_Grunddaten!Z115&lt;&gt;""),IF(Programme_Grunddaten!Z115="Ja",1,0),"")</f>
        <v/>
      </c>
      <c r="S107" s="1" t="str">
        <f>IF(AND(Programme_Grunddaten!$A115="Geprüft",Programme_Grunddaten!AA115&lt;&gt;""),IF(Programme_Grunddaten!AA115="monolithisch",1,0),"")</f>
        <v/>
      </c>
      <c r="T107" s="1" t="str">
        <f>IF(AND(Programme_Grunddaten!$A115="Geprüft",Programme_Grunddaten!AB115&lt;&gt;""),IF(Programme_Grunddaten!AB115="Ja",1,0),"")</f>
        <v/>
      </c>
      <c r="U107" s="1" t="str">
        <f>IF(AND(Programme_Grunddaten!$A115="Geprüft",Programme_Grunddaten!AC115&lt;&gt;""),IF(Programme_Grunddaten!AC115="Ja",1,0),"")</f>
        <v/>
      </c>
      <c r="V107" s="1" t="str">
        <f>IF(AND(Programme_Grunddaten!$A115="Geprüft",Programme_Grunddaten!AD115&lt;&gt;""),IF(Programme_Grunddaten!AD115="Ja",1,0),"")</f>
        <v/>
      </c>
      <c r="W107" s="1" t="str">
        <f>IF(AND(Programme_Grunddaten!$A115="Geprüft",Programme_Grunddaten!AE115&lt;&gt;""),IF(Programme_Grunddaten!AE115="Ja",1,0),"")</f>
        <v/>
      </c>
      <c r="X107" s="1" t="str">
        <f>IF(AND(Programme_Grunddaten!$A115="Geprüft",Programme_Grunddaten!AF115&lt;&gt;""),IF(Programme_Grunddaten!AF115="Ja",1,0),"")</f>
        <v/>
      </c>
      <c r="Y107" s="1" t="str">
        <f>IF(AND(Programme_Grunddaten!$A115="Geprüft",Programme_Grunddaten!AG115&lt;&gt;""),IF(Programme_Grunddaten!AG115="Ja",1,0),"")</f>
        <v/>
      </c>
      <c r="Z107" s="1" t="str">
        <f>IF(AND(Programme_Grunddaten!$A115="Geprüft",Programme_Grunddaten!AH115&lt;&gt;""),IF(Programme_Grunddaten!AH115="Ja",1,0),"")</f>
        <v/>
      </c>
      <c r="AA107" s="1" t="str">
        <f>IF(AND(Programme_Grunddaten!$A115="Geprüft",Programme_Grunddaten!AI115&lt;&gt;""),IF(Programme_Grunddaten!AI115="Ja",1,0),"")</f>
        <v/>
      </c>
      <c r="AB107" s="1" t="str">
        <f>IF(AND(Programme_Grunddaten!$A115="Geprüft",Programme_Grunddaten!AJ115&lt;&gt;""),IF(Programme_Grunddaten!AJ115="individuell programmierbar",1,0),"")</f>
        <v/>
      </c>
      <c r="AC107" s="1" t="str">
        <f>IF(AND(Programme_Grunddaten!$A115="Geprüft",Programme_Grunddaten!AK115&lt;&gt;""),IF(Programme_Grunddaten!AK115="Deutsch",0,IF(Programme_Grunddaten!AK115="Deutsch und Englisch",1,2)),"")</f>
        <v/>
      </c>
      <c r="AD107" s="1" t="str">
        <f>IF(AND(Programme_Grunddaten!$A115="Geprüft",Programme_Grunddaten!AL115&lt;&gt;""),IF(Programme_Grunddaten!AL115="Ja",1,0),"")</f>
        <v/>
      </c>
      <c r="AE107" s="1" t="str">
        <f>IF(AND(Programme_Grunddaten!$A115="Geprüft",Programme_Grunddaten!AM115&lt;&gt;""),IF(Programme_Grunddaten!AM115="Ja",1,0),"")</f>
        <v/>
      </c>
      <c r="AF107" s="1" t="str">
        <f>IF(AND(Programme_Grunddaten!$A115="Geprüft",Programme_Grunddaten!AN115&lt;&gt;""),IF(Programme_Grunddaten!AN115="Ja",1,0),"")</f>
        <v/>
      </c>
      <c r="AG107" s="1" t="str">
        <f>IF(AND(Programme_Grunddaten!$A115="Geprüft",Programme_Grunddaten!AO115&lt;&gt;""),IF(Programme_Grunddaten!AO115="Ja",1,0),"")</f>
        <v/>
      </c>
      <c r="AH107" s="1" t="str">
        <f>IF(AND(Programme_Grunddaten!$A115="Geprüft",Programme_Grunddaten!AP115&lt;&gt;""),IF(Programme_Grunddaten!AP115="Ja",1,0),"")</f>
        <v/>
      </c>
      <c r="AI107" s="1" t="str">
        <f>IF(AND(Programme_Grunddaten!$A115="Geprüft",Programme_Grunddaten!AQ115&lt;&gt;""),IF(Programme_Grunddaten!AQ115="Ja",1,0),"")</f>
        <v/>
      </c>
      <c r="AJ107" s="1" t="str">
        <f>IF(AND(Programme_Grunddaten!$A115="Geprüft",Programme_Grunddaten!AR115&lt;&gt;""),IF(Programme_Grunddaten!AR115="Ja",1,0),"")</f>
        <v/>
      </c>
      <c r="AK107" s="1" t="str">
        <f>IF(AND(Programme_Grunddaten!$A115="Geprüft",Programme_Grunddaten!AS115&lt;&gt;""),IF(Programme_Grunddaten!AS115="Ja",1,0),"")</f>
        <v/>
      </c>
      <c r="AL107" s="1" t="str">
        <f>IF(AND(Programme_Grunddaten!$A115="Geprüft",Programme_Grunddaten!AT115&lt;&gt;""),IF(Programme_Grunddaten!AT115="Ja",1,0),"")</f>
        <v/>
      </c>
      <c r="AM107" s="1" t="str">
        <f>IF(AND(Programme_Grunddaten!$A115="Geprüft",Programme_Grunddaten!AU115&lt;&gt;""),IF(Programme_Grunddaten!AU115="Ja",1,0),"")</f>
        <v/>
      </c>
      <c r="AN107" s="1" t="str">
        <f>IF(AND(Programme_Grunddaten!$A115="Geprüft",Programme_Grunddaten!AV115&lt;&gt;""),IF(Programme_Grunddaten!AV115="Ja",1,0),"")</f>
        <v/>
      </c>
    </row>
    <row r="108" spans="1:40" x14ac:dyDescent="0.3">
      <c r="A108" s="1" t="str">
        <f>IF(AND(Programme_Grunddaten!A116="Geprüft",Programme_Grunddaten!B116&lt;&gt;""),Programme_Grunddaten!B116,"")</f>
        <v/>
      </c>
      <c r="B108" s="1" t="str">
        <f>IF(AND(Programme_Grunddaten!$A116="Geprüft",Programme_Grunddaten!I116&lt;&gt;""),IF(Programme_Grunddaten!I116="Ja",1,0),"")</f>
        <v/>
      </c>
      <c r="C108" s="1" t="str">
        <f>IF(AND(Programme_Grunddaten!$A116="Geprüft",Programme_Grunddaten!J116&lt;&gt;""),IF(Programme_Grunddaten!J116="Ja",1,0),"")</f>
        <v/>
      </c>
      <c r="D108" s="1" t="str">
        <f>IF(AND(Programme_Grunddaten!$A116="Geprüft",Programme_Grunddaten!K116&lt;&gt;""),IF(Programme_Grunddaten!K116="Ja",1,0),"")</f>
        <v/>
      </c>
      <c r="E108" s="1" t="str">
        <f>IF(AND(Programme_Grunddaten!$A116="Geprüft",Programme_Grunddaten!L116&lt;&gt;""),IF(Programme_Grunddaten!L116="Abo / befristete Lizenz",1,0),"")</f>
        <v/>
      </c>
      <c r="F108" s="1" t="str">
        <f>IF(AND(Programme_Grunddaten!$A116="Geprüft",Programme_Grunddaten!M116&lt;&gt;""),IF(Programme_Grunddaten!M116="Ja",1,0),"")</f>
        <v/>
      </c>
      <c r="G108" s="1" t="str">
        <f>IF(AND(Programme_Grunddaten!$A116="Geprüft",Programme_Grunddaten!N116&lt;&gt;""),IF(Programme_Grunddaten!N116="Ja",1,0),"")</f>
        <v/>
      </c>
      <c r="H108" s="1" t="str">
        <f>IF(AND(Programme_Grunddaten!$A116="Geprüft",Programme_Grunddaten!O116&lt;&gt;""),IF(Programme_Grunddaten!O116="Deutschland",0,IF(Programme_Grunddaten!O116="EU",1,2)),"")</f>
        <v/>
      </c>
      <c r="I108" s="1" t="str">
        <f>IF(AND(Programme_Grunddaten!$A116="Geprüft",Programme_Grunddaten!P116&lt;&gt;""),IF(Programme_Grunddaten!P116="Ja",1,0),"")</f>
        <v/>
      </c>
      <c r="J108" s="1" t="str">
        <f>IF(AND(Programme_Grunddaten!$A116="Geprüft",Programme_Grunddaten!Q116&lt;&gt;""),IF(Programme_Grunddaten!Q116="geschlossenes System",1,0),"")</f>
        <v/>
      </c>
      <c r="K108" s="1" t="str">
        <f>IF(AND(Programme_Grunddaten!$A116="Geprüft",Programme_Grunddaten!R116&lt;&gt;""),IF(Programme_Grunddaten!R116="Ja",1,0),"")</f>
        <v/>
      </c>
      <c r="L108" s="1" t="str">
        <f>IF(AND(Programme_Grunddaten!$A116="Geprüft",Programme_Grunddaten!T116&lt;&gt;""),IF(Programme_Grunddaten!T116="Ja",1,0),"")</f>
        <v/>
      </c>
      <c r="M108" s="1" t="str">
        <f>IF(AND(Programme_Grunddaten!$A116="Geprüft",Programme_Grunddaten!U116&lt;&gt;""),IF(Programme_Grunddaten!U116="Ja",1,0),"")</f>
        <v/>
      </c>
      <c r="N108" s="1" t="str">
        <f>IF(AND(Programme_Grunddaten!$A116="Geprüft",Programme_Grunddaten!V116&lt;&gt;""),IF(Programme_Grunddaten!V116="Ja",1,0),"")</f>
        <v/>
      </c>
      <c r="O108" s="1" t="str">
        <f>IF(AND(Programme_Grunddaten!$A116="Geprüft",Programme_Grunddaten!W116&lt;&gt;""),IF(Programme_Grunddaten!W116="Ja",1,0),"")</f>
        <v/>
      </c>
      <c r="P108" s="1" t="str">
        <f>IF(AND(Programme_Grunddaten!$A116="Geprüft",Programme_Grunddaten!X116&lt;&gt;""),IF(Programme_Grunddaten!X116="Ja",1,0),"")</f>
        <v/>
      </c>
      <c r="Q108" s="1" t="str">
        <f>IF(AND(Programme_Grunddaten!$A116="Geprüft",Programme_Grunddaten!Y116&lt;&gt;""),IF(Programme_Grunddaten!Y116="Ja",1,0),"")</f>
        <v/>
      </c>
      <c r="R108" s="1" t="str">
        <f>IF(AND(Programme_Grunddaten!$A116="Geprüft",Programme_Grunddaten!Z116&lt;&gt;""),IF(Programme_Grunddaten!Z116="Ja",1,0),"")</f>
        <v/>
      </c>
      <c r="S108" s="1" t="str">
        <f>IF(AND(Programme_Grunddaten!$A116="Geprüft",Programme_Grunddaten!AA116&lt;&gt;""),IF(Programme_Grunddaten!AA116="monolithisch",1,0),"")</f>
        <v/>
      </c>
      <c r="T108" s="1" t="str">
        <f>IF(AND(Programme_Grunddaten!$A116="Geprüft",Programme_Grunddaten!AB116&lt;&gt;""),IF(Programme_Grunddaten!AB116="Ja",1,0),"")</f>
        <v/>
      </c>
      <c r="U108" s="1" t="str">
        <f>IF(AND(Programme_Grunddaten!$A116="Geprüft",Programme_Grunddaten!AC116&lt;&gt;""),IF(Programme_Grunddaten!AC116="Ja",1,0),"")</f>
        <v/>
      </c>
      <c r="V108" s="1" t="str">
        <f>IF(AND(Programme_Grunddaten!$A116="Geprüft",Programme_Grunddaten!AD116&lt;&gt;""),IF(Programme_Grunddaten!AD116="Ja",1,0),"")</f>
        <v/>
      </c>
      <c r="W108" s="1" t="str">
        <f>IF(AND(Programme_Grunddaten!$A116="Geprüft",Programme_Grunddaten!AE116&lt;&gt;""),IF(Programme_Grunddaten!AE116="Ja",1,0),"")</f>
        <v/>
      </c>
      <c r="X108" s="1" t="str">
        <f>IF(AND(Programme_Grunddaten!$A116="Geprüft",Programme_Grunddaten!AF116&lt;&gt;""),IF(Programme_Grunddaten!AF116="Ja",1,0),"")</f>
        <v/>
      </c>
      <c r="Y108" s="1" t="str">
        <f>IF(AND(Programme_Grunddaten!$A116="Geprüft",Programme_Grunddaten!AG116&lt;&gt;""),IF(Programme_Grunddaten!AG116="Ja",1,0),"")</f>
        <v/>
      </c>
      <c r="Z108" s="1" t="str">
        <f>IF(AND(Programme_Grunddaten!$A116="Geprüft",Programme_Grunddaten!AH116&lt;&gt;""),IF(Programme_Grunddaten!AH116="Ja",1,0),"")</f>
        <v/>
      </c>
      <c r="AA108" s="1" t="str">
        <f>IF(AND(Programme_Grunddaten!$A116="Geprüft",Programme_Grunddaten!AI116&lt;&gt;""),IF(Programme_Grunddaten!AI116="Ja",1,0),"")</f>
        <v/>
      </c>
      <c r="AB108" s="1" t="str">
        <f>IF(AND(Programme_Grunddaten!$A116="Geprüft",Programme_Grunddaten!AJ116&lt;&gt;""),IF(Programme_Grunddaten!AJ116="individuell programmierbar",1,0),"")</f>
        <v/>
      </c>
      <c r="AC108" s="1" t="str">
        <f>IF(AND(Programme_Grunddaten!$A116="Geprüft",Programme_Grunddaten!AK116&lt;&gt;""),IF(Programme_Grunddaten!AK116="Deutsch",0,IF(Programme_Grunddaten!AK116="Deutsch und Englisch",1,2)),"")</f>
        <v/>
      </c>
      <c r="AD108" s="1" t="str">
        <f>IF(AND(Programme_Grunddaten!$A116="Geprüft",Programme_Grunddaten!AL116&lt;&gt;""),IF(Programme_Grunddaten!AL116="Ja",1,0),"")</f>
        <v/>
      </c>
      <c r="AE108" s="1" t="str">
        <f>IF(AND(Programme_Grunddaten!$A116="Geprüft",Programme_Grunddaten!AM116&lt;&gt;""),IF(Programme_Grunddaten!AM116="Ja",1,0),"")</f>
        <v/>
      </c>
      <c r="AF108" s="1" t="str">
        <f>IF(AND(Programme_Grunddaten!$A116="Geprüft",Programme_Grunddaten!AN116&lt;&gt;""),IF(Programme_Grunddaten!AN116="Ja",1,0),"")</f>
        <v/>
      </c>
      <c r="AG108" s="1" t="str">
        <f>IF(AND(Programme_Grunddaten!$A116="Geprüft",Programme_Grunddaten!AO116&lt;&gt;""),IF(Programme_Grunddaten!AO116="Ja",1,0),"")</f>
        <v/>
      </c>
      <c r="AH108" s="1" t="str">
        <f>IF(AND(Programme_Grunddaten!$A116="Geprüft",Programme_Grunddaten!AP116&lt;&gt;""),IF(Programme_Grunddaten!AP116="Ja",1,0),"")</f>
        <v/>
      </c>
      <c r="AI108" s="1" t="str">
        <f>IF(AND(Programme_Grunddaten!$A116="Geprüft",Programme_Grunddaten!AQ116&lt;&gt;""),IF(Programme_Grunddaten!AQ116="Ja",1,0),"")</f>
        <v/>
      </c>
      <c r="AJ108" s="1" t="str">
        <f>IF(AND(Programme_Grunddaten!$A116="Geprüft",Programme_Grunddaten!AR116&lt;&gt;""),IF(Programme_Grunddaten!AR116="Ja",1,0),"")</f>
        <v/>
      </c>
      <c r="AK108" s="1" t="str">
        <f>IF(AND(Programme_Grunddaten!$A116="Geprüft",Programme_Grunddaten!AS116&lt;&gt;""),IF(Programme_Grunddaten!AS116="Ja",1,0),"")</f>
        <v/>
      </c>
      <c r="AL108" s="1" t="str">
        <f>IF(AND(Programme_Grunddaten!$A116="Geprüft",Programme_Grunddaten!AT116&lt;&gt;""),IF(Programme_Grunddaten!AT116="Ja",1,0),"")</f>
        <v/>
      </c>
      <c r="AM108" s="1" t="str">
        <f>IF(AND(Programme_Grunddaten!$A116="Geprüft",Programme_Grunddaten!AU116&lt;&gt;""),IF(Programme_Grunddaten!AU116="Ja",1,0),"")</f>
        <v/>
      </c>
      <c r="AN108" s="1" t="str">
        <f>IF(AND(Programme_Grunddaten!$A116="Geprüft",Programme_Grunddaten!AV116&lt;&gt;""),IF(Programme_Grunddaten!AV116="Ja",1,0),"")</f>
        <v/>
      </c>
    </row>
    <row r="109" spans="1:40" x14ac:dyDescent="0.3">
      <c r="A109" s="1" t="str">
        <f>IF(AND(Programme_Grunddaten!A117="Geprüft",Programme_Grunddaten!B117&lt;&gt;""),Programme_Grunddaten!B117,"")</f>
        <v/>
      </c>
      <c r="B109" s="1" t="str">
        <f>IF(AND(Programme_Grunddaten!$A117="Geprüft",Programme_Grunddaten!I117&lt;&gt;""),IF(Programme_Grunddaten!I117="Ja",1,0),"")</f>
        <v/>
      </c>
      <c r="C109" s="1" t="str">
        <f>IF(AND(Programme_Grunddaten!$A117="Geprüft",Programme_Grunddaten!J117&lt;&gt;""),IF(Programme_Grunddaten!J117="Ja",1,0),"")</f>
        <v/>
      </c>
      <c r="D109" s="1" t="str">
        <f>IF(AND(Programme_Grunddaten!$A117="Geprüft",Programme_Grunddaten!K117&lt;&gt;""),IF(Programme_Grunddaten!K117="Ja",1,0),"")</f>
        <v/>
      </c>
      <c r="E109" s="1" t="str">
        <f>IF(AND(Programme_Grunddaten!$A117="Geprüft",Programme_Grunddaten!L117&lt;&gt;""),IF(Programme_Grunddaten!L117="Abo / befristete Lizenz",1,0),"")</f>
        <v/>
      </c>
      <c r="F109" s="1" t="str">
        <f>IF(AND(Programme_Grunddaten!$A117="Geprüft",Programme_Grunddaten!M117&lt;&gt;""),IF(Programme_Grunddaten!M117="Ja",1,0),"")</f>
        <v/>
      </c>
      <c r="G109" s="1" t="str">
        <f>IF(AND(Programme_Grunddaten!$A117="Geprüft",Programme_Grunddaten!N117&lt;&gt;""),IF(Programme_Grunddaten!N117="Ja",1,0),"")</f>
        <v/>
      </c>
      <c r="H109" s="1" t="str">
        <f>IF(AND(Programme_Grunddaten!$A117="Geprüft",Programme_Grunddaten!O117&lt;&gt;""),IF(Programme_Grunddaten!O117="Deutschland",0,IF(Programme_Grunddaten!O117="EU",1,2)),"")</f>
        <v/>
      </c>
      <c r="I109" s="1" t="str">
        <f>IF(AND(Programme_Grunddaten!$A117="Geprüft",Programme_Grunddaten!P117&lt;&gt;""),IF(Programme_Grunddaten!P117="Ja",1,0),"")</f>
        <v/>
      </c>
      <c r="J109" s="1" t="str">
        <f>IF(AND(Programme_Grunddaten!$A117="Geprüft",Programme_Grunddaten!Q117&lt;&gt;""),IF(Programme_Grunddaten!Q117="geschlossenes System",1,0),"")</f>
        <v/>
      </c>
      <c r="K109" s="1" t="str">
        <f>IF(AND(Programme_Grunddaten!$A117="Geprüft",Programme_Grunddaten!R117&lt;&gt;""),IF(Programme_Grunddaten!R117="Ja",1,0),"")</f>
        <v/>
      </c>
      <c r="L109" s="1" t="str">
        <f>IF(AND(Programme_Grunddaten!$A117="Geprüft",Programme_Grunddaten!T117&lt;&gt;""),IF(Programme_Grunddaten!T117="Ja",1,0),"")</f>
        <v/>
      </c>
      <c r="M109" s="1" t="str">
        <f>IF(AND(Programme_Grunddaten!$A117="Geprüft",Programme_Grunddaten!U117&lt;&gt;""),IF(Programme_Grunddaten!U117="Ja",1,0),"")</f>
        <v/>
      </c>
      <c r="N109" s="1" t="str">
        <f>IF(AND(Programme_Grunddaten!$A117="Geprüft",Programme_Grunddaten!V117&lt;&gt;""),IF(Programme_Grunddaten!V117="Ja",1,0),"")</f>
        <v/>
      </c>
      <c r="O109" s="1" t="str">
        <f>IF(AND(Programme_Grunddaten!$A117="Geprüft",Programme_Grunddaten!W117&lt;&gt;""),IF(Programme_Grunddaten!W117="Ja",1,0),"")</f>
        <v/>
      </c>
      <c r="P109" s="1" t="str">
        <f>IF(AND(Programme_Grunddaten!$A117="Geprüft",Programme_Grunddaten!X117&lt;&gt;""),IF(Programme_Grunddaten!X117="Ja",1,0),"")</f>
        <v/>
      </c>
      <c r="Q109" s="1" t="str">
        <f>IF(AND(Programme_Grunddaten!$A117="Geprüft",Programme_Grunddaten!Y117&lt;&gt;""),IF(Programme_Grunddaten!Y117="Ja",1,0),"")</f>
        <v/>
      </c>
      <c r="R109" s="1" t="str">
        <f>IF(AND(Programme_Grunddaten!$A117="Geprüft",Programme_Grunddaten!Z117&lt;&gt;""),IF(Programme_Grunddaten!Z117="Ja",1,0),"")</f>
        <v/>
      </c>
      <c r="S109" s="1" t="str">
        <f>IF(AND(Programme_Grunddaten!$A117="Geprüft",Programme_Grunddaten!AA117&lt;&gt;""),IF(Programme_Grunddaten!AA117="monolithisch",1,0),"")</f>
        <v/>
      </c>
      <c r="T109" s="1" t="str">
        <f>IF(AND(Programme_Grunddaten!$A117="Geprüft",Programme_Grunddaten!AB117&lt;&gt;""),IF(Programme_Grunddaten!AB117="Ja",1,0),"")</f>
        <v/>
      </c>
      <c r="U109" s="1" t="str">
        <f>IF(AND(Programme_Grunddaten!$A117="Geprüft",Programme_Grunddaten!AC117&lt;&gt;""),IF(Programme_Grunddaten!AC117="Ja",1,0),"")</f>
        <v/>
      </c>
      <c r="V109" s="1" t="str">
        <f>IF(AND(Programme_Grunddaten!$A117="Geprüft",Programme_Grunddaten!AD117&lt;&gt;""),IF(Programme_Grunddaten!AD117="Ja",1,0),"")</f>
        <v/>
      </c>
      <c r="W109" s="1" t="str">
        <f>IF(AND(Programme_Grunddaten!$A117="Geprüft",Programme_Grunddaten!AE117&lt;&gt;""),IF(Programme_Grunddaten!AE117="Ja",1,0),"")</f>
        <v/>
      </c>
      <c r="X109" s="1" t="str">
        <f>IF(AND(Programme_Grunddaten!$A117="Geprüft",Programme_Grunddaten!AF117&lt;&gt;""),IF(Programme_Grunddaten!AF117="Ja",1,0),"")</f>
        <v/>
      </c>
      <c r="Y109" s="1" t="str">
        <f>IF(AND(Programme_Grunddaten!$A117="Geprüft",Programme_Grunddaten!AG117&lt;&gt;""),IF(Programme_Grunddaten!AG117="Ja",1,0),"")</f>
        <v/>
      </c>
      <c r="Z109" s="1" t="str">
        <f>IF(AND(Programme_Grunddaten!$A117="Geprüft",Programme_Grunddaten!AH117&lt;&gt;""),IF(Programme_Grunddaten!AH117="Ja",1,0),"")</f>
        <v/>
      </c>
      <c r="AA109" s="1" t="str">
        <f>IF(AND(Programme_Grunddaten!$A117="Geprüft",Programme_Grunddaten!AI117&lt;&gt;""),IF(Programme_Grunddaten!AI117="Ja",1,0),"")</f>
        <v/>
      </c>
      <c r="AB109" s="1" t="str">
        <f>IF(AND(Programme_Grunddaten!$A117="Geprüft",Programme_Grunddaten!AJ117&lt;&gt;""),IF(Programme_Grunddaten!AJ117="individuell programmierbar",1,0),"")</f>
        <v/>
      </c>
      <c r="AC109" s="1" t="str">
        <f>IF(AND(Programme_Grunddaten!$A117="Geprüft",Programme_Grunddaten!AK117&lt;&gt;""),IF(Programme_Grunddaten!AK117="Deutsch",0,IF(Programme_Grunddaten!AK117="Deutsch und Englisch",1,2)),"")</f>
        <v/>
      </c>
      <c r="AD109" s="1" t="str">
        <f>IF(AND(Programme_Grunddaten!$A117="Geprüft",Programme_Grunddaten!AL117&lt;&gt;""),IF(Programme_Grunddaten!AL117="Ja",1,0),"")</f>
        <v/>
      </c>
      <c r="AE109" s="1" t="str">
        <f>IF(AND(Programme_Grunddaten!$A117="Geprüft",Programme_Grunddaten!AM117&lt;&gt;""),IF(Programme_Grunddaten!AM117="Ja",1,0),"")</f>
        <v/>
      </c>
      <c r="AF109" s="1" t="str">
        <f>IF(AND(Programme_Grunddaten!$A117="Geprüft",Programme_Grunddaten!AN117&lt;&gt;""),IF(Programme_Grunddaten!AN117="Ja",1,0),"")</f>
        <v/>
      </c>
      <c r="AG109" s="1" t="str">
        <f>IF(AND(Programme_Grunddaten!$A117="Geprüft",Programme_Grunddaten!AO117&lt;&gt;""),IF(Programme_Grunddaten!AO117="Ja",1,0),"")</f>
        <v/>
      </c>
      <c r="AH109" s="1" t="str">
        <f>IF(AND(Programme_Grunddaten!$A117="Geprüft",Programme_Grunddaten!AP117&lt;&gt;""),IF(Programme_Grunddaten!AP117="Ja",1,0),"")</f>
        <v/>
      </c>
      <c r="AI109" s="1" t="str">
        <f>IF(AND(Programme_Grunddaten!$A117="Geprüft",Programme_Grunddaten!AQ117&lt;&gt;""),IF(Programme_Grunddaten!AQ117="Ja",1,0),"")</f>
        <v/>
      </c>
      <c r="AJ109" s="1" t="str">
        <f>IF(AND(Programme_Grunddaten!$A117="Geprüft",Programme_Grunddaten!AR117&lt;&gt;""),IF(Programme_Grunddaten!AR117="Ja",1,0),"")</f>
        <v/>
      </c>
      <c r="AK109" s="1" t="str">
        <f>IF(AND(Programme_Grunddaten!$A117="Geprüft",Programme_Grunddaten!AS117&lt;&gt;""),IF(Programme_Grunddaten!AS117="Ja",1,0),"")</f>
        <v/>
      </c>
      <c r="AL109" s="1" t="str">
        <f>IF(AND(Programme_Grunddaten!$A117="Geprüft",Programme_Grunddaten!AT117&lt;&gt;""),IF(Programme_Grunddaten!AT117="Ja",1,0),"")</f>
        <v/>
      </c>
      <c r="AM109" s="1" t="str">
        <f>IF(AND(Programme_Grunddaten!$A117="Geprüft",Programme_Grunddaten!AU117&lt;&gt;""),IF(Programme_Grunddaten!AU117="Ja",1,0),"")</f>
        <v/>
      </c>
      <c r="AN109" s="1" t="str">
        <f>IF(AND(Programme_Grunddaten!$A117="Geprüft",Programme_Grunddaten!AV117&lt;&gt;""),IF(Programme_Grunddaten!AV117="Ja",1,0),"")</f>
        <v/>
      </c>
    </row>
    <row r="110" spans="1:40" x14ac:dyDescent="0.3">
      <c r="A110" s="1" t="str">
        <f>IF(AND(Programme_Grunddaten!A118="Geprüft",Programme_Grunddaten!B118&lt;&gt;""),Programme_Grunddaten!B118,"")</f>
        <v/>
      </c>
      <c r="B110" s="1" t="str">
        <f>IF(AND(Programme_Grunddaten!$A118="Geprüft",Programme_Grunddaten!I118&lt;&gt;""),IF(Programme_Grunddaten!I118="Ja",1,0),"")</f>
        <v/>
      </c>
      <c r="C110" s="1" t="str">
        <f>IF(AND(Programme_Grunddaten!$A118="Geprüft",Programme_Grunddaten!J118&lt;&gt;""),IF(Programme_Grunddaten!J118="Ja",1,0),"")</f>
        <v/>
      </c>
      <c r="D110" s="1" t="str">
        <f>IF(AND(Programme_Grunddaten!$A118="Geprüft",Programme_Grunddaten!K118&lt;&gt;""),IF(Programme_Grunddaten!K118="Ja",1,0),"")</f>
        <v/>
      </c>
      <c r="E110" s="1" t="str">
        <f>IF(AND(Programme_Grunddaten!$A118="Geprüft",Programme_Grunddaten!L118&lt;&gt;""),IF(Programme_Grunddaten!L118="Abo / befristete Lizenz",1,0),"")</f>
        <v/>
      </c>
      <c r="F110" s="1" t="str">
        <f>IF(AND(Programme_Grunddaten!$A118="Geprüft",Programme_Grunddaten!M118&lt;&gt;""),IF(Programme_Grunddaten!M118="Ja",1,0),"")</f>
        <v/>
      </c>
      <c r="G110" s="1" t="str">
        <f>IF(AND(Programme_Grunddaten!$A118="Geprüft",Programme_Grunddaten!N118&lt;&gt;""),IF(Programme_Grunddaten!N118="Ja",1,0),"")</f>
        <v/>
      </c>
      <c r="H110" s="1" t="str">
        <f>IF(AND(Programme_Grunddaten!$A118="Geprüft",Programme_Grunddaten!O118&lt;&gt;""),IF(Programme_Grunddaten!O118="Deutschland",0,IF(Programme_Grunddaten!O118="EU",1,2)),"")</f>
        <v/>
      </c>
      <c r="I110" s="1" t="str">
        <f>IF(AND(Programme_Grunddaten!$A118="Geprüft",Programme_Grunddaten!P118&lt;&gt;""),IF(Programme_Grunddaten!P118="Ja",1,0),"")</f>
        <v/>
      </c>
      <c r="J110" s="1" t="str">
        <f>IF(AND(Programme_Grunddaten!$A118="Geprüft",Programme_Grunddaten!Q118&lt;&gt;""),IF(Programme_Grunddaten!Q118="geschlossenes System",1,0),"")</f>
        <v/>
      </c>
      <c r="K110" s="1" t="str">
        <f>IF(AND(Programme_Grunddaten!$A118="Geprüft",Programme_Grunddaten!R118&lt;&gt;""),IF(Programme_Grunddaten!R118="Ja",1,0),"")</f>
        <v/>
      </c>
      <c r="L110" s="1" t="str">
        <f>IF(AND(Programme_Grunddaten!$A118="Geprüft",Programme_Grunddaten!T118&lt;&gt;""),IF(Programme_Grunddaten!T118="Ja",1,0),"")</f>
        <v/>
      </c>
      <c r="M110" s="1" t="str">
        <f>IF(AND(Programme_Grunddaten!$A118="Geprüft",Programme_Grunddaten!U118&lt;&gt;""),IF(Programme_Grunddaten!U118="Ja",1,0),"")</f>
        <v/>
      </c>
      <c r="N110" s="1" t="str">
        <f>IF(AND(Programme_Grunddaten!$A118="Geprüft",Programme_Grunddaten!V118&lt;&gt;""),IF(Programme_Grunddaten!V118="Ja",1,0),"")</f>
        <v/>
      </c>
      <c r="O110" s="1" t="str">
        <f>IF(AND(Programme_Grunddaten!$A118="Geprüft",Programme_Grunddaten!W118&lt;&gt;""),IF(Programme_Grunddaten!W118="Ja",1,0),"")</f>
        <v/>
      </c>
      <c r="P110" s="1" t="str">
        <f>IF(AND(Programme_Grunddaten!$A118="Geprüft",Programme_Grunddaten!X118&lt;&gt;""),IF(Programme_Grunddaten!X118="Ja",1,0),"")</f>
        <v/>
      </c>
      <c r="Q110" s="1" t="str">
        <f>IF(AND(Programme_Grunddaten!$A118="Geprüft",Programme_Grunddaten!Y118&lt;&gt;""),IF(Programme_Grunddaten!Y118="Ja",1,0),"")</f>
        <v/>
      </c>
      <c r="R110" s="1" t="str">
        <f>IF(AND(Programme_Grunddaten!$A118="Geprüft",Programme_Grunddaten!Z118&lt;&gt;""),IF(Programme_Grunddaten!Z118="Ja",1,0),"")</f>
        <v/>
      </c>
      <c r="S110" s="1" t="str">
        <f>IF(AND(Programme_Grunddaten!$A118="Geprüft",Programme_Grunddaten!AA118&lt;&gt;""),IF(Programme_Grunddaten!AA118="monolithisch",1,0),"")</f>
        <v/>
      </c>
      <c r="T110" s="1" t="str">
        <f>IF(AND(Programme_Grunddaten!$A118="Geprüft",Programme_Grunddaten!AB118&lt;&gt;""),IF(Programme_Grunddaten!AB118="Ja",1,0),"")</f>
        <v/>
      </c>
      <c r="U110" s="1" t="str">
        <f>IF(AND(Programme_Grunddaten!$A118="Geprüft",Programme_Grunddaten!AC118&lt;&gt;""),IF(Programme_Grunddaten!AC118="Ja",1,0),"")</f>
        <v/>
      </c>
      <c r="V110" s="1" t="str">
        <f>IF(AND(Programme_Grunddaten!$A118="Geprüft",Programme_Grunddaten!AD118&lt;&gt;""),IF(Programme_Grunddaten!AD118="Ja",1,0),"")</f>
        <v/>
      </c>
      <c r="W110" s="1" t="str">
        <f>IF(AND(Programme_Grunddaten!$A118="Geprüft",Programme_Grunddaten!AE118&lt;&gt;""),IF(Programme_Grunddaten!AE118="Ja",1,0),"")</f>
        <v/>
      </c>
      <c r="X110" s="1" t="str">
        <f>IF(AND(Programme_Grunddaten!$A118="Geprüft",Programme_Grunddaten!AF118&lt;&gt;""),IF(Programme_Grunddaten!AF118="Ja",1,0),"")</f>
        <v/>
      </c>
      <c r="Y110" s="1" t="str">
        <f>IF(AND(Programme_Grunddaten!$A118="Geprüft",Programme_Grunddaten!AG118&lt;&gt;""),IF(Programme_Grunddaten!AG118="Ja",1,0),"")</f>
        <v/>
      </c>
      <c r="Z110" s="1" t="str">
        <f>IF(AND(Programme_Grunddaten!$A118="Geprüft",Programme_Grunddaten!AH118&lt;&gt;""),IF(Programme_Grunddaten!AH118="Ja",1,0),"")</f>
        <v/>
      </c>
      <c r="AA110" s="1" t="str">
        <f>IF(AND(Programme_Grunddaten!$A118="Geprüft",Programme_Grunddaten!AI118&lt;&gt;""),IF(Programme_Grunddaten!AI118="Ja",1,0),"")</f>
        <v/>
      </c>
      <c r="AB110" s="1" t="str">
        <f>IF(AND(Programme_Grunddaten!$A118="Geprüft",Programme_Grunddaten!AJ118&lt;&gt;""),IF(Programme_Grunddaten!AJ118="individuell programmierbar",1,0),"")</f>
        <v/>
      </c>
      <c r="AC110" s="1" t="str">
        <f>IF(AND(Programme_Grunddaten!$A118="Geprüft",Programme_Grunddaten!AK118&lt;&gt;""),IF(Programme_Grunddaten!AK118="Deutsch",0,IF(Programme_Grunddaten!AK118="Deutsch und Englisch",1,2)),"")</f>
        <v/>
      </c>
      <c r="AD110" s="1" t="str">
        <f>IF(AND(Programme_Grunddaten!$A118="Geprüft",Programme_Grunddaten!AL118&lt;&gt;""),IF(Programme_Grunddaten!AL118="Ja",1,0),"")</f>
        <v/>
      </c>
      <c r="AE110" s="1" t="str">
        <f>IF(AND(Programme_Grunddaten!$A118="Geprüft",Programme_Grunddaten!AM118&lt;&gt;""),IF(Programme_Grunddaten!AM118="Ja",1,0),"")</f>
        <v/>
      </c>
      <c r="AF110" s="1" t="str">
        <f>IF(AND(Programme_Grunddaten!$A118="Geprüft",Programme_Grunddaten!AN118&lt;&gt;""),IF(Programme_Grunddaten!AN118="Ja",1,0),"")</f>
        <v/>
      </c>
      <c r="AG110" s="1" t="str">
        <f>IF(AND(Programme_Grunddaten!$A118="Geprüft",Programme_Grunddaten!AO118&lt;&gt;""),IF(Programme_Grunddaten!AO118="Ja",1,0),"")</f>
        <v/>
      </c>
      <c r="AH110" s="1" t="str">
        <f>IF(AND(Programme_Grunddaten!$A118="Geprüft",Programme_Grunddaten!AP118&lt;&gt;""),IF(Programme_Grunddaten!AP118="Ja",1,0),"")</f>
        <v/>
      </c>
      <c r="AI110" s="1" t="str">
        <f>IF(AND(Programme_Grunddaten!$A118="Geprüft",Programme_Grunddaten!AQ118&lt;&gt;""),IF(Programme_Grunddaten!AQ118="Ja",1,0),"")</f>
        <v/>
      </c>
      <c r="AJ110" s="1" t="str">
        <f>IF(AND(Programme_Grunddaten!$A118="Geprüft",Programme_Grunddaten!AR118&lt;&gt;""),IF(Programme_Grunddaten!AR118="Ja",1,0),"")</f>
        <v/>
      </c>
      <c r="AK110" s="1" t="str">
        <f>IF(AND(Programme_Grunddaten!$A118="Geprüft",Programme_Grunddaten!AS118&lt;&gt;""),IF(Programme_Grunddaten!AS118="Ja",1,0),"")</f>
        <v/>
      </c>
      <c r="AL110" s="1" t="str">
        <f>IF(AND(Programme_Grunddaten!$A118="Geprüft",Programme_Grunddaten!AT118&lt;&gt;""),IF(Programme_Grunddaten!AT118="Ja",1,0),"")</f>
        <v/>
      </c>
      <c r="AM110" s="1" t="str">
        <f>IF(AND(Programme_Grunddaten!$A118="Geprüft",Programme_Grunddaten!AU118&lt;&gt;""),IF(Programme_Grunddaten!AU118="Ja",1,0),"")</f>
        <v/>
      </c>
      <c r="AN110" s="1" t="str">
        <f>IF(AND(Programme_Grunddaten!$A118="Geprüft",Programme_Grunddaten!AV118&lt;&gt;""),IF(Programme_Grunddaten!AV118="Ja",1,0),"")</f>
        <v/>
      </c>
    </row>
    <row r="111" spans="1:40" x14ac:dyDescent="0.3">
      <c r="A111" s="1" t="str">
        <f>IF(AND(Programme_Grunddaten!A119="Geprüft",Programme_Grunddaten!B119&lt;&gt;""),Programme_Grunddaten!B119,"")</f>
        <v/>
      </c>
      <c r="B111" s="1" t="str">
        <f>IF(AND(Programme_Grunddaten!$A119="Geprüft",Programme_Grunddaten!I119&lt;&gt;""),IF(Programme_Grunddaten!I119="Ja",1,0),"")</f>
        <v/>
      </c>
      <c r="C111" s="1" t="str">
        <f>IF(AND(Programme_Grunddaten!$A119="Geprüft",Programme_Grunddaten!J119&lt;&gt;""),IF(Programme_Grunddaten!J119="Ja",1,0),"")</f>
        <v/>
      </c>
      <c r="D111" s="1" t="str">
        <f>IF(AND(Programme_Grunddaten!$A119="Geprüft",Programme_Grunddaten!K119&lt;&gt;""),IF(Programme_Grunddaten!K119="Ja",1,0),"")</f>
        <v/>
      </c>
      <c r="E111" s="1" t="str">
        <f>IF(AND(Programme_Grunddaten!$A119="Geprüft",Programme_Grunddaten!L119&lt;&gt;""),IF(Programme_Grunddaten!L119="Abo / befristete Lizenz",1,0),"")</f>
        <v/>
      </c>
      <c r="F111" s="1" t="str">
        <f>IF(AND(Programme_Grunddaten!$A119="Geprüft",Programme_Grunddaten!M119&lt;&gt;""),IF(Programme_Grunddaten!M119="Ja",1,0),"")</f>
        <v/>
      </c>
      <c r="G111" s="1" t="str">
        <f>IF(AND(Programme_Grunddaten!$A119="Geprüft",Programme_Grunddaten!N119&lt;&gt;""),IF(Programme_Grunddaten!N119="Ja",1,0),"")</f>
        <v/>
      </c>
      <c r="H111" s="1" t="str">
        <f>IF(AND(Programme_Grunddaten!$A119="Geprüft",Programme_Grunddaten!O119&lt;&gt;""),IF(Programme_Grunddaten!O119="Deutschland",0,IF(Programme_Grunddaten!O119="EU",1,2)),"")</f>
        <v/>
      </c>
      <c r="I111" s="1" t="str">
        <f>IF(AND(Programme_Grunddaten!$A119="Geprüft",Programme_Grunddaten!P119&lt;&gt;""),IF(Programme_Grunddaten!P119="Ja",1,0),"")</f>
        <v/>
      </c>
      <c r="J111" s="1" t="str">
        <f>IF(AND(Programme_Grunddaten!$A119="Geprüft",Programme_Grunddaten!Q119&lt;&gt;""),IF(Programme_Grunddaten!Q119="geschlossenes System",1,0),"")</f>
        <v/>
      </c>
      <c r="K111" s="1" t="str">
        <f>IF(AND(Programme_Grunddaten!$A119="Geprüft",Programme_Grunddaten!R119&lt;&gt;""),IF(Programme_Grunddaten!R119="Ja",1,0),"")</f>
        <v/>
      </c>
      <c r="L111" s="1" t="str">
        <f>IF(AND(Programme_Grunddaten!$A119="Geprüft",Programme_Grunddaten!T119&lt;&gt;""),IF(Programme_Grunddaten!T119="Ja",1,0),"")</f>
        <v/>
      </c>
      <c r="M111" s="1" t="str">
        <f>IF(AND(Programme_Grunddaten!$A119="Geprüft",Programme_Grunddaten!U119&lt;&gt;""),IF(Programme_Grunddaten!U119="Ja",1,0),"")</f>
        <v/>
      </c>
      <c r="N111" s="1" t="str">
        <f>IF(AND(Programme_Grunddaten!$A119="Geprüft",Programme_Grunddaten!V119&lt;&gt;""),IF(Programme_Grunddaten!V119="Ja",1,0),"")</f>
        <v/>
      </c>
      <c r="O111" s="1" t="str">
        <f>IF(AND(Programme_Grunddaten!$A119="Geprüft",Programme_Grunddaten!W119&lt;&gt;""),IF(Programme_Grunddaten!W119="Ja",1,0),"")</f>
        <v/>
      </c>
      <c r="P111" s="1" t="str">
        <f>IF(AND(Programme_Grunddaten!$A119="Geprüft",Programme_Grunddaten!X119&lt;&gt;""),IF(Programme_Grunddaten!X119="Ja",1,0),"")</f>
        <v/>
      </c>
      <c r="Q111" s="1" t="str">
        <f>IF(AND(Programme_Grunddaten!$A119="Geprüft",Programme_Grunddaten!Y119&lt;&gt;""),IF(Programme_Grunddaten!Y119="Ja",1,0),"")</f>
        <v/>
      </c>
      <c r="R111" s="1" t="str">
        <f>IF(AND(Programme_Grunddaten!$A119="Geprüft",Programme_Grunddaten!Z119&lt;&gt;""),IF(Programme_Grunddaten!Z119="Ja",1,0),"")</f>
        <v/>
      </c>
      <c r="S111" s="1" t="str">
        <f>IF(AND(Programme_Grunddaten!$A119="Geprüft",Programme_Grunddaten!AA119&lt;&gt;""),IF(Programme_Grunddaten!AA119="monolithisch",1,0),"")</f>
        <v/>
      </c>
      <c r="T111" s="1" t="str">
        <f>IF(AND(Programme_Grunddaten!$A119="Geprüft",Programme_Grunddaten!AB119&lt;&gt;""),IF(Programme_Grunddaten!AB119="Ja",1,0),"")</f>
        <v/>
      </c>
      <c r="U111" s="1" t="str">
        <f>IF(AND(Programme_Grunddaten!$A119="Geprüft",Programme_Grunddaten!AC119&lt;&gt;""),IF(Programme_Grunddaten!AC119="Ja",1,0),"")</f>
        <v/>
      </c>
      <c r="V111" s="1" t="str">
        <f>IF(AND(Programme_Grunddaten!$A119="Geprüft",Programme_Grunddaten!AD119&lt;&gt;""),IF(Programme_Grunddaten!AD119="Ja",1,0),"")</f>
        <v/>
      </c>
      <c r="W111" s="1" t="str">
        <f>IF(AND(Programme_Grunddaten!$A119="Geprüft",Programme_Grunddaten!AE119&lt;&gt;""),IF(Programme_Grunddaten!AE119="Ja",1,0),"")</f>
        <v/>
      </c>
      <c r="X111" s="1" t="str">
        <f>IF(AND(Programme_Grunddaten!$A119="Geprüft",Programme_Grunddaten!AF119&lt;&gt;""),IF(Programme_Grunddaten!AF119="Ja",1,0),"")</f>
        <v/>
      </c>
      <c r="Y111" s="1" t="str">
        <f>IF(AND(Programme_Grunddaten!$A119="Geprüft",Programme_Grunddaten!AG119&lt;&gt;""),IF(Programme_Grunddaten!AG119="Ja",1,0),"")</f>
        <v/>
      </c>
      <c r="Z111" s="1" t="str">
        <f>IF(AND(Programme_Grunddaten!$A119="Geprüft",Programme_Grunddaten!AH119&lt;&gt;""),IF(Programme_Grunddaten!AH119="Ja",1,0),"")</f>
        <v/>
      </c>
      <c r="AA111" s="1" t="str">
        <f>IF(AND(Programme_Grunddaten!$A119="Geprüft",Programme_Grunddaten!AI119&lt;&gt;""),IF(Programme_Grunddaten!AI119="Ja",1,0),"")</f>
        <v/>
      </c>
      <c r="AB111" s="1" t="str">
        <f>IF(AND(Programme_Grunddaten!$A119="Geprüft",Programme_Grunddaten!AJ119&lt;&gt;""),IF(Programme_Grunddaten!AJ119="individuell programmierbar",1,0),"")</f>
        <v/>
      </c>
      <c r="AC111" s="1" t="str">
        <f>IF(AND(Programme_Grunddaten!$A119="Geprüft",Programme_Grunddaten!AK119&lt;&gt;""),IF(Programme_Grunddaten!AK119="Deutsch",0,IF(Programme_Grunddaten!AK119="Deutsch und Englisch",1,2)),"")</f>
        <v/>
      </c>
      <c r="AD111" s="1" t="str">
        <f>IF(AND(Programme_Grunddaten!$A119="Geprüft",Programme_Grunddaten!AL119&lt;&gt;""),IF(Programme_Grunddaten!AL119="Ja",1,0),"")</f>
        <v/>
      </c>
      <c r="AE111" s="1" t="str">
        <f>IF(AND(Programme_Grunddaten!$A119="Geprüft",Programme_Grunddaten!AM119&lt;&gt;""),IF(Programme_Grunddaten!AM119="Ja",1,0),"")</f>
        <v/>
      </c>
      <c r="AF111" s="1" t="str">
        <f>IF(AND(Programme_Grunddaten!$A119="Geprüft",Programme_Grunddaten!AN119&lt;&gt;""),IF(Programme_Grunddaten!AN119="Ja",1,0),"")</f>
        <v/>
      </c>
      <c r="AG111" s="1" t="str">
        <f>IF(AND(Programme_Grunddaten!$A119="Geprüft",Programme_Grunddaten!AO119&lt;&gt;""),IF(Programme_Grunddaten!AO119="Ja",1,0),"")</f>
        <v/>
      </c>
      <c r="AH111" s="1" t="str">
        <f>IF(AND(Programme_Grunddaten!$A119="Geprüft",Programme_Grunddaten!AP119&lt;&gt;""),IF(Programme_Grunddaten!AP119="Ja",1,0),"")</f>
        <v/>
      </c>
      <c r="AI111" s="1" t="str">
        <f>IF(AND(Programme_Grunddaten!$A119="Geprüft",Programme_Grunddaten!AQ119&lt;&gt;""),IF(Programme_Grunddaten!AQ119="Ja",1,0),"")</f>
        <v/>
      </c>
      <c r="AJ111" s="1" t="str">
        <f>IF(AND(Programme_Grunddaten!$A119="Geprüft",Programme_Grunddaten!AR119&lt;&gt;""),IF(Programme_Grunddaten!AR119="Ja",1,0),"")</f>
        <v/>
      </c>
      <c r="AK111" s="1" t="str">
        <f>IF(AND(Programme_Grunddaten!$A119="Geprüft",Programme_Grunddaten!AS119&lt;&gt;""),IF(Programme_Grunddaten!AS119="Ja",1,0),"")</f>
        <v/>
      </c>
      <c r="AL111" s="1" t="str">
        <f>IF(AND(Programme_Grunddaten!$A119="Geprüft",Programme_Grunddaten!AT119&lt;&gt;""),IF(Programme_Grunddaten!AT119="Ja",1,0),"")</f>
        <v/>
      </c>
      <c r="AM111" s="1" t="str">
        <f>IF(AND(Programme_Grunddaten!$A119="Geprüft",Programme_Grunddaten!AU119&lt;&gt;""),IF(Programme_Grunddaten!AU119="Ja",1,0),"")</f>
        <v/>
      </c>
      <c r="AN111" s="1" t="str">
        <f>IF(AND(Programme_Grunddaten!$A119="Geprüft",Programme_Grunddaten!AV119&lt;&gt;""),IF(Programme_Grunddaten!AV119="Ja",1,0),"")</f>
        <v/>
      </c>
    </row>
    <row r="112" spans="1:40" x14ac:dyDescent="0.3">
      <c r="A112" s="1" t="str">
        <f>IF(AND(Programme_Grunddaten!A120="Geprüft",Programme_Grunddaten!B120&lt;&gt;""),Programme_Grunddaten!B120,"")</f>
        <v/>
      </c>
      <c r="B112" s="1" t="str">
        <f>IF(AND(Programme_Grunddaten!$A120="Geprüft",Programme_Grunddaten!I120&lt;&gt;""),IF(Programme_Grunddaten!I120="Ja",1,0),"")</f>
        <v/>
      </c>
      <c r="C112" s="1" t="str">
        <f>IF(AND(Programme_Grunddaten!$A120="Geprüft",Programme_Grunddaten!J120&lt;&gt;""),IF(Programme_Grunddaten!J120="Ja",1,0),"")</f>
        <v/>
      </c>
      <c r="D112" s="1" t="str">
        <f>IF(AND(Programme_Grunddaten!$A120="Geprüft",Programme_Grunddaten!K120&lt;&gt;""),IF(Programme_Grunddaten!K120="Ja",1,0),"")</f>
        <v/>
      </c>
      <c r="E112" s="1" t="str">
        <f>IF(AND(Programme_Grunddaten!$A120="Geprüft",Programme_Grunddaten!L120&lt;&gt;""),IF(Programme_Grunddaten!L120="Abo / befristete Lizenz",1,0),"")</f>
        <v/>
      </c>
      <c r="F112" s="1" t="str">
        <f>IF(AND(Programme_Grunddaten!$A120="Geprüft",Programme_Grunddaten!M120&lt;&gt;""),IF(Programme_Grunddaten!M120="Ja",1,0),"")</f>
        <v/>
      </c>
      <c r="G112" s="1" t="str">
        <f>IF(AND(Programme_Grunddaten!$A120="Geprüft",Programme_Grunddaten!N120&lt;&gt;""),IF(Programme_Grunddaten!N120="Ja",1,0),"")</f>
        <v/>
      </c>
      <c r="H112" s="1" t="str">
        <f>IF(AND(Programme_Grunddaten!$A120="Geprüft",Programme_Grunddaten!O120&lt;&gt;""),IF(Programme_Grunddaten!O120="Deutschland",0,IF(Programme_Grunddaten!O120="EU",1,2)),"")</f>
        <v/>
      </c>
      <c r="I112" s="1" t="str">
        <f>IF(AND(Programme_Grunddaten!$A120="Geprüft",Programme_Grunddaten!P120&lt;&gt;""),IF(Programme_Grunddaten!P120="Ja",1,0),"")</f>
        <v/>
      </c>
      <c r="J112" s="1" t="str">
        <f>IF(AND(Programme_Grunddaten!$A120="Geprüft",Programme_Grunddaten!Q120&lt;&gt;""),IF(Programme_Grunddaten!Q120="geschlossenes System",1,0),"")</f>
        <v/>
      </c>
      <c r="K112" s="1" t="str">
        <f>IF(AND(Programme_Grunddaten!$A120="Geprüft",Programme_Grunddaten!R120&lt;&gt;""),IF(Programme_Grunddaten!R120="Ja",1,0),"")</f>
        <v/>
      </c>
      <c r="L112" s="1" t="str">
        <f>IF(AND(Programme_Grunddaten!$A120="Geprüft",Programme_Grunddaten!T120&lt;&gt;""),IF(Programme_Grunddaten!T120="Ja",1,0),"")</f>
        <v/>
      </c>
      <c r="M112" s="1" t="str">
        <f>IF(AND(Programme_Grunddaten!$A120="Geprüft",Programme_Grunddaten!U120&lt;&gt;""),IF(Programme_Grunddaten!U120="Ja",1,0),"")</f>
        <v/>
      </c>
      <c r="N112" s="1" t="str">
        <f>IF(AND(Programme_Grunddaten!$A120="Geprüft",Programme_Grunddaten!V120&lt;&gt;""),IF(Programme_Grunddaten!V120="Ja",1,0),"")</f>
        <v/>
      </c>
      <c r="O112" s="1" t="str">
        <f>IF(AND(Programme_Grunddaten!$A120="Geprüft",Programme_Grunddaten!W120&lt;&gt;""),IF(Programme_Grunddaten!W120="Ja",1,0),"")</f>
        <v/>
      </c>
      <c r="P112" s="1" t="str">
        <f>IF(AND(Programme_Grunddaten!$A120="Geprüft",Programme_Grunddaten!X120&lt;&gt;""),IF(Programme_Grunddaten!X120="Ja",1,0),"")</f>
        <v/>
      </c>
      <c r="Q112" s="1" t="str">
        <f>IF(AND(Programme_Grunddaten!$A120="Geprüft",Programme_Grunddaten!Y120&lt;&gt;""),IF(Programme_Grunddaten!Y120="Ja",1,0),"")</f>
        <v/>
      </c>
      <c r="R112" s="1" t="str">
        <f>IF(AND(Programme_Grunddaten!$A120="Geprüft",Programme_Grunddaten!Z120&lt;&gt;""),IF(Programme_Grunddaten!Z120="Ja",1,0),"")</f>
        <v/>
      </c>
      <c r="S112" s="1" t="str">
        <f>IF(AND(Programme_Grunddaten!$A120="Geprüft",Programme_Grunddaten!AA120&lt;&gt;""),IF(Programme_Grunddaten!AA120="monolithisch",1,0),"")</f>
        <v/>
      </c>
      <c r="T112" s="1" t="str">
        <f>IF(AND(Programme_Grunddaten!$A120="Geprüft",Programme_Grunddaten!AB120&lt;&gt;""),IF(Programme_Grunddaten!AB120="Ja",1,0),"")</f>
        <v/>
      </c>
      <c r="U112" s="1" t="str">
        <f>IF(AND(Programme_Grunddaten!$A120="Geprüft",Programme_Grunddaten!AC120&lt;&gt;""),IF(Programme_Grunddaten!AC120="Ja",1,0),"")</f>
        <v/>
      </c>
      <c r="V112" s="1" t="str">
        <f>IF(AND(Programme_Grunddaten!$A120="Geprüft",Programme_Grunddaten!AD120&lt;&gt;""),IF(Programme_Grunddaten!AD120="Ja",1,0),"")</f>
        <v/>
      </c>
      <c r="W112" s="1" t="str">
        <f>IF(AND(Programme_Grunddaten!$A120="Geprüft",Programme_Grunddaten!AE120&lt;&gt;""),IF(Programme_Grunddaten!AE120="Ja",1,0),"")</f>
        <v/>
      </c>
      <c r="X112" s="1" t="str">
        <f>IF(AND(Programme_Grunddaten!$A120="Geprüft",Programme_Grunddaten!AF120&lt;&gt;""),IF(Programme_Grunddaten!AF120="Ja",1,0),"")</f>
        <v/>
      </c>
      <c r="Y112" s="1" t="str">
        <f>IF(AND(Programme_Grunddaten!$A120="Geprüft",Programme_Grunddaten!AG120&lt;&gt;""),IF(Programme_Grunddaten!AG120="Ja",1,0),"")</f>
        <v/>
      </c>
      <c r="Z112" s="1" t="str">
        <f>IF(AND(Programme_Grunddaten!$A120="Geprüft",Programme_Grunddaten!AH120&lt;&gt;""),IF(Programme_Grunddaten!AH120="Ja",1,0),"")</f>
        <v/>
      </c>
      <c r="AA112" s="1" t="str">
        <f>IF(AND(Programme_Grunddaten!$A120="Geprüft",Programme_Grunddaten!AI120&lt;&gt;""),IF(Programme_Grunddaten!AI120="Ja",1,0),"")</f>
        <v/>
      </c>
      <c r="AB112" s="1" t="str">
        <f>IF(AND(Programme_Grunddaten!$A120="Geprüft",Programme_Grunddaten!AJ120&lt;&gt;""),IF(Programme_Grunddaten!AJ120="individuell programmierbar",1,0),"")</f>
        <v/>
      </c>
      <c r="AC112" s="1" t="str">
        <f>IF(AND(Programme_Grunddaten!$A120="Geprüft",Programme_Grunddaten!AK120&lt;&gt;""),IF(Programme_Grunddaten!AK120="Deutsch",0,IF(Programme_Grunddaten!AK120="Deutsch und Englisch",1,2)),"")</f>
        <v/>
      </c>
      <c r="AD112" s="1" t="str">
        <f>IF(AND(Programme_Grunddaten!$A120="Geprüft",Programme_Grunddaten!AL120&lt;&gt;""),IF(Programme_Grunddaten!AL120="Ja",1,0),"")</f>
        <v/>
      </c>
      <c r="AE112" s="1" t="str">
        <f>IF(AND(Programme_Grunddaten!$A120="Geprüft",Programme_Grunddaten!AM120&lt;&gt;""),IF(Programme_Grunddaten!AM120="Ja",1,0),"")</f>
        <v/>
      </c>
      <c r="AF112" s="1" t="str">
        <f>IF(AND(Programme_Grunddaten!$A120="Geprüft",Programme_Grunddaten!AN120&lt;&gt;""),IF(Programme_Grunddaten!AN120="Ja",1,0),"")</f>
        <v/>
      </c>
      <c r="AG112" s="1" t="str">
        <f>IF(AND(Programme_Grunddaten!$A120="Geprüft",Programme_Grunddaten!AO120&lt;&gt;""),IF(Programme_Grunddaten!AO120="Ja",1,0),"")</f>
        <v/>
      </c>
      <c r="AH112" s="1" t="str">
        <f>IF(AND(Programme_Grunddaten!$A120="Geprüft",Programme_Grunddaten!AP120&lt;&gt;""),IF(Programme_Grunddaten!AP120="Ja",1,0),"")</f>
        <v/>
      </c>
      <c r="AI112" s="1" t="str">
        <f>IF(AND(Programme_Grunddaten!$A120="Geprüft",Programme_Grunddaten!AQ120&lt;&gt;""),IF(Programme_Grunddaten!AQ120="Ja",1,0),"")</f>
        <v/>
      </c>
      <c r="AJ112" s="1" t="str">
        <f>IF(AND(Programme_Grunddaten!$A120="Geprüft",Programme_Grunddaten!AR120&lt;&gt;""),IF(Programme_Grunddaten!AR120="Ja",1,0),"")</f>
        <v/>
      </c>
      <c r="AK112" s="1" t="str">
        <f>IF(AND(Programme_Grunddaten!$A120="Geprüft",Programme_Grunddaten!AS120&lt;&gt;""),IF(Programme_Grunddaten!AS120="Ja",1,0),"")</f>
        <v/>
      </c>
      <c r="AL112" s="1" t="str">
        <f>IF(AND(Programme_Grunddaten!$A120="Geprüft",Programme_Grunddaten!AT120&lt;&gt;""),IF(Programme_Grunddaten!AT120="Ja",1,0),"")</f>
        <v/>
      </c>
      <c r="AM112" s="1" t="str">
        <f>IF(AND(Programme_Grunddaten!$A120="Geprüft",Programme_Grunddaten!AU120&lt;&gt;""),IF(Programme_Grunddaten!AU120="Ja",1,0),"")</f>
        <v/>
      </c>
      <c r="AN112" s="1" t="str">
        <f>IF(AND(Programme_Grunddaten!$A120="Geprüft",Programme_Grunddaten!AV120&lt;&gt;""),IF(Programme_Grunddaten!AV120="Ja",1,0),"")</f>
        <v/>
      </c>
    </row>
    <row r="113" spans="1:40" x14ac:dyDescent="0.3">
      <c r="A113" s="1" t="str">
        <f>IF(AND(Programme_Grunddaten!A121="Geprüft",Programme_Grunddaten!B121&lt;&gt;""),Programme_Grunddaten!B121,"")</f>
        <v/>
      </c>
      <c r="B113" s="1" t="str">
        <f>IF(AND(Programme_Grunddaten!$A121="Geprüft",Programme_Grunddaten!I121&lt;&gt;""),IF(Programme_Grunddaten!I121="Ja",1,0),"")</f>
        <v/>
      </c>
      <c r="C113" s="1" t="str">
        <f>IF(AND(Programme_Grunddaten!$A121="Geprüft",Programme_Grunddaten!J121&lt;&gt;""),IF(Programme_Grunddaten!J121="Ja",1,0),"")</f>
        <v/>
      </c>
      <c r="D113" s="1" t="str">
        <f>IF(AND(Programme_Grunddaten!$A121="Geprüft",Programme_Grunddaten!K121&lt;&gt;""),IF(Programme_Grunddaten!K121="Ja",1,0),"")</f>
        <v/>
      </c>
      <c r="E113" s="1" t="str">
        <f>IF(AND(Programme_Grunddaten!$A121="Geprüft",Programme_Grunddaten!L121&lt;&gt;""),IF(Programme_Grunddaten!L121="Abo / befristete Lizenz",1,0),"")</f>
        <v/>
      </c>
      <c r="F113" s="1" t="str">
        <f>IF(AND(Programme_Grunddaten!$A121="Geprüft",Programme_Grunddaten!M121&lt;&gt;""),IF(Programme_Grunddaten!M121="Ja",1,0),"")</f>
        <v/>
      </c>
      <c r="G113" s="1" t="str">
        <f>IF(AND(Programme_Grunddaten!$A121="Geprüft",Programme_Grunddaten!N121&lt;&gt;""),IF(Programme_Grunddaten!N121="Ja",1,0),"")</f>
        <v/>
      </c>
      <c r="H113" s="1" t="str">
        <f>IF(AND(Programme_Grunddaten!$A121="Geprüft",Programme_Grunddaten!O121&lt;&gt;""),IF(Programme_Grunddaten!O121="Deutschland",0,IF(Programme_Grunddaten!O121="EU",1,2)),"")</f>
        <v/>
      </c>
      <c r="I113" s="1" t="str">
        <f>IF(AND(Programme_Grunddaten!$A121="Geprüft",Programme_Grunddaten!P121&lt;&gt;""),IF(Programme_Grunddaten!P121="Ja",1,0),"")</f>
        <v/>
      </c>
      <c r="J113" s="1" t="str">
        <f>IF(AND(Programme_Grunddaten!$A121="Geprüft",Programme_Grunddaten!Q121&lt;&gt;""),IF(Programme_Grunddaten!Q121="geschlossenes System",1,0),"")</f>
        <v/>
      </c>
      <c r="K113" s="1" t="str">
        <f>IF(AND(Programme_Grunddaten!$A121="Geprüft",Programme_Grunddaten!R121&lt;&gt;""),IF(Programme_Grunddaten!R121="Ja",1,0),"")</f>
        <v/>
      </c>
      <c r="L113" s="1" t="str">
        <f>IF(AND(Programme_Grunddaten!$A121="Geprüft",Programme_Grunddaten!T121&lt;&gt;""),IF(Programme_Grunddaten!T121="Ja",1,0),"")</f>
        <v/>
      </c>
      <c r="M113" s="1" t="str">
        <f>IF(AND(Programme_Grunddaten!$A121="Geprüft",Programme_Grunddaten!U121&lt;&gt;""),IF(Programme_Grunddaten!U121="Ja",1,0),"")</f>
        <v/>
      </c>
      <c r="N113" s="1" t="str">
        <f>IF(AND(Programme_Grunddaten!$A121="Geprüft",Programme_Grunddaten!V121&lt;&gt;""),IF(Programme_Grunddaten!V121="Ja",1,0),"")</f>
        <v/>
      </c>
      <c r="O113" s="1" t="str">
        <f>IF(AND(Programme_Grunddaten!$A121="Geprüft",Programme_Grunddaten!W121&lt;&gt;""),IF(Programme_Grunddaten!W121="Ja",1,0),"")</f>
        <v/>
      </c>
      <c r="P113" s="1" t="str">
        <f>IF(AND(Programme_Grunddaten!$A121="Geprüft",Programme_Grunddaten!X121&lt;&gt;""),IF(Programme_Grunddaten!X121="Ja",1,0),"")</f>
        <v/>
      </c>
      <c r="Q113" s="1" t="str">
        <f>IF(AND(Programme_Grunddaten!$A121="Geprüft",Programme_Grunddaten!Y121&lt;&gt;""),IF(Programme_Grunddaten!Y121="Ja",1,0),"")</f>
        <v/>
      </c>
      <c r="R113" s="1" t="str">
        <f>IF(AND(Programme_Grunddaten!$A121="Geprüft",Programme_Grunddaten!Z121&lt;&gt;""),IF(Programme_Grunddaten!Z121="Ja",1,0),"")</f>
        <v/>
      </c>
      <c r="S113" s="1" t="str">
        <f>IF(AND(Programme_Grunddaten!$A121="Geprüft",Programme_Grunddaten!AA121&lt;&gt;""),IF(Programme_Grunddaten!AA121="monolithisch",1,0),"")</f>
        <v/>
      </c>
      <c r="T113" s="1" t="str">
        <f>IF(AND(Programme_Grunddaten!$A121="Geprüft",Programme_Grunddaten!AB121&lt;&gt;""),IF(Programme_Grunddaten!AB121="Ja",1,0),"")</f>
        <v/>
      </c>
      <c r="U113" s="1" t="str">
        <f>IF(AND(Programme_Grunddaten!$A121="Geprüft",Programme_Grunddaten!AC121&lt;&gt;""),IF(Programme_Grunddaten!AC121="Ja",1,0),"")</f>
        <v/>
      </c>
      <c r="V113" s="1" t="str">
        <f>IF(AND(Programme_Grunddaten!$A121="Geprüft",Programme_Grunddaten!AD121&lt;&gt;""),IF(Programme_Grunddaten!AD121="Ja",1,0),"")</f>
        <v/>
      </c>
      <c r="W113" s="1" t="str">
        <f>IF(AND(Programme_Grunddaten!$A121="Geprüft",Programme_Grunddaten!AE121&lt;&gt;""),IF(Programme_Grunddaten!AE121="Ja",1,0),"")</f>
        <v/>
      </c>
      <c r="X113" s="1" t="str">
        <f>IF(AND(Programme_Grunddaten!$A121="Geprüft",Programme_Grunddaten!AF121&lt;&gt;""),IF(Programme_Grunddaten!AF121="Ja",1,0),"")</f>
        <v/>
      </c>
      <c r="Y113" s="1" t="str">
        <f>IF(AND(Programme_Grunddaten!$A121="Geprüft",Programme_Grunddaten!AG121&lt;&gt;""),IF(Programme_Grunddaten!AG121="Ja",1,0),"")</f>
        <v/>
      </c>
      <c r="Z113" s="1" t="str">
        <f>IF(AND(Programme_Grunddaten!$A121="Geprüft",Programme_Grunddaten!AH121&lt;&gt;""),IF(Programme_Grunddaten!AH121="Ja",1,0),"")</f>
        <v/>
      </c>
      <c r="AA113" s="1" t="str">
        <f>IF(AND(Programme_Grunddaten!$A121="Geprüft",Programme_Grunddaten!AI121&lt;&gt;""),IF(Programme_Grunddaten!AI121="Ja",1,0),"")</f>
        <v/>
      </c>
      <c r="AB113" s="1" t="str">
        <f>IF(AND(Programme_Grunddaten!$A121="Geprüft",Programme_Grunddaten!AJ121&lt;&gt;""),IF(Programme_Grunddaten!AJ121="individuell programmierbar",1,0),"")</f>
        <v/>
      </c>
      <c r="AC113" s="1" t="str">
        <f>IF(AND(Programme_Grunddaten!$A121="Geprüft",Programme_Grunddaten!AK121&lt;&gt;""),IF(Programme_Grunddaten!AK121="Deutsch",0,IF(Programme_Grunddaten!AK121="Deutsch und Englisch",1,2)),"")</f>
        <v/>
      </c>
      <c r="AD113" s="1" t="str">
        <f>IF(AND(Programme_Grunddaten!$A121="Geprüft",Programme_Grunddaten!AL121&lt;&gt;""),IF(Programme_Grunddaten!AL121="Ja",1,0),"")</f>
        <v/>
      </c>
      <c r="AE113" s="1" t="str">
        <f>IF(AND(Programme_Grunddaten!$A121="Geprüft",Programme_Grunddaten!AM121&lt;&gt;""),IF(Programme_Grunddaten!AM121="Ja",1,0),"")</f>
        <v/>
      </c>
      <c r="AF113" s="1" t="str">
        <f>IF(AND(Programme_Grunddaten!$A121="Geprüft",Programme_Grunddaten!AN121&lt;&gt;""),IF(Programme_Grunddaten!AN121="Ja",1,0),"")</f>
        <v/>
      </c>
      <c r="AG113" s="1" t="str">
        <f>IF(AND(Programme_Grunddaten!$A121="Geprüft",Programme_Grunddaten!AO121&lt;&gt;""),IF(Programme_Grunddaten!AO121="Ja",1,0),"")</f>
        <v/>
      </c>
      <c r="AH113" s="1" t="str">
        <f>IF(AND(Programme_Grunddaten!$A121="Geprüft",Programme_Grunddaten!AP121&lt;&gt;""),IF(Programme_Grunddaten!AP121="Ja",1,0),"")</f>
        <v/>
      </c>
      <c r="AI113" s="1" t="str">
        <f>IF(AND(Programme_Grunddaten!$A121="Geprüft",Programme_Grunddaten!AQ121&lt;&gt;""),IF(Programme_Grunddaten!AQ121="Ja",1,0),"")</f>
        <v/>
      </c>
      <c r="AJ113" s="1" t="str">
        <f>IF(AND(Programme_Grunddaten!$A121="Geprüft",Programme_Grunddaten!AR121&lt;&gt;""),IF(Programme_Grunddaten!AR121="Ja",1,0),"")</f>
        <v/>
      </c>
      <c r="AK113" s="1" t="str">
        <f>IF(AND(Programme_Grunddaten!$A121="Geprüft",Programme_Grunddaten!AS121&lt;&gt;""),IF(Programme_Grunddaten!AS121="Ja",1,0),"")</f>
        <v/>
      </c>
      <c r="AL113" s="1" t="str">
        <f>IF(AND(Programme_Grunddaten!$A121="Geprüft",Programme_Grunddaten!AT121&lt;&gt;""),IF(Programme_Grunddaten!AT121="Ja",1,0),"")</f>
        <v/>
      </c>
      <c r="AM113" s="1" t="str">
        <f>IF(AND(Programme_Grunddaten!$A121="Geprüft",Programme_Grunddaten!AU121&lt;&gt;""),IF(Programme_Grunddaten!AU121="Ja",1,0),"")</f>
        <v/>
      </c>
      <c r="AN113" s="1" t="str">
        <f>IF(AND(Programme_Grunddaten!$A121="Geprüft",Programme_Grunddaten!AV121&lt;&gt;""),IF(Programme_Grunddaten!AV121="Ja",1,0),"")</f>
        <v/>
      </c>
    </row>
    <row r="114" spans="1:40" x14ac:dyDescent="0.3">
      <c r="A114" s="1" t="str">
        <f>IF(AND(Programme_Grunddaten!A122="Geprüft",Programme_Grunddaten!B122&lt;&gt;""),Programme_Grunddaten!B122,"")</f>
        <v/>
      </c>
      <c r="B114" s="1" t="str">
        <f>IF(AND(Programme_Grunddaten!$A122="Geprüft",Programme_Grunddaten!I122&lt;&gt;""),IF(Programme_Grunddaten!I122="Ja",1,0),"")</f>
        <v/>
      </c>
      <c r="C114" s="1" t="str">
        <f>IF(AND(Programme_Grunddaten!$A122="Geprüft",Programme_Grunddaten!J122&lt;&gt;""),IF(Programme_Grunddaten!J122="Ja",1,0),"")</f>
        <v/>
      </c>
      <c r="D114" s="1" t="str">
        <f>IF(AND(Programme_Grunddaten!$A122="Geprüft",Programme_Grunddaten!K122&lt;&gt;""),IF(Programme_Grunddaten!K122="Ja",1,0),"")</f>
        <v/>
      </c>
      <c r="E114" s="1" t="str">
        <f>IF(AND(Programme_Grunddaten!$A122="Geprüft",Programme_Grunddaten!L122&lt;&gt;""),IF(Programme_Grunddaten!L122="Abo / befristete Lizenz",1,0),"")</f>
        <v/>
      </c>
      <c r="F114" s="1" t="str">
        <f>IF(AND(Programme_Grunddaten!$A122="Geprüft",Programme_Grunddaten!M122&lt;&gt;""),IF(Programme_Grunddaten!M122="Ja",1,0),"")</f>
        <v/>
      </c>
      <c r="G114" s="1" t="str">
        <f>IF(AND(Programme_Grunddaten!$A122="Geprüft",Programme_Grunddaten!N122&lt;&gt;""),IF(Programme_Grunddaten!N122="Ja",1,0),"")</f>
        <v/>
      </c>
      <c r="H114" s="1" t="str">
        <f>IF(AND(Programme_Grunddaten!$A122="Geprüft",Programme_Grunddaten!O122&lt;&gt;""),IF(Programme_Grunddaten!O122="Deutschland",0,IF(Programme_Grunddaten!O122="EU",1,2)),"")</f>
        <v/>
      </c>
      <c r="I114" s="1" t="str">
        <f>IF(AND(Programme_Grunddaten!$A122="Geprüft",Programme_Grunddaten!P122&lt;&gt;""),IF(Programme_Grunddaten!P122="Ja",1,0),"")</f>
        <v/>
      </c>
      <c r="J114" s="1" t="str">
        <f>IF(AND(Programme_Grunddaten!$A122="Geprüft",Programme_Grunddaten!Q122&lt;&gt;""),IF(Programme_Grunddaten!Q122="geschlossenes System",1,0),"")</f>
        <v/>
      </c>
      <c r="K114" s="1" t="str">
        <f>IF(AND(Programme_Grunddaten!$A122="Geprüft",Programme_Grunddaten!R122&lt;&gt;""),IF(Programme_Grunddaten!R122="Ja",1,0),"")</f>
        <v/>
      </c>
      <c r="L114" s="1" t="str">
        <f>IF(AND(Programme_Grunddaten!$A122="Geprüft",Programme_Grunddaten!T122&lt;&gt;""),IF(Programme_Grunddaten!T122="Ja",1,0),"")</f>
        <v/>
      </c>
      <c r="M114" s="1" t="str">
        <f>IF(AND(Programme_Grunddaten!$A122="Geprüft",Programme_Grunddaten!U122&lt;&gt;""),IF(Programme_Grunddaten!U122="Ja",1,0),"")</f>
        <v/>
      </c>
      <c r="N114" s="1" t="str">
        <f>IF(AND(Programme_Grunddaten!$A122="Geprüft",Programme_Grunddaten!V122&lt;&gt;""),IF(Programme_Grunddaten!V122="Ja",1,0),"")</f>
        <v/>
      </c>
      <c r="O114" s="1" t="str">
        <f>IF(AND(Programme_Grunddaten!$A122="Geprüft",Programme_Grunddaten!W122&lt;&gt;""),IF(Programme_Grunddaten!W122="Ja",1,0),"")</f>
        <v/>
      </c>
      <c r="P114" s="1" t="str">
        <f>IF(AND(Programme_Grunddaten!$A122="Geprüft",Programme_Grunddaten!X122&lt;&gt;""),IF(Programme_Grunddaten!X122="Ja",1,0),"")</f>
        <v/>
      </c>
      <c r="Q114" s="1" t="str">
        <f>IF(AND(Programme_Grunddaten!$A122="Geprüft",Programme_Grunddaten!Y122&lt;&gt;""),IF(Programme_Grunddaten!Y122="Ja",1,0),"")</f>
        <v/>
      </c>
      <c r="R114" s="1" t="str">
        <f>IF(AND(Programme_Grunddaten!$A122="Geprüft",Programme_Grunddaten!Z122&lt;&gt;""),IF(Programme_Grunddaten!Z122="Ja",1,0),"")</f>
        <v/>
      </c>
      <c r="S114" s="1" t="str">
        <f>IF(AND(Programme_Grunddaten!$A122="Geprüft",Programme_Grunddaten!AA122&lt;&gt;""),IF(Programme_Grunddaten!AA122="monolithisch",1,0),"")</f>
        <v/>
      </c>
      <c r="T114" s="1" t="str">
        <f>IF(AND(Programme_Grunddaten!$A122="Geprüft",Programme_Grunddaten!AB122&lt;&gt;""),IF(Programme_Grunddaten!AB122="Ja",1,0),"")</f>
        <v/>
      </c>
      <c r="U114" s="1" t="str">
        <f>IF(AND(Programme_Grunddaten!$A122="Geprüft",Programme_Grunddaten!AC122&lt;&gt;""),IF(Programme_Grunddaten!AC122="Ja",1,0),"")</f>
        <v/>
      </c>
      <c r="V114" s="1" t="str">
        <f>IF(AND(Programme_Grunddaten!$A122="Geprüft",Programme_Grunddaten!AD122&lt;&gt;""),IF(Programme_Grunddaten!AD122="Ja",1,0),"")</f>
        <v/>
      </c>
      <c r="W114" s="1" t="str">
        <f>IF(AND(Programme_Grunddaten!$A122="Geprüft",Programme_Grunddaten!AE122&lt;&gt;""),IF(Programme_Grunddaten!AE122="Ja",1,0),"")</f>
        <v/>
      </c>
      <c r="X114" s="1" t="str">
        <f>IF(AND(Programme_Grunddaten!$A122="Geprüft",Programme_Grunddaten!AF122&lt;&gt;""),IF(Programme_Grunddaten!AF122="Ja",1,0),"")</f>
        <v/>
      </c>
      <c r="Y114" s="1" t="str">
        <f>IF(AND(Programme_Grunddaten!$A122="Geprüft",Programme_Grunddaten!AG122&lt;&gt;""),IF(Programme_Grunddaten!AG122="Ja",1,0),"")</f>
        <v/>
      </c>
      <c r="Z114" s="1" t="str">
        <f>IF(AND(Programme_Grunddaten!$A122="Geprüft",Programme_Grunddaten!AH122&lt;&gt;""),IF(Programme_Grunddaten!AH122="Ja",1,0),"")</f>
        <v/>
      </c>
      <c r="AA114" s="1" t="str">
        <f>IF(AND(Programme_Grunddaten!$A122="Geprüft",Programme_Grunddaten!AI122&lt;&gt;""),IF(Programme_Grunddaten!AI122="Ja",1,0),"")</f>
        <v/>
      </c>
      <c r="AB114" s="1" t="str">
        <f>IF(AND(Programme_Grunddaten!$A122="Geprüft",Programme_Grunddaten!AJ122&lt;&gt;""),IF(Programme_Grunddaten!AJ122="individuell programmierbar",1,0),"")</f>
        <v/>
      </c>
      <c r="AC114" s="1" t="str">
        <f>IF(AND(Programme_Grunddaten!$A122="Geprüft",Programme_Grunddaten!AK122&lt;&gt;""),IF(Programme_Grunddaten!AK122="Deutsch",0,IF(Programme_Grunddaten!AK122="Deutsch und Englisch",1,2)),"")</f>
        <v/>
      </c>
      <c r="AD114" s="1" t="str">
        <f>IF(AND(Programme_Grunddaten!$A122="Geprüft",Programme_Grunddaten!AL122&lt;&gt;""),IF(Programme_Grunddaten!AL122="Ja",1,0),"")</f>
        <v/>
      </c>
      <c r="AE114" s="1" t="str">
        <f>IF(AND(Programme_Grunddaten!$A122="Geprüft",Programme_Grunddaten!AM122&lt;&gt;""),IF(Programme_Grunddaten!AM122="Ja",1,0),"")</f>
        <v/>
      </c>
      <c r="AF114" s="1" t="str">
        <f>IF(AND(Programme_Grunddaten!$A122="Geprüft",Programme_Grunddaten!AN122&lt;&gt;""),IF(Programme_Grunddaten!AN122="Ja",1,0),"")</f>
        <v/>
      </c>
      <c r="AG114" s="1" t="str">
        <f>IF(AND(Programme_Grunddaten!$A122="Geprüft",Programme_Grunddaten!AO122&lt;&gt;""),IF(Programme_Grunddaten!AO122="Ja",1,0),"")</f>
        <v/>
      </c>
      <c r="AH114" s="1" t="str">
        <f>IF(AND(Programme_Grunddaten!$A122="Geprüft",Programme_Grunddaten!AP122&lt;&gt;""),IF(Programme_Grunddaten!AP122="Ja",1,0),"")</f>
        <v/>
      </c>
      <c r="AI114" s="1" t="str">
        <f>IF(AND(Programme_Grunddaten!$A122="Geprüft",Programme_Grunddaten!AQ122&lt;&gt;""),IF(Programme_Grunddaten!AQ122="Ja",1,0),"")</f>
        <v/>
      </c>
      <c r="AJ114" s="1" t="str">
        <f>IF(AND(Programme_Grunddaten!$A122="Geprüft",Programme_Grunddaten!AR122&lt;&gt;""),IF(Programme_Grunddaten!AR122="Ja",1,0),"")</f>
        <v/>
      </c>
      <c r="AK114" s="1" t="str">
        <f>IF(AND(Programme_Grunddaten!$A122="Geprüft",Programme_Grunddaten!AS122&lt;&gt;""),IF(Programme_Grunddaten!AS122="Ja",1,0),"")</f>
        <v/>
      </c>
      <c r="AL114" s="1" t="str">
        <f>IF(AND(Programme_Grunddaten!$A122="Geprüft",Programme_Grunddaten!AT122&lt;&gt;""),IF(Programme_Grunddaten!AT122="Ja",1,0),"")</f>
        <v/>
      </c>
      <c r="AM114" s="1" t="str">
        <f>IF(AND(Programme_Grunddaten!$A122="Geprüft",Programme_Grunddaten!AU122&lt;&gt;""),IF(Programme_Grunddaten!AU122="Ja",1,0),"")</f>
        <v/>
      </c>
      <c r="AN114" s="1" t="str">
        <f>IF(AND(Programme_Grunddaten!$A122="Geprüft",Programme_Grunddaten!AV122&lt;&gt;""),IF(Programme_Grunddaten!AV122="Ja",1,0),"")</f>
        <v/>
      </c>
    </row>
    <row r="115" spans="1:40" x14ac:dyDescent="0.3">
      <c r="A115" s="1" t="str">
        <f>IF(AND(Programme_Grunddaten!A123="Geprüft",Programme_Grunddaten!B123&lt;&gt;""),Programme_Grunddaten!B123,"")</f>
        <v/>
      </c>
      <c r="B115" s="1" t="str">
        <f>IF(AND(Programme_Grunddaten!$A123="Geprüft",Programme_Grunddaten!I123&lt;&gt;""),IF(Programme_Grunddaten!I123="Ja",1,0),"")</f>
        <v/>
      </c>
      <c r="C115" s="1" t="str">
        <f>IF(AND(Programme_Grunddaten!$A123="Geprüft",Programme_Grunddaten!J123&lt;&gt;""),IF(Programme_Grunddaten!J123="Ja",1,0),"")</f>
        <v/>
      </c>
      <c r="D115" s="1" t="str">
        <f>IF(AND(Programme_Grunddaten!$A123="Geprüft",Programme_Grunddaten!K123&lt;&gt;""),IF(Programme_Grunddaten!K123="Ja",1,0),"")</f>
        <v/>
      </c>
      <c r="E115" s="1" t="str">
        <f>IF(AND(Programme_Grunddaten!$A123="Geprüft",Programme_Grunddaten!L123&lt;&gt;""),IF(Programme_Grunddaten!L123="Abo / befristete Lizenz",1,0),"")</f>
        <v/>
      </c>
      <c r="F115" s="1" t="str">
        <f>IF(AND(Programme_Grunddaten!$A123="Geprüft",Programme_Grunddaten!M123&lt;&gt;""),IF(Programme_Grunddaten!M123="Ja",1,0),"")</f>
        <v/>
      </c>
      <c r="G115" s="1" t="str">
        <f>IF(AND(Programme_Grunddaten!$A123="Geprüft",Programme_Grunddaten!N123&lt;&gt;""),IF(Programme_Grunddaten!N123="Ja",1,0),"")</f>
        <v/>
      </c>
      <c r="H115" s="1" t="str">
        <f>IF(AND(Programme_Grunddaten!$A123="Geprüft",Programme_Grunddaten!O123&lt;&gt;""),IF(Programme_Grunddaten!O123="Deutschland",0,IF(Programme_Grunddaten!O123="EU",1,2)),"")</f>
        <v/>
      </c>
      <c r="I115" s="1" t="str">
        <f>IF(AND(Programme_Grunddaten!$A123="Geprüft",Programme_Grunddaten!P123&lt;&gt;""),IF(Programme_Grunddaten!P123="Ja",1,0),"")</f>
        <v/>
      </c>
      <c r="J115" s="1" t="str">
        <f>IF(AND(Programme_Grunddaten!$A123="Geprüft",Programme_Grunddaten!Q123&lt;&gt;""),IF(Programme_Grunddaten!Q123="geschlossenes System",1,0),"")</f>
        <v/>
      </c>
      <c r="K115" s="1" t="str">
        <f>IF(AND(Programme_Grunddaten!$A123="Geprüft",Programme_Grunddaten!R123&lt;&gt;""),IF(Programme_Grunddaten!R123="Ja",1,0),"")</f>
        <v/>
      </c>
      <c r="L115" s="1" t="str">
        <f>IF(AND(Programme_Grunddaten!$A123="Geprüft",Programme_Grunddaten!T123&lt;&gt;""),IF(Programme_Grunddaten!T123="Ja",1,0),"")</f>
        <v/>
      </c>
      <c r="M115" s="1" t="str">
        <f>IF(AND(Programme_Grunddaten!$A123="Geprüft",Programme_Grunddaten!U123&lt;&gt;""),IF(Programme_Grunddaten!U123="Ja",1,0),"")</f>
        <v/>
      </c>
      <c r="N115" s="1" t="str">
        <f>IF(AND(Programme_Grunddaten!$A123="Geprüft",Programme_Grunddaten!V123&lt;&gt;""),IF(Programme_Grunddaten!V123="Ja",1,0),"")</f>
        <v/>
      </c>
      <c r="O115" s="1" t="str">
        <f>IF(AND(Programme_Grunddaten!$A123="Geprüft",Programme_Grunddaten!W123&lt;&gt;""),IF(Programme_Grunddaten!W123="Ja",1,0),"")</f>
        <v/>
      </c>
      <c r="P115" s="1" t="str">
        <f>IF(AND(Programme_Grunddaten!$A123="Geprüft",Programme_Grunddaten!X123&lt;&gt;""),IF(Programme_Grunddaten!X123="Ja",1,0),"")</f>
        <v/>
      </c>
      <c r="Q115" s="1" t="str">
        <f>IF(AND(Programme_Grunddaten!$A123="Geprüft",Programme_Grunddaten!Y123&lt;&gt;""),IF(Programme_Grunddaten!Y123="Ja",1,0),"")</f>
        <v/>
      </c>
      <c r="R115" s="1" t="str">
        <f>IF(AND(Programme_Grunddaten!$A123="Geprüft",Programme_Grunddaten!Z123&lt;&gt;""),IF(Programme_Grunddaten!Z123="Ja",1,0),"")</f>
        <v/>
      </c>
      <c r="S115" s="1" t="str">
        <f>IF(AND(Programme_Grunddaten!$A123="Geprüft",Programme_Grunddaten!AA123&lt;&gt;""),IF(Programme_Grunddaten!AA123="monolithisch",1,0),"")</f>
        <v/>
      </c>
      <c r="T115" s="1" t="str">
        <f>IF(AND(Programme_Grunddaten!$A123="Geprüft",Programme_Grunddaten!AB123&lt;&gt;""),IF(Programme_Grunddaten!AB123="Ja",1,0),"")</f>
        <v/>
      </c>
      <c r="U115" s="1" t="str">
        <f>IF(AND(Programme_Grunddaten!$A123="Geprüft",Programme_Grunddaten!AC123&lt;&gt;""),IF(Programme_Grunddaten!AC123="Ja",1,0),"")</f>
        <v/>
      </c>
      <c r="V115" s="1" t="str">
        <f>IF(AND(Programme_Grunddaten!$A123="Geprüft",Programme_Grunddaten!AD123&lt;&gt;""),IF(Programme_Grunddaten!AD123="Ja",1,0),"")</f>
        <v/>
      </c>
      <c r="W115" s="1" t="str">
        <f>IF(AND(Programme_Grunddaten!$A123="Geprüft",Programme_Grunddaten!AE123&lt;&gt;""),IF(Programme_Grunddaten!AE123="Ja",1,0),"")</f>
        <v/>
      </c>
      <c r="X115" s="1" t="str">
        <f>IF(AND(Programme_Grunddaten!$A123="Geprüft",Programme_Grunddaten!AF123&lt;&gt;""),IF(Programme_Grunddaten!AF123="Ja",1,0),"")</f>
        <v/>
      </c>
      <c r="Y115" s="1" t="str">
        <f>IF(AND(Programme_Grunddaten!$A123="Geprüft",Programme_Grunddaten!AG123&lt;&gt;""),IF(Programme_Grunddaten!AG123="Ja",1,0),"")</f>
        <v/>
      </c>
      <c r="Z115" s="1" t="str">
        <f>IF(AND(Programme_Grunddaten!$A123="Geprüft",Programme_Grunddaten!AH123&lt;&gt;""),IF(Programme_Grunddaten!AH123="Ja",1,0),"")</f>
        <v/>
      </c>
      <c r="AA115" s="1" t="str">
        <f>IF(AND(Programme_Grunddaten!$A123="Geprüft",Programme_Grunddaten!AI123&lt;&gt;""),IF(Programme_Grunddaten!AI123="Ja",1,0),"")</f>
        <v/>
      </c>
      <c r="AB115" s="1" t="str">
        <f>IF(AND(Programme_Grunddaten!$A123="Geprüft",Programme_Grunddaten!AJ123&lt;&gt;""),IF(Programme_Grunddaten!AJ123="individuell programmierbar",1,0),"")</f>
        <v/>
      </c>
      <c r="AC115" s="1" t="str">
        <f>IF(AND(Programme_Grunddaten!$A123="Geprüft",Programme_Grunddaten!AK123&lt;&gt;""),IF(Programme_Grunddaten!AK123="Deutsch",0,IF(Programme_Grunddaten!AK123="Deutsch und Englisch",1,2)),"")</f>
        <v/>
      </c>
      <c r="AD115" s="1" t="str">
        <f>IF(AND(Programme_Grunddaten!$A123="Geprüft",Programme_Grunddaten!AL123&lt;&gt;""),IF(Programme_Grunddaten!AL123="Ja",1,0),"")</f>
        <v/>
      </c>
      <c r="AE115" s="1" t="str">
        <f>IF(AND(Programme_Grunddaten!$A123="Geprüft",Programme_Grunddaten!AM123&lt;&gt;""),IF(Programme_Grunddaten!AM123="Ja",1,0),"")</f>
        <v/>
      </c>
      <c r="AF115" s="1" t="str">
        <f>IF(AND(Programme_Grunddaten!$A123="Geprüft",Programme_Grunddaten!AN123&lt;&gt;""),IF(Programme_Grunddaten!AN123="Ja",1,0),"")</f>
        <v/>
      </c>
      <c r="AG115" s="1" t="str">
        <f>IF(AND(Programme_Grunddaten!$A123="Geprüft",Programme_Grunddaten!AO123&lt;&gt;""),IF(Programme_Grunddaten!AO123="Ja",1,0),"")</f>
        <v/>
      </c>
      <c r="AH115" s="1" t="str">
        <f>IF(AND(Programme_Grunddaten!$A123="Geprüft",Programme_Grunddaten!AP123&lt;&gt;""),IF(Programme_Grunddaten!AP123="Ja",1,0),"")</f>
        <v/>
      </c>
      <c r="AI115" s="1" t="str">
        <f>IF(AND(Programme_Grunddaten!$A123="Geprüft",Programme_Grunddaten!AQ123&lt;&gt;""),IF(Programme_Grunddaten!AQ123="Ja",1,0),"")</f>
        <v/>
      </c>
      <c r="AJ115" s="1" t="str">
        <f>IF(AND(Programme_Grunddaten!$A123="Geprüft",Programme_Grunddaten!AR123&lt;&gt;""),IF(Programme_Grunddaten!AR123="Ja",1,0),"")</f>
        <v/>
      </c>
      <c r="AK115" s="1" t="str">
        <f>IF(AND(Programme_Grunddaten!$A123="Geprüft",Programme_Grunddaten!AS123&lt;&gt;""),IF(Programme_Grunddaten!AS123="Ja",1,0),"")</f>
        <v/>
      </c>
      <c r="AL115" s="1" t="str">
        <f>IF(AND(Programme_Grunddaten!$A123="Geprüft",Programme_Grunddaten!AT123&lt;&gt;""),IF(Programme_Grunddaten!AT123="Ja",1,0),"")</f>
        <v/>
      </c>
      <c r="AM115" s="1" t="str">
        <f>IF(AND(Programme_Grunddaten!$A123="Geprüft",Programme_Grunddaten!AU123&lt;&gt;""),IF(Programme_Grunddaten!AU123="Ja",1,0),"")</f>
        <v/>
      </c>
      <c r="AN115" s="1" t="str">
        <f>IF(AND(Programme_Grunddaten!$A123="Geprüft",Programme_Grunddaten!AV123&lt;&gt;""),IF(Programme_Grunddaten!AV123="Ja",1,0),"")</f>
        <v/>
      </c>
    </row>
    <row r="116" spans="1:40" x14ac:dyDescent="0.3">
      <c r="A116" s="1" t="str">
        <f>IF(AND(Programme_Grunddaten!A124="Geprüft",Programme_Grunddaten!B124&lt;&gt;""),Programme_Grunddaten!B124,"")</f>
        <v/>
      </c>
      <c r="B116" s="1" t="str">
        <f>IF(AND(Programme_Grunddaten!$A124="Geprüft",Programme_Grunddaten!I124&lt;&gt;""),IF(Programme_Grunddaten!I124="Ja",1,0),"")</f>
        <v/>
      </c>
      <c r="C116" s="1" t="str">
        <f>IF(AND(Programme_Grunddaten!$A124="Geprüft",Programme_Grunddaten!J124&lt;&gt;""),IF(Programme_Grunddaten!J124="Ja",1,0),"")</f>
        <v/>
      </c>
      <c r="D116" s="1" t="str">
        <f>IF(AND(Programme_Grunddaten!$A124="Geprüft",Programme_Grunddaten!K124&lt;&gt;""),IF(Programme_Grunddaten!K124="Ja",1,0),"")</f>
        <v/>
      </c>
      <c r="E116" s="1" t="str">
        <f>IF(AND(Programme_Grunddaten!$A124="Geprüft",Programme_Grunddaten!L124&lt;&gt;""),IF(Programme_Grunddaten!L124="Abo / befristete Lizenz",1,0),"")</f>
        <v/>
      </c>
      <c r="F116" s="1" t="str">
        <f>IF(AND(Programme_Grunddaten!$A124="Geprüft",Programme_Grunddaten!M124&lt;&gt;""),IF(Programme_Grunddaten!M124="Ja",1,0),"")</f>
        <v/>
      </c>
      <c r="G116" s="1" t="str">
        <f>IF(AND(Programme_Grunddaten!$A124="Geprüft",Programme_Grunddaten!N124&lt;&gt;""),IF(Programme_Grunddaten!N124="Ja",1,0),"")</f>
        <v/>
      </c>
      <c r="H116" s="1" t="str">
        <f>IF(AND(Programme_Grunddaten!$A124="Geprüft",Programme_Grunddaten!O124&lt;&gt;""),IF(Programme_Grunddaten!O124="Deutschland",0,IF(Programme_Grunddaten!O124="EU",1,2)),"")</f>
        <v/>
      </c>
      <c r="I116" s="1" t="str">
        <f>IF(AND(Programme_Grunddaten!$A124="Geprüft",Programme_Grunddaten!P124&lt;&gt;""),IF(Programme_Grunddaten!P124="Ja",1,0),"")</f>
        <v/>
      </c>
      <c r="J116" s="1" t="str">
        <f>IF(AND(Programme_Grunddaten!$A124="Geprüft",Programme_Grunddaten!Q124&lt;&gt;""),IF(Programme_Grunddaten!Q124="geschlossenes System",1,0),"")</f>
        <v/>
      </c>
      <c r="K116" s="1" t="str">
        <f>IF(AND(Programme_Grunddaten!$A124="Geprüft",Programme_Grunddaten!R124&lt;&gt;""),IF(Programme_Grunddaten!R124="Ja",1,0),"")</f>
        <v/>
      </c>
      <c r="L116" s="1" t="str">
        <f>IF(AND(Programme_Grunddaten!$A124="Geprüft",Programme_Grunddaten!T124&lt;&gt;""),IF(Programme_Grunddaten!T124="Ja",1,0),"")</f>
        <v/>
      </c>
      <c r="M116" s="1" t="str">
        <f>IF(AND(Programme_Grunddaten!$A124="Geprüft",Programme_Grunddaten!U124&lt;&gt;""),IF(Programme_Grunddaten!U124="Ja",1,0),"")</f>
        <v/>
      </c>
      <c r="N116" s="1" t="str">
        <f>IF(AND(Programme_Grunddaten!$A124="Geprüft",Programme_Grunddaten!V124&lt;&gt;""),IF(Programme_Grunddaten!V124="Ja",1,0),"")</f>
        <v/>
      </c>
      <c r="O116" s="1" t="str">
        <f>IF(AND(Programme_Grunddaten!$A124="Geprüft",Programme_Grunddaten!W124&lt;&gt;""),IF(Programme_Grunddaten!W124="Ja",1,0),"")</f>
        <v/>
      </c>
      <c r="P116" s="1" t="str">
        <f>IF(AND(Programme_Grunddaten!$A124="Geprüft",Programme_Grunddaten!X124&lt;&gt;""),IF(Programme_Grunddaten!X124="Ja",1,0),"")</f>
        <v/>
      </c>
      <c r="Q116" s="1" t="str">
        <f>IF(AND(Programme_Grunddaten!$A124="Geprüft",Programme_Grunddaten!Y124&lt;&gt;""),IF(Programme_Grunddaten!Y124="Ja",1,0),"")</f>
        <v/>
      </c>
      <c r="R116" s="1" t="str">
        <f>IF(AND(Programme_Grunddaten!$A124="Geprüft",Programme_Grunddaten!Z124&lt;&gt;""),IF(Programme_Grunddaten!Z124="Ja",1,0),"")</f>
        <v/>
      </c>
      <c r="S116" s="1" t="str">
        <f>IF(AND(Programme_Grunddaten!$A124="Geprüft",Programme_Grunddaten!AA124&lt;&gt;""),IF(Programme_Grunddaten!AA124="monolithisch",1,0),"")</f>
        <v/>
      </c>
      <c r="T116" s="1" t="str">
        <f>IF(AND(Programme_Grunddaten!$A124="Geprüft",Programme_Grunddaten!AB124&lt;&gt;""),IF(Programme_Grunddaten!AB124="Ja",1,0),"")</f>
        <v/>
      </c>
      <c r="U116" s="1" t="str">
        <f>IF(AND(Programme_Grunddaten!$A124="Geprüft",Programme_Grunddaten!AC124&lt;&gt;""),IF(Programme_Grunddaten!AC124="Ja",1,0),"")</f>
        <v/>
      </c>
      <c r="V116" s="1" t="str">
        <f>IF(AND(Programme_Grunddaten!$A124="Geprüft",Programme_Grunddaten!AD124&lt;&gt;""),IF(Programme_Grunddaten!AD124="Ja",1,0),"")</f>
        <v/>
      </c>
      <c r="W116" s="1" t="str">
        <f>IF(AND(Programme_Grunddaten!$A124="Geprüft",Programme_Grunddaten!AE124&lt;&gt;""),IF(Programme_Grunddaten!AE124="Ja",1,0),"")</f>
        <v/>
      </c>
      <c r="X116" s="1" t="str">
        <f>IF(AND(Programme_Grunddaten!$A124="Geprüft",Programme_Grunddaten!AF124&lt;&gt;""),IF(Programme_Grunddaten!AF124="Ja",1,0),"")</f>
        <v/>
      </c>
      <c r="Y116" s="1" t="str">
        <f>IF(AND(Programme_Grunddaten!$A124="Geprüft",Programme_Grunddaten!AG124&lt;&gt;""),IF(Programme_Grunddaten!AG124="Ja",1,0),"")</f>
        <v/>
      </c>
      <c r="Z116" s="1" t="str">
        <f>IF(AND(Programme_Grunddaten!$A124="Geprüft",Programme_Grunddaten!AH124&lt;&gt;""),IF(Programme_Grunddaten!AH124="Ja",1,0),"")</f>
        <v/>
      </c>
      <c r="AA116" s="1" t="str">
        <f>IF(AND(Programme_Grunddaten!$A124="Geprüft",Programme_Grunddaten!AI124&lt;&gt;""),IF(Programme_Grunddaten!AI124="Ja",1,0),"")</f>
        <v/>
      </c>
      <c r="AB116" s="1" t="str">
        <f>IF(AND(Programme_Grunddaten!$A124="Geprüft",Programme_Grunddaten!AJ124&lt;&gt;""),IF(Programme_Grunddaten!AJ124="individuell programmierbar",1,0),"")</f>
        <v/>
      </c>
      <c r="AC116" s="1" t="str">
        <f>IF(AND(Programme_Grunddaten!$A124="Geprüft",Programme_Grunddaten!AK124&lt;&gt;""),IF(Programme_Grunddaten!AK124="Deutsch",0,IF(Programme_Grunddaten!AK124="Deutsch und Englisch",1,2)),"")</f>
        <v/>
      </c>
      <c r="AD116" s="1" t="str">
        <f>IF(AND(Programme_Grunddaten!$A124="Geprüft",Programme_Grunddaten!AL124&lt;&gt;""),IF(Programme_Grunddaten!AL124="Ja",1,0),"")</f>
        <v/>
      </c>
      <c r="AE116" s="1" t="str">
        <f>IF(AND(Programme_Grunddaten!$A124="Geprüft",Programme_Grunddaten!AM124&lt;&gt;""),IF(Programme_Grunddaten!AM124="Ja",1,0),"")</f>
        <v/>
      </c>
      <c r="AF116" s="1" t="str">
        <f>IF(AND(Programme_Grunddaten!$A124="Geprüft",Programme_Grunddaten!AN124&lt;&gt;""),IF(Programme_Grunddaten!AN124="Ja",1,0),"")</f>
        <v/>
      </c>
      <c r="AG116" s="1" t="str">
        <f>IF(AND(Programme_Grunddaten!$A124="Geprüft",Programme_Grunddaten!AO124&lt;&gt;""),IF(Programme_Grunddaten!AO124="Ja",1,0),"")</f>
        <v/>
      </c>
      <c r="AH116" s="1" t="str">
        <f>IF(AND(Programme_Grunddaten!$A124="Geprüft",Programme_Grunddaten!AP124&lt;&gt;""),IF(Programme_Grunddaten!AP124="Ja",1,0),"")</f>
        <v/>
      </c>
      <c r="AI116" s="1" t="str">
        <f>IF(AND(Programme_Grunddaten!$A124="Geprüft",Programme_Grunddaten!AQ124&lt;&gt;""),IF(Programme_Grunddaten!AQ124="Ja",1,0),"")</f>
        <v/>
      </c>
      <c r="AJ116" s="1" t="str">
        <f>IF(AND(Programme_Grunddaten!$A124="Geprüft",Programme_Grunddaten!AR124&lt;&gt;""),IF(Programme_Grunddaten!AR124="Ja",1,0),"")</f>
        <v/>
      </c>
      <c r="AK116" s="1" t="str">
        <f>IF(AND(Programme_Grunddaten!$A124="Geprüft",Programme_Grunddaten!AS124&lt;&gt;""),IF(Programme_Grunddaten!AS124="Ja",1,0),"")</f>
        <v/>
      </c>
      <c r="AL116" s="1" t="str">
        <f>IF(AND(Programme_Grunddaten!$A124="Geprüft",Programme_Grunddaten!AT124&lt;&gt;""),IF(Programme_Grunddaten!AT124="Ja",1,0),"")</f>
        <v/>
      </c>
      <c r="AM116" s="1" t="str">
        <f>IF(AND(Programme_Grunddaten!$A124="Geprüft",Programme_Grunddaten!AU124&lt;&gt;""),IF(Programme_Grunddaten!AU124="Ja",1,0),"")</f>
        <v/>
      </c>
      <c r="AN116" s="1" t="str">
        <f>IF(AND(Programme_Grunddaten!$A124="Geprüft",Programme_Grunddaten!AV124&lt;&gt;""),IF(Programme_Grunddaten!AV124="Ja",1,0),"")</f>
        <v/>
      </c>
    </row>
    <row r="117" spans="1:40" x14ac:dyDescent="0.3">
      <c r="A117" s="1" t="str">
        <f>IF(AND(Programme_Grunddaten!A125="Geprüft",Programme_Grunddaten!B125&lt;&gt;""),Programme_Grunddaten!B125,"")</f>
        <v/>
      </c>
      <c r="B117" s="1" t="str">
        <f>IF(AND(Programme_Grunddaten!$A125="Geprüft",Programme_Grunddaten!I125&lt;&gt;""),IF(Programme_Grunddaten!I125="Ja",1,0),"")</f>
        <v/>
      </c>
      <c r="C117" s="1" t="str">
        <f>IF(AND(Programme_Grunddaten!$A125="Geprüft",Programme_Grunddaten!J125&lt;&gt;""),IF(Programme_Grunddaten!J125="Ja",1,0),"")</f>
        <v/>
      </c>
      <c r="D117" s="1" t="str">
        <f>IF(AND(Programme_Grunddaten!$A125="Geprüft",Programme_Grunddaten!K125&lt;&gt;""),IF(Programme_Grunddaten!K125="Ja",1,0),"")</f>
        <v/>
      </c>
      <c r="E117" s="1" t="str">
        <f>IF(AND(Programme_Grunddaten!$A125="Geprüft",Programme_Grunddaten!L125&lt;&gt;""),IF(Programme_Grunddaten!L125="Abo / befristete Lizenz",1,0),"")</f>
        <v/>
      </c>
      <c r="F117" s="1" t="str">
        <f>IF(AND(Programme_Grunddaten!$A125="Geprüft",Programme_Grunddaten!M125&lt;&gt;""),IF(Programme_Grunddaten!M125="Ja",1,0),"")</f>
        <v/>
      </c>
      <c r="G117" s="1" t="str">
        <f>IF(AND(Programme_Grunddaten!$A125="Geprüft",Programme_Grunddaten!N125&lt;&gt;""),IF(Programme_Grunddaten!N125="Ja",1,0),"")</f>
        <v/>
      </c>
      <c r="H117" s="1" t="str">
        <f>IF(AND(Programme_Grunddaten!$A125="Geprüft",Programme_Grunddaten!O125&lt;&gt;""),IF(Programme_Grunddaten!O125="Deutschland",0,IF(Programme_Grunddaten!O125="EU",1,2)),"")</f>
        <v/>
      </c>
      <c r="I117" s="1" t="str">
        <f>IF(AND(Programme_Grunddaten!$A125="Geprüft",Programme_Grunddaten!P125&lt;&gt;""),IF(Programme_Grunddaten!P125="Ja",1,0),"")</f>
        <v/>
      </c>
      <c r="J117" s="1" t="str">
        <f>IF(AND(Programme_Grunddaten!$A125="Geprüft",Programme_Grunddaten!Q125&lt;&gt;""),IF(Programme_Grunddaten!Q125="geschlossenes System",1,0),"")</f>
        <v/>
      </c>
      <c r="K117" s="1" t="str">
        <f>IF(AND(Programme_Grunddaten!$A125="Geprüft",Programme_Grunddaten!R125&lt;&gt;""),IF(Programme_Grunddaten!R125="Ja",1,0),"")</f>
        <v/>
      </c>
      <c r="L117" s="1" t="str">
        <f>IF(AND(Programme_Grunddaten!$A125="Geprüft",Programme_Grunddaten!T125&lt;&gt;""),IF(Programme_Grunddaten!T125="Ja",1,0),"")</f>
        <v/>
      </c>
      <c r="M117" s="1" t="str">
        <f>IF(AND(Programme_Grunddaten!$A125="Geprüft",Programme_Grunddaten!U125&lt;&gt;""),IF(Programme_Grunddaten!U125="Ja",1,0),"")</f>
        <v/>
      </c>
      <c r="N117" s="1" t="str">
        <f>IF(AND(Programme_Grunddaten!$A125="Geprüft",Programme_Grunddaten!V125&lt;&gt;""),IF(Programme_Grunddaten!V125="Ja",1,0),"")</f>
        <v/>
      </c>
      <c r="O117" s="1" t="str">
        <f>IF(AND(Programme_Grunddaten!$A125="Geprüft",Programme_Grunddaten!W125&lt;&gt;""),IF(Programme_Grunddaten!W125="Ja",1,0),"")</f>
        <v/>
      </c>
      <c r="P117" s="1" t="str">
        <f>IF(AND(Programme_Grunddaten!$A125="Geprüft",Programme_Grunddaten!X125&lt;&gt;""),IF(Programme_Grunddaten!X125="Ja",1,0),"")</f>
        <v/>
      </c>
      <c r="Q117" s="1" t="str">
        <f>IF(AND(Programme_Grunddaten!$A125="Geprüft",Programme_Grunddaten!Y125&lt;&gt;""),IF(Programme_Grunddaten!Y125="Ja",1,0),"")</f>
        <v/>
      </c>
      <c r="R117" s="1" t="str">
        <f>IF(AND(Programme_Grunddaten!$A125="Geprüft",Programme_Grunddaten!Z125&lt;&gt;""),IF(Programme_Grunddaten!Z125="Ja",1,0),"")</f>
        <v/>
      </c>
      <c r="S117" s="1" t="str">
        <f>IF(AND(Programme_Grunddaten!$A125="Geprüft",Programme_Grunddaten!AA125&lt;&gt;""),IF(Programme_Grunddaten!AA125="monolithisch",1,0),"")</f>
        <v/>
      </c>
      <c r="T117" s="1" t="str">
        <f>IF(AND(Programme_Grunddaten!$A125="Geprüft",Programme_Grunddaten!AB125&lt;&gt;""),IF(Programme_Grunddaten!AB125="Ja",1,0),"")</f>
        <v/>
      </c>
      <c r="U117" s="1" t="str">
        <f>IF(AND(Programme_Grunddaten!$A125="Geprüft",Programme_Grunddaten!AC125&lt;&gt;""),IF(Programme_Grunddaten!AC125="Ja",1,0),"")</f>
        <v/>
      </c>
      <c r="V117" s="1" t="str">
        <f>IF(AND(Programme_Grunddaten!$A125="Geprüft",Programme_Grunddaten!AD125&lt;&gt;""),IF(Programme_Grunddaten!AD125="Ja",1,0),"")</f>
        <v/>
      </c>
      <c r="W117" s="1" t="str">
        <f>IF(AND(Programme_Grunddaten!$A125="Geprüft",Programme_Grunddaten!AE125&lt;&gt;""),IF(Programme_Grunddaten!AE125="Ja",1,0),"")</f>
        <v/>
      </c>
      <c r="X117" s="1" t="str">
        <f>IF(AND(Programme_Grunddaten!$A125="Geprüft",Programme_Grunddaten!AF125&lt;&gt;""),IF(Programme_Grunddaten!AF125="Ja",1,0),"")</f>
        <v/>
      </c>
      <c r="Y117" s="1" t="str">
        <f>IF(AND(Programme_Grunddaten!$A125="Geprüft",Programme_Grunddaten!AG125&lt;&gt;""),IF(Programme_Grunddaten!AG125="Ja",1,0),"")</f>
        <v/>
      </c>
      <c r="Z117" s="1" t="str">
        <f>IF(AND(Programme_Grunddaten!$A125="Geprüft",Programme_Grunddaten!AH125&lt;&gt;""),IF(Programme_Grunddaten!AH125="Ja",1,0),"")</f>
        <v/>
      </c>
      <c r="AA117" s="1" t="str">
        <f>IF(AND(Programme_Grunddaten!$A125="Geprüft",Programme_Grunddaten!AI125&lt;&gt;""),IF(Programme_Grunddaten!AI125="Ja",1,0),"")</f>
        <v/>
      </c>
      <c r="AB117" s="1" t="str">
        <f>IF(AND(Programme_Grunddaten!$A125="Geprüft",Programme_Grunddaten!AJ125&lt;&gt;""),IF(Programme_Grunddaten!AJ125="individuell programmierbar",1,0),"")</f>
        <v/>
      </c>
      <c r="AC117" s="1" t="str">
        <f>IF(AND(Programme_Grunddaten!$A125="Geprüft",Programme_Grunddaten!AK125&lt;&gt;""),IF(Programme_Grunddaten!AK125="Deutsch",0,IF(Programme_Grunddaten!AK125="Deutsch und Englisch",1,2)),"")</f>
        <v/>
      </c>
      <c r="AD117" s="1" t="str">
        <f>IF(AND(Programme_Grunddaten!$A125="Geprüft",Programme_Grunddaten!AL125&lt;&gt;""),IF(Programme_Grunddaten!AL125="Ja",1,0),"")</f>
        <v/>
      </c>
      <c r="AE117" s="1" t="str">
        <f>IF(AND(Programme_Grunddaten!$A125="Geprüft",Programme_Grunddaten!AM125&lt;&gt;""),IF(Programme_Grunddaten!AM125="Ja",1,0),"")</f>
        <v/>
      </c>
      <c r="AF117" s="1" t="str">
        <f>IF(AND(Programme_Grunddaten!$A125="Geprüft",Programme_Grunddaten!AN125&lt;&gt;""),IF(Programme_Grunddaten!AN125="Ja",1,0),"")</f>
        <v/>
      </c>
      <c r="AG117" s="1" t="str">
        <f>IF(AND(Programme_Grunddaten!$A125="Geprüft",Programme_Grunddaten!AO125&lt;&gt;""),IF(Programme_Grunddaten!AO125="Ja",1,0),"")</f>
        <v/>
      </c>
      <c r="AH117" s="1" t="str">
        <f>IF(AND(Programme_Grunddaten!$A125="Geprüft",Programme_Grunddaten!AP125&lt;&gt;""),IF(Programme_Grunddaten!AP125="Ja",1,0),"")</f>
        <v/>
      </c>
      <c r="AI117" s="1" t="str">
        <f>IF(AND(Programme_Grunddaten!$A125="Geprüft",Programme_Grunddaten!AQ125&lt;&gt;""),IF(Programme_Grunddaten!AQ125="Ja",1,0),"")</f>
        <v/>
      </c>
      <c r="AJ117" s="1" t="str">
        <f>IF(AND(Programme_Grunddaten!$A125="Geprüft",Programme_Grunddaten!AR125&lt;&gt;""),IF(Programme_Grunddaten!AR125="Ja",1,0),"")</f>
        <v/>
      </c>
      <c r="AK117" s="1" t="str">
        <f>IF(AND(Programme_Grunddaten!$A125="Geprüft",Programme_Grunddaten!AS125&lt;&gt;""),IF(Programme_Grunddaten!AS125="Ja",1,0),"")</f>
        <v/>
      </c>
      <c r="AL117" s="1" t="str">
        <f>IF(AND(Programme_Grunddaten!$A125="Geprüft",Programme_Grunddaten!AT125&lt;&gt;""),IF(Programme_Grunddaten!AT125="Ja",1,0),"")</f>
        <v/>
      </c>
      <c r="AM117" s="1" t="str">
        <f>IF(AND(Programme_Grunddaten!$A125="Geprüft",Programme_Grunddaten!AU125&lt;&gt;""),IF(Programme_Grunddaten!AU125="Ja",1,0),"")</f>
        <v/>
      </c>
      <c r="AN117" s="1" t="str">
        <f>IF(AND(Programme_Grunddaten!$A125="Geprüft",Programme_Grunddaten!AV125&lt;&gt;""),IF(Programme_Grunddaten!AV125="Ja",1,0),"")</f>
        <v/>
      </c>
    </row>
    <row r="118" spans="1:40" x14ac:dyDescent="0.3">
      <c r="A118" s="1" t="str">
        <f>IF(AND(Programme_Grunddaten!A126="Geprüft",Programme_Grunddaten!B126&lt;&gt;""),Programme_Grunddaten!B126,"")</f>
        <v/>
      </c>
      <c r="B118" s="1" t="str">
        <f>IF(AND(Programme_Grunddaten!$A126="Geprüft",Programme_Grunddaten!I126&lt;&gt;""),IF(Programme_Grunddaten!I126="Ja",1,0),"")</f>
        <v/>
      </c>
      <c r="C118" s="1" t="str">
        <f>IF(AND(Programme_Grunddaten!$A126="Geprüft",Programme_Grunddaten!J126&lt;&gt;""),IF(Programme_Grunddaten!J126="Ja",1,0),"")</f>
        <v/>
      </c>
      <c r="D118" s="1" t="str">
        <f>IF(AND(Programme_Grunddaten!$A126="Geprüft",Programme_Grunddaten!K126&lt;&gt;""),IF(Programme_Grunddaten!K126="Ja",1,0),"")</f>
        <v/>
      </c>
      <c r="E118" s="1" t="str">
        <f>IF(AND(Programme_Grunddaten!$A126="Geprüft",Programme_Grunddaten!L126&lt;&gt;""),IF(Programme_Grunddaten!L126="Abo / befristete Lizenz",1,0),"")</f>
        <v/>
      </c>
      <c r="F118" s="1" t="str">
        <f>IF(AND(Programme_Grunddaten!$A126="Geprüft",Programme_Grunddaten!M126&lt;&gt;""),IF(Programme_Grunddaten!M126="Ja",1,0),"")</f>
        <v/>
      </c>
      <c r="G118" s="1" t="str">
        <f>IF(AND(Programme_Grunddaten!$A126="Geprüft",Programme_Grunddaten!N126&lt;&gt;""),IF(Programme_Grunddaten!N126="Ja",1,0),"")</f>
        <v/>
      </c>
      <c r="H118" s="1" t="str">
        <f>IF(AND(Programme_Grunddaten!$A126="Geprüft",Programme_Grunddaten!O126&lt;&gt;""),IF(Programme_Grunddaten!O126="Deutschland",0,IF(Programme_Grunddaten!O126="EU",1,2)),"")</f>
        <v/>
      </c>
      <c r="I118" s="1" t="str">
        <f>IF(AND(Programme_Grunddaten!$A126="Geprüft",Programme_Grunddaten!P126&lt;&gt;""),IF(Programme_Grunddaten!P126="Ja",1,0),"")</f>
        <v/>
      </c>
      <c r="J118" s="1" t="str">
        <f>IF(AND(Programme_Grunddaten!$A126="Geprüft",Programme_Grunddaten!Q126&lt;&gt;""),IF(Programme_Grunddaten!Q126="geschlossenes System",1,0),"")</f>
        <v/>
      </c>
      <c r="K118" s="1" t="str">
        <f>IF(AND(Programme_Grunddaten!$A126="Geprüft",Programme_Grunddaten!R126&lt;&gt;""),IF(Programme_Grunddaten!R126="Ja",1,0),"")</f>
        <v/>
      </c>
      <c r="L118" s="1" t="str">
        <f>IF(AND(Programme_Grunddaten!$A126="Geprüft",Programme_Grunddaten!T126&lt;&gt;""),IF(Programme_Grunddaten!T126="Ja",1,0),"")</f>
        <v/>
      </c>
      <c r="M118" s="1" t="str">
        <f>IF(AND(Programme_Grunddaten!$A126="Geprüft",Programme_Grunddaten!U126&lt;&gt;""),IF(Programme_Grunddaten!U126="Ja",1,0),"")</f>
        <v/>
      </c>
      <c r="N118" s="1" t="str">
        <f>IF(AND(Programme_Grunddaten!$A126="Geprüft",Programme_Grunddaten!V126&lt;&gt;""),IF(Programme_Grunddaten!V126="Ja",1,0),"")</f>
        <v/>
      </c>
      <c r="O118" s="1" t="str">
        <f>IF(AND(Programme_Grunddaten!$A126="Geprüft",Programme_Grunddaten!W126&lt;&gt;""),IF(Programme_Grunddaten!W126="Ja",1,0),"")</f>
        <v/>
      </c>
      <c r="P118" s="1" t="str">
        <f>IF(AND(Programme_Grunddaten!$A126="Geprüft",Programme_Grunddaten!X126&lt;&gt;""),IF(Programme_Grunddaten!X126="Ja",1,0),"")</f>
        <v/>
      </c>
      <c r="Q118" s="1" t="str">
        <f>IF(AND(Programme_Grunddaten!$A126="Geprüft",Programme_Grunddaten!Y126&lt;&gt;""),IF(Programme_Grunddaten!Y126="Ja",1,0),"")</f>
        <v/>
      </c>
      <c r="R118" s="1" t="str">
        <f>IF(AND(Programme_Grunddaten!$A126="Geprüft",Programme_Grunddaten!Z126&lt;&gt;""),IF(Programme_Grunddaten!Z126="Ja",1,0),"")</f>
        <v/>
      </c>
      <c r="S118" s="1" t="str">
        <f>IF(AND(Programme_Grunddaten!$A126="Geprüft",Programme_Grunddaten!AA126&lt;&gt;""),IF(Programme_Grunddaten!AA126="monolithisch",1,0),"")</f>
        <v/>
      </c>
      <c r="T118" s="1" t="str">
        <f>IF(AND(Programme_Grunddaten!$A126="Geprüft",Programme_Grunddaten!AB126&lt;&gt;""),IF(Programme_Grunddaten!AB126="Ja",1,0),"")</f>
        <v/>
      </c>
      <c r="U118" s="1" t="str">
        <f>IF(AND(Programme_Grunddaten!$A126="Geprüft",Programme_Grunddaten!AC126&lt;&gt;""),IF(Programme_Grunddaten!AC126="Ja",1,0),"")</f>
        <v/>
      </c>
      <c r="V118" s="1" t="str">
        <f>IF(AND(Programme_Grunddaten!$A126="Geprüft",Programme_Grunddaten!AD126&lt;&gt;""),IF(Programme_Grunddaten!AD126="Ja",1,0),"")</f>
        <v/>
      </c>
      <c r="W118" s="1" t="str">
        <f>IF(AND(Programme_Grunddaten!$A126="Geprüft",Programme_Grunddaten!AE126&lt;&gt;""),IF(Programme_Grunddaten!AE126="Ja",1,0),"")</f>
        <v/>
      </c>
      <c r="X118" s="1" t="str">
        <f>IF(AND(Programme_Grunddaten!$A126="Geprüft",Programme_Grunddaten!AF126&lt;&gt;""),IF(Programme_Grunddaten!AF126="Ja",1,0),"")</f>
        <v/>
      </c>
      <c r="Y118" s="1" t="str">
        <f>IF(AND(Programme_Grunddaten!$A126="Geprüft",Programme_Grunddaten!AG126&lt;&gt;""),IF(Programme_Grunddaten!AG126="Ja",1,0),"")</f>
        <v/>
      </c>
      <c r="Z118" s="1" t="str">
        <f>IF(AND(Programme_Grunddaten!$A126="Geprüft",Programme_Grunddaten!AH126&lt;&gt;""),IF(Programme_Grunddaten!AH126="Ja",1,0),"")</f>
        <v/>
      </c>
      <c r="AA118" s="1" t="str">
        <f>IF(AND(Programme_Grunddaten!$A126="Geprüft",Programme_Grunddaten!AI126&lt;&gt;""),IF(Programme_Grunddaten!AI126="Ja",1,0),"")</f>
        <v/>
      </c>
      <c r="AB118" s="1" t="str">
        <f>IF(AND(Programme_Grunddaten!$A126="Geprüft",Programme_Grunddaten!AJ126&lt;&gt;""),IF(Programme_Grunddaten!AJ126="individuell programmierbar",1,0),"")</f>
        <v/>
      </c>
      <c r="AC118" s="1" t="str">
        <f>IF(AND(Programme_Grunddaten!$A126="Geprüft",Programme_Grunddaten!AK126&lt;&gt;""),IF(Programme_Grunddaten!AK126="Deutsch",0,IF(Programme_Grunddaten!AK126="Deutsch und Englisch",1,2)),"")</f>
        <v/>
      </c>
      <c r="AD118" s="1" t="str">
        <f>IF(AND(Programme_Grunddaten!$A126="Geprüft",Programme_Grunddaten!AL126&lt;&gt;""),IF(Programme_Grunddaten!AL126="Ja",1,0),"")</f>
        <v/>
      </c>
      <c r="AE118" s="1" t="str">
        <f>IF(AND(Programme_Grunddaten!$A126="Geprüft",Programme_Grunddaten!AM126&lt;&gt;""),IF(Programme_Grunddaten!AM126="Ja",1,0),"")</f>
        <v/>
      </c>
      <c r="AF118" s="1" t="str">
        <f>IF(AND(Programme_Grunddaten!$A126="Geprüft",Programme_Grunddaten!AN126&lt;&gt;""),IF(Programme_Grunddaten!AN126="Ja",1,0),"")</f>
        <v/>
      </c>
      <c r="AG118" s="1" t="str">
        <f>IF(AND(Programme_Grunddaten!$A126="Geprüft",Programme_Grunddaten!AO126&lt;&gt;""),IF(Programme_Grunddaten!AO126="Ja",1,0),"")</f>
        <v/>
      </c>
      <c r="AH118" s="1" t="str">
        <f>IF(AND(Programme_Grunddaten!$A126="Geprüft",Programme_Grunddaten!AP126&lt;&gt;""),IF(Programme_Grunddaten!AP126="Ja",1,0),"")</f>
        <v/>
      </c>
      <c r="AI118" s="1" t="str">
        <f>IF(AND(Programme_Grunddaten!$A126="Geprüft",Programme_Grunddaten!AQ126&lt;&gt;""),IF(Programme_Grunddaten!AQ126="Ja",1,0),"")</f>
        <v/>
      </c>
      <c r="AJ118" s="1" t="str">
        <f>IF(AND(Programme_Grunddaten!$A126="Geprüft",Programme_Grunddaten!AR126&lt;&gt;""),IF(Programme_Grunddaten!AR126="Ja",1,0),"")</f>
        <v/>
      </c>
      <c r="AK118" s="1" t="str">
        <f>IF(AND(Programme_Grunddaten!$A126="Geprüft",Programme_Grunddaten!AS126&lt;&gt;""),IF(Programme_Grunddaten!AS126="Ja",1,0),"")</f>
        <v/>
      </c>
      <c r="AL118" s="1" t="str">
        <f>IF(AND(Programme_Grunddaten!$A126="Geprüft",Programme_Grunddaten!AT126&lt;&gt;""),IF(Programme_Grunddaten!AT126="Ja",1,0),"")</f>
        <v/>
      </c>
      <c r="AM118" s="1" t="str">
        <f>IF(AND(Programme_Grunddaten!$A126="Geprüft",Programme_Grunddaten!AU126&lt;&gt;""),IF(Programme_Grunddaten!AU126="Ja",1,0),"")</f>
        <v/>
      </c>
      <c r="AN118" s="1" t="str">
        <f>IF(AND(Programme_Grunddaten!$A126="Geprüft",Programme_Grunddaten!AV126&lt;&gt;""),IF(Programme_Grunddaten!AV126="Ja",1,0),"")</f>
        <v/>
      </c>
    </row>
    <row r="119" spans="1:40" x14ac:dyDescent="0.3">
      <c r="A119" s="1" t="str">
        <f>IF(AND(Programme_Grunddaten!A127="Geprüft",Programme_Grunddaten!B127&lt;&gt;""),Programme_Grunddaten!B127,"")</f>
        <v/>
      </c>
      <c r="B119" s="1" t="str">
        <f>IF(AND(Programme_Grunddaten!$A127="Geprüft",Programme_Grunddaten!I127&lt;&gt;""),IF(Programme_Grunddaten!I127="Ja",1,0),"")</f>
        <v/>
      </c>
      <c r="C119" s="1" t="str">
        <f>IF(AND(Programme_Grunddaten!$A127="Geprüft",Programme_Grunddaten!J127&lt;&gt;""),IF(Programme_Grunddaten!J127="Ja",1,0),"")</f>
        <v/>
      </c>
      <c r="D119" s="1" t="str">
        <f>IF(AND(Programme_Grunddaten!$A127="Geprüft",Programme_Grunddaten!K127&lt;&gt;""),IF(Programme_Grunddaten!K127="Ja",1,0),"")</f>
        <v/>
      </c>
      <c r="E119" s="1" t="str">
        <f>IF(AND(Programme_Grunddaten!$A127="Geprüft",Programme_Grunddaten!L127&lt;&gt;""),IF(Programme_Grunddaten!L127="Abo / befristete Lizenz",1,0),"")</f>
        <v/>
      </c>
      <c r="F119" s="1" t="str">
        <f>IF(AND(Programme_Grunddaten!$A127="Geprüft",Programme_Grunddaten!M127&lt;&gt;""),IF(Programme_Grunddaten!M127="Ja",1,0),"")</f>
        <v/>
      </c>
      <c r="G119" s="1" t="str">
        <f>IF(AND(Programme_Grunddaten!$A127="Geprüft",Programme_Grunddaten!N127&lt;&gt;""),IF(Programme_Grunddaten!N127="Ja",1,0),"")</f>
        <v/>
      </c>
      <c r="H119" s="1" t="str">
        <f>IF(AND(Programme_Grunddaten!$A127="Geprüft",Programme_Grunddaten!O127&lt;&gt;""),IF(Programme_Grunddaten!O127="Deutschland",0,IF(Programme_Grunddaten!O127="EU",1,2)),"")</f>
        <v/>
      </c>
      <c r="I119" s="1" t="str">
        <f>IF(AND(Programme_Grunddaten!$A127="Geprüft",Programme_Grunddaten!P127&lt;&gt;""),IF(Programme_Grunddaten!P127="Ja",1,0),"")</f>
        <v/>
      </c>
      <c r="J119" s="1" t="str">
        <f>IF(AND(Programme_Grunddaten!$A127="Geprüft",Programme_Grunddaten!Q127&lt;&gt;""),IF(Programme_Grunddaten!Q127="geschlossenes System",1,0),"")</f>
        <v/>
      </c>
      <c r="K119" s="1" t="str">
        <f>IF(AND(Programme_Grunddaten!$A127="Geprüft",Programme_Grunddaten!R127&lt;&gt;""),IF(Programme_Grunddaten!R127="Ja",1,0),"")</f>
        <v/>
      </c>
      <c r="L119" s="1" t="str">
        <f>IF(AND(Programme_Grunddaten!$A127="Geprüft",Programme_Grunddaten!T127&lt;&gt;""),IF(Programme_Grunddaten!T127="Ja",1,0),"")</f>
        <v/>
      </c>
      <c r="M119" s="1" t="str">
        <f>IF(AND(Programme_Grunddaten!$A127="Geprüft",Programme_Grunddaten!U127&lt;&gt;""),IF(Programme_Grunddaten!U127="Ja",1,0),"")</f>
        <v/>
      </c>
      <c r="N119" s="1" t="str">
        <f>IF(AND(Programme_Grunddaten!$A127="Geprüft",Programme_Grunddaten!V127&lt;&gt;""),IF(Programme_Grunddaten!V127="Ja",1,0),"")</f>
        <v/>
      </c>
      <c r="O119" s="1" t="str">
        <f>IF(AND(Programme_Grunddaten!$A127="Geprüft",Programme_Grunddaten!W127&lt;&gt;""),IF(Programme_Grunddaten!W127="Ja",1,0),"")</f>
        <v/>
      </c>
      <c r="P119" s="1" t="str">
        <f>IF(AND(Programme_Grunddaten!$A127="Geprüft",Programme_Grunddaten!X127&lt;&gt;""),IF(Programme_Grunddaten!X127="Ja",1,0),"")</f>
        <v/>
      </c>
      <c r="Q119" s="1" t="str">
        <f>IF(AND(Programme_Grunddaten!$A127="Geprüft",Programme_Grunddaten!Y127&lt;&gt;""),IF(Programme_Grunddaten!Y127="Ja",1,0),"")</f>
        <v/>
      </c>
      <c r="R119" s="1" t="str">
        <f>IF(AND(Programme_Grunddaten!$A127="Geprüft",Programme_Grunddaten!Z127&lt;&gt;""),IF(Programme_Grunddaten!Z127="Ja",1,0),"")</f>
        <v/>
      </c>
      <c r="S119" s="1" t="str">
        <f>IF(AND(Programme_Grunddaten!$A127="Geprüft",Programme_Grunddaten!AA127&lt;&gt;""),IF(Programme_Grunddaten!AA127="monolithisch",1,0),"")</f>
        <v/>
      </c>
      <c r="T119" s="1" t="str">
        <f>IF(AND(Programme_Grunddaten!$A127="Geprüft",Programme_Grunddaten!AB127&lt;&gt;""),IF(Programme_Grunddaten!AB127="Ja",1,0),"")</f>
        <v/>
      </c>
      <c r="U119" s="1" t="str">
        <f>IF(AND(Programme_Grunddaten!$A127="Geprüft",Programme_Grunddaten!AC127&lt;&gt;""),IF(Programme_Grunddaten!AC127="Ja",1,0),"")</f>
        <v/>
      </c>
      <c r="V119" s="1" t="str">
        <f>IF(AND(Programme_Grunddaten!$A127="Geprüft",Programme_Grunddaten!AD127&lt;&gt;""),IF(Programme_Grunddaten!AD127="Ja",1,0),"")</f>
        <v/>
      </c>
      <c r="W119" s="1" t="str">
        <f>IF(AND(Programme_Grunddaten!$A127="Geprüft",Programme_Grunddaten!AE127&lt;&gt;""),IF(Programme_Grunddaten!AE127="Ja",1,0),"")</f>
        <v/>
      </c>
      <c r="X119" s="1" t="str">
        <f>IF(AND(Programme_Grunddaten!$A127="Geprüft",Programme_Grunddaten!AF127&lt;&gt;""),IF(Programme_Grunddaten!AF127="Ja",1,0),"")</f>
        <v/>
      </c>
      <c r="Y119" s="1" t="str">
        <f>IF(AND(Programme_Grunddaten!$A127="Geprüft",Programme_Grunddaten!AG127&lt;&gt;""),IF(Programme_Grunddaten!AG127="Ja",1,0),"")</f>
        <v/>
      </c>
      <c r="Z119" s="1" t="str">
        <f>IF(AND(Programme_Grunddaten!$A127="Geprüft",Programme_Grunddaten!AH127&lt;&gt;""),IF(Programme_Grunddaten!AH127="Ja",1,0),"")</f>
        <v/>
      </c>
      <c r="AA119" s="1" t="str">
        <f>IF(AND(Programme_Grunddaten!$A127="Geprüft",Programme_Grunddaten!AI127&lt;&gt;""),IF(Programme_Grunddaten!AI127="Ja",1,0),"")</f>
        <v/>
      </c>
      <c r="AB119" s="1" t="str">
        <f>IF(AND(Programme_Grunddaten!$A127="Geprüft",Programme_Grunddaten!AJ127&lt;&gt;""),IF(Programme_Grunddaten!AJ127="individuell programmierbar",1,0),"")</f>
        <v/>
      </c>
      <c r="AC119" s="1" t="str">
        <f>IF(AND(Programme_Grunddaten!$A127="Geprüft",Programme_Grunddaten!AK127&lt;&gt;""),IF(Programme_Grunddaten!AK127="Deutsch",0,IF(Programme_Grunddaten!AK127="Deutsch und Englisch",1,2)),"")</f>
        <v/>
      </c>
      <c r="AD119" s="1" t="str">
        <f>IF(AND(Programme_Grunddaten!$A127="Geprüft",Programme_Grunddaten!AL127&lt;&gt;""),IF(Programme_Grunddaten!AL127="Ja",1,0),"")</f>
        <v/>
      </c>
      <c r="AE119" s="1" t="str">
        <f>IF(AND(Programme_Grunddaten!$A127="Geprüft",Programme_Grunddaten!AM127&lt;&gt;""),IF(Programme_Grunddaten!AM127="Ja",1,0),"")</f>
        <v/>
      </c>
      <c r="AF119" s="1" t="str">
        <f>IF(AND(Programme_Grunddaten!$A127="Geprüft",Programme_Grunddaten!AN127&lt;&gt;""),IF(Programme_Grunddaten!AN127="Ja",1,0),"")</f>
        <v/>
      </c>
      <c r="AG119" s="1" t="str">
        <f>IF(AND(Programme_Grunddaten!$A127="Geprüft",Programme_Grunddaten!AO127&lt;&gt;""),IF(Programme_Grunddaten!AO127="Ja",1,0),"")</f>
        <v/>
      </c>
      <c r="AH119" s="1" t="str">
        <f>IF(AND(Programme_Grunddaten!$A127="Geprüft",Programme_Grunddaten!AP127&lt;&gt;""),IF(Programme_Grunddaten!AP127="Ja",1,0),"")</f>
        <v/>
      </c>
      <c r="AI119" s="1" t="str">
        <f>IF(AND(Programme_Grunddaten!$A127="Geprüft",Programme_Grunddaten!AQ127&lt;&gt;""),IF(Programme_Grunddaten!AQ127="Ja",1,0),"")</f>
        <v/>
      </c>
      <c r="AJ119" s="1" t="str">
        <f>IF(AND(Programme_Grunddaten!$A127="Geprüft",Programme_Grunddaten!AR127&lt;&gt;""),IF(Programme_Grunddaten!AR127="Ja",1,0),"")</f>
        <v/>
      </c>
      <c r="AK119" s="1" t="str">
        <f>IF(AND(Programme_Grunddaten!$A127="Geprüft",Programme_Grunddaten!AS127&lt;&gt;""),IF(Programme_Grunddaten!AS127="Ja",1,0),"")</f>
        <v/>
      </c>
      <c r="AL119" s="1" t="str">
        <f>IF(AND(Programme_Grunddaten!$A127="Geprüft",Programme_Grunddaten!AT127&lt;&gt;""),IF(Programme_Grunddaten!AT127="Ja",1,0),"")</f>
        <v/>
      </c>
      <c r="AM119" s="1" t="str">
        <f>IF(AND(Programme_Grunddaten!$A127="Geprüft",Programme_Grunddaten!AU127&lt;&gt;""),IF(Programme_Grunddaten!AU127="Ja",1,0),"")</f>
        <v/>
      </c>
      <c r="AN119" s="1" t="str">
        <f>IF(AND(Programme_Grunddaten!$A127="Geprüft",Programme_Grunddaten!AV127&lt;&gt;""),IF(Programme_Grunddaten!AV127="Ja",1,0),"")</f>
        <v/>
      </c>
    </row>
    <row r="120" spans="1:40" x14ac:dyDescent="0.3">
      <c r="A120" s="1" t="str">
        <f>IF(AND(Programme_Grunddaten!A128="Geprüft",Programme_Grunddaten!B128&lt;&gt;""),Programme_Grunddaten!B128,"")</f>
        <v/>
      </c>
      <c r="B120" s="1" t="str">
        <f>IF(AND(Programme_Grunddaten!$A128="Geprüft",Programme_Grunddaten!I128&lt;&gt;""),IF(Programme_Grunddaten!I128="Ja",1,0),"")</f>
        <v/>
      </c>
      <c r="C120" s="1" t="str">
        <f>IF(AND(Programme_Grunddaten!$A128="Geprüft",Programme_Grunddaten!J128&lt;&gt;""),IF(Programme_Grunddaten!J128="Ja",1,0),"")</f>
        <v/>
      </c>
      <c r="D120" s="1" t="str">
        <f>IF(AND(Programme_Grunddaten!$A128="Geprüft",Programme_Grunddaten!K128&lt;&gt;""),IF(Programme_Grunddaten!K128="Ja",1,0),"")</f>
        <v/>
      </c>
      <c r="E120" s="1" t="str">
        <f>IF(AND(Programme_Grunddaten!$A128="Geprüft",Programme_Grunddaten!L128&lt;&gt;""),IF(Programme_Grunddaten!L128="Abo / befristete Lizenz",1,0),"")</f>
        <v/>
      </c>
      <c r="F120" s="1" t="str">
        <f>IF(AND(Programme_Grunddaten!$A128="Geprüft",Programme_Grunddaten!M128&lt;&gt;""),IF(Programme_Grunddaten!M128="Ja",1,0),"")</f>
        <v/>
      </c>
      <c r="G120" s="1" t="str">
        <f>IF(AND(Programme_Grunddaten!$A128="Geprüft",Programme_Grunddaten!N128&lt;&gt;""),IF(Programme_Grunddaten!N128="Ja",1,0),"")</f>
        <v/>
      </c>
      <c r="H120" s="1" t="str">
        <f>IF(AND(Programme_Grunddaten!$A128="Geprüft",Programme_Grunddaten!O128&lt;&gt;""),IF(Programme_Grunddaten!O128="Deutschland",0,IF(Programme_Grunddaten!O128="EU",1,2)),"")</f>
        <v/>
      </c>
      <c r="I120" s="1" t="str">
        <f>IF(AND(Programme_Grunddaten!$A128="Geprüft",Programme_Grunddaten!P128&lt;&gt;""),IF(Programme_Grunddaten!P128="Ja",1,0),"")</f>
        <v/>
      </c>
      <c r="J120" s="1" t="str">
        <f>IF(AND(Programme_Grunddaten!$A128="Geprüft",Programme_Grunddaten!Q128&lt;&gt;""),IF(Programme_Grunddaten!Q128="geschlossenes System",1,0),"")</f>
        <v/>
      </c>
      <c r="K120" s="1" t="str">
        <f>IF(AND(Programme_Grunddaten!$A128="Geprüft",Programme_Grunddaten!R128&lt;&gt;""),IF(Programme_Grunddaten!R128="Ja",1,0),"")</f>
        <v/>
      </c>
      <c r="L120" s="1" t="str">
        <f>IF(AND(Programme_Grunddaten!$A128="Geprüft",Programme_Grunddaten!T128&lt;&gt;""),IF(Programme_Grunddaten!T128="Ja",1,0),"")</f>
        <v/>
      </c>
      <c r="M120" s="1" t="str">
        <f>IF(AND(Programme_Grunddaten!$A128="Geprüft",Programme_Grunddaten!U128&lt;&gt;""),IF(Programme_Grunddaten!U128="Ja",1,0),"")</f>
        <v/>
      </c>
      <c r="N120" s="1" t="str">
        <f>IF(AND(Programme_Grunddaten!$A128="Geprüft",Programme_Grunddaten!V128&lt;&gt;""),IF(Programme_Grunddaten!V128="Ja",1,0),"")</f>
        <v/>
      </c>
      <c r="O120" s="1" t="str">
        <f>IF(AND(Programme_Grunddaten!$A128="Geprüft",Programme_Grunddaten!W128&lt;&gt;""),IF(Programme_Grunddaten!W128="Ja",1,0),"")</f>
        <v/>
      </c>
      <c r="P120" s="1" t="str">
        <f>IF(AND(Programme_Grunddaten!$A128="Geprüft",Programme_Grunddaten!X128&lt;&gt;""),IF(Programme_Grunddaten!X128="Ja",1,0),"")</f>
        <v/>
      </c>
      <c r="Q120" s="1" t="str">
        <f>IF(AND(Programme_Grunddaten!$A128="Geprüft",Programme_Grunddaten!Y128&lt;&gt;""),IF(Programme_Grunddaten!Y128="Ja",1,0),"")</f>
        <v/>
      </c>
      <c r="R120" s="1" t="str">
        <f>IF(AND(Programme_Grunddaten!$A128="Geprüft",Programme_Grunddaten!Z128&lt;&gt;""),IF(Programme_Grunddaten!Z128="Ja",1,0),"")</f>
        <v/>
      </c>
      <c r="S120" s="1" t="str">
        <f>IF(AND(Programme_Grunddaten!$A128="Geprüft",Programme_Grunddaten!AA128&lt;&gt;""),IF(Programme_Grunddaten!AA128="monolithisch",1,0),"")</f>
        <v/>
      </c>
      <c r="T120" s="1" t="str">
        <f>IF(AND(Programme_Grunddaten!$A128="Geprüft",Programme_Grunddaten!AB128&lt;&gt;""),IF(Programme_Grunddaten!AB128="Ja",1,0),"")</f>
        <v/>
      </c>
      <c r="U120" s="1" t="str">
        <f>IF(AND(Programme_Grunddaten!$A128="Geprüft",Programme_Grunddaten!AC128&lt;&gt;""),IF(Programme_Grunddaten!AC128="Ja",1,0),"")</f>
        <v/>
      </c>
      <c r="V120" s="1" t="str">
        <f>IF(AND(Programme_Grunddaten!$A128="Geprüft",Programme_Grunddaten!AD128&lt;&gt;""),IF(Programme_Grunddaten!AD128="Ja",1,0),"")</f>
        <v/>
      </c>
      <c r="W120" s="1" t="str">
        <f>IF(AND(Programme_Grunddaten!$A128="Geprüft",Programme_Grunddaten!AE128&lt;&gt;""),IF(Programme_Grunddaten!AE128="Ja",1,0),"")</f>
        <v/>
      </c>
      <c r="X120" s="1" t="str">
        <f>IF(AND(Programme_Grunddaten!$A128="Geprüft",Programme_Grunddaten!AF128&lt;&gt;""),IF(Programme_Grunddaten!AF128="Ja",1,0),"")</f>
        <v/>
      </c>
      <c r="Y120" s="1" t="str">
        <f>IF(AND(Programme_Grunddaten!$A128="Geprüft",Programme_Grunddaten!AG128&lt;&gt;""),IF(Programme_Grunddaten!AG128="Ja",1,0),"")</f>
        <v/>
      </c>
      <c r="Z120" s="1" t="str">
        <f>IF(AND(Programme_Grunddaten!$A128="Geprüft",Programme_Grunddaten!AH128&lt;&gt;""),IF(Programme_Grunddaten!AH128="Ja",1,0),"")</f>
        <v/>
      </c>
      <c r="AA120" s="1" t="str">
        <f>IF(AND(Programme_Grunddaten!$A128="Geprüft",Programme_Grunddaten!AI128&lt;&gt;""),IF(Programme_Grunddaten!AI128="Ja",1,0),"")</f>
        <v/>
      </c>
      <c r="AB120" s="1" t="str">
        <f>IF(AND(Programme_Grunddaten!$A128="Geprüft",Programme_Grunddaten!AJ128&lt;&gt;""),IF(Programme_Grunddaten!AJ128="individuell programmierbar",1,0),"")</f>
        <v/>
      </c>
      <c r="AC120" s="1" t="str">
        <f>IF(AND(Programme_Grunddaten!$A128="Geprüft",Programme_Grunddaten!AK128&lt;&gt;""),IF(Programme_Grunddaten!AK128="Deutsch",0,IF(Programme_Grunddaten!AK128="Deutsch und Englisch",1,2)),"")</f>
        <v/>
      </c>
      <c r="AD120" s="1" t="str">
        <f>IF(AND(Programme_Grunddaten!$A128="Geprüft",Programme_Grunddaten!AL128&lt;&gt;""),IF(Programme_Grunddaten!AL128="Ja",1,0),"")</f>
        <v/>
      </c>
      <c r="AE120" s="1" t="str">
        <f>IF(AND(Programme_Grunddaten!$A128="Geprüft",Programme_Grunddaten!AM128&lt;&gt;""),IF(Programme_Grunddaten!AM128="Ja",1,0),"")</f>
        <v/>
      </c>
      <c r="AF120" s="1" t="str">
        <f>IF(AND(Programme_Grunddaten!$A128="Geprüft",Programme_Grunddaten!AN128&lt;&gt;""),IF(Programme_Grunddaten!AN128="Ja",1,0),"")</f>
        <v/>
      </c>
      <c r="AG120" s="1" t="str">
        <f>IF(AND(Programme_Grunddaten!$A128="Geprüft",Programme_Grunddaten!AO128&lt;&gt;""),IF(Programme_Grunddaten!AO128="Ja",1,0),"")</f>
        <v/>
      </c>
      <c r="AH120" s="1" t="str">
        <f>IF(AND(Programme_Grunddaten!$A128="Geprüft",Programme_Grunddaten!AP128&lt;&gt;""),IF(Programme_Grunddaten!AP128="Ja",1,0),"")</f>
        <v/>
      </c>
      <c r="AI120" s="1" t="str">
        <f>IF(AND(Programme_Grunddaten!$A128="Geprüft",Programme_Grunddaten!AQ128&lt;&gt;""),IF(Programme_Grunddaten!AQ128="Ja",1,0),"")</f>
        <v/>
      </c>
      <c r="AJ120" s="1" t="str">
        <f>IF(AND(Programme_Grunddaten!$A128="Geprüft",Programme_Grunddaten!AR128&lt;&gt;""),IF(Programme_Grunddaten!AR128="Ja",1,0),"")</f>
        <v/>
      </c>
      <c r="AK120" s="1" t="str">
        <f>IF(AND(Programme_Grunddaten!$A128="Geprüft",Programme_Grunddaten!AS128&lt;&gt;""),IF(Programme_Grunddaten!AS128="Ja",1,0),"")</f>
        <v/>
      </c>
      <c r="AL120" s="1" t="str">
        <f>IF(AND(Programme_Grunddaten!$A128="Geprüft",Programme_Grunddaten!AT128&lt;&gt;""),IF(Programme_Grunddaten!AT128="Ja",1,0),"")</f>
        <v/>
      </c>
      <c r="AM120" s="1" t="str">
        <f>IF(AND(Programme_Grunddaten!$A128="Geprüft",Programme_Grunddaten!AU128&lt;&gt;""),IF(Programme_Grunddaten!AU128="Ja",1,0),"")</f>
        <v/>
      </c>
      <c r="AN120" s="1" t="str">
        <f>IF(AND(Programme_Grunddaten!$A128="Geprüft",Programme_Grunddaten!AV128&lt;&gt;""),IF(Programme_Grunddaten!AV128="Ja",1,0),"")</f>
        <v/>
      </c>
    </row>
    <row r="121" spans="1:40" x14ac:dyDescent="0.3">
      <c r="A121" s="1" t="str">
        <f>IF(AND(Programme_Grunddaten!A129="Geprüft",Programme_Grunddaten!B129&lt;&gt;""),Programme_Grunddaten!B129,"")</f>
        <v/>
      </c>
      <c r="B121" s="1" t="str">
        <f>IF(AND(Programme_Grunddaten!$A129="Geprüft",Programme_Grunddaten!I129&lt;&gt;""),IF(Programme_Grunddaten!I129="Ja",1,0),"")</f>
        <v/>
      </c>
      <c r="C121" s="1" t="str">
        <f>IF(AND(Programme_Grunddaten!$A129="Geprüft",Programme_Grunddaten!J129&lt;&gt;""),IF(Programme_Grunddaten!J129="Ja",1,0),"")</f>
        <v/>
      </c>
      <c r="D121" s="1" t="str">
        <f>IF(AND(Programme_Grunddaten!$A129="Geprüft",Programme_Grunddaten!K129&lt;&gt;""),IF(Programme_Grunddaten!K129="Ja",1,0),"")</f>
        <v/>
      </c>
      <c r="E121" s="1" t="str">
        <f>IF(AND(Programme_Grunddaten!$A129="Geprüft",Programme_Grunddaten!L129&lt;&gt;""),IF(Programme_Grunddaten!L129="Abo / befristete Lizenz",1,0),"")</f>
        <v/>
      </c>
      <c r="F121" s="1" t="str">
        <f>IF(AND(Programme_Grunddaten!$A129="Geprüft",Programme_Grunddaten!M129&lt;&gt;""),IF(Programme_Grunddaten!M129="Ja",1,0),"")</f>
        <v/>
      </c>
      <c r="G121" s="1" t="str">
        <f>IF(AND(Programme_Grunddaten!$A129="Geprüft",Programme_Grunddaten!N129&lt;&gt;""),IF(Programme_Grunddaten!N129="Ja",1,0),"")</f>
        <v/>
      </c>
      <c r="H121" s="1" t="str">
        <f>IF(AND(Programme_Grunddaten!$A129="Geprüft",Programme_Grunddaten!O129&lt;&gt;""),IF(Programme_Grunddaten!O129="Deutschland",0,IF(Programme_Grunddaten!O129="EU",1,2)),"")</f>
        <v/>
      </c>
      <c r="I121" s="1" t="str">
        <f>IF(AND(Programme_Grunddaten!$A129="Geprüft",Programme_Grunddaten!P129&lt;&gt;""),IF(Programme_Grunddaten!P129="Ja",1,0),"")</f>
        <v/>
      </c>
      <c r="J121" s="1" t="str">
        <f>IF(AND(Programme_Grunddaten!$A129="Geprüft",Programme_Grunddaten!Q129&lt;&gt;""),IF(Programme_Grunddaten!Q129="geschlossenes System",1,0),"")</f>
        <v/>
      </c>
      <c r="K121" s="1" t="str">
        <f>IF(AND(Programme_Grunddaten!$A129="Geprüft",Programme_Grunddaten!R129&lt;&gt;""),IF(Programme_Grunddaten!R129="Ja",1,0),"")</f>
        <v/>
      </c>
      <c r="L121" s="1" t="str">
        <f>IF(AND(Programme_Grunddaten!$A129="Geprüft",Programme_Grunddaten!T129&lt;&gt;""),IF(Programme_Grunddaten!T129="Ja",1,0),"")</f>
        <v/>
      </c>
      <c r="M121" s="1" t="str">
        <f>IF(AND(Programme_Grunddaten!$A129="Geprüft",Programme_Grunddaten!U129&lt;&gt;""),IF(Programme_Grunddaten!U129="Ja",1,0),"")</f>
        <v/>
      </c>
      <c r="N121" s="1" t="str">
        <f>IF(AND(Programme_Grunddaten!$A129="Geprüft",Programme_Grunddaten!V129&lt;&gt;""),IF(Programme_Grunddaten!V129="Ja",1,0),"")</f>
        <v/>
      </c>
      <c r="O121" s="1" t="str">
        <f>IF(AND(Programme_Grunddaten!$A129="Geprüft",Programme_Grunddaten!W129&lt;&gt;""),IF(Programme_Grunddaten!W129="Ja",1,0),"")</f>
        <v/>
      </c>
      <c r="P121" s="1" t="str">
        <f>IF(AND(Programme_Grunddaten!$A129="Geprüft",Programme_Grunddaten!X129&lt;&gt;""),IF(Programme_Grunddaten!X129="Ja",1,0),"")</f>
        <v/>
      </c>
      <c r="Q121" s="1" t="str">
        <f>IF(AND(Programme_Grunddaten!$A129="Geprüft",Programme_Grunddaten!Y129&lt;&gt;""),IF(Programme_Grunddaten!Y129="Ja",1,0),"")</f>
        <v/>
      </c>
      <c r="R121" s="1" t="str">
        <f>IF(AND(Programme_Grunddaten!$A129="Geprüft",Programme_Grunddaten!Z129&lt;&gt;""),IF(Programme_Grunddaten!Z129="Ja",1,0),"")</f>
        <v/>
      </c>
      <c r="S121" s="1" t="str">
        <f>IF(AND(Programme_Grunddaten!$A129="Geprüft",Programme_Grunddaten!AA129&lt;&gt;""),IF(Programme_Grunddaten!AA129="monolithisch",1,0),"")</f>
        <v/>
      </c>
      <c r="T121" s="1" t="str">
        <f>IF(AND(Programme_Grunddaten!$A129="Geprüft",Programme_Grunddaten!AB129&lt;&gt;""),IF(Programme_Grunddaten!AB129="Ja",1,0),"")</f>
        <v/>
      </c>
      <c r="U121" s="1" t="str">
        <f>IF(AND(Programme_Grunddaten!$A129="Geprüft",Programme_Grunddaten!AC129&lt;&gt;""),IF(Programme_Grunddaten!AC129="Ja",1,0),"")</f>
        <v/>
      </c>
      <c r="V121" s="1" t="str">
        <f>IF(AND(Programme_Grunddaten!$A129="Geprüft",Programme_Grunddaten!AD129&lt;&gt;""),IF(Programme_Grunddaten!AD129="Ja",1,0),"")</f>
        <v/>
      </c>
      <c r="W121" s="1" t="str">
        <f>IF(AND(Programme_Grunddaten!$A129="Geprüft",Programme_Grunddaten!AE129&lt;&gt;""),IF(Programme_Grunddaten!AE129="Ja",1,0),"")</f>
        <v/>
      </c>
      <c r="X121" s="1" t="str">
        <f>IF(AND(Programme_Grunddaten!$A129="Geprüft",Programme_Grunddaten!AF129&lt;&gt;""),IF(Programme_Grunddaten!AF129="Ja",1,0),"")</f>
        <v/>
      </c>
      <c r="Y121" s="1" t="str">
        <f>IF(AND(Programme_Grunddaten!$A129="Geprüft",Programme_Grunddaten!AG129&lt;&gt;""),IF(Programme_Grunddaten!AG129="Ja",1,0),"")</f>
        <v/>
      </c>
      <c r="Z121" s="1" t="str">
        <f>IF(AND(Programme_Grunddaten!$A129="Geprüft",Programme_Grunddaten!AH129&lt;&gt;""),IF(Programme_Grunddaten!AH129="Ja",1,0),"")</f>
        <v/>
      </c>
      <c r="AA121" s="1" t="str">
        <f>IF(AND(Programme_Grunddaten!$A129="Geprüft",Programme_Grunddaten!AI129&lt;&gt;""),IF(Programme_Grunddaten!AI129="Ja",1,0),"")</f>
        <v/>
      </c>
      <c r="AB121" s="1" t="str">
        <f>IF(AND(Programme_Grunddaten!$A129="Geprüft",Programme_Grunddaten!AJ129&lt;&gt;""),IF(Programme_Grunddaten!AJ129="individuell programmierbar",1,0),"")</f>
        <v/>
      </c>
      <c r="AC121" s="1" t="str">
        <f>IF(AND(Programme_Grunddaten!$A129="Geprüft",Programme_Grunddaten!AK129&lt;&gt;""),IF(Programme_Grunddaten!AK129="Deutsch",0,IF(Programme_Grunddaten!AK129="Deutsch und Englisch",1,2)),"")</f>
        <v/>
      </c>
      <c r="AD121" s="1" t="str">
        <f>IF(AND(Programme_Grunddaten!$A129="Geprüft",Programme_Grunddaten!AL129&lt;&gt;""),IF(Programme_Grunddaten!AL129="Ja",1,0),"")</f>
        <v/>
      </c>
      <c r="AE121" s="1" t="str">
        <f>IF(AND(Programme_Grunddaten!$A129="Geprüft",Programme_Grunddaten!AM129&lt;&gt;""),IF(Programme_Grunddaten!AM129="Ja",1,0),"")</f>
        <v/>
      </c>
      <c r="AF121" s="1" t="str">
        <f>IF(AND(Programme_Grunddaten!$A129="Geprüft",Programme_Grunddaten!AN129&lt;&gt;""),IF(Programme_Grunddaten!AN129="Ja",1,0),"")</f>
        <v/>
      </c>
      <c r="AG121" s="1" t="str">
        <f>IF(AND(Programme_Grunddaten!$A129="Geprüft",Programme_Grunddaten!AO129&lt;&gt;""),IF(Programme_Grunddaten!AO129="Ja",1,0),"")</f>
        <v/>
      </c>
      <c r="AH121" s="1" t="str">
        <f>IF(AND(Programme_Grunddaten!$A129="Geprüft",Programme_Grunddaten!AP129&lt;&gt;""),IF(Programme_Grunddaten!AP129="Ja",1,0),"")</f>
        <v/>
      </c>
      <c r="AI121" s="1" t="str">
        <f>IF(AND(Programme_Grunddaten!$A129="Geprüft",Programme_Grunddaten!AQ129&lt;&gt;""),IF(Programme_Grunddaten!AQ129="Ja",1,0),"")</f>
        <v/>
      </c>
      <c r="AJ121" s="1" t="str">
        <f>IF(AND(Programme_Grunddaten!$A129="Geprüft",Programme_Grunddaten!AR129&lt;&gt;""),IF(Programme_Grunddaten!AR129="Ja",1,0),"")</f>
        <v/>
      </c>
      <c r="AK121" s="1" t="str">
        <f>IF(AND(Programme_Grunddaten!$A129="Geprüft",Programme_Grunddaten!AS129&lt;&gt;""),IF(Programme_Grunddaten!AS129="Ja",1,0),"")</f>
        <v/>
      </c>
      <c r="AL121" s="1" t="str">
        <f>IF(AND(Programme_Grunddaten!$A129="Geprüft",Programme_Grunddaten!AT129&lt;&gt;""),IF(Programme_Grunddaten!AT129="Ja",1,0),"")</f>
        <v/>
      </c>
      <c r="AM121" s="1" t="str">
        <f>IF(AND(Programme_Grunddaten!$A129="Geprüft",Programme_Grunddaten!AU129&lt;&gt;""),IF(Programme_Grunddaten!AU129="Ja",1,0),"")</f>
        <v/>
      </c>
      <c r="AN121" s="1" t="str">
        <f>IF(AND(Programme_Grunddaten!$A129="Geprüft",Programme_Grunddaten!AV129&lt;&gt;""),IF(Programme_Grunddaten!AV129="Ja",1,0),"")</f>
        <v/>
      </c>
    </row>
    <row r="122" spans="1:40" x14ac:dyDescent="0.3">
      <c r="A122" s="1" t="str">
        <f>IF(AND(Programme_Grunddaten!A130="Geprüft",Programme_Grunddaten!B130&lt;&gt;""),Programme_Grunddaten!B130,"")</f>
        <v/>
      </c>
      <c r="B122" s="1" t="str">
        <f>IF(AND(Programme_Grunddaten!$A130="Geprüft",Programme_Grunddaten!I130&lt;&gt;""),IF(Programme_Grunddaten!I130="Ja",1,0),"")</f>
        <v/>
      </c>
      <c r="C122" s="1" t="str">
        <f>IF(AND(Programme_Grunddaten!$A130="Geprüft",Programme_Grunddaten!J130&lt;&gt;""),IF(Programme_Grunddaten!J130="Ja",1,0),"")</f>
        <v/>
      </c>
      <c r="D122" s="1" t="str">
        <f>IF(AND(Programme_Grunddaten!$A130="Geprüft",Programme_Grunddaten!K130&lt;&gt;""),IF(Programme_Grunddaten!K130="Ja",1,0),"")</f>
        <v/>
      </c>
      <c r="E122" s="1" t="str">
        <f>IF(AND(Programme_Grunddaten!$A130="Geprüft",Programme_Grunddaten!L130&lt;&gt;""),IF(Programme_Grunddaten!L130="Abo / befristete Lizenz",1,0),"")</f>
        <v/>
      </c>
      <c r="F122" s="1" t="str">
        <f>IF(AND(Programme_Grunddaten!$A130="Geprüft",Programme_Grunddaten!M130&lt;&gt;""),IF(Programme_Grunddaten!M130="Ja",1,0),"")</f>
        <v/>
      </c>
      <c r="G122" s="1" t="str">
        <f>IF(AND(Programme_Grunddaten!$A130="Geprüft",Programme_Grunddaten!N130&lt;&gt;""),IF(Programme_Grunddaten!N130="Ja",1,0),"")</f>
        <v/>
      </c>
      <c r="H122" s="1" t="str">
        <f>IF(AND(Programme_Grunddaten!$A130="Geprüft",Programme_Grunddaten!O130&lt;&gt;""),IF(Programme_Grunddaten!O130="Deutschland",0,IF(Programme_Grunddaten!O130="EU",1,2)),"")</f>
        <v/>
      </c>
      <c r="I122" s="1" t="str">
        <f>IF(AND(Programme_Grunddaten!$A130="Geprüft",Programme_Grunddaten!P130&lt;&gt;""),IF(Programme_Grunddaten!P130="Ja",1,0),"")</f>
        <v/>
      </c>
      <c r="J122" s="1" t="str">
        <f>IF(AND(Programme_Grunddaten!$A130="Geprüft",Programme_Grunddaten!Q130&lt;&gt;""),IF(Programme_Grunddaten!Q130="geschlossenes System",1,0),"")</f>
        <v/>
      </c>
      <c r="K122" s="1" t="str">
        <f>IF(AND(Programme_Grunddaten!$A130="Geprüft",Programme_Grunddaten!R130&lt;&gt;""),IF(Programme_Grunddaten!R130="Ja",1,0),"")</f>
        <v/>
      </c>
      <c r="L122" s="1" t="str">
        <f>IF(AND(Programme_Grunddaten!$A130="Geprüft",Programme_Grunddaten!T130&lt;&gt;""),IF(Programme_Grunddaten!T130="Ja",1,0),"")</f>
        <v/>
      </c>
      <c r="M122" s="1" t="str">
        <f>IF(AND(Programme_Grunddaten!$A130="Geprüft",Programme_Grunddaten!U130&lt;&gt;""),IF(Programme_Grunddaten!U130="Ja",1,0),"")</f>
        <v/>
      </c>
      <c r="N122" s="1" t="str">
        <f>IF(AND(Programme_Grunddaten!$A130="Geprüft",Programme_Grunddaten!V130&lt;&gt;""),IF(Programme_Grunddaten!V130="Ja",1,0),"")</f>
        <v/>
      </c>
      <c r="O122" s="1" t="str">
        <f>IF(AND(Programme_Grunddaten!$A130="Geprüft",Programme_Grunddaten!W130&lt;&gt;""),IF(Programme_Grunddaten!W130="Ja",1,0),"")</f>
        <v/>
      </c>
      <c r="P122" s="1" t="str">
        <f>IF(AND(Programme_Grunddaten!$A130="Geprüft",Programme_Grunddaten!X130&lt;&gt;""),IF(Programme_Grunddaten!X130="Ja",1,0),"")</f>
        <v/>
      </c>
      <c r="Q122" s="1" t="str">
        <f>IF(AND(Programme_Grunddaten!$A130="Geprüft",Programme_Grunddaten!Y130&lt;&gt;""),IF(Programme_Grunddaten!Y130="Ja",1,0),"")</f>
        <v/>
      </c>
      <c r="R122" s="1" t="str">
        <f>IF(AND(Programme_Grunddaten!$A130="Geprüft",Programme_Grunddaten!Z130&lt;&gt;""),IF(Programme_Grunddaten!Z130="Ja",1,0),"")</f>
        <v/>
      </c>
      <c r="S122" s="1" t="str">
        <f>IF(AND(Programme_Grunddaten!$A130="Geprüft",Programme_Grunddaten!AA130&lt;&gt;""),IF(Programme_Grunddaten!AA130="monolithisch",1,0),"")</f>
        <v/>
      </c>
      <c r="T122" s="1" t="str">
        <f>IF(AND(Programme_Grunddaten!$A130="Geprüft",Programme_Grunddaten!AB130&lt;&gt;""),IF(Programme_Grunddaten!AB130="Ja",1,0),"")</f>
        <v/>
      </c>
      <c r="U122" s="1" t="str">
        <f>IF(AND(Programme_Grunddaten!$A130="Geprüft",Programme_Grunddaten!AC130&lt;&gt;""),IF(Programme_Grunddaten!AC130="Ja",1,0),"")</f>
        <v/>
      </c>
      <c r="V122" s="1" t="str">
        <f>IF(AND(Programme_Grunddaten!$A130="Geprüft",Programme_Grunddaten!AD130&lt;&gt;""),IF(Programme_Grunddaten!AD130="Ja",1,0),"")</f>
        <v/>
      </c>
      <c r="W122" s="1" t="str">
        <f>IF(AND(Programme_Grunddaten!$A130="Geprüft",Programme_Grunddaten!AE130&lt;&gt;""),IF(Programme_Grunddaten!AE130="Ja",1,0),"")</f>
        <v/>
      </c>
      <c r="X122" s="1" t="str">
        <f>IF(AND(Programme_Grunddaten!$A130="Geprüft",Programme_Grunddaten!AF130&lt;&gt;""),IF(Programme_Grunddaten!AF130="Ja",1,0),"")</f>
        <v/>
      </c>
      <c r="Y122" s="1" t="str">
        <f>IF(AND(Programme_Grunddaten!$A130="Geprüft",Programme_Grunddaten!AG130&lt;&gt;""),IF(Programme_Grunddaten!AG130="Ja",1,0),"")</f>
        <v/>
      </c>
      <c r="Z122" s="1" t="str">
        <f>IF(AND(Programme_Grunddaten!$A130="Geprüft",Programme_Grunddaten!AH130&lt;&gt;""),IF(Programme_Grunddaten!AH130="Ja",1,0),"")</f>
        <v/>
      </c>
      <c r="AA122" s="1" t="str">
        <f>IF(AND(Programme_Grunddaten!$A130="Geprüft",Programme_Grunddaten!AI130&lt;&gt;""),IF(Programme_Grunddaten!AI130="Ja",1,0),"")</f>
        <v/>
      </c>
      <c r="AB122" s="1" t="str">
        <f>IF(AND(Programme_Grunddaten!$A130="Geprüft",Programme_Grunddaten!AJ130&lt;&gt;""),IF(Programme_Grunddaten!AJ130="individuell programmierbar",1,0),"")</f>
        <v/>
      </c>
      <c r="AC122" s="1" t="str">
        <f>IF(AND(Programme_Grunddaten!$A130="Geprüft",Programme_Grunddaten!AK130&lt;&gt;""),IF(Programme_Grunddaten!AK130="Deutsch",0,IF(Programme_Grunddaten!AK130="Deutsch und Englisch",1,2)),"")</f>
        <v/>
      </c>
      <c r="AD122" s="1" t="str">
        <f>IF(AND(Programme_Grunddaten!$A130="Geprüft",Programme_Grunddaten!AL130&lt;&gt;""),IF(Programme_Grunddaten!AL130="Ja",1,0),"")</f>
        <v/>
      </c>
      <c r="AE122" s="1" t="str">
        <f>IF(AND(Programme_Grunddaten!$A130="Geprüft",Programme_Grunddaten!AM130&lt;&gt;""),IF(Programme_Grunddaten!AM130="Ja",1,0),"")</f>
        <v/>
      </c>
      <c r="AF122" s="1" t="str">
        <f>IF(AND(Programme_Grunddaten!$A130="Geprüft",Programme_Grunddaten!AN130&lt;&gt;""),IF(Programme_Grunddaten!AN130="Ja",1,0),"")</f>
        <v/>
      </c>
      <c r="AG122" s="1" t="str">
        <f>IF(AND(Programme_Grunddaten!$A130="Geprüft",Programme_Grunddaten!AO130&lt;&gt;""),IF(Programme_Grunddaten!AO130="Ja",1,0),"")</f>
        <v/>
      </c>
      <c r="AH122" s="1" t="str">
        <f>IF(AND(Programme_Grunddaten!$A130="Geprüft",Programme_Grunddaten!AP130&lt;&gt;""),IF(Programme_Grunddaten!AP130="Ja",1,0),"")</f>
        <v/>
      </c>
      <c r="AI122" s="1" t="str">
        <f>IF(AND(Programme_Grunddaten!$A130="Geprüft",Programme_Grunddaten!AQ130&lt;&gt;""),IF(Programme_Grunddaten!AQ130="Ja",1,0),"")</f>
        <v/>
      </c>
      <c r="AJ122" s="1" t="str">
        <f>IF(AND(Programme_Grunddaten!$A130="Geprüft",Programme_Grunddaten!AR130&lt;&gt;""),IF(Programme_Grunddaten!AR130="Ja",1,0),"")</f>
        <v/>
      </c>
      <c r="AK122" s="1" t="str">
        <f>IF(AND(Programme_Grunddaten!$A130="Geprüft",Programme_Grunddaten!AS130&lt;&gt;""),IF(Programme_Grunddaten!AS130="Ja",1,0),"")</f>
        <v/>
      </c>
      <c r="AL122" s="1" t="str">
        <f>IF(AND(Programme_Grunddaten!$A130="Geprüft",Programme_Grunddaten!AT130&lt;&gt;""),IF(Programme_Grunddaten!AT130="Ja",1,0),"")</f>
        <v/>
      </c>
      <c r="AM122" s="1" t="str">
        <f>IF(AND(Programme_Grunddaten!$A130="Geprüft",Programme_Grunddaten!AU130&lt;&gt;""),IF(Programme_Grunddaten!AU130="Ja",1,0),"")</f>
        <v/>
      </c>
      <c r="AN122" s="1" t="str">
        <f>IF(AND(Programme_Grunddaten!$A130="Geprüft",Programme_Grunddaten!AV130&lt;&gt;""),IF(Programme_Grunddaten!AV130="Ja",1,0),"")</f>
        <v/>
      </c>
    </row>
    <row r="123" spans="1:40" x14ac:dyDescent="0.3">
      <c r="A123" s="1" t="e">
        <f>IF(AND(Programme_Grunddaten!#REF!="Geprüft",Programme_Grunddaten!#REF!&lt;&gt;""),Programme_Grunddaten!#REF!,"")</f>
        <v>#REF!</v>
      </c>
      <c r="B123" s="1" t="e">
        <f>IF(AND(Programme_Grunddaten!#REF!="Geprüft",Programme_Grunddaten!#REF!&lt;&gt;""),IF(Programme_Grunddaten!#REF!="Ja",1,0),"")</f>
        <v>#REF!</v>
      </c>
      <c r="C123" s="1" t="e">
        <f>IF(AND(Programme_Grunddaten!#REF!="Geprüft",Programme_Grunddaten!#REF!&lt;&gt;""),IF(Programme_Grunddaten!#REF!="Ja",1,0),"")</f>
        <v>#REF!</v>
      </c>
      <c r="D123" s="1" t="e">
        <f>IF(AND(Programme_Grunddaten!#REF!="Geprüft",Programme_Grunddaten!#REF!&lt;&gt;""),IF(Programme_Grunddaten!#REF!="Ja",1,0),"")</f>
        <v>#REF!</v>
      </c>
      <c r="E123" s="1" t="e">
        <f>IF(AND(Programme_Grunddaten!#REF!="Geprüft",Programme_Grunddaten!#REF!&lt;&gt;""),IF(Programme_Grunddaten!#REF!="Abo / befristete Lizenz",1,0),"")</f>
        <v>#REF!</v>
      </c>
      <c r="F123" s="1" t="e">
        <f>IF(AND(Programme_Grunddaten!#REF!="Geprüft",Programme_Grunddaten!#REF!&lt;&gt;""),IF(Programme_Grunddaten!#REF!="Ja",1,0),"")</f>
        <v>#REF!</v>
      </c>
      <c r="G123" s="1" t="e">
        <f>IF(AND(Programme_Grunddaten!#REF!="Geprüft",Programme_Grunddaten!#REF!&lt;&gt;""),IF(Programme_Grunddaten!#REF!="Ja",1,0),"")</f>
        <v>#REF!</v>
      </c>
      <c r="H123" s="1" t="e">
        <f>IF(AND(Programme_Grunddaten!#REF!="Geprüft",Programme_Grunddaten!#REF!&lt;&gt;""),IF(Programme_Grunddaten!#REF!="Deutschland",0,IF(Programme_Grunddaten!#REF!="EU",1,2)),"")</f>
        <v>#REF!</v>
      </c>
      <c r="I123" s="1" t="e">
        <f>IF(AND(Programme_Grunddaten!#REF!="Geprüft",Programme_Grunddaten!#REF!&lt;&gt;""),IF(Programme_Grunddaten!#REF!="Ja",1,0),"")</f>
        <v>#REF!</v>
      </c>
      <c r="J123" s="1" t="e">
        <f>IF(AND(Programme_Grunddaten!#REF!="Geprüft",Programme_Grunddaten!#REF!&lt;&gt;""),IF(Programme_Grunddaten!#REF!="geschlossenes System",1,0),"")</f>
        <v>#REF!</v>
      </c>
      <c r="K123" s="1" t="e">
        <f>IF(AND(Programme_Grunddaten!#REF!="Geprüft",Programme_Grunddaten!#REF!&lt;&gt;""),IF(Programme_Grunddaten!#REF!="Ja",1,0),"")</f>
        <v>#REF!</v>
      </c>
      <c r="L123" s="1" t="e">
        <f>IF(AND(Programme_Grunddaten!#REF!="Geprüft",Programme_Grunddaten!#REF!&lt;&gt;""),IF(Programme_Grunddaten!#REF!="Ja",1,0),"")</f>
        <v>#REF!</v>
      </c>
      <c r="M123" s="1" t="e">
        <f>IF(AND(Programme_Grunddaten!#REF!="Geprüft",Programme_Grunddaten!#REF!&lt;&gt;""),IF(Programme_Grunddaten!#REF!="Ja",1,0),"")</f>
        <v>#REF!</v>
      </c>
      <c r="N123" s="1" t="e">
        <f>IF(AND(Programme_Grunddaten!#REF!="Geprüft",Programme_Grunddaten!#REF!&lt;&gt;""),IF(Programme_Grunddaten!#REF!="Ja",1,0),"")</f>
        <v>#REF!</v>
      </c>
      <c r="O123" s="1" t="e">
        <f>IF(AND(Programme_Grunddaten!#REF!="Geprüft",Programme_Grunddaten!#REF!&lt;&gt;""),IF(Programme_Grunddaten!#REF!="Ja",1,0),"")</f>
        <v>#REF!</v>
      </c>
      <c r="P123" s="1" t="e">
        <f>IF(AND(Programme_Grunddaten!#REF!="Geprüft",Programme_Grunddaten!#REF!&lt;&gt;""),IF(Programme_Grunddaten!#REF!="Ja",1,0),"")</f>
        <v>#REF!</v>
      </c>
      <c r="Q123" s="1" t="e">
        <f>IF(AND(Programme_Grunddaten!#REF!="Geprüft",Programme_Grunddaten!#REF!&lt;&gt;""),IF(Programme_Grunddaten!#REF!="Ja",1,0),"")</f>
        <v>#REF!</v>
      </c>
      <c r="R123" s="1" t="e">
        <f>IF(AND(Programme_Grunddaten!#REF!="Geprüft",Programme_Grunddaten!#REF!&lt;&gt;""),IF(Programme_Grunddaten!#REF!="Ja",1,0),"")</f>
        <v>#REF!</v>
      </c>
      <c r="S123" s="1" t="e">
        <f>IF(AND(Programme_Grunddaten!#REF!="Geprüft",Programme_Grunddaten!#REF!&lt;&gt;""),IF(Programme_Grunddaten!#REF!="monolithisch",1,0),"")</f>
        <v>#REF!</v>
      </c>
      <c r="T123" s="1" t="e">
        <f>IF(AND(Programme_Grunddaten!#REF!="Geprüft",Programme_Grunddaten!#REF!&lt;&gt;""),IF(Programme_Grunddaten!#REF!="Ja",1,0),"")</f>
        <v>#REF!</v>
      </c>
      <c r="U123" s="1" t="e">
        <f>IF(AND(Programme_Grunddaten!#REF!="Geprüft",Programme_Grunddaten!#REF!&lt;&gt;""),IF(Programme_Grunddaten!#REF!="Ja",1,0),"")</f>
        <v>#REF!</v>
      </c>
      <c r="V123" s="1" t="e">
        <f>IF(AND(Programme_Grunddaten!#REF!="Geprüft",Programme_Grunddaten!#REF!&lt;&gt;""),IF(Programme_Grunddaten!#REF!="Ja",1,0),"")</f>
        <v>#REF!</v>
      </c>
      <c r="W123" s="1" t="e">
        <f>IF(AND(Programme_Grunddaten!#REF!="Geprüft",Programme_Grunddaten!#REF!&lt;&gt;""),IF(Programme_Grunddaten!#REF!="Ja",1,0),"")</f>
        <v>#REF!</v>
      </c>
      <c r="X123" s="1" t="e">
        <f>IF(AND(Programme_Grunddaten!#REF!="Geprüft",Programme_Grunddaten!#REF!&lt;&gt;""),IF(Programme_Grunddaten!#REF!="Ja",1,0),"")</f>
        <v>#REF!</v>
      </c>
      <c r="Y123" s="1" t="e">
        <f>IF(AND(Programme_Grunddaten!#REF!="Geprüft",Programme_Grunddaten!#REF!&lt;&gt;""),IF(Programme_Grunddaten!#REF!="Ja",1,0),"")</f>
        <v>#REF!</v>
      </c>
      <c r="Z123" s="1" t="e">
        <f>IF(AND(Programme_Grunddaten!#REF!="Geprüft",Programme_Grunddaten!#REF!&lt;&gt;""),IF(Programme_Grunddaten!#REF!="Ja",1,0),"")</f>
        <v>#REF!</v>
      </c>
      <c r="AA123" s="1" t="e">
        <f>IF(AND(Programme_Grunddaten!#REF!="Geprüft",Programme_Grunddaten!#REF!&lt;&gt;""),IF(Programme_Grunddaten!#REF!="Ja",1,0),"")</f>
        <v>#REF!</v>
      </c>
      <c r="AB123" s="1" t="e">
        <f>IF(AND(Programme_Grunddaten!#REF!="Geprüft",Programme_Grunddaten!#REF!&lt;&gt;""),IF(Programme_Grunddaten!#REF!="individuell programmierbar",1,0),"")</f>
        <v>#REF!</v>
      </c>
      <c r="AC123" s="1" t="e">
        <f>IF(AND(Programme_Grunddaten!#REF!="Geprüft",Programme_Grunddaten!#REF!&lt;&gt;""),IF(Programme_Grunddaten!#REF!="Deutsch",0,IF(Programme_Grunddaten!#REF!="Deutsch und Englisch",1,2)),"")</f>
        <v>#REF!</v>
      </c>
      <c r="AD123" s="1" t="e">
        <f>IF(AND(Programme_Grunddaten!#REF!="Geprüft",Programme_Grunddaten!#REF!&lt;&gt;""),IF(Programme_Grunddaten!#REF!="Ja",1,0),"")</f>
        <v>#REF!</v>
      </c>
      <c r="AE123" s="1" t="e">
        <f>IF(AND(Programme_Grunddaten!#REF!="Geprüft",Programme_Grunddaten!#REF!&lt;&gt;""),IF(Programme_Grunddaten!#REF!="Ja",1,0),"")</f>
        <v>#REF!</v>
      </c>
      <c r="AF123" s="1" t="e">
        <f>IF(AND(Programme_Grunddaten!#REF!="Geprüft",Programme_Grunddaten!#REF!&lt;&gt;""),IF(Programme_Grunddaten!#REF!="Ja",1,0),"")</f>
        <v>#REF!</v>
      </c>
      <c r="AG123" s="1" t="e">
        <f>IF(AND(Programme_Grunddaten!#REF!="Geprüft",Programme_Grunddaten!#REF!&lt;&gt;""),IF(Programme_Grunddaten!#REF!="Ja",1,0),"")</f>
        <v>#REF!</v>
      </c>
      <c r="AH123" s="1" t="e">
        <f>IF(AND(Programme_Grunddaten!#REF!="Geprüft",Programme_Grunddaten!#REF!&lt;&gt;""),IF(Programme_Grunddaten!#REF!="Ja",1,0),"")</f>
        <v>#REF!</v>
      </c>
      <c r="AI123" s="1" t="e">
        <f>IF(AND(Programme_Grunddaten!#REF!="Geprüft",Programme_Grunddaten!#REF!&lt;&gt;""),IF(Programme_Grunddaten!#REF!="Ja",1,0),"")</f>
        <v>#REF!</v>
      </c>
      <c r="AJ123" s="1" t="e">
        <f>IF(AND(Programme_Grunddaten!#REF!="Geprüft",Programme_Grunddaten!#REF!&lt;&gt;""),IF(Programme_Grunddaten!#REF!="Ja",1,0),"")</f>
        <v>#REF!</v>
      </c>
      <c r="AK123" s="1" t="e">
        <f>IF(AND(Programme_Grunddaten!#REF!="Geprüft",Programme_Grunddaten!#REF!&lt;&gt;""),IF(Programme_Grunddaten!#REF!="Ja",1,0),"")</f>
        <v>#REF!</v>
      </c>
      <c r="AL123" s="1" t="e">
        <f>IF(AND(Programme_Grunddaten!#REF!="Geprüft",Programme_Grunddaten!#REF!&lt;&gt;""),IF(Programme_Grunddaten!#REF!="Ja",1,0),"")</f>
        <v>#REF!</v>
      </c>
      <c r="AM123" s="1" t="e">
        <f>IF(AND(Programme_Grunddaten!#REF!="Geprüft",Programme_Grunddaten!#REF!&lt;&gt;""),IF(Programme_Grunddaten!#REF!="Ja",1,0),"")</f>
        <v>#REF!</v>
      </c>
      <c r="AN123" s="1" t="e">
        <f>IF(AND(Programme_Grunddaten!#REF!="Geprüft",Programme_Grunddaten!#REF!&lt;&gt;""),IF(Programme_Grunddaten!#REF!="Ja",1,0),"")</f>
        <v>#REF!</v>
      </c>
    </row>
    <row r="124" spans="1:40" x14ac:dyDescent="0.3">
      <c r="A124" s="1" t="e">
        <f>IF(AND(Programme_Grunddaten!#REF!="Geprüft",Programme_Grunddaten!#REF!&lt;&gt;""),Programme_Grunddaten!#REF!,"")</f>
        <v>#REF!</v>
      </c>
      <c r="B124" s="1" t="e">
        <f>IF(AND(Programme_Grunddaten!#REF!="Geprüft",Programme_Grunddaten!#REF!&lt;&gt;""),IF(Programme_Grunddaten!#REF!="Ja",1,0),"")</f>
        <v>#REF!</v>
      </c>
      <c r="C124" s="1" t="e">
        <f>IF(AND(Programme_Grunddaten!#REF!="Geprüft",Programme_Grunddaten!#REF!&lt;&gt;""),IF(Programme_Grunddaten!#REF!="Ja",1,0),"")</f>
        <v>#REF!</v>
      </c>
      <c r="D124" s="1" t="e">
        <f>IF(AND(Programme_Grunddaten!#REF!="Geprüft",Programme_Grunddaten!#REF!&lt;&gt;""),IF(Programme_Grunddaten!#REF!="Ja",1,0),"")</f>
        <v>#REF!</v>
      </c>
      <c r="E124" s="1" t="e">
        <f>IF(AND(Programme_Grunddaten!#REF!="Geprüft",Programme_Grunddaten!#REF!&lt;&gt;""),IF(Programme_Grunddaten!#REF!="Abo / befristete Lizenz",1,0),"")</f>
        <v>#REF!</v>
      </c>
      <c r="F124" s="1" t="e">
        <f>IF(AND(Programme_Grunddaten!#REF!="Geprüft",Programme_Grunddaten!#REF!&lt;&gt;""),IF(Programme_Grunddaten!#REF!="Ja",1,0),"")</f>
        <v>#REF!</v>
      </c>
      <c r="G124" s="1" t="e">
        <f>IF(AND(Programme_Grunddaten!#REF!="Geprüft",Programme_Grunddaten!#REF!&lt;&gt;""),IF(Programme_Grunddaten!#REF!="Ja",1,0),"")</f>
        <v>#REF!</v>
      </c>
      <c r="H124" s="1" t="e">
        <f>IF(AND(Programme_Grunddaten!#REF!="Geprüft",Programme_Grunddaten!#REF!&lt;&gt;""),IF(Programme_Grunddaten!#REF!="Deutschland",0,IF(Programme_Grunddaten!#REF!="EU",1,2)),"")</f>
        <v>#REF!</v>
      </c>
      <c r="I124" s="1" t="e">
        <f>IF(AND(Programme_Grunddaten!#REF!="Geprüft",Programme_Grunddaten!#REF!&lt;&gt;""),IF(Programme_Grunddaten!#REF!="Ja",1,0),"")</f>
        <v>#REF!</v>
      </c>
      <c r="J124" s="1" t="e">
        <f>IF(AND(Programme_Grunddaten!#REF!="Geprüft",Programme_Grunddaten!#REF!&lt;&gt;""),IF(Programme_Grunddaten!#REF!="geschlossenes System",1,0),"")</f>
        <v>#REF!</v>
      </c>
      <c r="K124" s="1" t="e">
        <f>IF(AND(Programme_Grunddaten!#REF!="Geprüft",Programme_Grunddaten!#REF!&lt;&gt;""),IF(Programme_Grunddaten!#REF!="Ja",1,0),"")</f>
        <v>#REF!</v>
      </c>
      <c r="L124" s="1" t="e">
        <f>IF(AND(Programme_Grunddaten!#REF!="Geprüft",Programme_Grunddaten!#REF!&lt;&gt;""),IF(Programme_Grunddaten!#REF!="Ja",1,0),"")</f>
        <v>#REF!</v>
      </c>
      <c r="M124" s="1" t="e">
        <f>IF(AND(Programme_Grunddaten!#REF!="Geprüft",Programme_Grunddaten!#REF!&lt;&gt;""),IF(Programme_Grunddaten!#REF!="Ja",1,0),"")</f>
        <v>#REF!</v>
      </c>
      <c r="N124" s="1" t="e">
        <f>IF(AND(Programme_Grunddaten!#REF!="Geprüft",Programme_Grunddaten!#REF!&lt;&gt;""),IF(Programme_Grunddaten!#REF!="Ja",1,0),"")</f>
        <v>#REF!</v>
      </c>
      <c r="O124" s="1" t="e">
        <f>IF(AND(Programme_Grunddaten!#REF!="Geprüft",Programme_Grunddaten!#REF!&lt;&gt;""),IF(Programme_Grunddaten!#REF!="Ja",1,0),"")</f>
        <v>#REF!</v>
      </c>
      <c r="P124" s="1" t="e">
        <f>IF(AND(Programme_Grunddaten!#REF!="Geprüft",Programme_Grunddaten!#REF!&lt;&gt;""),IF(Programme_Grunddaten!#REF!="Ja",1,0),"")</f>
        <v>#REF!</v>
      </c>
      <c r="Q124" s="1" t="e">
        <f>IF(AND(Programme_Grunddaten!#REF!="Geprüft",Programme_Grunddaten!#REF!&lt;&gt;""),IF(Programme_Grunddaten!#REF!="Ja",1,0),"")</f>
        <v>#REF!</v>
      </c>
      <c r="R124" s="1" t="e">
        <f>IF(AND(Programme_Grunddaten!#REF!="Geprüft",Programme_Grunddaten!#REF!&lt;&gt;""),IF(Programme_Grunddaten!#REF!="Ja",1,0),"")</f>
        <v>#REF!</v>
      </c>
      <c r="S124" s="1" t="e">
        <f>IF(AND(Programme_Grunddaten!#REF!="Geprüft",Programme_Grunddaten!#REF!&lt;&gt;""),IF(Programme_Grunddaten!#REF!="monolithisch",1,0),"")</f>
        <v>#REF!</v>
      </c>
      <c r="T124" s="1" t="e">
        <f>IF(AND(Programme_Grunddaten!#REF!="Geprüft",Programme_Grunddaten!#REF!&lt;&gt;""),IF(Programme_Grunddaten!#REF!="Ja",1,0),"")</f>
        <v>#REF!</v>
      </c>
      <c r="U124" s="1" t="e">
        <f>IF(AND(Programme_Grunddaten!#REF!="Geprüft",Programme_Grunddaten!#REF!&lt;&gt;""),IF(Programme_Grunddaten!#REF!="Ja",1,0),"")</f>
        <v>#REF!</v>
      </c>
      <c r="V124" s="1" t="e">
        <f>IF(AND(Programme_Grunddaten!#REF!="Geprüft",Programme_Grunddaten!#REF!&lt;&gt;""),IF(Programme_Grunddaten!#REF!="Ja",1,0),"")</f>
        <v>#REF!</v>
      </c>
      <c r="W124" s="1" t="e">
        <f>IF(AND(Programme_Grunddaten!#REF!="Geprüft",Programme_Grunddaten!#REF!&lt;&gt;""),IF(Programme_Grunddaten!#REF!="Ja",1,0),"")</f>
        <v>#REF!</v>
      </c>
      <c r="X124" s="1" t="e">
        <f>IF(AND(Programme_Grunddaten!#REF!="Geprüft",Programme_Grunddaten!#REF!&lt;&gt;""),IF(Programme_Grunddaten!#REF!="Ja",1,0),"")</f>
        <v>#REF!</v>
      </c>
      <c r="Y124" s="1" t="e">
        <f>IF(AND(Programme_Grunddaten!#REF!="Geprüft",Programme_Grunddaten!#REF!&lt;&gt;""),IF(Programme_Grunddaten!#REF!="Ja",1,0),"")</f>
        <v>#REF!</v>
      </c>
      <c r="Z124" s="1" t="e">
        <f>IF(AND(Programme_Grunddaten!#REF!="Geprüft",Programme_Grunddaten!#REF!&lt;&gt;""),IF(Programme_Grunddaten!#REF!="Ja",1,0),"")</f>
        <v>#REF!</v>
      </c>
      <c r="AA124" s="1" t="e">
        <f>IF(AND(Programme_Grunddaten!#REF!="Geprüft",Programme_Grunddaten!#REF!&lt;&gt;""),IF(Programme_Grunddaten!#REF!="Ja",1,0),"")</f>
        <v>#REF!</v>
      </c>
      <c r="AB124" s="1" t="e">
        <f>IF(AND(Programme_Grunddaten!#REF!="Geprüft",Programme_Grunddaten!#REF!&lt;&gt;""),IF(Programme_Grunddaten!#REF!="individuell programmierbar",1,0),"")</f>
        <v>#REF!</v>
      </c>
      <c r="AC124" s="1" t="e">
        <f>IF(AND(Programme_Grunddaten!#REF!="Geprüft",Programme_Grunddaten!#REF!&lt;&gt;""),IF(Programme_Grunddaten!#REF!="Deutsch",0,IF(Programme_Grunddaten!#REF!="Deutsch und Englisch",1,2)),"")</f>
        <v>#REF!</v>
      </c>
      <c r="AD124" s="1" t="e">
        <f>IF(AND(Programme_Grunddaten!#REF!="Geprüft",Programme_Grunddaten!#REF!&lt;&gt;""),IF(Programme_Grunddaten!#REF!="Ja",1,0),"")</f>
        <v>#REF!</v>
      </c>
      <c r="AE124" s="1" t="e">
        <f>IF(AND(Programme_Grunddaten!#REF!="Geprüft",Programme_Grunddaten!#REF!&lt;&gt;""),IF(Programme_Grunddaten!#REF!="Ja",1,0),"")</f>
        <v>#REF!</v>
      </c>
      <c r="AF124" s="1" t="e">
        <f>IF(AND(Programme_Grunddaten!#REF!="Geprüft",Programme_Grunddaten!#REF!&lt;&gt;""),IF(Programme_Grunddaten!#REF!="Ja",1,0),"")</f>
        <v>#REF!</v>
      </c>
      <c r="AG124" s="1" t="e">
        <f>IF(AND(Programme_Grunddaten!#REF!="Geprüft",Programme_Grunddaten!#REF!&lt;&gt;""),IF(Programme_Grunddaten!#REF!="Ja",1,0),"")</f>
        <v>#REF!</v>
      </c>
      <c r="AH124" s="1" t="e">
        <f>IF(AND(Programme_Grunddaten!#REF!="Geprüft",Programme_Grunddaten!#REF!&lt;&gt;""),IF(Programme_Grunddaten!#REF!="Ja",1,0),"")</f>
        <v>#REF!</v>
      </c>
      <c r="AI124" s="1" t="e">
        <f>IF(AND(Programme_Grunddaten!#REF!="Geprüft",Programme_Grunddaten!#REF!&lt;&gt;""),IF(Programme_Grunddaten!#REF!="Ja",1,0),"")</f>
        <v>#REF!</v>
      </c>
      <c r="AJ124" s="1" t="e">
        <f>IF(AND(Programme_Grunddaten!#REF!="Geprüft",Programme_Grunddaten!#REF!&lt;&gt;""),IF(Programme_Grunddaten!#REF!="Ja",1,0),"")</f>
        <v>#REF!</v>
      </c>
      <c r="AK124" s="1" t="e">
        <f>IF(AND(Programme_Grunddaten!#REF!="Geprüft",Programme_Grunddaten!#REF!&lt;&gt;""),IF(Programme_Grunddaten!#REF!="Ja",1,0),"")</f>
        <v>#REF!</v>
      </c>
      <c r="AL124" s="1" t="e">
        <f>IF(AND(Programme_Grunddaten!#REF!="Geprüft",Programme_Grunddaten!#REF!&lt;&gt;""),IF(Programme_Grunddaten!#REF!="Ja",1,0),"")</f>
        <v>#REF!</v>
      </c>
      <c r="AM124" s="1" t="e">
        <f>IF(AND(Programme_Grunddaten!#REF!="Geprüft",Programme_Grunddaten!#REF!&lt;&gt;""),IF(Programme_Grunddaten!#REF!="Ja",1,0),"")</f>
        <v>#REF!</v>
      </c>
      <c r="AN124" s="1" t="e">
        <f>IF(AND(Programme_Grunddaten!#REF!="Geprüft",Programme_Grunddaten!#REF!&lt;&gt;""),IF(Programme_Grunddaten!#REF!="Ja",1,0),"")</f>
        <v>#REF!</v>
      </c>
    </row>
    <row r="125" spans="1:40" x14ac:dyDescent="0.3">
      <c r="A125" s="1" t="e">
        <f>IF(AND(Programme_Grunddaten!#REF!="Geprüft",Programme_Grunddaten!#REF!&lt;&gt;""),Programme_Grunddaten!#REF!,"")</f>
        <v>#REF!</v>
      </c>
      <c r="B125" s="1" t="e">
        <f>IF(AND(Programme_Grunddaten!#REF!="Geprüft",Programme_Grunddaten!#REF!&lt;&gt;""),IF(Programme_Grunddaten!#REF!="Ja",1,0),"")</f>
        <v>#REF!</v>
      </c>
      <c r="C125" s="1" t="e">
        <f>IF(AND(Programme_Grunddaten!#REF!="Geprüft",Programme_Grunddaten!#REF!&lt;&gt;""),IF(Programme_Grunddaten!#REF!="Ja",1,0),"")</f>
        <v>#REF!</v>
      </c>
      <c r="D125" s="1" t="e">
        <f>IF(AND(Programme_Grunddaten!#REF!="Geprüft",Programme_Grunddaten!#REF!&lt;&gt;""),IF(Programme_Grunddaten!#REF!="Ja",1,0),"")</f>
        <v>#REF!</v>
      </c>
      <c r="E125" s="1" t="e">
        <f>IF(AND(Programme_Grunddaten!#REF!="Geprüft",Programme_Grunddaten!#REF!&lt;&gt;""),IF(Programme_Grunddaten!#REF!="Abo / befristete Lizenz",1,0),"")</f>
        <v>#REF!</v>
      </c>
      <c r="F125" s="1" t="e">
        <f>IF(AND(Programme_Grunddaten!#REF!="Geprüft",Programme_Grunddaten!#REF!&lt;&gt;""),IF(Programme_Grunddaten!#REF!="Ja",1,0),"")</f>
        <v>#REF!</v>
      </c>
      <c r="G125" s="1" t="e">
        <f>IF(AND(Programme_Grunddaten!#REF!="Geprüft",Programme_Grunddaten!#REF!&lt;&gt;""),IF(Programme_Grunddaten!#REF!="Ja",1,0),"")</f>
        <v>#REF!</v>
      </c>
      <c r="H125" s="1" t="e">
        <f>IF(AND(Programme_Grunddaten!#REF!="Geprüft",Programme_Grunddaten!#REF!&lt;&gt;""),IF(Programme_Grunddaten!#REF!="Deutschland",0,IF(Programme_Grunddaten!#REF!="EU",1,2)),"")</f>
        <v>#REF!</v>
      </c>
      <c r="I125" s="1" t="e">
        <f>IF(AND(Programme_Grunddaten!#REF!="Geprüft",Programme_Grunddaten!#REF!&lt;&gt;""),IF(Programme_Grunddaten!#REF!="Ja",1,0),"")</f>
        <v>#REF!</v>
      </c>
      <c r="J125" s="1" t="e">
        <f>IF(AND(Programme_Grunddaten!#REF!="Geprüft",Programme_Grunddaten!#REF!&lt;&gt;""),IF(Programme_Grunddaten!#REF!="geschlossenes System",1,0),"")</f>
        <v>#REF!</v>
      </c>
      <c r="K125" s="1" t="e">
        <f>IF(AND(Programme_Grunddaten!#REF!="Geprüft",Programme_Grunddaten!#REF!&lt;&gt;""),IF(Programme_Grunddaten!#REF!="Ja",1,0),"")</f>
        <v>#REF!</v>
      </c>
      <c r="L125" s="1" t="e">
        <f>IF(AND(Programme_Grunddaten!#REF!="Geprüft",Programme_Grunddaten!#REF!&lt;&gt;""),IF(Programme_Grunddaten!#REF!="Ja",1,0),"")</f>
        <v>#REF!</v>
      </c>
      <c r="M125" s="1" t="e">
        <f>IF(AND(Programme_Grunddaten!#REF!="Geprüft",Programme_Grunddaten!#REF!&lt;&gt;""),IF(Programme_Grunddaten!#REF!="Ja",1,0),"")</f>
        <v>#REF!</v>
      </c>
      <c r="N125" s="1" t="e">
        <f>IF(AND(Programme_Grunddaten!#REF!="Geprüft",Programme_Grunddaten!#REF!&lt;&gt;""),IF(Programme_Grunddaten!#REF!="Ja",1,0),"")</f>
        <v>#REF!</v>
      </c>
      <c r="O125" s="1" t="e">
        <f>IF(AND(Programme_Grunddaten!#REF!="Geprüft",Programme_Grunddaten!#REF!&lt;&gt;""),IF(Programme_Grunddaten!#REF!="Ja",1,0),"")</f>
        <v>#REF!</v>
      </c>
      <c r="P125" s="1" t="e">
        <f>IF(AND(Programme_Grunddaten!#REF!="Geprüft",Programme_Grunddaten!#REF!&lt;&gt;""),IF(Programme_Grunddaten!#REF!="Ja",1,0),"")</f>
        <v>#REF!</v>
      </c>
      <c r="Q125" s="1" t="e">
        <f>IF(AND(Programme_Grunddaten!#REF!="Geprüft",Programme_Grunddaten!#REF!&lt;&gt;""),IF(Programme_Grunddaten!#REF!="Ja",1,0),"")</f>
        <v>#REF!</v>
      </c>
      <c r="R125" s="1" t="e">
        <f>IF(AND(Programme_Grunddaten!#REF!="Geprüft",Programme_Grunddaten!#REF!&lt;&gt;""),IF(Programme_Grunddaten!#REF!="Ja",1,0),"")</f>
        <v>#REF!</v>
      </c>
      <c r="S125" s="1" t="e">
        <f>IF(AND(Programme_Grunddaten!#REF!="Geprüft",Programme_Grunddaten!#REF!&lt;&gt;""),IF(Programme_Grunddaten!#REF!="monolithisch",1,0),"")</f>
        <v>#REF!</v>
      </c>
      <c r="T125" s="1" t="e">
        <f>IF(AND(Programme_Grunddaten!#REF!="Geprüft",Programme_Grunddaten!#REF!&lt;&gt;""),IF(Programme_Grunddaten!#REF!="Ja",1,0),"")</f>
        <v>#REF!</v>
      </c>
      <c r="U125" s="1" t="e">
        <f>IF(AND(Programme_Grunddaten!#REF!="Geprüft",Programme_Grunddaten!#REF!&lt;&gt;""),IF(Programme_Grunddaten!#REF!="Ja",1,0),"")</f>
        <v>#REF!</v>
      </c>
      <c r="V125" s="1" t="e">
        <f>IF(AND(Programme_Grunddaten!#REF!="Geprüft",Programme_Grunddaten!#REF!&lt;&gt;""),IF(Programme_Grunddaten!#REF!="Ja",1,0),"")</f>
        <v>#REF!</v>
      </c>
      <c r="W125" s="1" t="e">
        <f>IF(AND(Programme_Grunddaten!#REF!="Geprüft",Programme_Grunddaten!#REF!&lt;&gt;""),IF(Programme_Grunddaten!#REF!="Ja",1,0),"")</f>
        <v>#REF!</v>
      </c>
      <c r="X125" s="1" t="e">
        <f>IF(AND(Programme_Grunddaten!#REF!="Geprüft",Programme_Grunddaten!#REF!&lt;&gt;""),IF(Programme_Grunddaten!#REF!="Ja",1,0),"")</f>
        <v>#REF!</v>
      </c>
      <c r="Y125" s="1" t="e">
        <f>IF(AND(Programme_Grunddaten!#REF!="Geprüft",Programme_Grunddaten!#REF!&lt;&gt;""),IF(Programme_Grunddaten!#REF!="Ja",1,0),"")</f>
        <v>#REF!</v>
      </c>
      <c r="Z125" s="1" t="e">
        <f>IF(AND(Programme_Grunddaten!#REF!="Geprüft",Programme_Grunddaten!#REF!&lt;&gt;""),IF(Programme_Grunddaten!#REF!="Ja",1,0),"")</f>
        <v>#REF!</v>
      </c>
      <c r="AA125" s="1" t="e">
        <f>IF(AND(Programme_Grunddaten!#REF!="Geprüft",Programme_Grunddaten!#REF!&lt;&gt;""),IF(Programme_Grunddaten!#REF!="Ja",1,0),"")</f>
        <v>#REF!</v>
      </c>
      <c r="AB125" s="1" t="e">
        <f>IF(AND(Programme_Grunddaten!#REF!="Geprüft",Programme_Grunddaten!#REF!&lt;&gt;""),IF(Programme_Grunddaten!#REF!="individuell programmierbar",1,0),"")</f>
        <v>#REF!</v>
      </c>
      <c r="AC125" s="1" t="e">
        <f>IF(AND(Programme_Grunddaten!#REF!="Geprüft",Programme_Grunddaten!#REF!&lt;&gt;""),IF(Programme_Grunddaten!#REF!="Deutsch",0,IF(Programme_Grunddaten!#REF!="Deutsch und Englisch",1,2)),"")</f>
        <v>#REF!</v>
      </c>
      <c r="AD125" s="1" t="e">
        <f>IF(AND(Programme_Grunddaten!#REF!="Geprüft",Programme_Grunddaten!#REF!&lt;&gt;""),IF(Programme_Grunddaten!#REF!="Ja",1,0),"")</f>
        <v>#REF!</v>
      </c>
      <c r="AE125" s="1" t="e">
        <f>IF(AND(Programme_Grunddaten!#REF!="Geprüft",Programme_Grunddaten!#REF!&lt;&gt;""),IF(Programme_Grunddaten!#REF!="Ja",1,0),"")</f>
        <v>#REF!</v>
      </c>
      <c r="AF125" s="1" t="e">
        <f>IF(AND(Programme_Grunddaten!#REF!="Geprüft",Programme_Grunddaten!#REF!&lt;&gt;""),IF(Programme_Grunddaten!#REF!="Ja",1,0),"")</f>
        <v>#REF!</v>
      </c>
      <c r="AG125" s="1" t="e">
        <f>IF(AND(Programme_Grunddaten!#REF!="Geprüft",Programme_Grunddaten!#REF!&lt;&gt;""),IF(Programme_Grunddaten!#REF!="Ja",1,0),"")</f>
        <v>#REF!</v>
      </c>
      <c r="AH125" s="1" t="e">
        <f>IF(AND(Programme_Grunddaten!#REF!="Geprüft",Programme_Grunddaten!#REF!&lt;&gt;""),IF(Programme_Grunddaten!#REF!="Ja",1,0),"")</f>
        <v>#REF!</v>
      </c>
      <c r="AI125" s="1" t="e">
        <f>IF(AND(Programme_Grunddaten!#REF!="Geprüft",Programme_Grunddaten!#REF!&lt;&gt;""),IF(Programme_Grunddaten!#REF!="Ja",1,0),"")</f>
        <v>#REF!</v>
      </c>
      <c r="AJ125" s="1" t="e">
        <f>IF(AND(Programme_Grunddaten!#REF!="Geprüft",Programme_Grunddaten!#REF!&lt;&gt;""),IF(Programme_Grunddaten!#REF!="Ja",1,0),"")</f>
        <v>#REF!</v>
      </c>
      <c r="AK125" s="1" t="e">
        <f>IF(AND(Programme_Grunddaten!#REF!="Geprüft",Programme_Grunddaten!#REF!&lt;&gt;""),IF(Programme_Grunddaten!#REF!="Ja",1,0),"")</f>
        <v>#REF!</v>
      </c>
      <c r="AL125" s="1" t="e">
        <f>IF(AND(Programme_Grunddaten!#REF!="Geprüft",Programme_Grunddaten!#REF!&lt;&gt;""),IF(Programme_Grunddaten!#REF!="Ja",1,0),"")</f>
        <v>#REF!</v>
      </c>
      <c r="AM125" s="1" t="e">
        <f>IF(AND(Programme_Grunddaten!#REF!="Geprüft",Programme_Grunddaten!#REF!&lt;&gt;""),IF(Programme_Grunddaten!#REF!="Ja",1,0),"")</f>
        <v>#REF!</v>
      </c>
      <c r="AN125" s="1" t="e">
        <f>IF(AND(Programme_Grunddaten!#REF!="Geprüft",Programme_Grunddaten!#REF!&lt;&gt;""),IF(Programme_Grunddaten!#REF!="Ja",1,0),"")</f>
        <v>#REF!</v>
      </c>
    </row>
    <row r="126" spans="1:40" x14ac:dyDescent="0.3">
      <c r="A126" s="1" t="str">
        <f>IF(AND(Programme_Grunddaten!A131="Geprüft",Programme_Grunddaten!B131&lt;&gt;""),Programme_Grunddaten!B131,"")</f>
        <v/>
      </c>
      <c r="B126" s="1" t="str">
        <f>IF(AND(Programme_Grunddaten!$A131="Geprüft",Programme_Grunddaten!I131&lt;&gt;""),IF(Programme_Grunddaten!I131="Ja",1,0),"")</f>
        <v/>
      </c>
      <c r="C126" s="1" t="str">
        <f>IF(AND(Programme_Grunddaten!$A131="Geprüft",Programme_Grunddaten!J131&lt;&gt;""),IF(Programme_Grunddaten!J131="Ja",1,0),"")</f>
        <v/>
      </c>
      <c r="D126" s="1" t="str">
        <f>IF(AND(Programme_Grunddaten!$A131="Geprüft",Programme_Grunddaten!K131&lt;&gt;""),IF(Programme_Grunddaten!K131="Ja",1,0),"")</f>
        <v/>
      </c>
      <c r="E126" s="1" t="str">
        <f>IF(AND(Programme_Grunddaten!$A131="Geprüft",Programme_Grunddaten!L131&lt;&gt;""),IF(Programme_Grunddaten!L131="Abo / befristete Lizenz",1,0),"")</f>
        <v/>
      </c>
      <c r="F126" s="1" t="str">
        <f>IF(AND(Programme_Grunddaten!$A131="Geprüft",Programme_Grunddaten!M131&lt;&gt;""),IF(Programme_Grunddaten!M131="Ja",1,0),"")</f>
        <v/>
      </c>
      <c r="G126" s="1" t="str">
        <f>IF(AND(Programme_Grunddaten!$A131="Geprüft",Programme_Grunddaten!N131&lt;&gt;""),IF(Programme_Grunddaten!N131="Ja",1,0),"")</f>
        <v/>
      </c>
      <c r="H126" s="1" t="str">
        <f>IF(AND(Programme_Grunddaten!$A131="Geprüft",Programme_Grunddaten!O131&lt;&gt;""),IF(Programme_Grunddaten!O131="Deutschland",0,IF(Programme_Grunddaten!O131="EU",1,2)),"")</f>
        <v/>
      </c>
      <c r="I126" s="1" t="str">
        <f>IF(AND(Programme_Grunddaten!$A131="Geprüft",Programme_Grunddaten!P131&lt;&gt;""),IF(Programme_Grunddaten!P131="Ja",1,0),"")</f>
        <v/>
      </c>
      <c r="J126" s="1" t="str">
        <f>IF(AND(Programme_Grunddaten!$A131="Geprüft",Programme_Grunddaten!Q131&lt;&gt;""),IF(Programme_Grunddaten!Q131="geschlossenes System",1,0),"")</f>
        <v/>
      </c>
      <c r="K126" s="1" t="str">
        <f>IF(AND(Programme_Grunddaten!$A131="Geprüft",Programme_Grunddaten!R131&lt;&gt;""),IF(Programme_Grunddaten!R131="Ja",1,0),"")</f>
        <v/>
      </c>
      <c r="L126" s="1" t="str">
        <f>IF(AND(Programme_Grunddaten!$A131="Geprüft",Programme_Grunddaten!T131&lt;&gt;""),IF(Programme_Grunddaten!T131="Ja",1,0),"")</f>
        <v/>
      </c>
      <c r="M126" s="1" t="str">
        <f>IF(AND(Programme_Grunddaten!$A131="Geprüft",Programme_Grunddaten!U131&lt;&gt;""),IF(Programme_Grunddaten!U131="Ja",1,0),"")</f>
        <v/>
      </c>
      <c r="N126" s="1" t="str">
        <f>IF(AND(Programme_Grunddaten!$A131="Geprüft",Programme_Grunddaten!V131&lt;&gt;""),IF(Programme_Grunddaten!V131="Ja",1,0),"")</f>
        <v/>
      </c>
      <c r="O126" s="1" t="str">
        <f>IF(AND(Programme_Grunddaten!$A131="Geprüft",Programme_Grunddaten!W131&lt;&gt;""),IF(Programme_Grunddaten!W131="Ja",1,0),"")</f>
        <v/>
      </c>
      <c r="P126" s="1" t="str">
        <f>IF(AND(Programme_Grunddaten!$A131="Geprüft",Programme_Grunddaten!X131&lt;&gt;""),IF(Programme_Grunddaten!X131="Ja",1,0),"")</f>
        <v/>
      </c>
      <c r="Q126" s="1" t="str">
        <f>IF(AND(Programme_Grunddaten!$A131="Geprüft",Programme_Grunddaten!Y131&lt;&gt;""),IF(Programme_Grunddaten!Y131="Ja",1,0),"")</f>
        <v/>
      </c>
      <c r="R126" s="1" t="str">
        <f>IF(AND(Programme_Grunddaten!$A131="Geprüft",Programme_Grunddaten!Z131&lt;&gt;""),IF(Programme_Grunddaten!Z131="Ja",1,0),"")</f>
        <v/>
      </c>
      <c r="S126" s="1" t="str">
        <f>IF(AND(Programme_Grunddaten!$A131="Geprüft",Programme_Grunddaten!AA131&lt;&gt;""),IF(Programme_Grunddaten!AA131="monolithisch",1,0),"")</f>
        <v/>
      </c>
      <c r="T126" s="1" t="str">
        <f>IF(AND(Programme_Grunddaten!$A131="Geprüft",Programme_Grunddaten!AB131&lt;&gt;""),IF(Programme_Grunddaten!AB131="Ja",1,0),"")</f>
        <v/>
      </c>
      <c r="U126" s="1" t="str">
        <f>IF(AND(Programme_Grunddaten!$A131="Geprüft",Programme_Grunddaten!AC131&lt;&gt;""),IF(Programme_Grunddaten!AC131="Ja",1,0),"")</f>
        <v/>
      </c>
      <c r="V126" s="1" t="str">
        <f>IF(AND(Programme_Grunddaten!$A131="Geprüft",Programme_Grunddaten!AD131&lt;&gt;""),IF(Programme_Grunddaten!AD131="Ja",1,0),"")</f>
        <v/>
      </c>
      <c r="W126" s="1" t="str">
        <f>IF(AND(Programme_Grunddaten!$A131="Geprüft",Programme_Grunddaten!AE131&lt;&gt;""),IF(Programme_Grunddaten!AE131="Ja",1,0),"")</f>
        <v/>
      </c>
      <c r="X126" s="1" t="str">
        <f>IF(AND(Programme_Grunddaten!$A131="Geprüft",Programme_Grunddaten!AF131&lt;&gt;""),IF(Programme_Grunddaten!AF131="Ja",1,0),"")</f>
        <v/>
      </c>
      <c r="Y126" s="1" t="str">
        <f>IF(AND(Programme_Grunddaten!$A131="Geprüft",Programme_Grunddaten!AG131&lt;&gt;""),IF(Programme_Grunddaten!AG131="Ja",1,0),"")</f>
        <v/>
      </c>
      <c r="Z126" s="1" t="str">
        <f>IF(AND(Programme_Grunddaten!$A131="Geprüft",Programme_Grunddaten!AH131&lt;&gt;""),IF(Programme_Grunddaten!AH131="Ja",1,0),"")</f>
        <v/>
      </c>
      <c r="AA126" s="1" t="str">
        <f>IF(AND(Programme_Grunddaten!$A131="Geprüft",Programme_Grunddaten!AI131&lt;&gt;""),IF(Programme_Grunddaten!AI131="Ja",1,0),"")</f>
        <v/>
      </c>
      <c r="AB126" s="1" t="str">
        <f>IF(AND(Programme_Grunddaten!$A131="Geprüft",Programme_Grunddaten!AJ131&lt;&gt;""),IF(Programme_Grunddaten!AJ131="individuell programmierbar",1,0),"")</f>
        <v/>
      </c>
      <c r="AC126" s="1" t="str">
        <f>IF(AND(Programme_Grunddaten!$A131="Geprüft",Programme_Grunddaten!AK131&lt;&gt;""),IF(Programme_Grunddaten!AK131="Deutsch",0,IF(Programme_Grunddaten!AK131="Deutsch und Englisch",1,2)),"")</f>
        <v/>
      </c>
      <c r="AD126" s="1" t="str">
        <f>IF(AND(Programme_Grunddaten!$A131="Geprüft",Programme_Grunddaten!AL131&lt;&gt;""),IF(Programme_Grunddaten!AL131="Ja",1,0),"")</f>
        <v/>
      </c>
      <c r="AE126" s="1" t="str">
        <f>IF(AND(Programme_Grunddaten!$A131="Geprüft",Programme_Grunddaten!AM131&lt;&gt;""),IF(Programme_Grunddaten!AM131="Ja",1,0),"")</f>
        <v/>
      </c>
      <c r="AF126" s="1" t="str">
        <f>IF(AND(Programme_Grunddaten!$A131="Geprüft",Programme_Grunddaten!AN131&lt;&gt;""),IF(Programme_Grunddaten!AN131="Ja",1,0),"")</f>
        <v/>
      </c>
      <c r="AG126" s="1" t="str">
        <f>IF(AND(Programme_Grunddaten!$A131="Geprüft",Programme_Grunddaten!AO131&lt;&gt;""),IF(Programme_Grunddaten!AO131="Ja",1,0),"")</f>
        <v/>
      </c>
      <c r="AH126" s="1" t="str">
        <f>IF(AND(Programme_Grunddaten!$A131="Geprüft",Programme_Grunddaten!AP131&lt;&gt;""),IF(Programme_Grunddaten!AP131="Ja",1,0),"")</f>
        <v/>
      </c>
      <c r="AI126" s="1" t="str">
        <f>IF(AND(Programme_Grunddaten!$A131="Geprüft",Programme_Grunddaten!AQ131&lt;&gt;""),IF(Programme_Grunddaten!AQ131="Ja",1,0),"")</f>
        <v/>
      </c>
      <c r="AJ126" s="1" t="str">
        <f>IF(AND(Programme_Grunddaten!$A131="Geprüft",Programme_Grunddaten!AR131&lt;&gt;""),IF(Programme_Grunddaten!AR131="Ja",1,0),"")</f>
        <v/>
      </c>
      <c r="AK126" s="1" t="str">
        <f>IF(AND(Programme_Grunddaten!$A131="Geprüft",Programme_Grunddaten!AS131&lt;&gt;""),IF(Programme_Grunddaten!AS131="Ja",1,0),"")</f>
        <v/>
      </c>
      <c r="AL126" s="1" t="str">
        <f>IF(AND(Programme_Grunddaten!$A131="Geprüft",Programme_Grunddaten!AT131&lt;&gt;""),IF(Programme_Grunddaten!AT131="Ja",1,0),"")</f>
        <v/>
      </c>
      <c r="AM126" s="1" t="str">
        <f>IF(AND(Programme_Grunddaten!$A131="Geprüft",Programme_Grunddaten!AU131&lt;&gt;""),IF(Programme_Grunddaten!AU131="Ja",1,0),"")</f>
        <v/>
      </c>
      <c r="AN126" s="1" t="str">
        <f>IF(AND(Programme_Grunddaten!$A131="Geprüft",Programme_Grunddaten!AV131&lt;&gt;""),IF(Programme_Grunddaten!AV131="Ja",1,0),"")</f>
        <v/>
      </c>
    </row>
    <row r="127" spans="1:40" x14ac:dyDescent="0.3">
      <c r="A127" s="1" t="str">
        <f>IF(AND(Programme_Grunddaten!A132="Geprüft",Programme_Grunddaten!B132&lt;&gt;""),Programme_Grunddaten!B132,"")</f>
        <v/>
      </c>
      <c r="B127" s="1" t="str">
        <f>IF(AND(Programme_Grunddaten!$A132="Geprüft",Programme_Grunddaten!I132&lt;&gt;""),IF(Programme_Grunddaten!I132="Ja",1,0),"")</f>
        <v/>
      </c>
      <c r="C127" s="1" t="str">
        <f>IF(AND(Programme_Grunddaten!$A132="Geprüft",Programme_Grunddaten!J132&lt;&gt;""),IF(Programme_Grunddaten!J132="Ja",1,0),"")</f>
        <v/>
      </c>
      <c r="D127" s="1" t="str">
        <f>IF(AND(Programme_Grunddaten!$A132="Geprüft",Programme_Grunddaten!K132&lt;&gt;""),IF(Programme_Grunddaten!K132="Ja",1,0),"")</f>
        <v/>
      </c>
      <c r="E127" s="1" t="str">
        <f>IF(AND(Programme_Grunddaten!$A132="Geprüft",Programme_Grunddaten!L132&lt;&gt;""),IF(Programme_Grunddaten!L132="Abo / befristete Lizenz",1,0),"")</f>
        <v/>
      </c>
      <c r="F127" s="1" t="str">
        <f>IF(AND(Programme_Grunddaten!$A132="Geprüft",Programme_Grunddaten!M132&lt;&gt;""),IF(Programme_Grunddaten!M132="Ja",1,0),"")</f>
        <v/>
      </c>
      <c r="G127" s="1" t="str">
        <f>IF(AND(Programme_Grunddaten!$A132="Geprüft",Programme_Grunddaten!N132&lt;&gt;""),IF(Programme_Grunddaten!N132="Ja",1,0),"")</f>
        <v/>
      </c>
      <c r="H127" s="1" t="str">
        <f>IF(AND(Programme_Grunddaten!$A132="Geprüft",Programme_Grunddaten!O132&lt;&gt;""),IF(Programme_Grunddaten!O132="Deutschland",0,IF(Programme_Grunddaten!O132="EU",1,2)),"")</f>
        <v/>
      </c>
      <c r="I127" s="1" t="str">
        <f>IF(AND(Programme_Grunddaten!$A132="Geprüft",Programme_Grunddaten!P132&lt;&gt;""),IF(Programme_Grunddaten!P132="Ja",1,0),"")</f>
        <v/>
      </c>
      <c r="J127" s="1" t="str">
        <f>IF(AND(Programme_Grunddaten!$A132="Geprüft",Programme_Grunddaten!Q132&lt;&gt;""),IF(Programme_Grunddaten!Q132="geschlossenes System",1,0),"")</f>
        <v/>
      </c>
      <c r="K127" s="1" t="str">
        <f>IF(AND(Programme_Grunddaten!$A132="Geprüft",Programme_Grunddaten!R132&lt;&gt;""),IF(Programme_Grunddaten!R132="Ja",1,0),"")</f>
        <v/>
      </c>
      <c r="L127" s="1" t="str">
        <f>IF(AND(Programme_Grunddaten!$A132="Geprüft",Programme_Grunddaten!T132&lt;&gt;""),IF(Programme_Grunddaten!T132="Ja",1,0),"")</f>
        <v/>
      </c>
      <c r="M127" s="1" t="str">
        <f>IF(AND(Programme_Grunddaten!$A132="Geprüft",Programme_Grunddaten!U132&lt;&gt;""),IF(Programme_Grunddaten!U132="Ja",1,0),"")</f>
        <v/>
      </c>
      <c r="N127" s="1" t="str">
        <f>IF(AND(Programme_Grunddaten!$A132="Geprüft",Programme_Grunddaten!V132&lt;&gt;""),IF(Programme_Grunddaten!V132="Ja",1,0),"")</f>
        <v/>
      </c>
      <c r="O127" s="1" t="str">
        <f>IF(AND(Programme_Grunddaten!$A132="Geprüft",Programme_Grunddaten!W132&lt;&gt;""),IF(Programme_Grunddaten!W132="Ja",1,0),"")</f>
        <v/>
      </c>
      <c r="P127" s="1" t="str">
        <f>IF(AND(Programme_Grunddaten!$A132="Geprüft",Programme_Grunddaten!X132&lt;&gt;""),IF(Programme_Grunddaten!X132="Ja",1,0),"")</f>
        <v/>
      </c>
      <c r="Q127" s="1" t="str">
        <f>IF(AND(Programme_Grunddaten!$A132="Geprüft",Programme_Grunddaten!Y132&lt;&gt;""),IF(Programme_Grunddaten!Y132="Ja",1,0),"")</f>
        <v/>
      </c>
      <c r="R127" s="1" t="str">
        <f>IF(AND(Programme_Grunddaten!$A132="Geprüft",Programme_Grunddaten!Z132&lt;&gt;""),IF(Programme_Grunddaten!Z132="Ja",1,0),"")</f>
        <v/>
      </c>
      <c r="S127" s="1" t="str">
        <f>IF(AND(Programme_Grunddaten!$A132="Geprüft",Programme_Grunddaten!AA132&lt;&gt;""),IF(Programme_Grunddaten!AA132="monolithisch",1,0),"")</f>
        <v/>
      </c>
      <c r="T127" s="1" t="str">
        <f>IF(AND(Programme_Grunddaten!$A132="Geprüft",Programme_Grunddaten!AB132&lt;&gt;""),IF(Programme_Grunddaten!AB132="Ja",1,0),"")</f>
        <v/>
      </c>
      <c r="U127" s="1" t="str">
        <f>IF(AND(Programme_Grunddaten!$A132="Geprüft",Programme_Grunddaten!AC132&lt;&gt;""),IF(Programme_Grunddaten!AC132="Ja",1,0),"")</f>
        <v/>
      </c>
      <c r="V127" s="1" t="str">
        <f>IF(AND(Programme_Grunddaten!$A132="Geprüft",Programme_Grunddaten!AD132&lt;&gt;""),IF(Programme_Grunddaten!AD132="Ja",1,0),"")</f>
        <v/>
      </c>
      <c r="W127" s="1" t="str">
        <f>IF(AND(Programme_Grunddaten!$A132="Geprüft",Programme_Grunddaten!AE132&lt;&gt;""),IF(Programme_Grunddaten!AE132="Ja",1,0),"")</f>
        <v/>
      </c>
      <c r="X127" s="1" t="str">
        <f>IF(AND(Programme_Grunddaten!$A132="Geprüft",Programme_Grunddaten!AF132&lt;&gt;""),IF(Programme_Grunddaten!AF132="Ja",1,0),"")</f>
        <v/>
      </c>
      <c r="Y127" s="1" t="str">
        <f>IF(AND(Programme_Grunddaten!$A132="Geprüft",Programme_Grunddaten!AG132&lt;&gt;""),IF(Programme_Grunddaten!AG132="Ja",1,0),"")</f>
        <v/>
      </c>
      <c r="Z127" s="1" t="str">
        <f>IF(AND(Programme_Grunddaten!$A132="Geprüft",Programme_Grunddaten!AH132&lt;&gt;""),IF(Programme_Grunddaten!AH132="Ja",1,0),"")</f>
        <v/>
      </c>
      <c r="AA127" s="1" t="str">
        <f>IF(AND(Programme_Grunddaten!$A132="Geprüft",Programme_Grunddaten!AI132&lt;&gt;""),IF(Programme_Grunddaten!AI132="Ja",1,0),"")</f>
        <v/>
      </c>
      <c r="AB127" s="1" t="str">
        <f>IF(AND(Programme_Grunddaten!$A132="Geprüft",Programme_Grunddaten!AJ132&lt;&gt;""),IF(Programme_Grunddaten!AJ132="individuell programmierbar",1,0),"")</f>
        <v/>
      </c>
      <c r="AC127" s="1" t="str">
        <f>IF(AND(Programme_Grunddaten!$A132="Geprüft",Programme_Grunddaten!AK132&lt;&gt;""),IF(Programme_Grunddaten!AK132="Deutsch",0,IF(Programme_Grunddaten!AK132="Deutsch und Englisch",1,2)),"")</f>
        <v/>
      </c>
      <c r="AD127" s="1" t="str">
        <f>IF(AND(Programme_Grunddaten!$A132="Geprüft",Programme_Grunddaten!AL132&lt;&gt;""),IF(Programme_Grunddaten!AL132="Ja",1,0),"")</f>
        <v/>
      </c>
      <c r="AE127" s="1" t="str">
        <f>IF(AND(Programme_Grunddaten!$A132="Geprüft",Programme_Grunddaten!AM132&lt;&gt;""),IF(Programme_Grunddaten!AM132="Ja",1,0),"")</f>
        <v/>
      </c>
      <c r="AF127" s="1" t="str">
        <f>IF(AND(Programme_Grunddaten!$A132="Geprüft",Programme_Grunddaten!AN132&lt;&gt;""),IF(Programme_Grunddaten!AN132="Ja",1,0),"")</f>
        <v/>
      </c>
      <c r="AG127" s="1" t="str">
        <f>IF(AND(Programme_Grunddaten!$A132="Geprüft",Programme_Grunddaten!AO132&lt;&gt;""),IF(Programme_Grunddaten!AO132="Ja",1,0),"")</f>
        <v/>
      </c>
      <c r="AH127" s="1" t="str">
        <f>IF(AND(Programme_Grunddaten!$A132="Geprüft",Programme_Grunddaten!AP132&lt;&gt;""),IF(Programme_Grunddaten!AP132="Ja",1,0),"")</f>
        <v/>
      </c>
      <c r="AI127" s="1" t="str">
        <f>IF(AND(Programme_Grunddaten!$A132="Geprüft",Programme_Grunddaten!AQ132&lt;&gt;""),IF(Programme_Grunddaten!AQ132="Ja",1,0),"")</f>
        <v/>
      </c>
      <c r="AJ127" s="1" t="str">
        <f>IF(AND(Programme_Grunddaten!$A132="Geprüft",Programme_Grunddaten!AR132&lt;&gt;""),IF(Programme_Grunddaten!AR132="Ja",1,0),"")</f>
        <v/>
      </c>
      <c r="AK127" s="1" t="str">
        <f>IF(AND(Programme_Grunddaten!$A132="Geprüft",Programme_Grunddaten!AS132&lt;&gt;""),IF(Programme_Grunddaten!AS132="Ja",1,0),"")</f>
        <v/>
      </c>
      <c r="AL127" s="1" t="str">
        <f>IF(AND(Programme_Grunddaten!$A132="Geprüft",Programme_Grunddaten!AT132&lt;&gt;""),IF(Programme_Grunddaten!AT132="Ja",1,0),"")</f>
        <v/>
      </c>
      <c r="AM127" s="1" t="str">
        <f>IF(AND(Programme_Grunddaten!$A132="Geprüft",Programme_Grunddaten!AU132&lt;&gt;""),IF(Programme_Grunddaten!AU132="Ja",1,0),"")</f>
        <v/>
      </c>
      <c r="AN127" s="1" t="str">
        <f>IF(AND(Programme_Grunddaten!$A132="Geprüft",Programme_Grunddaten!AV132&lt;&gt;""),IF(Programme_Grunddaten!AV132="Ja",1,0),"")</f>
        <v/>
      </c>
    </row>
    <row r="128" spans="1:40" x14ac:dyDescent="0.3">
      <c r="A128" s="1" t="str">
        <f>IF(AND(Programme_Grunddaten!A133="Geprüft",Programme_Grunddaten!B133&lt;&gt;""),Programme_Grunddaten!B133,"")</f>
        <v/>
      </c>
      <c r="B128" s="1" t="str">
        <f>IF(AND(Programme_Grunddaten!$A133="Geprüft",Programme_Grunddaten!I133&lt;&gt;""),IF(Programme_Grunddaten!I133="Ja",1,0),"")</f>
        <v/>
      </c>
      <c r="C128" s="1" t="str">
        <f>IF(AND(Programme_Grunddaten!$A133="Geprüft",Programme_Grunddaten!J133&lt;&gt;""),IF(Programme_Grunddaten!J133="Ja",1,0),"")</f>
        <v/>
      </c>
      <c r="D128" s="1" t="str">
        <f>IF(AND(Programme_Grunddaten!$A133="Geprüft",Programme_Grunddaten!K133&lt;&gt;""),IF(Programme_Grunddaten!K133="Ja",1,0),"")</f>
        <v/>
      </c>
      <c r="E128" s="1" t="str">
        <f>IF(AND(Programme_Grunddaten!$A133="Geprüft",Programme_Grunddaten!L133&lt;&gt;""),IF(Programme_Grunddaten!L133="Abo / befristete Lizenz",1,0),"")</f>
        <v/>
      </c>
      <c r="F128" s="1" t="str">
        <f>IF(AND(Programme_Grunddaten!$A133="Geprüft",Programme_Grunddaten!M133&lt;&gt;""),IF(Programme_Grunddaten!M133="Ja",1,0),"")</f>
        <v/>
      </c>
      <c r="G128" s="1" t="str">
        <f>IF(AND(Programme_Grunddaten!$A133="Geprüft",Programme_Grunddaten!N133&lt;&gt;""),IF(Programme_Grunddaten!N133="Ja",1,0),"")</f>
        <v/>
      </c>
      <c r="H128" s="1" t="str">
        <f>IF(AND(Programme_Grunddaten!$A133="Geprüft",Programme_Grunddaten!O133&lt;&gt;""),IF(Programme_Grunddaten!O133="Deutschland",0,IF(Programme_Grunddaten!O133="EU",1,2)),"")</f>
        <v/>
      </c>
      <c r="I128" s="1" t="str">
        <f>IF(AND(Programme_Grunddaten!$A133="Geprüft",Programme_Grunddaten!P133&lt;&gt;""),IF(Programme_Grunddaten!P133="Ja",1,0),"")</f>
        <v/>
      </c>
      <c r="J128" s="1" t="str">
        <f>IF(AND(Programme_Grunddaten!$A133="Geprüft",Programme_Grunddaten!Q133&lt;&gt;""),IF(Programme_Grunddaten!Q133="geschlossenes System",1,0),"")</f>
        <v/>
      </c>
      <c r="K128" s="1" t="str">
        <f>IF(AND(Programme_Grunddaten!$A133="Geprüft",Programme_Grunddaten!R133&lt;&gt;""),IF(Programme_Grunddaten!R133="Ja",1,0),"")</f>
        <v/>
      </c>
      <c r="L128" s="1" t="str">
        <f>IF(AND(Programme_Grunddaten!$A133="Geprüft",Programme_Grunddaten!T133&lt;&gt;""),IF(Programme_Grunddaten!T133="Ja",1,0),"")</f>
        <v/>
      </c>
      <c r="M128" s="1" t="str">
        <f>IF(AND(Programme_Grunddaten!$A133="Geprüft",Programme_Grunddaten!U133&lt;&gt;""),IF(Programme_Grunddaten!U133="Ja",1,0),"")</f>
        <v/>
      </c>
      <c r="N128" s="1" t="str">
        <f>IF(AND(Programme_Grunddaten!$A133="Geprüft",Programme_Grunddaten!V133&lt;&gt;""),IF(Programme_Grunddaten!V133="Ja",1,0),"")</f>
        <v/>
      </c>
      <c r="O128" s="1" t="str">
        <f>IF(AND(Programme_Grunddaten!$A133="Geprüft",Programme_Grunddaten!W133&lt;&gt;""),IF(Programme_Grunddaten!W133="Ja",1,0),"")</f>
        <v/>
      </c>
      <c r="P128" s="1" t="str">
        <f>IF(AND(Programme_Grunddaten!$A133="Geprüft",Programme_Grunddaten!X133&lt;&gt;""),IF(Programme_Grunddaten!X133="Ja",1,0),"")</f>
        <v/>
      </c>
      <c r="Q128" s="1" t="str">
        <f>IF(AND(Programme_Grunddaten!$A133="Geprüft",Programme_Grunddaten!Y133&lt;&gt;""),IF(Programme_Grunddaten!Y133="Ja",1,0),"")</f>
        <v/>
      </c>
      <c r="R128" s="1" t="str">
        <f>IF(AND(Programme_Grunddaten!$A133="Geprüft",Programme_Grunddaten!Z133&lt;&gt;""),IF(Programme_Grunddaten!Z133="Ja",1,0),"")</f>
        <v/>
      </c>
      <c r="S128" s="1" t="str">
        <f>IF(AND(Programme_Grunddaten!$A133="Geprüft",Programme_Grunddaten!AA133&lt;&gt;""),IF(Programme_Grunddaten!AA133="monolithisch",1,0),"")</f>
        <v/>
      </c>
      <c r="T128" s="1" t="str">
        <f>IF(AND(Programme_Grunddaten!$A133="Geprüft",Programme_Grunddaten!AB133&lt;&gt;""),IF(Programme_Grunddaten!AB133="Ja",1,0),"")</f>
        <v/>
      </c>
      <c r="U128" s="1" t="str">
        <f>IF(AND(Programme_Grunddaten!$A133="Geprüft",Programme_Grunddaten!AC133&lt;&gt;""),IF(Programme_Grunddaten!AC133="Ja",1,0),"")</f>
        <v/>
      </c>
      <c r="V128" s="1" t="str">
        <f>IF(AND(Programme_Grunddaten!$A133="Geprüft",Programme_Grunddaten!AD133&lt;&gt;""),IF(Programme_Grunddaten!AD133="Ja",1,0),"")</f>
        <v/>
      </c>
      <c r="W128" s="1" t="str">
        <f>IF(AND(Programme_Grunddaten!$A133="Geprüft",Programme_Grunddaten!AE133&lt;&gt;""),IF(Programme_Grunddaten!AE133="Ja",1,0),"")</f>
        <v/>
      </c>
      <c r="X128" s="1" t="str">
        <f>IF(AND(Programme_Grunddaten!$A133="Geprüft",Programme_Grunddaten!AF133&lt;&gt;""),IF(Programme_Grunddaten!AF133="Ja",1,0),"")</f>
        <v/>
      </c>
      <c r="Y128" s="1" t="str">
        <f>IF(AND(Programme_Grunddaten!$A133="Geprüft",Programme_Grunddaten!AG133&lt;&gt;""),IF(Programme_Grunddaten!AG133="Ja",1,0),"")</f>
        <v/>
      </c>
      <c r="Z128" s="1" t="str">
        <f>IF(AND(Programme_Grunddaten!$A133="Geprüft",Programme_Grunddaten!AH133&lt;&gt;""),IF(Programme_Grunddaten!AH133="Ja",1,0),"")</f>
        <v/>
      </c>
      <c r="AA128" s="1" t="str">
        <f>IF(AND(Programme_Grunddaten!$A133="Geprüft",Programme_Grunddaten!AI133&lt;&gt;""),IF(Programme_Grunddaten!AI133="Ja",1,0),"")</f>
        <v/>
      </c>
      <c r="AB128" s="1" t="str">
        <f>IF(AND(Programme_Grunddaten!$A133="Geprüft",Programme_Grunddaten!AJ133&lt;&gt;""),IF(Programme_Grunddaten!AJ133="individuell programmierbar",1,0),"")</f>
        <v/>
      </c>
      <c r="AC128" s="1" t="str">
        <f>IF(AND(Programme_Grunddaten!$A133="Geprüft",Programme_Grunddaten!AK133&lt;&gt;""),IF(Programme_Grunddaten!AK133="Deutsch",0,IF(Programme_Grunddaten!AK133="Deutsch und Englisch",1,2)),"")</f>
        <v/>
      </c>
      <c r="AD128" s="1" t="str">
        <f>IF(AND(Programme_Grunddaten!$A133="Geprüft",Programme_Grunddaten!AL133&lt;&gt;""),IF(Programme_Grunddaten!AL133="Ja",1,0),"")</f>
        <v/>
      </c>
      <c r="AE128" s="1" t="str">
        <f>IF(AND(Programme_Grunddaten!$A133="Geprüft",Programme_Grunddaten!AM133&lt;&gt;""),IF(Programme_Grunddaten!AM133="Ja",1,0),"")</f>
        <v/>
      </c>
      <c r="AF128" s="1" t="str">
        <f>IF(AND(Programme_Grunddaten!$A133="Geprüft",Programme_Grunddaten!AN133&lt;&gt;""),IF(Programme_Grunddaten!AN133="Ja",1,0),"")</f>
        <v/>
      </c>
      <c r="AG128" s="1" t="str">
        <f>IF(AND(Programme_Grunddaten!$A133="Geprüft",Programme_Grunddaten!AO133&lt;&gt;""),IF(Programme_Grunddaten!AO133="Ja",1,0),"")</f>
        <v/>
      </c>
      <c r="AH128" s="1" t="str">
        <f>IF(AND(Programme_Grunddaten!$A133="Geprüft",Programme_Grunddaten!AP133&lt;&gt;""),IF(Programme_Grunddaten!AP133="Ja",1,0),"")</f>
        <v/>
      </c>
      <c r="AI128" s="1" t="str">
        <f>IF(AND(Programme_Grunddaten!$A133="Geprüft",Programme_Grunddaten!AQ133&lt;&gt;""),IF(Programme_Grunddaten!AQ133="Ja",1,0),"")</f>
        <v/>
      </c>
      <c r="AJ128" s="1" t="str">
        <f>IF(AND(Programme_Grunddaten!$A133="Geprüft",Programme_Grunddaten!AR133&lt;&gt;""),IF(Programme_Grunddaten!AR133="Ja",1,0),"")</f>
        <v/>
      </c>
      <c r="AK128" s="1" t="str">
        <f>IF(AND(Programme_Grunddaten!$A133="Geprüft",Programme_Grunddaten!AS133&lt;&gt;""),IF(Programme_Grunddaten!AS133="Ja",1,0),"")</f>
        <v/>
      </c>
      <c r="AL128" s="1" t="str">
        <f>IF(AND(Programme_Grunddaten!$A133="Geprüft",Programme_Grunddaten!AT133&lt;&gt;""),IF(Programme_Grunddaten!AT133="Ja",1,0),"")</f>
        <v/>
      </c>
      <c r="AM128" s="1" t="str">
        <f>IF(AND(Programme_Grunddaten!$A133="Geprüft",Programme_Grunddaten!AU133&lt;&gt;""),IF(Programme_Grunddaten!AU133="Ja",1,0),"")</f>
        <v/>
      </c>
      <c r="AN128" s="1" t="str">
        <f>IF(AND(Programme_Grunddaten!$A133="Geprüft",Programme_Grunddaten!AV133&lt;&gt;""),IF(Programme_Grunddaten!AV133="Ja",1,0),"")</f>
        <v/>
      </c>
    </row>
    <row r="129" spans="1:40" x14ac:dyDescent="0.3">
      <c r="A129" s="1" t="str">
        <f>IF(AND(Programme_Grunddaten!A134="Geprüft",Programme_Grunddaten!B134&lt;&gt;""),Programme_Grunddaten!B134,"")</f>
        <v/>
      </c>
      <c r="B129" s="1" t="str">
        <f>IF(AND(Programme_Grunddaten!$A134="Geprüft",Programme_Grunddaten!I134&lt;&gt;""),IF(Programme_Grunddaten!I134="Ja",1,0),"")</f>
        <v/>
      </c>
      <c r="C129" s="1" t="str">
        <f>IF(AND(Programme_Grunddaten!$A134="Geprüft",Programme_Grunddaten!J134&lt;&gt;""),IF(Programme_Grunddaten!J134="Ja",1,0),"")</f>
        <v/>
      </c>
      <c r="D129" s="1" t="str">
        <f>IF(AND(Programme_Grunddaten!$A134="Geprüft",Programme_Grunddaten!K134&lt;&gt;""),IF(Programme_Grunddaten!K134="Ja",1,0),"")</f>
        <v/>
      </c>
      <c r="E129" s="1" t="str">
        <f>IF(AND(Programme_Grunddaten!$A134="Geprüft",Programme_Grunddaten!L134&lt;&gt;""),IF(Programme_Grunddaten!L134="Abo / befristete Lizenz",1,0),"")</f>
        <v/>
      </c>
      <c r="F129" s="1" t="str">
        <f>IF(AND(Programme_Grunddaten!$A134="Geprüft",Programme_Grunddaten!M134&lt;&gt;""),IF(Programme_Grunddaten!M134="Ja",1,0),"")</f>
        <v/>
      </c>
      <c r="G129" s="1" t="str">
        <f>IF(AND(Programme_Grunddaten!$A134="Geprüft",Programme_Grunddaten!N134&lt;&gt;""),IF(Programme_Grunddaten!N134="Ja",1,0),"")</f>
        <v/>
      </c>
      <c r="H129" s="1" t="str">
        <f>IF(AND(Programme_Grunddaten!$A134="Geprüft",Programme_Grunddaten!O134&lt;&gt;""),IF(Programme_Grunddaten!O134="Deutschland",0,IF(Programme_Grunddaten!O134="EU",1,2)),"")</f>
        <v/>
      </c>
      <c r="I129" s="1" t="str">
        <f>IF(AND(Programme_Grunddaten!$A134="Geprüft",Programme_Grunddaten!P134&lt;&gt;""),IF(Programme_Grunddaten!P134="Ja",1,0),"")</f>
        <v/>
      </c>
      <c r="J129" s="1" t="str">
        <f>IF(AND(Programme_Grunddaten!$A134="Geprüft",Programme_Grunddaten!Q134&lt;&gt;""),IF(Programme_Grunddaten!Q134="geschlossenes System",1,0),"")</f>
        <v/>
      </c>
      <c r="K129" s="1" t="str">
        <f>IF(AND(Programme_Grunddaten!$A134="Geprüft",Programme_Grunddaten!R134&lt;&gt;""),IF(Programme_Grunddaten!R134="Ja",1,0),"")</f>
        <v/>
      </c>
      <c r="L129" s="1" t="str">
        <f>IF(AND(Programme_Grunddaten!$A134="Geprüft",Programme_Grunddaten!T134&lt;&gt;""),IF(Programme_Grunddaten!T134="Ja",1,0),"")</f>
        <v/>
      </c>
      <c r="M129" s="1" t="str">
        <f>IF(AND(Programme_Grunddaten!$A134="Geprüft",Programme_Grunddaten!U134&lt;&gt;""),IF(Programme_Grunddaten!U134="Ja",1,0),"")</f>
        <v/>
      </c>
      <c r="N129" s="1" t="str">
        <f>IF(AND(Programme_Grunddaten!$A134="Geprüft",Programme_Grunddaten!V134&lt;&gt;""),IF(Programme_Grunddaten!V134="Ja",1,0),"")</f>
        <v/>
      </c>
      <c r="O129" s="1" t="str">
        <f>IF(AND(Programme_Grunddaten!$A134="Geprüft",Programme_Grunddaten!W134&lt;&gt;""),IF(Programme_Grunddaten!W134="Ja",1,0),"")</f>
        <v/>
      </c>
      <c r="P129" s="1" t="str">
        <f>IF(AND(Programme_Grunddaten!$A134="Geprüft",Programme_Grunddaten!X134&lt;&gt;""),IF(Programme_Grunddaten!X134="Ja",1,0),"")</f>
        <v/>
      </c>
      <c r="Q129" s="1" t="str">
        <f>IF(AND(Programme_Grunddaten!$A134="Geprüft",Programme_Grunddaten!Y134&lt;&gt;""),IF(Programme_Grunddaten!Y134="Ja",1,0),"")</f>
        <v/>
      </c>
      <c r="R129" s="1" t="str">
        <f>IF(AND(Programme_Grunddaten!$A134="Geprüft",Programme_Grunddaten!Z134&lt;&gt;""),IF(Programme_Grunddaten!Z134="Ja",1,0),"")</f>
        <v/>
      </c>
      <c r="S129" s="1" t="str">
        <f>IF(AND(Programme_Grunddaten!$A134="Geprüft",Programme_Grunddaten!AA134&lt;&gt;""),IF(Programme_Grunddaten!AA134="monolithisch",1,0),"")</f>
        <v/>
      </c>
      <c r="T129" s="1" t="str">
        <f>IF(AND(Programme_Grunddaten!$A134="Geprüft",Programme_Grunddaten!AB134&lt;&gt;""),IF(Programme_Grunddaten!AB134="Ja",1,0),"")</f>
        <v/>
      </c>
      <c r="U129" s="1" t="str">
        <f>IF(AND(Programme_Grunddaten!$A134="Geprüft",Programme_Grunddaten!AC134&lt;&gt;""),IF(Programme_Grunddaten!AC134="Ja",1,0),"")</f>
        <v/>
      </c>
      <c r="V129" s="1" t="str">
        <f>IF(AND(Programme_Grunddaten!$A134="Geprüft",Programme_Grunddaten!AD134&lt;&gt;""),IF(Programme_Grunddaten!AD134="Ja",1,0),"")</f>
        <v/>
      </c>
      <c r="W129" s="1" t="str">
        <f>IF(AND(Programme_Grunddaten!$A134="Geprüft",Programme_Grunddaten!AE134&lt;&gt;""),IF(Programme_Grunddaten!AE134="Ja",1,0),"")</f>
        <v/>
      </c>
      <c r="X129" s="1" t="str">
        <f>IF(AND(Programme_Grunddaten!$A134="Geprüft",Programme_Grunddaten!AF134&lt;&gt;""),IF(Programme_Grunddaten!AF134="Ja",1,0),"")</f>
        <v/>
      </c>
      <c r="Y129" s="1" t="str">
        <f>IF(AND(Programme_Grunddaten!$A134="Geprüft",Programme_Grunddaten!AG134&lt;&gt;""),IF(Programme_Grunddaten!AG134="Ja",1,0),"")</f>
        <v/>
      </c>
      <c r="Z129" s="1" t="str">
        <f>IF(AND(Programme_Grunddaten!$A134="Geprüft",Programme_Grunddaten!AH134&lt;&gt;""),IF(Programme_Grunddaten!AH134="Ja",1,0),"")</f>
        <v/>
      </c>
      <c r="AA129" s="1" t="str">
        <f>IF(AND(Programme_Grunddaten!$A134="Geprüft",Programme_Grunddaten!AI134&lt;&gt;""),IF(Programme_Grunddaten!AI134="Ja",1,0),"")</f>
        <v/>
      </c>
      <c r="AB129" s="1" t="str">
        <f>IF(AND(Programme_Grunddaten!$A134="Geprüft",Programme_Grunddaten!AJ134&lt;&gt;""),IF(Programme_Grunddaten!AJ134="individuell programmierbar",1,0),"")</f>
        <v/>
      </c>
      <c r="AC129" s="1" t="str">
        <f>IF(AND(Programme_Grunddaten!$A134="Geprüft",Programme_Grunddaten!AK134&lt;&gt;""),IF(Programme_Grunddaten!AK134="Deutsch",0,IF(Programme_Grunddaten!AK134="Deutsch und Englisch",1,2)),"")</f>
        <v/>
      </c>
      <c r="AD129" s="1" t="str">
        <f>IF(AND(Programme_Grunddaten!$A134="Geprüft",Programme_Grunddaten!AL134&lt;&gt;""),IF(Programme_Grunddaten!AL134="Ja",1,0),"")</f>
        <v/>
      </c>
      <c r="AE129" s="1" t="str">
        <f>IF(AND(Programme_Grunddaten!$A134="Geprüft",Programme_Grunddaten!AM134&lt;&gt;""),IF(Programme_Grunddaten!AM134="Ja",1,0),"")</f>
        <v/>
      </c>
      <c r="AF129" s="1" t="str">
        <f>IF(AND(Programme_Grunddaten!$A134="Geprüft",Programme_Grunddaten!AN134&lt;&gt;""),IF(Programme_Grunddaten!AN134="Ja",1,0),"")</f>
        <v/>
      </c>
      <c r="AG129" s="1" t="str">
        <f>IF(AND(Programme_Grunddaten!$A134="Geprüft",Programme_Grunddaten!AO134&lt;&gt;""),IF(Programme_Grunddaten!AO134="Ja",1,0),"")</f>
        <v/>
      </c>
      <c r="AH129" s="1" t="str">
        <f>IF(AND(Programme_Grunddaten!$A134="Geprüft",Programme_Grunddaten!AP134&lt;&gt;""),IF(Programme_Grunddaten!AP134="Ja",1,0),"")</f>
        <v/>
      </c>
      <c r="AI129" s="1" t="str">
        <f>IF(AND(Programme_Grunddaten!$A134="Geprüft",Programme_Grunddaten!AQ134&lt;&gt;""),IF(Programme_Grunddaten!AQ134="Ja",1,0),"")</f>
        <v/>
      </c>
      <c r="AJ129" s="1" t="str">
        <f>IF(AND(Programme_Grunddaten!$A134="Geprüft",Programme_Grunddaten!AR134&lt;&gt;""),IF(Programme_Grunddaten!AR134="Ja",1,0),"")</f>
        <v/>
      </c>
      <c r="AK129" s="1" t="str">
        <f>IF(AND(Programme_Grunddaten!$A134="Geprüft",Programme_Grunddaten!AS134&lt;&gt;""),IF(Programme_Grunddaten!AS134="Ja",1,0),"")</f>
        <v/>
      </c>
      <c r="AL129" s="1" t="str">
        <f>IF(AND(Programme_Grunddaten!$A134="Geprüft",Programme_Grunddaten!AT134&lt;&gt;""),IF(Programme_Grunddaten!AT134="Ja",1,0),"")</f>
        <v/>
      </c>
      <c r="AM129" s="1" t="str">
        <f>IF(AND(Programme_Grunddaten!$A134="Geprüft",Programme_Grunddaten!AU134&lt;&gt;""),IF(Programme_Grunddaten!AU134="Ja",1,0),"")</f>
        <v/>
      </c>
      <c r="AN129" s="1" t="str">
        <f>IF(AND(Programme_Grunddaten!$A134="Geprüft",Programme_Grunddaten!AV134&lt;&gt;""),IF(Programme_Grunddaten!AV134="Ja",1,0),"")</f>
        <v/>
      </c>
    </row>
    <row r="130" spans="1:40" x14ac:dyDescent="0.3">
      <c r="A130" s="1" t="str">
        <f>IF(AND(Programme_Grunddaten!A135="Geprüft",Programme_Grunddaten!B135&lt;&gt;""),Programme_Grunddaten!B135,"")</f>
        <v/>
      </c>
      <c r="B130" s="1" t="str">
        <f>IF(AND(Programme_Grunddaten!$A135="Geprüft",Programme_Grunddaten!I135&lt;&gt;""),IF(Programme_Grunddaten!I135="Ja",1,0),"")</f>
        <v/>
      </c>
      <c r="C130" s="1" t="str">
        <f>IF(AND(Programme_Grunddaten!$A135="Geprüft",Programme_Grunddaten!J135&lt;&gt;""),IF(Programme_Grunddaten!J135="Ja",1,0),"")</f>
        <v/>
      </c>
      <c r="D130" s="1" t="str">
        <f>IF(AND(Programme_Grunddaten!$A135="Geprüft",Programme_Grunddaten!K135&lt;&gt;""),IF(Programme_Grunddaten!K135="Ja",1,0),"")</f>
        <v/>
      </c>
      <c r="E130" s="1" t="str">
        <f>IF(AND(Programme_Grunddaten!$A135="Geprüft",Programme_Grunddaten!L135&lt;&gt;""),IF(Programme_Grunddaten!L135="Abo / befristete Lizenz",1,0),"")</f>
        <v/>
      </c>
      <c r="F130" s="1" t="str">
        <f>IF(AND(Programme_Grunddaten!$A135="Geprüft",Programme_Grunddaten!M135&lt;&gt;""),IF(Programme_Grunddaten!M135="Ja",1,0),"")</f>
        <v/>
      </c>
      <c r="G130" s="1" t="str">
        <f>IF(AND(Programme_Grunddaten!$A135="Geprüft",Programme_Grunddaten!N135&lt;&gt;""),IF(Programme_Grunddaten!N135="Ja",1,0),"")</f>
        <v/>
      </c>
      <c r="H130" s="1" t="str">
        <f>IF(AND(Programme_Grunddaten!$A135="Geprüft",Programme_Grunddaten!O135&lt;&gt;""),IF(Programme_Grunddaten!O135="Deutschland",0,IF(Programme_Grunddaten!O135="EU",1,2)),"")</f>
        <v/>
      </c>
      <c r="I130" s="1" t="str">
        <f>IF(AND(Programme_Grunddaten!$A135="Geprüft",Programme_Grunddaten!P135&lt;&gt;""),IF(Programme_Grunddaten!P135="Ja",1,0),"")</f>
        <v/>
      </c>
      <c r="J130" s="1" t="str">
        <f>IF(AND(Programme_Grunddaten!$A135="Geprüft",Programme_Grunddaten!Q135&lt;&gt;""),IF(Programme_Grunddaten!Q135="geschlossenes System",1,0),"")</f>
        <v/>
      </c>
      <c r="K130" s="1" t="str">
        <f>IF(AND(Programme_Grunddaten!$A135="Geprüft",Programme_Grunddaten!R135&lt;&gt;""),IF(Programme_Grunddaten!R135="Ja",1,0),"")</f>
        <v/>
      </c>
      <c r="L130" s="1" t="str">
        <f>IF(AND(Programme_Grunddaten!$A135="Geprüft",Programme_Grunddaten!T135&lt;&gt;""),IF(Programme_Grunddaten!T135="Ja",1,0),"")</f>
        <v/>
      </c>
      <c r="M130" s="1" t="str">
        <f>IF(AND(Programme_Grunddaten!$A135="Geprüft",Programme_Grunddaten!U135&lt;&gt;""),IF(Programme_Grunddaten!U135="Ja",1,0),"")</f>
        <v/>
      </c>
      <c r="N130" s="1" t="str">
        <f>IF(AND(Programme_Grunddaten!$A135="Geprüft",Programme_Grunddaten!V135&lt;&gt;""),IF(Programme_Grunddaten!V135="Ja",1,0),"")</f>
        <v/>
      </c>
      <c r="O130" s="1" t="str">
        <f>IF(AND(Programme_Grunddaten!$A135="Geprüft",Programme_Grunddaten!W135&lt;&gt;""),IF(Programme_Grunddaten!W135="Ja",1,0),"")</f>
        <v/>
      </c>
      <c r="P130" s="1" t="str">
        <f>IF(AND(Programme_Grunddaten!$A135="Geprüft",Programme_Grunddaten!X135&lt;&gt;""),IF(Programme_Grunddaten!X135="Ja",1,0),"")</f>
        <v/>
      </c>
      <c r="Q130" s="1" t="str">
        <f>IF(AND(Programme_Grunddaten!$A135="Geprüft",Programme_Grunddaten!Y135&lt;&gt;""),IF(Programme_Grunddaten!Y135="Ja",1,0),"")</f>
        <v/>
      </c>
      <c r="R130" s="1" t="str">
        <f>IF(AND(Programme_Grunddaten!$A135="Geprüft",Programme_Grunddaten!Z135&lt;&gt;""),IF(Programme_Grunddaten!Z135="Ja",1,0),"")</f>
        <v/>
      </c>
      <c r="S130" s="1" t="str">
        <f>IF(AND(Programme_Grunddaten!$A135="Geprüft",Programme_Grunddaten!AA135&lt;&gt;""),IF(Programme_Grunddaten!AA135="monolithisch",1,0),"")</f>
        <v/>
      </c>
      <c r="T130" s="1" t="str">
        <f>IF(AND(Programme_Grunddaten!$A135="Geprüft",Programme_Grunddaten!AB135&lt;&gt;""),IF(Programme_Grunddaten!AB135="Ja",1,0),"")</f>
        <v/>
      </c>
      <c r="U130" s="1" t="str">
        <f>IF(AND(Programme_Grunddaten!$A135="Geprüft",Programme_Grunddaten!AC135&lt;&gt;""),IF(Programme_Grunddaten!AC135="Ja",1,0),"")</f>
        <v/>
      </c>
      <c r="V130" s="1" t="str">
        <f>IF(AND(Programme_Grunddaten!$A135="Geprüft",Programme_Grunddaten!AD135&lt;&gt;""),IF(Programme_Grunddaten!AD135="Ja",1,0),"")</f>
        <v/>
      </c>
      <c r="W130" s="1" t="str">
        <f>IF(AND(Programme_Grunddaten!$A135="Geprüft",Programme_Grunddaten!AE135&lt;&gt;""),IF(Programme_Grunddaten!AE135="Ja",1,0),"")</f>
        <v/>
      </c>
      <c r="X130" s="1" t="str">
        <f>IF(AND(Programme_Grunddaten!$A135="Geprüft",Programme_Grunddaten!AF135&lt;&gt;""),IF(Programme_Grunddaten!AF135="Ja",1,0),"")</f>
        <v/>
      </c>
      <c r="Y130" s="1" t="str">
        <f>IF(AND(Programme_Grunddaten!$A135="Geprüft",Programme_Grunddaten!AG135&lt;&gt;""),IF(Programme_Grunddaten!AG135="Ja",1,0),"")</f>
        <v/>
      </c>
      <c r="Z130" s="1" t="str">
        <f>IF(AND(Programme_Grunddaten!$A135="Geprüft",Programme_Grunddaten!AH135&lt;&gt;""),IF(Programme_Grunddaten!AH135="Ja",1,0),"")</f>
        <v/>
      </c>
      <c r="AA130" s="1" t="str">
        <f>IF(AND(Programme_Grunddaten!$A135="Geprüft",Programme_Grunddaten!AI135&lt;&gt;""),IF(Programme_Grunddaten!AI135="Ja",1,0),"")</f>
        <v/>
      </c>
      <c r="AB130" s="1" t="str">
        <f>IF(AND(Programme_Grunddaten!$A135="Geprüft",Programme_Grunddaten!AJ135&lt;&gt;""),IF(Programme_Grunddaten!AJ135="individuell programmierbar",1,0),"")</f>
        <v/>
      </c>
      <c r="AC130" s="1" t="str">
        <f>IF(AND(Programme_Grunddaten!$A135="Geprüft",Programme_Grunddaten!AK135&lt;&gt;""),IF(Programme_Grunddaten!AK135="Deutsch",0,IF(Programme_Grunddaten!AK135="Deutsch und Englisch",1,2)),"")</f>
        <v/>
      </c>
      <c r="AD130" s="1" t="str">
        <f>IF(AND(Programme_Grunddaten!$A135="Geprüft",Programme_Grunddaten!AL135&lt;&gt;""),IF(Programme_Grunddaten!AL135="Ja",1,0),"")</f>
        <v/>
      </c>
      <c r="AE130" s="1" t="str">
        <f>IF(AND(Programme_Grunddaten!$A135="Geprüft",Programme_Grunddaten!AM135&lt;&gt;""),IF(Programme_Grunddaten!AM135="Ja",1,0),"")</f>
        <v/>
      </c>
      <c r="AF130" s="1" t="str">
        <f>IF(AND(Programme_Grunddaten!$A135="Geprüft",Programme_Grunddaten!AN135&lt;&gt;""),IF(Programme_Grunddaten!AN135="Ja",1,0),"")</f>
        <v/>
      </c>
      <c r="AG130" s="1" t="str">
        <f>IF(AND(Programme_Grunddaten!$A135="Geprüft",Programme_Grunddaten!AO135&lt;&gt;""),IF(Programme_Grunddaten!AO135="Ja",1,0),"")</f>
        <v/>
      </c>
      <c r="AH130" s="1" t="str">
        <f>IF(AND(Programme_Grunddaten!$A135="Geprüft",Programme_Grunddaten!AP135&lt;&gt;""),IF(Programme_Grunddaten!AP135="Ja",1,0),"")</f>
        <v/>
      </c>
      <c r="AI130" s="1" t="str">
        <f>IF(AND(Programme_Grunddaten!$A135="Geprüft",Programme_Grunddaten!AQ135&lt;&gt;""),IF(Programme_Grunddaten!AQ135="Ja",1,0),"")</f>
        <v/>
      </c>
      <c r="AJ130" s="1" t="str">
        <f>IF(AND(Programme_Grunddaten!$A135="Geprüft",Programme_Grunddaten!AR135&lt;&gt;""),IF(Programme_Grunddaten!AR135="Ja",1,0),"")</f>
        <v/>
      </c>
      <c r="AK130" s="1" t="str">
        <f>IF(AND(Programme_Grunddaten!$A135="Geprüft",Programme_Grunddaten!AS135&lt;&gt;""),IF(Programme_Grunddaten!AS135="Ja",1,0),"")</f>
        <v/>
      </c>
      <c r="AL130" s="1" t="str">
        <f>IF(AND(Programme_Grunddaten!$A135="Geprüft",Programme_Grunddaten!AT135&lt;&gt;""),IF(Programme_Grunddaten!AT135="Ja",1,0),"")</f>
        <v/>
      </c>
      <c r="AM130" s="1" t="str">
        <f>IF(AND(Programme_Grunddaten!$A135="Geprüft",Programme_Grunddaten!AU135&lt;&gt;""),IF(Programme_Grunddaten!AU135="Ja",1,0),"")</f>
        <v/>
      </c>
      <c r="AN130" s="1" t="str">
        <f>IF(AND(Programme_Grunddaten!$A135="Geprüft",Programme_Grunddaten!AV135&lt;&gt;""),IF(Programme_Grunddaten!AV135="Ja",1,0),"")</f>
        <v/>
      </c>
    </row>
    <row r="131" spans="1:40" x14ac:dyDescent="0.3">
      <c r="A131" s="1" t="str">
        <f>IF(AND(Programme_Grunddaten!A136="Geprüft",Programme_Grunddaten!B136&lt;&gt;""),Programme_Grunddaten!B136,"")</f>
        <v/>
      </c>
      <c r="B131" s="1" t="str">
        <f>IF(AND(Programme_Grunddaten!$A136="Geprüft",Programme_Grunddaten!I136&lt;&gt;""),IF(Programme_Grunddaten!I136="Ja",1,0),"")</f>
        <v/>
      </c>
      <c r="C131" s="1" t="str">
        <f>IF(AND(Programme_Grunddaten!$A136="Geprüft",Programme_Grunddaten!J136&lt;&gt;""),IF(Programme_Grunddaten!J136="Ja",1,0),"")</f>
        <v/>
      </c>
      <c r="D131" s="1" t="str">
        <f>IF(AND(Programme_Grunddaten!$A136="Geprüft",Programme_Grunddaten!K136&lt;&gt;""),IF(Programme_Grunddaten!K136="Ja",1,0),"")</f>
        <v/>
      </c>
      <c r="E131" s="1" t="str">
        <f>IF(AND(Programme_Grunddaten!$A136="Geprüft",Programme_Grunddaten!L136&lt;&gt;""),IF(Programme_Grunddaten!L136="Abo / befristete Lizenz",1,0),"")</f>
        <v/>
      </c>
      <c r="F131" s="1" t="str">
        <f>IF(AND(Programme_Grunddaten!$A136="Geprüft",Programme_Grunddaten!M136&lt;&gt;""),IF(Programme_Grunddaten!M136="Ja",1,0),"")</f>
        <v/>
      </c>
      <c r="G131" s="1" t="str">
        <f>IF(AND(Programme_Grunddaten!$A136="Geprüft",Programme_Grunddaten!N136&lt;&gt;""),IF(Programme_Grunddaten!N136="Ja",1,0),"")</f>
        <v/>
      </c>
      <c r="H131" s="1" t="str">
        <f>IF(AND(Programme_Grunddaten!$A136="Geprüft",Programme_Grunddaten!O136&lt;&gt;""),IF(Programme_Grunddaten!O136="Deutschland",0,IF(Programme_Grunddaten!O136="EU",1,2)),"")</f>
        <v/>
      </c>
      <c r="I131" s="1" t="str">
        <f>IF(AND(Programme_Grunddaten!$A136="Geprüft",Programme_Grunddaten!P136&lt;&gt;""),IF(Programme_Grunddaten!P136="Ja",1,0),"")</f>
        <v/>
      </c>
      <c r="J131" s="1" t="str">
        <f>IF(AND(Programme_Grunddaten!$A136="Geprüft",Programme_Grunddaten!Q136&lt;&gt;""),IF(Programme_Grunddaten!Q136="geschlossenes System",1,0),"")</f>
        <v/>
      </c>
      <c r="K131" s="1" t="str">
        <f>IF(AND(Programme_Grunddaten!$A136="Geprüft",Programme_Grunddaten!R136&lt;&gt;""),IF(Programme_Grunddaten!R136="Ja",1,0),"")</f>
        <v/>
      </c>
      <c r="L131" s="1" t="str">
        <f>IF(AND(Programme_Grunddaten!$A136="Geprüft",Programme_Grunddaten!T136&lt;&gt;""),IF(Programme_Grunddaten!T136="Ja",1,0),"")</f>
        <v/>
      </c>
      <c r="M131" s="1" t="str">
        <f>IF(AND(Programme_Grunddaten!$A136="Geprüft",Programme_Grunddaten!U136&lt;&gt;""),IF(Programme_Grunddaten!U136="Ja",1,0),"")</f>
        <v/>
      </c>
      <c r="N131" s="1" t="str">
        <f>IF(AND(Programme_Grunddaten!$A136="Geprüft",Programme_Grunddaten!V136&lt;&gt;""),IF(Programme_Grunddaten!V136="Ja",1,0),"")</f>
        <v/>
      </c>
      <c r="O131" s="1" t="str">
        <f>IF(AND(Programme_Grunddaten!$A136="Geprüft",Programme_Grunddaten!W136&lt;&gt;""),IF(Programme_Grunddaten!W136="Ja",1,0),"")</f>
        <v/>
      </c>
      <c r="P131" s="1" t="str">
        <f>IF(AND(Programme_Grunddaten!$A136="Geprüft",Programme_Grunddaten!X136&lt;&gt;""),IF(Programme_Grunddaten!X136="Ja",1,0),"")</f>
        <v/>
      </c>
      <c r="Q131" s="1" t="str">
        <f>IF(AND(Programme_Grunddaten!$A136="Geprüft",Programme_Grunddaten!Y136&lt;&gt;""),IF(Programme_Grunddaten!Y136="Ja",1,0),"")</f>
        <v/>
      </c>
      <c r="R131" s="1" t="str">
        <f>IF(AND(Programme_Grunddaten!$A136="Geprüft",Programme_Grunddaten!Z136&lt;&gt;""),IF(Programme_Grunddaten!Z136="Ja",1,0),"")</f>
        <v/>
      </c>
      <c r="S131" s="1" t="str">
        <f>IF(AND(Programme_Grunddaten!$A136="Geprüft",Programme_Grunddaten!AA136&lt;&gt;""),IF(Programme_Grunddaten!AA136="monolithisch",1,0),"")</f>
        <v/>
      </c>
      <c r="T131" s="1" t="str">
        <f>IF(AND(Programme_Grunddaten!$A136="Geprüft",Programme_Grunddaten!AB136&lt;&gt;""),IF(Programme_Grunddaten!AB136="Ja",1,0),"")</f>
        <v/>
      </c>
      <c r="U131" s="1" t="str">
        <f>IF(AND(Programme_Grunddaten!$A136="Geprüft",Programme_Grunddaten!AC136&lt;&gt;""),IF(Programme_Grunddaten!AC136="Ja",1,0),"")</f>
        <v/>
      </c>
      <c r="V131" s="1" t="str">
        <f>IF(AND(Programme_Grunddaten!$A136="Geprüft",Programme_Grunddaten!AD136&lt;&gt;""),IF(Programme_Grunddaten!AD136="Ja",1,0),"")</f>
        <v/>
      </c>
      <c r="W131" s="1" t="str">
        <f>IF(AND(Programme_Grunddaten!$A136="Geprüft",Programme_Grunddaten!AE136&lt;&gt;""),IF(Programme_Grunddaten!AE136="Ja",1,0),"")</f>
        <v/>
      </c>
      <c r="X131" s="1" t="str">
        <f>IF(AND(Programme_Grunddaten!$A136="Geprüft",Programme_Grunddaten!AF136&lt;&gt;""),IF(Programme_Grunddaten!AF136="Ja",1,0),"")</f>
        <v/>
      </c>
      <c r="Y131" s="1" t="str">
        <f>IF(AND(Programme_Grunddaten!$A136="Geprüft",Programme_Grunddaten!AG136&lt;&gt;""),IF(Programme_Grunddaten!AG136="Ja",1,0),"")</f>
        <v/>
      </c>
      <c r="Z131" s="1" t="str">
        <f>IF(AND(Programme_Grunddaten!$A136="Geprüft",Programme_Grunddaten!AH136&lt;&gt;""),IF(Programme_Grunddaten!AH136="Ja",1,0),"")</f>
        <v/>
      </c>
      <c r="AA131" s="1" t="str">
        <f>IF(AND(Programme_Grunddaten!$A136="Geprüft",Programme_Grunddaten!AI136&lt;&gt;""),IF(Programme_Grunddaten!AI136="Ja",1,0),"")</f>
        <v/>
      </c>
      <c r="AB131" s="1" t="str">
        <f>IF(AND(Programme_Grunddaten!$A136="Geprüft",Programme_Grunddaten!AJ136&lt;&gt;""),IF(Programme_Grunddaten!AJ136="individuell programmierbar",1,0),"")</f>
        <v/>
      </c>
      <c r="AC131" s="1" t="str">
        <f>IF(AND(Programme_Grunddaten!$A136="Geprüft",Programme_Grunddaten!AK136&lt;&gt;""),IF(Programme_Grunddaten!AK136="Deutsch",0,IF(Programme_Grunddaten!AK136="Deutsch und Englisch",1,2)),"")</f>
        <v/>
      </c>
      <c r="AD131" s="1" t="str">
        <f>IF(AND(Programme_Grunddaten!$A136="Geprüft",Programme_Grunddaten!AL136&lt;&gt;""),IF(Programme_Grunddaten!AL136="Ja",1,0),"")</f>
        <v/>
      </c>
      <c r="AE131" s="1" t="str">
        <f>IF(AND(Programme_Grunddaten!$A136="Geprüft",Programme_Grunddaten!AM136&lt;&gt;""),IF(Programme_Grunddaten!AM136="Ja",1,0),"")</f>
        <v/>
      </c>
      <c r="AF131" s="1" t="str">
        <f>IF(AND(Programme_Grunddaten!$A136="Geprüft",Programme_Grunddaten!AN136&lt;&gt;""),IF(Programme_Grunddaten!AN136="Ja",1,0),"")</f>
        <v/>
      </c>
      <c r="AG131" s="1" t="str">
        <f>IF(AND(Programme_Grunddaten!$A136="Geprüft",Programme_Grunddaten!AO136&lt;&gt;""),IF(Programme_Grunddaten!AO136="Ja",1,0),"")</f>
        <v/>
      </c>
      <c r="AH131" s="1" t="str">
        <f>IF(AND(Programme_Grunddaten!$A136="Geprüft",Programme_Grunddaten!AP136&lt;&gt;""),IF(Programme_Grunddaten!AP136="Ja",1,0),"")</f>
        <v/>
      </c>
      <c r="AI131" s="1" t="str">
        <f>IF(AND(Programme_Grunddaten!$A136="Geprüft",Programme_Grunddaten!AQ136&lt;&gt;""),IF(Programme_Grunddaten!AQ136="Ja",1,0),"")</f>
        <v/>
      </c>
      <c r="AJ131" s="1" t="str">
        <f>IF(AND(Programme_Grunddaten!$A136="Geprüft",Programme_Grunddaten!AR136&lt;&gt;""),IF(Programme_Grunddaten!AR136="Ja",1,0),"")</f>
        <v/>
      </c>
      <c r="AK131" s="1" t="str">
        <f>IF(AND(Programme_Grunddaten!$A136="Geprüft",Programme_Grunddaten!AS136&lt;&gt;""),IF(Programme_Grunddaten!AS136="Ja",1,0),"")</f>
        <v/>
      </c>
      <c r="AL131" s="1" t="str">
        <f>IF(AND(Programme_Grunddaten!$A136="Geprüft",Programme_Grunddaten!AT136&lt;&gt;""),IF(Programme_Grunddaten!AT136="Ja",1,0),"")</f>
        <v/>
      </c>
      <c r="AM131" s="1" t="str">
        <f>IF(AND(Programme_Grunddaten!$A136="Geprüft",Programme_Grunddaten!AU136&lt;&gt;""),IF(Programme_Grunddaten!AU136="Ja",1,0),"")</f>
        <v/>
      </c>
      <c r="AN131" s="1" t="str">
        <f>IF(AND(Programme_Grunddaten!$A136="Geprüft",Programme_Grunddaten!AV136&lt;&gt;""),IF(Programme_Grunddaten!AV136="Ja",1,0),"")</f>
        <v/>
      </c>
    </row>
    <row r="132" spans="1:40" x14ac:dyDescent="0.3">
      <c r="A132" s="1" t="str">
        <f>IF(AND(Programme_Grunddaten!A137="Geprüft",Programme_Grunddaten!B137&lt;&gt;""),Programme_Grunddaten!B137,"")</f>
        <v/>
      </c>
      <c r="B132" s="1" t="str">
        <f>IF(AND(Programme_Grunddaten!$A137="Geprüft",Programme_Grunddaten!I137&lt;&gt;""),IF(Programme_Grunddaten!I137="Ja",1,0),"")</f>
        <v/>
      </c>
      <c r="C132" s="1" t="str">
        <f>IF(AND(Programme_Grunddaten!$A137="Geprüft",Programme_Grunddaten!J137&lt;&gt;""),IF(Programme_Grunddaten!J137="Ja",1,0),"")</f>
        <v/>
      </c>
      <c r="D132" s="1" t="str">
        <f>IF(AND(Programme_Grunddaten!$A137="Geprüft",Programme_Grunddaten!K137&lt;&gt;""),IF(Programme_Grunddaten!K137="Ja",1,0),"")</f>
        <v/>
      </c>
      <c r="E132" s="1" t="str">
        <f>IF(AND(Programme_Grunddaten!$A137="Geprüft",Programme_Grunddaten!L137&lt;&gt;""),IF(Programme_Grunddaten!L137="Abo / befristete Lizenz",1,0),"")</f>
        <v/>
      </c>
      <c r="F132" s="1" t="str">
        <f>IF(AND(Programme_Grunddaten!$A137="Geprüft",Programme_Grunddaten!M137&lt;&gt;""),IF(Programme_Grunddaten!M137="Ja",1,0),"")</f>
        <v/>
      </c>
      <c r="G132" s="1" t="str">
        <f>IF(AND(Programme_Grunddaten!$A137="Geprüft",Programme_Grunddaten!N137&lt;&gt;""),IF(Programme_Grunddaten!N137="Ja",1,0),"")</f>
        <v/>
      </c>
      <c r="H132" s="1" t="str">
        <f>IF(AND(Programme_Grunddaten!$A137="Geprüft",Programme_Grunddaten!O137&lt;&gt;""),IF(Programme_Grunddaten!O137="Deutschland",0,IF(Programme_Grunddaten!O137="EU",1,2)),"")</f>
        <v/>
      </c>
      <c r="I132" s="1" t="str">
        <f>IF(AND(Programme_Grunddaten!$A137="Geprüft",Programme_Grunddaten!P137&lt;&gt;""),IF(Programme_Grunddaten!P137="Ja",1,0),"")</f>
        <v/>
      </c>
      <c r="J132" s="1" t="str">
        <f>IF(AND(Programme_Grunddaten!$A137="Geprüft",Programme_Grunddaten!Q137&lt;&gt;""),IF(Programme_Grunddaten!Q137="geschlossenes System",1,0),"")</f>
        <v/>
      </c>
      <c r="K132" s="1" t="str">
        <f>IF(AND(Programme_Grunddaten!$A137="Geprüft",Programme_Grunddaten!R137&lt;&gt;""),IF(Programme_Grunddaten!R137="Ja",1,0),"")</f>
        <v/>
      </c>
      <c r="L132" s="1" t="str">
        <f>IF(AND(Programme_Grunddaten!$A137="Geprüft",Programme_Grunddaten!T137&lt;&gt;""),IF(Programme_Grunddaten!T137="Ja",1,0),"")</f>
        <v/>
      </c>
      <c r="M132" s="1" t="str">
        <f>IF(AND(Programme_Grunddaten!$A137="Geprüft",Programme_Grunddaten!U137&lt;&gt;""),IF(Programme_Grunddaten!U137="Ja",1,0),"")</f>
        <v/>
      </c>
      <c r="N132" s="1" t="str">
        <f>IF(AND(Programme_Grunddaten!$A137="Geprüft",Programme_Grunddaten!V137&lt;&gt;""),IF(Programme_Grunddaten!V137="Ja",1,0),"")</f>
        <v/>
      </c>
      <c r="O132" s="1" t="str">
        <f>IF(AND(Programme_Grunddaten!$A137="Geprüft",Programme_Grunddaten!W137&lt;&gt;""),IF(Programme_Grunddaten!W137="Ja",1,0),"")</f>
        <v/>
      </c>
      <c r="P132" s="1" t="str">
        <f>IF(AND(Programme_Grunddaten!$A137="Geprüft",Programme_Grunddaten!X137&lt;&gt;""),IF(Programme_Grunddaten!X137="Ja",1,0),"")</f>
        <v/>
      </c>
      <c r="Q132" s="1" t="str">
        <f>IF(AND(Programme_Grunddaten!$A137="Geprüft",Programme_Grunddaten!Y137&lt;&gt;""),IF(Programme_Grunddaten!Y137="Ja",1,0),"")</f>
        <v/>
      </c>
      <c r="R132" s="1" t="str">
        <f>IF(AND(Programme_Grunddaten!$A137="Geprüft",Programme_Grunddaten!Z137&lt;&gt;""),IF(Programme_Grunddaten!Z137="Ja",1,0),"")</f>
        <v/>
      </c>
      <c r="S132" s="1" t="str">
        <f>IF(AND(Programme_Grunddaten!$A137="Geprüft",Programme_Grunddaten!AA137&lt;&gt;""),IF(Programme_Grunddaten!AA137="monolithisch",1,0),"")</f>
        <v/>
      </c>
      <c r="T132" s="1" t="str">
        <f>IF(AND(Programme_Grunddaten!$A137="Geprüft",Programme_Grunddaten!AB137&lt;&gt;""),IF(Programme_Grunddaten!AB137="Ja",1,0),"")</f>
        <v/>
      </c>
      <c r="U132" s="1" t="str">
        <f>IF(AND(Programme_Grunddaten!$A137="Geprüft",Programme_Grunddaten!AC137&lt;&gt;""),IF(Programme_Grunddaten!AC137="Ja",1,0),"")</f>
        <v/>
      </c>
      <c r="V132" s="1" t="str">
        <f>IF(AND(Programme_Grunddaten!$A137="Geprüft",Programme_Grunddaten!AD137&lt;&gt;""),IF(Programme_Grunddaten!AD137="Ja",1,0),"")</f>
        <v/>
      </c>
      <c r="W132" s="1" t="str">
        <f>IF(AND(Programme_Grunddaten!$A137="Geprüft",Programme_Grunddaten!AE137&lt;&gt;""),IF(Programme_Grunddaten!AE137="Ja",1,0),"")</f>
        <v/>
      </c>
      <c r="X132" s="1" t="str">
        <f>IF(AND(Programme_Grunddaten!$A137="Geprüft",Programme_Grunddaten!AF137&lt;&gt;""),IF(Programme_Grunddaten!AF137="Ja",1,0),"")</f>
        <v/>
      </c>
      <c r="Y132" s="1" t="str">
        <f>IF(AND(Programme_Grunddaten!$A137="Geprüft",Programme_Grunddaten!AG137&lt;&gt;""),IF(Programme_Grunddaten!AG137="Ja",1,0),"")</f>
        <v/>
      </c>
      <c r="Z132" s="1" t="str">
        <f>IF(AND(Programme_Grunddaten!$A137="Geprüft",Programme_Grunddaten!AH137&lt;&gt;""),IF(Programme_Grunddaten!AH137="Ja",1,0),"")</f>
        <v/>
      </c>
      <c r="AA132" s="1" t="str">
        <f>IF(AND(Programme_Grunddaten!$A137="Geprüft",Programme_Grunddaten!AI137&lt;&gt;""),IF(Programme_Grunddaten!AI137="Ja",1,0),"")</f>
        <v/>
      </c>
      <c r="AB132" s="1" t="str">
        <f>IF(AND(Programme_Grunddaten!$A137="Geprüft",Programme_Grunddaten!AJ137&lt;&gt;""),IF(Programme_Grunddaten!AJ137="individuell programmierbar",1,0),"")</f>
        <v/>
      </c>
      <c r="AC132" s="1" t="str">
        <f>IF(AND(Programme_Grunddaten!$A137="Geprüft",Programme_Grunddaten!AK137&lt;&gt;""),IF(Programme_Grunddaten!AK137="Deutsch",0,IF(Programme_Grunddaten!AK137="Deutsch und Englisch",1,2)),"")</f>
        <v/>
      </c>
      <c r="AD132" s="1" t="str">
        <f>IF(AND(Programme_Grunddaten!$A137="Geprüft",Programme_Grunddaten!AL137&lt;&gt;""),IF(Programme_Grunddaten!AL137="Ja",1,0),"")</f>
        <v/>
      </c>
      <c r="AE132" s="1" t="str">
        <f>IF(AND(Programme_Grunddaten!$A137="Geprüft",Programme_Grunddaten!AM137&lt;&gt;""),IF(Programme_Grunddaten!AM137="Ja",1,0),"")</f>
        <v/>
      </c>
      <c r="AF132" s="1" t="str">
        <f>IF(AND(Programme_Grunddaten!$A137="Geprüft",Programme_Grunddaten!AN137&lt;&gt;""),IF(Programme_Grunddaten!AN137="Ja",1,0),"")</f>
        <v/>
      </c>
      <c r="AG132" s="1" t="str">
        <f>IF(AND(Programme_Grunddaten!$A137="Geprüft",Programme_Grunddaten!AO137&lt;&gt;""),IF(Programme_Grunddaten!AO137="Ja",1,0),"")</f>
        <v/>
      </c>
      <c r="AH132" s="1" t="str">
        <f>IF(AND(Programme_Grunddaten!$A137="Geprüft",Programme_Grunddaten!AP137&lt;&gt;""),IF(Programme_Grunddaten!AP137="Ja",1,0),"")</f>
        <v/>
      </c>
      <c r="AI132" s="1" t="str">
        <f>IF(AND(Programme_Grunddaten!$A137="Geprüft",Programme_Grunddaten!AQ137&lt;&gt;""),IF(Programme_Grunddaten!AQ137="Ja",1,0),"")</f>
        <v/>
      </c>
      <c r="AJ132" s="1" t="str">
        <f>IF(AND(Programme_Grunddaten!$A137="Geprüft",Programme_Grunddaten!AR137&lt;&gt;""),IF(Programme_Grunddaten!AR137="Ja",1,0),"")</f>
        <v/>
      </c>
      <c r="AK132" s="1" t="str">
        <f>IF(AND(Programme_Grunddaten!$A137="Geprüft",Programme_Grunddaten!AS137&lt;&gt;""),IF(Programme_Grunddaten!AS137="Ja",1,0),"")</f>
        <v/>
      </c>
      <c r="AL132" s="1" t="str">
        <f>IF(AND(Programme_Grunddaten!$A137="Geprüft",Programme_Grunddaten!AT137&lt;&gt;""),IF(Programme_Grunddaten!AT137="Ja",1,0),"")</f>
        <v/>
      </c>
      <c r="AM132" s="1" t="str">
        <f>IF(AND(Programme_Grunddaten!$A137="Geprüft",Programme_Grunddaten!AU137&lt;&gt;""),IF(Programme_Grunddaten!AU137="Ja",1,0),"")</f>
        <v/>
      </c>
      <c r="AN132" s="1" t="str">
        <f>IF(AND(Programme_Grunddaten!$A137="Geprüft",Programme_Grunddaten!AV137&lt;&gt;""),IF(Programme_Grunddaten!AV137="Ja",1,0),"")</f>
        <v/>
      </c>
    </row>
    <row r="133" spans="1:40" x14ac:dyDescent="0.3">
      <c r="A133" s="1" t="str">
        <f>IF(AND(Programme_Grunddaten!A138="Geprüft",Programme_Grunddaten!B138&lt;&gt;""),Programme_Grunddaten!B138,"")</f>
        <v/>
      </c>
      <c r="B133" s="1" t="str">
        <f>IF(AND(Programme_Grunddaten!$A138="Geprüft",Programme_Grunddaten!I138&lt;&gt;""),IF(Programme_Grunddaten!I138="Ja",1,0),"")</f>
        <v/>
      </c>
      <c r="C133" s="1" t="str">
        <f>IF(AND(Programme_Grunddaten!$A138="Geprüft",Programme_Grunddaten!J138&lt;&gt;""),IF(Programme_Grunddaten!J138="Ja",1,0),"")</f>
        <v/>
      </c>
      <c r="D133" s="1" t="str">
        <f>IF(AND(Programme_Grunddaten!$A138="Geprüft",Programme_Grunddaten!K138&lt;&gt;""),IF(Programme_Grunddaten!K138="Ja",1,0),"")</f>
        <v/>
      </c>
      <c r="E133" s="1" t="str">
        <f>IF(AND(Programme_Grunddaten!$A138="Geprüft",Programme_Grunddaten!L138&lt;&gt;""),IF(Programme_Grunddaten!L138="Abo / befristete Lizenz",1,0),"")</f>
        <v/>
      </c>
      <c r="F133" s="1" t="str">
        <f>IF(AND(Programme_Grunddaten!$A138="Geprüft",Programme_Grunddaten!M138&lt;&gt;""),IF(Programme_Grunddaten!M138="Ja",1,0),"")</f>
        <v/>
      </c>
      <c r="G133" s="1" t="str">
        <f>IF(AND(Programme_Grunddaten!$A138="Geprüft",Programme_Grunddaten!N138&lt;&gt;""),IF(Programme_Grunddaten!N138="Ja",1,0),"")</f>
        <v/>
      </c>
      <c r="H133" s="1" t="str">
        <f>IF(AND(Programme_Grunddaten!$A138="Geprüft",Programme_Grunddaten!O138&lt;&gt;""),IF(Programme_Grunddaten!O138="Deutschland",0,IF(Programme_Grunddaten!O138="EU",1,2)),"")</f>
        <v/>
      </c>
      <c r="I133" s="1" t="str">
        <f>IF(AND(Programme_Grunddaten!$A138="Geprüft",Programme_Grunddaten!P138&lt;&gt;""),IF(Programme_Grunddaten!P138="Ja",1,0),"")</f>
        <v/>
      </c>
      <c r="J133" s="1" t="str">
        <f>IF(AND(Programme_Grunddaten!$A138="Geprüft",Programme_Grunddaten!Q138&lt;&gt;""),IF(Programme_Grunddaten!Q138="geschlossenes System",1,0),"")</f>
        <v/>
      </c>
      <c r="K133" s="1" t="str">
        <f>IF(AND(Programme_Grunddaten!$A138="Geprüft",Programme_Grunddaten!R138&lt;&gt;""),IF(Programme_Grunddaten!R138="Ja",1,0),"")</f>
        <v/>
      </c>
      <c r="L133" s="1" t="str">
        <f>IF(AND(Programme_Grunddaten!$A138="Geprüft",Programme_Grunddaten!T138&lt;&gt;""),IF(Programme_Grunddaten!T138="Ja",1,0),"")</f>
        <v/>
      </c>
      <c r="M133" s="1" t="str">
        <f>IF(AND(Programme_Grunddaten!$A138="Geprüft",Programme_Grunddaten!U138&lt;&gt;""),IF(Programme_Grunddaten!U138="Ja",1,0),"")</f>
        <v/>
      </c>
      <c r="N133" s="1" t="str">
        <f>IF(AND(Programme_Grunddaten!$A138="Geprüft",Programme_Grunddaten!V138&lt;&gt;""),IF(Programme_Grunddaten!V138="Ja",1,0),"")</f>
        <v/>
      </c>
      <c r="O133" s="1" t="str">
        <f>IF(AND(Programme_Grunddaten!$A138="Geprüft",Programme_Grunddaten!W138&lt;&gt;""),IF(Programme_Grunddaten!W138="Ja",1,0),"")</f>
        <v/>
      </c>
      <c r="P133" s="1" t="str">
        <f>IF(AND(Programme_Grunddaten!$A138="Geprüft",Programme_Grunddaten!X138&lt;&gt;""),IF(Programme_Grunddaten!X138="Ja",1,0),"")</f>
        <v/>
      </c>
      <c r="Q133" s="1" t="str">
        <f>IF(AND(Programme_Grunddaten!$A138="Geprüft",Programme_Grunddaten!Y138&lt;&gt;""),IF(Programme_Grunddaten!Y138="Ja",1,0),"")</f>
        <v/>
      </c>
      <c r="R133" s="1" t="str">
        <f>IF(AND(Programme_Grunddaten!$A138="Geprüft",Programme_Grunddaten!Z138&lt;&gt;""),IF(Programme_Grunddaten!Z138="Ja",1,0),"")</f>
        <v/>
      </c>
      <c r="S133" s="1" t="str">
        <f>IF(AND(Programme_Grunddaten!$A138="Geprüft",Programme_Grunddaten!AA138&lt;&gt;""),IF(Programme_Grunddaten!AA138="monolithisch",1,0),"")</f>
        <v/>
      </c>
      <c r="T133" s="1" t="str">
        <f>IF(AND(Programme_Grunddaten!$A138="Geprüft",Programme_Grunddaten!AB138&lt;&gt;""),IF(Programme_Grunddaten!AB138="Ja",1,0),"")</f>
        <v/>
      </c>
      <c r="U133" s="1" t="str">
        <f>IF(AND(Programme_Grunddaten!$A138="Geprüft",Programme_Grunddaten!AC138&lt;&gt;""),IF(Programme_Grunddaten!AC138="Ja",1,0),"")</f>
        <v/>
      </c>
      <c r="V133" s="1" t="str">
        <f>IF(AND(Programme_Grunddaten!$A138="Geprüft",Programme_Grunddaten!AD138&lt;&gt;""),IF(Programme_Grunddaten!AD138="Ja",1,0),"")</f>
        <v/>
      </c>
      <c r="W133" s="1" t="str">
        <f>IF(AND(Programme_Grunddaten!$A138="Geprüft",Programme_Grunddaten!AE138&lt;&gt;""),IF(Programme_Grunddaten!AE138="Ja",1,0),"")</f>
        <v/>
      </c>
      <c r="X133" s="1" t="str">
        <f>IF(AND(Programme_Grunddaten!$A138="Geprüft",Programme_Grunddaten!AF138&lt;&gt;""),IF(Programme_Grunddaten!AF138="Ja",1,0),"")</f>
        <v/>
      </c>
      <c r="Y133" s="1" t="str">
        <f>IF(AND(Programme_Grunddaten!$A138="Geprüft",Programme_Grunddaten!AG138&lt;&gt;""),IF(Programme_Grunddaten!AG138="Ja",1,0),"")</f>
        <v/>
      </c>
      <c r="Z133" s="1" t="str">
        <f>IF(AND(Programme_Grunddaten!$A138="Geprüft",Programme_Grunddaten!AH138&lt;&gt;""),IF(Programme_Grunddaten!AH138="Ja",1,0),"")</f>
        <v/>
      </c>
      <c r="AA133" s="1" t="str">
        <f>IF(AND(Programme_Grunddaten!$A138="Geprüft",Programme_Grunddaten!AI138&lt;&gt;""),IF(Programme_Grunddaten!AI138="Ja",1,0),"")</f>
        <v/>
      </c>
      <c r="AB133" s="1" t="str">
        <f>IF(AND(Programme_Grunddaten!$A138="Geprüft",Programme_Grunddaten!AJ138&lt;&gt;""),IF(Programme_Grunddaten!AJ138="individuell programmierbar",1,0),"")</f>
        <v/>
      </c>
      <c r="AC133" s="1" t="str">
        <f>IF(AND(Programme_Grunddaten!$A138="Geprüft",Programme_Grunddaten!AK138&lt;&gt;""),IF(Programme_Grunddaten!AK138="Deutsch",0,IF(Programme_Grunddaten!AK138="Deutsch und Englisch",1,2)),"")</f>
        <v/>
      </c>
      <c r="AD133" s="1" t="str">
        <f>IF(AND(Programme_Grunddaten!$A138="Geprüft",Programme_Grunddaten!AL138&lt;&gt;""),IF(Programme_Grunddaten!AL138="Ja",1,0),"")</f>
        <v/>
      </c>
      <c r="AE133" s="1" t="str">
        <f>IF(AND(Programme_Grunddaten!$A138="Geprüft",Programme_Grunddaten!AM138&lt;&gt;""),IF(Programme_Grunddaten!AM138="Ja",1,0),"")</f>
        <v/>
      </c>
      <c r="AF133" s="1" t="str">
        <f>IF(AND(Programme_Grunddaten!$A138="Geprüft",Programme_Grunddaten!AN138&lt;&gt;""),IF(Programme_Grunddaten!AN138="Ja",1,0),"")</f>
        <v/>
      </c>
      <c r="AG133" s="1" t="str">
        <f>IF(AND(Programme_Grunddaten!$A138="Geprüft",Programme_Grunddaten!AO138&lt;&gt;""),IF(Programme_Grunddaten!AO138="Ja",1,0),"")</f>
        <v/>
      </c>
      <c r="AH133" s="1" t="str">
        <f>IF(AND(Programme_Grunddaten!$A138="Geprüft",Programme_Grunddaten!AP138&lt;&gt;""),IF(Programme_Grunddaten!AP138="Ja",1,0),"")</f>
        <v/>
      </c>
      <c r="AI133" s="1" t="str">
        <f>IF(AND(Programme_Grunddaten!$A138="Geprüft",Programme_Grunddaten!AQ138&lt;&gt;""),IF(Programme_Grunddaten!AQ138="Ja",1,0),"")</f>
        <v/>
      </c>
      <c r="AJ133" s="1" t="str">
        <f>IF(AND(Programme_Grunddaten!$A138="Geprüft",Programme_Grunddaten!AR138&lt;&gt;""),IF(Programme_Grunddaten!AR138="Ja",1,0),"")</f>
        <v/>
      </c>
      <c r="AK133" s="1" t="str">
        <f>IF(AND(Programme_Grunddaten!$A138="Geprüft",Programme_Grunddaten!AS138&lt;&gt;""),IF(Programme_Grunddaten!AS138="Ja",1,0),"")</f>
        <v/>
      </c>
      <c r="AL133" s="1" t="str">
        <f>IF(AND(Programme_Grunddaten!$A138="Geprüft",Programme_Grunddaten!AT138&lt;&gt;""),IF(Programme_Grunddaten!AT138="Ja",1,0),"")</f>
        <v/>
      </c>
      <c r="AM133" s="1" t="str">
        <f>IF(AND(Programme_Grunddaten!$A138="Geprüft",Programme_Grunddaten!AU138&lt;&gt;""),IF(Programme_Grunddaten!AU138="Ja",1,0),"")</f>
        <v/>
      </c>
      <c r="AN133" s="1" t="str">
        <f>IF(AND(Programme_Grunddaten!$A138="Geprüft",Programme_Grunddaten!AV138&lt;&gt;""),IF(Programme_Grunddaten!AV138="Ja",1,0),"")</f>
        <v/>
      </c>
    </row>
    <row r="134" spans="1:40" x14ac:dyDescent="0.3">
      <c r="A134" s="1" t="str">
        <f>IF(AND(Programme_Grunddaten!A139="Geprüft",Programme_Grunddaten!B139&lt;&gt;""),Programme_Grunddaten!B139,"")</f>
        <v/>
      </c>
      <c r="B134" s="1" t="str">
        <f>IF(AND(Programme_Grunddaten!$A139="Geprüft",Programme_Grunddaten!I139&lt;&gt;""),IF(Programme_Grunddaten!I139="Ja",1,0),"")</f>
        <v/>
      </c>
      <c r="C134" s="1" t="str">
        <f>IF(AND(Programme_Grunddaten!$A139="Geprüft",Programme_Grunddaten!J139&lt;&gt;""),IF(Programme_Grunddaten!J139="Ja",1,0),"")</f>
        <v/>
      </c>
      <c r="D134" s="1" t="str">
        <f>IF(AND(Programme_Grunddaten!$A139="Geprüft",Programme_Grunddaten!K139&lt;&gt;""),IF(Programme_Grunddaten!K139="Ja",1,0),"")</f>
        <v/>
      </c>
      <c r="E134" s="1" t="str">
        <f>IF(AND(Programme_Grunddaten!$A139="Geprüft",Programme_Grunddaten!L139&lt;&gt;""),IF(Programme_Grunddaten!L139="Abo / befristete Lizenz",1,0),"")</f>
        <v/>
      </c>
      <c r="F134" s="1" t="str">
        <f>IF(AND(Programme_Grunddaten!$A139="Geprüft",Programme_Grunddaten!M139&lt;&gt;""),IF(Programme_Grunddaten!M139="Ja",1,0),"")</f>
        <v/>
      </c>
      <c r="G134" s="1" t="str">
        <f>IF(AND(Programme_Grunddaten!$A139="Geprüft",Programme_Grunddaten!N139&lt;&gt;""),IF(Programme_Grunddaten!N139="Ja",1,0),"")</f>
        <v/>
      </c>
      <c r="H134" s="1" t="str">
        <f>IF(AND(Programme_Grunddaten!$A139="Geprüft",Programme_Grunddaten!O139&lt;&gt;""),IF(Programme_Grunddaten!O139="Deutschland",0,IF(Programme_Grunddaten!O139="EU",1,2)),"")</f>
        <v/>
      </c>
      <c r="I134" s="1" t="str">
        <f>IF(AND(Programme_Grunddaten!$A139="Geprüft",Programme_Grunddaten!P139&lt;&gt;""),IF(Programme_Grunddaten!P139="Ja",1,0),"")</f>
        <v/>
      </c>
      <c r="J134" s="1" t="str">
        <f>IF(AND(Programme_Grunddaten!$A139="Geprüft",Programme_Grunddaten!Q139&lt;&gt;""),IF(Programme_Grunddaten!Q139="geschlossenes System",1,0),"")</f>
        <v/>
      </c>
      <c r="K134" s="1" t="str">
        <f>IF(AND(Programme_Grunddaten!$A139="Geprüft",Programme_Grunddaten!R139&lt;&gt;""),IF(Programme_Grunddaten!R139="Ja",1,0),"")</f>
        <v/>
      </c>
      <c r="L134" s="1" t="str">
        <f>IF(AND(Programme_Grunddaten!$A139="Geprüft",Programme_Grunddaten!T139&lt;&gt;""),IF(Programme_Grunddaten!T139="Ja",1,0),"")</f>
        <v/>
      </c>
      <c r="M134" s="1" t="str">
        <f>IF(AND(Programme_Grunddaten!$A139="Geprüft",Programme_Grunddaten!U139&lt;&gt;""),IF(Programme_Grunddaten!U139="Ja",1,0),"")</f>
        <v/>
      </c>
      <c r="N134" s="1" t="str">
        <f>IF(AND(Programme_Grunddaten!$A139="Geprüft",Programme_Grunddaten!V139&lt;&gt;""),IF(Programme_Grunddaten!V139="Ja",1,0),"")</f>
        <v/>
      </c>
      <c r="O134" s="1" t="str">
        <f>IF(AND(Programme_Grunddaten!$A139="Geprüft",Programme_Grunddaten!W139&lt;&gt;""),IF(Programme_Grunddaten!W139="Ja",1,0),"")</f>
        <v/>
      </c>
      <c r="P134" s="1" t="str">
        <f>IF(AND(Programme_Grunddaten!$A139="Geprüft",Programme_Grunddaten!X139&lt;&gt;""),IF(Programme_Grunddaten!X139="Ja",1,0),"")</f>
        <v/>
      </c>
      <c r="Q134" s="1" t="str">
        <f>IF(AND(Programme_Grunddaten!$A139="Geprüft",Programme_Grunddaten!Y139&lt;&gt;""),IF(Programme_Grunddaten!Y139="Ja",1,0),"")</f>
        <v/>
      </c>
      <c r="R134" s="1" t="str">
        <f>IF(AND(Programme_Grunddaten!$A139="Geprüft",Programme_Grunddaten!Z139&lt;&gt;""),IF(Programme_Grunddaten!Z139="Ja",1,0),"")</f>
        <v/>
      </c>
      <c r="S134" s="1" t="str">
        <f>IF(AND(Programme_Grunddaten!$A139="Geprüft",Programme_Grunddaten!AA139&lt;&gt;""),IF(Programme_Grunddaten!AA139="monolithisch",1,0),"")</f>
        <v/>
      </c>
      <c r="T134" s="1" t="str">
        <f>IF(AND(Programme_Grunddaten!$A139="Geprüft",Programme_Grunddaten!AB139&lt;&gt;""),IF(Programme_Grunddaten!AB139="Ja",1,0),"")</f>
        <v/>
      </c>
      <c r="U134" s="1" t="str">
        <f>IF(AND(Programme_Grunddaten!$A139="Geprüft",Programme_Grunddaten!AC139&lt;&gt;""),IF(Programme_Grunddaten!AC139="Ja",1,0),"")</f>
        <v/>
      </c>
      <c r="V134" s="1" t="str">
        <f>IF(AND(Programme_Grunddaten!$A139="Geprüft",Programme_Grunddaten!AD139&lt;&gt;""),IF(Programme_Grunddaten!AD139="Ja",1,0),"")</f>
        <v/>
      </c>
      <c r="W134" s="1" t="str">
        <f>IF(AND(Programme_Grunddaten!$A139="Geprüft",Programme_Grunddaten!AE139&lt;&gt;""),IF(Programme_Grunddaten!AE139="Ja",1,0),"")</f>
        <v/>
      </c>
      <c r="X134" s="1" t="str">
        <f>IF(AND(Programme_Grunddaten!$A139="Geprüft",Programme_Grunddaten!AF139&lt;&gt;""),IF(Programme_Grunddaten!AF139="Ja",1,0),"")</f>
        <v/>
      </c>
      <c r="Y134" s="1" t="str">
        <f>IF(AND(Programme_Grunddaten!$A139="Geprüft",Programme_Grunddaten!AG139&lt;&gt;""),IF(Programme_Grunddaten!AG139="Ja",1,0),"")</f>
        <v/>
      </c>
      <c r="Z134" s="1" t="str">
        <f>IF(AND(Programme_Grunddaten!$A139="Geprüft",Programme_Grunddaten!AH139&lt;&gt;""),IF(Programme_Grunddaten!AH139="Ja",1,0),"")</f>
        <v/>
      </c>
      <c r="AA134" s="1" t="str">
        <f>IF(AND(Programme_Grunddaten!$A139="Geprüft",Programme_Grunddaten!AI139&lt;&gt;""),IF(Programme_Grunddaten!AI139="Ja",1,0),"")</f>
        <v/>
      </c>
      <c r="AB134" s="1" t="str">
        <f>IF(AND(Programme_Grunddaten!$A139="Geprüft",Programme_Grunddaten!AJ139&lt;&gt;""),IF(Programme_Grunddaten!AJ139="individuell programmierbar",1,0),"")</f>
        <v/>
      </c>
      <c r="AC134" s="1" t="str">
        <f>IF(AND(Programme_Grunddaten!$A139="Geprüft",Programme_Grunddaten!AK139&lt;&gt;""),IF(Programme_Grunddaten!AK139="Deutsch",0,IF(Programme_Grunddaten!AK139="Deutsch und Englisch",1,2)),"")</f>
        <v/>
      </c>
      <c r="AD134" s="1" t="str">
        <f>IF(AND(Programme_Grunddaten!$A139="Geprüft",Programme_Grunddaten!AL139&lt;&gt;""),IF(Programme_Grunddaten!AL139="Ja",1,0),"")</f>
        <v/>
      </c>
      <c r="AE134" s="1" t="str">
        <f>IF(AND(Programme_Grunddaten!$A139="Geprüft",Programme_Grunddaten!AM139&lt;&gt;""),IF(Programme_Grunddaten!AM139="Ja",1,0),"")</f>
        <v/>
      </c>
      <c r="AF134" s="1" t="str">
        <f>IF(AND(Programme_Grunddaten!$A139="Geprüft",Programme_Grunddaten!AN139&lt;&gt;""),IF(Programme_Grunddaten!AN139="Ja",1,0),"")</f>
        <v/>
      </c>
      <c r="AG134" s="1" t="str">
        <f>IF(AND(Programme_Grunddaten!$A139="Geprüft",Programme_Grunddaten!AO139&lt;&gt;""),IF(Programme_Grunddaten!AO139="Ja",1,0),"")</f>
        <v/>
      </c>
      <c r="AH134" s="1" t="str">
        <f>IF(AND(Programme_Grunddaten!$A139="Geprüft",Programme_Grunddaten!AP139&lt;&gt;""),IF(Programme_Grunddaten!AP139="Ja",1,0),"")</f>
        <v/>
      </c>
      <c r="AI134" s="1" t="str">
        <f>IF(AND(Programme_Grunddaten!$A139="Geprüft",Programme_Grunddaten!AQ139&lt;&gt;""),IF(Programme_Grunddaten!AQ139="Ja",1,0),"")</f>
        <v/>
      </c>
      <c r="AJ134" s="1" t="str">
        <f>IF(AND(Programme_Grunddaten!$A139="Geprüft",Programme_Grunddaten!AR139&lt;&gt;""),IF(Programme_Grunddaten!AR139="Ja",1,0),"")</f>
        <v/>
      </c>
      <c r="AK134" s="1" t="str">
        <f>IF(AND(Programme_Grunddaten!$A139="Geprüft",Programme_Grunddaten!AS139&lt;&gt;""),IF(Programme_Grunddaten!AS139="Ja",1,0),"")</f>
        <v/>
      </c>
      <c r="AL134" s="1" t="str">
        <f>IF(AND(Programme_Grunddaten!$A139="Geprüft",Programme_Grunddaten!AT139&lt;&gt;""),IF(Programme_Grunddaten!AT139="Ja",1,0),"")</f>
        <v/>
      </c>
      <c r="AM134" s="1" t="str">
        <f>IF(AND(Programme_Grunddaten!$A139="Geprüft",Programme_Grunddaten!AU139&lt;&gt;""),IF(Programme_Grunddaten!AU139="Ja",1,0),"")</f>
        <v/>
      </c>
      <c r="AN134" s="1" t="str">
        <f>IF(AND(Programme_Grunddaten!$A139="Geprüft",Programme_Grunddaten!AV139&lt;&gt;""),IF(Programme_Grunddaten!AV139="Ja",1,0),"")</f>
        <v/>
      </c>
    </row>
    <row r="135" spans="1:40" x14ac:dyDescent="0.3">
      <c r="A135" s="1" t="str">
        <f>IF(AND(Programme_Grunddaten!A140="Geprüft",Programme_Grunddaten!B140&lt;&gt;""),Programme_Grunddaten!B140,"")</f>
        <v/>
      </c>
      <c r="B135" s="1" t="str">
        <f>IF(AND(Programme_Grunddaten!$A140="Geprüft",Programme_Grunddaten!I140&lt;&gt;""),IF(Programme_Grunddaten!I140="Ja",1,0),"")</f>
        <v/>
      </c>
      <c r="C135" s="1" t="str">
        <f>IF(AND(Programme_Grunddaten!$A140="Geprüft",Programme_Grunddaten!J140&lt;&gt;""),IF(Programme_Grunddaten!J140="Ja",1,0),"")</f>
        <v/>
      </c>
      <c r="D135" s="1" t="str">
        <f>IF(AND(Programme_Grunddaten!$A140="Geprüft",Programme_Grunddaten!K140&lt;&gt;""),IF(Programme_Grunddaten!K140="Ja",1,0),"")</f>
        <v/>
      </c>
      <c r="E135" s="1" t="str">
        <f>IF(AND(Programme_Grunddaten!$A140="Geprüft",Programme_Grunddaten!L140&lt;&gt;""),IF(Programme_Grunddaten!L140="Abo / befristete Lizenz",1,0),"")</f>
        <v/>
      </c>
      <c r="F135" s="1" t="str">
        <f>IF(AND(Programme_Grunddaten!$A140="Geprüft",Programme_Grunddaten!M140&lt;&gt;""),IF(Programme_Grunddaten!M140="Ja",1,0),"")</f>
        <v/>
      </c>
      <c r="G135" s="1" t="str">
        <f>IF(AND(Programme_Grunddaten!$A140="Geprüft",Programme_Grunddaten!N140&lt;&gt;""),IF(Programme_Grunddaten!N140="Ja",1,0),"")</f>
        <v/>
      </c>
      <c r="H135" s="1" t="str">
        <f>IF(AND(Programme_Grunddaten!$A140="Geprüft",Programme_Grunddaten!O140&lt;&gt;""),IF(Programme_Grunddaten!O140="Deutschland",0,IF(Programme_Grunddaten!O140="EU",1,2)),"")</f>
        <v/>
      </c>
      <c r="I135" s="1" t="str">
        <f>IF(AND(Programme_Grunddaten!$A140="Geprüft",Programme_Grunddaten!P140&lt;&gt;""),IF(Programme_Grunddaten!P140="Ja",1,0),"")</f>
        <v/>
      </c>
      <c r="J135" s="1" t="str">
        <f>IF(AND(Programme_Grunddaten!$A140="Geprüft",Programme_Grunddaten!Q140&lt;&gt;""),IF(Programme_Grunddaten!Q140="geschlossenes System",1,0),"")</f>
        <v/>
      </c>
      <c r="K135" s="1" t="str">
        <f>IF(AND(Programme_Grunddaten!$A140="Geprüft",Programme_Grunddaten!R140&lt;&gt;""),IF(Programme_Grunddaten!R140="Ja",1,0),"")</f>
        <v/>
      </c>
      <c r="L135" s="1" t="str">
        <f>IF(AND(Programme_Grunddaten!$A140="Geprüft",Programme_Grunddaten!T140&lt;&gt;""),IF(Programme_Grunddaten!T140="Ja",1,0),"")</f>
        <v/>
      </c>
      <c r="M135" s="1" t="str">
        <f>IF(AND(Programme_Grunddaten!$A140="Geprüft",Programme_Grunddaten!U140&lt;&gt;""),IF(Programme_Grunddaten!U140="Ja",1,0),"")</f>
        <v/>
      </c>
      <c r="N135" s="1" t="str">
        <f>IF(AND(Programme_Grunddaten!$A140="Geprüft",Programme_Grunddaten!V140&lt;&gt;""),IF(Programme_Grunddaten!V140="Ja",1,0),"")</f>
        <v/>
      </c>
      <c r="O135" s="1" t="str">
        <f>IF(AND(Programme_Grunddaten!$A140="Geprüft",Programme_Grunddaten!W140&lt;&gt;""),IF(Programme_Grunddaten!W140="Ja",1,0),"")</f>
        <v/>
      </c>
      <c r="P135" s="1" t="str">
        <f>IF(AND(Programme_Grunddaten!$A140="Geprüft",Programme_Grunddaten!X140&lt;&gt;""),IF(Programme_Grunddaten!X140="Ja",1,0),"")</f>
        <v/>
      </c>
      <c r="Q135" s="1" t="str">
        <f>IF(AND(Programme_Grunddaten!$A140="Geprüft",Programme_Grunddaten!Y140&lt;&gt;""),IF(Programme_Grunddaten!Y140="Ja",1,0),"")</f>
        <v/>
      </c>
      <c r="R135" s="1" t="str">
        <f>IF(AND(Programme_Grunddaten!$A140="Geprüft",Programme_Grunddaten!Z140&lt;&gt;""),IF(Programme_Grunddaten!Z140="Ja",1,0),"")</f>
        <v/>
      </c>
      <c r="S135" s="1" t="str">
        <f>IF(AND(Programme_Grunddaten!$A140="Geprüft",Programme_Grunddaten!AA140&lt;&gt;""),IF(Programme_Grunddaten!AA140="monolithisch",1,0),"")</f>
        <v/>
      </c>
      <c r="T135" s="1" t="str">
        <f>IF(AND(Programme_Grunddaten!$A140="Geprüft",Programme_Grunddaten!AB140&lt;&gt;""),IF(Programme_Grunddaten!AB140="Ja",1,0),"")</f>
        <v/>
      </c>
      <c r="U135" s="1" t="str">
        <f>IF(AND(Programme_Grunddaten!$A140="Geprüft",Programme_Grunddaten!AC140&lt;&gt;""),IF(Programme_Grunddaten!AC140="Ja",1,0),"")</f>
        <v/>
      </c>
      <c r="V135" s="1" t="str">
        <f>IF(AND(Programme_Grunddaten!$A140="Geprüft",Programme_Grunddaten!AD140&lt;&gt;""),IF(Programme_Grunddaten!AD140="Ja",1,0),"")</f>
        <v/>
      </c>
      <c r="W135" s="1" t="str">
        <f>IF(AND(Programme_Grunddaten!$A140="Geprüft",Programme_Grunddaten!AE140&lt;&gt;""),IF(Programme_Grunddaten!AE140="Ja",1,0),"")</f>
        <v/>
      </c>
      <c r="X135" s="1" t="str">
        <f>IF(AND(Programme_Grunddaten!$A140="Geprüft",Programme_Grunddaten!AF140&lt;&gt;""),IF(Programme_Grunddaten!AF140="Ja",1,0),"")</f>
        <v/>
      </c>
      <c r="Y135" s="1" t="str">
        <f>IF(AND(Programme_Grunddaten!$A140="Geprüft",Programme_Grunddaten!AG140&lt;&gt;""),IF(Programme_Grunddaten!AG140="Ja",1,0),"")</f>
        <v/>
      </c>
      <c r="Z135" s="1" t="str">
        <f>IF(AND(Programme_Grunddaten!$A140="Geprüft",Programme_Grunddaten!AH140&lt;&gt;""),IF(Programme_Grunddaten!AH140="Ja",1,0),"")</f>
        <v/>
      </c>
      <c r="AA135" s="1" t="str">
        <f>IF(AND(Programme_Grunddaten!$A140="Geprüft",Programme_Grunddaten!AI140&lt;&gt;""),IF(Programme_Grunddaten!AI140="Ja",1,0),"")</f>
        <v/>
      </c>
      <c r="AB135" s="1" t="str">
        <f>IF(AND(Programme_Grunddaten!$A140="Geprüft",Programme_Grunddaten!AJ140&lt;&gt;""),IF(Programme_Grunddaten!AJ140="individuell programmierbar",1,0),"")</f>
        <v/>
      </c>
      <c r="AC135" s="1" t="str">
        <f>IF(AND(Programme_Grunddaten!$A140="Geprüft",Programme_Grunddaten!AK140&lt;&gt;""),IF(Programme_Grunddaten!AK140="Deutsch",0,IF(Programme_Grunddaten!AK140="Deutsch und Englisch",1,2)),"")</f>
        <v/>
      </c>
      <c r="AD135" s="1" t="str">
        <f>IF(AND(Programme_Grunddaten!$A140="Geprüft",Programme_Grunddaten!AL140&lt;&gt;""),IF(Programme_Grunddaten!AL140="Ja",1,0),"")</f>
        <v/>
      </c>
      <c r="AE135" s="1" t="str">
        <f>IF(AND(Programme_Grunddaten!$A140="Geprüft",Programme_Grunddaten!AM140&lt;&gt;""),IF(Programme_Grunddaten!AM140="Ja",1,0),"")</f>
        <v/>
      </c>
      <c r="AF135" s="1" t="str">
        <f>IF(AND(Programme_Grunddaten!$A140="Geprüft",Programme_Grunddaten!AN140&lt;&gt;""),IF(Programme_Grunddaten!AN140="Ja",1,0),"")</f>
        <v/>
      </c>
      <c r="AG135" s="1" t="str">
        <f>IF(AND(Programme_Grunddaten!$A140="Geprüft",Programme_Grunddaten!AO140&lt;&gt;""),IF(Programme_Grunddaten!AO140="Ja",1,0),"")</f>
        <v/>
      </c>
      <c r="AH135" s="1" t="str">
        <f>IF(AND(Programme_Grunddaten!$A140="Geprüft",Programme_Grunddaten!AP140&lt;&gt;""),IF(Programme_Grunddaten!AP140="Ja",1,0),"")</f>
        <v/>
      </c>
      <c r="AI135" s="1" t="str">
        <f>IF(AND(Programme_Grunddaten!$A140="Geprüft",Programme_Grunddaten!AQ140&lt;&gt;""),IF(Programme_Grunddaten!AQ140="Ja",1,0),"")</f>
        <v/>
      </c>
      <c r="AJ135" s="1" t="str">
        <f>IF(AND(Programme_Grunddaten!$A140="Geprüft",Programme_Grunddaten!AR140&lt;&gt;""),IF(Programme_Grunddaten!AR140="Ja",1,0),"")</f>
        <v/>
      </c>
      <c r="AK135" s="1" t="str">
        <f>IF(AND(Programme_Grunddaten!$A140="Geprüft",Programme_Grunddaten!AS140&lt;&gt;""),IF(Programme_Grunddaten!AS140="Ja",1,0),"")</f>
        <v/>
      </c>
      <c r="AL135" s="1" t="str">
        <f>IF(AND(Programme_Grunddaten!$A140="Geprüft",Programme_Grunddaten!AT140&lt;&gt;""),IF(Programme_Grunddaten!AT140="Ja",1,0),"")</f>
        <v/>
      </c>
      <c r="AM135" s="1" t="str">
        <f>IF(AND(Programme_Grunddaten!$A140="Geprüft",Programme_Grunddaten!AU140&lt;&gt;""),IF(Programme_Grunddaten!AU140="Ja",1,0),"")</f>
        <v/>
      </c>
      <c r="AN135" s="1" t="str">
        <f>IF(AND(Programme_Grunddaten!$A140="Geprüft",Programme_Grunddaten!AV140&lt;&gt;""),IF(Programme_Grunddaten!AV140="Ja",1,0),"")</f>
        <v/>
      </c>
    </row>
    <row r="136" spans="1:40" x14ac:dyDescent="0.3">
      <c r="A136" s="1" t="str">
        <f>IF(AND(Programme_Grunddaten!A141="Geprüft",Programme_Grunddaten!B141&lt;&gt;""),Programme_Grunddaten!B141,"")</f>
        <v/>
      </c>
      <c r="B136" s="1" t="str">
        <f>IF(AND(Programme_Grunddaten!$A141="Geprüft",Programme_Grunddaten!I141&lt;&gt;""),IF(Programme_Grunddaten!I141="Ja",1,0),"")</f>
        <v/>
      </c>
      <c r="C136" s="1" t="str">
        <f>IF(AND(Programme_Grunddaten!$A141="Geprüft",Programme_Grunddaten!J141&lt;&gt;""),IF(Programme_Grunddaten!J141="Ja",1,0),"")</f>
        <v/>
      </c>
      <c r="D136" s="1" t="str">
        <f>IF(AND(Programme_Grunddaten!$A141="Geprüft",Programme_Grunddaten!K141&lt;&gt;""),IF(Programme_Grunddaten!K141="Ja",1,0),"")</f>
        <v/>
      </c>
      <c r="E136" s="1" t="str">
        <f>IF(AND(Programme_Grunddaten!$A141="Geprüft",Programme_Grunddaten!L141&lt;&gt;""),IF(Programme_Grunddaten!L141="Abo / befristete Lizenz",1,0),"")</f>
        <v/>
      </c>
      <c r="F136" s="1" t="str">
        <f>IF(AND(Programme_Grunddaten!$A141="Geprüft",Programme_Grunddaten!M141&lt;&gt;""),IF(Programme_Grunddaten!M141="Ja",1,0),"")</f>
        <v/>
      </c>
      <c r="G136" s="1" t="str">
        <f>IF(AND(Programme_Grunddaten!$A141="Geprüft",Programme_Grunddaten!N141&lt;&gt;""),IF(Programme_Grunddaten!N141="Ja",1,0),"")</f>
        <v/>
      </c>
      <c r="H136" s="1" t="str">
        <f>IF(AND(Programme_Grunddaten!$A141="Geprüft",Programme_Grunddaten!O141&lt;&gt;""),IF(Programme_Grunddaten!O141="Deutschland",0,IF(Programme_Grunddaten!O141="EU",1,2)),"")</f>
        <v/>
      </c>
      <c r="I136" s="1" t="str">
        <f>IF(AND(Programme_Grunddaten!$A141="Geprüft",Programme_Grunddaten!P141&lt;&gt;""),IF(Programme_Grunddaten!P141="Ja",1,0),"")</f>
        <v/>
      </c>
      <c r="J136" s="1" t="str">
        <f>IF(AND(Programme_Grunddaten!$A141="Geprüft",Programme_Grunddaten!Q141&lt;&gt;""),IF(Programme_Grunddaten!Q141="geschlossenes System",1,0),"")</f>
        <v/>
      </c>
      <c r="K136" s="1" t="str">
        <f>IF(AND(Programme_Grunddaten!$A141="Geprüft",Programme_Grunddaten!R141&lt;&gt;""),IF(Programme_Grunddaten!R141="Ja",1,0),"")</f>
        <v/>
      </c>
      <c r="L136" s="1" t="str">
        <f>IF(AND(Programme_Grunddaten!$A141="Geprüft",Programme_Grunddaten!T141&lt;&gt;""),IF(Programme_Grunddaten!T141="Ja",1,0),"")</f>
        <v/>
      </c>
      <c r="M136" s="1" t="str">
        <f>IF(AND(Programme_Grunddaten!$A141="Geprüft",Programme_Grunddaten!U141&lt;&gt;""),IF(Programme_Grunddaten!U141="Ja",1,0),"")</f>
        <v/>
      </c>
      <c r="N136" s="1" t="str">
        <f>IF(AND(Programme_Grunddaten!$A141="Geprüft",Programme_Grunddaten!V141&lt;&gt;""),IF(Programme_Grunddaten!V141="Ja",1,0),"")</f>
        <v/>
      </c>
      <c r="O136" s="1" t="str">
        <f>IF(AND(Programme_Grunddaten!$A141="Geprüft",Programme_Grunddaten!W141&lt;&gt;""),IF(Programme_Grunddaten!W141="Ja",1,0),"")</f>
        <v/>
      </c>
      <c r="P136" s="1" t="str">
        <f>IF(AND(Programme_Grunddaten!$A141="Geprüft",Programme_Grunddaten!X141&lt;&gt;""),IF(Programme_Grunddaten!X141="Ja",1,0),"")</f>
        <v/>
      </c>
      <c r="Q136" s="1" t="str">
        <f>IF(AND(Programme_Grunddaten!$A141="Geprüft",Programme_Grunddaten!Y141&lt;&gt;""),IF(Programme_Grunddaten!Y141="Ja",1,0),"")</f>
        <v/>
      </c>
      <c r="R136" s="1" t="str">
        <f>IF(AND(Programme_Grunddaten!$A141="Geprüft",Programme_Grunddaten!Z141&lt;&gt;""),IF(Programme_Grunddaten!Z141="Ja",1,0),"")</f>
        <v/>
      </c>
      <c r="S136" s="1" t="str">
        <f>IF(AND(Programme_Grunddaten!$A141="Geprüft",Programme_Grunddaten!AA141&lt;&gt;""),IF(Programme_Grunddaten!AA141="monolithisch",1,0),"")</f>
        <v/>
      </c>
      <c r="T136" s="1" t="str">
        <f>IF(AND(Programme_Grunddaten!$A141="Geprüft",Programme_Grunddaten!AB141&lt;&gt;""),IF(Programme_Grunddaten!AB141="Ja",1,0),"")</f>
        <v/>
      </c>
      <c r="U136" s="1" t="str">
        <f>IF(AND(Programme_Grunddaten!$A141="Geprüft",Programme_Grunddaten!AC141&lt;&gt;""),IF(Programme_Grunddaten!AC141="Ja",1,0),"")</f>
        <v/>
      </c>
      <c r="V136" s="1" t="str">
        <f>IF(AND(Programme_Grunddaten!$A141="Geprüft",Programme_Grunddaten!AD141&lt;&gt;""),IF(Programme_Grunddaten!AD141="Ja",1,0),"")</f>
        <v/>
      </c>
      <c r="W136" s="1" t="str">
        <f>IF(AND(Programme_Grunddaten!$A141="Geprüft",Programme_Grunddaten!AE141&lt;&gt;""),IF(Programme_Grunddaten!AE141="Ja",1,0),"")</f>
        <v/>
      </c>
      <c r="X136" s="1" t="str">
        <f>IF(AND(Programme_Grunddaten!$A141="Geprüft",Programme_Grunddaten!AF141&lt;&gt;""),IF(Programme_Grunddaten!AF141="Ja",1,0),"")</f>
        <v/>
      </c>
      <c r="Y136" s="1" t="str">
        <f>IF(AND(Programme_Grunddaten!$A141="Geprüft",Programme_Grunddaten!AG141&lt;&gt;""),IF(Programme_Grunddaten!AG141="Ja",1,0),"")</f>
        <v/>
      </c>
      <c r="Z136" s="1" t="str">
        <f>IF(AND(Programme_Grunddaten!$A141="Geprüft",Programme_Grunddaten!AH141&lt;&gt;""),IF(Programme_Grunddaten!AH141="Ja",1,0),"")</f>
        <v/>
      </c>
      <c r="AA136" s="1" t="str">
        <f>IF(AND(Programme_Grunddaten!$A141="Geprüft",Programme_Grunddaten!AI141&lt;&gt;""),IF(Programme_Grunddaten!AI141="Ja",1,0),"")</f>
        <v/>
      </c>
      <c r="AB136" s="1" t="str">
        <f>IF(AND(Programme_Grunddaten!$A141="Geprüft",Programme_Grunddaten!AJ141&lt;&gt;""),IF(Programme_Grunddaten!AJ141="individuell programmierbar",1,0),"")</f>
        <v/>
      </c>
      <c r="AC136" s="1" t="str">
        <f>IF(AND(Programme_Grunddaten!$A141="Geprüft",Programme_Grunddaten!AK141&lt;&gt;""),IF(Programme_Grunddaten!AK141="Deutsch",0,IF(Programme_Grunddaten!AK141="Deutsch und Englisch",1,2)),"")</f>
        <v/>
      </c>
      <c r="AD136" s="1" t="str">
        <f>IF(AND(Programme_Grunddaten!$A141="Geprüft",Programme_Grunddaten!AL141&lt;&gt;""),IF(Programme_Grunddaten!AL141="Ja",1,0),"")</f>
        <v/>
      </c>
      <c r="AE136" s="1" t="str">
        <f>IF(AND(Programme_Grunddaten!$A141="Geprüft",Programme_Grunddaten!AM141&lt;&gt;""),IF(Programme_Grunddaten!AM141="Ja",1,0),"")</f>
        <v/>
      </c>
      <c r="AF136" s="1" t="str">
        <f>IF(AND(Programme_Grunddaten!$A141="Geprüft",Programme_Grunddaten!AN141&lt;&gt;""),IF(Programme_Grunddaten!AN141="Ja",1,0),"")</f>
        <v/>
      </c>
      <c r="AG136" s="1" t="str">
        <f>IF(AND(Programme_Grunddaten!$A141="Geprüft",Programme_Grunddaten!AO141&lt;&gt;""),IF(Programme_Grunddaten!AO141="Ja",1,0),"")</f>
        <v/>
      </c>
      <c r="AH136" s="1" t="str">
        <f>IF(AND(Programme_Grunddaten!$A141="Geprüft",Programme_Grunddaten!AP141&lt;&gt;""),IF(Programme_Grunddaten!AP141="Ja",1,0),"")</f>
        <v/>
      </c>
      <c r="AI136" s="1" t="str">
        <f>IF(AND(Programme_Grunddaten!$A141="Geprüft",Programme_Grunddaten!AQ141&lt;&gt;""),IF(Programme_Grunddaten!AQ141="Ja",1,0),"")</f>
        <v/>
      </c>
      <c r="AJ136" s="1" t="str">
        <f>IF(AND(Programme_Grunddaten!$A141="Geprüft",Programme_Grunddaten!AR141&lt;&gt;""),IF(Programme_Grunddaten!AR141="Ja",1,0),"")</f>
        <v/>
      </c>
      <c r="AK136" s="1" t="str">
        <f>IF(AND(Programme_Grunddaten!$A141="Geprüft",Programme_Grunddaten!AS141&lt;&gt;""),IF(Programme_Grunddaten!AS141="Ja",1,0),"")</f>
        <v/>
      </c>
      <c r="AL136" s="1" t="str">
        <f>IF(AND(Programme_Grunddaten!$A141="Geprüft",Programme_Grunddaten!AT141&lt;&gt;""),IF(Programme_Grunddaten!AT141="Ja",1,0),"")</f>
        <v/>
      </c>
      <c r="AM136" s="1" t="str">
        <f>IF(AND(Programme_Grunddaten!$A141="Geprüft",Programme_Grunddaten!AU141&lt;&gt;""),IF(Programme_Grunddaten!AU141="Ja",1,0),"")</f>
        <v/>
      </c>
      <c r="AN136" s="1" t="str">
        <f>IF(AND(Programme_Grunddaten!$A141="Geprüft",Programme_Grunddaten!AV141&lt;&gt;""),IF(Programme_Grunddaten!AV141="Ja",1,0),"")</f>
        <v/>
      </c>
    </row>
    <row r="137" spans="1:40" x14ac:dyDescent="0.3">
      <c r="A137" s="1" t="str">
        <f>IF(AND(Programme_Grunddaten!A142="Geprüft",Programme_Grunddaten!B142&lt;&gt;""),Programme_Grunddaten!B142,"")</f>
        <v/>
      </c>
      <c r="B137" s="1" t="str">
        <f>IF(AND(Programme_Grunddaten!$A142="Geprüft",Programme_Grunddaten!I142&lt;&gt;""),IF(Programme_Grunddaten!I142="Ja",1,0),"")</f>
        <v/>
      </c>
      <c r="C137" s="1" t="str">
        <f>IF(AND(Programme_Grunddaten!$A142="Geprüft",Programme_Grunddaten!J142&lt;&gt;""),IF(Programme_Grunddaten!J142="Ja",1,0),"")</f>
        <v/>
      </c>
      <c r="D137" s="1" t="str">
        <f>IF(AND(Programme_Grunddaten!$A142="Geprüft",Programme_Grunddaten!K142&lt;&gt;""),IF(Programme_Grunddaten!K142="Ja",1,0),"")</f>
        <v/>
      </c>
      <c r="E137" s="1" t="str">
        <f>IF(AND(Programme_Grunddaten!$A142="Geprüft",Programme_Grunddaten!L142&lt;&gt;""),IF(Programme_Grunddaten!L142="Abo / befristete Lizenz",1,0),"")</f>
        <v/>
      </c>
      <c r="F137" s="1" t="str">
        <f>IF(AND(Programme_Grunddaten!$A142="Geprüft",Programme_Grunddaten!M142&lt;&gt;""),IF(Programme_Grunddaten!M142="Ja",1,0),"")</f>
        <v/>
      </c>
      <c r="G137" s="1" t="str">
        <f>IF(AND(Programme_Grunddaten!$A142="Geprüft",Programme_Grunddaten!N142&lt;&gt;""),IF(Programme_Grunddaten!N142="Ja",1,0),"")</f>
        <v/>
      </c>
      <c r="H137" s="1" t="str">
        <f>IF(AND(Programme_Grunddaten!$A142="Geprüft",Programme_Grunddaten!O142&lt;&gt;""),IF(Programme_Grunddaten!O142="Deutschland",0,IF(Programme_Grunddaten!O142="EU",1,2)),"")</f>
        <v/>
      </c>
      <c r="I137" s="1" t="str">
        <f>IF(AND(Programme_Grunddaten!$A142="Geprüft",Programme_Grunddaten!P142&lt;&gt;""),IF(Programme_Grunddaten!P142="Ja",1,0),"")</f>
        <v/>
      </c>
      <c r="J137" s="1" t="str">
        <f>IF(AND(Programme_Grunddaten!$A142="Geprüft",Programme_Grunddaten!Q142&lt;&gt;""),IF(Programme_Grunddaten!Q142="geschlossenes System",1,0),"")</f>
        <v/>
      </c>
      <c r="K137" s="1" t="str">
        <f>IF(AND(Programme_Grunddaten!$A142="Geprüft",Programme_Grunddaten!R142&lt;&gt;""),IF(Programme_Grunddaten!R142="Ja",1,0),"")</f>
        <v/>
      </c>
      <c r="L137" s="1" t="str">
        <f>IF(AND(Programme_Grunddaten!$A142="Geprüft",Programme_Grunddaten!T142&lt;&gt;""),IF(Programme_Grunddaten!T142="Ja",1,0),"")</f>
        <v/>
      </c>
      <c r="M137" s="1" t="str">
        <f>IF(AND(Programme_Grunddaten!$A142="Geprüft",Programme_Grunddaten!U142&lt;&gt;""),IF(Programme_Grunddaten!U142="Ja",1,0),"")</f>
        <v/>
      </c>
      <c r="N137" s="1" t="str">
        <f>IF(AND(Programme_Grunddaten!$A142="Geprüft",Programme_Grunddaten!V142&lt;&gt;""),IF(Programme_Grunddaten!V142="Ja",1,0),"")</f>
        <v/>
      </c>
      <c r="O137" s="1" t="str">
        <f>IF(AND(Programme_Grunddaten!$A142="Geprüft",Programme_Grunddaten!W142&lt;&gt;""),IF(Programme_Grunddaten!W142="Ja",1,0),"")</f>
        <v/>
      </c>
      <c r="P137" s="1" t="str">
        <f>IF(AND(Programme_Grunddaten!$A142="Geprüft",Programme_Grunddaten!X142&lt;&gt;""),IF(Programme_Grunddaten!X142="Ja",1,0),"")</f>
        <v/>
      </c>
      <c r="Q137" s="1" t="str">
        <f>IF(AND(Programme_Grunddaten!$A142="Geprüft",Programme_Grunddaten!Y142&lt;&gt;""),IF(Programme_Grunddaten!Y142="Ja",1,0),"")</f>
        <v/>
      </c>
      <c r="R137" s="1" t="str">
        <f>IF(AND(Programme_Grunddaten!$A142="Geprüft",Programme_Grunddaten!Z142&lt;&gt;""),IF(Programme_Grunddaten!Z142="Ja",1,0),"")</f>
        <v/>
      </c>
      <c r="S137" s="1" t="str">
        <f>IF(AND(Programme_Grunddaten!$A142="Geprüft",Programme_Grunddaten!AA142&lt;&gt;""),IF(Programme_Grunddaten!AA142="monolithisch",1,0),"")</f>
        <v/>
      </c>
      <c r="T137" s="1" t="str">
        <f>IF(AND(Programme_Grunddaten!$A142="Geprüft",Programme_Grunddaten!AB142&lt;&gt;""),IF(Programme_Grunddaten!AB142="Ja",1,0),"")</f>
        <v/>
      </c>
      <c r="U137" s="1" t="str">
        <f>IF(AND(Programme_Grunddaten!$A142="Geprüft",Programme_Grunddaten!AC142&lt;&gt;""),IF(Programme_Grunddaten!AC142="Ja",1,0),"")</f>
        <v/>
      </c>
      <c r="V137" s="1" t="str">
        <f>IF(AND(Programme_Grunddaten!$A142="Geprüft",Programme_Grunddaten!AD142&lt;&gt;""),IF(Programme_Grunddaten!AD142="Ja",1,0),"")</f>
        <v/>
      </c>
      <c r="W137" s="1" t="str">
        <f>IF(AND(Programme_Grunddaten!$A142="Geprüft",Programme_Grunddaten!AE142&lt;&gt;""),IF(Programme_Grunddaten!AE142="Ja",1,0),"")</f>
        <v/>
      </c>
      <c r="X137" s="1" t="str">
        <f>IF(AND(Programme_Grunddaten!$A142="Geprüft",Programme_Grunddaten!AF142&lt;&gt;""),IF(Programme_Grunddaten!AF142="Ja",1,0),"")</f>
        <v/>
      </c>
      <c r="Y137" s="1" t="str">
        <f>IF(AND(Programme_Grunddaten!$A142="Geprüft",Programme_Grunddaten!AG142&lt;&gt;""),IF(Programme_Grunddaten!AG142="Ja",1,0),"")</f>
        <v/>
      </c>
      <c r="Z137" s="1" t="str">
        <f>IF(AND(Programme_Grunddaten!$A142="Geprüft",Programme_Grunddaten!AH142&lt;&gt;""),IF(Programme_Grunddaten!AH142="Ja",1,0),"")</f>
        <v/>
      </c>
      <c r="AA137" s="1" t="str">
        <f>IF(AND(Programme_Grunddaten!$A142="Geprüft",Programme_Grunddaten!AI142&lt;&gt;""),IF(Programme_Grunddaten!AI142="Ja",1,0),"")</f>
        <v/>
      </c>
      <c r="AB137" s="1" t="str">
        <f>IF(AND(Programme_Grunddaten!$A142="Geprüft",Programme_Grunddaten!AJ142&lt;&gt;""),IF(Programme_Grunddaten!AJ142="individuell programmierbar",1,0),"")</f>
        <v/>
      </c>
      <c r="AC137" s="1" t="str">
        <f>IF(AND(Programme_Grunddaten!$A142="Geprüft",Programme_Grunddaten!AK142&lt;&gt;""),IF(Programme_Grunddaten!AK142="Deutsch",0,IF(Programme_Grunddaten!AK142="Deutsch und Englisch",1,2)),"")</f>
        <v/>
      </c>
      <c r="AD137" s="1" t="str">
        <f>IF(AND(Programme_Grunddaten!$A142="Geprüft",Programme_Grunddaten!AL142&lt;&gt;""),IF(Programme_Grunddaten!AL142="Ja",1,0),"")</f>
        <v/>
      </c>
      <c r="AE137" s="1" t="str">
        <f>IF(AND(Programme_Grunddaten!$A142="Geprüft",Programme_Grunddaten!AM142&lt;&gt;""),IF(Programme_Grunddaten!AM142="Ja",1,0),"")</f>
        <v/>
      </c>
      <c r="AF137" s="1" t="str">
        <f>IF(AND(Programme_Grunddaten!$A142="Geprüft",Programme_Grunddaten!AN142&lt;&gt;""),IF(Programme_Grunddaten!AN142="Ja",1,0),"")</f>
        <v/>
      </c>
      <c r="AG137" s="1" t="str">
        <f>IF(AND(Programme_Grunddaten!$A142="Geprüft",Programme_Grunddaten!AO142&lt;&gt;""),IF(Programme_Grunddaten!AO142="Ja",1,0),"")</f>
        <v/>
      </c>
      <c r="AH137" s="1" t="str">
        <f>IF(AND(Programme_Grunddaten!$A142="Geprüft",Programme_Grunddaten!AP142&lt;&gt;""),IF(Programme_Grunddaten!AP142="Ja",1,0),"")</f>
        <v/>
      </c>
      <c r="AI137" s="1" t="str">
        <f>IF(AND(Programme_Grunddaten!$A142="Geprüft",Programme_Grunddaten!AQ142&lt;&gt;""),IF(Programme_Grunddaten!AQ142="Ja",1,0),"")</f>
        <v/>
      </c>
      <c r="AJ137" s="1" t="str">
        <f>IF(AND(Programme_Grunddaten!$A142="Geprüft",Programme_Grunddaten!AR142&lt;&gt;""),IF(Programme_Grunddaten!AR142="Ja",1,0),"")</f>
        <v/>
      </c>
      <c r="AK137" s="1" t="str">
        <f>IF(AND(Programme_Grunddaten!$A142="Geprüft",Programme_Grunddaten!AS142&lt;&gt;""),IF(Programme_Grunddaten!AS142="Ja",1,0),"")</f>
        <v/>
      </c>
      <c r="AL137" s="1" t="str">
        <f>IF(AND(Programme_Grunddaten!$A142="Geprüft",Programme_Grunddaten!AT142&lt;&gt;""),IF(Programme_Grunddaten!AT142="Ja",1,0),"")</f>
        <v/>
      </c>
      <c r="AM137" s="1" t="str">
        <f>IF(AND(Programme_Grunddaten!$A142="Geprüft",Programme_Grunddaten!AU142&lt;&gt;""),IF(Programme_Grunddaten!AU142="Ja",1,0),"")</f>
        <v/>
      </c>
      <c r="AN137" s="1" t="str">
        <f>IF(AND(Programme_Grunddaten!$A142="Geprüft",Programme_Grunddaten!AV142&lt;&gt;""),IF(Programme_Grunddaten!AV142="Ja",1,0),"")</f>
        <v/>
      </c>
    </row>
    <row r="138" spans="1:40" x14ac:dyDescent="0.3">
      <c r="A138" s="1" t="str">
        <f>IF(AND(Programme_Grunddaten!A143="Geprüft",Programme_Grunddaten!B143&lt;&gt;""),Programme_Grunddaten!B143,"")</f>
        <v/>
      </c>
      <c r="B138" s="1" t="str">
        <f>IF(AND(Programme_Grunddaten!$A143="Geprüft",Programme_Grunddaten!I143&lt;&gt;""),IF(Programme_Grunddaten!I143="Ja",1,0),"")</f>
        <v/>
      </c>
      <c r="C138" s="1" t="str">
        <f>IF(AND(Programme_Grunddaten!$A143="Geprüft",Programme_Grunddaten!J143&lt;&gt;""),IF(Programme_Grunddaten!J143="Ja",1,0),"")</f>
        <v/>
      </c>
      <c r="D138" s="1" t="str">
        <f>IF(AND(Programme_Grunddaten!$A143="Geprüft",Programme_Grunddaten!K143&lt;&gt;""),IF(Programme_Grunddaten!K143="Ja",1,0),"")</f>
        <v/>
      </c>
      <c r="E138" s="1" t="str">
        <f>IF(AND(Programme_Grunddaten!$A143="Geprüft",Programme_Grunddaten!L143&lt;&gt;""),IF(Programme_Grunddaten!L143="Abo / befristete Lizenz",1,0),"")</f>
        <v/>
      </c>
      <c r="F138" s="1" t="str">
        <f>IF(AND(Programme_Grunddaten!$A143="Geprüft",Programme_Grunddaten!M143&lt;&gt;""),IF(Programme_Grunddaten!M143="Ja",1,0),"")</f>
        <v/>
      </c>
      <c r="G138" s="1" t="str">
        <f>IF(AND(Programme_Grunddaten!$A143="Geprüft",Programme_Grunddaten!N143&lt;&gt;""),IF(Programme_Grunddaten!N143="Ja",1,0),"")</f>
        <v/>
      </c>
      <c r="H138" s="1" t="str">
        <f>IF(AND(Programme_Grunddaten!$A143="Geprüft",Programme_Grunddaten!O143&lt;&gt;""),IF(Programme_Grunddaten!O143="Deutschland",0,IF(Programme_Grunddaten!O143="EU",1,2)),"")</f>
        <v/>
      </c>
      <c r="I138" s="1" t="str">
        <f>IF(AND(Programme_Grunddaten!$A143="Geprüft",Programme_Grunddaten!P143&lt;&gt;""),IF(Programme_Grunddaten!P143="Ja",1,0),"")</f>
        <v/>
      </c>
      <c r="J138" s="1" t="str">
        <f>IF(AND(Programme_Grunddaten!$A143="Geprüft",Programme_Grunddaten!Q143&lt;&gt;""),IF(Programme_Grunddaten!Q143="geschlossenes System",1,0),"")</f>
        <v/>
      </c>
      <c r="K138" s="1" t="str">
        <f>IF(AND(Programme_Grunddaten!$A143="Geprüft",Programme_Grunddaten!R143&lt;&gt;""),IF(Programme_Grunddaten!R143="Ja",1,0),"")</f>
        <v/>
      </c>
      <c r="L138" s="1" t="str">
        <f>IF(AND(Programme_Grunddaten!$A143="Geprüft",Programme_Grunddaten!T143&lt;&gt;""),IF(Programme_Grunddaten!T143="Ja",1,0),"")</f>
        <v/>
      </c>
      <c r="M138" s="1" t="str">
        <f>IF(AND(Programme_Grunddaten!$A143="Geprüft",Programme_Grunddaten!U143&lt;&gt;""),IF(Programme_Grunddaten!U143="Ja",1,0),"")</f>
        <v/>
      </c>
      <c r="N138" s="1" t="str">
        <f>IF(AND(Programme_Grunddaten!$A143="Geprüft",Programme_Grunddaten!V143&lt;&gt;""),IF(Programme_Grunddaten!V143="Ja",1,0),"")</f>
        <v/>
      </c>
      <c r="O138" s="1" t="str">
        <f>IF(AND(Programme_Grunddaten!$A143="Geprüft",Programme_Grunddaten!W143&lt;&gt;""),IF(Programme_Grunddaten!W143="Ja",1,0),"")</f>
        <v/>
      </c>
      <c r="P138" s="1" t="str">
        <f>IF(AND(Programme_Grunddaten!$A143="Geprüft",Programme_Grunddaten!X143&lt;&gt;""),IF(Programme_Grunddaten!X143="Ja",1,0),"")</f>
        <v/>
      </c>
      <c r="Q138" s="1" t="str">
        <f>IF(AND(Programme_Grunddaten!$A143="Geprüft",Programme_Grunddaten!Y143&lt;&gt;""),IF(Programme_Grunddaten!Y143="Ja",1,0),"")</f>
        <v/>
      </c>
      <c r="R138" s="1" t="str">
        <f>IF(AND(Programme_Grunddaten!$A143="Geprüft",Programme_Grunddaten!Z143&lt;&gt;""),IF(Programme_Grunddaten!Z143="Ja",1,0),"")</f>
        <v/>
      </c>
      <c r="S138" s="1" t="str">
        <f>IF(AND(Programme_Grunddaten!$A143="Geprüft",Programme_Grunddaten!AA143&lt;&gt;""),IF(Programme_Grunddaten!AA143="monolithisch",1,0),"")</f>
        <v/>
      </c>
      <c r="T138" s="1" t="str">
        <f>IF(AND(Programme_Grunddaten!$A143="Geprüft",Programme_Grunddaten!AB143&lt;&gt;""),IF(Programme_Grunddaten!AB143="Ja",1,0),"")</f>
        <v/>
      </c>
      <c r="U138" s="1" t="str">
        <f>IF(AND(Programme_Grunddaten!$A143="Geprüft",Programme_Grunddaten!AC143&lt;&gt;""),IF(Programme_Grunddaten!AC143="Ja",1,0),"")</f>
        <v/>
      </c>
      <c r="V138" s="1" t="str">
        <f>IF(AND(Programme_Grunddaten!$A143="Geprüft",Programme_Grunddaten!AD143&lt;&gt;""),IF(Programme_Grunddaten!AD143="Ja",1,0),"")</f>
        <v/>
      </c>
      <c r="W138" s="1" t="str">
        <f>IF(AND(Programme_Grunddaten!$A143="Geprüft",Programme_Grunddaten!AE143&lt;&gt;""),IF(Programme_Grunddaten!AE143="Ja",1,0),"")</f>
        <v/>
      </c>
      <c r="X138" s="1" t="str">
        <f>IF(AND(Programme_Grunddaten!$A143="Geprüft",Programme_Grunddaten!AF143&lt;&gt;""),IF(Programme_Grunddaten!AF143="Ja",1,0),"")</f>
        <v/>
      </c>
      <c r="Y138" s="1" t="str">
        <f>IF(AND(Programme_Grunddaten!$A143="Geprüft",Programme_Grunddaten!AG143&lt;&gt;""),IF(Programme_Grunddaten!AG143="Ja",1,0),"")</f>
        <v/>
      </c>
      <c r="Z138" s="1" t="str">
        <f>IF(AND(Programme_Grunddaten!$A143="Geprüft",Programme_Grunddaten!AH143&lt;&gt;""),IF(Programme_Grunddaten!AH143="Ja",1,0),"")</f>
        <v/>
      </c>
      <c r="AA138" s="1" t="str">
        <f>IF(AND(Programme_Grunddaten!$A143="Geprüft",Programme_Grunddaten!AI143&lt;&gt;""),IF(Programme_Grunddaten!AI143="Ja",1,0),"")</f>
        <v/>
      </c>
      <c r="AB138" s="1" t="str">
        <f>IF(AND(Programme_Grunddaten!$A143="Geprüft",Programme_Grunddaten!AJ143&lt;&gt;""),IF(Programme_Grunddaten!AJ143="individuell programmierbar",1,0),"")</f>
        <v/>
      </c>
      <c r="AC138" s="1" t="str">
        <f>IF(AND(Programme_Grunddaten!$A143="Geprüft",Programme_Grunddaten!AK143&lt;&gt;""),IF(Programme_Grunddaten!AK143="Deutsch",0,IF(Programme_Grunddaten!AK143="Deutsch und Englisch",1,2)),"")</f>
        <v/>
      </c>
      <c r="AD138" s="1" t="str">
        <f>IF(AND(Programme_Grunddaten!$A143="Geprüft",Programme_Grunddaten!AL143&lt;&gt;""),IF(Programme_Grunddaten!AL143="Ja",1,0),"")</f>
        <v/>
      </c>
      <c r="AE138" s="1" t="str">
        <f>IF(AND(Programme_Grunddaten!$A143="Geprüft",Programme_Grunddaten!AM143&lt;&gt;""),IF(Programme_Grunddaten!AM143="Ja",1,0),"")</f>
        <v/>
      </c>
      <c r="AF138" s="1" t="str">
        <f>IF(AND(Programme_Grunddaten!$A143="Geprüft",Programme_Grunddaten!AN143&lt;&gt;""),IF(Programme_Grunddaten!AN143="Ja",1,0),"")</f>
        <v/>
      </c>
      <c r="AG138" s="1" t="str">
        <f>IF(AND(Programme_Grunddaten!$A143="Geprüft",Programme_Grunddaten!AO143&lt;&gt;""),IF(Programme_Grunddaten!AO143="Ja",1,0),"")</f>
        <v/>
      </c>
      <c r="AH138" s="1" t="str">
        <f>IF(AND(Programme_Grunddaten!$A143="Geprüft",Programme_Grunddaten!AP143&lt;&gt;""),IF(Programme_Grunddaten!AP143="Ja",1,0),"")</f>
        <v/>
      </c>
      <c r="AI138" s="1" t="str">
        <f>IF(AND(Programme_Grunddaten!$A143="Geprüft",Programme_Grunddaten!AQ143&lt;&gt;""),IF(Programme_Grunddaten!AQ143="Ja",1,0),"")</f>
        <v/>
      </c>
      <c r="AJ138" s="1" t="str">
        <f>IF(AND(Programme_Grunddaten!$A143="Geprüft",Programme_Grunddaten!AR143&lt;&gt;""),IF(Programme_Grunddaten!AR143="Ja",1,0),"")</f>
        <v/>
      </c>
      <c r="AK138" s="1" t="str">
        <f>IF(AND(Programme_Grunddaten!$A143="Geprüft",Programme_Grunddaten!AS143&lt;&gt;""),IF(Programme_Grunddaten!AS143="Ja",1,0),"")</f>
        <v/>
      </c>
      <c r="AL138" s="1" t="str">
        <f>IF(AND(Programme_Grunddaten!$A143="Geprüft",Programme_Grunddaten!AT143&lt;&gt;""),IF(Programme_Grunddaten!AT143="Ja",1,0),"")</f>
        <v/>
      </c>
      <c r="AM138" s="1" t="str">
        <f>IF(AND(Programme_Grunddaten!$A143="Geprüft",Programme_Grunddaten!AU143&lt;&gt;""),IF(Programme_Grunddaten!AU143="Ja",1,0),"")</f>
        <v/>
      </c>
      <c r="AN138" s="1" t="str">
        <f>IF(AND(Programme_Grunddaten!$A143="Geprüft",Programme_Grunddaten!AV143&lt;&gt;""),IF(Programme_Grunddaten!AV143="Ja",1,0),"")</f>
        <v/>
      </c>
    </row>
    <row r="139" spans="1:40" x14ac:dyDescent="0.3">
      <c r="A139" s="1" t="str">
        <f>IF(AND(Programme_Grunddaten!A144="Geprüft",Programme_Grunddaten!B144&lt;&gt;""),Programme_Grunddaten!B144,"")</f>
        <v/>
      </c>
      <c r="B139" s="1" t="str">
        <f>IF(AND(Programme_Grunddaten!$A144="Geprüft",Programme_Grunddaten!I144&lt;&gt;""),IF(Programme_Grunddaten!I144="Ja",1,0),"")</f>
        <v/>
      </c>
      <c r="C139" s="1" t="str">
        <f>IF(AND(Programme_Grunddaten!$A144="Geprüft",Programme_Grunddaten!J144&lt;&gt;""),IF(Programme_Grunddaten!J144="Ja",1,0),"")</f>
        <v/>
      </c>
      <c r="D139" s="1" t="str">
        <f>IF(AND(Programme_Grunddaten!$A144="Geprüft",Programme_Grunddaten!K144&lt;&gt;""),IF(Programme_Grunddaten!K144="Ja",1,0),"")</f>
        <v/>
      </c>
      <c r="E139" s="1" t="str">
        <f>IF(AND(Programme_Grunddaten!$A144="Geprüft",Programme_Grunddaten!L144&lt;&gt;""),IF(Programme_Grunddaten!L144="Abo / befristete Lizenz",1,0),"")</f>
        <v/>
      </c>
      <c r="F139" s="1" t="str">
        <f>IF(AND(Programme_Grunddaten!$A144="Geprüft",Programme_Grunddaten!M144&lt;&gt;""),IF(Programme_Grunddaten!M144="Ja",1,0),"")</f>
        <v/>
      </c>
      <c r="G139" s="1" t="str">
        <f>IF(AND(Programme_Grunddaten!$A144="Geprüft",Programme_Grunddaten!N144&lt;&gt;""),IF(Programme_Grunddaten!N144="Ja",1,0),"")</f>
        <v/>
      </c>
      <c r="H139" s="1" t="str">
        <f>IF(AND(Programme_Grunddaten!$A144="Geprüft",Programme_Grunddaten!O144&lt;&gt;""),IF(Programme_Grunddaten!O144="Deutschland",0,IF(Programme_Grunddaten!O144="EU",1,2)),"")</f>
        <v/>
      </c>
      <c r="I139" s="1" t="str">
        <f>IF(AND(Programme_Grunddaten!$A144="Geprüft",Programme_Grunddaten!P144&lt;&gt;""),IF(Programme_Grunddaten!P144="Ja",1,0),"")</f>
        <v/>
      </c>
      <c r="J139" s="1" t="str">
        <f>IF(AND(Programme_Grunddaten!$A144="Geprüft",Programme_Grunddaten!Q144&lt;&gt;""),IF(Programme_Grunddaten!Q144="geschlossenes System",1,0),"")</f>
        <v/>
      </c>
      <c r="K139" s="1" t="str">
        <f>IF(AND(Programme_Grunddaten!$A144="Geprüft",Programme_Grunddaten!R144&lt;&gt;""),IF(Programme_Grunddaten!R144="Ja",1,0),"")</f>
        <v/>
      </c>
      <c r="L139" s="1" t="str">
        <f>IF(AND(Programme_Grunddaten!$A144="Geprüft",Programme_Grunddaten!T144&lt;&gt;""),IF(Programme_Grunddaten!T144="Ja",1,0),"")</f>
        <v/>
      </c>
      <c r="M139" s="1" t="str">
        <f>IF(AND(Programme_Grunddaten!$A144="Geprüft",Programme_Grunddaten!U144&lt;&gt;""),IF(Programme_Grunddaten!U144="Ja",1,0),"")</f>
        <v/>
      </c>
      <c r="N139" s="1" t="str">
        <f>IF(AND(Programme_Grunddaten!$A144="Geprüft",Programme_Grunddaten!V144&lt;&gt;""),IF(Programme_Grunddaten!V144="Ja",1,0),"")</f>
        <v/>
      </c>
      <c r="O139" s="1" t="str">
        <f>IF(AND(Programme_Grunddaten!$A144="Geprüft",Programme_Grunddaten!W144&lt;&gt;""),IF(Programme_Grunddaten!W144="Ja",1,0),"")</f>
        <v/>
      </c>
      <c r="P139" s="1" t="str">
        <f>IF(AND(Programme_Grunddaten!$A144="Geprüft",Programme_Grunddaten!X144&lt;&gt;""),IF(Programme_Grunddaten!X144="Ja",1,0),"")</f>
        <v/>
      </c>
      <c r="Q139" s="1" t="str">
        <f>IF(AND(Programme_Grunddaten!$A144="Geprüft",Programme_Grunddaten!Y144&lt;&gt;""),IF(Programme_Grunddaten!Y144="Ja",1,0),"")</f>
        <v/>
      </c>
      <c r="R139" s="1" t="str">
        <f>IF(AND(Programme_Grunddaten!$A144="Geprüft",Programme_Grunddaten!Z144&lt;&gt;""),IF(Programme_Grunddaten!Z144="Ja",1,0),"")</f>
        <v/>
      </c>
      <c r="S139" s="1" t="str">
        <f>IF(AND(Programme_Grunddaten!$A144="Geprüft",Programme_Grunddaten!AA144&lt;&gt;""),IF(Programme_Grunddaten!AA144="monolithisch",1,0),"")</f>
        <v/>
      </c>
      <c r="T139" s="1" t="str">
        <f>IF(AND(Programme_Grunddaten!$A144="Geprüft",Programme_Grunddaten!AB144&lt;&gt;""),IF(Programme_Grunddaten!AB144="Ja",1,0),"")</f>
        <v/>
      </c>
      <c r="U139" s="1" t="str">
        <f>IF(AND(Programme_Grunddaten!$A144="Geprüft",Programme_Grunddaten!AC144&lt;&gt;""),IF(Programme_Grunddaten!AC144="Ja",1,0),"")</f>
        <v/>
      </c>
      <c r="V139" s="1" t="str">
        <f>IF(AND(Programme_Grunddaten!$A144="Geprüft",Programme_Grunddaten!AD144&lt;&gt;""),IF(Programme_Grunddaten!AD144="Ja",1,0),"")</f>
        <v/>
      </c>
      <c r="W139" s="1" t="str">
        <f>IF(AND(Programme_Grunddaten!$A144="Geprüft",Programme_Grunddaten!AE144&lt;&gt;""),IF(Programme_Grunddaten!AE144="Ja",1,0),"")</f>
        <v/>
      </c>
      <c r="X139" s="1" t="str">
        <f>IF(AND(Programme_Grunddaten!$A144="Geprüft",Programme_Grunddaten!AF144&lt;&gt;""),IF(Programme_Grunddaten!AF144="Ja",1,0),"")</f>
        <v/>
      </c>
      <c r="Y139" s="1" t="str">
        <f>IF(AND(Programme_Grunddaten!$A144="Geprüft",Programme_Grunddaten!AG144&lt;&gt;""),IF(Programme_Grunddaten!AG144="Ja",1,0),"")</f>
        <v/>
      </c>
      <c r="Z139" s="1" t="str">
        <f>IF(AND(Programme_Grunddaten!$A144="Geprüft",Programme_Grunddaten!AH144&lt;&gt;""),IF(Programme_Grunddaten!AH144="Ja",1,0),"")</f>
        <v/>
      </c>
      <c r="AA139" s="1" t="str">
        <f>IF(AND(Programme_Grunddaten!$A144="Geprüft",Programme_Grunddaten!AI144&lt;&gt;""),IF(Programme_Grunddaten!AI144="Ja",1,0),"")</f>
        <v/>
      </c>
      <c r="AB139" s="1" t="str">
        <f>IF(AND(Programme_Grunddaten!$A144="Geprüft",Programme_Grunddaten!AJ144&lt;&gt;""),IF(Programme_Grunddaten!AJ144="individuell programmierbar",1,0),"")</f>
        <v/>
      </c>
      <c r="AC139" s="1" t="str">
        <f>IF(AND(Programme_Grunddaten!$A144="Geprüft",Programme_Grunddaten!AK144&lt;&gt;""),IF(Programme_Grunddaten!AK144="Deutsch",0,IF(Programme_Grunddaten!AK144="Deutsch und Englisch",1,2)),"")</f>
        <v/>
      </c>
      <c r="AD139" s="1" t="str">
        <f>IF(AND(Programme_Grunddaten!$A144="Geprüft",Programme_Grunddaten!AL144&lt;&gt;""),IF(Programme_Grunddaten!AL144="Ja",1,0),"")</f>
        <v/>
      </c>
      <c r="AE139" s="1" t="str">
        <f>IF(AND(Programme_Grunddaten!$A144="Geprüft",Programme_Grunddaten!AM144&lt;&gt;""),IF(Programme_Grunddaten!AM144="Ja",1,0),"")</f>
        <v/>
      </c>
      <c r="AF139" s="1" t="str">
        <f>IF(AND(Programme_Grunddaten!$A144="Geprüft",Programme_Grunddaten!AN144&lt;&gt;""),IF(Programme_Grunddaten!AN144="Ja",1,0),"")</f>
        <v/>
      </c>
      <c r="AG139" s="1" t="str">
        <f>IF(AND(Programme_Grunddaten!$A144="Geprüft",Programme_Grunddaten!AO144&lt;&gt;""),IF(Programme_Grunddaten!AO144="Ja",1,0),"")</f>
        <v/>
      </c>
      <c r="AH139" s="1" t="str">
        <f>IF(AND(Programme_Grunddaten!$A144="Geprüft",Programme_Grunddaten!AP144&lt;&gt;""),IF(Programme_Grunddaten!AP144="Ja",1,0),"")</f>
        <v/>
      </c>
      <c r="AI139" s="1" t="str">
        <f>IF(AND(Programme_Grunddaten!$A144="Geprüft",Programme_Grunddaten!AQ144&lt;&gt;""),IF(Programme_Grunddaten!AQ144="Ja",1,0),"")</f>
        <v/>
      </c>
      <c r="AJ139" s="1" t="str">
        <f>IF(AND(Programme_Grunddaten!$A144="Geprüft",Programme_Grunddaten!AR144&lt;&gt;""),IF(Programme_Grunddaten!AR144="Ja",1,0),"")</f>
        <v/>
      </c>
      <c r="AK139" s="1" t="str">
        <f>IF(AND(Programme_Grunddaten!$A144="Geprüft",Programme_Grunddaten!AS144&lt;&gt;""),IF(Programme_Grunddaten!AS144="Ja",1,0),"")</f>
        <v/>
      </c>
      <c r="AL139" s="1" t="str">
        <f>IF(AND(Programme_Grunddaten!$A144="Geprüft",Programme_Grunddaten!AT144&lt;&gt;""),IF(Programme_Grunddaten!AT144="Ja",1,0),"")</f>
        <v/>
      </c>
      <c r="AM139" s="1" t="str">
        <f>IF(AND(Programme_Grunddaten!$A144="Geprüft",Programme_Grunddaten!AU144&lt;&gt;""),IF(Programme_Grunddaten!AU144="Ja",1,0),"")</f>
        <v/>
      </c>
      <c r="AN139" s="1" t="str">
        <f>IF(AND(Programme_Grunddaten!$A144="Geprüft",Programme_Grunddaten!AV144&lt;&gt;""),IF(Programme_Grunddaten!AV144="Ja",1,0),"")</f>
        <v/>
      </c>
    </row>
    <row r="140" spans="1:40" x14ac:dyDescent="0.3">
      <c r="A140" s="1" t="str">
        <f>IF(AND(Programme_Grunddaten!A145="Geprüft",Programme_Grunddaten!B145&lt;&gt;""),Programme_Grunddaten!B145,"")</f>
        <v/>
      </c>
      <c r="B140" s="1" t="str">
        <f>IF(AND(Programme_Grunddaten!$A145="Geprüft",Programme_Grunddaten!I145&lt;&gt;""),IF(Programme_Grunddaten!I145="Ja",1,0),"")</f>
        <v/>
      </c>
      <c r="C140" s="1" t="str">
        <f>IF(AND(Programme_Grunddaten!$A145="Geprüft",Programme_Grunddaten!J145&lt;&gt;""),IF(Programme_Grunddaten!J145="Ja",1,0),"")</f>
        <v/>
      </c>
      <c r="D140" s="1" t="str">
        <f>IF(AND(Programme_Grunddaten!$A145="Geprüft",Programme_Grunddaten!K145&lt;&gt;""),IF(Programme_Grunddaten!K145="Ja",1,0),"")</f>
        <v/>
      </c>
      <c r="E140" s="1" t="str">
        <f>IF(AND(Programme_Grunddaten!$A145="Geprüft",Programme_Grunddaten!L145&lt;&gt;""),IF(Programme_Grunddaten!L145="Abo / befristete Lizenz",1,0),"")</f>
        <v/>
      </c>
      <c r="F140" s="1" t="str">
        <f>IF(AND(Programme_Grunddaten!$A145="Geprüft",Programme_Grunddaten!M145&lt;&gt;""),IF(Programme_Grunddaten!M145="Ja",1,0),"")</f>
        <v/>
      </c>
      <c r="G140" s="1" t="str">
        <f>IF(AND(Programme_Grunddaten!$A145="Geprüft",Programme_Grunddaten!N145&lt;&gt;""),IF(Programme_Grunddaten!N145="Ja",1,0),"")</f>
        <v/>
      </c>
      <c r="H140" s="1" t="str">
        <f>IF(AND(Programme_Grunddaten!$A145="Geprüft",Programme_Grunddaten!O145&lt;&gt;""),IF(Programme_Grunddaten!O145="Deutschland",0,IF(Programme_Grunddaten!O145="EU",1,2)),"")</f>
        <v/>
      </c>
      <c r="I140" s="1" t="str">
        <f>IF(AND(Programme_Grunddaten!$A145="Geprüft",Programme_Grunddaten!P145&lt;&gt;""),IF(Programme_Grunddaten!P145="Ja",1,0),"")</f>
        <v/>
      </c>
      <c r="J140" s="1" t="str">
        <f>IF(AND(Programme_Grunddaten!$A145="Geprüft",Programme_Grunddaten!Q145&lt;&gt;""),IF(Programme_Grunddaten!Q145="geschlossenes System",1,0),"")</f>
        <v/>
      </c>
      <c r="K140" s="1" t="str">
        <f>IF(AND(Programme_Grunddaten!$A145="Geprüft",Programme_Grunddaten!R145&lt;&gt;""),IF(Programme_Grunddaten!R145="Ja",1,0),"")</f>
        <v/>
      </c>
      <c r="L140" s="1" t="str">
        <f>IF(AND(Programme_Grunddaten!$A145="Geprüft",Programme_Grunddaten!T145&lt;&gt;""),IF(Programme_Grunddaten!T145="Ja",1,0),"")</f>
        <v/>
      </c>
      <c r="M140" s="1" t="str">
        <f>IF(AND(Programme_Grunddaten!$A145="Geprüft",Programme_Grunddaten!U145&lt;&gt;""),IF(Programme_Grunddaten!U145="Ja",1,0),"")</f>
        <v/>
      </c>
      <c r="N140" s="1" t="str">
        <f>IF(AND(Programme_Grunddaten!$A145="Geprüft",Programme_Grunddaten!V145&lt;&gt;""),IF(Programme_Grunddaten!V145="Ja",1,0),"")</f>
        <v/>
      </c>
      <c r="O140" s="1" t="str">
        <f>IF(AND(Programme_Grunddaten!$A145="Geprüft",Programme_Grunddaten!W145&lt;&gt;""),IF(Programme_Grunddaten!W145="Ja",1,0),"")</f>
        <v/>
      </c>
      <c r="P140" s="1" t="str">
        <f>IF(AND(Programme_Grunddaten!$A145="Geprüft",Programme_Grunddaten!X145&lt;&gt;""),IF(Programme_Grunddaten!X145="Ja",1,0),"")</f>
        <v/>
      </c>
      <c r="Q140" s="1" t="str">
        <f>IF(AND(Programme_Grunddaten!$A145="Geprüft",Programme_Grunddaten!Y145&lt;&gt;""),IF(Programme_Grunddaten!Y145="Ja",1,0),"")</f>
        <v/>
      </c>
      <c r="R140" s="1" t="str">
        <f>IF(AND(Programme_Grunddaten!$A145="Geprüft",Programme_Grunddaten!Z145&lt;&gt;""),IF(Programme_Grunddaten!Z145="Ja",1,0),"")</f>
        <v/>
      </c>
      <c r="S140" s="1" t="str">
        <f>IF(AND(Programme_Grunddaten!$A145="Geprüft",Programme_Grunddaten!AA145&lt;&gt;""),IF(Programme_Grunddaten!AA145="monolithisch",1,0),"")</f>
        <v/>
      </c>
      <c r="T140" s="1" t="str">
        <f>IF(AND(Programme_Grunddaten!$A145="Geprüft",Programme_Grunddaten!AB145&lt;&gt;""),IF(Programme_Grunddaten!AB145="Ja",1,0),"")</f>
        <v/>
      </c>
      <c r="U140" s="1" t="str">
        <f>IF(AND(Programme_Grunddaten!$A145="Geprüft",Programme_Grunddaten!AC145&lt;&gt;""),IF(Programme_Grunddaten!AC145="Ja",1,0),"")</f>
        <v/>
      </c>
      <c r="V140" s="1" t="str">
        <f>IF(AND(Programme_Grunddaten!$A145="Geprüft",Programme_Grunddaten!AD145&lt;&gt;""),IF(Programme_Grunddaten!AD145="Ja",1,0),"")</f>
        <v/>
      </c>
      <c r="W140" s="1" t="str">
        <f>IF(AND(Programme_Grunddaten!$A145="Geprüft",Programme_Grunddaten!AE145&lt;&gt;""),IF(Programme_Grunddaten!AE145="Ja",1,0),"")</f>
        <v/>
      </c>
      <c r="X140" s="1" t="str">
        <f>IF(AND(Programme_Grunddaten!$A145="Geprüft",Programme_Grunddaten!AF145&lt;&gt;""),IF(Programme_Grunddaten!AF145="Ja",1,0),"")</f>
        <v/>
      </c>
      <c r="Y140" s="1" t="str">
        <f>IF(AND(Programme_Grunddaten!$A145="Geprüft",Programme_Grunddaten!AG145&lt;&gt;""),IF(Programme_Grunddaten!AG145="Ja",1,0),"")</f>
        <v/>
      </c>
      <c r="Z140" s="1" t="str">
        <f>IF(AND(Programme_Grunddaten!$A145="Geprüft",Programme_Grunddaten!AH145&lt;&gt;""),IF(Programme_Grunddaten!AH145="Ja",1,0),"")</f>
        <v/>
      </c>
      <c r="AA140" s="1" t="str">
        <f>IF(AND(Programme_Grunddaten!$A145="Geprüft",Programme_Grunddaten!AI145&lt;&gt;""),IF(Programme_Grunddaten!AI145="Ja",1,0),"")</f>
        <v/>
      </c>
      <c r="AB140" s="1" t="str">
        <f>IF(AND(Programme_Grunddaten!$A145="Geprüft",Programme_Grunddaten!AJ145&lt;&gt;""),IF(Programme_Grunddaten!AJ145="individuell programmierbar",1,0),"")</f>
        <v/>
      </c>
      <c r="AC140" s="1" t="str">
        <f>IF(AND(Programme_Grunddaten!$A145="Geprüft",Programme_Grunddaten!AK145&lt;&gt;""),IF(Programme_Grunddaten!AK145="Deutsch",0,IF(Programme_Grunddaten!AK145="Deutsch und Englisch",1,2)),"")</f>
        <v/>
      </c>
      <c r="AD140" s="1" t="str">
        <f>IF(AND(Programme_Grunddaten!$A145="Geprüft",Programme_Grunddaten!AL145&lt;&gt;""),IF(Programme_Grunddaten!AL145="Ja",1,0),"")</f>
        <v/>
      </c>
      <c r="AE140" s="1" t="str">
        <f>IF(AND(Programme_Grunddaten!$A145="Geprüft",Programme_Grunddaten!AM145&lt;&gt;""),IF(Programme_Grunddaten!AM145="Ja",1,0),"")</f>
        <v/>
      </c>
      <c r="AF140" s="1" t="str">
        <f>IF(AND(Programme_Grunddaten!$A145="Geprüft",Programme_Grunddaten!AN145&lt;&gt;""),IF(Programme_Grunddaten!AN145="Ja",1,0),"")</f>
        <v/>
      </c>
      <c r="AG140" s="1" t="str">
        <f>IF(AND(Programme_Grunddaten!$A145="Geprüft",Programme_Grunddaten!AO145&lt;&gt;""),IF(Programme_Grunddaten!AO145="Ja",1,0),"")</f>
        <v/>
      </c>
      <c r="AH140" s="1" t="str">
        <f>IF(AND(Programme_Grunddaten!$A145="Geprüft",Programme_Grunddaten!AP145&lt;&gt;""),IF(Programme_Grunddaten!AP145="Ja",1,0),"")</f>
        <v/>
      </c>
      <c r="AI140" s="1" t="str">
        <f>IF(AND(Programme_Grunddaten!$A145="Geprüft",Programme_Grunddaten!AQ145&lt;&gt;""),IF(Programme_Grunddaten!AQ145="Ja",1,0),"")</f>
        <v/>
      </c>
      <c r="AJ140" s="1" t="str">
        <f>IF(AND(Programme_Grunddaten!$A145="Geprüft",Programme_Grunddaten!AR145&lt;&gt;""),IF(Programme_Grunddaten!AR145="Ja",1,0),"")</f>
        <v/>
      </c>
      <c r="AK140" s="1" t="str">
        <f>IF(AND(Programme_Grunddaten!$A145="Geprüft",Programme_Grunddaten!AS145&lt;&gt;""),IF(Programme_Grunddaten!AS145="Ja",1,0),"")</f>
        <v/>
      </c>
      <c r="AL140" s="1" t="str">
        <f>IF(AND(Programme_Grunddaten!$A145="Geprüft",Programme_Grunddaten!AT145&lt;&gt;""),IF(Programme_Grunddaten!AT145="Ja",1,0),"")</f>
        <v/>
      </c>
      <c r="AM140" s="1" t="str">
        <f>IF(AND(Programme_Grunddaten!$A145="Geprüft",Programme_Grunddaten!AU145&lt;&gt;""),IF(Programme_Grunddaten!AU145="Ja",1,0),"")</f>
        <v/>
      </c>
      <c r="AN140" s="1" t="str">
        <f>IF(AND(Programme_Grunddaten!$A145="Geprüft",Programme_Grunddaten!AV145&lt;&gt;""),IF(Programme_Grunddaten!AV145="Ja",1,0),"")</f>
        <v/>
      </c>
    </row>
    <row r="141" spans="1:40" x14ac:dyDescent="0.3">
      <c r="A141" s="1" t="str">
        <f>IF(AND(Programme_Grunddaten!A146="Geprüft",Programme_Grunddaten!B146&lt;&gt;""),Programme_Grunddaten!B146,"")</f>
        <v/>
      </c>
      <c r="B141" s="1" t="str">
        <f>IF(AND(Programme_Grunddaten!$A146="Geprüft",Programme_Grunddaten!I146&lt;&gt;""),IF(Programme_Grunddaten!I146="Ja",1,0),"")</f>
        <v/>
      </c>
      <c r="C141" s="1" t="str">
        <f>IF(AND(Programme_Grunddaten!$A146="Geprüft",Programme_Grunddaten!J146&lt;&gt;""),IF(Programme_Grunddaten!J146="Ja",1,0),"")</f>
        <v/>
      </c>
      <c r="D141" s="1" t="str">
        <f>IF(AND(Programme_Grunddaten!$A146="Geprüft",Programme_Grunddaten!K146&lt;&gt;""),IF(Programme_Grunddaten!K146="Ja",1,0),"")</f>
        <v/>
      </c>
      <c r="E141" s="1" t="str">
        <f>IF(AND(Programme_Grunddaten!$A146="Geprüft",Programme_Grunddaten!L146&lt;&gt;""),IF(Programme_Grunddaten!L146="Abo / befristete Lizenz",1,0),"")</f>
        <v/>
      </c>
      <c r="F141" s="1" t="str">
        <f>IF(AND(Programme_Grunddaten!$A146="Geprüft",Programme_Grunddaten!M146&lt;&gt;""),IF(Programme_Grunddaten!M146="Ja",1,0),"")</f>
        <v/>
      </c>
      <c r="G141" s="1" t="str">
        <f>IF(AND(Programme_Grunddaten!$A146="Geprüft",Programme_Grunddaten!N146&lt;&gt;""),IF(Programme_Grunddaten!N146="Ja",1,0),"")</f>
        <v/>
      </c>
      <c r="H141" s="1" t="str">
        <f>IF(AND(Programme_Grunddaten!$A146="Geprüft",Programme_Grunddaten!O146&lt;&gt;""),IF(Programme_Grunddaten!O146="Deutschland",0,IF(Programme_Grunddaten!O146="EU",1,2)),"")</f>
        <v/>
      </c>
      <c r="I141" s="1" t="str">
        <f>IF(AND(Programme_Grunddaten!$A146="Geprüft",Programme_Grunddaten!P146&lt;&gt;""),IF(Programme_Grunddaten!P146="Ja",1,0),"")</f>
        <v/>
      </c>
      <c r="J141" s="1" t="str">
        <f>IF(AND(Programme_Grunddaten!$A146="Geprüft",Programme_Grunddaten!Q146&lt;&gt;""),IF(Programme_Grunddaten!Q146="geschlossenes System",1,0),"")</f>
        <v/>
      </c>
      <c r="K141" s="1" t="str">
        <f>IF(AND(Programme_Grunddaten!$A146="Geprüft",Programme_Grunddaten!R146&lt;&gt;""),IF(Programme_Grunddaten!R146="Ja",1,0),"")</f>
        <v/>
      </c>
      <c r="L141" s="1" t="str">
        <f>IF(AND(Programme_Grunddaten!$A146="Geprüft",Programme_Grunddaten!T146&lt;&gt;""),IF(Programme_Grunddaten!T146="Ja",1,0),"")</f>
        <v/>
      </c>
      <c r="M141" s="1" t="str">
        <f>IF(AND(Programme_Grunddaten!$A146="Geprüft",Programme_Grunddaten!U146&lt;&gt;""),IF(Programme_Grunddaten!U146="Ja",1,0),"")</f>
        <v/>
      </c>
      <c r="N141" s="1" t="str">
        <f>IF(AND(Programme_Grunddaten!$A146="Geprüft",Programme_Grunddaten!V146&lt;&gt;""),IF(Programme_Grunddaten!V146="Ja",1,0),"")</f>
        <v/>
      </c>
      <c r="O141" s="1" t="str">
        <f>IF(AND(Programme_Grunddaten!$A146="Geprüft",Programme_Grunddaten!W146&lt;&gt;""),IF(Programme_Grunddaten!W146="Ja",1,0),"")</f>
        <v/>
      </c>
      <c r="P141" s="1" t="str">
        <f>IF(AND(Programme_Grunddaten!$A146="Geprüft",Programme_Grunddaten!X146&lt;&gt;""),IF(Programme_Grunddaten!X146="Ja",1,0),"")</f>
        <v/>
      </c>
      <c r="Q141" s="1" t="str">
        <f>IF(AND(Programme_Grunddaten!$A146="Geprüft",Programme_Grunddaten!Y146&lt;&gt;""),IF(Programme_Grunddaten!Y146="Ja",1,0),"")</f>
        <v/>
      </c>
      <c r="R141" s="1" t="str">
        <f>IF(AND(Programme_Grunddaten!$A146="Geprüft",Programme_Grunddaten!Z146&lt;&gt;""),IF(Programme_Grunddaten!Z146="Ja",1,0),"")</f>
        <v/>
      </c>
      <c r="S141" s="1" t="str">
        <f>IF(AND(Programme_Grunddaten!$A146="Geprüft",Programme_Grunddaten!AA146&lt;&gt;""),IF(Programme_Grunddaten!AA146="monolithisch",1,0),"")</f>
        <v/>
      </c>
      <c r="T141" s="1" t="str">
        <f>IF(AND(Programme_Grunddaten!$A146="Geprüft",Programme_Grunddaten!AB146&lt;&gt;""),IF(Programme_Grunddaten!AB146="Ja",1,0),"")</f>
        <v/>
      </c>
      <c r="U141" s="1" t="str">
        <f>IF(AND(Programme_Grunddaten!$A146="Geprüft",Programme_Grunddaten!AC146&lt;&gt;""),IF(Programme_Grunddaten!AC146="Ja",1,0),"")</f>
        <v/>
      </c>
      <c r="V141" s="1" t="str">
        <f>IF(AND(Programme_Grunddaten!$A146="Geprüft",Programme_Grunddaten!AD146&lt;&gt;""),IF(Programme_Grunddaten!AD146="Ja",1,0),"")</f>
        <v/>
      </c>
      <c r="W141" s="1" t="str">
        <f>IF(AND(Programme_Grunddaten!$A146="Geprüft",Programme_Grunddaten!AE146&lt;&gt;""),IF(Programme_Grunddaten!AE146="Ja",1,0),"")</f>
        <v/>
      </c>
      <c r="X141" s="1" t="str">
        <f>IF(AND(Programme_Grunddaten!$A146="Geprüft",Programme_Grunddaten!AF146&lt;&gt;""),IF(Programme_Grunddaten!AF146="Ja",1,0),"")</f>
        <v/>
      </c>
      <c r="Y141" s="1" t="str">
        <f>IF(AND(Programme_Grunddaten!$A146="Geprüft",Programme_Grunddaten!AG146&lt;&gt;""),IF(Programme_Grunddaten!AG146="Ja",1,0),"")</f>
        <v/>
      </c>
      <c r="Z141" s="1" t="str">
        <f>IF(AND(Programme_Grunddaten!$A146="Geprüft",Programme_Grunddaten!AH146&lt;&gt;""),IF(Programme_Grunddaten!AH146="Ja",1,0),"")</f>
        <v/>
      </c>
      <c r="AA141" s="1" t="str">
        <f>IF(AND(Programme_Grunddaten!$A146="Geprüft",Programme_Grunddaten!AI146&lt;&gt;""),IF(Programme_Grunddaten!AI146="Ja",1,0),"")</f>
        <v/>
      </c>
      <c r="AB141" s="1" t="str">
        <f>IF(AND(Programme_Grunddaten!$A146="Geprüft",Programme_Grunddaten!AJ146&lt;&gt;""),IF(Programme_Grunddaten!AJ146="individuell programmierbar",1,0),"")</f>
        <v/>
      </c>
      <c r="AC141" s="1" t="str">
        <f>IF(AND(Programme_Grunddaten!$A146="Geprüft",Programme_Grunddaten!AK146&lt;&gt;""),IF(Programme_Grunddaten!AK146="Deutsch",0,IF(Programme_Grunddaten!AK146="Deutsch und Englisch",1,2)),"")</f>
        <v/>
      </c>
      <c r="AD141" s="1" t="str">
        <f>IF(AND(Programme_Grunddaten!$A146="Geprüft",Programme_Grunddaten!AL146&lt;&gt;""),IF(Programme_Grunddaten!AL146="Ja",1,0),"")</f>
        <v/>
      </c>
      <c r="AE141" s="1" t="str">
        <f>IF(AND(Programme_Grunddaten!$A146="Geprüft",Programme_Grunddaten!AM146&lt;&gt;""),IF(Programme_Grunddaten!AM146="Ja",1,0),"")</f>
        <v/>
      </c>
      <c r="AF141" s="1" t="str">
        <f>IF(AND(Programme_Grunddaten!$A146="Geprüft",Programme_Grunddaten!AN146&lt;&gt;""),IF(Programme_Grunddaten!AN146="Ja",1,0),"")</f>
        <v/>
      </c>
      <c r="AG141" s="1" t="str">
        <f>IF(AND(Programme_Grunddaten!$A146="Geprüft",Programme_Grunddaten!AO146&lt;&gt;""),IF(Programme_Grunddaten!AO146="Ja",1,0),"")</f>
        <v/>
      </c>
      <c r="AH141" s="1" t="str">
        <f>IF(AND(Programme_Grunddaten!$A146="Geprüft",Programme_Grunddaten!AP146&lt;&gt;""),IF(Programme_Grunddaten!AP146="Ja",1,0),"")</f>
        <v/>
      </c>
      <c r="AI141" s="1" t="str">
        <f>IF(AND(Programme_Grunddaten!$A146="Geprüft",Programme_Grunddaten!AQ146&lt;&gt;""),IF(Programme_Grunddaten!AQ146="Ja",1,0),"")</f>
        <v/>
      </c>
      <c r="AJ141" s="1" t="str">
        <f>IF(AND(Programme_Grunddaten!$A146="Geprüft",Programme_Grunddaten!AR146&lt;&gt;""),IF(Programme_Grunddaten!AR146="Ja",1,0),"")</f>
        <v/>
      </c>
      <c r="AK141" s="1" t="str">
        <f>IF(AND(Programme_Grunddaten!$A146="Geprüft",Programme_Grunddaten!AS146&lt;&gt;""),IF(Programme_Grunddaten!AS146="Ja",1,0),"")</f>
        <v/>
      </c>
      <c r="AL141" s="1" t="str">
        <f>IF(AND(Programme_Grunddaten!$A146="Geprüft",Programme_Grunddaten!AT146&lt;&gt;""),IF(Programme_Grunddaten!AT146="Ja",1,0),"")</f>
        <v/>
      </c>
      <c r="AM141" s="1" t="str">
        <f>IF(AND(Programme_Grunddaten!$A146="Geprüft",Programme_Grunddaten!AU146&lt;&gt;""),IF(Programme_Grunddaten!AU146="Ja",1,0),"")</f>
        <v/>
      </c>
      <c r="AN141" s="1" t="str">
        <f>IF(AND(Programme_Grunddaten!$A146="Geprüft",Programme_Grunddaten!AV146&lt;&gt;""),IF(Programme_Grunddaten!AV146="Ja",1,0),"")</f>
        <v/>
      </c>
    </row>
    <row r="142" spans="1:40" x14ac:dyDescent="0.3">
      <c r="A142" s="1" t="str">
        <f>IF(AND(Programme_Grunddaten!A147="Geprüft",Programme_Grunddaten!B147&lt;&gt;""),Programme_Grunddaten!B147,"")</f>
        <v/>
      </c>
      <c r="B142" s="1" t="str">
        <f>IF(AND(Programme_Grunddaten!$A147="Geprüft",Programme_Grunddaten!I147&lt;&gt;""),IF(Programme_Grunddaten!I147="Ja",1,0),"")</f>
        <v/>
      </c>
      <c r="C142" s="1" t="str">
        <f>IF(AND(Programme_Grunddaten!$A147="Geprüft",Programme_Grunddaten!J147&lt;&gt;""),IF(Programme_Grunddaten!J147="Ja",1,0),"")</f>
        <v/>
      </c>
      <c r="D142" s="1" t="str">
        <f>IF(AND(Programme_Grunddaten!$A147="Geprüft",Programme_Grunddaten!K147&lt;&gt;""),IF(Programme_Grunddaten!K147="Ja",1,0),"")</f>
        <v/>
      </c>
      <c r="E142" s="1" t="str">
        <f>IF(AND(Programme_Grunddaten!$A147="Geprüft",Programme_Grunddaten!L147&lt;&gt;""),IF(Programme_Grunddaten!L147="Abo / befristete Lizenz",1,0),"")</f>
        <v/>
      </c>
      <c r="F142" s="1" t="str">
        <f>IF(AND(Programme_Grunddaten!$A147="Geprüft",Programme_Grunddaten!M147&lt;&gt;""),IF(Programme_Grunddaten!M147="Ja",1,0),"")</f>
        <v/>
      </c>
      <c r="G142" s="1" t="str">
        <f>IF(AND(Programme_Grunddaten!$A147="Geprüft",Programme_Grunddaten!N147&lt;&gt;""),IF(Programme_Grunddaten!N147="Ja",1,0),"")</f>
        <v/>
      </c>
      <c r="H142" s="1" t="str">
        <f>IF(AND(Programme_Grunddaten!$A147="Geprüft",Programme_Grunddaten!O147&lt;&gt;""),IF(Programme_Grunddaten!O147="Deutschland",0,IF(Programme_Grunddaten!O147="EU",1,2)),"")</f>
        <v/>
      </c>
      <c r="I142" s="1" t="str">
        <f>IF(AND(Programme_Grunddaten!$A147="Geprüft",Programme_Grunddaten!P147&lt;&gt;""),IF(Programme_Grunddaten!P147="Ja",1,0),"")</f>
        <v/>
      </c>
      <c r="J142" s="1" t="str">
        <f>IF(AND(Programme_Grunddaten!$A147="Geprüft",Programme_Grunddaten!Q147&lt;&gt;""),IF(Programme_Grunddaten!Q147="geschlossenes System",1,0),"")</f>
        <v/>
      </c>
      <c r="K142" s="1" t="str">
        <f>IF(AND(Programme_Grunddaten!$A147="Geprüft",Programme_Grunddaten!R147&lt;&gt;""),IF(Programme_Grunddaten!R147="Ja",1,0),"")</f>
        <v/>
      </c>
      <c r="L142" s="1" t="str">
        <f>IF(AND(Programme_Grunddaten!$A147="Geprüft",Programme_Grunddaten!T147&lt;&gt;""),IF(Programme_Grunddaten!T147="Ja",1,0),"")</f>
        <v/>
      </c>
      <c r="M142" s="1" t="str">
        <f>IF(AND(Programme_Grunddaten!$A147="Geprüft",Programme_Grunddaten!U147&lt;&gt;""),IF(Programme_Grunddaten!U147="Ja",1,0),"")</f>
        <v/>
      </c>
      <c r="N142" s="1" t="str">
        <f>IF(AND(Programme_Grunddaten!$A147="Geprüft",Programme_Grunddaten!V147&lt;&gt;""),IF(Programme_Grunddaten!V147="Ja",1,0),"")</f>
        <v/>
      </c>
      <c r="O142" s="1" t="str">
        <f>IF(AND(Programme_Grunddaten!$A147="Geprüft",Programme_Grunddaten!W147&lt;&gt;""),IF(Programme_Grunddaten!W147="Ja",1,0),"")</f>
        <v/>
      </c>
      <c r="P142" s="1" t="str">
        <f>IF(AND(Programme_Grunddaten!$A147="Geprüft",Programme_Grunddaten!X147&lt;&gt;""),IF(Programme_Grunddaten!X147="Ja",1,0),"")</f>
        <v/>
      </c>
      <c r="Q142" s="1" t="str">
        <f>IF(AND(Programme_Grunddaten!$A147="Geprüft",Programme_Grunddaten!Y147&lt;&gt;""),IF(Programme_Grunddaten!Y147="Ja",1,0),"")</f>
        <v/>
      </c>
      <c r="R142" s="1" t="str">
        <f>IF(AND(Programme_Grunddaten!$A147="Geprüft",Programme_Grunddaten!Z147&lt;&gt;""),IF(Programme_Grunddaten!Z147="Ja",1,0),"")</f>
        <v/>
      </c>
      <c r="S142" s="1" t="str">
        <f>IF(AND(Programme_Grunddaten!$A147="Geprüft",Programme_Grunddaten!AA147&lt;&gt;""),IF(Programme_Grunddaten!AA147="monolithisch",1,0),"")</f>
        <v/>
      </c>
      <c r="T142" s="1" t="str">
        <f>IF(AND(Programme_Grunddaten!$A147="Geprüft",Programme_Grunddaten!AB147&lt;&gt;""),IF(Programme_Grunddaten!AB147="Ja",1,0),"")</f>
        <v/>
      </c>
      <c r="U142" s="1" t="str">
        <f>IF(AND(Programme_Grunddaten!$A147="Geprüft",Programme_Grunddaten!AC147&lt;&gt;""),IF(Programme_Grunddaten!AC147="Ja",1,0),"")</f>
        <v/>
      </c>
      <c r="V142" s="1" t="str">
        <f>IF(AND(Programme_Grunddaten!$A147="Geprüft",Programme_Grunddaten!AD147&lt;&gt;""),IF(Programme_Grunddaten!AD147="Ja",1,0),"")</f>
        <v/>
      </c>
      <c r="W142" s="1" t="str">
        <f>IF(AND(Programme_Grunddaten!$A147="Geprüft",Programme_Grunddaten!AE147&lt;&gt;""),IF(Programme_Grunddaten!AE147="Ja",1,0),"")</f>
        <v/>
      </c>
      <c r="X142" s="1" t="str">
        <f>IF(AND(Programme_Grunddaten!$A147="Geprüft",Programme_Grunddaten!AF147&lt;&gt;""),IF(Programme_Grunddaten!AF147="Ja",1,0),"")</f>
        <v/>
      </c>
      <c r="Y142" s="1" t="str">
        <f>IF(AND(Programme_Grunddaten!$A147="Geprüft",Programme_Grunddaten!AG147&lt;&gt;""),IF(Programme_Grunddaten!AG147="Ja",1,0),"")</f>
        <v/>
      </c>
      <c r="Z142" s="1" t="str">
        <f>IF(AND(Programme_Grunddaten!$A147="Geprüft",Programme_Grunddaten!AH147&lt;&gt;""),IF(Programme_Grunddaten!AH147="Ja",1,0),"")</f>
        <v/>
      </c>
      <c r="AA142" s="1" t="str">
        <f>IF(AND(Programme_Grunddaten!$A147="Geprüft",Programme_Grunddaten!AI147&lt;&gt;""),IF(Programme_Grunddaten!AI147="Ja",1,0),"")</f>
        <v/>
      </c>
      <c r="AB142" s="1" t="str">
        <f>IF(AND(Programme_Grunddaten!$A147="Geprüft",Programme_Grunddaten!AJ147&lt;&gt;""),IF(Programme_Grunddaten!AJ147="individuell programmierbar",1,0),"")</f>
        <v/>
      </c>
      <c r="AC142" s="1" t="str">
        <f>IF(AND(Programme_Grunddaten!$A147="Geprüft",Programme_Grunddaten!AK147&lt;&gt;""),IF(Programme_Grunddaten!AK147="Deutsch",0,IF(Programme_Grunddaten!AK147="Deutsch und Englisch",1,2)),"")</f>
        <v/>
      </c>
      <c r="AD142" s="1" t="str">
        <f>IF(AND(Programme_Grunddaten!$A147="Geprüft",Programme_Grunddaten!AL147&lt;&gt;""),IF(Programme_Grunddaten!AL147="Ja",1,0),"")</f>
        <v/>
      </c>
      <c r="AE142" s="1" t="str">
        <f>IF(AND(Programme_Grunddaten!$A147="Geprüft",Programme_Grunddaten!AM147&lt;&gt;""),IF(Programme_Grunddaten!AM147="Ja",1,0),"")</f>
        <v/>
      </c>
      <c r="AF142" s="1" t="str">
        <f>IF(AND(Programme_Grunddaten!$A147="Geprüft",Programme_Grunddaten!AN147&lt;&gt;""),IF(Programme_Grunddaten!AN147="Ja",1,0),"")</f>
        <v/>
      </c>
      <c r="AG142" s="1" t="str">
        <f>IF(AND(Programme_Grunddaten!$A147="Geprüft",Programme_Grunddaten!AO147&lt;&gt;""),IF(Programme_Grunddaten!AO147="Ja",1,0),"")</f>
        <v/>
      </c>
      <c r="AH142" s="1" t="str">
        <f>IF(AND(Programme_Grunddaten!$A147="Geprüft",Programme_Grunddaten!AP147&lt;&gt;""),IF(Programme_Grunddaten!AP147="Ja",1,0),"")</f>
        <v/>
      </c>
      <c r="AI142" s="1" t="str">
        <f>IF(AND(Programme_Grunddaten!$A147="Geprüft",Programme_Grunddaten!AQ147&lt;&gt;""),IF(Programme_Grunddaten!AQ147="Ja",1,0),"")</f>
        <v/>
      </c>
      <c r="AJ142" s="1" t="str">
        <f>IF(AND(Programme_Grunddaten!$A147="Geprüft",Programme_Grunddaten!AR147&lt;&gt;""),IF(Programme_Grunddaten!AR147="Ja",1,0),"")</f>
        <v/>
      </c>
      <c r="AK142" s="1" t="str">
        <f>IF(AND(Programme_Grunddaten!$A147="Geprüft",Programme_Grunddaten!AS147&lt;&gt;""),IF(Programme_Grunddaten!AS147="Ja",1,0),"")</f>
        <v/>
      </c>
      <c r="AL142" s="1" t="str">
        <f>IF(AND(Programme_Grunddaten!$A147="Geprüft",Programme_Grunddaten!AT147&lt;&gt;""),IF(Programme_Grunddaten!AT147="Ja",1,0),"")</f>
        <v/>
      </c>
      <c r="AM142" s="1" t="str">
        <f>IF(AND(Programme_Grunddaten!$A147="Geprüft",Programme_Grunddaten!AU147&lt;&gt;""),IF(Programme_Grunddaten!AU147="Ja",1,0),"")</f>
        <v/>
      </c>
      <c r="AN142" s="1" t="str">
        <f>IF(AND(Programme_Grunddaten!$A147="Geprüft",Programme_Grunddaten!AV147&lt;&gt;""),IF(Programme_Grunddaten!AV147="Ja",1,0),"")</f>
        <v/>
      </c>
    </row>
    <row r="143" spans="1:40" x14ac:dyDescent="0.3">
      <c r="A143" s="1" t="str">
        <f>IF(AND(Programme_Grunddaten!A148="Geprüft",Programme_Grunddaten!B148&lt;&gt;""),Programme_Grunddaten!B148,"")</f>
        <v/>
      </c>
      <c r="B143" s="1" t="str">
        <f>IF(AND(Programme_Grunddaten!$A148="Geprüft",Programme_Grunddaten!I148&lt;&gt;""),IF(Programme_Grunddaten!I148="Ja",1,0),"")</f>
        <v/>
      </c>
      <c r="C143" s="1" t="str">
        <f>IF(AND(Programme_Grunddaten!$A148="Geprüft",Programme_Grunddaten!J148&lt;&gt;""),IF(Programme_Grunddaten!J148="Ja",1,0),"")</f>
        <v/>
      </c>
      <c r="D143" s="1" t="str">
        <f>IF(AND(Programme_Grunddaten!$A148="Geprüft",Programme_Grunddaten!K148&lt;&gt;""),IF(Programme_Grunddaten!K148="Ja",1,0),"")</f>
        <v/>
      </c>
      <c r="E143" s="1" t="str">
        <f>IF(AND(Programme_Grunddaten!$A148="Geprüft",Programme_Grunddaten!L148&lt;&gt;""),IF(Programme_Grunddaten!L148="Abo / befristete Lizenz",1,0),"")</f>
        <v/>
      </c>
      <c r="F143" s="1" t="str">
        <f>IF(AND(Programme_Grunddaten!$A148="Geprüft",Programme_Grunddaten!M148&lt;&gt;""),IF(Programme_Grunddaten!M148="Ja",1,0),"")</f>
        <v/>
      </c>
      <c r="G143" s="1" t="str">
        <f>IF(AND(Programme_Grunddaten!$A148="Geprüft",Programme_Grunddaten!N148&lt;&gt;""),IF(Programme_Grunddaten!N148="Ja",1,0),"")</f>
        <v/>
      </c>
      <c r="H143" s="1" t="str">
        <f>IF(AND(Programme_Grunddaten!$A148="Geprüft",Programme_Grunddaten!O148&lt;&gt;""),IF(Programme_Grunddaten!O148="Deutschland",0,IF(Programme_Grunddaten!O148="EU",1,2)),"")</f>
        <v/>
      </c>
      <c r="I143" s="1" t="str">
        <f>IF(AND(Programme_Grunddaten!$A148="Geprüft",Programme_Grunddaten!P148&lt;&gt;""),IF(Programme_Grunddaten!P148="Ja",1,0),"")</f>
        <v/>
      </c>
      <c r="J143" s="1" t="str">
        <f>IF(AND(Programme_Grunddaten!$A148="Geprüft",Programme_Grunddaten!Q148&lt;&gt;""),IF(Programme_Grunddaten!Q148="geschlossenes System",1,0),"")</f>
        <v/>
      </c>
      <c r="K143" s="1" t="str">
        <f>IF(AND(Programme_Grunddaten!$A148="Geprüft",Programme_Grunddaten!R148&lt;&gt;""),IF(Programme_Grunddaten!R148="Ja",1,0),"")</f>
        <v/>
      </c>
      <c r="L143" s="1" t="str">
        <f>IF(AND(Programme_Grunddaten!$A148="Geprüft",Programme_Grunddaten!T148&lt;&gt;""),IF(Programme_Grunddaten!T148="Ja",1,0),"")</f>
        <v/>
      </c>
      <c r="M143" s="1" t="str">
        <f>IF(AND(Programme_Grunddaten!$A148="Geprüft",Programme_Grunddaten!U148&lt;&gt;""),IF(Programme_Grunddaten!U148="Ja",1,0),"")</f>
        <v/>
      </c>
      <c r="N143" s="1" t="str">
        <f>IF(AND(Programme_Grunddaten!$A148="Geprüft",Programme_Grunddaten!V148&lt;&gt;""),IF(Programme_Grunddaten!V148="Ja",1,0),"")</f>
        <v/>
      </c>
      <c r="O143" s="1" t="str">
        <f>IF(AND(Programme_Grunddaten!$A148="Geprüft",Programme_Grunddaten!W148&lt;&gt;""),IF(Programme_Grunddaten!W148="Ja",1,0),"")</f>
        <v/>
      </c>
      <c r="P143" s="1" t="str">
        <f>IF(AND(Programme_Grunddaten!$A148="Geprüft",Programme_Grunddaten!X148&lt;&gt;""),IF(Programme_Grunddaten!X148="Ja",1,0),"")</f>
        <v/>
      </c>
      <c r="Q143" s="1" t="str">
        <f>IF(AND(Programme_Grunddaten!$A148="Geprüft",Programme_Grunddaten!Y148&lt;&gt;""),IF(Programme_Grunddaten!Y148="Ja",1,0),"")</f>
        <v/>
      </c>
      <c r="R143" s="1" t="str">
        <f>IF(AND(Programme_Grunddaten!$A148="Geprüft",Programme_Grunddaten!Z148&lt;&gt;""),IF(Programme_Grunddaten!Z148="Ja",1,0),"")</f>
        <v/>
      </c>
      <c r="S143" s="1" t="str">
        <f>IF(AND(Programme_Grunddaten!$A148="Geprüft",Programme_Grunddaten!AA148&lt;&gt;""),IF(Programme_Grunddaten!AA148="monolithisch",1,0),"")</f>
        <v/>
      </c>
      <c r="T143" s="1" t="str">
        <f>IF(AND(Programme_Grunddaten!$A148="Geprüft",Programme_Grunddaten!AB148&lt;&gt;""),IF(Programme_Grunddaten!AB148="Ja",1,0),"")</f>
        <v/>
      </c>
      <c r="U143" s="1" t="str">
        <f>IF(AND(Programme_Grunddaten!$A148="Geprüft",Programme_Grunddaten!AC148&lt;&gt;""),IF(Programme_Grunddaten!AC148="Ja",1,0),"")</f>
        <v/>
      </c>
      <c r="V143" s="1" t="str">
        <f>IF(AND(Programme_Grunddaten!$A148="Geprüft",Programme_Grunddaten!AD148&lt;&gt;""),IF(Programme_Grunddaten!AD148="Ja",1,0),"")</f>
        <v/>
      </c>
      <c r="W143" s="1" t="str">
        <f>IF(AND(Programme_Grunddaten!$A148="Geprüft",Programme_Grunddaten!AE148&lt;&gt;""),IF(Programme_Grunddaten!AE148="Ja",1,0),"")</f>
        <v/>
      </c>
      <c r="X143" s="1" t="str">
        <f>IF(AND(Programme_Grunddaten!$A148="Geprüft",Programme_Grunddaten!AF148&lt;&gt;""),IF(Programme_Grunddaten!AF148="Ja",1,0),"")</f>
        <v/>
      </c>
      <c r="Y143" s="1" t="str">
        <f>IF(AND(Programme_Grunddaten!$A148="Geprüft",Programme_Grunddaten!AG148&lt;&gt;""),IF(Programme_Grunddaten!AG148="Ja",1,0),"")</f>
        <v/>
      </c>
      <c r="Z143" s="1" t="str">
        <f>IF(AND(Programme_Grunddaten!$A148="Geprüft",Programme_Grunddaten!AH148&lt;&gt;""),IF(Programme_Grunddaten!AH148="Ja",1,0),"")</f>
        <v/>
      </c>
      <c r="AA143" s="1" t="str">
        <f>IF(AND(Programme_Grunddaten!$A148="Geprüft",Programme_Grunddaten!AI148&lt;&gt;""),IF(Programme_Grunddaten!AI148="Ja",1,0),"")</f>
        <v/>
      </c>
      <c r="AB143" s="1" t="str">
        <f>IF(AND(Programme_Grunddaten!$A148="Geprüft",Programme_Grunddaten!AJ148&lt;&gt;""),IF(Programme_Grunddaten!AJ148="individuell programmierbar",1,0),"")</f>
        <v/>
      </c>
      <c r="AC143" s="1" t="str">
        <f>IF(AND(Programme_Grunddaten!$A148="Geprüft",Programme_Grunddaten!AK148&lt;&gt;""),IF(Programme_Grunddaten!AK148="Deutsch",0,IF(Programme_Grunddaten!AK148="Deutsch und Englisch",1,2)),"")</f>
        <v/>
      </c>
      <c r="AD143" s="1" t="str">
        <f>IF(AND(Programme_Grunddaten!$A148="Geprüft",Programme_Grunddaten!AL148&lt;&gt;""),IF(Programme_Grunddaten!AL148="Ja",1,0),"")</f>
        <v/>
      </c>
      <c r="AE143" s="1" t="str">
        <f>IF(AND(Programme_Grunddaten!$A148="Geprüft",Programme_Grunddaten!AM148&lt;&gt;""),IF(Programme_Grunddaten!AM148="Ja",1,0),"")</f>
        <v/>
      </c>
      <c r="AF143" s="1" t="str">
        <f>IF(AND(Programme_Grunddaten!$A148="Geprüft",Programme_Grunddaten!AN148&lt;&gt;""),IF(Programme_Grunddaten!AN148="Ja",1,0),"")</f>
        <v/>
      </c>
      <c r="AG143" s="1" t="str">
        <f>IF(AND(Programme_Grunddaten!$A148="Geprüft",Programme_Grunddaten!AO148&lt;&gt;""),IF(Programme_Grunddaten!AO148="Ja",1,0),"")</f>
        <v/>
      </c>
      <c r="AH143" s="1" t="str">
        <f>IF(AND(Programme_Grunddaten!$A148="Geprüft",Programme_Grunddaten!AP148&lt;&gt;""),IF(Programme_Grunddaten!AP148="Ja",1,0),"")</f>
        <v/>
      </c>
      <c r="AI143" s="1" t="str">
        <f>IF(AND(Programme_Grunddaten!$A148="Geprüft",Programme_Grunddaten!AQ148&lt;&gt;""),IF(Programme_Grunddaten!AQ148="Ja",1,0),"")</f>
        <v/>
      </c>
      <c r="AJ143" s="1" t="str">
        <f>IF(AND(Programme_Grunddaten!$A148="Geprüft",Programme_Grunddaten!AR148&lt;&gt;""),IF(Programme_Grunddaten!AR148="Ja",1,0),"")</f>
        <v/>
      </c>
      <c r="AK143" s="1" t="str">
        <f>IF(AND(Programme_Grunddaten!$A148="Geprüft",Programme_Grunddaten!AS148&lt;&gt;""),IF(Programme_Grunddaten!AS148="Ja",1,0),"")</f>
        <v/>
      </c>
      <c r="AL143" s="1" t="str">
        <f>IF(AND(Programme_Grunddaten!$A148="Geprüft",Programme_Grunddaten!AT148&lt;&gt;""),IF(Programme_Grunddaten!AT148="Ja",1,0),"")</f>
        <v/>
      </c>
      <c r="AM143" s="1" t="str">
        <f>IF(AND(Programme_Grunddaten!$A148="Geprüft",Programme_Grunddaten!AU148&lt;&gt;""),IF(Programme_Grunddaten!AU148="Ja",1,0),"")</f>
        <v/>
      </c>
      <c r="AN143" s="1" t="str">
        <f>IF(AND(Programme_Grunddaten!$A148="Geprüft",Programme_Grunddaten!AV148&lt;&gt;""),IF(Programme_Grunddaten!AV148="Ja",1,0),"")</f>
        <v/>
      </c>
    </row>
    <row r="144" spans="1:40" x14ac:dyDescent="0.3">
      <c r="A144" s="1" t="str">
        <f>IF(AND(Programme_Grunddaten!A149="Geprüft",Programme_Grunddaten!B149&lt;&gt;""),Programme_Grunddaten!B149,"")</f>
        <v/>
      </c>
      <c r="B144" s="1" t="str">
        <f>IF(AND(Programme_Grunddaten!$A149="Geprüft",Programme_Grunddaten!I149&lt;&gt;""),IF(Programme_Grunddaten!I149="Ja",1,0),"")</f>
        <v/>
      </c>
      <c r="C144" s="1" t="str">
        <f>IF(AND(Programme_Grunddaten!$A149="Geprüft",Programme_Grunddaten!J149&lt;&gt;""),IF(Programme_Grunddaten!J149="Ja",1,0),"")</f>
        <v/>
      </c>
      <c r="D144" s="1" t="str">
        <f>IF(AND(Programme_Grunddaten!$A149="Geprüft",Programme_Grunddaten!K149&lt;&gt;""),IF(Programme_Grunddaten!K149="Ja",1,0),"")</f>
        <v/>
      </c>
      <c r="E144" s="1" t="str">
        <f>IF(AND(Programme_Grunddaten!$A149="Geprüft",Programme_Grunddaten!L149&lt;&gt;""),IF(Programme_Grunddaten!L149="Abo / befristete Lizenz",1,0),"")</f>
        <v/>
      </c>
      <c r="F144" s="1" t="str">
        <f>IF(AND(Programme_Grunddaten!$A149="Geprüft",Programme_Grunddaten!M149&lt;&gt;""),IF(Programme_Grunddaten!M149="Ja",1,0),"")</f>
        <v/>
      </c>
      <c r="G144" s="1" t="str">
        <f>IF(AND(Programme_Grunddaten!$A149="Geprüft",Programme_Grunddaten!N149&lt;&gt;""),IF(Programme_Grunddaten!N149="Ja",1,0),"")</f>
        <v/>
      </c>
      <c r="H144" s="1" t="str">
        <f>IF(AND(Programme_Grunddaten!$A149="Geprüft",Programme_Grunddaten!O149&lt;&gt;""),IF(Programme_Grunddaten!O149="Deutschland",0,IF(Programme_Grunddaten!O149="EU",1,2)),"")</f>
        <v/>
      </c>
      <c r="I144" s="1" t="str">
        <f>IF(AND(Programme_Grunddaten!$A149="Geprüft",Programme_Grunddaten!P149&lt;&gt;""),IF(Programme_Grunddaten!P149="Ja",1,0),"")</f>
        <v/>
      </c>
      <c r="J144" s="1" t="str">
        <f>IF(AND(Programme_Grunddaten!$A149="Geprüft",Programme_Grunddaten!Q149&lt;&gt;""),IF(Programme_Grunddaten!Q149="geschlossenes System",1,0),"")</f>
        <v/>
      </c>
      <c r="K144" s="1" t="str">
        <f>IF(AND(Programme_Grunddaten!$A149="Geprüft",Programme_Grunddaten!R149&lt;&gt;""),IF(Programme_Grunddaten!R149="Ja",1,0),"")</f>
        <v/>
      </c>
      <c r="L144" s="1" t="str">
        <f>IF(AND(Programme_Grunddaten!$A149="Geprüft",Programme_Grunddaten!T149&lt;&gt;""),IF(Programme_Grunddaten!T149="Ja",1,0),"")</f>
        <v/>
      </c>
      <c r="M144" s="1" t="str">
        <f>IF(AND(Programme_Grunddaten!$A149="Geprüft",Programme_Grunddaten!U149&lt;&gt;""),IF(Programme_Grunddaten!U149="Ja",1,0),"")</f>
        <v/>
      </c>
      <c r="N144" s="1" t="str">
        <f>IF(AND(Programme_Grunddaten!$A149="Geprüft",Programme_Grunddaten!V149&lt;&gt;""),IF(Programme_Grunddaten!V149="Ja",1,0),"")</f>
        <v/>
      </c>
      <c r="O144" s="1" t="str">
        <f>IF(AND(Programme_Grunddaten!$A149="Geprüft",Programme_Grunddaten!W149&lt;&gt;""),IF(Programme_Grunddaten!W149="Ja",1,0),"")</f>
        <v/>
      </c>
      <c r="P144" s="1" t="str">
        <f>IF(AND(Programme_Grunddaten!$A149="Geprüft",Programme_Grunddaten!X149&lt;&gt;""),IF(Programme_Grunddaten!X149="Ja",1,0),"")</f>
        <v/>
      </c>
      <c r="Q144" s="1" t="str">
        <f>IF(AND(Programme_Grunddaten!$A149="Geprüft",Programme_Grunddaten!Y149&lt;&gt;""),IF(Programme_Grunddaten!Y149="Ja",1,0),"")</f>
        <v/>
      </c>
      <c r="R144" s="1" t="str">
        <f>IF(AND(Programme_Grunddaten!$A149="Geprüft",Programme_Grunddaten!Z149&lt;&gt;""),IF(Programme_Grunddaten!Z149="Ja",1,0),"")</f>
        <v/>
      </c>
      <c r="S144" s="1" t="str">
        <f>IF(AND(Programme_Grunddaten!$A149="Geprüft",Programme_Grunddaten!AA149&lt;&gt;""),IF(Programme_Grunddaten!AA149="monolithisch",1,0),"")</f>
        <v/>
      </c>
      <c r="T144" s="1" t="str">
        <f>IF(AND(Programme_Grunddaten!$A149="Geprüft",Programme_Grunddaten!AB149&lt;&gt;""),IF(Programme_Grunddaten!AB149="Ja",1,0),"")</f>
        <v/>
      </c>
      <c r="U144" s="1" t="str">
        <f>IF(AND(Programme_Grunddaten!$A149="Geprüft",Programme_Grunddaten!AC149&lt;&gt;""),IF(Programme_Grunddaten!AC149="Ja",1,0),"")</f>
        <v/>
      </c>
      <c r="V144" s="1" t="str">
        <f>IF(AND(Programme_Grunddaten!$A149="Geprüft",Programme_Grunddaten!AD149&lt;&gt;""),IF(Programme_Grunddaten!AD149="Ja",1,0),"")</f>
        <v/>
      </c>
      <c r="W144" s="1" t="str">
        <f>IF(AND(Programme_Grunddaten!$A149="Geprüft",Programme_Grunddaten!AE149&lt;&gt;""),IF(Programme_Grunddaten!AE149="Ja",1,0),"")</f>
        <v/>
      </c>
      <c r="X144" s="1" t="str">
        <f>IF(AND(Programme_Grunddaten!$A149="Geprüft",Programme_Grunddaten!AF149&lt;&gt;""),IF(Programme_Grunddaten!AF149="Ja",1,0),"")</f>
        <v/>
      </c>
      <c r="Y144" s="1" t="str">
        <f>IF(AND(Programme_Grunddaten!$A149="Geprüft",Programme_Grunddaten!AG149&lt;&gt;""),IF(Programme_Grunddaten!AG149="Ja",1,0),"")</f>
        <v/>
      </c>
      <c r="Z144" s="1" t="str">
        <f>IF(AND(Programme_Grunddaten!$A149="Geprüft",Programme_Grunddaten!AH149&lt;&gt;""),IF(Programme_Grunddaten!AH149="Ja",1,0),"")</f>
        <v/>
      </c>
      <c r="AA144" s="1" t="str">
        <f>IF(AND(Programme_Grunddaten!$A149="Geprüft",Programme_Grunddaten!AI149&lt;&gt;""),IF(Programme_Grunddaten!AI149="Ja",1,0),"")</f>
        <v/>
      </c>
      <c r="AB144" s="1" t="str">
        <f>IF(AND(Programme_Grunddaten!$A149="Geprüft",Programme_Grunddaten!AJ149&lt;&gt;""),IF(Programme_Grunddaten!AJ149="individuell programmierbar",1,0),"")</f>
        <v/>
      </c>
      <c r="AC144" s="1" t="str">
        <f>IF(AND(Programme_Grunddaten!$A149="Geprüft",Programme_Grunddaten!AK149&lt;&gt;""),IF(Programme_Grunddaten!AK149="Deutsch",0,IF(Programme_Grunddaten!AK149="Deutsch und Englisch",1,2)),"")</f>
        <v/>
      </c>
      <c r="AD144" s="1" t="str">
        <f>IF(AND(Programme_Grunddaten!$A149="Geprüft",Programme_Grunddaten!AL149&lt;&gt;""),IF(Programme_Grunddaten!AL149="Ja",1,0),"")</f>
        <v/>
      </c>
      <c r="AE144" s="1" t="str">
        <f>IF(AND(Programme_Grunddaten!$A149="Geprüft",Programme_Grunddaten!AM149&lt;&gt;""),IF(Programme_Grunddaten!AM149="Ja",1,0),"")</f>
        <v/>
      </c>
      <c r="AF144" s="1" t="str">
        <f>IF(AND(Programme_Grunddaten!$A149="Geprüft",Programme_Grunddaten!AN149&lt;&gt;""),IF(Programme_Grunddaten!AN149="Ja",1,0),"")</f>
        <v/>
      </c>
      <c r="AG144" s="1" t="str">
        <f>IF(AND(Programme_Grunddaten!$A149="Geprüft",Programme_Grunddaten!AO149&lt;&gt;""),IF(Programme_Grunddaten!AO149="Ja",1,0),"")</f>
        <v/>
      </c>
      <c r="AH144" s="1" t="str">
        <f>IF(AND(Programme_Grunddaten!$A149="Geprüft",Programme_Grunddaten!AP149&lt;&gt;""),IF(Programme_Grunddaten!AP149="Ja",1,0),"")</f>
        <v/>
      </c>
      <c r="AI144" s="1" t="str">
        <f>IF(AND(Programme_Grunddaten!$A149="Geprüft",Programme_Grunddaten!AQ149&lt;&gt;""),IF(Programme_Grunddaten!AQ149="Ja",1,0),"")</f>
        <v/>
      </c>
      <c r="AJ144" s="1" t="str">
        <f>IF(AND(Programme_Grunddaten!$A149="Geprüft",Programme_Grunddaten!AR149&lt;&gt;""),IF(Programme_Grunddaten!AR149="Ja",1,0),"")</f>
        <v/>
      </c>
      <c r="AK144" s="1" t="str">
        <f>IF(AND(Programme_Grunddaten!$A149="Geprüft",Programme_Grunddaten!AS149&lt;&gt;""),IF(Programme_Grunddaten!AS149="Ja",1,0),"")</f>
        <v/>
      </c>
      <c r="AL144" s="1" t="str">
        <f>IF(AND(Programme_Grunddaten!$A149="Geprüft",Programme_Grunddaten!AT149&lt;&gt;""),IF(Programme_Grunddaten!AT149="Ja",1,0),"")</f>
        <v/>
      </c>
      <c r="AM144" s="1" t="str">
        <f>IF(AND(Programme_Grunddaten!$A149="Geprüft",Programme_Grunddaten!AU149&lt;&gt;""),IF(Programme_Grunddaten!AU149="Ja",1,0),"")</f>
        <v/>
      </c>
      <c r="AN144" s="1" t="str">
        <f>IF(AND(Programme_Grunddaten!$A149="Geprüft",Programme_Grunddaten!AV149&lt;&gt;""),IF(Programme_Grunddaten!AV149="Ja",1,0),"")</f>
        <v/>
      </c>
    </row>
    <row r="145" spans="1:40" x14ac:dyDescent="0.3">
      <c r="A145" s="1" t="str">
        <f>IF(AND(Programme_Grunddaten!A150="Geprüft",Programme_Grunddaten!B150&lt;&gt;""),Programme_Grunddaten!B150,"")</f>
        <v/>
      </c>
      <c r="B145" s="1" t="str">
        <f>IF(AND(Programme_Grunddaten!$A150="Geprüft",Programme_Grunddaten!I150&lt;&gt;""),IF(Programme_Grunddaten!I150="Ja",1,0),"")</f>
        <v/>
      </c>
      <c r="C145" s="1" t="str">
        <f>IF(AND(Programme_Grunddaten!$A150="Geprüft",Programme_Grunddaten!J150&lt;&gt;""),IF(Programme_Grunddaten!J150="Ja",1,0),"")</f>
        <v/>
      </c>
      <c r="D145" s="1" t="str">
        <f>IF(AND(Programme_Grunddaten!$A150="Geprüft",Programme_Grunddaten!K150&lt;&gt;""),IF(Programme_Grunddaten!K150="Ja",1,0),"")</f>
        <v/>
      </c>
      <c r="E145" s="1" t="str">
        <f>IF(AND(Programme_Grunddaten!$A150="Geprüft",Programme_Grunddaten!L150&lt;&gt;""),IF(Programme_Grunddaten!L150="Abo / befristete Lizenz",1,0),"")</f>
        <v/>
      </c>
      <c r="F145" s="1" t="str">
        <f>IF(AND(Programme_Grunddaten!$A150="Geprüft",Programme_Grunddaten!M150&lt;&gt;""),IF(Programme_Grunddaten!M150="Ja",1,0),"")</f>
        <v/>
      </c>
      <c r="G145" s="1" t="str">
        <f>IF(AND(Programme_Grunddaten!$A150="Geprüft",Programme_Grunddaten!N150&lt;&gt;""),IF(Programme_Grunddaten!N150="Ja",1,0),"")</f>
        <v/>
      </c>
      <c r="H145" s="1" t="str">
        <f>IF(AND(Programme_Grunddaten!$A150="Geprüft",Programme_Grunddaten!O150&lt;&gt;""),IF(Programme_Grunddaten!O150="Deutschland",0,IF(Programme_Grunddaten!O150="EU",1,2)),"")</f>
        <v/>
      </c>
      <c r="I145" s="1" t="str">
        <f>IF(AND(Programme_Grunddaten!$A150="Geprüft",Programme_Grunddaten!P150&lt;&gt;""),IF(Programme_Grunddaten!P150="Ja",1,0),"")</f>
        <v/>
      </c>
      <c r="J145" s="1" t="str">
        <f>IF(AND(Programme_Grunddaten!$A150="Geprüft",Programme_Grunddaten!Q150&lt;&gt;""),IF(Programme_Grunddaten!Q150="geschlossenes System",1,0),"")</f>
        <v/>
      </c>
      <c r="K145" s="1" t="str">
        <f>IF(AND(Programme_Grunddaten!$A150="Geprüft",Programme_Grunddaten!R150&lt;&gt;""),IF(Programme_Grunddaten!R150="Ja",1,0),"")</f>
        <v/>
      </c>
      <c r="L145" s="1" t="str">
        <f>IF(AND(Programme_Grunddaten!$A150="Geprüft",Programme_Grunddaten!T150&lt;&gt;""),IF(Programme_Grunddaten!T150="Ja",1,0),"")</f>
        <v/>
      </c>
      <c r="M145" s="1" t="str">
        <f>IF(AND(Programme_Grunddaten!$A150="Geprüft",Programme_Grunddaten!U150&lt;&gt;""),IF(Programme_Grunddaten!U150="Ja",1,0),"")</f>
        <v/>
      </c>
      <c r="N145" s="1" t="str">
        <f>IF(AND(Programme_Grunddaten!$A150="Geprüft",Programme_Grunddaten!V150&lt;&gt;""),IF(Programme_Grunddaten!V150="Ja",1,0),"")</f>
        <v/>
      </c>
      <c r="O145" s="1" t="str">
        <f>IF(AND(Programme_Grunddaten!$A150="Geprüft",Programme_Grunddaten!W150&lt;&gt;""),IF(Programme_Grunddaten!W150="Ja",1,0),"")</f>
        <v/>
      </c>
      <c r="P145" s="1" t="str">
        <f>IF(AND(Programme_Grunddaten!$A150="Geprüft",Programme_Grunddaten!X150&lt;&gt;""),IF(Programme_Grunddaten!X150="Ja",1,0),"")</f>
        <v/>
      </c>
      <c r="Q145" s="1" t="str">
        <f>IF(AND(Programme_Grunddaten!$A150="Geprüft",Programme_Grunddaten!Y150&lt;&gt;""),IF(Programme_Grunddaten!Y150="Ja",1,0),"")</f>
        <v/>
      </c>
      <c r="R145" s="1" t="str">
        <f>IF(AND(Programme_Grunddaten!$A150="Geprüft",Programme_Grunddaten!Z150&lt;&gt;""),IF(Programme_Grunddaten!Z150="Ja",1,0),"")</f>
        <v/>
      </c>
      <c r="S145" s="1" t="str">
        <f>IF(AND(Programme_Grunddaten!$A150="Geprüft",Programme_Grunddaten!AA150&lt;&gt;""),IF(Programme_Grunddaten!AA150="monolithisch",1,0),"")</f>
        <v/>
      </c>
      <c r="T145" s="1" t="str">
        <f>IF(AND(Programme_Grunddaten!$A150="Geprüft",Programme_Grunddaten!AB150&lt;&gt;""),IF(Programme_Grunddaten!AB150="Ja",1,0),"")</f>
        <v/>
      </c>
      <c r="U145" s="1" t="str">
        <f>IF(AND(Programme_Grunddaten!$A150="Geprüft",Programme_Grunddaten!AC150&lt;&gt;""),IF(Programme_Grunddaten!AC150="Ja",1,0),"")</f>
        <v/>
      </c>
      <c r="V145" s="1" t="str">
        <f>IF(AND(Programme_Grunddaten!$A150="Geprüft",Programme_Grunddaten!AD150&lt;&gt;""),IF(Programme_Grunddaten!AD150="Ja",1,0),"")</f>
        <v/>
      </c>
      <c r="W145" s="1" t="str">
        <f>IF(AND(Programme_Grunddaten!$A150="Geprüft",Programme_Grunddaten!AE150&lt;&gt;""),IF(Programme_Grunddaten!AE150="Ja",1,0),"")</f>
        <v/>
      </c>
      <c r="X145" s="1" t="str">
        <f>IF(AND(Programme_Grunddaten!$A150="Geprüft",Programme_Grunddaten!AF150&lt;&gt;""),IF(Programme_Grunddaten!AF150="Ja",1,0),"")</f>
        <v/>
      </c>
      <c r="Y145" s="1" t="str">
        <f>IF(AND(Programme_Grunddaten!$A150="Geprüft",Programme_Grunddaten!AG150&lt;&gt;""),IF(Programme_Grunddaten!AG150="Ja",1,0),"")</f>
        <v/>
      </c>
      <c r="Z145" s="1" t="str">
        <f>IF(AND(Programme_Grunddaten!$A150="Geprüft",Programme_Grunddaten!AH150&lt;&gt;""),IF(Programme_Grunddaten!AH150="Ja",1,0),"")</f>
        <v/>
      </c>
      <c r="AA145" s="1" t="str">
        <f>IF(AND(Programme_Grunddaten!$A150="Geprüft",Programme_Grunddaten!AI150&lt;&gt;""),IF(Programme_Grunddaten!AI150="Ja",1,0),"")</f>
        <v/>
      </c>
      <c r="AB145" s="1" t="str">
        <f>IF(AND(Programme_Grunddaten!$A150="Geprüft",Programme_Grunddaten!AJ150&lt;&gt;""),IF(Programme_Grunddaten!AJ150="individuell programmierbar",1,0),"")</f>
        <v/>
      </c>
      <c r="AC145" s="1" t="str">
        <f>IF(AND(Programme_Grunddaten!$A150="Geprüft",Programme_Grunddaten!AK150&lt;&gt;""),IF(Programme_Grunddaten!AK150="Deutsch",0,IF(Programme_Grunddaten!AK150="Deutsch und Englisch",1,2)),"")</f>
        <v/>
      </c>
      <c r="AD145" s="1" t="str">
        <f>IF(AND(Programme_Grunddaten!$A150="Geprüft",Programme_Grunddaten!AL150&lt;&gt;""),IF(Programme_Grunddaten!AL150="Ja",1,0),"")</f>
        <v/>
      </c>
      <c r="AE145" s="1" t="str">
        <f>IF(AND(Programme_Grunddaten!$A150="Geprüft",Programme_Grunddaten!AM150&lt;&gt;""),IF(Programme_Grunddaten!AM150="Ja",1,0),"")</f>
        <v/>
      </c>
      <c r="AF145" s="1" t="str">
        <f>IF(AND(Programme_Grunddaten!$A150="Geprüft",Programme_Grunddaten!AN150&lt;&gt;""),IF(Programme_Grunddaten!AN150="Ja",1,0),"")</f>
        <v/>
      </c>
      <c r="AG145" s="1" t="str">
        <f>IF(AND(Programme_Grunddaten!$A150="Geprüft",Programme_Grunddaten!AO150&lt;&gt;""),IF(Programme_Grunddaten!AO150="Ja",1,0),"")</f>
        <v/>
      </c>
      <c r="AH145" s="1" t="str">
        <f>IF(AND(Programme_Grunddaten!$A150="Geprüft",Programme_Grunddaten!AP150&lt;&gt;""),IF(Programme_Grunddaten!AP150="Ja",1,0),"")</f>
        <v/>
      </c>
      <c r="AI145" s="1" t="str">
        <f>IF(AND(Programme_Grunddaten!$A150="Geprüft",Programme_Grunddaten!AQ150&lt;&gt;""),IF(Programme_Grunddaten!AQ150="Ja",1,0),"")</f>
        <v/>
      </c>
      <c r="AJ145" s="1" t="str">
        <f>IF(AND(Programme_Grunddaten!$A150="Geprüft",Programme_Grunddaten!AR150&lt;&gt;""),IF(Programme_Grunddaten!AR150="Ja",1,0),"")</f>
        <v/>
      </c>
      <c r="AK145" s="1" t="str">
        <f>IF(AND(Programme_Grunddaten!$A150="Geprüft",Programme_Grunddaten!AS150&lt;&gt;""),IF(Programme_Grunddaten!AS150="Ja",1,0),"")</f>
        <v/>
      </c>
      <c r="AL145" s="1" t="str">
        <f>IF(AND(Programme_Grunddaten!$A150="Geprüft",Programme_Grunddaten!AT150&lt;&gt;""),IF(Programme_Grunddaten!AT150="Ja",1,0),"")</f>
        <v/>
      </c>
      <c r="AM145" s="1" t="str">
        <f>IF(AND(Programme_Grunddaten!$A150="Geprüft",Programme_Grunddaten!AU150&lt;&gt;""),IF(Programme_Grunddaten!AU150="Ja",1,0),"")</f>
        <v/>
      </c>
      <c r="AN145" s="1" t="str">
        <f>IF(AND(Programme_Grunddaten!$A150="Geprüft",Programme_Grunddaten!AV150&lt;&gt;""),IF(Programme_Grunddaten!AV150="Ja",1,0),"")</f>
        <v/>
      </c>
    </row>
    <row r="146" spans="1:40" x14ac:dyDescent="0.3">
      <c r="A146" s="1" t="str">
        <f>IF(AND(Programme_Grunddaten!A151="Geprüft",Programme_Grunddaten!B151&lt;&gt;""),Programme_Grunddaten!B151,"")</f>
        <v/>
      </c>
      <c r="B146" s="1" t="str">
        <f>IF(AND(Programme_Grunddaten!$A151="Geprüft",Programme_Grunddaten!I151&lt;&gt;""),IF(Programme_Grunddaten!I151="Ja",1,0),"")</f>
        <v/>
      </c>
      <c r="C146" s="1" t="str">
        <f>IF(AND(Programme_Grunddaten!$A151="Geprüft",Programme_Grunddaten!J151&lt;&gt;""),IF(Programme_Grunddaten!J151="Ja",1,0),"")</f>
        <v/>
      </c>
      <c r="D146" s="1" t="str">
        <f>IF(AND(Programme_Grunddaten!$A151="Geprüft",Programme_Grunddaten!K151&lt;&gt;""),IF(Programme_Grunddaten!K151="Ja",1,0),"")</f>
        <v/>
      </c>
      <c r="E146" s="1" t="str">
        <f>IF(AND(Programme_Grunddaten!$A151="Geprüft",Programme_Grunddaten!L151&lt;&gt;""),IF(Programme_Grunddaten!L151="Abo / befristete Lizenz",1,0),"")</f>
        <v/>
      </c>
      <c r="F146" s="1" t="str">
        <f>IF(AND(Programme_Grunddaten!$A151="Geprüft",Programme_Grunddaten!M151&lt;&gt;""),IF(Programme_Grunddaten!M151="Ja",1,0),"")</f>
        <v/>
      </c>
      <c r="G146" s="1" t="str">
        <f>IF(AND(Programme_Grunddaten!$A151="Geprüft",Programme_Grunddaten!N151&lt;&gt;""),IF(Programme_Grunddaten!N151="Ja",1,0),"")</f>
        <v/>
      </c>
      <c r="H146" s="1" t="str">
        <f>IF(AND(Programme_Grunddaten!$A151="Geprüft",Programme_Grunddaten!O151&lt;&gt;""),IF(Programme_Grunddaten!O151="Deutschland",0,IF(Programme_Grunddaten!O151="EU",1,2)),"")</f>
        <v/>
      </c>
      <c r="I146" s="1" t="str">
        <f>IF(AND(Programme_Grunddaten!$A151="Geprüft",Programme_Grunddaten!P151&lt;&gt;""),IF(Programme_Grunddaten!P151="Ja",1,0),"")</f>
        <v/>
      </c>
      <c r="J146" s="1" t="str">
        <f>IF(AND(Programme_Grunddaten!$A151="Geprüft",Programme_Grunddaten!Q151&lt;&gt;""),IF(Programme_Grunddaten!Q151="geschlossenes System",1,0),"")</f>
        <v/>
      </c>
      <c r="K146" s="1" t="str">
        <f>IF(AND(Programme_Grunddaten!$A151="Geprüft",Programme_Grunddaten!R151&lt;&gt;""),IF(Programme_Grunddaten!R151="Ja",1,0),"")</f>
        <v/>
      </c>
      <c r="L146" s="1" t="str">
        <f>IF(AND(Programme_Grunddaten!$A151="Geprüft",Programme_Grunddaten!T151&lt;&gt;""),IF(Programme_Grunddaten!T151="Ja",1,0),"")</f>
        <v/>
      </c>
      <c r="M146" s="1" t="str">
        <f>IF(AND(Programme_Grunddaten!$A151="Geprüft",Programme_Grunddaten!U151&lt;&gt;""),IF(Programme_Grunddaten!U151="Ja",1,0),"")</f>
        <v/>
      </c>
      <c r="N146" s="1" t="str">
        <f>IF(AND(Programme_Grunddaten!$A151="Geprüft",Programme_Grunddaten!V151&lt;&gt;""),IF(Programme_Grunddaten!V151="Ja",1,0),"")</f>
        <v/>
      </c>
      <c r="O146" s="1" t="str">
        <f>IF(AND(Programme_Grunddaten!$A151="Geprüft",Programme_Grunddaten!W151&lt;&gt;""),IF(Programme_Grunddaten!W151="Ja",1,0),"")</f>
        <v/>
      </c>
      <c r="P146" s="1" t="str">
        <f>IF(AND(Programme_Grunddaten!$A151="Geprüft",Programme_Grunddaten!X151&lt;&gt;""),IF(Programme_Grunddaten!X151="Ja",1,0),"")</f>
        <v/>
      </c>
      <c r="Q146" s="1" t="str">
        <f>IF(AND(Programme_Grunddaten!$A151="Geprüft",Programme_Grunddaten!Y151&lt;&gt;""),IF(Programme_Grunddaten!Y151="Ja",1,0),"")</f>
        <v/>
      </c>
      <c r="R146" s="1" t="str">
        <f>IF(AND(Programme_Grunddaten!$A151="Geprüft",Programme_Grunddaten!Z151&lt;&gt;""),IF(Programme_Grunddaten!Z151="Ja",1,0),"")</f>
        <v/>
      </c>
      <c r="S146" s="1" t="str">
        <f>IF(AND(Programme_Grunddaten!$A151="Geprüft",Programme_Grunddaten!AA151&lt;&gt;""),IF(Programme_Grunddaten!AA151="monolithisch",1,0),"")</f>
        <v/>
      </c>
      <c r="T146" s="1" t="str">
        <f>IF(AND(Programme_Grunddaten!$A151="Geprüft",Programme_Grunddaten!AB151&lt;&gt;""),IF(Programme_Grunddaten!AB151="Ja",1,0),"")</f>
        <v/>
      </c>
      <c r="U146" s="1" t="str">
        <f>IF(AND(Programme_Grunddaten!$A151="Geprüft",Programme_Grunddaten!AC151&lt;&gt;""),IF(Programme_Grunddaten!AC151="Ja",1,0),"")</f>
        <v/>
      </c>
      <c r="V146" s="1" t="str">
        <f>IF(AND(Programme_Grunddaten!$A151="Geprüft",Programme_Grunddaten!AD151&lt;&gt;""),IF(Programme_Grunddaten!AD151="Ja",1,0),"")</f>
        <v/>
      </c>
      <c r="W146" s="1" t="str">
        <f>IF(AND(Programme_Grunddaten!$A151="Geprüft",Programme_Grunddaten!AE151&lt;&gt;""),IF(Programme_Grunddaten!AE151="Ja",1,0),"")</f>
        <v/>
      </c>
      <c r="X146" s="1" t="str">
        <f>IF(AND(Programme_Grunddaten!$A151="Geprüft",Programme_Grunddaten!AF151&lt;&gt;""),IF(Programme_Grunddaten!AF151="Ja",1,0),"")</f>
        <v/>
      </c>
      <c r="Y146" s="1" t="str">
        <f>IF(AND(Programme_Grunddaten!$A151="Geprüft",Programme_Grunddaten!AG151&lt;&gt;""),IF(Programme_Grunddaten!AG151="Ja",1,0),"")</f>
        <v/>
      </c>
      <c r="Z146" s="1" t="str">
        <f>IF(AND(Programme_Grunddaten!$A151="Geprüft",Programme_Grunddaten!AH151&lt;&gt;""),IF(Programme_Grunddaten!AH151="Ja",1,0),"")</f>
        <v/>
      </c>
      <c r="AA146" s="1" t="str">
        <f>IF(AND(Programme_Grunddaten!$A151="Geprüft",Programme_Grunddaten!AI151&lt;&gt;""),IF(Programme_Grunddaten!AI151="Ja",1,0),"")</f>
        <v/>
      </c>
      <c r="AB146" s="1" t="str">
        <f>IF(AND(Programme_Grunddaten!$A151="Geprüft",Programme_Grunddaten!AJ151&lt;&gt;""),IF(Programme_Grunddaten!AJ151="individuell programmierbar",1,0),"")</f>
        <v/>
      </c>
      <c r="AC146" s="1" t="str">
        <f>IF(AND(Programme_Grunddaten!$A151="Geprüft",Programme_Grunddaten!AK151&lt;&gt;""),IF(Programme_Grunddaten!AK151="Deutsch",0,IF(Programme_Grunddaten!AK151="Deutsch und Englisch",1,2)),"")</f>
        <v/>
      </c>
      <c r="AD146" s="1" t="str">
        <f>IF(AND(Programme_Grunddaten!$A151="Geprüft",Programme_Grunddaten!AL151&lt;&gt;""),IF(Programme_Grunddaten!AL151="Ja",1,0),"")</f>
        <v/>
      </c>
      <c r="AE146" s="1" t="str">
        <f>IF(AND(Programme_Grunddaten!$A151="Geprüft",Programme_Grunddaten!AM151&lt;&gt;""),IF(Programme_Grunddaten!AM151="Ja",1,0),"")</f>
        <v/>
      </c>
      <c r="AF146" s="1" t="str">
        <f>IF(AND(Programme_Grunddaten!$A151="Geprüft",Programme_Grunddaten!AN151&lt;&gt;""),IF(Programme_Grunddaten!AN151="Ja",1,0),"")</f>
        <v/>
      </c>
      <c r="AG146" s="1" t="str">
        <f>IF(AND(Programme_Grunddaten!$A151="Geprüft",Programme_Grunddaten!AO151&lt;&gt;""),IF(Programme_Grunddaten!AO151="Ja",1,0),"")</f>
        <v/>
      </c>
      <c r="AH146" s="1" t="str">
        <f>IF(AND(Programme_Grunddaten!$A151="Geprüft",Programme_Grunddaten!AP151&lt;&gt;""),IF(Programme_Grunddaten!AP151="Ja",1,0),"")</f>
        <v/>
      </c>
      <c r="AI146" s="1" t="str">
        <f>IF(AND(Programme_Grunddaten!$A151="Geprüft",Programme_Grunddaten!AQ151&lt;&gt;""),IF(Programme_Grunddaten!AQ151="Ja",1,0),"")</f>
        <v/>
      </c>
      <c r="AJ146" s="1" t="str">
        <f>IF(AND(Programme_Grunddaten!$A151="Geprüft",Programme_Grunddaten!AR151&lt;&gt;""),IF(Programme_Grunddaten!AR151="Ja",1,0),"")</f>
        <v/>
      </c>
      <c r="AK146" s="1" t="str">
        <f>IF(AND(Programme_Grunddaten!$A151="Geprüft",Programme_Grunddaten!AS151&lt;&gt;""),IF(Programme_Grunddaten!AS151="Ja",1,0),"")</f>
        <v/>
      </c>
      <c r="AL146" s="1" t="str">
        <f>IF(AND(Programme_Grunddaten!$A151="Geprüft",Programme_Grunddaten!AT151&lt;&gt;""),IF(Programme_Grunddaten!AT151="Ja",1,0),"")</f>
        <v/>
      </c>
      <c r="AM146" s="1" t="str">
        <f>IF(AND(Programme_Grunddaten!$A151="Geprüft",Programme_Grunddaten!AU151&lt;&gt;""),IF(Programme_Grunddaten!AU151="Ja",1,0),"")</f>
        <v/>
      </c>
      <c r="AN146" s="1" t="str">
        <f>IF(AND(Programme_Grunddaten!$A151="Geprüft",Programme_Grunddaten!AV151&lt;&gt;""),IF(Programme_Grunddaten!AV151="Ja",1,0),"")</f>
        <v/>
      </c>
    </row>
    <row r="147" spans="1:40" x14ac:dyDescent="0.3">
      <c r="A147" s="1" t="str">
        <f>IF(AND(Programme_Grunddaten!A152="Geprüft",Programme_Grunddaten!B152&lt;&gt;""),Programme_Grunddaten!B152,"")</f>
        <v/>
      </c>
      <c r="B147" s="1" t="str">
        <f>IF(AND(Programme_Grunddaten!$A152="Geprüft",Programme_Grunddaten!I152&lt;&gt;""),IF(Programme_Grunddaten!I152="Ja",1,0),"")</f>
        <v/>
      </c>
      <c r="C147" s="1" t="str">
        <f>IF(AND(Programme_Grunddaten!$A152="Geprüft",Programme_Grunddaten!J152&lt;&gt;""),IF(Programme_Grunddaten!J152="Ja",1,0),"")</f>
        <v/>
      </c>
      <c r="D147" s="1" t="str">
        <f>IF(AND(Programme_Grunddaten!$A152="Geprüft",Programme_Grunddaten!K152&lt;&gt;""),IF(Programme_Grunddaten!K152="Ja",1,0),"")</f>
        <v/>
      </c>
      <c r="E147" s="1" t="str">
        <f>IF(AND(Programme_Grunddaten!$A152="Geprüft",Programme_Grunddaten!L152&lt;&gt;""),IF(Programme_Grunddaten!L152="Abo / befristete Lizenz",1,0),"")</f>
        <v/>
      </c>
      <c r="F147" s="1" t="str">
        <f>IF(AND(Programme_Grunddaten!$A152="Geprüft",Programme_Grunddaten!M152&lt;&gt;""),IF(Programme_Grunddaten!M152="Ja",1,0),"")</f>
        <v/>
      </c>
      <c r="G147" s="1" t="str">
        <f>IF(AND(Programme_Grunddaten!$A152="Geprüft",Programme_Grunddaten!N152&lt;&gt;""),IF(Programme_Grunddaten!N152="Ja",1,0),"")</f>
        <v/>
      </c>
      <c r="H147" s="1" t="str">
        <f>IF(AND(Programme_Grunddaten!$A152="Geprüft",Programme_Grunddaten!O152&lt;&gt;""),IF(Programme_Grunddaten!O152="Deutschland",0,IF(Programme_Grunddaten!O152="EU",1,2)),"")</f>
        <v/>
      </c>
      <c r="I147" s="1" t="str">
        <f>IF(AND(Programme_Grunddaten!$A152="Geprüft",Programme_Grunddaten!P152&lt;&gt;""),IF(Programme_Grunddaten!P152="Ja",1,0),"")</f>
        <v/>
      </c>
      <c r="J147" s="1" t="str">
        <f>IF(AND(Programme_Grunddaten!$A152="Geprüft",Programme_Grunddaten!Q152&lt;&gt;""),IF(Programme_Grunddaten!Q152="geschlossenes System",1,0),"")</f>
        <v/>
      </c>
      <c r="K147" s="1" t="str">
        <f>IF(AND(Programme_Grunddaten!$A152="Geprüft",Programme_Grunddaten!R152&lt;&gt;""),IF(Programme_Grunddaten!R152="Ja",1,0),"")</f>
        <v/>
      </c>
      <c r="L147" s="1" t="str">
        <f>IF(AND(Programme_Grunddaten!$A152="Geprüft",Programme_Grunddaten!T152&lt;&gt;""),IF(Programme_Grunddaten!T152="Ja",1,0),"")</f>
        <v/>
      </c>
      <c r="M147" s="1" t="str">
        <f>IF(AND(Programme_Grunddaten!$A152="Geprüft",Programme_Grunddaten!U152&lt;&gt;""),IF(Programme_Grunddaten!U152="Ja",1,0),"")</f>
        <v/>
      </c>
      <c r="N147" s="1" t="str">
        <f>IF(AND(Programme_Grunddaten!$A152="Geprüft",Programme_Grunddaten!V152&lt;&gt;""),IF(Programme_Grunddaten!V152="Ja",1,0),"")</f>
        <v/>
      </c>
      <c r="O147" s="1" t="str">
        <f>IF(AND(Programme_Grunddaten!$A152="Geprüft",Programme_Grunddaten!W152&lt;&gt;""),IF(Programme_Grunddaten!W152="Ja",1,0),"")</f>
        <v/>
      </c>
      <c r="P147" s="1" t="str">
        <f>IF(AND(Programme_Grunddaten!$A152="Geprüft",Programme_Grunddaten!X152&lt;&gt;""),IF(Programme_Grunddaten!X152="Ja",1,0),"")</f>
        <v/>
      </c>
      <c r="Q147" s="1" t="str">
        <f>IF(AND(Programme_Grunddaten!$A152="Geprüft",Programme_Grunddaten!Y152&lt;&gt;""),IF(Programme_Grunddaten!Y152="Ja",1,0),"")</f>
        <v/>
      </c>
      <c r="R147" s="1" t="str">
        <f>IF(AND(Programme_Grunddaten!$A152="Geprüft",Programme_Grunddaten!Z152&lt;&gt;""),IF(Programme_Grunddaten!Z152="Ja",1,0),"")</f>
        <v/>
      </c>
      <c r="S147" s="1" t="str">
        <f>IF(AND(Programme_Grunddaten!$A152="Geprüft",Programme_Grunddaten!AA152&lt;&gt;""),IF(Programme_Grunddaten!AA152="monolithisch",1,0),"")</f>
        <v/>
      </c>
      <c r="T147" s="1" t="str">
        <f>IF(AND(Programme_Grunddaten!$A152="Geprüft",Programme_Grunddaten!AB152&lt;&gt;""),IF(Programme_Grunddaten!AB152="Ja",1,0),"")</f>
        <v/>
      </c>
      <c r="U147" s="1" t="str">
        <f>IF(AND(Programme_Grunddaten!$A152="Geprüft",Programme_Grunddaten!AC152&lt;&gt;""),IF(Programme_Grunddaten!AC152="Ja",1,0),"")</f>
        <v/>
      </c>
      <c r="V147" s="1" t="str">
        <f>IF(AND(Programme_Grunddaten!$A152="Geprüft",Programme_Grunddaten!AD152&lt;&gt;""),IF(Programme_Grunddaten!AD152="Ja",1,0),"")</f>
        <v/>
      </c>
      <c r="W147" s="1" t="str">
        <f>IF(AND(Programme_Grunddaten!$A152="Geprüft",Programme_Grunddaten!AE152&lt;&gt;""),IF(Programme_Grunddaten!AE152="Ja",1,0),"")</f>
        <v/>
      </c>
      <c r="X147" s="1" t="str">
        <f>IF(AND(Programme_Grunddaten!$A152="Geprüft",Programme_Grunddaten!AF152&lt;&gt;""),IF(Programme_Grunddaten!AF152="Ja",1,0),"")</f>
        <v/>
      </c>
      <c r="Y147" s="1" t="str">
        <f>IF(AND(Programme_Grunddaten!$A152="Geprüft",Programme_Grunddaten!AG152&lt;&gt;""),IF(Programme_Grunddaten!AG152="Ja",1,0),"")</f>
        <v/>
      </c>
      <c r="Z147" s="1" t="str">
        <f>IF(AND(Programme_Grunddaten!$A152="Geprüft",Programme_Grunddaten!AH152&lt;&gt;""),IF(Programme_Grunddaten!AH152="Ja",1,0),"")</f>
        <v/>
      </c>
      <c r="AA147" s="1" t="str">
        <f>IF(AND(Programme_Grunddaten!$A152="Geprüft",Programme_Grunddaten!AI152&lt;&gt;""),IF(Programme_Grunddaten!AI152="Ja",1,0),"")</f>
        <v/>
      </c>
      <c r="AB147" s="1" t="str">
        <f>IF(AND(Programme_Grunddaten!$A152="Geprüft",Programme_Grunddaten!AJ152&lt;&gt;""),IF(Programme_Grunddaten!AJ152="individuell programmierbar",1,0),"")</f>
        <v/>
      </c>
      <c r="AC147" s="1" t="str">
        <f>IF(AND(Programme_Grunddaten!$A152="Geprüft",Programme_Grunddaten!AK152&lt;&gt;""),IF(Programme_Grunddaten!AK152="Deutsch",0,IF(Programme_Grunddaten!AK152="Deutsch und Englisch",1,2)),"")</f>
        <v/>
      </c>
      <c r="AD147" s="1" t="str">
        <f>IF(AND(Programme_Grunddaten!$A152="Geprüft",Programme_Grunddaten!AL152&lt;&gt;""),IF(Programme_Grunddaten!AL152="Ja",1,0),"")</f>
        <v/>
      </c>
      <c r="AE147" s="1" t="str">
        <f>IF(AND(Programme_Grunddaten!$A152="Geprüft",Programme_Grunddaten!AM152&lt;&gt;""),IF(Programme_Grunddaten!AM152="Ja",1,0),"")</f>
        <v/>
      </c>
      <c r="AF147" s="1" t="str">
        <f>IF(AND(Programme_Grunddaten!$A152="Geprüft",Programme_Grunddaten!AN152&lt;&gt;""),IF(Programme_Grunddaten!AN152="Ja",1,0),"")</f>
        <v/>
      </c>
      <c r="AG147" s="1" t="str">
        <f>IF(AND(Programme_Grunddaten!$A152="Geprüft",Programme_Grunddaten!AO152&lt;&gt;""),IF(Programme_Grunddaten!AO152="Ja",1,0),"")</f>
        <v/>
      </c>
      <c r="AH147" s="1" t="str">
        <f>IF(AND(Programme_Grunddaten!$A152="Geprüft",Programme_Grunddaten!AP152&lt;&gt;""),IF(Programme_Grunddaten!AP152="Ja",1,0),"")</f>
        <v/>
      </c>
      <c r="AI147" s="1" t="str">
        <f>IF(AND(Programme_Grunddaten!$A152="Geprüft",Programme_Grunddaten!AQ152&lt;&gt;""),IF(Programme_Grunddaten!AQ152="Ja",1,0),"")</f>
        <v/>
      </c>
      <c r="AJ147" s="1" t="str">
        <f>IF(AND(Programme_Grunddaten!$A152="Geprüft",Programme_Grunddaten!AR152&lt;&gt;""),IF(Programme_Grunddaten!AR152="Ja",1,0),"")</f>
        <v/>
      </c>
      <c r="AK147" s="1" t="str">
        <f>IF(AND(Programme_Grunddaten!$A152="Geprüft",Programme_Grunddaten!AS152&lt;&gt;""),IF(Programme_Grunddaten!AS152="Ja",1,0),"")</f>
        <v/>
      </c>
      <c r="AL147" s="1" t="str">
        <f>IF(AND(Programme_Grunddaten!$A152="Geprüft",Programme_Grunddaten!AT152&lt;&gt;""),IF(Programme_Grunddaten!AT152="Ja",1,0),"")</f>
        <v/>
      </c>
      <c r="AM147" s="1" t="str">
        <f>IF(AND(Programme_Grunddaten!$A152="Geprüft",Programme_Grunddaten!AU152&lt;&gt;""),IF(Programme_Grunddaten!AU152="Ja",1,0),"")</f>
        <v/>
      </c>
      <c r="AN147" s="1" t="str">
        <f>IF(AND(Programme_Grunddaten!$A152="Geprüft",Programme_Grunddaten!AV152&lt;&gt;""),IF(Programme_Grunddaten!AV152="Ja",1,0),"")</f>
        <v/>
      </c>
    </row>
    <row r="148" spans="1:40" x14ac:dyDescent="0.3">
      <c r="A148" s="1" t="str">
        <f>IF(AND(Programme_Grunddaten!A153="Geprüft",Programme_Grunddaten!B153&lt;&gt;""),Programme_Grunddaten!B153,"")</f>
        <v/>
      </c>
      <c r="B148" s="1" t="str">
        <f>IF(AND(Programme_Grunddaten!$A153="Geprüft",Programme_Grunddaten!I153&lt;&gt;""),IF(Programme_Grunddaten!I153="Ja",1,0),"")</f>
        <v/>
      </c>
      <c r="C148" s="1" t="str">
        <f>IF(AND(Programme_Grunddaten!$A153="Geprüft",Programme_Grunddaten!J153&lt;&gt;""),IF(Programme_Grunddaten!J153="Ja",1,0),"")</f>
        <v/>
      </c>
      <c r="D148" s="1" t="str">
        <f>IF(AND(Programme_Grunddaten!$A153="Geprüft",Programme_Grunddaten!K153&lt;&gt;""),IF(Programme_Grunddaten!K153="Ja",1,0),"")</f>
        <v/>
      </c>
      <c r="E148" s="1" t="str">
        <f>IF(AND(Programme_Grunddaten!$A153="Geprüft",Programme_Grunddaten!L153&lt;&gt;""),IF(Programme_Grunddaten!L153="Abo / befristete Lizenz",1,0),"")</f>
        <v/>
      </c>
      <c r="F148" s="1" t="str">
        <f>IF(AND(Programme_Grunddaten!$A153="Geprüft",Programme_Grunddaten!M153&lt;&gt;""),IF(Programme_Grunddaten!M153="Ja",1,0),"")</f>
        <v/>
      </c>
      <c r="G148" s="1" t="str">
        <f>IF(AND(Programme_Grunddaten!$A153="Geprüft",Programme_Grunddaten!N153&lt;&gt;""),IF(Programme_Grunddaten!N153="Ja",1,0),"")</f>
        <v/>
      </c>
      <c r="H148" s="1" t="str">
        <f>IF(AND(Programme_Grunddaten!$A153="Geprüft",Programme_Grunddaten!O153&lt;&gt;""),IF(Programme_Grunddaten!O153="Deutschland",0,IF(Programme_Grunddaten!O153="EU",1,2)),"")</f>
        <v/>
      </c>
      <c r="I148" s="1" t="str">
        <f>IF(AND(Programme_Grunddaten!$A153="Geprüft",Programme_Grunddaten!P153&lt;&gt;""),IF(Programme_Grunddaten!P153="Ja",1,0),"")</f>
        <v/>
      </c>
      <c r="J148" s="1" t="str">
        <f>IF(AND(Programme_Grunddaten!$A153="Geprüft",Programme_Grunddaten!Q153&lt;&gt;""),IF(Programme_Grunddaten!Q153="geschlossenes System",1,0),"")</f>
        <v/>
      </c>
      <c r="K148" s="1" t="str">
        <f>IF(AND(Programme_Grunddaten!$A153="Geprüft",Programme_Grunddaten!R153&lt;&gt;""),IF(Programme_Grunddaten!R153="Ja",1,0),"")</f>
        <v/>
      </c>
      <c r="L148" s="1" t="str">
        <f>IF(AND(Programme_Grunddaten!$A153="Geprüft",Programme_Grunddaten!T153&lt;&gt;""),IF(Programme_Grunddaten!T153="Ja",1,0),"")</f>
        <v/>
      </c>
      <c r="M148" s="1" t="str">
        <f>IF(AND(Programme_Grunddaten!$A153="Geprüft",Programme_Grunddaten!U153&lt;&gt;""),IF(Programme_Grunddaten!U153="Ja",1,0),"")</f>
        <v/>
      </c>
      <c r="N148" s="1" t="str">
        <f>IF(AND(Programme_Grunddaten!$A153="Geprüft",Programme_Grunddaten!V153&lt;&gt;""),IF(Programme_Grunddaten!V153="Ja",1,0),"")</f>
        <v/>
      </c>
      <c r="O148" s="1" t="str">
        <f>IF(AND(Programme_Grunddaten!$A153="Geprüft",Programme_Grunddaten!W153&lt;&gt;""),IF(Programme_Grunddaten!W153="Ja",1,0),"")</f>
        <v/>
      </c>
      <c r="P148" s="1" t="str">
        <f>IF(AND(Programme_Grunddaten!$A153="Geprüft",Programme_Grunddaten!X153&lt;&gt;""),IF(Programme_Grunddaten!X153="Ja",1,0),"")</f>
        <v/>
      </c>
      <c r="Q148" s="1" t="str">
        <f>IF(AND(Programme_Grunddaten!$A153="Geprüft",Programme_Grunddaten!Y153&lt;&gt;""),IF(Programme_Grunddaten!Y153="Ja",1,0),"")</f>
        <v/>
      </c>
      <c r="R148" s="1" t="str">
        <f>IF(AND(Programme_Grunddaten!$A153="Geprüft",Programme_Grunddaten!Z153&lt;&gt;""),IF(Programme_Grunddaten!Z153="Ja",1,0),"")</f>
        <v/>
      </c>
      <c r="S148" s="1" t="str">
        <f>IF(AND(Programme_Grunddaten!$A153="Geprüft",Programme_Grunddaten!AA153&lt;&gt;""),IF(Programme_Grunddaten!AA153="monolithisch",1,0),"")</f>
        <v/>
      </c>
      <c r="T148" s="1" t="str">
        <f>IF(AND(Programme_Grunddaten!$A153="Geprüft",Programme_Grunddaten!AB153&lt;&gt;""),IF(Programme_Grunddaten!AB153="Ja",1,0),"")</f>
        <v/>
      </c>
      <c r="U148" s="1" t="str">
        <f>IF(AND(Programme_Grunddaten!$A153="Geprüft",Programme_Grunddaten!AC153&lt;&gt;""),IF(Programme_Grunddaten!AC153="Ja",1,0),"")</f>
        <v/>
      </c>
      <c r="V148" s="1" t="str">
        <f>IF(AND(Programme_Grunddaten!$A153="Geprüft",Programme_Grunddaten!AD153&lt;&gt;""),IF(Programme_Grunddaten!AD153="Ja",1,0),"")</f>
        <v/>
      </c>
      <c r="W148" s="1" t="str">
        <f>IF(AND(Programme_Grunddaten!$A153="Geprüft",Programme_Grunddaten!AE153&lt;&gt;""),IF(Programme_Grunddaten!AE153="Ja",1,0),"")</f>
        <v/>
      </c>
      <c r="X148" s="1" t="str">
        <f>IF(AND(Programme_Grunddaten!$A153="Geprüft",Programme_Grunddaten!AF153&lt;&gt;""),IF(Programme_Grunddaten!AF153="Ja",1,0),"")</f>
        <v/>
      </c>
      <c r="Y148" s="1" t="str">
        <f>IF(AND(Programme_Grunddaten!$A153="Geprüft",Programme_Grunddaten!AG153&lt;&gt;""),IF(Programme_Grunddaten!AG153="Ja",1,0),"")</f>
        <v/>
      </c>
      <c r="Z148" s="1" t="str">
        <f>IF(AND(Programme_Grunddaten!$A153="Geprüft",Programme_Grunddaten!AH153&lt;&gt;""),IF(Programme_Grunddaten!AH153="Ja",1,0),"")</f>
        <v/>
      </c>
      <c r="AA148" s="1" t="str">
        <f>IF(AND(Programme_Grunddaten!$A153="Geprüft",Programme_Grunddaten!AI153&lt;&gt;""),IF(Programme_Grunddaten!AI153="Ja",1,0),"")</f>
        <v/>
      </c>
      <c r="AB148" s="1" t="str">
        <f>IF(AND(Programme_Grunddaten!$A153="Geprüft",Programme_Grunddaten!AJ153&lt;&gt;""),IF(Programme_Grunddaten!AJ153="individuell programmierbar",1,0),"")</f>
        <v/>
      </c>
      <c r="AC148" s="1" t="str">
        <f>IF(AND(Programme_Grunddaten!$A153="Geprüft",Programme_Grunddaten!AK153&lt;&gt;""),IF(Programme_Grunddaten!AK153="Deutsch",0,IF(Programme_Grunddaten!AK153="Deutsch und Englisch",1,2)),"")</f>
        <v/>
      </c>
      <c r="AD148" s="1" t="str">
        <f>IF(AND(Programme_Grunddaten!$A153="Geprüft",Programme_Grunddaten!AL153&lt;&gt;""),IF(Programme_Grunddaten!AL153="Ja",1,0),"")</f>
        <v/>
      </c>
      <c r="AE148" s="1" t="str">
        <f>IF(AND(Programme_Grunddaten!$A153="Geprüft",Programme_Grunddaten!AM153&lt;&gt;""),IF(Programme_Grunddaten!AM153="Ja",1,0),"")</f>
        <v/>
      </c>
      <c r="AF148" s="1" t="str">
        <f>IF(AND(Programme_Grunddaten!$A153="Geprüft",Programme_Grunddaten!AN153&lt;&gt;""),IF(Programme_Grunddaten!AN153="Ja",1,0),"")</f>
        <v/>
      </c>
      <c r="AG148" s="1" t="str">
        <f>IF(AND(Programme_Grunddaten!$A153="Geprüft",Programme_Grunddaten!AO153&lt;&gt;""),IF(Programme_Grunddaten!AO153="Ja",1,0),"")</f>
        <v/>
      </c>
      <c r="AH148" s="1" t="str">
        <f>IF(AND(Programme_Grunddaten!$A153="Geprüft",Programme_Grunddaten!AP153&lt;&gt;""),IF(Programme_Grunddaten!AP153="Ja",1,0),"")</f>
        <v/>
      </c>
      <c r="AI148" s="1" t="str">
        <f>IF(AND(Programme_Grunddaten!$A153="Geprüft",Programme_Grunddaten!AQ153&lt;&gt;""),IF(Programme_Grunddaten!AQ153="Ja",1,0),"")</f>
        <v/>
      </c>
      <c r="AJ148" s="1" t="str">
        <f>IF(AND(Programme_Grunddaten!$A153="Geprüft",Programme_Grunddaten!AR153&lt;&gt;""),IF(Programme_Grunddaten!AR153="Ja",1,0),"")</f>
        <v/>
      </c>
      <c r="AK148" s="1" t="str">
        <f>IF(AND(Programme_Grunddaten!$A153="Geprüft",Programme_Grunddaten!AS153&lt;&gt;""),IF(Programme_Grunddaten!AS153="Ja",1,0),"")</f>
        <v/>
      </c>
      <c r="AL148" s="1" t="str">
        <f>IF(AND(Programme_Grunddaten!$A153="Geprüft",Programme_Grunddaten!AT153&lt;&gt;""),IF(Programme_Grunddaten!AT153="Ja",1,0),"")</f>
        <v/>
      </c>
      <c r="AM148" s="1" t="str">
        <f>IF(AND(Programme_Grunddaten!$A153="Geprüft",Programme_Grunddaten!AU153&lt;&gt;""),IF(Programme_Grunddaten!AU153="Ja",1,0),"")</f>
        <v/>
      </c>
      <c r="AN148" s="1" t="str">
        <f>IF(AND(Programme_Grunddaten!$A153="Geprüft",Programme_Grunddaten!AV153&lt;&gt;""),IF(Programme_Grunddaten!AV153="Ja",1,0),"")</f>
        <v/>
      </c>
    </row>
    <row r="149" spans="1:40" x14ac:dyDescent="0.3">
      <c r="A149" s="1" t="str">
        <f>IF(AND(Programme_Grunddaten!A154="Geprüft",Programme_Grunddaten!B154&lt;&gt;""),Programme_Grunddaten!B154,"")</f>
        <v/>
      </c>
      <c r="B149" s="1" t="str">
        <f>IF(AND(Programme_Grunddaten!$A154="Geprüft",Programme_Grunddaten!I154&lt;&gt;""),IF(Programme_Grunddaten!I154="Ja",1,0),"")</f>
        <v/>
      </c>
      <c r="C149" s="1" t="str">
        <f>IF(AND(Programme_Grunddaten!$A154="Geprüft",Programme_Grunddaten!J154&lt;&gt;""),IF(Programme_Grunddaten!J154="Ja",1,0),"")</f>
        <v/>
      </c>
      <c r="D149" s="1" t="str">
        <f>IF(AND(Programme_Grunddaten!$A154="Geprüft",Programme_Grunddaten!K154&lt;&gt;""),IF(Programme_Grunddaten!K154="Ja",1,0),"")</f>
        <v/>
      </c>
      <c r="E149" s="1" t="str">
        <f>IF(AND(Programme_Grunddaten!$A154="Geprüft",Programme_Grunddaten!L154&lt;&gt;""),IF(Programme_Grunddaten!L154="Abo / befristete Lizenz",1,0),"")</f>
        <v/>
      </c>
      <c r="F149" s="1" t="str">
        <f>IF(AND(Programme_Grunddaten!$A154="Geprüft",Programme_Grunddaten!M154&lt;&gt;""),IF(Programme_Grunddaten!M154="Ja",1,0),"")</f>
        <v/>
      </c>
      <c r="G149" s="1" t="str">
        <f>IF(AND(Programme_Grunddaten!$A154="Geprüft",Programme_Grunddaten!N154&lt;&gt;""),IF(Programme_Grunddaten!N154="Ja",1,0),"")</f>
        <v/>
      </c>
      <c r="H149" s="1" t="str">
        <f>IF(AND(Programme_Grunddaten!$A154="Geprüft",Programme_Grunddaten!O154&lt;&gt;""),IF(Programme_Grunddaten!O154="Deutschland",0,IF(Programme_Grunddaten!O154="EU",1,2)),"")</f>
        <v/>
      </c>
      <c r="I149" s="1" t="str">
        <f>IF(AND(Programme_Grunddaten!$A154="Geprüft",Programme_Grunddaten!P154&lt;&gt;""),IF(Programme_Grunddaten!P154="Ja",1,0),"")</f>
        <v/>
      </c>
      <c r="J149" s="1" t="str">
        <f>IF(AND(Programme_Grunddaten!$A154="Geprüft",Programme_Grunddaten!Q154&lt;&gt;""),IF(Programme_Grunddaten!Q154="geschlossenes System",1,0),"")</f>
        <v/>
      </c>
      <c r="K149" s="1" t="str">
        <f>IF(AND(Programme_Grunddaten!$A154="Geprüft",Programme_Grunddaten!R154&lt;&gt;""),IF(Programme_Grunddaten!R154="Ja",1,0),"")</f>
        <v/>
      </c>
      <c r="L149" s="1" t="str">
        <f>IF(AND(Programme_Grunddaten!$A154="Geprüft",Programme_Grunddaten!T154&lt;&gt;""),IF(Programme_Grunddaten!T154="Ja",1,0),"")</f>
        <v/>
      </c>
      <c r="M149" s="1" t="str">
        <f>IF(AND(Programme_Grunddaten!$A154="Geprüft",Programme_Grunddaten!U154&lt;&gt;""),IF(Programme_Grunddaten!U154="Ja",1,0),"")</f>
        <v/>
      </c>
      <c r="N149" s="1" t="str">
        <f>IF(AND(Programme_Grunddaten!$A154="Geprüft",Programme_Grunddaten!V154&lt;&gt;""),IF(Programme_Grunddaten!V154="Ja",1,0),"")</f>
        <v/>
      </c>
      <c r="O149" s="1" t="str">
        <f>IF(AND(Programme_Grunddaten!$A154="Geprüft",Programme_Grunddaten!W154&lt;&gt;""),IF(Programme_Grunddaten!W154="Ja",1,0),"")</f>
        <v/>
      </c>
      <c r="P149" s="1" t="str">
        <f>IF(AND(Programme_Grunddaten!$A154="Geprüft",Programme_Grunddaten!X154&lt;&gt;""),IF(Programme_Grunddaten!X154="Ja",1,0),"")</f>
        <v/>
      </c>
      <c r="Q149" s="1" t="str">
        <f>IF(AND(Programme_Grunddaten!$A154="Geprüft",Programme_Grunddaten!Y154&lt;&gt;""),IF(Programme_Grunddaten!Y154="Ja",1,0),"")</f>
        <v/>
      </c>
      <c r="R149" s="1" t="str">
        <f>IF(AND(Programme_Grunddaten!$A154="Geprüft",Programme_Grunddaten!Z154&lt;&gt;""),IF(Programme_Grunddaten!Z154="Ja",1,0),"")</f>
        <v/>
      </c>
      <c r="S149" s="1" t="str">
        <f>IF(AND(Programme_Grunddaten!$A154="Geprüft",Programme_Grunddaten!AA154&lt;&gt;""),IF(Programme_Grunddaten!AA154="monolithisch",1,0),"")</f>
        <v/>
      </c>
      <c r="T149" s="1" t="str">
        <f>IF(AND(Programme_Grunddaten!$A154="Geprüft",Programme_Grunddaten!AB154&lt;&gt;""),IF(Programme_Grunddaten!AB154="Ja",1,0),"")</f>
        <v/>
      </c>
      <c r="U149" s="1" t="str">
        <f>IF(AND(Programme_Grunddaten!$A154="Geprüft",Programme_Grunddaten!AC154&lt;&gt;""),IF(Programme_Grunddaten!AC154="Ja",1,0),"")</f>
        <v/>
      </c>
      <c r="V149" s="1" t="str">
        <f>IF(AND(Programme_Grunddaten!$A154="Geprüft",Programme_Grunddaten!AD154&lt;&gt;""),IF(Programme_Grunddaten!AD154="Ja",1,0),"")</f>
        <v/>
      </c>
      <c r="W149" s="1" t="str">
        <f>IF(AND(Programme_Grunddaten!$A154="Geprüft",Programme_Grunddaten!AE154&lt;&gt;""),IF(Programme_Grunddaten!AE154="Ja",1,0),"")</f>
        <v/>
      </c>
      <c r="X149" s="1" t="str">
        <f>IF(AND(Programme_Grunddaten!$A154="Geprüft",Programme_Grunddaten!AF154&lt;&gt;""),IF(Programme_Grunddaten!AF154="Ja",1,0),"")</f>
        <v/>
      </c>
      <c r="Y149" s="1" t="str">
        <f>IF(AND(Programme_Grunddaten!$A154="Geprüft",Programme_Grunddaten!AG154&lt;&gt;""),IF(Programme_Grunddaten!AG154="Ja",1,0),"")</f>
        <v/>
      </c>
      <c r="Z149" s="1" t="str">
        <f>IF(AND(Programme_Grunddaten!$A154="Geprüft",Programme_Grunddaten!AH154&lt;&gt;""),IF(Programme_Grunddaten!AH154="Ja",1,0),"")</f>
        <v/>
      </c>
      <c r="AA149" s="1" t="str">
        <f>IF(AND(Programme_Grunddaten!$A154="Geprüft",Programme_Grunddaten!AI154&lt;&gt;""),IF(Programme_Grunddaten!AI154="Ja",1,0),"")</f>
        <v/>
      </c>
      <c r="AB149" s="1" t="str">
        <f>IF(AND(Programme_Grunddaten!$A154="Geprüft",Programme_Grunddaten!AJ154&lt;&gt;""),IF(Programme_Grunddaten!AJ154="individuell programmierbar",1,0),"")</f>
        <v/>
      </c>
      <c r="AC149" s="1" t="str">
        <f>IF(AND(Programme_Grunddaten!$A154="Geprüft",Programme_Grunddaten!AK154&lt;&gt;""),IF(Programme_Grunddaten!AK154="Deutsch",0,IF(Programme_Grunddaten!AK154="Deutsch und Englisch",1,2)),"")</f>
        <v/>
      </c>
      <c r="AD149" s="1" t="str">
        <f>IF(AND(Programme_Grunddaten!$A154="Geprüft",Programme_Grunddaten!AL154&lt;&gt;""),IF(Programme_Grunddaten!AL154="Ja",1,0),"")</f>
        <v/>
      </c>
      <c r="AE149" s="1" t="str">
        <f>IF(AND(Programme_Grunddaten!$A154="Geprüft",Programme_Grunddaten!AM154&lt;&gt;""),IF(Programme_Grunddaten!AM154="Ja",1,0),"")</f>
        <v/>
      </c>
      <c r="AF149" s="1" t="str">
        <f>IF(AND(Programme_Grunddaten!$A154="Geprüft",Programme_Grunddaten!AN154&lt;&gt;""),IF(Programme_Grunddaten!AN154="Ja",1,0),"")</f>
        <v/>
      </c>
      <c r="AG149" s="1" t="str">
        <f>IF(AND(Programme_Grunddaten!$A154="Geprüft",Programme_Grunddaten!AO154&lt;&gt;""),IF(Programme_Grunddaten!AO154="Ja",1,0),"")</f>
        <v/>
      </c>
      <c r="AH149" s="1" t="str">
        <f>IF(AND(Programme_Grunddaten!$A154="Geprüft",Programme_Grunddaten!AP154&lt;&gt;""),IF(Programme_Grunddaten!AP154="Ja",1,0),"")</f>
        <v/>
      </c>
      <c r="AI149" s="1" t="str">
        <f>IF(AND(Programme_Grunddaten!$A154="Geprüft",Programme_Grunddaten!AQ154&lt;&gt;""),IF(Programme_Grunddaten!AQ154="Ja",1,0),"")</f>
        <v/>
      </c>
      <c r="AJ149" s="1" t="str">
        <f>IF(AND(Programme_Grunddaten!$A154="Geprüft",Programme_Grunddaten!AR154&lt;&gt;""),IF(Programme_Grunddaten!AR154="Ja",1,0),"")</f>
        <v/>
      </c>
      <c r="AK149" s="1" t="str">
        <f>IF(AND(Programme_Grunddaten!$A154="Geprüft",Programme_Grunddaten!AS154&lt;&gt;""),IF(Programme_Grunddaten!AS154="Ja",1,0),"")</f>
        <v/>
      </c>
      <c r="AL149" s="1" t="str">
        <f>IF(AND(Programme_Grunddaten!$A154="Geprüft",Programme_Grunddaten!AT154&lt;&gt;""),IF(Programme_Grunddaten!AT154="Ja",1,0),"")</f>
        <v/>
      </c>
      <c r="AM149" s="1" t="str">
        <f>IF(AND(Programme_Grunddaten!$A154="Geprüft",Programme_Grunddaten!AU154&lt;&gt;""),IF(Programme_Grunddaten!AU154="Ja",1,0),"")</f>
        <v/>
      </c>
      <c r="AN149" s="1" t="str">
        <f>IF(AND(Programme_Grunddaten!$A154="Geprüft",Programme_Grunddaten!AV154&lt;&gt;""),IF(Programme_Grunddaten!AV154="Ja",1,0),"")</f>
        <v/>
      </c>
    </row>
    <row r="150" spans="1:40" x14ac:dyDescent="0.3">
      <c r="A150" s="1" t="str">
        <f>IF(AND(Programme_Grunddaten!A155="Geprüft",Programme_Grunddaten!B155&lt;&gt;""),Programme_Grunddaten!B155,"")</f>
        <v/>
      </c>
      <c r="B150" s="1" t="str">
        <f>IF(AND(Programme_Grunddaten!$A155="Geprüft",Programme_Grunddaten!I155&lt;&gt;""),IF(Programme_Grunddaten!I155="Ja",1,0),"")</f>
        <v/>
      </c>
      <c r="C150" s="1" t="str">
        <f>IF(AND(Programme_Grunddaten!$A155="Geprüft",Programme_Grunddaten!J155&lt;&gt;""),IF(Programme_Grunddaten!J155="Ja",1,0),"")</f>
        <v/>
      </c>
      <c r="D150" s="1" t="str">
        <f>IF(AND(Programme_Grunddaten!$A155="Geprüft",Programme_Grunddaten!K155&lt;&gt;""),IF(Programme_Grunddaten!K155="Ja",1,0),"")</f>
        <v/>
      </c>
      <c r="E150" s="1" t="str">
        <f>IF(AND(Programme_Grunddaten!$A155="Geprüft",Programme_Grunddaten!L155&lt;&gt;""),IF(Programme_Grunddaten!L155="Abo / befristete Lizenz",1,0),"")</f>
        <v/>
      </c>
      <c r="F150" s="1" t="str">
        <f>IF(AND(Programme_Grunddaten!$A155="Geprüft",Programme_Grunddaten!M155&lt;&gt;""),IF(Programme_Grunddaten!M155="Ja",1,0),"")</f>
        <v/>
      </c>
      <c r="G150" s="1" t="str">
        <f>IF(AND(Programme_Grunddaten!$A155="Geprüft",Programme_Grunddaten!N155&lt;&gt;""),IF(Programme_Grunddaten!N155="Ja",1,0),"")</f>
        <v/>
      </c>
      <c r="H150" s="1" t="str">
        <f>IF(AND(Programme_Grunddaten!$A155="Geprüft",Programme_Grunddaten!O155&lt;&gt;""),IF(Programme_Grunddaten!O155="Deutschland",0,IF(Programme_Grunddaten!O155="EU",1,2)),"")</f>
        <v/>
      </c>
      <c r="I150" s="1" t="str">
        <f>IF(AND(Programme_Grunddaten!$A155="Geprüft",Programme_Grunddaten!P155&lt;&gt;""),IF(Programme_Grunddaten!P155="Ja",1,0),"")</f>
        <v/>
      </c>
      <c r="J150" s="1" t="str">
        <f>IF(AND(Programme_Grunddaten!$A155="Geprüft",Programme_Grunddaten!Q155&lt;&gt;""),IF(Programme_Grunddaten!Q155="geschlossenes System",1,0),"")</f>
        <v/>
      </c>
      <c r="K150" s="1" t="str">
        <f>IF(AND(Programme_Grunddaten!$A155="Geprüft",Programme_Grunddaten!R155&lt;&gt;""),IF(Programme_Grunddaten!R155="Ja",1,0),"")</f>
        <v/>
      </c>
      <c r="L150" s="1" t="str">
        <f>IF(AND(Programme_Grunddaten!$A155="Geprüft",Programme_Grunddaten!T155&lt;&gt;""),IF(Programme_Grunddaten!T155="Ja",1,0),"")</f>
        <v/>
      </c>
      <c r="M150" s="1" t="str">
        <f>IF(AND(Programme_Grunddaten!$A155="Geprüft",Programme_Grunddaten!U155&lt;&gt;""),IF(Programme_Grunddaten!U155="Ja",1,0),"")</f>
        <v/>
      </c>
      <c r="N150" s="1" t="str">
        <f>IF(AND(Programme_Grunddaten!$A155="Geprüft",Programme_Grunddaten!V155&lt;&gt;""),IF(Programme_Grunddaten!V155="Ja",1,0),"")</f>
        <v/>
      </c>
      <c r="O150" s="1" t="str">
        <f>IF(AND(Programme_Grunddaten!$A155="Geprüft",Programme_Grunddaten!W155&lt;&gt;""),IF(Programme_Grunddaten!W155="Ja",1,0),"")</f>
        <v/>
      </c>
      <c r="P150" s="1" t="str">
        <f>IF(AND(Programme_Grunddaten!$A155="Geprüft",Programme_Grunddaten!X155&lt;&gt;""),IF(Programme_Grunddaten!X155="Ja",1,0),"")</f>
        <v/>
      </c>
      <c r="Q150" s="1" t="str">
        <f>IF(AND(Programme_Grunddaten!$A155="Geprüft",Programme_Grunddaten!Y155&lt;&gt;""),IF(Programme_Grunddaten!Y155="Ja",1,0),"")</f>
        <v/>
      </c>
      <c r="R150" s="1" t="str">
        <f>IF(AND(Programme_Grunddaten!$A155="Geprüft",Programme_Grunddaten!Z155&lt;&gt;""),IF(Programme_Grunddaten!Z155="Ja",1,0),"")</f>
        <v/>
      </c>
      <c r="S150" s="1" t="str">
        <f>IF(AND(Programme_Grunddaten!$A155="Geprüft",Programme_Grunddaten!AA155&lt;&gt;""),IF(Programme_Grunddaten!AA155="monolithisch",1,0),"")</f>
        <v/>
      </c>
      <c r="T150" s="1" t="str">
        <f>IF(AND(Programme_Grunddaten!$A155="Geprüft",Programme_Grunddaten!AB155&lt;&gt;""),IF(Programme_Grunddaten!AB155="Ja",1,0),"")</f>
        <v/>
      </c>
      <c r="U150" s="1" t="str">
        <f>IF(AND(Programme_Grunddaten!$A155="Geprüft",Programme_Grunddaten!AC155&lt;&gt;""),IF(Programme_Grunddaten!AC155="Ja",1,0),"")</f>
        <v/>
      </c>
      <c r="V150" s="1" t="str">
        <f>IF(AND(Programme_Grunddaten!$A155="Geprüft",Programme_Grunddaten!AD155&lt;&gt;""),IF(Programme_Grunddaten!AD155="Ja",1,0),"")</f>
        <v/>
      </c>
      <c r="W150" s="1" t="str">
        <f>IF(AND(Programme_Grunddaten!$A155="Geprüft",Programme_Grunddaten!AE155&lt;&gt;""),IF(Programme_Grunddaten!AE155="Ja",1,0),"")</f>
        <v/>
      </c>
      <c r="X150" s="1" t="str">
        <f>IF(AND(Programme_Grunddaten!$A155="Geprüft",Programme_Grunddaten!AF155&lt;&gt;""),IF(Programme_Grunddaten!AF155="Ja",1,0),"")</f>
        <v/>
      </c>
      <c r="Y150" s="1" t="str">
        <f>IF(AND(Programme_Grunddaten!$A155="Geprüft",Programme_Grunddaten!AG155&lt;&gt;""),IF(Programme_Grunddaten!AG155="Ja",1,0),"")</f>
        <v/>
      </c>
      <c r="Z150" s="1" t="str">
        <f>IF(AND(Programme_Grunddaten!$A155="Geprüft",Programme_Grunddaten!AH155&lt;&gt;""),IF(Programme_Grunddaten!AH155="Ja",1,0),"")</f>
        <v/>
      </c>
      <c r="AA150" s="1" t="str">
        <f>IF(AND(Programme_Grunddaten!$A155="Geprüft",Programme_Grunddaten!AI155&lt;&gt;""),IF(Programme_Grunddaten!AI155="Ja",1,0),"")</f>
        <v/>
      </c>
      <c r="AB150" s="1" t="str">
        <f>IF(AND(Programme_Grunddaten!$A155="Geprüft",Programme_Grunddaten!AJ155&lt;&gt;""),IF(Programme_Grunddaten!AJ155="individuell programmierbar",1,0),"")</f>
        <v/>
      </c>
      <c r="AC150" s="1" t="str">
        <f>IF(AND(Programme_Grunddaten!$A155="Geprüft",Programme_Grunddaten!AK155&lt;&gt;""),IF(Programme_Grunddaten!AK155="Deutsch",0,IF(Programme_Grunddaten!AK155="Deutsch und Englisch",1,2)),"")</f>
        <v/>
      </c>
      <c r="AD150" s="1" t="str">
        <f>IF(AND(Programme_Grunddaten!$A155="Geprüft",Programme_Grunddaten!AL155&lt;&gt;""),IF(Programme_Grunddaten!AL155="Ja",1,0),"")</f>
        <v/>
      </c>
      <c r="AE150" s="1" t="str">
        <f>IF(AND(Programme_Grunddaten!$A155="Geprüft",Programme_Grunddaten!AM155&lt;&gt;""),IF(Programme_Grunddaten!AM155="Ja",1,0),"")</f>
        <v/>
      </c>
      <c r="AF150" s="1" t="str">
        <f>IF(AND(Programme_Grunddaten!$A155="Geprüft",Programme_Grunddaten!AN155&lt;&gt;""),IF(Programme_Grunddaten!AN155="Ja",1,0),"")</f>
        <v/>
      </c>
      <c r="AG150" s="1" t="str">
        <f>IF(AND(Programme_Grunddaten!$A155="Geprüft",Programme_Grunddaten!AO155&lt;&gt;""),IF(Programme_Grunddaten!AO155="Ja",1,0),"")</f>
        <v/>
      </c>
      <c r="AH150" s="1" t="str">
        <f>IF(AND(Programme_Grunddaten!$A155="Geprüft",Programme_Grunddaten!AP155&lt;&gt;""),IF(Programme_Grunddaten!AP155="Ja",1,0),"")</f>
        <v/>
      </c>
      <c r="AI150" s="1" t="str">
        <f>IF(AND(Programme_Grunddaten!$A155="Geprüft",Programme_Grunddaten!AQ155&lt;&gt;""),IF(Programme_Grunddaten!AQ155="Ja",1,0),"")</f>
        <v/>
      </c>
      <c r="AJ150" s="1" t="str">
        <f>IF(AND(Programme_Grunddaten!$A155="Geprüft",Programme_Grunddaten!AR155&lt;&gt;""),IF(Programme_Grunddaten!AR155="Ja",1,0),"")</f>
        <v/>
      </c>
      <c r="AK150" s="1" t="str">
        <f>IF(AND(Programme_Grunddaten!$A155="Geprüft",Programme_Grunddaten!AS155&lt;&gt;""),IF(Programme_Grunddaten!AS155="Ja",1,0),"")</f>
        <v/>
      </c>
      <c r="AL150" s="1" t="str">
        <f>IF(AND(Programme_Grunddaten!$A155="Geprüft",Programme_Grunddaten!AT155&lt;&gt;""),IF(Programme_Grunddaten!AT155="Ja",1,0),"")</f>
        <v/>
      </c>
      <c r="AM150" s="1" t="str">
        <f>IF(AND(Programme_Grunddaten!$A155="Geprüft",Programme_Grunddaten!AU155&lt;&gt;""),IF(Programme_Grunddaten!AU155="Ja",1,0),"")</f>
        <v/>
      </c>
      <c r="AN150" s="1" t="str">
        <f>IF(AND(Programme_Grunddaten!$A155="Geprüft",Programme_Grunddaten!AV155&lt;&gt;""),IF(Programme_Grunddaten!AV155="Ja",1,0),"")</f>
        <v/>
      </c>
    </row>
    <row r="151" spans="1:40" x14ac:dyDescent="0.3">
      <c r="A151" s="1" t="str">
        <f>IF(AND(Programme_Grunddaten!A156="Geprüft",Programme_Grunddaten!B156&lt;&gt;""),Programme_Grunddaten!B156,"")</f>
        <v/>
      </c>
      <c r="B151" s="1" t="str">
        <f>IF(AND(Programme_Grunddaten!$A156="Geprüft",Programme_Grunddaten!I156&lt;&gt;""),IF(Programme_Grunddaten!I156="Ja",1,0),"")</f>
        <v/>
      </c>
      <c r="C151" s="1" t="str">
        <f>IF(AND(Programme_Grunddaten!$A156="Geprüft",Programme_Grunddaten!J156&lt;&gt;""),IF(Programme_Grunddaten!J156="Ja",1,0),"")</f>
        <v/>
      </c>
      <c r="D151" s="1" t="str">
        <f>IF(AND(Programme_Grunddaten!$A156="Geprüft",Programme_Grunddaten!K156&lt;&gt;""),IF(Programme_Grunddaten!K156="Ja",1,0),"")</f>
        <v/>
      </c>
      <c r="E151" s="1" t="str">
        <f>IF(AND(Programme_Grunddaten!$A156="Geprüft",Programme_Grunddaten!L156&lt;&gt;""),IF(Programme_Grunddaten!L156="Abo / befristete Lizenz",1,0),"")</f>
        <v/>
      </c>
      <c r="F151" s="1" t="str">
        <f>IF(AND(Programme_Grunddaten!$A156="Geprüft",Programme_Grunddaten!M156&lt;&gt;""),IF(Programme_Grunddaten!M156="Ja",1,0),"")</f>
        <v/>
      </c>
      <c r="G151" s="1" t="str">
        <f>IF(AND(Programme_Grunddaten!$A156="Geprüft",Programme_Grunddaten!N156&lt;&gt;""),IF(Programme_Grunddaten!N156="Ja",1,0),"")</f>
        <v/>
      </c>
      <c r="H151" s="1" t="str">
        <f>IF(AND(Programme_Grunddaten!$A156="Geprüft",Programme_Grunddaten!O156&lt;&gt;""),IF(Programme_Grunddaten!O156="Deutschland",0,IF(Programme_Grunddaten!O156="EU",1,2)),"")</f>
        <v/>
      </c>
      <c r="I151" s="1" t="str">
        <f>IF(AND(Programme_Grunddaten!$A156="Geprüft",Programme_Grunddaten!P156&lt;&gt;""),IF(Programme_Grunddaten!P156="Ja",1,0),"")</f>
        <v/>
      </c>
      <c r="J151" s="1" t="str">
        <f>IF(AND(Programme_Grunddaten!$A156="Geprüft",Programme_Grunddaten!Q156&lt;&gt;""),IF(Programme_Grunddaten!Q156="geschlossenes System",1,0),"")</f>
        <v/>
      </c>
      <c r="K151" s="1" t="str">
        <f>IF(AND(Programme_Grunddaten!$A156="Geprüft",Programme_Grunddaten!R156&lt;&gt;""),IF(Programme_Grunddaten!R156="Ja",1,0),"")</f>
        <v/>
      </c>
      <c r="L151" s="1" t="str">
        <f>IF(AND(Programme_Grunddaten!$A156="Geprüft",Programme_Grunddaten!T156&lt;&gt;""),IF(Programme_Grunddaten!T156="Ja",1,0),"")</f>
        <v/>
      </c>
      <c r="M151" s="1" t="str">
        <f>IF(AND(Programme_Grunddaten!$A156="Geprüft",Programme_Grunddaten!U156&lt;&gt;""),IF(Programme_Grunddaten!U156="Ja",1,0),"")</f>
        <v/>
      </c>
      <c r="N151" s="1" t="str">
        <f>IF(AND(Programme_Grunddaten!$A156="Geprüft",Programme_Grunddaten!V156&lt;&gt;""),IF(Programme_Grunddaten!V156="Ja",1,0),"")</f>
        <v/>
      </c>
      <c r="O151" s="1" t="str">
        <f>IF(AND(Programme_Grunddaten!$A156="Geprüft",Programme_Grunddaten!W156&lt;&gt;""),IF(Programme_Grunddaten!W156="Ja",1,0),"")</f>
        <v/>
      </c>
      <c r="P151" s="1" t="str">
        <f>IF(AND(Programme_Grunddaten!$A156="Geprüft",Programme_Grunddaten!X156&lt;&gt;""),IF(Programme_Grunddaten!X156="Ja",1,0),"")</f>
        <v/>
      </c>
      <c r="Q151" s="1" t="str">
        <f>IF(AND(Programme_Grunddaten!$A156="Geprüft",Programme_Grunddaten!Y156&lt;&gt;""),IF(Programme_Grunddaten!Y156="Ja",1,0),"")</f>
        <v/>
      </c>
      <c r="R151" s="1" t="str">
        <f>IF(AND(Programme_Grunddaten!$A156="Geprüft",Programme_Grunddaten!Z156&lt;&gt;""),IF(Programme_Grunddaten!Z156="Ja",1,0),"")</f>
        <v/>
      </c>
      <c r="S151" s="1" t="str">
        <f>IF(AND(Programme_Grunddaten!$A156="Geprüft",Programme_Grunddaten!AA156&lt;&gt;""),IF(Programme_Grunddaten!AA156="monolithisch",1,0),"")</f>
        <v/>
      </c>
      <c r="T151" s="1" t="str">
        <f>IF(AND(Programme_Grunddaten!$A156="Geprüft",Programme_Grunddaten!AB156&lt;&gt;""),IF(Programme_Grunddaten!AB156="Ja",1,0),"")</f>
        <v/>
      </c>
      <c r="U151" s="1" t="str">
        <f>IF(AND(Programme_Grunddaten!$A156="Geprüft",Programme_Grunddaten!AC156&lt;&gt;""),IF(Programme_Grunddaten!AC156="Ja",1,0),"")</f>
        <v/>
      </c>
      <c r="V151" s="1" t="str">
        <f>IF(AND(Programme_Grunddaten!$A156="Geprüft",Programme_Grunddaten!AD156&lt;&gt;""),IF(Programme_Grunddaten!AD156="Ja",1,0),"")</f>
        <v/>
      </c>
      <c r="W151" s="1" t="str">
        <f>IF(AND(Programme_Grunddaten!$A156="Geprüft",Programme_Grunddaten!AE156&lt;&gt;""),IF(Programme_Grunddaten!AE156="Ja",1,0),"")</f>
        <v/>
      </c>
      <c r="X151" s="1" t="str">
        <f>IF(AND(Programme_Grunddaten!$A156="Geprüft",Programme_Grunddaten!AF156&lt;&gt;""),IF(Programme_Grunddaten!AF156="Ja",1,0),"")</f>
        <v/>
      </c>
      <c r="Y151" s="1" t="str">
        <f>IF(AND(Programme_Grunddaten!$A156="Geprüft",Programme_Grunddaten!AG156&lt;&gt;""),IF(Programme_Grunddaten!AG156="Ja",1,0),"")</f>
        <v/>
      </c>
      <c r="Z151" s="1" t="str">
        <f>IF(AND(Programme_Grunddaten!$A156="Geprüft",Programme_Grunddaten!AH156&lt;&gt;""),IF(Programme_Grunddaten!AH156="Ja",1,0),"")</f>
        <v/>
      </c>
      <c r="AA151" s="1" t="str">
        <f>IF(AND(Programme_Grunddaten!$A156="Geprüft",Programme_Grunddaten!AI156&lt;&gt;""),IF(Programme_Grunddaten!AI156="Ja",1,0),"")</f>
        <v/>
      </c>
      <c r="AB151" s="1" t="str">
        <f>IF(AND(Programme_Grunddaten!$A156="Geprüft",Programme_Grunddaten!AJ156&lt;&gt;""),IF(Programme_Grunddaten!AJ156="individuell programmierbar",1,0),"")</f>
        <v/>
      </c>
      <c r="AC151" s="1" t="str">
        <f>IF(AND(Programme_Grunddaten!$A156="Geprüft",Programme_Grunddaten!AK156&lt;&gt;""),IF(Programme_Grunddaten!AK156="Deutsch",0,IF(Programme_Grunddaten!AK156="Deutsch und Englisch",1,2)),"")</f>
        <v/>
      </c>
      <c r="AD151" s="1" t="str">
        <f>IF(AND(Programme_Grunddaten!$A156="Geprüft",Programme_Grunddaten!AL156&lt;&gt;""),IF(Programme_Grunddaten!AL156="Ja",1,0),"")</f>
        <v/>
      </c>
      <c r="AE151" s="1" t="str">
        <f>IF(AND(Programme_Grunddaten!$A156="Geprüft",Programme_Grunddaten!AM156&lt;&gt;""),IF(Programme_Grunddaten!AM156="Ja",1,0),"")</f>
        <v/>
      </c>
      <c r="AF151" s="1" t="str">
        <f>IF(AND(Programme_Grunddaten!$A156="Geprüft",Programme_Grunddaten!AN156&lt;&gt;""),IF(Programme_Grunddaten!AN156="Ja",1,0),"")</f>
        <v/>
      </c>
      <c r="AG151" s="1" t="str">
        <f>IF(AND(Programme_Grunddaten!$A156="Geprüft",Programme_Grunddaten!AO156&lt;&gt;""),IF(Programme_Grunddaten!AO156="Ja",1,0),"")</f>
        <v/>
      </c>
      <c r="AH151" s="1" t="str">
        <f>IF(AND(Programme_Grunddaten!$A156="Geprüft",Programme_Grunddaten!AP156&lt;&gt;""),IF(Programme_Grunddaten!AP156="Ja",1,0),"")</f>
        <v/>
      </c>
      <c r="AI151" s="1" t="str">
        <f>IF(AND(Programme_Grunddaten!$A156="Geprüft",Programme_Grunddaten!AQ156&lt;&gt;""),IF(Programme_Grunddaten!AQ156="Ja",1,0),"")</f>
        <v/>
      </c>
      <c r="AJ151" s="1" t="str">
        <f>IF(AND(Programme_Grunddaten!$A156="Geprüft",Programme_Grunddaten!AR156&lt;&gt;""),IF(Programme_Grunddaten!AR156="Ja",1,0),"")</f>
        <v/>
      </c>
      <c r="AK151" s="1" t="str">
        <f>IF(AND(Programme_Grunddaten!$A156="Geprüft",Programme_Grunddaten!AS156&lt;&gt;""),IF(Programme_Grunddaten!AS156="Ja",1,0),"")</f>
        <v/>
      </c>
      <c r="AL151" s="1" t="str">
        <f>IF(AND(Programme_Grunddaten!$A156="Geprüft",Programme_Grunddaten!AT156&lt;&gt;""),IF(Programme_Grunddaten!AT156="Ja",1,0),"")</f>
        <v/>
      </c>
      <c r="AM151" s="1" t="str">
        <f>IF(AND(Programme_Grunddaten!$A156="Geprüft",Programme_Grunddaten!AU156&lt;&gt;""),IF(Programme_Grunddaten!AU156="Ja",1,0),"")</f>
        <v/>
      </c>
      <c r="AN151" s="1" t="str">
        <f>IF(AND(Programme_Grunddaten!$A156="Geprüft",Programme_Grunddaten!AV156&lt;&gt;""),IF(Programme_Grunddaten!AV156="Ja",1,0),"")</f>
        <v/>
      </c>
    </row>
    <row r="152" spans="1:40" x14ac:dyDescent="0.3">
      <c r="A152" s="1" t="str">
        <f>IF(AND(Programme_Grunddaten!A157="Geprüft",Programme_Grunddaten!B157&lt;&gt;""),Programme_Grunddaten!B157,"")</f>
        <v/>
      </c>
      <c r="B152" s="1" t="str">
        <f>IF(AND(Programme_Grunddaten!$A157="Geprüft",Programme_Grunddaten!I157&lt;&gt;""),IF(Programme_Grunddaten!I157="Ja",1,0),"")</f>
        <v/>
      </c>
      <c r="C152" s="1" t="str">
        <f>IF(AND(Programme_Grunddaten!$A157="Geprüft",Programme_Grunddaten!J157&lt;&gt;""),IF(Programme_Grunddaten!J157="Ja",1,0),"")</f>
        <v/>
      </c>
      <c r="D152" s="1" t="str">
        <f>IF(AND(Programme_Grunddaten!$A157="Geprüft",Programme_Grunddaten!K157&lt;&gt;""),IF(Programme_Grunddaten!K157="Ja",1,0),"")</f>
        <v/>
      </c>
      <c r="E152" s="1" t="str">
        <f>IF(AND(Programme_Grunddaten!$A157="Geprüft",Programme_Grunddaten!L157&lt;&gt;""),IF(Programme_Grunddaten!L157="Abo / befristete Lizenz",1,0),"")</f>
        <v/>
      </c>
      <c r="F152" s="1" t="str">
        <f>IF(AND(Programme_Grunddaten!$A157="Geprüft",Programme_Grunddaten!M157&lt;&gt;""),IF(Programme_Grunddaten!M157="Ja",1,0),"")</f>
        <v/>
      </c>
      <c r="G152" s="1" t="str">
        <f>IF(AND(Programme_Grunddaten!$A157="Geprüft",Programme_Grunddaten!N157&lt;&gt;""),IF(Programme_Grunddaten!N157="Ja",1,0),"")</f>
        <v/>
      </c>
      <c r="H152" s="1" t="str">
        <f>IF(AND(Programme_Grunddaten!$A157="Geprüft",Programme_Grunddaten!O157&lt;&gt;""),IF(Programme_Grunddaten!O157="Deutschland",0,IF(Programme_Grunddaten!O157="EU",1,2)),"")</f>
        <v/>
      </c>
      <c r="I152" s="1" t="str">
        <f>IF(AND(Programme_Grunddaten!$A157="Geprüft",Programme_Grunddaten!P157&lt;&gt;""),IF(Programme_Grunddaten!P157="Ja",1,0),"")</f>
        <v/>
      </c>
      <c r="J152" s="1" t="str">
        <f>IF(AND(Programme_Grunddaten!$A157="Geprüft",Programme_Grunddaten!Q157&lt;&gt;""),IF(Programme_Grunddaten!Q157="geschlossenes System",1,0),"")</f>
        <v/>
      </c>
      <c r="K152" s="1" t="str">
        <f>IF(AND(Programme_Grunddaten!$A157="Geprüft",Programme_Grunddaten!R157&lt;&gt;""),IF(Programme_Grunddaten!R157="Ja",1,0),"")</f>
        <v/>
      </c>
      <c r="L152" s="1" t="str">
        <f>IF(AND(Programme_Grunddaten!$A157="Geprüft",Programme_Grunddaten!T157&lt;&gt;""),IF(Programme_Grunddaten!T157="Ja",1,0),"")</f>
        <v/>
      </c>
      <c r="M152" s="1" t="str">
        <f>IF(AND(Programme_Grunddaten!$A157="Geprüft",Programme_Grunddaten!U157&lt;&gt;""),IF(Programme_Grunddaten!U157="Ja",1,0),"")</f>
        <v/>
      </c>
      <c r="N152" s="1" t="str">
        <f>IF(AND(Programme_Grunddaten!$A157="Geprüft",Programme_Grunddaten!V157&lt;&gt;""),IF(Programme_Grunddaten!V157="Ja",1,0),"")</f>
        <v/>
      </c>
      <c r="O152" s="1" t="str">
        <f>IF(AND(Programme_Grunddaten!$A157="Geprüft",Programme_Grunddaten!W157&lt;&gt;""),IF(Programme_Grunddaten!W157="Ja",1,0),"")</f>
        <v/>
      </c>
      <c r="P152" s="1" t="str">
        <f>IF(AND(Programme_Grunddaten!$A157="Geprüft",Programme_Grunddaten!X157&lt;&gt;""),IF(Programme_Grunddaten!X157="Ja",1,0),"")</f>
        <v/>
      </c>
      <c r="Q152" s="1" t="str">
        <f>IF(AND(Programme_Grunddaten!$A157="Geprüft",Programme_Grunddaten!Y157&lt;&gt;""),IF(Programme_Grunddaten!Y157="Ja",1,0),"")</f>
        <v/>
      </c>
      <c r="R152" s="1" t="str">
        <f>IF(AND(Programme_Grunddaten!$A157="Geprüft",Programme_Grunddaten!Z157&lt;&gt;""),IF(Programme_Grunddaten!Z157="Ja",1,0),"")</f>
        <v/>
      </c>
      <c r="S152" s="1" t="str">
        <f>IF(AND(Programme_Grunddaten!$A157="Geprüft",Programme_Grunddaten!AA157&lt;&gt;""),IF(Programme_Grunddaten!AA157="monolithisch",1,0),"")</f>
        <v/>
      </c>
      <c r="T152" s="1" t="str">
        <f>IF(AND(Programme_Grunddaten!$A157="Geprüft",Programme_Grunddaten!AB157&lt;&gt;""),IF(Programme_Grunddaten!AB157="Ja",1,0),"")</f>
        <v/>
      </c>
      <c r="U152" s="1" t="str">
        <f>IF(AND(Programme_Grunddaten!$A157="Geprüft",Programme_Grunddaten!AC157&lt;&gt;""),IF(Programme_Grunddaten!AC157="Ja",1,0),"")</f>
        <v/>
      </c>
      <c r="V152" s="1" t="str">
        <f>IF(AND(Programme_Grunddaten!$A157="Geprüft",Programme_Grunddaten!AD157&lt;&gt;""),IF(Programme_Grunddaten!AD157="Ja",1,0),"")</f>
        <v/>
      </c>
      <c r="W152" s="1" t="str">
        <f>IF(AND(Programme_Grunddaten!$A157="Geprüft",Programme_Grunddaten!AE157&lt;&gt;""),IF(Programme_Grunddaten!AE157="Ja",1,0),"")</f>
        <v/>
      </c>
      <c r="X152" s="1" t="str">
        <f>IF(AND(Programme_Grunddaten!$A157="Geprüft",Programme_Grunddaten!AF157&lt;&gt;""),IF(Programme_Grunddaten!AF157="Ja",1,0),"")</f>
        <v/>
      </c>
      <c r="Y152" s="1" t="str">
        <f>IF(AND(Programme_Grunddaten!$A157="Geprüft",Programme_Grunddaten!AG157&lt;&gt;""),IF(Programme_Grunddaten!AG157="Ja",1,0),"")</f>
        <v/>
      </c>
      <c r="Z152" s="1" t="str">
        <f>IF(AND(Programme_Grunddaten!$A157="Geprüft",Programme_Grunddaten!AH157&lt;&gt;""),IF(Programme_Grunddaten!AH157="Ja",1,0),"")</f>
        <v/>
      </c>
      <c r="AA152" s="1" t="str">
        <f>IF(AND(Programme_Grunddaten!$A157="Geprüft",Programme_Grunddaten!AI157&lt;&gt;""),IF(Programme_Grunddaten!AI157="Ja",1,0),"")</f>
        <v/>
      </c>
      <c r="AB152" s="1" t="str">
        <f>IF(AND(Programme_Grunddaten!$A157="Geprüft",Programme_Grunddaten!AJ157&lt;&gt;""),IF(Programme_Grunddaten!AJ157="individuell programmierbar",1,0),"")</f>
        <v/>
      </c>
      <c r="AC152" s="1" t="str">
        <f>IF(AND(Programme_Grunddaten!$A157="Geprüft",Programme_Grunddaten!AK157&lt;&gt;""),IF(Programme_Grunddaten!AK157="Deutsch",0,IF(Programme_Grunddaten!AK157="Deutsch und Englisch",1,2)),"")</f>
        <v/>
      </c>
      <c r="AD152" s="1" t="str">
        <f>IF(AND(Programme_Grunddaten!$A157="Geprüft",Programme_Grunddaten!AL157&lt;&gt;""),IF(Programme_Grunddaten!AL157="Ja",1,0),"")</f>
        <v/>
      </c>
      <c r="AE152" s="1" t="str">
        <f>IF(AND(Programme_Grunddaten!$A157="Geprüft",Programme_Grunddaten!AM157&lt;&gt;""),IF(Programme_Grunddaten!AM157="Ja",1,0),"")</f>
        <v/>
      </c>
      <c r="AF152" s="1" t="str">
        <f>IF(AND(Programme_Grunddaten!$A157="Geprüft",Programme_Grunddaten!AN157&lt;&gt;""),IF(Programme_Grunddaten!AN157="Ja",1,0),"")</f>
        <v/>
      </c>
      <c r="AG152" s="1" t="str">
        <f>IF(AND(Programme_Grunddaten!$A157="Geprüft",Programme_Grunddaten!AO157&lt;&gt;""),IF(Programme_Grunddaten!AO157="Ja",1,0),"")</f>
        <v/>
      </c>
      <c r="AH152" s="1" t="str">
        <f>IF(AND(Programme_Grunddaten!$A157="Geprüft",Programme_Grunddaten!AP157&lt;&gt;""),IF(Programme_Grunddaten!AP157="Ja",1,0),"")</f>
        <v/>
      </c>
      <c r="AI152" s="1" t="str">
        <f>IF(AND(Programme_Grunddaten!$A157="Geprüft",Programme_Grunddaten!AQ157&lt;&gt;""),IF(Programme_Grunddaten!AQ157="Ja",1,0),"")</f>
        <v/>
      </c>
      <c r="AJ152" s="1" t="str">
        <f>IF(AND(Programme_Grunddaten!$A157="Geprüft",Programme_Grunddaten!AR157&lt;&gt;""),IF(Programme_Grunddaten!AR157="Ja",1,0),"")</f>
        <v/>
      </c>
      <c r="AK152" s="1" t="str">
        <f>IF(AND(Programme_Grunddaten!$A157="Geprüft",Programme_Grunddaten!AS157&lt;&gt;""),IF(Programme_Grunddaten!AS157="Ja",1,0),"")</f>
        <v/>
      </c>
      <c r="AL152" s="1" t="str">
        <f>IF(AND(Programme_Grunddaten!$A157="Geprüft",Programme_Grunddaten!AT157&lt;&gt;""),IF(Programme_Grunddaten!AT157="Ja",1,0),"")</f>
        <v/>
      </c>
      <c r="AM152" s="1" t="str">
        <f>IF(AND(Programme_Grunddaten!$A157="Geprüft",Programme_Grunddaten!AU157&lt;&gt;""),IF(Programme_Grunddaten!AU157="Ja",1,0),"")</f>
        <v/>
      </c>
      <c r="AN152" s="1" t="str">
        <f>IF(AND(Programme_Grunddaten!$A157="Geprüft",Programme_Grunddaten!AV157&lt;&gt;""),IF(Programme_Grunddaten!AV157="Ja",1,0),"")</f>
        <v/>
      </c>
    </row>
    <row r="153" spans="1:40" x14ac:dyDescent="0.3">
      <c r="A153" s="1" t="str">
        <f>IF(AND(Programme_Grunddaten!A158="Geprüft",Programme_Grunddaten!B158&lt;&gt;""),Programme_Grunddaten!B158,"")</f>
        <v/>
      </c>
      <c r="B153" s="1" t="str">
        <f>IF(AND(Programme_Grunddaten!$A158="Geprüft",Programme_Grunddaten!I158&lt;&gt;""),IF(Programme_Grunddaten!I158="Ja",1,0),"")</f>
        <v/>
      </c>
      <c r="C153" s="1" t="str">
        <f>IF(AND(Programme_Grunddaten!$A158="Geprüft",Programme_Grunddaten!J158&lt;&gt;""),IF(Programme_Grunddaten!J158="Ja",1,0),"")</f>
        <v/>
      </c>
      <c r="D153" s="1" t="str">
        <f>IF(AND(Programme_Grunddaten!$A158="Geprüft",Programme_Grunddaten!K158&lt;&gt;""),IF(Programme_Grunddaten!K158="Ja",1,0),"")</f>
        <v/>
      </c>
      <c r="E153" s="1" t="str">
        <f>IF(AND(Programme_Grunddaten!$A158="Geprüft",Programme_Grunddaten!L158&lt;&gt;""),IF(Programme_Grunddaten!L158="Abo / befristete Lizenz",1,0),"")</f>
        <v/>
      </c>
      <c r="F153" s="1" t="str">
        <f>IF(AND(Programme_Grunddaten!$A158="Geprüft",Programme_Grunddaten!M158&lt;&gt;""),IF(Programme_Grunddaten!M158="Ja",1,0),"")</f>
        <v/>
      </c>
      <c r="G153" s="1" t="str">
        <f>IF(AND(Programme_Grunddaten!$A158="Geprüft",Programme_Grunddaten!N158&lt;&gt;""),IF(Programme_Grunddaten!N158="Ja",1,0),"")</f>
        <v/>
      </c>
      <c r="H153" s="1" t="str">
        <f>IF(AND(Programme_Grunddaten!$A158="Geprüft",Programme_Grunddaten!O158&lt;&gt;""),IF(Programme_Grunddaten!O158="Deutschland",0,IF(Programme_Grunddaten!O158="EU",1,2)),"")</f>
        <v/>
      </c>
      <c r="I153" s="1" t="str">
        <f>IF(AND(Programme_Grunddaten!$A158="Geprüft",Programme_Grunddaten!P158&lt;&gt;""),IF(Programme_Grunddaten!P158="Ja",1,0),"")</f>
        <v/>
      </c>
      <c r="J153" s="1" t="str">
        <f>IF(AND(Programme_Grunddaten!$A158="Geprüft",Programme_Grunddaten!Q158&lt;&gt;""),IF(Programme_Grunddaten!Q158="geschlossenes System",1,0),"")</f>
        <v/>
      </c>
      <c r="K153" s="1" t="str">
        <f>IF(AND(Programme_Grunddaten!$A158="Geprüft",Programme_Grunddaten!R158&lt;&gt;""),IF(Programme_Grunddaten!R158="Ja",1,0),"")</f>
        <v/>
      </c>
      <c r="L153" s="1" t="str">
        <f>IF(AND(Programme_Grunddaten!$A158="Geprüft",Programme_Grunddaten!T158&lt;&gt;""),IF(Programme_Grunddaten!T158="Ja",1,0),"")</f>
        <v/>
      </c>
      <c r="M153" s="1" t="str">
        <f>IF(AND(Programme_Grunddaten!$A158="Geprüft",Programme_Grunddaten!U158&lt;&gt;""),IF(Programme_Grunddaten!U158="Ja",1,0),"")</f>
        <v/>
      </c>
      <c r="N153" s="1" t="str">
        <f>IF(AND(Programme_Grunddaten!$A158="Geprüft",Programme_Grunddaten!V158&lt;&gt;""),IF(Programme_Grunddaten!V158="Ja",1,0),"")</f>
        <v/>
      </c>
      <c r="O153" s="1" t="str">
        <f>IF(AND(Programme_Grunddaten!$A158="Geprüft",Programme_Grunddaten!W158&lt;&gt;""),IF(Programme_Grunddaten!W158="Ja",1,0),"")</f>
        <v/>
      </c>
      <c r="P153" s="1" t="str">
        <f>IF(AND(Programme_Grunddaten!$A158="Geprüft",Programme_Grunddaten!X158&lt;&gt;""),IF(Programme_Grunddaten!X158="Ja",1,0),"")</f>
        <v/>
      </c>
      <c r="Q153" s="1" t="str">
        <f>IF(AND(Programme_Grunddaten!$A158="Geprüft",Programme_Grunddaten!Y158&lt;&gt;""),IF(Programme_Grunddaten!Y158="Ja",1,0),"")</f>
        <v/>
      </c>
      <c r="R153" s="1" t="str">
        <f>IF(AND(Programme_Grunddaten!$A158="Geprüft",Programme_Grunddaten!Z158&lt;&gt;""),IF(Programme_Grunddaten!Z158="Ja",1,0),"")</f>
        <v/>
      </c>
      <c r="S153" s="1" t="str">
        <f>IF(AND(Programme_Grunddaten!$A158="Geprüft",Programme_Grunddaten!AA158&lt;&gt;""),IF(Programme_Grunddaten!AA158="monolithisch",1,0),"")</f>
        <v/>
      </c>
      <c r="T153" s="1" t="str">
        <f>IF(AND(Programme_Grunddaten!$A158="Geprüft",Programme_Grunddaten!AB158&lt;&gt;""),IF(Programme_Grunddaten!AB158="Ja",1,0),"")</f>
        <v/>
      </c>
      <c r="U153" s="1" t="str">
        <f>IF(AND(Programme_Grunddaten!$A158="Geprüft",Programme_Grunddaten!AC158&lt;&gt;""),IF(Programme_Grunddaten!AC158="Ja",1,0),"")</f>
        <v/>
      </c>
      <c r="V153" s="1" t="str">
        <f>IF(AND(Programme_Grunddaten!$A158="Geprüft",Programme_Grunddaten!AD158&lt;&gt;""),IF(Programme_Grunddaten!AD158="Ja",1,0),"")</f>
        <v/>
      </c>
      <c r="W153" s="1" t="str">
        <f>IF(AND(Programme_Grunddaten!$A158="Geprüft",Programme_Grunddaten!AE158&lt;&gt;""),IF(Programme_Grunddaten!AE158="Ja",1,0),"")</f>
        <v/>
      </c>
      <c r="X153" s="1" t="str">
        <f>IF(AND(Programme_Grunddaten!$A158="Geprüft",Programme_Grunddaten!AF158&lt;&gt;""),IF(Programme_Grunddaten!AF158="Ja",1,0),"")</f>
        <v/>
      </c>
      <c r="Y153" s="1" t="str">
        <f>IF(AND(Programme_Grunddaten!$A158="Geprüft",Programme_Grunddaten!AG158&lt;&gt;""),IF(Programme_Grunddaten!AG158="Ja",1,0),"")</f>
        <v/>
      </c>
      <c r="Z153" s="1" t="str">
        <f>IF(AND(Programme_Grunddaten!$A158="Geprüft",Programme_Grunddaten!AH158&lt;&gt;""),IF(Programme_Grunddaten!AH158="Ja",1,0),"")</f>
        <v/>
      </c>
      <c r="AA153" s="1" t="str">
        <f>IF(AND(Programme_Grunddaten!$A158="Geprüft",Programme_Grunddaten!AI158&lt;&gt;""),IF(Programme_Grunddaten!AI158="Ja",1,0),"")</f>
        <v/>
      </c>
      <c r="AB153" s="1" t="str">
        <f>IF(AND(Programme_Grunddaten!$A158="Geprüft",Programme_Grunddaten!AJ158&lt;&gt;""),IF(Programme_Grunddaten!AJ158="individuell programmierbar",1,0),"")</f>
        <v/>
      </c>
      <c r="AC153" s="1" t="str">
        <f>IF(AND(Programme_Grunddaten!$A158="Geprüft",Programme_Grunddaten!AK158&lt;&gt;""),IF(Programme_Grunddaten!AK158="Deutsch",0,IF(Programme_Grunddaten!AK158="Deutsch und Englisch",1,2)),"")</f>
        <v/>
      </c>
      <c r="AD153" s="1" t="str">
        <f>IF(AND(Programme_Grunddaten!$A158="Geprüft",Programme_Grunddaten!AL158&lt;&gt;""),IF(Programme_Grunddaten!AL158="Ja",1,0),"")</f>
        <v/>
      </c>
      <c r="AE153" s="1" t="str">
        <f>IF(AND(Programme_Grunddaten!$A158="Geprüft",Programme_Grunddaten!AM158&lt;&gt;""),IF(Programme_Grunddaten!AM158="Ja",1,0),"")</f>
        <v/>
      </c>
      <c r="AF153" s="1" t="str">
        <f>IF(AND(Programme_Grunddaten!$A158="Geprüft",Programme_Grunddaten!AN158&lt;&gt;""),IF(Programme_Grunddaten!AN158="Ja",1,0),"")</f>
        <v/>
      </c>
      <c r="AG153" s="1" t="str">
        <f>IF(AND(Programme_Grunddaten!$A158="Geprüft",Programme_Grunddaten!AO158&lt;&gt;""),IF(Programme_Grunddaten!AO158="Ja",1,0),"")</f>
        <v/>
      </c>
      <c r="AH153" s="1" t="str">
        <f>IF(AND(Programme_Grunddaten!$A158="Geprüft",Programme_Grunddaten!AP158&lt;&gt;""),IF(Programme_Grunddaten!AP158="Ja",1,0),"")</f>
        <v/>
      </c>
      <c r="AI153" s="1" t="str">
        <f>IF(AND(Programme_Grunddaten!$A158="Geprüft",Programme_Grunddaten!AQ158&lt;&gt;""),IF(Programme_Grunddaten!AQ158="Ja",1,0),"")</f>
        <v/>
      </c>
      <c r="AJ153" s="1" t="str">
        <f>IF(AND(Programme_Grunddaten!$A158="Geprüft",Programme_Grunddaten!AR158&lt;&gt;""),IF(Programme_Grunddaten!AR158="Ja",1,0),"")</f>
        <v/>
      </c>
      <c r="AK153" s="1" t="str">
        <f>IF(AND(Programme_Grunddaten!$A158="Geprüft",Programme_Grunddaten!AS158&lt;&gt;""),IF(Programme_Grunddaten!AS158="Ja",1,0),"")</f>
        <v/>
      </c>
      <c r="AL153" s="1" t="str">
        <f>IF(AND(Programme_Grunddaten!$A158="Geprüft",Programme_Grunddaten!AT158&lt;&gt;""),IF(Programme_Grunddaten!AT158="Ja",1,0),"")</f>
        <v/>
      </c>
      <c r="AM153" s="1" t="str">
        <f>IF(AND(Programme_Grunddaten!$A158="Geprüft",Programme_Grunddaten!AU158&lt;&gt;""),IF(Programme_Grunddaten!AU158="Ja",1,0),"")</f>
        <v/>
      </c>
      <c r="AN153" s="1" t="str">
        <f>IF(AND(Programme_Grunddaten!$A158="Geprüft",Programme_Grunddaten!AV158&lt;&gt;""),IF(Programme_Grunddaten!AV158="Ja",1,0),"")</f>
        <v/>
      </c>
    </row>
    <row r="154" spans="1:40" x14ac:dyDescent="0.3">
      <c r="A154" s="1" t="str">
        <f>IF(AND(Programme_Grunddaten!A159="Geprüft",Programme_Grunddaten!B159&lt;&gt;""),Programme_Grunddaten!B159,"")</f>
        <v/>
      </c>
      <c r="B154" s="1" t="str">
        <f>IF(AND(Programme_Grunddaten!$A159="Geprüft",Programme_Grunddaten!I159&lt;&gt;""),IF(Programme_Grunddaten!I159="Ja",1,0),"")</f>
        <v/>
      </c>
      <c r="C154" s="1" t="str">
        <f>IF(AND(Programme_Grunddaten!$A159="Geprüft",Programme_Grunddaten!J159&lt;&gt;""),IF(Programme_Grunddaten!J159="Ja",1,0),"")</f>
        <v/>
      </c>
      <c r="D154" s="1" t="str">
        <f>IF(AND(Programme_Grunddaten!$A159="Geprüft",Programme_Grunddaten!K159&lt;&gt;""),IF(Programme_Grunddaten!K159="Ja",1,0),"")</f>
        <v/>
      </c>
      <c r="E154" s="1" t="str">
        <f>IF(AND(Programme_Grunddaten!$A159="Geprüft",Programme_Grunddaten!L159&lt;&gt;""),IF(Programme_Grunddaten!L159="Abo / befristete Lizenz",1,0),"")</f>
        <v/>
      </c>
      <c r="F154" s="1" t="str">
        <f>IF(AND(Programme_Grunddaten!$A159="Geprüft",Programme_Grunddaten!M159&lt;&gt;""),IF(Programme_Grunddaten!M159="Ja",1,0),"")</f>
        <v/>
      </c>
      <c r="G154" s="1" t="str">
        <f>IF(AND(Programme_Grunddaten!$A159="Geprüft",Programme_Grunddaten!N159&lt;&gt;""),IF(Programme_Grunddaten!N159="Ja",1,0),"")</f>
        <v/>
      </c>
      <c r="H154" s="1" t="str">
        <f>IF(AND(Programme_Grunddaten!$A159="Geprüft",Programme_Grunddaten!O159&lt;&gt;""),IF(Programme_Grunddaten!O159="Deutschland",0,IF(Programme_Grunddaten!O159="EU",1,2)),"")</f>
        <v/>
      </c>
      <c r="I154" s="1" t="str">
        <f>IF(AND(Programme_Grunddaten!$A159="Geprüft",Programme_Grunddaten!P159&lt;&gt;""),IF(Programme_Grunddaten!P159="Ja",1,0),"")</f>
        <v/>
      </c>
      <c r="J154" s="1" t="str">
        <f>IF(AND(Programme_Grunddaten!$A159="Geprüft",Programme_Grunddaten!Q159&lt;&gt;""),IF(Programme_Grunddaten!Q159="geschlossenes System",1,0),"")</f>
        <v/>
      </c>
      <c r="K154" s="1" t="str">
        <f>IF(AND(Programme_Grunddaten!$A159="Geprüft",Programme_Grunddaten!R159&lt;&gt;""),IF(Programme_Grunddaten!R159="Ja",1,0),"")</f>
        <v/>
      </c>
      <c r="L154" s="1" t="str">
        <f>IF(AND(Programme_Grunddaten!$A159="Geprüft",Programme_Grunddaten!T159&lt;&gt;""),IF(Programme_Grunddaten!T159="Ja",1,0),"")</f>
        <v/>
      </c>
      <c r="M154" s="1" t="str">
        <f>IF(AND(Programme_Grunddaten!$A159="Geprüft",Programme_Grunddaten!U159&lt;&gt;""),IF(Programme_Grunddaten!U159="Ja",1,0),"")</f>
        <v/>
      </c>
      <c r="N154" s="1" t="str">
        <f>IF(AND(Programme_Grunddaten!$A159="Geprüft",Programme_Grunddaten!V159&lt;&gt;""),IF(Programme_Grunddaten!V159="Ja",1,0),"")</f>
        <v/>
      </c>
      <c r="O154" s="1" t="str">
        <f>IF(AND(Programme_Grunddaten!$A159="Geprüft",Programme_Grunddaten!W159&lt;&gt;""),IF(Programme_Grunddaten!W159="Ja",1,0),"")</f>
        <v/>
      </c>
      <c r="P154" s="1" t="str">
        <f>IF(AND(Programme_Grunddaten!$A159="Geprüft",Programme_Grunddaten!X159&lt;&gt;""),IF(Programme_Grunddaten!X159="Ja",1,0),"")</f>
        <v/>
      </c>
      <c r="Q154" s="1" t="str">
        <f>IF(AND(Programme_Grunddaten!$A159="Geprüft",Programme_Grunddaten!Y159&lt;&gt;""),IF(Programme_Grunddaten!Y159="Ja",1,0),"")</f>
        <v/>
      </c>
      <c r="R154" s="1" t="str">
        <f>IF(AND(Programme_Grunddaten!$A159="Geprüft",Programme_Grunddaten!Z159&lt;&gt;""),IF(Programme_Grunddaten!Z159="Ja",1,0),"")</f>
        <v/>
      </c>
      <c r="S154" s="1" t="str">
        <f>IF(AND(Programme_Grunddaten!$A159="Geprüft",Programme_Grunddaten!AA159&lt;&gt;""),IF(Programme_Grunddaten!AA159="monolithisch",1,0),"")</f>
        <v/>
      </c>
      <c r="T154" s="1" t="str">
        <f>IF(AND(Programme_Grunddaten!$A159="Geprüft",Programme_Grunddaten!AB159&lt;&gt;""),IF(Programme_Grunddaten!AB159="Ja",1,0),"")</f>
        <v/>
      </c>
      <c r="U154" s="1" t="str">
        <f>IF(AND(Programme_Grunddaten!$A159="Geprüft",Programme_Grunddaten!AC159&lt;&gt;""),IF(Programme_Grunddaten!AC159="Ja",1,0),"")</f>
        <v/>
      </c>
      <c r="V154" s="1" t="str">
        <f>IF(AND(Programme_Grunddaten!$A159="Geprüft",Programme_Grunddaten!AD159&lt;&gt;""),IF(Programme_Grunddaten!AD159="Ja",1,0),"")</f>
        <v/>
      </c>
      <c r="W154" s="1" t="str">
        <f>IF(AND(Programme_Grunddaten!$A159="Geprüft",Programme_Grunddaten!AE159&lt;&gt;""),IF(Programme_Grunddaten!AE159="Ja",1,0),"")</f>
        <v/>
      </c>
      <c r="X154" s="1" t="str">
        <f>IF(AND(Programme_Grunddaten!$A159="Geprüft",Programme_Grunddaten!AF159&lt;&gt;""),IF(Programme_Grunddaten!AF159="Ja",1,0),"")</f>
        <v/>
      </c>
      <c r="Y154" s="1" t="str">
        <f>IF(AND(Programme_Grunddaten!$A159="Geprüft",Programme_Grunddaten!AG159&lt;&gt;""),IF(Programme_Grunddaten!AG159="Ja",1,0),"")</f>
        <v/>
      </c>
      <c r="Z154" s="1" t="str">
        <f>IF(AND(Programme_Grunddaten!$A159="Geprüft",Programme_Grunddaten!AH159&lt;&gt;""),IF(Programme_Grunddaten!AH159="Ja",1,0),"")</f>
        <v/>
      </c>
      <c r="AA154" s="1" t="str">
        <f>IF(AND(Programme_Grunddaten!$A159="Geprüft",Programme_Grunddaten!AI159&lt;&gt;""),IF(Programme_Grunddaten!AI159="Ja",1,0),"")</f>
        <v/>
      </c>
      <c r="AB154" s="1" t="str">
        <f>IF(AND(Programme_Grunddaten!$A159="Geprüft",Programme_Grunddaten!AJ159&lt;&gt;""),IF(Programme_Grunddaten!AJ159="individuell programmierbar",1,0),"")</f>
        <v/>
      </c>
      <c r="AC154" s="1" t="str">
        <f>IF(AND(Programme_Grunddaten!$A159="Geprüft",Programme_Grunddaten!AK159&lt;&gt;""),IF(Programme_Grunddaten!AK159="Deutsch",0,IF(Programme_Grunddaten!AK159="Deutsch und Englisch",1,2)),"")</f>
        <v/>
      </c>
      <c r="AD154" s="1" t="str">
        <f>IF(AND(Programme_Grunddaten!$A159="Geprüft",Programme_Grunddaten!AL159&lt;&gt;""),IF(Programme_Grunddaten!AL159="Ja",1,0),"")</f>
        <v/>
      </c>
      <c r="AE154" s="1" t="str">
        <f>IF(AND(Programme_Grunddaten!$A159="Geprüft",Programme_Grunddaten!AM159&lt;&gt;""),IF(Programme_Grunddaten!AM159="Ja",1,0),"")</f>
        <v/>
      </c>
      <c r="AF154" s="1" t="str">
        <f>IF(AND(Programme_Grunddaten!$A159="Geprüft",Programme_Grunddaten!AN159&lt;&gt;""),IF(Programme_Grunddaten!AN159="Ja",1,0),"")</f>
        <v/>
      </c>
      <c r="AG154" s="1" t="str">
        <f>IF(AND(Programme_Grunddaten!$A159="Geprüft",Programme_Grunddaten!AO159&lt;&gt;""),IF(Programme_Grunddaten!AO159="Ja",1,0),"")</f>
        <v/>
      </c>
      <c r="AH154" s="1" t="str">
        <f>IF(AND(Programme_Grunddaten!$A159="Geprüft",Programme_Grunddaten!AP159&lt;&gt;""),IF(Programme_Grunddaten!AP159="Ja",1,0),"")</f>
        <v/>
      </c>
      <c r="AI154" s="1" t="str">
        <f>IF(AND(Programme_Grunddaten!$A159="Geprüft",Programme_Grunddaten!AQ159&lt;&gt;""),IF(Programme_Grunddaten!AQ159="Ja",1,0),"")</f>
        <v/>
      </c>
      <c r="AJ154" s="1" t="str">
        <f>IF(AND(Programme_Grunddaten!$A159="Geprüft",Programme_Grunddaten!AR159&lt;&gt;""),IF(Programme_Grunddaten!AR159="Ja",1,0),"")</f>
        <v/>
      </c>
      <c r="AK154" s="1" t="str">
        <f>IF(AND(Programme_Grunddaten!$A159="Geprüft",Programme_Grunddaten!AS159&lt;&gt;""),IF(Programme_Grunddaten!AS159="Ja",1,0),"")</f>
        <v/>
      </c>
      <c r="AL154" s="1" t="str">
        <f>IF(AND(Programme_Grunddaten!$A159="Geprüft",Programme_Grunddaten!AT159&lt;&gt;""),IF(Programme_Grunddaten!AT159="Ja",1,0),"")</f>
        <v/>
      </c>
      <c r="AM154" s="1" t="str">
        <f>IF(AND(Programme_Grunddaten!$A159="Geprüft",Programme_Grunddaten!AU159&lt;&gt;""),IF(Programme_Grunddaten!AU159="Ja",1,0),"")</f>
        <v/>
      </c>
      <c r="AN154" s="1" t="str">
        <f>IF(AND(Programme_Grunddaten!$A159="Geprüft",Programme_Grunddaten!AV159&lt;&gt;""),IF(Programme_Grunddaten!AV159="Ja",1,0),"")</f>
        <v/>
      </c>
    </row>
    <row r="155" spans="1:40" x14ac:dyDescent="0.3">
      <c r="A155" s="1" t="str">
        <f>IF(AND(Programme_Grunddaten!A160="Geprüft",Programme_Grunddaten!B160&lt;&gt;""),Programme_Grunddaten!B160,"")</f>
        <v/>
      </c>
      <c r="B155" s="1" t="str">
        <f>IF(AND(Programme_Grunddaten!$A160="Geprüft",Programme_Grunddaten!I160&lt;&gt;""),IF(Programme_Grunddaten!I160="Ja",1,0),"")</f>
        <v/>
      </c>
      <c r="C155" s="1" t="str">
        <f>IF(AND(Programme_Grunddaten!$A160="Geprüft",Programme_Grunddaten!J160&lt;&gt;""),IF(Programme_Grunddaten!J160="Ja",1,0),"")</f>
        <v/>
      </c>
      <c r="D155" s="1" t="str">
        <f>IF(AND(Programme_Grunddaten!$A160="Geprüft",Programme_Grunddaten!K160&lt;&gt;""),IF(Programme_Grunddaten!K160="Ja",1,0),"")</f>
        <v/>
      </c>
      <c r="E155" s="1" t="str">
        <f>IF(AND(Programme_Grunddaten!$A160="Geprüft",Programme_Grunddaten!L160&lt;&gt;""),IF(Programme_Grunddaten!L160="Abo / befristete Lizenz",1,0),"")</f>
        <v/>
      </c>
      <c r="F155" s="1" t="str">
        <f>IF(AND(Programme_Grunddaten!$A160="Geprüft",Programme_Grunddaten!M160&lt;&gt;""),IF(Programme_Grunddaten!M160="Ja",1,0),"")</f>
        <v/>
      </c>
      <c r="G155" s="1" t="str">
        <f>IF(AND(Programme_Grunddaten!$A160="Geprüft",Programme_Grunddaten!N160&lt;&gt;""),IF(Programme_Grunddaten!N160="Ja",1,0),"")</f>
        <v/>
      </c>
      <c r="H155" s="1" t="str">
        <f>IF(AND(Programme_Grunddaten!$A160="Geprüft",Programme_Grunddaten!O160&lt;&gt;""),IF(Programme_Grunddaten!O160="Deutschland",0,IF(Programme_Grunddaten!O160="EU",1,2)),"")</f>
        <v/>
      </c>
      <c r="I155" s="1" t="str">
        <f>IF(AND(Programme_Grunddaten!$A160="Geprüft",Programme_Grunddaten!P160&lt;&gt;""),IF(Programme_Grunddaten!P160="Ja",1,0),"")</f>
        <v/>
      </c>
      <c r="J155" s="1" t="str">
        <f>IF(AND(Programme_Grunddaten!$A160="Geprüft",Programme_Grunddaten!Q160&lt;&gt;""),IF(Programme_Grunddaten!Q160="geschlossenes System",1,0),"")</f>
        <v/>
      </c>
      <c r="K155" s="1" t="str">
        <f>IF(AND(Programme_Grunddaten!$A160="Geprüft",Programme_Grunddaten!R160&lt;&gt;""),IF(Programme_Grunddaten!R160="Ja",1,0),"")</f>
        <v/>
      </c>
      <c r="L155" s="1" t="str">
        <f>IF(AND(Programme_Grunddaten!$A160="Geprüft",Programme_Grunddaten!T160&lt;&gt;""),IF(Programme_Grunddaten!T160="Ja",1,0),"")</f>
        <v/>
      </c>
      <c r="M155" s="1" t="str">
        <f>IF(AND(Programme_Grunddaten!$A160="Geprüft",Programme_Grunddaten!U160&lt;&gt;""),IF(Programme_Grunddaten!U160="Ja",1,0),"")</f>
        <v/>
      </c>
      <c r="N155" s="1" t="str">
        <f>IF(AND(Programme_Grunddaten!$A160="Geprüft",Programme_Grunddaten!V160&lt;&gt;""),IF(Programme_Grunddaten!V160="Ja",1,0),"")</f>
        <v/>
      </c>
      <c r="O155" s="1" t="str">
        <f>IF(AND(Programme_Grunddaten!$A160="Geprüft",Programme_Grunddaten!W160&lt;&gt;""),IF(Programme_Grunddaten!W160="Ja",1,0),"")</f>
        <v/>
      </c>
      <c r="P155" s="1" t="str">
        <f>IF(AND(Programme_Grunddaten!$A160="Geprüft",Programme_Grunddaten!X160&lt;&gt;""),IF(Programme_Grunddaten!X160="Ja",1,0),"")</f>
        <v/>
      </c>
      <c r="Q155" s="1" t="str">
        <f>IF(AND(Programme_Grunddaten!$A160="Geprüft",Programme_Grunddaten!Y160&lt;&gt;""),IF(Programme_Grunddaten!Y160="Ja",1,0),"")</f>
        <v/>
      </c>
      <c r="R155" s="1" t="str">
        <f>IF(AND(Programme_Grunddaten!$A160="Geprüft",Programme_Grunddaten!Z160&lt;&gt;""),IF(Programme_Grunddaten!Z160="Ja",1,0),"")</f>
        <v/>
      </c>
      <c r="S155" s="1" t="str">
        <f>IF(AND(Programme_Grunddaten!$A160="Geprüft",Programme_Grunddaten!AA160&lt;&gt;""),IF(Programme_Grunddaten!AA160="monolithisch",1,0),"")</f>
        <v/>
      </c>
      <c r="T155" s="1" t="str">
        <f>IF(AND(Programme_Grunddaten!$A160="Geprüft",Programme_Grunddaten!AB160&lt;&gt;""),IF(Programme_Grunddaten!AB160="Ja",1,0),"")</f>
        <v/>
      </c>
      <c r="U155" s="1" t="str">
        <f>IF(AND(Programme_Grunddaten!$A160="Geprüft",Programme_Grunddaten!AC160&lt;&gt;""),IF(Programme_Grunddaten!AC160="Ja",1,0),"")</f>
        <v/>
      </c>
      <c r="V155" s="1" t="str">
        <f>IF(AND(Programme_Grunddaten!$A160="Geprüft",Programme_Grunddaten!AD160&lt;&gt;""),IF(Programme_Grunddaten!AD160="Ja",1,0),"")</f>
        <v/>
      </c>
      <c r="W155" s="1" t="str">
        <f>IF(AND(Programme_Grunddaten!$A160="Geprüft",Programme_Grunddaten!AE160&lt;&gt;""),IF(Programme_Grunddaten!AE160="Ja",1,0),"")</f>
        <v/>
      </c>
      <c r="X155" s="1" t="str">
        <f>IF(AND(Programme_Grunddaten!$A160="Geprüft",Programme_Grunddaten!AF160&lt;&gt;""),IF(Programme_Grunddaten!AF160="Ja",1,0),"")</f>
        <v/>
      </c>
      <c r="Y155" s="1" t="str">
        <f>IF(AND(Programme_Grunddaten!$A160="Geprüft",Programme_Grunddaten!AG160&lt;&gt;""),IF(Programme_Grunddaten!AG160="Ja",1,0),"")</f>
        <v/>
      </c>
      <c r="Z155" s="1" t="str">
        <f>IF(AND(Programme_Grunddaten!$A160="Geprüft",Programme_Grunddaten!AH160&lt;&gt;""),IF(Programme_Grunddaten!AH160="Ja",1,0),"")</f>
        <v/>
      </c>
      <c r="AA155" s="1" t="str">
        <f>IF(AND(Programme_Grunddaten!$A160="Geprüft",Programme_Grunddaten!AI160&lt;&gt;""),IF(Programme_Grunddaten!AI160="Ja",1,0),"")</f>
        <v/>
      </c>
      <c r="AB155" s="1" t="str">
        <f>IF(AND(Programme_Grunddaten!$A160="Geprüft",Programme_Grunddaten!AJ160&lt;&gt;""),IF(Programme_Grunddaten!AJ160="individuell programmierbar",1,0),"")</f>
        <v/>
      </c>
      <c r="AC155" s="1" t="str">
        <f>IF(AND(Programme_Grunddaten!$A160="Geprüft",Programme_Grunddaten!AK160&lt;&gt;""),IF(Programme_Grunddaten!AK160="Deutsch",0,IF(Programme_Grunddaten!AK160="Deutsch und Englisch",1,2)),"")</f>
        <v/>
      </c>
      <c r="AD155" s="1" t="str">
        <f>IF(AND(Programme_Grunddaten!$A160="Geprüft",Programme_Grunddaten!AL160&lt;&gt;""),IF(Programme_Grunddaten!AL160="Ja",1,0),"")</f>
        <v/>
      </c>
      <c r="AE155" s="1" t="str">
        <f>IF(AND(Programme_Grunddaten!$A160="Geprüft",Programme_Grunddaten!AM160&lt;&gt;""),IF(Programme_Grunddaten!AM160="Ja",1,0),"")</f>
        <v/>
      </c>
      <c r="AF155" s="1" t="str">
        <f>IF(AND(Programme_Grunddaten!$A160="Geprüft",Programme_Grunddaten!AN160&lt;&gt;""),IF(Programme_Grunddaten!AN160="Ja",1,0),"")</f>
        <v/>
      </c>
      <c r="AG155" s="1" t="str">
        <f>IF(AND(Programme_Grunddaten!$A160="Geprüft",Programme_Grunddaten!AO160&lt;&gt;""),IF(Programme_Grunddaten!AO160="Ja",1,0),"")</f>
        <v/>
      </c>
      <c r="AH155" s="1" t="str">
        <f>IF(AND(Programme_Grunddaten!$A160="Geprüft",Programme_Grunddaten!AP160&lt;&gt;""),IF(Programme_Grunddaten!AP160="Ja",1,0),"")</f>
        <v/>
      </c>
      <c r="AI155" s="1" t="str">
        <f>IF(AND(Programme_Grunddaten!$A160="Geprüft",Programme_Grunddaten!AQ160&lt;&gt;""),IF(Programme_Grunddaten!AQ160="Ja",1,0),"")</f>
        <v/>
      </c>
      <c r="AJ155" s="1" t="str">
        <f>IF(AND(Programme_Grunddaten!$A160="Geprüft",Programme_Grunddaten!AR160&lt;&gt;""),IF(Programme_Grunddaten!AR160="Ja",1,0),"")</f>
        <v/>
      </c>
      <c r="AK155" s="1" t="str">
        <f>IF(AND(Programme_Grunddaten!$A160="Geprüft",Programme_Grunddaten!AS160&lt;&gt;""),IF(Programme_Grunddaten!AS160="Ja",1,0),"")</f>
        <v/>
      </c>
      <c r="AL155" s="1" t="str">
        <f>IF(AND(Programme_Grunddaten!$A160="Geprüft",Programme_Grunddaten!AT160&lt;&gt;""),IF(Programme_Grunddaten!AT160="Ja",1,0),"")</f>
        <v/>
      </c>
      <c r="AM155" s="1" t="str">
        <f>IF(AND(Programme_Grunddaten!$A160="Geprüft",Programme_Grunddaten!AU160&lt;&gt;""),IF(Programme_Grunddaten!AU160="Ja",1,0),"")</f>
        <v/>
      </c>
      <c r="AN155" s="1" t="str">
        <f>IF(AND(Programme_Grunddaten!$A160="Geprüft",Programme_Grunddaten!AV160&lt;&gt;""),IF(Programme_Grunddaten!AV160="Ja",1,0),"")</f>
        <v/>
      </c>
    </row>
    <row r="156" spans="1:40" x14ac:dyDescent="0.3">
      <c r="A156" s="1" t="str">
        <f>IF(AND(Programme_Grunddaten!A161="Geprüft",Programme_Grunddaten!B161&lt;&gt;""),Programme_Grunddaten!B161,"")</f>
        <v/>
      </c>
      <c r="B156" s="1" t="str">
        <f>IF(AND(Programme_Grunddaten!$A161="Geprüft",Programme_Grunddaten!I161&lt;&gt;""),IF(Programme_Grunddaten!I161="Ja",1,0),"")</f>
        <v/>
      </c>
      <c r="C156" s="1" t="str">
        <f>IF(AND(Programme_Grunddaten!$A161="Geprüft",Programme_Grunddaten!J161&lt;&gt;""),IF(Programme_Grunddaten!J161="Ja",1,0),"")</f>
        <v/>
      </c>
      <c r="D156" s="1" t="str">
        <f>IF(AND(Programme_Grunddaten!$A161="Geprüft",Programme_Grunddaten!K161&lt;&gt;""),IF(Programme_Grunddaten!K161="Ja",1,0),"")</f>
        <v/>
      </c>
      <c r="E156" s="1" t="str">
        <f>IF(AND(Programme_Grunddaten!$A161="Geprüft",Programme_Grunddaten!L161&lt;&gt;""),IF(Programme_Grunddaten!L161="Abo / befristete Lizenz",1,0),"")</f>
        <v/>
      </c>
      <c r="F156" s="1" t="str">
        <f>IF(AND(Programme_Grunddaten!$A161="Geprüft",Programme_Grunddaten!M161&lt;&gt;""),IF(Programme_Grunddaten!M161="Ja",1,0),"")</f>
        <v/>
      </c>
      <c r="G156" s="1" t="str">
        <f>IF(AND(Programme_Grunddaten!$A161="Geprüft",Programme_Grunddaten!N161&lt;&gt;""),IF(Programme_Grunddaten!N161="Ja",1,0),"")</f>
        <v/>
      </c>
      <c r="H156" s="1" t="str">
        <f>IF(AND(Programme_Grunddaten!$A161="Geprüft",Programme_Grunddaten!O161&lt;&gt;""),IF(Programme_Grunddaten!O161="Deutschland",0,IF(Programme_Grunddaten!O161="EU",1,2)),"")</f>
        <v/>
      </c>
      <c r="I156" s="1" t="str">
        <f>IF(AND(Programme_Grunddaten!$A161="Geprüft",Programme_Grunddaten!P161&lt;&gt;""),IF(Programme_Grunddaten!P161="Ja",1,0),"")</f>
        <v/>
      </c>
      <c r="J156" s="1" t="str">
        <f>IF(AND(Programme_Grunddaten!$A161="Geprüft",Programme_Grunddaten!Q161&lt;&gt;""),IF(Programme_Grunddaten!Q161="geschlossenes System",1,0),"")</f>
        <v/>
      </c>
      <c r="K156" s="1" t="str">
        <f>IF(AND(Programme_Grunddaten!$A161="Geprüft",Programme_Grunddaten!R161&lt;&gt;""),IF(Programme_Grunddaten!R161="Ja",1,0),"")</f>
        <v/>
      </c>
      <c r="L156" s="1" t="str">
        <f>IF(AND(Programme_Grunddaten!$A161="Geprüft",Programme_Grunddaten!T161&lt;&gt;""),IF(Programme_Grunddaten!T161="Ja",1,0),"")</f>
        <v/>
      </c>
      <c r="M156" s="1" t="str">
        <f>IF(AND(Programme_Grunddaten!$A161="Geprüft",Programme_Grunddaten!U161&lt;&gt;""),IF(Programme_Grunddaten!U161="Ja",1,0),"")</f>
        <v/>
      </c>
      <c r="N156" s="1" t="str">
        <f>IF(AND(Programme_Grunddaten!$A161="Geprüft",Programme_Grunddaten!V161&lt;&gt;""),IF(Programme_Grunddaten!V161="Ja",1,0),"")</f>
        <v/>
      </c>
      <c r="O156" s="1" t="str">
        <f>IF(AND(Programme_Grunddaten!$A161="Geprüft",Programme_Grunddaten!W161&lt;&gt;""),IF(Programme_Grunddaten!W161="Ja",1,0),"")</f>
        <v/>
      </c>
      <c r="P156" s="1" t="str">
        <f>IF(AND(Programme_Grunddaten!$A161="Geprüft",Programme_Grunddaten!X161&lt;&gt;""),IF(Programme_Grunddaten!X161="Ja",1,0),"")</f>
        <v/>
      </c>
      <c r="Q156" s="1" t="str">
        <f>IF(AND(Programme_Grunddaten!$A161="Geprüft",Programme_Grunddaten!Y161&lt;&gt;""),IF(Programme_Grunddaten!Y161="Ja",1,0),"")</f>
        <v/>
      </c>
      <c r="R156" s="1" t="str">
        <f>IF(AND(Programme_Grunddaten!$A161="Geprüft",Programme_Grunddaten!Z161&lt;&gt;""),IF(Programme_Grunddaten!Z161="Ja",1,0),"")</f>
        <v/>
      </c>
      <c r="S156" s="1" t="str">
        <f>IF(AND(Programme_Grunddaten!$A161="Geprüft",Programme_Grunddaten!AA161&lt;&gt;""),IF(Programme_Grunddaten!AA161="monolithisch",1,0),"")</f>
        <v/>
      </c>
      <c r="T156" s="1" t="str">
        <f>IF(AND(Programme_Grunddaten!$A161="Geprüft",Programme_Grunddaten!AB161&lt;&gt;""),IF(Programme_Grunddaten!AB161="Ja",1,0),"")</f>
        <v/>
      </c>
      <c r="U156" s="1" t="str">
        <f>IF(AND(Programme_Grunddaten!$A161="Geprüft",Programme_Grunddaten!AC161&lt;&gt;""),IF(Programme_Grunddaten!AC161="Ja",1,0),"")</f>
        <v/>
      </c>
      <c r="V156" s="1" t="str">
        <f>IF(AND(Programme_Grunddaten!$A161="Geprüft",Programme_Grunddaten!AD161&lt;&gt;""),IF(Programme_Grunddaten!AD161="Ja",1,0),"")</f>
        <v/>
      </c>
      <c r="W156" s="1" t="str">
        <f>IF(AND(Programme_Grunddaten!$A161="Geprüft",Programme_Grunddaten!AE161&lt;&gt;""),IF(Programme_Grunddaten!AE161="Ja",1,0),"")</f>
        <v/>
      </c>
      <c r="X156" s="1" t="str">
        <f>IF(AND(Programme_Grunddaten!$A161="Geprüft",Programme_Grunddaten!AF161&lt;&gt;""),IF(Programme_Grunddaten!AF161="Ja",1,0),"")</f>
        <v/>
      </c>
      <c r="Y156" s="1" t="str">
        <f>IF(AND(Programme_Grunddaten!$A161="Geprüft",Programme_Grunddaten!AG161&lt;&gt;""),IF(Programme_Grunddaten!AG161="Ja",1,0),"")</f>
        <v/>
      </c>
      <c r="Z156" s="1" t="str">
        <f>IF(AND(Programme_Grunddaten!$A161="Geprüft",Programme_Grunddaten!AH161&lt;&gt;""),IF(Programme_Grunddaten!AH161="Ja",1,0),"")</f>
        <v/>
      </c>
      <c r="AA156" s="1" t="str">
        <f>IF(AND(Programme_Grunddaten!$A161="Geprüft",Programme_Grunddaten!AI161&lt;&gt;""),IF(Programme_Grunddaten!AI161="Ja",1,0),"")</f>
        <v/>
      </c>
      <c r="AB156" s="1" t="str">
        <f>IF(AND(Programme_Grunddaten!$A161="Geprüft",Programme_Grunddaten!AJ161&lt;&gt;""),IF(Programme_Grunddaten!AJ161="individuell programmierbar",1,0),"")</f>
        <v/>
      </c>
      <c r="AC156" s="1" t="str">
        <f>IF(AND(Programme_Grunddaten!$A161="Geprüft",Programme_Grunddaten!AK161&lt;&gt;""),IF(Programme_Grunddaten!AK161="Deutsch",0,IF(Programme_Grunddaten!AK161="Deutsch und Englisch",1,2)),"")</f>
        <v/>
      </c>
      <c r="AD156" s="1" t="str">
        <f>IF(AND(Programme_Grunddaten!$A161="Geprüft",Programme_Grunddaten!AL161&lt;&gt;""),IF(Programme_Grunddaten!AL161="Ja",1,0),"")</f>
        <v/>
      </c>
      <c r="AE156" s="1" t="str">
        <f>IF(AND(Programme_Grunddaten!$A161="Geprüft",Programme_Grunddaten!AM161&lt;&gt;""),IF(Programme_Grunddaten!AM161="Ja",1,0),"")</f>
        <v/>
      </c>
      <c r="AF156" s="1" t="str">
        <f>IF(AND(Programme_Grunddaten!$A161="Geprüft",Programme_Grunddaten!AN161&lt;&gt;""),IF(Programme_Grunddaten!AN161="Ja",1,0),"")</f>
        <v/>
      </c>
      <c r="AG156" s="1" t="str">
        <f>IF(AND(Programme_Grunddaten!$A161="Geprüft",Programme_Grunddaten!AO161&lt;&gt;""),IF(Programme_Grunddaten!AO161="Ja",1,0),"")</f>
        <v/>
      </c>
      <c r="AH156" s="1" t="str">
        <f>IF(AND(Programme_Grunddaten!$A161="Geprüft",Programme_Grunddaten!AP161&lt;&gt;""),IF(Programme_Grunddaten!AP161="Ja",1,0),"")</f>
        <v/>
      </c>
      <c r="AI156" s="1" t="str">
        <f>IF(AND(Programme_Grunddaten!$A161="Geprüft",Programme_Grunddaten!AQ161&lt;&gt;""),IF(Programme_Grunddaten!AQ161="Ja",1,0),"")</f>
        <v/>
      </c>
      <c r="AJ156" s="1" t="str">
        <f>IF(AND(Programme_Grunddaten!$A161="Geprüft",Programme_Grunddaten!AR161&lt;&gt;""),IF(Programme_Grunddaten!AR161="Ja",1,0),"")</f>
        <v/>
      </c>
      <c r="AK156" s="1" t="str">
        <f>IF(AND(Programme_Grunddaten!$A161="Geprüft",Programme_Grunddaten!AS161&lt;&gt;""),IF(Programme_Grunddaten!AS161="Ja",1,0),"")</f>
        <v/>
      </c>
      <c r="AL156" s="1" t="str">
        <f>IF(AND(Programme_Grunddaten!$A161="Geprüft",Programme_Grunddaten!AT161&lt;&gt;""),IF(Programme_Grunddaten!AT161="Ja",1,0),"")</f>
        <v/>
      </c>
      <c r="AM156" s="1" t="str">
        <f>IF(AND(Programme_Grunddaten!$A161="Geprüft",Programme_Grunddaten!AU161&lt;&gt;""),IF(Programme_Grunddaten!AU161="Ja",1,0),"")</f>
        <v/>
      </c>
      <c r="AN156" s="1" t="str">
        <f>IF(AND(Programme_Grunddaten!$A161="Geprüft",Programme_Grunddaten!AV161&lt;&gt;""),IF(Programme_Grunddaten!AV161="Ja",1,0),"")</f>
        <v/>
      </c>
    </row>
    <row r="157" spans="1:40" x14ac:dyDescent="0.3">
      <c r="A157" s="1" t="str">
        <f>IF(AND(Programme_Grunddaten!A162="Geprüft",Programme_Grunddaten!B162&lt;&gt;""),Programme_Grunddaten!B162,"")</f>
        <v/>
      </c>
      <c r="B157" s="1" t="str">
        <f>IF(AND(Programme_Grunddaten!$A162="Geprüft",Programme_Grunddaten!I162&lt;&gt;""),IF(Programme_Grunddaten!I162="Ja",1,0),"")</f>
        <v/>
      </c>
      <c r="C157" s="1" t="str">
        <f>IF(AND(Programme_Grunddaten!$A162="Geprüft",Programme_Grunddaten!J162&lt;&gt;""),IF(Programme_Grunddaten!J162="Ja",1,0),"")</f>
        <v/>
      </c>
      <c r="D157" s="1" t="str">
        <f>IF(AND(Programme_Grunddaten!$A162="Geprüft",Programme_Grunddaten!K162&lt;&gt;""),IF(Programme_Grunddaten!K162="Ja",1,0),"")</f>
        <v/>
      </c>
      <c r="E157" s="1" t="str">
        <f>IF(AND(Programme_Grunddaten!$A162="Geprüft",Programme_Grunddaten!L162&lt;&gt;""),IF(Programme_Grunddaten!L162="Abo / befristete Lizenz",1,0),"")</f>
        <v/>
      </c>
      <c r="F157" s="1" t="str">
        <f>IF(AND(Programme_Grunddaten!$A162="Geprüft",Programme_Grunddaten!M162&lt;&gt;""),IF(Programme_Grunddaten!M162="Ja",1,0),"")</f>
        <v/>
      </c>
      <c r="G157" s="1" t="str">
        <f>IF(AND(Programme_Grunddaten!$A162="Geprüft",Programme_Grunddaten!N162&lt;&gt;""),IF(Programme_Grunddaten!N162="Ja",1,0),"")</f>
        <v/>
      </c>
      <c r="H157" s="1" t="str">
        <f>IF(AND(Programme_Grunddaten!$A162="Geprüft",Programme_Grunddaten!O162&lt;&gt;""),IF(Programme_Grunddaten!O162="Deutschland",0,IF(Programme_Grunddaten!O162="EU",1,2)),"")</f>
        <v/>
      </c>
      <c r="I157" s="1" t="str">
        <f>IF(AND(Programme_Grunddaten!$A162="Geprüft",Programme_Grunddaten!P162&lt;&gt;""),IF(Programme_Grunddaten!P162="Ja",1,0),"")</f>
        <v/>
      </c>
      <c r="J157" s="1" t="str">
        <f>IF(AND(Programme_Grunddaten!$A162="Geprüft",Programme_Grunddaten!Q162&lt;&gt;""),IF(Programme_Grunddaten!Q162="geschlossenes System",1,0),"")</f>
        <v/>
      </c>
      <c r="K157" s="1" t="str">
        <f>IF(AND(Programme_Grunddaten!$A162="Geprüft",Programme_Grunddaten!R162&lt;&gt;""),IF(Programme_Grunddaten!R162="Ja",1,0),"")</f>
        <v/>
      </c>
      <c r="L157" s="1" t="str">
        <f>IF(AND(Programme_Grunddaten!$A162="Geprüft",Programme_Grunddaten!T162&lt;&gt;""),IF(Programme_Grunddaten!T162="Ja",1,0),"")</f>
        <v/>
      </c>
      <c r="M157" s="1" t="str">
        <f>IF(AND(Programme_Grunddaten!$A162="Geprüft",Programme_Grunddaten!U162&lt;&gt;""),IF(Programme_Grunddaten!U162="Ja",1,0),"")</f>
        <v/>
      </c>
      <c r="N157" s="1" t="str">
        <f>IF(AND(Programme_Grunddaten!$A162="Geprüft",Programme_Grunddaten!V162&lt;&gt;""),IF(Programme_Grunddaten!V162="Ja",1,0),"")</f>
        <v/>
      </c>
      <c r="O157" s="1" t="str">
        <f>IF(AND(Programme_Grunddaten!$A162="Geprüft",Programme_Grunddaten!W162&lt;&gt;""),IF(Programme_Grunddaten!W162="Ja",1,0),"")</f>
        <v/>
      </c>
      <c r="P157" s="1" t="str">
        <f>IF(AND(Programme_Grunddaten!$A162="Geprüft",Programme_Grunddaten!X162&lt;&gt;""),IF(Programme_Grunddaten!X162="Ja",1,0),"")</f>
        <v/>
      </c>
      <c r="Q157" s="1" t="str">
        <f>IF(AND(Programme_Grunddaten!$A162="Geprüft",Programme_Grunddaten!Y162&lt;&gt;""),IF(Programme_Grunddaten!Y162="Ja",1,0),"")</f>
        <v/>
      </c>
      <c r="R157" s="1" t="str">
        <f>IF(AND(Programme_Grunddaten!$A162="Geprüft",Programme_Grunddaten!Z162&lt;&gt;""),IF(Programme_Grunddaten!Z162="Ja",1,0),"")</f>
        <v/>
      </c>
      <c r="S157" s="1" t="str">
        <f>IF(AND(Programme_Grunddaten!$A162="Geprüft",Programme_Grunddaten!AA162&lt;&gt;""),IF(Programme_Grunddaten!AA162="monolithisch",1,0),"")</f>
        <v/>
      </c>
      <c r="T157" s="1" t="str">
        <f>IF(AND(Programme_Grunddaten!$A162="Geprüft",Programme_Grunddaten!AB162&lt;&gt;""),IF(Programme_Grunddaten!AB162="Ja",1,0),"")</f>
        <v/>
      </c>
      <c r="U157" s="1" t="str">
        <f>IF(AND(Programme_Grunddaten!$A162="Geprüft",Programme_Grunddaten!AC162&lt;&gt;""),IF(Programme_Grunddaten!AC162="Ja",1,0),"")</f>
        <v/>
      </c>
      <c r="V157" s="1" t="str">
        <f>IF(AND(Programme_Grunddaten!$A162="Geprüft",Programme_Grunddaten!AD162&lt;&gt;""),IF(Programme_Grunddaten!AD162="Ja",1,0),"")</f>
        <v/>
      </c>
      <c r="W157" s="1" t="str">
        <f>IF(AND(Programme_Grunddaten!$A162="Geprüft",Programme_Grunddaten!AE162&lt;&gt;""),IF(Programme_Grunddaten!AE162="Ja",1,0),"")</f>
        <v/>
      </c>
      <c r="X157" s="1" t="str">
        <f>IF(AND(Programme_Grunddaten!$A162="Geprüft",Programme_Grunddaten!AF162&lt;&gt;""),IF(Programme_Grunddaten!AF162="Ja",1,0),"")</f>
        <v/>
      </c>
      <c r="Y157" s="1" t="str">
        <f>IF(AND(Programme_Grunddaten!$A162="Geprüft",Programme_Grunddaten!AG162&lt;&gt;""),IF(Programme_Grunddaten!AG162="Ja",1,0),"")</f>
        <v/>
      </c>
      <c r="Z157" s="1" t="str">
        <f>IF(AND(Programme_Grunddaten!$A162="Geprüft",Programme_Grunddaten!AH162&lt;&gt;""),IF(Programme_Grunddaten!AH162="Ja",1,0),"")</f>
        <v/>
      </c>
      <c r="AA157" s="1" t="str">
        <f>IF(AND(Programme_Grunddaten!$A162="Geprüft",Programme_Grunddaten!AI162&lt;&gt;""),IF(Programme_Grunddaten!AI162="Ja",1,0),"")</f>
        <v/>
      </c>
      <c r="AB157" s="1" t="str">
        <f>IF(AND(Programme_Grunddaten!$A162="Geprüft",Programme_Grunddaten!AJ162&lt;&gt;""),IF(Programme_Grunddaten!AJ162="individuell programmierbar",1,0),"")</f>
        <v/>
      </c>
      <c r="AC157" s="1" t="str">
        <f>IF(AND(Programme_Grunddaten!$A162="Geprüft",Programme_Grunddaten!AK162&lt;&gt;""),IF(Programme_Grunddaten!AK162="Deutsch",0,IF(Programme_Grunddaten!AK162="Deutsch und Englisch",1,2)),"")</f>
        <v/>
      </c>
      <c r="AD157" s="1" t="str">
        <f>IF(AND(Programme_Grunddaten!$A162="Geprüft",Programme_Grunddaten!AL162&lt;&gt;""),IF(Programme_Grunddaten!AL162="Ja",1,0),"")</f>
        <v/>
      </c>
      <c r="AE157" s="1" t="str">
        <f>IF(AND(Programme_Grunddaten!$A162="Geprüft",Programme_Grunddaten!AM162&lt;&gt;""),IF(Programme_Grunddaten!AM162="Ja",1,0),"")</f>
        <v/>
      </c>
      <c r="AF157" s="1" t="str">
        <f>IF(AND(Programme_Grunddaten!$A162="Geprüft",Programme_Grunddaten!AN162&lt;&gt;""),IF(Programme_Grunddaten!AN162="Ja",1,0),"")</f>
        <v/>
      </c>
      <c r="AG157" s="1" t="str">
        <f>IF(AND(Programme_Grunddaten!$A162="Geprüft",Programme_Grunddaten!AO162&lt;&gt;""),IF(Programme_Grunddaten!AO162="Ja",1,0),"")</f>
        <v/>
      </c>
      <c r="AH157" s="1" t="str">
        <f>IF(AND(Programme_Grunddaten!$A162="Geprüft",Programme_Grunddaten!AP162&lt;&gt;""),IF(Programme_Grunddaten!AP162="Ja",1,0),"")</f>
        <v/>
      </c>
      <c r="AI157" s="1" t="str">
        <f>IF(AND(Programme_Grunddaten!$A162="Geprüft",Programme_Grunddaten!AQ162&lt;&gt;""),IF(Programme_Grunddaten!AQ162="Ja",1,0),"")</f>
        <v/>
      </c>
      <c r="AJ157" s="1" t="str">
        <f>IF(AND(Programme_Grunddaten!$A162="Geprüft",Programme_Grunddaten!AR162&lt;&gt;""),IF(Programme_Grunddaten!AR162="Ja",1,0),"")</f>
        <v/>
      </c>
      <c r="AK157" s="1" t="str">
        <f>IF(AND(Programme_Grunddaten!$A162="Geprüft",Programme_Grunddaten!AS162&lt;&gt;""),IF(Programme_Grunddaten!AS162="Ja",1,0),"")</f>
        <v/>
      </c>
      <c r="AL157" s="1" t="str">
        <f>IF(AND(Programme_Grunddaten!$A162="Geprüft",Programme_Grunddaten!AT162&lt;&gt;""),IF(Programme_Grunddaten!AT162="Ja",1,0),"")</f>
        <v/>
      </c>
      <c r="AM157" s="1" t="str">
        <f>IF(AND(Programme_Grunddaten!$A162="Geprüft",Programme_Grunddaten!AU162&lt;&gt;""),IF(Programme_Grunddaten!AU162="Ja",1,0),"")</f>
        <v/>
      </c>
      <c r="AN157" s="1" t="str">
        <f>IF(AND(Programme_Grunddaten!$A162="Geprüft",Programme_Grunddaten!AV162&lt;&gt;""),IF(Programme_Grunddaten!AV162="Ja",1,0),"")</f>
        <v/>
      </c>
    </row>
    <row r="158" spans="1:40" x14ac:dyDescent="0.3">
      <c r="A158" s="1" t="str">
        <f>IF(AND(Programme_Grunddaten!A163="Geprüft",Programme_Grunddaten!B163&lt;&gt;""),Programme_Grunddaten!B163,"")</f>
        <v/>
      </c>
      <c r="B158" s="1" t="str">
        <f>IF(AND(Programme_Grunddaten!$A163="Geprüft",Programme_Grunddaten!I163&lt;&gt;""),IF(Programme_Grunddaten!I163="Ja",1,0),"")</f>
        <v/>
      </c>
      <c r="C158" s="1" t="str">
        <f>IF(AND(Programme_Grunddaten!$A163="Geprüft",Programme_Grunddaten!J163&lt;&gt;""),IF(Programme_Grunddaten!J163="Ja",1,0),"")</f>
        <v/>
      </c>
      <c r="D158" s="1" t="str">
        <f>IF(AND(Programme_Grunddaten!$A163="Geprüft",Programme_Grunddaten!K163&lt;&gt;""),IF(Programme_Grunddaten!K163="Ja",1,0),"")</f>
        <v/>
      </c>
      <c r="E158" s="1" t="str">
        <f>IF(AND(Programme_Grunddaten!$A163="Geprüft",Programme_Grunddaten!L163&lt;&gt;""),IF(Programme_Grunddaten!L163="Abo / befristete Lizenz",1,0),"")</f>
        <v/>
      </c>
      <c r="F158" s="1" t="str">
        <f>IF(AND(Programme_Grunddaten!$A163="Geprüft",Programme_Grunddaten!M163&lt;&gt;""),IF(Programme_Grunddaten!M163="Ja",1,0),"")</f>
        <v/>
      </c>
      <c r="G158" s="1" t="str">
        <f>IF(AND(Programme_Grunddaten!$A163="Geprüft",Programme_Grunddaten!N163&lt;&gt;""),IF(Programme_Grunddaten!N163="Ja",1,0),"")</f>
        <v/>
      </c>
      <c r="H158" s="1" t="str">
        <f>IF(AND(Programme_Grunddaten!$A163="Geprüft",Programme_Grunddaten!O163&lt;&gt;""),IF(Programme_Grunddaten!O163="Deutschland",0,IF(Programme_Grunddaten!O163="EU",1,2)),"")</f>
        <v/>
      </c>
      <c r="I158" s="1" t="str">
        <f>IF(AND(Programme_Grunddaten!$A163="Geprüft",Programme_Grunddaten!P163&lt;&gt;""),IF(Programme_Grunddaten!P163="Ja",1,0),"")</f>
        <v/>
      </c>
      <c r="J158" s="1" t="str">
        <f>IF(AND(Programme_Grunddaten!$A163="Geprüft",Programme_Grunddaten!Q163&lt;&gt;""),IF(Programme_Grunddaten!Q163="geschlossenes System",1,0),"")</f>
        <v/>
      </c>
      <c r="K158" s="1" t="str">
        <f>IF(AND(Programme_Grunddaten!$A163="Geprüft",Programme_Grunddaten!R163&lt;&gt;""),IF(Programme_Grunddaten!R163="Ja",1,0),"")</f>
        <v/>
      </c>
      <c r="L158" s="1" t="str">
        <f>IF(AND(Programme_Grunddaten!$A163="Geprüft",Programme_Grunddaten!T163&lt;&gt;""),IF(Programme_Grunddaten!T163="Ja",1,0),"")</f>
        <v/>
      </c>
      <c r="M158" s="1" t="str">
        <f>IF(AND(Programme_Grunddaten!$A163="Geprüft",Programme_Grunddaten!U163&lt;&gt;""),IF(Programme_Grunddaten!U163="Ja",1,0),"")</f>
        <v/>
      </c>
      <c r="N158" s="1" t="str">
        <f>IF(AND(Programme_Grunddaten!$A163="Geprüft",Programme_Grunddaten!V163&lt;&gt;""),IF(Programme_Grunddaten!V163="Ja",1,0),"")</f>
        <v/>
      </c>
      <c r="O158" s="1" t="str">
        <f>IF(AND(Programme_Grunddaten!$A163="Geprüft",Programme_Grunddaten!W163&lt;&gt;""),IF(Programme_Grunddaten!W163="Ja",1,0),"")</f>
        <v/>
      </c>
      <c r="P158" s="1" t="str">
        <f>IF(AND(Programme_Grunddaten!$A163="Geprüft",Programme_Grunddaten!X163&lt;&gt;""),IF(Programme_Grunddaten!X163="Ja",1,0),"")</f>
        <v/>
      </c>
      <c r="Q158" s="1" t="str">
        <f>IF(AND(Programme_Grunddaten!$A163="Geprüft",Programme_Grunddaten!Y163&lt;&gt;""),IF(Programme_Grunddaten!Y163="Ja",1,0),"")</f>
        <v/>
      </c>
      <c r="R158" s="1" t="str">
        <f>IF(AND(Programme_Grunddaten!$A163="Geprüft",Programme_Grunddaten!Z163&lt;&gt;""),IF(Programme_Grunddaten!Z163="Ja",1,0),"")</f>
        <v/>
      </c>
      <c r="S158" s="1" t="str">
        <f>IF(AND(Programme_Grunddaten!$A163="Geprüft",Programme_Grunddaten!AA163&lt;&gt;""),IF(Programme_Grunddaten!AA163="monolithisch",1,0),"")</f>
        <v/>
      </c>
      <c r="T158" s="1" t="str">
        <f>IF(AND(Programme_Grunddaten!$A163="Geprüft",Programme_Grunddaten!AB163&lt;&gt;""),IF(Programme_Grunddaten!AB163="Ja",1,0),"")</f>
        <v/>
      </c>
      <c r="U158" s="1" t="str">
        <f>IF(AND(Programme_Grunddaten!$A163="Geprüft",Programme_Grunddaten!AC163&lt;&gt;""),IF(Programme_Grunddaten!AC163="Ja",1,0),"")</f>
        <v/>
      </c>
      <c r="V158" s="1" t="str">
        <f>IF(AND(Programme_Grunddaten!$A163="Geprüft",Programme_Grunddaten!AD163&lt;&gt;""),IF(Programme_Grunddaten!AD163="Ja",1,0),"")</f>
        <v/>
      </c>
      <c r="W158" s="1" t="str">
        <f>IF(AND(Programme_Grunddaten!$A163="Geprüft",Programme_Grunddaten!AE163&lt;&gt;""),IF(Programme_Grunddaten!AE163="Ja",1,0),"")</f>
        <v/>
      </c>
      <c r="X158" s="1" t="str">
        <f>IF(AND(Programme_Grunddaten!$A163="Geprüft",Programme_Grunddaten!AF163&lt;&gt;""),IF(Programme_Grunddaten!AF163="Ja",1,0),"")</f>
        <v/>
      </c>
      <c r="Y158" s="1" t="str">
        <f>IF(AND(Programme_Grunddaten!$A163="Geprüft",Programme_Grunddaten!AG163&lt;&gt;""),IF(Programme_Grunddaten!AG163="Ja",1,0),"")</f>
        <v/>
      </c>
      <c r="Z158" s="1" t="str">
        <f>IF(AND(Programme_Grunddaten!$A163="Geprüft",Programme_Grunddaten!AH163&lt;&gt;""),IF(Programme_Grunddaten!AH163="Ja",1,0),"")</f>
        <v/>
      </c>
      <c r="AA158" s="1" t="str">
        <f>IF(AND(Programme_Grunddaten!$A163="Geprüft",Programme_Grunddaten!AI163&lt;&gt;""),IF(Programme_Grunddaten!AI163="Ja",1,0),"")</f>
        <v/>
      </c>
      <c r="AB158" s="1" t="str">
        <f>IF(AND(Programme_Grunddaten!$A163="Geprüft",Programme_Grunddaten!AJ163&lt;&gt;""),IF(Programme_Grunddaten!AJ163="individuell programmierbar",1,0),"")</f>
        <v/>
      </c>
      <c r="AC158" s="1" t="str">
        <f>IF(AND(Programme_Grunddaten!$A163="Geprüft",Programme_Grunddaten!AK163&lt;&gt;""),IF(Programme_Grunddaten!AK163="Deutsch",0,IF(Programme_Grunddaten!AK163="Deutsch und Englisch",1,2)),"")</f>
        <v/>
      </c>
      <c r="AD158" s="1" t="str">
        <f>IF(AND(Programme_Grunddaten!$A163="Geprüft",Programme_Grunddaten!AL163&lt;&gt;""),IF(Programme_Grunddaten!AL163="Ja",1,0),"")</f>
        <v/>
      </c>
      <c r="AE158" s="1" t="str">
        <f>IF(AND(Programme_Grunddaten!$A163="Geprüft",Programme_Grunddaten!AM163&lt;&gt;""),IF(Programme_Grunddaten!AM163="Ja",1,0),"")</f>
        <v/>
      </c>
      <c r="AF158" s="1" t="str">
        <f>IF(AND(Programme_Grunddaten!$A163="Geprüft",Programme_Grunddaten!AN163&lt;&gt;""),IF(Programme_Grunddaten!AN163="Ja",1,0),"")</f>
        <v/>
      </c>
      <c r="AG158" s="1" t="str">
        <f>IF(AND(Programme_Grunddaten!$A163="Geprüft",Programme_Grunddaten!AO163&lt;&gt;""),IF(Programme_Grunddaten!AO163="Ja",1,0),"")</f>
        <v/>
      </c>
      <c r="AH158" s="1" t="str">
        <f>IF(AND(Programme_Grunddaten!$A163="Geprüft",Programme_Grunddaten!AP163&lt;&gt;""),IF(Programme_Grunddaten!AP163="Ja",1,0),"")</f>
        <v/>
      </c>
      <c r="AI158" s="1" t="str">
        <f>IF(AND(Programme_Grunddaten!$A163="Geprüft",Programme_Grunddaten!AQ163&lt;&gt;""),IF(Programme_Grunddaten!AQ163="Ja",1,0),"")</f>
        <v/>
      </c>
      <c r="AJ158" s="1" t="str">
        <f>IF(AND(Programme_Grunddaten!$A163="Geprüft",Programme_Grunddaten!AR163&lt;&gt;""),IF(Programme_Grunddaten!AR163="Ja",1,0),"")</f>
        <v/>
      </c>
      <c r="AK158" s="1" t="str">
        <f>IF(AND(Programme_Grunddaten!$A163="Geprüft",Programme_Grunddaten!AS163&lt;&gt;""),IF(Programme_Grunddaten!AS163="Ja",1,0),"")</f>
        <v/>
      </c>
      <c r="AL158" s="1" t="str">
        <f>IF(AND(Programme_Grunddaten!$A163="Geprüft",Programme_Grunddaten!AT163&lt;&gt;""),IF(Programme_Grunddaten!AT163="Ja",1,0),"")</f>
        <v/>
      </c>
      <c r="AM158" s="1" t="str">
        <f>IF(AND(Programme_Grunddaten!$A163="Geprüft",Programme_Grunddaten!AU163&lt;&gt;""),IF(Programme_Grunddaten!AU163="Ja",1,0),"")</f>
        <v/>
      </c>
      <c r="AN158" s="1" t="str">
        <f>IF(AND(Programme_Grunddaten!$A163="Geprüft",Programme_Grunddaten!AV163&lt;&gt;""),IF(Programme_Grunddaten!AV163="Ja",1,0),"")</f>
        <v/>
      </c>
    </row>
    <row r="159" spans="1:40" x14ac:dyDescent="0.3">
      <c r="A159" s="1" t="str">
        <f>IF(AND(Programme_Grunddaten!A164="Geprüft",Programme_Grunddaten!B164&lt;&gt;""),Programme_Grunddaten!B164,"")</f>
        <v/>
      </c>
      <c r="B159" s="1" t="str">
        <f>IF(AND(Programme_Grunddaten!$A164="Geprüft",Programme_Grunddaten!I164&lt;&gt;""),IF(Programme_Grunddaten!I164="Ja",1,0),"")</f>
        <v/>
      </c>
      <c r="C159" s="1" t="str">
        <f>IF(AND(Programme_Grunddaten!$A164="Geprüft",Programme_Grunddaten!J164&lt;&gt;""),IF(Programme_Grunddaten!J164="Ja",1,0),"")</f>
        <v/>
      </c>
      <c r="D159" s="1" t="str">
        <f>IF(AND(Programme_Grunddaten!$A164="Geprüft",Programme_Grunddaten!K164&lt;&gt;""),IF(Programme_Grunddaten!K164="Ja",1,0),"")</f>
        <v/>
      </c>
      <c r="E159" s="1" t="str">
        <f>IF(AND(Programme_Grunddaten!$A164="Geprüft",Programme_Grunddaten!L164&lt;&gt;""),IF(Programme_Grunddaten!L164="Abo / befristete Lizenz",1,0),"")</f>
        <v/>
      </c>
      <c r="F159" s="1" t="str">
        <f>IF(AND(Programme_Grunddaten!$A164="Geprüft",Programme_Grunddaten!M164&lt;&gt;""),IF(Programme_Grunddaten!M164="Ja",1,0),"")</f>
        <v/>
      </c>
      <c r="G159" s="1" t="str">
        <f>IF(AND(Programme_Grunddaten!$A164="Geprüft",Programme_Grunddaten!N164&lt;&gt;""),IF(Programme_Grunddaten!N164="Ja",1,0),"")</f>
        <v/>
      </c>
      <c r="H159" s="1" t="str">
        <f>IF(AND(Programme_Grunddaten!$A164="Geprüft",Programme_Grunddaten!O164&lt;&gt;""),IF(Programme_Grunddaten!O164="Deutschland",0,IF(Programme_Grunddaten!O164="EU",1,2)),"")</f>
        <v/>
      </c>
      <c r="I159" s="1" t="str">
        <f>IF(AND(Programme_Grunddaten!$A164="Geprüft",Programme_Grunddaten!P164&lt;&gt;""),IF(Programme_Grunddaten!P164="Ja",1,0),"")</f>
        <v/>
      </c>
      <c r="J159" s="1" t="str">
        <f>IF(AND(Programme_Grunddaten!$A164="Geprüft",Programme_Grunddaten!Q164&lt;&gt;""),IF(Programme_Grunddaten!Q164="geschlossenes System",1,0),"")</f>
        <v/>
      </c>
      <c r="K159" s="1" t="str">
        <f>IF(AND(Programme_Grunddaten!$A164="Geprüft",Programme_Grunddaten!R164&lt;&gt;""),IF(Programme_Grunddaten!R164="Ja",1,0),"")</f>
        <v/>
      </c>
      <c r="L159" s="1" t="str">
        <f>IF(AND(Programme_Grunddaten!$A164="Geprüft",Programme_Grunddaten!T164&lt;&gt;""),IF(Programme_Grunddaten!T164="Ja",1,0),"")</f>
        <v/>
      </c>
      <c r="M159" s="1" t="str">
        <f>IF(AND(Programme_Grunddaten!$A164="Geprüft",Programme_Grunddaten!U164&lt;&gt;""),IF(Programme_Grunddaten!U164="Ja",1,0),"")</f>
        <v/>
      </c>
      <c r="N159" s="1" t="str">
        <f>IF(AND(Programme_Grunddaten!$A164="Geprüft",Programme_Grunddaten!V164&lt;&gt;""),IF(Programme_Grunddaten!V164="Ja",1,0),"")</f>
        <v/>
      </c>
      <c r="O159" s="1" t="str">
        <f>IF(AND(Programme_Grunddaten!$A164="Geprüft",Programme_Grunddaten!W164&lt;&gt;""),IF(Programme_Grunddaten!W164="Ja",1,0),"")</f>
        <v/>
      </c>
      <c r="P159" s="1" t="str">
        <f>IF(AND(Programme_Grunddaten!$A164="Geprüft",Programme_Grunddaten!X164&lt;&gt;""),IF(Programme_Grunddaten!X164="Ja",1,0),"")</f>
        <v/>
      </c>
      <c r="Q159" s="1" t="str">
        <f>IF(AND(Programme_Grunddaten!$A164="Geprüft",Programme_Grunddaten!Y164&lt;&gt;""),IF(Programme_Grunddaten!Y164="Ja",1,0),"")</f>
        <v/>
      </c>
      <c r="R159" s="1" t="str">
        <f>IF(AND(Programme_Grunddaten!$A164="Geprüft",Programme_Grunddaten!Z164&lt;&gt;""),IF(Programme_Grunddaten!Z164="Ja",1,0),"")</f>
        <v/>
      </c>
      <c r="S159" s="1" t="str">
        <f>IF(AND(Programme_Grunddaten!$A164="Geprüft",Programme_Grunddaten!AA164&lt;&gt;""),IF(Programme_Grunddaten!AA164="monolithisch",1,0),"")</f>
        <v/>
      </c>
      <c r="T159" s="1" t="str">
        <f>IF(AND(Programme_Grunddaten!$A164="Geprüft",Programme_Grunddaten!AB164&lt;&gt;""),IF(Programme_Grunddaten!AB164="Ja",1,0),"")</f>
        <v/>
      </c>
      <c r="U159" s="1" t="str">
        <f>IF(AND(Programme_Grunddaten!$A164="Geprüft",Programme_Grunddaten!AC164&lt;&gt;""),IF(Programme_Grunddaten!AC164="Ja",1,0),"")</f>
        <v/>
      </c>
      <c r="V159" s="1" t="str">
        <f>IF(AND(Programme_Grunddaten!$A164="Geprüft",Programme_Grunddaten!AD164&lt;&gt;""),IF(Programme_Grunddaten!AD164="Ja",1,0),"")</f>
        <v/>
      </c>
      <c r="W159" s="1" t="str">
        <f>IF(AND(Programme_Grunddaten!$A164="Geprüft",Programme_Grunddaten!AE164&lt;&gt;""),IF(Programme_Grunddaten!AE164="Ja",1,0),"")</f>
        <v/>
      </c>
      <c r="X159" s="1" t="str">
        <f>IF(AND(Programme_Grunddaten!$A164="Geprüft",Programme_Grunddaten!AF164&lt;&gt;""),IF(Programme_Grunddaten!AF164="Ja",1,0),"")</f>
        <v/>
      </c>
      <c r="Y159" s="1" t="str">
        <f>IF(AND(Programme_Grunddaten!$A164="Geprüft",Programme_Grunddaten!AG164&lt;&gt;""),IF(Programme_Grunddaten!AG164="Ja",1,0),"")</f>
        <v/>
      </c>
      <c r="Z159" s="1" t="str">
        <f>IF(AND(Programme_Grunddaten!$A164="Geprüft",Programme_Grunddaten!AH164&lt;&gt;""),IF(Programme_Grunddaten!AH164="Ja",1,0),"")</f>
        <v/>
      </c>
      <c r="AA159" s="1" t="str">
        <f>IF(AND(Programme_Grunddaten!$A164="Geprüft",Programme_Grunddaten!AI164&lt;&gt;""),IF(Programme_Grunddaten!AI164="Ja",1,0),"")</f>
        <v/>
      </c>
      <c r="AB159" s="1" t="str">
        <f>IF(AND(Programme_Grunddaten!$A164="Geprüft",Programme_Grunddaten!AJ164&lt;&gt;""),IF(Programme_Grunddaten!AJ164="individuell programmierbar",1,0),"")</f>
        <v/>
      </c>
      <c r="AC159" s="1" t="str">
        <f>IF(AND(Programme_Grunddaten!$A164="Geprüft",Programme_Grunddaten!AK164&lt;&gt;""),IF(Programme_Grunddaten!AK164="Deutsch",0,IF(Programme_Grunddaten!AK164="Deutsch und Englisch",1,2)),"")</f>
        <v/>
      </c>
      <c r="AD159" s="1" t="str">
        <f>IF(AND(Programme_Grunddaten!$A164="Geprüft",Programme_Grunddaten!AL164&lt;&gt;""),IF(Programme_Grunddaten!AL164="Ja",1,0),"")</f>
        <v/>
      </c>
      <c r="AE159" s="1" t="str">
        <f>IF(AND(Programme_Grunddaten!$A164="Geprüft",Programme_Grunddaten!AM164&lt;&gt;""),IF(Programme_Grunddaten!AM164="Ja",1,0),"")</f>
        <v/>
      </c>
      <c r="AF159" s="1" t="str">
        <f>IF(AND(Programme_Grunddaten!$A164="Geprüft",Programme_Grunddaten!AN164&lt;&gt;""),IF(Programme_Grunddaten!AN164="Ja",1,0),"")</f>
        <v/>
      </c>
      <c r="AG159" s="1" t="str">
        <f>IF(AND(Programme_Grunddaten!$A164="Geprüft",Programme_Grunddaten!AO164&lt;&gt;""),IF(Programme_Grunddaten!AO164="Ja",1,0),"")</f>
        <v/>
      </c>
      <c r="AH159" s="1" t="str">
        <f>IF(AND(Programme_Grunddaten!$A164="Geprüft",Programme_Grunddaten!AP164&lt;&gt;""),IF(Programme_Grunddaten!AP164="Ja",1,0),"")</f>
        <v/>
      </c>
      <c r="AI159" s="1" t="str">
        <f>IF(AND(Programme_Grunddaten!$A164="Geprüft",Programme_Grunddaten!AQ164&lt;&gt;""),IF(Programme_Grunddaten!AQ164="Ja",1,0),"")</f>
        <v/>
      </c>
      <c r="AJ159" s="1" t="str">
        <f>IF(AND(Programme_Grunddaten!$A164="Geprüft",Programme_Grunddaten!AR164&lt;&gt;""),IF(Programme_Grunddaten!AR164="Ja",1,0),"")</f>
        <v/>
      </c>
      <c r="AK159" s="1" t="str">
        <f>IF(AND(Programme_Grunddaten!$A164="Geprüft",Programme_Grunddaten!AS164&lt;&gt;""),IF(Programme_Grunddaten!AS164="Ja",1,0),"")</f>
        <v/>
      </c>
      <c r="AL159" s="1" t="str">
        <f>IF(AND(Programme_Grunddaten!$A164="Geprüft",Programme_Grunddaten!AT164&lt;&gt;""),IF(Programme_Grunddaten!AT164="Ja",1,0),"")</f>
        <v/>
      </c>
      <c r="AM159" s="1" t="str">
        <f>IF(AND(Programme_Grunddaten!$A164="Geprüft",Programme_Grunddaten!AU164&lt;&gt;""),IF(Programme_Grunddaten!AU164="Ja",1,0),"")</f>
        <v/>
      </c>
      <c r="AN159" s="1" t="str">
        <f>IF(AND(Programme_Grunddaten!$A164="Geprüft",Programme_Grunddaten!AV164&lt;&gt;""),IF(Programme_Grunddaten!AV164="Ja",1,0),"")</f>
        <v/>
      </c>
    </row>
    <row r="160" spans="1:40" x14ac:dyDescent="0.3">
      <c r="A160" s="1" t="str">
        <f>IF(AND(Programme_Grunddaten!A165="Geprüft",Programme_Grunddaten!B165&lt;&gt;""),Programme_Grunddaten!B165,"")</f>
        <v/>
      </c>
      <c r="B160" s="1" t="str">
        <f>IF(AND(Programme_Grunddaten!$A165="Geprüft",Programme_Grunddaten!I165&lt;&gt;""),IF(Programme_Grunddaten!I165="Ja",1,0),"")</f>
        <v/>
      </c>
      <c r="C160" s="1" t="str">
        <f>IF(AND(Programme_Grunddaten!$A165="Geprüft",Programme_Grunddaten!J165&lt;&gt;""),IF(Programme_Grunddaten!J165="Ja",1,0),"")</f>
        <v/>
      </c>
      <c r="D160" s="1" t="str">
        <f>IF(AND(Programme_Grunddaten!$A165="Geprüft",Programme_Grunddaten!K165&lt;&gt;""),IF(Programme_Grunddaten!K165="Ja",1,0),"")</f>
        <v/>
      </c>
      <c r="E160" s="1" t="str">
        <f>IF(AND(Programme_Grunddaten!$A165="Geprüft",Programme_Grunddaten!L165&lt;&gt;""),IF(Programme_Grunddaten!L165="Abo / befristete Lizenz",1,0),"")</f>
        <v/>
      </c>
      <c r="F160" s="1" t="str">
        <f>IF(AND(Programme_Grunddaten!$A165="Geprüft",Programme_Grunddaten!M165&lt;&gt;""),IF(Programme_Grunddaten!M165="Ja",1,0),"")</f>
        <v/>
      </c>
      <c r="G160" s="1" t="str">
        <f>IF(AND(Programme_Grunddaten!$A165="Geprüft",Programme_Grunddaten!N165&lt;&gt;""),IF(Programme_Grunddaten!N165="Ja",1,0),"")</f>
        <v/>
      </c>
      <c r="H160" s="1" t="str">
        <f>IF(AND(Programme_Grunddaten!$A165="Geprüft",Programme_Grunddaten!O165&lt;&gt;""),IF(Programme_Grunddaten!O165="Deutschland",0,IF(Programme_Grunddaten!O165="EU",1,2)),"")</f>
        <v/>
      </c>
      <c r="I160" s="1" t="str">
        <f>IF(AND(Programme_Grunddaten!$A165="Geprüft",Programme_Grunddaten!P165&lt;&gt;""),IF(Programme_Grunddaten!P165="Ja",1,0),"")</f>
        <v/>
      </c>
      <c r="J160" s="1" t="str">
        <f>IF(AND(Programme_Grunddaten!$A165="Geprüft",Programme_Grunddaten!Q165&lt;&gt;""),IF(Programme_Grunddaten!Q165="geschlossenes System",1,0),"")</f>
        <v/>
      </c>
      <c r="K160" s="1" t="str">
        <f>IF(AND(Programme_Grunddaten!$A165="Geprüft",Programme_Grunddaten!R165&lt;&gt;""),IF(Programme_Grunddaten!R165="Ja",1,0),"")</f>
        <v/>
      </c>
      <c r="L160" s="1" t="str">
        <f>IF(AND(Programme_Grunddaten!$A165="Geprüft",Programme_Grunddaten!T165&lt;&gt;""),IF(Programme_Grunddaten!T165="Ja",1,0),"")</f>
        <v/>
      </c>
      <c r="M160" s="1" t="str">
        <f>IF(AND(Programme_Grunddaten!$A165="Geprüft",Programme_Grunddaten!U165&lt;&gt;""),IF(Programme_Grunddaten!U165="Ja",1,0),"")</f>
        <v/>
      </c>
      <c r="N160" s="1" t="str">
        <f>IF(AND(Programme_Grunddaten!$A165="Geprüft",Programme_Grunddaten!V165&lt;&gt;""),IF(Programme_Grunddaten!V165="Ja",1,0),"")</f>
        <v/>
      </c>
      <c r="O160" s="1" t="str">
        <f>IF(AND(Programme_Grunddaten!$A165="Geprüft",Programme_Grunddaten!W165&lt;&gt;""),IF(Programme_Grunddaten!W165="Ja",1,0),"")</f>
        <v/>
      </c>
      <c r="P160" s="1" t="str">
        <f>IF(AND(Programme_Grunddaten!$A165="Geprüft",Programme_Grunddaten!X165&lt;&gt;""),IF(Programme_Grunddaten!X165="Ja",1,0),"")</f>
        <v/>
      </c>
      <c r="Q160" s="1" t="str">
        <f>IF(AND(Programme_Grunddaten!$A165="Geprüft",Programme_Grunddaten!Y165&lt;&gt;""),IF(Programme_Grunddaten!Y165="Ja",1,0),"")</f>
        <v/>
      </c>
      <c r="R160" s="1" t="str">
        <f>IF(AND(Programme_Grunddaten!$A165="Geprüft",Programme_Grunddaten!Z165&lt;&gt;""),IF(Programme_Grunddaten!Z165="Ja",1,0),"")</f>
        <v/>
      </c>
      <c r="S160" s="1" t="str">
        <f>IF(AND(Programme_Grunddaten!$A165="Geprüft",Programme_Grunddaten!AA165&lt;&gt;""),IF(Programme_Grunddaten!AA165="monolithisch",1,0),"")</f>
        <v/>
      </c>
      <c r="T160" s="1" t="str">
        <f>IF(AND(Programme_Grunddaten!$A165="Geprüft",Programme_Grunddaten!AB165&lt;&gt;""),IF(Programme_Grunddaten!AB165="Ja",1,0),"")</f>
        <v/>
      </c>
      <c r="U160" s="1" t="str">
        <f>IF(AND(Programme_Grunddaten!$A165="Geprüft",Programme_Grunddaten!AC165&lt;&gt;""),IF(Programme_Grunddaten!AC165="Ja",1,0),"")</f>
        <v/>
      </c>
      <c r="V160" s="1" t="str">
        <f>IF(AND(Programme_Grunddaten!$A165="Geprüft",Programme_Grunddaten!AD165&lt;&gt;""),IF(Programme_Grunddaten!AD165="Ja",1,0),"")</f>
        <v/>
      </c>
      <c r="W160" s="1" t="str">
        <f>IF(AND(Programme_Grunddaten!$A165="Geprüft",Programme_Grunddaten!AE165&lt;&gt;""),IF(Programme_Grunddaten!AE165="Ja",1,0),"")</f>
        <v/>
      </c>
      <c r="X160" s="1" t="str">
        <f>IF(AND(Programme_Grunddaten!$A165="Geprüft",Programme_Grunddaten!AF165&lt;&gt;""),IF(Programme_Grunddaten!AF165="Ja",1,0),"")</f>
        <v/>
      </c>
      <c r="Y160" s="1" t="str">
        <f>IF(AND(Programme_Grunddaten!$A165="Geprüft",Programme_Grunddaten!AG165&lt;&gt;""),IF(Programme_Grunddaten!AG165="Ja",1,0),"")</f>
        <v/>
      </c>
      <c r="Z160" s="1" t="str">
        <f>IF(AND(Programme_Grunddaten!$A165="Geprüft",Programme_Grunddaten!AH165&lt;&gt;""),IF(Programme_Grunddaten!AH165="Ja",1,0),"")</f>
        <v/>
      </c>
      <c r="AA160" s="1" t="str">
        <f>IF(AND(Programme_Grunddaten!$A165="Geprüft",Programme_Grunddaten!AI165&lt;&gt;""),IF(Programme_Grunddaten!AI165="Ja",1,0),"")</f>
        <v/>
      </c>
      <c r="AB160" s="1" t="str">
        <f>IF(AND(Programme_Grunddaten!$A165="Geprüft",Programme_Grunddaten!AJ165&lt;&gt;""),IF(Programme_Grunddaten!AJ165="individuell programmierbar",1,0),"")</f>
        <v/>
      </c>
      <c r="AC160" s="1" t="str">
        <f>IF(AND(Programme_Grunddaten!$A165="Geprüft",Programme_Grunddaten!AK165&lt;&gt;""),IF(Programme_Grunddaten!AK165="Deutsch",0,IF(Programme_Grunddaten!AK165="Deutsch und Englisch",1,2)),"")</f>
        <v/>
      </c>
      <c r="AD160" s="1" t="str">
        <f>IF(AND(Programme_Grunddaten!$A165="Geprüft",Programme_Grunddaten!AL165&lt;&gt;""),IF(Programme_Grunddaten!AL165="Ja",1,0),"")</f>
        <v/>
      </c>
      <c r="AE160" s="1" t="str">
        <f>IF(AND(Programme_Grunddaten!$A165="Geprüft",Programme_Grunddaten!AM165&lt;&gt;""),IF(Programme_Grunddaten!AM165="Ja",1,0),"")</f>
        <v/>
      </c>
      <c r="AF160" s="1" t="str">
        <f>IF(AND(Programme_Grunddaten!$A165="Geprüft",Programme_Grunddaten!AN165&lt;&gt;""),IF(Programme_Grunddaten!AN165="Ja",1,0),"")</f>
        <v/>
      </c>
      <c r="AG160" s="1" t="str">
        <f>IF(AND(Programme_Grunddaten!$A165="Geprüft",Programme_Grunddaten!AO165&lt;&gt;""),IF(Programme_Grunddaten!AO165="Ja",1,0),"")</f>
        <v/>
      </c>
      <c r="AH160" s="1" t="str">
        <f>IF(AND(Programme_Grunddaten!$A165="Geprüft",Programme_Grunddaten!AP165&lt;&gt;""),IF(Programme_Grunddaten!AP165="Ja",1,0),"")</f>
        <v/>
      </c>
      <c r="AI160" s="1" t="str">
        <f>IF(AND(Programme_Grunddaten!$A165="Geprüft",Programme_Grunddaten!AQ165&lt;&gt;""),IF(Programme_Grunddaten!AQ165="Ja",1,0),"")</f>
        <v/>
      </c>
      <c r="AJ160" s="1" t="str">
        <f>IF(AND(Programme_Grunddaten!$A165="Geprüft",Programme_Grunddaten!AR165&lt;&gt;""),IF(Programme_Grunddaten!AR165="Ja",1,0),"")</f>
        <v/>
      </c>
      <c r="AK160" s="1" t="str">
        <f>IF(AND(Programme_Grunddaten!$A165="Geprüft",Programme_Grunddaten!AS165&lt;&gt;""),IF(Programme_Grunddaten!AS165="Ja",1,0),"")</f>
        <v/>
      </c>
      <c r="AL160" s="1" t="str">
        <f>IF(AND(Programme_Grunddaten!$A165="Geprüft",Programme_Grunddaten!AT165&lt;&gt;""),IF(Programme_Grunddaten!AT165="Ja",1,0),"")</f>
        <v/>
      </c>
      <c r="AM160" s="1" t="str">
        <f>IF(AND(Programme_Grunddaten!$A165="Geprüft",Programme_Grunddaten!AU165&lt;&gt;""),IF(Programme_Grunddaten!AU165="Ja",1,0),"")</f>
        <v/>
      </c>
      <c r="AN160" s="1" t="str">
        <f>IF(AND(Programme_Grunddaten!$A165="Geprüft",Programme_Grunddaten!AV165&lt;&gt;""),IF(Programme_Grunddaten!AV165="Ja",1,0),"")</f>
        <v/>
      </c>
    </row>
    <row r="161" spans="1:40" x14ac:dyDescent="0.3">
      <c r="A161" s="1" t="str">
        <f>IF(AND(Programme_Grunddaten!A166="Geprüft",Programme_Grunddaten!B166&lt;&gt;""),Programme_Grunddaten!B166,"")</f>
        <v/>
      </c>
      <c r="B161" s="1" t="str">
        <f>IF(AND(Programme_Grunddaten!$A166="Geprüft",Programme_Grunddaten!I166&lt;&gt;""),IF(Programme_Grunddaten!I166="Ja",1,0),"")</f>
        <v/>
      </c>
      <c r="C161" s="1" t="str">
        <f>IF(AND(Programme_Grunddaten!$A166="Geprüft",Programme_Grunddaten!J166&lt;&gt;""),IF(Programme_Grunddaten!J166="Ja",1,0),"")</f>
        <v/>
      </c>
      <c r="D161" s="1" t="str">
        <f>IF(AND(Programme_Grunddaten!$A166="Geprüft",Programme_Grunddaten!K166&lt;&gt;""),IF(Programme_Grunddaten!K166="Ja",1,0),"")</f>
        <v/>
      </c>
      <c r="E161" s="1" t="str">
        <f>IF(AND(Programme_Grunddaten!$A166="Geprüft",Programme_Grunddaten!L166&lt;&gt;""),IF(Programme_Grunddaten!L166="Abo / befristete Lizenz",1,0),"")</f>
        <v/>
      </c>
      <c r="F161" s="1" t="str">
        <f>IF(AND(Programme_Grunddaten!$A166="Geprüft",Programme_Grunddaten!M166&lt;&gt;""),IF(Programme_Grunddaten!M166="Ja",1,0),"")</f>
        <v/>
      </c>
      <c r="G161" s="1" t="str">
        <f>IF(AND(Programme_Grunddaten!$A166="Geprüft",Programme_Grunddaten!N166&lt;&gt;""),IF(Programme_Grunddaten!N166="Ja",1,0),"")</f>
        <v/>
      </c>
      <c r="H161" s="1" t="str">
        <f>IF(AND(Programme_Grunddaten!$A166="Geprüft",Programme_Grunddaten!O166&lt;&gt;""),IF(Programme_Grunddaten!O166="Deutschland",0,IF(Programme_Grunddaten!O166="EU",1,2)),"")</f>
        <v/>
      </c>
      <c r="I161" s="1" t="str">
        <f>IF(AND(Programme_Grunddaten!$A166="Geprüft",Programme_Grunddaten!P166&lt;&gt;""),IF(Programme_Grunddaten!P166="Ja",1,0),"")</f>
        <v/>
      </c>
      <c r="J161" s="1" t="str">
        <f>IF(AND(Programme_Grunddaten!$A166="Geprüft",Programme_Grunddaten!Q166&lt;&gt;""),IF(Programme_Grunddaten!Q166="geschlossenes System",1,0),"")</f>
        <v/>
      </c>
      <c r="K161" s="1" t="str">
        <f>IF(AND(Programme_Grunddaten!$A166="Geprüft",Programme_Grunddaten!R166&lt;&gt;""),IF(Programme_Grunddaten!R166="Ja",1,0),"")</f>
        <v/>
      </c>
      <c r="L161" s="1" t="str">
        <f>IF(AND(Programme_Grunddaten!$A166="Geprüft",Programme_Grunddaten!T166&lt;&gt;""),IF(Programme_Grunddaten!T166="Ja",1,0),"")</f>
        <v/>
      </c>
      <c r="M161" s="1" t="str">
        <f>IF(AND(Programme_Grunddaten!$A166="Geprüft",Programme_Grunddaten!U166&lt;&gt;""),IF(Programme_Grunddaten!U166="Ja",1,0),"")</f>
        <v/>
      </c>
      <c r="N161" s="1" t="str">
        <f>IF(AND(Programme_Grunddaten!$A166="Geprüft",Programme_Grunddaten!V166&lt;&gt;""),IF(Programme_Grunddaten!V166="Ja",1,0),"")</f>
        <v/>
      </c>
      <c r="O161" s="1" t="str">
        <f>IF(AND(Programme_Grunddaten!$A166="Geprüft",Programme_Grunddaten!W166&lt;&gt;""),IF(Programme_Grunddaten!W166="Ja",1,0),"")</f>
        <v/>
      </c>
      <c r="P161" s="1" t="str">
        <f>IF(AND(Programme_Grunddaten!$A166="Geprüft",Programme_Grunddaten!X166&lt;&gt;""),IF(Programme_Grunddaten!X166="Ja",1,0),"")</f>
        <v/>
      </c>
      <c r="Q161" s="1" t="str">
        <f>IF(AND(Programme_Grunddaten!$A166="Geprüft",Programme_Grunddaten!Y166&lt;&gt;""),IF(Programme_Grunddaten!Y166="Ja",1,0),"")</f>
        <v/>
      </c>
      <c r="R161" s="1" t="str">
        <f>IF(AND(Programme_Grunddaten!$A166="Geprüft",Programme_Grunddaten!Z166&lt;&gt;""),IF(Programme_Grunddaten!Z166="Ja",1,0),"")</f>
        <v/>
      </c>
      <c r="S161" s="1" t="str">
        <f>IF(AND(Programme_Grunddaten!$A166="Geprüft",Programme_Grunddaten!AA166&lt;&gt;""),IF(Programme_Grunddaten!AA166="monolithisch",1,0),"")</f>
        <v/>
      </c>
      <c r="T161" s="1" t="str">
        <f>IF(AND(Programme_Grunddaten!$A166="Geprüft",Programme_Grunddaten!AB166&lt;&gt;""),IF(Programme_Grunddaten!AB166="Ja",1,0),"")</f>
        <v/>
      </c>
      <c r="U161" s="1" t="str">
        <f>IF(AND(Programme_Grunddaten!$A166="Geprüft",Programme_Grunddaten!AC166&lt;&gt;""),IF(Programme_Grunddaten!AC166="Ja",1,0),"")</f>
        <v/>
      </c>
      <c r="V161" s="1" t="str">
        <f>IF(AND(Programme_Grunddaten!$A166="Geprüft",Programme_Grunddaten!AD166&lt;&gt;""),IF(Programme_Grunddaten!AD166="Ja",1,0),"")</f>
        <v/>
      </c>
      <c r="W161" s="1" t="str">
        <f>IF(AND(Programme_Grunddaten!$A166="Geprüft",Programme_Grunddaten!AE166&lt;&gt;""),IF(Programme_Grunddaten!AE166="Ja",1,0),"")</f>
        <v/>
      </c>
      <c r="X161" s="1" t="str">
        <f>IF(AND(Programme_Grunddaten!$A166="Geprüft",Programme_Grunddaten!AF166&lt;&gt;""),IF(Programme_Grunddaten!AF166="Ja",1,0),"")</f>
        <v/>
      </c>
      <c r="Y161" s="1" t="str">
        <f>IF(AND(Programme_Grunddaten!$A166="Geprüft",Programme_Grunddaten!AG166&lt;&gt;""),IF(Programme_Grunddaten!AG166="Ja",1,0),"")</f>
        <v/>
      </c>
      <c r="Z161" s="1" t="str">
        <f>IF(AND(Programme_Grunddaten!$A166="Geprüft",Programme_Grunddaten!AH166&lt;&gt;""),IF(Programme_Grunddaten!AH166="Ja",1,0),"")</f>
        <v/>
      </c>
      <c r="AA161" s="1" t="str">
        <f>IF(AND(Programme_Grunddaten!$A166="Geprüft",Programme_Grunddaten!AI166&lt;&gt;""),IF(Programme_Grunddaten!AI166="Ja",1,0),"")</f>
        <v/>
      </c>
      <c r="AB161" s="1" t="str">
        <f>IF(AND(Programme_Grunddaten!$A166="Geprüft",Programme_Grunddaten!AJ166&lt;&gt;""),IF(Programme_Grunddaten!AJ166="individuell programmierbar",1,0),"")</f>
        <v/>
      </c>
      <c r="AC161" s="1" t="str">
        <f>IF(AND(Programme_Grunddaten!$A166="Geprüft",Programme_Grunddaten!AK166&lt;&gt;""),IF(Programme_Grunddaten!AK166="Deutsch",0,IF(Programme_Grunddaten!AK166="Deutsch und Englisch",1,2)),"")</f>
        <v/>
      </c>
      <c r="AD161" s="1" t="str">
        <f>IF(AND(Programme_Grunddaten!$A166="Geprüft",Programme_Grunddaten!AL166&lt;&gt;""),IF(Programme_Grunddaten!AL166="Ja",1,0),"")</f>
        <v/>
      </c>
      <c r="AE161" s="1" t="str">
        <f>IF(AND(Programme_Grunddaten!$A166="Geprüft",Programme_Grunddaten!AM166&lt;&gt;""),IF(Programme_Grunddaten!AM166="Ja",1,0),"")</f>
        <v/>
      </c>
      <c r="AF161" s="1" t="str">
        <f>IF(AND(Programme_Grunddaten!$A166="Geprüft",Programme_Grunddaten!AN166&lt;&gt;""),IF(Programme_Grunddaten!AN166="Ja",1,0),"")</f>
        <v/>
      </c>
      <c r="AG161" s="1" t="str">
        <f>IF(AND(Programme_Grunddaten!$A166="Geprüft",Programme_Grunddaten!AO166&lt;&gt;""),IF(Programme_Grunddaten!AO166="Ja",1,0),"")</f>
        <v/>
      </c>
      <c r="AH161" s="1" t="str">
        <f>IF(AND(Programme_Grunddaten!$A166="Geprüft",Programme_Grunddaten!AP166&lt;&gt;""),IF(Programme_Grunddaten!AP166="Ja",1,0),"")</f>
        <v/>
      </c>
      <c r="AI161" s="1" t="str">
        <f>IF(AND(Programme_Grunddaten!$A166="Geprüft",Programme_Grunddaten!AQ166&lt;&gt;""),IF(Programme_Grunddaten!AQ166="Ja",1,0),"")</f>
        <v/>
      </c>
      <c r="AJ161" s="1" t="str">
        <f>IF(AND(Programme_Grunddaten!$A166="Geprüft",Programme_Grunddaten!AR166&lt;&gt;""),IF(Programme_Grunddaten!AR166="Ja",1,0),"")</f>
        <v/>
      </c>
      <c r="AK161" s="1" t="str">
        <f>IF(AND(Programme_Grunddaten!$A166="Geprüft",Programme_Grunddaten!AS166&lt;&gt;""),IF(Programme_Grunddaten!AS166="Ja",1,0),"")</f>
        <v/>
      </c>
      <c r="AL161" s="1" t="str">
        <f>IF(AND(Programme_Grunddaten!$A166="Geprüft",Programme_Grunddaten!AT166&lt;&gt;""),IF(Programme_Grunddaten!AT166="Ja",1,0),"")</f>
        <v/>
      </c>
      <c r="AM161" s="1" t="str">
        <f>IF(AND(Programme_Grunddaten!$A166="Geprüft",Programme_Grunddaten!AU166&lt;&gt;""),IF(Programme_Grunddaten!AU166="Ja",1,0),"")</f>
        <v/>
      </c>
      <c r="AN161" s="1" t="str">
        <f>IF(AND(Programme_Grunddaten!$A166="Geprüft",Programme_Grunddaten!AV166&lt;&gt;""),IF(Programme_Grunddaten!AV166="Ja",1,0),"")</f>
        <v/>
      </c>
    </row>
    <row r="162" spans="1:40" x14ac:dyDescent="0.3">
      <c r="A162" s="1" t="str">
        <f>IF(AND(Programme_Grunddaten!A167="Geprüft",Programme_Grunddaten!B167&lt;&gt;""),Programme_Grunddaten!B167,"")</f>
        <v/>
      </c>
      <c r="B162" s="1" t="str">
        <f>IF(AND(Programme_Grunddaten!$A167="Geprüft",Programme_Grunddaten!I167&lt;&gt;""),IF(Programme_Grunddaten!I167="Ja",1,0),"")</f>
        <v/>
      </c>
      <c r="C162" s="1" t="str">
        <f>IF(AND(Programme_Grunddaten!$A167="Geprüft",Programme_Grunddaten!J167&lt;&gt;""),IF(Programme_Grunddaten!J167="Ja",1,0),"")</f>
        <v/>
      </c>
      <c r="D162" s="1" t="str">
        <f>IF(AND(Programme_Grunddaten!$A167="Geprüft",Programme_Grunddaten!K167&lt;&gt;""),IF(Programme_Grunddaten!K167="Ja",1,0),"")</f>
        <v/>
      </c>
      <c r="E162" s="1" t="str">
        <f>IF(AND(Programme_Grunddaten!$A167="Geprüft",Programme_Grunddaten!L167&lt;&gt;""),IF(Programme_Grunddaten!L167="Abo / befristete Lizenz",1,0),"")</f>
        <v/>
      </c>
      <c r="F162" s="1" t="str">
        <f>IF(AND(Programme_Grunddaten!$A167="Geprüft",Programme_Grunddaten!M167&lt;&gt;""),IF(Programme_Grunddaten!M167="Ja",1,0),"")</f>
        <v/>
      </c>
      <c r="G162" s="1" t="str">
        <f>IF(AND(Programme_Grunddaten!$A167="Geprüft",Programme_Grunddaten!N167&lt;&gt;""),IF(Programme_Grunddaten!N167="Ja",1,0),"")</f>
        <v/>
      </c>
      <c r="H162" s="1" t="str">
        <f>IF(AND(Programme_Grunddaten!$A167="Geprüft",Programme_Grunddaten!O167&lt;&gt;""),IF(Programme_Grunddaten!O167="Deutschland",0,IF(Programme_Grunddaten!O167="EU",1,2)),"")</f>
        <v/>
      </c>
      <c r="I162" s="1" t="str">
        <f>IF(AND(Programme_Grunddaten!$A167="Geprüft",Programme_Grunddaten!P167&lt;&gt;""),IF(Programme_Grunddaten!P167="Ja",1,0),"")</f>
        <v/>
      </c>
      <c r="J162" s="1" t="str">
        <f>IF(AND(Programme_Grunddaten!$A167="Geprüft",Programme_Grunddaten!Q167&lt;&gt;""),IF(Programme_Grunddaten!Q167="geschlossenes System",1,0),"")</f>
        <v/>
      </c>
      <c r="K162" s="1" t="str">
        <f>IF(AND(Programme_Grunddaten!$A167="Geprüft",Programme_Grunddaten!R167&lt;&gt;""),IF(Programme_Grunddaten!R167="Ja",1,0),"")</f>
        <v/>
      </c>
      <c r="L162" s="1" t="str">
        <f>IF(AND(Programme_Grunddaten!$A167="Geprüft",Programme_Grunddaten!T167&lt;&gt;""),IF(Programme_Grunddaten!T167="Ja",1,0),"")</f>
        <v/>
      </c>
      <c r="M162" s="1" t="str">
        <f>IF(AND(Programme_Grunddaten!$A167="Geprüft",Programme_Grunddaten!U167&lt;&gt;""),IF(Programme_Grunddaten!U167="Ja",1,0),"")</f>
        <v/>
      </c>
      <c r="N162" s="1" t="str">
        <f>IF(AND(Programme_Grunddaten!$A167="Geprüft",Programme_Grunddaten!V167&lt;&gt;""),IF(Programme_Grunddaten!V167="Ja",1,0),"")</f>
        <v/>
      </c>
      <c r="O162" s="1" t="str">
        <f>IF(AND(Programme_Grunddaten!$A167="Geprüft",Programme_Grunddaten!W167&lt;&gt;""),IF(Programme_Grunddaten!W167="Ja",1,0),"")</f>
        <v/>
      </c>
      <c r="P162" s="1" t="str">
        <f>IF(AND(Programme_Grunddaten!$A167="Geprüft",Programme_Grunddaten!X167&lt;&gt;""),IF(Programme_Grunddaten!X167="Ja",1,0),"")</f>
        <v/>
      </c>
      <c r="Q162" s="1" t="str">
        <f>IF(AND(Programme_Grunddaten!$A167="Geprüft",Programme_Grunddaten!Y167&lt;&gt;""),IF(Programme_Grunddaten!Y167="Ja",1,0),"")</f>
        <v/>
      </c>
      <c r="R162" s="1" t="str">
        <f>IF(AND(Programme_Grunddaten!$A167="Geprüft",Programme_Grunddaten!Z167&lt;&gt;""),IF(Programme_Grunddaten!Z167="Ja",1,0),"")</f>
        <v/>
      </c>
      <c r="S162" s="1" t="str">
        <f>IF(AND(Programme_Grunddaten!$A167="Geprüft",Programme_Grunddaten!AA167&lt;&gt;""),IF(Programme_Grunddaten!AA167="monolithisch",1,0),"")</f>
        <v/>
      </c>
      <c r="T162" s="1" t="str">
        <f>IF(AND(Programme_Grunddaten!$A167="Geprüft",Programme_Grunddaten!AB167&lt;&gt;""),IF(Programme_Grunddaten!AB167="Ja",1,0),"")</f>
        <v/>
      </c>
      <c r="U162" s="1" t="str">
        <f>IF(AND(Programme_Grunddaten!$A167="Geprüft",Programme_Grunddaten!AC167&lt;&gt;""),IF(Programme_Grunddaten!AC167="Ja",1,0),"")</f>
        <v/>
      </c>
      <c r="V162" s="1" t="str">
        <f>IF(AND(Programme_Grunddaten!$A167="Geprüft",Programme_Grunddaten!AD167&lt;&gt;""),IF(Programme_Grunddaten!AD167="Ja",1,0),"")</f>
        <v/>
      </c>
      <c r="W162" s="1" t="str">
        <f>IF(AND(Programme_Grunddaten!$A167="Geprüft",Programme_Grunddaten!AE167&lt;&gt;""),IF(Programme_Grunddaten!AE167="Ja",1,0),"")</f>
        <v/>
      </c>
      <c r="X162" s="1" t="str">
        <f>IF(AND(Programme_Grunddaten!$A167="Geprüft",Programme_Grunddaten!AF167&lt;&gt;""),IF(Programme_Grunddaten!AF167="Ja",1,0),"")</f>
        <v/>
      </c>
      <c r="Y162" s="1" t="str">
        <f>IF(AND(Programme_Grunddaten!$A167="Geprüft",Programme_Grunddaten!AG167&lt;&gt;""),IF(Programme_Grunddaten!AG167="Ja",1,0),"")</f>
        <v/>
      </c>
      <c r="Z162" s="1" t="str">
        <f>IF(AND(Programme_Grunddaten!$A167="Geprüft",Programme_Grunddaten!AH167&lt;&gt;""),IF(Programme_Grunddaten!AH167="Ja",1,0),"")</f>
        <v/>
      </c>
      <c r="AA162" s="1" t="str">
        <f>IF(AND(Programme_Grunddaten!$A167="Geprüft",Programme_Grunddaten!AI167&lt;&gt;""),IF(Programme_Grunddaten!AI167="Ja",1,0),"")</f>
        <v/>
      </c>
      <c r="AB162" s="1" t="str">
        <f>IF(AND(Programme_Grunddaten!$A167="Geprüft",Programme_Grunddaten!AJ167&lt;&gt;""),IF(Programme_Grunddaten!AJ167="individuell programmierbar",1,0),"")</f>
        <v/>
      </c>
      <c r="AC162" s="1" t="str">
        <f>IF(AND(Programme_Grunddaten!$A167="Geprüft",Programme_Grunddaten!AK167&lt;&gt;""),IF(Programme_Grunddaten!AK167="Deutsch",0,IF(Programme_Grunddaten!AK167="Deutsch und Englisch",1,2)),"")</f>
        <v/>
      </c>
      <c r="AD162" s="1" t="str">
        <f>IF(AND(Programme_Grunddaten!$A167="Geprüft",Programme_Grunddaten!AL167&lt;&gt;""),IF(Programme_Grunddaten!AL167="Ja",1,0),"")</f>
        <v/>
      </c>
      <c r="AE162" s="1" t="str">
        <f>IF(AND(Programme_Grunddaten!$A167="Geprüft",Programme_Grunddaten!AM167&lt;&gt;""),IF(Programme_Grunddaten!AM167="Ja",1,0),"")</f>
        <v/>
      </c>
      <c r="AF162" s="1" t="str">
        <f>IF(AND(Programme_Grunddaten!$A167="Geprüft",Programme_Grunddaten!AN167&lt;&gt;""),IF(Programme_Grunddaten!AN167="Ja",1,0),"")</f>
        <v/>
      </c>
      <c r="AG162" s="1" t="str">
        <f>IF(AND(Programme_Grunddaten!$A167="Geprüft",Programme_Grunddaten!AO167&lt;&gt;""),IF(Programme_Grunddaten!AO167="Ja",1,0),"")</f>
        <v/>
      </c>
      <c r="AH162" s="1" t="str">
        <f>IF(AND(Programme_Grunddaten!$A167="Geprüft",Programme_Grunddaten!AP167&lt;&gt;""),IF(Programme_Grunddaten!AP167="Ja",1,0),"")</f>
        <v/>
      </c>
      <c r="AI162" s="1" t="str">
        <f>IF(AND(Programme_Grunddaten!$A167="Geprüft",Programme_Grunddaten!AQ167&lt;&gt;""),IF(Programme_Grunddaten!AQ167="Ja",1,0),"")</f>
        <v/>
      </c>
      <c r="AJ162" s="1" t="str">
        <f>IF(AND(Programme_Grunddaten!$A167="Geprüft",Programme_Grunddaten!AR167&lt;&gt;""),IF(Programme_Grunddaten!AR167="Ja",1,0),"")</f>
        <v/>
      </c>
      <c r="AK162" s="1" t="str">
        <f>IF(AND(Programme_Grunddaten!$A167="Geprüft",Programme_Grunddaten!AS167&lt;&gt;""),IF(Programme_Grunddaten!AS167="Ja",1,0),"")</f>
        <v/>
      </c>
      <c r="AL162" s="1" t="str">
        <f>IF(AND(Programme_Grunddaten!$A167="Geprüft",Programme_Grunddaten!AT167&lt;&gt;""),IF(Programme_Grunddaten!AT167="Ja",1,0),"")</f>
        <v/>
      </c>
      <c r="AM162" s="1" t="str">
        <f>IF(AND(Programme_Grunddaten!$A167="Geprüft",Programme_Grunddaten!AU167&lt;&gt;""),IF(Programme_Grunddaten!AU167="Ja",1,0),"")</f>
        <v/>
      </c>
      <c r="AN162" s="1" t="str">
        <f>IF(AND(Programme_Grunddaten!$A167="Geprüft",Programme_Grunddaten!AV167&lt;&gt;""),IF(Programme_Grunddaten!AV167="Ja",1,0),"")</f>
        <v/>
      </c>
    </row>
    <row r="163" spans="1:40" x14ac:dyDescent="0.3">
      <c r="A163" s="1" t="str">
        <f>IF(AND(Programme_Grunddaten!A168="Geprüft",Programme_Grunddaten!B168&lt;&gt;""),Programme_Grunddaten!B168,"")</f>
        <v/>
      </c>
      <c r="B163" s="1" t="str">
        <f>IF(AND(Programme_Grunddaten!$A168="Geprüft",Programme_Grunddaten!I168&lt;&gt;""),IF(Programme_Grunddaten!I168="Ja",1,0),"")</f>
        <v/>
      </c>
      <c r="C163" s="1" t="str">
        <f>IF(AND(Programme_Grunddaten!$A168="Geprüft",Programme_Grunddaten!J168&lt;&gt;""),IF(Programme_Grunddaten!J168="Ja",1,0),"")</f>
        <v/>
      </c>
      <c r="D163" s="1" t="str">
        <f>IF(AND(Programme_Grunddaten!$A168="Geprüft",Programme_Grunddaten!K168&lt;&gt;""),IF(Programme_Grunddaten!K168="Ja",1,0),"")</f>
        <v/>
      </c>
      <c r="E163" s="1" t="str">
        <f>IF(AND(Programme_Grunddaten!$A168="Geprüft",Programme_Grunddaten!L168&lt;&gt;""),IF(Programme_Grunddaten!L168="Abo / befristete Lizenz",1,0),"")</f>
        <v/>
      </c>
      <c r="F163" s="1" t="str">
        <f>IF(AND(Programme_Grunddaten!$A168="Geprüft",Programme_Grunddaten!M168&lt;&gt;""),IF(Programme_Grunddaten!M168="Ja",1,0),"")</f>
        <v/>
      </c>
      <c r="G163" s="1" t="str">
        <f>IF(AND(Programme_Grunddaten!$A168="Geprüft",Programme_Grunddaten!N168&lt;&gt;""),IF(Programme_Grunddaten!N168="Ja",1,0),"")</f>
        <v/>
      </c>
      <c r="H163" s="1" t="str">
        <f>IF(AND(Programme_Grunddaten!$A168="Geprüft",Programme_Grunddaten!O168&lt;&gt;""),IF(Programme_Grunddaten!O168="Deutschland",0,IF(Programme_Grunddaten!O168="EU",1,2)),"")</f>
        <v/>
      </c>
      <c r="I163" s="1" t="str">
        <f>IF(AND(Programme_Grunddaten!$A168="Geprüft",Programme_Grunddaten!P168&lt;&gt;""),IF(Programme_Grunddaten!P168="Ja",1,0),"")</f>
        <v/>
      </c>
      <c r="J163" s="1" t="str">
        <f>IF(AND(Programme_Grunddaten!$A168="Geprüft",Programme_Grunddaten!Q168&lt;&gt;""),IF(Programme_Grunddaten!Q168="geschlossenes System",1,0),"")</f>
        <v/>
      </c>
      <c r="K163" s="1" t="str">
        <f>IF(AND(Programme_Grunddaten!$A168="Geprüft",Programme_Grunddaten!R168&lt;&gt;""),IF(Programme_Grunddaten!R168="Ja",1,0),"")</f>
        <v/>
      </c>
      <c r="L163" s="1" t="str">
        <f>IF(AND(Programme_Grunddaten!$A168="Geprüft",Programme_Grunddaten!T168&lt;&gt;""),IF(Programme_Grunddaten!T168="Ja",1,0),"")</f>
        <v/>
      </c>
      <c r="M163" s="1" t="str">
        <f>IF(AND(Programme_Grunddaten!$A168="Geprüft",Programme_Grunddaten!U168&lt;&gt;""),IF(Programme_Grunddaten!U168="Ja",1,0),"")</f>
        <v/>
      </c>
      <c r="N163" s="1" t="str">
        <f>IF(AND(Programme_Grunddaten!$A168="Geprüft",Programme_Grunddaten!V168&lt;&gt;""),IF(Programme_Grunddaten!V168="Ja",1,0),"")</f>
        <v/>
      </c>
      <c r="O163" s="1" t="str">
        <f>IF(AND(Programme_Grunddaten!$A168="Geprüft",Programme_Grunddaten!W168&lt;&gt;""),IF(Programme_Grunddaten!W168="Ja",1,0),"")</f>
        <v/>
      </c>
      <c r="P163" s="1" t="str">
        <f>IF(AND(Programme_Grunddaten!$A168="Geprüft",Programme_Grunddaten!X168&lt;&gt;""),IF(Programme_Grunddaten!X168="Ja",1,0),"")</f>
        <v/>
      </c>
      <c r="Q163" s="1" t="str">
        <f>IF(AND(Programme_Grunddaten!$A168="Geprüft",Programme_Grunddaten!Y168&lt;&gt;""),IF(Programme_Grunddaten!Y168="Ja",1,0),"")</f>
        <v/>
      </c>
      <c r="R163" s="1" t="str">
        <f>IF(AND(Programme_Grunddaten!$A168="Geprüft",Programme_Grunddaten!Z168&lt;&gt;""),IF(Programme_Grunddaten!Z168="Ja",1,0),"")</f>
        <v/>
      </c>
      <c r="S163" s="1" t="str">
        <f>IF(AND(Programme_Grunddaten!$A168="Geprüft",Programme_Grunddaten!AA168&lt;&gt;""),IF(Programme_Grunddaten!AA168="monolithisch",1,0),"")</f>
        <v/>
      </c>
      <c r="T163" s="1" t="str">
        <f>IF(AND(Programme_Grunddaten!$A168="Geprüft",Programme_Grunddaten!AB168&lt;&gt;""),IF(Programme_Grunddaten!AB168="Ja",1,0),"")</f>
        <v/>
      </c>
      <c r="U163" s="1" t="str">
        <f>IF(AND(Programme_Grunddaten!$A168="Geprüft",Programme_Grunddaten!AC168&lt;&gt;""),IF(Programme_Grunddaten!AC168="Ja",1,0),"")</f>
        <v/>
      </c>
      <c r="V163" s="1" t="str">
        <f>IF(AND(Programme_Grunddaten!$A168="Geprüft",Programme_Grunddaten!AD168&lt;&gt;""),IF(Programme_Grunddaten!AD168="Ja",1,0),"")</f>
        <v/>
      </c>
      <c r="W163" s="1" t="str">
        <f>IF(AND(Programme_Grunddaten!$A168="Geprüft",Programme_Grunddaten!AE168&lt;&gt;""),IF(Programme_Grunddaten!AE168="Ja",1,0),"")</f>
        <v/>
      </c>
      <c r="X163" s="1" t="str">
        <f>IF(AND(Programme_Grunddaten!$A168="Geprüft",Programme_Grunddaten!AF168&lt;&gt;""),IF(Programme_Grunddaten!AF168="Ja",1,0),"")</f>
        <v/>
      </c>
      <c r="Y163" s="1" t="str">
        <f>IF(AND(Programme_Grunddaten!$A168="Geprüft",Programme_Grunddaten!AG168&lt;&gt;""),IF(Programme_Grunddaten!AG168="Ja",1,0),"")</f>
        <v/>
      </c>
      <c r="Z163" s="1" t="str">
        <f>IF(AND(Programme_Grunddaten!$A168="Geprüft",Programme_Grunddaten!AH168&lt;&gt;""),IF(Programme_Grunddaten!AH168="Ja",1,0),"")</f>
        <v/>
      </c>
      <c r="AA163" s="1" t="str">
        <f>IF(AND(Programme_Grunddaten!$A168="Geprüft",Programme_Grunddaten!AI168&lt;&gt;""),IF(Programme_Grunddaten!AI168="Ja",1,0),"")</f>
        <v/>
      </c>
      <c r="AB163" s="1" t="str">
        <f>IF(AND(Programme_Grunddaten!$A168="Geprüft",Programme_Grunddaten!AJ168&lt;&gt;""),IF(Programme_Grunddaten!AJ168="individuell programmierbar",1,0),"")</f>
        <v/>
      </c>
      <c r="AC163" s="1" t="str">
        <f>IF(AND(Programme_Grunddaten!$A168="Geprüft",Programme_Grunddaten!AK168&lt;&gt;""),IF(Programme_Grunddaten!AK168="Deutsch",0,IF(Programme_Grunddaten!AK168="Deutsch und Englisch",1,2)),"")</f>
        <v/>
      </c>
      <c r="AD163" s="1" t="str">
        <f>IF(AND(Programme_Grunddaten!$A168="Geprüft",Programme_Grunddaten!AL168&lt;&gt;""),IF(Programme_Grunddaten!AL168="Ja",1,0),"")</f>
        <v/>
      </c>
      <c r="AE163" s="1" t="str">
        <f>IF(AND(Programme_Grunddaten!$A168="Geprüft",Programme_Grunddaten!AM168&lt;&gt;""),IF(Programme_Grunddaten!AM168="Ja",1,0),"")</f>
        <v/>
      </c>
      <c r="AF163" s="1" t="str">
        <f>IF(AND(Programme_Grunddaten!$A168="Geprüft",Programme_Grunddaten!AN168&lt;&gt;""),IF(Programme_Grunddaten!AN168="Ja",1,0),"")</f>
        <v/>
      </c>
      <c r="AG163" s="1" t="str">
        <f>IF(AND(Programme_Grunddaten!$A168="Geprüft",Programme_Grunddaten!AO168&lt;&gt;""),IF(Programme_Grunddaten!AO168="Ja",1,0),"")</f>
        <v/>
      </c>
      <c r="AH163" s="1" t="str">
        <f>IF(AND(Programme_Grunddaten!$A168="Geprüft",Programme_Grunddaten!AP168&lt;&gt;""),IF(Programme_Grunddaten!AP168="Ja",1,0),"")</f>
        <v/>
      </c>
      <c r="AI163" s="1" t="str">
        <f>IF(AND(Programme_Grunddaten!$A168="Geprüft",Programme_Grunddaten!AQ168&lt;&gt;""),IF(Programme_Grunddaten!AQ168="Ja",1,0),"")</f>
        <v/>
      </c>
      <c r="AJ163" s="1" t="str">
        <f>IF(AND(Programme_Grunddaten!$A168="Geprüft",Programme_Grunddaten!AR168&lt;&gt;""),IF(Programme_Grunddaten!AR168="Ja",1,0),"")</f>
        <v/>
      </c>
      <c r="AK163" s="1" t="str">
        <f>IF(AND(Programme_Grunddaten!$A168="Geprüft",Programme_Grunddaten!AS168&lt;&gt;""),IF(Programme_Grunddaten!AS168="Ja",1,0),"")</f>
        <v/>
      </c>
      <c r="AL163" s="1" t="str">
        <f>IF(AND(Programme_Grunddaten!$A168="Geprüft",Programme_Grunddaten!AT168&lt;&gt;""),IF(Programme_Grunddaten!AT168="Ja",1,0),"")</f>
        <v/>
      </c>
      <c r="AM163" s="1" t="str">
        <f>IF(AND(Programme_Grunddaten!$A168="Geprüft",Programme_Grunddaten!AU168&lt;&gt;""),IF(Programme_Grunddaten!AU168="Ja",1,0),"")</f>
        <v/>
      </c>
      <c r="AN163" s="1" t="str">
        <f>IF(AND(Programme_Grunddaten!$A168="Geprüft",Programme_Grunddaten!AV168&lt;&gt;""),IF(Programme_Grunddaten!AV168="Ja",1,0),"")</f>
        <v/>
      </c>
    </row>
    <row r="164" spans="1:40" x14ac:dyDescent="0.3">
      <c r="A164" s="1" t="str">
        <f>IF(AND(Programme_Grunddaten!A169="Geprüft",Programme_Grunddaten!B169&lt;&gt;""),Programme_Grunddaten!B169,"")</f>
        <v/>
      </c>
      <c r="B164" s="1" t="str">
        <f>IF(AND(Programme_Grunddaten!$A169="Geprüft",Programme_Grunddaten!I169&lt;&gt;""),IF(Programme_Grunddaten!I169="Ja",1,0),"")</f>
        <v/>
      </c>
      <c r="C164" s="1" t="str">
        <f>IF(AND(Programme_Grunddaten!$A169="Geprüft",Programme_Grunddaten!J169&lt;&gt;""),IF(Programme_Grunddaten!J169="Ja",1,0),"")</f>
        <v/>
      </c>
      <c r="D164" s="1" t="str">
        <f>IF(AND(Programme_Grunddaten!$A169="Geprüft",Programme_Grunddaten!K169&lt;&gt;""),IF(Programme_Grunddaten!K169="Ja",1,0),"")</f>
        <v/>
      </c>
      <c r="E164" s="1" t="str">
        <f>IF(AND(Programme_Grunddaten!$A169="Geprüft",Programme_Grunddaten!L169&lt;&gt;""),IF(Programme_Grunddaten!L169="Abo / befristete Lizenz",1,0),"")</f>
        <v/>
      </c>
      <c r="F164" s="1" t="str">
        <f>IF(AND(Programme_Grunddaten!$A169="Geprüft",Programme_Grunddaten!M169&lt;&gt;""),IF(Programme_Grunddaten!M169="Ja",1,0),"")</f>
        <v/>
      </c>
      <c r="G164" s="1" t="str">
        <f>IF(AND(Programme_Grunddaten!$A169="Geprüft",Programme_Grunddaten!N169&lt;&gt;""),IF(Programme_Grunddaten!N169="Ja",1,0),"")</f>
        <v/>
      </c>
      <c r="H164" s="1" t="str">
        <f>IF(AND(Programme_Grunddaten!$A169="Geprüft",Programme_Grunddaten!O169&lt;&gt;""),IF(Programme_Grunddaten!O169="Deutschland",0,IF(Programme_Grunddaten!O169="EU",1,2)),"")</f>
        <v/>
      </c>
      <c r="I164" s="1" t="str">
        <f>IF(AND(Programme_Grunddaten!$A169="Geprüft",Programme_Grunddaten!P169&lt;&gt;""),IF(Programme_Grunddaten!P169="Ja",1,0),"")</f>
        <v/>
      </c>
      <c r="J164" s="1" t="str">
        <f>IF(AND(Programme_Grunddaten!$A169="Geprüft",Programme_Grunddaten!Q169&lt;&gt;""),IF(Programme_Grunddaten!Q169="geschlossenes System",1,0),"")</f>
        <v/>
      </c>
      <c r="K164" s="1" t="str">
        <f>IF(AND(Programme_Grunddaten!$A169="Geprüft",Programme_Grunddaten!R169&lt;&gt;""),IF(Programme_Grunddaten!R169="Ja",1,0),"")</f>
        <v/>
      </c>
      <c r="L164" s="1" t="str">
        <f>IF(AND(Programme_Grunddaten!$A169="Geprüft",Programme_Grunddaten!T169&lt;&gt;""),IF(Programme_Grunddaten!T169="Ja",1,0),"")</f>
        <v/>
      </c>
      <c r="M164" s="1" t="str">
        <f>IF(AND(Programme_Grunddaten!$A169="Geprüft",Programme_Grunddaten!U169&lt;&gt;""),IF(Programme_Grunddaten!U169="Ja",1,0),"")</f>
        <v/>
      </c>
      <c r="N164" s="1" t="str">
        <f>IF(AND(Programme_Grunddaten!$A169="Geprüft",Programme_Grunddaten!V169&lt;&gt;""),IF(Programme_Grunddaten!V169="Ja",1,0),"")</f>
        <v/>
      </c>
      <c r="O164" s="1" t="str">
        <f>IF(AND(Programme_Grunddaten!$A169="Geprüft",Programme_Grunddaten!W169&lt;&gt;""),IF(Programme_Grunddaten!W169="Ja",1,0),"")</f>
        <v/>
      </c>
      <c r="P164" s="1" t="str">
        <f>IF(AND(Programme_Grunddaten!$A169="Geprüft",Programme_Grunddaten!X169&lt;&gt;""),IF(Programme_Grunddaten!X169="Ja",1,0),"")</f>
        <v/>
      </c>
      <c r="Q164" s="1" t="str">
        <f>IF(AND(Programme_Grunddaten!$A169="Geprüft",Programme_Grunddaten!Y169&lt;&gt;""),IF(Programme_Grunddaten!Y169="Ja",1,0),"")</f>
        <v/>
      </c>
      <c r="R164" s="1" t="str">
        <f>IF(AND(Programme_Grunddaten!$A169="Geprüft",Programme_Grunddaten!Z169&lt;&gt;""),IF(Programme_Grunddaten!Z169="Ja",1,0),"")</f>
        <v/>
      </c>
      <c r="S164" s="1" t="str">
        <f>IF(AND(Programme_Grunddaten!$A169="Geprüft",Programme_Grunddaten!AA169&lt;&gt;""),IF(Programme_Grunddaten!AA169="monolithisch",1,0),"")</f>
        <v/>
      </c>
      <c r="T164" s="1" t="str">
        <f>IF(AND(Programme_Grunddaten!$A169="Geprüft",Programme_Grunddaten!AB169&lt;&gt;""),IF(Programme_Grunddaten!AB169="Ja",1,0),"")</f>
        <v/>
      </c>
      <c r="U164" s="1" t="str">
        <f>IF(AND(Programme_Grunddaten!$A169="Geprüft",Programme_Grunddaten!AC169&lt;&gt;""),IF(Programme_Grunddaten!AC169="Ja",1,0),"")</f>
        <v/>
      </c>
      <c r="V164" s="1" t="str">
        <f>IF(AND(Programme_Grunddaten!$A169="Geprüft",Programme_Grunddaten!AD169&lt;&gt;""),IF(Programme_Grunddaten!AD169="Ja",1,0),"")</f>
        <v/>
      </c>
      <c r="W164" s="1" t="str">
        <f>IF(AND(Programme_Grunddaten!$A169="Geprüft",Programme_Grunddaten!AE169&lt;&gt;""),IF(Programme_Grunddaten!AE169="Ja",1,0),"")</f>
        <v/>
      </c>
      <c r="X164" s="1" t="str">
        <f>IF(AND(Programme_Grunddaten!$A169="Geprüft",Programme_Grunddaten!AF169&lt;&gt;""),IF(Programme_Grunddaten!AF169="Ja",1,0),"")</f>
        <v/>
      </c>
      <c r="Y164" s="1" t="str">
        <f>IF(AND(Programme_Grunddaten!$A169="Geprüft",Programme_Grunddaten!AG169&lt;&gt;""),IF(Programme_Grunddaten!AG169="Ja",1,0),"")</f>
        <v/>
      </c>
      <c r="Z164" s="1" t="str">
        <f>IF(AND(Programme_Grunddaten!$A169="Geprüft",Programme_Grunddaten!AH169&lt;&gt;""),IF(Programme_Grunddaten!AH169="Ja",1,0),"")</f>
        <v/>
      </c>
      <c r="AA164" s="1" t="str">
        <f>IF(AND(Programme_Grunddaten!$A169="Geprüft",Programme_Grunddaten!AI169&lt;&gt;""),IF(Programme_Grunddaten!AI169="Ja",1,0),"")</f>
        <v/>
      </c>
      <c r="AB164" s="1" t="str">
        <f>IF(AND(Programme_Grunddaten!$A169="Geprüft",Programme_Grunddaten!AJ169&lt;&gt;""),IF(Programme_Grunddaten!AJ169="individuell programmierbar",1,0),"")</f>
        <v/>
      </c>
      <c r="AC164" s="1" t="str">
        <f>IF(AND(Programme_Grunddaten!$A169="Geprüft",Programme_Grunddaten!AK169&lt;&gt;""),IF(Programme_Grunddaten!AK169="Deutsch",0,IF(Programme_Grunddaten!AK169="Deutsch und Englisch",1,2)),"")</f>
        <v/>
      </c>
      <c r="AD164" s="1" t="str">
        <f>IF(AND(Programme_Grunddaten!$A169="Geprüft",Programme_Grunddaten!AL169&lt;&gt;""),IF(Programme_Grunddaten!AL169="Ja",1,0),"")</f>
        <v/>
      </c>
      <c r="AE164" s="1" t="str">
        <f>IF(AND(Programme_Grunddaten!$A169="Geprüft",Programme_Grunddaten!AM169&lt;&gt;""),IF(Programme_Grunddaten!AM169="Ja",1,0),"")</f>
        <v/>
      </c>
      <c r="AF164" s="1" t="str">
        <f>IF(AND(Programme_Grunddaten!$A169="Geprüft",Programme_Grunddaten!AN169&lt;&gt;""),IF(Programme_Grunddaten!AN169="Ja",1,0),"")</f>
        <v/>
      </c>
      <c r="AG164" s="1" t="str">
        <f>IF(AND(Programme_Grunddaten!$A169="Geprüft",Programme_Grunddaten!AO169&lt;&gt;""),IF(Programme_Grunddaten!AO169="Ja",1,0),"")</f>
        <v/>
      </c>
      <c r="AH164" s="1" t="str">
        <f>IF(AND(Programme_Grunddaten!$A169="Geprüft",Programme_Grunddaten!AP169&lt;&gt;""),IF(Programme_Grunddaten!AP169="Ja",1,0),"")</f>
        <v/>
      </c>
      <c r="AI164" s="1" t="str">
        <f>IF(AND(Programme_Grunddaten!$A169="Geprüft",Programme_Grunddaten!AQ169&lt;&gt;""),IF(Programme_Grunddaten!AQ169="Ja",1,0),"")</f>
        <v/>
      </c>
      <c r="AJ164" s="1" t="str">
        <f>IF(AND(Programme_Grunddaten!$A169="Geprüft",Programme_Grunddaten!AR169&lt;&gt;""),IF(Programme_Grunddaten!AR169="Ja",1,0),"")</f>
        <v/>
      </c>
      <c r="AK164" s="1" t="str">
        <f>IF(AND(Programme_Grunddaten!$A169="Geprüft",Programme_Grunddaten!AS169&lt;&gt;""),IF(Programme_Grunddaten!AS169="Ja",1,0),"")</f>
        <v/>
      </c>
      <c r="AL164" s="1" t="str">
        <f>IF(AND(Programme_Grunddaten!$A169="Geprüft",Programme_Grunddaten!AT169&lt;&gt;""),IF(Programme_Grunddaten!AT169="Ja",1,0),"")</f>
        <v/>
      </c>
      <c r="AM164" s="1" t="str">
        <f>IF(AND(Programme_Grunddaten!$A169="Geprüft",Programme_Grunddaten!AU169&lt;&gt;""),IF(Programme_Grunddaten!AU169="Ja",1,0),"")</f>
        <v/>
      </c>
      <c r="AN164" s="1" t="str">
        <f>IF(AND(Programme_Grunddaten!$A169="Geprüft",Programme_Grunddaten!AV169&lt;&gt;""),IF(Programme_Grunddaten!AV169="Ja",1,0),"")</f>
        <v/>
      </c>
    </row>
    <row r="165" spans="1:40" x14ac:dyDescent="0.3">
      <c r="A165" s="1" t="str">
        <f>IF(AND(Programme_Grunddaten!A170="Geprüft",Programme_Grunddaten!B170&lt;&gt;""),Programme_Grunddaten!B170,"")</f>
        <v/>
      </c>
      <c r="B165" s="1" t="str">
        <f>IF(AND(Programme_Grunddaten!$A170="Geprüft",Programme_Grunddaten!I170&lt;&gt;""),IF(Programme_Grunddaten!I170="Ja",1,0),"")</f>
        <v/>
      </c>
      <c r="C165" s="1" t="str">
        <f>IF(AND(Programme_Grunddaten!$A170="Geprüft",Programme_Grunddaten!J170&lt;&gt;""),IF(Programme_Grunddaten!J170="Ja",1,0),"")</f>
        <v/>
      </c>
      <c r="D165" s="1" t="str">
        <f>IF(AND(Programme_Grunddaten!$A170="Geprüft",Programme_Grunddaten!K170&lt;&gt;""),IF(Programme_Grunddaten!K170="Ja",1,0),"")</f>
        <v/>
      </c>
      <c r="E165" s="1" t="str">
        <f>IF(AND(Programme_Grunddaten!$A170="Geprüft",Programme_Grunddaten!L170&lt;&gt;""),IF(Programme_Grunddaten!L170="Abo / befristete Lizenz",1,0),"")</f>
        <v/>
      </c>
      <c r="F165" s="1" t="str">
        <f>IF(AND(Programme_Grunddaten!$A170="Geprüft",Programme_Grunddaten!M170&lt;&gt;""),IF(Programme_Grunddaten!M170="Ja",1,0),"")</f>
        <v/>
      </c>
      <c r="G165" s="1" t="str">
        <f>IF(AND(Programme_Grunddaten!$A170="Geprüft",Programme_Grunddaten!N170&lt;&gt;""),IF(Programme_Grunddaten!N170="Ja",1,0),"")</f>
        <v/>
      </c>
      <c r="H165" s="1" t="str">
        <f>IF(AND(Programme_Grunddaten!$A170="Geprüft",Programme_Grunddaten!O170&lt;&gt;""),IF(Programme_Grunddaten!O170="Deutschland",0,IF(Programme_Grunddaten!O170="EU",1,2)),"")</f>
        <v/>
      </c>
      <c r="I165" s="1" t="str">
        <f>IF(AND(Programme_Grunddaten!$A170="Geprüft",Programme_Grunddaten!P170&lt;&gt;""),IF(Programme_Grunddaten!P170="Ja",1,0),"")</f>
        <v/>
      </c>
      <c r="J165" s="1" t="str">
        <f>IF(AND(Programme_Grunddaten!$A170="Geprüft",Programme_Grunddaten!Q170&lt;&gt;""),IF(Programme_Grunddaten!Q170="geschlossenes System",1,0),"")</f>
        <v/>
      </c>
      <c r="K165" s="1" t="str">
        <f>IF(AND(Programme_Grunddaten!$A170="Geprüft",Programme_Grunddaten!R170&lt;&gt;""),IF(Programme_Grunddaten!R170="Ja",1,0),"")</f>
        <v/>
      </c>
      <c r="L165" s="1" t="str">
        <f>IF(AND(Programme_Grunddaten!$A170="Geprüft",Programme_Grunddaten!T170&lt;&gt;""),IF(Programme_Grunddaten!T170="Ja",1,0),"")</f>
        <v/>
      </c>
      <c r="M165" s="1" t="str">
        <f>IF(AND(Programme_Grunddaten!$A170="Geprüft",Programme_Grunddaten!U170&lt;&gt;""),IF(Programme_Grunddaten!U170="Ja",1,0),"")</f>
        <v/>
      </c>
      <c r="N165" s="1" t="str">
        <f>IF(AND(Programme_Grunddaten!$A170="Geprüft",Programme_Grunddaten!V170&lt;&gt;""),IF(Programme_Grunddaten!V170="Ja",1,0),"")</f>
        <v/>
      </c>
      <c r="O165" s="1" t="str">
        <f>IF(AND(Programme_Grunddaten!$A170="Geprüft",Programme_Grunddaten!W170&lt;&gt;""),IF(Programme_Grunddaten!W170="Ja",1,0),"")</f>
        <v/>
      </c>
      <c r="P165" s="1" t="str">
        <f>IF(AND(Programme_Grunddaten!$A170="Geprüft",Programme_Grunddaten!X170&lt;&gt;""),IF(Programme_Grunddaten!X170="Ja",1,0),"")</f>
        <v/>
      </c>
      <c r="Q165" s="1" t="str">
        <f>IF(AND(Programme_Grunddaten!$A170="Geprüft",Programme_Grunddaten!Y170&lt;&gt;""),IF(Programme_Grunddaten!Y170="Ja",1,0),"")</f>
        <v/>
      </c>
      <c r="R165" s="1" t="str">
        <f>IF(AND(Programme_Grunddaten!$A170="Geprüft",Programme_Grunddaten!Z170&lt;&gt;""),IF(Programme_Grunddaten!Z170="Ja",1,0),"")</f>
        <v/>
      </c>
      <c r="S165" s="1" t="str">
        <f>IF(AND(Programme_Grunddaten!$A170="Geprüft",Programme_Grunddaten!AA170&lt;&gt;""),IF(Programme_Grunddaten!AA170="monolithisch",1,0),"")</f>
        <v/>
      </c>
      <c r="T165" s="1" t="str">
        <f>IF(AND(Programme_Grunddaten!$A170="Geprüft",Programme_Grunddaten!AB170&lt;&gt;""),IF(Programme_Grunddaten!AB170="Ja",1,0),"")</f>
        <v/>
      </c>
      <c r="U165" s="1" t="str">
        <f>IF(AND(Programme_Grunddaten!$A170="Geprüft",Programme_Grunddaten!AC170&lt;&gt;""),IF(Programme_Grunddaten!AC170="Ja",1,0),"")</f>
        <v/>
      </c>
      <c r="V165" s="1" t="str">
        <f>IF(AND(Programme_Grunddaten!$A170="Geprüft",Programme_Grunddaten!AD170&lt;&gt;""),IF(Programme_Grunddaten!AD170="Ja",1,0),"")</f>
        <v/>
      </c>
      <c r="W165" s="1" t="str">
        <f>IF(AND(Programme_Grunddaten!$A170="Geprüft",Programme_Grunddaten!AE170&lt;&gt;""),IF(Programme_Grunddaten!AE170="Ja",1,0),"")</f>
        <v/>
      </c>
      <c r="X165" s="1" t="str">
        <f>IF(AND(Programme_Grunddaten!$A170="Geprüft",Programme_Grunddaten!AF170&lt;&gt;""),IF(Programme_Grunddaten!AF170="Ja",1,0),"")</f>
        <v/>
      </c>
      <c r="Y165" s="1" t="str">
        <f>IF(AND(Programme_Grunddaten!$A170="Geprüft",Programme_Grunddaten!AG170&lt;&gt;""),IF(Programme_Grunddaten!AG170="Ja",1,0),"")</f>
        <v/>
      </c>
      <c r="Z165" s="1" t="str">
        <f>IF(AND(Programme_Grunddaten!$A170="Geprüft",Programme_Grunddaten!AH170&lt;&gt;""),IF(Programme_Grunddaten!AH170="Ja",1,0),"")</f>
        <v/>
      </c>
      <c r="AA165" s="1" t="str">
        <f>IF(AND(Programme_Grunddaten!$A170="Geprüft",Programme_Grunddaten!AI170&lt;&gt;""),IF(Programme_Grunddaten!AI170="Ja",1,0),"")</f>
        <v/>
      </c>
      <c r="AB165" s="1" t="str">
        <f>IF(AND(Programme_Grunddaten!$A170="Geprüft",Programme_Grunddaten!AJ170&lt;&gt;""),IF(Programme_Grunddaten!AJ170="individuell programmierbar",1,0),"")</f>
        <v/>
      </c>
      <c r="AC165" s="1" t="str">
        <f>IF(AND(Programme_Grunddaten!$A170="Geprüft",Programme_Grunddaten!AK170&lt;&gt;""),IF(Programme_Grunddaten!AK170="Deutsch",0,IF(Programme_Grunddaten!AK170="Deutsch und Englisch",1,2)),"")</f>
        <v/>
      </c>
      <c r="AD165" s="1" t="str">
        <f>IF(AND(Programme_Grunddaten!$A170="Geprüft",Programme_Grunddaten!AL170&lt;&gt;""),IF(Programme_Grunddaten!AL170="Ja",1,0),"")</f>
        <v/>
      </c>
      <c r="AE165" s="1" t="str">
        <f>IF(AND(Programme_Grunddaten!$A170="Geprüft",Programme_Grunddaten!AM170&lt;&gt;""),IF(Programme_Grunddaten!AM170="Ja",1,0),"")</f>
        <v/>
      </c>
      <c r="AF165" s="1" t="str">
        <f>IF(AND(Programme_Grunddaten!$A170="Geprüft",Programme_Grunddaten!AN170&lt;&gt;""),IF(Programme_Grunddaten!AN170="Ja",1,0),"")</f>
        <v/>
      </c>
      <c r="AG165" s="1" t="str">
        <f>IF(AND(Programme_Grunddaten!$A170="Geprüft",Programme_Grunddaten!AO170&lt;&gt;""),IF(Programme_Grunddaten!AO170="Ja",1,0),"")</f>
        <v/>
      </c>
      <c r="AH165" s="1" t="str">
        <f>IF(AND(Programme_Grunddaten!$A170="Geprüft",Programme_Grunddaten!AP170&lt;&gt;""),IF(Programme_Grunddaten!AP170="Ja",1,0),"")</f>
        <v/>
      </c>
      <c r="AI165" s="1" t="str">
        <f>IF(AND(Programme_Grunddaten!$A170="Geprüft",Programme_Grunddaten!AQ170&lt;&gt;""),IF(Programme_Grunddaten!AQ170="Ja",1,0),"")</f>
        <v/>
      </c>
      <c r="AJ165" s="1" t="str">
        <f>IF(AND(Programme_Grunddaten!$A170="Geprüft",Programme_Grunddaten!AR170&lt;&gt;""),IF(Programme_Grunddaten!AR170="Ja",1,0),"")</f>
        <v/>
      </c>
      <c r="AK165" s="1" t="str">
        <f>IF(AND(Programme_Grunddaten!$A170="Geprüft",Programme_Grunddaten!AS170&lt;&gt;""),IF(Programme_Grunddaten!AS170="Ja",1,0),"")</f>
        <v/>
      </c>
      <c r="AL165" s="1" t="str">
        <f>IF(AND(Programme_Grunddaten!$A170="Geprüft",Programme_Grunddaten!AT170&lt;&gt;""),IF(Programme_Grunddaten!AT170="Ja",1,0),"")</f>
        <v/>
      </c>
      <c r="AM165" s="1" t="str">
        <f>IF(AND(Programme_Grunddaten!$A170="Geprüft",Programme_Grunddaten!AU170&lt;&gt;""),IF(Programme_Grunddaten!AU170="Ja",1,0),"")</f>
        <v/>
      </c>
      <c r="AN165" s="1" t="str">
        <f>IF(AND(Programme_Grunddaten!$A170="Geprüft",Programme_Grunddaten!AV170&lt;&gt;""),IF(Programme_Grunddaten!AV170="Ja",1,0),"")</f>
        <v/>
      </c>
    </row>
    <row r="166" spans="1:40" x14ac:dyDescent="0.3">
      <c r="A166" s="1" t="str">
        <f>IF(AND(Programme_Grunddaten!A171="Geprüft",Programme_Grunddaten!B171&lt;&gt;""),Programme_Grunddaten!B171,"")</f>
        <v/>
      </c>
      <c r="B166" s="1" t="str">
        <f>IF(AND(Programme_Grunddaten!$A171="Geprüft",Programme_Grunddaten!I171&lt;&gt;""),IF(Programme_Grunddaten!I171="Ja",1,0),"")</f>
        <v/>
      </c>
      <c r="C166" s="1" t="str">
        <f>IF(AND(Programme_Grunddaten!$A171="Geprüft",Programme_Grunddaten!J171&lt;&gt;""),IF(Programme_Grunddaten!J171="Ja",1,0),"")</f>
        <v/>
      </c>
      <c r="D166" s="1" t="str">
        <f>IF(AND(Programme_Grunddaten!$A171="Geprüft",Programme_Grunddaten!K171&lt;&gt;""),IF(Programme_Grunddaten!K171="Ja",1,0),"")</f>
        <v/>
      </c>
      <c r="E166" s="1" t="str">
        <f>IF(AND(Programme_Grunddaten!$A171="Geprüft",Programme_Grunddaten!L171&lt;&gt;""),IF(Programme_Grunddaten!L171="Abo / befristete Lizenz",1,0),"")</f>
        <v/>
      </c>
      <c r="F166" s="1" t="str">
        <f>IF(AND(Programme_Grunddaten!$A171="Geprüft",Programme_Grunddaten!M171&lt;&gt;""),IF(Programme_Grunddaten!M171="Ja",1,0),"")</f>
        <v/>
      </c>
      <c r="G166" s="1" t="str">
        <f>IF(AND(Programme_Grunddaten!$A171="Geprüft",Programme_Grunddaten!N171&lt;&gt;""),IF(Programme_Grunddaten!N171="Ja",1,0),"")</f>
        <v/>
      </c>
      <c r="H166" s="1" t="str">
        <f>IF(AND(Programme_Grunddaten!$A171="Geprüft",Programme_Grunddaten!O171&lt;&gt;""),IF(Programme_Grunddaten!O171="Deutschland",0,IF(Programme_Grunddaten!O171="EU",1,2)),"")</f>
        <v/>
      </c>
      <c r="I166" s="1" t="str">
        <f>IF(AND(Programme_Grunddaten!$A171="Geprüft",Programme_Grunddaten!P171&lt;&gt;""),IF(Programme_Grunddaten!P171="Ja",1,0),"")</f>
        <v/>
      </c>
      <c r="J166" s="1" t="str">
        <f>IF(AND(Programme_Grunddaten!$A171="Geprüft",Programme_Grunddaten!Q171&lt;&gt;""),IF(Programme_Grunddaten!Q171="geschlossenes System",1,0),"")</f>
        <v/>
      </c>
      <c r="K166" s="1" t="str">
        <f>IF(AND(Programme_Grunddaten!$A171="Geprüft",Programme_Grunddaten!R171&lt;&gt;""),IF(Programme_Grunddaten!R171="Ja",1,0),"")</f>
        <v/>
      </c>
      <c r="L166" s="1" t="str">
        <f>IF(AND(Programme_Grunddaten!$A171="Geprüft",Programme_Grunddaten!T171&lt;&gt;""),IF(Programme_Grunddaten!T171="Ja",1,0),"")</f>
        <v/>
      </c>
      <c r="M166" s="1" t="str">
        <f>IF(AND(Programme_Grunddaten!$A171="Geprüft",Programme_Grunddaten!U171&lt;&gt;""),IF(Programme_Grunddaten!U171="Ja",1,0),"")</f>
        <v/>
      </c>
      <c r="N166" s="1" t="str">
        <f>IF(AND(Programme_Grunddaten!$A171="Geprüft",Programme_Grunddaten!V171&lt;&gt;""),IF(Programme_Grunddaten!V171="Ja",1,0),"")</f>
        <v/>
      </c>
      <c r="O166" s="1" t="str">
        <f>IF(AND(Programme_Grunddaten!$A171="Geprüft",Programme_Grunddaten!W171&lt;&gt;""),IF(Programme_Grunddaten!W171="Ja",1,0),"")</f>
        <v/>
      </c>
      <c r="P166" s="1" t="str">
        <f>IF(AND(Programme_Grunddaten!$A171="Geprüft",Programme_Grunddaten!X171&lt;&gt;""),IF(Programme_Grunddaten!X171="Ja",1,0),"")</f>
        <v/>
      </c>
      <c r="Q166" s="1" t="str">
        <f>IF(AND(Programme_Grunddaten!$A171="Geprüft",Programme_Grunddaten!Y171&lt;&gt;""),IF(Programme_Grunddaten!Y171="Ja",1,0),"")</f>
        <v/>
      </c>
      <c r="R166" s="1" t="str">
        <f>IF(AND(Programme_Grunddaten!$A171="Geprüft",Programme_Grunddaten!Z171&lt;&gt;""),IF(Programme_Grunddaten!Z171="Ja",1,0),"")</f>
        <v/>
      </c>
      <c r="S166" s="1" t="str">
        <f>IF(AND(Programme_Grunddaten!$A171="Geprüft",Programme_Grunddaten!AA171&lt;&gt;""),IF(Programme_Grunddaten!AA171="monolithisch",1,0),"")</f>
        <v/>
      </c>
      <c r="T166" s="1" t="str">
        <f>IF(AND(Programme_Grunddaten!$A171="Geprüft",Programme_Grunddaten!AB171&lt;&gt;""),IF(Programme_Grunddaten!AB171="Ja",1,0),"")</f>
        <v/>
      </c>
      <c r="U166" s="1" t="str">
        <f>IF(AND(Programme_Grunddaten!$A171="Geprüft",Programme_Grunddaten!AC171&lt;&gt;""),IF(Programme_Grunddaten!AC171="Ja",1,0),"")</f>
        <v/>
      </c>
      <c r="V166" s="1" t="str">
        <f>IF(AND(Programme_Grunddaten!$A171="Geprüft",Programme_Grunddaten!AD171&lt;&gt;""),IF(Programme_Grunddaten!AD171="Ja",1,0),"")</f>
        <v/>
      </c>
      <c r="W166" s="1" t="str">
        <f>IF(AND(Programme_Grunddaten!$A171="Geprüft",Programme_Grunddaten!AE171&lt;&gt;""),IF(Programme_Grunddaten!AE171="Ja",1,0),"")</f>
        <v/>
      </c>
      <c r="X166" s="1" t="str">
        <f>IF(AND(Programme_Grunddaten!$A171="Geprüft",Programme_Grunddaten!AF171&lt;&gt;""),IF(Programme_Grunddaten!AF171="Ja",1,0),"")</f>
        <v/>
      </c>
      <c r="Y166" s="1" t="str">
        <f>IF(AND(Programme_Grunddaten!$A171="Geprüft",Programme_Grunddaten!AG171&lt;&gt;""),IF(Programme_Grunddaten!AG171="Ja",1,0),"")</f>
        <v/>
      </c>
      <c r="Z166" s="1" t="str">
        <f>IF(AND(Programme_Grunddaten!$A171="Geprüft",Programme_Grunddaten!AH171&lt;&gt;""),IF(Programme_Grunddaten!AH171="Ja",1,0),"")</f>
        <v/>
      </c>
      <c r="AA166" s="1" t="str">
        <f>IF(AND(Programme_Grunddaten!$A171="Geprüft",Programme_Grunddaten!AI171&lt;&gt;""),IF(Programme_Grunddaten!AI171="Ja",1,0),"")</f>
        <v/>
      </c>
      <c r="AB166" s="1" t="str">
        <f>IF(AND(Programme_Grunddaten!$A171="Geprüft",Programme_Grunddaten!AJ171&lt;&gt;""),IF(Programme_Grunddaten!AJ171="individuell programmierbar",1,0),"")</f>
        <v/>
      </c>
      <c r="AC166" s="1" t="str">
        <f>IF(AND(Programme_Grunddaten!$A171="Geprüft",Programme_Grunddaten!AK171&lt;&gt;""),IF(Programme_Grunddaten!AK171="Deutsch",0,IF(Programme_Grunddaten!AK171="Deutsch und Englisch",1,2)),"")</f>
        <v/>
      </c>
      <c r="AD166" s="1" t="str">
        <f>IF(AND(Programme_Grunddaten!$A171="Geprüft",Programme_Grunddaten!AL171&lt;&gt;""),IF(Programme_Grunddaten!AL171="Ja",1,0),"")</f>
        <v/>
      </c>
      <c r="AE166" s="1" t="str">
        <f>IF(AND(Programme_Grunddaten!$A171="Geprüft",Programme_Grunddaten!AM171&lt;&gt;""),IF(Programme_Grunddaten!AM171="Ja",1,0),"")</f>
        <v/>
      </c>
      <c r="AF166" s="1" t="str">
        <f>IF(AND(Programme_Grunddaten!$A171="Geprüft",Programme_Grunddaten!AN171&lt;&gt;""),IF(Programme_Grunddaten!AN171="Ja",1,0),"")</f>
        <v/>
      </c>
      <c r="AG166" s="1" t="str">
        <f>IF(AND(Programme_Grunddaten!$A171="Geprüft",Programme_Grunddaten!AO171&lt;&gt;""),IF(Programme_Grunddaten!AO171="Ja",1,0),"")</f>
        <v/>
      </c>
      <c r="AH166" s="1" t="str">
        <f>IF(AND(Programme_Grunddaten!$A171="Geprüft",Programme_Grunddaten!AP171&lt;&gt;""),IF(Programme_Grunddaten!AP171="Ja",1,0),"")</f>
        <v/>
      </c>
      <c r="AI166" s="1" t="str">
        <f>IF(AND(Programme_Grunddaten!$A171="Geprüft",Programme_Grunddaten!AQ171&lt;&gt;""),IF(Programme_Grunddaten!AQ171="Ja",1,0),"")</f>
        <v/>
      </c>
      <c r="AJ166" s="1" t="str">
        <f>IF(AND(Programme_Grunddaten!$A171="Geprüft",Programme_Grunddaten!AR171&lt;&gt;""),IF(Programme_Grunddaten!AR171="Ja",1,0),"")</f>
        <v/>
      </c>
      <c r="AK166" s="1" t="str">
        <f>IF(AND(Programme_Grunddaten!$A171="Geprüft",Programme_Grunddaten!AS171&lt;&gt;""),IF(Programme_Grunddaten!AS171="Ja",1,0),"")</f>
        <v/>
      </c>
      <c r="AL166" s="1" t="str">
        <f>IF(AND(Programme_Grunddaten!$A171="Geprüft",Programme_Grunddaten!AT171&lt;&gt;""),IF(Programme_Grunddaten!AT171="Ja",1,0),"")</f>
        <v/>
      </c>
      <c r="AM166" s="1" t="str">
        <f>IF(AND(Programme_Grunddaten!$A171="Geprüft",Programme_Grunddaten!AU171&lt;&gt;""),IF(Programme_Grunddaten!AU171="Ja",1,0),"")</f>
        <v/>
      </c>
      <c r="AN166" s="1" t="str">
        <f>IF(AND(Programme_Grunddaten!$A171="Geprüft",Programme_Grunddaten!AV171&lt;&gt;""),IF(Programme_Grunddaten!AV171="Ja",1,0),"")</f>
        <v/>
      </c>
    </row>
    <row r="167" spans="1:40" x14ac:dyDescent="0.3">
      <c r="A167" s="1" t="str">
        <f>IF(AND(Programme_Grunddaten!A172="Geprüft",Programme_Grunddaten!B172&lt;&gt;""),Programme_Grunddaten!B172,"")</f>
        <v/>
      </c>
      <c r="B167" s="1" t="str">
        <f>IF(AND(Programme_Grunddaten!$A172="Geprüft",Programme_Grunddaten!I172&lt;&gt;""),IF(Programme_Grunddaten!I172="Ja",1,0),"")</f>
        <v/>
      </c>
      <c r="C167" s="1" t="str">
        <f>IF(AND(Programme_Grunddaten!$A172="Geprüft",Programme_Grunddaten!J172&lt;&gt;""),IF(Programme_Grunddaten!J172="Ja",1,0),"")</f>
        <v/>
      </c>
      <c r="D167" s="1" t="str">
        <f>IF(AND(Programme_Grunddaten!$A172="Geprüft",Programme_Grunddaten!K172&lt;&gt;""),IF(Programme_Grunddaten!K172="Ja",1,0),"")</f>
        <v/>
      </c>
      <c r="E167" s="1" t="str">
        <f>IF(AND(Programme_Grunddaten!$A172="Geprüft",Programme_Grunddaten!L172&lt;&gt;""),IF(Programme_Grunddaten!L172="Abo / befristete Lizenz",1,0),"")</f>
        <v/>
      </c>
      <c r="F167" s="1" t="str">
        <f>IF(AND(Programme_Grunddaten!$A172="Geprüft",Programme_Grunddaten!M172&lt;&gt;""),IF(Programme_Grunddaten!M172="Ja",1,0),"")</f>
        <v/>
      </c>
      <c r="G167" s="1" t="str">
        <f>IF(AND(Programme_Grunddaten!$A172="Geprüft",Programme_Grunddaten!N172&lt;&gt;""),IF(Programme_Grunddaten!N172="Ja",1,0),"")</f>
        <v/>
      </c>
      <c r="H167" s="1" t="str">
        <f>IF(AND(Programme_Grunddaten!$A172="Geprüft",Programme_Grunddaten!O172&lt;&gt;""),IF(Programme_Grunddaten!O172="Deutschland",0,IF(Programme_Grunddaten!O172="EU",1,2)),"")</f>
        <v/>
      </c>
      <c r="I167" s="1" t="str">
        <f>IF(AND(Programme_Grunddaten!$A172="Geprüft",Programme_Grunddaten!P172&lt;&gt;""),IF(Programme_Grunddaten!P172="Ja",1,0),"")</f>
        <v/>
      </c>
      <c r="J167" s="1" t="str">
        <f>IF(AND(Programme_Grunddaten!$A172="Geprüft",Programme_Grunddaten!Q172&lt;&gt;""),IF(Programme_Grunddaten!Q172="geschlossenes System",1,0),"")</f>
        <v/>
      </c>
      <c r="K167" s="1" t="str">
        <f>IF(AND(Programme_Grunddaten!$A172="Geprüft",Programme_Grunddaten!R172&lt;&gt;""),IF(Programme_Grunddaten!R172="Ja",1,0),"")</f>
        <v/>
      </c>
      <c r="L167" s="1" t="str">
        <f>IF(AND(Programme_Grunddaten!$A172="Geprüft",Programme_Grunddaten!T172&lt;&gt;""),IF(Programme_Grunddaten!T172="Ja",1,0),"")</f>
        <v/>
      </c>
      <c r="M167" s="1" t="str">
        <f>IF(AND(Programme_Grunddaten!$A172="Geprüft",Programme_Grunddaten!U172&lt;&gt;""),IF(Programme_Grunddaten!U172="Ja",1,0),"")</f>
        <v/>
      </c>
      <c r="N167" s="1" t="str">
        <f>IF(AND(Programme_Grunddaten!$A172="Geprüft",Programme_Grunddaten!V172&lt;&gt;""),IF(Programme_Grunddaten!V172="Ja",1,0),"")</f>
        <v/>
      </c>
      <c r="O167" s="1" t="str">
        <f>IF(AND(Programme_Grunddaten!$A172="Geprüft",Programme_Grunddaten!W172&lt;&gt;""),IF(Programme_Grunddaten!W172="Ja",1,0),"")</f>
        <v/>
      </c>
      <c r="P167" s="1" t="str">
        <f>IF(AND(Programme_Grunddaten!$A172="Geprüft",Programme_Grunddaten!X172&lt;&gt;""),IF(Programme_Grunddaten!X172="Ja",1,0),"")</f>
        <v/>
      </c>
      <c r="Q167" s="1" t="str">
        <f>IF(AND(Programme_Grunddaten!$A172="Geprüft",Programme_Grunddaten!Y172&lt;&gt;""),IF(Programme_Grunddaten!Y172="Ja",1,0),"")</f>
        <v/>
      </c>
      <c r="R167" s="1" t="str">
        <f>IF(AND(Programme_Grunddaten!$A172="Geprüft",Programme_Grunddaten!Z172&lt;&gt;""),IF(Programme_Grunddaten!Z172="Ja",1,0),"")</f>
        <v/>
      </c>
      <c r="S167" s="1" t="str">
        <f>IF(AND(Programme_Grunddaten!$A172="Geprüft",Programme_Grunddaten!AA172&lt;&gt;""),IF(Programme_Grunddaten!AA172="monolithisch",1,0),"")</f>
        <v/>
      </c>
      <c r="T167" s="1" t="str">
        <f>IF(AND(Programme_Grunddaten!$A172="Geprüft",Programme_Grunddaten!AB172&lt;&gt;""),IF(Programme_Grunddaten!AB172="Ja",1,0),"")</f>
        <v/>
      </c>
      <c r="U167" s="1" t="str">
        <f>IF(AND(Programme_Grunddaten!$A172="Geprüft",Programme_Grunddaten!AC172&lt;&gt;""),IF(Programme_Grunddaten!AC172="Ja",1,0),"")</f>
        <v/>
      </c>
      <c r="V167" s="1" t="str">
        <f>IF(AND(Programme_Grunddaten!$A172="Geprüft",Programme_Grunddaten!AD172&lt;&gt;""),IF(Programme_Grunddaten!AD172="Ja",1,0),"")</f>
        <v/>
      </c>
      <c r="W167" s="1" t="str">
        <f>IF(AND(Programme_Grunddaten!$A172="Geprüft",Programme_Grunddaten!AE172&lt;&gt;""),IF(Programme_Grunddaten!AE172="Ja",1,0),"")</f>
        <v/>
      </c>
      <c r="X167" s="1" t="str">
        <f>IF(AND(Programme_Grunddaten!$A172="Geprüft",Programme_Grunddaten!AF172&lt;&gt;""),IF(Programme_Grunddaten!AF172="Ja",1,0),"")</f>
        <v/>
      </c>
      <c r="Y167" s="1" t="str">
        <f>IF(AND(Programme_Grunddaten!$A172="Geprüft",Programme_Grunddaten!AG172&lt;&gt;""),IF(Programme_Grunddaten!AG172="Ja",1,0),"")</f>
        <v/>
      </c>
      <c r="Z167" s="1" t="str">
        <f>IF(AND(Programme_Grunddaten!$A172="Geprüft",Programme_Grunddaten!AH172&lt;&gt;""),IF(Programme_Grunddaten!AH172="Ja",1,0),"")</f>
        <v/>
      </c>
      <c r="AA167" s="1" t="str">
        <f>IF(AND(Programme_Grunddaten!$A172="Geprüft",Programme_Grunddaten!AI172&lt;&gt;""),IF(Programme_Grunddaten!AI172="Ja",1,0),"")</f>
        <v/>
      </c>
      <c r="AB167" s="1" t="str">
        <f>IF(AND(Programme_Grunddaten!$A172="Geprüft",Programme_Grunddaten!AJ172&lt;&gt;""),IF(Programme_Grunddaten!AJ172="individuell programmierbar",1,0),"")</f>
        <v/>
      </c>
      <c r="AC167" s="1" t="str">
        <f>IF(AND(Programme_Grunddaten!$A172="Geprüft",Programme_Grunddaten!AK172&lt;&gt;""),IF(Programme_Grunddaten!AK172="Deutsch",0,IF(Programme_Grunddaten!AK172="Deutsch und Englisch",1,2)),"")</f>
        <v/>
      </c>
      <c r="AD167" s="1" t="str">
        <f>IF(AND(Programme_Grunddaten!$A172="Geprüft",Programme_Grunddaten!AL172&lt;&gt;""),IF(Programme_Grunddaten!AL172="Ja",1,0),"")</f>
        <v/>
      </c>
      <c r="AE167" s="1" t="str">
        <f>IF(AND(Programme_Grunddaten!$A172="Geprüft",Programme_Grunddaten!AM172&lt;&gt;""),IF(Programme_Grunddaten!AM172="Ja",1,0),"")</f>
        <v/>
      </c>
      <c r="AF167" s="1" t="str">
        <f>IF(AND(Programme_Grunddaten!$A172="Geprüft",Programme_Grunddaten!AN172&lt;&gt;""),IF(Programme_Grunddaten!AN172="Ja",1,0),"")</f>
        <v/>
      </c>
      <c r="AG167" s="1" t="str">
        <f>IF(AND(Programme_Grunddaten!$A172="Geprüft",Programme_Grunddaten!AO172&lt;&gt;""),IF(Programme_Grunddaten!AO172="Ja",1,0),"")</f>
        <v/>
      </c>
      <c r="AH167" s="1" t="str">
        <f>IF(AND(Programme_Grunddaten!$A172="Geprüft",Programme_Grunddaten!AP172&lt;&gt;""),IF(Programme_Grunddaten!AP172="Ja",1,0),"")</f>
        <v/>
      </c>
      <c r="AI167" s="1" t="str">
        <f>IF(AND(Programme_Grunddaten!$A172="Geprüft",Programme_Grunddaten!AQ172&lt;&gt;""),IF(Programme_Grunddaten!AQ172="Ja",1,0),"")</f>
        <v/>
      </c>
      <c r="AJ167" s="1" t="str">
        <f>IF(AND(Programme_Grunddaten!$A172="Geprüft",Programme_Grunddaten!AR172&lt;&gt;""),IF(Programme_Grunddaten!AR172="Ja",1,0),"")</f>
        <v/>
      </c>
      <c r="AK167" s="1" t="str">
        <f>IF(AND(Programme_Grunddaten!$A172="Geprüft",Programme_Grunddaten!AS172&lt;&gt;""),IF(Programme_Grunddaten!AS172="Ja",1,0),"")</f>
        <v/>
      </c>
      <c r="AL167" s="1" t="str">
        <f>IF(AND(Programme_Grunddaten!$A172="Geprüft",Programme_Grunddaten!AT172&lt;&gt;""),IF(Programme_Grunddaten!AT172="Ja",1,0),"")</f>
        <v/>
      </c>
      <c r="AM167" s="1" t="str">
        <f>IF(AND(Programme_Grunddaten!$A172="Geprüft",Programme_Grunddaten!AU172&lt;&gt;""),IF(Programme_Grunddaten!AU172="Ja",1,0),"")</f>
        <v/>
      </c>
      <c r="AN167" s="1" t="str">
        <f>IF(AND(Programme_Grunddaten!$A172="Geprüft",Programme_Grunddaten!AV172&lt;&gt;""),IF(Programme_Grunddaten!AV172="Ja",1,0),"")</f>
        <v/>
      </c>
    </row>
    <row r="168" spans="1:40" x14ac:dyDescent="0.3">
      <c r="A168" s="1" t="str">
        <f>IF(AND(Programme_Grunddaten!A173="Geprüft",Programme_Grunddaten!B173&lt;&gt;""),Programme_Grunddaten!B173,"")</f>
        <v/>
      </c>
      <c r="B168" s="1" t="str">
        <f>IF(AND(Programme_Grunddaten!$A173="Geprüft",Programme_Grunddaten!I173&lt;&gt;""),IF(Programme_Grunddaten!I173="Ja",1,0),"")</f>
        <v/>
      </c>
      <c r="C168" s="1" t="str">
        <f>IF(AND(Programme_Grunddaten!$A173="Geprüft",Programme_Grunddaten!J173&lt;&gt;""),IF(Programme_Grunddaten!J173="Ja",1,0),"")</f>
        <v/>
      </c>
      <c r="D168" s="1" t="str">
        <f>IF(AND(Programme_Grunddaten!$A173="Geprüft",Programme_Grunddaten!K173&lt;&gt;""),IF(Programme_Grunddaten!K173="Ja",1,0),"")</f>
        <v/>
      </c>
      <c r="E168" s="1" t="str">
        <f>IF(AND(Programme_Grunddaten!$A173="Geprüft",Programme_Grunddaten!L173&lt;&gt;""),IF(Programme_Grunddaten!L173="Abo / befristete Lizenz",1,0),"")</f>
        <v/>
      </c>
      <c r="F168" s="1" t="str">
        <f>IF(AND(Programme_Grunddaten!$A173="Geprüft",Programme_Grunddaten!M173&lt;&gt;""),IF(Programme_Grunddaten!M173="Ja",1,0),"")</f>
        <v/>
      </c>
      <c r="G168" s="1" t="str">
        <f>IF(AND(Programme_Grunddaten!$A173="Geprüft",Programme_Grunddaten!N173&lt;&gt;""),IF(Programme_Grunddaten!N173="Ja",1,0),"")</f>
        <v/>
      </c>
      <c r="H168" s="1" t="str">
        <f>IF(AND(Programme_Grunddaten!$A173="Geprüft",Programme_Grunddaten!O173&lt;&gt;""),IF(Programme_Grunddaten!O173="Deutschland",0,IF(Programme_Grunddaten!O173="EU",1,2)),"")</f>
        <v/>
      </c>
      <c r="I168" s="1" t="str">
        <f>IF(AND(Programme_Grunddaten!$A173="Geprüft",Programme_Grunddaten!P173&lt;&gt;""),IF(Programme_Grunddaten!P173="Ja",1,0),"")</f>
        <v/>
      </c>
      <c r="J168" s="1" t="str">
        <f>IF(AND(Programme_Grunddaten!$A173="Geprüft",Programme_Grunddaten!Q173&lt;&gt;""),IF(Programme_Grunddaten!Q173="geschlossenes System",1,0),"")</f>
        <v/>
      </c>
      <c r="K168" s="1" t="str">
        <f>IF(AND(Programme_Grunddaten!$A173="Geprüft",Programme_Grunddaten!R173&lt;&gt;""),IF(Programme_Grunddaten!R173="Ja",1,0),"")</f>
        <v/>
      </c>
      <c r="L168" s="1" t="str">
        <f>IF(AND(Programme_Grunddaten!$A173="Geprüft",Programme_Grunddaten!T173&lt;&gt;""),IF(Programme_Grunddaten!T173="Ja",1,0),"")</f>
        <v/>
      </c>
      <c r="M168" s="1" t="str">
        <f>IF(AND(Programme_Grunddaten!$A173="Geprüft",Programme_Grunddaten!U173&lt;&gt;""),IF(Programme_Grunddaten!U173="Ja",1,0),"")</f>
        <v/>
      </c>
      <c r="N168" s="1" t="str">
        <f>IF(AND(Programme_Grunddaten!$A173="Geprüft",Programme_Grunddaten!V173&lt;&gt;""),IF(Programme_Grunddaten!V173="Ja",1,0),"")</f>
        <v/>
      </c>
      <c r="O168" s="1" t="str">
        <f>IF(AND(Programme_Grunddaten!$A173="Geprüft",Programme_Grunddaten!W173&lt;&gt;""),IF(Programme_Grunddaten!W173="Ja",1,0),"")</f>
        <v/>
      </c>
      <c r="P168" s="1" t="str">
        <f>IF(AND(Programme_Grunddaten!$A173="Geprüft",Programme_Grunddaten!X173&lt;&gt;""),IF(Programme_Grunddaten!X173="Ja",1,0),"")</f>
        <v/>
      </c>
      <c r="Q168" s="1" t="str">
        <f>IF(AND(Programme_Grunddaten!$A173="Geprüft",Programme_Grunddaten!Y173&lt;&gt;""),IF(Programme_Grunddaten!Y173="Ja",1,0),"")</f>
        <v/>
      </c>
      <c r="R168" s="1" t="str">
        <f>IF(AND(Programme_Grunddaten!$A173="Geprüft",Programme_Grunddaten!Z173&lt;&gt;""),IF(Programme_Grunddaten!Z173="Ja",1,0),"")</f>
        <v/>
      </c>
      <c r="S168" s="1" t="str">
        <f>IF(AND(Programme_Grunddaten!$A173="Geprüft",Programme_Grunddaten!AA173&lt;&gt;""),IF(Programme_Grunddaten!AA173="monolithisch",1,0),"")</f>
        <v/>
      </c>
      <c r="T168" s="1" t="str">
        <f>IF(AND(Programme_Grunddaten!$A173="Geprüft",Programme_Grunddaten!AB173&lt;&gt;""),IF(Programme_Grunddaten!AB173="Ja",1,0),"")</f>
        <v/>
      </c>
      <c r="U168" s="1" t="str">
        <f>IF(AND(Programme_Grunddaten!$A173="Geprüft",Programme_Grunddaten!AC173&lt;&gt;""),IF(Programme_Grunddaten!AC173="Ja",1,0),"")</f>
        <v/>
      </c>
      <c r="V168" s="1" t="str">
        <f>IF(AND(Programme_Grunddaten!$A173="Geprüft",Programme_Grunddaten!AD173&lt;&gt;""),IF(Programme_Grunddaten!AD173="Ja",1,0),"")</f>
        <v/>
      </c>
      <c r="W168" s="1" t="str">
        <f>IF(AND(Programme_Grunddaten!$A173="Geprüft",Programme_Grunddaten!AE173&lt;&gt;""),IF(Programme_Grunddaten!AE173="Ja",1,0),"")</f>
        <v/>
      </c>
      <c r="X168" s="1" t="str">
        <f>IF(AND(Programme_Grunddaten!$A173="Geprüft",Programme_Grunddaten!AF173&lt;&gt;""),IF(Programme_Grunddaten!AF173="Ja",1,0),"")</f>
        <v/>
      </c>
      <c r="Y168" s="1" t="str">
        <f>IF(AND(Programme_Grunddaten!$A173="Geprüft",Programme_Grunddaten!AG173&lt;&gt;""),IF(Programme_Grunddaten!AG173="Ja",1,0),"")</f>
        <v/>
      </c>
      <c r="Z168" s="1" t="str">
        <f>IF(AND(Programme_Grunddaten!$A173="Geprüft",Programme_Grunddaten!AH173&lt;&gt;""),IF(Programme_Grunddaten!AH173="Ja",1,0),"")</f>
        <v/>
      </c>
      <c r="AA168" s="1" t="str">
        <f>IF(AND(Programme_Grunddaten!$A173="Geprüft",Programme_Grunddaten!AI173&lt;&gt;""),IF(Programme_Grunddaten!AI173="Ja",1,0),"")</f>
        <v/>
      </c>
      <c r="AB168" s="1" t="str">
        <f>IF(AND(Programme_Grunddaten!$A173="Geprüft",Programme_Grunddaten!AJ173&lt;&gt;""),IF(Programme_Grunddaten!AJ173="individuell programmierbar",1,0),"")</f>
        <v/>
      </c>
      <c r="AC168" s="1" t="str">
        <f>IF(AND(Programme_Grunddaten!$A173="Geprüft",Programme_Grunddaten!AK173&lt;&gt;""),IF(Programme_Grunddaten!AK173="Deutsch",0,IF(Programme_Grunddaten!AK173="Deutsch und Englisch",1,2)),"")</f>
        <v/>
      </c>
      <c r="AD168" s="1" t="str">
        <f>IF(AND(Programme_Grunddaten!$A173="Geprüft",Programme_Grunddaten!AL173&lt;&gt;""),IF(Programme_Grunddaten!AL173="Ja",1,0),"")</f>
        <v/>
      </c>
      <c r="AE168" s="1" t="str">
        <f>IF(AND(Programme_Grunddaten!$A173="Geprüft",Programme_Grunddaten!AM173&lt;&gt;""),IF(Programme_Grunddaten!AM173="Ja",1,0),"")</f>
        <v/>
      </c>
      <c r="AF168" s="1" t="str">
        <f>IF(AND(Programme_Grunddaten!$A173="Geprüft",Programme_Grunddaten!AN173&lt;&gt;""),IF(Programme_Grunddaten!AN173="Ja",1,0),"")</f>
        <v/>
      </c>
      <c r="AG168" s="1" t="str">
        <f>IF(AND(Programme_Grunddaten!$A173="Geprüft",Programme_Grunddaten!AO173&lt;&gt;""),IF(Programme_Grunddaten!AO173="Ja",1,0),"")</f>
        <v/>
      </c>
      <c r="AH168" s="1" t="str">
        <f>IF(AND(Programme_Grunddaten!$A173="Geprüft",Programme_Grunddaten!AP173&lt;&gt;""),IF(Programme_Grunddaten!AP173="Ja",1,0),"")</f>
        <v/>
      </c>
      <c r="AI168" s="1" t="str">
        <f>IF(AND(Programme_Grunddaten!$A173="Geprüft",Programme_Grunddaten!AQ173&lt;&gt;""),IF(Programme_Grunddaten!AQ173="Ja",1,0),"")</f>
        <v/>
      </c>
      <c r="AJ168" s="1" t="str">
        <f>IF(AND(Programme_Grunddaten!$A173="Geprüft",Programme_Grunddaten!AR173&lt;&gt;""),IF(Programme_Grunddaten!AR173="Ja",1,0),"")</f>
        <v/>
      </c>
      <c r="AK168" s="1" t="str">
        <f>IF(AND(Programme_Grunddaten!$A173="Geprüft",Programme_Grunddaten!AS173&lt;&gt;""),IF(Programme_Grunddaten!AS173="Ja",1,0),"")</f>
        <v/>
      </c>
      <c r="AL168" s="1" t="str">
        <f>IF(AND(Programme_Grunddaten!$A173="Geprüft",Programme_Grunddaten!AT173&lt;&gt;""),IF(Programme_Grunddaten!AT173="Ja",1,0),"")</f>
        <v/>
      </c>
      <c r="AM168" s="1" t="str">
        <f>IF(AND(Programme_Grunddaten!$A173="Geprüft",Programme_Grunddaten!AU173&lt;&gt;""),IF(Programme_Grunddaten!AU173="Ja",1,0),"")</f>
        <v/>
      </c>
      <c r="AN168" s="1" t="str">
        <f>IF(AND(Programme_Grunddaten!$A173="Geprüft",Programme_Grunddaten!AV173&lt;&gt;""),IF(Programme_Grunddaten!AV173="Ja",1,0),"")</f>
        <v/>
      </c>
    </row>
    <row r="169" spans="1:40" x14ac:dyDescent="0.3">
      <c r="A169" s="1" t="str">
        <f>IF(AND(Programme_Grunddaten!A174="Geprüft",Programme_Grunddaten!B174&lt;&gt;""),Programme_Grunddaten!B174,"")</f>
        <v/>
      </c>
      <c r="B169" s="1" t="str">
        <f>IF(AND(Programme_Grunddaten!$A174="Geprüft",Programme_Grunddaten!I174&lt;&gt;""),IF(Programme_Grunddaten!I174="Ja",1,0),"")</f>
        <v/>
      </c>
      <c r="C169" s="1" t="str">
        <f>IF(AND(Programme_Grunddaten!$A174="Geprüft",Programme_Grunddaten!J174&lt;&gt;""),IF(Programme_Grunddaten!J174="Ja",1,0),"")</f>
        <v/>
      </c>
      <c r="D169" s="1" t="str">
        <f>IF(AND(Programme_Grunddaten!$A174="Geprüft",Programme_Grunddaten!K174&lt;&gt;""),IF(Programme_Grunddaten!K174="Ja",1,0),"")</f>
        <v/>
      </c>
      <c r="E169" s="1" t="str">
        <f>IF(AND(Programme_Grunddaten!$A174="Geprüft",Programme_Grunddaten!L174&lt;&gt;""),IF(Programme_Grunddaten!L174="Abo / befristete Lizenz",1,0),"")</f>
        <v/>
      </c>
      <c r="F169" s="1" t="str">
        <f>IF(AND(Programme_Grunddaten!$A174="Geprüft",Programme_Grunddaten!M174&lt;&gt;""),IF(Programme_Grunddaten!M174="Ja",1,0),"")</f>
        <v/>
      </c>
      <c r="G169" s="1" t="str">
        <f>IF(AND(Programme_Grunddaten!$A174="Geprüft",Programme_Grunddaten!N174&lt;&gt;""),IF(Programme_Grunddaten!N174="Ja",1,0),"")</f>
        <v/>
      </c>
      <c r="H169" s="1" t="str">
        <f>IF(AND(Programme_Grunddaten!$A174="Geprüft",Programme_Grunddaten!O174&lt;&gt;""),IF(Programme_Grunddaten!O174="Deutschland",0,IF(Programme_Grunddaten!O174="EU",1,2)),"")</f>
        <v/>
      </c>
      <c r="I169" s="1" t="str">
        <f>IF(AND(Programme_Grunddaten!$A174="Geprüft",Programme_Grunddaten!P174&lt;&gt;""),IF(Programme_Grunddaten!P174="Ja",1,0),"")</f>
        <v/>
      </c>
      <c r="J169" s="1" t="str">
        <f>IF(AND(Programme_Grunddaten!$A174="Geprüft",Programme_Grunddaten!Q174&lt;&gt;""),IF(Programme_Grunddaten!Q174="geschlossenes System",1,0),"")</f>
        <v/>
      </c>
      <c r="K169" s="1" t="str">
        <f>IF(AND(Programme_Grunddaten!$A174="Geprüft",Programme_Grunddaten!R174&lt;&gt;""),IF(Programme_Grunddaten!R174="Ja",1,0),"")</f>
        <v/>
      </c>
      <c r="L169" s="1" t="str">
        <f>IF(AND(Programme_Grunddaten!$A174="Geprüft",Programme_Grunddaten!T174&lt;&gt;""),IF(Programme_Grunddaten!T174="Ja",1,0),"")</f>
        <v/>
      </c>
      <c r="M169" s="1" t="str">
        <f>IF(AND(Programme_Grunddaten!$A174="Geprüft",Programme_Grunddaten!U174&lt;&gt;""),IF(Programme_Grunddaten!U174="Ja",1,0),"")</f>
        <v/>
      </c>
      <c r="N169" s="1" t="str">
        <f>IF(AND(Programme_Grunddaten!$A174="Geprüft",Programme_Grunddaten!V174&lt;&gt;""),IF(Programme_Grunddaten!V174="Ja",1,0),"")</f>
        <v/>
      </c>
      <c r="O169" s="1" t="str">
        <f>IF(AND(Programme_Grunddaten!$A174="Geprüft",Programme_Grunddaten!W174&lt;&gt;""),IF(Programme_Grunddaten!W174="Ja",1,0),"")</f>
        <v/>
      </c>
      <c r="P169" s="1" t="str">
        <f>IF(AND(Programme_Grunddaten!$A174="Geprüft",Programme_Grunddaten!X174&lt;&gt;""),IF(Programme_Grunddaten!X174="Ja",1,0),"")</f>
        <v/>
      </c>
      <c r="Q169" s="1" t="str">
        <f>IF(AND(Programme_Grunddaten!$A174="Geprüft",Programme_Grunddaten!Y174&lt;&gt;""),IF(Programme_Grunddaten!Y174="Ja",1,0),"")</f>
        <v/>
      </c>
      <c r="R169" s="1" t="str">
        <f>IF(AND(Programme_Grunddaten!$A174="Geprüft",Programme_Grunddaten!Z174&lt;&gt;""),IF(Programme_Grunddaten!Z174="Ja",1,0),"")</f>
        <v/>
      </c>
      <c r="S169" s="1" t="str">
        <f>IF(AND(Programme_Grunddaten!$A174="Geprüft",Programme_Grunddaten!AA174&lt;&gt;""),IF(Programme_Grunddaten!AA174="monolithisch",1,0),"")</f>
        <v/>
      </c>
      <c r="T169" s="1" t="str">
        <f>IF(AND(Programme_Grunddaten!$A174="Geprüft",Programme_Grunddaten!AB174&lt;&gt;""),IF(Programme_Grunddaten!AB174="Ja",1,0),"")</f>
        <v/>
      </c>
      <c r="U169" s="1" t="str">
        <f>IF(AND(Programme_Grunddaten!$A174="Geprüft",Programme_Grunddaten!AC174&lt;&gt;""),IF(Programme_Grunddaten!AC174="Ja",1,0),"")</f>
        <v/>
      </c>
      <c r="V169" s="1" t="str">
        <f>IF(AND(Programme_Grunddaten!$A174="Geprüft",Programme_Grunddaten!AD174&lt;&gt;""),IF(Programme_Grunddaten!AD174="Ja",1,0),"")</f>
        <v/>
      </c>
      <c r="W169" s="1" t="str">
        <f>IF(AND(Programme_Grunddaten!$A174="Geprüft",Programme_Grunddaten!AE174&lt;&gt;""),IF(Programme_Grunddaten!AE174="Ja",1,0),"")</f>
        <v/>
      </c>
      <c r="X169" s="1" t="str">
        <f>IF(AND(Programme_Grunddaten!$A174="Geprüft",Programme_Grunddaten!AF174&lt;&gt;""),IF(Programme_Grunddaten!AF174="Ja",1,0),"")</f>
        <v/>
      </c>
      <c r="Y169" s="1" t="str">
        <f>IF(AND(Programme_Grunddaten!$A174="Geprüft",Programme_Grunddaten!AG174&lt;&gt;""),IF(Programme_Grunddaten!AG174="Ja",1,0),"")</f>
        <v/>
      </c>
      <c r="Z169" s="1" t="str">
        <f>IF(AND(Programme_Grunddaten!$A174="Geprüft",Programme_Grunddaten!AH174&lt;&gt;""),IF(Programme_Grunddaten!AH174="Ja",1,0),"")</f>
        <v/>
      </c>
      <c r="AA169" s="1" t="str">
        <f>IF(AND(Programme_Grunddaten!$A174="Geprüft",Programme_Grunddaten!AI174&lt;&gt;""),IF(Programme_Grunddaten!AI174="Ja",1,0),"")</f>
        <v/>
      </c>
      <c r="AB169" s="1" t="str">
        <f>IF(AND(Programme_Grunddaten!$A174="Geprüft",Programme_Grunddaten!AJ174&lt;&gt;""),IF(Programme_Grunddaten!AJ174="individuell programmierbar",1,0),"")</f>
        <v/>
      </c>
      <c r="AC169" s="1" t="str">
        <f>IF(AND(Programme_Grunddaten!$A174="Geprüft",Programme_Grunddaten!AK174&lt;&gt;""),IF(Programme_Grunddaten!AK174="Deutsch",0,IF(Programme_Grunddaten!AK174="Deutsch und Englisch",1,2)),"")</f>
        <v/>
      </c>
      <c r="AD169" s="1" t="str">
        <f>IF(AND(Programme_Grunddaten!$A174="Geprüft",Programme_Grunddaten!AL174&lt;&gt;""),IF(Programme_Grunddaten!AL174="Ja",1,0),"")</f>
        <v/>
      </c>
      <c r="AE169" s="1" t="str">
        <f>IF(AND(Programme_Grunddaten!$A174="Geprüft",Programme_Grunddaten!AM174&lt;&gt;""),IF(Programme_Grunddaten!AM174="Ja",1,0),"")</f>
        <v/>
      </c>
      <c r="AF169" s="1" t="str">
        <f>IF(AND(Programme_Grunddaten!$A174="Geprüft",Programme_Grunddaten!AN174&lt;&gt;""),IF(Programme_Grunddaten!AN174="Ja",1,0),"")</f>
        <v/>
      </c>
      <c r="AG169" s="1" t="str">
        <f>IF(AND(Programme_Grunddaten!$A174="Geprüft",Programme_Grunddaten!AO174&lt;&gt;""),IF(Programme_Grunddaten!AO174="Ja",1,0),"")</f>
        <v/>
      </c>
      <c r="AH169" s="1" t="str">
        <f>IF(AND(Programme_Grunddaten!$A174="Geprüft",Programme_Grunddaten!AP174&lt;&gt;""),IF(Programme_Grunddaten!AP174="Ja",1,0),"")</f>
        <v/>
      </c>
      <c r="AI169" s="1" t="str">
        <f>IF(AND(Programme_Grunddaten!$A174="Geprüft",Programme_Grunddaten!AQ174&lt;&gt;""),IF(Programme_Grunddaten!AQ174="Ja",1,0),"")</f>
        <v/>
      </c>
      <c r="AJ169" s="1" t="str">
        <f>IF(AND(Programme_Grunddaten!$A174="Geprüft",Programme_Grunddaten!AR174&lt;&gt;""),IF(Programme_Grunddaten!AR174="Ja",1,0),"")</f>
        <v/>
      </c>
      <c r="AK169" s="1" t="str">
        <f>IF(AND(Programme_Grunddaten!$A174="Geprüft",Programme_Grunddaten!AS174&lt;&gt;""),IF(Programme_Grunddaten!AS174="Ja",1,0),"")</f>
        <v/>
      </c>
      <c r="AL169" s="1" t="str">
        <f>IF(AND(Programme_Grunddaten!$A174="Geprüft",Programme_Grunddaten!AT174&lt;&gt;""),IF(Programme_Grunddaten!AT174="Ja",1,0),"")</f>
        <v/>
      </c>
      <c r="AM169" s="1" t="str">
        <f>IF(AND(Programme_Grunddaten!$A174="Geprüft",Programme_Grunddaten!AU174&lt;&gt;""),IF(Programme_Grunddaten!AU174="Ja",1,0),"")</f>
        <v/>
      </c>
      <c r="AN169" s="1" t="str">
        <f>IF(AND(Programme_Grunddaten!$A174="Geprüft",Programme_Grunddaten!AV174&lt;&gt;""),IF(Programme_Grunddaten!AV174="Ja",1,0),"")</f>
        <v/>
      </c>
    </row>
    <row r="170" spans="1:40" x14ac:dyDescent="0.3">
      <c r="A170" s="1" t="str">
        <f>IF(AND(Programme_Grunddaten!A175="Geprüft",Programme_Grunddaten!B175&lt;&gt;""),Programme_Grunddaten!B175,"")</f>
        <v/>
      </c>
      <c r="B170" s="1" t="str">
        <f>IF(AND(Programme_Grunddaten!$A175="Geprüft",Programme_Grunddaten!I175&lt;&gt;""),IF(Programme_Grunddaten!I175="Ja",1,0),"")</f>
        <v/>
      </c>
      <c r="C170" s="1" t="str">
        <f>IF(AND(Programme_Grunddaten!$A175="Geprüft",Programme_Grunddaten!J175&lt;&gt;""),IF(Programme_Grunddaten!J175="Ja",1,0),"")</f>
        <v/>
      </c>
      <c r="D170" s="1" t="str">
        <f>IF(AND(Programme_Grunddaten!$A175="Geprüft",Programme_Grunddaten!K175&lt;&gt;""),IF(Programme_Grunddaten!K175="Ja",1,0),"")</f>
        <v/>
      </c>
      <c r="E170" s="1" t="str">
        <f>IF(AND(Programme_Grunddaten!$A175="Geprüft",Programme_Grunddaten!L175&lt;&gt;""),IF(Programme_Grunddaten!L175="Abo / befristete Lizenz",1,0),"")</f>
        <v/>
      </c>
      <c r="F170" s="1" t="str">
        <f>IF(AND(Programme_Grunddaten!$A175="Geprüft",Programme_Grunddaten!M175&lt;&gt;""),IF(Programme_Grunddaten!M175="Ja",1,0),"")</f>
        <v/>
      </c>
      <c r="G170" s="1" t="str">
        <f>IF(AND(Programme_Grunddaten!$A175="Geprüft",Programme_Grunddaten!N175&lt;&gt;""),IF(Programme_Grunddaten!N175="Ja",1,0),"")</f>
        <v/>
      </c>
      <c r="H170" s="1" t="str">
        <f>IF(AND(Programme_Grunddaten!$A175="Geprüft",Programme_Grunddaten!O175&lt;&gt;""),IF(Programme_Grunddaten!O175="Deutschland",0,IF(Programme_Grunddaten!O175="EU",1,2)),"")</f>
        <v/>
      </c>
      <c r="I170" s="1" t="str">
        <f>IF(AND(Programme_Grunddaten!$A175="Geprüft",Programme_Grunddaten!P175&lt;&gt;""),IF(Programme_Grunddaten!P175="Ja",1,0),"")</f>
        <v/>
      </c>
      <c r="J170" s="1" t="str">
        <f>IF(AND(Programme_Grunddaten!$A175="Geprüft",Programme_Grunddaten!Q175&lt;&gt;""),IF(Programme_Grunddaten!Q175="geschlossenes System",1,0),"")</f>
        <v/>
      </c>
      <c r="K170" s="1" t="str">
        <f>IF(AND(Programme_Grunddaten!$A175="Geprüft",Programme_Grunddaten!R175&lt;&gt;""),IF(Programme_Grunddaten!R175="Ja",1,0),"")</f>
        <v/>
      </c>
      <c r="L170" s="1" t="str">
        <f>IF(AND(Programme_Grunddaten!$A175="Geprüft",Programme_Grunddaten!T175&lt;&gt;""),IF(Programme_Grunddaten!T175="Ja",1,0),"")</f>
        <v/>
      </c>
      <c r="M170" s="1" t="str">
        <f>IF(AND(Programme_Grunddaten!$A175="Geprüft",Programme_Grunddaten!U175&lt;&gt;""),IF(Programme_Grunddaten!U175="Ja",1,0),"")</f>
        <v/>
      </c>
      <c r="N170" s="1" t="str">
        <f>IF(AND(Programme_Grunddaten!$A175="Geprüft",Programme_Grunddaten!V175&lt;&gt;""),IF(Programme_Grunddaten!V175="Ja",1,0),"")</f>
        <v/>
      </c>
      <c r="O170" s="1" t="str">
        <f>IF(AND(Programme_Grunddaten!$A175="Geprüft",Programme_Grunddaten!W175&lt;&gt;""),IF(Programme_Grunddaten!W175="Ja",1,0),"")</f>
        <v/>
      </c>
      <c r="P170" s="1" t="str">
        <f>IF(AND(Programme_Grunddaten!$A175="Geprüft",Programme_Grunddaten!X175&lt;&gt;""),IF(Programme_Grunddaten!X175="Ja",1,0),"")</f>
        <v/>
      </c>
      <c r="Q170" s="1" t="str">
        <f>IF(AND(Programme_Grunddaten!$A175="Geprüft",Programme_Grunddaten!Y175&lt;&gt;""),IF(Programme_Grunddaten!Y175="Ja",1,0),"")</f>
        <v/>
      </c>
      <c r="R170" s="1" t="str">
        <f>IF(AND(Programme_Grunddaten!$A175="Geprüft",Programme_Grunddaten!Z175&lt;&gt;""),IF(Programme_Grunddaten!Z175="Ja",1,0),"")</f>
        <v/>
      </c>
      <c r="S170" s="1" t="str">
        <f>IF(AND(Programme_Grunddaten!$A175="Geprüft",Programme_Grunddaten!AA175&lt;&gt;""),IF(Programme_Grunddaten!AA175="monolithisch",1,0),"")</f>
        <v/>
      </c>
      <c r="T170" s="1" t="str">
        <f>IF(AND(Programme_Grunddaten!$A175="Geprüft",Programme_Grunddaten!AB175&lt;&gt;""),IF(Programme_Grunddaten!AB175="Ja",1,0),"")</f>
        <v/>
      </c>
      <c r="U170" s="1" t="str">
        <f>IF(AND(Programme_Grunddaten!$A175="Geprüft",Programme_Grunddaten!AC175&lt;&gt;""),IF(Programme_Grunddaten!AC175="Ja",1,0),"")</f>
        <v/>
      </c>
      <c r="V170" s="1" t="str">
        <f>IF(AND(Programme_Grunddaten!$A175="Geprüft",Programme_Grunddaten!AD175&lt;&gt;""),IF(Programme_Grunddaten!AD175="Ja",1,0),"")</f>
        <v/>
      </c>
      <c r="W170" s="1" t="str">
        <f>IF(AND(Programme_Grunddaten!$A175="Geprüft",Programme_Grunddaten!AE175&lt;&gt;""),IF(Programme_Grunddaten!AE175="Ja",1,0),"")</f>
        <v/>
      </c>
      <c r="X170" s="1" t="str">
        <f>IF(AND(Programme_Grunddaten!$A175="Geprüft",Programme_Grunddaten!AF175&lt;&gt;""),IF(Programme_Grunddaten!AF175="Ja",1,0),"")</f>
        <v/>
      </c>
      <c r="Y170" s="1" t="str">
        <f>IF(AND(Programme_Grunddaten!$A175="Geprüft",Programme_Grunddaten!AG175&lt;&gt;""),IF(Programme_Grunddaten!AG175="Ja",1,0),"")</f>
        <v/>
      </c>
      <c r="Z170" s="1" t="str">
        <f>IF(AND(Programme_Grunddaten!$A175="Geprüft",Programme_Grunddaten!AH175&lt;&gt;""),IF(Programme_Grunddaten!AH175="Ja",1,0),"")</f>
        <v/>
      </c>
      <c r="AA170" s="1" t="str">
        <f>IF(AND(Programme_Grunddaten!$A175="Geprüft",Programme_Grunddaten!AI175&lt;&gt;""),IF(Programme_Grunddaten!AI175="Ja",1,0),"")</f>
        <v/>
      </c>
      <c r="AB170" s="1" t="str">
        <f>IF(AND(Programme_Grunddaten!$A175="Geprüft",Programme_Grunddaten!AJ175&lt;&gt;""),IF(Programme_Grunddaten!AJ175="individuell programmierbar",1,0),"")</f>
        <v/>
      </c>
      <c r="AC170" s="1" t="str">
        <f>IF(AND(Programme_Grunddaten!$A175="Geprüft",Programme_Grunddaten!AK175&lt;&gt;""),IF(Programme_Grunddaten!AK175="Deutsch",0,IF(Programme_Grunddaten!AK175="Deutsch und Englisch",1,2)),"")</f>
        <v/>
      </c>
      <c r="AD170" s="1" t="str">
        <f>IF(AND(Programme_Grunddaten!$A175="Geprüft",Programme_Grunddaten!AL175&lt;&gt;""),IF(Programme_Grunddaten!AL175="Ja",1,0),"")</f>
        <v/>
      </c>
      <c r="AE170" s="1" t="str">
        <f>IF(AND(Programme_Grunddaten!$A175="Geprüft",Programme_Grunddaten!AM175&lt;&gt;""),IF(Programme_Grunddaten!AM175="Ja",1,0),"")</f>
        <v/>
      </c>
      <c r="AF170" s="1" t="str">
        <f>IF(AND(Programme_Grunddaten!$A175="Geprüft",Programme_Grunddaten!AN175&lt;&gt;""),IF(Programme_Grunddaten!AN175="Ja",1,0),"")</f>
        <v/>
      </c>
      <c r="AG170" s="1" t="str">
        <f>IF(AND(Programme_Grunddaten!$A175="Geprüft",Programme_Grunddaten!AO175&lt;&gt;""),IF(Programme_Grunddaten!AO175="Ja",1,0),"")</f>
        <v/>
      </c>
      <c r="AH170" s="1" t="str">
        <f>IF(AND(Programme_Grunddaten!$A175="Geprüft",Programme_Grunddaten!AP175&lt;&gt;""),IF(Programme_Grunddaten!AP175="Ja",1,0),"")</f>
        <v/>
      </c>
      <c r="AI170" s="1" t="str">
        <f>IF(AND(Programme_Grunddaten!$A175="Geprüft",Programme_Grunddaten!AQ175&lt;&gt;""),IF(Programme_Grunddaten!AQ175="Ja",1,0),"")</f>
        <v/>
      </c>
      <c r="AJ170" s="1" t="str">
        <f>IF(AND(Programme_Grunddaten!$A175="Geprüft",Programme_Grunddaten!AR175&lt;&gt;""),IF(Programme_Grunddaten!AR175="Ja",1,0),"")</f>
        <v/>
      </c>
      <c r="AK170" s="1" t="str">
        <f>IF(AND(Programme_Grunddaten!$A175="Geprüft",Programme_Grunddaten!AS175&lt;&gt;""),IF(Programme_Grunddaten!AS175="Ja",1,0),"")</f>
        <v/>
      </c>
      <c r="AL170" s="1" t="str">
        <f>IF(AND(Programme_Grunddaten!$A175="Geprüft",Programme_Grunddaten!AT175&lt;&gt;""),IF(Programme_Grunddaten!AT175="Ja",1,0),"")</f>
        <v/>
      </c>
      <c r="AM170" s="1" t="str">
        <f>IF(AND(Programme_Grunddaten!$A175="Geprüft",Programme_Grunddaten!AU175&lt;&gt;""),IF(Programme_Grunddaten!AU175="Ja",1,0),"")</f>
        <v/>
      </c>
      <c r="AN170" s="1" t="str">
        <f>IF(AND(Programme_Grunddaten!$A175="Geprüft",Programme_Grunddaten!AV175&lt;&gt;""),IF(Programme_Grunddaten!AV175="Ja",1,0),"")</f>
        <v/>
      </c>
    </row>
    <row r="171" spans="1:40" x14ac:dyDescent="0.3">
      <c r="A171" s="1" t="str">
        <f>IF(AND(Programme_Grunddaten!A176="Geprüft",Programme_Grunddaten!B176&lt;&gt;""),Programme_Grunddaten!B176,"")</f>
        <v/>
      </c>
      <c r="B171" s="1" t="str">
        <f>IF(AND(Programme_Grunddaten!$A176="Geprüft",Programme_Grunddaten!I176&lt;&gt;""),IF(Programme_Grunddaten!I176="Ja",1,0),"")</f>
        <v/>
      </c>
      <c r="C171" s="1" t="str">
        <f>IF(AND(Programme_Grunddaten!$A176="Geprüft",Programme_Grunddaten!J176&lt;&gt;""),IF(Programme_Grunddaten!J176="Ja",1,0),"")</f>
        <v/>
      </c>
      <c r="D171" s="1" t="str">
        <f>IF(AND(Programme_Grunddaten!$A176="Geprüft",Programme_Grunddaten!K176&lt;&gt;""),IF(Programme_Grunddaten!K176="Ja",1,0),"")</f>
        <v/>
      </c>
      <c r="E171" s="1" t="str">
        <f>IF(AND(Programme_Grunddaten!$A176="Geprüft",Programme_Grunddaten!L176&lt;&gt;""),IF(Programme_Grunddaten!L176="Abo / befristete Lizenz",1,0),"")</f>
        <v/>
      </c>
      <c r="F171" s="1" t="str">
        <f>IF(AND(Programme_Grunddaten!$A176="Geprüft",Programme_Grunddaten!M176&lt;&gt;""),IF(Programme_Grunddaten!M176="Ja",1,0),"")</f>
        <v/>
      </c>
      <c r="G171" s="1" t="str">
        <f>IF(AND(Programme_Grunddaten!$A176="Geprüft",Programme_Grunddaten!N176&lt;&gt;""),IF(Programme_Grunddaten!N176="Ja",1,0),"")</f>
        <v/>
      </c>
      <c r="H171" s="1" t="str">
        <f>IF(AND(Programme_Grunddaten!$A176="Geprüft",Programme_Grunddaten!O176&lt;&gt;""),IF(Programme_Grunddaten!O176="Deutschland",0,IF(Programme_Grunddaten!O176="EU",1,2)),"")</f>
        <v/>
      </c>
      <c r="I171" s="1" t="str">
        <f>IF(AND(Programme_Grunddaten!$A176="Geprüft",Programme_Grunddaten!P176&lt;&gt;""),IF(Programme_Grunddaten!P176="Ja",1,0),"")</f>
        <v/>
      </c>
      <c r="J171" s="1" t="str">
        <f>IF(AND(Programme_Grunddaten!$A176="Geprüft",Programme_Grunddaten!Q176&lt;&gt;""),IF(Programme_Grunddaten!Q176="geschlossenes System",1,0),"")</f>
        <v/>
      </c>
      <c r="K171" s="1" t="str">
        <f>IF(AND(Programme_Grunddaten!$A176="Geprüft",Programme_Grunddaten!R176&lt;&gt;""),IF(Programme_Grunddaten!R176="Ja",1,0),"")</f>
        <v/>
      </c>
      <c r="L171" s="1" t="str">
        <f>IF(AND(Programme_Grunddaten!$A176="Geprüft",Programme_Grunddaten!T176&lt;&gt;""),IF(Programme_Grunddaten!T176="Ja",1,0),"")</f>
        <v/>
      </c>
      <c r="M171" s="1" t="str">
        <f>IF(AND(Programme_Grunddaten!$A176="Geprüft",Programme_Grunddaten!U176&lt;&gt;""),IF(Programme_Grunddaten!U176="Ja",1,0),"")</f>
        <v/>
      </c>
      <c r="N171" s="1" t="str">
        <f>IF(AND(Programme_Grunddaten!$A176="Geprüft",Programme_Grunddaten!V176&lt;&gt;""),IF(Programme_Grunddaten!V176="Ja",1,0),"")</f>
        <v/>
      </c>
      <c r="O171" s="1" t="str">
        <f>IF(AND(Programme_Grunddaten!$A176="Geprüft",Programme_Grunddaten!W176&lt;&gt;""),IF(Programme_Grunddaten!W176="Ja",1,0),"")</f>
        <v/>
      </c>
      <c r="P171" s="1" t="str">
        <f>IF(AND(Programme_Grunddaten!$A176="Geprüft",Programme_Grunddaten!X176&lt;&gt;""),IF(Programme_Grunddaten!X176="Ja",1,0),"")</f>
        <v/>
      </c>
      <c r="Q171" s="1" t="str">
        <f>IF(AND(Programme_Grunddaten!$A176="Geprüft",Programme_Grunddaten!Y176&lt;&gt;""),IF(Programme_Grunddaten!Y176="Ja",1,0),"")</f>
        <v/>
      </c>
      <c r="R171" s="1" t="str">
        <f>IF(AND(Programme_Grunddaten!$A176="Geprüft",Programme_Grunddaten!Z176&lt;&gt;""),IF(Programme_Grunddaten!Z176="Ja",1,0),"")</f>
        <v/>
      </c>
      <c r="S171" s="1" t="str">
        <f>IF(AND(Programme_Grunddaten!$A176="Geprüft",Programme_Grunddaten!AA176&lt;&gt;""),IF(Programme_Grunddaten!AA176="monolithisch",1,0),"")</f>
        <v/>
      </c>
      <c r="T171" s="1" t="str">
        <f>IF(AND(Programme_Grunddaten!$A176="Geprüft",Programme_Grunddaten!AB176&lt;&gt;""),IF(Programme_Grunddaten!AB176="Ja",1,0),"")</f>
        <v/>
      </c>
      <c r="U171" s="1" t="str">
        <f>IF(AND(Programme_Grunddaten!$A176="Geprüft",Programme_Grunddaten!AC176&lt;&gt;""),IF(Programme_Grunddaten!AC176="Ja",1,0),"")</f>
        <v/>
      </c>
      <c r="V171" s="1" t="str">
        <f>IF(AND(Programme_Grunddaten!$A176="Geprüft",Programme_Grunddaten!AD176&lt;&gt;""),IF(Programme_Grunddaten!AD176="Ja",1,0),"")</f>
        <v/>
      </c>
      <c r="W171" s="1" t="str">
        <f>IF(AND(Programme_Grunddaten!$A176="Geprüft",Programme_Grunddaten!AE176&lt;&gt;""),IF(Programme_Grunddaten!AE176="Ja",1,0),"")</f>
        <v/>
      </c>
      <c r="X171" s="1" t="str">
        <f>IF(AND(Programme_Grunddaten!$A176="Geprüft",Programme_Grunddaten!AF176&lt;&gt;""),IF(Programme_Grunddaten!AF176="Ja",1,0),"")</f>
        <v/>
      </c>
      <c r="Y171" s="1" t="str">
        <f>IF(AND(Programme_Grunddaten!$A176="Geprüft",Programme_Grunddaten!AG176&lt;&gt;""),IF(Programme_Grunddaten!AG176="Ja",1,0),"")</f>
        <v/>
      </c>
      <c r="Z171" s="1" t="str">
        <f>IF(AND(Programme_Grunddaten!$A176="Geprüft",Programme_Grunddaten!AH176&lt;&gt;""),IF(Programme_Grunddaten!AH176="Ja",1,0),"")</f>
        <v/>
      </c>
      <c r="AA171" s="1" t="str">
        <f>IF(AND(Programme_Grunddaten!$A176="Geprüft",Programme_Grunddaten!AI176&lt;&gt;""),IF(Programme_Grunddaten!AI176="Ja",1,0),"")</f>
        <v/>
      </c>
      <c r="AB171" s="1" t="str">
        <f>IF(AND(Programme_Grunddaten!$A176="Geprüft",Programme_Grunddaten!AJ176&lt;&gt;""),IF(Programme_Grunddaten!AJ176="individuell programmierbar",1,0),"")</f>
        <v/>
      </c>
      <c r="AC171" s="1" t="str">
        <f>IF(AND(Programme_Grunddaten!$A176="Geprüft",Programme_Grunddaten!AK176&lt;&gt;""),IF(Programme_Grunddaten!AK176="Deutsch",0,IF(Programme_Grunddaten!AK176="Deutsch und Englisch",1,2)),"")</f>
        <v/>
      </c>
      <c r="AD171" s="1" t="str">
        <f>IF(AND(Programme_Grunddaten!$A176="Geprüft",Programme_Grunddaten!AL176&lt;&gt;""),IF(Programme_Grunddaten!AL176="Ja",1,0),"")</f>
        <v/>
      </c>
      <c r="AE171" s="1" t="str">
        <f>IF(AND(Programme_Grunddaten!$A176="Geprüft",Programme_Grunddaten!AM176&lt;&gt;""),IF(Programme_Grunddaten!AM176="Ja",1,0),"")</f>
        <v/>
      </c>
      <c r="AF171" s="1" t="str">
        <f>IF(AND(Programme_Grunddaten!$A176="Geprüft",Programme_Grunddaten!AN176&lt;&gt;""),IF(Programme_Grunddaten!AN176="Ja",1,0),"")</f>
        <v/>
      </c>
      <c r="AG171" s="1" t="str">
        <f>IF(AND(Programme_Grunddaten!$A176="Geprüft",Programme_Grunddaten!AO176&lt;&gt;""),IF(Programme_Grunddaten!AO176="Ja",1,0),"")</f>
        <v/>
      </c>
      <c r="AH171" s="1" t="str">
        <f>IF(AND(Programme_Grunddaten!$A176="Geprüft",Programme_Grunddaten!AP176&lt;&gt;""),IF(Programme_Grunddaten!AP176="Ja",1,0),"")</f>
        <v/>
      </c>
      <c r="AI171" s="1" t="str">
        <f>IF(AND(Programme_Grunddaten!$A176="Geprüft",Programme_Grunddaten!AQ176&lt;&gt;""),IF(Programme_Grunddaten!AQ176="Ja",1,0),"")</f>
        <v/>
      </c>
      <c r="AJ171" s="1" t="str">
        <f>IF(AND(Programme_Grunddaten!$A176="Geprüft",Programme_Grunddaten!AR176&lt;&gt;""),IF(Programme_Grunddaten!AR176="Ja",1,0),"")</f>
        <v/>
      </c>
      <c r="AK171" s="1" t="str">
        <f>IF(AND(Programme_Grunddaten!$A176="Geprüft",Programme_Grunddaten!AS176&lt;&gt;""),IF(Programme_Grunddaten!AS176="Ja",1,0),"")</f>
        <v/>
      </c>
      <c r="AL171" s="1" t="str">
        <f>IF(AND(Programme_Grunddaten!$A176="Geprüft",Programme_Grunddaten!AT176&lt;&gt;""),IF(Programme_Grunddaten!AT176="Ja",1,0),"")</f>
        <v/>
      </c>
      <c r="AM171" s="1" t="str">
        <f>IF(AND(Programme_Grunddaten!$A176="Geprüft",Programme_Grunddaten!AU176&lt;&gt;""),IF(Programme_Grunddaten!AU176="Ja",1,0),"")</f>
        <v/>
      </c>
      <c r="AN171" s="1" t="str">
        <f>IF(AND(Programme_Grunddaten!$A176="Geprüft",Programme_Grunddaten!AV176&lt;&gt;""),IF(Programme_Grunddaten!AV176="Ja",1,0),"")</f>
        <v/>
      </c>
    </row>
    <row r="172" spans="1:40" x14ac:dyDescent="0.3">
      <c r="A172" s="1" t="str">
        <f>IF(AND(Programme_Grunddaten!A177="Geprüft",Programme_Grunddaten!B177&lt;&gt;""),Programme_Grunddaten!B177,"")</f>
        <v/>
      </c>
      <c r="B172" s="1" t="str">
        <f>IF(AND(Programme_Grunddaten!$A177="Geprüft",Programme_Grunddaten!I177&lt;&gt;""),IF(Programme_Grunddaten!I177="Ja",1,0),"")</f>
        <v/>
      </c>
      <c r="C172" s="1" t="str">
        <f>IF(AND(Programme_Grunddaten!$A177="Geprüft",Programme_Grunddaten!J177&lt;&gt;""),IF(Programme_Grunddaten!J177="Ja",1,0),"")</f>
        <v/>
      </c>
      <c r="D172" s="1" t="str">
        <f>IF(AND(Programme_Grunddaten!$A177="Geprüft",Programme_Grunddaten!K177&lt;&gt;""),IF(Programme_Grunddaten!K177="Ja",1,0),"")</f>
        <v/>
      </c>
      <c r="E172" s="1" t="str">
        <f>IF(AND(Programme_Grunddaten!$A177="Geprüft",Programme_Grunddaten!L177&lt;&gt;""),IF(Programme_Grunddaten!L177="Abo / befristete Lizenz",1,0),"")</f>
        <v/>
      </c>
      <c r="F172" s="1" t="str">
        <f>IF(AND(Programme_Grunddaten!$A177="Geprüft",Programme_Grunddaten!M177&lt;&gt;""),IF(Programme_Grunddaten!M177="Ja",1,0),"")</f>
        <v/>
      </c>
      <c r="G172" s="1" t="str">
        <f>IF(AND(Programme_Grunddaten!$A177="Geprüft",Programme_Grunddaten!N177&lt;&gt;""),IF(Programme_Grunddaten!N177="Ja",1,0),"")</f>
        <v/>
      </c>
      <c r="H172" s="1" t="str">
        <f>IF(AND(Programme_Grunddaten!$A177="Geprüft",Programme_Grunddaten!O177&lt;&gt;""),IF(Programme_Grunddaten!O177="Deutschland",0,IF(Programme_Grunddaten!O177="EU",1,2)),"")</f>
        <v/>
      </c>
      <c r="I172" s="1" t="str">
        <f>IF(AND(Programme_Grunddaten!$A177="Geprüft",Programme_Grunddaten!P177&lt;&gt;""),IF(Programme_Grunddaten!P177="Ja",1,0),"")</f>
        <v/>
      </c>
      <c r="J172" s="1" t="str">
        <f>IF(AND(Programme_Grunddaten!$A177="Geprüft",Programme_Grunddaten!Q177&lt;&gt;""),IF(Programme_Grunddaten!Q177="geschlossenes System",1,0),"")</f>
        <v/>
      </c>
      <c r="K172" s="1" t="str">
        <f>IF(AND(Programme_Grunddaten!$A177="Geprüft",Programme_Grunddaten!R177&lt;&gt;""),IF(Programme_Grunddaten!R177="Ja",1,0),"")</f>
        <v/>
      </c>
      <c r="L172" s="1" t="str">
        <f>IF(AND(Programme_Grunddaten!$A177="Geprüft",Programme_Grunddaten!T177&lt;&gt;""),IF(Programme_Grunddaten!T177="Ja",1,0),"")</f>
        <v/>
      </c>
      <c r="M172" s="1" t="str">
        <f>IF(AND(Programme_Grunddaten!$A177="Geprüft",Programme_Grunddaten!U177&lt;&gt;""),IF(Programme_Grunddaten!U177="Ja",1,0),"")</f>
        <v/>
      </c>
      <c r="N172" s="1" t="str">
        <f>IF(AND(Programme_Grunddaten!$A177="Geprüft",Programme_Grunddaten!V177&lt;&gt;""),IF(Programme_Grunddaten!V177="Ja",1,0),"")</f>
        <v/>
      </c>
      <c r="O172" s="1" t="str">
        <f>IF(AND(Programme_Grunddaten!$A177="Geprüft",Programme_Grunddaten!W177&lt;&gt;""),IF(Programme_Grunddaten!W177="Ja",1,0),"")</f>
        <v/>
      </c>
      <c r="P172" s="1" t="str">
        <f>IF(AND(Programme_Grunddaten!$A177="Geprüft",Programme_Grunddaten!X177&lt;&gt;""),IF(Programme_Grunddaten!X177="Ja",1,0),"")</f>
        <v/>
      </c>
      <c r="Q172" s="1" t="str">
        <f>IF(AND(Programme_Grunddaten!$A177="Geprüft",Programme_Grunddaten!Y177&lt;&gt;""),IF(Programme_Grunddaten!Y177="Ja",1,0),"")</f>
        <v/>
      </c>
      <c r="R172" s="1" t="str">
        <f>IF(AND(Programme_Grunddaten!$A177="Geprüft",Programme_Grunddaten!Z177&lt;&gt;""),IF(Programme_Grunddaten!Z177="Ja",1,0),"")</f>
        <v/>
      </c>
      <c r="S172" s="1" t="str">
        <f>IF(AND(Programme_Grunddaten!$A177="Geprüft",Programme_Grunddaten!AA177&lt;&gt;""),IF(Programme_Grunddaten!AA177="monolithisch",1,0),"")</f>
        <v/>
      </c>
      <c r="T172" s="1" t="str">
        <f>IF(AND(Programme_Grunddaten!$A177="Geprüft",Programme_Grunddaten!AB177&lt;&gt;""),IF(Programme_Grunddaten!AB177="Ja",1,0),"")</f>
        <v/>
      </c>
      <c r="U172" s="1" t="str">
        <f>IF(AND(Programme_Grunddaten!$A177="Geprüft",Programme_Grunddaten!AC177&lt;&gt;""),IF(Programme_Grunddaten!AC177="Ja",1,0),"")</f>
        <v/>
      </c>
      <c r="V172" s="1" t="str">
        <f>IF(AND(Programme_Grunddaten!$A177="Geprüft",Programme_Grunddaten!AD177&lt;&gt;""),IF(Programme_Grunddaten!AD177="Ja",1,0),"")</f>
        <v/>
      </c>
      <c r="W172" s="1" t="str">
        <f>IF(AND(Programme_Grunddaten!$A177="Geprüft",Programme_Grunddaten!AE177&lt;&gt;""),IF(Programme_Grunddaten!AE177="Ja",1,0),"")</f>
        <v/>
      </c>
      <c r="X172" s="1" t="str">
        <f>IF(AND(Programme_Grunddaten!$A177="Geprüft",Programme_Grunddaten!AF177&lt;&gt;""),IF(Programme_Grunddaten!AF177="Ja",1,0),"")</f>
        <v/>
      </c>
      <c r="Y172" s="1" t="str">
        <f>IF(AND(Programme_Grunddaten!$A177="Geprüft",Programme_Grunddaten!AG177&lt;&gt;""),IF(Programme_Grunddaten!AG177="Ja",1,0),"")</f>
        <v/>
      </c>
      <c r="Z172" s="1" t="str">
        <f>IF(AND(Programme_Grunddaten!$A177="Geprüft",Programme_Grunddaten!AH177&lt;&gt;""),IF(Programme_Grunddaten!AH177="Ja",1,0),"")</f>
        <v/>
      </c>
      <c r="AA172" s="1" t="str">
        <f>IF(AND(Programme_Grunddaten!$A177="Geprüft",Programme_Grunddaten!AI177&lt;&gt;""),IF(Programme_Grunddaten!AI177="Ja",1,0),"")</f>
        <v/>
      </c>
      <c r="AB172" s="1" t="str">
        <f>IF(AND(Programme_Grunddaten!$A177="Geprüft",Programme_Grunddaten!AJ177&lt;&gt;""),IF(Programme_Grunddaten!AJ177="individuell programmierbar",1,0),"")</f>
        <v/>
      </c>
      <c r="AC172" s="1" t="str">
        <f>IF(AND(Programme_Grunddaten!$A177="Geprüft",Programme_Grunddaten!AK177&lt;&gt;""),IF(Programme_Grunddaten!AK177="Deutsch",0,IF(Programme_Grunddaten!AK177="Deutsch und Englisch",1,2)),"")</f>
        <v/>
      </c>
      <c r="AD172" s="1" t="str">
        <f>IF(AND(Programme_Grunddaten!$A177="Geprüft",Programme_Grunddaten!AL177&lt;&gt;""),IF(Programme_Grunddaten!AL177="Ja",1,0),"")</f>
        <v/>
      </c>
      <c r="AE172" s="1" t="str">
        <f>IF(AND(Programme_Grunddaten!$A177="Geprüft",Programme_Grunddaten!AM177&lt;&gt;""),IF(Programme_Grunddaten!AM177="Ja",1,0),"")</f>
        <v/>
      </c>
      <c r="AF172" s="1" t="str">
        <f>IF(AND(Programme_Grunddaten!$A177="Geprüft",Programme_Grunddaten!AN177&lt;&gt;""),IF(Programme_Grunddaten!AN177="Ja",1,0),"")</f>
        <v/>
      </c>
      <c r="AG172" s="1" t="str">
        <f>IF(AND(Programme_Grunddaten!$A177="Geprüft",Programme_Grunddaten!AO177&lt;&gt;""),IF(Programme_Grunddaten!AO177="Ja",1,0),"")</f>
        <v/>
      </c>
      <c r="AH172" s="1" t="str">
        <f>IF(AND(Programme_Grunddaten!$A177="Geprüft",Programme_Grunddaten!AP177&lt;&gt;""),IF(Programme_Grunddaten!AP177="Ja",1,0),"")</f>
        <v/>
      </c>
      <c r="AI172" s="1" t="str">
        <f>IF(AND(Programme_Grunddaten!$A177="Geprüft",Programme_Grunddaten!AQ177&lt;&gt;""),IF(Programme_Grunddaten!AQ177="Ja",1,0),"")</f>
        <v/>
      </c>
      <c r="AJ172" s="1" t="str">
        <f>IF(AND(Programme_Grunddaten!$A177="Geprüft",Programme_Grunddaten!AR177&lt;&gt;""),IF(Programme_Grunddaten!AR177="Ja",1,0),"")</f>
        <v/>
      </c>
      <c r="AK172" s="1" t="str">
        <f>IF(AND(Programme_Grunddaten!$A177="Geprüft",Programme_Grunddaten!AS177&lt;&gt;""),IF(Programme_Grunddaten!AS177="Ja",1,0),"")</f>
        <v/>
      </c>
      <c r="AL172" s="1" t="str">
        <f>IF(AND(Programme_Grunddaten!$A177="Geprüft",Programme_Grunddaten!AT177&lt;&gt;""),IF(Programme_Grunddaten!AT177="Ja",1,0),"")</f>
        <v/>
      </c>
      <c r="AM172" s="1" t="str">
        <f>IF(AND(Programme_Grunddaten!$A177="Geprüft",Programme_Grunddaten!AU177&lt;&gt;""),IF(Programme_Grunddaten!AU177="Ja",1,0),"")</f>
        <v/>
      </c>
      <c r="AN172" s="1" t="str">
        <f>IF(AND(Programme_Grunddaten!$A177="Geprüft",Programme_Grunddaten!AV177&lt;&gt;""),IF(Programme_Grunddaten!AV177="Ja",1,0),"")</f>
        <v/>
      </c>
    </row>
    <row r="173" spans="1:40" x14ac:dyDescent="0.3">
      <c r="A173" s="1" t="str">
        <f>IF(AND(Programme_Grunddaten!A178="Geprüft",Programme_Grunddaten!B178&lt;&gt;""),Programme_Grunddaten!B178,"")</f>
        <v/>
      </c>
      <c r="B173" s="1" t="str">
        <f>IF(AND(Programme_Grunddaten!$A178="Geprüft",Programme_Grunddaten!I178&lt;&gt;""),IF(Programme_Grunddaten!I178="Ja",1,0),"")</f>
        <v/>
      </c>
      <c r="C173" s="1" t="str">
        <f>IF(AND(Programme_Grunddaten!$A178="Geprüft",Programme_Grunddaten!J178&lt;&gt;""),IF(Programme_Grunddaten!J178="Ja",1,0),"")</f>
        <v/>
      </c>
      <c r="D173" s="1" t="str">
        <f>IF(AND(Programme_Grunddaten!$A178="Geprüft",Programme_Grunddaten!K178&lt;&gt;""),IF(Programme_Grunddaten!K178="Ja",1,0),"")</f>
        <v/>
      </c>
      <c r="E173" s="1" t="str">
        <f>IF(AND(Programme_Grunddaten!$A178="Geprüft",Programme_Grunddaten!L178&lt;&gt;""),IF(Programme_Grunddaten!L178="Abo / befristete Lizenz",1,0),"")</f>
        <v/>
      </c>
      <c r="F173" s="1" t="str">
        <f>IF(AND(Programme_Grunddaten!$A178="Geprüft",Programme_Grunddaten!M178&lt;&gt;""),IF(Programme_Grunddaten!M178="Ja",1,0),"")</f>
        <v/>
      </c>
      <c r="G173" s="1" t="str">
        <f>IF(AND(Programme_Grunddaten!$A178="Geprüft",Programme_Grunddaten!N178&lt;&gt;""),IF(Programme_Grunddaten!N178="Ja",1,0),"")</f>
        <v/>
      </c>
      <c r="H173" s="1" t="str">
        <f>IF(AND(Programme_Grunddaten!$A178="Geprüft",Programme_Grunddaten!O178&lt;&gt;""),IF(Programme_Grunddaten!O178="Deutschland",0,IF(Programme_Grunddaten!O178="EU",1,2)),"")</f>
        <v/>
      </c>
      <c r="I173" s="1" t="str">
        <f>IF(AND(Programme_Grunddaten!$A178="Geprüft",Programme_Grunddaten!P178&lt;&gt;""),IF(Programme_Grunddaten!P178="Ja",1,0),"")</f>
        <v/>
      </c>
      <c r="J173" s="1" t="str">
        <f>IF(AND(Programme_Grunddaten!$A178="Geprüft",Programme_Grunddaten!Q178&lt;&gt;""),IF(Programme_Grunddaten!Q178="geschlossenes System",1,0),"")</f>
        <v/>
      </c>
      <c r="K173" s="1" t="str">
        <f>IF(AND(Programme_Grunddaten!$A178="Geprüft",Programme_Grunddaten!R178&lt;&gt;""),IF(Programme_Grunddaten!R178="Ja",1,0),"")</f>
        <v/>
      </c>
      <c r="L173" s="1" t="str">
        <f>IF(AND(Programme_Grunddaten!$A178="Geprüft",Programme_Grunddaten!T178&lt;&gt;""),IF(Programme_Grunddaten!T178="Ja",1,0),"")</f>
        <v/>
      </c>
      <c r="M173" s="1" t="str">
        <f>IF(AND(Programme_Grunddaten!$A178="Geprüft",Programme_Grunddaten!U178&lt;&gt;""),IF(Programme_Grunddaten!U178="Ja",1,0),"")</f>
        <v/>
      </c>
      <c r="N173" s="1" t="str">
        <f>IF(AND(Programme_Grunddaten!$A178="Geprüft",Programme_Grunddaten!V178&lt;&gt;""),IF(Programme_Grunddaten!V178="Ja",1,0),"")</f>
        <v/>
      </c>
      <c r="O173" s="1" t="str">
        <f>IF(AND(Programme_Grunddaten!$A178="Geprüft",Programme_Grunddaten!W178&lt;&gt;""),IF(Programme_Grunddaten!W178="Ja",1,0),"")</f>
        <v/>
      </c>
      <c r="P173" s="1" t="str">
        <f>IF(AND(Programme_Grunddaten!$A178="Geprüft",Programme_Grunddaten!X178&lt;&gt;""),IF(Programme_Grunddaten!X178="Ja",1,0),"")</f>
        <v/>
      </c>
      <c r="Q173" s="1" t="str">
        <f>IF(AND(Programme_Grunddaten!$A178="Geprüft",Programme_Grunddaten!Y178&lt;&gt;""),IF(Programme_Grunddaten!Y178="Ja",1,0),"")</f>
        <v/>
      </c>
      <c r="R173" s="1" t="str">
        <f>IF(AND(Programme_Grunddaten!$A178="Geprüft",Programme_Grunddaten!Z178&lt;&gt;""),IF(Programme_Grunddaten!Z178="Ja",1,0),"")</f>
        <v/>
      </c>
      <c r="S173" s="1" t="str">
        <f>IF(AND(Programme_Grunddaten!$A178="Geprüft",Programme_Grunddaten!AA178&lt;&gt;""),IF(Programme_Grunddaten!AA178="monolithisch",1,0),"")</f>
        <v/>
      </c>
      <c r="T173" s="1" t="str">
        <f>IF(AND(Programme_Grunddaten!$A178="Geprüft",Programme_Grunddaten!AB178&lt;&gt;""),IF(Programme_Grunddaten!AB178="Ja",1,0),"")</f>
        <v/>
      </c>
      <c r="U173" s="1" t="str">
        <f>IF(AND(Programme_Grunddaten!$A178="Geprüft",Programme_Grunddaten!AC178&lt;&gt;""),IF(Programme_Grunddaten!AC178="Ja",1,0),"")</f>
        <v/>
      </c>
      <c r="V173" s="1" t="str">
        <f>IF(AND(Programme_Grunddaten!$A178="Geprüft",Programme_Grunddaten!AD178&lt;&gt;""),IF(Programme_Grunddaten!AD178="Ja",1,0),"")</f>
        <v/>
      </c>
      <c r="W173" s="1" t="str">
        <f>IF(AND(Programme_Grunddaten!$A178="Geprüft",Programme_Grunddaten!AE178&lt;&gt;""),IF(Programme_Grunddaten!AE178="Ja",1,0),"")</f>
        <v/>
      </c>
      <c r="X173" s="1" t="str">
        <f>IF(AND(Programme_Grunddaten!$A178="Geprüft",Programme_Grunddaten!AF178&lt;&gt;""),IF(Programme_Grunddaten!AF178="Ja",1,0),"")</f>
        <v/>
      </c>
      <c r="Y173" s="1" t="str">
        <f>IF(AND(Programme_Grunddaten!$A178="Geprüft",Programme_Grunddaten!AG178&lt;&gt;""),IF(Programme_Grunddaten!AG178="Ja",1,0),"")</f>
        <v/>
      </c>
      <c r="Z173" s="1" t="str">
        <f>IF(AND(Programme_Grunddaten!$A178="Geprüft",Programme_Grunddaten!AH178&lt;&gt;""),IF(Programme_Grunddaten!AH178="Ja",1,0),"")</f>
        <v/>
      </c>
      <c r="AA173" s="1" t="str">
        <f>IF(AND(Programme_Grunddaten!$A178="Geprüft",Programme_Grunddaten!AI178&lt;&gt;""),IF(Programme_Grunddaten!AI178="Ja",1,0),"")</f>
        <v/>
      </c>
      <c r="AB173" s="1" t="str">
        <f>IF(AND(Programme_Grunddaten!$A178="Geprüft",Programme_Grunddaten!AJ178&lt;&gt;""),IF(Programme_Grunddaten!AJ178="individuell programmierbar",1,0),"")</f>
        <v/>
      </c>
      <c r="AC173" s="1" t="str">
        <f>IF(AND(Programme_Grunddaten!$A178="Geprüft",Programme_Grunddaten!AK178&lt;&gt;""),IF(Programme_Grunddaten!AK178="Deutsch",0,IF(Programme_Grunddaten!AK178="Deutsch und Englisch",1,2)),"")</f>
        <v/>
      </c>
      <c r="AD173" s="1" t="str">
        <f>IF(AND(Programme_Grunddaten!$A178="Geprüft",Programme_Grunddaten!AL178&lt;&gt;""),IF(Programme_Grunddaten!AL178="Ja",1,0),"")</f>
        <v/>
      </c>
      <c r="AE173" s="1" t="str">
        <f>IF(AND(Programme_Grunddaten!$A178="Geprüft",Programme_Grunddaten!AM178&lt;&gt;""),IF(Programme_Grunddaten!AM178="Ja",1,0),"")</f>
        <v/>
      </c>
      <c r="AF173" s="1" t="str">
        <f>IF(AND(Programme_Grunddaten!$A178="Geprüft",Programme_Grunddaten!AN178&lt;&gt;""),IF(Programme_Grunddaten!AN178="Ja",1,0),"")</f>
        <v/>
      </c>
      <c r="AG173" s="1" t="str">
        <f>IF(AND(Programme_Grunddaten!$A178="Geprüft",Programme_Grunddaten!AO178&lt;&gt;""),IF(Programme_Grunddaten!AO178="Ja",1,0),"")</f>
        <v/>
      </c>
      <c r="AH173" s="1" t="str">
        <f>IF(AND(Programme_Grunddaten!$A178="Geprüft",Programme_Grunddaten!AP178&lt;&gt;""),IF(Programme_Grunddaten!AP178="Ja",1,0),"")</f>
        <v/>
      </c>
      <c r="AI173" s="1" t="str">
        <f>IF(AND(Programme_Grunddaten!$A178="Geprüft",Programme_Grunddaten!AQ178&lt;&gt;""),IF(Programme_Grunddaten!AQ178="Ja",1,0),"")</f>
        <v/>
      </c>
      <c r="AJ173" s="1" t="str">
        <f>IF(AND(Programme_Grunddaten!$A178="Geprüft",Programme_Grunddaten!AR178&lt;&gt;""),IF(Programme_Grunddaten!AR178="Ja",1,0),"")</f>
        <v/>
      </c>
      <c r="AK173" s="1" t="str">
        <f>IF(AND(Programme_Grunddaten!$A178="Geprüft",Programme_Grunddaten!AS178&lt;&gt;""),IF(Programme_Grunddaten!AS178="Ja",1,0),"")</f>
        <v/>
      </c>
      <c r="AL173" s="1" t="str">
        <f>IF(AND(Programme_Grunddaten!$A178="Geprüft",Programme_Grunddaten!AT178&lt;&gt;""),IF(Programme_Grunddaten!AT178="Ja",1,0),"")</f>
        <v/>
      </c>
      <c r="AM173" s="1" t="str">
        <f>IF(AND(Programme_Grunddaten!$A178="Geprüft",Programme_Grunddaten!AU178&lt;&gt;""),IF(Programme_Grunddaten!AU178="Ja",1,0),"")</f>
        <v/>
      </c>
      <c r="AN173" s="1" t="str">
        <f>IF(AND(Programme_Grunddaten!$A178="Geprüft",Programme_Grunddaten!AV178&lt;&gt;""),IF(Programme_Grunddaten!AV178="Ja",1,0),"")</f>
        <v/>
      </c>
    </row>
    <row r="174" spans="1:40" x14ac:dyDescent="0.3">
      <c r="A174" s="1" t="str">
        <f>IF(AND(Programme_Grunddaten!A179="Geprüft",Programme_Grunddaten!B179&lt;&gt;""),Programme_Grunddaten!B179,"")</f>
        <v/>
      </c>
      <c r="B174" s="1" t="str">
        <f>IF(AND(Programme_Grunddaten!$A179="Geprüft",Programme_Grunddaten!I179&lt;&gt;""),IF(Programme_Grunddaten!I179="Ja",1,0),"")</f>
        <v/>
      </c>
      <c r="C174" s="1" t="str">
        <f>IF(AND(Programme_Grunddaten!$A179="Geprüft",Programme_Grunddaten!J179&lt;&gt;""),IF(Programme_Grunddaten!J179="Ja",1,0),"")</f>
        <v/>
      </c>
      <c r="D174" s="1" t="str">
        <f>IF(AND(Programme_Grunddaten!$A179="Geprüft",Programme_Grunddaten!K179&lt;&gt;""),IF(Programme_Grunddaten!K179="Ja",1,0),"")</f>
        <v/>
      </c>
      <c r="E174" s="1" t="str">
        <f>IF(AND(Programme_Grunddaten!$A179="Geprüft",Programme_Grunddaten!L179&lt;&gt;""),IF(Programme_Grunddaten!L179="Abo / befristete Lizenz",1,0),"")</f>
        <v/>
      </c>
      <c r="F174" s="1" t="str">
        <f>IF(AND(Programme_Grunddaten!$A179="Geprüft",Programme_Grunddaten!M179&lt;&gt;""),IF(Programme_Grunddaten!M179="Ja",1,0),"")</f>
        <v/>
      </c>
      <c r="G174" s="1" t="str">
        <f>IF(AND(Programme_Grunddaten!$A179="Geprüft",Programme_Grunddaten!N179&lt;&gt;""),IF(Programme_Grunddaten!N179="Ja",1,0),"")</f>
        <v/>
      </c>
      <c r="H174" s="1" t="str">
        <f>IF(AND(Programme_Grunddaten!$A179="Geprüft",Programme_Grunddaten!O179&lt;&gt;""),IF(Programme_Grunddaten!O179="Deutschland",0,IF(Programme_Grunddaten!O179="EU",1,2)),"")</f>
        <v/>
      </c>
      <c r="I174" s="1" t="str">
        <f>IF(AND(Programme_Grunddaten!$A179="Geprüft",Programme_Grunddaten!P179&lt;&gt;""),IF(Programme_Grunddaten!P179="Ja",1,0),"")</f>
        <v/>
      </c>
      <c r="J174" s="1" t="str">
        <f>IF(AND(Programme_Grunddaten!$A179="Geprüft",Programme_Grunddaten!Q179&lt;&gt;""),IF(Programme_Grunddaten!Q179="geschlossenes System",1,0),"")</f>
        <v/>
      </c>
      <c r="K174" s="1" t="str">
        <f>IF(AND(Programme_Grunddaten!$A179="Geprüft",Programme_Grunddaten!R179&lt;&gt;""),IF(Programme_Grunddaten!R179="Ja",1,0),"")</f>
        <v/>
      </c>
      <c r="L174" s="1" t="str">
        <f>IF(AND(Programme_Grunddaten!$A179="Geprüft",Programme_Grunddaten!T179&lt;&gt;""),IF(Programme_Grunddaten!T179="Ja",1,0),"")</f>
        <v/>
      </c>
      <c r="M174" s="1" t="str">
        <f>IF(AND(Programme_Grunddaten!$A179="Geprüft",Programme_Grunddaten!U179&lt;&gt;""),IF(Programme_Grunddaten!U179="Ja",1,0),"")</f>
        <v/>
      </c>
      <c r="N174" s="1" t="str">
        <f>IF(AND(Programme_Grunddaten!$A179="Geprüft",Programme_Grunddaten!V179&lt;&gt;""),IF(Programme_Grunddaten!V179="Ja",1,0),"")</f>
        <v/>
      </c>
      <c r="O174" s="1" t="str">
        <f>IF(AND(Programme_Grunddaten!$A179="Geprüft",Programme_Grunddaten!W179&lt;&gt;""),IF(Programme_Grunddaten!W179="Ja",1,0),"")</f>
        <v/>
      </c>
      <c r="P174" s="1" t="str">
        <f>IF(AND(Programme_Grunddaten!$A179="Geprüft",Programme_Grunddaten!X179&lt;&gt;""),IF(Programme_Grunddaten!X179="Ja",1,0),"")</f>
        <v/>
      </c>
      <c r="Q174" s="1" t="str">
        <f>IF(AND(Programme_Grunddaten!$A179="Geprüft",Programme_Grunddaten!Y179&lt;&gt;""),IF(Programme_Grunddaten!Y179="Ja",1,0),"")</f>
        <v/>
      </c>
      <c r="R174" s="1" t="str">
        <f>IF(AND(Programme_Grunddaten!$A179="Geprüft",Programme_Grunddaten!Z179&lt;&gt;""),IF(Programme_Grunddaten!Z179="Ja",1,0),"")</f>
        <v/>
      </c>
      <c r="S174" s="1" t="str">
        <f>IF(AND(Programme_Grunddaten!$A179="Geprüft",Programme_Grunddaten!AA179&lt;&gt;""),IF(Programme_Grunddaten!AA179="monolithisch",1,0),"")</f>
        <v/>
      </c>
      <c r="T174" s="1" t="str">
        <f>IF(AND(Programme_Grunddaten!$A179="Geprüft",Programme_Grunddaten!AB179&lt;&gt;""),IF(Programme_Grunddaten!AB179="Ja",1,0),"")</f>
        <v/>
      </c>
      <c r="U174" s="1" t="str">
        <f>IF(AND(Programme_Grunddaten!$A179="Geprüft",Programme_Grunddaten!AC179&lt;&gt;""),IF(Programme_Grunddaten!AC179="Ja",1,0),"")</f>
        <v/>
      </c>
      <c r="V174" s="1" t="str">
        <f>IF(AND(Programme_Grunddaten!$A179="Geprüft",Programme_Grunddaten!AD179&lt;&gt;""),IF(Programme_Grunddaten!AD179="Ja",1,0),"")</f>
        <v/>
      </c>
      <c r="W174" s="1" t="str">
        <f>IF(AND(Programme_Grunddaten!$A179="Geprüft",Programme_Grunddaten!AE179&lt;&gt;""),IF(Programme_Grunddaten!AE179="Ja",1,0),"")</f>
        <v/>
      </c>
      <c r="X174" s="1" t="str">
        <f>IF(AND(Programme_Grunddaten!$A179="Geprüft",Programme_Grunddaten!AF179&lt;&gt;""),IF(Programme_Grunddaten!AF179="Ja",1,0),"")</f>
        <v/>
      </c>
      <c r="Y174" s="1" t="str">
        <f>IF(AND(Programme_Grunddaten!$A179="Geprüft",Programme_Grunddaten!AG179&lt;&gt;""),IF(Programme_Grunddaten!AG179="Ja",1,0),"")</f>
        <v/>
      </c>
      <c r="Z174" s="1" t="str">
        <f>IF(AND(Programme_Grunddaten!$A179="Geprüft",Programme_Grunddaten!AH179&lt;&gt;""),IF(Programme_Grunddaten!AH179="Ja",1,0),"")</f>
        <v/>
      </c>
      <c r="AA174" s="1" t="str">
        <f>IF(AND(Programme_Grunddaten!$A179="Geprüft",Programme_Grunddaten!AI179&lt;&gt;""),IF(Programme_Grunddaten!AI179="Ja",1,0),"")</f>
        <v/>
      </c>
      <c r="AB174" s="1" t="str">
        <f>IF(AND(Programme_Grunddaten!$A179="Geprüft",Programme_Grunddaten!AJ179&lt;&gt;""),IF(Programme_Grunddaten!AJ179="individuell programmierbar",1,0),"")</f>
        <v/>
      </c>
      <c r="AC174" s="1" t="str">
        <f>IF(AND(Programme_Grunddaten!$A179="Geprüft",Programme_Grunddaten!AK179&lt;&gt;""),IF(Programme_Grunddaten!AK179="Deutsch",0,IF(Programme_Grunddaten!AK179="Deutsch und Englisch",1,2)),"")</f>
        <v/>
      </c>
      <c r="AD174" s="1" t="str">
        <f>IF(AND(Programme_Grunddaten!$A179="Geprüft",Programme_Grunddaten!AL179&lt;&gt;""),IF(Programme_Grunddaten!AL179="Ja",1,0),"")</f>
        <v/>
      </c>
      <c r="AE174" s="1" t="str">
        <f>IF(AND(Programme_Grunddaten!$A179="Geprüft",Programme_Grunddaten!AM179&lt;&gt;""),IF(Programme_Grunddaten!AM179="Ja",1,0),"")</f>
        <v/>
      </c>
      <c r="AF174" s="1" t="str">
        <f>IF(AND(Programme_Grunddaten!$A179="Geprüft",Programme_Grunddaten!AN179&lt;&gt;""),IF(Programme_Grunddaten!AN179="Ja",1,0),"")</f>
        <v/>
      </c>
      <c r="AG174" s="1" t="str">
        <f>IF(AND(Programme_Grunddaten!$A179="Geprüft",Programme_Grunddaten!AO179&lt;&gt;""),IF(Programme_Grunddaten!AO179="Ja",1,0),"")</f>
        <v/>
      </c>
      <c r="AH174" s="1" t="str">
        <f>IF(AND(Programme_Grunddaten!$A179="Geprüft",Programme_Grunddaten!AP179&lt;&gt;""),IF(Programme_Grunddaten!AP179="Ja",1,0),"")</f>
        <v/>
      </c>
      <c r="AI174" s="1" t="str">
        <f>IF(AND(Programme_Grunddaten!$A179="Geprüft",Programme_Grunddaten!AQ179&lt;&gt;""),IF(Programme_Grunddaten!AQ179="Ja",1,0),"")</f>
        <v/>
      </c>
      <c r="AJ174" s="1" t="str">
        <f>IF(AND(Programme_Grunddaten!$A179="Geprüft",Programme_Grunddaten!AR179&lt;&gt;""),IF(Programme_Grunddaten!AR179="Ja",1,0),"")</f>
        <v/>
      </c>
      <c r="AK174" s="1" t="str">
        <f>IF(AND(Programme_Grunddaten!$A179="Geprüft",Programme_Grunddaten!AS179&lt;&gt;""),IF(Programme_Grunddaten!AS179="Ja",1,0),"")</f>
        <v/>
      </c>
      <c r="AL174" s="1" t="str">
        <f>IF(AND(Programme_Grunddaten!$A179="Geprüft",Programme_Grunddaten!AT179&lt;&gt;""),IF(Programme_Grunddaten!AT179="Ja",1,0),"")</f>
        <v/>
      </c>
      <c r="AM174" s="1" t="str">
        <f>IF(AND(Programme_Grunddaten!$A179="Geprüft",Programme_Grunddaten!AU179&lt;&gt;""),IF(Programme_Grunddaten!AU179="Ja",1,0),"")</f>
        <v/>
      </c>
      <c r="AN174" s="1" t="str">
        <f>IF(AND(Programme_Grunddaten!$A179="Geprüft",Programme_Grunddaten!AV179&lt;&gt;""),IF(Programme_Grunddaten!AV179="Ja",1,0),"")</f>
        <v/>
      </c>
    </row>
    <row r="175" spans="1:40" x14ac:dyDescent="0.3">
      <c r="A175" s="1" t="str">
        <f>IF(AND(Programme_Grunddaten!A180="Geprüft",Programme_Grunddaten!B180&lt;&gt;""),Programme_Grunddaten!B180,"")</f>
        <v/>
      </c>
      <c r="B175" s="1" t="str">
        <f>IF(AND(Programme_Grunddaten!$A180="Geprüft",Programme_Grunddaten!I180&lt;&gt;""),IF(Programme_Grunddaten!I180="Ja",1,0),"")</f>
        <v/>
      </c>
      <c r="C175" s="1" t="str">
        <f>IF(AND(Programme_Grunddaten!$A180="Geprüft",Programme_Grunddaten!J180&lt;&gt;""),IF(Programme_Grunddaten!J180="Ja",1,0),"")</f>
        <v/>
      </c>
      <c r="D175" s="1" t="str">
        <f>IF(AND(Programme_Grunddaten!$A180="Geprüft",Programme_Grunddaten!K180&lt;&gt;""),IF(Programme_Grunddaten!K180="Ja",1,0),"")</f>
        <v/>
      </c>
      <c r="E175" s="1" t="str">
        <f>IF(AND(Programme_Grunddaten!$A180="Geprüft",Programme_Grunddaten!L180&lt;&gt;""),IF(Programme_Grunddaten!L180="Abo / befristete Lizenz",1,0),"")</f>
        <v/>
      </c>
      <c r="F175" s="1" t="str">
        <f>IF(AND(Programme_Grunddaten!$A180="Geprüft",Programme_Grunddaten!M180&lt;&gt;""),IF(Programme_Grunddaten!M180="Ja",1,0),"")</f>
        <v/>
      </c>
      <c r="G175" s="1" t="str">
        <f>IF(AND(Programme_Grunddaten!$A180="Geprüft",Programme_Grunddaten!N180&lt;&gt;""),IF(Programme_Grunddaten!N180="Ja",1,0),"")</f>
        <v/>
      </c>
      <c r="H175" s="1" t="str">
        <f>IF(AND(Programme_Grunddaten!$A180="Geprüft",Programme_Grunddaten!O180&lt;&gt;""),IF(Programme_Grunddaten!O180="Deutschland",0,IF(Programme_Grunddaten!O180="EU",1,2)),"")</f>
        <v/>
      </c>
      <c r="I175" s="1" t="str">
        <f>IF(AND(Programme_Grunddaten!$A180="Geprüft",Programme_Grunddaten!P180&lt;&gt;""),IF(Programme_Grunddaten!P180="Ja",1,0),"")</f>
        <v/>
      </c>
      <c r="J175" s="1" t="str">
        <f>IF(AND(Programme_Grunddaten!$A180="Geprüft",Programme_Grunddaten!Q180&lt;&gt;""),IF(Programme_Grunddaten!Q180="geschlossenes System",1,0),"")</f>
        <v/>
      </c>
      <c r="K175" s="1" t="str">
        <f>IF(AND(Programme_Grunddaten!$A180="Geprüft",Programme_Grunddaten!R180&lt;&gt;""),IF(Programme_Grunddaten!R180="Ja",1,0),"")</f>
        <v/>
      </c>
      <c r="L175" s="1" t="str">
        <f>IF(AND(Programme_Grunddaten!$A180="Geprüft",Programme_Grunddaten!T180&lt;&gt;""),IF(Programme_Grunddaten!T180="Ja",1,0),"")</f>
        <v/>
      </c>
      <c r="M175" s="1" t="str">
        <f>IF(AND(Programme_Grunddaten!$A180="Geprüft",Programme_Grunddaten!U180&lt;&gt;""),IF(Programme_Grunddaten!U180="Ja",1,0),"")</f>
        <v/>
      </c>
      <c r="N175" s="1" t="str">
        <f>IF(AND(Programme_Grunddaten!$A180="Geprüft",Programme_Grunddaten!V180&lt;&gt;""),IF(Programme_Grunddaten!V180="Ja",1,0),"")</f>
        <v/>
      </c>
      <c r="O175" s="1" t="str">
        <f>IF(AND(Programme_Grunddaten!$A180="Geprüft",Programme_Grunddaten!W180&lt;&gt;""),IF(Programme_Grunddaten!W180="Ja",1,0),"")</f>
        <v/>
      </c>
      <c r="P175" s="1" t="str">
        <f>IF(AND(Programme_Grunddaten!$A180="Geprüft",Programme_Grunddaten!X180&lt;&gt;""),IF(Programme_Grunddaten!X180="Ja",1,0),"")</f>
        <v/>
      </c>
      <c r="Q175" s="1" t="str">
        <f>IF(AND(Programme_Grunddaten!$A180="Geprüft",Programme_Grunddaten!Y180&lt;&gt;""),IF(Programme_Grunddaten!Y180="Ja",1,0),"")</f>
        <v/>
      </c>
      <c r="R175" s="1" t="str">
        <f>IF(AND(Programme_Grunddaten!$A180="Geprüft",Programme_Grunddaten!Z180&lt;&gt;""),IF(Programme_Grunddaten!Z180="Ja",1,0),"")</f>
        <v/>
      </c>
      <c r="S175" s="1" t="str">
        <f>IF(AND(Programme_Grunddaten!$A180="Geprüft",Programme_Grunddaten!AA180&lt;&gt;""),IF(Programme_Grunddaten!AA180="monolithisch",1,0),"")</f>
        <v/>
      </c>
      <c r="T175" s="1" t="str">
        <f>IF(AND(Programme_Grunddaten!$A180="Geprüft",Programme_Grunddaten!AB180&lt;&gt;""),IF(Programme_Grunddaten!AB180="Ja",1,0),"")</f>
        <v/>
      </c>
      <c r="U175" s="1" t="str">
        <f>IF(AND(Programme_Grunddaten!$A180="Geprüft",Programme_Grunddaten!AC180&lt;&gt;""),IF(Programme_Grunddaten!AC180="Ja",1,0),"")</f>
        <v/>
      </c>
      <c r="V175" s="1" t="str">
        <f>IF(AND(Programme_Grunddaten!$A180="Geprüft",Programme_Grunddaten!AD180&lt;&gt;""),IF(Programme_Grunddaten!AD180="Ja",1,0),"")</f>
        <v/>
      </c>
      <c r="W175" s="1" t="str">
        <f>IF(AND(Programme_Grunddaten!$A180="Geprüft",Programme_Grunddaten!AE180&lt;&gt;""),IF(Programme_Grunddaten!AE180="Ja",1,0),"")</f>
        <v/>
      </c>
      <c r="X175" s="1" t="str">
        <f>IF(AND(Programme_Grunddaten!$A180="Geprüft",Programme_Grunddaten!AF180&lt;&gt;""),IF(Programme_Grunddaten!AF180="Ja",1,0),"")</f>
        <v/>
      </c>
      <c r="Y175" s="1" t="str">
        <f>IF(AND(Programme_Grunddaten!$A180="Geprüft",Programme_Grunddaten!AG180&lt;&gt;""),IF(Programme_Grunddaten!AG180="Ja",1,0),"")</f>
        <v/>
      </c>
      <c r="Z175" s="1" t="str">
        <f>IF(AND(Programme_Grunddaten!$A180="Geprüft",Programme_Grunddaten!AH180&lt;&gt;""),IF(Programme_Grunddaten!AH180="Ja",1,0),"")</f>
        <v/>
      </c>
      <c r="AA175" s="1" t="str">
        <f>IF(AND(Programme_Grunddaten!$A180="Geprüft",Programme_Grunddaten!AI180&lt;&gt;""),IF(Programme_Grunddaten!AI180="Ja",1,0),"")</f>
        <v/>
      </c>
      <c r="AB175" s="1" t="str">
        <f>IF(AND(Programme_Grunddaten!$A180="Geprüft",Programme_Grunddaten!AJ180&lt;&gt;""),IF(Programme_Grunddaten!AJ180="individuell programmierbar",1,0),"")</f>
        <v/>
      </c>
      <c r="AC175" s="1" t="str">
        <f>IF(AND(Programme_Grunddaten!$A180="Geprüft",Programme_Grunddaten!AK180&lt;&gt;""),IF(Programme_Grunddaten!AK180="Deutsch",0,IF(Programme_Grunddaten!AK180="Deutsch und Englisch",1,2)),"")</f>
        <v/>
      </c>
      <c r="AD175" s="1" t="str">
        <f>IF(AND(Programme_Grunddaten!$A180="Geprüft",Programme_Grunddaten!AL180&lt;&gt;""),IF(Programme_Grunddaten!AL180="Ja",1,0),"")</f>
        <v/>
      </c>
      <c r="AE175" s="1" t="str">
        <f>IF(AND(Programme_Grunddaten!$A180="Geprüft",Programme_Grunddaten!AM180&lt;&gt;""),IF(Programme_Grunddaten!AM180="Ja",1,0),"")</f>
        <v/>
      </c>
      <c r="AF175" s="1" t="str">
        <f>IF(AND(Programme_Grunddaten!$A180="Geprüft",Programme_Grunddaten!AN180&lt;&gt;""),IF(Programme_Grunddaten!AN180="Ja",1,0),"")</f>
        <v/>
      </c>
      <c r="AG175" s="1" t="str">
        <f>IF(AND(Programme_Grunddaten!$A180="Geprüft",Programme_Grunddaten!AO180&lt;&gt;""),IF(Programme_Grunddaten!AO180="Ja",1,0),"")</f>
        <v/>
      </c>
      <c r="AH175" s="1" t="str">
        <f>IF(AND(Programme_Grunddaten!$A180="Geprüft",Programme_Grunddaten!AP180&lt;&gt;""),IF(Programme_Grunddaten!AP180="Ja",1,0),"")</f>
        <v/>
      </c>
      <c r="AI175" s="1" t="str">
        <f>IF(AND(Programme_Grunddaten!$A180="Geprüft",Programme_Grunddaten!AQ180&lt;&gt;""),IF(Programme_Grunddaten!AQ180="Ja",1,0),"")</f>
        <v/>
      </c>
      <c r="AJ175" s="1" t="str">
        <f>IF(AND(Programme_Grunddaten!$A180="Geprüft",Programme_Grunddaten!AR180&lt;&gt;""),IF(Programme_Grunddaten!AR180="Ja",1,0),"")</f>
        <v/>
      </c>
      <c r="AK175" s="1" t="str">
        <f>IF(AND(Programme_Grunddaten!$A180="Geprüft",Programme_Grunddaten!AS180&lt;&gt;""),IF(Programme_Grunddaten!AS180="Ja",1,0),"")</f>
        <v/>
      </c>
      <c r="AL175" s="1" t="str">
        <f>IF(AND(Programme_Grunddaten!$A180="Geprüft",Programme_Grunddaten!AT180&lt;&gt;""),IF(Programme_Grunddaten!AT180="Ja",1,0),"")</f>
        <v/>
      </c>
      <c r="AM175" s="1" t="str">
        <f>IF(AND(Programme_Grunddaten!$A180="Geprüft",Programme_Grunddaten!AU180&lt;&gt;""),IF(Programme_Grunddaten!AU180="Ja",1,0),"")</f>
        <v/>
      </c>
      <c r="AN175" s="1" t="str">
        <f>IF(AND(Programme_Grunddaten!$A180="Geprüft",Programme_Grunddaten!AV180&lt;&gt;""),IF(Programme_Grunddaten!AV180="Ja",1,0),"")</f>
        <v/>
      </c>
    </row>
    <row r="176" spans="1:40" x14ac:dyDescent="0.3">
      <c r="A176" s="1" t="str">
        <f>IF(AND(Programme_Grunddaten!A181="Geprüft",Programme_Grunddaten!B181&lt;&gt;""),Programme_Grunddaten!B181,"")</f>
        <v/>
      </c>
      <c r="B176" s="1" t="str">
        <f>IF(AND(Programme_Grunddaten!$A181="Geprüft",Programme_Grunddaten!I181&lt;&gt;""),IF(Programme_Grunddaten!I181="Ja",1,0),"")</f>
        <v/>
      </c>
      <c r="C176" s="1" t="str">
        <f>IF(AND(Programme_Grunddaten!$A181="Geprüft",Programme_Grunddaten!J181&lt;&gt;""),IF(Programme_Grunddaten!J181="Ja",1,0),"")</f>
        <v/>
      </c>
      <c r="D176" s="1" t="str">
        <f>IF(AND(Programme_Grunddaten!$A181="Geprüft",Programme_Grunddaten!K181&lt;&gt;""),IF(Programme_Grunddaten!K181="Ja",1,0),"")</f>
        <v/>
      </c>
      <c r="E176" s="1" t="str">
        <f>IF(AND(Programme_Grunddaten!$A181="Geprüft",Programme_Grunddaten!L181&lt;&gt;""),IF(Programme_Grunddaten!L181="Abo / befristete Lizenz",1,0),"")</f>
        <v/>
      </c>
      <c r="F176" s="1" t="str">
        <f>IF(AND(Programme_Grunddaten!$A181="Geprüft",Programme_Grunddaten!M181&lt;&gt;""),IF(Programme_Grunddaten!M181="Ja",1,0),"")</f>
        <v/>
      </c>
      <c r="G176" s="1" t="str">
        <f>IF(AND(Programme_Grunddaten!$A181="Geprüft",Programme_Grunddaten!N181&lt;&gt;""),IF(Programme_Grunddaten!N181="Ja",1,0),"")</f>
        <v/>
      </c>
      <c r="H176" s="1" t="str">
        <f>IF(AND(Programme_Grunddaten!$A181="Geprüft",Programme_Grunddaten!O181&lt;&gt;""),IF(Programme_Grunddaten!O181="Deutschland",0,IF(Programme_Grunddaten!O181="EU",1,2)),"")</f>
        <v/>
      </c>
      <c r="I176" s="1" t="str">
        <f>IF(AND(Programme_Grunddaten!$A181="Geprüft",Programme_Grunddaten!P181&lt;&gt;""),IF(Programme_Grunddaten!P181="Ja",1,0),"")</f>
        <v/>
      </c>
      <c r="J176" s="1" t="str">
        <f>IF(AND(Programme_Grunddaten!$A181="Geprüft",Programme_Grunddaten!Q181&lt;&gt;""),IF(Programme_Grunddaten!Q181="geschlossenes System",1,0),"")</f>
        <v/>
      </c>
      <c r="K176" s="1" t="str">
        <f>IF(AND(Programme_Grunddaten!$A181="Geprüft",Programme_Grunddaten!R181&lt;&gt;""),IF(Programme_Grunddaten!R181="Ja",1,0),"")</f>
        <v/>
      </c>
      <c r="L176" s="1" t="str">
        <f>IF(AND(Programme_Grunddaten!$A181="Geprüft",Programme_Grunddaten!T181&lt;&gt;""),IF(Programme_Grunddaten!T181="Ja",1,0),"")</f>
        <v/>
      </c>
      <c r="M176" s="1" t="str">
        <f>IF(AND(Programme_Grunddaten!$A181="Geprüft",Programme_Grunddaten!U181&lt;&gt;""),IF(Programme_Grunddaten!U181="Ja",1,0),"")</f>
        <v/>
      </c>
      <c r="N176" s="1" t="str">
        <f>IF(AND(Programme_Grunddaten!$A181="Geprüft",Programme_Grunddaten!V181&lt;&gt;""),IF(Programme_Grunddaten!V181="Ja",1,0),"")</f>
        <v/>
      </c>
      <c r="O176" s="1" t="str">
        <f>IF(AND(Programme_Grunddaten!$A181="Geprüft",Programme_Grunddaten!W181&lt;&gt;""),IF(Programme_Grunddaten!W181="Ja",1,0),"")</f>
        <v/>
      </c>
      <c r="P176" s="1" t="str">
        <f>IF(AND(Programme_Grunddaten!$A181="Geprüft",Programme_Grunddaten!X181&lt;&gt;""),IF(Programme_Grunddaten!X181="Ja",1,0),"")</f>
        <v/>
      </c>
      <c r="Q176" s="1" t="str">
        <f>IF(AND(Programme_Grunddaten!$A181="Geprüft",Programme_Grunddaten!Y181&lt;&gt;""),IF(Programme_Grunddaten!Y181="Ja",1,0),"")</f>
        <v/>
      </c>
      <c r="R176" s="1" t="str">
        <f>IF(AND(Programme_Grunddaten!$A181="Geprüft",Programme_Grunddaten!Z181&lt;&gt;""),IF(Programme_Grunddaten!Z181="Ja",1,0),"")</f>
        <v/>
      </c>
      <c r="S176" s="1" t="str">
        <f>IF(AND(Programme_Grunddaten!$A181="Geprüft",Programme_Grunddaten!AA181&lt;&gt;""),IF(Programme_Grunddaten!AA181="monolithisch",1,0),"")</f>
        <v/>
      </c>
      <c r="T176" s="1" t="str">
        <f>IF(AND(Programme_Grunddaten!$A181="Geprüft",Programme_Grunddaten!AB181&lt;&gt;""),IF(Programme_Grunddaten!AB181="Ja",1,0),"")</f>
        <v/>
      </c>
      <c r="U176" s="1" t="str">
        <f>IF(AND(Programme_Grunddaten!$A181="Geprüft",Programme_Grunddaten!AC181&lt;&gt;""),IF(Programme_Grunddaten!AC181="Ja",1,0),"")</f>
        <v/>
      </c>
      <c r="V176" s="1" t="str">
        <f>IF(AND(Programme_Grunddaten!$A181="Geprüft",Programme_Grunddaten!AD181&lt;&gt;""),IF(Programme_Grunddaten!AD181="Ja",1,0),"")</f>
        <v/>
      </c>
      <c r="W176" s="1" t="str">
        <f>IF(AND(Programme_Grunddaten!$A181="Geprüft",Programme_Grunddaten!AE181&lt;&gt;""),IF(Programme_Grunddaten!AE181="Ja",1,0),"")</f>
        <v/>
      </c>
      <c r="X176" s="1" t="str">
        <f>IF(AND(Programme_Grunddaten!$A181="Geprüft",Programme_Grunddaten!AF181&lt;&gt;""),IF(Programme_Grunddaten!AF181="Ja",1,0),"")</f>
        <v/>
      </c>
      <c r="Y176" s="1" t="str">
        <f>IF(AND(Programme_Grunddaten!$A181="Geprüft",Programme_Grunddaten!AG181&lt;&gt;""),IF(Programme_Grunddaten!AG181="Ja",1,0),"")</f>
        <v/>
      </c>
      <c r="Z176" s="1" t="str">
        <f>IF(AND(Programme_Grunddaten!$A181="Geprüft",Programme_Grunddaten!AH181&lt;&gt;""),IF(Programme_Grunddaten!AH181="Ja",1,0),"")</f>
        <v/>
      </c>
      <c r="AA176" s="1" t="str">
        <f>IF(AND(Programme_Grunddaten!$A181="Geprüft",Programme_Grunddaten!AI181&lt;&gt;""),IF(Programme_Grunddaten!AI181="Ja",1,0),"")</f>
        <v/>
      </c>
      <c r="AB176" s="1" t="str">
        <f>IF(AND(Programme_Grunddaten!$A181="Geprüft",Programme_Grunddaten!AJ181&lt;&gt;""),IF(Programme_Grunddaten!AJ181="individuell programmierbar",1,0),"")</f>
        <v/>
      </c>
      <c r="AC176" s="1" t="str">
        <f>IF(AND(Programme_Grunddaten!$A181="Geprüft",Programme_Grunddaten!AK181&lt;&gt;""),IF(Programme_Grunddaten!AK181="Deutsch",0,IF(Programme_Grunddaten!AK181="Deutsch und Englisch",1,2)),"")</f>
        <v/>
      </c>
      <c r="AD176" s="1" t="str">
        <f>IF(AND(Programme_Grunddaten!$A181="Geprüft",Programme_Grunddaten!AL181&lt;&gt;""),IF(Programme_Grunddaten!AL181="Ja",1,0),"")</f>
        <v/>
      </c>
      <c r="AE176" s="1" t="str">
        <f>IF(AND(Programme_Grunddaten!$A181="Geprüft",Programme_Grunddaten!AM181&lt;&gt;""),IF(Programme_Grunddaten!AM181="Ja",1,0),"")</f>
        <v/>
      </c>
      <c r="AF176" s="1" t="str">
        <f>IF(AND(Programme_Grunddaten!$A181="Geprüft",Programme_Grunddaten!AN181&lt;&gt;""),IF(Programme_Grunddaten!AN181="Ja",1,0),"")</f>
        <v/>
      </c>
      <c r="AG176" s="1" t="str">
        <f>IF(AND(Programme_Grunddaten!$A181="Geprüft",Programme_Grunddaten!AO181&lt;&gt;""),IF(Programme_Grunddaten!AO181="Ja",1,0),"")</f>
        <v/>
      </c>
      <c r="AH176" s="1" t="str">
        <f>IF(AND(Programme_Grunddaten!$A181="Geprüft",Programme_Grunddaten!AP181&lt;&gt;""),IF(Programme_Grunddaten!AP181="Ja",1,0),"")</f>
        <v/>
      </c>
      <c r="AI176" s="1" t="str">
        <f>IF(AND(Programme_Grunddaten!$A181="Geprüft",Programme_Grunddaten!AQ181&lt;&gt;""),IF(Programme_Grunddaten!AQ181="Ja",1,0),"")</f>
        <v/>
      </c>
      <c r="AJ176" s="1" t="str">
        <f>IF(AND(Programme_Grunddaten!$A181="Geprüft",Programme_Grunddaten!AR181&lt;&gt;""),IF(Programme_Grunddaten!AR181="Ja",1,0),"")</f>
        <v/>
      </c>
      <c r="AK176" s="1" t="str">
        <f>IF(AND(Programme_Grunddaten!$A181="Geprüft",Programme_Grunddaten!AS181&lt;&gt;""),IF(Programme_Grunddaten!AS181="Ja",1,0),"")</f>
        <v/>
      </c>
      <c r="AL176" s="1" t="str">
        <f>IF(AND(Programme_Grunddaten!$A181="Geprüft",Programme_Grunddaten!AT181&lt;&gt;""),IF(Programme_Grunddaten!AT181="Ja",1,0),"")</f>
        <v/>
      </c>
      <c r="AM176" s="1" t="str">
        <f>IF(AND(Programme_Grunddaten!$A181="Geprüft",Programme_Grunddaten!AU181&lt;&gt;""),IF(Programme_Grunddaten!AU181="Ja",1,0),"")</f>
        <v/>
      </c>
      <c r="AN176" s="1" t="str">
        <f>IF(AND(Programme_Grunddaten!$A181="Geprüft",Programme_Grunddaten!AV181&lt;&gt;""),IF(Programme_Grunddaten!AV181="Ja",1,0),"")</f>
        <v/>
      </c>
    </row>
    <row r="177" spans="1:40" x14ac:dyDescent="0.3">
      <c r="A177" s="1" t="str">
        <f>IF(AND(Programme_Grunddaten!A182="Geprüft",Programme_Grunddaten!B182&lt;&gt;""),Programme_Grunddaten!B182,"")</f>
        <v/>
      </c>
      <c r="B177" s="1" t="str">
        <f>IF(AND(Programme_Grunddaten!$A182="Geprüft",Programme_Grunddaten!I182&lt;&gt;""),IF(Programme_Grunddaten!I182="Ja",1,0),"")</f>
        <v/>
      </c>
      <c r="C177" s="1" t="str">
        <f>IF(AND(Programme_Grunddaten!$A182="Geprüft",Programme_Grunddaten!J182&lt;&gt;""),IF(Programme_Grunddaten!J182="Ja",1,0),"")</f>
        <v/>
      </c>
      <c r="D177" s="1" t="str">
        <f>IF(AND(Programme_Grunddaten!$A182="Geprüft",Programme_Grunddaten!K182&lt;&gt;""),IF(Programme_Grunddaten!K182="Ja",1,0),"")</f>
        <v/>
      </c>
      <c r="E177" s="1" t="str">
        <f>IF(AND(Programme_Grunddaten!$A182="Geprüft",Programme_Grunddaten!L182&lt;&gt;""),IF(Programme_Grunddaten!L182="Abo / befristete Lizenz",1,0),"")</f>
        <v/>
      </c>
      <c r="F177" s="1" t="str">
        <f>IF(AND(Programme_Grunddaten!$A182="Geprüft",Programme_Grunddaten!M182&lt;&gt;""),IF(Programme_Grunddaten!M182="Ja",1,0),"")</f>
        <v/>
      </c>
      <c r="G177" s="1" t="str">
        <f>IF(AND(Programme_Grunddaten!$A182="Geprüft",Programme_Grunddaten!N182&lt;&gt;""),IF(Programme_Grunddaten!N182="Ja",1,0),"")</f>
        <v/>
      </c>
      <c r="H177" s="1" t="str">
        <f>IF(AND(Programme_Grunddaten!$A182="Geprüft",Programme_Grunddaten!O182&lt;&gt;""),IF(Programme_Grunddaten!O182="Deutschland",0,IF(Programme_Grunddaten!O182="EU",1,2)),"")</f>
        <v/>
      </c>
      <c r="I177" s="1" t="str">
        <f>IF(AND(Programme_Grunddaten!$A182="Geprüft",Programme_Grunddaten!P182&lt;&gt;""),IF(Programme_Grunddaten!P182="Ja",1,0),"")</f>
        <v/>
      </c>
      <c r="J177" s="1" t="str">
        <f>IF(AND(Programme_Grunddaten!$A182="Geprüft",Programme_Grunddaten!Q182&lt;&gt;""),IF(Programme_Grunddaten!Q182="geschlossenes System",1,0),"")</f>
        <v/>
      </c>
      <c r="K177" s="1" t="str">
        <f>IF(AND(Programme_Grunddaten!$A182="Geprüft",Programme_Grunddaten!R182&lt;&gt;""),IF(Programme_Grunddaten!R182="Ja",1,0),"")</f>
        <v/>
      </c>
      <c r="L177" s="1" t="str">
        <f>IF(AND(Programme_Grunddaten!$A182="Geprüft",Programme_Grunddaten!T182&lt;&gt;""),IF(Programme_Grunddaten!T182="Ja",1,0),"")</f>
        <v/>
      </c>
      <c r="M177" s="1" t="str">
        <f>IF(AND(Programme_Grunddaten!$A182="Geprüft",Programme_Grunddaten!U182&lt;&gt;""),IF(Programme_Grunddaten!U182="Ja",1,0),"")</f>
        <v/>
      </c>
      <c r="N177" s="1" t="str">
        <f>IF(AND(Programme_Grunddaten!$A182="Geprüft",Programme_Grunddaten!V182&lt;&gt;""),IF(Programme_Grunddaten!V182="Ja",1,0),"")</f>
        <v/>
      </c>
      <c r="O177" s="1" t="str">
        <f>IF(AND(Programme_Grunddaten!$A182="Geprüft",Programme_Grunddaten!W182&lt;&gt;""),IF(Programme_Grunddaten!W182="Ja",1,0),"")</f>
        <v/>
      </c>
      <c r="P177" s="1" t="str">
        <f>IF(AND(Programme_Grunddaten!$A182="Geprüft",Programme_Grunddaten!X182&lt;&gt;""),IF(Programme_Grunddaten!X182="Ja",1,0),"")</f>
        <v/>
      </c>
      <c r="Q177" s="1" t="str">
        <f>IF(AND(Programme_Grunddaten!$A182="Geprüft",Programme_Grunddaten!Y182&lt;&gt;""),IF(Programme_Grunddaten!Y182="Ja",1,0),"")</f>
        <v/>
      </c>
      <c r="R177" s="1" t="str">
        <f>IF(AND(Programme_Grunddaten!$A182="Geprüft",Programme_Grunddaten!Z182&lt;&gt;""),IF(Programme_Grunddaten!Z182="Ja",1,0),"")</f>
        <v/>
      </c>
      <c r="S177" s="1" t="str">
        <f>IF(AND(Programme_Grunddaten!$A182="Geprüft",Programme_Grunddaten!AA182&lt;&gt;""),IF(Programme_Grunddaten!AA182="monolithisch",1,0),"")</f>
        <v/>
      </c>
      <c r="T177" s="1" t="str">
        <f>IF(AND(Programme_Grunddaten!$A182="Geprüft",Programme_Grunddaten!AB182&lt;&gt;""),IF(Programme_Grunddaten!AB182="Ja",1,0),"")</f>
        <v/>
      </c>
      <c r="U177" s="1" t="str">
        <f>IF(AND(Programme_Grunddaten!$A182="Geprüft",Programme_Grunddaten!AC182&lt;&gt;""),IF(Programme_Grunddaten!AC182="Ja",1,0),"")</f>
        <v/>
      </c>
      <c r="V177" s="1" t="str">
        <f>IF(AND(Programme_Grunddaten!$A182="Geprüft",Programme_Grunddaten!AD182&lt;&gt;""),IF(Programme_Grunddaten!AD182="Ja",1,0),"")</f>
        <v/>
      </c>
      <c r="W177" s="1" t="str">
        <f>IF(AND(Programme_Grunddaten!$A182="Geprüft",Programme_Grunddaten!AE182&lt;&gt;""),IF(Programme_Grunddaten!AE182="Ja",1,0),"")</f>
        <v/>
      </c>
      <c r="X177" s="1" t="str">
        <f>IF(AND(Programme_Grunddaten!$A182="Geprüft",Programme_Grunddaten!AF182&lt;&gt;""),IF(Programme_Grunddaten!AF182="Ja",1,0),"")</f>
        <v/>
      </c>
      <c r="Y177" s="1" t="str">
        <f>IF(AND(Programme_Grunddaten!$A182="Geprüft",Programme_Grunddaten!AG182&lt;&gt;""),IF(Programme_Grunddaten!AG182="Ja",1,0),"")</f>
        <v/>
      </c>
      <c r="Z177" s="1" t="str">
        <f>IF(AND(Programme_Grunddaten!$A182="Geprüft",Programme_Grunddaten!AH182&lt;&gt;""),IF(Programme_Grunddaten!AH182="Ja",1,0),"")</f>
        <v/>
      </c>
      <c r="AA177" s="1" t="str">
        <f>IF(AND(Programme_Grunddaten!$A182="Geprüft",Programme_Grunddaten!AI182&lt;&gt;""),IF(Programme_Grunddaten!AI182="Ja",1,0),"")</f>
        <v/>
      </c>
      <c r="AB177" s="1" t="str">
        <f>IF(AND(Programme_Grunddaten!$A182="Geprüft",Programme_Grunddaten!AJ182&lt;&gt;""),IF(Programme_Grunddaten!AJ182="individuell programmierbar",1,0),"")</f>
        <v/>
      </c>
      <c r="AC177" s="1" t="str">
        <f>IF(AND(Programme_Grunddaten!$A182="Geprüft",Programme_Grunddaten!AK182&lt;&gt;""),IF(Programme_Grunddaten!AK182="Deutsch",0,IF(Programme_Grunddaten!AK182="Deutsch und Englisch",1,2)),"")</f>
        <v/>
      </c>
      <c r="AD177" s="1" t="str">
        <f>IF(AND(Programme_Grunddaten!$A182="Geprüft",Programme_Grunddaten!AL182&lt;&gt;""),IF(Programme_Grunddaten!AL182="Ja",1,0),"")</f>
        <v/>
      </c>
      <c r="AE177" s="1" t="str">
        <f>IF(AND(Programme_Grunddaten!$A182="Geprüft",Programme_Grunddaten!AM182&lt;&gt;""),IF(Programme_Grunddaten!AM182="Ja",1,0),"")</f>
        <v/>
      </c>
      <c r="AF177" s="1" t="str">
        <f>IF(AND(Programme_Grunddaten!$A182="Geprüft",Programme_Grunddaten!AN182&lt;&gt;""),IF(Programme_Grunddaten!AN182="Ja",1,0),"")</f>
        <v/>
      </c>
      <c r="AG177" s="1" t="str">
        <f>IF(AND(Programme_Grunddaten!$A182="Geprüft",Programme_Grunddaten!AO182&lt;&gt;""),IF(Programme_Grunddaten!AO182="Ja",1,0),"")</f>
        <v/>
      </c>
      <c r="AH177" s="1" t="str">
        <f>IF(AND(Programme_Grunddaten!$A182="Geprüft",Programme_Grunddaten!AP182&lt;&gt;""),IF(Programme_Grunddaten!AP182="Ja",1,0),"")</f>
        <v/>
      </c>
      <c r="AI177" s="1" t="str">
        <f>IF(AND(Programme_Grunddaten!$A182="Geprüft",Programme_Grunddaten!AQ182&lt;&gt;""),IF(Programme_Grunddaten!AQ182="Ja",1,0),"")</f>
        <v/>
      </c>
      <c r="AJ177" s="1" t="str">
        <f>IF(AND(Programme_Grunddaten!$A182="Geprüft",Programme_Grunddaten!AR182&lt;&gt;""),IF(Programme_Grunddaten!AR182="Ja",1,0),"")</f>
        <v/>
      </c>
      <c r="AK177" s="1" t="str">
        <f>IF(AND(Programme_Grunddaten!$A182="Geprüft",Programme_Grunddaten!AS182&lt;&gt;""),IF(Programme_Grunddaten!AS182="Ja",1,0),"")</f>
        <v/>
      </c>
      <c r="AL177" s="1" t="str">
        <f>IF(AND(Programme_Grunddaten!$A182="Geprüft",Programme_Grunddaten!AT182&lt;&gt;""),IF(Programme_Grunddaten!AT182="Ja",1,0),"")</f>
        <v/>
      </c>
      <c r="AM177" s="1" t="str">
        <f>IF(AND(Programme_Grunddaten!$A182="Geprüft",Programme_Grunddaten!AU182&lt;&gt;""),IF(Programme_Grunddaten!AU182="Ja",1,0),"")</f>
        <v/>
      </c>
      <c r="AN177" s="1" t="str">
        <f>IF(AND(Programme_Grunddaten!$A182="Geprüft",Programme_Grunddaten!AV182&lt;&gt;""),IF(Programme_Grunddaten!AV182="Ja",1,0),"")</f>
        <v/>
      </c>
    </row>
    <row r="178" spans="1:40" x14ac:dyDescent="0.3">
      <c r="A178" s="1" t="str">
        <f>IF(AND(Programme_Grunddaten!A183="Geprüft",Programme_Grunddaten!B183&lt;&gt;""),Programme_Grunddaten!B183,"")</f>
        <v/>
      </c>
      <c r="B178" s="1" t="str">
        <f>IF(AND(Programme_Grunddaten!$A183="Geprüft",Programme_Grunddaten!I183&lt;&gt;""),IF(Programme_Grunddaten!I183="Ja",1,0),"")</f>
        <v/>
      </c>
      <c r="C178" s="1" t="str">
        <f>IF(AND(Programme_Grunddaten!$A183="Geprüft",Programme_Grunddaten!J183&lt;&gt;""),IF(Programme_Grunddaten!J183="Ja",1,0),"")</f>
        <v/>
      </c>
      <c r="D178" s="1" t="str">
        <f>IF(AND(Programme_Grunddaten!$A183="Geprüft",Programme_Grunddaten!K183&lt;&gt;""),IF(Programme_Grunddaten!K183="Ja",1,0),"")</f>
        <v/>
      </c>
      <c r="E178" s="1" t="str">
        <f>IF(AND(Programme_Grunddaten!$A183="Geprüft",Programme_Grunddaten!L183&lt;&gt;""),IF(Programme_Grunddaten!L183="Abo / befristete Lizenz",1,0),"")</f>
        <v/>
      </c>
      <c r="F178" s="1" t="str">
        <f>IF(AND(Programme_Grunddaten!$A183="Geprüft",Programme_Grunddaten!M183&lt;&gt;""),IF(Programme_Grunddaten!M183="Ja",1,0),"")</f>
        <v/>
      </c>
      <c r="G178" s="1" t="str">
        <f>IF(AND(Programme_Grunddaten!$A183="Geprüft",Programme_Grunddaten!N183&lt;&gt;""),IF(Programme_Grunddaten!N183="Ja",1,0),"")</f>
        <v/>
      </c>
      <c r="H178" s="1" t="str">
        <f>IF(AND(Programme_Grunddaten!$A183="Geprüft",Programme_Grunddaten!O183&lt;&gt;""),IF(Programme_Grunddaten!O183="Deutschland",0,IF(Programme_Grunddaten!O183="EU",1,2)),"")</f>
        <v/>
      </c>
      <c r="I178" s="1" t="str">
        <f>IF(AND(Programme_Grunddaten!$A183="Geprüft",Programme_Grunddaten!P183&lt;&gt;""),IF(Programme_Grunddaten!P183="Ja",1,0),"")</f>
        <v/>
      </c>
      <c r="J178" s="1" t="str">
        <f>IF(AND(Programme_Grunddaten!$A183="Geprüft",Programme_Grunddaten!Q183&lt;&gt;""),IF(Programme_Grunddaten!Q183="geschlossenes System",1,0),"")</f>
        <v/>
      </c>
      <c r="K178" s="1" t="str">
        <f>IF(AND(Programme_Grunddaten!$A183="Geprüft",Programme_Grunddaten!R183&lt;&gt;""),IF(Programme_Grunddaten!R183="Ja",1,0),"")</f>
        <v/>
      </c>
      <c r="L178" s="1" t="str">
        <f>IF(AND(Programme_Grunddaten!$A183="Geprüft",Programme_Grunddaten!T183&lt;&gt;""),IF(Programme_Grunddaten!T183="Ja",1,0),"")</f>
        <v/>
      </c>
      <c r="M178" s="1" t="str">
        <f>IF(AND(Programme_Grunddaten!$A183="Geprüft",Programme_Grunddaten!U183&lt;&gt;""),IF(Programme_Grunddaten!U183="Ja",1,0),"")</f>
        <v/>
      </c>
      <c r="N178" s="1" t="str">
        <f>IF(AND(Programme_Grunddaten!$A183="Geprüft",Programme_Grunddaten!V183&lt;&gt;""),IF(Programme_Grunddaten!V183="Ja",1,0),"")</f>
        <v/>
      </c>
      <c r="O178" s="1" t="str">
        <f>IF(AND(Programme_Grunddaten!$A183="Geprüft",Programme_Grunddaten!W183&lt;&gt;""),IF(Programme_Grunddaten!W183="Ja",1,0),"")</f>
        <v/>
      </c>
      <c r="P178" s="1" t="str">
        <f>IF(AND(Programme_Grunddaten!$A183="Geprüft",Programme_Grunddaten!X183&lt;&gt;""),IF(Programme_Grunddaten!X183="Ja",1,0),"")</f>
        <v/>
      </c>
      <c r="Q178" s="1" t="str">
        <f>IF(AND(Programme_Grunddaten!$A183="Geprüft",Programme_Grunddaten!Y183&lt;&gt;""),IF(Programme_Grunddaten!Y183="Ja",1,0),"")</f>
        <v/>
      </c>
      <c r="R178" s="1" t="str">
        <f>IF(AND(Programme_Grunddaten!$A183="Geprüft",Programme_Grunddaten!Z183&lt;&gt;""),IF(Programme_Grunddaten!Z183="Ja",1,0),"")</f>
        <v/>
      </c>
      <c r="S178" s="1" t="str">
        <f>IF(AND(Programme_Grunddaten!$A183="Geprüft",Programme_Grunddaten!AA183&lt;&gt;""),IF(Programme_Grunddaten!AA183="monolithisch",1,0),"")</f>
        <v/>
      </c>
      <c r="T178" s="1" t="str">
        <f>IF(AND(Programme_Grunddaten!$A183="Geprüft",Programme_Grunddaten!AB183&lt;&gt;""),IF(Programme_Grunddaten!AB183="Ja",1,0),"")</f>
        <v/>
      </c>
      <c r="U178" s="1" t="str">
        <f>IF(AND(Programme_Grunddaten!$A183="Geprüft",Programme_Grunddaten!AC183&lt;&gt;""),IF(Programme_Grunddaten!AC183="Ja",1,0),"")</f>
        <v/>
      </c>
      <c r="V178" s="1" t="str">
        <f>IF(AND(Programme_Grunddaten!$A183="Geprüft",Programme_Grunddaten!AD183&lt;&gt;""),IF(Programme_Grunddaten!AD183="Ja",1,0),"")</f>
        <v/>
      </c>
      <c r="W178" s="1" t="str">
        <f>IF(AND(Programme_Grunddaten!$A183="Geprüft",Programme_Grunddaten!AE183&lt;&gt;""),IF(Programme_Grunddaten!AE183="Ja",1,0),"")</f>
        <v/>
      </c>
      <c r="X178" s="1" t="str">
        <f>IF(AND(Programme_Grunddaten!$A183="Geprüft",Programme_Grunddaten!AF183&lt;&gt;""),IF(Programme_Grunddaten!AF183="Ja",1,0),"")</f>
        <v/>
      </c>
      <c r="Y178" s="1" t="str">
        <f>IF(AND(Programme_Grunddaten!$A183="Geprüft",Programme_Grunddaten!AG183&lt;&gt;""),IF(Programme_Grunddaten!AG183="Ja",1,0),"")</f>
        <v/>
      </c>
      <c r="Z178" s="1" t="str">
        <f>IF(AND(Programme_Grunddaten!$A183="Geprüft",Programme_Grunddaten!AH183&lt;&gt;""),IF(Programme_Grunddaten!AH183="Ja",1,0),"")</f>
        <v/>
      </c>
      <c r="AA178" s="1" t="str">
        <f>IF(AND(Programme_Grunddaten!$A183="Geprüft",Programme_Grunddaten!AI183&lt;&gt;""),IF(Programme_Grunddaten!AI183="Ja",1,0),"")</f>
        <v/>
      </c>
      <c r="AB178" s="1" t="str">
        <f>IF(AND(Programme_Grunddaten!$A183="Geprüft",Programme_Grunddaten!AJ183&lt;&gt;""),IF(Programme_Grunddaten!AJ183="individuell programmierbar",1,0),"")</f>
        <v/>
      </c>
      <c r="AC178" s="1" t="str">
        <f>IF(AND(Programme_Grunddaten!$A183="Geprüft",Programme_Grunddaten!AK183&lt;&gt;""),IF(Programme_Grunddaten!AK183="Deutsch",0,IF(Programme_Grunddaten!AK183="Deutsch und Englisch",1,2)),"")</f>
        <v/>
      </c>
      <c r="AD178" s="1" t="str">
        <f>IF(AND(Programme_Grunddaten!$A183="Geprüft",Programme_Grunddaten!AL183&lt;&gt;""),IF(Programme_Grunddaten!AL183="Ja",1,0),"")</f>
        <v/>
      </c>
      <c r="AE178" s="1" t="str">
        <f>IF(AND(Programme_Grunddaten!$A183="Geprüft",Programme_Grunddaten!AM183&lt;&gt;""),IF(Programme_Grunddaten!AM183="Ja",1,0),"")</f>
        <v/>
      </c>
      <c r="AF178" s="1" t="str">
        <f>IF(AND(Programme_Grunddaten!$A183="Geprüft",Programme_Grunddaten!AN183&lt;&gt;""),IF(Programme_Grunddaten!AN183="Ja",1,0),"")</f>
        <v/>
      </c>
      <c r="AG178" s="1" t="str">
        <f>IF(AND(Programme_Grunddaten!$A183="Geprüft",Programme_Grunddaten!AO183&lt;&gt;""),IF(Programme_Grunddaten!AO183="Ja",1,0),"")</f>
        <v/>
      </c>
      <c r="AH178" s="1" t="str">
        <f>IF(AND(Programme_Grunddaten!$A183="Geprüft",Programme_Grunddaten!AP183&lt;&gt;""),IF(Programme_Grunddaten!AP183="Ja",1,0),"")</f>
        <v/>
      </c>
      <c r="AI178" s="1" t="str">
        <f>IF(AND(Programme_Grunddaten!$A183="Geprüft",Programme_Grunddaten!AQ183&lt;&gt;""),IF(Programme_Grunddaten!AQ183="Ja",1,0),"")</f>
        <v/>
      </c>
      <c r="AJ178" s="1" t="str">
        <f>IF(AND(Programme_Grunddaten!$A183="Geprüft",Programme_Grunddaten!AR183&lt;&gt;""),IF(Programme_Grunddaten!AR183="Ja",1,0),"")</f>
        <v/>
      </c>
      <c r="AK178" s="1" t="str">
        <f>IF(AND(Programme_Grunddaten!$A183="Geprüft",Programme_Grunddaten!AS183&lt;&gt;""),IF(Programme_Grunddaten!AS183="Ja",1,0),"")</f>
        <v/>
      </c>
      <c r="AL178" s="1" t="str">
        <f>IF(AND(Programme_Grunddaten!$A183="Geprüft",Programme_Grunddaten!AT183&lt;&gt;""),IF(Programme_Grunddaten!AT183="Ja",1,0),"")</f>
        <v/>
      </c>
      <c r="AM178" s="1" t="str">
        <f>IF(AND(Programme_Grunddaten!$A183="Geprüft",Programme_Grunddaten!AU183&lt;&gt;""),IF(Programme_Grunddaten!AU183="Ja",1,0),"")</f>
        <v/>
      </c>
      <c r="AN178" s="1" t="str">
        <f>IF(AND(Programme_Grunddaten!$A183="Geprüft",Programme_Grunddaten!AV183&lt;&gt;""),IF(Programme_Grunddaten!AV183="Ja",1,0),"")</f>
        <v/>
      </c>
    </row>
    <row r="179" spans="1:40" x14ac:dyDescent="0.3">
      <c r="A179" s="1" t="str">
        <f>IF(AND(Programme_Grunddaten!A184="Geprüft",Programme_Grunddaten!B184&lt;&gt;""),Programme_Grunddaten!B184,"")</f>
        <v/>
      </c>
      <c r="B179" s="1" t="str">
        <f>IF(AND(Programme_Grunddaten!$A184="Geprüft",Programme_Grunddaten!I184&lt;&gt;""),IF(Programme_Grunddaten!I184="Ja",1,0),"")</f>
        <v/>
      </c>
      <c r="C179" s="1" t="str">
        <f>IF(AND(Programme_Grunddaten!$A184="Geprüft",Programme_Grunddaten!J184&lt;&gt;""),IF(Programme_Grunddaten!J184="Ja",1,0),"")</f>
        <v/>
      </c>
      <c r="D179" s="1" t="str">
        <f>IF(AND(Programme_Grunddaten!$A184="Geprüft",Programme_Grunddaten!K184&lt;&gt;""),IF(Programme_Grunddaten!K184="Ja",1,0),"")</f>
        <v/>
      </c>
      <c r="E179" s="1" t="str">
        <f>IF(AND(Programme_Grunddaten!$A184="Geprüft",Programme_Grunddaten!L184&lt;&gt;""),IF(Programme_Grunddaten!L184="Abo / befristete Lizenz",1,0),"")</f>
        <v/>
      </c>
      <c r="F179" s="1" t="str">
        <f>IF(AND(Programme_Grunddaten!$A184="Geprüft",Programme_Grunddaten!M184&lt;&gt;""),IF(Programme_Grunddaten!M184="Ja",1,0),"")</f>
        <v/>
      </c>
      <c r="G179" s="1" t="str">
        <f>IF(AND(Programme_Grunddaten!$A184="Geprüft",Programme_Grunddaten!N184&lt;&gt;""),IF(Programme_Grunddaten!N184="Ja",1,0),"")</f>
        <v/>
      </c>
      <c r="H179" s="1" t="str">
        <f>IF(AND(Programme_Grunddaten!$A184="Geprüft",Programme_Grunddaten!O184&lt;&gt;""),IF(Programme_Grunddaten!O184="Deutschland",0,IF(Programme_Grunddaten!O184="EU",1,2)),"")</f>
        <v/>
      </c>
      <c r="I179" s="1" t="str">
        <f>IF(AND(Programme_Grunddaten!$A184="Geprüft",Programme_Grunddaten!P184&lt;&gt;""),IF(Programme_Grunddaten!P184="Ja",1,0),"")</f>
        <v/>
      </c>
      <c r="J179" s="1" t="str">
        <f>IF(AND(Programme_Grunddaten!$A184="Geprüft",Programme_Grunddaten!Q184&lt;&gt;""),IF(Programme_Grunddaten!Q184="geschlossenes System",1,0),"")</f>
        <v/>
      </c>
      <c r="K179" s="1" t="str">
        <f>IF(AND(Programme_Grunddaten!$A184="Geprüft",Programme_Grunddaten!R184&lt;&gt;""),IF(Programme_Grunddaten!R184="Ja",1,0),"")</f>
        <v/>
      </c>
      <c r="L179" s="1" t="str">
        <f>IF(AND(Programme_Grunddaten!$A184="Geprüft",Programme_Grunddaten!T184&lt;&gt;""),IF(Programme_Grunddaten!T184="Ja",1,0),"")</f>
        <v/>
      </c>
      <c r="M179" s="1" t="str">
        <f>IF(AND(Programme_Grunddaten!$A184="Geprüft",Programme_Grunddaten!U184&lt;&gt;""),IF(Programme_Grunddaten!U184="Ja",1,0),"")</f>
        <v/>
      </c>
      <c r="N179" s="1" t="str">
        <f>IF(AND(Programme_Grunddaten!$A184="Geprüft",Programme_Grunddaten!V184&lt;&gt;""),IF(Programme_Grunddaten!V184="Ja",1,0),"")</f>
        <v/>
      </c>
      <c r="O179" s="1" t="str">
        <f>IF(AND(Programme_Grunddaten!$A184="Geprüft",Programme_Grunddaten!W184&lt;&gt;""),IF(Programme_Grunddaten!W184="Ja",1,0),"")</f>
        <v/>
      </c>
      <c r="P179" s="1" t="str">
        <f>IF(AND(Programme_Grunddaten!$A184="Geprüft",Programme_Grunddaten!X184&lt;&gt;""),IF(Programme_Grunddaten!X184="Ja",1,0),"")</f>
        <v/>
      </c>
      <c r="Q179" s="1" t="str">
        <f>IF(AND(Programme_Grunddaten!$A184="Geprüft",Programme_Grunddaten!Y184&lt;&gt;""),IF(Programme_Grunddaten!Y184="Ja",1,0),"")</f>
        <v/>
      </c>
      <c r="R179" s="1" t="str">
        <f>IF(AND(Programme_Grunddaten!$A184="Geprüft",Programme_Grunddaten!Z184&lt;&gt;""),IF(Programme_Grunddaten!Z184="Ja",1,0),"")</f>
        <v/>
      </c>
      <c r="S179" s="1" t="str">
        <f>IF(AND(Programme_Grunddaten!$A184="Geprüft",Programme_Grunddaten!AA184&lt;&gt;""),IF(Programme_Grunddaten!AA184="monolithisch",1,0),"")</f>
        <v/>
      </c>
      <c r="T179" s="1" t="str">
        <f>IF(AND(Programme_Grunddaten!$A184="Geprüft",Programme_Grunddaten!AB184&lt;&gt;""),IF(Programme_Grunddaten!AB184="Ja",1,0),"")</f>
        <v/>
      </c>
      <c r="U179" s="1" t="str">
        <f>IF(AND(Programme_Grunddaten!$A184="Geprüft",Programme_Grunddaten!AC184&lt;&gt;""),IF(Programme_Grunddaten!AC184="Ja",1,0),"")</f>
        <v/>
      </c>
      <c r="V179" s="1" t="str">
        <f>IF(AND(Programme_Grunddaten!$A184="Geprüft",Programme_Grunddaten!AD184&lt;&gt;""),IF(Programme_Grunddaten!AD184="Ja",1,0),"")</f>
        <v/>
      </c>
      <c r="W179" s="1" t="str">
        <f>IF(AND(Programme_Grunddaten!$A184="Geprüft",Programme_Grunddaten!AE184&lt;&gt;""),IF(Programme_Grunddaten!AE184="Ja",1,0),"")</f>
        <v/>
      </c>
      <c r="X179" s="1" t="str">
        <f>IF(AND(Programme_Grunddaten!$A184="Geprüft",Programme_Grunddaten!AF184&lt;&gt;""),IF(Programme_Grunddaten!AF184="Ja",1,0),"")</f>
        <v/>
      </c>
      <c r="Y179" s="1" t="str">
        <f>IF(AND(Programme_Grunddaten!$A184="Geprüft",Programme_Grunddaten!AG184&lt;&gt;""),IF(Programme_Grunddaten!AG184="Ja",1,0),"")</f>
        <v/>
      </c>
      <c r="Z179" s="1" t="str">
        <f>IF(AND(Programme_Grunddaten!$A184="Geprüft",Programme_Grunddaten!AH184&lt;&gt;""),IF(Programme_Grunddaten!AH184="Ja",1,0),"")</f>
        <v/>
      </c>
      <c r="AA179" s="1" t="str">
        <f>IF(AND(Programme_Grunddaten!$A184="Geprüft",Programme_Grunddaten!AI184&lt;&gt;""),IF(Programme_Grunddaten!AI184="Ja",1,0),"")</f>
        <v/>
      </c>
      <c r="AB179" s="1" t="str">
        <f>IF(AND(Programme_Grunddaten!$A184="Geprüft",Programme_Grunddaten!AJ184&lt;&gt;""),IF(Programme_Grunddaten!AJ184="individuell programmierbar",1,0),"")</f>
        <v/>
      </c>
      <c r="AC179" s="1" t="str">
        <f>IF(AND(Programme_Grunddaten!$A184="Geprüft",Programme_Grunddaten!AK184&lt;&gt;""),IF(Programme_Grunddaten!AK184="Deutsch",0,IF(Programme_Grunddaten!AK184="Deutsch und Englisch",1,2)),"")</f>
        <v/>
      </c>
      <c r="AD179" s="1" t="str">
        <f>IF(AND(Programme_Grunddaten!$A184="Geprüft",Programme_Grunddaten!AL184&lt;&gt;""),IF(Programme_Grunddaten!AL184="Ja",1,0),"")</f>
        <v/>
      </c>
      <c r="AE179" s="1" t="str">
        <f>IF(AND(Programme_Grunddaten!$A184="Geprüft",Programme_Grunddaten!AM184&lt;&gt;""),IF(Programme_Grunddaten!AM184="Ja",1,0),"")</f>
        <v/>
      </c>
      <c r="AF179" s="1" t="str">
        <f>IF(AND(Programme_Grunddaten!$A184="Geprüft",Programme_Grunddaten!AN184&lt;&gt;""),IF(Programme_Grunddaten!AN184="Ja",1,0),"")</f>
        <v/>
      </c>
      <c r="AG179" s="1" t="str">
        <f>IF(AND(Programme_Grunddaten!$A184="Geprüft",Programme_Grunddaten!AO184&lt;&gt;""),IF(Programme_Grunddaten!AO184="Ja",1,0),"")</f>
        <v/>
      </c>
      <c r="AH179" s="1" t="str">
        <f>IF(AND(Programme_Grunddaten!$A184="Geprüft",Programme_Grunddaten!AP184&lt;&gt;""),IF(Programme_Grunddaten!AP184="Ja",1,0),"")</f>
        <v/>
      </c>
      <c r="AI179" s="1" t="str">
        <f>IF(AND(Programme_Grunddaten!$A184="Geprüft",Programme_Grunddaten!AQ184&lt;&gt;""),IF(Programme_Grunddaten!AQ184="Ja",1,0),"")</f>
        <v/>
      </c>
      <c r="AJ179" s="1" t="str">
        <f>IF(AND(Programme_Grunddaten!$A184="Geprüft",Programme_Grunddaten!AR184&lt;&gt;""),IF(Programme_Grunddaten!AR184="Ja",1,0),"")</f>
        <v/>
      </c>
      <c r="AK179" s="1" t="str">
        <f>IF(AND(Programme_Grunddaten!$A184="Geprüft",Programme_Grunddaten!AS184&lt;&gt;""),IF(Programme_Grunddaten!AS184="Ja",1,0),"")</f>
        <v/>
      </c>
      <c r="AL179" s="1" t="str">
        <f>IF(AND(Programme_Grunddaten!$A184="Geprüft",Programme_Grunddaten!AT184&lt;&gt;""),IF(Programme_Grunddaten!AT184="Ja",1,0),"")</f>
        <v/>
      </c>
      <c r="AM179" s="1" t="str">
        <f>IF(AND(Programme_Grunddaten!$A184="Geprüft",Programme_Grunddaten!AU184&lt;&gt;""),IF(Programme_Grunddaten!AU184="Ja",1,0),"")</f>
        <v/>
      </c>
      <c r="AN179" s="1" t="str">
        <f>IF(AND(Programme_Grunddaten!$A184="Geprüft",Programme_Grunddaten!AV184&lt;&gt;""),IF(Programme_Grunddaten!AV184="Ja",1,0),"")</f>
        <v/>
      </c>
    </row>
    <row r="180" spans="1:40" x14ac:dyDescent="0.3">
      <c r="A180" s="1" t="str">
        <f>IF(AND(Programme_Grunddaten!A185="Geprüft",Programme_Grunddaten!B185&lt;&gt;""),Programme_Grunddaten!B185,"")</f>
        <v/>
      </c>
      <c r="B180" s="1" t="str">
        <f>IF(AND(Programme_Grunddaten!$A185="Geprüft",Programme_Grunddaten!I185&lt;&gt;""),IF(Programme_Grunddaten!I185="Ja",1,0),"")</f>
        <v/>
      </c>
      <c r="C180" s="1" t="str">
        <f>IF(AND(Programme_Grunddaten!$A185="Geprüft",Programme_Grunddaten!J185&lt;&gt;""),IF(Programme_Grunddaten!J185="Ja",1,0),"")</f>
        <v/>
      </c>
      <c r="D180" s="1" t="str">
        <f>IF(AND(Programme_Grunddaten!$A185="Geprüft",Programme_Grunddaten!K185&lt;&gt;""),IF(Programme_Grunddaten!K185="Ja",1,0),"")</f>
        <v/>
      </c>
      <c r="E180" s="1" t="str">
        <f>IF(AND(Programme_Grunddaten!$A185="Geprüft",Programme_Grunddaten!L185&lt;&gt;""),IF(Programme_Grunddaten!L185="Abo / befristete Lizenz",1,0),"")</f>
        <v/>
      </c>
      <c r="F180" s="1" t="str">
        <f>IF(AND(Programme_Grunddaten!$A185="Geprüft",Programme_Grunddaten!M185&lt;&gt;""),IF(Programme_Grunddaten!M185="Ja",1,0),"")</f>
        <v/>
      </c>
      <c r="G180" s="1" t="str">
        <f>IF(AND(Programme_Grunddaten!$A185="Geprüft",Programme_Grunddaten!N185&lt;&gt;""),IF(Programme_Grunddaten!N185="Ja",1,0),"")</f>
        <v/>
      </c>
      <c r="H180" s="1" t="str">
        <f>IF(AND(Programme_Grunddaten!$A185="Geprüft",Programme_Grunddaten!O185&lt;&gt;""),IF(Programme_Grunddaten!O185="Deutschland",0,IF(Programme_Grunddaten!O185="EU",1,2)),"")</f>
        <v/>
      </c>
      <c r="I180" s="1" t="str">
        <f>IF(AND(Programme_Grunddaten!$A185="Geprüft",Programme_Grunddaten!P185&lt;&gt;""),IF(Programme_Grunddaten!P185="Ja",1,0),"")</f>
        <v/>
      </c>
      <c r="J180" s="1" t="str">
        <f>IF(AND(Programme_Grunddaten!$A185="Geprüft",Programme_Grunddaten!Q185&lt;&gt;""),IF(Programme_Grunddaten!Q185="geschlossenes System",1,0),"")</f>
        <v/>
      </c>
      <c r="K180" s="1" t="str">
        <f>IF(AND(Programme_Grunddaten!$A185="Geprüft",Programme_Grunddaten!R185&lt;&gt;""),IF(Programme_Grunddaten!R185="Ja",1,0),"")</f>
        <v/>
      </c>
      <c r="L180" s="1" t="str">
        <f>IF(AND(Programme_Grunddaten!$A185="Geprüft",Programme_Grunddaten!T185&lt;&gt;""),IF(Programme_Grunddaten!T185="Ja",1,0),"")</f>
        <v/>
      </c>
      <c r="M180" s="1" t="str">
        <f>IF(AND(Programme_Grunddaten!$A185="Geprüft",Programme_Grunddaten!U185&lt;&gt;""),IF(Programme_Grunddaten!U185="Ja",1,0),"")</f>
        <v/>
      </c>
      <c r="N180" s="1" t="str">
        <f>IF(AND(Programme_Grunddaten!$A185="Geprüft",Programme_Grunddaten!V185&lt;&gt;""),IF(Programme_Grunddaten!V185="Ja",1,0),"")</f>
        <v/>
      </c>
      <c r="O180" s="1" t="str">
        <f>IF(AND(Programme_Grunddaten!$A185="Geprüft",Programme_Grunddaten!W185&lt;&gt;""),IF(Programme_Grunddaten!W185="Ja",1,0),"")</f>
        <v/>
      </c>
      <c r="P180" s="1" t="str">
        <f>IF(AND(Programme_Grunddaten!$A185="Geprüft",Programme_Grunddaten!X185&lt;&gt;""),IF(Programme_Grunddaten!X185="Ja",1,0),"")</f>
        <v/>
      </c>
      <c r="Q180" s="1" t="str">
        <f>IF(AND(Programme_Grunddaten!$A185="Geprüft",Programme_Grunddaten!Y185&lt;&gt;""),IF(Programme_Grunddaten!Y185="Ja",1,0),"")</f>
        <v/>
      </c>
      <c r="R180" s="1" t="str">
        <f>IF(AND(Programme_Grunddaten!$A185="Geprüft",Programme_Grunddaten!Z185&lt;&gt;""),IF(Programme_Grunddaten!Z185="Ja",1,0),"")</f>
        <v/>
      </c>
      <c r="S180" s="1" t="str">
        <f>IF(AND(Programme_Grunddaten!$A185="Geprüft",Programme_Grunddaten!AA185&lt;&gt;""),IF(Programme_Grunddaten!AA185="monolithisch",1,0),"")</f>
        <v/>
      </c>
      <c r="T180" s="1" t="str">
        <f>IF(AND(Programme_Grunddaten!$A185="Geprüft",Programme_Grunddaten!AB185&lt;&gt;""),IF(Programme_Grunddaten!AB185="Ja",1,0),"")</f>
        <v/>
      </c>
      <c r="U180" s="1" t="str">
        <f>IF(AND(Programme_Grunddaten!$A185="Geprüft",Programme_Grunddaten!AC185&lt;&gt;""),IF(Programme_Grunddaten!AC185="Ja",1,0),"")</f>
        <v/>
      </c>
      <c r="V180" s="1" t="str">
        <f>IF(AND(Programme_Grunddaten!$A185="Geprüft",Programme_Grunddaten!AD185&lt;&gt;""),IF(Programme_Grunddaten!AD185="Ja",1,0),"")</f>
        <v/>
      </c>
      <c r="W180" s="1" t="str">
        <f>IF(AND(Programme_Grunddaten!$A185="Geprüft",Programme_Grunddaten!AE185&lt;&gt;""),IF(Programme_Grunddaten!AE185="Ja",1,0),"")</f>
        <v/>
      </c>
      <c r="X180" s="1" t="str">
        <f>IF(AND(Programme_Grunddaten!$A185="Geprüft",Programme_Grunddaten!AF185&lt;&gt;""),IF(Programme_Grunddaten!AF185="Ja",1,0),"")</f>
        <v/>
      </c>
      <c r="Y180" s="1" t="str">
        <f>IF(AND(Programme_Grunddaten!$A185="Geprüft",Programme_Grunddaten!AG185&lt;&gt;""),IF(Programme_Grunddaten!AG185="Ja",1,0),"")</f>
        <v/>
      </c>
      <c r="Z180" s="1" t="str">
        <f>IF(AND(Programme_Grunddaten!$A185="Geprüft",Programme_Grunddaten!AH185&lt;&gt;""),IF(Programme_Grunddaten!AH185="Ja",1,0),"")</f>
        <v/>
      </c>
      <c r="AA180" s="1" t="str">
        <f>IF(AND(Programme_Grunddaten!$A185="Geprüft",Programme_Grunddaten!AI185&lt;&gt;""),IF(Programme_Grunddaten!AI185="Ja",1,0),"")</f>
        <v/>
      </c>
      <c r="AB180" s="1" t="str">
        <f>IF(AND(Programme_Grunddaten!$A185="Geprüft",Programme_Grunddaten!AJ185&lt;&gt;""),IF(Programme_Grunddaten!AJ185="individuell programmierbar",1,0),"")</f>
        <v/>
      </c>
      <c r="AC180" s="1" t="str">
        <f>IF(AND(Programme_Grunddaten!$A185="Geprüft",Programme_Grunddaten!AK185&lt;&gt;""),IF(Programme_Grunddaten!AK185="Deutsch",0,IF(Programme_Grunddaten!AK185="Deutsch und Englisch",1,2)),"")</f>
        <v/>
      </c>
      <c r="AD180" s="1" t="str">
        <f>IF(AND(Programme_Grunddaten!$A185="Geprüft",Programme_Grunddaten!AL185&lt;&gt;""),IF(Programme_Grunddaten!AL185="Ja",1,0),"")</f>
        <v/>
      </c>
      <c r="AE180" s="1" t="str">
        <f>IF(AND(Programme_Grunddaten!$A185="Geprüft",Programme_Grunddaten!AM185&lt;&gt;""),IF(Programme_Grunddaten!AM185="Ja",1,0),"")</f>
        <v/>
      </c>
      <c r="AF180" s="1" t="str">
        <f>IF(AND(Programme_Grunddaten!$A185="Geprüft",Programme_Grunddaten!AN185&lt;&gt;""),IF(Programme_Grunddaten!AN185="Ja",1,0),"")</f>
        <v/>
      </c>
      <c r="AG180" s="1" t="str">
        <f>IF(AND(Programme_Grunddaten!$A185="Geprüft",Programme_Grunddaten!AO185&lt;&gt;""),IF(Programme_Grunddaten!AO185="Ja",1,0),"")</f>
        <v/>
      </c>
      <c r="AH180" s="1" t="str">
        <f>IF(AND(Programme_Grunddaten!$A185="Geprüft",Programme_Grunddaten!AP185&lt;&gt;""),IF(Programme_Grunddaten!AP185="Ja",1,0),"")</f>
        <v/>
      </c>
      <c r="AI180" s="1" t="str">
        <f>IF(AND(Programme_Grunddaten!$A185="Geprüft",Programme_Grunddaten!AQ185&lt;&gt;""),IF(Programme_Grunddaten!AQ185="Ja",1,0),"")</f>
        <v/>
      </c>
      <c r="AJ180" s="1" t="str">
        <f>IF(AND(Programme_Grunddaten!$A185="Geprüft",Programme_Grunddaten!AR185&lt;&gt;""),IF(Programme_Grunddaten!AR185="Ja",1,0),"")</f>
        <v/>
      </c>
      <c r="AK180" s="1" t="str">
        <f>IF(AND(Programme_Grunddaten!$A185="Geprüft",Programme_Grunddaten!AS185&lt;&gt;""),IF(Programme_Grunddaten!AS185="Ja",1,0),"")</f>
        <v/>
      </c>
      <c r="AL180" s="1" t="str">
        <f>IF(AND(Programme_Grunddaten!$A185="Geprüft",Programme_Grunddaten!AT185&lt;&gt;""),IF(Programme_Grunddaten!AT185="Ja",1,0),"")</f>
        <v/>
      </c>
      <c r="AM180" s="1" t="str">
        <f>IF(AND(Programme_Grunddaten!$A185="Geprüft",Programme_Grunddaten!AU185&lt;&gt;""),IF(Programme_Grunddaten!AU185="Ja",1,0),"")</f>
        <v/>
      </c>
      <c r="AN180" s="1" t="str">
        <f>IF(AND(Programme_Grunddaten!$A185="Geprüft",Programme_Grunddaten!AV185&lt;&gt;""),IF(Programme_Grunddaten!AV185="Ja",1,0),"")</f>
        <v/>
      </c>
    </row>
    <row r="181" spans="1:40" x14ac:dyDescent="0.3">
      <c r="A181" s="1" t="str">
        <f>IF(AND(Programme_Grunddaten!A186="Geprüft",Programme_Grunddaten!B186&lt;&gt;""),Programme_Grunddaten!B186,"")</f>
        <v/>
      </c>
      <c r="B181" s="1" t="str">
        <f>IF(AND(Programme_Grunddaten!$A186="Geprüft",Programme_Grunddaten!I186&lt;&gt;""),IF(Programme_Grunddaten!I186="Ja",1,0),"")</f>
        <v/>
      </c>
      <c r="C181" s="1" t="str">
        <f>IF(AND(Programme_Grunddaten!$A186="Geprüft",Programme_Grunddaten!J186&lt;&gt;""),IF(Programme_Grunddaten!J186="Ja",1,0),"")</f>
        <v/>
      </c>
      <c r="D181" s="1" t="str">
        <f>IF(AND(Programme_Grunddaten!$A186="Geprüft",Programme_Grunddaten!K186&lt;&gt;""),IF(Programme_Grunddaten!K186="Ja",1,0),"")</f>
        <v/>
      </c>
      <c r="E181" s="1" t="str">
        <f>IF(AND(Programme_Grunddaten!$A186="Geprüft",Programme_Grunddaten!L186&lt;&gt;""),IF(Programme_Grunddaten!L186="Abo / befristete Lizenz",1,0),"")</f>
        <v/>
      </c>
      <c r="F181" s="1" t="str">
        <f>IF(AND(Programme_Grunddaten!$A186="Geprüft",Programme_Grunddaten!M186&lt;&gt;""),IF(Programme_Grunddaten!M186="Ja",1,0),"")</f>
        <v/>
      </c>
      <c r="G181" s="1" t="str">
        <f>IF(AND(Programme_Grunddaten!$A186="Geprüft",Programme_Grunddaten!N186&lt;&gt;""),IF(Programme_Grunddaten!N186="Ja",1,0),"")</f>
        <v/>
      </c>
      <c r="H181" s="1" t="str">
        <f>IF(AND(Programme_Grunddaten!$A186="Geprüft",Programme_Grunddaten!O186&lt;&gt;""),IF(Programme_Grunddaten!O186="Deutschland",0,IF(Programme_Grunddaten!O186="EU",1,2)),"")</f>
        <v/>
      </c>
      <c r="I181" s="1" t="str">
        <f>IF(AND(Programme_Grunddaten!$A186="Geprüft",Programme_Grunddaten!P186&lt;&gt;""),IF(Programme_Grunddaten!P186="Ja",1,0),"")</f>
        <v/>
      </c>
      <c r="J181" s="1" t="str">
        <f>IF(AND(Programme_Grunddaten!$A186="Geprüft",Programme_Grunddaten!Q186&lt;&gt;""),IF(Programme_Grunddaten!Q186="geschlossenes System",1,0),"")</f>
        <v/>
      </c>
      <c r="K181" s="1" t="str">
        <f>IF(AND(Programme_Grunddaten!$A186="Geprüft",Programme_Grunddaten!R186&lt;&gt;""),IF(Programme_Grunddaten!R186="Ja",1,0),"")</f>
        <v/>
      </c>
      <c r="L181" s="1" t="str">
        <f>IF(AND(Programme_Grunddaten!$A186="Geprüft",Programme_Grunddaten!T186&lt;&gt;""),IF(Programme_Grunddaten!T186="Ja",1,0),"")</f>
        <v/>
      </c>
      <c r="M181" s="1" t="str">
        <f>IF(AND(Programme_Grunddaten!$A186="Geprüft",Programme_Grunddaten!U186&lt;&gt;""),IF(Programme_Grunddaten!U186="Ja",1,0),"")</f>
        <v/>
      </c>
      <c r="N181" s="1" t="str">
        <f>IF(AND(Programme_Grunddaten!$A186="Geprüft",Programme_Grunddaten!V186&lt;&gt;""),IF(Programme_Grunddaten!V186="Ja",1,0),"")</f>
        <v/>
      </c>
      <c r="O181" s="1" t="str">
        <f>IF(AND(Programme_Grunddaten!$A186="Geprüft",Programme_Grunddaten!W186&lt;&gt;""),IF(Programme_Grunddaten!W186="Ja",1,0),"")</f>
        <v/>
      </c>
      <c r="P181" s="1" t="str">
        <f>IF(AND(Programme_Grunddaten!$A186="Geprüft",Programme_Grunddaten!X186&lt;&gt;""),IF(Programme_Grunddaten!X186="Ja",1,0),"")</f>
        <v/>
      </c>
      <c r="Q181" s="1" t="str">
        <f>IF(AND(Programme_Grunddaten!$A186="Geprüft",Programme_Grunddaten!Y186&lt;&gt;""),IF(Programme_Grunddaten!Y186="Ja",1,0),"")</f>
        <v/>
      </c>
      <c r="R181" s="1" t="str">
        <f>IF(AND(Programme_Grunddaten!$A186="Geprüft",Programme_Grunddaten!Z186&lt;&gt;""),IF(Programme_Grunddaten!Z186="Ja",1,0),"")</f>
        <v/>
      </c>
      <c r="S181" s="1" t="str">
        <f>IF(AND(Programme_Grunddaten!$A186="Geprüft",Programme_Grunddaten!AA186&lt;&gt;""),IF(Programme_Grunddaten!AA186="monolithisch",1,0),"")</f>
        <v/>
      </c>
      <c r="T181" s="1" t="str">
        <f>IF(AND(Programme_Grunddaten!$A186="Geprüft",Programme_Grunddaten!AB186&lt;&gt;""),IF(Programme_Grunddaten!AB186="Ja",1,0),"")</f>
        <v/>
      </c>
      <c r="U181" s="1" t="str">
        <f>IF(AND(Programme_Grunddaten!$A186="Geprüft",Programme_Grunddaten!AC186&lt;&gt;""),IF(Programme_Grunddaten!AC186="Ja",1,0),"")</f>
        <v/>
      </c>
      <c r="V181" s="1" t="str">
        <f>IF(AND(Programme_Grunddaten!$A186="Geprüft",Programme_Grunddaten!AD186&lt;&gt;""),IF(Programme_Grunddaten!AD186="Ja",1,0),"")</f>
        <v/>
      </c>
      <c r="W181" s="1" t="str">
        <f>IF(AND(Programme_Grunddaten!$A186="Geprüft",Programme_Grunddaten!AE186&lt;&gt;""),IF(Programme_Grunddaten!AE186="Ja",1,0),"")</f>
        <v/>
      </c>
      <c r="X181" s="1" t="str">
        <f>IF(AND(Programme_Grunddaten!$A186="Geprüft",Programme_Grunddaten!AF186&lt;&gt;""),IF(Programme_Grunddaten!AF186="Ja",1,0),"")</f>
        <v/>
      </c>
      <c r="Y181" s="1" t="str">
        <f>IF(AND(Programme_Grunddaten!$A186="Geprüft",Programme_Grunddaten!AG186&lt;&gt;""),IF(Programme_Grunddaten!AG186="Ja",1,0),"")</f>
        <v/>
      </c>
      <c r="Z181" s="1" t="str">
        <f>IF(AND(Programme_Grunddaten!$A186="Geprüft",Programme_Grunddaten!AH186&lt;&gt;""),IF(Programme_Grunddaten!AH186="Ja",1,0),"")</f>
        <v/>
      </c>
      <c r="AA181" s="1" t="str">
        <f>IF(AND(Programme_Grunddaten!$A186="Geprüft",Programme_Grunddaten!AI186&lt;&gt;""),IF(Programme_Grunddaten!AI186="Ja",1,0),"")</f>
        <v/>
      </c>
      <c r="AB181" s="1" t="str">
        <f>IF(AND(Programme_Grunddaten!$A186="Geprüft",Programme_Grunddaten!AJ186&lt;&gt;""),IF(Programme_Grunddaten!AJ186="individuell programmierbar",1,0),"")</f>
        <v/>
      </c>
      <c r="AC181" s="1" t="str">
        <f>IF(AND(Programme_Grunddaten!$A186="Geprüft",Programme_Grunddaten!AK186&lt;&gt;""),IF(Programme_Grunddaten!AK186="Deutsch",0,IF(Programme_Grunddaten!AK186="Deutsch und Englisch",1,2)),"")</f>
        <v/>
      </c>
      <c r="AD181" s="1" t="str">
        <f>IF(AND(Programme_Grunddaten!$A186="Geprüft",Programme_Grunddaten!AL186&lt;&gt;""),IF(Programme_Grunddaten!AL186="Ja",1,0),"")</f>
        <v/>
      </c>
      <c r="AE181" s="1" t="str">
        <f>IF(AND(Programme_Grunddaten!$A186="Geprüft",Programme_Grunddaten!AM186&lt;&gt;""),IF(Programme_Grunddaten!AM186="Ja",1,0),"")</f>
        <v/>
      </c>
      <c r="AF181" s="1" t="str">
        <f>IF(AND(Programme_Grunddaten!$A186="Geprüft",Programme_Grunddaten!AN186&lt;&gt;""),IF(Programme_Grunddaten!AN186="Ja",1,0),"")</f>
        <v/>
      </c>
      <c r="AG181" s="1" t="str">
        <f>IF(AND(Programme_Grunddaten!$A186="Geprüft",Programme_Grunddaten!AO186&lt;&gt;""),IF(Programme_Grunddaten!AO186="Ja",1,0),"")</f>
        <v/>
      </c>
      <c r="AH181" s="1" t="str">
        <f>IF(AND(Programme_Grunddaten!$A186="Geprüft",Programme_Grunddaten!AP186&lt;&gt;""),IF(Programme_Grunddaten!AP186="Ja",1,0),"")</f>
        <v/>
      </c>
      <c r="AI181" s="1" t="str">
        <f>IF(AND(Programme_Grunddaten!$A186="Geprüft",Programme_Grunddaten!AQ186&lt;&gt;""),IF(Programme_Grunddaten!AQ186="Ja",1,0),"")</f>
        <v/>
      </c>
      <c r="AJ181" s="1" t="str">
        <f>IF(AND(Programme_Grunddaten!$A186="Geprüft",Programme_Grunddaten!AR186&lt;&gt;""),IF(Programme_Grunddaten!AR186="Ja",1,0),"")</f>
        <v/>
      </c>
      <c r="AK181" s="1" t="str">
        <f>IF(AND(Programme_Grunddaten!$A186="Geprüft",Programme_Grunddaten!AS186&lt;&gt;""),IF(Programme_Grunddaten!AS186="Ja",1,0),"")</f>
        <v/>
      </c>
      <c r="AL181" s="1" t="str">
        <f>IF(AND(Programme_Grunddaten!$A186="Geprüft",Programme_Grunddaten!AT186&lt;&gt;""),IF(Programme_Grunddaten!AT186="Ja",1,0),"")</f>
        <v/>
      </c>
      <c r="AM181" s="1" t="str">
        <f>IF(AND(Programme_Grunddaten!$A186="Geprüft",Programme_Grunddaten!AU186&lt;&gt;""),IF(Programme_Grunddaten!AU186="Ja",1,0),"")</f>
        <v/>
      </c>
      <c r="AN181" s="1" t="str">
        <f>IF(AND(Programme_Grunddaten!$A186="Geprüft",Programme_Grunddaten!AV186&lt;&gt;""),IF(Programme_Grunddaten!AV186="Ja",1,0),"")</f>
        <v/>
      </c>
    </row>
    <row r="182" spans="1:40" x14ac:dyDescent="0.3">
      <c r="A182" s="1" t="str">
        <f>IF(AND(Programme_Grunddaten!A187="Geprüft",Programme_Grunddaten!B187&lt;&gt;""),Programme_Grunddaten!B187,"")</f>
        <v/>
      </c>
      <c r="B182" s="1" t="str">
        <f>IF(AND(Programme_Grunddaten!$A187="Geprüft",Programme_Grunddaten!I187&lt;&gt;""),IF(Programme_Grunddaten!I187="Ja",1,0),"")</f>
        <v/>
      </c>
      <c r="C182" s="1" t="str">
        <f>IF(AND(Programme_Grunddaten!$A187="Geprüft",Programme_Grunddaten!J187&lt;&gt;""),IF(Programme_Grunddaten!J187="Ja",1,0),"")</f>
        <v/>
      </c>
      <c r="D182" s="1" t="str">
        <f>IF(AND(Programme_Grunddaten!$A187="Geprüft",Programme_Grunddaten!K187&lt;&gt;""),IF(Programme_Grunddaten!K187="Ja",1,0),"")</f>
        <v/>
      </c>
      <c r="E182" s="1" t="str">
        <f>IF(AND(Programme_Grunddaten!$A187="Geprüft",Programme_Grunddaten!L187&lt;&gt;""),IF(Programme_Grunddaten!L187="Abo / befristete Lizenz",1,0),"")</f>
        <v/>
      </c>
      <c r="F182" s="1" t="str">
        <f>IF(AND(Programme_Grunddaten!$A187="Geprüft",Programme_Grunddaten!M187&lt;&gt;""),IF(Programme_Grunddaten!M187="Ja",1,0),"")</f>
        <v/>
      </c>
      <c r="G182" s="1" t="str">
        <f>IF(AND(Programme_Grunddaten!$A187="Geprüft",Programme_Grunddaten!N187&lt;&gt;""),IF(Programme_Grunddaten!N187="Ja",1,0),"")</f>
        <v/>
      </c>
      <c r="H182" s="1" t="str">
        <f>IF(AND(Programme_Grunddaten!$A187="Geprüft",Programme_Grunddaten!O187&lt;&gt;""),IF(Programme_Grunddaten!O187="Deutschland",0,IF(Programme_Grunddaten!O187="EU",1,2)),"")</f>
        <v/>
      </c>
      <c r="I182" s="1" t="str">
        <f>IF(AND(Programme_Grunddaten!$A187="Geprüft",Programme_Grunddaten!P187&lt;&gt;""),IF(Programme_Grunddaten!P187="Ja",1,0),"")</f>
        <v/>
      </c>
      <c r="J182" s="1" t="str">
        <f>IF(AND(Programme_Grunddaten!$A187="Geprüft",Programme_Grunddaten!Q187&lt;&gt;""),IF(Programme_Grunddaten!Q187="geschlossenes System",1,0),"")</f>
        <v/>
      </c>
      <c r="K182" s="1" t="str">
        <f>IF(AND(Programme_Grunddaten!$A187="Geprüft",Programme_Grunddaten!R187&lt;&gt;""),IF(Programme_Grunddaten!R187="Ja",1,0),"")</f>
        <v/>
      </c>
      <c r="L182" s="1" t="str">
        <f>IF(AND(Programme_Grunddaten!$A187="Geprüft",Programme_Grunddaten!T187&lt;&gt;""),IF(Programme_Grunddaten!T187="Ja",1,0),"")</f>
        <v/>
      </c>
      <c r="M182" s="1" t="str">
        <f>IF(AND(Programme_Grunddaten!$A187="Geprüft",Programme_Grunddaten!U187&lt;&gt;""),IF(Programme_Grunddaten!U187="Ja",1,0),"")</f>
        <v/>
      </c>
      <c r="N182" s="1" t="str">
        <f>IF(AND(Programme_Grunddaten!$A187="Geprüft",Programme_Grunddaten!V187&lt;&gt;""),IF(Programme_Grunddaten!V187="Ja",1,0),"")</f>
        <v/>
      </c>
      <c r="O182" s="1" t="str">
        <f>IF(AND(Programme_Grunddaten!$A187="Geprüft",Programme_Grunddaten!W187&lt;&gt;""),IF(Programme_Grunddaten!W187="Ja",1,0),"")</f>
        <v/>
      </c>
      <c r="P182" s="1" t="str">
        <f>IF(AND(Programme_Grunddaten!$A187="Geprüft",Programme_Grunddaten!X187&lt;&gt;""),IF(Programme_Grunddaten!X187="Ja",1,0),"")</f>
        <v/>
      </c>
      <c r="Q182" s="1" t="str">
        <f>IF(AND(Programme_Grunddaten!$A187="Geprüft",Programme_Grunddaten!Y187&lt;&gt;""),IF(Programme_Grunddaten!Y187="Ja",1,0),"")</f>
        <v/>
      </c>
      <c r="R182" s="1" t="str">
        <f>IF(AND(Programme_Grunddaten!$A187="Geprüft",Programme_Grunddaten!Z187&lt;&gt;""),IF(Programme_Grunddaten!Z187="Ja",1,0),"")</f>
        <v/>
      </c>
      <c r="S182" s="1" t="str">
        <f>IF(AND(Programme_Grunddaten!$A187="Geprüft",Programme_Grunddaten!AA187&lt;&gt;""),IF(Programme_Grunddaten!AA187="monolithisch",1,0),"")</f>
        <v/>
      </c>
      <c r="T182" s="1" t="str">
        <f>IF(AND(Programme_Grunddaten!$A187="Geprüft",Programme_Grunddaten!AB187&lt;&gt;""),IF(Programme_Grunddaten!AB187="Ja",1,0),"")</f>
        <v/>
      </c>
      <c r="U182" s="1" t="str">
        <f>IF(AND(Programme_Grunddaten!$A187="Geprüft",Programme_Grunddaten!AC187&lt;&gt;""),IF(Programme_Grunddaten!AC187="Ja",1,0),"")</f>
        <v/>
      </c>
      <c r="V182" s="1" t="str">
        <f>IF(AND(Programme_Grunddaten!$A187="Geprüft",Programme_Grunddaten!AD187&lt;&gt;""),IF(Programme_Grunddaten!AD187="Ja",1,0),"")</f>
        <v/>
      </c>
      <c r="W182" s="1" t="str">
        <f>IF(AND(Programme_Grunddaten!$A187="Geprüft",Programme_Grunddaten!AE187&lt;&gt;""),IF(Programme_Grunddaten!AE187="Ja",1,0),"")</f>
        <v/>
      </c>
      <c r="X182" s="1" t="str">
        <f>IF(AND(Programme_Grunddaten!$A187="Geprüft",Programme_Grunddaten!AF187&lt;&gt;""),IF(Programme_Grunddaten!AF187="Ja",1,0),"")</f>
        <v/>
      </c>
      <c r="Y182" s="1" t="str">
        <f>IF(AND(Programme_Grunddaten!$A187="Geprüft",Programme_Grunddaten!AG187&lt;&gt;""),IF(Programme_Grunddaten!AG187="Ja",1,0),"")</f>
        <v/>
      </c>
      <c r="Z182" s="1" t="str">
        <f>IF(AND(Programme_Grunddaten!$A187="Geprüft",Programme_Grunddaten!AH187&lt;&gt;""),IF(Programme_Grunddaten!AH187="Ja",1,0),"")</f>
        <v/>
      </c>
      <c r="AA182" s="1" t="str">
        <f>IF(AND(Programme_Grunddaten!$A187="Geprüft",Programme_Grunddaten!AI187&lt;&gt;""),IF(Programme_Grunddaten!AI187="Ja",1,0),"")</f>
        <v/>
      </c>
      <c r="AB182" s="1" t="str">
        <f>IF(AND(Programme_Grunddaten!$A187="Geprüft",Programme_Grunddaten!AJ187&lt;&gt;""),IF(Programme_Grunddaten!AJ187="individuell programmierbar",1,0),"")</f>
        <v/>
      </c>
      <c r="AC182" s="1" t="str">
        <f>IF(AND(Programme_Grunddaten!$A187="Geprüft",Programme_Grunddaten!AK187&lt;&gt;""),IF(Programme_Grunddaten!AK187="Deutsch",0,IF(Programme_Grunddaten!AK187="Deutsch und Englisch",1,2)),"")</f>
        <v/>
      </c>
      <c r="AD182" s="1" t="str">
        <f>IF(AND(Programme_Grunddaten!$A187="Geprüft",Programme_Grunddaten!AL187&lt;&gt;""),IF(Programme_Grunddaten!AL187="Ja",1,0),"")</f>
        <v/>
      </c>
      <c r="AE182" s="1" t="str">
        <f>IF(AND(Programme_Grunddaten!$A187="Geprüft",Programme_Grunddaten!AM187&lt;&gt;""),IF(Programme_Grunddaten!AM187="Ja",1,0),"")</f>
        <v/>
      </c>
      <c r="AF182" s="1" t="str">
        <f>IF(AND(Programme_Grunddaten!$A187="Geprüft",Programme_Grunddaten!AN187&lt;&gt;""),IF(Programme_Grunddaten!AN187="Ja",1,0),"")</f>
        <v/>
      </c>
      <c r="AG182" s="1" t="str">
        <f>IF(AND(Programme_Grunddaten!$A187="Geprüft",Programme_Grunddaten!AO187&lt;&gt;""),IF(Programme_Grunddaten!AO187="Ja",1,0),"")</f>
        <v/>
      </c>
      <c r="AH182" s="1" t="str">
        <f>IF(AND(Programme_Grunddaten!$A187="Geprüft",Programme_Grunddaten!AP187&lt;&gt;""),IF(Programme_Grunddaten!AP187="Ja",1,0),"")</f>
        <v/>
      </c>
      <c r="AI182" s="1" t="str">
        <f>IF(AND(Programme_Grunddaten!$A187="Geprüft",Programme_Grunddaten!AQ187&lt;&gt;""),IF(Programme_Grunddaten!AQ187="Ja",1,0),"")</f>
        <v/>
      </c>
      <c r="AJ182" s="1" t="str">
        <f>IF(AND(Programme_Grunddaten!$A187="Geprüft",Programme_Grunddaten!AR187&lt;&gt;""),IF(Programme_Grunddaten!AR187="Ja",1,0),"")</f>
        <v/>
      </c>
      <c r="AK182" s="1" t="str">
        <f>IF(AND(Programme_Grunddaten!$A187="Geprüft",Programme_Grunddaten!AS187&lt;&gt;""),IF(Programme_Grunddaten!AS187="Ja",1,0),"")</f>
        <v/>
      </c>
      <c r="AL182" s="1" t="str">
        <f>IF(AND(Programme_Grunddaten!$A187="Geprüft",Programme_Grunddaten!AT187&lt;&gt;""),IF(Programme_Grunddaten!AT187="Ja",1,0),"")</f>
        <v/>
      </c>
      <c r="AM182" s="1" t="str">
        <f>IF(AND(Programme_Grunddaten!$A187="Geprüft",Programme_Grunddaten!AU187&lt;&gt;""),IF(Programme_Grunddaten!AU187="Ja",1,0),"")</f>
        <v/>
      </c>
      <c r="AN182" s="1" t="str">
        <f>IF(AND(Programme_Grunddaten!$A187="Geprüft",Programme_Grunddaten!AV187&lt;&gt;""),IF(Programme_Grunddaten!AV187="Ja",1,0),"")</f>
        <v/>
      </c>
    </row>
    <row r="183" spans="1:40" x14ac:dyDescent="0.3">
      <c r="A183" s="1" t="str">
        <f>IF(AND(Programme_Grunddaten!A188="Geprüft",Programme_Grunddaten!B188&lt;&gt;""),Programme_Grunddaten!B188,"")</f>
        <v/>
      </c>
      <c r="B183" s="1" t="str">
        <f>IF(AND(Programme_Grunddaten!$A188="Geprüft",Programme_Grunddaten!I188&lt;&gt;""),IF(Programme_Grunddaten!I188="Ja",1,0),"")</f>
        <v/>
      </c>
      <c r="C183" s="1" t="str">
        <f>IF(AND(Programme_Grunddaten!$A188="Geprüft",Programme_Grunddaten!J188&lt;&gt;""),IF(Programme_Grunddaten!J188="Ja",1,0),"")</f>
        <v/>
      </c>
      <c r="D183" s="1" t="str">
        <f>IF(AND(Programme_Grunddaten!$A188="Geprüft",Programme_Grunddaten!K188&lt;&gt;""),IF(Programme_Grunddaten!K188="Ja",1,0),"")</f>
        <v/>
      </c>
      <c r="E183" s="1" t="str">
        <f>IF(AND(Programme_Grunddaten!$A188="Geprüft",Programme_Grunddaten!L188&lt;&gt;""),IF(Programme_Grunddaten!L188="Abo / befristete Lizenz",1,0),"")</f>
        <v/>
      </c>
      <c r="F183" s="1" t="str">
        <f>IF(AND(Programme_Grunddaten!$A188="Geprüft",Programme_Grunddaten!M188&lt;&gt;""),IF(Programme_Grunddaten!M188="Ja",1,0),"")</f>
        <v/>
      </c>
      <c r="G183" s="1" t="str">
        <f>IF(AND(Programme_Grunddaten!$A188="Geprüft",Programme_Grunddaten!N188&lt;&gt;""),IF(Programme_Grunddaten!N188="Ja",1,0),"")</f>
        <v/>
      </c>
      <c r="H183" s="1" t="str">
        <f>IF(AND(Programme_Grunddaten!$A188="Geprüft",Programme_Grunddaten!O188&lt;&gt;""),IF(Programme_Grunddaten!O188="Deutschland",0,IF(Programme_Grunddaten!O188="EU",1,2)),"")</f>
        <v/>
      </c>
      <c r="I183" s="1" t="str">
        <f>IF(AND(Programme_Grunddaten!$A188="Geprüft",Programme_Grunddaten!P188&lt;&gt;""),IF(Programme_Grunddaten!P188="Ja",1,0),"")</f>
        <v/>
      </c>
      <c r="J183" s="1" t="str">
        <f>IF(AND(Programme_Grunddaten!$A188="Geprüft",Programme_Grunddaten!Q188&lt;&gt;""),IF(Programme_Grunddaten!Q188="geschlossenes System",1,0),"")</f>
        <v/>
      </c>
      <c r="K183" s="1" t="str">
        <f>IF(AND(Programme_Grunddaten!$A188="Geprüft",Programme_Grunddaten!R188&lt;&gt;""),IF(Programme_Grunddaten!R188="Ja",1,0),"")</f>
        <v/>
      </c>
      <c r="L183" s="1" t="str">
        <f>IF(AND(Programme_Grunddaten!$A188="Geprüft",Programme_Grunddaten!T188&lt;&gt;""),IF(Programme_Grunddaten!T188="Ja",1,0),"")</f>
        <v/>
      </c>
      <c r="M183" s="1" t="str">
        <f>IF(AND(Programme_Grunddaten!$A188="Geprüft",Programme_Grunddaten!U188&lt;&gt;""),IF(Programme_Grunddaten!U188="Ja",1,0),"")</f>
        <v/>
      </c>
      <c r="N183" s="1" t="str">
        <f>IF(AND(Programme_Grunddaten!$A188="Geprüft",Programme_Grunddaten!V188&lt;&gt;""),IF(Programme_Grunddaten!V188="Ja",1,0),"")</f>
        <v/>
      </c>
      <c r="O183" s="1" t="str">
        <f>IF(AND(Programme_Grunddaten!$A188="Geprüft",Programme_Grunddaten!W188&lt;&gt;""),IF(Programme_Grunddaten!W188="Ja",1,0),"")</f>
        <v/>
      </c>
      <c r="P183" s="1" t="str">
        <f>IF(AND(Programme_Grunddaten!$A188="Geprüft",Programme_Grunddaten!X188&lt;&gt;""),IF(Programme_Grunddaten!X188="Ja",1,0),"")</f>
        <v/>
      </c>
      <c r="Q183" s="1" t="str">
        <f>IF(AND(Programme_Grunddaten!$A188="Geprüft",Programme_Grunddaten!Y188&lt;&gt;""),IF(Programme_Grunddaten!Y188="Ja",1,0),"")</f>
        <v/>
      </c>
      <c r="R183" s="1" t="str">
        <f>IF(AND(Programme_Grunddaten!$A188="Geprüft",Programme_Grunddaten!Z188&lt;&gt;""),IF(Programme_Grunddaten!Z188="Ja",1,0),"")</f>
        <v/>
      </c>
      <c r="S183" s="1" t="str">
        <f>IF(AND(Programme_Grunddaten!$A188="Geprüft",Programme_Grunddaten!AA188&lt;&gt;""),IF(Programme_Grunddaten!AA188="monolithisch",1,0),"")</f>
        <v/>
      </c>
      <c r="T183" s="1" t="str">
        <f>IF(AND(Programme_Grunddaten!$A188="Geprüft",Programme_Grunddaten!AB188&lt;&gt;""),IF(Programme_Grunddaten!AB188="Ja",1,0),"")</f>
        <v/>
      </c>
      <c r="U183" s="1" t="str">
        <f>IF(AND(Programme_Grunddaten!$A188="Geprüft",Programme_Grunddaten!AC188&lt;&gt;""),IF(Programme_Grunddaten!AC188="Ja",1,0),"")</f>
        <v/>
      </c>
      <c r="V183" s="1" t="str">
        <f>IF(AND(Programme_Grunddaten!$A188="Geprüft",Programme_Grunddaten!AD188&lt;&gt;""),IF(Programme_Grunddaten!AD188="Ja",1,0),"")</f>
        <v/>
      </c>
      <c r="W183" s="1" t="str">
        <f>IF(AND(Programme_Grunddaten!$A188="Geprüft",Programme_Grunddaten!AE188&lt;&gt;""),IF(Programme_Grunddaten!AE188="Ja",1,0),"")</f>
        <v/>
      </c>
      <c r="X183" s="1" t="str">
        <f>IF(AND(Programme_Grunddaten!$A188="Geprüft",Programme_Grunddaten!AF188&lt;&gt;""),IF(Programme_Grunddaten!AF188="Ja",1,0),"")</f>
        <v/>
      </c>
      <c r="Y183" s="1" t="str">
        <f>IF(AND(Programme_Grunddaten!$A188="Geprüft",Programme_Grunddaten!AG188&lt;&gt;""),IF(Programme_Grunddaten!AG188="Ja",1,0),"")</f>
        <v/>
      </c>
      <c r="Z183" s="1" t="str">
        <f>IF(AND(Programme_Grunddaten!$A188="Geprüft",Programme_Grunddaten!AH188&lt;&gt;""),IF(Programme_Grunddaten!AH188="Ja",1,0),"")</f>
        <v/>
      </c>
      <c r="AA183" s="1" t="str">
        <f>IF(AND(Programme_Grunddaten!$A188="Geprüft",Programme_Grunddaten!AI188&lt;&gt;""),IF(Programme_Grunddaten!AI188="Ja",1,0),"")</f>
        <v/>
      </c>
      <c r="AB183" s="1" t="str">
        <f>IF(AND(Programme_Grunddaten!$A188="Geprüft",Programme_Grunddaten!AJ188&lt;&gt;""),IF(Programme_Grunddaten!AJ188="individuell programmierbar",1,0),"")</f>
        <v/>
      </c>
      <c r="AC183" s="1" t="str">
        <f>IF(AND(Programme_Grunddaten!$A188="Geprüft",Programme_Grunddaten!AK188&lt;&gt;""),IF(Programme_Grunddaten!AK188="Deutsch",0,IF(Programme_Grunddaten!AK188="Deutsch und Englisch",1,2)),"")</f>
        <v/>
      </c>
      <c r="AD183" s="1" t="str">
        <f>IF(AND(Programme_Grunddaten!$A188="Geprüft",Programme_Grunddaten!AL188&lt;&gt;""),IF(Programme_Grunddaten!AL188="Ja",1,0),"")</f>
        <v/>
      </c>
      <c r="AE183" s="1" t="str">
        <f>IF(AND(Programme_Grunddaten!$A188="Geprüft",Programme_Grunddaten!AM188&lt;&gt;""),IF(Programme_Grunddaten!AM188="Ja",1,0),"")</f>
        <v/>
      </c>
      <c r="AF183" s="1" t="str">
        <f>IF(AND(Programme_Grunddaten!$A188="Geprüft",Programme_Grunddaten!AN188&lt;&gt;""),IF(Programme_Grunddaten!AN188="Ja",1,0),"")</f>
        <v/>
      </c>
      <c r="AG183" s="1" t="str">
        <f>IF(AND(Programme_Grunddaten!$A188="Geprüft",Programme_Grunddaten!AO188&lt;&gt;""),IF(Programme_Grunddaten!AO188="Ja",1,0),"")</f>
        <v/>
      </c>
      <c r="AH183" s="1" t="str">
        <f>IF(AND(Programme_Grunddaten!$A188="Geprüft",Programme_Grunddaten!AP188&lt;&gt;""),IF(Programme_Grunddaten!AP188="Ja",1,0),"")</f>
        <v/>
      </c>
      <c r="AI183" s="1" t="str">
        <f>IF(AND(Programme_Grunddaten!$A188="Geprüft",Programme_Grunddaten!AQ188&lt;&gt;""),IF(Programme_Grunddaten!AQ188="Ja",1,0),"")</f>
        <v/>
      </c>
      <c r="AJ183" s="1" t="str">
        <f>IF(AND(Programme_Grunddaten!$A188="Geprüft",Programme_Grunddaten!AR188&lt;&gt;""),IF(Programme_Grunddaten!AR188="Ja",1,0),"")</f>
        <v/>
      </c>
      <c r="AK183" s="1" t="str">
        <f>IF(AND(Programme_Grunddaten!$A188="Geprüft",Programme_Grunddaten!AS188&lt;&gt;""),IF(Programme_Grunddaten!AS188="Ja",1,0),"")</f>
        <v/>
      </c>
      <c r="AL183" s="1" t="str">
        <f>IF(AND(Programme_Grunddaten!$A188="Geprüft",Programme_Grunddaten!AT188&lt;&gt;""),IF(Programme_Grunddaten!AT188="Ja",1,0),"")</f>
        <v/>
      </c>
      <c r="AM183" s="1" t="str">
        <f>IF(AND(Programme_Grunddaten!$A188="Geprüft",Programme_Grunddaten!AU188&lt;&gt;""),IF(Programme_Grunddaten!AU188="Ja",1,0),"")</f>
        <v/>
      </c>
      <c r="AN183" s="1" t="str">
        <f>IF(AND(Programme_Grunddaten!$A188="Geprüft",Programme_Grunddaten!AV188&lt;&gt;""),IF(Programme_Grunddaten!AV188="Ja",1,0),"")</f>
        <v/>
      </c>
    </row>
    <row r="184" spans="1:40" x14ac:dyDescent="0.3">
      <c r="A184" s="1" t="str">
        <f>IF(AND(Programme_Grunddaten!A189="Geprüft",Programme_Grunddaten!B189&lt;&gt;""),Programme_Grunddaten!B189,"")</f>
        <v/>
      </c>
      <c r="B184" s="1" t="str">
        <f>IF(AND(Programme_Grunddaten!$A189="Geprüft",Programme_Grunddaten!I189&lt;&gt;""),IF(Programme_Grunddaten!I189="Ja",1,0),"")</f>
        <v/>
      </c>
      <c r="C184" s="1" t="str">
        <f>IF(AND(Programme_Grunddaten!$A189="Geprüft",Programme_Grunddaten!J189&lt;&gt;""),IF(Programme_Grunddaten!J189="Ja",1,0),"")</f>
        <v/>
      </c>
      <c r="D184" s="1" t="str">
        <f>IF(AND(Programme_Grunddaten!$A189="Geprüft",Programme_Grunddaten!K189&lt;&gt;""),IF(Programme_Grunddaten!K189="Ja",1,0),"")</f>
        <v/>
      </c>
      <c r="E184" s="1" t="str">
        <f>IF(AND(Programme_Grunddaten!$A189="Geprüft",Programme_Grunddaten!L189&lt;&gt;""),IF(Programme_Grunddaten!L189="Abo / befristete Lizenz",1,0),"")</f>
        <v/>
      </c>
      <c r="F184" s="1" t="str">
        <f>IF(AND(Programme_Grunddaten!$A189="Geprüft",Programme_Grunddaten!M189&lt;&gt;""),IF(Programme_Grunddaten!M189="Ja",1,0),"")</f>
        <v/>
      </c>
      <c r="G184" s="1" t="str">
        <f>IF(AND(Programme_Grunddaten!$A189="Geprüft",Programme_Grunddaten!N189&lt;&gt;""),IF(Programme_Grunddaten!N189="Ja",1,0),"")</f>
        <v/>
      </c>
      <c r="H184" s="1" t="str">
        <f>IF(AND(Programme_Grunddaten!$A189="Geprüft",Programme_Grunddaten!O189&lt;&gt;""),IF(Programme_Grunddaten!O189="Deutschland",0,IF(Programme_Grunddaten!O189="EU",1,2)),"")</f>
        <v/>
      </c>
      <c r="I184" s="1" t="str">
        <f>IF(AND(Programme_Grunddaten!$A189="Geprüft",Programme_Grunddaten!P189&lt;&gt;""),IF(Programme_Grunddaten!P189="Ja",1,0),"")</f>
        <v/>
      </c>
      <c r="J184" s="1" t="str">
        <f>IF(AND(Programme_Grunddaten!$A189="Geprüft",Programme_Grunddaten!Q189&lt;&gt;""),IF(Programme_Grunddaten!Q189="geschlossenes System",1,0),"")</f>
        <v/>
      </c>
      <c r="K184" s="1" t="str">
        <f>IF(AND(Programme_Grunddaten!$A189="Geprüft",Programme_Grunddaten!R189&lt;&gt;""),IF(Programme_Grunddaten!R189="Ja",1,0),"")</f>
        <v/>
      </c>
      <c r="L184" s="1" t="str">
        <f>IF(AND(Programme_Grunddaten!$A189="Geprüft",Programme_Grunddaten!T189&lt;&gt;""),IF(Programme_Grunddaten!T189="Ja",1,0),"")</f>
        <v/>
      </c>
      <c r="M184" s="1" t="str">
        <f>IF(AND(Programme_Grunddaten!$A189="Geprüft",Programme_Grunddaten!U189&lt;&gt;""),IF(Programme_Grunddaten!U189="Ja",1,0),"")</f>
        <v/>
      </c>
      <c r="N184" s="1" t="str">
        <f>IF(AND(Programme_Grunddaten!$A189="Geprüft",Programme_Grunddaten!V189&lt;&gt;""),IF(Programme_Grunddaten!V189="Ja",1,0),"")</f>
        <v/>
      </c>
      <c r="O184" s="1" t="str">
        <f>IF(AND(Programme_Grunddaten!$A189="Geprüft",Programme_Grunddaten!W189&lt;&gt;""),IF(Programme_Grunddaten!W189="Ja",1,0),"")</f>
        <v/>
      </c>
      <c r="P184" s="1" t="str">
        <f>IF(AND(Programme_Grunddaten!$A189="Geprüft",Programme_Grunddaten!X189&lt;&gt;""),IF(Programme_Grunddaten!X189="Ja",1,0),"")</f>
        <v/>
      </c>
      <c r="Q184" s="1" t="str">
        <f>IF(AND(Programme_Grunddaten!$A189="Geprüft",Programme_Grunddaten!Y189&lt;&gt;""),IF(Programme_Grunddaten!Y189="Ja",1,0),"")</f>
        <v/>
      </c>
      <c r="R184" s="1" t="str">
        <f>IF(AND(Programme_Grunddaten!$A189="Geprüft",Programme_Grunddaten!Z189&lt;&gt;""),IF(Programme_Grunddaten!Z189="Ja",1,0),"")</f>
        <v/>
      </c>
      <c r="S184" s="1" t="str">
        <f>IF(AND(Programme_Grunddaten!$A189="Geprüft",Programme_Grunddaten!AA189&lt;&gt;""),IF(Programme_Grunddaten!AA189="monolithisch",1,0),"")</f>
        <v/>
      </c>
      <c r="T184" s="1" t="str">
        <f>IF(AND(Programme_Grunddaten!$A189="Geprüft",Programme_Grunddaten!AB189&lt;&gt;""),IF(Programme_Grunddaten!AB189="Ja",1,0),"")</f>
        <v/>
      </c>
      <c r="U184" s="1" t="str">
        <f>IF(AND(Programme_Grunddaten!$A189="Geprüft",Programme_Grunddaten!AC189&lt;&gt;""),IF(Programme_Grunddaten!AC189="Ja",1,0),"")</f>
        <v/>
      </c>
      <c r="V184" s="1" t="str">
        <f>IF(AND(Programme_Grunddaten!$A189="Geprüft",Programme_Grunddaten!AD189&lt;&gt;""),IF(Programme_Grunddaten!AD189="Ja",1,0),"")</f>
        <v/>
      </c>
      <c r="W184" s="1" t="str">
        <f>IF(AND(Programme_Grunddaten!$A189="Geprüft",Programme_Grunddaten!AE189&lt;&gt;""),IF(Programme_Grunddaten!AE189="Ja",1,0),"")</f>
        <v/>
      </c>
      <c r="X184" s="1" t="str">
        <f>IF(AND(Programme_Grunddaten!$A189="Geprüft",Programme_Grunddaten!AF189&lt;&gt;""),IF(Programme_Grunddaten!AF189="Ja",1,0),"")</f>
        <v/>
      </c>
      <c r="Y184" s="1" t="str">
        <f>IF(AND(Programme_Grunddaten!$A189="Geprüft",Programme_Grunddaten!AG189&lt;&gt;""),IF(Programme_Grunddaten!AG189="Ja",1,0),"")</f>
        <v/>
      </c>
      <c r="Z184" s="1" t="str">
        <f>IF(AND(Programme_Grunddaten!$A189="Geprüft",Programme_Grunddaten!AH189&lt;&gt;""),IF(Programme_Grunddaten!AH189="Ja",1,0),"")</f>
        <v/>
      </c>
      <c r="AA184" s="1" t="str">
        <f>IF(AND(Programme_Grunddaten!$A189="Geprüft",Programme_Grunddaten!AI189&lt;&gt;""),IF(Programme_Grunddaten!AI189="Ja",1,0),"")</f>
        <v/>
      </c>
      <c r="AB184" s="1" t="str">
        <f>IF(AND(Programme_Grunddaten!$A189="Geprüft",Programme_Grunddaten!AJ189&lt;&gt;""),IF(Programme_Grunddaten!AJ189="individuell programmierbar",1,0),"")</f>
        <v/>
      </c>
      <c r="AC184" s="1" t="str">
        <f>IF(AND(Programme_Grunddaten!$A189="Geprüft",Programme_Grunddaten!AK189&lt;&gt;""),IF(Programme_Grunddaten!AK189="Deutsch",0,IF(Programme_Grunddaten!AK189="Deutsch und Englisch",1,2)),"")</f>
        <v/>
      </c>
      <c r="AD184" s="1" t="str">
        <f>IF(AND(Programme_Grunddaten!$A189="Geprüft",Programme_Grunddaten!AL189&lt;&gt;""),IF(Programme_Grunddaten!AL189="Ja",1,0),"")</f>
        <v/>
      </c>
      <c r="AE184" s="1" t="str">
        <f>IF(AND(Programme_Grunddaten!$A189="Geprüft",Programme_Grunddaten!AM189&lt;&gt;""),IF(Programme_Grunddaten!AM189="Ja",1,0),"")</f>
        <v/>
      </c>
      <c r="AF184" s="1" t="str">
        <f>IF(AND(Programme_Grunddaten!$A189="Geprüft",Programme_Grunddaten!AN189&lt;&gt;""),IF(Programme_Grunddaten!AN189="Ja",1,0),"")</f>
        <v/>
      </c>
      <c r="AG184" s="1" t="str">
        <f>IF(AND(Programme_Grunddaten!$A189="Geprüft",Programme_Grunddaten!AO189&lt;&gt;""),IF(Programme_Grunddaten!AO189="Ja",1,0),"")</f>
        <v/>
      </c>
      <c r="AH184" s="1" t="str">
        <f>IF(AND(Programme_Grunddaten!$A189="Geprüft",Programme_Grunddaten!AP189&lt;&gt;""),IF(Programme_Grunddaten!AP189="Ja",1,0),"")</f>
        <v/>
      </c>
      <c r="AI184" s="1" t="str">
        <f>IF(AND(Programme_Grunddaten!$A189="Geprüft",Programme_Grunddaten!AQ189&lt;&gt;""),IF(Programme_Grunddaten!AQ189="Ja",1,0),"")</f>
        <v/>
      </c>
      <c r="AJ184" s="1" t="str">
        <f>IF(AND(Programme_Grunddaten!$A189="Geprüft",Programme_Grunddaten!AR189&lt;&gt;""),IF(Programme_Grunddaten!AR189="Ja",1,0),"")</f>
        <v/>
      </c>
      <c r="AK184" s="1" t="str">
        <f>IF(AND(Programme_Grunddaten!$A189="Geprüft",Programme_Grunddaten!AS189&lt;&gt;""),IF(Programme_Grunddaten!AS189="Ja",1,0),"")</f>
        <v/>
      </c>
      <c r="AL184" s="1" t="str">
        <f>IF(AND(Programme_Grunddaten!$A189="Geprüft",Programme_Grunddaten!AT189&lt;&gt;""),IF(Programme_Grunddaten!AT189="Ja",1,0),"")</f>
        <v/>
      </c>
      <c r="AM184" s="1" t="str">
        <f>IF(AND(Programme_Grunddaten!$A189="Geprüft",Programme_Grunddaten!AU189&lt;&gt;""),IF(Programme_Grunddaten!AU189="Ja",1,0),"")</f>
        <v/>
      </c>
      <c r="AN184" s="1" t="str">
        <f>IF(AND(Programme_Grunddaten!$A189="Geprüft",Programme_Grunddaten!AV189&lt;&gt;""),IF(Programme_Grunddaten!AV189="Ja",1,0),"")</f>
        <v/>
      </c>
    </row>
    <row r="185" spans="1:40" x14ac:dyDescent="0.3">
      <c r="A185" s="1" t="str">
        <f>IF(AND(Programme_Grunddaten!A190="Geprüft",Programme_Grunddaten!B190&lt;&gt;""),Programme_Grunddaten!B190,"")</f>
        <v/>
      </c>
      <c r="B185" s="1" t="str">
        <f>IF(AND(Programme_Grunddaten!$A190="Geprüft",Programme_Grunddaten!I190&lt;&gt;""),IF(Programme_Grunddaten!I190="Ja",1,0),"")</f>
        <v/>
      </c>
      <c r="C185" s="1" t="str">
        <f>IF(AND(Programme_Grunddaten!$A190="Geprüft",Programme_Grunddaten!J190&lt;&gt;""),IF(Programme_Grunddaten!J190="Ja",1,0),"")</f>
        <v/>
      </c>
      <c r="D185" s="1" t="str">
        <f>IF(AND(Programme_Grunddaten!$A190="Geprüft",Programme_Grunddaten!K190&lt;&gt;""),IF(Programme_Grunddaten!K190="Ja",1,0),"")</f>
        <v/>
      </c>
      <c r="E185" s="1" t="str">
        <f>IF(AND(Programme_Grunddaten!$A190="Geprüft",Programme_Grunddaten!L190&lt;&gt;""),IF(Programme_Grunddaten!L190="Abo / befristete Lizenz",1,0),"")</f>
        <v/>
      </c>
      <c r="F185" s="1" t="str">
        <f>IF(AND(Programme_Grunddaten!$A190="Geprüft",Programme_Grunddaten!M190&lt;&gt;""),IF(Programme_Grunddaten!M190="Ja",1,0),"")</f>
        <v/>
      </c>
      <c r="G185" s="1" t="str">
        <f>IF(AND(Programme_Grunddaten!$A190="Geprüft",Programme_Grunddaten!N190&lt;&gt;""),IF(Programme_Grunddaten!N190="Ja",1,0),"")</f>
        <v/>
      </c>
      <c r="H185" s="1" t="str">
        <f>IF(AND(Programme_Grunddaten!$A190="Geprüft",Programme_Grunddaten!O190&lt;&gt;""),IF(Programme_Grunddaten!O190="Deutschland",0,IF(Programme_Grunddaten!O190="EU",1,2)),"")</f>
        <v/>
      </c>
      <c r="I185" s="1" t="str">
        <f>IF(AND(Programme_Grunddaten!$A190="Geprüft",Programme_Grunddaten!P190&lt;&gt;""),IF(Programme_Grunddaten!P190="Ja",1,0),"")</f>
        <v/>
      </c>
      <c r="J185" s="1" t="str">
        <f>IF(AND(Programme_Grunddaten!$A190="Geprüft",Programme_Grunddaten!Q190&lt;&gt;""),IF(Programme_Grunddaten!Q190="geschlossenes System",1,0),"")</f>
        <v/>
      </c>
      <c r="K185" s="1" t="str">
        <f>IF(AND(Programme_Grunddaten!$A190="Geprüft",Programme_Grunddaten!R190&lt;&gt;""),IF(Programme_Grunddaten!R190="Ja",1,0),"")</f>
        <v/>
      </c>
      <c r="L185" s="1" t="str">
        <f>IF(AND(Programme_Grunddaten!$A190="Geprüft",Programme_Grunddaten!T190&lt;&gt;""),IF(Programme_Grunddaten!T190="Ja",1,0),"")</f>
        <v/>
      </c>
      <c r="M185" s="1" t="str">
        <f>IF(AND(Programme_Grunddaten!$A190="Geprüft",Programme_Grunddaten!U190&lt;&gt;""),IF(Programme_Grunddaten!U190="Ja",1,0),"")</f>
        <v/>
      </c>
      <c r="N185" s="1" t="str">
        <f>IF(AND(Programme_Grunddaten!$A190="Geprüft",Programme_Grunddaten!V190&lt;&gt;""),IF(Programme_Grunddaten!V190="Ja",1,0),"")</f>
        <v/>
      </c>
      <c r="O185" s="1" t="str">
        <f>IF(AND(Programme_Grunddaten!$A190="Geprüft",Programme_Grunddaten!W190&lt;&gt;""),IF(Programme_Grunddaten!W190="Ja",1,0),"")</f>
        <v/>
      </c>
      <c r="P185" s="1" t="str">
        <f>IF(AND(Programme_Grunddaten!$A190="Geprüft",Programme_Grunddaten!X190&lt;&gt;""),IF(Programme_Grunddaten!X190="Ja",1,0),"")</f>
        <v/>
      </c>
      <c r="Q185" s="1" t="str">
        <f>IF(AND(Programme_Grunddaten!$A190="Geprüft",Programme_Grunddaten!Y190&lt;&gt;""),IF(Programme_Grunddaten!Y190="Ja",1,0),"")</f>
        <v/>
      </c>
      <c r="R185" s="1" t="str">
        <f>IF(AND(Programme_Grunddaten!$A190="Geprüft",Programme_Grunddaten!Z190&lt;&gt;""),IF(Programme_Grunddaten!Z190="Ja",1,0),"")</f>
        <v/>
      </c>
      <c r="S185" s="1" t="str">
        <f>IF(AND(Programme_Grunddaten!$A190="Geprüft",Programme_Grunddaten!AA190&lt;&gt;""),IF(Programme_Grunddaten!AA190="monolithisch",1,0),"")</f>
        <v/>
      </c>
      <c r="T185" s="1" t="str">
        <f>IF(AND(Programme_Grunddaten!$A190="Geprüft",Programme_Grunddaten!AB190&lt;&gt;""),IF(Programme_Grunddaten!AB190="Ja",1,0),"")</f>
        <v/>
      </c>
      <c r="U185" s="1" t="str">
        <f>IF(AND(Programme_Grunddaten!$A190="Geprüft",Programme_Grunddaten!AC190&lt;&gt;""),IF(Programme_Grunddaten!AC190="Ja",1,0),"")</f>
        <v/>
      </c>
      <c r="V185" s="1" t="str">
        <f>IF(AND(Programme_Grunddaten!$A190="Geprüft",Programme_Grunddaten!AD190&lt;&gt;""),IF(Programme_Grunddaten!AD190="Ja",1,0),"")</f>
        <v/>
      </c>
      <c r="W185" s="1" t="str">
        <f>IF(AND(Programme_Grunddaten!$A190="Geprüft",Programme_Grunddaten!AE190&lt;&gt;""),IF(Programme_Grunddaten!AE190="Ja",1,0),"")</f>
        <v/>
      </c>
      <c r="X185" s="1" t="str">
        <f>IF(AND(Programme_Grunddaten!$A190="Geprüft",Programme_Grunddaten!AF190&lt;&gt;""),IF(Programme_Grunddaten!AF190="Ja",1,0),"")</f>
        <v/>
      </c>
      <c r="Y185" s="1" t="str">
        <f>IF(AND(Programme_Grunddaten!$A190="Geprüft",Programme_Grunddaten!AG190&lt;&gt;""),IF(Programme_Grunddaten!AG190="Ja",1,0),"")</f>
        <v/>
      </c>
      <c r="Z185" s="1" t="str">
        <f>IF(AND(Programme_Grunddaten!$A190="Geprüft",Programme_Grunddaten!AH190&lt;&gt;""),IF(Programme_Grunddaten!AH190="Ja",1,0),"")</f>
        <v/>
      </c>
      <c r="AA185" s="1" t="str">
        <f>IF(AND(Programme_Grunddaten!$A190="Geprüft",Programme_Grunddaten!AI190&lt;&gt;""),IF(Programme_Grunddaten!AI190="Ja",1,0),"")</f>
        <v/>
      </c>
      <c r="AB185" s="1" t="str">
        <f>IF(AND(Programme_Grunddaten!$A190="Geprüft",Programme_Grunddaten!AJ190&lt;&gt;""),IF(Programme_Grunddaten!AJ190="individuell programmierbar",1,0),"")</f>
        <v/>
      </c>
      <c r="AC185" s="1" t="str">
        <f>IF(AND(Programme_Grunddaten!$A190="Geprüft",Programme_Grunddaten!AK190&lt;&gt;""),IF(Programme_Grunddaten!AK190="Deutsch",0,IF(Programme_Grunddaten!AK190="Deutsch und Englisch",1,2)),"")</f>
        <v/>
      </c>
      <c r="AD185" s="1" t="str">
        <f>IF(AND(Programme_Grunddaten!$A190="Geprüft",Programme_Grunddaten!AL190&lt;&gt;""),IF(Programme_Grunddaten!AL190="Ja",1,0),"")</f>
        <v/>
      </c>
      <c r="AE185" s="1" t="str">
        <f>IF(AND(Programme_Grunddaten!$A190="Geprüft",Programme_Grunddaten!AM190&lt;&gt;""),IF(Programme_Grunddaten!AM190="Ja",1,0),"")</f>
        <v/>
      </c>
      <c r="AF185" s="1" t="str">
        <f>IF(AND(Programme_Grunddaten!$A190="Geprüft",Programme_Grunddaten!AN190&lt;&gt;""),IF(Programme_Grunddaten!AN190="Ja",1,0),"")</f>
        <v/>
      </c>
      <c r="AG185" s="1" t="str">
        <f>IF(AND(Programme_Grunddaten!$A190="Geprüft",Programme_Grunddaten!AO190&lt;&gt;""),IF(Programme_Grunddaten!AO190="Ja",1,0),"")</f>
        <v/>
      </c>
      <c r="AH185" s="1" t="str">
        <f>IF(AND(Programme_Grunddaten!$A190="Geprüft",Programme_Grunddaten!AP190&lt;&gt;""),IF(Programme_Grunddaten!AP190="Ja",1,0),"")</f>
        <v/>
      </c>
      <c r="AI185" s="1" t="str">
        <f>IF(AND(Programme_Grunddaten!$A190="Geprüft",Programme_Grunddaten!AQ190&lt;&gt;""),IF(Programme_Grunddaten!AQ190="Ja",1,0),"")</f>
        <v/>
      </c>
      <c r="AJ185" s="1" t="str">
        <f>IF(AND(Programme_Grunddaten!$A190="Geprüft",Programme_Grunddaten!AR190&lt;&gt;""),IF(Programme_Grunddaten!AR190="Ja",1,0),"")</f>
        <v/>
      </c>
      <c r="AK185" s="1" t="str">
        <f>IF(AND(Programme_Grunddaten!$A190="Geprüft",Programme_Grunddaten!AS190&lt;&gt;""),IF(Programme_Grunddaten!AS190="Ja",1,0),"")</f>
        <v/>
      </c>
      <c r="AL185" s="1" t="str">
        <f>IF(AND(Programme_Grunddaten!$A190="Geprüft",Programme_Grunddaten!AT190&lt;&gt;""),IF(Programme_Grunddaten!AT190="Ja",1,0),"")</f>
        <v/>
      </c>
      <c r="AM185" s="1" t="str">
        <f>IF(AND(Programme_Grunddaten!$A190="Geprüft",Programme_Grunddaten!AU190&lt;&gt;""),IF(Programme_Grunddaten!AU190="Ja",1,0),"")</f>
        <v/>
      </c>
      <c r="AN185" s="1" t="str">
        <f>IF(AND(Programme_Grunddaten!$A190="Geprüft",Programme_Grunddaten!AV190&lt;&gt;""),IF(Programme_Grunddaten!AV190="Ja",1,0),"")</f>
        <v/>
      </c>
    </row>
    <row r="186" spans="1:40" x14ac:dyDescent="0.3">
      <c r="A186" s="1" t="str">
        <f>IF(AND(Programme_Grunddaten!A191="Geprüft",Programme_Grunddaten!B191&lt;&gt;""),Programme_Grunddaten!B191,"")</f>
        <v/>
      </c>
      <c r="B186" s="1" t="str">
        <f>IF(AND(Programme_Grunddaten!$A191="Geprüft",Programme_Grunddaten!I191&lt;&gt;""),IF(Programme_Grunddaten!I191="Ja",1,0),"")</f>
        <v/>
      </c>
      <c r="C186" s="1" t="str">
        <f>IF(AND(Programme_Grunddaten!$A191="Geprüft",Programme_Grunddaten!J191&lt;&gt;""),IF(Programme_Grunddaten!J191="Ja",1,0),"")</f>
        <v/>
      </c>
      <c r="D186" s="1" t="str">
        <f>IF(AND(Programme_Grunddaten!$A191="Geprüft",Programme_Grunddaten!K191&lt;&gt;""),IF(Programme_Grunddaten!K191="Ja",1,0),"")</f>
        <v/>
      </c>
      <c r="E186" s="1" t="str">
        <f>IF(AND(Programme_Grunddaten!$A191="Geprüft",Programme_Grunddaten!L191&lt;&gt;""),IF(Programme_Grunddaten!L191="Abo / befristete Lizenz",1,0),"")</f>
        <v/>
      </c>
      <c r="F186" s="1" t="str">
        <f>IF(AND(Programme_Grunddaten!$A191="Geprüft",Programme_Grunddaten!M191&lt;&gt;""),IF(Programme_Grunddaten!M191="Ja",1,0),"")</f>
        <v/>
      </c>
      <c r="G186" s="1" t="str">
        <f>IF(AND(Programme_Grunddaten!$A191="Geprüft",Programme_Grunddaten!N191&lt;&gt;""),IF(Programme_Grunddaten!N191="Ja",1,0),"")</f>
        <v/>
      </c>
      <c r="H186" s="1" t="str">
        <f>IF(AND(Programme_Grunddaten!$A191="Geprüft",Programme_Grunddaten!O191&lt;&gt;""),IF(Programme_Grunddaten!O191="Deutschland",0,IF(Programme_Grunddaten!O191="EU",1,2)),"")</f>
        <v/>
      </c>
      <c r="I186" s="1" t="str">
        <f>IF(AND(Programme_Grunddaten!$A191="Geprüft",Programme_Grunddaten!P191&lt;&gt;""),IF(Programme_Grunddaten!P191="Ja",1,0),"")</f>
        <v/>
      </c>
      <c r="J186" s="1" t="str">
        <f>IF(AND(Programme_Grunddaten!$A191="Geprüft",Programme_Grunddaten!Q191&lt;&gt;""),IF(Programme_Grunddaten!Q191="geschlossenes System",1,0),"")</f>
        <v/>
      </c>
      <c r="K186" s="1" t="str">
        <f>IF(AND(Programme_Grunddaten!$A191="Geprüft",Programme_Grunddaten!R191&lt;&gt;""),IF(Programme_Grunddaten!R191="Ja",1,0),"")</f>
        <v/>
      </c>
      <c r="L186" s="1" t="str">
        <f>IF(AND(Programme_Grunddaten!$A191="Geprüft",Programme_Grunddaten!T191&lt;&gt;""),IF(Programme_Grunddaten!T191="Ja",1,0),"")</f>
        <v/>
      </c>
      <c r="M186" s="1" t="str">
        <f>IF(AND(Programme_Grunddaten!$A191="Geprüft",Programme_Grunddaten!U191&lt;&gt;""),IF(Programme_Grunddaten!U191="Ja",1,0),"")</f>
        <v/>
      </c>
      <c r="N186" s="1" t="str">
        <f>IF(AND(Programme_Grunddaten!$A191="Geprüft",Programme_Grunddaten!V191&lt;&gt;""),IF(Programme_Grunddaten!V191="Ja",1,0),"")</f>
        <v/>
      </c>
      <c r="O186" s="1" t="str">
        <f>IF(AND(Programme_Grunddaten!$A191="Geprüft",Programme_Grunddaten!W191&lt;&gt;""),IF(Programme_Grunddaten!W191="Ja",1,0),"")</f>
        <v/>
      </c>
      <c r="P186" s="1" t="str">
        <f>IF(AND(Programme_Grunddaten!$A191="Geprüft",Programme_Grunddaten!X191&lt;&gt;""),IF(Programme_Grunddaten!X191="Ja",1,0),"")</f>
        <v/>
      </c>
      <c r="Q186" s="1" t="str">
        <f>IF(AND(Programme_Grunddaten!$A191="Geprüft",Programme_Grunddaten!Y191&lt;&gt;""),IF(Programme_Grunddaten!Y191="Ja",1,0),"")</f>
        <v/>
      </c>
      <c r="R186" s="1" t="str">
        <f>IF(AND(Programme_Grunddaten!$A191="Geprüft",Programme_Grunddaten!Z191&lt;&gt;""),IF(Programme_Grunddaten!Z191="Ja",1,0),"")</f>
        <v/>
      </c>
      <c r="S186" s="1" t="str">
        <f>IF(AND(Programme_Grunddaten!$A191="Geprüft",Programme_Grunddaten!AA191&lt;&gt;""),IF(Programme_Grunddaten!AA191="monolithisch",1,0),"")</f>
        <v/>
      </c>
      <c r="T186" s="1" t="str">
        <f>IF(AND(Programme_Grunddaten!$A191="Geprüft",Programme_Grunddaten!AB191&lt;&gt;""),IF(Programme_Grunddaten!AB191="Ja",1,0),"")</f>
        <v/>
      </c>
      <c r="U186" s="1" t="str">
        <f>IF(AND(Programme_Grunddaten!$A191="Geprüft",Programme_Grunddaten!AC191&lt;&gt;""),IF(Programme_Grunddaten!AC191="Ja",1,0),"")</f>
        <v/>
      </c>
      <c r="V186" s="1" t="str">
        <f>IF(AND(Programme_Grunddaten!$A191="Geprüft",Programme_Grunddaten!AD191&lt;&gt;""),IF(Programme_Grunddaten!AD191="Ja",1,0),"")</f>
        <v/>
      </c>
      <c r="W186" s="1" t="str">
        <f>IF(AND(Programme_Grunddaten!$A191="Geprüft",Programme_Grunddaten!AE191&lt;&gt;""),IF(Programme_Grunddaten!AE191="Ja",1,0),"")</f>
        <v/>
      </c>
      <c r="X186" s="1" t="str">
        <f>IF(AND(Programme_Grunddaten!$A191="Geprüft",Programme_Grunddaten!AF191&lt;&gt;""),IF(Programme_Grunddaten!AF191="Ja",1,0),"")</f>
        <v/>
      </c>
      <c r="Y186" s="1" t="str">
        <f>IF(AND(Programme_Grunddaten!$A191="Geprüft",Programme_Grunddaten!AG191&lt;&gt;""),IF(Programme_Grunddaten!AG191="Ja",1,0),"")</f>
        <v/>
      </c>
      <c r="Z186" s="1" t="str">
        <f>IF(AND(Programme_Grunddaten!$A191="Geprüft",Programme_Grunddaten!AH191&lt;&gt;""),IF(Programme_Grunddaten!AH191="Ja",1,0),"")</f>
        <v/>
      </c>
      <c r="AA186" s="1" t="str">
        <f>IF(AND(Programme_Grunddaten!$A191="Geprüft",Programme_Grunddaten!AI191&lt;&gt;""),IF(Programme_Grunddaten!AI191="Ja",1,0),"")</f>
        <v/>
      </c>
      <c r="AB186" s="1" t="str">
        <f>IF(AND(Programme_Grunddaten!$A191="Geprüft",Programme_Grunddaten!AJ191&lt;&gt;""),IF(Programme_Grunddaten!AJ191="individuell programmierbar",1,0),"")</f>
        <v/>
      </c>
      <c r="AC186" s="1" t="str">
        <f>IF(AND(Programme_Grunddaten!$A191="Geprüft",Programme_Grunddaten!AK191&lt;&gt;""),IF(Programme_Grunddaten!AK191="Deutsch",0,IF(Programme_Grunddaten!AK191="Deutsch und Englisch",1,2)),"")</f>
        <v/>
      </c>
      <c r="AD186" s="1" t="str">
        <f>IF(AND(Programme_Grunddaten!$A191="Geprüft",Programme_Grunddaten!AL191&lt;&gt;""),IF(Programme_Grunddaten!AL191="Ja",1,0),"")</f>
        <v/>
      </c>
      <c r="AE186" s="1" t="str">
        <f>IF(AND(Programme_Grunddaten!$A191="Geprüft",Programme_Grunddaten!AM191&lt;&gt;""),IF(Programme_Grunddaten!AM191="Ja",1,0),"")</f>
        <v/>
      </c>
      <c r="AF186" s="1" t="str">
        <f>IF(AND(Programme_Grunddaten!$A191="Geprüft",Programme_Grunddaten!AN191&lt;&gt;""),IF(Programme_Grunddaten!AN191="Ja",1,0),"")</f>
        <v/>
      </c>
      <c r="AG186" s="1" t="str">
        <f>IF(AND(Programme_Grunddaten!$A191="Geprüft",Programme_Grunddaten!AO191&lt;&gt;""),IF(Programme_Grunddaten!AO191="Ja",1,0),"")</f>
        <v/>
      </c>
      <c r="AH186" s="1" t="str">
        <f>IF(AND(Programme_Grunddaten!$A191="Geprüft",Programme_Grunddaten!AP191&lt;&gt;""),IF(Programme_Grunddaten!AP191="Ja",1,0),"")</f>
        <v/>
      </c>
      <c r="AI186" s="1" t="str">
        <f>IF(AND(Programme_Grunddaten!$A191="Geprüft",Programme_Grunddaten!AQ191&lt;&gt;""),IF(Programme_Grunddaten!AQ191="Ja",1,0),"")</f>
        <v/>
      </c>
      <c r="AJ186" s="1" t="str">
        <f>IF(AND(Programme_Grunddaten!$A191="Geprüft",Programme_Grunddaten!AR191&lt;&gt;""),IF(Programme_Grunddaten!AR191="Ja",1,0),"")</f>
        <v/>
      </c>
      <c r="AK186" s="1" t="str">
        <f>IF(AND(Programme_Grunddaten!$A191="Geprüft",Programme_Grunddaten!AS191&lt;&gt;""),IF(Programme_Grunddaten!AS191="Ja",1,0),"")</f>
        <v/>
      </c>
      <c r="AL186" s="1" t="str">
        <f>IF(AND(Programme_Grunddaten!$A191="Geprüft",Programme_Grunddaten!AT191&lt;&gt;""),IF(Programme_Grunddaten!AT191="Ja",1,0),"")</f>
        <v/>
      </c>
      <c r="AM186" s="1" t="str">
        <f>IF(AND(Programme_Grunddaten!$A191="Geprüft",Programme_Grunddaten!AU191&lt;&gt;""),IF(Programme_Grunddaten!AU191="Ja",1,0),"")</f>
        <v/>
      </c>
      <c r="AN186" s="1" t="str">
        <f>IF(AND(Programme_Grunddaten!$A191="Geprüft",Programme_Grunddaten!AV191&lt;&gt;""),IF(Programme_Grunddaten!AV191="Ja",1,0),"")</f>
        <v/>
      </c>
    </row>
    <row r="187" spans="1:40" x14ac:dyDescent="0.3">
      <c r="A187" s="1" t="str">
        <f>IF(AND(Programme_Grunddaten!A192="Geprüft",Programme_Grunddaten!B192&lt;&gt;""),Programme_Grunddaten!B192,"")</f>
        <v/>
      </c>
      <c r="B187" s="1" t="str">
        <f>IF(AND(Programme_Grunddaten!$A192="Geprüft",Programme_Grunddaten!I192&lt;&gt;""),IF(Programme_Grunddaten!I192="Ja",1,0),"")</f>
        <v/>
      </c>
      <c r="C187" s="1" t="str">
        <f>IF(AND(Programme_Grunddaten!$A192="Geprüft",Programme_Grunddaten!J192&lt;&gt;""),IF(Programme_Grunddaten!J192="Ja",1,0),"")</f>
        <v/>
      </c>
      <c r="D187" s="1" t="str">
        <f>IF(AND(Programme_Grunddaten!$A192="Geprüft",Programme_Grunddaten!K192&lt;&gt;""),IF(Programme_Grunddaten!K192="Ja",1,0),"")</f>
        <v/>
      </c>
      <c r="E187" s="1" t="str">
        <f>IF(AND(Programme_Grunddaten!$A192="Geprüft",Programme_Grunddaten!L192&lt;&gt;""),IF(Programme_Grunddaten!L192="Abo / befristete Lizenz",1,0),"")</f>
        <v/>
      </c>
      <c r="F187" s="1" t="str">
        <f>IF(AND(Programme_Grunddaten!$A192="Geprüft",Programme_Grunddaten!M192&lt;&gt;""),IF(Programme_Grunddaten!M192="Ja",1,0),"")</f>
        <v/>
      </c>
      <c r="G187" s="1" t="str">
        <f>IF(AND(Programme_Grunddaten!$A192="Geprüft",Programme_Grunddaten!N192&lt;&gt;""),IF(Programme_Grunddaten!N192="Ja",1,0),"")</f>
        <v/>
      </c>
      <c r="H187" s="1" t="str">
        <f>IF(AND(Programme_Grunddaten!$A192="Geprüft",Programme_Grunddaten!O192&lt;&gt;""),IF(Programme_Grunddaten!O192="Deutschland",0,IF(Programme_Grunddaten!O192="EU",1,2)),"")</f>
        <v/>
      </c>
      <c r="I187" s="1" t="str">
        <f>IF(AND(Programme_Grunddaten!$A192="Geprüft",Programme_Grunddaten!P192&lt;&gt;""),IF(Programme_Grunddaten!P192="Ja",1,0),"")</f>
        <v/>
      </c>
      <c r="J187" s="1" t="str">
        <f>IF(AND(Programme_Grunddaten!$A192="Geprüft",Programme_Grunddaten!Q192&lt;&gt;""),IF(Programme_Grunddaten!Q192="geschlossenes System",1,0),"")</f>
        <v/>
      </c>
      <c r="K187" s="1" t="str">
        <f>IF(AND(Programme_Grunddaten!$A192="Geprüft",Programme_Grunddaten!R192&lt;&gt;""),IF(Programme_Grunddaten!R192="Ja",1,0),"")</f>
        <v/>
      </c>
      <c r="L187" s="1" t="str">
        <f>IF(AND(Programme_Grunddaten!$A192="Geprüft",Programme_Grunddaten!T192&lt;&gt;""),IF(Programme_Grunddaten!T192="Ja",1,0),"")</f>
        <v/>
      </c>
      <c r="M187" s="1" t="str">
        <f>IF(AND(Programme_Grunddaten!$A192="Geprüft",Programme_Grunddaten!U192&lt;&gt;""),IF(Programme_Grunddaten!U192="Ja",1,0),"")</f>
        <v/>
      </c>
      <c r="N187" s="1" t="str">
        <f>IF(AND(Programme_Grunddaten!$A192="Geprüft",Programme_Grunddaten!V192&lt;&gt;""),IF(Programme_Grunddaten!V192="Ja",1,0),"")</f>
        <v/>
      </c>
      <c r="O187" s="1" t="str">
        <f>IF(AND(Programme_Grunddaten!$A192="Geprüft",Programme_Grunddaten!W192&lt;&gt;""),IF(Programme_Grunddaten!W192="Ja",1,0),"")</f>
        <v/>
      </c>
      <c r="P187" s="1" t="str">
        <f>IF(AND(Programme_Grunddaten!$A192="Geprüft",Programme_Grunddaten!X192&lt;&gt;""),IF(Programme_Grunddaten!X192="Ja",1,0),"")</f>
        <v/>
      </c>
      <c r="Q187" s="1" t="str">
        <f>IF(AND(Programme_Grunddaten!$A192="Geprüft",Programme_Grunddaten!Y192&lt;&gt;""),IF(Programme_Grunddaten!Y192="Ja",1,0),"")</f>
        <v/>
      </c>
      <c r="R187" s="1" t="str">
        <f>IF(AND(Programme_Grunddaten!$A192="Geprüft",Programme_Grunddaten!Z192&lt;&gt;""),IF(Programme_Grunddaten!Z192="Ja",1,0),"")</f>
        <v/>
      </c>
      <c r="S187" s="1" t="str">
        <f>IF(AND(Programme_Grunddaten!$A192="Geprüft",Programme_Grunddaten!AA192&lt;&gt;""),IF(Programme_Grunddaten!AA192="monolithisch",1,0),"")</f>
        <v/>
      </c>
      <c r="T187" s="1" t="str">
        <f>IF(AND(Programme_Grunddaten!$A192="Geprüft",Programme_Grunddaten!AB192&lt;&gt;""),IF(Programme_Grunddaten!AB192="Ja",1,0),"")</f>
        <v/>
      </c>
      <c r="U187" s="1" t="str">
        <f>IF(AND(Programme_Grunddaten!$A192="Geprüft",Programme_Grunddaten!AC192&lt;&gt;""),IF(Programme_Grunddaten!AC192="Ja",1,0),"")</f>
        <v/>
      </c>
      <c r="V187" s="1" t="str">
        <f>IF(AND(Programme_Grunddaten!$A192="Geprüft",Programme_Grunddaten!AD192&lt;&gt;""),IF(Programme_Grunddaten!AD192="Ja",1,0),"")</f>
        <v/>
      </c>
      <c r="W187" s="1" t="str">
        <f>IF(AND(Programme_Grunddaten!$A192="Geprüft",Programme_Grunddaten!AE192&lt;&gt;""),IF(Programme_Grunddaten!AE192="Ja",1,0),"")</f>
        <v/>
      </c>
      <c r="X187" s="1" t="str">
        <f>IF(AND(Programme_Grunddaten!$A192="Geprüft",Programme_Grunddaten!AF192&lt;&gt;""),IF(Programme_Grunddaten!AF192="Ja",1,0),"")</f>
        <v/>
      </c>
      <c r="Y187" s="1" t="str">
        <f>IF(AND(Programme_Grunddaten!$A192="Geprüft",Programme_Grunddaten!AG192&lt;&gt;""),IF(Programme_Grunddaten!AG192="Ja",1,0),"")</f>
        <v/>
      </c>
      <c r="Z187" s="1" t="str">
        <f>IF(AND(Programme_Grunddaten!$A192="Geprüft",Programme_Grunddaten!AH192&lt;&gt;""),IF(Programme_Grunddaten!AH192="Ja",1,0),"")</f>
        <v/>
      </c>
      <c r="AA187" s="1" t="str">
        <f>IF(AND(Programme_Grunddaten!$A192="Geprüft",Programme_Grunddaten!AI192&lt;&gt;""),IF(Programme_Grunddaten!AI192="Ja",1,0),"")</f>
        <v/>
      </c>
      <c r="AB187" s="1" t="str">
        <f>IF(AND(Programme_Grunddaten!$A192="Geprüft",Programme_Grunddaten!AJ192&lt;&gt;""),IF(Programme_Grunddaten!AJ192="individuell programmierbar",1,0),"")</f>
        <v/>
      </c>
      <c r="AC187" s="1" t="str">
        <f>IF(AND(Programme_Grunddaten!$A192="Geprüft",Programme_Grunddaten!AK192&lt;&gt;""),IF(Programme_Grunddaten!AK192="Deutsch",0,IF(Programme_Grunddaten!AK192="Deutsch und Englisch",1,2)),"")</f>
        <v/>
      </c>
      <c r="AD187" s="1" t="str">
        <f>IF(AND(Programme_Grunddaten!$A192="Geprüft",Programme_Grunddaten!AL192&lt;&gt;""),IF(Programme_Grunddaten!AL192="Ja",1,0),"")</f>
        <v/>
      </c>
      <c r="AE187" s="1" t="str">
        <f>IF(AND(Programme_Grunddaten!$A192="Geprüft",Programme_Grunddaten!AM192&lt;&gt;""),IF(Programme_Grunddaten!AM192="Ja",1,0),"")</f>
        <v/>
      </c>
      <c r="AF187" s="1" t="str">
        <f>IF(AND(Programme_Grunddaten!$A192="Geprüft",Programme_Grunddaten!AN192&lt;&gt;""),IF(Programme_Grunddaten!AN192="Ja",1,0),"")</f>
        <v/>
      </c>
      <c r="AG187" s="1" t="str">
        <f>IF(AND(Programme_Grunddaten!$A192="Geprüft",Programme_Grunddaten!AO192&lt;&gt;""),IF(Programme_Grunddaten!AO192="Ja",1,0),"")</f>
        <v/>
      </c>
      <c r="AH187" s="1" t="str">
        <f>IF(AND(Programme_Grunddaten!$A192="Geprüft",Programme_Grunddaten!AP192&lt;&gt;""),IF(Programme_Grunddaten!AP192="Ja",1,0),"")</f>
        <v/>
      </c>
      <c r="AI187" s="1" t="str">
        <f>IF(AND(Programme_Grunddaten!$A192="Geprüft",Programme_Grunddaten!AQ192&lt;&gt;""),IF(Programme_Grunddaten!AQ192="Ja",1,0),"")</f>
        <v/>
      </c>
      <c r="AJ187" s="1" t="str">
        <f>IF(AND(Programme_Grunddaten!$A192="Geprüft",Programme_Grunddaten!AR192&lt;&gt;""),IF(Programme_Grunddaten!AR192="Ja",1,0),"")</f>
        <v/>
      </c>
      <c r="AK187" s="1" t="str">
        <f>IF(AND(Programme_Grunddaten!$A192="Geprüft",Programme_Grunddaten!AS192&lt;&gt;""),IF(Programme_Grunddaten!AS192="Ja",1,0),"")</f>
        <v/>
      </c>
      <c r="AL187" s="1" t="str">
        <f>IF(AND(Programme_Grunddaten!$A192="Geprüft",Programme_Grunddaten!AT192&lt;&gt;""),IF(Programme_Grunddaten!AT192="Ja",1,0),"")</f>
        <v/>
      </c>
      <c r="AM187" s="1" t="str">
        <f>IF(AND(Programme_Grunddaten!$A192="Geprüft",Programme_Grunddaten!AU192&lt;&gt;""),IF(Programme_Grunddaten!AU192="Ja",1,0),"")</f>
        <v/>
      </c>
      <c r="AN187" s="1" t="str">
        <f>IF(AND(Programme_Grunddaten!$A192="Geprüft",Programme_Grunddaten!AV192&lt;&gt;""),IF(Programme_Grunddaten!AV192="Ja",1,0),"")</f>
        <v/>
      </c>
    </row>
    <row r="188" spans="1:40" x14ac:dyDescent="0.3">
      <c r="A188" s="1" t="str">
        <f>IF(AND(Programme_Grunddaten!A193="Geprüft",Programme_Grunddaten!B193&lt;&gt;""),Programme_Grunddaten!B193,"")</f>
        <v/>
      </c>
      <c r="B188" s="1" t="str">
        <f>IF(AND(Programme_Grunddaten!$A193="Geprüft",Programme_Grunddaten!I193&lt;&gt;""),IF(Programme_Grunddaten!I193="Ja",1,0),"")</f>
        <v/>
      </c>
      <c r="C188" s="1" t="str">
        <f>IF(AND(Programme_Grunddaten!$A193="Geprüft",Programme_Grunddaten!J193&lt;&gt;""),IF(Programme_Grunddaten!J193="Ja",1,0),"")</f>
        <v/>
      </c>
      <c r="D188" s="1" t="str">
        <f>IF(AND(Programme_Grunddaten!$A193="Geprüft",Programme_Grunddaten!K193&lt;&gt;""),IF(Programme_Grunddaten!K193="Ja",1,0),"")</f>
        <v/>
      </c>
      <c r="E188" s="1" t="str">
        <f>IF(AND(Programme_Grunddaten!$A193="Geprüft",Programme_Grunddaten!L193&lt;&gt;""),IF(Programme_Grunddaten!L193="Abo / befristete Lizenz",1,0),"")</f>
        <v/>
      </c>
      <c r="F188" s="1" t="str">
        <f>IF(AND(Programme_Grunddaten!$A193="Geprüft",Programme_Grunddaten!M193&lt;&gt;""),IF(Programme_Grunddaten!M193="Ja",1,0),"")</f>
        <v/>
      </c>
      <c r="G188" s="1" t="str">
        <f>IF(AND(Programme_Grunddaten!$A193="Geprüft",Programme_Grunddaten!N193&lt;&gt;""),IF(Programme_Grunddaten!N193="Ja",1,0),"")</f>
        <v/>
      </c>
      <c r="H188" s="1" t="str">
        <f>IF(AND(Programme_Grunddaten!$A193="Geprüft",Programme_Grunddaten!O193&lt;&gt;""),IF(Programme_Grunddaten!O193="Deutschland",0,IF(Programme_Grunddaten!O193="EU",1,2)),"")</f>
        <v/>
      </c>
      <c r="I188" s="1" t="str">
        <f>IF(AND(Programme_Grunddaten!$A193="Geprüft",Programme_Grunddaten!P193&lt;&gt;""),IF(Programme_Grunddaten!P193="Ja",1,0),"")</f>
        <v/>
      </c>
      <c r="J188" s="1" t="str">
        <f>IF(AND(Programme_Grunddaten!$A193="Geprüft",Programme_Grunddaten!Q193&lt;&gt;""),IF(Programme_Grunddaten!Q193="geschlossenes System",1,0),"")</f>
        <v/>
      </c>
      <c r="K188" s="1" t="str">
        <f>IF(AND(Programme_Grunddaten!$A193="Geprüft",Programme_Grunddaten!R193&lt;&gt;""),IF(Programme_Grunddaten!R193="Ja",1,0),"")</f>
        <v/>
      </c>
      <c r="L188" s="1" t="str">
        <f>IF(AND(Programme_Grunddaten!$A193="Geprüft",Programme_Grunddaten!T193&lt;&gt;""),IF(Programme_Grunddaten!T193="Ja",1,0),"")</f>
        <v/>
      </c>
      <c r="M188" s="1" t="str">
        <f>IF(AND(Programme_Grunddaten!$A193="Geprüft",Programme_Grunddaten!U193&lt;&gt;""),IF(Programme_Grunddaten!U193="Ja",1,0),"")</f>
        <v/>
      </c>
      <c r="N188" s="1" t="str">
        <f>IF(AND(Programme_Grunddaten!$A193="Geprüft",Programme_Grunddaten!V193&lt;&gt;""),IF(Programme_Grunddaten!V193="Ja",1,0),"")</f>
        <v/>
      </c>
      <c r="O188" s="1" t="str">
        <f>IF(AND(Programme_Grunddaten!$A193="Geprüft",Programme_Grunddaten!W193&lt;&gt;""),IF(Programme_Grunddaten!W193="Ja",1,0),"")</f>
        <v/>
      </c>
      <c r="P188" s="1" t="str">
        <f>IF(AND(Programme_Grunddaten!$A193="Geprüft",Programme_Grunddaten!X193&lt;&gt;""),IF(Programme_Grunddaten!X193="Ja",1,0),"")</f>
        <v/>
      </c>
      <c r="Q188" s="1" t="str">
        <f>IF(AND(Programme_Grunddaten!$A193="Geprüft",Programme_Grunddaten!Y193&lt;&gt;""),IF(Programme_Grunddaten!Y193="Ja",1,0),"")</f>
        <v/>
      </c>
      <c r="R188" s="1" t="str">
        <f>IF(AND(Programme_Grunddaten!$A193="Geprüft",Programme_Grunddaten!Z193&lt;&gt;""),IF(Programme_Grunddaten!Z193="Ja",1,0),"")</f>
        <v/>
      </c>
      <c r="S188" s="1" t="str">
        <f>IF(AND(Programme_Grunddaten!$A193="Geprüft",Programme_Grunddaten!AA193&lt;&gt;""),IF(Programme_Grunddaten!AA193="monolithisch",1,0),"")</f>
        <v/>
      </c>
      <c r="T188" s="1" t="str">
        <f>IF(AND(Programme_Grunddaten!$A193="Geprüft",Programme_Grunddaten!AB193&lt;&gt;""),IF(Programme_Grunddaten!AB193="Ja",1,0),"")</f>
        <v/>
      </c>
      <c r="U188" s="1" t="str">
        <f>IF(AND(Programme_Grunddaten!$A193="Geprüft",Programme_Grunddaten!AC193&lt;&gt;""),IF(Programme_Grunddaten!AC193="Ja",1,0),"")</f>
        <v/>
      </c>
      <c r="V188" s="1" t="str">
        <f>IF(AND(Programme_Grunddaten!$A193="Geprüft",Programme_Grunddaten!AD193&lt;&gt;""),IF(Programme_Grunddaten!AD193="Ja",1,0),"")</f>
        <v/>
      </c>
      <c r="W188" s="1" t="str">
        <f>IF(AND(Programme_Grunddaten!$A193="Geprüft",Programme_Grunddaten!AE193&lt;&gt;""),IF(Programme_Grunddaten!AE193="Ja",1,0),"")</f>
        <v/>
      </c>
      <c r="X188" s="1" t="str">
        <f>IF(AND(Programme_Grunddaten!$A193="Geprüft",Programme_Grunddaten!AF193&lt;&gt;""),IF(Programme_Grunddaten!AF193="Ja",1,0),"")</f>
        <v/>
      </c>
      <c r="Y188" s="1" t="str">
        <f>IF(AND(Programme_Grunddaten!$A193="Geprüft",Programme_Grunddaten!AG193&lt;&gt;""),IF(Programme_Grunddaten!AG193="Ja",1,0),"")</f>
        <v/>
      </c>
      <c r="Z188" s="1" t="str">
        <f>IF(AND(Programme_Grunddaten!$A193="Geprüft",Programme_Grunddaten!AH193&lt;&gt;""),IF(Programme_Grunddaten!AH193="Ja",1,0),"")</f>
        <v/>
      </c>
      <c r="AA188" s="1" t="str">
        <f>IF(AND(Programme_Grunddaten!$A193="Geprüft",Programme_Grunddaten!AI193&lt;&gt;""),IF(Programme_Grunddaten!AI193="Ja",1,0),"")</f>
        <v/>
      </c>
      <c r="AB188" s="1" t="str">
        <f>IF(AND(Programme_Grunddaten!$A193="Geprüft",Programme_Grunddaten!AJ193&lt;&gt;""),IF(Programme_Grunddaten!AJ193="individuell programmierbar",1,0),"")</f>
        <v/>
      </c>
      <c r="AC188" s="1" t="str">
        <f>IF(AND(Programme_Grunddaten!$A193="Geprüft",Programme_Grunddaten!AK193&lt;&gt;""),IF(Programme_Grunddaten!AK193="Deutsch",0,IF(Programme_Grunddaten!AK193="Deutsch und Englisch",1,2)),"")</f>
        <v/>
      </c>
      <c r="AD188" s="1" t="str">
        <f>IF(AND(Programme_Grunddaten!$A193="Geprüft",Programme_Grunddaten!AL193&lt;&gt;""),IF(Programme_Grunddaten!AL193="Ja",1,0),"")</f>
        <v/>
      </c>
      <c r="AE188" s="1" t="str">
        <f>IF(AND(Programme_Grunddaten!$A193="Geprüft",Programme_Grunddaten!AM193&lt;&gt;""),IF(Programme_Grunddaten!AM193="Ja",1,0),"")</f>
        <v/>
      </c>
      <c r="AF188" s="1" t="str">
        <f>IF(AND(Programme_Grunddaten!$A193="Geprüft",Programme_Grunddaten!AN193&lt;&gt;""),IF(Programme_Grunddaten!AN193="Ja",1,0),"")</f>
        <v/>
      </c>
      <c r="AG188" s="1" t="str">
        <f>IF(AND(Programme_Grunddaten!$A193="Geprüft",Programme_Grunddaten!AO193&lt;&gt;""),IF(Programme_Grunddaten!AO193="Ja",1,0),"")</f>
        <v/>
      </c>
      <c r="AH188" s="1" t="str">
        <f>IF(AND(Programme_Grunddaten!$A193="Geprüft",Programme_Grunddaten!AP193&lt;&gt;""),IF(Programme_Grunddaten!AP193="Ja",1,0),"")</f>
        <v/>
      </c>
      <c r="AI188" s="1" t="str">
        <f>IF(AND(Programme_Grunddaten!$A193="Geprüft",Programme_Grunddaten!AQ193&lt;&gt;""),IF(Programme_Grunddaten!AQ193="Ja",1,0),"")</f>
        <v/>
      </c>
      <c r="AJ188" s="1" t="str">
        <f>IF(AND(Programme_Grunddaten!$A193="Geprüft",Programme_Grunddaten!AR193&lt;&gt;""),IF(Programme_Grunddaten!AR193="Ja",1,0),"")</f>
        <v/>
      </c>
      <c r="AK188" s="1" t="str">
        <f>IF(AND(Programme_Grunddaten!$A193="Geprüft",Programme_Grunddaten!AS193&lt;&gt;""),IF(Programme_Grunddaten!AS193="Ja",1,0),"")</f>
        <v/>
      </c>
      <c r="AL188" s="1" t="str">
        <f>IF(AND(Programme_Grunddaten!$A193="Geprüft",Programme_Grunddaten!AT193&lt;&gt;""),IF(Programme_Grunddaten!AT193="Ja",1,0),"")</f>
        <v/>
      </c>
      <c r="AM188" s="1" t="str">
        <f>IF(AND(Programme_Grunddaten!$A193="Geprüft",Programme_Grunddaten!AU193&lt;&gt;""),IF(Programme_Grunddaten!AU193="Ja",1,0),"")</f>
        <v/>
      </c>
      <c r="AN188" s="1" t="str">
        <f>IF(AND(Programme_Grunddaten!$A193="Geprüft",Programme_Grunddaten!AV193&lt;&gt;""),IF(Programme_Grunddaten!AV193="Ja",1,0),"")</f>
        <v/>
      </c>
    </row>
    <row r="189" spans="1:40" x14ac:dyDescent="0.3">
      <c r="A189" s="1" t="str">
        <f>IF(AND(Programme_Grunddaten!A194="Geprüft",Programme_Grunddaten!B194&lt;&gt;""),Programme_Grunddaten!B194,"")</f>
        <v/>
      </c>
      <c r="B189" s="1" t="str">
        <f>IF(AND(Programme_Grunddaten!$A194="Geprüft",Programme_Grunddaten!I194&lt;&gt;""),IF(Programme_Grunddaten!I194="Ja",1,0),"")</f>
        <v/>
      </c>
      <c r="C189" s="1" t="str">
        <f>IF(AND(Programme_Grunddaten!$A194="Geprüft",Programme_Grunddaten!J194&lt;&gt;""),IF(Programme_Grunddaten!J194="Ja",1,0),"")</f>
        <v/>
      </c>
      <c r="D189" s="1" t="str">
        <f>IF(AND(Programme_Grunddaten!$A194="Geprüft",Programme_Grunddaten!K194&lt;&gt;""),IF(Programme_Grunddaten!K194="Ja",1,0),"")</f>
        <v/>
      </c>
      <c r="E189" s="1" t="str">
        <f>IF(AND(Programme_Grunddaten!$A194="Geprüft",Programme_Grunddaten!L194&lt;&gt;""),IF(Programme_Grunddaten!L194="Abo / befristete Lizenz",1,0),"")</f>
        <v/>
      </c>
      <c r="F189" s="1" t="str">
        <f>IF(AND(Programme_Grunddaten!$A194="Geprüft",Programme_Grunddaten!M194&lt;&gt;""),IF(Programme_Grunddaten!M194="Ja",1,0),"")</f>
        <v/>
      </c>
      <c r="G189" s="1" t="str">
        <f>IF(AND(Programme_Grunddaten!$A194="Geprüft",Programme_Grunddaten!N194&lt;&gt;""),IF(Programme_Grunddaten!N194="Ja",1,0),"")</f>
        <v/>
      </c>
      <c r="H189" s="1" t="str">
        <f>IF(AND(Programme_Grunddaten!$A194="Geprüft",Programme_Grunddaten!O194&lt;&gt;""),IF(Programme_Grunddaten!O194="Deutschland",0,IF(Programme_Grunddaten!O194="EU",1,2)),"")</f>
        <v/>
      </c>
      <c r="I189" s="1" t="str">
        <f>IF(AND(Programme_Grunddaten!$A194="Geprüft",Programme_Grunddaten!P194&lt;&gt;""),IF(Programme_Grunddaten!P194="Ja",1,0),"")</f>
        <v/>
      </c>
      <c r="J189" s="1" t="str">
        <f>IF(AND(Programme_Grunddaten!$A194="Geprüft",Programme_Grunddaten!Q194&lt;&gt;""),IF(Programme_Grunddaten!Q194="geschlossenes System",1,0),"")</f>
        <v/>
      </c>
      <c r="K189" s="1" t="str">
        <f>IF(AND(Programme_Grunddaten!$A194="Geprüft",Programme_Grunddaten!R194&lt;&gt;""),IF(Programme_Grunddaten!R194="Ja",1,0),"")</f>
        <v/>
      </c>
      <c r="L189" s="1" t="str">
        <f>IF(AND(Programme_Grunddaten!$A194="Geprüft",Programme_Grunddaten!T194&lt;&gt;""),IF(Programme_Grunddaten!T194="Ja",1,0),"")</f>
        <v/>
      </c>
      <c r="M189" s="1" t="str">
        <f>IF(AND(Programme_Grunddaten!$A194="Geprüft",Programme_Grunddaten!U194&lt;&gt;""),IF(Programme_Grunddaten!U194="Ja",1,0),"")</f>
        <v/>
      </c>
      <c r="N189" s="1" t="str">
        <f>IF(AND(Programme_Grunddaten!$A194="Geprüft",Programme_Grunddaten!V194&lt;&gt;""),IF(Programme_Grunddaten!V194="Ja",1,0),"")</f>
        <v/>
      </c>
      <c r="O189" s="1" t="str">
        <f>IF(AND(Programme_Grunddaten!$A194="Geprüft",Programme_Grunddaten!W194&lt;&gt;""),IF(Programme_Grunddaten!W194="Ja",1,0),"")</f>
        <v/>
      </c>
      <c r="P189" s="1" t="str">
        <f>IF(AND(Programme_Grunddaten!$A194="Geprüft",Programme_Grunddaten!X194&lt;&gt;""),IF(Programme_Grunddaten!X194="Ja",1,0),"")</f>
        <v/>
      </c>
      <c r="Q189" s="1" t="str">
        <f>IF(AND(Programme_Grunddaten!$A194="Geprüft",Programme_Grunddaten!Y194&lt;&gt;""),IF(Programme_Grunddaten!Y194="Ja",1,0),"")</f>
        <v/>
      </c>
      <c r="R189" s="1" t="str">
        <f>IF(AND(Programme_Grunddaten!$A194="Geprüft",Programme_Grunddaten!Z194&lt;&gt;""),IF(Programme_Grunddaten!Z194="Ja",1,0),"")</f>
        <v/>
      </c>
      <c r="S189" s="1" t="str">
        <f>IF(AND(Programme_Grunddaten!$A194="Geprüft",Programme_Grunddaten!AA194&lt;&gt;""),IF(Programme_Grunddaten!AA194="monolithisch",1,0),"")</f>
        <v/>
      </c>
      <c r="T189" s="1" t="str">
        <f>IF(AND(Programme_Grunddaten!$A194="Geprüft",Programme_Grunddaten!AB194&lt;&gt;""),IF(Programme_Grunddaten!AB194="Ja",1,0),"")</f>
        <v/>
      </c>
      <c r="U189" s="1" t="str">
        <f>IF(AND(Programme_Grunddaten!$A194="Geprüft",Programme_Grunddaten!AC194&lt;&gt;""),IF(Programme_Grunddaten!AC194="Ja",1,0),"")</f>
        <v/>
      </c>
      <c r="V189" s="1" t="str">
        <f>IF(AND(Programme_Grunddaten!$A194="Geprüft",Programme_Grunddaten!AD194&lt;&gt;""),IF(Programme_Grunddaten!AD194="Ja",1,0),"")</f>
        <v/>
      </c>
      <c r="W189" s="1" t="str">
        <f>IF(AND(Programme_Grunddaten!$A194="Geprüft",Programme_Grunddaten!AE194&lt;&gt;""),IF(Programme_Grunddaten!AE194="Ja",1,0),"")</f>
        <v/>
      </c>
      <c r="X189" s="1" t="str">
        <f>IF(AND(Programme_Grunddaten!$A194="Geprüft",Programme_Grunddaten!AF194&lt;&gt;""),IF(Programme_Grunddaten!AF194="Ja",1,0),"")</f>
        <v/>
      </c>
      <c r="Y189" s="1" t="str">
        <f>IF(AND(Programme_Grunddaten!$A194="Geprüft",Programme_Grunddaten!AG194&lt;&gt;""),IF(Programme_Grunddaten!AG194="Ja",1,0),"")</f>
        <v/>
      </c>
      <c r="Z189" s="1" t="str">
        <f>IF(AND(Programme_Grunddaten!$A194="Geprüft",Programme_Grunddaten!AH194&lt;&gt;""),IF(Programme_Grunddaten!AH194="Ja",1,0),"")</f>
        <v/>
      </c>
      <c r="AA189" s="1" t="str">
        <f>IF(AND(Programme_Grunddaten!$A194="Geprüft",Programme_Grunddaten!AI194&lt;&gt;""),IF(Programme_Grunddaten!AI194="Ja",1,0),"")</f>
        <v/>
      </c>
      <c r="AB189" s="1" t="str">
        <f>IF(AND(Programme_Grunddaten!$A194="Geprüft",Programme_Grunddaten!AJ194&lt;&gt;""),IF(Programme_Grunddaten!AJ194="individuell programmierbar",1,0),"")</f>
        <v/>
      </c>
      <c r="AC189" s="1" t="str">
        <f>IF(AND(Programme_Grunddaten!$A194="Geprüft",Programme_Grunddaten!AK194&lt;&gt;""),IF(Programme_Grunddaten!AK194="Deutsch",0,IF(Programme_Grunddaten!AK194="Deutsch und Englisch",1,2)),"")</f>
        <v/>
      </c>
      <c r="AD189" s="1" t="str">
        <f>IF(AND(Programme_Grunddaten!$A194="Geprüft",Programme_Grunddaten!AL194&lt;&gt;""),IF(Programme_Grunddaten!AL194="Ja",1,0),"")</f>
        <v/>
      </c>
      <c r="AE189" s="1" t="str">
        <f>IF(AND(Programme_Grunddaten!$A194="Geprüft",Programme_Grunddaten!AM194&lt;&gt;""),IF(Programme_Grunddaten!AM194="Ja",1,0),"")</f>
        <v/>
      </c>
      <c r="AF189" s="1" t="str">
        <f>IF(AND(Programme_Grunddaten!$A194="Geprüft",Programme_Grunddaten!AN194&lt;&gt;""),IF(Programme_Grunddaten!AN194="Ja",1,0),"")</f>
        <v/>
      </c>
      <c r="AG189" s="1" t="str">
        <f>IF(AND(Programme_Grunddaten!$A194="Geprüft",Programme_Grunddaten!AO194&lt;&gt;""),IF(Programme_Grunddaten!AO194="Ja",1,0),"")</f>
        <v/>
      </c>
      <c r="AH189" s="1" t="str">
        <f>IF(AND(Programme_Grunddaten!$A194="Geprüft",Programme_Grunddaten!AP194&lt;&gt;""),IF(Programme_Grunddaten!AP194="Ja",1,0),"")</f>
        <v/>
      </c>
      <c r="AI189" s="1" t="str">
        <f>IF(AND(Programme_Grunddaten!$A194="Geprüft",Programme_Grunddaten!AQ194&lt;&gt;""),IF(Programme_Grunddaten!AQ194="Ja",1,0),"")</f>
        <v/>
      </c>
      <c r="AJ189" s="1" t="str">
        <f>IF(AND(Programme_Grunddaten!$A194="Geprüft",Programme_Grunddaten!AR194&lt;&gt;""),IF(Programme_Grunddaten!AR194="Ja",1,0),"")</f>
        <v/>
      </c>
      <c r="AK189" s="1" t="str">
        <f>IF(AND(Programme_Grunddaten!$A194="Geprüft",Programme_Grunddaten!AS194&lt;&gt;""),IF(Programme_Grunddaten!AS194="Ja",1,0),"")</f>
        <v/>
      </c>
      <c r="AL189" s="1" t="str">
        <f>IF(AND(Programme_Grunddaten!$A194="Geprüft",Programme_Grunddaten!AT194&lt;&gt;""),IF(Programme_Grunddaten!AT194="Ja",1,0),"")</f>
        <v/>
      </c>
      <c r="AM189" s="1" t="str">
        <f>IF(AND(Programme_Grunddaten!$A194="Geprüft",Programme_Grunddaten!AU194&lt;&gt;""),IF(Programme_Grunddaten!AU194="Ja",1,0),"")</f>
        <v/>
      </c>
      <c r="AN189" s="1" t="str">
        <f>IF(AND(Programme_Grunddaten!$A194="Geprüft",Programme_Grunddaten!AV194&lt;&gt;""),IF(Programme_Grunddaten!AV194="Ja",1,0),"")</f>
        <v/>
      </c>
    </row>
    <row r="190" spans="1:40" x14ac:dyDescent="0.3">
      <c r="A190" s="1" t="str">
        <f>IF(AND(Programme_Grunddaten!A195="Geprüft",Programme_Grunddaten!B195&lt;&gt;""),Programme_Grunddaten!B195,"")</f>
        <v/>
      </c>
      <c r="B190" s="1" t="str">
        <f>IF(AND(Programme_Grunddaten!$A195="Geprüft",Programme_Grunddaten!I195&lt;&gt;""),IF(Programme_Grunddaten!I195="Ja",1,0),"")</f>
        <v/>
      </c>
      <c r="C190" s="1" t="str">
        <f>IF(AND(Programme_Grunddaten!$A195="Geprüft",Programme_Grunddaten!J195&lt;&gt;""),IF(Programme_Grunddaten!J195="Ja",1,0),"")</f>
        <v/>
      </c>
      <c r="D190" s="1" t="str">
        <f>IF(AND(Programme_Grunddaten!$A195="Geprüft",Programme_Grunddaten!K195&lt;&gt;""),IF(Programme_Grunddaten!K195="Ja",1,0),"")</f>
        <v/>
      </c>
      <c r="E190" s="1" t="str">
        <f>IF(AND(Programme_Grunddaten!$A195="Geprüft",Programme_Grunddaten!L195&lt;&gt;""),IF(Programme_Grunddaten!L195="Abo / befristete Lizenz",1,0),"")</f>
        <v/>
      </c>
      <c r="F190" s="1" t="str">
        <f>IF(AND(Programme_Grunddaten!$A195="Geprüft",Programme_Grunddaten!M195&lt;&gt;""),IF(Programme_Grunddaten!M195="Ja",1,0),"")</f>
        <v/>
      </c>
      <c r="G190" s="1" t="str">
        <f>IF(AND(Programme_Grunddaten!$A195="Geprüft",Programme_Grunddaten!N195&lt;&gt;""),IF(Programme_Grunddaten!N195="Ja",1,0),"")</f>
        <v/>
      </c>
      <c r="H190" s="1" t="str">
        <f>IF(AND(Programme_Grunddaten!$A195="Geprüft",Programme_Grunddaten!O195&lt;&gt;""),IF(Programme_Grunddaten!O195="Deutschland",0,IF(Programme_Grunddaten!O195="EU",1,2)),"")</f>
        <v/>
      </c>
      <c r="I190" s="1" t="str">
        <f>IF(AND(Programme_Grunddaten!$A195="Geprüft",Programme_Grunddaten!P195&lt;&gt;""),IF(Programme_Grunddaten!P195="Ja",1,0),"")</f>
        <v/>
      </c>
      <c r="J190" s="1" t="str">
        <f>IF(AND(Programme_Grunddaten!$A195="Geprüft",Programme_Grunddaten!Q195&lt;&gt;""),IF(Programme_Grunddaten!Q195="geschlossenes System",1,0),"")</f>
        <v/>
      </c>
      <c r="K190" s="1" t="str">
        <f>IF(AND(Programme_Grunddaten!$A195="Geprüft",Programme_Grunddaten!R195&lt;&gt;""),IF(Programme_Grunddaten!R195="Ja",1,0),"")</f>
        <v/>
      </c>
      <c r="L190" s="1" t="str">
        <f>IF(AND(Programme_Grunddaten!$A195="Geprüft",Programme_Grunddaten!T195&lt;&gt;""),IF(Programme_Grunddaten!T195="Ja",1,0),"")</f>
        <v/>
      </c>
      <c r="M190" s="1" t="str">
        <f>IF(AND(Programme_Grunddaten!$A195="Geprüft",Programme_Grunddaten!U195&lt;&gt;""),IF(Programme_Grunddaten!U195="Ja",1,0),"")</f>
        <v/>
      </c>
      <c r="N190" s="1" t="str">
        <f>IF(AND(Programme_Grunddaten!$A195="Geprüft",Programme_Grunddaten!V195&lt;&gt;""),IF(Programme_Grunddaten!V195="Ja",1,0),"")</f>
        <v/>
      </c>
      <c r="O190" s="1" t="str">
        <f>IF(AND(Programme_Grunddaten!$A195="Geprüft",Programme_Grunddaten!W195&lt;&gt;""),IF(Programme_Grunddaten!W195="Ja",1,0),"")</f>
        <v/>
      </c>
      <c r="P190" s="1" t="str">
        <f>IF(AND(Programme_Grunddaten!$A195="Geprüft",Programme_Grunddaten!X195&lt;&gt;""),IF(Programme_Grunddaten!X195="Ja",1,0),"")</f>
        <v/>
      </c>
      <c r="Q190" s="1" t="str">
        <f>IF(AND(Programme_Grunddaten!$A195="Geprüft",Programme_Grunddaten!Y195&lt;&gt;""),IF(Programme_Grunddaten!Y195="Ja",1,0),"")</f>
        <v/>
      </c>
      <c r="R190" s="1" t="str">
        <f>IF(AND(Programme_Grunddaten!$A195="Geprüft",Programme_Grunddaten!Z195&lt;&gt;""),IF(Programme_Grunddaten!Z195="Ja",1,0),"")</f>
        <v/>
      </c>
      <c r="S190" s="1" t="str">
        <f>IF(AND(Programme_Grunddaten!$A195="Geprüft",Programme_Grunddaten!AA195&lt;&gt;""),IF(Programme_Grunddaten!AA195="monolithisch",1,0),"")</f>
        <v/>
      </c>
      <c r="T190" s="1" t="str">
        <f>IF(AND(Programme_Grunddaten!$A195="Geprüft",Programme_Grunddaten!AB195&lt;&gt;""),IF(Programme_Grunddaten!AB195="Ja",1,0),"")</f>
        <v/>
      </c>
      <c r="U190" s="1" t="str">
        <f>IF(AND(Programme_Grunddaten!$A195="Geprüft",Programme_Grunddaten!AC195&lt;&gt;""),IF(Programme_Grunddaten!AC195="Ja",1,0),"")</f>
        <v/>
      </c>
      <c r="V190" s="1" t="str">
        <f>IF(AND(Programme_Grunddaten!$A195="Geprüft",Programme_Grunddaten!AD195&lt;&gt;""),IF(Programme_Grunddaten!AD195="Ja",1,0),"")</f>
        <v/>
      </c>
      <c r="W190" s="1" t="str">
        <f>IF(AND(Programme_Grunddaten!$A195="Geprüft",Programme_Grunddaten!AE195&lt;&gt;""),IF(Programme_Grunddaten!AE195="Ja",1,0),"")</f>
        <v/>
      </c>
      <c r="X190" s="1" t="str">
        <f>IF(AND(Programme_Grunddaten!$A195="Geprüft",Programme_Grunddaten!AF195&lt;&gt;""),IF(Programme_Grunddaten!AF195="Ja",1,0),"")</f>
        <v/>
      </c>
      <c r="Y190" s="1" t="str">
        <f>IF(AND(Programme_Grunddaten!$A195="Geprüft",Programme_Grunddaten!AG195&lt;&gt;""),IF(Programme_Grunddaten!AG195="Ja",1,0),"")</f>
        <v/>
      </c>
      <c r="Z190" s="1" t="str">
        <f>IF(AND(Programme_Grunddaten!$A195="Geprüft",Programme_Grunddaten!AH195&lt;&gt;""),IF(Programme_Grunddaten!AH195="Ja",1,0),"")</f>
        <v/>
      </c>
      <c r="AA190" s="1" t="str">
        <f>IF(AND(Programme_Grunddaten!$A195="Geprüft",Programme_Grunddaten!AI195&lt;&gt;""),IF(Programme_Grunddaten!AI195="Ja",1,0),"")</f>
        <v/>
      </c>
      <c r="AB190" s="1" t="str">
        <f>IF(AND(Programme_Grunddaten!$A195="Geprüft",Programme_Grunddaten!AJ195&lt;&gt;""),IF(Programme_Grunddaten!AJ195="individuell programmierbar",1,0),"")</f>
        <v/>
      </c>
      <c r="AC190" s="1" t="str">
        <f>IF(AND(Programme_Grunddaten!$A195="Geprüft",Programme_Grunddaten!AK195&lt;&gt;""),IF(Programme_Grunddaten!AK195="Deutsch",0,IF(Programme_Grunddaten!AK195="Deutsch und Englisch",1,2)),"")</f>
        <v/>
      </c>
      <c r="AD190" s="1" t="str">
        <f>IF(AND(Programme_Grunddaten!$A195="Geprüft",Programme_Grunddaten!AL195&lt;&gt;""),IF(Programme_Grunddaten!AL195="Ja",1,0),"")</f>
        <v/>
      </c>
      <c r="AE190" s="1" t="str">
        <f>IF(AND(Programme_Grunddaten!$A195="Geprüft",Programme_Grunddaten!AM195&lt;&gt;""),IF(Programme_Grunddaten!AM195="Ja",1,0),"")</f>
        <v/>
      </c>
      <c r="AF190" s="1" t="str">
        <f>IF(AND(Programme_Grunddaten!$A195="Geprüft",Programme_Grunddaten!AN195&lt;&gt;""),IF(Programme_Grunddaten!AN195="Ja",1,0),"")</f>
        <v/>
      </c>
      <c r="AG190" s="1" t="str">
        <f>IF(AND(Programme_Grunddaten!$A195="Geprüft",Programme_Grunddaten!AO195&lt;&gt;""),IF(Programme_Grunddaten!AO195="Ja",1,0),"")</f>
        <v/>
      </c>
      <c r="AH190" s="1" t="str">
        <f>IF(AND(Programme_Grunddaten!$A195="Geprüft",Programme_Grunddaten!AP195&lt;&gt;""),IF(Programme_Grunddaten!AP195="Ja",1,0),"")</f>
        <v/>
      </c>
      <c r="AI190" s="1" t="str">
        <f>IF(AND(Programme_Grunddaten!$A195="Geprüft",Programme_Grunddaten!AQ195&lt;&gt;""),IF(Programme_Grunddaten!AQ195="Ja",1,0),"")</f>
        <v/>
      </c>
      <c r="AJ190" s="1" t="str">
        <f>IF(AND(Programme_Grunddaten!$A195="Geprüft",Programme_Grunddaten!AR195&lt;&gt;""),IF(Programme_Grunddaten!AR195="Ja",1,0),"")</f>
        <v/>
      </c>
      <c r="AK190" s="1" t="str">
        <f>IF(AND(Programme_Grunddaten!$A195="Geprüft",Programme_Grunddaten!AS195&lt;&gt;""),IF(Programme_Grunddaten!AS195="Ja",1,0),"")</f>
        <v/>
      </c>
      <c r="AL190" s="1" t="str">
        <f>IF(AND(Programme_Grunddaten!$A195="Geprüft",Programme_Grunddaten!AT195&lt;&gt;""),IF(Programme_Grunddaten!AT195="Ja",1,0),"")</f>
        <v/>
      </c>
      <c r="AM190" s="1" t="str">
        <f>IF(AND(Programme_Grunddaten!$A195="Geprüft",Programme_Grunddaten!AU195&lt;&gt;""),IF(Programme_Grunddaten!AU195="Ja",1,0),"")</f>
        <v/>
      </c>
      <c r="AN190" s="1" t="str">
        <f>IF(AND(Programme_Grunddaten!$A195="Geprüft",Programme_Grunddaten!AV195&lt;&gt;""),IF(Programme_Grunddaten!AV195="Ja",1,0),"")</f>
        <v/>
      </c>
    </row>
    <row r="191" spans="1:40" x14ac:dyDescent="0.3">
      <c r="A191" s="1" t="str">
        <f>IF(AND(Programme_Grunddaten!A196="Geprüft",Programme_Grunddaten!B196&lt;&gt;""),Programme_Grunddaten!B196,"")</f>
        <v/>
      </c>
      <c r="B191" s="1" t="str">
        <f>IF(AND(Programme_Grunddaten!$A196="Geprüft",Programme_Grunddaten!I196&lt;&gt;""),IF(Programme_Grunddaten!I196="Ja",1,0),"")</f>
        <v/>
      </c>
      <c r="C191" s="1" t="str">
        <f>IF(AND(Programme_Grunddaten!$A196="Geprüft",Programme_Grunddaten!J196&lt;&gt;""),IF(Programme_Grunddaten!J196="Ja",1,0),"")</f>
        <v/>
      </c>
      <c r="D191" s="1" t="str">
        <f>IF(AND(Programme_Grunddaten!$A196="Geprüft",Programme_Grunddaten!K196&lt;&gt;""),IF(Programme_Grunddaten!K196="Ja",1,0),"")</f>
        <v/>
      </c>
      <c r="E191" s="1" t="str">
        <f>IF(AND(Programme_Grunddaten!$A196="Geprüft",Programme_Grunddaten!L196&lt;&gt;""),IF(Programme_Grunddaten!L196="Abo / befristete Lizenz",1,0),"")</f>
        <v/>
      </c>
      <c r="F191" s="1" t="str">
        <f>IF(AND(Programme_Grunddaten!$A196="Geprüft",Programme_Grunddaten!M196&lt;&gt;""),IF(Programme_Grunddaten!M196="Ja",1,0),"")</f>
        <v/>
      </c>
      <c r="G191" s="1" t="str">
        <f>IF(AND(Programme_Grunddaten!$A196="Geprüft",Programme_Grunddaten!N196&lt;&gt;""),IF(Programme_Grunddaten!N196="Ja",1,0),"")</f>
        <v/>
      </c>
      <c r="H191" s="1" t="str">
        <f>IF(AND(Programme_Grunddaten!$A196="Geprüft",Programme_Grunddaten!O196&lt;&gt;""),IF(Programme_Grunddaten!O196="Deutschland",0,IF(Programme_Grunddaten!O196="EU",1,2)),"")</f>
        <v/>
      </c>
      <c r="I191" s="1" t="str">
        <f>IF(AND(Programme_Grunddaten!$A196="Geprüft",Programme_Grunddaten!P196&lt;&gt;""),IF(Programme_Grunddaten!P196="Ja",1,0),"")</f>
        <v/>
      </c>
      <c r="J191" s="1" t="str">
        <f>IF(AND(Programme_Grunddaten!$A196="Geprüft",Programme_Grunddaten!Q196&lt;&gt;""),IF(Programme_Grunddaten!Q196="geschlossenes System",1,0),"")</f>
        <v/>
      </c>
      <c r="K191" s="1" t="str">
        <f>IF(AND(Programme_Grunddaten!$A196="Geprüft",Programme_Grunddaten!R196&lt;&gt;""),IF(Programme_Grunddaten!R196="Ja",1,0),"")</f>
        <v/>
      </c>
      <c r="L191" s="1" t="str">
        <f>IF(AND(Programme_Grunddaten!$A196="Geprüft",Programme_Grunddaten!T196&lt;&gt;""),IF(Programme_Grunddaten!T196="Ja",1,0),"")</f>
        <v/>
      </c>
      <c r="M191" s="1" t="str">
        <f>IF(AND(Programme_Grunddaten!$A196="Geprüft",Programme_Grunddaten!U196&lt;&gt;""),IF(Programme_Grunddaten!U196="Ja",1,0),"")</f>
        <v/>
      </c>
      <c r="N191" s="1" t="str">
        <f>IF(AND(Programme_Grunddaten!$A196="Geprüft",Programme_Grunddaten!V196&lt;&gt;""),IF(Programme_Grunddaten!V196="Ja",1,0),"")</f>
        <v/>
      </c>
      <c r="O191" s="1" t="str">
        <f>IF(AND(Programme_Grunddaten!$A196="Geprüft",Programme_Grunddaten!W196&lt;&gt;""),IF(Programme_Grunddaten!W196="Ja",1,0),"")</f>
        <v/>
      </c>
      <c r="P191" s="1" t="str">
        <f>IF(AND(Programme_Grunddaten!$A196="Geprüft",Programme_Grunddaten!X196&lt;&gt;""),IF(Programme_Grunddaten!X196="Ja",1,0),"")</f>
        <v/>
      </c>
      <c r="Q191" s="1" t="str">
        <f>IF(AND(Programme_Grunddaten!$A196="Geprüft",Programme_Grunddaten!Y196&lt;&gt;""),IF(Programme_Grunddaten!Y196="Ja",1,0),"")</f>
        <v/>
      </c>
      <c r="R191" s="1" t="str">
        <f>IF(AND(Programme_Grunddaten!$A196="Geprüft",Programme_Grunddaten!Z196&lt;&gt;""),IF(Programme_Grunddaten!Z196="Ja",1,0),"")</f>
        <v/>
      </c>
      <c r="S191" s="1" t="str">
        <f>IF(AND(Programme_Grunddaten!$A196="Geprüft",Programme_Grunddaten!AA196&lt;&gt;""),IF(Programme_Grunddaten!AA196="monolithisch",1,0),"")</f>
        <v/>
      </c>
      <c r="T191" s="1" t="str">
        <f>IF(AND(Programme_Grunddaten!$A196="Geprüft",Programme_Grunddaten!AB196&lt;&gt;""),IF(Programme_Grunddaten!AB196="Ja",1,0),"")</f>
        <v/>
      </c>
      <c r="U191" s="1" t="str">
        <f>IF(AND(Programme_Grunddaten!$A196="Geprüft",Programme_Grunddaten!AC196&lt;&gt;""),IF(Programme_Grunddaten!AC196="Ja",1,0),"")</f>
        <v/>
      </c>
      <c r="V191" s="1" t="str">
        <f>IF(AND(Programme_Grunddaten!$A196="Geprüft",Programme_Grunddaten!AD196&lt;&gt;""),IF(Programme_Grunddaten!AD196="Ja",1,0),"")</f>
        <v/>
      </c>
      <c r="W191" s="1" t="str">
        <f>IF(AND(Programme_Grunddaten!$A196="Geprüft",Programme_Grunddaten!AE196&lt;&gt;""),IF(Programme_Grunddaten!AE196="Ja",1,0),"")</f>
        <v/>
      </c>
      <c r="X191" s="1" t="str">
        <f>IF(AND(Programme_Grunddaten!$A196="Geprüft",Programme_Grunddaten!AF196&lt;&gt;""),IF(Programme_Grunddaten!AF196="Ja",1,0),"")</f>
        <v/>
      </c>
      <c r="Y191" s="1" t="str">
        <f>IF(AND(Programme_Grunddaten!$A196="Geprüft",Programme_Grunddaten!AG196&lt;&gt;""),IF(Programme_Grunddaten!AG196="Ja",1,0),"")</f>
        <v/>
      </c>
      <c r="Z191" s="1" t="str">
        <f>IF(AND(Programme_Grunddaten!$A196="Geprüft",Programme_Grunddaten!AH196&lt;&gt;""),IF(Programme_Grunddaten!AH196="Ja",1,0),"")</f>
        <v/>
      </c>
      <c r="AA191" s="1" t="str">
        <f>IF(AND(Programme_Grunddaten!$A196="Geprüft",Programme_Grunddaten!AI196&lt;&gt;""),IF(Programme_Grunddaten!AI196="Ja",1,0),"")</f>
        <v/>
      </c>
      <c r="AB191" s="1" t="str">
        <f>IF(AND(Programme_Grunddaten!$A196="Geprüft",Programme_Grunddaten!AJ196&lt;&gt;""),IF(Programme_Grunddaten!AJ196="individuell programmierbar",1,0),"")</f>
        <v/>
      </c>
      <c r="AC191" s="1" t="str">
        <f>IF(AND(Programme_Grunddaten!$A196="Geprüft",Programme_Grunddaten!AK196&lt;&gt;""),IF(Programme_Grunddaten!AK196="Deutsch",0,IF(Programme_Grunddaten!AK196="Deutsch und Englisch",1,2)),"")</f>
        <v/>
      </c>
      <c r="AD191" s="1" t="str">
        <f>IF(AND(Programme_Grunddaten!$A196="Geprüft",Programme_Grunddaten!AL196&lt;&gt;""),IF(Programme_Grunddaten!AL196="Ja",1,0),"")</f>
        <v/>
      </c>
      <c r="AE191" s="1" t="str">
        <f>IF(AND(Programme_Grunddaten!$A196="Geprüft",Programme_Grunddaten!AM196&lt;&gt;""),IF(Programme_Grunddaten!AM196="Ja",1,0),"")</f>
        <v/>
      </c>
      <c r="AF191" s="1" t="str">
        <f>IF(AND(Programme_Grunddaten!$A196="Geprüft",Programme_Grunddaten!AN196&lt;&gt;""),IF(Programme_Grunddaten!AN196="Ja",1,0),"")</f>
        <v/>
      </c>
      <c r="AG191" s="1" t="str">
        <f>IF(AND(Programme_Grunddaten!$A196="Geprüft",Programme_Grunddaten!AO196&lt;&gt;""),IF(Programme_Grunddaten!AO196="Ja",1,0),"")</f>
        <v/>
      </c>
      <c r="AH191" s="1" t="str">
        <f>IF(AND(Programme_Grunddaten!$A196="Geprüft",Programme_Grunddaten!AP196&lt;&gt;""),IF(Programme_Grunddaten!AP196="Ja",1,0),"")</f>
        <v/>
      </c>
      <c r="AI191" s="1" t="str">
        <f>IF(AND(Programme_Grunddaten!$A196="Geprüft",Programme_Grunddaten!AQ196&lt;&gt;""),IF(Programme_Grunddaten!AQ196="Ja",1,0),"")</f>
        <v/>
      </c>
      <c r="AJ191" s="1" t="str">
        <f>IF(AND(Programme_Grunddaten!$A196="Geprüft",Programme_Grunddaten!AR196&lt;&gt;""),IF(Programme_Grunddaten!AR196="Ja",1,0),"")</f>
        <v/>
      </c>
      <c r="AK191" s="1" t="str">
        <f>IF(AND(Programme_Grunddaten!$A196="Geprüft",Programme_Grunddaten!AS196&lt;&gt;""),IF(Programme_Grunddaten!AS196="Ja",1,0),"")</f>
        <v/>
      </c>
      <c r="AL191" s="1" t="str">
        <f>IF(AND(Programme_Grunddaten!$A196="Geprüft",Programme_Grunddaten!AT196&lt;&gt;""),IF(Programme_Grunddaten!AT196="Ja",1,0),"")</f>
        <v/>
      </c>
      <c r="AM191" s="1" t="str">
        <f>IF(AND(Programme_Grunddaten!$A196="Geprüft",Programme_Grunddaten!AU196&lt;&gt;""),IF(Programme_Grunddaten!AU196="Ja",1,0),"")</f>
        <v/>
      </c>
      <c r="AN191" s="1" t="str">
        <f>IF(AND(Programme_Grunddaten!$A196="Geprüft",Programme_Grunddaten!AV196&lt;&gt;""),IF(Programme_Grunddaten!AV196="Ja",1,0),"")</f>
        <v/>
      </c>
    </row>
    <row r="192" spans="1:40" x14ac:dyDescent="0.3">
      <c r="A192" s="1" t="str">
        <f>IF(AND(Programme_Grunddaten!A197="Geprüft",Programme_Grunddaten!B197&lt;&gt;""),Programme_Grunddaten!B197,"")</f>
        <v/>
      </c>
      <c r="B192" s="1" t="str">
        <f>IF(AND(Programme_Grunddaten!$A197="Geprüft",Programme_Grunddaten!I197&lt;&gt;""),IF(Programme_Grunddaten!I197="Ja",1,0),"")</f>
        <v/>
      </c>
      <c r="C192" s="1" t="str">
        <f>IF(AND(Programme_Grunddaten!$A197="Geprüft",Programme_Grunddaten!J197&lt;&gt;""),IF(Programme_Grunddaten!J197="Ja",1,0),"")</f>
        <v/>
      </c>
      <c r="D192" s="1" t="str">
        <f>IF(AND(Programme_Grunddaten!$A197="Geprüft",Programme_Grunddaten!K197&lt;&gt;""),IF(Programme_Grunddaten!K197="Ja",1,0),"")</f>
        <v/>
      </c>
      <c r="E192" s="1" t="str">
        <f>IF(AND(Programme_Grunddaten!$A197="Geprüft",Programme_Grunddaten!L197&lt;&gt;""),IF(Programme_Grunddaten!L197="Abo / befristete Lizenz",1,0),"")</f>
        <v/>
      </c>
      <c r="F192" s="1" t="str">
        <f>IF(AND(Programme_Grunddaten!$A197="Geprüft",Programme_Grunddaten!M197&lt;&gt;""),IF(Programme_Grunddaten!M197="Ja",1,0),"")</f>
        <v/>
      </c>
      <c r="G192" s="1" t="str">
        <f>IF(AND(Programme_Grunddaten!$A197="Geprüft",Programme_Grunddaten!N197&lt;&gt;""),IF(Programme_Grunddaten!N197="Ja",1,0),"")</f>
        <v/>
      </c>
      <c r="H192" s="1" t="str">
        <f>IF(AND(Programme_Grunddaten!$A197="Geprüft",Programme_Grunddaten!O197&lt;&gt;""),IF(Programme_Grunddaten!O197="Deutschland",0,IF(Programme_Grunddaten!O197="EU",1,2)),"")</f>
        <v/>
      </c>
      <c r="I192" s="1" t="str">
        <f>IF(AND(Programme_Grunddaten!$A197="Geprüft",Programme_Grunddaten!P197&lt;&gt;""),IF(Programme_Grunddaten!P197="Ja",1,0),"")</f>
        <v/>
      </c>
      <c r="J192" s="1" t="str">
        <f>IF(AND(Programme_Grunddaten!$A197="Geprüft",Programme_Grunddaten!Q197&lt;&gt;""),IF(Programme_Grunddaten!Q197="geschlossenes System",1,0),"")</f>
        <v/>
      </c>
      <c r="K192" s="1" t="str">
        <f>IF(AND(Programme_Grunddaten!$A197="Geprüft",Programme_Grunddaten!R197&lt;&gt;""),IF(Programme_Grunddaten!R197="Ja",1,0),"")</f>
        <v/>
      </c>
      <c r="L192" s="1" t="str">
        <f>IF(AND(Programme_Grunddaten!$A197="Geprüft",Programme_Grunddaten!T197&lt;&gt;""),IF(Programme_Grunddaten!T197="Ja",1,0),"")</f>
        <v/>
      </c>
      <c r="M192" s="1" t="str">
        <f>IF(AND(Programme_Grunddaten!$A197="Geprüft",Programme_Grunddaten!U197&lt;&gt;""),IF(Programme_Grunddaten!U197="Ja",1,0),"")</f>
        <v/>
      </c>
      <c r="N192" s="1" t="str">
        <f>IF(AND(Programme_Grunddaten!$A197="Geprüft",Programme_Grunddaten!V197&lt;&gt;""),IF(Programme_Grunddaten!V197="Ja",1,0),"")</f>
        <v/>
      </c>
      <c r="O192" s="1" t="str">
        <f>IF(AND(Programme_Grunddaten!$A197="Geprüft",Programme_Grunddaten!W197&lt;&gt;""),IF(Programme_Grunddaten!W197="Ja",1,0),"")</f>
        <v/>
      </c>
      <c r="P192" s="1" t="str">
        <f>IF(AND(Programme_Grunddaten!$A197="Geprüft",Programme_Grunddaten!X197&lt;&gt;""),IF(Programme_Grunddaten!X197="Ja",1,0),"")</f>
        <v/>
      </c>
      <c r="Q192" s="1" t="str">
        <f>IF(AND(Programme_Grunddaten!$A197="Geprüft",Programme_Grunddaten!Y197&lt;&gt;""),IF(Programme_Grunddaten!Y197="Ja",1,0),"")</f>
        <v/>
      </c>
      <c r="R192" s="1" t="str">
        <f>IF(AND(Programme_Grunddaten!$A197="Geprüft",Programme_Grunddaten!Z197&lt;&gt;""),IF(Programme_Grunddaten!Z197="Ja",1,0),"")</f>
        <v/>
      </c>
      <c r="S192" s="1" t="str">
        <f>IF(AND(Programme_Grunddaten!$A197="Geprüft",Programme_Grunddaten!AA197&lt;&gt;""),IF(Programme_Grunddaten!AA197="monolithisch",1,0),"")</f>
        <v/>
      </c>
      <c r="T192" s="1" t="str">
        <f>IF(AND(Programme_Grunddaten!$A197="Geprüft",Programme_Grunddaten!AB197&lt;&gt;""),IF(Programme_Grunddaten!AB197="Ja",1,0),"")</f>
        <v/>
      </c>
      <c r="U192" s="1" t="str">
        <f>IF(AND(Programme_Grunddaten!$A197="Geprüft",Programme_Grunddaten!AC197&lt;&gt;""),IF(Programme_Grunddaten!AC197="Ja",1,0),"")</f>
        <v/>
      </c>
      <c r="V192" s="1" t="str">
        <f>IF(AND(Programme_Grunddaten!$A197="Geprüft",Programme_Grunddaten!AD197&lt;&gt;""),IF(Programme_Grunddaten!AD197="Ja",1,0),"")</f>
        <v/>
      </c>
      <c r="W192" s="1" t="str">
        <f>IF(AND(Programme_Grunddaten!$A197="Geprüft",Programme_Grunddaten!AE197&lt;&gt;""),IF(Programme_Grunddaten!AE197="Ja",1,0),"")</f>
        <v/>
      </c>
      <c r="X192" s="1" t="str">
        <f>IF(AND(Programme_Grunddaten!$A197="Geprüft",Programme_Grunddaten!AF197&lt;&gt;""),IF(Programme_Grunddaten!AF197="Ja",1,0),"")</f>
        <v/>
      </c>
      <c r="Y192" s="1" t="str">
        <f>IF(AND(Programme_Grunddaten!$A197="Geprüft",Programme_Grunddaten!AG197&lt;&gt;""),IF(Programme_Grunddaten!AG197="Ja",1,0),"")</f>
        <v/>
      </c>
      <c r="Z192" s="1" t="str">
        <f>IF(AND(Programme_Grunddaten!$A197="Geprüft",Programme_Grunddaten!AH197&lt;&gt;""),IF(Programme_Grunddaten!AH197="Ja",1,0),"")</f>
        <v/>
      </c>
      <c r="AA192" s="1" t="str">
        <f>IF(AND(Programme_Grunddaten!$A197="Geprüft",Programme_Grunddaten!AI197&lt;&gt;""),IF(Programme_Grunddaten!AI197="Ja",1,0),"")</f>
        <v/>
      </c>
      <c r="AB192" s="1" t="str">
        <f>IF(AND(Programme_Grunddaten!$A197="Geprüft",Programme_Grunddaten!AJ197&lt;&gt;""),IF(Programme_Grunddaten!AJ197="individuell programmierbar",1,0),"")</f>
        <v/>
      </c>
      <c r="AC192" s="1" t="str">
        <f>IF(AND(Programme_Grunddaten!$A197="Geprüft",Programme_Grunddaten!AK197&lt;&gt;""),IF(Programme_Grunddaten!AK197="Deutsch",0,IF(Programme_Grunddaten!AK197="Deutsch und Englisch",1,2)),"")</f>
        <v/>
      </c>
      <c r="AD192" s="1" t="str">
        <f>IF(AND(Programme_Grunddaten!$A197="Geprüft",Programme_Grunddaten!AL197&lt;&gt;""),IF(Programme_Grunddaten!AL197="Ja",1,0),"")</f>
        <v/>
      </c>
      <c r="AE192" s="1" t="str">
        <f>IF(AND(Programme_Grunddaten!$A197="Geprüft",Programme_Grunddaten!AM197&lt;&gt;""),IF(Programme_Grunddaten!AM197="Ja",1,0),"")</f>
        <v/>
      </c>
      <c r="AF192" s="1" t="str">
        <f>IF(AND(Programme_Grunddaten!$A197="Geprüft",Programme_Grunddaten!AN197&lt;&gt;""),IF(Programme_Grunddaten!AN197="Ja",1,0),"")</f>
        <v/>
      </c>
      <c r="AG192" s="1" t="str">
        <f>IF(AND(Programme_Grunddaten!$A197="Geprüft",Programme_Grunddaten!AO197&lt;&gt;""),IF(Programme_Grunddaten!AO197="Ja",1,0),"")</f>
        <v/>
      </c>
      <c r="AH192" s="1" t="str">
        <f>IF(AND(Programme_Grunddaten!$A197="Geprüft",Programme_Grunddaten!AP197&lt;&gt;""),IF(Programme_Grunddaten!AP197="Ja",1,0),"")</f>
        <v/>
      </c>
      <c r="AI192" s="1" t="str">
        <f>IF(AND(Programme_Grunddaten!$A197="Geprüft",Programme_Grunddaten!AQ197&lt;&gt;""),IF(Programme_Grunddaten!AQ197="Ja",1,0),"")</f>
        <v/>
      </c>
      <c r="AJ192" s="1" t="str">
        <f>IF(AND(Programme_Grunddaten!$A197="Geprüft",Programme_Grunddaten!AR197&lt;&gt;""),IF(Programme_Grunddaten!AR197="Ja",1,0),"")</f>
        <v/>
      </c>
      <c r="AK192" s="1" t="str">
        <f>IF(AND(Programme_Grunddaten!$A197="Geprüft",Programme_Grunddaten!AS197&lt;&gt;""),IF(Programme_Grunddaten!AS197="Ja",1,0),"")</f>
        <v/>
      </c>
      <c r="AL192" s="1" t="str">
        <f>IF(AND(Programme_Grunddaten!$A197="Geprüft",Programme_Grunddaten!AT197&lt;&gt;""),IF(Programme_Grunddaten!AT197="Ja",1,0),"")</f>
        <v/>
      </c>
      <c r="AM192" s="1" t="str">
        <f>IF(AND(Programme_Grunddaten!$A197="Geprüft",Programme_Grunddaten!AU197&lt;&gt;""),IF(Programme_Grunddaten!AU197="Ja",1,0),"")</f>
        <v/>
      </c>
      <c r="AN192" s="1" t="str">
        <f>IF(AND(Programme_Grunddaten!$A197="Geprüft",Programme_Grunddaten!AV197&lt;&gt;""),IF(Programme_Grunddaten!AV197="Ja",1,0),"")</f>
        <v/>
      </c>
    </row>
    <row r="193" spans="1:40" x14ac:dyDescent="0.3">
      <c r="A193" s="1" t="str">
        <f>IF(AND(Programme_Grunddaten!A198="Geprüft",Programme_Grunddaten!B198&lt;&gt;""),Programme_Grunddaten!B198,"")</f>
        <v/>
      </c>
      <c r="B193" s="1" t="str">
        <f>IF(AND(Programme_Grunddaten!$A198="Geprüft",Programme_Grunddaten!I198&lt;&gt;""),IF(Programme_Grunddaten!I198="Ja",1,0),"")</f>
        <v/>
      </c>
      <c r="C193" s="1" t="str">
        <f>IF(AND(Programme_Grunddaten!$A198="Geprüft",Programme_Grunddaten!J198&lt;&gt;""),IF(Programme_Grunddaten!J198="Ja",1,0),"")</f>
        <v/>
      </c>
      <c r="D193" s="1" t="str">
        <f>IF(AND(Programme_Grunddaten!$A198="Geprüft",Programme_Grunddaten!K198&lt;&gt;""),IF(Programme_Grunddaten!K198="Ja",1,0),"")</f>
        <v/>
      </c>
      <c r="E193" s="1" t="str">
        <f>IF(AND(Programme_Grunddaten!$A198="Geprüft",Programme_Grunddaten!L198&lt;&gt;""),IF(Programme_Grunddaten!L198="Abo / befristete Lizenz",1,0),"")</f>
        <v/>
      </c>
      <c r="F193" s="1" t="str">
        <f>IF(AND(Programme_Grunddaten!$A198="Geprüft",Programme_Grunddaten!M198&lt;&gt;""),IF(Programme_Grunddaten!M198="Ja",1,0),"")</f>
        <v/>
      </c>
      <c r="G193" s="1" t="str">
        <f>IF(AND(Programme_Grunddaten!$A198="Geprüft",Programme_Grunddaten!N198&lt;&gt;""),IF(Programme_Grunddaten!N198="Ja",1,0),"")</f>
        <v/>
      </c>
      <c r="H193" s="1" t="str">
        <f>IF(AND(Programme_Grunddaten!$A198="Geprüft",Programme_Grunddaten!O198&lt;&gt;""),IF(Programme_Grunddaten!O198="Deutschland",0,IF(Programme_Grunddaten!O198="EU",1,2)),"")</f>
        <v/>
      </c>
      <c r="I193" s="1" t="str">
        <f>IF(AND(Programme_Grunddaten!$A198="Geprüft",Programme_Grunddaten!P198&lt;&gt;""),IF(Programme_Grunddaten!P198="Ja",1,0),"")</f>
        <v/>
      </c>
      <c r="J193" s="1" t="str">
        <f>IF(AND(Programme_Grunddaten!$A198="Geprüft",Programme_Grunddaten!Q198&lt;&gt;""),IF(Programme_Grunddaten!Q198="geschlossenes System",1,0),"")</f>
        <v/>
      </c>
      <c r="K193" s="1" t="str">
        <f>IF(AND(Programme_Grunddaten!$A198="Geprüft",Programme_Grunddaten!R198&lt;&gt;""),IF(Programme_Grunddaten!R198="Ja",1,0),"")</f>
        <v/>
      </c>
      <c r="L193" s="1" t="str">
        <f>IF(AND(Programme_Grunddaten!$A198="Geprüft",Programme_Grunddaten!T198&lt;&gt;""),IF(Programme_Grunddaten!T198="Ja",1,0),"")</f>
        <v/>
      </c>
      <c r="M193" s="1" t="str">
        <f>IF(AND(Programme_Grunddaten!$A198="Geprüft",Programme_Grunddaten!U198&lt;&gt;""),IF(Programme_Grunddaten!U198="Ja",1,0),"")</f>
        <v/>
      </c>
      <c r="N193" s="1" t="str">
        <f>IF(AND(Programme_Grunddaten!$A198="Geprüft",Programme_Grunddaten!V198&lt;&gt;""),IF(Programme_Grunddaten!V198="Ja",1,0),"")</f>
        <v/>
      </c>
      <c r="O193" s="1" t="str">
        <f>IF(AND(Programme_Grunddaten!$A198="Geprüft",Programme_Grunddaten!W198&lt;&gt;""),IF(Programme_Grunddaten!W198="Ja",1,0),"")</f>
        <v/>
      </c>
      <c r="P193" s="1" t="str">
        <f>IF(AND(Programme_Grunddaten!$A198="Geprüft",Programme_Grunddaten!X198&lt;&gt;""),IF(Programme_Grunddaten!X198="Ja",1,0),"")</f>
        <v/>
      </c>
      <c r="Q193" s="1" t="str">
        <f>IF(AND(Programme_Grunddaten!$A198="Geprüft",Programme_Grunddaten!Y198&lt;&gt;""),IF(Programme_Grunddaten!Y198="Ja",1,0),"")</f>
        <v/>
      </c>
      <c r="R193" s="1" t="str">
        <f>IF(AND(Programme_Grunddaten!$A198="Geprüft",Programme_Grunddaten!Z198&lt;&gt;""),IF(Programme_Grunddaten!Z198="Ja",1,0),"")</f>
        <v/>
      </c>
      <c r="S193" s="1" t="str">
        <f>IF(AND(Programme_Grunddaten!$A198="Geprüft",Programme_Grunddaten!AA198&lt;&gt;""),IF(Programme_Grunddaten!AA198="monolithisch",1,0),"")</f>
        <v/>
      </c>
      <c r="T193" s="1" t="str">
        <f>IF(AND(Programme_Grunddaten!$A198="Geprüft",Programme_Grunddaten!AB198&lt;&gt;""),IF(Programme_Grunddaten!AB198="Ja",1,0),"")</f>
        <v/>
      </c>
      <c r="U193" s="1" t="str">
        <f>IF(AND(Programme_Grunddaten!$A198="Geprüft",Programme_Grunddaten!AC198&lt;&gt;""),IF(Programme_Grunddaten!AC198="Ja",1,0),"")</f>
        <v/>
      </c>
      <c r="V193" s="1" t="str">
        <f>IF(AND(Programme_Grunddaten!$A198="Geprüft",Programme_Grunddaten!AD198&lt;&gt;""),IF(Programme_Grunddaten!AD198="Ja",1,0),"")</f>
        <v/>
      </c>
      <c r="W193" s="1" t="str">
        <f>IF(AND(Programme_Grunddaten!$A198="Geprüft",Programme_Grunddaten!AE198&lt;&gt;""),IF(Programme_Grunddaten!AE198="Ja",1,0),"")</f>
        <v/>
      </c>
      <c r="X193" s="1" t="str">
        <f>IF(AND(Programme_Grunddaten!$A198="Geprüft",Programme_Grunddaten!AF198&lt;&gt;""),IF(Programme_Grunddaten!AF198="Ja",1,0),"")</f>
        <v/>
      </c>
      <c r="Y193" s="1" t="str">
        <f>IF(AND(Programme_Grunddaten!$A198="Geprüft",Programme_Grunddaten!AG198&lt;&gt;""),IF(Programme_Grunddaten!AG198="Ja",1,0),"")</f>
        <v/>
      </c>
      <c r="Z193" s="1" t="str">
        <f>IF(AND(Programme_Grunddaten!$A198="Geprüft",Programme_Grunddaten!AH198&lt;&gt;""),IF(Programme_Grunddaten!AH198="Ja",1,0),"")</f>
        <v/>
      </c>
      <c r="AA193" s="1" t="str">
        <f>IF(AND(Programme_Grunddaten!$A198="Geprüft",Programme_Grunddaten!AI198&lt;&gt;""),IF(Programme_Grunddaten!AI198="Ja",1,0),"")</f>
        <v/>
      </c>
      <c r="AB193" s="1" t="str">
        <f>IF(AND(Programme_Grunddaten!$A198="Geprüft",Programme_Grunddaten!AJ198&lt;&gt;""),IF(Programme_Grunddaten!AJ198="individuell programmierbar",1,0),"")</f>
        <v/>
      </c>
      <c r="AC193" s="1" t="str">
        <f>IF(AND(Programme_Grunddaten!$A198="Geprüft",Programme_Grunddaten!AK198&lt;&gt;""),IF(Programme_Grunddaten!AK198="Deutsch",0,IF(Programme_Grunddaten!AK198="Deutsch und Englisch",1,2)),"")</f>
        <v/>
      </c>
      <c r="AD193" s="1" t="str">
        <f>IF(AND(Programme_Grunddaten!$A198="Geprüft",Programme_Grunddaten!AL198&lt;&gt;""),IF(Programme_Grunddaten!AL198="Ja",1,0),"")</f>
        <v/>
      </c>
      <c r="AE193" s="1" t="str">
        <f>IF(AND(Programme_Grunddaten!$A198="Geprüft",Programme_Grunddaten!AM198&lt;&gt;""),IF(Programme_Grunddaten!AM198="Ja",1,0),"")</f>
        <v/>
      </c>
      <c r="AF193" s="1" t="str">
        <f>IF(AND(Programme_Grunddaten!$A198="Geprüft",Programme_Grunddaten!AN198&lt;&gt;""),IF(Programme_Grunddaten!AN198="Ja",1,0),"")</f>
        <v/>
      </c>
      <c r="AG193" s="1" t="str">
        <f>IF(AND(Programme_Grunddaten!$A198="Geprüft",Programme_Grunddaten!AO198&lt;&gt;""),IF(Programme_Grunddaten!AO198="Ja",1,0),"")</f>
        <v/>
      </c>
      <c r="AH193" s="1" t="str">
        <f>IF(AND(Programme_Grunddaten!$A198="Geprüft",Programme_Grunddaten!AP198&lt;&gt;""),IF(Programme_Grunddaten!AP198="Ja",1,0),"")</f>
        <v/>
      </c>
      <c r="AI193" s="1" t="str">
        <f>IF(AND(Programme_Grunddaten!$A198="Geprüft",Programme_Grunddaten!AQ198&lt;&gt;""),IF(Programme_Grunddaten!AQ198="Ja",1,0),"")</f>
        <v/>
      </c>
      <c r="AJ193" s="1" t="str">
        <f>IF(AND(Programme_Grunddaten!$A198="Geprüft",Programme_Grunddaten!AR198&lt;&gt;""),IF(Programme_Grunddaten!AR198="Ja",1,0),"")</f>
        <v/>
      </c>
      <c r="AK193" s="1" t="str">
        <f>IF(AND(Programme_Grunddaten!$A198="Geprüft",Programme_Grunddaten!AS198&lt;&gt;""),IF(Programme_Grunddaten!AS198="Ja",1,0),"")</f>
        <v/>
      </c>
      <c r="AL193" s="1" t="str">
        <f>IF(AND(Programme_Grunddaten!$A198="Geprüft",Programme_Grunddaten!AT198&lt;&gt;""),IF(Programme_Grunddaten!AT198="Ja",1,0),"")</f>
        <v/>
      </c>
      <c r="AM193" s="1" t="str">
        <f>IF(AND(Programme_Grunddaten!$A198="Geprüft",Programme_Grunddaten!AU198&lt;&gt;""),IF(Programme_Grunddaten!AU198="Ja",1,0),"")</f>
        <v/>
      </c>
      <c r="AN193" s="1" t="str">
        <f>IF(AND(Programme_Grunddaten!$A198="Geprüft",Programme_Grunddaten!AV198&lt;&gt;""),IF(Programme_Grunddaten!AV198="Ja",1,0),"")</f>
        <v/>
      </c>
    </row>
    <row r="194" spans="1:40" x14ac:dyDescent="0.3">
      <c r="A194" s="1" t="str">
        <f>IF(AND(Programme_Grunddaten!A199="Geprüft",Programme_Grunddaten!B199&lt;&gt;""),Programme_Grunddaten!B199,"")</f>
        <v/>
      </c>
      <c r="B194" s="1" t="str">
        <f>IF(AND(Programme_Grunddaten!$A199="Geprüft",Programme_Grunddaten!I199&lt;&gt;""),IF(Programme_Grunddaten!I199="Ja",1,0),"")</f>
        <v/>
      </c>
      <c r="C194" s="1" t="str">
        <f>IF(AND(Programme_Grunddaten!$A199="Geprüft",Programme_Grunddaten!J199&lt;&gt;""),IF(Programme_Grunddaten!J199="Ja",1,0),"")</f>
        <v/>
      </c>
      <c r="D194" s="1" t="str">
        <f>IF(AND(Programme_Grunddaten!$A199="Geprüft",Programme_Grunddaten!K199&lt;&gt;""),IF(Programme_Grunddaten!K199="Ja",1,0),"")</f>
        <v/>
      </c>
      <c r="E194" s="1" t="str">
        <f>IF(AND(Programme_Grunddaten!$A199="Geprüft",Programme_Grunddaten!L199&lt;&gt;""),IF(Programme_Grunddaten!L199="Abo / befristete Lizenz",1,0),"")</f>
        <v/>
      </c>
      <c r="F194" s="1" t="str">
        <f>IF(AND(Programme_Grunddaten!$A199="Geprüft",Programme_Grunddaten!M199&lt;&gt;""),IF(Programme_Grunddaten!M199="Ja",1,0),"")</f>
        <v/>
      </c>
      <c r="G194" s="1" t="str">
        <f>IF(AND(Programme_Grunddaten!$A199="Geprüft",Programme_Grunddaten!N199&lt;&gt;""),IF(Programme_Grunddaten!N199="Ja",1,0),"")</f>
        <v/>
      </c>
      <c r="H194" s="1" t="str">
        <f>IF(AND(Programme_Grunddaten!$A199="Geprüft",Programme_Grunddaten!O199&lt;&gt;""),IF(Programme_Grunddaten!O199="Deutschland",0,IF(Programme_Grunddaten!O199="EU",1,2)),"")</f>
        <v/>
      </c>
      <c r="I194" s="1" t="str">
        <f>IF(AND(Programme_Grunddaten!$A199="Geprüft",Programme_Grunddaten!P199&lt;&gt;""),IF(Programme_Grunddaten!P199="Ja",1,0),"")</f>
        <v/>
      </c>
      <c r="J194" s="1" t="str">
        <f>IF(AND(Programme_Grunddaten!$A199="Geprüft",Programme_Grunddaten!Q199&lt;&gt;""),IF(Programme_Grunddaten!Q199="geschlossenes System",1,0),"")</f>
        <v/>
      </c>
      <c r="K194" s="1" t="str">
        <f>IF(AND(Programme_Grunddaten!$A199="Geprüft",Programme_Grunddaten!R199&lt;&gt;""),IF(Programme_Grunddaten!R199="Ja",1,0),"")</f>
        <v/>
      </c>
      <c r="L194" s="1" t="str">
        <f>IF(AND(Programme_Grunddaten!$A199="Geprüft",Programme_Grunddaten!T199&lt;&gt;""),IF(Programme_Grunddaten!T199="Ja",1,0),"")</f>
        <v/>
      </c>
      <c r="M194" s="1" t="str">
        <f>IF(AND(Programme_Grunddaten!$A199="Geprüft",Programme_Grunddaten!U199&lt;&gt;""),IF(Programme_Grunddaten!U199="Ja",1,0),"")</f>
        <v/>
      </c>
      <c r="N194" s="1" t="str">
        <f>IF(AND(Programme_Grunddaten!$A199="Geprüft",Programme_Grunddaten!V199&lt;&gt;""),IF(Programme_Grunddaten!V199="Ja",1,0),"")</f>
        <v/>
      </c>
      <c r="O194" s="1" t="str">
        <f>IF(AND(Programme_Grunddaten!$A199="Geprüft",Programme_Grunddaten!W199&lt;&gt;""),IF(Programme_Grunddaten!W199="Ja",1,0),"")</f>
        <v/>
      </c>
      <c r="P194" s="1" t="str">
        <f>IF(AND(Programme_Grunddaten!$A199="Geprüft",Programme_Grunddaten!X199&lt;&gt;""),IF(Programme_Grunddaten!X199="Ja",1,0),"")</f>
        <v/>
      </c>
      <c r="Q194" s="1" t="str">
        <f>IF(AND(Programme_Grunddaten!$A199="Geprüft",Programme_Grunddaten!Y199&lt;&gt;""),IF(Programme_Grunddaten!Y199="Ja",1,0),"")</f>
        <v/>
      </c>
      <c r="R194" s="1" t="str">
        <f>IF(AND(Programme_Grunddaten!$A199="Geprüft",Programme_Grunddaten!Z199&lt;&gt;""),IF(Programme_Grunddaten!Z199="Ja",1,0),"")</f>
        <v/>
      </c>
      <c r="S194" s="1" t="str">
        <f>IF(AND(Programme_Grunddaten!$A199="Geprüft",Programme_Grunddaten!AA199&lt;&gt;""),IF(Programme_Grunddaten!AA199="monolithisch",1,0),"")</f>
        <v/>
      </c>
      <c r="T194" s="1" t="str">
        <f>IF(AND(Programme_Grunddaten!$A199="Geprüft",Programme_Grunddaten!AB199&lt;&gt;""),IF(Programme_Grunddaten!AB199="Ja",1,0),"")</f>
        <v/>
      </c>
      <c r="U194" s="1" t="str">
        <f>IF(AND(Programme_Grunddaten!$A199="Geprüft",Programme_Grunddaten!AC199&lt;&gt;""),IF(Programme_Grunddaten!AC199="Ja",1,0),"")</f>
        <v/>
      </c>
      <c r="V194" s="1" t="str">
        <f>IF(AND(Programme_Grunddaten!$A199="Geprüft",Programme_Grunddaten!AD199&lt;&gt;""),IF(Programme_Grunddaten!AD199="Ja",1,0),"")</f>
        <v/>
      </c>
      <c r="W194" s="1" t="str">
        <f>IF(AND(Programme_Grunddaten!$A199="Geprüft",Programme_Grunddaten!AE199&lt;&gt;""),IF(Programme_Grunddaten!AE199="Ja",1,0),"")</f>
        <v/>
      </c>
      <c r="X194" s="1" t="str">
        <f>IF(AND(Programme_Grunddaten!$A199="Geprüft",Programme_Grunddaten!AF199&lt;&gt;""),IF(Programme_Grunddaten!AF199="Ja",1,0),"")</f>
        <v/>
      </c>
      <c r="Y194" s="1" t="str">
        <f>IF(AND(Programme_Grunddaten!$A199="Geprüft",Programme_Grunddaten!AG199&lt;&gt;""),IF(Programme_Grunddaten!AG199="Ja",1,0),"")</f>
        <v/>
      </c>
      <c r="Z194" s="1" t="str">
        <f>IF(AND(Programme_Grunddaten!$A199="Geprüft",Programme_Grunddaten!AH199&lt;&gt;""),IF(Programme_Grunddaten!AH199="Ja",1,0),"")</f>
        <v/>
      </c>
      <c r="AA194" s="1" t="str">
        <f>IF(AND(Programme_Grunddaten!$A199="Geprüft",Programme_Grunddaten!AI199&lt;&gt;""),IF(Programme_Grunddaten!AI199="Ja",1,0),"")</f>
        <v/>
      </c>
      <c r="AB194" s="1" t="str">
        <f>IF(AND(Programme_Grunddaten!$A199="Geprüft",Programme_Grunddaten!AJ199&lt;&gt;""),IF(Programme_Grunddaten!AJ199="individuell programmierbar",1,0),"")</f>
        <v/>
      </c>
      <c r="AC194" s="1" t="str">
        <f>IF(AND(Programme_Grunddaten!$A199="Geprüft",Programme_Grunddaten!AK199&lt;&gt;""),IF(Programme_Grunddaten!AK199="Deutsch",0,IF(Programme_Grunddaten!AK199="Deutsch und Englisch",1,2)),"")</f>
        <v/>
      </c>
      <c r="AD194" s="1" t="str">
        <f>IF(AND(Programme_Grunddaten!$A199="Geprüft",Programme_Grunddaten!AL199&lt;&gt;""),IF(Programme_Grunddaten!AL199="Ja",1,0),"")</f>
        <v/>
      </c>
      <c r="AE194" s="1" t="str">
        <f>IF(AND(Programme_Grunddaten!$A199="Geprüft",Programme_Grunddaten!AM199&lt;&gt;""),IF(Programme_Grunddaten!AM199="Ja",1,0),"")</f>
        <v/>
      </c>
      <c r="AF194" s="1" t="str">
        <f>IF(AND(Programme_Grunddaten!$A199="Geprüft",Programme_Grunddaten!AN199&lt;&gt;""),IF(Programme_Grunddaten!AN199="Ja",1,0),"")</f>
        <v/>
      </c>
      <c r="AG194" s="1" t="str">
        <f>IF(AND(Programme_Grunddaten!$A199="Geprüft",Programme_Grunddaten!AO199&lt;&gt;""),IF(Programme_Grunddaten!AO199="Ja",1,0),"")</f>
        <v/>
      </c>
      <c r="AH194" s="1" t="str">
        <f>IF(AND(Programme_Grunddaten!$A199="Geprüft",Programme_Grunddaten!AP199&lt;&gt;""),IF(Programme_Grunddaten!AP199="Ja",1,0),"")</f>
        <v/>
      </c>
      <c r="AI194" s="1" t="str">
        <f>IF(AND(Programme_Grunddaten!$A199="Geprüft",Programme_Grunddaten!AQ199&lt;&gt;""),IF(Programme_Grunddaten!AQ199="Ja",1,0),"")</f>
        <v/>
      </c>
      <c r="AJ194" s="1" t="str">
        <f>IF(AND(Programme_Grunddaten!$A199="Geprüft",Programme_Grunddaten!AR199&lt;&gt;""),IF(Programme_Grunddaten!AR199="Ja",1,0),"")</f>
        <v/>
      </c>
      <c r="AK194" s="1" t="str">
        <f>IF(AND(Programme_Grunddaten!$A199="Geprüft",Programme_Grunddaten!AS199&lt;&gt;""),IF(Programme_Grunddaten!AS199="Ja",1,0),"")</f>
        <v/>
      </c>
      <c r="AL194" s="1" t="str">
        <f>IF(AND(Programme_Grunddaten!$A199="Geprüft",Programme_Grunddaten!AT199&lt;&gt;""),IF(Programme_Grunddaten!AT199="Ja",1,0),"")</f>
        <v/>
      </c>
      <c r="AM194" s="1" t="str">
        <f>IF(AND(Programme_Grunddaten!$A199="Geprüft",Programme_Grunddaten!AU199&lt;&gt;""),IF(Programme_Grunddaten!AU199="Ja",1,0),"")</f>
        <v/>
      </c>
      <c r="AN194" s="1" t="str">
        <f>IF(AND(Programme_Grunddaten!$A199="Geprüft",Programme_Grunddaten!AV199&lt;&gt;""),IF(Programme_Grunddaten!AV199="Ja",1,0),"")</f>
        <v/>
      </c>
    </row>
    <row r="195" spans="1:40" x14ac:dyDescent="0.3">
      <c r="A195" s="1" t="str">
        <f>IF(AND(Programme_Grunddaten!A200="Geprüft",Programme_Grunddaten!B200&lt;&gt;""),Programme_Grunddaten!B200,"")</f>
        <v/>
      </c>
      <c r="B195" s="1" t="str">
        <f>IF(AND(Programme_Grunddaten!$A200="Geprüft",Programme_Grunddaten!I200&lt;&gt;""),IF(Programme_Grunddaten!I200="Ja",1,0),"")</f>
        <v/>
      </c>
      <c r="C195" s="1" t="str">
        <f>IF(AND(Programme_Grunddaten!$A200="Geprüft",Programme_Grunddaten!J200&lt;&gt;""),IF(Programme_Grunddaten!J200="Ja",1,0),"")</f>
        <v/>
      </c>
      <c r="D195" s="1" t="str">
        <f>IF(AND(Programme_Grunddaten!$A200="Geprüft",Programme_Grunddaten!K200&lt;&gt;""),IF(Programme_Grunddaten!K200="Ja",1,0),"")</f>
        <v/>
      </c>
      <c r="E195" s="1" t="str">
        <f>IF(AND(Programme_Grunddaten!$A200="Geprüft",Programme_Grunddaten!L200&lt;&gt;""),IF(Programme_Grunddaten!L200="Abo / befristete Lizenz",1,0),"")</f>
        <v/>
      </c>
      <c r="F195" s="1" t="str">
        <f>IF(AND(Programme_Grunddaten!$A200="Geprüft",Programme_Grunddaten!M200&lt;&gt;""),IF(Programme_Grunddaten!M200="Ja",1,0),"")</f>
        <v/>
      </c>
      <c r="G195" s="1" t="str">
        <f>IF(AND(Programme_Grunddaten!$A200="Geprüft",Programme_Grunddaten!N200&lt;&gt;""),IF(Programme_Grunddaten!N200="Ja",1,0),"")</f>
        <v/>
      </c>
      <c r="H195" s="1" t="str">
        <f>IF(AND(Programme_Grunddaten!$A200="Geprüft",Programme_Grunddaten!O200&lt;&gt;""),IF(Programme_Grunddaten!O200="Deutschland",0,IF(Programme_Grunddaten!O200="EU",1,2)),"")</f>
        <v/>
      </c>
      <c r="I195" s="1" t="str">
        <f>IF(AND(Programme_Grunddaten!$A200="Geprüft",Programme_Grunddaten!P200&lt;&gt;""),IF(Programme_Grunddaten!P200="Ja",1,0),"")</f>
        <v/>
      </c>
      <c r="J195" s="1" t="str">
        <f>IF(AND(Programme_Grunddaten!$A200="Geprüft",Programme_Grunddaten!Q200&lt;&gt;""),IF(Programme_Grunddaten!Q200="geschlossenes System",1,0),"")</f>
        <v/>
      </c>
      <c r="K195" s="1" t="str">
        <f>IF(AND(Programme_Grunddaten!$A200="Geprüft",Programme_Grunddaten!R200&lt;&gt;""),IF(Programme_Grunddaten!R200="Ja",1,0),"")</f>
        <v/>
      </c>
      <c r="L195" s="1" t="str">
        <f>IF(AND(Programme_Grunddaten!$A200="Geprüft",Programme_Grunddaten!T200&lt;&gt;""),IF(Programme_Grunddaten!T200="Ja",1,0),"")</f>
        <v/>
      </c>
      <c r="M195" s="1" t="str">
        <f>IF(AND(Programme_Grunddaten!$A200="Geprüft",Programme_Grunddaten!U200&lt;&gt;""),IF(Programme_Grunddaten!U200="Ja",1,0),"")</f>
        <v/>
      </c>
      <c r="N195" s="1" t="str">
        <f>IF(AND(Programme_Grunddaten!$A200="Geprüft",Programme_Grunddaten!V200&lt;&gt;""),IF(Programme_Grunddaten!V200="Ja",1,0),"")</f>
        <v/>
      </c>
      <c r="O195" s="1" t="str">
        <f>IF(AND(Programme_Grunddaten!$A200="Geprüft",Programme_Grunddaten!W200&lt;&gt;""),IF(Programme_Grunddaten!W200="Ja",1,0),"")</f>
        <v/>
      </c>
      <c r="P195" s="1" t="str">
        <f>IF(AND(Programme_Grunddaten!$A200="Geprüft",Programme_Grunddaten!X200&lt;&gt;""),IF(Programme_Grunddaten!X200="Ja",1,0),"")</f>
        <v/>
      </c>
      <c r="Q195" s="1" t="str">
        <f>IF(AND(Programme_Grunddaten!$A200="Geprüft",Programme_Grunddaten!Y200&lt;&gt;""),IF(Programme_Grunddaten!Y200="Ja",1,0),"")</f>
        <v/>
      </c>
      <c r="R195" s="1" t="str">
        <f>IF(AND(Programme_Grunddaten!$A200="Geprüft",Programme_Grunddaten!Z200&lt;&gt;""),IF(Programme_Grunddaten!Z200="Ja",1,0),"")</f>
        <v/>
      </c>
      <c r="S195" s="1" t="str">
        <f>IF(AND(Programme_Grunddaten!$A200="Geprüft",Programme_Grunddaten!AA200&lt;&gt;""),IF(Programme_Grunddaten!AA200="monolithisch",1,0),"")</f>
        <v/>
      </c>
      <c r="T195" s="1" t="str">
        <f>IF(AND(Programme_Grunddaten!$A200="Geprüft",Programme_Grunddaten!AB200&lt;&gt;""),IF(Programme_Grunddaten!AB200="Ja",1,0),"")</f>
        <v/>
      </c>
      <c r="U195" s="1" t="str">
        <f>IF(AND(Programme_Grunddaten!$A200="Geprüft",Programme_Grunddaten!AC200&lt;&gt;""),IF(Programme_Grunddaten!AC200="Ja",1,0),"")</f>
        <v/>
      </c>
      <c r="V195" s="1" t="str">
        <f>IF(AND(Programme_Grunddaten!$A200="Geprüft",Programme_Grunddaten!AD200&lt;&gt;""),IF(Programme_Grunddaten!AD200="Ja",1,0),"")</f>
        <v/>
      </c>
      <c r="W195" s="1" t="str">
        <f>IF(AND(Programme_Grunddaten!$A200="Geprüft",Programme_Grunddaten!AE200&lt;&gt;""),IF(Programme_Grunddaten!AE200="Ja",1,0),"")</f>
        <v/>
      </c>
      <c r="X195" s="1" t="str">
        <f>IF(AND(Programme_Grunddaten!$A200="Geprüft",Programme_Grunddaten!AF200&lt;&gt;""),IF(Programme_Grunddaten!AF200="Ja",1,0),"")</f>
        <v/>
      </c>
      <c r="Y195" s="1" t="str">
        <f>IF(AND(Programme_Grunddaten!$A200="Geprüft",Programme_Grunddaten!AG200&lt;&gt;""),IF(Programme_Grunddaten!AG200="Ja",1,0),"")</f>
        <v/>
      </c>
      <c r="Z195" s="1" t="str">
        <f>IF(AND(Programme_Grunddaten!$A200="Geprüft",Programme_Grunddaten!AH200&lt;&gt;""),IF(Programme_Grunddaten!AH200="Ja",1,0),"")</f>
        <v/>
      </c>
      <c r="AA195" s="1" t="str">
        <f>IF(AND(Programme_Grunddaten!$A200="Geprüft",Programme_Grunddaten!AI200&lt;&gt;""),IF(Programme_Grunddaten!AI200="Ja",1,0),"")</f>
        <v/>
      </c>
      <c r="AB195" s="1" t="str">
        <f>IF(AND(Programme_Grunddaten!$A200="Geprüft",Programme_Grunddaten!AJ200&lt;&gt;""),IF(Programme_Grunddaten!AJ200="individuell programmierbar",1,0),"")</f>
        <v/>
      </c>
      <c r="AC195" s="1" t="str">
        <f>IF(AND(Programme_Grunddaten!$A200="Geprüft",Programme_Grunddaten!AK200&lt;&gt;""),IF(Programme_Grunddaten!AK200="Deutsch",0,IF(Programme_Grunddaten!AK200="Deutsch und Englisch",1,2)),"")</f>
        <v/>
      </c>
      <c r="AD195" s="1" t="str">
        <f>IF(AND(Programme_Grunddaten!$A200="Geprüft",Programme_Grunddaten!AL200&lt;&gt;""),IF(Programme_Grunddaten!AL200="Ja",1,0),"")</f>
        <v/>
      </c>
      <c r="AE195" s="1" t="str">
        <f>IF(AND(Programme_Grunddaten!$A200="Geprüft",Programme_Grunddaten!AM200&lt;&gt;""),IF(Programme_Grunddaten!AM200="Ja",1,0),"")</f>
        <v/>
      </c>
      <c r="AF195" s="1" t="str">
        <f>IF(AND(Programme_Grunddaten!$A200="Geprüft",Programme_Grunddaten!AN200&lt;&gt;""),IF(Programme_Grunddaten!AN200="Ja",1,0),"")</f>
        <v/>
      </c>
      <c r="AG195" s="1" t="str">
        <f>IF(AND(Programme_Grunddaten!$A200="Geprüft",Programme_Grunddaten!AO200&lt;&gt;""),IF(Programme_Grunddaten!AO200="Ja",1,0),"")</f>
        <v/>
      </c>
      <c r="AH195" s="1" t="str">
        <f>IF(AND(Programme_Grunddaten!$A200="Geprüft",Programme_Grunddaten!AP200&lt;&gt;""),IF(Programme_Grunddaten!AP200="Ja",1,0),"")</f>
        <v/>
      </c>
      <c r="AI195" s="1" t="str">
        <f>IF(AND(Programme_Grunddaten!$A200="Geprüft",Programme_Grunddaten!AQ200&lt;&gt;""),IF(Programme_Grunddaten!AQ200="Ja",1,0),"")</f>
        <v/>
      </c>
      <c r="AJ195" s="1" t="str">
        <f>IF(AND(Programme_Grunddaten!$A200="Geprüft",Programme_Grunddaten!AR200&lt;&gt;""),IF(Programme_Grunddaten!AR200="Ja",1,0),"")</f>
        <v/>
      </c>
      <c r="AK195" s="1" t="str">
        <f>IF(AND(Programme_Grunddaten!$A200="Geprüft",Programme_Grunddaten!AS200&lt;&gt;""),IF(Programme_Grunddaten!AS200="Ja",1,0),"")</f>
        <v/>
      </c>
      <c r="AL195" s="1" t="str">
        <f>IF(AND(Programme_Grunddaten!$A200="Geprüft",Programme_Grunddaten!AT200&lt;&gt;""),IF(Programme_Grunddaten!AT200="Ja",1,0),"")</f>
        <v/>
      </c>
      <c r="AM195" s="1" t="str">
        <f>IF(AND(Programme_Grunddaten!$A200="Geprüft",Programme_Grunddaten!AU200&lt;&gt;""),IF(Programme_Grunddaten!AU200="Ja",1,0),"")</f>
        <v/>
      </c>
      <c r="AN195" s="1" t="str">
        <f>IF(AND(Programme_Grunddaten!$A200="Geprüft",Programme_Grunddaten!AV200&lt;&gt;""),IF(Programme_Grunddaten!AV200="Ja",1,0),"")</f>
        <v/>
      </c>
    </row>
    <row r="196" spans="1:40" x14ac:dyDescent="0.3">
      <c r="A196" s="1" t="str">
        <f>IF(AND(Programme_Grunddaten!A201="Geprüft",Programme_Grunddaten!B201&lt;&gt;""),Programme_Grunddaten!B201,"")</f>
        <v/>
      </c>
      <c r="B196" s="1" t="str">
        <f>IF(AND(Programme_Grunddaten!$A201="Geprüft",Programme_Grunddaten!I201&lt;&gt;""),IF(Programme_Grunddaten!I201="Ja",1,0),"")</f>
        <v/>
      </c>
      <c r="C196" s="1" t="str">
        <f>IF(AND(Programme_Grunddaten!$A201="Geprüft",Programme_Grunddaten!J201&lt;&gt;""),IF(Programme_Grunddaten!J201="Ja",1,0),"")</f>
        <v/>
      </c>
      <c r="D196" s="1" t="str">
        <f>IF(AND(Programme_Grunddaten!$A201="Geprüft",Programme_Grunddaten!K201&lt;&gt;""),IF(Programme_Grunddaten!K201="Ja",1,0),"")</f>
        <v/>
      </c>
      <c r="E196" s="1" t="str">
        <f>IF(AND(Programme_Grunddaten!$A201="Geprüft",Programme_Grunddaten!L201&lt;&gt;""),IF(Programme_Grunddaten!L201="Abo / befristete Lizenz",1,0),"")</f>
        <v/>
      </c>
      <c r="F196" s="1" t="str">
        <f>IF(AND(Programme_Grunddaten!$A201="Geprüft",Programme_Grunddaten!M201&lt;&gt;""),IF(Programme_Grunddaten!M201="Ja",1,0),"")</f>
        <v/>
      </c>
      <c r="G196" s="1" t="str">
        <f>IF(AND(Programme_Grunddaten!$A201="Geprüft",Programme_Grunddaten!N201&lt;&gt;""),IF(Programme_Grunddaten!N201="Ja",1,0),"")</f>
        <v/>
      </c>
      <c r="H196" s="1" t="str">
        <f>IF(AND(Programme_Grunddaten!$A201="Geprüft",Programme_Grunddaten!O201&lt;&gt;""),IF(Programme_Grunddaten!O201="Deutschland",0,IF(Programme_Grunddaten!O201="EU",1,2)),"")</f>
        <v/>
      </c>
      <c r="I196" s="1" t="str">
        <f>IF(AND(Programme_Grunddaten!$A201="Geprüft",Programme_Grunddaten!P201&lt;&gt;""),IF(Programme_Grunddaten!P201="Ja",1,0),"")</f>
        <v/>
      </c>
      <c r="J196" s="1" t="str">
        <f>IF(AND(Programme_Grunddaten!$A201="Geprüft",Programme_Grunddaten!Q201&lt;&gt;""),IF(Programme_Grunddaten!Q201="geschlossenes System",1,0),"")</f>
        <v/>
      </c>
      <c r="K196" s="1" t="str">
        <f>IF(AND(Programme_Grunddaten!$A201="Geprüft",Programme_Grunddaten!R201&lt;&gt;""),IF(Programme_Grunddaten!R201="Ja",1,0),"")</f>
        <v/>
      </c>
      <c r="L196" s="1" t="str">
        <f>IF(AND(Programme_Grunddaten!$A201="Geprüft",Programme_Grunddaten!T201&lt;&gt;""),IF(Programme_Grunddaten!T201="Ja",1,0),"")</f>
        <v/>
      </c>
      <c r="M196" s="1" t="str">
        <f>IF(AND(Programme_Grunddaten!$A201="Geprüft",Programme_Grunddaten!U201&lt;&gt;""),IF(Programme_Grunddaten!U201="Ja",1,0),"")</f>
        <v/>
      </c>
      <c r="N196" s="1" t="str">
        <f>IF(AND(Programme_Grunddaten!$A201="Geprüft",Programme_Grunddaten!V201&lt;&gt;""),IF(Programme_Grunddaten!V201="Ja",1,0),"")</f>
        <v/>
      </c>
      <c r="O196" s="1" t="str">
        <f>IF(AND(Programme_Grunddaten!$A201="Geprüft",Programme_Grunddaten!W201&lt;&gt;""),IF(Programme_Grunddaten!W201="Ja",1,0),"")</f>
        <v/>
      </c>
      <c r="P196" s="1" t="str">
        <f>IF(AND(Programme_Grunddaten!$A201="Geprüft",Programme_Grunddaten!X201&lt;&gt;""),IF(Programme_Grunddaten!X201="Ja",1,0),"")</f>
        <v/>
      </c>
      <c r="Q196" s="1" t="str">
        <f>IF(AND(Programme_Grunddaten!$A201="Geprüft",Programme_Grunddaten!Y201&lt;&gt;""),IF(Programme_Grunddaten!Y201="Ja",1,0),"")</f>
        <v/>
      </c>
      <c r="R196" s="1" t="str">
        <f>IF(AND(Programme_Grunddaten!$A201="Geprüft",Programme_Grunddaten!Z201&lt;&gt;""),IF(Programme_Grunddaten!Z201="Ja",1,0),"")</f>
        <v/>
      </c>
      <c r="S196" s="1" t="str">
        <f>IF(AND(Programme_Grunddaten!$A201="Geprüft",Programme_Grunddaten!AA201&lt;&gt;""),IF(Programme_Grunddaten!AA201="monolithisch",1,0),"")</f>
        <v/>
      </c>
      <c r="T196" s="1" t="str">
        <f>IF(AND(Programme_Grunddaten!$A201="Geprüft",Programme_Grunddaten!AB201&lt;&gt;""),IF(Programme_Grunddaten!AB201="Ja",1,0),"")</f>
        <v/>
      </c>
      <c r="U196" s="1" t="str">
        <f>IF(AND(Programme_Grunddaten!$A201="Geprüft",Programme_Grunddaten!AC201&lt;&gt;""),IF(Programme_Grunddaten!AC201="Ja",1,0),"")</f>
        <v/>
      </c>
      <c r="V196" s="1" t="str">
        <f>IF(AND(Programme_Grunddaten!$A201="Geprüft",Programme_Grunddaten!AD201&lt;&gt;""),IF(Programme_Grunddaten!AD201="Ja",1,0),"")</f>
        <v/>
      </c>
      <c r="W196" s="1" t="str">
        <f>IF(AND(Programme_Grunddaten!$A201="Geprüft",Programme_Grunddaten!AE201&lt;&gt;""),IF(Programme_Grunddaten!AE201="Ja",1,0),"")</f>
        <v/>
      </c>
      <c r="X196" s="1" t="str">
        <f>IF(AND(Programme_Grunddaten!$A201="Geprüft",Programme_Grunddaten!AF201&lt;&gt;""),IF(Programme_Grunddaten!AF201="Ja",1,0),"")</f>
        <v/>
      </c>
      <c r="Y196" s="1" t="str">
        <f>IF(AND(Programme_Grunddaten!$A201="Geprüft",Programme_Grunddaten!AG201&lt;&gt;""),IF(Programme_Grunddaten!AG201="Ja",1,0),"")</f>
        <v/>
      </c>
      <c r="Z196" s="1" t="str">
        <f>IF(AND(Programme_Grunddaten!$A201="Geprüft",Programme_Grunddaten!AH201&lt;&gt;""),IF(Programme_Grunddaten!AH201="Ja",1,0),"")</f>
        <v/>
      </c>
      <c r="AA196" s="1" t="str">
        <f>IF(AND(Programme_Grunddaten!$A201="Geprüft",Programme_Grunddaten!AI201&lt;&gt;""),IF(Programme_Grunddaten!AI201="Ja",1,0),"")</f>
        <v/>
      </c>
      <c r="AB196" s="1" t="str">
        <f>IF(AND(Programme_Grunddaten!$A201="Geprüft",Programme_Grunddaten!AJ201&lt;&gt;""),IF(Programme_Grunddaten!AJ201="individuell programmierbar",1,0),"")</f>
        <v/>
      </c>
      <c r="AC196" s="1" t="str">
        <f>IF(AND(Programme_Grunddaten!$A201="Geprüft",Programme_Grunddaten!AK201&lt;&gt;""),IF(Programme_Grunddaten!AK201="Deutsch",0,IF(Programme_Grunddaten!AK201="Deutsch und Englisch",1,2)),"")</f>
        <v/>
      </c>
      <c r="AD196" s="1" t="str">
        <f>IF(AND(Programme_Grunddaten!$A201="Geprüft",Programme_Grunddaten!AL201&lt;&gt;""),IF(Programme_Grunddaten!AL201="Ja",1,0),"")</f>
        <v/>
      </c>
      <c r="AE196" s="1" t="str">
        <f>IF(AND(Programme_Grunddaten!$A201="Geprüft",Programme_Grunddaten!AM201&lt;&gt;""),IF(Programme_Grunddaten!AM201="Ja",1,0),"")</f>
        <v/>
      </c>
      <c r="AF196" s="1" t="str">
        <f>IF(AND(Programme_Grunddaten!$A201="Geprüft",Programme_Grunddaten!AN201&lt;&gt;""),IF(Programme_Grunddaten!AN201="Ja",1,0),"")</f>
        <v/>
      </c>
      <c r="AG196" s="1" t="str">
        <f>IF(AND(Programme_Grunddaten!$A201="Geprüft",Programme_Grunddaten!AO201&lt;&gt;""),IF(Programme_Grunddaten!AO201="Ja",1,0),"")</f>
        <v/>
      </c>
      <c r="AH196" s="1" t="str">
        <f>IF(AND(Programme_Grunddaten!$A201="Geprüft",Programme_Grunddaten!AP201&lt;&gt;""),IF(Programme_Grunddaten!AP201="Ja",1,0),"")</f>
        <v/>
      </c>
      <c r="AI196" s="1" t="str">
        <f>IF(AND(Programme_Grunddaten!$A201="Geprüft",Programme_Grunddaten!AQ201&lt;&gt;""),IF(Programme_Grunddaten!AQ201="Ja",1,0),"")</f>
        <v/>
      </c>
      <c r="AJ196" s="1" t="str">
        <f>IF(AND(Programme_Grunddaten!$A201="Geprüft",Programme_Grunddaten!AR201&lt;&gt;""),IF(Programme_Grunddaten!AR201="Ja",1,0),"")</f>
        <v/>
      </c>
      <c r="AK196" s="1" t="str">
        <f>IF(AND(Programme_Grunddaten!$A201="Geprüft",Programme_Grunddaten!AS201&lt;&gt;""),IF(Programme_Grunddaten!AS201="Ja",1,0),"")</f>
        <v/>
      </c>
      <c r="AL196" s="1" t="str">
        <f>IF(AND(Programme_Grunddaten!$A201="Geprüft",Programme_Grunddaten!AT201&lt;&gt;""),IF(Programme_Grunddaten!AT201="Ja",1,0),"")</f>
        <v/>
      </c>
      <c r="AM196" s="1" t="str">
        <f>IF(AND(Programme_Grunddaten!$A201="Geprüft",Programme_Grunddaten!AU201&lt;&gt;""),IF(Programme_Grunddaten!AU201="Ja",1,0),"")</f>
        <v/>
      </c>
      <c r="AN196" s="1" t="str">
        <f>IF(AND(Programme_Grunddaten!$A201="Geprüft",Programme_Grunddaten!AV201&lt;&gt;""),IF(Programme_Grunddaten!AV201="Ja",1,0),"")</f>
        <v/>
      </c>
    </row>
    <row r="197" spans="1:40" x14ac:dyDescent="0.3">
      <c r="A197" s="1" t="str">
        <f>IF(AND(Programme_Grunddaten!A202="Geprüft",Programme_Grunddaten!B202&lt;&gt;""),Programme_Grunddaten!B202,"")</f>
        <v/>
      </c>
      <c r="B197" s="1" t="str">
        <f>IF(AND(Programme_Grunddaten!$A202="Geprüft",Programme_Grunddaten!I202&lt;&gt;""),IF(Programme_Grunddaten!I202="Ja",1,0),"")</f>
        <v/>
      </c>
      <c r="C197" s="1" t="str">
        <f>IF(AND(Programme_Grunddaten!$A202="Geprüft",Programme_Grunddaten!J202&lt;&gt;""),IF(Programme_Grunddaten!J202="Ja",1,0),"")</f>
        <v/>
      </c>
      <c r="D197" s="1" t="str">
        <f>IF(AND(Programme_Grunddaten!$A202="Geprüft",Programme_Grunddaten!K202&lt;&gt;""),IF(Programme_Grunddaten!K202="Ja",1,0),"")</f>
        <v/>
      </c>
      <c r="E197" s="1" t="str">
        <f>IF(AND(Programme_Grunddaten!$A202="Geprüft",Programme_Grunddaten!L202&lt;&gt;""),IF(Programme_Grunddaten!L202="Abo / befristete Lizenz",1,0),"")</f>
        <v/>
      </c>
      <c r="F197" s="1" t="str">
        <f>IF(AND(Programme_Grunddaten!$A202="Geprüft",Programme_Grunddaten!M202&lt;&gt;""),IF(Programme_Grunddaten!M202="Ja",1,0),"")</f>
        <v/>
      </c>
      <c r="G197" s="1" t="str">
        <f>IF(AND(Programme_Grunddaten!$A202="Geprüft",Programme_Grunddaten!N202&lt;&gt;""),IF(Programme_Grunddaten!N202="Ja",1,0),"")</f>
        <v/>
      </c>
      <c r="H197" s="1" t="str">
        <f>IF(AND(Programme_Grunddaten!$A202="Geprüft",Programme_Grunddaten!O202&lt;&gt;""),IF(Programme_Grunddaten!O202="Deutschland",0,IF(Programme_Grunddaten!O202="EU",1,2)),"")</f>
        <v/>
      </c>
      <c r="I197" s="1" t="str">
        <f>IF(AND(Programme_Grunddaten!$A202="Geprüft",Programme_Grunddaten!P202&lt;&gt;""),IF(Programme_Grunddaten!P202="Ja",1,0),"")</f>
        <v/>
      </c>
      <c r="J197" s="1" t="str">
        <f>IF(AND(Programme_Grunddaten!$A202="Geprüft",Programme_Grunddaten!Q202&lt;&gt;""),IF(Programme_Grunddaten!Q202="geschlossenes System",1,0),"")</f>
        <v/>
      </c>
      <c r="K197" s="1" t="str">
        <f>IF(AND(Programme_Grunddaten!$A202="Geprüft",Programme_Grunddaten!R202&lt;&gt;""),IF(Programme_Grunddaten!R202="Ja",1,0),"")</f>
        <v/>
      </c>
      <c r="L197" s="1" t="str">
        <f>IF(AND(Programme_Grunddaten!$A202="Geprüft",Programme_Grunddaten!T202&lt;&gt;""),IF(Programme_Grunddaten!T202="Ja",1,0),"")</f>
        <v/>
      </c>
      <c r="M197" s="1" t="str">
        <f>IF(AND(Programme_Grunddaten!$A202="Geprüft",Programme_Grunddaten!U202&lt;&gt;""),IF(Programme_Grunddaten!U202="Ja",1,0),"")</f>
        <v/>
      </c>
      <c r="N197" s="1" t="str">
        <f>IF(AND(Programme_Grunddaten!$A202="Geprüft",Programme_Grunddaten!V202&lt;&gt;""),IF(Programme_Grunddaten!V202="Ja",1,0),"")</f>
        <v/>
      </c>
      <c r="O197" s="1" t="str">
        <f>IF(AND(Programme_Grunddaten!$A202="Geprüft",Programme_Grunddaten!W202&lt;&gt;""),IF(Programme_Grunddaten!W202="Ja",1,0),"")</f>
        <v/>
      </c>
      <c r="P197" s="1" t="str">
        <f>IF(AND(Programme_Grunddaten!$A202="Geprüft",Programme_Grunddaten!X202&lt;&gt;""),IF(Programme_Grunddaten!X202="Ja",1,0),"")</f>
        <v/>
      </c>
      <c r="Q197" s="1" t="str">
        <f>IF(AND(Programme_Grunddaten!$A202="Geprüft",Programme_Grunddaten!Y202&lt;&gt;""),IF(Programme_Grunddaten!Y202="Ja",1,0),"")</f>
        <v/>
      </c>
      <c r="R197" s="1" t="str">
        <f>IF(AND(Programme_Grunddaten!$A202="Geprüft",Programme_Grunddaten!Z202&lt;&gt;""),IF(Programme_Grunddaten!Z202="Ja",1,0),"")</f>
        <v/>
      </c>
      <c r="S197" s="1" t="str">
        <f>IF(AND(Programme_Grunddaten!$A202="Geprüft",Programme_Grunddaten!AA202&lt;&gt;""),IF(Programme_Grunddaten!AA202="monolithisch",1,0),"")</f>
        <v/>
      </c>
      <c r="T197" s="1" t="str">
        <f>IF(AND(Programme_Grunddaten!$A202="Geprüft",Programme_Grunddaten!AB202&lt;&gt;""),IF(Programme_Grunddaten!AB202="Ja",1,0),"")</f>
        <v/>
      </c>
      <c r="U197" s="1" t="str">
        <f>IF(AND(Programme_Grunddaten!$A202="Geprüft",Programme_Grunddaten!AC202&lt;&gt;""),IF(Programme_Grunddaten!AC202="Ja",1,0),"")</f>
        <v/>
      </c>
      <c r="V197" s="1" t="str">
        <f>IF(AND(Programme_Grunddaten!$A202="Geprüft",Programme_Grunddaten!AD202&lt;&gt;""),IF(Programme_Grunddaten!AD202="Ja",1,0),"")</f>
        <v/>
      </c>
      <c r="W197" s="1" t="str">
        <f>IF(AND(Programme_Grunddaten!$A202="Geprüft",Programme_Grunddaten!AE202&lt;&gt;""),IF(Programme_Grunddaten!AE202="Ja",1,0),"")</f>
        <v/>
      </c>
      <c r="X197" s="1" t="str">
        <f>IF(AND(Programme_Grunddaten!$A202="Geprüft",Programme_Grunddaten!AF202&lt;&gt;""),IF(Programme_Grunddaten!AF202="Ja",1,0),"")</f>
        <v/>
      </c>
      <c r="Y197" s="1" t="str">
        <f>IF(AND(Programme_Grunddaten!$A202="Geprüft",Programme_Grunddaten!AG202&lt;&gt;""),IF(Programme_Grunddaten!AG202="Ja",1,0),"")</f>
        <v/>
      </c>
      <c r="Z197" s="1" t="str">
        <f>IF(AND(Programme_Grunddaten!$A202="Geprüft",Programme_Grunddaten!AH202&lt;&gt;""),IF(Programme_Grunddaten!AH202="Ja",1,0),"")</f>
        <v/>
      </c>
      <c r="AA197" s="1" t="str">
        <f>IF(AND(Programme_Grunddaten!$A202="Geprüft",Programme_Grunddaten!AI202&lt;&gt;""),IF(Programme_Grunddaten!AI202="Ja",1,0),"")</f>
        <v/>
      </c>
      <c r="AB197" s="1" t="str">
        <f>IF(AND(Programme_Grunddaten!$A202="Geprüft",Programme_Grunddaten!AJ202&lt;&gt;""),IF(Programme_Grunddaten!AJ202="individuell programmierbar",1,0),"")</f>
        <v/>
      </c>
      <c r="AC197" s="1" t="str">
        <f>IF(AND(Programme_Grunddaten!$A202="Geprüft",Programme_Grunddaten!AK202&lt;&gt;""),IF(Programme_Grunddaten!AK202="Deutsch",0,IF(Programme_Grunddaten!AK202="Deutsch und Englisch",1,2)),"")</f>
        <v/>
      </c>
      <c r="AD197" s="1" t="str">
        <f>IF(AND(Programme_Grunddaten!$A202="Geprüft",Programme_Grunddaten!AL202&lt;&gt;""),IF(Programme_Grunddaten!AL202="Ja",1,0),"")</f>
        <v/>
      </c>
      <c r="AE197" s="1" t="str">
        <f>IF(AND(Programme_Grunddaten!$A202="Geprüft",Programme_Grunddaten!AM202&lt;&gt;""),IF(Programme_Grunddaten!AM202="Ja",1,0),"")</f>
        <v/>
      </c>
      <c r="AF197" s="1" t="str">
        <f>IF(AND(Programme_Grunddaten!$A202="Geprüft",Programme_Grunddaten!AN202&lt;&gt;""),IF(Programme_Grunddaten!AN202="Ja",1,0),"")</f>
        <v/>
      </c>
      <c r="AG197" s="1" t="str">
        <f>IF(AND(Programme_Grunddaten!$A202="Geprüft",Programme_Grunddaten!AO202&lt;&gt;""),IF(Programme_Grunddaten!AO202="Ja",1,0),"")</f>
        <v/>
      </c>
      <c r="AH197" s="1" t="str">
        <f>IF(AND(Programme_Grunddaten!$A202="Geprüft",Programme_Grunddaten!AP202&lt;&gt;""),IF(Programme_Grunddaten!AP202="Ja",1,0),"")</f>
        <v/>
      </c>
      <c r="AI197" s="1" t="str">
        <f>IF(AND(Programme_Grunddaten!$A202="Geprüft",Programme_Grunddaten!AQ202&lt;&gt;""),IF(Programme_Grunddaten!AQ202="Ja",1,0),"")</f>
        <v/>
      </c>
      <c r="AJ197" s="1" t="str">
        <f>IF(AND(Programme_Grunddaten!$A202="Geprüft",Programme_Grunddaten!AR202&lt;&gt;""),IF(Programme_Grunddaten!AR202="Ja",1,0),"")</f>
        <v/>
      </c>
      <c r="AK197" s="1" t="str">
        <f>IF(AND(Programme_Grunddaten!$A202="Geprüft",Programme_Grunddaten!AS202&lt;&gt;""),IF(Programme_Grunddaten!AS202="Ja",1,0),"")</f>
        <v/>
      </c>
      <c r="AL197" s="1" t="str">
        <f>IF(AND(Programme_Grunddaten!$A202="Geprüft",Programme_Grunddaten!AT202&lt;&gt;""),IF(Programme_Grunddaten!AT202="Ja",1,0),"")</f>
        <v/>
      </c>
      <c r="AM197" s="1" t="str">
        <f>IF(AND(Programme_Grunddaten!$A202="Geprüft",Programme_Grunddaten!AU202&lt;&gt;""),IF(Programme_Grunddaten!AU202="Ja",1,0),"")</f>
        <v/>
      </c>
      <c r="AN197" s="1" t="str">
        <f>IF(AND(Programme_Grunddaten!$A202="Geprüft",Programme_Grunddaten!AV202&lt;&gt;""),IF(Programme_Grunddaten!AV202="Ja",1,0),"")</f>
        <v/>
      </c>
    </row>
    <row r="198" spans="1:40" x14ac:dyDescent="0.3">
      <c r="A198" s="1" t="str">
        <f>IF(AND(Programme_Grunddaten!A203="Geprüft",Programme_Grunddaten!B203&lt;&gt;""),Programme_Grunddaten!B203,"")</f>
        <v/>
      </c>
      <c r="B198" s="1" t="str">
        <f>IF(AND(Programme_Grunddaten!$A203="Geprüft",Programme_Grunddaten!I203&lt;&gt;""),IF(Programme_Grunddaten!I203="Ja",1,0),"")</f>
        <v/>
      </c>
      <c r="C198" s="1" t="str">
        <f>IF(AND(Programme_Grunddaten!$A203="Geprüft",Programme_Grunddaten!J203&lt;&gt;""),IF(Programme_Grunddaten!J203="Ja",1,0),"")</f>
        <v/>
      </c>
      <c r="D198" s="1" t="str">
        <f>IF(AND(Programme_Grunddaten!$A203="Geprüft",Programme_Grunddaten!K203&lt;&gt;""),IF(Programme_Grunddaten!K203="Ja",1,0),"")</f>
        <v/>
      </c>
      <c r="E198" s="1" t="str">
        <f>IF(AND(Programme_Grunddaten!$A203="Geprüft",Programme_Grunddaten!L203&lt;&gt;""),IF(Programme_Grunddaten!L203="Abo / befristete Lizenz",1,0),"")</f>
        <v/>
      </c>
      <c r="F198" s="1" t="str">
        <f>IF(AND(Programme_Grunddaten!$A203="Geprüft",Programme_Grunddaten!M203&lt;&gt;""),IF(Programme_Grunddaten!M203="Ja",1,0),"")</f>
        <v/>
      </c>
      <c r="G198" s="1" t="str">
        <f>IF(AND(Programme_Grunddaten!$A203="Geprüft",Programme_Grunddaten!N203&lt;&gt;""),IF(Programme_Grunddaten!N203="Ja",1,0),"")</f>
        <v/>
      </c>
      <c r="H198" s="1" t="str">
        <f>IF(AND(Programme_Grunddaten!$A203="Geprüft",Programme_Grunddaten!O203&lt;&gt;""),IF(Programme_Grunddaten!O203="Deutschland",0,IF(Programme_Grunddaten!O203="EU",1,2)),"")</f>
        <v/>
      </c>
      <c r="I198" s="1" t="str">
        <f>IF(AND(Programme_Grunddaten!$A203="Geprüft",Programme_Grunddaten!P203&lt;&gt;""),IF(Programme_Grunddaten!P203="Ja",1,0),"")</f>
        <v/>
      </c>
      <c r="J198" s="1" t="str">
        <f>IF(AND(Programme_Grunddaten!$A203="Geprüft",Programme_Grunddaten!Q203&lt;&gt;""),IF(Programme_Grunddaten!Q203="geschlossenes System",1,0),"")</f>
        <v/>
      </c>
      <c r="K198" s="1" t="str">
        <f>IF(AND(Programme_Grunddaten!$A203="Geprüft",Programme_Grunddaten!R203&lt;&gt;""),IF(Programme_Grunddaten!R203="Ja",1,0),"")</f>
        <v/>
      </c>
      <c r="L198" s="1" t="str">
        <f>IF(AND(Programme_Grunddaten!$A203="Geprüft",Programme_Grunddaten!T203&lt;&gt;""),IF(Programme_Grunddaten!T203="Ja",1,0),"")</f>
        <v/>
      </c>
      <c r="M198" s="1" t="str">
        <f>IF(AND(Programme_Grunddaten!$A203="Geprüft",Programme_Grunddaten!U203&lt;&gt;""),IF(Programme_Grunddaten!U203="Ja",1,0),"")</f>
        <v/>
      </c>
      <c r="N198" s="1" t="str">
        <f>IF(AND(Programme_Grunddaten!$A203="Geprüft",Programme_Grunddaten!V203&lt;&gt;""),IF(Programme_Grunddaten!V203="Ja",1,0),"")</f>
        <v/>
      </c>
      <c r="O198" s="1" t="str">
        <f>IF(AND(Programme_Grunddaten!$A203="Geprüft",Programme_Grunddaten!W203&lt;&gt;""),IF(Programme_Grunddaten!W203="Ja",1,0),"")</f>
        <v/>
      </c>
      <c r="P198" s="1" t="str">
        <f>IF(AND(Programme_Grunddaten!$A203="Geprüft",Programme_Grunddaten!X203&lt;&gt;""),IF(Programme_Grunddaten!X203="Ja",1,0),"")</f>
        <v/>
      </c>
      <c r="Q198" s="1" t="str">
        <f>IF(AND(Programme_Grunddaten!$A203="Geprüft",Programme_Grunddaten!Y203&lt;&gt;""),IF(Programme_Grunddaten!Y203="Ja",1,0),"")</f>
        <v/>
      </c>
      <c r="R198" s="1" t="str">
        <f>IF(AND(Programme_Grunddaten!$A203="Geprüft",Programme_Grunddaten!Z203&lt;&gt;""),IF(Programme_Grunddaten!Z203="Ja",1,0),"")</f>
        <v/>
      </c>
      <c r="S198" s="1" t="str">
        <f>IF(AND(Programme_Grunddaten!$A203="Geprüft",Programme_Grunddaten!AA203&lt;&gt;""),IF(Programme_Grunddaten!AA203="monolithisch",1,0),"")</f>
        <v/>
      </c>
      <c r="T198" s="1" t="str">
        <f>IF(AND(Programme_Grunddaten!$A203="Geprüft",Programme_Grunddaten!AB203&lt;&gt;""),IF(Programme_Grunddaten!AB203="Ja",1,0),"")</f>
        <v/>
      </c>
      <c r="U198" s="1" t="str">
        <f>IF(AND(Programme_Grunddaten!$A203="Geprüft",Programme_Grunddaten!AC203&lt;&gt;""),IF(Programme_Grunddaten!AC203="Ja",1,0),"")</f>
        <v/>
      </c>
      <c r="V198" s="1" t="str">
        <f>IF(AND(Programme_Grunddaten!$A203="Geprüft",Programme_Grunddaten!AD203&lt;&gt;""),IF(Programme_Grunddaten!AD203="Ja",1,0),"")</f>
        <v/>
      </c>
      <c r="W198" s="1" t="str">
        <f>IF(AND(Programme_Grunddaten!$A203="Geprüft",Programme_Grunddaten!AE203&lt;&gt;""),IF(Programme_Grunddaten!AE203="Ja",1,0),"")</f>
        <v/>
      </c>
      <c r="X198" s="1" t="str">
        <f>IF(AND(Programme_Grunddaten!$A203="Geprüft",Programme_Grunddaten!AF203&lt;&gt;""),IF(Programme_Grunddaten!AF203="Ja",1,0),"")</f>
        <v/>
      </c>
      <c r="Y198" s="1" t="str">
        <f>IF(AND(Programme_Grunddaten!$A203="Geprüft",Programme_Grunddaten!AG203&lt;&gt;""),IF(Programme_Grunddaten!AG203="Ja",1,0),"")</f>
        <v/>
      </c>
      <c r="Z198" s="1" t="str">
        <f>IF(AND(Programme_Grunddaten!$A203="Geprüft",Programme_Grunddaten!AH203&lt;&gt;""),IF(Programme_Grunddaten!AH203="Ja",1,0),"")</f>
        <v/>
      </c>
      <c r="AA198" s="1" t="str">
        <f>IF(AND(Programme_Grunddaten!$A203="Geprüft",Programme_Grunddaten!AI203&lt;&gt;""),IF(Programme_Grunddaten!AI203="Ja",1,0),"")</f>
        <v/>
      </c>
      <c r="AB198" s="1" t="str">
        <f>IF(AND(Programme_Grunddaten!$A203="Geprüft",Programme_Grunddaten!AJ203&lt;&gt;""),IF(Programme_Grunddaten!AJ203="individuell programmierbar",1,0),"")</f>
        <v/>
      </c>
      <c r="AC198" s="1" t="str">
        <f>IF(AND(Programme_Grunddaten!$A203="Geprüft",Programme_Grunddaten!AK203&lt;&gt;""),IF(Programme_Grunddaten!AK203="Deutsch",0,IF(Programme_Grunddaten!AK203="Deutsch und Englisch",1,2)),"")</f>
        <v/>
      </c>
      <c r="AD198" s="1" t="str">
        <f>IF(AND(Programme_Grunddaten!$A203="Geprüft",Programme_Grunddaten!AL203&lt;&gt;""),IF(Programme_Grunddaten!AL203="Ja",1,0),"")</f>
        <v/>
      </c>
      <c r="AE198" s="1" t="str">
        <f>IF(AND(Programme_Grunddaten!$A203="Geprüft",Programme_Grunddaten!AM203&lt;&gt;""),IF(Programme_Grunddaten!AM203="Ja",1,0),"")</f>
        <v/>
      </c>
      <c r="AF198" s="1" t="str">
        <f>IF(AND(Programme_Grunddaten!$A203="Geprüft",Programme_Grunddaten!AN203&lt;&gt;""),IF(Programme_Grunddaten!AN203="Ja",1,0),"")</f>
        <v/>
      </c>
      <c r="AG198" s="1" t="str">
        <f>IF(AND(Programme_Grunddaten!$A203="Geprüft",Programme_Grunddaten!AO203&lt;&gt;""),IF(Programme_Grunddaten!AO203="Ja",1,0),"")</f>
        <v/>
      </c>
      <c r="AH198" s="1" t="str">
        <f>IF(AND(Programme_Grunddaten!$A203="Geprüft",Programme_Grunddaten!AP203&lt;&gt;""),IF(Programme_Grunddaten!AP203="Ja",1,0),"")</f>
        <v/>
      </c>
      <c r="AI198" s="1" t="str">
        <f>IF(AND(Programme_Grunddaten!$A203="Geprüft",Programme_Grunddaten!AQ203&lt;&gt;""),IF(Programme_Grunddaten!AQ203="Ja",1,0),"")</f>
        <v/>
      </c>
      <c r="AJ198" s="1" t="str">
        <f>IF(AND(Programme_Grunddaten!$A203="Geprüft",Programme_Grunddaten!AR203&lt;&gt;""),IF(Programme_Grunddaten!AR203="Ja",1,0),"")</f>
        <v/>
      </c>
      <c r="AK198" s="1" t="str">
        <f>IF(AND(Programme_Grunddaten!$A203="Geprüft",Programme_Grunddaten!AS203&lt;&gt;""),IF(Programme_Grunddaten!AS203="Ja",1,0),"")</f>
        <v/>
      </c>
      <c r="AL198" s="1" t="str">
        <f>IF(AND(Programme_Grunddaten!$A203="Geprüft",Programme_Grunddaten!AT203&lt;&gt;""),IF(Programme_Grunddaten!AT203="Ja",1,0),"")</f>
        <v/>
      </c>
      <c r="AM198" s="1" t="str">
        <f>IF(AND(Programme_Grunddaten!$A203="Geprüft",Programme_Grunddaten!AU203&lt;&gt;""),IF(Programme_Grunddaten!AU203="Ja",1,0),"")</f>
        <v/>
      </c>
      <c r="AN198" s="1" t="str">
        <f>IF(AND(Programme_Grunddaten!$A203="Geprüft",Programme_Grunddaten!AV203&lt;&gt;""),IF(Programme_Grunddaten!AV203="Ja",1,0),"")</f>
        <v/>
      </c>
    </row>
    <row r="199" spans="1:40" x14ac:dyDescent="0.3">
      <c r="A199" s="1" t="str">
        <f>IF(AND(Programme_Grunddaten!A204="Geprüft",Programme_Grunddaten!B204&lt;&gt;""),Programme_Grunddaten!B204,"")</f>
        <v/>
      </c>
      <c r="B199" s="1" t="str">
        <f>IF(AND(Programme_Grunddaten!$A204="Geprüft",Programme_Grunddaten!I204&lt;&gt;""),IF(Programme_Grunddaten!I204="Ja",1,0),"")</f>
        <v/>
      </c>
      <c r="C199" s="1" t="str">
        <f>IF(AND(Programme_Grunddaten!$A204="Geprüft",Programme_Grunddaten!J204&lt;&gt;""),IF(Programme_Grunddaten!J204="Ja",1,0),"")</f>
        <v/>
      </c>
      <c r="D199" s="1" t="str">
        <f>IF(AND(Programme_Grunddaten!$A204="Geprüft",Programme_Grunddaten!K204&lt;&gt;""),IF(Programme_Grunddaten!K204="Ja",1,0),"")</f>
        <v/>
      </c>
      <c r="E199" s="1" t="str">
        <f>IF(AND(Programme_Grunddaten!$A204="Geprüft",Programme_Grunddaten!L204&lt;&gt;""),IF(Programme_Grunddaten!L204="Abo / befristete Lizenz",1,0),"")</f>
        <v/>
      </c>
      <c r="F199" s="1" t="str">
        <f>IF(AND(Programme_Grunddaten!$A204="Geprüft",Programme_Grunddaten!M204&lt;&gt;""),IF(Programme_Grunddaten!M204="Ja",1,0),"")</f>
        <v/>
      </c>
      <c r="G199" s="1" t="str">
        <f>IF(AND(Programme_Grunddaten!$A204="Geprüft",Programme_Grunddaten!N204&lt;&gt;""),IF(Programme_Grunddaten!N204="Ja",1,0),"")</f>
        <v/>
      </c>
      <c r="H199" s="1" t="str">
        <f>IF(AND(Programme_Grunddaten!$A204="Geprüft",Programme_Grunddaten!O204&lt;&gt;""),IF(Programme_Grunddaten!O204="Deutschland",0,IF(Programme_Grunddaten!O204="EU",1,2)),"")</f>
        <v/>
      </c>
      <c r="I199" s="1" t="str">
        <f>IF(AND(Programme_Grunddaten!$A204="Geprüft",Programme_Grunddaten!P204&lt;&gt;""),IF(Programme_Grunddaten!P204="Ja",1,0),"")</f>
        <v/>
      </c>
      <c r="J199" s="1" t="str">
        <f>IF(AND(Programme_Grunddaten!$A204="Geprüft",Programme_Grunddaten!Q204&lt;&gt;""),IF(Programme_Grunddaten!Q204="geschlossenes System",1,0),"")</f>
        <v/>
      </c>
      <c r="K199" s="1" t="str">
        <f>IF(AND(Programme_Grunddaten!$A204="Geprüft",Programme_Grunddaten!R204&lt;&gt;""),IF(Programme_Grunddaten!R204="Ja",1,0),"")</f>
        <v/>
      </c>
      <c r="L199" s="1" t="str">
        <f>IF(AND(Programme_Grunddaten!$A204="Geprüft",Programme_Grunddaten!T204&lt;&gt;""),IF(Programme_Grunddaten!T204="Ja",1,0),"")</f>
        <v/>
      </c>
      <c r="M199" s="1" t="str">
        <f>IF(AND(Programme_Grunddaten!$A204="Geprüft",Programme_Grunddaten!U204&lt;&gt;""),IF(Programme_Grunddaten!U204="Ja",1,0),"")</f>
        <v/>
      </c>
      <c r="N199" s="1" t="str">
        <f>IF(AND(Programme_Grunddaten!$A204="Geprüft",Programme_Grunddaten!V204&lt;&gt;""),IF(Programme_Grunddaten!V204="Ja",1,0),"")</f>
        <v/>
      </c>
      <c r="O199" s="1" t="str">
        <f>IF(AND(Programme_Grunddaten!$A204="Geprüft",Programme_Grunddaten!W204&lt;&gt;""),IF(Programme_Grunddaten!W204="Ja",1,0),"")</f>
        <v/>
      </c>
      <c r="P199" s="1" t="str">
        <f>IF(AND(Programme_Grunddaten!$A204="Geprüft",Programme_Grunddaten!X204&lt;&gt;""),IF(Programme_Grunddaten!X204="Ja",1,0),"")</f>
        <v/>
      </c>
      <c r="Q199" s="1" t="str">
        <f>IF(AND(Programme_Grunddaten!$A204="Geprüft",Programme_Grunddaten!Y204&lt;&gt;""),IF(Programme_Grunddaten!Y204="Ja",1,0),"")</f>
        <v/>
      </c>
      <c r="R199" s="1" t="str">
        <f>IF(AND(Programme_Grunddaten!$A204="Geprüft",Programme_Grunddaten!Z204&lt;&gt;""),IF(Programme_Grunddaten!Z204="Ja",1,0),"")</f>
        <v/>
      </c>
      <c r="S199" s="1" t="str">
        <f>IF(AND(Programme_Grunddaten!$A204="Geprüft",Programme_Grunddaten!AA204&lt;&gt;""),IF(Programme_Grunddaten!AA204="monolithisch",1,0),"")</f>
        <v/>
      </c>
      <c r="T199" s="1" t="str">
        <f>IF(AND(Programme_Grunddaten!$A204="Geprüft",Programme_Grunddaten!AB204&lt;&gt;""),IF(Programme_Grunddaten!AB204="Ja",1,0),"")</f>
        <v/>
      </c>
      <c r="U199" s="1" t="str">
        <f>IF(AND(Programme_Grunddaten!$A204="Geprüft",Programme_Grunddaten!AC204&lt;&gt;""),IF(Programme_Grunddaten!AC204="Ja",1,0),"")</f>
        <v/>
      </c>
      <c r="V199" s="1" t="str">
        <f>IF(AND(Programme_Grunddaten!$A204="Geprüft",Programme_Grunddaten!AD204&lt;&gt;""),IF(Programme_Grunddaten!AD204="Ja",1,0),"")</f>
        <v/>
      </c>
      <c r="W199" s="1" t="str">
        <f>IF(AND(Programme_Grunddaten!$A204="Geprüft",Programme_Grunddaten!AE204&lt;&gt;""),IF(Programme_Grunddaten!AE204="Ja",1,0),"")</f>
        <v/>
      </c>
      <c r="X199" s="1" t="str">
        <f>IF(AND(Programme_Grunddaten!$A204="Geprüft",Programme_Grunddaten!AF204&lt;&gt;""),IF(Programme_Grunddaten!AF204="Ja",1,0),"")</f>
        <v/>
      </c>
      <c r="Y199" s="1" t="str">
        <f>IF(AND(Programme_Grunddaten!$A204="Geprüft",Programme_Grunddaten!AG204&lt;&gt;""),IF(Programme_Grunddaten!AG204="Ja",1,0),"")</f>
        <v/>
      </c>
      <c r="Z199" s="1" t="str">
        <f>IF(AND(Programme_Grunddaten!$A204="Geprüft",Programme_Grunddaten!AH204&lt;&gt;""),IF(Programme_Grunddaten!AH204="Ja",1,0),"")</f>
        <v/>
      </c>
      <c r="AA199" s="1" t="str">
        <f>IF(AND(Programme_Grunddaten!$A204="Geprüft",Programme_Grunddaten!AI204&lt;&gt;""),IF(Programme_Grunddaten!AI204="Ja",1,0),"")</f>
        <v/>
      </c>
      <c r="AB199" s="1" t="str">
        <f>IF(AND(Programme_Grunddaten!$A204="Geprüft",Programme_Grunddaten!AJ204&lt;&gt;""),IF(Programme_Grunddaten!AJ204="individuell programmierbar",1,0),"")</f>
        <v/>
      </c>
      <c r="AC199" s="1" t="str">
        <f>IF(AND(Programme_Grunddaten!$A204="Geprüft",Programme_Grunddaten!AK204&lt;&gt;""),IF(Programme_Grunddaten!AK204="Deutsch",0,IF(Programme_Grunddaten!AK204="Deutsch und Englisch",1,2)),"")</f>
        <v/>
      </c>
      <c r="AD199" s="1" t="str">
        <f>IF(AND(Programme_Grunddaten!$A204="Geprüft",Programme_Grunddaten!AL204&lt;&gt;""),IF(Programme_Grunddaten!AL204="Ja",1,0),"")</f>
        <v/>
      </c>
      <c r="AE199" s="1" t="str">
        <f>IF(AND(Programme_Grunddaten!$A204="Geprüft",Programme_Grunddaten!AM204&lt;&gt;""),IF(Programme_Grunddaten!AM204="Ja",1,0),"")</f>
        <v/>
      </c>
      <c r="AF199" s="1" t="str">
        <f>IF(AND(Programme_Grunddaten!$A204="Geprüft",Programme_Grunddaten!AN204&lt;&gt;""),IF(Programme_Grunddaten!AN204="Ja",1,0),"")</f>
        <v/>
      </c>
      <c r="AG199" s="1" t="str">
        <f>IF(AND(Programme_Grunddaten!$A204="Geprüft",Programme_Grunddaten!AO204&lt;&gt;""),IF(Programme_Grunddaten!AO204="Ja",1,0),"")</f>
        <v/>
      </c>
      <c r="AH199" s="1" t="str">
        <f>IF(AND(Programme_Grunddaten!$A204="Geprüft",Programme_Grunddaten!AP204&lt;&gt;""),IF(Programme_Grunddaten!AP204="Ja",1,0),"")</f>
        <v/>
      </c>
      <c r="AI199" s="1" t="str">
        <f>IF(AND(Programme_Grunddaten!$A204="Geprüft",Programme_Grunddaten!AQ204&lt;&gt;""),IF(Programme_Grunddaten!AQ204="Ja",1,0),"")</f>
        <v/>
      </c>
      <c r="AJ199" s="1" t="str">
        <f>IF(AND(Programme_Grunddaten!$A204="Geprüft",Programme_Grunddaten!AR204&lt;&gt;""),IF(Programme_Grunddaten!AR204="Ja",1,0),"")</f>
        <v/>
      </c>
      <c r="AK199" s="1" t="str">
        <f>IF(AND(Programme_Grunddaten!$A204="Geprüft",Programme_Grunddaten!AS204&lt;&gt;""),IF(Programme_Grunddaten!AS204="Ja",1,0),"")</f>
        <v/>
      </c>
      <c r="AL199" s="1" t="str">
        <f>IF(AND(Programme_Grunddaten!$A204="Geprüft",Programme_Grunddaten!AT204&lt;&gt;""),IF(Programme_Grunddaten!AT204="Ja",1,0),"")</f>
        <v/>
      </c>
      <c r="AM199" s="1" t="str">
        <f>IF(AND(Programme_Grunddaten!$A204="Geprüft",Programme_Grunddaten!AU204&lt;&gt;""),IF(Programme_Grunddaten!AU204="Ja",1,0),"")</f>
        <v/>
      </c>
      <c r="AN199" s="1" t="str">
        <f>IF(AND(Programme_Grunddaten!$A204="Geprüft",Programme_Grunddaten!AV204&lt;&gt;""),IF(Programme_Grunddaten!AV204="Ja",1,0),"")</f>
        <v/>
      </c>
    </row>
    <row r="200" spans="1:40" x14ac:dyDescent="0.3">
      <c r="A200" s="1" t="str">
        <f>IF(AND(Programme_Grunddaten!A205="Geprüft",Programme_Grunddaten!B205&lt;&gt;""),Programme_Grunddaten!B205,"")</f>
        <v/>
      </c>
      <c r="B200" s="1" t="str">
        <f>IF(AND(Programme_Grunddaten!$A205="Geprüft",Programme_Grunddaten!I205&lt;&gt;""),IF(Programme_Grunddaten!I205="Ja",1,0),"")</f>
        <v/>
      </c>
      <c r="C200" s="1" t="str">
        <f>IF(AND(Programme_Grunddaten!$A205="Geprüft",Programme_Grunddaten!J205&lt;&gt;""),IF(Programme_Grunddaten!J205="Ja",1,0),"")</f>
        <v/>
      </c>
      <c r="D200" s="1" t="str">
        <f>IF(AND(Programme_Grunddaten!$A205="Geprüft",Programme_Grunddaten!K205&lt;&gt;""),IF(Programme_Grunddaten!K205="Ja",1,0),"")</f>
        <v/>
      </c>
      <c r="E200" s="1" t="str">
        <f>IF(AND(Programme_Grunddaten!$A205="Geprüft",Programme_Grunddaten!L205&lt;&gt;""),IF(Programme_Grunddaten!L205="Abo / befristete Lizenz",1,0),"")</f>
        <v/>
      </c>
      <c r="F200" s="1" t="str">
        <f>IF(AND(Programme_Grunddaten!$A205="Geprüft",Programme_Grunddaten!M205&lt;&gt;""),IF(Programme_Grunddaten!M205="Ja",1,0),"")</f>
        <v/>
      </c>
      <c r="G200" s="1" t="str">
        <f>IF(AND(Programme_Grunddaten!$A205="Geprüft",Programme_Grunddaten!N205&lt;&gt;""),IF(Programme_Grunddaten!N205="Ja",1,0),"")</f>
        <v/>
      </c>
      <c r="H200" s="1" t="str">
        <f>IF(AND(Programme_Grunddaten!$A205="Geprüft",Programme_Grunddaten!O205&lt;&gt;""),IF(Programme_Grunddaten!O205="Deutschland",0,IF(Programme_Grunddaten!O205="EU",1,2)),"")</f>
        <v/>
      </c>
      <c r="I200" s="1" t="str">
        <f>IF(AND(Programme_Grunddaten!$A205="Geprüft",Programme_Grunddaten!P205&lt;&gt;""),IF(Programme_Grunddaten!P205="Ja",1,0),"")</f>
        <v/>
      </c>
      <c r="J200" s="1" t="str">
        <f>IF(AND(Programme_Grunddaten!$A205="Geprüft",Programme_Grunddaten!Q205&lt;&gt;""),IF(Programme_Grunddaten!Q205="geschlossenes System",1,0),"")</f>
        <v/>
      </c>
      <c r="K200" s="1" t="str">
        <f>IF(AND(Programme_Grunddaten!$A205="Geprüft",Programme_Grunddaten!R205&lt;&gt;""),IF(Programme_Grunddaten!R205="Ja",1,0),"")</f>
        <v/>
      </c>
      <c r="L200" s="1" t="str">
        <f>IF(AND(Programme_Grunddaten!$A205="Geprüft",Programme_Grunddaten!T205&lt;&gt;""),IF(Programme_Grunddaten!T205="Ja",1,0),"")</f>
        <v/>
      </c>
      <c r="M200" s="1" t="str">
        <f>IF(AND(Programme_Grunddaten!$A205="Geprüft",Programme_Grunddaten!U205&lt;&gt;""),IF(Programme_Grunddaten!U205="Ja",1,0),"")</f>
        <v/>
      </c>
      <c r="N200" s="1" t="str">
        <f>IF(AND(Programme_Grunddaten!$A205="Geprüft",Programme_Grunddaten!V205&lt;&gt;""),IF(Programme_Grunddaten!V205="Ja",1,0),"")</f>
        <v/>
      </c>
      <c r="O200" s="1" t="str">
        <f>IF(AND(Programme_Grunddaten!$A205="Geprüft",Programme_Grunddaten!W205&lt;&gt;""),IF(Programme_Grunddaten!W205="Ja",1,0),"")</f>
        <v/>
      </c>
      <c r="P200" s="1" t="str">
        <f>IF(AND(Programme_Grunddaten!$A205="Geprüft",Programme_Grunddaten!X205&lt;&gt;""),IF(Programme_Grunddaten!X205="Ja",1,0),"")</f>
        <v/>
      </c>
      <c r="Q200" s="1" t="str">
        <f>IF(AND(Programme_Grunddaten!$A205="Geprüft",Programme_Grunddaten!Y205&lt;&gt;""),IF(Programme_Grunddaten!Y205="Ja",1,0),"")</f>
        <v/>
      </c>
      <c r="R200" s="1" t="str">
        <f>IF(AND(Programme_Grunddaten!$A205="Geprüft",Programme_Grunddaten!Z205&lt;&gt;""),IF(Programme_Grunddaten!Z205="Ja",1,0),"")</f>
        <v/>
      </c>
      <c r="S200" s="1" t="str">
        <f>IF(AND(Programme_Grunddaten!$A205="Geprüft",Programme_Grunddaten!AA205&lt;&gt;""),IF(Programme_Grunddaten!AA205="monolithisch",1,0),"")</f>
        <v/>
      </c>
      <c r="T200" s="1" t="str">
        <f>IF(AND(Programme_Grunddaten!$A205="Geprüft",Programme_Grunddaten!AB205&lt;&gt;""),IF(Programme_Grunddaten!AB205="Ja",1,0),"")</f>
        <v/>
      </c>
      <c r="U200" s="1" t="str">
        <f>IF(AND(Programme_Grunddaten!$A205="Geprüft",Programme_Grunddaten!AC205&lt;&gt;""),IF(Programme_Grunddaten!AC205="Ja",1,0),"")</f>
        <v/>
      </c>
      <c r="V200" s="1" t="str">
        <f>IF(AND(Programme_Grunddaten!$A205="Geprüft",Programme_Grunddaten!AD205&lt;&gt;""),IF(Programme_Grunddaten!AD205="Ja",1,0),"")</f>
        <v/>
      </c>
      <c r="W200" s="1" t="str">
        <f>IF(AND(Programme_Grunddaten!$A205="Geprüft",Programme_Grunddaten!AE205&lt;&gt;""),IF(Programme_Grunddaten!AE205="Ja",1,0),"")</f>
        <v/>
      </c>
      <c r="X200" s="1" t="str">
        <f>IF(AND(Programme_Grunddaten!$A205="Geprüft",Programme_Grunddaten!AF205&lt;&gt;""),IF(Programme_Grunddaten!AF205="Ja",1,0),"")</f>
        <v/>
      </c>
      <c r="Y200" s="1" t="str">
        <f>IF(AND(Programme_Grunddaten!$A205="Geprüft",Programme_Grunddaten!AG205&lt;&gt;""),IF(Programme_Grunddaten!AG205="Ja",1,0),"")</f>
        <v/>
      </c>
      <c r="Z200" s="1" t="str">
        <f>IF(AND(Programme_Grunddaten!$A205="Geprüft",Programme_Grunddaten!AH205&lt;&gt;""),IF(Programme_Grunddaten!AH205="Ja",1,0),"")</f>
        <v/>
      </c>
      <c r="AA200" s="1" t="str">
        <f>IF(AND(Programme_Grunddaten!$A205="Geprüft",Programme_Grunddaten!AI205&lt;&gt;""),IF(Programme_Grunddaten!AI205="Ja",1,0),"")</f>
        <v/>
      </c>
      <c r="AB200" s="1" t="str">
        <f>IF(AND(Programme_Grunddaten!$A205="Geprüft",Programme_Grunddaten!AJ205&lt;&gt;""),IF(Programme_Grunddaten!AJ205="individuell programmierbar",1,0),"")</f>
        <v/>
      </c>
      <c r="AC200" s="1" t="str">
        <f>IF(AND(Programme_Grunddaten!$A205="Geprüft",Programme_Grunddaten!AK205&lt;&gt;""),IF(Programme_Grunddaten!AK205="Deutsch",0,IF(Programme_Grunddaten!AK205="Deutsch und Englisch",1,2)),"")</f>
        <v/>
      </c>
      <c r="AD200" s="1" t="str">
        <f>IF(AND(Programme_Grunddaten!$A205="Geprüft",Programme_Grunddaten!AL205&lt;&gt;""),IF(Programme_Grunddaten!AL205="Ja",1,0),"")</f>
        <v/>
      </c>
      <c r="AE200" s="1" t="str">
        <f>IF(AND(Programme_Grunddaten!$A205="Geprüft",Programme_Grunddaten!AM205&lt;&gt;""),IF(Programme_Grunddaten!AM205="Ja",1,0),"")</f>
        <v/>
      </c>
      <c r="AF200" s="1" t="str">
        <f>IF(AND(Programme_Grunddaten!$A205="Geprüft",Programme_Grunddaten!AN205&lt;&gt;""),IF(Programme_Grunddaten!AN205="Ja",1,0),"")</f>
        <v/>
      </c>
      <c r="AG200" s="1" t="str">
        <f>IF(AND(Programme_Grunddaten!$A205="Geprüft",Programme_Grunddaten!AO205&lt;&gt;""),IF(Programme_Grunddaten!AO205="Ja",1,0),"")</f>
        <v/>
      </c>
      <c r="AH200" s="1" t="str">
        <f>IF(AND(Programme_Grunddaten!$A205="Geprüft",Programme_Grunddaten!AP205&lt;&gt;""),IF(Programme_Grunddaten!AP205="Ja",1,0),"")</f>
        <v/>
      </c>
      <c r="AI200" s="1" t="str">
        <f>IF(AND(Programme_Grunddaten!$A205="Geprüft",Programme_Grunddaten!AQ205&lt;&gt;""),IF(Programme_Grunddaten!AQ205="Ja",1,0),"")</f>
        <v/>
      </c>
      <c r="AJ200" s="1" t="str">
        <f>IF(AND(Programme_Grunddaten!$A205="Geprüft",Programme_Grunddaten!AR205&lt;&gt;""),IF(Programme_Grunddaten!AR205="Ja",1,0),"")</f>
        <v/>
      </c>
      <c r="AK200" s="1" t="str">
        <f>IF(AND(Programme_Grunddaten!$A205="Geprüft",Programme_Grunddaten!AS205&lt;&gt;""),IF(Programme_Grunddaten!AS205="Ja",1,0),"")</f>
        <v/>
      </c>
      <c r="AL200" s="1" t="str">
        <f>IF(AND(Programme_Grunddaten!$A205="Geprüft",Programme_Grunddaten!AT205&lt;&gt;""),IF(Programme_Grunddaten!AT205="Ja",1,0),"")</f>
        <v/>
      </c>
      <c r="AM200" s="1" t="str">
        <f>IF(AND(Programme_Grunddaten!$A205="Geprüft",Programme_Grunddaten!AU205&lt;&gt;""),IF(Programme_Grunddaten!AU205="Ja",1,0),"")</f>
        <v/>
      </c>
      <c r="AN200" s="1" t="str">
        <f>IF(AND(Programme_Grunddaten!$A205="Geprüft",Programme_Grunddaten!AV205&lt;&gt;""),IF(Programme_Grunddaten!AV205="Ja",1,0),"")</f>
        <v/>
      </c>
    </row>
    <row r="201" spans="1:40" x14ac:dyDescent="0.3">
      <c r="A201" s="1" t="str">
        <f>IF(AND(Programme_Grunddaten!A206="Geprüft",Programme_Grunddaten!B206&lt;&gt;""),Programme_Grunddaten!B206,"")</f>
        <v/>
      </c>
      <c r="B201" s="1" t="str">
        <f>IF(AND(Programme_Grunddaten!$A206="Geprüft",Programme_Grunddaten!I206&lt;&gt;""),IF(Programme_Grunddaten!I206="Ja",1,0),"")</f>
        <v/>
      </c>
      <c r="C201" s="1" t="str">
        <f>IF(AND(Programme_Grunddaten!$A206="Geprüft",Programme_Grunddaten!J206&lt;&gt;""),IF(Programme_Grunddaten!J206="Ja",1,0),"")</f>
        <v/>
      </c>
      <c r="D201" s="1" t="str">
        <f>IF(AND(Programme_Grunddaten!$A206="Geprüft",Programme_Grunddaten!K206&lt;&gt;""),IF(Programme_Grunddaten!K206="Ja",1,0),"")</f>
        <v/>
      </c>
      <c r="E201" s="1" t="str">
        <f>IF(AND(Programme_Grunddaten!$A206="Geprüft",Programme_Grunddaten!L206&lt;&gt;""),IF(Programme_Grunddaten!L206="Abo / befristete Lizenz",1,0),"")</f>
        <v/>
      </c>
      <c r="F201" s="1" t="str">
        <f>IF(AND(Programme_Grunddaten!$A206="Geprüft",Programme_Grunddaten!M206&lt;&gt;""),IF(Programme_Grunddaten!M206="Ja",1,0),"")</f>
        <v/>
      </c>
      <c r="G201" s="1" t="str">
        <f>IF(AND(Programme_Grunddaten!$A206="Geprüft",Programme_Grunddaten!N206&lt;&gt;""),IF(Programme_Grunddaten!N206="Ja",1,0),"")</f>
        <v/>
      </c>
      <c r="H201" s="1" t="str">
        <f>IF(AND(Programme_Grunddaten!$A206="Geprüft",Programme_Grunddaten!O206&lt;&gt;""),IF(Programme_Grunddaten!O206="Deutschland",0,IF(Programme_Grunddaten!O206="EU",1,2)),"")</f>
        <v/>
      </c>
      <c r="I201" s="1" t="str">
        <f>IF(AND(Programme_Grunddaten!$A206="Geprüft",Programme_Grunddaten!P206&lt;&gt;""),IF(Programme_Grunddaten!P206="Ja",1,0),"")</f>
        <v/>
      </c>
      <c r="J201" s="1" t="str">
        <f>IF(AND(Programme_Grunddaten!$A206="Geprüft",Programme_Grunddaten!Q206&lt;&gt;""),IF(Programme_Grunddaten!Q206="geschlossenes System",1,0),"")</f>
        <v/>
      </c>
      <c r="K201" s="1" t="str">
        <f>IF(AND(Programme_Grunddaten!$A206="Geprüft",Programme_Grunddaten!R206&lt;&gt;""),IF(Programme_Grunddaten!R206="Ja",1,0),"")</f>
        <v/>
      </c>
      <c r="L201" s="1" t="str">
        <f>IF(AND(Programme_Grunddaten!$A206="Geprüft",Programme_Grunddaten!T206&lt;&gt;""),IF(Programme_Grunddaten!T206="Ja",1,0),"")</f>
        <v/>
      </c>
      <c r="M201" s="1" t="str">
        <f>IF(AND(Programme_Grunddaten!$A206="Geprüft",Programme_Grunddaten!U206&lt;&gt;""),IF(Programme_Grunddaten!U206="Ja",1,0),"")</f>
        <v/>
      </c>
      <c r="N201" s="1" t="str">
        <f>IF(AND(Programme_Grunddaten!$A206="Geprüft",Programme_Grunddaten!V206&lt;&gt;""),IF(Programme_Grunddaten!V206="Ja",1,0),"")</f>
        <v/>
      </c>
      <c r="O201" s="1" t="str">
        <f>IF(AND(Programme_Grunddaten!$A206="Geprüft",Programme_Grunddaten!W206&lt;&gt;""),IF(Programme_Grunddaten!W206="Ja",1,0),"")</f>
        <v/>
      </c>
      <c r="P201" s="1" t="str">
        <f>IF(AND(Programme_Grunddaten!$A206="Geprüft",Programme_Grunddaten!X206&lt;&gt;""),IF(Programme_Grunddaten!X206="Ja",1,0),"")</f>
        <v/>
      </c>
      <c r="Q201" s="1" t="str">
        <f>IF(AND(Programme_Grunddaten!$A206="Geprüft",Programme_Grunddaten!Y206&lt;&gt;""),IF(Programme_Grunddaten!Y206="Ja",1,0),"")</f>
        <v/>
      </c>
      <c r="R201" s="1" t="str">
        <f>IF(AND(Programme_Grunddaten!$A206="Geprüft",Programme_Grunddaten!Z206&lt;&gt;""),IF(Programme_Grunddaten!Z206="Ja",1,0),"")</f>
        <v/>
      </c>
      <c r="S201" s="1" t="str">
        <f>IF(AND(Programme_Grunddaten!$A206="Geprüft",Programme_Grunddaten!AA206&lt;&gt;""),IF(Programme_Grunddaten!AA206="monolithisch",1,0),"")</f>
        <v/>
      </c>
      <c r="T201" s="1" t="str">
        <f>IF(AND(Programme_Grunddaten!$A206="Geprüft",Programme_Grunddaten!AB206&lt;&gt;""),IF(Programme_Grunddaten!AB206="Ja",1,0),"")</f>
        <v/>
      </c>
      <c r="U201" s="1" t="str">
        <f>IF(AND(Programme_Grunddaten!$A206="Geprüft",Programme_Grunddaten!AC206&lt;&gt;""),IF(Programme_Grunddaten!AC206="Ja",1,0),"")</f>
        <v/>
      </c>
      <c r="V201" s="1" t="str">
        <f>IF(AND(Programme_Grunddaten!$A206="Geprüft",Programme_Grunddaten!AD206&lt;&gt;""),IF(Programme_Grunddaten!AD206="Ja",1,0),"")</f>
        <v/>
      </c>
      <c r="W201" s="1" t="str">
        <f>IF(AND(Programme_Grunddaten!$A206="Geprüft",Programme_Grunddaten!AE206&lt;&gt;""),IF(Programme_Grunddaten!AE206="Ja",1,0),"")</f>
        <v/>
      </c>
      <c r="X201" s="1" t="str">
        <f>IF(AND(Programme_Grunddaten!$A206="Geprüft",Programme_Grunddaten!AF206&lt;&gt;""),IF(Programme_Grunddaten!AF206="Ja",1,0),"")</f>
        <v/>
      </c>
      <c r="Y201" s="1" t="str">
        <f>IF(AND(Programme_Grunddaten!$A206="Geprüft",Programme_Grunddaten!AG206&lt;&gt;""),IF(Programme_Grunddaten!AG206="Ja",1,0),"")</f>
        <v/>
      </c>
      <c r="Z201" s="1" t="str">
        <f>IF(AND(Programme_Grunddaten!$A206="Geprüft",Programme_Grunddaten!AH206&lt;&gt;""),IF(Programme_Grunddaten!AH206="Ja",1,0),"")</f>
        <v/>
      </c>
      <c r="AA201" s="1" t="str">
        <f>IF(AND(Programme_Grunddaten!$A206="Geprüft",Programme_Grunddaten!AI206&lt;&gt;""),IF(Programme_Grunddaten!AI206="Ja",1,0),"")</f>
        <v/>
      </c>
      <c r="AB201" s="1" t="str">
        <f>IF(AND(Programme_Grunddaten!$A206="Geprüft",Programme_Grunddaten!AJ206&lt;&gt;""),IF(Programme_Grunddaten!AJ206="individuell programmierbar",1,0),"")</f>
        <v/>
      </c>
      <c r="AC201" s="1" t="str">
        <f>IF(AND(Programme_Grunddaten!$A206="Geprüft",Programme_Grunddaten!AK206&lt;&gt;""),IF(Programme_Grunddaten!AK206="Deutsch",0,IF(Programme_Grunddaten!AK206="Deutsch und Englisch",1,2)),"")</f>
        <v/>
      </c>
      <c r="AD201" s="1" t="str">
        <f>IF(AND(Programme_Grunddaten!$A206="Geprüft",Programme_Grunddaten!AL206&lt;&gt;""),IF(Programme_Grunddaten!AL206="Ja",1,0),"")</f>
        <v/>
      </c>
      <c r="AE201" s="1" t="str">
        <f>IF(AND(Programme_Grunddaten!$A206="Geprüft",Programme_Grunddaten!AM206&lt;&gt;""),IF(Programme_Grunddaten!AM206="Ja",1,0),"")</f>
        <v/>
      </c>
      <c r="AF201" s="1" t="str">
        <f>IF(AND(Programme_Grunddaten!$A206="Geprüft",Programme_Grunddaten!AN206&lt;&gt;""),IF(Programme_Grunddaten!AN206="Ja",1,0),"")</f>
        <v/>
      </c>
      <c r="AG201" s="1" t="str">
        <f>IF(AND(Programme_Grunddaten!$A206="Geprüft",Programme_Grunddaten!AO206&lt;&gt;""),IF(Programme_Grunddaten!AO206="Ja",1,0),"")</f>
        <v/>
      </c>
      <c r="AH201" s="1" t="str">
        <f>IF(AND(Programme_Grunddaten!$A206="Geprüft",Programme_Grunddaten!AP206&lt;&gt;""),IF(Programme_Grunddaten!AP206="Ja",1,0),"")</f>
        <v/>
      </c>
      <c r="AI201" s="1" t="str">
        <f>IF(AND(Programme_Grunddaten!$A206="Geprüft",Programme_Grunddaten!AQ206&lt;&gt;""),IF(Programme_Grunddaten!AQ206="Ja",1,0),"")</f>
        <v/>
      </c>
      <c r="AJ201" s="1" t="str">
        <f>IF(AND(Programme_Grunddaten!$A206="Geprüft",Programme_Grunddaten!AR206&lt;&gt;""),IF(Programme_Grunddaten!AR206="Ja",1,0),"")</f>
        <v/>
      </c>
      <c r="AK201" s="1" t="str">
        <f>IF(AND(Programme_Grunddaten!$A206="Geprüft",Programme_Grunddaten!AS206&lt;&gt;""),IF(Programme_Grunddaten!AS206="Ja",1,0),"")</f>
        <v/>
      </c>
      <c r="AL201" s="1" t="str">
        <f>IF(AND(Programme_Grunddaten!$A206="Geprüft",Programme_Grunddaten!AT206&lt;&gt;""),IF(Programme_Grunddaten!AT206="Ja",1,0),"")</f>
        <v/>
      </c>
      <c r="AM201" s="1" t="str">
        <f>IF(AND(Programme_Grunddaten!$A206="Geprüft",Programme_Grunddaten!AU206&lt;&gt;""),IF(Programme_Grunddaten!AU206="Ja",1,0),"")</f>
        <v/>
      </c>
      <c r="AN201" s="1" t="str">
        <f>IF(AND(Programme_Grunddaten!$A206="Geprüft",Programme_Grunddaten!AV206&lt;&gt;""),IF(Programme_Grunddaten!AV206="Ja",1,0),"")</f>
        <v/>
      </c>
    </row>
    <row r="202" spans="1:40" x14ac:dyDescent="0.3">
      <c r="A202" s="1" t="str">
        <f>IF(AND(Programme_Grunddaten!A207="Geprüft",Programme_Grunddaten!B207&lt;&gt;""),Programme_Grunddaten!B207,"")</f>
        <v/>
      </c>
      <c r="B202" s="1" t="str">
        <f>IF(AND(Programme_Grunddaten!$A207="Geprüft",Programme_Grunddaten!I207&lt;&gt;""),IF(Programme_Grunddaten!I207="Ja",1,0),"")</f>
        <v/>
      </c>
      <c r="C202" s="1" t="str">
        <f>IF(AND(Programme_Grunddaten!$A207="Geprüft",Programme_Grunddaten!J207&lt;&gt;""),IF(Programme_Grunddaten!J207="Ja",1,0),"")</f>
        <v/>
      </c>
      <c r="D202" s="1" t="str">
        <f>IF(AND(Programme_Grunddaten!$A207="Geprüft",Programme_Grunddaten!K207&lt;&gt;""),IF(Programme_Grunddaten!K207="Ja",1,0),"")</f>
        <v/>
      </c>
      <c r="E202" s="1" t="str">
        <f>IF(AND(Programme_Grunddaten!$A207="Geprüft",Programme_Grunddaten!L207&lt;&gt;""),IF(Programme_Grunddaten!L207="Abo / befristete Lizenz",1,0),"")</f>
        <v/>
      </c>
      <c r="F202" s="1" t="str">
        <f>IF(AND(Programme_Grunddaten!$A207="Geprüft",Programme_Grunddaten!M207&lt;&gt;""),IF(Programme_Grunddaten!M207="Ja",1,0),"")</f>
        <v/>
      </c>
      <c r="G202" s="1" t="str">
        <f>IF(AND(Programme_Grunddaten!$A207="Geprüft",Programme_Grunddaten!N207&lt;&gt;""),IF(Programme_Grunddaten!N207="Ja",1,0),"")</f>
        <v/>
      </c>
      <c r="H202" s="1" t="str">
        <f>IF(AND(Programme_Grunddaten!$A207="Geprüft",Programme_Grunddaten!O207&lt;&gt;""),IF(Programme_Grunddaten!O207="Deutschland",0,IF(Programme_Grunddaten!O207="EU",1,2)),"")</f>
        <v/>
      </c>
      <c r="I202" s="1" t="str">
        <f>IF(AND(Programme_Grunddaten!$A207="Geprüft",Programme_Grunddaten!P207&lt;&gt;""),IF(Programme_Grunddaten!P207="Ja",1,0),"")</f>
        <v/>
      </c>
      <c r="J202" s="1" t="str">
        <f>IF(AND(Programme_Grunddaten!$A207="Geprüft",Programme_Grunddaten!Q207&lt;&gt;""),IF(Programme_Grunddaten!Q207="geschlossenes System",1,0),"")</f>
        <v/>
      </c>
      <c r="K202" s="1" t="str">
        <f>IF(AND(Programme_Grunddaten!$A207="Geprüft",Programme_Grunddaten!R207&lt;&gt;""),IF(Programme_Grunddaten!R207="Ja",1,0),"")</f>
        <v/>
      </c>
      <c r="L202" s="1" t="str">
        <f>IF(AND(Programme_Grunddaten!$A207="Geprüft",Programme_Grunddaten!T207&lt;&gt;""),IF(Programme_Grunddaten!T207="Ja",1,0),"")</f>
        <v/>
      </c>
      <c r="M202" s="1" t="str">
        <f>IF(AND(Programme_Grunddaten!$A207="Geprüft",Programme_Grunddaten!U207&lt;&gt;""),IF(Programme_Grunddaten!U207="Ja",1,0),"")</f>
        <v/>
      </c>
      <c r="N202" s="1" t="str">
        <f>IF(AND(Programme_Grunddaten!$A207="Geprüft",Programme_Grunddaten!V207&lt;&gt;""),IF(Programme_Grunddaten!V207="Ja",1,0),"")</f>
        <v/>
      </c>
      <c r="O202" s="1" t="str">
        <f>IF(AND(Programme_Grunddaten!$A207="Geprüft",Programme_Grunddaten!W207&lt;&gt;""),IF(Programme_Grunddaten!W207="Ja",1,0),"")</f>
        <v/>
      </c>
      <c r="P202" s="1" t="str">
        <f>IF(AND(Programme_Grunddaten!$A207="Geprüft",Programme_Grunddaten!X207&lt;&gt;""),IF(Programme_Grunddaten!X207="Ja",1,0),"")</f>
        <v/>
      </c>
      <c r="Q202" s="1" t="str">
        <f>IF(AND(Programme_Grunddaten!$A207="Geprüft",Programme_Grunddaten!Y207&lt;&gt;""),IF(Programme_Grunddaten!Y207="Ja",1,0),"")</f>
        <v/>
      </c>
      <c r="R202" s="1" t="str">
        <f>IF(AND(Programme_Grunddaten!$A207="Geprüft",Programme_Grunddaten!Z207&lt;&gt;""),IF(Programme_Grunddaten!Z207="Ja",1,0),"")</f>
        <v/>
      </c>
      <c r="S202" s="1" t="str">
        <f>IF(AND(Programme_Grunddaten!$A207="Geprüft",Programme_Grunddaten!AA207&lt;&gt;""),IF(Programme_Grunddaten!AA207="monolithisch",1,0),"")</f>
        <v/>
      </c>
      <c r="T202" s="1" t="str">
        <f>IF(AND(Programme_Grunddaten!$A207="Geprüft",Programme_Grunddaten!AB207&lt;&gt;""),IF(Programme_Grunddaten!AB207="Ja",1,0),"")</f>
        <v/>
      </c>
      <c r="U202" s="1" t="str">
        <f>IF(AND(Programme_Grunddaten!$A207="Geprüft",Programme_Grunddaten!AC207&lt;&gt;""),IF(Programme_Grunddaten!AC207="Ja",1,0),"")</f>
        <v/>
      </c>
      <c r="V202" s="1" t="str">
        <f>IF(AND(Programme_Grunddaten!$A207="Geprüft",Programme_Grunddaten!AD207&lt;&gt;""),IF(Programme_Grunddaten!AD207="Ja",1,0),"")</f>
        <v/>
      </c>
      <c r="W202" s="1" t="str">
        <f>IF(AND(Programme_Grunddaten!$A207="Geprüft",Programme_Grunddaten!AE207&lt;&gt;""),IF(Programme_Grunddaten!AE207="Ja",1,0),"")</f>
        <v/>
      </c>
      <c r="X202" s="1" t="str">
        <f>IF(AND(Programme_Grunddaten!$A207="Geprüft",Programme_Grunddaten!AF207&lt;&gt;""),IF(Programme_Grunddaten!AF207="Ja",1,0),"")</f>
        <v/>
      </c>
      <c r="Y202" s="1" t="str">
        <f>IF(AND(Programme_Grunddaten!$A207="Geprüft",Programme_Grunddaten!AG207&lt;&gt;""),IF(Programme_Grunddaten!AG207="Ja",1,0),"")</f>
        <v/>
      </c>
      <c r="Z202" s="1" t="str">
        <f>IF(AND(Programme_Grunddaten!$A207="Geprüft",Programme_Grunddaten!AH207&lt;&gt;""),IF(Programme_Grunddaten!AH207="Ja",1,0),"")</f>
        <v/>
      </c>
      <c r="AA202" s="1" t="str">
        <f>IF(AND(Programme_Grunddaten!$A207="Geprüft",Programme_Grunddaten!AI207&lt;&gt;""),IF(Programme_Grunddaten!AI207="Ja",1,0),"")</f>
        <v/>
      </c>
      <c r="AB202" s="1" t="str">
        <f>IF(AND(Programme_Grunddaten!$A207="Geprüft",Programme_Grunddaten!AJ207&lt;&gt;""),IF(Programme_Grunddaten!AJ207="individuell programmierbar",1,0),"")</f>
        <v/>
      </c>
      <c r="AC202" s="1" t="str">
        <f>IF(AND(Programme_Grunddaten!$A207="Geprüft",Programme_Grunddaten!AK207&lt;&gt;""),IF(Programme_Grunddaten!AK207="Deutsch",0,IF(Programme_Grunddaten!AK207="Deutsch und Englisch",1,2)),"")</f>
        <v/>
      </c>
      <c r="AD202" s="1" t="str">
        <f>IF(AND(Programme_Grunddaten!$A207="Geprüft",Programme_Grunddaten!AL207&lt;&gt;""),IF(Programme_Grunddaten!AL207="Ja",1,0),"")</f>
        <v/>
      </c>
      <c r="AE202" s="1" t="str">
        <f>IF(AND(Programme_Grunddaten!$A207="Geprüft",Programme_Grunddaten!AM207&lt;&gt;""),IF(Programme_Grunddaten!AM207="Ja",1,0),"")</f>
        <v/>
      </c>
      <c r="AF202" s="1" t="str">
        <f>IF(AND(Programme_Grunddaten!$A207="Geprüft",Programme_Grunddaten!AN207&lt;&gt;""),IF(Programme_Grunddaten!AN207="Ja",1,0),"")</f>
        <v/>
      </c>
      <c r="AG202" s="1" t="str">
        <f>IF(AND(Programme_Grunddaten!$A207="Geprüft",Programme_Grunddaten!AO207&lt;&gt;""),IF(Programme_Grunddaten!AO207="Ja",1,0),"")</f>
        <v/>
      </c>
      <c r="AH202" s="1" t="str">
        <f>IF(AND(Programme_Grunddaten!$A207="Geprüft",Programme_Grunddaten!AP207&lt;&gt;""),IF(Programme_Grunddaten!AP207="Ja",1,0),"")</f>
        <v/>
      </c>
      <c r="AI202" s="1" t="str">
        <f>IF(AND(Programme_Grunddaten!$A207="Geprüft",Programme_Grunddaten!AQ207&lt;&gt;""),IF(Programme_Grunddaten!AQ207="Ja",1,0),"")</f>
        <v/>
      </c>
      <c r="AJ202" s="1" t="str">
        <f>IF(AND(Programme_Grunddaten!$A207="Geprüft",Programme_Grunddaten!AR207&lt;&gt;""),IF(Programme_Grunddaten!AR207="Ja",1,0),"")</f>
        <v/>
      </c>
      <c r="AK202" s="1" t="str">
        <f>IF(AND(Programme_Grunddaten!$A207="Geprüft",Programme_Grunddaten!AS207&lt;&gt;""),IF(Programme_Grunddaten!AS207="Ja",1,0),"")</f>
        <v/>
      </c>
      <c r="AL202" s="1" t="str">
        <f>IF(AND(Programme_Grunddaten!$A207="Geprüft",Programme_Grunddaten!AT207&lt;&gt;""),IF(Programme_Grunddaten!AT207="Ja",1,0),"")</f>
        <v/>
      </c>
      <c r="AM202" s="1" t="str">
        <f>IF(AND(Programme_Grunddaten!$A207="Geprüft",Programme_Grunddaten!AU207&lt;&gt;""),IF(Programme_Grunddaten!AU207="Ja",1,0),"")</f>
        <v/>
      </c>
      <c r="AN202" s="1" t="str">
        <f>IF(AND(Programme_Grunddaten!$A207="Geprüft",Programme_Grunddaten!AV207&lt;&gt;""),IF(Programme_Grunddaten!AV207="Ja",1,0),"")</f>
        <v/>
      </c>
    </row>
    <row r="203" spans="1:40" x14ac:dyDescent="0.3">
      <c r="A203" s="1" t="str">
        <f>IF(AND(Programme_Grunddaten!A208="Geprüft",Programme_Grunddaten!B208&lt;&gt;""),Programme_Grunddaten!B208,"")</f>
        <v/>
      </c>
      <c r="B203" s="1" t="str">
        <f>IF(AND(Programme_Grunddaten!$A208="Geprüft",Programme_Grunddaten!I208&lt;&gt;""),IF(Programme_Grunddaten!I208="Ja",1,0),"")</f>
        <v/>
      </c>
      <c r="C203" s="1" t="str">
        <f>IF(AND(Programme_Grunddaten!$A208="Geprüft",Programme_Grunddaten!J208&lt;&gt;""),IF(Programme_Grunddaten!J208="Ja",1,0),"")</f>
        <v/>
      </c>
      <c r="D203" s="1" t="str">
        <f>IF(AND(Programme_Grunddaten!$A208="Geprüft",Programme_Grunddaten!K208&lt;&gt;""),IF(Programme_Grunddaten!K208="Ja",1,0),"")</f>
        <v/>
      </c>
      <c r="E203" s="1" t="str">
        <f>IF(AND(Programme_Grunddaten!$A208="Geprüft",Programme_Grunddaten!L208&lt;&gt;""),IF(Programme_Grunddaten!L208="Abo / befristete Lizenz",1,0),"")</f>
        <v/>
      </c>
      <c r="F203" s="1" t="str">
        <f>IF(AND(Programme_Grunddaten!$A208="Geprüft",Programme_Grunddaten!M208&lt;&gt;""),IF(Programme_Grunddaten!M208="Ja",1,0),"")</f>
        <v/>
      </c>
      <c r="G203" s="1" t="str">
        <f>IF(AND(Programme_Grunddaten!$A208="Geprüft",Programme_Grunddaten!N208&lt;&gt;""),IF(Programme_Grunddaten!N208="Ja",1,0),"")</f>
        <v/>
      </c>
      <c r="H203" s="1" t="str">
        <f>IF(AND(Programme_Grunddaten!$A208="Geprüft",Programme_Grunddaten!O208&lt;&gt;""),IF(Programme_Grunddaten!O208="Deutschland",0,IF(Programme_Grunddaten!O208="EU",1,2)),"")</f>
        <v/>
      </c>
      <c r="I203" s="1" t="str">
        <f>IF(AND(Programme_Grunddaten!$A208="Geprüft",Programme_Grunddaten!P208&lt;&gt;""),IF(Programme_Grunddaten!P208="Ja",1,0),"")</f>
        <v/>
      </c>
      <c r="J203" s="1" t="str">
        <f>IF(AND(Programme_Grunddaten!$A208="Geprüft",Programme_Grunddaten!Q208&lt;&gt;""),IF(Programme_Grunddaten!Q208="geschlossenes System",1,0),"")</f>
        <v/>
      </c>
      <c r="K203" s="1" t="str">
        <f>IF(AND(Programme_Grunddaten!$A208="Geprüft",Programme_Grunddaten!R208&lt;&gt;""),IF(Programme_Grunddaten!R208="Ja",1,0),"")</f>
        <v/>
      </c>
      <c r="L203" s="1" t="str">
        <f>IF(AND(Programme_Grunddaten!$A208="Geprüft",Programme_Grunddaten!T208&lt;&gt;""),IF(Programme_Grunddaten!T208="Ja",1,0),"")</f>
        <v/>
      </c>
      <c r="M203" s="1" t="str">
        <f>IF(AND(Programme_Grunddaten!$A208="Geprüft",Programme_Grunddaten!U208&lt;&gt;""),IF(Programme_Grunddaten!U208="Ja",1,0),"")</f>
        <v/>
      </c>
      <c r="N203" s="1" t="str">
        <f>IF(AND(Programme_Grunddaten!$A208="Geprüft",Programme_Grunddaten!V208&lt;&gt;""),IF(Programme_Grunddaten!V208="Ja",1,0),"")</f>
        <v/>
      </c>
      <c r="O203" s="1" t="str">
        <f>IF(AND(Programme_Grunddaten!$A208="Geprüft",Programme_Grunddaten!W208&lt;&gt;""),IF(Programme_Grunddaten!W208="Ja",1,0),"")</f>
        <v/>
      </c>
      <c r="P203" s="1" t="str">
        <f>IF(AND(Programme_Grunddaten!$A208="Geprüft",Programme_Grunddaten!X208&lt;&gt;""),IF(Programme_Grunddaten!X208="Ja",1,0),"")</f>
        <v/>
      </c>
      <c r="Q203" s="1" t="str">
        <f>IF(AND(Programme_Grunddaten!$A208="Geprüft",Programme_Grunddaten!Y208&lt;&gt;""),IF(Programme_Grunddaten!Y208="Ja",1,0),"")</f>
        <v/>
      </c>
      <c r="R203" s="1" t="str">
        <f>IF(AND(Programme_Grunddaten!$A208="Geprüft",Programme_Grunddaten!Z208&lt;&gt;""),IF(Programme_Grunddaten!Z208="Ja",1,0),"")</f>
        <v/>
      </c>
      <c r="S203" s="1" t="str">
        <f>IF(AND(Programme_Grunddaten!$A208="Geprüft",Programme_Grunddaten!AA208&lt;&gt;""),IF(Programme_Grunddaten!AA208="monolithisch",1,0),"")</f>
        <v/>
      </c>
      <c r="T203" s="1" t="str">
        <f>IF(AND(Programme_Grunddaten!$A208="Geprüft",Programme_Grunddaten!AB208&lt;&gt;""),IF(Programme_Grunddaten!AB208="Ja",1,0),"")</f>
        <v/>
      </c>
      <c r="U203" s="1" t="str">
        <f>IF(AND(Programme_Grunddaten!$A208="Geprüft",Programme_Grunddaten!AC208&lt;&gt;""),IF(Programme_Grunddaten!AC208="Ja",1,0),"")</f>
        <v/>
      </c>
      <c r="V203" s="1" t="str">
        <f>IF(AND(Programme_Grunddaten!$A208="Geprüft",Programme_Grunddaten!AD208&lt;&gt;""),IF(Programme_Grunddaten!AD208="Ja",1,0),"")</f>
        <v/>
      </c>
      <c r="W203" s="1" t="str">
        <f>IF(AND(Programme_Grunddaten!$A208="Geprüft",Programme_Grunddaten!AE208&lt;&gt;""),IF(Programme_Grunddaten!AE208="Ja",1,0),"")</f>
        <v/>
      </c>
      <c r="X203" s="1" t="str">
        <f>IF(AND(Programme_Grunddaten!$A208="Geprüft",Programme_Grunddaten!AF208&lt;&gt;""),IF(Programme_Grunddaten!AF208="Ja",1,0),"")</f>
        <v/>
      </c>
      <c r="Y203" s="1" t="str">
        <f>IF(AND(Programme_Grunddaten!$A208="Geprüft",Programme_Grunddaten!AG208&lt;&gt;""),IF(Programme_Grunddaten!AG208="Ja",1,0),"")</f>
        <v/>
      </c>
      <c r="Z203" s="1" t="str">
        <f>IF(AND(Programme_Grunddaten!$A208="Geprüft",Programme_Grunddaten!AH208&lt;&gt;""),IF(Programme_Grunddaten!AH208="Ja",1,0),"")</f>
        <v/>
      </c>
      <c r="AA203" s="1" t="str">
        <f>IF(AND(Programme_Grunddaten!$A208="Geprüft",Programme_Grunddaten!AI208&lt;&gt;""),IF(Programme_Grunddaten!AI208="Ja",1,0),"")</f>
        <v/>
      </c>
      <c r="AB203" s="1" t="str">
        <f>IF(AND(Programme_Grunddaten!$A208="Geprüft",Programme_Grunddaten!AJ208&lt;&gt;""),IF(Programme_Grunddaten!AJ208="individuell programmierbar",1,0),"")</f>
        <v/>
      </c>
      <c r="AC203" s="1" t="str">
        <f>IF(AND(Programme_Grunddaten!$A208="Geprüft",Programme_Grunddaten!AK208&lt;&gt;""),IF(Programme_Grunddaten!AK208="Deutsch",0,IF(Programme_Grunddaten!AK208="Deutsch und Englisch",1,2)),"")</f>
        <v/>
      </c>
      <c r="AD203" s="1" t="str">
        <f>IF(AND(Programme_Grunddaten!$A208="Geprüft",Programme_Grunddaten!AL208&lt;&gt;""),IF(Programme_Grunddaten!AL208="Ja",1,0),"")</f>
        <v/>
      </c>
      <c r="AE203" s="1" t="str">
        <f>IF(AND(Programme_Grunddaten!$A208="Geprüft",Programme_Grunddaten!AM208&lt;&gt;""),IF(Programme_Grunddaten!AM208="Ja",1,0),"")</f>
        <v/>
      </c>
      <c r="AF203" s="1" t="str">
        <f>IF(AND(Programme_Grunddaten!$A208="Geprüft",Programme_Grunddaten!AN208&lt;&gt;""),IF(Programme_Grunddaten!AN208="Ja",1,0),"")</f>
        <v/>
      </c>
      <c r="AG203" s="1" t="str">
        <f>IF(AND(Programme_Grunddaten!$A208="Geprüft",Programme_Grunddaten!AO208&lt;&gt;""),IF(Programme_Grunddaten!AO208="Ja",1,0),"")</f>
        <v/>
      </c>
      <c r="AH203" s="1" t="str">
        <f>IF(AND(Programme_Grunddaten!$A208="Geprüft",Programme_Grunddaten!AP208&lt;&gt;""),IF(Programme_Grunddaten!AP208="Ja",1,0),"")</f>
        <v/>
      </c>
      <c r="AI203" s="1" t="str">
        <f>IF(AND(Programme_Grunddaten!$A208="Geprüft",Programme_Grunddaten!AQ208&lt;&gt;""),IF(Programme_Grunddaten!AQ208="Ja",1,0),"")</f>
        <v/>
      </c>
      <c r="AJ203" s="1" t="str">
        <f>IF(AND(Programme_Grunddaten!$A208="Geprüft",Programme_Grunddaten!AR208&lt;&gt;""),IF(Programme_Grunddaten!AR208="Ja",1,0),"")</f>
        <v/>
      </c>
      <c r="AK203" s="1" t="str">
        <f>IF(AND(Programme_Grunddaten!$A208="Geprüft",Programme_Grunddaten!AS208&lt;&gt;""),IF(Programme_Grunddaten!AS208="Ja",1,0),"")</f>
        <v/>
      </c>
      <c r="AL203" s="1" t="str">
        <f>IF(AND(Programme_Grunddaten!$A208="Geprüft",Programme_Grunddaten!AT208&lt;&gt;""),IF(Programme_Grunddaten!AT208="Ja",1,0),"")</f>
        <v/>
      </c>
      <c r="AM203" s="1" t="str">
        <f>IF(AND(Programme_Grunddaten!$A208="Geprüft",Programme_Grunddaten!AU208&lt;&gt;""),IF(Programme_Grunddaten!AU208="Ja",1,0),"")</f>
        <v/>
      </c>
      <c r="AN203" s="1" t="str">
        <f>IF(AND(Programme_Grunddaten!$A208="Geprüft",Programme_Grunddaten!AV208&lt;&gt;""),IF(Programme_Grunddaten!AV208="Ja",1,0),"")</f>
        <v/>
      </c>
    </row>
    <row r="204" spans="1:40" x14ac:dyDescent="0.3">
      <c r="A204" s="1" t="str">
        <f>IF(AND(Programme_Grunddaten!A209="Geprüft",Programme_Grunddaten!B209&lt;&gt;""),Programme_Grunddaten!B209,"")</f>
        <v/>
      </c>
      <c r="B204" s="1" t="str">
        <f>IF(AND(Programme_Grunddaten!$A209="Geprüft",Programme_Grunddaten!I209&lt;&gt;""),IF(Programme_Grunddaten!I209="Ja",1,0),"")</f>
        <v/>
      </c>
      <c r="C204" s="1" t="str">
        <f>IF(AND(Programme_Grunddaten!$A209="Geprüft",Programme_Grunddaten!J209&lt;&gt;""),IF(Programme_Grunddaten!J209="Ja",1,0),"")</f>
        <v/>
      </c>
      <c r="D204" s="1" t="str">
        <f>IF(AND(Programme_Grunddaten!$A209="Geprüft",Programme_Grunddaten!K209&lt;&gt;""),IF(Programme_Grunddaten!K209="Ja",1,0),"")</f>
        <v/>
      </c>
      <c r="E204" s="1" t="str">
        <f>IF(AND(Programme_Grunddaten!$A209="Geprüft",Programme_Grunddaten!L209&lt;&gt;""),IF(Programme_Grunddaten!L209="Abo / befristete Lizenz",1,0),"")</f>
        <v/>
      </c>
      <c r="F204" s="1" t="str">
        <f>IF(AND(Programme_Grunddaten!$A209="Geprüft",Programme_Grunddaten!M209&lt;&gt;""),IF(Programme_Grunddaten!M209="Ja",1,0),"")</f>
        <v/>
      </c>
      <c r="G204" s="1" t="str">
        <f>IF(AND(Programme_Grunddaten!$A209="Geprüft",Programme_Grunddaten!N209&lt;&gt;""),IF(Programme_Grunddaten!N209="Ja",1,0),"")</f>
        <v/>
      </c>
      <c r="H204" s="1" t="str">
        <f>IF(AND(Programme_Grunddaten!$A209="Geprüft",Programme_Grunddaten!O209&lt;&gt;""),IF(Programme_Grunddaten!O209="Deutschland",0,IF(Programme_Grunddaten!O209="EU",1,2)),"")</f>
        <v/>
      </c>
      <c r="I204" s="1" t="str">
        <f>IF(AND(Programme_Grunddaten!$A209="Geprüft",Programme_Grunddaten!P209&lt;&gt;""),IF(Programme_Grunddaten!P209="Ja",1,0),"")</f>
        <v/>
      </c>
      <c r="J204" s="1" t="str">
        <f>IF(AND(Programme_Grunddaten!$A209="Geprüft",Programme_Grunddaten!Q209&lt;&gt;""),IF(Programme_Grunddaten!Q209="geschlossenes System",1,0),"")</f>
        <v/>
      </c>
      <c r="K204" s="1" t="str">
        <f>IF(AND(Programme_Grunddaten!$A209="Geprüft",Programme_Grunddaten!R209&lt;&gt;""),IF(Programme_Grunddaten!R209="Ja",1,0),"")</f>
        <v/>
      </c>
      <c r="L204" s="1" t="str">
        <f>IF(AND(Programme_Grunddaten!$A209="Geprüft",Programme_Grunddaten!T209&lt;&gt;""),IF(Programme_Grunddaten!T209="Ja",1,0),"")</f>
        <v/>
      </c>
      <c r="M204" s="1" t="str">
        <f>IF(AND(Programme_Grunddaten!$A209="Geprüft",Programme_Grunddaten!U209&lt;&gt;""),IF(Programme_Grunddaten!U209="Ja",1,0),"")</f>
        <v/>
      </c>
      <c r="N204" s="1" t="str">
        <f>IF(AND(Programme_Grunddaten!$A209="Geprüft",Programme_Grunddaten!V209&lt;&gt;""),IF(Programme_Grunddaten!V209="Ja",1,0),"")</f>
        <v/>
      </c>
      <c r="O204" s="1" t="str">
        <f>IF(AND(Programme_Grunddaten!$A209="Geprüft",Programme_Grunddaten!W209&lt;&gt;""),IF(Programme_Grunddaten!W209="Ja",1,0),"")</f>
        <v/>
      </c>
      <c r="P204" s="1" t="str">
        <f>IF(AND(Programme_Grunddaten!$A209="Geprüft",Programme_Grunddaten!X209&lt;&gt;""),IF(Programme_Grunddaten!X209="Ja",1,0),"")</f>
        <v/>
      </c>
      <c r="Q204" s="1" t="str">
        <f>IF(AND(Programme_Grunddaten!$A209="Geprüft",Programme_Grunddaten!Y209&lt;&gt;""),IF(Programme_Grunddaten!Y209="Ja",1,0),"")</f>
        <v/>
      </c>
      <c r="R204" s="1" t="str">
        <f>IF(AND(Programme_Grunddaten!$A209="Geprüft",Programme_Grunddaten!Z209&lt;&gt;""),IF(Programme_Grunddaten!Z209="Ja",1,0),"")</f>
        <v/>
      </c>
      <c r="S204" s="1" t="str">
        <f>IF(AND(Programme_Grunddaten!$A209="Geprüft",Programme_Grunddaten!AA209&lt;&gt;""),IF(Programme_Grunddaten!AA209="monolithisch",1,0),"")</f>
        <v/>
      </c>
      <c r="T204" s="1" t="str">
        <f>IF(AND(Programme_Grunddaten!$A209="Geprüft",Programme_Grunddaten!AB209&lt;&gt;""),IF(Programme_Grunddaten!AB209="Ja",1,0),"")</f>
        <v/>
      </c>
      <c r="U204" s="1" t="str">
        <f>IF(AND(Programme_Grunddaten!$A209="Geprüft",Programme_Grunddaten!AC209&lt;&gt;""),IF(Programme_Grunddaten!AC209="Ja",1,0),"")</f>
        <v/>
      </c>
      <c r="V204" s="1" t="str">
        <f>IF(AND(Programme_Grunddaten!$A209="Geprüft",Programme_Grunddaten!AD209&lt;&gt;""),IF(Programme_Grunddaten!AD209="Ja",1,0),"")</f>
        <v/>
      </c>
      <c r="W204" s="1" t="str">
        <f>IF(AND(Programme_Grunddaten!$A209="Geprüft",Programme_Grunddaten!AE209&lt;&gt;""),IF(Programme_Grunddaten!AE209="Ja",1,0),"")</f>
        <v/>
      </c>
      <c r="X204" s="1" t="str">
        <f>IF(AND(Programme_Grunddaten!$A209="Geprüft",Programme_Grunddaten!AF209&lt;&gt;""),IF(Programme_Grunddaten!AF209="Ja",1,0),"")</f>
        <v/>
      </c>
      <c r="Y204" s="1" t="str">
        <f>IF(AND(Programme_Grunddaten!$A209="Geprüft",Programme_Grunddaten!AG209&lt;&gt;""),IF(Programme_Grunddaten!AG209="Ja",1,0),"")</f>
        <v/>
      </c>
      <c r="Z204" s="1" t="str">
        <f>IF(AND(Programme_Grunddaten!$A209="Geprüft",Programme_Grunddaten!AH209&lt;&gt;""),IF(Programme_Grunddaten!AH209="Ja",1,0),"")</f>
        <v/>
      </c>
      <c r="AA204" s="1" t="str">
        <f>IF(AND(Programme_Grunddaten!$A209="Geprüft",Programme_Grunddaten!AI209&lt;&gt;""),IF(Programme_Grunddaten!AI209="Ja",1,0),"")</f>
        <v/>
      </c>
      <c r="AB204" s="1" t="str">
        <f>IF(AND(Programme_Grunddaten!$A209="Geprüft",Programme_Grunddaten!AJ209&lt;&gt;""),IF(Programme_Grunddaten!AJ209="individuell programmierbar",1,0),"")</f>
        <v/>
      </c>
      <c r="AC204" s="1" t="str">
        <f>IF(AND(Programme_Grunddaten!$A209="Geprüft",Programme_Grunddaten!AK209&lt;&gt;""),IF(Programme_Grunddaten!AK209="Deutsch",0,IF(Programme_Grunddaten!AK209="Deutsch und Englisch",1,2)),"")</f>
        <v/>
      </c>
      <c r="AD204" s="1" t="str">
        <f>IF(AND(Programme_Grunddaten!$A209="Geprüft",Programme_Grunddaten!AL209&lt;&gt;""),IF(Programme_Grunddaten!AL209="Ja",1,0),"")</f>
        <v/>
      </c>
      <c r="AE204" s="1" t="str">
        <f>IF(AND(Programme_Grunddaten!$A209="Geprüft",Programme_Grunddaten!AM209&lt;&gt;""),IF(Programme_Grunddaten!AM209="Ja",1,0),"")</f>
        <v/>
      </c>
      <c r="AF204" s="1" t="str">
        <f>IF(AND(Programme_Grunddaten!$A209="Geprüft",Programme_Grunddaten!AN209&lt;&gt;""),IF(Programme_Grunddaten!AN209="Ja",1,0),"")</f>
        <v/>
      </c>
      <c r="AG204" s="1" t="str">
        <f>IF(AND(Programme_Grunddaten!$A209="Geprüft",Programme_Grunddaten!AO209&lt;&gt;""),IF(Programme_Grunddaten!AO209="Ja",1,0),"")</f>
        <v/>
      </c>
      <c r="AH204" s="1" t="str">
        <f>IF(AND(Programme_Grunddaten!$A209="Geprüft",Programme_Grunddaten!AP209&lt;&gt;""),IF(Programme_Grunddaten!AP209="Ja",1,0),"")</f>
        <v/>
      </c>
      <c r="AI204" s="1" t="str">
        <f>IF(AND(Programme_Grunddaten!$A209="Geprüft",Programme_Grunddaten!AQ209&lt;&gt;""),IF(Programme_Grunddaten!AQ209="Ja",1,0),"")</f>
        <v/>
      </c>
      <c r="AJ204" s="1" t="str">
        <f>IF(AND(Programme_Grunddaten!$A209="Geprüft",Programme_Grunddaten!AR209&lt;&gt;""),IF(Programme_Grunddaten!AR209="Ja",1,0),"")</f>
        <v/>
      </c>
      <c r="AK204" s="1" t="str">
        <f>IF(AND(Programme_Grunddaten!$A209="Geprüft",Programme_Grunddaten!AS209&lt;&gt;""),IF(Programme_Grunddaten!AS209="Ja",1,0),"")</f>
        <v/>
      </c>
      <c r="AL204" s="1" t="str">
        <f>IF(AND(Programme_Grunddaten!$A209="Geprüft",Programme_Grunddaten!AT209&lt;&gt;""),IF(Programme_Grunddaten!AT209="Ja",1,0),"")</f>
        <v/>
      </c>
      <c r="AM204" s="1" t="str">
        <f>IF(AND(Programme_Grunddaten!$A209="Geprüft",Programme_Grunddaten!AU209&lt;&gt;""),IF(Programme_Grunddaten!AU209="Ja",1,0),"")</f>
        <v/>
      </c>
      <c r="AN204" s="1" t="str">
        <f>IF(AND(Programme_Grunddaten!$A209="Geprüft",Programme_Grunddaten!AV209&lt;&gt;""),IF(Programme_Grunddaten!AV209="Ja",1,0),"")</f>
        <v/>
      </c>
    </row>
    <row r="205" spans="1:40" x14ac:dyDescent="0.3">
      <c r="A205" s="1" t="str">
        <f>IF(AND(Programme_Grunddaten!A210="Geprüft",Programme_Grunddaten!B210&lt;&gt;""),Programme_Grunddaten!B210,"")</f>
        <v/>
      </c>
      <c r="B205" s="1" t="str">
        <f>IF(AND(Programme_Grunddaten!$A210="Geprüft",Programme_Grunddaten!I210&lt;&gt;""),IF(Programme_Grunddaten!I210="Ja",1,0),"")</f>
        <v/>
      </c>
      <c r="C205" s="1" t="str">
        <f>IF(AND(Programme_Grunddaten!$A210="Geprüft",Programme_Grunddaten!J210&lt;&gt;""),IF(Programme_Grunddaten!J210="Ja",1,0),"")</f>
        <v/>
      </c>
      <c r="D205" s="1" t="str">
        <f>IF(AND(Programme_Grunddaten!$A210="Geprüft",Programme_Grunddaten!K210&lt;&gt;""),IF(Programme_Grunddaten!K210="Ja",1,0),"")</f>
        <v/>
      </c>
      <c r="E205" s="1" t="str">
        <f>IF(AND(Programme_Grunddaten!$A210="Geprüft",Programme_Grunddaten!L210&lt;&gt;""),IF(Programme_Grunddaten!L210="Abo / befristete Lizenz",1,0),"")</f>
        <v/>
      </c>
      <c r="F205" s="1" t="str">
        <f>IF(AND(Programme_Grunddaten!$A210="Geprüft",Programme_Grunddaten!M210&lt;&gt;""),IF(Programme_Grunddaten!M210="Ja",1,0),"")</f>
        <v/>
      </c>
      <c r="G205" s="1" t="str">
        <f>IF(AND(Programme_Grunddaten!$A210="Geprüft",Programme_Grunddaten!N210&lt;&gt;""),IF(Programme_Grunddaten!N210="Ja",1,0),"")</f>
        <v/>
      </c>
      <c r="H205" s="1" t="str">
        <f>IF(AND(Programme_Grunddaten!$A210="Geprüft",Programme_Grunddaten!O210&lt;&gt;""),IF(Programme_Grunddaten!O210="Deutschland",0,IF(Programme_Grunddaten!O210="EU",1,2)),"")</f>
        <v/>
      </c>
      <c r="I205" s="1" t="str">
        <f>IF(AND(Programme_Grunddaten!$A210="Geprüft",Programme_Grunddaten!P210&lt;&gt;""),IF(Programme_Grunddaten!P210="Ja",1,0),"")</f>
        <v/>
      </c>
      <c r="J205" s="1" t="str">
        <f>IF(AND(Programme_Grunddaten!$A210="Geprüft",Programme_Grunddaten!Q210&lt;&gt;""),IF(Programme_Grunddaten!Q210="geschlossenes System",1,0),"")</f>
        <v/>
      </c>
      <c r="K205" s="1" t="str">
        <f>IF(AND(Programme_Grunddaten!$A210="Geprüft",Programme_Grunddaten!R210&lt;&gt;""),IF(Programme_Grunddaten!R210="Ja",1,0),"")</f>
        <v/>
      </c>
      <c r="L205" s="1" t="str">
        <f>IF(AND(Programme_Grunddaten!$A210="Geprüft",Programme_Grunddaten!T210&lt;&gt;""),IF(Programme_Grunddaten!T210="Ja",1,0),"")</f>
        <v/>
      </c>
      <c r="M205" s="1" t="str">
        <f>IF(AND(Programme_Grunddaten!$A210="Geprüft",Programme_Grunddaten!U210&lt;&gt;""),IF(Programme_Grunddaten!U210="Ja",1,0),"")</f>
        <v/>
      </c>
      <c r="N205" s="1" t="str">
        <f>IF(AND(Programme_Grunddaten!$A210="Geprüft",Programme_Grunddaten!V210&lt;&gt;""),IF(Programme_Grunddaten!V210="Ja",1,0),"")</f>
        <v/>
      </c>
      <c r="O205" s="1" t="str">
        <f>IF(AND(Programme_Grunddaten!$A210="Geprüft",Programme_Grunddaten!W210&lt;&gt;""),IF(Programme_Grunddaten!W210="Ja",1,0),"")</f>
        <v/>
      </c>
      <c r="P205" s="1" t="str">
        <f>IF(AND(Programme_Grunddaten!$A210="Geprüft",Programme_Grunddaten!X210&lt;&gt;""),IF(Programme_Grunddaten!X210="Ja",1,0),"")</f>
        <v/>
      </c>
      <c r="Q205" s="1" t="str">
        <f>IF(AND(Programme_Grunddaten!$A210="Geprüft",Programme_Grunddaten!Y210&lt;&gt;""),IF(Programme_Grunddaten!Y210="Ja",1,0),"")</f>
        <v/>
      </c>
      <c r="R205" s="1" t="str">
        <f>IF(AND(Programme_Grunddaten!$A210="Geprüft",Programme_Grunddaten!Z210&lt;&gt;""),IF(Programme_Grunddaten!Z210="Ja",1,0),"")</f>
        <v/>
      </c>
      <c r="S205" s="1" t="str">
        <f>IF(AND(Programme_Grunddaten!$A210="Geprüft",Programme_Grunddaten!AA210&lt;&gt;""),IF(Programme_Grunddaten!AA210="monolithisch",1,0),"")</f>
        <v/>
      </c>
      <c r="T205" s="1" t="str">
        <f>IF(AND(Programme_Grunddaten!$A210="Geprüft",Programme_Grunddaten!AB210&lt;&gt;""),IF(Programme_Grunddaten!AB210="Ja",1,0),"")</f>
        <v/>
      </c>
      <c r="U205" s="1" t="str">
        <f>IF(AND(Programme_Grunddaten!$A210="Geprüft",Programme_Grunddaten!AC210&lt;&gt;""),IF(Programme_Grunddaten!AC210="Ja",1,0),"")</f>
        <v/>
      </c>
      <c r="V205" s="1" t="str">
        <f>IF(AND(Programme_Grunddaten!$A210="Geprüft",Programme_Grunddaten!AD210&lt;&gt;""),IF(Programme_Grunddaten!AD210="Ja",1,0),"")</f>
        <v/>
      </c>
      <c r="W205" s="1" t="str">
        <f>IF(AND(Programme_Grunddaten!$A210="Geprüft",Programme_Grunddaten!AE210&lt;&gt;""),IF(Programme_Grunddaten!AE210="Ja",1,0),"")</f>
        <v/>
      </c>
      <c r="X205" s="1" t="str">
        <f>IF(AND(Programme_Grunddaten!$A210="Geprüft",Programme_Grunddaten!AF210&lt;&gt;""),IF(Programme_Grunddaten!AF210="Ja",1,0),"")</f>
        <v/>
      </c>
      <c r="Y205" s="1" t="str">
        <f>IF(AND(Programme_Grunddaten!$A210="Geprüft",Programme_Grunddaten!AG210&lt;&gt;""),IF(Programme_Grunddaten!AG210="Ja",1,0),"")</f>
        <v/>
      </c>
      <c r="Z205" s="1" t="str">
        <f>IF(AND(Programme_Grunddaten!$A210="Geprüft",Programme_Grunddaten!AH210&lt;&gt;""),IF(Programme_Grunddaten!AH210="Ja",1,0),"")</f>
        <v/>
      </c>
      <c r="AA205" s="1" t="str">
        <f>IF(AND(Programme_Grunddaten!$A210="Geprüft",Programme_Grunddaten!AI210&lt;&gt;""),IF(Programme_Grunddaten!AI210="Ja",1,0),"")</f>
        <v/>
      </c>
      <c r="AB205" s="1" t="str">
        <f>IF(AND(Programme_Grunddaten!$A210="Geprüft",Programme_Grunddaten!AJ210&lt;&gt;""),IF(Programme_Grunddaten!AJ210="individuell programmierbar",1,0),"")</f>
        <v/>
      </c>
      <c r="AC205" s="1" t="str">
        <f>IF(AND(Programme_Grunddaten!$A210="Geprüft",Programme_Grunddaten!AK210&lt;&gt;""),IF(Programme_Grunddaten!AK210="Deutsch",0,IF(Programme_Grunddaten!AK210="Deutsch und Englisch",1,2)),"")</f>
        <v/>
      </c>
      <c r="AD205" s="1" t="str">
        <f>IF(AND(Programme_Grunddaten!$A210="Geprüft",Programme_Grunddaten!AL210&lt;&gt;""),IF(Programme_Grunddaten!AL210="Ja",1,0),"")</f>
        <v/>
      </c>
      <c r="AE205" s="1" t="str">
        <f>IF(AND(Programme_Grunddaten!$A210="Geprüft",Programme_Grunddaten!AM210&lt;&gt;""),IF(Programme_Grunddaten!AM210="Ja",1,0),"")</f>
        <v/>
      </c>
      <c r="AF205" s="1" t="str">
        <f>IF(AND(Programme_Grunddaten!$A210="Geprüft",Programme_Grunddaten!AN210&lt;&gt;""),IF(Programme_Grunddaten!AN210="Ja",1,0),"")</f>
        <v/>
      </c>
      <c r="AG205" s="1" t="str">
        <f>IF(AND(Programme_Grunddaten!$A210="Geprüft",Programme_Grunddaten!AO210&lt;&gt;""),IF(Programme_Grunddaten!AO210="Ja",1,0),"")</f>
        <v/>
      </c>
      <c r="AH205" s="1" t="str">
        <f>IF(AND(Programme_Grunddaten!$A210="Geprüft",Programme_Grunddaten!AP210&lt;&gt;""),IF(Programme_Grunddaten!AP210="Ja",1,0),"")</f>
        <v/>
      </c>
      <c r="AI205" s="1" t="str">
        <f>IF(AND(Programme_Grunddaten!$A210="Geprüft",Programme_Grunddaten!AQ210&lt;&gt;""),IF(Programme_Grunddaten!AQ210="Ja",1,0),"")</f>
        <v/>
      </c>
      <c r="AJ205" s="1" t="str">
        <f>IF(AND(Programme_Grunddaten!$A210="Geprüft",Programme_Grunddaten!AR210&lt;&gt;""),IF(Programme_Grunddaten!AR210="Ja",1,0),"")</f>
        <v/>
      </c>
      <c r="AK205" s="1" t="str">
        <f>IF(AND(Programme_Grunddaten!$A210="Geprüft",Programme_Grunddaten!AS210&lt;&gt;""),IF(Programme_Grunddaten!AS210="Ja",1,0),"")</f>
        <v/>
      </c>
      <c r="AL205" s="1" t="str">
        <f>IF(AND(Programme_Grunddaten!$A210="Geprüft",Programme_Grunddaten!AT210&lt;&gt;""),IF(Programme_Grunddaten!AT210="Ja",1,0),"")</f>
        <v/>
      </c>
      <c r="AM205" s="1" t="str">
        <f>IF(AND(Programme_Grunddaten!$A210="Geprüft",Programme_Grunddaten!AU210&lt;&gt;""),IF(Programme_Grunddaten!AU210="Ja",1,0),"")</f>
        <v/>
      </c>
      <c r="AN205" s="1" t="str">
        <f>IF(AND(Programme_Grunddaten!$A210="Geprüft",Programme_Grunddaten!AV210&lt;&gt;""),IF(Programme_Grunddaten!AV210="Ja",1,0),"")</f>
        <v/>
      </c>
    </row>
    <row r="206" spans="1:40" x14ac:dyDescent="0.3">
      <c r="A206" s="1" t="str">
        <f>IF(AND(Programme_Grunddaten!A211="Geprüft",Programme_Grunddaten!B211&lt;&gt;""),Programme_Grunddaten!B211,"")</f>
        <v/>
      </c>
      <c r="B206" s="1" t="str">
        <f>IF(AND(Programme_Grunddaten!$A211="Geprüft",Programme_Grunddaten!I211&lt;&gt;""),IF(Programme_Grunddaten!I211="Ja",1,0),"")</f>
        <v/>
      </c>
      <c r="C206" s="1" t="str">
        <f>IF(AND(Programme_Grunddaten!$A211="Geprüft",Programme_Grunddaten!J211&lt;&gt;""),IF(Programme_Grunddaten!J211="Ja",1,0),"")</f>
        <v/>
      </c>
      <c r="D206" s="1" t="str">
        <f>IF(AND(Programme_Grunddaten!$A211="Geprüft",Programme_Grunddaten!K211&lt;&gt;""),IF(Programme_Grunddaten!K211="Ja",1,0),"")</f>
        <v/>
      </c>
      <c r="E206" s="1" t="str">
        <f>IF(AND(Programme_Grunddaten!$A211="Geprüft",Programme_Grunddaten!L211&lt;&gt;""),IF(Programme_Grunddaten!L211="Abo / befristete Lizenz",1,0),"")</f>
        <v/>
      </c>
      <c r="F206" s="1" t="str">
        <f>IF(AND(Programme_Grunddaten!$A211="Geprüft",Programme_Grunddaten!M211&lt;&gt;""),IF(Programme_Grunddaten!M211="Ja",1,0),"")</f>
        <v/>
      </c>
      <c r="G206" s="1" t="str">
        <f>IF(AND(Programme_Grunddaten!$A211="Geprüft",Programme_Grunddaten!N211&lt;&gt;""),IF(Programme_Grunddaten!N211="Ja",1,0),"")</f>
        <v/>
      </c>
      <c r="H206" s="1" t="str">
        <f>IF(AND(Programme_Grunddaten!$A211="Geprüft",Programme_Grunddaten!O211&lt;&gt;""),IF(Programme_Grunddaten!O211="Deutschland",0,IF(Programme_Grunddaten!O211="EU",1,2)),"")</f>
        <v/>
      </c>
      <c r="I206" s="1" t="str">
        <f>IF(AND(Programme_Grunddaten!$A211="Geprüft",Programme_Grunddaten!P211&lt;&gt;""),IF(Programme_Grunddaten!P211="Ja",1,0),"")</f>
        <v/>
      </c>
      <c r="J206" s="1" t="str">
        <f>IF(AND(Programme_Grunddaten!$A211="Geprüft",Programme_Grunddaten!Q211&lt;&gt;""),IF(Programme_Grunddaten!Q211="geschlossenes System",1,0),"")</f>
        <v/>
      </c>
      <c r="K206" s="1" t="str">
        <f>IF(AND(Programme_Grunddaten!$A211="Geprüft",Programme_Grunddaten!R211&lt;&gt;""),IF(Programme_Grunddaten!R211="Ja",1,0),"")</f>
        <v/>
      </c>
      <c r="L206" s="1" t="str">
        <f>IF(AND(Programme_Grunddaten!$A211="Geprüft",Programme_Grunddaten!T211&lt;&gt;""),IF(Programme_Grunddaten!T211="Ja",1,0),"")</f>
        <v/>
      </c>
      <c r="M206" s="1" t="str">
        <f>IF(AND(Programme_Grunddaten!$A211="Geprüft",Programme_Grunddaten!U211&lt;&gt;""),IF(Programme_Grunddaten!U211="Ja",1,0),"")</f>
        <v/>
      </c>
      <c r="N206" s="1" t="str">
        <f>IF(AND(Programme_Grunddaten!$A211="Geprüft",Programme_Grunddaten!V211&lt;&gt;""),IF(Programme_Grunddaten!V211="Ja",1,0),"")</f>
        <v/>
      </c>
      <c r="O206" s="1" t="str">
        <f>IF(AND(Programme_Grunddaten!$A211="Geprüft",Programme_Grunddaten!W211&lt;&gt;""),IF(Programme_Grunddaten!W211="Ja",1,0),"")</f>
        <v/>
      </c>
      <c r="P206" s="1" t="str">
        <f>IF(AND(Programme_Grunddaten!$A211="Geprüft",Programme_Grunddaten!X211&lt;&gt;""),IF(Programme_Grunddaten!X211="Ja",1,0),"")</f>
        <v/>
      </c>
      <c r="Q206" s="1" t="str">
        <f>IF(AND(Programme_Grunddaten!$A211="Geprüft",Programme_Grunddaten!Y211&lt;&gt;""),IF(Programme_Grunddaten!Y211="Ja",1,0),"")</f>
        <v/>
      </c>
      <c r="R206" s="1" t="str">
        <f>IF(AND(Programme_Grunddaten!$A211="Geprüft",Programme_Grunddaten!Z211&lt;&gt;""),IF(Programme_Grunddaten!Z211="Ja",1,0),"")</f>
        <v/>
      </c>
      <c r="S206" s="1" t="str">
        <f>IF(AND(Programme_Grunddaten!$A211="Geprüft",Programme_Grunddaten!AA211&lt;&gt;""),IF(Programme_Grunddaten!AA211="monolithisch",1,0),"")</f>
        <v/>
      </c>
      <c r="T206" s="1" t="str">
        <f>IF(AND(Programme_Grunddaten!$A211="Geprüft",Programme_Grunddaten!AB211&lt;&gt;""),IF(Programme_Grunddaten!AB211="Ja",1,0),"")</f>
        <v/>
      </c>
      <c r="U206" s="1" t="str">
        <f>IF(AND(Programme_Grunddaten!$A211="Geprüft",Programme_Grunddaten!AC211&lt;&gt;""),IF(Programme_Grunddaten!AC211="Ja",1,0),"")</f>
        <v/>
      </c>
      <c r="V206" s="1" t="str">
        <f>IF(AND(Programme_Grunddaten!$A211="Geprüft",Programme_Grunddaten!AD211&lt;&gt;""),IF(Programme_Grunddaten!AD211="Ja",1,0),"")</f>
        <v/>
      </c>
      <c r="W206" s="1" t="str">
        <f>IF(AND(Programme_Grunddaten!$A211="Geprüft",Programme_Grunddaten!AE211&lt;&gt;""),IF(Programme_Grunddaten!AE211="Ja",1,0),"")</f>
        <v/>
      </c>
      <c r="X206" s="1" t="str">
        <f>IF(AND(Programme_Grunddaten!$A211="Geprüft",Programme_Grunddaten!AF211&lt;&gt;""),IF(Programme_Grunddaten!AF211="Ja",1,0),"")</f>
        <v/>
      </c>
      <c r="Y206" s="1" t="str">
        <f>IF(AND(Programme_Grunddaten!$A211="Geprüft",Programme_Grunddaten!AG211&lt;&gt;""),IF(Programme_Grunddaten!AG211="Ja",1,0),"")</f>
        <v/>
      </c>
      <c r="Z206" s="1" t="str">
        <f>IF(AND(Programme_Grunddaten!$A211="Geprüft",Programme_Grunddaten!AH211&lt;&gt;""),IF(Programme_Grunddaten!AH211="Ja",1,0),"")</f>
        <v/>
      </c>
      <c r="AA206" s="1" t="str">
        <f>IF(AND(Programme_Grunddaten!$A211="Geprüft",Programme_Grunddaten!AI211&lt;&gt;""),IF(Programme_Grunddaten!AI211="Ja",1,0),"")</f>
        <v/>
      </c>
      <c r="AB206" s="1" t="str">
        <f>IF(AND(Programme_Grunddaten!$A211="Geprüft",Programme_Grunddaten!AJ211&lt;&gt;""),IF(Programme_Grunddaten!AJ211="individuell programmierbar",1,0),"")</f>
        <v/>
      </c>
      <c r="AC206" s="1" t="str">
        <f>IF(AND(Programme_Grunddaten!$A211="Geprüft",Programme_Grunddaten!AK211&lt;&gt;""),IF(Programme_Grunddaten!AK211="Deutsch",0,IF(Programme_Grunddaten!AK211="Deutsch und Englisch",1,2)),"")</f>
        <v/>
      </c>
      <c r="AD206" s="1" t="str">
        <f>IF(AND(Programme_Grunddaten!$A211="Geprüft",Programme_Grunddaten!AL211&lt;&gt;""),IF(Programme_Grunddaten!AL211="Ja",1,0),"")</f>
        <v/>
      </c>
      <c r="AE206" s="1" t="str">
        <f>IF(AND(Programme_Grunddaten!$A211="Geprüft",Programme_Grunddaten!AM211&lt;&gt;""),IF(Programme_Grunddaten!AM211="Ja",1,0),"")</f>
        <v/>
      </c>
      <c r="AF206" s="1" t="str">
        <f>IF(AND(Programme_Grunddaten!$A211="Geprüft",Programme_Grunddaten!AN211&lt;&gt;""),IF(Programme_Grunddaten!AN211="Ja",1,0),"")</f>
        <v/>
      </c>
      <c r="AG206" s="1" t="str">
        <f>IF(AND(Programme_Grunddaten!$A211="Geprüft",Programme_Grunddaten!AO211&lt;&gt;""),IF(Programme_Grunddaten!AO211="Ja",1,0),"")</f>
        <v/>
      </c>
      <c r="AH206" s="1" t="str">
        <f>IF(AND(Programme_Grunddaten!$A211="Geprüft",Programme_Grunddaten!AP211&lt;&gt;""),IF(Programme_Grunddaten!AP211="Ja",1,0),"")</f>
        <v/>
      </c>
      <c r="AI206" s="1" t="str">
        <f>IF(AND(Programme_Grunddaten!$A211="Geprüft",Programme_Grunddaten!AQ211&lt;&gt;""),IF(Programme_Grunddaten!AQ211="Ja",1,0),"")</f>
        <v/>
      </c>
      <c r="AJ206" s="1" t="str">
        <f>IF(AND(Programme_Grunddaten!$A211="Geprüft",Programme_Grunddaten!AR211&lt;&gt;""),IF(Programme_Grunddaten!AR211="Ja",1,0),"")</f>
        <v/>
      </c>
      <c r="AK206" s="1" t="str">
        <f>IF(AND(Programme_Grunddaten!$A211="Geprüft",Programme_Grunddaten!AS211&lt;&gt;""),IF(Programme_Grunddaten!AS211="Ja",1,0),"")</f>
        <v/>
      </c>
      <c r="AL206" s="1" t="str">
        <f>IF(AND(Programme_Grunddaten!$A211="Geprüft",Programme_Grunddaten!AT211&lt;&gt;""),IF(Programme_Grunddaten!AT211="Ja",1,0),"")</f>
        <v/>
      </c>
      <c r="AM206" s="1" t="str">
        <f>IF(AND(Programme_Grunddaten!$A211="Geprüft",Programme_Grunddaten!AU211&lt;&gt;""),IF(Programme_Grunddaten!AU211="Ja",1,0),"")</f>
        <v/>
      </c>
      <c r="AN206" s="1" t="str">
        <f>IF(AND(Programme_Grunddaten!$A211="Geprüft",Programme_Grunddaten!AV211&lt;&gt;""),IF(Programme_Grunddaten!AV211="Ja",1,0),"")</f>
        <v/>
      </c>
    </row>
    <row r="207" spans="1:40" x14ac:dyDescent="0.3">
      <c r="A207" s="1" t="str">
        <f>IF(AND(Programme_Grunddaten!A212="Geprüft",Programme_Grunddaten!B212&lt;&gt;""),Programme_Grunddaten!B212,"")</f>
        <v/>
      </c>
      <c r="B207" s="1" t="str">
        <f>IF(AND(Programme_Grunddaten!$A212="Geprüft",Programme_Grunddaten!I212&lt;&gt;""),IF(Programme_Grunddaten!I212="Ja",1,0),"")</f>
        <v/>
      </c>
      <c r="C207" s="1" t="str">
        <f>IF(AND(Programme_Grunddaten!$A212="Geprüft",Programme_Grunddaten!J212&lt;&gt;""),IF(Programme_Grunddaten!J212="Ja",1,0),"")</f>
        <v/>
      </c>
      <c r="D207" s="1" t="str">
        <f>IF(AND(Programme_Grunddaten!$A212="Geprüft",Programme_Grunddaten!K212&lt;&gt;""),IF(Programme_Grunddaten!K212="Ja",1,0),"")</f>
        <v/>
      </c>
      <c r="E207" s="1" t="str">
        <f>IF(AND(Programme_Grunddaten!$A212="Geprüft",Programme_Grunddaten!L212&lt;&gt;""),IF(Programme_Grunddaten!L212="Abo / befristete Lizenz",1,0),"")</f>
        <v/>
      </c>
      <c r="F207" s="1" t="str">
        <f>IF(AND(Programme_Grunddaten!$A212="Geprüft",Programme_Grunddaten!M212&lt;&gt;""),IF(Programme_Grunddaten!M212="Ja",1,0),"")</f>
        <v/>
      </c>
      <c r="G207" s="1" t="str">
        <f>IF(AND(Programme_Grunddaten!$A212="Geprüft",Programme_Grunddaten!N212&lt;&gt;""),IF(Programme_Grunddaten!N212="Ja",1,0),"")</f>
        <v/>
      </c>
      <c r="H207" s="1" t="str">
        <f>IF(AND(Programme_Grunddaten!$A212="Geprüft",Programme_Grunddaten!O212&lt;&gt;""),IF(Programme_Grunddaten!O212="Deutschland",0,IF(Programme_Grunddaten!O212="EU",1,2)),"")</f>
        <v/>
      </c>
      <c r="I207" s="1" t="str">
        <f>IF(AND(Programme_Grunddaten!$A212="Geprüft",Programme_Grunddaten!P212&lt;&gt;""),IF(Programme_Grunddaten!P212="Ja",1,0),"")</f>
        <v/>
      </c>
      <c r="J207" s="1" t="str">
        <f>IF(AND(Programme_Grunddaten!$A212="Geprüft",Programme_Grunddaten!Q212&lt;&gt;""),IF(Programme_Grunddaten!Q212="geschlossenes System",1,0),"")</f>
        <v/>
      </c>
      <c r="K207" s="1" t="str">
        <f>IF(AND(Programme_Grunddaten!$A212="Geprüft",Programme_Grunddaten!R212&lt;&gt;""),IF(Programme_Grunddaten!R212="Ja",1,0),"")</f>
        <v/>
      </c>
      <c r="L207" s="1" t="str">
        <f>IF(AND(Programme_Grunddaten!$A212="Geprüft",Programme_Grunddaten!T212&lt;&gt;""),IF(Programme_Grunddaten!T212="Ja",1,0),"")</f>
        <v/>
      </c>
      <c r="M207" s="1" t="str">
        <f>IF(AND(Programme_Grunddaten!$A212="Geprüft",Programme_Grunddaten!U212&lt;&gt;""),IF(Programme_Grunddaten!U212="Ja",1,0),"")</f>
        <v/>
      </c>
      <c r="N207" s="1" t="str">
        <f>IF(AND(Programme_Grunddaten!$A212="Geprüft",Programme_Grunddaten!V212&lt;&gt;""),IF(Programme_Grunddaten!V212="Ja",1,0),"")</f>
        <v/>
      </c>
      <c r="O207" s="1" t="str">
        <f>IF(AND(Programme_Grunddaten!$A212="Geprüft",Programme_Grunddaten!W212&lt;&gt;""),IF(Programme_Grunddaten!W212="Ja",1,0),"")</f>
        <v/>
      </c>
      <c r="P207" s="1" t="str">
        <f>IF(AND(Programme_Grunddaten!$A212="Geprüft",Programme_Grunddaten!X212&lt;&gt;""),IF(Programme_Grunddaten!X212="Ja",1,0),"")</f>
        <v/>
      </c>
      <c r="Q207" s="1" t="str">
        <f>IF(AND(Programme_Grunddaten!$A212="Geprüft",Programme_Grunddaten!Y212&lt;&gt;""),IF(Programme_Grunddaten!Y212="Ja",1,0),"")</f>
        <v/>
      </c>
      <c r="R207" s="1" t="str">
        <f>IF(AND(Programme_Grunddaten!$A212="Geprüft",Programme_Grunddaten!Z212&lt;&gt;""),IF(Programme_Grunddaten!Z212="Ja",1,0),"")</f>
        <v/>
      </c>
      <c r="S207" s="1" t="str">
        <f>IF(AND(Programme_Grunddaten!$A212="Geprüft",Programme_Grunddaten!AA212&lt;&gt;""),IF(Programme_Grunddaten!AA212="monolithisch",1,0),"")</f>
        <v/>
      </c>
      <c r="T207" s="1" t="str">
        <f>IF(AND(Programme_Grunddaten!$A212="Geprüft",Programme_Grunddaten!AB212&lt;&gt;""),IF(Programme_Grunddaten!AB212="Ja",1,0),"")</f>
        <v/>
      </c>
      <c r="U207" s="1" t="str">
        <f>IF(AND(Programme_Grunddaten!$A212="Geprüft",Programme_Grunddaten!AC212&lt;&gt;""),IF(Programme_Grunddaten!AC212="Ja",1,0),"")</f>
        <v/>
      </c>
      <c r="V207" s="1" t="str">
        <f>IF(AND(Programme_Grunddaten!$A212="Geprüft",Programme_Grunddaten!AD212&lt;&gt;""),IF(Programme_Grunddaten!AD212="Ja",1,0),"")</f>
        <v/>
      </c>
      <c r="W207" s="1" t="str">
        <f>IF(AND(Programme_Grunddaten!$A212="Geprüft",Programme_Grunddaten!AE212&lt;&gt;""),IF(Programme_Grunddaten!AE212="Ja",1,0),"")</f>
        <v/>
      </c>
      <c r="X207" s="1" t="str">
        <f>IF(AND(Programme_Grunddaten!$A212="Geprüft",Programme_Grunddaten!AF212&lt;&gt;""),IF(Programme_Grunddaten!AF212="Ja",1,0),"")</f>
        <v/>
      </c>
      <c r="Y207" s="1" t="str">
        <f>IF(AND(Programme_Grunddaten!$A212="Geprüft",Programme_Grunddaten!AG212&lt;&gt;""),IF(Programme_Grunddaten!AG212="Ja",1,0),"")</f>
        <v/>
      </c>
      <c r="Z207" s="1" t="str">
        <f>IF(AND(Programme_Grunddaten!$A212="Geprüft",Programme_Grunddaten!AH212&lt;&gt;""),IF(Programme_Grunddaten!AH212="Ja",1,0),"")</f>
        <v/>
      </c>
      <c r="AA207" s="1" t="str">
        <f>IF(AND(Programme_Grunddaten!$A212="Geprüft",Programme_Grunddaten!AI212&lt;&gt;""),IF(Programme_Grunddaten!AI212="Ja",1,0),"")</f>
        <v/>
      </c>
      <c r="AB207" s="1" t="str">
        <f>IF(AND(Programme_Grunddaten!$A212="Geprüft",Programme_Grunddaten!AJ212&lt;&gt;""),IF(Programme_Grunddaten!AJ212="individuell programmierbar",1,0),"")</f>
        <v/>
      </c>
      <c r="AC207" s="1" t="str">
        <f>IF(AND(Programme_Grunddaten!$A212="Geprüft",Programme_Grunddaten!AK212&lt;&gt;""),IF(Programme_Grunddaten!AK212="Deutsch",0,IF(Programme_Grunddaten!AK212="Deutsch und Englisch",1,2)),"")</f>
        <v/>
      </c>
      <c r="AD207" s="1" t="str">
        <f>IF(AND(Programme_Grunddaten!$A212="Geprüft",Programme_Grunddaten!AL212&lt;&gt;""),IF(Programme_Grunddaten!AL212="Ja",1,0),"")</f>
        <v/>
      </c>
      <c r="AE207" s="1" t="str">
        <f>IF(AND(Programme_Grunddaten!$A212="Geprüft",Programme_Grunddaten!AM212&lt;&gt;""),IF(Programme_Grunddaten!AM212="Ja",1,0),"")</f>
        <v/>
      </c>
      <c r="AF207" s="1" t="str">
        <f>IF(AND(Programme_Grunddaten!$A212="Geprüft",Programme_Grunddaten!AN212&lt;&gt;""),IF(Programme_Grunddaten!AN212="Ja",1,0),"")</f>
        <v/>
      </c>
      <c r="AG207" s="1" t="str">
        <f>IF(AND(Programme_Grunddaten!$A212="Geprüft",Programme_Grunddaten!AO212&lt;&gt;""),IF(Programme_Grunddaten!AO212="Ja",1,0),"")</f>
        <v/>
      </c>
      <c r="AH207" s="1" t="str">
        <f>IF(AND(Programme_Grunddaten!$A212="Geprüft",Programme_Grunddaten!AP212&lt;&gt;""),IF(Programme_Grunddaten!AP212="Ja",1,0),"")</f>
        <v/>
      </c>
      <c r="AI207" s="1" t="str">
        <f>IF(AND(Programme_Grunddaten!$A212="Geprüft",Programme_Grunddaten!AQ212&lt;&gt;""),IF(Programme_Grunddaten!AQ212="Ja",1,0),"")</f>
        <v/>
      </c>
      <c r="AJ207" s="1" t="str">
        <f>IF(AND(Programme_Grunddaten!$A212="Geprüft",Programme_Grunddaten!AR212&lt;&gt;""),IF(Programme_Grunddaten!AR212="Ja",1,0),"")</f>
        <v/>
      </c>
      <c r="AK207" s="1" t="str">
        <f>IF(AND(Programme_Grunddaten!$A212="Geprüft",Programme_Grunddaten!AS212&lt;&gt;""),IF(Programme_Grunddaten!AS212="Ja",1,0),"")</f>
        <v/>
      </c>
      <c r="AL207" s="1" t="str">
        <f>IF(AND(Programme_Grunddaten!$A212="Geprüft",Programme_Grunddaten!AT212&lt;&gt;""),IF(Programme_Grunddaten!AT212="Ja",1,0),"")</f>
        <v/>
      </c>
      <c r="AM207" s="1" t="str">
        <f>IF(AND(Programme_Grunddaten!$A212="Geprüft",Programme_Grunddaten!AU212&lt;&gt;""),IF(Programme_Grunddaten!AU212="Ja",1,0),"")</f>
        <v/>
      </c>
      <c r="AN207" s="1" t="str">
        <f>IF(AND(Programme_Grunddaten!$A212="Geprüft",Programme_Grunddaten!AV212&lt;&gt;""),IF(Programme_Grunddaten!AV212="Ja",1,0),"")</f>
        <v/>
      </c>
    </row>
    <row r="208" spans="1:40" x14ac:dyDescent="0.3">
      <c r="A208" s="1" t="str">
        <f>IF(AND(Programme_Grunddaten!A213="Geprüft",Programme_Grunddaten!B213&lt;&gt;""),Programme_Grunddaten!B213,"")</f>
        <v/>
      </c>
      <c r="B208" s="1" t="str">
        <f>IF(AND(Programme_Grunddaten!$A213="Geprüft",Programme_Grunddaten!I213&lt;&gt;""),IF(Programme_Grunddaten!I213="Ja",1,0),"")</f>
        <v/>
      </c>
      <c r="C208" s="1" t="str">
        <f>IF(AND(Programme_Grunddaten!$A213="Geprüft",Programme_Grunddaten!J213&lt;&gt;""),IF(Programme_Grunddaten!J213="Ja",1,0),"")</f>
        <v/>
      </c>
      <c r="D208" s="1" t="str">
        <f>IF(AND(Programme_Grunddaten!$A213="Geprüft",Programme_Grunddaten!K213&lt;&gt;""),IF(Programme_Grunddaten!K213="Ja",1,0),"")</f>
        <v/>
      </c>
      <c r="E208" s="1" t="str">
        <f>IF(AND(Programme_Grunddaten!$A213="Geprüft",Programme_Grunddaten!L213&lt;&gt;""),IF(Programme_Grunddaten!L213="Abo / befristete Lizenz",1,0),"")</f>
        <v/>
      </c>
      <c r="F208" s="1" t="str">
        <f>IF(AND(Programme_Grunddaten!$A213="Geprüft",Programme_Grunddaten!M213&lt;&gt;""),IF(Programme_Grunddaten!M213="Ja",1,0),"")</f>
        <v/>
      </c>
      <c r="G208" s="1" t="str">
        <f>IF(AND(Programme_Grunddaten!$A213="Geprüft",Programme_Grunddaten!N213&lt;&gt;""),IF(Programme_Grunddaten!N213="Ja",1,0),"")</f>
        <v/>
      </c>
      <c r="H208" s="1" t="str">
        <f>IF(AND(Programme_Grunddaten!$A213="Geprüft",Programme_Grunddaten!O213&lt;&gt;""),IF(Programme_Grunddaten!O213="Deutschland",0,IF(Programme_Grunddaten!O213="EU",1,2)),"")</f>
        <v/>
      </c>
      <c r="I208" s="1" t="str">
        <f>IF(AND(Programme_Grunddaten!$A213="Geprüft",Programme_Grunddaten!P213&lt;&gt;""),IF(Programme_Grunddaten!P213="Ja",1,0),"")</f>
        <v/>
      </c>
      <c r="J208" s="1" t="str">
        <f>IF(AND(Programme_Grunddaten!$A213="Geprüft",Programme_Grunddaten!Q213&lt;&gt;""),IF(Programme_Grunddaten!Q213="geschlossenes System",1,0),"")</f>
        <v/>
      </c>
      <c r="K208" s="1" t="str">
        <f>IF(AND(Programme_Grunddaten!$A213="Geprüft",Programme_Grunddaten!R213&lt;&gt;""),IF(Programme_Grunddaten!R213="Ja",1,0),"")</f>
        <v/>
      </c>
      <c r="L208" s="1" t="str">
        <f>IF(AND(Programme_Grunddaten!$A213="Geprüft",Programme_Grunddaten!T213&lt;&gt;""),IF(Programme_Grunddaten!T213="Ja",1,0),"")</f>
        <v/>
      </c>
      <c r="M208" s="1" t="str">
        <f>IF(AND(Programme_Grunddaten!$A213="Geprüft",Programme_Grunddaten!U213&lt;&gt;""),IF(Programme_Grunddaten!U213="Ja",1,0),"")</f>
        <v/>
      </c>
      <c r="N208" s="1" t="str">
        <f>IF(AND(Programme_Grunddaten!$A213="Geprüft",Programme_Grunddaten!V213&lt;&gt;""),IF(Programme_Grunddaten!V213="Ja",1,0),"")</f>
        <v/>
      </c>
      <c r="O208" s="1" t="str">
        <f>IF(AND(Programme_Grunddaten!$A213="Geprüft",Programme_Grunddaten!W213&lt;&gt;""),IF(Programme_Grunddaten!W213="Ja",1,0),"")</f>
        <v/>
      </c>
      <c r="P208" s="1" t="str">
        <f>IF(AND(Programme_Grunddaten!$A213="Geprüft",Programme_Grunddaten!X213&lt;&gt;""),IF(Programme_Grunddaten!X213="Ja",1,0),"")</f>
        <v/>
      </c>
      <c r="Q208" s="1" t="str">
        <f>IF(AND(Programme_Grunddaten!$A213="Geprüft",Programme_Grunddaten!Y213&lt;&gt;""),IF(Programme_Grunddaten!Y213="Ja",1,0),"")</f>
        <v/>
      </c>
      <c r="R208" s="1" t="str">
        <f>IF(AND(Programme_Grunddaten!$A213="Geprüft",Programme_Grunddaten!Z213&lt;&gt;""),IF(Programme_Grunddaten!Z213="Ja",1,0),"")</f>
        <v/>
      </c>
      <c r="S208" s="1" t="str">
        <f>IF(AND(Programme_Grunddaten!$A213="Geprüft",Programme_Grunddaten!AA213&lt;&gt;""),IF(Programme_Grunddaten!AA213="monolithisch",1,0),"")</f>
        <v/>
      </c>
      <c r="T208" s="1" t="str">
        <f>IF(AND(Programme_Grunddaten!$A213="Geprüft",Programme_Grunddaten!AB213&lt;&gt;""),IF(Programme_Grunddaten!AB213="Ja",1,0),"")</f>
        <v/>
      </c>
      <c r="U208" s="1" t="str">
        <f>IF(AND(Programme_Grunddaten!$A213="Geprüft",Programme_Grunddaten!AC213&lt;&gt;""),IF(Programme_Grunddaten!AC213="Ja",1,0),"")</f>
        <v/>
      </c>
      <c r="V208" s="1" t="str">
        <f>IF(AND(Programme_Grunddaten!$A213="Geprüft",Programme_Grunddaten!AD213&lt;&gt;""),IF(Programme_Grunddaten!AD213="Ja",1,0),"")</f>
        <v/>
      </c>
      <c r="W208" s="1" t="str">
        <f>IF(AND(Programme_Grunddaten!$A213="Geprüft",Programme_Grunddaten!AE213&lt;&gt;""),IF(Programme_Grunddaten!AE213="Ja",1,0),"")</f>
        <v/>
      </c>
      <c r="X208" s="1" t="str">
        <f>IF(AND(Programme_Grunddaten!$A213="Geprüft",Programme_Grunddaten!AF213&lt;&gt;""),IF(Programme_Grunddaten!AF213="Ja",1,0),"")</f>
        <v/>
      </c>
      <c r="Y208" s="1" t="str">
        <f>IF(AND(Programme_Grunddaten!$A213="Geprüft",Programme_Grunddaten!AG213&lt;&gt;""),IF(Programme_Grunddaten!AG213="Ja",1,0),"")</f>
        <v/>
      </c>
      <c r="Z208" s="1" t="str">
        <f>IF(AND(Programme_Grunddaten!$A213="Geprüft",Programme_Grunddaten!AH213&lt;&gt;""),IF(Programme_Grunddaten!AH213="Ja",1,0),"")</f>
        <v/>
      </c>
      <c r="AA208" s="1" t="str">
        <f>IF(AND(Programme_Grunddaten!$A213="Geprüft",Programme_Grunddaten!AI213&lt;&gt;""),IF(Programme_Grunddaten!AI213="Ja",1,0),"")</f>
        <v/>
      </c>
      <c r="AB208" s="1" t="str">
        <f>IF(AND(Programme_Grunddaten!$A213="Geprüft",Programme_Grunddaten!AJ213&lt;&gt;""),IF(Programme_Grunddaten!AJ213="individuell programmierbar",1,0),"")</f>
        <v/>
      </c>
      <c r="AC208" s="1" t="str">
        <f>IF(AND(Programme_Grunddaten!$A213="Geprüft",Programme_Grunddaten!AK213&lt;&gt;""),IF(Programme_Grunddaten!AK213="Deutsch",0,IF(Programme_Grunddaten!AK213="Deutsch und Englisch",1,2)),"")</f>
        <v/>
      </c>
      <c r="AD208" s="1" t="str">
        <f>IF(AND(Programme_Grunddaten!$A213="Geprüft",Programme_Grunddaten!AL213&lt;&gt;""),IF(Programme_Grunddaten!AL213="Ja",1,0),"")</f>
        <v/>
      </c>
      <c r="AE208" s="1" t="str">
        <f>IF(AND(Programme_Grunddaten!$A213="Geprüft",Programme_Grunddaten!AM213&lt;&gt;""),IF(Programme_Grunddaten!AM213="Ja",1,0),"")</f>
        <v/>
      </c>
      <c r="AF208" s="1" t="str">
        <f>IF(AND(Programme_Grunddaten!$A213="Geprüft",Programme_Grunddaten!AN213&lt;&gt;""),IF(Programme_Grunddaten!AN213="Ja",1,0),"")</f>
        <v/>
      </c>
      <c r="AG208" s="1" t="str">
        <f>IF(AND(Programme_Grunddaten!$A213="Geprüft",Programme_Grunddaten!AO213&lt;&gt;""),IF(Programme_Grunddaten!AO213="Ja",1,0),"")</f>
        <v/>
      </c>
      <c r="AH208" s="1" t="str">
        <f>IF(AND(Programme_Grunddaten!$A213="Geprüft",Programme_Grunddaten!AP213&lt;&gt;""),IF(Programme_Grunddaten!AP213="Ja",1,0),"")</f>
        <v/>
      </c>
      <c r="AI208" s="1" t="str">
        <f>IF(AND(Programme_Grunddaten!$A213="Geprüft",Programme_Grunddaten!AQ213&lt;&gt;""),IF(Programme_Grunddaten!AQ213="Ja",1,0),"")</f>
        <v/>
      </c>
      <c r="AJ208" s="1" t="str">
        <f>IF(AND(Programme_Grunddaten!$A213="Geprüft",Programme_Grunddaten!AR213&lt;&gt;""),IF(Programme_Grunddaten!AR213="Ja",1,0),"")</f>
        <v/>
      </c>
      <c r="AK208" s="1" t="str">
        <f>IF(AND(Programme_Grunddaten!$A213="Geprüft",Programme_Grunddaten!AS213&lt;&gt;""),IF(Programme_Grunddaten!AS213="Ja",1,0),"")</f>
        <v/>
      </c>
      <c r="AL208" s="1" t="str">
        <f>IF(AND(Programme_Grunddaten!$A213="Geprüft",Programme_Grunddaten!AT213&lt;&gt;""),IF(Programme_Grunddaten!AT213="Ja",1,0),"")</f>
        <v/>
      </c>
      <c r="AM208" s="1" t="str">
        <f>IF(AND(Programme_Grunddaten!$A213="Geprüft",Programme_Grunddaten!AU213&lt;&gt;""),IF(Programme_Grunddaten!AU213="Ja",1,0),"")</f>
        <v/>
      </c>
      <c r="AN208" s="1" t="str">
        <f>IF(AND(Programme_Grunddaten!$A213="Geprüft",Programme_Grunddaten!AV213&lt;&gt;""),IF(Programme_Grunddaten!AV213="Ja",1,0),"")</f>
        <v/>
      </c>
    </row>
    <row r="209" spans="1:40" x14ac:dyDescent="0.3">
      <c r="A209" s="1" t="str">
        <f>IF(AND(Programme_Grunddaten!A214="Geprüft",Programme_Grunddaten!B214&lt;&gt;""),Programme_Grunddaten!B214,"")</f>
        <v/>
      </c>
      <c r="B209" s="1" t="str">
        <f>IF(AND(Programme_Grunddaten!$A214="Geprüft",Programme_Grunddaten!I214&lt;&gt;""),IF(Programme_Grunddaten!I214="Ja",1,0),"")</f>
        <v/>
      </c>
      <c r="C209" s="1" t="str">
        <f>IF(AND(Programme_Grunddaten!$A214="Geprüft",Programme_Grunddaten!J214&lt;&gt;""),IF(Programme_Grunddaten!J214="Ja",1,0),"")</f>
        <v/>
      </c>
      <c r="D209" s="1" t="str">
        <f>IF(AND(Programme_Grunddaten!$A214="Geprüft",Programme_Grunddaten!K214&lt;&gt;""),IF(Programme_Grunddaten!K214="Ja",1,0),"")</f>
        <v/>
      </c>
      <c r="E209" s="1" t="str">
        <f>IF(AND(Programme_Grunddaten!$A214="Geprüft",Programme_Grunddaten!L214&lt;&gt;""),IF(Programme_Grunddaten!L214="Abo / befristete Lizenz",1,0),"")</f>
        <v/>
      </c>
      <c r="F209" s="1" t="str">
        <f>IF(AND(Programme_Grunddaten!$A214="Geprüft",Programme_Grunddaten!M214&lt;&gt;""),IF(Programme_Grunddaten!M214="Ja",1,0),"")</f>
        <v/>
      </c>
      <c r="G209" s="1" t="str">
        <f>IF(AND(Programme_Grunddaten!$A214="Geprüft",Programme_Grunddaten!N214&lt;&gt;""),IF(Programme_Grunddaten!N214="Ja",1,0),"")</f>
        <v/>
      </c>
      <c r="H209" s="1" t="str">
        <f>IF(AND(Programme_Grunddaten!$A214="Geprüft",Programme_Grunddaten!O214&lt;&gt;""),IF(Programme_Grunddaten!O214="Deutschland",0,IF(Programme_Grunddaten!O214="EU",1,2)),"")</f>
        <v/>
      </c>
      <c r="I209" s="1" t="str">
        <f>IF(AND(Programme_Grunddaten!$A214="Geprüft",Programme_Grunddaten!P214&lt;&gt;""),IF(Programme_Grunddaten!P214="Ja",1,0),"")</f>
        <v/>
      </c>
      <c r="J209" s="1" t="str">
        <f>IF(AND(Programme_Grunddaten!$A214="Geprüft",Programme_Grunddaten!Q214&lt;&gt;""),IF(Programme_Grunddaten!Q214="geschlossenes System",1,0),"")</f>
        <v/>
      </c>
      <c r="K209" s="1" t="str">
        <f>IF(AND(Programme_Grunddaten!$A214="Geprüft",Programme_Grunddaten!R214&lt;&gt;""),IF(Programme_Grunddaten!R214="Ja",1,0),"")</f>
        <v/>
      </c>
      <c r="L209" s="1" t="str">
        <f>IF(AND(Programme_Grunddaten!$A214="Geprüft",Programme_Grunddaten!T214&lt;&gt;""),IF(Programme_Grunddaten!T214="Ja",1,0),"")</f>
        <v/>
      </c>
      <c r="M209" s="1" t="str">
        <f>IF(AND(Programme_Grunddaten!$A214="Geprüft",Programme_Grunddaten!U214&lt;&gt;""),IF(Programme_Grunddaten!U214="Ja",1,0),"")</f>
        <v/>
      </c>
      <c r="N209" s="1" t="str">
        <f>IF(AND(Programme_Grunddaten!$A214="Geprüft",Programme_Grunddaten!V214&lt;&gt;""),IF(Programme_Grunddaten!V214="Ja",1,0),"")</f>
        <v/>
      </c>
      <c r="O209" s="1" t="str">
        <f>IF(AND(Programme_Grunddaten!$A214="Geprüft",Programme_Grunddaten!W214&lt;&gt;""),IF(Programme_Grunddaten!W214="Ja",1,0),"")</f>
        <v/>
      </c>
      <c r="P209" s="1" t="str">
        <f>IF(AND(Programme_Grunddaten!$A214="Geprüft",Programme_Grunddaten!X214&lt;&gt;""),IF(Programme_Grunddaten!X214="Ja",1,0),"")</f>
        <v/>
      </c>
      <c r="Q209" s="1" t="str">
        <f>IF(AND(Programme_Grunddaten!$A214="Geprüft",Programme_Grunddaten!Y214&lt;&gt;""),IF(Programme_Grunddaten!Y214="Ja",1,0),"")</f>
        <v/>
      </c>
      <c r="R209" s="1" t="str">
        <f>IF(AND(Programme_Grunddaten!$A214="Geprüft",Programme_Grunddaten!Z214&lt;&gt;""),IF(Programme_Grunddaten!Z214="Ja",1,0),"")</f>
        <v/>
      </c>
      <c r="S209" s="1" t="str">
        <f>IF(AND(Programme_Grunddaten!$A214="Geprüft",Programme_Grunddaten!AA214&lt;&gt;""),IF(Programme_Grunddaten!AA214="monolithisch",1,0),"")</f>
        <v/>
      </c>
      <c r="T209" s="1" t="str">
        <f>IF(AND(Programme_Grunddaten!$A214="Geprüft",Programme_Grunddaten!AB214&lt;&gt;""),IF(Programme_Grunddaten!AB214="Ja",1,0),"")</f>
        <v/>
      </c>
      <c r="U209" s="1" t="str">
        <f>IF(AND(Programme_Grunddaten!$A214="Geprüft",Programme_Grunddaten!AC214&lt;&gt;""),IF(Programme_Grunddaten!AC214="Ja",1,0),"")</f>
        <v/>
      </c>
      <c r="V209" s="1" t="str">
        <f>IF(AND(Programme_Grunddaten!$A214="Geprüft",Programme_Grunddaten!AD214&lt;&gt;""),IF(Programme_Grunddaten!AD214="Ja",1,0),"")</f>
        <v/>
      </c>
      <c r="W209" s="1" t="str">
        <f>IF(AND(Programme_Grunddaten!$A214="Geprüft",Programme_Grunddaten!AE214&lt;&gt;""),IF(Programme_Grunddaten!AE214="Ja",1,0),"")</f>
        <v/>
      </c>
      <c r="X209" s="1" t="str">
        <f>IF(AND(Programme_Grunddaten!$A214="Geprüft",Programme_Grunddaten!AF214&lt;&gt;""),IF(Programme_Grunddaten!AF214="Ja",1,0),"")</f>
        <v/>
      </c>
      <c r="Y209" s="1" t="str">
        <f>IF(AND(Programme_Grunddaten!$A214="Geprüft",Programme_Grunddaten!AG214&lt;&gt;""),IF(Programme_Grunddaten!AG214="Ja",1,0),"")</f>
        <v/>
      </c>
      <c r="Z209" s="1" t="str">
        <f>IF(AND(Programme_Grunddaten!$A214="Geprüft",Programme_Grunddaten!AH214&lt;&gt;""),IF(Programme_Grunddaten!AH214="Ja",1,0),"")</f>
        <v/>
      </c>
      <c r="AA209" s="1" t="str">
        <f>IF(AND(Programme_Grunddaten!$A214="Geprüft",Programme_Grunddaten!AI214&lt;&gt;""),IF(Programme_Grunddaten!AI214="Ja",1,0),"")</f>
        <v/>
      </c>
      <c r="AB209" s="1" t="str">
        <f>IF(AND(Programme_Grunddaten!$A214="Geprüft",Programme_Grunddaten!AJ214&lt;&gt;""),IF(Programme_Grunddaten!AJ214="individuell programmierbar",1,0),"")</f>
        <v/>
      </c>
      <c r="AC209" s="1" t="str">
        <f>IF(AND(Programme_Grunddaten!$A214="Geprüft",Programme_Grunddaten!AK214&lt;&gt;""),IF(Programme_Grunddaten!AK214="Deutsch",0,IF(Programme_Grunddaten!AK214="Deutsch und Englisch",1,2)),"")</f>
        <v/>
      </c>
      <c r="AD209" s="1" t="str">
        <f>IF(AND(Programme_Grunddaten!$A214="Geprüft",Programme_Grunddaten!AL214&lt;&gt;""),IF(Programme_Grunddaten!AL214="Ja",1,0),"")</f>
        <v/>
      </c>
      <c r="AE209" s="1" t="str">
        <f>IF(AND(Programme_Grunddaten!$A214="Geprüft",Programme_Grunddaten!AM214&lt;&gt;""),IF(Programme_Grunddaten!AM214="Ja",1,0),"")</f>
        <v/>
      </c>
      <c r="AF209" s="1" t="str">
        <f>IF(AND(Programme_Grunddaten!$A214="Geprüft",Programme_Grunddaten!AN214&lt;&gt;""),IF(Programme_Grunddaten!AN214="Ja",1,0),"")</f>
        <v/>
      </c>
      <c r="AG209" s="1" t="str">
        <f>IF(AND(Programme_Grunddaten!$A214="Geprüft",Programme_Grunddaten!AO214&lt;&gt;""),IF(Programme_Grunddaten!AO214="Ja",1,0),"")</f>
        <v/>
      </c>
      <c r="AH209" s="1" t="str">
        <f>IF(AND(Programme_Grunddaten!$A214="Geprüft",Programme_Grunddaten!AP214&lt;&gt;""),IF(Programme_Grunddaten!AP214="Ja",1,0),"")</f>
        <v/>
      </c>
      <c r="AI209" s="1" t="str">
        <f>IF(AND(Programme_Grunddaten!$A214="Geprüft",Programme_Grunddaten!AQ214&lt;&gt;""),IF(Programme_Grunddaten!AQ214="Ja",1,0),"")</f>
        <v/>
      </c>
      <c r="AJ209" s="1" t="str">
        <f>IF(AND(Programme_Grunddaten!$A214="Geprüft",Programme_Grunddaten!AR214&lt;&gt;""),IF(Programme_Grunddaten!AR214="Ja",1,0),"")</f>
        <v/>
      </c>
      <c r="AK209" s="1" t="str">
        <f>IF(AND(Programme_Grunddaten!$A214="Geprüft",Programme_Grunddaten!AS214&lt;&gt;""),IF(Programme_Grunddaten!AS214="Ja",1,0),"")</f>
        <v/>
      </c>
      <c r="AL209" s="1" t="str">
        <f>IF(AND(Programme_Grunddaten!$A214="Geprüft",Programme_Grunddaten!AT214&lt;&gt;""),IF(Programme_Grunddaten!AT214="Ja",1,0),"")</f>
        <v/>
      </c>
      <c r="AM209" s="1" t="str">
        <f>IF(AND(Programme_Grunddaten!$A214="Geprüft",Programme_Grunddaten!AU214&lt;&gt;""),IF(Programme_Grunddaten!AU214="Ja",1,0),"")</f>
        <v/>
      </c>
      <c r="AN209" s="1" t="str">
        <f>IF(AND(Programme_Grunddaten!$A214="Geprüft",Programme_Grunddaten!AV214&lt;&gt;""),IF(Programme_Grunddaten!AV214="Ja",1,0),"")</f>
        <v/>
      </c>
    </row>
    <row r="210" spans="1:40" x14ac:dyDescent="0.3">
      <c r="A210" s="1" t="str">
        <f>IF(AND(Programme_Grunddaten!A215="Geprüft",Programme_Grunddaten!B215&lt;&gt;""),Programme_Grunddaten!B215,"")</f>
        <v/>
      </c>
      <c r="B210" s="1" t="str">
        <f>IF(AND(Programme_Grunddaten!$A215="Geprüft",Programme_Grunddaten!I215&lt;&gt;""),IF(Programme_Grunddaten!I215="Ja",1,0),"")</f>
        <v/>
      </c>
      <c r="C210" s="1" t="str">
        <f>IF(AND(Programme_Grunddaten!$A215="Geprüft",Programme_Grunddaten!J215&lt;&gt;""),IF(Programme_Grunddaten!J215="Ja",1,0),"")</f>
        <v/>
      </c>
      <c r="D210" s="1" t="str">
        <f>IF(AND(Programme_Grunddaten!$A215="Geprüft",Programme_Grunddaten!K215&lt;&gt;""),IF(Programme_Grunddaten!K215="Ja",1,0),"")</f>
        <v/>
      </c>
      <c r="E210" s="1" t="str">
        <f>IF(AND(Programme_Grunddaten!$A215="Geprüft",Programme_Grunddaten!L215&lt;&gt;""),IF(Programme_Grunddaten!L215="Abo / befristete Lizenz",1,0),"")</f>
        <v/>
      </c>
      <c r="F210" s="1" t="str">
        <f>IF(AND(Programme_Grunddaten!$A215="Geprüft",Programme_Grunddaten!M215&lt;&gt;""),IF(Programme_Grunddaten!M215="Ja",1,0),"")</f>
        <v/>
      </c>
      <c r="G210" s="1" t="str">
        <f>IF(AND(Programme_Grunddaten!$A215="Geprüft",Programme_Grunddaten!N215&lt;&gt;""),IF(Programme_Grunddaten!N215="Ja",1,0),"")</f>
        <v/>
      </c>
      <c r="H210" s="1" t="str">
        <f>IF(AND(Programme_Grunddaten!$A215="Geprüft",Programme_Grunddaten!O215&lt;&gt;""),IF(Programme_Grunddaten!O215="Deutschland",0,IF(Programme_Grunddaten!O215="EU",1,2)),"")</f>
        <v/>
      </c>
      <c r="I210" s="1" t="str">
        <f>IF(AND(Programme_Grunddaten!$A215="Geprüft",Programme_Grunddaten!P215&lt;&gt;""),IF(Programme_Grunddaten!P215="Ja",1,0),"")</f>
        <v/>
      </c>
      <c r="J210" s="1" t="str">
        <f>IF(AND(Programme_Grunddaten!$A215="Geprüft",Programme_Grunddaten!Q215&lt;&gt;""),IF(Programme_Grunddaten!Q215="geschlossenes System",1,0),"")</f>
        <v/>
      </c>
      <c r="K210" s="1" t="str">
        <f>IF(AND(Programme_Grunddaten!$A215="Geprüft",Programme_Grunddaten!R215&lt;&gt;""),IF(Programme_Grunddaten!R215="Ja",1,0),"")</f>
        <v/>
      </c>
      <c r="L210" s="1" t="str">
        <f>IF(AND(Programme_Grunddaten!$A215="Geprüft",Programme_Grunddaten!T215&lt;&gt;""),IF(Programme_Grunddaten!T215="Ja",1,0),"")</f>
        <v/>
      </c>
      <c r="M210" s="1" t="str">
        <f>IF(AND(Programme_Grunddaten!$A215="Geprüft",Programme_Grunddaten!U215&lt;&gt;""),IF(Programme_Grunddaten!U215="Ja",1,0),"")</f>
        <v/>
      </c>
      <c r="N210" s="1" t="str">
        <f>IF(AND(Programme_Grunddaten!$A215="Geprüft",Programme_Grunddaten!V215&lt;&gt;""),IF(Programme_Grunddaten!V215="Ja",1,0),"")</f>
        <v/>
      </c>
      <c r="O210" s="1" t="str">
        <f>IF(AND(Programme_Grunddaten!$A215="Geprüft",Programme_Grunddaten!W215&lt;&gt;""),IF(Programme_Grunddaten!W215="Ja",1,0),"")</f>
        <v/>
      </c>
      <c r="P210" s="1" t="str">
        <f>IF(AND(Programme_Grunddaten!$A215="Geprüft",Programme_Grunddaten!X215&lt;&gt;""),IF(Programme_Grunddaten!X215="Ja",1,0),"")</f>
        <v/>
      </c>
      <c r="Q210" s="1" t="str">
        <f>IF(AND(Programme_Grunddaten!$A215="Geprüft",Programme_Grunddaten!Y215&lt;&gt;""),IF(Programme_Grunddaten!Y215="Ja",1,0),"")</f>
        <v/>
      </c>
      <c r="R210" s="1" t="str">
        <f>IF(AND(Programme_Grunddaten!$A215="Geprüft",Programme_Grunddaten!Z215&lt;&gt;""),IF(Programme_Grunddaten!Z215="Ja",1,0),"")</f>
        <v/>
      </c>
      <c r="S210" s="1" t="str">
        <f>IF(AND(Programme_Grunddaten!$A215="Geprüft",Programme_Grunddaten!AA215&lt;&gt;""),IF(Programme_Grunddaten!AA215="monolithisch",1,0),"")</f>
        <v/>
      </c>
      <c r="T210" s="1" t="str">
        <f>IF(AND(Programme_Grunddaten!$A215="Geprüft",Programme_Grunddaten!AB215&lt;&gt;""),IF(Programme_Grunddaten!AB215="Ja",1,0),"")</f>
        <v/>
      </c>
      <c r="U210" s="1" t="str">
        <f>IF(AND(Programme_Grunddaten!$A215="Geprüft",Programme_Grunddaten!AC215&lt;&gt;""),IF(Programme_Grunddaten!AC215="Ja",1,0),"")</f>
        <v/>
      </c>
      <c r="V210" s="1" t="str">
        <f>IF(AND(Programme_Grunddaten!$A215="Geprüft",Programme_Grunddaten!AD215&lt;&gt;""),IF(Programme_Grunddaten!AD215="Ja",1,0),"")</f>
        <v/>
      </c>
      <c r="W210" s="1" t="str">
        <f>IF(AND(Programme_Grunddaten!$A215="Geprüft",Programme_Grunddaten!AE215&lt;&gt;""),IF(Programme_Grunddaten!AE215="Ja",1,0),"")</f>
        <v/>
      </c>
      <c r="X210" s="1" t="str">
        <f>IF(AND(Programme_Grunddaten!$A215="Geprüft",Programme_Grunddaten!AF215&lt;&gt;""),IF(Programme_Grunddaten!AF215="Ja",1,0),"")</f>
        <v/>
      </c>
      <c r="Y210" s="1" t="str">
        <f>IF(AND(Programme_Grunddaten!$A215="Geprüft",Programme_Grunddaten!AG215&lt;&gt;""),IF(Programme_Grunddaten!AG215="Ja",1,0),"")</f>
        <v/>
      </c>
      <c r="Z210" s="1" t="str">
        <f>IF(AND(Programme_Grunddaten!$A215="Geprüft",Programme_Grunddaten!AH215&lt;&gt;""),IF(Programme_Grunddaten!AH215="Ja",1,0),"")</f>
        <v/>
      </c>
      <c r="AA210" s="1" t="str">
        <f>IF(AND(Programme_Grunddaten!$A215="Geprüft",Programme_Grunddaten!AI215&lt;&gt;""),IF(Programme_Grunddaten!AI215="Ja",1,0),"")</f>
        <v/>
      </c>
      <c r="AB210" s="1" t="str">
        <f>IF(AND(Programme_Grunddaten!$A215="Geprüft",Programme_Grunddaten!AJ215&lt;&gt;""),IF(Programme_Grunddaten!AJ215="individuell programmierbar",1,0),"")</f>
        <v/>
      </c>
      <c r="AC210" s="1" t="str">
        <f>IF(AND(Programme_Grunddaten!$A215="Geprüft",Programme_Grunddaten!AK215&lt;&gt;""),IF(Programme_Grunddaten!AK215="Deutsch",0,IF(Programme_Grunddaten!AK215="Deutsch und Englisch",1,2)),"")</f>
        <v/>
      </c>
      <c r="AD210" s="1" t="str">
        <f>IF(AND(Programme_Grunddaten!$A215="Geprüft",Programme_Grunddaten!AL215&lt;&gt;""),IF(Programme_Grunddaten!AL215="Ja",1,0),"")</f>
        <v/>
      </c>
      <c r="AE210" s="1" t="str">
        <f>IF(AND(Programme_Grunddaten!$A215="Geprüft",Programme_Grunddaten!AM215&lt;&gt;""),IF(Programme_Grunddaten!AM215="Ja",1,0),"")</f>
        <v/>
      </c>
      <c r="AF210" s="1" t="str">
        <f>IF(AND(Programme_Grunddaten!$A215="Geprüft",Programme_Grunddaten!AN215&lt;&gt;""),IF(Programme_Grunddaten!AN215="Ja",1,0),"")</f>
        <v/>
      </c>
      <c r="AG210" s="1" t="str">
        <f>IF(AND(Programme_Grunddaten!$A215="Geprüft",Programme_Grunddaten!AO215&lt;&gt;""),IF(Programme_Grunddaten!AO215="Ja",1,0),"")</f>
        <v/>
      </c>
      <c r="AH210" s="1" t="str">
        <f>IF(AND(Programme_Grunddaten!$A215="Geprüft",Programme_Grunddaten!AP215&lt;&gt;""),IF(Programme_Grunddaten!AP215="Ja",1,0),"")</f>
        <v/>
      </c>
      <c r="AI210" s="1" t="str">
        <f>IF(AND(Programme_Grunddaten!$A215="Geprüft",Programme_Grunddaten!AQ215&lt;&gt;""),IF(Programme_Grunddaten!AQ215="Ja",1,0),"")</f>
        <v/>
      </c>
      <c r="AJ210" s="1" t="str">
        <f>IF(AND(Programme_Grunddaten!$A215="Geprüft",Programme_Grunddaten!AR215&lt;&gt;""),IF(Programme_Grunddaten!AR215="Ja",1,0),"")</f>
        <v/>
      </c>
      <c r="AK210" s="1" t="str">
        <f>IF(AND(Programme_Grunddaten!$A215="Geprüft",Programme_Grunddaten!AS215&lt;&gt;""),IF(Programme_Grunddaten!AS215="Ja",1,0),"")</f>
        <v/>
      </c>
      <c r="AL210" s="1" t="str">
        <f>IF(AND(Programme_Grunddaten!$A215="Geprüft",Programme_Grunddaten!AT215&lt;&gt;""),IF(Programme_Grunddaten!AT215="Ja",1,0),"")</f>
        <v/>
      </c>
      <c r="AM210" s="1" t="str">
        <f>IF(AND(Programme_Grunddaten!$A215="Geprüft",Programme_Grunddaten!AU215&lt;&gt;""),IF(Programme_Grunddaten!AU215="Ja",1,0),"")</f>
        <v/>
      </c>
      <c r="AN210" s="1" t="str">
        <f>IF(AND(Programme_Grunddaten!$A215="Geprüft",Programme_Grunddaten!AV215&lt;&gt;""),IF(Programme_Grunddaten!AV215="Ja",1,0),"")</f>
        <v/>
      </c>
    </row>
    <row r="211" spans="1:40" x14ac:dyDescent="0.3">
      <c r="A211" s="1" t="str">
        <f>IF(AND(Programme_Grunddaten!A216="Geprüft",Programme_Grunddaten!B216&lt;&gt;""),Programme_Grunddaten!B216,"")</f>
        <v/>
      </c>
      <c r="B211" s="1" t="str">
        <f>IF(AND(Programme_Grunddaten!$A216="Geprüft",Programme_Grunddaten!I216&lt;&gt;""),IF(Programme_Grunddaten!I216="Ja",1,0),"")</f>
        <v/>
      </c>
      <c r="C211" s="1" t="str">
        <f>IF(AND(Programme_Grunddaten!$A216="Geprüft",Programme_Grunddaten!J216&lt;&gt;""),IF(Programme_Grunddaten!J216="Ja",1,0),"")</f>
        <v/>
      </c>
      <c r="D211" s="1" t="str">
        <f>IF(AND(Programme_Grunddaten!$A216="Geprüft",Programme_Grunddaten!K216&lt;&gt;""),IF(Programme_Grunddaten!K216="Ja",1,0),"")</f>
        <v/>
      </c>
      <c r="E211" s="1" t="str">
        <f>IF(AND(Programme_Grunddaten!$A216="Geprüft",Programme_Grunddaten!L216&lt;&gt;""),IF(Programme_Grunddaten!L216="Abo / befristete Lizenz",1,0),"")</f>
        <v/>
      </c>
      <c r="F211" s="1" t="str">
        <f>IF(AND(Programme_Grunddaten!$A216="Geprüft",Programme_Grunddaten!M216&lt;&gt;""),IF(Programme_Grunddaten!M216="Ja",1,0),"")</f>
        <v/>
      </c>
      <c r="G211" s="1" t="str">
        <f>IF(AND(Programme_Grunddaten!$A216="Geprüft",Programme_Grunddaten!N216&lt;&gt;""),IF(Programme_Grunddaten!N216="Ja",1,0),"")</f>
        <v/>
      </c>
      <c r="H211" s="1" t="str">
        <f>IF(AND(Programme_Grunddaten!$A216="Geprüft",Programme_Grunddaten!O216&lt;&gt;""),IF(Programme_Grunddaten!O216="Deutschland",0,IF(Programme_Grunddaten!O216="EU",1,2)),"")</f>
        <v/>
      </c>
      <c r="I211" s="1" t="str">
        <f>IF(AND(Programme_Grunddaten!$A216="Geprüft",Programme_Grunddaten!P216&lt;&gt;""),IF(Programme_Grunddaten!P216="Ja",1,0),"")</f>
        <v/>
      </c>
      <c r="J211" s="1" t="str">
        <f>IF(AND(Programme_Grunddaten!$A216="Geprüft",Programme_Grunddaten!Q216&lt;&gt;""),IF(Programme_Grunddaten!Q216="geschlossenes System",1,0),"")</f>
        <v/>
      </c>
      <c r="K211" s="1" t="str">
        <f>IF(AND(Programme_Grunddaten!$A216="Geprüft",Programme_Grunddaten!R216&lt;&gt;""),IF(Programme_Grunddaten!R216="Ja",1,0),"")</f>
        <v/>
      </c>
      <c r="L211" s="1" t="str">
        <f>IF(AND(Programme_Grunddaten!$A216="Geprüft",Programme_Grunddaten!T216&lt;&gt;""),IF(Programme_Grunddaten!T216="Ja",1,0),"")</f>
        <v/>
      </c>
      <c r="M211" s="1" t="str">
        <f>IF(AND(Programme_Grunddaten!$A216="Geprüft",Programme_Grunddaten!U216&lt;&gt;""),IF(Programme_Grunddaten!U216="Ja",1,0),"")</f>
        <v/>
      </c>
      <c r="N211" s="1" t="str">
        <f>IF(AND(Programme_Grunddaten!$A216="Geprüft",Programme_Grunddaten!V216&lt;&gt;""),IF(Programme_Grunddaten!V216="Ja",1,0),"")</f>
        <v/>
      </c>
      <c r="O211" s="1" t="str">
        <f>IF(AND(Programme_Grunddaten!$A216="Geprüft",Programme_Grunddaten!W216&lt;&gt;""),IF(Programme_Grunddaten!W216="Ja",1,0),"")</f>
        <v/>
      </c>
      <c r="P211" s="1" t="str">
        <f>IF(AND(Programme_Grunddaten!$A216="Geprüft",Programme_Grunddaten!X216&lt;&gt;""),IF(Programme_Grunddaten!X216="Ja",1,0),"")</f>
        <v/>
      </c>
      <c r="Q211" s="1" t="str">
        <f>IF(AND(Programme_Grunddaten!$A216="Geprüft",Programme_Grunddaten!Y216&lt;&gt;""),IF(Programme_Grunddaten!Y216="Ja",1,0),"")</f>
        <v/>
      </c>
      <c r="R211" s="1" t="str">
        <f>IF(AND(Programme_Grunddaten!$A216="Geprüft",Programme_Grunddaten!Z216&lt;&gt;""),IF(Programme_Grunddaten!Z216="Ja",1,0),"")</f>
        <v/>
      </c>
      <c r="S211" s="1" t="str">
        <f>IF(AND(Programme_Grunddaten!$A216="Geprüft",Programme_Grunddaten!AA216&lt;&gt;""),IF(Programme_Grunddaten!AA216="monolithisch",1,0),"")</f>
        <v/>
      </c>
      <c r="T211" s="1" t="str">
        <f>IF(AND(Programme_Grunddaten!$A216="Geprüft",Programme_Grunddaten!AB216&lt;&gt;""),IF(Programme_Grunddaten!AB216="Ja",1,0),"")</f>
        <v/>
      </c>
      <c r="U211" s="1" t="str">
        <f>IF(AND(Programme_Grunddaten!$A216="Geprüft",Programme_Grunddaten!AC216&lt;&gt;""),IF(Programme_Grunddaten!AC216="Ja",1,0),"")</f>
        <v/>
      </c>
      <c r="V211" s="1" t="str">
        <f>IF(AND(Programme_Grunddaten!$A216="Geprüft",Programme_Grunddaten!AD216&lt;&gt;""),IF(Programme_Grunddaten!AD216="Ja",1,0),"")</f>
        <v/>
      </c>
      <c r="W211" s="1" t="str">
        <f>IF(AND(Programme_Grunddaten!$A216="Geprüft",Programme_Grunddaten!AE216&lt;&gt;""),IF(Programme_Grunddaten!AE216="Ja",1,0),"")</f>
        <v/>
      </c>
      <c r="X211" s="1" t="str">
        <f>IF(AND(Programme_Grunddaten!$A216="Geprüft",Programme_Grunddaten!AF216&lt;&gt;""),IF(Programme_Grunddaten!AF216="Ja",1,0),"")</f>
        <v/>
      </c>
      <c r="Y211" s="1" t="str">
        <f>IF(AND(Programme_Grunddaten!$A216="Geprüft",Programme_Grunddaten!AG216&lt;&gt;""),IF(Programme_Grunddaten!AG216="Ja",1,0),"")</f>
        <v/>
      </c>
      <c r="Z211" s="1" t="str">
        <f>IF(AND(Programme_Grunddaten!$A216="Geprüft",Programme_Grunddaten!AH216&lt;&gt;""),IF(Programme_Grunddaten!AH216="Ja",1,0),"")</f>
        <v/>
      </c>
      <c r="AA211" s="1" t="str">
        <f>IF(AND(Programme_Grunddaten!$A216="Geprüft",Programme_Grunddaten!AI216&lt;&gt;""),IF(Programme_Grunddaten!AI216="Ja",1,0),"")</f>
        <v/>
      </c>
      <c r="AB211" s="1" t="str">
        <f>IF(AND(Programme_Grunddaten!$A216="Geprüft",Programme_Grunddaten!AJ216&lt;&gt;""),IF(Programme_Grunddaten!AJ216="individuell programmierbar",1,0),"")</f>
        <v/>
      </c>
      <c r="AC211" s="1" t="str">
        <f>IF(AND(Programme_Grunddaten!$A216="Geprüft",Programme_Grunddaten!AK216&lt;&gt;""),IF(Programme_Grunddaten!AK216="Deutsch",0,IF(Programme_Grunddaten!AK216="Deutsch und Englisch",1,2)),"")</f>
        <v/>
      </c>
      <c r="AD211" s="1" t="str">
        <f>IF(AND(Programme_Grunddaten!$A216="Geprüft",Programme_Grunddaten!AL216&lt;&gt;""),IF(Programme_Grunddaten!AL216="Ja",1,0),"")</f>
        <v/>
      </c>
      <c r="AE211" s="1" t="str">
        <f>IF(AND(Programme_Grunddaten!$A216="Geprüft",Programme_Grunddaten!AM216&lt;&gt;""),IF(Programme_Grunddaten!AM216="Ja",1,0),"")</f>
        <v/>
      </c>
      <c r="AF211" s="1" t="str">
        <f>IF(AND(Programme_Grunddaten!$A216="Geprüft",Programme_Grunddaten!AN216&lt;&gt;""),IF(Programme_Grunddaten!AN216="Ja",1,0),"")</f>
        <v/>
      </c>
      <c r="AG211" s="1" t="str">
        <f>IF(AND(Programme_Grunddaten!$A216="Geprüft",Programme_Grunddaten!AO216&lt;&gt;""),IF(Programme_Grunddaten!AO216="Ja",1,0),"")</f>
        <v/>
      </c>
      <c r="AH211" s="1" t="str">
        <f>IF(AND(Programme_Grunddaten!$A216="Geprüft",Programme_Grunddaten!AP216&lt;&gt;""),IF(Programme_Grunddaten!AP216="Ja",1,0),"")</f>
        <v/>
      </c>
      <c r="AI211" s="1" t="str">
        <f>IF(AND(Programme_Grunddaten!$A216="Geprüft",Programme_Grunddaten!AQ216&lt;&gt;""),IF(Programme_Grunddaten!AQ216="Ja",1,0),"")</f>
        <v/>
      </c>
      <c r="AJ211" s="1" t="str">
        <f>IF(AND(Programme_Grunddaten!$A216="Geprüft",Programme_Grunddaten!AR216&lt;&gt;""),IF(Programme_Grunddaten!AR216="Ja",1,0),"")</f>
        <v/>
      </c>
      <c r="AK211" s="1" t="str">
        <f>IF(AND(Programme_Grunddaten!$A216="Geprüft",Programme_Grunddaten!AS216&lt;&gt;""),IF(Programme_Grunddaten!AS216="Ja",1,0),"")</f>
        <v/>
      </c>
      <c r="AL211" s="1" t="str">
        <f>IF(AND(Programme_Grunddaten!$A216="Geprüft",Programme_Grunddaten!AT216&lt;&gt;""),IF(Programme_Grunddaten!AT216="Ja",1,0),"")</f>
        <v/>
      </c>
      <c r="AM211" s="1" t="str">
        <f>IF(AND(Programme_Grunddaten!$A216="Geprüft",Programme_Grunddaten!AU216&lt;&gt;""),IF(Programme_Grunddaten!AU216="Ja",1,0),"")</f>
        <v/>
      </c>
      <c r="AN211" s="1" t="str">
        <f>IF(AND(Programme_Grunddaten!$A216="Geprüft",Programme_Grunddaten!AV216&lt;&gt;""),IF(Programme_Grunddaten!AV216="Ja",1,0),"")</f>
        <v/>
      </c>
    </row>
    <row r="212" spans="1:40" x14ac:dyDescent="0.3">
      <c r="A212" s="1" t="str">
        <f>IF(AND(Programme_Grunddaten!A217="Geprüft",Programme_Grunddaten!B217&lt;&gt;""),Programme_Grunddaten!B217,"")</f>
        <v/>
      </c>
      <c r="B212" s="1" t="str">
        <f>IF(AND(Programme_Grunddaten!$A217="Geprüft",Programme_Grunddaten!I217&lt;&gt;""),IF(Programme_Grunddaten!I217="Ja",1,0),"")</f>
        <v/>
      </c>
      <c r="C212" s="1" t="str">
        <f>IF(AND(Programme_Grunddaten!$A217="Geprüft",Programme_Grunddaten!J217&lt;&gt;""),IF(Programme_Grunddaten!J217="Ja",1,0),"")</f>
        <v/>
      </c>
      <c r="D212" s="1" t="str">
        <f>IF(AND(Programme_Grunddaten!$A217="Geprüft",Programme_Grunddaten!K217&lt;&gt;""),IF(Programme_Grunddaten!K217="Ja",1,0),"")</f>
        <v/>
      </c>
      <c r="E212" s="1" t="str">
        <f>IF(AND(Programme_Grunddaten!$A217="Geprüft",Programme_Grunddaten!L217&lt;&gt;""),IF(Programme_Grunddaten!L217="Abo / befristete Lizenz",1,0),"")</f>
        <v/>
      </c>
      <c r="F212" s="1" t="str">
        <f>IF(AND(Programme_Grunddaten!$A217="Geprüft",Programme_Grunddaten!M217&lt;&gt;""),IF(Programme_Grunddaten!M217="Ja",1,0),"")</f>
        <v/>
      </c>
      <c r="G212" s="1" t="str">
        <f>IF(AND(Programme_Grunddaten!$A217="Geprüft",Programme_Grunddaten!N217&lt;&gt;""),IF(Programme_Grunddaten!N217="Ja",1,0),"")</f>
        <v/>
      </c>
      <c r="H212" s="1" t="str">
        <f>IF(AND(Programme_Grunddaten!$A217="Geprüft",Programme_Grunddaten!O217&lt;&gt;""),IF(Programme_Grunddaten!O217="Deutschland",0,IF(Programme_Grunddaten!O217="EU",1,2)),"")</f>
        <v/>
      </c>
      <c r="I212" s="1" t="str">
        <f>IF(AND(Programme_Grunddaten!$A217="Geprüft",Programme_Grunddaten!P217&lt;&gt;""),IF(Programme_Grunddaten!P217="Ja",1,0),"")</f>
        <v/>
      </c>
      <c r="J212" s="1" t="str">
        <f>IF(AND(Programme_Grunddaten!$A217="Geprüft",Programme_Grunddaten!Q217&lt;&gt;""),IF(Programme_Grunddaten!Q217="geschlossenes System",1,0),"")</f>
        <v/>
      </c>
      <c r="K212" s="1" t="str">
        <f>IF(AND(Programme_Grunddaten!$A217="Geprüft",Programme_Grunddaten!R217&lt;&gt;""),IF(Programme_Grunddaten!R217="Ja",1,0),"")</f>
        <v/>
      </c>
      <c r="L212" s="1" t="str">
        <f>IF(AND(Programme_Grunddaten!$A217="Geprüft",Programme_Grunddaten!T217&lt;&gt;""),IF(Programme_Grunddaten!T217="Ja",1,0),"")</f>
        <v/>
      </c>
      <c r="M212" s="1" t="str">
        <f>IF(AND(Programme_Grunddaten!$A217="Geprüft",Programme_Grunddaten!U217&lt;&gt;""),IF(Programme_Grunddaten!U217="Ja",1,0),"")</f>
        <v/>
      </c>
      <c r="N212" s="1" t="str">
        <f>IF(AND(Programme_Grunddaten!$A217="Geprüft",Programme_Grunddaten!V217&lt;&gt;""),IF(Programme_Grunddaten!V217="Ja",1,0),"")</f>
        <v/>
      </c>
      <c r="O212" s="1" t="str">
        <f>IF(AND(Programme_Grunddaten!$A217="Geprüft",Programme_Grunddaten!W217&lt;&gt;""),IF(Programme_Grunddaten!W217="Ja",1,0),"")</f>
        <v/>
      </c>
      <c r="P212" s="1" t="str">
        <f>IF(AND(Programme_Grunddaten!$A217="Geprüft",Programme_Grunddaten!X217&lt;&gt;""),IF(Programme_Grunddaten!X217="Ja",1,0),"")</f>
        <v/>
      </c>
      <c r="Q212" s="1" t="str">
        <f>IF(AND(Programme_Grunddaten!$A217="Geprüft",Programme_Grunddaten!Y217&lt;&gt;""),IF(Programme_Grunddaten!Y217="Ja",1,0),"")</f>
        <v/>
      </c>
      <c r="R212" s="1" t="str">
        <f>IF(AND(Programme_Grunddaten!$A217="Geprüft",Programme_Grunddaten!Z217&lt;&gt;""),IF(Programme_Grunddaten!Z217="Ja",1,0),"")</f>
        <v/>
      </c>
      <c r="S212" s="1" t="str">
        <f>IF(AND(Programme_Grunddaten!$A217="Geprüft",Programme_Grunddaten!AA217&lt;&gt;""),IF(Programme_Grunddaten!AA217="monolithisch",1,0),"")</f>
        <v/>
      </c>
      <c r="T212" s="1" t="str">
        <f>IF(AND(Programme_Grunddaten!$A217="Geprüft",Programme_Grunddaten!AB217&lt;&gt;""),IF(Programme_Grunddaten!AB217="Ja",1,0),"")</f>
        <v/>
      </c>
      <c r="U212" s="1" t="str">
        <f>IF(AND(Programme_Grunddaten!$A217="Geprüft",Programme_Grunddaten!AC217&lt;&gt;""),IF(Programme_Grunddaten!AC217="Ja",1,0),"")</f>
        <v/>
      </c>
      <c r="V212" s="1" t="str">
        <f>IF(AND(Programme_Grunddaten!$A217="Geprüft",Programme_Grunddaten!AD217&lt;&gt;""),IF(Programme_Grunddaten!AD217="Ja",1,0),"")</f>
        <v/>
      </c>
      <c r="W212" s="1" t="str">
        <f>IF(AND(Programme_Grunddaten!$A217="Geprüft",Programme_Grunddaten!AE217&lt;&gt;""),IF(Programme_Grunddaten!AE217="Ja",1,0),"")</f>
        <v/>
      </c>
      <c r="X212" s="1" t="str">
        <f>IF(AND(Programme_Grunddaten!$A217="Geprüft",Programme_Grunddaten!AF217&lt;&gt;""),IF(Programme_Grunddaten!AF217="Ja",1,0),"")</f>
        <v/>
      </c>
      <c r="Y212" s="1" t="str">
        <f>IF(AND(Programme_Grunddaten!$A217="Geprüft",Programme_Grunddaten!AG217&lt;&gt;""),IF(Programme_Grunddaten!AG217="Ja",1,0),"")</f>
        <v/>
      </c>
      <c r="Z212" s="1" t="str">
        <f>IF(AND(Programme_Grunddaten!$A217="Geprüft",Programme_Grunddaten!AH217&lt;&gt;""),IF(Programme_Grunddaten!AH217="Ja",1,0),"")</f>
        <v/>
      </c>
      <c r="AA212" s="1" t="str">
        <f>IF(AND(Programme_Grunddaten!$A217="Geprüft",Programme_Grunddaten!AI217&lt;&gt;""),IF(Programme_Grunddaten!AI217="Ja",1,0),"")</f>
        <v/>
      </c>
      <c r="AB212" s="1" t="str">
        <f>IF(AND(Programme_Grunddaten!$A217="Geprüft",Programme_Grunddaten!AJ217&lt;&gt;""),IF(Programme_Grunddaten!AJ217="individuell programmierbar",1,0),"")</f>
        <v/>
      </c>
      <c r="AC212" s="1" t="str">
        <f>IF(AND(Programme_Grunddaten!$A217="Geprüft",Programme_Grunddaten!AK217&lt;&gt;""),IF(Programme_Grunddaten!AK217="Deutsch",0,IF(Programme_Grunddaten!AK217="Deutsch und Englisch",1,2)),"")</f>
        <v/>
      </c>
      <c r="AD212" s="1" t="str">
        <f>IF(AND(Programme_Grunddaten!$A217="Geprüft",Programme_Grunddaten!AL217&lt;&gt;""),IF(Programme_Grunddaten!AL217="Ja",1,0),"")</f>
        <v/>
      </c>
      <c r="AE212" s="1" t="str">
        <f>IF(AND(Programme_Grunddaten!$A217="Geprüft",Programme_Grunddaten!AM217&lt;&gt;""),IF(Programme_Grunddaten!AM217="Ja",1,0),"")</f>
        <v/>
      </c>
      <c r="AF212" s="1" t="str">
        <f>IF(AND(Programme_Grunddaten!$A217="Geprüft",Programme_Grunddaten!AN217&lt;&gt;""),IF(Programme_Grunddaten!AN217="Ja",1,0),"")</f>
        <v/>
      </c>
      <c r="AG212" s="1" t="str">
        <f>IF(AND(Programme_Grunddaten!$A217="Geprüft",Programme_Grunddaten!AO217&lt;&gt;""),IF(Programme_Grunddaten!AO217="Ja",1,0),"")</f>
        <v/>
      </c>
      <c r="AH212" s="1" t="str">
        <f>IF(AND(Programme_Grunddaten!$A217="Geprüft",Programme_Grunddaten!AP217&lt;&gt;""),IF(Programme_Grunddaten!AP217="Ja",1,0),"")</f>
        <v/>
      </c>
      <c r="AI212" s="1" t="str">
        <f>IF(AND(Programme_Grunddaten!$A217="Geprüft",Programme_Grunddaten!AQ217&lt;&gt;""),IF(Programme_Grunddaten!AQ217="Ja",1,0),"")</f>
        <v/>
      </c>
      <c r="AJ212" s="1" t="str">
        <f>IF(AND(Programme_Grunddaten!$A217="Geprüft",Programme_Grunddaten!AR217&lt;&gt;""),IF(Programme_Grunddaten!AR217="Ja",1,0),"")</f>
        <v/>
      </c>
      <c r="AK212" s="1" t="str">
        <f>IF(AND(Programme_Grunddaten!$A217="Geprüft",Programme_Grunddaten!AS217&lt;&gt;""),IF(Programme_Grunddaten!AS217="Ja",1,0),"")</f>
        <v/>
      </c>
      <c r="AL212" s="1" t="str">
        <f>IF(AND(Programme_Grunddaten!$A217="Geprüft",Programme_Grunddaten!AT217&lt;&gt;""),IF(Programme_Grunddaten!AT217="Ja",1,0),"")</f>
        <v/>
      </c>
      <c r="AM212" s="1" t="str">
        <f>IF(AND(Programme_Grunddaten!$A217="Geprüft",Programme_Grunddaten!AU217&lt;&gt;""),IF(Programme_Grunddaten!AU217="Ja",1,0),"")</f>
        <v/>
      </c>
      <c r="AN212" s="1" t="str">
        <f>IF(AND(Programme_Grunddaten!$A217="Geprüft",Programme_Grunddaten!AV217&lt;&gt;""),IF(Programme_Grunddaten!AV217="Ja",1,0),"")</f>
        <v/>
      </c>
    </row>
    <row r="213" spans="1:40" x14ac:dyDescent="0.3">
      <c r="A213" s="1" t="str">
        <f>IF(AND(Programme_Grunddaten!A218="Geprüft",Programme_Grunddaten!B218&lt;&gt;""),Programme_Grunddaten!B218,"")</f>
        <v/>
      </c>
      <c r="B213" s="1" t="str">
        <f>IF(AND(Programme_Grunddaten!$A218="Geprüft",Programme_Grunddaten!I218&lt;&gt;""),IF(Programme_Grunddaten!I218="Ja",1,0),"")</f>
        <v/>
      </c>
      <c r="C213" s="1" t="str">
        <f>IF(AND(Programme_Grunddaten!$A218="Geprüft",Programme_Grunddaten!J218&lt;&gt;""),IF(Programme_Grunddaten!J218="Ja",1,0),"")</f>
        <v/>
      </c>
      <c r="D213" s="1" t="str">
        <f>IF(AND(Programme_Grunddaten!$A218="Geprüft",Programme_Grunddaten!K218&lt;&gt;""),IF(Programme_Grunddaten!K218="Ja",1,0),"")</f>
        <v/>
      </c>
      <c r="E213" s="1" t="str">
        <f>IF(AND(Programme_Grunddaten!$A218="Geprüft",Programme_Grunddaten!L218&lt;&gt;""),IF(Programme_Grunddaten!L218="Abo / befristete Lizenz",1,0),"")</f>
        <v/>
      </c>
      <c r="F213" s="1" t="str">
        <f>IF(AND(Programme_Grunddaten!$A218="Geprüft",Programme_Grunddaten!M218&lt;&gt;""),IF(Programme_Grunddaten!M218="Ja",1,0),"")</f>
        <v/>
      </c>
      <c r="G213" s="1" t="str">
        <f>IF(AND(Programme_Grunddaten!$A218="Geprüft",Programme_Grunddaten!N218&lt;&gt;""),IF(Programme_Grunddaten!N218="Ja",1,0),"")</f>
        <v/>
      </c>
      <c r="H213" s="1" t="str">
        <f>IF(AND(Programme_Grunddaten!$A218="Geprüft",Programme_Grunddaten!O218&lt;&gt;""),IF(Programme_Grunddaten!O218="Deutschland",0,IF(Programme_Grunddaten!O218="EU",1,2)),"")</f>
        <v/>
      </c>
      <c r="I213" s="1" t="str">
        <f>IF(AND(Programme_Grunddaten!$A218="Geprüft",Programme_Grunddaten!P218&lt;&gt;""),IF(Programme_Grunddaten!P218="Ja",1,0),"")</f>
        <v/>
      </c>
      <c r="J213" s="1" t="str">
        <f>IF(AND(Programme_Grunddaten!$A218="Geprüft",Programme_Grunddaten!Q218&lt;&gt;""),IF(Programme_Grunddaten!Q218="geschlossenes System",1,0),"")</f>
        <v/>
      </c>
      <c r="K213" s="1" t="str">
        <f>IF(AND(Programme_Grunddaten!$A218="Geprüft",Programme_Grunddaten!R218&lt;&gt;""),IF(Programme_Grunddaten!R218="Ja",1,0),"")</f>
        <v/>
      </c>
      <c r="L213" s="1" t="str">
        <f>IF(AND(Programme_Grunddaten!$A218="Geprüft",Programme_Grunddaten!T218&lt;&gt;""),IF(Programme_Grunddaten!T218="Ja",1,0),"")</f>
        <v/>
      </c>
      <c r="M213" s="1" t="str">
        <f>IF(AND(Programme_Grunddaten!$A218="Geprüft",Programme_Grunddaten!U218&lt;&gt;""),IF(Programme_Grunddaten!U218="Ja",1,0),"")</f>
        <v/>
      </c>
      <c r="N213" s="1" t="str">
        <f>IF(AND(Programme_Grunddaten!$A218="Geprüft",Programme_Grunddaten!V218&lt;&gt;""),IF(Programme_Grunddaten!V218="Ja",1,0),"")</f>
        <v/>
      </c>
      <c r="O213" s="1" t="str">
        <f>IF(AND(Programme_Grunddaten!$A218="Geprüft",Programme_Grunddaten!W218&lt;&gt;""),IF(Programme_Grunddaten!W218="Ja",1,0),"")</f>
        <v/>
      </c>
      <c r="P213" s="1" t="str">
        <f>IF(AND(Programme_Grunddaten!$A218="Geprüft",Programme_Grunddaten!X218&lt;&gt;""),IF(Programme_Grunddaten!X218="Ja",1,0),"")</f>
        <v/>
      </c>
      <c r="Q213" s="1" t="str">
        <f>IF(AND(Programme_Grunddaten!$A218="Geprüft",Programme_Grunddaten!Y218&lt;&gt;""),IF(Programme_Grunddaten!Y218="Ja",1,0),"")</f>
        <v/>
      </c>
      <c r="R213" s="1" t="str">
        <f>IF(AND(Programme_Grunddaten!$A218="Geprüft",Programme_Grunddaten!Z218&lt;&gt;""),IF(Programme_Grunddaten!Z218="Ja",1,0),"")</f>
        <v/>
      </c>
      <c r="S213" s="1" t="str">
        <f>IF(AND(Programme_Grunddaten!$A218="Geprüft",Programme_Grunddaten!AA218&lt;&gt;""),IF(Programme_Grunddaten!AA218="monolithisch",1,0),"")</f>
        <v/>
      </c>
      <c r="T213" s="1" t="str">
        <f>IF(AND(Programme_Grunddaten!$A218="Geprüft",Programme_Grunddaten!AB218&lt;&gt;""),IF(Programme_Grunddaten!AB218="Ja",1,0),"")</f>
        <v/>
      </c>
      <c r="U213" s="1" t="str">
        <f>IF(AND(Programme_Grunddaten!$A218="Geprüft",Programme_Grunddaten!AC218&lt;&gt;""),IF(Programme_Grunddaten!AC218="Ja",1,0),"")</f>
        <v/>
      </c>
      <c r="V213" s="1" t="str">
        <f>IF(AND(Programme_Grunddaten!$A218="Geprüft",Programme_Grunddaten!AD218&lt;&gt;""),IF(Programme_Grunddaten!AD218="Ja",1,0),"")</f>
        <v/>
      </c>
      <c r="W213" s="1" t="str">
        <f>IF(AND(Programme_Grunddaten!$A218="Geprüft",Programme_Grunddaten!AE218&lt;&gt;""),IF(Programme_Grunddaten!AE218="Ja",1,0),"")</f>
        <v/>
      </c>
      <c r="X213" s="1" t="str">
        <f>IF(AND(Programme_Grunddaten!$A218="Geprüft",Programme_Grunddaten!AF218&lt;&gt;""),IF(Programme_Grunddaten!AF218="Ja",1,0),"")</f>
        <v/>
      </c>
      <c r="Y213" s="1" t="str">
        <f>IF(AND(Programme_Grunddaten!$A218="Geprüft",Programme_Grunddaten!AG218&lt;&gt;""),IF(Programme_Grunddaten!AG218="Ja",1,0),"")</f>
        <v/>
      </c>
      <c r="Z213" s="1" t="str">
        <f>IF(AND(Programme_Grunddaten!$A218="Geprüft",Programme_Grunddaten!AH218&lt;&gt;""),IF(Programme_Grunddaten!AH218="Ja",1,0),"")</f>
        <v/>
      </c>
      <c r="AA213" s="1" t="str">
        <f>IF(AND(Programme_Grunddaten!$A218="Geprüft",Programme_Grunddaten!AI218&lt;&gt;""),IF(Programme_Grunddaten!AI218="Ja",1,0),"")</f>
        <v/>
      </c>
      <c r="AB213" s="1" t="str">
        <f>IF(AND(Programme_Grunddaten!$A218="Geprüft",Programme_Grunddaten!AJ218&lt;&gt;""),IF(Programme_Grunddaten!AJ218="individuell programmierbar",1,0),"")</f>
        <v/>
      </c>
      <c r="AC213" s="1" t="str">
        <f>IF(AND(Programme_Grunddaten!$A218="Geprüft",Programme_Grunddaten!AK218&lt;&gt;""),IF(Programme_Grunddaten!AK218="Deutsch",0,IF(Programme_Grunddaten!AK218="Deutsch und Englisch",1,2)),"")</f>
        <v/>
      </c>
      <c r="AD213" s="1" t="str">
        <f>IF(AND(Programme_Grunddaten!$A218="Geprüft",Programme_Grunddaten!AL218&lt;&gt;""),IF(Programme_Grunddaten!AL218="Ja",1,0),"")</f>
        <v/>
      </c>
      <c r="AE213" s="1" t="str">
        <f>IF(AND(Programme_Grunddaten!$A218="Geprüft",Programme_Grunddaten!AM218&lt;&gt;""),IF(Programme_Grunddaten!AM218="Ja",1,0),"")</f>
        <v/>
      </c>
      <c r="AF213" s="1" t="str">
        <f>IF(AND(Programme_Grunddaten!$A218="Geprüft",Programme_Grunddaten!AN218&lt;&gt;""),IF(Programme_Grunddaten!AN218="Ja",1,0),"")</f>
        <v/>
      </c>
      <c r="AG213" s="1" t="str">
        <f>IF(AND(Programme_Grunddaten!$A218="Geprüft",Programme_Grunddaten!AO218&lt;&gt;""),IF(Programme_Grunddaten!AO218="Ja",1,0),"")</f>
        <v/>
      </c>
      <c r="AH213" s="1" t="str">
        <f>IF(AND(Programme_Grunddaten!$A218="Geprüft",Programme_Grunddaten!AP218&lt;&gt;""),IF(Programme_Grunddaten!AP218="Ja",1,0),"")</f>
        <v/>
      </c>
      <c r="AI213" s="1" t="str">
        <f>IF(AND(Programme_Grunddaten!$A218="Geprüft",Programme_Grunddaten!AQ218&lt;&gt;""),IF(Programme_Grunddaten!AQ218="Ja",1,0),"")</f>
        <v/>
      </c>
      <c r="AJ213" s="1" t="str">
        <f>IF(AND(Programme_Grunddaten!$A218="Geprüft",Programme_Grunddaten!AR218&lt;&gt;""),IF(Programme_Grunddaten!AR218="Ja",1,0),"")</f>
        <v/>
      </c>
      <c r="AK213" s="1" t="str">
        <f>IF(AND(Programme_Grunddaten!$A218="Geprüft",Programme_Grunddaten!AS218&lt;&gt;""),IF(Programme_Grunddaten!AS218="Ja",1,0),"")</f>
        <v/>
      </c>
      <c r="AL213" s="1" t="str">
        <f>IF(AND(Programme_Grunddaten!$A218="Geprüft",Programme_Grunddaten!AT218&lt;&gt;""),IF(Programme_Grunddaten!AT218="Ja",1,0),"")</f>
        <v/>
      </c>
      <c r="AM213" s="1" t="str">
        <f>IF(AND(Programme_Grunddaten!$A218="Geprüft",Programme_Grunddaten!AU218&lt;&gt;""),IF(Programme_Grunddaten!AU218="Ja",1,0),"")</f>
        <v/>
      </c>
      <c r="AN213" s="1" t="str">
        <f>IF(AND(Programme_Grunddaten!$A218="Geprüft",Programme_Grunddaten!AV218&lt;&gt;""),IF(Programme_Grunddaten!AV218="Ja",1,0),"")</f>
        <v/>
      </c>
    </row>
    <row r="214" spans="1:40" x14ac:dyDescent="0.3">
      <c r="A214" s="1" t="str">
        <f>IF(AND(Programme_Grunddaten!A219="Geprüft",Programme_Grunddaten!B219&lt;&gt;""),Programme_Grunddaten!B219,"")</f>
        <v/>
      </c>
      <c r="B214" s="1" t="str">
        <f>IF(AND(Programme_Grunddaten!$A219="Geprüft",Programme_Grunddaten!I219&lt;&gt;""),IF(Programme_Grunddaten!I219="Ja",1,0),"")</f>
        <v/>
      </c>
      <c r="C214" s="1" t="str">
        <f>IF(AND(Programme_Grunddaten!$A219="Geprüft",Programme_Grunddaten!J219&lt;&gt;""),IF(Programme_Grunddaten!J219="Ja",1,0),"")</f>
        <v/>
      </c>
      <c r="D214" s="1" t="str">
        <f>IF(AND(Programme_Grunddaten!$A219="Geprüft",Programme_Grunddaten!K219&lt;&gt;""),IF(Programme_Grunddaten!K219="Ja",1,0),"")</f>
        <v/>
      </c>
      <c r="E214" s="1" t="str">
        <f>IF(AND(Programme_Grunddaten!$A219="Geprüft",Programme_Grunddaten!L219&lt;&gt;""),IF(Programme_Grunddaten!L219="Abo / befristete Lizenz",1,0),"")</f>
        <v/>
      </c>
      <c r="F214" s="1" t="str">
        <f>IF(AND(Programme_Grunddaten!$A219="Geprüft",Programme_Grunddaten!M219&lt;&gt;""),IF(Programme_Grunddaten!M219="Ja",1,0),"")</f>
        <v/>
      </c>
      <c r="G214" s="1" t="str">
        <f>IF(AND(Programme_Grunddaten!$A219="Geprüft",Programme_Grunddaten!N219&lt;&gt;""),IF(Programme_Grunddaten!N219="Ja",1,0),"")</f>
        <v/>
      </c>
      <c r="H214" s="1" t="str">
        <f>IF(AND(Programme_Grunddaten!$A219="Geprüft",Programme_Grunddaten!O219&lt;&gt;""),IF(Programme_Grunddaten!O219="Deutschland",0,IF(Programme_Grunddaten!O219="EU",1,2)),"")</f>
        <v/>
      </c>
      <c r="I214" s="1" t="str">
        <f>IF(AND(Programme_Grunddaten!$A219="Geprüft",Programme_Grunddaten!P219&lt;&gt;""),IF(Programme_Grunddaten!P219="Ja",1,0),"")</f>
        <v/>
      </c>
      <c r="J214" s="1" t="str">
        <f>IF(AND(Programme_Grunddaten!$A219="Geprüft",Programme_Grunddaten!Q219&lt;&gt;""),IF(Programme_Grunddaten!Q219="geschlossenes System",1,0),"")</f>
        <v/>
      </c>
      <c r="K214" s="1" t="str">
        <f>IF(AND(Programme_Grunddaten!$A219="Geprüft",Programme_Grunddaten!R219&lt;&gt;""),IF(Programme_Grunddaten!R219="Ja",1,0),"")</f>
        <v/>
      </c>
      <c r="L214" s="1" t="str">
        <f>IF(AND(Programme_Grunddaten!$A219="Geprüft",Programme_Grunddaten!T219&lt;&gt;""),IF(Programme_Grunddaten!T219="Ja",1,0),"")</f>
        <v/>
      </c>
      <c r="M214" s="1" t="str">
        <f>IF(AND(Programme_Grunddaten!$A219="Geprüft",Programme_Grunddaten!U219&lt;&gt;""),IF(Programme_Grunddaten!U219="Ja",1,0),"")</f>
        <v/>
      </c>
      <c r="N214" s="1" t="str">
        <f>IF(AND(Programme_Grunddaten!$A219="Geprüft",Programme_Grunddaten!V219&lt;&gt;""),IF(Programme_Grunddaten!V219="Ja",1,0),"")</f>
        <v/>
      </c>
      <c r="O214" s="1" t="str">
        <f>IF(AND(Programme_Grunddaten!$A219="Geprüft",Programme_Grunddaten!W219&lt;&gt;""),IF(Programme_Grunddaten!W219="Ja",1,0),"")</f>
        <v/>
      </c>
      <c r="P214" s="1" t="str">
        <f>IF(AND(Programme_Grunddaten!$A219="Geprüft",Programme_Grunddaten!X219&lt;&gt;""),IF(Programme_Grunddaten!X219="Ja",1,0),"")</f>
        <v/>
      </c>
      <c r="Q214" s="1" t="str">
        <f>IF(AND(Programme_Grunddaten!$A219="Geprüft",Programme_Grunddaten!Y219&lt;&gt;""),IF(Programme_Grunddaten!Y219="Ja",1,0),"")</f>
        <v/>
      </c>
      <c r="R214" s="1" t="str">
        <f>IF(AND(Programme_Grunddaten!$A219="Geprüft",Programme_Grunddaten!Z219&lt;&gt;""),IF(Programme_Grunddaten!Z219="Ja",1,0),"")</f>
        <v/>
      </c>
      <c r="S214" s="1" t="str">
        <f>IF(AND(Programme_Grunddaten!$A219="Geprüft",Programme_Grunddaten!AA219&lt;&gt;""),IF(Programme_Grunddaten!AA219="monolithisch",1,0),"")</f>
        <v/>
      </c>
      <c r="T214" s="1" t="str">
        <f>IF(AND(Programme_Grunddaten!$A219="Geprüft",Programme_Grunddaten!AB219&lt;&gt;""),IF(Programme_Grunddaten!AB219="Ja",1,0),"")</f>
        <v/>
      </c>
      <c r="U214" s="1" t="str">
        <f>IF(AND(Programme_Grunddaten!$A219="Geprüft",Programme_Grunddaten!AC219&lt;&gt;""),IF(Programme_Grunddaten!AC219="Ja",1,0),"")</f>
        <v/>
      </c>
      <c r="V214" s="1" t="str">
        <f>IF(AND(Programme_Grunddaten!$A219="Geprüft",Programme_Grunddaten!AD219&lt;&gt;""),IF(Programme_Grunddaten!AD219="Ja",1,0),"")</f>
        <v/>
      </c>
      <c r="W214" s="1" t="str">
        <f>IF(AND(Programme_Grunddaten!$A219="Geprüft",Programme_Grunddaten!AE219&lt;&gt;""),IF(Programme_Grunddaten!AE219="Ja",1,0),"")</f>
        <v/>
      </c>
      <c r="X214" s="1" t="str">
        <f>IF(AND(Programme_Grunddaten!$A219="Geprüft",Programme_Grunddaten!AF219&lt;&gt;""),IF(Programme_Grunddaten!AF219="Ja",1,0),"")</f>
        <v/>
      </c>
      <c r="Y214" s="1" t="str">
        <f>IF(AND(Programme_Grunddaten!$A219="Geprüft",Programme_Grunddaten!AG219&lt;&gt;""),IF(Programme_Grunddaten!AG219="Ja",1,0),"")</f>
        <v/>
      </c>
      <c r="Z214" s="1" t="str">
        <f>IF(AND(Programme_Grunddaten!$A219="Geprüft",Programme_Grunddaten!AH219&lt;&gt;""),IF(Programme_Grunddaten!AH219="Ja",1,0),"")</f>
        <v/>
      </c>
      <c r="AA214" s="1" t="str">
        <f>IF(AND(Programme_Grunddaten!$A219="Geprüft",Programme_Grunddaten!AI219&lt;&gt;""),IF(Programme_Grunddaten!AI219="Ja",1,0),"")</f>
        <v/>
      </c>
      <c r="AB214" s="1" t="str">
        <f>IF(AND(Programme_Grunddaten!$A219="Geprüft",Programme_Grunddaten!AJ219&lt;&gt;""),IF(Programme_Grunddaten!AJ219="individuell programmierbar",1,0),"")</f>
        <v/>
      </c>
      <c r="AC214" s="1" t="str">
        <f>IF(AND(Programme_Grunddaten!$A219="Geprüft",Programme_Grunddaten!AK219&lt;&gt;""),IF(Programme_Grunddaten!AK219="Deutsch",0,IF(Programme_Grunddaten!AK219="Deutsch und Englisch",1,2)),"")</f>
        <v/>
      </c>
      <c r="AD214" s="1" t="str">
        <f>IF(AND(Programme_Grunddaten!$A219="Geprüft",Programme_Grunddaten!AL219&lt;&gt;""),IF(Programme_Grunddaten!AL219="Ja",1,0),"")</f>
        <v/>
      </c>
      <c r="AE214" s="1" t="str">
        <f>IF(AND(Programme_Grunddaten!$A219="Geprüft",Programme_Grunddaten!AM219&lt;&gt;""),IF(Programme_Grunddaten!AM219="Ja",1,0),"")</f>
        <v/>
      </c>
      <c r="AF214" s="1" t="str">
        <f>IF(AND(Programme_Grunddaten!$A219="Geprüft",Programme_Grunddaten!AN219&lt;&gt;""),IF(Programme_Grunddaten!AN219="Ja",1,0),"")</f>
        <v/>
      </c>
      <c r="AG214" s="1" t="str">
        <f>IF(AND(Programme_Grunddaten!$A219="Geprüft",Programme_Grunddaten!AO219&lt;&gt;""),IF(Programme_Grunddaten!AO219="Ja",1,0),"")</f>
        <v/>
      </c>
      <c r="AH214" s="1" t="str">
        <f>IF(AND(Programme_Grunddaten!$A219="Geprüft",Programme_Grunddaten!AP219&lt;&gt;""),IF(Programme_Grunddaten!AP219="Ja",1,0),"")</f>
        <v/>
      </c>
      <c r="AI214" s="1" t="str">
        <f>IF(AND(Programme_Grunddaten!$A219="Geprüft",Programme_Grunddaten!AQ219&lt;&gt;""),IF(Programme_Grunddaten!AQ219="Ja",1,0),"")</f>
        <v/>
      </c>
      <c r="AJ214" s="1" t="str">
        <f>IF(AND(Programme_Grunddaten!$A219="Geprüft",Programme_Grunddaten!AR219&lt;&gt;""),IF(Programme_Grunddaten!AR219="Ja",1,0),"")</f>
        <v/>
      </c>
      <c r="AK214" s="1" t="str">
        <f>IF(AND(Programme_Grunddaten!$A219="Geprüft",Programme_Grunddaten!AS219&lt;&gt;""),IF(Programme_Grunddaten!AS219="Ja",1,0),"")</f>
        <v/>
      </c>
      <c r="AL214" s="1" t="str">
        <f>IF(AND(Programme_Grunddaten!$A219="Geprüft",Programme_Grunddaten!AT219&lt;&gt;""),IF(Programme_Grunddaten!AT219="Ja",1,0),"")</f>
        <v/>
      </c>
      <c r="AM214" s="1" t="str">
        <f>IF(AND(Programme_Grunddaten!$A219="Geprüft",Programme_Grunddaten!AU219&lt;&gt;""),IF(Programme_Grunddaten!AU219="Ja",1,0),"")</f>
        <v/>
      </c>
      <c r="AN214" s="1" t="str">
        <f>IF(AND(Programme_Grunddaten!$A219="Geprüft",Programme_Grunddaten!AV219&lt;&gt;""),IF(Programme_Grunddaten!AV219="Ja",1,0),"")</f>
        <v/>
      </c>
    </row>
    <row r="215" spans="1:40" x14ac:dyDescent="0.3">
      <c r="A215" s="1" t="str">
        <f>IF(AND(Programme_Grunddaten!A220="Geprüft",Programme_Grunddaten!B220&lt;&gt;""),Programme_Grunddaten!B220,"")</f>
        <v/>
      </c>
      <c r="B215" s="1" t="str">
        <f>IF(AND(Programme_Grunddaten!$A220="Geprüft",Programme_Grunddaten!I220&lt;&gt;""),IF(Programme_Grunddaten!I220="Ja",1,0),"")</f>
        <v/>
      </c>
      <c r="C215" s="1" t="str">
        <f>IF(AND(Programme_Grunddaten!$A220="Geprüft",Programme_Grunddaten!J220&lt;&gt;""),IF(Programme_Grunddaten!J220="Ja",1,0),"")</f>
        <v/>
      </c>
      <c r="D215" s="1" t="str">
        <f>IF(AND(Programme_Grunddaten!$A220="Geprüft",Programme_Grunddaten!K220&lt;&gt;""),IF(Programme_Grunddaten!K220="Ja",1,0),"")</f>
        <v/>
      </c>
      <c r="E215" s="1" t="str">
        <f>IF(AND(Programme_Grunddaten!$A220="Geprüft",Programme_Grunddaten!L220&lt;&gt;""),IF(Programme_Grunddaten!L220="Abo / befristete Lizenz",1,0),"")</f>
        <v/>
      </c>
      <c r="F215" s="1" t="str">
        <f>IF(AND(Programme_Grunddaten!$A220="Geprüft",Programme_Grunddaten!M220&lt;&gt;""),IF(Programme_Grunddaten!M220="Ja",1,0),"")</f>
        <v/>
      </c>
      <c r="G215" s="1" t="str">
        <f>IF(AND(Programme_Grunddaten!$A220="Geprüft",Programme_Grunddaten!N220&lt;&gt;""),IF(Programme_Grunddaten!N220="Ja",1,0),"")</f>
        <v/>
      </c>
      <c r="H215" s="1" t="str">
        <f>IF(AND(Programme_Grunddaten!$A220="Geprüft",Programme_Grunddaten!O220&lt;&gt;""),IF(Programme_Grunddaten!O220="Deutschland",0,IF(Programme_Grunddaten!O220="EU",1,2)),"")</f>
        <v/>
      </c>
      <c r="I215" s="1" t="str">
        <f>IF(AND(Programme_Grunddaten!$A220="Geprüft",Programme_Grunddaten!P220&lt;&gt;""),IF(Programme_Grunddaten!P220="Ja",1,0),"")</f>
        <v/>
      </c>
      <c r="J215" s="1" t="str">
        <f>IF(AND(Programme_Grunddaten!$A220="Geprüft",Programme_Grunddaten!Q220&lt;&gt;""),IF(Programme_Grunddaten!Q220="geschlossenes System",1,0),"")</f>
        <v/>
      </c>
      <c r="K215" s="1" t="str">
        <f>IF(AND(Programme_Grunddaten!$A220="Geprüft",Programme_Grunddaten!R220&lt;&gt;""),IF(Programme_Grunddaten!R220="Ja",1,0),"")</f>
        <v/>
      </c>
      <c r="L215" s="1" t="str">
        <f>IF(AND(Programme_Grunddaten!$A220="Geprüft",Programme_Grunddaten!T220&lt;&gt;""),IF(Programme_Grunddaten!T220="Ja",1,0),"")</f>
        <v/>
      </c>
      <c r="M215" s="1" t="str">
        <f>IF(AND(Programme_Grunddaten!$A220="Geprüft",Programme_Grunddaten!U220&lt;&gt;""),IF(Programme_Grunddaten!U220="Ja",1,0),"")</f>
        <v/>
      </c>
      <c r="N215" s="1" t="str">
        <f>IF(AND(Programme_Grunddaten!$A220="Geprüft",Programme_Grunddaten!V220&lt;&gt;""),IF(Programme_Grunddaten!V220="Ja",1,0),"")</f>
        <v/>
      </c>
      <c r="O215" s="1" t="str">
        <f>IF(AND(Programme_Grunddaten!$A220="Geprüft",Programme_Grunddaten!W220&lt;&gt;""),IF(Programme_Grunddaten!W220="Ja",1,0),"")</f>
        <v/>
      </c>
      <c r="P215" s="1" t="str">
        <f>IF(AND(Programme_Grunddaten!$A220="Geprüft",Programme_Grunddaten!X220&lt;&gt;""),IF(Programme_Grunddaten!X220="Ja",1,0),"")</f>
        <v/>
      </c>
      <c r="Q215" s="1" t="str">
        <f>IF(AND(Programme_Grunddaten!$A220="Geprüft",Programme_Grunddaten!Y220&lt;&gt;""),IF(Programme_Grunddaten!Y220="Ja",1,0),"")</f>
        <v/>
      </c>
      <c r="R215" s="1" t="str">
        <f>IF(AND(Programme_Grunddaten!$A220="Geprüft",Programme_Grunddaten!Z220&lt;&gt;""),IF(Programme_Grunddaten!Z220="Ja",1,0),"")</f>
        <v/>
      </c>
      <c r="S215" s="1" t="str">
        <f>IF(AND(Programme_Grunddaten!$A220="Geprüft",Programme_Grunddaten!AA220&lt;&gt;""),IF(Programme_Grunddaten!AA220="monolithisch",1,0),"")</f>
        <v/>
      </c>
      <c r="T215" s="1" t="str">
        <f>IF(AND(Programme_Grunddaten!$A220="Geprüft",Programme_Grunddaten!AB220&lt;&gt;""),IF(Programme_Grunddaten!AB220="Ja",1,0),"")</f>
        <v/>
      </c>
      <c r="U215" s="1" t="str">
        <f>IF(AND(Programme_Grunddaten!$A220="Geprüft",Programme_Grunddaten!AC220&lt;&gt;""),IF(Programme_Grunddaten!AC220="Ja",1,0),"")</f>
        <v/>
      </c>
      <c r="V215" s="1" t="str">
        <f>IF(AND(Programme_Grunddaten!$A220="Geprüft",Programme_Grunddaten!AD220&lt;&gt;""),IF(Programme_Grunddaten!AD220="Ja",1,0),"")</f>
        <v/>
      </c>
      <c r="W215" s="1" t="str">
        <f>IF(AND(Programme_Grunddaten!$A220="Geprüft",Programme_Grunddaten!AE220&lt;&gt;""),IF(Programme_Grunddaten!AE220="Ja",1,0),"")</f>
        <v/>
      </c>
      <c r="X215" s="1" t="str">
        <f>IF(AND(Programme_Grunddaten!$A220="Geprüft",Programme_Grunddaten!AF220&lt;&gt;""),IF(Programme_Grunddaten!AF220="Ja",1,0),"")</f>
        <v/>
      </c>
      <c r="Y215" s="1" t="str">
        <f>IF(AND(Programme_Grunddaten!$A220="Geprüft",Programme_Grunddaten!AG220&lt;&gt;""),IF(Programme_Grunddaten!AG220="Ja",1,0),"")</f>
        <v/>
      </c>
      <c r="Z215" s="1" t="str">
        <f>IF(AND(Programme_Grunddaten!$A220="Geprüft",Programme_Grunddaten!AH220&lt;&gt;""),IF(Programme_Grunddaten!AH220="Ja",1,0),"")</f>
        <v/>
      </c>
      <c r="AA215" s="1" t="str">
        <f>IF(AND(Programme_Grunddaten!$A220="Geprüft",Programme_Grunddaten!AI220&lt;&gt;""),IF(Programme_Grunddaten!AI220="Ja",1,0),"")</f>
        <v/>
      </c>
      <c r="AB215" s="1" t="str">
        <f>IF(AND(Programme_Grunddaten!$A220="Geprüft",Programme_Grunddaten!AJ220&lt;&gt;""),IF(Programme_Grunddaten!AJ220="individuell programmierbar",1,0),"")</f>
        <v/>
      </c>
      <c r="AC215" s="1" t="str">
        <f>IF(AND(Programme_Grunddaten!$A220="Geprüft",Programme_Grunddaten!AK220&lt;&gt;""),IF(Programme_Grunddaten!AK220="Deutsch",0,IF(Programme_Grunddaten!AK220="Deutsch und Englisch",1,2)),"")</f>
        <v/>
      </c>
      <c r="AD215" s="1" t="str">
        <f>IF(AND(Programme_Grunddaten!$A220="Geprüft",Programme_Grunddaten!AL220&lt;&gt;""),IF(Programme_Grunddaten!AL220="Ja",1,0),"")</f>
        <v/>
      </c>
      <c r="AE215" s="1" t="str">
        <f>IF(AND(Programme_Grunddaten!$A220="Geprüft",Programme_Grunddaten!AM220&lt;&gt;""),IF(Programme_Grunddaten!AM220="Ja",1,0),"")</f>
        <v/>
      </c>
      <c r="AF215" s="1" t="str">
        <f>IF(AND(Programme_Grunddaten!$A220="Geprüft",Programme_Grunddaten!AN220&lt;&gt;""),IF(Programme_Grunddaten!AN220="Ja",1,0),"")</f>
        <v/>
      </c>
      <c r="AG215" s="1" t="str">
        <f>IF(AND(Programme_Grunddaten!$A220="Geprüft",Programme_Grunddaten!AO220&lt;&gt;""),IF(Programme_Grunddaten!AO220="Ja",1,0),"")</f>
        <v/>
      </c>
      <c r="AH215" s="1" t="str">
        <f>IF(AND(Programme_Grunddaten!$A220="Geprüft",Programme_Grunddaten!AP220&lt;&gt;""),IF(Programme_Grunddaten!AP220="Ja",1,0),"")</f>
        <v/>
      </c>
      <c r="AI215" s="1" t="str">
        <f>IF(AND(Programme_Grunddaten!$A220="Geprüft",Programme_Grunddaten!AQ220&lt;&gt;""),IF(Programme_Grunddaten!AQ220="Ja",1,0),"")</f>
        <v/>
      </c>
      <c r="AJ215" s="1" t="str">
        <f>IF(AND(Programme_Grunddaten!$A220="Geprüft",Programme_Grunddaten!AR220&lt;&gt;""),IF(Programme_Grunddaten!AR220="Ja",1,0),"")</f>
        <v/>
      </c>
      <c r="AK215" s="1" t="str">
        <f>IF(AND(Programme_Grunddaten!$A220="Geprüft",Programme_Grunddaten!AS220&lt;&gt;""),IF(Programme_Grunddaten!AS220="Ja",1,0),"")</f>
        <v/>
      </c>
      <c r="AL215" s="1" t="str">
        <f>IF(AND(Programme_Grunddaten!$A220="Geprüft",Programme_Grunddaten!AT220&lt;&gt;""),IF(Programme_Grunddaten!AT220="Ja",1,0),"")</f>
        <v/>
      </c>
      <c r="AM215" s="1" t="str">
        <f>IF(AND(Programme_Grunddaten!$A220="Geprüft",Programme_Grunddaten!AU220&lt;&gt;""),IF(Programme_Grunddaten!AU220="Ja",1,0),"")</f>
        <v/>
      </c>
      <c r="AN215" s="1" t="str">
        <f>IF(AND(Programme_Grunddaten!$A220="Geprüft",Programme_Grunddaten!AV220&lt;&gt;""),IF(Programme_Grunddaten!AV220="Ja",1,0),"")</f>
        <v/>
      </c>
    </row>
    <row r="216" spans="1:40" x14ac:dyDescent="0.3">
      <c r="A216" s="1" t="str">
        <f>IF(AND(Programme_Grunddaten!A221="Geprüft",Programme_Grunddaten!B221&lt;&gt;""),Programme_Grunddaten!B221,"")</f>
        <v/>
      </c>
      <c r="B216" s="1" t="str">
        <f>IF(AND(Programme_Grunddaten!$A221="Geprüft",Programme_Grunddaten!I221&lt;&gt;""),IF(Programme_Grunddaten!I221="Ja",1,0),"")</f>
        <v/>
      </c>
      <c r="C216" s="1" t="str">
        <f>IF(AND(Programme_Grunddaten!$A221="Geprüft",Programme_Grunddaten!J221&lt;&gt;""),IF(Programme_Grunddaten!J221="Ja",1,0),"")</f>
        <v/>
      </c>
      <c r="D216" s="1" t="str">
        <f>IF(AND(Programme_Grunddaten!$A221="Geprüft",Programme_Grunddaten!K221&lt;&gt;""),IF(Programme_Grunddaten!K221="Ja",1,0),"")</f>
        <v/>
      </c>
      <c r="E216" s="1" t="str">
        <f>IF(AND(Programme_Grunddaten!$A221="Geprüft",Programme_Grunddaten!L221&lt;&gt;""),IF(Programme_Grunddaten!L221="Abo / befristete Lizenz",1,0),"")</f>
        <v/>
      </c>
      <c r="F216" s="1" t="str">
        <f>IF(AND(Programme_Grunddaten!$A221="Geprüft",Programme_Grunddaten!M221&lt;&gt;""),IF(Programme_Grunddaten!M221="Ja",1,0),"")</f>
        <v/>
      </c>
      <c r="G216" s="1" t="str">
        <f>IF(AND(Programme_Grunddaten!$A221="Geprüft",Programme_Grunddaten!N221&lt;&gt;""),IF(Programme_Grunddaten!N221="Ja",1,0),"")</f>
        <v/>
      </c>
      <c r="H216" s="1" t="str">
        <f>IF(AND(Programme_Grunddaten!$A221="Geprüft",Programme_Grunddaten!O221&lt;&gt;""),IF(Programme_Grunddaten!O221="Deutschland",0,IF(Programme_Grunddaten!O221="EU",1,2)),"")</f>
        <v/>
      </c>
      <c r="I216" s="1" t="str">
        <f>IF(AND(Programme_Grunddaten!$A221="Geprüft",Programme_Grunddaten!P221&lt;&gt;""),IF(Programme_Grunddaten!P221="Ja",1,0),"")</f>
        <v/>
      </c>
      <c r="J216" s="1" t="str">
        <f>IF(AND(Programme_Grunddaten!$A221="Geprüft",Programme_Grunddaten!Q221&lt;&gt;""),IF(Programme_Grunddaten!Q221="geschlossenes System",1,0),"")</f>
        <v/>
      </c>
      <c r="K216" s="1" t="str">
        <f>IF(AND(Programme_Grunddaten!$A221="Geprüft",Programme_Grunddaten!R221&lt;&gt;""),IF(Programme_Grunddaten!R221="Ja",1,0),"")</f>
        <v/>
      </c>
      <c r="L216" s="1" t="str">
        <f>IF(AND(Programme_Grunddaten!$A221="Geprüft",Programme_Grunddaten!T221&lt;&gt;""),IF(Programme_Grunddaten!T221="Ja",1,0),"")</f>
        <v/>
      </c>
      <c r="M216" s="1" t="str">
        <f>IF(AND(Programme_Grunddaten!$A221="Geprüft",Programme_Grunddaten!U221&lt;&gt;""),IF(Programme_Grunddaten!U221="Ja",1,0),"")</f>
        <v/>
      </c>
      <c r="N216" s="1" t="str">
        <f>IF(AND(Programme_Grunddaten!$A221="Geprüft",Programme_Grunddaten!V221&lt;&gt;""),IF(Programme_Grunddaten!V221="Ja",1,0),"")</f>
        <v/>
      </c>
      <c r="O216" s="1" t="str">
        <f>IF(AND(Programme_Grunddaten!$A221="Geprüft",Programme_Grunddaten!W221&lt;&gt;""),IF(Programme_Grunddaten!W221="Ja",1,0),"")</f>
        <v/>
      </c>
      <c r="P216" s="1" t="str">
        <f>IF(AND(Programme_Grunddaten!$A221="Geprüft",Programme_Grunddaten!X221&lt;&gt;""),IF(Programme_Grunddaten!X221="Ja",1,0),"")</f>
        <v/>
      </c>
      <c r="Q216" s="1" t="str">
        <f>IF(AND(Programme_Grunddaten!$A221="Geprüft",Programme_Grunddaten!Y221&lt;&gt;""),IF(Programme_Grunddaten!Y221="Ja",1,0),"")</f>
        <v/>
      </c>
      <c r="R216" s="1" t="str">
        <f>IF(AND(Programme_Grunddaten!$A221="Geprüft",Programme_Grunddaten!Z221&lt;&gt;""),IF(Programme_Grunddaten!Z221="Ja",1,0),"")</f>
        <v/>
      </c>
      <c r="S216" s="1" t="str">
        <f>IF(AND(Programme_Grunddaten!$A221="Geprüft",Programme_Grunddaten!AA221&lt;&gt;""),IF(Programme_Grunddaten!AA221="monolithisch",1,0),"")</f>
        <v/>
      </c>
      <c r="T216" s="1" t="str">
        <f>IF(AND(Programme_Grunddaten!$A221="Geprüft",Programme_Grunddaten!AB221&lt;&gt;""),IF(Programme_Grunddaten!AB221="Ja",1,0),"")</f>
        <v/>
      </c>
      <c r="U216" s="1" t="str">
        <f>IF(AND(Programme_Grunddaten!$A221="Geprüft",Programme_Grunddaten!AC221&lt;&gt;""),IF(Programme_Grunddaten!AC221="Ja",1,0),"")</f>
        <v/>
      </c>
      <c r="V216" s="1" t="str">
        <f>IF(AND(Programme_Grunddaten!$A221="Geprüft",Programme_Grunddaten!AD221&lt;&gt;""),IF(Programme_Grunddaten!AD221="Ja",1,0),"")</f>
        <v/>
      </c>
      <c r="W216" s="1" t="str">
        <f>IF(AND(Programme_Grunddaten!$A221="Geprüft",Programme_Grunddaten!AE221&lt;&gt;""),IF(Programme_Grunddaten!AE221="Ja",1,0),"")</f>
        <v/>
      </c>
      <c r="X216" s="1" t="str">
        <f>IF(AND(Programme_Grunddaten!$A221="Geprüft",Programme_Grunddaten!AF221&lt;&gt;""),IF(Programme_Grunddaten!AF221="Ja",1,0),"")</f>
        <v/>
      </c>
      <c r="Y216" s="1" t="str">
        <f>IF(AND(Programme_Grunddaten!$A221="Geprüft",Programme_Grunddaten!AG221&lt;&gt;""),IF(Programme_Grunddaten!AG221="Ja",1,0),"")</f>
        <v/>
      </c>
      <c r="Z216" s="1" t="str">
        <f>IF(AND(Programme_Grunddaten!$A221="Geprüft",Programme_Grunddaten!AH221&lt;&gt;""),IF(Programme_Grunddaten!AH221="Ja",1,0),"")</f>
        <v/>
      </c>
      <c r="AA216" s="1" t="str">
        <f>IF(AND(Programme_Grunddaten!$A221="Geprüft",Programme_Grunddaten!AI221&lt;&gt;""),IF(Programme_Grunddaten!AI221="Ja",1,0),"")</f>
        <v/>
      </c>
      <c r="AB216" s="1" t="str">
        <f>IF(AND(Programme_Grunddaten!$A221="Geprüft",Programme_Grunddaten!AJ221&lt;&gt;""),IF(Programme_Grunddaten!AJ221="individuell programmierbar",1,0),"")</f>
        <v/>
      </c>
      <c r="AC216" s="1" t="str">
        <f>IF(AND(Programme_Grunddaten!$A221="Geprüft",Programme_Grunddaten!AK221&lt;&gt;""),IF(Programme_Grunddaten!AK221="Deutsch",0,IF(Programme_Grunddaten!AK221="Deutsch und Englisch",1,2)),"")</f>
        <v/>
      </c>
      <c r="AD216" s="1" t="str">
        <f>IF(AND(Programme_Grunddaten!$A221="Geprüft",Programme_Grunddaten!AL221&lt;&gt;""),IF(Programme_Grunddaten!AL221="Ja",1,0),"")</f>
        <v/>
      </c>
      <c r="AE216" s="1" t="str">
        <f>IF(AND(Programme_Grunddaten!$A221="Geprüft",Programme_Grunddaten!AM221&lt;&gt;""),IF(Programme_Grunddaten!AM221="Ja",1,0),"")</f>
        <v/>
      </c>
      <c r="AF216" s="1" t="str">
        <f>IF(AND(Programme_Grunddaten!$A221="Geprüft",Programme_Grunddaten!AN221&lt;&gt;""),IF(Programme_Grunddaten!AN221="Ja",1,0),"")</f>
        <v/>
      </c>
      <c r="AG216" s="1" t="str">
        <f>IF(AND(Programme_Grunddaten!$A221="Geprüft",Programme_Grunddaten!AO221&lt;&gt;""),IF(Programme_Grunddaten!AO221="Ja",1,0),"")</f>
        <v/>
      </c>
      <c r="AH216" s="1" t="str">
        <f>IF(AND(Programme_Grunddaten!$A221="Geprüft",Programme_Grunddaten!AP221&lt;&gt;""),IF(Programme_Grunddaten!AP221="Ja",1,0),"")</f>
        <v/>
      </c>
      <c r="AI216" s="1" t="str">
        <f>IF(AND(Programme_Grunddaten!$A221="Geprüft",Programme_Grunddaten!AQ221&lt;&gt;""),IF(Programme_Grunddaten!AQ221="Ja",1,0),"")</f>
        <v/>
      </c>
      <c r="AJ216" s="1" t="str">
        <f>IF(AND(Programme_Grunddaten!$A221="Geprüft",Programme_Grunddaten!AR221&lt;&gt;""),IF(Programme_Grunddaten!AR221="Ja",1,0),"")</f>
        <v/>
      </c>
      <c r="AK216" s="1" t="str">
        <f>IF(AND(Programme_Grunddaten!$A221="Geprüft",Programme_Grunddaten!AS221&lt;&gt;""),IF(Programme_Grunddaten!AS221="Ja",1,0),"")</f>
        <v/>
      </c>
      <c r="AL216" s="1" t="str">
        <f>IF(AND(Programme_Grunddaten!$A221="Geprüft",Programme_Grunddaten!AT221&lt;&gt;""),IF(Programme_Grunddaten!AT221="Ja",1,0),"")</f>
        <v/>
      </c>
      <c r="AM216" s="1" t="str">
        <f>IF(AND(Programme_Grunddaten!$A221="Geprüft",Programme_Grunddaten!AU221&lt;&gt;""),IF(Programme_Grunddaten!AU221="Ja",1,0),"")</f>
        <v/>
      </c>
      <c r="AN216" s="1" t="str">
        <f>IF(AND(Programme_Grunddaten!$A221="Geprüft",Programme_Grunddaten!AV221&lt;&gt;""),IF(Programme_Grunddaten!AV221="Ja",1,0),"")</f>
        <v/>
      </c>
    </row>
    <row r="217" spans="1:40" x14ac:dyDescent="0.3">
      <c r="A217" s="1" t="str">
        <f>IF(AND(Programme_Grunddaten!A222="Geprüft",Programme_Grunddaten!B222&lt;&gt;""),Programme_Grunddaten!B222,"")</f>
        <v/>
      </c>
      <c r="B217" s="1" t="str">
        <f>IF(AND(Programme_Grunddaten!$A222="Geprüft",Programme_Grunddaten!I222&lt;&gt;""),IF(Programme_Grunddaten!I222="Ja",1,0),"")</f>
        <v/>
      </c>
      <c r="C217" s="1" t="str">
        <f>IF(AND(Programme_Grunddaten!$A222="Geprüft",Programme_Grunddaten!J222&lt;&gt;""),IF(Programme_Grunddaten!J222="Ja",1,0),"")</f>
        <v/>
      </c>
      <c r="D217" s="1" t="str">
        <f>IF(AND(Programme_Grunddaten!$A222="Geprüft",Programme_Grunddaten!K222&lt;&gt;""),IF(Programme_Grunddaten!K222="Ja",1,0),"")</f>
        <v/>
      </c>
      <c r="E217" s="1" t="str">
        <f>IF(AND(Programme_Grunddaten!$A222="Geprüft",Programme_Grunddaten!L222&lt;&gt;""),IF(Programme_Grunddaten!L222="Abo / befristete Lizenz",1,0),"")</f>
        <v/>
      </c>
      <c r="F217" s="1" t="str">
        <f>IF(AND(Programme_Grunddaten!$A222="Geprüft",Programme_Grunddaten!M222&lt;&gt;""),IF(Programme_Grunddaten!M222="Ja",1,0),"")</f>
        <v/>
      </c>
      <c r="G217" s="1" t="str">
        <f>IF(AND(Programme_Grunddaten!$A222="Geprüft",Programme_Grunddaten!N222&lt;&gt;""),IF(Programme_Grunddaten!N222="Ja",1,0),"")</f>
        <v/>
      </c>
      <c r="H217" s="1" t="str">
        <f>IF(AND(Programme_Grunddaten!$A222="Geprüft",Programme_Grunddaten!O222&lt;&gt;""),IF(Programme_Grunddaten!O222="Deutschland",0,IF(Programme_Grunddaten!O222="EU",1,2)),"")</f>
        <v/>
      </c>
      <c r="I217" s="1" t="str">
        <f>IF(AND(Programme_Grunddaten!$A222="Geprüft",Programme_Grunddaten!P222&lt;&gt;""),IF(Programme_Grunddaten!P222="Ja",1,0),"")</f>
        <v/>
      </c>
      <c r="J217" s="1" t="str">
        <f>IF(AND(Programme_Grunddaten!$A222="Geprüft",Programme_Grunddaten!Q222&lt;&gt;""),IF(Programme_Grunddaten!Q222="geschlossenes System",1,0),"")</f>
        <v/>
      </c>
      <c r="K217" s="1" t="str">
        <f>IF(AND(Programme_Grunddaten!$A222="Geprüft",Programme_Grunddaten!R222&lt;&gt;""),IF(Programme_Grunddaten!R222="Ja",1,0),"")</f>
        <v/>
      </c>
      <c r="L217" s="1" t="str">
        <f>IF(AND(Programme_Grunddaten!$A222="Geprüft",Programme_Grunddaten!T222&lt;&gt;""),IF(Programme_Grunddaten!T222="Ja",1,0),"")</f>
        <v/>
      </c>
      <c r="M217" s="1" t="str">
        <f>IF(AND(Programme_Grunddaten!$A222="Geprüft",Programme_Grunddaten!U222&lt;&gt;""),IF(Programme_Grunddaten!U222="Ja",1,0),"")</f>
        <v/>
      </c>
      <c r="N217" s="1" t="str">
        <f>IF(AND(Programme_Grunddaten!$A222="Geprüft",Programme_Grunddaten!V222&lt;&gt;""),IF(Programme_Grunddaten!V222="Ja",1,0),"")</f>
        <v/>
      </c>
      <c r="O217" s="1" t="str">
        <f>IF(AND(Programme_Grunddaten!$A222="Geprüft",Programme_Grunddaten!W222&lt;&gt;""),IF(Programme_Grunddaten!W222="Ja",1,0),"")</f>
        <v/>
      </c>
      <c r="P217" s="1" t="str">
        <f>IF(AND(Programme_Grunddaten!$A222="Geprüft",Programme_Grunddaten!X222&lt;&gt;""),IF(Programme_Grunddaten!X222="Ja",1,0),"")</f>
        <v/>
      </c>
      <c r="Q217" s="1" t="str">
        <f>IF(AND(Programme_Grunddaten!$A222="Geprüft",Programme_Grunddaten!Y222&lt;&gt;""),IF(Programme_Grunddaten!Y222="Ja",1,0),"")</f>
        <v/>
      </c>
      <c r="R217" s="1" t="str">
        <f>IF(AND(Programme_Grunddaten!$A222="Geprüft",Programme_Grunddaten!Z222&lt;&gt;""),IF(Programme_Grunddaten!Z222="Ja",1,0),"")</f>
        <v/>
      </c>
      <c r="S217" s="1" t="str">
        <f>IF(AND(Programme_Grunddaten!$A222="Geprüft",Programme_Grunddaten!AA222&lt;&gt;""),IF(Programme_Grunddaten!AA222="monolithisch",1,0),"")</f>
        <v/>
      </c>
      <c r="T217" s="1" t="str">
        <f>IF(AND(Programme_Grunddaten!$A222="Geprüft",Programme_Grunddaten!AB222&lt;&gt;""),IF(Programme_Grunddaten!AB222="Ja",1,0),"")</f>
        <v/>
      </c>
      <c r="U217" s="1" t="str">
        <f>IF(AND(Programme_Grunddaten!$A222="Geprüft",Programme_Grunddaten!AC222&lt;&gt;""),IF(Programme_Grunddaten!AC222="Ja",1,0),"")</f>
        <v/>
      </c>
      <c r="V217" s="1" t="str">
        <f>IF(AND(Programme_Grunddaten!$A222="Geprüft",Programme_Grunddaten!AD222&lt;&gt;""),IF(Programme_Grunddaten!AD222="Ja",1,0),"")</f>
        <v/>
      </c>
      <c r="W217" s="1" t="str">
        <f>IF(AND(Programme_Grunddaten!$A222="Geprüft",Programme_Grunddaten!AE222&lt;&gt;""),IF(Programme_Grunddaten!AE222="Ja",1,0),"")</f>
        <v/>
      </c>
      <c r="X217" s="1" t="str">
        <f>IF(AND(Programme_Grunddaten!$A222="Geprüft",Programme_Grunddaten!AF222&lt;&gt;""),IF(Programme_Grunddaten!AF222="Ja",1,0),"")</f>
        <v/>
      </c>
      <c r="Y217" s="1" t="str">
        <f>IF(AND(Programme_Grunddaten!$A222="Geprüft",Programme_Grunddaten!AG222&lt;&gt;""),IF(Programme_Grunddaten!AG222="Ja",1,0),"")</f>
        <v/>
      </c>
      <c r="Z217" s="1" t="str">
        <f>IF(AND(Programme_Grunddaten!$A222="Geprüft",Programme_Grunddaten!AH222&lt;&gt;""),IF(Programme_Grunddaten!AH222="Ja",1,0),"")</f>
        <v/>
      </c>
      <c r="AA217" s="1" t="str">
        <f>IF(AND(Programme_Grunddaten!$A222="Geprüft",Programme_Grunddaten!AI222&lt;&gt;""),IF(Programme_Grunddaten!AI222="Ja",1,0),"")</f>
        <v/>
      </c>
      <c r="AB217" s="1" t="str">
        <f>IF(AND(Programme_Grunddaten!$A222="Geprüft",Programme_Grunddaten!AJ222&lt;&gt;""),IF(Programme_Grunddaten!AJ222="individuell programmierbar",1,0),"")</f>
        <v/>
      </c>
      <c r="AC217" s="1" t="str">
        <f>IF(AND(Programme_Grunddaten!$A222="Geprüft",Programme_Grunddaten!AK222&lt;&gt;""),IF(Programme_Grunddaten!AK222="Deutsch",0,IF(Programme_Grunddaten!AK222="Deutsch und Englisch",1,2)),"")</f>
        <v/>
      </c>
      <c r="AD217" s="1" t="str">
        <f>IF(AND(Programme_Grunddaten!$A222="Geprüft",Programme_Grunddaten!AL222&lt;&gt;""),IF(Programme_Grunddaten!AL222="Ja",1,0),"")</f>
        <v/>
      </c>
      <c r="AE217" s="1" t="str">
        <f>IF(AND(Programme_Grunddaten!$A222="Geprüft",Programme_Grunddaten!AM222&lt;&gt;""),IF(Programme_Grunddaten!AM222="Ja",1,0),"")</f>
        <v/>
      </c>
      <c r="AF217" s="1" t="str">
        <f>IF(AND(Programme_Grunddaten!$A222="Geprüft",Programme_Grunddaten!AN222&lt;&gt;""),IF(Programme_Grunddaten!AN222="Ja",1,0),"")</f>
        <v/>
      </c>
      <c r="AG217" s="1" t="str">
        <f>IF(AND(Programme_Grunddaten!$A222="Geprüft",Programme_Grunddaten!AO222&lt;&gt;""),IF(Programme_Grunddaten!AO222="Ja",1,0),"")</f>
        <v/>
      </c>
      <c r="AH217" s="1" t="str">
        <f>IF(AND(Programme_Grunddaten!$A222="Geprüft",Programme_Grunddaten!AP222&lt;&gt;""),IF(Programme_Grunddaten!AP222="Ja",1,0),"")</f>
        <v/>
      </c>
      <c r="AI217" s="1" t="str">
        <f>IF(AND(Programme_Grunddaten!$A222="Geprüft",Programme_Grunddaten!AQ222&lt;&gt;""),IF(Programme_Grunddaten!AQ222="Ja",1,0),"")</f>
        <v/>
      </c>
      <c r="AJ217" s="1" t="str">
        <f>IF(AND(Programme_Grunddaten!$A222="Geprüft",Programme_Grunddaten!AR222&lt;&gt;""),IF(Programme_Grunddaten!AR222="Ja",1,0),"")</f>
        <v/>
      </c>
      <c r="AK217" s="1" t="str">
        <f>IF(AND(Programme_Grunddaten!$A222="Geprüft",Programme_Grunddaten!AS222&lt;&gt;""),IF(Programme_Grunddaten!AS222="Ja",1,0),"")</f>
        <v/>
      </c>
      <c r="AL217" s="1" t="str">
        <f>IF(AND(Programme_Grunddaten!$A222="Geprüft",Programme_Grunddaten!AT222&lt;&gt;""),IF(Programme_Grunddaten!AT222="Ja",1,0),"")</f>
        <v/>
      </c>
      <c r="AM217" s="1" t="str">
        <f>IF(AND(Programme_Grunddaten!$A222="Geprüft",Programme_Grunddaten!AU222&lt;&gt;""),IF(Programme_Grunddaten!AU222="Ja",1,0),"")</f>
        <v/>
      </c>
      <c r="AN217" s="1" t="str">
        <f>IF(AND(Programme_Grunddaten!$A222="Geprüft",Programme_Grunddaten!AV222&lt;&gt;""),IF(Programme_Grunddaten!AV222="Ja",1,0),"")</f>
        <v/>
      </c>
    </row>
    <row r="218" spans="1:40" x14ac:dyDescent="0.3">
      <c r="A218" s="1" t="str">
        <f>IF(AND(Programme_Grunddaten!A223="Geprüft",Programme_Grunddaten!B223&lt;&gt;""),Programme_Grunddaten!B223,"")</f>
        <v/>
      </c>
      <c r="B218" s="1" t="str">
        <f>IF(AND(Programme_Grunddaten!$A223="Geprüft",Programme_Grunddaten!I223&lt;&gt;""),IF(Programme_Grunddaten!I223="Ja",1,0),"")</f>
        <v/>
      </c>
      <c r="C218" s="1" t="str">
        <f>IF(AND(Programme_Grunddaten!$A223="Geprüft",Programme_Grunddaten!J223&lt;&gt;""),IF(Programme_Grunddaten!J223="Ja",1,0),"")</f>
        <v/>
      </c>
      <c r="D218" s="1" t="str">
        <f>IF(AND(Programme_Grunddaten!$A223="Geprüft",Programme_Grunddaten!K223&lt;&gt;""),IF(Programme_Grunddaten!K223="Ja",1,0),"")</f>
        <v/>
      </c>
      <c r="E218" s="1" t="str">
        <f>IF(AND(Programme_Grunddaten!$A223="Geprüft",Programme_Grunddaten!L223&lt;&gt;""),IF(Programme_Grunddaten!L223="Abo / befristete Lizenz",1,0),"")</f>
        <v/>
      </c>
      <c r="F218" s="1" t="str">
        <f>IF(AND(Programme_Grunddaten!$A223="Geprüft",Programme_Grunddaten!M223&lt;&gt;""),IF(Programme_Grunddaten!M223="Ja",1,0),"")</f>
        <v/>
      </c>
      <c r="G218" s="1" t="str">
        <f>IF(AND(Programme_Grunddaten!$A223="Geprüft",Programme_Grunddaten!N223&lt;&gt;""),IF(Programme_Grunddaten!N223="Ja",1,0),"")</f>
        <v/>
      </c>
      <c r="H218" s="1" t="str">
        <f>IF(AND(Programme_Grunddaten!$A223="Geprüft",Programme_Grunddaten!O223&lt;&gt;""),IF(Programme_Grunddaten!O223="Deutschland",0,IF(Programme_Grunddaten!O223="EU",1,2)),"")</f>
        <v/>
      </c>
      <c r="I218" s="1" t="str">
        <f>IF(AND(Programme_Grunddaten!$A223="Geprüft",Programme_Grunddaten!P223&lt;&gt;""),IF(Programme_Grunddaten!P223="Ja",1,0),"")</f>
        <v/>
      </c>
      <c r="J218" s="1" t="str">
        <f>IF(AND(Programme_Grunddaten!$A223="Geprüft",Programme_Grunddaten!Q223&lt;&gt;""),IF(Programme_Grunddaten!Q223="geschlossenes System",1,0),"")</f>
        <v/>
      </c>
      <c r="K218" s="1" t="str">
        <f>IF(AND(Programme_Grunddaten!$A223="Geprüft",Programme_Grunddaten!R223&lt;&gt;""),IF(Programme_Grunddaten!R223="Ja",1,0),"")</f>
        <v/>
      </c>
      <c r="L218" s="1" t="str">
        <f>IF(AND(Programme_Grunddaten!$A223="Geprüft",Programme_Grunddaten!T223&lt;&gt;""),IF(Programme_Grunddaten!T223="Ja",1,0),"")</f>
        <v/>
      </c>
      <c r="M218" s="1" t="str">
        <f>IF(AND(Programme_Grunddaten!$A223="Geprüft",Programme_Grunddaten!U223&lt;&gt;""),IF(Programme_Grunddaten!U223="Ja",1,0),"")</f>
        <v/>
      </c>
      <c r="N218" s="1" t="str">
        <f>IF(AND(Programme_Grunddaten!$A223="Geprüft",Programme_Grunddaten!V223&lt;&gt;""),IF(Programme_Grunddaten!V223="Ja",1,0),"")</f>
        <v/>
      </c>
      <c r="O218" s="1" t="str">
        <f>IF(AND(Programme_Grunddaten!$A223="Geprüft",Programme_Grunddaten!W223&lt;&gt;""),IF(Programme_Grunddaten!W223="Ja",1,0),"")</f>
        <v/>
      </c>
      <c r="P218" s="1" t="str">
        <f>IF(AND(Programme_Grunddaten!$A223="Geprüft",Programme_Grunddaten!X223&lt;&gt;""),IF(Programme_Grunddaten!X223="Ja",1,0),"")</f>
        <v/>
      </c>
      <c r="Q218" s="1" t="str">
        <f>IF(AND(Programme_Grunddaten!$A223="Geprüft",Programme_Grunddaten!Y223&lt;&gt;""),IF(Programme_Grunddaten!Y223="Ja",1,0),"")</f>
        <v/>
      </c>
      <c r="R218" s="1" t="str">
        <f>IF(AND(Programme_Grunddaten!$A223="Geprüft",Programme_Grunddaten!Z223&lt;&gt;""),IF(Programme_Grunddaten!Z223="Ja",1,0),"")</f>
        <v/>
      </c>
      <c r="S218" s="1" t="str">
        <f>IF(AND(Programme_Grunddaten!$A223="Geprüft",Programme_Grunddaten!AA223&lt;&gt;""),IF(Programme_Grunddaten!AA223="monolithisch",1,0),"")</f>
        <v/>
      </c>
      <c r="T218" s="1" t="str">
        <f>IF(AND(Programme_Grunddaten!$A223="Geprüft",Programme_Grunddaten!AB223&lt;&gt;""),IF(Programme_Grunddaten!AB223="Ja",1,0),"")</f>
        <v/>
      </c>
      <c r="U218" s="1" t="str">
        <f>IF(AND(Programme_Grunddaten!$A223="Geprüft",Programme_Grunddaten!AC223&lt;&gt;""),IF(Programme_Grunddaten!AC223="Ja",1,0),"")</f>
        <v/>
      </c>
      <c r="V218" s="1" t="str">
        <f>IF(AND(Programme_Grunddaten!$A223="Geprüft",Programme_Grunddaten!AD223&lt;&gt;""),IF(Programme_Grunddaten!AD223="Ja",1,0),"")</f>
        <v/>
      </c>
      <c r="W218" s="1" t="str">
        <f>IF(AND(Programme_Grunddaten!$A223="Geprüft",Programme_Grunddaten!AE223&lt;&gt;""),IF(Programme_Grunddaten!AE223="Ja",1,0),"")</f>
        <v/>
      </c>
      <c r="X218" s="1" t="str">
        <f>IF(AND(Programme_Grunddaten!$A223="Geprüft",Programme_Grunddaten!AF223&lt;&gt;""),IF(Programme_Grunddaten!AF223="Ja",1,0),"")</f>
        <v/>
      </c>
      <c r="Y218" s="1" t="str">
        <f>IF(AND(Programme_Grunddaten!$A223="Geprüft",Programme_Grunddaten!AG223&lt;&gt;""),IF(Programme_Grunddaten!AG223="Ja",1,0),"")</f>
        <v/>
      </c>
      <c r="Z218" s="1" t="str">
        <f>IF(AND(Programme_Grunddaten!$A223="Geprüft",Programme_Grunddaten!AH223&lt;&gt;""),IF(Programme_Grunddaten!AH223="Ja",1,0),"")</f>
        <v/>
      </c>
      <c r="AA218" s="1" t="str">
        <f>IF(AND(Programme_Grunddaten!$A223="Geprüft",Programme_Grunddaten!AI223&lt;&gt;""),IF(Programme_Grunddaten!AI223="Ja",1,0),"")</f>
        <v/>
      </c>
      <c r="AB218" s="1" t="str">
        <f>IF(AND(Programme_Grunddaten!$A223="Geprüft",Programme_Grunddaten!AJ223&lt;&gt;""),IF(Programme_Grunddaten!AJ223="individuell programmierbar",1,0),"")</f>
        <v/>
      </c>
      <c r="AC218" s="1" t="str">
        <f>IF(AND(Programme_Grunddaten!$A223="Geprüft",Programme_Grunddaten!AK223&lt;&gt;""),IF(Programme_Grunddaten!AK223="Deutsch",0,IF(Programme_Grunddaten!AK223="Deutsch und Englisch",1,2)),"")</f>
        <v/>
      </c>
      <c r="AD218" s="1" t="str">
        <f>IF(AND(Programme_Grunddaten!$A223="Geprüft",Programme_Grunddaten!AL223&lt;&gt;""),IF(Programme_Grunddaten!AL223="Ja",1,0),"")</f>
        <v/>
      </c>
      <c r="AE218" s="1" t="str">
        <f>IF(AND(Programme_Grunddaten!$A223="Geprüft",Programme_Grunddaten!AM223&lt;&gt;""),IF(Programme_Grunddaten!AM223="Ja",1,0),"")</f>
        <v/>
      </c>
      <c r="AF218" s="1" t="str">
        <f>IF(AND(Programme_Grunddaten!$A223="Geprüft",Programme_Grunddaten!AN223&lt;&gt;""),IF(Programme_Grunddaten!AN223="Ja",1,0),"")</f>
        <v/>
      </c>
      <c r="AG218" s="1" t="str">
        <f>IF(AND(Programme_Grunddaten!$A223="Geprüft",Programme_Grunddaten!AO223&lt;&gt;""),IF(Programme_Grunddaten!AO223="Ja",1,0),"")</f>
        <v/>
      </c>
      <c r="AH218" s="1" t="str">
        <f>IF(AND(Programme_Grunddaten!$A223="Geprüft",Programme_Grunddaten!AP223&lt;&gt;""),IF(Programme_Grunddaten!AP223="Ja",1,0),"")</f>
        <v/>
      </c>
      <c r="AI218" s="1" t="str">
        <f>IF(AND(Programme_Grunddaten!$A223="Geprüft",Programme_Grunddaten!AQ223&lt;&gt;""),IF(Programme_Grunddaten!AQ223="Ja",1,0),"")</f>
        <v/>
      </c>
      <c r="AJ218" s="1" t="str">
        <f>IF(AND(Programme_Grunddaten!$A223="Geprüft",Programme_Grunddaten!AR223&lt;&gt;""),IF(Programme_Grunddaten!AR223="Ja",1,0),"")</f>
        <v/>
      </c>
      <c r="AK218" s="1" t="str">
        <f>IF(AND(Programme_Grunddaten!$A223="Geprüft",Programme_Grunddaten!AS223&lt;&gt;""),IF(Programme_Grunddaten!AS223="Ja",1,0),"")</f>
        <v/>
      </c>
      <c r="AL218" s="1" t="str">
        <f>IF(AND(Programme_Grunddaten!$A223="Geprüft",Programme_Grunddaten!AT223&lt;&gt;""),IF(Programme_Grunddaten!AT223="Ja",1,0),"")</f>
        <v/>
      </c>
      <c r="AM218" s="1" t="str">
        <f>IF(AND(Programme_Grunddaten!$A223="Geprüft",Programme_Grunddaten!AU223&lt;&gt;""),IF(Programme_Grunddaten!AU223="Ja",1,0),"")</f>
        <v/>
      </c>
      <c r="AN218" s="1" t="str">
        <f>IF(AND(Programme_Grunddaten!$A223="Geprüft",Programme_Grunddaten!AV223&lt;&gt;""),IF(Programme_Grunddaten!AV223="Ja",1,0),"")</f>
        <v/>
      </c>
    </row>
    <row r="219" spans="1:40" x14ac:dyDescent="0.3">
      <c r="A219" s="1" t="str">
        <f>IF(AND(Programme_Grunddaten!A224="Geprüft",Programme_Grunddaten!B224&lt;&gt;""),Programme_Grunddaten!B224,"")</f>
        <v/>
      </c>
      <c r="B219" s="1" t="str">
        <f>IF(AND(Programme_Grunddaten!$A224="Geprüft",Programme_Grunddaten!I224&lt;&gt;""),IF(Programme_Grunddaten!I224="Ja",1,0),"")</f>
        <v/>
      </c>
      <c r="C219" s="1" t="str">
        <f>IF(AND(Programme_Grunddaten!$A224="Geprüft",Programme_Grunddaten!J224&lt;&gt;""),IF(Programme_Grunddaten!J224="Ja",1,0),"")</f>
        <v/>
      </c>
      <c r="D219" s="1" t="str">
        <f>IF(AND(Programme_Grunddaten!$A224="Geprüft",Programme_Grunddaten!K224&lt;&gt;""),IF(Programme_Grunddaten!K224="Ja",1,0),"")</f>
        <v/>
      </c>
      <c r="E219" s="1" t="str">
        <f>IF(AND(Programme_Grunddaten!$A224="Geprüft",Programme_Grunddaten!L224&lt;&gt;""),IF(Programme_Grunddaten!L224="Abo / befristete Lizenz",1,0),"")</f>
        <v/>
      </c>
      <c r="F219" s="1" t="str">
        <f>IF(AND(Programme_Grunddaten!$A224="Geprüft",Programme_Grunddaten!M224&lt;&gt;""),IF(Programme_Grunddaten!M224="Ja",1,0),"")</f>
        <v/>
      </c>
      <c r="G219" s="1" t="str">
        <f>IF(AND(Programme_Grunddaten!$A224="Geprüft",Programme_Grunddaten!N224&lt;&gt;""),IF(Programme_Grunddaten!N224="Ja",1,0),"")</f>
        <v/>
      </c>
      <c r="H219" s="1" t="str">
        <f>IF(AND(Programme_Grunddaten!$A224="Geprüft",Programme_Grunddaten!O224&lt;&gt;""),IF(Programme_Grunddaten!O224="Deutschland",0,IF(Programme_Grunddaten!O224="EU",1,2)),"")</f>
        <v/>
      </c>
      <c r="I219" s="1" t="str">
        <f>IF(AND(Programme_Grunddaten!$A224="Geprüft",Programme_Grunddaten!P224&lt;&gt;""),IF(Programme_Grunddaten!P224="Ja",1,0),"")</f>
        <v/>
      </c>
      <c r="J219" s="1" t="str">
        <f>IF(AND(Programme_Grunddaten!$A224="Geprüft",Programme_Grunddaten!Q224&lt;&gt;""),IF(Programme_Grunddaten!Q224="geschlossenes System",1,0),"")</f>
        <v/>
      </c>
      <c r="K219" s="1" t="str">
        <f>IF(AND(Programme_Grunddaten!$A224="Geprüft",Programme_Grunddaten!R224&lt;&gt;""),IF(Programme_Grunddaten!R224="Ja",1,0),"")</f>
        <v/>
      </c>
      <c r="L219" s="1" t="str">
        <f>IF(AND(Programme_Grunddaten!$A224="Geprüft",Programme_Grunddaten!T224&lt;&gt;""),IF(Programme_Grunddaten!T224="Ja",1,0),"")</f>
        <v/>
      </c>
      <c r="M219" s="1" t="str">
        <f>IF(AND(Programme_Grunddaten!$A224="Geprüft",Programme_Grunddaten!U224&lt;&gt;""),IF(Programme_Grunddaten!U224="Ja",1,0),"")</f>
        <v/>
      </c>
      <c r="N219" s="1" t="str">
        <f>IF(AND(Programme_Grunddaten!$A224="Geprüft",Programme_Grunddaten!V224&lt;&gt;""),IF(Programme_Grunddaten!V224="Ja",1,0),"")</f>
        <v/>
      </c>
      <c r="O219" s="1" t="str">
        <f>IF(AND(Programme_Grunddaten!$A224="Geprüft",Programme_Grunddaten!W224&lt;&gt;""),IF(Programme_Grunddaten!W224="Ja",1,0),"")</f>
        <v/>
      </c>
      <c r="P219" s="1" t="str">
        <f>IF(AND(Programme_Grunddaten!$A224="Geprüft",Programme_Grunddaten!X224&lt;&gt;""),IF(Programme_Grunddaten!X224="Ja",1,0),"")</f>
        <v/>
      </c>
      <c r="Q219" s="1" t="str">
        <f>IF(AND(Programme_Grunddaten!$A224="Geprüft",Programme_Grunddaten!Y224&lt;&gt;""),IF(Programme_Grunddaten!Y224="Ja",1,0),"")</f>
        <v/>
      </c>
      <c r="R219" s="1" t="str">
        <f>IF(AND(Programme_Grunddaten!$A224="Geprüft",Programme_Grunddaten!Z224&lt;&gt;""),IF(Programme_Grunddaten!Z224="Ja",1,0),"")</f>
        <v/>
      </c>
      <c r="S219" s="1" t="str">
        <f>IF(AND(Programme_Grunddaten!$A224="Geprüft",Programme_Grunddaten!AA224&lt;&gt;""),IF(Programme_Grunddaten!AA224="monolithisch",1,0),"")</f>
        <v/>
      </c>
      <c r="T219" s="1" t="str">
        <f>IF(AND(Programme_Grunddaten!$A224="Geprüft",Programme_Grunddaten!AB224&lt;&gt;""),IF(Programme_Grunddaten!AB224="Ja",1,0),"")</f>
        <v/>
      </c>
      <c r="U219" s="1" t="str">
        <f>IF(AND(Programme_Grunddaten!$A224="Geprüft",Programme_Grunddaten!AC224&lt;&gt;""),IF(Programme_Grunddaten!AC224="Ja",1,0),"")</f>
        <v/>
      </c>
      <c r="V219" s="1" t="str">
        <f>IF(AND(Programme_Grunddaten!$A224="Geprüft",Programme_Grunddaten!AD224&lt;&gt;""),IF(Programme_Grunddaten!AD224="Ja",1,0),"")</f>
        <v/>
      </c>
      <c r="W219" s="1" t="str">
        <f>IF(AND(Programme_Grunddaten!$A224="Geprüft",Programme_Grunddaten!AE224&lt;&gt;""),IF(Programme_Grunddaten!AE224="Ja",1,0),"")</f>
        <v/>
      </c>
      <c r="X219" s="1" t="str">
        <f>IF(AND(Programme_Grunddaten!$A224="Geprüft",Programme_Grunddaten!AF224&lt;&gt;""),IF(Programme_Grunddaten!AF224="Ja",1,0),"")</f>
        <v/>
      </c>
      <c r="Y219" s="1" t="str">
        <f>IF(AND(Programme_Grunddaten!$A224="Geprüft",Programme_Grunddaten!AG224&lt;&gt;""),IF(Programme_Grunddaten!AG224="Ja",1,0),"")</f>
        <v/>
      </c>
      <c r="Z219" s="1" t="str">
        <f>IF(AND(Programme_Grunddaten!$A224="Geprüft",Programme_Grunddaten!AH224&lt;&gt;""),IF(Programme_Grunddaten!AH224="Ja",1,0),"")</f>
        <v/>
      </c>
      <c r="AA219" s="1" t="str">
        <f>IF(AND(Programme_Grunddaten!$A224="Geprüft",Programme_Grunddaten!AI224&lt;&gt;""),IF(Programme_Grunddaten!AI224="Ja",1,0),"")</f>
        <v/>
      </c>
      <c r="AB219" s="1" t="str">
        <f>IF(AND(Programme_Grunddaten!$A224="Geprüft",Programme_Grunddaten!AJ224&lt;&gt;""),IF(Programme_Grunddaten!AJ224="individuell programmierbar",1,0),"")</f>
        <v/>
      </c>
      <c r="AC219" s="1" t="str">
        <f>IF(AND(Programme_Grunddaten!$A224="Geprüft",Programme_Grunddaten!AK224&lt;&gt;""),IF(Programme_Grunddaten!AK224="Deutsch",0,IF(Programme_Grunddaten!AK224="Deutsch und Englisch",1,2)),"")</f>
        <v/>
      </c>
      <c r="AD219" s="1" t="str">
        <f>IF(AND(Programme_Grunddaten!$A224="Geprüft",Programme_Grunddaten!AL224&lt;&gt;""),IF(Programme_Grunddaten!AL224="Ja",1,0),"")</f>
        <v/>
      </c>
      <c r="AE219" s="1" t="str">
        <f>IF(AND(Programme_Grunddaten!$A224="Geprüft",Programme_Grunddaten!AM224&lt;&gt;""),IF(Programme_Grunddaten!AM224="Ja",1,0),"")</f>
        <v/>
      </c>
      <c r="AF219" s="1" t="str">
        <f>IF(AND(Programme_Grunddaten!$A224="Geprüft",Programme_Grunddaten!AN224&lt;&gt;""),IF(Programme_Grunddaten!AN224="Ja",1,0),"")</f>
        <v/>
      </c>
      <c r="AG219" s="1" t="str">
        <f>IF(AND(Programme_Grunddaten!$A224="Geprüft",Programme_Grunddaten!AO224&lt;&gt;""),IF(Programme_Grunddaten!AO224="Ja",1,0),"")</f>
        <v/>
      </c>
      <c r="AH219" s="1" t="str">
        <f>IF(AND(Programme_Grunddaten!$A224="Geprüft",Programme_Grunddaten!AP224&lt;&gt;""),IF(Programme_Grunddaten!AP224="Ja",1,0),"")</f>
        <v/>
      </c>
      <c r="AI219" s="1" t="str">
        <f>IF(AND(Programme_Grunddaten!$A224="Geprüft",Programme_Grunddaten!AQ224&lt;&gt;""),IF(Programme_Grunddaten!AQ224="Ja",1,0),"")</f>
        <v/>
      </c>
      <c r="AJ219" s="1" t="str">
        <f>IF(AND(Programme_Grunddaten!$A224="Geprüft",Programme_Grunddaten!AR224&lt;&gt;""),IF(Programme_Grunddaten!AR224="Ja",1,0),"")</f>
        <v/>
      </c>
      <c r="AK219" s="1" t="str">
        <f>IF(AND(Programme_Grunddaten!$A224="Geprüft",Programme_Grunddaten!AS224&lt;&gt;""),IF(Programme_Grunddaten!AS224="Ja",1,0),"")</f>
        <v/>
      </c>
      <c r="AL219" s="1" t="str">
        <f>IF(AND(Programme_Grunddaten!$A224="Geprüft",Programme_Grunddaten!AT224&lt;&gt;""),IF(Programme_Grunddaten!AT224="Ja",1,0),"")</f>
        <v/>
      </c>
      <c r="AM219" s="1" t="str">
        <f>IF(AND(Programme_Grunddaten!$A224="Geprüft",Programme_Grunddaten!AU224&lt;&gt;""),IF(Programme_Grunddaten!AU224="Ja",1,0),"")</f>
        <v/>
      </c>
      <c r="AN219" s="1" t="str">
        <f>IF(AND(Programme_Grunddaten!$A224="Geprüft",Programme_Grunddaten!AV224&lt;&gt;""),IF(Programme_Grunddaten!AV224="Ja",1,0),"")</f>
        <v/>
      </c>
    </row>
    <row r="220" spans="1:40" x14ac:dyDescent="0.3">
      <c r="A220" s="1" t="str">
        <f>IF(AND(Programme_Grunddaten!A225="Geprüft",Programme_Grunddaten!B225&lt;&gt;""),Programme_Grunddaten!B225,"")</f>
        <v/>
      </c>
      <c r="B220" s="1" t="str">
        <f>IF(AND(Programme_Grunddaten!$A225="Geprüft",Programme_Grunddaten!I225&lt;&gt;""),IF(Programme_Grunddaten!I225="Ja",1,0),"")</f>
        <v/>
      </c>
      <c r="C220" s="1" t="str">
        <f>IF(AND(Programme_Grunddaten!$A225="Geprüft",Programme_Grunddaten!J225&lt;&gt;""),IF(Programme_Grunddaten!J225="Ja",1,0),"")</f>
        <v/>
      </c>
      <c r="D220" s="1" t="str">
        <f>IF(AND(Programme_Grunddaten!$A225="Geprüft",Programme_Grunddaten!K225&lt;&gt;""),IF(Programme_Grunddaten!K225="Ja",1,0),"")</f>
        <v/>
      </c>
      <c r="E220" s="1" t="str">
        <f>IF(AND(Programme_Grunddaten!$A225="Geprüft",Programme_Grunddaten!L225&lt;&gt;""),IF(Programme_Grunddaten!L225="Abo / befristete Lizenz",1,0),"")</f>
        <v/>
      </c>
      <c r="F220" s="1" t="str">
        <f>IF(AND(Programme_Grunddaten!$A225="Geprüft",Programme_Grunddaten!M225&lt;&gt;""),IF(Programme_Grunddaten!M225="Ja",1,0),"")</f>
        <v/>
      </c>
      <c r="G220" s="1" t="str">
        <f>IF(AND(Programme_Grunddaten!$A225="Geprüft",Programme_Grunddaten!N225&lt;&gt;""),IF(Programme_Grunddaten!N225="Ja",1,0),"")</f>
        <v/>
      </c>
      <c r="H220" s="1" t="str">
        <f>IF(AND(Programme_Grunddaten!$A225="Geprüft",Programme_Grunddaten!O225&lt;&gt;""),IF(Programme_Grunddaten!O225="Deutschland",0,IF(Programme_Grunddaten!O225="EU",1,2)),"")</f>
        <v/>
      </c>
      <c r="I220" s="1" t="str">
        <f>IF(AND(Programme_Grunddaten!$A225="Geprüft",Programme_Grunddaten!P225&lt;&gt;""),IF(Programme_Grunddaten!P225="Ja",1,0),"")</f>
        <v/>
      </c>
      <c r="J220" s="1" t="str">
        <f>IF(AND(Programme_Grunddaten!$A225="Geprüft",Programme_Grunddaten!Q225&lt;&gt;""),IF(Programme_Grunddaten!Q225="geschlossenes System",1,0),"")</f>
        <v/>
      </c>
      <c r="K220" s="1" t="str">
        <f>IF(AND(Programme_Grunddaten!$A225="Geprüft",Programme_Grunddaten!R225&lt;&gt;""),IF(Programme_Grunddaten!R225="Ja",1,0),"")</f>
        <v/>
      </c>
      <c r="L220" s="1" t="str">
        <f>IF(AND(Programme_Grunddaten!$A225="Geprüft",Programme_Grunddaten!T225&lt;&gt;""),IF(Programme_Grunddaten!T225="Ja",1,0),"")</f>
        <v/>
      </c>
      <c r="M220" s="1" t="str">
        <f>IF(AND(Programme_Grunddaten!$A225="Geprüft",Programme_Grunddaten!U225&lt;&gt;""),IF(Programme_Grunddaten!U225="Ja",1,0),"")</f>
        <v/>
      </c>
      <c r="N220" s="1" t="str">
        <f>IF(AND(Programme_Grunddaten!$A225="Geprüft",Programme_Grunddaten!V225&lt;&gt;""),IF(Programme_Grunddaten!V225="Ja",1,0),"")</f>
        <v/>
      </c>
      <c r="O220" s="1" t="str">
        <f>IF(AND(Programme_Grunddaten!$A225="Geprüft",Programme_Grunddaten!W225&lt;&gt;""),IF(Programme_Grunddaten!W225="Ja",1,0),"")</f>
        <v/>
      </c>
      <c r="P220" s="1" t="str">
        <f>IF(AND(Programme_Grunddaten!$A225="Geprüft",Programme_Grunddaten!X225&lt;&gt;""),IF(Programme_Grunddaten!X225="Ja",1,0),"")</f>
        <v/>
      </c>
      <c r="Q220" s="1" t="str">
        <f>IF(AND(Programme_Grunddaten!$A225="Geprüft",Programme_Grunddaten!Y225&lt;&gt;""),IF(Programme_Grunddaten!Y225="Ja",1,0),"")</f>
        <v/>
      </c>
      <c r="R220" s="1" t="str">
        <f>IF(AND(Programme_Grunddaten!$A225="Geprüft",Programme_Grunddaten!Z225&lt;&gt;""),IF(Programme_Grunddaten!Z225="Ja",1,0),"")</f>
        <v/>
      </c>
      <c r="S220" s="1" t="str">
        <f>IF(AND(Programme_Grunddaten!$A225="Geprüft",Programme_Grunddaten!AA225&lt;&gt;""),IF(Programme_Grunddaten!AA225="monolithisch",1,0),"")</f>
        <v/>
      </c>
      <c r="T220" s="1" t="str">
        <f>IF(AND(Programme_Grunddaten!$A225="Geprüft",Programme_Grunddaten!AB225&lt;&gt;""),IF(Programme_Grunddaten!AB225="Ja",1,0),"")</f>
        <v/>
      </c>
      <c r="U220" s="1" t="str">
        <f>IF(AND(Programme_Grunddaten!$A225="Geprüft",Programme_Grunddaten!AC225&lt;&gt;""),IF(Programme_Grunddaten!AC225="Ja",1,0),"")</f>
        <v/>
      </c>
      <c r="V220" s="1" t="str">
        <f>IF(AND(Programme_Grunddaten!$A225="Geprüft",Programme_Grunddaten!AD225&lt;&gt;""),IF(Programme_Grunddaten!AD225="Ja",1,0),"")</f>
        <v/>
      </c>
      <c r="W220" s="1" t="str">
        <f>IF(AND(Programme_Grunddaten!$A225="Geprüft",Programme_Grunddaten!AE225&lt;&gt;""),IF(Programme_Grunddaten!AE225="Ja",1,0),"")</f>
        <v/>
      </c>
      <c r="X220" s="1" t="str">
        <f>IF(AND(Programme_Grunddaten!$A225="Geprüft",Programme_Grunddaten!AF225&lt;&gt;""),IF(Programme_Grunddaten!AF225="Ja",1,0),"")</f>
        <v/>
      </c>
      <c r="Y220" s="1" t="str">
        <f>IF(AND(Programme_Grunddaten!$A225="Geprüft",Programme_Grunddaten!AG225&lt;&gt;""),IF(Programme_Grunddaten!AG225="Ja",1,0),"")</f>
        <v/>
      </c>
      <c r="Z220" s="1" t="str">
        <f>IF(AND(Programme_Grunddaten!$A225="Geprüft",Programme_Grunddaten!AH225&lt;&gt;""),IF(Programme_Grunddaten!AH225="Ja",1,0),"")</f>
        <v/>
      </c>
      <c r="AA220" s="1" t="str">
        <f>IF(AND(Programme_Grunddaten!$A225="Geprüft",Programme_Grunddaten!AI225&lt;&gt;""),IF(Programme_Grunddaten!AI225="Ja",1,0),"")</f>
        <v/>
      </c>
      <c r="AB220" s="1" t="str">
        <f>IF(AND(Programme_Grunddaten!$A225="Geprüft",Programme_Grunddaten!AJ225&lt;&gt;""),IF(Programme_Grunddaten!AJ225="individuell programmierbar",1,0),"")</f>
        <v/>
      </c>
      <c r="AC220" s="1" t="str">
        <f>IF(AND(Programme_Grunddaten!$A225="Geprüft",Programme_Grunddaten!AK225&lt;&gt;""),IF(Programme_Grunddaten!AK225="Deutsch",0,IF(Programme_Grunddaten!AK225="Deutsch und Englisch",1,2)),"")</f>
        <v/>
      </c>
      <c r="AD220" s="1" t="str">
        <f>IF(AND(Programme_Grunddaten!$A225="Geprüft",Programme_Grunddaten!AL225&lt;&gt;""),IF(Programme_Grunddaten!AL225="Ja",1,0),"")</f>
        <v/>
      </c>
      <c r="AE220" s="1" t="str">
        <f>IF(AND(Programme_Grunddaten!$A225="Geprüft",Programme_Grunddaten!AM225&lt;&gt;""),IF(Programme_Grunddaten!AM225="Ja",1,0),"")</f>
        <v/>
      </c>
      <c r="AF220" s="1" t="str">
        <f>IF(AND(Programme_Grunddaten!$A225="Geprüft",Programme_Grunddaten!AN225&lt;&gt;""),IF(Programme_Grunddaten!AN225="Ja",1,0),"")</f>
        <v/>
      </c>
      <c r="AG220" s="1" t="str">
        <f>IF(AND(Programme_Grunddaten!$A225="Geprüft",Programme_Grunddaten!AO225&lt;&gt;""),IF(Programme_Grunddaten!AO225="Ja",1,0),"")</f>
        <v/>
      </c>
      <c r="AH220" s="1" t="str">
        <f>IF(AND(Programme_Grunddaten!$A225="Geprüft",Programme_Grunddaten!AP225&lt;&gt;""),IF(Programme_Grunddaten!AP225="Ja",1,0),"")</f>
        <v/>
      </c>
      <c r="AI220" s="1" t="str">
        <f>IF(AND(Programme_Grunddaten!$A225="Geprüft",Programme_Grunddaten!AQ225&lt;&gt;""),IF(Programme_Grunddaten!AQ225="Ja",1,0),"")</f>
        <v/>
      </c>
      <c r="AJ220" s="1" t="str">
        <f>IF(AND(Programme_Grunddaten!$A225="Geprüft",Programme_Grunddaten!AR225&lt;&gt;""),IF(Programme_Grunddaten!AR225="Ja",1,0),"")</f>
        <v/>
      </c>
      <c r="AK220" s="1" t="str">
        <f>IF(AND(Programme_Grunddaten!$A225="Geprüft",Programme_Grunddaten!AS225&lt;&gt;""),IF(Programme_Grunddaten!AS225="Ja",1,0),"")</f>
        <v/>
      </c>
      <c r="AL220" s="1" t="str">
        <f>IF(AND(Programme_Grunddaten!$A225="Geprüft",Programme_Grunddaten!AT225&lt;&gt;""),IF(Programme_Grunddaten!AT225="Ja",1,0),"")</f>
        <v/>
      </c>
      <c r="AM220" s="1" t="str">
        <f>IF(AND(Programme_Grunddaten!$A225="Geprüft",Programme_Grunddaten!AU225&lt;&gt;""),IF(Programme_Grunddaten!AU225="Ja",1,0),"")</f>
        <v/>
      </c>
      <c r="AN220" s="1" t="str">
        <f>IF(AND(Programme_Grunddaten!$A225="Geprüft",Programme_Grunddaten!AV225&lt;&gt;""),IF(Programme_Grunddaten!AV225="Ja",1,0),"")</f>
        <v/>
      </c>
    </row>
    <row r="221" spans="1:40" x14ac:dyDescent="0.3">
      <c r="A221" s="1" t="str">
        <f>IF(AND(Programme_Grunddaten!A226="Geprüft",Programme_Grunddaten!B226&lt;&gt;""),Programme_Grunddaten!B226,"")</f>
        <v/>
      </c>
      <c r="B221" s="1" t="str">
        <f>IF(AND(Programme_Grunddaten!$A226="Geprüft",Programme_Grunddaten!I226&lt;&gt;""),IF(Programme_Grunddaten!I226="Ja",1,0),"")</f>
        <v/>
      </c>
      <c r="C221" s="1" t="str">
        <f>IF(AND(Programme_Grunddaten!$A226="Geprüft",Programme_Grunddaten!J226&lt;&gt;""),IF(Programme_Grunddaten!J226="Ja",1,0),"")</f>
        <v/>
      </c>
      <c r="D221" s="1" t="str">
        <f>IF(AND(Programme_Grunddaten!$A226="Geprüft",Programme_Grunddaten!K226&lt;&gt;""),IF(Programme_Grunddaten!K226="Ja",1,0),"")</f>
        <v/>
      </c>
      <c r="E221" s="1" t="str">
        <f>IF(AND(Programme_Grunddaten!$A226="Geprüft",Programme_Grunddaten!L226&lt;&gt;""),IF(Programme_Grunddaten!L226="Abo / befristete Lizenz",1,0),"")</f>
        <v/>
      </c>
      <c r="F221" s="1" t="str">
        <f>IF(AND(Programme_Grunddaten!$A226="Geprüft",Programme_Grunddaten!M226&lt;&gt;""),IF(Programme_Grunddaten!M226="Ja",1,0),"")</f>
        <v/>
      </c>
      <c r="G221" s="1" t="str">
        <f>IF(AND(Programme_Grunddaten!$A226="Geprüft",Programme_Grunddaten!N226&lt;&gt;""),IF(Programme_Grunddaten!N226="Ja",1,0),"")</f>
        <v/>
      </c>
      <c r="H221" s="1" t="str">
        <f>IF(AND(Programme_Grunddaten!$A226="Geprüft",Programme_Grunddaten!O226&lt;&gt;""),IF(Programme_Grunddaten!O226="Deutschland",0,IF(Programme_Grunddaten!O226="EU",1,2)),"")</f>
        <v/>
      </c>
      <c r="I221" s="1" t="str">
        <f>IF(AND(Programme_Grunddaten!$A226="Geprüft",Programme_Grunddaten!P226&lt;&gt;""),IF(Programme_Grunddaten!P226="Ja",1,0),"")</f>
        <v/>
      </c>
      <c r="J221" s="1" t="str">
        <f>IF(AND(Programme_Grunddaten!$A226="Geprüft",Programme_Grunddaten!Q226&lt;&gt;""),IF(Programme_Grunddaten!Q226="geschlossenes System",1,0),"")</f>
        <v/>
      </c>
      <c r="K221" s="1" t="str">
        <f>IF(AND(Programme_Grunddaten!$A226="Geprüft",Programme_Grunddaten!R226&lt;&gt;""),IF(Programme_Grunddaten!R226="Ja",1,0),"")</f>
        <v/>
      </c>
      <c r="L221" s="1" t="str">
        <f>IF(AND(Programme_Grunddaten!$A226="Geprüft",Programme_Grunddaten!T226&lt;&gt;""),IF(Programme_Grunddaten!T226="Ja",1,0),"")</f>
        <v/>
      </c>
      <c r="M221" s="1" t="str">
        <f>IF(AND(Programme_Grunddaten!$A226="Geprüft",Programme_Grunddaten!U226&lt;&gt;""),IF(Programme_Grunddaten!U226="Ja",1,0),"")</f>
        <v/>
      </c>
      <c r="N221" s="1" t="str">
        <f>IF(AND(Programme_Grunddaten!$A226="Geprüft",Programme_Grunddaten!V226&lt;&gt;""),IF(Programme_Grunddaten!V226="Ja",1,0),"")</f>
        <v/>
      </c>
      <c r="O221" s="1" t="str">
        <f>IF(AND(Programme_Grunddaten!$A226="Geprüft",Programme_Grunddaten!W226&lt;&gt;""),IF(Programme_Grunddaten!W226="Ja",1,0),"")</f>
        <v/>
      </c>
      <c r="P221" s="1" t="str">
        <f>IF(AND(Programme_Grunddaten!$A226="Geprüft",Programme_Grunddaten!X226&lt;&gt;""),IF(Programme_Grunddaten!X226="Ja",1,0),"")</f>
        <v/>
      </c>
      <c r="Q221" s="1" t="str">
        <f>IF(AND(Programme_Grunddaten!$A226="Geprüft",Programme_Grunddaten!Y226&lt;&gt;""),IF(Programme_Grunddaten!Y226="Ja",1,0),"")</f>
        <v/>
      </c>
      <c r="R221" s="1" t="str">
        <f>IF(AND(Programme_Grunddaten!$A226="Geprüft",Programme_Grunddaten!Z226&lt;&gt;""),IF(Programme_Grunddaten!Z226="Ja",1,0),"")</f>
        <v/>
      </c>
      <c r="S221" s="1" t="str">
        <f>IF(AND(Programme_Grunddaten!$A226="Geprüft",Programme_Grunddaten!AA226&lt;&gt;""),IF(Programme_Grunddaten!AA226="monolithisch",1,0),"")</f>
        <v/>
      </c>
      <c r="T221" s="1" t="str">
        <f>IF(AND(Programme_Grunddaten!$A226="Geprüft",Programme_Grunddaten!AB226&lt;&gt;""),IF(Programme_Grunddaten!AB226="Ja",1,0),"")</f>
        <v/>
      </c>
      <c r="U221" s="1" t="str">
        <f>IF(AND(Programme_Grunddaten!$A226="Geprüft",Programme_Grunddaten!AC226&lt;&gt;""),IF(Programme_Grunddaten!AC226="Ja",1,0),"")</f>
        <v/>
      </c>
      <c r="V221" s="1" t="str">
        <f>IF(AND(Programme_Grunddaten!$A226="Geprüft",Programme_Grunddaten!AD226&lt;&gt;""),IF(Programme_Grunddaten!AD226="Ja",1,0),"")</f>
        <v/>
      </c>
      <c r="W221" s="1" t="str">
        <f>IF(AND(Programme_Grunddaten!$A226="Geprüft",Programme_Grunddaten!AE226&lt;&gt;""),IF(Programme_Grunddaten!AE226="Ja",1,0),"")</f>
        <v/>
      </c>
      <c r="X221" s="1" t="str">
        <f>IF(AND(Programme_Grunddaten!$A226="Geprüft",Programme_Grunddaten!AF226&lt;&gt;""),IF(Programme_Grunddaten!AF226="Ja",1,0),"")</f>
        <v/>
      </c>
      <c r="Y221" s="1" t="str">
        <f>IF(AND(Programme_Grunddaten!$A226="Geprüft",Programme_Grunddaten!AG226&lt;&gt;""),IF(Programme_Grunddaten!AG226="Ja",1,0),"")</f>
        <v/>
      </c>
      <c r="Z221" s="1" t="str">
        <f>IF(AND(Programme_Grunddaten!$A226="Geprüft",Programme_Grunddaten!AH226&lt;&gt;""),IF(Programme_Grunddaten!AH226="Ja",1,0),"")</f>
        <v/>
      </c>
      <c r="AA221" s="1" t="str">
        <f>IF(AND(Programme_Grunddaten!$A226="Geprüft",Programme_Grunddaten!AI226&lt;&gt;""),IF(Programme_Grunddaten!AI226="Ja",1,0),"")</f>
        <v/>
      </c>
      <c r="AB221" s="1" t="str">
        <f>IF(AND(Programme_Grunddaten!$A226="Geprüft",Programme_Grunddaten!AJ226&lt;&gt;""),IF(Programme_Grunddaten!AJ226="individuell programmierbar",1,0),"")</f>
        <v/>
      </c>
      <c r="AC221" s="1" t="str">
        <f>IF(AND(Programme_Grunddaten!$A226="Geprüft",Programme_Grunddaten!AK226&lt;&gt;""),IF(Programme_Grunddaten!AK226="Deutsch",0,IF(Programme_Grunddaten!AK226="Deutsch und Englisch",1,2)),"")</f>
        <v/>
      </c>
      <c r="AD221" s="1" t="str">
        <f>IF(AND(Programme_Grunddaten!$A226="Geprüft",Programme_Grunddaten!AL226&lt;&gt;""),IF(Programme_Grunddaten!AL226="Ja",1,0),"")</f>
        <v/>
      </c>
      <c r="AE221" s="1" t="str">
        <f>IF(AND(Programme_Grunddaten!$A226="Geprüft",Programme_Grunddaten!AM226&lt;&gt;""),IF(Programme_Grunddaten!AM226="Ja",1,0),"")</f>
        <v/>
      </c>
      <c r="AF221" s="1" t="str">
        <f>IF(AND(Programme_Grunddaten!$A226="Geprüft",Programme_Grunddaten!AN226&lt;&gt;""),IF(Programme_Grunddaten!AN226="Ja",1,0),"")</f>
        <v/>
      </c>
      <c r="AG221" s="1" t="str">
        <f>IF(AND(Programme_Grunddaten!$A226="Geprüft",Programme_Grunddaten!AO226&lt;&gt;""),IF(Programme_Grunddaten!AO226="Ja",1,0),"")</f>
        <v/>
      </c>
      <c r="AH221" s="1" t="str">
        <f>IF(AND(Programme_Grunddaten!$A226="Geprüft",Programme_Grunddaten!AP226&lt;&gt;""),IF(Programme_Grunddaten!AP226="Ja",1,0),"")</f>
        <v/>
      </c>
      <c r="AI221" s="1" t="str">
        <f>IF(AND(Programme_Grunddaten!$A226="Geprüft",Programme_Grunddaten!AQ226&lt;&gt;""),IF(Programme_Grunddaten!AQ226="Ja",1,0),"")</f>
        <v/>
      </c>
      <c r="AJ221" s="1" t="str">
        <f>IF(AND(Programme_Grunddaten!$A226="Geprüft",Programme_Grunddaten!AR226&lt;&gt;""),IF(Programme_Grunddaten!AR226="Ja",1,0),"")</f>
        <v/>
      </c>
      <c r="AK221" s="1" t="str">
        <f>IF(AND(Programme_Grunddaten!$A226="Geprüft",Programme_Grunddaten!AS226&lt;&gt;""),IF(Programme_Grunddaten!AS226="Ja",1,0),"")</f>
        <v/>
      </c>
      <c r="AL221" s="1" t="str">
        <f>IF(AND(Programme_Grunddaten!$A226="Geprüft",Programme_Grunddaten!AT226&lt;&gt;""),IF(Programme_Grunddaten!AT226="Ja",1,0),"")</f>
        <v/>
      </c>
      <c r="AM221" s="1" t="str">
        <f>IF(AND(Programme_Grunddaten!$A226="Geprüft",Programme_Grunddaten!AU226&lt;&gt;""),IF(Programme_Grunddaten!AU226="Ja",1,0),"")</f>
        <v/>
      </c>
      <c r="AN221" s="1" t="str">
        <f>IF(AND(Programme_Grunddaten!$A226="Geprüft",Programme_Grunddaten!AV226&lt;&gt;""),IF(Programme_Grunddaten!AV226="Ja",1,0),"")</f>
        <v/>
      </c>
    </row>
    <row r="222" spans="1:40" x14ac:dyDescent="0.3">
      <c r="A222" s="1" t="str">
        <f>IF(AND(Programme_Grunddaten!A227="Geprüft",Programme_Grunddaten!B227&lt;&gt;""),Programme_Grunddaten!B227,"")</f>
        <v/>
      </c>
      <c r="B222" s="1" t="str">
        <f>IF(AND(Programme_Grunddaten!$A227="Geprüft",Programme_Grunddaten!I227&lt;&gt;""),IF(Programme_Grunddaten!I227="Ja",1,0),"")</f>
        <v/>
      </c>
      <c r="C222" s="1" t="str">
        <f>IF(AND(Programme_Grunddaten!$A227="Geprüft",Programme_Grunddaten!J227&lt;&gt;""),IF(Programme_Grunddaten!J227="Ja",1,0),"")</f>
        <v/>
      </c>
      <c r="D222" s="1" t="str">
        <f>IF(AND(Programme_Grunddaten!$A227="Geprüft",Programme_Grunddaten!K227&lt;&gt;""),IF(Programme_Grunddaten!K227="Ja",1,0),"")</f>
        <v/>
      </c>
      <c r="E222" s="1" t="str">
        <f>IF(AND(Programme_Grunddaten!$A227="Geprüft",Programme_Grunddaten!L227&lt;&gt;""),IF(Programme_Grunddaten!L227="Abo / befristete Lizenz",1,0),"")</f>
        <v/>
      </c>
      <c r="F222" s="1" t="str">
        <f>IF(AND(Programme_Grunddaten!$A227="Geprüft",Programme_Grunddaten!M227&lt;&gt;""),IF(Programme_Grunddaten!M227="Ja",1,0),"")</f>
        <v/>
      </c>
      <c r="G222" s="1" t="str">
        <f>IF(AND(Programme_Grunddaten!$A227="Geprüft",Programme_Grunddaten!N227&lt;&gt;""),IF(Programme_Grunddaten!N227="Ja",1,0),"")</f>
        <v/>
      </c>
      <c r="H222" s="1" t="str">
        <f>IF(AND(Programme_Grunddaten!$A227="Geprüft",Programme_Grunddaten!O227&lt;&gt;""),IF(Programme_Grunddaten!O227="Deutschland",0,IF(Programme_Grunddaten!O227="EU",1,2)),"")</f>
        <v/>
      </c>
      <c r="I222" s="1" t="str">
        <f>IF(AND(Programme_Grunddaten!$A227="Geprüft",Programme_Grunddaten!P227&lt;&gt;""),IF(Programme_Grunddaten!P227="Ja",1,0),"")</f>
        <v/>
      </c>
      <c r="J222" s="1" t="str">
        <f>IF(AND(Programme_Grunddaten!$A227="Geprüft",Programme_Grunddaten!Q227&lt;&gt;""),IF(Programme_Grunddaten!Q227="geschlossenes System",1,0),"")</f>
        <v/>
      </c>
      <c r="K222" s="1" t="str">
        <f>IF(AND(Programme_Grunddaten!$A227="Geprüft",Programme_Grunddaten!R227&lt;&gt;""),IF(Programme_Grunddaten!R227="Ja",1,0),"")</f>
        <v/>
      </c>
      <c r="L222" s="1" t="str">
        <f>IF(AND(Programme_Grunddaten!$A227="Geprüft",Programme_Grunddaten!T227&lt;&gt;""),IF(Programme_Grunddaten!T227="Ja",1,0),"")</f>
        <v/>
      </c>
      <c r="M222" s="1" t="str">
        <f>IF(AND(Programme_Grunddaten!$A227="Geprüft",Programme_Grunddaten!U227&lt;&gt;""),IF(Programme_Grunddaten!U227="Ja",1,0),"")</f>
        <v/>
      </c>
      <c r="N222" s="1" t="str">
        <f>IF(AND(Programme_Grunddaten!$A227="Geprüft",Programme_Grunddaten!V227&lt;&gt;""),IF(Programme_Grunddaten!V227="Ja",1,0),"")</f>
        <v/>
      </c>
      <c r="O222" s="1" t="str">
        <f>IF(AND(Programme_Grunddaten!$A227="Geprüft",Programme_Grunddaten!W227&lt;&gt;""),IF(Programme_Grunddaten!W227="Ja",1,0),"")</f>
        <v/>
      </c>
      <c r="P222" s="1" t="str">
        <f>IF(AND(Programme_Grunddaten!$A227="Geprüft",Programme_Grunddaten!X227&lt;&gt;""),IF(Programme_Grunddaten!X227="Ja",1,0),"")</f>
        <v/>
      </c>
      <c r="Q222" s="1" t="str">
        <f>IF(AND(Programme_Grunddaten!$A227="Geprüft",Programme_Grunddaten!Y227&lt;&gt;""),IF(Programme_Grunddaten!Y227="Ja",1,0),"")</f>
        <v/>
      </c>
      <c r="R222" s="1" t="str">
        <f>IF(AND(Programme_Grunddaten!$A227="Geprüft",Programme_Grunddaten!Z227&lt;&gt;""),IF(Programme_Grunddaten!Z227="Ja",1,0),"")</f>
        <v/>
      </c>
      <c r="S222" s="1" t="str">
        <f>IF(AND(Programme_Grunddaten!$A227="Geprüft",Programme_Grunddaten!AA227&lt;&gt;""),IF(Programme_Grunddaten!AA227="monolithisch",1,0),"")</f>
        <v/>
      </c>
      <c r="T222" s="1" t="str">
        <f>IF(AND(Programme_Grunddaten!$A227="Geprüft",Programme_Grunddaten!AB227&lt;&gt;""),IF(Programme_Grunddaten!AB227="Ja",1,0),"")</f>
        <v/>
      </c>
      <c r="U222" s="1" t="str">
        <f>IF(AND(Programme_Grunddaten!$A227="Geprüft",Programme_Grunddaten!AC227&lt;&gt;""),IF(Programme_Grunddaten!AC227="Ja",1,0),"")</f>
        <v/>
      </c>
      <c r="V222" s="1" t="str">
        <f>IF(AND(Programme_Grunddaten!$A227="Geprüft",Programme_Grunddaten!AD227&lt;&gt;""),IF(Programme_Grunddaten!AD227="Ja",1,0),"")</f>
        <v/>
      </c>
      <c r="W222" s="1" t="str">
        <f>IF(AND(Programme_Grunddaten!$A227="Geprüft",Programme_Grunddaten!AE227&lt;&gt;""),IF(Programme_Grunddaten!AE227="Ja",1,0),"")</f>
        <v/>
      </c>
      <c r="X222" s="1" t="str">
        <f>IF(AND(Programme_Grunddaten!$A227="Geprüft",Programme_Grunddaten!AF227&lt;&gt;""),IF(Programme_Grunddaten!AF227="Ja",1,0),"")</f>
        <v/>
      </c>
      <c r="Y222" s="1" t="str">
        <f>IF(AND(Programme_Grunddaten!$A227="Geprüft",Programme_Grunddaten!AG227&lt;&gt;""),IF(Programme_Grunddaten!AG227="Ja",1,0),"")</f>
        <v/>
      </c>
      <c r="Z222" s="1" t="str">
        <f>IF(AND(Programme_Grunddaten!$A227="Geprüft",Programme_Grunddaten!AH227&lt;&gt;""),IF(Programme_Grunddaten!AH227="Ja",1,0),"")</f>
        <v/>
      </c>
      <c r="AA222" s="1" t="str">
        <f>IF(AND(Programme_Grunddaten!$A227="Geprüft",Programme_Grunddaten!AI227&lt;&gt;""),IF(Programme_Grunddaten!AI227="Ja",1,0),"")</f>
        <v/>
      </c>
      <c r="AB222" s="1" t="str">
        <f>IF(AND(Programme_Grunddaten!$A227="Geprüft",Programme_Grunddaten!AJ227&lt;&gt;""),IF(Programme_Grunddaten!AJ227="individuell programmierbar",1,0),"")</f>
        <v/>
      </c>
      <c r="AC222" s="1" t="str">
        <f>IF(AND(Programme_Grunddaten!$A227="Geprüft",Programme_Grunddaten!AK227&lt;&gt;""),IF(Programme_Grunddaten!AK227="Deutsch",0,IF(Programme_Grunddaten!AK227="Deutsch und Englisch",1,2)),"")</f>
        <v/>
      </c>
      <c r="AD222" s="1" t="str">
        <f>IF(AND(Programme_Grunddaten!$A227="Geprüft",Programme_Grunddaten!AL227&lt;&gt;""),IF(Programme_Grunddaten!AL227="Ja",1,0),"")</f>
        <v/>
      </c>
      <c r="AE222" s="1" t="str">
        <f>IF(AND(Programme_Grunddaten!$A227="Geprüft",Programme_Grunddaten!AM227&lt;&gt;""),IF(Programme_Grunddaten!AM227="Ja",1,0),"")</f>
        <v/>
      </c>
      <c r="AF222" s="1" t="str">
        <f>IF(AND(Programme_Grunddaten!$A227="Geprüft",Programme_Grunddaten!AN227&lt;&gt;""),IF(Programme_Grunddaten!AN227="Ja",1,0),"")</f>
        <v/>
      </c>
      <c r="AG222" s="1" t="str">
        <f>IF(AND(Programme_Grunddaten!$A227="Geprüft",Programme_Grunddaten!AO227&lt;&gt;""),IF(Programme_Grunddaten!AO227="Ja",1,0),"")</f>
        <v/>
      </c>
      <c r="AH222" s="1" t="str">
        <f>IF(AND(Programme_Grunddaten!$A227="Geprüft",Programme_Grunddaten!AP227&lt;&gt;""),IF(Programme_Grunddaten!AP227="Ja",1,0),"")</f>
        <v/>
      </c>
      <c r="AI222" s="1" t="str">
        <f>IF(AND(Programme_Grunddaten!$A227="Geprüft",Programme_Grunddaten!AQ227&lt;&gt;""),IF(Programme_Grunddaten!AQ227="Ja",1,0),"")</f>
        <v/>
      </c>
      <c r="AJ222" s="1" t="str">
        <f>IF(AND(Programme_Grunddaten!$A227="Geprüft",Programme_Grunddaten!AR227&lt;&gt;""),IF(Programme_Grunddaten!AR227="Ja",1,0),"")</f>
        <v/>
      </c>
      <c r="AK222" s="1" t="str">
        <f>IF(AND(Programme_Grunddaten!$A227="Geprüft",Programme_Grunddaten!AS227&lt;&gt;""),IF(Programme_Grunddaten!AS227="Ja",1,0),"")</f>
        <v/>
      </c>
      <c r="AL222" s="1" t="str">
        <f>IF(AND(Programme_Grunddaten!$A227="Geprüft",Programme_Grunddaten!AT227&lt;&gt;""),IF(Programme_Grunddaten!AT227="Ja",1,0),"")</f>
        <v/>
      </c>
      <c r="AM222" s="1" t="str">
        <f>IF(AND(Programme_Grunddaten!$A227="Geprüft",Programme_Grunddaten!AU227&lt;&gt;""),IF(Programme_Grunddaten!AU227="Ja",1,0),"")</f>
        <v/>
      </c>
      <c r="AN222" s="1" t="str">
        <f>IF(AND(Programme_Grunddaten!$A227="Geprüft",Programme_Grunddaten!AV227&lt;&gt;""),IF(Programme_Grunddaten!AV227="Ja",1,0),"")</f>
        <v/>
      </c>
    </row>
    <row r="223" spans="1:40" x14ac:dyDescent="0.3">
      <c r="A223" s="1" t="str">
        <f>IF(AND(Programme_Grunddaten!A228="Geprüft",Programme_Grunddaten!B228&lt;&gt;""),Programme_Grunddaten!B228,"")</f>
        <v/>
      </c>
      <c r="B223" s="1" t="str">
        <f>IF(AND(Programme_Grunddaten!$A228="Geprüft",Programme_Grunddaten!I228&lt;&gt;""),IF(Programme_Grunddaten!I228="Ja",1,0),"")</f>
        <v/>
      </c>
      <c r="C223" s="1" t="str">
        <f>IF(AND(Programme_Grunddaten!$A228="Geprüft",Programme_Grunddaten!J228&lt;&gt;""),IF(Programme_Grunddaten!J228="Ja",1,0),"")</f>
        <v/>
      </c>
      <c r="D223" s="1" t="str">
        <f>IF(AND(Programme_Grunddaten!$A228="Geprüft",Programme_Grunddaten!K228&lt;&gt;""),IF(Programme_Grunddaten!K228="Ja",1,0),"")</f>
        <v/>
      </c>
      <c r="E223" s="1" t="str">
        <f>IF(AND(Programme_Grunddaten!$A228="Geprüft",Programme_Grunddaten!L228&lt;&gt;""),IF(Programme_Grunddaten!L228="Abo / befristete Lizenz",1,0),"")</f>
        <v/>
      </c>
      <c r="F223" s="1" t="str">
        <f>IF(AND(Programme_Grunddaten!$A228="Geprüft",Programme_Grunddaten!M228&lt;&gt;""),IF(Programme_Grunddaten!M228="Ja",1,0),"")</f>
        <v/>
      </c>
      <c r="G223" s="1" t="str">
        <f>IF(AND(Programme_Grunddaten!$A228="Geprüft",Programme_Grunddaten!N228&lt;&gt;""),IF(Programme_Grunddaten!N228="Ja",1,0),"")</f>
        <v/>
      </c>
      <c r="H223" s="1" t="str">
        <f>IF(AND(Programme_Grunddaten!$A228="Geprüft",Programme_Grunddaten!O228&lt;&gt;""),IF(Programme_Grunddaten!O228="Deutschland",0,IF(Programme_Grunddaten!O228="EU",1,2)),"")</f>
        <v/>
      </c>
      <c r="I223" s="1" t="str">
        <f>IF(AND(Programme_Grunddaten!$A228="Geprüft",Programme_Grunddaten!P228&lt;&gt;""),IF(Programme_Grunddaten!P228="Ja",1,0),"")</f>
        <v/>
      </c>
      <c r="J223" s="1" t="str">
        <f>IF(AND(Programme_Grunddaten!$A228="Geprüft",Programme_Grunddaten!Q228&lt;&gt;""),IF(Programme_Grunddaten!Q228="geschlossenes System",1,0),"")</f>
        <v/>
      </c>
      <c r="K223" s="1" t="str">
        <f>IF(AND(Programme_Grunddaten!$A228="Geprüft",Programme_Grunddaten!R228&lt;&gt;""),IF(Programme_Grunddaten!R228="Ja",1,0),"")</f>
        <v/>
      </c>
      <c r="L223" s="1" t="str">
        <f>IF(AND(Programme_Grunddaten!$A228="Geprüft",Programme_Grunddaten!T228&lt;&gt;""),IF(Programme_Grunddaten!T228="Ja",1,0),"")</f>
        <v/>
      </c>
      <c r="M223" s="1" t="str">
        <f>IF(AND(Programme_Grunddaten!$A228="Geprüft",Programme_Grunddaten!U228&lt;&gt;""),IF(Programme_Grunddaten!U228="Ja",1,0),"")</f>
        <v/>
      </c>
      <c r="N223" s="1" t="str">
        <f>IF(AND(Programme_Grunddaten!$A228="Geprüft",Programme_Grunddaten!V228&lt;&gt;""),IF(Programme_Grunddaten!V228="Ja",1,0),"")</f>
        <v/>
      </c>
      <c r="O223" s="1" t="str">
        <f>IF(AND(Programme_Grunddaten!$A228="Geprüft",Programme_Grunddaten!W228&lt;&gt;""),IF(Programme_Grunddaten!W228="Ja",1,0),"")</f>
        <v/>
      </c>
      <c r="P223" s="1" t="str">
        <f>IF(AND(Programme_Grunddaten!$A228="Geprüft",Programme_Grunddaten!X228&lt;&gt;""),IF(Programme_Grunddaten!X228="Ja",1,0),"")</f>
        <v/>
      </c>
      <c r="Q223" s="1" t="str">
        <f>IF(AND(Programme_Grunddaten!$A228="Geprüft",Programme_Grunddaten!Y228&lt;&gt;""),IF(Programme_Grunddaten!Y228="Ja",1,0),"")</f>
        <v/>
      </c>
      <c r="R223" s="1" t="str">
        <f>IF(AND(Programme_Grunddaten!$A228="Geprüft",Programme_Grunddaten!Z228&lt;&gt;""),IF(Programme_Grunddaten!Z228="Ja",1,0),"")</f>
        <v/>
      </c>
      <c r="S223" s="1" t="str">
        <f>IF(AND(Programme_Grunddaten!$A228="Geprüft",Programme_Grunddaten!AA228&lt;&gt;""),IF(Programme_Grunddaten!AA228="monolithisch",1,0),"")</f>
        <v/>
      </c>
      <c r="T223" s="1" t="str">
        <f>IF(AND(Programme_Grunddaten!$A228="Geprüft",Programme_Grunddaten!AB228&lt;&gt;""),IF(Programme_Grunddaten!AB228="Ja",1,0),"")</f>
        <v/>
      </c>
      <c r="U223" s="1" t="str">
        <f>IF(AND(Programme_Grunddaten!$A228="Geprüft",Programme_Grunddaten!AC228&lt;&gt;""),IF(Programme_Grunddaten!AC228="Ja",1,0),"")</f>
        <v/>
      </c>
      <c r="V223" s="1" t="str">
        <f>IF(AND(Programme_Grunddaten!$A228="Geprüft",Programme_Grunddaten!AD228&lt;&gt;""),IF(Programme_Grunddaten!AD228="Ja",1,0),"")</f>
        <v/>
      </c>
      <c r="W223" s="1" t="str">
        <f>IF(AND(Programme_Grunddaten!$A228="Geprüft",Programme_Grunddaten!AE228&lt;&gt;""),IF(Programme_Grunddaten!AE228="Ja",1,0),"")</f>
        <v/>
      </c>
      <c r="X223" s="1" t="str">
        <f>IF(AND(Programme_Grunddaten!$A228="Geprüft",Programme_Grunddaten!AF228&lt;&gt;""),IF(Programme_Grunddaten!AF228="Ja",1,0),"")</f>
        <v/>
      </c>
      <c r="Y223" s="1" t="str">
        <f>IF(AND(Programme_Grunddaten!$A228="Geprüft",Programme_Grunddaten!AG228&lt;&gt;""),IF(Programme_Grunddaten!AG228="Ja",1,0),"")</f>
        <v/>
      </c>
      <c r="Z223" s="1" t="str">
        <f>IF(AND(Programme_Grunddaten!$A228="Geprüft",Programme_Grunddaten!AH228&lt;&gt;""),IF(Programme_Grunddaten!AH228="Ja",1,0),"")</f>
        <v/>
      </c>
      <c r="AA223" s="1" t="str">
        <f>IF(AND(Programme_Grunddaten!$A228="Geprüft",Programme_Grunddaten!AI228&lt;&gt;""),IF(Programme_Grunddaten!AI228="Ja",1,0),"")</f>
        <v/>
      </c>
      <c r="AB223" s="1" t="str">
        <f>IF(AND(Programme_Grunddaten!$A228="Geprüft",Programme_Grunddaten!AJ228&lt;&gt;""),IF(Programme_Grunddaten!AJ228="individuell programmierbar",1,0),"")</f>
        <v/>
      </c>
      <c r="AC223" s="1" t="str">
        <f>IF(AND(Programme_Grunddaten!$A228="Geprüft",Programme_Grunddaten!AK228&lt;&gt;""),IF(Programme_Grunddaten!AK228="Deutsch",0,IF(Programme_Grunddaten!AK228="Deutsch und Englisch",1,2)),"")</f>
        <v/>
      </c>
      <c r="AD223" s="1" t="str">
        <f>IF(AND(Programme_Grunddaten!$A228="Geprüft",Programme_Grunddaten!AL228&lt;&gt;""),IF(Programme_Grunddaten!AL228="Ja",1,0),"")</f>
        <v/>
      </c>
      <c r="AE223" s="1" t="str">
        <f>IF(AND(Programme_Grunddaten!$A228="Geprüft",Programme_Grunddaten!AM228&lt;&gt;""),IF(Programme_Grunddaten!AM228="Ja",1,0),"")</f>
        <v/>
      </c>
      <c r="AF223" s="1" t="str">
        <f>IF(AND(Programme_Grunddaten!$A228="Geprüft",Programme_Grunddaten!AN228&lt;&gt;""),IF(Programme_Grunddaten!AN228="Ja",1,0),"")</f>
        <v/>
      </c>
      <c r="AG223" s="1" t="str">
        <f>IF(AND(Programme_Grunddaten!$A228="Geprüft",Programme_Grunddaten!AO228&lt;&gt;""),IF(Programme_Grunddaten!AO228="Ja",1,0),"")</f>
        <v/>
      </c>
      <c r="AH223" s="1" t="str">
        <f>IF(AND(Programme_Grunddaten!$A228="Geprüft",Programme_Grunddaten!AP228&lt;&gt;""),IF(Programme_Grunddaten!AP228="Ja",1,0),"")</f>
        <v/>
      </c>
      <c r="AI223" s="1" t="str">
        <f>IF(AND(Programme_Grunddaten!$A228="Geprüft",Programme_Grunddaten!AQ228&lt;&gt;""),IF(Programme_Grunddaten!AQ228="Ja",1,0),"")</f>
        <v/>
      </c>
      <c r="AJ223" s="1" t="str">
        <f>IF(AND(Programme_Grunddaten!$A228="Geprüft",Programme_Grunddaten!AR228&lt;&gt;""),IF(Programme_Grunddaten!AR228="Ja",1,0),"")</f>
        <v/>
      </c>
      <c r="AK223" s="1" t="str">
        <f>IF(AND(Programme_Grunddaten!$A228="Geprüft",Programme_Grunddaten!AS228&lt;&gt;""),IF(Programme_Grunddaten!AS228="Ja",1,0),"")</f>
        <v/>
      </c>
      <c r="AL223" s="1" t="str">
        <f>IF(AND(Programme_Grunddaten!$A228="Geprüft",Programme_Grunddaten!AT228&lt;&gt;""),IF(Programme_Grunddaten!AT228="Ja",1,0),"")</f>
        <v/>
      </c>
      <c r="AM223" s="1" t="str">
        <f>IF(AND(Programme_Grunddaten!$A228="Geprüft",Programme_Grunddaten!AU228&lt;&gt;""),IF(Programme_Grunddaten!AU228="Ja",1,0),"")</f>
        <v/>
      </c>
      <c r="AN223" s="1" t="str">
        <f>IF(AND(Programme_Grunddaten!$A228="Geprüft",Programme_Grunddaten!AV228&lt;&gt;""),IF(Programme_Grunddaten!AV228="Ja",1,0),"")</f>
        <v/>
      </c>
    </row>
    <row r="224" spans="1:40" x14ac:dyDescent="0.3">
      <c r="A224" s="1" t="str">
        <f>IF(AND(Programme_Grunddaten!A229="Geprüft",Programme_Grunddaten!B229&lt;&gt;""),Programme_Grunddaten!B229,"")</f>
        <v/>
      </c>
      <c r="B224" s="1" t="str">
        <f>IF(AND(Programme_Grunddaten!$A229="Geprüft",Programme_Grunddaten!I229&lt;&gt;""),IF(Programme_Grunddaten!I229="Ja",1,0),"")</f>
        <v/>
      </c>
      <c r="C224" s="1" t="str">
        <f>IF(AND(Programme_Grunddaten!$A229="Geprüft",Programme_Grunddaten!J229&lt;&gt;""),IF(Programme_Grunddaten!J229="Ja",1,0),"")</f>
        <v/>
      </c>
      <c r="D224" s="1" t="str">
        <f>IF(AND(Programme_Grunddaten!$A229="Geprüft",Programme_Grunddaten!K229&lt;&gt;""),IF(Programme_Grunddaten!K229="Ja",1,0),"")</f>
        <v/>
      </c>
      <c r="E224" s="1" t="str">
        <f>IF(AND(Programme_Grunddaten!$A229="Geprüft",Programme_Grunddaten!L229&lt;&gt;""),IF(Programme_Grunddaten!L229="Abo / befristete Lizenz",1,0),"")</f>
        <v/>
      </c>
      <c r="F224" s="1" t="str">
        <f>IF(AND(Programme_Grunddaten!$A229="Geprüft",Programme_Grunddaten!M229&lt;&gt;""),IF(Programme_Grunddaten!M229="Ja",1,0),"")</f>
        <v/>
      </c>
      <c r="G224" s="1" t="str">
        <f>IF(AND(Programme_Grunddaten!$A229="Geprüft",Programme_Grunddaten!N229&lt;&gt;""),IF(Programme_Grunddaten!N229="Ja",1,0),"")</f>
        <v/>
      </c>
      <c r="H224" s="1" t="str">
        <f>IF(AND(Programme_Grunddaten!$A229="Geprüft",Programme_Grunddaten!O229&lt;&gt;""),IF(Programme_Grunddaten!O229="Deutschland",0,IF(Programme_Grunddaten!O229="EU",1,2)),"")</f>
        <v/>
      </c>
      <c r="I224" s="1" t="str">
        <f>IF(AND(Programme_Grunddaten!$A229="Geprüft",Programme_Grunddaten!P229&lt;&gt;""),IF(Programme_Grunddaten!P229="Ja",1,0),"")</f>
        <v/>
      </c>
      <c r="J224" s="1" t="str">
        <f>IF(AND(Programme_Grunddaten!$A229="Geprüft",Programme_Grunddaten!Q229&lt;&gt;""),IF(Programme_Grunddaten!Q229="geschlossenes System",1,0),"")</f>
        <v/>
      </c>
      <c r="K224" s="1" t="str">
        <f>IF(AND(Programme_Grunddaten!$A229="Geprüft",Programme_Grunddaten!R229&lt;&gt;""),IF(Programme_Grunddaten!R229="Ja",1,0),"")</f>
        <v/>
      </c>
      <c r="L224" s="1" t="str">
        <f>IF(AND(Programme_Grunddaten!$A229="Geprüft",Programme_Grunddaten!T229&lt;&gt;""),IF(Programme_Grunddaten!T229="Ja",1,0),"")</f>
        <v/>
      </c>
      <c r="M224" s="1" t="str">
        <f>IF(AND(Programme_Grunddaten!$A229="Geprüft",Programme_Grunddaten!U229&lt;&gt;""),IF(Programme_Grunddaten!U229="Ja",1,0),"")</f>
        <v/>
      </c>
      <c r="N224" s="1" t="str">
        <f>IF(AND(Programme_Grunddaten!$A229="Geprüft",Programme_Grunddaten!V229&lt;&gt;""),IF(Programme_Grunddaten!V229="Ja",1,0),"")</f>
        <v/>
      </c>
      <c r="O224" s="1" t="str">
        <f>IF(AND(Programme_Grunddaten!$A229="Geprüft",Programme_Grunddaten!W229&lt;&gt;""),IF(Programme_Grunddaten!W229="Ja",1,0),"")</f>
        <v/>
      </c>
      <c r="P224" s="1" t="str">
        <f>IF(AND(Programme_Grunddaten!$A229="Geprüft",Programme_Grunddaten!X229&lt;&gt;""),IF(Programme_Grunddaten!X229="Ja",1,0),"")</f>
        <v/>
      </c>
      <c r="Q224" s="1" t="str">
        <f>IF(AND(Programme_Grunddaten!$A229="Geprüft",Programme_Grunddaten!Y229&lt;&gt;""),IF(Programme_Grunddaten!Y229="Ja",1,0),"")</f>
        <v/>
      </c>
      <c r="R224" s="1" t="str">
        <f>IF(AND(Programme_Grunddaten!$A229="Geprüft",Programme_Grunddaten!Z229&lt;&gt;""),IF(Programme_Grunddaten!Z229="Ja",1,0),"")</f>
        <v/>
      </c>
      <c r="S224" s="1" t="str">
        <f>IF(AND(Programme_Grunddaten!$A229="Geprüft",Programme_Grunddaten!AA229&lt;&gt;""),IF(Programme_Grunddaten!AA229="monolithisch",1,0),"")</f>
        <v/>
      </c>
      <c r="T224" s="1" t="str">
        <f>IF(AND(Programme_Grunddaten!$A229="Geprüft",Programme_Grunddaten!AB229&lt;&gt;""),IF(Programme_Grunddaten!AB229="Ja",1,0),"")</f>
        <v/>
      </c>
      <c r="U224" s="1" t="str">
        <f>IF(AND(Programme_Grunddaten!$A229="Geprüft",Programme_Grunddaten!AC229&lt;&gt;""),IF(Programme_Grunddaten!AC229="Ja",1,0),"")</f>
        <v/>
      </c>
      <c r="V224" s="1" t="str">
        <f>IF(AND(Programme_Grunddaten!$A229="Geprüft",Programme_Grunddaten!AD229&lt;&gt;""),IF(Programme_Grunddaten!AD229="Ja",1,0),"")</f>
        <v/>
      </c>
      <c r="W224" s="1" t="str">
        <f>IF(AND(Programme_Grunddaten!$A229="Geprüft",Programme_Grunddaten!AE229&lt;&gt;""),IF(Programme_Grunddaten!AE229="Ja",1,0),"")</f>
        <v/>
      </c>
      <c r="X224" s="1" t="str">
        <f>IF(AND(Programme_Grunddaten!$A229="Geprüft",Programme_Grunddaten!AF229&lt;&gt;""),IF(Programme_Grunddaten!AF229="Ja",1,0),"")</f>
        <v/>
      </c>
      <c r="Y224" s="1" t="str">
        <f>IF(AND(Programme_Grunddaten!$A229="Geprüft",Programme_Grunddaten!AG229&lt;&gt;""),IF(Programme_Grunddaten!AG229="Ja",1,0),"")</f>
        <v/>
      </c>
      <c r="Z224" s="1" t="str">
        <f>IF(AND(Programme_Grunddaten!$A229="Geprüft",Programme_Grunddaten!AH229&lt;&gt;""),IF(Programme_Grunddaten!AH229="Ja",1,0),"")</f>
        <v/>
      </c>
      <c r="AA224" s="1" t="str">
        <f>IF(AND(Programme_Grunddaten!$A229="Geprüft",Programme_Grunddaten!AI229&lt;&gt;""),IF(Programme_Grunddaten!AI229="Ja",1,0),"")</f>
        <v/>
      </c>
      <c r="AB224" s="1" t="str">
        <f>IF(AND(Programme_Grunddaten!$A229="Geprüft",Programme_Grunddaten!AJ229&lt;&gt;""),IF(Programme_Grunddaten!AJ229="individuell programmierbar",1,0),"")</f>
        <v/>
      </c>
      <c r="AC224" s="1" t="str">
        <f>IF(AND(Programme_Grunddaten!$A229="Geprüft",Programme_Grunddaten!AK229&lt;&gt;""),IF(Programme_Grunddaten!AK229="Deutsch",0,IF(Programme_Grunddaten!AK229="Deutsch und Englisch",1,2)),"")</f>
        <v/>
      </c>
      <c r="AD224" s="1" t="str">
        <f>IF(AND(Programme_Grunddaten!$A229="Geprüft",Programme_Grunddaten!AL229&lt;&gt;""),IF(Programme_Grunddaten!AL229="Ja",1,0),"")</f>
        <v/>
      </c>
      <c r="AE224" s="1" t="str">
        <f>IF(AND(Programme_Grunddaten!$A229="Geprüft",Programme_Grunddaten!AM229&lt;&gt;""),IF(Programme_Grunddaten!AM229="Ja",1,0),"")</f>
        <v/>
      </c>
      <c r="AF224" s="1" t="str">
        <f>IF(AND(Programme_Grunddaten!$A229="Geprüft",Programme_Grunddaten!AN229&lt;&gt;""),IF(Programme_Grunddaten!AN229="Ja",1,0),"")</f>
        <v/>
      </c>
      <c r="AG224" s="1" t="str">
        <f>IF(AND(Programme_Grunddaten!$A229="Geprüft",Programme_Grunddaten!AO229&lt;&gt;""),IF(Programme_Grunddaten!AO229="Ja",1,0),"")</f>
        <v/>
      </c>
      <c r="AH224" s="1" t="str">
        <f>IF(AND(Programme_Grunddaten!$A229="Geprüft",Programme_Grunddaten!AP229&lt;&gt;""),IF(Programme_Grunddaten!AP229="Ja",1,0),"")</f>
        <v/>
      </c>
      <c r="AI224" s="1" t="str">
        <f>IF(AND(Programme_Grunddaten!$A229="Geprüft",Programme_Grunddaten!AQ229&lt;&gt;""),IF(Programme_Grunddaten!AQ229="Ja",1,0),"")</f>
        <v/>
      </c>
      <c r="AJ224" s="1" t="str">
        <f>IF(AND(Programme_Grunddaten!$A229="Geprüft",Programme_Grunddaten!AR229&lt;&gt;""),IF(Programme_Grunddaten!AR229="Ja",1,0),"")</f>
        <v/>
      </c>
      <c r="AK224" s="1" t="str">
        <f>IF(AND(Programme_Grunddaten!$A229="Geprüft",Programme_Grunddaten!AS229&lt;&gt;""),IF(Programme_Grunddaten!AS229="Ja",1,0),"")</f>
        <v/>
      </c>
      <c r="AL224" s="1" t="str">
        <f>IF(AND(Programme_Grunddaten!$A229="Geprüft",Programme_Grunddaten!AT229&lt;&gt;""),IF(Programme_Grunddaten!AT229="Ja",1,0),"")</f>
        <v/>
      </c>
      <c r="AM224" s="1" t="str">
        <f>IF(AND(Programme_Grunddaten!$A229="Geprüft",Programme_Grunddaten!AU229&lt;&gt;""),IF(Programme_Grunddaten!AU229="Ja",1,0),"")</f>
        <v/>
      </c>
      <c r="AN224" s="1" t="str">
        <f>IF(AND(Programme_Grunddaten!$A229="Geprüft",Programme_Grunddaten!AV229&lt;&gt;""),IF(Programme_Grunddaten!AV229="Ja",1,0),"")</f>
        <v/>
      </c>
    </row>
    <row r="225" spans="1:40" x14ac:dyDescent="0.3">
      <c r="A225" s="1" t="str">
        <f>IF(AND(Programme_Grunddaten!A230="Geprüft",Programme_Grunddaten!B230&lt;&gt;""),Programme_Grunddaten!B230,"")</f>
        <v/>
      </c>
      <c r="B225" s="1" t="str">
        <f>IF(AND(Programme_Grunddaten!$A230="Geprüft",Programme_Grunddaten!I230&lt;&gt;""),IF(Programme_Grunddaten!I230="Ja",1,0),"")</f>
        <v/>
      </c>
      <c r="C225" s="1" t="str">
        <f>IF(AND(Programme_Grunddaten!$A230="Geprüft",Programme_Grunddaten!J230&lt;&gt;""),IF(Programme_Grunddaten!J230="Ja",1,0),"")</f>
        <v/>
      </c>
      <c r="D225" s="1" t="str">
        <f>IF(AND(Programme_Grunddaten!$A230="Geprüft",Programme_Grunddaten!K230&lt;&gt;""),IF(Programme_Grunddaten!K230="Ja",1,0),"")</f>
        <v/>
      </c>
      <c r="E225" s="1" t="str">
        <f>IF(AND(Programme_Grunddaten!$A230="Geprüft",Programme_Grunddaten!L230&lt;&gt;""),IF(Programme_Grunddaten!L230="Abo / befristete Lizenz",1,0),"")</f>
        <v/>
      </c>
      <c r="F225" s="1" t="str">
        <f>IF(AND(Programme_Grunddaten!$A230="Geprüft",Programme_Grunddaten!M230&lt;&gt;""),IF(Programme_Grunddaten!M230="Ja",1,0),"")</f>
        <v/>
      </c>
      <c r="G225" s="1" t="str">
        <f>IF(AND(Programme_Grunddaten!$A230="Geprüft",Programme_Grunddaten!N230&lt;&gt;""),IF(Programme_Grunddaten!N230="Ja",1,0),"")</f>
        <v/>
      </c>
      <c r="H225" s="1" t="str">
        <f>IF(AND(Programme_Grunddaten!$A230="Geprüft",Programme_Grunddaten!O230&lt;&gt;""),IF(Programme_Grunddaten!O230="Deutschland",0,IF(Programme_Grunddaten!O230="EU",1,2)),"")</f>
        <v/>
      </c>
      <c r="I225" s="1" t="str">
        <f>IF(AND(Programme_Grunddaten!$A230="Geprüft",Programme_Grunddaten!P230&lt;&gt;""),IF(Programme_Grunddaten!P230="Ja",1,0),"")</f>
        <v/>
      </c>
      <c r="J225" s="1" t="str">
        <f>IF(AND(Programme_Grunddaten!$A230="Geprüft",Programme_Grunddaten!Q230&lt;&gt;""),IF(Programme_Grunddaten!Q230="geschlossenes System",1,0),"")</f>
        <v/>
      </c>
      <c r="K225" s="1" t="str">
        <f>IF(AND(Programme_Grunddaten!$A230="Geprüft",Programme_Grunddaten!R230&lt;&gt;""),IF(Programme_Grunddaten!R230="Ja",1,0),"")</f>
        <v/>
      </c>
      <c r="L225" s="1" t="str">
        <f>IF(AND(Programme_Grunddaten!$A230="Geprüft",Programme_Grunddaten!T230&lt;&gt;""),IF(Programme_Grunddaten!T230="Ja",1,0),"")</f>
        <v/>
      </c>
      <c r="M225" s="1" t="str">
        <f>IF(AND(Programme_Grunddaten!$A230="Geprüft",Programme_Grunddaten!U230&lt;&gt;""),IF(Programme_Grunddaten!U230="Ja",1,0),"")</f>
        <v/>
      </c>
      <c r="N225" s="1" t="str">
        <f>IF(AND(Programme_Grunddaten!$A230="Geprüft",Programme_Grunddaten!V230&lt;&gt;""),IF(Programme_Grunddaten!V230="Ja",1,0),"")</f>
        <v/>
      </c>
      <c r="O225" s="1" t="str">
        <f>IF(AND(Programme_Grunddaten!$A230="Geprüft",Programme_Grunddaten!W230&lt;&gt;""),IF(Programme_Grunddaten!W230="Ja",1,0),"")</f>
        <v/>
      </c>
      <c r="P225" s="1" t="str">
        <f>IF(AND(Programme_Grunddaten!$A230="Geprüft",Programme_Grunddaten!X230&lt;&gt;""),IF(Programme_Grunddaten!X230="Ja",1,0),"")</f>
        <v/>
      </c>
      <c r="Q225" s="1" t="str">
        <f>IF(AND(Programme_Grunddaten!$A230="Geprüft",Programme_Grunddaten!Y230&lt;&gt;""),IF(Programme_Grunddaten!Y230="Ja",1,0),"")</f>
        <v/>
      </c>
      <c r="R225" s="1" t="str">
        <f>IF(AND(Programme_Grunddaten!$A230="Geprüft",Programme_Grunddaten!Z230&lt;&gt;""),IF(Programme_Grunddaten!Z230="Ja",1,0),"")</f>
        <v/>
      </c>
      <c r="S225" s="1" t="str">
        <f>IF(AND(Programme_Grunddaten!$A230="Geprüft",Programme_Grunddaten!AA230&lt;&gt;""),IF(Programme_Grunddaten!AA230="monolithisch",1,0),"")</f>
        <v/>
      </c>
      <c r="T225" s="1" t="str">
        <f>IF(AND(Programme_Grunddaten!$A230="Geprüft",Programme_Grunddaten!AB230&lt;&gt;""),IF(Programme_Grunddaten!AB230="Ja",1,0),"")</f>
        <v/>
      </c>
      <c r="U225" s="1" t="str">
        <f>IF(AND(Programme_Grunddaten!$A230="Geprüft",Programme_Grunddaten!AC230&lt;&gt;""),IF(Programme_Grunddaten!AC230="Ja",1,0),"")</f>
        <v/>
      </c>
      <c r="V225" s="1" t="str">
        <f>IF(AND(Programme_Grunddaten!$A230="Geprüft",Programme_Grunddaten!AD230&lt;&gt;""),IF(Programme_Grunddaten!AD230="Ja",1,0),"")</f>
        <v/>
      </c>
      <c r="W225" s="1" t="str">
        <f>IF(AND(Programme_Grunddaten!$A230="Geprüft",Programme_Grunddaten!AE230&lt;&gt;""),IF(Programme_Grunddaten!AE230="Ja",1,0),"")</f>
        <v/>
      </c>
      <c r="X225" s="1" t="str">
        <f>IF(AND(Programme_Grunddaten!$A230="Geprüft",Programme_Grunddaten!AF230&lt;&gt;""),IF(Programme_Grunddaten!AF230="Ja",1,0),"")</f>
        <v/>
      </c>
      <c r="Y225" s="1" t="str">
        <f>IF(AND(Programme_Grunddaten!$A230="Geprüft",Programme_Grunddaten!AG230&lt;&gt;""),IF(Programme_Grunddaten!AG230="Ja",1,0),"")</f>
        <v/>
      </c>
      <c r="Z225" s="1" t="str">
        <f>IF(AND(Programme_Grunddaten!$A230="Geprüft",Programme_Grunddaten!AH230&lt;&gt;""),IF(Programme_Grunddaten!AH230="Ja",1,0),"")</f>
        <v/>
      </c>
      <c r="AA225" s="1" t="str">
        <f>IF(AND(Programme_Grunddaten!$A230="Geprüft",Programme_Grunddaten!AI230&lt;&gt;""),IF(Programme_Grunddaten!AI230="Ja",1,0),"")</f>
        <v/>
      </c>
      <c r="AB225" s="1" t="str">
        <f>IF(AND(Programme_Grunddaten!$A230="Geprüft",Programme_Grunddaten!AJ230&lt;&gt;""),IF(Programme_Grunddaten!AJ230="individuell programmierbar",1,0),"")</f>
        <v/>
      </c>
      <c r="AC225" s="1" t="str">
        <f>IF(AND(Programme_Grunddaten!$A230="Geprüft",Programme_Grunddaten!AK230&lt;&gt;""),IF(Programme_Grunddaten!AK230="Deutsch",0,IF(Programme_Grunddaten!AK230="Deutsch und Englisch",1,2)),"")</f>
        <v/>
      </c>
      <c r="AD225" s="1" t="str">
        <f>IF(AND(Programme_Grunddaten!$A230="Geprüft",Programme_Grunddaten!AL230&lt;&gt;""),IF(Programme_Grunddaten!AL230="Ja",1,0),"")</f>
        <v/>
      </c>
      <c r="AE225" s="1" t="str">
        <f>IF(AND(Programme_Grunddaten!$A230="Geprüft",Programme_Grunddaten!AM230&lt;&gt;""),IF(Programme_Grunddaten!AM230="Ja",1,0),"")</f>
        <v/>
      </c>
      <c r="AF225" s="1" t="str">
        <f>IF(AND(Programme_Grunddaten!$A230="Geprüft",Programme_Grunddaten!AN230&lt;&gt;""),IF(Programme_Grunddaten!AN230="Ja",1,0),"")</f>
        <v/>
      </c>
      <c r="AG225" s="1" t="str">
        <f>IF(AND(Programme_Grunddaten!$A230="Geprüft",Programme_Grunddaten!AO230&lt;&gt;""),IF(Programme_Grunddaten!AO230="Ja",1,0),"")</f>
        <v/>
      </c>
      <c r="AH225" s="1" t="str">
        <f>IF(AND(Programme_Grunddaten!$A230="Geprüft",Programme_Grunddaten!AP230&lt;&gt;""),IF(Programme_Grunddaten!AP230="Ja",1,0),"")</f>
        <v/>
      </c>
      <c r="AI225" s="1" t="str">
        <f>IF(AND(Programme_Grunddaten!$A230="Geprüft",Programme_Grunddaten!AQ230&lt;&gt;""),IF(Programme_Grunddaten!AQ230="Ja",1,0),"")</f>
        <v/>
      </c>
      <c r="AJ225" s="1" t="str">
        <f>IF(AND(Programme_Grunddaten!$A230="Geprüft",Programme_Grunddaten!AR230&lt;&gt;""),IF(Programme_Grunddaten!AR230="Ja",1,0),"")</f>
        <v/>
      </c>
      <c r="AK225" s="1" t="str">
        <f>IF(AND(Programme_Grunddaten!$A230="Geprüft",Programme_Grunddaten!AS230&lt;&gt;""),IF(Programme_Grunddaten!AS230="Ja",1,0),"")</f>
        <v/>
      </c>
      <c r="AL225" s="1" t="str">
        <f>IF(AND(Programme_Grunddaten!$A230="Geprüft",Programme_Grunddaten!AT230&lt;&gt;""),IF(Programme_Grunddaten!AT230="Ja",1,0),"")</f>
        <v/>
      </c>
      <c r="AM225" s="1" t="str">
        <f>IF(AND(Programme_Grunddaten!$A230="Geprüft",Programme_Grunddaten!AU230&lt;&gt;""),IF(Programme_Grunddaten!AU230="Ja",1,0),"")</f>
        <v/>
      </c>
      <c r="AN225" s="1" t="str">
        <f>IF(AND(Programme_Grunddaten!$A230="Geprüft",Programme_Grunddaten!AV230&lt;&gt;""),IF(Programme_Grunddaten!AV230="Ja",1,0),"")</f>
        <v/>
      </c>
    </row>
    <row r="226" spans="1:40" x14ac:dyDescent="0.3">
      <c r="A226" s="1" t="str">
        <f>IF(AND(Programme_Grunddaten!A231="Geprüft",Programme_Grunddaten!B231&lt;&gt;""),Programme_Grunddaten!B231,"")</f>
        <v/>
      </c>
      <c r="B226" s="1" t="str">
        <f>IF(AND(Programme_Grunddaten!$A231="Geprüft",Programme_Grunddaten!I231&lt;&gt;""),IF(Programme_Grunddaten!I231="Ja",1,0),"")</f>
        <v/>
      </c>
      <c r="C226" s="1" t="str">
        <f>IF(AND(Programme_Grunddaten!$A231="Geprüft",Programme_Grunddaten!J231&lt;&gt;""),IF(Programme_Grunddaten!J231="Ja",1,0),"")</f>
        <v/>
      </c>
      <c r="D226" s="1" t="str">
        <f>IF(AND(Programme_Grunddaten!$A231="Geprüft",Programme_Grunddaten!K231&lt;&gt;""),IF(Programme_Grunddaten!K231="Ja",1,0),"")</f>
        <v/>
      </c>
      <c r="E226" s="1" t="str">
        <f>IF(AND(Programme_Grunddaten!$A231="Geprüft",Programme_Grunddaten!L231&lt;&gt;""),IF(Programme_Grunddaten!L231="Abo / befristete Lizenz",1,0),"")</f>
        <v/>
      </c>
      <c r="F226" s="1" t="str">
        <f>IF(AND(Programme_Grunddaten!$A231="Geprüft",Programme_Grunddaten!M231&lt;&gt;""),IF(Programme_Grunddaten!M231="Ja",1,0),"")</f>
        <v/>
      </c>
      <c r="G226" s="1" t="str">
        <f>IF(AND(Programme_Grunddaten!$A231="Geprüft",Programme_Grunddaten!N231&lt;&gt;""),IF(Programme_Grunddaten!N231="Ja",1,0),"")</f>
        <v/>
      </c>
      <c r="H226" s="1" t="str">
        <f>IF(AND(Programme_Grunddaten!$A231="Geprüft",Programme_Grunddaten!O231&lt;&gt;""),IF(Programme_Grunddaten!O231="Deutschland",0,IF(Programme_Grunddaten!O231="EU",1,2)),"")</f>
        <v/>
      </c>
      <c r="I226" s="1" t="str">
        <f>IF(AND(Programme_Grunddaten!$A231="Geprüft",Programme_Grunddaten!P231&lt;&gt;""),IF(Programme_Grunddaten!P231="Ja",1,0),"")</f>
        <v/>
      </c>
      <c r="J226" s="1" t="str">
        <f>IF(AND(Programme_Grunddaten!$A231="Geprüft",Programme_Grunddaten!Q231&lt;&gt;""),IF(Programme_Grunddaten!Q231="geschlossenes System",1,0),"")</f>
        <v/>
      </c>
      <c r="K226" s="1" t="str">
        <f>IF(AND(Programme_Grunddaten!$A231="Geprüft",Programme_Grunddaten!R231&lt;&gt;""),IF(Programme_Grunddaten!R231="Ja",1,0),"")</f>
        <v/>
      </c>
      <c r="L226" s="1" t="str">
        <f>IF(AND(Programme_Grunddaten!$A231="Geprüft",Programme_Grunddaten!T231&lt;&gt;""),IF(Programme_Grunddaten!T231="Ja",1,0),"")</f>
        <v/>
      </c>
      <c r="M226" s="1" t="str">
        <f>IF(AND(Programme_Grunddaten!$A231="Geprüft",Programme_Grunddaten!U231&lt;&gt;""),IF(Programme_Grunddaten!U231="Ja",1,0),"")</f>
        <v/>
      </c>
      <c r="N226" s="1" t="str">
        <f>IF(AND(Programme_Grunddaten!$A231="Geprüft",Programme_Grunddaten!V231&lt;&gt;""),IF(Programme_Grunddaten!V231="Ja",1,0),"")</f>
        <v/>
      </c>
      <c r="O226" s="1" t="str">
        <f>IF(AND(Programme_Grunddaten!$A231="Geprüft",Programme_Grunddaten!W231&lt;&gt;""),IF(Programme_Grunddaten!W231="Ja",1,0),"")</f>
        <v/>
      </c>
      <c r="P226" s="1" t="str">
        <f>IF(AND(Programme_Grunddaten!$A231="Geprüft",Programme_Grunddaten!X231&lt;&gt;""),IF(Programme_Grunddaten!X231="Ja",1,0),"")</f>
        <v/>
      </c>
      <c r="Q226" s="1" t="str">
        <f>IF(AND(Programme_Grunddaten!$A231="Geprüft",Programme_Grunddaten!Y231&lt;&gt;""),IF(Programme_Grunddaten!Y231="Ja",1,0),"")</f>
        <v/>
      </c>
      <c r="R226" s="1" t="str">
        <f>IF(AND(Programme_Grunddaten!$A231="Geprüft",Programme_Grunddaten!Z231&lt;&gt;""),IF(Programme_Grunddaten!Z231="Ja",1,0),"")</f>
        <v/>
      </c>
      <c r="S226" s="1" t="str">
        <f>IF(AND(Programme_Grunddaten!$A231="Geprüft",Programme_Grunddaten!AA231&lt;&gt;""),IF(Programme_Grunddaten!AA231="monolithisch",1,0),"")</f>
        <v/>
      </c>
      <c r="T226" s="1" t="str">
        <f>IF(AND(Programme_Grunddaten!$A231="Geprüft",Programme_Grunddaten!AB231&lt;&gt;""),IF(Programme_Grunddaten!AB231="Ja",1,0),"")</f>
        <v/>
      </c>
      <c r="U226" s="1" t="str">
        <f>IF(AND(Programme_Grunddaten!$A231="Geprüft",Programme_Grunddaten!AC231&lt;&gt;""),IF(Programme_Grunddaten!AC231="Ja",1,0),"")</f>
        <v/>
      </c>
      <c r="V226" s="1" t="str">
        <f>IF(AND(Programme_Grunddaten!$A231="Geprüft",Programme_Grunddaten!AD231&lt;&gt;""),IF(Programme_Grunddaten!AD231="Ja",1,0),"")</f>
        <v/>
      </c>
      <c r="W226" s="1" t="str">
        <f>IF(AND(Programme_Grunddaten!$A231="Geprüft",Programme_Grunddaten!AE231&lt;&gt;""),IF(Programme_Grunddaten!AE231="Ja",1,0),"")</f>
        <v/>
      </c>
      <c r="X226" s="1" t="str">
        <f>IF(AND(Programme_Grunddaten!$A231="Geprüft",Programme_Grunddaten!AF231&lt;&gt;""),IF(Programme_Grunddaten!AF231="Ja",1,0),"")</f>
        <v/>
      </c>
      <c r="Y226" s="1" t="str">
        <f>IF(AND(Programme_Grunddaten!$A231="Geprüft",Programme_Grunddaten!AG231&lt;&gt;""),IF(Programme_Grunddaten!AG231="Ja",1,0),"")</f>
        <v/>
      </c>
      <c r="Z226" s="1" t="str">
        <f>IF(AND(Programme_Grunddaten!$A231="Geprüft",Programme_Grunddaten!AH231&lt;&gt;""),IF(Programme_Grunddaten!AH231="Ja",1,0),"")</f>
        <v/>
      </c>
      <c r="AA226" s="1" t="str">
        <f>IF(AND(Programme_Grunddaten!$A231="Geprüft",Programme_Grunddaten!AI231&lt;&gt;""),IF(Programme_Grunddaten!AI231="Ja",1,0),"")</f>
        <v/>
      </c>
      <c r="AB226" s="1" t="str">
        <f>IF(AND(Programme_Grunddaten!$A231="Geprüft",Programme_Grunddaten!AJ231&lt;&gt;""),IF(Programme_Grunddaten!AJ231="individuell programmierbar",1,0),"")</f>
        <v/>
      </c>
      <c r="AC226" s="1" t="str">
        <f>IF(AND(Programme_Grunddaten!$A231="Geprüft",Programme_Grunddaten!AK231&lt;&gt;""),IF(Programme_Grunddaten!AK231="Deutsch",0,IF(Programme_Grunddaten!AK231="Deutsch und Englisch",1,2)),"")</f>
        <v/>
      </c>
      <c r="AD226" s="1" t="str">
        <f>IF(AND(Programme_Grunddaten!$A231="Geprüft",Programme_Grunddaten!AL231&lt;&gt;""),IF(Programme_Grunddaten!AL231="Ja",1,0),"")</f>
        <v/>
      </c>
      <c r="AE226" s="1" t="str">
        <f>IF(AND(Programme_Grunddaten!$A231="Geprüft",Programme_Grunddaten!AM231&lt;&gt;""),IF(Programme_Grunddaten!AM231="Ja",1,0),"")</f>
        <v/>
      </c>
      <c r="AF226" s="1" t="str">
        <f>IF(AND(Programme_Grunddaten!$A231="Geprüft",Programme_Grunddaten!AN231&lt;&gt;""),IF(Programme_Grunddaten!AN231="Ja",1,0),"")</f>
        <v/>
      </c>
      <c r="AG226" s="1" t="str">
        <f>IF(AND(Programme_Grunddaten!$A231="Geprüft",Programme_Grunddaten!AO231&lt;&gt;""),IF(Programme_Grunddaten!AO231="Ja",1,0),"")</f>
        <v/>
      </c>
      <c r="AH226" s="1" t="str">
        <f>IF(AND(Programme_Grunddaten!$A231="Geprüft",Programme_Grunddaten!AP231&lt;&gt;""),IF(Programme_Grunddaten!AP231="Ja",1,0),"")</f>
        <v/>
      </c>
      <c r="AI226" s="1" t="str">
        <f>IF(AND(Programme_Grunddaten!$A231="Geprüft",Programme_Grunddaten!AQ231&lt;&gt;""),IF(Programme_Grunddaten!AQ231="Ja",1,0),"")</f>
        <v/>
      </c>
      <c r="AJ226" s="1" t="str">
        <f>IF(AND(Programme_Grunddaten!$A231="Geprüft",Programme_Grunddaten!AR231&lt;&gt;""),IF(Programme_Grunddaten!AR231="Ja",1,0),"")</f>
        <v/>
      </c>
      <c r="AK226" s="1" t="str">
        <f>IF(AND(Programme_Grunddaten!$A231="Geprüft",Programme_Grunddaten!AS231&lt;&gt;""),IF(Programme_Grunddaten!AS231="Ja",1,0),"")</f>
        <v/>
      </c>
      <c r="AL226" s="1" t="str">
        <f>IF(AND(Programme_Grunddaten!$A231="Geprüft",Programme_Grunddaten!AT231&lt;&gt;""),IF(Programme_Grunddaten!AT231="Ja",1,0),"")</f>
        <v/>
      </c>
      <c r="AM226" s="1" t="str">
        <f>IF(AND(Programme_Grunddaten!$A231="Geprüft",Programme_Grunddaten!AU231&lt;&gt;""),IF(Programme_Grunddaten!AU231="Ja",1,0),"")</f>
        <v/>
      </c>
      <c r="AN226" s="1" t="str">
        <f>IF(AND(Programme_Grunddaten!$A231="Geprüft",Programme_Grunddaten!AV231&lt;&gt;""),IF(Programme_Grunddaten!AV231="Ja",1,0),"")</f>
        <v/>
      </c>
    </row>
    <row r="227" spans="1:40" x14ac:dyDescent="0.3">
      <c r="A227" s="1" t="str">
        <f>IF(AND(Programme_Grunddaten!A232="Geprüft",Programme_Grunddaten!B232&lt;&gt;""),Programme_Grunddaten!B232,"")</f>
        <v/>
      </c>
      <c r="B227" s="1" t="str">
        <f>IF(AND(Programme_Grunddaten!$A232="Geprüft",Programme_Grunddaten!I232&lt;&gt;""),IF(Programme_Grunddaten!I232="Ja",1,0),"")</f>
        <v/>
      </c>
      <c r="C227" s="1" t="str">
        <f>IF(AND(Programme_Grunddaten!$A232="Geprüft",Programme_Grunddaten!J232&lt;&gt;""),IF(Programme_Grunddaten!J232="Ja",1,0),"")</f>
        <v/>
      </c>
      <c r="D227" s="1" t="str">
        <f>IF(AND(Programme_Grunddaten!$A232="Geprüft",Programme_Grunddaten!K232&lt;&gt;""),IF(Programme_Grunddaten!K232="Ja",1,0),"")</f>
        <v/>
      </c>
      <c r="E227" s="1" t="str">
        <f>IF(AND(Programme_Grunddaten!$A232="Geprüft",Programme_Grunddaten!L232&lt;&gt;""),IF(Programme_Grunddaten!L232="Abo / befristete Lizenz",1,0),"")</f>
        <v/>
      </c>
      <c r="F227" s="1" t="str">
        <f>IF(AND(Programme_Grunddaten!$A232="Geprüft",Programme_Grunddaten!M232&lt;&gt;""),IF(Programme_Grunddaten!M232="Ja",1,0),"")</f>
        <v/>
      </c>
      <c r="G227" s="1" t="str">
        <f>IF(AND(Programme_Grunddaten!$A232="Geprüft",Programme_Grunddaten!N232&lt;&gt;""),IF(Programme_Grunddaten!N232="Ja",1,0),"")</f>
        <v/>
      </c>
      <c r="H227" s="1" t="str">
        <f>IF(AND(Programme_Grunddaten!$A232="Geprüft",Programme_Grunddaten!O232&lt;&gt;""),IF(Programme_Grunddaten!O232="Deutschland",0,IF(Programme_Grunddaten!O232="EU",1,2)),"")</f>
        <v/>
      </c>
      <c r="I227" s="1" t="str">
        <f>IF(AND(Programme_Grunddaten!$A232="Geprüft",Programme_Grunddaten!P232&lt;&gt;""),IF(Programme_Grunddaten!P232="Ja",1,0),"")</f>
        <v/>
      </c>
      <c r="J227" s="1" t="str">
        <f>IF(AND(Programme_Grunddaten!$A232="Geprüft",Programme_Grunddaten!Q232&lt;&gt;""),IF(Programme_Grunddaten!Q232="geschlossenes System",1,0),"")</f>
        <v/>
      </c>
      <c r="K227" s="1" t="str">
        <f>IF(AND(Programme_Grunddaten!$A232="Geprüft",Programme_Grunddaten!R232&lt;&gt;""),IF(Programme_Grunddaten!R232="Ja",1,0),"")</f>
        <v/>
      </c>
      <c r="L227" s="1" t="str">
        <f>IF(AND(Programme_Grunddaten!$A232="Geprüft",Programme_Grunddaten!T232&lt;&gt;""),IF(Programme_Grunddaten!T232="Ja",1,0),"")</f>
        <v/>
      </c>
      <c r="M227" s="1" t="str">
        <f>IF(AND(Programme_Grunddaten!$A232="Geprüft",Programme_Grunddaten!U232&lt;&gt;""),IF(Programme_Grunddaten!U232="Ja",1,0),"")</f>
        <v/>
      </c>
      <c r="N227" s="1" t="str">
        <f>IF(AND(Programme_Grunddaten!$A232="Geprüft",Programme_Grunddaten!V232&lt;&gt;""),IF(Programme_Grunddaten!V232="Ja",1,0),"")</f>
        <v/>
      </c>
      <c r="O227" s="1" t="str">
        <f>IF(AND(Programme_Grunddaten!$A232="Geprüft",Programme_Grunddaten!W232&lt;&gt;""),IF(Programme_Grunddaten!W232="Ja",1,0),"")</f>
        <v/>
      </c>
      <c r="P227" s="1" t="str">
        <f>IF(AND(Programme_Grunddaten!$A232="Geprüft",Programme_Grunddaten!X232&lt;&gt;""),IF(Programme_Grunddaten!X232="Ja",1,0),"")</f>
        <v/>
      </c>
      <c r="Q227" s="1" t="str">
        <f>IF(AND(Programme_Grunddaten!$A232="Geprüft",Programme_Grunddaten!Y232&lt;&gt;""),IF(Programme_Grunddaten!Y232="Ja",1,0),"")</f>
        <v/>
      </c>
      <c r="R227" s="1" t="str">
        <f>IF(AND(Programme_Grunddaten!$A232="Geprüft",Programme_Grunddaten!Z232&lt;&gt;""),IF(Programme_Grunddaten!Z232="Ja",1,0),"")</f>
        <v/>
      </c>
      <c r="S227" s="1" t="str">
        <f>IF(AND(Programme_Grunddaten!$A232="Geprüft",Programme_Grunddaten!AA232&lt;&gt;""),IF(Programme_Grunddaten!AA232="monolithisch",1,0),"")</f>
        <v/>
      </c>
      <c r="T227" s="1" t="str">
        <f>IF(AND(Programme_Grunddaten!$A232="Geprüft",Programme_Grunddaten!AB232&lt;&gt;""),IF(Programme_Grunddaten!AB232="Ja",1,0),"")</f>
        <v/>
      </c>
      <c r="U227" s="1" t="str">
        <f>IF(AND(Programme_Grunddaten!$A232="Geprüft",Programme_Grunddaten!AC232&lt;&gt;""),IF(Programme_Grunddaten!AC232="Ja",1,0),"")</f>
        <v/>
      </c>
      <c r="V227" s="1" t="str">
        <f>IF(AND(Programme_Grunddaten!$A232="Geprüft",Programme_Grunddaten!AD232&lt;&gt;""),IF(Programme_Grunddaten!AD232="Ja",1,0),"")</f>
        <v/>
      </c>
      <c r="W227" s="1" t="str">
        <f>IF(AND(Programme_Grunddaten!$A232="Geprüft",Programme_Grunddaten!AE232&lt;&gt;""),IF(Programme_Grunddaten!AE232="Ja",1,0),"")</f>
        <v/>
      </c>
      <c r="X227" s="1" t="str">
        <f>IF(AND(Programme_Grunddaten!$A232="Geprüft",Programme_Grunddaten!AF232&lt;&gt;""),IF(Programme_Grunddaten!AF232="Ja",1,0),"")</f>
        <v/>
      </c>
      <c r="Y227" s="1" t="str">
        <f>IF(AND(Programme_Grunddaten!$A232="Geprüft",Programme_Grunddaten!AG232&lt;&gt;""),IF(Programme_Grunddaten!AG232="Ja",1,0),"")</f>
        <v/>
      </c>
      <c r="Z227" s="1" t="str">
        <f>IF(AND(Programme_Grunddaten!$A232="Geprüft",Programme_Grunddaten!AH232&lt;&gt;""),IF(Programme_Grunddaten!AH232="Ja",1,0),"")</f>
        <v/>
      </c>
      <c r="AA227" s="1" t="str">
        <f>IF(AND(Programme_Grunddaten!$A232="Geprüft",Programme_Grunddaten!AI232&lt;&gt;""),IF(Programme_Grunddaten!AI232="Ja",1,0),"")</f>
        <v/>
      </c>
      <c r="AB227" s="1" t="str">
        <f>IF(AND(Programme_Grunddaten!$A232="Geprüft",Programme_Grunddaten!AJ232&lt;&gt;""),IF(Programme_Grunddaten!AJ232="individuell programmierbar",1,0),"")</f>
        <v/>
      </c>
      <c r="AC227" s="1" t="str">
        <f>IF(AND(Programme_Grunddaten!$A232="Geprüft",Programme_Grunddaten!AK232&lt;&gt;""),IF(Programme_Grunddaten!AK232="Deutsch",0,IF(Programme_Grunddaten!AK232="Deutsch und Englisch",1,2)),"")</f>
        <v/>
      </c>
      <c r="AD227" s="1" t="str">
        <f>IF(AND(Programme_Grunddaten!$A232="Geprüft",Programme_Grunddaten!AL232&lt;&gt;""),IF(Programme_Grunddaten!AL232="Ja",1,0),"")</f>
        <v/>
      </c>
      <c r="AE227" s="1" t="str">
        <f>IF(AND(Programme_Grunddaten!$A232="Geprüft",Programme_Grunddaten!AM232&lt;&gt;""),IF(Programme_Grunddaten!AM232="Ja",1,0),"")</f>
        <v/>
      </c>
      <c r="AF227" s="1" t="str">
        <f>IF(AND(Programme_Grunddaten!$A232="Geprüft",Programme_Grunddaten!AN232&lt;&gt;""),IF(Programme_Grunddaten!AN232="Ja",1,0),"")</f>
        <v/>
      </c>
      <c r="AG227" s="1" t="str">
        <f>IF(AND(Programme_Grunddaten!$A232="Geprüft",Programme_Grunddaten!AO232&lt;&gt;""),IF(Programme_Grunddaten!AO232="Ja",1,0),"")</f>
        <v/>
      </c>
      <c r="AH227" s="1" t="str">
        <f>IF(AND(Programme_Grunddaten!$A232="Geprüft",Programme_Grunddaten!AP232&lt;&gt;""),IF(Programme_Grunddaten!AP232="Ja",1,0),"")</f>
        <v/>
      </c>
      <c r="AI227" s="1" t="str">
        <f>IF(AND(Programme_Grunddaten!$A232="Geprüft",Programme_Grunddaten!AQ232&lt;&gt;""),IF(Programme_Grunddaten!AQ232="Ja",1,0),"")</f>
        <v/>
      </c>
      <c r="AJ227" s="1" t="str">
        <f>IF(AND(Programme_Grunddaten!$A232="Geprüft",Programme_Grunddaten!AR232&lt;&gt;""),IF(Programme_Grunddaten!AR232="Ja",1,0),"")</f>
        <v/>
      </c>
      <c r="AK227" s="1" t="str">
        <f>IF(AND(Programme_Grunddaten!$A232="Geprüft",Programme_Grunddaten!AS232&lt;&gt;""),IF(Programme_Grunddaten!AS232="Ja",1,0),"")</f>
        <v/>
      </c>
      <c r="AL227" s="1" t="str">
        <f>IF(AND(Programme_Grunddaten!$A232="Geprüft",Programme_Grunddaten!AT232&lt;&gt;""),IF(Programme_Grunddaten!AT232="Ja",1,0),"")</f>
        <v/>
      </c>
      <c r="AM227" s="1" t="str">
        <f>IF(AND(Programme_Grunddaten!$A232="Geprüft",Programme_Grunddaten!AU232&lt;&gt;""),IF(Programme_Grunddaten!AU232="Ja",1,0),"")</f>
        <v/>
      </c>
      <c r="AN227" s="1" t="str">
        <f>IF(AND(Programme_Grunddaten!$A232="Geprüft",Programme_Grunddaten!AV232&lt;&gt;""),IF(Programme_Grunddaten!AV232="Ja",1,0),"")</f>
        <v/>
      </c>
    </row>
    <row r="228" spans="1:40" x14ac:dyDescent="0.3">
      <c r="A228" s="1" t="str">
        <f>IF(AND(Programme_Grunddaten!A233="Geprüft",Programme_Grunddaten!B233&lt;&gt;""),Programme_Grunddaten!B233,"")</f>
        <v/>
      </c>
      <c r="B228" s="1" t="str">
        <f>IF(AND(Programme_Grunddaten!$A233="Geprüft",Programme_Grunddaten!I233&lt;&gt;""),IF(Programme_Grunddaten!I233="Ja",1,0),"")</f>
        <v/>
      </c>
      <c r="C228" s="1" t="str">
        <f>IF(AND(Programme_Grunddaten!$A233="Geprüft",Programme_Grunddaten!J233&lt;&gt;""),IF(Programme_Grunddaten!J233="Ja",1,0),"")</f>
        <v/>
      </c>
      <c r="D228" s="1" t="str">
        <f>IF(AND(Programme_Grunddaten!$A233="Geprüft",Programme_Grunddaten!K233&lt;&gt;""),IF(Programme_Grunddaten!K233="Ja",1,0),"")</f>
        <v/>
      </c>
      <c r="E228" s="1" t="str">
        <f>IF(AND(Programme_Grunddaten!$A233="Geprüft",Programme_Grunddaten!L233&lt;&gt;""),IF(Programme_Grunddaten!L233="Abo / befristete Lizenz",1,0),"")</f>
        <v/>
      </c>
      <c r="F228" s="1" t="str">
        <f>IF(AND(Programme_Grunddaten!$A233="Geprüft",Programme_Grunddaten!M233&lt;&gt;""),IF(Programme_Grunddaten!M233="Ja",1,0),"")</f>
        <v/>
      </c>
      <c r="G228" s="1" t="str">
        <f>IF(AND(Programme_Grunddaten!$A233="Geprüft",Programme_Grunddaten!N233&lt;&gt;""),IF(Programme_Grunddaten!N233="Ja",1,0),"")</f>
        <v/>
      </c>
      <c r="H228" s="1" t="str">
        <f>IF(AND(Programme_Grunddaten!$A233="Geprüft",Programme_Grunddaten!O233&lt;&gt;""),IF(Programme_Grunddaten!O233="Deutschland",0,IF(Programme_Grunddaten!O233="EU",1,2)),"")</f>
        <v/>
      </c>
      <c r="I228" s="1" t="str">
        <f>IF(AND(Programme_Grunddaten!$A233="Geprüft",Programme_Grunddaten!P233&lt;&gt;""),IF(Programme_Grunddaten!P233="Ja",1,0),"")</f>
        <v/>
      </c>
      <c r="J228" s="1" t="str">
        <f>IF(AND(Programme_Grunddaten!$A233="Geprüft",Programme_Grunddaten!Q233&lt;&gt;""),IF(Programme_Grunddaten!Q233="geschlossenes System",1,0),"")</f>
        <v/>
      </c>
      <c r="K228" s="1" t="str">
        <f>IF(AND(Programme_Grunddaten!$A233="Geprüft",Programme_Grunddaten!R233&lt;&gt;""),IF(Programme_Grunddaten!R233="Ja",1,0),"")</f>
        <v/>
      </c>
      <c r="L228" s="1" t="str">
        <f>IF(AND(Programme_Grunddaten!$A233="Geprüft",Programme_Grunddaten!T233&lt;&gt;""),IF(Programme_Grunddaten!T233="Ja",1,0),"")</f>
        <v/>
      </c>
      <c r="M228" s="1" t="str">
        <f>IF(AND(Programme_Grunddaten!$A233="Geprüft",Programme_Grunddaten!U233&lt;&gt;""),IF(Programme_Grunddaten!U233="Ja",1,0),"")</f>
        <v/>
      </c>
      <c r="N228" s="1" t="str">
        <f>IF(AND(Programme_Grunddaten!$A233="Geprüft",Programme_Grunddaten!V233&lt;&gt;""),IF(Programme_Grunddaten!V233="Ja",1,0),"")</f>
        <v/>
      </c>
      <c r="O228" s="1" t="str">
        <f>IF(AND(Programme_Grunddaten!$A233="Geprüft",Programme_Grunddaten!W233&lt;&gt;""),IF(Programme_Grunddaten!W233="Ja",1,0),"")</f>
        <v/>
      </c>
      <c r="P228" s="1" t="str">
        <f>IF(AND(Programme_Grunddaten!$A233="Geprüft",Programme_Grunddaten!X233&lt;&gt;""),IF(Programme_Grunddaten!X233="Ja",1,0),"")</f>
        <v/>
      </c>
      <c r="Q228" s="1" t="str">
        <f>IF(AND(Programme_Grunddaten!$A233="Geprüft",Programme_Grunddaten!Y233&lt;&gt;""),IF(Programme_Grunddaten!Y233="Ja",1,0),"")</f>
        <v/>
      </c>
      <c r="R228" s="1" t="str">
        <f>IF(AND(Programme_Grunddaten!$A233="Geprüft",Programme_Grunddaten!Z233&lt;&gt;""),IF(Programme_Grunddaten!Z233="Ja",1,0),"")</f>
        <v/>
      </c>
      <c r="S228" s="1" t="str">
        <f>IF(AND(Programme_Grunddaten!$A233="Geprüft",Programme_Grunddaten!AA233&lt;&gt;""),IF(Programme_Grunddaten!AA233="monolithisch",1,0),"")</f>
        <v/>
      </c>
      <c r="T228" s="1" t="str">
        <f>IF(AND(Programme_Grunddaten!$A233="Geprüft",Programme_Grunddaten!AB233&lt;&gt;""),IF(Programme_Grunddaten!AB233="Ja",1,0),"")</f>
        <v/>
      </c>
      <c r="U228" s="1" t="str">
        <f>IF(AND(Programme_Grunddaten!$A233="Geprüft",Programme_Grunddaten!AC233&lt;&gt;""),IF(Programme_Grunddaten!AC233="Ja",1,0),"")</f>
        <v/>
      </c>
      <c r="V228" s="1" t="str">
        <f>IF(AND(Programme_Grunddaten!$A233="Geprüft",Programme_Grunddaten!AD233&lt;&gt;""),IF(Programme_Grunddaten!AD233="Ja",1,0),"")</f>
        <v/>
      </c>
      <c r="W228" s="1" t="str">
        <f>IF(AND(Programme_Grunddaten!$A233="Geprüft",Programme_Grunddaten!AE233&lt;&gt;""),IF(Programme_Grunddaten!AE233="Ja",1,0),"")</f>
        <v/>
      </c>
      <c r="X228" s="1" t="str">
        <f>IF(AND(Programme_Grunddaten!$A233="Geprüft",Programme_Grunddaten!AF233&lt;&gt;""),IF(Programme_Grunddaten!AF233="Ja",1,0),"")</f>
        <v/>
      </c>
      <c r="Y228" s="1" t="str">
        <f>IF(AND(Programme_Grunddaten!$A233="Geprüft",Programme_Grunddaten!AG233&lt;&gt;""),IF(Programme_Grunddaten!AG233="Ja",1,0),"")</f>
        <v/>
      </c>
      <c r="Z228" s="1" t="str">
        <f>IF(AND(Programme_Grunddaten!$A233="Geprüft",Programme_Grunddaten!AH233&lt;&gt;""),IF(Programme_Grunddaten!AH233="Ja",1,0),"")</f>
        <v/>
      </c>
      <c r="AA228" s="1" t="str">
        <f>IF(AND(Programme_Grunddaten!$A233="Geprüft",Programme_Grunddaten!AI233&lt;&gt;""),IF(Programme_Grunddaten!AI233="Ja",1,0),"")</f>
        <v/>
      </c>
      <c r="AB228" s="1" t="str">
        <f>IF(AND(Programme_Grunddaten!$A233="Geprüft",Programme_Grunddaten!AJ233&lt;&gt;""),IF(Programme_Grunddaten!AJ233="individuell programmierbar",1,0),"")</f>
        <v/>
      </c>
      <c r="AC228" s="1" t="str">
        <f>IF(AND(Programme_Grunddaten!$A233="Geprüft",Programme_Grunddaten!AK233&lt;&gt;""),IF(Programme_Grunddaten!AK233="Deutsch",0,IF(Programme_Grunddaten!AK233="Deutsch und Englisch",1,2)),"")</f>
        <v/>
      </c>
      <c r="AD228" s="1" t="str">
        <f>IF(AND(Programme_Grunddaten!$A233="Geprüft",Programme_Grunddaten!AL233&lt;&gt;""),IF(Programme_Grunddaten!AL233="Ja",1,0),"")</f>
        <v/>
      </c>
      <c r="AE228" s="1" t="str">
        <f>IF(AND(Programme_Grunddaten!$A233="Geprüft",Programme_Grunddaten!AM233&lt;&gt;""),IF(Programme_Grunddaten!AM233="Ja",1,0),"")</f>
        <v/>
      </c>
      <c r="AF228" s="1" t="str">
        <f>IF(AND(Programme_Grunddaten!$A233="Geprüft",Programme_Grunddaten!AN233&lt;&gt;""),IF(Programme_Grunddaten!AN233="Ja",1,0),"")</f>
        <v/>
      </c>
      <c r="AG228" s="1" t="str">
        <f>IF(AND(Programme_Grunddaten!$A233="Geprüft",Programme_Grunddaten!AO233&lt;&gt;""),IF(Programme_Grunddaten!AO233="Ja",1,0),"")</f>
        <v/>
      </c>
      <c r="AH228" s="1" t="str">
        <f>IF(AND(Programme_Grunddaten!$A233="Geprüft",Programme_Grunddaten!AP233&lt;&gt;""),IF(Programme_Grunddaten!AP233="Ja",1,0),"")</f>
        <v/>
      </c>
      <c r="AI228" s="1" t="str">
        <f>IF(AND(Programme_Grunddaten!$A233="Geprüft",Programme_Grunddaten!AQ233&lt;&gt;""),IF(Programme_Grunddaten!AQ233="Ja",1,0),"")</f>
        <v/>
      </c>
      <c r="AJ228" s="1" t="str">
        <f>IF(AND(Programme_Grunddaten!$A233="Geprüft",Programme_Grunddaten!AR233&lt;&gt;""),IF(Programme_Grunddaten!AR233="Ja",1,0),"")</f>
        <v/>
      </c>
      <c r="AK228" s="1" t="str">
        <f>IF(AND(Programme_Grunddaten!$A233="Geprüft",Programme_Grunddaten!AS233&lt;&gt;""),IF(Programme_Grunddaten!AS233="Ja",1,0),"")</f>
        <v/>
      </c>
      <c r="AL228" s="1" t="str">
        <f>IF(AND(Programme_Grunddaten!$A233="Geprüft",Programme_Grunddaten!AT233&lt;&gt;""),IF(Programme_Grunddaten!AT233="Ja",1,0),"")</f>
        <v/>
      </c>
      <c r="AM228" s="1" t="str">
        <f>IF(AND(Programme_Grunddaten!$A233="Geprüft",Programme_Grunddaten!AU233&lt;&gt;""),IF(Programme_Grunddaten!AU233="Ja",1,0),"")</f>
        <v/>
      </c>
      <c r="AN228" s="1" t="str">
        <f>IF(AND(Programme_Grunddaten!$A233="Geprüft",Programme_Grunddaten!AV233&lt;&gt;""),IF(Programme_Grunddaten!AV233="Ja",1,0),"")</f>
        <v/>
      </c>
    </row>
    <row r="229" spans="1:40" x14ac:dyDescent="0.3">
      <c r="A229" s="1" t="str">
        <f>IF(AND(Programme_Grunddaten!A234="Geprüft",Programme_Grunddaten!B234&lt;&gt;""),Programme_Grunddaten!B234,"")</f>
        <v/>
      </c>
      <c r="B229" s="1" t="str">
        <f>IF(AND(Programme_Grunddaten!$A234="Geprüft",Programme_Grunddaten!I234&lt;&gt;""),IF(Programme_Grunddaten!I234="Ja",1,0),"")</f>
        <v/>
      </c>
      <c r="C229" s="1" t="str">
        <f>IF(AND(Programme_Grunddaten!$A234="Geprüft",Programme_Grunddaten!J234&lt;&gt;""),IF(Programme_Grunddaten!J234="Ja",1,0),"")</f>
        <v/>
      </c>
      <c r="D229" s="1" t="str">
        <f>IF(AND(Programme_Grunddaten!$A234="Geprüft",Programme_Grunddaten!K234&lt;&gt;""),IF(Programme_Grunddaten!K234="Ja",1,0),"")</f>
        <v/>
      </c>
      <c r="E229" s="1" t="str">
        <f>IF(AND(Programme_Grunddaten!$A234="Geprüft",Programme_Grunddaten!L234&lt;&gt;""),IF(Programme_Grunddaten!L234="Abo / befristete Lizenz",1,0),"")</f>
        <v/>
      </c>
      <c r="F229" s="1" t="str">
        <f>IF(AND(Programme_Grunddaten!$A234="Geprüft",Programme_Grunddaten!M234&lt;&gt;""),IF(Programme_Grunddaten!M234="Ja",1,0),"")</f>
        <v/>
      </c>
      <c r="G229" s="1" t="str">
        <f>IF(AND(Programme_Grunddaten!$A234="Geprüft",Programme_Grunddaten!N234&lt;&gt;""),IF(Programme_Grunddaten!N234="Ja",1,0),"")</f>
        <v/>
      </c>
      <c r="H229" s="1" t="str">
        <f>IF(AND(Programme_Grunddaten!$A234="Geprüft",Programme_Grunddaten!O234&lt;&gt;""),IF(Programme_Grunddaten!O234="Deutschland",0,IF(Programme_Grunddaten!O234="EU",1,2)),"")</f>
        <v/>
      </c>
      <c r="I229" s="1" t="str">
        <f>IF(AND(Programme_Grunddaten!$A234="Geprüft",Programme_Grunddaten!P234&lt;&gt;""),IF(Programme_Grunddaten!P234="Ja",1,0),"")</f>
        <v/>
      </c>
      <c r="J229" s="1" t="str">
        <f>IF(AND(Programme_Grunddaten!$A234="Geprüft",Programme_Grunddaten!Q234&lt;&gt;""),IF(Programme_Grunddaten!Q234="geschlossenes System",1,0),"")</f>
        <v/>
      </c>
      <c r="K229" s="1" t="str">
        <f>IF(AND(Programme_Grunddaten!$A234="Geprüft",Programme_Grunddaten!R234&lt;&gt;""),IF(Programme_Grunddaten!R234="Ja",1,0),"")</f>
        <v/>
      </c>
      <c r="L229" s="1" t="str">
        <f>IF(AND(Programme_Grunddaten!$A234="Geprüft",Programme_Grunddaten!T234&lt;&gt;""),IF(Programme_Grunddaten!T234="Ja",1,0),"")</f>
        <v/>
      </c>
      <c r="M229" s="1" t="str">
        <f>IF(AND(Programme_Grunddaten!$A234="Geprüft",Programme_Grunddaten!U234&lt;&gt;""),IF(Programme_Grunddaten!U234="Ja",1,0),"")</f>
        <v/>
      </c>
      <c r="N229" s="1" t="str">
        <f>IF(AND(Programme_Grunddaten!$A234="Geprüft",Programme_Grunddaten!V234&lt;&gt;""),IF(Programme_Grunddaten!V234="Ja",1,0),"")</f>
        <v/>
      </c>
      <c r="O229" s="1" t="str">
        <f>IF(AND(Programme_Grunddaten!$A234="Geprüft",Programme_Grunddaten!W234&lt;&gt;""),IF(Programme_Grunddaten!W234="Ja",1,0),"")</f>
        <v/>
      </c>
      <c r="P229" s="1" t="str">
        <f>IF(AND(Programme_Grunddaten!$A234="Geprüft",Programme_Grunddaten!X234&lt;&gt;""),IF(Programme_Grunddaten!X234="Ja",1,0),"")</f>
        <v/>
      </c>
      <c r="Q229" s="1" t="str">
        <f>IF(AND(Programme_Grunddaten!$A234="Geprüft",Programme_Grunddaten!Y234&lt;&gt;""),IF(Programme_Grunddaten!Y234="Ja",1,0),"")</f>
        <v/>
      </c>
      <c r="R229" s="1" t="str">
        <f>IF(AND(Programme_Grunddaten!$A234="Geprüft",Programme_Grunddaten!Z234&lt;&gt;""),IF(Programme_Grunddaten!Z234="Ja",1,0),"")</f>
        <v/>
      </c>
      <c r="S229" s="1" t="str">
        <f>IF(AND(Programme_Grunddaten!$A234="Geprüft",Programme_Grunddaten!AA234&lt;&gt;""),IF(Programme_Grunddaten!AA234="monolithisch",1,0),"")</f>
        <v/>
      </c>
      <c r="T229" s="1" t="str">
        <f>IF(AND(Programme_Grunddaten!$A234="Geprüft",Programme_Grunddaten!AB234&lt;&gt;""),IF(Programme_Grunddaten!AB234="Ja",1,0),"")</f>
        <v/>
      </c>
      <c r="U229" s="1" t="str">
        <f>IF(AND(Programme_Grunddaten!$A234="Geprüft",Programme_Grunddaten!AC234&lt;&gt;""),IF(Programme_Grunddaten!AC234="Ja",1,0),"")</f>
        <v/>
      </c>
      <c r="V229" s="1" t="str">
        <f>IF(AND(Programme_Grunddaten!$A234="Geprüft",Programme_Grunddaten!AD234&lt;&gt;""),IF(Programme_Grunddaten!AD234="Ja",1,0),"")</f>
        <v/>
      </c>
      <c r="W229" s="1" t="str">
        <f>IF(AND(Programme_Grunddaten!$A234="Geprüft",Programme_Grunddaten!AE234&lt;&gt;""),IF(Programme_Grunddaten!AE234="Ja",1,0),"")</f>
        <v/>
      </c>
      <c r="X229" s="1" t="str">
        <f>IF(AND(Programme_Grunddaten!$A234="Geprüft",Programme_Grunddaten!AF234&lt;&gt;""),IF(Programme_Grunddaten!AF234="Ja",1,0),"")</f>
        <v/>
      </c>
      <c r="Y229" s="1" t="str">
        <f>IF(AND(Programme_Grunddaten!$A234="Geprüft",Programme_Grunddaten!AG234&lt;&gt;""),IF(Programme_Grunddaten!AG234="Ja",1,0),"")</f>
        <v/>
      </c>
      <c r="Z229" s="1" t="str">
        <f>IF(AND(Programme_Grunddaten!$A234="Geprüft",Programme_Grunddaten!AH234&lt;&gt;""),IF(Programme_Grunddaten!AH234="Ja",1,0),"")</f>
        <v/>
      </c>
      <c r="AA229" s="1" t="str">
        <f>IF(AND(Programme_Grunddaten!$A234="Geprüft",Programme_Grunddaten!AI234&lt;&gt;""),IF(Programme_Grunddaten!AI234="Ja",1,0),"")</f>
        <v/>
      </c>
      <c r="AB229" s="1" t="str">
        <f>IF(AND(Programme_Grunddaten!$A234="Geprüft",Programme_Grunddaten!AJ234&lt;&gt;""),IF(Programme_Grunddaten!AJ234="individuell programmierbar",1,0),"")</f>
        <v/>
      </c>
      <c r="AC229" s="1" t="str">
        <f>IF(AND(Programme_Grunddaten!$A234="Geprüft",Programme_Grunddaten!AK234&lt;&gt;""),IF(Programme_Grunddaten!AK234="Deutsch",0,IF(Programme_Grunddaten!AK234="Deutsch und Englisch",1,2)),"")</f>
        <v/>
      </c>
      <c r="AD229" s="1" t="str">
        <f>IF(AND(Programme_Grunddaten!$A234="Geprüft",Programme_Grunddaten!AL234&lt;&gt;""),IF(Programme_Grunddaten!AL234="Ja",1,0),"")</f>
        <v/>
      </c>
      <c r="AE229" s="1" t="str">
        <f>IF(AND(Programme_Grunddaten!$A234="Geprüft",Programme_Grunddaten!AM234&lt;&gt;""),IF(Programme_Grunddaten!AM234="Ja",1,0),"")</f>
        <v/>
      </c>
      <c r="AF229" s="1" t="str">
        <f>IF(AND(Programme_Grunddaten!$A234="Geprüft",Programme_Grunddaten!AN234&lt;&gt;""),IF(Programme_Grunddaten!AN234="Ja",1,0),"")</f>
        <v/>
      </c>
      <c r="AG229" s="1" t="str">
        <f>IF(AND(Programme_Grunddaten!$A234="Geprüft",Programme_Grunddaten!AO234&lt;&gt;""),IF(Programme_Grunddaten!AO234="Ja",1,0),"")</f>
        <v/>
      </c>
      <c r="AH229" s="1" t="str">
        <f>IF(AND(Programme_Grunddaten!$A234="Geprüft",Programme_Grunddaten!AP234&lt;&gt;""),IF(Programme_Grunddaten!AP234="Ja",1,0),"")</f>
        <v/>
      </c>
      <c r="AI229" s="1" t="str">
        <f>IF(AND(Programme_Grunddaten!$A234="Geprüft",Programme_Grunddaten!AQ234&lt;&gt;""),IF(Programme_Grunddaten!AQ234="Ja",1,0),"")</f>
        <v/>
      </c>
      <c r="AJ229" s="1" t="str">
        <f>IF(AND(Programme_Grunddaten!$A234="Geprüft",Programme_Grunddaten!AR234&lt;&gt;""),IF(Programme_Grunddaten!AR234="Ja",1,0),"")</f>
        <v/>
      </c>
      <c r="AK229" s="1" t="str">
        <f>IF(AND(Programme_Grunddaten!$A234="Geprüft",Programme_Grunddaten!AS234&lt;&gt;""),IF(Programme_Grunddaten!AS234="Ja",1,0),"")</f>
        <v/>
      </c>
      <c r="AL229" s="1" t="str">
        <f>IF(AND(Programme_Grunddaten!$A234="Geprüft",Programme_Grunddaten!AT234&lt;&gt;""),IF(Programme_Grunddaten!AT234="Ja",1,0),"")</f>
        <v/>
      </c>
      <c r="AM229" s="1" t="str">
        <f>IF(AND(Programme_Grunddaten!$A234="Geprüft",Programme_Grunddaten!AU234&lt;&gt;""),IF(Programme_Grunddaten!AU234="Ja",1,0),"")</f>
        <v/>
      </c>
      <c r="AN229" s="1" t="str">
        <f>IF(AND(Programme_Grunddaten!$A234="Geprüft",Programme_Grunddaten!AV234&lt;&gt;""),IF(Programme_Grunddaten!AV234="Ja",1,0),"")</f>
        <v/>
      </c>
    </row>
    <row r="230" spans="1:40" x14ac:dyDescent="0.3">
      <c r="A230" s="1" t="str">
        <f>IF(AND(Programme_Grunddaten!A235="Geprüft",Programme_Grunddaten!B235&lt;&gt;""),Programme_Grunddaten!B235,"")</f>
        <v/>
      </c>
      <c r="B230" s="1" t="str">
        <f>IF(AND(Programme_Grunddaten!$A235="Geprüft",Programme_Grunddaten!I235&lt;&gt;""),IF(Programme_Grunddaten!I235="Ja",1,0),"")</f>
        <v/>
      </c>
      <c r="C230" s="1" t="str">
        <f>IF(AND(Programme_Grunddaten!$A235="Geprüft",Programme_Grunddaten!J235&lt;&gt;""),IF(Programme_Grunddaten!J235="Ja",1,0),"")</f>
        <v/>
      </c>
      <c r="D230" s="1" t="str">
        <f>IF(AND(Programme_Grunddaten!$A235="Geprüft",Programme_Grunddaten!K235&lt;&gt;""),IF(Programme_Grunddaten!K235="Ja",1,0),"")</f>
        <v/>
      </c>
      <c r="E230" s="1" t="str">
        <f>IF(AND(Programme_Grunddaten!$A235="Geprüft",Programme_Grunddaten!L235&lt;&gt;""),IF(Programme_Grunddaten!L235="Abo / befristete Lizenz",1,0),"")</f>
        <v/>
      </c>
      <c r="F230" s="1" t="str">
        <f>IF(AND(Programme_Grunddaten!$A235="Geprüft",Programme_Grunddaten!M235&lt;&gt;""),IF(Programme_Grunddaten!M235="Ja",1,0),"")</f>
        <v/>
      </c>
      <c r="G230" s="1" t="str">
        <f>IF(AND(Programme_Grunddaten!$A235="Geprüft",Programme_Grunddaten!N235&lt;&gt;""),IF(Programme_Grunddaten!N235="Ja",1,0),"")</f>
        <v/>
      </c>
      <c r="H230" s="1" t="str">
        <f>IF(AND(Programme_Grunddaten!$A235="Geprüft",Programme_Grunddaten!O235&lt;&gt;""),IF(Programme_Grunddaten!O235="Deutschland",0,IF(Programme_Grunddaten!O235="EU",1,2)),"")</f>
        <v/>
      </c>
      <c r="I230" s="1" t="str">
        <f>IF(AND(Programme_Grunddaten!$A235="Geprüft",Programme_Grunddaten!P235&lt;&gt;""),IF(Programme_Grunddaten!P235="Ja",1,0),"")</f>
        <v/>
      </c>
      <c r="J230" s="1" t="str">
        <f>IF(AND(Programme_Grunddaten!$A235="Geprüft",Programme_Grunddaten!Q235&lt;&gt;""),IF(Programme_Grunddaten!Q235="geschlossenes System",1,0),"")</f>
        <v/>
      </c>
      <c r="K230" s="1" t="str">
        <f>IF(AND(Programme_Grunddaten!$A235="Geprüft",Programme_Grunddaten!R235&lt;&gt;""),IF(Programme_Grunddaten!R235="Ja",1,0),"")</f>
        <v/>
      </c>
      <c r="L230" s="1" t="str">
        <f>IF(AND(Programme_Grunddaten!$A235="Geprüft",Programme_Grunddaten!T235&lt;&gt;""),IF(Programme_Grunddaten!T235="Ja",1,0),"")</f>
        <v/>
      </c>
      <c r="M230" s="1" t="str">
        <f>IF(AND(Programme_Grunddaten!$A235="Geprüft",Programme_Grunddaten!U235&lt;&gt;""),IF(Programme_Grunddaten!U235="Ja",1,0),"")</f>
        <v/>
      </c>
      <c r="N230" s="1" t="str">
        <f>IF(AND(Programme_Grunddaten!$A235="Geprüft",Programme_Grunddaten!V235&lt;&gt;""),IF(Programme_Grunddaten!V235="Ja",1,0),"")</f>
        <v/>
      </c>
      <c r="O230" s="1" t="str">
        <f>IF(AND(Programme_Grunddaten!$A235="Geprüft",Programme_Grunddaten!W235&lt;&gt;""),IF(Programme_Grunddaten!W235="Ja",1,0),"")</f>
        <v/>
      </c>
      <c r="P230" s="1" t="str">
        <f>IF(AND(Programme_Grunddaten!$A235="Geprüft",Programme_Grunddaten!X235&lt;&gt;""),IF(Programme_Grunddaten!X235="Ja",1,0),"")</f>
        <v/>
      </c>
      <c r="Q230" s="1" t="str">
        <f>IF(AND(Programme_Grunddaten!$A235="Geprüft",Programme_Grunddaten!Y235&lt;&gt;""),IF(Programme_Grunddaten!Y235="Ja",1,0),"")</f>
        <v/>
      </c>
      <c r="R230" s="1" t="str">
        <f>IF(AND(Programme_Grunddaten!$A235="Geprüft",Programme_Grunddaten!Z235&lt;&gt;""),IF(Programme_Grunddaten!Z235="Ja",1,0),"")</f>
        <v/>
      </c>
      <c r="S230" s="1" t="str">
        <f>IF(AND(Programme_Grunddaten!$A235="Geprüft",Programme_Grunddaten!AA235&lt;&gt;""),IF(Programme_Grunddaten!AA235="monolithisch",1,0),"")</f>
        <v/>
      </c>
      <c r="T230" s="1" t="str">
        <f>IF(AND(Programme_Grunddaten!$A235="Geprüft",Programme_Grunddaten!AB235&lt;&gt;""),IF(Programme_Grunddaten!AB235="Ja",1,0),"")</f>
        <v/>
      </c>
      <c r="U230" s="1" t="str">
        <f>IF(AND(Programme_Grunddaten!$A235="Geprüft",Programme_Grunddaten!AC235&lt;&gt;""),IF(Programme_Grunddaten!AC235="Ja",1,0),"")</f>
        <v/>
      </c>
      <c r="V230" s="1" t="str">
        <f>IF(AND(Programme_Grunddaten!$A235="Geprüft",Programme_Grunddaten!AD235&lt;&gt;""),IF(Programme_Grunddaten!AD235="Ja",1,0),"")</f>
        <v/>
      </c>
      <c r="W230" s="1" t="str">
        <f>IF(AND(Programme_Grunddaten!$A235="Geprüft",Programme_Grunddaten!AE235&lt;&gt;""),IF(Programme_Grunddaten!AE235="Ja",1,0),"")</f>
        <v/>
      </c>
      <c r="X230" s="1" t="str">
        <f>IF(AND(Programme_Grunddaten!$A235="Geprüft",Programme_Grunddaten!AF235&lt;&gt;""),IF(Programme_Grunddaten!AF235="Ja",1,0),"")</f>
        <v/>
      </c>
      <c r="Y230" s="1" t="str">
        <f>IF(AND(Programme_Grunddaten!$A235="Geprüft",Programme_Grunddaten!AG235&lt;&gt;""),IF(Programme_Grunddaten!AG235="Ja",1,0),"")</f>
        <v/>
      </c>
      <c r="Z230" s="1" t="str">
        <f>IF(AND(Programme_Grunddaten!$A235="Geprüft",Programme_Grunddaten!AH235&lt;&gt;""),IF(Programme_Grunddaten!AH235="Ja",1,0),"")</f>
        <v/>
      </c>
      <c r="AA230" s="1" t="str">
        <f>IF(AND(Programme_Grunddaten!$A235="Geprüft",Programme_Grunddaten!AI235&lt;&gt;""),IF(Programme_Grunddaten!AI235="Ja",1,0),"")</f>
        <v/>
      </c>
      <c r="AB230" s="1" t="str">
        <f>IF(AND(Programme_Grunddaten!$A235="Geprüft",Programme_Grunddaten!AJ235&lt;&gt;""),IF(Programme_Grunddaten!AJ235="individuell programmierbar",1,0),"")</f>
        <v/>
      </c>
      <c r="AC230" s="1" t="str">
        <f>IF(AND(Programme_Grunddaten!$A235="Geprüft",Programme_Grunddaten!AK235&lt;&gt;""),IF(Programme_Grunddaten!AK235="Deutsch",0,IF(Programme_Grunddaten!AK235="Deutsch und Englisch",1,2)),"")</f>
        <v/>
      </c>
      <c r="AD230" s="1" t="str">
        <f>IF(AND(Programme_Grunddaten!$A235="Geprüft",Programme_Grunddaten!AL235&lt;&gt;""),IF(Programme_Grunddaten!AL235="Ja",1,0),"")</f>
        <v/>
      </c>
      <c r="AE230" s="1" t="str">
        <f>IF(AND(Programme_Grunddaten!$A235="Geprüft",Programme_Grunddaten!AM235&lt;&gt;""),IF(Programme_Grunddaten!AM235="Ja",1,0),"")</f>
        <v/>
      </c>
      <c r="AF230" s="1" t="str">
        <f>IF(AND(Programme_Grunddaten!$A235="Geprüft",Programme_Grunddaten!AN235&lt;&gt;""),IF(Programme_Grunddaten!AN235="Ja",1,0),"")</f>
        <v/>
      </c>
      <c r="AG230" s="1" t="str">
        <f>IF(AND(Programme_Grunddaten!$A235="Geprüft",Programme_Grunddaten!AO235&lt;&gt;""),IF(Programme_Grunddaten!AO235="Ja",1,0),"")</f>
        <v/>
      </c>
      <c r="AH230" s="1" t="str">
        <f>IF(AND(Programme_Grunddaten!$A235="Geprüft",Programme_Grunddaten!AP235&lt;&gt;""),IF(Programme_Grunddaten!AP235="Ja",1,0),"")</f>
        <v/>
      </c>
      <c r="AI230" s="1" t="str">
        <f>IF(AND(Programme_Grunddaten!$A235="Geprüft",Programme_Grunddaten!AQ235&lt;&gt;""),IF(Programme_Grunddaten!AQ235="Ja",1,0),"")</f>
        <v/>
      </c>
      <c r="AJ230" s="1" t="str">
        <f>IF(AND(Programme_Grunddaten!$A235="Geprüft",Programme_Grunddaten!AR235&lt;&gt;""),IF(Programme_Grunddaten!AR235="Ja",1,0),"")</f>
        <v/>
      </c>
      <c r="AK230" s="1" t="str">
        <f>IF(AND(Programme_Grunddaten!$A235="Geprüft",Programme_Grunddaten!AS235&lt;&gt;""),IF(Programme_Grunddaten!AS235="Ja",1,0),"")</f>
        <v/>
      </c>
      <c r="AL230" s="1" t="str">
        <f>IF(AND(Programme_Grunddaten!$A235="Geprüft",Programme_Grunddaten!AT235&lt;&gt;""),IF(Programme_Grunddaten!AT235="Ja",1,0),"")</f>
        <v/>
      </c>
      <c r="AM230" s="1" t="str">
        <f>IF(AND(Programme_Grunddaten!$A235="Geprüft",Programme_Grunddaten!AU235&lt;&gt;""),IF(Programme_Grunddaten!AU235="Ja",1,0),"")</f>
        <v/>
      </c>
      <c r="AN230" s="1" t="str">
        <f>IF(AND(Programme_Grunddaten!$A235="Geprüft",Programme_Grunddaten!AV235&lt;&gt;""),IF(Programme_Grunddaten!AV235="Ja",1,0),"")</f>
        <v/>
      </c>
    </row>
    <row r="231" spans="1:40" x14ac:dyDescent="0.3">
      <c r="A231" s="1" t="str">
        <f>IF(AND(Programme_Grunddaten!A236="Geprüft",Programme_Grunddaten!B236&lt;&gt;""),Programme_Grunddaten!B236,"")</f>
        <v/>
      </c>
      <c r="B231" s="1" t="str">
        <f>IF(AND(Programme_Grunddaten!$A236="Geprüft",Programme_Grunddaten!I236&lt;&gt;""),IF(Programme_Grunddaten!I236="Ja",1,0),"")</f>
        <v/>
      </c>
      <c r="C231" s="1" t="str">
        <f>IF(AND(Programme_Grunddaten!$A236="Geprüft",Programme_Grunddaten!J236&lt;&gt;""),IF(Programme_Grunddaten!J236="Ja",1,0),"")</f>
        <v/>
      </c>
      <c r="D231" s="1" t="str">
        <f>IF(AND(Programme_Grunddaten!$A236="Geprüft",Programme_Grunddaten!K236&lt;&gt;""),IF(Programme_Grunddaten!K236="Ja",1,0),"")</f>
        <v/>
      </c>
      <c r="E231" s="1" t="str">
        <f>IF(AND(Programme_Grunddaten!$A236="Geprüft",Programme_Grunddaten!L236&lt;&gt;""),IF(Programme_Grunddaten!L236="Abo / befristete Lizenz",1,0),"")</f>
        <v/>
      </c>
      <c r="F231" s="1" t="str">
        <f>IF(AND(Programme_Grunddaten!$A236="Geprüft",Programme_Grunddaten!M236&lt;&gt;""),IF(Programme_Grunddaten!M236="Ja",1,0),"")</f>
        <v/>
      </c>
      <c r="G231" s="1" t="str">
        <f>IF(AND(Programme_Grunddaten!$A236="Geprüft",Programme_Grunddaten!N236&lt;&gt;""),IF(Programme_Grunddaten!N236="Ja",1,0),"")</f>
        <v/>
      </c>
      <c r="H231" s="1" t="str">
        <f>IF(AND(Programme_Grunddaten!$A236="Geprüft",Programme_Grunddaten!O236&lt;&gt;""),IF(Programme_Grunddaten!O236="Deutschland",0,IF(Programme_Grunddaten!O236="EU",1,2)),"")</f>
        <v/>
      </c>
      <c r="I231" s="1" t="str">
        <f>IF(AND(Programme_Grunddaten!$A236="Geprüft",Programme_Grunddaten!P236&lt;&gt;""),IF(Programme_Grunddaten!P236="Ja",1,0),"")</f>
        <v/>
      </c>
      <c r="J231" s="1" t="str">
        <f>IF(AND(Programme_Grunddaten!$A236="Geprüft",Programme_Grunddaten!Q236&lt;&gt;""),IF(Programme_Grunddaten!Q236="geschlossenes System",1,0),"")</f>
        <v/>
      </c>
      <c r="K231" s="1" t="str">
        <f>IF(AND(Programme_Grunddaten!$A236="Geprüft",Programme_Grunddaten!R236&lt;&gt;""),IF(Programme_Grunddaten!R236="Ja",1,0),"")</f>
        <v/>
      </c>
      <c r="L231" s="1" t="str">
        <f>IF(AND(Programme_Grunddaten!$A236="Geprüft",Programme_Grunddaten!T236&lt;&gt;""),IF(Programme_Grunddaten!T236="Ja",1,0),"")</f>
        <v/>
      </c>
      <c r="M231" s="1" t="str">
        <f>IF(AND(Programme_Grunddaten!$A236="Geprüft",Programme_Grunddaten!U236&lt;&gt;""),IF(Programme_Grunddaten!U236="Ja",1,0),"")</f>
        <v/>
      </c>
      <c r="N231" s="1" t="str">
        <f>IF(AND(Programme_Grunddaten!$A236="Geprüft",Programme_Grunddaten!V236&lt;&gt;""),IF(Programme_Grunddaten!V236="Ja",1,0),"")</f>
        <v/>
      </c>
      <c r="O231" s="1" t="str">
        <f>IF(AND(Programme_Grunddaten!$A236="Geprüft",Programme_Grunddaten!W236&lt;&gt;""),IF(Programme_Grunddaten!W236="Ja",1,0),"")</f>
        <v/>
      </c>
      <c r="P231" s="1" t="str">
        <f>IF(AND(Programme_Grunddaten!$A236="Geprüft",Programme_Grunddaten!X236&lt;&gt;""),IF(Programme_Grunddaten!X236="Ja",1,0),"")</f>
        <v/>
      </c>
      <c r="Q231" s="1" t="str">
        <f>IF(AND(Programme_Grunddaten!$A236="Geprüft",Programme_Grunddaten!Y236&lt;&gt;""),IF(Programme_Grunddaten!Y236="Ja",1,0),"")</f>
        <v/>
      </c>
      <c r="R231" s="1" t="str">
        <f>IF(AND(Programme_Grunddaten!$A236="Geprüft",Programme_Grunddaten!Z236&lt;&gt;""),IF(Programme_Grunddaten!Z236="Ja",1,0),"")</f>
        <v/>
      </c>
      <c r="S231" s="1" t="str">
        <f>IF(AND(Programme_Grunddaten!$A236="Geprüft",Programme_Grunddaten!AA236&lt;&gt;""),IF(Programme_Grunddaten!AA236="monolithisch",1,0),"")</f>
        <v/>
      </c>
      <c r="T231" s="1" t="str">
        <f>IF(AND(Programme_Grunddaten!$A236="Geprüft",Programme_Grunddaten!AB236&lt;&gt;""),IF(Programme_Grunddaten!AB236="Ja",1,0),"")</f>
        <v/>
      </c>
      <c r="U231" s="1" t="str">
        <f>IF(AND(Programme_Grunddaten!$A236="Geprüft",Programme_Grunddaten!AC236&lt;&gt;""),IF(Programme_Grunddaten!AC236="Ja",1,0),"")</f>
        <v/>
      </c>
      <c r="V231" s="1" t="str">
        <f>IF(AND(Programme_Grunddaten!$A236="Geprüft",Programme_Grunddaten!AD236&lt;&gt;""),IF(Programme_Grunddaten!AD236="Ja",1,0),"")</f>
        <v/>
      </c>
      <c r="W231" s="1" t="str">
        <f>IF(AND(Programme_Grunddaten!$A236="Geprüft",Programme_Grunddaten!AE236&lt;&gt;""),IF(Programme_Grunddaten!AE236="Ja",1,0),"")</f>
        <v/>
      </c>
      <c r="X231" s="1" t="str">
        <f>IF(AND(Programme_Grunddaten!$A236="Geprüft",Programme_Grunddaten!AF236&lt;&gt;""),IF(Programme_Grunddaten!AF236="Ja",1,0),"")</f>
        <v/>
      </c>
      <c r="Y231" s="1" t="str">
        <f>IF(AND(Programme_Grunddaten!$A236="Geprüft",Programme_Grunddaten!AG236&lt;&gt;""),IF(Programme_Grunddaten!AG236="Ja",1,0),"")</f>
        <v/>
      </c>
      <c r="Z231" s="1" t="str">
        <f>IF(AND(Programme_Grunddaten!$A236="Geprüft",Programme_Grunddaten!AH236&lt;&gt;""),IF(Programme_Grunddaten!AH236="Ja",1,0),"")</f>
        <v/>
      </c>
      <c r="AA231" s="1" t="str">
        <f>IF(AND(Programme_Grunddaten!$A236="Geprüft",Programme_Grunddaten!AI236&lt;&gt;""),IF(Programme_Grunddaten!AI236="Ja",1,0),"")</f>
        <v/>
      </c>
      <c r="AB231" s="1" t="str">
        <f>IF(AND(Programme_Grunddaten!$A236="Geprüft",Programme_Grunddaten!AJ236&lt;&gt;""),IF(Programme_Grunddaten!AJ236="individuell programmierbar",1,0),"")</f>
        <v/>
      </c>
      <c r="AC231" s="1" t="str">
        <f>IF(AND(Programme_Grunddaten!$A236="Geprüft",Programme_Grunddaten!AK236&lt;&gt;""),IF(Programme_Grunddaten!AK236="Deutsch",0,IF(Programme_Grunddaten!AK236="Deutsch und Englisch",1,2)),"")</f>
        <v/>
      </c>
      <c r="AD231" s="1" t="str">
        <f>IF(AND(Programme_Grunddaten!$A236="Geprüft",Programme_Grunddaten!AL236&lt;&gt;""),IF(Programme_Grunddaten!AL236="Ja",1,0),"")</f>
        <v/>
      </c>
      <c r="AE231" s="1" t="str">
        <f>IF(AND(Programme_Grunddaten!$A236="Geprüft",Programme_Grunddaten!AM236&lt;&gt;""),IF(Programme_Grunddaten!AM236="Ja",1,0),"")</f>
        <v/>
      </c>
      <c r="AF231" s="1" t="str">
        <f>IF(AND(Programme_Grunddaten!$A236="Geprüft",Programme_Grunddaten!AN236&lt;&gt;""),IF(Programme_Grunddaten!AN236="Ja",1,0),"")</f>
        <v/>
      </c>
      <c r="AG231" s="1" t="str">
        <f>IF(AND(Programme_Grunddaten!$A236="Geprüft",Programme_Grunddaten!AO236&lt;&gt;""),IF(Programme_Grunddaten!AO236="Ja",1,0),"")</f>
        <v/>
      </c>
      <c r="AH231" s="1" t="str">
        <f>IF(AND(Programme_Grunddaten!$A236="Geprüft",Programme_Grunddaten!AP236&lt;&gt;""),IF(Programme_Grunddaten!AP236="Ja",1,0),"")</f>
        <v/>
      </c>
      <c r="AI231" s="1" t="str">
        <f>IF(AND(Programme_Grunddaten!$A236="Geprüft",Programme_Grunddaten!AQ236&lt;&gt;""),IF(Programme_Grunddaten!AQ236="Ja",1,0),"")</f>
        <v/>
      </c>
      <c r="AJ231" s="1" t="str">
        <f>IF(AND(Programme_Grunddaten!$A236="Geprüft",Programme_Grunddaten!AR236&lt;&gt;""),IF(Programme_Grunddaten!AR236="Ja",1,0),"")</f>
        <v/>
      </c>
      <c r="AK231" s="1" t="str">
        <f>IF(AND(Programme_Grunddaten!$A236="Geprüft",Programme_Grunddaten!AS236&lt;&gt;""),IF(Programme_Grunddaten!AS236="Ja",1,0),"")</f>
        <v/>
      </c>
      <c r="AL231" s="1" t="str">
        <f>IF(AND(Programme_Grunddaten!$A236="Geprüft",Programme_Grunddaten!AT236&lt;&gt;""),IF(Programme_Grunddaten!AT236="Ja",1,0),"")</f>
        <v/>
      </c>
      <c r="AM231" s="1" t="str">
        <f>IF(AND(Programme_Grunddaten!$A236="Geprüft",Programme_Grunddaten!AU236&lt;&gt;""),IF(Programme_Grunddaten!AU236="Ja",1,0),"")</f>
        <v/>
      </c>
      <c r="AN231" s="1" t="str">
        <f>IF(AND(Programme_Grunddaten!$A236="Geprüft",Programme_Grunddaten!AV236&lt;&gt;""),IF(Programme_Grunddaten!AV236="Ja",1,0),"")</f>
        <v/>
      </c>
    </row>
    <row r="232" spans="1:40" x14ac:dyDescent="0.3">
      <c r="A232" s="1" t="str">
        <f>IF(AND(Programme_Grunddaten!A237="Geprüft",Programme_Grunddaten!B237&lt;&gt;""),Programme_Grunddaten!B237,"")</f>
        <v/>
      </c>
      <c r="B232" s="1" t="str">
        <f>IF(AND(Programme_Grunddaten!$A237="Geprüft",Programme_Grunddaten!I237&lt;&gt;""),IF(Programme_Grunddaten!I237="Ja",1,0),"")</f>
        <v/>
      </c>
      <c r="C232" s="1" t="str">
        <f>IF(AND(Programme_Grunddaten!$A237="Geprüft",Programme_Grunddaten!J237&lt;&gt;""),IF(Programme_Grunddaten!J237="Ja",1,0),"")</f>
        <v/>
      </c>
      <c r="D232" s="1" t="str">
        <f>IF(AND(Programme_Grunddaten!$A237="Geprüft",Programme_Grunddaten!K237&lt;&gt;""),IF(Programme_Grunddaten!K237="Ja",1,0),"")</f>
        <v/>
      </c>
      <c r="E232" s="1" t="str">
        <f>IF(AND(Programme_Grunddaten!$A237="Geprüft",Programme_Grunddaten!L237&lt;&gt;""),IF(Programme_Grunddaten!L237="Abo / befristete Lizenz",1,0),"")</f>
        <v/>
      </c>
      <c r="F232" s="1" t="str">
        <f>IF(AND(Programme_Grunddaten!$A237="Geprüft",Programme_Grunddaten!M237&lt;&gt;""),IF(Programme_Grunddaten!M237="Ja",1,0),"")</f>
        <v/>
      </c>
      <c r="G232" s="1" t="str">
        <f>IF(AND(Programme_Grunddaten!$A237="Geprüft",Programme_Grunddaten!N237&lt;&gt;""),IF(Programme_Grunddaten!N237="Ja",1,0),"")</f>
        <v/>
      </c>
      <c r="H232" s="1" t="str">
        <f>IF(AND(Programme_Grunddaten!$A237="Geprüft",Programme_Grunddaten!O237&lt;&gt;""),IF(Programme_Grunddaten!O237="Deutschland",0,IF(Programme_Grunddaten!O237="EU",1,2)),"")</f>
        <v/>
      </c>
      <c r="I232" s="1" t="str">
        <f>IF(AND(Programme_Grunddaten!$A237="Geprüft",Programme_Grunddaten!P237&lt;&gt;""),IF(Programme_Grunddaten!P237="Ja",1,0),"")</f>
        <v/>
      </c>
      <c r="J232" s="1" t="str">
        <f>IF(AND(Programme_Grunddaten!$A237="Geprüft",Programme_Grunddaten!Q237&lt;&gt;""),IF(Programme_Grunddaten!Q237="geschlossenes System",1,0),"")</f>
        <v/>
      </c>
      <c r="K232" s="1" t="str">
        <f>IF(AND(Programme_Grunddaten!$A237="Geprüft",Programme_Grunddaten!R237&lt;&gt;""),IF(Programme_Grunddaten!R237="Ja",1,0),"")</f>
        <v/>
      </c>
      <c r="L232" s="1" t="str">
        <f>IF(AND(Programme_Grunddaten!$A237="Geprüft",Programme_Grunddaten!T237&lt;&gt;""),IF(Programme_Grunddaten!T237="Ja",1,0),"")</f>
        <v/>
      </c>
      <c r="M232" s="1" t="str">
        <f>IF(AND(Programme_Grunddaten!$A237="Geprüft",Programme_Grunddaten!U237&lt;&gt;""),IF(Programme_Grunddaten!U237="Ja",1,0),"")</f>
        <v/>
      </c>
      <c r="N232" s="1" t="str">
        <f>IF(AND(Programme_Grunddaten!$A237="Geprüft",Programme_Grunddaten!V237&lt;&gt;""),IF(Programme_Grunddaten!V237="Ja",1,0),"")</f>
        <v/>
      </c>
      <c r="O232" s="1" t="str">
        <f>IF(AND(Programme_Grunddaten!$A237="Geprüft",Programme_Grunddaten!W237&lt;&gt;""),IF(Programme_Grunddaten!W237="Ja",1,0),"")</f>
        <v/>
      </c>
      <c r="P232" s="1" t="str">
        <f>IF(AND(Programme_Grunddaten!$A237="Geprüft",Programme_Grunddaten!X237&lt;&gt;""),IF(Programme_Grunddaten!X237="Ja",1,0),"")</f>
        <v/>
      </c>
      <c r="Q232" s="1" t="str">
        <f>IF(AND(Programme_Grunddaten!$A237="Geprüft",Programme_Grunddaten!Y237&lt;&gt;""),IF(Programme_Grunddaten!Y237="Ja",1,0),"")</f>
        <v/>
      </c>
      <c r="R232" s="1" t="str">
        <f>IF(AND(Programme_Grunddaten!$A237="Geprüft",Programme_Grunddaten!Z237&lt;&gt;""),IF(Programme_Grunddaten!Z237="Ja",1,0),"")</f>
        <v/>
      </c>
      <c r="S232" s="1" t="str">
        <f>IF(AND(Programme_Grunddaten!$A237="Geprüft",Programme_Grunddaten!AA237&lt;&gt;""),IF(Programme_Grunddaten!AA237="monolithisch",1,0),"")</f>
        <v/>
      </c>
      <c r="T232" s="1" t="str">
        <f>IF(AND(Programme_Grunddaten!$A237="Geprüft",Programme_Grunddaten!AB237&lt;&gt;""),IF(Programme_Grunddaten!AB237="Ja",1,0),"")</f>
        <v/>
      </c>
      <c r="U232" s="1" t="str">
        <f>IF(AND(Programme_Grunddaten!$A237="Geprüft",Programme_Grunddaten!AC237&lt;&gt;""),IF(Programme_Grunddaten!AC237="Ja",1,0),"")</f>
        <v/>
      </c>
      <c r="V232" s="1" t="str">
        <f>IF(AND(Programme_Grunddaten!$A237="Geprüft",Programme_Grunddaten!AD237&lt;&gt;""),IF(Programme_Grunddaten!AD237="Ja",1,0),"")</f>
        <v/>
      </c>
      <c r="W232" s="1" t="str">
        <f>IF(AND(Programme_Grunddaten!$A237="Geprüft",Programme_Grunddaten!AE237&lt;&gt;""),IF(Programme_Grunddaten!AE237="Ja",1,0),"")</f>
        <v/>
      </c>
      <c r="X232" s="1" t="str">
        <f>IF(AND(Programme_Grunddaten!$A237="Geprüft",Programme_Grunddaten!AF237&lt;&gt;""),IF(Programme_Grunddaten!AF237="Ja",1,0),"")</f>
        <v/>
      </c>
      <c r="Y232" s="1" t="str">
        <f>IF(AND(Programme_Grunddaten!$A237="Geprüft",Programme_Grunddaten!AG237&lt;&gt;""),IF(Programme_Grunddaten!AG237="Ja",1,0),"")</f>
        <v/>
      </c>
      <c r="Z232" s="1" t="str">
        <f>IF(AND(Programme_Grunddaten!$A237="Geprüft",Programme_Grunddaten!AH237&lt;&gt;""),IF(Programme_Grunddaten!AH237="Ja",1,0),"")</f>
        <v/>
      </c>
      <c r="AA232" s="1" t="str">
        <f>IF(AND(Programme_Grunddaten!$A237="Geprüft",Programme_Grunddaten!AI237&lt;&gt;""),IF(Programme_Grunddaten!AI237="Ja",1,0),"")</f>
        <v/>
      </c>
      <c r="AB232" s="1" t="str">
        <f>IF(AND(Programme_Grunddaten!$A237="Geprüft",Programme_Grunddaten!AJ237&lt;&gt;""),IF(Programme_Grunddaten!AJ237="individuell programmierbar",1,0),"")</f>
        <v/>
      </c>
      <c r="AC232" s="1" t="str">
        <f>IF(AND(Programme_Grunddaten!$A237="Geprüft",Programme_Grunddaten!AK237&lt;&gt;""),IF(Programme_Grunddaten!AK237="Deutsch",0,IF(Programme_Grunddaten!AK237="Deutsch und Englisch",1,2)),"")</f>
        <v/>
      </c>
      <c r="AD232" s="1" t="str">
        <f>IF(AND(Programme_Grunddaten!$A237="Geprüft",Programme_Grunddaten!AL237&lt;&gt;""),IF(Programme_Grunddaten!AL237="Ja",1,0),"")</f>
        <v/>
      </c>
      <c r="AE232" s="1" t="str">
        <f>IF(AND(Programme_Grunddaten!$A237="Geprüft",Programme_Grunddaten!AM237&lt;&gt;""),IF(Programme_Grunddaten!AM237="Ja",1,0),"")</f>
        <v/>
      </c>
      <c r="AF232" s="1" t="str">
        <f>IF(AND(Programme_Grunddaten!$A237="Geprüft",Programme_Grunddaten!AN237&lt;&gt;""),IF(Programme_Grunddaten!AN237="Ja",1,0),"")</f>
        <v/>
      </c>
      <c r="AG232" s="1" t="str">
        <f>IF(AND(Programme_Grunddaten!$A237="Geprüft",Programme_Grunddaten!AO237&lt;&gt;""),IF(Programme_Grunddaten!AO237="Ja",1,0),"")</f>
        <v/>
      </c>
      <c r="AH232" s="1" t="str">
        <f>IF(AND(Programme_Grunddaten!$A237="Geprüft",Programme_Grunddaten!AP237&lt;&gt;""),IF(Programme_Grunddaten!AP237="Ja",1,0),"")</f>
        <v/>
      </c>
      <c r="AI232" s="1" t="str">
        <f>IF(AND(Programme_Grunddaten!$A237="Geprüft",Programme_Grunddaten!AQ237&lt;&gt;""),IF(Programme_Grunddaten!AQ237="Ja",1,0),"")</f>
        <v/>
      </c>
      <c r="AJ232" s="1" t="str">
        <f>IF(AND(Programme_Grunddaten!$A237="Geprüft",Programme_Grunddaten!AR237&lt;&gt;""),IF(Programme_Grunddaten!AR237="Ja",1,0),"")</f>
        <v/>
      </c>
      <c r="AK232" s="1" t="str">
        <f>IF(AND(Programme_Grunddaten!$A237="Geprüft",Programme_Grunddaten!AS237&lt;&gt;""),IF(Programme_Grunddaten!AS237="Ja",1,0),"")</f>
        <v/>
      </c>
      <c r="AL232" s="1" t="str">
        <f>IF(AND(Programme_Grunddaten!$A237="Geprüft",Programme_Grunddaten!AT237&lt;&gt;""),IF(Programme_Grunddaten!AT237="Ja",1,0),"")</f>
        <v/>
      </c>
      <c r="AM232" s="1" t="str">
        <f>IF(AND(Programme_Grunddaten!$A237="Geprüft",Programme_Grunddaten!AU237&lt;&gt;""),IF(Programme_Grunddaten!AU237="Ja",1,0),"")</f>
        <v/>
      </c>
      <c r="AN232" s="1" t="str">
        <f>IF(AND(Programme_Grunddaten!$A237="Geprüft",Programme_Grunddaten!AV237&lt;&gt;""),IF(Programme_Grunddaten!AV237="Ja",1,0),"")</f>
        <v/>
      </c>
    </row>
    <row r="233" spans="1:40" x14ac:dyDescent="0.3">
      <c r="A233" s="1" t="str">
        <f>IF(AND(Programme_Grunddaten!A238="Geprüft",Programme_Grunddaten!B238&lt;&gt;""),Programme_Grunddaten!B238,"")</f>
        <v/>
      </c>
      <c r="B233" s="1" t="str">
        <f>IF(AND(Programme_Grunddaten!$A238="Geprüft",Programme_Grunddaten!I238&lt;&gt;""),IF(Programme_Grunddaten!I238="Ja",1,0),"")</f>
        <v/>
      </c>
      <c r="C233" s="1" t="str">
        <f>IF(AND(Programme_Grunddaten!$A238="Geprüft",Programme_Grunddaten!J238&lt;&gt;""),IF(Programme_Grunddaten!J238="Ja",1,0),"")</f>
        <v/>
      </c>
      <c r="D233" s="1" t="str">
        <f>IF(AND(Programme_Grunddaten!$A238="Geprüft",Programme_Grunddaten!K238&lt;&gt;""),IF(Programme_Grunddaten!K238="Ja",1,0),"")</f>
        <v/>
      </c>
      <c r="E233" s="1" t="str">
        <f>IF(AND(Programme_Grunddaten!$A238="Geprüft",Programme_Grunddaten!L238&lt;&gt;""),IF(Programme_Grunddaten!L238="Abo / befristete Lizenz",1,0),"")</f>
        <v/>
      </c>
      <c r="F233" s="1" t="str">
        <f>IF(AND(Programme_Grunddaten!$A238="Geprüft",Programme_Grunddaten!M238&lt;&gt;""),IF(Programme_Grunddaten!M238="Ja",1,0),"")</f>
        <v/>
      </c>
      <c r="G233" s="1" t="str">
        <f>IF(AND(Programme_Grunddaten!$A238="Geprüft",Programme_Grunddaten!N238&lt;&gt;""),IF(Programme_Grunddaten!N238="Ja",1,0),"")</f>
        <v/>
      </c>
      <c r="H233" s="1" t="str">
        <f>IF(AND(Programme_Grunddaten!$A238="Geprüft",Programme_Grunddaten!O238&lt;&gt;""),IF(Programme_Grunddaten!O238="Deutschland",0,IF(Programme_Grunddaten!O238="EU",1,2)),"")</f>
        <v/>
      </c>
      <c r="I233" s="1" t="str">
        <f>IF(AND(Programme_Grunddaten!$A238="Geprüft",Programme_Grunddaten!P238&lt;&gt;""),IF(Programme_Grunddaten!P238="Ja",1,0),"")</f>
        <v/>
      </c>
      <c r="J233" s="1" t="str">
        <f>IF(AND(Programme_Grunddaten!$A238="Geprüft",Programme_Grunddaten!Q238&lt;&gt;""),IF(Programme_Grunddaten!Q238="geschlossenes System",1,0),"")</f>
        <v/>
      </c>
      <c r="K233" s="1" t="str">
        <f>IF(AND(Programme_Grunddaten!$A238="Geprüft",Programme_Grunddaten!R238&lt;&gt;""),IF(Programme_Grunddaten!R238="Ja",1,0),"")</f>
        <v/>
      </c>
      <c r="L233" s="1" t="str">
        <f>IF(AND(Programme_Grunddaten!$A238="Geprüft",Programme_Grunddaten!T238&lt;&gt;""),IF(Programme_Grunddaten!T238="Ja",1,0),"")</f>
        <v/>
      </c>
      <c r="M233" s="1" t="str">
        <f>IF(AND(Programme_Grunddaten!$A238="Geprüft",Programme_Grunddaten!U238&lt;&gt;""),IF(Programme_Grunddaten!U238="Ja",1,0),"")</f>
        <v/>
      </c>
      <c r="N233" s="1" t="str">
        <f>IF(AND(Programme_Grunddaten!$A238="Geprüft",Programme_Grunddaten!V238&lt;&gt;""),IF(Programme_Grunddaten!V238="Ja",1,0),"")</f>
        <v/>
      </c>
      <c r="O233" s="1" t="str">
        <f>IF(AND(Programme_Grunddaten!$A238="Geprüft",Programme_Grunddaten!W238&lt;&gt;""),IF(Programme_Grunddaten!W238="Ja",1,0),"")</f>
        <v/>
      </c>
      <c r="P233" s="1" t="str">
        <f>IF(AND(Programme_Grunddaten!$A238="Geprüft",Programme_Grunddaten!X238&lt;&gt;""),IF(Programme_Grunddaten!X238="Ja",1,0),"")</f>
        <v/>
      </c>
      <c r="Q233" s="1" t="str">
        <f>IF(AND(Programme_Grunddaten!$A238="Geprüft",Programme_Grunddaten!Y238&lt;&gt;""),IF(Programme_Grunddaten!Y238="Ja",1,0),"")</f>
        <v/>
      </c>
      <c r="R233" s="1" t="str">
        <f>IF(AND(Programme_Grunddaten!$A238="Geprüft",Programme_Grunddaten!Z238&lt;&gt;""),IF(Programme_Grunddaten!Z238="Ja",1,0),"")</f>
        <v/>
      </c>
      <c r="S233" s="1" t="str">
        <f>IF(AND(Programme_Grunddaten!$A238="Geprüft",Programme_Grunddaten!AA238&lt;&gt;""),IF(Programme_Grunddaten!AA238="monolithisch",1,0),"")</f>
        <v/>
      </c>
      <c r="T233" s="1" t="str">
        <f>IF(AND(Programme_Grunddaten!$A238="Geprüft",Programme_Grunddaten!AB238&lt;&gt;""),IF(Programme_Grunddaten!AB238="Ja",1,0),"")</f>
        <v/>
      </c>
      <c r="U233" s="1" t="str">
        <f>IF(AND(Programme_Grunddaten!$A238="Geprüft",Programme_Grunddaten!AC238&lt;&gt;""),IF(Programme_Grunddaten!AC238="Ja",1,0),"")</f>
        <v/>
      </c>
      <c r="V233" s="1" t="str">
        <f>IF(AND(Programme_Grunddaten!$A238="Geprüft",Programme_Grunddaten!AD238&lt;&gt;""),IF(Programme_Grunddaten!AD238="Ja",1,0),"")</f>
        <v/>
      </c>
      <c r="W233" s="1" t="str">
        <f>IF(AND(Programme_Grunddaten!$A238="Geprüft",Programme_Grunddaten!AE238&lt;&gt;""),IF(Programme_Grunddaten!AE238="Ja",1,0),"")</f>
        <v/>
      </c>
      <c r="X233" s="1" t="str">
        <f>IF(AND(Programme_Grunddaten!$A238="Geprüft",Programme_Grunddaten!AF238&lt;&gt;""),IF(Programme_Grunddaten!AF238="Ja",1,0),"")</f>
        <v/>
      </c>
      <c r="Y233" s="1" t="str">
        <f>IF(AND(Programme_Grunddaten!$A238="Geprüft",Programme_Grunddaten!AG238&lt;&gt;""),IF(Programme_Grunddaten!AG238="Ja",1,0),"")</f>
        <v/>
      </c>
      <c r="Z233" s="1" t="str">
        <f>IF(AND(Programme_Grunddaten!$A238="Geprüft",Programme_Grunddaten!AH238&lt;&gt;""),IF(Programme_Grunddaten!AH238="Ja",1,0),"")</f>
        <v/>
      </c>
      <c r="AA233" s="1" t="str">
        <f>IF(AND(Programme_Grunddaten!$A238="Geprüft",Programme_Grunddaten!AI238&lt;&gt;""),IF(Programme_Grunddaten!AI238="Ja",1,0),"")</f>
        <v/>
      </c>
      <c r="AB233" s="1" t="str">
        <f>IF(AND(Programme_Grunddaten!$A238="Geprüft",Programme_Grunddaten!AJ238&lt;&gt;""),IF(Programme_Grunddaten!AJ238="individuell programmierbar",1,0),"")</f>
        <v/>
      </c>
      <c r="AC233" s="1" t="str">
        <f>IF(AND(Programme_Grunddaten!$A238="Geprüft",Programme_Grunddaten!AK238&lt;&gt;""),IF(Programme_Grunddaten!AK238="Deutsch",0,IF(Programme_Grunddaten!AK238="Deutsch und Englisch",1,2)),"")</f>
        <v/>
      </c>
      <c r="AD233" s="1" t="str">
        <f>IF(AND(Programme_Grunddaten!$A238="Geprüft",Programme_Grunddaten!AL238&lt;&gt;""),IF(Programme_Grunddaten!AL238="Ja",1,0),"")</f>
        <v/>
      </c>
      <c r="AE233" s="1" t="str">
        <f>IF(AND(Programme_Grunddaten!$A238="Geprüft",Programme_Grunddaten!AM238&lt;&gt;""),IF(Programme_Grunddaten!AM238="Ja",1,0),"")</f>
        <v/>
      </c>
      <c r="AF233" s="1" t="str">
        <f>IF(AND(Programme_Grunddaten!$A238="Geprüft",Programme_Grunddaten!AN238&lt;&gt;""),IF(Programme_Grunddaten!AN238="Ja",1,0),"")</f>
        <v/>
      </c>
      <c r="AG233" s="1" t="str">
        <f>IF(AND(Programme_Grunddaten!$A238="Geprüft",Programme_Grunddaten!AO238&lt;&gt;""),IF(Programme_Grunddaten!AO238="Ja",1,0),"")</f>
        <v/>
      </c>
      <c r="AH233" s="1" t="str">
        <f>IF(AND(Programme_Grunddaten!$A238="Geprüft",Programme_Grunddaten!AP238&lt;&gt;""),IF(Programme_Grunddaten!AP238="Ja",1,0),"")</f>
        <v/>
      </c>
      <c r="AI233" s="1" t="str">
        <f>IF(AND(Programme_Grunddaten!$A238="Geprüft",Programme_Grunddaten!AQ238&lt;&gt;""),IF(Programme_Grunddaten!AQ238="Ja",1,0),"")</f>
        <v/>
      </c>
      <c r="AJ233" s="1" t="str">
        <f>IF(AND(Programme_Grunddaten!$A238="Geprüft",Programme_Grunddaten!AR238&lt;&gt;""),IF(Programme_Grunddaten!AR238="Ja",1,0),"")</f>
        <v/>
      </c>
      <c r="AK233" s="1" t="str">
        <f>IF(AND(Programme_Grunddaten!$A238="Geprüft",Programme_Grunddaten!AS238&lt;&gt;""),IF(Programme_Grunddaten!AS238="Ja",1,0),"")</f>
        <v/>
      </c>
      <c r="AL233" s="1" t="str">
        <f>IF(AND(Programme_Grunddaten!$A238="Geprüft",Programme_Grunddaten!AT238&lt;&gt;""),IF(Programme_Grunddaten!AT238="Ja",1,0),"")</f>
        <v/>
      </c>
      <c r="AM233" s="1" t="str">
        <f>IF(AND(Programme_Grunddaten!$A238="Geprüft",Programme_Grunddaten!AU238&lt;&gt;""),IF(Programme_Grunddaten!AU238="Ja",1,0),"")</f>
        <v/>
      </c>
      <c r="AN233" s="1" t="str">
        <f>IF(AND(Programme_Grunddaten!$A238="Geprüft",Programme_Grunddaten!AV238&lt;&gt;""),IF(Programme_Grunddaten!AV238="Ja",1,0),"")</f>
        <v/>
      </c>
    </row>
    <row r="234" spans="1:40" x14ac:dyDescent="0.3">
      <c r="A234" s="1" t="str">
        <f>IF(AND(Programme_Grunddaten!A239="Geprüft",Programme_Grunddaten!B239&lt;&gt;""),Programme_Grunddaten!B239,"")</f>
        <v/>
      </c>
      <c r="B234" s="1" t="str">
        <f>IF(AND(Programme_Grunddaten!$A239="Geprüft",Programme_Grunddaten!I239&lt;&gt;""),IF(Programme_Grunddaten!I239="Ja",1,0),"")</f>
        <v/>
      </c>
      <c r="C234" s="1" t="str">
        <f>IF(AND(Programme_Grunddaten!$A239="Geprüft",Programme_Grunddaten!J239&lt;&gt;""),IF(Programme_Grunddaten!J239="Ja",1,0),"")</f>
        <v/>
      </c>
      <c r="D234" s="1" t="str">
        <f>IF(AND(Programme_Grunddaten!$A239="Geprüft",Programme_Grunddaten!K239&lt;&gt;""),IF(Programme_Grunddaten!K239="Ja",1,0),"")</f>
        <v/>
      </c>
      <c r="E234" s="1" t="str">
        <f>IF(AND(Programme_Grunddaten!$A239="Geprüft",Programme_Grunddaten!L239&lt;&gt;""),IF(Programme_Grunddaten!L239="Abo / befristete Lizenz",1,0),"")</f>
        <v/>
      </c>
      <c r="F234" s="1" t="str">
        <f>IF(AND(Programme_Grunddaten!$A239="Geprüft",Programme_Grunddaten!M239&lt;&gt;""),IF(Programme_Grunddaten!M239="Ja",1,0),"")</f>
        <v/>
      </c>
      <c r="G234" s="1" t="str">
        <f>IF(AND(Programme_Grunddaten!$A239="Geprüft",Programme_Grunddaten!N239&lt;&gt;""),IF(Programme_Grunddaten!N239="Ja",1,0),"")</f>
        <v/>
      </c>
      <c r="H234" s="1" t="str">
        <f>IF(AND(Programme_Grunddaten!$A239="Geprüft",Programme_Grunddaten!O239&lt;&gt;""),IF(Programme_Grunddaten!O239="Deutschland",0,IF(Programme_Grunddaten!O239="EU",1,2)),"")</f>
        <v/>
      </c>
      <c r="I234" s="1" t="str">
        <f>IF(AND(Programme_Grunddaten!$A239="Geprüft",Programme_Grunddaten!P239&lt;&gt;""),IF(Programme_Grunddaten!P239="Ja",1,0),"")</f>
        <v/>
      </c>
      <c r="J234" s="1" t="str">
        <f>IF(AND(Programme_Grunddaten!$A239="Geprüft",Programme_Grunddaten!Q239&lt;&gt;""),IF(Programme_Grunddaten!Q239="geschlossenes System",1,0),"")</f>
        <v/>
      </c>
      <c r="K234" s="1" t="str">
        <f>IF(AND(Programme_Grunddaten!$A239="Geprüft",Programme_Grunddaten!R239&lt;&gt;""),IF(Programme_Grunddaten!R239="Ja",1,0),"")</f>
        <v/>
      </c>
      <c r="L234" s="1" t="str">
        <f>IF(AND(Programme_Grunddaten!$A239="Geprüft",Programme_Grunddaten!T239&lt;&gt;""),IF(Programme_Grunddaten!T239="Ja",1,0),"")</f>
        <v/>
      </c>
      <c r="M234" s="1" t="str">
        <f>IF(AND(Programme_Grunddaten!$A239="Geprüft",Programme_Grunddaten!U239&lt;&gt;""),IF(Programme_Grunddaten!U239="Ja",1,0),"")</f>
        <v/>
      </c>
      <c r="N234" s="1" t="str">
        <f>IF(AND(Programme_Grunddaten!$A239="Geprüft",Programme_Grunddaten!V239&lt;&gt;""),IF(Programme_Grunddaten!V239="Ja",1,0),"")</f>
        <v/>
      </c>
      <c r="O234" s="1" t="str">
        <f>IF(AND(Programme_Grunddaten!$A239="Geprüft",Programme_Grunddaten!W239&lt;&gt;""),IF(Programme_Grunddaten!W239="Ja",1,0),"")</f>
        <v/>
      </c>
      <c r="P234" s="1" t="str">
        <f>IF(AND(Programme_Grunddaten!$A239="Geprüft",Programme_Grunddaten!X239&lt;&gt;""),IF(Programme_Grunddaten!X239="Ja",1,0),"")</f>
        <v/>
      </c>
      <c r="Q234" s="1" t="str">
        <f>IF(AND(Programme_Grunddaten!$A239="Geprüft",Programme_Grunddaten!Y239&lt;&gt;""),IF(Programme_Grunddaten!Y239="Ja",1,0),"")</f>
        <v/>
      </c>
      <c r="R234" s="1" t="str">
        <f>IF(AND(Programme_Grunddaten!$A239="Geprüft",Programme_Grunddaten!Z239&lt;&gt;""),IF(Programme_Grunddaten!Z239="Ja",1,0),"")</f>
        <v/>
      </c>
      <c r="S234" s="1" t="str">
        <f>IF(AND(Programme_Grunddaten!$A239="Geprüft",Programme_Grunddaten!AA239&lt;&gt;""),IF(Programme_Grunddaten!AA239="monolithisch",1,0),"")</f>
        <v/>
      </c>
      <c r="T234" s="1" t="str">
        <f>IF(AND(Programme_Grunddaten!$A239="Geprüft",Programme_Grunddaten!AB239&lt;&gt;""),IF(Programme_Grunddaten!AB239="Ja",1,0),"")</f>
        <v/>
      </c>
      <c r="U234" s="1" t="str">
        <f>IF(AND(Programme_Grunddaten!$A239="Geprüft",Programme_Grunddaten!AC239&lt;&gt;""),IF(Programme_Grunddaten!AC239="Ja",1,0),"")</f>
        <v/>
      </c>
      <c r="V234" s="1" t="str">
        <f>IF(AND(Programme_Grunddaten!$A239="Geprüft",Programme_Grunddaten!AD239&lt;&gt;""),IF(Programme_Grunddaten!AD239="Ja",1,0),"")</f>
        <v/>
      </c>
      <c r="W234" s="1" t="str">
        <f>IF(AND(Programme_Grunddaten!$A239="Geprüft",Programme_Grunddaten!AE239&lt;&gt;""),IF(Programme_Grunddaten!AE239="Ja",1,0),"")</f>
        <v/>
      </c>
      <c r="X234" s="1" t="str">
        <f>IF(AND(Programme_Grunddaten!$A239="Geprüft",Programme_Grunddaten!AF239&lt;&gt;""),IF(Programme_Grunddaten!AF239="Ja",1,0),"")</f>
        <v/>
      </c>
      <c r="Y234" s="1" t="str">
        <f>IF(AND(Programme_Grunddaten!$A239="Geprüft",Programme_Grunddaten!AG239&lt;&gt;""),IF(Programme_Grunddaten!AG239="Ja",1,0),"")</f>
        <v/>
      </c>
      <c r="Z234" s="1" t="str">
        <f>IF(AND(Programme_Grunddaten!$A239="Geprüft",Programme_Grunddaten!AH239&lt;&gt;""),IF(Programme_Grunddaten!AH239="Ja",1,0),"")</f>
        <v/>
      </c>
      <c r="AA234" s="1" t="str">
        <f>IF(AND(Programme_Grunddaten!$A239="Geprüft",Programme_Grunddaten!AI239&lt;&gt;""),IF(Programme_Grunddaten!AI239="Ja",1,0),"")</f>
        <v/>
      </c>
      <c r="AB234" s="1" t="str">
        <f>IF(AND(Programme_Grunddaten!$A239="Geprüft",Programme_Grunddaten!AJ239&lt;&gt;""),IF(Programme_Grunddaten!AJ239="individuell programmierbar",1,0),"")</f>
        <v/>
      </c>
      <c r="AC234" s="1" t="str">
        <f>IF(AND(Programme_Grunddaten!$A239="Geprüft",Programme_Grunddaten!AK239&lt;&gt;""),IF(Programme_Grunddaten!AK239="Deutsch",0,IF(Programme_Grunddaten!AK239="Deutsch und Englisch",1,2)),"")</f>
        <v/>
      </c>
      <c r="AD234" s="1" t="str">
        <f>IF(AND(Programme_Grunddaten!$A239="Geprüft",Programme_Grunddaten!AL239&lt;&gt;""),IF(Programme_Grunddaten!AL239="Ja",1,0),"")</f>
        <v/>
      </c>
      <c r="AE234" s="1" t="str">
        <f>IF(AND(Programme_Grunddaten!$A239="Geprüft",Programme_Grunddaten!AM239&lt;&gt;""),IF(Programme_Grunddaten!AM239="Ja",1,0),"")</f>
        <v/>
      </c>
      <c r="AF234" s="1" t="str">
        <f>IF(AND(Programme_Grunddaten!$A239="Geprüft",Programme_Grunddaten!AN239&lt;&gt;""),IF(Programme_Grunddaten!AN239="Ja",1,0),"")</f>
        <v/>
      </c>
      <c r="AG234" s="1" t="str">
        <f>IF(AND(Programme_Grunddaten!$A239="Geprüft",Programme_Grunddaten!AO239&lt;&gt;""),IF(Programme_Grunddaten!AO239="Ja",1,0),"")</f>
        <v/>
      </c>
      <c r="AH234" s="1" t="str">
        <f>IF(AND(Programme_Grunddaten!$A239="Geprüft",Programme_Grunddaten!AP239&lt;&gt;""),IF(Programme_Grunddaten!AP239="Ja",1,0),"")</f>
        <v/>
      </c>
      <c r="AI234" s="1" t="str">
        <f>IF(AND(Programme_Grunddaten!$A239="Geprüft",Programme_Grunddaten!AQ239&lt;&gt;""),IF(Programme_Grunddaten!AQ239="Ja",1,0),"")</f>
        <v/>
      </c>
      <c r="AJ234" s="1" t="str">
        <f>IF(AND(Programme_Grunddaten!$A239="Geprüft",Programme_Grunddaten!AR239&lt;&gt;""),IF(Programme_Grunddaten!AR239="Ja",1,0),"")</f>
        <v/>
      </c>
      <c r="AK234" s="1" t="str">
        <f>IF(AND(Programme_Grunddaten!$A239="Geprüft",Programme_Grunddaten!AS239&lt;&gt;""),IF(Programme_Grunddaten!AS239="Ja",1,0),"")</f>
        <v/>
      </c>
      <c r="AL234" s="1" t="str">
        <f>IF(AND(Programme_Grunddaten!$A239="Geprüft",Programme_Grunddaten!AT239&lt;&gt;""),IF(Programme_Grunddaten!AT239="Ja",1,0),"")</f>
        <v/>
      </c>
      <c r="AM234" s="1" t="str">
        <f>IF(AND(Programme_Grunddaten!$A239="Geprüft",Programme_Grunddaten!AU239&lt;&gt;""),IF(Programme_Grunddaten!AU239="Ja",1,0),"")</f>
        <v/>
      </c>
      <c r="AN234" s="1" t="str">
        <f>IF(AND(Programme_Grunddaten!$A239="Geprüft",Programme_Grunddaten!AV239&lt;&gt;""),IF(Programme_Grunddaten!AV239="Ja",1,0),"")</f>
        <v/>
      </c>
    </row>
    <row r="235" spans="1:40" x14ac:dyDescent="0.3">
      <c r="A235" s="1" t="str">
        <f>IF(AND(Programme_Grunddaten!A240="Geprüft",Programme_Grunddaten!B240&lt;&gt;""),Programme_Grunddaten!B240,"")</f>
        <v/>
      </c>
      <c r="B235" s="1" t="str">
        <f>IF(AND(Programme_Grunddaten!$A240="Geprüft",Programme_Grunddaten!I240&lt;&gt;""),IF(Programme_Grunddaten!I240="Ja",1,0),"")</f>
        <v/>
      </c>
      <c r="C235" s="1" t="str">
        <f>IF(AND(Programme_Grunddaten!$A240="Geprüft",Programme_Grunddaten!J240&lt;&gt;""),IF(Programme_Grunddaten!J240="Ja",1,0),"")</f>
        <v/>
      </c>
      <c r="D235" s="1" t="str">
        <f>IF(AND(Programme_Grunddaten!$A240="Geprüft",Programme_Grunddaten!K240&lt;&gt;""),IF(Programme_Grunddaten!K240="Ja",1,0),"")</f>
        <v/>
      </c>
      <c r="E235" s="1" t="str">
        <f>IF(AND(Programme_Grunddaten!$A240="Geprüft",Programme_Grunddaten!L240&lt;&gt;""),IF(Programme_Grunddaten!L240="Abo / befristete Lizenz",1,0),"")</f>
        <v/>
      </c>
      <c r="F235" s="1" t="str">
        <f>IF(AND(Programme_Grunddaten!$A240="Geprüft",Programme_Grunddaten!M240&lt;&gt;""),IF(Programme_Grunddaten!M240="Ja",1,0),"")</f>
        <v/>
      </c>
      <c r="G235" s="1" t="str">
        <f>IF(AND(Programme_Grunddaten!$A240="Geprüft",Programme_Grunddaten!N240&lt;&gt;""),IF(Programme_Grunddaten!N240="Ja",1,0),"")</f>
        <v/>
      </c>
      <c r="H235" s="1" t="str">
        <f>IF(AND(Programme_Grunddaten!$A240="Geprüft",Programme_Grunddaten!O240&lt;&gt;""),IF(Programme_Grunddaten!O240="Deutschland",0,IF(Programme_Grunddaten!O240="EU",1,2)),"")</f>
        <v/>
      </c>
      <c r="I235" s="1" t="str">
        <f>IF(AND(Programme_Grunddaten!$A240="Geprüft",Programme_Grunddaten!P240&lt;&gt;""),IF(Programme_Grunddaten!P240="Ja",1,0),"")</f>
        <v/>
      </c>
      <c r="J235" s="1" t="str">
        <f>IF(AND(Programme_Grunddaten!$A240="Geprüft",Programme_Grunddaten!Q240&lt;&gt;""),IF(Programme_Grunddaten!Q240="geschlossenes System",1,0),"")</f>
        <v/>
      </c>
      <c r="K235" s="1" t="str">
        <f>IF(AND(Programme_Grunddaten!$A240="Geprüft",Programme_Grunddaten!R240&lt;&gt;""),IF(Programme_Grunddaten!R240="Ja",1,0),"")</f>
        <v/>
      </c>
      <c r="L235" s="1" t="str">
        <f>IF(AND(Programme_Grunddaten!$A240="Geprüft",Programme_Grunddaten!T240&lt;&gt;""),IF(Programme_Grunddaten!T240="Ja",1,0),"")</f>
        <v/>
      </c>
      <c r="M235" s="1" t="str">
        <f>IF(AND(Programme_Grunddaten!$A240="Geprüft",Programme_Grunddaten!U240&lt;&gt;""),IF(Programme_Grunddaten!U240="Ja",1,0),"")</f>
        <v/>
      </c>
      <c r="N235" s="1" t="str">
        <f>IF(AND(Programme_Grunddaten!$A240="Geprüft",Programme_Grunddaten!V240&lt;&gt;""),IF(Programme_Grunddaten!V240="Ja",1,0),"")</f>
        <v/>
      </c>
      <c r="O235" s="1" t="str">
        <f>IF(AND(Programme_Grunddaten!$A240="Geprüft",Programme_Grunddaten!W240&lt;&gt;""),IF(Programme_Grunddaten!W240="Ja",1,0),"")</f>
        <v/>
      </c>
      <c r="P235" s="1" t="str">
        <f>IF(AND(Programme_Grunddaten!$A240="Geprüft",Programme_Grunddaten!X240&lt;&gt;""),IF(Programme_Grunddaten!X240="Ja",1,0),"")</f>
        <v/>
      </c>
      <c r="Q235" s="1" t="str">
        <f>IF(AND(Programme_Grunddaten!$A240="Geprüft",Programme_Grunddaten!Y240&lt;&gt;""),IF(Programme_Grunddaten!Y240="Ja",1,0),"")</f>
        <v/>
      </c>
      <c r="R235" s="1" t="str">
        <f>IF(AND(Programme_Grunddaten!$A240="Geprüft",Programme_Grunddaten!Z240&lt;&gt;""),IF(Programme_Grunddaten!Z240="Ja",1,0),"")</f>
        <v/>
      </c>
      <c r="S235" s="1" t="str">
        <f>IF(AND(Programme_Grunddaten!$A240="Geprüft",Programme_Grunddaten!AA240&lt;&gt;""),IF(Programme_Grunddaten!AA240="monolithisch",1,0),"")</f>
        <v/>
      </c>
      <c r="T235" s="1" t="str">
        <f>IF(AND(Programme_Grunddaten!$A240="Geprüft",Programme_Grunddaten!AB240&lt;&gt;""),IF(Programme_Grunddaten!AB240="Ja",1,0),"")</f>
        <v/>
      </c>
      <c r="U235" s="1" t="str">
        <f>IF(AND(Programme_Grunddaten!$A240="Geprüft",Programme_Grunddaten!AC240&lt;&gt;""),IF(Programme_Grunddaten!AC240="Ja",1,0),"")</f>
        <v/>
      </c>
      <c r="V235" s="1" t="str">
        <f>IF(AND(Programme_Grunddaten!$A240="Geprüft",Programme_Grunddaten!AD240&lt;&gt;""),IF(Programme_Grunddaten!AD240="Ja",1,0),"")</f>
        <v/>
      </c>
      <c r="W235" s="1" t="str">
        <f>IF(AND(Programme_Grunddaten!$A240="Geprüft",Programme_Grunddaten!AE240&lt;&gt;""),IF(Programme_Grunddaten!AE240="Ja",1,0),"")</f>
        <v/>
      </c>
      <c r="X235" s="1" t="str">
        <f>IF(AND(Programme_Grunddaten!$A240="Geprüft",Programme_Grunddaten!AF240&lt;&gt;""),IF(Programme_Grunddaten!AF240="Ja",1,0),"")</f>
        <v/>
      </c>
      <c r="Y235" s="1" t="str">
        <f>IF(AND(Programme_Grunddaten!$A240="Geprüft",Programme_Grunddaten!AG240&lt;&gt;""),IF(Programme_Grunddaten!AG240="Ja",1,0),"")</f>
        <v/>
      </c>
      <c r="Z235" s="1" t="str">
        <f>IF(AND(Programme_Grunddaten!$A240="Geprüft",Programme_Grunddaten!AH240&lt;&gt;""),IF(Programme_Grunddaten!AH240="Ja",1,0),"")</f>
        <v/>
      </c>
      <c r="AA235" s="1" t="str">
        <f>IF(AND(Programme_Grunddaten!$A240="Geprüft",Programme_Grunddaten!AI240&lt;&gt;""),IF(Programme_Grunddaten!AI240="Ja",1,0),"")</f>
        <v/>
      </c>
      <c r="AB235" s="1" t="str">
        <f>IF(AND(Programme_Grunddaten!$A240="Geprüft",Programme_Grunddaten!AJ240&lt;&gt;""),IF(Programme_Grunddaten!AJ240="individuell programmierbar",1,0),"")</f>
        <v/>
      </c>
      <c r="AC235" s="1" t="str">
        <f>IF(AND(Programme_Grunddaten!$A240="Geprüft",Programme_Grunddaten!AK240&lt;&gt;""),IF(Programme_Grunddaten!AK240="Deutsch",0,IF(Programme_Grunddaten!AK240="Deutsch und Englisch",1,2)),"")</f>
        <v/>
      </c>
      <c r="AD235" s="1" t="str">
        <f>IF(AND(Programme_Grunddaten!$A240="Geprüft",Programme_Grunddaten!AL240&lt;&gt;""),IF(Programme_Grunddaten!AL240="Ja",1,0),"")</f>
        <v/>
      </c>
      <c r="AE235" s="1" t="str">
        <f>IF(AND(Programme_Grunddaten!$A240="Geprüft",Programme_Grunddaten!AM240&lt;&gt;""),IF(Programme_Grunddaten!AM240="Ja",1,0),"")</f>
        <v/>
      </c>
      <c r="AF235" s="1" t="str">
        <f>IF(AND(Programme_Grunddaten!$A240="Geprüft",Programme_Grunddaten!AN240&lt;&gt;""),IF(Programme_Grunddaten!AN240="Ja",1,0),"")</f>
        <v/>
      </c>
      <c r="AG235" s="1" t="str">
        <f>IF(AND(Programme_Grunddaten!$A240="Geprüft",Programme_Grunddaten!AO240&lt;&gt;""),IF(Programme_Grunddaten!AO240="Ja",1,0),"")</f>
        <v/>
      </c>
      <c r="AH235" s="1" t="str">
        <f>IF(AND(Programme_Grunddaten!$A240="Geprüft",Programme_Grunddaten!AP240&lt;&gt;""),IF(Programme_Grunddaten!AP240="Ja",1,0),"")</f>
        <v/>
      </c>
      <c r="AI235" s="1" t="str">
        <f>IF(AND(Programme_Grunddaten!$A240="Geprüft",Programme_Grunddaten!AQ240&lt;&gt;""),IF(Programme_Grunddaten!AQ240="Ja",1,0),"")</f>
        <v/>
      </c>
      <c r="AJ235" s="1" t="str">
        <f>IF(AND(Programme_Grunddaten!$A240="Geprüft",Programme_Grunddaten!AR240&lt;&gt;""),IF(Programme_Grunddaten!AR240="Ja",1,0),"")</f>
        <v/>
      </c>
      <c r="AK235" s="1" t="str">
        <f>IF(AND(Programme_Grunddaten!$A240="Geprüft",Programme_Grunddaten!AS240&lt;&gt;""),IF(Programme_Grunddaten!AS240="Ja",1,0),"")</f>
        <v/>
      </c>
      <c r="AL235" s="1" t="str">
        <f>IF(AND(Programme_Grunddaten!$A240="Geprüft",Programme_Grunddaten!AT240&lt;&gt;""),IF(Programme_Grunddaten!AT240="Ja",1,0),"")</f>
        <v/>
      </c>
      <c r="AM235" s="1" t="str">
        <f>IF(AND(Programme_Grunddaten!$A240="Geprüft",Programme_Grunddaten!AU240&lt;&gt;""),IF(Programme_Grunddaten!AU240="Ja",1,0),"")</f>
        <v/>
      </c>
      <c r="AN235" s="1" t="str">
        <f>IF(AND(Programme_Grunddaten!$A240="Geprüft",Programme_Grunddaten!AV240&lt;&gt;""),IF(Programme_Grunddaten!AV240="Ja",1,0),"")</f>
        <v/>
      </c>
    </row>
    <row r="236" spans="1:40" x14ac:dyDescent="0.3">
      <c r="A236" s="1" t="str">
        <f>IF(AND(Programme_Grunddaten!A241="Geprüft",Programme_Grunddaten!B241&lt;&gt;""),Programme_Grunddaten!B241,"")</f>
        <v/>
      </c>
      <c r="B236" s="1" t="str">
        <f>IF(AND(Programme_Grunddaten!$A241="Geprüft",Programme_Grunddaten!I241&lt;&gt;""),IF(Programme_Grunddaten!I241="Ja",1,0),"")</f>
        <v/>
      </c>
      <c r="C236" s="1" t="str">
        <f>IF(AND(Programme_Grunddaten!$A241="Geprüft",Programme_Grunddaten!J241&lt;&gt;""),IF(Programme_Grunddaten!J241="Ja",1,0),"")</f>
        <v/>
      </c>
      <c r="D236" s="1" t="str">
        <f>IF(AND(Programme_Grunddaten!$A241="Geprüft",Programme_Grunddaten!K241&lt;&gt;""),IF(Programme_Grunddaten!K241="Ja",1,0),"")</f>
        <v/>
      </c>
      <c r="E236" s="1" t="str">
        <f>IF(AND(Programme_Grunddaten!$A241="Geprüft",Programme_Grunddaten!L241&lt;&gt;""),IF(Programme_Grunddaten!L241="Abo / befristete Lizenz",1,0),"")</f>
        <v/>
      </c>
      <c r="F236" s="1" t="str">
        <f>IF(AND(Programme_Grunddaten!$A241="Geprüft",Programme_Grunddaten!M241&lt;&gt;""),IF(Programme_Grunddaten!M241="Ja",1,0),"")</f>
        <v/>
      </c>
      <c r="G236" s="1" t="str">
        <f>IF(AND(Programme_Grunddaten!$A241="Geprüft",Programme_Grunddaten!N241&lt;&gt;""),IF(Programme_Grunddaten!N241="Ja",1,0),"")</f>
        <v/>
      </c>
      <c r="H236" s="1" t="str">
        <f>IF(AND(Programme_Grunddaten!$A241="Geprüft",Programme_Grunddaten!O241&lt;&gt;""),IF(Programme_Grunddaten!O241="Deutschland",0,IF(Programme_Grunddaten!O241="EU",1,2)),"")</f>
        <v/>
      </c>
      <c r="I236" s="1" t="str">
        <f>IF(AND(Programme_Grunddaten!$A241="Geprüft",Programme_Grunddaten!P241&lt;&gt;""),IF(Programme_Grunddaten!P241="Ja",1,0),"")</f>
        <v/>
      </c>
      <c r="J236" s="1" t="str">
        <f>IF(AND(Programme_Grunddaten!$A241="Geprüft",Programme_Grunddaten!Q241&lt;&gt;""),IF(Programme_Grunddaten!Q241="geschlossenes System",1,0),"")</f>
        <v/>
      </c>
      <c r="K236" s="1" t="str">
        <f>IF(AND(Programme_Grunddaten!$A241="Geprüft",Programme_Grunddaten!R241&lt;&gt;""),IF(Programme_Grunddaten!R241="Ja",1,0),"")</f>
        <v/>
      </c>
      <c r="L236" s="1" t="str">
        <f>IF(AND(Programme_Grunddaten!$A241="Geprüft",Programme_Grunddaten!T241&lt;&gt;""),IF(Programme_Grunddaten!T241="Ja",1,0),"")</f>
        <v/>
      </c>
      <c r="M236" s="1" t="str">
        <f>IF(AND(Programme_Grunddaten!$A241="Geprüft",Programme_Grunddaten!U241&lt;&gt;""),IF(Programme_Grunddaten!U241="Ja",1,0),"")</f>
        <v/>
      </c>
      <c r="N236" s="1" t="str">
        <f>IF(AND(Programme_Grunddaten!$A241="Geprüft",Programme_Grunddaten!V241&lt;&gt;""),IF(Programme_Grunddaten!V241="Ja",1,0),"")</f>
        <v/>
      </c>
      <c r="O236" s="1" t="str">
        <f>IF(AND(Programme_Grunddaten!$A241="Geprüft",Programme_Grunddaten!W241&lt;&gt;""),IF(Programme_Grunddaten!W241="Ja",1,0),"")</f>
        <v/>
      </c>
      <c r="P236" s="1" t="str">
        <f>IF(AND(Programme_Grunddaten!$A241="Geprüft",Programme_Grunddaten!X241&lt;&gt;""),IF(Programme_Grunddaten!X241="Ja",1,0),"")</f>
        <v/>
      </c>
      <c r="Q236" s="1" t="str">
        <f>IF(AND(Programme_Grunddaten!$A241="Geprüft",Programme_Grunddaten!Y241&lt;&gt;""),IF(Programme_Grunddaten!Y241="Ja",1,0),"")</f>
        <v/>
      </c>
      <c r="R236" s="1" t="str">
        <f>IF(AND(Programme_Grunddaten!$A241="Geprüft",Programme_Grunddaten!Z241&lt;&gt;""),IF(Programme_Grunddaten!Z241="Ja",1,0),"")</f>
        <v/>
      </c>
      <c r="S236" s="1" t="str">
        <f>IF(AND(Programme_Grunddaten!$A241="Geprüft",Programme_Grunddaten!AA241&lt;&gt;""),IF(Programme_Grunddaten!AA241="monolithisch",1,0),"")</f>
        <v/>
      </c>
      <c r="T236" s="1" t="str">
        <f>IF(AND(Programme_Grunddaten!$A241="Geprüft",Programme_Grunddaten!AB241&lt;&gt;""),IF(Programme_Grunddaten!AB241="Ja",1,0),"")</f>
        <v/>
      </c>
      <c r="U236" s="1" t="str">
        <f>IF(AND(Programme_Grunddaten!$A241="Geprüft",Programme_Grunddaten!AC241&lt;&gt;""),IF(Programme_Grunddaten!AC241="Ja",1,0),"")</f>
        <v/>
      </c>
      <c r="V236" s="1" t="str">
        <f>IF(AND(Programme_Grunddaten!$A241="Geprüft",Programme_Grunddaten!AD241&lt;&gt;""),IF(Programme_Grunddaten!AD241="Ja",1,0),"")</f>
        <v/>
      </c>
      <c r="W236" s="1" t="str">
        <f>IF(AND(Programme_Grunddaten!$A241="Geprüft",Programme_Grunddaten!AE241&lt;&gt;""),IF(Programme_Grunddaten!AE241="Ja",1,0),"")</f>
        <v/>
      </c>
      <c r="X236" s="1" t="str">
        <f>IF(AND(Programme_Grunddaten!$A241="Geprüft",Programme_Grunddaten!AF241&lt;&gt;""),IF(Programme_Grunddaten!AF241="Ja",1,0),"")</f>
        <v/>
      </c>
      <c r="Y236" s="1" t="str">
        <f>IF(AND(Programme_Grunddaten!$A241="Geprüft",Programme_Grunddaten!AG241&lt;&gt;""),IF(Programme_Grunddaten!AG241="Ja",1,0),"")</f>
        <v/>
      </c>
      <c r="Z236" s="1" t="str">
        <f>IF(AND(Programme_Grunddaten!$A241="Geprüft",Programme_Grunddaten!AH241&lt;&gt;""),IF(Programme_Grunddaten!AH241="Ja",1,0),"")</f>
        <v/>
      </c>
      <c r="AA236" s="1" t="str">
        <f>IF(AND(Programme_Grunddaten!$A241="Geprüft",Programme_Grunddaten!AI241&lt;&gt;""),IF(Programme_Grunddaten!AI241="Ja",1,0),"")</f>
        <v/>
      </c>
      <c r="AB236" s="1" t="str">
        <f>IF(AND(Programme_Grunddaten!$A241="Geprüft",Programme_Grunddaten!AJ241&lt;&gt;""),IF(Programme_Grunddaten!AJ241="individuell programmierbar",1,0),"")</f>
        <v/>
      </c>
      <c r="AC236" s="1" t="str">
        <f>IF(AND(Programme_Grunddaten!$A241="Geprüft",Programme_Grunddaten!AK241&lt;&gt;""),IF(Programme_Grunddaten!AK241="Deutsch",0,IF(Programme_Grunddaten!AK241="Deutsch und Englisch",1,2)),"")</f>
        <v/>
      </c>
      <c r="AD236" s="1" t="str">
        <f>IF(AND(Programme_Grunddaten!$A241="Geprüft",Programme_Grunddaten!AL241&lt;&gt;""),IF(Programme_Grunddaten!AL241="Ja",1,0),"")</f>
        <v/>
      </c>
      <c r="AE236" s="1" t="str">
        <f>IF(AND(Programme_Grunddaten!$A241="Geprüft",Programme_Grunddaten!AM241&lt;&gt;""),IF(Programme_Grunddaten!AM241="Ja",1,0),"")</f>
        <v/>
      </c>
      <c r="AF236" s="1" t="str">
        <f>IF(AND(Programme_Grunddaten!$A241="Geprüft",Programme_Grunddaten!AN241&lt;&gt;""),IF(Programme_Grunddaten!AN241="Ja",1,0),"")</f>
        <v/>
      </c>
      <c r="AG236" s="1" t="str">
        <f>IF(AND(Programme_Grunddaten!$A241="Geprüft",Programme_Grunddaten!AO241&lt;&gt;""),IF(Programme_Grunddaten!AO241="Ja",1,0),"")</f>
        <v/>
      </c>
      <c r="AH236" s="1" t="str">
        <f>IF(AND(Programme_Grunddaten!$A241="Geprüft",Programme_Grunddaten!AP241&lt;&gt;""),IF(Programme_Grunddaten!AP241="Ja",1,0),"")</f>
        <v/>
      </c>
      <c r="AI236" s="1" t="str">
        <f>IF(AND(Programme_Grunddaten!$A241="Geprüft",Programme_Grunddaten!AQ241&lt;&gt;""),IF(Programme_Grunddaten!AQ241="Ja",1,0),"")</f>
        <v/>
      </c>
      <c r="AJ236" s="1" t="str">
        <f>IF(AND(Programme_Grunddaten!$A241="Geprüft",Programme_Grunddaten!AR241&lt;&gt;""),IF(Programme_Grunddaten!AR241="Ja",1,0),"")</f>
        <v/>
      </c>
      <c r="AK236" s="1" t="str">
        <f>IF(AND(Programme_Grunddaten!$A241="Geprüft",Programme_Grunddaten!AS241&lt;&gt;""),IF(Programme_Grunddaten!AS241="Ja",1,0),"")</f>
        <v/>
      </c>
      <c r="AL236" s="1" t="str">
        <f>IF(AND(Programme_Grunddaten!$A241="Geprüft",Programme_Grunddaten!AT241&lt;&gt;""),IF(Programme_Grunddaten!AT241="Ja",1,0),"")</f>
        <v/>
      </c>
      <c r="AM236" s="1" t="str">
        <f>IF(AND(Programme_Grunddaten!$A241="Geprüft",Programme_Grunddaten!AU241&lt;&gt;""),IF(Programme_Grunddaten!AU241="Ja",1,0),"")</f>
        <v/>
      </c>
      <c r="AN236" s="1" t="str">
        <f>IF(AND(Programme_Grunddaten!$A241="Geprüft",Programme_Grunddaten!AV241&lt;&gt;""),IF(Programme_Grunddaten!AV241="Ja",1,0),"")</f>
        <v/>
      </c>
    </row>
    <row r="237" spans="1:40" x14ac:dyDescent="0.3">
      <c r="A237" s="1" t="str">
        <f>IF(AND(Programme_Grunddaten!A242="Geprüft",Programme_Grunddaten!B242&lt;&gt;""),Programme_Grunddaten!B242,"")</f>
        <v/>
      </c>
      <c r="B237" s="1" t="str">
        <f>IF(AND(Programme_Grunddaten!$A242="Geprüft",Programme_Grunddaten!I242&lt;&gt;""),IF(Programme_Grunddaten!I242="Ja",1,0),"")</f>
        <v/>
      </c>
      <c r="C237" s="1" t="str">
        <f>IF(AND(Programme_Grunddaten!$A242="Geprüft",Programme_Grunddaten!J242&lt;&gt;""),IF(Programme_Grunddaten!J242="Ja",1,0),"")</f>
        <v/>
      </c>
      <c r="D237" s="1" t="str">
        <f>IF(AND(Programme_Grunddaten!$A242="Geprüft",Programme_Grunddaten!K242&lt;&gt;""),IF(Programme_Grunddaten!K242="Ja",1,0),"")</f>
        <v/>
      </c>
      <c r="E237" s="1" t="str">
        <f>IF(AND(Programme_Grunddaten!$A242="Geprüft",Programme_Grunddaten!L242&lt;&gt;""),IF(Programme_Grunddaten!L242="Abo / befristete Lizenz",1,0),"")</f>
        <v/>
      </c>
      <c r="F237" s="1" t="str">
        <f>IF(AND(Programme_Grunddaten!$A242="Geprüft",Programme_Grunddaten!M242&lt;&gt;""),IF(Programme_Grunddaten!M242="Ja",1,0),"")</f>
        <v/>
      </c>
      <c r="G237" s="1" t="str">
        <f>IF(AND(Programme_Grunddaten!$A242="Geprüft",Programme_Grunddaten!N242&lt;&gt;""),IF(Programme_Grunddaten!N242="Ja",1,0),"")</f>
        <v/>
      </c>
      <c r="H237" s="1" t="str">
        <f>IF(AND(Programme_Grunddaten!$A242="Geprüft",Programme_Grunddaten!O242&lt;&gt;""),IF(Programme_Grunddaten!O242="Deutschland",0,IF(Programme_Grunddaten!O242="EU",1,2)),"")</f>
        <v/>
      </c>
      <c r="I237" s="1" t="str">
        <f>IF(AND(Programme_Grunddaten!$A242="Geprüft",Programme_Grunddaten!P242&lt;&gt;""),IF(Programme_Grunddaten!P242="Ja",1,0),"")</f>
        <v/>
      </c>
      <c r="J237" s="1" t="str">
        <f>IF(AND(Programme_Grunddaten!$A242="Geprüft",Programme_Grunddaten!Q242&lt;&gt;""),IF(Programme_Grunddaten!Q242="geschlossenes System",1,0),"")</f>
        <v/>
      </c>
      <c r="K237" s="1" t="str">
        <f>IF(AND(Programme_Grunddaten!$A242="Geprüft",Programme_Grunddaten!R242&lt;&gt;""),IF(Programme_Grunddaten!R242="Ja",1,0),"")</f>
        <v/>
      </c>
      <c r="L237" s="1" t="str">
        <f>IF(AND(Programme_Grunddaten!$A242="Geprüft",Programme_Grunddaten!T242&lt;&gt;""),IF(Programme_Grunddaten!T242="Ja",1,0),"")</f>
        <v/>
      </c>
      <c r="M237" s="1" t="str">
        <f>IF(AND(Programme_Grunddaten!$A242="Geprüft",Programme_Grunddaten!U242&lt;&gt;""),IF(Programme_Grunddaten!U242="Ja",1,0),"")</f>
        <v/>
      </c>
      <c r="N237" s="1" t="str">
        <f>IF(AND(Programme_Grunddaten!$A242="Geprüft",Programme_Grunddaten!V242&lt;&gt;""),IF(Programme_Grunddaten!V242="Ja",1,0),"")</f>
        <v/>
      </c>
      <c r="O237" s="1" t="str">
        <f>IF(AND(Programme_Grunddaten!$A242="Geprüft",Programme_Grunddaten!W242&lt;&gt;""),IF(Programme_Grunddaten!W242="Ja",1,0),"")</f>
        <v/>
      </c>
      <c r="P237" s="1" t="str">
        <f>IF(AND(Programme_Grunddaten!$A242="Geprüft",Programme_Grunddaten!X242&lt;&gt;""),IF(Programme_Grunddaten!X242="Ja",1,0),"")</f>
        <v/>
      </c>
      <c r="Q237" s="1" t="str">
        <f>IF(AND(Programme_Grunddaten!$A242="Geprüft",Programme_Grunddaten!Y242&lt;&gt;""),IF(Programme_Grunddaten!Y242="Ja",1,0),"")</f>
        <v/>
      </c>
      <c r="R237" s="1" t="str">
        <f>IF(AND(Programme_Grunddaten!$A242="Geprüft",Programme_Grunddaten!Z242&lt;&gt;""),IF(Programme_Grunddaten!Z242="Ja",1,0),"")</f>
        <v/>
      </c>
      <c r="S237" s="1" t="str">
        <f>IF(AND(Programme_Grunddaten!$A242="Geprüft",Programme_Grunddaten!AA242&lt;&gt;""),IF(Programme_Grunddaten!AA242="monolithisch",1,0),"")</f>
        <v/>
      </c>
      <c r="T237" s="1" t="str">
        <f>IF(AND(Programme_Grunddaten!$A242="Geprüft",Programme_Grunddaten!AB242&lt;&gt;""),IF(Programme_Grunddaten!AB242="Ja",1,0),"")</f>
        <v/>
      </c>
      <c r="U237" s="1" t="str">
        <f>IF(AND(Programme_Grunddaten!$A242="Geprüft",Programme_Grunddaten!AC242&lt;&gt;""),IF(Programme_Grunddaten!AC242="Ja",1,0),"")</f>
        <v/>
      </c>
      <c r="V237" s="1" t="str">
        <f>IF(AND(Programme_Grunddaten!$A242="Geprüft",Programme_Grunddaten!AD242&lt;&gt;""),IF(Programme_Grunddaten!AD242="Ja",1,0),"")</f>
        <v/>
      </c>
      <c r="W237" s="1" t="str">
        <f>IF(AND(Programme_Grunddaten!$A242="Geprüft",Programme_Grunddaten!AE242&lt;&gt;""),IF(Programme_Grunddaten!AE242="Ja",1,0),"")</f>
        <v/>
      </c>
      <c r="X237" s="1" t="str">
        <f>IF(AND(Programme_Grunddaten!$A242="Geprüft",Programme_Grunddaten!AF242&lt;&gt;""),IF(Programme_Grunddaten!AF242="Ja",1,0),"")</f>
        <v/>
      </c>
      <c r="Y237" s="1" t="str">
        <f>IF(AND(Programme_Grunddaten!$A242="Geprüft",Programme_Grunddaten!AG242&lt;&gt;""),IF(Programme_Grunddaten!AG242="Ja",1,0),"")</f>
        <v/>
      </c>
      <c r="Z237" s="1" t="str">
        <f>IF(AND(Programme_Grunddaten!$A242="Geprüft",Programme_Grunddaten!AH242&lt;&gt;""),IF(Programme_Grunddaten!AH242="Ja",1,0),"")</f>
        <v/>
      </c>
      <c r="AA237" s="1" t="str">
        <f>IF(AND(Programme_Grunddaten!$A242="Geprüft",Programme_Grunddaten!AI242&lt;&gt;""),IF(Programme_Grunddaten!AI242="Ja",1,0),"")</f>
        <v/>
      </c>
      <c r="AB237" s="1" t="str">
        <f>IF(AND(Programme_Grunddaten!$A242="Geprüft",Programme_Grunddaten!AJ242&lt;&gt;""),IF(Programme_Grunddaten!AJ242="individuell programmierbar",1,0),"")</f>
        <v/>
      </c>
      <c r="AC237" s="1" t="str">
        <f>IF(AND(Programme_Grunddaten!$A242="Geprüft",Programme_Grunddaten!AK242&lt;&gt;""),IF(Programme_Grunddaten!AK242="Deutsch",0,IF(Programme_Grunddaten!AK242="Deutsch und Englisch",1,2)),"")</f>
        <v/>
      </c>
      <c r="AD237" s="1" t="str">
        <f>IF(AND(Programme_Grunddaten!$A242="Geprüft",Programme_Grunddaten!AL242&lt;&gt;""),IF(Programme_Grunddaten!AL242="Ja",1,0),"")</f>
        <v/>
      </c>
      <c r="AE237" s="1" t="str">
        <f>IF(AND(Programme_Grunddaten!$A242="Geprüft",Programme_Grunddaten!AM242&lt;&gt;""),IF(Programme_Grunddaten!AM242="Ja",1,0),"")</f>
        <v/>
      </c>
      <c r="AF237" s="1" t="str">
        <f>IF(AND(Programme_Grunddaten!$A242="Geprüft",Programme_Grunddaten!AN242&lt;&gt;""),IF(Programme_Grunddaten!AN242="Ja",1,0),"")</f>
        <v/>
      </c>
      <c r="AG237" s="1" t="str">
        <f>IF(AND(Programme_Grunddaten!$A242="Geprüft",Programme_Grunddaten!AO242&lt;&gt;""),IF(Programme_Grunddaten!AO242="Ja",1,0),"")</f>
        <v/>
      </c>
      <c r="AH237" s="1" t="str">
        <f>IF(AND(Programme_Grunddaten!$A242="Geprüft",Programme_Grunddaten!AP242&lt;&gt;""),IF(Programme_Grunddaten!AP242="Ja",1,0),"")</f>
        <v/>
      </c>
      <c r="AI237" s="1" t="str">
        <f>IF(AND(Programme_Grunddaten!$A242="Geprüft",Programme_Grunddaten!AQ242&lt;&gt;""),IF(Programme_Grunddaten!AQ242="Ja",1,0),"")</f>
        <v/>
      </c>
      <c r="AJ237" s="1" t="str">
        <f>IF(AND(Programme_Grunddaten!$A242="Geprüft",Programme_Grunddaten!AR242&lt;&gt;""),IF(Programme_Grunddaten!AR242="Ja",1,0),"")</f>
        <v/>
      </c>
      <c r="AK237" s="1" t="str">
        <f>IF(AND(Programme_Grunddaten!$A242="Geprüft",Programme_Grunddaten!AS242&lt;&gt;""),IF(Programme_Grunddaten!AS242="Ja",1,0),"")</f>
        <v/>
      </c>
      <c r="AL237" s="1" t="str">
        <f>IF(AND(Programme_Grunddaten!$A242="Geprüft",Programme_Grunddaten!AT242&lt;&gt;""),IF(Programme_Grunddaten!AT242="Ja",1,0),"")</f>
        <v/>
      </c>
      <c r="AM237" s="1" t="str">
        <f>IF(AND(Programme_Grunddaten!$A242="Geprüft",Programme_Grunddaten!AU242&lt;&gt;""),IF(Programme_Grunddaten!AU242="Ja",1,0),"")</f>
        <v/>
      </c>
      <c r="AN237" s="1" t="str">
        <f>IF(AND(Programme_Grunddaten!$A242="Geprüft",Programme_Grunddaten!AV242&lt;&gt;""),IF(Programme_Grunddaten!AV242="Ja",1,0),"")</f>
        <v/>
      </c>
    </row>
    <row r="238" spans="1:40" x14ac:dyDescent="0.3">
      <c r="A238" s="1" t="str">
        <f>IF(AND(Programme_Grunddaten!A243="Geprüft",Programme_Grunddaten!B243&lt;&gt;""),Programme_Grunddaten!B243,"")</f>
        <v/>
      </c>
      <c r="B238" s="1" t="str">
        <f>IF(AND(Programme_Grunddaten!$A243="Geprüft",Programme_Grunddaten!I243&lt;&gt;""),IF(Programme_Grunddaten!I243="Ja",1,0),"")</f>
        <v/>
      </c>
      <c r="C238" s="1" t="str">
        <f>IF(AND(Programme_Grunddaten!$A243="Geprüft",Programme_Grunddaten!J243&lt;&gt;""),IF(Programme_Grunddaten!J243="Ja",1,0),"")</f>
        <v/>
      </c>
      <c r="D238" s="1" t="str">
        <f>IF(AND(Programme_Grunddaten!$A243="Geprüft",Programme_Grunddaten!K243&lt;&gt;""),IF(Programme_Grunddaten!K243="Ja",1,0),"")</f>
        <v/>
      </c>
      <c r="E238" s="1" t="str">
        <f>IF(AND(Programme_Grunddaten!$A243="Geprüft",Programme_Grunddaten!L243&lt;&gt;""),IF(Programme_Grunddaten!L243="Abo / befristete Lizenz",1,0),"")</f>
        <v/>
      </c>
      <c r="F238" s="1" t="str">
        <f>IF(AND(Programme_Grunddaten!$A243="Geprüft",Programme_Grunddaten!M243&lt;&gt;""),IF(Programme_Grunddaten!M243="Ja",1,0),"")</f>
        <v/>
      </c>
      <c r="G238" s="1" t="str">
        <f>IF(AND(Programme_Grunddaten!$A243="Geprüft",Programme_Grunddaten!N243&lt;&gt;""),IF(Programme_Grunddaten!N243="Ja",1,0),"")</f>
        <v/>
      </c>
      <c r="H238" s="1" t="str">
        <f>IF(AND(Programme_Grunddaten!$A243="Geprüft",Programme_Grunddaten!O243&lt;&gt;""),IF(Programme_Grunddaten!O243="Deutschland",0,IF(Programme_Grunddaten!O243="EU",1,2)),"")</f>
        <v/>
      </c>
      <c r="I238" s="1" t="str">
        <f>IF(AND(Programme_Grunddaten!$A243="Geprüft",Programme_Grunddaten!P243&lt;&gt;""),IF(Programme_Grunddaten!P243="Ja",1,0),"")</f>
        <v/>
      </c>
      <c r="J238" s="1" t="str">
        <f>IF(AND(Programme_Grunddaten!$A243="Geprüft",Programme_Grunddaten!Q243&lt;&gt;""),IF(Programme_Grunddaten!Q243="geschlossenes System",1,0),"")</f>
        <v/>
      </c>
      <c r="K238" s="1" t="str">
        <f>IF(AND(Programme_Grunddaten!$A243="Geprüft",Programme_Grunddaten!R243&lt;&gt;""),IF(Programme_Grunddaten!R243="Ja",1,0),"")</f>
        <v/>
      </c>
      <c r="L238" s="1" t="str">
        <f>IF(AND(Programme_Grunddaten!$A243="Geprüft",Programme_Grunddaten!T243&lt;&gt;""),IF(Programme_Grunddaten!T243="Ja",1,0),"")</f>
        <v/>
      </c>
      <c r="M238" s="1" t="str">
        <f>IF(AND(Programme_Grunddaten!$A243="Geprüft",Programme_Grunddaten!U243&lt;&gt;""),IF(Programme_Grunddaten!U243="Ja",1,0),"")</f>
        <v/>
      </c>
      <c r="N238" s="1" t="str">
        <f>IF(AND(Programme_Grunddaten!$A243="Geprüft",Programme_Grunddaten!V243&lt;&gt;""),IF(Programme_Grunddaten!V243="Ja",1,0),"")</f>
        <v/>
      </c>
      <c r="O238" s="1" t="str">
        <f>IF(AND(Programme_Grunddaten!$A243="Geprüft",Programme_Grunddaten!W243&lt;&gt;""),IF(Programme_Grunddaten!W243="Ja",1,0),"")</f>
        <v/>
      </c>
      <c r="P238" s="1" t="str">
        <f>IF(AND(Programme_Grunddaten!$A243="Geprüft",Programme_Grunddaten!X243&lt;&gt;""),IF(Programme_Grunddaten!X243="Ja",1,0),"")</f>
        <v/>
      </c>
      <c r="Q238" s="1" t="str">
        <f>IF(AND(Programme_Grunddaten!$A243="Geprüft",Programme_Grunddaten!Y243&lt;&gt;""),IF(Programme_Grunddaten!Y243="Ja",1,0),"")</f>
        <v/>
      </c>
      <c r="R238" s="1" t="str">
        <f>IF(AND(Programme_Grunddaten!$A243="Geprüft",Programme_Grunddaten!Z243&lt;&gt;""),IF(Programme_Grunddaten!Z243="Ja",1,0),"")</f>
        <v/>
      </c>
      <c r="S238" s="1" t="str">
        <f>IF(AND(Programme_Grunddaten!$A243="Geprüft",Programme_Grunddaten!AA243&lt;&gt;""),IF(Programme_Grunddaten!AA243="monolithisch",1,0),"")</f>
        <v/>
      </c>
      <c r="T238" s="1" t="str">
        <f>IF(AND(Programme_Grunddaten!$A243="Geprüft",Programme_Grunddaten!AB243&lt;&gt;""),IF(Programme_Grunddaten!AB243="Ja",1,0),"")</f>
        <v/>
      </c>
      <c r="U238" s="1" t="str">
        <f>IF(AND(Programme_Grunddaten!$A243="Geprüft",Programme_Grunddaten!AC243&lt;&gt;""),IF(Programme_Grunddaten!AC243="Ja",1,0),"")</f>
        <v/>
      </c>
      <c r="V238" s="1" t="str">
        <f>IF(AND(Programme_Grunddaten!$A243="Geprüft",Programme_Grunddaten!AD243&lt;&gt;""),IF(Programme_Grunddaten!AD243="Ja",1,0),"")</f>
        <v/>
      </c>
      <c r="W238" s="1" t="str">
        <f>IF(AND(Programme_Grunddaten!$A243="Geprüft",Programme_Grunddaten!AE243&lt;&gt;""),IF(Programme_Grunddaten!AE243="Ja",1,0),"")</f>
        <v/>
      </c>
      <c r="X238" s="1" t="str">
        <f>IF(AND(Programme_Grunddaten!$A243="Geprüft",Programme_Grunddaten!AF243&lt;&gt;""),IF(Programme_Grunddaten!AF243="Ja",1,0),"")</f>
        <v/>
      </c>
      <c r="Y238" s="1" t="str">
        <f>IF(AND(Programme_Grunddaten!$A243="Geprüft",Programme_Grunddaten!AG243&lt;&gt;""),IF(Programme_Grunddaten!AG243="Ja",1,0),"")</f>
        <v/>
      </c>
      <c r="Z238" s="1" t="str">
        <f>IF(AND(Programme_Grunddaten!$A243="Geprüft",Programme_Grunddaten!AH243&lt;&gt;""),IF(Programme_Grunddaten!AH243="Ja",1,0),"")</f>
        <v/>
      </c>
      <c r="AA238" s="1" t="str">
        <f>IF(AND(Programme_Grunddaten!$A243="Geprüft",Programme_Grunddaten!AI243&lt;&gt;""),IF(Programme_Grunddaten!AI243="Ja",1,0),"")</f>
        <v/>
      </c>
      <c r="AB238" s="1" t="str">
        <f>IF(AND(Programme_Grunddaten!$A243="Geprüft",Programme_Grunddaten!AJ243&lt;&gt;""),IF(Programme_Grunddaten!AJ243="individuell programmierbar",1,0),"")</f>
        <v/>
      </c>
      <c r="AC238" s="1" t="str">
        <f>IF(AND(Programme_Grunddaten!$A243="Geprüft",Programme_Grunddaten!AK243&lt;&gt;""),IF(Programme_Grunddaten!AK243="Deutsch",0,IF(Programme_Grunddaten!AK243="Deutsch und Englisch",1,2)),"")</f>
        <v/>
      </c>
      <c r="AD238" s="1" t="str">
        <f>IF(AND(Programme_Grunddaten!$A243="Geprüft",Programme_Grunddaten!AL243&lt;&gt;""),IF(Programme_Grunddaten!AL243="Ja",1,0),"")</f>
        <v/>
      </c>
      <c r="AE238" s="1" t="str">
        <f>IF(AND(Programme_Grunddaten!$A243="Geprüft",Programme_Grunddaten!AM243&lt;&gt;""),IF(Programme_Grunddaten!AM243="Ja",1,0),"")</f>
        <v/>
      </c>
      <c r="AF238" s="1" t="str">
        <f>IF(AND(Programme_Grunddaten!$A243="Geprüft",Programme_Grunddaten!AN243&lt;&gt;""),IF(Programme_Grunddaten!AN243="Ja",1,0),"")</f>
        <v/>
      </c>
      <c r="AG238" s="1" t="str">
        <f>IF(AND(Programme_Grunddaten!$A243="Geprüft",Programme_Grunddaten!AO243&lt;&gt;""),IF(Programme_Grunddaten!AO243="Ja",1,0),"")</f>
        <v/>
      </c>
      <c r="AH238" s="1" t="str">
        <f>IF(AND(Programme_Grunddaten!$A243="Geprüft",Programme_Grunddaten!AP243&lt;&gt;""),IF(Programme_Grunddaten!AP243="Ja",1,0),"")</f>
        <v/>
      </c>
      <c r="AI238" s="1" t="str">
        <f>IF(AND(Programme_Grunddaten!$A243="Geprüft",Programme_Grunddaten!AQ243&lt;&gt;""),IF(Programme_Grunddaten!AQ243="Ja",1,0),"")</f>
        <v/>
      </c>
      <c r="AJ238" s="1" t="str">
        <f>IF(AND(Programme_Grunddaten!$A243="Geprüft",Programme_Grunddaten!AR243&lt;&gt;""),IF(Programme_Grunddaten!AR243="Ja",1,0),"")</f>
        <v/>
      </c>
      <c r="AK238" s="1" t="str">
        <f>IF(AND(Programme_Grunddaten!$A243="Geprüft",Programme_Grunddaten!AS243&lt;&gt;""),IF(Programme_Grunddaten!AS243="Ja",1,0),"")</f>
        <v/>
      </c>
      <c r="AL238" s="1" t="str">
        <f>IF(AND(Programme_Grunddaten!$A243="Geprüft",Programme_Grunddaten!AT243&lt;&gt;""),IF(Programme_Grunddaten!AT243="Ja",1,0),"")</f>
        <v/>
      </c>
      <c r="AM238" s="1" t="str">
        <f>IF(AND(Programme_Grunddaten!$A243="Geprüft",Programme_Grunddaten!AU243&lt;&gt;""),IF(Programme_Grunddaten!AU243="Ja",1,0),"")</f>
        <v/>
      </c>
      <c r="AN238" s="1" t="str">
        <f>IF(AND(Programme_Grunddaten!$A243="Geprüft",Programme_Grunddaten!AV243&lt;&gt;""),IF(Programme_Grunddaten!AV243="Ja",1,0),"")</f>
        <v/>
      </c>
    </row>
    <row r="239" spans="1:40" x14ac:dyDescent="0.3">
      <c r="A239" s="1" t="str">
        <f>IF(AND(Programme_Grunddaten!A244="Geprüft",Programme_Grunddaten!B244&lt;&gt;""),Programme_Grunddaten!B244,"")</f>
        <v/>
      </c>
      <c r="B239" s="1" t="str">
        <f>IF(AND(Programme_Grunddaten!$A244="Geprüft",Programme_Grunddaten!I244&lt;&gt;""),IF(Programme_Grunddaten!I244="Ja",1,0),"")</f>
        <v/>
      </c>
      <c r="C239" s="1" t="str">
        <f>IF(AND(Programme_Grunddaten!$A244="Geprüft",Programme_Grunddaten!J244&lt;&gt;""),IF(Programme_Grunddaten!J244="Ja",1,0),"")</f>
        <v/>
      </c>
      <c r="D239" s="1" t="str">
        <f>IF(AND(Programme_Grunddaten!$A244="Geprüft",Programme_Grunddaten!K244&lt;&gt;""),IF(Programme_Grunddaten!K244="Ja",1,0),"")</f>
        <v/>
      </c>
      <c r="E239" s="1" t="str">
        <f>IF(AND(Programme_Grunddaten!$A244="Geprüft",Programme_Grunddaten!L244&lt;&gt;""),IF(Programme_Grunddaten!L244="Abo / befristete Lizenz",1,0),"")</f>
        <v/>
      </c>
      <c r="F239" s="1" t="str">
        <f>IF(AND(Programme_Grunddaten!$A244="Geprüft",Programme_Grunddaten!M244&lt;&gt;""),IF(Programme_Grunddaten!M244="Ja",1,0),"")</f>
        <v/>
      </c>
      <c r="G239" s="1" t="str">
        <f>IF(AND(Programme_Grunddaten!$A244="Geprüft",Programme_Grunddaten!N244&lt;&gt;""),IF(Programme_Grunddaten!N244="Ja",1,0),"")</f>
        <v/>
      </c>
      <c r="H239" s="1" t="str">
        <f>IF(AND(Programme_Grunddaten!$A244="Geprüft",Programme_Grunddaten!O244&lt;&gt;""),IF(Programme_Grunddaten!O244="Deutschland",0,IF(Programme_Grunddaten!O244="EU",1,2)),"")</f>
        <v/>
      </c>
      <c r="I239" s="1" t="str">
        <f>IF(AND(Programme_Grunddaten!$A244="Geprüft",Programme_Grunddaten!P244&lt;&gt;""),IF(Programme_Grunddaten!P244="Ja",1,0),"")</f>
        <v/>
      </c>
      <c r="J239" s="1" t="str">
        <f>IF(AND(Programme_Grunddaten!$A244="Geprüft",Programme_Grunddaten!Q244&lt;&gt;""),IF(Programme_Grunddaten!Q244="geschlossenes System",1,0),"")</f>
        <v/>
      </c>
      <c r="K239" s="1" t="str">
        <f>IF(AND(Programme_Grunddaten!$A244="Geprüft",Programme_Grunddaten!R244&lt;&gt;""),IF(Programme_Grunddaten!R244="Ja",1,0),"")</f>
        <v/>
      </c>
      <c r="L239" s="1" t="str">
        <f>IF(AND(Programme_Grunddaten!$A244="Geprüft",Programme_Grunddaten!T244&lt;&gt;""),IF(Programme_Grunddaten!T244="Ja",1,0),"")</f>
        <v/>
      </c>
      <c r="M239" s="1" t="str">
        <f>IF(AND(Programme_Grunddaten!$A244="Geprüft",Programme_Grunddaten!U244&lt;&gt;""),IF(Programme_Grunddaten!U244="Ja",1,0),"")</f>
        <v/>
      </c>
      <c r="N239" s="1" t="str">
        <f>IF(AND(Programme_Grunddaten!$A244="Geprüft",Programme_Grunddaten!V244&lt;&gt;""),IF(Programme_Grunddaten!V244="Ja",1,0),"")</f>
        <v/>
      </c>
      <c r="O239" s="1" t="str">
        <f>IF(AND(Programme_Grunddaten!$A244="Geprüft",Programme_Grunddaten!W244&lt;&gt;""),IF(Programme_Grunddaten!W244="Ja",1,0),"")</f>
        <v/>
      </c>
      <c r="P239" s="1" t="str">
        <f>IF(AND(Programme_Grunddaten!$A244="Geprüft",Programme_Grunddaten!X244&lt;&gt;""),IF(Programme_Grunddaten!X244="Ja",1,0),"")</f>
        <v/>
      </c>
      <c r="Q239" s="1" t="str">
        <f>IF(AND(Programme_Grunddaten!$A244="Geprüft",Programme_Grunddaten!Y244&lt;&gt;""),IF(Programme_Grunddaten!Y244="Ja",1,0),"")</f>
        <v/>
      </c>
      <c r="R239" s="1" t="str">
        <f>IF(AND(Programme_Grunddaten!$A244="Geprüft",Programme_Grunddaten!Z244&lt;&gt;""),IF(Programme_Grunddaten!Z244="Ja",1,0),"")</f>
        <v/>
      </c>
      <c r="S239" s="1" t="str">
        <f>IF(AND(Programme_Grunddaten!$A244="Geprüft",Programme_Grunddaten!AA244&lt;&gt;""),IF(Programme_Grunddaten!AA244="monolithisch",1,0),"")</f>
        <v/>
      </c>
      <c r="T239" s="1" t="str">
        <f>IF(AND(Programme_Grunddaten!$A244="Geprüft",Programme_Grunddaten!AB244&lt;&gt;""),IF(Programme_Grunddaten!AB244="Ja",1,0),"")</f>
        <v/>
      </c>
      <c r="U239" s="1" t="str">
        <f>IF(AND(Programme_Grunddaten!$A244="Geprüft",Programme_Grunddaten!AC244&lt;&gt;""),IF(Programme_Grunddaten!AC244="Ja",1,0),"")</f>
        <v/>
      </c>
      <c r="V239" s="1" t="str">
        <f>IF(AND(Programme_Grunddaten!$A244="Geprüft",Programme_Grunddaten!AD244&lt;&gt;""),IF(Programme_Grunddaten!AD244="Ja",1,0),"")</f>
        <v/>
      </c>
      <c r="W239" s="1" t="str">
        <f>IF(AND(Programme_Grunddaten!$A244="Geprüft",Programme_Grunddaten!AE244&lt;&gt;""),IF(Programme_Grunddaten!AE244="Ja",1,0),"")</f>
        <v/>
      </c>
      <c r="X239" s="1" t="str">
        <f>IF(AND(Programme_Grunddaten!$A244="Geprüft",Programme_Grunddaten!AF244&lt;&gt;""),IF(Programme_Grunddaten!AF244="Ja",1,0),"")</f>
        <v/>
      </c>
      <c r="Y239" s="1" t="str">
        <f>IF(AND(Programme_Grunddaten!$A244="Geprüft",Programme_Grunddaten!AG244&lt;&gt;""),IF(Programme_Grunddaten!AG244="Ja",1,0),"")</f>
        <v/>
      </c>
      <c r="Z239" s="1" t="str">
        <f>IF(AND(Programme_Grunddaten!$A244="Geprüft",Programme_Grunddaten!AH244&lt;&gt;""),IF(Programme_Grunddaten!AH244="Ja",1,0),"")</f>
        <v/>
      </c>
      <c r="AA239" s="1" t="str">
        <f>IF(AND(Programme_Grunddaten!$A244="Geprüft",Programme_Grunddaten!AI244&lt;&gt;""),IF(Programme_Grunddaten!AI244="Ja",1,0),"")</f>
        <v/>
      </c>
      <c r="AB239" s="1" t="str">
        <f>IF(AND(Programme_Grunddaten!$A244="Geprüft",Programme_Grunddaten!AJ244&lt;&gt;""),IF(Programme_Grunddaten!AJ244="individuell programmierbar",1,0),"")</f>
        <v/>
      </c>
      <c r="AC239" s="1" t="str">
        <f>IF(AND(Programme_Grunddaten!$A244="Geprüft",Programme_Grunddaten!AK244&lt;&gt;""),IF(Programme_Grunddaten!AK244="Deutsch",0,IF(Programme_Grunddaten!AK244="Deutsch und Englisch",1,2)),"")</f>
        <v/>
      </c>
      <c r="AD239" s="1" t="str">
        <f>IF(AND(Programme_Grunddaten!$A244="Geprüft",Programme_Grunddaten!AL244&lt;&gt;""),IF(Programme_Grunddaten!AL244="Ja",1,0),"")</f>
        <v/>
      </c>
      <c r="AE239" s="1" t="str">
        <f>IF(AND(Programme_Grunddaten!$A244="Geprüft",Programme_Grunddaten!AM244&lt;&gt;""),IF(Programme_Grunddaten!AM244="Ja",1,0),"")</f>
        <v/>
      </c>
      <c r="AF239" s="1" t="str">
        <f>IF(AND(Programme_Grunddaten!$A244="Geprüft",Programme_Grunddaten!AN244&lt;&gt;""),IF(Programme_Grunddaten!AN244="Ja",1,0),"")</f>
        <v/>
      </c>
      <c r="AG239" s="1" t="str">
        <f>IF(AND(Programme_Grunddaten!$A244="Geprüft",Programme_Grunddaten!AO244&lt;&gt;""),IF(Programme_Grunddaten!AO244="Ja",1,0),"")</f>
        <v/>
      </c>
      <c r="AH239" s="1" t="str">
        <f>IF(AND(Programme_Grunddaten!$A244="Geprüft",Programme_Grunddaten!AP244&lt;&gt;""),IF(Programme_Grunddaten!AP244="Ja",1,0),"")</f>
        <v/>
      </c>
      <c r="AI239" s="1" t="str">
        <f>IF(AND(Programme_Grunddaten!$A244="Geprüft",Programme_Grunddaten!AQ244&lt;&gt;""),IF(Programme_Grunddaten!AQ244="Ja",1,0),"")</f>
        <v/>
      </c>
      <c r="AJ239" s="1" t="str">
        <f>IF(AND(Programme_Grunddaten!$A244="Geprüft",Programme_Grunddaten!AR244&lt;&gt;""),IF(Programme_Grunddaten!AR244="Ja",1,0),"")</f>
        <v/>
      </c>
      <c r="AK239" s="1" t="str">
        <f>IF(AND(Programme_Grunddaten!$A244="Geprüft",Programme_Grunddaten!AS244&lt;&gt;""),IF(Programme_Grunddaten!AS244="Ja",1,0),"")</f>
        <v/>
      </c>
      <c r="AL239" s="1" t="str">
        <f>IF(AND(Programme_Grunddaten!$A244="Geprüft",Programme_Grunddaten!AT244&lt;&gt;""),IF(Programme_Grunddaten!AT244="Ja",1,0),"")</f>
        <v/>
      </c>
      <c r="AM239" s="1" t="str">
        <f>IF(AND(Programme_Grunddaten!$A244="Geprüft",Programme_Grunddaten!AU244&lt;&gt;""),IF(Programme_Grunddaten!AU244="Ja",1,0),"")</f>
        <v/>
      </c>
      <c r="AN239" s="1" t="str">
        <f>IF(AND(Programme_Grunddaten!$A244="Geprüft",Programme_Grunddaten!AV244&lt;&gt;""),IF(Programme_Grunddaten!AV244="Ja",1,0),"")</f>
        <v/>
      </c>
    </row>
    <row r="240" spans="1:40" x14ac:dyDescent="0.3">
      <c r="A240" s="1" t="str">
        <f>IF(AND(Programme_Grunddaten!A245="Geprüft",Programme_Grunddaten!B245&lt;&gt;""),Programme_Grunddaten!B245,"")</f>
        <v/>
      </c>
      <c r="B240" s="1" t="str">
        <f>IF(AND(Programme_Grunddaten!$A245="Geprüft",Programme_Grunddaten!I245&lt;&gt;""),IF(Programme_Grunddaten!I245="Ja",1,0),"")</f>
        <v/>
      </c>
      <c r="C240" s="1" t="str">
        <f>IF(AND(Programme_Grunddaten!$A245="Geprüft",Programme_Grunddaten!J245&lt;&gt;""),IF(Programme_Grunddaten!J245="Ja",1,0),"")</f>
        <v/>
      </c>
      <c r="D240" s="1" t="str">
        <f>IF(AND(Programme_Grunddaten!$A245="Geprüft",Programme_Grunddaten!K245&lt;&gt;""),IF(Programme_Grunddaten!K245="Ja",1,0),"")</f>
        <v/>
      </c>
      <c r="E240" s="1" t="str">
        <f>IF(AND(Programme_Grunddaten!$A245="Geprüft",Programme_Grunddaten!L245&lt;&gt;""),IF(Programme_Grunddaten!L245="Abo / befristete Lizenz",1,0),"")</f>
        <v/>
      </c>
      <c r="F240" s="1" t="str">
        <f>IF(AND(Programme_Grunddaten!$A245="Geprüft",Programme_Grunddaten!M245&lt;&gt;""),IF(Programme_Grunddaten!M245="Ja",1,0),"")</f>
        <v/>
      </c>
      <c r="G240" s="1" t="str">
        <f>IF(AND(Programme_Grunddaten!$A245="Geprüft",Programme_Grunddaten!N245&lt;&gt;""),IF(Programme_Grunddaten!N245="Ja",1,0),"")</f>
        <v/>
      </c>
      <c r="H240" s="1" t="str">
        <f>IF(AND(Programme_Grunddaten!$A245="Geprüft",Programme_Grunddaten!O245&lt;&gt;""),IF(Programme_Grunddaten!O245="Deutschland",0,IF(Programme_Grunddaten!O245="EU",1,2)),"")</f>
        <v/>
      </c>
      <c r="I240" s="1" t="str">
        <f>IF(AND(Programme_Grunddaten!$A245="Geprüft",Programme_Grunddaten!P245&lt;&gt;""),IF(Programme_Grunddaten!P245="Ja",1,0),"")</f>
        <v/>
      </c>
      <c r="J240" s="1" t="str">
        <f>IF(AND(Programme_Grunddaten!$A245="Geprüft",Programme_Grunddaten!Q245&lt;&gt;""),IF(Programme_Grunddaten!Q245="geschlossenes System",1,0),"")</f>
        <v/>
      </c>
      <c r="K240" s="1" t="str">
        <f>IF(AND(Programme_Grunddaten!$A245="Geprüft",Programme_Grunddaten!R245&lt;&gt;""),IF(Programme_Grunddaten!R245="Ja",1,0),"")</f>
        <v/>
      </c>
      <c r="L240" s="1" t="str">
        <f>IF(AND(Programme_Grunddaten!$A245="Geprüft",Programme_Grunddaten!T245&lt;&gt;""),IF(Programme_Grunddaten!T245="Ja",1,0),"")</f>
        <v/>
      </c>
      <c r="M240" s="1" t="str">
        <f>IF(AND(Programme_Grunddaten!$A245="Geprüft",Programme_Grunddaten!U245&lt;&gt;""),IF(Programme_Grunddaten!U245="Ja",1,0),"")</f>
        <v/>
      </c>
      <c r="N240" s="1" t="str">
        <f>IF(AND(Programme_Grunddaten!$A245="Geprüft",Programme_Grunddaten!V245&lt;&gt;""),IF(Programme_Grunddaten!V245="Ja",1,0),"")</f>
        <v/>
      </c>
      <c r="O240" s="1" t="str">
        <f>IF(AND(Programme_Grunddaten!$A245="Geprüft",Programme_Grunddaten!W245&lt;&gt;""),IF(Programme_Grunddaten!W245="Ja",1,0),"")</f>
        <v/>
      </c>
      <c r="P240" s="1" t="str">
        <f>IF(AND(Programme_Grunddaten!$A245="Geprüft",Programme_Grunddaten!X245&lt;&gt;""),IF(Programme_Grunddaten!X245="Ja",1,0),"")</f>
        <v/>
      </c>
      <c r="Q240" s="1" t="str">
        <f>IF(AND(Programme_Grunddaten!$A245="Geprüft",Programme_Grunddaten!Y245&lt;&gt;""),IF(Programme_Grunddaten!Y245="Ja",1,0),"")</f>
        <v/>
      </c>
      <c r="R240" s="1" t="str">
        <f>IF(AND(Programme_Grunddaten!$A245="Geprüft",Programme_Grunddaten!Z245&lt;&gt;""),IF(Programme_Grunddaten!Z245="Ja",1,0),"")</f>
        <v/>
      </c>
      <c r="S240" s="1" t="str">
        <f>IF(AND(Programme_Grunddaten!$A245="Geprüft",Programme_Grunddaten!AA245&lt;&gt;""),IF(Programme_Grunddaten!AA245="monolithisch",1,0),"")</f>
        <v/>
      </c>
      <c r="T240" s="1" t="str">
        <f>IF(AND(Programme_Grunddaten!$A245="Geprüft",Programme_Grunddaten!AB245&lt;&gt;""),IF(Programme_Grunddaten!AB245="Ja",1,0),"")</f>
        <v/>
      </c>
      <c r="U240" s="1" t="str">
        <f>IF(AND(Programme_Grunddaten!$A245="Geprüft",Programme_Grunddaten!AC245&lt;&gt;""),IF(Programme_Grunddaten!AC245="Ja",1,0),"")</f>
        <v/>
      </c>
      <c r="V240" s="1" t="str">
        <f>IF(AND(Programme_Grunddaten!$A245="Geprüft",Programme_Grunddaten!AD245&lt;&gt;""),IF(Programme_Grunddaten!AD245="Ja",1,0),"")</f>
        <v/>
      </c>
      <c r="W240" s="1" t="str">
        <f>IF(AND(Programme_Grunddaten!$A245="Geprüft",Programme_Grunddaten!AE245&lt;&gt;""),IF(Programme_Grunddaten!AE245="Ja",1,0),"")</f>
        <v/>
      </c>
      <c r="X240" s="1" t="str">
        <f>IF(AND(Programme_Grunddaten!$A245="Geprüft",Programme_Grunddaten!AF245&lt;&gt;""),IF(Programme_Grunddaten!AF245="Ja",1,0),"")</f>
        <v/>
      </c>
      <c r="Y240" s="1" t="str">
        <f>IF(AND(Programme_Grunddaten!$A245="Geprüft",Programme_Grunddaten!AG245&lt;&gt;""),IF(Programme_Grunddaten!AG245="Ja",1,0),"")</f>
        <v/>
      </c>
      <c r="Z240" s="1" t="str">
        <f>IF(AND(Programme_Grunddaten!$A245="Geprüft",Programme_Grunddaten!AH245&lt;&gt;""),IF(Programme_Grunddaten!AH245="Ja",1,0),"")</f>
        <v/>
      </c>
      <c r="AA240" s="1" t="str">
        <f>IF(AND(Programme_Grunddaten!$A245="Geprüft",Programme_Grunddaten!AI245&lt;&gt;""),IF(Programme_Grunddaten!AI245="Ja",1,0),"")</f>
        <v/>
      </c>
      <c r="AB240" s="1" t="str">
        <f>IF(AND(Programme_Grunddaten!$A245="Geprüft",Programme_Grunddaten!AJ245&lt;&gt;""),IF(Programme_Grunddaten!AJ245="individuell programmierbar",1,0),"")</f>
        <v/>
      </c>
      <c r="AC240" s="1" t="str">
        <f>IF(AND(Programme_Grunddaten!$A245="Geprüft",Programme_Grunddaten!AK245&lt;&gt;""),IF(Programme_Grunddaten!AK245="Deutsch",0,IF(Programme_Grunddaten!AK245="Deutsch und Englisch",1,2)),"")</f>
        <v/>
      </c>
      <c r="AD240" s="1" t="str">
        <f>IF(AND(Programme_Grunddaten!$A245="Geprüft",Programme_Grunddaten!AL245&lt;&gt;""),IF(Programme_Grunddaten!AL245="Ja",1,0),"")</f>
        <v/>
      </c>
      <c r="AE240" s="1" t="str">
        <f>IF(AND(Programme_Grunddaten!$A245="Geprüft",Programme_Grunddaten!AM245&lt;&gt;""),IF(Programme_Grunddaten!AM245="Ja",1,0),"")</f>
        <v/>
      </c>
      <c r="AF240" s="1" t="str">
        <f>IF(AND(Programme_Grunddaten!$A245="Geprüft",Programme_Grunddaten!AN245&lt;&gt;""),IF(Programme_Grunddaten!AN245="Ja",1,0),"")</f>
        <v/>
      </c>
      <c r="AG240" s="1" t="str">
        <f>IF(AND(Programme_Grunddaten!$A245="Geprüft",Programme_Grunddaten!AO245&lt;&gt;""),IF(Programme_Grunddaten!AO245="Ja",1,0),"")</f>
        <v/>
      </c>
      <c r="AH240" s="1" t="str">
        <f>IF(AND(Programme_Grunddaten!$A245="Geprüft",Programme_Grunddaten!AP245&lt;&gt;""),IF(Programme_Grunddaten!AP245="Ja",1,0),"")</f>
        <v/>
      </c>
      <c r="AI240" s="1" t="str">
        <f>IF(AND(Programme_Grunddaten!$A245="Geprüft",Programme_Grunddaten!AQ245&lt;&gt;""),IF(Programme_Grunddaten!AQ245="Ja",1,0),"")</f>
        <v/>
      </c>
      <c r="AJ240" s="1" t="str">
        <f>IF(AND(Programme_Grunddaten!$A245="Geprüft",Programme_Grunddaten!AR245&lt;&gt;""),IF(Programme_Grunddaten!AR245="Ja",1,0),"")</f>
        <v/>
      </c>
      <c r="AK240" s="1" t="str">
        <f>IF(AND(Programme_Grunddaten!$A245="Geprüft",Programme_Grunddaten!AS245&lt;&gt;""),IF(Programme_Grunddaten!AS245="Ja",1,0),"")</f>
        <v/>
      </c>
      <c r="AL240" s="1" t="str">
        <f>IF(AND(Programme_Grunddaten!$A245="Geprüft",Programme_Grunddaten!AT245&lt;&gt;""),IF(Programme_Grunddaten!AT245="Ja",1,0),"")</f>
        <v/>
      </c>
      <c r="AM240" s="1" t="str">
        <f>IF(AND(Programme_Grunddaten!$A245="Geprüft",Programme_Grunddaten!AU245&lt;&gt;""),IF(Programme_Grunddaten!AU245="Ja",1,0),"")</f>
        <v/>
      </c>
      <c r="AN240" s="1" t="str">
        <f>IF(AND(Programme_Grunddaten!$A245="Geprüft",Programme_Grunddaten!AV245&lt;&gt;""),IF(Programme_Grunddaten!AV245="Ja",1,0),"")</f>
        <v/>
      </c>
    </row>
    <row r="241" spans="1:40" x14ac:dyDescent="0.3">
      <c r="A241" s="1" t="str">
        <f>IF(AND(Programme_Grunddaten!A246="Geprüft",Programme_Grunddaten!B246&lt;&gt;""),Programme_Grunddaten!B246,"")</f>
        <v/>
      </c>
      <c r="B241" s="1" t="str">
        <f>IF(AND(Programme_Grunddaten!$A246="Geprüft",Programme_Grunddaten!I246&lt;&gt;""),IF(Programme_Grunddaten!I246="Ja",1,0),"")</f>
        <v/>
      </c>
      <c r="C241" s="1" t="str">
        <f>IF(AND(Programme_Grunddaten!$A246="Geprüft",Programme_Grunddaten!J246&lt;&gt;""),IF(Programme_Grunddaten!J246="Ja",1,0),"")</f>
        <v/>
      </c>
      <c r="D241" s="1" t="str">
        <f>IF(AND(Programme_Grunddaten!$A246="Geprüft",Programme_Grunddaten!K246&lt;&gt;""),IF(Programme_Grunddaten!K246="Ja",1,0),"")</f>
        <v/>
      </c>
      <c r="E241" s="1" t="str">
        <f>IF(AND(Programme_Grunddaten!$A246="Geprüft",Programme_Grunddaten!L246&lt;&gt;""),IF(Programme_Grunddaten!L246="Abo / befristete Lizenz",1,0),"")</f>
        <v/>
      </c>
      <c r="F241" s="1" t="str">
        <f>IF(AND(Programme_Grunddaten!$A246="Geprüft",Programme_Grunddaten!M246&lt;&gt;""),IF(Programme_Grunddaten!M246="Ja",1,0),"")</f>
        <v/>
      </c>
      <c r="G241" s="1" t="str">
        <f>IF(AND(Programme_Grunddaten!$A246="Geprüft",Programme_Grunddaten!N246&lt;&gt;""),IF(Programme_Grunddaten!N246="Ja",1,0),"")</f>
        <v/>
      </c>
      <c r="H241" s="1" t="str">
        <f>IF(AND(Programme_Grunddaten!$A246="Geprüft",Programme_Grunddaten!O246&lt;&gt;""),IF(Programme_Grunddaten!O246="Deutschland",0,IF(Programme_Grunddaten!O246="EU",1,2)),"")</f>
        <v/>
      </c>
      <c r="I241" s="1" t="str">
        <f>IF(AND(Programme_Grunddaten!$A246="Geprüft",Programme_Grunddaten!P246&lt;&gt;""),IF(Programme_Grunddaten!P246="Ja",1,0),"")</f>
        <v/>
      </c>
      <c r="J241" s="1" t="str">
        <f>IF(AND(Programme_Grunddaten!$A246="Geprüft",Programme_Grunddaten!Q246&lt;&gt;""),IF(Programme_Grunddaten!Q246="geschlossenes System",1,0),"")</f>
        <v/>
      </c>
      <c r="K241" s="1" t="str">
        <f>IF(AND(Programme_Grunddaten!$A246="Geprüft",Programme_Grunddaten!R246&lt;&gt;""),IF(Programme_Grunddaten!R246="Ja",1,0),"")</f>
        <v/>
      </c>
      <c r="L241" s="1" t="str">
        <f>IF(AND(Programme_Grunddaten!$A246="Geprüft",Programme_Grunddaten!T246&lt;&gt;""),IF(Programme_Grunddaten!T246="Ja",1,0),"")</f>
        <v/>
      </c>
      <c r="M241" s="1" t="str">
        <f>IF(AND(Programme_Grunddaten!$A246="Geprüft",Programme_Grunddaten!U246&lt;&gt;""),IF(Programme_Grunddaten!U246="Ja",1,0),"")</f>
        <v/>
      </c>
      <c r="N241" s="1" t="str">
        <f>IF(AND(Programme_Grunddaten!$A246="Geprüft",Programme_Grunddaten!V246&lt;&gt;""),IF(Programme_Grunddaten!V246="Ja",1,0),"")</f>
        <v/>
      </c>
      <c r="O241" s="1" t="str">
        <f>IF(AND(Programme_Grunddaten!$A246="Geprüft",Programme_Grunddaten!W246&lt;&gt;""),IF(Programme_Grunddaten!W246="Ja",1,0),"")</f>
        <v/>
      </c>
      <c r="P241" s="1" t="str">
        <f>IF(AND(Programme_Grunddaten!$A246="Geprüft",Programme_Grunddaten!X246&lt;&gt;""),IF(Programme_Grunddaten!X246="Ja",1,0),"")</f>
        <v/>
      </c>
      <c r="Q241" s="1" t="str">
        <f>IF(AND(Programme_Grunddaten!$A246="Geprüft",Programme_Grunddaten!Y246&lt;&gt;""),IF(Programme_Grunddaten!Y246="Ja",1,0),"")</f>
        <v/>
      </c>
      <c r="R241" s="1" t="str">
        <f>IF(AND(Programme_Grunddaten!$A246="Geprüft",Programme_Grunddaten!Z246&lt;&gt;""),IF(Programme_Grunddaten!Z246="Ja",1,0),"")</f>
        <v/>
      </c>
      <c r="S241" s="1" t="str">
        <f>IF(AND(Programme_Grunddaten!$A246="Geprüft",Programme_Grunddaten!AA246&lt;&gt;""),IF(Programme_Grunddaten!AA246="monolithisch",1,0),"")</f>
        <v/>
      </c>
      <c r="T241" s="1" t="str">
        <f>IF(AND(Programme_Grunddaten!$A246="Geprüft",Programme_Grunddaten!AB246&lt;&gt;""),IF(Programme_Grunddaten!AB246="Ja",1,0),"")</f>
        <v/>
      </c>
      <c r="U241" s="1" t="str">
        <f>IF(AND(Programme_Grunddaten!$A246="Geprüft",Programme_Grunddaten!AC246&lt;&gt;""),IF(Programme_Grunddaten!AC246="Ja",1,0),"")</f>
        <v/>
      </c>
      <c r="V241" s="1" t="str">
        <f>IF(AND(Programme_Grunddaten!$A246="Geprüft",Programme_Grunddaten!AD246&lt;&gt;""),IF(Programme_Grunddaten!AD246="Ja",1,0),"")</f>
        <v/>
      </c>
      <c r="W241" s="1" t="str">
        <f>IF(AND(Programme_Grunddaten!$A246="Geprüft",Programme_Grunddaten!AE246&lt;&gt;""),IF(Programme_Grunddaten!AE246="Ja",1,0),"")</f>
        <v/>
      </c>
      <c r="X241" s="1" t="str">
        <f>IF(AND(Programme_Grunddaten!$A246="Geprüft",Programme_Grunddaten!AF246&lt;&gt;""),IF(Programme_Grunddaten!AF246="Ja",1,0),"")</f>
        <v/>
      </c>
      <c r="Y241" s="1" t="str">
        <f>IF(AND(Programme_Grunddaten!$A246="Geprüft",Programme_Grunddaten!AG246&lt;&gt;""),IF(Programme_Grunddaten!AG246="Ja",1,0),"")</f>
        <v/>
      </c>
      <c r="Z241" s="1" t="str">
        <f>IF(AND(Programme_Grunddaten!$A246="Geprüft",Programme_Grunddaten!AH246&lt;&gt;""),IF(Programme_Grunddaten!AH246="Ja",1,0),"")</f>
        <v/>
      </c>
      <c r="AA241" s="1" t="str">
        <f>IF(AND(Programme_Grunddaten!$A246="Geprüft",Programme_Grunddaten!AI246&lt;&gt;""),IF(Programme_Grunddaten!AI246="Ja",1,0),"")</f>
        <v/>
      </c>
      <c r="AB241" s="1" t="str">
        <f>IF(AND(Programme_Grunddaten!$A246="Geprüft",Programme_Grunddaten!AJ246&lt;&gt;""),IF(Programme_Grunddaten!AJ246="individuell programmierbar",1,0),"")</f>
        <v/>
      </c>
      <c r="AC241" s="1" t="str">
        <f>IF(AND(Programme_Grunddaten!$A246="Geprüft",Programme_Grunddaten!AK246&lt;&gt;""),IF(Programme_Grunddaten!AK246="Deutsch",0,IF(Programme_Grunddaten!AK246="Deutsch und Englisch",1,2)),"")</f>
        <v/>
      </c>
      <c r="AD241" s="1" t="str">
        <f>IF(AND(Programme_Grunddaten!$A246="Geprüft",Programme_Grunddaten!AL246&lt;&gt;""),IF(Programme_Grunddaten!AL246="Ja",1,0),"")</f>
        <v/>
      </c>
      <c r="AE241" s="1" t="str">
        <f>IF(AND(Programme_Grunddaten!$A246="Geprüft",Programme_Grunddaten!AM246&lt;&gt;""),IF(Programme_Grunddaten!AM246="Ja",1,0),"")</f>
        <v/>
      </c>
      <c r="AF241" s="1" t="str">
        <f>IF(AND(Programme_Grunddaten!$A246="Geprüft",Programme_Grunddaten!AN246&lt;&gt;""),IF(Programme_Grunddaten!AN246="Ja",1,0),"")</f>
        <v/>
      </c>
      <c r="AG241" s="1" t="str">
        <f>IF(AND(Programme_Grunddaten!$A246="Geprüft",Programme_Grunddaten!AO246&lt;&gt;""),IF(Programme_Grunddaten!AO246="Ja",1,0),"")</f>
        <v/>
      </c>
      <c r="AH241" s="1" t="str">
        <f>IF(AND(Programme_Grunddaten!$A246="Geprüft",Programme_Grunddaten!AP246&lt;&gt;""),IF(Programme_Grunddaten!AP246="Ja",1,0),"")</f>
        <v/>
      </c>
      <c r="AI241" s="1" t="str">
        <f>IF(AND(Programme_Grunddaten!$A246="Geprüft",Programme_Grunddaten!AQ246&lt;&gt;""),IF(Programme_Grunddaten!AQ246="Ja",1,0),"")</f>
        <v/>
      </c>
      <c r="AJ241" s="1" t="str">
        <f>IF(AND(Programme_Grunddaten!$A246="Geprüft",Programme_Grunddaten!AR246&lt;&gt;""),IF(Programme_Grunddaten!AR246="Ja",1,0),"")</f>
        <v/>
      </c>
      <c r="AK241" s="1" t="str">
        <f>IF(AND(Programme_Grunddaten!$A246="Geprüft",Programme_Grunddaten!AS246&lt;&gt;""),IF(Programme_Grunddaten!AS246="Ja",1,0),"")</f>
        <v/>
      </c>
      <c r="AL241" s="1" t="str">
        <f>IF(AND(Programme_Grunddaten!$A246="Geprüft",Programme_Grunddaten!AT246&lt;&gt;""),IF(Programme_Grunddaten!AT246="Ja",1,0),"")</f>
        <v/>
      </c>
      <c r="AM241" s="1" t="str">
        <f>IF(AND(Programme_Grunddaten!$A246="Geprüft",Programme_Grunddaten!AU246&lt;&gt;""),IF(Programme_Grunddaten!AU246="Ja",1,0),"")</f>
        <v/>
      </c>
      <c r="AN241" s="1" t="str">
        <f>IF(AND(Programme_Grunddaten!$A246="Geprüft",Programme_Grunddaten!AV246&lt;&gt;""),IF(Programme_Grunddaten!AV246="Ja",1,0),"")</f>
        <v/>
      </c>
    </row>
    <row r="242" spans="1:40" x14ac:dyDescent="0.3">
      <c r="A242" s="1" t="str">
        <f>IF(AND(Programme_Grunddaten!A247="Geprüft",Programme_Grunddaten!B247&lt;&gt;""),Programme_Grunddaten!B247,"")</f>
        <v/>
      </c>
      <c r="B242" s="1" t="str">
        <f>IF(AND(Programme_Grunddaten!$A247="Geprüft",Programme_Grunddaten!I247&lt;&gt;""),IF(Programme_Grunddaten!I247="Ja",1,0),"")</f>
        <v/>
      </c>
      <c r="C242" s="1" t="str">
        <f>IF(AND(Programme_Grunddaten!$A247="Geprüft",Programme_Grunddaten!J247&lt;&gt;""),IF(Programme_Grunddaten!J247="Ja",1,0),"")</f>
        <v/>
      </c>
      <c r="D242" s="1" t="str">
        <f>IF(AND(Programme_Grunddaten!$A247="Geprüft",Programme_Grunddaten!K247&lt;&gt;""),IF(Programme_Grunddaten!K247="Ja",1,0),"")</f>
        <v/>
      </c>
      <c r="E242" s="1" t="str">
        <f>IF(AND(Programme_Grunddaten!$A247="Geprüft",Programme_Grunddaten!L247&lt;&gt;""),IF(Programme_Grunddaten!L247="Abo / befristete Lizenz",1,0),"")</f>
        <v/>
      </c>
      <c r="F242" s="1" t="str">
        <f>IF(AND(Programme_Grunddaten!$A247="Geprüft",Programme_Grunddaten!M247&lt;&gt;""),IF(Programme_Grunddaten!M247="Ja",1,0),"")</f>
        <v/>
      </c>
      <c r="G242" s="1" t="str">
        <f>IF(AND(Programme_Grunddaten!$A247="Geprüft",Programme_Grunddaten!N247&lt;&gt;""),IF(Programme_Grunddaten!N247="Ja",1,0),"")</f>
        <v/>
      </c>
      <c r="H242" s="1" t="str">
        <f>IF(AND(Programme_Grunddaten!$A247="Geprüft",Programme_Grunddaten!O247&lt;&gt;""),IF(Programme_Grunddaten!O247="Deutschland",0,IF(Programme_Grunddaten!O247="EU",1,2)),"")</f>
        <v/>
      </c>
      <c r="I242" s="1" t="str">
        <f>IF(AND(Programme_Grunddaten!$A247="Geprüft",Programme_Grunddaten!P247&lt;&gt;""),IF(Programme_Grunddaten!P247="Ja",1,0),"")</f>
        <v/>
      </c>
      <c r="J242" s="1" t="str">
        <f>IF(AND(Programme_Grunddaten!$A247="Geprüft",Programme_Grunddaten!Q247&lt;&gt;""),IF(Programme_Grunddaten!Q247="geschlossenes System",1,0),"")</f>
        <v/>
      </c>
      <c r="K242" s="1" t="str">
        <f>IF(AND(Programme_Grunddaten!$A247="Geprüft",Programme_Grunddaten!R247&lt;&gt;""),IF(Programme_Grunddaten!R247="Ja",1,0),"")</f>
        <v/>
      </c>
      <c r="L242" s="1" t="str">
        <f>IF(AND(Programme_Grunddaten!$A247="Geprüft",Programme_Grunddaten!T247&lt;&gt;""),IF(Programme_Grunddaten!T247="Ja",1,0),"")</f>
        <v/>
      </c>
      <c r="M242" s="1" t="str">
        <f>IF(AND(Programme_Grunddaten!$A247="Geprüft",Programme_Grunddaten!U247&lt;&gt;""),IF(Programme_Grunddaten!U247="Ja",1,0),"")</f>
        <v/>
      </c>
      <c r="N242" s="1" t="str">
        <f>IF(AND(Programme_Grunddaten!$A247="Geprüft",Programme_Grunddaten!V247&lt;&gt;""),IF(Programme_Grunddaten!V247="Ja",1,0),"")</f>
        <v/>
      </c>
      <c r="O242" s="1" t="str">
        <f>IF(AND(Programme_Grunddaten!$A247="Geprüft",Programme_Grunddaten!W247&lt;&gt;""),IF(Programme_Grunddaten!W247="Ja",1,0),"")</f>
        <v/>
      </c>
      <c r="P242" s="1" t="str">
        <f>IF(AND(Programme_Grunddaten!$A247="Geprüft",Programme_Grunddaten!X247&lt;&gt;""),IF(Programme_Grunddaten!X247="Ja",1,0),"")</f>
        <v/>
      </c>
      <c r="Q242" s="1" t="str">
        <f>IF(AND(Programme_Grunddaten!$A247="Geprüft",Programme_Grunddaten!Y247&lt;&gt;""),IF(Programme_Grunddaten!Y247="Ja",1,0),"")</f>
        <v/>
      </c>
      <c r="R242" s="1" t="str">
        <f>IF(AND(Programme_Grunddaten!$A247="Geprüft",Programme_Grunddaten!Z247&lt;&gt;""),IF(Programme_Grunddaten!Z247="Ja",1,0),"")</f>
        <v/>
      </c>
      <c r="S242" s="1" t="str">
        <f>IF(AND(Programme_Grunddaten!$A247="Geprüft",Programme_Grunddaten!AA247&lt;&gt;""),IF(Programme_Grunddaten!AA247="monolithisch",1,0),"")</f>
        <v/>
      </c>
      <c r="T242" s="1" t="str">
        <f>IF(AND(Programme_Grunddaten!$A247="Geprüft",Programme_Grunddaten!AB247&lt;&gt;""),IF(Programme_Grunddaten!AB247="Ja",1,0),"")</f>
        <v/>
      </c>
      <c r="U242" s="1" t="str">
        <f>IF(AND(Programme_Grunddaten!$A247="Geprüft",Programme_Grunddaten!AC247&lt;&gt;""),IF(Programme_Grunddaten!AC247="Ja",1,0),"")</f>
        <v/>
      </c>
      <c r="V242" s="1" t="str">
        <f>IF(AND(Programme_Grunddaten!$A247="Geprüft",Programme_Grunddaten!AD247&lt;&gt;""),IF(Programme_Grunddaten!AD247="Ja",1,0),"")</f>
        <v/>
      </c>
      <c r="W242" s="1" t="str">
        <f>IF(AND(Programme_Grunddaten!$A247="Geprüft",Programme_Grunddaten!AE247&lt;&gt;""),IF(Programme_Grunddaten!AE247="Ja",1,0),"")</f>
        <v/>
      </c>
      <c r="X242" s="1" t="str">
        <f>IF(AND(Programme_Grunddaten!$A247="Geprüft",Programme_Grunddaten!AF247&lt;&gt;""),IF(Programme_Grunddaten!AF247="Ja",1,0),"")</f>
        <v/>
      </c>
      <c r="Y242" s="1" t="str">
        <f>IF(AND(Programme_Grunddaten!$A247="Geprüft",Programme_Grunddaten!AG247&lt;&gt;""),IF(Programme_Grunddaten!AG247="Ja",1,0),"")</f>
        <v/>
      </c>
      <c r="Z242" s="1" t="str">
        <f>IF(AND(Programme_Grunddaten!$A247="Geprüft",Programme_Grunddaten!AH247&lt;&gt;""),IF(Programme_Grunddaten!AH247="Ja",1,0),"")</f>
        <v/>
      </c>
      <c r="AA242" s="1" t="str">
        <f>IF(AND(Programme_Grunddaten!$A247="Geprüft",Programme_Grunddaten!AI247&lt;&gt;""),IF(Programme_Grunddaten!AI247="Ja",1,0),"")</f>
        <v/>
      </c>
      <c r="AB242" s="1" t="str">
        <f>IF(AND(Programme_Grunddaten!$A247="Geprüft",Programme_Grunddaten!AJ247&lt;&gt;""),IF(Programme_Grunddaten!AJ247="individuell programmierbar",1,0),"")</f>
        <v/>
      </c>
      <c r="AC242" s="1" t="str">
        <f>IF(AND(Programme_Grunddaten!$A247="Geprüft",Programme_Grunddaten!AK247&lt;&gt;""),IF(Programme_Grunddaten!AK247="Deutsch",0,IF(Programme_Grunddaten!AK247="Deutsch und Englisch",1,2)),"")</f>
        <v/>
      </c>
      <c r="AD242" s="1" t="str">
        <f>IF(AND(Programme_Grunddaten!$A247="Geprüft",Programme_Grunddaten!AL247&lt;&gt;""),IF(Programme_Grunddaten!AL247="Ja",1,0),"")</f>
        <v/>
      </c>
      <c r="AE242" s="1" t="str">
        <f>IF(AND(Programme_Grunddaten!$A247="Geprüft",Programme_Grunddaten!AM247&lt;&gt;""),IF(Programme_Grunddaten!AM247="Ja",1,0),"")</f>
        <v/>
      </c>
      <c r="AF242" s="1" t="str">
        <f>IF(AND(Programme_Grunddaten!$A247="Geprüft",Programme_Grunddaten!AN247&lt;&gt;""),IF(Programme_Grunddaten!AN247="Ja",1,0),"")</f>
        <v/>
      </c>
      <c r="AG242" s="1" t="str">
        <f>IF(AND(Programme_Grunddaten!$A247="Geprüft",Programme_Grunddaten!AO247&lt;&gt;""),IF(Programme_Grunddaten!AO247="Ja",1,0),"")</f>
        <v/>
      </c>
      <c r="AH242" s="1" t="str">
        <f>IF(AND(Programme_Grunddaten!$A247="Geprüft",Programme_Grunddaten!AP247&lt;&gt;""),IF(Programme_Grunddaten!AP247="Ja",1,0),"")</f>
        <v/>
      </c>
      <c r="AI242" s="1" t="str">
        <f>IF(AND(Programme_Grunddaten!$A247="Geprüft",Programme_Grunddaten!AQ247&lt;&gt;""),IF(Programme_Grunddaten!AQ247="Ja",1,0),"")</f>
        <v/>
      </c>
      <c r="AJ242" s="1" t="str">
        <f>IF(AND(Programme_Grunddaten!$A247="Geprüft",Programme_Grunddaten!AR247&lt;&gt;""),IF(Programme_Grunddaten!AR247="Ja",1,0),"")</f>
        <v/>
      </c>
      <c r="AK242" s="1" t="str">
        <f>IF(AND(Programme_Grunddaten!$A247="Geprüft",Programme_Grunddaten!AS247&lt;&gt;""),IF(Programme_Grunddaten!AS247="Ja",1,0),"")</f>
        <v/>
      </c>
      <c r="AL242" s="1" t="str">
        <f>IF(AND(Programme_Grunddaten!$A247="Geprüft",Programme_Grunddaten!AT247&lt;&gt;""),IF(Programme_Grunddaten!AT247="Ja",1,0),"")</f>
        <v/>
      </c>
      <c r="AM242" s="1" t="str">
        <f>IF(AND(Programme_Grunddaten!$A247="Geprüft",Programme_Grunddaten!AU247&lt;&gt;""),IF(Programme_Grunddaten!AU247="Ja",1,0),"")</f>
        <v/>
      </c>
      <c r="AN242" s="1" t="str">
        <f>IF(AND(Programme_Grunddaten!$A247="Geprüft",Programme_Grunddaten!AV247&lt;&gt;""),IF(Programme_Grunddaten!AV247="Ja",1,0),"")</f>
        <v/>
      </c>
    </row>
    <row r="243" spans="1:40" x14ac:dyDescent="0.3">
      <c r="A243" s="1" t="str">
        <f>IF(AND(Programme_Grunddaten!A248="Geprüft",Programme_Grunddaten!B248&lt;&gt;""),Programme_Grunddaten!B248,"")</f>
        <v/>
      </c>
      <c r="B243" s="1" t="str">
        <f>IF(AND(Programme_Grunddaten!$A248="Geprüft",Programme_Grunddaten!I248&lt;&gt;""),IF(Programme_Grunddaten!I248="Ja",1,0),"")</f>
        <v/>
      </c>
      <c r="C243" s="1" t="str">
        <f>IF(AND(Programme_Grunddaten!$A248="Geprüft",Programme_Grunddaten!J248&lt;&gt;""),IF(Programme_Grunddaten!J248="Ja",1,0),"")</f>
        <v/>
      </c>
      <c r="D243" s="1" t="str">
        <f>IF(AND(Programme_Grunddaten!$A248="Geprüft",Programme_Grunddaten!K248&lt;&gt;""),IF(Programme_Grunddaten!K248="Ja",1,0),"")</f>
        <v/>
      </c>
      <c r="E243" s="1" t="str">
        <f>IF(AND(Programme_Grunddaten!$A248="Geprüft",Programme_Grunddaten!L248&lt;&gt;""),IF(Programme_Grunddaten!L248="Abo / befristete Lizenz",1,0),"")</f>
        <v/>
      </c>
      <c r="F243" s="1" t="str">
        <f>IF(AND(Programme_Grunddaten!$A248="Geprüft",Programme_Grunddaten!M248&lt;&gt;""),IF(Programme_Grunddaten!M248="Ja",1,0),"")</f>
        <v/>
      </c>
      <c r="G243" s="1" t="str">
        <f>IF(AND(Programme_Grunddaten!$A248="Geprüft",Programme_Grunddaten!N248&lt;&gt;""),IF(Programme_Grunddaten!N248="Ja",1,0),"")</f>
        <v/>
      </c>
      <c r="H243" s="1" t="str">
        <f>IF(AND(Programme_Grunddaten!$A248="Geprüft",Programme_Grunddaten!O248&lt;&gt;""),IF(Programme_Grunddaten!O248="Deutschland",0,IF(Programme_Grunddaten!O248="EU",1,2)),"")</f>
        <v/>
      </c>
      <c r="I243" s="1" t="str">
        <f>IF(AND(Programme_Grunddaten!$A248="Geprüft",Programme_Grunddaten!P248&lt;&gt;""),IF(Programme_Grunddaten!P248="Ja",1,0),"")</f>
        <v/>
      </c>
      <c r="J243" s="1" t="str">
        <f>IF(AND(Programme_Grunddaten!$A248="Geprüft",Programme_Grunddaten!Q248&lt;&gt;""),IF(Programme_Grunddaten!Q248="geschlossenes System",1,0),"")</f>
        <v/>
      </c>
      <c r="K243" s="1" t="str">
        <f>IF(AND(Programme_Grunddaten!$A248="Geprüft",Programme_Grunddaten!R248&lt;&gt;""),IF(Programme_Grunddaten!R248="Ja",1,0),"")</f>
        <v/>
      </c>
      <c r="L243" s="1" t="str">
        <f>IF(AND(Programme_Grunddaten!$A248="Geprüft",Programme_Grunddaten!T248&lt;&gt;""),IF(Programme_Grunddaten!T248="Ja",1,0),"")</f>
        <v/>
      </c>
      <c r="M243" s="1" t="str">
        <f>IF(AND(Programme_Grunddaten!$A248="Geprüft",Programme_Grunddaten!U248&lt;&gt;""),IF(Programme_Grunddaten!U248="Ja",1,0),"")</f>
        <v/>
      </c>
      <c r="N243" s="1" t="str">
        <f>IF(AND(Programme_Grunddaten!$A248="Geprüft",Programme_Grunddaten!V248&lt;&gt;""),IF(Programme_Grunddaten!V248="Ja",1,0),"")</f>
        <v/>
      </c>
      <c r="O243" s="1" t="str">
        <f>IF(AND(Programme_Grunddaten!$A248="Geprüft",Programme_Grunddaten!W248&lt;&gt;""),IF(Programme_Grunddaten!W248="Ja",1,0),"")</f>
        <v/>
      </c>
      <c r="P243" s="1" t="str">
        <f>IF(AND(Programme_Grunddaten!$A248="Geprüft",Programme_Grunddaten!X248&lt;&gt;""),IF(Programme_Grunddaten!X248="Ja",1,0),"")</f>
        <v/>
      </c>
      <c r="Q243" s="1" t="str">
        <f>IF(AND(Programme_Grunddaten!$A248="Geprüft",Programme_Grunddaten!Y248&lt;&gt;""),IF(Programme_Grunddaten!Y248="Ja",1,0),"")</f>
        <v/>
      </c>
      <c r="R243" s="1" t="str">
        <f>IF(AND(Programme_Grunddaten!$A248="Geprüft",Programme_Grunddaten!Z248&lt;&gt;""),IF(Programme_Grunddaten!Z248="Ja",1,0),"")</f>
        <v/>
      </c>
      <c r="S243" s="1" t="str">
        <f>IF(AND(Programme_Grunddaten!$A248="Geprüft",Programme_Grunddaten!AA248&lt;&gt;""),IF(Programme_Grunddaten!AA248="monolithisch",1,0),"")</f>
        <v/>
      </c>
      <c r="T243" s="1" t="str">
        <f>IF(AND(Programme_Grunddaten!$A248="Geprüft",Programme_Grunddaten!AB248&lt;&gt;""),IF(Programme_Grunddaten!AB248="Ja",1,0),"")</f>
        <v/>
      </c>
      <c r="U243" s="1" t="str">
        <f>IF(AND(Programme_Grunddaten!$A248="Geprüft",Programme_Grunddaten!AC248&lt;&gt;""),IF(Programme_Grunddaten!AC248="Ja",1,0),"")</f>
        <v/>
      </c>
      <c r="V243" s="1" t="str">
        <f>IF(AND(Programme_Grunddaten!$A248="Geprüft",Programme_Grunddaten!AD248&lt;&gt;""),IF(Programme_Grunddaten!AD248="Ja",1,0),"")</f>
        <v/>
      </c>
      <c r="W243" s="1" t="str">
        <f>IF(AND(Programme_Grunddaten!$A248="Geprüft",Programme_Grunddaten!AE248&lt;&gt;""),IF(Programme_Grunddaten!AE248="Ja",1,0),"")</f>
        <v/>
      </c>
      <c r="X243" s="1" t="str">
        <f>IF(AND(Programme_Grunddaten!$A248="Geprüft",Programme_Grunddaten!AF248&lt;&gt;""),IF(Programme_Grunddaten!AF248="Ja",1,0),"")</f>
        <v/>
      </c>
      <c r="Y243" s="1" t="str">
        <f>IF(AND(Programme_Grunddaten!$A248="Geprüft",Programme_Grunddaten!AG248&lt;&gt;""),IF(Programme_Grunddaten!AG248="Ja",1,0),"")</f>
        <v/>
      </c>
      <c r="Z243" s="1" t="str">
        <f>IF(AND(Programme_Grunddaten!$A248="Geprüft",Programme_Grunddaten!AH248&lt;&gt;""),IF(Programme_Grunddaten!AH248="Ja",1,0),"")</f>
        <v/>
      </c>
      <c r="AA243" s="1" t="str">
        <f>IF(AND(Programme_Grunddaten!$A248="Geprüft",Programme_Grunddaten!AI248&lt;&gt;""),IF(Programme_Grunddaten!AI248="Ja",1,0),"")</f>
        <v/>
      </c>
      <c r="AB243" s="1" t="str">
        <f>IF(AND(Programme_Grunddaten!$A248="Geprüft",Programme_Grunddaten!AJ248&lt;&gt;""),IF(Programme_Grunddaten!AJ248="individuell programmierbar",1,0),"")</f>
        <v/>
      </c>
      <c r="AC243" s="1" t="str">
        <f>IF(AND(Programme_Grunddaten!$A248="Geprüft",Programme_Grunddaten!AK248&lt;&gt;""),IF(Programme_Grunddaten!AK248="Deutsch",0,IF(Programme_Grunddaten!AK248="Deutsch und Englisch",1,2)),"")</f>
        <v/>
      </c>
      <c r="AD243" s="1" t="str">
        <f>IF(AND(Programme_Grunddaten!$A248="Geprüft",Programme_Grunddaten!AL248&lt;&gt;""),IF(Programme_Grunddaten!AL248="Ja",1,0),"")</f>
        <v/>
      </c>
      <c r="AE243" s="1" t="str">
        <f>IF(AND(Programme_Grunddaten!$A248="Geprüft",Programme_Grunddaten!AM248&lt;&gt;""),IF(Programme_Grunddaten!AM248="Ja",1,0),"")</f>
        <v/>
      </c>
      <c r="AF243" s="1" t="str">
        <f>IF(AND(Programme_Grunddaten!$A248="Geprüft",Programme_Grunddaten!AN248&lt;&gt;""),IF(Programme_Grunddaten!AN248="Ja",1,0),"")</f>
        <v/>
      </c>
      <c r="AG243" s="1" t="str">
        <f>IF(AND(Programme_Grunddaten!$A248="Geprüft",Programme_Grunddaten!AO248&lt;&gt;""),IF(Programme_Grunddaten!AO248="Ja",1,0),"")</f>
        <v/>
      </c>
      <c r="AH243" s="1" t="str">
        <f>IF(AND(Programme_Grunddaten!$A248="Geprüft",Programme_Grunddaten!AP248&lt;&gt;""),IF(Programme_Grunddaten!AP248="Ja",1,0),"")</f>
        <v/>
      </c>
      <c r="AI243" s="1" t="str">
        <f>IF(AND(Programme_Grunddaten!$A248="Geprüft",Programme_Grunddaten!AQ248&lt;&gt;""),IF(Programme_Grunddaten!AQ248="Ja",1,0),"")</f>
        <v/>
      </c>
      <c r="AJ243" s="1" t="str">
        <f>IF(AND(Programme_Grunddaten!$A248="Geprüft",Programme_Grunddaten!AR248&lt;&gt;""),IF(Programme_Grunddaten!AR248="Ja",1,0),"")</f>
        <v/>
      </c>
      <c r="AK243" s="1" t="str">
        <f>IF(AND(Programme_Grunddaten!$A248="Geprüft",Programme_Grunddaten!AS248&lt;&gt;""),IF(Programme_Grunddaten!AS248="Ja",1,0),"")</f>
        <v/>
      </c>
      <c r="AL243" s="1" t="str">
        <f>IF(AND(Programme_Grunddaten!$A248="Geprüft",Programme_Grunddaten!AT248&lt;&gt;""),IF(Programme_Grunddaten!AT248="Ja",1,0),"")</f>
        <v/>
      </c>
      <c r="AM243" s="1" t="str">
        <f>IF(AND(Programme_Grunddaten!$A248="Geprüft",Programme_Grunddaten!AU248&lt;&gt;""),IF(Programme_Grunddaten!AU248="Ja",1,0),"")</f>
        <v/>
      </c>
      <c r="AN243" s="1" t="str">
        <f>IF(AND(Programme_Grunddaten!$A248="Geprüft",Programme_Grunddaten!AV248&lt;&gt;""),IF(Programme_Grunddaten!AV248="Ja",1,0),"")</f>
        <v/>
      </c>
    </row>
    <row r="244" spans="1:40" x14ac:dyDescent="0.3">
      <c r="A244" s="1" t="str">
        <f>IF(AND(Programme_Grunddaten!A249="Geprüft",Programme_Grunddaten!B249&lt;&gt;""),Programme_Grunddaten!B249,"")</f>
        <v/>
      </c>
      <c r="B244" s="1" t="str">
        <f>IF(AND(Programme_Grunddaten!$A249="Geprüft",Programme_Grunddaten!I249&lt;&gt;""),IF(Programme_Grunddaten!I249="Ja",1,0),"")</f>
        <v/>
      </c>
      <c r="C244" s="1" t="str">
        <f>IF(AND(Programme_Grunddaten!$A249="Geprüft",Programme_Grunddaten!J249&lt;&gt;""),IF(Programme_Grunddaten!J249="Ja",1,0),"")</f>
        <v/>
      </c>
      <c r="D244" s="1" t="str">
        <f>IF(AND(Programme_Grunddaten!$A249="Geprüft",Programme_Grunddaten!K249&lt;&gt;""),IF(Programme_Grunddaten!K249="Ja",1,0),"")</f>
        <v/>
      </c>
      <c r="E244" s="1" t="str">
        <f>IF(AND(Programme_Grunddaten!$A249="Geprüft",Programme_Grunddaten!L249&lt;&gt;""),IF(Programme_Grunddaten!L249="Abo / befristete Lizenz",1,0),"")</f>
        <v/>
      </c>
      <c r="F244" s="1" t="str">
        <f>IF(AND(Programme_Grunddaten!$A249="Geprüft",Programme_Grunddaten!M249&lt;&gt;""),IF(Programme_Grunddaten!M249="Ja",1,0),"")</f>
        <v/>
      </c>
      <c r="G244" s="1" t="str">
        <f>IF(AND(Programme_Grunddaten!$A249="Geprüft",Programme_Grunddaten!N249&lt;&gt;""),IF(Programme_Grunddaten!N249="Ja",1,0),"")</f>
        <v/>
      </c>
      <c r="H244" s="1" t="str">
        <f>IF(AND(Programme_Grunddaten!$A249="Geprüft",Programme_Grunddaten!O249&lt;&gt;""),IF(Programme_Grunddaten!O249="Deutschland",0,IF(Programme_Grunddaten!O249="EU",1,2)),"")</f>
        <v/>
      </c>
      <c r="I244" s="1" t="str">
        <f>IF(AND(Programme_Grunddaten!$A249="Geprüft",Programme_Grunddaten!P249&lt;&gt;""),IF(Programme_Grunddaten!P249="Ja",1,0),"")</f>
        <v/>
      </c>
      <c r="J244" s="1" t="str">
        <f>IF(AND(Programme_Grunddaten!$A249="Geprüft",Programme_Grunddaten!Q249&lt;&gt;""),IF(Programme_Grunddaten!Q249="geschlossenes System",1,0),"")</f>
        <v/>
      </c>
      <c r="K244" s="1" t="str">
        <f>IF(AND(Programme_Grunddaten!$A249="Geprüft",Programme_Grunddaten!R249&lt;&gt;""),IF(Programme_Grunddaten!R249="Ja",1,0),"")</f>
        <v/>
      </c>
      <c r="L244" s="1" t="str">
        <f>IF(AND(Programme_Grunddaten!$A249="Geprüft",Programme_Grunddaten!T249&lt;&gt;""),IF(Programme_Grunddaten!T249="Ja",1,0),"")</f>
        <v/>
      </c>
      <c r="M244" s="1" t="str">
        <f>IF(AND(Programme_Grunddaten!$A249="Geprüft",Programme_Grunddaten!U249&lt;&gt;""),IF(Programme_Grunddaten!U249="Ja",1,0),"")</f>
        <v/>
      </c>
      <c r="N244" s="1" t="str">
        <f>IF(AND(Programme_Grunddaten!$A249="Geprüft",Programme_Grunddaten!V249&lt;&gt;""),IF(Programme_Grunddaten!V249="Ja",1,0),"")</f>
        <v/>
      </c>
      <c r="O244" s="1" t="str">
        <f>IF(AND(Programme_Grunddaten!$A249="Geprüft",Programme_Grunddaten!W249&lt;&gt;""),IF(Programme_Grunddaten!W249="Ja",1,0),"")</f>
        <v/>
      </c>
      <c r="P244" s="1" t="str">
        <f>IF(AND(Programme_Grunddaten!$A249="Geprüft",Programme_Grunddaten!X249&lt;&gt;""),IF(Programme_Grunddaten!X249="Ja",1,0),"")</f>
        <v/>
      </c>
      <c r="Q244" s="1" t="str">
        <f>IF(AND(Programme_Grunddaten!$A249="Geprüft",Programme_Grunddaten!Y249&lt;&gt;""),IF(Programme_Grunddaten!Y249="Ja",1,0),"")</f>
        <v/>
      </c>
      <c r="R244" s="1" t="str">
        <f>IF(AND(Programme_Grunddaten!$A249="Geprüft",Programme_Grunddaten!Z249&lt;&gt;""),IF(Programme_Grunddaten!Z249="Ja",1,0),"")</f>
        <v/>
      </c>
      <c r="S244" s="1" t="str">
        <f>IF(AND(Programme_Grunddaten!$A249="Geprüft",Programme_Grunddaten!AA249&lt;&gt;""),IF(Programme_Grunddaten!AA249="monolithisch",1,0),"")</f>
        <v/>
      </c>
      <c r="T244" s="1" t="str">
        <f>IF(AND(Programme_Grunddaten!$A249="Geprüft",Programme_Grunddaten!AB249&lt;&gt;""),IF(Programme_Grunddaten!AB249="Ja",1,0),"")</f>
        <v/>
      </c>
      <c r="U244" s="1" t="str">
        <f>IF(AND(Programme_Grunddaten!$A249="Geprüft",Programme_Grunddaten!AC249&lt;&gt;""),IF(Programme_Grunddaten!AC249="Ja",1,0),"")</f>
        <v/>
      </c>
      <c r="V244" s="1" t="str">
        <f>IF(AND(Programme_Grunddaten!$A249="Geprüft",Programme_Grunddaten!AD249&lt;&gt;""),IF(Programme_Grunddaten!AD249="Ja",1,0),"")</f>
        <v/>
      </c>
      <c r="W244" s="1" t="str">
        <f>IF(AND(Programme_Grunddaten!$A249="Geprüft",Programme_Grunddaten!AE249&lt;&gt;""),IF(Programme_Grunddaten!AE249="Ja",1,0),"")</f>
        <v/>
      </c>
      <c r="X244" s="1" t="str">
        <f>IF(AND(Programme_Grunddaten!$A249="Geprüft",Programme_Grunddaten!AF249&lt;&gt;""),IF(Programme_Grunddaten!AF249="Ja",1,0),"")</f>
        <v/>
      </c>
      <c r="Y244" s="1" t="str">
        <f>IF(AND(Programme_Grunddaten!$A249="Geprüft",Programme_Grunddaten!AG249&lt;&gt;""),IF(Programme_Grunddaten!AG249="Ja",1,0),"")</f>
        <v/>
      </c>
      <c r="Z244" s="1" t="str">
        <f>IF(AND(Programme_Grunddaten!$A249="Geprüft",Programme_Grunddaten!AH249&lt;&gt;""),IF(Programme_Grunddaten!AH249="Ja",1,0),"")</f>
        <v/>
      </c>
      <c r="AA244" s="1" t="str">
        <f>IF(AND(Programme_Grunddaten!$A249="Geprüft",Programme_Grunddaten!AI249&lt;&gt;""),IF(Programme_Grunddaten!AI249="Ja",1,0),"")</f>
        <v/>
      </c>
      <c r="AB244" s="1" t="str">
        <f>IF(AND(Programme_Grunddaten!$A249="Geprüft",Programme_Grunddaten!AJ249&lt;&gt;""),IF(Programme_Grunddaten!AJ249="individuell programmierbar",1,0),"")</f>
        <v/>
      </c>
      <c r="AC244" s="1" t="str">
        <f>IF(AND(Programme_Grunddaten!$A249="Geprüft",Programme_Grunddaten!AK249&lt;&gt;""),IF(Programme_Grunddaten!AK249="Deutsch",0,IF(Programme_Grunddaten!AK249="Deutsch und Englisch",1,2)),"")</f>
        <v/>
      </c>
      <c r="AD244" s="1" t="str">
        <f>IF(AND(Programme_Grunddaten!$A249="Geprüft",Programme_Grunddaten!AL249&lt;&gt;""),IF(Programme_Grunddaten!AL249="Ja",1,0),"")</f>
        <v/>
      </c>
      <c r="AE244" s="1" t="str">
        <f>IF(AND(Programme_Grunddaten!$A249="Geprüft",Programme_Grunddaten!AM249&lt;&gt;""),IF(Programme_Grunddaten!AM249="Ja",1,0),"")</f>
        <v/>
      </c>
      <c r="AF244" s="1" t="str">
        <f>IF(AND(Programme_Grunddaten!$A249="Geprüft",Programme_Grunddaten!AN249&lt;&gt;""),IF(Programme_Grunddaten!AN249="Ja",1,0),"")</f>
        <v/>
      </c>
      <c r="AG244" s="1" t="str">
        <f>IF(AND(Programme_Grunddaten!$A249="Geprüft",Programme_Grunddaten!AO249&lt;&gt;""),IF(Programme_Grunddaten!AO249="Ja",1,0),"")</f>
        <v/>
      </c>
      <c r="AH244" s="1" t="str">
        <f>IF(AND(Programme_Grunddaten!$A249="Geprüft",Programme_Grunddaten!AP249&lt;&gt;""),IF(Programme_Grunddaten!AP249="Ja",1,0),"")</f>
        <v/>
      </c>
      <c r="AI244" s="1" t="str">
        <f>IF(AND(Programme_Grunddaten!$A249="Geprüft",Programme_Grunddaten!AQ249&lt;&gt;""),IF(Programme_Grunddaten!AQ249="Ja",1,0),"")</f>
        <v/>
      </c>
      <c r="AJ244" s="1" t="str">
        <f>IF(AND(Programme_Grunddaten!$A249="Geprüft",Programme_Grunddaten!AR249&lt;&gt;""),IF(Programme_Grunddaten!AR249="Ja",1,0),"")</f>
        <v/>
      </c>
      <c r="AK244" s="1" t="str">
        <f>IF(AND(Programme_Grunddaten!$A249="Geprüft",Programme_Grunddaten!AS249&lt;&gt;""),IF(Programme_Grunddaten!AS249="Ja",1,0),"")</f>
        <v/>
      </c>
      <c r="AL244" s="1" t="str">
        <f>IF(AND(Programme_Grunddaten!$A249="Geprüft",Programme_Grunddaten!AT249&lt;&gt;""),IF(Programme_Grunddaten!AT249="Ja",1,0),"")</f>
        <v/>
      </c>
      <c r="AM244" s="1" t="str">
        <f>IF(AND(Programme_Grunddaten!$A249="Geprüft",Programme_Grunddaten!AU249&lt;&gt;""),IF(Programme_Grunddaten!AU249="Ja",1,0),"")</f>
        <v/>
      </c>
      <c r="AN244" s="1" t="str">
        <f>IF(AND(Programme_Grunddaten!$A249="Geprüft",Programme_Grunddaten!AV249&lt;&gt;""),IF(Programme_Grunddaten!AV249="Ja",1,0),"")</f>
        <v/>
      </c>
    </row>
    <row r="245" spans="1:40" x14ac:dyDescent="0.3">
      <c r="A245" s="1" t="str">
        <f>IF(AND(Programme_Grunddaten!A250="Geprüft",Programme_Grunddaten!B250&lt;&gt;""),Programme_Grunddaten!B250,"")</f>
        <v/>
      </c>
      <c r="B245" s="1" t="str">
        <f>IF(AND(Programme_Grunddaten!$A250="Geprüft",Programme_Grunddaten!I250&lt;&gt;""),IF(Programme_Grunddaten!I250="Ja",1,0),"")</f>
        <v/>
      </c>
      <c r="C245" s="1" t="str">
        <f>IF(AND(Programme_Grunddaten!$A250="Geprüft",Programme_Grunddaten!J250&lt;&gt;""),IF(Programme_Grunddaten!J250="Ja",1,0),"")</f>
        <v/>
      </c>
      <c r="D245" s="1" t="str">
        <f>IF(AND(Programme_Grunddaten!$A250="Geprüft",Programme_Grunddaten!K250&lt;&gt;""),IF(Programme_Grunddaten!K250="Ja",1,0),"")</f>
        <v/>
      </c>
      <c r="E245" s="1" t="str">
        <f>IF(AND(Programme_Grunddaten!$A250="Geprüft",Programme_Grunddaten!L250&lt;&gt;""),IF(Programme_Grunddaten!L250="Abo / befristete Lizenz",1,0),"")</f>
        <v/>
      </c>
      <c r="F245" s="1" t="str">
        <f>IF(AND(Programme_Grunddaten!$A250="Geprüft",Programme_Grunddaten!M250&lt;&gt;""),IF(Programme_Grunddaten!M250="Ja",1,0),"")</f>
        <v/>
      </c>
      <c r="G245" s="1" t="str">
        <f>IF(AND(Programme_Grunddaten!$A250="Geprüft",Programme_Grunddaten!N250&lt;&gt;""),IF(Programme_Grunddaten!N250="Ja",1,0),"")</f>
        <v/>
      </c>
      <c r="H245" s="1" t="str">
        <f>IF(AND(Programme_Grunddaten!$A250="Geprüft",Programme_Grunddaten!O250&lt;&gt;""),IF(Programme_Grunddaten!O250="Deutschland",0,IF(Programme_Grunddaten!O250="EU",1,2)),"")</f>
        <v/>
      </c>
      <c r="I245" s="1" t="str">
        <f>IF(AND(Programme_Grunddaten!$A250="Geprüft",Programme_Grunddaten!P250&lt;&gt;""),IF(Programme_Grunddaten!P250="Ja",1,0),"")</f>
        <v/>
      </c>
      <c r="J245" s="1" t="str">
        <f>IF(AND(Programme_Grunddaten!$A250="Geprüft",Programme_Grunddaten!Q250&lt;&gt;""),IF(Programme_Grunddaten!Q250="geschlossenes System",1,0),"")</f>
        <v/>
      </c>
      <c r="K245" s="1" t="str">
        <f>IF(AND(Programme_Grunddaten!$A250="Geprüft",Programme_Grunddaten!R250&lt;&gt;""),IF(Programme_Grunddaten!R250="Ja",1,0),"")</f>
        <v/>
      </c>
      <c r="L245" s="1" t="str">
        <f>IF(AND(Programme_Grunddaten!$A250="Geprüft",Programme_Grunddaten!T250&lt;&gt;""),IF(Programme_Grunddaten!T250="Ja",1,0),"")</f>
        <v/>
      </c>
      <c r="M245" s="1" t="str">
        <f>IF(AND(Programme_Grunddaten!$A250="Geprüft",Programme_Grunddaten!U250&lt;&gt;""),IF(Programme_Grunddaten!U250="Ja",1,0),"")</f>
        <v/>
      </c>
      <c r="N245" s="1" t="str">
        <f>IF(AND(Programme_Grunddaten!$A250="Geprüft",Programme_Grunddaten!V250&lt;&gt;""),IF(Programme_Grunddaten!V250="Ja",1,0),"")</f>
        <v/>
      </c>
      <c r="O245" s="1" t="str">
        <f>IF(AND(Programme_Grunddaten!$A250="Geprüft",Programme_Grunddaten!W250&lt;&gt;""),IF(Programme_Grunddaten!W250="Ja",1,0),"")</f>
        <v/>
      </c>
      <c r="P245" s="1" t="str">
        <f>IF(AND(Programme_Grunddaten!$A250="Geprüft",Programme_Grunddaten!X250&lt;&gt;""),IF(Programme_Grunddaten!X250="Ja",1,0),"")</f>
        <v/>
      </c>
      <c r="Q245" s="1" t="str">
        <f>IF(AND(Programme_Grunddaten!$A250="Geprüft",Programme_Grunddaten!Y250&lt;&gt;""),IF(Programme_Grunddaten!Y250="Ja",1,0),"")</f>
        <v/>
      </c>
      <c r="R245" s="1" t="str">
        <f>IF(AND(Programme_Grunddaten!$A250="Geprüft",Programme_Grunddaten!Z250&lt;&gt;""),IF(Programme_Grunddaten!Z250="Ja",1,0),"")</f>
        <v/>
      </c>
      <c r="S245" s="1" t="str">
        <f>IF(AND(Programme_Grunddaten!$A250="Geprüft",Programme_Grunddaten!AA250&lt;&gt;""),IF(Programme_Grunddaten!AA250="monolithisch",1,0),"")</f>
        <v/>
      </c>
      <c r="T245" s="1" t="str">
        <f>IF(AND(Programme_Grunddaten!$A250="Geprüft",Programme_Grunddaten!AB250&lt;&gt;""),IF(Programme_Grunddaten!AB250="Ja",1,0),"")</f>
        <v/>
      </c>
      <c r="U245" s="1" t="str">
        <f>IF(AND(Programme_Grunddaten!$A250="Geprüft",Programme_Grunddaten!AC250&lt;&gt;""),IF(Programme_Grunddaten!AC250="Ja",1,0),"")</f>
        <v/>
      </c>
      <c r="V245" s="1" t="str">
        <f>IF(AND(Programme_Grunddaten!$A250="Geprüft",Programme_Grunddaten!AD250&lt;&gt;""),IF(Programme_Grunddaten!AD250="Ja",1,0),"")</f>
        <v/>
      </c>
      <c r="W245" s="1" t="str">
        <f>IF(AND(Programme_Grunddaten!$A250="Geprüft",Programme_Grunddaten!AE250&lt;&gt;""),IF(Programme_Grunddaten!AE250="Ja",1,0),"")</f>
        <v/>
      </c>
      <c r="X245" s="1" t="str">
        <f>IF(AND(Programme_Grunddaten!$A250="Geprüft",Programme_Grunddaten!AF250&lt;&gt;""),IF(Programme_Grunddaten!AF250="Ja",1,0),"")</f>
        <v/>
      </c>
      <c r="Y245" s="1" t="str">
        <f>IF(AND(Programme_Grunddaten!$A250="Geprüft",Programme_Grunddaten!AG250&lt;&gt;""),IF(Programme_Grunddaten!AG250="Ja",1,0),"")</f>
        <v/>
      </c>
      <c r="Z245" s="1" t="str">
        <f>IF(AND(Programme_Grunddaten!$A250="Geprüft",Programme_Grunddaten!AH250&lt;&gt;""),IF(Programme_Grunddaten!AH250="Ja",1,0),"")</f>
        <v/>
      </c>
      <c r="AA245" s="1" t="str">
        <f>IF(AND(Programme_Grunddaten!$A250="Geprüft",Programme_Grunddaten!AI250&lt;&gt;""),IF(Programme_Grunddaten!AI250="Ja",1,0),"")</f>
        <v/>
      </c>
      <c r="AB245" s="1" t="str">
        <f>IF(AND(Programme_Grunddaten!$A250="Geprüft",Programme_Grunddaten!AJ250&lt;&gt;""),IF(Programme_Grunddaten!AJ250="individuell programmierbar",1,0),"")</f>
        <v/>
      </c>
      <c r="AC245" s="1" t="str">
        <f>IF(AND(Programme_Grunddaten!$A250="Geprüft",Programme_Grunddaten!AK250&lt;&gt;""),IF(Programme_Grunddaten!AK250="Deutsch",0,IF(Programme_Grunddaten!AK250="Deutsch und Englisch",1,2)),"")</f>
        <v/>
      </c>
      <c r="AD245" s="1" t="str">
        <f>IF(AND(Programme_Grunddaten!$A250="Geprüft",Programme_Grunddaten!AL250&lt;&gt;""),IF(Programme_Grunddaten!AL250="Ja",1,0),"")</f>
        <v/>
      </c>
      <c r="AE245" s="1" t="str">
        <f>IF(AND(Programme_Grunddaten!$A250="Geprüft",Programme_Grunddaten!AM250&lt;&gt;""),IF(Programme_Grunddaten!AM250="Ja",1,0),"")</f>
        <v/>
      </c>
      <c r="AF245" s="1" t="str">
        <f>IF(AND(Programme_Grunddaten!$A250="Geprüft",Programme_Grunddaten!AN250&lt;&gt;""),IF(Programme_Grunddaten!AN250="Ja",1,0),"")</f>
        <v/>
      </c>
      <c r="AG245" s="1" t="str">
        <f>IF(AND(Programme_Grunddaten!$A250="Geprüft",Programme_Grunddaten!AO250&lt;&gt;""),IF(Programme_Grunddaten!AO250="Ja",1,0),"")</f>
        <v/>
      </c>
      <c r="AH245" s="1" t="str">
        <f>IF(AND(Programme_Grunddaten!$A250="Geprüft",Programme_Grunddaten!AP250&lt;&gt;""),IF(Programme_Grunddaten!AP250="Ja",1,0),"")</f>
        <v/>
      </c>
      <c r="AI245" s="1" t="str">
        <f>IF(AND(Programme_Grunddaten!$A250="Geprüft",Programme_Grunddaten!AQ250&lt;&gt;""),IF(Programme_Grunddaten!AQ250="Ja",1,0),"")</f>
        <v/>
      </c>
      <c r="AJ245" s="1" t="str">
        <f>IF(AND(Programme_Grunddaten!$A250="Geprüft",Programme_Grunddaten!AR250&lt;&gt;""),IF(Programme_Grunddaten!AR250="Ja",1,0),"")</f>
        <v/>
      </c>
      <c r="AK245" s="1" t="str">
        <f>IF(AND(Programme_Grunddaten!$A250="Geprüft",Programme_Grunddaten!AS250&lt;&gt;""),IF(Programme_Grunddaten!AS250="Ja",1,0),"")</f>
        <v/>
      </c>
      <c r="AL245" s="1" t="str">
        <f>IF(AND(Programme_Grunddaten!$A250="Geprüft",Programme_Grunddaten!AT250&lt;&gt;""),IF(Programme_Grunddaten!AT250="Ja",1,0),"")</f>
        <v/>
      </c>
      <c r="AM245" s="1" t="str">
        <f>IF(AND(Programme_Grunddaten!$A250="Geprüft",Programme_Grunddaten!AU250&lt;&gt;""),IF(Programme_Grunddaten!AU250="Ja",1,0),"")</f>
        <v/>
      </c>
      <c r="AN245" s="1" t="str">
        <f>IF(AND(Programme_Grunddaten!$A250="Geprüft",Programme_Grunddaten!AV250&lt;&gt;""),IF(Programme_Grunddaten!AV250="Ja",1,0),"")</f>
        <v/>
      </c>
    </row>
    <row r="246" spans="1:40" x14ac:dyDescent="0.3">
      <c r="A246" s="1" t="str">
        <f>IF(AND(Programme_Grunddaten!A251="Geprüft",Programme_Grunddaten!B251&lt;&gt;""),Programme_Grunddaten!B251,"")</f>
        <v/>
      </c>
      <c r="B246" s="1" t="str">
        <f>IF(AND(Programme_Grunddaten!$A251="Geprüft",Programme_Grunddaten!I251&lt;&gt;""),IF(Programme_Grunddaten!I251="Ja",1,0),"")</f>
        <v/>
      </c>
      <c r="C246" s="1" t="str">
        <f>IF(AND(Programme_Grunddaten!$A251="Geprüft",Programme_Grunddaten!J251&lt;&gt;""),IF(Programme_Grunddaten!J251="Ja",1,0),"")</f>
        <v/>
      </c>
      <c r="D246" s="1" t="str">
        <f>IF(AND(Programme_Grunddaten!$A251="Geprüft",Programme_Grunddaten!K251&lt;&gt;""),IF(Programme_Grunddaten!K251="Ja",1,0),"")</f>
        <v/>
      </c>
      <c r="E246" s="1" t="str">
        <f>IF(AND(Programme_Grunddaten!$A251="Geprüft",Programme_Grunddaten!L251&lt;&gt;""),IF(Programme_Grunddaten!L251="Abo / befristete Lizenz",1,0),"")</f>
        <v/>
      </c>
      <c r="F246" s="1" t="str">
        <f>IF(AND(Programme_Grunddaten!$A251="Geprüft",Programme_Grunddaten!M251&lt;&gt;""),IF(Programme_Grunddaten!M251="Ja",1,0),"")</f>
        <v/>
      </c>
      <c r="G246" s="1" t="str">
        <f>IF(AND(Programme_Grunddaten!$A251="Geprüft",Programme_Grunddaten!N251&lt;&gt;""),IF(Programme_Grunddaten!N251="Ja",1,0),"")</f>
        <v/>
      </c>
      <c r="H246" s="1" t="str">
        <f>IF(AND(Programme_Grunddaten!$A251="Geprüft",Programme_Grunddaten!O251&lt;&gt;""),IF(Programme_Grunddaten!O251="Deutschland",0,IF(Programme_Grunddaten!O251="EU",1,2)),"")</f>
        <v/>
      </c>
      <c r="I246" s="1" t="str">
        <f>IF(AND(Programme_Grunddaten!$A251="Geprüft",Programme_Grunddaten!P251&lt;&gt;""),IF(Programme_Grunddaten!P251="Ja",1,0),"")</f>
        <v/>
      </c>
      <c r="J246" s="1" t="str">
        <f>IF(AND(Programme_Grunddaten!$A251="Geprüft",Programme_Grunddaten!Q251&lt;&gt;""),IF(Programme_Grunddaten!Q251="geschlossenes System",1,0),"")</f>
        <v/>
      </c>
      <c r="K246" s="1" t="str">
        <f>IF(AND(Programme_Grunddaten!$A251="Geprüft",Programme_Grunddaten!R251&lt;&gt;""),IF(Programme_Grunddaten!R251="Ja",1,0),"")</f>
        <v/>
      </c>
      <c r="L246" s="1" t="str">
        <f>IF(AND(Programme_Grunddaten!$A251="Geprüft",Programme_Grunddaten!T251&lt;&gt;""),IF(Programme_Grunddaten!T251="Ja",1,0),"")</f>
        <v/>
      </c>
      <c r="M246" s="1" t="str">
        <f>IF(AND(Programme_Grunddaten!$A251="Geprüft",Programme_Grunddaten!U251&lt;&gt;""),IF(Programme_Grunddaten!U251="Ja",1,0),"")</f>
        <v/>
      </c>
      <c r="N246" s="1" t="str">
        <f>IF(AND(Programme_Grunddaten!$A251="Geprüft",Programme_Grunddaten!V251&lt;&gt;""),IF(Programme_Grunddaten!V251="Ja",1,0),"")</f>
        <v/>
      </c>
      <c r="O246" s="1" t="str">
        <f>IF(AND(Programme_Grunddaten!$A251="Geprüft",Programme_Grunddaten!W251&lt;&gt;""),IF(Programme_Grunddaten!W251="Ja",1,0),"")</f>
        <v/>
      </c>
      <c r="P246" s="1" t="str">
        <f>IF(AND(Programme_Grunddaten!$A251="Geprüft",Programme_Grunddaten!X251&lt;&gt;""),IF(Programme_Grunddaten!X251="Ja",1,0),"")</f>
        <v/>
      </c>
      <c r="Q246" s="1" t="str">
        <f>IF(AND(Programme_Grunddaten!$A251="Geprüft",Programme_Grunddaten!Y251&lt;&gt;""),IF(Programme_Grunddaten!Y251="Ja",1,0),"")</f>
        <v/>
      </c>
      <c r="R246" s="1" t="str">
        <f>IF(AND(Programme_Grunddaten!$A251="Geprüft",Programme_Grunddaten!Z251&lt;&gt;""),IF(Programme_Grunddaten!Z251="Ja",1,0),"")</f>
        <v/>
      </c>
      <c r="S246" s="1" t="str">
        <f>IF(AND(Programme_Grunddaten!$A251="Geprüft",Programme_Grunddaten!AA251&lt;&gt;""),IF(Programme_Grunddaten!AA251="monolithisch",1,0),"")</f>
        <v/>
      </c>
      <c r="T246" s="1" t="str">
        <f>IF(AND(Programme_Grunddaten!$A251="Geprüft",Programme_Grunddaten!AB251&lt;&gt;""),IF(Programme_Grunddaten!AB251="Ja",1,0),"")</f>
        <v/>
      </c>
      <c r="U246" s="1" t="str">
        <f>IF(AND(Programme_Grunddaten!$A251="Geprüft",Programme_Grunddaten!AC251&lt;&gt;""),IF(Programme_Grunddaten!AC251="Ja",1,0),"")</f>
        <v/>
      </c>
      <c r="V246" s="1" t="str">
        <f>IF(AND(Programme_Grunddaten!$A251="Geprüft",Programme_Grunddaten!AD251&lt;&gt;""),IF(Programme_Grunddaten!AD251="Ja",1,0),"")</f>
        <v/>
      </c>
      <c r="W246" s="1" t="str">
        <f>IF(AND(Programme_Grunddaten!$A251="Geprüft",Programme_Grunddaten!AE251&lt;&gt;""),IF(Programme_Grunddaten!AE251="Ja",1,0),"")</f>
        <v/>
      </c>
      <c r="X246" s="1" t="str">
        <f>IF(AND(Programme_Grunddaten!$A251="Geprüft",Programme_Grunddaten!AF251&lt;&gt;""),IF(Programme_Grunddaten!AF251="Ja",1,0),"")</f>
        <v/>
      </c>
      <c r="Y246" s="1" t="str">
        <f>IF(AND(Programme_Grunddaten!$A251="Geprüft",Programme_Grunddaten!AG251&lt;&gt;""),IF(Programme_Grunddaten!AG251="Ja",1,0),"")</f>
        <v/>
      </c>
      <c r="Z246" s="1" t="str">
        <f>IF(AND(Programme_Grunddaten!$A251="Geprüft",Programme_Grunddaten!AH251&lt;&gt;""),IF(Programme_Grunddaten!AH251="Ja",1,0),"")</f>
        <v/>
      </c>
      <c r="AA246" s="1" t="str">
        <f>IF(AND(Programme_Grunddaten!$A251="Geprüft",Programme_Grunddaten!AI251&lt;&gt;""),IF(Programme_Grunddaten!AI251="Ja",1,0),"")</f>
        <v/>
      </c>
      <c r="AB246" s="1" t="str">
        <f>IF(AND(Programme_Grunddaten!$A251="Geprüft",Programme_Grunddaten!AJ251&lt;&gt;""),IF(Programme_Grunddaten!AJ251="individuell programmierbar",1,0),"")</f>
        <v/>
      </c>
      <c r="AC246" s="1" t="str">
        <f>IF(AND(Programme_Grunddaten!$A251="Geprüft",Programme_Grunddaten!AK251&lt;&gt;""),IF(Programme_Grunddaten!AK251="Deutsch",0,IF(Programme_Grunddaten!AK251="Deutsch und Englisch",1,2)),"")</f>
        <v/>
      </c>
      <c r="AD246" s="1" t="str">
        <f>IF(AND(Programme_Grunddaten!$A251="Geprüft",Programme_Grunddaten!AL251&lt;&gt;""),IF(Programme_Grunddaten!AL251="Ja",1,0),"")</f>
        <v/>
      </c>
      <c r="AE246" s="1" t="str">
        <f>IF(AND(Programme_Grunddaten!$A251="Geprüft",Programme_Grunddaten!AM251&lt;&gt;""),IF(Programme_Grunddaten!AM251="Ja",1,0),"")</f>
        <v/>
      </c>
      <c r="AF246" s="1" t="str">
        <f>IF(AND(Programme_Grunddaten!$A251="Geprüft",Programme_Grunddaten!AN251&lt;&gt;""),IF(Programme_Grunddaten!AN251="Ja",1,0),"")</f>
        <v/>
      </c>
      <c r="AG246" s="1" t="str">
        <f>IF(AND(Programme_Grunddaten!$A251="Geprüft",Programme_Grunddaten!AO251&lt;&gt;""),IF(Programme_Grunddaten!AO251="Ja",1,0),"")</f>
        <v/>
      </c>
      <c r="AH246" s="1" t="str">
        <f>IF(AND(Programme_Grunddaten!$A251="Geprüft",Programme_Grunddaten!AP251&lt;&gt;""),IF(Programme_Grunddaten!AP251="Ja",1,0),"")</f>
        <v/>
      </c>
      <c r="AI246" s="1" t="str">
        <f>IF(AND(Programme_Grunddaten!$A251="Geprüft",Programme_Grunddaten!AQ251&lt;&gt;""),IF(Programme_Grunddaten!AQ251="Ja",1,0),"")</f>
        <v/>
      </c>
      <c r="AJ246" s="1" t="str">
        <f>IF(AND(Programme_Grunddaten!$A251="Geprüft",Programme_Grunddaten!AR251&lt;&gt;""),IF(Programme_Grunddaten!AR251="Ja",1,0),"")</f>
        <v/>
      </c>
      <c r="AK246" s="1" t="str">
        <f>IF(AND(Programme_Grunddaten!$A251="Geprüft",Programme_Grunddaten!AS251&lt;&gt;""),IF(Programme_Grunddaten!AS251="Ja",1,0),"")</f>
        <v/>
      </c>
      <c r="AL246" s="1" t="str">
        <f>IF(AND(Programme_Grunddaten!$A251="Geprüft",Programme_Grunddaten!AT251&lt;&gt;""),IF(Programme_Grunddaten!AT251="Ja",1,0),"")</f>
        <v/>
      </c>
      <c r="AM246" s="1" t="str">
        <f>IF(AND(Programme_Grunddaten!$A251="Geprüft",Programme_Grunddaten!AU251&lt;&gt;""),IF(Programme_Grunddaten!AU251="Ja",1,0),"")</f>
        <v/>
      </c>
      <c r="AN246" s="1" t="str">
        <f>IF(AND(Programme_Grunddaten!$A251="Geprüft",Programme_Grunddaten!AV251&lt;&gt;""),IF(Programme_Grunddaten!AV251="Ja",1,0),"")</f>
        <v/>
      </c>
    </row>
    <row r="247" spans="1:40" x14ac:dyDescent="0.3">
      <c r="A247" s="1" t="str">
        <f>IF(AND(Programme_Grunddaten!A252="Geprüft",Programme_Grunddaten!B252&lt;&gt;""),Programme_Grunddaten!B252,"")</f>
        <v/>
      </c>
      <c r="B247" s="1" t="str">
        <f>IF(AND(Programme_Grunddaten!$A252="Geprüft",Programme_Grunddaten!I252&lt;&gt;""),IF(Programme_Grunddaten!I252="Ja",1,0),"")</f>
        <v/>
      </c>
      <c r="C247" s="1" t="str">
        <f>IF(AND(Programme_Grunddaten!$A252="Geprüft",Programme_Grunddaten!J252&lt;&gt;""),IF(Programme_Grunddaten!J252="Ja",1,0),"")</f>
        <v/>
      </c>
      <c r="D247" s="1" t="str">
        <f>IF(AND(Programme_Grunddaten!$A252="Geprüft",Programme_Grunddaten!K252&lt;&gt;""),IF(Programme_Grunddaten!K252="Ja",1,0),"")</f>
        <v/>
      </c>
      <c r="E247" s="1" t="str">
        <f>IF(AND(Programme_Grunddaten!$A252="Geprüft",Programme_Grunddaten!L252&lt;&gt;""),IF(Programme_Grunddaten!L252="Abo / befristete Lizenz",1,0),"")</f>
        <v/>
      </c>
      <c r="F247" s="1" t="str">
        <f>IF(AND(Programme_Grunddaten!$A252="Geprüft",Programme_Grunddaten!M252&lt;&gt;""),IF(Programme_Grunddaten!M252="Ja",1,0),"")</f>
        <v/>
      </c>
      <c r="G247" s="1" t="str">
        <f>IF(AND(Programme_Grunddaten!$A252="Geprüft",Programme_Grunddaten!N252&lt;&gt;""),IF(Programme_Grunddaten!N252="Ja",1,0),"")</f>
        <v/>
      </c>
      <c r="H247" s="1" t="str">
        <f>IF(AND(Programme_Grunddaten!$A252="Geprüft",Programme_Grunddaten!O252&lt;&gt;""),IF(Programme_Grunddaten!O252="Deutschland",0,IF(Programme_Grunddaten!O252="EU",1,2)),"")</f>
        <v/>
      </c>
      <c r="I247" s="1" t="str">
        <f>IF(AND(Programme_Grunddaten!$A252="Geprüft",Programme_Grunddaten!P252&lt;&gt;""),IF(Programme_Grunddaten!P252="Ja",1,0),"")</f>
        <v/>
      </c>
      <c r="J247" s="1" t="str">
        <f>IF(AND(Programme_Grunddaten!$A252="Geprüft",Programme_Grunddaten!Q252&lt;&gt;""),IF(Programme_Grunddaten!Q252="geschlossenes System",1,0),"")</f>
        <v/>
      </c>
      <c r="K247" s="1" t="str">
        <f>IF(AND(Programme_Grunddaten!$A252="Geprüft",Programme_Grunddaten!R252&lt;&gt;""),IF(Programme_Grunddaten!R252="Ja",1,0),"")</f>
        <v/>
      </c>
      <c r="L247" s="1" t="str">
        <f>IF(AND(Programme_Grunddaten!$A252="Geprüft",Programme_Grunddaten!T252&lt;&gt;""),IF(Programme_Grunddaten!T252="Ja",1,0),"")</f>
        <v/>
      </c>
      <c r="M247" s="1" t="str">
        <f>IF(AND(Programme_Grunddaten!$A252="Geprüft",Programme_Grunddaten!U252&lt;&gt;""),IF(Programme_Grunddaten!U252="Ja",1,0),"")</f>
        <v/>
      </c>
      <c r="N247" s="1" t="str">
        <f>IF(AND(Programme_Grunddaten!$A252="Geprüft",Programme_Grunddaten!V252&lt;&gt;""),IF(Programme_Grunddaten!V252="Ja",1,0),"")</f>
        <v/>
      </c>
      <c r="O247" s="1" t="str">
        <f>IF(AND(Programme_Grunddaten!$A252="Geprüft",Programme_Grunddaten!W252&lt;&gt;""),IF(Programme_Grunddaten!W252="Ja",1,0),"")</f>
        <v/>
      </c>
      <c r="P247" s="1" t="str">
        <f>IF(AND(Programme_Grunddaten!$A252="Geprüft",Programme_Grunddaten!X252&lt;&gt;""),IF(Programme_Grunddaten!X252="Ja",1,0),"")</f>
        <v/>
      </c>
      <c r="Q247" s="1" t="str">
        <f>IF(AND(Programme_Grunddaten!$A252="Geprüft",Programme_Grunddaten!Y252&lt;&gt;""),IF(Programme_Grunddaten!Y252="Ja",1,0),"")</f>
        <v/>
      </c>
      <c r="R247" s="1" t="str">
        <f>IF(AND(Programme_Grunddaten!$A252="Geprüft",Programme_Grunddaten!Z252&lt;&gt;""),IF(Programme_Grunddaten!Z252="Ja",1,0),"")</f>
        <v/>
      </c>
      <c r="S247" s="1" t="str">
        <f>IF(AND(Programme_Grunddaten!$A252="Geprüft",Programme_Grunddaten!AA252&lt;&gt;""),IF(Programme_Grunddaten!AA252="monolithisch",1,0),"")</f>
        <v/>
      </c>
      <c r="T247" s="1" t="str">
        <f>IF(AND(Programme_Grunddaten!$A252="Geprüft",Programme_Grunddaten!AB252&lt;&gt;""),IF(Programme_Grunddaten!AB252="Ja",1,0),"")</f>
        <v/>
      </c>
      <c r="U247" s="1" t="str">
        <f>IF(AND(Programme_Grunddaten!$A252="Geprüft",Programme_Grunddaten!AC252&lt;&gt;""),IF(Programme_Grunddaten!AC252="Ja",1,0),"")</f>
        <v/>
      </c>
      <c r="V247" s="1" t="str">
        <f>IF(AND(Programme_Grunddaten!$A252="Geprüft",Programme_Grunddaten!AD252&lt;&gt;""),IF(Programme_Grunddaten!AD252="Ja",1,0),"")</f>
        <v/>
      </c>
      <c r="W247" s="1" t="str">
        <f>IF(AND(Programme_Grunddaten!$A252="Geprüft",Programme_Grunddaten!AE252&lt;&gt;""),IF(Programme_Grunddaten!AE252="Ja",1,0),"")</f>
        <v/>
      </c>
      <c r="X247" s="1" t="str">
        <f>IF(AND(Programme_Grunddaten!$A252="Geprüft",Programme_Grunddaten!AF252&lt;&gt;""),IF(Programme_Grunddaten!AF252="Ja",1,0),"")</f>
        <v/>
      </c>
      <c r="Y247" s="1" t="str">
        <f>IF(AND(Programme_Grunddaten!$A252="Geprüft",Programme_Grunddaten!AG252&lt;&gt;""),IF(Programme_Grunddaten!AG252="Ja",1,0),"")</f>
        <v/>
      </c>
      <c r="Z247" s="1" t="str">
        <f>IF(AND(Programme_Grunddaten!$A252="Geprüft",Programme_Grunddaten!AH252&lt;&gt;""),IF(Programme_Grunddaten!AH252="Ja",1,0),"")</f>
        <v/>
      </c>
      <c r="AA247" s="1" t="str">
        <f>IF(AND(Programme_Grunddaten!$A252="Geprüft",Programme_Grunddaten!AI252&lt;&gt;""),IF(Programme_Grunddaten!AI252="Ja",1,0),"")</f>
        <v/>
      </c>
      <c r="AB247" s="1" t="str">
        <f>IF(AND(Programme_Grunddaten!$A252="Geprüft",Programme_Grunddaten!AJ252&lt;&gt;""),IF(Programme_Grunddaten!AJ252="individuell programmierbar",1,0),"")</f>
        <v/>
      </c>
      <c r="AC247" s="1" t="str">
        <f>IF(AND(Programme_Grunddaten!$A252="Geprüft",Programme_Grunddaten!AK252&lt;&gt;""),IF(Programme_Grunddaten!AK252="Deutsch",0,IF(Programme_Grunddaten!AK252="Deutsch und Englisch",1,2)),"")</f>
        <v/>
      </c>
      <c r="AD247" s="1" t="str">
        <f>IF(AND(Programme_Grunddaten!$A252="Geprüft",Programme_Grunddaten!AL252&lt;&gt;""),IF(Programme_Grunddaten!AL252="Ja",1,0),"")</f>
        <v/>
      </c>
      <c r="AE247" s="1" t="str">
        <f>IF(AND(Programme_Grunddaten!$A252="Geprüft",Programme_Grunddaten!AM252&lt;&gt;""),IF(Programme_Grunddaten!AM252="Ja",1,0),"")</f>
        <v/>
      </c>
      <c r="AF247" s="1" t="str">
        <f>IF(AND(Programme_Grunddaten!$A252="Geprüft",Programme_Grunddaten!AN252&lt;&gt;""),IF(Programme_Grunddaten!AN252="Ja",1,0),"")</f>
        <v/>
      </c>
      <c r="AG247" s="1" t="str">
        <f>IF(AND(Programme_Grunddaten!$A252="Geprüft",Programme_Grunddaten!AO252&lt;&gt;""),IF(Programme_Grunddaten!AO252="Ja",1,0),"")</f>
        <v/>
      </c>
      <c r="AH247" s="1" t="str">
        <f>IF(AND(Programme_Grunddaten!$A252="Geprüft",Programme_Grunddaten!AP252&lt;&gt;""),IF(Programme_Grunddaten!AP252="Ja",1,0),"")</f>
        <v/>
      </c>
      <c r="AI247" s="1" t="str">
        <f>IF(AND(Programme_Grunddaten!$A252="Geprüft",Programme_Grunddaten!AQ252&lt;&gt;""),IF(Programme_Grunddaten!AQ252="Ja",1,0),"")</f>
        <v/>
      </c>
      <c r="AJ247" s="1" t="str">
        <f>IF(AND(Programme_Grunddaten!$A252="Geprüft",Programme_Grunddaten!AR252&lt;&gt;""),IF(Programme_Grunddaten!AR252="Ja",1,0),"")</f>
        <v/>
      </c>
      <c r="AK247" s="1" t="str">
        <f>IF(AND(Programme_Grunddaten!$A252="Geprüft",Programme_Grunddaten!AS252&lt;&gt;""),IF(Programme_Grunddaten!AS252="Ja",1,0),"")</f>
        <v/>
      </c>
      <c r="AL247" s="1" t="str">
        <f>IF(AND(Programme_Grunddaten!$A252="Geprüft",Programme_Grunddaten!AT252&lt;&gt;""),IF(Programme_Grunddaten!AT252="Ja",1,0),"")</f>
        <v/>
      </c>
      <c r="AM247" s="1" t="str">
        <f>IF(AND(Programme_Grunddaten!$A252="Geprüft",Programme_Grunddaten!AU252&lt;&gt;""),IF(Programme_Grunddaten!AU252="Ja",1,0),"")</f>
        <v/>
      </c>
      <c r="AN247" s="1" t="str">
        <f>IF(AND(Programme_Grunddaten!$A252="Geprüft",Programme_Grunddaten!AV252&lt;&gt;""),IF(Programme_Grunddaten!AV252="Ja",1,0),"")</f>
        <v/>
      </c>
    </row>
    <row r="248" spans="1:40" x14ac:dyDescent="0.3">
      <c r="A248" s="1" t="str">
        <f>IF(AND(Programme_Grunddaten!A253="Geprüft",Programme_Grunddaten!B253&lt;&gt;""),Programme_Grunddaten!B253,"")</f>
        <v/>
      </c>
      <c r="B248" s="1" t="str">
        <f>IF(AND(Programme_Grunddaten!$A253="Geprüft",Programme_Grunddaten!I253&lt;&gt;""),IF(Programme_Grunddaten!I253="Ja",1,0),"")</f>
        <v/>
      </c>
      <c r="C248" s="1" t="str">
        <f>IF(AND(Programme_Grunddaten!$A253="Geprüft",Programme_Grunddaten!J253&lt;&gt;""),IF(Programme_Grunddaten!J253="Ja",1,0),"")</f>
        <v/>
      </c>
      <c r="D248" s="1" t="str">
        <f>IF(AND(Programme_Grunddaten!$A253="Geprüft",Programme_Grunddaten!K253&lt;&gt;""),IF(Programme_Grunddaten!K253="Ja",1,0),"")</f>
        <v/>
      </c>
      <c r="E248" s="1" t="str">
        <f>IF(AND(Programme_Grunddaten!$A253="Geprüft",Programme_Grunddaten!L253&lt;&gt;""),IF(Programme_Grunddaten!L253="Abo / befristete Lizenz",1,0),"")</f>
        <v/>
      </c>
      <c r="F248" s="1" t="str">
        <f>IF(AND(Programme_Grunddaten!$A253="Geprüft",Programme_Grunddaten!M253&lt;&gt;""),IF(Programme_Grunddaten!M253="Ja",1,0),"")</f>
        <v/>
      </c>
      <c r="G248" s="1" t="str">
        <f>IF(AND(Programme_Grunddaten!$A253="Geprüft",Programme_Grunddaten!N253&lt;&gt;""),IF(Programme_Grunddaten!N253="Ja",1,0),"")</f>
        <v/>
      </c>
      <c r="H248" s="1" t="str">
        <f>IF(AND(Programme_Grunddaten!$A253="Geprüft",Programme_Grunddaten!O253&lt;&gt;""),IF(Programme_Grunddaten!O253="Deutschland",0,IF(Programme_Grunddaten!O253="EU",1,2)),"")</f>
        <v/>
      </c>
      <c r="I248" s="1" t="str">
        <f>IF(AND(Programme_Grunddaten!$A253="Geprüft",Programme_Grunddaten!P253&lt;&gt;""),IF(Programme_Grunddaten!P253="Ja",1,0),"")</f>
        <v/>
      </c>
      <c r="J248" s="1" t="str">
        <f>IF(AND(Programme_Grunddaten!$A253="Geprüft",Programme_Grunddaten!Q253&lt;&gt;""),IF(Programme_Grunddaten!Q253="geschlossenes System",1,0),"")</f>
        <v/>
      </c>
      <c r="K248" s="1" t="str">
        <f>IF(AND(Programme_Grunddaten!$A253="Geprüft",Programme_Grunddaten!R253&lt;&gt;""),IF(Programme_Grunddaten!R253="Ja",1,0),"")</f>
        <v/>
      </c>
      <c r="L248" s="1" t="str">
        <f>IF(AND(Programme_Grunddaten!$A253="Geprüft",Programme_Grunddaten!T253&lt;&gt;""),IF(Programme_Grunddaten!T253="Ja",1,0),"")</f>
        <v/>
      </c>
      <c r="M248" s="1" t="str">
        <f>IF(AND(Programme_Grunddaten!$A253="Geprüft",Programme_Grunddaten!U253&lt;&gt;""),IF(Programme_Grunddaten!U253="Ja",1,0),"")</f>
        <v/>
      </c>
      <c r="N248" s="1" t="str">
        <f>IF(AND(Programme_Grunddaten!$A253="Geprüft",Programme_Grunddaten!V253&lt;&gt;""),IF(Programme_Grunddaten!V253="Ja",1,0),"")</f>
        <v/>
      </c>
      <c r="O248" s="1" t="str">
        <f>IF(AND(Programme_Grunddaten!$A253="Geprüft",Programme_Grunddaten!W253&lt;&gt;""),IF(Programme_Grunddaten!W253="Ja",1,0),"")</f>
        <v/>
      </c>
      <c r="P248" s="1" t="str">
        <f>IF(AND(Programme_Grunddaten!$A253="Geprüft",Programme_Grunddaten!X253&lt;&gt;""),IF(Programme_Grunddaten!X253="Ja",1,0),"")</f>
        <v/>
      </c>
      <c r="Q248" s="1" t="str">
        <f>IF(AND(Programme_Grunddaten!$A253="Geprüft",Programme_Grunddaten!Y253&lt;&gt;""),IF(Programme_Grunddaten!Y253="Ja",1,0),"")</f>
        <v/>
      </c>
      <c r="R248" s="1" t="str">
        <f>IF(AND(Programme_Grunddaten!$A253="Geprüft",Programme_Grunddaten!Z253&lt;&gt;""),IF(Programme_Grunddaten!Z253="Ja",1,0),"")</f>
        <v/>
      </c>
      <c r="S248" s="1" t="str">
        <f>IF(AND(Programme_Grunddaten!$A253="Geprüft",Programme_Grunddaten!AA253&lt;&gt;""),IF(Programme_Grunddaten!AA253="monolithisch",1,0),"")</f>
        <v/>
      </c>
      <c r="T248" s="1" t="str">
        <f>IF(AND(Programme_Grunddaten!$A253="Geprüft",Programme_Grunddaten!AB253&lt;&gt;""),IF(Programme_Grunddaten!AB253="Ja",1,0),"")</f>
        <v/>
      </c>
      <c r="U248" s="1" t="str">
        <f>IF(AND(Programme_Grunddaten!$A253="Geprüft",Programme_Grunddaten!AC253&lt;&gt;""),IF(Programme_Grunddaten!AC253="Ja",1,0),"")</f>
        <v/>
      </c>
      <c r="V248" s="1" t="str">
        <f>IF(AND(Programme_Grunddaten!$A253="Geprüft",Programme_Grunddaten!AD253&lt;&gt;""),IF(Programme_Grunddaten!AD253="Ja",1,0),"")</f>
        <v/>
      </c>
      <c r="W248" s="1" t="str">
        <f>IF(AND(Programme_Grunddaten!$A253="Geprüft",Programme_Grunddaten!AE253&lt;&gt;""),IF(Programme_Grunddaten!AE253="Ja",1,0),"")</f>
        <v/>
      </c>
      <c r="X248" s="1" t="str">
        <f>IF(AND(Programme_Grunddaten!$A253="Geprüft",Programme_Grunddaten!AF253&lt;&gt;""),IF(Programme_Grunddaten!AF253="Ja",1,0),"")</f>
        <v/>
      </c>
      <c r="Y248" s="1" t="str">
        <f>IF(AND(Programme_Grunddaten!$A253="Geprüft",Programme_Grunddaten!AG253&lt;&gt;""),IF(Programme_Grunddaten!AG253="Ja",1,0),"")</f>
        <v/>
      </c>
      <c r="Z248" s="1" t="str">
        <f>IF(AND(Programme_Grunddaten!$A253="Geprüft",Programme_Grunddaten!AH253&lt;&gt;""),IF(Programme_Grunddaten!AH253="Ja",1,0),"")</f>
        <v/>
      </c>
      <c r="AA248" s="1" t="str">
        <f>IF(AND(Programme_Grunddaten!$A253="Geprüft",Programme_Grunddaten!AI253&lt;&gt;""),IF(Programme_Grunddaten!AI253="Ja",1,0),"")</f>
        <v/>
      </c>
      <c r="AB248" s="1" t="str">
        <f>IF(AND(Programme_Grunddaten!$A253="Geprüft",Programme_Grunddaten!AJ253&lt;&gt;""),IF(Programme_Grunddaten!AJ253="individuell programmierbar",1,0),"")</f>
        <v/>
      </c>
      <c r="AC248" s="1" t="str">
        <f>IF(AND(Programme_Grunddaten!$A253="Geprüft",Programme_Grunddaten!AK253&lt;&gt;""),IF(Programme_Grunddaten!AK253="Deutsch",0,IF(Programme_Grunddaten!AK253="Deutsch und Englisch",1,2)),"")</f>
        <v/>
      </c>
      <c r="AD248" s="1" t="str">
        <f>IF(AND(Programme_Grunddaten!$A253="Geprüft",Programme_Grunddaten!AL253&lt;&gt;""),IF(Programme_Grunddaten!AL253="Ja",1,0),"")</f>
        <v/>
      </c>
      <c r="AE248" s="1" t="str">
        <f>IF(AND(Programme_Grunddaten!$A253="Geprüft",Programme_Grunddaten!AM253&lt;&gt;""),IF(Programme_Grunddaten!AM253="Ja",1,0),"")</f>
        <v/>
      </c>
      <c r="AF248" s="1" t="str">
        <f>IF(AND(Programme_Grunddaten!$A253="Geprüft",Programme_Grunddaten!AN253&lt;&gt;""),IF(Programme_Grunddaten!AN253="Ja",1,0),"")</f>
        <v/>
      </c>
      <c r="AG248" s="1" t="str">
        <f>IF(AND(Programme_Grunddaten!$A253="Geprüft",Programme_Grunddaten!AO253&lt;&gt;""),IF(Programme_Grunddaten!AO253="Ja",1,0),"")</f>
        <v/>
      </c>
      <c r="AH248" s="1" t="str">
        <f>IF(AND(Programme_Grunddaten!$A253="Geprüft",Programme_Grunddaten!AP253&lt;&gt;""),IF(Programme_Grunddaten!AP253="Ja",1,0),"")</f>
        <v/>
      </c>
      <c r="AI248" s="1" t="str">
        <f>IF(AND(Programme_Grunddaten!$A253="Geprüft",Programme_Grunddaten!AQ253&lt;&gt;""),IF(Programme_Grunddaten!AQ253="Ja",1,0),"")</f>
        <v/>
      </c>
      <c r="AJ248" s="1" t="str">
        <f>IF(AND(Programme_Grunddaten!$A253="Geprüft",Programme_Grunddaten!AR253&lt;&gt;""),IF(Programme_Grunddaten!AR253="Ja",1,0),"")</f>
        <v/>
      </c>
      <c r="AK248" s="1" t="str">
        <f>IF(AND(Programme_Grunddaten!$A253="Geprüft",Programme_Grunddaten!AS253&lt;&gt;""),IF(Programme_Grunddaten!AS253="Ja",1,0),"")</f>
        <v/>
      </c>
      <c r="AL248" s="1" t="str">
        <f>IF(AND(Programme_Grunddaten!$A253="Geprüft",Programme_Grunddaten!AT253&lt;&gt;""),IF(Programme_Grunddaten!AT253="Ja",1,0),"")</f>
        <v/>
      </c>
      <c r="AM248" s="1" t="str">
        <f>IF(AND(Programme_Grunddaten!$A253="Geprüft",Programme_Grunddaten!AU253&lt;&gt;""),IF(Programme_Grunddaten!AU253="Ja",1,0),"")</f>
        <v/>
      </c>
      <c r="AN248" s="1" t="str">
        <f>IF(AND(Programme_Grunddaten!$A253="Geprüft",Programme_Grunddaten!AV253&lt;&gt;""),IF(Programme_Grunddaten!AV253="Ja",1,0),"")</f>
        <v/>
      </c>
    </row>
    <row r="249" spans="1:40" x14ac:dyDescent="0.3">
      <c r="A249" s="1" t="str">
        <f>IF(AND(Programme_Grunddaten!A254="Geprüft",Programme_Grunddaten!B254&lt;&gt;""),Programme_Grunddaten!B254,"")</f>
        <v/>
      </c>
      <c r="B249" s="1" t="str">
        <f>IF(AND(Programme_Grunddaten!$A254="Geprüft",Programme_Grunddaten!I254&lt;&gt;""),IF(Programme_Grunddaten!I254="Ja",1,0),"")</f>
        <v/>
      </c>
      <c r="C249" s="1" t="str">
        <f>IF(AND(Programme_Grunddaten!$A254="Geprüft",Programme_Grunddaten!J254&lt;&gt;""),IF(Programme_Grunddaten!J254="Ja",1,0),"")</f>
        <v/>
      </c>
      <c r="D249" s="1" t="str">
        <f>IF(AND(Programme_Grunddaten!$A254="Geprüft",Programme_Grunddaten!K254&lt;&gt;""),IF(Programme_Grunddaten!K254="Ja",1,0),"")</f>
        <v/>
      </c>
      <c r="E249" s="1" t="str">
        <f>IF(AND(Programme_Grunddaten!$A254="Geprüft",Programme_Grunddaten!L254&lt;&gt;""),IF(Programme_Grunddaten!L254="Abo / befristete Lizenz",1,0),"")</f>
        <v/>
      </c>
      <c r="F249" s="1" t="str">
        <f>IF(AND(Programme_Grunddaten!$A254="Geprüft",Programme_Grunddaten!M254&lt;&gt;""),IF(Programme_Grunddaten!M254="Ja",1,0),"")</f>
        <v/>
      </c>
      <c r="G249" s="1" t="str">
        <f>IF(AND(Programme_Grunddaten!$A254="Geprüft",Programme_Grunddaten!N254&lt;&gt;""),IF(Programme_Grunddaten!N254="Ja",1,0),"")</f>
        <v/>
      </c>
      <c r="H249" s="1" t="str">
        <f>IF(AND(Programme_Grunddaten!$A254="Geprüft",Programme_Grunddaten!O254&lt;&gt;""),IF(Programme_Grunddaten!O254="Deutschland",0,IF(Programme_Grunddaten!O254="EU",1,2)),"")</f>
        <v/>
      </c>
      <c r="I249" s="1" t="str">
        <f>IF(AND(Programme_Grunddaten!$A254="Geprüft",Programme_Grunddaten!P254&lt;&gt;""),IF(Programme_Grunddaten!P254="Ja",1,0),"")</f>
        <v/>
      </c>
      <c r="J249" s="1" t="str">
        <f>IF(AND(Programme_Grunddaten!$A254="Geprüft",Programme_Grunddaten!Q254&lt;&gt;""),IF(Programme_Grunddaten!Q254="geschlossenes System",1,0),"")</f>
        <v/>
      </c>
      <c r="K249" s="1" t="str">
        <f>IF(AND(Programme_Grunddaten!$A254="Geprüft",Programme_Grunddaten!R254&lt;&gt;""),IF(Programme_Grunddaten!R254="Ja",1,0),"")</f>
        <v/>
      </c>
      <c r="L249" s="1" t="str">
        <f>IF(AND(Programme_Grunddaten!$A254="Geprüft",Programme_Grunddaten!T254&lt;&gt;""),IF(Programme_Grunddaten!T254="Ja",1,0),"")</f>
        <v/>
      </c>
      <c r="M249" s="1" t="str">
        <f>IF(AND(Programme_Grunddaten!$A254="Geprüft",Programme_Grunddaten!U254&lt;&gt;""),IF(Programme_Grunddaten!U254="Ja",1,0),"")</f>
        <v/>
      </c>
      <c r="N249" s="1" t="str">
        <f>IF(AND(Programme_Grunddaten!$A254="Geprüft",Programme_Grunddaten!V254&lt;&gt;""),IF(Programme_Grunddaten!V254="Ja",1,0),"")</f>
        <v/>
      </c>
      <c r="O249" s="1" t="str">
        <f>IF(AND(Programme_Grunddaten!$A254="Geprüft",Programme_Grunddaten!W254&lt;&gt;""),IF(Programme_Grunddaten!W254="Ja",1,0),"")</f>
        <v/>
      </c>
      <c r="P249" s="1" t="str">
        <f>IF(AND(Programme_Grunddaten!$A254="Geprüft",Programme_Grunddaten!X254&lt;&gt;""),IF(Programme_Grunddaten!X254="Ja",1,0),"")</f>
        <v/>
      </c>
      <c r="Q249" s="1" t="str">
        <f>IF(AND(Programme_Grunddaten!$A254="Geprüft",Programme_Grunddaten!Y254&lt;&gt;""),IF(Programme_Grunddaten!Y254="Ja",1,0),"")</f>
        <v/>
      </c>
      <c r="R249" s="1" t="str">
        <f>IF(AND(Programme_Grunddaten!$A254="Geprüft",Programme_Grunddaten!Z254&lt;&gt;""),IF(Programme_Grunddaten!Z254="Ja",1,0),"")</f>
        <v/>
      </c>
      <c r="S249" s="1" t="str">
        <f>IF(AND(Programme_Grunddaten!$A254="Geprüft",Programme_Grunddaten!AA254&lt;&gt;""),IF(Programme_Grunddaten!AA254="monolithisch",1,0),"")</f>
        <v/>
      </c>
      <c r="T249" s="1" t="str">
        <f>IF(AND(Programme_Grunddaten!$A254="Geprüft",Programme_Grunddaten!AB254&lt;&gt;""),IF(Programme_Grunddaten!AB254="Ja",1,0),"")</f>
        <v/>
      </c>
      <c r="U249" s="1" t="str">
        <f>IF(AND(Programme_Grunddaten!$A254="Geprüft",Programme_Grunddaten!AC254&lt;&gt;""),IF(Programme_Grunddaten!AC254="Ja",1,0),"")</f>
        <v/>
      </c>
      <c r="V249" s="1" t="str">
        <f>IF(AND(Programme_Grunddaten!$A254="Geprüft",Programme_Grunddaten!AD254&lt;&gt;""),IF(Programme_Grunddaten!AD254="Ja",1,0),"")</f>
        <v/>
      </c>
      <c r="W249" s="1" t="str">
        <f>IF(AND(Programme_Grunddaten!$A254="Geprüft",Programme_Grunddaten!AE254&lt;&gt;""),IF(Programme_Grunddaten!AE254="Ja",1,0),"")</f>
        <v/>
      </c>
      <c r="X249" s="1" t="str">
        <f>IF(AND(Programme_Grunddaten!$A254="Geprüft",Programme_Grunddaten!AF254&lt;&gt;""),IF(Programme_Grunddaten!AF254="Ja",1,0),"")</f>
        <v/>
      </c>
      <c r="Y249" s="1" t="str">
        <f>IF(AND(Programme_Grunddaten!$A254="Geprüft",Programme_Grunddaten!AG254&lt;&gt;""),IF(Programme_Grunddaten!AG254="Ja",1,0),"")</f>
        <v/>
      </c>
      <c r="Z249" s="1" t="str">
        <f>IF(AND(Programme_Grunddaten!$A254="Geprüft",Programme_Grunddaten!AH254&lt;&gt;""),IF(Programme_Grunddaten!AH254="Ja",1,0),"")</f>
        <v/>
      </c>
      <c r="AA249" s="1" t="str">
        <f>IF(AND(Programme_Grunddaten!$A254="Geprüft",Programme_Grunddaten!AI254&lt;&gt;""),IF(Programme_Grunddaten!AI254="Ja",1,0),"")</f>
        <v/>
      </c>
      <c r="AB249" s="1" t="str">
        <f>IF(AND(Programme_Grunddaten!$A254="Geprüft",Programme_Grunddaten!AJ254&lt;&gt;""),IF(Programme_Grunddaten!AJ254="individuell programmierbar",1,0),"")</f>
        <v/>
      </c>
      <c r="AC249" s="1" t="str">
        <f>IF(AND(Programme_Grunddaten!$A254="Geprüft",Programme_Grunddaten!AK254&lt;&gt;""),IF(Programme_Grunddaten!AK254="Deutsch",0,IF(Programme_Grunddaten!AK254="Deutsch und Englisch",1,2)),"")</f>
        <v/>
      </c>
      <c r="AD249" s="1" t="str">
        <f>IF(AND(Programme_Grunddaten!$A254="Geprüft",Programme_Grunddaten!AL254&lt;&gt;""),IF(Programme_Grunddaten!AL254="Ja",1,0),"")</f>
        <v/>
      </c>
      <c r="AE249" s="1" t="str">
        <f>IF(AND(Programme_Grunddaten!$A254="Geprüft",Programme_Grunddaten!AM254&lt;&gt;""),IF(Programme_Grunddaten!AM254="Ja",1,0),"")</f>
        <v/>
      </c>
      <c r="AF249" s="1" t="str">
        <f>IF(AND(Programme_Grunddaten!$A254="Geprüft",Programme_Grunddaten!AN254&lt;&gt;""),IF(Programme_Grunddaten!AN254="Ja",1,0),"")</f>
        <v/>
      </c>
      <c r="AG249" s="1" t="str">
        <f>IF(AND(Programme_Grunddaten!$A254="Geprüft",Programme_Grunddaten!AO254&lt;&gt;""),IF(Programme_Grunddaten!AO254="Ja",1,0),"")</f>
        <v/>
      </c>
      <c r="AH249" s="1" t="str">
        <f>IF(AND(Programme_Grunddaten!$A254="Geprüft",Programme_Grunddaten!AP254&lt;&gt;""),IF(Programme_Grunddaten!AP254="Ja",1,0),"")</f>
        <v/>
      </c>
      <c r="AI249" s="1" t="str">
        <f>IF(AND(Programme_Grunddaten!$A254="Geprüft",Programme_Grunddaten!AQ254&lt;&gt;""),IF(Programme_Grunddaten!AQ254="Ja",1,0),"")</f>
        <v/>
      </c>
      <c r="AJ249" s="1" t="str">
        <f>IF(AND(Programme_Grunddaten!$A254="Geprüft",Programme_Grunddaten!AR254&lt;&gt;""),IF(Programme_Grunddaten!AR254="Ja",1,0),"")</f>
        <v/>
      </c>
      <c r="AK249" s="1" t="str">
        <f>IF(AND(Programme_Grunddaten!$A254="Geprüft",Programme_Grunddaten!AS254&lt;&gt;""),IF(Programme_Grunddaten!AS254="Ja",1,0),"")</f>
        <v/>
      </c>
      <c r="AL249" s="1" t="str">
        <f>IF(AND(Programme_Grunddaten!$A254="Geprüft",Programme_Grunddaten!AT254&lt;&gt;""),IF(Programme_Grunddaten!AT254="Ja",1,0),"")</f>
        <v/>
      </c>
      <c r="AM249" s="1" t="str">
        <f>IF(AND(Programme_Grunddaten!$A254="Geprüft",Programme_Grunddaten!AU254&lt;&gt;""),IF(Programme_Grunddaten!AU254="Ja",1,0),"")</f>
        <v/>
      </c>
      <c r="AN249" s="1" t="str">
        <f>IF(AND(Programme_Grunddaten!$A254="Geprüft",Programme_Grunddaten!AV254&lt;&gt;""),IF(Programme_Grunddaten!AV254="Ja",1,0),"")</f>
        <v/>
      </c>
    </row>
    <row r="250" spans="1:40" x14ac:dyDescent="0.3">
      <c r="A250" s="1" t="str">
        <f>IF(AND(Programme_Grunddaten!A255="Geprüft",Programme_Grunddaten!B255&lt;&gt;""),Programme_Grunddaten!B255,"")</f>
        <v/>
      </c>
      <c r="B250" s="1" t="str">
        <f>IF(AND(Programme_Grunddaten!$A255="Geprüft",Programme_Grunddaten!I255&lt;&gt;""),IF(Programme_Grunddaten!I255="Ja",1,0),"")</f>
        <v/>
      </c>
      <c r="C250" s="1" t="str">
        <f>IF(AND(Programme_Grunddaten!$A255="Geprüft",Programme_Grunddaten!J255&lt;&gt;""),IF(Programme_Grunddaten!J255="Ja",1,0),"")</f>
        <v/>
      </c>
      <c r="D250" s="1" t="str">
        <f>IF(AND(Programme_Grunddaten!$A255="Geprüft",Programme_Grunddaten!K255&lt;&gt;""),IF(Programme_Grunddaten!K255="Ja",1,0),"")</f>
        <v/>
      </c>
      <c r="E250" s="1" t="str">
        <f>IF(AND(Programme_Grunddaten!$A255="Geprüft",Programme_Grunddaten!L255&lt;&gt;""),IF(Programme_Grunddaten!L255="Abo / befristete Lizenz",1,0),"")</f>
        <v/>
      </c>
      <c r="F250" s="1" t="str">
        <f>IF(AND(Programme_Grunddaten!$A255="Geprüft",Programme_Grunddaten!M255&lt;&gt;""),IF(Programme_Grunddaten!M255="Ja",1,0),"")</f>
        <v/>
      </c>
      <c r="G250" s="1" t="str">
        <f>IF(AND(Programme_Grunddaten!$A255="Geprüft",Programme_Grunddaten!N255&lt;&gt;""),IF(Programme_Grunddaten!N255="Ja",1,0),"")</f>
        <v/>
      </c>
      <c r="H250" s="1" t="str">
        <f>IF(AND(Programme_Grunddaten!$A255="Geprüft",Programme_Grunddaten!O255&lt;&gt;""),IF(Programme_Grunddaten!O255="Deutschland",0,IF(Programme_Grunddaten!O255="EU",1,2)),"")</f>
        <v/>
      </c>
      <c r="I250" s="1" t="str">
        <f>IF(AND(Programme_Grunddaten!$A255="Geprüft",Programme_Grunddaten!P255&lt;&gt;""),IF(Programme_Grunddaten!P255="Ja",1,0),"")</f>
        <v/>
      </c>
      <c r="J250" s="1" t="str">
        <f>IF(AND(Programme_Grunddaten!$A255="Geprüft",Programme_Grunddaten!Q255&lt;&gt;""),IF(Programme_Grunddaten!Q255="geschlossenes System",1,0),"")</f>
        <v/>
      </c>
      <c r="K250" s="1" t="str">
        <f>IF(AND(Programme_Grunddaten!$A255="Geprüft",Programme_Grunddaten!R255&lt;&gt;""),IF(Programme_Grunddaten!R255="Ja",1,0),"")</f>
        <v/>
      </c>
      <c r="L250" s="1" t="str">
        <f>IF(AND(Programme_Grunddaten!$A255="Geprüft",Programme_Grunddaten!T255&lt;&gt;""),IF(Programme_Grunddaten!T255="Ja",1,0),"")</f>
        <v/>
      </c>
      <c r="M250" s="1" t="str">
        <f>IF(AND(Programme_Grunddaten!$A255="Geprüft",Programme_Grunddaten!U255&lt;&gt;""),IF(Programme_Grunddaten!U255="Ja",1,0),"")</f>
        <v/>
      </c>
      <c r="N250" s="1" t="str">
        <f>IF(AND(Programme_Grunddaten!$A255="Geprüft",Programme_Grunddaten!V255&lt;&gt;""),IF(Programme_Grunddaten!V255="Ja",1,0),"")</f>
        <v/>
      </c>
      <c r="O250" s="1" t="str">
        <f>IF(AND(Programme_Grunddaten!$A255="Geprüft",Programme_Grunddaten!W255&lt;&gt;""),IF(Programme_Grunddaten!W255="Ja",1,0),"")</f>
        <v/>
      </c>
      <c r="P250" s="1" t="str">
        <f>IF(AND(Programme_Grunddaten!$A255="Geprüft",Programme_Grunddaten!X255&lt;&gt;""),IF(Programme_Grunddaten!X255="Ja",1,0),"")</f>
        <v/>
      </c>
      <c r="Q250" s="1" t="str">
        <f>IF(AND(Programme_Grunddaten!$A255="Geprüft",Programme_Grunddaten!Y255&lt;&gt;""),IF(Programme_Grunddaten!Y255="Ja",1,0),"")</f>
        <v/>
      </c>
      <c r="R250" s="1" t="str">
        <f>IF(AND(Programme_Grunddaten!$A255="Geprüft",Programme_Grunddaten!Z255&lt;&gt;""),IF(Programme_Grunddaten!Z255="Ja",1,0),"")</f>
        <v/>
      </c>
      <c r="S250" s="1" t="str">
        <f>IF(AND(Programme_Grunddaten!$A255="Geprüft",Programme_Grunddaten!AA255&lt;&gt;""),IF(Programme_Grunddaten!AA255="monolithisch",1,0),"")</f>
        <v/>
      </c>
      <c r="T250" s="1" t="str">
        <f>IF(AND(Programme_Grunddaten!$A255="Geprüft",Programme_Grunddaten!AB255&lt;&gt;""),IF(Programme_Grunddaten!AB255="Ja",1,0),"")</f>
        <v/>
      </c>
      <c r="U250" s="1" t="str">
        <f>IF(AND(Programme_Grunddaten!$A255="Geprüft",Programme_Grunddaten!AC255&lt;&gt;""),IF(Programme_Grunddaten!AC255="Ja",1,0),"")</f>
        <v/>
      </c>
      <c r="V250" s="1" t="str">
        <f>IF(AND(Programme_Grunddaten!$A255="Geprüft",Programme_Grunddaten!AD255&lt;&gt;""),IF(Programme_Grunddaten!AD255="Ja",1,0),"")</f>
        <v/>
      </c>
      <c r="W250" s="1" t="str">
        <f>IF(AND(Programme_Grunddaten!$A255="Geprüft",Programme_Grunddaten!AE255&lt;&gt;""),IF(Programme_Grunddaten!AE255="Ja",1,0),"")</f>
        <v/>
      </c>
      <c r="X250" s="1" t="str">
        <f>IF(AND(Programme_Grunddaten!$A255="Geprüft",Programme_Grunddaten!AF255&lt;&gt;""),IF(Programme_Grunddaten!AF255="Ja",1,0),"")</f>
        <v/>
      </c>
      <c r="Y250" s="1" t="str">
        <f>IF(AND(Programme_Grunddaten!$A255="Geprüft",Programme_Grunddaten!AG255&lt;&gt;""),IF(Programme_Grunddaten!AG255="Ja",1,0),"")</f>
        <v/>
      </c>
      <c r="Z250" s="1" t="str">
        <f>IF(AND(Programme_Grunddaten!$A255="Geprüft",Programme_Grunddaten!AH255&lt;&gt;""),IF(Programme_Grunddaten!AH255="Ja",1,0),"")</f>
        <v/>
      </c>
      <c r="AA250" s="1" t="str">
        <f>IF(AND(Programme_Grunddaten!$A255="Geprüft",Programme_Grunddaten!AI255&lt;&gt;""),IF(Programme_Grunddaten!AI255="Ja",1,0),"")</f>
        <v/>
      </c>
      <c r="AB250" s="1" t="str">
        <f>IF(AND(Programme_Grunddaten!$A255="Geprüft",Programme_Grunddaten!AJ255&lt;&gt;""),IF(Programme_Grunddaten!AJ255="individuell programmierbar",1,0),"")</f>
        <v/>
      </c>
      <c r="AC250" s="1" t="str">
        <f>IF(AND(Programme_Grunddaten!$A255="Geprüft",Programme_Grunddaten!AK255&lt;&gt;""),IF(Programme_Grunddaten!AK255="Deutsch",0,IF(Programme_Grunddaten!AK255="Deutsch und Englisch",1,2)),"")</f>
        <v/>
      </c>
      <c r="AD250" s="1" t="str">
        <f>IF(AND(Programme_Grunddaten!$A255="Geprüft",Programme_Grunddaten!AL255&lt;&gt;""),IF(Programme_Grunddaten!AL255="Ja",1,0),"")</f>
        <v/>
      </c>
      <c r="AE250" s="1" t="str">
        <f>IF(AND(Programme_Grunddaten!$A255="Geprüft",Programme_Grunddaten!AM255&lt;&gt;""),IF(Programme_Grunddaten!AM255="Ja",1,0),"")</f>
        <v/>
      </c>
      <c r="AF250" s="1" t="str">
        <f>IF(AND(Programme_Grunddaten!$A255="Geprüft",Programme_Grunddaten!AN255&lt;&gt;""),IF(Programme_Grunddaten!AN255="Ja",1,0),"")</f>
        <v/>
      </c>
      <c r="AG250" s="1" t="str">
        <f>IF(AND(Programme_Grunddaten!$A255="Geprüft",Programme_Grunddaten!AO255&lt;&gt;""),IF(Programme_Grunddaten!AO255="Ja",1,0),"")</f>
        <v/>
      </c>
      <c r="AH250" s="1" t="str">
        <f>IF(AND(Programme_Grunddaten!$A255="Geprüft",Programme_Grunddaten!AP255&lt;&gt;""),IF(Programme_Grunddaten!AP255="Ja",1,0),"")</f>
        <v/>
      </c>
      <c r="AI250" s="1" t="str">
        <f>IF(AND(Programme_Grunddaten!$A255="Geprüft",Programme_Grunddaten!AQ255&lt;&gt;""),IF(Programme_Grunddaten!AQ255="Ja",1,0),"")</f>
        <v/>
      </c>
      <c r="AJ250" s="1" t="str">
        <f>IF(AND(Programme_Grunddaten!$A255="Geprüft",Programme_Grunddaten!AR255&lt;&gt;""),IF(Programme_Grunddaten!AR255="Ja",1,0),"")</f>
        <v/>
      </c>
      <c r="AK250" s="1" t="str">
        <f>IF(AND(Programme_Grunddaten!$A255="Geprüft",Programme_Grunddaten!AS255&lt;&gt;""),IF(Programme_Grunddaten!AS255="Ja",1,0),"")</f>
        <v/>
      </c>
      <c r="AL250" s="1" t="str">
        <f>IF(AND(Programme_Grunddaten!$A255="Geprüft",Programme_Grunddaten!AT255&lt;&gt;""),IF(Programme_Grunddaten!AT255="Ja",1,0),"")</f>
        <v/>
      </c>
      <c r="AM250" s="1" t="str">
        <f>IF(AND(Programme_Grunddaten!$A255="Geprüft",Programme_Grunddaten!AU255&lt;&gt;""),IF(Programme_Grunddaten!AU255="Ja",1,0),"")</f>
        <v/>
      </c>
      <c r="AN250" s="1" t="str">
        <f>IF(AND(Programme_Grunddaten!$A255="Geprüft",Programme_Grunddaten!AV255&lt;&gt;""),IF(Programme_Grunddaten!AV255="Ja",1,0),"")</f>
        <v/>
      </c>
    </row>
    <row r="251" spans="1:40" x14ac:dyDescent="0.3">
      <c r="A251" s="1" t="str">
        <f>IF(AND(Programme_Grunddaten!A256="Geprüft",Programme_Grunddaten!B256&lt;&gt;""),Programme_Grunddaten!B256,"")</f>
        <v/>
      </c>
      <c r="B251" s="1" t="str">
        <f>IF(AND(Programme_Grunddaten!$A256="Geprüft",Programme_Grunddaten!I256&lt;&gt;""),IF(Programme_Grunddaten!I256="Ja",1,0),"")</f>
        <v/>
      </c>
      <c r="C251" s="1" t="str">
        <f>IF(AND(Programme_Grunddaten!$A256="Geprüft",Programme_Grunddaten!J256&lt;&gt;""),IF(Programme_Grunddaten!J256="Ja",1,0),"")</f>
        <v/>
      </c>
      <c r="D251" s="1" t="str">
        <f>IF(AND(Programme_Grunddaten!$A256="Geprüft",Programme_Grunddaten!K256&lt;&gt;""),IF(Programme_Grunddaten!K256="Ja",1,0),"")</f>
        <v/>
      </c>
      <c r="E251" s="1" t="str">
        <f>IF(AND(Programme_Grunddaten!$A256="Geprüft",Programme_Grunddaten!L256&lt;&gt;""),IF(Programme_Grunddaten!L256="Abo / befristete Lizenz",1,0),"")</f>
        <v/>
      </c>
      <c r="F251" s="1" t="str">
        <f>IF(AND(Programme_Grunddaten!$A256="Geprüft",Programme_Grunddaten!M256&lt;&gt;""),IF(Programme_Grunddaten!M256="Ja",1,0),"")</f>
        <v/>
      </c>
      <c r="G251" s="1" t="str">
        <f>IF(AND(Programme_Grunddaten!$A256="Geprüft",Programme_Grunddaten!N256&lt;&gt;""),IF(Programme_Grunddaten!N256="Ja",1,0),"")</f>
        <v/>
      </c>
      <c r="H251" s="1" t="str">
        <f>IF(AND(Programme_Grunddaten!$A256="Geprüft",Programme_Grunddaten!O256&lt;&gt;""),IF(Programme_Grunddaten!O256="Deutschland",0,IF(Programme_Grunddaten!O256="EU",1,2)),"")</f>
        <v/>
      </c>
      <c r="I251" s="1" t="str">
        <f>IF(AND(Programme_Grunddaten!$A256="Geprüft",Programme_Grunddaten!P256&lt;&gt;""),IF(Programme_Grunddaten!P256="Ja",1,0),"")</f>
        <v/>
      </c>
      <c r="J251" s="1" t="str">
        <f>IF(AND(Programme_Grunddaten!$A256="Geprüft",Programme_Grunddaten!Q256&lt;&gt;""),IF(Programme_Grunddaten!Q256="geschlossenes System",1,0),"")</f>
        <v/>
      </c>
      <c r="K251" s="1" t="str">
        <f>IF(AND(Programme_Grunddaten!$A256="Geprüft",Programme_Grunddaten!R256&lt;&gt;""),IF(Programme_Grunddaten!R256="Ja",1,0),"")</f>
        <v/>
      </c>
      <c r="L251" s="1" t="str">
        <f>IF(AND(Programme_Grunddaten!$A256="Geprüft",Programme_Grunddaten!T256&lt;&gt;""),IF(Programme_Grunddaten!T256="Ja",1,0),"")</f>
        <v/>
      </c>
      <c r="M251" s="1" t="str">
        <f>IF(AND(Programme_Grunddaten!$A256="Geprüft",Programme_Grunddaten!U256&lt;&gt;""),IF(Programme_Grunddaten!U256="Ja",1,0),"")</f>
        <v/>
      </c>
      <c r="N251" s="1" t="str">
        <f>IF(AND(Programme_Grunddaten!$A256="Geprüft",Programme_Grunddaten!V256&lt;&gt;""),IF(Programme_Grunddaten!V256="Ja",1,0),"")</f>
        <v/>
      </c>
      <c r="O251" s="1" t="str">
        <f>IF(AND(Programme_Grunddaten!$A256="Geprüft",Programme_Grunddaten!W256&lt;&gt;""),IF(Programme_Grunddaten!W256="Ja",1,0),"")</f>
        <v/>
      </c>
      <c r="P251" s="1" t="str">
        <f>IF(AND(Programme_Grunddaten!$A256="Geprüft",Programme_Grunddaten!X256&lt;&gt;""),IF(Programme_Grunddaten!X256="Ja",1,0),"")</f>
        <v/>
      </c>
      <c r="Q251" s="1" t="str">
        <f>IF(AND(Programme_Grunddaten!$A256="Geprüft",Programme_Grunddaten!Y256&lt;&gt;""),IF(Programme_Grunddaten!Y256="Ja",1,0),"")</f>
        <v/>
      </c>
      <c r="R251" s="1" t="str">
        <f>IF(AND(Programme_Grunddaten!$A256="Geprüft",Programme_Grunddaten!Z256&lt;&gt;""),IF(Programme_Grunddaten!Z256="Ja",1,0),"")</f>
        <v/>
      </c>
      <c r="S251" s="1" t="str">
        <f>IF(AND(Programme_Grunddaten!$A256="Geprüft",Programme_Grunddaten!AA256&lt;&gt;""),IF(Programme_Grunddaten!AA256="monolithisch",1,0),"")</f>
        <v/>
      </c>
      <c r="T251" s="1" t="str">
        <f>IF(AND(Programme_Grunddaten!$A256="Geprüft",Programme_Grunddaten!AB256&lt;&gt;""),IF(Programme_Grunddaten!AB256="Ja",1,0),"")</f>
        <v/>
      </c>
      <c r="U251" s="1" t="str">
        <f>IF(AND(Programme_Grunddaten!$A256="Geprüft",Programme_Grunddaten!AC256&lt;&gt;""),IF(Programme_Grunddaten!AC256="Ja",1,0),"")</f>
        <v/>
      </c>
      <c r="V251" s="1" t="str">
        <f>IF(AND(Programme_Grunddaten!$A256="Geprüft",Programme_Grunddaten!AD256&lt;&gt;""),IF(Programme_Grunddaten!AD256="Ja",1,0),"")</f>
        <v/>
      </c>
      <c r="W251" s="1" t="str">
        <f>IF(AND(Programme_Grunddaten!$A256="Geprüft",Programme_Grunddaten!AE256&lt;&gt;""),IF(Programme_Grunddaten!AE256="Ja",1,0),"")</f>
        <v/>
      </c>
      <c r="X251" s="1" t="str">
        <f>IF(AND(Programme_Grunddaten!$A256="Geprüft",Programme_Grunddaten!AF256&lt;&gt;""),IF(Programme_Grunddaten!AF256="Ja",1,0),"")</f>
        <v/>
      </c>
      <c r="Y251" s="1" t="str">
        <f>IF(AND(Programme_Grunddaten!$A256="Geprüft",Programme_Grunddaten!AG256&lt;&gt;""),IF(Programme_Grunddaten!AG256="Ja",1,0),"")</f>
        <v/>
      </c>
      <c r="Z251" s="1" t="str">
        <f>IF(AND(Programme_Grunddaten!$A256="Geprüft",Programme_Grunddaten!AH256&lt;&gt;""),IF(Programme_Grunddaten!AH256="Ja",1,0),"")</f>
        <v/>
      </c>
      <c r="AA251" s="1" t="str">
        <f>IF(AND(Programme_Grunddaten!$A256="Geprüft",Programme_Grunddaten!AI256&lt;&gt;""),IF(Programme_Grunddaten!AI256="Ja",1,0),"")</f>
        <v/>
      </c>
      <c r="AB251" s="1" t="str">
        <f>IF(AND(Programme_Grunddaten!$A256="Geprüft",Programme_Grunddaten!AJ256&lt;&gt;""),IF(Programme_Grunddaten!AJ256="individuell programmierbar",1,0),"")</f>
        <v/>
      </c>
      <c r="AC251" s="1" t="str">
        <f>IF(AND(Programme_Grunddaten!$A256="Geprüft",Programme_Grunddaten!AK256&lt;&gt;""),IF(Programme_Grunddaten!AK256="Deutsch",0,IF(Programme_Grunddaten!AK256="Deutsch und Englisch",1,2)),"")</f>
        <v/>
      </c>
      <c r="AD251" s="1" t="str">
        <f>IF(AND(Programme_Grunddaten!$A256="Geprüft",Programme_Grunddaten!AL256&lt;&gt;""),IF(Programme_Grunddaten!AL256="Ja",1,0),"")</f>
        <v/>
      </c>
      <c r="AE251" s="1" t="str">
        <f>IF(AND(Programme_Grunddaten!$A256="Geprüft",Programme_Grunddaten!AM256&lt;&gt;""),IF(Programme_Grunddaten!AM256="Ja",1,0),"")</f>
        <v/>
      </c>
      <c r="AF251" s="1" t="str">
        <f>IF(AND(Programme_Grunddaten!$A256="Geprüft",Programme_Grunddaten!AN256&lt;&gt;""),IF(Programme_Grunddaten!AN256="Ja",1,0),"")</f>
        <v/>
      </c>
      <c r="AG251" s="1" t="str">
        <f>IF(AND(Programme_Grunddaten!$A256="Geprüft",Programme_Grunddaten!AO256&lt;&gt;""),IF(Programme_Grunddaten!AO256="Ja",1,0),"")</f>
        <v/>
      </c>
      <c r="AH251" s="1" t="str">
        <f>IF(AND(Programme_Grunddaten!$A256="Geprüft",Programme_Grunddaten!AP256&lt;&gt;""),IF(Programme_Grunddaten!AP256="Ja",1,0),"")</f>
        <v/>
      </c>
      <c r="AI251" s="1" t="str">
        <f>IF(AND(Programme_Grunddaten!$A256="Geprüft",Programme_Grunddaten!AQ256&lt;&gt;""),IF(Programme_Grunddaten!AQ256="Ja",1,0),"")</f>
        <v/>
      </c>
      <c r="AJ251" s="1" t="str">
        <f>IF(AND(Programme_Grunddaten!$A256="Geprüft",Programme_Grunddaten!AR256&lt;&gt;""),IF(Programme_Grunddaten!AR256="Ja",1,0),"")</f>
        <v/>
      </c>
      <c r="AK251" s="1" t="str">
        <f>IF(AND(Programme_Grunddaten!$A256="Geprüft",Programme_Grunddaten!AS256&lt;&gt;""),IF(Programme_Grunddaten!AS256="Ja",1,0),"")</f>
        <v/>
      </c>
      <c r="AL251" s="1" t="str">
        <f>IF(AND(Programme_Grunddaten!$A256="Geprüft",Programme_Grunddaten!AT256&lt;&gt;""),IF(Programme_Grunddaten!AT256="Ja",1,0),"")</f>
        <v/>
      </c>
      <c r="AM251" s="1" t="str">
        <f>IF(AND(Programme_Grunddaten!$A256="Geprüft",Programme_Grunddaten!AU256&lt;&gt;""),IF(Programme_Grunddaten!AU256="Ja",1,0),"")</f>
        <v/>
      </c>
      <c r="AN251" s="1" t="str">
        <f>IF(AND(Programme_Grunddaten!$A256="Geprüft",Programme_Grunddaten!AV256&lt;&gt;""),IF(Programme_Grunddaten!AV256="Ja",1,0),"")</f>
        <v/>
      </c>
    </row>
    <row r="252" spans="1:40" x14ac:dyDescent="0.3">
      <c r="A252" s="1" t="str">
        <f>IF(AND(Programme_Grunddaten!A257="Geprüft",Programme_Grunddaten!B257&lt;&gt;""),Programme_Grunddaten!B257,"")</f>
        <v/>
      </c>
      <c r="B252" s="1" t="str">
        <f>IF(AND(Programme_Grunddaten!$A257="Geprüft",Programme_Grunddaten!I257&lt;&gt;""),IF(Programme_Grunddaten!I257="Ja",1,0),"")</f>
        <v/>
      </c>
      <c r="C252" s="1" t="str">
        <f>IF(AND(Programme_Grunddaten!$A257="Geprüft",Programme_Grunddaten!J257&lt;&gt;""),IF(Programme_Grunddaten!J257="Ja",1,0),"")</f>
        <v/>
      </c>
      <c r="D252" s="1" t="str">
        <f>IF(AND(Programme_Grunddaten!$A257="Geprüft",Programme_Grunddaten!K257&lt;&gt;""),IF(Programme_Grunddaten!K257="Ja",1,0),"")</f>
        <v/>
      </c>
      <c r="E252" s="1" t="str">
        <f>IF(AND(Programme_Grunddaten!$A257="Geprüft",Programme_Grunddaten!L257&lt;&gt;""),IF(Programme_Grunddaten!L257="Abo / befristete Lizenz",1,0),"")</f>
        <v/>
      </c>
      <c r="F252" s="1" t="str">
        <f>IF(AND(Programme_Grunddaten!$A257="Geprüft",Programme_Grunddaten!M257&lt;&gt;""),IF(Programme_Grunddaten!M257="Ja",1,0),"")</f>
        <v/>
      </c>
      <c r="G252" s="1" t="str">
        <f>IF(AND(Programme_Grunddaten!$A257="Geprüft",Programme_Grunddaten!N257&lt;&gt;""),IF(Programme_Grunddaten!N257="Ja",1,0),"")</f>
        <v/>
      </c>
      <c r="H252" s="1" t="str">
        <f>IF(AND(Programme_Grunddaten!$A257="Geprüft",Programme_Grunddaten!O257&lt;&gt;""),IF(Programme_Grunddaten!O257="Deutschland",0,IF(Programme_Grunddaten!O257="EU",1,2)),"")</f>
        <v/>
      </c>
      <c r="I252" s="1" t="str">
        <f>IF(AND(Programme_Grunddaten!$A257="Geprüft",Programme_Grunddaten!P257&lt;&gt;""),IF(Programme_Grunddaten!P257="Ja",1,0),"")</f>
        <v/>
      </c>
      <c r="J252" s="1" t="str">
        <f>IF(AND(Programme_Grunddaten!$A257="Geprüft",Programme_Grunddaten!Q257&lt;&gt;""),IF(Programme_Grunddaten!Q257="geschlossenes System",1,0),"")</f>
        <v/>
      </c>
      <c r="K252" s="1" t="str">
        <f>IF(AND(Programme_Grunddaten!$A257="Geprüft",Programme_Grunddaten!R257&lt;&gt;""),IF(Programme_Grunddaten!R257="Ja",1,0),"")</f>
        <v/>
      </c>
      <c r="L252" s="1" t="str">
        <f>IF(AND(Programme_Grunddaten!$A257="Geprüft",Programme_Grunddaten!T257&lt;&gt;""),IF(Programme_Grunddaten!T257="Ja",1,0),"")</f>
        <v/>
      </c>
      <c r="M252" s="1" t="str">
        <f>IF(AND(Programme_Grunddaten!$A257="Geprüft",Programme_Grunddaten!U257&lt;&gt;""),IF(Programme_Grunddaten!U257="Ja",1,0),"")</f>
        <v/>
      </c>
      <c r="N252" s="1" t="str">
        <f>IF(AND(Programme_Grunddaten!$A257="Geprüft",Programme_Grunddaten!V257&lt;&gt;""),IF(Programme_Grunddaten!V257="Ja",1,0),"")</f>
        <v/>
      </c>
      <c r="O252" s="1" t="str">
        <f>IF(AND(Programme_Grunddaten!$A257="Geprüft",Programme_Grunddaten!W257&lt;&gt;""),IF(Programme_Grunddaten!W257="Ja",1,0),"")</f>
        <v/>
      </c>
      <c r="P252" s="1" t="str">
        <f>IF(AND(Programme_Grunddaten!$A257="Geprüft",Programme_Grunddaten!X257&lt;&gt;""),IF(Programme_Grunddaten!X257="Ja",1,0),"")</f>
        <v/>
      </c>
      <c r="Q252" s="1" t="str">
        <f>IF(AND(Programme_Grunddaten!$A257="Geprüft",Programme_Grunddaten!Y257&lt;&gt;""),IF(Programme_Grunddaten!Y257="Ja",1,0),"")</f>
        <v/>
      </c>
      <c r="R252" s="1" t="str">
        <f>IF(AND(Programme_Grunddaten!$A257="Geprüft",Programme_Grunddaten!Z257&lt;&gt;""),IF(Programme_Grunddaten!Z257="Ja",1,0),"")</f>
        <v/>
      </c>
      <c r="S252" s="1" t="str">
        <f>IF(AND(Programme_Grunddaten!$A257="Geprüft",Programme_Grunddaten!AA257&lt;&gt;""),IF(Programme_Grunddaten!AA257="monolithisch",1,0),"")</f>
        <v/>
      </c>
      <c r="T252" s="1" t="str">
        <f>IF(AND(Programme_Grunddaten!$A257="Geprüft",Programme_Grunddaten!AB257&lt;&gt;""),IF(Programme_Grunddaten!AB257="Ja",1,0),"")</f>
        <v/>
      </c>
      <c r="U252" s="1" t="str">
        <f>IF(AND(Programme_Grunddaten!$A257="Geprüft",Programme_Grunddaten!AC257&lt;&gt;""),IF(Programme_Grunddaten!AC257="Ja",1,0),"")</f>
        <v/>
      </c>
      <c r="V252" s="1" t="str">
        <f>IF(AND(Programme_Grunddaten!$A257="Geprüft",Programme_Grunddaten!AD257&lt;&gt;""),IF(Programme_Grunddaten!AD257="Ja",1,0),"")</f>
        <v/>
      </c>
      <c r="W252" s="1" t="str">
        <f>IF(AND(Programme_Grunddaten!$A257="Geprüft",Programme_Grunddaten!AE257&lt;&gt;""),IF(Programme_Grunddaten!AE257="Ja",1,0),"")</f>
        <v/>
      </c>
      <c r="X252" s="1" t="str">
        <f>IF(AND(Programme_Grunddaten!$A257="Geprüft",Programme_Grunddaten!AF257&lt;&gt;""),IF(Programme_Grunddaten!AF257="Ja",1,0),"")</f>
        <v/>
      </c>
      <c r="Y252" s="1" t="str">
        <f>IF(AND(Programme_Grunddaten!$A257="Geprüft",Programme_Grunddaten!AG257&lt;&gt;""),IF(Programme_Grunddaten!AG257="Ja",1,0),"")</f>
        <v/>
      </c>
      <c r="Z252" s="1" t="str">
        <f>IF(AND(Programme_Grunddaten!$A257="Geprüft",Programme_Grunddaten!AH257&lt;&gt;""),IF(Programme_Grunddaten!AH257="Ja",1,0),"")</f>
        <v/>
      </c>
      <c r="AA252" s="1" t="str">
        <f>IF(AND(Programme_Grunddaten!$A257="Geprüft",Programme_Grunddaten!AI257&lt;&gt;""),IF(Programme_Grunddaten!AI257="Ja",1,0),"")</f>
        <v/>
      </c>
      <c r="AB252" s="1" t="str">
        <f>IF(AND(Programme_Grunddaten!$A257="Geprüft",Programme_Grunddaten!AJ257&lt;&gt;""),IF(Programme_Grunddaten!AJ257="individuell programmierbar",1,0),"")</f>
        <v/>
      </c>
      <c r="AC252" s="1" t="str">
        <f>IF(AND(Programme_Grunddaten!$A257="Geprüft",Programme_Grunddaten!AK257&lt;&gt;""),IF(Programme_Grunddaten!AK257="Deutsch",0,IF(Programme_Grunddaten!AK257="Deutsch und Englisch",1,2)),"")</f>
        <v/>
      </c>
      <c r="AD252" s="1" t="str">
        <f>IF(AND(Programme_Grunddaten!$A257="Geprüft",Programme_Grunddaten!AL257&lt;&gt;""),IF(Programme_Grunddaten!AL257="Ja",1,0),"")</f>
        <v/>
      </c>
      <c r="AE252" s="1" t="str">
        <f>IF(AND(Programme_Grunddaten!$A257="Geprüft",Programme_Grunddaten!AM257&lt;&gt;""),IF(Programme_Grunddaten!AM257="Ja",1,0),"")</f>
        <v/>
      </c>
      <c r="AF252" s="1" t="str">
        <f>IF(AND(Programme_Grunddaten!$A257="Geprüft",Programme_Grunddaten!AN257&lt;&gt;""),IF(Programme_Grunddaten!AN257="Ja",1,0),"")</f>
        <v/>
      </c>
      <c r="AG252" s="1" t="str">
        <f>IF(AND(Programme_Grunddaten!$A257="Geprüft",Programme_Grunddaten!AO257&lt;&gt;""),IF(Programme_Grunddaten!AO257="Ja",1,0),"")</f>
        <v/>
      </c>
      <c r="AH252" s="1" t="str">
        <f>IF(AND(Programme_Grunddaten!$A257="Geprüft",Programme_Grunddaten!AP257&lt;&gt;""),IF(Programme_Grunddaten!AP257="Ja",1,0),"")</f>
        <v/>
      </c>
      <c r="AI252" s="1" t="str">
        <f>IF(AND(Programme_Grunddaten!$A257="Geprüft",Programme_Grunddaten!AQ257&lt;&gt;""),IF(Programme_Grunddaten!AQ257="Ja",1,0),"")</f>
        <v/>
      </c>
      <c r="AJ252" s="1" t="str">
        <f>IF(AND(Programme_Grunddaten!$A257="Geprüft",Programme_Grunddaten!AR257&lt;&gt;""),IF(Programme_Grunddaten!AR257="Ja",1,0),"")</f>
        <v/>
      </c>
      <c r="AK252" s="1" t="str">
        <f>IF(AND(Programme_Grunddaten!$A257="Geprüft",Programme_Grunddaten!AS257&lt;&gt;""),IF(Programme_Grunddaten!AS257="Ja",1,0),"")</f>
        <v/>
      </c>
      <c r="AL252" s="1" t="str">
        <f>IF(AND(Programme_Grunddaten!$A257="Geprüft",Programme_Grunddaten!AT257&lt;&gt;""),IF(Programme_Grunddaten!AT257="Ja",1,0),"")</f>
        <v/>
      </c>
      <c r="AM252" s="1" t="str">
        <f>IF(AND(Programme_Grunddaten!$A257="Geprüft",Programme_Grunddaten!AU257&lt;&gt;""),IF(Programme_Grunddaten!AU257="Ja",1,0),"")</f>
        <v/>
      </c>
      <c r="AN252" s="1" t="str">
        <f>IF(AND(Programme_Grunddaten!$A257="Geprüft",Programme_Grunddaten!AV257&lt;&gt;""),IF(Programme_Grunddaten!AV257="Ja",1,0),"")</f>
        <v/>
      </c>
    </row>
    <row r="253" spans="1:40" x14ac:dyDescent="0.3">
      <c r="A253" s="1" t="str">
        <f>IF(AND(Programme_Grunddaten!A258="Geprüft",Programme_Grunddaten!B258&lt;&gt;""),Programme_Grunddaten!B258,"")</f>
        <v/>
      </c>
      <c r="B253" s="1" t="str">
        <f>IF(AND(Programme_Grunddaten!$A258="Geprüft",Programme_Grunddaten!I258&lt;&gt;""),IF(Programme_Grunddaten!I258="Ja",1,0),"")</f>
        <v/>
      </c>
      <c r="C253" s="1" t="str">
        <f>IF(AND(Programme_Grunddaten!$A258="Geprüft",Programme_Grunddaten!J258&lt;&gt;""),IF(Programme_Grunddaten!J258="Ja",1,0),"")</f>
        <v/>
      </c>
      <c r="D253" s="1" t="str">
        <f>IF(AND(Programme_Grunddaten!$A258="Geprüft",Programme_Grunddaten!K258&lt;&gt;""),IF(Programme_Grunddaten!K258="Ja",1,0),"")</f>
        <v/>
      </c>
      <c r="E253" s="1" t="str">
        <f>IF(AND(Programme_Grunddaten!$A258="Geprüft",Programme_Grunddaten!L258&lt;&gt;""),IF(Programme_Grunddaten!L258="Abo / befristete Lizenz",1,0),"")</f>
        <v/>
      </c>
      <c r="F253" s="1" t="str">
        <f>IF(AND(Programme_Grunddaten!$A258="Geprüft",Programme_Grunddaten!M258&lt;&gt;""),IF(Programme_Grunddaten!M258="Ja",1,0),"")</f>
        <v/>
      </c>
      <c r="G253" s="1" t="str">
        <f>IF(AND(Programme_Grunddaten!$A258="Geprüft",Programme_Grunddaten!N258&lt;&gt;""),IF(Programme_Grunddaten!N258="Ja",1,0),"")</f>
        <v/>
      </c>
      <c r="H253" s="1" t="str">
        <f>IF(AND(Programme_Grunddaten!$A258="Geprüft",Programme_Grunddaten!O258&lt;&gt;""),IF(Programme_Grunddaten!O258="Deutschland",0,IF(Programme_Grunddaten!O258="EU",1,2)),"")</f>
        <v/>
      </c>
      <c r="I253" s="1" t="str">
        <f>IF(AND(Programme_Grunddaten!$A258="Geprüft",Programme_Grunddaten!P258&lt;&gt;""),IF(Programme_Grunddaten!P258="Ja",1,0),"")</f>
        <v/>
      </c>
      <c r="J253" s="1" t="str">
        <f>IF(AND(Programme_Grunddaten!$A258="Geprüft",Programme_Grunddaten!Q258&lt;&gt;""),IF(Programme_Grunddaten!Q258="geschlossenes System",1,0),"")</f>
        <v/>
      </c>
      <c r="K253" s="1" t="str">
        <f>IF(AND(Programme_Grunddaten!$A258="Geprüft",Programme_Grunddaten!R258&lt;&gt;""),IF(Programme_Grunddaten!R258="Ja",1,0),"")</f>
        <v/>
      </c>
      <c r="L253" s="1" t="str">
        <f>IF(AND(Programme_Grunddaten!$A258="Geprüft",Programme_Grunddaten!T258&lt;&gt;""),IF(Programme_Grunddaten!T258="Ja",1,0),"")</f>
        <v/>
      </c>
      <c r="M253" s="1" t="str">
        <f>IF(AND(Programme_Grunddaten!$A258="Geprüft",Programme_Grunddaten!U258&lt;&gt;""),IF(Programme_Grunddaten!U258="Ja",1,0),"")</f>
        <v/>
      </c>
      <c r="N253" s="1" t="str">
        <f>IF(AND(Programme_Grunddaten!$A258="Geprüft",Programme_Grunddaten!V258&lt;&gt;""),IF(Programme_Grunddaten!V258="Ja",1,0),"")</f>
        <v/>
      </c>
      <c r="O253" s="1" t="str">
        <f>IF(AND(Programme_Grunddaten!$A258="Geprüft",Programme_Grunddaten!W258&lt;&gt;""),IF(Programme_Grunddaten!W258="Ja",1,0),"")</f>
        <v/>
      </c>
      <c r="P253" s="1" t="str">
        <f>IF(AND(Programme_Grunddaten!$A258="Geprüft",Programme_Grunddaten!X258&lt;&gt;""),IF(Programme_Grunddaten!X258="Ja",1,0),"")</f>
        <v/>
      </c>
      <c r="Q253" s="1" t="str">
        <f>IF(AND(Programme_Grunddaten!$A258="Geprüft",Programme_Grunddaten!Y258&lt;&gt;""),IF(Programme_Grunddaten!Y258="Ja",1,0),"")</f>
        <v/>
      </c>
      <c r="R253" s="1" t="str">
        <f>IF(AND(Programme_Grunddaten!$A258="Geprüft",Programme_Grunddaten!Z258&lt;&gt;""),IF(Programme_Grunddaten!Z258="Ja",1,0),"")</f>
        <v/>
      </c>
      <c r="S253" s="1" t="str">
        <f>IF(AND(Programme_Grunddaten!$A258="Geprüft",Programme_Grunddaten!AA258&lt;&gt;""),IF(Programme_Grunddaten!AA258="monolithisch",1,0),"")</f>
        <v/>
      </c>
      <c r="T253" s="1" t="str">
        <f>IF(AND(Programme_Grunddaten!$A258="Geprüft",Programme_Grunddaten!AB258&lt;&gt;""),IF(Programme_Grunddaten!AB258="Ja",1,0),"")</f>
        <v/>
      </c>
      <c r="U253" s="1" t="str">
        <f>IF(AND(Programme_Grunddaten!$A258="Geprüft",Programme_Grunddaten!AC258&lt;&gt;""),IF(Programme_Grunddaten!AC258="Ja",1,0),"")</f>
        <v/>
      </c>
      <c r="V253" s="1" t="str">
        <f>IF(AND(Programme_Grunddaten!$A258="Geprüft",Programme_Grunddaten!AD258&lt;&gt;""),IF(Programme_Grunddaten!AD258="Ja",1,0),"")</f>
        <v/>
      </c>
      <c r="W253" s="1" t="str">
        <f>IF(AND(Programme_Grunddaten!$A258="Geprüft",Programme_Grunddaten!AE258&lt;&gt;""),IF(Programme_Grunddaten!AE258="Ja",1,0),"")</f>
        <v/>
      </c>
      <c r="X253" s="1" t="str">
        <f>IF(AND(Programme_Grunddaten!$A258="Geprüft",Programme_Grunddaten!AF258&lt;&gt;""),IF(Programme_Grunddaten!AF258="Ja",1,0),"")</f>
        <v/>
      </c>
      <c r="Y253" s="1" t="str">
        <f>IF(AND(Programme_Grunddaten!$A258="Geprüft",Programme_Grunddaten!AG258&lt;&gt;""),IF(Programme_Grunddaten!AG258="Ja",1,0),"")</f>
        <v/>
      </c>
      <c r="Z253" s="1" t="str">
        <f>IF(AND(Programme_Grunddaten!$A258="Geprüft",Programme_Grunddaten!AH258&lt;&gt;""),IF(Programme_Grunddaten!AH258="Ja",1,0),"")</f>
        <v/>
      </c>
      <c r="AA253" s="1" t="str">
        <f>IF(AND(Programme_Grunddaten!$A258="Geprüft",Programme_Grunddaten!AI258&lt;&gt;""),IF(Programme_Grunddaten!AI258="Ja",1,0),"")</f>
        <v/>
      </c>
      <c r="AB253" s="1" t="str">
        <f>IF(AND(Programme_Grunddaten!$A258="Geprüft",Programme_Grunddaten!AJ258&lt;&gt;""),IF(Programme_Grunddaten!AJ258="individuell programmierbar",1,0),"")</f>
        <v/>
      </c>
      <c r="AC253" s="1" t="str">
        <f>IF(AND(Programme_Grunddaten!$A258="Geprüft",Programme_Grunddaten!AK258&lt;&gt;""),IF(Programme_Grunddaten!AK258="Deutsch",0,IF(Programme_Grunddaten!AK258="Deutsch und Englisch",1,2)),"")</f>
        <v/>
      </c>
      <c r="AD253" s="1" t="str">
        <f>IF(AND(Programme_Grunddaten!$A258="Geprüft",Programme_Grunddaten!AL258&lt;&gt;""),IF(Programme_Grunddaten!AL258="Ja",1,0),"")</f>
        <v/>
      </c>
      <c r="AE253" s="1" t="str">
        <f>IF(AND(Programme_Grunddaten!$A258="Geprüft",Programme_Grunddaten!AM258&lt;&gt;""),IF(Programme_Grunddaten!AM258="Ja",1,0),"")</f>
        <v/>
      </c>
      <c r="AF253" s="1" t="str">
        <f>IF(AND(Programme_Grunddaten!$A258="Geprüft",Programme_Grunddaten!AN258&lt;&gt;""),IF(Programme_Grunddaten!AN258="Ja",1,0),"")</f>
        <v/>
      </c>
      <c r="AG253" s="1" t="str">
        <f>IF(AND(Programme_Grunddaten!$A258="Geprüft",Programme_Grunddaten!AO258&lt;&gt;""),IF(Programme_Grunddaten!AO258="Ja",1,0),"")</f>
        <v/>
      </c>
      <c r="AH253" s="1" t="str">
        <f>IF(AND(Programme_Grunddaten!$A258="Geprüft",Programme_Grunddaten!AP258&lt;&gt;""),IF(Programme_Grunddaten!AP258="Ja",1,0),"")</f>
        <v/>
      </c>
      <c r="AI253" s="1" t="str">
        <f>IF(AND(Programme_Grunddaten!$A258="Geprüft",Programme_Grunddaten!AQ258&lt;&gt;""),IF(Programme_Grunddaten!AQ258="Ja",1,0),"")</f>
        <v/>
      </c>
      <c r="AJ253" s="1" t="str">
        <f>IF(AND(Programme_Grunddaten!$A258="Geprüft",Programme_Grunddaten!AR258&lt;&gt;""),IF(Programme_Grunddaten!AR258="Ja",1,0),"")</f>
        <v/>
      </c>
      <c r="AK253" s="1" t="str">
        <f>IF(AND(Programme_Grunddaten!$A258="Geprüft",Programme_Grunddaten!AS258&lt;&gt;""),IF(Programme_Grunddaten!AS258="Ja",1,0),"")</f>
        <v/>
      </c>
      <c r="AL253" s="1" t="str">
        <f>IF(AND(Programme_Grunddaten!$A258="Geprüft",Programme_Grunddaten!AT258&lt;&gt;""),IF(Programme_Grunddaten!AT258="Ja",1,0),"")</f>
        <v/>
      </c>
      <c r="AM253" s="1" t="str">
        <f>IF(AND(Programme_Grunddaten!$A258="Geprüft",Programme_Grunddaten!AU258&lt;&gt;""),IF(Programme_Grunddaten!AU258="Ja",1,0),"")</f>
        <v/>
      </c>
      <c r="AN253" s="1" t="str">
        <f>IF(AND(Programme_Grunddaten!$A258="Geprüft",Programme_Grunddaten!AV258&lt;&gt;""),IF(Programme_Grunddaten!AV258="Ja",1,0),"")</f>
        <v/>
      </c>
    </row>
    <row r="254" spans="1:40" x14ac:dyDescent="0.3">
      <c r="A254" s="1" t="str">
        <f>IF(AND(Programme_Grunddaten!A259="Geprüft",Programme_Grunddaten!B259&lt;&gt;""),Programme_Grunddaten!B259,"")</f>
        <v/>
      </c>
      <c r="B254" s="1" t="str">
        <f>IF(AND(Programme_Grunddaten!$A259="Geprüft",Programme_Grunddaten!I259&lt;&gt;""),IF(Programme_Grunddaten!I259="Ja",1,0),"")</f>
        <v/>
      </c>
      <c r="C254" s="1" t="str">
        <f>IF(AND(Programme_Grunddaten!$A259="Geprüft",Programme_Grunddaten!J259&lt;&gt;""),IF(Programme_Grunddaten!J259="Ja",1,0),"")</f>
        <v/>
      </c>
      <c r="D254" s="1" t="str">
        <f>IF(AND(Programme_Grunddaten!$A259="Geprüft",Programme_Grunddaten!K259&lt;&gt;""),IF(Programme_Grunddaten!K259="Ja",1,0),"")</f>
        <v/>
      </c>
      <c r="E254" s="1" t="str">
        <f>IF(AND(Programme_Grunddaten!$A259="Geprüft",Programme_Grunddaten!L259&lt;&gt;""),IF(Programme_Grunddaten!L259="Abo / befristete Lizenz",1,0),"")</f>
        <v/>
      </c>
      <c r="F254" s="1" t="str">
        <f>IF(AND(Programme_Grunddaten!$A259="Geprüft",Programme_Grunddaten!M259&lt;&gt;""),IF(Programme_Grunddaten!M259="Ja",1,0),"")</f>
        <v/>
      </c>
      <c r="G254" s="1" t="str">
        <f>IF(AND(Programme_Grunddaten!$A259="Geprüft",Programme_Grunddaten!N259&lt;&gt;""),IF(Programme_Grunddaten!N259="Ja",1,0),"")</f>
        <v/>
      </c>
      <c r="H254" s="1" t="str">
        <f>IF(AND(Programme_Grunddaten!$A259="Geprüft",Programme_Grunddaten!O259&lt;&gt;""),IF(Programme_Grunddaten!O259="Deutschland",0,IF(Programme_Grunddaten!O259="EU",1,2)),"")</f>
        <v/>
      </c>
      <c r="I254" s="1" t="str">
        <f>IF(AND(Programme_Grunddaten!$A259="Geprüft",Programme_Grunddaten!P259&lt;&gt;""),IF(Programme_Grunddaten!P259="Ja",1,0),"")</f>
        <v/>
      </c>
      <c r="J254" s="1" t="str">
        <f>IF(AND(Programme_Grunddaten!$A259="Geprüft",Programme_Grunddaten!Q259&lt;&gt;""),IF(Programme_Grunddaten!Q259="geschlossenes System",1,0),"")</f>
        <v/>
      </c>
      <c r="K254" s="1" t="str">
        <f>IF(AND(Programme_Grunddaten!$A259="Geprüft",Programme_Grunddaten!R259&lt;&gt;""),IF(Programme_Grunddaten!R259="Ja",1,0),"")</f>
        <v/>
      </c>
      <c r="L254" s="1" t="str">
        <f>IF(AND(Programme_Grunddaten!$A259="Geprüft",Programme_Grunddaten!T259&lt;&gt;""),IF(Programme_Grunddaten!T259="Ja",1,0),"")</f>
        <v/>
      </c>
      <c r="M254" s="1" t="str">
        <f>IF(AND(Programme_Grunddaten!$A259="Geprüft",Programme_Grunddaten!U259&lt;&gt;""),IF(Programme_Grunddaten!U259="Ja",1,0),"")</f>
        <v/>
      </c>
      <c r="N254" s="1" t="str">
        <f>IF(AND(Programme_Grunddaten!$A259="Geprüft",Programme_Grunddaten!V259&lt;&gt;""),IF(Programme_Grunddaten!V259="Ja",1,0),"")</f>
        <v/>
      </c>
      <c r="O254" s="1" t="str">
        <f>IF(AND(Programme_Grunddaten!$A259="Geprüft",Programme_Grunddaten!W259&lt;&gt;""),IF(Programme_Grunddaten!W259="Ja",1,0),"")</f>
        <v/>
      </c>
      <c r="P254" s="1" t="str">
        <f>IF(AND(Programme_Grunddaten!$A259="Geprüft",Programme_Grunddaten!X259&lt;&gt;""),IF(Programme_Grunddaten!X259="Ja",1,0),"")</f>
        <v/>
      </c>
      <c r="Q254" s="1" t="str">
        <f>IF(AND(Programme_Grunddaten!$A259="Geprüft",Programme_Grunddaten!Y259&lt;&gt;""),IF(Programme_Grunddaten!Y259="Ja",1,0),"")</f>
        <v/>
      </c>
      <c r="R254" s="1" t="str">
        <f>IF(AND(Programme_Grunddaten!$A259="Geprüft",Programme_Grunddaten!Z259&lt;&gt;""),IF(Programme_Grunddaten!Z259="Ja",1,0),"")</f>
        <v/>
      </c>
      <c r="S254" s="1" t="str">
        <f>IF(AND(Programme_Grunddaten!$A259="Geprüft",Programme_Grunddaten!AA259&lt;&gt;""),IF(Programme_Grunddaten!AA259="monolithisch",1,0),"")</f>
        <v/>
      </c>
      <c r="T254" s="1" t="str">
        <f>IF(AND(Programme_Grunddaten!$A259="Geprüft",Programme_Grunddaten!AB259&lt;&gt;""),IF(Programme_Grunddaten!AB259="Ja",1,0),"")</f>
        <v/>
      </c>
      <c r="U254" s="1" t="str">
        <f>IF(AND(Programme_Grunddaten!$A259="Geprüft",Programme_Grunddaten!AC259&lt;&gt;""),IF(Programme_Grunddaten!AC259="Ja",1,0),"")</f>
        <v/>
      </c>
      <c r="V254" s="1" t="str">
        <f>IF(AND(Programme_Grunddaten!$A259="Geprüft",Programme_Grunddaten!AD259&lt;&gt;""),IF(Programme_Grunddaten!AD259="Ja",1,0),"")</f>
        <v/>
      </c>
      <c r="W254" s="1" t="str">
        <f>IF(AND(Programme_Grunddaten!$A259="Geprüft",Programme_Grunddaten!AE259&lt;&gt;""),IF(Programme_Grunddaten!AE259="Ja",1,0),"")</f>
        <v/>
      </c>
      <c r="X254" s="1" t="str">
        <f>IF(AND(Programme_Grunddaten!$A259="Geprüft",Programme_Grunddaten!AF259&lt;&gt;""),IF(Programme_Grunddaten!AF259="Ja",1,0),"")</f>
        <v/>
      </c>
      <c r="Y254" s="1" t="str">
        <f>IF(AND(Programme_Grunddaten!$A259="Geprüft",Programme_Grunddaten!AG259&lt;&gt;""),IF(Programme_Grunddaten!AG259="Ja",1,0),"")</f>
        <v/>
      </c>
      <c r="Z254" s="1" t="str">
        <f>IF(AND(Programme_Grunddaten!$A259="Geprüft",Programme_Grunddaten!AH259&lt;&gt;""),IF(Programme_Grunddaten!AH259="Ja",1,0),"")</f>
        <v/>
      </c>
      <c r="AA254" s="1" t="str">
        <f>IF(AND(Programme_Grunddaten!$A259="Geprüft",Programme_Grunddaten!AI259&lt;&gt;""),IF(Programme_Grunddaten!AI259="Ja",1,0),"")</f>
        <v/>
      </c>
      <c r="AB254" s="1" t="str">
        <f>IF(AND(Programme_Grunddaten!$A259="Geprüft",Programme_Grunddaten!AJ259&lt;&gt;""),IF(Programme_Grunddaten!AJ259="individuell programmierbar",1,0),"")</f>
        <v/>
      </c>
      <c r="AC254" s="1" t="str">
        <f>IF(AND(Programme_Grunddaten!$A259="Geprüft",Programme_Grunddaten!AK259&lt;&gt;""),IF(Programme_Grunddaten!AK259="Deutsch",0,IF(Programme_Grunddaten!AK259="Deutsch und Englisch",1,2)),"")</f>
        <v/>
      </c>
      <c r="AD254" s="1" t="str">
        <f>IF(AND(Programme_Grunddaten!$A259="Geprüft",Programme_Grunddaten!AL259&lt;&gt;""),IF(Programme_Grunddaten!AL259="Ja",1,0),"")</f>
        <v/>
      </c>
      <c r="AE254" s="1" t="str">
        <f>IF(AND(Programme_Grunddaten!$A259="Geprüft",Programme_Grunddaten!AM259&lt;&gt;""),IF(Programme_Grunddaten!AM259="Ja",1,0),"")</f>
        <v/>
      </c>
      <c r="AF254" s="1" t="str">
        <f>IF(AND(Programme_Grunddaten!$A259="Geprüft",Programme_Grunddaten!AN259&lt;&gt;""),IF(Programme_Grunddaten!AN259="Ja",1,0),"")</f>
        <v/>
      </c>
      <c r="AG254" s="1" t="str">
        <f>IF(AND(Programme_Grunddaten!$A259="Geprüft",Programme_Grunddaten!AO259&lt;&gt;""),IF(Programme_Grunddaten!AO259="Ja",1,0),"")</f>
        <v/>
      </c>
      <c r="AH254" s="1" t="str">
        <f>IF(AND(Programme_Grunddaten!$A259="Geprüft",Programme_Grunddaten!AP259&lt;&gt;""),IF(Programme_Grunddaten!AP259="Ja",1,0),"")</f>
        <v/>
      </c>
      <c r="AI254" s="1" t="str">
        <f>IF(AND(Programme_Grunddaten!$A259="Geprüft",Programme_Grunddaten!AQ259&lt;&gt;""),IF(Programme_Grunddaten!AQ259="Ja",1,0),"")</f>
        <v/>
      </c>
      <c r="AJ254" s="1" t="str">
        <f>IF(AND(Programme_Grunddaten!$A259="Geprüft",Programme_Grunddaten!AR259&lt;&gt;""),IF(Programme_Grunddaten!AR259="Ja",1,0),"")</f>
        <v/>
      </c>
      <c r="AK254" s="1" t="str">
        <f>IF(AND(Programme_Grunddaten!$A259="Geprüft",Programme_Grunddaten!AS259&lt;&gt;""),IF(Programme_Grunddaten!AS259="Ja",1,0),"")</f>
        <v/>
      </c>
      <c r="AL254" s="1" t="str">
        <f>IF(AND(Programme_Grunddaten!$A259="Geprüft",Programme_Grunddaten!AT259&lt;&gt;""),IF(Programme_Grunddaten!AT259="Ja",1,0),"")</f>
        <v/>
      </c>
      <c r="AM254" s="1" t="str">
        <f>IF(AND(Programme_Grunddaten!$A259="Geprüft",Programme_Grunddaten!AU259&lt;&gt;""),IF(Programme_Grunddaten!AU259="Ja",1,0),"")</f>
        <v/>
      </c>
      <c r="AN254" s="1" t="str">
        <f>IF(AND(Programme_Grunddaten!$A259="Geprüft",Programme_Grunddaten!AV259&lt;&gt;""),IF(Programme_Grunddaten!AV259="Ja",1,0),"")</f>
        <v/>
      </c>
    </row>
    <row r="255" spans="1:40" x14ac:dyDescent="0.3">
      <c r="A255" s="1" t="str">
        <f>IF(AND(Programme_Grunddaten!A260="Geprüft",Programme_Grunddaten!B260&lt;&gt;""),Programme_Grunddaten!B260,"")</f>
        <v/>
      </c>
      <c r="B255" s="1" t="str">
        <f>IF(AND(Programme_Grunddaten!$A260="Geprüft",Programme_Grunddaten!I260&lt;&gt;""),IF(Programme_Grunddaten!I260="Ja",1,0),"")</f>
        <v/>
      </c>
      <c r="C255" s="1" t="str">
        <f>IF(AND(Programme_Grunddaten!$A260="Geprüft",Programme_Grunddaten!J260&lt;&gt;""),IF(Programme_Grunddaten!J260="Ja",1,0),"")</f>
        <v/>
      </c>
      <c r="D255" s="1" t="str">
        <f>IF(AND(Programme_Grunddaten!$A260="Geprüft",Programme_Grunddaten!K260&lt;&gt;""),IF(Programme_Grunddaten!K260="Ja",1,0),"")</f>
        <v/>
      </c>
      <c r="E255" s="1" t="str">
        <f>IF(AND(Programme_Grunddaten!$A260="Geprüft",Programme_Grunddaten!L260&lt;&gt;""),IF(Programme_Grunddaten!L260="Abo / befristete Lizenz",1,0),"")</f>
        <v/>
      </c>
      <c r="F255" s="1" t="str">
        <f>IF(AND(Programme_Grunddaten!$A260="Geprüft",Programme_Grunddaten!M260&lt;&gt;""),IF(Programme_Grunddaten!M260="Ja",1,0),"")</f>
        <v/>
      </c>
      <c r="G255" s="1" t="str">
        <f>IF(AND(Programme_Grunddaten!$A260="Geprüft",Programme_Grunddaten!N260&lt;&gt;""),IF(Programme_Grunddaten!N260="Ja",1,0),"")</f>
        <v/>
      </c>
      <c r="H255" s="1" t="str">
        <f>IF(AND(Programme_Grunddaten!$A260="Geprüft",Programme_Grunddaten!O260&lt;&gt;""),IF(Programme_Grunddaten!O260="Deutschland",0,IF(Programme_Grunddaten!O260="EU",1,2)),"")</f>
        <v/>
      </c>
      <c r="I255" s="1" t="str">
        <f>IF(AND(Programme_Grunddaten!$A260="Geprüft",Programme_Grunddaten!P260&lt;&gt;""),IF(Programme_Grunddaten!P260="Ja",1,0),"")</f>
        <v/>
      </c>
      <c r="J255" s="1" t="str">
        <f>IF(AND(Programme_Grunddaten!$A260="Geprüft",Programme_Grunddaten!Q260&lt;&gt;""),IF(Programme_Grunddaten!Q260="geschlossenes System",1,0),"")</f>
        <v/>
      </c>
      <c r="K255" s="1" t="str">
        <f>IF(AND(Programme_Grunddaten!$A260="Geprüft",Programme_Grunddaten!R260&lt;&gt;""),IF(Programme_Grunddaten!R260="Ja",1,0),"")</f>
        <v/>
      </c>
      <c r="L255" s="1" t="str">
        <f>IF(AND(Programme_Grunddaten!$A260="Geprüft",Programme_Grunddaten!T260&lt;&gt;""),IF(Programme_Grunddaten!T260="Ja",1,0),"")</f>
        <v/>
      </c>
      <c r="M255" s="1" t="str">
        <f>IF(AND(Programme_Grunddaten!$A260="Geprüft",Programme_Grunddaten!U260&lt;&gt;""),IF(Programme_Grunddaten!U260="Ja",1,0),"")</f>
        <v/>
      </c>
      <c r="N255" s="1" t="str">
        <f>IF(AND(Programme_Grunddaten!$A260="Geprüft",Programme_Grunddaten!V260&lt;&gt;""),IF(Programme_Grunddaten!V260="Ja",1,0),"")</f>
        <v/>
      </c>
      <c r="O255" s="1" t="str">
        <f>IF(AND(Programme_Grunddaten!$A260="Geprüft",Programme_Grunddaten!W260&lt;&gt;""),IF(Programme_Grunddaten!W260="Ja",1,0),"")</f>
        <v/>
      </c>
      <c r="P255" s="1" t="str">
        <f>IF(AND(Programme_Grunddaten!$A260="Geprüft",Programme_Grunddaten!X260&lt;&gt;""),IF(Programme_Grunddaten!X260="Ja",1,0),"")</f>
        <v/>
      </c>
      <c r="Q255" s="1" t="str">
        <f>IF(AND(Programme_Grunddaten!$A260="Geprüft",Programme_Grunddaten!Y260&lt;&gt;""),IF(Programme_Grunddaten!Y260="Ja",1,0),"")</f>
        <v/>
      </c>
      <c r="R255" s="1" t="str">
        <f>IF(AND(Programme_Grunddaten!$A260="Geprüft",Programme_Grunddaten!Z260&lt;&gt;""),IF(Programme_Grunddaten!Z260="Ja",1,0),"")</f>
        <v/>
      </c>
      <c r="S255" s="1" t="str">
        <f>IF(AND(Programme_Grunddaten!$A260="Geprüft",Programme_Grunddaten!AA260&lt;&gt;""),IF(Programme_Grunddaten!AA260="monolithisch",1,0),"")</f>
        <v/>
      </c>
      <c r="T255" s="1" t="str">
        <f>IF(AND(Programme_Grunddaten!$A260="Geprüft",Programme_Grunddaten!AB260&lt;&gt;""),IF(Programme_Grunddaten!AB260="Ja",1,0),"")</f>
        <v/>
      </c>
      <c r="U255" s="1" t="str">
        <f>IF(AND(Programme_Grunddaten!$A260="Geprüft",Programme_Grunddaten!AC260&lt;&gt;""),IF(Programme_Grunddaten!AC260="Ja",1,0),"")</f>
        <v/>
      </c>
      <c r="V255" s="1" t="str">
        <f>IF(AND(Programme_Grunddaten!$A260="Geprüft",Programme_Grunddaten!AD260&lt;&gt;""),IF(Programme_Grunddaten!AD260="Ja",1,0),"")</f>
        <v/>
      </c>
      <c r="W255" s="1" t="str">
        <f>IF(AND(Programme_Grunddaten!$A260="Geprüft",Programme_Grunddaten!AE260&lt;&gt;""),IF(Programme_Grunddaten!AE260="Ja",1,0),"")</f>
        <v/>
      </c>
      <c r="X255" s="1" t="str">
        <f>IF(AND(Programme_Grunddaten!$A260="Geprüft",Programme_Grunddaten!AF260&lt;&gt;""),IF(Programme_Grunddaten!AF260="Ja",1,0),"")</f>
        <v/>
      </c>
      <c r="Y255" s="1" t="str">
        <f>IF(AND(Programme_Grunddaten!$A260="Geprüft",Programme_Grunddaten!AG260&lt;&gt;""),IF(Programme_Grunddaten!AG260="Ja",1,0),"")</f>
        <v/>
      </c>
      <c r="Z255" s="1" t="str">
        <f>IF(AND(Programme_Grunddaten!$A260="Geprüft",Programme_Grunddaten!AH260&lt;&gt;""),IF(Programme_Grunddaten!AH260="Ja",1,0),"")</f>
        <v/>
      </c>
      <c r="AA255" s="1" t="str">
        <f>IF(AND(Programme_Grunddaten!$A260="Geprüft",Programme_Grunddaten!AI260&lt;&gt;""),IF(Programme_Grunddaten!AI260="Ja",1,0),"")</f>
        <v/>
      </c>
      <c r="AB255" s="1" t="str">
        <f>IF(AND(Programme_Grunddaten!$A260="Geprüft",Programme_Grunddaten!AJ260&lt;&gt;""),IF(Programme_Grunddaten!AJ260="individuell programmierbar",1,0),"")</f>
        <v/>
      </c>
      <c r="AC255" s="1" t="str">
        <f>IF(AND(Programme_Grunddaten!$A260="Geprüft",Programme_Grunddaten!AK260&lt;&gt;""),IF(Programme_Grunddaten!AK260="Deutsch",0,IF(Programme_Grunddaten!AK260="Deutsch und Englisch",1,2)),"")</f>
        <v/>
      </c>
      <c r="AD255" s="1" t="str">
        <f>IF(AND(Programme_Grunddaten!$A260="Geprüft",Programme_Grunddaten!AL260&lt;&gt;""),IF(Programme_Grunddaten!AL260="Ja",1,0),"")</f>
        <v/>
      </c>
      <c r="AE255" s="1" t="str">
        <f>IF(AND(Programme_Grunddaten!$A260="Geprüft",Programme_Grunddaten!AM260&lt;&gt;""),IF(Programme_Grunddaten!AM260="Ja",1,0),"")</f>
        <v/>
      </c>
      <c r="AF255" s="1" t="str">
        <f>IF(AND(Programme_Grunddaten!$A260="Geprüft",Programme_Grunddaten!AN260&lt;&gt;""),IF(Programme_Grunddaten!AN260="Ja",1,0),"")</f>
        <v/>
      </c>
      <c r="AG255" s="1" t="str">
        <f>IF(AND(Programme_Grunddaten!$A260="Geprüft",Programme_Grunddaten!AO260&lt;&gt;""),IF(Programme_Grunddaten!AO260="Ja",1,0),"")</f>
        <v/>
      </c>
      <c r="AH255" s="1" t="str">
        <f>IF(AND(Programme_Grunddaten!$A260="Geprüft",Programme_Grunddaten!AP260&lt;&gt;""),IF(Programme_Grunddaten!AP260="Ja",1,0),"")</f>
        <v/>
      </c>
      <c r="AI255" s="1" t="str">
        <f>IF(AND(Programme_Grunddaten!$A260="Geprüft",Programme_Grunddaten!AQ260&lt;&gt;""),IF(Programme_Grunddaten!AQ260="Ja",1,0),"")</f>
        <v/>
      </c>
      <c r="AJ255" s="1" t="str">
        <f>IF(AND(Programme_Grunddaten!$A260="Geprüft",Programme_Grunddaten!AR260&lt;&gt;""),IF(Programme_Grunddaten!AR260="Ja",1,0),"")</f>
        <v/>
      </c>
      <c r="AK255" s="1" t="str">
        <f>IF(AND(Programme_Grunddaten!$A260="Geprüft",Programme_Grunddaten!AS260&lt;&gt;""),IF(Programme_Grunddaten!AS260="Ja",1,0),"")</f>
        <v/>
      </c>
      <c r="AL255" s="1" t="str">
        <f>IF(AND(Programme_Grunddaten!$A260="Geprüft",Programme_Grunddaten!AT260&lt;&gt;""),IF(Programme_Grunddaten!AT260="Ja",1,0),"")</f>
        <v/>
      </c>
      <c r="AM255" s="1" t="str">
        <f>IF(AND(Programme_Grunddaten!$A260="Geprüft",Programme_Grunddaten!AU260&lt;&gt;""),IF(Programme_Grunddaten!AU260="Ja",1,0),"")</f>
        <v/>
      </c>
      <c r="AN255" s="1" t="str">
        <f>IF(AND(Programme_Grunddaten!$A260="Geprüft",Programme_Grunddaten!AV260&lt;&gt;""),IF(Programme_Grunddaten!AV260="Ja",1,0),"")</f>
        <v/>
      </c>
    </row>
    <row r="256" spans="1:40" x14ac:dyDescent="0.3">
      <c r="A256" s="1" t="str">
        <f>IF(AND(Programme_Grunddaten!A261="Geprüft",Programme_Grunddaten!B261&lt;&gt;""),Programme_Grunddaten!B261,"")</f>
        <v/>
      </c>
      <c r="B256" s="1" t="str">
        <f>IF(AND(Programme_Grunddaten!$A261="Geprüft",Programme_Grunddaten!I261&lt;&gt;""),IF(Programme_Grunddaten!I261="Ja",1,0),"")</f>
        <v/>
      </c>
      <c r="C256" s="1" t="str">
        <f>IF(AND(Programme_Grunddaten!$A261="Geprüft",Programme_Grunddaten!J261&lt;&gt;""),IF(Programme_Grunddaten!J261="Ja",1,0),"")</f>
        <v/>
      </c>
      <c r="D256" s="1" t="str">
        <f>IF(AND(Programme_Grunddaten!$A261="Geprüft",Programme_Grunddaten!K261&lt;&gt;""),IF(Programme_Grunddaten!K261="Ja",1,0),"")</f>
        <v/>
      </c>
      <c r="E256" s="1" t="str">
        <f>IF(AND(Programme_Grunddaten!$A261="Geprüft",Programme_Grunddaten!L261&lt;&gt;""),IF(Programme_Grunddaten!L261="Abo / befristete Lizenz",1,0),"")</f>
        <v/>
      </c>
      <c r="F256" s="1" t="str">
        <f>IF(AND(Programme_Grunddaten!$A261="Geprüft",Programme_Grunddaten!M261&lt;&gt;""),IF(Programme_Grunddaten!M261="Ja",1,0),"")</f>
        <v/>
      </c>
      <c r="G256" s="1" t="str">
        <f>IF(AND(Programme_Grunddaten!$A261="Geprüft",Programme_Grunddaten!N261&lt;&gt;""),IF(Programme_Grunddaten!N261="Ja",1,0),"")</f>
        <v/>
      </c>
      <c r="H256" s="1" t="str">
        <f>IF(AND(Programme_Grunddaten!$A261="Geprüft",Programme_Grunddaten!O261&lt;&gt;""),IF(Programme_Grunddaten!O261="Deutschland",0,IF(Programme_Grunddaten!O261="EU",1,2)),"")</f>
        <v/>
      </c>
      <c r="I256" s="1" t="str">
        <f>IF(AND(Programme_Grunddaten!$A261="Geprüft",Programme_Grunddaten!P261&lt;&gt;""),IF(Programme_Grunddaten!P261="Ja",1,0),"")</f>
        <v/>
      </c>
      <c r="J256" s="1" t="str">
        <f>IF(AND(Programme_Grunddaten!$A261="Geprüft",Programme_Grunddaten!Q261&lt;&gt;""),IF(Programme_Grunddaten!Q261="geschlossenes System",1,0),"")</f>
        <v/>
      </c>
      <c r="K256" s="1" t="str">
        <f>IF(AND(Programme_Grunddaten!$A261="Geprüft",Programme_Grunddaten!R261&lt;&gt;""),IF(Programme_Grunddaten!R261="Ja",1,0),"")</f>
        <v/>
      </c>
      <c r="L256" s="1" t="str">
        <f>IF(AND(Programme_Grunddaten!$A261="Geprüft",Programme_Grunddaten!T261&lt;&gt;""),IF(Programme_Grunddaten!T261="Ja",1,0),"")</f>
        <v/>
      </c>
      <c r="M256" s="1" t="str">
        <f>IF(AND(Programme_Grunddaten!$A261="Geprüft",Programme_Grunddaten!U261&lt;&gt;""),IF(Programme_Grunddaten!U261="Ja",1,0),"")</f>
        <v/>
      </c>
      <c r="N256" s="1" t="str">
        <f>IF(AND(Programme_Grunddaten!$A261="Geprüft",Programme_Grunddaten!V261&lt;&gt;""),IF(Programme_Grunddaten!V261="Ja",1,0),"")</f>
        <v/>
      </c>
      <c r="O256" s="1" t="str">
        <f>IF(AND(Programme_Grunddaten!$A261="Geprüft",Programme_Grunddaten!W261&lt;&gt;""),IF(Programme_Grunddaten!W261="Ja",1,0),"")</f>
        <v/>
      </c>
      <c r="P256" s="1" t="str">
        <f>IF(AND(Programme_Grunddaten!$A261="Geprüft",Programme_Grunddaten!X261&lt;&gt;""),IF(Programme_Grunddaten!X261="Ja",1,0),"")</f>
        <v/>
      </c>
      <c r="Q256" s="1" t="str">
        <f>IF(AND(Programme_Grunddaten!$A261="Geprüft",Programme_Grunddaten!Y261&lt;&gt;""),IF(Programme_Grunddaten!Y261="Ja",1,0),"")</f>
        <v/>
      </c>
      <c r="R256" s="1" t="str">
        <f>IF(AND(Programme_Grunddaten!$A261="Geprüft",Programme_Grunddaten!Z261&lt;&gt;""),IF(Programme_Grunddaten!Z261="Ja",1,0),"")</f>
        <v/>
      </c>
      <c r="S256" s="1" t="str">
        <f>IF(AND(Programme_Grunddaten!$A261="Geprüft",Programme_Grunddaten!AA261&lt;&gt;""),IF(Programme_Grunddaten!AA261="monolithisch",1,0),"")</f>
        <v/>
      </c>
      <c r="T256" s="1" t="str">
        <f>IF(AND(Programme_Grunddaten!$A261="Geprüft",Programme_Grunddaten!AB261&lt;&gt;""),IF(Programme_Grunddaten!AB261="Ja",1,0),"")</f>
        <v/>
      </c>
      <c r="U256" s="1" t="str">
        <f>IF(AND(Programme_Grunddaten!$A261="Geprüft",Programme_Grunddaten!AC261&lt;&gt;""),IF(Programme_Grunddaten!AC261="Ja",1,0),"")</f>
        <v/>
      </c>
      <c r="V256" s="1" t="str">
        <f>IF(AND(Programme_Grunddaten!$A261="Geprüft",Programme_Grunddaten!AD261&lt;&gt;""),IF(Programme_Grunddaten!AD261="Ja",1,0),"")</f>
        <v/>
      </c>
      <c r="W256" s="1" t="str">
        <f>IF(AND(Programme_Grunddaten!$A261="Geprüft",Programme_Grunddaten!AE261&lt;&gt;""),IF(Programme_Grunddaten!AE261="Ja",1,0),"")</f>
        <v/>
      </c>
      <c r="X256" s="1" t="str">
        <f>IF(AND(Programme_Grunddaten!$A261="Geprüft",Programme_Grunddaten!AF261&lt;&gt;""),IF(Programme_Grunddaten!AF261="Ja",1,0),"")</f>
        <v/>
      </c>
      <c r="Y256" s="1" t="str">
        <f>IF(AND(Programme_Grunddaten!$A261="Geprüft",Programme_Grunddaten!AG261&lt;&gt;""),IF(Programme_Grunddaten!AG261="Ja",1,0),"")</f>
        <v/>
      </c>
      <c r="Z256" s="1" t="str">
        <f>IF(AND(Programme_Grunddaten!$A261="Geprüft",Programme_Grunddaten!AH261&lt;&gt;""),IF(Programme_Grunddaten!AH261="Ja",1,0),"")</f>
        <v/>
      </c>
      <c r="AA256" s="1" t="str">
        <f>IF(AND(Programme_Grunddaten!$A261="Geprüft",Programme_Grunddaten!AI261&lt;&gt;""),IF(Programme_Grunddaten!AI261="Ja",1,0),"")</f>
        <v/>
      </c>
      <c r="AB256" s="1" t="str">
        <f>IF(AND(Programme_Grunddaten!$A261="Geprüft",Programme_Grunddaten!AJ261&lt;&gt;""),IF(Programme_Grunddaten!AJ261="individuell programmierbar",1,0),"")</f>
        <v/>
      </c>
      <c r="AC256" s="1" t="str">
        <f>IF(AND(Programme_Grunddaten!$A261="Geprüft",Programme_Grunddaten!AK261&lt;&gt;""),IF(Programme_Grunddaten!AK261="Deutsch",0,IF(Programme_Grunddaten!AK261="Deutsch und Englisch",1,2)),"")</f>
        <v/>
      </c>
      <c r="AD256" s="1" t="str">
        <f>IF(AND(Programme_Grunddaten!$A261="Geprüft",Programme_Grunddaten!AL261&lt;&gt;""),IF(Programme_Grunddaten!AL261="Ja",1,0),"")</f>
        <v/>
      </c>
      <c r="AE256" s="1" t="str">
        <f>IF(AND(Programme_Grunddaten!$A261="Geprüft",Programme_Grunddaten!AM261&lt;&gt;""),IF(Programme_Grunddaten!AM261="Ja",1,0),"")</f>
        <v/>
      </c>
      <c r="AF256" s="1" t="str">
        <f>IF(AND(Programme_Grunddaten!$A261="Geprüft",Programme_Grunddaten!AN261&lt;&gt;""),IF(Programme_Grunddaten!AN261="Ja",1,0),"")</f>
        <v/>
      </c>
      <c r="AG256" s="1" t="str">
        <f>IF(AND(Programme_Grunddaten!$A261="Geprüft",Programme_Grunddaten!AO261&lt;&gt;""),IF(Programme_Grunddaten!AO261="Ja",1,0),"")</f>
        <v/>
      </c>
      <c r="AH256" s="1" t="str">
        <f>IF(AND(Programme_Grunddaten!$A261="Geprüft",Programme_Grunddaten!AP261&lt;&gt;""),IF(Programme_Grunddaten!AP261="Ja",1,0),"")</f>
        <v/>
      </c>
      <c r="AI256" s="1" t="str">
        <f>IF(AND(Programme_Grunddaten!$A261="Geprüft",Programme_Grunddaten!AQ261&lt;&gt;""),IF(Programme_Grunddaten!AQ261="Ja",1,0),"")</f>
        <v/>
      </c>
      <c r="AJ256" s="1" t="str">
        <f>IF(AND(Programme_Grunddaten!$A261="Geprüft",Programme_Grunddaten!AR261&lt;&gt;""),IF(Programme_Grunddaten!AR261="Ja",1,0),"")</f>
        <v/>
      </c>
      <c r="AK256" s="1" t="str">
        <f>IF(AND(Programme_Grunddaten!$A261="Geprüft",Programme_Grunddaten!AS261&lt;&gt;""),IF(Programme_Grunddaten!AS261="Ja",1,0),"")</f>
        <v/>
      </c>
      <c r="AL256" s="1" t="str">
        <f>IF(AND(Programme_Grunddaten!$A261="Geprüft",Programme_Grunddaten!AT261&lt;&gt;""),IF(Programme_Grunddaten!AT261="Ja",1,0),"")</f>
        <v/>
      </c>
      <c r="AM256" s="1" t="str">
        <f>IF(AND(Programme_Grunddaten!$A261="Geprüft",Programme_Grunddaten!AU261&lt;&gt;""),IF(Programme_Grunddaten!AU261="Ja",1,0),"")</f>
        <v/>
      </c>
      <c r="AN256" s="1" t="str">
        <f>IF(AND(Programme_Grunddaten!$A261="Geprüft",Programme_Grunddaten!AV261&lt;&gt;""),IF(Programme_Grunddaten!AV261="Ja",1,0),"")</f>
        <v/>
      </c>
    </row>
    <row r="257" spans="1:40" x14ac:dyDescent="0.3">
      <c r="A257" s="1" t="str">
        <f>IF(AND(Programme_Grunddaten!A262="Geprüft",Programme_Grunddaten!B262&lt;&gt;""),Programme_Grunddaten!B262,"")</f>
        <v/>
      </c>
      <c r="B257" s="1" t="str">
        <f>IF(AND(Programme_Grunddaten!$A262="Geprüft",Programme_Grunddaten!I262&lt;&gt;""),IF(Programme_Grunddaten!I262="Ja",1,0),"")</f>
        <v/>
      </c>
      <c r="C257" s="1" t="str">
        <f>IF(AND(Programme_Grunddaten!$A262="Geprüft",Programme_Grunddaten!J262&lt;&gt;""),IF(Programme_Grunddaten!J262="Ja",1,0),"")</f>
        <v/>
      </c>
      <c r="D257" s="1" t="str">
        <f>IF(AND(Programme_Grunddaten!$A262="Geprüft",Programme_Grunddaten!K262&lt;&gt;""),IF(Programme_Grunddaten!K262="Ja",1,0),"")</f>
        <v/>
      </c>
      <c r="E257" s="1" t="str">
        <f>IF(AND(Programme_Grunddaten!$A262="Geprüft",Programme_Grunddaten!L262&lt;&gt;""),IF(Programme_Grunddaten!L262="Abo / befristete Lizenz",1,0),"")</f>
        <v/>
      </c>
      <c r="F257" s="1" t="str">
        <f>IF(AND(Programme_Grunddaten!$A262="Geprüft",Programme_Grunddaten!M262&lt;&gt;""),IF(Programme_Grunddaten!M262="Ja",1,0),"")</f>
        <v/>
      </c>
      <c r="G257" s="1" t="str">
        <f>IF(AND(Programme_Grunddaten!$A262="Geprüft",Programme_Grunddaten!N262&lt;&gt;""),IF(Programme_Grunddaten!N262="Ja",1,0),"")</f>
        <v/>
      </c>
      <c r="H257" s="1" t="str">
        <f>IF(AND(Programme_Grunddaten!$A262="Geprüft",Programme_Grunddaten!O262&lt;&gt;""),IF(Programme_Grunddaten!O262="Deutschland",0,IF(Programme_Grunddaten!O262="EU",1,2)),"")</f>
        <v/>
      </c>
      <c r="I257" s="1" t="str">
        <f>IF(AND(Programme_Grunddaten!$A262="Geprüft",Programme_Grunddaten!P262&lt;&gt;""),IF(Programme_Grunddaten!P262="Ja",1,0),"")</f>
        <v/>
      </c>
      <c r="J257" s="1" t="str">
        <f>IF(AND(Programme_Grunddaten!$A262="Geprüft",Programme_Grunddaten!Q262&lt;&gt;""),IF(Programme_Grunddaten!Q262="geschlossenes System",1,0),"")</f>
        <v/>
      </c>
      <c r="K257" s="1" t="str">
        <f>IF(AND(Programme_Grunddaten!$A262="Geprüft",Programme_Grunddaten!R262&lt;&gt;""),IF(Programme_Grunddaten!R262="Ja",1,0),"")</f>
        <v/>
      </c>
      <c r="L257" s="1" t="str">
        <f>IF(AND(Programme_Grunddaten!$A262="Geprüft",Programme_Grunddaten!T262&lt;&gt;""),IF(Programme_Grunddaten!T262="Ja",1,0),"")</f>
        <v/>
      </c>
      <c r="M257" s="1" t="str">
        <f>IF(AND(Programme_Grunddaten!$A262="Geprüft",Programme_Grunddaten!U262&lt;&gt;""),IF(Programme_Grunddaten!U262="Ja",1,0),"")</f>
        <v/>
      </c>
      <c r="N257" s="1" t="str">
        <f>IF(AND(Programme_Grunddaten!$A262="Geprüft",Programme_Grunddaten!V262&lt;&gt;""),IF(Programme_Grunddaten!V262="Ja",1,0),"")</f>
        <v/>
      </c>
      <c r="O257" s="1" t="str">
        <f>IF(AND(Programme_Grunddaten!$A262="Geprüft",Programme_Grunddaten!W262&lt;&gt;""),IF(Programme_Grunddaten!W262="Ja",1,0),"")</f>
        <v/>
      </c>
      <c r="P257" s="1" t="str">
        <f>IF(AND(Programme_Grunddaten!$A262="Geprüft",Programme_Grunddaten!X262&lt;&gt;""),IF(Programme_Grunddaten!X262="Ja",1,0),"")</f>
        <v/>
      </c>
      <c r="Q257" s="1" t="str">
        <f>IF(AND(Programme_Grunddaten!$A262="Geprüft",Programme_Grunddaten!Y262&lt;&gt;""),IF(Programme_Grunddaten!Y262="Ja",1,0),"")</f>
        <v/>
      </c>
      <c r="R257" s="1" t="str">
        <f>IF(AND(Programme_Grunddaten!$A262="Geprüft",Programme_Grunddaten!Z262&lt;&gt;""),IF(Programme_Grunddaten!Z262="Ja",1,0),"")</f>
        <v/>
      </c>
      <c r="S257" s="1" t="str">
        <f>IF(AND(Programme_Grunddaten!$A262="Geprüft",Programme_Grunddaten!AA262&lt;&gt;""),IF(Programme_Grunddaten!AA262="monolithisch",1,0),"")</f>
        <v/>
      </c>
      <c r="T257" s="1" t="str">
        <f>IF(AND(Programme_Grunddaten!$A262="Geprüft",Programme_Grunddaten!AB262&lt;&gt;""),IF(Programme_Grunddaten!AB262="Ja",1,0),"")</f>
        <v/>
      </c>
      <c r="U257" s="1" t="str">
        <f>IF(AND(Programme_Grunddaten!$A262="Geprüft",Programme_Grunddaten!AC262&lt;&gt;""),IF(Programme_Grunddaten!AC262="Ja",1,0),"")</f>
        <v/>
      </c>
      <c r="V257" s="1" t="str">
        <f>IF(AND(Programme_Grunddaten!$A262="Geprüft",Programme_Grunddaten!AD262&lt;&gt;""),IF(Programme_Grunddaten!AD262="Ja",1,0),"")</f>
        <v/>
      </c>
      <c r="W257" s="1" t="str">
        <f>IF(AND(Programme_Grunddaten!$A262="Geprüft",Programme_Grunddaten!AE262&lt;&gt;""),IF(Programme_Grunddaten!AE262="Ja",1,0),"")</f>
        <v/>
      </c>
      <c r="X257" s="1" t="str">
        <f>IF(AND(Programme_Grunddaten!$A262="Geprüft",Programme_Grunddaten!AF262&lt;&gt;""),IF(Programme_Grunddaten!AF262="Ja",1,0),"")</f>
        <v/>
      </c>
      <c r="Y257" s="1" t="str">
        <f>IF(AND(Programme_Grunddaten!$A262="Geprüft",Programme_Grunddaten!AG262&lt;&gt;""),IF(Programme_Grunddaten!AG262="Ja",1,0),"")</f>
        <v/>
      </c>
      <c r="Z257" s="1" t="str">
        <f>IF(AND(Programme_Grunddaten!$A262="Geprüft",Programme_Grunddaten!AH262&lt;&gt;""),IF(Programme_Grunddaten!AH262="Ja",1,0),"")</f>
        <v/>
      </c>
      <c r="AA257" s="1" t="str">
        <f>IF(AND(Programme_Grunddaten!$A262="Geprüft",Programme_Grunddaten!AI262&lt;&gt;""),IF(Programme_Grunddaten!AI262="Ja",1,0),"")</f>
        <v/>
      </c>
      <c r="AB257" s="1" t="str">
        <f>IF(AND(Programme_Grunddaten!$A262="Geprüft",Programme_Grunddaten!AJ262&lt;&gt;""),IF(Programme_Grunddaten!AJ262="individuell programmierbar",1,0),"")</f>
        <v/>
      </c>
      <c r="AC257" s="1" t="str">
        <f>IF(AND(Programme_Grunddaten!$A262="Geprüft",Programme_Grunddaten!AK262&lt;&gt;""),IF(Programme_Grunddaten!AK262="Deutsch",0,IF(Programme_Grunddaten!AK262="Deutsch und Englisch",1,2)),"")</f>
        <v/>
      </c>
      <c r="AD257" s="1" t="str">
        <f>IF(AND(Programme_Grunddaten!$A262="Geprüft",Programme_Grunddaten!AL262&lt;&gt;""),IF(Programme_Grunddaten!AL262="Ja",1,0),"")</f>
        <v/>
      </c>
      <c r="AE257" s="1" t="str">
        <f>IF(AND(Programme_Grunddaten!$A262="Geprüft",Programme_Grunddaten!AM262&lt;&gt;""),IF(Programme_Grunddaten!AM262="Ja",1,0),"")</f>
        <v/>
      </c>
      <c r="AF257" s="1" t="str">
        <f>IF(AND(Programme_Grunddaten!$A262="Geprüft",Programme_Grunddaten!AN262&lt;&gt;""),IF(Programme_Grunddaten!AN262="Ja",1,0),"")</f>
        <v/>
      </c>
      <c r="AG257" s="1" t="str">
        <f>IF(AND(Programme_Grunddaten!$A262="Geprüft",Programme_Grunddaten!AO262&lt;&gt;""),IF(Programme_Grunddaten!AO262="Ja",1,0),"")</f>
        <v/>
      </c>
      <c r="AH257" s="1" t="str">
        <f>IF(AND(Programme_Grunddaten!$A262="Geprüft",Programme_Grunddaten!AP262&lt;&gt;""),IF(Programme_Grunddaten!AP262="Ja",1,0),"")</f>
        <v/>
      </c>
      <c r="AI257" s="1" t="str">
        <f>IF(AND(Programme_Grunddaten!$A262="Geprüft",Programme_Grunddaten!AQ262&lt;&gt;""),IF(Programme_Grunddaten!AQ262="Ja",1,0),"")</f>
        <v/>
      </c>
      <c r="AJ257" s="1" t="str">
        <f>IF(AND(Programme_Grunddaten!$A262="Geprüft",Programme_Grunddaten!AR262&lt;&gt;""),IF(Programme_Grunddaten!AR262="Ja",1,0),"")</f>
        <v/>
      </c>
      <c r="AK257" s="1" t="str">
        <f>IF(AND(Programme_Grunddaten!$A262="Geprüft",Programme_Grunddaten!AS262&lt;&gt;""),IF(Programme_Grunddaten!AS262="Ja",1,0),"")</f>
        <v/>
      </c>
      <c r="AL257" s="1" t="str">
        <f>IF(AND(Programme_Grunddaten!$A262="Geprüft",Programme_Grunddaten!AT262&lt;&gt;""),IF(Programme_Grunddaten!AT262="Ja",1,0),"")</f>
        <v/>
      </c>
      <c r="AM257" s="1" t="str">
        <f>IF(AND(Programme_Grunddaten!$A262="Geprüft",Programme_Grunddaten!AU262&lt;&gt;""),IF(Programme_Grunddaten!AU262="Ja",1,0),"")</f>
        <v/>
      </c>
      <c r="AN257" s="1" t="str">
        <f>IF(AND(Programme_Grunddaten!$A262="Geprüft",Programme_Grunddaten!AV262&lt;&gt;""),IF(Programme_Grunddaten!AV262="Ja",1,0),"")</f>
        <v/>
      </c>
    </row>
    <row r="258" spans="1:40" x14ac:dyDescent="0.3">
      <c r="A258" s="1" t="str">
        <f>IF(AND(Programme_Grunddaten!A263="Geprüft",Programme_Grunddaten!B263&lt;&gt;""),Programme_Grunddaten!B263,"")</f>
        <v/>
      </c>
      <c r="B258" s="1" t="str">
        <f>IF(AND(Programme_Grunddaten!$A263="Geprüft",Programme_Grunddaten!I263&lt;&gt;""),IF(Programme_Grunddaten!I263="Ja",1,0),"")</f>
        <v/>
      </c>
      <c r="C258" s="1" t="str">
        <f>IF(AND(Programme_Grunddaten!$A263="Geprüft",Programme_Grunddaten!J263&lt;&gt;""),IF(Programme_Grunddaten!J263="Ja",1,0),"")</f>
        <v/>
      </c>
      <c r="D258" s="1" t="str">
        <f>IF(AND(Programme_Grunddaten!$A263="Geprüft",Programme_Grunddaten!K263&lt;&gt;""),IF(Programme_Grunddaten!K263="Ja",1,0),"")</f>
        <v/>
      </c>
      <c r="E258" s="1" t="str">
        <f>IF(AND(Programme_Grunddaten!$A263="Geprüft",Programme_Grunddaten!L263&lt;&gt;""),IF(Programme_Grunddaten!L263="Abo / befristete Lizenz",1,0),"")</f>
        <v/>
      </c>
      <c r="F258" s="1" t="str">
        <f>IF(AND(Programme_Grunddaten!$A263="Geprüft",Programme_Grunddaten!M263&lt;&gt;""),IF(Programme_Grunddaten!M263="Ja",1,0),"")</f>
        <v/>
      </c>
      <c r="G258" s="1" t="str">
        <f>IF(AND(Programme_Grunddaten!$A263="Geprüft",Programme_Grunddaten!N263&lt;&gt;""),IF(Programme_Grunddaten!N263="Ja",1,0),"")</f>
        <v/>
      </c>
      <c r="H258" s="1" t="str">
        <f>IF(AND(Programme_Grunddaten!$A263="Geprüft",Programme_Grunddaten!O263&lt;&gt;""),IF(Programme_Grunddaten!O263="Deutschland",0,IF(Programme_Grunddaten!O263="EU",1,2)),"")</f>
        <v/>
      </c>
      <c r="I258" s="1" t="str">
        <f>IF(AND(Programme_Grunddaten!$A263="Geprüft",Programme_Grunddaten!P263&lt;&gt;""),IF(Programme_Grunddaten!P263="Ja",1,0),"")</f>
        <v/>
      </c>
      <c r="J258" s="1" t="str">
        <f>IF(AND(Programme_Grunddaten!$A263="Geprüft",Programme_Grunddaten!Q263&lt;&gt;""),IF(Programme_Grunddaten!Q263="geschlossenes System",1,0),"")</f>
        <v/>
      </c>
      <c r="K258" s="1" t="str">
        <f>IF(AND(Programme_Grunddaten!$A263="Geprüft",Programme_Grunddaten!R263&lt;&gt;""),IF(Programme_Grunddaten!R263="Ja",1,0),"")</f>
        <v/>
      </c>
      <c r="L258" s="1" t="str">
        <f>IF(AND(Programme_Grunddaten!$A263="Geprüft",Programme_Grunddaten!T263&lt;&gt;""),IF(Programme_Grunddaten!T263="Ja",1,0),"")</f>
        <v/>
      </c>
      <c r="M258" s="1" t="str">
        <f>IF(AND(Programme_Grunddaten!$A263="Geprüft",Programme_Grunddaten!U263&lt;&gt;""),IF(Programme_Grunddaten!U263="Ja",1,0),"")</f>
        <v/>
      </c>
      <c r="N258" s="1" t="str">
        <f>IF(AND(Programme_Grunddaten!$A263="Geprüft",Programme_Grunddaten!V263&lt;&gt;""),IF(Programme_Grunddaten!V263="Ja",1,0),"")</f>
        <v/>
      </c>
      <c r="O258" s="1" t="str">
        <f>IF(AND(Programme_Grunddaten!$A263="Geprüft",Programme_Grunddaten!W263&lt;&gt;""),IF(Programme_Grunddaten!W263="Ja",1,0),"")</f>
        <v/>
      </c>
      <c r="P258" s="1" t="str">
        <f>IF(AND(Programme_Grunddaten!$A263="Geprüft",Programme_Grunddaten!X263&lt;&gt;""),IF(Programme_Grunddaten!X263="Ja",1,0),"")</f>
        <v/>
      </c>
      <c r="Q258" s="1" t="str">
        <f>IF(AND(Programme_Grunddaten!$A263="Geprüft",Programme_Grunddaten!Y263&lt;&gt;""),IF(Programme_Grunddaten!Y263="Ja",1,0),"")</f>
        <v/>
      </c>
      <c r="R258" s="1" t="str">
        <f>IF(AND(Programme_Grunddaten!$A263="Geprüft",Programme_Grunddaten!Z263&lt;&gt;""),IF(Programme_Grunddaten!Z263="Ja",1,0),"")</f>
        <v/>
      </c>
      <c r="S258" s="1" t="str">
        <f>IF(AND(Programme_Grunddaten!$A263="Geprüft",Programme_Grunddaten!AA263&lt;&gt;""),IF(Programme_Grunddaten!AA263="monolithisch",1,0),"")</f>
        <v/>
      </c>
      <c r="T258" s="1" t="str">
        <f>IF(AND(Programme_Grunddaten!$A263="Geprüft",Programme_Grunddaten!AB263&lt;&gt;""),IF(Programme_Grunddaten!AB263="Ja",1,0),"")</f>
        <v/>
      </c>
      <c r="U258" s="1" t="str">
        <f>IF(AND(Programme_Grunddaten!$A263="Geprüft",Programme_Grunddaten!AC263&lt;&gt;""),IF(Programme_Grunddaten!AC263="Ja",1,0),"")</f>
        <v/>
      </c>
      <c r="V258" s="1" t="str">
        <f>IF(AND(Programme_Grunddaten!$A263="Geprüft",Programme_Grunddaten!AD263&lt;&gt;""),IF(Programme_Grunddaten!AD263="Ja",1,0),"")</f>
        <v/>
      </c>
      <c r="W258" s="1" t="str">
        <f>IF(AND(Programme_Grunddaten!$A263="Geprüft",Programme_Grunddaten!AE263&lt;&gt;""),IF(Programme_Grunddaten!AE263="Ja",1,0),"")</f>
        <v/>
      </c>
      <c r="X258" s="1" t="str">
        <f>IF(AND(Programme_Grunddaten!$A263="Geprüft",Programme_Grunddaten!AF263&lt;&gt;""),IF(Programme_Grunddaten!AF263="Ja",1,0),"")</f>
        <v/>
      </c>
      <c r="Y258" s="1" t="str">
        <f>IF(AND(Programme_Grunddaten!$A263="Geprüft",Programme_Grunddaten!AG263&lt;&gt;""),IF(Programme_Grunddaten!AG263="Ja",1,0),"")</f>
        <v/>
      </c>
      <c r="Z258" s="1" t="str">
        <f>IF(AND(Programme_Grunddaten!$A263="Geprüft",Programme_Grunddaten!AH263&lt;&gt;""),IF(Programme_Grunddaten!AH263="Ja",1,0),"")</f>
        <v/>
      </c>
      <c r="AA258" s="1" t="str">
        <f>IF(AND(Programme_Grunddaten!$A263="Geprüft",Programme_Grunddaten!AI263&lt;&gt;""),IF(Programme_Grunddaten!AI263="Ja",1,0),"")</f>
        <v/>
      </c>
      <c r="AB258" s="1" t="str">
        <f>IF(AND(Programme_Grunddaten!$A263="Geprüft",Programme_Grunddaten!AJ263&lt;&gt;""),IF(Programme_Grunddaten!AJ263="individuell programmierbar",1,0),"")</f>
        <v/>
      </c>
      <c r="AC258" s="1" t="str">
        <f>IF(AND(Programme_Grunddaten!$A263="Geprüft",Programme_Grunddaten!AK263&lt;&gt;""),IF(Programme_Grunddaten!AK263="Deutsch",0,IF(Programme_Grunddaten!AK263="Deutsch und Englisch",1,2)),"")</f>
        <v/>
      </c>
      <c r="AD258" s="1" t="str">
        <f>IF(AND(Programme_Grunddaten!$A263="Geprüft",Programme_Grunddaten!AL263&lt;&gt;""),IF(Programme_Grunddaten!AL263="Ja",1,0),"")</f>
        <v/>
      </c>
      <c r="AE258" s="1" t="str">
        <f>IF(AND(Programme_Grunddaten!$A263="Geprüft",Programme_Grunddaten!AM263&lt;&gt;""),IF(Programme_Grunddaten!AM263="Ja",1,0),"")</f>
        <v/>
      </c>
      <c r="AF258" s="1" t="str">
        <f>IF(AND(Programme_Grunddaten!$A263="Geprüft",Programme_Grunddaten!AN263&lt;&gt;""),IF(Programme_Grunddaten!AN263="Ja",1,0),"")</f>
        <v/>
      </c>
      <c r="AG258" s="1" t="str">
        <f>IF(AND(Programme_Grunddaten!$A263="Geprüft",Programme_Grunddaten!AO263&lt;&gt;""),IF(Programme_Grunddaten!AO263="Ja",1,0),"")</f>
        <v/>
      </c>
      <c r="AH258" s="1" t="str">
        <f>IF(AND(Programme_Grunddaten!$A263="Geprüft",Programme_Grunddaten!AP263&lt;&gt;""),IF(Programme_Grunddaten!AP263="Ja",1,0),"")</f>
        <v/>
      </c>
      <c r="AI258" s="1" t="str">
        <f>IF(AND(Programme_Grunddaten!$A263="Geprüft",Programme_Grunddaten!AQ263&lt;&gt;""),IF(Programme_Grunddaten!AQ263="Ja",1,0),"")</f>
        <v/>
      </c>
      <c r="AJ258" s="1" t="str">
        <f>IF(AND(Programme_Grunddaten!$A263="Geprüft",Programme_Grunddaten!AR263&lt;&gt;""),IF(Programme_Grunddaten!AR263="Ja",1,0),"")</f>
        <v/>
      </c>
      <c r="AK258" s="1" t="str">
        <f>IF(AND(Programme_Grunddaten!$A263="Geprüft",Programme_Grunddaten!AS263&lt;&gt;""),IF(Programme_Grunddaten!AS263="Ja",1,0),"")</f>
        <v/>
      </c>
      <c r="AL258" s="1" t="str">
        <f>IF(AND(Programme_Grunddaten!$A263="Geprüft",Programme_Grunddaten!AT263&lt;&gt;""),IF(Programme_Grunddaten!AT263="Ja",1,0),"")</f>
        <v/>
      </c>
      <c r="AM258" s="1" t="str">
        <f>IF(AND(Programme_Grunddaten!$A263="Geprüft",Programme_Grunddaten!AU263&lt;&gt;""),IF(Programme_Grunddaten!AU263="Ja",1,0),"")</f>
        <v/>
      </c>
      <c r="AN258" s="1" t="str">
        <f>IF(AND(Programme_Grunddaten!$A263="Geprüft",Programme_Grunddaten!AV263&lt;&gt;""),IF(Programme_Grunddaten!AV263="Ja",1,0),"")</f>
        <v/>
      </c>
    </row>
    <row r="259" spans="1:40" x14ac:dyDescent="0.3">
      <c r="A259" s="1" t="str">
        <f>IF(AND(Programme_Grunddaten!A264="Geprüft",Programme_Grunddaten!B264&lt;&gt;""),Programme_Grunddaten!B264,"")</f>
        <v/>
      </c>
      <c r="B259" s="1" t="str">
        <f>IF(AND(Programme_Grunddaten!$A264="Geprüft",Programme_Grunddaten!I264&lt;&gt;""),IF(Programme_Grunddaten!I264="Ja",1,0),"")</f>
        <v/>
      </c>
      <c r="C259" s="1" t="str">
        <f>IF(AND(Programme_Grunddaten!$A264="Geprüft",Programme_Grunddaten!J264&lt;&gt;""),IF(Programme_Grunddaten!J264="Ja",1,0),"")</f>
        <v/>
      </c>
      <c r="D259" s="1" t="str">
        <f>IF(AND(Programme_Grunddaten!$A264="Geprüft",Programme_Grunddaten!K264&lt;&gt;""),IF(Programme_Grunddaten!K264="Ja",1,0),"")</f>
        <v/>
      </c>
      <c r="E259" s="1" t="str">
        <f>IF(AND(Programme_Grunddaten!$A264="Geprüft",Programme_Grunddaten!L264&lt;&gt;""),IF(Programme_Grunddaten!L264="Abo / befristete Lizenz",1,0),"")</f>
        <v/>
      </c>
      <c r="F259" s="1" t="str">
        <f>IF(AND(Programme_Grunddaten!$A264="Geprüft",Programme_Grunddaten!M264&lt;&gt;""),IF(Programme_Grunddaten!M264="Ja",1,0),"")</f>
        <v/>
      </c>
      <c r="G259" s="1" t="str">
        <f>IF(AND(Programme_Grunddaten!$A264="Geprüft",Programme_Grunddaten!N264&lt;&gt;""),IF(Programme_Grunddaten!N264="Ja",1,0),"")</f>
        <v/>
      </c>
      <c r="H259" s="1" t="str">
        <f>IF(AND(Programme_Grunddaten!$A264="Geprüft",Programme_Grunddaten!O264&lt;&gt;""),IF(Programme_Grunddaten!O264="Deutschland",0,IF(Programme_Grunddaten!O264="EU",1,2)),"")</f>
        <v/>
      </c>
      <c r="I259" s="1" t="str">
        <f>IF(AND(Programme_Grunddaten!$A264="Geprüft",Programme_Grunddaten!P264&lt;&gt;""),IF(Programme_Grunddaten!P264="Ja",1,0),"")</f>
        <v/>
      </c>
      <c r="J259" s="1" t="str">
        <f>IF(AND(Programme_Grunddaten!$A264="Geprüft",Programme_Grunddaten!Q264&lt;&gt;""),IF(Programme_Grunddaten!Q264="geschlossenes System",1,0),"")</f>
        <v/>
      </c>
      <c r="K259" s="1" t="str">
        <f>IF(AND(Programme_Grunddaten!$A264="Geprüft",Programme_Grunddaten!R264&lt;&gt;""),IF(Programme_Grunddaten!R264="Ja",1,0),"")</f>
        <v/>
      </c>
      <c r="L259" s="1" t="str">
        <f>IF(AND(Programme_Grunddaten!$A264="Geprüft",Programme_Grunddaten!T264&lt;&gt;""),IF(Programme_Grunddaten!T264="Ja",1,0),"")</f>
        <v/>
      </c>
      <c r="M259" s="1" t="str">
        <f>IF(AND(Programme_Grunddaten!$A264="Geprüft",Programme_Grunddaten!U264&lt;&gt;""),IF(Programme_Grunddaten!U264="Ja",1,0),"")</f>
        <v/>
      </c>
      <c r="N259" s="1" t="str">
        <f>IF(AND(Programme_Grunddaten!$A264="Geprüft",Programme_Grunddaten!V264&lt;&gt;""),IF(Programme_Grunddaten!V264="Ja",1,0),"")</f>
        <v/>
      </c>
      <c r="O259" s="1" t="str">
        <f>IF(AND(Programme_Grunddaten!$A264="Geprüft",Programme_Grunddaten!W264&lt;&gt;""),IF(Programme_Grunddaten!W264="Ja",1,0),"")</f>
        <v/>
      </c>
      <c r="P259" s="1" t="str">
        <f>IF(AND(Programme_Grunddaten!$A264="Geprüft",Programme_Grunddaten!X264&lt;&gt;""),IF(Programme_Grunddaten!X264="Ja",1,0),"")</f>
        <v/>
      </c>
      <c r="Q259" s="1" t="str">
        <f>IF(AND(Programme_Grunddaten!$A264="Geprüft",Programme_Grunddaten!Y264&lt;&gt;""),IF(Programme_Grunddaten!Y264="Ja",1,0),"")</f>
        <v/>
      </c>
      <c r="R259" s="1" t="str">
        <f>IF(AND(Programme_Grunddaten!$A264="Geprüft",Programme_Grunddaten!Z264&lt;&gt;""),IF(Programme_Grunddaten!Z264="Ja",1,0),"")</f>
        <v/>
      </c>
      <c r="S259" s="1" t="str">
        <f>IF(AND(Programme_Grunddaten!$A264="Geprüft",Programme_Grunddaten!AA264&lt;&gt;""),IF(Programme_Grunddaten!AA264="monolithisch",1,0),"")</f>
        <v/>
      </c>
      <c r="T259" s="1" t="str">
        <f>IF(AND(Programme_Grunddaten!$A264="Geprüft",Programme_Grunddaten!AB264&lt;&gt;""),IF(Programme_Grunddaten!AB264="Ja",1,0),"")</f>
        <v/>
      </c>
      <c r="U259" s="1" t="str">
        <f>IF(AND(Programme_Grunddaten!$A264="Geprüft",Programme_Grunddaten!AC264&lt;&gt;""),IF(Programme_Grunddaten!AC264="Ja",1,0),"")</f>
        <v/>
      </c>
      <c r="V259" s="1" t="str">
        <f>IF(AND(Programme_Grunddaten!$A264="Geprüft",Programme_Grunddaten!AD264&lt;&gt;""),IF(Programme_Grunddaten!AD264="Ja",1,0),"")</f>
        <v/>
      </c>
      <c r="W259" s="1" t="str">
        <f>IF(AND(Programme_Grunddaten!$A264="Geprüft",Programme_Grunddaten!AE264&lt;&gt;""),IF(Programme_Grunddaten!AE264="Ja",1,0),"")</f>
        <v/>
      </c>
      <c r="X259" s="1" t="str">
        <f>IF(AND(Programme_Grunddaten!$A264="Geprüft",Programme_Grunddaten!AF264&lt;&gt;""),IF(Programme_Grunddaten!AF264="Ja",1,0),"")</f>
        <v/>
      </c>
      <c r="Y259" s="1" t="str">
        <f>IF(AND(Programme_Grunddaten!$A264="Geprüft",Programme_Grunddaten!AG264&lt;&gt;""),IF(Programme_Grunddaten!AG264="Ja",1,0),"")</f>
        <v/>
      </c>
      <c r="Z259" s="1" t="str">
        <f>IF(AND(Programme_Grunddaten!$A264="Geprüft",Programme_Grunddaten!AH264&lt;&gt;""),IF(Programme_Grunddaten!AH264="Ja",1,0),"")</f>
        <v/>
      </c>
      <c r="AA259" s="1" t="str">
        <f>IF(AND(Programme_Grunddaten!$A264="Geprüft",Programme_Grunddaten!AI264&lt;&gt;""),IF(Programme_Grunddaten!AI264="Ja",1,0),"")</f>
        <v/>
      </c>
      <c r="AB259" s="1" t="str">
        <f>IF(AND(Programme_Grunddaten!$A264="Geprüft",Programme_Grunddaten!AJ264&lt;&gt;""),IF(Programme_Grunddaten!AJ264="individuell programmierbar",1,0),"")</f>
        <v/>
      </c>
      <c r="AC259" s="1" t="str">
        <f>IF(AND(Programme_Grunddaten!$A264="Geprüft",Programme_Grunddaten!AK264&lt;&gt;""),IF(Programme_Grunddaten!AK264="Deutsch",0,IF(Programme_Grunddaten!AK264="Deutsch und Englisch",1,2)),"")</f>
        <v/>
      </c>
      <c r="AD259" s="1" t="str">
        <f>IF(AND(Programme_Grunddaten!$A264="Geprüft",Programme_Grunddaten!AL264&lt;&gt;""),IF(Programme_Grunddaten!AL264="Ja",1,0),"")</f>
        <v/>
      </c>
      <c r="AE259" s="1" t="str">
        <f>IF(AND(Programme_Grunddaten!$A264="Geprüft",Programme_Grunddaten!AM264&lt;&gt;""),IF(Programme_Grunddaten!AM264="Ja",1,0),"")</f>
        <v/>
      </c>
      <c r="AF259" s="1" t="str">
        <f>IF(AND(Programme_Grunddaten!$A264="Geprüft",Programme_Grunddaten!AN264&lt;&gt;""),IF(Programme_Grunddaten!AN264="Ja",1,0),"")</f>
        <v/>
      </c>
      <c r="AG259" s="1" t="str">
        <f>IF(AND(Programme_Grunddaten!$A264="Geprüft",Programme_Grunddaten!AO264&lt;&gt;""),IF(Programme_Grunddaten!AO264="Ja",1,0),"")</f>
        <v/>
      </c>
      <c r="AH259" s="1" t="str">
        <f>IF(AND(Programme_Grunddaten!$A264="Geprüft",Programme_Grunddaten!AP264&lt;&gt;""),IF(Programme_Grunddaten!AP264="Ja",1,0),"")</f>
        <v/>
      </c>
      <c r="AI259" s="1" t="str">
        <f>IF(AND(Programme_Grunddaten!$A264="Geprüft",Programme_Grunddaten!AQ264&lt;&gt;""),IF(Programme_Grunddaten!AQ264="Ja",1,0),"")</f>
        <v/>
      </c>
      <c r="AJ259" s="1" t="str">
        <f>IF(AND(Programme_Grunddaten!$A264="Geprüft",Programme_Grunddaten!AR264&lt;&gt;""),IF(Programme_Grunddaten!AR264="Ja",1,0),"")</f>
        <v/>
      </c>
      <c r="AK259" s="1" t="str">
        <f>IF(AND(Programme_Grunddaten!$A264="Geprüft",Programme_Grunddaten!AS264&lt;&gt;""),IF(Programme_Grunddaten!AS264="Ja",1,0),"")</f>
        <v/>
      </c>
      <c r="AL259" s="1" t="str">
        <f>IF(AND(Programme_Grunddaten!$A264="Geprüft",Programme_Grunddaten!AT264&lt;&gt;""),IF(Programme_Grunddaten!AT264="Ja",1,0),"")</f>
        <v/>
      </c>
      <c r="AM259" s="1" t="str">
        <f>IF(AND(Programme_Grunddaten!$A264="Geprüft",Programme_Grunddaten!AU264&lt;&gt;""),IF(Programme_Grunddaten!AU264="Ja",1,0),"")</f>
        <v/>
      </c>
      <c r="AN259" s="1" t="str">
        <f>IF(AND(Programme_Grunddaten!$A264="Geprüft",Programme_Grunddaten!AV264&lt;&gt;""),IF(Programme_Grunddaten!AV264="Ja",1,0),"")</f>
        <v/>
      </c>
    </row>
    <row r="260" spans="1:40" x14ac:dyDescent="0.3">
      <c r="A260" s="1" t="str">
        <f>IF(AND(Programme_Grunddaten!A265="Geprüft",Programme_Grunddaten!B265&lt;&gt;""),Programme_Grunddaten!B265,"")</f>
        <v/>
      </c>
      <c r="B260" s="1" t="str">
        <f>IF(AND(Programme_Grunddaten!$A265="Geprüft",Programme_Grunddaten!I265&lt;&gt;""),IF(Programme_Grunddaten!I265="Ja",1,0),"")</f>
        <v/>
      </c>
      <c r="C260" s="1" t="str">
        <f>IF(AND(Programme_Grunddaten!$A265="Geprüft",Programme_Grunddaten!J265&lt;&gt;""),IF(Programme_Grunddaten!J265="Ja",1,0),"")</f>
        <v/>
      </c>
      <c r="D260" s="1" t="str">
        <f>IF(AND(Programme_Grunddaten!$A265="Geprüft",Programme_Grunddaten!K265&lt;&gt;""),IF(Programme_Grunddaten!K265="Ja",1,0),"")</f>
        <v/>
      </c>
      <c r="E260" s="1" t="str">
        <f>IF(AND(Programme_Grunddaten!$A265="Geprüft",Programme_Grunddaten!L265&lt;&gt;""),IF(Programme_Grunddaten!L265="Abo / befristete Lizenz",1,0),"")</f>
        <v/>
      </c>
      <c r="F260" s="1" t="str">
        <f>IF(AND(Programme_Grunddaten!$A265="Geprüft",Programme_Grunddaten!M265&lt;&gt;""),IF(Programme_Grunddaten!M265="Ja",1,0),"")</f>
        <v/>
      </c>
      <c r="G260" s="1" t="str">
        <f>IF(AND(Programme_Grunddaten!$A265="Geprüft",Programme_Grunddaten!N265&lt;&gt;""),IF(Programme_Grunddaten!N265="Ja",1,0),"")</f>
        <v/>
      </c>
      <c r="H260" s="1" t="str">
        <f>IF(AND(Programme_Grunddaten!$A265="Geprüft",Programme_Grunddaten!O265&lt;&gt;""),IF(Programme_Grunddaten!O265="Deutschland",0,IF(Programme_Grunddaten!O265="EU",1,2)),"")</f>
        <v/>
      </c>
      <c r="I260" s="1" t="str">
        <f>IF(AND(Programme_Grunddaten!$A265="Geprüft",Programme_Grunddaten!P265&lt;&gt;""),IF(Programme_Grunddaten!P265="Ja",1,0),"")</f>
        <v/>
      </c>
      <c r="J260" s="1" t="str">
        <f>IF(AND(Programme_Grunddaten!$A265="Geprüft",Programme_Grunddaten!Q265&lt;&gt;""),IF(Programme_Grunddaten!Q265="geschlossenes System",1,0),"")</f>
        <v/>
      </c>
      <c r="K260" s="1" t="str">
        <f>IF(AND(Programme_Grunddaten!$A265="Geprüft",Programme_Grunddaten!R265&lt;&gt;""),IF(Programme_Grunddaten!R265="Ja",1,0),"")</f>
        <v/>
      </c>
      <c r="L260" s="1" t="str">
        <f>IF(AND(Programme_Grunddaten!$A265="Geprüft",Programme_Grunddaten!T265&lt;&gt;""),IF(Programme_Grunddaten!T265="Ja",1,0),"")</f>
        <v/>
      </c>
      <c r="M260" s="1" t="str">
        <f>IF(AND(Programme_Grunddaten!$A265="Geprüft",Programme_Grunddaten!U265&lt;&gt;""),IF(Programme_Grunddaten!U265="Ja",1,0),"")</f>
        <v/>
      </c>
      <c r="N260" s="1" t="str">
        <f>IF(AND(Programme_Grunddaten!$A265="Geprüft",Programme_Grunddaten!V265&lt;&gt;""),IF(Programme_Grunddaten!V265="Ja",1,0),"")</f>
        <v/>
      </c>
      <c r="O260" s="1" t="str">
        <f>IF(AND(Programme_Grunddaten!$A265="Geprüft",Programme_Grunddaten!W265&lt;&gt;""),IF(Programme_Grunddaten!W265="Ja",1,0),"")</f>
        <v/>
      </c>
      <c r="P260" s="1" t="str">
        <f>IF(AND(Programme_Grunddaten!$A265="Geprüft",Programme_Grunddaten!X265&lt;&gt;""),IF(Programme_Grunddaten!X265="Ja",1,0),"")</f>
        <v/>
      </c>
      <c r="Q260" s="1" t="str">
        <f>IF(AND(Programme_Grunddaten!$A265="Geprüft",Programme_Grunddaten!Y265&lt;&gt;""),IF(Programme_Grunddaten!Y265="Ja",1,0),"")</f>
        <v/>
      </c>
      <c r="R260" s="1" t="str">
        <f>IF(AND(Programme_Grunddaten!$A265="Geprüft",Programme_Grunddaten!Z265&lt;&gt;""),IF(Programme_Grunddaten!Z265="Ja",1,0),"")</f>
        <v/>
      </c>
      <c r="S260" s="1" t="str">
        <f>IF(AND(Programme_Grunddaten!$A265="Geprüft",Programme_Grunddaten!AA265&lt;&gt;""),IF(Programme_Grunddaten!AA265="monolithisch",1,0),"")</f>
        <v/>
      </c>
      <c r="T260" s="1" t="str">
        <f>IF(AND(Programme_Grunddaten!$A265="Geprüft",Programme_Grunddaten!AB265&lt;&gt;""),IF(Programme_Grunddaten!AB265="Ja",1,0),"")</f>
        <v/>
      </c>
      <c r="U260" s="1" t="str">
        <f>IF(AND(Programme_Grunddaten!$A265="Geprüft",Programme_Grunddaten!AC265&lt;&gt;""),IF(Programme_Grunddaten!AC265="Ja",1,0),"")</f>
        <v/>
      </c>
      <c r="V260" s="1" t="str">
        <f>IF(AND(Programme_Grunddaten!$A265="Geprüft",Programme_Grunddaten!AD265&lt;&gt;""),IF(Programme_Grunddaten!AD265="Ja",1,0),"")</f>
        <v/>
      </c>
      <c r="W260" s="1" t="str">
        <f>IF(AND(Programme_Grunddaten!$A265="Geprüft",Programme_Grunddaten!AE265&lt;&gt;""),IF(Programme_Grunddaten!AE265="Ja",1,0),"")</f>
        <v/>
      </c>
      <c r="X260" s="1" t="str">
        <f>IF(AND(Programme_Grunddaten!$A265="Geprüft",Programme_Grunddaten!AF265&lt;&gt;""),IF(Programme_Grunddaten!AF265="Ja",1,0),"")</f>
        <v/>
      </c>
      <c r="Y260" s="1" t="str">
        <f>IF(AND(Programme_Grunddaten!$A265="Geprüft",Programme_Grunddaten!AG265&lt;&gt;""),IF(Programme_Grunddaten!AG265="Ja",1,0),"")</f>
        <v/>
      </c>
      <c r="Z260" s="1" t="str">
        <f>IF(AND(Programme_Grunddaten!$A265="Geprüft",Programme_Grunddaten!AH265&lt;&gt;""),IF(Programme_Grunddaten!AH265="Ja",1,0),"")</f>
        <v/>
      </c>
      <c r="AA260" s="1" t="str">
        <f>IF(AND(Programme_Grunddaten!$A265="Geprüft",Programme_Grunddaten!AI265&lt;&gt;""),IF(Programme_Grunddaten!AI265="Ja",1,0),"")</f>
        <v/>
      </c>
      <c r="AB260" s="1" t="str">
        <f>IF(AND(Programme_Grunddaten!$A265="Geprüft",Programme_Grunddaten!AJ265&lt;&gt;""),IF(Programme_Grunddaten!AJ265="individuell programmierbar",1,0),"")</f>
        <v/>
      </c>
      <c r="AC260" s="1" t="str">
        <f>IF(AND(Programme_Grunddaten!$A265="Geprüft",Programme_Grunddaten!AK265&lt;&gt;""),IF(Programme_Grunddaten!AK265="Deutsch",0,IF(Programme_Grunddaten!AK265="Deutsch und Englisch",1,2)),"")</f>
        <v/>
      </c>
      <c r="AD260" s="1" t="str">
        <f>IF(AND(Programme_Grunddaten!$A265="Geprüft",Programme_Grunddaten!AL265&lt;&gt;""),IF(Programme_Grunddaten!AL265="Ja",1,0),"")</f>
        <v/>
      </c>
      <c r="AE260" s="1" t="str">
        <f>IF(AND(Programme_Grunddaten!$A265="Geprüft",Programme_Grunddaten!AM265&lt;&gt;""),IF(Programme_Grunddaten!AM265="Ja",1,0),"")</f>
        <v/>
      </c>
      <c r="AF260" s="1" t="str">
        <f>IF(AND(Programme_Grunddaten!$A265="Geprüft",Programme_Grunddaten!AN265&lt;&gt;""),IF(Programme_Grunddaten!AN265="Ja",1,0),"")</f>
        <v/>
      </c>
      <c r="AG260" s="1" t="str">
        <f>IF(AND(Programme_Grunddaten!$A265="Geprüft",Programme_Grunddaten!AO265&lt;&gt;""),IF(Programme_Grunddaten!AO265="Ja",1,0),"")</f>
        <v/>
      </c>
      <c r="AH260" s="1" t="str">
        <f>IF(AND(Programme_Grunddaten!$A265="Geprüft",Programme_Grunddaten!AP265&lt;&gt;""),IF(Programme_Grunddaten!AP265="Ja",1,0),"")</f>
        <v/>
      </c>
      <c r="AI260" s="1" t="str">
        <f>IF(AND(Programme_Grunddaten!$A265="Geprüft",Programme_Grunddaten!AQ265&lt;&gt;""),IF(Programme_Grunddaten!AQ265="Ja",1,0),"")</f>
        <v/>
      </c>
      <c r="AJ260" s="1" t="str">
        <f>IF(AND(Programme_Grunddaten!$A265="Geprüft",Programme_Grunddaten!AR265&lt;&gt;""),IF(Programme_Grunddaten!AR265="Ja",1,0),"")</f>
        <v/>
      </c>
      <c r="AK260" s="1" t="str">
        <f>IF(AND(Programme_Grunddaten!$A265="Geprüft",Programme_Grunddaten!AS265&lt;&gt;""),IF(Programme_Grunddaten!AS265="Ja",1,0),"")</f>
        <v/>
      </c>
      <c r="AL260" s="1" t="str">
        <f>IF(AND(Programme_Grunddaten!$A265="Geprüft",Programme_Grunddaten!AT265&lt;&gt;""),IF(Programme_Grunddaten!AT265="Ja",1,0),"")</f>
        <v/>
      </c>
      <c r="AM260" s="1" t="str">
        <f>IF(AND(Programme_Grunddaten!$A265="Geprüft",Programme_Grunddaten!AU265&lt;&gt;""),IF(Programme_Grunddaten!AU265="Ja",1,0),"")</f>
        <v/>
      </c>
      <c r="AN260" s="1" t="str">
        <f>IF(AND(Programme_Grunddaten!$A265="Geprüft",Programme_Grunddaten!AV265&lt;&gt;""),IF(Programme_Grunddaten!AV265="Ja",1,0),"")</f>
        <v/>
      </c>
    </row>
    <row r="261" spans="1:40" x14ac:dyDescent="0.3">
      <c r="A261" s="1" t="str">
        <f>IF(AND(Programme_Grunddaten!A266="Geprüft",Programme_Grunddaten!B266&lt;&gt;""),Programme_Grunddaten!B266,"")</f>
        <v/>
      </c>
      <c r="B261" s="1" t="str">
        <f>IF(AND(Programme_Grunddaten!$A266="Geprüft",Programme_Grunddaten!I266&lt;&gt;""),IF(Programme_Grunddaten!I266="Ja",1,0),"")</f>
        <v/>
      </c>
      <c r="C261" s="1" t="str">
        <f>IF(AND(Programme_Grunddaten!$A266="Geprüft",Programme_Grunddaten!J266&lt;&gt;""),IF(Programme_Grunddaten!J266="Ja",1,0),"")</f>
        <v/>
      </c>
      <c r="D261" s="1" t="str">
        <f>IF(AND(Programme_Grunddaten!$A266="Geprüft",Programme_Grunddaten!K266&lt;&gt;""),IF(Programme_Grunddaten!K266="Ja",1,0),"")</f>
        <v/>
      </c>
      <c r="E261" s="1" t="str">
        <f>IF(AND(Programme_Grunddaten!$A266="Geprüft",Programme_Grunddaten!L266&lt;&gt;""),IF(Programme_Grunddaten!L266="Abo / befristete Lizenz",1,0),"")</f>
        <v/>
      </c>
      <c r="F261" s="1" t="str">
        <f>IF(AND(Programme_Grunddaten!$A266="Geprüft",Programme_Grunddaten!M266&lt;&gt;""),IF(Programme_Grunddaten!M266="Ja",1,0),"")</f>
        <v/>
      </c>
      <c r="G261" s="1" t="str">
        <f>IF(AND(Programme_Grunddaten!$A266="Geprüft",Programme_Grunddaten!N266&lt;&gt;""),IF(Programme_Grunddaten!N266="Ja",1,0),"")</f>
        <v/>
      </c>
      <c r="H261" s="1" t="str">
        <f>IF(AND(Programme_Grunddaten!$A266="Geprüft",Programme_Grunddaten!O266&lt;&gt;""),IF(Programme_Grunddaten!O266="Deutschland",0,IF(Programme_Grunddaten!O266="EU",1,2)),"")</f>
        <v/>
      </c>
      <c r="I261" s="1" t="str">
        <f>IF(AND(Programme_Grunddaten!$A266="Geprüft",Programme_Grunddaten!P266&lt;&gt;""),IF(Programme_Grunddaten!P266="Ja",1,0),"")</f>
        <v/>
      </c>
      <c r="J261" s="1" t="str">
        <f>IF(AND(Programme_Grunddaten!$A266="Geprüft",Programme_Grunddaten!Q266&lt;&gt;""),IF(Programme_Grunddaten!Q266="geschlossenes System",1,0),"")</f>
        <v/>
      </c>
      <c r="K261" s="1" t="str">
        <f>IF(AND(Programme_Grunddaten!$A266="Geprüft",Programme_Grunddaten!R266&lt;&gt;""),IF(Programme_Grunddaten!R266="Ja",1,0),"")</f>
        <v/>
      </c>
      <c r="L261" s="1" t="str">
        <f>IF(AND(Programme_Grunddaten!$A266="Geprüft",Programme_Grunddaten!T266&lt;&gt;""),IF(Programme_Grunddaten!T266="Ja",1,0),"")</f>
        <v/>
      </c>
      <c r="M261" s="1" t="str">
        <f>IF(AND(Programme_Grunddaten!$A266="Geprüft",Programme_Grunddaten!U266&lt;&gt;""),IF(Programme_Grunddaten!U266="Ja",1,0),"")</f>
        <v/>
      </c>
      <c r="N261" s="1" t="str">
        <f>IF(AND(Programme_Grunddaten!$A266="Geprüft",Programme_Grunddaten!V266&lt;&gt;""),IF(Programme_Grunddaten!V266="Ja",1,0),"")</f>
        <v/>
      </c>
      <c r="O261" s="1" t="str">
        <f>IF(AND(Programme_Grunddaten!$A266="Geprüft",Programme_Grunddaten!W266&lt;&gt;""),IF(Programme_Grunddaten!W266="Ja",1,0),"")</f>
        <v/>
      </c>
      <c r="P261" s="1" t="str">
        <f>IF(AND(Programme_Grunddaten!$A266="Geprüft",Programme_Grunddaten!X266&lt;&gt;""),IF(Programme_Grunddaten!X266="Ja",1,0),"")</f>
        <v/>
      </c>
      <c r="Q261" s="1" t="str">
        <f>IF(AND(Programme_Grunddaten!$A266="Geprüft",Programme_Grunddaten!Y266&lt;&gt;""),IF(Programme_Grunddaten!Y266="Ja",1,0),"")</f>
        <v/>
      </c>
      <c r="R261" s="1" t="str">
        <f>IF(AND(Programme_Grunddaten!$A266="Geprüft",Programme_Grunddaten!Z266&lt;&gt;""),IF(Programme_Grunddaten!Z266="Ja",1,0),"")</f>
        <v/>
      </c>
      <c r="S261" s="1" t="str">
        <f>IF(AND(Programme_Grunddaten!$A266="Geprüft",Programme_Grunddaten!AA266&lt;&gt;""),IF(Programme_Grunddaten!AA266="monolithisch",1,0),"")</f>
        <v/>
      </c>
      <c r="T261" s="1" t="str">
        <f>IF(AND(Programme_Grunddaten!$A266="Geprüft",Programme_Grunddaten!AB266&lt;&gt;""),IF(Programme_Grunddaten!AB266="Ja",1,0),"")</f>
        <v/>
      </c>
      <c r="U261" s="1" t="str">
        <f>IF(AND(Programme_Grunddaten!$A266="Geprüft",Programme_Grunddaten!AC266&lt;&gt;""),IF(Programme_Grunddaten!AC266="Ja",1,0),"")</f>
        <v/>
      </c>
      <c r="V261" s="1" t="str">
        <f>IF(AND(Programme_Grunddaten!$A266="Geprüft",Programme_Grunddaten!AD266&lt;&gt;""),IF(Programme_Grunddaten!AD266="Ja",1,0),"")</f>
        <v/>
      </c>
      <c r="W261" s="1" t="str">
        <f>IF(AND(Programme_Grunddaten!$A266="Geprüft",Programme_Grunddaten!AE266&lt;&gt;""),IF(Programme_Grunddaten!AE266="Ja",1,0),"")</f>
        <v/>
      </c>
      <c r="X261" s="1" t="str">
        <f>IF(AND(Programme_Grunddaten!$A266="Geprüft",Programme_Grunddaten!AF266&lt;&gt;""),IF(Programme_Grunddaten!AF266="Ja",1,0),"")</f>
        <v/>
      </c>
      <c r="Y261" s="1" t="str">
        <f>IF(AND(Programme_Grunddaten!$A266="Geprüft",Programme_Grunddaten!AG266&lt;&gt;""),IF(Programme_Grunddaten!AG266="Ja",1,0),"")</f>
        <v/>
      </c>
      <c r="Z261" s="1" t="str">
        <f>IF(AND(Programme_Grunddaten!$A266="Geprüft",Programme_Grunddaten!AH266&lt;&gt;""),IF(Programme_Grunddaten!AH266="Ja",1,0),"")</f>
        <v/>
      </c>
      <c r="AA261" s="1" t="str">
        <f>IF(AND(Programme_Grunddaten!$A266="Geprüft",Programme_Grunddaten!AI266&lt;&gt;""),IF(Programme_Grunddaten!AI266="Ja",1,0),"")</f>
        <v/>
      </c>
      <c r="AB261" s="1" t="str">
        <f>IF(AND(Programme_Grunddaten!$A266="Geprüft",Programme_Grunddaten!AJ266&lt;&gt;""),IF(Programme_Grunddaten!AJ266="individuell programmierbar",1,0),"")</f>
        <v/>
      </c>
      <c r="AC261" s="1" t="str">
        <f>IF(AND(Programme_Grunddaten!$A266="Geprüft",Programme_Grunddaten!AK266&lt;&gt;""),IF(Programme_Grunddaten!AK266="Deutsch",0,IF(Programme_Grunddaten!AK266="Deutsch und Englisch",1,2)),"")</f>
        <v/>
      </c>
      <c r="AD261" s="1" t="str">
        <f>IF(AND(Programme_Grunddaten!$A266="Geprüft",Programme_Grunddaten!AL266&lt;&gt;""),IF(Programme_Grunddaten!AL266="Ja",1,0),"")</f>
        <v/>
      </c>
      <c r="AE261" s="1" t="str">
        <f>IF(AND(Programme_Grunddaten!$A266="Geprüft",Programme_Grunddaten!AM266&lt;&gt;""),IF(Programme_Grunddaten!AM266="Ja",1,0),"")</f>
        <v/>
      </c>
      <c r="AF261" s="1" t="str">
        <f>IF(AND(Programme_Grunddaten!$A266="Geprüft",Programme_Grunddaten!AN266&lt;&gt;""),IF(Programme_Grunddaten!AN266="Ja",1,0),"")</f>
        <v/>
      </c>
      <c r="AG261" s="1" t="str">
        <f>IF(AND(Programme_Grunddaten!$A266="Geprüft",Programme_Grunddaten!AO266&lt;&gt;""),IF(Programme_Grunddaten!AO266="Ja",1,0),"")</f>
        <v/>
      </c>
      <c r="AH261" s="1" t="str">
        <f>IF(AND(Programme_Grunddaten!$A266="Geprüft",Programme_Grunddaten!AP266&lt;&gt;""),IF(Programme_Grunddaten!AP266="Ja",1,0),"")</f>
        <v/>
      </c>
      <c r="AI261" s="1" t="str">
        <f>IF(AND(Programme_Grunddaten!$A266="Geprüft",Programme_Grunddaten!AQ266&lt;&gt;""),IF(Programme_Grunddaten!AQ266="Ja",1,0),"")</f>
        <v/>
      </c>
      <c r="AJ261" s="1" t="str">
        <f>IF(AND(Programme_Grunddaten!$A266="Geprüft",Programme_Grunddaten!AR266&lt;&gt;""),IF(Programme_Grunddaten!AR266="Ja",1,0),"")</f>
        <v/>
      </c>
      <c r="AK261" s="1" t="str">
        <f>IF(AND(Programme_Grunddaten!$A266="Geprüft",Programme_Grunddaten!AS266&lt;&gt;""),IF(Programme_Grunddaten!AS266="Ja",1,0),"")</f>
        <v/>
      </c>
      <c r="AL261" s="1" t="str">
        <f>IF(AND(Programme_Grunddaten!$A266="Geprüft",Programme_Grunddaten!AT266&lt;&gt;""),IF(Programme_Grunddaten!AT266="Ja",1,0),"")</f>
        <v/>
      </c>
      <c r="AM261" s="1" t="str">
        <f>IF(AND(Programme_Grunddaten!$A266="Geprüft",Programme_Grunddaten!AU266&lt;&gt;""),IF(Programme_Grunddaten!AU266="Ja",1,0),"")</f>
        <v/>
      </c>
      <c r="AN261" s="1" t="str">
        <f>IF(AND(Programme_Grunddaten!$A266="Geprüft",Programme_Grunddaten!AV266&lt;&gt;""),IF(Programme_Grunddaten!AV266="Ja",1,0),"")</f>
        <v/>
      </c>
    </row>
    <row r="262" spans="1:40" x14ac:dyDescent="0.3">
      <c r="A262" s="1" t="str">
        <f>IF(AND(Programme_Grunddaten!A267="Geprüft",Programme_Grunddaten!B267&lt;&gt;""),Programme_Grunddaten!B267,"")</f>
        <v/>
      </c>
      <c r="B262" s="1" t="str">
        <f>IF(AND(Programme_Grunddaten!$A267="Geprüft",Programme_Grunddaten!I267&lt;&gt;""),IF(Programme_Grunddaten!I267="Ja",1,0),"")</f>
        <v/>
      </c>
      <c r="C262" s="1" t="str">
        <f>IF(AND(Programme_Grunddaten!$A267="Geprüft",Programme_Grunddaten!J267&lt;&gt;""),IF(Programme_Grunddaten!J267="Ja",1,0),"")</f>
        <v/>
      </c>
      <c r="D262" s="1" t="str">
        <f>IF(AND(Programme_Grunddaten!$A267="Geprüft",Programme_Grunddaten!K267&lt;&gt;""),IF(Programme_Grunddaten!K267="Ja",1,0),"")</f>
        <v/>
      </c>
      <c r="E262" s="1" t="str">
        <f>IF(AND(Programme_Grunddaten!$A267="Geprüft",Programme_Grunddaten!L267&lt;&gt;""),IF(Programme_Grunddaten!L267="Abo / befristete Lizenz",1,0),"")</f>
        <v/>
      </c>
      <c r="F262" s="1" t="str">
        <f>IF(AND(Programme_Grunddaten!$A267="Geprüft",Programme_Grunddaten!M267&lt;&gt;""),IF(Programme_Grunddaten!M267="Ja",1,0),"")</f>
        <v/>
      </c>
      <c r="G262" s="1" t="str">
        <f>IF(AND(Programme_Grunddaten!$A267="Geprüft",Programme_Grunddaten!N267&lt;&gt;""),IF(Programme_Grunddaten!N267="Ja",1,0),"")</f>
        <v/>
      </c>
      <c r="H262" s="1" t="str">
        <f>IF(AND(Programme_Grunddaten!$A267="Geprüft",Programme_Grunddaten!O267&lt;&gt;""),IF(Programme_Grunddaten!O267="Deutschland",0,IF(Programme_Grunddaten!O267="EU",1,2)),"")</f>
        <v/>
      </c>
      <c r="I262" s="1" t="str">
        <f>IF(AND(Programme_Grunddaten!$A267="Geprüft",Programme_Grunddaten!P267&lt;&gt;""),IF(Programme_Grunddaten!P267="Ja",1,0),"")</f>
        <v/>
      </c>
      <c r="J262" s="1" t="str">
        <f>IF(AND(Programme_Grunddaten!$A267="Geprüft",Programme_Grunddaten!Q267&lt;&gt;""),IF(Programme_Grunddaten!Q267="geschlossenes System",1,0),"")</f>
        <v/>
      </c>
      <c r="K262" s="1" t="str">
        <f>IF(AND(Programme_Grunddaten!$A267="Geprüft",Programme_Grunddaten!R267&lt;&gt;""),IF(Programme_Grunddaten!R267="Ja",1,0),"")</f>
        <v/>
      </c>
      <c r="L262" s="1" t="str">
        <f>IF(AND(Programme_Grunddaten!$A267="Geprüft",Programme_Grunddaten!T267&lt;&gt;""),IF(Programme_Grunddaten!T267="Ja",1,0),"")</f>
        <v/>
      </c>
      <c r="M262" s="1" t="str">
        <f>IF(AND(Programme_Grunddaten!$A267="Geprüft",Programme_Grunddaten!U267&lt;&gt;""),IF(Programme_Grunddaten!U267="Ja",1,0),"")</f>
        <v/>
      </c>
      <c r="N262" s="1" t="str">
        <f>IF(AND(Programme_Grunddaten!$A267="Geprüft",Programme_Grunddaten!V267&lt;&gt;""),IF(Programme_Grunddaten!V267="Ja",1,0),"")</f>
        <v/>
      </c>
      <c r="O262" s="1" t="str">
        <f>IF(AND(Programme_Grunddaten!$A267="Geprüft",Programme_Grunddaten!W267&lt;&gt;""),IF(Programme_Grunddaten!W267="Ja",1,0),"")</f>
        <v/>
      </c>
      <c r="P262" s="1" t="str">
        <f>IF(AND(Programme_Grunddaten!$A267="Geprüft",Programme_Grunddaten!X267&lt;&gt;""),IF(Programme_Grunddaten!X267="Ja",1,0),"")</f>
        <v/>
      </c>
      <c r="Q262" s="1" t="str">
        <f>IF(AND(Programme_Grunddaten!$A267="Geprüft",Programme_Grunddaten!Y267&lt;&gt;""),IF(Programme_Grunddaten!Y267="Ja",1,0),"")</f>
        <v/>
      </c>
      <c r="R262" s="1" t="str">
        <f>IF(AND(Programme_Grunddaten!$A267="Geprüft",Programme_Grunddaten!Z267&lt;&gt;""),IF(Programme_Grunddaten!Z267="Ja",1,0),"")</f>
        <v/>
      </c>
      <c r="S262" s="1" t="str">
        <f>IF(AND(Programme_Grunddaten!$A267="Geprüft",Programme_Grunddaten!AA267&lt;&gt;""),IF(Programme_Grunddaten!AA267="monolithisch",1,0),"")</f>
        <v/>
      </c>
      <c r="T262" s="1" t="str">
        <f>IF(AND(Programme_Grunddaten!$A267="Geprüft",Programme_Grunddaten!AB267&lt;&gt;""),IF(Programme_Grunddaten!AB267="Ja",1,0),"")</f>
        <v/>
      </c>
      <c r="U262" s="1" t="str">
        <f>IF(AND(Programme_Grunddaten!$A267="Geprüft",Programme_Grunddaten!AC267&lt;&gt;""),IF(Programme_Grunddaten!AC267="Ja",1,0),"")</f>
        <v/>
      </c>
      <c r="V262" s="1" t="str">
        <f>IF(AND(Programme_Grunddaten!$A267="Geprüft",Programme_Grunddaten!AD267&lt;&gt;""),IF(Programme_Grunddaten!AD267="Ja",1,0),"")</f>
        <v/>
      </c>
      <c r="W262" s="1" t="str">
        <f>IF(AND(Programme_Grunddaten!$A267="Geprüft",Programme_Grunddaten!AE267&lt;&gt;""),IF(Programme_Grunddaten!AE267="Ja",1,0),"")</f>
        <v/>
      </c>
      <c r="X262" s="1" t="str">
        <f>IF(AND(Programme_Grunddaten!$A267="Geprüft",Programme_Grunddaten!AF267&lt;&gt;""),IF(Programme_Grunddaten!AF267="Ja",1,0),"")</f>
        <v/>
      </c>
      <c r="Y262" s="1" t="str">
        <f>IF(AND(Programme_Grunddaten!$A267="Geprüft",Programme_Grunddaten!AG267&lt;&gt;""),IF(Programme_Grunddaten!AG267="Ja",1,0),"")</f>
        <v/>
      </c>
      <c r="Z262" s="1" t="str">
        <f>IF(AND(Programme_Grunddaten!$A267="Geprüft",Programme_Grunddaten!AH267&lt;&gt;""),IF(Programme_Grunddaten!AH267="Ja",1,0),"")</f>
        <v/>
      </c>
      <c r="AA262" s="1" t="str">
        <f>IF(AND(Programme_Grunddaten!$A267="Geprüft",Programme_Grunddaten!AI267&lt;&gt;""),IF(Programme_Grunddaten!AI267="Ja",1,0),"")</f>
        <v/>
      </c>
      <c r="AB262" s="1" t="str">
        <f>IF(AND(Programme_Grunddaten!$A267="Geprüft",Programme_Grunddaten!AJ267&lt;&gt;""),IF(Programme_Grunddaten!AJ267="individuell programmierbar",1,0),"")</f>
        <v/>
      </c>
      <c r="AC262" s="1" t="str">
        <f>IF(AND(Programme_Grunddaten!$A267="Geprüft",Programme_Grunddaten!AK267&lt;&gt;""),IF(Programme_Grunddaten!AK267="Deutsch",0,IF(Programme_Grunddaten!AK267="Deutsch und Englisch",1,2)),"")</f>
        <v/>
      </c>
      <c r="AD262" s="1" t="str">
        <f>IF(AND(Programme_Grunddaten!$A267="Geprüft",Programme_Grunddaten!AL267&lt;&gt;""),IF(Programme_Grunddaten!AL267="Ja",1,0),"")</f>
        <v/>
      </c>
      <c r="AE262" s="1" t="str">
        <f>IF(AND(Programme_Grunddaten!$A267="Geprüft",Programme_Grunddaten!AM267&lt;&gt;""),IF(Programme_Grunddaten!AM267="Ja",1,0),"")</f>
        <v/>
      </c>
      <c r="AF262" s="1" t="str">
        <f>IF(AND(Programme_Grunddaten!$A267="Geprüft",Programme_Grunddaten!AN267&lt;&gt;""),IF(Programme_Grunddaten!AN267="Ja",1,0),"")</f>
        <v/>
      </c>
      <c r="AG262" s="1" t="str">
        <f>IF(AND(Programme_Grunddaten!$A267="Geprüft",Programme_Grunddaten!AO267&lt;&gt;""),IF(Programme_Grunddaten!AO267="Ja",1,0),"")</f>
        <v/>
      </c>
      <c r="AH262" s="1" t="str">
        <f>IF(AND(Programme_Grunddaten!$A267="Geprüft",Programme_Grunddaten!AP267&lt;&gt;""),IF(Programme_Grunddaten!AP267="Ja",1,0),"")</f>
        <v/>
      </c>
      <c r="AI262" s="1" t="str">
        <f>IF(AND(Programme_Grunddaten!$A267="Geprüft",Programme_Grunddaten!AQ267&lt;&gt;""),IF(Programme_Grunddaten!AQ267="Ja",1,0),"")</f>
        <v/>
      </c>
      <c r="AJ262" s="1" t="str">
        <f>IF(AND(Programme_Grunddaten!$A267="Geprüft",Programme_Grunddaten!AR267&lt;&gt;""),IF(Programme_Grunddaten!AR267="Ja",1,0),"")</f>
        <v/>
      </c>
      <c r="AK262" s="1" t="str">
        <f>IF(AND(Programme_Grunddaten!$A267="Geprüft",Programme_Grunddaten!AS267&lt;&gt;""),IF(Programme_Grunddaten!AS267="Ja",1,0),"")</f>
        <v/>
      </c>
      <c r="AL262" s="1" t="str">
        <f>IF(AND(Programme_Grunddaten!$A267="Geprüft",Programme_Grunddaten!AT267&lt;&gt;""),IF(Programme_Grunddaten!AT267="Ja",1,0),"")</f>
        <v/>
      </c>
      <c r="AM262" s="1" t="str">
        <f>IF(AND(Programme_Grunddaten!$A267="Geprüft",Programme_Grunddaten!AU267&lt;&gt;""),IF(Programme_Grunddaten!AU267="Ja",1,0),"")</f>
        <v/>
      </c>
      <c r="AN262" s="1" t="str">
        <f>IF(AND(Programme_Grunddaten!$A267="Geprüft",Programme_Grunddaten!AV267&lt;&gt;""),IF(Programme_Grunddaten!AV267="Ja",1,0),"")</f>
        <v/>
      </c>
    </row>
    <row r="263" spans="1:40" x14ac:dyDescent="0.3">
      <c r="A263" s="1" t="str">
        <f>IF(AND(Programme_Grunddaten!A268="Geprüft",Programme_Grunddaten!B268&lt;&gt;""),Programme_Grunddaten!B268,"")</f>
        <v/>
      </c>
      <c r="B263" s="1" t="str">
        <f>IF(AND(Programme_Grunddaten!$A268="Geprüft",Programme_Grunddaten!I268&lt;&gt;""),IF(Programme_Grunddaten!I268="Ja",1,0),"")</f>
        <v/>
      </c>
      <c r="C263" s="1" t="str">
        <f>IF(AND(Programme_Grunddaten!$A268="Geprüft",Programme_Grunddaten!J268&lt;&gt;""),IF(Programme_Grunddaten!J268="Ja",1,0),"")</f>
        <v/>
      </c>
      <c r="D263" s="1" t="str">
        <f>IF(AND(Programme_Grunddaten!$A268="Geprüft",Programme_Grunddaten!K268&lt;&gt;""),IF(Programme_Grunddaten!K268="Ja",1,0),"")</f>
        <v/>
      </c>
      <c r="E263" s="1" t="str">
        <f>IF(AND(Programme_Grunddaten!$A268="Geprüft",Programme_Grunddaten!L268&lt;&gt;""),IF(Programme_Grunddaten!L268="Abo / befristete Lizenz",1,0),"")</f>
        <v/>
      </c>
      <c r="F263" s="1" t="str">
        <f>IF(AND(Programme_Grunddaten!$A268="Geprüft",Programme_Grunddaten!M268&lt;&gt;""),IF(Programme_Grunddaten!M268="Ja",1,0),"")</f>
        <v/>
      </c>
      <c r="G263" s="1" t="str">
        <f>IF(AND(Programme_Grunddaten!$A268="Geprüft",Programme_Grunddaten!N268&lt;&gt;""),IF(Programme_Grunddaten!N268="Ja",1,0),"")</f>
        <v/>
      </c>
      <c r="H263" s="1" t="str">
        <f>IF(AND(Programme_Grunddaten!$A268="Geprüft",Programme_Grunddaten!O268&lt;&gt;""),IF(Programme_Grunddaten!O268="Deutschland",0,IF(Programme_Grunddaten!O268="EU",1,2)),"")</f>
        <v/>
      </c>
      <c r="I263" s="1" t="str">
        <f>IF(AND(Programme_Grunddaten!$A268="Geprüft",Programme_Grunddaten!P268&lt;&gt;""),IF(Programme_Grunddaten!P268="Ja",1,0),"")</f>
        <v/>
      </c>
      <c r="J263" s="1" t="str">
        <f>IF(AND(Programme_Grunddaten!$A268="Geprüft",Programme_Grunddaten!Q268&lt;&gt;""),IF(Programme_Grunddaten!Q268="geschlossenes System",1,0),"")</f>
        <v/>
      </c>
      <c r="K263" s="1" t="str">
        <f>IF(AND(Programme_Grunddaten!$A268="Geprüft",Programme_Grunddaten!R268&lt;&gt;""),IF(Programme_Grunddaten!R268="Ja",1,0),"")</f>
        <v/>
      </c>
      <c r="L263" s="1" t="str">
        <f>IF(AND(Programme_Grunddaten!$A268="Geprüft",Programme_Grunddaten!T268&lt;&gt;""),IF(Programme_Grunddaten!T268="Ja",1,0),"")</f>
        <v/>
      </c>
      <c r="M263" s="1" t="str">
        <f>IF(AND(Programme_Grunddaten!$A268="Geprüft",Programme_Grunddaten!U268&lt;&gt;""),IF(Programme_Grunddaten!U268="Ja",1,0),"")</f>
        <v/>
      </c>
      <c r="N263" s="1" t="str">
        <f>IF(AND(Programme_Grunddaten!$A268="Geprüft",Programme_Grunddaten!V268&lt;&gt;""),IF(Programme_Grunddaten!V268="Ja",1,0),"")</f>
        <v/>
      </c>
      <c r="O263" s="1" t="str">
        <f>IF(AND(Programme_Grunddaten!$A268="Geprüft",Programme_Grunddaten!W268&lt;&gt;""),IF(Programme_Grunddaten!W268="Ja",1,0),"")</f>
        <v/>
      </c>
      <c r="P263" s="1" t="str">
        <f>IF(AND(Programme_Grunddaten!$A268="Geprüft",Programme_Grunddaten!X268&lt;&gt;""),IF(Programme_Grunddaten!X268="Ja",1,0),"")</f>
        <v/>
      </c>
      <c r="Q263" s="1" t="str">
        <f>IF(AND(Programme_Grunddaten!$A268="Geprüft",Programme_Grunddaten!Y268&lt;&gt;""),IF(Programme_Grunddaten!Y268="Ja",1,0),"")</f>
        <v/>
      </c>
      <c r="R263" s="1" t="str">
        <f>IF(AND(Programme_Grunddaten!$A268="Geprüft",Programme_Grunddaten!Z268&lt;&gt;""),IF(Programme_Grunddaten!Z268="Ja",1,0),"")</f>
        <v/>
      </c>
      <c r="S263" s="1" t="str">
        <f>IF(AND(Programme_Grunddaten!$A268="Geprüft",Programme_Grunddaten!AA268&lt;&gt;""),IF(Programme_Grunddaten!AA268="monolithisch",1,0),"")</f>
        <v/>
      </c>
      <c r="T263" s="1" t="str">
        <f>IF(AND(Programme_Grunddaten!$A268="Geprüft",Programme_Grunddaten!AB268&lt;&gt;""),IF(Programme_Grunddaten!AB268="Ja",1,0),"")</f>
        <v/>
      </c>
      <c r="U263" s="1" t="str">
        <f>IF(AND(Programme_Grunddaten!$A268="Geprüft",Programme_Grunddaten!AC268&lt;&gt;""),IF(Programme_Grunddaten!AC268="Ja",1,0),"")</f>
        <v/>
      </c>
      <c r="V263" s="1" t="str">
        <f>IF(AND(Programme_Grunddaten!$A268="Geprüft",Programme_Grunddaten!AD268&lt;&gt;""),IF(Programme_Grunddaten!AD268="Ja",1,0),"")</f>
        <v/>
      </c>
      <c r="W263" s="1" t="str">
        <f>IF(AND(Programme_Grunddaten!$A268="Geprüft",Programme_Grunddaten!AE268&lt;&gt;""),IF(Programme_Grunddaten!AE268="Ja",1,0),"")</f>
        <v/>
      </c>
      <c r="X263" s="1" t="str">
        <f>IF(AND(Programme_Grunddaten!$A268="Geprüft",Programme_Grunddaten!AF268&lt;&gt;""),IF(Programme_Grunddaten!AF268="Ja",1,0),"")</f>
        <v/>
      </c>
      <c r="Y263" s="1" t="str">
        <f>IF(AND(Programme_Grunddaten!$A268="Geprüft",Programme_Grunddaten!AG268&lt;&gt;""),IF(Programme_Grunddaten!AG268="Ja",1,0),"")</f>
        <v/>
      </c>
      <c r="Z263" s="1" t="str">
        <f>IF(AND(Programme_Grunddaten!$A268="Geprüft",Programme_Grunddaten!AH268&lt;&gt;""),IF(Programme_Grunddaten!AH268="Ja",1,0),"")</f>
        <v/>
      </c>
      <c r="AA263" s="1" t="str">
        <f>IF(AND(Programme_Grunddaten!$A268="Geprüft",Programme_Grunddaten!AI268&lt;&gt;""),IF(Programme_Grunddaten!AI268="Ja",1,0),"")</f>
        <v/>
      </c>
      <c r="AB263" s="1" t="str">
        <f>IF(AND(Programme_Grunddaten!$A268="Geprüft",Programme_Grunddaten!AJ268&lt;&gt;""),IF(Programme_Grunddaten!AJ268="individuell programmierbar",1,0),"")</f>
        <v/>
      </c>
      <c r="AC263" s="1" t="str">
        <f>IF(AND(Programme_Grunddaten!$A268="Geprüft",Programme_Grunddaten!AK268&lt;&gt;""),IF(Programme_Grunddaten!AK268="Deutsch",0,IF(Programme_Grunddaten!AK268="Deutsch und Englisch",1,2)),"")</f>
        <v/>
      </c>
      <c r="AD263" s="1" t="str">
        <f>IF(AND(Programme_Grunddaten!$A268="Geprüft",Programme_Grunddaten!AL268&lt;&gt;""),IF(Programme_Grunddaten!AL268="Ja",1,0),"")</f>
        <v/>
      </c>
      <c r="AE263" s="1" t="str">
        <f>IF(AND(Programme_Grunddaten!$A268="Geprüft",Programme_Grunddaten!AM268&lt;&gt;""),IF(Programme_Grunddaten!AM268="Ja",1,0),"")</f>
        <v/>
      </c>
      <c r="AF263" s="1" t="str">
        <f>IF(AND(Programme_Grunddaten!$A268="Geprüft",Programme_Grunddaten!AN268&lt;&gt;""),IF(Programme_Grunddaten!AN268="Ja",1,0),"")</f>
        <v/>
      </c>
      <c r="AG263" s="1" t="str">
        <f>IF(AND(Programme_Grunddaten!$A268="Geprüft",Programme_Grunddaten!AO268&lt;&gt;""),IF(Programme_Grunddaten!AO268="Ja",1,0),"")</f>
        <v/>
      </c>
      <c r="AH263" s="1" t="str">
        <f>IF(AND(Programme_Grunddaten!$A268="Geprüft",Programme_Grunddaten!AP268&lt;&gt;""),IF(Programme_Grunddaten!AP268="Ja",1,0),"")</f>
        <v/>
      </c>
      <c r="AI263" s="1" t="str">
        <f>IF(AND(Programme_Grunddaten!$A268="Geprüft",Programme_Grunddaten!AQ268&lt;&gt;""),IF(Programme_Grunddaten!AQ268="Ja",1,0),"")</f>
        <v/>
      </c>
      <c r="AJ263" s="1" t="str">
        <f>IF(AND(Programme_Grunddaten!$A268="Geprüft",Programme_Grunddaten!AR268&lt;&gt;""),IF(Programme_Grunddaten!AR268="Ja",1,0),"")</f>
        <v/>
      </c>
      <c r="AK263" s="1" t="str">
        <f>IF(AND(Programme_Grunddaten!$A268="Geprüft",Programme_Grunddaten!AS268&lt;&gt;""),IF(Programme_Grunddaten!AS268="Ja",1,0),"")</f>
        <v/>
      </c>
      <c r="AL263" s="1" t="str">
        <f>IF(AND(Programme_Grunddaten!$A268="Geprüft",Programme_Grunddaten!AT268&lt;&gt;""),IF(Programme_Grunddaten!AT268="Ja",1,0),"")</f>
        <v/>
      </c>
      <c r="AM263" s="1" t="str">
        <f>IF(AND(Programme_Grunddaten!$A268="Geprüft",Programme_Grunddaten!AU268&lt;&gt;""),IF(Programme_Grunddaten!AU268="Ja",1,0),"")</f>
        <v/>
      </c>
      <c r="AN263" s="1" t="str">
        <f>IF(AND(Programme_Grunddaten!$A268="Geprüft",Programme_Grunddaten!AV268&lt;&gt;""),IF(Programme_Grunddaten!AV268="Ja",1,0),"")</f>
        <v/>
      </c>
    </row>
    <row r="264" spans="1:40" x14ac:dyDescent="0.3">
      <c r="A264" s="1" t="str">
        <f>IF(AND(Programme_Grunddaten!A269="Geprüft",Programme_Grunddaten!B269&lt;&gt;""),Programme_Grunddaten!B269,"")</f>
        <v/>
      </c>
      <c r="B264" s="1" t="str">
        <f>IF(AND(Programme_Grunddaten!$A269="Geprüft",Programme_Grunddaten!I269&lt;&gt;""),IF(Programme_Grunddaten!I269="Ja",1,0),"")</f>
        <v/>
      </c>
      <c r="C264" s="1" t="str">
        <f>IF(AND(Programme_Grunddaten!$A269="Geprüft",Programme_Grunddaten!J269&lt;&gt;""),IF(Programme_Grunddaten!J269="Ja",1,0),"")</f>
        <v/>
      </c>
      <c r="D264" s="1" t="str">
        <f>IF(AND(Programme_Grunddaten!$A269="Geprüft",Programme_Grunddaten!K269&lt;&gt;""),IF(Programme_Grunddaten!K269="Ja",1,0),"")</f>
        <v/>
      </c>
      <c r="E264" s="1" t="str">
        <f>IF(AND(Programme_Grunddaten!$A269="Geprüft",Programme_Grunddaten!L269&lt;&gt;""),IF(Programme_Grunddaten!L269="Abo / befristete Lizenz",1,0),"")</f>
        <v/>
      </c>
      <c r="F264" s="1" t="str">
        <f>IF(AND(Programme_Grunddaten!$A269="Geprüft",Programme_Grunddaten!M269&lt;&gt;""),IF(Programme_Grunddaten!M269="Ja",1,0),"")</f>
        <v/>
      </c>
      <c r="G264" s="1" t="str">
        <f>IF(AND(Programme_Grunddaten!$A269="Geprüft",Programme_Grunddaten!N269&lt;&gt;""),IF(Programme_Grunddaten!N269="Ja",1,0),"")</f>
        <v/>
      </c>
      <c r="H264" s="1" t="str">
        <f>IF(AND(Programme_Grunddaten!$A269="Geprüft",Programme_Grunddaten!O269&lt;&gt;""),IF(Programme_Grunddaten!O269="Deutschland",0,IF(Programme_Grunddaten!O269="EU",1,2)),"")</f>
        <v/>
      </c>
      <c r="I264" s="1" t="str">
        <f>IF(AND(Programme_Grunddaten!$A269="Geprüft",Programme_Grunddaten!P269&lt;&gt;""),IF(Programme_Grunddaten!P269="Ja",1,0),"")</f>
        <v/>
      </c>
      <c r="J264" s="1" t="str">
        <f>IF(AND(Programme_Grunddaten!$A269="Geprüft",Programme_Grunddaten!Q269&lt;&gt;""),IF(Programme_Grunddaten!Q269="geschlossenes System",1,0),"")</f>
        <v/>
      </c>
      <c r="K264" s="1" t="str">
        <f>IF(AND(Programme_Grunddaten!$A269="Geprüft",Programme_Grunddaten!R269&lt;&gt;""),IF(Programme_Grunddaten!R269="Ja",1,0),"")</f>
        <v/>
      </c>
      <c r="L264" s="1" t="str">
        <f>IF(AND(Programme_Grunddaten!$A269="Geprüft",Programme_Grunddaten!T269&lt;&gt;""),IF(Programme_Grunddaten!T269="Ja",1,0),"")</f>
        <v/>
      </c>
      <c r="M264" s="1" t="str">
        <f>IF(AND(Programme_Grunddaten!$A269="Geprüft",Programme_Grunddaten!U269&lt;&gt;""),IF(Programme_Grunddaten!U269="Ja",1,0),"")</f>
        <v/>
      </c>
      <c r="N264" s="1" t="str">
        <f>IF(AND(Programme_Grunddaten!$A269="Geprüft",Programme_Grunddaten!V269&lt;&gt;""),IF(Programme_Grunddaten!V269="Ja",1,0),"")</f>
        <v/>
      </c>
      <c r="O264" s="1" t="str">
        <f>IF(AND(Programme_Grunddaten!$A269="Geprüft",Programme_Grunddaten!W269&lt;&gt;""),IF(Programme_Grunddaten!W269="Ja",1,0),"")</f>
        <v/>
      </c>
      <c r="P264" s="1" t="str">
        <f>IF(AND(Programme_Grunddaten!$A269="Geprüft",Programme_Grunddaten!X269&lt;&gt;""),IF(Programme_Grunddaten!X269="Ja",1,0),"")</f>
        <v/>
      </c>
      <c r="Q264" s="1" t="str">
        <f>IF(AND(Programme_Grunddaten!$A269="Geprüft",Programme_Grunddaten!Y269&lt;&gt;""),IF(Programme_Grunddaten!Y269="Ja",1,0),"")</f>
        <v/>
      </c>
      <c r="R264" s="1" t="str">
        <f>IF(AND(Programme_Grunddaten!$A269="Geprüft",Programme_Grunddaten!Z269&lt;&gt;""),IF(Programme_Grunddaten!Z269="Ja",1,0),"")</f>
        <v/>
      </c>
      <c r="S264" s="1" t="str">
        <f>IF(AND(Programme_Grunddaten!$A269="Geprüft",Programme_Grunddaten!AA269&lt;&gt;""),IF(Programme_Grunddaten!AA269="monolithisch",1,0),"")</f>
        <v/>
      </c>
      <c r="T264" s="1" t="str">
        <f>IF(AND(Programme_Grunddaten!$A269="Geprüft",Programme_Grunddaten!AB269&lt;&gt;""),IF(Programme_Grunddaten!AB269="Ja",1,0),"")</f>
        <v/>
      </c>
      <c r="U264" s="1" t="str">
        <f>IF(AND(Programme_Grunddaten!$A269="Geprüft",Programme_Grunddaten!AC269&lt;&gt;""),IF(Programme_Grunddaten!AC269="Ja",1,0),"")</f>
        <v/>
      </c>
      <c r="V264" s="1" t="str">
        <f>IF(AND(Programme_Grunddaten!$A269="Geprüft",Programme_Grunddaten!AD269&lt;&gt;""),IF(Programme_Grunddaten!AD269="Ja",1,0),"")</f>
        <v/>
      </c>
      <c r="W264" s="1" t="str">
        <f>IF(AND(Programme_Grunddaten!$A269="Geprüft",Programme_Grunddaten!AE269&lt;&gt;""),IF(Programme_Grunddaten!AE269="Ja",1,0),"")</f>
        <v/>
      </c>
      <c r="X264" s="1" t="str">
        <f>IF(AND(Programme_Grunddaten!$A269="Geprüft",Programme_Grunddaten!AF269&lt;&gt;""),IF(Programme_Grunddaten!AF269="Ja",1,0),"")</f>
        <v/>
      </c>
      <c r="Y264" s="1" t="str">
        <f>IF(AND(Programme_Grunddaten!$A269="Geprüft",Programme_Grunddaten!AG269&lt;&gt;""),IF(Programme_Grunddaten!AG269="Ja",1,0),"")</f>
        <v/>
      </c>
      <c r="Z264" s="1" t="str">
        <f>IF(AND(Programme_Grunddaten!$A269="Geprüft",Programme_Grunddaten!AH269&lt;&gt;""),IF(Programme_Grunddaten!AH269="Ja",1,0),"")</f>
        <v/>
      </c>
      <c r="AA264" s="1" t="str">
        <f>IF(AND(Programme_Grunddaten!$A269="Geprüft",Programme_Grunddaten!AI269&lt;&gt;""),IF(Programme_Grunddaten!AI269="Ja",1,0),"")</f>
        <v/>
      </c>
      <c r="AB264" s="1" t="str">
        <f>IF(AND(Programme_Grunddaten!$A269="Geprüft",Programme_Grunddaten!AJ269&lt;&gt;""),IF(Programme_Grunddaten!AJ269="individuell programmierbar",1,0),"")</f>
        <v/>
      </c>
      <c r="AC264" s="1" t="str">
        <f>IF(AND(Programme_Grunddaten!$A269="Geprüft",Programme_Grunddaten!AK269&lt;&gt;""),IF(Programme_Grunddaten!AK269="Deutsch",0,IF(Programme_Grunddaten!AK269="Deutsch und Englisch",1,2)),"")</f>
        <v/>
      </c>
      <c r="AD264" s="1" t="str">
        <f>IF(AND(Programme_Grunddaten!$A269="Geprüft",Programme_Grunddaten!AL269&lt;&gt;""),IF(Programme_Grunddaten!AL269="Ja",1,0),"")</f>
        <v/>
      </c>
      <c r="AE264" s="1" t="str">
        <f>IF(AND(Programme_Grunddaten!$A269="Geprüft",Programme_Grunddaten!AM269&lt;&gt;""),IF(Programme_Grunddaten!AM269="Ja",1,0),"")</f>
        <v/>
      </c>
      <c r="AF264" s="1" t="str">
        <f>IF(AND(Programme_Grunddaten!$A269="Geprüft",Programme_Grunddaten!AN269&lt;&gt;""),IF(Programme_Grunddaten!AN269="Ja",1,0),"")</f>
        <v/>
      </c>
      <c r="AG264" s="1" t="str">
        <f>IF(AND(Programme_Grunddaten!$A269="Geprüft",Programme_Grunddaten!AO269&lt;&gt;""),IF(Programme_Grunddaten!AO269="Ja",1,0),"")</f>
        <v/>
      </c>
      <c r="AH264" s="1" t="str">
        <f>IF(AND(Programme_Grunddaten!$A269="Geprüft",Programme_Grunddaten!AP269&lt;&gt;""),IF(Programme_Grunddaten!AP269="Ja",1,0),"")</f>
        <v/>
      </c>
      <c r="AI264" s="1" t="str">
        <f>IF(AND(Programme_Grunddaten!$A269="Geprüft",Programme_Grunddaten!AQ269&lt;&gt;""),IF(Programme_Grunddaten!AQ269="Ja",1,0),"")</f>
        <v/>
      </c>
      <c r="AJ264" s="1" t="str">
        <f>IF(AND(Programme_Grunddaten!$A269="Geprüft",Programme_Grunddaten!AR269&lt;&gt;""),IF(Programme_Grunddaten!AR269="Ja",1,0),"")</f>
        <v/>
      </c>
      <c r="AK264" s="1" t="str">
        <f>IF(AND(Programme_Grunddaten!$A269="Geprüft",Programme_Grunddaten!AS269&lt;&gt;""),IF(Programme_Grunddaten!AS269="Ja",1,0),"")</f>
        <v/>
      </c>
      <c r="AL264" s="1" t="str">
        <f>IF(AND(Programme_Grunddaten!$A269="Geprüft",Programme_Grunddaten!AT269&lt;&gt;""),IF(Programme_Grunddaten!AT269="Ja",1,0),"")</f>
        <v/>
      </c>
      <c r="AM264" s="1" t="str">
        <f>IF(AND(Programme_Grunddaten!$A269="Geprüft",Programme_Grunddaten!AU269&lt;&gt;""),IF(Programme_Grunddaten!AU269="Ja",1,0),"")</f>
        <v/>
      </c>
      <c r="AN264" s="1" t="str">
        <f>IF(AND(Programme_Grunddaten!$A269="Geprüft",Programme_Grunddaten!AV269&lt;&gt;""),IF(Programme_Grunddaten!AV269="Ja",1,0),"")</f>
        <v/>
      </c>
    </row>
    <row r="265" spans="1:40" x14ac:dyDescent="0.3">
      <c r="A265" s="1" t="str">
        <f>IF(AND(Programme_Grunddaten!A270="Geprüft",Programme_Grunddaten!B270&lt;&gt;""),Programme_Grunddaten!B270,"")</f>
        <v/>
      </c>
      <c r="B265" s="1" t="str">
        <f>IF(AND(Programme_Grunddaten!$A270="Geprüft",Programme_Grunddaten!I270&lt;&gt;""),IF(Programme_Grunddaten!I270="Ja",1,0),"")</f>
        <v/>
      </c>
      <c r="C265" s="1" t="str">
        <f>IF(AND(Programme_Grunddaten!$A270="Geprüft",Programme_Grunddaten!J270&lt;&gt;""),IF(Programme_Grunddaten!J270="Ja",1,0),"")</f>
        <v/>
      </c>
      <c r="D265" s="1" t="str">
        <f>IF(AND(Programme_Grunddaten!$A270="Geprüft",Programme_Grunddaten!K270&lt;&gt;""),IF(Programme_Grunddaten!K270="Ja",1,0),"")</f>
        <v/>
      </c>
      <c r="E265" s="1" t="str">
        <f>IF(AND(Programme_Grunddaten!$A270="Geprüft",Programme_Grunddaten!L270&lt;&gt;""),IF(Programme_Grunddaten!L270="Abo / befristete Lizenz",1,0),"")</f>
        <v/>
      </c>
      <c r="F265" s="1" t="str">
        <f>IF(AND(Programme_Grunddaten!$A270="Geprüft",Programme_Grunddaten!M270&lt;&gt;""),IF(Programme_Grunddaten!M270="Ja",1,0),"")</f>
        <v/>
      </c>
      <c r="G265" s="1" t="str">
        <f>IF(AND(Programme_Grunddaten!$A270="Geprüft",Programme_Grunddaten!N270&lt;&gt;""),IF(Programme_Grunddaten!N270="Ja",1,0),"")</f>
        <v/>
      </c>
      <c r="H265" s="1" t="str">
        <f>IF(AND(Programme_Grunddaten!$A270="Geprüft",Programme_Grunddaten!O270&lt;&gt;""),IF(Programme_Grunddaten!O270="Deutschland",0,IF(Programme_Grunddaten!O270="EU",1,2)),"")</f>
        <v/>
      </c>
      <c r="I265" s="1" t="str">
        <f>IF(AND(Programme_Grunddaten!$A270="Geprüft",Programme_Grunddaten!P270&lt;&gt;""),IF(Programme_Grunddaten!P270="Ja",1,0),"")</f>
        <v/>
      </c>
      <c r="J265" s="1" t="str">
        <f>IF(AND(Programme_Grunddaten!$A270="Geprüft",Programme_Grunddaten!Q270&lt;&gt;""),IF(Programme_Grunddaten!Q270="geschlossenes System",1,0),"")</f>
        <v/>
      </c>
      <c r="K265" s="1" t="str">
        <f>IF(AND(Programme_Grunddaten!$A270="Geprüft",Programme_Grunddaten!R270&lt;&gt;""),IF(Programme_Grunddaten!R270="Ja",1,0),"")</f>
        <v/>
      </c>
      <c r="L265" s="1" t="str">
        <f>IF(AND(Programme_Grunddaten!$A270="Geprüft",Programme_Grunddaten!T270&lt;&gt;""),IF(Programme_Grunddaten!T270="Ja",1,0),"")</f>
        <v/>
      </c>
      <c r="M265" s="1" t="str">
        <f>IF(AND(Programme_Grunddaten!$A270="Geprüft",Programme_Grunddaten!U270&lt;&gt;""),IF(Programme_Grunddaten!U270="Ja",1,0),"")</f>
        <v/>
      </c>
      <c r="N265" s="1" t="str">
        <f>IF(AND(Programme_Grunddaten!$A270="Geprüft",Programme_Grunddaten!V270&lt;&gt;""),IF(Programme_Grunddaten!V270="Ja",1,0),"")</f>
        <v/>
      </c>
      <c r="O265" s="1" t="str">
        <f>IF(AND(Programme_Grunddaten!$A270="Geprüft",Programme_Grunddaten!W270&lt;&gt;""),IF(Programme_Grunddaten!W270="Ja",1,0),"")</f>
        <v/>
      </c>
      <c r="P265" s="1" t="str">
        <f>IF(AND(Programme_Grunddaten!$A270="Geprüft",Programme_Grunddaten!X270&lt;&gt;""),IF(Programme_Grunddaten!X270="Ja",1,0),"")</f>
        <v/>
      </c>
      <c r="Q265" s="1" t="str">
        <f>IF(AND(Programme_Grunddaten!$A270="Geprüft",Programme_Grunddaten!Y270&lt;&gt;""),IF(Programme_Grunddaten!Y270="Ja",1,0),"")</f>
        <v/>
      </c>
      <c r="R265" s="1" t="str">
        <f>IF(AND(Programme_Grunddaten!$A270="Geprüft",Programme_Grunddaten!Z270&lt;&gt;""),IF(Programme_Grunddaten!Z270="Ja",1,0),"")</f>
        <v/>
      </c>
      <c r="S265" s="1" t="str">
        <f>IF(AND(Programme_Grunddaten!$A270="Geprüft",Programme_Grunddaten!AA270&lt;&gt;""),IF(Programme_Grunddaten!AA270="monolithisch",1,0),"")</f>
        <v/>
      </c>
      <c r="T265" s="1" t="str">
        <f>IF(AND(Programme_Grunddaten!$A270="Geprüft",Programme_Grunddaten!AB270&lt;&gt;""),IF(Programme_Grunddaten!AB270="Ja",1,0),"")</f>
        <v/>
      </c>
      <c r="U265" s="1" t="str">
        <f>IF(AND(Programme_Grunddaten!$A270="Geprüft",Programme_Grunddaten!AC270&lt;&gt;""),IF(Programme_Grunddaten!AC270="Ja",1,0),"")</f>
        <v/>
      </c>
      <c r="V265" s="1" t="str">
        <f>IF(AND(Programme_Grunddaten!$A270="Geprüft",Programme_Grunddaten!AD270&lt;&gt;""),IF(Programme_Grunddaten!AD270="Ja",1,0),"")</f>
        <v/>
      </c>
      <c r="W265" s="1" t="str">
        <f>IF(AND(Programme_Grunddaten!$A270="Geprüft",Programme_Grunddaten!AE270&lt;&gt;""),IF(Programme_Grunddaten!AE270="Ja",1,0),"")</f>
        <v/>
      </c>
      <c r="X265" s="1" t="str">
        <f>IF(AND(Programme_Grunddaten!$A270="Geprüft",Programme_Grunddaten!AF270&lt;&gt;""),IF(Programme_Grunddaten!AF270="Ja",1,0),"")</f>
        <v/>
      </c>
      <c r="Y265" s="1" t="str">
        <f>IF(AND(Programme_Grunddaten!$A270="Geprüft",Programme_Grunddaten!AG270&lt;&gt;""),IF(Programme_Grunddaten!AG270="Ja",1,0),"")</f>
        <v/>
      </c>
      <c r="Z265" s="1" t="str">
        <f>IF(AND(Programme_Grunddaten!$A270="Geprüft",Programme_Grunddaten!AH270&lt;&gt;""),IF(Programme_Grunddaten!AH270="Ja",1,0),"")</f>
        <v/>
      </c>
      <c r="AA265" s="1" t="str">
        <f>IF(AND(Programme_Grunddaten!$A270="Geprüft",Programme_Grunddaten!AI270&lt;&gt;""),IF(Programme_Grunddaten!AI270="Ja",1,0),"")</f>
        <v/>
      </c>
      <c r="AB265" s="1" t="str">
        <f>IF(AND(Programme_Grunddaten!$A270="Geprüft",Programme_Grunddaten!AJ270&lt;&gt;""),IF(Programme_Grunddaten!AJ270="individuell programmierbar",1,0),"")</f>
        <v/>
      </c>
      <c r="AC265" s="1" t="str">
        <f>IF(AND(Programme_Grunddaten!$A270="Geprüft",Programme_Grunddaten!AK270&lt;&gt;""),IF(Programme_Grunddaten!AK270="Deutsch",0,IF(Programme_Grunddaten!AK270="Deutsch und Englisch",1,2)),"")</f>
        <v/>
      </c>
      <c r="AD265" s="1" t="str">
        <f>IF(AND(Programme_Grunddaten!$A270="Geprüft",Programme_Grunddaten!AL270&lt;&gt;""),IF(Programme_Grunddaten!AL270="Ja",1,0),"")</f>
        <v/>
      </c>
      <c r="AE265" s="1" t="str">
        <f>IF(AND(Programme_Grunddaten!$A270="Geprüft",Programme_Grunddaten!AM270&lt;&gt;""),IF(Programme_Grunddaten!AM270="Ja",1,0),"")</f>
        <v/>
      </c>
      <c r="AF265" s="1" t="str">
        <f>IF(AND(Programme_Grunddaten!$A270="Geprüft",Programme_Grunddaten!AN270&lt;&gt;""),IF(Programme_Grunddaten!AN270="Ja",1,0),"")</f>
        <v/>
      </c>
      <c r="AG265" s="1" t="str">
        <f>IF(AND(Programme_Grunddaten!$A270="Geprüft",Programme_Grunddaten!AO270&lt;&gt;""),IF(Programme_Grunddaten!AO270="Ja",1,0),"")</f>
        <v/>
      </c>
      <c r="AH265" s="1" t="str">
        <f>IF(AND(Programme_Grunddaten!$A270="Geprüft",Programme_Grunddaten!AP270&lt;&gt;""),IF(Programme_Grunddaten!AP270="Ja",1,0),"")</f>
        <v/>
      </c>
      <c r="AI265" s="1" t="str">
        <f>IF(AND(Programme_Grunddaten!$A270="Geprüft",Programme_Grunddaten!AQ270&lt;&gt;""),IF(Programme_Grunddaten!AQ270="Ja",1,0),"")</f>
        <v/>
      </c>
      <c r="AJ265" s="1" t="str">
        <f>IF(AND(Programme_Grunddaten!$A270="Geprüft",Programme_Grunddaten!AR270&lt;&gt;""),IF(Programme_Grunddaten!AR270="Ja",1,0),"")</f>
        <v/>
      </c>
      <c r="AK265" s="1" t="str">
        <f>IF(AND(Programme_Grunddaten!$A270="Geprüft",Programme_Grunddaten!AS270&lt;&gt;""),IF(Programme_Grunddaten!AS270="Ja",1,0),"")</f>
        <v/>
      </c>
      <c r="AL265" s="1" t="str">
        <f>IF(AND(Programme_Grunddaten!$A270="Geprüft",Programme_Grunddaten!AT270&lt;&gt;""),IF(Programme_Grunddaten!AT270="Ja",1,0),"")</f>
        <v/>
      </c>
      <c r="AM265" s="1" t="str">
        <f>IF(AND(Programme_Grunddaten!$A270="Geprüft",Programme_Grunddaten!AU270&lt;&gt;""),IF(Programme_Grunddaten!AU270="Ja",1,0),"")</f>
        <v/>
      </c>
      <c r="AN265" s="1" t="str">
        <f>IF(AND(Programme_Grunddaten!$A270="Geprüft",Programme_Grunddaten!AV270&lt;&gt;""),IF(Programme_Grunddaten!AV270="Ja",1,0),"")</f>
        <v/>
      </c>
    </row>
    <row r="266" spans="1:40" x14ac:dyDescent="0.3">
      <c r="A266" s="1" t="str">
        <f>IF(AND(Programme_Grunddaten!A271="Geprüft",Programme_Grunddaten!B271&lt;&gt;""),Programme_Grunddaten!B271,"")</f>
        <v/>
      </c>
      <c r="B266" s="1" t="str">
        <f>IF(AND(Programme_Grunddaten!$A271="Geprüft",Programme_Grunddaten!I271&lt;&gt;""),IF(Programme_Grunddaten!I271="Ja",1,0),"")</f>
        <v/>
      </c>
      <c r="C266" s="1" t="str">
        <f>IF(AND(Programme_Grunddaten!$A271="Geprüft",Programme_Grunddaten!J271&lt;&gt;""),IF(Programme_Grunddaten!J271="Ja",1,0),"")</f>
        <v/>
      </c>
      <c r="D266" s="1" t="str">
        <f>IF(AND(Programme_Grunddaten!$A271="Geprüft",Programme_Grunddaten!K271&lt;&gt;""),IF(Programme_Grunddaten!K271="Ja",1,0),"")</f>
        <v/>
      </c>
      <c r="E266" s="1" t="str">
        <f>IF(AND(Programme_Grunddaten!$A271="Geprüft",Programme_Grunddaten!L271&lt;&gt;""),IF(Programme_Grunddaten!L271="Abo / befristete Lizenz",1,0),"")</f>
        <v/>
      </c>
      <c r="F266" s="1" t="str">
        <f>IF(AND(Programme_Grunddaten!$A271="Geprüft",Programme_Grunddaten!M271&lt;&gt;""),IF(Programme_Grunddaten!M271="Ja",1,0),"")</f>
        <v/>
      </c>
      <c r="G266" s="1" t="str">
        <f>IF(AND(Programme_Grunddaten!$A271="Geprüft",Programme_Grunddaten!N271&lt;&gt;""),IF(Programme_Grunddaten!N271="Ja",1,0),"")</f>
        <v/>
      </c>
      <c r="H266" s="1" t="str">
        <f>IF(AND(Programme_Grunddaten!$A271="Geprüft",Programme_Grunddaten!O271&lt;&gt;""),IF(Programme_Grunddaten!O271="Deutschland",0,IF(Programme_Grunddaten!O271="EU",1,2)),"")</f>
        <v/>
      </c>
      <c r="I266" s="1" t="str">
        <f>IF(AND(Programme_Grunddaten!$A271="Geprüft",Programme_Grunddaten!P271&lt;&gt;""),IF(Programme_Grunddaten!P271="Ja",1,0),"")</f>
        <v/>
      </c>
      <c r="J266" s="1" t="str">
        <f>IF(AND(Programme_Grunddaten!$A271="Geprüft",Programme_Grunddaten!Q271&lt;&gt;""),IF(Programme_Grunddaten!Q271="geschlossenes System",1,0),"")</f>
        <v/>
      </c>
      <c r="K266" s="1" t="str">
        <f>IF(AND(Programme_Grunddaten!$A271="Geprüft",Programme_Grunddaten!R271&lt;&gt;""),IF(Programme_Grunddaten!R271="Ja",1,0),"")</f>
        <v/>
      </c>
      <c r="L266" s="1" t="str">
        <f>IF(AND(Programme_Grunddaten!$A271="Geprüft",Programme_Grunddaten!T271&lt;&gt;""),IF(Programme_Grunddaten!T271="Ja",1,0),"")</f>
        <v/>
      </c>
      <c r="M266" s="1" t="str">
        <f>IF(AND(Programme_Grunddaten!$A271="Geprüft",Programme_Grunddaten!U271&lt;&gt;""),IF(Programme_Grunddaten!U271="Ja",1,0),"")</f>
        <v/>
      </c>
      <c r="N266" s="1" t="str">
        <f>IF(AND(Programme_Grunddaten!$A271="Geprüft",Programme_Grunddaten!V271&lt;&gt;""),IF(Programme_Grunddaten!V271="Ja",1,0),"")</f>
        <v/>
      </c>
      <c r="O266" s="1" t="str">
        <f>IF(AND(Programme_Grunddaten!$A271="Geprüft",Programme_Grunddaten!W271&lt;&gt;""),IF(Programme_Grunddaten!W271="Ja",1,0),"")</f>
        <v/>
      </c>
      <c r="P266" s="1" t="str">
        <f>IF(AND(Programme_Grunddaten!$A271="Geprüft",Programme_Grunddaten!X271&lt;&gt;""),IF(Programme_Grunddaten!X271="Ja",1,0),"")</f>
        <v/>
      </c>
      <c r="Q266" s="1" t="str">
        <f>IF(AND(Programme_Grunddaten!$A271="Geprüft",Programme_Grunddaten!Y271&lt;&gt;""),IF(Programme_Grunddaten!Y271="Ja",1,0),"")</f>
        <v/>
      </c>
      <c r="R266" s="1" t="str">
        <f>IF(AND(Programme_Grunddaten!$A271="Geprüft",Programme_Grunddaten!Z271&lt;&gt;""),IF(Programme_Grunddaten!Z271="Ja",1,0),"")</f>
        <v/>
      </c>
      <c r="S266" s="1" t="str">
        <f>IF(AND(Programme_Grunddaten!$A271="Geprüft",Programme_Grunddaten!AA271&lt;&gt;""),IF(Programme_Grunddaten!AA271="monolithisch",1,0),"")</f>
        <v/>
      </c>
      <c r="T266" s="1" t="str">
        <f>IF(AND(Programme_Grunddaten!$A271="Geprüft",Programme_Grunddaten!AB271&lt;&gt;""),IF(Programme_Grunddaten!AB271="Ja",1,0),"")</f>
        <v/>
      </c>
      <c r="U266" s="1" t="str">
        <f>IF(AND(Programme_Grunddaten!$A271="Geprüft",Programme_Grunddaten!AC271&lt;&gt;""),IF(Programme_Grunddaten!AC271="Ja",1,0),"")</f>
        <v/>
      </c>
      <c r="V266" s="1" t="str">
        <f>IF(AND(Programme_Grunddaten!$A271="Geprüft",Programme_Grunddaten!AD271&lt;&gt;""),IF(Programme_Grunddaten!AD271="Ja",1,0),"")</f>
        <v/>
      </c>
      <c r="W266" s="1" t="str">
        <f>IF(AND(Programme_Grunddaten!$A271="Geprüft",Programme_Grunddaten!AE271&lt;&gt;""),IF(Programme_Grunddaten!AE271="Ja",1,0),"")</f>
        <v/>
      </c>
      <c r="X266" s="1" t="str">
        <f>IF(AND(Programme_Grunddaten!$A271="Geprüft",Programme_Grunddaten!AF271&lt;&gt;""),IF(Programme_Grunddaten!AF271="Ja",1,0),"")</f>
        <v/>
      </c>
      <c r="Y266" s="1" t="str">
        <f>IF(AND(Programme_Grunddaten!$A271="Geprüft",Programme_Grunddaten!AG271&lt;&gt;""),IF(Programme_Grunddaten!AG271="Ja",1,0),"")</f>
        <v/>
      </c>
      <c r="Z266" s="1" t="str">
        <f>IF(AND(Programme_Grunddaten!$A271="Geprüft",Programme_Grunddaten!AH271&lt;&gt;""),IF(Programme_Grunddaten!AH271="Ja",1,0),"")</f>
        <v/>
      </c>
      <c r="AA266" s="1" t="str">
        <f>IF(AND(Programme_Grunddaten!$A271="Geprüft",Programme_Grunddaten!AI271&lt;&gt;""),IF(Programme_Grunddaten!AI271="Ja",1,0),"")</f>
        <v/>
      </c>
      <c r="AB266" s="1" t="str">
        <f>IF(AND(Programme_Grunddaten!$A271="Geprüft",Programme_Grunddaten!AJ271&lt;&gt;""),IF(Programme_Grunddaten!AJ271="individuell programmierbar",1,0),"")</f>
        <v/>
      </c>
      <c r="AC266" s="1" t="str">
        <f>IF(AND(Programme_Grunddaten!$A271="Geprüft",Programme_Grunddaten!AK271&lt;&gt;""),IF(Programme_Grunddaten!AK271="Deutsch",0,IF(Programme_Grunddaten!AK271="Deutsch und Englisch",1,2)),"")</f>
        <v/>
      </c>
      <c r="AD266" s="1" t="str">
        <f>IF(AND(Programme_Grunddaten!$A271="Geprüft",Programme_Grunddaten!AL271&lt;&gt;""),IF(Programme_Grunddaten!AL271="Ja",1,0),"")</f>
        <v/>
      </c>
      <c r="AE266" s="1" t="str">
        <f>IF(AND(Programme_Grunddaten!$A271="Geprüft",Programme_Grunddaten!AM271&lt;&gt;""),IF(Programme_Grunddaten!AM271="Ja",1,0),"")</f>
        <v/>
      </c>
      <c r="AF266" s="1" t="str">
        <f>IF(AND(Programme_Grunddaten!$A271="Geprüft",Programme_Grunddaten!AN271&lt;&gt;""),IF(Programme_Grunddaten!AN271="Ja",1,0),"")</f>
        <v/>
      </c>
      <c r="AG266" s="1" t="str">
        <f>IF(AND(Programme_Grunddaten!$A271="Geprüft",Programme_Grunddaten!AO271&lt;&gt;""),IF(Programme_Grunddaten!AO271="Ja",1,0),"")</f>
        <v/>
      </c>
      <c r="AH266" s="1" t="str">
        <f>IF(AND(Programme_Grunddaten!$A271="Geprüft",Programme_Grunddaten!AP271&lt;&gt;""),IF(Programme_Grunddaten!AP271="Ja",1,0),"")</f>
        <v/>
      </c>
      <c r="AI266" s="1" t="str">
        <f>IF(AND(Programme_Grunddaten!$A271="Geprüft",Programme_Grunddaten!AQ271&lt;&gt;""),IF(Programme_Grunddaten!AQ271="Ja",1,0),"")</f>
        <v/>
      </c>
      <c r="AJ266" s="1" t="str">
        <f>IF(AND(Programme_Grunddaten!$A271="Geprüft",Programme_Grunddaten!AR271&lt;&gt;""),IF(Programme_Grunddaten!AR271="Ja",1,0),"")</f>
        <v/>
      </c>
      <c r="AK266" s="1" t="str">
        <f>IF(AND(Programme_Grunddaten!$A271="Geprüft",Programme_Grunddaten!AS271&lt;&gt;""),IF(Programme_Grunddaten!AS271="Ja",1,0),"")</f>
        <v/>
      </c>
      <c r="AL266" s="1" t="str">
        <f>IF(AND(Programme_Grunddaten!$A271="Geprüft",Programme_Grunddaten!AT271&lt;&gt;""),IF(Programme_Grunddaten!AT271="Ja",1,0),"")</f>
        <v/>
      </c>
      <c r="AM266" s="1" t="str">
        <f>IF(AND(Programme_Grunddaten!$A271="Geprüft",Programme_Grunddaten!AU271&lt;&gt;""),IF(Programme_Grunddaten!AU271="Ja",1,0),"")</f>
        <v/>
      </c>
      <c r="AN266" s="1" t="str">
        <f>IF(AND(Programme_Grunddaten!$A271="Geprüft",Programme_Grunddaten!AV271&lt;&gt;""),IF(Programme_Grunddaten!AV271="Ja",1,0),"")</f>
        <v/>
      </c>
    </row>
    <row r="267" spans="1:40" x14ac:dyDescent="0.3">
      <c r="A267" s="1" t="str">
        <f>IF(AND(Programme_Grunddaten!A272="Geprüft",Programme_Grunddaten!B272&lt;&gt;""),Programme_Grunddaten!B272,"")</f>
        <v/>
      </c>
      <c r="B267" s="1" t="str">
        <f>IF(AND(Programme_Grunddaten!$A272="Geprüft",Programme_Grunddaten!I272&lt;&gt;""),IF(Programme_Grunddaten!I272="Ja",1,0),"")</f>
        <v/>
      </c>
      <c r="C267" s="1" t="str">
        <f>IF(AND(Programme_Grunddaten!$A272="Geprüft",Programme_Grunddaten!J272&lt;&gt;""),IF(Programme_Grunddaten!J272="Ja",1,0),"")</f>
        <v/>
      </c>
      <c r="D267" s="1" t="str">
        <f>IF(AND(Programme_Grunddaten!$A272="Geprüft",Programme_Grunddaten!K272&lt;&gt;""),IF(Programme_Grunddaten!K272="Ja",1,0),"")</f>
        <v/>
      </c>
      <c r="E267" s="1" t="str">
        <f>IF(AND(Programme_Grunddaten!$A272="Geprüft",Programme_Grunddaten!L272&lt;&gt;""),IF(Programme_Grunddaten!L272="Abo / befristete Lizenz",1,0),"")</f>
        <v/>
      </c>
      <c r="F267" s="1" t="str">
        <f>IF(AND(Programme_Grunddaten!$A272="Geprüft",Programme_Grunddaten!M272&lt;&gt;""),IF(Programme_Grunddaten!M272="Ja",1,0),"")</f>
        <v/>
      </c>
      <c r="G267" s="1" t="str">
        <f>IF(AND(Programme_Grunddaten!$A272="Geprüft",Programme_Grunddaten!N272&lt;&gt;""),IF(Programme_Grunddaten!N272="Ja",1,0),"")</f>
        <v/>
      </c>
      <c r="H267" s="1" t="str">
        <f>IF(AND(Programme_Grunddaten!$A272="Geprüft",Programme_Grunddaten!O272&lt;&gt;""),IF(Programme_Grunddaten!O272="Deutschland",0,IF(Programme_Grunddaten!O272="EU",1,2)),"")</f>
        <v/>
      </c>
      <c r="I267" s="1" t="str">
        <f>IF(AND(Programme_Grunddaten!$A272="Geprüft",Programme_Grunddaten!P272&lt;&gt;""),IF(Programme_Grunddaten!P272="Ja",1,0),"")</f>
        <v/>
      </c>
      <c r="J267" s="1" t="str">
        <f>IF(AND(Programme_Grunddaten!$A272="Geprüft",Programme_Grunddaten!Q272&lt;&gt;""),IF(Programme_Grunddaten!Q272="geschlossenes System",1,0),"")</f>
        <v/>
      </c>
      <c r="K267" s="1" t="str">
        <f>IF(AND(Programme_Grunddaten!$A272="Geprüft",Programme_Grunddaten!R272&lt;&gt;""),IF(Programme_Grunddaten!R272="Ja",1,0),"")</f>
        <v/>
      </c>
      <c r="L267" s="1" t="str">
        <f>IF(AND(Programme_Grunddaten!$A272="Geprüft",Programme_Grunddaten!T272&lt;&gt;""),IF(Programme_Grunddaten!T272="Ja",1,0),"")</f>
        <v/>
      </c>
      <c r="M267" s="1" t="str">
        <f>IF(AND(Programme_Grunddaten!$A272="Geprüft",Programme_Grunddaten!U272&lt;&gt;""),IF(Programme_Grunddaten!U272="Ja",1,0),"")</f>
        <v/>
      </c>
      <c r="N267" s="1" t="str">
        <f>IF(AND(Programme_Grunddaten!$A272="Geprüft",Programme_Grunddaten!V272&lt;&gt;""),IF(Programme_Grunddaten!V272="Ja",1,0),"")</f>
        <v/>
      </c>
      <c r="O267" s="1" t="str">
        <f>IF(AND(Programme_Grunddaten!$A272="Geprüft",Programme_Grunddaten!W272&lt;&gt;""),IF(Programme_Grunddaten!W272="Ja",1,0),"")</f>
        <v/>
      </c>
      <c r="P267" s="1" t="str">
        <f>IF(AND(Programme_Grunddaten!$A272="Geprüft",Programme_Grunddaten!X272&lt;&gt;""),IF(Programme_Grunddaten!X272="Ja",1,0),"")</f>
        <v/>
      </c>
      <c r="Q267" s="1" t="str">
        <f>IF(AND(Programme_Grunddaten!$A272="Geprüft",Programme_Grunddaten!Y272&lt;&gt;""),IF(Programme_Grunddaten!Y272="Ja",1,0),"")</f>
        <v/>
      </c>
      <c r="R267" s="1" t="str">
        <f>IF(AND(Programme_Grunddaten!$A272="Geprüft",Programme_Grunddaten!Z272&lt;&gt;""),IF(Programme_Grunddaten!Z272="Ja",1,0),"")</f>
        <v/>
      </c>
      <c r="S267" s="1" t="str">
        <f>IF(AND(Programme_Grunddaten!$A272="Geprüft",Programme_Grunddaten!AA272&lt;&gt;""),IF(Programme_Grunddaten!AA272="monolithisch",1,0),"")</f>
        <v/>
      </c>
      <c r="T267" s="1" t="str">
        <f>IF(AND(Programme_Grunddaten!$A272="Geprüft",Programme_Grunddaten!AB272&lt;&gt;""),IF(Programme_Grunddaten!AB272="Ja",1,0),"")</f>
        <v/>
      </c>
      <c r="U267" s="1" t="str">
        <f>IF(AND(Programme_Grunddaten!$A272="Geprüft",Programme_Grunddaten!AC272&lt;&gt;""),IF(Programme_Grunddaten!AC272="Ja",1,0),"")</f>
        <v/>
      </c>
      <c r="V267" s="1" t="str">
        <f>IF(AND(Programme_Grunddaten!$A272="Geprüft",Programme_Grunddaten!AD272&lt;&gt;""),IF(Programme_Grunddaten!AD272="Ja",1,0),"")</f>
        <v/>
      </c>
      <c r="W267" s="1" t="str">
        <f>IF(AND(Programme_Grunddaten!$A272="Geprüft",Programme_Grunddaten!AE272&lt;&gt;""),IF(Programme_Grunddaten!AE272="Ja",1,0),"")</f>
        <v/>
      </c>
      <c r="X267" s="1" t="str">
        <f>IF(AND(Programme_Grunddaten!$A272="Geprüft",Programme_Grunddaten!AF272&lt;&gt;""),IF(Programme_Grunddaten!AF272="Ja",1,0),"")</f>
        <v/>
      </c>
      <c r="Y267" s="1" t="str">
        <f>IF(AND(Programme_Grunddaten!$A272="Geprüft",Programme_Grunddaten!AG272&lt;&gt;""),IF(Programme_Grunddaten!AG272="Ja",1,0),"")</f>
        <v/>
      </c>
      <c r="Z267" s="1" t="str">
        <f>IF(AND(Programme_Grunddaten!$A272="Geprüft",Programme_Grunddaten!AH272&lt;&gt;""),IF(Programme_Grunddaten!AH272="Ja",1,0),"")</f>
        <v/>
      </c>
      <c r="AA267" s="1" t="str">
        <f>IF(AND(Programme_Grunddaten!$A272="Geprüft",Programme_Grunddaten!AI272&lt;&gt;""),IF(Programme_Grunddaten!AI272="Ja",1,0),"")</f>
        <v/>
      </c>
      <c r="AB267" s="1" t="str">
        <f>IF(AND(Programme_Grunddaten!$A272="Geprüft",Programme_Grunddaten!AJ272&lt;&gt;""),IF(Programme_Grunddaten!AJ272="individuell programmierbar",1,0),"")</f>
        <v/>
      </c>
      <c r="AC267" s="1" t="str">
        <f>IF(AND(Programme_Grunddaten!$A272="Geprüft",Programme_Grunddaten!AK272&lt;&gt;""),IF(Programme_Grunddaten!AK272="Deutsch",0,IF(Programme_Grunddaten!AK272="Deutsch und Englisch",1,2)),"")</f>
        <v/>
      </c>
      <c r="AD267" s="1" t="str">
        <f>IF(AND(Programme_Grunddaten!$A272="Geprüft",Programme_Grunddaten!AL272&lt;&gt;""),IF(Programme_Grunddaten!AL272="Ja",1,0),"")</f>
        <v/>
      </c>
      <c r="AE267" s="1" t="str">
        <f>IF(AND(Programme_Grunddaten!$A272="Geprüft",Programme_Grunddaten!AM272&lt;&gt;""),IF(Programme_Grunddaten!AM272="Ja",1,0),"")</f>
        <v/>
      </c>
      <c r="AF267" s="1" t="str">
        <f>IF(AND(Programme_Grunddaten!$A272="Geprüft",Programme_Grunddaten!AN272&lt;&gt;""),IF(Programme_Grunddaten!AN272="Ja",1,0),"")</f>
        <v/>
      </c>
      <c r="AG267" s="1" t="str">
        <f>IF(AND(Programme_Grunddaten!$A272="Geprüft",Programme_Grunddaten!AO272&lt;&gt;""),IF(Programme_Grunddaten!AO272="Ja",1,0),"")</f>
        <v/>
      </c>
      <c r="AH267" s="1" t="str">
        <f>IF(AND(Programme_Grunddaten!$A272="Geprüft",Programme_Grunddaten!AP272&lt;&gt;""),IF(Programme_Grunddaten!AP272="Ja",1,0),"")</f>
        <v/>
      </c>
      <c r="AI267" s="1" t="str">
        <f>IF(AND(Programme_Grunddaten!$A272="Geprüft",Programme_Grunddaten!AQ272&lt;&gt;""),IF(Programme_Grunddaten!AQ272="Ja",1,0),"")</f>
        <v/>
      </c>
      <c r="AJ267" s="1" t="str">
        <f>IF(AND(Programme_Grunddaten!$A272="Geprüft",Programme_Grunddaten!AR272&lt;&gt;""),IF(Programme_Grunddaten!AR272="Ja",1,0),"")</f>
        <v/>
      </c>
      <c r="AK267" s="1" t="str">
        <f>IF(AND(Programme_Grunddaten!$A272="Geprüft",Programme_Grunddaten!AS272&lt;&gt;""),IF(Programme_Grunddaten!AS272="Ja",1,0),"")</f>
        <v/>
      </c>
      <c r="AL267" s="1" t="str">
        <f>IF(AND(Programme_Grunddaten!$A272="Geprüft",Programme_Grunddaten!AT272&lt;&gt;""),IF(Programme_Grunddaten!AT272="Ja",1,0),"")</f>
        <v/>
      </c>
      <c r="AM267" s="1" t="str">
        <f>IF(AND(Programme_Grunddaten!$A272="Geprüft",Programme_Grunddaten!AU272&lt;&gt;""),IF(Programme_Grunddaten!AU272="Ja",1,0),"")</f>
        <v/>
      </c>
      <c r="AN267" s="1" t="str">
        <f>IF(AND(Programme_Grunddaten!$A272="Geprüft",Programme_Grunddaten!AV272&lt;&gt;""),IF(Programme_Grunddaten!AV272="Ja",1,0),"")</f>
        <v/>
      </c>
    </row>
    <row r="268" spans="1:40" x14ac:dyDescent="0.3">
      <c r="A268" s="1" t="str">
        <f>IF(AND(Programme_Grunddaten!A273="Geprüft",Programme_Grunddaten!B273&lt;&gt;""),Programme_Grunddaten!B273,"")</f>
        <v/>
      </c>
      <c r="B268" s="1" t="str">
        <f>IF(AND(Programme_Grunddaten!$A273="Geprüft",Programme_Grunddaten!I273&lt;&gt;""),IF(Programme_Grunddaten!I273="Ja",1,0),"")</f>
        <v/>
      </c>
      <c r="C268" s="1" t="str">
        <f>IF(AND(Programme_Grunddaten!$A273="Geprüft",Programme_Grunddaten!J273&lt;&gt;""),IF(Programme_Grunddaten!J273="Ja",1,0),"")</f>
        <v/>
      </c>
      <c r="D268" s="1" t="str">
        <f>IF(AND(Programme_Grunddaten!$A273="Geprüft",Programme_Grunddaten!K273&lt;&gt;""),IF(Programme_Grunddaten!K273="Ja",1,0),"")</f>
        <v/>
      </c>
      <c r="E268" s="1" t="str">
        <f>IF(AND(Programme_Grunddaten!$A273="Geprüft",Programme_Grunddaten!L273&lt;&gt;""),IF(Programme_Grunddaten!L273="Abo / befristete Lizenz",1,0),"")</f>
        <v/>
      </c>
      <c r="F268" s="1" t="str">
        <f>IF(AND(Programme_Grunddaten!$A273="Geprüft",Programme_Grunddaten!M273&lt;&gt;""),IF(Programme_Grunddaten!M273="Ja",1,0),"")</f>
        <v/>
      </c>
      <c r="G268" s="1" t="str">
        <f>IF(AND(Programme_Grunddaten!$A273="Geprüft",Programme_Grunddaten!N273&lt;&gt;""),IF(Programme_Grunddaten!N273="Ja",1,0),"")</f>
        <v/>
      </c>
      <c r="H268" s="1" t="str">
        <f>IF(AND(Programme_Grunddaten!$A273="Geprüft",Programme_Grunddaten!O273&lt;&gt;""),IF(Programme_Grunddaten!O273="Deutschland",0,IF(Programme_Grunddaten!O273="EU",1,2)),"")</f>
        <v/>
      </c>
      <c r="I268" s="1" t="str">
        <f>IF(AND(Programme_Grunddaten!$A273="Geprüft",Programme_Grunddaten!P273&lt;&gt;""),IF(Programme_Grunddaten!P273="Ja",1,0),"")</f>
        <v/>
      </c>
      <c r="J268" s="1" t="str">
        <f>IF(AND(Programme_Grunddaten!$A273="Geprüft",Programme_Grunddaten!Q273&lt;&gt;""),IF(Programme_Grunddaten!Q273="geschlossenes System",1,0),"")</f>
        <v/>
      </c>
      <c r="K268" s="1" t="str">
        <f>IF(AND(Programme_Grunddaten!$A273="Geprüft",Programme_Grunddaten!R273&lt;&gt;""),IF(Programme_Grunddaten!R273="Ja",1,0),"")</f>
        <v/>
      </c>
      <c r="L268" s="1" t="str">
        <f>IF(AND(Programme_Grunddaten!$A273="Geprüft",Programme_Grunddaten!T273&lt;&gt;""),IF(Programme_Grunddaten!T273="Ja",1,0),"")</f>
        <v/>
      </c>
      <c r="M268" s="1" t="str">
        <f>IF(AND(Programme_Grunddaten!$A273="Geprüft",Programme_Grunddaten!U273&lt;&gt;""),IF(Programme_Grunddaten!U273="Ja",1,0),"")</f>
        <v/>
      </c>
      <c r="N268" s="1" t="str">
        <f>IF(AND(Programme_Grunddaten!$A273="Geprüft",Programme_Grunddaten!V273&lt;&gt;""),IF(Programme_Grunddaten!V273="Ja",1,0),"")</f>
        <v/>
      </c>
      <c r="O268" s="1" t="str">
        <f>IF(AND(Programme_Grunddaten!$A273="Geprüft",Programme_Grunddaten!W273&lt;&gt;""),IF(Programme_Grunddaten!W273="Ja",1,0),"")</f>
        <v/>
      </c>
      <c r="P268" s="1" t="str">
        <f>IF(AND(Programme_Grunddaten!$A273="Geprüft",Programme_Grunddaten!X273&lt;&gt;""),IF(Programme_Grunddaten!X273="Ja",1,0),"")</f>
        <v/>
      </c>
      <c r="Q268" s="1" t="str">
        <f>IF(AND(Programme_Grunddaten!$A273="Geprüft",Programme_Grunddaten!Y273&lt;&gt;""),IF(Programme_Grunddaten!Y273="Ja",1,0),"")</f>
        <v/>
      </c>
      <c r="R268" s="1" t="str">
        <f>IF(AND(Programme_Grunddaten!$A273="Geprüft",Programme_Grunddaten!Z273&lt;&gt;""),IF(Programme_Grunddaten!Z273="Ja",1,0),"")</f>
        <v/>
      </c>
      <c r="S268" s="1" t="str">
        <f>IF(AND(Programme_Grunddaten!$A273="Geprüft",Programme_Grunddaten!AA273&lt;&gt;""),IF(Programme_Grunddaten!AA273="monolithisch",1,0),"")</f>
        <v/>
      </c>
      <c r="T268" s="1" t="str">
        <f>IF(AND(Programme_Grunddaten!$A273="Geprüft",Programme_Grunddaten!AB273&lt;&gt;""),IF(Programme_Grunddaten!AB273="Ja",1,0),"")</f>
        <v/>
      </c>
      <c r="U268" s="1" t="str">
        <f>IF(AND(Programme_Grunddaten!$A273="Geprüft",Programme_Grunddaten!AC273&lt;&gt;""),IF(Programme_Grunddaten!AC273="Ja",1,0),"")</f>
        <v/>
      </c>
      <c r="V268" s="1" t="str">
        <f>IF(AND(Programme_Grunddaten!$A273="Geprüft",Programme_Grunddaten!AD273&lt;&gt;""),IF(Programme_Grunddaten!AD273="Ja",1,0),"")</f>
        <v/>
      </c>
      <c r="W268" s="1" t="str">
        <f>IF(AND(Programme_Grunddaten!$A273="Geprüft",Programme_Grunddaten!AE273&lt;&gt;""),IF(Programme_Grunddaten!AE273="Ja",1,0),"")</f>
        <v/>
      </c>
      <c r="X268" s="1" t="str">
        <f>IF(AND(Programme_Grunddaten!$A273="Geprüft",Programme_Grunddaten!AF273&lt;&gt;""),IF(Programme_Grunddaten!AF273="Ja",1,0),"")</f>
        <v/>
      </c>
      <c r="Y268" s="1" t="str">
        <f>IF(AND(Programme_Grunddaten!$A273="Geprüft",Programme_Grunddaten!AG273&lt;&gt;""),IF(Programme_Grunddaten!AG273="Ja",1,0),"")</f>
        <v/>
      </c>
      <c r="Z268" s="1" t="str">
        <f>IF(AND(Programme_Grunddaten!$A273="Geprüft",Programme_Grunddaten!AH273&lt;&gt;""),IF(Programme_Grunddaten!AH273="Ja",1,0),"")</f>
        <v/>
      </c>
      <c r="AA268" s="1" t="str">
        <f>IF(AND(Programme_Grunddaten!$A273="Geprüft",Programme_Grunddaten!AI273&lt;&gt;""),IF(Programme_Grunddaten!AI273="Ja",1,0),"")</f>
        <v/>
      </c>
      <c r="AB268" s="1" t="str">
        <f>IF(AND(Programme_Grunddaten!$A273="Geprüft",Programme_Grunddaten!AJ273&lt;&gt;""),IF(Programme_Grunddaten!AJ273="individuell programmierbar",1,0),"")</f>
        <v/>
      </c>
      <c r="AC268" s="1" t="str">
        <f>IF(AND(Programme_Grunddaten!$A273="Geprüft",Programme_Grunddaten!AK273&lt;&gt;""),IF(Programme_Grunddaten!AK273="Deutsch",0,IF(Programme_Grunddaten!AK273="Deutsch und Englisch",1,2)),"")</f>
        <v/>
      </c>
      <c r="AD268" s="1" t="str">
        <f>IF(AND(Programme_Grunddaten!$A273="Geprüft",Programme_Grunddaten!AL273&lt;&gt;""),IF(Programme_Grunddaten!AL273="Ja",1,0),"")</f>
        <v/>
      </c>
      <c r="AE268" s="1" t="str">
        <f>IF(AND(Programme_Grunddaten!$A273="Geprüft",Programme_Grunddaten!AM273&lt;&gt;""),IF(Programme_Grunddaten!AM273="Ja",1,0),"")</f>
        <v/>
      </c>
      <c r="AF268" s="1" t="str">
        <f>IF(AND(Programme_Grunddaten!$A273="Geprüft",Programme_Grunddaten!AN273&lt;&gt;""),IF(Programme_Grunddaten!AN273="Ja",1,0),"")</f>
        <v/>
      </c>
      <c r="AG268" s="1" t="str">
        <f>IF(AND(Programme_Grunddaten!$A273="Geprüft",Programme_Grunddaten!AO273&lt;&gt;""),IF(Programme_Grunddaten!AO273="Ja",1,0),"")</f>
        <v/>
      </c>
      <c r="AH268" s="1" t="str">
        <f>IF(AND(Programme_Grunddaten!$A273="Geprüft",Programme_Grunddaten!AP273&lt;&gt;""),IF(Programme_Grunddaten!AP273="Ja",1,0),"")</f>
        <v/>
      </c>
      <c r="AI268" s="1" t="str">
        <f>IF(AND(Programme_Grunddaten!$A273="Geprüft",Programme_Grunddaten!AQ273&lt;&gt;""),IF(Programme_Grunddaten!AQ273="Ja",1,0),"")</f>
        <v/>
      </c>
      <c r="AJ268" s="1" t="str">
        <f>IF(AND(Programme_Grunddaten!$A273="Geprüft",Programme_Grunddaten!AR273&lt;&gt;""),IF(Programme_Grunddaten!AR273="Ja",1,0),"")</f>
        <v/>
      </c>
      <c r="AK268" s="1" t="str">
        <f>IF(AND(Programme_Grunddaten!$A273="Geprüft",Programme_Grunddaten!AS273&lt;&gt;""),IF(Programme_Grunddaten!AS273="Ja",1,0),"")</f>
        <v/>
      </c>
      <c r="AL268" s="1" t="str">
        <f>IF(AND(Programme_Grunddaten!$A273="Geprüft",Programme_Grunddaten!AT273&lt;&gt;""),IF(Programme_Grunddaten!AT273="Ja",1,0),"")</f>
        <v/>
      </c>
      <c r="AM268" s="1" t="str">
        <f>IF(AND(Programme_Grunddaten!$A273="Geprüft",Programme_Grunddaten!AU273&lt;&gt;""),IF(Programme_Grunddaten!AU273="Ja",1,0),"")</f>
        <v/>
      </c>
      <c r="AN268" s="1" t="str">
        <f>IF(AND(Programme_Grunddaten!$A273="Geprüft",Programme_Grunddaten!AV273&lt;&gt;""),IF(Programme_Grunddaten!AV273="Ja",1,0),"")</f>
        <v/>
      </c>
    </row>
    <row r="269" spans="1:40" x14ac:dyDescent="0.3">
      <c r="A269" s="1" t="str">
        <f>IF(AND(Programme_Grunddaten!A274="Geprüft",Programme_Grunddaten!B274&lt;&gt;""),Programme_Grunddaten!B274,"")</f>
        <v/>
      </c>
      <c r="B269" s="1" t="str">
        <f>IF(AND(Programme_Grunddaten!$A274="Geprüft",Programme_Grunddaten!I274&lt;&gt;""),IF(Programme_Grunddaten!I274="Ja",1,0),"")</f>
        <v/>
      </c>
      <c r="C269" s="1" t="str">
        <f>IF(AND(Programme_Grunddaten!$A274="Geprüft",Programme_Grunddaten!J274&lt;&gt;""),IF(Programme_Grunddaten!J274="Ja",1,0),"")</f>
        <v/>
      </c>
      <c r="D269" s="1" t="str">
        <f>IF(AND(Programme_Grunddaten!$A274="Geprüft",Programme_Grunddaten!K274&lt;&gt;""),IF(Programme_Grunddaten!K274="Ja",1,0),"")</f>
        <v/>
      </c>
      <c r="E269" s="1" t="str">
        <f>IF(AND(Programme_Grunddaten!$A274="Geprüft",Programme_Grunddaten!L274&lt;&gt;""),IF(Programme_Grunddaten!L274="Abo / befristete Lizenz",1,0),"")</f>
        <v/>
      </c>
      <c r="F269" s="1" t="str">
        <f>IF(AND(Programme_Grunddaten!$A274="Geprüft",Programme_Grunddaten!M274&lt;&gt;""),IF(Programme_Grunddaten!M274="Ja",1,0),"")</f>
        <v/>
      </c>
      <c r="G269" s="1" t="str">
        <f>IF(AND(Programme_Grunddaten!$A274="Geprüft",Programme_Grunddaten!N274&lt;&gt;""),IF(Programme_Grunddaten!N274="Ja",1,0),"")</f>
        <v/>
      </c>
      <c r="H269" s="1" t="str">
        <f>IF(AND(Programme_Grunddaten!$A274="Geprüft",Programme_Grunddaten!O274&lt;&gt;""),IF(Programme_Grunddaten!O274="Deutschland",0,IF(Programme_Grunddaten!O274="EU",1,2)),"")</f>
        <v/>
      </c>
      <c r="I269" s="1" t="str">
        <f>IF(AND(Programme_Grunddaten!$A274="Geprüft",Programme_Grunddaten!P274&lt;&gt;""),IF(Programme_Grunddaten!P274="Ja",1,0),"")</f>
        <v/>
      </c>
      <c r="J269" s="1" t="str">
        <f>IF(AND(Programme_Grunddaten!$A274="Geprüft",Programme_Grunddaten!Q274&lt;&gt;""),IF(Programme_Grunddaten!Q274="geschlossenes System",1,0),"")</f>
        <v/>
      </c>
      <c r="K269" s="1" t="str">
        <f>IF(AND(Programme_Grunddaten!$A274="Geprüft",Programme_Grunddaten!R274&lt;&gt;""),IF(Programme_Grunddaten!R274="Ja",1,0),"")</f>
        <v/>
      </c>
      <c r="L269" s="1" t="str">
        <f>IF(AND(Programme_Grunddaten!$A274="Geprüft",Programme_Grunddaten!T274&lt;&gt;""),IF(Programme_Grunddaten!T274="Ja",1,0),"")</f>
        <v/>
      </c>
      <c r="M269" s="1" t="str">
        <f>IF(AND(Programme_Grunddaten!$A274="Geprüft",Programme_Grunddaten!U274&lt;&gt;""),IF(Programme_Grunddaten!U274="Ja",1,0),"")</f>
        <v/>
      </c>
      <c r="N269" s="1" t="str">
        <f>IF(AND(Programme_Grunddaten!$A274="Geprüft",Programme_Grunddaten!V274&lt;&gt;""),IF(Programme_Grunddaten!V274="Ja",1,0),"")</f>
        <v/>
      </c>
      <c r="O269" s="1" t="str">
        <f>IF(AND(Programme_Grunddaten!$A274="Geprüft",Programme_Grunddaten!W274&lt;&gt;""),IF(Programme_Grunddaten!W274="Ja",1,0),"")</f>
        <v/>
      </c>
      <c r="P269" s="1" t="str">
        <f>IF(AND(Programme_Grunddaten!$A274="Geprüft",Programme_Grunddaten!X274&lt;&gt;""),IF(Programme_Grunddaten!X274="Ja",1,0),"")</f>
        <v/>
      </c>
      <c r="Q269" s="1" t="str">
        <f>IF(AND(Programme_Grunddaten!$A274="Geprüft",Programme_Grunddaten!Y274&lt;&gt;""),IF(Programme_Grunddaten!Y274="Ja",1,0),"")</f>
        <v/>
      </c>
      <c r="R269" s="1" t="str">
        <f>IF(AND(Programme_Grunddaten!$A274="Geprüft",Programme_Grunddaten!Z274&lt;&gt;""),IF(Programme_Grunddaten!Z274="Ja",1,0),"")</f>
        <v/>
      </c>
      <c r="S269" s="1" t="str">
        <f>IF(AND(Programme_Grunddaten!$A274="Geprüft",Programme_Grunddaten!AA274&lt;&gt;""),IF(Programme_Grunddaten!AA274="monolithisch",1,0),"")</f>
        <v/>
      </c>
      <c r="T269" s="1" t="str">
        <f>IF(AND(Programme_Grunddaten!$A274="Geprüft",Programme_Grunddaten!AB274&lt;&gt;""),IF(Programme_Grunddaten!AB274="Ja",1,0),"")</f>
        <v/>
      </c>
      <c r="U269" s="1" t="str">
        <f>IF(AND(Programme_Grunddaten!$A274="Geprüft",Programme_Grunddaten!AC274&lt;&gt;""),IF(Programme_Grunddaten!AC274="Ja",1,0),"")</f>
        <v/>
      </c>
      <c r="V269" s="1" t="str">
        <f>IF(AND(Programme_Grunddaten!$A274="Geprüft",Programme_Grunddaten!AD274&lt;&gt;""),IF(Programme_Grunddaten!AD274="Ja",1,0),"")</f>
        <v/>
      </c>
      <c r="W269" s="1" t="str">
        <f>IF(AND(Programme_Grunddaten!$A274="Geprüft",Programme_Grunddaten!AE274&lt;&gt;""),IF(Programme_Grunddaten!AE274="Ja",1,0),"")</f>
        <v/>
      </c>
      <c r="X269" s="1" t="str">
        <f>IF(AND(Programme_Grunddaten!$A274="Geprüft",Programme_Grunddaten!AF274&lt;&gt;""),IF(Programme_Grunddaten!AF274="Ja",1,0),"")</f>
        <v/>
      </c>
      <c r="Y269" s="1" t="str">
        <f>IF(AND(Programme_Grunddaten!$A274="Geprüft",Programme_Grunddaten!AG274&lt;&gt;""),IF(Programme_Grunddaten!AG274="Ja",1,0),"")</f>
        <v/>
      </c>
      <c r="Z269" s="1" t="str">
        <f>IF(AND(Programme_Grunddaten!$A274="Geprüft",Programme_Grunddaten!AH274&lt;&gt;""),IF(Programme_Grunddaten!AH274="Ja",1,0),"")</f>
        <v/>
      </c>
      <c r="AA269" s="1" t="str">
        <f>IF(AND(Programme_Grunddaten!$A274="Geprüft",Programme_Grunddaten!AI274&lt;&gt;""),IF(Programme_Grunddaten!AI274="Ja",1,0),"")</f>
        <v/>
      </c>
      <c r="AB269" s="1" t="str">
        <f>IF(AND(Programme_Grunddaten!$A274="Geprüft",Programme_Grunddaten!AJ274&lt;&gt;""),IF(Programme_Grunddaten!AJ274="individuell programmierbar",1,0),"")</f>
        <v/>
      </c>
      <c r="AC269" s="1" t="str">
        <f>IF(AND(Programme_Grunddaten!$A274="Geprüft",Programme_Grunddaten!AK274&lt;&gt;""),IF(Programme_Grunddaten!AK274="Deutsch",0,IF(Programme_Grunddaten!AK274="Deutsch und Englisch",1,2)),"")</f>
        <v/>
      </c>
      <c r="AD269" s="1" t="str">
        <f>IF(AND(Programme_Grunddaten!$A274="Geprüft",Programme_Grunddaten!AL274&lt;&gt;""),IF(Programme_Grunddaten!AL274="Ja",1,0),"")</f>
        <v/>
      </c>
      <c r="AE269" s="1" t="str">
        <f>IF(AND(Programme_Grunddaten!$A274="Geprüft",Programme_Grunddaten!AM274&lt;&gt;""),IF(Programme_Grunddaten!AM274="Ja",1,0),"")</f>
        <v/>
      </c>
      <c r="AF269" s="1" t="str">
        <f>IF(AND(Programme_Grunddaten!$A274="Geprüft",Programme_Grunddaten!AN274&lt;&gt;""),IF(Programme_Grunddaten!AN274="Ja",1,0),"")</f>
        <v/>
      </c>
      <c r="AG269" s="1" t="str">
        <f>IF(AND(Programme_Grunddaten!$A274="Geprüft",Programme_Grunddaten!AO274&lt;&gt;""),IF(Programme_Grunddaten!AO274="Ja",1,0),"")</f>
        <v/>
      </c>
      <c r="AH269" s="1" t="str">
        <f>IF(AND(Programme_Grunddaten!$A274="Geprüft",Programme_Grunddaten!AP274&lt;&gt;""),IF(Programme_Grunddaten!AP274="Ja",1,0),"")</f>
        <v/>
      </c>
      <c r="AI269" s="1" t="str">
        <f>IF(AND(Programme_Grunddaten!$A274="Geprüft",Programme_Grunddaten!AQ274&lt;&gt;""),IF(Programme_Grunddaten!AQ274="Ja",1,0),"")</f>
        <v/>
      </c>
      <c r="AJ269" s="1" t="str">
        <f>IF(AND(Programme_Grunddaten!$A274="Geprüft",Programme_Grunddaten!AR274&lt;&gt;""),IF(Programme_Grunddaten!AR274="Ja",1,0),"")</f>
        <v/>
      </c>
      <c r="AK269" s="1" t="str">
        <f>IF(AND(Programme_Grunddaten!$A274="Geprüft",Programme_Grunddaten!AS274&lt;&gt;""),IF(Programme_Grunddaten!AS274="Ja",1,0),"")</f>
        <v/>
      </c>
      <c r="AL269" s="1" t="str">
        <f>IF(AND(Programme_Grunddaten!$A274="Geprüft",Programme_Grunddaten!AT274&lt;&gt;""),IF(Programme_Grunddaten!AT274="Ja",1,0),"")</f>
        <v/>
      </c>
      <c r="AM269" s="1" t="str">
        <f>IF(AND(Programme_Grunddaten!$A274="Geprüft",Programme_Grunddaten!AU274&lt;&gt;""),IF(Programme_Grunddaten!AU274="Ja",1,0),"")</f>
        <v/>
      </c>
      <c r="AN269" s="1" t="str">
        <f>IF(AND(Programme_Grunddaten!$A274="Geprüft",Programme_Grunddaten!AV274&lt;&gt;""),IF(Programme_Grunddaten!AV274="Ja",1,0),"")</f>
        <v/>
      </c>
    </row>
    <row r="270" spans="1:40" x14ac:dyDescent="0.3">
      <c r="A270" s="1" t="str">
        <f>IF(AND(Programme_Grunddaten!A275="Geprüft",Programme_Grunddaten!B275&lt;&gt;""),Programme_Grunddaten!B275,"")</f>
        <v/>
      </c>
      <c r="B270" s="1" t="str">
        <f>IF(AND(Programme_Grunddaten!$A275="Geprüft",Programme_Grunddaten!I275&lt;&gt;""),IF(Programme_Grunddaten!I275="Ja",1,0),"")</f>
        <v/>
      </c>
      <c r="C270" s="1" t="str">
        <f>IF(AND(Programme_Grunddaten!$A275="Geprüft",Programme_Grunddaten!J275&lt;&gt;""),IF(Programme_Grunddaten!J275="Ja",1,0),"")</f>
        <v/>
      </c>
      <c r="D270" s="1" t="str">
        <f>IF(AND(Programme_Grunddaten!$A275="Geprüft",Programme_Grunddaten!K275&lt;&gt;""),IF(Programme_Grunddaten!K275="Ja",1,0),"")</f>
        <v/>
      </c>
      <c r="E270" s="1" t="str">
        <f>IF(AND(Programme_Grunddaten!$A275="Geprüft",Programme_Grunddaten!L275&lt;&gt;""),IF(Programme_Grunddaten!L275="Abo / befristete Lizenz",1,0),"")</f>
        <v/>
      </c>
      <c r="F270" s="1" t="str">
        <f>IF(AND(Programme_Grunddaten!$A275="Geprüft",Programme_Grunddaten!M275&lt;&gt;""),IF(Programme_Grunddaten!M275="Ja",1,0),"")</f>
        <v/>
      </c>
      <c r="G270" s="1" t="str">
        <f>IF(AND(Programme_Grunddaten!$A275="Geprüft",Programme_Grunddaten!N275&lt;&gt;""),IF(Programme_Grunddaten!N275="Ja",1,0),"")</f>
        <v/>
      </c>
      <c r="H270" s="1" t="str">
        <f>IF(AND(Programme_Grunddaten!$A275="Geprüft",Programme_Grunddaten!O275&lt;&gt;""),IF(Programme_Grunddaten!O275="Deutschland",0,IF(Programme_Grunddaten!O275="EU",1,2)),"")</f>
        <v/>
      </c>
      <c r="I270" s="1" t="str">
        <f>IF(AND(Programme_Grunddaten!$A275="Geprüft",Programme_Grunddaten!P275&lt;&gt;""),IF(Programme_Grunddaten!P275="Ja",1,0),"")</f>
        <v/>
      </c>
      <c r="J270" s="1" t="str">
        <f>IF(AND(Programme_Grunddaten!$A275="Geprüft",Programme_Grunddaten!Q275&lt;&gt;""),IF(Programme_Grunddaten!Q275="geschlossenes System",1,0),"")</f>
        <v/>
      </c>
      <c r="K270" s="1" t="str">
        <f>IF(AND(Programme_Grunddaten!$A275="Geprüft",Programme_Grunddaten!R275&lt;&gt;""),IF(Programme_Grunddaten!R275="Ja",1,0),"")</f>
        <v/>
      </c>
      <c r="L270" s="1" t="str">
        <f>IF(AND(Programme_Grunddaten!$A275="Geprüft",Programme_Grunddaten!T275&lt;&gt;""),IF(Programme_Grunddaten!T275="Ja",1,0),"")</f>
        <v/>
      </c>
      <c r="M270" s="1" t="str">
        <f>IF(AND(Programme_Grunddaten!$A275="Geprüft",Programme_Grunddaten!U275&lt;&gt;""),IF(Programme_Grunddaten!U275="Ja",1,0),"")</f>
        <v/>
      </c>
      <c r="N270" s="1" t="str">
        <f>IF(AND(Programme_Grunddaten!$A275="Geprüft",Programme_Grunddaten!V275&lt;&gt;""),IF(Programme_Grunddaten!V275="Ja",1,0),"")</f>
        <v/>
      </c>
      <c r="O270" s="1" t="str">
        <f>IF(AND(Programme_Grunddaten!$A275="Geprüft",Programme_Grunddaten!W275&lt;&gt;""),IF(Programme_Grunddaten!W275="Ja",1,0),"")</f>
        <v/>
      </c>
      <c r="P270" s="1" t="str">
        <f>IF(AND(Programme_Grunddaten!$A275="Geprüft",Programme_Grunddaten!X275&lt;&gt;""),IF(Programme_Grunddaten!X275="Ja",1,0),"")</f>
        <v/>
      </c>
      <c r="Q270" s="1" t="str">
        <f>IF(AND(Programme_Grunddaten!$A275="Geprüft",Programme_Grunddaten!Y275&lt;&gt;""),IF(Programme_Grunddaten!Y275="Ja",1,0),"")</f>
        <v/>
      </c>
      <c r="R270" s="1" t="str">
        <f>IF(AND(Programme_Grunddaten!$A275="Geprüft",Programme_Grunddaten!Z275&lt;&gt;""),IF(Programme_Grunddaten!Z275="Ja",1,0),"")</f>
        <v/>
      </c>
      <c r="S270" s="1" t="str">
        <f>IF(AND(Programme_Grunddaten!$A275="Geprüft",Programme_Grunddaten!AA275&lt;&gt;""),IF(Programme_Grunddaten!AA275="monolithisch",1,0),"")</f>
        <v/>
      </c>
      <c r="T270" s="1" t="str">
        <f>IF(AND(Programme_Grunddaten!$A275="Geprüft",Programme_Grunddaten!AB275&lt;&gt;""),IF(Programme_Grunddaten!AB275="Ja",1,0),"")</f>
        <v/>
      </c>
      <c r="U270" s="1" t="str">
        <f>IF(AND(Programme_Grunddaten!$A275="Geprüft",Programme_Grunddaten!AC275&lt;&gt;""),IF(Programme_Grunddaten!AC275="Ja",1,0),"")</f>
        <v/>
      </c>
      <c r="V270" s="1" t="str">
        <f>IF(AND(Programme_Grunddaten!$A275="Geprüft",Programme_Grunddaten!AD275&lt;&gt;""),IF(Programme_Grunddaten!AD275="Ja",1,0),"")</f>
        <v/>
      </c>
      <c r="W270" s="1" t="str">
        <f>IF(AND(Programme_Grunddaten!$A275="Geprüft",Programme_Grunddaten!AE275&lt;&gt;""),IF(Programme_Grunddaten!AE275="Ja",1,0),"")</f>
        <v/>
      </c>
      <c r="X270" s="1" t="str">
        <f>IF(AND(Programme_Grunddaten!$A275="Geprüft",Programme_Grunddaten!AF275&lt;&gt;""),IF(Programme_Grunddaten!AF275="Ja",1,0),"")</f>
        <v/>
      </c>
      <c r="Y270" s="1" t="str">
        <f>IF(AND(Programme_Grunddaten!$A275="Geprüft",Programme_Grunddaten!AG275&lt;&gt;""),IF(Programme_Grunddaten!AG275="Ja",1,0),"")</f>
        <v/>
      </c>
      <c r="Z270" s="1" t="str">
        <f>IF(AND(Programme_Grunddaten!$A275="Geprüft",Programme_Grunddaten!AH275&lt;&gt;""),IF(Programme_Grunddaten!AH275="Ja",1,0),"")</f>
        <v/>
      </c>
      <c r="AA270" s="1" t="str">
        <f>IF(AND(Programme_Grunddaten!$A275="Geprüft",Programme_Grunddaten!AI275&lt;&gt;""),IF(Programme_Grunddaten!AI275="Ja",1,0),"")</f>
        <v/>
      </c>
      <c r="AB270" s="1" t="str">
        <f>IF(AND(Programme_Grunddaten!$A275="Geprüft",Programme_Grunddaten!AJ275&lt;&gt;""),IF(Programme_Grunddaten!AJ275="individuell programmierbar",1,0),"")</f>
        <v/>
      </c>
      <c r="AC270" s="1" t="str">
        <f>IF(AND(Programme_Grunddaten!$A275="Geprüft",Programme_Grunddaten!AK275&lt;&gt;""),IF(Programme_Grunddaten!AK275="Deutsch",0,IF(Programme_Grunddaten!AK275="Deutsch und Englisch",1,2)),"")</f>
        <v/>
      </c>
      <c r="AD270" s="1" t="str">
        <f>IF(AND(Programme_Grunddaten!$A275="Geprüft",Programme_Grunddaten!AL275&lt;&gt;""),IF(Programme_Grunddaten!AL275="Ja",1,0),"")</f>
        <v/>
      </c>
      <c r="AE270" s="1" t="str">
        <f>IF(AND(Programme_Grunddaten!$A275="Geprüft",Programme_Grunddaten!AM275&lt;&gt;""),IF(Programme_Grunddaten!AM275="Ja",1,0),"")</f>
        <v/>
      </c>
      <c r="AF270" s="1" t="str">
        <f>IF(AND(Programme_Grunddaten!$A275="Geprüft",Programme_Grunddaten!AN275&lt;&gt;""),IF(Programme_Grunddaten!AN275="Ja",1,0),"")</f>
        <v/>
      </c>
      <c r="AG270" s="1" t="str">
        <f>IF(AND(Programme_Grunddaten!$A275="Geprüft",Programme_Grunddaten!AO275&lt;&gt;""),IF(Programme_Grunddaten!AO275="Ja",1,0),"")</f>
        <v/>
      </c>
      <c r="AH270" s="1" t="str">
        <f>IF(AND(Programme_Grunddaten!$A275="Geprüft",Programme_Grunddaten!AP275&lt;&gt;""),IF(Programme_Grunddaten!AP275="Ja",1,0),"")</f>
        <v/>
      </c>
      <c r="AI270" s="1" t="str">
        <f>IF(AND(Programme_Grunddaten!$A275="Geprüft",Programme_Grunddaten!AQ275&lt;&gt;""),IF(Programme_Grunddaten!AQ275="Ja",1,0),"")</f>
        <v/>
      </c>
      <c r="AJ270" s="1" t="str">
        <f>IF(AND(Programme_Grunddaten!$A275="Geprüft",Programme_Grunddaten!AR275&lt;&gt;""),IF(Programme_Grunddaten!AR275="Ja",1,0),"")</f>
        <v/>
      </c>
      <c r="AK270" s="1" t="str">
        <f>IF(AND(Programme_Grunddaten!$A275="Geprüft",Programme_Grunddaten!AS275&lt;&gt;""),IF(Programme_Grunddaten!AS275="Ja",1,0),"")</f>
        <v/>
      </c>
      <c r="AL270" s="1" t="str">
        <f>IF(AND(Programme_Grunddaten!$A275="Geprüft",Programme_Grunddaten!AT275&lt;&gt;""),IF(Programme_Grunddaten!AT275="Ja",1,0),"")</f>
        <v/>
      </c>
      <c r="AM270" s="1" t="str">
        <f>IF(AND(Programme_Grunddaten!$A275="Geprüft",Programme_Grunddaten!AU275&lt;&gt;""),IF(Programme_Grunddaten!AU275="Ja",1,0),"")</f>
        <v/>
      </c>
      <c r="AN270" s="1" t="str">
        <f>IF(AND(Programme_Grunddaten!$A275="Geprüft",Programme_Grunddaten!AV275&lt;&gt;""),IF(Programme_Grunddaten!AV275="Ja",1,0),"")</f>
        <v/>
      </c>
    </row>
    <row r="271" spans="1:40" x14ac:dyDescent="0.3">
      <c r="A271" s="1" t="str">
        <f>IF(AND(Programme_Grunddaten!A276="Geprüft",Programme_Grunddaten!B276&lt;&gt;""),Programme_Grunddaten!B276,"")</f>
        <v/>
      </c>
      <c r="B271" s="1" t="str">
        <f>IF(AND(Programme_Grunddaten!$A276="Geprüft",Programme_Grunddaten!I276&lt;&gt;""),IF(Programme_Grunddaten!I276="Ja",1,0),"")</f>
        <v/>
      </c>
      <c r="C271" s="1" t="str">
        <f>IF(AND(Programme_Grunddaten!$A276="Geprüft",Programme_Grunddaten!J276&lt;&gt;""),IF(Programme_Grunddaten!J276="Ja",1,0),"")</f>
        <v/>
      </c>
      <c r="D271" s="1" t="str">
        <f>IF(AND(Programme_Grunddaten!$A276="Geprüft",Programme_Grunddaten!K276&lt;&gt;""),IF(Programme_Grunddaten!K276="Ja",1,0),"")</f>
        <v/>
      </c>
      <c r="E271" s="1" t="str">
        <f>IF(AND(Programme_Grunddaten!$A276="Geprüft",Programme_Grunddaten!L276&lt;&gt;""),IF(Programme_Grunddaten!L276="Abo / befristete Lizenz",1,0),"")</f>
        <v/>
      </c>
      <c r="F271" s="1" t="str">
        <f>IF(AND(Programme_Grunddaten!$A276="Geprüft",Programme_Grunddaten!M276&lt;&gt;""),IF(Programme_Grunddaten!M276="Ja",1,0),"")</f>
        <v/>
      </c>
      <c r="G271" s="1" t="str">
        <f>IF(AND(Programme_Grunddaten!$A276="Geprüft",Programme_Grunddaten!N276&lt;&gt;""),IF(Programme_Grunddaten!N276="Ja",1,0),"")</f>
        <v/>
      </c>
      <c r="H271" s="1" t="str">
        <f>IF(AND(Programme_Grunddaten!$A276="Geprüft",Programme_Grunddaten!O276&lt;&gt;""),IF(Programme_Grunddaten!O276="Deutschland",0,IF(Programme_Grunddaten!O276="EU",1,2)),"")</f>
        <v/>
      </c>
      <c r="I271" s="1" t="str">
        <f>IF(AND(Programme_Grunddaten!$A276="Geprüft",Programme_Grunddaten!P276&lt;&gt;""),IF(Programme_Grunddaten!P276="Ja",1,0),"")</f>
        <v/>
      </c>
      <c r="J271" s="1" t="str">
        <f>IF(AND(Programme_Grunddaten!$A276="Geprüft",Programme_Grunddaten!Q276&lt;&gt;""),IF(Programme_Grunddaten!Q276="geschlossenes System",1,0),"")</f>
        <v/>
      </c>
      <c r="K271" s="1" t="str">
        <f>IF(AND(Programme_Grunddaten!$A276="Geprüft",Programme_Grunddaten!R276&lt;&gt;""),IF(Programme_Grunddaten!R276="Ja",1,0),"")</f>
        <v/>
      </c>
      <c r="L271" s="1" t="str">
        <f>IF(AND(Programme_Grunddaten!$A276="Geprüft",Programme_Grunddaten!T276&lt;&gt;""),IF(Programme_Grunddaten!T276="Ja",1,0),"")</f>
        <v/>
      </c>
      <c r="M271" s="1" t="str">
        <f>IF(AND(Programme_Grunddaten!$A276="Geprüft",Programme_Grunddaten!U276&lt;&gt;""),IF(Programme_Grunddaten!U276="Ja",1,0),"")</f>
        <v/>
      </c>
      <c r="N271" s="1" t="str">
        <f>IF(AND(Programme_Grunddaten!$A276="Geprüft",Programme_Grunddaten!V276&lt;&gt;""),IF(Programme_Grunddaten!V276="Ja",1,0),"")</f>
        <v/>
      </c>
      <c r="O271" s="1" t="str">
        <f>IF(AND(Programme_Grunddaten!$A276="Geprüft",Programme_Grunddaten!W276&lt;&gt;""),IF(Programme_Grunddaten!W276="Ja",1,0),"")</f>
        <v/>
      </c>
      <c r="P271" s="1" t="str">
        <f>IF(AND(Programme_Grunddaten!$A276="Geprüft",Programme_Grunddaten!X276&lt;&gt;""),IF(Programme_Grunddaten!X276="Ja",1,0),"")</f>
        <v/>
      </c>
      <c r="Q271" s="1" t="str">
        <f>IF(AND(Programme_Grunddaten!$A276="Geprüft",Programme_Grunddaten!Y276&lt;&gt;""),IF(Programme_Grunddaten!Y276="Ja",1,0),"")</f>
        <v/>
      </c>
      <c r="R271" s="1" t="str">
        <f>IF(AND(Programme_Grunddaten!$A276="Geprüft",Programme_Grunddaten!Z276&lt;&gt;""),IF(Programme_Grunddaten!Z276="Ja",1,0),"")</f>
        <v/>
      </c>
      <c r="S271" s="1" t="str">
        <f>IF(AND(Programme_Grunddaten!$A276="Geprüft",Programme_Grunddaten!AA276&lt;&gt;""),IF(Programme_Grunddaten!AA276="monolithisch",1,0),"")</f>
        <v/>
      </c>
      <c r="T271" s="1" t="str">
        <f>IF(AND(Programme_Grunddaten!$A276="Geprüft",Programme_Grunddaten!AB276&lt;&gt;""),IF(Programme_Grunddaten!AB276="Ja",1,0),"")</f>
        <v/>
      </c>
      <c r="U271" s="1" t="str">
        <f>IF(AND(Programme_Grunddaten!$A276="Geprüft",Programme_Grunddaten!AC276&lt;&gt;""),IF(Programme_Grunddaten!AC276="Ja",1,0),"")</f>
        <v/>
      </c>
      <c r="V271" s="1" t="str">
        <f>IF(AND(Programme_Grunddaten!$A276="Geprüft",Programme_Grunddaten!AD276&lt;&gt;""),IF(Programme_Grunddaten!AD276="Ja",1,0),"")</f>
        <v/>
      </c>
      <c r="W271" s="1" t="str">
        <f>IF(AND(Programme_Grunddaten!$A276="Geprüft",Programme_Grunddaten!AE276&lt;&gt;""),IF(Programme_Grunddaten!AE276="Ja",1,0),"")</f>
        <v/>
      </c>
      <c r="X271" s="1" t="str">
        <f>IF(AND(Programme_Grunddaten!$A276="Geprüft",Programme_Grunddaten!AF276&lt;&gt;""),IF(Programme_Grunddaten!AF276="Ja",1,0),"")</f>
        <v/>
      </c>
      <c r="Y271" s="1" t="str">
        <f>IF(AND(Programme_Grunddaten!$A276="Geprüft",Programme_Grunddaten!AG276&lt;&gt;""),IF(Programme_Grunddaten!AG276="Ja",1,0),"")</f>
        <v/>
      </c>
      <c r="Z271" s="1" t="str">
        <f>IF(AND(Programme_Grunddaten!$A276="Geprüft",Programme_Grunddaten!AH276&lt;&gt;""),IF(Programme_Grunddaten!AH276="Ja",1,0),"")</f>
        <v/>
      </c>
      <c r="AA271" s="1" t="str">
        <f>IF(AND(Programme_Grunddaten!$A276="Geprüft",Programme_Grunddaten!AI276&lt;&gt;""),IF(Programme_Grunddaten!AI276="Ja",1,0),"")</f>
        <v/>
      </c>
      <c r="AB271" s="1" t="str">
        <f>IF(AND(Programme_Grunddaten!$A276="Geprüft",Programme_Grunddaten!AJ276&lt;&gt;""),IF(Programme_Grunddaten!AJ276="individuell programmierbar",1,0),"")</f>
        <v/>
      </c>
      <c r="AC271" s="1" t="str">
        <f>IF(AND(Programme_Grunddaten!$A276="Geprüft",Programme_Grunddaten!AK276&lt;&gt;""),IF(Programme_Grunddaten!AK276="Deutsch",0,IF(Programme_Grunddaten!AK276="Deutsch und Englisch",1,2)),"")</f>
        <v/>
      </c>
      <c r="AD271" s="1" t="str">
        <f>IF(AND(Programme_Grunddaten!$A276="Geprüft",Programme_Grunddaten!AL276&lt;&gt;""),IF(Programme_Grunddaten!AL276="Ja",1,0),"")</f>
        <v/>
      </c>
      <c r="AE271" s="1" t="str">
        <f>IF(AND(Programme_Grunddaten!$A276="Geprüft",Programme_Grunddaten!AM276&lt;&gt;""),IF(Programme_Grunddaten!AM276="Ja",1,0),"")</f>
        <v/>
      </c>
      <c r="AF271" s="1" t="str">
        <f>IF(AND(Programme_Grunddaten!$A276="Geprüft",Programme_Grunddaten!AN276&lt;&gt;""),IF(Programme_Grunddaten!AN276="Ja",1,0),"")</f>
        <v/>
      </c>
      <c r="AG271" s="1" t="str">
        <f>IF(AND(Programme_Grunddaten!$A276="Geprüft",Programme_Grunddaten!AO276&lt;&gt;""),IF(Programme_Grunddaten!AO276="Ja",1,0),"")</f>
        <v/>
      </c>
      <c r="AH271" s="1" t="str">
        <f>IF(AND(Programme_Grunddaten!$A276="Geprüft",Programme_Grunddaten!AP276&lt;&gt;""),IF(Programme_Grunddaten!AP276="Ja",1,0),"")</f>
        <v/>
      </c>
      <c r="AI271" s="1" t="str">
        <f>IF(AND(Programme_Grunddaten!$A276="Geprüft",Programme_Grunddaten!AQ276&lt;&gt;""),IF(Programme_Grunddaten!AQ276="Ja",1,0),"")</f>
        <v/>
      </c>
      <c r="AJ271" s="1" t="str">
        <f>IF(AND(Programme_Grunddaten!$A276="Geprüft",Programme_Grunddaten!AR276&lt;&gt;""),IF(Programme_Grunddaten!AR276="Ja",1,0),"")</f>
        <v/>
      </c>
      <c r="AK271" s="1" t="str">
        <f>IF(AND(Programme_Grunddaten!$A276="Geprüft",Programme_Grunddaten!AS276&lt;&gt;""),IF(Programme_Grunddaten!AS276="Ja",1,0),"")</f>
        <v/>
      </c>
      <c r="AL271" s="1" t="str">
        <f>IF(AND(Programme_Grunddaten!$A276="Geprüft",Programme_Grunddaten!AT276&lt;&gt;""),IF(Programme_Grunddaten!AT276="Ja",1,0),"")</f>
        <v/>
      </c>
      <c r="AM271" s="1" t="str">
        <f>IF(AND(Programme_Grunddaten!$A276="Geprüft",Programme_Grunddaten!AU276&lt;&gt;""),IF(Programme_Grunddaten!AU276="Ja",1,0),"")</f>
        <v/>
      </c>
      <c r="AN271" s="1" t="str">
        <f>IF(AND(Programme_Grunddaten!$A276="Geprüft",Programme_Grunddaten!AV276&lt;&gt;""),IF(Programme_Grunddaten!AV276="Ja",1,0),"")</f>
        <v/>
      </c>
    </row>
    <row r="272" spans="1:40" x14ac:dyDescent="0.3">
      <c r="A272" s="1" t="str">
        <f>IF(AND(Programme_Grunddaten!A277="Geprüft",Programme_Grunddaten!B277&lt;&gt;""),Programme_Grunddaten!B277,"")</f>
        <v/>
      </c>
      <c r="B272" s="1" t="str">
        <f>IF(AND(Programme_Grunddaten!$A277="Geprüft",Programme_Grunddaten!I277&lt;&gt;""),IF(Programme_Grunddaten!I277="Ja",1,0),"")</f>
        <v/>
      </c>
      <c r="C272" s="1" t="str">
        <f>IF(AND(Programme_Grunddaten!$A277="Geprüft",Programme_Grunddaten!J277&lt;&gt;""),IF(Programme_Grunddaten!J277="Ja",1,0),"")</f>
        <v/>
      </c>
      <c r="D272" s="1" t="str">
        <f>IF(AND(Programme_Grunddaten!$A277="Geprüft",Programme_Grunddaten!K277&lt;&gt;""),IF(Programme_Grunddaten!K277="Ja",1,0),"")</f>
        <v/>
      </c>
      <c r="E272" s="1" t="str">
        <f>IF(AND(Programme_Grunddaten!$A277="Geprüft",Programme_Grunddaten!L277&lt;&gt;""),IF(Programme_Grunddaten!L277="Abo / befristete Lizenz",1,0),"")</f>
        <v/>
      </c>
      <c r="F272" s="1" t="str">
        <f>IF(AND(Programme_Grunddaten!$A277="Geprüft",Programme_Grunddaten!M277&lt;&gt;""),IF(Programme_Grunddaten!M277="Ja",1,0),"")</f>
        <v/>
      </c>
      <c r="G272" s="1" t="str">
        <f>IF(AND(Programme_Grunddaten!$A277="Geprüft",Programme_Grunddaten!N277&lt;&gt;""),IF(Programme_Grunddaten!N277="Ja",1,0),"")</f>
        <v/>
      </c>
      <c r="H272" s="1" t="str">
        <f>IF(AND(Programme_Grunddaten!$A277="Geprüft",Programme_Grunddaten!O277&lt;&gt;""),IF(Programme_Grunddaten!O277="Deutschland",0,IF(Programme_Grunddaten!O277="EU",1,2)),"")</f>
        <v/>
      </c>
      <c r="I272" s="1" t="str">
        <f>IF(AND(Programme_Grunddaten!$A277="Geprüft",Programme_Grunddaten!P277&lt;&gt;""),IF(Programme_Grunddaten!P277="Ja",1,0),"")</f>
        <v/>
      </c>
      <c r="J272" s="1" t="str">
        <f>IF(AND(Programme_Grunddaten!$A277="Geprüft",Programme_Grunddaten!Q277&lt;&gt;""),IF(Programme_Grunddaten!Q277="geschlossenes System",1,0),"")</f>
        <v/>
      </c>
      <c r="K272" s="1" t="str">
        <f>IF(AND(Programme_Grunddaten!$A277="Geprüft",Programme_Grunddaten!R277&lt;&gt;""),IF(Programme_Grunddaten!R277="Ja",1,0),"")</f>
        <v/>
      </c>
      <c r="L272" s="1" t="str">
        <f>IF(AND(Programme_Grunddaten!$A277="Geprüft",Programme_Grunddaten!T277&lt;&gt;""),IF(Programme_Grunddaten!T277="Ja",1,0),"")</f>
        <v/>
      </c>
      <c r="M272" s="1" t="str">
        <f>IF(AND(Programme_Grunddaten!$A277="Geprüft",Programme_Grunddaten!U277&lt;&gt;""),IF(Programme_Grunddaten!U277="Ja",1,0),"")</f>
        <v/>
      </c>
      <c r="N272" s="1" t="str">
        <f>IF(AND(Programme_Grunddaten!$A277="Geprüft",Programme_Grunddaten!V277&lt;&gt;""),IF(Programme_Grunddaten!V277="Ja",1,0),"")</f>
        <v/>
      </c>
      <c r="O272" s="1" t="str">
        <f>IF(AND(Programme_Grunddaten!$A277="Geprüft",Programme_Grunddaten!W277&lt;&gt;""),IF(Programme_Grunddaten!W277="Ja",1,0),"")</f>
        <v/>
      </c>
      <c r="P272" s="1" t="str">
        <f>IF(AND(Programme_Grunddaten!$A277="Geprüft",Programme_Grunddaten!X277&lt;&gt;""),IF(Programme_Grunddaten!X277="Ja",1,0),"")</f>
        <v/>
      </c>
      <c r="Q272" s="1" t="str">
        <f>IF(AND(Programme_Grunddaten!$A277="Geprüft",Programme_Grunddaten!Y277&lt;&gt;""),IF(Programme_Grunddaten!Y277="Ja",1,0),"")</f>
        <v/>
      </c>
      <c r="R272" s="1" t="str">
        <f>IF(AND(Programme_Grunddaten!$A277="Geprüft",Programme_Grunddaten!Z277&lt;&gt;""),IF(Programme_Grunddaten!Z277="Ja",1,0),"")</f>
        <v/>
      </c>
      <c r="S272" s="1" t="str">
        <f>IF(AND(Programme_Grunddaten!$A277="Geprüft",Programme_Grunddaten!AA277&lt;&gt;""),IF(Programme_Grunddaten!AA277="monolithisch",1,0),"")</f>
        <v/>
      </c>
      <c r="T272" s="1" t="str">
        <f>IF(AND(Programme_Grunddaten!$A277="Geprüft",Programme_Grunddaten!AB277&lt;&gt;""),IF(Programme_Grunddaten!AB277="Ja",1,0),"")</f>
        <v/>
      </c>
      <c r="U272" s="1" t="str">
        <f>IF(AND(Programme_Grunddaten!$A277="Geprüft",Programme_Grunddaten!AC277&lt;&gt;""),IF(Programme_Grunddaten!AC277="Ja",1,0),"")</f>
        <v/>
      </c>
      <c r="V272" s="1" t="str">
        <f>IF(AND(Programme_Grunddaten!$A277="Geprüft",Programme_Grunddaten!AD277&lt;&gt;""),IF(Programme_Grunddaten!AD277="Ja",1,0),"")</f>
        <v/>
      </c>
      <c r="W272" s="1" t="str">
        <f>IF(AND(Programme_Grunddaten!$A277="Geprüft",Programme_Grunddaten!AE277&lt;&gt;""),IF(Programme_Grunddaten!AE277="Ja",1,0),"")</f>
        <v/>
      </c>
      <c r="X272" s="1" t="str">
        <f>IF(AND(Programme_Grunddaten!$A277="Geprüft",Programme_Grunddaten!AF277&lt;&gt;""),IF(Programme_Grunddaten!AF277="Ja",1,0),"")</f>
        <v/>
      </c>
      <c r="Y272" s="1" t="str">
        <f>IF(AND(Programme_Grunddaten!$A277="Geprüft",Programme_Grunddaten!AG277&lt;&gt;""),IF(Programme_Grunddaten!AG277="Ja",1,0),"")</f>
        <v/>
      </c>
      <c r="Z272" s="1" t="str">
        <f>IF(AND(Programme_Grunddaten!$A277="Geprüft",Programme_Grunddaten!AH277&lt;&gt;""),IF(Programme_Grunddaten!AH277="Ja",1,0),"")</f>
        <v/>
      </c>
      <c r="AA272" s="1" t="str">
        <f>IF(AND(Programme_Grunddaten!$A277="Geprüft",Programme_Grunddaten!AI277&lt;&gt;""),IF(Programme_Grunddaten!AI277="Ja",1,0),"")</f>
        <v/>
      </c>
      <c r="AB272" s="1" t="str">
        <f>IF(AND(Programme_Grunddaten!$A277="Geprüft",Programme_Grunddaten!AJ277&lt;&gt;""),IF(Programme_Grunddaten!AJ277="individuell programmierbar",1,0),"")</f>
        <v/>
      </c>
      <c r="AC272" s="1" t="str">
        <f>IF(AND(Programme_Grunddaten!$A277="Geprüft",Programme_Grunddaten!AK277&lt;&gt;""),IF(Programme_Grunddaten!AK277="Deutsch",0,IF(Programme_Grunddaten!AK277="Deutsch und Englisch",1,2)),"")</f>
        <v/>
      </c>
      <c r="AD272" s="1" t="str">
        <f>IF(AND(Programme_Grunddaten!$A277="Geprüft",Programme_Grunddaten!AL277&lt;&gt;""),IF(Programme_Grunddaten!AL277="Ja",1,0),"")</f>
        <v/>
      </c>
      <c r="AE272" s="1" t="str">
        <f>IF(AND(Programme_Grunddaten!$A277="Geprüft",Programme_Grunddaten!AM277&lt;&gt;""),IF(Programme_Grunddaten!AM277="Ja",1,0),"")</f>
        <v/>
      </c>
      <c r="AF272" s="1" t="str">
        <f>IF(AND(Programme_Grunddaten!$A277="Geprüft",Programme_Grunddaten!AN277&lt;&gt;""),IF(Programme_Grunddaten!AN277="Ja",1,0),"")</f>
        <v/>
      </c>
      <c r="AG272" s="1" t="str">
        <f>IF(AND(Programme_Grunddaten!$A277="Geprüft",Programme_Grunddaten!AO277&lt;&gt;""),IF(Programme_Grunddaten!AO277="Ja",1,0),"")</f>
        <v/>
      </c>
      <c r="AH272" s="1" t="str">
        <f>IF(AND(Programme_Grunddaten!$A277="Geprüft",Programme_Grunddaten!AP277&lt;&gt;""),IF(Programme_Grunddaten!AP277="Ja",1,0),"")</f>
        <v/>
      </c>
      <c r="AI272" s="1" t="str">
        <f>IF(AND(Programme_Grunddaten!$A277="Geprüft",Programme_Grunddaten!AQ277&lt;&gt;""),IF(Programme_Grunddaten!AQ277="Ja",1,0),"")</f>
        <v/>
      </c>
      <c r="AJ272" s="1" t="str">
        <f>IF(AND(Programme_Grunddaten!$A277="Geprüft",Programme_Grunddaten!AR277&lt;&gt;""),IF(Programme_Grunddaten!AR277="Ja",1,0),"")</f>
        <v/>
      </c>
      <c r="AK272" s="1" t="str">
        <f>IF(AND(Programme_Grunddaten!$A277="Geprüft",Programme_Grunddaten!AS277&lt;&gt;""),IF(Programme_Grunddaten!AS277="Ja",1,0),"")</f>
        <v/>
      </c>
      <c r="AL272" s="1" t="str">
        <f>IF(AND(Programme_Grunddaten!$A277="Geprüft",Programme_Grunddaten!AT277&lt;&gt;""),IF(Programme_Grunddaten!AT277="Ja",1,0),"")</f>
        <v/>
      </c>
      <c r="AM272" s="1" t="str">
        <f>IF(AND(Programme_Grunddaten!$A277="Geprüft",Programme_Grunddaten!AU277&lt;&gt;""),IF(Programme_Grunddaten!AU277="Ja",1,0),"")</f>
        <v/>
      </c>
      <c r="AN272" s="1" t="str">
        <f>IF(AND(Programme_Grunddaten!$A277="Geprüft",Programme_Grunddaten!AV277&lt;&gt;""),IF(Programme_Grunddaten!AV277="Ja",1,0),"")</f>
        <v/>
      </c>
    </row>
    <row r="273" spans="1:40" x14ac:dyDescent="0.3">
      <c r="A273" s="1" t="str">
        <f>IF(AND(Programme_Grunddaten!A278="Geprüft",Programme_Grunddaten!B278&lt;&gt;""),Programme_Grunddaten!B278,"")</f>
        <v/>
      </c>
      <c r="B273" s="1" t="str">
        <f>IF(AND(Programme_Grunddaten!$A278="Geprüft",Programme_Grunddaten!I278&lt;&gt;""),IF(Programme_Grunddaten!I278="Ja",1,0),"")</f>
        <v/>
      </c>
      <c r="C273" s="1" t="str">
        <f>IF(AND(Programme_Grunddaten!$A278="Geprüft",Programme_Grunddaten!J278&lt;&gt;""),IF(Programme_Grunddaten!J278="Ja",1,0),"")</f>
        <v/>
      </c>
      <c r="D273" s="1" t="str">
        <f>IF(AND(Programme_Grunddaten!$A278="Geprüft",Programme_Grunddaten!K278&lt;&gt;""),IF(Programme_Grunddaten!K278="Ja",1,0),"")</f>
        <v/>
      </c>
      <c r="E273" s="1" t="str">
        <f>IF(AND(Programme_Grunddaten!$A278="Geprüft",Programme_Grunddaten!L278&lt;&gt;""),IF(Programme_Grunddaten!L278="Abo / befristete Lizenz",1,0),"")</f>
        <v/>
      </c>
      <c r="F273" s="1" t="str">
        <f>IF(AND(Programme_Grunddaten!$A278="Geprüft",Programme_Grunddaten!M278&lt;&gt;""),IF(Programme_Grunddaten!M278="Ja",1,0),"")</f>
        <v/>
      </c>
      <c r="G273" s="1" t="str">
        <f>IF(AND(Programme_Grunddaten!$A278="Geprüft",Programme_Grunddaten!N278&lt;&gt;""),IF(Programme_Grunddaten!N278="Ja",1,0),"")</f>
        <v/>
      </c>
      <c r="H273" s="1" t="str">
        <f>IF(AND(Programme_Grunddaten!$A278="Geprüft",Programme_Grunddaten!O278&lt;&gt;""),IF(Programme_Grunddaten!O278="Deutschland",0,IF(Programme_Grunddaten!O278="EU",1,2)),"")</f>
        <v/>
      </c>
      <c r="I273" s="1" t="str">
        <f>IF(AND(Programme_Grunddaten!$A278="Geprüft",Programme_Grunddaten!P278&lt;&gt;""),IF(Programme_Grunddaten!P278="Ja",1,0),"")</f>
        <v/>
      </c>
      <c r="J273" s="1" t="str">
        <f>IF(AND(Programme_Grunddaten!$A278="Geprüft",Programme_Grunddaten!Q278&lt;&gt;""),IF(Programme_Grunddaten!Q278="geschlossenes System",1,0),"")</f>
        <v/>
      </c>
      <c r="K273" s="1" t="str">
        <f>IF(AND(Programme_Grunddaten!$A278="Geprüft",Programme_Grunddaten!R278&lt;&gt;""),IF(Programme_Grunddaten!R278="Ja",1,0),"")</f>
        <v/>
      </c>
      <c r="L273" s="1" t="str">
        <f>IF(AND(Programme_Grunddaten!$A278="Geprüft",Programme_Grunddaten!T278&lt;&gt;""),IF(Programme_Grunddaten!T278="Ja",1,0),"")</f>
        <v/>
      </c>
      <c r="M273" s="1" t="str">
        <f>IF(AND(Programme_Grunddaten!$A278="Geprüft",Programme_Grunddaten!U278&lt;&gt;""),IF(Programme_Grunddaten!U278="Ja",1,0),"")</f>
        <v/>
      </c>
      <c r="N273" s="1" t="str">
        <f>IF(AND(Programme_Grunddaten!$A278="Geprüft",Programme_Grunddaten!V278&lt;&gt;""),IF(Programme_Grunddaten!V278="Ja",1,0),"")</f>
        <v/>
      </c>
      <c r="O273" s="1" t="str">
        <f>IF(AND(Programme_Grunddaten!$A278="Geprüft",Programme_Grunddaten!W278&lt;&gt;""),IF(Programme_Grunddaten!W278="Ja",1,0),"")</f>
        <v/>
      </c>
      <c r="P273" s="1" t="str">
        <f>IF(AND(Programme_Grunddaten!$A278="Geprüft",Programme_Grunddaten!X278&lt;&gt;""),IF(Programme_Grunddaten!X278="Ja",1,0),"")</f>
        <v/>
      </c>
      <c r="Q273" s="1" t="str">
        <f>IF(AND(Programme_Grunddaten!$A278="Geprüft",Programme_Grunddaten!Y278&lt;&gt;""),IF(Programme_Grunddaten!Y278="Ja",1,0),"")</f>
        <v/>
      </c>
      <c r="R273" s="1" t="str">
        <f>IF(AND(Programme_Grunddaten!$A278="Geprüft",Programme_Grunddaten!Z278&lt;&gt;""),IF(Programme_Grunddaten!Z278="Ja",1,0),"")</f>
        <v/>
      </c>
      <c r="S273" s="1" t="str">
        <f>IF(AND(Programme_Grunddaten!$A278="Geprüft",Programme_Grunddaten!AA278&lt;&gt;""),IF(Programme_Grunddaten!AA278="monolithisch",1,0),"")</f>
        <v/>
      </c>
      <c r="T273" s="1" t="str">
        <f>IF(AND(Programme_Grunddaten!$A278="Geprüft",Programme_Grunddaten!AB278&lt;&gt;""),IF(Programme_Grunddaten!AB278="Ja",1,0),"")</f>
        <v/>
      </c>
      <c r="U273" s="1" t="str">
        <f>IF(AND(Programme_Grunddaten!$A278="Geprüft",Programme_Grunddaten!AC278&lt;&gt;""),IF(Programme_Grunddaten!AC278="Ja",1,0),"")</f>
        <v/>
      </c>
      <c r="V273" s="1" t="str">
        <f>IF(AND(Programme_Grunddaten!$A278="Geprüft",Programme_Grunddaten!AD278&lt;&gt;""),IF(Programme_Grunddaten!AD278="Ja",1,0),"")</f>
        <v/>
      </c>
      <c r="W273" s="1" t="str">
        <f>IF(AND(Programme_Grunddaten!$A278="Geprüft",Programme_Grunddaten!AE278&lt;&gt;""),IF(Programme_Grunddaten!AE278="Ja",1,0),"")</f>
        <v/>
      </c>
      <c r="X273" s="1" t="str">
        <f>IF(AND(Programme_Grunddaten!$A278="Geprüft",Programme_Grunddaten!AF278&lt;&gt;""),IF(Programme_Grunddaten!AF278="Ja",1,0),"")</f>
        <v/>
      </c>
      <c r="Y273" s="1" t="str">
        <f>IF(AND(Programme_Grunddaten!$A278="Geprüft",Programme_Grunddaten!AG278&lt;&gt;""),IF(Programme_Grunddaten!AG278="Ja",1,0),"")</f>
        <v/>
      </c>
      <c r="Z273" s="1" t="str">
        <f>IF(AND(Programme_Grunddaten!$A278="Geprüft",Programme_Grunddaten!AH278&lt;&gt;""),IF(Programme_Grunddaten!AH278="Ja",1,0),"")</f>
        <v/>
      </c>
      <c r="AA273" s="1" t="str">
        <f>IF(AND(Programme_Grunddaten!$A278="Geprüft",Programme_Grunddaten!AI278&lt;&gt;""),IF(Programme_Grunddaten!AI278="Ja",1,0),"")</f>
        <v/>
      </c>
      <c r="AB273" s="1" t="str">
        <f>IF(AND(Programme_Grunddaten!$A278="Geprüft",Programme_Grunddaten!AJ278&lt;&gt;""),IF(Programme_Grunddaten!AJ278="individuell programmierbar",1,0),"")</f>
        <v/>
      </c>
      <c r="AC273" s="1" t="str">
        <f>IF(AND(Programme_Grunddaten!$A278="Geprüft",Programme_Grunddaten!AK278&lt;&gt;""),IF(Programme_Grunddaten!AK278="Deutsch",0,IF(Programme_Grunddaten!AK278="Deutsch und Englisch",1,2)),"")</f>
        <v/>
      </c>
      <c r="AD273" s="1" t="str">
        <f>IF(AND(Programme_Grunddaten!$A278="Geprüft",Programme_Grunddaten!AL278&lt;&gt;""),IF(Programme_Grunddaten!AL278="Ja",1,0),"")</f>
        <v/>
      </c>
      <c r="AE273" s="1" t="str">
        <f>IF(AND(Programme_Grunddaten!$A278="Geprüft",Programme_Grunddaten!AM278&lt;&gt;""),IF(Programme_Grunddaten!AM278="Ja",1,0),"")</f>
        <v/>
      </c>
      <c r="AF273" s="1" t="str">
        <f>IF(AND(Programme_Grunddaten!$A278="Geprüft",Programme_Grunddaten!AN278&lt;&gt;""),IF(Programme_Grunddaten!AN278="Ja",1,0),"")</f>
        <v/>
      </c>
      <c r="AG273" s="1" t="str">
        <f>IF(AND(Programme_Grunddaten!$A278="Geprüft",Programme_Grunddaten!AO278&lt;&gt;""),IF(Programme_Grunddaten!AO278="Ja",1,0),"")</f>
        <v/>
      </c>
      <c r="AH273" s="1" t="str">
        <f>IF(AND(Programme_Grunddaten!$A278="Geprüft",Programme_Grunddaten!AP278&lt;&gt;""),IF(Programme_Grunddaten!AP278="Ja",1,0),"")</f>
        <v/>
      </c>
      <c r="AI273" s="1" t="str">
        <f>IF(AND(Programme_Grunddaten!$A278="Geprüft",Programme_Grunddaten!AQ278&lt;&gt;""),IF(Programme_Grunddaten!AQ278="Ja",1,0),"")</f>
        <v/>
      </c>
      <c r="AJ273" s="1" t="str">
        <f>IF(AND(Programme_Grunddaten!$A278="Geprüft",Programme_Grunddaten!AR278&lt;&gt;""),IF(Programme_Grunddaten!AR278="Ja",1,0),"")</f>
        <v/>
      </c>
      <c r="AK273" s="1" t="str">
        <f>IF(AND(Programme_Grunddaten!$A278="Geprüft",Programme_Grunddaten!AS278&lt;&gt;""),IF(Programme_Grunddaten!AS278="Ja",1,0),"")</f>
        <v/>
      </c>
      <c r="AL273" s="1" t="str">
        <f>IF(AND(Programme_Grunddaten!$A278="Geprüft",Programme_Grunddaten!AT278&lt;&gt;""),IF(Programme_Grunddaten!AT278="Ja",1,0),"")</f>
        <v/>
      </c>
      <c r="AM273" s="1" t="str">
        <f>IF(AND(Programme_Grunddaten!$A278="Geprüft",Programme_Grunddaten!AU278&lt;&gt;""),IF(Programme_Grunddaten!AU278="Ja",1,0),"")</f>
        <v/>
      </c>
      <c r="AN273" s="1" t="str">
        <f>IF(AND(Programme_Grunddaten!$A278="Geprüft",Programme_Grunddaten!AV278&lt;&gt;""),IF(Programme_Grunddaten!AV278="Ja",1,0),"")</f>
        <v/>
      </c>
    </row>
    <row r="274" spans="1:40" x14ac:dyDescent="0.3">
      <c r="A274" s="1" t="str">
        <f>IF(AND(Programme_Grunddaten!A279="Geprüft",Programme_Grunddaten!B279&lt;&gt;""),Programme_Grunddaten!B279,"")</f>
        <v/>
      </c>
      <c r="B274" s="1" t="str">
        <f>IF(AND(Programme_Grunddaten!$A279="Geprüft",Programme_Grunddaten!I279&lt;&gt;""),IF(Programme_Grunddaten!I279="Ja",1,0),"")</f>
        <v/>
      </c>
      <c r="C274" s="1" t="str">
        <f>IF(AND(Programme_Grunddaten!$A279="Geprüft",Programme_Grunddaten!J279&lt;&gt;""),IF(Programme_Grunddaten!J279="Ja",1,0),"")</f>
        <v/>
      </c>
      <c r="D274" s="1" t="str">
        <f>IF(AND(Programme_Grunddaten!$A279="Geprüft",Programme_Grunddaten!K279&lt;&gt;""),IF(Programme_Grunddaten!K279="Ja",1,0),"")</f>
        <v/>
      </c>
      <c r="E274" s="1" t="str">
        <f>IF(AND(Programme_Grunddaten!$A279="Geprüft",Programme_Grunddaten!L279&lt;&gt;""),IF(Programme_Grunddaten!L279="Abo / befristete Lizenz",1,0),"")</f>
        <v/>
      </c>
      <c r="F274" s="1" t="str">
        <f>IF(AND(Programme_Grunddaten!$A279="Geprüft",Programme_Grunddaten!M279&lt;&gt;""),IF(Programme_Grunddaten!M279="Ja",1,0),"")</f>
        <v/>
      </c>
      <c r="G274" s="1" t="str">
        <f>IF(AND(Programme_Grunddaten!$A279="Geprüft",Programme_Grunddaten!N279&lt;&gt;""),IF(Programme_Grunddaten!N279="Ja",1,0),"")</f>
        <v/>
      </c>
      <c r="H274" s="1" t="str">
        <f>IF(AND(Programme_Grunddaten!$A279="Geprüft",Programme_Grunddaten!O279&lt;&gt;""),IF(Programme_Grunddaten!O279="Deutschland",0,IF(Programme_Grunddaten!O279="EU",1,2)),"")</f>
        <v/>
      </c>
      <c r="I274" s="1" t="str">
        <f>IF(AND(Programme_Grunddaten!$A279="Geprüft",Programme_Grunddaten!P279&lt;&gt;""),IF(Programme_Grunddaten!P279="Ja",1,0),"")</f>
        <v/>
      </c>
      <c r="J274" s="1" t="str">
        <f>IF(AND(Programme_Grunddaten!$A279="Geprüft",Programme_Grunddaten!Q279&lt;&gt;""),IF(Programme_Grunddaten!Q279="geschlossenes System",1,0),"")</f>
        <v/>
      </c>
      <c r="K274" s="1" t="str">
        <f>IF(AND(Programme_Grunddaten!$A279="Geprüft",Programme_Grunddaten!R279&lt;&gt;""),IF(Programme_Grunddaten!R279="Ja",1,0),"")</f>
        <v/>
      </c>
      <c r="L274" s="1" t="str">
        <f>IF(AND(Programme_Grunddaten!$A279="Geprüft",Programme_Grunddaten!T279&lt;&gt;""),IF(Programme_Grunddaten!T279="Ja",1,0),"")</f>
        <v/>
      </c>
      <c r="M274" s="1" t="str">
        <f>IF(AND(Programme_Grunddaten!$A279="Geprüft",Programme_Grunddaten!U279&lt;&gt;""),IF(Programme_Grunddaten!U279="Ja",1,0),"")</f>
        <v/>
      </c>
      <c r="N274" s="1" t="str">
        <f>IF(AND(Programme_Grunddaten!$A279="Geprüft",Programme_Grunddaten!V279&lt;&gt;""),IF(Programme_Grunddaten!V279="Ja",1,0),"")</f>
        <v/>
      </c>
      <c r="O274" s="1" t="str">
        <f>IF(AND(Programme_Grunddaten!$A279="Geprüft",Programme_Grunddaten!W279&lt;&gt;""),IF(Programme_Grunddaten!W279="Ja",1,0),"")</f>
        <v/>
      </c>
      <c r="P274" s="1" t="str">
        <f>IF(AND(Programme_Grunddaten!$A279="Geprüft",Programme_Grunddaten!X279&lt;&gt;""),IF(Programme_Grunddaten!X279="Ja",1,0),"")</f>
        <v/>
      </c>
      <c r="Q274" s="1" t="str">
        <f>IF(AND(Programme_Grunddaten!$A279="Geprüft",Programme_Grunddaten!Y279&lt;&gt;""),IF(Programme_Grunddaten!Y279="Ja",1,0),"")</f>
        <v/>
      </c>
      <c r="R274" s="1" t="str">
        <f>IF(AND(Programme_Grunddaten!$A279="Geprüft",Programme_Grunddaten!Z279&lt;&gt;""),IF(Programme_Grunddaten!Z279="Ja",1,0),"")</f>
        <v/>
      </c>
      <c r="S274" s="1" t="str">
        <f>IF(AND(Programme_Grunddaten!$A279="Geprüft",Programme_Grunddaten!AA279&lt;&gt;""),IF(Programme_Grunddaten!AA279="monolithisch",1,0),"")</f>
        <v/>
      </c>
      <c r="T274" s="1" t="str">
        <f>IF(AND(Programme_Grunddaten!$A279="Geprüft",Programme_Grunddaten!AB279&lt;&gt;""),IF(Programme_Grunddaten!AB279="Ja",1,0),"")</f>
        <v/>
      </c>
      <c r="U274" s="1" t="str">
        <f>IF(AND(Programme_Grunddaten!$A279="Geprüft",Programme_Grunddaten!AC279&lt;&gt;""),IF(Programme_Grunddaten!AC279="Ja",1,0),"")</f>
        <v/>
      </c>
      <c r="V274" s="1" t="str">
        <f>IF(AND(Programme_Grunddaten!$A279="Geprüft",Programme_Grunddaten!AD279&lt;&gt;""),IF(Programme_Grunddaten!AD279="Ja",1,0),"")</f>
        <v/>
      </c>
      <c r="W274" s="1" t="str">
        <f>IF(AND(Programme_Grunddaten!$A279="Geprüft",Programme_Grunddaten!AE279&lt;&gt;""),IF(Programme_Grunddaten!AE279="Ja",1,0),"")</f>
        <v/>
      </c>
      <c r="X274" s="1" t="str">
        <f>IF(AND(Programme_Grunddaten!$A279="Geprüft",Programme_Grunddaten!AF279&lt;&gt;""),IF(Programme_Grunddaten!AF279="Ja",1,0),"")</f>
        <v/>
      </c>
      <c r="Y274" s="1" t="str">
        <f>IF(AND(Programme_Grunddaten!$A279="Geprüft",Programme_Grunddaten!AG279&lt;&gt;""),IF(Programme_Grunddaten!AG279="Ja",1,0),"")</f>
        <v/>
      </c>
      <c r="Z274" s="1" t="str">
        <f>IF(AND(Programme_Grunddaten!$A279="Geprüft",Programme_Grunddaten!AH279&lt;&gt;""),IF(Programme_Grunddaten!AH279="Ja",1,0),"")</f>
        <v/>
      </c>
      <c r="AA274" s="1" t="str">
        <f>IF(AND(Programme_Grunddaten!$A279="Geprüft",Programme_Grunddaten!AI279&lt;&gt;""),IF(Programme_Grunddaten!AI279="Ja",1,0),"")</f>
        <v/>
      </c>
      <c r="AB274" s="1" t="str">
        <f>IF(AND(Programme_Grunddaten!$A279="Geprüft",Programme_Grunddaten!AJ279&lt;&gt;""),IF(Programme_Grunddaten!AJ279="individuell programmierbar",1,0),"")</f>
        <v/>
      </c>
      <c r="AC274" s="1" t="str">
        <f>IF(AND(Programme_Grunddaten!$A279="Geprüft",Programme_Grunddaten!AK279&lt;&gt;""),IF(Programme_Grunddaten!AK279="Deutsch",0,IF(Programme_Grunddaten!AK279="Deutsch und Englisch",1,2)),"")</f>
        <v/>
      </c>
      <c r="AD274" s="1" t="str">
        <f>IF(AND(Programme_Grunddaten!$A279="Geprüft",Programme_Grunddaten!AL279&lt;&gt;""),IF(Programme_Grunddaten!AL279="Ja",1,0),"")</f>
        <v/>
      </c>
      <c r="AE274" s="1" t="str">
        <f>IF(AND(Programme_Grunddaten!$A279="Geprüft",Programme_Grunddaten!AM279&lt;&gt;""),IF(Programme_Grunddaten!AM279="Ja",1,0),"")</f>
        <v/>
      </c>
      <c r="AF274" s="1" t="str">
        <f>IF(AND(Programme_Grunddaten!$A279="Geprüft",Programme_Grunddaten!AN279&lt;&gt;""),IF(Programme_Grunddaten!AN279="Ja",1,0),"")</f>
        <v/>
      </c>
      <c r="AG274" s="1" t="str">
        <f>IF(AND(Programme_Grunddaten!$A279="Geprüft",Programme_Grunddaten!AO279&lt;&gt;""),IF(Programme_Grunddaten!AO279="Ja",1,0),"")</f>
        <v/>
      </c>
      <c r="AH274" s="1" t="str">
        <f>IF(AND(Programme_Grunddaten!$A279="Geprüft",Programme_Grunddaten!AP279&lt;&gt;""),IF(Programme_Grunddaten!AP279="Ja",1,0),"")</f>
        <v/>
      </c>
      <c r="AI274" s="1" t="str">
        <f>IF(AND(Programme_Grunddaten!$A279="Geprüft",Programme_Grunddaten!AQ279&lt;&gt;""),IF(Programme_Grunddaten!AQ279="Ja",1,0),"")</f>
        <v/>
      </c>
      <c r="AJ274" s="1" t="str">
        <f>IF(AND(Programme_Grunddaten!$A279="Geprüft",Programme_Grunddaten!AR279&lt;&gt;""),IF(Programme_Grunddaten!AR279="Ja",1,0),"")</f>
        <v/>
      </c>
      <c r="AK274" s="1" t="str">
        <f>IF(AND(Programme_Grunddaten!$A279="Geprüft",Programme_Grunddaten!AS279&lt;&gt;""),IF(Programme_Grunddaten!AS279="Ja",1,0),"")</f>
        <v/>
      </c>
      <c r="AL274" s="1" t="str">
        <f>IF(AND(Programme_Grunddaten!$A279="Geprüft",Programme_Grunddaten!AT279&lt;&gt;""),IF(Programme_Grunddaten!AT279="Ja",1,0),"")</f>
        <v/>
      </c>
      <c r="AM274" s="1" t="str">
        <f>IF(AND(Programme_Grunddaten!$A279="Geprüft",Programme_Grunddaten!AU279&lt;&gt;""),IF(Programme_Grunddaten!AU279="Ja",1,0),"")</f>
        <v/>
      </c>
      <c r="AN274" s="1" t="str">
        <f>IF(AND(Programme_Grunddaten!$A279="Geprüft",Programme_Grunddaten!AV279&lt;&gt;""),IF(Programme_Grunddaten!AV279="Ja",1,0),"")</f>
        <v/>
      </c>
    </row>
    <row r="275" spans="1:40" x14ac:dyDescent="0.3">
      <c r="A275" s="1" t="str">
        <f>IF(AND(Programme_Grunddaten!A280="Geprüft",Programme_Grunddaten!B280&lt;&gt;""),Programme_Grunddaten!B280,"")</f>
        <v/>
      </c>
      <c r="B275" s="1" t="str">
        <f>IF(AND(Programme_Grunddaten!$A280="Geprüft",Programme_Grunddaten!I280&lt;&gt;""),IF(Programme_Grunddaten!I280="Ja",1,0),"")</f>
        <v/>
      </c>
      <c r="C275" s="1" t="str">
        <f>IF(AND(Programme_Grunddaten!$A280="Geprüft",Programme_Grunddaten!J280&lt;&gt;""),IF(Programme_Grunddaten!J280="Ja",1,0),"")</f>
        <v/>
      </c>
      <c r="D275" s="1" t="str">
        <f>IF(AND(Programme_Grunddaten!$A280="Geprüft",Programme_Grunddaten!K280&lt;&gt;""),IF(Programme_Grunddaten!K280="Ja",1,0),"")</f>
        <v/>
      </c>
      <c r="E275" s="1" t="str">
        <f>IF(AND(Programme_Grunddaten!$A280="Geprüft",Programme_Grunddaten!L280&lt;&gt;""),IF(Programme_Grunddaten!L280="Abo / befristete Lizenz",1,0),"")</f>
        <v/>
      </c>
      <c r="F275" s="1" t="str">
        <f>IF(AND(Programme_Grunddaten!$A280="Geprüft",Programme_Grunddaten!M280&lt;&gt;""),IF(Programme_Grunddaten!M280="Ja",1,0),"")</f>
        <v/>
      </c>
      <c r="G275" s="1" t="str">
        <f>IF(AND(Programme_Grunddaten!$A280="Geprüft",Programme_Grunddaten!N280&lt;&gt;""),IF(Programme_Grunddaten!N280="Ja",1,0),"")</f>
        <v/>
      </c>
      <c r="H275" s="1" t="str">
        <f>IF(AND(Programme_Grunddaten!$A280="Geprüft",Programme_Grunddaten!O280&lt;&gt;""),IF(Programme_Grunddaten!O280="Deutschland",0,IF(Programme_Grunddaten!O280="EU",1,2)),"")</f>
        <v/>
      </c>
      <c r="I275" s="1" t="str">
        <f>IF(AND(Programme_Grunddaten!$A280="Geprüft",Programme_Grunddaten!P280&lt;&gt;""),IF(Programme_Grunddaten!P280="Ja",1,0),"")</f>
        <v/>
      </c>
      <c r="J275" s="1" t="str">
        <f>IF(AND(Programme_Grunddaten!$A280="Geprüft",Programme_Grunddaten!Q280&lt;&gt;""),IF(Programme_Grunddaten!Q280="geschlossenes System",1,0),"")</f>
        <v/>
      </c>
      <c r="K275" s="1" t="str">
        <f>IF(AND(Programme_Grunddaten!$A280="Geprüft",Programme_Grunddaten!R280&lt;&gt;""),IF(Programme_Grunddaten!R280="Ja",1,0),"")</f>
        <v/>
      </c>
      <c r="L275" s="1" t="str">
        <f>IF(AND(Programme_Grunddaten!$A280="Geprüft",Programme_Grunddaten!T280&lt;&gt;""),IF(Programme_Grunddaten!T280="Ja",1,0),"")</f>
        <v/>
      </c>
      <c r="M275" s="1" t="str">
        <f>IF(AND(Programme_Grunddaten!$A280="Geprüft",Programme_Grunddaten!U280&lt;&gt;""),IF(Programme_Grunddaten!U280="Ja",1,0),"")</f>
        <v/>
      </c>
      <c r="N275" s="1" t="str">
        <f>IF(AND(Programme_Grunddaten!$A280="Geprüft",Programme_Grunddaten!V280&lt;&gt;""),IF(Programme_Grunddaten!V280="Ja",1,0),"")</f>
        <v/>
      </c>
      <c r="O275" s="1" t="str">
        <f>IF(AND(Programme_Grunddaten!$A280="Geprüft",Programme_Grunddaten!W280&lt;&gt;""),IF(Programme_Grunddaten!W280="Ja",1,0),"")</f>
        <v/>
      </c>
      <c r="P275" s="1" t="str">
        <f>IF(AND(Programme_Grunddaten!$A280="Geprüft",Programme_Grunddaten!X280&lt;&gt;""),IF(Programme_Grunddaten!X280="Ja",1,0),"")</f>
        <v/>
      </c>
      <c r="Q275" s="1" t="str">
        <f>IF(AND(Programme_Grunddaten!$A280="Geprüft",Programme_Grunddaten!Y280&lt;&gt;""),IF(Programme_Grunddaten!Y280="Ja",1,0),"")</f>
        <v/>
      </c>
      <c r="R275" s="1" t="str">
        <f>IF(AND(Programme_Grunddaten!$A280="Geprüft",Programme_Grunddaten!Z280&lt;&gt;""),IF(Programme_Grunddaten!Z280="Ja",1,0),"")</f>
        <v/>
      </c>
      <c r="S275" s="1" t="str">
        <f>IF(AND(Programme_Grunddaten!$A280="Geprüft",Programme_Grunddaten!AA280&lt;&gt;""),IF(Programme_Grunddaten!AA280="monolithisch",1,0),"")</f>
        <v/>
      </c>
      <c r="T275" s="1" t="str">
        <f>IF(AND(Programme_Grunddaten!$A280="Geprüft",Programme_Grunddaten!AB280&lt;&gt;""),IF(Programme_Grunddaten!AB280="Ja",1,0),"")</f>
        <v/>
      </c>
      <c r="U275" s="1" t="str">
        <f>IF(AND(Programme_Grunddaten!$A280="Geprüft",Programme_Grunddaten!AC280&lt;&gt;""),IF(Programme_Grunddaten!AC280="Ja",1,0),"")</f>
        <v/>
      </c>
      <c r="V275" s="1" t="str">
        <f>IF(AND(Programme_Grunddaten!$A280="Geprüft",Programme_Grunddaten!AD280&lt;&gt;""),IF(Programme_Grunddaten!AD280="Ja",1,0),"")</f>
        <v/>
      </c>
      <c r="W275" s="1" t="str">
        <f>IF(AND(Programme_Grunddaten!$A280="Geprüft",Programme_Grunddaten!AE280&lt;&gt;""),IF(Programme_Grunddaten!AE280="Ja",1,0),"")</f>
        <v/>
      </c>
      <c r="X275" s="1" t="str">
        <f>IF(AND(Programme_Grunddaten!$A280="Geprüft",Programme_Grunddaten!AF280&lt;&gt;""),IF(Programme_Grunddaten!AF280="Ja",1,0),"")</f>
        <v/>
      </c>
      <c r="Y275" s="1" t="str">
        <f>IF(AND(Programme_Grunddaten!$A280="Geprüft",Programme_Grunddaten!AG280&lt;&gt;""),IF(Programme_Grunddaten!AG280="Ja",1,0),"")</f>
        <v/>
      </c>
      <c r="Z275" s="1" t="str">
        <f>IF(AND(Programme_Grunddaten!$A280="Geprüft",Programme_Grunddaten!AH280&lt;&gt;""),IF(Programme_Grunddaten!AH280="Ja",1,0),"")</f>
        <v/>
      </c>
      <c r="AA275" s="1" t="str">
        <f>IF(AND(Programme_Grunddaten!$A280="Geprüft",Programme_Grunddaten!AI280&lt;&gt;""),IF(Programme_Grunddaten!AI280="Ja",1,0),"")</f>
        <v/>
      </c>
      <c r="AB275" s="1" t="str">
        <f>IF(AND(Programme_Grunddaten!$A280="Geprüft",Programme_Grunddaten!AJ280&lt;&gt;""),IF(Programme_Grunddaten!AJ280="individuell programmierbar",1,0),"")</f>
        <v/>
      </c>
      <c r="AC275" s="1" t="str">
        <f>IF(AND(Programme_Grunddaten!$A280="Geprüft",Programme_Grunddaten!AK280&lt;&gt;""),IF(Programme_Grunddaten!AK280="Deutsch",0,IF(Programme_Grunddaten!AK280="Deutsch und Englisch",1,2)),"")</f>
        <v/>
      </c>
      <c r="AD275" s="1" t="str">
        <f>IF(AND(Programme_Grunddaten!$A280="Geprüft",Programme_Grunddaten!AL280&lt;&gt;""),IF(Programme_Grunddaten!AL280="Ja",1,0),"")</f>
        <v/>
      </c>
      <c r="AE275" s="1" t="str">
        <f>IF(AND(Programme_Grunddaten!$A280="Geprüft",Programme_Grunddaten!AM280&lt;&gt;""),IF(Programme_Grunddaten!AM280="Ja",1,0),"")</f>
        <v/>
      </c>
      <c r="AF275" s="1" t="str">
        <f>IF(AND(Programme_Grunddaten!$A280="Geprüft",Programme_Grunddaten!AN280&lt;&gt;""),IF(Programme_Grunddaten!AN280="Ja",1,0),"")</f>
        <v/>
      </c>
      <c r="AG275" s="1" t="str">
        <f>IF(AND(Programme_Grunddaten!$A280="Geprüft",Programme_Grunddaten!AO280&lt;&gt;""),IF(Programme_Grunddaten!AO280="Ja",1,0),"")</f>
        <v/>
      </c>
      <c r="AH275" s="1" t="str">
        <f>IF(AND(Programme_Grunddaten!$A280="Geprüft",Programme_Grunddaten!AP280&lt;&gt;""),IF(Programme_Grunddaten!AP280="Ja",1,0),"")</f>
        <v/>
      </c>
      <c r="AI275" s="1" t="str">
        <f>IF(AND(Programme_Grunddaten!$A280="Geprüft",Programme_Grunddaten!AQ280&lt;&gt;""),IF(Programme_Grunddaten!AQ280="Ja",1,0),"")</f>
        <v/>
      </c>
      <c r="AJ275" s="1" t="str">
        <f>IF(AND(Programme_Grunddaten!$A280="Geprüft",Programme_Grunddaten!AR280&lt;&gt;""),IF(Programme_Grunddaten!AR280="Ja",1,0),"")</f>
        <v/>
      </c>
      <c r="AK275" s="1" t="str">
        <f>IF(AND(Programme_Grunddaten!$A280="Geprüft",Programme_Grunddaten!AS280&lt;&gt;""),IF(Programme_Grunddaten!AS280="Ja",1,0),"")</f>
        <v/>
      </c>
      <c r="AL275" s="1" t="str">
        <f>IF(AND(Programme_Grunddaten!$A280="Geprüft",Programme_Grunddaten!AT280&lt;&gt;""),IF(Programme_Grunddaten!AT280="Ja",1,0),"")</f>
        <v/>
      </c>
      <c r="AM275" s="1" t="str">
        <f>IF(AND(Programme_Grunddaten!$A280="Geprüft",Programme_Grunddaten!AU280&lt;&gt;""),IF(Programme_Grunddaten!AU280="Ja",1,0),"")</f>
        <v/>
      </c>
      <c r="AN275" s="1" t="str">
        <f>IF(AND(Programme_Grunddaten!$A280="Geprüft",Programme_Grunddaten!AV280&lt;&gt;""),IF(Programme_Grunddaten!AV280="Ja",1,0),"")</f>
        <v/>
      </c>
    </row>
    <row r="276" spans="1:40" x14ac:dyDescent="0.3">
      <c r="A276" s="1" t="str">
        <f>IF(AND(Programme_Grunddaten!A281="Geprüft",Programme_Grunddaten!B281&lt;&gt;""),Programme_Grunddaten!B281,"")</f>
        <v/>
      </c>
      <c r="B276" s="1" t="str">
        <f>IF(AND(Programme_Grunddaten!$A281="Geprüft",Programme_Grunddaten!I281&lt;&gt;""),IF(Programme_Grunddaten!I281="Ja",1,0),"")</f>
        <v/>
      </c>
      <c r="C276" s="1" t="str">
        <f>IF(AND(Programme_Grunddaten!$A281="Geprüft",Programme_Grunddaten!J281&lt;&gt;""),IF(Programme_Grunddaten!J281="Ja",1,0),"")</f>
        <v/>
      </c>
      <c r="D276" s="1" t="str">
        <f>IF(AND(Programme_Grunddaten!$A281="Geprüft",Programme_Grunddaten!K281&lt;&gt;""),IF(Programme_Grunddaten!K281="Ja",1,0),"")</f>
        <v/>
      </c>
      <c r="E276" s="1" t="str">
        <f>IF(AND(Programme_Grunddaten!$A281="Geprüft",Programme_Grunddaten!L281&lt;&gt;""),IF(Programme_Grunddaten!L281="Abo / befristete Lizenz",1,0),"")</f>
        <v/>
      </c>
      <c r="F276" s="1" t="str">
        <f>IF(AND(Programme_Grunddaten!$A281="Geprüft",Programme_Grunddaten!M281&lt;&gt;""),IF(Programme_Grunddaten!M281="Ja",1,0),"")</f>
        <v/>
      </c>
      <c r="G276" s="1" t="str">
        <f>IF(AND(Programme_Grunddaten!$A281="Geprüft",Programme_Grunddaten!N281&lt;&gt;""),IF(Programme_Grunddaten!N281="Ja",1,0),"")</f>
        <v/>
      </c>
      <c r="H276" s="1" t="str">
        <f>IF(AND(Programme_Grunddaten!$A281="Geprüft",Programme_Grunddaten!O281&lt;&gt;""),IF(Programme_Grunddaten!O281="Deutschland",0,IF(Programme_Grunddaten!O281="EU",1,2)),"")</f>
        <v/>
      </c>
      <c r="I276" s="1" t="str">
        <f>IF(AND(Programme_Grunddaten!$A281="Geprüft",Programme_Grunddaten!P281&lt;&gt;""),IF(Programme_Grunddaten!P281="Ja",1,0),"")</f>
        <v/>
      </c>
      <c r="J276" s="1" t="str">
        <f>IF(AND(Programme_Grunddaten!$A281="Geprüft",Programme_Grunddaten!Q281&lt;&gt;""),IF(Programme_Grunddaten!Q281="geschlossenes System",1,0),"")</f>
        <v/>
      </c>
      <c r="K276" s="1" t="str">
        <f>IF(AND(Programme_Grunddaten!$A281="Geprüft",Programme_Grunddaten!R281&lt;&gt;""),IF(Programme_Grunddaten!R281="Ja",1,0),"")</f>
        <v/>
      </c>
      <c r="L276" s="1" t="str">
        <f>IF(AND(Programme_Grunddaten!$A281="Geprüft",Programme_Grunddaten!T281&lt;&gt;""),IF(Programme_Grunddaten!T281="Ja",1,0),"")</f>
        <v/>
      </c>
      <c r="M276" s="1" t="str">
        <f>IF(AND(Programme_Grunddaten!$A281="Geprüft",Programme_Grunddaten!U281&lt;&gt;""),IF(Programme_Grunddaten!U281="Ja",1,0),"")</f>
        <v/>
      </c>
      <c r="N276" s="1" t="str">
        <f>IF(AND(Programme_Grunddaten!$A281="Geprüft",Programme_Grunddaten!V281&lt;&gt;""),IF(Programme_Grunddaten!V281="Ja",1,0),"")</f>
        <v/>
      </c>
      <c r="O276" s="1" t="str">
        <f>IF(AND(Programme_Grunddaten!$A281="Geprüft",Programme_Grunddaten!W281&lt;&gt;""),IF(Programme_Grunddaten!W281="Ja",1,0),"")</f>
        <v/>
      </c>
      <c r="P276" s="1" t="str">
        <f>IF(AND(Programme_Grunddaten!$A281="Geprüft",Programme_Grunddaten!X281&lt;&gt;""),IF(Programme_Grunddaten!X281="Ja",1,0),"")</f>
        <v/>
      </c>
      <c r="Q276" s="1" t="str">
        <f>IF(AND(Programme_Grunddaten!$A281="Geprüft",Programme_Grunddaten!Y281&lt;&gt;""),IF(Programme_Grunddaten!Y281="Ja",1,0),"")</f>
        <v/>
      </c>
      <c r="R276" s="1" t="str">
        <f>IF(AND(Programme_Grunddaten!$A281="Geprüft",Programme_Grunddaten!Z281&lt;&gt;""),IF(Programme_Grunddaten!Z281="Ja",1,0),"")</f>
        <v/>
      </c>
      <c r="S276" s="1" t="str">
        <f>IF(AND(Programme_Grunddaten!$A281="Geprüft",Programme_Grunddaten!AA281&lt;&gt;""),IF(Programme_Grunddaten!AA281="monolithisch",1,0),"")</f>
        <v/>
      </c>
      <c r="T276" s="1" t="str">
        <f>IF(AND(Programme_Grunddaten!$A281="Geprüft",Programme_Grunddaten!AB281&lt;&gt;""),IF(Programme_Grunddaten!AB281="Ja",1,0),"")</f>
        <v/>
      </c>
      <c r="U276" s="1" t="str">
        <f>IF(AND(Programme_Grunddaten!$A281="Geprüft",Programme_Grunddaten!AC281&lt;&gt;""),IF(Programme_Grunddaten!AC281="Ja",1,0),"")</f>
        <v/>
      </c>
      <c r="V276" s="1" t="str">
        <f>IF(AND(Programme_Grunddaten!$A281="Geprüft",Programme_Grunddaten!AD281&lt;&gt;""),IF(Programme_Grunddaten!AD281="Ja",1,0),"")</f>
        <v/>
      </c>
      <c r="W276" s="1" t="str">
        <f>IF(AND(Programme_Grunddaten!$A281="Geprüft",Programme_Grunddaten!AE281&lt;&gt;""),IF(Programme_Grunddaten!AE281="Ja",1,0),"")</f>
        <v/>
      </c>
      <c r="X276" s="1" t="str">
        <f>IF(AND(Programme_Grunddaten!$A281="Geprüft",Programme_Grunddaten!AF281&lt;&gt;""),IF(Programme_Grunddaten!AF281="Ja",1,0),"")</f>
        <v/>
      </c>
      <c r="Y276" s="1" t="str">
        <f>IF(AND(Programme_Grunddaten!$A281="Geprüft",Programme_Grunddaten!AG281&lt;&gt;""),IF(Programme_Grunddaten!AG281="Ja",1,0),"")</f>
        <v/>
      </c>
      <c r="Z276" s="1" t="str">
        <f>IF(AND(Programme_Grunddaten!$A281="Geprüft",Programme_Grunddaten!AH281&lt;&gt;""),IF(Programme_Grunddaten!AH281="Ja",1,0),"")</f>
        <v/>
      </c>
      <c r="AA276" s="1" t="str">
        <f>IF(AND(Programme_Grunddaten!$A281="Geprüft",Programme_Grunddaten!AI281&lt;&gt;""),IF(Programme_Grunddaten!AI281="Ja",1,0),"")</f>
        <v/>
      </c>
      <c r="AB276" s="1" t="str">
        <f>IF(AND(Programme_Grunddaten!$A281="Geprüft",Programme_Grunddaten!AJ281&lt;&gt;""),IF(Programme_Grunddaten!AJ281="individuell programmierbar",1,0),"")</f>
        <v/>
      </c>
      <c r="AC276" s="1" t="str">
        <f>IF(AND(Programme_Grunddaten!$A281="Geprüft",Programme_Grunddaten!AK281&lt;&gt;""),IF(Programme_Grunddaten!AK281="Deutsch",0,IF(Programme_Grunddaten!AK281="Deutsch und Englisch",1,2)),"")</f>
        <v/>
      </c>
      <c r="AD276" s="1" t="str">
        <f>IF(AND(Programme_Grunddaten!$A281="Geprüft",Programme_Grunddaten!AL281&lt;&gt;""),IF(Programme_Grunddaten!AL281="Ja",1,0),"")</f>
        <v/>
      </c>
      <c r="AE276" s="1" t="str">
        <f>IF(AND(Programme_Grunddaten!$A281="Geprüft",Programme_Grunddaten!AM281&lt;&gt;""),IF(Programme_Grunddaten!AM281="Ja",1,0),"")</f>
        <v/>
      </c>
      <c r="AF276" s="1" t="str">
        <f>IF(AND(Programme_Grunddaten!$A281="Geprüft",Programme_Grunddaten!AN281&lt;&gt;""),IF(Programme_Grunddaten!AN281="Ja",1,0),"")</f>
        <v/>
      </c>
      <c r="AG276" s="1" t="str">
        <f>IF(AND(Programme_Grunddaten!$A281="Geprüft",Programme_Grunddaten!AO281&lt;&gt;""),IF(Programme_Grunddaten!AO281="Ja",1,0),"")</f>
        <v/>
      </c>
      <c r="AH276" s="1" t="str">
        <f>IF(AND(Programme_Grunddaten!$A281="Geprüft",Programme_Grunddaten!AP281&lt;&gt;""),IF(Programme_Grunddaten!AP281="Ja",1,0),"")</f>
        <v/>
      </c>
      <c r="AI276" s="1" t="str">
        <f>IF(AND(Programme_Grunddaten!$A281="Geprüft",Programme_Grunddaten!AQ281&lt;&gt;""),IF(Programme_Grunddaten!AQ281="Ja",1,0),"")</f>
        <v/>
      </c>
      <c r="AJ276" s="1" t="str">
        <f>IF(AND(Programme_Grunddaten!$A281="Geprüft",Programme_Grunddaten!AR281&lt;&gt;""),IF(Programme_Grunddaten!AR281="Ja",1,0),"")</f>
        <v/>
      </c>
      <c r="AK276" s="1" t="str">
        <f>IF(AND(Programme_Grunddaten!$A281="Geprüft",Programme_Grunddaten!AS281&lt;&gt;""),IF(Programme_Grunddaten!AS281="Ja",1,0),"")</f>
        <v/>
      </c>
      <c r="AL276" s="1" t="str">
        <f>IF(AND(Programme_Grunddaten!$A281="Geprüft",Programme_Grunddaten!AT281&lt;&gt;""),IF(Programme_Grunddaten!AT281="Ja",1,0),"")</f>
        <v/>
      </c>
      <c r="AM276" s="1" t="str">
        <f>IF(AND(Programme_Grunddaten!$A281="Geprüft",Programme_Grunddaten!AU281&lt;&gt;""),IF(Programme_Grunddaten!AU281="Ja",1,0),"")</f>
        <v/>
      </c>
      <c r="AN276" s="1" t="str">
        <f>IF(AND(Programme_Grunddaten!$A281="Geprüft",Programme_Grunddaten!AV281&lt;&gt;""),IF(Programme_Grunddaten!AV281="Ja",1,0),"")</f>
        <v/>
      </c>
    </row>
    <row r="277" spans="1:40" x14ac:dyDescent="0.3">
      <c r="A277" s="1" t="str">
        <f>IF(AND(Programme_Grunddaten!A282="Geprüft",Programme_Grunddaten!B282&lt;&gt;""),Programme_Grunddaten!B282,"")</f>
        <v/>
      </c>
      <c r="B277" s="1" t="str">
        <f>IF(AND(Programme_Grunddaten!$A282="Geprüft",Programme_Grunddaten!I282&lt;&gt;""),IF(Programme_Grunddaten!I282="Ja",1,0),"")</f>
        <v/>
      </c>
      <c r="C277" s="1" t="str">
        <f>IF(AND(Programme_Grunddaten!$A282="Geprüft",Programme_Grunddaten!J282&lt;&gt;""),IF(Programme_Grunddaten!J282="Ja",1,0),"")</f>
        <v/>
      </c>
      <c r="D277" s="1" t="str">
        <f>IF(AND(Programme_Grunddaten!$A282="Geprüft",Programme_Grunddaten!K282&lt;&gt;""),IF(Programme_Grunddaten!K282="Ja",1,0),"")</f>
        <v/>
      </c>
      <c r="E277" s="1" t="str">
        <f>IF(AND(Programme_Grunddaten!$A282="Geprüft",Programme_Grunddaten!L282&lt;&gt;""),IF(Programme_Grunddaten!L282="Abo / befristete Lizenz",1,0),"")</f>
        <v/>
      </c>
      <c r="F277" s="1" t="str">
        <f>IF(AND(Programme_Grunddaten!$A282="Geprüft",Programme_Grunddaten!M282&lt;&gt;""),IF(Programme_Grunddaten!M282="Ja",1,0),"")</f>
        <v/>
      </c>
      <c r="G277" s="1" t="str">
        <f>IF(AND(Programme_Grunddaten!$A282="Geprüft",Programme_Grunddaten!N282&lt;&gt;""),IF(Programme_Grunddaten!N282="Ja",1,0),"")</f>
        <v/>
      </c>
      <c r="H277" s="1" t="str">
        <f>IF(AND(Programme_Grunddaten!$A282="Geprüft",Programme_Grunddaten!O282&lt;&gt;""),IF(Programme_Grunddaten!O282="Deutschland",0,IF(Programme_Grunddaten!O282="EU",1,2)),"")</f>
        <v/>
      </c>
      <c r="I277" s="1" t="str">
        <f>IF(AND(Programme_Grunddaten!$A282="Geprüft",Programme_Grunddaten!P282&lt;&gt;""),IF(Programme_Grunddaten!P282="Ja",1,0),"")</f>
        <v/>
      </c>
      <c r="J277" s="1" t="str">
        <f>IF(AND(Programme_Grunddaten!$A282="Geprüft",Programme_Grunddaten!Q282&lt;&gt;""),IF(Programme_Grunddaten!Q282="geschlossenes System",1,0),"")</f>
        <v/>
      </c>
      <c r="K277" s="1" t="str">
        <f>IF(AND(Programme_Grunddaten!$A282="Geprüft",Programme_Grunddaten!R282&lt;&gt;""),IF(Programme_Grunddaten!R282="Ja",1,0),"")</f>
        <v/>
      </c>
      <c r="L277" s="1" t="str">
        <f>IF(AND(Programme_Grunddaten!$A282="Geprüft",Programme_Grunddaten!T282&lt;&gt;""),IF(Programme_Grunddaten!T282="Ja",1,0),"")</f>
        <v/>
      </c>
      <c r="M277" s="1" t="str">
        <f>IF(AND(Programme_Grunddaten!$A282="Geprüft",Programme_Grunddaten!U282&lt;&gt;""),IF(Programme_Grunddaten!U282="Ja",1,0),"")</f>
        <v/>
      </c>
      <c r="N277" s="1" t="str">
        <f>IF(AND(Programme_Grunddaten!$A282="Geprüft",Programme_Grunddaten!V282&lt;&gt;""),IF(Programme_Grunddaten!V282="Ja",1,0),"")</f>
        <v/>
      </c>
      <c r="O277" s="1" t="str">
        <f>IF(AND(Programme_Grunddaten!$A282="Geprüft",Programme_Grunddaten!W282&lt;&gt;""),IF(Programme_Grunddaten!W282="Ja",1,0),"")</f>
        <v/>
      </c>
      <c r="P277" s="1" t="str">
        <f>IF(AND(Programme_Grunddaten!$A282="Geprüft",Programme_Grunddaten!X282&lt;&gt;""),IF(Programme_Grunddaten!X282="Ja",1,0),"")</f>
        <v/>
      </c>
      <c r="Q277" s="1" t="str">
        <f>IF(AND(Programme_Grunddaten!$A282="Geprüft",Programme_Grunddaten!Y282&lt;&gt;""),IF(Programme_Grunddaten!Y282="Ja",1,0),"")</f>
        <v/>
      </c>
      <c r="R277" s="1" t="str">
        <f>IF(AND(Programme_Grunddaten!$A282="Geprüft",Programme_Grunddaten!Z282&lt;&gt;""),IF(Programme_Grunddaten!Z282="Ja",1,0),"")</f>
        <v/>
      </c>
      <c r="S277" s="1" t="str">
        <f>IF(AND(Programme_Grunddaten!$A282="Geprüft",Programme_Grunddaten!AA282&lt;&gt;""),IF(Programme_Grunddaten!AA282="monolithisch",1,0),"")</f>
        <v/>
      </c>
      <c r="T277" s="1" t="str">
        <f>IF(AND(Programme_Grunddaten!$A282="Geprüft",Programme_Grunddaten!AB282&lt;&gt;""),IF(Programme_Grunddaten!AB282="Ja",1,0),"")</f>
        <v/>
      </c>
      <c r="U277" s="1" t="str">
        <f>IF(AND(Programme_Grunddaten!$A282="Geprüft",Programme_Grunddaten!AC282&lt;&gt;""),IF(Programme_Grunddaten!AC282="Ja",1,0),"")</f>
        <v/>
      </c>
      <c r="V277" s="1" t="str">
        <f>IF(AND(Programme_Grunddaten!$A282="Geprüft",Programme_Grunddaten!AD282&lt;&gt;""),IF(Programme_Grunddaten!AD282="Ja",1,0),"")</f>
        <v/>
      </c>
      <c r="W277" s="1" t="str">
        <f>IF(AND(Programme_Grunddaten!$A282="Geprüft",Programme_Grunddaten!AE282&lt;&gt;""),IF(Programme_Grunddaten!AE282="Ja",1,0),"")</f>
        <v/>
      </c>
      <c r="X277" s="1" t="str">
        <f>IF(AND(Programme_Grunddaten!$A282="Geprüft",Programme_Grunddaten!AF282&lt;&gt;""),IF(Programme_Grunddaten!AF282="Ja",1,0),"")</f>
        <v/>
      </c>
      <c r="Y277" s="1" t="str">
        <f>IF(AND(Programme_Grunddaten!$A282="Geprüft",Programme_Grunddaten!AG282&lt;&gt;""),IF(Programme_Grunddaten!AG282="Ja",1,0),"")</f>
        <v/>
      </c>
      <c r="Z277" s="1" t="str">
        <f>IF(AND(Programme_Grunddaten!$A282="Geprüft",Programme_Grunddaten!AH282&lt;&gt;""),IF(Programme_Grunddaten!AH282="Ja",1,0),"")</f>
        <v/>
      </c>
      <c r="AA277" s="1" t="str">
        <f>IF(AND(Programme_Grunddaten!$A282="Geprüft",Programme_Grunddaten!AI282&lt;&gt;""),IF(Programme_Grunddaten!AI282="Ja",1,0),"")</f>
        <v/>
      </c>
      <c r="AB277" s="1" t="str">
        <f>IF(AND(Programme_Grunddaten!$A282="Geprüft",Programme_Grunddaten!AJ282&lt;&gt;""),IF(Programme_Grunddaten!AJ282="individuell programmierbar",1,0),"")</f>
        <v/>
      </c>
      <c r="AC277" s="1" t="str">
        <f>IF(AND(Programme_Grunddaten!$A282="Geprüft",Programme_Grunddaten!AK282&lt;&gt;""),IF(Programme_Grunddaten!AK282="Deutsch",0,IF(Programme_Grunddaten!AK282="Deutsch und Englisch",1,2)),"")</f>
        <v/>
      </c>
      <c r="AD277" s="1" t="str">
        <f>IF(AND(Programme_Grunddaten!$A282="Geprüft",Programme_Grunddaten!AL282&lt;&gt;""),IF(Programme_Grunddaten!AL282="Ja",1,0),"")</f>
        <v/>
      </c>
      <c r="AE277" s="1" t="str">
        <f>IF(AND(Programme_Grunddaten!$A282="Geprüft",Programme_Grunddaten!AM282&lt;&gt;""),IF(Programme_Grunddaten!AM282="Ja",1,0),"")</f>
        <v/>
      </c>
      <c r="AF277" s="1" t="str">
        <f>IF(AND(Programme_Grunddaten!$A282="Geprüft",Programme_Grunddaten!AN282&lt;&gt;""),IF(Programme_Grunddaten!AN282="Ja",1,0),"")</f>
        <v/>
      </c>
      <c r="AG277" s="1" t="str">
        <f>IF(AND(Programme_Grunddaten!$A282="Geprüft",Programme_Grunddaten!AO282&lt;&gt;""),IF(Programme_Grunddaten!AO282="Ja",1,0),"")</f>
        <v/>
      </c>
      <c r="AH277" s="1" t="str">
        <f>IF(AND(Programme_Grunddaten!$A282="Geprüft",Programme_Grunddaten!AP282&lt;&gt;""),IF(Programme_Grunddaten!AP282="Ja",1,0),"")</f>
        <v/>
      </c>
      <c r="AI277" s="1" t="str">
        <f>IF(AND(Programme_Grunddaten!$A282="Geprüft",Programme_Grunddaten!AQ282&lt;&gt;""),IF(Programme_Grunddaten!AQ282="Ja",1,0),"")</f>
        <v/>
      </c>
      <c r="AJ277" s="1" t="str">
        <f>IF(AND(Programme_Grunddaten!$A282="Geprüft",Programme_Grunddaten!AR282&lt;&gt;""),IF(Programme_Grunddaten!AR282="Ja",1,0),"")</f>
        <v/>
      </c>
      <c r="AK277" s="1" t="str">
        <f>IF(AND(Programme_Grunddaten!$A282="Geprüft",Programme_Grunddaten!AS282&lt;&gt;""),IF(Programme_Grunddaten!AS282="Ja",1,0),"")</f>
        <v/>
      </c>
      <c r="AL277" s="1" t="str">
        <f>IF(AND(Programme_Grunddaten!$A282="Geprüft",Programme_Grunddaten!AT282&lt;&gt;""),IF(Programme_Grunddaten!AT282="Ja",1,0),"")</f>
        <v/>
      </c>
      <c r="AM277" s="1" t="str">
        <f>IF(AND(Programme_Grunddaten!$A282="Geprüft",Programme_Grunddaten!AU282&lt;&gt;""),IF(Programme_Grunddaten!AU282="Ja",1,0),"")</f>
        <v/>
      </c>
      <c r="AN277" s="1" t="str">
        <f>IF(AND(Programme_Grunddaten!$A282="Geprüft",Programme_Grunddaten!AV282&lt;&gt;""),IF(Programme_Grunddaten!AV282="Ja",1,0),"")</f>
        <v/>
      </c>
    </row>
    <row r="278" spans="1:40" x14ac:dyDescent="0.3">
      <c r="A278" s="1" t="str">
        <f>IF(AND(Programme_Grunddaten!A283="Geprüft",Programme_Grunddaten!B283&lt;&gt;""),Programme_Grunddaten!B283,"")</f>
        <v/>
      </c>
      <c r="B278" s="1" t="str">
        <f>IF(AND(Programme_Grunddaten!$A283="Geprüft",Programme_Grunddaten!I283&lt;&gt;""),IF(Programme_Grunddaten!I283="Ja",1,0),"")</f>
        <v/>
      </c>
      <c r="C278" s="1" t="str">
        <f>IF(AND(Programme_Grunddaten!$A283="Geprüft",Programme_Grunddaten!J283&lt;&gt;""),IF(Programme_Grunddaten!J283="Ja",1,0),"")</f>
        <v/>
      </c>
      <c r="D278" s="1" t="str">
        <f>IF(AND(Programme_Grunddaten!$A283="Geprüft",Programme_Grunddaten!K283&lt;&gt;""),IF(Programme_Grunddaten!K283="Ja",1,0),"")</f>
        <v/>
      </c>
      <c r="E278" s="1" t="str">
        <f>IF(AND(Programme_Grunddaten!$A283="Geprüft",Programme_Grunddaten!L283&lt;&gt;""),IF(Programme_Grunddaten!L283="Abo / befristete Lizenz",1,0),"")</f>
        <v/>
      </c>
      <c r="F278" s="1" t="str">
        <f>IF(AND(Programme_Grunddaten!$A283="Geprüft",Programme_Grunddaten!M283&lt;&gt;""),IF(Programme_Grunddaten!M283="Ja",1,0),"")</f>
        <v/>
      </c>
      <c r="G278" s="1" t="str">
        <f>IF(AND(Programme_Grunddaten!$A283="Geprüft",Programme_Grunddaten!N283&lt;&gt;""),IF(Programme_Grunddaten!N283="Ja",1,0),"")</f>
        <v/>
      </c>
      <c r="H278" s="1" t="str">
        <f>IF(AND(Programme_Grunddaten!$A283="Geprüft",Programme_Grunddaten!O283&lt;&gt;""),IF(Programme_Grunddaten!O283="Deutschland",0,IF(Programme_Grunddaten!O283="EU",1,2)),"")</f>
        <v/>
      </c>
      <c r="I278" s="1" t="str">
        <f>IF(AND(Programme_Grunddaten!$A283="Geprüft",Programme_Grunddaten!P283&lt;&gt;""),IF(Programme_Grunddaten!P283="Ja",1,0),"")</f>
        <v/>
      </c>
      <c r="J278" s="1" t="str">
        <f>IF(AND(Programme_Grunddaten!$A283="Geprüft",Programme_Grunddaten!Q283&lt;&gt;""),IF(Programme_Grunddaten!Q283="geschlossenes System",1,0),"")</f>
        <v/>
      </c>
      <c r="K278" s="1" t="str">
        <f>IF(AND(Programme_Grunddaten!$A283="Geprüft",Programme_Grunddaten!R283&lt;&gt;""),IF(Programme_Grunddaten!R283="Ja",1,0),"")</f>
        <v/>
      </c>
      <c r="L278" s="1" t="str">
        <f>IF(AND(Programme_Grunddaten!$A283="Geprüft",Programme_Grunddaten!T283&lt;&gt;""),IF(Programme_Grunddaten!T283="Ja",1,0),"")</f>
        <v/>
      </c>
      <c r="M278" s="1" t="str">
        <f>IF(AND(Programme_Grunddaten!$A283="Geprüft",Programme_Grunddaten!U283&lt;&gt;""),IF(Programme_Grunddaten!U283="Ja",1,0),"")</f>
        <v/>
      </c>
      <c r="N278" s="1" t="str">
        <f>IF(AND(Programme_Grunddaten!$A283="Geprüft",Programme_Grunddaten!V283&lt;&gt;""),IF(Programme_Grunddaten!V283="Ja",1,0),"")</f>
        <v/>
      </c>
      <c r="O278" s="1" t="str">
        <f>IF(AND(Programme_Grunddaten!$A283="Geprüft",Programme_Grunddaten!W283&lt;&gt;""),IF(Programme_Grunddaten!W283="Ja",1,0),"")</f>
        <v/>
      </c>
      <c r="P278" s="1" t="str">
        <f>IF(AND(Programme_Grunddaten!$A283="Geprüft",Programme_Grunddaten!X283&lt;&gt;""),IF(Programme_Grunddaten!X283="Ja",1,0),"")</f>
        <v/>
      </c>
      <c r="Q278" s="1" t="str">
        <f>IF(AND(Programme_Grunddaten!$A283="Geprüft",Programme_Grunddaten!Y283&lt;&gt;""),IF(Programme_Grunddaten!Y283="Ja",1,0),"")</f>
        <v/>
      </c>
      <c r="R278" s="1" t="str">
        <f>IF(AND(Programme_Grunddaten!$A283="Geprüft",Programme_Grunddaten!Z283&lt;&gt;""),IF(Programme_Grunddaten!Z283="Ja",1,0),"")</f>
        <v/>
      </c>
      <c r="S278" s="1" t="str">
        <f>IF(AND(Programme_Grunddaten!$A283="Geprüft",Programme_Grunddaten!AA283&lt;&gt;""),IF(Programme_Grunddaten!AA283="monolithisch",1,0),"")</f>
        <v/>
      </c>
      <c r="T278" s="1" t="str">
        <f>IF(AND(Programme_Grunddaten!$A283="Geprüft",Programme_Grunddaten!AB283&lt;&gt;""),IF(Programme_Grunddaten!AB283="Ja",1,0),"")</f>
        <v/>
      </c>
      <c r="U278" s="1" t="str">
        <f>IF(AND(Programme_Grunddaten!$A283="Geprüft",Programme_Grunddaten!AC283&lt;&gt;""),IF(Programme_Grunddaten!AC283="Ja",1,0),"")</f>
        <v/>
      </c>
      <c r="V278" s="1" t="str">
        <f>IF(AND(Programme_Grunddaten!$A283="Geprüft",Programme_Grunddaten!AD283&lt;&gt;""),IF(Programme_Grunddaten!AD283="Ja",1,0),"")</f>
        <v/>
      </c>
      <c r="W278" s="1" t="str">
        <f>IF(AND(Programme_Grunddaten!$A283="Geprüft",Programme_Grunddaten!AE283&lt;&gt;""),IF(Programme_Grunddaten!AE283="Ja",1,0),"")</f>
        <v/>
      </c>
      <c r="X278" s="1" t="str">
        <f>IF(AND(Programme_Grunddaten!$A283="Geprüft",Programme_Grunddaten!AF283&lt;&gt;""),IF(Programme_Grunddaten!AF283="Ja",1,0),"")</f>
        <v/>
      </c>
      <c r="Y278" s="1" t="str">
        <f>IF(AND(Programme_Grunddaten!$A283="Geprüft",Programme_Grunddaten!AG283&lt;&gt;""),IF(Programme_Grunddaten!AG283="Ja",1,0),"")</f>
        <v/>
      </c>
      <c r="Z278" s="1" t="str">
        <f>IF(AND(Programme_Grunddaten!$A283="Geprüft",Programme_Grunddaten!AH283&lt;&gt;""),IF(Programme_Grunddaten!AH283="Ja",1,0),"")</f>
        <v/>
      </c>
      <c r="AA278" s="1" t="str">
        <f>IF(AND(Programme_Grunddaten!$A283="Geprüft",Programme_Grunddaten!AI283&lt;&gt;""),IF(Programme_Grunddaten!AI283="Ja",1,0),"")</f>
        <v/>
      </c>
      <c r="AB278" s="1" t="str">
        <f>IF(AND(Programme_Grunddaten!$A283="Geprüft",Programme_Grunddaten!AJ283&lt;&gt;""),IF(Programme_Grunddaten!AJ283="individuell programmierbar",1,0),"")</f>
        <v/>
      </c>
      <c r="AC278" s="1" t="str">
        <f>IF(AND(Programme_Grunddaten!$A283="Geprüft",Programme_Grunddaten!AK283&lt;&gt;""),IF(Programme_Grunddaten!AK283="Deutsch",0,IF(Programme_Grunddaten!AK283="Deutsch und Englisch",1,2)),"")</f>
        <v/>
      </c>
      <c r="AD278" s="1" t="str">
        <f>IF(AND(Programme_Grunddaten!$A283="Geprüft",Programme_Grunddaten!AL283&lt;&gt;""),IF(Programme_Grunddaten!AL283="Ja",1,0),"")</f>
        <v/>
      </c>
      <c r="AE278" s="1" t="str">
        <f>IF(AND(Programme_Grunddaten!$A283="Geprüft",Programme_Grunddaten!AM283&lt;&gt;""),IF(Programme_Grunddaten!AM283="Ja",1,0),"")</f>
        <v/>
      </c>
      <c r="AF278" s="1" t="str">
        <f>IF(AND(Programme_Grunddaten!$A283="Geprüft",Programme_Grunddaten!AN283&lt;&gt;""),IF(Programme_Grunddaten!AN283="Ja",1,0),"")</f>
        <v/>
      </c>
      <c r="AG278" s="1" t="str">
        <f>IF(AND(Programme_Grunddaten!$A283="Geprüft",Programme_Grunddaten!AO283&lt;&gt;""),IF(Programme_Grunddaten!AO283="Ja",1,0),"")</f>
        <v/>
      </c>
      <c r="AH278" s="1" t="str">
        <f>IF(AND(Programme_Grunddaten!$A283="Geprüft",Programme_Grunddaten!AP283&lt;&gt;""),IF(Programme_Grunddaten!AP283="Ja",1,0),"")</f>
        <v/>
      </c>
      <c r="AI278" s="1" t="str">
        <f>IF(AND(Programme_Grunddaten!$A283="Geprüft",Programme_Grunddaten!AQ283&lt;&gt;""),IF(Programme_Grunddaten!AQ283="Ja",1,0),"")</f>
        <v/>
      </c>
      <c r="AJ278" s="1" t="str">
        <f>IF(AND(Programme_Grunddaten!$A283="Geprüft",Programme_Grunddaten!AR283&lt;&gt;""),IF(Programme_Grunddaten!AR283="Ja",1,0),"")</f>
        <v/>
      </c>
      <c r="AK278" s="1" t="str">
        <f>IF(AND(Programme_Grunddaten!$A283="Geprüft",Programme_Grunddaten!AS283&lt;&gt;""),IF(Programme_Grunddaten!AS283="Ja",1,0),"")</f>
        <v/>
      </c>
      <c r="AL278" s="1" t="str">
        <f>IF(AND(Programme_Grunddaten!$A283="Geprüft",Programme_Grunddaten!AT283&lt;&gt;""),IF(Programme_Grunddaten!AT283="Ja",1,0),"")</f>
        <v/>
      </c>
      <c r="AM278" s="1" t="str">
        <f>IF(AND(Programme_Grunddaten!$A283="Geprüft",Programme_Grunddaten!AU283&lt;&gt;""),IF(Programme_Grunddaten!AU283="Ja",1,0),"")</f>
        <v/>
      </c>
      <c r="AN278" s="1" t="str">
        <f>IF(AND(Programme_Grunddaten!$A283="Geprüft",Programme_Grunddaten!AV283&lt;&gt;""),IF(Programme_Grunddaten!AV283="Ja",1,0),"")</f>
        <v/>
      </c>
    </row>
    <row r="279" spans="1:40" x14ac:dyDescent="0.3">
      <c r="A279" s="1" t="str">
        <f>IF(AND(Programme_Grunddaten!A284="Geprüft",Programme_Grunddaten!B284&lt;&gt;""),Programme_Grunddaten!B284,"")</f>
        <v/>
      </c>
      <c r="B279" s="1" t="str">
        <f>IF(AND(Programme_Grunddaten!$A284="Geprüft",Programme_Grunddaten!I284&lt;&gt;""),IF(Programme_Grunddaten!I284="Ja",1,0),"")</f>
        <v/>
      </c>
      <c r="C279" s="1" t="str">
        <f>IF(AND(Programme_Grunddaten!$A284="Geprüft",Programme_Grunddaten!J284&lt;&gt;""),IF(Programme_Grunddaten!J284="Ja",1,0),"")</f>
        <v/>
      </c>
      <c r="D279" s="1" t="str">
        <f>IF(AND(Programme_Grunddaten!$A284="Geprüft",Programme_Grunddaten!K284&lt;&gt;""),IF(Programme_Grunddaten!K284="Ja",1,0),"")</f>
        <v/>
      </c>
      <c r="E279" s="1" t="str">
        <f>IF(AND(Programme_Grunddaten!$A284="Geprüft",Programme_Grunddaten!L284&lt;&gt;""),IF(Programme_Grunddaten!L284="Abo / befristete Lizenz",1,0),"")</f>
        <v/>
      </c>
      <c r="F279" s="1" t="str">
        <f>IF(AND(Programme_Grunddaten!$A284="Geprüft",Programme_Grunddaten!M284&lt;&gt;""),IF(Programme_Grunddaten!M284="Ja",1,0),"")</f>
        <v/>
      </c>
      <c r="G279" s="1" t="str">
        <f>IF(AND(Programme_Grunddaten!$A284="Geprüft",Programme_Grunddaten!N284&lt;&gt;""),IF(Programme_Grunddaten!N284="Ja",1,0),"")</f>
        <v/>
      </c>
      <c r="H279" s="1" t="str">
        <f>IF(AND(Programme_Grunddaten!$A284="Geprüft",Programme_Grunddaten!O284&lt;&gt;""),IF(Programme_Grunddaten!O284="Deutschland",0,IF(Programme_Grunddaten!O284="EU",1,2)),"")</f>
        <v/>
      </c>
      <c r="I279" s="1" t="str">
        <f>IF(AND(Programme_Grunddaten!$A284="Geprüft",Programme_Grunddaten!P284&lt;&gt;""),IF(Programme_Grunddaten!P284="Ja",1,0),"")</f>
        <v/>
      </c>
      <c r="J279" s="1" t="str">
        <f>IF(AND(Programme_Grunddaten!$A284="Geprüft",Programme_Grunddaten!Q284&lt;&gt;""),IF(Programme_Grunddaten!Q284="geschlossenes System",1,0),"")</f>
        <v/>
      </c>
      <c r="K279" s="1" t="str">
        <f>IF(AND(Programme_Grunddaten!$A284="Geprüft",Programme_Grunddaten!R284&lt;&gt;""),IF(Programme_Grunddaten!R284="Ja",1,0),"")</f>
        <v/>
      </c>
      <c r="L279" s="1" t="str">
        <f>IF(AND(Programme_Grunddaten!$A284="Geprüft",Programme_Grunddaten!T284&lt;&gt;""),IF(Programme_Grunddaten!T284="Ja",1,0),"")</f>
        <v/>
      </c>
      <c r="M279" s="1" t="str">
        <f>IF(AND(Programme_Grunddaten!$A284="Geprüft",Programme_Grunddaten!U284&lt;&gt;""),IF(Programme_Grunddaten!U284="Ja",1,0),"")</f>
        <v/>
      </c>
      <c r="N279" s="1" t="str">
        <f>IF(AND(Programme_Grunddaten!$A284="Geprüft",Programme_Grunddaten!V284&lt;&gt;""),IF(Programme_Grunddaten!V284="Ja",1,0),"")</f>
        <v/>
      </c>
      <c r="O279" s="1" t="str">
        <f>IF(AND(Programme_Grunddaten!$A284="Geprüft",Programme_Grunddaten!W284&lt;&gt;""),IF(Programme_Grunddaten!W284="Ja",1,0),"")</f>
        <v/>
      </c>
      <c r="P279" s="1" t="str">
        <f>IF(AND(Programme_Grunddaten!$A284="Geprüft",Programme_Grunddaten!X284&lt;&gt;""),IF(Programme_Grunddaten!X284="Ja",1,0),"")</f>
        <v/>
      </c>
      <c r="Q279" s="1" t="str">
        <f>IF(AND(Programme_Grunddaten!$A284="Geprüft",Programme_Grunddaten!Y284&lt;&gt;""),IF(Programme_Grunddaten!Y284="Ja",1,0),"")</f>
        <v/>
      </c>
      <c r="R279" s="1" t="str">
        <f>IF(AND(Programme_Grunddaten!$A284="Geprüft",Programme_Grunddaten!Z284&lt;&gt;""),IF(Programme_Grunddaten!Z284="Ja",1,0),"")</f>
        <v/>
      </c>
      <c r="S279" s="1" t="str">
        <f>IF(AND(Programme_Grunddaten!$A284="Geprüft",Programme_Grunddaten!AA284&lt;&gt;""),IF(Programme_Grunddaten!AA284="monolithisch",1,0),"")</f>
        <v/>
      </c>
      <c r="T279" s="1" t="str">
        <f>IF(AND(Programme_Grunddaten!$A284="Geprüft",Programme_Grunddaten!AB284&lt;&gt;""),IF(Programme_Grunddaten!AB284="Ja",1,0),"")</f>
        <v/>
      </c>
      <c r="U279" s="1" t="str">
        <f>IF(AND(Programme_Grunddaten!$A284="Geprüft",Programme_Grunddaten!AC284&lt;&gt;""),IF(Programme_Grunddaten!AC284="Ja",1,0),"")</f>
        <v/>
      </c>
      <c r="V279" s="1" t="str">
        <f>IF(AND(Programme_Grunddaten!$A284="Geprüft",Programme_Grunddaten!AD284&lt;&gt;""),IF(Programme_Grunddaten!AD284="Ja",1,0),"")</f>
        <v/>
      </c>
      <c r="W279" s="1" t="str">
        <f>IF(AND(Programme_Grunddaten!$A284="Geprüft",Programme_Grunddaten!AE284&lt;&gt;""),IF(Programme_Grunddaten!AE284="Ja",1,0),"")</f>
        <v/>
      </c>
      <c r="X279" s="1" t="str">
        <f>IF(AND(Programme_Grunddaten!$A284="Geprüft",Programme_Grunddaten!AF284&lt;&gt;""),IF(Programme_Grunddaten!AF284="Ja",1,0),"")</f>
        <v/>
      </c>
      <c r="Y279" s="1" t="str">
        <f>IF(AND(Programme_Grunddaten!$A284="Geprüft",Programme_Grunddaten!AG284&lt;&gt;""),IF(Programme_Grunddaten!AG284="Ja",1,0),"")</f>
        <v/>
      </c>
      <c r="Z279" s="1" t="str">
        <f>IF(AND(Programme_Grunddaten!$A284="Geprüft",Programme_Grunddaten!AH284&lt;&gt;""),IF(Programme_Grunddaten!AH284="Ja",1,0),"")</f>
        <v/>
      </c>
      <c r="AA279" s="1" t="str">
        <f>IF(AND(Programme_Grunddaten!$A284="Geprüft",Programme_Grunddaten!AI284&lt;&gt;""),IF(Programme_Grunddaten!AI284="Ja",1,0),"")</f>
        <v/>
      </c>
      <c r="AB279" s="1" t="str">
        <f>IF(AND(Programme_Grunddaten!$A284="Geprüft",Programme_Grunddaten!AJ284&lt;&gt;""),IF(Programme_Grunddaten!AJ284="individuell programmierbar",1,0),"")</f>
        <v/>
      </c>
      <c r="AC279" s="1" t="str">
        <f>IF(AND(Programme_Grunddaten!$A284="Geprüft",Programme_Grunddaten!AK284&lt;&gt;""),IF(Programme_Grunddaten!AK284="Deutsch",0,IF(Programme_Grunddaten!AK284="Deutsch und Englisch",1,2)),"")</f>
        <v/>
      </c>
      <c r="AD279" s="1" t="str">
        <f>IF(AND(Programme_Grunddaten!$A284="Geprüft",Programme_Grunddaten!AL284&lt;&gt;""),IF(Programme_Grunddaten!AL284="Ja",1,0),"")</f>
        <v/>
      </c>
      <c r="AE279" s="1" t="str">
        <f>IF(AND(Programme_Grunddaten!$A284="Geprüft",Programme_Grunddaten!AM284&lt;&gt;""),IF(Programme_Grunddaten!AM284="Ja",1,0),"")</f>
        <v/>
      </c>
      <c r="AF279" s="1" t="str">
        <f>IF(AND(Programme_Grunddaten!$A284="Geprüft",Programme_Grunddaten!AN284&lt;&gt;""),IF(Programme_Grunddaten!AN284="Ja",1,0),"")</f>
        <v/>
      </c>
      <c r="AG279" s="1" t="str">
        <f>IF(AND(Programme_Grunddaten!$A284="Geprüft",Programme_Grunddaten!AO284&lt;&gt;""),IF(Programme_Grunddaten!AO284="Ja",1,0),"")</f>
        <v/>
      </c>
      <c r="AH279" s="1" t="str">
        <f>IF(AND(Programme_Grunddaten!$A284="Geprüft",Programme_Grunddaten!AP284&lt;&gt;""),IF(Programme_Grunddaten!AP284="Ja",1,0),"")</f>
        <v/>
      </c>
      <c r="AI279" s="1" t="str">
        <f>IF(AND(Programme_Grunddaten!$A284="Geprüft",Programme_Grunddaten!AQ284&lt;&gt;""),IF(Programme_Grunddaten!AQ284="Ja",1,0),"")</f>
        <v/>
      </c>
      <c r="AJ279" s="1" t="str">
        <f>IF(AND(Programme_Grunddaten!$A284="Geprüft",Programme_Grunddaten!AR284&lt;&gt;""),IF(Programme_Grunddaten!AR284="Ja",1,0),"")</f>
        <v/>
      </c>
      <c r="AK279" s="1" t="str">
        <f>IF(AND(Programme_Grunddaten!$A284="Geprüft",Programme_Grunddaten!AS284&lt;&gt;""),IF(Programme_Grunddaten!AS284="Ja",1,0),"")</f>
        <v/>
      </c>
      <c r="AL279" s="1" t="str">
        <f>IF(AND(Programme_Grunddaten!$A284="Geprüft",Programme_Grunddaten!AT284&lt;&gt;""),IF(Programme_Grunddaten!AT284="Ja",1,0),"")</f>
        <v/>
      </c>
      <c r="AM279" s="1" t="str">
        <f>IF(AND(Programme_Grunddaten!$A284="Geprüft",Programme_Grunddaten!AU284&lt;&gt;""),IF(Programme_Grunddaten!AU284="Ja",1,0),"")</f>
        <v/>
      </c>
      <c r="AN279" s="1" t="str">
        <f>IF(AND(Programme_Grunddaten!$A284="Geprüft",Programme_Grunddaten!AV284&lt;&gt;""),IF(Programme_Grunddaten!AV284="Ja",1,0),"")</f>
        <v/>
      </c>
    </row>
    <row r="280" spans="1:40" x14ac:dyDescent="0.3">
      <c r="A280" s="1" t="str">
        <f>IF(AND(Programme_Grunddaten!A285="Geprüft",Programme_Grunddaten!B285&lt;&gt;""),Programme_Grunddaten!B285,"")</f>
        <v/>
      </c>
      <c r="B280" s="1" t="str">
        <f>IF(AND(Programme_Grunddaten!$A285="Geprüft",Programme_Grunddaten!I285&lt;&gt;""),IF(Programme_Grunddaten!I285="Ja",1,0),"")</f>
        <v/>
      </c>
      <c r="C280" s="1" t="str">
        <f>IF(AND(Programme_Grunddaten!$A285="Geprüft",Programme_Grunddaten!J285&lt;&gt;""),IF(Programme_Grunddaten!J285="Ja",1,0),"")</f>
        <v/>
      </c>
      <c r="D280" s="1" t="str">
        <f>IF(AND(Programme_Grunddaten!$A285="Geprüft",Programme_Grunddaten!K285&lt;&gt;""),IF(Programme_Grunddaten!K285="Ja",1,0),"")</f>
        <v/>
      </c>
      <c r="E280" s="1" t="str">
        <f>IF(AND(Programme_Grunddaten!$A285="Geprüft",Programme_Grunddaten!L285&lt;&gt;""),IF(Programme_Grunddaten!L285="Abo / befristete Lizenz",1,0),"")</f>
        <v/>
      </c>
      <c r="F280" s="1" t="str">
        <f>IF(AND(Programme_Grunddaten!$A285="Geprüft",Programme_Grunddaten!M285&lt;&gt;""),IF(Programme_Grunddaten!M285="Ja",1,0),"")</f>
        <v/>
      </c>
      <c r="G280" s="1" t="str">
        <f>IF(AND(Programme_Grunddaten!$A285="Geprüft",Programme_Grunddaten!N285&lt;&gt;""),IF(Programme_Grunddaten!N285="Ja",1,0),"")</f>
        <v/>
      </c>
      <c r="H280" s="1" t="str">
        <f>IF(AND(Programme_Grunddaten!$A285="Geprüft",Programme_Grunddaten!O285&lt;&gt;""),IF(Programme_Grunddaten!O285="Deutschland",0,IF(Programme_Grunddaten!O285="EU",1,2)),"")</f>
        <v/>
      </c>
      <c r="I280" s="1" t="str">
        <f>IF(AND(Programme_Grunddaten!$A285="Geprüft",Programme_Grunddaten!P285&lt;&gt;""),IF(Programme_Grunddaten!P285="Ja",1,0),"")</f>
        <v/>
      </c>
      <c r="J280" s="1" t="str">
        <f>IF(AND(Programme_Grunddaten!$A285="Geprüft",Programme_Grunddaten!Q285&lt;&gt;""),IF(Programme_Grunddaten!Q285="geschlossenes System",1,0),"")</f>
        <v/>
      </c>
      <c r="K280" s="1" t="str">
        <f>IF(AND(Programme_Grunddaten!$A285="Geprüft",Programme_Grunddaten!R285&lt;&gt;""),IF(Programme_Grunddaten!R285="Ja",1,0),"")</f>
        <v/>
      </c>
      <c r="L280" s="1" t="str">
        <f>IF(AND(Programme_Grunddaten!$A285="Geprüft",Programme_Grunddaten!T285&lt;&gt;""),IF(Programme_Grunddaten!T285="Ja",1,0),"")</f>
        <v/>
      </c>
      <c r="M280" s="1" t="str">
        <f>IF(AND(Programme_Grunddaten!$A285="Geprüft",Programme_Grunddaten!U285&lt;&gt;""),IF(Programme_Grunddaten!U285="Ja",1,0),"")</f>
        <v/>
      </c>
      <c r="N280" s="1" t="str">
        <f>IF(AND(Programme_Grunddaten!$A285="Geprüft",Programme_Grunddaten!V285&lt;&gt;""),IF(Programme_Grunddaten!V285="Ja",1,0),"")</f>
        <v/>
      </c>
      <c r="O280" s="1" t="str">
        <f>IF(AND(Programme_Grunddaten!$A285="Geprüft",Programme_Grunddaten!W285&lt;&gt;""),IF(Programme_Grunddaten!W285="Ja",1,0),"")</f>
        <v/>
      </c>
      <c r="P280" s="1" t="str">
        <f>IF(AND(Programme_Grunddaten!$A285="Geprüft",Programme_Grunddaten!X285&lt;&gt;""),IF(Programme_Grunddaten!X285="Ja",1,0),"")</f>
        <v/>
      </c>
      <c r="Q280" s="1" t="str">
        <f>IF(AND(Programme_Grunddaten!$A285="Geprüft",Programme_Grunddaten!Y285&lt;&gt;""),IF(Programme_Grunddaten!Y285="Ja",1,0),"")</f>
        <v/>
      </c>
      <c r="R280" s="1" t="str">
        <f>IF(AND(Programme_Grunddaten!$A285="Geprüft",Programme_Grunddaten!Z285&lt;&gt;""),IF(Programme_Grunddaten!Z285="Ja",1,0),"")</f>
        <v/>
      </c>
      <c r="S280" s="1" t="str">
        <f>IF(AND(Programme_Grunddaten!$A285="Geprüft",Programme_Grunddaten!AA285&lt;&gt;""),IF(Programme_Grunddaten!AA285="monolithisch",1,0),"")</f>
        <v/>
      </c>
      <c r="T280" s="1" t="str">
        <f>IF(AND(Programme_Grunddaten!$A285="Geprüft",Programme_Grunddaten!AB285&lt;&gt;""),IF(Programme_Grunddaten!AB285="Ja",1,0),"")</f>
        <v/>
      </c>
      <c r="U280" s="1" t="str">
        <f>IF(AND(Programme_Grunddaten!$A285="Geprüft",Programme_Grunddaten!AC285&lt;&gt;""),IF(Programme_Grunddaten!AC285="Ja",1,0),"")</f>
        <v/>
      </c>
      <c r="V280" s="1" t="str">
        <f>IF(AND(Programme_Grunddaten!$A285="Geprüft",Programme_Grunddaten!AD285&lt;&gt;""),IF(Programme_Grunddaten!AD285="Ja",1,0),"")</f>
        <v/>
      </c>
      <c r="W280" s="1" t="str">
        <f>IF(AND(Programme_Grunddaten!$A285="Geprüft",Programme_Grunddaten!AE285&lt;&gt;""),IF(Programme_Grunddaten!AE285="Ja",1,0),"")</f>
        <v/>
      </c>
      <c r="X280" s="1" t="str">
        <f>IF(AND(Programme_Grunddaten!$A285="Geprüft",Programme_Grunddaten!AF285&lt;&gt;""),IF(Programme_Grunddaten!AF285="Ja",1,0),"")</f>
        <v/>
      </c>
      <c r="Y280" s="1" t="str">
        <f>IF(AND(Programme_Grunddaten!$A285="Geprüft",Programme_Grunddaten!AG285&lt;&gt;""),IF(Programme_Grunddaten!AG285="Ja",1,0),"")</f>
        <v/>
      </c>
      <c r="Z280" s="1" t="str">
        <f>IF(AND(Programme_Grunddaten!$A285="Geprüft",Programme_Grunddaten!AH285&lt;&gt;""),IF(Programme_Grunddaten!AH285="Ja",1,0),"")</f>
        <v/>
      </c>
      <c r="AA280" s="1" t="str">
        <f>IF(AND(Programme_Grunddaten!$A285="Geprüft",Programme_Grunddaten!AI285&lt;&gt;""),IF(Programme_Grunddaten!AI285="Ja",1,0),"")</f>
        <v/>
      </c>
      <c r="AB280" s="1" t="str">
        <f>IF(AND(Programme_Grunddaten!$A285="Geprüft",Programme_Grunddaten!AJ285&lt;&gt;""),IF(Programme_Grunddaten!AJ285="individuell programmierbar",1,0),"")</f>
        <v/>
      </c>
      <c r="AC280" s="1" t="str">
        <f>IF(AND(Programme_Grunddaten!$A285="Geprüft",Programme_Grunddaten!AK285&lt;&gt;""),IF(Programme_Grunddaten!AK285="Deutsch",0,IF(Programme_Grunddaten!AK285="Deutsch und Englisch",1,2)),"")</f>
        <v/>
      </c>
      <c r="AD280" s="1" t="str">
        <f>IF(AND(Programme_Grunddaten!$A285="Geprüft",Programme_Grunddaten!AL285&lt;&gt;""),IF(Programme_Grunddaten!AL285="Ja",1,0),"")</f>
        <v/>
      </c>
      <c r="AE280" s="1" t="str">
        <f>IF(AND(Programme_Grunddaten!$A285="Geprüft",Programme_Grunddaten!AM285&lt;&gt;""),IF(Programme_Grunddaten!AM285="Ja",1,0),"")</f>
        <v/>
      </c>
      <c r="AF280" s="1" t="str">
        <f>IF(AND(Programme_Grunddaten!$A285="Geprüft",Programme_Grunddaten!AN285&lt;&gt;""),IF(Programme_Grunddaten!AN285="Ja",1,0),"")</f>
        <v/>
      </c>
      <c r="AG280" s="1" t="str">
        <f>IF(AND(Programme_Grunddaten!$A285="Geprüft",Programme_Grunddaten!AO285&lt;&gt;""),IF(Programme_Grunddaten!AO285="Ja",1,0),"")</f>
        <v/>
      </c>
      <c r="AH280" s="1" t="str">
        <f>IF(AND(Programme_Grunddaten!$A285="Geprüft",Programme_Grunddaten!AP285&lt;&gt;""),IF(Programme_Grunddaten!AP285="Ja",1,0),"")</f>
        <v/>
      </c>
      <c r="AI280" s="1" t="str">
        <f>IF(AND(Programme_Grunddaten!$A285="Geprüft",Programme_Grunddaten!AQ285&lt;&gt;""),IF(Programme_Grunddaten!AQ285="Ja",1,0),"")</f>
        <v/>
      </c>
      <c r="AJ280" s="1" t="str">
        <f>IF(AND(Programme_Grunddaten!$A285="Geprüft",Programme_Grunddaten!AR285&lt;&gt;""),IF(Programme_Grunddaten!AR285="Ja",1,0),"")</f>
        <v/>
      </c>
      <c r="AK280" s="1" t="str">
        <f>IF(AND(Programme_Grunddaten!$A285="Geprüft",Programme_Grunddaten!AS285&lt;&gt;""),IF(Programme_Grunddaten!AS285="Ja",1,0),"")</f>
        <v/>
      </c>
      <c r="AL280" s="1" t="str">
        <f>IF(AND(Programme_Grunddaten!$A285="Geprüft",Programme_Grunddaten!AT285&lt;&gt;""),IF(Programme_Grunddaten!AT285="Ja",1,0),"")</f>
        <v/>
      </c>
      <c r="AM280" s="1" t="str">
        <f>IF(AND(Programme_Grunddaten!$A285="Geprüft",Programme_Grunddaten!AU285&lt;&gt;""),IF(Programme_Grunddaten!AU285="Ja",1,0),"")</f>
        <v/>
      </c>
      <c r="AN280" s="1" t="str">
        <f>IF(AND(Programme_Grunddaten!$A285="Geprüft",Programme_Grunddaten!AV285&lt;&gt;""),IF(Programme_Grunddaten!AV285="Ja",1,0),"")</f>
        <v/>
      </c>
    </row>
    <row r="281" spans="1:40" x14ac:dyDescent="0.3">
      <c r="A281" s="1" t="str">
        <f>IF(AND(Programme_Grunddaten!A286="Geprüft",Programme_Grunddaten!B286&lt;&gt;""),Programme_Grunddaten!B286,"")</f>
        <v/>
      </c>
      <c r="B281" s="1" t="str">
        <f>IF(AND(Programme_Grunddaten!$A286="Geprüft",Programme_Grunddaten!I286&lt;&gt;""),IF(Programme_Grunddaten!I286="Ja",1,0),"")</f>
        <v/>
      </c>
      <c r="C281" s="1" t="str">
        <f>IF(AND(Programme_Grunddaten!$A286="Geprüft",Programme_Grunddaten!J286&lt;&gt;""),IF(Programme_Grunddaten!J286="Ja",1,0),"")</f>
        <v/>
      </c>
      <c r="D281" s="1" t="str">
        <f>IF(AND(Programme_Grunddaten!$A286="Geprüft",Programme_Grunddaten!K286&lt;&gt;""),IF(Programme_Grunddaten!K286="Ja",1,0),"")</f>
        <v/>
      </c>
      <c r="E281" s="1" t="str">
        <f>IF(AND(Programme_Grunddaten!$A286="Geprüft",Programme_Grunddaten!L286&lt;&gt;""),IF(Programme_Grunddaten!L286="Abo / befristete Lizenz",1,0),"")</f>
        <v/>
      </c>
      <c r="F281" s="1" t="str">
        <f>IF(AND(Programme_Grunddaten!$A286="Geprüft",Programme_Grunddaten!M286&lt;&gt;""),IF(Programme_Grunddaten!M286="Ja",1,0),"")</f>
        <v/>
      </c>
      <c r="G281" s="1" t="str">
        <f>IF(AND(Programme_Grunddaten!$A286="Geprüft",Programme_Grunddaten!N286&lt;&gt;""),IF(Programme_Grunddaten!N286="Ja",1,0),"")</f>
        <v/>
      </c>
      <c r="H281" s="1" t="str">
        <f>IF(AND(Programme_Grunddaten!$A286="Geprüft",Programme_Grunddaten!O286&lt;&gt;""),IF(Programme_Grunddaten!O286="Deutschland",0,IF(Programme_Grunddaten!O286="EU",1,2)),"")</f>
        <v/>
      </c>
      <c r="I281" s="1" t="str">
        <f>IF(AND(Programme_Grunddaten!$A286="Geprüft",Programme_Grunddaten!P286&lt;&gt;""),IF(Programme_Grunddaten!P286="Ja",1,0),"")</f>
        <v/>
      </c>
      <c r="J281" s="1" t="str">
        <f>IF(AND(Programme_Grunddaten!$A286="Geprüft",Programme_Grunddaten!Q286&lt;&gt;""),IF(Programme_Grunddaten!Q286="geschlossenes System",1,0),"")</f>
        <v/>
      </c>
      <c r="K281" s="1" t="str">
        <f>IF(AND(Programme_Grunddaten!$A286="Geprüft",Programme_Grunddaten!R286&lt;&gt;""),IF(Programme_Grunddaten!R286="Ja",1,0),"")</f>
        <v/>
      </c>
      <c r="L281" s="1" t="str">
        <f>IF(AND(Programme_Grunddaten!$A286="Geprüft",Programme_Grunddaten!T286&lt;&gt;""),IF(Programme_Grunddaten!T286="Ja",1,0),"")</f>
        <v/>
      </c>
      <c r="M281" s="1" t="str">
        <f>IF(AND(Programme_Grunddaten!$A286="Geprüft",Programme_Grunddaten!U286&lt;&gt;""),IF(Programme_Grunddaten!U286="Ja",1,0),"")</f>
        <v/>
      </c>
      <c r="N281" s="1" t="str">
        <f>IF(AND(Programme_Grunddaten!$A286="Geprüft",Programme_Grunddaten!V286&lt;&gt;""),IF(Programme_Grunddaten!V286="Ja",1,0),"")</f>
        <v/>
      </c>
      <c r="O281" s="1" t="str">
        <f>IF(AND(Programme_Grunddaten!$A286="Geprüft",Programme_Grunddaten!W286&lt;&gt;""),IF(Programme_Grunddaten!W286="Ja",1,0),"")</f>
        <v/>
      </c>
      <c r="P281" s="1" t="str">
        <f>IF(AND(Programme_Grunddaten!$A286="Geprüft",Programme_Grunddaten!X286&lt;&gt;""),IF(Programme_Grunddaten!X286="Ja",1,0),"")</f>
        <v/>
      </c>
      <c r="Q281" s="1" t="str">
        <f>IF(AND(Programme_Grunddaten!$A286="Geprüft",Programme_Grunddaten!Y286&lt;&gt;""),IF(Programme_Grunddaten!Y286="Ja",1,0),"")</f>
        <v/>
      </c>
      <c r="R281" s="1" t="str">
        <f>IF(AND(Programme_Grunddaten!$A286="Geprüft",Programme_Grunddaten!Z286&lt;&gt;""),IF(Programme_Grunddaten!Z286="Ja",1,0),"")</f>
        <v/>
      </c>
      <c r="S281" s="1" t="str">
        <f>IF(AND(Programme_Grunddaten!$A286="Geprüft",Programme_Grunddaten!AA286&lt;&gt;""),IF(Programme_Grunddaten!AA286="monolithisch",1,0),"")</f>
        <v/>
      </c>
      <c r="T281" s="1" t="str">
        <f>IF(AND(Programme_Grunddaten!$A286="Geprüft",Programme_Grunddaten!AB286&lt;&gt;""),IF(Programme_Grunddaten!AB286="Ja",1,0),"")</f>
        <v/>
      </c>
      <c r="U281" s="1" t="str">
        <f>IF(AND(Programme_Grunddaten!$A286="Geprüft",Programme_Grunddaten!AC286&lt;&gt;""),IF(Programme_Grunddaten!AC286="Ja",1,0),"")</f>
        <v/>
      </c>
      <c r="V281" s="1" t="str">
        <f>IF(AND(Programme_Grunddaten!$A286="Geprüft",Programme_Grunddaten!AD286&lt;&gt;""),IF(Programme_Grunddaten!AD286="Ja",1,0),"")</f>
        <v/>
      </c>
      <c r="W281" s="1" t="str">
        <f>IF(AND(Programme_Grunddaten!$A286="Geprüft",Programme_Grunddaten!AE286&lt;&gt;""),IF(Programme_Grunddaten!AE286="Ja",1,0),"")</f>
        <v/>
      </c>
      <c r="X281" s="1" t="str">
        <f>IF(AND(Programme_Grunddaten!$A286="Geprüft",Programme_Grunddaten!AF286&lt;&gt;""),IF(Programme_Grunddaten!AF286="Ja",1,0),"")</f>
        <v/>
      </c>
      <c r="Y281" s="1" t="str">
        <f>IF(AND(Programme_Grunddaten!$A286="Geprüft",Programme_Grunddaten!AG286&lt;&gt;""),IF(Programme_Grunddaten!AG286="Ja",1,0),"")</f>
        <v/>
      </c>
      <c r="Z281" s="1" t="str">
        <f>IF(AND(Programme_Grunddaten!$A286="Geprüft",Programme_Grunddaten!AH286&lt;&gt;""),IF(Programme_Grunddaten!AH286="Ja",1,0),"")</f>
        <v/>
      </c>
      <c r="AA281" s="1" t="str">
        <f>IF(AND(Programme_Grunddaten!$A286="Geprüft",Programme_Grunddaten!AI286&lt;&gt;""),IF(Programme_Grunddaten!AI286="Ja",1,0),"")</f>
        <v/>
      </c>
      <c r="AB281" s="1" t="str">
        <f>IF(AND(Programme_Grunddaten!$A286="Geprüft",Programme_Grunddaten!AJ286&lt;&gt;""),IF(Programme_Grunddaten!AJ286="individuell programmierbar",1,0),"")</f>
        <v/>
      </c>
      <c r="AC281" s="1" t="str">
        <f>IF(AND(Programme_Grunddaten!$A286="Geprüft",Programme_Grunddaten!AK286&lt;&gt;""),IF(Programme_Grunddaten!AK286="Deutsch",0,IF(Programme_Grunddaten!AK286="Deutsch und Englisch",1,2)),"")</f>
        <v/>
      </c>
      <c r="AD281" s="1" t="str">
        <f>IF(AND(Programme_Grunddaten!$A286="Geprüft",Programme_Grunddaten!AL286&lt;&gt;""),IF(Programme_Grunddaten!AL286="Ja",1,0),"")</f>
        <v/>
      </c>
      <c r="AE281" s="1" t="str">
        <f>IF(AND(Programme_Grunddaten!$A286="Geprüft",Programme_Grunddaten!AM286&lt;&gt;""),IF(Programme_Grunddaten!AM286="Ja",1,0),"")</f>
        <v/>
      </c>
      <c r="AF281" s="1" t="str">
        <f>IF(AND(Programme_Grunddaten!$A286="Geprüft",Programme_Grunddaten!AN286&lt;&gt;""),IF(Programme_Grunddaten!AN286="Ja",1,0),"")</f>
        <v/>
      </c>
      <c r="AG281" s="1" t="str">
        <f>IF(AND(Programme_Grunddaten!$A286="Geprüft",Programme_Grunddaten!AO286&lt;&gt;""),IF(Programme_Grunddaten!AO286="Ja",1,0),"")</f>
        <v/>
      </c>
      <c r="AH281" s="1" t="str">
        <f>IF(AND(Programme_Grunddaten!$A286="Geprüft",Programme_Grunddaten!AP286&lt;&gt;""),IF(Programme_Grunddaten!AP286="Ja",1,0),"")</f>
        <v/>
      </c>
      <c r="AI281" s="1" t="str">
        <f>IF(AND(Programme_Grunddaten!$A286="Geprüft",Programme_Grunddaten!AQ286&lt;&gt;""),IF(Programme_Grunddaten!AQ286="Ja",1,0),"")</f>
        <v/>
      </c>
      <c r="AJ281" s="1" t="str">
        <f>IF(AND(Programme_Grunddaten!$A286="Geprüft",Programme_Grunddaten!AR286&lt;&gt;""),IF(Programme_Grunddaten!AR286="Ja",1,0),"")</f>
        <v/>
      </c>
      <c r="AK281" s="1" t="str">
        <f>IF(AND(Programme_Grunddaten!$A286="Geprüft",Programme_Grunddaten!AS286&lt;&gt;""),IF(Programme_Grunddaten!AS286="Ja",1,0),"")</f>
        <v/>
      </c>
      <c r="AL281" s="1" t="str">
        <f>IF(AND(Programme_Grunddaten!$A286="Geprüft",Programme_Grunddaten!AT286&lt;&gt;""),IF(Programme_Grunddaten!AT286="Ja",1,0),"")</f>
        <v/>
      </c>
      <c r="AM281" s="1" t="str">
        <f>IF(AND(Programme_Grunddaten!$A286="Geprüft",Programme_Grunddaten!AU286&lt;&gt;""),IF(Programme_Grunddaten!AU286="Ja",1,0),"")</f>
        <v/>
      </c>
      <c r="AN281" s="1" t="str">
        <f>IF(AND(Programme_Grunddaten!$A286="Geprüft",Programme_Grunddaten!AV286&lt;&gt;""),IF(Programme_Grunddaten!AV286="Ja",1,0),"")</f>
        <v/>
      </c>
    </row>
    <row r="282" spans="1:40" x14ac:dyDescent="0.3">
      <c r="A282" s="1" t="str">
        <f>IF(AND(Programme_Grunddaten!A287="Geprüft",Programme_Grunddaten!B287&lt;&gt;""),Programme_Grunddaten!B287,"")</f>
        <v/>
      </c>
      <c r="B282" s="1" t="str">
        <f>IF(AND(Programme_Grunddaten!$A287="Geprüft",Programme_Grunddaten!I287&lt;&gt;""),IF(Programme_Grunddaten!I287="Ja",1,0),"")</f>
        <v/>
      </c>
      <c r="C282" s="1" t="str">
        <f>IF(AND(Programme_Grunddaten!$A287="Geprüft",Programme_Grunddaten!J287&lt;&gt;""),IF(Programme_Grunddaten!J287="Ja",1,0),"")</f>
        <v/>
      </c>
      <c r="D282" s="1" t="str">
        <f>IF(AND(Programme_Grunddaten!$A287="Geprüft",Programme_Grunddaten!K287&lt;&gt;""),IF(Programme_Grunddaten!K287="Ja",1,0),"")</f>
        <v/>
      </c>
      <c r="E282" s="1" t="str">
        <f>IF(AND(Programme_Grunddaten!$A287="Geprüft",Programme_Grunddaten!L287&lt;&gt;""),IF(Programme_Grunddaten!L287="Abo / befristete Lizenz",1,0),"")</f>
        <v/>
      </c>
      <c r="F282" s="1" t="str">
        <f>IF(AND(Programme_Grunddaten!$A287="Geprüft",Programme_Grunddaten!M287&lt;&gt;""),IF(Programme_Grunddaten!M287="Ja",1,0),"")</f>
        <v/>
      </c>
      <c r="G282" s="1" t="str">
        <f>IF(AND(Programme_Grunddaten!$A287="Geprüft",Programme_Grunddaten!N287&lt;&gt;""),IF(Programme_Grunddaten!N287="Ja",1,0),"")</f>
        <v/>
      </c>
      <c r="H282" s="1" t="str">
        <f>IF(AND(Programme_Grunddaten!$A287="Geprüft",Programme_Grunddaten!O287&lt;&gt;""),IF(Programme_Grunddaten!O287="Deutschland",0,IF(Programme_Grunddaten!O287="EU",1,2)),"")</f>
        <v/>
      </c>
      <c r="I282" s="1" t="str">
        <f>IF(AND(Programme_Grunddaten!$A287="Geprüft",Programme_Grunddaten!P287&lt;&gt;""),IF(Programme_Grunddaten!P287="Ja",1,0),"")</f>
        <v/>
      </c>
      <c r="J282" s="1" t="str">
        <f>IF(AND(Programme_Grunddaten!$A287="Geprüft",Programme_Grunddaten!Q287&lt;&gt;""),IF(Programme_Grunddaten!Q287="geschlossenes System",1,0),"")</f>
        <v/>
      </c>
      <c r="K282" s="1" t="str">
        <f>IF(AND(Programme_Grunddaten!$A287="Geprüft",Programme_Grunddaten!R287&lt;&gt;""),IF(Programme_Grunddaten!R287="Ja",1,0),"")</f>
        <v/>
      </c>
      <c r="L282" s="1" t="str">
        <f>IF(AND(Programme_Grunddaten!$A287="Geprüft",Programme_Grunddaten!T287&lt;&gt;""),IF(Programme_Grunddaten!T287="Ja",1,0),"")</f>
        <v/>
      </c>
      <c r="M282" s="1" t="str">
        <f>IF(AND(Programme_Grunddaten!$A287="Geprüft",Programme_Grunddaten!U287&lt;&gt;""),IF(Programme_Grunddaten!U287="Ja",1,0),"")</f>
        <v/>
      </c>
      <c r="N282" s="1" t="str">
        <f>IF(AND(Programme_Grunddaten!$A287="Geprüft",Programme_Grunddaten!V287&lt;&gt;""),IF(Programme_Grunddaten!V287="Ja",1,0),"")</f>
        <v/>
      </c>
      <c r="O282" s="1" t="str">
        <f>IF(AND(Programme_Grunddaten!$A287="Geprüft",Programme_Grunddaten!W287&lt;&gt;""),IF(Programme_Grunddaten!W287="Ja",1,0),"")</f>
        <v/>
      </c>
      <c r="P282" s="1" t="str">
        <f>IF(AND(Programme_Grunddaten!$A287="Geprüft",Programme_Grunddaten!X287&lt;&gt;""),IF(Programme_Grunddaten!X287="Ja",1,0),"")</f>
        <v/>
      </c>
      <c r="Q282" s="1" t="str">
        <f>IF(AND(Programme_Grunddaten!$A287="Geprüft",Programme_Grunddaten!Y287&lt;&gt;""),IF(Programme_Grunddaten!Y287="Ja",1,0),"")</f>
        <v/>
      </c>
      <c r="R282" s="1" t="str">
        <f>IF(AND(Programme_Grunddaten!$A287="Geprüft",Programme_Grunddaten!Z287&lt;&gt;""),IF(Programme_Grunddaten!Z287="Ja",1,0),"")</f>
        <v/>
      </c>
      <c r="S282" s="1" t="str">
        <f>IF(AND(Programme_Grunddaten!$A287="Geprüft",Programme_Grunddaten!AA287&lt;&gt;""),IF(Programme_Grunddaten!AA287="monolithisch",1,0),"")</f>
        <v/>
      </c>
      <c r="T282" s="1" t="str">
        <f>IF(AND(Programme_Grunddaten!$A287="Geprüft",Programme_Grunddaten!AB287&lt;&gt;""),IF(Programme_Grunddaten!AB287="Ja",1,0),"")</f>
        <v/>
      </c>
      <c r="U282" s="1" t="str">
        <f>IF(AND(Programme_Grunddaten!$A287="Geprüft",Programme_Grunddaten!AC287&lt;&gt;""),IF(Programme_Grunddaten!AC287="Ja",1,0),"")</f>
        <v/>
      </c>
      <c r="V282" s="1" t="str">
        <f>IF(AND(Programme_Grunddaten!$A287="Geprüft",Programme_Grunddaten!AD287&lt;&gt;""),IF(Programme_Grunddaten!AD287="Ja",1,0),"")</f>
        <v/>
      </c>
      <c r="W282" s="1" t="str">
        <f>IF(AND(Programme_Grunddaten!$A287="Geprüft",Programme_Grunddaten!AE287&lt;&gt;""),IF(Programme_Grunddaten!AE287="Ja",1,0),"")</f>
        <v/>
      </c>
      <c r="X282" s="1" t="str">
        <f>IF(AND(Programme_Grunddaten!$A287="Geprüft",Programme_Grunddaten!AF287&lt;&gt;""),IF(Programme_Grunddaten!AF287="Ja",1,0),"")</f>
        <v/>
      </c>
      <c r="Y282" s="1" t="str">
        <f>IF(AND(Programme_Grunddaten!$A287="Geprüft",Programme_Grunddaten!AG287&lt;&gt;""),IF(Programme_Grunddaten!AG287="Ja",1,0),"")</f>
        <v/>
      </c>
      <c r="Z282" s="1" t="str">
        <f>IF(AND(Programme_Grunddaten!$A287="Geprüft",Programme_Grunddaten!AH287&lt;&gt;""),IF(Programme_Grunddaten!AH287="Ja",1,0),"")</f>
        <v/>
      </c>
      <c r="AA282" s="1" t="str">
        <f>IF(AND(Programme_Grunddaten!$A287="Geprüft",Programme_Grunddaten!AI287&lt;&gt;""),IF(Programme_Grunddaten!AI287="Ja",1,0),"")</f>
        <v/>
      </c>
      <c r="AB282" s="1" t="str">
        <f>IF(AND(Programme_Grunddaten!$A287="Geprüft",Programme_Grunddaten!AJ287&lt;&gt;""),IF(Programme_Grunddaten!AJ287="individuell programmierbar",1,0),"")</f>
        <v/>
      </c>
      <c r="AC282" s="1" t="str">
        <f>IF(AND(Programme_Grunddaten!$A287="Geprüft",Programme_Grunddaten!AK287&lt;&gt;""),IF(Programme_Grunddaten!AK287="Deutsch",0,IF(Programme_Grunddaten!AK287="Deutsch und Englisch",1,2)),"")</f>
        <v/>
      </c>
      <c r="AD282" s="1" t="str">
        <f>IF(AND(Programme_Grunddaten!$A287="Geprüft",Programme_Grunddaten!AL287&lt;&gt;""),IF(Programme_Grunddaten!AL287="Ja",1,0),"")</f>
        <v/>
      </c>
      <c r="AE282" s="1" t="str">
        <f>IF(AND(Programme_Grunddaten!$A287="Geprüft",Programme_Grunddaten!AM287&lt;&gt;""),IF(Programme_Grunddaten!AM287="Ja",1,0),"")</f>
        <v/>
      </c>
      <c r="AF282" s="1" t="str">
        <f>IF(AND(Programme_Grunddaten!$A287="Geprüft",Programme_Grunddaten!AN287&lt;&gt;""),IF(Programme_Grunddaten!AN287="Ja",1,0),"")</f>
        <v/>
      </c>
      <c r="AG282" s="1" t="str">
        <f>IF(AND(Programme_Grunddaten!$A287="Geprüft",Programme_Grunddaten!AO287&lt;&gt;""),IF(Programme_Grunddaten!AO287="Ja",1,0),"")</f>
        <v/>
      </c>
      <c r="AH282" s="1" t="str">
        <f>IF(AND(Programme_Grunddaten!$A287="Geprüft",Programme_Grunddaten!AP287&lt;&gt;""),IF(Programme_Grunddaten!AP287="Ja",1,0),"")</f>
        <v/>
      </c>
      <c r="AI282" s="1" t="str">
        <f>IF(AND(Programme_Grunddaten!$A287="Geprüft",Programme_Grunddaten!AQ287&lt;&gt;""),IF(Programme_Grunddaten!AQ287="Ja",1,0),"")</f>
        <v/>
      </c>
      <c r="AJ282" s="1" t="str">
        <f>IF(AND(Programme_Grunddaten!$A287="Geprüft",Programme_Grunddaten!AR287&lt;&gt;""),IF(Programme_Grunddaten!AR287="Ja",1,0),"")</f>
        <v/>
      </c>
      <c r="AK282" s="1" t="str">
        <f>IF(AND(Programme_Grunddaten!$A287="Geprüft",Programme_Grunddaten!AS287&lt;&gt;""),IF(Programme_Grunddaten!AS287="Ja",1,0),"")</f>
        <v/>
      </c>
      <c r="AL282" s="1" t="str">
        <f>IF(AND(Programme_Grunddaten!$A287="Geprüft",Programme_Grunddaten!AT287&lt;&gt;""),IF(Programme_Grunddaten!AT287="Ja",1,0),"")</f>
        <v/>
      </c>
      <c r="AM282" s="1" t="str">
        <f>IF(AND(Programme_Grunddaten!$A287="Geprüft",Programme_Grunddaten!AU287&lt;&gt;""),IF(Programme_Grunddaten!AU287="Ja",1,0),"")</f>
        <v/>
      </c>
      <c r="AN282" s="1" t="str">
        <f>IF(AND(Programme_Grunddaten!$A287="Geprüft",Programme_Grunddaten!AV287&lt;&gt;""),IF(Programme_Grunddaten!AV287="Ja",1,0),"")</f>
        <v/>
      </c>
    </row>
    <row r="283" spans="1:40" x14ac:dyDescent="0.3">
      <c r="A283" s="1" t="str">
        <f>IF(AND(Programme_Grunddaten!A288="Geprüft",Programme_Grunddaten!B288&lt;&gt;""),Programme_Grunddaten!B288,"")</f>
        <v/>
      </c>
      <c r="B283" s="1" t="str">
        <f>IF(AND(Programme_Grunddaten!$A288="Geprüft",Programme_Grunddaten!I288&lt;&gt;""),IF(Programme_Grunddaten!I288="Ja",1,0),"")</f>
        <v/>
      </c>
      <c r="C283" s="1" t="str">
        <f>IF(AND(Programme_Grunddaten!$A288="Geprüft",Programme_Grunddaten!J288&lt;&gt;""),IF(Programme_Grunddaten!J288="Ja",1,0),"")</f>
        <v/>
      </c>
      <c r="D283" s="1" t="str">
        <f>IF(AND(Programme_Grunddaten!$A288="Geprüft",Programme_Grunddaten!K288&lt;&gt;""),IF(Programme_Grunddaten!K288="Ja",1,0),"")</f>
        <v/>
      </c>
      <c r="E283" s="1" t="str">
        <f>IF(AND(Programme_Grunddaten!$A288="Geprüft",Programme_Grunddaten!L288&lt;&gt;""),IF(Programme_Grunddaten!L288="Abo / befristete Lizenz",1,0),"")</f>
        <v/>
      </c>
      <c r="F283" s="1" t="str">
        <f>IF(AND(Programme_Grunddaten!$A288="Geprüft",Programme_Grunddaten!M288&lt;&gt;""),IF(Programme_Grunddaten!M288="Ja",1,0),"")</f>
        <v/>
      </c>
      <c r="G283" s="1" t="str">
        <f>IF(AND(Programme_Grunddaten!$A288="Geprüft",Programme_Grunddaten!N288&lt;&gt;""),IF(Programme_Grunddaten!N288="Ja",1,0),"")</f>
        <v/>
      </c>
      <c r="H283" s="1" t="str">
        <f>IF(AND(Programme_Grunddaten!$A288="Geprüft",Programme_Grunddaten!O288&lt;&gt;""),IF(Programme_Grunddaten!O288="Deutschland",0,IF(Programme_Grunddaten!O288="EU",1,2)),"")</f>
        <v/>
      </c>
      <c r="I283" s="1" t="str">
        <f>IF(AND(Programme_Grunddaten!$A288="Geprüft",Programme_Grunddaten!P288&lt;&gt;""),IF(Programme_Grunddaten!P288="Ja",1,0),"")</f>
        <v/>
      </c>
      <c r="J283" s="1" t="str">
        <f>IF(AND(Programme_Grunddaten!$A288="Geprüft",Programme_Grunddaten!Q288&lt;&gt;""),IF(Programme_Grunddaten!Q288="geschlossenes System",1,0),"")</f>
        <v/>
      </c>
      <c r="K283" s="1" t="str">
        <f>IF(AND(Programme_Grunddaten!$A288="Geprüft",Programme_Grunddaten!R288&lt;&gt;""),IF(Programme_Grunddaten!R288="Ja",1,0),"")</f>
        <v/>
      </c>
      <c r="L283" s="1" t="str">
        <f>IF(AND(Programme_Grunddaten!$A288="Geprüft",Programme_Grunddaten!T288&lt;&gt;""),IF(Programme_Grunddaten!T288="Ja",1,0),"")</f>
        <v/>
      </c>
      <c r="M283" s="1" t="str">
        <f>IF(AND(Programme_Grunddaten!$A288="Geprüft",Programme_Grunddaten!U288&lt;&gt;""),IF(Programme_Grunddaten!U288="Ja",1,0),"")</f>
        <v/>
      </c>
      <c r="N283" s="1" t="str">
        <f>IF(AND(Programme_Grunddaten!$A288="Geprüft",Programme_Grunddaten!V288&lt;&gt;""),IF(Programme_Grunddaten!V288="Ja",1,0),"")</f>
        <v/>
      </c>
      <c r="O283" s="1" t="str">
        <f>IF(AND(Programme_Grunddaten!$A288="Geprüft",Programme_Grunddaten!W288&lt;&gt;""),IF(Programme_Grunddaten!W288="Ja",1,0),"")</f>
        <v/>
      </c>
      <c r="P283" s="1" t="str">
        <f>IF(AND(Programme_Grunddaten!$A288="Geprüft",Programme_Grunddaten!X288&lt;&gt;""),IF(Programme_Grunddaten!X288="Ja",1,0),"")</f>
        <v/>
      </c>
      <c r="Q283" s="1" t="str">
        <f>IF(AND(Programme_Grunddaten!$A288="Geprüft",Programme_Grunddaten!Y288&lt;&gt;""),IF(Programme_Grunddaten!Y288="Ja",1,0),"")</f>
        <v/>
      </c>
      <c r="R283" s="1" t="str">
        <f>IF(AND(Programme_Grunddaten!$A288="Geprüft",Programme_Grunddaten!Z288&lt;&gt;""),IF(Programme_Grunddaten!Z288="Ja",1,0),"")</f>
        <v/>
      </c>
      <c r="S283" s="1" t="str">
        <f>IF(AND(Programme_Grunddaten!$A288="Geprüft",Programme_Grunddaten!AA288&lt;&gt;""),IF(Programme_Grunddaten!AA288="monolithisch",1,0),"")</f>
        <v/>
      </c>
      <c r="T283" s="1" t="str">
        <f>IF(AND(Programme_Grunddaten!$A288="Geprüft",Programme_Grunddaten!AB288&lt;&gt;""),IF(Programme_Grunddaten!AB288="Ja",1,0),"")</f>
        <v/>
      </c>
      <c r="U283" s="1" t="str">
        <f>IF(AND(Programme_Grunddaten!$A288="Geprüft",Programme_Grunddaten!AC288&lt;&gt;""),IF(Programme_Grunddaten!AC288="Ja",1,0),"")</f>
        <v/>
      </c>
      <c r="V283" s="1" t="str">
        <f>IF(AND(Programme_Grunddaten!$A288="Geprüft",Programme_Grunddaten!AD288&lt;&gt;""),IF(Programme_Grunddaten!AD288="Ja",1,0),"")</f>
        <v/>
      </c>
      <c r="W283" s="1" t="str">
        <f>IF(AND(Programme_Grunddaten!$A288="Geprüft",Programme_Grunddaten!AE288&lt;&gt;""),IF(Programme_Grunddaten!AE288="Ja",1,0),"")</f>
        <v/>
      </c>
      <c r="X283" s="1" t="str">
        <f>IF(AND(Programme_Grunddaten!$A288="Geprüft",Programme_Grunddaten!AF288&lt;&gt;""),IF(Programme_Grunddaten!AF288="Ja",1,0),"")</f>
        <v/>
      </c>
      <c r="Y283" s="1" t="str">
        <f>IF(AND(Programme_Grunddaten!$A288="Geprüft",Programme_Grunddaten!AG288&lt;&gt;""),IF(Programme_Grunddaten!AG288="Ja",1,0),"")</f>
        <v/>
      </c>
      <c r="Z283" s="1" t="str">
        <f>IF(AND(Programme_Grunddaten!$A288="Geprüft",Programme_Grunddaten!AH288&lt;&gt;""),IF(Programme_Grunddaten!AH288="Ja",1,0),"")</f>
        <v/>
      </c>
      <c r="AA283" s="1" t="str">
        <f>IF(AND(Programme_Grunddaten!$A288="Geprüft",Programme_Grunddaten!AI288&lt;&gt;""),IF(Programme_Grunddaten!AI288="Ja",1,0),"")</f>
        <v/>
      </c>
      <c r="AB283" s="1" t="str">
        <f>IF(AND(Programme_Grunddaten!$A288="Geprüft",Programme_Grunddaten!AJ288&lt;&gt;""),IF(Programme_Grunddaten!AJ288="individuell programmierbar",1,0),"")</f>
        <v/>
      </c>
      <c r="AC283" s="1" t="str">
        <f>IF(AND(Programme_Grunddaten!$A288="Geprüft",Programme_Grunddaten!AK288&lt;&gt;""),IF(Programme_Grunddaten!AK288="Deutsch",0,IF(Programme_Grunddaten!AK288="Deutsch und Englisch",1,2)),"")</f>
        <v/>
      </c>
      <c r="AD283" s="1" t="str">
        <f>IF(AND(Programme_Grunddaten!$A288="Geprüft",Programme_Grunddaten!AL288&lt;&gt;""),IF(Programme_Grunddaten!AL288="Ja",1,0),"")</f>
        <v/>
      </c>
      <c r="AE283" s="1" t="str">
        <f>IF(AND(Programme_Grunddaten!$A288="Geprüft",Programme_Grunddaten!AM288&lt;&gt;""),IF(Programme_Grunddaten!AM288="Ja",1,0),"")</f>
        <v/>
      </c>
      <c r="AF283" s="1" t="str">
        <f>IF(AND(Programme_Grunddaten!$A288="Geprüft",Programme_Grunddaten!AN288&lt;&gt;""),IF(Programme_Grunddaten!AN288="Ja",1,0),"")</f>
        <v/>
      </c>
      <c r="AG283" s="1" t="str">
        <f>IF(AND(Programme_Grunddaten!$A288="Geprüft",Programme_Grunddaten!AO288&lt;&gt;""),IF(Programme_Grunddaten!AO288="Ja",1,0),"")</f>
        <v/>
      </c>
      <c r="AH283" s="1" t="str">
        <f>IF(AND(Programme_Grunddaten!$A288="Geprüft",Programme_Grunddaten!AP288&lt;&gt;""),IF(Programme_Grunddaten!AP288="Ja",1,0),"")</f>
        <v/>
      </c>
      <c r="AI283" s="1" t="str">
        <f>IF(AND(Programme_Grunddaten!$A288="Geprüft",Programme_Grunddaten!AQ288&lt;&gt;""),IF(Programme_Grunddaten!AQ288="Ja",1,0),"")</f>
        <v/>
      </c>
      <c r="AJ283" s="1" t="str">
        <f>IF(AND(Programme_Grunddaten!$A288="Geprüft",Programme_Grunddaten!AR288&lt;&gt;""),IF(Programme_Grunddaten!AR288="Ja",1,0),"")</f>
        <v/>
      </c>
      <c r="AK283" s="1" t="str">
        <f>IF(AND(Programme_Grunddaten!$A288="Geprüft",Programme_Grunddaten!AS288&lt;&gt;""),IF(Programme_Grunddaten!AS288="Ja",1,0),"")</f>
        <v/>
      </c>
      <c r="AL283" s="1" t="str">
        <f>IF(AND(Programme_Grunddaten!$A288="Geprüft",Programme_Grunddaten!AT288&lt;&gt;""),IF(Programme_Grunddaten!AT288="Ja",1,0),"")</f>
        <v/>
      </c>
      <c r="AM283" s="1" t="str">
        <f>IF(AND(Programme_Grunddaten!$A288="Geprüft",Programme_Grunddaten!AU288&lt;&gt;""),IF(Programme_Grunddaten!AU288="Ja",1,0),"")</f>
        <v/>
      </c>
      <c r="AN283" s="1" t="str">
        <f>IF(AND(Programme_Grunddaten!$A288="Geprüft",Programme_Grunddaten!AV288&lt;&gt;""),IF(Programme_Grunddaten!AV288="Ja",1,0),"")</f>
        <v/>
      </c>
    </row>
    <row r="284" spans="1:40" x14ac:dyDescent="0.3">
      <c r="A284" s="1" t="str">
        <f>IF(AND(Programme_Grunddaten!A289="Geprüft",Programme_Grunddaten!B289&lt;&gt;""),Programme_Grunddaten!B289,"")</f>
        <v/>
      </c>
      <c r="B284" s="1" t="str">
        <f>IF(AND(Programme_Grunddaten!$A289="Geprüft",Programme_Grunddaten!I289&lt;&gt;""),IF(Programme_Grunddaten!I289="Ja",1,0),"")</f>
        <v/>
      </c>
      <c r="C284" s="1" t="str">
        <f>IF(AND(Programme_Grunddaten!$A289="Geprüft",Programme_Grunddaten!J289&lt;&gt;""),IF(Programme_Grunddaten!J289="Ja",1,0),"")</f>
        <v/>
      </c>
      <c r="D284" s="1" t="str">
        <f>IF(AND(Programme_Grunddaten!$A289="Geprüft",Programme_Grunddaten!K289&lt;&gt;""),IF(Programme_Grunddaten!K289="Ja",1,0),"")</f>
        <v/>
      </c>
      <c r="E284" s="1" t="str">
        <f>IF(AND(Programme_Grunddaten!$A289="Geprüft",Programme_Grunddaten!L289&lt;&gt;""),IF(Programme_Grunddaten!L289="Abo / befristete Lizenz",1,0),"")</f>
        <v/>
      </c>
      <c r="F284" s="1" t="str">
        <f>IF(AND(Programme_Grunddaten!$A289="Geprüft",Programme_Grunddaten!M289&lt;&gt;""),IF(Programme_Grunddaten!M289="Ja",1,0),"")</f>
        <v/>
      </c>
      <c r="G284" s="1" t="str">
        <f>IF(AND(Programme_Grunddaten!$A289="Geprüft",Programme_Grunddaten!N289&lt;&gt;""),IF(Programme_Grunddaten!N289="Ja",1,0),"")</f>
        <v/>
      </c>
      <c r="H284" s="1" t="str">
        <f>IF(AND(Programme_Grunddaten!$A289="Geprüft",Programme_Grunddaten!O289&lt;&gt;""),IF(Programme_Grunddaten!O289="Deutschland",0,IF(Programme_Grunddaten!O289="EU",1,2)),"")</f>
        <v/>
      </c>
      <c r="I284" s="1" t="str">
        <f>IF(AND(Programme_Grunddaten!$A289="Geprüft",Programme_Grunddaten!P289&lt;&gt;""),IF(Programme_Grunddaten!P289="Ja",1,0),"")</f>
        <v/>
      </c>
      <c r="J284" s="1" t="str">
        <f>IF(AND(Programme_Grunddaten!$A289="Geprüft",Programme_Grunddaten!Q289&lt;&gt;""),IF(Programme_Grunddaten!Q289="geschlossenes System",1,0),"")</f>
        <v/>
      </c>
      <c r="K284" s="1" t="str">
        <f>IF(AND(Programme_Grunddaten!$A289="Geprüft",Programme_Grunddaten!R289&lt;&gt;""),IF(Programme_Grunddaten!R289="Ja",1,0),"")</f>
        <v/>
      </c>
      <c r="L284" s="1" t="str">
        <f>IF(AND(Programme_Grunddaten!$A289="Geprüft",Programme_Grunddaten!T289&lt;&gt;""),IF(Programme_Grunddaten!T289="Ja",1,0),"")</f>
        <v/>
      </c>
      <c r="M284" s="1" t="str">
        <f>IF(AND(Programme_Grunddaten!$A289="Geprüft",Programme_Grunddaten!U289&lt;&gt;""),IF(Programme_Grunddaten!U289="Ja",1,0),"")</f>
        <v/>
      </c>
      <c r="N284" s="1" t="str">
        <f>IF(AND(Programme_Grunddaten!$A289="Geprüft",Programme_Grunddaten!V289&lt;&gt;""),IF(Programme_Grunddaten!V289="Ja",1,0),"")</f>
        <v/>
      </c>
      <c r="O284" s="1" t="str">
        <f>IF(AND(Programme_Grunddaten!$A289="Geprüft",Programme_Grunddaten!W289&lt;&gt;""),IF(Programme_Grunddaten!W289="Ja",1,0),"")</f>
        <v/>
      </c>
      <c r="P284" s="1" t="str">
        <f>IF(AND(Programme_Grunddaten!$A289="Geprüft",Programme_Grunddaten!X289&lt;&gt;""),IF(Programme_Grunddaten!X289="Ja",1,0),"")</f>
        <v/>
      </c>
      <c r="Q284" s="1" t="str">
        <f>IF(AND(Programme_Grunddaten!$A289="Geprüft",Programme_Grunddaten!Y289&lt;&gt;""),IF(Programme_Grunddaten!Y289="Ja",1,0),"")</f>
        <v/>
      </c>
      <c r="R284" s="1" t="str">
        <f>IF(AND(Programme_Grunddaten!$A289="Geprüft",Programme_Grunddaten!Z289&lt;&gt;""),IF(Programme_Grunddaten!Z289="Ja",1,0),"")</f>
        <v/>
      </c>
      <c r="S284" s="1" t="str">
        <f>IF(AND(Programme_Grunddaten!$A289="Geprüft",Programme_Grunddaten!AA289&lt;&gt;""),IF(Programme_Grunddaten!AA289="monolithisch",1,0),"")</f>
        <v/>
      </c>
      <c r="T284" s="1" t="str">
        <f>IF(AND(Programme_Grunddaten!$A289="Geprüft",Programme_Grunddaten!AB289&lt;&gt;""),IF(Programme_Grunddaten!AB289="Ja",1,0),"")</f>
        <v/>
      </c>
      <c r="U284" s="1" t="str">
        <f>IF(AND(Programme_Grunddaten!$A289="Geprüft",Programme_Grunddaten!AC289&lt;&gt;""),IF(Programme_Grunddaten!AC289="Ja",1,0),"")</f>
        <v/>
      </c>
      <c r="V284" s="1" t="str">
        <f>IF(AND(Programme_Grunddaten!$A289="Geprüft",Programme_Grunddaten!AD289&lt;&gt;""),IF(Programme_Grunddaten!AD289="Ja",1,0),"")</f>
        <v/>
      </c>
      <c r="W284" s="1" t="str">
        <f>IF(AND(Programme_Grunddaten!$A289="Geprüft",Programme_Grunddaten!AE289&lt;&gt;""),IF(Programme_Grunddaten!AE289="Ja",1,0),"")</f>
        <v/>
      </c>
      <c r="X284" s="1" t="str">
        <f>IF(AND(Programme_Grunddaten!$A289="Geprüft",Programme_Grunddaten!AF289&lt;&gt;""),IF(Programme_Grunddaten!AF289="Ja",1,0),"")</f>
        <v/>
      </c>
      <c r="Y284" s="1" t="str">
        <f>IF(AND(Programme_Grunddaten!$A289="Geprüft",Programme_Grunddaten!AG289&lt;&gt;""),IF(Programme_Grunddaten!AG289="Ja",1,0),"")</f>
        <v/>
      </c>
      <c r="Z284" s="1" t="str">
        <f>IF(AND(Programme_Grunddaten!$A289="Geprüft",Programme_Grunddaten!AH289&lt;&gt;""),IF(Programme_Grunddaten!AH289="Ja",1,0),"")</f>
        <v/>
      </c>
      <c r="AA284" s="1" t="str">
        <f>IF(AND(Programme_Grunddaten!$A289="Geprüft",Programme_Grunddaten!AI289&lt;&gt;""),IF(Programme_Grunddaten!AI289="Ja",1,0),"")</f>
        <v/>
      </c>
      <c r="AB284" s="1" t="str">
        <f>IF(AND(Programme_Grunddaten!$A289="Geprüft",Programme_Grunddaten!AJ289&lt;&gt;""),IF(Programme_Grunddaten!AJ289="individuell programmierbar",1,0),"")</f>
        <v/>
      </c>
      <c r="AC284" s="1" t="str">
        <f>IF(AND(Programme_Grunddaten!$A289="Geprüft",Programme_Grunddaten!AK289&lt;&gt;""),IF(Programme_Grunddaten!AK289="Deutsch",0,IF(Programme_Grunddaten!AK289="Deutsch und Englisch",1,2)),"")</f>
        <v/>
      </c>
      <c r="AD284" s="1" t="str">
        <f>IF(AND(Programme_Grunddaten!$A289="Geprüft",Programme_Grunddaten!AL289&lt;&gt;""),IF(Programme_Grunddaten!AL289="Ja",1,0),"")</f>
        <v/>
      </c>
      <c r="AE284" s="1" t="str">
        <f>IF(AND(Programme_Grunddaten!$A289="Geprüft",Programme_Grunddaten!AM289&lt;&gt;""),IF(Programme_Grunddaten!AM289="Ja",1,0),"")</f>
        <v/>
      </c>
      <c r="AF284" s="1" t="str">
        <f>IF(AND(Programme_Grunddaten!$A289="Geprüft",Programme_Grunddaten!AN289&lt;&gt;""),IF(Programme_Grunddaten!AN289="Ja",1,0),"")</f>
        <v/>
      </c>
      <c r="AG284" s="1" t="str">
        <f>IF(AND(Programme_Grunddaten!$A289="Geprüft",Programme_Grunddaten!AO289&lt;&gt;""),IF(Programme_Grunddaten!AO289="Ja",1,0),"")</f>
        <v/>
      </c>
      <c r="AH284" s="1" t="str">
        <f>IF(AND(Programme_Grunddaten!$A289="Geprüft",Programme_Grunddaten!AP289&lt;&gt;""),IF(Programme_Grunddaten!AP289="Ja",1,0),"")</f>
        <v/>
      </c>
      <c r="AI284" s="1" t="str">
        <f>IF(AND(Programme_Grunddaten!$A289="Geprüft",Programme_Grunddaten!AQ289&lt;&gt;""),IF(Programme_Grunddaten!AQ289="Ja",1,0),"")</f>
        <v/>
      </c>
      <c r="AJ284" s="1" t="str">
        <f>IF(AND(Programme_Grunddaten!$A289="Geprüft",Programme_Grunddaten!AR289&lt;&gt;""),IF(Programme_Grunddaten!AR289="Ja",1,0),"")</f>
        <v/>
      </c>
      <c r="AK284" s="1" t="str">
        <f>IF(AND(Programme_Grunddaten!$A289="Geprüft",Programme_Grunddaten!AS289&lt;&gt;""),IF(Programme_Grunddaten!AS289="Ja",1,0),"")</f>
        <v/>
      </c>
      <c r="AL284" s="1" t="str">
        <f>IF(AND(Programme_Grunddaten!$A289="Geprüft",Programme_Grunddaten!AT289&lt;&gt;""),IF(Programme_Grunddaten!AT289="Ja",1,0),"")</f>
        <v/>
      </c>
      <c r="AM284" s="1" t="str">
        <f>IF(AND(Programme_Grunddaten!$A289="Geprüft",Programme_Grunddaten!AU289&lt;&gt;""),IF(Programme_Grunddaten!AU289="Ja",1,0),"")</f>
        <v/>
      </c>
      <c r="AN284" s="1" t="str">
        <f>IF(AND(Programme_Grunddaten!$A289="Geprüft",Programme_Grunddaten!AV289&lt;&gt;""),IF(Programme_Grunddaten!AV289="Ja",1,0),"")</f>
        <v/>
      </c>
    </row>
    <row r="285" spans="1:40" x14ac:dyDescent="0.3">
      <c r="A285" s="1" t="str">
        <f>IF(AND(Programme_Grunddaten!A290="Geprüft",Programme_Grunddaten!B290&lt;&gt;""),Programme_Grunddaten!B290,"")</f>
        <v/>
      </c>
      <c r="B285" s="1" t="str">
        <f>IF(AND(Programme_Grunddaten!$A290="Geprüft",Programme_Grunddaten!I290&lt;&gt;""),IF(Programme_Grunddaten!I290="Ja",1,0),"")</f>
        <v/>
      </c>
      <c r="C285" s="1" t="str">
        <f>IF(AND(Programme_Grunddaten!$A290="Geprüft",Programme_Grunddaten!J290&lt;&gt;""),IF(Programme_Grunddaten!J290="Ja",1,0),"")</f>
        <v/>
      </c>
      <c r="D285" s="1" t="str">
        <f>IF(AND(Programme_Grunddaten!$A290="Geprüft",Programme_Grunddaten!K290&lt;&gt;""),IF(Programme_Grunddaten!K290="Ja",1,0),"")</f>
        <v/>
      </c>
      <c r="E285" s="1" t="str">
        <f>IF(AND(Programme_Grunddaten!$A290="Geprüft",Programme_Grunddaten!L290&lt;&gt;""),IF(Programme_Grunddaten!L290="Abo / befristete Lizenz",1,0),"")</f>
        <v/>
      </c>
      <c r="F285" s="1" t="str">
        <f>IF(AND(Programme_Grunddaten!$A290="Geprüft",Programme_Grunddaten!M290&lt;&gt;""),IF(Programme_Grunddaten!M290="Ja",1,0),"")</f>
        <v/>
      </c>
      <c r="G285" s="1" t="str">
        <f>IF(AND(Programme_Grunddaten!$A290="Geprüft",Programme_Grunddaten!N290&lt;&gt;""),IF(Programme_Grunddaten!N290="Ja",1,0),"")</f>
        <v/>
      </c>
      <c r="H285" s="1" t="str">
        <f>IF(AND(Programme_Grunddaten!$A290="Geprüft",Programme_Grunddaten!O290&lt;&gt;""),IF(Programme_Grunddaten!O290="Deutschland",0,IF(Programme_Grunddaten!O290="EU",1,2)),"")</f>
        <v/>
      </c>
      <c r="I285" s="1" t="str">
        <f>IF(AND(Programme_Grunddaten!$A290="Geprüft",Programme_Grunddaten!P290&lt;&gt;""),IF(Programme_Grunddaten!P290="Ja",1,0),"")</f>
        <v/>
      </c>
      <c r="J285" s="1" t="str">
        <f>IF(AND(Programme_Grunddaten!$A290="Geprüft",Programme_Grunddaten!Q290&lt;&gt;""),IF(Programme_Grunddaten!Q290="geschlossenes System",1,0),"")</f>
        <v/>
      </c>
      <c r="K285" s="1" t="str">
        <f>IF(AND(Programme_Grunddaten!$A290="Geprüft",Programme_Grunddaten!R290&lt;&gt;""),IF(Programme_Grunddaten!R290="Ja",1,0),"")</f>
        <v/>
      </c>
      <c r="L285" s="1" t="str">
        <f>IF(AND(Programme_Grunddaten!$A290="Geprüft",Programme_Grunddaten!T290&lt;&gt;""),IF(Programme_Grunddaten!T290="Ja",1,0),"")</f>
        <v/>
      </c>
      <c r="M285" s="1" t="str">
        <f>IF(AND(Programme_Grunddaten!$A290="Geprüft",Programme_Grunddaten!U290&lt;&gt;""),IF(Programme_Grunddaten!U290="Ja",1,0),"")</f>
        <v/>
      </c>
      <c r="N285" s="1" t="str">
        <f>IF(AND(Programme_Grunddaten!$A290="Geprüft",Programme_Grunddaten!V290&lt;&gt;""),IF(Programme_Grunddaten!V290="Ja",1,0),"")</f>
        <v/>
      </c>
      <c r="O285" s="1" t="str">
        <f>IF(AND(Programme_Grunddaten!$A290="Geprüft",Programme_Grunddaten!W290&lt;&gt;""),IF(Programme_Grunddaten!W290="Ja",1,0),"")</f>
        <v/>
      </c>
      <c r="P285" s="1" t="str">
        <f>IF(AND(Programme_Grunddaten!$A290="Geprüft",Programme_Grunddaten!X290&lt;&gt;""),IF(Programme_Grunddaten!X290="Ja",1,0),"")</f>
        <v/>
      </c>
      <c r="Q285" s="1" t="str">
        <f>IF(AND(Programme_Grunddaten!$A290="Geprüft",Programme_Grunddaten!Y290&lt;&gt;""),IF(Programme_Grunddaten!Y290="Ja",1,0),"")</f>
        <v/>
      </c>
      <c r="R285" s="1" t="str">
        <f>IF(AND(Programme_Grunddaten!$A290="Geprüft",Programme_Grunddaten!Z290&lt;&gt;""),IF(Programme_Grunddaten!Z290="Ja",1,0),"")</f>
        <v/>
      </c>
      <c r="S285" s="1" t="str">
        <f>IF(AND(Programme_Grunddaten!$A290="Geprüft",Programme_Grunddaten!AA290&lt;&gt;""),IF(Programme_Grunddaten!AA290="monolithisch",1,0),"")</f>
        <v/>
      </c>
      <c r="T285" s="1" t="str">
        <f>IF(AND(Programme_Grunddaten!$A290="Geprüft",Programme_Grunddaten!AB290&lt;&gt;""),IF(Programme_Grunddaten!AB290="Ja",1,0),"")</f>
        <v/>
      </c>
      <c r="U285" s="1" t="str">
        <f>IF(AND(Programme_Grunddaten!$A290="Geprüft",Programme_Grunddaten!AC290&lt;&gt;""),IF(Programme_Grunddaten!AC290="Ja",1,0),"")</f>
        <v/>
      </c>
      <c r="V285" s="1" t="str">
        <f>IF(AND(Programme_Grunddaten!$A290="Geprüft",Programme_Grunddaten!AD290&lt;&gt;""),IF(Programme_Grunddaten!AD290="Ja",1,0),"")</f>
        <v/>
      </c>
      <c r="W285" s="1" t="str">
        <f>IF(AND(Programme_Grunddaten!$A290="Geprüft",Programme_Grunddaten!AE290&lt;&gt;""),IF(Programme_Grunddaten!AE290="Ja",1,0),"")</f>
        <v/>
      </c>
      <c r="X285" s="1" t="str">
        <f>IF(AND(Programme_Grunddaten!$A290="Geprüft",Programme_Grunddaten!AF290&lt;&gt;""),IF(Programme_Grunddaten!AF290="Ja",1,0),"")</f>
        <v/>
      </c>
      <c r="Y285" s="1" t="str">
        <f>IF(AND(Programme_Grunddaten!$A290="Geprüft",Programme_Grunddaten!AG290&lt;&gt;""),IF(Programme_Grunddaten!AG290="Ja",1,0),"")</f>
        <v/>
      </c>
      <c r="Z285" s="1" t="str">
        <f>IF(AND(Programme_Grunddaten!$A290="Geprüft",Programme_Grunddaten!AH290&lt;&gt;""),IF(Programme_Grunddaten!AH290="Ja",1,0),"")</f>
        <v/>
      </c>
      <c r="AA285" s="1" t="str">
        <f>IF(AND(Programme_Grunddaten!$A290="Geprüft",Programme_Grunddaten!AI290&lt;&gt;""),IF(Programme_Grunddaten!AI290="Ja",1,0),"")</f>
        <v/>
      </c>
      <c r="AB285" s="1" t="str">
        <f>IF(AND(Programme_Grunddaten!$A290="Geprüft",Programme_Grunddaten!AJ290&lt;&gt;""),IF(Programme_Grunddaten!AJ290="individuell programmierbar",1,0),"")</f>
        <v/>
      </c>
      <c r="AC285" s="1" t="str">
        <f>IF(AND(Programme_Grunddaten!$A290="Geprüft",Programme_Grunddaten!AK290&lt;&gt;""),IF(Programme_Grunddaten!AK290="Deutsch",0,IF(Programme_Grunddaten!AK290="Deutsch und Englisch",1,2)),"")</f>
        <v/>
      </c>
      <c r="AD285" s="1" t="str">
        <f>IF(AND(Programme_Grunddaten!$A290="Geprüft",Programme_Grunddaten!AL290&lt;&gt;""),IF(Programme_Grunddaten!AL290="Ja",1,0),"")</f>
        <v/>
      </c>
      <c r="AE285" s="1" t="str">
        <f>IF(AND(Programme_Grunddaten!$A290="Geprüft",Programme_Grunddaten!AM290&lt;&gt;""),IF(Programme_Grunddaten!AM290="Ja",1,0),"")</f>
        <v/>
      </c>
      <c r="AF285" s="1" t="str">
        <f>IF(AND(Programme_Grunddaten!$A290="Geprüft",Programme_Grunddaten!AN290&lt;&gt;""),IF(Programme_Grunddaten!AN290="Ja",1,0),"")</f>
        <v/>
      </c>
      <c r="AG285" s="1" t="str">
        <f>IF(AND(Programme_Grunddaten!$A290="Geprüft",Programme_Grunddaten!AO290&lt;&gt;""),IF(Programme_Grunddaten!AO290="Ja",1,0),"")</f>
        <v/>
      </c>
      <c r="AH285" s="1" t="str">
        <f>IF(AND(Programme_Grunddaten!$A290="Geprüft",Programme_Grunddaten!AP290&lt;&gt;""),IF(Programme_Grunddaten!AP290="Ja",1,0),"")</f>
        <v/>
      </c>
      <c r="AI285" s="1" t="str">
        <f>IF(AND(Programme_Grunddaten!$A290="Geprüft",Programme_Grunddaten!AQ290&lt;&gt;""),IF(Programme_Grunddaten!AQ290="Ja",1,0),"")</f>
        <v/>
      </c>
      <c r="AJ285" s="1" t="str">
        <f>IF(AND(Programme_Grunddaten!$A290="Geprüft",Programme_Grunddaten!AR290&lt;&gt;""),IF(Programme_Grunddaten!AR290="Ja",1,0),"")</f>
        <v/>
      </c>
      <c r="AK285" s="1" t="str">
        <f>IF(AND(Programme_Grunddaten!$A290="Geprüft",Programme_Grunddaten!AS290&lt;&gt;""),IF(Programme_Grunddaten!AS290="Ja",1,0),"")</f>
        <v/>
      </c>
      <c r="AL285" s="1" t="str">
        <f>IF(AND(Programme_Grunddaten!$A290="Geprüft",Programme_Grunddaten!AT290&lt;&gt;""),IF(Programme_Grunddaten!AT290="Ja",1,0),"")</f>
        <v/>
      </c>
      <c r="AM285" s="1" t="str">
        <f>IF(AND(Programme_Grunddaten!$A290="Geprüft",Programme_Grunddaten!AU290&lt;&gt;""),IF(Programme_Grunddaten!AU290="Ja",1,0),"")</f>
        <v/>
      </c>
      <c r="AN285" s="1" t="str">
        <f>IF(AND(Programme_Grunddaten!$A290="Geprüft",Programme_Grunddaten!AV290&lt;&gt;""),IF(Programme_Grunddaten!AV290="Ja",1,0),"")</f>
        <v/>
      </c>
    </row>
    <row r="286" spans="1:40" x14ac:dyDescent="0.3">
      <c r="A286" s="1" t="str">
        <f>IF(AND(Programme_Grunddaten!A291="Geprüft",Programme_Grunddaten!B291&lt;&gt;""),Programme_Grunddaten!B291,"")</f>
        <v/>
      </c>
      <c r="B286" s="1" t="str">
        <f>IF(AND(Programme_Grunddaten!$A291="Geprüft",Programme_Grunddaten!I291&lt;&gt;""),IF(Programme_Grunddaten!I291="Ja",1,0),"")</f>
        <v/>
      </c>
      <c r="C286" s="1" t="str">
        <f>IF(AND(Programme_Grunddaten!$A291="Geprüft",Programme_Grunddaten!J291&lt;&gt;""),IF(Programme_Grunddaten!J291="Ja",1,0),"")</f>
        <v/>
      </c>
      <c r="D286" s="1" t="str">
        <f>IF(AND(Programme_Grunddaten!$A291="Geprüft",Programme_Grunddaten!K291&lt;&gt;""),IF(Programme_Grunddaten!K291="Ja",1,0),"")</f>
        <v/>
      </c>
      <c r="E286" s="1" t="str">
        <f>IF(AND(Programme_Grunddaten!$A291="Geprüft",Programme_Grunddaten!L291&lt;&gt;""),IF(Programme_Grunddaten!L291="Abo / befristete Lizenz",1,0),"")</f>
        <v/>
      </c>
      <c r="F286" s="1" t="str">
        <f>IF(AND(Programme_Grunddaten!$A291="Geprüft",Programme_Grunddaten!M291&lt;&gt;""),IF(Programme_Grunddaten!M291="Ja",1,0),"")</f>
        <v/>
      </c>
      <c r="G286" s="1" t="str">
        <f>IF(AND(Programme_Grunddaten!$A291="Geprüft",Programme_Grunddaten!N291&lt;&gt;""),IF(Programme_Grunddaten!N291="Ja",1,0),"")</f>
        <v/>
      </c>
      <c r="H286" s="1" t="str">
        <f>IF(AND(Programme_Grunddaten!$A291="Geprüft",Programme_Grunddaten!O291&lt;&gt;""),IF(Programme_Grunddaten!O291="Deutschland",0,IF(Programme_Grunddaten!O291="EU",1,2)),"")</f>
        <v/>
      </c>
      <c r="I286" s="1" t="str">
        <f>IF(AND(Programme_Grunddaten!$A291="Geprüft",Programme_Grunddaten!P291&lt;&gt;""),IF(Programme_Grunddaten!P291="Ja",1,0),"")</f>
        <v/>
      </c>
      <c r="J286" s="1" t="str">
        <f>IF(AND(Programme_Grunddaten!$A291="Geprüft",Programme_Grunddaten!Q291&lt;&gt;""),IF(Programme_Grunddaten!Q291="geschlossenes System",1,0),"")</f>
        <v/>
      </c>
      <c r="K286" s="1" t="str">
        <f>IF(AND(Programme_Grunddaten!$A291="Geprüft",Programme_Grunddaten!R291&lt;&gt;""),IF(Programme_Grunddaten!R291="Ja",1,0),"")</f>
        <v/>
      </c>
      <c r="L286" s="1" t="str">
        <f>IF(AND(Programme_Grunddaten!$A291="Geprüft",Programme_Grunddaten!T291&lt;&gt;""),IF(Programme_Grunddaten!T291="Ja",1,0),"")</f>
        <v/>
      </c>
      <c r="M286" s="1" t="str">
        <f>IF(AND(Programme_Grunddaten!$A291="Geprüft",Programme_Grunddaten!U291&lt;&gt;""),IF(Programme_Grunddaten!U291="Ja",1,0),"")</f>
        <v/>
      </c>
      <c r="N286" s="1" t="str">
        <f>IF(AND(Programme_Grunddaten!$A291="Geprüft",Programme_Grunddaten!V291&lt;&gt;""),IF(Programme_Grunddaten!V291="Ja",1,0),"")</f>
        <v/>
      </c>
      <c r="O286" s="1" t="str">
        <f>IF(AND(Programme_Grunddaten!$A291="Geprüft",Programme_Grunddaten!W291&lt;&gt;""),IF(Programme_Grunddaten!W291="Ja",1,0),"")</f>
        <v/>
      </c>
      <c r="P286" s="1" t="str">
        <f>IF(AND(Programme_Grunddaten!$A291="Geprüft",Programme_Grunddaten!X291&lt;&gt;""),IF(Programme_Grunddaten!X291="Ja",1,0),"")</f>
        <v/>
      </c>
      <c r="Q286" s="1" t="str">
        <f>IF(AND(Programme_Grunddaten!$A291="Geprüft",Programme_Grunddaten!Y291&lt;&gt;""),IF(Programme_Grunddaten!Y291="Ja",1,0),"")</f>
        <v/>
      </c>
      <c r="R286" s="1" t="str">
        <f>IF(AND(Programme_Grunddaten!$A291="Geprüft",Programme_Grunddaten!Z291&lt;&gt;""),IF(Programme_Grunddaten!Z291="Ja",1,0),"")</f>
        <v/>
      </c>
      <c r="S286" s="1" t="str">
        <f>IF(AND(Programme_Grunddaten!$A291="Geprüft",Programme_Grunddaten!AA291&lt;&gt;""),IF(Programme_Grunddaten!AA291="monolithisch",1,0),"")</f>
        <v/>
      </c>
      <c r="T286" s="1" t="str">
        <f>IF(AND(Programme_Grunddaten!$A291="Geprüft",Programme_Grunddaten!AB291&lt;&gt;""),IF(Programme_Grunddaten!AB291="Ja",1,0),"")</f>
        <v/>
      </c>
      <c r="U286" s="1" t="str">
        <f>IF(AND(Programme_Grunddaten!$A291="Geprüft",Programme_Grunddaten!AC291&lt;&gt;""),IF(Programme_Grunddaten!AC291="Ja",1,0),"")</f>
        <v/>
      </c>
      <c r="V286" s="1" t="str">
        <f>IF(AND(Programme_Grunddaten!$A291="Geprüft",Programme_Grunddaten!AD291&lt;&gt;""),IF(Programme_Grunddaten!AD291="Ja",1,0),"")</f>
        <v/>
      </c>
      <c r="W286" s="1" t="str">
        <f>IF(AND(Programme_Grunddaten!$A291="Geprüft",Programme_Grunddaten!AE291&lt;&gt;""),IF(Programme_Grunddaten!AE291="Ja",1,0),"")</f>
        <v/>
      </c>
      <c r="X286" s="1" t="str">
        <f>IF(AND(Programme_Grunddaten!$A291="Geprüft",Programme_Grunddaten!AF291&lt;&gt;""),IF(Programme_Grunddaten!AF291="Ja",1,0),"")</f>
        <v/>
      </c>
      <c r="Y286" s="1" t="str">
        <f>IF(AND(Programme_Grunddaten!$A291="Geprüft",Programme_Grunddaten!AG291&lt;&gt;""),IF(Programme_Grunddaten!AG291="Ja",1,0),"")</f>
        <v/>
      </c>
      <c r="Z286" s="1" t="str">
        <f>IF(AND(Programme_Grunddaten!$A291="Geprüft",Programme_Grunddaten!AH291&lt;&gt;""),IF(Programme_Grunddaten!AH291="Ja",1,0),"")</f>
        <v/>
      </c>
      <c r="AA286" s="1" t="str">
        <f>IF(AND(Programme_Grunddaten!$A291="Geprüft",Programme_Grunddaten!AI291&lt;&gt;""),IF(Programme_Grunddaten!AI291="Ja",1,0),"")</f>
        <v/>
      </c>
      <c r="AB286" s="1" t="str">
        <f>IF(AND(Programme_Grunddaten!$A291="Geprüft",Programme_Grunddaten!AJ291&lt;&gt;""),IF(Programme_Grunddaten!AJ291="individuell programmierbar",1,0),"")</f>
        <v/>
      </c>
      <c r="AC286" s="1" t="str">
        <f>IF(AND(Programme_Grunddaten!$A291="Geprüft",Programme_Grunddaten!AK291&lt;&gt;""),IF(Programme_Grunddaten!AK291="Deutsch",0,IF(Programme_Grunddaten!AK291="Deutsch und Englisch",1,2)),"")</f>
        <v/>
      </c>
      <c r="AD286" s="1" t="str">
        <f>IF(AND(Programme_Grunddaten!$A291="Geprüft",Programme_Grunddaten!AL291&lt;&gt;""),IF(Programme_Grunddaten!AL291="Ja",1,0),"")</f>
        <v/>
      </c>
      <c r="AE286" s="1" t="str">
        <f>IF(AND(Programme_Grunddaten!$A291="Geprüft",Programme_Grunddaten!AM291&lt;&gt;""),IF(Programme_Grunddaten!AM291="Ja",1,0),"")</f>
        <v/>
      </c>
      <c r="AF286" s="1" t="str">
        <f>IF(AND(Programme_Grunddaten!$A291="Geprüft",Programme_Grunddaten!AN291&lt;&gt;""),IF(Programme_Grunddaten!AN291="Ja",1,0),"")</f>
        <v/>
      </c>
      <c r="AG286" s="1" t="str">
        <f>IF(AND(Programme_Grunddaten!$A291="Geprüft",Programme_Grunddaten!AO291&lt;&gt;""),IF(Programme_Grunddaten!AO291="Ja",1,0),"")</f>
        <v/>
      </c>
      <c r="AH286" s="1" t="str">
        <f>IF(AND(Programme_Grunddaten!$A291="Geprüft",Programme_Grunddaten!AP291&lt;&gt;""),IF(Programme_Grunddaten!AP291="Ja",1,0),"")</f>
        <v/>
      </c>
      <c r="AI286" s="1" t="str">
        <f>IF(AND(Programme_Grunddaten!$A291="Geprüft",Programme_Grunddaten!AQ291&lt;&gt;""),IF(Programme_Grunddaten!AQ291="Ja",1,0),"")</f>
        <v/>
      </c>
      <c r="AJ286" s="1" t="str">
        <f>IF(AND(Programme_Grunddaten!$A291="Geprüft",Programme_Grunddaten!AR291&lt;&gt;""),IF(Programme_Grunddaten!AR291="Ja",1,0),"")</f>
        <v/>
      </c>
      <c r="AK286" s="1" t="str">
        <f>IF(AND(Programme_Grunddaten!$A291="Geprüft",Programme_Grunddaten!AS291&lt;&gt;""),IF(Programme_Grunddaten!AS291="Ja",1,0),"")</f>
        <v/>
      </c>
      <c r="AL286" s="1" t="str">
        <f>IF(AND(Programme_Grunddaten!$A291="Geprüft",Programme_Grunddaten!AT291&lt;&gt;""),IF(Programme_Grunddaten!AT291="Ja",1,0),"")</f>
        <v/>
      </c>
      <c r="AM286" s="1" t="str">
        <f>IF(AND(Programme_Grunddaten!$A291="Geprüft",Programme_Grunddaten!AU291&lt;&gt;""),IF(Programme_Grunddaten!AU291="Ja",1,0),"")</f>
        <v/>
      </c>
      <c r="AN286" s="1" t="str">
        <f>IF(AND(Programme_Grunddaten!$A291="Geprüft",Programme_Grunddaten!AV291&lt;&gt;""),IF(Programme_Grunddaten!AV291="Ja",1,0),"")</f>
        <v/>
      </c>
    </row>
    <row r="287" spans="1:40" x14ac:dyDescent="0.3">
      <c r="A287" s="1" t="str">
        <f>IF(AND(Programme_Grunddaten!A292="Geprüft",Programme_Grunddaten!B292&lt;&gt;""),Programme_Grunddaten!B292,"")</f>
        <v/>
      </c>
      <c r="B287" s="1" t="str">
        <f>IF(AND(Programme_Grunddaten!$A292="Geprüft",Programme_Grunddaten!I292&lt;&gt;""),IF(Programme_Grunddaten!I292="Ja",1,0),"")</f>
        <v/>
      </c>
      <c r="C287" s="1" t="str">
        <f>IF(AND(Programme_Grunddaten!$A292="Geprüft",Programme_Grunddaten!J292&lt;&gt;""),IF(Programme_Grunddaten!J292="Ja",1,0),"")</f>
        <v/>
      </c>
      <c r="D287" s="1" t="str">
        <f>IF(AND(Programme_Grunddaten!$A292="Geprüft",Programme_Grunddaten!K292&lt;&gt;""),IF(Programme_Grunddaten!K292="Ja",1,0),"")</f>
        <v/>
      </c>
      <c r="E287" s="1" t="str">
        <f>IF(AND(Programme_Grunddaten!$A292="Geprüft",Programme_Grunddaten!L292&lt;&gt;""),IF(Programme_Grunddaten!L292="Abo / befristete Lizenz",1,0),"")</f>
        <v/>
      </c>
      <c r="F287" s="1" t="str">
        <f>IF(AND(Programme_Grunddaten!$A292="Geprüft",Programme_Grunddaten!M292&lt;&gt;""),IF(Programme_Grunddaten!M292="Ja",1,0),"")</f>
        <v/>
      </c>
      <c r="G287" s="1" t="str">
        <f>IF(AND(Programme_Grunddaten!$A292="Geprüft",Programme_Grunddaten!N292&lt;&gt;""),IF(Programme_Grunddaten!N292="Ja",1,0),"")</f>
        <v/>
      </c>
      <c r="H287" s="1" t="str">
        <f>IF(AND(Programme_Grunddaten!$A292="Geprüft",Programme_Grunddaten!O292&lt;&gt;""),IF(Programme_Grunddaten!O292="Deutschland",0,IF(Programme_Grunddaten!O292="EU",1,2)),"")</f>
        <v/>
      </c>
      <c r="I287" s="1" t="str">
        <f>IF(AND(Programme_Grunddaten!$A292="Geprüft",Programme_Grunddaten!P292&lt;&gt;""),IF(Programme_Grunddaten!P292="Ja",1,0),"")</f>
        <v/>
      </c>
      <c r="J287" s="1" t="str">
        <f>IF(AND(Programme_Grunddaten!$A292="Geprüft",Programme_Grunddaten!Q292&lt;&gt;""),IF(Programme_Grunddaten!Q292="geschlossenes System",1,0),"")</f>
        <v/>
      </c>
      <c r="K287" s="1" t="str">
        <f>IF(AND(Programme_Grunddaten!$A292="Geprüft",Programme_Grunddaten!R292&lt;&gt;""),IF(Programme_Grunddaten!R292="Ja",1,0),"")</f>
        <v/>
      </c>
      <c r="L287" s="1" t="str">
        <f>IF(AND(Programme_Grunddaten!$A292="Geprüft",Programme_Grunddaten!T292&lt;&gt;""),IF(Programme_Grunddaten!T292="Ja",1,0),"")</f>
        <v/>
      </c>
      <c r="M287" s="1" t="str">
        <f>IF(AND(Programme_Grunddaten!$A292="Geprüft",Programme_Grunddaten!U292&lt;&gt;""),IF(Programme_Grunddaten!U292="Ja",1,0),"")</f>
        <v/>
      </c>
      <c r="N287" s="1" t="str">
        <f>IF(AND(Programme_Grunddaten!$A292="Geprüft",Programme_Grunddaten!V292&lt;&gt;""),IF(Programme_Grunddaten!V292="Ja",1,0),"")</f>
        <v/>
      </c>
      <c r="O287" s="1" t="str">
        <f>IF(AND(Programme_Grunddaten!$A292="Geprüft",Programme_Grunddaten!W292&lt;&gt;""),IF(Programme_Grunddaten!W292="Ja",1,0),"")</f>
        <v/>
      </c>
      <c r="P287" s="1" t="str">
        <f>IF(AND(Programme_Grunddaten!$A292="Geprüft",Programme_Grunddaten!X292&lt;&gt;""),IF(Programme_Grunddaten!X292="Ja",1,0),"")</f>
        <v/>
      </c>
      <c r="Q287" s="1" t="str">
        <f>IF(AND(Programme_Grunddaten!$A292="Geprüft",Programme_Grunddaten!Y292&lt;&gt;""),IF(Programme_Grunddaten!Y292="Ja",1,0),"")</f>
        <v/>
      </c>
      <c r="R287" s="1" t="str">
        <f>IF(AND(Programme_Grunddaten!$A292="Geprüft",Programme_Grunddaten!Z292&lt;&gt;""),IF(Programme_Grunddaten!Z292="Ja",1,0),"")</f>
        <v/>
      </c>
      <c r="S287" s="1" t="str">
        <f>IF(AND(Programme_Grunddaten!$A292="Geprüft",Programme_Grunddaten!AA292&lt;&gt;""),IF(Programme_Grunddaten!AA292="monolithisch",1,0),"")</f>
        <v/>
      </c>
      <c r="T287" s="1" t="str">
        <f>IF(AND(Programme_Grunddaten!$A292="Geprüft",Programme_Grunddaten!AB292&lt;&gt;""),IF(Programme_Grunddaten!AB292="Ja",1,0),"")</f>
        <v/>
      </c>
      <c r="U287" s="1" t="str">
        <f>IF(AND(Programme_Grunddaten!$A292="Geprüft",Programme_Grunddaten!AC292&lt;&gt;""),IF(Programme_Grunddaten!AC292="Ja",1,0),"")</f>
        <v/>
      </c>
      <c r="V287" s="1" t="str">
        <f>IF(AND(Programme_Grunddaten!$A292="Geprüft",Programme_Grunddaten!AD292&lt;&gt;""),IF(Programme_Grunddaten!AD292="Ja",1,0),"")</f>
        <v/>
      </c>
      <c r="W287" s="1" t="str">
        <f>IF(AND(Programme_Grunddaten!$A292="Geprüft",Programme_Grunddaten!AE292&lt;&gt;""),IF(Programme_Grunddaten!AE292="Ja",1,0),"")</f>
        <v/>
      </c>
      <c r="X287" s="1" t="str">
        <f>IF(AND(Programme_Grunddaten!$A292="Geprüft",Programme_Grunddaten!AF292&lt;&gt;""),IF(Programme_Grunddaten!AF292="Ja",1,0),"")</f>
        <v/>
      </c>
      <c r="Y287" s="1" t="str">
        <f>IF(AND(Programme_Grunddaten!$A292="Geprüft",Programme_Grunddaten!AG292&lt;&gt;""),IF(Programme_Grunddaten!AG292="Ja",1,0),"")</f>
        <v/>
      </c>
      <c r="Z287" s="1" t="str">
        <f>IF(AND(Programme_Grunddaten!$A292="Geprüft",Programme_Grunddaten!AH292&lt;&gt;""),IF(Programme_Grunddaten!AH292="Ja",1,0),"")</f>
        <v/>
      </c>
      <c r="AA287" s="1" t="str">
        <f>IF(AND(Programme_Grunddaten!$A292="Geprüft",Programme_Grunddaten!AI292&lt;&gt;""),IF(Programme_Grunddaten!AI292="Ja",1,0),"")</f>
        <v/>
      </c>
      <c r="AB287" s="1" t="str">
        <f>IF(AND(Programme_Grunddaten!$A292="Geprüft",Programme_Grunddaten!AJ292&lt;&gt;""),IF(Programme_Grunddaten!AJ292="individuell programmierbar",1,0),"")</f>
        <v/>
      </c>
      <c r="AC287" s="1" t="str">
        <f>IF(AND(Programme_Grunddaten!$A292="Geprüft",Programme_Grunddaten!AK292&lt;&gt;""),IF(Programme_Grunddaten!AK292="Deutsch",0,IF(Programme_Grunddaten!AK292="Deutsch und Englisch",1,2)),"")</f>
        <v/>
      </c>
      <c r="AD287" s="1" t="str">
        <f>IF(AND(Programme_Grunddaten!$A292="Geprüft",Programme_Grunddaten!AL292&lt;&gt;""),IF(Programme_Grunddaten!AL292="Ja",1,0),"")</f>
        <v/>
      </c>
      <c r="AE287" s="1" t="str">
        <f>IF(AND(Programme_Grunddaten!$A292="Geprüft",Programme_Grunddaten!AM292&lt;&gt;""),IF(Programme_Grunddaten!AM292="Ja",1,0),"")</f>
        <v/>
      </c>
      <c r="AF287" s="1" t="str">
        <f>IF(AND(Programme_Grunddaten!$A292="Geprüft",Programme_Grunddaten!AN292&lt;&gt;""),IF(Programme_Grunddaten!AN292="Ja",1,0),"")</f>
        <v/>
      </c>
      <c r="AG287" s="1" t="str">
        <f>IF(AND(Programme_Grunddaten!$A292="Geprüft",Programme_Grunddaten!AO292&lt;&gt;""),IF(Programme_Grunddaten!AO292="Ja",1,0),"")</f>
        <v/>
      </c>
      <c r="AH287" s="1" t="str">
        <f>IF(AND(Programme_Grunddaten!$A292="Geprüft",Programme_Grunddaten!AP292&lt;&gt;""),IF(Programme_Grunddaten!AP292="Ja",1,0),"")</f>
        <v/>
      </c>
      <c r="AI287" s="1" t="str">
        <f>IF(AND(Programme_Grunddaten!$A292="Geprüft",Programme_Grunddaten!AQ292&lt;&gt;""),IF(Programme_Grunddaten!AQ292="Ja",1,0),"")</f>
        <v/>
      </c>
      <c r="AJ287" s="1" t="str">
        <f>IF(AND(Programme_Grunddaten!$A292="Geprüft",Programme_Grunddaten!AR292&lt;&gt;""),IF(Programme_Grunddaten!AR292="Ja",1,0),"")</f>
        <v/>
      </c>
      <c r="AK287" s="1" t="str">
        <f>IF(AND(Programme_Grunddaten!$A292="Geprüft",Programme_Grunddaten!AS292&lt;&gt;""),IF(Programme_Grunddaten!AS292="Ja",1,0),"")</f>
        <v/>
      </c>
      <c r="AL287" s="1" t="str">
        <f>IF(AND(Programme_Grunddaten!$A292="Geprüft",Programme_Grunddaten!AT292&lt;&gt;""),IF(Programme_Grunddaten!AT292="Ja",1,0),"")</f>
        <v/>
      </c>
      <c r="AM287" s="1" t="str">
        <f>IF(AND(Programme_Grunddaten!$A292="Geprüft",Programme_Grunddaten!AU292&lt;&gt;""),IF(Programme_Grunddaten!AU292="Ja",1,0),"")</f>
        <v/>
      </c>
      <c r="AN287" s="1" t="str">
        <f>IF(AND(Programme_Grunddaten!$A292="Geprüft",Programme_Grunddaten!AV292&lt;&gt;""),IF(Programme_Grunddaten!AV292="Ja",1,0),"")</f>
        <v/>
      </c>
    </row>
    <row r="288" spans="1:40" x14ac:dyDescent="0.3">
      <c r="A288" s="1" t="str">
        <f>IF(AND(Programme_Grunddaten!A293="Geprüft",Programme_Grunddaten!B293&lt;&gt;""),Programme_Grunddaten!B293,"")</f>
        <v/>
      </c>
      <c r="B288" s="1" t="str">
        <f>IF(AND(Programme_Grunddaten!$A293="Geprüft",Programme_Grunddaten!I293&lt;&gt;""),IF(Programme_Grunddaten!I293="Ja",1,0),"")</f>
        <v/>
      </c>
      <c r="C288" s="1" t="str">
        <f>IF(AND(Programme_Grunddaten!$A293="Geprüft",Programme_Grunddaten!J293&lt;&gt;""),IF(Programme_Grunddaten!J293="Ja",1,0),"")</f>
        <v/>
      </c>
      <c r="D288" s="1" t="str">
        <f>IF(AND(Programme_Grunddaten!$A293="Geprüft",Programme_Grunddaten!K293&lt;&gt;""),IF(Programme_Grunddaten!K293="Ja",1,0),"")</f>
        <v/>
      </c>
      <c r="E288" s="1" t="str">
        <f>IF(AND(Programme_Grunddaten!$A293="Geprüft",Programme_Grunddaten!L293&lt;&gt;""),IF(Programme_Grunddaten!L293="Abo / befristete Lizenz",1,0),"")</f>
        <v/>
      </c>
      <c r="F288" s="1" t="str">
        <f>IF(AND(Programme_Grunddaten!$A293="Geprüft",Programme_Grunddaten!M293&lt;&gt;""),IF(Programme_Grunddaten!M293="Ja",1,0),"")</f>
        <v/>
      </c>
      <c r="G288" s="1" t="str">
        <f>IF(AND(Programme_Grunddaten!$A293="Geprüft",Programme_Grunddaten!N293&lt;&gt;""),IF(Programme_Grunddaten!N293="Ja",1,0),"")</f>
        <v/>
      </c>
      <c r="H288" s="1" t="str">
        <f>IF(AND(Programme_Grunddaten!$A293="Geprüft",Programme_Grunddaten!O293&lt;&gt;""),IF(Programme_Grunddaten!O293="Deutschland",0,IF(Programme_Grunddaten!O293="EU",1,2)),"")</f>
        <v/>
      </c>
      <c r="I288" s="1" t="str">
        <f>IF(AND(Programme_Grunddaten!$A293="Geprüft",Programme_Grunddaten!P293&lt;&gt;""),IF(Programme_Grunddaten!P293="Ja",1,0),"")</f>
        <v/>
      </c>
      <c r="J288" s="1" t="str">
        <f>IF(AND(Programme_Grunddaten!$A293="Geprüft",Programme_Grunddaten!Q293&lt;&gt;""),IF(Programme_Grunddaten!Q293="geschlossenes System",1,0),"")</f>
        <v/>
      </c>
      <c r="K288" s="1" t="str">
        <f>IF(AND(Programme_Grunddaten!$A293="Geprüft",Programme_Grunddaten!R293&lt;&gt;""),IF(Programme_Grunddaten!R293="Ja",1,0),"")</f>
        <v/>
      </c>
      <c r="L288" s="1" t="str">
        <f>IF(AND(Programme_Grunddaten!$A293="Geprüft",Programme_Grunddaten!T293&lt;&gt;""),IF(Programme_Grunddaten!T293="Ja",1,0),"")</f>
        <v/>
      </c>
      <c r="M288" s="1" t="str">
        <f>IF(AND(Programme_Grunddaten!$A293="Geprüft",Programme_Grunddaten!U293&lt;&gt;""),IF(Programme_Grunddaten!U293="Ja",1,0),"")</f>
        <v/>
      </c>
      <c r="N288" s="1" t="str">
        <f>IF(AND(Programme_Grunddaten!$A293="Geprüft",Programme_Grunddaten!V293&lt;&gt;""),IF(Programme_Grunddaten!V293="Ja",1,0),"")</f>
        <v/>
      </c>
      <c r="O288" s="1" t="str">
        <f>IF(AND(Programme_Grunddaten!$A293="Geprüft",Programme_Grunddaten!W293&lt;&gt;""),IF(Programme_Grunddaten!W293="Ja",1,0),"")</f>
        <v/>
      </c>
      <c r="P288" s="1" t="str">
        <f>IF(AND(Programme_Grunddaten!$A293="Geprüft",Programme_Grunddaten!X293&lt;&gt;""),IF(Programme_Grunddaten!X293="Ja",1,0),"")</f>
        <v/>
      </c>
      <c r="Q288" s="1" t="str">
        <f>IF(AND(Programme_Grunddaten!$A293="Geprüft",Programme_Grunddaten!Y293&lt;&gt;""),IF(Programme_Grunddaten!Y293="Ja",1,0),"")</f>
        <v/>
      </c>
      <c r="R288" s="1" t="str">
        <f>IF(AND(Programme_Grunddaten!$A293="Geprüft",Programme_Grunddaten!Z293&lt;&gt;""),IF(Programme_Grunddaten!Z293="Ja",1,0),"")</f>
        <v/>
      </c>
      <c r="S288" s="1" t="str">
        <f>IF(AND(Programme_Grunddaten!$A293="Geprüft",Programme_Grunddaten!AA293&lt;&gt;""),IF(Programme_Grunddaten!AA293="monolithisch",1,0),"")</f>
        <v/>
      </c>
      <c r="T288" s="1" t="str">
        <f>IF(AND(Programme_Grunddaten!$A293="Geprüft",Programme_Grunddaten!AB293&lt;&gt;""),IF(Programme_Grunddaten!AB293="Ja",1,0),"")</f>
        <v/>
      </c>
      <c r="U288" s="1" t="str">
        <f>IF(AND(Programme_Grunddaten!$A293="Geprüft",Programme_Grunddaten!AC293&lt;&gt;""),IF(Programme_Grunddaten!AC293="Ja",1,0),"")</f>
        <v/>
      </c>
      <c r="V288" s="1" t="str">
        <f>IF(AND(Programme_Grunddaten!$A293="Geprüft",Programme_Grunddaten!AD293&lt;&gt;""),IF(Programme_Grunddaten!AD293="Ja",1,0),"")</f>
        <v/>
      </c>
      <c r="W288" s="1" t="str">
        <f>IF(AND(Programme_Grunddaten!$A293="Geprüft",Programme_Grunddaten!AE293&lt;&gt;""),IF(Programme_Grunddaten!AE293="Ja",1,0),"")</f>
        <v/>
      </c>
      <c r="X288" s="1" t="str">
        <f>IF(AND(Programme_Grunddaten!$A293="Geprüft",Programme_Grunddaten!AF293&lt;&gt;""),IF(Programme_Grunddaten!AF293="Ja",1,0),"")</f>
        <v/>
      </c>
      <c r="Y288" s="1" t="str">
        <f>IF(AND(Programme_Grunddaten!$A293="Geprüft",Programme_Grunddaten!AG293&lt;&gt;""),IF(Programme_Grunddaten!AG293="Ja",1,0),"")</f>
        <v/>
      </c>
      <c r="Z288" s="1" t="str">
        <f>IF(AND(Programme_Grunddaten!$A293="Geprüft",Programme_Grunddaten!AH293&lt;&gt;""),IF(Programme_Grunddaten!AH293="Ja",1,0),"")</f>
        <v/>
      </c>
      <c r="AA288" s="1" t="str">
        <f>IF(AND(Programme_Grunddaten!$A293="Geprüft",Programme_Grunddaten!AI293&lt;&gt;""),IF(Programme_Grunddaten!AI293="Ja",1,0),"")</f>
        <v/>
      </c>
      <c r="AB288" s="1" t="str">
        <f>IF(AND(Programme_Grunddaten!$A293="Geprüft",Programme_Grunddaten!AJ293&lt;&gt;""),IF(Programme_Grunddaten!AJ293="individuell programmierbar",1,0),"")</f>
        <v/>
      </c>
      <c r="AC288" s="1" t="str">
        <f>IF(AND(Programme_Grunddaten!$A293="Geprüft",Programme_Grunddaten!AK293&lt;&gt;""),IF(Programme_Grunddaten!AK293="Deutsch",0,IF(Programme_Grunddaten!AK293="Deutsch und Englisch",1,2)),"")</f>
        <v/>
      </c>
      <c r="AD288" s="1" t="str">
        <f>IF(AND(Programme_Grunddaten!$A293="Geprüft",Programme_Grunddaten!AL293&lt;&gt;""),IF(Programme_Grunddaten!AL293="Ja",1,0),"")</f>
        <v/>
      </c>
      <c r="AE288" s="1" t="str">
        <f>IF(AND(Programme_Grunddaten!$A293="Geprüft",Programme_Grunddaten!AM293&lt;&gt;""),IF(Programme_Grunddaten!AM293="Ja",1,0),"")</f>
        <v/>
      </c>
      <c r="AF288" s="1" t="str">
        <f>IF(AND(Programme_Grunddaten!$A293="Geprüft",Programme_Grunddaten!AN293&lt;&gt;""),IF(Programme_Grunddaten!AN293="Ja",1,0),"")</f>
        <v/>
      </c>
      <c r="AG288" s="1" t="str">
        <f>IF(AND(Programme_Grunddaten!$A293="Geprüft",Programme_Grunddaten!AO293&lt;&gt;""),IF(Programme_Grunddaten!AO293="Ja",1,0),"")</f>
        <v/>
      </c>
      <c r="AH288" s="1" t="str">
        <f>IF(AND(Programme_Grunddaten!$A293="Geprüft",Programme_Grunddaten!AP293&lt;&gt;""),IF(Programme_Grunddaten!AP293="Ja",1,0),"")</f>
        <v/>
      </c>
      <c r="AI288" s="1" t="str">
        <f>IF(AND(Programme_Grunddaten!$A293="Geprüft",Programme_Grunddaten!AQ293&lt;&gt;""),IF(Programme_Grunddaten!AQ293="Ja",1,0),"")</f>
        <v/>
      </c>
      <c r="AJ288" s="1" t="str">
        <f>IF(AND(Programme_Grunddaten!$A293="Geprüft",Programme_Grunddaten!AR293&lt;&gt;""),IF(Programme_Grunddaten!AR293="Ja",1,0),"")</f>
        <v/>
      </c>
      <c r="AK288" s="1" t="str">
        <f>IF(AND(Programme_Grunddaten!$A293="Geprüft",Programme_Grunddaten!AS293&lt;&gt;""),IF(Programme_Grunddaten!AS293="Ja",1,0),"")</f>
        <v/>
      </c>
      <c r="AL288" s="1" t="str">
        <f>IF(AND(Programme_Grunddaten!$A293="Geprüft",Programme_Grunddaten!AT293&lt;&gt;""),IF(Programme_Grunddaten!AT293="Ja",1,0),"")</f>
        <v/>
      </c>
      <c r="AM288" s="1" t="str">
        <f>IF(AND(Programme_Grunddaten!$A293="Geprüft",Programme_Grunddaten!AU293&lt;&gt;""),IF(Programme_Grunddaten!AU293="Ja",1,0),"")</f>
        <v/>
      </c>
      <c r="AN288" s="1" t="str">
        <f>IF(AND(Programme_Grunddaten!$A293="Geprüft",Programme_Grunddaten!AV293&lt;&gt;""),IF(Programme_Grunddaten!AV293="Ja",1,0),"")</f>
        <v/>
      </c>
    </row>
    <row r="289" spans="1:40" x14ac:dyDescent="0.3">
      <c r="A289" s="1" t="str">
        <f>IF(AND(Programme_Grunddaten!A294="Geprüft",Programme_Grunddaten!B294&lt;&gt;""),Programme_Grunddaten!B294,"")</f>
        <v/>
      </c>
      <c r="B289" s="1" t="str">
        <f>IF(AND(Programme_Grunddaten!$A294="Geprüft",Programme_Grunddaten!I294&lt;&gt;""),IF(Programme_Grunddaten!I294="Ja",1,0),"")</f>
        <v/>
      </c>
      <c r="C289" s="1" t="str">
        <f>IF(AND(Programme_Grunddaten!$A294="Geprüft",Programme_Grunddaten!J294&lt;&gt;""),IF(Programme_Grunddaten!J294="Ja",1,0),"")</f>
        <v/>
      </c>
      <c r="D289" s="1" t="str">
        <f>IF(AND(Programme_Grunddaten!$A294="Geprüft",Programme_Grunddaten!K294&lt;&gt;""),IF(Programme_Grunddaten!K294="Ja",1,0),"")</f>
        <v/>
      </c>
      <c r="E289" s="1" t="str">
        <f>IF(AND(Programme_Grunddaten!$A294="Geprüft",Programme_Grunddaten!L294&lt;&gt;""),IF(Programme_Grunddaten!L294="Abo / befristete Lizenz",1,0),"")</f>
        <v/>
      </c>
      <c r="F289" s="1" t="str">
        <f>IF(AND(Programme_Grunddaten!$A294="Geprüft",Programme_Grunddaten!M294&lt;&gt;""),IF(Programme_Grunddaten!M294="Ja",1,0),"")</f>
        <v/>
      </c>
      <c r="G289" s="1" t="str">
        <f>IF(AND(Programme_Grunddaten!$A294="Geprüft",Programme_Grunddaten!N294&lt;&gt;""),IF(Programme_Grunddaten!N294="Ja",1,0),"")</f>
        <v/>
      </c>
      <c r="H289" s="1" t="str">
        <f>IF(AND(Programme_Grunddaten!$A294="Geprüft",Programme_Grunddaten!O294&lt;&gt;""),IF(Programme_Grunddaten!O294="Deutschland",0,IF(Programme_Grunddaten!O294="EU",1,2)),"")</f>
        <v/>
      </c>
      <c r="I289" s="1" t="str">
        <f>IF(AND(Programme_Grunddaten!$A294="Geprüft",Programme_Grunddaten!P294&lt;&gt;""),IF(Programme_Grunddaten!P294="Ja",1,0),"")</f>
        <v/>
      </c>
      <c r="J289" s="1" t="str">
        <f>IF(AND(Programme_Grunddaten!$A294="Geprüft",Programme_Grunddaten!Q294&lt;&gt;""),IF(Programme_Grunddaten!Q294="geschlossenes System",1,0),"")</f>
        <v/>
      </c>
      <c r="K289" s="1" t="str">
        <f>IF(AND(Programme_Grunddaten!$A294="Geprüft",Programme_Grunddaten!R294&lt;&gt;""),IF(Programme_Grunddaten!R294="Ja",1,0),"")</f>
        <v/>
      </c>
      <c r="L289" s="1" t="str">
        <f>IF(AND(Programme_Grunddaten!$A294="Geprüft",Programme_Grunddaten!T294&lt;&gt;""),IF(Programme_Grunddaten!T294="Ja",1,0),"")</f>
        <v/>
      </c>
      <c r="M289" s="1" t="str">
        <f>IF(AND(Programme_Grunddaten!$A294="Geprüft",Programme_Grunddaten!U294&lt;&gt;""),IF(Programme_Grunddaten!U294="Ja",1,0),"")</f>
        <v/>
      </c>
      <c r="N289" s="1" t="str">
        <f>IF(AND(Programme_Grunddaten!$A294="Geprüft",Programme_Grunddaten!V294&lt;&gt;""),IF(Programme_Grunddaten!V294="Ja",1,0),"")</f>
        <v/>
      </c>
      <c r="O289" s="1" t="str">
        <f>IF(AND(Programme_Grunddaten!$A294="Geprüft",Programme_Grunddaten!W294&lt;&gt;""),IF(Programme_Grunddaten!W294="Ja",1,0),"")</f>
        <v/>
      </c>
      <c r="P289" s="1" t="str">
        <f>IF(AND(Programme_Grunddaten!$A294="Geprüft",Programme_Grunddaten!X294&lt;&gt;""),IF(Programme_Grunddaten!X294="Ja",1,0),"")</f>
        <v/>
      </c>
      <c r="Q289" s="1" t="str">
        <f>IF(AND(Programme_Grunddaten!$A294="Geprüft",Programme_Grunddaten!Y294&lt;&gt;""),IF(Programme_Grunddaten!Y294="Ja",1,0),"")</f>
        <v/>
      </c>
      <c r="R289" s="1" t="str">
        <f>IF(AND(Programme_Grunddaten!$A294="Geprüft",Programme_Grunddaten!Z294&lt;&gt;""),IF(Programme_Grunddaten!Z294="Ja",1,0),"")</f>
        <v/>
      </c>
      <c r="S289" s="1" t="str">
        <f>IF(AND(Programme_Grunddaten!$A294="Geprüft",Programme_Grunddaten!AA294&lt;&gt;""),IF(Programme_Grunddaten!AA294="monolithisch",1,0),"")</f>
        <v/>
      </c>
      <c r="T289" s="1" t="str">
        <f>IF(AND(Programme_Grunddaten!$A294="Geprüft",Programme_Grunddaten!AB294&lt;&gt;""),IF(Programme_Grunddaten!AB294="Ja",1,0),"")</f>
        <v/>
      </c>
      <c r="U289" s="1" t="str">
        <f>IF(AND(Programme_Grunddaten!$A294="Geprüft",Programme_Grunddaten!AC294&lt;&gt;""),IF(Programme_Grunddaten!AC294="Ja",1,0),"")</f>
        <v/>
      </c>
      <c r="V289" s="1" t="str">
        <f>IF(AND(Programme_Grunddaten!$A294="Geprüft",Programme_Grunddaten!AD294&lt;&gt;""),IF(Programme_Grunddaten!AD294="Ja",1,0),"")</f>
        <v/>
      </c>
      <c r="W289" s="1" t="str">
        <f>IF(AND(Programme_Grunddaten!$A294="Geprüft",Programme_Grunddaten!AE294&lt;&gt;""),IF(Programme_Grunddaten!AE294="Ja",1,0),"")</f>
        <v/>
      </c>
      <c r="X289" s="1" t="str">
        <f>IF(AND(Programme_Grunddaten!$A294="Geprüft",Programme_Grunddaten!AF294&lt;&gt;""),IF(Programme_Grunddaten!AF294="Ja",1,0),"")</f>
        <v/>
      </c>
      <c r="Y289" s="1" t="str">
        <f>IF(AND(Programme_Grunddaten!$A294="Geprüft",Programme_Grunddaten!AG294&lt;&gt;""),IF(Programme_Grunddaten!AG294="Ja",1,0),"")</f>
        <v/>
      </c>
      <c r="Z289" s="1" t="str">
        <f>IF(AND(Programme_Grunddaten!$A294="Geprüft",Programme_Grunddaten!AH294&lt;&gt;""),IF(Programme_Grunddaten!AH294="Ja",1,0),"")</f>
        <v/>
      </c>
      <c r="AA289" s="1" t="str">
        <f>IF(AND(Programme_Grunddaten!$A294="Geprüft",Programme_Grunddaten!AI294&lt;&gt;""),IF(Programme_Grunddaten!AI294="Ja",1,0),"")</f>
        <v/>
      </c>
      <c r="AB289" s="1" t="str">
        <f>IF(AND(Programme_Grunddaten!$A294="Geprüft",Programme_Grunddaten!AJ294&lt;&gt;""),IF(Programme_Grunddaten!AJ294="individuell programmierbar",1,0),"")</f>
        <v/>
      </c>
      <c r="AC289" s="1" t="str">
        <f>IF(AND(Programme_Grunddaten!$A294="Geprüft",Programme_Grunddaten!AK294&lt;&gt;""),IF(Programme_Grunddaten!AK294="Deutsch",0,IF(Programme_Grunddaten!AK294="Deutsch und Englisch",1,2)),"")</f>
        <v/>
      </c>
      <c r="AD289" s="1" t="str">
        <f>IF(AND(Programme_Grunddaten!$A294="Geprüft",Programme_Grunddaten!AL294&lt;&gt;""),IF(Programme_Grunddaten!AL294="Ja",1,0),"")</f>
        <v/>
      </c>
      <c r="AE289" s="1" t="str">
        <f>IF(AND(Programme_Grunddaten!$A294="Geprüft",Programme_Grunddaten!AM294&lt;&gt;""),IF(Programme_Grunddaten!AM294="Ja",1,0),"")</f>
        <v/>
      </c>
      <c r="AF289" s="1" t="str">
        <f>IF(AND(Programme_Grunddaten!$A294="Geprüft",Programme_Grunddaten!AN294&lt;&gt;""),IF(Programme_Grunddaten!AN294="Ja",1,0),"")</f>
        <v/>
      </c>
      <c r="AG289" s="1" t="str">
        <f>IF(AND(Programme_Grunddaten!$A294="Geprüft",Programme_Grunddaten!AO294&lt;&gt;""),IF(Programme_Grunddaten!AO294="Ja",1,0),"")</f>
        <v/>
      </c>
      <c r="AH289" s="1" t="str">
        <f>IF(AND(Programme_Grunddaten!$A294="Geprüft",Programme_Grunddaten!AP294&lt;&gt;""),IF(Programme_Grunddaten!AP294="Ja",1,0),"")</f>
        <v/>
      </c>
      <c r="AI289" s="1" t="str">
        <f>IF(AND(Programme_Grunddaten!$A294="Geprüft",Programme_Grunddaten!AQ294&lt;&gt;""),IF(Programme_Grunddaten!AQ294="Ja",1,0),"")</f>
        <v/>
      </c>
      <c r="AJ289" s="1" t="str">
        <f>IF(AND(Programme_Grunddaten!$A294="Geprüft",Programme_Grunddaten!AR294&lt;&gt;""),IF(Programme_Grunddaten!AR294="Ja",1,0),"")</f>
        <v/>
      </c>
      <c r="AK289" s="1" t="str">
        <f>IF(AND(Programme_Grunddaten!$A294="Geprüft",Programme_Grunddaten!AS294&lt;&gt;""),IF(Programme_Grunddaten!AS294="Ja",1,0),"")</f>
        <v/>
      </c>
      <c r="AL289" s="1" t="str">
        <f>IF(AND(Programme_Grunddaten!$A294="Geprüft",Programme_Grunddaten!AT294&lt;&gt;""),IF(Programme_Grunddaten!AT294="Ja",1,0),"")</f>
        <v/>
      </c>
      <c r="AM289" s="1" t="str">
        <f>IF(AND(Programme_Grunddaten!$A294="Geprüft",Programme_Grunddaten!AU294&lt;&gt;""),IF(Programme_Grunddaten!AU294="Ja",1,0),"")</f>
        <v/>
      </c>
      <c r="AN289" s="1" t="str">
        <f>IF(AND(Programme_Grunddaten!$A294="Geprüft",Programme_Grunddaten!AV294&lt;&gt;""),IF(Programme_Grunddaten!AV294="Ja",1,0),"")</f>
        <v/>
      </c>
    </row>
    <row r="290" spans="1:40" x14ac:dyDescent="0.3">
      <c r="A290" s="1" t="str">
        <f>IF(AND(Programme_Grunddaten!A295="Geprüft",Programme_Grunddaten!B295&lt;&gt;""),Programme_Grunddaten!B295,"")</f>
        <v/>
      </c>
      <c r="B290" s="1" t="str">
        <f>IF(AND(Programme_Grunddaten!$A295="Geprüft",Programme_Grunddaten!I295&lt;&gt;""),IF(Programme_Grunddaten!I295="Ja",1,0),"")</f>
        <v/>
      </c>
      <c r="C290" s="1" t="str">
        <f>IF(AND(Programme_Grunddaten!$A295="Geprüft",Programme_Grunddaten!J295&lt;&gt;""),IF(Programme_Grunddaten!J295="Ja",1,0),"")</f>
        <v/>
      </c>
      <c r="D290" s="1" t="str">
        <f>IF(AND(Programme_Grunddaten!$A295="Geprüft",Programme_Grunddaten!K295&lt;&gt;""),IF(Programme_Grunddaten!K295="Ja",1,0),"")</f>
        <v/>
      </c>
      <c r="E290" s="1" t="str">
        <f>IF(AND(Programme_Grunddaten!$A295="Geprüft",Programme_Grunddaten!L295&lt;&gt;""),IF(Programme_Grunddaten!L295="Abo / befristete Lizenz",1,0),"")</f>
        <v/>
      </c>
      <c r="F290" s="1" t="str">
        <f>IF(AND(Programme_Grunddaten!$A295="Geprüft",Programme_Grunddaten!M295&lt;&gt;""),IF(Programme_Grunddaten!M295="Ja",1,0),"")</f>
        <v/>
      </c>
      <c r="G290" s="1" t="str">
        <f>IF(AND(Programme_Grunddaten!$A295="Geprüft",Programme_Grunddaten!N295&lt;&gt;""),IF(Programme_Grunddaten!N295="Ja",1,0),"")</f>
        <v/>
      </c>
      <c r="H290" s="1" t="str">
        <f>IF(AND(Programme_Grunddaten!$A295="Geprüft",Programme_Grunddaten!O295&lt;&gt;""),IF(Programme_Grunddaten!O295="Deutschland",0,IF(Programme_Grunddaten!O295="EU",1,2)),"")</f>
        <v/>
      </c>
      <c r="I290" s="1" t="str">
        <f>IF(AND(Programme_Grunddaten!$A295="Geprüft",Programme_Grunddaten!P295&lt;&gt;""),IF(Programme_Grunddaten!P295="Ja",1,0),"")</f>
        <v/>
      </c>
      <c r="J290" s="1" t="str">
        <f>IF(AND(Programme_Grunddaten!$A295="Geprüft",Programme_Grunddaten!Q295&lt;&gt;""),IF(Programme_Grunddaten!Q295="geschlossenes System",1,0),"")</f>
        <v/>
      </c>
      <c r="K290" s="1" t="str">
        <f>IF(AND(Programme_Grunddaten!$A295="Geprüft",Programme_Grunddaten!R295&lt;&gt;""),IF(Programme_Grunddaten!R295="Ja",1,0),"")</f>
        <v/>
      </c>
      <c r="L290" s="1" t="str">
        <f>IF(AND(Programme_Grunddaten!$A295="Geprüft",Programme_Grunddaten!T295&lt;&gt;""),IF(Programme_Grunddaten!T295="Ja",1,0),"")</f>
        <v/>
      </c>
      <c r="M290" s="1" t="str">
        <f>IF(AND(Programme_Grunddaten!$A295="Geprüft",Programme_Grunddaten!U295&lt;&gt;""),IF(Programme_Grunddaten!U295="Ja",1,0),"")</f>
        <v/>
      </c>
      <c r="N290" s="1" t="str">
        <f>IF(AND(Programme_Grunddaten!$A295="Geprüft",Programme_Grunddaten!V295&lt;&gt;""),IF(Programme_Grunddaten!V295="Ja",1,0),"")</f>
        <v/>
      </c>
      <c r="O290" s="1" t="str">
        <f>IF(AND(Programme_Grunddaten!$A295="Geprüft",Programme_Grunddaten!W295&lt;&gt;""),IF(Programme_Grunddaten!W295="Ja",1,0),"")</f>
        <v/>
      </c>
      <c r="P290" s="1" t="str">
        <f>IF(AND(Programme_Grunddaten!$A295="Geprüft",Programme_Grunddaten!X295&lt;&gt;""),IF(Programme_Grunddaten!X295="Ja",1,0),"")</f>
        <v/>
      </c>
      <c r="Q290" s="1" t="str">
        <f>IF(AND(Programme_Grunddaten!$A295="Geprüft",Programme_Grunddaten!Y295&lt;&gt;""),IF(Programme_Grunddaten!Y295="Ja",1,0),"")</f>
        <v/>
      </c>
      <c r="R290" s="1" t="str">
        <f>IF(AND(Programme_Grunddaten!$A295="Geprüft",Programme_Grunddaten!Z295&lt;&gt;""),IF(Programme_Grunddaten!Z295="Ja",1,0),"")</f>
        <v/>
      </c>
      <c r="S290" s="1" t="str">
        <f>IF(AND(Programme_Grunddaten!$A295="Geprüft",Programme_Grunddaten!AA295&lt;&gt;""),IF(Programme_Grunddaten!AA295="monolithisch",1,0),"")</f>
        <v/>
      </c>
      <c r="T290" s="1" t="str">
        <f>IF(AND(Programme_Grunddaten!$A295="Geprüft",Programme_Grunddaten!AB295&lt;&gt;""),IF(Programme_Grunddaten!AB295="Ja",1,0),"")</f>
        <v/>
      </c>
      <c r="U290" s="1" t="str">
        <f>IF(AND(Programme_Grunddaten!$A295="Geprüft",Programme_Grunddaten!AC295&lt;&gt;""),IF(Programme_Grunddaten!AC295="Ja",1,0),"")</f>
        <v/>
      </c>
      <c r="V290" s="1" t="str">
        <f>IF(AND(Programme_Grunddaten!$A295="Geprüft",Programme_Grunddaten!AD295&lt;&gt;""),IF(Programme_Grunddaten!AD295="Ja",1,0),"")</f>
        <v/>
      </c>
      <c r="W290" s="1" t="str">
        <f>IF(AND(Programme_Grunddaten!$A295="Geprüft",Programme_Grunddaten!AE295&lt;&gt;""),IF(Programme_Grunddaten!AE295="Ja",1,0),"")</f>
        <v/>
      </c>
      <c r="X290" s="1" t="str">
        <f>IF(AND(Programme_Grunddaten!$A295="Geprüft",Programme_Grunddaten!AF295&lt;&gt;""),IF(Programme_Grunddaten!AF295="Ja",1,0),"")</f>
        <v/>
      </c>
      <c r="Y290" s="1" t="str">
        <f>IF(AND(Programme_Grunddaten!$A295="Geprüft",Programme_Grunddaten!AG295&lt;&gt;""),IF(Programme_Grunddaten!AG295="Ja",1,0),"")</f>
        <v/>
      </c>
      <c r="Z290" s="1" t="str">
        <f>IF(AND(Programme_Grunddaten!$A295="Geprüft",Programme_Grunddaten!AH295&lt;&gt;""),IF(Programme_Grunddaten!AH295="Ja",1,0),"")</f>
        <v/>
      </c>
      <c r="AA290" s="1" t="str">
        <f>IF(AND(Programme_Grunddaten!$A295="Geprüft",Programme_Grunddaten!AI295&lt;&gt;""),IF(Programme_Grunddaten!AI295="Ja",1,0),"")</f>
        <v/>
      </c>
      <c r="AB290" s="1" t="str">
        <f>IF(AND(Programme_Grunddaten!$A295="Geprüft",Programme_Grunddaten!AJ295&lt;&gt;""),IF(Programme_Grunddaten!AJ295="individuell programmierbar",1,0),"")</f>
        <v/>
      </c>
      <c r="AC290" s="1" t="str">
        <f>IF(AND(Programme_Grunddaten!$A295="Geprüft",Programme_Grunddaten!AK295&lt;&gt;""),IF(Programme_Grunddaten!AK295="Deutsch",0,IF(Programme_Grunddaten!AK295="Deutsch und Englisch",1,2)),"")</f>
        <v/>
      </c>
      <c r="AD290" s="1" t="str">
        <f>IF(AND(Programme_Grunddaten!$A295="Geprüft",Programme_Grunddaten!AL295&lt;&gt;""),IF(Programme_Grunddaten!AL295="Ja",1,0),"")</f>
        <v/>
      </c>
      <c r="AE290" s="1" t="str">
        <f>IF(AND(Programme_Grunddaten!$A295="Geprüft",Programme_Grunddaten!AM295&lt;&gt;""),IF(Programme_Grunddaten!AM295="Ja",1,0),"")</f>
        <v/>
      </c>
      <c r="AF290" s="1" t="str">
        <f>IF(AND(Programme_Grunddaten!$A295="Geprüft",Programme_Grunddaten!AN295&lt;&gt;""),IF(Programme_Grunddaten!AN295="Ja",1,0),"")</f>
        <v/>
      </c>
      <c r="AG290" s="1" t="str">
        <f>IF(AND(Programme_Grunddaten!$A295="Geprüft",Programme_Grunddaten!AO295&lt;&gt;""),IF(Programme_Grunddaten!AO295="Ja",1,0),"")</f>
        <v/>
      </c>
      <c r="AH290" s="1" t="str">
        <f>IF(AND(Programme_Grunddaten!$A295="Geprüft",Programme_Grunddaten!AP295&lt;&gt;""),IF(Programme_Grunddaten!AP295="Ja",1,0),"")</f>
        <v/>
      </c>
      <c r="AI290" s="1" t="str">
        <f>IF(AND(Programme_Grunddaten!$A295="Geprüft",Programme_Grunddaten!AQ295&lt;&gt;""),IF(Programme_Grunddaten!AQ295="Ja",1,0),"")</f>
        <v/>
      </c>
      <c r="AJ290" s="1" t="str">
        <f>IF(AND(Programme_Grunddaten!$A295="Geprüft",Programme_Grunddaten!AR295&lt;&gt;""),IF(Programme_Grunddaten!AR295="Ja",1,0),"")</f>
        <v/>
      </c>
      <c r="AK290" s="1" t="str">
        <f>IF(AND(Programme_Grunddaten!$A295="Geprüft",Programme_Grunddaten!AS295&lt;&gt;""),IF(Programme_Grunddaten!AS295="Ja",1,0),"")</f>
        <v/>
      </c>
      <c r="AL290" s="1" t="str">
        <f>IF(AND(Programme_Grunddaten!$A295="Geprüft",Programme_Grunddaten!AT295&lt;&gt;""),IF(Programme_Grunddaten!AT295="Ja",1,0),"")</f>
        <v/>
      </c>
      <c r="AM290" s="1" t="str">
        <f>IF(AND(Programme_Grunddaten!$A295="Geprüft",Programme_Grunddaten!AU295&lt;&gt;""),IF(Programme_Grunddaten!AU295="Ja",1,0),"")</f>
        <v/>
      </c>
      <c r="AN290" s="1" t="str">
        <f>IF(AND(Programme_Grunddaten!$A295="Geprüft",Programme_Grunddaten!AV295&lt;&gt;""),IF(Programme_Grunddaten!AV295="Ja",1,0),"")</f>
        <v/>
      </c>
    </row>
    <row r="291" spans="1:40" x14ac:dyDescent="0.3">
      <c r="A291" s="1" t="str">
        <f>IF(AND(Programme_Grunddaten!A296="Geprüft",Programme_Grunddaten!B296&lt;&gt;""),Programme_Grunddaten!B296,"")</f>
        <v/>
      </c>
      <c r="B291" s="1" t="str">
        <f>IF(AND(Programme_Grunddaten!$A296="Geprüft",Programme_Grunddaten!I296&lt;&gt;""),IF(Programme_Grunddaten!I296="Ja",1,0),"")</f>
        <v/>
      </c>
      <c r="C291" s="1" t="str">
        <f>IF(AND(Programme_Grunddaten!$A296="Geprüft",Programme_Grunddaten!J296&lt;&gt;""),IF(Programme_Grunddaten!J296="Ja",1,0),"")</f>
        <v/>
      </c>
      <c r="D291" s="1" t="str">
        <f>IF(AND(Programme_Grunddaten!$A296="Geprüft",Programme_Grunddaten!K296&lt;&gt;""),IF(Programme_Grunddaten!K296="Ja",1,0),"")</f>
        <v/>
      </c>
      <c r="E291" s="1" t="str">
        <f>IF(AND(Programme_Grunddaten!$A296="Geprüft",Programme_Grunddaten!L296&lt;&gt;""),IF(Programme_Grunddaten!L296="Abo / befristete Lizenz",1,0),"")</f>
        <v/>
      </c>
      <c r="F291" s="1" t="str">
        <f>IF(AND(Programme_Grunddaten!$A296="Geprüft",Programme_Grunddaten!M296&lt;&gt;""),IF(Programme_Grunddaten!M296="Ja",1,0),"")</f>
        <v/>
      </c>
      <c r="G291" s="1" t="str">
        <f>IF(AND(Programme_Grunddaten!$A296="Geprüft",Programme_Grunddaten!N296&lt;&gt;""),IF(Programme_Grunddaten!N296="Ja",1,0),"")</f>
        <v/>
      </c>
      <c r="H291" s="1" t="str">
        <f>IF(AND(Programme_Grunddaten!$A296="Geprüft",Programme_Grunddaten!O296&lt;&gt;""),IF(Programme_Grunddaten!O296="Deutschland",0,IF(Programme_Grunddaten!O296="EU",1,2)),"")</f>
        <v/>
      </c>
      <c r="I291" s="1" t="str">
        <f>IF(AND(Programme_Grunddaten!$A296="Geprüft",Programme_Grunddaten!P296&lt;&gt;""),IF(Programme_Grunddaten!P296="Ja",1,0),"")</f>
        <v/>
      </c>
      <c r="J291" s="1" t="str">
        <f>IF(AND(Programme_Grunddaten!$A296="Geprüft",Programme_Grunddaten!Q296&lt;&gt;""),IF(Programme_Grunddaten!Q296="geschlossenes System",1,0),"")</f>
        <v/>
      </c>
      <c r="K291" s="1" t="str">
        <f>IF(AND(Programme_Grunddaten!$A296="Geprüft",Programme_Grunddaten!R296&lt;&gt;""),IF(Programme_Grunddaten!R296="Ja",1,0),"")</f>
        <v/>
      </c>
      <c r="L291" s="1" t="str">
        <f>IF(AND(Programme_Grunddaten!$A296="Geprüft",Programme_Grunddaten!T296&lt;&gt;""),IF(Programme_Grunddaten!T296="Ja",1,0),"")</f>
        <v/>
      </c>
      <c r="M291" s="1" t="str">
        <f>IF(AND(Programme_Grunddaten!$A296="Geprüft",Programme_Grunddaten!U296&lt;&gt;""),IF(Programme_Grunddaten!U296="Ja",1,0),"")</f>
        <v/>
      </c>
      <c r="N291" s="1" t="str">
        <f>IF(AND(Programme_Grunddaten!$A296="Geprüft",Programme_Grunddaten!V296&lt;&gt;""),IF(Programme_Grunddaten!V296="Ja",1,0),"")</f>
        <v/>
      </c>
      <c r="O291" s="1" t="str">
        <f>IF(AND(Programme_Grunddaten!$A296="Geprüft",Programme_Grunddaten!W296&lt;&gt;""),IF(Programme_Grunddaten!W296="Ja",1,0),"")</f>
        <v/>
      </c>
      <c r="P291" s="1" t="str">
        <f>IF(AND(Programme_Grunddaten!$A296="Geprüft",Programme_Grunddaten!X296&lt;&gt;""),IF(Programme_Grunddaten!X296="Ja",1,0),"")</f>
        <v/>
      </c>
      <c r="Q291" s="1" t="str">
        <f>IF(AND(Programme_Grunddaten!$A296="Geprüft",Programme_Grunddaten!Y296&lt;&gt;""),IF(Programme_Grunddaten!Y296="Ja",1,0),"")</f>
        <v/>
      </c>
      <c r="R291" s="1" t="str">
        <f>IF(AND(Programme_Grunddaten!$A296="Geprüft",Programme_Grunddaten!Z296&lt;&gt;""),IF(Programme_Grunddaten!Z296="Ja",1,0),"")</f>
        <v/>
      </c>
      <c r="S291" s="1" t="str">
        <f>IF(AND(Programme_Grunddaten!$A296="Geprüft",Programme_Grunddaten!AA296&lt;&gt;""),IF(Programme_Grunddaten!AA296="monolithisch",1,0),"")</f>
        <v/>
      </c>
      <c r="T291" s="1" t="str">
        <f>IF(AND(Programme_Grunddaten!$A296="Geprüft",Programme_Grunddaten!AB296&lt;&gt;""),IF(Programme_Grunddaten!AB296="Ja",1,0),"")</f>
        <v/>
      </c>
      <c r="U291" s="1" t="str">
        <f>IF(AND(Programme_Grunddaten!$A296="Geprüft",Programme_Grunddaten!AC296&lt;&gt;""),IF(Programme_Grunddaten!AC296="Ja",1,0),"")</f>
        <v/>
      </c>
      <c r="V291" s="1" t="str">
        <f>IF(AND(Programme_Grunddaten!$A296="Geprüft",Programme_Grunddaten!AD296&lt;&gt;""),IF(Programme_Grunddaten!AD296="Ja",1,0),"")</f>
        <v/>
      </c>
      <c r="W291" s="1" t="str">
        <f>IF(AND(Programme_Grunddaten!$A296="Geprüft",Programme_Grunddaten!AE296&lt;&gt;""),IF(Programme_Grunddaten!AE296="Ja",1,0),"")</f>
        <v/>
      </c>
      <c r="X291" s="1" t="str">
        <f>IF(AND(Programme_Grunddaten!$A296="Geprüft",Programme_Grunddaten!AF296&lt;&gt;""),IF(Programme_Grunddaten!AF296="Ja",1,0),"")</f>
        <v/>
      </c>
      <c r="Y291" s="1" t="str">
        <f>IF(AND(Programme_Grunddaten!$A296="Geprüft",Programme_Grunddaten!AG296&lt;&gt;""),IF(Programme_Grunddaten!AG296="Ja",1,0),"")</f>
        <v/>
      </c>
      <c r="Z291" s="1" t="str">
        <f>IF(AND(Programme_Grunddaten!$A296="Geprüft",Programme_Grunddaten!AH296&lt;&gt;""),IF(Programme_Grunddaten!AH296="Ja",1,0),"")</f>
        <v/>
      </c>
      <c r="AA291" s="1" t="str">
        <f>IF(AND(Programme_Grunddaten!$A296="Geprüft",Programme_Grunddaten!AI296&lt;&gt;""),IF(Programme_Grunddaten!AI296="Ja",1,0),"")</f>
        <v/>
      </c>
      <c r="AB291" s="1" t="str">
        <f>IF(AND(Programme_Grunddaten!$A296="Geprüft",Programme_Grunddaten!AJ296&lt;&gt;""),IF(Programme_Grunddaten!AJ296="individuell programmierbar",1,0),"")</f>
        <v/>
      </c>
      <c r="AC291" s="1" t="str">
        <f>IF(AND(Programme_Grunddaten!$A296="Geprüft",Programme_Grunddaten!AK296&lt;&gt;""),IF(Programme_Grunddaten!AK296="Deutsch",0,IF(Programme_Grunddaten!AK296="Deutsch und Englisch",1,2)),"")</f>
        <v/>
      </c>
      <c r="AD291" s="1" t="str">
        <f>IF(AND(Programme_Grunddaten!$A296="Geprüft",Programme_Grunddaten!AL296&lt;&gt;""),IF(Programme_Grunddaten!AL296="Ja",1,0),"")</f>
        <v/>
      </c>
      <c r="AE291" s="1" t="str">
        <f>IF(AND(Programme_Grunddaten!$A296="Geprüft",Programme_Grunddaten!AM296&lt;&gt;""),IF(Programme_Grunddaten!AM296="Ja",1,0),"")</f>
        <v/>
      </c>
      <c r="AF291" s="1" t="str">
        <f>IF(AND(Programme_Grunddaten!$A296="Geprüft",Programme_Grunddaten!AN296&lt;&gt;""),IF(Programme_Grunddaten!AN296="Ja",1,0),"")</f>
        <v/>
      </c>
      <c r="AG291" s="1" t="str">
        <f>IF(AND(Programme_Grunddaten!$A296="Geprüft",Programme_Grunddaten!AO296&lt;&gt;""),IF(Programme_Grunddaten!AO296="Ja",1,0),"")</f>
        <v/>
      </c>
      <c r="AH291" s="1" t="str">
        <f>IF(AND(Programme_Grunddaten!$A296="Geprüft",Programme_Grunddaten!AP296&lt;&gt;""),IF(Programme_Grunddaten!AP296="Ja",1,0),"")</f>
        <v/>
      </c>
      <c r="AI291" s="1" t="str">
        <f>IF(AND(Programme_Grunddaten!$A296="Geprüft",Programme_Grunddaten!AQ296&lt;&gt;""),IF(Programme_Grunddaten!AQ296="Ja",1,0),"")</f>
        <v/>
      </c>
      <c r="AJ291" s="1" t="str">
        <f>IF(AND(Programme_Grunddaten!$A296="Geprüft",Programme_Grunddaten!AR296&lt;&gt;""),IF(Programme_Grunddaten!AR296="Ja",1,0),"")</f>
        <v/>
      </c>
      <c r="AK291" s="1" t="str">
        <f>IF(AND(Programme_Grunddaten!$A296="Geprüft",Programme_Grunddaten!AS296&lt;&gt;""),IF(Programme_Grunddaten!AS296="Ja",1,0),"")</f>
        <v/>
      </c>
      <c r="AL291" s="1" t="str">
        <f>IF(AND(Programme_Grunddaten!$A296="Geprüft",Programme_Grunddaten!AT296&lt;&gt;""),IF(Programme_Grunddaten!AT296="Ja",1,0),"")</f>
        <v/>
      </c>
      <c r="AM291" s="1" t="str">
        <f>IF(AND(Programme_Grunddaten!$A296="Geprüft",Programme_Grunddaten!AU296&lt;&gt;""),IF(Programme_Grunddaten!AU296="Ja",1,0),"")</f>
        <v/>
      </c>
      <c r="AN291" s="1" t="str">
        <f>IF(AND(Programme_Grunddaten!$A296="Geprüft",Programme_Grunddaten!AV296&lt;&gt;""),IF(Programme_Grunddaten!AV296="Ja",1,0),"")</f>
        <v/>
      </c>
    </row>
    <row r="292" spans="1:40" x14ac:dyDescent="0.3">
      <c r="A292" s="1" t="str">
        <f>IF(AND(Programme_Grunddaten!A297="Geprüft",Programme_Grunddaten!B297&lt;&gt;""),Programme_Grunddaten!B297,"")</f>
        <v/>
      </c>
      <c r="B292" s="1" t="str">
        <f>IF(AND(Programme_Grunddaten!$A297="Geprüft",Programme_Grunddaten!I297&lt;&gt;""),IF(Programme_Grunddaten!I297="Ja",1,0),"")</f>
        <v/>
      </c>
      <c r="C292" s="1" t="str">
        <f>IF(AND(Programme_Grunddaten!$A297="Geprüft",Programme_Grunddaten!J297&lt;&gt;""),IF(Programme_Grunddaten!J297="Ja",1,0),"")</f>
        <v/>
      </c>
      <c r="D292" s="1" t="str">
        <f>IF(AND(Programme_Grunddaten!$A297="Geprüft",Programme_Grunddaten!K297&lt;&gt;""),IF(Programme_Grunddaten!K297="Ja",1,0),"")</f>
        <v/>
      </c>
      <c r="E292" s="1" t="str">
        <f>IF(AND(Programme_Grunddaten!$A297="Geprüft",Programme_Grunddaten!L297&lt;&gt;""),IF(Programme_Grunddaten!L297="Abo / befristete Lizenz",1,0),"")</f>
        <v/>
      </c>
      <c r="F292" s="1" t="str">
        <f>IF(AND(Programme_Grunddaten!$A297="Geprüft",Programme_Grunddaten!M297&lt;&gt;""),IF(Programme_Grunddaten!M297="Ja",1,0),"")</f>
        <v/>
      </c>
      <c r="G292" s="1" t="str">
        <f>IF(AND(Programme_Grunddaten!$A297="Geprüft",Programme_Grunddaten!N297&lt;&gt;""),IF(Programme_Grunddaten!N297="Ja",1,0),"")</f>
        <v/>
      </c>
      <c r="H292" s="1" t="str">
        <f>IF(AND(Programme_Grunddaten!$A297="Geprüft",Programme_Grunddaten!O297&lt;&gt;""),IF(Programme_Grunddaten!O297="Deutschland",0,IF(Programme_Grunddaten!O297="EU",1,2)),"")</f>
        <v/>
      </c>
      <c r="I292" s="1" t="str">
        <f>IF(AND(Programme_Grunddaten!$A297="Geprüft",Programme_Grunddaten!P297&lt;&gt;""),IF(Programme_Grunddaten!P297="Ja",1,0),"")</f>
        <v/>
      </c>
      <c r="J292" s="1" t="str">
        <f>IF(AND(Programme_Grunddaten!$A297="Geprüft",Programme_Grunddaten!Q297&lt;&gt;""),IF(Programme_Grunddaten!Q297="geschlossenes System",1,0),"")</f>
        <v/>
      </c>
      <c r="K292" s="1" t="str">
        <f>IF(AND(Programme_Grunddaten!$A297="Geprüft",Programme_Grunddaten!R297&lt;&gt;""),IF(Programme_Grunddaten!R297="Ja",1,0),"")</f>
        <v/>
      </c>
      <c r="L292" s="1" t="str">
        <f>IF(AND(Programme_Grunddaten!$A297="Geprüft",Programme_Grunddaten!T297&lt;&gt;""),IF(Programme_Grunddaten!T297="Ja",1,0),"")</f>
        <v/>
      </c>
      <c r="M292" s="1" t="str">
        <f>IF(AND(Programme_Grunddaten!$A297="Geprüft",Programme_Grunddaten!U297&lt;&gt;""),IF(Programme_Grunddaten!U297="Ja",1,0),"")</f>
        <v/>
      </c>
      <c r="N292" s="1" t="str">
        <f>IF(AND(Programme_Grunddaten!$A297="Geprüft",Programme_Grunddaten!V297&lt;&gt;""),IF(Programme_Grunddaten!V297="Ja",1,0),"")</f>
        <v/>
      </c>
      <c r="O292" s="1" t="str">
        <f>IF(AND(Programme_Grunddaten!$A297="Geprüft",Programme_Grunddaten!W297&lt;&gt;""),IF(Programme_Grunddaten!W297="Ja",1,0),"")</f>
        <v/>
      </c>
      <c r="P292" s="1" t="str">
        <f>IF(AND(Programme_Grunddaten!$A297="Geprüft",Programme_Grunddaten!X297&lt;&gt;""),IF(Programme_Grunddaten!X297="Ja",1,0),"")</f>
        <v/>
      </c>
      <c r="Q292" s="1" t="str">
        <f>IF(AND(Programme_Grunddaten!$A297="Geprüft",Programme_Grunddaten!Y297&lt;&gt;""),IF(Programme_Grunddaten!Y297="Ja",1,0),"")</f>
        <v/>
      </c>
      <c r="R292" s="1" t="str">
        <f>IF(AND(Programme_Grunddaten!$A297="Geprüft",Programme_Grunddaten!Z297&lt;&gt;""),IF(Programme_Grunddaten!Z297="Ja",1,0),"")</f>
        <v/>
      </c>
      <c r="S292" s="1" t="str">
        <f>IF(AND(Programme_Grunddaten!$A297="Geprüft",Programme_Grunddaten!AA297&lt;&gt;""),IF(Programme_Grunddaten!AA297="monolithisch",1,0),"")</f>
        <v/>
      </c>
      <c r="T292" s="1" t="str">
        <f>IF(AND(Programme_Grunddaten!$A297="Geprüft",Programme_Grunddaten!AB297&lt;&gt;""),IF(Programme_Grunddaten!AB297="Ja",1,0),"")</f>
        <v/>
      </c>
      <c r="U292" s="1" t="str">
        <f>IF(AND(Programme_Grunddaten!$A297="Geprüft",Programme_Grunddaten!AC297&lt;&gt;""),IF(Programme_Grunddaten!AC297="Ja",1,0),"")</f>
        <v/>
      </c>
      <c r="V292" s="1" t="str">
        <f>IF(AND(Programme_Grunddaten!$A297="Geprüft",Programme_Grunddaten!AD297&lt;&gt;""),IF(Programme_Grunddaten!AD297="Ja",1,0),"")</f>
        <v/>
      </c>
      <c r="W292" s="1" t="str">
        <f>IF(AND(Programme_Grunddaten!$A297="Geprüft",Programme_Grunddaten!AE297&lt;&gt;""),IF(Programme_Grunddaten!AE297="Ja",1,0),"")</f>
        <v/>
      </c>
      <c r="X292" s="1" t="str">
        <f>IF(AND(Programme_Grunddaten!$A297="Geprüft",Programme_Grunddaten!AF297&lt;&gt;""),IF(Programme_Grunddaten!AF297="Ja",1,0),"")</f>
        <v/>
      </c>
      <c r="Y292" s="1" t="str">
        <f>IF(AND(Programme_Grunddaten!$A297="Geprüft",Programme_Grunddaten!AG297&lt;&gt;""),IF(Programme_Grunddaten!AG297="Ja",1,0),"")</f>
        <v/>
      </c>
      <c r="Z292" s="1" t="str">
        <f>IF(AND(Programme_Grunddaten!$A297="Geprüft",Programme_Grunddaten!AH297&lt;&gt;""),IF(Programme_Grunddaten!AH297="Ja",1,0),"")</f>
        <v/>
      </c>
      <c r="AA292" s="1" t="str">
        <f>IF(AND(Programme_Grunddaten!$A297="Geprüft",Programme_Grunddaten!AI297&lt;&gt;""),IF(Programme_Grunddaten!AI297="Ja",1,0),"")</f>
        <v/>
      </c>
      <c r="AB292" s="1" t="str">
        <f>IF(AND(Programme_Grunddaten!$A297="Geprüft",Programme_Grunddaten!AJ297&lt;&gt;""),IF(Programme_Grunddaten!AJ297="individuell programmierbar",1,0),"")</f>
        <v/>
      </c>
      <c r="AC292" s="1" t="str">
        <f>IF(AND(Programme_Grunddaten!$A297="Geprüft",Programme_Grunddaten!AK297&lt;&gt;""),IF(Programme_Grunddaten!AK297="Deutsch",0,IF(Programme_Grunddaten!AK297="Deutsch und Englisch",1,2)),"")</f>
        <v/>
      </c>
      <c r="AD292" s="1" t="str">
        <f>IF(AND(Programme_Grunddaten!$A297="Geprüft",Programme_Grunddaten!AL297&lt;&gt;""),IF(Programme_Grunddaten!AL297="Ja",1,0),"")</f>
        <v/>
      </c>
      <c r="AE292" s="1" t="str">
        <f>IF(AND(Programme_Grunddaten!$A297="Geprüft",Programme_Grunddaten!AM297&lt;&gt;""),IF(Programme_Grunddaten!AM297="Ja",1,0),"")</f>
        <v/>
      </c>
      <c r="AF292" s="1" t="str">
        <f>IF(AND(Programme_Grunddaten!$A297="Geprüft",Programme_Grunddaten!AN297&lt;&gt;""),IF(Programme_Grunddaten!AN297="Ja",1,0),"")</f>
        <v/>
      </c>
      <c r="AG292" s="1" t="str">
        <f>IF(AND(Programme_Grunddaten!$A297="Geprüft",Programme_Grunddaten!AO297&lt;&gt;""),IF(Programme_Grunddaten!AO297="Ja",1,0),"")</f>
        <v/>
      </c>
      <c r="AH292" s="1" t="str">
        <f>IF(AND(Programme_Grunddaten!$A297="Geprüft",Programme_Grunddaten!AP297&lt;&gt;""),IF(Programme_Grunddaten!AP297="Ja",1,0),"")</f>
        <v/>
      </c>
      <c r="AI292" s="1" t="str">
        <f>IF(AND(Programme_Grunddaten!$A297="Geprüft",Programme_Grunddaten!AQ297&lt;&gt;""),IF(Programme_Grunddaten!AQ297="Ja",1,0),"")</f>
        <v/>
      </c>
      <c r="AJ292" s="1" t="str">
        <f>IF(AND(Programme_Grunddaten!$A297="Geprüft",Programme_Grunddaten!AR297&lt;&gt;""),IF(Programme_Grunddaten!AR297="Ja",1,0),"")</f>
        <v/>
      </c>
      <c r="AK292" s="1" t="str">
        <f>IF(AND(Programme_Grunddaten!$A297="Geprüft",Programme_Grunddaten!AS297&lt;&gt;""),IF(Programme_Grunddaten!AS297="Ja",1,0),"")</f>
        <v/>
      </c>
      <c r="AL292" s="1" t="str">
        <f>IF(AND(Programme_Grunddaten!$A297="Geprüft",Programme_Grunddaten!AT297&lt;&gt;""),IF(Programme_Grunddaten!AT297="Ja",1,0),"")</f>
        <v/>
      </c>
      <c r="AM292" s="1" t="str">
        <f>IF(AND(Programme_Grunddaten!$A297="Geprüft",Programme_Grunddaten!AU297&lt;&gt;""),IF(Programme_Grunddaten!AU297="Ja",1,0),"")</f>
        <v/>
      </c>
      <c r="AN292" s="1" t="str">
        <f>IF(AND(Programme_Grunddaten!$A297="Geprüft",Programme_Grunddaten!AV297&lt;&gt;""),IF(Programme_Grunddaten!AV297="Ja",1,0),"")</f>
        <v/>
      </c>
    </row>
    <row r="293" spans="1:40" x14ac:dyDescent="0.3">
      <c r="A293" s="1" t="str">
        <f>IF(AND(Programme_Grunddaten!A298="Geprüft",Programme_Grunddaten!B298&lt;&gt;""),Programme_Grunddaten!B298,"")</f>
        <v/>
      </c>
      <c r="B293" s="1" t="str">
        <f>IF(AND(Programme_Grunddaten!$A298="Geprüft",Programme_Grunddaten!I298&lt;&gt;""),IF(Programme_Grunddaten!I298="Ja",1,0),"")</f>
        <v/>
      </c>
      <c r="C293" s="1" t="str">
        <f>IF(AND(Programme_Grunddaten!$A298="Geprüft",Programme_Grunddaten!J298&lt;&gt;""),IF(Programme_Grunddaten!J298="Ja",1,0),"")</f>
        <v/>
      </c>
      <c r="D293" s="1" t="str">
        <f>IF(AND(Programme_Grunddaten!$A298="Geprüft",Programme_Grunddaten!K298&lt;&gt;""),IF(Programme_Grunddaten!K298="Ja",1,0),"")</f>
        <v/>
      </c>
      <c r="E293" s="1" t="str">
        <f>IF(AND(Programme_Grunddaten!$A298="Geprüft",Programme_Grunddaten!L298&lt;&gt;""),IF(Programme_Grunddaten!L298="Abo / befristete Lizenz",1,0),"")</f>
        <v/>
      </c>
      <c r="F293" s="1" t="str">
        <f>IF(AND(Programme_Grunddaten!$A298="Geprüft",Programme_Grunddaten!M298&lt;&gt;""),IF(Programme_Grunddaten!M298="Ja",1,0),"")</f>
        <v/>
      </c>
      <c r="G293" s="1" t="str">
        <f>IF(AND(Programme_Grunddaten!$A298="Geprüft",Programme_Grunddaten!N298&lt;&gt;""),IF(Programme_Grunddaten!N298="Ja",1,0),"")</f>
        <v/>
      </c>
      <c r="H293" s="1" t="str">
        <f>IF(AND(Programme_Grunddaten!$A298="Geprüft",Programme_Grunddaten!O298&lt;&gt;""),IF(Programme_Grunddaten!O298="Deutschland",0,IF(Programme_Grunddaten!O298="EU",1,2)),"")</f>
        <v/>
      </c>
      <c r="I293" s="1" t="str">
        <f>IF(AND(Programme_Grunddaten!$A298="Geprüft",Programme_Grunddaten!P298&lt;&gt;""),IF(Programme_Grunddaten!P298="Ja",1,0),"")</f>
        <v/>
      </c>
      <c r="J293" s="1" t="str">
        <f>IF(AND(Programme_Grunddaten!$A298="Geprüft",Programme_Grunddaten!Q298&lt;&gt;""),IF(Programme_Grunddaten!Q298="geschlossenes System",1,0),"")</f>
        <v/>
      </c>
      <c r="K293" s="1" t="str">
        <f>IF(AND(Programme_Grunddaten!$A298="Geprüft",Programme_Grunddaten!R298&lt;&gt;""),IF(Programme_Grunddaten!R298="Ja",1,0),"")</f>
        <v/>
      </c>
      <c r="L293" s="1" t="str">
        <f>IF(AND(Programme_Grunddaten!$A298="Geprüft",Programme_Grunddaten!T298&lt;&gt;""),IF(Programme_Grunddaten!T298="Ja",1,0),"")</f>
        <v/>
      </c>
      <c r="M293" s="1" t="str">
        <f>IF(AND(Programme_Grunddaten!$A298="Geprüft",Programme_Grunddaten!U298&lt;&gt;""),IF(Programme_Grunddaten!U298="Ja",1,0),"")</f>
        <v/>
      </c>
      <c r="N293" s="1" t="str">
        <f>IF(AND(Programme_Grunddaten!$A298="Geprüft",Programme_Grunddaten!V298&lt;&gt;""),IF(Programme_Grunddaten!V298="Ja",1,0),"")</f>
        <v/>
      </c>
      <c r="O293" s="1" t="str">
        <f>IF(AND(Programme_Grunddaten!$A298="Geprüft",Programme_Grunddaten!W298&lt;&gt;""),IF(Programme_Grunddaten!W298="Ja",1,0),"")</f>
        <v/>
      </c>
      <c r="P293" s="1" t="str">
        <f>IF(AND(Programme_Grunddaten!$A298="Geprüft",Programme_Grunddaten!X298&lt;&gt;""),IF(Programme_Grunddaten!X298="Ja",1,0),"")</f>
        <v/>
      </c>
      <c r="Q293" s="1" t="str">
        <f>IF(AND(Programme_Grunddaten!$A298="Geprüft",Programme_Grunddaten!Y298&lt;&gt;""),IF(Programme_Grunddaten!Y298="Ja",1,0),"")</f>
        <v/>
      </c>
      <c r="R293" s="1" t="str">
        <f>IF(AND(Programme_Grunddaten!$A298="Geprüft",Programme_Grunddaten!Z298&lt;&gt;""),IF(Programme_Grunddaten!Z298="Ja",1,0),"")</f>
        <v/>
      </c>
      <c r="S293" s="1" t="str">
        <f>IF(AND(Programme_Grunddaten!$A298="Geprüft",Programme_Grunddaten!AA298&lt;&gt;""),IF(Programme_Grunddaten!AA298="monolithisch",1,0),"")</f>
        <v/>
      </c>
      <c r="T293" s="1" t="str">
        <f>IF(AND(Programme_Grunddaten!$A298="Geprüft",Programme_Grunddaten!AB298&lt;&gt;""),IF(Programme_Grunddaten!AB298="Ja",1,0),"")</f>
        <v/>
      </c>
      <c r="U293" s="1" t="str">
        <f>IF(AND(Programme_Grunddaten!$A298="Geprüft",Programme_Grunddaten!AC298&lt;&gt;""),IF(Programme_Grunddaten!AC298="Ja",1,0),"")</f>
        <v/>
      </c>
      <c r="V293" s="1" t="str">
        <f>IF(AND(Programme_Grunddaten!$A298="Geprüft",Programme_Grunddaten!AD298&lt;&gt;""),IF(Programme_Grunddaten!AD298="Ja",1,0),"")</f>
        <v/>
      </c>
      <c r="W293" s="1" t="str">
        <f>IF(AND(Programme_Grunddaten!$A298="Geprüft",Programme_Grunddaten!AE298&lt;&gt;""),IF(Programme_Grunddaten!AE298="Ja",1,0),"")</f>
        <v/>
      </c>
      <c r="X293" s="1" t="str">
        <f>IF(AND(Programme_Grunddaten!$A298="Geprüft",Programme_Grunddaten!AF298&lt;&gt;""),IF(Programme_Grunddaten!AF298="Ja",1,0),"")</f>
        <v/>
      </c>
      <c r="Y293" s="1" t="str">
        <f>IF(AND(Programme_Grunddaten!$A298="Geprüft",Programme_Grunddaten!AG298&lt;&gt;""),IF(Programme_Grunddaten!AG298="Ja",1,0),"")</f>
        <v/>
      </c>
      <c r="Z293" s="1" t="str">
        <f>IF(AND(Programme_Grunddaten!$A298="Geprüft",Programme_Grunddaten!AH298&lt;&gt;""),IF(Programme_Grunddaten!AH298="Ja",1,0),"")</f>
        <v/>
      </c>
      <c r="AA293" s="1" t="str">
        <f>IF(AND(Programme_Grunddaten!$A298="Geprüft",Programme_Grunddaten!AI298&lt;&gt;""),IF(Programme_Grunddaten!AI298="Ja",1,0),"")</f>
        <v/>
      </c>
      <c r="AB293" s="1" t="str">
        <f>IF(AND(Programme_Grunddaten!$A298="Geprüft",Programme_Grunddaten!AJ298&lt;&gt;""),IF(Programme_Grunddaten!AJ298="individuell programmierbar",1,0),"")</f>
        <v/>
      </c>
      <c r="AC293" s="1" t="str">
        <f>IF(AND(Programme_Grunddaten!$A298="Geprüft",Programme_Grunddaten!AK298&lt;&gt;""),IF(Programme_Grunddaten!AK298="Deutsch",0,IF(Programme_Grunddaten!AK298="Deutsch und Englisch",1,2)),"")</f>
        <v/>
      </c>
      <c r="AD293" s="1" t="str">
        <f>IF(AND(Programme_Grunddaten!$A298="Geprüft",Programme_Grunddaten!AL298&lt;&gt;""),IF(Programme_Grunddaten!AL298="Ja",1,0),"")</f>
        <v/>
      </c>
      <c r="AE293" s="1" t="str">
        <f>IF(AND(Programme_Grunddaten!$A298="Geprüft",Programme_Grunddaten!AM298&lt;&gt;""),IF(Programme_Grunddaten!AM298="Ja",1,0),"")</f>
        <v/>
      </c>
      <c r="AF293" s="1" t="str">
        <f>IF(AND(Programme_Grunddaten!$A298="Geprüft",Programme_Grunddaten!AN298&lt;&gt;""),IF(Programme_Grunddaten!AN298="Ja",1,0),"")</f>
        <v/>
      </c>
      <c r="AG293" s="1" t="str">
        <f>IF(AND(Programme_Grunddaten!$A298="Geprüft",Programme_Grunddaten!AO298&lt;&gt;""),IF(Programme_Grunddaten!AO298="Ja",1,0),"")</f>
        <v/>
      </c>
      <c r="AH293" s="1" t="str">
        <f>IF(AND(Programme_Grunddaten!$A298="Geprüft",Programme_Grunddaten!AP298&lt;&gt;""),IF(Programme_Grunddaten!AP298="Ja",1,0),"")</f>
        <v/>
      </c>
      <c r="AI293" s="1" t="str">
        <f>IF(AND(Programme_Grunddaten!$A298="Geprüft",Programme_Grunddaten!AQ298&lt;&gt;""),IF(Programme_Grunddaten!AQ298="Ja",1,0),"")</f>
        <v/>
      </c>
      <c r="AJ293" s="1" t="str">
        <f>IF(AND(Programme_Grunddaten!$A298="Geprüft",Programme_Grunddaten!AR298&lt;&gt;""),IF(Programme_Grunddaten!AR298="Ja",1,0),"")</f>
        <v/>
      </c>
      <c r="AK293" s="1" t="str">
        <f>IF(AND(Programme_Grunddaten!$A298="Geprüft",Programme_Grunddaten!AS298&lt;&gt;""),IF(Programme_Grunddaten!AS298="Ja",1,0),"")</f>
        <v/>
      </c>
      <c r="AL293" s="1" t="str">
        <f>IF(AND(Programme_Grunddaten!$A298="Geprüft",Programme_Grunddaten!AT298&lt;&gt;""),IF(Programme_Grunddaten!AT298="Ja",1,0),"")</f>
        <v/>
      </c>
      <c r="AM293" s="1" t="str">
        <f>IF(AND(Programme_Grunddaten!$A298="Geprüft",Programme_Grunddaten!AU298&lt;&gt;""),IF(Programme_Grunddaten!AU298="Ja",1,0),"")</f>
        <v/>
      </c>
      <c r="AN293" s="1" t="str">
        <f>IF(AND(Programme_Grunddaten!$A298="Geprüft",Programme_Grunddaten!AV298&lt;&gt;""),IF(Programme_Grunddaten!AV298="Ja",1,0),"")</f>
        <v/>
      </c>
    </row>
    <row r="294" spans="1:40" x14ac:dyDescent="0.3">
      <c r="A294" s="1" t="str">
        <f>IF(AND(Programme_Grunddaten!A299="Geprüft",Programme_Grunddaten!B299&lt;&gt;""),Programme_Grunddaten!B299,"")</f>
        <v/>
      </c>
      <c r="B294" s="1" t="str">
        <f>IF(AND(Programme_Grunddaten!$A299="Geprüft",Programme_Grunddaten!I299&lt;&gt;""),IF(Programme_Grunddaten!I299="Ja",1,0),"")</f>
        <v/>
      </c>
      <c r="C294" s="1" t="str">
        <f>IF(AND(Programme_Grunddaten!$A299="Geprüft",Programme_Grunddaten!J299&lt;&gt;""),IF(Programme_Grunddaten!J299="Ja",1,0),"")</f>
        <v/>
      </c>
      <c r="D294" s="1" t="str">
        <f>IF(AND(Programme_Grunddaten!$A299="Geprüft",Programme_Grunddaten!K299&lt;&gt;""),IF(Programme_Grunddaten!K299="Ja",1,0),"")</f>
        <v/>
      </c>
      <c r="E294" s="1" t="str">
        <f>IF(AND(Programme_Grunddaten!$A299="Geprüft",Programme_Grunddaten!L299&lt;&gt;""),IF(Programme_Grunddaten!L299="Abo / befristete Lizenz",1,0),"")</f>
        <v/>
      </c>
      <c r="F294" s="1" t="str">
        <f>IF(AND(Programme_Grunddaten!$A299="Geprüft",Programme_Grunddaten!M299&lt;&gt;""),IF(Programme_Grunddaten!M299="Ja",1,0),"")</f>
        <v/>
      </c>
      <c r="G294" s="1" t="str">
        <f>IF(AND(Programme_Grunddaten!$A299="Geprüft",Programme_Grunddaten!N299&lt;&gt;""),IF(Programme_Grunddaten!N299="Ja",1,0),"")</f>
        <v/>
      </c>
      <c r="H294" s="1" t="str">
        <f>IF(AND(Programme_Grunddaten!$A299="Geprüft",Programme_Grunddaten!O299&lt;&gt;""),IF(Programme_Grunddaten!O299="Deutschland",0,IF(Programme_Grunddaten!O299="EU",1,2)),"")</f>
        <v/>
      </c>
      <c r="I294" s="1" t="str">
        <f>IF(AND(Programme_Grunddaten!$A299="Geprüft",Programme_Grunddaten!P299&lt;&gt;""),IF(Programme_Grunddaten!P299="Ja",1,0),"")</f>
        <v/>
      </c>
      <c r="J294" s="1" t="str">
        <f>IF(AND(Programme_Grunddaten!$A299="Geprüft",Programme_Grunddaten!Q299&lt;&gt;""),IF(Programme_Grunddaten!Q299="geschlossenes System",1,0),"")</f>
        <v/>
      </c>
      <c r="K294" s="1" t="str">
        <f>IF(AND(Programme_Grunddaten!$A299="Geprüft",Programme_Grunddaten!R299&lt;&gt;""),IF(Programme_Grunddaten!R299="Ja",1,0),"")</f>
        <v/>
      </c>
      <c r="L294" s="1" t="str">
        <f>IF(AND(Programme_Grunddaten!$A299="Geprüft",Programme_Grunddaten!T299&lt;&gt;""),IF(Programme_Grunddaten!T299="Ja",1,0),"")</f>
        <v/>
      </c>
      <c r="M294" s="1" t="str">
        <f>IF(AND(Programme_Grunddaten!$A299="Geprüft",Programme_Grunddaten!U299&lt;&gt;""),IF(Programme_Grunddaten!U299="Ja",1,0),"")</f>
        <v/>
      </c>
      <c r="N294" s="1" t="str">
        <f>IF(AND(Programme_Grunddaten!$A299="Geprüft",Programme_Grunddaten!V299&lt;&gt;""),IF(Programme_Grunddaten!V299="Ja",1,0),"")</f>
        <v/>
      </c>
      <c r="O294" s="1" t="str">
        <f>IF(AND(Programme_Grunddaten!$A299="Geprüft",Programme_Grunddaten!W299&lt;&gt;""),IF(Programme_Grunddaten!W299="Ja",1,0),"")</f>
        <v/>
      </c>
      <c r="P294" s="1" t="str">
        <f>IF(AND(Programme_Grunddaten!$A299="Geprüft",Programme_Grunddaten!X299&lt;&gt;""),IF(Programme_Grunddaten!X299="Ja",1,0),"")</f>
        <v/>
      </c>
      <c r="Q294" s="1" t="str">
        <f>IF(AND(Programme_Grunddaten!$A299="Geprüft",Programme_Grunddaten!Y299&lt;&gt;""),IF(Programme_Grunddaten!Y299="Ja",1,0),"")</f>
        <v/>
      </c>
      <c r="R294" s="1" t="str">
        <f>IF(AND(Programme_Grunddaten!$A299="Geprüft",Programme_Grunddaten!Z299&lt;&gt;""),IF(Programme_Grunddaten!Z299="Ja",1,0),"")</f>
        <v/>
      </c>
      <c r="S294" s="1" t="str">
        <f>IF(AND(Programme_Grunddaten!$A299="Geprüft",Programme_Grunddaten!AA299&lt;&gt;""),IF(Programme_Grunddaten!AA299="monolithisch",1,0),"")</f>
        <v/>
      </c>
      <c r="T294" s="1" t="str">
        <f>IF(AND(Programme_Grunddaten!$A299="Geprüft",Programme_Grunddaten!AB299&lt;&gt;""),IF(Programme_Grunddaten!AB299="Ja",1,0),"")</f>
        <v/>
      </c>
      <c r="U294" s="1" t="str">
        <f>IF(AND(Programme_Grunddaten!$A299="Geprüft",Programme_Grunddaten!AC299&lt;&gt;""),IF(Programme_Grunddaten!AC299="Ja",1,0),"")</f>
        <v/>
      </c>
      <c r="V294" s="1" t="str">
        <f>IF(AND(Programme_Grunddaten!$A299="Geprüft",Programme_Grunddaten!AD299&lt;&gt;""),IF(Programme_Grunddaten!AD299="Ja",1,0),"")</f>
        <v/>
      </c>
      <c r="W294" s="1" t="str">
        <f>IF(AND(Programme_Grunddaten!$A299="Geprüft",Programme_Grunddaten!AE299&lt;&gt;""),IF(Programme_Grunddaten!AE299="Ja",1,0),"")</f>
        <v/>
      </c>
      <c r="X294" s="1" t="str">
        <f>IF(AND(Programme_Grunddaten!$A299="Geprüft",Programme_Grunddaten!AF299&lt;&gt;""),IF(Programme_Grunddaten!AF299="Ja",1,0),"")</f>
        <v/>
      </c>
      <c r="Y294" s="1" t="str">
        <f>IF(AND(Programme_Grunddaten!$A299="Geprüft",Programme_Grunddaten!AG299&lt;&gt;""),IF(Programme_Grunddaten!AG299="Ja",1,0),"")</f>
        <v/>
      </c>
      <c r="Z294" s="1" t="str">
        <f>IF(AND(Programme_Grunddaten!$A299="Geprüft",Programme_Grunddaten!AH299&lt;&gt;""),IF(Programme_Grunddaten!AH299="Ja",1,0),"")</f>
        <v/>
      </c>
      <c r="AA294" s="1" t="str">
        <f>IF(AND(Programme_Grunddaten!$A299="Geprüft",Programme_Grunddaten!AI299&lt;&gt;""),IF(Programme_Grunddaten!AI299="Ja",1,0),"")</f>
        <v/>
      </c>
      <c r="AB294" s="1" t="str">
        <f>IF(AND(Programme_Grunddaten!$A299="Geprüft",Programme_Grunddaten!AJ299&lt;&gt;""),IF(Programme_Grunddaten!AJ299="individuell programmierbar",1,0),"")</f>
        <v/>
      </c>
      <c r="AC294" s="1" t="str">
        <f>IF(AND(Programme_Grunddaten!$A299="Geprüft",Programme_Grunddaten!AK299&lt;&gt;""),IF(Programme_Grunddaten!AK299="Deutsch",0,IF(Programme_Grunddaten!AK299="Deutsch und Englisch",1,2)),"")</f>
        <v/>
      </c>
      <c r="AD294" s="1" t="str">
        <f>IF(AND(Programme_Grunddaten!$A299="Geprüft",Programme_Grunddaten!AL299&lt;&gt;""),IF(Programme_Grunddaten!AL299="Ja",1,0),"")</f>
        <v/>
      </c>
      <c r="AE294" s="1" t="str">
        <f>IF(AND(Programme_Grunddaten!$A299="Geprüft",Programme_Grunddaten!AM299&lt;&gt;""),IF(Programme_Grunddaten!AM299="Ja",1,0),"")</f>
        <v/>
      </c>
      <c r="AF294" s="1" t="str">
        <f>IF(AND(Programme_Grunddaten!$A299="Geprüft",Programme_Grunddaten!AN299&lt;&gt;""),IF(Programme_Grunddaten!AN299="Ja",1,0),"")</f>
        <v/>
      </c>
      <c r="AG294" s="1" t="str">
        <f>IF(AND(Programme_Grunddaten!$A299="Geprüft",Programme_Grunddaten!AO299&lt;&gt;""),IF(Programme_Grunddaten!AO299="Ja",1,0),"")</f>
        <v/>
      </c>
      <c r="AH294" s="1" t="str">
        <f>IF(AND(Programme_Grunddaten!$A299="Geprüft",Programme_Grunddaten!AP299&lt;&gt;""),IF(Programme_Grunddaten!AP299="Ja",1,0),"")</f>
        <v/>
      </c>
      <c r="AI294" s="1" t="str">
        <f>IF(AND(Programme_Grunddaten!$A299="Geprüft",Programme_Grunddaten!AQ299&lt;&gt;""),IF(Programme_Grunddaten!AQ299="Ja",1,0),"")</f>
        <v/>
      </c>
      <c r="AJ294" s="1" t="str">
        <f>IF(AND(Programme_Grunddaten!$A299="Geprüft",Programme_Grunddaten!AR299&lt;&gt;""),IF(Programme_Grunddaten!AR299="Ja",1,0),"")</f>
        <v/>
      </c>
      <c r="AK294" s="1" t="str">
        <f>IF(AND(Programme_Grunddaten!$A299="Geprüft",Programme_Grunddaten!AS299&lt;&gt;""),IF(Programme_Grunddaten!AS299="Ja",1,0),"")</f>
        <v/>
      </c>
      <c r="AL294" s="1" t="str">
        <f>IF(AND(Programme_Grunddaten!$A299="Geprüft",Programme_Grunddaten!AT299&lt;&gt;""),IF(Programme_Grunddaten!AT299="Ja",1,0),"")</f>
        <v/>
      </c>
      <c r="AM294" s="1" t="str">
        <f>IF(AND(Programme_Grunddaten!$A299="Geprüft",Programme_Grunddaten!AU299&lt;&gt;""),IF(Programme_Grunddaten!AU299="Ja",1,0),"")</f>
        <v/>
      </c>
      <c r="AN294" s="1" t="str">
        <f>IF(AND(Programme_Grunddaten!$A299="Geprüft",Programme_Grunddaten!AV299&lt;&gt;""),IF(Programme_Grunddaten!AV299="Ja",1,0),"")</f>
        <v/>
      </c>
    </row>
    <row r="295" spans="1:40" x14ac:dyDescent="0.3">
      <c r="A295" s="1" t="str">
        <f>IF(AND(Programme_Grunddaten!A300="Geprüft",Programme_Grunddaten!B300&lt;&gt;""),Programme_Grunddaten!B300,"")</f>
        <v/>
      </c>
      <c r="B295" s="1" t="str">
        <f>IF(AND(Programme_Grunddaten!$A300="Geprüft",Programme_Grunddaten!I300&lt;&gt;""),IF(Programme_Grunddaten!I300="Ja",1,0),"")</f>
        <v/>
      </c>
      <c r="C295" s="1" t="str">
        <f>IF(AND(Programme_Grunddaten!$A300="Geprüft",Programme_Grunddaten!J300&lt;&gt;""),IF(Programme_Grunddaten!J300="Ja",1,0),"")</f>
        <v/>
      </c>
      <c r="D295" s="1" t="str">
        <f>IF(AND(Programme_Grunddaten!$A300="Geprüft",Programme_Grunddaten!K300&lt;&gt;""),IF(Programme_Grunddaten!K300="Ja",1,0),"")</f>
        <v/>
      </c>
      <c r="E295" s="1" t="str">
        <f>IF(AND(Programme_Grunddaten!$A300="Geprüft",Programme_Grunddaten!L300&lt;&gt;""),IF(Programme_Grunddaten!L300="Abo / befristete Lizenz",1,0),"")</f>
        <v/>
      </c>
      <c r="F295" s="1" t="str">
        <f>IF(AND(Programme_Grunddaten!$A300="Geprüft",Programme_Grunddaten!M300&lt;&gt;""),IF(Programme_Grunddaten!M300="Ja",1,0),"")</f>
        <v/>
      </c>
      <c r="G295" s="1" t="str">
        <f>IF(AND(Programme_Grunddaten!$A300="Geprüft",Programme_Grunddaten!N300&lt;&gt;""),IF(Programme_Grunddaten!N300="Ja",1,0),"")</f>
        <v/>
      </c>
      <c r="H295" s="1" t="str">
        <f>IF(AND(Programme_Grunddaten!$A300="Geprüft",Programme_Grunddaten!O300&lt;&gt;""),IF(Programme_Grunddaten!O300="Deutschland",0,IF(Programme_Grunddaten!O300="EU",1,2)),"")</f>
        <v/>
      </c>
      <c r="I295" s="1" t="str">
        <f>IF(AND(Programme_Grunddaten!$A300="Geprüft",Programme_Grunddaten!P300&lt;&gt;""),IF(Programme_Grunddaten!P300="Ja",1,0),"")</f>
        <v/>
      </c>
      <c r="J295" s="1" t="str">
        <f>IF(AND(Programme_Grunddaten!$A300="Geprüft",Programme_Grunddaten!Q300&lt;&gt;""),IF(Programme_Grunddaten!Q300="geschlossenes System",1,0),"")</f>
        <v/>
      </c>
      <c r="K295" s="1" t="str">
        <f>IF(AND(Programme_Grunddaten!$A300="Geprüft",Programme_Grunddaten!R300&lt;&gt;""),IF(Programme_Grunddaten!R300="Ja",1,0),"")</f>
        <v/>
      </c>
      <c r="L295" s="1" t="str">
        <f>IF(AND(Programme_Grunddaten!$A300="Geprüft",Programme_Grunddaten!T300&lt;&gt;""),IF(Programme_Grunddaten!T300="Ja",1,0),"")</f>
        <v/>
      </c>
      <c r="M295" s="1" t="str">
        <f>IF(AND(Programme_Grunddaten!$A300="Geprüft",Programme_Grunddaten!U300&lt;&gt;""),IF(Programme_Grunddaten!U300="Ja",1,0),"")</f>
        <v/>
      </c>
      <c r="N295" s="1" t="str">
        <f>IF(AND(Programme_Grunddaten!$A300="Geprüft",Programme_Grunddaten!V300&lt;&gt;""),IF(Programme_Grunddaten!V300="Ja",1,0),"")</f>
        <v/>
      </c>
      <c r="O295" s="1" t="str">
        <f>IF(AND(Programme_Grunddaten!$A300="Geprüft",Programme_Grunddaten!W300&lt;&gt;""),IF(Programme_Grunddaten!W300="Ja",1,0),"")</f>
        <v/>
      </c>
      <c r="P295" s="1" t="str">
        <f>IF(AND(Programme_Grunddaten!$A300="Geprüft",Programme_Grunddaten!X300&lt;&gt;""),IF(Programme_Grunddaten!X300="Ja",1,0),"")</f>
        <v/>
      </c>
      <c r="Q295" s="1" t="str">
        <f>IF(AND(Programme_Grunddaten!$A300="Geprüft",Programme_Grunddaten!Y300&lt;&gt;""),IF(Programme_Grunddaten!Y300="Ja",1,0),"")</f>
        <v/>
      </c>
      <c r="R295" s="1" t="str">
        <f>IF(AND(Programme_Grunddaten!$A300="Geprüft",Programme_Grunddaten!Z300&lt;&gt;""),IF(Programme_Grunddaten!Z300="Ja",1,0),"")</f>
        <v/>
      </c>
      <c r="S295" s="1" t="str">
        <f>IF(AND(Programme_Grunddaten!$A300="Geprüft",Programme_Grunddaten!AA300&lt;&gt;""),IF(Programme_Grunddaten!AA300="monolithisch",1,0),"")</f>
        <v/>
      </c>
      <c r="T295" s="1" t="str">
        <f>IF(AND(Programme_Grunddaten!$A300="Geprüft",Programme_Grunddaten!AB300&lt;&gt;""),IF(Programme_Grunddaten!AB300="Ja",1,0),"")</f>
        <v/>
      </c>
      <c r="U295" s="1" t="str">
        <f>IF(AND(Programme_Grunddaten!$A300="Geprüft",Programme_Grunddaten!AC300&lt;&gt;""),IF(Programme_Grunddaten!AC300="Ja",1,0),"")</f>
        <v/>
      </c>
      <c r="V295" s="1" t="str">
        <f>IF(AND(Programme_Grunddaten!$A300="Geprüft",Programme_Grunddaten!AD300&lt;&gt;""),IF(Programme_Grunddaten!AD300="Ja",1,0),"")</f>
        <v/>
      </c>
      <c r="W295" s="1" t="str">
        <f>IF(AND(Programme_Grunddaten!$A300="Geprüft",Programme_Grunddaten!AE300&lt;&gt;""),IF(Programme_Grunddaten!AE300="Ja",1,0),"")</f>
        <v/>
      </c>
      <c r="X295" s="1" t="str">
        <f>IF(AND(Programme_Grunddaten!$A300="Geprüft",Programme_Grunddaten!AF300&lt;&gt;""),IF(Programme_Grunddaten!AF300="Ja",1,0),"")</f>
        <v/>
      </c>
      <c r="Y295" s="1" t="str">
        <f>IF(AND(Programme_Grunddaten!$A300="Geprüft",Programme_Grunddaten!AG300&lt;&gt;""),IF(Programme_Grunddaten!AG300="Ja",1,0),"")</f>
        <v/>
      </c>
      <c r="Z295" s="1" t="str">
        <f>IF(AND(Programme_Grunddaten!$A300="Geprüft",Programme_Grunddaten!AH300&lt;&gt;""),IF(Programme_Grunddaten!AH300="Ja",1,0),"")</f>
        <v/>
      </c>
      <c r="AA295" s="1" t="str">
        <f>IF(AND(Programme_Grunddaten!$A300="Geprüft",Programme_Grunddaten!AI300&lt;&gt;""),IF(Programme_Grunddaten!AI300="Ja",1,0),"")</f>
        <v/>
      </c>
      <c r="AB295" s="1" t="str">
        <f>IF(AND(Programme_Grunddaten!$A300="Geprüft",Programme_Grunddaten!AJ300&lt;&gt;""),IF(Programme_Grunddaten!AJ300="individuell programmierbar",1,0),"")</f>
        <v/>
      </c>
      <c r="AC295" s="1" t="str">
        <f>IF(AND(Programme_Grunddaten!$A300="Geprüft",Programme_Grunddaten!AK300&lt;&gt;""),IF(Programme_Grunddaten!AK300="Deutsch",0,IF(Programme_Grunddaten!AK300="Deutsch und Englisch",1,2)),"")</f>
        <v/>
      </c>
      <c r="AD295" s="1" t="str">
        <f>IF(AND(Programme_Grunddaten!$A300="Geprüft",Programme_Grunddaten!AL300&lt;&gt;""),IF(Programme_Grunddaten!AL300="Ja",1,0),"")</f>
        <v/>
      </c>
      <c r="AE295" s="1" t="str">
        <f>IF(AND(Programme_Grunddaten!$A300="Geprüft",Programme_Grunddaten!AM300&lt;&gt;""),IF(Programme_Grunddaten!AM300="Ja",1,0),"")</f>
        <v/>
      </c>
      <c r="AF295" s="1" t="str">
        <f>IF(AND(Programme_Grunddaten!$A300="Geprüft",Programme_Grunddaten!AN300&lt;&gt;""),IF(Programme_Grunddaten!AN300="Ja",1,0),"")</f>
        <v/>
      </c>
      <c r="AG295" s="1" t="str">
        <f>IF(AND(Programme_Grunddaten!$A300="Geprüft",Programme_Grunddaten!AO300&lt;&gt;""),IF(Programme_Grunddaten!AO300="Ja",1,0),"")</f>
        <v/>
      </c>
      <c r="AH295" s="1" t="str">
        <f>IF(AND(Programme_Grunddaten!$A300="Geprüft",Programme_Grunddaten!AP300&lt;&gt;""),IF(Programme_Grunddaten!AP300="Ja",1,0),"")</f>
        <v/>
      </c>
      <c r="AI295" s="1" t="str">
        <f>IF(AND(Programme_Grunddaten!$A300="Geprüft",Programme_Grunddaten!AQ300&lt;&gt;""),IF(Programme_Grunddaten!AQ300="Ja",1,0),"")</f>
        <v/>
      </c>
      <c r="AJ295" s="1" t="str">
        <f>IF(AND(Programme_Grunddaten!$A300="Geprüft",Programme_Grunddaten!AR300&lt;&gt;""),IF(Programme_Grunddaten!AR300="Ja",1,0),"")</f>
        <v/>
      </c>
      <c r="AK295" s="1" t="str">
        <f>IF(AND(Programme_Grunddaten!$A300="Geprüft",Programme_Grunddaten!AS300&lt;&gt;""),IF(Programme_Grunddaten!AS300="Ja",1,0),"")</f>
        <v/>
      </c>
      <c r="AL295" s="1" t="str">
        <f>IF(AND(Programme_Grunddaten!$A300="Geprüft",Programme_Grunddaten!AT300&lt;&gt;""),IF(Programme_Grunddaten!AT300="Ja",1,0),"")</f>
        <v/>
      </c>
      <c r="AM295" s="1" t="str">
        <f>IF(AND(Programme_Grunddaten!$A300="Geprüft",Programme_Grunddaten!AU300&lt;&gt;""),IF(Programme_Grunddaten!AU300="Ja",1,0),"")</f>
        <v/>
      </c>
      <c r="AN295" s="1" t="str">
        <f>IF(AND(Programme_Grunddaten!$A300="Geprüft",Programme_Grunddaten!AV300&lt;&gt;""),IF(Programme_Grunddaten!AV300="Ja",1,0),"")</f>
        <v/>
      </c>
    </row>
    <row r="296" spans="1:40" x14ac:dyDescent="0.3">
      <c r="A296" s="1" t="str">
        <f>IF(AND(Programme_Grunddaten!A301="Geprüft",Programme_Grunddaten!B301&lt;&gt;""),Programme_Grunddaten!B301,"")</f>
        <v/>
      </c>
      <c r="B296" s="1" t="str">
        <f>IF(AND(Programme_Grunddaten!$A301="Geprüft",Programme_Grunddaten!I301&lt;&gt;""),IF(Programme_Grunddaten!I301="Ja",1,0),"")</f>
        <v/>
      </c>
      <c r="C296" s="1" t="str">
        <f>IF(AND(Programme_Grunddaten!$A301="Geprüft",Programme_Grunddaten!J301&lt;&gt;""),IF(Programme_Grunddaten!J301="Ja",1,0),"")</f>
        <v/>
      </c>
      <c r="D296" s="1" t="str">
        <f>IF(AND(Programme_Grunddaten!$A301="Geprüft",Programme_Grunddaten!K301&lt;&gt;""),IF(Programme_Grunddaten!K301="Ja",1,0),"")</f>
        <v/>
      </c>
      <c r="E296" s="1" t="str">
        <f>IF(AND(Programme_Grunddaten!$A301="Geprüft",Programme_Grunddaten!L301&lt;&gt;""),IF(Programme_Grunddaten!L301="Abo / befristete Lizenz",1,0),"")</f>
        <v/>
      </c>
      <c r="F296" s="1" t="str">
        <f>IF(AND(Programme_Grunddaten!$A301="Geprüft",Programme_Grunddaten!M301&lt;&gt;""),IF(Programme_Grunddaten!M301="Ja",1,0),"")</f>
        <v/>
      </c>
      <c r="G296" s="1" t="str">
        <f>IF(AND(Programme_Grunddaten!$A301="Geprüft",Programme_Grunddaten!N301&lt;&gt;""),IF(Programme_Grunddaten!N301="Ja",1,0),"")</f>
        <v/>
      </c>
      <c r="H296" s="1" t="str">
        <f>IF(AND(Programme_Grunddaten!$A301="Geprüft",Programme_Grunddaten!O301&lt;&gt;""),IF(Programme_Grunddaten!O301="Deutschland",0,IF(Programme_Grunddaten!O301="EU",1,2)),"")</f>
        <v/>
      </c>
      <c r="I296" s="1" t="str">
        <f>IF(AND(Programme_Grunddaten!$A301="Geprüft",Programme_Grunddaten!P301&lt;&gt;""),IF(Programme_Grunddaten!P301="Ja",1,0),"")</f>
        <v/>
      </c>
      <c r="J296" s="1" t="str">
        <f>IF(AND(Programme_Grunddaten!$A301="Geprüft",Programme_Grunddaten!Q301&lt;&gt;""),IF(Programme_Grunddaten!Q301="geschlossenes System",1,0),"")</f>
        <v/>
      </c>
      <c r="K296" s="1" t="str">
        <f>IF(AND(Programme_Grunddaten!$A301="Geprüft",Programme_Grunddaten!R301&lt;&gt;""),IF(Programme_Grunddaten!R301="Ja",1,0),"")</f>
        <v/>
      </c>
      <c r="L296" s="1" t="str">
        <f>IF(AND(Programme_Grunddaten!$A301="Geprüft",Programme_Grunddaten!T301&lt;&gt;""),IF(Programme_Grunddaten!T301="Ja",1,0),"")</f>
        <v/>
      </c>
      <c r="M296" s="1" t="str">
        <f>IF(AND(Programme_Grunddaten!$A301="Geprüft",Programme_Grunddaten!U301&lt;&gt;""),IF(Programme_Grunddaten!U301="Ja",1,0),"")</f>
        <v/>
      </c>
      <c r="N296" s="1" t="str">
        <f>IF(AND(Programme_Grunddaten!$A301="Geprüft",Programme_Grunddaten!V301&lt;&gt;""),IF(Programme_Grunddaten!V301="Ja",1,0),"")</f>
        <v/>
      </c>
      <c r="O296" s="1" t="str">
        <f>IF(AND(Programme_Grunddaten!$A301="Geprüft",Programme_Grunddaten!W301&lt;&gt;""),IF(Programme_Grunddaten!W301="Ja",1,0),"")</f>
        <v/>
      </c>
      <c r="P296" s="1" t="str">
        <f>IF(AND(Programme_Grunddaten!$A301="Geprüft",Programme_Grunddaten!X301&lt;&gt;""),IF(Programme_Grunddaten!X301="Ja",1,0),"")</f>
        <v/>
      </c>
      <c r="Q296" s="1" t="str">
        <f>IF(AND(Programme_Grunddaten!$A301="Geprüft",Programme_Grunddaten!Y301&lt;&gt;""),IF(Programme_Grunddaten!Y301="Ja",1,0),"")</f>
        <v/>
      </c>
      <c r="R296" s="1" t="str">
        <f>IF(AND(Programme_Grunddaten!$A301="Geprüft",Programme_Grunddaten!Z301&lt;&gt;""),IF(Programme_Grunddaten!Z301="Ja",1,0),"")</f>
        <v/>
      </c>
      <c r="S296" s="1" t="str">
        <f>IF(AND(Programme_Grunddaten!$A301="Geprüft",Programme_Grunddaten!AA301&lt;&gt;""),IF(Programme_Grunddaten!AA301="monolithisch",1,0),"")</f>
        <v/>
      </c>
      <c r="T296" s="1" t="str">
        <f>IF(AND(Programme_Grunddaten!$A301="Geprüft",Programme_Grunddaten!AB301&lt;&gt;""),IF(Programme_Grunddaten!AB301="Ja",1,0),"")</f>
        <v/>
      </c>
      <c r="U296" s="1" t="str">
        <f>IF(AND(Programme_Grunddaten!$A301="Geprüft",Programme_Grunddaten!AC301&lt;&gt;""),IF(Programme_Grunddaten!AC301="Ja",1,0),"")</f>
        <v/>
      </c>
      <c r="V296" s="1" t="str">
        <f>IF(AND(Programme_Grunddaten!$A301="Geprüft",Programme_Grunddaten!AD301&lt;&gt;""),IF(Programme_Grunddaten!AD301="Ja",1,0),"")</f>
        <v/>
      </c>
      <c r="W296" s="1" t="str">
        <f>IF(AND(Programme_Grunddaten!$A301="Geprüft",Programme_Grunddaten!AE301&lt;&gt;""),IF(Programme_Grunddaten!AE301="Ja",1,0),"")</f>
        <v/>
      </c>
      <c r="X296" s="1" t="str">
        <f>IF(AND(Programme_Grunddaten!$A301="Geprüft",Programme_Grunddaten!AF301&lt;&gt;""),IF(Programme_Grunddaten!AF301="Ja",1,0),"")</f>
        <v/>
      </c>
      <c r="Y296" s="1" t="str">
        <f>IF(AND(Programme_Grunddaten!$A301="Geprüft",Programme_Grunddaten!AG301&lt;&gt;""),IF(Programme_Grunddaten!AG301="Ja",1,0),"")</f>
        <v/>
      </c>
      <c r="Z296" s="1" t="str">
        <f>IF(AND(Programme_Grunddaten!$A301="Geprüft",Programme_Grunddaten!AH301&lt;&gt;""),IF(Programme_Grunddaten!AH301="Ja",1,0),"")</f>
        <v/>
      </c>
      <c r="AA296" s="1" t="str">
        <f>IF(AND(Programme_Grunddaten!$A301="Geprüft",Programme_Grunddaten!AI301&lt;&gt;""),IF(Programme_Grunddaten!AI301="Ja",1,0),"")</f>
        <v/>
      </c>
      <c r="AB296" s="1" t="str">
        <f>IF(AND(Programme_Grunddaten!$A301="Geprüft",Programme_Grunddaten!AJ301&lt;&gt;""),IF(Programme_Grunddaten!AJ301="individuell programmierbar",1,0),"")</f>
        <v/>
      </c>
      <c r="AC296" s="1" t="str">
        <f>IF(AND(Programme_Grunddaten!$A301="Geprüft",Programme_Grunddaten!AK301&lt;&gt;""),IF(Programme_Grunddaten!AK301="Deutsch",0,IF(Programme_Grunddaten!AK301="Deutsch und Englisch",1,2)),"")</f>
        <v/>
      </c>
      <c r="AD296" s="1" t="str">
        <f>IF(AND(Programme_Grunddaten!$A301="Geprüft",Programme_Grunddaten!AL301&lt;&gt;""),IF(Programme_Grunddaten!AL301="Ja",1,0),"")</f>
        <v/>
      </c>
      <c r="AE296" s="1" t="str">
        <f>IF(AND(Programme_Grunddaten!$A301="Geprüft",Programme_Grunddaten!AM301&lt;&gt;""),IF(Programme_Grunddaten!AM301="Ja",1,0),"")</f>
        <v/>
      </c>
      <c r="AF296" s="1" t="str">
        <f>IF(AND(Programme_Grunddaten!$A301="Geprüft",Programme_Grunddaten!AN301&lt;&gt;""),IF(Programme_Grunddaten!AN301="Ja",1,0),"")</f>
        <v/>
      </c>
      <c r="AG296" s="1" t="str">
        <f>IF(AND(Programme_Grunddaten!$A301="Geprüft",Programme_Grunddaten!AO301&lt;&gt;""),IF(Programme_Grunddaten!AO301="Ja",1,0),"")</f>
        <v/>
      </c>
      <c r="AH296" s="1" t="str">
        <f>IF(AND(Programme_Grunddaten!$A301="Geprüft",Programme_Grunddaten!AP301&lt;&gt;""),IF(Programme_Grunddaten!AP301="Ja",1,0),"")</f>
        <v/>
      </c>
      <c r="AI296" s="1" t="str">
        <f>IF(AND(Programme_Grunddaten!$A301="Geprüft",Programme_Grunddaten!AQ301&lt;&gt;""),IF(Programme_Grunddaten!AQ301="Ja",1,0),"")</f>
        <v/>
      </c>
      <c r="AJ296" s="1" t="str">
        <f>IF(AND(Programme_Grunddaten!$A301="Geprüft",Programme_Grunddaten!AR301&lt;&gt;""),IF(Programme_Grunddaten!AR301="Ja",1,0),"")</f>
        <v/>
      </c>
      <c r="AK296" s="1" t="str">
        <f>IF(AND(Programme_Grunddaten!$A301="Geprüft",Programme_Grunddaten!AS301&lt;&gt;""),IF(Programme_Grunddaten!AS301="Ja",1,0),"")</f>
        <v/>
      </c>
      <c r="AL296" s="1" t="str">
        <f>IF(AND(Programme_Grunddaten!$A301="Geprüft",Programme_Grunddaten!AT301&lt;&gt;""),IF(Programme_Grunddaten!AT301="Ja",1,0),"")</f>
        <v/>
      </c>
      <c r="AM296" s="1" t="str">
        <f>IF(AND(Programme_Grunddaten!$A301="Geprüft",Programme_Grunddaten!AU301&lt;&gt;""),IF(Programme_Grunddaten!AU301="Ja",1,0),"")</f>
        <v/>
      </c>
      <c r="AN296" s="1" t="str">
        <f>IF(AND(Programme_Grunddaten!$A301="Geprüft",Programme_Grunddaten!AV301&lt;&gt;""),IF(Programme_Grunddaten!AV301="Ja",1,0),"")</f>
        <v/>
      </c>
    </row>
    <row r="297" spans="1:40" x14ac:dyDescent="0.3">
      <c r="A297" s="1" t="str">
        <f>IF(AND(Programme_Grunddaten!A302="Geprüft",Programme_Grunddaten!B302&lt;&gt;""),Programme_Grunddaten!B302,"")</f>
        <v/>
      </c>
      <c r="B297" s="1" t="str">
        <f>IF(AND(Programme_Grunddaten!$A302="Geprüft",Programme_Grunddaten!I302&lt;&gt;""),IF(Programme_Grunddaten!I302="Ja",1,0),"")</f>
        <v/>
      </c>
      <c r="C297" s="1" t="str">
        <f>IF(AND(Programme_Grunddaten!$A302="Geprüft",Programme_Grunddaten!J302&lt;&gt;""),IF(Programme_Grunddaten!J302="Ja",1,0),"")</f>
        <v/>
      </c>
      <c r="D297" s="1" t="str">
        <f>IF(AND(Programme_Grunddaten!$A302="Geprüft",Programme_Grunddaten!K302&lt;&gt;""),IF(Programme_Grunddaten!K302="Ja",1,0),"")</f>
        <v/>
      </c>
      <c r="E297" s="1" t="str">
        <f>IF(AND(Programme_Grunddaten!$A302="Geprüft",Programme_Grunddaten!L302&lt;&gt;""),IF(Programme_Grunddaten!L302="Abo / befristete Lizenz",1,0),"")</f>
        <v/>
      </c>
      <c r="F297" s="1" t="str">
        <f>IF(AND(Programme_Grunddaten!$A302="Geprüft",Programme_Grunddaten!M302&lt;&gt;""),IF(Programme_Grunddaten!M302="Ja",1,0),"")</f>
        <v/>
      </c>
      <c r="G297" s="1" t="str">
        <f>IF(AND(Programme_Grunddaten!$A302="Geprüft",Programme_Grunddaten!N302&lt;&gt;""),IF(Programme_Grunddaten!N302="Ja",1,0),"")</f>
        <v/>
      </c>
      <c r="H297" s="1" t="str">
        <f>IF(AND(Programme_Grunddaten!$A302="Geprüft",Programme_Grunddaten!O302&lt;&gt;""),IF(Programme_Grunddaten!O302="Deutschland",0,IF(Programme_Grunddaten!O302="EU",1,2)),"")</f>
        <v/>
      </c>
      <c r="I297" s="1" t="str">
        <f>IF(AND(Programme_Grunddaten!$A302="Geprüft",Programme_Grunddaten!P302&lt;&gt;""),IF(Programme_Grunddaten!P302="Ja",1,0),"")</f>
        <v/>
      </c>
      <c r="J297" s="1" t="str">
        <f>IF(AND(Programme_Grunddaten!$A302="Geprüft",Programme_Grunddaten!Q302&lt;&gt;""),IF(Programme_Grunddaten!Q302="geschlossenes System",1,0),"")</f>
        <v/>
      </c>
      <c r="K297" s="1" t="str">
        <f>IF(AND(Programme_Grunddaten!$A302="Geprüft",Programme_Grunddaten!R302&lt;&gt;""),IF(Programme_Grunddaten!R302="Ja",1,0),"")</f>
        <v/>
      </c>
      <c r="L297" s="1" t="str">
        <f>IF(AND(Programme_Grunddaten!$A302="Geprüft",Programme_Grunddaten!T302&lt;&gt;""),IF(Programme_Grunddaten!T302="Ja",1,0),"")</f>
        <v/>
      </c>
      <c r="M297" s="1" t="str">
        <f>IF(AND(Programme_Grunddaten!$A302="Geprüft",Programme_Grunddaten!U302&lt;&gt;""),IF(Programme_Grunddaten!U302="Ja",1,0),"")</f>
        <v/>
      </c>
      <c r="N297" s="1" t="str">
        <f>IF(AND(Programme_Grunddaten!$A302="Geprüft",Programme_Grunddaten!V302&lt;&gt;""),IF(Programme_Grunddaten!V302="Ja",1,0),"")</f>
        <v/>
      </c>
      <c r="O297" s="1" t="str">
        <f>IF(AND(Programme_Grunddaten!$A302="Geprüft",Programme_Grunddaten!W302&lt;&gt;""),IF(Programme_Grunddaten!W302="Ja",1,0),"")</f>
        <v/>
      </c>
      <c r="P297" s="1" t="str">
        <f>IF(AND(Programme_Grunddaten!$A302="Geprüft",Programme_Grunddaten!X302&lt;&gt;""),IF(Programme_Grunddaten!X302="Ja",1,0),"")</f>
        <v/>
      </c>
      <c r="Q297" s="1" t="str">
        <f>IF(AND(Programme_Grunddaten!$A302="Geprüft",Programme_Grunddaten!Y302&lt;&gt;""),IF(Programme_Grunddaten!Y302="Ja",1,0),"")</f>
        <v/>
      </c>
      <c r="R297" s="1" t="str">
        <f>IF(AND(Programme_Grunddaten!$A302="Geprüft",Programme_Grunddaten!Z302&lt;&gt;""),IF(Programme_Grunddaten!Z302="Ja",1,0),"")</f>
        <v/>
      </c>
      <c r="S297" s="1" t="str">
        <f>IF(AND(Programme_Grunddaten!$A302="Geprüft",Programme_Grunddaten!AA302&lt;&gt;""),IF(Programme_Grunddaten!AA302="monolithisch",1,0),"")</f>
        <v/>
      </c>
      <c r="T297" s="1" t="str">
        <f>IF(AND(Programme_Grunddaten!$A302="Geprüft",Programme_Grunddaten!AB302&lt;&gt;""),IF(Programme_Grunddaten!AB302="Ja",1,0),"")</f>
        <v/>
      </c>
      <c r="U297" s="1" t="str">
        <f>IF(AND(Programme_Grunddaten!$A302="Geprüft",Programme_Grunddaten!AC302&lt;&gt;""),IF(Programme_Grunddaten!AC302="Ja",1,0),"")</f>
        <v/>
      </c>
      <c r="V297" s="1" t="str">
        <f>IF(AND(Programme_Grunddaten!$A302="Geprüft",Programme_Grunddaten!AD302&lt;&gt;""),IF(Programme_Grunddaten!AD302="Ja",1,0),"")</f>
        <v/>
      </c>
      <c r="W297" s="1" t="str">
        <f>IF(AND(Programme_Grunddaten!$A302="Geprüft",Programme_Grunddaten!AE302&lt;&gt;""),IF(Programme_Grunddaten!AE302="Ja",1,0),"")</f>
        <v/>
      </c>
      <c r="X297" s="1" t="str">
        <f>IF(AND(Programme_Grunddaten!$A302="Geprüft",Programme_Grunddaten!AF302&lt;&gt;""),IF(Programme_Grunddaten!AF302="Ja",1,0),"")</f>
        <v/>
      </c>
      <c r="Y297" s="1" t="str">
        <f>IF(AND(Programme_Grunddaten!$A302="Geprüft",Programme_Grunddaten!AG302&lt;&gt;""),IF(Programme_Grunddaten!AG302="Ja",1,0),"")</f>
        <v/>
      </c>
      <c r="Z297" s="1" t="str">
        <f>IF(AND(Programme_Grunddaten!$A302="Geprüft",Programme_Grunddaten!AH302&lt;&gt;""),IF(Programme_Grunddaten!AH302="Ja",1,0),"")</f>
        <v/>
      </c>
      <c r="AA297" s="1" t="str">
        <f>IF(AND(Programme_Grunddaten!$A302="Geprüft",Programme_Grunddaten!AI302&lt;&gt;""),IF(Programme_Grunddaten!AI302="Ja",1,0),"")</f>
        <v/>
      </c>
      <c r="AB297" s="1" t="str">
        <f>IF(AND(Programme_Grunddaten!$A302="Geprüft",Programme_Grunddaten!AJ302&lt;&gt;""),IF(Programme_Grunddaten!AJ302="individuell programmierbar",1,0),"")</f>
        <v/>
      </c>
      <c r="AC297" s="1" t="str">
        <f>IF(AND(Programme_Grunddaten!$A302="Geprüft",Programme_Grunddaten!AK302&lt;&gt;""),IF(Programme_Grunddaten!AK302="Deutsch",0,IF(Programme_Grunddaten!AK302="Deutsch und Englisch",1,2)),"")</f>
        <v/>
      </c>
      <c r="AD297" s="1" t="str">
        <f>IF(AND(Programme_Grunddaten!$A302="Geprüft",Programme_Grunddaten!AL302&lt;&gt;""),IF(Programme_Grunddaten!AL302="Ja",1,0),"")</f>
        <v/>
      </c>
      <c r="AE297" s="1" t="str">
        <f>IF(AND(Programme_Grunddaten!$A302="Geprüft",Programme_Grunddaten!AM302&lt;&gt;""),IF(Programme_Grunddaten!AM302="Ja",1,0),"")</f>
        <v/>
      </c>
      <c r="AF297" s="1" t="str">
        <f>IF(AND(Programme_Grunddaten!$A302="Geprüft",Programme_Grunddaten!AN302&lt;&gt;""),IF(Programme_Grunddaten!AN302="Ja",1,0),"")</f>
        <v/>
      </c>
      <c r="AG297" s="1" t="str">
        <f>IF(AND(Programme_Grunddaten!$A302="Geprüft",Programme_Grunddaten!AO302&lt;&gt;""),IF(Programme_Grunddaten!AO302="Ja",1,0),"")</f>
        <v/>
      </c>
      <c r="AH297" s="1" t="str">
        <f>IF(AND(Programme_Grunddaten!$A302="Geprüft",Programme_Grunddaten!AP302&lt;&gt;""),IF(Programme_Grunddaten!AP302="Ja",1,0),"")</f>
        <v/>
      </c>
      <c r="AI297" s="1" t="str">
        <f>IF(AND(Programme_Grunddaten!$A302="Geprüft",Programme_Grunddaten!AQ302&lt;&gt;""),IF(Programme_Grunddaten!AQ302="Ja",1,0),"")</f>
        <v/>
      </c>
      <c r="AJ297" s="1" t="str">
        <f>IF(AND(Programme_Grunddaten!$A302="Geprüft",Programme_Grunddaten!AR302&lt;&gt;""),IF(Programme_Grunddaten!AR302="Ja",1,0),"")</f>
        <v/>
      </c>
      <c r="AK297" s="1" t="str">
        <f>IF(AND(Programme_Grunddaten!$A302="Geprüft",Programme_Grunddaten!AS302&lt;&gt;""),IF(Programme_Grunddaten!AS302="Ja",1,0),"")</f>
        <v/>
      </c>
      <c r="AL297" s="1" t="str">
        <f>IF(AND(Programme_Grunddaten!$A302="Geprüft",Programme_Grunddaten!AT302&lt;&gt;""),IF(Programme_Grunddaten!AT302="Ja",1,0),"")</f>
        <v/>
      </c>
      <c r="AM297" s="1" t="str">
        <f>IF(AND(Programme_Grunddaten!$A302="Geprüft",Programme_Grunddaten!AU302&lt;&gt;""),IF(Programme_Grunddaten!AU302="Ja",1,0),"")</f>
        <v/>
      </c>
      <c r="AN297" s="1" t="str">
        <f>IF(AND(Programme_Grunddaten!$A302="Geprüft",Programme_Grunddaten!AV302&lt;&gt;""),IF(Programme_Grunddaten!AV302="Ja",1,0),"")</f>
        <v/>
      </c>
    </row>
    <row r="298" spans="1:40" x14ac:dyDescent="0.3">
      <c r="A298" s="1" t="str">
        <f>IF(AND(Programme_Grunddaten!A303="Geprüft",Programme_Grunddaten!B303&lt;&gt;""),Programme_Grunddaten!B303,"")</f>
        <v/>
      </c>
      <c r="B298" s="1" t="str">
        <f>IF(AND(Programme_Grunddaten!$A303="Geprüft",Programme_Grunddaten!I303&lt;&gt;""),IF(Programme_Grunddaten!I303="Ja",1,0),"")</f>
        <v/>
      </c>
      <c r="C298" s="1" t="str">
        <f>IF(AND(Programme_Grunddaten!$A303="Geprüft",Programme_Grunddaten!J303&lt;&gt;""),IF(Programme_Grunddaten!J303="Ja",1,0),"")</f>
        <v/>
      </c>
      <c r="D298" s="1" t="str">
        <f>IF(AND(Programme_Grunddaten!$A303="Geprüft",Programme_Grunddaten!K303&lt;&gt;""),IF(Programme_Grunddaten!K303="Ja",1,0),"")</f>
        <v/>
      </c>
      <c r="E298" s="1" t="str">
        <f>IF(AND(Programme_Grunddaten!$A303="Geprüft",Programme_Grunddaten!L303&lt;&gt;""),IF(Programme_Grunddaten!L303="Abo / befristete Lizenz",1,0),"")</f>
        <v/>
      </c>
      <c r="F298" s="1" t="str">
        <f>IF(AND(Programme_Grunddaten!$A303="Geprüft",Programme_Grunddaten!M303&lt;&gt;""),IF(Programme_Grunddaten!M303="Ja",1,0),"")</f>
        <v/>
      </c>
      <c r="G298" s="1" t="str">
        <f>IF(AND(Programme_Grunddaten!$A303="Geprüft",Programme_Grunddaten!N303&lt;&gt;""),IF(Programme_Grunddaten!N303="Ja",1,0),"")</f>
        <v/>
      </c>
      <c r="H298" s="1" t="str">
        <f>IF(AND(Programme_Grunddaten!$A303="Geprüft",Programme_Grunddaten!O303&lt;&gt;""),IF(Programme_Grunddaten!O303="Deutschland",0,IF(Programme_Grunddaten!O303="EU",1,2)),"")</f>
        <v/>
      </c>
      <c r="I298" s="1" t="str">
        <f>IF(AND(Programme_Grunddaten!$A303="Geprüft",Programme_Grunddaten!P303&lt;&gt;""),IF(Programme_Grunddaten!P303="Ja",1,0),"")</f>
        <v/>
      </c>
      <c r="J298" s="1" t="str">
        <f>IF(AND(Programme_Grunddaten!$A303="Geprüft",Programme_Grunddaten!Q303&lt;&gt;""),IF(Programme_Grunddaten!Q303="geschlossenes System",1,0),"")</f>
        <v/>
      </c>
      <c r="K298" s="1" t="str">
        <f>IF(AND(Programme_Grunddaten!$A303="Geprüft",Programme_Grunddaten!R303&lt;&gt;""),IF(Programme_Grunddaten!R303="Ja",1,0),"")</f>
        <v/>
      </c>
      <c r="L298" s="1" t="str">
        <f>IF(AND(Programme_Grunddaten!$A303="Geprüft",Programme_Grunddaten!T303&lt;&gt;""),IF(Programme_Grunddaten!T303="Ja",1,0),"")</f>
        <v/>
      </c>
      <c r="M298" s="1" t="str">
        <f>IF(AND(Programme_Grunddaten!$A303="Geprüft",Programme_Grunddaten!U303&lt;&gt;""),IF(Programme_Grunddaten!U303="Ja",1,0),"")</f>
        <v/>
      </c>
      <c r="N298" s="1" t="str">
        <f>IF(AND(Programme_Grunddaten!$A303="Geprüft",Programme_Grunddaten!V303&lt;&gt;""),IF(Programme_Grunddaten!V303="Ja",1,0),"")</f>
        <v/>
      </c>
      <c r="O298" s="1" t="str">
        <f>IF(AND(Programme_Grunddaten!$A303="Geprüft",Programme_Grunddaten!W303&lt;&gt;""),IF(Programme_Grunddaten!W303="Ja",1,0),"")</f>
        <v/>
      </c>
      <c r="P298" s="1" t="str">
        <f>IF(AND(Programme_Grunddaten!$A303="Geprüft",Programme_Grunddaten!X303&lt;&gt;""),IF(Programme_Grunddaten!X303="Ja",1,0),"")</f>
        <v/>
      </c>
      <c r="Q298" s="1" t="str">
        <f>IF(AND(Programme_Grunddaten!$A303="Geprüft",Programme_Grunddaten!Y303&lt;&gt;""),IF(Programme_Grunddaten!Y303="Ja",1,0),"")</f>
        <v/>
      </c>
      <c r="R298" s="1" t="str">
        <f>IF(AND(Programme_Grunddaten!$A303="Geprüft",Programme_Grunddaten!Z303&lt;&gt;""),IF(Programme_Grunddaten!Z303="Ja",1,0),"")</f>
        <v/>
      </c>
      <c r="S298" s="1" t="str">
        <f>IF(AND(Programme_Grunddaten!$A303="Geprüft",Programme_Grunddaten!AA303&lt;&gt;""),IF(Programme_Grunddaten!AA303="monolithisch",1,0),"")</f>
        <v/>
      </c>
      <c r="T298" s="1" t="str">
        <f>IF(AND(Programme_Grunddaten!$A303="Geprüft",Programme_Grunddaten!AB303&lt;&gt;""),IF(Programme_Grunddaten!AB303="Ja",1,0),"")</f>
        <v/>
      </c>
      <c r="U298" s="1" t="str">
        <f>IF(AND(Programme_Grunddaten!$A303="Geprüft",Programme_Grunddaten!AC303&lt;&gt;""),IF(Programme_Grunddaten!AC303="Ja",1,0),"")</f>
        <v/>
      </c>
      <c r="V298" s="1" t="str">
        <f>IF(AND(Programme_Grunddaten!$A303="Geprüft",Programme_Grunddaten!AD303&lt;&gt;""),IF(Programme_Grunddaten!AD303="Ja",1,0),"")</f>
        <v/>
      </c>
      <c r="W298" s="1" t="str">
        <f>IF(AND(Programme_Grunddaten!$A303="Geprüft",Programme_Grunddaten!AE303&lt;&gt;""),IF(Programme_Grunddaten!AE303="Ja",1,0),"")</f>
        <v/>
      </c>
      <c r="X298" s="1" t="str">
        <f>IF(AND(Programme_Grunddaten!$A303="Geprüft",Programme_Grunddaten!AF303&lt;&gt;""),IF(Programme_Grunddaten!AF303="Ja",1,0),"")</f>
        <v/>
      </c>
      <c r="Y298" s="1" t="str">
        <f>IF(AND(Programme_Grunddaten!$A303="Geprüft",Programme_Grunddaten!AG303&lt;&gt;""),IF(Programme_Grunddaten!AG303="Ja",1,0),"")</f>
        <v/>
      </c>
      <c r="Z298" s="1" t="str">
        <f>IF(AND(Programme_Grunddaten!$A303="Geprüft",Programme_Grunddaten!AH303&lt;&gt;""),IF(Programme_Grunddaten!AH303="Ja",1,0),"")</f>
        <v/>
      </c>
      <c r="AA298" s="1" t="str">
        <f>IF(AND(Programme_Grunddaten!$A303="Geprüft",Programme_Grunddaten!AI303&lt;&gt;""),IF(Programme_Grunddaten!AI303="Ja",1,0),"")</f>
        <v/>
      </c>
      <c r="AB298" s="1" t="str">
        <f>IF(AND(Programme_Grunddaten!$A303="Geprüft",Programme_Grunddaten!AJ303&lt;&gt;""),IF(Programme_Grunddaten!AJ303="individuell programmierbar",1,0),"")</f>
        <v/>
      </c>
      <c r="AC298" s="1" t="str">
        <f>IF(AND(Programme_Grunddaten!$A303="Geprüft",Programme_Grunddaten!AK303&lt;&gt;""),IF(Programme_Grunddaten!AK303="Deutsch",0,IF(Programme_Grunddaten!AK303="Deutsch und Englisch",1,2)),"")</f>
        <v/>
      </c>
      <c r="AD298" s="1" t="str">
        <f>IF(AND(Programme_Grunddaten!$A303="Geprüft",Programme_Grunddaten!AL303&lt;&gt;""),IF(Programme_Grunddaten!AL303="Ja",1,0),"")</f>
        <v/>
      </c>
      <c r="AE298" s="1" t="str">
        <f>IF(AND(Programme_Grunddaten!$A303="Geprüft",Programme_Grunddaten!AM303&lt;&gt;""),IF(Programme_Grunddaten!AM303="Ja",1,0),"")</f>
        <v/>
      </c>
      <c r="AF298" s="1" t="str">
        <f>IF(AND(Programme_Grunddaten!$A303="Geprüft",Programme_Grunddaten!AN303&lt;&gt;""),IF(Programme_Grunddaten!AN303="Ja",1,0),"")</f>
        <v/>
      </c>
      <c r="AG298" s="1" t="str">
        <f>IF(AND(Programme_Grunddaten!$A303="Geprüft",Programme_Grunddaten!AO303&lt;&gt;""),IF(Programme_Grunddaten!AO303="Ja",1,0),"")</f>
        <v/>
      </c>
      <c r="AH298" s="1" t="str">
        <f>IF(AND(Programme_Grunddaten!$A303="Geprüft",Programme_Grunddaten!AP303&lt;&gt;""),IF(Programme_Grunddaten!AP303="Ja",1,0),"")</f>
        <v/>
      </c>
      <c r="AI298" s="1" t="str">
        <f>IF(AND(Programme_Grunddaten!$A303="Geprüft",Programme_Grunddaten!AQ303&lt;&gt;""),IF(Programme_Grunddaten!AQ303="Ja",1,0),"")</f>
        <v/>
      </c>
      <c r="AJ298" s="1" t="str">
        <f>IF(AND(Programme_Grunddaten!$A303="Geprüft",Programme_Grunddaten!AR303&lt;&gt;""),IF(Programme_Grunddaten!AR303="Ja",1,0),"")</f>
        <v/>
      </c>
      <c r="AK298" s="1" t="str">
        <f>IF(AND(Programme_Grunddaten!$A303="Geprüft",Programme_Grunddaten!AS303&lt;&gt;""),IF(Programme_Grunddaten!AS303="Ja",1,0),"")</f>
        <v/>
      </c>
      <c r="AL298" s="1" t="str">
        <f>IF(AND(Programme_Grunddaten!$A303="Geprüft",Programme_Grunddaten!AT303&lt;&gt;""),IF(Programme_Grunddaten!AT303="Ja",1,0),"")</f>
        <v/>
      </c>
      <c r="AM298" s="1" t="str">
        <f>IF(AND(Programme_Grunddaten!$A303="Geprüft",Programme_Grunddaten!AU303&lt;&gt;""),IF(Programme_Grunddaten!AU303="Ja",1,0),"")</f>
        <v/>
      </c>
      <c r="AN298" s="1" t="str">
        <f>IF(AND(Programme_Grunddaten!$A303="Geprüft",Programme_Grunddaten!AV303&lt;&gt;""),IF(Programme_Grunddaten!AV303="Ja",1,0),"")</f>
        <v/>
      </c>
    </row>
    <row r="299" spans="1:40" x14ac:dyDescent="0.3">
      <c r="A299" s="1" t="str">
        <f>IF(AND(Programme_Grunddaten!A304="Geprüft",Programme_Grunddaten!B304&lt;&gt;""),Programme_Grunddaten!B304,"")</f>
        <v/>
      </c>
      <c r="B299" s="1" t="str">
        <f>IF(AND(Programme_Grunddaten!$A304="Geprüft",Programme_Grunddaten!I304&lt;&gt;""),IF(Programme_Grunddaten!I304="Ja",1,0),"")</f>
        <v/>
      </c>
      <c r="C299" s="1" t="str">
        <f>IF(AND(Programme_Grunddaten!$A304="Geprüft",Programme_Grunddaten!J304&lt;&gt;""),IF(Programme_Grunddaten!J304="Ja",1,0),"")</f>
        <v/>
      </c>
      <c r="D299" s="1" t="str">
        <f>IF(AND(Programme_Grunddaten!$A304="Geprüft",Programme_Grunddaten!K304&lt;&gt;""),IF(Programme_Grunddaten!K304="Ja",1,0),"")</f>
        <v/>
      </c>
      <c r="E299" s="1" t="str">
        <f>IF(AND(Programme_Grunddaten!$A304="Geprüft",Programme_Grunddaten!L304&lt;&gt;""),IF(Programme_Grunddaten!L304="Abo / befristete Lizenz",1,0),"")</f>
        <v/>
      </c>
      <c r="F299" s="1" t="str">
        <f>IF(AND(Programme_Grunddaten!$A304="Geprüft",Programme_Grunddaten!M304&lt;&gt;""),IF(Programme_Grunddaten!M304="Ja",1,0),"")</f>
        <v/>
      </c>
      <c r="G299" s="1" t="str">
        <f>IF(AND(Programme_Grunddaten!$A304="Geprüft",Programme_Grunddaten!N304&lt;&gt;""),IF(Programme_Grunddaten!N304="Ja",1,0),"")</f>
        <v/>
      </c>
      <c r="H299" s="1" t="str">
        <f>IF(AND(Programme_Grunddaten!$A304="Geprüft",Programme_Grunddaten!O304&lt;&gt;""),IF(Programme_Grunddaten!O304="Deutschland",0,IF(Programme_Grunddaten!O304="EU",1,2)),"")</f>
        <v/>
      </c>
      <c r="I299" s="1" t="str">
        <f>IF(AND(Programme_Grunddaten!$A304="Geprüft",Programme_Grunddaten!P304&lt;&gt;""),IF(Programme_Grunddaten!P304="Ja",1,0),"")</f>
        <v/>
      </c>
      <c r="J299" s="1" t="str">
        <f>IF(AND(Programme_Grunddaten!$A304="Geprüft",Programme_Grunddaten!Q304&lt;&gt;""),IF(Programme_Grunddaten!Q304="geschlossenes System",1,0),"")</f>
        <v/>
      </c>
      <c r="K299" s="1" t="str">
        <f>IF(AND(Programme_Grunddaten!$A304="Geprüft",Programme_Grunddaten!R304&lt;&gt;""),IF(Programme_Grunddaten!R304="Ja",1,0),"")</f>
        <v/>
      </c>
      <c r="L299" s="1" t="str">
        <f>IF(AND(Programme_Grunddaten!$A304="Geprüft",Programme_Grunddaten!T304&lt;&gt;""),IF(Programme_Grunddaten!T304="Ja",1,0),"")</f>
        <v/>
      </c>
      <c r="M299" s="1" t="str">
        <f>IF(AND(Programme_Grunddaten!$A304="Geprüft",Programme_Grunddaten!U304&lt;&gt;""),IF(Programme_Grunddaten!U304="Ja",1,0),"")</f>
        <v/>
      </c>
      <c r="N299" s="1" t="str">
        <f>IF(AND(Programme_Grunddaten!$A304="Geprüft",Programme_Grunddaten!V304&lt;&gt;""),IF(Programme_Grunddaten!V304="Ja",1,0),"")</f>
        <v/>
      </c>
      <c r="O299" s="1" t="str">
        <f>IF(AND(Programme_Grunddaten!$A304="Geprüft",Programme_Grunddaten!W304&lt;&gt;""),IF(Programme_Grunddaten!W304="Ja",1,0),"")</f>
        <v/>
      </c>
      <c r="P299" s="1" t="str">
        <f>IF(AND(Programme_Grunddaten!$A304="Geprüft",Programme_Grunddaten!X304&lt;&gt;""),IF(Programme_Grunddaten!X304="Ja",1,0),"")</f>
        <v/>
      </c>
      <c r="Q299" s="1" t="str">
        <f>IF(AND(Programme_Grunddaten!$A304="Geprüft",Programme_Grunddaten!Y304&lt;&gt;""),IF(Programme_Grunddaten!Y304="Ja",1,0),"")</f>
        <v/>
      </c>
      <c r="R299" s="1" t="str">
        <f>IF(AND(Programme_Grunddaten!$A304="Geprüft",Programme_Grunddaten!Z304&lt;&gt;""),IF(Programme_Grunddaten!Z304="Ja",1,0),"")</f>
        <v/>
      </c>
      <c r="S299" s="1" t="str">
        <f>IF(AND(Programme_Grunddaten!$A304="Geprüft",Programme_Grunddaten!AA304&lt;&gt;""),IF(Programme_Grunddaten!AA304="monolithisch",1,0),"")</f>
        <v/>
      </c>
      <c r="T299" s="1" t="str">
        <f>IF(AND(Programme_Grunddaten!$A304="Geprüft",Programme_Grunddaten!AB304&lt;&gt;""),IF(Programme_Grunddaten!AB304="Ja",1,0),"")</f>
        <v/>
      </c>
      <c r="U299" s="1" t="str">
        <f>IF(AND(Programme_Grunddaten!$A304="Geprüft",Programme_Grunddaten!AC304&lt;&gt;""),IF(Programme_Grunddaten!AC304="Ja",1,0),"")</f>
        <v/>
      </c>
      <c r="V299" s="1" t="str">
        <f>IF(AND(Programme_Grunddaten!$A304="Geprüft",Programme_Grunddaten!AD304&lt;&gt;""),IF(Programme_Grunddaten!AD304="Ja",1,0),"")</f>
        <v/>
      </c>
      <c r="W299" s="1" t="str">
        <f>IF(AND(Programme_Grunddaten!$A304="Geprüft",Programme_Grunddaten!AE304&lt;&gt;""),IF(Programme_Grunddaten!AE304="Ja",1,0),"")</f>
        <v/>
      </c>
      <c r="X299" s="1" t="str">
        <f>IF(AND(Programme_Grunddaten!$A304="Geprüft",Programme_Grunddaten!AF304&lt;&gt;""),IF(Programme_Grunddaten!AF304="Ja",1,0),"")</f>
        <v/>
      </c>
      <c r="Y299" s="1" t="str">
        <f>IF(AND(Programme_Grunddaten!$A304="Geprüft",Programme_Grunddaten!AG304&lt;&gt;""),IF(Programme_Grunddaten!AG304="Ja",1,0),"")</f>
        <v/>
      </c>
      <c r="Z299" s="1" t="str">
        <f>IF(AND(Programme_Grunddaten!$A304="Geprüft",Programme_Grunddaten!AH304&lt;&gt;""),IF(Programme_Grunddaten!AH304="Ja",1,0),"")</f>
        <v/>
      </c>
      <c r="AA299" s="1" t="str">
        <f>IF(AND(Programme_Grunddaten!$A304="Geprüft",Programme_Grunddaten!AI304&lt;&gt;""),IF(Programme_Grunddaten!AI304="Ja",1,0),"")</f>
        <v/>
      </c>
      <c r="AB299" s="1" t="str">
        <f>IF(AND(Programme_Grunddaten!$A304="Geprüft",Programme_Grunddaten!AJ304&lt;&gt;""),IF(Programme_Grunddaten!AJ304="individuell programmierbar",1,0),"")</f>
        <v/>
      </c>
      <c r="AC299" s="1" t="str">
        <f>IF(AND(Programme_Grunddaten!$A304="Geprüft",Programme_Grunddaten!AK304&lt;&gt;""),IF(Programme_Grunddaten!AK304="Deutsch",0,IF(Programme_Grunddaten!AK304="Deutsch und Englisch",1,2)),"")</f>
        <v/>
      </c>
      <c r="AD299" s="1" t="str">
        <f>IF(AND(Programme_Grunddaten!$A304="Geprüft",Programme_Grunddaten!AL304&lt;&gt;""),IF(Programme_Grunddaten!AL304="Ja",1,0),"")</f>
        <v/>
      </c>
      <c r="AE299" s="1" t="str">
        <f>IF(AND(Programme_Grunddaten!$A304="Geprüft",Programme_Grunddaten!AM304&lt;&gt;""),IF(Programme_Grunddaten!AM304="Ja",1,0),"")</f>
        <v/>
      </c>
      <c r="AF299" s="1" t="str">
        <f>IF(AND(Programme_Grunddaten!$A304="Geprüft",Programme_Grunddaten!AN304&lt;&gt;""),IF(Programme_Grunddaten!AN304="Ja",1,0),"")</f>
        <v/>
      </c>
      <c r="AG299" s="1" t="str">
        <f>IF(AND(Programme_Grunddaten!$A304="Geprüft",Programme_Grunddaten!AO304&lt;&gt;""),IF(Programme_Grunddaten!AO304="Ja",1,0),"")</f>
        <v/>
      </c>
      <c r="AH299" s="1" t="str">
        <f>IF(AND(Programme_Grunddaten!$A304="Geprüft",Programme_Grunddaten!AP304&lt;&gt;""),IF(Programme_Grunddaten!AP304="Ja",1,0),"")</f>
        <v/>
      </c>
      <c r="AI299" s="1" t="str">
        <f>IF(AND(Programme_Grunddaten!$A304="Geprüft",Programme_Grunddaten!AQ304&lt;&gt;""),IF(Programme_Grunddaten!AQ304="Ja",1,0),"")</f>
        <v/>
      </c>
      <c r="AJ299" s="1" t="str">
        <f>IF(AND(Programme_Grunddaten!$A304="Geprüft",Programme_Grunddaten!AR304&lt;&gt;""),IF(Programme_Grunddaten!AR304="Ja",1,0),"")</f>
        <v/>
      </c>
      <c r="AK299" s="1" t="str">
        <f>IF(AND(Programme_Grunddaten!$A304="Geprüft",Programme_Grunddaten!AS304&lt;&gt;""),IF(Programme_Grunddaten!AS304="Ja",1,0),"")</f>
        <v/>
      </c>
      <c r="AL299" s="1" t="str">
        <f>IF(AND(Programme_Grunddaten!$A304="Geprüft",Programme_Grunddaten!AT304&lt;&gt;""),IF(Programme_Grunddaten!AT304="Ja",1,0),"")</f>
        <v/>
      </c>
      <c r="AM299" s="1" t="str">
        <f>IF(AND(Programme_Grunddaten!$A304="Geprüft",Programme_Grunddaten!AU304&lt;&gt;""),IF(Programme_Grunddaten!AU304="Ja",1,0),"")</f>
        <v/>
      </c>
      <c r="AN299" s="1" t="str">
        <f>IF(AND(Programme_Grunddaten!$A304="Geprüft",Programme_Grunddaten!AV304&lt;&gt;""),IF(Programme_Grunddaten!AV304="Ja",1,0),"")</f>
        <v/>
      </c>
    </row>
    <row r="300" spans="1:40" x14ac:dyDescent="0.3">
      <c r="A300" s="1" t="str">
        <f>IF(AND(Programme_Grunddaten!A305="Geprüft",Programme_Grunddaten!B305&lt;&gt;""),Programme_Grunddaten!B305,"")</f>
        <v/>
      </c>
      <c r="B300" s="1" t="str">
        <f>IF(AND(Programme_Grunddaten!$A305="Geprüft",Programme_Grunddaten!I305&lt;&gt;""),IF(Programme_Grunddaten!I305="Ja",1,0),"")</f>
        <v/>
      </c>
      <c r="C300" s="1" t="str">
        <f>IF(AND(Programme_Grunddaten!$A305="Geprüft",Programme_Grunddaten!J305&lt;&gt;""),IF(Programme_Grunddaten!J305="Ja",1,0),"")</f>
        <v/>
      </c>
      <c r="D300" s="1" t="str">
        <f>IF(AND(Programme_Grunddaten!$A305="Geprüft",Programme_Grunddaten!K305&lt;&gt;""),IF(Programme_Grunddaten!K305="Ja",1,0),"")</f>
        <v/>
      </c>
      <c r="E300" s="1" t="str">
        <f>IF(AND(Programme_Grunddaten!$A305="Geprüft",Programme_Grunddaten!L305&lt;&gt;""),IF(Programme_Grunddaten!L305="Abo / befristete Lizenz",1,0),"")</f>
        <v/>
      </c>
      <c r="F300" s="1" t="str">
        <f>IF(AND(Programme_Grunddaten!$A305="Geprüft",Programme_Grunddaten!M305&lt;&gt;""),IF(Programme_Grunddaten!M305="Ja",1,0),"")</f>
        <v/>
      </c>
      <c r="G300" s="1" t="str">
        <f>IF(AND(Programme_Grunddaten!$A305="Geprüft",Programme_Grunddaten!N305&lt;&gt;""),IF(Programme_Grunddaten!N305="Ja",1,0),"")</f>
        <v/>
      </c>
      <c r="H300" s="1" t="str">
        <f>IF(AND(Programme_Grunddaten!$A305="Geprüft",Programme_Grunddaten!O305&lt;&gt;""),IF(Programme_Grunddaten!O305="Deutschland",0,IF(Programme_Grunddaten!O305="EU",1,2)),"")</f>
        <v/>
      </c>
      <c r="I300" s="1" t="str">
        <f>IF(AND(Programme_Grunddaten!$A305="Geprüft",Programme_Grunddaten!P305&lt;&gt;""),IF(Programme_Grunddaten!P305="Ja",1,0),"")</f>
        <v/>
      </c>
      <c r="J300" s="1" t="str">
        <f>IF(AND(Programme_Grunddaten!$A305="Geprüft",Programme_Grunddaten!Q305&lt;&gt;""),IF(Programme_Grunddaten!Q305="geschlossenes System",1,0),"")</f>
        <v/>
      </c>
      <c r="K300" s="1" t="str">
        <f>IF(AND(Programme_Grunddaten!$A305="Geprüft",Programme_Grunddaten!R305&lt;&gt;""),IF(Programme_Grunddaten!R305="Ja",1,0),"")</f>
        <v/>
      </c>
      <c r="L300" s="1" t="str">
        <f>IF(AND(Programme_Grunddaten!$A305="Geprüft",Programme_Grunddaten!T305&lt;&gt;""),IF(Programme_Grunddaten!T305="Ja",1,0),"")</f>
        <v/>
      </c>
      <c r="M300" s="1" t="str">
        <f>IF(AND(Programme_Grunddaten!$A305="Geprüft",Programme_Grunddaten!U305&lt;&gt;""),IF(Programme_Grunddaten!U305="Ja",1,0),"")</f>
        <v/>
      </c>
      <c r="N300" s="1" t="str">
        <f>IF(AND(Programme_Grunddaten!$A305="Geprüft",Programme_Grunddaten!V305&lt;&gt;""),IF(Programme_Grunddaten!V305="Ja",1,0),"")</f>
        <v/>
      </c>
      <c r="O300" s="1" t="str">
        <f>IF(AND(Programme_Grunddaten!$A305="Geprüft",Programme_Grunddaten!W305&lt;&gt;""),IF(Programme_Grunddaten!W305="Ja",1,0),"")</f>
        <v/>
      </c>
      <c r="P300" s="1" t="str">
        <f>IF(AND(Programme_Grunddaten!$A305="Geprüft",Programme_Grunddaten!X305&lt;&gt;""),IF(Programme_Grunddaten!X305="Ja",1,0),"")</f>
        <v/>
      </c>
      <c r="Q300" s="1" t="str">
        <f>IF(AND(Programme_Grunddaten!$A305="Geprüft",Programme_Grunddaten!Y305&lt;&gt;""),IF(Programme_Grunddaten!Y305="Ja",1,0),"")</f>
        <v/>
      </c>
      <c r="R300" s="1" t="str">
        <f>IF(AND(Programme_Grunddaten!$A305="Geprüft",Programme_Grunddaten!Z305&lt;&gt;""),IF(Programme_Grunddaten!Z305="Ja",1,0),"")</f>
        <v/>
      </c>
      <c r="S300" s="1" t="str">
        <f>IF(AND(Programme_Grunddaten!$A305="Geprüft",Programme_Grunddaten!AA305&lt;&gt;""),IF(Programme_Grunddaten!AA305="monolithisch",1,0),"")</f>
        <v/>
      </c>
      <c r="T300" s="1" t="str">
        <f>IF(AND(Programme_Grunddaten!$A305="Geprüft",Programme_Grunddaten!AB305&lt;&gt;""),IF(Programme_Grunddaten!AB305="Ja",1,0),"")</f>
        <v/>
      </c>
      <c r="U300" s="1" t="str">
        <f>IF(AND(Programme_Grunddaten!$A305="Geprüft",Programme_Grunddaten!AC305&lt;&gt;""),IF(Programme_Grunddaten!AC305="Ja",1,0),"")</f>
        <v/>
      </c>
      <c r="V300" s="1" t="str">
        <f>IF(AND(Programme_Grunddaten!$A305="Geprüft",Programme_Grunddaten!AD305&lt;&gt;""),IF(Programme_Grunddaten!AD305="Ja",1,0),"")</f>
        <v/>
      </c>
      <c r="W300" s="1" t="str">
        <f>IF(AND(Programme_Grunddaten!$A305="Geprüft",Programme_Grunddaten!AE305&lt;&gt;""),IF(Programme_Grunddaten!AE305="Ja",1,0),"")</f>
        <v/>
      </c>
      <c r="X300" s="1" t="str">
        <f>IF(AND(Programme_Grunddaten!$A305="Geprüft",Programme_Grunddaten!AF305&lt;&gt;""),IF(Programme_Grunddaten!AF305="Ja",1,0),"")</f>
        <v/>
      </c>
      <c r="Y300" s="1" t="str">
        <f>IF(AND(Programme_Grunddaten!$A305="Geprüft",Programme_Grunddaten!AG305&lt;&gt;""),IF(Programme_Grunddaten!AG305="Ja",1,0),"")</f>
        <v/>
      </c>
      <c r="Z300" s="1" t="str">
        <f>IF(AND(Programme_Grunddaten!$A305="Geprüft",Programme_Grunddaten!AH305&lt;&gt;""),IF(Programme_Grunddaten!AH305="Ja",1,0),"")</f>
        <v/>
      </c>
      <c r="AA300" s="1" t="str">
        <f>IF(AND(Programme_Grunddaten!$A305="Geprüft",Programme_Grunddaten!AI305&lt;&gt;""),IF(Programme_Grunddaten!AI305="Ja",1,0),"")</f>
        <v/>
      </c>
      <c r="AB300" s="1" t="str">
        <f>IF(AND(Programme_Grunddaten!$A305="Geprüft",Programme_Grunddaten!AJ305&lt;&gt;""),IF(Programme_Grunddaten!AJ305="individuell programmierbar",1,0),"")</f>
        <v/>
      </c>
      <c r="AC300" s="1" t="str">
        <f>IF(AND(Programme_Grunddaten!$A305="Geprüft",Programme_Grunddaten!AK305&lt;&gt;""),IF(Programme_Grunddaten!AK305="Deutsch",0,IF(Programme_Grunddaten!AK305="Deutsch und Englisch",1,2)),"")</f>
        <v/>
      </c>
      <c r="AD300" s="1" t="str">
        <f>IF(AND(Programme_Grunddaten!$A305="Geprüft",Programme_Grunddaten!AL305&lt;&gt;""),IF(Programme_Grunddaten!AL305="Ja",1,0),"")</f>
        <v/>
      </c>
      <c r="AE300" s="1" t="str">
        <f>IF(AND(Programme_Grunddaten!$A305="Geprüft",Programme_Grunddaten!AM305&lt;&gt;""),IF(Programme_Grunddaten!AM305="Ja",1,0),"")</f>
        <v/>
      </c>
      <c r="AF300" s="1" t="str">
        <f>IF(AND(Programme_Grunddaten!$A305="Geprüft",Programme_Grunddaten!AN305&lt;&gt;""),IF(Programme_Grunddaten!AN305="Ja",1,0),"")</f>
        <v/>
      </c>
      <c r="AG300" s="1" t="str">
        <f>IF(AND(Programme_Grunddaten!$A305="Geprüft",Programme_Grunddaten!AO305&lt;&gt;""),IF(Programme_Grunddaten!AO305="Ja",1,0),"")</f>
        <v/>
      </c>
      <c r="AH300" s="1" t="str">
        <f>IF(AND(Programme_Grunddaten!$A305="Geprüft",Programme_Grunddaten!AP305&lt;&gt;""),IF(Programme_Grunddaten!AP305="Ja",1,0),"")</f>
        <v/>
      </c>
      <c r="AI300" s="1" t="str">
        <f>IF(AND(Programme_Grunddaten!$A305="Geprüft",Programme_Grunddaten!AQ305&lt;&gt;""),IF(Programme_Grunddaten!AQ305="Ja",1,0),"")</f>
        <v/>
      </c>
      <c r="AJ300" s="1" t="str">
        <f>IF(AND(Programme_Grunddaten!$A305="Geprüft",Programme_Grunddaten!AR305&lt;&gt;""),IF(Programme_Grunddaten!AR305="Ja",1,0),"")</f>
        <v/>
      </c>
      <c r="AK300" s="1" t="str">
        <f>IF(AND(Programme_Grunddaten!$A305="Geprüft",Programme_Grunddaten!AS305&lt;&gt;""),IF(Programme_Grunddaten!AS305="Ja",1,0),"")</f>
        <v/>
      </c>
      <c r="AL300" s="1" t="str">
        <f>IF(AND(Programme_Grunddaten!$A305="Geprüft",Programme_Grunddaten!AT305&lt;&gt;""),IF(Programme_Grunddaten!AT305="Ja",1,0),"")</f>
        <v/>
      </c>
      <c r="AM300" s="1" t="str">
        <f>IF(AND(Programme_Grunddaten!$A305="Geprüft",Programme_Grunddaten!AU305&lt;&gt;""),IF(Programme_Grunddaten!AU305="Ja",1,0),"")</f>
        <v/>
      </c>
      <c r="AN300" s="1" t="str">
        <f>IF(AND(Programme_Grunddaten!$A305="Geprüft",Programme_Grunddaten!AV305&lt;&gt;""),IF(Programme_Grunddaten!AV305="Ja",1,0),"")</f>
        <v/>
      </c>
    </row>
    <row r="301" spans="1:40" x14ac:dyDescent="0.3">
      <c r="A301" s="1" t="str">
        <f>IF(AND(Programme_Grunddaten!A306="Geprüft",Programme_Grunddaten!B306&lt;&gt;""),Programme_Grunddaten!B306,"")</f>
        <v/>
      </c>
      <c r="B301" s="1" t="str">
        <f>IF(AND(Programme_Grunddaten!$A306="Geprüft",Programme_Grunddaten!I306&lt;&gt;""),IF(Programme_Grunddaten!I306="Ja",1,0),"")</f>
        <v/>
      </c>
      <c r="C301" s="1" t="str">
        <f>IF(AND(Programme_Grunddaten!$A306="Geprüft",Programme_Grunddaten!J306&lt;&gt;""),IF(Programme_Grunddaten!J306="Ja",1,0),"")</f>
        <v/>
      </c>
      <c r="D301" s="1" t="str">
        <f>IF(AND(Programme_Grunddaten!$A306="Geprüft",Programme_Grunddaten!K306&lt;&gt;""),IF(Programme_Grunddaten!K306="Ja",1,0),"")</f>
        <v/>
      </c>
      <c r="E301" s="1" t="str">
        <f>IF(AND(Programme_Grunddaten!$A306="Geprüft",Programme_Grunddaten!L306&lt;&gt;""),IF(Programme_Grunddaten!L306="Abo / befristete Lizenz",1,0),"")</f>
        <v/>
      </c>
      <c r="F301" s="1" t="str">
        <f>IF(AND(Programme_Grunddaten!$A306="Geprüft",Programme_Grunddaten!M306&lt;&gt;""),IF(Programme_Grunddaten!M306="Ja",1,0),"")</f>
        <v/>
      </c>
      <c r="G301" s="1" t="str">
        <f>IF(AND(Programme_Grunddaten!$A306="Geprüft",Programme_Grunddaten!N306&lt;&gt;""),IF(Programme_Grunddaten!N306="Ja",1,0),"")</f>
        <v/>
      </c>
      <c r="H301" s="1" t="str">
        <f>IF(AND(Programme_Grunddaten!$A306="Geprüft",Programme_Grunddaten!O306&lt;&gt;""),IF(Programme_Grunddaten!O306="Deutschland",0,IF(Programme_Grunddaten!O306="EU",1,2)),"")</f>
        <v/>
      </c>
      <c r="I301" s="1" t="str">
        <f>IF(AND(Programme_Grunddaten!$A306="Geprüft",Programme_Grunddaten!P306&lt;&gt;""),IF(Programme_Grunddaten!P306="Ja",1,0),"")</f>
        <v/>
      </c>
      <c r="J301" s="1" t="str">
        <f>IF(AND(Programme_Grunddaten!$A306="Geprüft",Programme_Grunddaten!Q306&lt;&gt;""),IF(Programme_Grunddaten!Q306="geschlossenes System",1,0),"")</f>
        <v/>
      </c>
      <c r="K301" s="1" t="str">
        <f>IF(AND(Programme_Grunddaten!$A306="Geprüft",Programme_Grunddaten!R306&lt;&gt;""),IF(Programme_Grunddaten!R306="Ja",1,0),"")</f>
        <v/>
      </c>
      <c r="L301" s="1" t="str">
        <f>IF(AND(Programme_Grunddaten!$A306="Geprüft",Programme_Grunddaten!T306&lt;&gt;""),IF(Programme_Grunddaten!T306="Ja",1,0),"")</f>
        <v/>
      </c>
      <c r="M301" s="1" t="str">
        <f>IF(AND(Programme_Grunddaten!$A306="Geprüft",Programme_Grunddaten!U306&lt;&gt;""),IF(Programme_Grunddaten!U306="Ja",1,0),"")</f>
        <v/>
      </c>
      <c r="N301" s="1" t="str">
        <f>IF(AND(Programme_Grunddaten!$A306="Geprüft",Programme_Grunddaten!V306&lt;&gt;""),IF(Programme_Grunddaten!V306="Ja",1,0),"")</f>
        <v/>
      </c>
      <c r="O301" s="1" t="str">
        <f>IF(AND(Programme_Grunddaten!$A306="Geprüft",Programme_Grunddaten!W306&lt;&gt;""),IF(Programme_Grunddaten!W306="Ja",1,0),"")</f>
        <v/>
      </c>
      <c r="P301" s="1" t="str">
        <f>IF(AND(Programme_Grunddaten!$A306="Geprüft",Programme_Grunddaten!X306&lt;&gt;""),IF(Programme_Grunddaten!X306="Ja",1,0),"")</f>
        <v/>
      </c>
      <c r="Q301" s="1" t="str">
        <f>IF(AND(Programme_Grunddaten!$A306="Geprüft",Programme_Grunddaten!Y306&lt;&gt;""),IF(Programme_Grunddaten!Y306="Ja",1,0),"")</f>
        <v/>
      </c>
      <c r="R301" s="1" t="str">
        <f>IF(AND(Programme_Grunddaten!$A306="Geprüft",Programme_Grunddaten!Z306&lt;&gt;""),IF(Programme_Grunddaten!Z306="Ja",1,0),"")</f>
        <v/>
      </c>
      <c r="S301" s="1" t="str">
        <f>IF(AND(Programme_Grunddaten!$A306="Geprüft",Programme_Grunddaten!AA306&lt;&gt;""),IF(Programme_Grunddaten!AA306="monolithisch",1,0),"")</f>
        <v/>
      </c>
      <c r="T301" s="1" t="str">
        <f>IF(AND(Programme_Grunddaten!$A306="Geprüft",Programme_Grunddaten!AB306&lt;&gt;""),IF(Programme_Grunddaten!AB306="Ja",1,0),"")</f>
        <v/>
      </c>
      <c r="U301" s="1" t="str">
        <f>IF(AND(Programme_Grunddaten!$A306="Geprüft",Programme_Grunddaten!AC306&lt;&gt;""),IF(Programme_Grunddaten!AC306="Ja",1,0),"")</f>
        <v/>
      </c>
      <c r="V301" s="1" t="str">
        <f>IF(AND(Programme_Grunddaten!$A306="Geprüft",Programme_Grunddaten!AD306&lt;&gt;""),IF(Programme_Grunddaten!AD306="Ja",1,0),"")</f>
        <v/>
      </c>
      <c r="W301" s="1" t="str">
        <f>IF(AND(Programme_Grunddaten!$A306="Geprüft",Programme_Grunddaten!AE306&lt;&gt;""),IF(Programme_Grunddaten!AE306="Ja",1,0),"")</f>
        <v/>
      </c>
      <c r="X301" s="1" t="str">
        <f>IF(AND(Programme_Grunddaten!$A306="Geprüft",Programme_Grunddaten!AF306&lt;&gt;""),IF(Programme_Grunddaten!AF306="Ja",1,0),"")</f>
        <v/>
      </c>
      <c r="Y301" s="1" t="str">
        <f>IF(AND(Programme_Grunddaten!$A306="Geprüft",Programme_Grunddaten!AG306&lt;&gt;""),IF(Programme_Grunddaten!AG306="Ja",1,0),"")</f>
        <v/>
      </c>
      <c r="Z301" s="1" t="str">
        <f>IF(AND(Programme_Grunddaten!$A306="Geprüft",Programme_Grunddaten!AH306&lt;&gt;""),IF(Programme_Grunddaten!AH306="Ja",1,0),"")</f>
        <v/>
      </c>
      <c r="AA301" s="1" t="str">
        <f>IF(AND(Programme_Grunddaten!$A306="Geprüft",Programme_Grunddaten!AI306&lt;&gt;""),IF(Programme_Grunddaten!AI306="Ja",1,0),"")</f>
        <v/>
      </c>
      <c r="AB301" s="1" t="str">
        <f>IF(AND(Programme_Grunddaten!$A306="Geprüft",Programme_Grunddaten!AJ306&lt;&gt;""),IF(Programme_Grunddaten!AJ306="individuell programmierbar",1,0),"")</f>
        <v/>
      </c>
      <c r="AC301" s="1" t="str">
        <f>IF(AND(Programme_Grunddaten!$A306="Geprüft",Programme_Grunddaten!AK306&lt;&gt;""),IF(Programme_Grunddaten!AK306="Deutsch",0,IF(Programme_Grunddaten!AK306="Deutsch und Englisch",1,2)),"")</f>
        <v/>
      </c>
      <c r="AD301" s="1" t="str">
        <f>IF(AND(Programme_Grunddaten!$A306="Geprüft",Programme_Grunddaten!AL306&lt;&gt;""),IF(Programme_Grunddaten!AL306="Ja",1,0),"")</f>
        <v/>
      </c>
      <c r="AE301" s="1" t="str">
        <f>IF(AND(Programme_Grunddaten!$A306="Geprüft",Programme_Grunddaten!AM306&lt;&gt;""),IF(Programme_Grunddaten!AM306="Ja",1,0),"")</f>
        <v/>
      </c>
      <c r="AF301" s="1" t="str">
        <f>IF(AND(Programme_Grunddaten!$A306="Geprüft",Programme_Grunddaten!AN306&lt;&gt;""),IF(Programme_Grunddaten!AN306="Ja",1,0),"")</f>
        <v/>
      </c>
      <c r="AG301" s="1" t="str">
        <f>IF(AND(Programme_Grunddaten!$A306="Geprüft",Programme_Grunddaten!AO306&lt;&gt;""),IF(Programme_Grunddaten!AO306="Ja",1,0),"")</f>
        <v/>
      </c>
      <c r="AH301" s="1" t="str">
        <f>IF(AND(Programme_Grunddaten!$A306="Geprüft",Programme_Grunddaten!AP306&lt;&gt;""),IF(Programme_Grunddaten!AP306="Ja",1,0),"")</f>
        <v/>
      </c>
      <c r="AI301" s="1" t="str">
        <f>IF(AND(Programme_Grunddaten!$A306="Geprüft",Programme_Grunddaten!AQ306&lt;&gt;""),IF(Programme_Grunddaten!AQ306="Ja",1,0),"")</f>
        <v/>
      </c>
      <c r="AJ301" s="1" t="str">
        <f>IF(AND(Programme_Grunddaten!$A306="Geprüft",Programme_Grunddaten!AR306&lt;&gt;""),IF(Programme_Grunddaten!AR306="Ja",1,0),"")</f>
        <v/>
      </c>
      <c r="AK301" s="1" t="str">
        <f>IF(AND(Programme_Grunddaten!$A306="Geprüft",Programme_Grunddaten!AS306&lt;&gt;""),IF(Programme_Grunddaten!AS306="Ja",1,0),"")</f>
        <v/>
      </c>
      <c r="AL301" s="1" t="str">
        <f>IF(AND(Programme_Grunddaten!$A306="Geprüft",Programme_Grunddaten!AT306&lt;&gt;""),IF(Programme_Grunddaten!AT306="Ja",1,0),"")</f>
        <v/>
      </c>
      <c r="AM301" s="1" t="str">
        <f>IF(AND(Programme_Grunddaten!$A306="Geprüft",Programme_Grunddaten!AU306&lt;&gt;""),IF(Programme_Grunddaten!AU306="Ja",1,0),"")</f>
        <v/>
      </c>
      <c r="AN301" s="1" t="str">
        <f>IF(AND(Programme_Grunddaten!$A306="Geprüft",Programme_Grunddaten!AV306&lt;&gt;""),IF(Programme_Grunddaten!AV306="Ja",1,0),"")</f>
        <v/>
      </c>
    </row>
    <row r="302" spans="1:40" x14ac:dyDescent="0.3">
      <c r="A302" s="1" t="str">
        <f>IF(AND(Programme_Grunddaten!A307="Geprüft",Programme_Grunddaten!B307&lt;&gt;""),Programme_Grunddaten!B307,"")</f>
        <v/>
      </c>
      <c r="B302" s="1" t="str">
        <f>IF(AND(Programme_Grunddaten!$A307="Geprüft",Programme_Grunddaten!I307&lt;&gt;""),IF(Programme_Grunddaten!I307="Ja",1,0),"")</f>
        <v/>
      </c>
      <c r="C302" s="1" t="str">
        <f>IF(AND(Programme_Grunddaten!$A307="Geprüft",Programme_Grunddaten!J307&lt;&gt;""),IF(Programme_Grunddaten!J307="Ja",1,0),"")</f>
        <v/>
      </c>
      <c r="D302" s="1" t="str">
        <f>IF(AND(Programme_Grunddaten!$A307="Geprüft",Programme_Grunddaten!K307&lt;&gt;""),IF(Programme_Grunddaten!K307="Ja",1,0),"")</f>
        <v/>
      </c>
      <c r="E302" s="1" t="str">
        <f>IF(AND(Programme_Grunddaten!$A307="Geprüft",Programme_Grunddaten!L307&lt;&gt;""),IF(Programme_Grunddaten!L307="Abo / befristete Lizenz",1,0),"")</f>
        <v/>
      </c>
      <c r="F302" s="1" t="str">
        <f>IF(AND(Programme_Grunddaten!$A307="Geprüft",Programme_Grunddaten!M307&lt;&gt;""),IF(Programme_Grunddaten!M307="Ja",1,0),"")</f>
        <v/>
      </c>
      <c r="G302" s="1" t="str">
        <f>IF(AND(Programme_Grunddaten!$A307="Geprüft",Programme_Grunddaten!N307&lt;&gt;""),IF(Programme_Grunddaten!N307="Ja",1,0),"")</f>
        <v/>
      </c>
      <c r="H302" s="1" t="str">
        <f>IF(AND(Programme_Grunddaten!$A307="Geprüft",Programme_Grunddaten!O307&lt;&gt;""),IF(Programme_Grunddaten!O307="Deutschland",0,IF(Programme_Grunddaten!O307="EU",1,2)),"")</f>
        <v/>
      </c>
      <c r="I302" s="1" t="str">
        <f>IF(AND(Programme_Grunddaten!$A307="Geprüft",Programme_Grunddaten!P307&lt;&gt;""),IF(Programme_Grunddaten!P307="Ja",1,0),"")</f>
        <v/>
      </c>
      <c r="J302" s="1" t="str">
        <f>IF(AND(Programme_Grunddaten!$A307="Geprüft",Programme_Grunddaten!Q307&lt;&gt;""),IF(Programme_Grunddaten!Q307="geschlossenes System",1,0),"")</f>
        <v/>
      </c>
      <c r="K302" s="1" t="str">
        <f>IF(AND(Programme_Grunddaten!$A307="Geprüft",Programme_Grunddaten!R307&lt;&gt;""),IF(Programme_Grunddaten!R307="Ja",1,0),"")</f>
        <v/>
      </c>
      <c r="L302" s="1" t="str">
        <f>IF(AND(Programme_Grunddaten!$A307="Geprüft",Programme_Grunddaten!T307&lt;&gt;""),IF(Programme_Grunddaten!T307="Ja",1,0),"")</f>
        <v/>
      </c>
      <c r="M302" s="1" t="str">
        <f>IF(AND(Programme_Grunddaten!$A307="Geprüft",Programme_Grunddaten!U307&lt;&gt;""),IF(Programme_Grunddaten!U307="Ja",1,0),"")</f>
        <v/>
      </c>
      <c r="N302" s="1" t="str">
        <f>IF(AND(Programme_Grunddaten!$A307="Geprüft",Programme_Grunddaten!V307&lt;&gt;""),IF(Programme_Grunddaten!V307="Ja",1,0),"")</f>
        <v/>
      </c>
      <c r="O302" s="1" t="str">
        <f>IF(AND(Programme_Grunddaten!$A307="Geprüft",Programme_Grunddaten!W307&lt;&gt;""),IF(Programme_Grunddaten!W307="Ja",1,0),"")</f>
        <v/>
      </c>
      <c r="P302" s="1" t="str">
        <f>IF(AND(Programme_Grunddaten!$A307="Geprüft",Programme_Grunddaten!X307&lt;&gt;""),IF(Programme_Grunddaten!X307="Ja",1,0),"")</f>
        <v/>
      </c>
      <c r="Q302" s="1" t="str">
        <f>IF(AND(Programme_Grunddaten!$A307="Geprüft",Programme_Grunddaten!Y307&lt;&gt;""),IF(Programme_Grunddaten!Y307="Ja",1,0),"")</f>
        <v/>
      </c>
      <c r="R302" s="1" t="str">
        <f>IF(AND(Programme_Grunddaten!$A307="Geprüft",Programme_Grunddaten!Z307&lt;&gt;""),IF(Programme_Grunddaten!Z307="Ja",1,0),"")</f>
        <v/>
      </c>
      <c r="S302" s="1" t="str">
        <f>IF(AND(Programme_Grunddaten!$A307="Geprüft",Programme_Grunddaten!AA307&lt;&gt;""),IF(Programme_Grunddaten!AA307="monolithisch",1,0),"")</f>
        <v/>
      </c>
      <c r="T302" s="1" t="str">
        <f>IF(AND(Programme_Grunddaten!$A307="Geprüft",Programme_Grunddaten!AB307&lt;&gt;""),IF(Programme_Grunddaten!AB307="Ja",1,0),"")</f>
        <v/>
      </c>
      <c r="U302" s="1" t="str">
        <f>IF(AND(Programme_Grunddaten!$A307="Geprüft",Programme_Grunddaten!AC307&lt;&gt;""),IF(Programme_Grunddaten!AC307="Ja",1,0),"")</f>
        <v/>
      </c>
      <c r="V302" s="1" t="str">
        <f>IF(AND(Programme_Grunddaten!$A307="Geprüft",Programme_Grunddaten!AD307&lt;&gt;""),IF(Programme_Grunddaten!AD307="Ja",1,0),"")</f>
        <v/>
      </c>
      <c r="W302" s="1" t="str">
        <f>IF(AND(Programme_Grunddaten!$A307="Geprüft",Programme_Grunddaten!AE307&lt;&gt;""),IF(Programme_Grunddaten!AE307="Ja",1,0),"")</f>
        <v/>
      </c>
      <c r="X302" s="1" t="str">
        <f>IF(AND(Programme_Grunddaten!$A307="Geprüft",Programme_Grunddaten!AF307&lt;&gt;""),IF(Programme_Grunddaten!AF307="Ja",1,0),"")</f>
        <v/>
      </c>
      <c r="Y302" s="1" t="str">
        <f>IF(AND(Programme_Grunddaten!$A307="Geprüft",Programme_Grunddaten!AG307&lt;&gt;""),IF(Programme_Grunddaten!AG307="Ja",1,0),"")</f>
        <v/>
      </c>
      <c r="Z302" s="1" t="str">
        <f>IF(AND(Programme_Grunddaten!$A307="Geprüft",Programme_Grunddaten!AH307&lt;&gt;""),IF(Programme_Grunddaten!AH307="Ja",1,0),"")</f>
        <v/>
      </c>
      <c r="AA302" s="1" t="str">
        <f>IF(AND(Programme_Grunddaten!$A307="Geprüft",Programme_Grunddaten!AI307&lt;&gt;""),IF(Programme_Grunddaten!AI307="Ja",1,0),"")</f>
        <v/>
      </c>
      <c r="AB302" s="1" t="str">
        <f>IF(AND(Programme_Grunddaten!$A307="Geprüft",Programme_Grunddaten!AJ307&lt;&gt;""),IF(Programme_Grunddaten!AJ307="individuell programmierbar",1,0),"")</f>
        <v/>
      </c>
      <c r="AC302" s="1" t="str">
        <f>IF(AND(Programme_Grunddaten!$A307="Geprüft",Programme_Grunddaten!AK307&lt;&gt;""),IF(Programme_Grunddaten!AK307="Deutsch",0,IF(Programme_Grunddaten!AK307="Deutsch und Englisch",1,2)),"")</f>
        <v/>
      </c>
      <c r="AD302" s="1" t="str">
        <f>IF(AND(Programme_Grunddaten!$A307="Geprüft",Programme_Grunddaten!AL307&lt;&gt;""),IF(Programme_Grunddaten!AL307="Ja",1,0),"")</f>
        <v/>
      </c>
      <c r="AE302" s="1" t="str">
        <f>IF(AND(Programme_Grunddaten!$A307="Geprüft",Programme_Grunddaten!AM307&lt;&gt;""),IF(Programme_Grunddaten!AM307="Ja",1,0),"")</f>
        <v/>
      </c>
      <c r="AF302" s="1" t="str">
        <f>IF(AND(Programme_Grunddaten!$A307="Geprüft",Programme_Grunddaten!AN307&lt;&gt;""),IF(Programme_Grunddaten!AN307="Ja",1,0),"")</f>
        <v/>
      </c>
      <c r="AG302" s="1" t="str">
        <f>IF(AND(Programme_Grunddaten!$A307="Geprüft",Programme_Grunddaten!AO307&lt;&gt;""),IF(Programme_Grunddaten!AO307="Ja",1,0),"")</f>
        <v/>
      </c>
      <c r="AH302" s="1" t="str">
        <f>IF(AND(Programme_Grunddaten!$A307="Geprüft",Programme_Grunddaten!AP307&lt;&gt;""),IF(Programme_Grunddaten!AP307="Ja",1,0),"")</f>
        <v/>
      </c>
      <c r="AI302" s="1" t="str">
        <f>IF(AND(Programme_Grunddaten!$A307="Geprüft",Programme_Grunddaten!AQ307&lt;&gt;""),IF(Programme_Grunddaten!AQ307="Ja",1,0),"")</f>
        <v/>
      </c>
      <c r="AJ302" s="1" t="str">
        <f>IF(AND(Programme_Grunddaten!$A307="Geprüft",Programme_Grunddaten!AR307&lt;&gt;""),IF(Programme_Grunddaten!AR307="Ja",1,0),"")</f>
        <v/>
      </c>
      <c r="AK302" s="1" t="str">
        <f>IF(AND(Programme_Grunddaten!$A307="Geprüft",Programme_Grunddaten!AS307&lt;&gt;""),IF(Programme_Grunddaten!AS307="Ja",1,0),"")</f>
        <v/>
      </c>
      <c r="AL302" s="1" t="str">
        <f>IF(AND(Programme_Grunddaten!$A307="Geprüft",Programme_Grunddaten!AT307&lt;&gt;""),IF(Programme_Grunddaten!AT307="Ja",1,0),"")</f>
        <v/>
      </c>
      <c r="AM302" s="1" t="str">
        <f>IF(AND(Programme_Grunddaten!$A307="Geprüft",Programme_Grunddaten!AU307&lt;&gt;""),IF(Programme_Grunddaten!AU307="Ja",1,0),"")</f>
        <v/>
      </c>
      <c r="AN302" s="1" t="str">
        <f>IF(AND(Programme_Grunddaten!$A307="Geprüft",Programme_Grunddaten!AV307&lt;&gt;""),IF(Programme_Grunddaten!AV307="Ja",1,0),"")</f>
        <v/>
      </c>
    </row>
    <row r="303" spans="1:40" x14ac:dyDescent="0.3">
      <c r="A303" s="1" t="str">
        <f>IF(AND(Programme_Grunddaten!A308="Geprüft",Programme_Grunddaten!B308&lt;&gt;""),Programme_Grunddaten!B308,"")</f>
        <v/>
      </c>
      <c r="B303" s="1" t="str">
        <f>IF(AND(Programme_Grunddaten!$A308="Geprüft",Programme_Grunddaten!I308&lt;&gt;""),IF(Programme_Grunddaten!I308="Ja",1,0),"")</f>
        <v/>
      </c>
      <c r="C303" s="1" t="str">
        <f>IF(AND(Programme_Grunddaten!$A308="Geprüft",Programme_Grunddaten!J308&lt;&gt;""),IF(Programme_Grunddaten!J308="Ja",1,0),"")</f>
        <v/>
      </c>
      <c r="D303" s="1" t="str">
        <f>IF(AND(Programme_Grunddaten!$A308="Geprüft",Programme_Grunddaten!K308&lt;&gt;""),IF(Programme_Grunddaten!K308="Ja",1,0),"")</f>
        <v/>
      </c>
      <c r="E303" s="1" t="str">
        <f>IF(AND(Programme_Grunddaten!$A308="Geprüft",Programme_Grunddaten!L308&lt;&gt;""),IF(Programme_Grunddaten!L308="Abo / befristete Lizenz",1,0),"")</f>
        <v/>
      </c>
      <c r="F303" s="1" t="str">
        <f>IF(AND(Programme_Grunddaten!$A308="Geprüft",Programme_Grunddaten!M308&lt;&gt;""),IF(Programme_Grunddaten!M308="Ja",1,0),"")</f>
        <v/>
      </c>
      <c r="G303" s="1" t="str">
        <f>IF(AND(Programme_Grunddaten!$A308="Geprüft",Programme_Grunddaten!N308&lt;&gt;""),IF(Programme_Grunddaten!N308="Ja",1,0),"")</f>
        <v/>
      </c>
      <c r="H303" s="1" t="str">
        <f>IF(AND(Programme_Grunddaten!$A308="Geprüft",Programme_Grunddaten!O308&lt;&gt;""),IF(Programme_Grunddaten!O308="Deutschland",0,IF(Programme_Grunddaten!O308="EU",1,2)),"")</f>
        <v/>
      </c>
      <c r="I303" s="1" t="str">
        <f>IF(AND(Programme_Grunddaten!$A308="Geprüft",Programme_Grunddaten!P308&lt;&gt;""),IF(Programme_Grunddaten!P308="Ja",1,0),"")</f>
        <v/>
      </c>
      <c r="J303" s="1" t="str">
        <f>IF(AND(Programme_Grunddaten!$A308="Geprüft",Programme_Grunddaten!Q308&lt;&gt;""),IF(Programme_Grunddaten!Q308="geschlossenes System",1,0),"")</f>
        <v/>
      </c>
      <c r="K303" s="1" t="str">
        <f>IF(AND(Programme_Grunddaten!$A308="Geprüft",Programme_Grunddaten!R308&lt;&gt;""),IF(Programme_Grunddaten!R308="Ja",1,0),"")</f>
        <v/>
      </c>
      <c r="L303" s="1" t="str">
        <f>IF(AND(Programme_Grunddaten!$A308="Geprüft",Programme_Grunddaten!T308&lt;&gt;""),IF(Programme_Grunddaten!T308="Ja",1,0),"")</f>
        <v/>
      </c>
      <c r="M303" s="1" t="str">
        <f>IF(AND(Programme_Grunddaten!$A308="Geprüft",Programme_Grunddaten!U308&lt;&gt;""),IF(Programme_Grunddaten!U308="Ja",1,0),"")</f>
        <v/>
      </c>
      <c r="N303" s="1" t="str">
        <f>IF(AND(Programme_Grunddaten!$A308="Geprüft",Programme_Grunddaten!V308&lt;&gt;""),IF(Programme_Grunddaten!V308="Ja",1,0),"")</f>
        <v/>
      </c>
      <c r="O303" s="1" t="str">
        <f>IF(AND(Programme_Grunddaten!$A308="Geprüft",Programme_Grunddaten!W308&lt;&gt;""),IF(Programme_Grunddaten!W308="Ja",1,0),"")</f>
        <v/>
      </c>
      <c r="P303" s="1" t="str">
        <f>IF(AND(Programme_Grunddaten!$A308="Geprüft",Programme_Grunddaten!X308&lt;&gt;""),IF(Programme_Grunddaten!X308="Ja",1,0),"")</f>
        <v/>
      </c>
      <c r="Q303" s="1" t="str">
        <f>IF(AND(Programme_Grunddaten!$A308="Geprüft",Programme_Grunddaten!Y308&lt;&gt;""),IF(Programme_Grunddaten!Y308="Ja",1,0),"")</f>
        <v/>
      </c>
      <c r="R303" s="1" t="str">
        <f>IF(AND(Programme_Grunddaten!$A308="Geprüft",Programme_Grunddaten!Z308&lt;&gt;""),IF(Programme_Grunddaten!Z308="Ja",1,0),"")</f>
        <v/>
      </c>
      <c r="S303" s="1" t="str">
        <f>IF(AND(Programme_Grunddaten!$A308="Geprüft",Programme_Grunddaten!AA308&lt;&gt;""),IF(Programme_Grunddaten!AA308="monolithisch",1,0),"")</f>
        <v/>
      </c>
      <c r="T303" s="1" t="str">
        <f>IF(AND(Programme_Grunddaten!$A308="Geprüft",Programme_Grunddaten!AB308&lt;&gt;""),IF(Programme_Grunddaten!AB308="Ja",1,0),"")</f>
        <v/>
      </c>
      <c r="U303" s="1" t="str">
        <f>IF(AND(Programme_Grunddaten!$A308="Geprüft",Programme_Grunddaten!AC308&lt;&gt;""),IF(Programme_Grunddaten!AC308="Ja",1,0),"")</f>
        <v/>
      </c>
      <c r="V303" s="1" t="str">
        <f>IF(AND(Programme_Grunddaten!$A308="Geprüft",Programme_Grunddaten!AD308&lt;&gt;""),IF(Programme_Grunddaten!AD308="Ja",1,0),"")</f>
        <v/>
      </c>
      <c r="W303" s="1" t="str">
        <f>IF(AND(Programme_Grunddaten!$A308="Geprüft",Programme_Grunddaten!AE308&lt;&gt;""),IF(Programme_Grunddaten!AE308="Ja",1,0),"")</f>
        <v/>
      </c>
      <c r="X303" s="1" t="str">
        <f>IF(AND(Programme_Grunddaten!$A308="Geprüft",Programme_Grunddaten!AF308&lt;&gt;""),IF(Programme_Grunddaten!AF308="Ja",1,0),"")</f>
        <v/>
      </c>
      <c r="Y303" s="1" t="str">
        <f>IF(AND(Programme_Grunddaten!$A308="Geprüft",Programme_Grunddaten!AG308&lt;&gt;""),IF(Programme_Grunddaten!AG308="Ja",1,0),"")</f>
        <v/>
      </c>
      <c r="Z303" s="1" t="str">
        <f>IF(AND(Programme_Grunddaten!$A308="Geprüft",Programme_Grunddaten!AH308&lt;&gt;""),IF(Programme_Grunddaten!AH308="Ja",1,0),"")</f>
        <v/>
      </c>
      <c r="AA303" s="1" t="str">
        <f>IF(AND(Programme_Grunddaten!$A308="Geprüft",Programme_Grunddaten!AI308&lt;&gt;""),IF(Programme_Grunddaten!AI308="Ja",1,0),"")</f>
        <v/>
      </c>
      <c r="AB303" s="1" t="str">
        <f>IF(AND(Programme_Grunddaten!$A308="Geprüft",Programme_Grunddaten!AJ308&lt;&gt;""),IF(Programme_Grunddaten!AJ308="individuell programmierbar",1,0),"")</f>
        <v/>
      </c>
      <c r="AC303" s="1" t="str">
        <f>IF(AND(Programme_Grunddaten!$A308="Geprüft",Programme_Grunddaten!AK308&lt;&gt;""),IF(Programme_Grunddaten!AK308="Deutsch",0,IF(Programme_Grunddaten!AK308="Deutsch und Englisch",1,2)),"")</f>
        <v/>
      </c>
      <c r="AD303" s="1" t="str">
        <f>IF(AND(Programme_Grunddaten!$A308="Geprüft",Programme_Grunddaten!AL308&lt;&gt;""),IF(Programme_Grunddaten!AL308="Ja",1,0),"")</f>
        <v/>
      </c>
      <c r="AE303" s="1" t="str">
        <f>IF(AND(Programme_Grunddaten!$A308="Geprüft",Programme_Grunddaten!AM308&lt;&gt;""),IF(Programme_Grunddaten!AM308="Ja",1,0),"")</f>
        <v/>
      </c>
      <c r="AF303" s="1" t="str">
        <f>IF(AND(Programme_Grunddaten!$A308="Geprüft",Programme_Grunddaten!AN308&lt;&gt;""),IF(Programme_Grunddaten!AN308="Ja",1,0),"")</f>
        <v/>
      </c>
      <c r="AG303" s="1" t="str">
        <f>IF(AND(Programme_Grunddaten!$A308="Geprüft",Programme_Grunddaten!AO308&lt;&gt;""),IF(Programme_Grunddaten!AO308="Ja",1,0),"")</f>
        <v/>
      </c>
      <c r="AH303" s="1" t="str">
        <f>IF(AND(Programme_Grunddaten!$A308="Geprüft",Programme_Grunddaten!AP308&lt;&gt;""),IF(Programme_Grunddaten!AP308="Ja",1,0),"")</f>
        <v/>
      </c>
      <c r="AI303" s="1" t="str">
        <f>IF(AND(Programme_Grunddaten!$A308="Geprüft",Programme_Grunddaten!AQ308&lt;&gt;""),IF(Programme_Grunddaten!AQ308="Ja",1,0),"")</f>
        <v/>
      </c>
      <c r="AJ303" s="1" t="str">
        <f>IF(AND(Programme_Grunddaten!$A308="Geprüft",Programme_Grunddaten!AR308&lt;&gt;""),IF(Programme_Grunddaten!AR308="Ja",1,0),"")</f>
        <v/>
      </c>
      <c r="AK303" s="1" t="str">
        <f>IF(AND(Programme_Grunddaten!$A308="Geprüft",Programme_Grunddaten!AS308&lt;&gt;""),IF(Programme_Grunddaten!AS308="Ja",1,0),"")</f>
        <v/>
      </c>
      <c r="AL303" s="1" t="str">
        <f>IF(AND(Programme_Grunddaten!$A308="Geprüft",Programme_Grunddaten!AT308&lt;&gt;""),IF(Programme_Grunddaten!AT308="Ja",1,0),"")</f>
        <v/>
      </c>
      <c r="AM303" s="1" t="str">
        <f>IF(AND(Programme_Grunddaten!$A308="Geprüft",Programme_Grunddaten!AU308&lt;&gt;""),IF(Programme_Grunddaten!AU308="Ja",1,0),"")</f>
        <v/>
      </c>
      <c r="AN303" s="1" t="str">
        <f>IF(AND(Programme_Grunddaten!$A308="Geprüft",Programme_Grunddaten!AV308&lt;&gt;""),IF(Programme_Grunddaten!AV308="Ja",1,0),"")</f>
        <v/>
      </c>
    </row>
    <row r="304" spans="1:40" x14ac:dyDescent="0.3">
      <c r="A304" s="1" t="str">
        <f>IF(AND(Programme_Grunddaten!A309="Geprüft",Programme_Grunddaten!B309&lt;&gt;""),Programme_Grunddaten!B309,"")</f>
        <v/>
      </c>
      <c r="B304" s="1" t="str">
        <f>IF(AND(Programme_Grunddaten!$A309="Geprüft",Programme_Grunddaten!I309&lt;&gt;""),IF(Programme_Grunddaten!I309="Ja",1,0),"")</f>
        <v/>
      </c>
      <c r="C304" s="1" t="str">
        <f>IF(AND(Programme_Grunddaten!$A309="Geprüft",Programme_Grunddaten!J309&lt;&gt;""),IF(Programme_Grunddaten!J309="Ja",1,0),"")</f>
        <v/>
      </c>
      <c r="D304" s="1" t="str">
        <f>IF(AND(Programme_Grunddaten!$A309="Geprüft",Programme_Grunddaten!K309&lt;&gt;""),IF(Programme_Grunddaten!K309="Ja",1,0),"")</f>
        <v/>
      </c>
      <c r="E304" s="1" t="str">
        <f>IF(AND(Programme_Grunddaten!$A309="Geprüft",Programme_Grunddaten!L309&lt;&gt;""),IF(Programme_Grunddaten!L309="Abo / befristete Lizenz",1,0),"")</f>
        <v/>
      </c>
      <c r="F304" s="1" t="str">
        <f>IF(AND(Programme_Grunddaten!$A309="Geprüft",Programme_Grunddaten!M309&lt;&gt;""),IF(Programme_Grunddaten!M309="Ja",1,0),"")</f>
        <v/>
      </c>
      <c r="G304" s="1" t="str">
        <f>IF(AND(Programme_Grunddaten!$A309="Geprüft",Programme_Grunddaten!N309&lt;&gt;""),IF(Programme_Grunddaten!N309="Ja",1,0),"")</f>
        <v/>
      </c>
      <c r="H304" s="1" t="str">
        <f>IF(AND(Programme_Grunddaten!$A309="Geprüft",Programme_Grunddaten!O309&lt;&gt;""),IF(Programme_Grunddaten!O309="Deutschland",0,IF(Programme_Grunddaten!O309="EU",1,2)),"")</f>
        <v/>
      </c>
      <c r="I304" s="1" t="str">
        <f>IF(AND(Programme_Grunddaten!$A309="Geprüft",Programme_Grunddaten!P309&lt;&gt;""),IF(Programme_Grunddaten!P309="Ja",1,0),"")</f>
        <v/>
      </c>
      <c r="J304" s="1" t="str">
        <f>IF(AND(Programme_Grunddaten!$A309="Geprüft",Programme_Grunddaten!Q309&lt;&gt;""),IF(Programme_Grunddaten!Q309="geschlossenes System",1,0),"")</f>
        <v/>
      </c>
      <c r="K304" s="1" t="str">
        <f>IF(AND(Programme_Grunddaten!$A309="Geprüft",Programme_Grunddaten!R309&lt;&gt;""),IF(Programme_Grunddaten!R309="Ja",1,0),"")</f>
        <v/>
      </c>
      <c r="L304" s="1" t="str">
        <f>IF(AND(Programme_Grunddaten!$A309="Geprüft",Programme_Grunddaten!T309&lt;&gt;""),IF(Programme_Grunddaten!T309="Ja",1,0),"")</f>
        <v/>
      </c>
      <c r="M304" s="1" t="str">
        <f>IF(AND(Programme_Grunddaten!$A309="Geprüft",Programme_Grunddaten!U309&lt;&gt;""),IF(Programme_Grunddaten!U309="Ja",1,0),"")</f>
        <v/>
      </c>
      <c r="N304" s="1" t="str">
        <f>IF(AND(Programme_Grunddaten!$A309="Geprüft",Programme_Grunddaten!V309&lt;&gt;""),IF(Programme_Grunddaten!V309="Ja",1,0),"")</f>
        <v/>
      </c>
      <c r="O304" s="1" t="str">
        <f>IF(AND(Programme_Grunddaten!$A309="Geprüft",Programme_Grunddaten!W309&lt;&gt;""),IF(Programme_Grunddaten!W309="Ja",1,0),"")</f>
        <v/>
      </c>
      <c r="P304" s="1" t="str">
        <f>IF(AND(Programme_Grunddaten!$A309="Geprüft",Programme_Grunddaten!X309&lt;&gt;""),IF(Programme_Grunddaten!X309="Ja",1,0),"")</f>
        <v/>
      </c>
      <c r="Q304" s="1" t="str">
        <f>IF(AND(Programme_Grunddaten!$A309="Geprüft",Programme_Grunddaten!Y309&lt;&gt;""),IF(Programme_Grunddaten!Y309="Ja",1,0),"")</f>
        <v/>
      </c>
      <c r="R304" s="1" t="str">
        <f>IF(AND(Programme_Grunddaten!$A309="Geprüft",Programme_Grunddaten!Z309&lt;&gt;""),IF(Programme_Grunddaten!Z309="Ja",1,0),"")</f>
        <v/>
      </c>
      <c r="S304" s="1" t="str">
        <f>IF(AND(Programme_Grunddaten!$A309="Geprüft",Programme_Grunddaten!AA309&lt;&gt;""),IF(Programme_Grunddaten!AA309="monolithisch",1,0),"")</f>
        <v/>
      </c>
      <c r="T304" s="1" t="str">
        <f>IF(AND(Programme_Grunddaten!$A309="Geprüft",Programme_Grunddaten!AB309&lt;&gt;""),IF(Programme_Grunddaten!AB309="Ja",1,0),"")</f>
        <v/>
      </c>
      <c r="U304" s="1" t="str">
        <f>IF(AND(Programme_Grunddaten!$A309="Geprüft",Programme_Grunddaten!AC309&lt;&gt;""),IF(Programme_Grunddaten!AC309="Ja",1,0),"")</f>
        <v/>
      </c>
      <c r="V304" s="1" t="str">
        <f>IF(AND(Programme_Grunddaten!$A309="Geprüft",Programme_Grunddaten!AD309&lt;&gt;""),IF(Programme_Grunddaten!AD309="Ja",1,0),"")</f>
        <v/>
      </c>
      <c r="W304" s="1" t="str">
        <f>IF(AND(Programme_Grunddaten!$A309="Geprüft",Programme_Grunddaten!AE309&lt;&gt;""),IF(Programme_Grunddaten!AE309="Ja",1,0),"")</f>
        <v/>
      </c>
      <c r="X304" s="1" t="str">
        <f>IF(AND(Programme_Grunddaten!$A309="Geprüft",Programme_Grunddaten!AF309&lt;&gt;""),IF(Programme_Grunddaten!AF309="Ja",1,0),"")</f>
        <v/>
      </c>
      <c r="Y304" s="1" t="str">
        <f>IF(AND(Programme_Grunddaten!$A309="Geprüft",Programme_Grunddaten!AG309&lt;&gt;""),IF(Programme_Grunddaten!AG309="Ja",1,0),"")</f>
        <v/>
      </c>
      <c r="Z304" s="1" t="str">
        <f>IF(AND(Programme_Grunddaten!$A309="Geprüft",Programme_Grunddaten!AH309&lt;&gt;""),IF(Programme_Grunddaten!AH309="Ja",1,0),"")</f>
        <v/>
      </c>
      <c r="AA304" s="1" t="str">
        <f>IF(AND(Programme_Grunddaten!$A309="Geprüft",Programme_Grunddaten!AI309&lt;&gt;""),IF(Programme_Grunddaten!AI309="Ja",1,0),"")</f>
        <v/>
      </c>
      <c r="AB304" s="1" t="str">
        <f>IF(AND(Programme_Grunddaten!$A309="Geprüft",Programme_Grunddaten!AJ309&lt;&gt;""),IF(Programme_Grunddaten!AJ309="individuell programmierbar",1,0),"")</f>
        <v/>
      </c>
      <c r="AC304" s="1" t="str">
        <f>IF(AND(Programme_Grunddaten!$A309="Geprüft",Programme_Grunddaten!AK309&lt;&gt;""),IF(Programme_Grunddaten!AK309="Deutsch",0,IF(Programme_Grunddaten!AK309="Deutsch und Englisch",1,2)),"")</f>
        <v/>
      </c>
      <c r="AD304" s="1" t="str">
        <f>IF(AND(Programme_Grunddaten!$A309="Geprüft",Programme_Grunddaten!AL309&lt;&gt;""),IF(Programme_Grunddaten!AL309="Ja",1,0),"")</f>
        <v/>
      </c>
      <c r="AE304" s="1" t="str">
        <f>IF(AND(Programme_Grunddaten!$A309="Geprüft",Programme_Grunddaten!AM309&lt;&gt;""),IF(Programme_Grunddaten!AM309="Ja",1,0),"")</f>
        <v/>
      </c>
      <c r="AF304" s="1" t="str">
        <f>IF(AND(Programme_Grunddaten!$A309="Geprüft",Programme_Grunddaten!AN309&lt;&gt;""),IF(Programme_Grunddaten!AN309="Ja",1,0),"")</f>
        <v/>
      </c>
      <c r="AG304" s="1" t="str">
        <f>IF(AND(Programme_Grunddaten!$A309="Geprüft",Programme_Grunddaten!AO309&lt;&gt;""),IF(Programme_Grunddaten!AO309="Ja",1,0),"")</f>
        <v/>
      </c>
      <c r="AH304" s="1" t="str">
        <f>IF(AND(Programme_Grunddaten!$A309="Geprüft",Programme_Grunddaten!AP309&lt;&gt;""),IF(Programme_Grunddaten!AP309="Ja",1,0),"")</f>
        <v/>
      </c>
      <c r="AI304" s="1" t="str">
        <f>IF(AND(Programme_Grunddaten!$A309="Geprüft",Programme_Grunddaten!AQ309&lt;&gt;""),IF(Programme_Grunddaten!AQ309="Ja",1,0),"")</f>
        <v/>
      </c>
      <c r="AJ304" s="1" t="str">
        <f>IF(AND(Programme_Grunddaten!$A309="Geprüft",Programme_Grunddaten!AR309&lt;&gt;""),IF(Programme_Grunddaten!AR309="Ja",1,0),"")</f>
        <v/>
      </c>
      <c r="AK304" s="1" t="str">
        <f>IF(AND(Programme_Grunddaten!$A309="Geprüft",Programme_Grunddaten!AS309&lt;&gt;""),IF(Programme_Grunddaten!AS309="Ja",1,0),"")</f>
        <v/>
      </c>
      <c r="AL304" s="1" t="str">
        <f>IF(AND(Programme_Grunddaten!$A309="Geprüft",Programme_Grunddaten!AT309&lt;&gt;""),IF(Programme_Grunddaten!AT309="Ja",1,0),"")</f>
        <v/>
      </c>
      <c r="AM304" s="1" t="str">
        <f>IF(AND(Programme_Grunddaten!$A309="Geprüft",Programme_Grunddaten!AU309&lt;&gt;""),IF(Programme_Grunddaten!AU309="Ja",1,0),"")</f>
        <v/>
      </c>
      <c r="AN304" s="1" t="str">
        <f>IF(AND(Programme_Grunddaten!$A309="Geprüft",Programme_Grunddaten!AV309&lt;&gt;""),IF(Programme_Grunddaten!AV309="Ja",1,0),"")</f>
        <v/>
      </c>
    </row>
    <row r="305" spans="1:40" x14ac:dyDescent="0.3">
      <c r="A305" s="1" t="str">
        <f>IF(AND(Programme_Grunddaten!A310="Geprüft",Programme_Grunddaten!B310&lt;&gt;""),Programme_Grunddaten!B310,"")</f>
        <v/>
      </c>
      <c r="B305" s="1" t="str">
        <f>IF(AND(Programme_Grunddaten!$A310="Geprüft",Programme_Grunddaten!I310&lt;&gt;""),IF(Programme_Grunddaten!I310="Ja",1,0),"")</f>
        <v/>
      </c>
      <c r="C305" s="1" t="str">
        <f>IF(AND(Programme_Grunddaten!$A310="Geprüft",Programme_Grunddaten!J310&lt;&gt;""),IF(Programme_Grunddaten!J310="Ja",1,0),"")</f>
        <v/>
      </c>
      <c r="D305" s="1" t="str">
        <f>IF(AND(Programme_Grunddaten!$A310="Geprüft",Programme_Grunddaten!K310&lt;&gt;""),IF(Programme_Grunddaten!K310="Ja",1,0),"")</f>
        <v/>
      </c>
      <c r="E305" s="1" t="str">
        <f>IF(AND(Programme_Grunddaten!$A310="Geprüft",Programme_Grunddaten!L310&lt;&gt;""),IF(Programme_Grunddaten!L310="Abo / befristete Lizenz",1,0),"")</f>
        <v/>
      </c>
      <c r="F305" s="1" t="str">
        <f>IF(AND(Programme_Grunddaten!$A310="Geprüft",Programme_Grunddaten!M310&lt;&gt;""),IF(Programme_Grunddaten!M310="Ja",1,0),"")</f>
        <v/>
      </c>
      <c r="G305" s="1" t="str">
        <f>IF(AND(Programme_Grunddaten!$A310="Geprüft",Programme_Grunddaten!N310&lt;&gt;""),IF(Programme_Grunddaten!N310="Ja",1,0),"")</f>
        <v/>
      </c>
      <c r="H305" s="1" t="str">
        <f>IF(AND(Programme_Grunddaten!$A310="Geprüft",Programme_Grunddaten!O310&lt;&gt;""),IF(Programme_Grunddaten!O310="Deutschland",0,IF(Programme_Grunddaten!O310="EU",1,2)),"")</f>
        <v/>
      </c>
      <c r="I305" s="1" t="str">
        <f>IF(AND(Programme_Grunddaten!$A310="Geprüft",Programme_Grunddaten!P310&lt;&gt;""),IF(Programme_Grunddaten!P310="Ja",1,0),"")</f>
        <v/>
      </c>
      <c r="J305" s="1" t="str">
        <f>IF(AND(Programme_Grunddaten!$A310="Geprüft",Programme_Grunddaten!Q310&lt;&gt;""),IF(Programme_Grunddaten!Q310="geschlossenes System",1,0),"")</f>
        <v/>
      </c>
      <c r="K305" s="1" t="str">
        <f>IF(AND(Programme_Grunddaten!$A310="Geprüft",Programme_Grunddaten!R310&lt;&gt;""),IF(Programme_Grunddaten!R310="Ja",1,0),"")</f>
        <v/>
      </c>
      <c r="L305" s="1" t="str">
        <f>IF(AND(Programme_Grunddaten!$A310="Geprüft",Programme_Grunddaten!T310&lt;&gt;""),IF(Programme_Grunddaten!T310="Ja",1,0),"")</f>
        <v/>
      </c>
      <c r="M305" s="1" t="str">
        <f>IF(AND(Programme_Grunddaten!$A310="Geprüft",Programme_Grunddaten!U310&lt;&gt;""),IF(Programme_Grunddaten!U310="Ja",1,0),"")</f>
        <v/>
      </c>
      <c r="N305" s="1" t="str">
        <f>IF(AND(Programme_Grunddaten!$A310="Geprüft",Programme_Grunddaten!V310&lt;&gt;""),IF(Programme_Grunddaten!V310="Ja",1,0),"")</f>
        <v/>
      </c>
      <c r="O305" s="1" t="str">
        <f>IF(AND(Programme_Grunddaten!$A310="Geprüft",Programme_Grunddaten!W310&lt;&gt;""),IF(Programme_Grunddaten!W310="Ja",1,0),"")</f>
        <v/>
      </c>
      <c r="P305" s="1" t="str">
        <f>IF(AND(Programme_Grunddaten!$A310="Geprüft",Programme_Grunddaten!X310&lt;&gt;""),IF(Programme_Grunddaten!X310="Ja",1,0),"")</f>
        <v/>
      </c>
      <c r="Q305" s="1" t="str">
        <f>IF(AND(Programme_Grunddaten!$A310="Geprüft",Programme_Grunddaten!Y310&lt;&gt;""),IF(Programme_Grunddaten!Y310="Ja",1,0),"")</f>
        <v/>
      </c>
      <c r="R305" s="1" t="str">
        <f>IF(AND(Programme_Grunddaten!$A310="Geprüft",Programme_Grunddaten!Z310&lt;&gt;""),IF(Programme_Grunddaten!Z310="Ja",1,0),"")</f>
        <v/>
      </c>
      <c r="S305" s="1" t="str">
        <f>IF(AND(Programme_Grunddaten!$A310="Geprüft",Programme_Grunddaten!AA310&lt;&gt;""),IF(Programme_Grunddaten!AA310="monolithisch",1,0),"")</f>
        <v/>
      </c>
      <c r="T305" s="1" t="str">
        <f>IF(AND(Programme_Grunddaten!$A310="Geprüft",Programme_Grunddaten!AB310&lt;&gt;""),IF(Programme_Grunddaten!AB310="Ja",1,0),"")</f>
        <v/>
      </c>
      <c r="U305" s="1" t="str">
        <f>IF(AND(Programme_Grunddaten!$A310="Geprüft",Programme_Grunddaten!AC310&lt;&gt;""),IF(Programme_Grunddaten!AC310="Ja",1,0),"")</f>
        <v/>
      </c>
      <c r="V305" s="1" t="str">
        <f>IF(AND(Programme_Grunddaten!$A310="Geprüft",Programme_Grunddaten!AD310&lt;&gt;""),IF(Programme_Grunddaten!AD310="Ja",1,0),"")</f>
        <v/>
      </c>
      <c r="W305" s="1" t="str">
        <f>IF(AND(Programme_Grunddaten!$A310="Geprüft",Programme_Grunddaten!AE310&lt;&gt;""),IF(Programme_Grunddaten!AE310="Ja",1,0),"")</f>
        <v/>
      </c>
      <c r="X305" s="1" t="str">
        <f>IF(AND(Programme_Grunddaten!$A310="Geprüft",Programme_Grunddaten!AF310&lt;&gt;""),IF(Programme_Grunddaten!AF310="Ja",1,0),"")</f>
        <v/>
      </c>
      <c r="Y305" s="1" t="str">
        <f>IF(AND(Programme_Grunddaten!$A310="Geprüft",Programme_Grunddaten!AG310&lt;&gt;""),IF(Programme_Grunddaten!AG310="Ja",1,0),"")</f>
        <v/>
      </c>
      <c r="Z305" s="1" t="str">
        <f>IF(AND(Programme_Grunddaten!$A310="Geprüft",Programme_Grunddaten!AH310&lt;&gt;""),IF(Programme_Grunddaten!AH310="Ja",1,0),"")</f>
        <v/>
      </c>
      <c r="AA305" s="1" t="str">
        <f>IF(AND(Programme_Grunddaten!$A310="Geprüft",Programme_Grunddaten!AI310&lt;&gt;""),IF(Programme_Grunddaten!AI310="Ja",1,0),"")</f>
        <v/>
      </c>
      <c r="AB305" s="1" t="str">
        <f>IF(AND(Programme_Grunddaten!$A310="Geprüft",Programme_Grunddaten!AJ310&lt;&gt;""),IF(Programme_Grunddaten!AJ310="individuell programmierbar",1,0),"")</f>
        <v/>
      </c>
      <c r="AC305" s="1" t="str">
        <f>IF(AND(Programme_Grunddaten!$A310="Geprüft",Programme_Grunddaten!AK310&lt;&gt;""),IF(Programme_Grunddaten!AK310="Deutsch",0,IF(Programme_Grunddaten!AK310="Deutsch und Englisch",1,2)),"")</f>
        <v/>
      </c>
      <c r="AD305" s="1" t="str">
        <f>IF(AND(Programme_Grunddaten!$A310="Geprüft",Programme_Grunddaten!AL310&lt;&gt;""),IF(Programme_Grunddaten!AL310="Ja",1,0),"")</f>
        <v/>
      </c>
      <c r="AE305" s="1" t="str">
        <f>IF(AND(Programme_Grunddaten!$A310="Geprüft",Programme_Grunddaten!AM310&lt;&gt;""),IF(Programme_Grunddaten!AM310="Ja",1,0),"")</f>
        <v/>
      </c>
      <c r="AF305" s="1" t="str">
        <f>IF(AND(Programme_Grunddaten!$A310="Geprüft",Programme_Grunddaten!AN310&lt;&gt;""),IF(Programme_Grunddaten!AN310="Ja",1,0),"")</f>
        <v/>
      </c>
      <c r="AG305" s="1" t="str">
        <f>IF(AND(Programme_Grunddaten!$A310="Geprüft",Programme_Grunddaten!AO310&lt;&gt;""),IF(Programme_Grunddaten!AO310="Ja",1,0),"")</f>
        <v/>
      </c>
      <c r="AH305" s="1" t="str">
        <f>IF(AND(Programme_Grunddaten!$A310="Geprüft",Programme_Grunddaten!AP310&lt;&gt;""),IF(Programme_Grunddaten!AP310="Ja",1,0),"")</f>
        <v/>
      </c>
      <c r="AI305" s="1" t="str">
        <f>IF(AND(Programme_Grunddaten!$A310="Geprüft",Programme_Grunddaten!AQ310&lt;&gt;""),IF(Programme_Grunddaten!AQ310="Ja",1,0),"")</f>
        <v/>
      </c>
      <c r="AJ305" s="1" t="str">
        <f>IF(AND(Programme_Grunddaten!$A310="Geprüft",Programme_Grunddaten!AR310&lt;&gt;""),IF(Programme_Grunddaten!AR310="Ja",1,0),"")</f>
        <v/>
      </c>
      <c r="AK305" s="1" t="str">
        <f>IF(AND(Programme_Grunddaten!$A310="Geprüft",Programme_Grunddaten!AS310&lt;&gt;""),IF(Programme_Grunddaten!AS310="Ja",1,0),"")</f>
        <v/>
      </c>
      <c r="AL305" s="1" t="str">
        <f>IF(AND(Programme_Grunddaten!$A310="Geprüft",Programme_Grunddaten!AT310&lt;&gt;""),IF(Programme_Grunddaten!AT310="Ja",1,0),"")</f>
        <v/>
      </c>
      <c r="AM305" s="1" t="str">
        <f>IF(AND(Programme_Grunddaten!$A310="Geprüft",Programme_Grunddaten!AU310&lt;&gt;""),IF(Programme_Grunddaten!AU310="Ja",1,0),"")</f>
        <v/>
      </c>
      <c r="AN305" s="1" t="str">
        <f>IF(AND(Programme_Grunddaten!$A310="Geprüft",Programme_Grunddaten!AV310&lt;&gt;""),IF(Programme_Grunddaten!AV310="Ja",1,0),"")</f>
        <v/>
      </c>
    </row>
    <row r="306" spans="1:40" x14ac:dyDescent="0.3">
      <c r="A306" s="1" t="str">
        <f>IF(AND(Programme_Grunddaten!A311="Geprüft",Programme_Grunddaten!B311&lt;&gt;""),Programme_Grunddaten!B311,"")</f>
        <v/>
      </c>
      <c r="B306" s="1" t="str">
        <f>IF(AND(Programme_Grunddaten!$A311="Geprüft",Programme_Grunddaten!I311&lt;&gt;""),IF(Programme_Grunddaten!I311="Ja",1,0),"")</f>
        <v/>
      </c>
      <c r="C306" s="1" t="str">
        <f>IF(AND(Programme_Grunddaten!$A311="Geprüft",Programme_Grunddaten!J311&lt;&gt;""),IF(Programme_Grunddaten!J311="Ja",1,0),"")</f>
        <v/>
      </c>
      <c r="D306" s="1" t="str">
        <f>IF(AND(Programme_Grunddaten!$A311="Geprüft",Programme_Grunddaten!K311&lt;&gt;""),IF(Programme_Grunddaten!K311="Ja",1,0),"")</f>
        <v/>
      </c>
      <c r="E306" s="1" t="str">
        <f>IF(AND(Programme_Grunddaten!$A311="Geprüft",Programme_Grunddaten!L311&lt;&gt;""),IF(Programme_Grunddaten!L311="Abo / befristete Lizenz",1,0),"")</f>
        <v/>
      </c>
      <c r="F306" s="1" t="str">
        <f>IF(AND(Programme_Grunddaten!$A311="Geprüft",Programme_Grunddaten!M311&lt;&gt;""),IF(Programme_Grunddaten!M311="Ja",1,0),"")</f>
        <v/>
      </c>
      <c r="G306" s="1" t="str">
        <f>IF(AND(Programme_Grunddaten!$A311="Geprüft",Programme_Grunddaten!N311&lt;&gt;""),IF(Programme_Grunddaten!N311="Ja",1,0),"")</f>
        <v/>
      </c>
      <c r="H306" s="1" t="str">
        <f>IF(AND(Programme_Grunddaten!$A311="Geprüft",Programme_Grunddaten!O311&lt;&gt;""),IF(Programme_Grunddaten!O311="Deutschland",0,IF(Programme_Grunddaten!O311="EU",1,2)),"")</f>
        <v/>
      </c>
      <c r="I306" s="1" t="str">
        <f>IF(AND(Programme_Grunddaten!$A311="Geprüft",Programme_Grunddaten!P311&lt;&gt;""),IF(Programme_Grunddaten!P311="Ja",1,0),"")</f>
        <v/>
      </c>
      <c r="J306" s="1" t="str">
        <f>IF(AND(Programme_Grunddaten!$A311="Geprüft",Programme_Grunddaten!Q311&lt;&gt;""),IF(Programme_Grunddaten!Q311="geschlossenes System",1,0),"")</f>
        <v/>
      </c>
      <c r="K306" s="1" t="str">
        <f>IF(AND(Programme_Grunddaten!$A311="Geprüft",Programme_Grunddaten!R311&lt;&gt;""),IF(Programme_Grunddaten!R311="Ja",1,0),"")</f>
        <v/>
      </c>
      <c r="L306" s="1" t="str">
        <f>IF(AND(Programme_Grunddaten!$A311="Geprüft",Programme_Grunddaten!T311&lt;&gt;""),IF(Programme_Grunddaten!T311="Ja",1,0),"")</f>
        <v/>
      </c>
      <c r="M306" s="1" t="str">
        <f>IF(AND(Programme_Grunddaten!$A311="Geprüft",Programme_Grunddaten!U311&lt;&gt;""),IF(Programme_Grunddaten!U311="Ja",1,0),"")</f>
        <v/>
      </c>
      <c r="N306" s="1" t="str">
        <f>IF(AND(Programme_Grunddaten!$A311="Geprüft",Programme_Grunddaten!V311&lt;&gt;""),IF(Programme_Grunddaten!V311="Ja",1,0),"")</f>
        <v/>
      </c>
      <c r="O306" s="1" t="str">
        <f>IF(AND(Programme_Grunddaten!$A311="Geprüft",Programme_Grunddaten!W311&lt;&gt;""),IF(Programme_Grunddaten!W311="Ja",1,0),"")</f>
        <v/>
      </c>
      <c r="P306" s="1" t="str">
        <f>IF(AND(Programme_Grunddaten!$A311="Geprüft",Programme_Grunddaten!X311&lt;&gt;""),IF(Programme_Grunddaten!X311="Ja",1,0),"")</f>
        <v/>
      </c>
      <c r="Q306" s="1" t="str">
        <f>IF(AND(Programme_Grunddaten!$A311="Geprüft",Programme_Grunddaten!Y311&lt;&gt;""),IF(Programme_Grunddaten!Y311="Ja",1,0),"")</f>
        <v/>
      </c>
      <c r="R306" s="1" t="str">
        <f>IF(AND(Programme_Grunddaten!$A311="Geprüft",Programme_Grunddaten!Z311&lt;&gt;""),IF(Programme_Grunddaten!Z311="Ja",1,0),"")</f>
        <v/>
      </c>
      <c r="S306" s="1" t="str">
        <f>IF(AND(Programme_Grunddaten!$A311="Geprüft",Programme_Grunddaten!AA311&lt;&gt;""),IF(Programme_Grunddaten!AA311="monolithisch",1,0),"")</f>
        <v/>
      </c>
      <c r="T306" s="1" t="str">
        <f>IF(AND(Programme_Grunddaten!$A311="Geprüft",Programme_Grunddaten!AB311&lt;&gt;""),IF(Programme_Grunddaten!AB311="Ja",1,0),"")</f>
        <v/>
      </c>
      <c r="U306" s="1" t="str">
        <f>IF(AND(Programme_Grunddaten!$A311="Geprüft",Programme_Grunddaten!AC311&lt;&gt;""),IF(Programme_Grunddaten!AC311="Ja",1,0),"")</f>
        <v/>
      </c>
      <c r="V306" s="1" t="str">
        <f>IF(AND(Programme_Grunddaten!$A311="Geprüft",Programme_Grunddaten!AD311&lt;&gt;""),IF(Programme_Grunddaten!AD311="Ja",1,0),"")</f>
        <v/>
      </c>
      <c r="W306" s="1" t="str">
        <f>IF(AND(Programme_Grunddaten!$A311="Geprüft",Programme_Grunddaten!AE311&lt;&gt;""),IF(Programme_Grunddaten!AE311="Ja",1,0),"")</f>
        <v/>
      </c>
      <c r="X306" s="1" t="str">
        <f>IF(AND(Programme_Grunddaten!$A311="Geprüft",Programme_Grunddaten!AF311&lt;&gt;""),IF(Programme_Grunddaten!AF311="Ja",1,0),"")</f>
        <v/>
      </c>
      <c r="Y306" s="1" t="str">
        <f>IF(AND(Programme_Grunddaten!$A311="Geprüft",Programme_Grunddaten!AG311&lt;&gt;""),IF(Programme_Grunddaten!AG311="Ja",1,0),"")</f>
        <v/>
      </c>
      <c r="Z306" s="1" t="str">
        <f>IF(AND(Programme_Grunddaten!$A311="Geprüft",Programme_Grunddaten!AH311&lt;&gt;""),IF(Programme_Grunddaten!AH311="Ja",1,0),"")</f>
        <v/>
      </c>
      <c r="AA306" s="1" t="str">
        <f>IF(AND(Programme_Grunddaten!$A311="Geprüft",Programme_Grunddaten!AI311&lt;&gt;""),IF(Programme_Grunddaten!AI311="Ja",1,0),"")</f>
        <v/>
      </c>
      <c r="AB306" s="1" t="str">
        <f>IF(AND(Programme_Grunddaten!$A311="Geprüft",Programme_Grunddaten!AJ311&lt;&gt;""),IF(Programme_Grunddaten!AJ311="individuell programmierbar",1,0),"")</f>
        <v/>
      </c>
      <c r="AC306" s="1" t="str">
        <f>IF(AND(Programme_Grunddaten!$A311="Geprüft",Programme_Grunddaten!AK311&lt;&gt;""),IF(Programme_Grunddaten!AK311="Deutsch",0,IF(Programme_Grunddaten!AK311="Deutsch und Englisch",1,2)),"")</f>
        <v/>
      </c>
      <c r="AD306" s="1" t="str">
        <f>IF(AND(Programme_Grunddaten!$A311="Geprüft",Programme_Grunddaten!AL311&lt;&gt;""),IF(Programme_Grunddaten!AL311="Ja",1,0),"")</f>
        <v/>
      </c>
      <c r="AE306" s="1" t="str">
        <f>IF(AND(Programme_Grunddaten!$A311="Geprüft",Programme_Grunddaten!AM311&lt;&gt;""),IF(Programme_Grunddaten!AM311="Ja",1,0),"")</f>
        <v/>
      </c>
      <c r="AF306" s="1" t="str">
        <f>IF(AND(Programme_Grunddaten!$A311="Geprüft",Programme_Grunddaten!AN311&lt;&gt;""),IF(Programme_Grunddaten!AN311="Ja",1,0),"")</f>
        <v/>
      </c>
      <c r="AG306" s="1" t="str">
        <f>IF(AND(Programme_Grunddaten!$A311="Geprüft",Programme_Grunddaten!AO311&lt;&gt;""),IF(Programme_Grunddaten!AO311="Ja",1,0),"")</f>
        <v/>
      </c>
      <c r="AH306" s="1" t="str">
        <f>IF(AND(Programme_Grunddaten!$A311="Geprüft",Programme_Grunddaten!AP311&lt;&gt;""),IF(Programme_Grunddaten!AP311="Ja",1,0),"")</f>
        <v/>
      </c>
      <c r="AI306" s="1" t="str">
        <f>IF(AND(Programme_Grunddaten!$A311="Geprüft",Programme_Grunddaten!AQ311&lt;&gt;""),IF(Programme_Grunddaten!AQ311="Ja",1,0),"")</f>
        <v/>
      </c>
      <c r="AJ306" s="1" t="str">
        <f>IF(AND(Programme_Grunddaten!$A311="Geprüft",Programme_Grunddaten!AR311&lt;&gt;""),IF(Programme_Grunddaten!AR311="Ja",1,0),"")</f>
        <v/>
      </c>
      <c r="AK306" s="1" t="str">
        <f>IF(AND(Programme_Grunddaten!$A311="Geprüft",Programme_Grunddaten!AS311&lt;&gt;""),IF(Programme_Grunddaten!AS311="Ja",1,0),"")</f>
        <v/>
      </c>
      <c r="AL306" s="1" t="str">
        <f>IF(AND(Programme_Grunddaten!$A311="Geprüft",Programme_Grunddaten!AT311&lt;&gt;""),IF(Programme_Grunddaten!AT311="Ja",1,0),"")</f>
        <v/>
      </c>
      <c r="AM306" s="1" t="str">
        <f>IF(AND(Programme_Grunddaten!$A311="Geprüft",Programme_Grunddaten!AU311&lt;&gt;""),IF(Programme_Grunddaten!AU311="Ja",1,0),"")</f>
        <v/>
      </c>
      <c r="AN306" s="1" t="str">
        <f>IF(AND(Programme_Grunddaten!$A311="Geprüft",Programme_Grunddaten!AV311&lt;&gt;""),IF(Programme_Grunddaten!AV311="Ja",1,0),"")</f>
        <v/>
      </c>
    </row>
    <row r="307" spans="1:40" x14ac:dyDescent="0.3">
      <c r="A307" s="1" t="str">
        <f>IF(AND(Programme_Grunddaten!A312="Geprüft",Programme_Grunddaten!B312&lt;&gt;""),Programme_Grunddaten!B312,"")</f>
        <v/>
      </c>
      <c r="B307" s="1" t="str">
        <f>IF(AND(Programme_Grunddaten!$A312="Geprüft",Programme_Grunddaten!I312&lt;&gt;""),IF(Programme_Grunddaten!I312="Ja",1,0),"")</f>
        <v/>
      </c>
      <c r="C307" s="1" t="str">
        <f>IF(AND(Programme_Grunddaten!$A312="Geprüft",Programme_Grunddaten!J312&lt;&gt;""),IF(Programme_Grunddaten!J312="Ja",1,0),"")</f>
        <v/>
      </c>
      <c r="D307" s="1" t="str">
        <f>IF(AND(Programme_Grunddaten!$A312="Geprüft",Programme_Grunddaten!K312&lt;&gt;""),IF(Programme_Grunddaten!K312="Ja",1,0),"")</f>
        <v/>
      </c>
      <c r="E307" s="1" t="str">
        <f>IF(AND(Programme_Grunddaten!$A312="Geprüft",Programme_Grunddaten!L312&lt;&gt;""),IF(Programme_Grunddaten!L312="Abo / befristete Lizenz",1,0),"")</f>
        <v/>
      </c>
      <c r="F307" s="1" t="str">
        <f>IF(AND(Programme_Grunddaten!$A312="Geprüft",Programme_Grunddaten!M312&lt;&gt;""),IF(Programme_Grunddaten!M312="Ja",1,0),"")</f>
        <v/>
      </c>
      <c r="G307" s="1" t="str">
        <f>IF(AND(Programme_Grunddaten!$A312="Geprüft",Programme_Grunddaten!N312&lt;&gt;""),IF(Programme_Grunddaten!N312="Ja",1,0),"")</f>
        <v/>
      </c>
      <c r="H307" s="1" t="str">
        <f>IF(AND(Programme_Grunddaten!$A312="Geprüft",Programme_Grunddaten!O312&lt;&gt;""),IF(Programme_Grunddaten!O312="Deutschland",0,IF(Programme_Grunddaten!O312="EU",1,2)),"")</f>
        <v/>
      </c>
      <c r="I307" s="1" t="str">
        <f>IF(AND(Programme_Grunddaten!$A312="Geprüft",Programme_Grunddaten!P312&lt;&gt;""),IF(Programme_Grunddaten!P312="Ja",1,0),"")</f>
        <v/>
      </c>
      <c r="J307" s="1" t="str">
        <f>IF(AND(Programme_Grunddaten!$A312="Geprüft",Programme_Grunddaten!Q312&lt;&gt;""),IF(Programme_Grunddaten!Q312="geschlossenes System",1,0),"")</f>
        <v/>
      </c>
      <c r="K307" s="1" t="str">
        <f>IF(AND(Programme_Grunddaten!$A312="Geprüft",Programme_Grunddaten!R312&lt;&gt;""),IF(Programme_Grunddaten!R312="Ja",1,0),"")</f>
        <v/>
      </c>
      <c r="L307" s="1" t="str">
        <f>IF(AND(Programme_Grunddaten!$A312="Geprüft",Programme_Grunddaten!T312&lt;&gt;""),IF(Programme_Grunddaten!T312="Ja",1,0),"")</f>
        <v/>
      </c>
      <c r="M307" s="1" t="str">
        <f>IF(AND(Programme_Grunddaten!$A312="Geprüft",Programme_Grunddaten!U312&lt;&gt;""),IF(Programme_Grunddaten!U312="Ja",1,0),"")</f>
        <v/>
      </c>
      <c r="N307" s="1" t="str">
        <f>IF(AND(Programme_Grunddaten!$A312="Geprüft",Programme_Grunddaten!V312&lt;&gt;""),IF(Programme_Grunddaten!V312="Ja",1,0),"")</f>
        <v/>
      </c>
      <c r="O307" s="1" t="str">
        <f>IF(AND(Programme_Grunddaten!$A312="Geprüft",Programme_Grunddaten!W312&lt;&gt;""),IF(Programme_Grunddaten!W312="Ja",1,0),"")</f>
        <v/>
      </c>
      <c r="P307" s="1" t="str">
        <f>IF(AND(Programme_Grunddaten!$A312="Geprüft",Programme_Grunddaten!X312&lt;&gt;""),IF(Programme_Grunddaten!X312="Ja",1,0),"")</f>
        <v/>
      </c>
      <c r="Q307" s="1" t="str">
        <f>IF(AND(Programme_Grunddaten!$A312="Geprüft",Programme_Grunddaten!Y312&lt;&gt;""),IF(Programme_Grunddaten!Y312="Ja",1,0),"")</f>
        <v/>
      </c>
      <c r="R307" s="1" t="str">
        <f>IF(AND(Programme_Grunddaten!$A312="Geprüft",Programme_Grunddaten!Z312&lt;&gt;""),IF(Programme_Grunddaten!Z312="Ja",1,0),"")</f>
        <v/>
      </c>
      <c r="S307" s="1" t="str">
        <f>IF(AND(Programme_Grunddaten!$A312="Geprüft",Programme_Grunddaten!AA312&lt;&gt;""),IF(Programme_Grunddaten!AA312="monolithisch",1,0),"")</f>
        <v/>
      </c>
      <c r="T307" s="1" t="str">
        <f>IF(AND(Programme_Grunddaten!$A312="Geprüft",Programme_Grunddaten!AB312&lt;&gt;""),IF(Programme_Grunddaten!AB312="Ja",1,0),"")</f>
        <v/>
      </c>
      <c r="U307" s="1" t="str">
        <f>IF(AND(Programme_Grunddaten!$A312="Geprüft",Programme_Grunddaten!AC312&lt;&gt;""),IF(Programme_Grunddaten!AC312="Ja",1,0),"")</f>
        <v/>
      </c>
      <c r="V307" s="1" t="str">
        <f>IF(AND(Programme_Grunddaten!$A312="Geprüft",Programme_Grunddaten!AD312&lt;&gt;""),IF(Programme_Grunddaten!AD312="Ja",1,0),"")</f>
        <v/>
      </c>
      <c r="W307" s="1" t="str">
        <f>IF(AND(Programme_Grunddaten!$A312="Geprüft",Programme_Grunddaten!AE312&lt;&gt;""),IF(Programme_Grunddaten!AE312="Ja",1,0),"")</f>
        <v/>
      </c>
      <c r="X307" s="1" t="str">
        <f>IF(AND(Programme_Grunddaten!$A312="Geprüft",Programme_Grunddaten!AF312&lt;&gt;""),IF(Programme_Grunddaten!AF312="Ja",1,0),"")</f>
        <v/>
      </c>
      <c r="Y307" s="1" t="str">
        <f>IF(AND(Programme_Grunddaten!$A312="Geprüft",Programme_Grunddaten!AG312&lt;&gt;""),IF(Programme_Grunddaten!AG312="Ja",1,0),"")</f>
        <v/>
      </c>
      <c r="Z307" s="1" t="str">
        <f>IF(AND(Programme_Grunddaten!$A312="Geprüft",Programme_Grunddaten!AH312&lt;&gt;""),IF(Programme_Grunddaten!AH312="Ja",1,0),"")</f>
        <v/>
      </c>
      <c r="AA307" s="1" t="str">
        <f>IF(AND(Programme_Grunddaten!$A312="Geprüft",Programme_Grunddaten!AI312&lt;&gt;""),IF(Programme_Grunddaten!AI312="Ja",1,0),"")</f>
        <v/>
      </c>
      <c r="AB307" s="1" t="str">
        <f>IF(AND(Programme_Grunddaten!$A312="Geprüft",Programme_Grunddaten!AJ312&lt;&gt;""),IF(Programme_Grunddaten!AJ312="individuell programmierbar",1,0),"")</f>
        <v/>
      </c>
      <c r="AC307" s="1" t="str">
        <f>IF(AND(Programme_Grunddaten!$A312="Geprüft",Programme_Grunddaten!AK312&lt;&gt;""),IF(Programme_Grunddaten!AK312="Deutsch",0,IF(Programme_Grunddaten!AK312="Deutsch und Englisch",1,2)),"")</f>
        <v/>
      </c>
      <c r="AD307" s="1" t="str">
        <f>IF(AND(Programme_Grunddaten!$A312="Geprüft",Programme_Grunddaten!AL312&lt;&gt;""),IF(Programme_Grunddaten!AL312="Ja",1,0),"")</f>
        <v/>
      </c>
      <c r="AE307" s="1" t="str">
        <f>IF(AND(Programme_Grunddaten!$A312="Geprüft",Programme_Grunddaten!AM312&lt;&gt;""),IF(Programme_Grunddaten!AM312="Ja",1,0),"")</f>
        <v/>
      </c>
      <c r="AF307" s="1" t="str">
        <f>IF(AND(Programme_Grunddaten!$A312="Geprüft",Programme_Grunddaten!AN312&lt;&gt;""),IF(Programme_Grunddaten!AN312="Ja",1,0),"")</f>
        <v/>
      </c>
      <c r="AG307" s="1" t="str">
        <f>IF(AND(Programme_Grunddaten!$A312="Geprüft",Programme_Grunddaten!AO312&lt;&gt;""),IF(Programme_Grunddaten!AO312="Ja",1,0),"")</f>
        <v/>
      </c>
      <c r="AH307" s="1" t="str">
        <f>IF(AND(Programme_Grunddaten!$A312="Geprüft",Programme_Grunddaten!AP312&lt;&gt;""),IF(Programme_Grunddaten!AP312="Ja",1,0),"")</f>
        <v/>
      </c>
      <c r="AI307" s="1" t="str">
        <f>IF(AND(Programme_Grunddaten!$A312="Geprüft",Programme_Grunddaten!AQ312&lt;&gt;""),IF(Programme_Grunddaten!AQ312="Ja",1,0),"")</f>
        <v/>
      </c>
      <c r="AJ307" s="1" t="str">
        <f>IF(AND(Programme_Grunddaten!$A312="Geprüft",Programme_Grunddaten!AR312&lt;&gt;""),IF(Programme_Grunddaten!AR312="Ja",1,0),"")</f>
        <v/>
      </c>
      <c r="AK307" s="1" t="str">
        <f>IF(AND(Programme_Grunddaten!$A312="Geprüft",Programme_Grunddaten!AS312&lt;&gt;""),IF(Programme_Grunddaten!AS312="Ja",1,0),"")</f>
        <v/>
      </c>
      <c r="AL307" s="1" t="str">
        <f>IF(AND(Programme_Grunddaten!$A312="Geprüft",Programme_Grunddaten!AT312&lt;&gt;""),IF(Programme_Grunddaten!AT312="Ja",1,0),"")</f>
        <v/>
      </c>
      <c r="AM307" s="1" t="str">
        <f>IF(AND(Programme_Grunddaten!$A312="Geprüft",Programme_Grunddaten!AU312&lt;&gt;""),IF(Programme_Grunddaten!AU312="Ja",1,0),"")</f>
        <v/>
      </c>
      <c r="AN307" s="1" t="str">
        <f>IF(AND(Programme_Grunddaten!$A312="Geprüft",Programme_Grunddaten!AV312&lt;&gt;""),IF(Programme_Grunddaten!AV312="Ja",1,0),"")</f>
        <v/>
      </c>
    </row>
    <row r="308" spans="1:40" x14ac:dyDescent="0.3">
      <c r="A308" s="1" t="str">
        <f>IF(AND(Programme_Grunddaten!A313="Geprüft",Programme_Grunddaten!B313&lt;&gt;""),Programme_Grunddaten!B313,"")</f>
        <v/>
      </c>
      <c r="B308" s="1" t="str">
        <f>IF(AND(Programme_Grunddaten!$A313="Geprüft",Programme_Grunddaten!I313&lt;&gt;""),IF(Programme_Grunddaten!I313="Ja",1,0),"")</f>
        <v/>
      </c>
      <c r="C308" s="1" t="str">
        <f>IF(AND(Programme_Grunddaten!$A313="Geprüft",Programme_Grunddaten!J313&lt;&gt;""),IF(Programme_Grunddaten!J313="Ja",1,0),"")</f>
        <v/>
      </c>
      <c r="D308" s="1" t="str">
        <f>IF(AND(Programme_Grunddaten!$A313="Geprüft",Programme_Grunddaten!K313&lt;&gt;""),IF(Programme_Grunddaten!K313="Ja",1,0),"")</f>
        <v/>
      </c>
      <c r="E308" s="1" t="str">
        <f>IF(AND(Programme_Grunddaten!$A313="Geprüft",Programme_Grunddaten!L313&lt;&gt;""),IF(Programme_Grunddaten!L313="Abo / befristete Lizenz",1,0),"")</f>
        <v/>
      </c>
      <c r="F308" s="1" t="str">
        <f>IF(AND(Programme_Grunddaten!$A313="Geprüft",Programme_Grunddaten!M313&lt;&gt;""),IF(Programme_Grunddaten!M313="Ja",1,0),"")</f>
        <v/>
      </c>
      <c r="G308" s="1" t="str">
        <f>IF(AND(Programme_Grunddaten!$A313="Geprüft",Programme_Grunddaten!N313&lt;&gt;""),IF(Programme_Grunddaten!N313="Ja",1,0),"")</f>
        <v/>
      </c>
      <c r="H308" s="1" t="str">
        <f>IF(AND(Programme_Grunddaten!$A313="Geprüft",Programme_Grunddaten!O313&lt;&gt;""),IF(Programme_Grunddaten!O313="Deutschland",0,IF(Programme_Grunddaten!O313="EU",1,2)),"")</f>
        <v/>
      </c>
      <c r="I308" s="1" t="str">
        <f>IF(AND(Programme_Grunddaten!$A313="Geprüft",Programme_Grunddaten!P313&lt;&gt;""),IF(Programme_Grunddaten!P313="Ja",1,0),"")</f>
        <v/>
      </c>
      <c r="J308" s="1" t="str">
        <f>IF(AND(Programme_Grunddaten!$A313="Geprüft",Programme_Grunddaten!Q313&lt;&gt;""),IF(Programme_Grunddaten!Q313="geschlossenes System",1,0),"")</f>
        <v/>
      </c>
      <c r="K308" s="1" t="str">
        <f>IF(AND(Programme_Grunddaten!$A313="Geprüft",Programme_Grunddaten!R313&lt;&gt;""),IF(Programme_Grunddaten!R313="Ja",1,0),"")</f>
        <v/>
      </c>
      <c r="L308" s="1" t="str">
        <f>IF(AND(Programme_Grunddaten!$A313="Geprüft",Programme_Grunddaten!T313&lt;&gt;""),IF(Programme_Grunddaten!T313="Ja",1,0),"")</f>
        <v/>
      </c>
      <c r="M308" s="1" t="str">
        <f>IF(AND(Programme_Grunddaten!$A313="Geprüft",Programme_Grunddaten!U313&lt;&gt;""),IF(Programme_Grunddaten!U313="Ja",1,0),"")</f>
        <v/>
      </c>
      <c r="N308" s="1" t="str">
        <f>IF(AND(Programme_Grunddaten!$A313="Geprüft",Programme_Grunddaten!V313&lt;&gt;""),IF(Programme_Grunddaten!V313="Ja",1,0),"")</f>
        <v/>
      </c>
      <c r="O308" s="1" t="str">
        <f>IF(AND(Programme_Grunddaten!$A313="Geprüft",Programme_Grunddaten!W313&lt;&gt;""),IF(Programme_Grunddaten!W313="Ja",1,0),"")</f>
        <v/>
      </c>
      <c r="P308" s="1" t="str">
        <f>IF(AND(Programme_Grunddaten!$A313="Geprüft",Programme_Grunddaten!X313&lt;&gt;""),IF(Programme_Grunddaten!X313="Ja",1,0),"")</f>
        <v/>
      </c>
      <c r="Q308" s="1" t="str">
        <f>IF(AND(Programme_Grunddaten!$A313="Geprüft",Programme_Grunddaten!Y313&lt;&gt;""),IF(Programme_Grunddaten!Y313="Ja",1,0),"")</f>
        <v/>
      </c>
      <c r="R308" s="1" t="str">
        <f>IF(AND(Programme_Grunddaten!$A313="Geprüft",Programme_Grunddaten!Z313&lt;&gt;""),IF(Programme_Grunddaten!Z313="Ja",1,0),"")</f>
        <v/>
      </c>
      <c r="S308" s="1" t="str">
        <f>IF(AND(Programme_Grunddaten!$A313="Geprüft",Programme_Grunddaten!AA313&lt;&gt;""),IF(Programme_Grunddaten!AA313="monolithisch",1,0),"")</f>
        <v/>
      </c>
      <c r="T308" s="1" t="str">
        <f>IF(AND(Programme_Grunddaten!$A313="Geprüft",Programme_Grunddaten!AB313&lt;&gt;""),IF(Programme_Grunddaten!AB313="Ja",1,0),"")</f>
        <v/>
      </c>
      <c r="U308" s="1" t="str">
        <f>IF(AND(Programme_Grunddaten!$A313="Geprüft",Programme_Grunddaten!AC313&lt;&gt;""),IF(Programme_Grunddaten!AC313="Ja",1,0),"")</f>
        <v/>
      </c>
      <c r="V308" s="1" t="str">
        <f>IF(AND(Programme_Grunddaten!$A313="Geprüft",Programme_Grunddaten!AD313&lt;&gt;""),IF(Programme_Grunddaten!AD313="Ja",1,0),"")</f>
        <v/>
      </c>
      <c r="W308" s="1" t="str">
        <f>IF(AND(Programme_Grunddaten!$A313="Geprüft",Programme_Grunddaten!AE313&lt;&gt;""),IF(Programme_Grunddaten!AE313="Ja",1,0),"")</f>
        <v/>
      </c>
      <c r="X308" s="1" t="str">
        <f>IF(AND(Programme_Grunddaten!$A313="Geprüft",Programme_Grunddaten!AF313&lt;&gt;""),IF(Programme_Grunddaten!AF313="Ja",1,0),"")</f>
        <v/>
      </c>
      <c r="Y308" s="1" t="str">
        <f>IF(AND(Programme_Grunddaten!$A313="Geprüft",Programme_Grunddaten!AG313&lt;&gt;""),IF(Programme_Grunddaten!AG313="Ja",1,0),"")</f>
        <v/>
      </c>
      <c r="Z308" s="1" t="str">
        <f>IF(AND(Programme_Grunddaten!$A313="Geprüft",Programme_Grunddaten!AH313&lt;&gt;""),IF(Programme_Grunddaten!AH313="Ja",1,0),"")</f>
        <v/>
      </c>
      <c r="AA308" s="1" t="str">
        <f>IF(AND(Programme_Grunddaten!$A313="Geprüft",Programme_Grunddaten!AI313&lt;&gt;""),IF(Programme_Grunddaten!AI313="Ja",1,0),"")</f>
        <v/>
      </c>
      <c r="AB308" s="1" t="str">
        <f>IF(AND(Programme_Grunddaten!$A313="Geprüft",Programme_Grunddaten!AJ313&lt;&gt;""),IF(Programme_Grunddaten!AJ313="individuell programmierbar",1,0),"")</f>
        <v/>
      </c>
      <c r="AC308" s="1" t="str">
        <f>IF(AND(Programme_Grunddaten!$A313="Geprüft",Programme_Grunddaten!AK313&lt;&gt;""),IF(Programme_Grunddaten!AK313="Deutsch",0,IF(Programme_Grunddaten!AK313="Deutsch und Englisch",1,2)),"")</f>
        <v/>
      </c>
      <c r="AD308" s="1" t="str">
        <f>IF(AND(Programme_Grunddaten!$A313="Geprüft",Programme_Grunddaten!AL313&lt;&gt;""),IF(Programme_Grunddaten!AL313="Ja",1,0),"")</f>
        <v/>
      </c>
      <c r="AE308" s="1" t="str">
        <f>IF(AND(Programme_Grunddaten!$A313="Geprüft",Programme_Grunddaten!AM313&lt;&gt;""),IF(Programme_Grunddaten!AM313="Ja",1,0),"")</f>
        <v/>
      </c>
      <c r="AF308" s="1" t="str">
        <f>IF(AND(Programme_Grunddaten!$A313="Geprüft",Programme_Grunddaten!AN313&lt;&gt;""),IF(Programme_Grunddaten!AN313="Ja",1,0),"")</f>
        <v/>
      </c>
      <c r="AG308" s="1" t="str">
        <f>IF(AND(Programme_Grunddaten!$A313="Geprüft",Programme_Grunddaten!AO313&lt;&gt;""),IF(Programme_Grunddaten!AO313="Ja",1,0),"")</f>
        <v/>
      </c>
      <c r="AH308" s="1" t="str">
        <f>IF(AND(Programme_Grunddaten!$A313="Geprüft",Programme_Grunddaten!AP313&lt;&gt;""),IF(Programme_Grunddaten!AP313="Ja",1,0),"")</f>
        <v/>
      </c>
      <c r="AI308" s="1" t="str">
        <f>IF(AND(Programme_Grunddaten!$A313="Geprüft",Programme_Grunddaten!AQ313&lt;&gt;""),IF(Programme_Grunddaten!AQ313="Ja",1,0),"")</f>
        <v/>
      </c>
      <c r="AJ308" s="1" t="str">
        <f>IF(AND(Programme_Grunddaten!$A313="Geprüft",Programme_Grunddaten!AR313&lt;&gt;""),IF(Programme_Grunddaten!AR313="Ja",1,0),"")</f>
        <v/>
      </c>
      <c r="AK308" s="1" t="str">
        <f>IF(AND(Programme_Grunddaten!$A313="Geprüft",Programme_Grunddaten!AS313&lt;&gt;""),IF(Programme_Grunddaten!AS313="Ja",1,0),"")</f>
        <v/>
      </c>
      <c r="AL308" s="1" t="str">
        <f>IF(AND(Programme_Grunddaten!$A313="Geprüft",Programme_Grunddaten!AT313&lt;&gt;""),IF(Programme_Grunddaten!AT313="Ja",1,0),"")</f>
        <v/>
      </c>
      <c r="AM308" s="1" t="str">
        <f>IF(AND(Programme_Grunddaten!$A313="Geprüft",Programme_Grunddaten!AU313&lt;&gt;""),IF(Programme_Grunddaten!AU313="Ja",1,0),"")</f>
        <v/>
      </c>
      <c r="AN308" s="1" t="str">
        <f>IF(AND(Programme_Grunddaten!$A313="Geprüft",Programme_Grunddaten!AV313&lt;&gt;""),IF(Programme_Grunddaten!AV313="Ja",1,0),"")</f>
        <v/>
      </c>
    </row>
    <row r="309" spans="1:40" x14ac:dyDescent="0.3">
      <c r="A309" s="1" t="str">
        <f>IF(AND(Programme_Grunddaten!A314="Geprüft",Programme_Grunddaten!B314&lt;&gt;""),Programme_Grunddaten!B314,"")</f>
        <v/>
      </c>
      <c r="B309" s="1" t="str">
        <f>IF(AND(Programme_Grunddaten!$A314="Geprüft",Programme_Grunddaten!I314&lt;&gt;""),IF(Programme_Grunddaten!I314="Ja",1,0),"")</f>
        <v/>
      </c>
      <c r="C309" s="1" t="str">
        <f>IF(AND(Programme_Grunddaten!$A314="Geprüft",Programme_Grunddaten!J314&lt;&gt;""),IF(Programme_Grunddaten!J314="Ja",1,0),"")</f>
        <v/>
      </c>
      <c r="D309" s="1" t="str">
        <f>IF(AND(Programme_Grunddaten!$A314="Geprüft",Programme_Grunddaten!K314&lt;&gt;""),IF(Programme_Grunddaten!K314="Ja",1,0),"")</f>
        <v/>
      </c>
      <c r="E309" s="1" t="str">
        <f>IF(AND(Programme_Grunddaten!$A314="Geprüft",Programme_Grunddaten!L314&lt;&gt;""),IF(Programme_Grunddaten!L314="Abo / befristete Lizenz",1,0),"")</f>
        <v/>
      </c>
      <c r="F309" s="1" t="str">
        <f>IF(AND(Programme_Grunddaten!$A314="Geprüft",Programme_Grunddaten!M314&lt;&gt;""),IF(Programme_Grunddaten!M314="Ja",1,0),"")</f>
        <v/>
      </c>
      <c r="G309" s="1" t="str">
        <f>IF(AND(Programme_Grunddaten!$A314="Geprüft",Programme_Grunddaten!N314&lt;&gt;""),IF(Programme_Grunddaten!N314="Ja",1,0),"")</f>
        <v/>
      </c>
      <c r="H309" s="1" t="str">
        <f>IF(AND(Programme_Grunddaten!$A314="Geprüft",Programme_Grunddaten!O314&lt;&gt;""),IF(Programme_Grunddaten!O314="Deutschland",0,IF(Programme_Grunddaten!O314="EU",1,2)),"")</f>
        <v/>
      </c>
      <c r="I309" s="1" t="str">
        <f>IF(AND(Programme_Grunddaten!$A314="Geprüft",Programme_Grunddaten!P314&lt;&gt;""),IF(Programme_Grunddaten!P314="Ja",1,0),"")</f>
        <v/>
      </c>
      <c r="J309" s="1" t="str">
        <f>IF(AND(Programme_Grunddaten!$A314="Geprüft",Programme_Grunddaten!Q314&lt;&gt;""),IF(Programme_Grunddaten!Q314="geschlossenes System",1,0),"")</f>
        <v/>
      </c>
      <c r="K309" s="1" t="str">
        <f>IF(AND(Programme_Grunddaten!$A314="Geprüft",Programme_Grunddaten!R314&lt;&gt;""),IF(Programme_Grunddaten!R314="Ja",1,0),"")</f>
        <v/>
      </c>
      <c r="L309" s="1" t="str">
        <f>IF(AND(Programme_Grunddaten!$A314="Geprüft",Programme_Grunddaten!T314&lt;&gt;""),IF(Programme_Grunddaten!T314="Ja",1,0),"")</f>
        <v/>
      </c>
      <c r="M309" s="1" t="str">
        <f>IF(AND(Programme_Grunddaten!$A314="Geprüft",Programme_Grunddaten!U314&lt;&gt;""),IF(Programme_Grunddaten!U314="Ja",1,0),"")</f>
        <v/>
      </c>
      <c r="N309" s="1" t="str">
        <f>IF(AND(Programme_Grunddaten!$A314="Geprüft",Programme_Grunddaten!V314&lt;&gt;""),IF(Programme_Grunddaten!V314="Ja",1,0),"")</f>
        <v/>
      </c>
      <c r="O309" s="1" t="str">
        <f>IF(AND(Programme_Grunddaten!$A314="Geprüft",Programme_Grunddaten!W314&lt;&gt;""),IF(Programme_Grunddaten!W314="Ja",1,0),"")</f>
        <v/>
      </c>
      <c r="P309" s="1" t="str">
        <f>IF(AND(Programme_Grunddaten!$A314="Geprüft",Programme_Grunddaten!X314&lt;&gt;""),IF(Programme_Grunddaten!X314="Ja",1,0),"")</f>
        <v/>
      </c>
      <c r="Q309" s="1" t="str">
        <f>IF(AND(Programme_Grunddaten!$A314="Geprüft",Programme_Grunddaten!Y314&lt;&gt;""),IF(Programme_Grunddaten!Y314="Ja",1,0),"")</f>
        <v/>
      </c>
      <c r="R309" s="1" t="str">
        <f>IF(AND(Programme_Grunddaten!$A314="Geprüft",Programme_Grunddaten!Z314&lt;&gt;""),IF(Programme_Grunddaten!Z314="Ja",1,0),"")</f>
        <v/>
      </c>
      <c r="S309" s="1" t="str">
        <f>IF(AND(Programme_Grunddaten!$A314="Geprüft",Programme_Grunddaten!AA314&lt;&gt;""),IF(Programme_Grunddaten!AA314="monolithisch",1,0),"")</f>
        <v/>
      </c>
      <c r="T309" s="1" t="str">
        <f>IF(AND(Programme_Grunddaten!$A314="Geprüft",Programme_Grunddaten!AB314&lt;&gt;""),IF(Programme_Grunddaten!AB314="Ja",1,0),"")</f>
        <v/>
      </c>
      <c r="U309" s="1" t="str">
        <f>IF(AND(Programme_Grunddaten!$A314="Geprüft",Programme_Grunddaten!AC314&lt;&gt;""),IF(Programme_Grunddaten!AC314="Ja",1,0),"")</f>
        <v/>
      </c>
      <c r="V309" s="1" t="str">
        <f>IF(AND(Programme_Grunddaten!$A314="Geprüft",Programme_Grunddaten!AD314&lt;&gt;""),IF(Programme_Grunddaten!AD314="Ja",1,0),"")</f>
        <v/>
      </c>
      <c r="W309" s="1" t="str">
        <f>IF(AND(Programme_Grunddaten!$A314="Geprüft",Programme_Grunddaten!AE314&lt;&gt;""),IF(Programme_Grunddaten!AE314="Ja",1,0),"")</f>
        <v/>
      </c>
      <c r="X309" s="1" t="str">
        <f>IF(AND(Programme_Grunddaten!$A314="Geprüft",Programme_Grunddaten!AF314&lt;&gt;""),IF(Programme_Grunddaten!AF314="Ja",1,0),"")</f>
        <v/>
      </c>
      <c r="Y309" s="1" t="str">
        <f>IF(AND(Programme_Grunddaten!$A314="Geprüft",Programme_Grunddaten!AG314&lt;&gt;""),IF(Programme_Grunddaten!AG314="Ja",1,0),"")</f>
        <v/>
      </c>
      <c r="Z309" s="1" t="str">
        <f>IF(AND(Programme_Grunddaten!$A314="Geprüft",Programme_Grunddaten!AH314&lt;&gt;""),IF(Programme_Grunddaten!AH314="Ja",1,0),"")</f>
        <v/>
      </c>
      <c r="AA309" s="1" t="str">
        <f>IF(AND(Programme_Grunddaten!$A314="Geprüft",Programme_Grunddaten!AI314&lt;&gt;""),IF(Programme_Grunddaten!AI314="Ja",1,0),"")</f>
        <v/>
      </c>
      <c r="AB309" s="1" t="str">
        <f>IF(AND(Programme_Grunddaten!$A314="Geprüft",Programme_Grunddaten!AJ314&lt;&gt;""),IF(Programme_Grunddaten!AJ314="individuell programmierbar",1,0),"")</f>
        <v/>
      </c>
      <c r="AC309" s="1" t="str">
        <f>IF(AND(Programme_Grunddaten!$A314="Geprüft",Programme_Grunddaten!AK314&lt;&gt;""),IF(Programme_Grunddaten!AK314="Deutsch",0,IF(Programme_Grunddaten!AK314="Deutsch und Englisch",1,2)),"")</f>
        <v/>
      </c>
      <c r="AD309" s="1" t="str">
        <f>IF(AND(Programme_Grunddaten!$A314="Geprüft",Programme_Grunddaten!AL314&lt;&gt;""),IF(Programme_Grunddaten!AL314="Ja",1,0),"")</f>
        <v/>
      </c>
      <c r="AE309" s="1" t="str">
        <f>IF(AND(Programme_Grunddaten!$A314="Geprüft",Programme_Grunddaten!AM314&lt;&gt;""),IF(Programme_Grunddaten!AM314="Ja",1,0),"")</f>
        <v/>
      </c>
      <c r="AF309" s="1" t="str">
        <f>IF(AND(Programme_Grunddaten!$A314="Geprüft",Programme_Grunddaten!AN314&lt;&gt;""),IF(Programme_Grunddaten!AN314="Ja",1,0),"")</f>
        <v/>
      </c>
      <c r="AG309" s="1" t="str">
        <f>IF(AND(Programme_Grunddaten!$A314="Geprüft",Programme_Grunddaten!AO314&lt;&gt;""),IF(Programme_Grunddaten!AO314="Ja",1,0),"")</f>
        <v/>
      </c>
      <c r="AH309" s="1" t="str">
        <f>IF(AND(Programme_Grunddaten!$A314="Geprüft",Programme_Grunddaten!AP314&lt;&gt;""),IF(Programme_Grunddaten!AP314="Ja",1,0),"")</f>
        <v/>
      </c>
      <c r="AI309" s="1" t="str">
        <f>IF(AND(Programme_Grunddaten!$A314="Geprüft",Programme_Grunddaten!AQ314&lt;&gt;""),IF(Programme_Grunddaten!AQ314="Ja",1,0),"")</f>
        <v/>
      </c>
      <c r="AJ309" s="1" t="str">
        <f>IF(AND(Programme_Grunddaten!$A314="Geprüft",Programme_Grunddaten!AR314&lt;&gt;""),IF(Programme_Grunddaten!AR314="Ja",1,0),"")</f>
        <v/>
      </c>
      <c r="AK309" s="1" t="str">
        <f>IF(AND(Programme_Grunddaten!$A314="Geprüft",Programme_Grunddaten!AS314&lt;&gt;""),IF(Programme_Grunddaten!AS314="Ja",1,0),"")</f>
        <v/>
      </c>
      <c r="AL309" s="1" t="str">
        <f>IF(AND(Programme_Grunddaten!$A314="Geprüft",Programme_Grunddaten!AT314&lt;&gt;""),IF(Programme_Grunddaten!AT314="Ja",1,0),"")</f>
        <v/>
      </c>
      <c r="AM309" s="1" t="str">
        <f>IF(AND(Programme_Grunddaten!$A314="Geprüft",Programme_Grunddaten!AU314&lt;&gt;""),IF(Programme_Grunddaten!AU314="Ja",1,0),"")</f>
        <v/>
      </c>
      <c r="AN309" s="1" t="str">
        <f>IF(AND(Programme_Grunddaten!$A314="Geprüft",Programme_Grunddaten!AV314&lt;&gt;""),IF(Programme_Grunddaten!AV314="Ja",1,0),"")</f>
        <v/>
      </c>
    </row>
    <row r="310" spans="1:40" x14ac:dyDescent="0.3">
      <c r="A310" s="1" t="str">
        <f>IF(AND(Programme_Grunddaten!A315="Geprüft",Programme_Grunddaten!B315&lt;&gt;""),Programme_Grunddaten!B315,"")</f>
        <v/>
      </c>
      <c r="B310" s="1" t="str">
        <f>IF(AND(Programme_Grunddaten!$A315="Geprüft",Programme_Grunddaten!I315&lt;&gt;""),IF(Programme_Grunddaten!I315="Ja",1,0),"")</f>
        <v/>
      </c>
      <c r="C310" s="1" t="str">
        <f>IF(AND(Programme_Grunddaten!$A315="Geprüft",Programme_Grunddaten!J315&lt;&gt;""),IF(Programme_Grunddaten!J315="Ja",1,0),"")</f>
        <v/>
      </c>
      <c r="D310" s="1" t="str">
        <f>IF(AND(Programme_Grunddaten!$A315="Geprüft",Programme_Grunddaten!K315&lt;&gt;""),IF(Programme_Grunddaten!K315="Ja",1,0),"")</f>
        <v/>
      </c>
      <c r="E310" s="1" t="str">
        <f>IF(AND(Programme_Grunddaten!$A315="Geprüft",Programme_Grunddaten!L315&lt;&gt;""),IF(Programme_Grunddaten!L315="Abo / befristete Lizenz",1,0),"")</f>
        <v/>
      </c>
      <c r="F310" s="1" t="str">
        <f>IF(AND(Programme_Grunddaten!$A315="Geprüft",Programme_Grunddaten!M315&lt;&gt;""),IF(Programme_Grunddaten!M315="Ja",1,0),"")</f>
        <v/>
      </c>
      <c r="G310" s="1" t="str">
        <f>IF(AND(Programme_Grunddaten!$A315="Geprüft",Programme_Grunddaten!N315&lt;&gt;""),IF(Programme_Grunddaten!N315="Ja",1,0),"")</f>
        <v/>
      </c>
      <c r="H310" s="1" t="str">
        <f>IF(AND(Programme_Grunddaten!$A315="Geprüft",Programme_Grunddaten!O315&lt;&gt;""),IF(Programme_Grunddaten!O315="Deutschland",0,IF(Programme_Grunddaten!O315="EU",1,2)),"")</f>
        <v/>
      </c>
      <c r="I310" s="1" t="str">
        <f>IF(AND(Programme_Grunddaten!$A315="Geprüft",Programme_Grunddaten!P315&lt;&gt;""),IF(Programme_Grunddaten!P315="Ja",1,0),"")</f>
        <v/>
      </c>
      <c r="J310" s="1" t="str">
        <f>IF(AND(Programme_Grunddaten!$A315="Geprüft",Programme_Grunddaten!Q315&lt;&gt;""),IF(Programme_Grunddaten!Q315="geschlossenes System",1,0),"")</f>
        <v/>
      </c>
      <c r="K310" s="1" t="str">
        <f>IF(AND(Programme_Grunddaten!$A315="Geprüft",Programme_Grunddaten!R315&lt;&gt;""),IF(Programme_Grunddaten!R315="Ja",1,0),"")</f>
        <v/>
      </c>
      <c r="L310" s="1" t="str">
        <f>IF(AND(Programme_Grunddaten!$A315="Geprüft",Programme_Grunddaten!T315&lt;&gt;""),IF(Programme_Grunddaten!T315="Ja",1,0),"")</f>
        <v/>
      </c>
      <c r="M310" s="1" t="str">
        <f>IF(AND(Programme_Grunddaten!$A315="Geprüft",Programme_Grunddaten!U315&lt;&gt;""),IF(Programme_Grunddaten!U315="Ja",1,0),"")</f>
        <v/>
      </c>
      <c r="N310" s="1" t="str">
        <f>IF(AND(Programme_Grunddaten!$A315="Geprüft",Programme_Grunddaten!V315&lt;&gt;""),IF(Programme_Grunddaten!V315="Ja",1,0),"")</f>
        <v/>
      </c>
      <c r="O310" s="1" t="str">
        <f>IF(AND(Programme_Grunddaten!$A315="Geprüft",Programme_Grunddaten!W315&lt;&gt;""),IF(Programme_Grunddaten!W315="Ja",1,0),"")</f>
        <v/>
      </c>
      <c r="P310" s="1" t="str">
        <f>IF(AND(Programme_Grunddaten!$A315="Geprüft",Programme_Grunddaten!X315&lt;&gt;""),IF(Programme_Grunddaten!X315="Ja",1,0),"")</f>
        <v/>
      </c>
      <c r="Q310" s="1" t="str">
        <f>IF(AND(Programme_Grunddaten!$A315="Geprüft",Programme_Grunddaten!Y315&lt;&gt;""),IF(Programme_Grunddaten!Y315="Ja",1,0),"")</f>
        <v/>
      </c>
      <c r="R310" s="1" t="str">
        <f>IF(AND(Programme_Grunddaten!$A315="Geprüft",Programme_Grunddaten!Z315&lt;&gt;""),IF(Programme_Grunddaten!Z315="Ja",1,0),"")</f>
        <v/>
      </c>
      <c r="S310" s="1" t="str">
        <f>IF(AND(Programme_Grunddaten!$A315="Geprüft",Programme_Grunddaten!AA315&lt;&gt;""),IF(Programme_Grunddaten!AA315="monolithisch",1,0),"")</f>
        <v/>
      </c>
      <c r="T310" s="1" t="str">
        <f>IF(AND(Programme_Grunddaten!$A315="Geprüft",Programme_Grunddaten!AB315&lt;&gt;""),IF(Programme_Grunddaten!AB315="Ja",1,0),"")</f>
        <v/>
      </c>
      <c r="U310" s="1" t="str">
        <f>IF(AND(Programme_Grunddaten!$A315="Geprüft",Programme_Grunddaten!AC315&lt;&gt;""),IF(Programme_Grunddaten!AC315="Ja",1,0),"")</f>
        <v/>
      </c>
      <c r="V310" s="1" t="str">
        <f>IF(AND(Programme_Grunddaten!$A315="Geprüft",Programme_Grunddaten!AD315&lt;&gt;""),IF(Programme_Grunddaten!AD315="Ja",1,0),"")</f>
        <v/>
      </c>
      <c r="W310" s="1" t="str">
        <f>IF(AND(Programme_Grunddaten!$A315="Geprüft",Programme_Grunddaten!AE315&lt;&gt;""),IF(Programme_Grunddaten!AE315="Ja",1,0),"")</f>
        <v/>
      </c>
      <c r="X310" s="1" t="str">
        <f>IF(AND(Programme_Grunddaten!$A315="Geprüft",Programme_Grunddaten!AF315&lt;&gt;""),IF(Programme_Grunddaten!AF315="Ja",1,0),"")</f>
        <v/>
      </c>
      <c r="Y310" s="1" t="str">
        <f>IF(AND(Programme_Grunddaten!$A315="Geprüft",Programme_Grunddaten!AG315&lt;&gt;""),IF(Programme_Grunddaten!AG315="Ja",1,0),"")</f>
        <v/>
      </c>
      <c r="Z310" s="1" t="str">
        <f>IF(AND(Programme_Grunddaten!$A315="Geprüft",Programme_Grunddaten!AH315&lt;&gt;""),IF(Programme_Grunddaten!AH315="Ja",1,0),"")</f>
        <v/>
      </c>
      <c r="AA310" s="1" t="str">
        <f>IF(AND(Programme_Grunddaten!$A315="Geprüft",Programme_Grunddaten!AI315&lt;&gt;""),IF(Programme_Grunddaten!AI315="Ja",1,0),"")</f>
        <v/>
      </c>
      <c r="AB310" s="1" t="str">
        <f>IF(AND(Programme_Grunddaten!$A315="Geprüft",Programme_Grunddaten!AJ315&lt;&gt;""),IF(Programme_Grunddaten!AJ315="individuell programmierbar",1,0),"")</f>
        <v/>
      </c>
      <c r="AC310" s="1" t="str">
        <f>IF(AND(Programme_Grunddaten!$A315="Geprüft",Programme_Grunddaten!AK315&lt;&gt;""),IF(Programme_Grunddaten!AK315="Deutsch",0,IF(Programme_Grunddaten!AK315="Deutsch und Englisch",1,2)),"")</f>
        <v/>
      </c>
      <c r="AD310" s="1" t="str">
        <f>IF(AND(Programme_Grunddaten!$A315="Geprüft",Programme_Grunddaten!AL315&lt;&gt;""),IF(Programme_Grunddaten!AL315="Ja",1,0),"")</f>
        <v/>
      </c>
      <c r="AE310" s="1" t="str">
        <f>IF(AND(Programme_Grunddaten!$A315="Geprüft",Programme_Grunddaten!AM315&lt;&gt;""),IF(Programme_Grunddaten!AM315="Ja",1,0),"")</f>
        <v/>
      </c>
      <c r="AF310" s="1" t="str">
        <f>IF(AND(Programme_Grunddaten!$A315="Geprüft",Programme_Grunddaten!AN315&lt;&gt;""),IF(Programme_Grunddaten!AN315="Ja",1,0),"")</f>
        <v/>
      </c>
      <c r="AG310" s="1" t="str">
        <f>IF(AND(Programme_Grunddaten!$A315="Geprüft",Programme_Grunddaten!AO315&lt;&gt;""),IF(Programme_Grunddaten!AO315="Ja",1,0),"")</f>
        <v/>
      </c>
      <c r="AH310" s="1" t="str">
        <f>IF(AND(Programme_Grunddaten!$A315="Geprüft",Programme_Grunddaten!AP315&lt;&gt;""),IF(Programme_Grunddaten!AP315="Ja",1,0),"")</f>
        <v/>
      </c>
      <c r="AI310" s="1" t="str">
        <f>IF(AND(Programme_Grunddaten!$A315="Geprüft",Programme_Grunddaten!AQ315&lt;&gt;""),IF(Programme_Grunddaten!AQ315="Ja",1,0),"")</f>
        <v/>
      </c>
      <c r="AJ310" s="1" t="str">
        <f>IF(AND(Programme_Grunddaten!$A315="Geprüft",Programme_Grunddaten!AR315&lt;&gt;""),IF(Programme_Grunddaten!AR315="Ja",1,0),"")</f>
        <v/>
      </c>
      <c r="AK310" s="1" t="str">
        <f>IF(AND(Programme_Grunddaten!$A315="Geprüft",Programme_Grunddaten!AS315&lt;&gt;""),IF(Programme_Grunddaten!AS315="Ja",1,0),"")</f>
        <v/>
      </c>
      <c r="AL310" s="1" t="str">
        <f>IF(AND(Programme_Grunddaten!$A315="Geprüft",Programme_Grunddaten!AT315&lt;&gt;""),IF(Programme_Grunddaten!AT315="Ja",1,0),"")</f>
        <v/>
      </c>
      <c r="AM310" s="1" t="str">
        <f>IF(AND(Programme_Grunddaten!$A315="Geprüft",Programme_Grunddaten!AU315&lt;&gt;""),IF(Programme_Grunddaten!AU315="Ja",1,0),"")</f>
        <v/>
      </c>
      <c r="AN310" s="1" t="str">
        <f>IF(AND(Programme_Grunddaten!$A315="Geprüft",Programme_Grunddaten!AV315&lt;&gt;""),IF(Programme_Grunddaten!AV315="Ja",1,0),"")</f>
        <v/>
      </c>
    </row>
    <row r="311" spans="1:40" x14ac:dyDescent="0.3">
      <c r="A311" s="1" t="str">
        <f>IF(AND(Programme_Grunddaten!A316="Geprüft",Programme_Grunddaten!B316&lt;&gt;""),Programme_Grunddaten!B316,"")</f>
        <v/>
      </c>
      <c r="B311" s="1" t="str">
        <f>IF(AND(Programme_Grunddaten!$A316="Geprüft",Programme_Grunddaten!I316&lt;&gt;""),IF(Programme_Grunddaten!I316="Ja",1,0),"")</f>
        <v/>
      </c>
      <c r="C311" s="1" t="str">
        <f>IF(AND(Programme_Grunddaten!$A316="Geprüft",Programme_Grunddaten!J316&lt;&gt;""),IF(Programme_Grunddaten!J316="Ja",1,0),"")</f>
        <v/>
      </c>
      <c r="D311" s="1" t="str">
        <f>IF(AND(Programme_Grunddaten!$A316="Geprüft",Programme_Grunddaten!K316&lt;&gt;""),IF(Programme_Grunddaten!K316="Ja",1,0),"")</f>
        <v/>
      </c>
      <c r="E311" s="1" t="str">
        <f>IF(AND(Programme_Grunddaten!$A316="Geprüft",Programme_Grunddaten!L316&lt;&gt;""),IF(Programme_Grunddaten!L316="Abo / befristete Lizenz",1,0),"")</f>
        <v/>
      </c>
      <c r="F311" s="1" t="str">
        <f>IF(AND(Programme_Grunddaten!$A316="Geprüft",Programme_Grunddaten!M316&lt;&gt;""),IF(Programme_Grunddaten!M316="Ja",1,0),"")</f>
        <v/>
      </c>
      <c r="G311" s="1" t="str">
        <f>IF(AND(Programme_Grunddaten!$A316="Geprüft",Programme_Grunddaten!N316&lt;&gt;""),IF(Programme_Grunddaten!N316="Ja",1,0),"")</f>
        <v/>
      </c>
      <c r="H311" s="1" t="str">
        <f>IF(AND(Programme_Grunddaten!$A316="Geprüft",Programme_Grunddaten!O316&lt;&gt;""),IF(Programme_Grunddaten!O316="Deutschland",0,IF(Programme_Grunddaten!O316="EU",1,2)),"")</f>
        <v/>
      </c>
      <c r="I311" s="1" t="str">
        <f>IF(AND(Programme_Grunddaten!$A316="Geprüft",Programme_Grunddaten!P316&lt;&gt;""),IF(Programme_Grunddaten!P316="Ja",1,0),"")</f>
        <v/>
      </c>
      <c r="J311" s="1" t="str">
        <f>IF(AND(Programme_Grunddaten!$A316="Geprüft",Programme_Grunddaten!Q316&lt;&gt;""),IF(Programme_Grunddaten!Q316="geschlossenes System",1,0),"")</f>
        <v/>
      </c>
      <c r="K311" s="1" t="str">
        <f>IF(AND(Programme_Grunddaten!$A316="Geprüft",Programme_Grunddaten!R316&lt;&gt;""),IF(Programme_Grunddaten!R316="Ja",1,0),"")</f>
        <v/>
      </c>
      <c r="L311" s="1" t="str">
        <f>IF(AND(Programme_Grunddaten!$A316="Geprüft",Programme_Grunddaten!T316&lt;&gt;""),IF(Programme_Grunddaten!T316="Ja",1,0),"")</f>
        <v/>
      </c>
      <c r="M311" s="1" t="str">
        <f>IF(AND(Programme_Grunddaten!$A316="Geprüft",Programme_Grunddaten!U316&lt;&gt;""),IF(Programme_Grunddaten!U316="Ja",1,0),"")</f>
        <v/>
      </c>
      <c r="N311" s="1" t="str">
        <f>IF(AND(Programme_Grunddaten!$A316="Geprüft",Programme_Grunddaten!V316&lt;&gt;""),IF(Programme_Grunddaten!V316="Ja",1,0),"")</f>
        <v/>
      </c>
      <c r="O311" s="1" t="str">
        <f>IF(AND(Programme_Grunddaten!$A316="Geprüft",Programme_Grunddaten!W316&lt;&gt;""),IF(Programme_Grunddaten!W316="Ja",1,0),"")</f>
        <v/>
      </c>
      <c r="P311" s="1" t="str">
        <f>IF(AND(Programme_Grunddaten!$A316="Geprüft",Programme_Grunddaten!X316&lt;&gt;""),IF(Programme_Grunddaten!X316="Ja",1,0),"")</f>
        <v/>
      </c>
      <c r="Q311" s="1" t="str">
        <f>IF(AND(Programme_Grunddaten!$A316="Geprüft",Programme_Grunddaten!Y316&lt;&gt;""),IF(Programme_Grunddaten!Y316="Ja",1,0),"")</f>
        <v/>
      </c>
      <c r="R311" s="1" t="str">
        <f>IF(AND(Programme_Grunddaten!$A316="Geprüft",Programme_Grunddaten!Z316&lt;&gt;""),IF(Programme_Grunddaten!Z316="Ja",1,0),"")</f>
        <v/>
      </c>
      <c r="S311" s="1" t="str">
        <f>IF(AND(Programme_Grunddaten!$A316="Geprüft",Programme_Grunddaten!AA316&lt;&gt;""),IF(Programme_Grunddaten!AA316="monolithisch",1,0),"")</f>
        <v/>
      </c>
      <c r="T311" s="1" t="str">
        <f>IF(AND(Programme_Grunddaten!$A316="Geprüft",Programme_Grunddaten!AB316&lt;&gt;""),IF(Programme_Grunddaten!AB316="Ja",1,0),"")</f>
        <v/>
      </c>
      <c r="U311" s="1" t="str">
        <f>IF(AND(Programme_Grunddaten!$A316="Geprüft",Programme_Grunddaten!AC316&lt;&gt;""),IF(Programme_Grunddaten!AC316="Ja",1,0),"")</f>
        <v/>
      </c>
      <c r="V311" s="1" t="str">
        <f>IF(AND(Programme_Grunddaten!$A316="Geprüft",Programme_Grunddaten!AD316&lt;&gt;""),IF(Programme_Grunddaten!AD316="Ja",1,0),"")</f>
        <v/>
      </c>
      <c r="W311" s="1" t="str">
        <f>IF(AND(Programme_Grunddaten!$A316="Geprüft",Programme_Grunddaten!AE316&lt;&gt;""),IF(Programme_Grunddaten!AE316="Ja",1,0),"")</f>
        <v/>
      </c>
      <c r="X311" s="1" t="str">
        <f>IF(AND(Programme_Grunddaten!$A316="Geprüft",Programme_Grunddaten!AF316&lt;&gt;""),IF(Programme_Grunddaten!AF316="Ja",1,0),"")</f>
        <v/>
      </c>
      <c r="Y311" s="1" t="str">
        <f>IF(AND(Programme_Grunddaten!$A316="Geprüft",Programme_Grunddaten!AG316&lt;&gt;""),IF(Programme_Grunddaten!AG316="Ja",1,0),"")</f>
        <v/>
      </c>
      <c r="Z311" s="1" t="str">
        <f>IF(AND(Programme_Grunddaten!$A316="Geprüft",Programme_Grunddaten!AH316&lt;&gt;""),IF(Programme_Grunddaten!AH316="Ja",1,0),"")</f>
        <v/>
      </c>
      <c r="AA311" s="1" t="str">
        <f>IF(AND(Programme_Grunddaten!$A316="Geprüft",Programme_Grunddaten!AI316&lt;&gt;""),IF(Programme_Grunddaten!AI316="Ja",1,0),"")</f>
        <v/>
      </c>
      <c r="AB311" s="1" t="str">
        <f>IF(AND(Programme_Grunddaten!$A316="Geprüft",Programme_Grunddaten!AJ316&lt;&gt;""),IF(Programme_Grunddaten!AJ316="individuell programmierbar",1,0),"")</f>
        <v/>
      </c>
      <c r="AC311" s="1" t="str">
        <f>IF(AND(Programme_Grunddaten!$A316="Geprüft",Programme_Grunddaten!AK316&lt;&gt;""),IF(Programme_Grunddaten!AK316="Deutsch",0,IF(Programme_Grunddaten!AK316="Deutsch und Englisch",1,2)),"")</f>
        <v/>
      </c>
      <c r="AD311" s="1" t="str">
        <f>IF(AND(Programme_Grunddaten!$A316="Geprüft",Programme_Grunddaten!AL316&lt;&gt;""),IF(Programme_Grunddaten!AL316="Ja",1,0),"")</f>
        <v/>
      </c>
      <c r="AE311" s="1" t="str">
        <f>IF(AND(Programme_Grunddaten!$A316="Geprüft",Programme_Grunddaten!AM316&lt;&gt;""),IF(Programme_Grunddaten!AM316="Ja",1,0),"")</f>
        <v/>
      </c>
      <c r="AF311" s="1" t="str">
        <f>IF(AND(Programme_Grunddaten!$A316="Geprüft",Programme_Grunddaten!AN316&lt;&gt;""),IF(Programme_Grunddaten!AN316="Ja",1,0),"")</f>
        <v/>
      </c>
      <c r="AG311" s="1" t="str">
        <f>IF(AND(Programme_Grunddaten!$A316="Geprüft",Programme_Grunddaten!AO316&lt;&gt;""),IF(Programme_Grunddaten!AO316="Ja",1,0),"")</f>
        <v/>
      </c>
      <c r="AH311" s="1" t="str">
        <f>IF(AND(Programme_Grunddaten!$A316="Geprüft",Programme_Grunddaten!AP316&lt;&gt;""),IF(Programme_Grunddaten!AP316="Ja",1,0),"")</f>
        <v/>
      </c>
      <c r="AI311" s="1" t="str">
        <f>IF(AND(Programme_Grunddaten!$A316="Geprüft",Programme_Grunddaten!AQ316&lt;&gt;""),IF(Programme_Grunddaten!AQ316="Ja",1,0),"")</f>
        <v/>
      </c>
      <c r="AJ311" s="1" t="str">
        <f>IF(AND(Programme_Grunddaten!$A316="Geprüft",Programme_Grunddaten!AR316&lt;&gt;""),IF(Programme_Grunddaten!AR316="Ja",1,0),"")</f>
        <v/>
      </c>
      <c r="AK311" s="1" t="str">
        <f>IF(AND(Programme_Grunddaten!$A316="Geprüft",Programme_Grunddaten!AS316&lt;&gt;""),IF(Programme_Grunddaten!AS316="Ja",1,0),"")</f>
        <v/>
      </c>
      <c r="AL311" s="1" t="str">
        <f>IF(AND(Programme_Grunddaten!$A316="Geprüft",Programme_Grunddaten!AT316&lt;&gt;""),IF(Programme_Grunddaten!AT316="Ja",1,0),"")</f>
        <v/>
      </c>
      <c r="AM311" s="1" t="str">
        <f>IF(AND(Programme_Grunddaten!$A316="Geprüft",Programme_Grunddaten!AU316&lt;&gt;""),IF(Programme_Grunddaten!AU316="Ja",1,0),"")</f>
        <v/>
      </c>
      <c r="AN311" s="1" t="str">
        <f>IF(AND(Programme_Grunddaten!$A316="Geprüft",Programme_Grunddaten!AV316&lt;&gt;""),IF(Programme_Grunddaten!AV316="Ja",1,0),"")</f>
        <v/>
      </c>
    </row>
    <row r="312" spans="1:40" x14ac:dyDescent="0.3">
      <c r="A312" s="1" t="str">
        <f>IF(AND(Programme_Grunddaten!A317="Geprüft",Programme_Grunddaten!B317&lt;&gt;""),Programme_Grunddaten!B317,"")</f>
        <v/>
      </c>
      <c r="B312" s="1" t="str">
        <f>IF(AND(Programme_Grunddaten!$A317="Geprüft",Programme_Grunddaten!I317&lt;&gt;""),IF(Programme_Grunddaten!I317="Ja",1,0),"")</f>
        <v/>
      </c>
      <c r="C312" s="1" t="str">
        <f>IF(AND(Programme_Grunddaten!$A317="Geprüft",Programme_Grunddaten!J317&lt;&gt;""),IF(Programme_Grunddaten!J317="Ja",1,0),"")</f>
        <v/>
      </c>
      <c r="D312" s="1" t="str">
        <f>IF(AND(Programme_Grunddaten!$A317="Geprüft",Programme_Grunddaten!K317&lt;&gt;""),IF(Programme_Grunddaten!K317="Ja",1,0),"")</f>
        <v/>
      </c>
      <c r="E312" s="1" t="str">
        <f>IF(AND(Programme_Grunddaten!$A317="Geprüft",Programme_Grunddaten!L317&lt;&gt;""),IF(Programme_Grunddaten!L317="Abo / befristete Lizenz",1,0),"")</f>
        <v/>
      </c>
      <c r="F312" s="1" t="str">
        <f>IF(AND(Programme_Grunddaten!$A317="Geprüft",Programme_Grunddaten!M317&lt;&gt;""),IF(Programme_Grunddaten!M317="Ja",1,0),"")</f>
        <v/>
      </c>
      <c r="G312" s="1" t="str">
        <f>IF(AND(Programme_Grunddaten!$A317="Geprüft",Programme_Grunddaten!N317&lt;&gt;""),IF(Programme_Grunddaten!N317="Ja",1,0),"")</f>
        <v/>
      </c>
      <c r="H312" s="1" t="str">
        <f>IF(AND(Programme_Grunddaten!$A317="Geprüft",Programme_Grunddaten!O317&lt;&gt;""),IF(Programme_Grunddaten!O317="Deutschland",0,IF(Programme_Grunddaten!O317="EU",1,2)),"")</f>
        <v/>
      </c>
      <c r="I312" s="1" t="str">
        <f>IF(AND(Programme_Grunddaten!$A317="Geprüft",Programme_Grunddaten!P317&lt;&gt;""),IF(Programme_Grunddaten!P317="Ja",1,0),"")</f>
        <v/>
      </c>
      <c r="J312" s="1" t="str">
        <f>IF(AND(Programme_Grunddaten!$A317="Geprüft",Programme_Grunddaten!Q317&lt;&gt;""),IF(Programme_Grunddaten!Q317="geschlossenes System",1,0),"")</f>
        <v/>
      </c>
      <c r="K312" s="1" t="str">
        <f>IF(AND(Programme_Grunddaten!$A317="Geprüft",Programme_Grunddaten!R317&lt;&gt;""),IF(Programme_Grunddaten!R317="Ja",1,0),"")</f>
        <v/>
      </c>
      <c r="L312" s="1" t="str">
        <f>IF(AND(Programme_Grunddaten!$A317="Geprüft",Programme_Grunddaten!T317&lt;&gt;""),IF(Programme_Grunddaten!T317="Ja",1,0),"")</f>
        <v/>
      </c>
      <c r="M312" s="1" t="str">
        <f>IF(AND(Programme_Grunddaten!$A317="Geprüft",Programme_Grunddaten!U317&lt;&gt;""),IF(Programme_Grunddaten!U317="Ja",1,0),"")</f>
        <v/>
      </c>
      <c r="N312" s="1" t="str">
        <f>IF(AND(Programme_Grunddaten!$A317="Geprüft",Programme_Grunddaten!V317&lt;&gt;""),IF(Programme_Grunddaten!V317="Ja",1,0),"")</f>
        <v/>
      </c>
      <c r="O312" s="1" t="str">
        <f>IF(AND(Programme_Grunddaten!$A317="Geprüft",Programme_Grunddaten!W317&lt;&gt;""),IF(Programme_Grunddaten!W317="Ja",1,0),"")</f>
        <v/>
      </c>
      <c r="P312" s="1" t="str">
        <f>IF(AND(Programme_Grunddaten!$A317="Geprüft",Programme_Grunddaten!X317&lt;&gt;""),IF(Programme_Grunddaten!X317="Ja",1,0),"")</f>
        <v/>
      </c>
      <c r="Q312" s="1" t="str">
        <f>IF(AND(Programme_Grunddaten!$A317="Geprüft",Programme_Grunddaten!Y317&lt;&gt;""),IF(Programme_Grunddaten!Y317="Ja",1,0),"")</f>
        <v/>
      </c>
      <c r="R312" s="1" t="str">
        <f>IF(AND(Programme_Grunddaten!$A317="Geprüft",Programme_Grunddaten!Z317&lt;&gt;""),IF(Programme_Grunddaten!Z317="Ja",1,0),"")</f>
        <v/>
      </c>
      <c r="S312" s="1" t="str">
        <f>IF(AND(Programme_Grunddaten!$A317="Geprüft",Programme_Grunddaten!AA317&lt;&gt;""),IF(Programme_Grunddaten!AA317="monolithisch",1,0),"")</f>
        <v/>
      </c>
      <c r="T312" s="1" t="str">
        <f>IF(AND(Programme_Grunddaten!$A317="Geprüft",Programme_Grunddaten!AB317&lt;&gt;""),IF(Programme_Grunddaten!AB317="Ja",1,0),"")</f>
        <v/>
      </c>
      <c r="U312" s="1" t="str">
        <f>IF(AND(Programme_Grunddaten!$A317="Geprüft",Programme_Grunddaten!AC317&lt;&gt;""),IF(Programme_Grunddaten!AC317="Ja",1,0),"")</f>
        <v/>
      </c>
      <c r="V312" s="1" t="str">
        <f>IF(AND(Programme_Grunddaten!$A317="Geprüft",Programme_Grunddaten!AD317&lt;&gt;""),IF(Programme_Grunddaten!AD317="Ja",1,0),"")</f>
        <v/>
      </c>
      <c r="W312" s="1" t="str">
        <f>IF(AND(Programme_Grunddaten!$A317="Geprüft",Programme_Grunddaten!AE317&lt;&gt;""),IF(Programme_Grunddaten!AE317="Ja",1,0),"")</f>
        <v/>
      </c>
      <c r="X312" s="1" t="str">
        <f>IF(AND(Programme_Grunddaten!$A317="Geprüft",Programme_Grunddaten!AF317&lt;&gt;""),IF(Programme_Grunddaten!AF317="Ja",1,0),"")</f>
        <v/>
      </c>
      <c r="Y312" s="1" t="str">
        <f>IF(AND(Programme_Grunddaten!$A317="Geprüft",Programme_Grunddaten!AG317&lt;&gt;""),IF(Programme_Grunddaten!AG317="Ja",1,0),"")</f>
        <v/>
      </c>
      <c r="Z312" s="1" t="str">
        <f>IF(AND(Programme_Grunddaten!$A317="Geprüft",Programme_Grunddaten!AH317&lt;&gt;""),IF(Programme_Grunddaten!AH317="Ja",1,0),"")</f>
        <v/>
      </c>
      <c r="AA312" s="1" t="str">
        <f>IF(AND(Programme_Grunddaten!$A317="Geprüft",Programme_Grunddaten!AI317&lt;&gt;""),IF(Programme_Grunddaten!AI317="Ja",1,0),"")</f>
        <v/>
      </c>
      <c r="AB312" s="1" t="str">
        <f>IF(AND(Programme_Grunddaten!$A317="Geprüft",Programme_Grunddaten!AJ317&lt;&gt;""),IF(Programme_Grunddaten!AJ317="individuell programmierbar",1,0),"")</f>
        <v/>
      </c>
      <c r="AC312" s="1" t="str">
        <f>IF(AND(Programme_Grunddaten!$A317="Geprüft",Programme_Grunddaten!AK317&lt;&gt;""),IF(Programme_Grunddaten!AK317="Deutsch",0,IF(Programme_Grunddaten!AK317="Deutsch und Englisch",1,2)),"")</f>
        <v/>
      </c>
      <c r="AD312" s="1" t="str">
        <f>IF(AND(Programme_Grunddaten!$A317="Geprüft",Programme_Grunddaten!AL317&lt;&gt;""),IF(Programme_Grunddaten!AL317="Ja",1,0),"")</f>
        <v/>
      </c>
      <c r="AE312" s="1" t="str">
        <f>IF(AND(Programme_Grunddaten!$A317="Geprüft",Programme_Grunddaten!AM317&lt;&gt;""),IF(Programme_Grunddaten!AM317="Ja",1,0),"")</f>
        <v/>
      </c>
      <c r="AF312" s="1" t="str">
        <f>IF(AND(Programme_Grunddaten!$A317="Geprüft",Programme_Grunddaten!AN317&lt;&gt;""),IF(Programme_Grunddaten!AN317="Ja",1,0),"")</f>
        <v/>
      </c>
      <c r="AG312" s="1" t="str">
        <f>IF(AND(Programme_Grunddaten!$A317="Geprüft",Programme_Grunddaten!AO317&lt;&gt;""),IF(Programme_Grunddaten!AO317="Ja",1,0),"")</f>
        <v/>
      </c>
      <c r="AH312" s="1" t="str">
        <f>IF(AND(Programme_Grunddaten!$A317="Geprüft",Programme_Grunddaten!AP317&lt;&gt;""),IF(Programme_Grunddaten!AP317="Ja",1,0),"")</f>
        <v/>
      </c>
      <c r="AI312" s="1" t="str">
        <f>IF(AND(Programme_Grunddaten!$A317="Geprüft",Programme_Grunddaten!AQ317&lt;&gt;""),IF(Programme_Grunddaten!AQ317="Ja",1,0),"")</f>
        <v/>
      </c>
      <c r="AJ312" s="1" t="str">
        <f>IF(AND(Programme_Grunddaten!$A317="Geprüft",Programme_Grunddaten!AR317&lt;&gt;""),IF(Programme_Grunddaten!AR317="Ja",1,0),"")</f>
        <v/>
      </c>
      <c r="AK312" s="1" t="str">
        <f>IF(AND(Programme_Grunddaten!$A317="Geprüft",Programme_Grunddaten!AS317&lt;&gt;""),IF(Programme_Grunddaten!AS317="Ja",1,0),"")</f>
        <v/>
      </c>
      <c r="AL312" s="1" t="str">
        <f>IF(AND(Programme_Grunddaten!$A317="Geprüft",Programme_Grunddaten!AT317&lt;&gt;""),IF(Programme_Grunddaten!AT317="Ja",1,0),"")</f>
        <v/>
      </c>
      <c r="AM312" s="1" t="str">
        <f>IF(AND(Programme_Grunddaten!$A317="Geprüft",Programme_Grunddaten!AU317&lt;&gt;""),IF(Programme_Grunddaten!AU317="Ja",1,0),"")</f>
        <v/>
      </c>
      <c r="AN312" s="1" t="str">
        <f>IF(AND(Programme_Grunddaten!$A317="Geprüft",Programme_Grunddaten!AV317&lt;&gt;""),IF(Programme_Grunddaten!AV317="Ja",1,0),"")</f>
        <v/>
      </c>
    </row>
    <row r="313" spans="1:40" x14ac:dyDescent="0.3">
      <c r="A313" s="1" t="str">
        <f>IF(AND(Programme_Grunddaten!A318="Geprüft",Programme_Grunddaten!B318&lt;&gt;""),Programme_Grunddaten!B318,"")</f>
        <v/>
      </c>
      <c r="B313" s="1" t="str">
        <f>IF(AND(Programme_Grunddaten!$A318="Geprüft",Programme_Grunddaten!I318&lt;&gt;""),IF(Programme_Grunddaten!I318="Ja",1,0),"")</f>
        <v/>
      </c>
      <c r="C313" s="1" t="str">
        <f>IF(AND(Programme_Grunddaten!$A318="Geprüft",Programme_Grunddaten!J318&lt;&gt;""),IF(Programme_Grunddaten!J318="Ja",1,0),"")</f>
        <v/>
      </c>
      <c r="D313" s="1" t="str">
        <f>IF(AND(Programme_Grunddaten!$A318="Geprüft",Programme_Grunddaten!K318&lt;&gt;""),IF(Programme_Grunddaten!K318="Ja",1,0),"")</f>
        <v/>
      </c>
      <c r="E313" s="1" t="str">
        <f>IF(AND(Programme_Grunddaten!$A318="Geprüft",Programme_Grunddaten!L318&lt;&gt;""),IF(Programme_Grunddaten!L318="Abo / befristete Lizenz",1,0),"")</f>
        <v/>
      </c>
      <c r="F313" s="1" t="str">
        <f>IF(AND(Programme_Grunddaten!$A318="Geprüft",Programme_Grunddaten!M318&lt;&gt;""),IF(Programme_Grunddaten!M318="Ja",1,0),"")</f>
        <v/>
      </c>
      <c r="G313" s="1" t="str">
        <f>IF(AND(Programme_Grunddaten!$A318="Geprüft",Programme_Grunddaten!N318&lt;&gt;""),IF(Programme_Grunddaten!N318="Ja",1,0),"")</f>
        <v/>
      </c>
      <c r="H313" s="1" t="str">
        <f>IF(AND(Programme_Grunddaten!$A318="Geprüft",Programme_Grunddaten!O318&lt;&gt;""),IF(Programme_Grunddaten!O318="Deutschland",0,IF(Programme_Grunddaten!O318="EU",1,2)),"")</f>
        <v/>
      </c>
      <c r="I313" s="1" t="str">
        <f>IF(AND(Programme_Grunddaten!$A318="Geprüft",Programme_Grunddaten!P318&lt;&gt;""),IF(Programme_Grunddaten!P318="Ja",1,0),"")</f>
        <v/>
      </c>
      <c r="J313" s="1" t="str">
        <f>IF(AND(Programme_Grunddaten!$A318="Geprüft",Programme_Grunddaten!Q318&lt;&gt;""),IF(Programme_Grunddaten!Q318="geschlossenes System",1,0),"")</f>
        <v/>
      </c>
      <c r="K313" s="1" t="str">
        <f>IF(AND(Programme_Grunddaten!$A318="Geprüft",Programme_Grunddaten!R318&lt;&gt;""),IF(Programme_Grunddaten!R318="Ja",1,0),"")</f>
        <v/>
      </c>
      <c r="L313" s="1" t="str">
        <f>IF(AND(Programme_Grunddaten!$A318="Geprüft",Programme_Grunddaten!T318&lt;&gt;""),IF(Programme_Grunddaten!T318="Ja",1,0),"")</f>
        <v/>
      </c>
      <c r="M313" s="1" t="str">
        <f>IF(AND(Programme_Grunddaten!$A318="Geprüft",Programme_Grunddaten!U318&lt;&gt;""),IF(Programme_Grunddaten!U318="Ja",1,0),"")</f>
        <v/>
      </c>
      <c r="N313" s="1" t="str">
        <f>IF(AND(Programme_Grunddaten!$A318="Geprüft",Programme_Grunddaten!V318&lt;&gt;""),IF(Programme_Grunddaten!V318="Ja",1,0),"")</f>
        <v/>
      </c>
      <c r="O313" s="1" t="str">
        <f>IF(AND(Programme_Grunddaten!$A318="Geprüft",Programme_Grunddaten!W318&lt;&gt;""),IF(Programme_Grunddaten!W318="Ja",1,0),"")</f>
        <v/>
      </c>
      <c r="P313" s="1" t="str">
        <f>IF(AND(Programme_Grunddaten!$A318="Geprüft",Programme_Grunddaten!X318&lt;&gt;""),IF(Programme_Grunddaten!X318="Ja",1,0),"")</f>
        <v/>
      </c>
      <c r="Q313" s="1" t="str">
        <f>IF(AND(Programme_Grunddaten!$A318="Geprüft",Programme_Grunddaten!Y318&lt;&gt;""),IF(Programme_Grunddaten!Y318="Ja",1,0),"")</f>
        <v/>
      </c>
      <c r="R313" s="1" t="str">
        <f>IF(AND(Programme_Grunddaten!$A318="Geprüft",Programme_Grunddaten!Z318&lt;&gt;""),IF(Programme_Grunddaten!Z318="Ja",1,0),"")</f>
        <v/>
      </c>
      <c r="S313" s="1" t="str">
        <f>IF(AND(Programme_Grunddaten!$A318="Geprüft",Programme_Grunddaten!AA318&lt;&gt;""),IF(Programme_Grunddaten!AA318="monolithisch",1,0),"")</f>
        <v/>
      </c>
      <c r="T313" s="1" t="str">
        <f>IF(AND(Programme_Grunddaten!$A318="Geprüft",Programme_Grunddaten!AB318&lt;&gt;""),IF(Programme_Grunddaten!AB318="Ja",1,0),"")</f>
        <v/>
      </c>
      <c r="U313" s="1" t="str">
        <f>IF(AND(Programme_Grunddaten!$A318="Geprüft",Programme_Grunddaten!AC318&lt;&gt;""),IF(Programme_Grunddaten!AC318="Ja",1,0),"")</f>
        <v/>
      </c>
      <c r="V313" s="1" t="str">
        <f>IF(AND(Programme_Grunddaten!$A318="Geprüft",Programme_Grunddaten!AD318&lt;&gt;""),IF(Programme_Grunddaten!AD318="Ja",1,0),"")</f>
        <v/>
      </c>
      <c r="W313" s="1" t="str">
        <f>IF(AND(Programme_Grunddaten!$A318="Geprüft",Programme_Grunddaten!AE318&lt;&gt;""),IF(Programme_Grunddaten!AE318="Ja",1,0),"")</f>
        <v/>
      </c>
      <c r="X313" s="1" t="str">
        <f>IF(AND(Programme_Grunddaten!$A318="Geprüft",Programme_Grunddaten!AF318&lt;&gt;""),IF(Programme_Grunddaten!AF318="Ja",1,0),"")</f>
        <v/>
      </c>
      <c r="Y313" s="1" t="str">
        <f>IF(AND(Programme_Grunddaten!$A318="Geprüft",Programme_Grunddaten!AG318&lt;&gt;""),IF(Programme_Grunddaten!AG318="Ja",1,0),"")</f>
        <v/>
      </c>
      <c r="Z313" s="1" t="str">
        <f>IF(AND(Programme_Grunddaten!$A318="Geprüft",Programme_Grunddaten!AH318&lt;&gt;""),IF(Programme_Grunddaten!AH318="Ja",1,0),"")</f>
        <v/>
      </c>
      <c r="AA313" s="1" t="str">
        <f>IF(AND(Programme_Grunddaten!$A318="Geprüft",Programme_Grunddaten!AI318&lt;&gt;""),IF(Programme_Grunddaten!AI318="Ja",1,0),"")</f>
        <v/>
      </c>
      <c r="AB313" s="1" t="str">
        <f>IF(AND(Programme_Grunddaten!$A318="Geprüft",Programme_Grunddaten!AJ318&lt;&gt;""),IF(Programme_Grunddaten!AJ318="individuell programmierbar",1,0),"")</f>
        <v/>
      </c>
      <c r="AC313" s="1" t="str">
        <f>IF(AND(Programme_Grunddaten!$A318="Geprüft",Programme_Grunddaten!AK318&lt;&gt;""),IF(Programme_Grunddaten!AK318="Deutsch",0,IF(Programme_Grunddaten!AK318="Deutsch und Englisch",1,2)),"")</f>
        <v/>
      </c>
      <c r="AD313" s="1" t="str">
        <f>IF(AND(Programme_Grunddaten!$A318="Geprüft",Programme_Grunddaten!AL318&lt;&gt;""),IF(Programme_Grunddaten!AL318="Ja",1,0),"")</f>
        <v/>
      </c>
      <c r="AE313" s="1" t="str">
        <f>IF(AND(Programme_Grunddaten!$A318="Geprüft",Programme_Grunddaten!AM318&lt;&gt;""),IF(Programme_Grunddaten!AM318="Ja",1,0),"")</f>
        <v/>
      </c>
      <c r="AF313" s="1" t="str">
        <f>IF(AND(Programme_Grunddaten!$A318="Geprüft",Programme_Grunddaten!AN318&lt;&gt;""),IF(Programme_Grunddaten!AN318="Ja",1,0),"")</f>
        <v/>
      </c>
      <c r="AG313" s="1" t="str">
        <f>IF(AND(Programme_Grunddaten!$A318="Geprüft",Programme_Grunddaten!AO318&lt;&gt;""),IF(Programme_Grunddaten!AO318="Ja",1,0),"")</f>
        <v/>
      </c>
      <c r="AH313" s="1" t="str">
        <f>IF(AND(Programme_Grunddaten!$A318="Geprüft",Programme_Grunddaten!AP318&lt;&gt;""),IF(Programme_Grunddaten!AP318="Ja",1,0),"")</f>
        <v/>
      </c>
      <c r="AI313" s="1" t="str">
        <f>IF(AND(Programme_Grunddaten!$A318="Geprüft",Programme_Grunddaten!AQ318&lt;&gt;""),IF(Programme_Grunddaten!AQ318="Ja",1,0),"")</f>
        <v/>
      </c>
      <c r="AJ313" s="1" t="str">
        <f>IF(AND(Programme_Grunddaten!$A318="Geprüft",Programme_Grunddaten!AR318&lt;&gt;""),IF(Programme_Grunddaten!AR318="Ja",1,0),"")</f>
        <v/>
      </c>
      <c r="AK313" s="1" t="str">
        <f>IF(AND(Programme_Grunddaten!$A318="Geprüft",Programme_Grunddaten!AS318&lt;&gt;""),IF(Programme_Grunddaten!AS318="Ja",1,0),"")</f>
        <v/>
      </c>
      <c r="AL313" s="1" t="str">
        <f>IF(AND(Programme_Grunddaten!$A318="Geprüft",Programme_Grunddaten!AT318&lt;&gt;""),IF(Programme_Grunddaten!AT318="Ja",1,0),"")</f>
        <v/>
      </c>
      <c r="AM313" s="1" t="str">
        <f>IF(AND(Programme_Grunddaten!$A318="Geprüft",Programme_Grunddaten!AU318&lt;&gt;""),IF(Programme_Grunddaten!AU318="Ja",1,0),"")</f>
        <v/>
      </c>
      <c r="AN313" s="1" t="str">
        <f>IF(AND(Programme_Grunddaten!$A318="Geprüft",Programme_Grunddaten!AV318&lt;&gt;""),IF(Programme_Grunddaten!AV318="Ja",1,0),"")</f>
        <v/>
      </c>
    </row>
    <row r="314" spans="1:40" x14ac:dyDescent="0.3">
      <c r="A314" s="1" t="str">
        <f>IF(AND(Programme_Grunddaten!A319="Geprüft",Programme_Grunddaten!B319&lt;&gt;""),Programme_Grunddaten!B319,"")</f>
        <v/>
      </c>
      <c r="B314" s="1" t="str">
        <f>IF(AND(Programme_Grunddaten!$A319="Geprüft",Programme_Grunddaten!I319&lt;&gt;""),IF(Programme_Grunddaten!I319="Ja",1,0),"")</f>
        <v/>
      </c>
      <c r="C314" s="1" t="str">
        <f>IF(AND(Programme_Grunddaten!$A319="Geprüft",Programme_Grunddaten!J319&lt;&gt;""),IF(Programme_Grunddaten!J319="Ja",1,0),"")</f>
        <v/>
      </c>
      <c r="D314" s="1" t="str">
        <f>IF(AND(Programme_Grunddaten!$A319="Geprüft",Programme_Grunddaten!K319&lt;&gt;""),IF(Programme_Grunddaten!K319="Ja",1,0),"")</f>
        <v/>
      </c>
      <c r="E314" s="1" t="str">
        <f>IF(AND(Programme_Grunddaten!$A319="Geprüft",Programme_Grunddaten!L319&lt;&gt;""),IF(Programme_Grunddaten!L319="Abo / befristete Lizenz",1,0),"")</f>
        <v/>
      </c>
      <c r="F314" s="1" t="str">
        <f>IF(AND(Programme_Grunddaten!$A319="Geprüft",Programme_Grunddaten!M319&lt;&gt;""),IF(Programme_Grunddaten!M319="Ja",1,0),"")</f>
        <v/>
      </c>
      <c r="G314" s="1" t="str">
        <f>IF(AND(Programme_Grunddaten!$A319="Geprüft",Programme_Grunddaten!N319&lt;&gt;""),IF(Programme_Grunddaten!N319="Ja",1,0),"")</f>
        <v/>
      </c>
      <c r="H314" s="1" t="str">
        <f>IF(AND(Programme_Grunddaten!$A319="Geprüft",Programme_Grunddaten!O319&lt;&gt;""),IF(Programme_Grunddaten!O319="Deutschland",0,IF(Programme_Grunddaten!O319="EU",1,2)),"")</f>
        <v/>
      </c>
      <c r="I314" s="1" t="str">
        <f>IF(AND(Programme_Grunddaten!$A319="Geprüft",Programme_Grunddaten!P319&lt;&gt;""),IF(Programme_Grunddaten!P319="Ja",1,0),"")</f>
        <v/>
      </c>
      <c r="J314" s="1" t="str">
        <f>IF(AND(Programme_Grunddaten!$A319="Geprüft",Programme_Grunddaten!Q319&lt;&gt;""),IF(Programme_Grunddaten!Q319="geschlossenes System",1,0),"")</f>
        <v/>
      </c>
      <c r="K314" s="1" t="str">
        <f>IF(AND(Programme_Grunddaten!$A319="Geprüft",Programme_Grunddaten!R319&lt;&gt;""),IF(Programme_Grunddaten!R319="Ja",1,0),"")</f>
        <v/>
      </c>
      <c r="L314" s="1" t="str">
        <f>IF(AND(Programme_Grunddaten!$A319="Geprüft",Programme_Grunddaten!T319&lt;&gt;""),IF(Programme_Grunddaten!T319="Ja",1,0),"")</f>
        <v/>
      </c>
      <c r="M314" s="1" t="str">
        <f>IF(AND(Programme_Grunddaten!$A319="Geprüft",Programme_Grunddaten!U319&lt;&gt;""),IF(Programme_Grunddaten!U319="Ja",1,0),"")</f>
        <v/>
      </c>
      <c r="N314" s="1" t="str">
        <f>IF(AND(Programme_Grunddaten!$A319="Geprüft",Programme_Grunddaten!V319&lt;&gt;""),IF(Programme_Grunddaten!V319="Ja",1,0),"")</f>
        <v/>
      </c>
      <c r="O314" s="1" t="str">
        <f>IF(AND(Programme_Grunddaten!$A319="Geprüft",Programme_Grunddaten!W319&lt;&gt;""),IF(Programme_Grunddaten!W319="Ja",1,0),"")</f>
        <v/>
      </c>
      <c r="P314" s="1" t="str">
        <f>IF(AND(Programme_Grunddaten!$A319="Geprüft",Programme_Grunddaten!X319&lt;&gt;""),IF(Programme_Grunddaten!X319="Ja",1,0),"")</f>
        <v/>
      </c>
      <c r="Q314" s="1" t="str">
        <f>IF(AND(Programme_Grunddaten!$A319="Geprüft",Programme_Grunddaten!Y319&lt;&gt;""),IF(Programme_Grunddaten!Y319="Ja",1,0),"")</f>
        <v/>
      </c>
      <c r="R314" s="1" t="str">
        <f>IF(AND(Programme_Grunddaten!$A319="Geprüft",Programme_Grunddaten!Z319&lt;&gt;""),IF(Programme_Grunddaten!Z319="Ja",1,0),"")</f>
        <v/>
      </c>
      <c r="S314" s="1" t="str">
        <f>IF(AND(Programme_Grunddaten!$A319="Geprüft",Programme_Grunddaten!AA319&lt;&gt;""),IF(Programme_Grunddaten!AA319="monolithisch",1,0),"")</f>
        <v/>
      </c>
      <c r="T314" s="1" t="str">
        <f>IF(AND(Programme_Grunddaten!$A319="Geprüft",Programme_Grunddaten!AB319&lt;&gt;""),IF(Programme_Grunddaten!AB319="Ja",1,0),"")</f>
        <v/>
      </c>
      <c r="U314" s="1" t="str">
        <f>IF(AND(Programme_Grunddaten!$A319="Geprüft",Programme_Grunddaten!AC319&lt;&gt;""),IF(Programme_Grunddaten!AC319="Ja",1,0),"")</f>
        <v/>
      </c>
      <c r="V314" s="1" t="str">
        <f>IF(AND(Programme_Grunddaten!$A319="Geprüft",Programme_Grunddaten!AD319&lt;&gt;""),IF(Programme_Grunddaten!AD319="Ja",1,0),"")</f>
        <v/>
      </c>
      <c r="W314" s="1" t="str">
        <f>IF(AND(Programme_Grunddaten!$A319="Geprüft",Programme_Grunddaten!AE319&lt;&gt;""),IF(Programme_Grunddaten!AE319="Ja",1,0),"")</f>
        <v/>
      </c>
      <c r="X314" s="1" t="str">
        <f>IF(AND(Programme_Grunddaten!$A319="Geprüft",Programme_Grunddaten!AF319&lt;&gt;""),IF(Programme_Grunddaten!AF319="Ja",1,0),"")</f>
        <v/>
      </c>
      <c r="Y314" s="1" t="str">
        <f>IF(AND(Programme_Grunddaten!$A319="Geprüft",Programme_Grunddaten!AG319&lt;&gt;""),IF(Programme_Grunddaten!AG319="Ja",1,0),"")</f>
        <v/>
      </c>
      <c r="Z314" s="1" t="str">
        <f>IF(AND(Programme_Grunddaten!$A319="Geprüft",Programme_Grunddaten!AH319&lt;&gt;""),IF(Programme_Grunddaten!AH319="Ja",1,0),"")</f>
        <v/>
      </c>
      <c r="AA314" s="1" t="str">
        <f>IF(AND(Programme_Grunddaten!$A319="Geprüft",Programme_Grunddaten!AI319&lt;&gt;""),IF(Programme_Grunddaten!AI319="Ja",1,0),"")</f>
        <v/>
      </c>
      <c r="AB314" s="1" t="str">
        <f>IF(AND(Programme_Grunddaten!$A319="Geprüft",Programme_Grunddaten!AJ319&lt;&gt;""),IF(Programme_Grunddaten!AJ319="individuell programmierbar",1,0),"")</f>
        <v/>
      </c>
      <c r="AC314" s="1" t="str">
        <f>IF(AND(Programme_Grunddaten!$A319="Geprüft",Programme_Grunddaten!AK319&lt;&gt;""),IF(Programme_Grunddaten!AK319="Deutsch",0,IF(Programme_Grunddaten!AK319="Deutsch und Englisch",1,2)),"")</f>
        <v/>
      </c>
      <c r="AD314" s="1" t="str">
        <f>IF(AND(Programme_Grunddaten!$A319="Geprüft",Programme_Grunddaten!AL319&lt;&gt;""),IF(Programme_Grunddaten!AL319="Ja",1,0),"")</f>
        <v/>
      </c>
      <c r="AE314" s="1" t="str">
        <f>IF(AND(Programme_Grunddaten!$A319="Geprüft",Programme_Grunddaten!AM319&lt;&gt;""),IF(Programme_Grunddaten!AM319="Ja",1,0),"")</f>
        <v/>
      </c>
      <c r="AF314" s="1" t="str">
        <f>IF(AND(Programme_Grunddaten!$A319="Geprüft",Programme_Grunddaten!AN319&lt;&gt;""),IF(Programme_Grunddaten!AN319="Ja",1,0),"")</f>
        <v/>
      </c>
      <c r="AG314" s="1" t="str">
        <f>IF(AND(Programme_Grunddaten!$A319="Geprüft",Programme_Grunddaten!AO319&lt;&gt;""),IF(Programme_Grunddaten!AO319="Ja",1,0),"")</f>
        <v/>
      </c>
      <c r="AH314" s="1" t="str">
        <f>IF(AND(Programme_Grunddaten!$A319="Geprüft",Programme_Grunddaten!AP319&lt;&gt;""),IF(Programme_Grunddaten!AP319="Ja",1,0),"")</f>
        <v/>
      </c>
      <c r="AI314" s="1" t="str">
        <f>IF(AND(Programme_Grunddaten!$A319="Geprüft",Programme_Grunddaten!AQ319&lt;&gt;""),IF(Programme_Grunddaten!AQ319="Ja",1,0),"")</f>
        <v/>
      </c>
      <c r="AJ314" s="1" t="str">
        <f>IF(AND(Programme_Grunddaten!$A319="Geprüft",Programme_Grunddaten!AR319&lt;&gt;""),IF(Programme_Grunddaten!AR319="Ja",1,0),"")</f>
        <v/>
      </c>
      <c r="AK314" s="1" t="str">
        <f>IF(AND(Programme_Grunddaten!$A319="Geprüft",Programme_Grunddaten!AS319&lt;&gt;""),IF(Programme_Grunddaten!AS319="Ja",1,0),"")</f>
        <v/>
      </c>
      <c r="AL314" s="1" t="str">
        <f>IF(AND(Programme_Grunddaten!$A319="Geprüft",Programme_Grunddaten!AT319&lt;&gt;""),IF(Programme_Grunddaten!AT319="Ja",1,0),"")</f>
        <v/>
      </c>
      <c r="AM314" s="1" t="str">
        <f>IF(AND(Programme_Grunddaten!$A319="Geprüft",Programme_Grunddaten!AU319&lt;&gt;""),IF(Programme_Grunddaten!AU319="Ja",1,0),"")</f>
        <v/>
      </c>
      <c r="AN314" s="1" t="str">
        <f>IF(AND(Programme_Grunddaten!$A319="Geprüft",Programme_Grunddaten!AV319&lt;&gt;""),IF(Programme_Grunddaten!AV319="Ja",1,0),"")</f>
        <v/>
      </c>
    </row>
    <row r="315" spans="1:40" x14ac:dyDescent="0.3">
      <c r="A315" s="1" t="str">
        <f>IF(AND(Programme_Grunddaten!A320="Geprüft",Programme_Grunddaten!B320&lt;&gt;""),Programme_Grunddaten!B320,"")</f>
        <v/>
      </c>
      <c r="B315" s="1" t="str">
        <f>IF(AND(Programme_Grunddaten!$A320="Geprüft",Programme_Grunddaten!I320&lt;&gt;""),IF(Programme_Grunddaten!I320="Ja",1,0),"")</f>
        <v/>
      </c>
      <c r="C315" s="1" t="str">
        <f>IF(AND(Programme_Grunddaten!$A320="Geprüft",Programme_Grunddaten!J320&lt;&gt;""),IF(Programme_Grunddaten!J320="Ja",1,0),"")</f>
        <v/>
      </c>
      <c r="D315" s="1" t="str">
        <f>IF(AND(Programme_Grunddaten!$A320="Geprüft",Programme_Grunddaten!K320&lt;&gt;""),IF(Programme_Grunddaten!K320="Ja",1,0),"")</f>
        <v/>
      </c>
      <c r="E315" s="1" t="str">
        <f>IF(AND(Programme_Grunddaten!$A320="Geprüft",Programme_Grunddaten!L320&lt;&gt;""),IF(Programme_Grunddaten!L320="Abo / befristete Lizenz",1,0),"")</f>
        <v/>
      </c>
      <c r="F315" s="1" t="str">
        <f>IF(AND(Programme_Grunddaten!$A320="Geprüft",Programme_Grunddaten!M320&lt;&gt;""),IF(Programme_Grunddaten!M320="Ja",1,0),"")</f>
        <v/>
      </c>
      <c r="G315" s="1" t="str">
        <f>IF(AND(Programme_Grunddaten!$A320="Geprüft",Programme_Grunddaten!N320&lt;&gt;""),IF(Programme_Grunddaten!N320="Ja",1,0),"")</f>
        <v/>
      </c>
      <c r="H315" s="1" t="str">
        <f>IF(AND(Programme_Grunddaten!$A320="Geprüft",Programme_Grunddaten!O320&lt;&gt;""),IF(Programme_Grunddaten!O320="Deutschland",0,IF(Programme_Grunddaten!O320="EU",1,2)),"")</f>
        <v/>
      </c>
      <c r="I315" s="1" t="str">
        <f>IF(AND(Programme_Grunddaten!$A320="Geprüft",Programme_Grunddaten!P320&lt;&gt;""),IF(Programme_Grunddaten!P320="Ja",1,0),"")</f>
        <v/>
      </c>
      <c r="J315" s="1" t="str">
        <f>IF(AND(Programme_Grunddaten!$A320="Geprüft",Programme_Grunddaten!Q320&lt;&gt;""),IF(Programme_Grunddaten!Q320="geschlossenes System",1,0),"")</f>
        <v/>
      </c>
      <c r="K315" s="1" t="str">
        <f>IF(AND(Programme_Grunddaten!$A320="Geprüft",Programme_Grunddaten!R320&lt;&gt;""),IF(Programme_Grunddaten!R320="Ja",1,0),"")</f>
        <v/>
      </c>
      <c r="L315" s="1" t="str">
        <f>IF(AND(Programme_Grunddaten!$A320="Geprüft",Programme_Grunddaten!T320&lt;&gt;""),IF(Programme_Grunddaten!T320="Ja",1,0),"")</f>
        <v/>
      </c>
      <c r="M315" s="1" t="str">
        <f>IF(AND(Programme_Grunddaten!$A320="Geprüft",Programme_Grunddaten!U320&lt;&gt;""),IF(Programme_Grunddaten!U320="Ja",1,0),"")</f>
        <v/>
      </c>
      <c r="N315" s="1" t="str">
        <f>IF(AND(Programme_Grunddaten!$A320="Geprüft",Programme_Grunddaten!V320&lt;&gt;""),IF(Programme_Grunddaten!V320="Ja",1,0),"")</f>
        <v/>
      </c>
      <c r="O315" s="1" t="str">
        <f>IF(AND(Programme_Grunddaten!$A320="Geprüft",Programme_Grunddaten!W320&lt;&gt;""),IF(Programme_Grunddaten!W320="Ja",1,0),"")</f>
        <v/>
      </c>
      <c r="P315" s="1" t="str">
        <f>IF(AND(Programme_Grunddaten!$A320="Geprüft",Programme_Grunddaten!X320&lt;&gt;""),IF(Programme_Grunddaten!X320="Ja",1,0),"")</f>
        <v/>
      </c>
      <c r="Q315" s="1" t="str">
        <f>IF(AND(Programme_Grunddaten!$A320="Geprüft",Programme_Grunddaten!Y320&lt;&gt;""),IF(Programme_Grunddaten!Y320="Ja",1,0),"")</f>
        <v/>
      </c>
      <c r="R315" s="1" t="str">
        <f>IF(AND(Programme_Grunddaten!$A320="Geprüft",Programme_Grunddaten!Z320&lt;&gt;""),IF(Programme_Grunddaten!Z320="Ja",1,0),"")</f>
        <v/>
      </c>
      <c r="S315" s="1" t="str">
        <f>IF(AND(Programme_Grunddaten!$A320="Geprüft",Programme_Grunddaten!AA320&lt;&gt;""),IF(Programme_Grunddaten!AA320="monolithisch",1,0),"")</f>
        <v/>
      </c>
      <c r="T315" s="1" t="str">
        <f>IF(AND(Programme_Grunddaten!$A320="Geprüft",Programme_Grunddaten!AB320&lt;&gt;""),IF(Programme_Grunddaten!AB320="Ja",1,0),"")</f>
        <v/>
      </c>
      <c r="U315" s="1" t="str">
        <f>IF(AND(Programme_Grunddaten!$A320="Geprüft",Programme_Grunddaten!AC320&lt;&gt;""),IF(Programme_Grunddaten!AC320="Ja",1,0),"")</f>
        <v/>
      </c>
      <c r="V315" s="1" t="str">
        <f>IF(AND(Programme_Grunddaten!$A320="Geprüft",Programme_Grunddaten!AD320&lt;&gt;""),IF(Programme_Grunddaten!AD320="Ja",1,0),"")</f>
        <v/>
      </c>
      <c r="W315" s="1" t="str">
        <f>IF(AND(Programme_Grunddaten!$A320="Geprüft",Programme_Grunddaten!AE320&lt;&gt;""),IF(Programme_Grunddaten!AE320="Ja",1,0),"")</f>
        <v/>
      </c>
      <c r="X315" s="1" t="str">
        <f>IF(AND(Programme_Grunddaten!$A320="Geprüft",Programme_Grunddaten!AF320&lt;&gt;""),IF(Programme_Grunddaten!AF320="Ja",1,0),"")</f>
        <v/>
      </c>
      <c r="Y315" s="1" t="str">
        <f>IF(AND(Programme_Grunddaten!$A320="Geprüft",Programme_Grunddaten!AG320&lt;&gt;""),IF(Programme_Grunddaten!AG320="Ja",1,0),"")</f>
        <v/>
      </c>
      <c r="Z315" s="1" t="str">
        <f>IF(AND(Programme_Grunddaten!$A320="Geprüft",Programme_Grunddaten!AH320&lt;&gt;""),IF(Programme_Grunddaten!AH320="Ja",1,0),"")</f>
        <v/>
      </c>
      <c r="AA315" s="1" t="str">
        <f>IF(AND(Programme_Grunddaten!$A320="Geprüft",Programme_Grunddaten!AI320&lt;&gt;""),IF(Programme_Grunddaten!AI320="Ja",1,0),"")</f>
        <v/>
      </c>
      <c r="AB315" s="1" t="str">
        <f>IF(AND(Programme_Grunddaten!$A320="Geprüft",Programme_Grunddaten!AJ320&lt;&gt;""),IF(Programme_Grunddaten!AJ320="individuell programmierbar",1,0),"")</f>
        <v/>
      </c>
      <c r="AC315" s="1" t="str">
        <f>IF(AND(Programme_Grunddaten!$A320="Geprüft",Programme_Grunddaten!AK320&lt;&gt;""),IF(Programme_Grunddaten!AK320="Deutsch",0,IF(Programme_Grunddaten!AK320="Deutsch und Englisch",1,2)),"")</f>
        <v/>
      </c>
      <c r="AD315" s="1" t="str">
        <f>IF(AND(Programme_Grunddaten!$A320="Geprüft",Programme_Grunddaten!AL320&lt;&gt;""),IF(Programme_Grunddaten!AL320="Ja",1,0),"")</f>
        <v/>
      </c>
      <c r="AE315" s="1" t="str">
        <f>IF(AND(Programme_Grunddaten!$A320="Geprüft",Programme_Grunddaten!AM320&lt;&gt;""),IF(Programme_Grunddaten!AM320="Ja",1,0),"")</f>
        <v/>
      </c>
      <c r="AF315" s="1" t="str">
        <f>IF(AND(Programme_Grunddaten!$A320="Geprüft",Programme_Grunddaten!AN320&lt;&gt;""),IF(Programme_Grunddaten!AN320="Ja",1,0),"")</f>
        <v/>
      </c>
      <c r="AG315" s="1" t="str">
        <f>IF(AND(Programme_Grunddaten!$A320="Geprüft",Programme_Grunddaten!AO320&lt;&gt;""),IF(Programme_Grunddaten!AO320="Ja",1,0),"")</f>
        <v/>
      </c>
      <c r="AH315" s="1" t="str">
        <f>IF(AND(Programme_Grunddaten!$A320="Geprüft",Programme_Grunddaten!AP320&lt;&gt;""),IF(Programme_Grunddaten!AP320="Ja",1,0),"")</f>
        <v/>
      </c>
      <c r="AI315" s="1" t="str">
        <f>IF(AND(Programme_Grunddaten!$A320="Geprüft",Programme_Grunddaten!AQ320&lt;&gt;""),IF(Programme_Grunddaten!AQ320="Ja",1,0),"")</f>
        <v/>
      </c>
      <c r="AJ315" s="1" t="str">
        <f>IF(AND(Programme_Grunddaten!$A320="Geprüft",Programme_Grunddaten!AR320&lt;&gt;""),IF(Programme_Grunddaten!AR320="Ja",1,0),"")</f>
        <v/>
      </c>
      <c r="AK315" s="1" t="str">
        <f>IF(AND(Programme_Grunddaten!$A320="Geprüft",Programme_Grunddaten!AS320&lt;&gt;""),IF(Programme_Grunddaten!AS320="Ja",1,0),"")</f>
        <v/>
      </c>
      <c r="AL315" s="1" t="str">
        <f>IF(AND(Programme_Grunddaten!$A320="Geprüft",Programme_Grunddaten!AT320&lt;&gt;""),IF(Programme_Grunddaten!AT320="Ja",1,0),"")</f>
        <v/>
      </c>
      <c r="AM315" s="1" t="str">
        <f>IF(AND(Programme_Grunddaten!$A320="Geprüft",Programme_Grunddaten!AU320&lt;&gt;""),IF(Programme_Grunddaten!AU320="Ja",1,0),"")</f>
        <v/>
      </c>
      <c r="AN315" s="1" t="str">
        <f>IF(AND(Programme_Grunddaten!$A320="Geprüft",Programme_Grunddaten!AV320&lt;&gt;""),IF(Programme_Grunddaten!AV320="Ja",1,0),"")</f>
        <v/>
      </c>
    </row>
    <row r="316" spans="1:40" x14ac:dyDescent="0.3">
      <c r="A316" s="1" t="str">
        <f>IF(AND(Programme_Grunddaten!A321="Geprüft",Programme_Grunddaten!B321&lt;&gt;""),Programme_Grunddaten!B321,"")</f>
        <v/>
      </c>
      <c r="B316" s="1" t="str">
        <f>IF(AND(Programme_Grunddaten!$A321="Geprüft",Programme_Grunddaten!I321&lt;&gt;""),IF(Programme_Grunddaten!I321="Ja",1,0),"")</f>
        <v/>
      </c>
      <c r="C316" s="1" t="str">
        <f>IF(AND(Programme_Grunddaten!$A321="Geprüft",Programme_Grunddaten!J321&lt;&gt;""),IF(Programme_Grunddaten!J321="Ja",1,0),"")</f>
        <v/>
      </c>
      <c r="D316" s="1" t="str">
        <f>IF(AND(Programme_Grunddaten!$A321="Geprüft",Programme_Grunddaten!K321&lt;&gt;""),IF(Programme_Grunddaten!K321="Ja",1,0),"")</f>
        <v/>
      </c>
      <c r="E316" s="1" t="str">
        <f>IF(AND(Programme_Grunddaten!$A321="Geprüft",Programme_Grunddaten!L321&lt;&gt;""),IF(Programme_Grunddaten!L321="Abo / befristete Lizenz",1,0),"")</f>
        <v/>
      </c>
      <c r="F316" s="1" t="str">
        <f>IF(AND(Programme_Grunddaten!$A321="Geprüft",Programme_Grunddaten!M321&lt;&gt;""),IF(Programme_Grunddaten!M321="Ja",1,0),"")</f>
        <v/>
      </c>
      <c r="G316" s="1" t="str">
        <f>IF(AND(Programme_Grunddaten!$A321="Geprüft",Programme_Grunddaten!N321&lt;&gt;""),IF(Programme_Grunddaten!N321="Ja",1,0),"")</f>
        <v/>
      </c>
      <c r="H316" s="1" t="str">
        <f>IF(AND(Programme_Grunddaten!$A321="Geprüft",Programme_Grunddaten!O321&lt;&gt;""),IF(Programme_Grunddaten!O321="Deutschland",0,IF(Programme_Grunddaten!O321="EU",1,2)),"")</f>
        <v/>
      </c>
      <c r="I316" s="1" t="str">
        <f>IF(AND(Programme_Grunddaten!$A321="Geprüft",Programme_Grunddaten!P321&lt;&gt;""),IF(Programme_Grunddaten!P321="Ja",1,0),"")</f>
        <v/>
      </c>
      <c r="J316" s="1" t="str">
        <f>IF(AND(Programme_Grunddaten!$A321="Geprüft",Programme_Grunddaten!Q321&lt;&gt;""),IF(Programme_Grunddaten!Q321="geschlossenes System",1,0),"")</f>
        <v/>
      </c>
      <c r="K316" s="1" t="str">
        <f>IF(AND(Programme_Grunddaten!$A321="Geprüft",Programme_Grunddaten!R321&lt;&gt;""),IF(Programme_Grunddaten!R321="Ja",1,0),"")</f>
        <v/>
      </c>
      <c r="L316" s="1" t="str">
        <f>IF(AND(Programme_Grunddaten!$A321="Geprüft",Programme_Grunddaten!T321&lt;&gt;""),IF(Programme_Grunddaten!T321="Ja",1,0),"")</f>
        <v/>
      </c>
      <c r="M316" s="1" t="str">
        <f>IF(AND(Programme_Grunddaten!$A321="Geprüft",Programme_Grunddaten!U321&lt;&gt;""),IF(Programme_Grunddaten!U321="Ja",1,0),"")</f>
        <v/>
      </c>
      <c r="N316" s="1" t="str">
        <f>IF(AND(Programme_Grunddaten!$A321="Geprüft",Programme_Grunddaten!V321&lt;&gt;""),IF(Programme_Grunddaten!V321="Ja",1,0),"")</f>
        <v/>
      </c>
      <c r="O316" s="1" t="str">
        <f>IF(AND(Programme_Grunddaten!$A321="Geprüft",Programme_Grunddaten!W321&lt;&gt;""),IF(Programme_Grunddaten!W321="Ja",1,0),"")</f>
        <v/>
      </c>
      <c r="P316" s="1" t="str">
        <f>IF(AND(Programme_Grunddaten!$A321="Geprüft",Programme_Grunddaten!X321&lt;&gt;""),IF(Programme_Grunddaten!X321="Ja",1,0),"")</f>
        <v/>
      </c>
      <c r="Q316" s="1" t="str">
        <f>IF(AND(Programme_Grunddaten!$A321="Geprüft",Programme_Grunddaten!Y321&lt;&gt;""),IF(Programme_Grunddaten!Y321="Ja",1,0),"")</f>
        <v/>
      </c>
      <c r="R316" s="1" t="str">
        <f>IF(AND(Programme_Grunddaten!$A321="Geprüft",Programme_Grunddaten!Z321&lt;&gt;""),IF(Programme_Grunddaten!Z321="Ja",1,0),"")</f>
        <v/>
      </c>
      <c r="S316" s="1" t="str">
        <f>IF(AND(Programme_Grunddaten!$A321="Geprüft",Programme_Grunddaten!AA321&lt;&gt;""),IF(Programme_Grunddaten!AA321="monolithisch",1,0),"")</f>
        <v/>
      </c>
      <c r="T316" s="1" t="str">
        <f>IF(AND(Programme_Grunddaten!$A321="Geprüft",Programme_Grunddaten!AB321&lt;&gt;""),IF(Programme_Grunddaten!AB321="Ja",1,0),"")</f>
        <v/>
      </c>
      <c r="U316" s="1" t="str">
        <f>IF(AND(Programme_Grunddaten!$A321="Geprüft",Programme_Grunddaten!AC321&lt;&gt;""),IF(Programme_Grunddaten!AC321="Ja",1,0),"")</f>
        <v/>
      </c>
      <c r="V316" s="1" t="str">
        <f>IF(AND(Programme_Grunddaten!$A321="Geprüft",Programme_Grunddaten!AD321&lt;&gt;""),IF(Programme_Grunddaten!AD321="Ja",1,0),"")</f>
        <v/>
      </c>
      <c r="W316" s="1" t="str">
        <f>IF(AND(Programme_Grunddaten!$A321="Geprüft",Programme_Grunddaten!AE321&lt;&gt;""),IF(Programme_Grunddaten!AE321="Ja",1,0),"")</f>
        <v/>
      </c>
      <c r="X316" s="1" t="str">
        <f>IF(AND(Programme_Grunddaten!$A321="Geprüft",Programme_Grunddaten!AF321&lt;&gt;""),IF(Programme_Grunddaten!AF321="Ja",1,0),"")</f>
        <v/>
      </c>
      <c r="Y316" s="1" t="str">
        <f>IF(AND(Programme_Grunddaten!$A321="Geprüft",Programme_Grunddaten!AG321&lt;&gt;""),IF(Programme_Grunddaten!AG321="Ja",1,0),"")</f>
        <v/>
      </c>
      <c r="Z316" s="1" t="str">
        <f>IF(AND(Programme_Grunddaten!$A321="Geprüft",Programme_Grunddaten!AH321&lt;&gt;""),IF(Programme_Grunddaten!AH321="Ja",1,0),"")</f>
        <v/>
      </c>
      <c r="AA316" s="1" t="str">
        <f>IF(AND(Programme_Grunddaten!$A321="Geprüft",Programme_Grunddaten!AI321&lt;&gt;""),IF(Programme_Grunddaten!AI321="Ja",1,0),"")</f>
        <v/>
      </c>
      <c r="AB316" s="1" t="str">
        <f>IF(AND(Programme_Grunddaten!$A321="Geprüft",Programme_Grunddaten!AJ321&lt;&gt;""),IF(Programme_Grunddaten!AJ321="individuell programmierbar",1,0),"")</f>
        <v/>
      </c>
      <c r="AC316" s="1" t="str">
        <f>IF(AND(Programme_Grunddaten!$A321="Geprüft",Programme_Grunddaten!AK321&lt;&gt;""),IF(Programme_Grunddaten!AK321="Deutsch",0,IF(Programme_Grunddaten!AK321="Deutsch und Englisch",1,2)),"")</f>
        <v/>
      </c>
      <c r="AD316" s="1" t="str">
        <f>IF(AND(Programme_Grunddaten!$A321="Geprüft",Programme_Grunddaten!AL321&lt;&gt;""),IF(Programme_Grunddaten!AL321="Ja",1,0),"")</f>
        <v/>
      </c>
      <c r="AE316" s="1" t="str">
        <f>IF(AND(Programme_Grunddaten!$A321="Geprüft",Programme_Grunddaten!AM321&lt;&gt;""),IF(Programme_Grunddaten!AM321="Ja",1,0),"")</f>
        <v/>
      </c>
      <c r="AF316" s="1" t="str">
        <f>IF(AND(Programme_Grunddaten!$A321="Geprüft",Programme_Grunddaten!AN321&lt;&gt;""),IF(Programme_Grunddaten!AN321="Ja",1,0),"")</f>
        <v/>
      </c>
      <c r="AG316" s="1" t="str">
        <f>IF(AND(Programme_Grunddaten!$A321="Geprüft",Programme_Grunddaten!AO321&lt;&gt;""),IF(Programme_Grunddaten!AO321="Ja",1,0),"")</f>
        <v/>
      </c>
      <c r="AH316" s="1" t="str">
        <f>IF(AND(Programme_Grunddaten!$A321="Geprüft",Programme_Grunddaten!AP321&lt;&gt;""),IF(Programme_Grunddaten!AP321="Ja",1,0),"")</f>
        <v/>
      </c>
      <c r="AI316" s="1" t="str">
        <f>IF(AND(Programme_Grunddaten!$A321="Geprüft",Programme_Grunddaten!AQ321&lt;&gt;""),IF(Programme_Grunddaten!AQ321="Ja",1,0),"")</f>
        <v/>
      </c>
      <c r="AJ316" s="1" t="str">
        <f>IF(AND(Programme_Grunddaten!$A321="Geprüft",Programme_Grunddaten!AR321&lt;&gt;""),IF(Programme_Grunddaten!AR321="Ja",1,0),"")</f>
        <v/>
      </c>
      <c r="AK316" s="1" t="str">
        <f>IF(AND(Programme_Grunddaten!$A321="Geprüft",Programme_Grunddaten!AS321&lt;&gt;""),IF(Programme_Grunddaten!AS321="Ja",1,0),"")</f>
        <v/>
      </c>
      <c r="AL316" s="1" t="str">
        <f>IF(AND(Programme_Grunddaten!$A321="Geprüft",Programme_Grunddaten!AT321&lt;&gt;""),IF(Programme_Grunddaten!AT321="Ja",1,0),"")</f>
        <v/>
      </c>
      <c r="AM316" s="1" t="str">
        <f>IF(AND(Programme_Grunddaten!$A321="Geprüft",Programme_Grunddaten!AU321&lt;&gt;""),IF(Programme_Grunddaten!AU321="Ja",1,0),"")</f>
        <v/>
      </c>
      <c r="AN316" s="1" t="str">
        <f>IF(AND(Programme_Grunddaten!$A321="Geprüft",Programme_Grunddaten!AV321&lt;&gt;""),IF(Programme_Grunddaten!AV321="Ja",1,0),"")</f>
        <v/>
      </c>
    </row>
    <row r="317" spans="1:40" x14ac:dyDescent="0.3">
      <c r="A317" s="1" t="str">
        <f>IF(AND(Programme_Grunddaten!A322="Geprüft",Programme_Grunddaten!B322&lt;&gt;""),Programme_Grunddaten!B322,"")</f>
        <v/>
      </c>
      <c r="B317" s="1" t="str">
        <f>IF(AND(Programme_Grunddaten!$A322="Geprüft",Programme_Grunddaten!I322&lt;&gt;""),IF(Programme_Grunddaten!I322="Ja",1,0),"")</f>
        <v/>
      </c>
      <c r="C317" s="1" t="str">
        <f>IF(AND(Programme_Grunddaten!$A322="Geprüft",Programme_Grunddaten!J322&lt;&gt;""),IF(Programme_Grunddaten!J322="Ja",1,0),"")</f>
        <v/>
      </c>
      <c r="D317" s="1" t="str">
        <f>IF(AND(Programme_Grunddaten!$A322="Geprüft",Programme_Grunddaten!K322&lt;&gt;""),IF(Programme_Grunddaten!K322="Ja",1,0),"")</f>
        <v/>
      </c>
      <c r="E317" s="1" t="str">
        <f>IF(AND(Programme_Grunddaten!$A322="Geprüft",Programme_Grunddaten!L322&lt;&gt;""),IF(Programme_Grunddaten!L322="Abo / befristete Lizenz",1,0),"")</f>
        <v/>
      </c>
      <c r="F317" s="1" t="str">
        <f>IF(AND(Programme_Grunddaten!$A322="Geprüft",Programme_Grunddaten!M322&lt;&gt;""),IF(Programme_Grunddaten!M322="Ja",1,0),"")</f>
        <v/>
      </c>
      <c r="G317" s="1" t="str">
        <f>IF(AND(Programme_Grunddaten!$A322="Geprüft",Programme_Grunddaten!N322&lt;&gt;""),IF(Programme_Grunddaten!N322="Ja",1,0),"")</f>
        <v/>
      </c>
      <c r="H317" s="1" t="str">
        <f>IF(AND(Programme_Grunddaten!$A322="Geprüft",Programme_Grunddaten!O322&lt;&gt;""),IF(Programme_Grunddaten!O322="Deutschland",0,IF(Programme_Grunddaten!O322="EU",1,2)),"")</f>
        <v/>
      </c>
      <c r="I317" s="1" t="str">
        <f>IF(AND(Programme_Grunddaten!$A322="Geprüft",Programme_Grunddaten!P322&lt;&gt;""),IF(Programme_Grunddaten!P322="Ja",1,0),"")</f>
        <v/>
      </c>
      <c r="J317" s="1" t="str">
        <f>IF(AND(Programme_Grunddaten!$A322="Geprüft",Programme_Grunddaten!Q322&lt;&gt;""),IF(Programme_Grunddaten!Q322="geschlossenes System",1,0),"")</f>
        <v/>
      </c>
      <c r="K317" s="1" t="str">
        <f>IF(AND(Programme_Grunddaten!$A322="Geprüft",Programme_Grunddaten!R322&lt;&gt;""),IF(Programme_Grunddaten!R322="Ja",1,0),"")</f>
        <v/>
      </c>
      <c r="L317" s="1" t="str">
        <f>IF(AND(Programme_Grunddaten!$A322="Geprüft",Programme_Grunddaten!T322&lt;&gt;""),IF(Programme_Grunddaten!T322="Ja",1,0),"")</f>
        <v/>
      </c>
      <c r="M317" s="1" t="str">
        <f>IF(AND(Programme_Grunddaten!$A322="Geprüft",Programme_Grunddaten!U322&lt;&gt;""),IF(Programme_Grunddaten!U322="Ja",1,0),"")</f>
        <v/>
      </c>
      <c r="N317" s="1" t="str">
        <f>IF(AND(Programme_Grunddaten!$A322="Geprüft",Programme_Grunddaten!V322&lt;&gt;""),IF(Programme_Grunddaten!V322="Ja",1,0),"")</f>
        <v/>
      </c>
      <c r="O317" s="1" t="str">
        <f>IF(AND(Programme_Grunddaten!$A322="Geprüft",Programme_Grunddaten!W322&lt;&gt;""),IF(Programme_Grunddaten!W322="Ja",1,0),"")</f>
        <v/>
      </c>
      <c r="P317" s="1" t="str">
        <f>IF(AND(Programme_Grunddaten!$A322="Geprüft",Programme_Grunddaten!X322&lt;&gt;""),IF(Programme_Grunddaten!X322="Ja",1,0),"")</f>
        <v/>
      </c>
      <c r="Q317" s="1" t="str">
        <f>IF(AND(Programme_Grunddaten!$A322="Geprüft",Programme_Grunddaten!Y322&lt;&gt;""),IF(Programme_Grunddaten!Y322="Ja",1,0),"")</f>
        <v/>
      </c>
      <c r="R317" s="1" t="str">
        <f>IF(AND(Programme_Grunddaten!$A322="Geprüft",Programme_Grunddaten!Z322&lt;&gt;""),IF(Programme_Grunddaten!Z322="Ja",1,0),"")</f>
        <v/>
      </c>
      <c r="S317" s="1" t="str">
        <f>IF(AND(Programme_Grunddaten!$A322="Geprüft",Programme_Grunddaten!AA322&lt;&gt;""),IF(Programme_Grunddaten!AA322="monolithisch",1,0),"")</f>
        <v/>
      </c>
      <c r="T317" s="1" t="str">
        <f>IF(AND(Programme_Grunddaten!$A322="Geprüft",Programme_Grunddaten!AB322&lt;&gt;""),IF(Programme_Grunddaten!AB322="Ja",1,0),"")</f>
        <v/>
      </c>
      <c r="U317" s="1" t="str">
        <f>IF(AND(Programme_Grunddaten!$A322="Geprüft",Programme_Grunddaten!AC322&lt;&gt;""),IF(Programme_Grunddaten!AC322="Ja",1,0),"")</f>
        <v/>
      </c>
      <c r="V317" s="1" t="str">
        <f>IF(AND(Programme_Grunddaten!$A322="Geprüft",Programme_Grunddaten!AD322&lt;&gt;""),IF(Programme_Grunddaten!AD322="Ja",1,0),"")</f>
        <v/>
      </c>
      <c r="W317" s="1" t="str">
        <f>IF(AND(Programme_Grunddaten!$A322="Geprüft",Programme_Grunddaten!AE322&lt;&gt;""),IF(Programme_Grunddaten!AE322="Ja",1,0),"")</f>
        <v/>
      </c>
      <c r="X317" s="1" t="str">
        <f>IF(AND(Programme_Grunddaten!$A322="Geprüft",Programme_Grunddaten!AF322&lt;&gt;""),IF(Programme_Grunddaten!AF322="Ja",1,0),"")</f>
        <v/>
      </c>
      <c r="Y317" s="1" t="str">
        <f>IF(AND(Programme_Grunddaten!$A322="Geprüft",Programme_Grunddaten!AG322&lt;&gt;""),IF(Programme_Grunddaten!AG322="Ja",1,0),"")</f>
        <v/>
      </c>
      <c r="Z317" s="1" t="str">
        <f>IF(AND(Programme_Grunddaten!$A322="Geprüft",Programme_Grunddaten!AH322&lt;&gt;""),IF(Programme_Grunddaten!AH322="Ja",1,0),"")</f>
        <v/>
      </c>
      <c r="AA317" s="1" t="str">
        <f>IF(AND(Programme_Grunddaten!$A322="Geprüft",Programme_Grunddaten!AI322&lt;&gt;""),IF(Programme_Grunddaten!AI322="Ja",1,0),"")</f>
        <v/>
      </c>
      <c r="AB317" s="1" t="str">
        <f>IF(AND(Programme_Grunddaten!$A322="Geprüft",Programme_Grunddaten!AJ322&lt;&gt;""),IF(Programme_Grunddaten!AJ322="individuell programmierbar",1,0),"")</f>
        <v/>
      </c>
      <c r="AC317" s="1" t="str">
        <f>IF(AND(Programme_Grunddaten!$A322="Geprüft",Programme_Grunddaten!AK322&lt;&gt;""),IF(Programme_Grunddaten!AK322="Deutsch",0,IF(Programme_Grunddaten!AK322="Deutsch und Englisch",1,2)),"")</f>
        <v/>
      </c>
      <c r="AD317" s="1" t="str">
        <f>IF(AND(Programme_Grunddaten!$A322="Geprüft",Programme_Grunddaten!AL322&lt;&gt;""),IF(Programme_Grunddaten!AL322="Ja",1,0),"")</f>
        <v/>
      </c>
      <c r="AE317" s="1" t="str">
        <f>IF(AND(Programme_Grunddaten!$A322="Geprüft",Programme_Grunddaten!AM322&lt;&gt;""),IF(Programme_Grunddaten!AM322="Ja",1,0),"")</f>
        <v/>
      </c>
      <c r="AF317" s="1" t="str">
        <f>IF(AND(Programme_Grunddaten!$A322="Geprüft",Programme_Grunddaten!AN322&lt;&gt;""),IF(Programme_Grunddaten!AN322="Ja",1,0),"")</f>
        <v/>
      </c>
      <c r="AG317" s="1" t="str">
        <f>IF(AND(Programme_Grunddaten!$A322="Geprüft",Programme_Grunddaten!AO322&lt;&gt;""),IF(Programme_Grunddaten!AO322="Ja",1,0),"")</f>
        <v/>
      </c>
      <c r="AH317" s="1" t="str">
        <f>IF(AND(Programme_Grunddaten!$A322="Geprüft",Programme_Grunddaten!AP322&lt;&gt;""),IF(Programme_Grunddaten!AP322="Ja",1,0),"")</f>
        <v/>
      </c>
      <c r="AI317" s="1" t="str">
        <f>IF(AND(Programme_Grunddaten!$A322="Geprüft",Programme_Grunddaten!AQ322&lt;&gt;""),IF(Programme_Grunddaten!AQ322="Ja",1,0),"")</f>
        <v/>
      </c>
      <c r="AJ317" s="1" t="str">
        <f>IF(AND(Programme_Grunddaten!$A322="Geprüft",Programme_Grunddaten!AR322&lt;&gt;""),IF(Programme_Grunddaten!AR322="Ja",1,0),"")</f>
        <v/>
      </c>
      <c r="AK317" s="1" t="str">
        <f>IF(AND(Programme_Grunddaten!$A322="Geprüft",Programme_Grunddaten!AS322&lt;&gt;""),IF(Programme_Grunddaten!AS322="Ja",1,0),"")</f>
        <v/>
      </c>
      <c r="AL317" s="1" t="str">
        <f>IF(AND(Programme_Grunddaten!$A322="Geprüft",Programme_Grunddaten!AT322&lt;&gt;""),IF(Programme_Grunddaten!AT322="Ja",1,0),"")</f>
        <v/>
      </c>
      <c r="AM317" s="1" t="str">
        <f>IF(AND(Programme_Grunddaten!$A322="Geprüft",Programme_Grunddaten!AU322&lt;&gt;""),IF(Programme_Grunddaten!AU322="Ja",1,0),"")</f>
        <v/>
      </c>
      <c r="AN317" s="1" t="str">
        <f>IF(AND(Programme_Grunddaten!$A322="Geprüft",Programme_Grunddaten!AV322&lt;&gt;""),IF(Programme_Grunddaten!AV322="Ja",1,0),"")</f>
        <v/>
      </c>
    </row>
    <row r="318" spans="1:40" x14ac:dyDescent="0.3">
      <c r="A318" s="1" t="str">
        <f>IF(AND(Programme_Grunddaten!A323="Geprüft",Programme_Grunddaten!B323&lt;&gt;""),Programme_Grunddaten!B323,"")</f>
        <v/>
      </c>
      <c r="B318" s="1" t="str">
        <f>IF(AND(Programme_Grunddaten!$A323="Geprüft",Programme_Grunddaten!I323&lt;&gt;""),IF(Programme_Grunddaten!I323="Ja",1,0),"")</f>
        <v/>
      </c>
      <c r="C318" s="1" t="str">
        <f>IF(AND(Programme_Grunddaten!$A323="Geprüft",Programme_Grunddaten!J323&lt;&gt;""),IF(Programme_Grunddaten!J323="Ja",1,0),"")</f>
        <v/>
      </c>
      <c r="D318" s="1" t="str">
        <f>IF(AND(Programme_Grunddaten!$A323="Geprüft",Programme_Grunddaten!K323&lt;&gt;""),IF(Programme_Grunddaten!K323="Ja",1,0),"")</f>
        <v/>
      </c>
      <c r="E318" s="1" t="str">
        <f>IF(AND(Programme_Grunddaten!$A323="Geprüft",Programme_Grunddaten!L323&lt;&gt;""),IF(Programme_Grunddaten!L323="Abo / befristete Lizenz",1,0),"")</f>
        <v/>
      </c>
      <c r="F318" s="1" t="str">
        <f>IF(AND(Programme_Grunddaten!$A323="Geprüft",Programme_Grunddaten!M323&lt;&gt;""),IF(Programme_Grunddaten!M323="Ja",1,0),"")</f>
        <v/>
      </c>
      <c r="G318" s="1" t="str">
        <f>IF(AND(Programme_Grunddaten!$A323="Geprüft",Programme_Grunddaten!N323&lt;&gt;""),IF(Programme_Grunddaten!N323="Ja",1,0),"")</f>
        <v/>
      </c>
      <c r="H318" s="1" t="str">
        <f>IF(AND(Programme_Grunddaten!$A323="Geprüft",Programme_Grunddaten!O323&lt;&gt;""),IF(Programme_Grunddaten!O323="Deutschland",0,IF(Programme_Grunddaten!O323="EU",1,2)),"")</f>
        <v/>
      </c>
      <c r="I318" s="1" t="str">
        <f>IF(AND(Programme_Grunddaten!$A323="Geprüft",Programme_Grunddaten!P323&lt;&gt;""),IF(Programme_Grunddaten!P323="Ja",1,0),"")</f>
        <v/>
      </c>
      <c r="J318" s="1" t="str">
        <f>IF(AND(Programme_Grunddaten!$A323="Geprüft",Programme_Grunddaten!Q323&lt;&gt;""),IF(Programme_Grunddaten!Q323="geschlossenes System",1,0),"")</f>
        <v/>
      </c>
      <c r="K318" s="1" t="str">
        <f>IF(AND(Programme_Grunddaten!$A323="Geprüft",Programme_Grunddaten!R323&lt;&gt;""),IF(Programme_Grunddaten!R323="Ja",1,0),"")</f>
        <v/>
      </c>
      <c r="L318" s="1" t="str">
        <f>IF(AND(Programme_Grunddaten!$A323="Geprüft",Programme_Grunddaten!T323&lt;&gt;""),IF(Programme_Grunddaten!T323="Ja",1,0),"")</f>
        <v/>
      </c>
      <c r="M318" s="1" t="str">
        <f>IF(AND(Programme_Grunddaten!$A323="Geprüft",Programme_Grunddaten!U323&lt;&gt;""),IF(Programme_Grunddaten!U323="Ja",1,0),"")</f>
        <v/>
      </c>
      <c r="N318" s="1" t="str">
        <f>IF(AND(Programme_Grunddaten!$A323="Geprüft",Programme_Grunddaten!V323&lt;&gt;""),IF(Programme_Grunddaten!V323="Ja",1,0),"")</f>
        <v/>
      </c>
      <c r="O318" s="1" t="str">
        <f>IF(AND(Programme_Grunddaten!$A323="Geprüft",Programme_Grunddaten!W323&lt;&gt;""),IF(Programme_Grunddaten!W323="Ja",1,0),"")</f>
        <v/>
      </c>
      <c r="P318" s="1" t="str">
        <f>IF(AND(Programme_Grunddaten!$A323="Geprüft",Programme_Grunddaten!X323&lt;&gt;""),IF(Programme_Grunddaten!X323="Ja",1,0),"")</f>
        <v/>
      </c>
      <c r="Q318" s="1" t="str">
        <f>IF(AND(Programme_Grunddaten!$A323="Geprüft",Programme_Grunddaten!Y323&lt;&gt;""),IF(Programme_Grunddaten!Y323="Ja",1,0),"")</f>
        <v/>
      </c>
      <c r="R318" s="1" t="str">
        <f>IF(AND(Programme_Grunddaten!$A323="Geprüft",Programme_Grunddaten!Z323&lt;&gt;""),IF(Programme_Grunddaten!Z323="Ja",1,0),"")</f>
        <v/>
      </c>
      <c r="S318" s="1" t="str">
        <f>IF(AND(Programme_Grunddaten!$A323="Geprüft",Programme_Grunddaten!AA323&lt;&gt;""),IF(Programme_Grunddaten!AA323="monolithisch",1,0),"")</f>
        <v/>
      </c>
      <c r="T318" s="1" t="str">
        <f>IF(AND(Programme_Grunddaten!$A323="Geprüft",Programme_Grunddaten!AB323&lt;&gt;""),IF(Programme_Grunddaten!AB323="Ja",1,0),"")</f>
        <v/>
      </c>
      <c r="U318" s="1" t="str">
        <f>IF(AND(Programme_Grunddaten!$A323="Geprüft",Programme_Grunddaten!AC323&lt;&gt;""),IF(Programme_Grunddaten!AC323="Ja",1,0),"")</f>
        <v/>
      </c>
      <c r="V318" s="1" t="str">
        <f>IF(AND(Programme_Grunddaten!$A323="Geprüft",Programme_Grunddaten!AD323&lt;&gt;""),IF(Programme_Grunddaten!AD323="Ja",1,0),"")</f>
        <v/>
      </c>
      <c r="W318" s="1" t="str">
        <f>IF(AND(Programme_Grunddaten!$A323="Geprüft",Programme_Grunddaten!AE323&lt;&gt;""),IF(Programme_Grunddaten!AE323="Ja",1,0),"")</f>
        <v/>
      </c>
      <c r="X318" s="1" t="str">
        <f>IF(AND(Programme_Grunddaten!$A323="Geprüft",Programme_Grunddaten!AF323&lt;&gt;""),IF(Programme_Grunddaten!AF323="Ja",1,0),"")</f>
        <v/>
      </c>
      <c r="Y318" s="1" t="str">
        <f>IF(AND(Programme_Grunddaten!$A323="Geprüft",Programme_Grunddaten!AG323&lt;&gt;""),IF(Programme_Grunddaten!AG323="Ja",1,0),"")</f>
        <v/>
      </c>
      <c r="Z318" s="1" t="str">
        <f>IF(AND(Programme_Grunddaten!$A323="Geprüft",Programme_Grunddaten!AH323&lt;&gt;""),IF(Programme_Grunddaten!AH323="Ja",1,0),"")</f>
        <v/>
      </c>
      <c r="AA318" s="1" t="str">
        <f>IF(AND(Programme_Grunddaten!$A323="Geprüft",Programme_Grunddaten!AI323&lt;&gt;""),IF(Programme_Grunddaten!AI323="Ja",1,0),"")</f>
        <v/>
      </c>
      <c r="AB318" s="1" t="str">
        <f>IF(AND(Programme_Grunddaten!$A323="Geprüft",Programme_Grunddaten!AJ323&lt;&gt;""),IF(Programme_Grunddaten!AJ323="individuell programmierbar",1,0),"")</f>
        <v/>
      </c>
      <c r="AC318" s="1" t="str">
        <f>IF(AND(Programme_Grunddaten!$A323="Geprüft",Programme_Grunddaten!AK323&lt;&gt;""),IF(Programme_Grunddaten!AK323="Deutsch",0,IF(Programme_Grunddaten!AK323="Deutsch und Englisch",1,2)),"")</f>
        <v/>
      </c>
      <c r="AD318" s="1" t="str">
        <f>IF(AND(Programme_Grunddaten!$A323="Geprüft",Programme_Grunddaten!AL323&lt;&gt;""),IF(Programme_Grunddaten!AL323="Ja",1,0),"")</f>
        <v/>
      </c>
      <c r="AE318" s="1" t="str">
        <f>IF(AND(Programme_Grunddaten!$A323="Geprüft",Programme_Grunddaten!AM323&lt;&gt;""),IF(Programme_Grunddaten!AM323="Ja",1,0),"")</f>
        <v/>
      </c>
      <c r="AF318" s="1" t="str">
        <f>IF(AND(Programme_Grunddaten!$A323="Geprüft",Programme_Grunddaten!AN323&lt;&gt;""),IF(Programme_Grunddaten!AN323="Ja",1,0),"")</f>
        <v/>
      </c>
      <c r="AG318" s="1" t="str">
        <f>IF(AND(Programme_Grunddaten!$A323="Geprüft",Programme_Grunddaten!AO323&lt;&gt;""),IF(Programme_Grunddaten!AO323="Ja",1,0),"")</f>
        <v/>
      </c>
      <c r="AH318" s="1" t="str">
        <f>IF(AND(Programme_Grunddaten!$A323="Geprüft",Programme_Grunddaten!AP323&lt;&gt;""),IF(Programme_Grunddaten!AP323="Ja",1,0),"")</f>
        <v/>
      </c>
      <c r="AI318" s="1" t="str">
        <f>IF(AND(Programme_Grunddaten!$A323="Geprüft",Programme_Grunddaten!AQ323&lt;&gt;""),IF(Programme_Grunddaten!AQ323="Ja",1,0),"")</f>
        <v/>
      </c>
      <c r="AJ318" s="1" t="str">
        <f>IF(AND(Programme_Grunddaten!$A323="Geprüft",Programme_Grunddaten!AR323&lt;&gt;""),IF(Programme_Grunddaten!AR323="Ja",1,0),"")</f>
        <v/>
      </c>
      <c r="AK318" s="1" t="str">
        <f>IF(AND(Programme_Grunddaten!$A323="Geprüft",Programme_Grunddaten!AS323&lt;&gt;""),IF(Programme_Grunddaten!AS323="Ja",1,0),"")</f>
        <v/>
      </c>
      <c r="AL318" s="1" t="str">
        <f>IF(AND(Programme_Grunddaten!$A323="Geprüft",Programme_Grunddaten!AT323&lt;&gt;""),IF(Programme_Grunddaten!AT323="Ja",1,0),"")</f>
        <v/>
      </c>
      <c r="AM318" s="1" t="str">
        <f>IF(AND(Programme_Grunddaten!$A323="Geprüft",Programme_Grunddaten!AU323&lt;&gt;""),IF(Programme_Grunddaten!AU323="Ja",1,0),"")</f>
        <v/>
      </c>
      <c r="AN318" s="1" t="str">
        <f>IF(AND(Programme_Grunddaten!$A323="Geprüft",Programme_Grunddaten!AV323&lt;&gt;""),IF(Programme_Grunddaten!AV323="Ja",1,0),"")</f>
        <v/>
      </c>
    </row>
    <row r="319" spans="1:40" x14ac:dyDescent="0.3">
      <c r="A319" s="1" t="str">
        <f>IF(AND(Programme_Grunddaten!A324="Geprüft",Programme_Grunddaten!B324&lt;&gt;""),Programme_Grunddaten!B324,"")</f>
        <v/>
      </c>
      <c r="B319" s="1" t="str">
        <f>IF(AND(Programme_Grunddaten!$A324="Geprüft",Programme_Grunddaten!I324&lt;&gt;""),IF(Programme_Grunddaten!I324="Ja",1,0),"")</f>
        <v/>
      </c>
      <c r="C319" s="1" t="str">
        <f>IF(AND(Programme_Grunddaten!$A324="Geprüft",Programme_Grunddaten!J324&lt;&gt;""),IF(Programme_Grunddaten!J324="Ja",1,0),"")</f>
        <v/>
      </c>
      <c r="D319" s="1" t="str">
        <f>IF(AND(Programme_Grunddaten!$A324="Geprüft",Programme_Grunddaten!K324&lt;&gt;""),IF(Programme_Grunddaten!K324="Ja",1,0),"")</f>
        <v/>
      </c>
      <c r="E319" s="1" t="str">
        <f>IF(AND(Programme_Grunddaten!$A324="Geprüft",Programme_Grunddaten!L324&lt;&gt;""),IF(Programme_Grunddaten!L324="Abo / befristete Lizenz",1,0),"")</f>
        <v/>
      </c>
      <c r="F319" s="1" t="str">
        <f>IF(AND(Programme_Grunddaten!$A324="Geprüft",Programme_Grunddaten!M324&lt;&gt;""),IF(Programme_Grunddaten!M324="Ja",1,0),"")</f>
        <v/>
      </c>
      <c r="G319" s="1" t="str">
        <f>IF(AND(Programme_Grunddaten!$A324="Geprüft",Programme_Grunddaten!N324&lt;&gt;""),IF(Programme_Grunddaten!N324="Ja",1,0),"")</f>
        <v/>
      </c>
      <c r="H319" s="1" t="str">
        <f>IF(AND(Programme_Grunddaten!$A324="Geprüft",Programme_Grunddaten!O324&lt;&gt;""),IF(Programme_Grunddaten!O324="Deutschland",0,IF(Programme_Grunddaten!O324="EU",1,2)),"")</f>
        <v/>
      </c>
      <c r="I319" s="1" t="str">
        <f>IF(AND(Programme_Grunddaten!$A324="Geprüft",Programme_Grunddaten!P324&lt;&gt;""),IF(Programme_Grunddaten!P324="Ja",1,0),"")</f>
        <v/>
      </c>
      <c r="J319" s="1" t="str">
        <f>IF(AND(Programme_Grunddaten!$A324="Geprüft",Programme_Grunddaten!Q324&lt;&gt;""),IF(Programme_Grunddaten!Q324="geschlossenes System",1,0),"")</f>
        <v/>
      </c>
      <c r="K319" s="1" t="str">
        <f>IF(AND(Programme_Grunddaten!$A324="Geprüft",Programme_Grunddaten!R324&lt;&gt;""),IF(Programme_Grunddaten!R324="Ja",1,0),"")</f>
        <v/>
      </c>
      <c r="L319" s="1" t="str">
        <f>IF(AND(Programme_Grunddaten!$A324="Geprüft",Programme_Grunddaten!T324&lt;&gt;""),IF(Programme_Grunddaten!T324="Ja",1,0),"")</f>
        <v/>
      </c>
      <c r="M319" s="1" t="str">
        <f>IF(AND(Programme_Grunddaten!$A324="Geprüft",Programme_Grunddaten!U324&lt;&gt;""),IF(Programme_Grunddaten!U324="Ja",1,0),"")</f>
        <v/>
      </c>
      <c r="N319" s="1" t="str">
        <f>IF(AND(Programme_Grunddaten!$A324="Geprüft",Programme_Grunddaten!V324&lt;&gt;""),IF(Programme_Grunddaten!V324="Ja",1,0),"")</f>
        <v/>
      </c>
      <c r="O319" s="1" t="str">
        <f>IF(AND(Programme_Grunddaten!$A324="Geprüft",Programme_Grunddaten!W324&lt;&gt;""),IF(Programme_Grunddaten!W324="Ja",1,0),"")</f>
        <v/>
      </c>
      <c r="P319" s="1" t="str">
        <f>IF(AND(Programme_Grunddaten!$A324="Geprüft",Programme_Grunddaten!X324&lt;&gt;""),IF(Programme_Grunddaten!X324="Ja",1,0),"")</f>
        <v/>
      </c>
      <c r="Q319" s="1" t="str">
        <f>IF(AND(Programme_Grunddaten!$A324="Geprüft",Programme_Grunddaten!Y324&lt;&gt;""),IF(Programme_Grunddaten!Y324="Ja",1,0),"")</f>
        <v/>
      </c>
      <c r="R319" s="1" t="str">
        <f>IF(AND(Programme_Grunddaten!$A324="Geprüft",Programme_Grunddaten!Z324&lt;&gt;""),IF(Programme_Grunddaten!Z324="Ja",1,0),"")</f>
        <v/>
      </c>
      <c r="S319" s="1" t="str">
        <f>IF(AND(Programme_Grunddaten!$A324="Geprüft",Programme_Grunddaten!AA324&lt;&gt;""),IF(Programme_Grunddaten!AA324="monolithisch",1,0),"")</f>
        <v/>
      </c>
      <c r="T319" s="1" t="str">
        <f>IF(AND(Programme_Grunddaten!$A324="Geprüft",Programme_Grunddaten!AB324&lt;&gt;""),IF(Programme_Grunddaten!AB324="Ja",1,0),"")</f>
        <v/>
      </c>
      <c r="U319" s="1" t="str">
        <f>IF(AND(Programme_Grunddaten!$A324="Geprüft",Programme_Grunddaten!AC324&lt;&gt;""),IF(Programme_Grunddaten!AC324="Ja",1,0),"")</f>
        <v/>
      </c>
      <c r="V319" s="1" t="str">
        <f>IF(AND(Programme_Grunddaten!$A324="Geprüft",Programme_Grunddaten!AD324&lt;&gt;""),IF(Programme_Grunddaten!AD324="Ja",1,0),"")</f>
        <v/>
      </c>
      <c r="W319" s="1" t="str">
        <f>IF(AND(Programme_Grunddaten!$A324="Geprüft",Programme_Grunddaten!AE324&lt;&gt;""),IF(Programme_Grunddaten!AE324="Ja",1,0),"")</f>
        <v/>
      </c>
      <c r="X319" s="1" t="str">
        <f>IF(AND(Programme_Grunddaten!$A324="Geprüft",Programme_Grunddaten!AF324&lt;&gt;""),IF(Programme_Grunddaten!AF324="Ja",1,0),"")</f>
        <v/>
      </c>
      <c r="Y319" s="1" t="str">
        <f>IF(AND(Programme_Grunddaten!$A324="Geprüft",Programme_Grunddaten!AG324&lt;&gt;""),IF(Programme_Grunddaten!AG324="Ja",1,0),"")</f>
        <v/>
      </c>
      <c r="Z319" s="1" t="str">
        <f>IF(AND(Programme_Grunddaten!$A324="Geprüft",Programme_Grunddaten!AH324&lt;&gt;""),IF(Programme_Grunddaten!AH324="Ja",1,0),"")</f>
        <v/>
      </c>
      <c r="AA319" s="1" t="str">
        <f>IF(AND(Programme_Grunddaten!$A324="Geprüft",Programme_Grunddaten!AI324&lt;&gt;""),IF(Programme_Grunddaten!AI324="Ja",1,0),"")</f>
        <v/>
      </c>
      <c r="AB319" s="1" t="str">
        <f>IF(AND(Programme_Grunddaten!$A324="Geprüft",Programme_Grunddaten!AJ324&lt;&gt;""),IF(Programme_Grunddaten!AJ324="individuell programmierbar",1,0),"")</f>
        <v/>
      </c>
      <c r="AC319" s="1" t="str">
        <f>IF(AND(Programme_Grunddaten!$A324="Geprüft",Programme_Grunddaten!AK324&lt;&gt;""),IF(Programme_Grunddaten!AK324="Deutsch",0,IF(Programme_Grunddaten!AK324="Deutsch und Englisch",1,2)),"")</f>
        <v/>
      </c>
      <c r="AD319" s="1" t="str">
        <f>IF(AND(Programme_Grunddaten!$A324="Geprüft",Programme_Grunddaten!AL324&lt;&gt;""),IF(Programme_Grunddaten!AL324="Ja",1,0),"")</f>
        <v/>
      </c>
      <c r="AE319" s="1" t="str">
        <f>IF(AND(Programme_Grunddaten!$A324="Geprüft",Programme_Grunddaten!AM324&lt;&gt;""),IF(Programme_Grunddaten!AM324="Ja",1,0),"")</f>
        <v/>
      </c>
      <c r="AF319" s="1" t="str">
        <f>IF(AND(Programme_Grunddaten!$A324="Geprüft",Programme_Grunddaten!AN324&lt;&gt;""),IF(Programme_Grunddaten!AN324="Ja",1,0),"")</f>
        <v/>
      </c>
      <c r="AG319" s="1" t="str">
        <f>IF(AND(Programme_Grunddaten!$A324="Geprüft",Programme_Grunddaten!AO324&lt;&gt;""),IF(Programme_Grunddaten!AO324="Ja",1,0),"")</f>
        <v/>
      </c>
      <c r="AH319" s="1" t="str">
        <f>IF(AND(Programme_Grunddaten!$A324="Geprüft",Programme_Grunddaten!AP324&lt;&gt;""),IF(Programme_Grunddaten!AP324="Ja",1,0),"")</f>
        <v/>
      </c>
      <c r="AI319" s="1" t="str">
        <f>IF(AND(Programme_Grunddaten!$A324="Geprüft",Programme_Grunddaten!AQ324&lt;&gt;""),IF(Programme_Grunddaten!AQ324="Ja",1,0),"")</f>
        <v/>
      </c>
      <c r="AJ319" s="1" t="str">
        <f>IF(AND(Programme_Grunddaten!$A324="Geprüft",Programme_Grunddaten!AR324&lt;&gt;""),IF(Programme_Grunddaten!AR324="Ja",1,0),"")</f>
        <v/>
      </c>
      <c r="AK319" s="1" t="str">
        <f>IF(AND(Programme_Grunddaten!$A324="Geprüft",Programme_Grunddaten!AS324&lt;&gt;""),IF(Programme_Grunddaten!AS324="Ja",1,0),"")</f>
        <v/>
      </c>
      <c r="AL319" s="1" t="str">
        <f>IF(AND(Programme_Grunddaten!$A324="Geprüft",Programme_Grunddaten!AT324&lt;&gt;""),IF(Programme_Grunddaten!AT324="Ja",1,0),"")</f>
        <v/>
      </c>
      <c r="AM319" s="1" t="str">
        <f>IF(AND(Programme_Grunddaten!$A324="Geprüft",Programme_Grunddaten!AU324&lt;&gt;""),IF(Programme_Grunddaten!AU324="Ja",1,0),"")</f>
        <v/>
      </c>
      <c r="AN319" s="1" t="str">
        <f>IF(AND(Programme_Grunddaten!$A324="Geprüft",Programme_Grunddaten!AV324&lt;&gt;""),IF(Programme_Grunddaten!AV324="Ja",1,0),"")</f>
        <v/>
      </c>
    </row>
    <row r="320" spans="1:40" x14ac:dyDescent="0.3">
      <c r="A320" s="1" t="str">
        <f>IF(AND(Programme_Grunddaten!A325="Geprüft",Programme_Grunddaten!B325&lt;&gt;""),Programme_Grunddaten!B325,"")</f>
        <v/>
      </c>
      <c r="B320" s="1" t="str">
        <f>IF(AND(Programme_Grunddaten!$A325="Geprüft",Programme_Grunddaten!I325&lt;&gt;""),IF(Programme_Grunddaten!I325="Ja",1,0),"")</f>
        <v/>
      </c>
      <c r="C320" s="1" t="str">
        <f>IF(AND(Programme_Grunddaten!$A325="Geprüft",Programme_Grunddaten!J325&lt;&gt;""),IF(Programme_Grunddaten!J325="Ja",1,0),"")</f>
        <v/>
      </c>
      <c r="D320" s="1" t="str">
        <f>IF(AND(Programme_Grunddaten!$A325="Geprüft",Programme_Grunddaten!K325&lt;&gt;""),IF(Programme_Grunddaten!K325="Ja",1,0),"")</f>
        <v/>
      </c>
      <c r="E320" s="1" t="str">
        <f>IF(AND(Programme_Grunddaten!$A325="Geprüft",Programme_Grunddaten!L325&lt;&gt;""),IF(Programme_Grunddaten!L325="Abo / befristete Lizenz",1,0),"")</f>
        <v/>
      </c>
      <c r="F320" s="1" t="str">
        <f>IF(AND(Programme_Grunddaten!$A325="Geprüft",Programme_Grunddaten!M325&lt;&gt;""),IF(Programme_Grunddaten!M325="Ja",1,0),"")</f>
        <v/>
      </c>
      <c r="G320" s="1" t="str">
        <f>IF(AND(Programme_Grunddaten!$A325="Geprüft",Programme_Grunddaten!N325&lt;&gt;""),IF(Programme_Grunddaten!N325="Ja",1,0),"")</f>
        <v/>
      </c>
      <c r="H320" s="1" t="str">
        <f>IF(AND(Programme_Grunddaten!$A325="Geprüft",Programme_Grunddaten!O325&lt;&gt;""),IF(Programme_Grunddaten!O325="Deutschland",0,IF(Programme_Grunddaten!O325="EU",1,2)),"")</f>
        <v/>
      </c>
      <c r="I320" s="1" t="str">
        <f>IF(AND(Programme_Grunddaten!$A325="Geprüft",Programme_Grunddaten!P325&lt;&gt;""),IF(Programme_Grunddaten!P325="Ja",1,0),"")</f>
        <v/>
      </c>
      <c r="J320" s="1" t="str">
        <f>IF(AND(Programme_Grunddaten!$A325="Geprüft",Programme_Grunddaten!Q325&lt;&gt;""),IF(Programme_Grunddaten!Q325="geschlossenes System",1,0),"")</f>
        <v/>
      </c>
      <c r="K320" s="1" t="str">
        <f>IF(AND(Programme_Grunddaten!$A325="Geprüft",Programme_Grunddaten!R325&lt;&gt;""),IF(Programme_Grunddaten!R325="Ja",1,0),"")</f>
        <v/>
      </c>
      <c r="L320" s="1" t="str">
        <f>IF(AND(Programme_Grunddaten!$A325="Geprüft",Programme_Grunddaten!T325&lt;&gt;""),IF(Programme_Grunddaten!T325="Ja",1,0),"")</f>
        <v/>
      </c>
      <c r="M320" s="1" t="str">
        <f>IF(AND(Programme_Grunddaten!$A325="Geprüft",Programme_Grunddaten!U325&lt;&gt;""),IF(Programme_Grunddaten!U325="Ja",1,0),"")</f>
        <v/>
      </c>
      <c r="N320" s="1" t="str">
        <f>IF(AND(Programme_Grunddaten!$A325="Geprüft",Programme_Grunddaten!V325&lt;&gt;""),IF(Programme_Grunddaten!V325="Ja",1,0),"")</f>
        <v/>
      </c>
      <c r="O320" s="1" t="str">
        <f>IF(AND(Programme_Grunddaten!$A325="Geprüft",Programme_Grunddaten!W325&lt;&gt;""),IF(Programme_Grunddaten!W325="Ja",1,0),"")</f>
        <v/>
      </c>
      <c r="P320" s="1" t="str">
        <f>IF(AND(Programme_Grunddaten!$A325="Geprüft",Programme_Grunddaten!X325&lt;&gt;""),IF(Programme_Grunddaten!X325="Ja",1,0),"")</f>
        <v/>
      </c>
      <c r="Q320" s="1" t="str">
        <f>IF(AND(Programme_Grunddaten!$A325="Geprüft",Programme_Grunddaten!Y325&lt;&gt;""),IF(Programme_Grunddaten!Y325="Ja",1,0),"")</f>
        <v/>
      </c>
      <c r="R320" s="1" t="str">
        <f>IF(AND(Programme_Grunddaten!$A325="Geprüft",Programme_Grunddaten!Z325&lt;&gt;""),IF(Programme_Grunddaten!Z325="Ja",1,0),"")</f>
        <v/>
      </c>
      <c r="S320" s="1" t="str">
        <f>IF(AND(Programme_Grunddaten!$A325="Geprüft",Programme_Grunddaten!AA325&lt;&gt;""),IF(Programme_Grunddaten!AA325="monolithisch",1,0),"")</f>
        <v/>
      </c>
      <c r="T320" s="1" t="str">
        <f>IF(AND(Programme_Grunddaten!$A325="Geprüft",Programme_Grunddaten!AB325&lt;&gt;""),IF(Programme_Grunddaten!AB325="Ja",1,0),"")</f>
        <v/>
      </c>
      <c r="U320" s="1" t="str">
        <f>IF(AND(Programme_Grunddaten!$A325="Geprüft",Programme_Grunddaten!AC325&lt;&gt;""),IF(Programme_Grunddaten!AC325="Ja",1,0),"")</f>
        <v/>
      </c>
      <c r="V320" s="1" t="str">
        <f>IF(AND(Programme_Grunddaten!$A325="Geprüft",Programme_Grunddaten!AD325&lt;&gt;""),IF(Programme_Grunddaten!AD325="Ja",1,0),"")</f>
        <v/>
      </c>
      <c r="W320" s="1" t="str">
        <f>IF(AND(Programme_Grunddaten!$A325="Geprüft",Programme_Grunddaten!AE325&lt;&gt;""),IF(Programme_Grunddaten!AE325="Ja",1,0),"")</f>
        <v/>
      </c>
      <c r="X320" s="1" t="str">
        <f>IF(AND(Programme_Grunddaten!$A325="Geprüft",Programme_Grunddaten!AF325&lt;&gt;""),IF(Programme_Grunddaten!AF325="Ja",1,0),"")</f>
        <v/>
      </c>
      <c r="Y320" s="1" t="str">
        <f>IF(AND(Programme_Grunddaten!$A325="Geprüft",Programme_Grunddaten!AG325&lt;&gt;""),IF(Programme_Grunddaten!AG325="Ja",1,0),"")</f>
        <v/>
      </c>
      <c r="Z320" s="1" t="str">
        <f>IF(AND(Programme_Grunddaten!$A325="Geprüft",Programme_Grunddaten!AH325&lt;&gt;""),IF(Programme_Grunddaten!AH325="Ja",1,0),"")</f>
        <v/>
      </c>
      <c r="AA320" s="1" t="str">
        <f>IF(AND(Programme_Grunddaten!$A325="Geprüft",Programme_Grunddaten!AI325&lt;&gt;""),IF(Programme_Grunddaten!AI325="Ja",1,0),"")</f>
        <v/>
      </c>
      <c r="AB320" s="1" t="str">
        <f>IF(AND(Programme_Grunddaten!$A325="Geprüft",Programme_Grunddaten!AJ325&lt;&gt;""),IF(Programme_Grunddaten!AJ325="individuell programmierbar",1,0),"")</f>
        <v/>
      </c>
      <c r="AC320" s="1" t="str">
        <f>IF(AND(Programme_Grunddaten!$A325="Geprüft",Programme_Grunddaten!AK325&lt;&gt;""),IF(Programme_Grunddaten!AK325="Deutsch",0,IF(Programme_Grunddaten!AK325="Deutsch und Englisch",1,2)),"")</f>
        <v/>
      </c>
      <c r="AD320" s="1" t="str">
        <f>IF(AND(Programme_Grunddaten!$A325="Geprüft",Programme_Grunddaten!AL325&lt;&gt;""),IF(Programme_Grunddaten!AL325="Ja",1,0),"")</f>
        <v/>
      </c>
      <c r="AE320" s="1" t="str">
        <f>IF(AND(Programme_Grunddaten!$A325="Geprüft",Programme_Grunddaten!AM325&lt;&gt;""),IF(Programme_Grunddaten!AM325="Ja",1,0),"")</f>
        <v/>
      </c>
      <c r="AF320" s="1" t="str">
        <f>IF(AND(Programme_Grunddaten!$A325="Geprüft",Programme_Grunddaten!AN325&lt;&gt;""),IF(Programme_Grunddaten!AN325="Ja",1,0),"")</f>
        <v/>
      </c>
      <c r="AG320" s="1" t="str">
        <f>IF(AND(Programme_Grunddaten!$A325="Geprüft",Programme_Grunddaten!AO325&lt;&gt;""),IF(Programme_Grunddaten!AO325="Ja",1,0),"")</f>
        <v/>
      </c>
      <c r="AH320" s="1" t="str">
        <f>IF(AND(Programme_Grunddaten!$A325="Geprüft",Programme_Grunddaten!AP325&lt;&gt;""),IF(Programme_Grunddaten!AP325="Ja",1,0),"")</f>
        <v/>
      </c>
      <c r="AI320" s="1" t="str">
        <f>IF(AND(Programme_Grunddaten!$A325="Geprüft",Programme_Grunddaten!AQ325&lt;&gt;""),IF(Programme_Grunddaten!AQ325="Ja",1,0),"")</f>
        <v/>
      </c>
      <c r="AJ320" s="1" t="str">
        <f>IF(AND(Programme_Grunddaten!$A325="Geprüft",Programme_Grunddaten!AR325&lt;&gt;""),IF(Programme_Grunddaten!AR325="Ja",1,0),"")</f>
        <v/>
      </c>
      <c r="AK320" s="1" t="str">
        <f>IF(AND(Programme_Grunddaten!$A325="Geprüft",Programme_Grunddaten!AS325&lt;&gt;""),IF(Programme_Grunddaten!AS325="Ja",1,0),"")</f>
        <v/>
      </c>
      <c r="AL320" s="1" t="str">
        <f>IF(AND(Programme_Grunddaten!$A325="Geprüft",Programme_Grunddaten!AT325&lt;&gt;""),IF(Programme_Grunddaten!AT325="Ja",1,0),"")</f>
        <v/>
      </c>
      <c r="AM320" s="1" t="str">
        <f>IF(AND(Programme_Grunddaten!$A325="Geprüft",Programme_Grunddaten!AU325&lt;&gt;""),IF(Programme_Grunddaten!AU325="Ja",1,0),"")</f>
        <v/>
      </c>
      <c r="AN320" s="1" t="str">
        <f>IF(AND(Programme_Grunddaten!$A325="Geprüft",Programme_Grunddaten!AV325&lt;&gt;""),IF(Programme_Grunddaten!AV325="Ja",1,0),"")</f>
        <v/>
      </c>
    </row>
    <row r="321" spans="1:40" x14ac:dyDescent="0.3">
      <c r="A321" s="1" t="str">
        <f>IF(AND(Programme_Grunddaten!A326="Geprüft",Programme_Grunddaten!B326&lt;&gt;""),Programme_Grunddaten!B326,"")</f>
        <v/>
      </c>
      <c r="B321" s="1" t="str">
        <f>IF(AND(Programme_Grunddaten!$A326="Geprüft",Programme_Grunddaten!I326&lt;&gt;""),IF(Programme_Grunddaten!I326="Ja",1,0),"")</f>
        <v/>
      </c>
      <c r="C321" s="1" t="str">
        <f>IF(AND(Programme_Grunddaten!$A326="Geprüft",Programme_Grunddaten!J326&lt;&gt;""),IF(Programme_Grunddaten!J326="Ja",1,0),"")</f>
        <v/>
      </c>
      <c r="D321" s="1" t="str">
        <f>IF(AND(Programme_Grunddaten!$A326="Geprüft",Programme_Grunddaten!K326&lt;&gt;""),IF(Programme_Grunddaten!K326="Ja",1,0),"")</f>
        <v/>
      </c>
      <c r="E321" s="1" t="str">
        <f>IF(AND(Programme_Grunddaten!$A326="Geprüft",Programme_Grunddaten!L326&lt;&gt;""),IF(Programme_Grunddaten!L326="Abo / befristete Lizenz",1,0),"")</f>
        <v/>
      </c>
      <c r="F321" s="1" t="str">
        <f>IF(AND(Programme_Grunddaten!$A326="Geprüft",Programme_Grunddaten!M326&lt;&gt;""),IF(Programme_Grunddaten!M326="Ja",1,0),"")</f>
        <v/>
      </c>
      <c r="G321" s="1" t="str">
        <f>IF(AND(Programme_Grunddaten!$A326="Geprüft",Programme_Grunddaten!N326&lt;&gt;""),IF(Programme_Grunddaten!N326="Ja",1,0),"")</f>
        <v/>
      </c>
      <c r="H321" s="1" t="str">
        <f>IF(AND(Programme_Grunddaten!$A326="Geprüft",Programme_Grunddaten!O326&lt;&gt;""),IF(Programme_Grunddaten!O326="Deutschland",0,IF(Programme_Grunddaten!O326="EU",1,2)),"")</f>
        <v/>
      </c>
      <c r="I321" s="1" t="str">
        <f>IF(AND(Programme_Grunddaten!$A326="Geprüft",Programme_Grunddaten!P326&lt;&gt;""),IF(Programme_Grunddaten!P326="Ja",1,0),"")</f>
        <v/>
      </c>
      <c r="J321" s="1" t="str">
        <f>IF(AND(Programme_Grunddaten!$A326="Geprüft",Programme_Grunddaten!Q326&lt;&gt;""),IF(Programme_Grunddaten!Q326="geschlossenes System",1,0),"")</f>
        <v/>
      </c>
      <c r="K321" s="1" t="str">
        <f>IF(AND(Programme_Grunddaten!$A326="Geprüft",Programme_Grunddaten!R326&lt;&gt;""),IF(Programme_Grunddaten!R326="Ja",1,0),"")</f>
        <v/>
      </c>
      <c r="L321" s="1" t="str">
        <f>IF(AND(Programme_Grunddaten!$A326="Geprüft",Programme_Grunddaten!T326&lt;&gt;""),IF(Programme_Grunddaten!T326="Ja",1,0),"")</f>
        <v/>
      </c>
      <c r="M321" s="1" t="str">
        <f>IF(AND(Programme_Grunddaten!$A326="Geprüft",Programme_Grunddaten!U326&lt;&gt;""),IF(Programme_Grunddaten!U326="Ja",1,0),"")</f>
        <v/>
      </c>
      <c r="N321" s="1" t="str">
        <f>IF(AND(Programme_Grunddaten!$A326="Geprüft",Programme_Grunddaten!V326&lt;&gt;""),IF(Programme_Grunddaten!V326="Ja",1,0),"")</f>
        <v/>
      </c>
      <c r="O321" s="1" t="str">
        <f>IF(AND(Programme_Grunddaten!$A326="Geprüft",Programme_Grunddaten!W326&lt;&gt;""),IF(Programme_Grunddaten!W326="Ja",1,0),"")</f>
        <v/>
      </c>
      <c r="P321" s="1" t="str">
        <f>IF(AND(Programme_Grunddaten!$A326="Geprüft",Programme_Grunddaten!X326&lt;&gt;""),IF(Programme_Grunddaten!X326="Ja",1,0),"")</f>
        <v/>
      </c>
      <c r="Q321" s="1" t="str">
        <f>IF(AND(Programme_Grunddaten!$A326="Geprüft",Programme_Grunddaten!Y326&lt;&gt;""),IF(Programme_Grunddaten!Y326="Ja",1,0),"")</f>
        <v/>
      </c>
      <c r="R321" s="1" t="str">
        <f>IF(AND(Programme_Grunddaten!$A326="Geprüft",Programme_Grunddaten!Z326&lt;&gt;""),IF(Programme_Grunddaten!Z326="Ja",1,0),"")</f>
        <v/>
      </c>
      <c r="S321" s="1" t="str">
        <f>IF(AND(Programme_Grunddaten!$A326="Geprüft",Programme_Grunddaten!AA326&lt;&gt;""),IF(Programme_Grunddaten!AA326="monolithisch",1,0),"")</f>
        <v/>
      </c>
      <c r="T321" s="1" t="str">
        <f>IF(AND(Programme_Grunddaten!$A326="Geprüft",Programme_Grunddaten!AB326&lt;&gt;""),IF(Programme_Grunddaten!AB326="Ja",1,0),"")</f>
        <v/>
      </c>
      <c r="U321" s="1" t="str">
        <f>IF(AND(Programme_Grunddaten!$A326="Geprüft",Programme_Grunddaten!AC326&lt;&gt;""),IF(Programme_Grunddaten!AC326="Ja",1,0),"")</f>
        <v/>
      </c>
      <c r="V321" s="1" t="str">
        <f>IF(AND(Programme_Grunddaten!$A326="Geprüft",Programme_Grunddaten!AD326&lt;&gt;""),IF(Programme_Grunddaten!AD326="Ja",1,0),"")</f>
        <v/>
      </c>
      <c r="W321" s="1" t="str">
        <f>IF(AND(Programme_Grunddaten!$A326="Geprüft",Programme_Grunddaten!AE326&lt;&gt;""),IF(Programme_Grunddaten!AE326="Ja",1,0),"")</f>
        <v/>
      </c>
      <c r="X321" s="1" t="str">
        <f>IF(AND(Programme_Grunddaten!$A326="Geprüft",Programme_Grunddaten!AF326&lt;&gt;""),IF(Programme_Grunddaten!AF326="Ja",1,0),"")</f>
        <v/>
      </c>
      <c r="Y321" s="1" t="str">
        <f>IF(AND(Programme_Grunddaten!$A326="Geprüft",Programme_Grunddaten!AG326&lt;&gt;""),IF(Programme_Grunddaten!AG326="Ja",1,0),"")</f>
        <v/>
      </c>
      <c r="Z321" s="1" t="str">
        <f>IF(AND(Programme_Grunddaten!$A326="Geprüft",Programme_Grunddaten!AH326&lt;&gt;""),IF(Programme_Grunddaten!AH326="Ja",1,0),"")</f>
        <v/>
      </c>
      <c r="AA321" s="1" t="str">
        <f>IF(AND(Programme_Grunddaten!$A326="Geprüft",Programme_Grunddaten!AI326&lt;&gt;""),IF(Programme_Grunddaten!AI326="Ja",1,0),"")</f>
        <v/>
      </c>
      <c r="AB321" s="1" t="str">
        <f>IF(AND(Programme_Grunddaten!$A326="Geprüft",Programme_Grunddaten!AJ326&lt;&gt;""),IF(Programme_Grunddaten!AJ326="individuell programmierbar",1,0),"")</f>
        <v/>
      </c>
      <c r="AC321" s="1" t="str">
        <f>IF(AND(Programme_Grunddaten!$A326="Geprüft",Programme_Grunddaten!AK326&lt;&gt;""),IF(Programme_Grunddaten!AK326="Deutsch",0,IF(Programme_Grunddaten!AK326="Deutsch und Englisch",1,2)),"")</f>
        <v/>
      </c>
      <c r="AD321" s="1" t="str">
        <f>IF(AND(Programme_Grunddaten!$A326="Geprüft",Programme_Grunddaten!AL326&lt;&gt;""),IF(Programme_Grunddaten!AL326="Ja",1,0),"")</f>
        <v/>
      </c>
      <c r="AE321" s="1" t="str">
        <f>IF(AND(Programme_Grunddaten!$A326="Geprüft",Programme_Grunddaten!AM326&lt;&gt;""),IF(Programme_Grunddaten!AM326="Ja",1,0),"")</f>
        <v/>
      </c>
      <c r="AF321" s="1" t="str">
        <f>IF(AND(Programme_Grunddaten!$A326="Geprüft",Programme_Grunddaten!AN326&lt;&gt;""),IF(Programme_Grunddaten!AN326="Ja",1,0),"")</f>
        <v/>
      </c>
      <c r="AG321" s="1" t="str">
        <f>IF(AND(Programme_Grunddaten!$A326="Geprüft",Programme_Grunddaten!AO326&lt;&gt;""),IF(Programme_Grunddaten!AO326="Ja",1,0),"")</f>
        <v/>
      </c>
      <c r="AH321" s="1" t="str">
        <f>IF(AND(Programme_Grunddaten!$A326="Geprüft",Programme_Grunddaten!AP326&lt;&gt;""),IF(Programme_Grunddaten!AP326="Ja",1,0),"")</f>
        <v/>
      </c>
      <c r="AI321" s="1" t="str">
        <f>IF(AND(Programme_Grunddaten!$A326="Geprüft",Programme_Grunddaten!AQ326&lt;&gt;""),IF(Programme_Grunddaten!AQ326="Ja",1,0),"")</f>
        <v/>
      </c>
      <c r="AJ321" s="1" t="str">
        <f>IF(AND(Programme_Grunddaten!$A326="Geprüft",Programme_Grunddaten!AR326&lt;&gt;""),IF(Programme_Grunddaten!AR326="Ja",1,0),"")</f>
        <v/>
      </c>
      <c r="AK321" s="1" t="str">
        <f>IF(AND(Programme_Grunddaten!$A326="Geprüft",Programme_Grunddaten!AS326&lt;&gt;""),IF(Programme_Grunddaten!AS326="Ja",1,0),"")</f>
        <v/>
      </c>
      <c r="AL321" s="1" t="str">
        <f>IF(AND(Programme_Grunddaten!$A326="Geprüft",Programme_Grunddaten!AT326&lt;&gt;""),IF(Programme_Grunddaten!AT326="Ja",1,0),"")</f>
        <v/>
      </c>
      <c r="AM321" s="1" t="str">
        <f>IF(AND(Programme_Grunddaten!$A326="Geprüft",Programme_Grunddaten!AU326&lt;&gt;""),IF(Programme_Grunddaten!AU326="Ja",1,0),"")</f>
        <v/>
      </c>
      <c r="AN321" s="1" t="str">
        <f>IF(AND(Programme_Grunddaten!$A326="Geprüft",Programme_Grunddaten!AV326&lt;&gt;""),IF(Programme_Grunddaten!AV326="Ja",1,0),"")</f>
        <v/>
      </c>
    </row>
    <row r="322" spans="1:40" x14ac:dyDescent="0.3">
      <c r="A322" s="1" t="str">
        <f>IF(AND(Programme_Grunddaten!A327="Geprüft",Programme_Grunddaten!B327&lt;&gt;""),Programme_Grunddaten!B327,"")</f>
        <v/>
      </c>
      <c r="B322" s="1" t="str">
        <f>IF(AND(Programme_Grunddaten!$A327="Geprüft",Programme_Grunddaten!I327&lt;&gt;""),IF(Programme_Grunddaten!I327="Ja",1,0),"")</f>
        <v/>
      </c>
      <c r="C322" s="1" t="str">
        <f>IF(AND(Programme_Grunddaten!$A327="Geprüft",Programme_Grunddaten!J327&lt;&gt;""),IF(Programme_Grunddaten!J327="Ja",1,0),"")</f>
        <v/>
      </c>
      <c r="D322" s="1" t="str">
        <f>IF(AND(Programme_Grunddaten!$A327="Geprüft",Programme_Grunddaten!K327&lt;&gt;""),IF(Programme_Grunddaten!K327="Ja",1,0),"")</f>
        <v/>
      </c>
      <c r="E322" s="1" t="str">
        <f>IF(AND(Programme_Grunddaten!$A327="Geprüft",Programme_Grunddaten!L327&lt;&gt;""),IF(Programme_Grunddaten!L327="Abo / befristete Lizenz",1,0),"")</f>
        <v/>
      </c>
      <c r="F322" s="1" t="str">
        <f>IF(AND(Programme_Grunddaten!$A327="Geprüft",Programme_Grunddaten!M327&lt;&gt;""),IF(Programme_Grunddaten!M327="Ja",1,0),"")</f>
        <v/>
      </c>
      <c r="G322" s="1" t="str">
        <f>IF(AND(Programme_Grunddaten!$A327="Geprüft",Programme_Grunddaten!N327&lt;&gt;""),IF(Programme_Grunddaten!N327="Ja",1,0),"")</f>
        <v/>
      </c>
      <c r="H322" s="1" t="str">
        <f>IF(AND(Programme_Grunddaten!$A327="Geprüft",Programme_Grunddaten!O327&lt;&gt;""),IF(Programme_Grunddaten!O327="Deutschland",0,IF(Programme_Grunddaten!O327="EU",1,2)),"")</f>
        <v/>
      </c>
      <c r="I322" s="1" t="str">
        <f>IF(AND(Programme_Grunddaten!$A327="Geprüft",Programme_Grunddaten!P327&lt;&gt;""),IF(Programme_Grunddaten!P327="Ja",1,0),"")</f>
        <v/>
      </c>
      <c r="J322" s="1" t="str">
        <f>IF(AND(Programme_Grunddaten!$A327="Geprüft",Programme_Grunddaten!Q327&lt;&gt;""),IF(Programme_Grunddaten!Q327="geschlossenes System",1,0),"")</f>
        <v/>
      </c>
      <c r="K322" s="1" t="str">
        <f>IF(AND(Programme_Grunddaten!$A327="Geprüft",Programme_Grunddaten!R327&lt;&gt;""),IF(Programme_Grunddaten!R327="Ja",1,0),"")</f>
        <v/>
      </c>
      <c r="L322" s="1" t="str">
        <f>IF(AND(Programme_Grunddaten!$A327="Geprüft",Programme_Grunddaten!T327&lt;&gt;""),IF(Programme_Grunddaten!T327="Ja",1,0),"")</f>
        <v/>
      </c>
      <c r="M322" s="1" t="str">
        <f>IF(AND(Programme_Grunddaten!$A327="Geprüft",Programme_Grunddaten!U327&lt;&gt;""),IF(Programme_Grunddaten!U327="Ja",1,0),"")</f>
        <v/>
      </c>
      <c r="N322" s="1" t="str">
        <f>IF(AND(Programme_Grunddaten!$A327="Geprüft",Programme_Grunddaten!V327&lt;&gt;""),IF(Programme_Grunddaten!V327="Ja",1,0),"")</f>
        <v/>
      </c>
      <c r="O322" s="1" t="str">
        <f>IF(AND(Programme_Grunddaten!$A327="Geprüft",Programme_Grunddaten!W327&lt;&gt;""),IF(Programme_Grunddaten!W327="Ja",1,0),"")</f>
        <v/>
      </c>
      <c r="P322" s="1" t="str">
        <f>IF(AND(Programme_Grunddaten!$A327="Geprüft",Programme_Grunddaten!X327&lt;&gt;""),IF(Programme_Grunddaten!X327="Ja",1,0),"")</f>
        <v/>
      </c>
      <c r="Q322" s="1" t="str">
        <f>IF(AND(Programme_Grunddaten!$A327="Geprüft",Programme_Grunddaten!Y327&lt;&gt;""),IF(Programme_Grunddaten!Y327="Ja",1,0),"")</f>
        <v/>
      </c>
      <c r="R322" s="1" t="str">
        <f>IF(AND(Programme_Grunddaten!$A327="Geprüft",Programme_Grunddaten!Z327&lt;&gt;""),IF(Programme_Grunddaten!Z327="Ja",1,0),"")</f>
        <v/>
      </c>
      <c r="S322" s="1" t="str">
        <f>IF(AND(Programme_Grunddaten!$A327="Geprüft",Programme_Grunddaten!AA327&lt;&gt;""),IF(Programme_Grunddaten!AA327="monolithisch",1,0),"")</f>
        <v/>
      </c>
      <c r="T322" s="1" t="str">
        <f>IF(AND(Programme_Grunddaten!$A327="Geprüft",Programme_Grunddaten!AB327&lt;&gt;""),IF(Programme_Grunddaten!AB327="Ja",1,0),"")</f>
        <v/>
      </c>
      <c r="U322" s="1" t="str">
        <f>IF(AND(Programme_Grunddaten!$A327="Geprüft",Programme_Grunddaten!AC327&lt;&gt;""),IF(Programme_Grunddaten!AC327="Ja",1,0),"")</f>
        <v/>
      </c>
      <c r="V322" s="1" t="str">
        <f>IF(AND(Programme_Grunddaten!$A327="Geprüft",Programme_Grunddaten!AD327&lt;&gt;""),IF(Programme_Grunddaten!AD327="Ja",1,0),"")</f>
        <v/>
      </c>
      <c r="W322" s="1" t="str">
        <f>IF(AND(Programme_Grunddaten!$A327="Geprüft",Programme_Grunddaten!AE327&lt;&gt;""),IF(Programme_Grunddaten!AE327="Ja",1,0),"")</f>
        <v/>
      </c>
      <c r="X322" s="1" t="str">
        <f>IF(AND(Programme_Grunddaten!$A327="Geprüft",Programme_Grunddaten!AF327&lt;&gt;""),IF(Programme_Grunddaten!AF327="Ja",1,0),"")</f>
        <v/>
      </c>
      <c r="Y322" s="1" t="str">
        <f>IF(AND(Programme_Grunddaten!$A327="Geprüft",Programme_Grunddaten!AG327&lt;&gt;""),IF(Programme_Grunddaten!AG327="Ja",1,0),"")</f>
        <v/>
      </c>
      <c r="Z322" s="1" t="str">
        <f>IF(AND(Programme_Grunddaten!$A327="Geprüft",Programme_Grunddaten!AH327&lt;&gt;""),IF(Programme_Grunddaten!AH327="Ja",1,0),"")</f>
        <v/>
      </c>
      <c r="AA322" s="1" t="str">
        <f>IF(AND(Programme_Grunddaten!$A327="Geprüft",Programme_Grunddaten!AI327&lt;&gt;""),IF(Programme_Grunddaten!AI327="Ja",1,0),"")</f>
        <v/>
      </c>
      <c r="AB322" s="1" t="str">
        <f>IF(AND(Programme_Grunddaten!$A327="Geprüft",Programme_Grunddaten!AJ327&lt;&gt;""),IF(Programme_Grunddaten!AJ327="individuell programmierbar",1,0),"")</f>
        <v/>
      </c>
      <c r="AC322" s="1" t="str">
        <f>IF(AND(Programme_Grunddaten!$A327="Geprüft",Programme_Grunddaten!AK327&lt;&gt;""),IF(Programme_Grunddaten!AK327="Deutsch",0,IF(Programme_Grunddaten!AK327="Deutsch und Englisch",1,2)),"")</f>
        <v/>
      </c>
      <c r="AD322" s="1" t="str">
        <f>IF(AND(Programme_Grunddaten!$A327="Geprüft",Programme_Grunddaten!AL327&lt;&gt;""),IF(Programme_Grunddaten!AL327="Ja",1,0),"")</f>
        <v/>
      </c>
      <c r="AE322" s="1" t="str">
        <f>IF(AND(Programme_Grunddaten!$A327="Geprüft",Programme_Grunddaten!AM327&lt;&gt;""),IF(Programme_Grunddaten!AM327="Ja",1,0),"")</f>
        <v/>
      </c>
      <c r="AF322" s="1" t="str">
        <f>IF(AND(Programme_Grunddaten!$A327="Geprüft",Programme_Grunddaten!AN327&lt;&gt;""),IF(Programme_Grunddaten!AN327="Ja",1,0),"")</f>
        <v/>
      </c>
      <c r="AG322" s="1" t="str">
        <f>IF(AND(Programme_Grunddaten!$A327="Geprüft",Programme_Grunddaten!AO327&lt;&gt;""),IF(Programme_Grunddaten!AO327="Ja",1,0),"")</f>
        <v/>
      </c>
      <c r="AH322" s="1" t="str">
        <f>IF(AND(Programme_Grunddaten!$A327="Geprüft",Programme_Grunddaten!AP327&lt;&gt;""),IF(Programme_Grunddaten!AP327="Ja",1,0),"")</f>
        <v/>
      </c>
      <c r="AI322" s="1" t="str">
        <f>IF(AND(Programme_Grunddaten!$A327="Geprüft",Programme_Grunddaten!AQ327&lt;&gt;""),IF(Programme_Grunddaten!AQ327="Ja",1,0),"")</f>
        <v/>
      </c>
      <c r="AJ322" s="1" t="str">
        <f>IF(AND(Programme_Grunddaten!$A327="Geprüft",Programme_Grunddaten!AR327&lt;&gt;""),IF(Programme_Grunddaten!AR327="Ja",1,0),"")</f>
        <v/>
      </c>
      <c r="AK322" s="1" t="str">
        <f>IF(AND(Programme_Grunddaten!$A327="Geprüft",Programme_Grunddaten!AS327&lt;&gt;""),IF(Programme_Grunddaten!AS327="Ja",1,0),"")</f>
        <v/>
      </c>
      <c r="AL322" s="1" t="str">
        <f>IF(AND(Programme_Grunddaten!$A327="Geprüft",Programme_Grunddaten!AT327&lt;&gt;""),IF(Programme_Grunddaten!AT327="Ja",1,0),"")</f>
        <v/>
      </c>
      <c r="AM322" s="1" t="str">
        <f>IF(AND(Programme_Grunddaten!$A327="Geprüft",Programme_Grunddaten!AU327&lt;&gt;""),IF(Programme_Grunddaten!AU327="Ja",1,0),"")</f>
        <v/>
      </c>
      <c r="AN322" s="1" t="str">
        <f>IF(AND(Programme_Grunddaten!$A327="Geprüft",Programme_Grunddaten!AV327&lt;&gt;""),IF(Programme_Grunddaten!AV327="Ja",1,0),"")</f>
        <v/>
      </c>
    </row>
    <row r="323" spans="1:40" x14ac:dyDescent="0.3">
      <c r="A323" s="1" t="str">
        <f>IF(AND(Programme_Grunddaten!A328="Geprüft",Programme_Grunddaten!B328&lt;&gt;""),Programme_Grunddaten!B328,"")</f>
        <v/>
      </c>
      <c r="B323" s="1" t="str">
        <f>IF(AND(Programme_Grunddaten!$A328="Geprüft",Programme_Grunddaten!I328&lt;&gt;""),IF(Programme_Grunddaten!I328="Ja",1,0),"")</f>
        <v/>
      </c>
      <c r="C323" s="1" t="str">
        <f>IF(AND(Programme_Grunddaten!$A328="Geprüft",Programme_Grunddaten!J328&lt;&gt;""),IF(Programme_Grunddaten!J328="Ja",1,0),"")</f>
        <v/>
      </c>
      <c r="D323" s="1" t="str">
        <f>IF(AND(Programme_Grunddaten!$A328="Geprüft",Programme_Grunddaten!K328&lt;&gt;""),IF(Programme_Grunddaten!K328="Ja",1,0),"")</f>
        <v/>
      </c>
      <c r="E323" s="1" t="str">
        <f>IF(AND(Programme_Grunddaten!$A328="Geprüft",Programme_Grunddaten!L328&lt;&gt;""),IF(Programme_Grunddaten!L328="Abo / befristete Lizenz",1,0),"")</f>
        <v/>
      </c>
      <c r="F323" s="1" t="str">
        <f>IF(AND(Programme_Grunddaten!$A328="Geprüft",Programme_Grunddaten!M328&lt;&gt;""),IF(Programme_Grunddaten!M328="Ja",1,0),"")</f>
        <v/>
      </c>
      <c r="G323" s="1" t="str">
        <f>IF(AND(Programme_Grunddaten!$A328="Geprüft",Programme_Grunddaten!N328&lt;&gt;""),IF(Programme_Grunddaten!N328="Ja",1,0),"")</f>
        <v/>
      </c>
      <c r="H323" s="1" t="str">
        <f>IF(AND(Programme_Grunddaten!$A328="Geprüft",Programme_Grunddaten!O328&lt;&gt;""),IF(Programme_Grunddaten!O328="Deutschland",0,IF(Programme_Grunddaten!O328="EU",1,2)),"")</f>
        <v/>
      </c>
      <c r="I323" s="1" t="str">
        <f>IF(AND(Programme_Grunddaten!$A328="Geprüft",Programme_Grunddaten!P328&lt;&gt;""),IF(Programme_Grunddaten!P328="Ja",1,0),"")</f>
        <v/>
      </c>
      <c r="J323" s="1" t="str">
        <f>IF(AND(Programme_Grunddaten!$A328="Geprüft",Programme_Grunddaten!Q328&lt;&gt;""),IF(Programme_Grunddaten!Q328="geschlossenes System",1,0),"")</f>
        <v/>
      </c>
      <c r="K323" s="1" t="str">
        <f>IF(AND(Programme_Grunddaten!$A328="Geprüft",Programme_Grunddaten!R328&lt;&gt;""),IF(Programme_Grunddaten!R328="Ja",1,0),"")</f>
        <v/>
      </c>
      <c r="L323" s="1" t="str">
        <f>IF(AND(Programme_Grunddaten!$A328="Geprüft",Programme_Grunddaten!T328&lt;&gt;""),IF(Programme_Grunddaten!T328="Ja",1,0),"")</f>
        <v/>
      </c>
      <c r="M323" s="1" t="str">
        <f>IF(AND(Programme_Grunddaten!$A328="Geprüft",Programme_Grunddaten!U328&lt;&gt;""),IF(Programme_Grunddaten!U328="Ja",1,0),"")</f>
        <v/>
      </c>
      <c r="N323" s="1" t="str">
        <f>IF(AND(Programme_Grunddaten!$A328="Geprüft",Programme_Grunddaten!V328&lt;&gt;""),IF(Programme_Grunddaten!V328="Ja",1,0),"")</f>
        <v/>
      </c>
      <c r="O323" s="1" t="str">
        <f>IF(AND(Programme_Grunddaten!$A328="Geprüft",Programme_Grunddaten!W328&lt;&gt;""),IF(Programme_Grunddaten!W328="Ja",1,0),"")</f>
        <v/>
      </c>
      <c r="P323" s="1" t="str">
        <f>IF(AND(Programme_Grunddaten!$A328="Geprüft",Programme_Grunddaten!X328&lt;&gt;""),IF(Programme_Grunddaten!X328="Ja",1,0),"")</f>
        <v/>
      </c>
      <c r="Q323" s="1" t="str">
        <f>IF(AND(Programme_Grunddaten!$A328="Geprüft",Programme_Grunddaten!Y328&lt;&gt;""),IF(Programme_Grunddaten!Y328="Ja",1,0),"")</f>
        <v/>
      </c>
      <c r="R323" s="1" t="str">
        <f>IF(AND(Programme_Grunddaten!$A328="Geprüft",Programme_Grunddaten!Z328&lt;&gt;""),IF(Programme_Grunddaten!Z328="Ja",1,0),"")</f>
        <v/>
      </c>
      <c r="S323" s="1" t="str">
        <f>IF(AND(Programme_Grunddaten!$A328="Geprüft",Programme_Grunddaten!AA328&lt;&gt;""),IF(Programme_Grunddaten!AA328="monolithisch",1,0),"")</f>
        <v/>
      </c>
      <c r="T323" s="1" t="str">
        <f>IF(AND(Programme_Grunddaten!$A328="Geprüft",Programme_Grunddaten!AB328&lt;&gt;""),IF(Programme_Grunddaten!AB328="Ja",1,0),"")</f>
        <v/>
      </c>
      <c r="U323" s="1" t="str">
        <f>IF(AND(Programme_Grunddaten!$A328="Geprüft",Programme_Grunddaten!AC328&lt;&gt;""),IF(Programme_Grunddaten!AC328="Ja",1,0),"")</f>
        <v/>
      </c>
      <c r="V323" s="1" t="str">
        <f>IF(AND(Programme_Grunddaten!$A328="Geprüft",Programme_Grunddaten!AD328&lt;&gt;""),IF(Programme_Grunddaten!AD328="Ja",1,0),"")</f>
        <v/>
      </c>
      <c r="W323" s="1" t="str">
        <f>IF(AND(Programme_Grunddaten!$A328="Geprüft",Programme_Grunddaten!AE328&lt;&gt;""),IF(Programme_Grunddaten!AE328="Ja",1,0),"")</f>
        <v/>
      </c>
      <c r="X323" s="1" t="str">
        <f>IF(AND(Programme_Grunddaten!$A328="Geprüft",Programme_Grunddaten!AF328&lt;&gt;""),IF(Programme_Grunddaten!AF328="Ja",1,0),"")</f>
        <v/>
      </c>
      <c r="Y323" s="1" t="str">
        <f>IF(AND(Programme_Grunddaten!$A328="Geprüft",Programme_Grunddaten!AG328&lt;&gt;""),IF(Programme_Grunddaten!AG328="Ja",1,0),"")</f>
        <v/>
      </c>
      <c r="Z323" s="1" t="str">
        <f>IF(AND(Programme_Grunddaten!$A328="Geprüft",Programme_Grunddaten!AH328&lt;&gt;""),IF(Programme_Grunddaten!AH328="Ja",1,0),"")</f>
        <v/>
      </c>
      <c r="AA323" s="1" t="str">
        <f>IF(AND(Programme_Grunddaten!$A328="Geprüft",Programme_Grunddaten!AI328&lt;&gt;""),IF(Programme_Grunddaten!AI328="Ja",1,0),"")</f>
        <v/>
      </c>
      <c r="AB323" s="1" t="str">
        <f>IF(AND(Programme_Grunddaten!$A328="Geprüft",Programme_Grunddaten!AJ328&lt;&gt;""),IF(Programme_Grunddaten!AJ328="individuell programmierbar",1,0),"")</f>
        <v/>
      </c>
      <c r="AC323" s="1" t="str">
        <f>IF(AND(Programme_Grunddaten!$A328="Geprüft",Programme_Grunddaten!AK328&lt;&gt;""),IF(Programme_Grunddaten!AK328="Deutsch",0,IF(Programme_Grunddaten!AK328="Deutsch und Englisch",1,2)),"")</f>
        <v/>
      </c>
      <c r="AD323" s="1" t="str">
        <f>IF(AND(Programme_Grunddaten!$A328="Geprüft",Programme_Grunddaten!AL328&lt;&gt;""),IF(Programme_Grunddaten!AL328="Ja",1,0),"")</f>
        <v/>
      </c>
      <c r="AE323" s="1" t="str">
        <f>IF(AND(Programme_Grunddaten!$A328="Geprüft",Programme_Grunddaten!AM328&lt;&gt;""),IF(Programme_Grunddaten!AM328="Ja",1,0),"")</f>
        <v/>
      </c>
      <c r="AF323" s="1" t="str">
        <f>IF(AND(Programme_Grunddaten!$A328="Geprüft",Programme_Grunddaten!AN328&lt;&gt;""),IF(Programme_Grunddaten!AN328="Ja",1,0),"")</f>
        <v/>
      </c>
      <c r="AG323" s="1" t="str">
        <f>IF(AND(Programme_Grunddaten!$A328="Geprüft",Programme_Grunddaten!AO328&lt;&gt;""),IF(Programme_Grunddaten!AO328="Ja",1,0),"")</f>
        <v/>
      </c>
      <c r="AH323" s="1" t="str">
        <f>IF(AND(Programme_Grunddaten!$A328="Geprüft",Programme_Grunddaten!AP328&lt;&gt;""),IF(Programme_Grunddaten!AP328="Ja",1,0),"")</f>
        <v/>
      </c>
      <c r="AI323" s="1" t="str">
        <f>IF(AND(Programme_Grunddaten!$A328="Geprüft",Programme_Grunddaten!AQ328&lt;&gt;""),IF(Programme_Grunddaten!AQ328="Ja",1,0),"")</f>
        <v/>
      </c>
      <c r="AJ323" s="1" t="str">
        <f>IF(AND(Programme_Grunddaten!$A328="Geprüft",Programme_Grunddaten!AR328&lt;&gt;""),IF(Programme_Grunddaten!AR328="Ja",1,0),"")</f>
        <v/>
      </c>
      <c r="AK323" s="1" t="str">
        <f>IF(AND(Programme_Grunddaten!$A328="Geprüft",Programme_Grunddaten!AS328&lt;&gt;""),IF(Programme_Grunddaten!AS328="Ja",1,0),"")</f>
        <v/>
      </c>
      <c r="AL323" s="1" t="str">
        <f>IF(AND(Programme_Grunddaten!$A328="Geprüft",Programme_Grunddaten!AT328&lt;&gt;""),IF(Programme_Grunddaten!AT328="Ja",1,0),"")</f>
        <v/>
      </c>
      <c r="AM323" s="1" t="str">
        <f>IF(AND(Programme_Grunddaten!$A328="Geprüft",Programme_Grunddaten!AU328&lt;&gt;""),IF(Programme_Grunddaten!AU328="Ja",1,0),"")</f>
        <v/>
      </c>
      <c r="AN323" s="1" t="str">
        <f>IF(AND(Programme_Grunddaten!$A328="Geprüft",Programme_Grunddaten!AV328&lt;&gt;""),IF(Programme_Grunddaten!AV328="Ja",1,0),"")</f>
        <v/>
      </c>
    </row>
    <row r="324" spans="1:40" x14ac:dyDescent="0.3">
      <c r="A324" s="1" t="str">
        <f>IF(AND(Programme_Grunddaten!A329="Geprüft",Programme_Grunddaten!B329&lt;&gt;""),Programme_Grunddaten!B329,"")</f>
        <v/>
      </c>
      <c r="B324" s="1" t="str">
        <f>IF(AND(Programme_Grunddaten!$A329="Geprüft",Programme_Grunddaten!I329&lt;&gt;""),IF(Programme_Grunddaten!I329="Ja",1,0),"")</f>
        <v/>
      </c>
      <c r="C324" s="1" t="str">
        <f>IF(AND(Programme_Grunddaten!$A329="Geprüft",Programme_Grunddaten!J329&lt;&gt;""),IF(Programme_Grunddaten!J329="Ja",1,0),"")</f>
        <v/>
      </c>
      <c r="D324" s="1" t="str">
        <f>IF(AND(Programme_Grunddaten!$A329="Geprüft",Programme_Grunddaten!K329&lt;&gt;""),IF(Programme_Grunddaten!K329="Ja",1,0),"")</f>
        <v/>
      </c>
      <c r="E324" s="1" t="str">
        <f>IF(AND(Programme_Grunddaten!$A329="Geprüft",Programme_Grunddaten!L329&lt;&gt;""),IF(Programme_Grunddaten!L329="Abo / befristete Lizenz",1,0),"")</f>
        <v/>
      </c>
      <c r="F324" s="1" t="str">
        <f>IF(AND(Programme_Grunddaten!$A329="Geprüft",Programme_Grunddaten!M329&lt;&gt;""),IF(Programme_Grunddaten!M329="Ja",1,0),"")</f>
        <v/>
      </c>
      <c r="G324" s="1" t="str">
        <f>IF(AND(Programme_Grunddaten!$A329="Geprüft",Programme_Grunddaten!N329&lt;&gt;""),IF(Programme_Grunddaten!N329="Ja",1,0),"")</f>
        <v/>
      </c>
      <c r="H324" s="1" t="str">
        <f>IF(AND(Programme_Grunddaten!$A329="Geprüft",Programme_Grunddaten!O329&lt;&gt;""),IF(Programme_Grunddaten!O329="Deutschland",0,IF(Programme_Grunddaten!O329="EU",1,2)),"")</f>
        <v/>
      </c>
      <c r="I324" s="1" t="str">
        <f>IF(AND(Programme_Grunddaten!$A329="Geprüft",Programme_Grunddaten!P329&lt;&gt;""),IF(Programme_Grunddaten!P329="Ja",1,0),"")</f>
        <v/>
      </c>
      <c r="J324" s="1" t="str">
        <f>IF(AND(Programme_Grunddaten!$A329="Geprüft",Programme_Grunddaten!Q329&lt;&gt;""),IF(Programme_Grunddaten!Q329="geschlossenes System",1,0),"")</f>
        <v/>
      </c>
      <c r="K324" s="1" t="str">
        <f>IF(AND(Programme_Grunddaten!$A329="Geprüft",Programme_Grunddaten!R329&lt;&gt;""),IF(Programme_Grunddaten!R329="Ja",1,0),"")</f>
        <v/>
      </c>
      <c r="L324" s="1" t="str">
        <f>IF(AND(Programme_Grunddaten!$A329="Geprüft",Programme_Grunddaten!T329&lt;&gt;""),IF(Programme_Grunddaten!T329="Ja",1,0),"")</f>
        <v/>
      </c>
      <c r="M324" s="1" t="str">
        <f>IF(AND(Programme_Grunddaten!$A329="Geprüft",Programme_Grunddaten!U329&lt;&gt;""),IF(Programme_Grunddaten!U329="Ja",1,0),"")</f>
        <v/>
      </c>
      <c r="N324" s="1" t="str">
        <f>IF(AND(Programme_Grunddaten!$A329="Geprüft",Programme_Grunddaten!V329&lt;&gt;""),IF(Programme_Grunddaten!V329="Ja",1,0),"")</f>
        <v/>
      </c>
      <c r="O324" s="1" t="str">
        <f>IF(AND(Programme_Grunddaten!$A329="Geprüft",Programme_Grunddaten!W329&lt;&gt;""),IF(Programme_Grunddaten!W329="Ja",1,0),"")</f>
        <v/>
      </c>
      <c r="P324" s="1" t="str">
        <f>IF(AND(Programme_Grunddaten!$A329="Geprüft",Programme_Grunddaten!X329&lt;&gt;""),IF(Programme_Grunddaten!X329="Ja",1,0),"")</f>
        <v/>
      </c>
      <c r="Q324" s="1" t="str">
        <f>IF(AND(Programme_Grunddaten!$A329="Geprüft",Programme_Grunddaten!Y329&lt;&gt;""),IF(Programme_Grunddaten!Y329="Ja",1,0),"")</f>
        <v/>
      </c>
      <c r="R324" s="1" t="str">
        <f>IF(AND(Programme_Grunddaten!$A329="Geprüft",Programme_Grunddaten!Z329&lt;&gt;""),IF(Programme_Grunddaten!Z329="Ja",1,0),"")</f>
        <v/>
      </c>
      <c r="S324" s="1" t="str">
        <f>IF(AND(Programme_Grunddaten!$A329="Geprüft",Programme_Grunddaten!AA329&lt;&gt;""),IF(Programme_Grunddaten!AA329="monolithisch",1,0),"")</f>
        <v/>
      </c>
      <c r="T324" s="1" t="str">
        <f>IF(AND(Programme_Grunddaten!$A329="Geprüft",Programme_Grunddaten!AB329&lt;&gt;""),IF(Programme_Grunddaten!AB329="Ja",1,0),"")</f>
        <v/>
      </c>
      <c r="U324" s="1" t="str">
        <f>IF(AND(Programme_Grunddaten!$A329="Geprüft",Programme_Grunddaten!AC329&lt;&gt;""),IF(Programme_Grunddaten!AC329="Ja",1,0),"")</f>
        <v/>
      </c>
      <c r="V324" s="1" t="str">
        <f>IF(AND(Programme_Grunddaten!$A329="Geprüft",Programme_Grunddaten!AD329&lt;&gt;""),IF(Programme_Grunddaten!AD329="Ja",1,0),"")</f>
        <v/>
      </c>
      <c r="W324" s="1" t="str">
        <f>IF(AND(Programme_Grunddaten!$A329="Geprüft",Programme_Grunddaten!AE329&lt;&gt;""),IF(Programme_Grunddaten!AE329="Ja",1,0),"")</f>
        <v/>
      </c>
      <c r="X324" s="1" t="str">
        <f>IF(AND(Programme_Grunddaten!$A329="Geprüft",Programme_Grunddaten!AF329&lt;&gt;""),IF(Programme_Grunddaten!AF329="Ja",1,0),"")</f>
        <v/>
      </c>
      <c r="Y324" s="1" t="str">
        <f>IF(AND(Programme_Grunddaten!$A329="Geprüft",Programme_Grunddaten!AG329&lt;&gt;""),IF(Programme_Grunddaten!AG329="Ja",1,0),"")</f>
        <v/>
      </c>
      <c r="Z324" s="1" t="str">
        <f>IF(AND(Programme_Grunddaten!$A329="Geprüft",Programme_Grunddaten!AH329&lt;&gt;""),IF(Programme_Grunddaten!AH329="Ja",1,0),"")</f>
        <v/>
      </c>
      <c r="AA324" s="1" t="str">
        <f>IF(AND(Programme_Grunddaten!$A329="Geprüft",Programme_Grunddaten!AI329&lt;&gt;""),IF(Programme_Grunddaten!AI329="Ja",1,0),"")</f>
        <v/>
      </c>
      <c r="AB324" s="1" t="str">
        <f>IF(AND(Programme_Grunddaten!$A329="Geprüft",Programme_Grunddaten!AJ329&lt;&gt;""),IF(Programme_Grunddaten!AJ329="individuell programmierbar",1,0),"")</f>
        <v/>
      </c>
      <c r="AC324" s="1" t="str">
        <f>IF(AND(Programme_Grunddaten!$A329="Geprüft",Programme_Grunddaten!AK329&lt;&gt;""),IF(Programme_Grunddaten!AK329="Deutsch",0,IF(Programme_Grunddaten!AK329="Deutsch und Englisch",1,2)),"")</f>
        <v/>
      </c>
      <c r="AD324" s="1" t="str">
        <f>IF(AND(Programme_Grunddaten!$A329="Geprüft",Programme_Grunddaten!AL329&lt;&gt;""),IF(Programme_Grunddaten!AL329="Ja",1,0),"")</f>
        <v/>
      </c>
      <c r="AE324" s="1" t="str">
        <f>IF(AND(Programme_Grunddaten!$A329="Geprüft",Programme_Grunddaten!AM329&lt;&gt;""),IF(Programme_Grunddaten!AM329="Ja",1,0),"")</f>
        <v/>
      </c>
      <c r="AF324" s="1" t="str">
        <f>IF(AND(Programme_Grunddaten!$A329="Geprüft",Programme_Grunddaten!AN329&lt;&gt;""),IF(Programme_Grunddaten!AN329="Ja",1,0),"")</f>
        <v/>
      </c>
      <c r="AG324" s="1" t="str">
        <f>IF(AND(Programme_Grunddaten!$A329="Geprüft",Programme_Grunddaten!AO329&lt;&gt;""),IF(Programme_Grunddaten!AO329="Ja",1,0),"")</f>
        <v/>
      </c>
      <c r="AH324" s="1" t="str">
        <f>IF(AND(Programme_Grunddaten!$A329="Geprüft",Programme_Grunddaten!AP329&lt;&gt;""),IF(Programme_Grunddaten!AP329="Ja",1,0),"")</f>
        <v/>
      </c>
      <c r="AI324" s="1" t="str">
        <f>IF(AND(Programme_Grunddaten!$A329="Geprüft",Programme_Grunddaten!AQ329&lt;&gt;""),IF(Programme_Grunddaten!AQ329="Ja",1,0),"")</f>
        <v/>
      </c>
      <c r="AJ324" s="1" t="str">
        <f>IF(AND(Programme_Grunddaten!$A329="Geprüft",Programme_Grunddaten!AR329&lt;&gt;""),IF(Programme_Grunddaten!AR329="Ja",1,0),"")</f>
        <v/>
      </c>
      <c r="AK324" s="1" t="str">
        <f>IF(AND(Programme_Grunddaten!$A329="Geprüft",Programme_Grunddaten!AS329&lt;&gt;""),IF(Programme_Grunddaten!AS329="Ja",1,0),"")</f>
        <v/>
      </c>
      <c r="AL324" s="1" t="str">
        <f>IF(AND(Programme_Grunddaten!$A329="Geprüft",Programme_Grunddaten!AT329&lt;&gt;""),IF(Programme_Grunddaten!AT329="Ja",1,0),"")</f>
        <v/>
      </c>
      <c r="AM324" s="1" t="str">
        <f>IF(AND(Programme_Grunddaten!$A329="Geprüft",Programme_Grunddaten!AU329&lt;&gt;""),IF(Programme_Grunddaten!AU329="Ja",1,0),"")</f>
        <v/>
      </c>
      <c r="AN324" s="1" t="str">
        <f>IF(AND(Programme_Grunddaten!$A329="Geprüft",Programme_Grunddaten!AV329&lt;&gt;""),IF(Programme_Grunddaten!AV329="Ja",1,0),"")</f>
        <v/>
      </c>
    </row>
    <row r="325" spans="1:40" x14ac:dyDescent="0.3">
      <c r="A325" s="1" t="str">
        <f>IF(AND(Programme_Grunddaten!A330="Geprüft",Programme_Grunddaten!B330&lt;&gt;""),Programme_Grunddaten!B330,"")</f>
        <v/>
      </c>
      <c r="B325" s="1" t="str">
        <f>IF(AND(Programme_Grunddaten!$A330="Geprüft",Programme_Grunddaten!I330&lt;&gt;""),IF(Programme_Grunddaten!I330="Ja",1,0),"")</f>
        <v/>
      </c>
      <c r="C325" s="1" t="str">
        <f>IF(AND(Programme_Grunddaten!$A330="Geprüft",Programme_Grunddaten!J330&lt;&gt;""),IF(Programme_Grunddaten!J330="Ja",1,0),"")</f>
        <v/>
      </c>
      <c r="D325" s="1" t="str">
        <f>IF(AND(Programme_Grunddaten!$A330="Geprüft",Programme_Grunddaten!K330&lt;&gt;""),IF(Programme_Grunddaten!K330="Ja",1,0),"")</f>
        <v/>
      </c>
      <c r="E325" s="1" t="str">
        <f>IF(AND(Programme_Grunddaten!$A330="Geprüft",Programme_Grunddaten!L330&lt;&gt;""),IF(Programme_Grunddaten!L330="Abo / befristete Lizenz",1,0),"")</f>
        <v/>
      </c>
      <c r="F325" s="1" t="str">
        <f>IF(AND(Programme_Grunddaten!$A330="Geprüft",Programme_Grunddaten!M330&lt;&gt;""),IF(Programme_Grunddaten!M330="Ja",1,0),"")</f>
        <v/>
      </c>
      <c r="G325" s="1" t="str">
        <f>IF(AND(Programme_Grunddaten!$A330="Geprüft",Programme_Grunddaten!N330&lt;&gt;""),IF(Programme_Grunddaten!N330="Ja",1,0),"")</f>
        <v/>
      </c>
      <c r="H325" s="1" t="str">
        <f>IF(AND(Programme_Grunddaten!$A330="Geprüft",Programme_Grunddaten!O330&lt;&gt;""),IF(Programme_Grunddaten!O330="Deutschland",0,IF(Programme_Grunddaten!O330="EU",1,2)),"")</f>
        <v/>
      </c>
      <c r="I325" s="1" t="str">
        <f>IF(AND(Programme_Grunddaten!$A330="Geprüft",Programme_Grunddaten!P330&lt;&gt;""),IF(Programme_Grunddaten!P330="Ja",1,0),"")</f>
        <v/>
      </c>
      <c r="J325" s="1" t="str">
        <f>IF(AND(Programme_Grunddaten!$A330="Geprüft",Programme_Grunddaten!Q330&lt;&gt;""),IF(Programme_Grunddaten!Q330="geschlossenes System",1,0),"")</f>
        <v/>
      </c>
      <c r="K325" s="1" t="str">
        <f>IF(AND(Programme_Grunddaten!$A330="Geprüft",Programme_Grunddaten!R330&lt;&gt;""),IF(Programme_Grunddaten!R330="Ja",1,0),"")</f>
        <v/>
      </c>
      <c r="L325" s="1" t="str">
        <f>IF(AND(Programme_Grunddaten!$A330="Geprüft",Programme_Grunddaten!T330&lt;&gt;""),IF(Programme_Grunddaten!T330="Ja",1,0),"")</f>
        <v/>
      </c>
      <c r="M325" s="1" t="str">
        <f>IF(AND(Programme_Grunddaten!$A330="Geprüft",Programme_Grunddaten!U330&lt;&gt;""),IF(Programme_Grunddaten!U330="Ja",1,0),"")</f>
        <v/>
      </c>
      <c r="N325" s="1" t="str">
        <f>IF(AND(Programme_Grunddaten!$A330="Geprüft",Programme_Grunddaten!V330&lt;&gt;""),IF(Programme_Grunddaten!V330="Ja",1,0),"")</f>
        <v/>
      </c>
      <c r="O325" s="1" t="str">
        <f>IF(AND(Programme_Grunddaten!$A330="Geprüft",Programme_Grunddaten!W330&lt;&gt;""),IF(Programme_Grunddaten!W330="Ja",1,0),"")</f>
        <v/>
      </c>
      <c r="P325" s="1" t="str">
        <f>IF(AND(Programme_Grunddaten!$A330="Geprüft",Programme_Grunddaten!X330&lt;&gt;""),IF(Programme_Grunddaten!X330="Ja",1,0),"")</f>
        <v/>
      </c>
      <c r="Q325" s="1" t="str">
        <f>IF(AND(Programme_Grunddaten!$A330="Geprüft",Programme_Grunddaten!Y330&lt;&gt;""),IF(Programme_Grunddaten!Y330="Ja",1,0),"")</f>
        <v/>
      </c>
      <c r="R325" s="1" t="str">
        <f>IF(AND(Programme_Grunddaten!$A330="Geprüft",Programme_Grunddaten!Z330&lt;&gt;""),IF(Programme_Grunddaten!Z330="Ja",1,0),"")</f>
        <v/>
      </c>
      <c r="S325" s="1" t="str">
        <f>IF(AND(Programme_Grunddaten!$A330="Geprüft",Programme_Grunddaten!AA330&lt;&gt;""),IF(Programme_Grunddaten!AA330="monolithisch",1,0),"")</f>
        <v/>
      </c>
      <c r="T325" s="1" t="str">
        <f>IF(AND(Programme_Grunddaten!$A330="Geprüft",Programme_Grunddaten!AB330&lt;&gt;""),IF(Programme_Grunddaten!AB330="Ja",1,0),"")</f>
        <v/>
      </c>
      <c r="U325" s="1" t="str">
        <f>IF(AND(Programme_Grunddaten!$A330="Geprüft",Programme_Grunddaten!AC330&lt;&gt;""),IF(Programme_Grunddaten!AC330="Ja",1,0),"")</f>
        <v/>
      </c>
      <c r="V325" s="1" t="str">
        <f>IF(AND(Programme_Grunddaten!$A330="Geprüft",Programme_Grunddaten!AD330&lt;&gt;""),IF(Programme_Grunddaten!AD330="Ja",1,0),"")</f>
        <v/>
      </c>
      <c r="W325" s="1" t="str">
        <f>IF(AND(Programme_Grunddaten!$A330="Geprüft",Programme_Grunddaten!AE330&lt;&gt;""),IF(Programme_Grunddaten!AE330="Ja",1,0),"")</f>
        <v/>
      </c>
      <c r="X325" s="1" t="str">
        <f>IF(AND(Programme_Grunddaten!$A330="Geprüft",Programme_Grunddaten!AF330&lt;&gt;""),IF(Programme_Grunddaten!AF330="Ja",1,0),"")</f>
        <v/>
      </c>
      <c r="Y325" s="1" t="str">
        <f>IF(AND(Programme_Grunddaten!$A330="Geprüft",Programme_Grunddaten!AG330&lt;&gt;""),IF(Programme_Grunddaten!AG330="Ja",1,0),"")</f>
        <v/>
      </c>
      <c r="Z325" s="1" t="str">
        <f>IF(AND(Programme_Grunddaten!$A330="Geprüft",Programme_Grunddaten!AH330&lt;&gt;""),IF(Programme_Grunddaten!AH330="Ja",1,0),"")</f>
        <v/>
      </c>
      <c r="AA325" s="1" t="str">
        <f>IF(AND(Programme_Grunddaten!$A330="Geprüft",Programme_Grunddaten!AI330&lt;&gt;""),IF(Programme_Grunddaten!AI330="Ja",1,0),"")</f>
        <v/>
      </c>
      <c r="AB325" s="1" t="str">
        <f>IF(AND(Programme_Grunddaten!$A330="Geprüft",Programme_Grunddaten!AJ330&lt;&gt;""),IF(Programme_Grunddaten!AJ330="individuell programmierbar",1,0),"")</f>
        <v/>
      </c>
      <c r="AC325" s="1" t="str">
        <f>IF(AND(Programme_Grunddaten!$A330="Geprüft",Programme_Grunddaten!AK330&lt;&gt;""),IF(Programme_Grunddaten!AK330="Deutsch",0,IF(Programme_Grunddaten!AK330="Deutsch und Englisch",1,2)),"")</f>
        <v/>
      </c>
      <c r="AD325" s="1" t="str">
        <f>IF(AND(Programme_Grunddaten!$A330="Geprüft",Programme_Grunddaten!AL330&lt;&gt;""),IF(Programme_Grunddaten!AL330="Ja",1,0),"")</f>
        <v/>
      </c>
      <c r="AE325" s="1" t="str">
        <f>IF(AND(Programme_Grunddaten!$A330="Geprüft",Programme_Grunddaten!AM330&lt;&gt;""),IF(Programme_Grunddaten!AM330="Ja",1,0),"")</f>
        <v/>
      </c>
      <c r="AF325" s="1" t="str">
        <f>IF(AND(Programme_Grunddaten!$A330="Geprüft",Programme_Grunddaten!AN330&lt;&gt;""),IF(Programme_Grunddaten!AN330="Ja",1,0),"")</f>
        <v/>
      </c>
      <c r="AG325" s="1" t="str">
        <f>IF(AND(Programme_Grunddaten!$A330="Geprüft",Programme_Grunddaten!AO330&lt;&gt;""),IF(Programme_Grunddaten!AO330="Ja",1,0),"")</f>
        <v/>
      </c>
      <c r="AH325" s="1" t="str">
        <f>IF(AND(Programme_Grunddaten!$A330="Geprüft",Programme_Grunddaten!AP330&lt;&gt;""),IF(Programme_Grunddaten!AP330="Ja",1,0),"")</f>
        <v/>
      </c>
      <c r="AI325" s="1" t="str">
        <f>IF(AND(Programme_Grunddaten!$A330="Geprüft",Programme_Grunddaten!AQ330&lt;&gt;""),IF(Programme_Grunddaten!AQ330="Ja",1,0),"")</f>
        <v/>
      </c>
      <c r="AJ325" s="1" t="str">
        <f>IF(AND(Programme_Grunddaten!$A330="Geprüft",Programme_Grunddaten!AR330&lt;&gt;""),IF(Programme_Grunddaten!AR330="Ja",1,0),"")</f>
        <v/>
      </c>
      <c r="AK325" s="1" t="str">
        <f>IF(AND(Programme_Grunddaten!$A330="Geprüft",Programme_Grunddaten!AS330&lt;&gt;""),IF(Programme_Grunddaten!AS330="Ja",1,0),"")</f>
        <v/>
      </c>
      <c r="AL325" s="1" t="str">
        <f>IF(AND(Programme_Grunddaten!$A330="Geprüft",Programme_Grunddaten!AT330&lt;&gt;""),IF(Programme_Grunddaten!AT330="Ja",1,0),"")</f>
        <v/>
      </c>
      <c r="AM325" s="1" t="str">
        <f>IF(AND(Programme_Grunddaten!$A330="Geprüft",Programme_Grunddaten!AU330&lt;&gt;""),IF(Programme_Grunddaten!AU330="Ja",1,0),"")</f>
        <v/>
      </c>
      <c r="AN325" s="1" t="str">
        <f>IF(AND(Programme_Grunddaten!$A330="Geprüft",Programme_Grunddaten!AV330&lt;&gt;""),IF(Programme_Grunddaten!AV330="Ja",1,0),"")</f>
        <v/>
      </c>
    </row>
    <row r="326" spans="1:40" x14ac:dyDescent="0.3">
      <c r="A326" s="1" t="str">
        <f>IF(AND(Programme_Grunddaten!A331="Geprüft",Programme_Grunddaten!B331&lt;&gt;""),Programme_Grunddaten!B331,"")</f>
        <v/>
      </c>
      <c r="B326" s="1" t="str">
        <f>IF(AND(Programme_Grunddaten!$A331="Geprüft",Programme_Grunddaten!I331&lt;&gt;""),IF(Programme_Grunddaten!I331="Ja",1,0),"")</f>
        <v/>
      </c>
      <c r="C326" s="1" t="str">
        <f>IF(AND(Programme_Grunddaten!$A331="Geprüft",Programme_Grunddaten!J331&lt;&gt;""),IF(Programme_Grunddaten!J331="Ja",1,0),"")</f>
        <v/>
      </c>
      <c r="D326" s="1" t="str">
        <f>IF(AND(Programme_Grunddaten!$A331="Geprüft",Programme_Grunddaten!K331&lt;&gt;""),IF(Programme_Grunddaten!K331="Ja",1,0),"")</f>
        <v/>
      </c>
      <c r="E326" s="1" t="str">
        <f>IF(AND(Programme_Grunddaten!$A331="Geprüft",Programme_Grunddaten!L331&lt;&gt;""),IF(Programme_Grunddaten!L331="Abo / befristete Lizenz",1,0),"")</f>
        <v/>
      </c>
      <c r="F326" s="1" t="str">
        <f>IF(AND(Programme_Grunddaten!$A331="Geprüft",Programme_Grunddaten!M331&lt;&gt;""),IF(Programme_Grunddaten!M331="Ja",1,0),"")</f>
        <v/>
      </c>
      <c r="G326" s="1" t="str">
        <f>IF(AND(Programme_Grunddaten!$A331="Geprüft",Programme_Grunddaten!N331&lt;&gt;""),IF(Programme_Grunddaten!N331="Ja",1,0),"")</f>
        <v/>
      </c>
      <c r="H326" s="1" t="str">
        <f>IF(AND(Programme_Grunddaten!$A331="Geprüft",Programme_Grunddaten!O331&lt;&gt;""),IF(Programme_Grunddaten!O331="Deutschland",0,IF(Programme_Grunddaten!O331="EU",1,2)),"")</f>
        <v/>
      </c>
      <c r="I326" s="1" t="str">
        <f>IF(AND(Programme_Grunddaten!$A331="Geprüft",Programme_Grunddaten!P331&lt;&gt;""),IF(Programme_Grunddaten!P331="Ja",1,0),"")</f>
        <v/>
      </c>
      <c r="J326" s="1" t="str">
        <f>IF(AND(Programme_Grunddaten!$A331="Geprüft",Programme_Grunddaten!Q331&lt;&gt;""),IF(Programme_Grunddaten!Q331="geschlossenes System",1,0),"")</f>
        <v/>
      </c>
      <c r="K326" s="1" t="str">
        <f>IF(AND(Programme_Grunddaten!$A331="Geprüft",Programme_Grunddaten!R331&lt;&gt;""),IF(Programme_Grunddaten!R331="Ja",1,0),"")</f>
        <v/>
      </c>
      <c r="L326" s="1" t="str">
        <f>IF(AND(Programme_Grunddaten!$A331="Geprüft",Programme_Grunddaten!T331&lt;&gt;""),IF(Programme_Grunddaten!T331="Ja",1,0),"")</f>
        <v/>
      </c>
      <c r="M326" s="1" t="str">
        <f>IF(AND(Programme_Grunddaten!$A331="Geprüft",Programme_Grunddaten!U331&lt;&gt;""),IF(Programme_Grunddaten!U331="Ja",1,0),"")</f>
        <v/>
      </c>
      <c r="N326" s="1" t="str">
        <f>IF(AND(Programme_Grunddaten!$A331="Geprüft",Programme_Grunddaten!V331&lt;&gt;""),IF(Programme_Grunddaten!V331="Ja",1,0),"")</f>
        <v/>
      </c>
      <c r="O326" s="1" t="str">
        <f>IF(AND(Programme_Grunddaten!$A331="Geprüft",Programme_Grunddaten!W331&lt;&gt;""),IF(Programme_Grunddaten!W331="Ja",1,0),"")</f>
        <v/>
      </c>
      <c r="P326" s="1" t="str">
        <f>IF(AND(Programme_Grunddaten!$A331="Geprüft",Programme_Grunddaten!X331&lt;&gt;""),IF(Programme_Grunddaten!X331="Ja",1,0),"")</f>
        <v/>
      </c>
      <c r="Q326" s="1" t="str">
        <f>IF(AND(Programme_Grunddaten!$A331="Geprüft",Programme_Grunddaten!Y331&lt;&gt;""),IF(Programme_Grunddaten!Y331="Ja",1,0),"")</f>
        <v/>
      </c>
      <c r="R326" s="1" t="str">
        <f>IF(AND(Programme_Grunddaten!$A331="Geprüft",Programme_Grunddaten!Z331&lt;&gt;""),IF(Programme_Grunddaten!Z331="Ja",1,0),"")</f>
        <v/>
      </c>
      <c r="S326" s="1" t="str">
        <f>IF(AND(Programme_Grunddaten!$A331="Geprüft",Programme_Grunddaten!AA331&lt;&gt;""),IF(Programme_Grunddaten!AA331="monolithisch",1,0),"")</f>
        <v/>
      </c>
      <c r="T326" s="1" t="str">
        <f>IF(AND(Programme_Grunddaten!$A331="Geprüft",Programme_Grunddaten!AB331&lt;&gt;""),IF(Programme_Grunddaten!AB331="Ja",1,0),"")</f>
        <v/>
      </c>
      <c r="U326" s="1" t="str">
        <f>IF(AND(Programme_Grunddaten!$A331="Geprüft",Programme_Grunddaten!AC331&lt;&gt;""),IF(Programme_Grunddaten!AC331="Ja",1,0),"")</f>
        <v/>
      </c>
      <c r="V326" s="1" t="str">
        <f>IF(AND(Programme_Grunddaten!$A331="Geprüft",Programme_Grunddaten!AD331&lt;&gt;""),IF(Programme_Grunddaten!AD331="Ja",1,0),"")</f>
        <v/>
      </c>
      <c r="W326" s="1" t="str">
        <f>IF(AND(Programme_Grunddaten!$A331="Geprüft",Programme_Grunddaten!AE331&lt;&gt;""),IF(Programme_Grunddaten!AE331="Ja",1,0),"")</f>
        <v/>
      </c>
      <c r="X326" s="1" t="str">
        <f>IF(AND(Programme_Grunddaten!$A331="Geprüft",Programme_Grunddaten!AF331&lt;&gt;""),IF(Programme_Grunddaten!AF331="Ja",1,0),"")</f>
        <v/>
      </c>
      <c r="Y326" s="1" t="str">
        <f>IF(AND(Programme_Grunddaten!$A331="Geprüft",Programme_Grunddaten!AG331&lt;&gt;""),IF(Programme_Grunddaten!AG331="Ja",1,0),"")</f>
        <v/>
      </c>
      <c r="Z326" s="1" t="str">
        <f>IF(AND(Programme_Grunddaten!$A331="Geprüft",Programme_Grunddaten!AH331&lt;&gt;""),IF(Programme_Grunddaten!AH331="Ja",1,0),"")</f>
        <v/>
      </c>
      <c r="AA326" s="1" t="str">
        <f>IF(AND(Programme_Grunddaten!$A331="Geprüft",Programme_Grunddaten!AI331&lt;&gt;""),IF(Programme_Grunddaten!AI331="Ja",1,0),"")</f>
        <v/>
      </c>
      <c r="AB326" s="1" t="str">
        <f>IF(AND(Programme_Grunddaten!$A331="Geprüft",Programme_Grunddaten!AJ331&lt;&gt;""),IF(Programme_Grunddaten!AJ331="individuell programmierbar",1,0),"")</f>
        <v/>
      </c>
      <c r="AC326" s="1" t="str">
        <f>IF(AND(Programme_Grunddaten!$A331="Geprüft",Programme_Grunddaten!AK331&lt;&gt;""),IF(Programme_Grunddaten!AK331="Deutsch",0,IF(Programme_Grunddaten!AK331="Deutsch und Englisch",1,2)),"")</f>
        <v/>
      </c>
      <c r="AD326" s="1" t="str">
        <f>IF(AND(Programme_Grunddaten!$A331="Geprüft",Programme_Grunddaten!AL331&lt;&gt;""),IF(Programme_Grunddaten!AL331="Ja",1,0),"")</f>
        <v/>
      </c>
      <c r="AE326" s="1" t="str">
        <f>IF(AND(Programme_Grunddaten!$A331="Geprüft",Programme_Grunddaten!AM331&lt;&gt;""),IF(Programme_Grunddaten!AM331="Ja",1,0),"")</f>
        <v/>
      </c>
      <c r="AF326" s="1" t="str">
        <f>IF(AND(Programme_Grunddaten!$A331="Geprüft",Programme_Grunddaten!AN331&lt;&gt;""),IF(Programme_Grunddaten!AN331="Ja",1,0),"")</f>
        <v/>
      </c>
      <c r="AG326" s="1" t="str">
        <f>IF(AND(Programme_Grunddaten!$A331="Geprüft",Programme_Grunddaten!AO331&lt;&gt;""),IF(Programme_Grunddaten!AO331="Ja",1,0),"")</f>
        <v/>
      </c>
      <c r="AH326" s="1" t="str">
        <f>IF(AND(Programme_Grunddaten!$A331="Geprüft",Programme_Grunddaten!AP331&lt;&gt;""),IF(Programme_Grunddaten!AP331="Ja",1,0),"")</f>
        <v/>
      </c>
      <c r="AI326" s="1" t="str">
        <f>IF(AND(Programme_Grunddaten!$A331="Geprüft",Programme_Grunddaten!AQ331&lt;&gt;""),IF(Programme_Grunddaten!AQ331="Ja",1,0),"")</f>
        <v/>
      </c>
      <c r="AJ326" s="1" t="str">
        <f>IF(AND(Programme_Grunddaten!$A331="Geprüft",Programme_Grunddaten!AR331&lt;&gt;""),IF(Programme_Grunddaten!AR331="Ja",1,0),"")</f>
        <v/>
      </c>
      <c r="AK326" s="1" t="str">
        <f>IF(AND(Programme_Grunddaten!$A331="Geprüft",Programme_Grunddaten!AS331&lt;&gt;""),IF(Programme_Grunddaten!AS331="Ja",1,0),"")</f>
        <v/>
      </c>
      <c r="AL326" s="1" t="str">
        <f>IF(AND(Programme_Grunddaten!$A331="Geprüft",Programme_Grunddaten!AT331&lt;&gt;""),IF(Programme_Grunddaten!AT331="Ja",1,0),"")</f>
        <v/>
      </c>
      <c r="AM326" s="1" t="str">
        <f>IF(AND(Programme_Grunddaten!$A331="Geprüft",Programme_Grunddaten!AU331&lt;&gt;""),IF(Programme_Grunddaten!AU331="Ja",1,0),"")</f>
        <v/>
      </c>
      <c r="AN326" s="1" t="str">
        <f>IF(AND(Programme_Grunddaten!$A331="Geprüft",Programme_Grunddaten!AV331&lt;&gt;""),IF(Programme_Grunddaten!AV331="Ja",1,0),"")</f>
        <v/>
      </c>
    </row>
    <row r="327" spans="1:40" x14ac:dyDescent="0.3">
      <c r="A327" s="1" t="str">
        <f>IF(AND(Programme_Grunddaten!A332="Geprüft",Programme_Grunddaten!B332&lt;&gt;""),Programme_Grunddaten!B332,"")</f>
        <v/>
      </c>
      <c r="B327" s="1" t="str">
        <f>IF(AND(Programme_Grunddaten!$A332="Geprüft",Programme_Grunddaten!I332&lt;&gt;""),IF(Programme_Grunddaten!I332="Ja",1,0),"")</f>
        <v/>
      </c>
      <c r="C327" s="1" t="str">
        <f>IF(AND(Programme_Grunddaten!$A332="Geprüft",Programme_Grunddaten!J332&lt;&gt;""),IF(Programme_Grunddaten!J332="Ja",1,0),"")</f>
        <v/>
      </c>
      <c r="D327" s="1" t="str">
        <f>IF(AND(Programme_Grunddaten!$A332="Geprüft",Programme_Grunddaten!K332&lt;&gt;""),IF(Programme_Grunddaten!K332="Ja",1,0),"")</f>
        <v/>
      </c>
      <c r="E327" s="1" t="str">
        <f>IF(AND(Programme_Grunddaten!$A332="Geprüft",Programme_Grunddaten!L332&lt;&gt;""),IF(Programme_Grunddaten!L332="Abo / befristete Lizenz",1,0),"")</f>
        <v/>
      </c>
      <c r="F327" s="1" t="str">
        <f>IF(AND(Programme_Grunddaten!$A332="Geprüft",Programme_Grunddaten!M332&lt;&gt;""),IF(Programme_Grunddaten!M332="Ja",1,0),"")</f>
        <v/>
      </c>
      <c r="G327" s="1" t="str">
        <f>IF(AND(Programme_Grunddaten!$A332="Geprüft",Programme_Grunddaten!N332&lt;&gt;""),IF(Programme_Grunddaten!N332="Ja",1,0),"")</f>
        <v/>
      </c>
      <c r="H327" s="1" t="str">
        <f>IF(AND(Programme_Grunddaten!$A332="Geprüft",Programme_Grunddaten!O332&lt;&gt;""),IF(Programme_Grunddaten!O332="Deutschland",0,IF(Programme_Grunddaten!O332="EU",1,2)),"")</f>
        <v/>
      </c>
      <c r="I327" s="1" t="str">
        <f>IF(AND(Programme_Grunddaten!$A332="Geprüft",Programme_Grunddaten!P332&lt;&gt;""),IF(Programme_Grunddaten!P332="Ja",1,0),"")</f>
        <v/>
      </c>
      <c r="J327" s="1" t="str">
        <f>IF(AND(Programme_Grunddaten!$A332="Geprüft",Programme_Grunddaten!Q332&lt;&gt;""),IF(Programme_Grunddaten!Q332="geschlossenes System",1,0),"")</f>
        <v/>
      </c>
      <c r="K327" s="1" t="str">
        <f>IF(AND(Programme_Grunddaten!$A332="Geprüft",Programme_Grunddaten!R332&lt;&gt;""),IF(Programme_Grunddaten!R332="Ja",1,0),"")</f>
        <v/>
      </c>
      <c r="L327" s="1" t="str">
        <f>IF(AND(Programme_Grunddaten!$A332="Geprüft",Programme_Grunddaten!T332&lt;&gt;""),IF(Programme_Grunddaten!T332="Ja",1,0),"")</f>
        <v/>
      </c>
      <c r="M327" s="1" t="str">
        <f>IF(AND(Programme_Grunddaten!$A332="Geprüft",Programme_Grunddaten!U332&lt;&gt;""),IF(Programme_Grunddaten!U332="Ja",1,0),"")</f>
        <v/>
      </c>
      <c r="N327" s="1" t="str">
        <f>IF(AND(Programme_Grunddaten!$A332="Geprüft",Programme_Grunddaten!V332&lt;&gt;""),IF(Programme_Grunddaten!V332="Ja",1,0),"")</f>
        <v/>
      </c>
      <c r="O327" s="1" t="str">
        <f>IF(AND(Programme_Grunddaten!$A332="Geprüft",Programme_Grunddaten!W332&lt;&gt;""),IF(Programme_Grunddaten!W332="Ja",1,0),"")</f>
        <v/>
      </c>
      <c r="P327" s="1" t="str">
        <f>IF(AND(Programme_Grunddaten!$A332="Geprüft",Programme_Grunddaten!X332&lt;&gt;""),IF(Programme_Grunddaten!X332="Ja",1,0),"")</f>
        <v/>
      </c>
      <c r="Q327" s="1" t="str">
        <f>IF(AND(Programme_Grunddaten!$A332="Geprüft",Programme_Grunddaten!Y332&lt;&gt;""),IF(Programme_Grunddaten!Y332="Ja",1,0),"")</f>
        <v/>
      </c>
      <c r="R327" s="1" t="str">
        <f>IF(AND(Programme_Grunddaten!$A332="Geprüft",Programme_Grunddaten!Z332&lt;&gt;""),IF(Programme_Grunddaten!Z332="Ja",1,0),"")</f>
        <v/>
      </c>
      <c r="S327" s="1" t="str">
        <f>IF(AND(Programme_Grunddaten!$A332="Geprüft",Programme_Grunddaten!AA332&lt;&gt;""),IF(Programme_Grunddaten!AA332="monolithisch",1,0),"")</f>
        <v/>
      </c>
      <c r="T327" s="1" t="str">
        <f>IF(AND(Programme_Grunddaten!$A332="Geprüft",Programme_Grunddaten!AB332&lt;&gt;""),IF(Programme_Grunddaten!AB332="Ja",1,0),"")</f>
        <v/>
      </c>
      <c r="U327" s="1" t="str">
        <f>IF(AND(Programme_Grunddaten!$A332="Geprüft",Programme_Grunddaten!AC332&lt;&gt;""),IF(Programme_Grunddaten!AC332="Ja",1,0),"")</f>
        <v/>
      </c>
      <c r="V327" s="1" t="str">
        <f>IF(AND(Programme_Grunddaten!$A332="Geprüft",Programme_Grunddaten!AD332&lt;&gt;""),IF(Programme_Grunddaten!AD332="Ja",1,0),"")</f>
        <v/>
      </c>
      <c r="W327" s="1" t="str">
        <f>IF(AND(Programme_Grunddaten!$A332="Geprüft",Programme_Grunddaten!AE332&lt;&gt;""),IF(Programme_Grunddaten!AE332="Ja",1,0),"")</f>
        <v/>
      </c>
      <c r="X327" s="1" t="str">
        <f>IF(AND(Programme_Grunddaten!$A332="Geprüft",Programme_Grunddaten!AF332&lt;&gt;""),IF(Programme_Grunddaten!AF332="Ja",1,0),"")</f>
        <v/>
      </c>
      <c r="Y327" s="1" t="str">
        <f>IF(AND(Programme_Grunddaten!$A332="Geprüft",Programme_Grunddaten!AG332&lt;&gt;""),IF(Programme_Grunddaten!AG332="Ja",1,0),"")</f>
        <v/>
      </c>
      <c r="Z327" s="1" t="str">
        <f>IF(AND(Programme_Grunddaten!$A332="Geprüft",Programme_Grunddaten!AH332&lt;&gt;""),IF(Programme_Grunddaten!AH332="Ja",1,0),"")</f>
        <v/>
      </c>
      <c r="AA327" s="1" t="str">
        <f>IF(AND(Programme_Grunddaten!$A332="Geprüft",Programme_Grunddaten!AI332&lt;&gt;""),IF(Programme_Grunddaten!AI332="Ja",1,0),"")</f>
        <v/>
      </c>
      <c r="AB327" s="1" t="str">
        <f>IF(AND(Programme_Grunddaten!$A332="Geprüft",Programme_Grunddaten!AJ332&lt;&gt;""),IF(Programme_Grunddaten!AJ332="individuell programmierbar",1,0),"")</f>
        <v/>
      </c>
      <c r="AC327" s="1" t="str">
        <f>IF(AND(Programme_Grunddaten!$A332="Geprüft",Programme_Grunddaten!AK332&lt;&gt;""),IF(Programme_Grunddaten!AK332="Deutsch",0,IF(Programme_Grunddaten!AK332="Deutsch und Englisch",1,2)),"")</f>
        <v/>
      </c>
      <c r="AD327" s="1" t="str">
        <f>IF(AND(Programme_Grunddaten!$A332="Geprüft",Programme_Grunddaten!AL332&lt;&gt;""),IF(Programme_Grunddaten!AL332="Ja",1,0),"")</f>
        <v/>
      </c>
      <c r="AE327" s="1" t="str">
        <f>IF(AND(Programme_Grunddaten!$A332="Geprüft",Programme_Grunddaten!AM332&lt;&gt;""),IF(Programme_Grunddaten!AM332="Ja",1,0),"")</f>
        <v/>
      </c>
      <c r="AF327" s="1" t="str">
        <f>IF(AND(Programme_Grunddaten!$A332="Geprüft",Programme_Grunddaten!AN332&lt;&gt;""),IF(Programme_Grunddaten!AN332="Ja",1,0),"")</f>
        <v/>
      </c>
      <c r="AG327" s="1" t="str">
        <f>IF(AND(Programme_Grunddaten!$A332="Geprüft",Programme_Grunddaten!AO332&lt;&gt;""),IF(Programme_Grunddaten!AO332="Ja",1,0),"")</f>
        <v/>
      </c>
      <c r="AH327" s="1" t="str">
        <f>IF(AND(Programme_Grunddaten!$A332="Geprüft",Programme_Grunddaten!AP332&lt;&gt;""),IF(Programme_Grunddaten!AP332="Ja",1,0),"")</f>
        <v/>
      </c>
      <c r="AI327" s="1" t="str">
        <f>IF(AND(Programme_Grunddaten!$A332="Geprüft",Programme_Grunddaten!AQ332&lt;&gt;""),IF(Programme_Grunddaten!AQ332="Ja",1,0),"")</f>
        <v/>
      </c>
      <c r="AJ327" s="1" t="str">
        <f>IF(AND(Programme_Grunddaten!$A332="Geprüft",Programme_Grunddaten!AR332&lt;&gt;""),IF(Programme_Grunddaten!AR332="Ja",1,0),"")</f>
        <v/>
      </c>
      <c r="AK327" s="1" t="str">
        <f>IF(AND(Programme_Grunddaten!$A332="Geprüft",Programme_Grunddaten!AS332&lt;&gt;""),IF(Programme_Grunddaten!AS332="Ja",1,0),"")</f>
        <v/>
      </c>
      <c r="AL327" s="1" t="str">
        <f>IF(AND(Programme_Grunddaten!$A332="Geprüft",Programme_Grunddaten!AT332&lt;&gt;""),IF(Programme_Grunddaten!AT332="Ja",1,0),"")</f>
        <v/>
      </c>
      <c r="AM327" s="1" t="str">
        <f>IF(AND(Programme_Grunddaten!$A332="Geprüft",Programme_Grunddaten!AU332&lt;&gt;""),IF(Programme_Grunddaten!AU332="Ja",1,0),"")</f>
        <v/>
      </c>
      <c r="AN327" s="1" t="str">
        <f>IF(AND(Programme_Grunddaten!$A332="Geprüft",Programme_Grunddaten!AV332&lt;&gt;""),IF(Programme_Grunddaten!AV332="Ja",1,0),"")</f>
        <v/>
      </c>
    </row>
    <row r="328" spans="1:40" x14ac:dyDescent="0.3">
      <c r="A328" s="1" t="str">
        <f>IF(AND(Programme_Grunddaten!A333="Geprüft",Programme_Grunddaten!B333&lt;&gt;""),Programme_Grunddaten!B333,"")</f>
        <v/>
      </c>
      <c r="B328" s="1" t="str">
        <f>IF(AND(Programme_Grunddaten!$A333="Geprüft",Programme_Grunddaten!I333&lt;&gt;""),IF(Programme_Grunddaten!I333="Ja",1,0),"")</f>
        <v/>
      </c>
      <c r="C328" s="1" t="str">
        <f>IF(AND(Programme_Grunddaten!$A333="Geprüft",Programme_Grunddaten!J333&lt;&gt;""),IF(Programme_Grunddaten!J333="Ja",1,0),"")</f>
        <v/>
      </c>
      <c r="D328" s="1" t="str">
        <f>IF(AND(Programme_Grunddaten!$A333="Geprüft",Programme_Grunddaten!K333&lt;&gt;""),IF(Programme_Grunddaten!K333="Ja",1,0),"")</f>
        <v/>
      </c>
      <c r="E328" s="1" t="str">
        <f>IF(AND(Programme_Grunddaten!$A333="Geprüft",Programme_Grunddaten!L333&lt;&gt;""),IF(Programme_Grunddaten!L333="Abo / befristete Lizenz",1,0),"")</f>
        <v/>
      </c>
      <c r="F328" s="1" t="str">
        <f>IF(AND(Programme_Grunddaten!$A333="Geprüft",Programme_Grunddaten!M333&lt;&gt;""),IF(Programme_Grunddaten!M333="Ja",1,0),"")</f>
        <v/>
      </c>
      <c r="G328" s="1" t="str">
        <f>IF(AND(Programme_Grunddaten!$A333="Geprüft",Programme_Grunddaten!N333&lt;&gt;""),IF(Programme_Grunddaten!N333="Ja",1,0),"")</f>
        <v/>
      </c>
      <c r="H328" s="1" t="str">
        <f>IF(AND(Programme_Grunddaten!$A333="Geprüft",Programme_Grunddaten!O333&lt;&gt;""),IF(Programme_Grunddaten!O333="Deutschland",0,IF(Programme_Grunddaten!O333="EU",1,2)),"")</f>
        <v/>
      </c>
      <c r="I328" s="1" t="str">
        <f>IF(AND(Programme_Grunddaten!$A333="Geprüft",Programme_Grunddaten!P333&lt;&gt;""),IF(Programme_Grunddaten!P333="Ja",1,0),"")</f>
        <v/>
      </c>
      <c r="J328" s="1" t="str">
        <f>IF(AND(Programme_Grunddaten!$A333="Geprüft",Programme_Grunddaten!Q333&lt;&gt;""),IF(Programme_Grunddaten!Q333="geschlossenes System",1,0),"")</f>
        <v/>
      </c>
      <c r="K328" s="1" t="str">
        <f>IF(AND(Programme_Grunddaten!$A333="Geprüft",Programme_Grunddaten!R333&lt;&gt;""),IF(Programme_Grunddaten!R333="Ja",1,0),"")</f>
        <v/>
      </c>
      <c r="L328" s="1" t="str">
        <f>IF(AND(Programme_Grunddaten!$A333="Geprüft",Programme_Grunddaten!T333&lt;&gt;""),IF(Programme_Grunddaten!T333="Ja",1,0),"")</f>
        <v/>
      </c>
      <c r="M328" s="1" t="str">
        <f>IF(AND(Programme_Grunddaten!$A333="Geprüft",Programme_Grunddaten!U333&lt;&gt;""),IF(Programme_Grunddaten!U333="Ja",1,0),"")</f>
        <v/>
      </c>
      <c r="N328" s="1" t="str">
        <f>IF(AND(Programme_Grunddaten!$A333="Geprüft",Programme_Grunddaten!V333&lt;&gt;""),IF(Programme_Grunddaten!V333="Ja",1,0),"")</f>
        <v/>
      </c>
      <c r="O328" s="1" t="str">
        <f>IF(AND(Programme_Grunddaten!$A333="Geprüft",Programme_Grunddaten!W333&lt;&gt;""),IF(Programme_Grunddaten!W333="Ja",1,0),"")</f>
        <v/>
      </c>
      <c r="P328" s="1" t="str">
        <f>IF(AND(Programme_Grunddaten!$A333="Geprüft",Programme_Grunddaten!X333&lt;&gt;""),IF(Programme_Grunddaten!X333="Ja",1,0),"")</f>
        <v/>
      </c>
      <c r="Q328" s="1" t="str">
        <f>IF(AND(Programme_Grunddaten!$A333="Geprüft",Programme_Grunddaten!Y333&lt;&gt;""),IF(Programme_Grunddaten!Y333="Ja",1,0),"")</f>
        <v/>
      </c>
      <c r="R328" s="1" t="str">
        <f>IF(AND(Programme_Grunddaten!$A333="Geprüft",Programme_Grunddaten!Z333&lt;&gt;""),IF(Programme_Grunddaten!Z333="Ja",1,0),"")</f>
        <v/>
      </c>
      <c r="S328" s="1" t="str">
        <f>IF(AND(Programme_Grunddaten!$A333="Geprüft",Programme_Grunddaten!AA333&lt;&gt;""),IF(Programme_Grunddaten!AA333="monolithisch",1,0),"")</f>
        <v/>
      </c>
      <c r="T328" s="1" t="str">
        <f>IF(AND(Programme_Grunddaten!$A333="Geprüft",Programme_Grunddaten!AB333&lt;&gt;""),IF(Programme_Grunddaten!AB333="Ja",1,0),"")</f>
        <v/>
      </c>
      <c r="U328" s="1" t="str">
        <f>IF(AND(Programme_Grunddaten!$A333="Geprüft",Programme_Grunddaten!AC333&lt;&gt;""),IF(Programme_Grunddaten!AC333="Ja",1,0),"")</f>
        <v/>
      </c>
      <c r="V328" s="1" t="str">
        <f>IF(AND(Programme_Grunddaten!$A333="Geprüft",Programme_Grunddaten!AD333&lt;&gt;""),IF(Programme_Grunddaten!AD333="Ja",1,0),"")</f>
        <v/>
      </c>
      <c r="W328" s="1" t="str">
        <f>IF(AND(Programme_Grunddaten!$A333="Geprüft",Programme_Grunddaten!AE333&lt;&gt;""),IF(Programme_Grunddaten!AE333="Ja",1,0),"")</f>
        <v/>
      </c>
      <c r="X328" s="1" t="str">
        <f>IF(AND(Programme_Grunddaten!$A333="Geprüft",Programme_Grunddaten!AF333&lt;&gt;""),IF(Programme_Grunddaten!AF333="Ja",1,0),"")</f>
        <v/>
      </c>
      <c r="Y328" s="1" t="str">
        <f>IF(AND(Programme_Grunddaten!$A333="Geprüft",Programme_Grunddaten!AG333&lt;&gt;""),IF(Programme_Grunddaten!AG333="Ja",1,0),"")</f>
        <v/>
      </c>
      <c r="Z328" s="1" t="str">
        <f>IF(AND(Programme_Grunddaten!$A333="Geprüft",Programme_Grunddaten!AH333&lt;&gt;""),IF(Programme_Grunddaten!AH333="Ja",1,0),"")</f>
        <v/>
      </c>
      <c r="AA328" s="1" t="str">
        <f>IF(AND(Programme_Grunddaten!$A333="Geprüft",Programme_Grunddaten!AI333&lt;&gt;""),IF(Programme_Grunddaten!AI333="Ja",1,0),"")</f>
        <v/>
      </c>
      <c r="AB328" s="1" t="str">
        <f>IF(AND(Programme_Grunddaten!$A333="Geprüft",Programme_Grunddaten!AJ333&lt;&gt;""),IF(Programme_Grunddaten!AJ333="individuell programmierbar",1,0),"")</f>
        <v/>
      </c>
      <c r="AC328" s="1" t="str">
        <f>IF(AND(Programme_Grunddaten!$A333="Geprüft",Programme_Grunddaten!AK333&lt;&gt;""),IF(Programme_Grunddaten!AK333="Deutsch",0,IF(Programme_Grunddaten!AK333="Deutsch und Englisch",1,2)),"")</f>
        <v/>
      </c>
      <c r="AD328" s="1" t="str">
        <f>IF(AND(Programme_Grunddaten!$A333="Geprüft",Programme_Grunddaten!AL333&lt;&gt;""),IF(Programme_Grunddaten!AL333="Ja",1,0),"")</f>
        <v/>
      </c>
      <c r="AE328" s="1" t="str">
        <f>IF(AND(Programme_Grunddaten!$A333="Geprüft",Programme_Grunddaten!AM333&lt;&gt;""),IF(Programme_Grunddaten!AM333="Ja",1,0),"")</f>
        <v/>
      </c>
      <c r="AF328" s="1" t="str">
        <f>IF(AND(Programme_Grunddaten!$A333="Geprüft",Programme_Grunddaten!AN333&lt;&gt;""),IF(Programme_Grunddaten!AN333="Ja",1,0),"")</f>
        <v/>
      </c>
      <c r="AG328" s="1" t="str">
        <f>IF(AND(Programme_Grunddaten!$A333="Geprüft",Programme_Grunddaten!AO333&lt;&gt;""),IF(Programme_Grunddaten!AO333="Ja",1,0),"")</f>
        <v/>
      </c>
      <c r="AH328" s="1" t="str">
        <f>IF(AND(Programme_Grunddaten!$A333="Geprüft",Programme_Grunddaten!AP333&lt;&gt;""),IF(Programme_Grunddaten!AP333="Ja",1,0),"")</f>
        <v/>
      </c>
      <c r="AI328" s="1" t="str">
        <f>IF(AND(Programme_Grunddaten!$A333="Geprüft",Programme_Grunddaten!AQ333&lt;&gt;""),IF(Programme_Grunddaten!AQ333="Ja",1,0),"")</f>
        <v/>
      </c>
      <c r="AJ328" s="1" t="str">
        <f>IF(AND(Programme_Grunddaten!$A333="Geprüft",Programme_Grunddaten!AR333&lt;&gt;""),IF(Programme_Grunddaten!AR333="Ja",1,0),"")</f>
        <v/>
      </c>
      <c r="AK328" s="1" t="str">
        <f>IF(AND(Programme_Grunddaten!$A333="Geprüft",Programme_Grunddaten!AS333&lt;&gt;""),IF(Programme_Grunddaten!AS333="Ja",1,0),"")</f>
        <v/>
      </c>
      <c r="AL328" s="1" t="str">
        <f>IF(AND(Programme_Grunddaten!$A333="Geprüft",Programme_Grunddaten!AT333&lt;&gt;""),IF(Programme_Grunddaten!AT333="Ja",1,0),"")</f>
        <v/>
      </c>
      <c r="AM328" s="1" t="str">
        <f>IF(AND(Programme_Grunddaten!$A333="Geprüft",Programme_Grunddaten!AU333&lt;&gt;""),IF(Programme_Grunddaten!AU333="Ja",1,0),"")</f>
        <v/>
      </c>
      <c r="AN328" s="1" t="str">
        <f>IF(AND(Programme_Grunddaten!$A333="Geprüft",Programme_Grunddaten!AV333&lt;&gt;""),IF(Programme_Grunddaten!AV333="Ja",1,0),"")</f>
        <v/>
      </c>
    </row>
    <row r="329" spans="1:40" x14ac:dyDescent="0.3">
      <c r="A329" s="1" t="str">
        <f>IF(AND(Programme_Grunddaten!A334="Geprüft",Programme_Grunddaten!B334&lt;&gt;""),Programme_Grunddaten!B334,"")</f>
        <v/>
      </c>
      <c r="B329" s="1" t="str">
        <f>IF(AND(Programme_Grunddaten!$A334="Geprüft",Programme_Grunddaten!I334&lt;&gt;""),IF(Programme_Grunddaten!I334="Ja",1,0),"")</f>
        <v/>
      </c>
      <c r="C329" s="1" t="str">
        <f>IF(AND(Programme_Grunddaten!$A334="Geprüft",Programme_Grunddaten!J334&lt;&gt;""),IF(Programme_Grunddaten!J334="Ja",1,0),"")</f>
        <v/>
      </c>
      <c r="D329" s="1" t="str">
        <f>IF(AND(Programme_Grunddaten!$A334="Geprüft",Programme_Grunddaten!K334&lt;&gt;""),IF(Programme_Grunddaten!K334="Ja",1,0),"")</f>
        <v/>
      </c>
      <c r="E329" s="1" t="str">
        <f>IF(AND(Programme_Grunddaten!$A334="Geprüft",Programme_Grunddaten!L334&lt;&gt;""),IF(Programme_Grunddaten!L334="Abo / befristete Lizenz",1,0),"")</f>
        <v/>
      </c>
      <c r="F329" s="1" t="str">
        <f>IF(AND(Programme_Grunddaten!$A334="Geprüft",Programme_Grunddaten!M334&lt;&gt;""),IF(Programme_Grunddaten!M334="Ja",1,0),"")</f>
        <v/>
      </c>
      <c r="G329" s="1" t="str">
        <f>IF(AND(Programme_Grunddaten!$A334="Geprüft",Programme_Grunddaten!N334&lt;&gt;""),IF(Programme_Grunddaten!N334="Ja",1,0),"")</f>
        <v/>
      </c>
      <c r="H329" s="1" t="str">
        <f>IF(AND(Programme_Grunddaten!$A334="Geprüft",Programme_Grunddaten!O334&lt;&gt;""),IF(Programme_Grunddaten!O334="Deutschland",0,IF(Programme_Grunddaten!O334="EU",1,2)),"")</f>
        <v/>
      </c>
      <c r="I329" s="1" t="str">
        <f>IF(AND(Programme_Grunddaten!$A334="Geprüft",Programme_Grunddaten!P334&lt;&gt;""),IF(Programme_Grunddaten!P334="Ja",1,0),"")</f>
        <v/>
      </c>
      <c r="J329" s="1" t="str">
        <f>IF(AND(Programme_Grunddaten!$A334="Geprüft",Programme_Grunddaten!Q334&lt;&gt;""),IF(Programme_Grunddaten!Q334="geschlossenes System",1,0),"")</f>
        <v/>
      </c>
      <c r="K329" s="1" t="str">
        <f>IF(AND(Programme_Grunddaten!$A334="Geprüft",Programme_Grunddaten!R334&lt;&gt;""),IF(Programme_Grunddaten!R334="Ja",1,0),"")</f>
        <v/>
      </c>
      <c r="L329" s="1" t="str">
        <f>IF(AND(Programme_Grunddaten!$A334="Geprüft",Programme_Grunddaten!T334&lt;&gt;""),IF(Programme_Grunddaten!T334="Ja",1,0),"")</f>
        <v/>
      </c>
      <c r="M329" s="1" t="str">
        <f>IF(AND(Programme_Grunddaten!$A334="Geprüft",Programme_Grunddaten!U334&lt;&gt;""),IF(Programme_Grunddaten!U334="Ja",1,0),"")</f>
        <v/>
      </c>
      <c r="N329" s="1" t="str">
        <f>IF(AND(Programme_Grunddaten!$A334="Geprüft",Programme_Grunddaten!V334&lt;&gt;""),IF(Programme_Grunddaten!V334="Ja",1,0),"")</f>
        <v/>
      </c>
      <c r="O329" s="1" t="str">
        <f>IF(AND(Programme_Grunddaten!$A334="Geprüft",Programme_Grunddaten!W334&lt;&gt;""),IF(Programme_Grunddaten!W334="Ja",1,0),"")</f>
        <v/>
      </c>
      <c r="P329" s="1" t="str">
        <f>IF(AND(Programme_Grunddaten!$A334="Geprüft",Programme_Grunddaten!X334&lt;&gt;""),IF(Programme_Grunddaten!X334="Ja",1,0),"")</f>
        <v/>
      </c>
      <c r="Q329" s="1" t="str">
        <f>IF(AND(Programme_Grunddaten!$A334="Geprüft",Programme_Grunddaten!Y334&lt;&gt;""),IF(Programme_Grunddaten!Y334="Ja",1,0),"")</f>
        <v/>
      </c>
      <c r="R329" s="1" t="str">
        <f>IF(AND(Programme_Grunddaten!$A334="Geprüft",Programme_Grunddaten!Z334&lt;&gt;""),IF(Programme_Grunddaten!Z334="Ja",1,0),"")</f>
        <v/>
      </c>
      <c r="S329" s="1" t="str">
        <f>IF(AND(Programme_Grunddaten!$A334="Geprüft",Programme_Grunddaten!AA334&lt;&gt;""),IF(Programme_Grunddaten!AA334="monolithisch",1,0),"")</f>
        <v/>
      </c>
      <c r="T329" s="1" t="str">
        <f>IF(AND(Programme_Grunddaten!$A334="Geprüft",Programme_Grunddaten!AB334&lt;&gt;""),IF(Programme_Grunddaten!AB334="Ja",1,0),"")</f>
        <v/>
      </c>
      <c r="U329" s="1" t="str">
        <f>IF(AND(Programme_Grunddaten!$A334="Geprüft",Programme_Grunddaten!AC334&lt;&gt;""),IF(Programme_Grunddaten!AC334="Ja",1,0),"")</f>
        <v/>
      </c>
      <c r="V329" s="1" t="str">
        <f>IF(AND(Programme_Grunddaten!$A334="Geprüft",Programme_Grunddaten!AD334&lt;&gt;""),IF(Programme_Grunddaten!AD334="Ja",1,0),"")</f>
        <v/>
      </c>
      <c r="W329" s="1" t="str">
        <f>IF(AND(Programme_Grunddaten!$A334="Geprüft",Programme_Grunddaten!AE334&lt;&gt;""),IF(Programme_Grunddaten!AE334="Ja",1,0),"")</f>
        <v/>
      </c>
      <c r="X329" s="1" t="str">
        <f>IF(AND(Programme_Grunddaten!$A334="Geprüft",Programme_Grunddaten!AF334&lt;&gt;""),IF(Programme_Grunddaten!AF334="Ja",1,0),"")</f>
        <v/>
      </c>
      <c r="Y329" s="1" t="str">
        <f>IF(AND(Programme_Grunddaten!$A334="Geprüft",Programme_Grunddaten!AG334&lt;&gt;""),IF(Programme_Grunddaten!AG334="Ja",1,0),"")</f>
        <v/>
      </c>
      <c r="Z329" s="1" t="str">
        <f>IF(AND(Programme_Grunddaten!$A334="Geprüft",Programme_Grunddaten!AH334&lt;&gt;""),IF(Programme_Grunddaten!AH334="Ja",1,0),"")</f>
        <v/>
      </c>
      <c r="AA329" s="1" t="str">
        <f>IF(AND(Programme_Grunddaten!$A334="Geprüft",Programme_Grunddaten!AI334&lt;&gt;""),IF(Programme_Grunddaten!AI334="Ja",1,0),"")</f>
        <v/>
      </c>
      <c r="AB329" s="1" t="str">
        <f>IF(AND(Programme_Grunddaten!$A334="Geprüft",Programme_Grunddaten!AJ334&lt;&gt;""),IF(Programme_Grunddaten!AJ334="individuell programmierbar",1,0),"")</f>
        <v/>
      </c>
      <c r="AC329" s="1" t="str">
        <f>IF(AND(Programme_Grunddaten!$A334="Geprüft",Programme_Grunddaten!AK334&lt;&gt;""),IF(Programme_Grunddaten!AK334="Deutsch",0,IF(Programme_Grunddaten!AK334="Deutsch und Englisch",1,2)),"")</f>
        <v/>
      </c>
      <c r="AD329" s="1" t="str">
        <f>IF(AND(Programme_Grunddaten!$A334="Geprüft",Programme_Grunddaten!AL334&lt;&gt;""),IF(Programme_Grunddaten!AL334="Ja",1,0),"")</f>
        <v/>
      </c>
      <c r="AE329" s="1" t="str">
        <f>IF(AND(Programme_Grunddaten!$A334="Geprüft",Programme_Grunddaten!AM334&lt;&gt;""),IF(Programme_Grunddaten!AM334="Ja",1,0),"")</f>
        <v/>
      </c>
      <c r="AF329" s="1" t="str">
        <f>IF(AND(Programme_Grunddaten!$A334="Geprüft",Programme_Grunddaten!AN334&lt;&gt;""),IF(Programme_Grunddaten!AN334="Ja",1,0),"")</f>
        <v/>
      </c>
      <c r="AG329" s="1" t="str">
        <f>IF(AND(Programme_Grunddaten!$A334="Geprüft",Programme_Grunddaten!AO334&lt;&gt;""),IF(Programme_Grunddaten!AO334="Ja",1,0),"")</f>
        <v/>
      </c>
      <c r="AH329" s="1" t="str">
        <f>IF(AND(Programme_Grunddaten!$A334="Geprüft",Programme_Grunddaten!AP334&lt;&gt;""),IF(Programme_Grunddaten!AP334="Ja",1,0),"")</f>
        <v/>
      </c>
      <c r="AI329" s="1" t="str">
        <f>IF(AND(Programme_Grunddaten!$A334="Geprüft",Programme_Grunddaten!AQ334&lt;&gt;""),IF(Programme_Grunddaten!AQ334="Ja",1,0),"")</f>
        <v/>
      </c>
      <c r="AJ329" s="1" t="str">
        <f>IF(AND(Programme_Grunddaten!$A334="Geprüft",Programme_Grunddaten!AR334&lt;&gt;""),IF(Programme_Grunddaten!AR334="Ja",1,0),"")</f>
        <v/>
      </c>
      <c r="AK329" s="1" t="str">
        <f>IF(AND(Programme_Grunddaten!$A334="Geprüft",Programme_Grunddaten!AS334&lt;&gt;""),IF(Programme_Grunddaten!AS334="Ja",1,0),"")</f>
        <v/>
      </c>
      <c r="AL329" s="1" t="str">
        <f>IF(AND(Programme_Grunddaten!$A334="Geprüft",Programme_Grunddaten!AT334&lt;&gt;""),IF(Programme_Grunddaten!AT334="Ja",1,0),"")</f>
        <v/>
      </c>
      <c r="AM329" s="1" t="str">
        <f>IF(AND(Programme_Grunddaten!$A334="Geprüft",Programme_Grunddaten!AU334&lt;&gt;""),IF(Programme_Grunddaten!AU334="Ja",1,0),"")</f>
        <v/>
      </c>
      <c r="AN329" s="1" t="str">
        <f>IF(AND(Programme_Grunddaten!$A334="Geprüft",Programme_Grunddaten!AV334&lt;&gt;""),IF(Programme_Grunddaten!AV334="Ja",1,0),"")</f>
        <v/>
      </c>
    </row>
    <row r="330" spans="1:40" x14ac:dyDescent="0.3">
      <c r="A330" s="1" t="str">
        <f>IF(AND(Programme_Grunddaten!A335="Geprüft",Programme_Grunddaten!B335&lt;&gt;""),Programme_Grunddaten!B335,"")</f>
        <v/>
      </c>
      <c r="B330" s="1" t="str">
        <f>IF(AND(Programme_Grunddaten!$A335="Geprüft",Programme_Grunddaten!I335&lt;&gt;""),IF(Programme_Grunddaten!I335="Ja",1,0),"")</f>
        <v/>
      </c>
      <c r="C330" s="1" t="str">
        <f>IF(AND(Programme_Grunddaten!$A335="Geprüft",Programme_Grunddaten!J335&lt;&gt;""),IF(Programme_Grunddaten!J335="Ja",1,0),"")</f>
        <v/>
      </c>
      <c r="D330" s="1" t="str">
        <f>IF(AND(Programme_Grunddaten!$A335="Geprüft",Programme_Grunddaten!K335&lt;&gt;""),IF(Programme_Grunddaten!K335="Ja",1,0),"")</f>
        <v/>
      </c>
      <c r="E330" s="1" t="str">
        <f>IF(AND(Programme_Grunddaten!$A335="Geprüft",Programme_Grunddaten!L335&lt;&gt;""),IF(Programme_Grunddaten!L335="Abo / befristete Lizenz",1,0),"")</f>
        <v/>
      </c>
      <c r="F330" s="1" t="str">
        <f>IF(AND(Programme_Grunddaten!$A335="Geprüft",Programme_Grunddaten!M335&lt;&gt;""),IF(Programme_Grunddaten!M335="Ja",1,0),"")</f>
        <v/>
      </c>
      <c r="G330" s="1" t="str">
        <f>IF(AND(Programme_Grunddaten!$A335="Geprüft",Programme_Grunddaten!N335&lt;&gt;""),IF(Programme_Grunddaten!N335="Ja",1,0),"")</f>
        <v/>
      </c>
      <c r="H330" s="1" t="str">
        <f>IF(AND(Programme_Grunddaten!$A335="Geprüft",Programme_Grunddaten!O335&lt;&gt;""),IF(Programme_Grunddaten!O335="Deutschland",0,IF(Programme_Grunddaten!O335="EU",1,2)),"")</f>
        <v/>
      </c>
      <c r="I330" s="1" t="str">
        <f>IF(AND(Programme_Grunddaten!$A335="Geprüft",Programme_Grunddaten!P335&lt;&gt;""),IF(Programme_Grunddaten!P335="Ja",1,0),"")</f>
        <v/>
      </c>
      <c r="J330" s="1" t="str">
        <f>IF(AND(Programme_Grunddaten!$A335="Geprüft",Programme_Grunddaten!Q335&lt;&gt;""),IF(Programme_Grunddaten!Q335="geschlossenes System",1,0),"")</f>
        <v/>
      </c>
      <c r="K330" s="1" t="str">
        <f>IF(AND(Programme_Grunddaten!$A335="Geprüft",Programme_Grunddaten!R335&lt;&gt;""),IF(Programme_Grunddaten!R335="Ja",1,0),"")</f>
        <v/>
      </c>
      <c r="L330" s="1" t="str">
        <f>IF(AND(Programme_Grunddaten!$A335="Geprüft",Programme_Grunddaten!T335&lt;&gt;""),IF(Programme_Grunddaten!T335="Ja",1,0),"")</f>
        <v/>
      </c>
      <c r="M330" s="1" t="str">
        <f>IF(AND(Programme_Grunddaten!$A335="Geprüft",Programme_Grunddaten!U335&lt;&gt;""),IF(Programme_Grunddaten!U335="Ja",1,0),"")</f>
        <v/>
      </c>
      <c r="N330" s="1" t="str">
        <f>IF(AND(Programme_Grunddaten!$A335="Geprüft",Programme_Grunddaten!V335&lt;&gt;""),IF(Programme_Grunddaten!V335="Ja",1,0),"")</f>
        <v/>
      </c>
      <c r="O330" s="1" t="str">
        <f>IF(AND(Programme_Grunddaten!$A335="Geprüft",Programme_Grunddaten!W335&lt;&gt;""),IF(Programme_Grunddaten!W335="Ja",1,0),"")</f>
        <v/>
      </c>
      <c r="P330" s="1" t="str">
        <f>IF(AND(Programme_Grunddaten!$A335="Geprüft",Programme_Grunddaten!X335&lt;&gt;""),IF(Programme_Grunddaten!X335="Ja",1,0),"")</f>
        <v/>
      </c>
      <c r="Q330" s="1" t="str">
        <f>IF(AND(Programme_Grunddaten!$A335="Geprüft",Programme_Grunddaten!Y335&lt;&gt;""),IF(Programme_Grunddaten!Y335="Ja",1,0),"")</f>
        <v/>
      </c>
      <c r="R330" s="1" t="str">
        <f>IF(AND(Programme_Grunddaten!$A335="Geprüft",Programme_Grunddaten!Z335&lt;&gt;""),IF(Programme_Grunddaten!Z335="Ja",1,0),"")</f>
        <v/>
      </c>
      <c r="S330" s="1" t="str">
        <f>IF(AND(Programme_Grunddaten!$A335="Geprüft",Programme_Grunddaten!AA335&lt;&gt;""),IF(Programme_Grunddaten!AA335="monolithisch",1,0),"")</f>
        <v/>
      </c>
      <c r="T330" s="1" t="str">
        <f>IF(AND(Programme_Grunddaten!$A335="Geprüft",Programme_Grunddaten!AB335&lt;&gt;""),IF(Programme_Grunddaten!AB335="Ja",1,0),"")</f>
        <v/>
      </c>
      <c r="U330" s="1" t="str">
        <f>IF(AND(Programme_Grunddaten!$A335="Geprüft",Programme_Grunddaten!AC335&lt;&gt;""),IF(Programme_Grunddaten!AC335="Ja",1,0),"")</f>
        <v/>
      </c>
      <c r="V330" s="1" t="str">
        <f>IF(AND(Programme_Grunddaten!$A335="Geprüft",Programme_Grunddaten!AD335&lt;&gt;""),IF(Programme_Grunddaten!AD335="Ja",1,0),"")</f>
        <v/>
      </c>
      <c r="W330" s="1" t="str">
        <f>IF(AND(Programme_Grunddaten!$A335="Geprüft",Programme_Grunddaten!AE335&lt;&gt;""),IF(Programme_Grunddaten!AE335="Ja",1,0),"")</f>
        <v/>
      </c>
      <c r="X330" s="1" t="str">
        <f>IF(AND(Programme_Grunddaten!$A335="Geprüft",Programme_Grunddaten!AF335&lt;&gt;""),IF(Programme_Grunddaten!AF335="Ja",1,0),"")</f>
        <v/>
      </c>
      <c r="Y330" s="1" t="str">
        <f>IF(AND(Programme_Grunddaten!$A335="Geprüft",Programme_Grunddaten!AG335&lt;&gt;""),IF(Programme_Grunddaten!AG335="Ja",1,0),"")</f>
        <v/>
      </c>
      <c r="Z330" s="1" t="str">
        <f>IF(AND(Programme_Grunddaten!$A335="Geprüft",Programme_Grunddaten!AH335&lt;&gt;""),IF(Programme_Grunddaten!AH335="Ja",1,0),"")</f>
        <v/>
      </c>
      <c r="AA330" s="1" t="str">
        <f>IF(AND(Programme_Grunddaten!$A335="Geprüft",Programme_Grunddaten!AI335&lt;&gt;""),IF(Programme_Grunddaten!AI335="Ja",1,0),"")</f>
        <v/>
      </c>
      <c r="AB330" s="1" t="str">
        <f>IF(AND(Programme_Grunddaten!$A335="Geprüft",Programme_Grunddaten!AJ335&lt;&gt;""),IF(Programme_Grunddaten!AJ335="individuell programmierbar",1,0),"")</f>
        <v/>
      </c>
      <c r="AC330" s="1" t="str">
        <f>IF(AND(Programme_Grunddaten!$A335="Geprüft",Programme_Grunddaten!AK335&lt;&gt;""),IF(Programme_Grunddaten!AK335="Deutsch",0,IF(Programme_Grunddaten!AK335="Deutsch und Englisch",1,2)),"")</f>
        <v/>
      </c>
      <c r="AD330" s="1" t="str">
        <f>IF(AND(Programme_Grunddaten!$A335="Geprüft",Programme_Grunddaten!AL335&lt;&gt;""),IF(Programme_Grunddaten!AL335="Ja",1,0),"")</f>
        <v/>
      </c>
      <c r="AE330" s="1" t="str">
        <f>IF(AND(Programme_Grunddaten!$A335="Geprüft",Programme_Grunddaten!AM335&lt;&gt;""),IF(Programme_Grunddaten!AM335="Ja",1,0),"")</f>
        <v/>
      </c>
      <c r="AF330" s="1" t="str">
        <f>IF(AND(Programme_Grunddaten!$A335="Geprüft",Programme_Grunddaten!AN335&lt;&gt;""),IF(Programme_Grunddaten!AN335="Ja",1,0),"")</f>
        <v/>
      </c>
      <c r="AG330" s="1" t="str">
        <f>IF(AND(Programme_Grunddaten!$A335="Geprüft",Programme_Grunddaten!AO335&lt;&gt;""),IF(Programme_Grunddaten!AO335="Ja",1,0),"")</f>
        <v/>
      </c>
      <c r="AH330" s="1" t="str">
        <f>IF(AND(Programme_Grunddaten!$A335="Geprüft",Programme_Grunddaten!AP335&lt;&gt;""),IF(Programme_Grunddaten!AP335="Ja",1,0),"")</f>
        <v/>
      </c>
      <c r="AI330" s="1" t="str">
        <f>IF(AND(Programme_Grunddaten!$A335="Geprüft",Programme_Grunddaten!AQ335&lt;&gt;""),IF(Programme_Grunddaten!AQ335="Ja",1,0),"")</f>
        <v/>
      </c>
      <c r="AJ330" s="1" t="str">
        <f>IF(AND(Programme_Grunddaten!$A335="Geprüft",Programme_Grunddaten!AR335&lt;&gt;""),IF(Programme_Grunddaten!AR335="Ja",1,0),"")</f>
        <v/>
      </c>
      <c r="AK330" s="1" t="str">
        <f>IF(AND(Programme_Grunddaten!$A335="Geprüft",Programme_Grunddaten!AS335&lt;&gt;""),IF(Programme_Grunddaten!AS335="Ja",1,0),"")</f>
        <v/>
      </c>
      <c r="AL330" s="1" t="str">
        <f>IF(AND(Programme_Grunddaten!$A335="Geprüft",Programme_Grunddaten!AT335&lt;&gt;""),IF(Programme_Grunddaten!AT335="Ja",1,0),"")</f>
        <v/>
      </c>
      <c r="AM330" s="1" t="str">
        <f>IF(AND(Programme_Grunddaten!$A335="Geprüft",Programme_Grunddaten!AU335&lt;&gt;""),IF(Programme_Grunddaten!AU335="Ja",1,0),"")</f>
        <v/>
      </c>
      <c r="AN330" s="1" t="str">
        <f>IF(AND(Programme_Grunddaten!$A335="Geprüft",Programme_Grunddaten!AV335&lt;&gt;""),IF(Programme_Grunddaten!AV335="Ja",1,0),"")</f>
        <v/>
      </c>
    </row>
    <row r="331" spans="1:40" x14ac:dyDescent="0.3">
      <c r="A331" s="1" t="str">
        <f>IF(AND(Programme_Grunddaten!A336="Geprüft",Programme_Grunddaten!B336&lt;&gt;""),Programme_Grunddaten!B336,"")</f>
        <v/>
      </c>
      <c r="B331" s="1" t="str">
        <f>IF(AND(Programme_Grunddaten!$A336="Geprüft",Programme_Grunddaten!I336&lt;&gt;""),IF(Programme_Grunddaten!I336="Ja",1,0),"")</f>
        <v/>
      </c>
      <c r="C331" s="1" t="str">
        <f>IF(AND(Programme_Grunddaten!$A336="Geprüft",Programme_Grunddaten!J336&lt;&gt;""),IF(Programme_Grunddaten!J336="Ja",1,0),"")</f>
        <v/>
      </c>
      <c r="D331" s="1" t="str">
        <f>IF(AND(Programme_Grunddaten!$A336="Geprüft",Programme_Grunddaten!K336&lt;&gt;""),IF(Programme_Grunddaten!K336="Ja",1,0),"")</f>
        <v/>
      </c>
      <c r="E331" s="1" t="str">
        <f>IF(AND(Programme_Grunddaten!$A336="Geprüft",Programme_Grunddaten!L336&lt;&gt;""),IF(Programme_Grunddaten!L336="Abo / befristete Lizenz",1,0),"")</f>
        <v/>
      </c>
      <c r="F331" s="1" t="str">
        <f>IF(AND(Programme_Grunddaten!$A336="Geprüft",Programme_Grunddaten!M336&lt;&gt;""),IF(Programme_Grunddaten!M336="Ja",1,0),"")</f>
        <v/>
      </c>
      <c r="G331" s="1" t="str">
        <f>IF(AND(Programme_Grunddaten!$A336="Geprüft",Programme_Grunddaten!N336&lt;&gt;""),IF(Programme_Grunddaten!N336="Ja",1,0),"")</f>
        <v/>
      </c>
      <c r="H331" s="1" t="str">
        <f>IF(AND(Programme_Grunddaten!$A336="Geprüft",Programme_Grunddaten!O336&lt;&gt;""),IF(Programme_Grunddaten!O336="Deutschland",0,IF(Programme_Grunddaten!O336="EU",1,2)),"")</f>
        <v/>
      </c>
      <c r="I331" s="1" t="str">
        <f>IF(AND(Programme_Grunddaten!$A336="Geprüft",Programme_Grunddaten!P336&lt;&gt;""),IF(Programme_Grunddaten!P336="Ja",1,0),"")</f>
        <v/>
      </c>
      <c r="J331" s="1" t="str">
        <f>IF(AND(Programme_Grunddaten!$A336="Geprüft",Programme_Grunddaten!Q336&lt;&gt;""),IF(Programme_Grunddaten!Q336="geschlossenes System",1,0),"")</f>
        <v/>
      </c>
      <c r="K331" s="1" t="str">
        <f>IF(AND(Programme_Grunddaten!$A336="Geprüft",Programme_Grunddaten!R336&lt;&gt;""),IF(Programme_Grunddaten!R336="Ja",1,0),"")</f>
        <v/>
      </c>
      <c r="L331" s="1" t="str">
        <f>IF(AND(Programme_Grunddaten!$A336="Geprüft",Programme_Grunddaten!T336&lt;&gt;""),IF(Programme_Grunddaten!T336="Ja",1,0),"")</f>
        <v/>
      </c>
      <c r="M331" s="1" t="str">
        <f>IF(AND(Programme_Grunddaten!$A336="Geprüft",Programme_Grunddaten!U336&lt;&gt;""),IF(Programme_Grunddaten!U336="Ja",1,0),"")</f>
        <v/>
      </c>
      <c r="N331" s="1" t="str">
        <f>IF(AND(Programme_Grunddaten!$A336="Geprüft",Programme_Grunddaten!V336&lt;&gt;""),IF(Programme_Grunddaten!V336="Ja",1,0),"")</f>
        <v/>
      </c>
      <c r="O331" s="1" t="str">
        <f>IF(AND(Programme_Grunddaten!$A336="Geprüft",Programme_Grunddaten!W336&lt;&gt;""),IF(Programme_Grunddaten!W336="Ja",1,0),"")</f>
        <v/>
      </c>
      <c r="P331" s="1" t="str">
        <f>IF(AND(Programme_Grunddaten!$A336="Geprüft",Programme_Grunddaten!X336&lt;&gt;""),IF(Programme_Grunddaten!X336="Ja",1,0),"")</f>
        <v/>
      </c>
      <c r="Q331" s="1" t="str">
        <f>IF(AND(Programme_Grunddaten!$A336="Geprüft",Programme_Grunddaten!Y336&lt;&gt;""),IF(Programme_Grunddaten!Y336="Ja",1,0),"")</f>
        <v/>
      </c>
      <c r="R331" s="1" t="str">
        <f>IF(AND(Programme_Grunddaten!$A336="Geprüft",Programme_Grunddaten!Z336&lt;&gt;""),IF(Programme_Grunddaten!Z336="Ja",1,0),"")</f>
        <v/>
      </c>
      <c r="S331" s="1" t="str">
        <f>IF(AND(Programme_Grunddaten!$A336="Geprüft",Programme_Grunddaten!AA336&lt;&gt;""),IF(Programme_Grunddaten!AA336="monolithisch",1,0),"")</f>
        <v/>
      </c>
      <c r="T331" s="1" t="str">
        <f>IF(AND(Programme_Grunddaten!$A336="Geprüft",Programme_Grunddaten!AB336&lt;&gt;""),IF(Programme_Grunddaten!AB336="Ja",1,0),"")</f>
        <v/>
      </c>
      <c r="U331" s="1" t="str">
        <f>IF(AND(Programme_Grunddaten!$A336="Geprüft",Programme_Grunddaten!AC336&lt;&gt;""),IF(Programme_Grunddaten!AC336="Ja",1,0),"")</f>
        <v/>
      </c>
      <c r="V331" s="1" t="str">
        <f>IF(AND(Programme_Grunddaten!$A336="Geprüft",Programme_Grunddaten!AD336&lt;&gt;""),IF(Programme_Grunddaten!AD336="Ja",1,0),"")</f>
        <v/>
      </c>
      <c r="W331" s="1" t="str">
        <f>IF(AND(Programme_Grunddaten!$A336="Geprüft",Programme_Grunddaten!AE336&lt;&gt;""),IF(Programme_Grunddaten!AE336="Ja",1,0),"")</f>
        <v/>
      </c>
      <c r="X331" s="1" t="str">
        <f>IF(AND(Programme_Grunddaten!$A336="Geprüft",Programme_Grunddaten!AF336&lt;&gt;""),IF(Programme_Grunddaten!AF336="Ja",1,0),"")</f>
        <v/>
      </c>
      <c r="Y331" s="1" t="str">
        <f>IF(AND(Programme_Grunddaten!$A336="Geprüft",Programme_Grunddaten!AG336&lt;&gt;""),IF(Programme_Grunddaten!AG336="Ja",1,0),"")</f>
        <v/>
      </c>
      <c r="Z331" s="1" t="str">
        <f>IF(AND(Programme_Grunddaten!$A336="Geprüft",Programme_Grunddaten!AH336&lt;&gt;""),IF(Programme_Grunddaten!AH336="Ja",1,0),"")</f>
        <v/>
      </c>
      <c r="AA331" s="1" t="str">
        <f>IF(AND(Programme_Grunddaten!$A336="Geprüft",Programme_Grunddaten!AI336&lt;&gt;""),IF(Programme_Grunddaten!AI336="Ja",1,0),"")</f>
        <v/>
      </c>
      <c r="AB331" s="1" t="str">
        <f>IF(AND(Programme_Grunddaten!$A336="Geprüft",Programme_Grunddaten!AJ336&lt;&gt;""),IF(Programme_Grunddaten!AJ336="individuell programmierbar",1,0),"")</f>
        <v/>
      </c>
      <c r="AC331" s="1" t="str">
        <f>IF(AND(Programme_Grunddaten!$A336="Geprüft",Programme_Grunddaten!AK336&lt;&gt;""),IF(Programme_Grunddaten!AK336="Deutsch",0,IF(Programme_Grunddaten!AK336="Deutsch und Englisch",1,2)),"")</f>
        <v/>
      </c>
      <c r="AD331" s="1" t="str">
        <f>IF(AND(Programme_Grunddaten!$A336="Geprüft",Programme_Grunddaten!AL336&lt;&gt;""),IF(Programme_Grunddaten!AL336="Ja",1,0),"")</f>
        <v/>
      </c>
      <c r="AE331" s="1" t="str">
        <f>IF(AND(Programme_Grunddaten!$A336="Geprüft",Programme_Grunddaten!AM336&lt;&gt;""),IF(Programme_Grunddaten!AM336="Ja",1,0),"")</f>
        <v/>
      </c>
      <c r="AF331" s="1" t="str">
        <f>IF(AND(Programme_Grunddaten!$A336="Geprüft",Programme_Grunddaten!AN336&lt;&gt;""),IF(Programme_Grunddaten!AN336="Ja",1,0),"")</f>
        <v/>
      </c>
      <c r="AG331" s="1" t="str">
        <f>IF(AND(Programme_Grunddaten!$A336="Geprüft",Programme_Grunddaten!AO336&lt;&gt;""),IF(Programme_Grunddaten!AO336="Ja",1,0),"")</f>
        <v/>
      </c>
      <c r="AH331" s="1" t="str">
        <f>IF(AND(Programme_Grunddaten!$A336="Geprüft",Programme_Grunddaten!AP336&lt;&gt;""),IF(Programme_Grunddaten!AP336="Ja",1,0),"")</f>
        <v/>
      </c>
      <c r="AI331" s="1" t="str">
        <f>IF(AND(Programme_Grunddaten!$A336="Geprüft",Programme_Grunddaten!AQ336&lt;&gt;""),IF(Programme_Grunddaten!AQ336="Ja",1,0),"")</f>
        <v/>
      </c>
      <c r="AJ331" s="1" t="str">
        <f>IF(AND(Programme_Grunddaten!$A336="Geprüft",Programme_Grunddaten!AR336&lt;&gt;""),IF(Programme_Grunddaten!AR336="Ja",1,0),"")</f>
        <v/>
      </c>
      <c r="AK331" s="1" t="str">
        <f>IF(AND(Programme_Grunddaten!$A336="Geprüft",Programme_Grunddaten!AS336&lt;&gt;""),IF(Programme_Grunddaten!AS336="Ja",1,0),"")</f>
        <v/>
      </c>
      <c r="AL331" s="1" t="str">
        <f>IF(AND(Programme_Grunddaten!$A336="Geprüft",Programme_Grunddaten!AT336&lt;&gt;""),IF(Programme_Grunddaten!AT336="Ja",1,0),"")</f>
        <v/>
      </c>
      <c r="AM331" s="1" t="str">
        <f>IF(AND(Programme_Grunddaten!$A336="Geprüft",Programme_Grunddaten!AU336&lt;&gt;""),IF(Programme_Grunddaten!AU336="Ja",1,0),"")</f>
        <v/>
      </c>
      <c r="AN331" s="1" t="str">
        <f>IF(AND(Programme_Grunddaten!$A336="Geprüft",Programme_Grunddaten!AV336&lt;&gt;""),IF(Programme_Grunddaten!AV336="Ja",1,0),"")</f>
        <v/>
      </c>
    </row>
    <row r="332" spans="1:40" x14ac:dyDescent="0.3">
      <c r="A332" s="1" t="str">
        <f>IF(AND(Programme_Grunddaten!A337="Geprüft",Programme_Grunddaten!B337&lt;&gt;""),Programme_Grunddaten!B337,"")</f>
        <v/>
      </c>
      <c r="B332" s="1" t="str">
        <f>IF(AND(Programme_Grunddaten!$A337="Geprüft",Programme_Grunddaten!I337&lt;&gt;""),IF(Programme_Grunddaten!I337="Ja",1,0),"")</f>
        <v/>
      </c>
      <c r="C332" s="1" t="str">
        <f>IF(AND(Programme_Grunddaten!$A337="Geprüft",Programme_Grunddaten!J337&lt;&gt;""),IF(Programme_Grunddaten!J337="Ja",1,0),"")</f>
        <v/>
      </c>
      <c r="D332" s="1" t="str">
        <f>IF(AND(Programme_Grunddaten!$A337="Geprüft",Programme_Grunddaten!K337&lt;&gt;""),IF(Programme_Grunddaten!K337="Ja",1,0),"")</f>
        <v/>
      </c>
      <c r="E332" s="1" t="str">
        <f>IF(AND(Programme_Grunddaten!$A337="Geprüft",Programme_Grunddaten!L337&lt;&gt;""),IF(Programme_Grunddaten!L337="Abo / befristete Lizenz",1,0),"")</f>
        <v/>
      </c>
      <c r="F332" s="1" t="str">
        <f>IF(AND(Programme_Grunddaten!$A337="Geprüft",Programme_Grunddaten!M337&lt;&gt;""),IF(Programme_Grunddaten!M337="Ja",1,0),"")</f>
        <v/>
      </c>
      <c r="G332" s="1" t="str">
        <f>IF(AND(Programme_Grunddaten!$A337="Geprüft",Programme_Grunddaten!N337&lt;&gt;""),IF(Programme_Grunddaten!N337="Ja",1,0),"")</f>
        <v/>
      </c>
      <c r="H332" s="1" t="str">
        <f>IF(AND(Programme_Grunddaten!$A337="Geprüft",Programme_Grunddaten!O337&lt;&gt;""),IF(Programme_Grunddaten!O337="Deutschland",0,IF(Programme_Grunddaten!O337="EU",1,2)),"")</f>
        <v/>
      </c>
      <c r="I332" s="1" t="str">
        <f>IF(AND(Programme_Grunddaten!$A337="Geprüft",Programme_Grunddaten!P337&lt;&gt;""),IF(Programme_Grunddaten!P337="Ja",1,0),"")</f>
        <v/>
      </c>
      <c r="J332" s="1" t="str">
        <f>IF(AND(Programme_Grunddaten!$A337="Geprüft",Programme_Grunddaten!Q337&lt;&gt;""),IF(Programme_Grunddaten!Q337="geschlossenes System",1,0),"")</f>
        <v/>
      </c>
      <c r="K332" s="1" t="str">
        <f>IF(AND(Programme_Grunddaten!$A337="Geprüft",Programme_Grunddaten!R337&lt;&gt;""),IF(Programme_Grunddaten!R337="Ja",1,0),"")</f>
        <v/>
      </c>
      <c r="L332" s="1" t="str">
        <f>IF(AND(Programme_Grunddaten!$A337="Geprüft",Programme_Grunddaten!T337&lt;&gt;""),IF(Programme_Grunddaten!T337="Ja",1,0),"")</f>
        <v/>
      </c>
      <c r="M332" s="1" t="str">
        <f>IF(AND(Programme_Grunddaten!$A337="Geprüft",Programme_Grunddaten!U337&lt;&gt;""),IF(Programme_Grunddaten!U337="Ja",1,0),"")</f>
        <v/>
      </c>
      <c r="N332" s="1" t="str">
        <f>IF(AND(Programme_Grunddaten!$A337="Geprüft",Programme_Grunddaten!V337&lt;&gt;""),IF(Programme_Grunddaten!V337="Ja",1,0),"")</f>
        <v/>
      </c>
      <c r="O332" s="1" t="str">
        <f>IF(AND(Programme_Grunddaten!$A337="Geprüft",Programme_Grunddaten!W337&lt;&gt;""),IF(Programme_Grunddaten!W337="Ja",1,0),"")</f>
        <v/>
      </c>
      <c r="P332" s="1" t="str">
        <f>IF(AND(Programme_Grunddaten!$A337="Geprüft",Programme_Grunddaten!X337&lt;&gt;""),IF(Programme_Grunddaten!X337="Ja",1,0),"")</f>
        <v/>
      </c>
      <c r="Q332" s="1" t="str">
        <f>IF(AND(Programme_Grunddaten!$A337="Geprüft",Programme_Grunddaten!Y337&lt;&gt;""),IF(Programme_Grunddaten!Y337="Ja",1,0),"")</f>
        <v/>
      </c>
      <c r="R332" s="1" t="str">
        <f>IF(AND(Programme_Grunddaten!$A337="Geprüft",Programme_Grunddaten!Z337&lt;&gt;""),IF(Programme_Grunddaten!Z337="Ja",1,0),"")</f>
        <v/>
      </c>
      <c r="S332" s="1" t="str">
        <f>IF(AND(Programme_Grunddaten!$A337="Geprüft",Programme_Grunddaten!AA337&lt;&gt;""),IF(Programme_Grunddaten!AA337="monolithisch",1,0),"")</f>
        <v/>
      </c>
      <c r="T332" s="1" t="str">
        <f>IF(AND(Programme_Grunddaten!$A337="Geprüft",Programme_Grunddaten!AB337&lt;&gt;""),IF(Programme_Grunddaten!AB337="Ja",1,0),"")</f>
        <v/>
      </c>
      <c r="U332" s="1" t="str">
        <f>IF(AND(Programme_Grunddaten!$A337="Geprüft",Programme_Grunddaten!AC337&lt;&gt;""),IF(Programme_Grunddaten!AC337="Ja",1,0),"")</f>
        <v/>
      </c>
      <c r="V332" s="1" t="str">
        <f>IF(AND(Programme_Grunddaten!$A337="Geprüft",Programme_Grunddaten!AD337&lt;&gt;""),IF(Programme_Grunddaten!AD337="Ja",1,0),"")</f>
        <v/>
      </c>
      <c r="W332" s="1" t="str">
        <f>IF(AND(Programme_Grunddaten!$A337="Geprüft",Programme_Grunddaten!AE337&lt;&gt;""),IF(Programme_Grunddaten!AE337="Ja",1,0),"")</f>
        <v/>
      </c>
      <c r="X332" s="1" t="str">
        <f>IF(AND(Programme_Grunddaten!$A337="Geprüft",Programme_Grunddaten!AF337&lt;&gt;""),IF(Programme_Grunddaten!AF337="Ja",1,0),"")</f>
        <v/>
      </c>
      <c r="Y332" s="1" t="str">
        <f>IF(AND(Programme_Grunddaten!$A337="Geprüft",Programme_Grunddaten!AG337&lt;&gt;""),IF(Programme_Grunddaten!AG337="Ja",1,0),"")</f>
        <v/>
      </c>
      <c r="Z332" s="1" t="str">
        <f>IF(AND(Programme_Grunddaten!$A337="Geprüft",Programme_Grunddaten!AH337&lt;&gt;""),IF(Programme_Grunddaten!AH337="Ja",1,0),"")</f>
        <v/>
      </c>
      <c r="AA332" s="1" t="str">
        <f>IF(AND(Programme_Grunddaten!$A337="Geprüft",Programme_Grunddaten!AI337&lt;&gt;""),IF(Programme_Grunddaten!AI337="Ja",1,0),"")</f>
        <v/>
      </c>
      <c r="AB332" s="1" t="str">
        <f>IF(AND(Programme_Grunddaten!$A337="Geprüft",Programme_Grunddaten!AJ337&lt;&gt;""),IF(Programme_Grunddaten!AJ337="individuell programmierbar",1,0),"")</f>
        <v/>
      </c>
      <c r="AC332" s="1" t="str">
        <f>IF(AND(Programme_Grunddaten!$A337="Geprüft",Programme_Grunddaten!AK337&lt;&gt;""),IF(Programme_Grunddaten!AK337="Deutsch",0,IF(Programme_Grunddaten!AK337="Deutsch und Englisch",1,2)),"")</f>
        <v/>
      </c>
      <c r="AD332" s="1" t="str">
        <f>IF(AND(Programme_Grunddaten!$A337="Geprüft",Programme_Grunddaten!AL337&lt;&gt;""),IF(Programme_Grunddaten!AL337="Ja",1,0),"")</f>
        <v/>
      </c>
      <c r="AE332" s="1" t="str">
        <f>IF(AND(Programme_Grunddaten!$A337="Geprüft",Programme_Grunddaten!AM337&lt;&gt;""),IF(Programme_Grunddaten!AM337="Ja",1,0),"")</f>
        <v/>
      </c>
      <c r="AF332" s="1" t="str">
        <f>IF(AND(Programme_Grunddaten!$A337="Geprüft",Programme_Grunddaten!AN337&lt;&gt;""),IF(Programme_Grunddaten!AN337="Ja",1,0),"")</f>
        <v/>
      </c>
      <c r="AG332" s="1" t="str">
        <f>IF(AND(Programme_Grunddaten!$A337="Geprüft",Programme_Grunddaten!AO337&lt;&gt;""),IF(Programme_Grunddaten!AO337="Ja",1,0),"")</f>
        <v/>
      </c>
      <c r="AH332" s="1" t="str">
        <f>IF(AND(Programme_Grunddaten!$A337="Geprüft",Programme_Grunddaten!AP337&lt;&gt;""),IF(Programme_Grunddaten!AP337="Ja",1,0),"")</f>
        <v/>
      </c>
      <c r="AI332" s="1" t="str">
        <f>IF(AND(Programme_Grunddaten!$A337="Geprüft",Programme_Grunddaten!AQ337&lt;&gt;""),IF(Programme_Grunddaten!AQ337="Ja",1,0),"")</f>
        <v/>
      </c>
      <c r="AJ332" s="1" t="str">
        <f>IF(AND(Programme_Grunddaten!$A337="Geprüft",Programme_Grunddaten!AR337&lt;&gt;""),IF(Programme_Grunddaten!AR337="Ja",1,0),"")</f>
        <v/>
      </c>
      <c r="AK332" s="1" t="str">
        <f>IF(AND(Programme_Grunddaten!$A337="Geprüft",Programme_Grunddaten!AS337&lt;&gt;""),IF(Programme_Grunddaten!AS337="Ja",1,0),"")</f>
        <v/>
      </c>
      <c r="AL332" s="1" t="str">
        <f>IF(AND(Programme_Grunddaten!$A337="Geprüft",Programme_Grunddaten!AT337&lt;&gt;""),IF(Programme_Grunddaten!AT337="Ja",1,0),"")</f>
        <v/>
      </c>
      <c r="AM332" s="1" t="str">
        <f>IF(AND(Programme_Grunddaten!$A337="Geprüft",Programme_Grunddaten!AU337&lt;&gt;""),IF(Programme_Grunddaten!AU337="Ja",1,0),"")</f>
        <v/>
      </c>
      <c r="AN332" s="1" t="str">
        <f>IF(AND(Programme_Grunddaten!$A337="Geprüft",Programme_Grunddaten!AV337&lt;&gt;""),IF(Programme_Grunddaten!AV337="Ja",1,0),"")</f>
        <v/>
      </c>
    </row>
    <row r="333" spans="1:40" x14ac:dyDescent="0.3">
      <c r="A333" s="1" t="str">
        <f>IF(AND(Programme_Grunddaten!A338="Geprüft",Programme_Grunddaten!B338&lt;&gt;""),Programme_Grunddaten!B338,"")</f>
        <v/>
      </c>
      <c r="B333" s="1" t="str">
        <f>IF(AND(Programme_Grunddaten!$A338="Geprüft",Programme_Grunddaten!I338&lt;&gt;""),IF(Programme_Grunddaten!I338="Ja",1,0),"")</f>
        <v/>
      </c>
      <c r="C333" s="1" t="str">
        <f>IF(AND(Programme_Grunddaten!$A338="Geprüft",Programme_Grunddaten!J338&lt;&gt;""),IF(Programme_Grunddaten!J338="Ja",1,0),"")</f>
        <v/>
      </c>
      <c r="D333" s="1" t="str">
        <f>IF(AND(Programme_Grunddaten!$A338="Geprüft",Programme_Grunddaten!K338&lt;&gt;""),IF(Programme_Grunddaten!K338="Ja",1,0),"")</f>
        <v/>
      </c>
      <c r="E333" s="1" t="str">
        <f>IF(AND(Programme_Grunddaten!$A338="Geprüft",Programme_Grunddaten!L338&lt;&gt;""),IF(Programme_Grunddaten!L338="Abo / befristete Lizenz",1,0),"")</f>
        <v/>
      </c>
      <c r="F333" s="1" t="str">
        <f>IF(AND(Programme_Grunddaten!$A338="Geprüft",Programme_Grunddaten!M338&lt;&gt;""),IF(Programme_Grunddaten!M338="Ja",1,0),"")</f>
        <v/>
      </c>
      <c r="G333" s="1" t="str">
        <f>IF(AND(Programme_Grunddaten!$A338="Geprüft",Programme_Grunddaten!N338&lt;&gt;""),IF(Programme_Grunddaten!N338="Ja",1,0),"")</f>
        <v/>
      </c>
      <c r="H333" s="1" t="str">
        <f>IF(AND(Programme_Grunddaten!$A338="Geprüft",Programme_Grunddaten!O338&lt;&gt;""),IF(Programme_Grunddaten!O338="Deutschland",0,IF(Programme_Grunddaten!O338="EU",1,2)),"")</f>
        <v/>
      </c>
      <c r="I333" s="1" t="str">
        <f>IF(AND(Programme_Grunddaten!$A338="Geprüft",Programme_Grunddaten!P338&lt;&gt;""),IF(Programme_Grunddaten!P338="Ja",1,0),"")</f>
        <v/>
      </c>
      <c r="J333" s="1" t="str">
        <f>IF(AND(Programme_Grunddaten!$A338="Geprüft",Programme_Grunddaten!Q338&lt;&gt;""),IF(Programme_Grunddaten!Q338="geschlossenes System",1,0),"")</f>
        <v/>
      </c>
      <c r="K333" s="1" t="str">
        <f>IF(AND(Programme_Grunddaten!$A338="Geprüft",Programme_Grunddaten!R338&lt;&gt;""),IF(Programme_Grunddaten!R338="Ja",1,0),"")</f>
        <v/>
      </c>
      <c r="L333" s="1" t="str">
        <f>IF(AND(Programme_Grunddaten!$A338="Geprüft",Programme_Grunddaten!T338&lt;&gt;""),IF(Programme_Grunddaten!T338="Ja",1,0),"")</f>
        <v/>
      </c>
      <c r="M333" s="1" t="str">
        <f>IF(AND(Programme_Grunddaten!$A338="Geprüft",Programme_Grunddaten!U338&lt;&gt;""),IF(Programme_Grunddaten!U338="Ja",1,0),"")</f>
        <v/>
      </c>
      <c r="N333" s="1" t="str">
        <f>IF(AND(Programme_Grunddaten!$A338="Geprüft",Programme_Grunddaten!V338&lt;&gt;""),IF(Programme_Grunddaten!V338="Ja",1,0),"")</f>
        <v/>
      </c>
      <c r="O333" s="1" t="str">
        <f>IF(AND(Programme_Grunddaten!$A338="Geprüft",Programme_Grunddaten!W338&lt;&gt;""),IF(Programme_Grunddaten!W338="Ja",1,0),"")</f>
        <v/>
      </c>
      <c r="P333" s="1" t="str">
        <f>IF(AND(Programme_Grunddaten!$A338="Geprüft",Programme_Grunddaten!X338&lt;&gt;""),IF(Programme_Grunddaten!X338="Ja",1,0),"")</f>
        <v/>
      </c>
      <c r="Q333" s="1" t="str">
        <f>IF(AND(Programme_Grunddaten!$A338="Geprüft",Programme_Grunddaten!Y338&lt;&gt;""),IF(Programme_Grunddaten!Y338="Ja",1,0),"")</f>
        <v/>
      </c>
      <c r="R333" s="1" t="str">
        <f>IF(AND(Programme_Grunddaten!$A338="Geprüft",Programme_Grunddaten!Z338&lt;&gt;""),IF(Programme_Grunddaten!Z338="Ja",1,0),"")</f>
        <v/>
      </c>
      <c r="S333" s="1" t="str">
        <f>IF(AND(Programme_Grunddaten!$A338="Geprüft",Programme_Grunddaten!AA338&lt;&gt;""),IF(Programme_Grunddaten!AA338="monolithisch",1,0),"")</f>
        <v/>
      </c>
      <c r="T333" s="1" t="str">
        <f>IF(AND(Programme_Grunddaten!$A338="Geprüft",Programme_Grunddaten!AB338&lt;&gt;""),IF(Programme_Grunddaten!AB338="Ja",1,0),"")</f>
        <v/>
      </c>
      <c r="U333" s="1" t="str">
        <f>IF(AND(Programme_Grunddaten!$A338="Geprüft",Programme_Grunddaten!AC338&lt;&gt;""),IF(Programme_Grunddaten!AC338="Ja",1,0),"")</f>
        <v/>
      </c>
      <c r="V333" s="1" t="str">
        <f>IF(AND(Programme_Grunddaten!$A338="Geprüft",Programme_Grunddaten!AD338&lt;&gt;""),IF(Programme_Grunddaten!AD338="Ja",1,0),"")</f>
        <v/>
      </c>
      <c r="W333" s="1" t="str">
        <f>IF(AND(Programme_Grunddaten!$A338="Geprüft",Programme_Grunddaten!AE338&lt;&gt;""),IF(Programme_Grunddaten!AE338="Ja",1,0),"")</f>
        <v/>
      </c>
      <c r="X333" s="1" t="str">
        <f>IF(AND(Programme_Grunddaten!$A338="Geprüft",Programme_Grunddaten!AF338&lt;&gt;""),IF(Programme_Grunddaten!AF338="Ja",1,0),"")</f>
        <v/>
      </c>
      <c r="Y333" s="1" t="str">
        <f>IF(AND(Programme_Grunddaten!$A338="Geprüft",Programme_Grunddaten!AG338&lt;&gt;""),IF(Programme_Grunddaten!AG338="Ja",1,0),"")</f>
        <v/>
      </c>
      <c r="Z333" s="1" t="str">
        <f>IF(AND(Programme_Grunddaten!$A338="Geprüft",Programme_Grunddaten!AH338&lt;&gt;""),IF(Programme_Grunddaten!AH338="Ja",1,0),"")</f>
        <v/>
      </c>
      <c r="AA333" s="1" t="str">
        <f>IF(AND(Programme_Grunddaten!$A338="Geprüft",Programme_Grunddaten!AI338&lt;&gt;""),IF(Programme_Grunddaten!AI338="Ja",1,0),"")</f>
        <v/>
      </c>
      <c r="AB333" s="1" t="str">
        <f>IF(AND(Programme_Grunddaten!$A338="Geprüft",Programme_Grunddaten!AJ338&lt;&gt;""),IF(Programme_Grunddaten!AJ338="individuell programmierbar",1,0),"")</f>
        <v/>
      </c>
      <c r="AC333" s="1" t="str">
        <f>IF(AND(Programme_Grunddaten!$A338="Geprüft",Programme_Grunddaten!AK338&lt;&gt;""),IF(Programme_Grunddaten!AK338="Deutsch",0,IF(Programme_Grunddaten!AK338="Deutsch und Englisch",1,2)),"")</f>
        <v/>
      </c>
      <c r="AD333" s="1" t="str">
        <f>IF(AND(Programme_Grunddaten!$A338="Geprüft",Programme_Grunddaten!AL338&lt;&gt;""),IF(Programme_Grunddaten!AL338="Ja",1,0),"")</f>
        <v/>
      </c>
      <c r="AE333" s="1" t="str">
        <f>IF(AND(Programme_Grunddaten!$A338="Geprüft",Programme_Grunddaten!AM338&lt;&gt;""),IF(Programme_Grunddaten!AM338="Ja",1,0),"")</f>
        <v/>
      </c>
      <c r="AF333" s="1" t="str">
        <f>IF(AND(Programme_Grunddaten!$A338="Geprüft",Programme_Grunddaten!AN338&lt;&gt;""),IF(Programme_Grunddaten!AN338="Ja",1,0),"")</f>
        <v/>
      </c>
      <c r="AG333" s="1" t="str">
        <f>IF(AND(Programme_Grunddaten!$A338="Geprüft",Programme_Grunddaten!AO338&lt;&gt;""),IF(Programme_Grunddaten!AO338="Ja",1,0),"")</f>
        <v/>
      </c>
      <c r="AH333" s="1" t="str">
        <f>IF(AND(Programme_Grunddaten!$A338="Geprüft",Programme_Grunddaten!AP338&lt;&gt;""),IF(Programme_Grunddaten!AP338="Ja",1,0),"")</f>
        <v/>
      </c>
      <c r="AI333" s="1" t="str">
        <f>IF(AND(Programme_Grunddaten!$A338="Geprüft",Programme_Grunddaten!AQ338&lt;&gt;""),IF(Programme_Grunddaten!AQ338="Ja",1,0),"")</f>
        <v/>
      </c>
      <c r="AJ333" s="1" t="str">
        <f>IF(AND(Programme_Grunddaten!$A338="Geprüft",Programme_Grunddaten!AR338&lt;&gt;""),IF(Programme_Grunddaten!AR338="Ja",1,0),"")</f>
        <v/>
      </c>
      <c r="AK333" s="1" t="str">
        <f>IF(AND(Programme_Grunddaten!$A338="Geprüft",Programme_Grunddaten!AS338&lt;&gt;""),IF(Programme_Grunddaten!AS338="Ja",1,0),"")</f>
        <v/>
      </c>
      <c r="AL333" s="1" t="str">
        <f>IF(AND(Programme_Grunddaten!$A338="Geprüft",Programme_Grunddaten!AT338&lt;&gt;""),IF(Programme_Grunddaten!AT338="Ja",1,0),"")</f>
        <v/>
      </c>
      <c r="AM333" s="1" t="str">
        <f>IF(AND(Programme_Grunddaten!$A338="Geprüft",Programme_Grunddaten!AU338&lt;&gt;""),IF(Programme_Grunddaten!AU338="Ja",1,0),"")</f>
        <v/>
      </c>
      <c r="AN333" s="1" t="str">
        <f>IF(AND(Programme_Grunddaten!$A338="Geprüft",Programme_Grunddaten!AV338&lt;&gt;""),IF(Programme_Grunddaten!AV338="Ja",1,0),"")</f>
        <v/>
      </c>
    </row>
    <row r="334" spans="1:40" x14ac:dyDescent="0.3">
      <c r="A334" s="1" t="str">
        <f>IF(AND(Programme_Grunddaten!A339="Geprüft",Programme_Grunddaten!B339&lt;&gt;""),Programme_Grunddaten!B339,"")</f>
        <v/>
      </c>
      <c r="B334" s="1" t="str">
        <f>IF(AND(Programme_Grunddaten!$A339="Geprüft",Programme_Grunddaten!I339&lt;&gt;""),IF(Programme_Grunddaten!I339="Ja",1,0),"")</f>
        <v/>
      </c>
      <c r="C334" s="1" t="str">
        <f>IF(AND(Programme_Grunddaten!$A339="Geprüft",Programme_Grunddaten!J339&lt;&gt;""),IF(Programme_Grunddaten!J339="Ja",1,0),"")</f>
        <v/>
      </c>
      <c r="D334" s="1" t="str">
        <f>IF(AND(Programme_Grunddaten!$A339="Geprüft",Programme_Grunddaten!K339&lt;&gt;""),IF(Programme_Grunddaten!K339="Ja",1,0),"")</f>
        <v/>
      </c>
      <c r="E334" s="1" t="str">
        <f>IF(AND(Programme_Grunddaten!$A339="Geprüft",Programme_Grunddaten!L339&lt;&gt;""),IF(Programme_Grunddaten!L339="Abo / befristete Lizenz",1,0),"")</f>
        <v/>
      </c>
      <c r="F334" s="1" t="str">
        <f>IF(AND(Programme_Grunddaten!$A339="Geprüft",Programme_Grunddaten!M339&lt;&gt;""),IF(Programme_Grunddaten!M339="Ja",1,0),"")</f>
        <v/>
      </c>
      <c r="G334" s="1" t="str">
        <f>IF(AND(Programme_Grunddaten!$A339="Geprüft",Programme_Grunddaten!N339&lt;&gt;""),IF(Programme_Grunddaten!N339="Ja",1,0),"")</f>
        <v/>
      </c>
      <c r="H334" s="1" t="str">
        <f>IF(AND(Programme_Grunddaten!$A339="Geprüft",Programme_Grunddaten!O339&lt;&gt;""),IF(Programme_Grunddaten!O339="Deutschland",0,IF(Programme_Grunddaten!O339="EU",1,2)),"")</f>
        <v/>
      </c>
      <c r="I334" s="1" t="str">
        <f>IF(AND(Programme_Grunddaten!$A339="Geprüft",Programme_Grunddaten!P339&lt;&gt;""),IF(Programme_Grunddaten!P339="Ja",1,0),"")</f>
        <v/>
      </c>
      <c r="J334" s="1" t="str">
        <f>IF(AND(Programme_Grunddaten!$A339="Geprüft",Programme_Grunddaten!Q339&lt;&gt;""),IF(Programme_Grunddaten!Q339="geschlossenes System",1,0),"")</f>
        <v/>
      </c>
      <c r="K334" s="1" t="str">
        <f>IF(AND(Programme_Grunddaten!$A339="Geprüft",Programme_Grunddaten!R339&lt;&gt;""),IF(Programme_Grunddaten!R339="Ja",1,0),"")</f>
        <v/>
      </c>
      <c r="L334" s="1" t="str">
        <f>IF(AND(Programme_Grunddaten!$A339="Geprüft",Programme_Grunddaten!T339&lt;&gt;""),IF(Programme_Grunddaten!T339="Ja",1,0),"")</f>
        <v/>
      </c>
      <c r="M334" s="1" t="str">
        <f>IF(AND(Programme_Grunddaten!$A339="Geprüft",Programme_Grunddaten!U339&lt;&gt;""),IF(Programme_Grunddaten!U339="Ja",1,0),"")</f>
        <v/>
      </c>
      <c r="N334" s="1" t="str">
        <f>IF(AND(Programme_Grunddaten!$A339="Geprüft",Programme_Grunddaten!V339&lt;&gt;""),IF(Programme_Grunddaten!V339="Ja",1,0),"")</f>
        <v/>
      </c>
      <c r="O334" s="1" t="str">
        <f>IF(AND(Programme_Grunddaten!$A339="Geprüft",Programme_Grunddaten!W339&lt;&gt;""),IF(Programme_Grunddaten!W339="Ja",1,0),"")</f>
        <v/>
      </c>
      <c r="P334" s="1" t="str">
        <f>IF(AND(Programme_Grunddaten!$A339="Geprüft",Programme_Grunddaten!X339&lt;&gt;""),IF(Programme_Grunddaten!X339="Ja",1,0),"")</f>
        <v/>
      </c>
      <c r="Q334" s="1" t="str">
        <f>IF(AND(Programme_Grunddaten!$A339="Geprüft",Programme_Grunddaten!Y339&lt;&gt;""),IF(Programme_Grunddaten!Y339="Ja",1,0),"")</f>
        <v/>
      </c>
      <c r="R334" s="1" t="str">
        <f>IF(AND(Programme_Grunddaten!$A339="Geprüft",Programme_Grunddaten!Z339&lt;&gt;""),IF(Programme_Grunddaten!Z339="Ja",1,0),"")</f>
        <v/>
      </c>
      <c r="S334" s="1" t="str">
        <f>IF(AND(Programme_Grunddaten!$A339="Geprüft",Programme_Grunddaten!AA339&lt;&gt;""),IF(Programme_Grunddaten!AA339="monolithisch",1,0),"")</f>
        <v/>
      </c>
      <c r="T334" s="1" t="str">
        <f>IF(AND(Programme_Grunddaten!$A339="Geprüft",Programme_Grunddaten!AB339&lt;&gt;""),IF(Programme_Grunddaten!AB339="Ja",1,0),"")</f>
        <v/>
      </c>
      <c r="U334" s="1" t="str">
        <f>IF(AND(Programme_Grunddaten!$A339="Geprüft",Programme_Grunddaten!AC339&lt;&gt;""),IF(Programme_Grunddaten!AC339="Ja",1,0),"")</f>
        <v/>
      </c>
      <c r="V334" s="1" t="str">
        <f>IF(AND(Programme_Grunddaten!$A339="Geprüft",Programme_Grunddaten!AD339&lt;&gt;""),IF(Programme_Grunddaten!AD339="Ja",1,0),"")</f>
        <v/>
      </c>
      <c r="W334" s="1" t="str">
        <f>IF(AND(Programme_Grunddaten!$A339="Geprüft",Programme_Grunddaten!AE339&lt;&gt;""),IF(Programme_Grunddaten!AE339="Ja",1,0),"")</f>
        <v/>
      </c>
      <c r="X334" s="1" t="str">
        <f>IF(AND(Programme_Grunddaten!$A339="Geprüft",Programme_Grunddaten!AF339&lt;&gt;""),IF(Programme_Grunddaten!AF339="Ja",1,0),"")</f>
        <v/>
      </c>
      <c r="Y334" s="1" t="str">
        <f>IF(AND(Programme_Grunddaten!$A339="Geprüft",Programme_Grunddaten!AG339&lt;&gt;""),IF(Programme_Grunddaten!AG339="Ja",1,0),"")</f>
        <v/>
      </c>
      <c r="Z334" s="1" t="str">
        <f>IF(AND(Programme_Grunddaten!$A339="Geprüft",Programme_Grunddaten!AH339&lt;&gt;""),IF(Programme_Grunddaten!AH339="Ja",1,0),"")</f>
        <v/>
      </c>
      <c r="AA334" s="1" t="str">
        <f>IF(AND(Programme_Grunddaten!$A339="Geprüft",Programme_Grunddaten!AI339&lt;&gt;""),IF(Programme_Grunddaten!AI339="Ja",1,0),"")</f>
        <v/>
      </c>
      <c r="AB334" s="1" t="str">
        <f>IF(AND(Programme_Grunddaten!$A339="Geprüft",Programme_Grunddaten!AJ339&lt;&gt;""),IF(Programme_Grunddaten!AJ339="individuell programmierbar",1,0),"")</f>
        <v/>
      </c>
      <c r="AC334" s="1" t="str">
        <f>IF(AND(Programme_Grunddaten!$A339="Geprüft",Programme_Grunddaten!AK339&lt;&gt;""),IF(Programme_Grunddaten!AK339="Deutsch",0,IF(Programme_Grunddaten!AK339="Deutsch und Englisch",1,2)),"")</f>
        <v/>
      </c>
      <c r="AD334" s="1" t="str">
        <f>IF(AND(Programme_Grunddaten!$A339="Geprüft",Programme_Grunddaten!AL339&lt;&gt;""),IF(Programme_Grunddaten!AL339="Ja",1,0),"")</f>
        <v/>
      </c>
      <c r="AE334" s="1" t="str">
        <f>IF(AND(Programme_Grunddaten!$A339="Geprüft",Programme_Grunddaten!AM339&lt;&gt;""),IF(Programme_Grunddaten!AM339="Ja",1,0),"")</f>
        <v/>
      </c>
      <c r="AF334" s="1" t="str">
        <f>IF(AND(Programme_Grunddaten!$A339="Geprüft",Programme_Grunddaten!AN339&lt;&gt;""),IF(Programme_Grunddaten!AN339="Ja",1,0),"")</f>
        <v/>
      </c>
      <c r="AG334" s="1" t="str">
        <f>IF(AND(Programme_Grunddaten!$A339="Geprüft",Programme_Grunddaten!AO339&lt;&gt;""),IF(Programme_Grunddaten!AO339="Ja",1,0),"")</f>
        <v/>
      </c>
      <c r="AH334" s="1" t="str">
        <f>IF(AND(Programme_Grunddaten!$A339="Geprüft",Programme_Grunddaten!AP339&lt;&gt;""),IF(Programme_Grunddaten!AP339="Ja",1,0),"")</f>
        <v/>
      </c>
      <c r="AI334" s="1" t="str">
        <f>IF(AND(Programme_Grunddaten!$A339="Geprüft",Programme_Grunddaten!AQ339&lt;&gt;""),IF(Programme_Grunddaten!AQ339="Ja",1,0),"")</f>
        <v/>
      </c>
      <c r="AJ334" s="1" t="str">
        <f>IF(AND(Programme_Grunddaten!$A339="Geprüft",Programme_Grunddaten!AR339&lt;&gt;""),IF(Programme_Grunddaten!AR339="Ja",1,0),"")</f>
        <v/>
      </c>
      <c r="AK334" s="1" t="str">
        <f>IF(AND(Programme_Grunddaten!$A339="Geprüft",Programme_Grunddaten!AS339&lt;&gt;""),IF(Programme_Grunddaten!AS339="Ja",1,0),"")</f>
        <v/>
      </c>
      <c r="AL334" s="1" t="str">
        <f>IF(AND(Programme_Grunddaten!$A339="Geprüft",Programme_Grunddaten!AT339&lt;&gt;""),IF(Programme_Grunddaten!AT339="Ja",1,0),"")</f>
        <v/>
      </c>
      <c r="AM334" s="1" t="str">
        <f>IF(AND(Programme_Grunddaten!$A339="Geprüft",Programme_Grunddaten!AU339&lt;&gt;""),IF(Programme_Grunddaten!AU339="Ja",1,0),"")</f>
        <v/>
      </c>
      <c r="AN334" s="1" t="str">
        <f>IF(AND(Programme_Grunddaten!$A339="Geprüft",Programme_Grunddaten!AV339&lt;&gt;""),IF(Programme_Grunddaten!AV339="Ja",1,0),"")</f>
        <v/>
      </c>
    </row>
    <row r="335" spans="1:40" x14ac:dyDescent="0.3">
      <c r="A335" s="1" t="str">
        <f>IF(AND(Programme_Grunddaten!A340="Geprüft",Programme_Grunddaten!B340&lt;&gt;""),Programme_Grunddaten!B340,"")</f>
        <v/>
      </c>
      <c r="B335" s="1" t="str">
        <f>IF(AND(Programme_Grunddaten!$A340="Geprüft",Programme_Grunddaten!I340&lt;&gt;""),IF(Programme_Grunddaten!I340="Ja",1,0),"")</f>
        <v/>
      </c>
      <c r="C335" s="1" t="str">
        <f>IF(AND(Programme_Grunddaten!$A340="Geprüft",Programme_Grunddaten!J340&lt;&gt;""),IF(Programme_Grunddaten!J340="Ja",1,0),"")</f>
        <v/>
      </c>
      <c r="D335" s="1" t="str">
        <f>IF(AND(Programme_Grunddaten!$A340="Geprüft",Programme_Grunddaten!K340&lt;&gt;""),IF(Programme_Grunddaten!K340="Ja",1,0),"")</f>
        <v/>
      </c>
      <c r="E335" s="1" t="str">
        <f>IF(AND(Programme_Grunddaten!$A340="Geprüft",Programme_Grunddaten!L340&lt;&gt;""),IF(Programme_Grunddaten!L340="Abo / befristete Lizenz",1,0),"")</f>
        <v/>
      </c>
      <c r="F335" s="1" t="str">
        <f>IF(AND(Programme_Grunddaten!$A340="Geprüft",Programme_Grunddaten!M340&lt;&gt;""),IF(Programme_Grunddaten!M340="Ja",1,0),"")</f>
        <v/>
      </c>
      <c r="G335" s="1" t="str">
        <f>IF(AND(Programme_Grunddaten!$A340="Geprüft",Programme_Grunddaten!N340&lt;&gt;""),IF(Programme_Grunddaten!N340="Ja",1,0),"")</f>
        <v/>
      </c>
      <c r="H335" s="1" t="str">
        <f>IF(AND(Programme_Grunddaten!$A340="Geprüft",Programme_Grunddaten!O340&lt;&gt;""),IF(Programme_Grunddaten!O340="Deutschland",0,IF(Programme_Grunddaten!O340="EU",1,2)),"")</f>
        <v/>
      </c>
      <c r="I335" s="1" t="str">
        <f>IF(AND(Programme_Grunddaten!$A340="Geprüft",Programme_Grunddaten!P340&lt;&gt;""),IF(Programme_Grunddaten!P340="Ja",1,0),"")</f>
        <v/>
      </c>
      <c r="J335" s="1" t="str">
        <f>IF(AND(Programme_Grunddaten!$A340="Geprüft",Programme_Grunddaten!Q340&lt;&gt;""),IF(Programme_Grunddaten!Q340="geschlossenes System",1,0),"")</f>
        <v/>
      </c>
      <c r="K335" s="1" t="str">
        <f>IF(AND(Programme_Grunddaten!$A340="Geprüft",Programme_Grunddaten!R340&lt;&gt;""),IF(Programme_Grunddaten!R340="Ja",1,0),"")</f>
        <v/>
      </c>
      <c r="L335" s="1" t="str">
        <f>IF(AND(Programme_Grunddaten!$A340="Geprüft",Programme_Grunddaten!T340&lt;&gt;""),IF(Programme_Grunddaten!T340="Ja",1,0),"")</f>
        <v/>
      </c>
      <c r="M335" s="1" t="str">
        <f>IF(AND(Programme_Grunddaten!$A340="Geprüft",Programme_Grunddaten!U340&lt;&gt;""),IF(Programme_Grunddaten!U340="Ja",1,0),"")</f>
        <v/>
      </c>
      <c r="N335" s="1" t="str">
        <f>IF(AND(Programme_Grunddaten!$A340="Geprüft",Programme_Grunddaten!V340&lt;&gt;""),IF(Programme_Grunddaten!V340="Ja",1,0),"")</f>
        <v/>
      </c>
      <c r="O335" s="1" t="str">
        <f>IF(AND(Programme_Grunddaten!$A340="Geprüft",Programme_Grunddaten!W340&lt;&gt;""),IF(Programme_Grunddaten!W340="Ja",1,0),"")</f>
        <v/>
      </c>
      <c r="P335" s="1" t="str">
        <f>IF(AND(Programme_Grunddaten!$A340="Geprüft",Programme_Grunddaten!X340&lt;&gt;""),IF(Programme_Grunddaten!X340="Ja",1,0),"")</f>
        <v/>
      </c>
      <c r="Q335" s="1" t="str">
        <f>IF(AND(Programme_Grunddaten!$A340="Geprüft",Programme_Grunddaten!Y340&lt;&gt;""),IF(Programme_Grunddaten!Y340="Ja",1,0),"")</f>
        <v/>
      </c>
      <c r="R335" s="1" t="str">
        <f>IF(AND(Programme_Grunddaten!$A340="Geprüft",Programme_Grunddaten!Z340&lt;&gt;""),IF(Programme_Grunddaten!Z340="Ja",1,0),"")</f>
        <v/>
      </c>
      <c r="S335" s="1" t="str">
        <f>IF(AND(Programme_Grunddaten!$A340="Geprüft",Programme_Grunddaten!AA340&lt;&gt;""),IF(Programme_Grunddaten!AA340="monolithisch",1,0),"")</f>
        <v/>
      </c>
      <c r="T335" s="1" t="str">
        <f>IF(AND(Programme_Grunddaten!$A340="Geprüft",Programme_Grunddaten!AB340&lt;&gt;""),IF(Programme_Grunddaten!AB340="Ja",1,0),"")</f>
        <v/>
      </c>
      <c r="U335" s="1" t="str">
        <f>IF(AND(Programme_Grunddaten!$A340="Geprüft",Programme_Grunddaten!AC340&lt;&gt;""),IF(Programme_Grunddaten!AC340="Ja",1,0),"")</f>
        <v/>
      </c>
      <c r="V335" s="1" t="str">
        <f>IF(AND(Programme_Grunddaten!$A340="Geprüft",Programme_Grunddaten!AD340&lt;&gt;""),IF(Programme_Grunddaten!AD340="Ja",1,0),"")</f>
        <v/>
      </c>
      <c r="W335" s="1" t="str">
        <f>IF(AND(Programme_Grunddaten!$A340="Geprüft",Programme_Grunddaten!AE340&lt;&gt;""),IF(Programme_Grunddaten!AE340="Ja",1,0),"")</f>
        <v/>
      </c>
      <c r="X335" s="1" t="str">
        <f>IF(AND(Programme_Grunddaten!$A340="Geprüft",Programme_Grunddaten!AF340&lt;&gt;""),IF(Programme_Grunddaten!AF340="Ja",1,0),"")</f>
        <v/>
      </c>
      <c r="Y335" s="1" t="str">
        <f>IF(AND(Programme_Grunddaten!$A340="Geprüft",Programme_Grunddaten!AG340&lt;&gt;""),IF(Programme_Grunddaten!AG340="Ja",1,0),"")</f>
        <v/>
      </c>
      <c r="Z335" s="1" t="str">
        <f>IF(AND(Programme_Grunddaten!$A340="Geprüft",Programme_Grunddaten!AH340&lt;&gt;""),IF(Programme_Grunddaten!AH340="Ja",1,0),"")</f>
        <v/>
      </c>
      <c r="AA335" s="1" t="str">
        <f>IF(AND(Programme_Grunddaten!$A340="Geprüft",Programme_Grunddaten!AI340&lt;&gt;""),IF(Programme_Grunddaten!AI340="Ja",1,0),"")</f>
        <v/>
      </c>
      <c r="AB335" s="1" t="str">
        <f>IF(AND(Programme_Grunddaten!$A340="Geprüft",Programme_Grunddaten!AJ340&lt;&gt;""),IF(Programme_Grunddaten!AJ340="individuell programmierbar",1,0),"")</f>
        <v/>
      </c>
      <c r="AC335" s="1" t="str">
        <f>IF(AND(Programme_Grunddaten!$A340="Geprüft",Programme_Grunddaten!AK340&lt;&gt;""),IF(Programme_Grunddaten!AK340="Deutsch",0,IF(Programme_Grunddaten!AK340="Deutsch und Englisch",1,2)),"")</f>
        <v/>
      </c>
      <c r="AD335" s="1" t="str">
        <f>IF(AND(Programme_Grunddaten!$A340="Geprüft",Programme_Grunddaten!AL340&lt;&gt;""),IF(Programme_Grunddaten!AL340="Ja",1,0),"")</f>
        <v/>
      </c>
      <c r="AE335" s="1" t="str">
        <f>IF(AND(Programme_Grunddaten!$A340="Geprüft",Programme_Grunddaten!AM340&lt;&gt;""),IF(Programme_Grunddaten!AM340="Ja",1,0),"")</f>
        <v/>
      </c>
      <c r="AF335" s="1" t="str">
        <f>IF(AND(Programme_Grunddaten!$A340="Geprüft",Programme_Grunddaten!AN340&lt;&gt;""),IF(Programme_Grunddaten!AN340="Ja",1,0),"")</f>
        <v/>
      </c>
      <c r="AG335" s="1" t="str">
        <f>IF(AND(Programme_Grunddaten!$A340="Geprüft",Programme_Grunddaten!AO340&lt;&gt;""),IF(Programme_Grunddaten!AO340="Ja",1,0),"")</f>
        <v/>
      </c>
      <c r="AH335" s="1" t="str">
        <f>IF(AND(Programme_Grunddaten!$A340="Geprüft",Programme_Grunddaten!AP340&lt;&gt;""),IF(Programme_Grunddaten!AP340="Ja",1,0),"")</f>
        <v/>
      </c>
      <c r="AI335" s="1" t="str">
        <f>IF(AND(Programme_Grunddaten!$A340="Geprüft",Programme_Grunddaten!AQ340&lt;&gt;""),IF(Programme_Grunddaten!AQ340="Ja",1,0),"")</f>
        <v/>
      </c>
      <c r="AJ335" s="1" t="str">
        <f>IF(AND(Programme_Grunddaten!$A340="Geprüft",Programme_Grunddaten!AR340&lt;&gt;""),IF(Programme_Grunddaten!AR340="Ja",1,0),"")</f>
        <v/>
      </c>
      <c r="AK335" s="1" t="str">
        <f>IF(AND(Programme_Grunddaten!$A340="Geprüft",Programme_Grunddaten!AS340&lt;&gt;""),IF(Programme_Grunddaten!AS340="Ja",1,0),"")</f>
        <v/>
      </c>
      <c r="AL335" s="1" t="str">
        <f>IF(AND(Programme_Grunddaten!$A340="Geprüft",Programme_Grunddaten!AT340&lt;&gt;""),IF(Programme_Grunddaten!AT340="Ja",1,0),"")</f>
        <v/>
      </c>
      <c r="AM335" s="1" t="str">
        <f>IF(AND(Programme_Grunddaten!$A340="Geprüft",Programme_Grunddaten!AU340&lt;&gt;""),IF(Programme_Grunddaten!AU340="Ja",1,0),"")</f>
        <v/>
      </c>
      <c r="AN335" s="1" t="str">
        <f>IF(AND(Programme_Grunddaten!$A340="Geprüft",Programme_Grunddaten!AV340&lt;&gt;""),IF(Programme_Grunddaten!AV340="Ja",1,0),"")</f>
        <v/>
      </c>
    </row>
    <row r="336" spans="1:40" x14ac:dyDescent="0.3">
      <c r="A336" s="1" t="str">
        <f>IF(AND(Programme_Grunddaten!A341="Geprüft",Programme_Grunddaten!B341&lt;&gt;""),Programme_Grunddaten!B341,"")</f>
        <v/>
      </c>
      <c r="B336" s="1" t="str">
        <f>IF(AND(Programme_Grunddaten!$A341="Geprüft",Programme_Grunddaten!I341&lt;&gt;""),IF(Programme_Grunddaten!I341="Ja",1,0),"")</f>
        <v/>
      </c>
      <c r="C336" s="1" t="str">
        <f>IF(AND(Programme_Grunddaten!$A341="Geprüft",Programme_Grunddaten!J341&lt;&gt;""),IF(Programme_Grunddaten!J341="Ja",1,0),"")</f>
        <v/>
      </c>
      <c r="D336" s="1" t="str">
        <f>IF(AND(Programme_Grunddaten!$A341="Geprüft",Programme_Grunddaten!K341&lt;&gt;""),IF(Programme_Grunddaten!K341="Ja",1,0),"")</f>
        <v/>
      </c>
      <c r="E336" s="1" t="str">
        <f>IF(AND(Programme_Grunddaten!$A341="Geprüft",Programme_Grunddaten!L341&lt;&gt;""),IF(Programme_Grunddaten!L341="Abo / befristete Lizenz",1,0),"")</f>
        <v/>
      </c>
      <c r="F336" s="1" t="str">
        <f>IF(AND(Programme_Grunddaten!$A341="Geprüft",Programme_Grunddaten!M341&lt;&gt;""),IF(Programme_Grunddaten!M341="Ja",1,0),"")</f>
        <v/>
      </c>
      <c r="G336" s="1" t="str">
        <f>IF(AND(Programme_Grunddaten!$A341="Geprüft",Programme_Grunddaten!N341&lt;&gt;""),IF(Programme_Grunddaten!N341="Ja",1,0),"")</f>
        <v/>
      </c>
      <c r="H336" s="1" t="str">
        <f>IF(AND(Programme_Grunddaten!$A341="Geprüft",Programme_Grunddaten!O341&lt;&gt;""),IF(Programme_Grunddaten!O341="Deutschland",0,IF(Programme_Grunddaten!O341="EU",1,2)),"")</f>
        <v/>
      </c>
      <c r="I336" s="1" t="str">
        <f>IF(AND(Programme_Grunddaten!$A341="Geprüft",Programme_Grunddaten!P341&lt;&gt;""),IF(Programme_Grunddaten!P341="Ja",1,0),"")</f>
        <v/>
      </c>
      <c r="J336" s="1" t="str">
        <f>IF(AND(Programme_Grunddaten!$A341="Geprüft",Programme_Grunddaten!Q341&lt;&gt;""),IF(Programme_Grunddaten!Q341="geschlossenes System",1,0),"")</f>
        <v/>
      </c>
      <c r="K336" s="1" t="str">
        <f>IF(AND(Programme_Grunddaten!$A341="Geprüft",Programme_Grunddaten!R341&lt;&gt;""),IF(Programme_Grunddaten!R341="Ja",1,0),"")</f>
        <v/>
      </c>
      <c r="L336" s="1" t="str">
        <f>IF(AND(Programme_Grunddaten!$A341="Geprüft",Programme_Grunddaten!T341&lt;&gt;""),IF(Programme_Grunddaten!T341="Ja",1,0),"")</f>
        <v/>
      </c>
      <c r="M336" s="1" t="str">
        <f>IF(AND(Programme_Grunddaten!$A341="Geprüft",Programme_Grunddaten!U341&lt;&gt;""),IF(Programme_Grunddaten!U341="Ja",1,0),"")</f>
        <v/>
      </c>
      <c r="N336" s="1" t="str">
        <f>IF(AND(Programme_Grunddaten!$A341="Geprüft",Programme_Grunddaten!V341&lt;&gt;""),IF(Programme_Grunddaten!V341="Ja",1,0),"")</f>
        <v/>
      </c>
      <c r="O336" s="1" t="str">
        <f>IF(AND(Programme_Grunddaten!$A341="Geprüft",Programme_Grunddaten!W341&lt;&gt;""),IF(Programme_Grunddaten!W341="Ja",1,0),"")</f>
        <v/>
      </c>
      <c r="P336" s="1" t="str">
        <f>IF(AND(Programme_Grunddaten!$A341="Geprüft",Programme_Grunddaten!X341&lt;&gt;""),IF(Programme_Grunddaten!X341="Ja",1,0),"")</f>
        <v/>
      </c>
      <c r="Q336" s="1" t="str">
        <f>IF(AND(Programme_Grunddaten!$A341="Geprüft",Programme_Grunddaten!Y341&lt;&gt;""),IF(Programme_Grunddaten!Y341="Ja",1,0),"")</f>
        <v/>
      </c>
      <c r="R336" s="1" t="str">
        <f>IF(AND(Programme_Grunddaten!$A341="Geprüft",Programme_Grunddaten!Z341&lt;&gt;""),IF(Programme_Grunddaten!Z341="Ja",1,0),"")</f>
        <v/>
      </c>
      <c r="S336" s="1" t="str">
        <f>IF(AND(Programme_Grunddaten!$A341="Geprüft",Programme_Grunddaten!AA341&lt;&gt;""),IF(Programme_Grunddaten!AA341="monolithisch",1,0),"")</f>
        <v/>
      </c>
      <c r="T336" s="1" t="str">
        <f>IF(AND(Programme_Grunddaten!$A341="Geprüft",Programme_Grunddaten!AB341&lt;&gt;""),IF(Programme_Grunddaten!AB341="Ja",1,0),"")</f>
        <v/>
      </c>
      <c r="U336" s="1" t="str">
        <f>IF(AND(Programme_Grunddaten!$A341="Geprüft",Programme_Grunddaten!AC341&lt;&gt;""),IF(Programme_Grunddaten!AC341="Ja",1,0),"")</f>
        <v/>
      </c>
      <c r="V336" s="1" t="str">
        <f>IF(AND(Programme_Grunddaten!$A341="Geprüft",Programme_Grunddaten!AD341&lt;&gt;""),IF(Programme_Grunddaten!AD341="Ja",1,0),"")</f>
        <v/>
      </c>
      <c r="W336" s="1" t="str">
        <f>IF(AND(Programme_Grunddaten!$A341="Geprüft",Programme_Grunddaten!AE341&lt;&gt;""),IF(Programme_Grunddaten!AE341="Ja",1,0),"")</f>
        <v/>
      </c>
      <c r="X336" s="1" t="str">
        <f>IF(AND(Programme_Grunddaten!$A341="Geprüft",Programme_Grunddaten!AF341&lt;&gt;""),IF(Programme_Grunddaten!AF341="Ja",1,0),"")</f>
        <v/>
      </c>
      <c r="Y336" s="1" t="str">
        <f>IF(AND(Programme_Grunddaten!$A341="Geprüft",Programme_Grunddaten!AG341&lt;&gt;""),IF(Programme_Grunddaten!AG341="Ja",1,0),"")</f>
        <v/>
      </c>
      <c r="Z336" s="1" t="str">
        <f>IF(AND(Programme_Grunddaten!$A341="Geprüft",Programme_Grunddaten!AH341&lt;&gt;""),IF(Programme_Grunddaten!AH341="Ja",1,0),"")</f>
        <v/>
      </c>
      <c r="AA336" s="1" t="str">
        <f>IF(AND(Programme_Grunddaten!$A341="Geprüft",Programme_Grunddaten!AI341&lt;&gt;""),IF(Programme_Grunddaten!AI341="Ja",1,0),"")</f>
        <v/>
      </c>
      <c r="AB336" s="1" t="str">
        <f>IF(AND(Programme_Grunddaten!$A341="Geprüft",Programme_Grunddaten!AJ341&lt;&gt;""),IF(Programme_Grunddaten!AJ341="individuell programmierbar",1,0),"")</f>
        <v/>
      </c>
      <c r="AC336" s="1" t="str">
        <f>IF(AND(Programme_Grunddaten!$A341="Geprüft",Programme_Grunddaten!AK341&lt;&gt;""),IF(Programme_Grunddaten!AK341="Deutsch",0,IF(Programme_Grunddaten!AK341="Deutsch und Englisch",1,2)),"")</f>
        <v/>
      </c>
      <c r="AD336" s="1" t="str">
        <f>IF(AND(Programme_Grunddaten!$A341="Geprüft",Programme_Grunddaten!AL341&lt;&gt;""),IF(Programme_Grunddaten!AL341="Ja",1,0),"")</f>
        <v/>
      </c>
      <c r="AE336" s="1" t="str">
        <f>IF(AND(Programme_Grunddaten!$A341="Geprüft",Programme_Grunddaten!AM341&lt;&gt;""),IF(Programme_Grunddaten!AM341="Ja",1,0),"")</f>
        <v/>
      </c>
      <c r="AF336" s="1" t="str">
        <f>IF(AND(Programme_Grunddaten!$A341="Geprüft",Programme_Grunddaten!AN341&lt;&gt;""),IF(Programme_Grunddaten!AN341="Ja",1,0),"")</f>
        <v/>
      </c>
      <c r="AG336" s="1" t="str">
        <f>IF(AND(Programme_Grunddaten!$A341="Geprüft",Programme_Grunddaten!AO341&lt;&gt;""),IF(Programme_Grunddaten!AO341="Ja",1,0),"")</f>
        <v/>
      </c>
      <c r="AH336" s="1" t="str">
        <f>IF(AND(Programme_Grunddaten!$A341="Geprüft",Programme_Grunddaten!AP341&lt;&gt;""),IF(Programme_Grunddaten!AP341="Ja",1,0),"")</f>
        <v/>
      </c>
      <c r="AI336" s="1" t="str">
        <f>IF(AND(Programme_Grunddaten!$A341="Geprüft",Programme_Grunddaten!AQ341&lt;&gt;""),IF(Programme_Grunddaten!AQ341="Ja",1,0),"")</f>
        <v/>
      </c>
      <c r="AJ336" s="1" t="str">
        <f>IF(AND(Programme_Grunddaten!$A341="Geprüft",Programme_Grunddaten!AR341&lt;&gt;""),IF(Programme_Grunddaten!AR341="Ja",1,0),"")</f>
        <v/>
      </c>
      <c r="AK336" s="1" t="str">
        <f>IF(AND(Programme_Grunddaten!$A341="Geprüft",Programme_Grunddaten!AS341&lt;&gt;""),IF(Programme_Grunddaten!AS341="Ja",1,0),"")</f>
        <v/>
      </c>
      <c r="AL336" s="1" t="str">
        <f>IF(AND(Programme_Grunddaten!$A341="Geprüft",Programme_Grunddaten!AT341&lt;&gt;""),IF(Programme_Grunddaten!AT341="Ja",1,0),"")</f>
        <v/>
      </c>
      <c r="AM336" s="1" t="str">
        <f>IF(AND(Programme_Grunddaten!$A341="Geprüft",Programme_Grunddaten!AU341&lt;&gt;""),IF(Programme_Grunddaten!AU341="Ja",1,0),"")</f>
        <v/>
      </c>
      <c r="AN336" s="1" t="str">
        <f>IF(AND(Programme_Grunddaten!$A341="Geprüft",Programme_Grunddaten!AV341&lt;&gt;""),IF(Programme_Grunddaten!AV341="Ja",1,0),"")</f>
        <v/>
      </c>
    </row>
    <row r="337" spans="1:40" x14ac:dyDescent="0.3">
      <c r="A337" s="1" t="str">
        <f>IF(AND(Programme_Grunddaten!A342="Geprüft",Programme_Grunddaten!B342&lt;&gt;""),Programme_Grunddaten!B342,"")</f>
        <v/>
      </c>
      <c r="B337" s="1" t="str">
        <f>IF(AND(Programme_Grunddaten!$A342="Geprüft",Programme_Grunddaten!I342&lt;&gt;""),IF(Programme_Grunddaten!I342="Ja",1,0),"")</f>
        <v/>
      </c>
      <c r="C337" s="1" t="str">
        <f>IF(AND(Programme_Grunddaten!$A342="Geprüft",Programme_Grunddaten!J342&lt;&gt;""),IF(Programme_Grunddaten!J342="Ja",1,0),"")</f>
        <v/>
      </c>
      <c r="D337" s="1" t="str">
        <f>IF(AND(Programme_Grunddaten!$A342="Geprüft",Programme_Grunddaten!K342&lt;&gt;""),IF(Programme_Grunddaten!K342="Ja",1,0),"")</f>
        <v/>
      </c>
      <c r="E337" s="1" t="str">
        <f>IF(AND(Programme_Grunddaten!$A342="Geprüft",Programme_Grunddaten!L342&lt;&gt;""),IF(Programme_Grunddaten!L342="Abo / befristete Lizenz",1,0),"")</f>
        <v/>
      </c>
      <c r="F337" s="1" t="str">
        <f>IF(AND(Programme_Grunddaten!$A342="Geprüft",Programme_Grunddaten!M342&lt;&gt;""),IF(Programme_Grunddaten!M342="Ja",1,0),"")</f>
        <v/>
      </c>
      <c r="G337" s="1" t="str">
        <f>IF(AND(Programme_Grunddaten!$A342="Geprüft",Programme_Grunddaten!N342&lt;&gt;""),IF(Programme_Grunddaten!N342="Ja",1,0),"")</f>
        <v/>
      </c>
      <c r="H337" s="1" t="str">
        <f>IF(AND(Programme_Grunddaten!$A342="Geprüft",Programme_Grunddaten!O342&lt;&gt;""),IF(Programme_Grunddaten!O342="Deutschland",0,IF(Programme_Grunddaten!O342="EU",1,2)),"")</f>
        <v/>
      </c>
      <c r="I337" s="1" t="str">
        <f>IF(AND(Programme_Grunddaten!$A342="Geprüft",Programme_Grunddaten!P342&lt;&gt;""),IF(Programme_Grunddaten!P342="Ja",1,0),"")</f>
        <v/>
      </c>
      <c r="J337" s="1" t="str">
        <f>IF(AND(Programme_Grunddaten!$A342="Geprüft",Programme_Grunddaten!Q342&lt;&gt;""),IF(Programme_Grunddaten!Q342="geschlossenes System",1,0),"")</f>
        <v/>
      </c>
      <c r="K337" s="1" t="str">
        <f>IF(AND(Programme_Grunddaten!$A342="Geprüft",Programme_Grunddaten!R342&lt;&gt;""),IF(Programme_Grunddaten!R342="Ja",1,0),"")</f>
        <v/>
      </c>
      <c r="L337" s="1" t="str">
        <f>IF(AND(Programme_Grunddaten!$A342="Geprüft",Programme_Grunddaten!T342&lt;&gt;""),IF(Programme_Grunddaten!T342="Ja",1,0),"")</f>
        <v/>
      </c>
      <c r="M337" s="1" t="str">
        <f>IF(AND(Programme_Grunddaten!$A342="Geprüft",Programme_Grunddaten!U342&lt;&gt;""),IF(Programme_Grunddaten!U342="Ja",1,0),"")</f>
        <v/>
      </c>
      <c r="N337" s="1" t="str">
        <f>IF(AND(Programme_Grunddaten!$A342="Geprüft",Programme_Grunddaten!V342&lt;&gt;""),IF(Programme_Grunddaten!V342="Ja",1,0),"")</f>
        <v/>
      </c>
      <c r="O337" s="1" t="str">
        <f>IF(AND(Programme_Grunddaten!$A342="Geprüft",Programme_Grunddaten!W342&lt;&gt;""),IF(Programme_Grunddaten!W342="Ja",1,0),"")</f>
        <v/>
      </c>
      <c r="P337" s="1" t="str">
        <f>IF(AND(Programme_Grunddaten!$A342="Geprüft",Programme_Grunddaten!X342&lt;&gt;""),IF(Programme_Grunddaten!X342="Ja",1,0),"")</f>
        <v/>
      </c>
      <c r="Q337" s="1" t="str">
        <f>IF(AND(Programme_Grunddaten!$A342="Geprüft",Programme_Grunddaten!Y342&lt;&gt;""),IF(Programme_Grunddaten!Y342="Ja",1,0),"")</f>
        <v/>
      </c>
      <c r="R337" s="1" t="str">
        <f>IF(AND(Programme_Grunddaten!$A342="Geprüft",Programme_Grunddaten!Z342&lt;&gt;""),IF(Programme_Grunddaten!Z342="Ja",1,0),"")</f>
        <v/>
      </c>
      <c r="S337" s="1" t="str">
        <f>IF(AND(Programme_Grunddaten!$A342="Geprüft",Programme_Grunddaten!AA342&lt;&gt;""),IF(Programme_Grunddaten!AA342="monolithisch",1,0),"")</f>
        <v/>
      </c>
      <c r="T337" s="1" t="str">
        <f>IF(AND(Programme_Grunddaten!$A342="Geprüft",Programme_Grunddaten!AB342&lt;&gt;""),IF(Programme_Grunddaten!AB342="Ja",1,0),"")</f>
        <v/>
      </c>
      <c r="U337" s="1" t="str">
        <f>IF(AND(Programme_Grunddaten!$A342="Geprüft",Programme_Grunddaten!AC342&lt;&gt;""),IF(Programme_Grunddaten!AC342="Ja",1,0),"")</f>
        <v/>
      </c>
      <c r="V337" s="1" t="str">
        <f>IF(AND(Programme_Grunddaten!$A342="Geprüft",Programme_Grunddaten!AD342&lt;&gt;""),IF(Programme_Grunddaten!AD342="Ja",1,0),"")</f>
        <v/>
      </c>
      <c r="W337" s="1" t="str">
        <f>IF(AND(Programme_Grunddaten!$A342="Geprüft",Programme_Grunddaten!AE342&lt;&gt;""),IF(Programme_Grunddaten!AE342="Ja",1,0),"")</f>
        <v/>
      </c>
      <c r="X337" s="1" t="str">
        <f>IF(AND(Programme_Grunddaten!$A342="Geprüft",Programme_Grunddaten!AF342&lt;&gt;""),IF(Programme_Grunddaten!AF342="Ja",1,0),"")</f>
        <v/>
      </c>
      <c r="Y337" s="1" t="str">
        <f>IF(AND(Programme_Grunddaten!$A342="Geprüft",Programme_Grunddaten!AG342&lt;&gt;""),IF(Programme_Grunddaten!AG342="Ja",1,0),"")</f>
        <v/>
      </c>
      <c r="Z337" s="1" t="str">
        <f>IF(AND(Programme_Grunddaten!$A342="Geprüft",Programme_Grunddaten!AH342&lt;&gt;""),IF(Programme_Grunddaten!AH342="Ja",1,0),"")</f>
        <v/>
      </c>
      <c r="AA337" s="1" t="str">
        <f>IF(AND(Programme_Grunddaten!$A342="Geprüft",Programme_Grunddaten!AI342&lt;&gt;""),IF(Programme_Grunddaten!AI342="Ja",1,0),"")</f>
        <v/>
      </c>
      <c r="AB337" s="1" t="str">
        <f>IF(AND(Programme_Grunddaten!$A342="Geprüft",Programme_Grunddaten!AJ342&lt;&gt;""),IF(Programme_Grunddaten!AJ342="individuell programmierbar",1,0),"")</f>
        <v/>
      </c>
      <c r="AC337" s="1" t="str">
        <f>IF(AND(Programme_Grunddaten!$A342="Geprüft",Programme_Grunddaten!AK342&lt;&gt;""),IF(Programme_Grunddaten!AK342="Deutsch",0,IF(Programme_Grunddaten!AK342="Deutsch und Englisch",1,2)),"")</f>
        <v/>
      </c>
      <c r="AD337" s="1" t="str">
        <f>IF(AND(Programme_Grunddaten!$A342="Geprüft",Programme_Grunddaten!AL342&lt;&gt;""),IF(Programme_Grunddaten!AL342="Ja",1,0),"")</f>
        <v/>
      </c>
      <c r="AE337" s="1" t="str">
        <f>IF(AND(Programme_Grunddaten!$A342="Geprüft",Programme_Grunddaten!AM342&lt;&gt;""),IF(Programme_Grunddaten!AM342="Ja",1,0),"")</f>
        <v/>
      </c>
      <c r="AF337" s="1" t="str">
        <f>IF(AND(Programme_Grunddaten!$A342="Geprüft",Programme_Grunddaten!AN342&lt;&gt;""),IF(Programme_Grunddaten!AN342="Ja",1,0),"")</f>
        <v/>
      </c>
      <c r="AG337" s="1" t="str">
        <f>IF(AND(Programme_Grunddaten!$A342="Geprüft",Programme_Grunddaten!AO342&lt;&gt;""),IF(Programme_Grunddaten!AO342="Ja",1,0),"")</f>
        <v/>
      </c>
      <c r="AH337" s="1" t="str">
        <f>IF(AND(Programme_Grunddaten!$A342="Geprüft",Programme_Grunddaten!AP342&lt;&gt;""),IF(Programme_Grunddaten!AP342="Ja",1,0),"")</f>
        <v/>
      </c>
      <c r="AI337" s="1" t="str">
        <f>IF(AND(Programme_Grunddaten!$A342="Geprüft",Programme_Grunddaten!AQ342&lt;&gt;""),IF(Programme_Grunddaten!AQ342="Ja",1,0),"")</f>
        <v/>
      </c>
      <c r="AJ337" s="1" t="str">
        <f>IF(AND(Programme_Grunddaten!$A342="Geprüft",Programme_Grunddaten!AR342&lt;&gt;""),IF(Programme_Grunddaten!AR342="Ja",1,0),"")</f>
        <v/>
      </c>
      <c r="AK337" s="1" t="str">
        <f>IF(AND(Programme_Grunddaten!$A342="Geprüft",Programme_Grunddaten!AS342&lt;&gt;""),IF(Programme_Grunddaten!AS342="Ja",1,0),"")</f>
        <v/>
      </c>
      <c r="AL337" s="1" t="str">
        <f>IF(AND(Programme_Grunddaten!$A342="Geprüft",Programme_Grunddaten!AT342&lt;&gt;""),IF(Programme_Grunddaten!AT342="Ja",1,0),"")</f>
        <v/>
      </c>
      <c r="AM337" s="1" t="str">
        <f>IF(AND(Programme_Grunddaten!$A342="Geprüft",Programme_Grunddaten!AU342&lt;&gt;""),IF(Programme_Grunddaten!AU342="Ja",1,0),"")</f>
        <v/>
      </c>
      <c r="AN337" s="1" t="str">
        <f>IF(AND(Programme_Grunddaten!$A342="Geprüft",Programme_Grunddaten!AV342&lt;&gt;""),IF(Programme_Grunddaten!AV342="Ja",1,0),"")</f>
        <v/>
      </c>
    </row>
    <row r="338" spans="1:40" x14ac:dyDescent="0.3">
      <c r="A338" s="1" t="str">
        <f>IF(AND(Programme_Grunddaten!A343="Geprüft",Programme_Grunddaten!B343&lt;&gt;""),Programme_Grunddaten!B343,"")</f>
        <v/>
      </c>
      <c r="B338" s="1" t="str">
        <f>IF(AND(Programme_Grunddaten!$A343="Geprüft",Programme_Grunddaten!I343&lt;&gt;""),IF(Programme_Grunddaten!I343="Ja",1,0),"")</f>
        <v/>
      </c>
      <c r="C338" s="1" t="str">
        <f>IF(AND(Programme_Grunddaten!$A343="Geprüft",Programme_Grunddaten!J343&lt;&gt;""),IF(Programme_Grunddaten!J343="Ja",1,0),"")</f>
        <v/>
      </c>
      <c r="D338" s="1" t="str">
        <f>IF(AND(Programme_Grunddaten!$A343="Geprüft",Programme_Grunddaten!K343&lt;&gt;""),IF(Programme_Grunddaten!K343="Ja",1,0),"")</f>
        <v/>
      </c>
      <c r="E338" s="1" t="str">
        <f>IF(AND(Programme_Grunddaten!$A343="Geprüft",Programme_Grunddaten!L343&lt;&gt;""),IF(Programme_Grunddaten!L343="Abo / befristete Lizenz",1,0),"")</f>
        <v/>
      </c>
      <c r="F338" s="1" t="str">
        <f>IF(AND(Programme_Grunddaten!$A343="Geprüft",Programme_Grunddaten!M343&lt;&gt;""),IF(Programme_Grunddaten!M343="Ja",1,0),"")</f>
        <v/>
      </c>
      <c r="G338" s="1" t="str">
        <f>IF(AND(Programme_Grunddaten!$A343="Geprüft",Programme_Grunddaten!N343&lt;&gt;""),IF(Programme_Grunddaten!N343="Ja",1,0),"")</f>
        <v/>
      </c>
      <c r="H338" s="1" t="str">
        <f>IF(AND(Programme_Grunddaten!$A343="Geprüft",Programme_Grunddaten!O343&lt;&gt;""),IF(Programme_Grunddaten!O343="Deutschland",0,IF(Programme_Grunddaten!O343="EU",1,2)),"")</f>
        <v/>
      </c>
      <c r="I338" s="1" t="str">
        <f>IF(AND(Programme_Grunddaten!$A343="Geprüft",Programme_Grunddaten!P343&lt;&gt;""),IF(Programme_Grunddaten!P343="Ja",1,0),"")</f>
        <v/>
      </c>
      <c r="J338" s="1" t="str">
        <f>IF(AND(Programme_Grunddaten!$A343="Geprüft",Programme_Grunddaten!Q343&lt;&gt;""),IF(Programme_Grunddaten!Q343="geschlossenes System",1,0),"")</f>
        <v/>
      </c>
      <c r="K338" s="1" t="str">
        <f>IF(AND(Programme_Grunddaten!$A343="Geprüft",Programme_Grunddaten!R343&lt;&gt;""),IF(Programme_Grunddaten!R343="Ja",1,0),"")</f>
        <v/>
      </c>
      <c r="L338" s="1" t="str">
        <f>IF(AND(Programme_Grunddaten!$A343="Geprüft",Programme_Grunddaten!T343&lt;&gt;""),IF(Programme_Grunddaten!T343="Ja",1,0),"")</f>
        <v/>
      </c>
      <c r="M338" s="1" t="str">
        <f>IF(AND(Programme_Grunddaten!$A343="Geprüft",Programme_Grunddaten!U343&lt;&gt;""),IF(Programme_Grunddaten!U343="Ja",1,0),"")</f>
        <v/>
      </c>
      <c r="N338" s="1" t="str">
        <f>IF(AND(Programme_Grunddaten!$A343="Geprüft",Programme_Grunddaten!V343&lt;&gt;""),IF(Programme_Grunddaten!V343="Ja",1,0),"")</f>
        <v/>
      </c>
      <c r="O338" s="1" t="str">
        <f>IF(AND(Programme_Grunddaten!$A343="Geprüft",Programme_Grunddaten!W343&lt;&gt;""),IF(Programme_Grunddaten!W343="Ja",1,0),"")</f>
        <v/>
      </c>
      <c r="P338" s="1" t="str">
        <f>IF(AND(Programme_Grunddaten!$A343="Geprüft",Programme_Grunddaten!X343&lt;&gt;""),IF(Programme_Grunddaten!X343="Ja",1,0),"")</f>
        <v/>
      </c>
      <c r="Q338" s="1" t="str">
        <f>IF(AND(Programme_Grunddaten!$A343="Geprüft",Programme_Grunddaten!Y343&lt;&gt;""),IF(Programme_Grunddaten!Y343="Ja",1,0),"")</f>
        <v/>
      </c>
      <c r="R338" s="1" t="str">
        <f>IF(AND(Programme_Grunddaten!$A343="Geprüft",Programme_Grunddaten!Z343&lt;&gt;""),IF(Programme_Grunddaten!Z343="Ja",1,0),"")</f>
        <v/>
      </c>
      <c r="S338" s="1" t="str">
        <f>IF(AND(Programme_Grunddaten!$A343="Geprüft",Programme_Grunddaten!AA343&lt;&gt;""),IF(Programme_Grunddaten!AA343="monolithisch",1,0),"")</f>
        <v/>
      </c>
      <c r="T338" s="1" t="str">
        <f>IF(AND(Programme_Grunddaten!$A343="Geprüft",Programme_Grunddaten!AB343&lt;&gt;""),IF(Programme_Grunddaten!AB343="Ja",1,0),"")</f>
        <v/>
      </c>
      <c r="U338" s="1" t="str">
        <f>IF(AND(Programme_Grunddaten!$A343="Geprüft",Programme_Grunddaten!AC343&lt;&gt;""),IF(Programme_Grunddaten!AC343="Ja",1,0),"")</f>
        <v/>
      </c>
      <c r="V338" s="1" t="str">
        <f>IF(AND(Programme_Grunddaten!$A343="Geprüft",Programme_Grunddaten!AD343&lt;&gt;""),IF(Programme_Grunddaten!AD343="Ja",1,0),"")</f>
        <v/>
      </c>
      <c r="W338" s="1" t="str">
        <f>IF(AND(Programme_Grunddaten!$A343="Geprüft",Programme_Grunddaten!AE343&lt;&gt;""),IF(Programme_Grunddaten!AE343="Ja",1,0),"")</f>
        <v/>
      </c>
      <c r="X338" s="1" t="str">
        <f>IF(AND(Programme_Grunddaten!$A343="Geprüft",Programme_Grunddaten!AF343&lt;&gt;""),IF(Programme_Grunddaten!AF343="Ja",1,0),"")</f>
        <v/>
      </c>
      <c r="Y338" s="1" t="str">
        <f>IF(AND(Programme_Grunddaten!$A343="Geprüft",Programme_Grunddaten!AG343&lt;&gt;""),IF(Programme_Grunddaten!AG343="Ja",1,0),"")</f>
        <v/>
      </c>
      <c r="Z338" s="1" t="str">
        <f>IF(AND(Programme_Grunddaten!$A343="Geprüft",Programme_Grunddaten!AH343&lt;&gt;""),IF(Programme_Grunddaten!AH343="Ja",1,0),"")</f>
        <v/>
      </c>
      <c r="AA338" s="1" t="str">
        <f>IF(AND(Programme_Grunddaten!$A343="Geprüft",Programme_Grunddaten!AI343&lt;&gt;""),IF(Programme_Grunddaten!AI343="Ja",1,0),"")</f>
        <v/>
      </c>
      <c r="AB338" s="1" t="str">
        <f>IF(AND(Programme_Grunddaten!$A343="Geprüft",Programme_Grunddaten!AJ343&lt;&gt;""),IF(Programme_Grunddaten!AJ343="individuell programmierbar",1,0),"")</f>
        <v/>
      </c>
      <c r="AC338" s="1" t="str">
        <f>IF(AND(Programme_Grunddaten!$A343="Geprüft",Programme_Grunddaten!AK343&lt;&gt;""),IF(Programme_Grunddaten!AK343="Deutsch",0,IF(Programme_Grunddaten!AK343="Deutsch und Englisch",1,2)),"")</f>
        <v/>
      </c>
      <c r="AD338" s="1" t="str">
        <f>IF(AND(Programme_Grunddaten!$A343="Geprüft",Programme_Grunddaten!AL343&lt;&gt;""),IF(Programme_Grunddaten!AL343="Ja",1,0),"")</f>
        <v/>
      </c>
      <c r="AE338" s="1" t="str">
        <f>IF(AND(Programme_Grunddaten!$A343="Geprüft",Programme_Grunddaten!AM343&lt;&gt;""),IF(Programme_Grunddaten!AM343="Ja",1,0),"")</f>
        <v/>
      </c>
      <c r="AF338" s="1" t="str">
        <f>IF(AND(Programme_Grunddaten!$A343="Geprüft",Programme_Grunddaten!AN343&lt;&gt;""),IF(Programme_Grunddaten!AN343="Ja",1,0),"")</f>
        <v/>
      </c>
      <c r="AG338" s="1" t="str">
        <f>IF(AND(Programme_Grunddaten!$A343="Geprüft",Programme_Grunddaten!AO343&lt;&gt;""),IF(Programme_Grunddaten!AO343="Ja",1,0),"")</f>
        <v/>
      </c>
      <c r="AH338" s="1" t="str">
        <f>IF(AND(Programme_Grunddaten!$A343="Geprüft",Programme_Grunddaten!AP343&lt;&gt;""),IF(Programme_Grunddaten!AP343="Ja",1,0),"")</f>
        <v/>
      </c>
      <c r="AI338" s="1" t="str">
        <f>IF(AND(Programme_Grunddaten!$A343="Geprüft",Programme_Grunddaten!AQ343&lt;&gt;""),IF(Programme_Grunddaten!AQ343="Ja",1,0),"")</f>
        <v/>
      </c>
      <c r="AJ338" s="1" t="str">
        <f>IF(AND(Programme_Grunddaten!$A343="Geprüft",Programme_Grunddaten!AR343&lt;&gt;""),IF(Programme_Grunddaten!AR343="Ja",1,0),"")</f>
        <v/>
      </c>
      <c r="AK338" s="1" t="str">
        <f>IF(AND(Programme_Grunddaten!$A343="Geprüft",Programme_Grunddaten!AS343&lt;&gt;""),IF(Programme_Grunddaten!AS343="Ja",1,0),"")</f>
        <v/>
      </c>
      <c r="AL338" s="1" t="str">
        <f>IF(AND(Programme_Grunddaten!$A343="Geprüft",Programme_Grunddaten!AT343&lt;&gt;""),IF(Programme_Grunddaten!AT343="Ja",1,0),"")</f>
        <v/>
      </c>
      <c r="AM338" s="1" t="str">
        <f>IF(AND(Programme_Grunddaten!$A343="Geprüft",Programme_Grunddaten!AU343&lt;&gt;""),IF(Programme_Grunddaten!AU343="Ja",1,0),"")</f>
        <v/>
      </c>
      <c r="AN338" s="1" t="str">
        <f>IF(AND(Programme_Grunddaten!$A343="Geprüft",Programme_Grunddaten!AV343&lt;&gt;""),IF(Programme_Grunddaten!AV343="Ja",1,0),"")</f>
        <v/>
      </c>
    </row>
    <row r="339" spans="1:40" x14ac:dyDescent="0.3">
      <c r="A339" s="1" t="str">
        <f>IF(AND(Programme_Grunddaten!A344="Geprüft",Programme_Grunddaten!B344&lt;&gt;""),Programme_Grunddaten!B344,"")</f>
        <v/>
      </c>
      <c r="B339" s="1" t="str">
        <f>IF(AND(Programme_Grunddaten!$A344="Geprüft",Programme_Grunddaten!I344&lt;&gt;""),IF(Programme_Grunddaten!I344="Ja",1,0),"")</f>
        <v/>
      </c>
      <c r="C339" s="1" t="str">
        <f>IF(AND(Programme_Grunddaten!$A344="Geprüft",Programme_Grunddaten!J344&lt;&gt;""),IF(Programme_Grunddaten!J344="Ja",1,0),"")</f>
        <v/>
      </c>
      <c r="D339" s="1" t="str">
        <f>IF(AND(Programme_Grunddaten!$A344="Geprüft",Programme_Grunddaten!K344&lt;&gt;""),IF(Programme_Grunddaten!K344="Ja",1,0),"")</f>
        <v/>
      </c>
      <c r="E339" s="1" t="str">
        <f>IF(AND(Programme_Grunddaten!$A344="Geprüft",Programme_Grunddaten!L344&lt;&gt;""),IF(Programme_Grunddaten!L344="Abo / befristete Lizenz",1,0),"")</f>
        <v/>
      </c>
      <c r="F339" s="1" t="str">
        <f>IF(AND(Programme_Grunddaten!$A344="Geprüft",Programme_Grunddaten!M344&lt;&gt;""),IF(Programme_Grunddaten!M344="Ja",1,0),"")</f>
        <v/>
      </c>
      <c r="G339" s="1" t="str">
        <f>IF(AND(Programme_Grunddaten!$A344="Geprüft",Programme_Grunddaten!N344&lt;&gt;""),IF(Programme_Grunddaten!N344="Ja",1,0),"")</f>
        <v/>
      </c>
      <c r="H339" s="1" t="str">
        <f>IF(AND(Programme_Grunddaten!$A344="Geprüft",Programme_Grunddaten!O344&lt;&gt;""),IF(Programme_Grunddaten!O344="Deutschland",0,IF(Programme_Grunddaten!O344="EU",1,2)),"")</f>
        <v/>
      </c>
      <c r="I339" s="1" t="str">
        <f>IF(AND(Programme_Grunddaten!$A344="Geprüft",Programme_Grunddaten!P344&lt;&gt;""),IF(Programme_Grunddaten!P344="Ja",1,0),"")</f>
        <v/>
      </c>
      <c r="J339" s="1" t="str">
        <f>IF(AND(Programme_Grunddaten!$A344="Geprüft",Programme_Grunddaten!Q344&lt;&gt;""),IF(Programme_Grunddaten!Q344="geschlossenes System",1,0),"")</f>
        <v/>
      </c>
      <c r="K339" s="1" t="str">
        <f>IF(AND(Programme_Grunddaten!$A344="Geprüft",Programme_Grunddaten!R344&lt;&gt;""),IF(Programme_Grunddaten!R344="Ja",1,0),"")</f>
        <v/>
      </c>
      <c r="L339" s="1" t="str">
        <f>IF(AND(Programme_Grunddaten!$A344="Geprüft",Programme_Grunddaten!T344&lt;&gt;""),IF(Programme_Grunddaten!T344="Ja",1,0),"")</f>
        <v/>
      </c>
      <c r="M339" s="1" t="str">
        <f>IF(AND(Programme_Grunddaten!$A344="Geprüft",Programme_Grunddaten!U344&lt;&gt;""),IF(Programme_Grunddaten!U344="Ja",1,0),"")</f>
        <v/>
      </c>
      <c r="N339" s="1" t="str">
        <f>IF(AND(Programme_Grunddaten!$A344="Geprüft",Programme_Grunddaten!V344&lt;&gt;""),IF(Programme_Grunddaten!V344="Ja",1,0),"")</f>
        <v/>
      </c>
      <c r="O339" s="1" t="str">
        <f>IF(AND(Programme_Grunddaten!$A344="Geprüft",Programme_Grunddaten!W344&lt;&gt;""),IF(Programme_Grunddaten!W344="Ja",1,0),"")</f>
        <v/>
      </c>
      <c r="P339" s="1" t="str">
        <f>IF(AND(Programme_Grunddaten!$A344="Geprüft",Programme_Grunddaten!X344&lt;&gt;""),IF(Programme_Grunddaten!X344="Ja",1,0),"")</f>
        <v/>
      </c>
      <c r="Q339" s="1" t="str">
        <f>IF(AND(Programme_Grunddaten!$A344="Geprüft",Programme_Grunddaten!Y344&lt;&gt;""),IF(Programme_Grunddaten!Y344="Ja",1,0),"")</f>
        <v/>
      </c>
      <c r="R339" s="1" t="str">
        <f>IF(AND(Programme_Grunddaten!$A344="Geprüft",Programme_Grunddaten!Z344&lt;&gt;""),IF(Programme_Grunddaten!Z344="Ja",1,0),"")</f>
        <v/>
      </c>
      <c r="S339" s="1" t="str">
        <f>IF(AND(Programme_Grunddaten!$A344="Geprüft",Programme_Grunddaten!AA344&lt;&gt;""),IF(Programme_Grunddaten!AA344="monolithisch",1,0),"")</f>
        <v/>
      </c>
      <c r="T339" s="1" t="str">
        <f>IF(AND(Programme_Grunddaten!$A344="Geprüft",Programme_Grunddaten!AB344&lt;&gt;""),IF(Programme_Grunddaten!AB344="Ja",1,0),"")</f>
        <v/>
      </c>
      <c r="U339" s="1" t="str">
        <f>IF(AND(Programme_Grunddaten!$A344="Geprüft",Programme_Grunddaten!AC344&lt;&gt;""),IF(Programme_Grunddaten!AC344="Ja",1,0),"")</f>
        <v/>
      </c>
      <c r="V339" s="1" t="str">
        <f>IF(AND(Programme_Grunddaten!$A344="Geprüft",Programme_Grunddaten!AD344&lt;&gt;""),IF(Programme_Grunddaten!AD344="Ja",1,0),"")</f>
        <v/>
      </c>
      <c r="W339" s="1" t="str">
        <f>IF(AND(Programme_Grunddaten!$A344="Geprüft",Programme_Grunddaten!AE344&lt;&gt;""),IF(Programme_Grunddaten!AE344="Ja",1,0),"")</f>
        <v/>
      </c>
      <c r="X339" s="1" t="str">
        <f>IF(AND(Programme_Grunddaten!$A344="Geprüft",Programme_Grunddaten!AF344&lt;&gt;""),IF(Programme_Grunddaten!AF344="Ja",1,0),"")</f>
        <v/>
      </c>
      <c r="Y339" s="1" t="str">
        <f>IF(AND(Programme_Grunddaten!$A344="Geprüft",Programme_Grunddaten!AG344&lt;&gt;""),IF(Programme_Grunddaten!AG344="Ja",1,0),"")</f>
        <v/>
      </c>
      <c r="Z339" s="1" t="str">
        <f>IF(AND(Programme_Grunddaten!$A344="Geprüft",Programme_Grunddaten!AH344&lt;&gt;""),IF(Programme_Grunddaten!AH344="Ja",1,0),"")</f>
        <v/>
      </c>
      <c r="AA339" s="1" t="str">
        <f>IF(AND(Programme_Grunddaten!$A344="Geprüft",Programme_Grunddaten!AI344&lt;&gt;""),IF(Programme_Grunddaten!AI344="Ja",1,0),"")</f>
        <v/>
      </c>
      <c r="AB339" s="1" t="str">
        <f>IF(AND(Programme_Grunddaten!$A344="Geprüft",Programme_Grunddaten!AJ344&lt;&gt;""),IF(Programme_Grunddaten!AJ344="individuell programmierbar",1,0),"")</f>
        <v/>
      </c>
      <c r="AC339" s="1" t="str">
        <f>IF(AND(Programme_Grunddaten!$A344="Geprüft",Programme_Grunddaten!AK344&lt;&gt;""),IF(Programme_Grunddaten!AK344="Deutsch",0,IF(Programme_Grunddaten!AK344="Deutsch und Englisch",1,2)),"")</f>
        <v/>
      </c>
      <c r="AD339" s="1" t="str">
        <f>IF(AND(Programme_Grunddaten!$A344="Geprüft",Programme_Grunddaten!AL344&lt;&gt;""),IF(Programme_Grunddaten!AL344="Ja",1,0),"")</f>
        <v/>
      </c>
      <c r="AE339" s="1" t="str">
        <f>IF(AND(Programme_Grunddaten!$A344="Geprüft",Programme_Grunddaten!AM344&lt;&gt;""),IF(Programme_Grunddaten!AM344="Ja",1,0),"")</f>
        <v/>
      </c>
      <c r="AF339" s="1" t="str">
        <f>IF(AND(Programme_Grunddaten!$A344="Geprüft",Programme_Grunddaten!AN344&lt;&gt;""),IF(Programme_Grunddaten!AN344="Ja",1,0),"")</f>
        <v/>
      </c>
      <c r="AG339" s="1" t="str">
        <f>IF(AND(Programme_Grunddaten!$A344="Geprüft",Programme_Grunddaten!AO344&lt;&gt;""),IF(Programme_Grunddaten!AO344="Ja",1,0),"")</f>
        <v/>
      </c>
      <c r="AH339" s="1" t="str">
        <f>IF(AND(Programme_Grunddaten!$A344="Geprüft",Programme_Grunddaten!AP344&lt;&gt;""),IF(Programme_Grunddaten!AP344="Ja",1,0),"")</f>
        <v/>
      </c>
      <c r="AI339" s="1" t="str">
        <f>IF(AND(Programme_Grunddaten!$A344="Geprüft",Programme_Grunddaten!AQ344&lt;&gt;""),IF(Programme_Grunddaten!AQ344="Ja",1,0),"")</f>
        <v/>
      </c>
      <c r="AJ339" s="1" t="str">
        <f>IF(AND(Programme_Grunddaten!$A344="Geprüft",Programme_Grunddaten!AR344&lt;&gt;""),IF(Programme_Grunddaten!AR344="Ja",1,0),"")</f>
        <v/>
      </c>
      <c r="AK339" s="1" t="str">
        <f>IF(AND(Programme_Grunddaten!$A344="Geprüft",Programme_Grunddaten!AS344&lt;&gt;""),IF(Programme_Grunddaten!AS344="Ja",1,0),"")</f>
        <v/>
      </c>
      <c r="AL339" s="1" t="str">
        <f>IF(AND(Programme_Grunddaten!$A344="Geprüft",Programme_Grunddaten!AT344&lt;&gt;""),IF(Programme_Grunddaten!AT344="Ja",1,0),"")</f>
        <v/>
      </c>
      <c r="AM339" s="1" t="str">
        <f>IF(AND(Programme_Grunddaten!$A344="Geprüft",Programme_Grunddaten!AU344&lt;&gt;""),IF(Programme_Grunddaten!AU344="Ja",1,0),"")</f>
        <v/>
      </c>
      <c r="AN339" s="1" t="str">
        <f>IF(AND(Programme_Grunddaten!$A344="Geprüft",Programme_Grunddaten!AV344&lt;&gt;""),IF(Programme_Grunddaten!AV344="Ja",1,0),"")</f>
        <v/>
      </c>
    </row>
    <row r="340" spans="1:40" x14ac:dyDescent="0.3">
      <c r="A340" s="1" t="str">
        <f>IF(AND(Programme_Grunddaten!A345="Geprüft",Programme_Grunddaten!B345&lt;&gt;""),Programme_Grunddaten!B345,"")</f>
        <v/>
      </c>
      <c r="B340" s="1" t="str">
        <f>IF(AND(Programme_Grunddaten!$A345="Geprüft",Programme_Grunddaten!I345&lt;&gt;""),IF(Programme_Grunddaten!I345="Ja",1,0),"")</f>
        <v/>
      </c>
      <c r="C340" s="1" t="str">
        <f>IF(AND(Programme_Grunddaten!$A345="Geprüft",Programme_Grunddaten!J345&lt;&gt;""),IF(Programme_Grunddaten!J345="Ja",1,0),"")</f>
        <v/>
      </c>
      <c r="D340" s="1" t="str">
        <f>IF(AND(Programme_Grunddaten!$A345="Geprüft",Programme_Grunddaten!K345&lt;&gt;""),IF(Programme_Grunddaten!K345="Ja",1,0),"")</f>
        <v/>
      </c>
      <c r="E340" s="1" t="str">
        <f>IF(AND(Programme_Grunddaten!$A345="Geprüft",Programme_Grunddaten!L345&lt;&gt;""),IF(Programme_Grunddaten!L345="Abo / befristete Lizenz",1,0),"")</f>
        <v/>
      </c>
      <c r="F340" s="1" t="str">
        <f>IF(AND(Programme_Grunddaten!$A345="Geprüft",Programme_Grunddaten!M345&lt;&gt;""),IF(Programme_Grunddaten!M345="Ja",1,0),"")</f>
        <v/>
      </c>
      <c r="G340" s="1" t="str">
        <f>IF(AND(Programme_Grunddaten!$A345="Geprüft",Programme_Grunddaten!N345&lt;&gt;""),IF(Programme_Grunddaten!N345="Ja",1,0),"")</f>
        <v/>
      </c>
      <c r="H340" s="1" t="str">
        <f>IF(AND(Programme_Grunddaten!$A345="Geprüft",Programme_Grunddaten!O345&lt;&gt;""),IF(Programme_Grunddaten!O345="Deutschland",0,IF(Programme_Grunddaten!O345="EU",1,2)),"")</f>
        <v/>
      </c>
      <c r="I340" s="1" t="str">
        <f>IF(AND(Programme_Grunddaten!$A345="Geprüft",Programme_Grunddaten!P345&lt;&gt;""),IF(Programme_Grunddaten!P345="Ja",1,0),"")</f>
        <v/>
      </c>
      <c r="J340" s="1" t="str">
        <f>IF(AND(Programme_Grunddaten!$A345="Geprüft",Programme_Grunddaten!Q345&lt;&gt;""),IF(Programme_Grunddaten!Q345="geschlossenes System",1,0),"")</f>
        <v/>
      </c>
      <c r="K340" s="1" t="str">
        <f>IF(AND(Programme_Grunddaten!$A345="Geprüft",Programme_Grunddaten!R345&lt;&gt;""),IF(Programme_Grunddaten!R345="Ja",1,0),"")</f>
        <v/>
      </c>
      <c r="L340" s="1" t="str">
        <f>IF(AND(Programme_Grunddaten!$A345="Geprüft",Programme_Grunddaten!T345&lt;&gt;""),IF(Programme_Grunddaten!T345="Ja",1,0),"")</f>
        <v/>
      </c>
      <c r="M340" s="1" t="str">
        <f>IF(AND(Programme_Grunddaten!$A345="Geprüft",Programme_Grunddaten!U345&lt;&gt;""),IF(Programme_Grunddaten!U345="Ja",1,0),"")</f>
        <v/>
      </c>
      <c r="N340" s="1" t="str">
        <f>IF(AND(Programme_Grunddaten!$A345="Geprüft",Programme_Grunddaten!V345&lt;&gt;""),IF(Programme_Grunddaten!V345="Ja",1,0),"")</f>
        <v/>
      </c>
      <c r="O340" s="1" t="str">
        <f>IF(AND(Programme_Grunddaten!$A345="Geprüft",Programme_Grunddaten!W345&lt;&gt;""),IF(Programme_Grunddaten!W345="Ja",1,0),"")</f>
        <v/>
      </c>
      <c r="P340" s="1" t="str">
        <f>IF(AND(Programme_Grunddaten!$A345="Geprüft",Programme_Grunddaten!X345&lt;&gt;""),IF(Programme_Grunddaten!X345="Ja",1,0),"")</f>
        <v/>
      </c>
      <c r="Q340" s="1" t="str">
        <f>IF(AND(Programme_Grunddaten!$A345="Geprüft",Programme_Grunddaten!Y345&lt;&gt;""),IF(Programme_Grunddaten!Y345="Ja",1,0),"")</f>
        <v/>
      </c>
      <c r="R340" s="1" t="str">
        <f>IF(AND(Programme_Grunddaten!$A345="Geprüft",Programme_Grunddaten!Z345&lt;&gt;""),IF(Programme_Grunddaten!Z345="Ja",1,0),"")</f>
        <v/>
      </c>
      <c r="S340" s="1" t="str">
        <f>IF(AND(Programme_Grunddaten!$A345="Geprüft",Programme_Grunddaten!AA345&lt;&gt;""),IF(Programme_Grunddaten!AA345="monolithisch",1,0),"")</f>
        <v/>
      </c>
      <c r="T340" s="1" t="str">
        <f>IF(AND(Programme_Grunddaten!$A345="Geprüft",Programme_Grunddaten!AB345&lt;&gt;""),IF(Programme_Grunddaten!AB345="Ja",1,0),"")</f>
        <v/>
      </c>
      <c r="U340" s="1" t="str">
        <f>IF(AND(Programme_Grunddaten!$A345="Geprüft",Programme_Grunddaten!AC345&lt;&gt;""),IF(Programme_Grunddaten!AC345="Ja",1,0),"")</f>
        <v/>
      </c>
      <c r="V340" s="1" t="str">
        <f>IF(AND(Programme_Grunddaten!$A345="Geprüft",Programme_Grunddaten!AD345&lt;&gt;""),IF(Programme_Grunddaten!AD345="Ja",1,0),"")</f>
        <v/>
      </c>
      <c r="W340" s="1" t="str">
        <f>IF(AND(Programme_Grunddaten!$A345="Geprüft",Programme_Grunddaten!AE345&lt;&gt;""),IF(Programme_Grunddaten!AE345="Ja",1,0),"")</f>
        <v/>
      </c>
      <c r="X340" s="1" t="str">
        <f>IF(AND(Programme_Grunddaten!$A345="Geprüft",Programme_Grunddaten!AF345&lt;&gt;""),IF(Programme_Grunddaten!AF345="Ja",1,0),"")</f>
        <v/>
      </c>
      <c r="Y340" s="1" t="str">
        <f>IF(AND(Programme_Grunddaten!$A345="Geprüft",Programme_Grunddaten!AG345&lt;&gt;""),IF(Programme_Grunddaten!AG345="Ja",1,0),"")</f>
        <v/>
      </c>
      <c r="Z340" s="1" t="str">
        <f>IF(AND(Programme_Grunddaten!$A345="Geprüft",Programme_Grunddaten!AH345&lt;&gt;""),IF(Programme_Grunddaten!AH345="Ja",1,0),"")</f>
        <v/>
      </c>
      <c r="AA340" s="1" t="str">
        <f>IF(AND(Programme_Grunddaten!$A345="Geprüft",Programme_Grunddaten!AI345&lt;&gt;""),IF(Programme_Grunddaten!AI345="Ja",1,0),"")</f>
        <v/>
      </c>
      <c r="AB340" s="1" t="str">
        <f>IF(AND(Programme_Grunddaten!$A345="Geprüft",Programme_Grunddaten!AJ345&lt;&gt;""),IF(Programme_Grunddaten!AJ345="individuell programmierbar",1,0),"")</f>
        <v/>
      </c>
      <c r="AC340" s="1" t="str">
        <f>IF(AND(Programme_Grunddaten!$A345="Geprüft",Programme_Grunddaten!AK345&lt;&gt;""),IF(Programme_Grunddaten!AK345="Deutsch",0,IF(Programme_Grunddaten!AK345="Deutsch und Englisch",1,2)),"")</f>
        <v/>
      </c>
      <c r="AD340" s="1" t="str">
        <f>IF(AND(Programme_Grunddaten!$A345="Geprüft",Programme_Grunddaten!AL345&lt;&gt;""),IF(Programme_Grunddaten!AL345="Ja",1,0),"")</f>
        <v/>
      </c>
      <c r="AE340" s="1" t="str">
        <f>IF(AND(Programme_Grunddaten!$A345="Geprüft",Programme_Grunddaten!AM345&lt;&gt;""),IF(Programme_Grunddaten!AM345="Ja",1,0),"")</f>
        <v/>
      </c>
      <c r="AF340" s="1" t="str">
        <f>IF(AND(Programme_Grunddaten!$A345="Geprüft",Programme_Grunddaten!AN345&lt;&gt;""),IF(Programme_Grunddaten!AN345="Ja",1,0),"")</f>
        <v/>
      </c>
      <c r="AG340" s="1" t="str">
        <f>IF(AND(Programme_Grunddaten!$A345="Geprüft",Programme_Grunddaten!AO345&lt;&gt;""),IF(Programme_Grunddaten!AO345="Ja",1,0),"")</f>
        <v/>
      </c>
      <c r="AH340" s="1" t="str">
        <f>IF(AND(Programme_Grunddaten!$A345="Geprüft",Programme_Grunddaten!AP345&lt;&gt;""),IF(Programme_Grunddaten!AP345="Ja",1,0),"")</f>
        <v/>
      </c>
      <c r="AI340" s="1" t="str">
        <f>IF(AND(Programme_Grunddaten!$A345="Geprüft",Programme_Grunddaten!AQ345&lt;&gt;""),IF(Programme_Grunddaten!AQ345="Ja",1,0),"")</f>
        <v/>
      </c>
      <c r="AJ340" s="1" t="str">
        <f>IF(AND(Programme_Grunddaten!$A345="Geprüft",Programme_Grunddaten!AR345&lt;&gt;""),IF(Programme_Grunddaten!AR345="Ja",1,0),"")</f>
        <v/>
      </c>
      <c r="AK340" s="1" t="str">
        <f>IF(AND(Programme_Grunddaten!$A345="Geprüft",Programme_Grunddaten!AS345&lt;&gt;""),IF(Programme_Grunddaten!AS345="Ja",1,0),"")</f>
        <v/>
      </c>
      <c r="AL340" s="1" t="str">
        <f>IF(AND(Programme_Grunddaten!$A345="Geprüft",Programme_Grunddaten!AT345&lt;&gt;""),IF(Programme_Grunddaten!AT345="Ja",1,0),"")</f>
        <v/>
      </c>
      <c r="AM340" s="1" t="str">
        <f>IF(AND(Programme_Grunddaten!$A345="Geprüft",Programme_Grunddaten!AU345&lt;&gt;""),IF(Programme_Grunddaten!AU345="Ja",1,0),"")</f>
        <v/>
      </c>
      <c r="AN340" s="1" t="str">
        <f>IF(AND(Programme_Grunddaten!$A345="Geprüft",Programme_Grunddaten!AV345&lt;&gt;""),IF(Programme_Grunddaten!AV345="Ja",1,0),"")</f>
        <v/>
      </c>
    </row>
    <row r="341" spans="1:40" x14ac:dyDescent="0.3">
      <c r="A341" s="1" t="str">
        <f>IF(AND(Programme_Grunddaten!A346="Geprüft",Programme_Grunddaten!B346&lt;&gt;""),Programme_Grunddaten!B346,"")</f>
        <v/>
      </c>
      <c r="B341" s="1" t="str">
        <f>IF(AND(Programme_Grunddaten!$A346="Geprüft",Programme_Grunddaten!I346&lt;&gt;""),IF(Programme_Grunddaten!I346="Ja",1,0),"")</f>
        <v/>
      </c>
      <c r="C341" s="1" t="str">
        <f>IF(AND(Programme_Grunddaten!$A346="Geprüft",Programme_Grunddaten!J346&lt;&gt;""),IF(Programme_Grunddaten!J346="Ja",1,0),"")</f>
        <v/>
      </c>
      <c r="D341" s="1" t="str">
        <f>IF(AND(Programme_Grunddaten!$A346="Geprüft",Programme_Grunddaten!K346&lt;&gt;""),IF(Programme_Grunddaten!K346="Ja",1,0),"")</f>
        <v/>
      </c>
      <c r="E341" s="1" t="str">
        <f>IF(AND(Programme_Grunddaten!$A346="Geprüft",Programme_Grunddaten!L346&lt;&gt;""),IF(Programme_Grunddaten!L346="Abo / befristete Lizenz",1,0),"")</f>
        <v/>
      </c>
      <c r="F341" s="1" t="str">
        <f>IF(AND(Programme_Grunddaten!$A346="Geprüft",Programme_Grunddaten!M346&lt;&gt;""),IF(Programme_Grunddaten!M346="Ja",1,0),"")</f>
        <v/>
      </c>
      <c r="G341" s="1" t="str">
        <f>IF(AND(Programme_Grunddaten!$A346="Geprüft",Programme_Grunddaten!N346&lt;&gt;""),IF(Programme_Grunddaten!N346="Ja",1,0),"")</f>
        <v/>
      </c>
      <c r="H341" s="1" t="str">
        <f>IF(AND(Programme_Grunddaten!$A346="Geprüft",Programme_Grunddaten!O346&lt;&gt;""),IF(Programme_Grunddaten!O346="Deutschland",0,IF(Programme_Grunddaten!O346="EU",1,2)),"")</f>
        <v/>
      </c>
      <c r="I341" s="1" t="str">
        <f>IF(AND(Programme_Grunddaten!$A346="Geprüft",Programme_Grunddaten!P346&lt;&gt;""),IF(Programme_Grunddaten!P346="Ja",1,0),"")</f>
        <v/>
      </c>
      <c r="J341" s="1" t="str">
        <f>IF(AND(Programme_Grunddaten!$A346="Geprüft",Programme_Grunddaten!Q346&lt;&gt;""),IF(Programme_Grunddaten!Q346="geschlossenes System",1,0),"")</f>
        <v/>
      </c>
      <c r="K341" s="1" t="str">
        <f>IF(AND(Programme_Grunddaten!$A346="Geprüft",Programme_Grunddaten!R346&lt;&gt;""),IF(Programme_Grunddaten!R346="Ja",1,0),"")</f>
        <v/>
      </c>
      <c r="L341" s="1" t="str">
        <f>IF(AND(Programme_Grunddaten!$A346="Geprüft",Programme_Grunddaten!T346&lt;&gt;""),IF(Programme_Grunddaten!T346="Ja",1,0),"")</f>
        <v/>
      </c>
      <c r="M341" s="1" t="str">
        <f>IF(AND(Programme_Grunddaten!$A346="Geprüft",Programme_Grunddaten!U346&lt;&gt;""),IF(Programme_Grunddaten!U346="Ja",1,0),"")</f>
        <v/>
      </c>
      <c r="N341" s="1" t="str">
        <f>IF(AND(Programme_Grunddaten!$A346="Geprüft",Programme_Grunddaten!V346&lt;&gt;""),IF(Programme_Grunddaten!V346="Ja",1,0),"")</f>
        <v/>
      </c>
      <c r="O341" s="1" t="str">
        <f>IF(AND(Programme_Grunddaten!$A346="Geprüft",Programme_Grunddaten!W346&lt;&gt;""),IF(Programme_Grunddaten!W346="Ja",1,0),"")</f>
        <v/>
      </c>
      <c r="P341" s="1" t="str">
        <f>IF(AND(Programme_Grunddaten!$A346="Geprüft",Programme_Grunddaten!X346&lt;&gt;""),IF(Programme_Grunddaten!X346="Ja",1,0),"")</f>
        <v/>
      </c>
      <c r="Q341" s="1" t="str">
        <f>IF(AND(Programme_Grunddaten!$A346="Geprüft",Programme_Grunddaten!Y346&lt;&gt;""),IF(Programme_Grunddaten!Y346="Ja",1,0),"")</f>
        <v/>
      </c>
      <c r="R341" s="1" t="str">
        <f>IF(AND(Programme_Grunddaten!$A346="Geprüft",Programme_Grunddaten!Z346&lt;&gt;""),IF(Programme_Grunddaten!Z346="Ja",1,0),"")</f>
        <v/>
      </c>
      <c r="S341" s="1" t="str">
        <f>IF(AND(Programme_Grunddaten!$A346="Geprüft",Programme_Grunddaten!AA346&lt;&gt;""),IF(Programme_Grunddaten!AA346="monolithisch",1,0),"")</f>
        <v/>
      </c>
      <c r="T341" s="1" t="str">
        <f>IF(AND(Programme_Grunddaten!$A346="Geprüft",Programme_Grunddaten!AB346&lt;&gt;""),IF(Programme_Grunddaten!AB346="Ja",1,0),"")</f>
        <v/>
      </c>
      <c r="U341" s="1" t="str">
        <f>IF(AND(Programme_Grunddaten!$A346="Geprüft",Programme_Grunddaten!AC346&lt;&gt;""),IF(Programme_Grunddaten!AC346="Ja",1,0),"")</f>
        <v/>
      </c>
      <c r="V341" s="1" t="str">
        <f>IF(AND(Programme_Grunddaten!$A346="Geprüft",Programme_Grunddaten!AD346&lt;&gt;""),IF(Programme_Grunddaten!AD346="Ja",1,0),"")</f>
        <v/>
      </c>
      <c r="W341" s="1" t="str">
        <f>IF(AND(Programme_Grunddaten!$A346="Geprüft",Programme_Grunddaten!AE346&lt;&gt;""),IF(Programme_Grunddaten!AE346="Ja",1,0),"")</f>
        <v/>
      </c>
      <c r="X341" s="1" t="str">
        <f>IF(AND(Programme_Grunddaten!$A346="Geprüft",Programme_Grunddaten!AF346&lt;&gt;""),IF(Programme_Grunddaten!AF346="Ja",1,0),"")</f>
        <v/>
      </c>
      <c r="Y341" s="1" t="str">
        <f>IF(AND(Programme_Grunddaten!$A346="Geprüft",Programme_Grunddaten!AG346&lt;&gt;""),IF(Programme_Grunddaten!AG346="Ja",1,0),"")</f>
        <v/>
      </c>
      <c r="Z341" s="1" t="str">
        <f>IF(AND(Programme_Grunddaten!$A346="Geprüft",Programme_Grunddaten!AH346&lt;&gt;""),IF(Programme_Grunddaten!AH346="Ja",1,0),"")</f>
        <v/>
      </c>
      <c r="AA341" s="1" t="str">
        <f>IF(AND(Programme_Grunddaten!$A346="Geprüft",Programme_Grunddaten!AI346&lt;&gt;""),IF(Programme_Grunddaten!AI346="Ja",1,0),"")</f>
        <v/>
      </c>
      <c r="AB341" s="1" t="str">
        <f>IF(AND(Programme_Grunddaten!$A346="Geprüft",Programme_Grunddaten!AJ346&lt;&gt;""),IF(Programme_Grunddaten!AJ346="individuell programmierbar",1,0),"")</f>
        <v/>
      </c>
      <c r="AC341" s="1" t="str">
        <f>IF(AND(Programme_Grunddaten!$A346="Geprüft",Programme_Grunddaten!AK346&lt;&gt;""),IF(Programme_Grunddaten!AK346="Deutsch",0,IF(Programme_Grunddaten!AK346="Deutsch und Englisch",1,2)),"")</f>
        <v/>
      </c>
      <c r="AD341" s="1" t="str">
        <f>IF(AND(Programme_Grunddaten!$A346="Geprüft",Programme_Grunddaten!AL346&lt;&gt;""),IF(Programme_Grunddaten!AL346="Ja",1,0),"")</f>
        <v/>
      </c>
      <c r="AE341" s="1" t="str">
        <f>IF(AND(Programme_Grunddaten!$A346="Geprüft",Programme_Grunddaten!AM346&lt;&gt;""),IF(Programme_Grunddaten!AM346="Ja",1,0),"")</f>
        <v/>
      </c>
      <c r="AF341" s="1" t="str">
        <f>IF(AND(Programme_Grunddaten!$A346="Geprüft",Programme_Grunddaten!AN346&lt;&gt;""),IF(Programme_Grunddaten!AN346="Ja",1,0),"")</f>
        <v/>
      </c>
      <c r="AG341" s="1" t="str">
        <f>IF(AND(Programme_Grunddaten!$A346="Geprüft",Programme_Grunddaten!AO346&lt;&gt;""),IF(Programme_Grunddaten!AO346="Ja",1,0),"")</f>
        <v/>
      </c>
      <c r="AH341" s="1" t="str">
        <f>IF(AND(Programme_Grunddaten!$A346="Geprüft",Programme_Grunddaten!AP346&lt;&gt;""),IF(Programme_Grunddaten!AP346="Ja",1,0),"")</f>
        <v/>
      </c>
      <c r="AI341" s="1" t="str">
        <f>IF(AND(Programme_Grunddaten!$A346="Geprüft",Programme_Grunddaten!AQ346&lt;&gt;""),IF(Programme_Grunddaten!AQ346="Ja",1,0),"")</f>
        <v/>
      </c>
      <c r="AJ341" s="1" t="str">
        <f>IF(AND(Programme_Grunddaten!$A346="Geprüft",Programme_Grunddaten!AR346&lt;&gt;""),IF(Programme_Grunddaten!AR346="Ja",1,0),"")</f>
        <v/>
      </c>
      <c r="AK341" s="1" t="str">
        <f>IF(AND(Programme_Grunddaten!$A346="Geprüft",Programme_Grunddaten!AS346&lt;&gt;""),IF(Programme_Grunddaten!AS346="Ja",1,0),"")</f>
        <v/>
      </c>
      <c r="AL341" s="1" t="str">
        <f>IF(AND(Programme_Grunddaten!$A346="Geprüft",Programme_Grunddaten!AT346&lt;&gt;""),IF(Programme_Grunddaten!AT346="Ja",1,0),"")</f>
        <v/>
      </c>
      <c r="AM341" s="1" t="str">
        <f>IF(AND(Programme_Grunddaten!$A346="Geprüft",Programme_Grunddaten!AU346&lt;&gt;""),IF(Programme_Grunddaten!AU346="Ja",1,0),"")</f>
        <v/>
      </c>
      <c r="AN341" s="1" t="str">
        <f>IF(AND(Programme_Grunddaten!$A346="Geprüft",Programme_Grunddaten!AV346&lt;&gt;""),IF(Programme_Grunddaten!AV346="Ja",1,0),"")</f>
        <v/>
      </c>
    </row>
    <row r="342" spans="1:40" x14ac:dyDescent="0.3">
      <c r="A342" s="1" t="str">
        <f>IF(AND(Programme_Grunddaten!A347="Geprüft",Programme_Grunddaten!B347&lt;&gt;""),Programme_Grunddaten!B347,"")</f>
        <v/>
      </c>
      <c r="B342" s="1" t="str">
        <f>IF(AND(Programme_Grunddaten!$A347="Geprüft",Programme_Grunddaten!I347&lt;&gt;""),IF(Programme_Grunddaten!I347="Ja",1,0),"")</f>
        <v/>
      </c>
      <c r="C342" s="1" t="str">
        <f>IF(AND(Programme_Grunddaten!$A347="Geprüft",Programme_Grunddaten!J347&lt;&gt;""),IF(Programme_Grunddaten!J347="Ja",1,0),"")</f>
        <v/>
      </c>
      <c r="D342" s="1" t="str">
        <f>IF(AND(Programme_Grunddaten!$A347="Geprüft",Programme_Grunddaten!K347&lt;&gt;""),IF(Programme_Grunddaten!K347="Ja",1,0),"")</f>
        <v/>
      </c>
      <c r="E342" s="1" t="str">
        <f>IF(AND(Programme_Grunddaten!$A347="Geprüft",Programme_Grunddaten!L347&lt;&gt;""),IF(Programme_Grunddaten!L347="Abo / befristete Lizenz",1,0),"")</f>
        <v/>
      </c>
      <c r="F342" s="1" t="str">
        <f>IF(AND(Programme_Grunddaten!$A347="Geprüft",Programme_Grunddaten!M347&lt;&gt;""),IF(Programme_Grunddaten!M347="Ja",1,0),"")</f>
        <v/>
      </c>
      <c r="G342" s="1" t="str">
        <f>IF(AND(Programme_Grunddaten!$A347="Geprüft",Programme_Grunddaten!N347&lt;&gt;""),IF(Programme_Grunddaten!N347="Ja",1,0),"")</f>
        <v/>
      </c>
      <c r="H342" s="1" t="str">
        <f>IF(AND(Programme_Grunddaten!$A347="Geprüft",Programme_Grunddaten!O347&lt;&gt;""),IF(Programme_Grunddaten!O347="Deutschland",0,IF(Programme_Grunddaten!O347="EU",1,2)),"")</f>
        <v/>
      </c>
      <c r="I342" s="1" t="str">
        <f>IF(AND(Programme_Grunddaten!$A347="Geprüft",Programme_Grunddaten!P347&lt;&gt;""),IF(Programme_Grunddaten!P347="Ja",1,0),"")</f>
        <v/>
      </c>
      <c r="J342" s="1" t="str">
        <f>IF(AND(Programme_Grunddaten!$A347="Geprüft",Programme_Grunddaten!Q347&lt;&gt;""),IF(Programme_Grunddaten!Q347="geschlossenes System",1,0),"")</f>
        <v/>
      </c>
      <c r="K342" s="1" t="str">
        <f>IF(AND(Programme_Grunddaten!$A347="Geprüft",Programme_Grunddaten!R347&lt;&gt;""),IF(Programme_Grunddaten!R347="Ja",1,0),"")</f>
        <v/>
      </c>
      <c r="L342" s="1" t="str">
        <f>IF(AND(Programme_Grunddaten!$A347="Geprüft",Programme_Grunddaten!T347&lt;&gt;""),IF(Programme_Grunddaten!T347="Ja",1,0),"")</f>
        <v/>
      </c>
      <c r="M342" s="1" t="str">
        <f>IF(AND(Programme_Grunddaten!$A347="Geprüft",Programme_Grunddaten!U347&lt;&gt;""),IF(Programme_Grunddaten!U347="Ja",1,0),"")</f>
        <v/>
      </c>
      <c r="N342" s="1" t="str">
        <f>IF(AND(Programme_Grunddaten!$A347="Geprüft",Programme_Grunddaten!V347&lt;&gt;""),IF(Programme_Grunddaten!V347="Ja",1,0),"")</f>
        <v/>
      </c>
      <c r="O342" s="1" t="str">
        <f>IF(AND(Programme_Grunddaten!$A347="Geprüft",Programme_Grunddaten!W347&lt;&gt;""),IF(Programme_Grunddaten!W347="Ja",1,0),"")</f>
        <v/>
      </c>
      <c r="P342" s="1" t="str">
        <f>IF(AND(Programme_Grunddaten!$A347="Geprüft",Programme_Grunddaten!X347&lt;&gt;""),IF(Programme_Grunddaten!X347="Ja",1,0),"")</f>
        <v/>
      </c>
      <c r="Q342" s="1" t="str">
        <f>IF(AND(Programme_Grunddaten!$A347="Geprüft",Programme_Grunddaten!Y347&lt;&gt;""),IF(Programme_Grunddaten!Y347="Ja",1,0),"")</f>
        <v/>
      </c>
      <c r="R342" s="1" t="str">
        <f>IF(AND(Programme_Grunddaten!$A347="Geprüft",Programme_Grunddaten!Z347&lt;&gt;""),IF(Programme_Grunddaten!Z347="Ja",1,0),"")</f>
        <v/>
      </c>
      <c r="S342" s="1" t="str">
        <f>IF(AND(Programme_Grunddaten!$A347="Geprüft",Programme_Grunddaten!AA347&lt;&gt;""),IF(Programme_Grunddaten!AA347="monolithisch",1,0),"")</f>
        <v/>
      </c>
      <c r="T342" s="1" t="str">
        <f>IF(AND(Programme_Grunddaten!$A347="Geprüft",Programme_Grunddaten!AB347&lt;&gt;""),IF(Programme_Grunddaten!AB347="Ja",1,0),"")</f>
        <v/>
      </c>
      <c r="U342" s="1" t="str">
        <f>IF(AND(Programme_Grunddaten!$A347="Geprüft",Programme_Grunddaten!AC347&lt;&gt;""),IF(Programme_Grunddaten!AC347="Ja",1,0),"")</f>
        <v/>
      </c>
      <c r="V342" s="1" t="str">
        <f>IF(AND(Programme_Grunddaten!$A347="Geprüft",Programme_Grunddaten!AD347&lt;&gt;""),IF(Programme_Grunddaten!AD347="Ja",1,0),"")</f>
        <v/>
      </c>
      <c r="W342" s="1" t="str">
        <f>IF(AND(Programme_Grunddaten!$A347="Geprüft",Programme_Grunddaten!AE347&lt;&gt;""),IF(Programme_Grunddaten!AE347="Ja",1,0),"")</f>
        <v/>
      </c>
      <c r="X342" s="1" t="str">
        <f>IF(AND(Programme_Grunddaten!$A347="Geprüft",Programme_Grunddaten!AF347&lt;&gt;""),IF(Programme_Grunddaten!AF347="Ja",1,0),"")</f>
        <v/>
      </c>
      <c r="Y342" s="1" t="str">
        <f>IF(AND(Programme_Grunddaten!$A347="Geprüft",Programme_Grunddaten!AG347&lt;&gt;""),IF(Programme_Grunddaten!AG347="Ja",1,0),"")</f>
        <v/>
      </c>
      <c r="Z342" s="1" t="str">
        <f>IF(AND(Programme_Grunddaten!$A347="Geprüft",Programme_Grunddaten!AH347&lt;&gt;""),IF(Programme_Grunddaten!AH347="Ja",1,0),"")</f>
        <v/>
      </c>
      <c r="AA342" s="1" t="str">
        <f>IF(AND(Programme_Grunddaten!$A347="Geprüft",Programme_Grunddaten!AI347&lt;&gt;""),IF(Programme_Grunddaten!AI347="Ja",1,0),"")</f>
        <v/>
      </c>
      <c r="AB342" s="1" t="str">
        <f>IF(AND(Programme_Grunddaten!$A347="Geprüft",Programme_Grunddaten!AJ347&lt;&gt;""),IF(Programme_Grunddaten!AJ347="individuell programmierbar",1,0),"")</f>
        <v/>
      </c>
      <c r="AC342" s="1" t="str">
        <f>IF(AND(Programme_Grunddaten!$A347="Geprüft",Programme_Grunddaten!AK347&lt;&gt;""),IF(Programme_Grunddaten!AK347="Deutsch",0,IF(Programme_Grunddaten!AK347="Deutsch und Englisch",1,2)),"")</f>
        <v/>
      </c>
      <c r="AD342" s="1" t="str">
        <f>IF(AND(Programme_Grunddaten!$A347="Geprüft",Programme_Grunddaten!AL347&lt;&gt;""),IF(Programme_Grunddaten!AL347="Ja",1,0),"")</f>
        <v/>
      </c>
      <c r="AE342" s="1" t="str">
        <f>IF(AND(Programme_Grunddaten!$A347="Geprüft",Programme_Grunddaten!AM347&lt;&gt;""),IF(Programme_Grunddaten!AM347="Ja",1,0),"")</f>
        <v/>
      </c>
      <c r="AF342" s="1" t="str">
        <f>IF(AND(Programme_Grunddaten!$A347="Geprüft",Programme_Grunddaten!AN347&lt;&gt;""),IF(Programme_Grunddaten!AN347="Ja",1,0),"")</f>
        <v/>
      </c>
      <c r="AG342" s="1" t="str">
        <f>IF(AND(Programme_Grunddaten!$A347="Geprüft",Programme_Grunddaten!AO347&lt;&gt;""),IF(Programme_Grunddaten!AO347="Ja",1,0),"")</f>
        <v/>
      </c>
      <c r="AH342" s="1" t="str">
        <f>IF(AND(Programme_Grunddaten!$A347="Geprüft",Programme_Grunddaten!AP347&lt;&gt;""),IF(Programme_Grunddaten!AP347="Ja",1,0),"")</f>
        <v/>
      </c>
      <c r="AI342" s="1" t="str">
        <f>IF(AND(Programme_Grunddaten!$A347="Geprüft",Programme_Grunddaten!AQ347&lt;&gt;""),IF(Programme_Grunddaten!AQ347="Ja",1,0),"")</f>
        <v/>
      </c>
      <c r="AJ342" s="1" t="str">
        <f>IF(AND(Programme_Grunddaten!$A347="Geprüft",Programme_Grunddaten!AR347&lt;&gt;""),IF(Programme_Grunddaten!AR347="Ja",1,0),"")</f>
        <v/>
      </c>
      <c r="AK342" s="1" t="str">
        <f>IF(AND(Programme_Grunddaten!$A347="Geprüft",Programme_Grunddaten!AS347&lt;&gt;""),IF(Programme_Grunddaten!AS347="Ja",1,0),"")</f>
        <v/>
      </c>
      <c r="AL342" s="1" t="str">
        <f>IF(AND(Programme_Grunddaten!$A347="Geprüft",Programme_Grunddaten!AT347&lt;&gt;""),IF(Programme_Grunddaten!AT347="Ja",1,0),"")</f>
        <v/>
      </c>
      <c r="AM342" s="1" t="str">
        <f>IF(AND(Programme_Grunddaten!$A347="Geprüft",Programme_Grunddaten!AU347&lt;&gt;""),IF(Programme_Grunddaten!AU347="Ja",1,0),"")</f>
        <v/>
      </c>
      <c r="AN342" s="1" t="str">
        <f>IF(AND(Programme_Grunddaten!$A347="Geprüft",Programme_Grunddaten!AV347&lt;&gt;""),IF(Programme_Grunddaten!AV347="Ja",1,0),"")</f>
        <v/>
      </c>
    </row>
    <row r="343" spans="1:40" x14ac:dyDescent="0.3">
      <c r="A343" s="1" t="str">
        <f>IF(AND(Programme_Grunddaten!A348="Geprüft",Programme_Grunddaten!B348&lt;&gt;""),Programme_Grunddaten!B348,"")</f>
        <v/>
      </c>
      <c r="B343" s="1" t="str">
        <f>IF(AND(Programme_Grunddaten!$A348="Geprüft",Programme_Grunddaten!I348&lt;&gt;""),IF(Programme_Grunddaten!I348="Ja",1,0),"")</f>
        <v/>
      </c>
      <c r="C343" s="1" t="str">
        <f>IF(AND(Programme_Grunddaten!$A348="Geprüft",Programme_Grunddaten!J348&lt;&gt;""),IF(Programme_Grunddaten!J348="Ja",1,0),"")</f>
        <v/>
      </c>
      <c r="D343" s="1" t="str">
        <f>IF(AND(Programme_Grunddaten!$A348="Geprüft",Programme_Grunddaten!K348&lt;&gt;""),IF(Programme_Grunddaten!K348="Ja",1,0),"")</f>
        <v/>
      </c>
      <c r="E343" s="1" t="str">
        <f>IF(AND(Programme_Grunddaten!$A348="Geprüft",Programme_Grunddaten!L348&lt;&gt;""),IF(Programme_Grunddaten!L348="Abo / befristete Lizenz",1,0),"")</f>
        <v/>
      </c>
      <c r="F343" s="1" t="str">
        <f>IF(AND(Programme_Grunddaten!$A348="Geprüft",Programme_Grunddaten!M348&lt;&gt;""),IF(Programme_Grunddaten!M348="Ja",1,0),"")</f>
        <v/>
      </c>
      <c r="G343" s="1" t="str">
        <f>IF(AND(Programme_Grunddaten!$A348="Geprüft",Programme_Grunddaten!N348&lt;&gt;""),IF(Programme_Grunddaten!N348="Ja",1,0),"")</f>
        <v/>
      </c>
      <c r="H343" s="1" t="str">
        <f>IF(AND(Programme_Grunddaten!$A348="Geprüft",Programme_Grunddaten!O348&lt;&gt;""),IF(Programme_Grunddaten!O348="Deutschland",0,IF(Programme_Grunddaten!O348="EU",1,2)),"")</f>
        <v/>
      </c>
      <c r="I343" s="1" t="str">
        <f>IF(AND(Programme_Grunddaten!$A348="Geprüft",Programme_Grunddaten!P348&lt;&gt;""),IF(Programme_Grunddaten!P348="Ja",1,0),"")</f>
        <v/>
      </c>
      <c r="J343" s="1" t="str">
        <f>IF(AND(Programme_Grunddaten!$A348="Geprüft",Programme_Grunddaten!Q348&lt;&gt;""),IF(Programme_Grunddaten!Q348="geschlossenes System",1,0),"")</f>
        <v/>
      </c>
      <c r="K343" s="1" t="str">
        <f>IF(AND(Programme_Grunddaten!$A348="Geprüft",Programme_Grunddaten!R348&lt;&gt;""),IF(Programme_Grunddaten!R348="Ja",1,0),"")</f>
        <v/>
      </c>
      <c r="L343" s="1" t="str">
        <f>IF(AND(Programme_Grunddaten!$A348="Geprüft",Programme_Grunddaten!T348&lt;&gt;""),IF(Programme_Grunddaten!T348="Ja",1,0),"")</f>
        <v/>
      </c>
      <c r="M343" s="1" t="str">
        <f>IF(AND(Programme_Grunddaten!$A348="Geprüft",Programme_Grunddaten!U348&lt;&gt;""),IF(Programme_Grunddaten!U348="Ja",1,0),"")</f>
        <v/>
      </c>
      <c r="N343" s="1" t="str">
        <f>IF(AND(Programme_Grunddaten!$A348="Geprüft",Programme_Grunddaten!V348&lt;&gt;""),IF(Programme_Grunddaten!V348="Ja",1,0),"")</f>
        <v/>
      </c>
      <c r="O343" s="1" t="str">
        <f>IF(AND(Programme_Grunddaten!$A348="Geprüft",Programme_Grunddaten!W348&lt;&gt;""),IF(Programme_Grunddaten!W348="Ja",1,0),"")</f>
        <v/>
      </c>
      <c r="P343" s="1" t="str">
        <f>IF(AND(Programme_Grunddaten!$A348="Geprüft",Programme_Grunddaten!X348&lt;&gt;""),IF(Programme_Grunddaten!X348="Ja",1,0),"")</f>
        <v/>
      </c>
      <c r="Q343" s="1" t="str">
        <f>IF(AND(Programme_Grunddaten!$A348="Geprüft",Programme_Grunddaten!Y348&lt;&gt;""),IF(Programme_Grunddaten!Y348="Ja",1,0),"")</f>
        <v/>
      </c>
      <c r="R343" s="1" t="str">
        <f>IF(AND(Programme_Grunddaten!$A348="Geprüft",Programme_Grunddaten!Z348&lt;&gt;""),IF(Programme_Grunddaten!Z348="Ja",1,0),"")</f>
        <v/>
      </c>
      <c r="S343" s="1" t="str">
        <f>IF(AND(Programme_Grunddaten!$A348="Geprüft",Programme_Grunddaten!AA348&lt;&gt;""),IF(Programme_Grunddaten!AA348="monolithisch",1,0),"")</f>
        <v/>
      </c>
      <c r="T343" s="1" t="str">
        <f>IF(AND(Programme_Grunddaten!$A348="Geprüft",Programme_Grunddaten!AB348&lt;&gt;""),IF(Programme_Grunddaten!AB348="Ja",1,0),"")</f>
        <v/>
      </c>
      <c r="U343" s="1" t="str">
        <f>IF(AND(Programme_Grunddaten!$A348="Geprüft",Programme_Grunddaten!AC348&lt;&gt;""),IF(Programme_Grunddaten!AC348="Ja",1,0),"")</f>
        <v/>
      </c>
      <c r="V343" s="1" t="str">
        <f>IF(AND(Programme_Grunddaten!$A348="Geprüft",Programme_Grunddaten!AD348&lt;&gt;""),IF(Programme_Grunddaten!AD348="Ja",1,0),"")</f>
        <v/>
      </c>
      <c r="W343" s="1" t="str">
        <f>IF(AND(Programme_Grunddaten!$A348="Geprüft",Programme_Grunddaten!AE348&lt;&gt;""),IF(Programme_Grunddaten!AE348="Ja",1,0),"")</f>
        <v/>
      </c>
      <c r="X343" s="1" t="str">
        <f>IF(AND(Programme_Grunddaten!$A348="Geprüft",Programme_Grunddaten!AF348&lt;&gt;""),IF(Programme_Grunddaten!AF348="Ja",1,0),"")</f>
        <v/>
      </c>
      <c r="Y343" s="1" t="str">
        <f>IF(AND(Programme_Grunddaten!$A348="Geprüft",Programme_Grunddaten!AG348&lt;&gt;""),IF(Programme_Grunddaten!AG348="Ja",1,0),"")</f>
        <v/>
      </c>
      <c r="Z343" s="1" t="str">
        <f>IF(AND(Programme_Grunddaten!$A348="Geprüft",Programme_Grunddaten!AH348&lt;&gt;""),IF(Programme_Grunddaten!AH348="Ja",1,0),"")</f>
        <v/>
      </c>
      <c r="AA343" s="1" t="str">
        <f>IF(AND(Programme_Grunddaten!$A348="Geprüft",Programme_Grunddaten!AI348&lt;&gt;""),IF(Programme_Grunddaten!AI348="Ja",1,0),"")</f>
        <v/>
      </c>
      <c r="AB343" s="1" t="str">
        <f>IF(AND(Programme_Grunddaten!$A348="Geprüft",Programme_Grunddaten!AJ348&lt;&gt;""),IF(Programme_Grunddaten!AJ348="individuell programmierbar",1,0),"")</f>
        <v/>
      </c>
      <c r="AC343" s="1" t="str">
        <f>IF(AND(Programme_Grunddaten!$A348="Geprüft",Programme_Grunddaten!AK348&lt;&gt;""),IF(Programme_Grunddaten!AK348="Deutsch",0,IF(Programme_Grunddaten!AK348="Deutsch und Englisch",1,2)),"")</f>
        <v/>
      </c>
      <c r="AD343" s="1" t="str">
        <f>IF(AND(Programme_Grunddaten!$A348="Geprüft",Programme_Grunddaten!AL348&lt;&gt;""),IF(Programme_Grunddaten!AL348="Ja",1,0),"")</f>
        <v/>
      </c>
      <c r="AE343" s="1" t="str">
        <f>IF(AND(Programme_Grunddaten!$A348="Geprüft",Programme_Grunddaten!AM348&lt;&gt;""),IF(Programme_Grunddaten!AM348="Ja",1,0),"")</f>
        <v/>
      </c>
      <c r="AF343" s="1" t="str">
        <f>IF(AND(Programme_Grunddaten!$A348="Geprüft",Programme_Grunddaten!AN348&lt;&gt;""),IF(Programme_Grunddaten!AN348="Ja",1,0),"")</f>
        <v/>
      </c>
      <c r="AG343" s="1" t="str">
        <f>IF(AND(Programme_Grunddaten!$A348="Geprüft",Programme_Grunddaten!AO348&lt;&gt;""),IF(Programme_Grunddaten!AO348="Ja",1,0),"")</f>
        <v/>
      </c>
      <c r="AH343" s="1" t="str">
        <f>IF(AND(Programme_Grunddaten!$A348="Geprüft",Programme_Grunddaten!AP348&lt;&gt;""),IF(Programme_Grunddaten!AP348="Ja",1,0),"")</f>
        <v/>
      </c>
      <c r="AI343" s="1" t="str">
        <f>IF(AND(Programme_Grunddaten!$A348="Geprüft",Programme_Grunddaten!AQ348&lt;&gt;""),IF(Programme_Grunddaten!AQ348="Ja",1,0),"")</f>
        <v/>
      </c>
      <c r="AJ343" s="1" t="str">
        <f>IF(AND(Programme_Grunddaten!$A348="Geprüft",Programme_Grunddaten!AR348&lt;&gt;""),IF(Programme_Grunddaten!AR348="Ja",1,0),"")</f>
        <v/>
      </c>
      <c r="AK343" s="1" t="str">
        <f>IF(AND(Programme_Grunddaten!$A348="Geprüft",Programme_Grunddaten!AS348&lt;&gt;""),IF(Programme_Grunddaten!AS348="Ja",1,0),"")</f>
        <v/>
      </c>
      <c r="AL343" s="1" t="str">
        <f>IF(AND(Programme_Grunddaten!$A348="Geprüft",Programme_Grunddaten!AT348&lt;&gt;""),IF(Programme_Grunddaten!AT348="Ja",1,0),"")</f>
        <v/>
      </c>
      <c r="AM343" s="1" t="str">
        <f>IF(AND(Programme_Grunddaten!$A348="Geprüft",Programme_Grunddaten!AU348&lt;&gt;""),IF(Programme_Grunddaten!AU348="Ja",1,0),"")</f>
        <v/>
      </c>
      <c r="AN343" s="1" t="str">
        <f>IF(AND(Programme_Grunddaten!$A348="Geprüft",Programme_Grunddaten!AV348&lt;&gt;""),IF(Programme_Grunddaten!AV348="Ja",1,0),"")</f>
        <v/>
      </c>
    </row>
    <row r="344" spans="1:40" x14ac:dyDescent="0.3">
      <c r="A344" s="1" t="str">
        <f>IF(AND(Programme_Grunddaten!A349="Geprüft",Programme_Grunddaten!B349&lt;&gt;""),Programme_Grunddaten!B349,"")</f>
        <v/>
      </c>
      <c r="B344" s="1" t="str">
        <f>IF(AND(Programme_Grunddaten!$A349="Geprüft",Programme_Grunddaten!I349&lt;&gt;""),IF(Programme_Grunddaten!I349="Ja",1,0),"")</f>
        <v/>
      </c>
      <c r="C344" s="1" t="str">
        <f>IF(AND(Programme_Grunddaten!$A349="Geprüft",Programme_Grunddaten!J349&lt;&gt;""),IF(Programme_Grunddaten!J349="Ja",1,0),"")</f>
        <v/>
      </c>
      <c r="D344" s="1" t="str">
        <f>IF(AND(Programme_Grunddaten!$A349="Geprüft",Programme_Grunddaten!K349&lt;&gt;""),IF(Programme_Grunddaten!K349="Ja",1,0),"")</f>
        <v/>
      </c>
      <c r="E344" s="1" t="str">
        <f>IF(AND(Programme_Grunddaten!$A349="Geprüft",Programme_Grunddaten!L349&lt;&gt;""),IF(Programme_Grunddaten!L349="Abo / befristete Lizenz",1,0),"")</f>
        <v/>
      </c>
      <c r="F344" s="1" t="str">
        <f>IF(AND(Programme_Grunddaten!$A349="Geprüft",Programme_Grunddaten!M349&lt;&gt;""),IF(Programme_Grunddaten!M349="Ja",1,0),"")</f>
        <v/>
      </c>
      <c r="G344" s="1" t="str">
        <f>IF(AND(Programme_Grunddaten!$A349="Geprüft",Programme_Grunddaten!N349&lt;&gt;""),IF(Programme_Grunddaten!N349="Ja",1,0),"")</f>
        <v/>
      </c>
      <c r="H344" s="1" t="str">
        <f>IF(AND(Programme_Grunddaten!$A349="Geprüft",Programme_Grunddaten!O349&lt;&gt;""),IF(Programme_Grunddaten!O349="Deutschland",0,IF(Programme_Grunddaten!O349="EU",1,2)),"")</f>
        <v/>
      </c>
      <c r="I344" s="1" t="str">
        <f>IF(AND(Programme_Grunddaten!$A349="Geprüft",Programme_Grunddaten!P349&lt;&gt;""),IF(Programme_Grunddaten!P349="Ja",1,0),"")</f>
        <v/>
      </c>
      <c r="J344" s="1" t="str">
        <f>IF(AND(Programme_Grunddaten!$A349="Geprüft",Programme_Grunddaten!Q349&lt;&gt;""),IF(Programme_Grunddaten!Q349="geschlossenes System",1,0),"")</f>
        <v/>
      </c>
      <c r="K344" s="1" t="str">
        <f>IF(AND(Programme_Grunddaten!$A349="Geprüft",Programme_Grunddaten!R349&lt;&gt;""),IF(Programme_Grunddaten!R349="Ja",1,0),"")</f>
        <v/>
      </c>
      <c r="L344" s="1" t="str">
        <f>IF(AND(Programme_Grunddaten!$A349="Geprüft",Programme_Grunddaten!T349&lt;&gt;""),IF(Programme_Grunddaten!T349="Ja",1,0),"")</f>
        <v/>
      </c>
      <c r="M344" s="1" t="str">
        <f>IF(AND(Programme_Grunddaten!$A349="Geprüft",Programme_Grunddaten!U349&lt;&gt;""),IF(Programme_Grunddaten!U349="Ja",1,0),"")</f>
        <v/>
      </c>
      <c r="N344" s="1" t="str">
        <f>IF(AND(Programme_Grunddaten!$A349="Geprüft",Programme_Grunddaten!V349&lt;&gt;""),IF(Programme_Grunddaten!V349="Ja",1,0),"")</f>
        <v/>
      </c>
      <c r="O344" s="1" t="str">
        <f>IF(AND(Programme_Grunddaten!$A349="Geprüft",Programme_Grunddaten!W349&lt;&gt;""),IF(Programme_Grunddaten!W349="Ja",1,0),"")</f>
        <v/>
      </c>
      <c r="P344" s="1" t="str">
        <f>IF(AND(Programme_Grunddaten!$A349="Geprüft",Programme_Grunddaten!X349&lt;&gt;""),IF(Programme_Grunddaten!X349="Ja",1,0),"")</f>
        <v/>
      </c>
      <c r="Q344" s="1" t="str">
        <f>IF(AND(Programme_Grunddaten!$A349="Geprüft",Programme_Grunddaten!Y349&lt;&gt;""),IF(Programme_Grunddaten!Y349="Ja",1,0),"")</f>
        <v/>
      </c>
      <c r="R344" s="1" t="str">
        <f>IF(AND(Programme_Grunddaten!$A349="Geprüft",Programme_Grunddaten!Z349&lt;&gt;""),IF(Programme_Grunddaten!Z349="Ja",1,0),"")</f>
        <v/>
      </c>
      <c r="S344" s="1" t="str">
        <f>IF(AND(Programme_Grunddaten!$A349="Geprüft",Programme_Grunddaten!AA349&lt;&gt;""),IF(Programme_Grunddaten!AA349="monolithisch",1,0),"")</f>
        <v/>
      </c>
      <c r="T344" s="1" t="str">
        <f>IF(AND(Programme_Grunddaten!$A349="Geprüft",Programme_Grunddaten!AB349&lt;&gt;""),IF(Programme_Grunddaten!AB349="Ja",1,0),"")</f>
        <v/>
      </c>
      <c r="U344" s="1" t="str">
        <f>IF(AND(Programme_Grunddaten!$A349="Geprüft",Programme_Grunddaten!AC349&lt;&gt;""),IF(Programme_Grunddaten!AC349="Ja",1,0),"")</f>
        <v/>
      </c>
      <c r="V344" s="1" t="str">
        <f>IF(AND(Programme_Grunddaten!$A349="Geprüft",Programme_Grunddaten!AD349&lt;&gt;""),IF(Programme_Grunddaten!AD349="Ja",1,0),"")</f>
        <v/>
      </c>
      <c r="W344" s="1" t="str">
        <f>IF(AND(Programme_Grunddaten!$A349="Geprüft",Programme_Grunddaten!AE349&lt;&gt;""),IF(Programme_Grunddaten!AE349="Ja",1,0),"")</f>
        <v/>
      </c>
      <c r="X344" s="1" t="str">
        <f>IF(AND(Programme_Grunddaten!$A349="Geprüft",Programme_Grunddaten!AF349&lt;&gt;""),IF(Programme_Grunddaten!AF349="Ja",1,0),"")</f>
        <v/>
      </c>
      <c r="Y344" s="1" t="str">
        <f>IF(AND(Programme_Grunddaten!$A349="Geprüft",Programme_Grunddaten!AG349&lt;&gt;""),IF(Programme_Grunddaten!AG349="Ja",1,0),"")</f>
        <v/>
      </c>
      <c r="Z344" s="1" t="str">
        <f>IF(AND(Programme_Grunddaten!$A349="Geprüft",Programme_Grunddaten!AH349&lt;&gt;""),IF(Programme_Grunddaten!AH349="Ja",1,0),"")</f>
        <v/>
      </c>
      <c r="AA344" s="1" t="str">
        <f>IF(AND(Programme_Grunddaten!$A349="Geprüft",Programme_Grunddaten!AI349&lt;&gt;""),IF(Programme_Grunddaten!AI349="Ja",1,0),"")</f>
        <v/>
      </c>
      <c r="AB344" s="1" t="str">
        <f>IF(AND(Programme_Grunddaten!$A349="Geprüft",Programme_Grunddaten!AJ349&lt;&gt;""),IF(Programme_Grunddaten!AJ349="individuell programmierbar",1,0),"")</f>
        <v/>
      </c>
      <c r="AC344" s="1" t="str">
        <f>IF(AND(Programme_Grunddaten!$A349="Geprüft",Programme_Grunddaten!AK349&lt;&gt;""),IF(Programme_Grunddaten!AK349="Deutsch",0,IF(Programme_Grunddaten!AK349="Deutsch und Englisch",1,2)),"")</f>
        <v/>
      </c>
      <c r="AD344" s="1" t="str">
        <f>IF(AND(Programme_Grunddaten!$A349="Geprüft",Programme_Grunddaten!AL349&lt;&gt;""),IF(Programme_Grunddaten!AL349="Ja",1,0),"")</f>
        <v/>
      </c>
      <c r="AE344" s="1" t="str">
        <f>IF(AND(Programme_Grunddaten!$A349="Geprüft",Programme_Grunddaten!AM349&lt;&gt;""),IF(Programme_Grunddaten!AM349="Ja",1,0),"")</f>
        <v/>
      </c>
      <c r="AF344" s="1" t="str">
        <f>IF(AND(Programme_Grunddaten!$A349="Geprüft",Programme_Grunddaten!AN349&lt;&gt;""),IF(Programme_Grunddaten!AN349="Ja",1,0),"")</f>
        <v/>
      </c>
      <c r="AG344" s="1" t="str">
        <f>IF(AND(Programme_Grunddaten!$A349="Geprüft",Programme_Grunddaten!AO349&lt;&gt;""),IF(Programme_Grunddaten!AO349="Ja",1,0),"")</f>
        <v/>
      </c>
      <c r="AH344" s="1" t="str">
        <f>IF(AND(Programme_Grunddaten!$A349="Geprüft",Programme_Grunddaten!AP349&lt;&gt;""),IF(Programme_Grunddaten!AP349="Ja",1,0),"")</f>
        <v/>
      </c>
      <c r="AI344" s="1" t="str">
        <f>IF(AND(Programme_Grunddaten!$A349="Geprüft",Programme_Grunddaten!AQ349&lt;&gt;""),IF(Programme_Grunddaten!AQ349="Ja",1,0),"")</f>
        <v/>
      </c>
      <c r="AJ344" s="1" t="str">
        <f>IF(AND(Programme_Grunddaten!$A349="Geprüft",Programme_Grunddaten!AR349&lt;&gt;""),IF(Programme_Grunddaten!AR349="Ja",1,0),"")</f>
        <v/>
      </c>
      <c r="AK344" s="1" t="str">
        <f>IF(AND(Programme_Grunddaten!$A349="Geprüft",Programme_Grunddaten!AS349&lt;&gt;""),IF(Programme_Grunddaten!AS349="Ja",1,0),"")</f>
        <v/>
      </c>
      <c r="AL344" s="1" t="str">
        <f>IF(AND(Programme_Grunddaten!$A349="Geprüft",Programme_Grunddaten!AT349&lt;&gt;""),IF(Programme_Grunddaten!AT349="Ja",1,0),"")</f>
        <v/>
      </c>
      <c r="AM344" s="1" t="str">
        <f>IF(AND(Programme_Grunddaten!$A349="Geprüft",Programme_Grunddaten!AU349&lt;&gt;""),IF(Programme_Grunddaten!AU349="Ja",1,0),"")</f>
        <v/>
      </c>
      <c r="AN344" s="1" t="str">
        <f>IF(AND(Programme_Grunddaten!$A349="Geprüft",Programme_Grunddaten!AV349&lt;&gt;""),IF(Programme_Grunddaten!AV349="Ja",1,0),"")</f>
        <v/>
      </c>
    </row>
    <row r="345" spans="1:40" x14ac:dyDescent="0.3">
      <c r="A345" s="1" t="str">
        <f>IF(AND(Programme_Grunddaten!A350="Geprüft",Programme_Grunddaten!B350&lt;&gt;""),Programme_Grunddaten!B350,"")</f>
        <v/>
      </c>
      <c r="B345" s="1" t="str">
        <f>IF(AND(Programme_Grunddaten!$A350="Geprüft",Programme_Grunddaten!I350&lt;&gt;""),IF(Programme_Grunddaten!I350="Ja",1,0),"")</f>
        <v/>
      </c>
      <c r="C345" s="1" t="str">
        <f>IF(AND(Programme_Grunddaten!$A350="Geprüft",Programme_Grunddaten!J350&lt;&gt;""),IF(Programme_Grunddaten!J350="Ja",1,0),"")</f>
        <v/>
      </c>
      <c r="D345" s="1" t="str">
        <f>IF(AND(Programme_Grunddaten!$A350="Geprüft",Programme_Grunddaten!K350&lt;&gt;""),IF(Programme_Grunddaten!K350="Ja",1,0),"")</f>
        <v/>
      </c>
      <c r="E345" s="1" t="str">
        <f>IF(AND(Programme_Grunddaten!$A350="Geprüft",Programme_Grunddaten!L350&lt;&gt;""),IF(Programme_Grunddaten!L350="Abo / befristete Lizenz",1,0),"")</f>
        <v/>
      </c>
      <c r="F345" s="1" t="str">
        <f>IF(AND(Programme_Grunddaten!$A350="Geprüft",Programme_Grunddaten!M350&lt;&gt;""),IF(Programme_Grunddaten!M350="Ja",1,0),"")</f>
        <v/>
      </c>
      <c r="G345" s="1" t="str">
        <f>IF(AND(Programme_Grunddaten!$A350="Geprüft",Programme_Grunddaten!N350&lt;&gt;""),IF(Programme_Grunddaten!N350="Ja",1,0),"")</f>
        <v/>
      </c>
      <c r="H345" s="1" t="str">
        <f>IF(AND(Programme_Grunddaten!$A350="Geprüft",Programme_Grunddaten!O350&lt;&gt;""),IF(Programme_Grunddaten!O350="Deutschland",0,IF(Programme_Grunddaten!O350="EU",1,2)),"")</f>
        <v/>
      </c>
      <c r="I345" s="1" t="str">
        <f>IF(AND(Programme_Grunddaten!$A350="Geprüft",Programme_Grunddaten!P350&lt;&gt;""),IF(Programme_Grunddaten!P350="Ja",1,0),"")</f>
        <v/>
      </c>
      <c r="J345" s="1" t="str">
        <f>IF(AND(Programme_Grunddaten!$A350="Geprüft",Programme_Grunddaten!Q350&lt;&gt;""),IF(Programme_Grunddaten!Q350="geschlossenes System",1,0),"")</f>
        <v/>
      </c>
      <c r="K345" s="1" t="str">
        <f>IF(AND(Programme_Grunddaten!$A350="Geprüft",Programme_Grunddaten!R350&lt;&gt;""),IF(Programme_Grunddaten!R350="Ja",1,0),"")</f>
        <v/>
      </c>
      <c r="L345" s="1" t="str">
        <f>IF(AND(Programme_Grunddaten!$A350="Geprüft",Programme_Grunddaten!T350&lt;&gt;""),IF(Programme_Grunddaten!T350="Ja",1,0),"")</f>
        <v/>
      </c>
      <c r="M345" s="1" t="str">
        <f>IF(AND(Programme_Grunddaten!$A350="Geprüft",Programme_Grunddaten!U350&lt;&gt;""),IF(Programme_Grunddaten!U350="Ja",1,0),"")</f>
        <v/>
      </c>
      <c r="N345" s="1" t="str">
        <f>IF(AND(Programme_Grunddaten!$A350="Geprüft",Programme_Grunddaten!V350&lt;&gt;""),IF(Programme_Grunddaten!V350="Ja",1,0),"")</f>
        <v/>
      </c>
      <c r="O345" s="1" t="str">
        <f>IF(AND(Programme_Grunddaten!$A350="Geprüft",Programme_Grunddaten!W350&lt;&gt;""),IF(Programme_Grunddaten!W350="Ja",1,0),"")</f>
        <v/>
      </c>
      <c r="P345" s="1" t="str">
        <f>IF(AND(Programme_Grunddaten!$A350="Geprüft",Programme_Grunddaten!X350&lt;&gt;""),IF(Programme_Grunddaten!X350="Ja",1,0),"")</f>
        <v/>
      </c>
      <c r="Q345" s="1" t="str">
        <f>IF(AND(Programme_Grunddaten!$A350="Geprüft",Programme_Grunddaten!Y350&lt;&gt;""),IF(Programme_Grunddaten!Y350="Ja",1,0),"")</f>
        <v/>
      </c>
      <c r="R345" s="1" t="str">
        <f>IF(AND(Programme_Grunddaten!$A350="Geprüft",Programme_Grunddaten!Z350&lt;&gt;""),IF(Programme_Grunddaten!Z350="Ja",1,0),"")</f>
        <v/>
      </c>
      <c r="S345" s="1" t="str">
        <f>IF(AND(Programme_Grunddaten!$A350="Geprüft",Programme_Grunddaten!AA350&lt;&gt;""),IF(Programme_Grunddaten!AA350="monolithisch",1,0),"")</f>
        <v/>
      </c>
      <c r="T345" s="1" t="str">
        <f>IF(AND(Programme_Grunddaten!$A350="Geprüft",Programme_Grunddaten!AB350&lt;&gt;""),IF(Programme_Grunddaten!AB350="Ja",1,0),"")</f>
        <v/>
      </c>
      <c r="U345" s="1" t="str">
        <f>IF(AND(Programme_Grunddaten!$A350="Geprüft",Programme_Grunddaten!AC350&lt;&gt;""),IF(Programme_Grunddaten!AC350="Ja",1,0),"")</f>
        <v/>
      </c>
      <c r="V345" s="1" t="str">
        <f>IF(AND(Programme_Grunddaten!$A350="Geprüft",Programme_Grunddaten!AD350&lt;&gt;""),IF(Programme_Grunddaten!AD350="Ja",1,0),"")</f>
        <v/>
      </c>
      <c r="W345" s="1" t="str">
        <f>IF(AND(Programme_Grunddaten!$A350="Geprüft",Programme_Grunddaten!AE350&lt;&gt;""),IF(Programme_Grunddaten!AE350="Ja",1,0),"")</f>
        <v/>
      </c>
      <c r="X345" s="1" t="str">
        <f>IF(AND(Programme_Grunddaten!$A350="Geprüft",Programme_Grunddaten!AF350&lt;&gt;""),IF(Programme_Grunddaten!AF350="Ja",1,0),"")</f>
        <v/>
      </c>
      <c r="Y345" s="1" t="str">
        <f>IF(AND(Programme_Grunddaten!$A350="Geprüft",Programme_Grunddaten!AG350&lt;&gt;""),IF(Programme_Grunddaten!AG350="Ja",1,0),"")</f>
        <v/>
      </c>
      <c r="Z345" s="1" t="str">
        <f>IF(AND(Programme_Grunddaten!$A350="Geprüft",Programme_Grunddaten!AH350&lt;&gt;""),IF(Programme_Grunddaten!AH350="Ja",1,0),"")</f>
        <v/>
      </c>
      <c r="AA345" s="1" t="str">
        <f>IF(AND(Programme_Grunddaten!$A350="Geprüft",Programme_Grunddaten!AI350&lt;&gt;""),IF(Programme_Grunddaten!AI350="Ja",1,0),"")</f>
        <v/>
      </c>
      <c r="AB345" s="1" t="str">
        <f>IF(AND(Programme_Grunddaten!$A350="Geprüft",Programme_Grunddaten!AJ350&lt;&gt;""),IF(Programme_Grunddaten!AJ350="individuell programmierbar",1,0),"")</f>
        <v/>
      </c>
      <c r="AC345" s="1" t="str">
        <f>IF(AND(Programme_Grunddaten!$A350="Geprüft",Programme_Grunddaten!AK350&lt;&gt;""),IF(Programme_Grunddaten!AK350="Deutsch",0,IF(Programme_Grunddaten!AK350="Deutsch und Englisch",1,2)),"")</f>
        <v/>
      </c>
      <c r="AD345" s="1" t="str">
        <f>IF(AND(Programme_Grunddaten!$A350="Geprüft",Programme_Grunddaten!AL350&lt;&gt;""),IF(Programme_Grunddaten!AL350="Ja",1,0),"")</f>
        <v/>
      </c>
      <c r="AE345" s="1" t="str">
        <f>IF(AND(Programme_Grunddaten!$A350="Geprüft",Programme_Grunddaten!AM350&lt;&gt;""),IF(Programme_Grunddaten!AM350="Ja",1,0),"")</f>
        <v/>
      </c>
      <c r="AF345" s="1" t="str">
        <f>IF(AND(Programme_Grunddaten!$A350="Geprüft",Programme_Grunddaten!AN350&lt;&gt;""),IF(Programme_Grunddaten!AN350="Ja",1,0),"")</f>
        <v/>
      </c>
      <c r="AG345" s="1" t="str">
        <f>IF(AND(Programme_Grunddaten!$A350="Geprüft",Programme_Grunddaten!AO350&lt;&gt;""),IF(Programme_Grunddaten!AO350="Ja",1,0),"")</f>
        <v/>
      </c>
      <c r="AH345" s="1" t="str">
        <f>IF(AND(Programme_Grunddaten!$A350="Geprüft",Programme_Grunddaten!AP350&lt;&gt;""),IF(Programme_Grunddaten!AP350="Ja",1,0),"")</f>
        <v/>
      </c>
      <c r="AI345" s="1" t="str">
        <f>IF(AND(Programme_Grunddaten!$A350="Geprüft",Programme_Grunddaten!AQ350&lt;&gt;""),IF(Programme_Grunddaten!AQ350="Ja",1,0),"")</f>
        <v/>
      </c>
      <c r="AJ345" s="1" t="str">
        <f>IF(AND(Programme_Grunddaten!$A350="Geprüft",Programme_Grunddaten!AR350&lt;&gt;""),IF(Programme_Grunddaten!AR350="Ja",1,0),"")</f>
        <v/>
      </c>
      <c r="AK345" s="1" t="str">
        <f>IF(AND(Programme_Grunddaten!$A350="Geprüft",Programme_Grunddaten!AS350&lt;&gt;""),IF(Programme_Grunddaten!AS350="Ja",1,0),"")</f>
        <v/>
      </c>
      <c r="AL345" s="1" t="str">
        <f>IF(AND(Programme_Grunddaten!$A350="Geprüft",Programme_Grunddaten!AT350&lt;&gt;""),IF(Programme_Grunddaten!AT350="Ja",1,0),"")</f>
        <v/>
      </c>
      <c r="AM345" s="1" t="str">
        <f>IF(AND(Programme_Grunddaten!$A350="Geprüft",Programme_Grunddaten!AU350&lt;&gt;""),IF(Programme_Grunddaten!AU350="Ja",1,0),"")</f>
        <v/>
      </c>
      <c r="AN345" s="1" t="str">
        <f>IF(AND(Programme_Grunddaten!$A350="Geprüft",Programme_Grunddaten!AV350&lt;&gt;""),IF(Programme_Grunddaten!AV350="Ja",1,0),"")</f>
        <v/>
      </c>
    </row>
    <row r="346" spans="1:40" x14ac:dyDescent="0.3">
      <c r="A346" s="1" t="str">
        <f>IF(AND(Programme_Grunddaten!A351="Geprüft",Programme_Grunddaten!B351&lt;&gt;""),Programme_Grunddaten!B351,"")</f>
        <v/>
      </c>
      <c r="B346" s="1" t="str">
        <f>IF(AND(Programme_Grunddaten!$A351="Geprüft",Programme_Grunddaten!I351&lt;&gt;""),IF(Programme_Grunddaten!I351="Ja",1,0),"")</f>
        <v/>
      </c>
      <c r="C346" s="1" t="str">
        <f>IF(AND(Programme_Grunddaten!$A351="Geprüft",Programme_Grunddaten!J351&lt;&gt;""),IF(Programme_Grunddaten!J351="Ja",1,0),"")</f>
        <v/>
      </c>
      <c r="D346" s="1" t="str">
        <f>IF(AND(Programme_Grunddaten!$A351="Geprüft",Programme_Grunddaten!K351&lt;&gt;""),IF(Programme_Grunddaten!K351="Ja",1,0),"")</f>
        <v/>
      </c>
      <c r="E346" s="1" t="str">
        <f>IF(AND(Programme_Grunddaten!$A351="Geprüft",Programme_Grunddaten!L351&lt;&gt;""),IF(Programme_Grunddaten!L351="Abo / befristete Lizenz",1,0),"")</f>
        <v/>
      </c>
      <c r="F346" s="1" t="str">
        <f>IF(AND(Programme_Grunddaten!$A351="Geprüft",Programme_Grunddaten!M351&lt;&gt;""),IF(Programme_Grunddaten!M351="Ja",1,0),"")</f>
        <v/>
      </c>
      <c r="G346" s="1" t="str">
        <f>IF(AND(Programme_Grunddaten!$A351="Geprüft",Programme_Grunddaten!N351&lt;&gt;""),IF(Programme_Grunddaten!N351="Ja",1,0),"")</f>
        <v/>
      </c>
      <c r="H346" s="1" t="str">
        <f>IF(AND(Programme_Grunddaten!$A351="Geprüft",Programme_Grunddaten!O351&lt;&gt;""),IF(Programme_Grunddaten!O351="Deutschland",0,IF(Programme_Grunddaten!O351="EU",1,2)),"")</f>
        <v/>
      </c>
      <c r="I346" s="1" t="str">
        <f>IF(AND(Programme_Grunddaten!$A351="Geprüft",Programme_Grunddaten!P351&lt;&gt;""),IF(Programme_Grunddaten!P351="Ja",1,0),"")</f>
        <v/>
      </c>
      <c r="J346" s="1" t="str">
        <f>IF(AND(Programme_Grunddaten!$A351="Geprüft",Programme_Grunddaten!Q351&lt;&gt;""),IF(Programme_Grunddaten!Q351="geschlossenes System",1,0),"")</f>
        <v/>
      </c>
      <c r="K346" s="1" t="str">
        <f>IF(AND(Programme_Grunddaten!$A351="Geprüft",Programme_Grunddaten!R351&lt;&gt;""),IF(Programme_Grunddaten!R351="Ja",1,0),"")</f>
        <v/>
      </c>
      <c r="L346" s="1" t="str">
        <f>IF(AND(Programme_Grunddaten!$A351="Geprüft",Programme_Grunddaten!T351&lt;&gt;""),IF(Programme_Grunddaten!T351="Ja",1,0),"")</f>
        <v/>
      </c>
      <c r="M346" s="1" t="str">
        <f>IF(AND(Programme_Grunddaten!$A351="Geprüft",Programme_Grunddaten!U351&lt;&gt;""),IF(Programme_Grunddaten!U351="Ja",1,0),"")</f>
        <v/>
      </c>
      <c r="N346" s="1" t="str">
        <f>IF(AND(Programme_Grunddaten!$A351="Geprüft",Programme_Grunddaten!V351&lt;&gt;""),IF(Programme_Grunddaten!V351="Ja",1,0),"")</f>
        <v/>
      </c>
      <c r="O346" s="1" t="str">
        <f>IF(AND(Programme_Grunddaten!$A351="Geprüft",Programme_Grunddaten!W351&lt;&gt;""),IF(Programme_Grunddaten!W351="Ja",1,0),"")</f>
        <v/>
      </c>
      <c r="P346" s="1" t="str">
        <f>IF(AND(Programme_Grunddaten!$A351="Geprüft",Programme_Grunddaten!X351&lt;&gt;""),IF(Programme_Grunddaten!X351="Ja",1,0),"")</f>
        <v/>
      </c>
      <c r="Q346" s="1" t="str">
        <f>IF(AND(Programme_Grunddaten!$A351="Geprüft",Programme_Grunddaten!Y351&lt;&gt;""),IF(Programme_Grunddaten!Y351="Ja",1,0),"")</f>
        <v/>
      </c>
      <c r="R346" s="1" t="str">
        <f>IF(AND(Programme_Grunddaten!$A351="Geprüft",Programme_Grunddaten!Z351&lt;&gt;""),IF(Programme_Grunddaten!Z351="Ja",1,0),"")</f>
        <v/>
      </c>
      <c r="S346" s="1" t="str">
        <f>IF(AND(Programme_Grunddaten!$A351="Geprüft",Programme_Grunddaten!AA351&lt;&gt;""),IF(Programme_Grunddaten!AA351="monolithisch",1,0),"")</f>
        <v/>
      </c>
      <c r="T346" s="1" t="str">
        <f>IF(AND(Programme_Grunddaten!$A351="Geprüft",Programme_Grunddaten!AB351&lt;&gt;""),IF(Programme_Grunddaten!AB351="Ja",1,0),"")</f>
        <v/>
      </c>
      <c r="U346" s="1" t="str">
        <f>IF(AND(Programme_Grunddaten!$A351="Geprüft",Programme_Grunddaten!AC351&lt;&gt;""),IF(Programme_Grunddaten!AC351="Ja",1,0),"")</f>
        <v/>
      </c>
      <c r="V346" s="1" t="str">
        <f>IF(AND(Programme_Grunddaten!$A351="Geprüft",Programme_Grunddaten!AD351&lt;&gt;""),IF(Programme_Grunddaten!AD351="Ja",1,0),"")</f>
        <v/>
      </c>
      <c r="W346" s="1" t="str">
        <f>IF(AND(Programme_Grunddaten!$A351="Geprüft",Programme_Grunddaten!AE351&lt;&gt;""),IF(Programme_Grunddaten!AE351="Ja",1,0),"")</f>
        <v/>
      </c>
      <c r="X346" s="1" t="str">
        <f>IF(AND(Programme_Grunddaten!$A351="Geprüft",Programme_Grunddaten!AF351&lt;&gt;""),IF(Programme_Grunddaten!AF351="Ja",1,0),"")</f>
        <v/>
      </c>
      <c r="Y346" s="1" t="str">
        <f>IF(AND(Programme_Grunddaten!$A351="Geprüft",Programme_Grunddaten!AG351&lt;&gt;""),IF(Programme_Grunddaten!AG351="Ja",1,0),"")</f>
        <v/>
      </c>
      <c r="Z346" s="1" t="str">
        <f>IF(AND(Programme_Grunddaten!$A351="Geprüft",Programme_Grunddaten!AH351&lt;&gt;""),IF(Programme_Grunddaten!AH351="Ja",1,0),"")</f>
        <v/>
      </c>
      <c r="AA346" s="1" t="str">
        <f>IF(AND(Programme_Grunddaten!$A351="Geprüft",Programme_Grunddaten!AI351&lt;&gt;""),IF(Programme_Grunddaten!AI351="Ja",1,0),"")</f>
        <v/>
      </c>
      <c r="AB346" s="1" t="str">
        <f>IF(AND(Programme_Grunddaten!$A351="Geprüft",Programme_Grunddaten!AJ351&lt;&gt;""),IF(Programme_Grunddaten!AJ351="individuell programmierbar",1,0),"")</f>
        <v/>
      </c>
      <c r="AC346" s="1" t="str">
        <f>IF(AND(Programme_Grunddaten!$A351="Geprüft",Programme_Grunddaten!AK351&lt;&gt;""),IF(Programme_Grunddaten!AK351="Deutsch",0,IF(Programme_Grunddaten!AK351="Deutsch und Englisch",1,2)),"")</f>
        <v/>
      </c>
      <c r="AD346" s="1" t="str">
        <f>IF(AND(Programme_Grunddaten!$A351="Geprüft",Programme_Grunddaten!AL351&lt;&gt;""),IF(Programme_Grunddaten!AL351="Ja",1,0),"")</f>
        <v/>
      </c>
      <c r="AE346" s="1" t="str">
        <f>IF(AND(Programme_Grunddaten!$A351="Geprüft",Programme_Grunddaten!AM351&lt;&gt;""),IF(Programme_Grunddaten!AM351="Ja",1,0),"")</f>
        <v/>
      </c>
      <c r="AF346" s="1" t="str">
        <f>IF(AND(Programme_Grunddaten!$A351="Geprüft",Programme_Grunddaten!AN351&lt;&gt;""),IF(Programme_Grunddaten!AN351="Ja",1,0),"")</f>
        <v/>
      </c>
      <c r="AG346" s="1" t="str">
        <f>IF(AND(Programme_Grunddaten!$A351="Geprüft",Programme_Grunddaten!AO351&lt;&gt;""),IF(Programme_Grunddaten!AO351="Ja",1,0),"")</f>
        <v/>
      </c>
      <c r="AH346" s="1" t="str">
        <f>IF(AND(Programme_Grunddaten!$A351="Geprüft",Programme_Grunddaten!AP351&lt;&gt;""),IF(Programme_Grunddaten!AP351="Ja",1,0),"")</f>
        <v/>
      </c>
      <c r="AI346" s="1" t="str">
        <f>IF(AND(Programme_Grunddaten!$A351="Geprüft",Programme_Grunddaten!AQ351&lt;&gt;""),IF(Programme_Grunddaten!AQ351="Ja",1,0),"")</f>
        <v/>
      </c>
      <c r="AJ346" s="1" t="str">
        <f>IF(AND(Programme_Grunddaten!$A351="Geprüft",Programme_Grunddaten!AR351&lt;&gt;""),IF(Programme_Grunddaten!AR351="Ja",1,0),"")</f>
        <v/>
      </c>
      <c r="AK346" s="1" t="str">
        <f>IF(AND(Programme_Grunddaten!$A351="Geprüft",Programme_Grunddaten!AS351&lt;&gt;""),IF(Programme_Grunddaten!AS351="Ja",1,0),"")</f>
        <v/>
      </c>
      <c r="AL346" s="1" t="str">
        <f>IF(AND(Programme_Grunddaten!$A351="Geprüft",Programme_Grunddaten!AT351&lt;&gt;""),IF(Programme_Grunddaten!AT351="Ja",1,0),"")</f>
        <v/>
      </c>
      <c r="AM346" s="1" t="str">
        <f>IF(AND(Programme_Grunddaten!$A351="Geprüft",Programme_Grunddaten!AU351&lt;&gt;""),IF(Programme_Grunddaten!AU351="Ja",1,0),"")</f>
        <v/>
      </c>
      <c r="AN346" s="1" t="str">
        <f>IF(AND(Programme_Grunddaten!$A351="Geprüft",Programme_Grunddaten!AV351&lt;&gt;""),IF(Programme_Grunddaten!AV351="Ja",1,0),"")</f>
        <v/>
      </c>
    </row>
    <row r="347" spans="1:40" x14ac:dyDescent="0.3">
      <c r="A347" s="1" t="str">
        <f>IF(AND(Programme_Grunddaten!A352="Geprüft",Programme_Grunddaten!B352&lt;&gt;""),Programme_Grunddaten!B352,"")</f>
        <v/>
      </c>
      <c r="B347" s="1" t="str">
        <f>IF(AND(Programme_Grunddaten!$A352="Geprüft",Programme_Grunddaten!I352&lt;&gt;""),IF(Programme_Grunddaten!I352="Ja",1,0),"")</f>
        <v/>
      </c>
      <c r="C347" s="1" t="str">
        <f>IF(AND(Programme_Grunddaten!$A352="Geprüft",Programme_Grunddaten!J352&lt;&gt;""),IF(Programme_Grunddaten!J352="Ja",1,0),"")</f>
        <v/>
      </c>
      <c r="D347" s="1" t="str">
        <f>IF(AND(Programme_Grunddaten!$A352="Geprüft",Programme_Grunddaten!K352&lt;&gt;""),IF(Programme_Grunddaten!K352="Ja",1,0),"")</f>
        <v/>
      </c>
      <c r="E347" s="1" t="str">
        <f>IF(AND(Programme_Grunddaten!$A352="Geprüft",Programme_Grunddaten!L352&lt;&gt;""),IF(Programme_Grunddaten!L352="Abo / befristete Lizenz",1,0),"")</f>
        <v/>
      </c>
      <c r="F347" s="1" t="str">
        <f>IF(AND(Programme_Grunddaten!$A352="Geprüft",Programme_Grunddaten!M352&lt;&gt;""),IF(Programme_Grunddaten!M352="Ja",1,0),"")</f>
        <v/>
      </c>
      <c r="G347" s="1" t="str">
        <f>IF(AND(Programme_Grunddaten!$A352="Geprüft",Programme_Grunddaten!N352&lt;&gt;""),IF(Programme_Grunddaten!N352="Ja",1,0),"")</f>
        <v/>
      </c>
      <c r="H347" s="1" t="str">
        <f>IF(AND(Programme_Grunddaten!$A352="Geprüft",Programme_Grunddaten!O352&lt;&gt;""),IF(Programme_Grunddaten!O352="Deutschland",0,IF(Programme_Grunddaten!O352="EU",1,2)),"")</f>
        <v/>
      </c>
      <c r="I347" s="1" t="str">
        <f>IF(AND(Programme_Grunddaten!$A352="Geprüft",Programme_Grunddaten!P352&lt;&gt;""),IF(Programme_Grunddaten!P352="Ja",1,0),"")</f>
        <v/>
      </c>
      <c r="J347" s="1" t="str">
        <f>IF(AND(Programme_Grunddaten!$A352="Geprüft",Programme_Grunddaten!Q352&lt;&gt;""),IF(Programme_Grunddaten!Q352="geschlossenes System",1,0),"")</f>
        <v/>
      </c>
      <c r="K347" s="1" t="str">
        <f>IF(AND(Programme_Grunddaten!$A352="Geprüft",Programme_Grunddaten!R352&lt;&gt;""),IF(Programme_Grunddaten!R352="Ja",1,0),"")</f>
        <v/>
      </c>
      <c r="L347" s="1" t="str">
        <f>IF(AND(Programme_Grunddaten!$A352="Geprüft",Programme_Grunddaten!T352&lt;&gt;""),IF(Programme_Grunddaten!T352="Ja",1,0),"")</f>
        <v/>
      </c>
      <c r="M347" s="1" t="str">
        <f>IF(AND(Programme_Grunddaten!$A352="Geprüft",Programme_Grunddaten!U352&lt;&gt;""),IF(Programme_Grunddaten!U352="Ja",1,0),"")</f>
        <v/>
      </c>
      <c r="N347" s="1" t="str">
        <f>IF(AND(Programme_Grunddaten!$A352="Geprüft",Programme_Grunddaten!V352&lt;&gt;""),IF(Programme_Grunddaten!V352="Ja",1,0),"")</f>
        <v/>
      </c>
      <c r="O347" s="1" t="str">
        <f>IF(AND(Programme_Grunddaten!$A352="Geprüft",Programme_Grunddaten!W352&lt;&gt;""),IF(Programme_Grunddaten!W352="Ja",1,0),"")</f>
        <v/>
      </c>
      <c r="P347" s="1" t="str">
        <f>IF(AND(Programme_Grunddaten!$A352="Geprüft",Programme_Grunddaten!X352&lt;&gt;""),IF(Programme_Grunddaten!X352="Ja",1,0),"")</f>
        <v/>
      </c>
      <c r="Q347" s="1" t="str">
        <f>IF(AND(Programme_Grunddaten!$A352="Geprüft",Programme_Grunddaten!Y352&lt;&gt;""),IF(Programme_Grunddaten!Y352="Ja",1,0),"")</f>
        <v/>
      </c>
      <c r="R347" s="1" t="str">
        <f>IF(AND(Programme_Grunddaten!$A352="Geprüft",Programme_Grunddaten!Z352&lt;&gt;""),IF(Programme_Grunddaten!Z352="Ja",1,0),"")</f>
        <v/>
      </c>
      <c r="S347" s="1" t="str">
        <f>IF(AND(Programme_Grunddaten!$A352="Geprüft",Programme_Grunddaten!AA352&lt;&gt;""),IF(Programme_Grunddaten!AA352="monolithisch",1,0),"")</f>
        <v/>
      </c>
      <c r="T347" s="1" t="str">
        <f>IF(AND(Programme_Grunddaten!$A352="Geprüft",Programme_Grunddaten!AB352&lt;&gt;""),IF(Programme_Grunddaten!AB352="Ja",1,0),"")</f>
        <v/>
      </c>
      <c r="U347" s="1" t="str">
        <f>IF(AND(Programme_Grunddaten!$A352="Geprüft",Programme_Grunddaten!AC352&lt;&gt;""),IF(Programme_Grunddaten!AC352="Ja",1,0),"")</f>
        <v/>
      </c>
      <c r="V347" s="1" t="str">
        <f>IF(AND(Programme_Grunddaten!$A352="Geprüft",Programme_Grunddaten!AD352&lt;&gt;""),IF(Programme_Grunddaten!AD352="Ja",1,0),"")</f>
        <v/>
      </c>
      <c r="W347" s="1" t="str">
        <f>IF(AND(Programme_Grunddaten!$A352="Geprüft",Programme_Grunddaten!AE352&lt;&gt;""),IF(Programme_Grunddaten!AE352="Ja",1,0),"")</f>
        <v/>
      </c>
      <c r="X347" s="1" t="str">
        <f>IF(AND(Programme_Grunddaten!$A352="Geprüft",Programme_Grunddaten!AF352&lt;&gt;""),IF(Programme_Grunddaten!AF352="Ja",1,0),"")</f>
        <v/>
      </c>
      <c r="Y347" s="1" t="str">
        <f>IF(AND(Programme_Grunddaten!$A352="Geprüft",Programme_Grunddaten!AG352&lt;&gt;""),IF(Programme_Grunddaten!AG352="Ja",1,0),"")</f>
        <v/>
      </c>
      <c r="Z347" s="1" t="str">
        <f>IF(AND(Programme_Grunddaten!$A352="Geprüft",Programme_Grunddaten!AH352&lt;&gt;""),IF(Programme_Grunddaten!AH352="Ja",1,0),"")</f>
        <v/>
      </c>
      <c r="AA347" s="1" t="str">
        <f>IF(AND(Programme_Grunddaten!$A352="Geprüft",Programme_Grunddaten!AI352&lt;&gt;""),IF(Programme_Grunddaten!AI352="Ja",1,0),"")</f>
        <v/>
      </c>
      <c r="AB347" s="1" t="str">
        <f>IF(AND(Programme_Grunddaten!$A352="Geprüft",Programme_Grunddaten!AJ352&lt;&gt;""),IF(Programme_Grunddaten!AJ352="individuell programmierbar",1,0),"")</f>
        <v/>
      </c>
      <c r="AC347" s="1" t="str">
        <f>IF(AND(Programme_Grunddaten!$A352="Geprüft",Programme_Grunddaten!AK352&lt;&gt;""),IF(Programme_Grunddaten!AK352="Deutsch",0,IF(Programme_Grunddaten!AK352="Deutsch und Englisch",1,2)),"")</f>
        <v/>
      </c>
      <c r="AD347" s="1" t="str">
        <f>IF(AND(Programme_Grunddaten!$A352="Geprüft",Programme_Grunddaten!AL352&lt;&gt;""),IF(Programme_Grunddaten!AL352="Ja",1,0),"")</f>
        <v/>
      </c>
      <c r="AE347" s="1" t="str">
        <f>IF(AND(Programme_Grunddaten!$A352="Geprüft",Programme_Grunddaten!AM352&lt;&gt;""),IF(Programme_Grunddaten!AM352="Ja",1,0),"")</f>
        <v/>
      </c>
      <c r="AF347" s="1" t="str">
        <f>IF(AND(Programme_Grunddaten!$A352="Geprüft",Programme_Grunddaten!AN352&lt;&gt;""),IF(Programme_Grunddaten!AN352="Ja",1,0),"")</f>
        <v/>
      </c>
      <c r="AG347" s="1" t="str">
        <f>IF(AND(Programme_Grunddaten!$A352="Geprüft",Programme_Grunddaten!AO352&lt;&gt;""),IF(Programme_Grunddaten!AO352="Ja",1,0),"")</f>
        <v/>
      </c>
      <c r="AH347" s="1" t="str">
        <f>IF(AND(Programme_Grunddaten!$A352="Geprüft",Programme_Grunddaten!AP352&lt;&gt;""),IF(Programme_Grunddaten!AP352="Ja",1,0),"")</f>
        <v/>
      </c>
      <c r="AI347" s="1" t="str">
        <f>IF(AND(Programme_Grunddaten!$A352="Geprüft",Programme_Grunddaten!AQ352&lt;&gt;""),IF(Programme_Grunddaten!AQ352="Ja",1,0),"")</f>
        <v/>
      </c>
      <c r="AJ347" s="1" t="str">
        <f>IF(AND(Programme_Grunddaten!$A352="Geprüft",Programme_Grunddaten!AR352&lt;&gt;""),IF(Programme_Grunddaten!AR352="Ja",1,0),"")</f>
        <v/>
      </c>
      <c r="AK347" s="1" t="str">
        <f>IF(AND(Programme_Grunddaten!$A352="Geprüft",Programme_Grunddaten!AS352&lt;&gt;""),IF(Programme_Grunddaten!AS352="Ja",1,0),"")</f>
        <v/>
      </c>
      <c r="AL347" s="1" t="str">
        <f>IF(AND(Programme_Grunddaten!$A352="Geprüft",Programme_Grunddaten!AT352&lt;&gt;""),IF(Programme_Grunddaten!AT352="Ja",1,0),"")</f>
        <v/>
      </c>
      <c r="AM347" s="1" t="str">
        <f>IF(AND(Programme_Grunddaten!$A352="Geprüft",Programme_Grunddaten!AU352&lt;&gt;""),IF(Programme_Grunddaten!AU352="Ja",1,0),"")</f>
        <v/>
      </c>
      <c r="AN347" s="1" t="str">
        <f>IF(AND(Programme_Grunddaten!$A352="Geprüft",Programme_Grunddaten!AV352&lt;&gt;""),IF(Programme_Grunddaten!AV352="Ja",1,0),"")</f>
        <v/>
      </c>
    </row>
    <row r="348" spans="1:40" x14ac:dyDescent="0.3">
      <c r="A348" s="1" t="str">
        <f>IF(AND(Programme_Grunddaten!A353="Geprüft",Programme_Grunddaten!B353&lt;&gt;""),Programme_Grunddaten!B353,"")</f>
        <v/>
      </c>
      <c r="B348" s="1" t="str">
        <f>IF(AND(Programme_Grunddaten!$A353="Geprüft",Programme_Grunddaten!I353&lt;&gt;""),IF(Programme_Grunddaten!I353="Ja",1,0),"")</f>
        <v/>
      </c>
      <c r="C348" s="1" t="str">
        <f>IF(AND(Programme_Grunddaten!$A353="Geprüft",Programme_Grunddaten!J353&lt;&gt;""),IF(Programme_Grunddaten!J353="Ja",1,0),"")</f>
        <v/>
      </c>
      <c r="D348" s="1" t="str">
        <f>IF(AND(Programme_Grunddaten!$A353="Geprüft",Programme_Grunddaten!K353&lt;&gt;""),IF(Programme_Grunddaten!K353="Ja",1,0),"")</f>
        <v/>
      </c>
      <c r="E348" s="1" t="str">
        <f>IF(AND(Programme_Grunddaten!$A353="Geprüft",Programme_Grunddaten!L353&lt;&gt;""),IF(Programme_Grunddaten!L353="Abo / befristete Lizenz",1,0),"")</f>
        <v/>
      </c>
      <c r="F348" s="1" t="str">
        <f>IF(AND(Programme_Grunddaten!$A353="Geprüft",Programme_Grunddaten!M353&lt;&gt;""),IF(Programme_Grunddaten!M353="Ja",1,0),"")</f>
        <v/>
      </c>
      <c r="G348" s="1" t="str">
        <f>IF(AND(Programme_Grunddaten!$A353="Geprüft",Programme_Grunddaten!N353&lt;&gt;""),IF(Programme_Grunddaten!N353="Ja",1,0),"")</f>
        <v/>
      </c>
      <c r="H348" s="1" t="str">
        <f>IF(AND(Programme_Grunddaten!$A353="Geprüft",Programme_Grunddaten!O353&lt;&gt;""),IF(Programme_Grunddaten!O353="Deutschland",0,IF(Programme_Grunddaten!O353="EU",1,2)),"")</f>
        <v/>
      </c>
      <c r="I348" s="1" t="str">
        <f>IF(AND(Programme_Grunddaten!$A353="Geprüft",Programme_Grunddaten!P353&lt;&gt;""),IF(Programme_Grunddaten!P353="Ja",1,0),"")</f>
        <v/>
      </c>
      <c r="J348" s="1" t="str">
        <f>IF(AND(Programme_Grunddaten!$A353="Geprüft",Programme_Grunddaten!Q353&lt;&gt;""),IF(Programme_Grunddaten!Q353="geschlossenes System",1,0),"")</f>
        <v/>
      </c>
      <c r="K348" s="1" t="str">
        <f>IF(AND(Programme_Grunddaten!$A353="Geprüft",Programme_Grunddaten!R353&lt;&gt;""),IF(Programme_Grunddaten!R353="Ja",1,0),"")</f>
        <v/>
      </c>
      <c r="L348" s="1" t="str">
        <f>IF(AND(Programme_Grunddaten!$A353="Geprüft",Programme_Grunddaten!T353&lt;&gt;""),IF(Programme_Grunddaten!T353="Ja",1,0),"")</f>
        <v/>
      </c>
      <c r="M348" s="1" t="str">
        <f>IF(AND(Programme_Grunddaten!$A353="Geprüft",Programme_Grunddaten!U353&lt;&gt;""),IF(Programme_Grunddaten!U353="Ja",1,0),"")</f>
        <v/>
      </c>
      <c r="N348" s="1" t="str">
        <f>IF(AND(Programme_Grunddaten!$A353="Geprüft",Programme_Grunddaten!V353&lt;&gt;""),IF(Programme_Grunddaten!V353="Ja",1,0),"")</f>
        <v/>
      </c>
      <c r="O348" s="1" t="str">
        <f>IF(AND(Programme_Grunddaten!$A353="Geprüft",Programme_Grunddaten!W353&lt;&gt;""),IF(Programme_Grunddaten!W353="Ja",1,0),"")</f>
        <v/>
      </c>
      <c r="P348" s="1" t="str">
        <f>IF(AND(Programme_Grunddaten!$A353="Geprüft",Programme_Grunddaten!X353&lt;&gt;""),IF(Programme_Grunddaten!X353="Ja",1,0),"")</f>
        <v/>
      </c>
      <c r="Q348" s="1" t="str">
        <f>IF(AND(Programme_Grunddaten!$A353="Geprüft",Programme_Grunddaten!Y353&lt;&gt;""),IF(Programme_Grunddaten!Y353="Ja",1,0),"")</f>
        <v/>
      </c>
      <c r="R348" s="1" t="str">
        <f>IF(AND(Programme_Grunddaten!$A353="Geprüft",Programme_Grunddaten!Z353&lt;&gt;""),IF(Programme_Grunddaten!Z353="Ja",1,0),"")</f>
        <v/>
      </c>
      <c r="S348" s="1" t="str">
        <f>IF(AND(Programme_Grunddaten!$A353="Geprüft",Programme_Grunddaten!AA353&lt;&gt;""),IF(Programme_Grunddaten!AA353="monolithisch",1,0),"")</f>
        <v/>
      </c>
      <c r="T348" s="1" t="str">
        <f>IF(AND(Programme_Grunddaten!$A353="Geprüft",Programme_Grunddaten!AB353&lt;&gt;""),IF(Programme_Grunddaten!AB353="Ja",1,0),"")</f>
        <v/>
      </c>
      <c r="U348" s="1" t="str">
        <f>IF(AND(Programme_Grunddaten!$A353="Geprüft",Programme_Grunddaten!AC353&lt;&gt;""),IF(Programme_Grunddaten!AC353="Ja",1,0),"")</f>
        <v/>
      </c>
      <c r="V348" s="1" t="str">
        <f>IF(AND(Programme_Grunddaten!$A353="Geprüft",Programme_Grunddaten!AD353&lt;&gt;""),IF(Programme_Grunddaten!AD353="Ja",1,0),"")</f>
        <v/>
      </c>
      <c r="W348" s="1" t="str">
        <f>IF(AND(Programme_Grunddaten!$A353="Geprüft",Programme_Grunddaten!AE353&lt;&gt;""),IF(Programme_Grunddaten!AE353="Ja",1,0),"")</f>
        <v/>
      </c>
      <c r="X348" s="1" t="str">
        <f>IF(AND(Programme_Grunddaten!$A353="Geprüft",Programme_Grunddaten!AF353&lt;&gt;""),IF(Programme_Grunddaten!AF353="Ja",1,0),"")</f>
        <v/>
      </c>
      <c r="Y348" s="1" t="str">
        <f>IF(AND(Programme_Grunddaten!$A353="Geprüft",Programme_Grunddaten!AG353&lt;&gt;""),IF(Programme_Grunddaten!AG353="Ja",1,0),"")</f>
        <v/>
      </c>
      <c r="Z348" s="1" t="str">
        <f>IF(AND(Programme_Grunddaten!$A353="Geprüft",Programme_Grunddaten!AH353&lt;&gt;""),IF(Programme_Grunddaten!AH353="Ja",1,0),"")</f>
        <v/>
      </c>
      <c r="AA348" s="1" t="str">
        <f>IF(AND(Programme_Grunddaten!$A353="Geprüft",Programme_Grunddaten!AI353&lt;&gt;""),IF(Programme_Grunddaten!AI353="Ja",1,0),"")</f>
        <v/>
      </c>
      <c r="AB348" s="1" t="str">
        <f>IF(AND(Programme_Grunddaten!$A353="Geprüft",Programme_Grunddaten!AJ353&lt;&gt;""),IF(Programme_Grunddaten!AJ353="individuell programmierbar",1,0),"")</f>
        <v/>
      </c>
      <c r="AC348" s="1" t="str">
        <f>IF(AND(Programme_Grunddaten!$A353="Geprüft",Programme_Grunddaten!AK353&lt;&gt;""),IF(Programme_Grunddaten!AK353="Deutsch",0,IF(Programme_Grunddaten!AK353="Deutsch und Englisch",1,2)),"")</f>
        <v/>
      </c>
      <c r="AD348" s="1" t="str">
        <f>IF(AND(Programme_Grunddaten!$A353="Geprüft",Programme_Grunddaten!AL353&lt;&gt;""),IF(Programme_Grunddaten!AL353="Ja",1,0),"")</f>
        <v/>
      </c>
      <c r="AE348" s="1" t="str">
        <f>IF(AND(Programme_Grunddaten!$A353="Geprüft",Programme_Grunddaten!AM353&lt;&gt;""),IF(Programme_Grunddaten!AM353="Ja",1,0),"")</f>
        <v/>
      </c>
      <c r="AF348" s="1" t="str">
        <f>IF(AND(Programme_Grunddaten!$A353="Geprüft",Programme_Grunddaten!AN353&lt;&gt;""),IF(Programme_Grunddaten!AN353="Ja",1,0),"")</f>
        <v/>
      </c>
      <c r="AG348" s="1" t="str">
        <f>IF(AND(Programme_Grunddaten!$A353="Geprüft",Programme_Grunddaten!AO353&lt;&gt;""),IF(Programme_Grunddaten!AO353="Ja",1,0),"")</f>
        <v/>
      </c>
      <c r="AH348" s="1" t="str">
        <f>IF(AND(Programme_Grunddaten!$A353="Geprüft",Programme_Grunddaten!AP353&lt;&gt;""),IF(Programme_Grunddaten!AP353="Ja",1,0),"")</f>
        <v/>
      </c>
      <c r="AI348" s="1" t="str">
        <f>IF(AND(Programme_Grunddaten!$A353="Geprüft",Programme_Grunddaten!AQ353&lt;&gt;""),IF(Programme_Grunddaten!AQ353="Ja",1,0),"")</f>
        <v/>
      </c>
      <c r="AJ348" s="1" t="str">
        <f>IF(AND(Programme_Grunddaten!$A353="Geprüft",Programme_Grunddaten!AR353&lt;&gt;""),IF(Programme_Grunddaten!AR353="Ja",1,0),"")</f>
        <v/>
      </c>
      <c r="AK348" s="1" t="str">
        <f>IF(AND(Programme_Grunddaten!$A353="Geprüft",Programme_Grunddaten!AS353&lt;&gt;""),IF(Programme_Grunddaten!AS353="Ja",1,0),"")</f>
        <v/>
      </c>
      <c r="AL348" s="1" t="str">
        <f>IF(AND(Programme_Grunddaten!$A353="Geprüft",Programme_Grunddaten!AT353&lt;&gt;""),IF(Programme_Grunddaten!AT353="Ja",1,0),"")</f>
        <v/>
      </c>
      <c r="AM348" s="1" t="str">
        <f>IF(AND(Programme_Grunddaten!$A353="Geprüft",Programme_Grunddaten!AU353&lt;&gt;""),IF(Programme_Grunddaten!AU353="Ja",1,0),"")</f>
        <v/>
      </c>
      <c r="AN348" s="1" t="str">
        <f>IF(AND(Programme_Grunddaten!$A353="Geprüft",Programme_Grunddaten!AV353&lt;&gt;""),IF(Programme_Grunddaten!AV353="Ja",1,0),"")</f>
        <v/>
      </c>
    </row>
    <row r="349" spans="1:40" x14ac:dyDescent="0.3">
      <c r="A349" s="1" t="str">
        <f>IF(AND(Programme_Grunddaten!A354="Geprüft",Programme_Grunddaten!B354&lt;&gt;""),Programme_Grunddaten!B354,"")</f>
        <v/>
      </c>
      <c r="B349" s="1" t="str">
        <f>IF(AND(Programme_Grunddaten!$A354="Geprüft",Programme_Grunddaten!I354&lt;&gt;""),IF(Programme_Grunddaten!I354="Ja",1,0),"")</f>
        <v/>
      </c>
      <c r="C349" s="1" t="str">
        <f>IF(AND(Programme_Grunddaten!$A354="Geprüft",Programme_Grunddaten!J354&lt;&gt;""),IF(Programme_Grunddaten!J354="Ja",1,0),"")</f>
        <v/>
      </c>
      <c r="D349" s="1" t="str">
        <f>IF(AND(Programme_Grunddaten!$A354="Geprüft",Programme_Grunddaten!K354&lt;&gt;""),IF(Programme_Grunddaten!K354="Ja",1,0),"")</f>
        <v/>
      </c>
      <c r="E349" s="1" t="str">
        <f>IF(AND(Programme_Grunddaten!$A354="Geprüft",Programme_Grunddaten!L354&lt;&gt;""),IF(Programme_Grunddaten!L354="Abo / befristete Lizenz",1,0),"")</f>
        <v/>
      </c>
      <c r="F349" s="1" t="str">
        <f>IF(AND(Programme_Grunddaten!$A354="Geprüft",Programme_Grunddaten!M354&lt;&gt;""),IF(Programme_Grunddaten!M354="Ja",1,0),"")</f>
        <v/>
      </c>
      <c r="G349" s="1" t="str">
        <f>IF(AND(Programme_Grunddaten!$A354="Geprüft",Programme_Grunddaten!N354&lt;&gt;""),IF(Programme_Grunddaten!N354="Ja",1,0),"")</f>
        <v/>
      </c>
      <c r="H349" s="1" t="str">
        <f>IF(AND(Programme_Grunddaten!$A354="Geprüft",Programme_Grunddaten!O354&lt;&gt;""),IF(Programme_Grunddaten!O354="Deutschland",0,IF(Programme_Grunddaten!O354="EU",1,2)),"")</f>
        <v/>
      </c>
      <c r="I349" s="1" t="str">
        <f>IF(AND(Programme_Grunddaten!$A354="Geprüft",Programme_Grunddaten!P354&lt;&gt;""),IF(Programme_Grunddaten!P354="Ja",1,0),"")</f>
        <v/>
      </c>
      <c r="J349" s="1" t="str">
        <f>IF(AND(Programme_Grunddaten!$A354="Geprüft",Programme_Grunddaten!Q354&lt;&gt;""),IF(Programme_Grunddaten!Q354="geschlossenes System",1,0),"")</f>
        <v/>
      </c>
      <c r="K349" s="1" t="str">
        <f>IF(AND(Programme_Grunddaten!$A354="Geprüft",Programme_Grunddaten!R354&lt;&gt;""),IF(Programme_Grunddaten!R354="Ja",1,0),"")</f>
        <v/>
      </c>
      <c r="L349" s="1" t="str">
        <f>IF(AND(Programme_Grunddaten!$A354="Geprüft",Programme_Grunddaten!T354&lt;&gt;""),IF(Programme_Grunddaten!T354="Ja",1,0),"")</f>
        <v/>
      </c>
      <c r="M349" s="1" t="str">
        <f>IF(AND(Programme_Grunddaten!$A354="Geprüft",Programme_Grunddaten!U354&lt;&gt;""),IF(Programme_Grunddaten!U354="Ja",1,0),"")</f>
        <v/>
      </c>
      <c r="N349" s="1" t="str">
        <f>IF(AND(Programme_Grunddaten!$A354="Geprüft",Programme_Grunddaten!V354&lt;&gt;""),IF(Programme_Grunddaten!V354="Ja",1,0),"")</f>
        <v/>
      </c>
      <c r="O349" s="1" t="str">
        <f>IF(AND(Programme_Grunddaten!$A354="Geprüft",Programme_Grunddaten!W354&lt;&gt;""),IF(Programme_Grunddaten!W354="Ja",1,0),"")</f>
        <v/>
      </c>
      <c r="P349" s="1" t="str">
        <f>IF(AND(Programme_Grunddaten!$A354="Geprüft",Programme_Grunddaten!X354&lt;&gt;""),IF(Programme_Grunddaten!X354="Ja",1,0),"")</f>
        <v/>
      </c>
      <c r="Q349" s="1" t="str">
        <f>IF(AND(Programme_Grunddaten!$A354="Geprüft",Programme_Grunddaten!Y354&lt;&gt;""),IF(Programme_Grunddaten!Y354="Ja",1,0),"")</f>
        <v/>
      </c>
      <c r="R349" s="1" t="str">
        <f>IF(AND(Programme_Grunddaten!$A354="Geprüft",Programme_Grunddaten!Z354&lt;&gt;""),IF(Programme_Grunddaten!Z354="Ja",1,0),"")</f>
        <v/>
      </c>
      <c r="S349" s="1" t="str">
        <f>IF(AND(Programme_Grunddaten!$A354="Geprüft",Programme_Grunddaten!AA354&lt;&gt;""),IF(Programme_Grunddaten!AA354="monolithisch",1,0),"")</f>
        <v/>
      </c>
      <c r="T349" s="1" t="str">
        <f>IF(AND(Programme_Grunddaten!$A354="Geprüft",Programme_Grunddaten!AB354&lt;&gt;""),IF(Programme_Grunddaten!AB354="Ja",1,0),"")</f>
        <v/>
      </c>
      <c r="U349" s="1" t="str">
        <f>IF(AND(Programme_Grunddaten!$A354="Geprüft",Programme_Grunddaten!AC354&lt;&gt;""),IF(Programme_Grunddaten!AC354="Ja",1,0),"")</f>
        <v/>
      </c>
      <c r="V349" s="1" t="str">
        <f>IF(AND(Programme_Grunddaten!$A354="Geprüft",Programme_Grunddaten!AD354&lt;&gt;""),IF(Programme_Grunddaten!AD354="Ja",1,0),"")</f>
        <v/>
      </c>
      <c r="W349" s="1" t="str">
        <f>IF(AND(Programme_Grunddaten!$A354="Geprüft",Programme_Grunddaten!AE354&lt;&gt;""),IF(Programme_Grunddaten!AE354="Ja",1,0),"")</f>
        <v/>
      </c>
      <c r="X349" s="1" t="str">
        <f>IF(AND(Programme_Grunddaten!$A354="Geprüft",Programme_Grunddaten!AF354&lt;&gt;""),IF(Programme_Grunddaten!AF354="Ja",1,0),"")</f>
        <v/>
      </c>
      <c r="Y349" s="1" t="str">
        <f>IF(AND(Programme_Grunddaten!$A354="Geprüft",Programme_Grunddaten!AG354&lt;&gt;""),IF(Programme_Grunddaten!AG354="Ja",1,0),"")</f>
        <v/>
      </c>
      <c r="Z349" s="1" t="str">
        <f>IF(AND(Programme_Grunddaten!$A354="Geprüft",Programme_Grunddaten!AH354&lt;&gt;""),IF(Programme_Grunddaten!AH354="Ja",1,0),"")</f>
        <v/>
      </c>
      <c r="AA349" s="1" t="str">
        <f>IF(AND(Programme_Grunddaten!$A354="Geprüft",Programme_Grunddaten!AI354&lt;&gt;""),IF(Programme_Grunddaten!AI354="Ja",1,0),"")</f>
        <v/>
      </c>
      <c r="AB349" s="1" t="str">
        <f>IF(AND(Programme_Grunddaten!$A354="Geprüft",Programme_Grunddaten!AJ354&lt;&gt;""),IF(Programme_Grunddaten!AJ354="individuell programmierbar",1,0),"")</f>
        <v/>
      </c>
      <c r="AC349" s="1" t="str">
        <f>IF(AND(Programme_Grunddaten!$A354="Geprüft",Programme_Grunddaten!AK354&lt;&gt;""),IF(Programme_Grunddaten!AK354="Deutsch",0,IF(Programme_Grunddaten!AK354="Deutsch und Englisch",1,2)),"")</f>
        <v/>
      </c>
      <c r="AD349" s="1" t="str">
        <f>IF(AND(Programme_Grunddaten!$A354="Geprüft",Programme_Grunddaten!AL354&lt;&gt;""),IF(Programme_Grunddaten!AL354="Ja",1,0),"")</f>
        <v/>
      </c>
      <c r="AE349" s="1" t="str">
        <f>IF(AND(Programme_Grunddaten!$A354="Geprüft",Programme_Grunddaten!AM354&lt;&gt;""),IF(Programme_Grunddaten!AM354="Ja",1,0),"")</f>
        <v/>
      </c>
      <c r="AF349" s="1" t="str">
        <f>IF(AND(Programme_Grunddaten!$A354="Geprüft",Programme_Grunddaten!AN354&lt;&gt;""),IF(Programme_Grunddaten!AN354="Ja",1,0),"")</f>
        <v/>
      </c>
      <c r="AG349" s="1" t="str">
        <f>IF(AND(Programme_Grunddaten!$A354="Geprüft",Programme_Grunddaten!AO354&lt;&gt;""),IF(Programme_Grunddaten!AO354="Ja",1,0),"")</f>
        <v/>
      </c>
      <c r="AH349" s="1" t="str">
        <f>IF(AND(Programme_Grunddaten!$A354="Geprüft",Programme_Grunddaten!AP354&lt;&gt;""),IF(Programme_Grunddaten!AP354="Ja",1,0),"")</f>
        <v/>
      </c>
      <c r="AI349" s="1" t="str">
        <f>IF(AND(Programme_Grunddaten!$A354="Geprüft",Programme_Grunddaten!AQ354&lt;&gt;""),IF(Programme_Grunddaten!AQ354="Ja",1,0),"")</f>
        <v/>
      </c>
      <c r="AJ349" s="1" t="str">
        <f>IF(AND(Programme_Grunddaten!$A354="Geprüft",Programme_Grunddaten!AR354&lt;&gt;""),IF(Programme_Grunddaten!AR354="Ja",1,0),"")</f>
        <v/>
      </c>
      <c r="AK349" s="1" t="str">
        <f>IF(AND(Programme_Grunddaten!$A354="Geprüft",Programme_Grunddaten!AS354&lt;&gt;""),IF(Programme_Grunddaten!AS354="Ja",1,0),"")</f>
        <v/>
      </c>
      <c r="AL349" s="1" t="str">
        <f>IF(AND(Programme_Grunddaten!$A354="Geprüft",Programme_Grunddaten!AT354&lt;&gt;""),IF(Programme_Grunddaten!AT354="Ja",1,0),"")</f>
        <v/>
      </c>
      <c r="AM349" s="1" t="str">
        <f>IF(AND(Programme_Grunddaten!$A354="Geprüft",Programme_Grunddaten!AU354&lt;&gt;""),IF(Programme_Grunddaten!AU354="Ja",1,0),"")</f>
        <v/>
      </c>
      <c r="AN349" s="1" t="str">
        <f>IF(AND(Programme_Grunddaten!$A354="Geprüft",Programme_Grunddaten!AV354&lt;&gt;""),IF(Programme_Grunddaten!AV354="Ja",1,0),"")</f>
        <v/>
      </c>
    </row>
    <row r="350" spans="1:40" x14ac:dyDescent="0.3">
      <c r="A350" s="1" t="str">
        <f>IF(AND(Programme_Grunddaten!A355="Geprüft",Programme_Grunddaten!B355&lt;&gt;""),Programme_Grunddaten!B355,"")</f>
        <v/>
      </c>
      <c r="B350" s="1" t="str">
        <f>IF(AND(Programme_Grunddaten!$A355="Geprüft",Programme_Grunddaten!I355&lt;&gt;""),IF(Programme_Grunddaten!I355="Ja",1,0),"")</f>
        <v/>
      </c>
      <c r="C350" s="1" t="str">
        <f>IF(AND(Programme_Grunddaten!$A355="Geprüft",Programme_Grunddaten!J355&lt;&gt;""),IF(Programme_Grunddaten!J355="Ja",1,0),"")</f>
        <v/>
      </c>
      <c r="D350" s="1" t="str">
        <f>IF(AND(Programme_Grunddaten!$A355="Geprüft",Programme_Grunddaten!K355&lt;&gt;""),IF(Programme_Grunddaten!K355="Ja",1,0),"")</f>
        <v/>
      </c>
      <c r="E350" s="1" t="str">
        <f>IF(AND(Programme_Grunddaten!$A355="Geprüft",Programme_Grunddaten!L355&lt;&gt;""),IF(Programme_Grunddaten!L355="Abo / befristete Lizenz",1,0),"")</f>
        <v/>
      </c>
      <c r="F350" s="1" t="str">
        <f>IF(AND(Programme_Grunddaten!$A355="Geprüft",Programme_Grunddaten!M355&lt;&gt;""),IF(Programme_Grunddaten!M355="Ja",1,0),"")</f>
        <v/>
      </c>
      <c r="G350" s="1" t="str">
        <f>IF(AND(Programme_Grunddaten!$A355="Geprüft",Programme_Grunddaten!N355&lt;&gt;""),IF(Programme_Grunddaten!N355="Ja",1,0),"")</f>
        <v/>
      </c>
      <c r="H350" s="1" t="str">
        <f>IF(AND(Programme_Grunddaten!$A355="Geprüft",Programme_Grunddaten!O355&lt;&gt;""),IF(Programme_Grunddaten!O355="Deutschland",0,IF(Programme_Grunddaten!O355="EU",1,2)),"")</f>
        <v/>
      </c>
      <c r="I350" s="1" t="str">
        <f>IF(AND(Programme_Grunddaten!$A355="Geprüft",Programme_Grunddaten!P355&lt;&gt;""),IF(Programme_Grunddaten!P355="Ja",1,0),"")</f>
        <v/>
      </c>
      <c r="J350" s="1" t="str">
        <f>IF(AND(Programme_Grunddaten!$A355="Geprüft",Programme_Grunddaten!Q355&lt;&gt;""),IF(Programme_Grunddaten!Q355="geschlossenes System",1,0),"")</f>
        <v/>
      </c>
      <c r="K350" s="1" t="str">
        <f>IF(AND(Programme_Grunddaten!$A355="Geprüft",Programme_Grunddaten!R355&lt;&gt;""),IF(Programme_Grunddaten!R355="Ja",1,0),"")</f>
        <v/>
      </c>
      <c r="L350" s="1" t="str">
        <f>IF(AND(Programme_Grunddaten!$A355="Geprüft",Programme_Grunddaten!T355&lt;&gt;""),IF(Programme_Grunddaten!T355="Ja",1,0),"")</f>
        <v/>
      </c>
      <c r="M350" s="1" t="str">
        <f>IF(AND(Programme_Grunddaten!$A355="Geprüft",Programme_Grunddaten!U355&lt;&gt;""),IF(Programme_Grunddaten!U355="Ja",1,0),"")</f>
        <v/>
      </c>
      <c r="N350" s="1" t="str">
        <f>IF(AND(Programme_Grunddaten!$A355="Geprüft",Programme_Grunddaten!V355&lt;&gt;""),IF(Programme_Grunddaten!V355="Ja",1,0),"")</f>
        <v/>
      </c>
      <c r="O350" s="1" t="str">
        <f>IF(AND(Programme_Grunddaten!$A355="Geprüft",Programme_Grunddaten!W355&lt;&gt;""),IF(Programme_Grunddaten!W355="Ja",1,0),"")</f>
        <v/>
      </c>
      <c r="P350" s="1" t="str">
        <f>IF(AND(Programme_Grunddaten!$A355="Geprüft",Programme_Grunddaten!X355&lt;&gt;""),IF(Programme_Grunddaten!X355="Ja",1,0),"")</f>
        <v/>
      </c>
      <c r="Q350" s="1" t="str">
        <f>IF(AND(Programme_Grunddaten!$A355="Geprüft",Programme_Grunddaten!Y355&lt;&gt;""),IF(Programme_Grunddaten!Y355="Ja",1,0),"")</f>
        <v/>
      </c>
      <c r="R350" s="1" t="str">
        <f>IF(AND(Programme_Grunddaten!$A355="Geprüft",Programme_Grunddaten!Z355&lt;&gt;""),IF(Programme_Grunddaten!Z355="Ja",1,0),"")</f>
        <v/>
      </c>
      <c r="S350" s="1" t="str">
        <f>IF(AND(Programme_Grunddaten!$A355="Geprüft",Programme_Grunddaten!AA355&lt;&gt;""),IF(Programme_Grunddaten!AA355="monolithisch",1,0),"")</f>
        <v/>
      </c>
      <c r="T350" s="1" t="str">
        <f>IF(AND(Programme_Grunddaten!$A355="Geprüft",Programme_Grunddaten!AB355&lt;&gt;""),IF(Programme_Grunddaten!AB355="Ja",1,0),"")</f>
        <v/>
      </c>
      <c r="U350" s="1" t="str">
        <f>IF(AND(Programme_Grunddaten!$A355="Geprüft",Programme_Grunddaten!AC355&lt;&gt;""),IF(Programme_Grunddaten!AC355="Ja",1,0),"")</f>
        <v/>
      </c>
      <c r="V350" s="1" t="str">
        <f>IF(AND(Programme_Grunddaten!$A355="Geprüft",Programme_Grunddaten!AD355&lt;&gt;""),IF(Programme_Grunddaten!AD355="Ja",1,0),"")</f>
        <v/>
      </c>
      <c r="W350" s="1" t="str">
        <f>IF(AND(Programme_Grunddaten!$A355="Geprüft",Programme_Grunddaten!AE355&lt;&gt;""),IF(Programme_Grunddaten!AE355="Ja",1,0),"")</f>
        <v/>
      </c>
      <c r="X350" s="1" t="str">
        <f>IF(AND(Programme_Grunddaten!$A355="Geprüft",Programme_Grunddaten!AF355&lt;&gt;""),IF(Programme_Grunddaten!AF355="Ja",1,0),"")</f>
        <v/>
      </c>
      <c r="Y350" s="1" t="str">
        <f>IF(AND(Programme_Grunddaten!$A355="Geprüft",Programme_Grunddaten!AG355&lt;&gt;""),IF(Programme_Grunddaten!AG355="Ja",1,0),"")</f>
        <v/>
      </c>
      <c r="Z350" s="1" t="str">
        <f>IF(AND(Programme_Grunddaten!$A355="Geprüft",Programme_Grunddaten!AH355&lt;&gt;""),IF(Programme_Grunddaten!AH355="Ja",1,0),"")</f>
        <v/>
      </c>
      <c r="AA350" s="1" t="str">
        <f>IF(AND(Programme_Grunddaten!$A355="Geprüft",Programme_Grunddaten!AI355&lt;&gt;""),IF(Programme_Grunddaten!AI355="Ja",1,0),"")</f>
        <v/>
      </c>
      <c r="AB350" s="1" t="str">
        <f>IF(AND(Programme_Grunddaten!$A355="Geprüft",Programme_Grunddaten!AJ355&lt;&gt;""),IF(Programme_Grunddaten!AJ355="individuell programmierbar",1,0),"")</f>
        <v/>
      </c>
      <c r="AC350" s="1" t="str">
        <f>IF(AND(Programme_Grunddaten!$A355="Geprüft",Programme_Grunddaten!AK355&lt;&gt;""),IF(Programme_Grunddaten!AK355="Deutsch",0,IF(Programme_Grunddaten!AK355="Deutsch und Englisch",1,2)),"")</f>
        <v/>
      </c>
      <c r="AD350" s="1" t="str">
        <f>IF(AND(Programme_Grunddaten!$A355="Geprüft",Programme_Grunddaten!AL355&lt;&gt;""),IF(Programme_Grunddaten!AL355="Ja",1,0),"")</f>
        <v/>
      </c>
      <c r="AE350" s="1" t="str">
        <f>IF(AND(Programme_Grunddaten!$A355="Geprüft",Programme_Grunddaten!AM355&lt;&gt;""),IF(Programme_Grunddaten!AM355="Ja",1,0),"")</f>
        <v/>
      </c>
      <c r="AF350" s="1" t="str">
        <f>IF(AND(Programme_Grunddaten!$A355="Geprüft",Programme_Grunddaten!AN355&lt;&gt;""),IF(Programme_Grunddaten!AN355="Ja",1,0),"")</f>
        <v/>
      </c>
      <c r="AG350" s="1" t="str">
        <f>IF(AND(Programme_Grunddaten!$A355="Geprüft",Programme_Grunddaten!AO355&lt;&gt;""),IF(Programme_Grunddaten!AO355="Ja",1,0),"")</f>
        <v/>
      </c>
      <c r="AH350" s="1" t="str">
        <f>IF(AND(Programme_Grunddaten!$A355="Geprüft",Programme_Grunddaten!AP355&lt;&gt;""),IF(Programme_Grunddaten!AP355="Ja",1,0),"")</f>
        <v/>
      </c>
      <c r="AI350" s="1" t="str">
        <f>IF(AND(Programme_Grunddaten!$A355="Geprüft",Programme_Grunddaten!AQ355&lt;&gt;""),IF(Programme_Grunddaten!AQ355="Ja",1,0),"")</f>
        <v/>
      </c>
      <c r="AJ350" s="1" t="str">
        <f>IF(AND(Programme_Grunddaten!$A355="Geprüft",Programme_Grunddaten!AR355&lt;&gt;""),IF(Programme_Grunddaten!AR355="Ja",1,0),"")</f>
        <v/>
      </c>
      <c r="AK350" s="1" t="str">
        <f>IF(AND(Programme_Grunddaten!$A355="Geprüft",Programme_Grunddaten!AS355&lt;&gt;""),IF(Programme_Grunddaten!AS355="Ja",1,0),"")</f>
        <v/>
      </c>
      <c r="AL350" s="1" t="str">
        <f>IF(AND(Programme_Grunddaten!$A355="Geprüft",Programme_Grunddaten!AT355&lt;&gt;""),IF(Programme_Grunddaten!AT355="Ja",1,0),"")</f>
        <v/>
      </c>
      <c r="AM350" s="1" t="str">
        <f>IF(AND(Programme_Grunddaten!$A355="Geprüft",Programme_Grunddaten!AU355&lt;&gt;""),IF(Programme_Grunddaten!AU355="Ja",1,0),"")</f>
        <v/>
      </c>
      <c r="AN350" s="1" t="str">
        <f>IF(AND(Programme_Grunddaten!$A355="Geprüft",Programme_Grunddaten!AV355&lt;&gt;""),IF(Programme_Grunddaten!AV355="Ja",1,0),"")</f>
        <v/>
      </c>
    </row>
    <row r="351" spans="1:40" x14ac:dyDescent="0.3">
      <c r="A351" s="1" t="str">
        <f>IF(AND(Programme_Grunddaten!A356="Geprüft",Programme_Grunddaten!B356&lt;&gt;""),Programme_Grunddaten!B356,"")</f>
        <v/>
      </c>
      <c r="B351" s="1" t="str">
        <f>IF(AND(Programme_Grunddaten!$A356="Geprüft",Programme_Grunddaten!I356&lt;&gt;""),IF(Programme_Grunddaten!I356="Ja",1,0),"")</f>
        <v/>
      </c>
      <c r="C351" s="1" t="str">
        <f>IF(AND(Programme_Grunddaten!$A356="Geprüft",Programme_Grunddaten!J356&lt;&gt;""),IF(Programme_Grunddaten!J356="Ja",1,0),"")</f>
        <v/>
      </c>
      <c r="D351" s="1" t="str">
        <f>IF(AND(Programme_Grunddaten!$A356="Geprüft",Programme_Grunddaten!K356&lt;&gt;""),IF(Programme_Grunddaten!K356="Ja",1,0),"")</f>
        <v/>
      </c>
      <c r="E351" s="1" t="str">
        <f>IF(AND(Programme_Grunddaten!$A356="Geprüft",Programme_Grunddaten!L356&lt;&gt;""),IF(Programme_Grunddaten!L356="Abo / befristete Lizenz",1,0),"")</f>
        <v/>
      </c>
      <c r="F351" s="1" t="str">
        <f>IF(AND(Programme_Grunddaten!$A356="Geprüft",Programme_Grunddaten!M356&lt;&gt;""),IF(Programme_Grunddaten!M356="Ja",1,0),"")</f>
        <v/>
      </c>
      <c r="G351" s="1" t="str">
        <f>IF(AND(Programme_Grunddaten!$A356="Geprüft",Programme_Grunddaten!N356&lt;&gt;""),IF(Programme_Grunddaten!N356="Ja",1,0),"")</f>
        <v/>
      </c>
      <c r="H351" s="1" t="str">
        <f>IF(AND(Programme_Grunddaten!$A356="Geprüft",Programme_Grunddaten!O356&lt;&gt;""),IF(Programme_Grunddaten!O356="Deutschland",0,IF(Programme_Grunddaten!O356="EU",1,2)),"")</f>
        <v/>
      </c>
      <c r="I351" s="1" t="str">
        <f>IF(AND(Programme_Grunddaten!$A356="Geprüft",Programme_Grunddaten!P356&lt;&gt;""),IF(Programme_Grunddaten!P356="Ja",1,0),"")</f>
        <v/>
      </c>
      <c r="J351" s="1" t="str">
        <f>IF(AND(Programme_Grunddaten!$A356="Geprüft",Programme_Grunddaten!Q356&lt;&gt;""),IF(Programme_Grunddaten!Q356="geschlossenes System",1,0),"")</f>
        <v/>
      </c>
      <c r="K351" s="1" t="str">
        <f>IF(AND(Programme_Grunddaten!$A356="Geprüft",Programme_Grunddaten!R356&lt;&gt;""),IF(Programme_Grunddaten!R356="Ja",1,0),"")</f>
        <v/>
      </c>
      <c r="L351" s="1" t="str">
        <f>IF(AND(Programme_Grunddaten!$A356="Geprüft",Programme_Grunddaten!T356&lt;&gt;""),IF(Programme_Grunddaten!T356="Ja",1,0),"")</f>
        <v/>
      </c>
      <c r="M351" s="1" t="str">
        <f>IF(AND(Programme_Grunddaten!$A356="Geprüft",Programme_Grunddaten!U356&lt;&gt;""),IF(Programme_Grunddaten!U356="Ja",1,0),"")</f>
        <v/>
      </c>
      <c r="N351" s="1" t="str">
        <f>IF(AND(Programme_Grunddaten!$A356="Geprüft",Programme_Grunddaten!V356&lt;&gt;""),IF(Programme_Grunddaten!V356="Ja",1,0),"")</f>
        <v/>
      </c>
      <c r="O351" s="1" t="str">
        <f>IF(AND(Programme_Grunddaten!$A356="Geprüft",Programme_Grunddaten!W356&lt;&gt;""),IF(Programme_Grunddaten!W356="Ja",1,0),"")</f>
        <v/>
      </c>
      <c r="P351" s="1" t="str">
        <f>IF(AND(Programme_Grunddaten!$A356="Geprüft",Programme_Grunddaten!X356&lt;&gt;""),IF(Programme_Grunddaten!X356="Ja",1,0),"")</f>
        <v/>
      </c>
      <c r="Q351" s="1" t="str">
        <f>IF(AND(Programme_Grunddaten!$A356="Geprüft",Programme_Grunddaten!Y356&lt;&gt;""),IF(Programme_Grunddaten!Y356="Ja",1,0),"")</f>
        <v/>
      </c>
      <c r="R351" s="1" t="str">
        <f>IF(AND(Programme_Grunddaten!$A356="Geprüft",Programme_Grunddaten!Z356&lt;&gt;""),IF(Programme_Grunddaten!Z356="Ja",1,0),"")</f>
        <v/>
      </c>
      <c r="S351" s="1" t="str">
        <f>IF(AND(Programme_Grunddaten!$A356="Geprüft",Programme_Grunddaten!AA356&lt;&gt;""),IF(Programme_Grunddaten!AA356="monolithisch",1,0),"")</f>
        <v/>
      </c>
      <c r="T351" s="1" t="str">
        <f>IF(AND(Programme_Grunddaten!$A356="Geprüft",Programme_Grunddaten!AB356&lt;&gt;""),IF(Programme_Grunddaten!AB356="Ja",1,0),"")</f>
        <v/>
      </c>
      <c r="U351" s="1" t="str">
        <f>IF(AND(Programme_Grunddaten!$A356="Geprüft",Programme_Grunddaten!AC356&lt;&gt;""),IF(Programme_Grunddaten!AC356="Ja",1,0),"")</f>
        <v/>
      </c>
      <c r="V351" s="1" t="str">
        <f>IF(AND(Programme_Grunddaten!$A356="Geprüft",Programme_Grunddaten!AD356&lt;&gt;""),IF(Programme_Grunddaten!AD356="Ja",1,0),"")</f>
        <v/>
      </c>
      <c r="W351" s="1" t="str">
        <f>IF(AND(Programme_Grunddaten!$A356="Geprüft",Programme_Grunddaten!AE356&lt;&gt;""),IF(Programme_Grunddaten!AE356="Ja",1,0),"")</f>
        <v/>
      </c>
      <c r="X351" s="1" t="str">
        <f>IF(AND(Programme_Grunddaten!$A356="Geprüft",Programme_Grunddaten!AF356&lt;&gt;""),IF(Programme_Grunddaten!AF356="Ja",1,0),"")</f>
        <v/>
      </c>
      <c r="Y351" s="1" t="str">
        <f>IF(AND(Programme_Grunddaten!$A356="Geprüft",Programme_Grunddaten!AG356&lt;&gt;""),IF(Programme_Grunddaten!AG356="Ja",1,0),"")</f>
        <v/>
      </c>
      <c r="Z351" s="1" t="str">
        <f>IF(AND(Programme_Grunddaten!$A356="Geprüft",Programme_Grunddaten!AH356&lt;&gt;""),IF(Programme_Grunddaten!AH356="Ja",1,0),"")</f>
        <v/>
      </c>
      <c r="AA351" s="1" t="str">
        <f>IF(AND(Programme_Grunddaten!$A356="Geprüft",Programme_Grunddaten!AI356&lt;&gt;""),IF(Programme_Grunddaten!AI356="Ja",1,0),"")</f>
        <v/>
      </c>
      <c r="AB351" s="1" t="str">
        <f>IF(AND(Programme_Grunddaten!$A356="Geprüft",Programme_Grunddaten!AJ356&lt;&gt;""),IF(Programme_Grunddaten!AJ356="individuell programmierbar",1,0),"")</f>
        <v/>
      </c>
      <c r="AC351" s="1" t="str">
        <f>IF(AND(Programme_Grunddaten!$A356="Geprüft",Programme_Grunddaten!AK356&lt;&gt;""),IF(Programme_Grunddaten!AK356="Deutsch",0,IF(Programme_Grunddaten!AK356="Deutsch und Englisch",1,2)),"")</f>
        <v/>
      </c>
      <c r="AD351" s="1" t="str">
        <f>IF(AND(Programme_Grunddaten!$A356="Geprüft",Programme_Grunddaten!AL356&lt;&gt;""),IF(Programme_Grunddaten!AL356="Ja",1,0),"")</f>
        <v/>
      </c>
      <c r="AE351" s="1" t="str">
        <f>IF(AND(Programme_Grunddaten!$A356="Geprüft",Programme_Grunddaten!AM356&lt;&gt;""),IF(Programme_Grunddaten!AM356="Ja",1,0),"")</f>
        <v/>
      </c>
      <c r="AF351" s="1" t="str">
        <f>IF(AND(Programme_Grunddaten!$A356="Geprüft",Programme_Grunddaten!AN356&lt;&gt;""),IF(Programme_Grunddaten!AN356="Ja",1,0),"")</f>
        <v/>
      </c>
      <c r="AG351" s="1" t="str">
        <f>IF(AND(Programme_Grunddaten!$A356="Geprüft",Programme_Grunddaten!AO356&lt;&gt;""),IF(Programme_Grunddaten!AO356="Ja",1,0),"")</f>
        <v/>
      </c>
      <c r="AH351" s="1" t="str">
        <f>IF(AND(Programme_Grunddaten!$A356="Geprüft",Programme_Grunddaten!AP356&lt;&gt;""),IF(Programme_Grunddaten!AP356="Ja",1,0),"")</f>
        <v/>
      </c>
      <c r="AI351" s="1" t="str">
        <f>IF(AND(Programme_Grunddaten!$A356="Geprüft",Programme_Grunddaten!AQ356&lt;&gt;""),IF(Programme_Grunddaten!AQ356="Ja",1,0),"")</f>
        <v/>
      </c>
      <c r="AJ351" s="1" t="str">
        <f>IF(AND(Programme_Grunddaten!$A356="Geprüft",Programme_Grunddaten!AR356&lt;&gt;""),IF(Programme_Grunddaten!AR356="Ja",1,0),"")</f>
        <v/>
      </c>
      <c r="AK351" s="1" t="str">
        <f>IF(AND(Programme_Grunddaten!$A356="Geprüft",Programme_Grunddaten!AS356&lt;&gt;""),IF(Programme_Grunddaten!AS356="Ja",1,0),"")</f>
        <v/>
      </c>
      <c r="AL351" s="1" t="str">
        <f>IF(AND(Programme_Grunddaten!$A356="Geprüft",Programme_Grunddaten!AT356&lt;&gt;""),IF(Programme_Grunddaten!AT356="Ja",1,0),"")</f>
        <v/>
      </c>
      <c r="AM351" s="1" t="str">
        <f>IF(AND(Programme_Grunddaten!$A356="Geprüft",Programme_Grunddaten!AU356&lt;&gt;""),IF(Programme_Grunddaten!AU356="Ja",1,0),"")</f>
        <v/>
      </c>
      <c r="AN351" s="1" t="str">
        <f>IF(AND(Programme_Grunddaten!$A356="Geprüft",Programme_Grunddaten!AV356&lt;&gt;""),IF(Programme_Grunddaten!AV356="Ja",1,0),"")</f>
        <v/>
      </c>
    </row>
    <row r="352" spans="1:40" x14ac:dyDescent="0.3">
      <c r="A352" s="1" t="str">
        <f>IF(AND(Programme_Grunddaten!A357="Geprüft",Programme_Grunddaten!B357&lt;&gt;""),Programme_Grunddaten!B357,"")</f>
        <v/>
      </c>
      <c r="B352" s="1" t="str">
        <f>IF(AND(Programme_Grunddaten!$A357="Geprüft",Programme_Grunddaten!I357&lt;&gt;""),IF(Programme_Grunddaten!I357="Ja",1,0),"")</f>
        <v/>
      </c>
      <c r="C352" s="1" t="str">
        <f>IF(AND(Programme_Grunddaten!$A357="Geprüft",Programme_Grunddaten!J357&lt;&gt;""),IF(Programme_Grunddaten!J357="Ja",1,0),"")</f>
        <v/>
      </c>
      <c r="D352" s="1" t="str">
        <f>IF(AND(Programme_Grunddaten!$A357="Geprüft",Programme_Grunddaten!K357&lt;&gt;""),IF(Programme_Grunddaten!K357="Ja",1,0),"")</f>
        <v/>
      </c>
      <c r="E352" s="1" t="str">
        <f>IF(AND(Programme_Grunddaten!$A357="Geprüft",Programme_Grunddaten!L357&lt;&gt;""),IF(Programme_Grunddaten!L357="Abo / befristete Lizenz",1,0),"")</f>
        <v/>
      </c>
      <c r="F352" s="1" t="str">
        <f>IF(AND(Programme_Grunddaten!$A357="Geprüft",Programme_Grunddaten!M357&lt;&gt;""),IF(Programme_Grunddaten!M357="Ja",1,0),"")</f>
        <v/>
      </c>
      <c r="G352" s="1" t="str">
        <f>IF(AND(Programme_Grunddaten!$A357="Geprüft",Programme_Grunddaten!N357&lt;&gt;""),IF(Programme_Grunddaten!N357="Ja",1,0),"")</f>
        <v/>
      </c>
      <c r="H352" s="1" t="str">
        <f>IF(AND(Programme_Grunddaten!$A357="Geprüft",Programme_Grunddaten!O357&lt;&gt;""),IF(Programme_Grunddaten!O357="Deutschland",0,IF(Programme_Grunddaten!O357="EU",1,2)),"")</f>
        <v/>
      </c>
      <c r="I352" s="1" t="str">
        <f>IF(AND(Programme_Grunddaten!$A357="Geprüft",Programme_Grunddaten!P357&lt;&gt;""),IF(Programme_Grunddaten!P357="Ja",1,0),"")</f>
        <v/>
      </c>
      <c r="J352" s="1" t="str">
        <f>IF(AND(Programme_Grunddaten!$A357="Geprüft",Programme_Grunddaten!Q357&lt;&gt;""),IF(Programme_Grunddaten!Q357="geschlossenes System",1,0),"")</f>
        <v/>
      </c>
      <c r="K352" s="1" t="str">
        <f>IF(AND(Programme_Grunddaten!$A357="Geprüft",Programme_Grunddaten!R357&lt;&gt;""),IF(Programme_Grunddaten!R357="Ja",1,0),"")</f>
        <v/>
      </c>
      <c r="L352" s="1" t="str">
        <f>IF(AND(Programme_Grunddaten!$A357="Geprüft",Programme_Grunddaten!T357&lt;&gt;""),IF(Programme_Grunddaten!T357="Ja",1,0),"")</f>
        <v/>
      </c>
      <c r="M352" s="1" t="str">
        <f>IF(AND(Programme_Grunddaten!$A357="Geprüft",Programme_Grunddaten!U357&lt;&gt;""),IF(Programme_Grunddaten!U357="Ja",1,0),"")</f>
        <v/>
      </c>
      <c r="N352" s="1" t="str">
        <f>IF(AND(Programme_Grunddaten!$A357="Geprüft",Programme_Grunddaten!V357&lt;&gt;""),IF(Programme_Grunddaten!V357="Ja",1,0),"")</f>
        <v/>
      </c>
      <c r="O352" s="1" t="str">
        <f>IF(AND(Programme_Grunddaten!$A357="Geprüft",Programme_Grunddaten!W357&lt;&gt;""),IF(Programme_Grunddaten!W357="Ja",1,0),"")</f>
        <v/>
      </c>
      <c r="P352" s="1" t="str">
        <f>IF(AND(Programme_Grunddaten!$A357="Geprüft",Programme_Grunddaten!X357&lt;&gt;""),IF(Programme_Grunddaten!X357="Ja",1,0),"")</f>
        <v/>
      </c>
      <c r="Q352" s="1" t="str">
        <f>IF(AND(Programme_Grunddaten!$A357="Geprüft",Programme_Grunddaten!Y357&lt;&gt;""),IF(Programme_Grunddaten!Y357="Ja",1,0),"")</f>
        <v/>
      </c>
      <c r="R352" s="1" t="str">
        <f>IF(AND(Programme_Grunddaten!$A357="Geprüft",Programme_Grunddaten!Z357&lt;&gt;""),IF(Programme_Grunddaten!Z357="Ja",1,0),"")</f>
        <v/>
      </c>
      <c r="S352" s="1" t="str">
        <f>IF(AND(Programme_Grunddaten!$A357="Geprüft",Programme_Grunddaten!AA357&lt;&gt;""),IF(Programme_Grunddaten!AA357="monolithisch",1,0),"")</f>
        <v/>
      </c>
      <c r="T352" s="1" t="str">
        <f>IF(AND(Programme_Grunddaten!$A357="Geprüft",Programme_Grunddaten!AB357&lt;&gt;""),IF(Programme_Grunddaten!AB357="Ja",1,0),"")</f>
        <v/>
      </c>
      <c r="U352" s="1" t="str">
        <f>IF(AND(Programme_Grunddaten!$A357="Geprüft",Programme_Grunddaten!AC357&lt;&gt;""),IF(Programme_Grunddaten!AC357="Ja",1,0),"")</f>
        <v/>
      </c>
      <c r="V352" s="1" t="str">
        <f>IF(AND(Programme_Grunddaten!$A357="Geprüft",Programme_Grunddaten!AD357&lt;&gt;""),IF(Programme_Grunddaten!AD357="Ja",1,0),"")</f>
        <v/>
      </c>
      <c r="W352" s="1" t="str">
        <f>IF(AND(Programme_Grunddaten!$A357="Geprüft",Programme_Grunddaten!AE357&lt;&gt;""),IF(Programme_Grunddaten!AE357="Ja",1,0),"")</f>
        <v/>
      </c>
      <c r="X352" s="1" t="str">
        <f>IF(AND(Programme_Grunddaten!$A357="Geprüft",Programme_Grunddaten!AF357&lt;&gt;""),IF(Programme_Grunddaten!AF357="Ja",1,0),"")</f>
        <v/>
      </c>
      <c r="Y352" s="1" t="str">
        <f>IF(AND(Programme_Grunddaten!$A357="Geprüft",Programme_Grunddaten!AG357&lt;&gt;""),IF(Programme_Grunddaten!AG357="Ja",1,0),"")</f>
        <v/>
      </c>
      <c r="Z352" s="1" t="str">
        <f>IF(AND(Programme_Grunddaten!$A357="Geprüft",Programme_Grunddaten!AH357&lt;&gt;""),IF(Programme_Grunddaten!AH357="Ja",1,0),"")</f>
        <v/>
      </c>
      <c r="AA352" s="1" t="str">
        <f>IF(AND(Programme_Grunddaten!$A357="Geprüft",Programme_Grunddaten!AI357&lt;&gt;""),IF(Programme_Grunddaten!AI357="Ja",1,0),"")</f>
        <v/>
      </c>
      <c r="AB352" s="1" t="str">
        <f>IF(AND(Programme_Grunddaten!$A357="Geprüft",Programme_Grunddaten!AJ357&lt;&gt;""),IF(Programme_Grunddaten!AJ357="individuell programmierbar",1,0),"")</f>
        <v/>
      </c>
      <c r="AC352" s="1" t="str">
        <f>IF(AND(Programme_Grunddaten!$A357="Geprüft",Programme_Grunddaten!AK357&lt;&gt;""),IF(Programme_Grunddaten!AK357="Deutsch",0,IF(Programme_Grunddaten!AK357="Deutsch und Englisch",1,2)),"")</f>
        <v/>
      </c>
      <c r="AD352" s="1" t="str">
        <f>IF(AND(Programme_Grunddaten!$A357="Geprüft",Programme_Grunddaten!AL357&lt;&gt;""),IF(Programme_Grunddaten!AL357="Ja",1,0),"")</f>
        <v/>
      </c>
      <c r="AE352" s="1" t="str">
        <f>IF(AND(Programme_Grunddaten!$A357="Geprüft",Programme_Grunddaten!AM357&lt;&gt;""),IF(Programme_Grunddaten!AM357="Ja",1,0),"")</f>
        <v/>
      </c>
      <c r="AF352" s="1" t="str">
        <f>IF(AND(Programme_Grunddaten!$A357="Geprüft",Programme_Grunddaten!AN357&lt;&gt;""),IF(Programme_Grunddaten!AN357="Ja",1,0),"")</f>
        <v/>
      </c>
      <c r="AG352" s="1" t="str">
        <f>IF(AND(Programme_Grunddaten!$A357="Geprüft",Programme_Grunddaten!AO357&lt;&gt;""),IF(Programme_Grunddaten!AO357="Ja",1,0),"")</f>
        <v/>
      </c>
      <c r="AH352" s="1" t="str">
        <f>IF(AND(Programme_Grunddaten!$A357="Geprüft",Programme_Grunddaten!AP357&lt;&gt;""),IF(Programme_Grunddaten!AP357="Ja",1,0),"")</f>
        <v/>
      </c>
      <c r="AI352" s="1" t="str">
        <f>IF(AND(Programme_Grunddaten!$A357="Geprüft",Programme_Grunddaten!AQ357&lt;&gt;""),IF(Programme_Grunddaten!AQ357="Ja",1,0),"")</f>
        <v/>
      </c>
      <c r="AJ352" s="1" t="str">
        <f>IF(AND(Programme_Grunddaten!$A357="Geprüft",Programme_Grunddaten!AR357&lt;&gt;""),IF(Programme_Grunddaten!AR357="Ja",1,0),"")</f>
        <v/>
      </c>
      <c r="AK352" s="1" t="str">
        <f>IF(AND(Programme_Grunddaten!$A357="Geprüft",Programme_Grunddaten!AS357&lt;&gt;""),IF(Programme_Grunddaten!AS357="Ja",1,0),"")</f>
        <v/>
      </c>
      <c r="AL352" s="1" t="str">
        <f>IF(AND(Programme_Grunddaten!$A357="Geprüft",Programme_Grunddaten!AT357&lt;&gt;""),IF(Programme_Grunddaten!AT357="Ja",1,0),"")</f>
        <v/>
      </c>
      <c r="AM352" s="1" t="str">
        <f>IF(AND(Programme_Grunddaten!$A357="Geprüft",Programme_Grunddaten!AU357&lt;&gt;""),IF(Programme_Grunddaten!AU357="Ja",1,0),"")</f>
        <v/>
      </c>
      <c r="AN352" s="1" t="str">
        <f>IF(AND(Programme_Grunddaten!$A357="Geprüft",Programme_Grunddaten!AV357&lt;&gt;""),IF(Programme_Grunddaten!AV357="Ja",1,0),"")</f>
        <v/>
      </c>
    </row>
    <row r="353" spans="1:40" x14ac:dyDescent="0.3">
      <c r="A353" s="1" t="str">
        <f>IF(AND(Programme_Grunddaten!A358="Geprüft",Programme_Grunddaten!B358&lt;&gt;""),Programme_Grunddaten!B358,"")</f>
        <v/>
      </c>
      <c r="B353" s="1" t="str">
        <f>IF(AND(Programme_Grunddaten!$A358="Geprüft",Programme_Grunddaten!I358&lt;&gt;""),IF(Programme_Grunddaten!I358="Ja",1,0),"")</f>
        <v/>
      </c>
      <c r="C353" s="1" t="str">
        <f>IF(AND(Programme_Grunddaten!$A358="Geprüft",Programme_Grunddaten!J358&lt;&gt;""),IF(Programme_Grunddaten!J358="Ja",1,0),"")</f>
        <v/>
      </c>
      <c r="D353" s="1" t="str">
        <f>IF(AND(Programme_Grunddaten!$A358="Geprüft",Programme_Grunddaten!K358&lt;&gt;""),IF(Programme_Grunddaten!K358="Ja",1,0),"")</f>
        <v/>
      </c>
      <c r="E353" s="1" t="str">
        <f>IF(AND(Programme_Grunddaten!$A358="Geprüft",Programme_Grunddaten!L358&lt;&gt;""),IF(Programme_Grunddaten!L358="Abo / befristete Lizenz",1,0),"")</f>
        <v/>
      </c>
      <c r="F353" s="1" t="str">
        <f>IF(AND(Programme_Grunddaten!$A358="Geprüft",Programme_Grunddaten!M358&lt;&gt;""),IF(Programme_Grunddaten!M358="Ja",1,0),"")</f>
        <v/>
      </c>
      <c r="G353" s="1" t="str">
        <f>IF(AND(Programme_Grunddaten!$A358="Geprüft",Programme_Grunddaten!N358&lt;&gt;""),IF(Programme_Grunddaten!N358="Ja",1,0),"")</f>
        <v/>
      </c>
      <c r="H353" s="1" t="str">
        <f>IF(AND(Programme_Grunddaten!$A358="Geprüft",Programme_Grunddaten!O358&lt;&gt;""),IF(Programme_Grunddaten!O358="Deutschland",0,IF(Programme_Grunddaten!O358="EU",1,2)),"")</f>
        <v/>
      </c>
      <c r="I353" s="1" t="str">
        <f>IF(AND(Programme_Grunddaten!$A358="Geprüft",Programme_Grunddaten!P358&lt;&gt;""),IF(Programme_Grunddaten!P358="Ja",1,0),"")</f>
        <v/>
      </c>
      <c r="J353" s="1" t="str">
        <f>IF(AND(Programme_Grunddaten!$A358="Geprüft",Programme_Grunddaten!Q358&lt;&gt;""),IF(Programme_Grunddaten!Q358="geschlossenes System",1,0),"")</f>
        <v/>
      </c>
      <c r="K353" s="1" t="str">
        <f>IF(AND(Programme_Grunddaten!$A358="Geprüft",Programme_Grunddaten!R358&lt;&gt;""),IF(Programme_Grunddaten!R358="Ja",1,0),"")</f>
        <v/>
      </c>
      <c r="L353" s="1" t="str">
        <f>IF(AND(Programme_Grunddaten!$A358="Geprüft",Programme_Grunddaten!T358&lt;&gt;""),IF(Programme_Grunddaten!T358="Ja",1,0),"")</f>
        <v/>
      </c>
      <c r="M353" s="1" t="str">
        <f>IF(AND(Programme_Grunddaten!$A358="Geprüft",Programme_Grunddaten!U358&lt;&gt;""),IF(Programme_Grunddaten!U358="Ja",1,0),"")</f>
        <v/>
      </c>
      <c r="N353" s="1" t="str">
        <f>IF(AND(Programme_Grunddaten!$A358="Geprüft",Programme_Grunddaten!V358&lt;&gt;""),IF(Programme_Grunddaten!V358="Ja",1,0),"")</f>
        <v/>
      </c>
      <c r="O353" s="1" t="str">
        <f>IF(AND(Programme_Grunddaten!$A358="Geprüft",Programme_Grunddaten!W358&lt;&gt;""),IF(Programme_Grunddaten!W358="Ja",1,0),"")</f>
        <v/>
      </c>
      <c r="P353" s="1" t="str">
        <f>IF(AND(Programme_Grunddaten!$A358="Geprüft",Programme_Grunddaten!X358&lt;&gt;""),IF(Programme_Grunddaten!X358="Ja",1,0),"")</f>
        <v/>
      </c>
      <c r="Q353" s="1" t="str">
        <f>IF(AND(Programme_Grunddaten!$A358="Geprüft",Programme_Grunddaten!Y358&lt;&gt;""),IF(Programme_Grunddaten!Y358="Ja",1,0),"")</f>
        <v/>
      </c>
      <c r="R353" s="1" t="str">
        <f>IF(AND(Programme_Grunddaten!$A358="Geprüft",Programme_Grunddaten!Z358&lt;&gt;""),IF(Programme_Grunddaten!Z358="Ja",1,0),"")</f>
        <v/>
      </c>
      <c r="S353" s="1" t="str">
        <f>IF(AND(Programme_Grunddaten!$A358="Geprüft",Programme_Grunddaten!AA358&lt;&gt;""),IF(Programme_Grunddaten!AA358="monolithisch",1,0),"")</f>
        <v/>
      </c>
      <c r="T353" s="1" t="str">
        <f>IF(AND(Programme_Grunddaten!$A358="Geprüft",Programme_Grunddaten!AB358&lt;&gt;""),IF(Programme_Grunddaten!AB358="Ja",1,0),"")</f>
        <v/>
      </c>
      <c r="U353" s="1" t="str">
        <f>IF(AND(Programme_Grunddaten!$A358="Geprüft",Programme_Grunddaten!AC358&lt;&gt;""),IF(Programme_Grunddaten!AC358="Ja",1,0),"")</f>
        <v/>
      </c>
      <c r="V353" s="1" t="str">
        <f>IF(AND(Programme_Grunddaten!$A358="Geprüft",Programme_Grunddaten!AD358&lt;&gt;""),IF(Programme_Grunddaten!AD358="Ja",1,0),"")</f>
        <v/>
      </c>
      <c r="W353" s="1" t="str">
        <f>IF(AND(Programme_Grunddaten!$A358="Geprüft",Programme_Grunddaten!AE358&lt;&gt;""),IF(Programme_Grunddaten!AE358="Ja",1,0),"")</f>
        <v/>
      </c>
      <c r="X353" s="1" t="str">
        <f>IF(AND(Programme_Grunddaten!$A358="Geprüft",Programme_Grunddaten!AF358&lt;&gt;""),IF(Programme_Grunddaten!AF358="Ja",1,0),"")</f>
        <v/>
      </c>
      <c r="Y353" s="1" t="str">
        <f>IF(AND(Programme_Grunddaten!$A358="Geprüft",Programme_Grunddaten!AG358&lt;&gt;""),IF(Programme_Grunddaten!AG358="Ja",1,0),"")</f>
        <v/>
      </c>
      <c r="Z353" s="1" t="str">
        <f>IF(AND(Programme_Grunddaten!$A358="Geprüft",Programme_Grunddaten!AH358&lt;&gt;""),IF(Programme_Grunddaten!AH358="Ja",1,0),"")</f>
        <v/>
      </c>
      <c r="AA353" s="1" t="str">
        <f>IF(AND(Programme_Grunddaten!$A358="Geprüft",Programme_Grunddaten!AI358&lt;&gt;""),IF(Programme_Grunddaten!AI358="Ja",1,0),"")</f>
        <v/>
      </c>
      <c r="AB353" s="1" t="str">
        <f>IF(AND(Programme_Grunddaten!$A358="Geprüft",Programme_Grunddaten!AJ358&lt;&gt;""),IF(Programme_Grunddaten!AJ358="individuell programmierbar",1,0),"")</f>
        <v/>
      </c>
      <c r="AC353" s="1" t="str">
        <f>IF(AND(Programme_Grunddaten!$A358="Geprüft",Programme_Grunddaten!AK358&lt;&gt;""),IF(Programme_Grunddaten!AK358="Deutsch",0,IF(Programme_Grunddaten!AK358="Deutsch und Englisch",1,2)),"")</f>
        <v/>
      </c>
      <c r="AD353" s="1" t="str">
        <f>IF(AND(Programme_Grunddaten!$A358="Geprüft",Programme_Grunddaten!AL358&lt;&gt;""),IF(Programme_Grunddaten!AL358="Ja",1,0),"")</f>
        <v/>
      </c>
      <c r="AE353" s="1" t="str">
        <f>IF(AND(Programme_Grunddaten!$A358="Geprüft",Programme_Grunddaten!AM358&lt;&gt;""),IF(Programme_Grunddaten!AM358="Ja",1,0),"")</f>
        <v/>
      </c>
      <c r="AF353" s="1" t="str">
        <f>IF(AND(Programme_Grunddaten!$A358="Geprüft",Programme_Grunddaten!AN358&lt;&gt;""),IF(Programme_Grunddaten!AN358="Ja",1,0),"")</f>
        <v/>
      </c>
      <c r="AG353" s="1" t="str">
        <f>IF(AND(Programme_Grunddaten!$A358="Geprüft",Programme_Grunddaten!AO358&lt;&gt;""),IF(Programme_Grunddaten!AO358="Ja",1,0),"")</f>
        <v/>
      </c>
      <c r="AH353" s="1" t="str">
        <f>IF(AND(Programme_Grunddaten!$A358="Geprüft",Programme_Grunddaten!AP358&lt;&gt;""),IF(Programme_Grunddaten!AP358="Ja",1,0),"")</f>
        <v/>
      </c>
      <c r="AI353" s="1" t="str">
        <f>IF(AND(Programme_Grunddaten!$A358="Geprüft",Programme_Grunddaten!AQ358&lt;&gt;""),IF(Programme_Grunddaten!AQ358="Ja",1,0),"")</f>
        <v/>
      </c>
      <c r="AJ353" s="1" t="str">
        <f>IF(AND(Programme_Grunddaten!$A358="Geprüft",Programme_Grunddaten!AR358&lt;&gt;""),IF(Programme_Grunddaten!AR358="Ja",1,0),"")</f>
        <v/>
      </c>
      <c r="AK353" s="1" t="str">
        <f>IF(AND(Programme_Grunddaten!$A358="Geprüft",Programme_Grunddaten!AS358&lt;&gt;""),IF(Programme_Grunddaten!AS358="Ja",1,0),"")</f>
        <v/>
      </c>
      <c r="AL353" s="1" t="str">
        <f>IF(AND(Programme_Grunddaten!$A358="Geprüft",Programme_Grunddaten!AT358&lt;&gt;""),IF(Programme_Grunddaten!AT358="Ja",1,0),"")</f>
        <v/>
      </c>
      <c r="AM353" s="1" t="str">
        <f>IF(AND(Programme_Grunddaten!$A358="Geprüft",Programme_Grunddaten!AU358&lt;&gt;""),IF(Programme_Grunddaten!AU358="Ja",1,0),"")</f>
        <v/>
      </c>
      <c r="AN353" s="1" t="str">
        <f>IF(AND(Programme_Grunddaten!$A358="Geprüft",Programme_Grunddaten!AV358&lt;&gt;""),IF(Programme_Grunddaten!AV358="Ja",1,0),"")</f>
        <v/>
      </c>
    </row>
    <row r="354" spans="1:40" x14ac:dyDescent="0.3">
      <c r="A354" s="1" t="str">
        <f>IF(AND(Programme_Grunddaten!A359="Geprüft",Programme_Grunddaten!B359&lt;&gt;""),Programme_Grunddaten!B359,"")</f>
        <v/>
      </c>
      <c r="B354" s="1" t="str">
        <f>IF(AND(Programme_Grunddaten!$A359="Geprüft",Programme_Grunddaten!I359&lt;&gt;""),IF(Programme_Grunddaten!I359="Ja",1,0),"")</f>
        <v/>
      </c>
      <c r="C354" s="1" t="str">
        <f>IF(AND(Programme_Grunddaten!$A359="Geprüft",Programme_Grunddaten!J359&lt;&gt;""),IF(Programme_Grunddaten!J359="Ja",1,0),"")</f>
        <v/>
      </c>
      <c r="D354" s="1" t="str">
        <f>IF(AND(Programme_Grunddaten!$A359="Geprüft",Programme_Grunddaten!K359&lt;&gt;""),IF(Programme_Grunddaten!K359="Ja",1,0),"")</f>
        <v/>
      </c>
      <c r="E354" s="1" t="str">
        <f>IF(AND(Programme_Grunddaten!$A359="Geprüft",Programme_Grunddaten!L359&lt;&gt;""),IF(Programme_Grunddaten!L359="Abo / befristete Lizenz",1,0),"")</f>
        <v/>
      </c>
      <c r="F354" s="1" t="str">
        <f>IF(AND(Programme_Grunddaten!$A359="Geprüft",Programme_Grunddaten!M359&lt;&gt;""),IF(Programme_Grunddaten!M359="Ja",1,0),"")</f>
        <v/>
      </c>
      <c r="G354" s="1" t="str">
        <f>IF(AND(Programme_Grunddaten!$A359="Geprüft",Programme_Grunddaten!N359&lt;&gt;""),IF(Programme_Grunddaten!N359="Ja",1,0),"")</f>
        <v/>
      </c>
      <c r="H354" s="1" t="str">
        <f>IF(AND(Programme_Grunddaten!$A359="Geprüft",Programme_Grunddaten!O359&lt;&gt;""),IF(Programme_Grunddaten!O359="Deutschland",0,IF(Programme_Grunddaten!O359="EU",1,2)),"")</f>
        <v/>
      </c>
      <c r="I354" s="1" t="str">
        <f>IF(AND(Programme_Grunddaten!$A359="Geprüft",Programme_Grunddaten!P359&lt;&gt;""),IF(Programme_Grunddaten!P359="Ja",1,0),"")</f>
        <v/>
      </c>
      <c r="J354" s="1" t="str">
        <f>IF(AND(Programme_Grunddaten!$A359="Geprüft",Programme_Grunddaten!Q359&lt;&gt;""),IF(Programme_Grunddaten!Q359="geschlossenes System",1,0),"")</f>
        <v/>
      </c>
      <c r="K354" s="1" t="str">
        <f>IF(AND(Programme_Grunddaten!$A359="Geprüft",Programme_Grunddaten!R359&lt;&gt;""),IF(Programme_Grunddaten!R359="Ja",1,0),"")</f>
        <v/>
      </c>
      <c r="L354" s="1" t="str">
        <f>IF(AND(Programme_Grunddaten!$A359="Geprüft",Programme_Grunddaten!T359&lt;&gt;""),IF(Programme_Grunddaten!T359="Ja",1,0),"")</f>
        <v/>
      </c>
      <c r="M354" s="1" t="str">
        <f>IF(AND(Programme_Grunddaten!$A359="Geprüft",Programme_Grunddaten!U359&lt;&gt;""),IF(Programme_Grunddaten!U359="Ja",1,0),"")</f>
        <v/>
      </c>
      <c r="N354" s="1" t="str">
        <f>IF(AND(Programme_Grunddaten!$A359="Geprüft",Programme_Grunddaten!V359&lt;&gt;""),IF(Programme_Grunddaten!V359="Ja",1,0),"")</f>
        <v/>
      </c>
      <c r="O354" s="1" t="str">
        <f>IF(AND(Programme_Grunddaten!$A359="Geprüft",Programme_Grunddaten!W359&lt;&gt;""),IF(Programme_Grunddaten!W359="Ja",1,0),"")</f>
        <v/>
      </c>
      <c r="P354" s="1" t="str">
        <f>IF(AND(Programme_Grunddaten!$A359="Geprüft",Programme_Grunddaten!X359&lt;&gt;""),IF(Programme_Grunddaten!X359="Ja",1,0),"")</f>
        <v/>
      </c>
      <c r="Q354" s="1" t="str">
        <f>IF(AND(Programme_Grunddaten!$A359="Geprüft",Programme_Grunddaten!Y359&lt;&gt;""),IF(Programme_Grunddaten!Y359="Ja",1,0),"")</f>
        <v/>
      </c>
      <c r="R354" s="1" t="str">
        <f>IF(AND(Programme_Grunddaten!$A359="Geprüft",Programme_Grunddaten!Z359&lt;&gt;""),IF(Programme_Grunddaten!Z359="Ja",1,0),"")</f>
        <v/>
      </c>
      <c r="S354" s="1" t="str">
        <f>IF(AND(Programme_Grunddaten!$A359="Geprüft",Programme_Grunddaten!AA359&lt;&gt;""),IF(Programme_Grunddaten!AA359="monolithisch",1,0),"")</f>
        <v/>
      </c>
      <c r="T354" s="1" t="str">
        <f>IF(AND(Programme_Grunddaten!$A359="Geprüft",Programme_Grunddaten!AB359&lt;&gt;""),IF(Programme_Grunddaten!AB359="Ja",1,0),"")</f>
        <v/>
      </c>
      <c r="U354" s="1" t="str">
        <f>IF(AND(Programme_Grunddaten!$A359="Geprüft",Programme_Grunddaten!AC359&lt;&gt;""),IF(Programme_Grunddaten!AC359="Ja",1,0),"")</f>
        <v/>
      </c>
      <c r="V354" s="1" t="str">
        <f>IF(AND(Programme_Grunddaten!$A359="Geprüft",Programme_Grunddaten!AD359&lt;&gt;""),IF(Programme_Grunddaten!AD359="Ja",1,0),"")</f>
        <v/>
      </c>
      <c r="W354" s="1" t="str">
        <f>IF(AND(Programme_Grunddaten!$A359="Geprüft",Programme_Grunddaten!AE359&lt;&gt;""),IF(Programme_Grunddaten!AE359="Ja",1,0),"")</f>
        <v/>
      </c>
      <c r="X354" s="1" t="str">
        <f>IF(AND(Programme_Grunddaten!$A359="Geprüft",Programme_Grunddaten!AF359&lt;&gt;""),IF(Programme_Grunddaten!AF359="Ja",1,0),"")</f>
        <v/>
      </c>
      <c r="Y354" s="1" t="str">
        <f>IF(AND(Programme_Grunddaten!$A359="Geprüft",Programme_Grunddaten!AG359&lt;&gt;""),IF(Programme_Grunddaten!AG359="Ja",1,0),"")</f>
        <v/>
      </c>
      <c r="Z354" s="1" t="str">
        <f>IF(AND(Programme_Grunddaten!$A359="Geprüft",Programme_Grunddaten!AH359&lt;&gt;""),IF(Programme_Grunddaten!AH359="Ja",1,0),"")</f>
        <v/>
      </c>
      <c r="AA354" s="1" t="str">
        <f>IF(AND(Programme_Grunddaten!$A359="Geprüft",Programme_Grunddaten!AI359&lt;&gt;""),IF(Programme_Grunddaten!AI359="Ja",1,0),"")</f>
        <v/>
      </c>
      <c r="AB354" s="1" t="str">
        <f>IF(AND(Programme_Grunddaten!$A359="Geprüft",Programme_Grunddaten!AJ359&lt;&gt;""),IF(Programme_Grunddaten!AJ359="individuell programmierbar",1,0),"")</f>
        <v/>
      </c>
      <c r="AC354" s="1" t="str">
        <f>IF(AND(Programme_Grunddaten!$A359="Geprüft",Programme_Grunddaten!AK359&lt;&gt;""),IF(Programme_Grunddaten!AK359="Deutsch",0,IF(Programme_Grunddaten!AK359="Deutsch und Englisch",1,2)),"")</f>
        <v/>
      </c>
      <c r="AD354" s="1" t="str">
        <f>IF(AND(Programme_Grunddaten!$A359="Geprüft",Programme_Grunddaten!AL359&lt;&gt;""),IF(Programme_Grunddaten!AL359="Ja",1,0),"")</f>
        <v/>
      </c>
      <c r="AE354" s="1" t="str">
        <f>IF(AND(Programme_Grunddaten!$A359="Geprüft",Programme_Grunddaten!AM359&lt;&gt;""),IF(Programme_Grunddaten!AM359="Ja",1,0),"")</f>
        <v/>
      </c>
      <c r="AF354" s="1" t="str">
        <f>IF(AND(Programme_Grunddaten!$A359="Geprüft",Programme_Grunddaten!AN359&lt;&gt;""),IF(Programme_Grunddaten!AN359="Ja",1,0),"")</f>
        <v/>
      </c>
      <c r="AG354" s="1" t="str">
        <f>IF(AND(Programme_Grunddaten!$A359="Geprüft",Programme_Grunddaten!AO359&lt;&gt;""),IF(Programme_Grunddaten!AO359="Ja",1,0),"")</f>
        <v/>
      </c>
      <c r="AH354" s="1" t="str">
        <f>IF(AND(Programme_Grunddaten!$A359="Geprüft",Programme_Grunddaten!AP359&lt;&gt;""),IF(Programme_Grunddaten!AP359="Ja",1,0),"")</f>
        <v/>
      </c>
      <c r="AI354" s="1" t="str">
        <f>IF(AND(Programme_Grunddaten!$A359="Geprüft",Programme_Grunddaten!AQ359&lt;&gt;""),IF(Programme_Grunddaten!AQ359="Ja",1,0),"")</f>
        <v/>
      </c>
      <c r="AJ354" s="1" t="str">
        <f>IF(AND(Programme_Grunddaten!$A359="Geprüft",Programme_Grunddaten!AR359&lt;&gt;""),IF(Programme_Grunddaten!AR359="Ja",1,0),"")</f>
        <v/>
      </c>
      <c r="AK354" s="1" t="str">
        <f>IF(AND(Programme_Grunddaten!$A359="Geprüft",Programme_Grunddaten!AS359&lt;&gt;""),IF(Programme_Grunddaten!AS359="Ja",1,0),"")</f>
        <v/>
      </c>
      <c r="AL354" s="1" t="str">
        <f>IF(AND(Programme_Grunddaten!$A359="Geprüft",Programme_Grunddaten!AT359&lt;&gt;""),IF(Programme_Grunddaten!AT359="Ja",1,0),"")</f>
        <v/>
      </c>
      <c r="AM354" s="1" t="str">
        <f>IF(AND(Programme_Grunddaten!$A359="Geprüft",Programme_Grunddaten!AU359&lt;&gt;""),IF(Programme_Grunddaten!AU359="Ja",1,0),"")</f>
        <v/>
      </c>
      <c r="AN354" s="1" t="str">
        <f>IF(AND(Programme_Grunddaten!$A359="Geprüft",Programme_Grunddaten!AV359&lt;&gt;""),IF(Programme_Grunddaten!AV359="Ja",1,0),"")</f>
        <v/>
      </c>
    </row>
    <row r="355" spans="1:40" x14ac:dyDescent="0.3">
      <c r="A355" s="1" t="str">
        <f>IF(AND(Programme_Grunddaten!A360="Geprüft",Programme_Grunddaten!B360&lt;&gt;""),Programme_Grunddaten!B360,"")</f>
        <v/>
      </c>
      <c r="B355" s="1" t="str">
        <f>IF(AND(Programme_Grunddaten!$A360="Geprüft",Programme_Grunddaten!I360&lt;&gt;""),IF(Programme_Grunddaten!I360="Ja",1,0),"")</f>
        <v/>
      </c>
      <c r="C355" s="1" t="str">
        <f>IF(AND(Programme_Grunddaten!$A360="Geprüft",Programme_Grunddaten!J360&lt;&gt;""),IF(Programme_Grunddaten!J360="Ja",1,0),"")</f>
        <v/>
      </c>
      <c r="D355" s="1" t="str">
        <f>IF(AND(Programme_Grunddaten!$A360="Geprüft",Programme_Grunddaten!K360&lt;&gt;""),IF(Programme_Grunddaten!K360="Ja",1,0),"")</f>
        <v/>
      </c>
      <c r="E355" s="1" t="str">
        <f>IF(AND(Programme_Grunddaten!$A360="Geprüft",Programme_Grunddaten!L360&lt;&gt;""),IF(Programme_Grunddaten!L360="Abo / befristete Lizenz",1,0),"")</f>
        <v/>
      </c>
      <c r="F355" s="1" t="str">
        <f>IF(AND(Programme_Grunddaten!$A360="Geprüft",Programme_Grunddaten!M360&lt;&gt;""),IF(Programme_Grunddaten!M360="Ja",1,0),"")</f>
        <v/>
      </c>
      <c r="G355" s="1" t="str">
        <f>IF(AND(Programme_Grunddaten!$A360="Geprüft",Programme_Grunddaten!N360&lt;&gt;""),IF(Programme_Grunddaten!N360="Ja",1,0),"")</f>
        <v/>
      </c>
      <c r="H355" s="1" t="str">
        <f>IF(AND(Programme_Grunddaten!$A360="Geprüft",Programme_Grunddaten!O360&lt;&gt;""),IF(Programme_Grunddaten!O360="Deutschland",0,IF(Programme_Grunddaten!O360="EU",1,2)),"")</f>
        <v/>
      </c>
      <c r="I355" s="1" t="str">
        <f>IF(AND(Programme_Grunddaten!$A360="Geprüft",Programme_Grunddaten!P360&lt;&gt;""),IF(Programme_Grunddaten!P360="Ja",1,0),"")</f>
        <v/>
      </c>
      <c r="J355" s="1" t="str">
        <f>IF(AND(Programme_Grunddaten!$A360="Geprüft",Programme_Grunddaten!Q360&lt;&gt;""),IF(Programme_Grunddaten!Q360="geschlossenes System",1,0),"")</f>
        <v/>
      </c>
      <c r="K355" s="1" t="str">
        <f>IF(AND(Programme_Grunddaten!$A360="Geprüft",Programme_Grunddaten!R360&lt;&gt;""),IF(Programme_Grunddaten!R360="Ja",1,0),"")</f>
        <v/>
      </c>
      <c r="L355" s="1" t="str">
        <f>IF(AND(Programme_Grunddaten!$A360="Geprüft",Programme_Grunddaten!T360&lt;&gt;""),IF(Programme_Grunddaten!T360="Ja",1,0),"")</f>
        <v/>
      </c>
      <c r="M355" s="1" t="str">
        <f>IF(AND(Programme_Grunddaten!$A360="Geprüft",Programme_Grunddaten!U360&lt;&gt;""),IF(Programme_Grunddaten!U360="Ja",1,0),"")</f>
        <v/>
      </c>
      <c r="N355" s="1" t="str">
        <f>IF(AND(Programme_Grunddaten!$A360="Geprüft",Programme_Grunddaten!V360&lt;&gt;""),IF(Programme_Grunddaten!V360="Ja",1,0),"")</f>
        <v/>
      </c>
      <c r="O355" s="1" t="str">
        <f>IF(AND(Programme_Grunddaten!$A360="Geprüft",Programme_Grunddaten!W360&lt;&gt;""),IF(Programme_Grunddaten!W360="Ja",1,0),"")</f>
        <v/>
      </c>
      <c r="P355" s="1" t="str">
        <f>IF(AND(Programme_Grunddaten!$A360="Geprüft",Programme_Grunddaten!X360&lt;&gt;""),IF(Programme_Grunddaten!X360="Ja",1,0),"")</f>
        <v/>
      </c>
      <c r="Q355" s="1" t="str">
        <f>IF(AND(Programme_Grunddaten!$A360="Geprüft",Programme_Grunddaten!Y360&lt;&gt;""),IF(Programme_Grunddaten!Y360="Ja",1,0),"")</f>
        <v/>
      </c>
      <c r="R355" s="1" t="str">
        <f>IF(AND(Programme_Grunddaten!$A360="Geprüft",Programme_Grunddaten!Z360&lt;&gt;""),IF(Programme_Grunddaten!Z360="Ja",1,0),"")</f>
        <v/>
      </c>
      <c r="S355" s="1" t="str">
        <f>IF(AND(Programme_Grunddaten!$A360="Geprüft",Programme_Grunddaten!AA360&lt;&gt;""),IF(Programme_Grunddaten!AA360="monolithisch",1,0),"")</f>
        <v/>
      </c>
      <c r="T355" s="1" t="str">
        <f>IF(AND(Programme_Grunddaten!$A360="Geprüft",Programme_Grunddaten!AB360&lt;&gt;""),IF(Programme_Grunddaten!AB360="Ja",1,0),"")</f>
        <v/>
      </c>
      <c r="U355" s="1" t="str">
        <f>IF(AND(Programme_Grunddaten!$A360="Geprüft",Programme_Grunddaten!AC360&lt;&gt;""),IF(Programme_Grunddaten!AC360="Ja",1,0),"")</f>
        <v/>
      </c>
      <c r="V355" s="1" t="str">
        <f>IF(AND(Programme_Grunddaten!$A360="Geprüft",Programme_Grunddaten!AD360&lt;&gt;""),IF(Programme_Grunddaten!AD360="Ja",1,0),"")</f>
        <v/>
      </c>
      <c r="W355" s="1" t="str">
        <f>IF(AND(Programme_Grunddaten!$A360="Geprüft",Programme_Grunddaten!AE360&lt;&gt;""),IF(Programme_Grunddaten!AE360="Ja",1,0),"")</f>
        <v/>
      </c>
      <c r="X355" s="1" t="str">
        <f>IF(AND(Programme_Grunddaten!$A360="Geprüft",Programme_Grunddaten!AF360&lt;&gt;""),IF(Programme_Grunddaten!AF360="Ja",1,0),"")</f>
        <v/>
      </c>
      <c r="Y355" s="1" t="str">
        <f>IF(AND(Programme_Grunddaten!$A360="Geprüft",Programme_Grunddaten!AG360&lt;&gt;""),IF(Programme_Grunddaten!AG360="Ja",1,0),"")</f>
        <v/>
      </c>
      <c r="Z355" s="1" t="str">
        <f>IF(AND(Programme_Grunddaten!$A360="Geprüft",Programme_Grunddaten!AH360&lt;&gt;""),IF(Programme_Grunddaten!AH360="Ja",1,0),"")</f>
        <v/>
      </c>
      <c r="AA355" s="1" t="str">
        <f>IF(AND(Programme_Grunddaten!$A360="Geprüft",Programme_Grunddaten!AI360&lt;&gt;""),IF(Programme_Grunddaten!AI360="Ja",1,0),"")</f>
        <v/>
      </c>
      <c r="AB355" s="1" t="str">
        <f>IF(AND(Programme_Grunddaten!$A360="Geprüft",Programme_Grunddaten!AJ360&lt;&gt;""),IF(Programme_Grunddaten!AJ360="individuell programmierbar",1,0),"")</f>
        <v/>
      </c>
      <c r="AC355" s="1" t="str">
        <f>IF(AND(Programme_Grunddaten!$A360="Geprüft",Programme_Grunddaten!AK360&lt;&gt;""),IF(Programme_Grunddaten!AK360="Deutsch",0,IF(Programme_Grunddaten!AK360="Deutsch und Englisch",1,2)),"")</f>
        <v/>
      </c>
      <c r="AD355" s="1" t="str">
        <f>IF(AND(Programme_Grunddaten!$A360="Geprüft",Programme_Grunddaten!AL360&lt;&gt;""),IF(Programme_Grunddaten!AL360="Ja",1,0),"")</f>
        <v/>
      </c>
      <c r="AE355" s="1" t="str">
        <f>IF(AND(Programme_Grunddaten!$A360="Geprüft",Programme_Grunddaten!AM360&lt;&gt;""),IF(Programme_Grunddaten!AM360="Ja",1,0),"")</f>
        <v/>
      </c>
      <c r="AF355" s="1" t="str">
        <f>IF(AND(Programme_Grunddaten!$A360="Geprüft",Programme_Grunddaten!AN360&lt;&gt;""),IF(Programme_Grunddaten!AN360="Ja",1,0),"")</f>
        <v/>
      </c>
      <c r="AG355" s="1" t="str">
        <f>IF(AND(Programme_Grunddaten!$A360="Geprüft",Programme_Grunddaten!AO360&lt;&gt;""),IF(Programme_Grunddaten!AO360="Ja",1,0),"")</f>
        <v/>
      </c>
      <c r="AH355" s="1" t="str">
        <f>IF(AND(Programme_Grunddaten!$A360="Geprüft",Programme_Grunddaten!AP360&lt;&gt;""),IF(Programme_Grunddaten!AP360="Ja",1,0),"")</f>
        <v/>
      </c>
      <c r="AI355" s="1" t="str">
        <f>IF(AND(Programme_Grunddaten!$A360="Geprüft",Programme_Grunddaten!AQ360&lt;&gt;""),IF(Programme_Grunddaten!AQ360="Ja",1,0),"")</f>
        <v/>
      </c>
      <c r="AJ355" s="1" t="str">
        <f>IF(AND(Programme_Grunddaten!$A360="Geprüft",Programme_Grunddaten!AR360&lt;&gt;""),IF(Programme_Grunddaten!AR360="Ja",1,0),"")</f>
        <v/>
      </c>
      <c r="AK355" s="1" t="str">
        <f>IF(AND(Programme_Grunddaten!$A360="Geprüft",Programme_Grunddaten!AS360&lt;&gt;""),IF(Programme_Grunddaten!AS360="Ja",1,0),"")</f>
        <v/>
      </c>
      <c r="AL355" s="1" t="str">
        <f>IF(AND(Programme_Grunddaten!$A360="Geprüft",Programme_Grunddaten!AT360&lt;&gt;""),IF(Programme_Grunddaten!AT360="Ja",1,0),"")</f>
        <v/>
      </c>
      <c r="AM355" s="1" t="str">
        <f>IF(AND(Programme_Grunddaten!$A360="Geprüft",Programme_Grunddaten!AU360&lt;&gt;""),IF(Programme_Grunddaten!AU360="Ja",1,0),"")</f>
        <v/>
      </c>
      <c r="AN355" s="1" t="str">
        <f>IF(AND(Programme_Grunddaten!$A360="Geprüft",Programme_Grunddaten!AV360&lt;&gt;""),IF(Programme_Grunddaten!AV360="Ja",1,0),"")</f>
        <v/>
      </c>
    </row>
    <row r="356" spans="1:40" x14ac:dyDescent="0.3">
      <c r="A356" s="1" t="str">
        <f>IF(AND(Programme_Grunddaten!A361="Geprüft",Programme_Grunddaten!B361&lt;&gt;""),Programme_Grunddaten!B361,"")</f>
        <v/>
      </c>
      <c r="B356" s="1" t="str">
        <f>IF(AND(Programme_Grunddaten!$A361="Geprüft",Programme_Grunddaten!I361&lt;&gt;""),IF(Programme_Grunddaten!I361="Ja",1,0),"")</f>
        <v/>
      </c>
      <c r="C356" s="1" t="str">
        <f>IF(AND(Programme_Grunddaten!$A361="Geprüft",Programme_Grunddaten!J361&lt;&gt;""),IF(Programme_Grunddaten!J361="Ja",1,0),"")</f>
        <v/>
      </c>
      <c r="D356" s="1" t="str">
        <f>IF(AND(Programme_Grunddaten!$A361="Geprüft",Programme_Grunddaten!K361&lt;&gt;""),IF(Programme_Grunddaten!K361="Ja",1,0),"")</f>
        <v/>
      </c>
      <c r="E356" s="1" t="str">
        <f>IF(AND(Programme_Grunddaten!$A361="Geprüft",Programme_Grunddaten!L361&lt;&gt;""),IF(Programme_Grunddaten!L361="Abo / befristete Lizenz",1,0),"")</f>
        <v/>
      </c>
      <c r="F356" s="1" t="str">
        <f>IF(AND(Programme_Grunddaten!$A361="Geprüft",Programme_Grunddaten!M361&lt;&gt;""),IF(Programme_Grunddaten!M361="Ja",1,0),"")</f>
        <v/>
      </c>
      <c r="G356" s="1" t="str">
        <f>IF(AND(Programme_Grunddaten!$A361="Geprüft",Programme_Grunddaten!N361&lt;&gt;""),IF(Programme_Grunddaten!N361="Ja",1,0),"")</f>
        <v/>
      </c>
      <c r="H356" s="1" t="str">
        <f>IF(AND(Programme_Grunddaten!$A361="Geprüft",Programme_Grunddaten!O361&lt;&gt;""),IF(Programme_Grunddaten!O361="Deutschland",0,IF(Programme_Grunddaten!O361="EU",1,2)),"")</f>
        <v/>
      </c>
      <c r="I356" s="1" t="str">
        <f>IF(AND(Programme_Grunddaten!$A361="Geprüft",Programme_Grunddaten!P361&lt;&gt;""),IF(Programme_Grunddaten!P361="Ja",1,0),"")</f>
        <v/>
      </c>
      <c r="J356" s="1" t="str">
        <f>IF(AND(Programme_Grunddaten!$A361="Geprüft",Programme_Grunddaten!Q361&lt;&gt;""),IF(Programme_Grunddaten!Q361="geschlossenes System",1,0),"")</f>
        <v/>
      </c>
      <c r="K356" s="1" t="str">
        <f>IF(AND(Programme_Grunddaten!$A361="Geprüft",Programme_Grunddaten!R361&lt;&gt;""),IF(Programme_Grunddaten!R361="Ja",1,0),"")</f>
        <v/>
      </c>
      <c r="L356" s="1" t="str">
        <f>IF(AND(Programme_Grunddaten!$A361="Geprüft",Programme_Grunddaten!T361&lt;&gt;""),IF(Programme_Grunddaten!T361="Ja",1,0),"")</f>
        <v/>
      </c>
      <c r="M356" s="1" t="str">
        <f>IF(AND(Programme_Grunddaten!$A361="Geprüft",Programme_Grunddaten!U361&lt;&gt;""),IF(Programme_Grunddaten!U361="Ja",1,0),"")</f>
        <v/>
      </c>
      <c r="N356" s="1" t="str">
        <f>IF(AND(Programme_Grunddaten!$A361="Geprüft",Programme_Grunddaten!V361&lt;&gt;""),IF(Programme_Grunddaten!V361="Ja",1,0),"")</f>
        <v/>
      </c>
      <c r="O356" s="1" t="str">
        <f>IF(AND(Programme_Grunddaten!$A361="Geprüft",Programme_Grunddaten!W361&lt;&gt;""),IF(Programme_Grunddaten!W361="Ja",1,0),"")</f>
        <v/>
      </c>
      <c r="P356" s="1" t="str">
        <f>IF(AND(Programme_Grunddaten!$A361="Geprüft",Programme_Grunddaten!X361&lt;&gt;""),IF(Programme_Grunddaten!X361="Ja",1,0),"")</f>
        <v/>
      </c>
      <c r="Q356" s="1" t="str">
        <f>IF(AND(Programme_Grunddaten!$A361="Geprüft",Programme_Grunddaten!Y361&lt;&gt;""),IF(Programme_Grunddaten!Y361="Ja",1,0),"")</f>
        <v/>
      </c>
      <c r="R356" s="1" t="str">
        <f>IF(AND(Programme_Grunddaten!$A361="Geprüft",Programme_Grunddaten!Z361&lt;&gt;""),IF(Programme_Grunddaten!Z361="Ja",1,0),"")</f>
        <v/>
      </c>
      <c r="S356" s="1" t="str">
        <f>IF(AND(Programme_Grunddaten!$A361="Geprüft",Programme_Grunddaten!AA361&lt;&gt;""),IF(Programme_Grunddaten!AA361="monolithisch",1,0),"")</f>
        <v/>
      </c>
      <c r="T356" s="1" t="str">
        <f>IF(AND(Programme_Grunddaten!$A361="Geprüft",Programme_Grunddaten!AB361&lt;&gt;""),IF(Programme_Grunddaten!AB361="Ja",1,0),"")</f>
        <v/>
      </c>
      <c r="U356" s="1" t="str">
        <f>IF(AND(Programme_Grunddaten!$A361="Geprüft",Programme_Grunddaten!AC361&lt;&gt;""),IF(Programme_Grunddaten!AC361="Ja",1,0),"")</f>
        <v/>
      </c>
      <c r="V356" s="1" t="str">
        <f>IF(AND(Programme_Grunddaten!$A361="Geprüft",Programme_Grunddaten!AD361&lt;&gt;""),IF(Programme_Grunddaten!AD361="Ja",1,0),"")</f>
        <v/>
      </c>
      <c r="W356" s="1" t="str">
        <f>IF(AND(Programme_Grunddaten!$A361="Geprüft",Programme_Grunddaten!AE361&lt;&gt;""),IF(Programme_Grunddaten!AE361="Ja",1,0),"")</f>
        <v/>
      </c>
      <c r="X356" s="1" t="str">
        <f>IF(AND(Programme_Grunddaten!$A361="Geprüft",Programme_Grunddaten!AF361&lt;&gt;""),IF(Programme_Grunddaten!AF361="Ja",1,0),"")</f>
        <v/>
      </c>
      <c r="Y356" s="1" t="str">
        <f>IF(AND(Programme_Grunddaten!$A361="Geprüft",Programme_Grunddaten!AG361&lt;&gt;""),IF(Programme_Grunddaten!AG361="Ja",1,0),"")</f>
        <v/>
      </c>
      <c r="Z356" s="1" t="str">
        <f>IF(AND(Programme_Grunddaten!$A361="Geprüft",Programme_Grunddaten!AH361&lt;&gt;""),IF(Programme_Grunddaten!AH361="Ja",1,0),"")</f>
        <v/>
      </c>
      <c r="AA356" s="1" t="str">
        <f>IF(AND(Programme_Grunddaten!$A361="Geprüft",Programme_Grunddaten!AI361&lt;&gt;""),IF(Programme_Grunddaten!AI361="Ja",1,0),"")</f>
        <v/>
      </c>
      <c r="AB356" s="1" t="str">
        <f>IF(AND(Programme_Grunddaten!$A361="Geprüft",Programme_Grunddaten!AJ361&lt;&gt;""),IF(Programme_Grunddaten!AJ361="individuell programmierbar",1,0),"")</f>
        <v/>
      </c>
      <c r="AC356" s="1" t="str">
        <f>IF(AND(Programme_Grunddaten!$A361="Geprüft",Programme_Grunddaten!AK361&lt;&gt;""),IF(Programme_Grunddaten!AK361="Deutsch",0,IF(Programme_Grunddaten!AK361="Deutsch und Englisch",1,2)),"")</f>
        <v/>
      </c>
      <c r="AD356" s="1" t="str">
        <f>IF(AND(Programme_Grunddaten!$A361="Geprüft",Programme_Grunddaten!AL361&lt;&gt;""),IF(Programme_Grunddaten!AL361="Ja",1,0),"")</f>
        <v/>
      </c>
      <c r="AE356" s="1" t="str">
        <f>IF(AND(Programme_Grunddaten!$A361="Geprüft",Programme_Grunddaten!AM361&lt;&gt;""),IF(Programme_Grunddaten!AM361="Ja",1,0),"")</f>
        <v/>
      </c>
      <c r="AF356" s="1" t="str">
        <f>IF(AND(Programme_Grunddaten!$A361="Geprüft",Programme_Grunddaten!AN361&lt;&gt;""),IF(Programme_Grunddaten!AN361="Ja",1,0),"")</f>
        <v/>
      </c>
      <c r="AG356" s="1" t="str">
        <f>IF(AND(Programme_Grunddaten!$A361="Geprüft",Programme_Grunddaten!AO361&lt;&gt;""),IF(Programme_Grunddaten!AO361="Ja",1,0),"")</f>
        <v/>
      </c>
      <c r="AH356" s="1" t="str">
        <f>IF(AND(Programme_Grunddaten!$A361="Geprüft",Programme_Grunddaten!AP361&lt;&gt;""),IF(Programme_Grunddaten!AP361="Ja",1,0),"")</f>
        <v/>
      </c>
      <c r="AI356" s="1" t="str">
        <f>IF(AND(Programme_Grunddaten!$A361="Geprüft",Programme_Grunddaten!AQ361&lt;&gt;""),IF(Programme_Grunddaten!AQ361="Ja",1,0),"")</f>
        <v/>
      </c>
      <c r="AJ356" s="1" t="str">
        <f>IF(AND(Programme_Grunddaten!$A361="Geprüft",Programme_Grunddaten!AR361&lt;&gt;""),IF(Programme_Grunddaten!AR361="Ja",1,0),"")</f>
        <v/>
      </c>
      <c r="AK356" s="1" t="str">
        <f>IF(AND(Programme_Grunddaten!$A361="Geprüft",Programme_Grunddaten!AS361&lt;&gt;""),IF(Programme_Grunddaten!AS361="Ja",1,0),"")</f>
        <v/>
      </c>
      <c r="AL356" s="1" t="str">
        <f>IF(AND(Programme_Grunddaten!$A361="Geprüft",Programme_Grunddaten!AT361&lt;&gt;""),IF(Programme_Grunddaten!AT361="Ja",1,0),"")</f>
        <v/>
      </c>
      <c r="AM356" s="1" t="str">
        <f>IF(AND(Programme_Grunddaten!$A361="Geprüft",Programme_Grunddaten!AU361&lt;&gt;""),IF(Programme_Grunddaten!AU361="Ja",1,0),"")</f>
        <v/>
      </c>
      <c r="AN356" s="1" t="str">
        <f>IF(AND(Programme_Grunddaten!$A361="Geprüft",Programme_Grunddaten!AV361&lt;&gt;""),IF(Programme_Grunddaten!AV361="Ja",1,0),"")</f>
        <v/>
      </c>
    </row>
    <row r="357" spans="1:40" x14ac:dyDescent="0.3">
      <c r="A357" s="1" t="str">
        <f>IF(AND(Programme_Grunddaten!A362="Geprüft",Programme_Grunddaten!B362&lt;&gt;""),Programme_Grunddaten!B362,"")</f>
        <v/>
      </c>
      <c r="B357" s="1" t="str">
        <f>IF(AND(Programme_Grunddaten!$A362="Geprüft",Programme_Grunddaten!I362&lt;&gt;""),IF(Programme_Grunddaten!I362="Ja",1,0),"")</f>
        <v/>
      </c>
      <c r="C357" s="1" t="str">
        <f>IF(AND(Programme_Grunddaten!$A362="Geprüft",Programme_Grunddaten!J362&lt;&gt;""),IF(Programme_Grunddaten!J362="Ja",1,0),"")</f>
        <v/>
      </c>
      <c r="D357" s="1" t="str">
        <f>IF(AND(Programme_Grunddaten!$A362="Geprüft",Programme_Grunddaten!K362&lt;&gt;""),IF(Programme_Grunddaten!K362="Ja",1,0),"")</f>
        <v/>
      </c>
      <c r="E357" s="1" t="str">
        <f>IF(AND(Programme_Grunddaten!$A362="Geprüft",Programme_Grunddaten!L362&lt;&gt;""),IF(Programme_Grunddaten!L362="Abo / befristete Lizenz",1,0),"")</f>
        <v/>
      </c>
      <c r="F357" s="1" t="str">
        <f>IF(AND(Programme_Grunddaten!$A362="Geprüft",Programme_Grunddaten!M362&lt;&gt;""),IF(Programme_Grunddaten!M362="Ja",1,0),"")</f>
        <v/>
      </c>
      <c r="G357" s="1" t="str">
        <f>IF(AND(Programme_Grunddaten!$A362="Geprüft",Programme_Grunddaten!N362&lt;&gt;""),IF(Programme_Grunddaten!N362="Ja",1,0),"")</f>
        <v/>
      </c>
      <c r="H357" s="1" t="str">
        <f>IF(AND(Programme_Grunddaten!$A362="Geprüft",Programme_Grunddaten!O362&lt;&gt;""),IF(Programme_Grunddaten!O362="Deutschland",0,IF(Programme_Grunddaten!O362="EU",1,2)),"")</f>
        <v/>
      </c>
      <c r="I357" s="1" t="str">
        <f>IF(AND(Programme_Grunddaten!$A362="Geprüft",Programme_Grunddaten!P362&lt;&gt;""),IF(Programme_Grunddaten!P362="Ja",1,0),"")</f>
        <v/>
      </c>
      <c r="J357" s="1" t="str">
        <f>IF(AND(Programme_Grunddaten!$A362="Geprüft",Programme_Grunddaten!Q362&lt;&gt;""),IF(Programme_Grunddaten!Q362="geschlossenes System",1,0),"")</f>
        <v/>
      </c>
      <c r="K357" s="1" t="str">
        <f>IF(AND(Programme_Grunddaten!$A362="Geprüft",Programme_Grunddaten!R362&lt;&gt;""),IF(Programme_Grunddaten!R362="Ja",1,0),"")</f>
        <v/>
      </c>
      <c r="L357" s="1" t="str">
        <f>IF(AND(Programme_Grunddaten!$A362="Geprüft",Programme_Grunddaten!T362&lt;&gt;""),IF(Programme_Grunddaten!T362="Ja",1,0),"")</f>
        <v/>
      </c>
      <c r="M357" s="1" t="str">
        <f>IF(AND(Programme_Grunddaten!$A362="Geprüft",Programme_Grunddaten!U362&lt;&gt;""),IF(Programme_Grunddaten!U362="Ja",1,0),"")</f>
        <v/>
      </c>
      <c r="N357" s="1" t="str">
        <f>IF(AND(Programme_Grunddaten!$A362="Geprüft",Programme_Grunddaten!V362&lt;&gt;""),IF(Programme_Grunddaten!V362="Ja",1,0),"")</f>
        <v/>
      </c>
      <c r="O357" s="1" t="str">
        <f>IF(AND(Programme_Grunddaten!$A362="Geprüft",Programme_Grunddaten!W362&lt;&gt;""),IF(Programme_Grunddaten!W362="Ja",1,0),"")</f>
        <v/>
      </c>
      <c r="P357" s="1" t="str">
        <f>IF(AND(Programme_Grunddaten!$A362="Geprüft",Programme_Grunddaten!X362&lt;&gt;""),IF(Programme_Grunddaten!X362="Ja",1,0),"")</f>
        <v/>
      </c>
      <c r="Q357" s="1" t="str">
        <f>IF(AND(Programme_Grunddaten!$A362="Geprüft",Programme_Grunddaten!Y362&lt;&gt;""),IF(Programme_Grunddaten!Y362="Ja",1,0),"")</f>
        <v/>
      </c>
      <c r="R357" s="1" t="str">
        <f>IF(AND(Programme_Grunddaten!$A362="Geprüft",Programme_Grunddaten!Z362&lt;&gt;""),IF(Programme_Grunddaten!Z362="Ja",1,0),"")</f>
        <v/>
      </c>
      <c r="S357" s="1" t="str">
        <f>IF(AND(Programme_Grunddaten!$A362="Geprüft",Programme_Grunddaten!AA362&lt;&gt;""),IF(Programme_Grunddaten!AA362="monolithisch",1,0),"")</f>
        <v/>
      </c>
      <c r="T357" s="1" t="str">
        <f>IF(AND(Programme_Grunddaten!$A362="Geprüft",Programme_Grunddaten!AB362&lt;&gt;""),IF(Programme_Grunddaten!AB362="Ja",1,0),"")</f>
        <v/>
      </c>
      <c r="U357" s="1" t="str">
        <f>IF(AND(Programme_Grunddaten!$A362="Geprüft",Programme_Grunddaten!AC362&lt;&gt;""),IF(Programme_Grunddaten!AC362="Ja",1,0),"")</f>
        <v/>
      </c>
      <c r="V357" s="1" t="str">
        <f>IF(AND(Programme_Grunddaten!$A362="Geprüft",Programme_Grunddaten!AD362&lt;&gt;""),IF(Programme_Grunddaten!AD362="Ja",1,0),"")</f>
        <v/>
      </c>
      <c r="W357" s="1" t="str">
        <f>IF(AND(Programme_Grunddaten!$A362="Geprüft",Programme_Grunddaten!AE362&lt;&gt;""),IF(Programme_Grunddaten!AE362="Ja",1,0),"")</f>
        <v/>
      </c>
      <c r="X357" s="1" t="str">
        <f>IF(AND(Programme_Grunddaten!$A362="Geprüft",Programme_Grunddaten!AF362&lt;&gt;""),IF(Programme_Grunddaten!AF362="Ja",1,0),"")</f>
        <v/>
      </c>
      <c r="Y357" s="1" t="str">
        <f>IF(AND(Programme_Grunddaten!$A362="Geprüft",Programme_Grunddaten!AG362&lt;&gt;""),IF(Programme_Grunddaten!AG362="Ja",1,0),"")</f>
        <v/>
      </c>
      <c r="Z357" s="1" t="str">
        <f>IF(AND(Programme_Grunddaten!$A362="Geprüft",Programme_Grunddaten!AH362&lt;&gt;""),IF(Programme_Grunddaten!AH362="Ja",1,0),"")</f>
        <v/>
      </c>
      <c r="AA357" s="1" t="str">
        <f>IF(AND(Programme_Grunddaten!$A362="Geprüft",Programme_Grunddaten!AI362&lt;&gt;""),IF(Programme_Grunddaten!AI362="Ja",1,0),"")</f>
        <v/>
      </c>
      <c r="AB357" s="1" t="str">
        <f>IF(AND(Programme_Grunddaten!$A362="Geprüft",Programme_Grunddaten!AJ362&lt;&gt;""),IF(Programme_Grunddaten!AJ362="individuell programmierbar",1,0),"")</f>
        <v/>
      </c>
      <c r="AC357" s="1" t="str">
        <f>IF(AND(Programme_Grunddaten!$A362="Geprüft",Programme_Grunddaten!AK362&lt;&gt;""),IF(Programme_Grunddaten!AK362="Deutsch",0,IF(Programme_Grunddaten!AK362="Deutsch und Englisch",1,2)),"")</f>
        <v/>
      </c>
      <c r="AD357" s="1" t="str">
        <f>IF(AND(Programme_Grunddaten!$A362="Geprüft",Programme_Grunddaten!AL362&lt;&gt;""),IF(Programme_Grunddaten!AL362="Ja",1,0),"")</f>
        <v/>
      </c>
      <c r="AE357" s="1" t="str">
        <f>IF(AND(Programme_Grunddaten!$A362="Geprüft",Programme_Grunddaten!AM362&lt;&gt;""),IF(Programme_Grunddaten!AM362="Ja",1,0),"")</f>
        <v/>
      </c>
      <c r="AF357" s="1" t="str">
        <f>IF(AND(Programme_Grunddaten!$A362="Geprüft",Programme_Grunddaten!AN362&lt;&gt;""),IF(Programme_Grunddaten!AN362="Ja",1,0),"")</f>
        <v/>
      </c>
      <c r="AG357" s="1" t="str">
        <f>IF(AND(Programme_Grunddaten!$A362="Geprüft",Programme_Grunddaten!AO362&lt;&gt;""),IF(Programme_Grunddaten!AO362="Ja",1,0),"")</f>
        <v/>
      </c>
      <c r="AH357" s="1" t="str">
        <f>IF(AND(Programme_Grunddaten!$A362="Geprüft",Programme_Grunddaten!AP362&lt;&gt;""),IF(Programme_Grunddaten!AP362="Ja",1,0),"")</f>
        <v/>
      </c>
      <c r="AI357" s="1" t="str">
        <f>IF(AND(Programme_Grunddaten!$A362="Geprüft",Programme_Grunddaten!AQ362&lt;&gt;""),IF(Programme_Grunddaten!AQ362="Ja",1,0),"")</f>
        <v/>
      </c>
      <c r="AJ357" s="1" t="str">
        <f>IF(AND(Programme_Grunddaten!$A362="Geprüft",Programme_Grunddaten!AR362&lt;&gt;""),IF(Programme_Grunddaten!AR362="Ja",1,0),"")</f>
        <v/>
      </c>
      <c r="AK357" s="1" t="str">
        <f>IF(AND(Programme_Grunddaten!$A362="Geprüft",Programme_Grunddaten!AS362&lt;&gt;""),IF(Programme_Grunddaten!AS362="Ja",1,0),"")</f>
        <v/>
      </c>
      <c r="AL357" s="1" t="str">
        <f>IF(AND(Programme_Grunddaten!$A362="Geprüft",Programme_Grunddaten!AT362&lt;&gt;""),IF(Programme_Grunddaten!AT362="Ja",1,0),"")</f>
        <v/>
      </c>
      <c r="AM357" s="1" t="str">
        <f>IF(AND(Programme_Grunddaten!$A362="Geprüft",Programme_Grunddaten!AU362&lt;&gt;""),IF(Programme_Grunddaten!AU362="Ja",1,0),"")</f>
        <v/>
      </c>
      <c r="AN357" s="1" t="str">
        <f>IF(AND(Programme_Grunddaten!$A362="Geprüft",Programme_Grunddaten!AV362&lt;&gt;""),IF(Programme_Grunddaten!AV362="Ja",1,0),"")</f>
        <v/>
      </c>
    </row>
    <row r="358" spans="1:40" x14ac:dyDescent="0.3">
      <c r="A358" s="1" t="str">
        <f>IF(AND(Programme_Grunddaten!A363="Geprüft",Programme_Grunddaten!B363&lt;&gt;""),Programme_Grunddaten!B363,"")</f>
        <v/>
      </c>
      <c r="B358" s="1" t="str">
        <f>IF(AND(Programme_Grunddaten!$A363="Geprüft",Programme_Grunddaten!I363&lt;&gt;""),IF(Programme_Grunddaten!I363="Ja",1,0),"")</f>
        <v/>
      </c>
      <c r="C358" s="1" t="str">
        <f>IF(AND(Programme_Grunddaten!$A363="Geprüft",Programme_Grunddaten!J363&lt;&gt;""),IF(Programme_Grunddaten!J363="Ja",1,0),"")</f>
        <v/>
      </c>
      <c r="D358" s="1" t="str">
        <f>IF(AND(Programme_Grunddaten!$A363="Geprüft",Programme_Grunddaten!K363&lt;&gt;""),IF(Programme_Grunddaten!K363="Ja",1,0),"")</f>
        <v/>
      </c>
      <c r="E358" s="1" t="str">
        <f>IF(AND(Programme_Grunddaten!$A363="Geprüft",Programme_Grunddaten!L363&lt;&gt;""),IF(Programme_Grunddaten!L363="Abo / befristete Lizenz",1,0),"")</f>
        <v/>
      </c>
      <c r="F358" s="1" t="str">
        <f>IF(AND(Programme_Grunddaten!$A363="Geprüft",Programme_Grunddaten!M363&lt;&gt;""),IF(Programme_Grunddaten!M363="Ja",1,0),"")</f>
        <v/>
      </c>
      <c r="G358" s="1" t="str">
        <f>IF(AND(Programme_Grunddaten!$A363="Geprüft",Programme_Grunddaten!N363&lt;&gt;""),IF(Programme_Grunddaten!N363="Ja",1,0),"")</f>
        <v/>
      </c>
      <c r="H358" s="1" t="str">
        <f>IF(AND(Programme_Grunddaten!$A363="Geprüft",Programme_Grunddaten!O363&lt;&gt;""),IF(Programme_Grunddaten!O363="Deutschland",0,IF(Programme_Grunddaten!O363="EU",1,2)),"")</f>
        <v/>
      </c>
      <c r="I358" s="1" t="str">
        <f>IF(AND(Programme_Grunddaten!$A363="Geprüft",Programme_Grunddaten!P363&lt;&gt;""),IF(Programme_Grunddaten!P363="Ja",1,0),"")</f>
        <v/>
      </c>
      <c r="J358" s="1" t="str">
        <f>IF(AND(Programme_Grunddaten!$A363="Geprüft",Programme_Grunddaten!Q363&lt;&gt;""),IF(Programme_Grunddaten!Q363="geschlossenes System",1,0),"")</f>
        <v/>
      </c>
      <c r="K358" s="1" t="str">
        <f>IF(AND(Programme_Grunddaten!$A363="Geprüft",Programme_Grunddaten!R363&lt;&gt;""),IF(Programme_Grunddaten!R363="Ja",1,0),"")</f>
        <v/>
      </c>
      <c r="L358" s="1" t="str">
        <f>IF(AND(Programme_Grunddaten!$A363="Geprüft",Programme_Grunddaten!T363&lt;&gt;""),IF(Programme_Grunddaten!T363="Ja",1,0),"")</f>
        <v/>
      </c>
      <c r="M358" s="1" t="str">
        <f>IF(AND(Programme_Grunddaten!$A363="Geprüft",Programme_Grunddaten!U363&lt;&gt;""),IF(Programme_Grunddaten!U363="Ja",1,0),"")</f>
        <v/>
      </c>
      <c r="N358" s="1" t="str">
        <f>IF(AND(Programme_Grunddaten!$A363="Geprüft",Programme_Grunddaten!V363&lt;&gt;""),IF(Programme_Grunddaten!V363="Ja",1,0),"")</f>
        <v/>
      </c>
      <c r="O358" s="1" t="str">
        <f>IF(AND(Programme_Grunddaten!$A363="Geprüft",Programme_Grunddaten!W363&lt;&gt;""),IF(Programme_Grunddaten!W363="Ja",1,0),"")</f>
        <v/>
      </c>
      <c r="P358" s="1" t="str">
        <f>IF(AND(Programme_Grunddaten!$A363="Geprüft",Programme_Grunddaten!X363&lt;&gt;""),IF(Programme_Grunddaten!X363="Ja",1,0),"")</f>
        <v/>
      </c>
      <c r="Q358" s="1" t="str">
        <f>IF(AND(Programme_Grunddaten!$A363="Geprüft",Programme_Grunddaten!Y363&lt;&gt;""),IF(Programme_Grunddaten!Y363="Ja",1,0),"")</f>
        <v/>
      </c>
      <c r="R358" s="1" t="str">
        <f>IF(AND(Programme_Grunddaten!$A363="Geprüft",Programme_Grunddaten!Z363&lt;&gt;""),IF(Programme_Grunddaten!Z363="Ja",1,0),"")</f>
        <v/>
      </c>
      <c r="S358" s="1" t="str">
        <f>IF(AND(Programme_Grunddaten!$A363="Geprüft",Programme_Grunddaten!AA363&lt;&gt;""),IF(Programme_Grunddaten!AA363="monolithisch",1,0),"")</f>
        <v/>
      </c>
      <c r="T358" s="1" t="str">
        <f>IF(AND(Programme_Grunddaten!$A363="Geprüft",Programme_Grunddaten!AB363&lt;&gt;""),IF(Programme_Grunddaten!AB363="Ja",1,0),"")</f>
        <v/>
      </c>
      <c r="U358" s="1" t="str">
        <f>IF(AND(Programme_Grunddaten!$A363="Geprüft",Programme_Grunddaten!AC363&lt;&gt;""),IF(Programme_Grunddaten!AC363="Ja",1,0),"")</f>
        <v/>
      </c>
      <c r="V358" s="1" t="str">
        <f>IF(AND(Programme_Grunddaten!$A363="Geprüft",Programme_Grunddaten!AD363&lt;&gt;""),IF(Programme_Grunddaten!AD363="Ja",1,0),"")</f>
        <v/>
      </c>
      <c r="W358" s="1" t="str">
        <f>IF(AND(Programme_Grunddaten!$A363="Geprüft",Programme_Grunddaten!AE363&lt;&gt;""),IF(Programme_Grunddaten!AE363="Ja",1,0),"")</f>
        <v/>
      </c>
      <c r="X358" s="1" t="str">
        <f>IF(AND(Programme_Grunddaten!$A363="Geprüft",Programme_Grunddaten!AF363&lt;&gt;""),IF(Programme_Grunddaten!AF363="Ja",1,0),"")</f>
        <v/>
      </c>
      <c r="Y358" s="1" t="str">
        <f>IF(AND(Programme_Grunddaten!$A363="Geprüft",Programme_Grunddaten!AG363&lt;&gt;""),IF(Programme_Grunddaten!AG363="Ja",1,0),"")</f>
        <v/>
      </c>
      <c r="Z358" s="1" t="str">
        <f>IF(AND(Programme_Grunddaten!$A363="Geprüft",Programme_Grunddaten!AH363&lt;&gt;""),IF(Programme_Grunddaten!AH363="Ja",1,0),"")</f>
        <v/>
      </c>
      <c r="AA358" s="1" t="str">
        <f>IF(AND(Programme_Grunddaten!$A363="Geprüft",Programme_Grunddaten!AI363&lt;&gt;""),IF(Programme_Grunddaten!AI363="Ja",1,0),"")</f>
        <v/>
      </c>
      <c r="AB358" s="1" t="str">
        <f>IF(AND(Programme_Grunddaten!$A363="Geprüft",Programme_Grunddaten!AJ363&lt;&gt;""),IF(Programme_Grunddaten!AJ363="individuell programmierbar",1,0),"")</f>
        <v/>
      </c>
      <c r="AC358" s="1" t="str">
        <f>IF(AND(Programme_Grunddaten!$A363="Geprüft",Programme_Grunddaten!AK363&lt;&gt;""),IF(Programme_Grunddaten!AK363="Deutsch",0,IF(Programme_Grunddaten!AK363="Deutsch und Englisch",1,2)),"")</f>
        <v/>
      </c>
      <c r="AD358" s="1" t="str">
        <f>IF(AND(Programme_Grunddaten!$A363="Geprüft",Programme_Grunddaten!AL363&lt;&gt;""),IF(Programme_Grunddaten!AL363="Ja",1,0),"")</f>
        <v/>
      </c>
      <c r="AE358" s="1" t="str">
        <f>IF(AND(Programme_Grunddaten!$A363="Geprüft",Programme_Grunddaten!AM363&lt;&gt;""),IF(Programme_Grunddaten!AM363="Ja",1,0),"")</f>
        <v/>
      </c>
      <c r="AF358" s="1" t="str">
        <f>IF(AND(Programme_Grunddaten!$A363="Geprüft",Programme_Grunddaten!AN363&lt;&gt;""),IF(Programme_Grunddaten!AN363="Ja",1,0),"")</f>
        <v/>
      </c>
      <c r="AG358" s="1" t="str">
        <f>IF(AND(Programme_Grunddaten!$A363="Geprüft",Programme_Grunddaten!AO363&lt;&gt;""),IF(Programme_Grunddaten!AO363="Ja",1,0),"")</f>
        <v/>
      </c>
      <c r="AH358" s="1" t="str">
        <f>IF(AND(Programme_Grunddaten!$A363="Geprüft",Programme_Grunddaten!AP363&lt;&gt;""),IF(Programme_Grunddaten!AP363="Ja",1,0),"")</f>
        <v/>
      </c>
      <c r="AI358" s="1" t="str">
        <f>IF(AND(Programme_Grunddaten!$A363="Geprüft",Programme_Grunddaten!AQ363&lt;&gt;""),IF(Programme_Grunddaten!AQ363="Ja",1,0),"")</f>
        <v/>
      </c>
      <c r="AJ358" s="1" t="str">
        <f>IF(AND(Programme_Grunddaten!$A363="Geprüft",Programme_Grunddaten!AR363&lt;&gt;""),IF(Programme_Grunddaten!AR363="Ja",1,0),"")</f>
        <v/>
      </c>
      <c r="AK358" s="1" t="str">
        <f>IF(AND(Programme_Grunddaten!$A363="Geprüft",Programme_Grunddaten!AS363&lt;&gt;""),IF(Programme_Grunddaten!AS363="Ja",1,0),"")</f>
        <v/>
      </c>
      <c r="AL358" s="1" t="str">
        <f>IF(AND(Programme_Grunddaten!$A363="Geprüft",Programme_Grunddaten!AT363&lt;&gt;""),IF(Programme_Grunddaten!AT363="Ja",1,0),"")</f>
        <v/>
      </c>
      <c r="AM358" s="1" t="str">
        <f>IF(AND(Programme_Grunddaten!$A363="Geprüft",Programme_Grunddaten!AU363&lt;&gt;""),IF(Programme_Grunddaten!AU363="Ja",1,0),"")</f>
        <v/>
      </c>
      <c r="AN358" s="1" t="str">
        <f>IF(AND(Programme_Grunddaten!$A363="Geprüft",Programme_Grunddaten!AV363&lt;&gt;""),IF(Programme_Grunddaten!AV363="Ja",1,0),"")</f>
        <v/>
      </c>
    </row>
    <row r="359" spans="1:40" x14ac:dyDescent="0.3">
      <c r="A359" s="1" t="str">
        <f>IF(AND(Programme_Grunddaten!A364="Geprüft",Programme_Grunddaten!B364&lt;&gt;""),Programme_Grunddaten!B364,"")</f>
        <v/>
      </c>
      <c r="B359" s="1" t="str">
        <f>IF(AND(Programme_Grunddaten!$A364="Geprüft",Programme_Grunddaten!I364&lt;&gt;""),IF(Programme_Grunddaten!I364="Ja",1,0),"")</f>
        <v/>
      </c>
      <c r="C359" s="1" t="str">
        <f>IF(AND(Programme_Grunddaten!$A364="Geprüft",Programme_Grunddaten!J364&lt;&gt;""),IF(Programme_Grunddaten!J364="Ja",1,0),"")</f>
        <v/>
      </c>
      <c r="D359" s="1" t="str">
        <f>IF(AND(Programme_Grunddaten!$A364="Geprüft",Programme_Grunddaten!K364&lt;&gt;""),IF(Programme_Grunddaten!K364="Ja",1,0),"")</f>
        <v/>
      </c>
      <c r="E359" s="1" t="str">
        <f>IF(AND(Programme_Grunddaten!$A364="Geprüft",Programme_Grunddaten!L364&lt;&gt;""),IF(Programme_Grunddaten!L364="Abo / befristete Lizenz",1,0),"")</f>
        <v/>
      </c>
      <c r="F359" s="1" t="str">
        <f>IF(AND(Programme_Grunddaten!$A364="Geprüft",Programme_Grunddaten!M364&lt;&gt;""),IF(Programme_Grunddaten!M364="Ja",1,0),"")</f>
        <v/>
      </c>
      <c r="G359" s="1" t="str">
        <f>IF(AND(Programme_Grunddaten!$A364="Geprüft",Programme_Grunddaten!N364&lt;&gt;""),IF(Programme_Grunddaten!N364="Ja",1,0),"")</f>
        <v/>
      </c>
      <c r="H359" s="1" t="str">
        <f>IF(AND(Programme_Grunddaten!$A364="Geprüft",Programme_Grunddaten!O364&lt;&gt;""),IF(Programme_Grunddaten!O364="Deutschland",0,IF(Programme_Grunddaten!O364="EU",1,2)),"")</f>
        <v/>
      </c>
      <c r="I359" s="1" t="str">
        <f>IF(AND(Programme_Grunddaten!$A364="Geprüft",Programme_Grunddaten!P364&lt;&gt;""),IF(Programme_Grunddaten!P364="Ja",1,0),"")</f>
        <v/>
      </c>
      <c r="J359" s="1" t="str">
        <f>IF(AND(Programme_Grunddaten!$A364="Geprüft",Programme_Grunddaten!Q364&lt;&gt;""),IF(Programme_Grunddaten!Q364="geschlossenes System",1,0),"")</f>
        <v/>
      </c>
      <c r="K359" s="1" t="str">
        <f>IF(AND(Programme_Grunddaten!$A364="Geprüft",Programme_Grunddaten!R364&lt;&gt;""),IF(Programme_Grunddaten!R364="Ja",1,0),"")</f>
        <v/>
      </c>
      <c r="L359" s="1" t="str">
        <f>IF(AND(Programme_Grunddaten!$A364="Geprüft",Programme_Grunddaten!T364&lt;&gt;""),IF(Programme_Grunddaten!T364="Ja",1,0),"")</f>
        <v/>
      </c>
      <c r="M359" s="1" t="str">
        <f>IF(AND(Programme_Grunddaten!$A364="Geprüft",Programme_Grunddaten!U364&lt;&gt;""),IF(Programme_Grunddaten!U364="Ja",1,0),"")</f>
        <v/>
      </c>
      <c r="N359" s="1" t="str">
        <f>IF(AND(Programme_Grunddaten!$A364="Geprüft",Programme_Grunddaten!V364&lt;&gt;""),IF(Programme_Grunddaten!V364="Ja",1,0),"")</f>
        <v/>
      </c>
      <c r="O359" s="1" t="str">
        <f>IF(AND(Programme_Grunddaten!$A364="Geprüft",Programme_Grunddaten!W364&lt;&gt;""),IF(Programme_Grunddaten!W364="Ja",1,0),"")</f>
        <v/>
      </c>
      <c r="P359" s="1" t="str">
        <f>IF(AND(Programme_Grunddaten!$A364="Geprüft",Programme_Grunddaten!X364&lt;&gt;""),IF(Programme_Grunddaten!X364="Ja",1,0),"")</f>
        <v/>
      </c>
      <c r="Q359" s="1" t="str">
        <f>IF(AND(Programme_Grunddaten!$A364="Geprüft",Programme_Grunddaten!Y364&lt;&gt;""),IF(Programme_Grunddaten!Y364="Ja",1,0),"")</f>
        <v/>
      </c>
      <c r="R359" s="1" t="str">
        <f>IF(AND(Programme_Grunddaten!$A364="Geprüft",Programme_Grunddaten!Z364&lt;&gt;""),IF(Programme_Grunddaten!Z364="Ja",1,0),"")</f>
        <v/>
      </c>
      <c r="S359" s="1" t="str">
        <f>IF(AND(Programme_Grunddaten!$A364="Geprüft",Programme_Grunddaten!AA364&lt;&gt;""),IF(Programme_Grunddaten!AA364="monolithisch",1,0),"")</f>
        <v/>
      </c>
      <c r="T359" s="1" t="str">
        <f>IF(AND(Programme_Grunddaten!$A364="Geprüft",Programme_Grunddaten!AB364&lt;&gt;""),IF(Programme_Grunddaten!AB364="Ja",1,0),"")</f>
        <v/>
      </c>
      <c r="U359" s="1" t="str">
        <f>IF(AND(Programme_Grunddaten!$A364="Geprüft",Programme_Grunddaten!AC364&lt;&gt;""),IF(Programme_Grunddaten!AC364="Ja",1,0),"")</f>
        <v/>
      </c>
      <c r="V359" s="1" t="str">
        <f>IF(AND(Programme_Grunddaten!$A364="Geprüft",Programme_Grunddaten!AD364&lt;&gt;""),IF(Programme_Grunddaten!AD364="Ja",1,0),"")</f>
        <v/>
      </c>
      <c r="W359" s="1" t="str">
        <f>IF(AND(Programme_Grunddaten!$A364="Geprüft",Programme_Grunddaten!AE364&lt;&gt;""),IF(Programme_Grunddaten!AE364="Ja",1,0),"")</f>
        <v/>
      </c>
      <c r="X359" s="1" t="str">
        <f>IF(AND(Programme_Grunddaten!$A364="Geprüft",Programme_Grunddaten!AF364&lt;&gt;""),IF(Programme_Grunddaten!AF364="Ja",1,0),"")</f>
        <v/>
      </c>
      <c r="Y359" s="1" t="str">
        <f>IF(AND(Programme_Grunddaten!$A364="Geprüft",Programme_Grunddaten!AG364&lt;&gt;""),IF(Programme_Grunddaten!AG364="Ja",1,0),"")</f>
        <v/>
      </c>
      <c r="Z359" s="1" t="str">
        <f>IF(AND(Programme_Grunddaten!$A364="Geprüft",Programme_Grunddaten!AH364&lt;&gt;""),IF(Programme_Grunddaten!AH364="Ja",1,0),"")</f>
        <v/>
      </c>
      <c r="AA359" s="1" t="str">
        <f>IF(AND(Programme_Grunddaten!$A364="Geprüft",Programme_Grunddaten!AI364&lt;&gt;""),IF(Programme_Grunddaten!AI364="Ja",1,0),"")</f>
        <v/>
      </c>
      <c r="AB359" s="1" t="str">
        <f>IF(AND(Programme_Grunddaten!$A364="Geprüft",Programme_Grunddaten!AJ364&lt;&gt;""),IF(Programme_Grunddaten!AJ364="individuell programmierbar",1,0),"")</f>
        <v/>
      </c>
      <c r="AC359" s="1" t="str">
        <f>IF(AND(Programme_Grunddaten!$A364="Geprüft",Programme_Grunddaten!AK364&lt;&gt;""),IF(Programme_Grunddaten!AK364="Deutsch",0,IF(Programme_Grunddaten!AK364="Deutsch und Englisch",1,2)),"")</f>
        <v/>
      </c>
      <c r="AD359" s="1" t="str">
        <f>IF(AND(Programme_Grunddaten!$A364="Geprüft",Programme_Grunddaten!AL364&lt;&gt;""),IF(Programme_Grunddaten!AL364="Ja",1,0),"")</f>
        <v/>
      </c>
      <c r="AE359" s="1" t="str">
        <f>IF(AND(Programme_Grunddaten!$A364="Geprüft",Programme_Grunddaten!AM364&lt;&gt;""),IF(Programme_Grunddaten!AM364="Ja",1,0),"")</f>
        <v/>
      </c>
      <c r="AF359" s="1" t="str">
        <f>IF(AND(Programme_Grunddaten!$A364="Geprüft",Programme_Grunddaten!AN364&lt;&gt;""),IF(Programme_Grunddaten!AN364="Ja",1,0),"")</f>
        <v/>
      </c>
      <c r="AG359" s="1" t="str">
        <f>IF(AND(Programme_Grunddaten!$A364="Geprüft",Programme_Grunddaten!AO364&lt;&gt;""),IF(Programme_Grunddaten!AO364="Ja",1,0),"")</f>
        <v/>
      </c>
      <c r="AH359" s="1" t="str">
        <f>IF(AND(Programme_Grunddaten!$A364="Geprüft",Programme_Grunddaten!AP364&lt;&gt;""),IF(Programme_Grunddaten!AP364="Ja",1,0),"")</f>
        <v/>
      </c>
      <c r="AI359" s="1" t="str">
        <f>IF(AND(Programme_Grunddaten!$A364="Geprüft",Programme_Grunddaten!AQ364&lt;&gt;""),IF(Programme_Grunddaten!AQ364="Ja",1,0),"")</f>
        <v/>
      </c>
      <c r="AJ359" s="1" t="str">
        <f>IF(AND(Programme_Grunddaten!$A364="Geprüft",Programme_Grunddaten!AR364&lt;&gt;""),IF(Programme_Grunddaten!AR364="Ja",1,0),"")</f>
        <v/>
      </c>
      <c r="AK359" s="1" t="str">
        <f>IF(AND(Programme_Grunddaten!$A364="Geprüft",Programme_Grunddaten!AS364&lt;&gt;""),IF(Programme_Grunddaten!AS364="Ja",1,0),"")</f>
        <v/>
      </c>
      <c r="AL359" s="1" t="str">
        <f>IF(AND(Programme_Grunddaten!$A364="Geprüft",Programme_Grunddaten!AT364&lt;&gt;""),IF(Programme_Grunddaten!AT364="Ja",1,0),"")</f>
        <v/>
      </c>
      <c r="AM359" s="1" t="str">
        <f>IF(AND(Programme_Grunddaten!$A364="Geprüft",Programme_Grunddaten!AU364&lt;&gt;""),IF(Programme_Grunddaten!AU364="Ja",1,0),"")</f>
        <v/>
      </c>
      <c r="AN359" s="1" t="str">
        <f>IF(AND(Programme_Grunddaten!$A364="Geprüft",Programme_Grunddaten!AV364&lt;&gt;""),IF(Programme_Grunddaten!AV364="Ja",1,0),"")</f>
        <v/>
      </c>
    </row>
    <row r="360" spans="1:40" x14ac:dyDescent="0.3">
      <c r="A360" s="1" t="str">
        <f>IF(AND(Programme_Grunddaten!A365="Geprüft",Programme_Grunddaten!B365&lt;&gt;""),Programme_Grunddaten!B365,"")</f>
        <v/>
      </c>
      <c r="B360" s="1" t="str">
        <f>IF(AND(Programme_Grunddaten!$A365="Geprüft",Programme_Grunddaten!I365&lt;&gt;""),IF(Programme_Grunddaten!I365="Ja",1,0),"")</f>
        <v/>
      </c>
      <c r="C360" s="1" t="str">
        <f>IF(AND(Programme_Grunddaten!$A365="Geprüft",Programme_Grunddaten!J365&lt;&gt;""),IF(Programme_Grunddaten!J365="Ja",1,0),"")</f>
        <v/>
      </c>
      <c r="D360" s="1" t="str">
        <f>IF(AND(Programme_Grunddaten!$A365="Geprüft",Programme_Grunddaten!K365&lt;&gt;""),IF(Programme_Grunddaten!K365="Ja",1,0),"")</f>
        <v/>
      </c>
      <c r="E360" s="1" t="str">
        <f>IF(AND(Programme_Grunddaten!$A365="Geprüft",Programme_Grunddaten!L365&lt;&gt;""),IF(Programme_Grunddaten!L365="Abo / befristete Lizenz",1,0),"")</f>
        <v/>
      </c>
      <c r="F360" s="1" t="str">
        <f>IF(AND(Programme_Grunddaten!$A365="Geprüft",Programme_Grunddaten!M365&lt;&gt;""),IF(Programme_Grunddaten!M365="Ja",1,0),"")</f>
        <v/>
      </c>
      <c r="G360" s="1" t="str">
        <f>IF(AND(Programme_Grunddaten!$A365="Geprüft",Programme_Grunddaten!N365&lt;&gt;""),IF(Programme_Grunddaten!N365="Ja",1,0),"")</f>
        <v/>
      </c>
      <c r="H360" s="1" t="str">
        <f>IF(AND(Programme_Grunddaten!$A365="Geprüft",Programme_Grunddaten!O365&lt;&gt;""),IF(Programme_Grunddaten!O365="Deutschland",0,IF(Programme_Grunddaten!O365="EU",1,2)),"")</f>
        <v/>
      </c>
      <c r="I360" s="1" t="str">
        <f>IF(AND(Programme_Grunddaten!$A365="Geprüft",Programme_Grunddaten!P365&lt;&gt;""),IF(Programme_Grunddaten!P365="Ja",1,0),"")</f>
        <v/>
      </c>
      <c r="J360" s="1" t="str">
        <f>IF(AND(Programme_Grunddaten!$A365="Geprüft",Programme_Grunddaten!Q365&lt;&gt;""),IF(Programme_Grunddaten!Q365="geschlossenes System",1,0),"")</f>
        <v/>
      </c>
      <c r="K360" s="1" t="str">
        <f>IF(AND(Programme_Grunddaten!$A365="Geprüft",Programme_Grunddaten!R365&lt;&gt;""),IF(Programme_Grunddaten!R365="Ja",1,0),"")</f>
        <v/>
      </c>
      <c r="L360" s="1" t="str">
        <f>IF(AND(Programme_Grunddaten!$A365="Geprüft",Programme_Grunddaten!T365&lt;&gt;""),IF(Programme_Grunddaten!T365="Ja",1,0),"")</f>
        <v/>
      </c>
      <c r="M360" s="1" t="str">
        <f>IF(AND(Programme_Grunddaten!$A365="Geprüft",Programme_Grunddaten!U365&lt;&gt;""),IF(Programme_Grunddaten!U365="Ja",1,0),"")</f>
        <v/>
      </c>
      <c r="N360" s="1" t="str">
        <f>IF(AND(Programme_Grunddaten!$A365="Geprüft",Programme_Grunddaten!V365&lt;&gt;""),IF(Programme_Grunddaten!V365="Ja",1,0),"")</f>
        <v/>
      </c>
      <c r="O360" s="1" t="str">
        <f>IF(AND(Programme_Grunddaten!$A365="Geprüft",Programme_Grunddaten!W365&lt;&gt;""),IF(Programme_Grunddaten!W365="Ja",1,0),"")</f>
        <v/>
      </c>
      <c r="P360" s="1" t="str">
        <f>IF(AND(Programme_Grunddaten!$A365="Geprüft",Programme_Grunddaten!X365&lt;&gt;""),IF(Programme_Grunddaten!X365="Ja",1,0),"")</f>
        <v/>
      </c>
      <c r="Q360" s="1" t="str">
        <f>IF(AND(Programme_Grunddaten!$A365="Geprüft",Programme_Grunddaten!Y365&lt;&gt;""),IF(Programme_Grunddaten!Y365="Ja",1,0),"")</f>
        <v/>
      </c>
      <c r="R360" s="1" t="str">
        <f>IF(AND(Programme_Grunddaten!$A365="Geprüft",Programme_Grunddaten!Z365&lt;&gt;""),IF(Programme_Grunddaten!Z365="Ja",1,0),"")</f>
        <v/>
      </c>
      <c r="S360" s="1" t="str">
        <f>IF(AND(Programme_Grunddaten!$A365="Geprüft",Programme_Grunddaten!AA365&lt;&gt;""),IF(Programme_Grunddaten!AA365="monolithisch",1,0),"")</f>
        <v/>
      </c>
      <c r="T360" s="1" t="str">
        <f>IF(AND(Programme_Grunddaten!$A365="Geprüft",Programme_Grunddaten!AB365&lt;&gt;""),IF(Programme_Grunddaten!AB365="Ja",1,0),"")</f>
        <v/>
      </c>
      <c r="U360" s="1" t="str">
        <f>IF(AND(Programme_Grunddaten!$A365="Geprüft",Programme_Grunddaten!AC365&lt;&gt;""),IF(Programme_Grunddaten!AC365="Ja",1,0),"")</f>
        <v/>
      </c>
      <c r="V360" s="1" t="str">
        <f>IF(AND(Programme_Grunddaten!$A365="Geprüft",Programme_Grunddaten!AD365&lt;&gt;""),IF(Programme_Grunddaten!AD365="Ja",1,0),"")</f>
        <v/>
      </c>
      <c r="W360" s="1" t="str">
        <f>IF(AND(Programme_Grunddaten!$A365="Geprüft",Programme_Grunddaten!AE365&lt;&gt;""),IF(Programme_Grunddaten!AE365="Ja",1,0),"")</f>
        <v/>
      </c>
      <c r="X360" s="1" t="str">
        <f>IF(AND(Programme_Grunddaten!$A365="Geprüft",Programme_Grunddaten!AF365&lt;&gt;""),IF(Programme_Grunddaten!AF365="Ja",1,0),"")</f>
        <v/>
      </c>
      <c r="Y360" s="1" t="str">
        <f>IF(AND(Programme_Grunddaten!$A365="Geprüft",Programme_Grunddaten!AG365&lt;&gt;""),IF(Programme_Grunddaten!AG365="Ja",1,0),"")</f>
        <v/>
      </c>
      <c r="Z360" s="1" t="str">
        <f>IF(AND(Programme_Grunddaten!$A365="Geprüft",Programme_Grunddaten!AH365&lt;&gt;""),IF(Programme_Grunddaten!AH365="Ja",1,0),"")</f>
        <v/>
      </c>
      <c r="AA360" s="1" t="str">
        <f>IF(AND(Programme_Grunddaten!$A365="Geprüft",Programme_Grunddaten!AI365&lt;&gt;""),IF(Programme_Grunddaten!AI365="Ja",1,0),"")</f>
        <v/>
      </c>
      <c r="AB360" s="1" t="str">
        <f>IF(AND(Programme_Grunddaten!$A365="Geprüft",Programme_Grunddaten!AJ365&lt;&gt;""),IF(Programme_Grunddaten!AJ365="individuell programmierbar",1,0),"")</f>
        <v/>
      </c>
      <c r="AC360" s="1" t="str">
        <f>IF(AND(Programme_Grunddaten!$A365="Geprüft",Programme_Grunddaten!AK365&lt;&gt;""),IF(Programme_Grunddaten!AK365="Deutsch",0,IF(Programme_Grunddaten!AK365="Deutsch und Englisch",1,2)),"")</f>
        <v/>
      </c>
      <c r="AD360" s="1" t="str">
        <f>IF(AND(Programme_Grunddaten!$A365="Geprüft",Programme_Grunddaten!AL365&lt;&gt;""),IF(Programme_Grunddaten!AL365="Ja",1,0),"")</f>
        <v/>
      </c>
      <c r="AE360" s="1" t="str">
        <f>IF(AND(Programme_Grunddaten!$A365="Geprüft",Programme_Grunddaten!AM365&lt;&gt;""),IF(Programme_Grunddaten!AM365="Ja",1,0),"")</f>
        <v/>
      </c>
      <c r="AF360" s="1" t="str">
        <f>IF(AND(Programme_Grunddaten!$A365="Geprüft",Programme_Grunddaten!AN365&lt;&gt;""),IF(Programme_Grunddaten!AN365="Ja",1,0),"")</f>
        <v/>
      </c>
      <c r="AG360" s="1" t="str">
        <f>IF(AND(Programme_Grunddaten!$A365="Geprüft",Programme_Grunddaten!AO365&lt;&gt;""),IF(Programme_Grunddaten!AO365="Ja",1,0),"")</f>
        <v/>
      </c>
      <c r="AH360" s="1" t="str">
        <f>IF(AND(Programme_Grunddaten!$A365="Geprüft",Programme_Grunddaten!AP365&lt;&gt;""),IF(Programme_Grunddaten!AP365="Ja",1,0),"")</f>
        <v/>
      </c>
      <c r="AI360" s="1" t="str">
        <f>IF(AND(Programme_Grunddaten!$A365="Geprüft",Programme_Grunddaten!AQ365&lt;&gt;""),IF(Programme_Grunddaten!AQ365="Ja",1,0),"")</f>
        <v/>
      </c>
      <c r="AJ360" s="1" t="str">
        <f>IF(AND(Programme_Grunddaten!$A365="Geprüft",Programme_Grunddaten!AR365&lt;&gt;""),IF(Programme_Grunddaten!AR365="Ja",1,0),"")</f>
        <v/>
      </c>
      <c r="AK360" s="1" t="str">
        <f>IF(AND(Programme_Grunddaten!$A365="Geprüft",Programme_Grunddaten!AS365&lt;&gt;""),IF(Programme_Grunddaten!AS365="Ja",1,0),"")</f>
        <v/>
      </c>
      <c r="AL360" s="1" t="str">
        <f>IF(AND(Programme_Grunddaten!$A365="Geprüft",Programme_Grunddaten!AT365&lt;&gt;""),IF(Programme_Grunddaten!AT365="Ja",1,0),"")</f>
        <v/>
      </c>
      <c r="AM360" s="1" t="str">
        <f>IF(AND(Programme_Grunddaten!$A365="Geprüft",Programme_Grunddaten!AU365&lt;&gt;""),IF(Programme_Grunddaten!AU365="Ja",1,0),"")</f>
        <v/>
      </c>
      <c r="AN360" s="1" t="str">
        <f>IF(AND(Programme_Grunddaten!$A365="Geprüft",Programme_Grunddaten!AV365&lt;&gt;""),IF(Programme_Grunddaten!AV365="Ja",1,0),"")</f>
        <v/>
      </c>
    </row>
    <row r="361" spans="1:40" x14ac:dyDescent="0.3">
      <c r="A361" s="1" t="str">
        <f>IF(AND(Programme_Grunddaten!A366="Geprüft",Programme_Grunddaten!B366&lt;&gt;""),Programme_Grunddaten!B366,"")</f>
        <v/>
      </c>
      <c r="B361" s="1" t="str">
        <f>IF(AND(Programme_Grunddaten!$A366="Geprüft",Programme_Grunddaten!I366&lt;&gt;""),IF(Programme_Grunddaten!I366="Ja",1,0),"")</f>
        <v/>
      </c>
      <c r="C361" s="1" t="str">
        <f>IF(AND(Programme_Grunddaten!$A366="Geprüft",Programme_Grunddaten!J366&lt;&gt;""),IF(Programme_Grunddaten!J366="Ja",1,0),"")</f>
        <v/>
      </c>
      <c r="D361" s="1" t="str">
        <f>IF(AND(Programme_Grunddaten!$A366="Geprüft",Programme_Grunddaten!K366&lt;&gt;""),IF(Programme_Grunddaten!K366="Ja",1,0),"")</f>
        <v/>
      </c>
      <c r="E361" s="1" t="str">
        <f>IF(AND(Programme_Grunddaten!$A366="Geprüft",Programme_Grunddaten!L366&lt;&gt;""),IF(Programme_Grunddaten!L366="Abo / befristete Lizenz",1,0),"")</f>
        <v/>
      </c>
      <c r="F361" s="1" t="str">
        <f>IF(AND(Programme_Grunddaten!$A366="Geprüft",Programme_Grunddaten!M366&lt;&gt;""),IF(Programme_Grunddaten!M366="Ja",1,0),"")</f>
        <v/>
      </c>
      <c r="G361" s="1" t="str">
        <f>IF(AND(Programme_Grunddaten!$A366="Geprüft",Programme_Grunddaten!N366&lt;&gt;""),IF(Programme_Grunddaten!N366="Ja",1,0),"")</f>
        <v/>
      </c>
      <c r="H361" s="1" t="str">
        <f>IF(AND(Programme_Grunddaten!$A366="Geprüft",Programme_Grunddaten!O366&lt;&gt;""),IF(Programme_Grunddaten!O366="Deutschland",0,IF(Programme_Grunddaten!O366="EU",1,2)),"")</f>
        <v/>
      </c>
      <c r="I361" s="1" t="str">
        <f>IF(AND(Programme_Grunddaten!$A366="Geprüft",Programme_Grunddaten!P366&lt;&gt;""),IF(Programme_Grunddaten!P366="Ja",1,0),"")</f>
        <v/>
      </c>
      <c r="J361" s="1" t="str">
        <f>IF(AND(Programme_Grunddaten!$A366="Geprüft",Programme_Grunddaten!Q366&lt;&gt;""),IF(Programme_Grunddaten!Q366="geschlossenes System",1,0),"")</f>
        <v/>
      </c>
      <c r="K361" s="1" t="str">
        <f>IF(AND(Programme_Grunddaten!$A366="Geprüft",Programme_Grunddaten!R366&lt;&gt;""),IF(Programme_Grunddaten!R366="Ja",1,0),"")</f>
        <v/>
      </c>
      <c r="L361" s="1" t="str">
        <f>IF(AND(Programme_Grunddaten!$A366="Geprüft",Programme_Grunddaten!T366&lt;&gt;""),IF(Programme_Grunddaten!T366="Ja",1,0),"")</f>
        <v/>
      </c>
      <c r="M361" s="1" t="str">
        <f>IF(AND(Programme_Grunddaten!$A366="Geprüft",Programme_Grunddaten!U366&lt;&gt;""),IF(Programme_Grunddaten!U366="Ja",1,0),"")</f>
        <v/>
      </c>
      <c r="N361" s="1" t="str">
        <f>IF(AND(Programme_Grunddaten!$A366="Geprüft",Programme_Grunddaten!V366&lt;&gt;""),IF(Programme_Grunddaten!V366="Ja",1,0),"")</f>
        <v/>
      </c>
      <c r="O361" s="1" t="str">
        <f>IF(AND(Programme_Grunddaten!$A366="Geprüft",Programme_Grunddaten!W366&lt;&gt;""),IF(Programme_Grunddaten!W366="Ja",1,0),"")</f>
        <v/>
      </c>
      <c r="P361" s="1" t="str">
        <f>IF(AND(Programme_Grunddaten!$A366="Geprüft",Programme_Grunddaten!X366&lt;&gt;""),IF(Programme_Grunddaten!X366="Ja",1,0),"")</f>
        <v/>
      </c>
      <c r="Q361" s="1" t="str">
        <f>IF(AND(Programme_Grunddaten!$A366="Geprüft",Programme_Grunddaten!Y366&lt;&gt;""),IF(Programme_Grunddaten!Y366="Ja",1,0),"")</f>
        <v/>
      </c>
      <c r="R361" s="1" t="str">
        <f>IF(AND(Programme_Grunddaten!$A366="Geprüft",Programme_Grunddaten!Z366&lt;&gt;""),IF(Programme_Grunddaten!Z366="Ja",1,0),"")</f>
        <v/>
      </c>
      <c r="S361" s="1" t="str">
        <f>IF(AND(Programme_Grunddaten!$A366="Geprüft",Programme_Grunddaten!AA366&lt;&gt;""),IF(Programme_Grunddaten!AA366="monolithisch",1,0),"")</f>
        <v/>
      </c>
      <c r="T361" s="1" t="str">
        <f>IF(AND(Programme_Grunddaten!$A366="Geprüft",Programme_Grunddaten!AB366&lt;&gt;""),IF(Programme_Grunddaten!AB366="Ja",1,0),"")</f>
        <v/>
      </c>
      <c r="U361" s="1" t="str">
        <f>IF(AND(Programme_Grunddaten!$A366="Geprüft",Programme_Grunddaten!AC366&lt;&gt;""),IF(Programme_Grunddaten!AC366="Ja",1,0),"")</f>
        <v/>
      </c>
      <c r="V361" s="1" t="str">
        <f>IF(AND(Programme_Grunddaten!$A366="Geprüft",Programme_Grunddaten!AD366&lt;&gt;""),IF(Programme_Grunddaten!AD366="Ja",1,0),"")</f>
        <v/>
      </c>
      <c r="W361" s="1" t="str">
        <f>IF(AND(Programme_Grunddaten!$A366="Geprüft",Programme_Grunddaten!AE366&lt;&gt;""),IF(Programme_Grunddaten!AE366="Ja",1,0),"")</f>
        <v/>
      </c>
      <c r="X361" s="1" t="str">
        <f>IF(AND(Programme_Grunddaten!$A366="Geprüft",Programme_Grunddaten!AF366&lt;&gt;""),IF(Programme_Grunddaten!AF366="Ja",1,0),"")</f>
        <v/>
      </c>
      <c r="Y361" s="1" t="str">
        <f>IF(AND(Programme_Grunddaten!$A366="Geprüft",Programme_Grunddaten!AG366&lt;&gt;""),IF(Programme_Grunddaten!AG366="Ja",1,0),"")</f>
        <v/>
      </c>
      <c r="Z361" s="1" t="str">
        <f>IF(AND(Programme_Grunddaten!$A366="Geprüft",Programme_Grunddaten!AH366&lt;&gt;""),IF(Programme_Grunddaten!AH366="Ja",1,0),"")</f>
        <v/>
      </c>
      <c r="AA361" s="1" t="str">
        <f>IF(AND(Programme_Grunddaten!$A366="Geprüft",Programme_Grunddaten!AI366&lt;&gt;""),IF(Programme_Grunddaten!AI366="Ja",1,0),"")</f>
        <v/>
      </c>
      <c r="AB361" s="1" t="str">
        <f>IF(AND(Programme_Grunddaten!$A366="Geprüft",Programme_Grunddaten!AJ366&lt;&gt;""),IF(Programme_Grunddaten!AJ366="individuell programmierbar",1,0),"")</f>
        <v/>
      </c>
      <c r="AC361" s="1" t="str">
        <f>IF(AND(Programme_Grunddaten!$A366="Geprüft",Programme_Grunddaten!AK366&lt;&gt;""),IF(Programme_Grunddaten!AK366="Deutsch",0,IF(Programme_Grunddaten!AK366="Deutsch und Englisch",1,2)),"")</f>
        <v/>
      </c>
      <c r="AD361" s="1" t="str">
        <f>IF(AND(Programme_Grunddaten!$A366="Geprüft",Programme_Grunddaten!AL366&lt;&gt;""),IF(Programme_Grunddaten!AL366="Ja",1,0),"")</f>
        <v/>
      </c>
      <c r="AE361" s="1" t="str">
        <f>IF(AND(Programme_Grunddaten!$A366="Geprüft",Programme_Grunddaten!AM366&lt;&gt;""),IF(Programme_Grunddaten!AM366="Ja",1,0),"")</f>
        <v/>
      </c>
      <c r="AF361" s="1" t="str">
        <f>IF(AND(Programme_Grunddaten!$A366="Geprüft",Programme_Grunddaten!AN366&lt;&gt;""),IF(Programme_Grunddaten!AN366="Ja",1,0),"")</f>
        <v/>
      </c>
      <c r="AG361" s="1" t="str">
        <f>IF(AND(Programme_Grunddaten!$A366="Geprüft",Programme_Grunddaten!AO366&lt;&gt;""),IF(Programme_Grunddaten!AO366="Ja",1,0),"")</f>
        <v/>
      </c>
      <c r="AH361" s="1" t="str">
        <f>IF(AND(Programme_Grunddaten!$A366="Geprüft",Programme_Grunddaten!AP366&lt;&gt;""),IF(Programme_Grunddaten!AP366="Ja",1,0),"")</f>
        <v/>
      </c>
      <c r="AI361" s="1" t="str">
        <f>IF(AND(Programme_Grunddaten!$A366="Geprüft",Programme_Grunddaten!AQ366&lt;&gt;""),IF(Programme_Grunddaten!AQ366="Ja",1,0),"")</f>
        <v/>
      </c>
      <c r="AJ361" s="1" t="str">
        <f>IF(AND(Programme_Grunddaten!$A366="Geprüft",Programme_Grunddaten!AR366&lt;&gt;""),IF(Programme_Grunddaten!AR366="Ja",1,0),"")</f>
        <v/>
      </c>
      <c r="AK361" s="1" t="str">
        <f>IF(AND(Programme_Grunddaten!$A366="Geprüft",Programme_Grunddaten!AS366&lt;&gt;""),IF(Programme_Grunddaten!AS366="Ja",1,0),"")</f>
        <v/>
      </c>
      <c r="AL361" s="1" t="str">
        <f>IF(AND(Programme_Grunddaten!$A366="Geprüft",Programme_Grunddaten!AT366&lt;&gt;""),IF(Programme_Grunddaten!AT366="Ja",1,0),"")</f>
        <v/>
      </c>
      <c r="AM361" s="1" t="str">
        <f>IF(AND(Programme_Grunddaten!$A366="Geprüft",Programme_Grunddaten!AU366&lt;&gt;""),IF(Programme_Grunddaten!AU366="Ja",1,0),"")</f>
        <v/>
      </c>
      <c r="AN361" s="1" t="str">
        <f>IF(AND(Programme_Grunddaten!$A366="Geprüft",Programme_Grunddaten!AV366&lt;&gt;""),IF(Programme_Grunddaten!AV366="Ja",1,0),"")</f>
        <v/>
      </c>
    </row>
    <row r="362" spans="1:40" x14ac:dyDescent="0.3">
      <c r="A362" s="1" t="str">
        <f>IF(AND(Programme_Grunddaten!A367="Geprüft",Programme_Grunddaten!B367&lt;&gt;""),Programme_Grunddaten!B367,"")</f>
        <v/>
      </c>
      <c r="B362" s="1" t="str">
        <f>IF(AND(Programme_Grunddaten!$A367="Geprüft",Programme_Grunddaten!I367&lt;&gt;""),IF(Programme_Grunddaten!I367="Ja",1,0),"")</f>
        <v/>
      </c>
      <c r="C362" s="1" t="str">
        <f>IF(AND(Programme_Grunddaten!$A367="Geprüft",Programme_Grunddaten!J367&lt;&gt;""),IF(Programme_Grunddaten!J367="Ja",1,0),"")</f>
        <v/>
      </c>
      <c r="D362" s="1" t="str">
        <f>IF(AND(Programme_Grunddaten!$A367="Geprüft",Programme_Grunddaten!K367&lt;&gt;""),IF(Programme_Grunddaten!K367="Ja",1,0),"")</f>
        <v/>
      </c>
      <c r="E362" s="1" t="str">
        <f>IF(AND(Programme_Grunddaten!$A367="Geprüft",Programme_Grunddaten!L367&lt;&gt;""),IF(Programme_Grunddaten!L367="Abo / befristete Lizenz",1,0),"")</f>
        <v/>
      </c>
      <c r="F362" s="1" t="str">
        <f>IF(AND(Programme_Grunddaten!$A367="Geprüft",Programme_Grunddaten!M367&lt;&gt;""),IF(Programme_Grunddaten!M367="Ja",1,0),"")</f>
        <v/>
      </c>
      <c r="G362" s="1" t="str">
        <f>IF(AND(Programme_Grunddaten!$A367="Geprüft",Programme_Grunddaten!N367&lt;&gt;""),IF(Programme_Grunddaten!N367="Ja",1,0),"")</f>
        <v/>
      </c>
      <c r="H362" s="1" t="str">
        <f>IF(AND(Programme_Grunddaten!$A367="Geprüft",Programme_Grunddaten!O367&lt;&gt;""),IF(Programme_Grunddaten!O367="Deutschland",0,IF(Programme_Grunddaten!O367="EU",1,2)),"")</f>
        <v/>
      </c>
      <c r="I362" s="1" t="str">
        <f>IF(AND(Programme_Grunddaten!$A367="Geprüft",Programme_Grunddaten!P367&lt;&gt;""),IF(Programme_Grunddaten!P367="Ja",1,0),"")</f>
        <v/>
      </c>
      <c r="J362" s="1" t="str">
        <f>IF(AND(Programme_Grunddaten!$A367="Geprüft",Programme_Grunddaten!Q367&lt;&gt;""),IF(Programme_Grunddaten!Q367="geschlossenes System",1,0),"")</f>
        <v/>
      </c>
      <c r="K362" s="1" t="str">
        <f>IF(AND(Programme_Grunddaten!$A367="Geprüft",Programme_Grunddaten!R367&lt;&gt;""),IF(Programme_Grunddaten!R367="Ja",1,0),"")</f>
        <v/>
      </c>
      <c r="L362" s="1" t="str">
        <f>IF(AND(Programme_Grunddaten!$A367="Geprüft",Programme_Grunddaten!T367&lt;&gt;""),IF(Programme_Grunddaten!T367="Ja",1,0),"")</f>
        <v/>
      </c>
      <c r="M362" s="1" t="str">
        <f>IF(AND(Programme_Grunddaten!$A367="Geprüft",Programme_Grunddaten!U367&lt;&gt;""),IF(Programme_Grunddaten!U367="Ja",1,0),"")</f>
        <v/>
      </c>
      <c r="N362" s="1" t="str">
        <f>IF(AND(Programme_Grunddaten!$A367="Geprüft",Programme_Grunddaten!V367&lt;&gt;""),IF(Programme_Grunddaten!V367="Ja",1,0),"")</f>
        <v/>
      </c>
      <c r="O362" s="1" t="str">
        <f>IF(AND(Programme_Grunddaten!$A367="Geprüft",Programme_Grunddaten!W367&lt;&gt;""),IF(Programme_Grunddaten!W367="Ja",1,0),"")</f>
        <v/>
      </c>
      <c r="P362" s="1" t="str">
        <f>IF(AND(Programme_Grunddaten!$A367="Geprüft",Programme_Grunddaten!X367&lt;&gt;""),IF(Programme_Grunddaten!X367="Ja",1,0),"")</f>
        <v/>
      </c>
      <c r="Q362" s="1" t="str">
        <f>IF(AND(Programme_Grunddaten!$A367="Geprüft",Programme_Grunddaten!Y367&lt;&gt;""),IF(Programme_Grunddaten!Y367="Ja",1,0),"")</f>
        <v/>
      </c>
      <c r="R362" s="1" t="str">
        <f>IF(AND(Programme_Grunddaten!$A367="Geprüft",Programme_Grunddaten!Z367&lt;&gt;""),IF(Programme_Grunddaten!Z367="Ja",1,0),"")</f>
        <v/>
      </c>
      <c r="S362" s="1" t="str">
        <f>IF(AND(Programme_Grunddaten!$A367="Geprüft",Programme_Grunddaten!AA367&lt;&gt;""),IF(Programme_Grunddaten!AA367="monolithisch",1,0),"")</f>
        <v/>
      </c>
      <c r="T362" s="1" t="str">
        <f>IF(AND(Programme_Grunddaten!$A367="Geprüft",Programme_Grunddaten!AB367&lt;&gt;""),IF(Programme_Grunddaten!AB367="Ja",1,0),"")</f>
        <v/>
      </c>
      <c r="U362" s="1" t="str">
        <f>IF(AND(Programme_Grunddaten!$A367="Geprüft",Programme_Grunddaten!AC367&lt;&gt;""),IF(Programme_Grunddaten!AC367="Ja",1,0),"")</f>
        <v/>
      </c>
      <c r="V362" s="1" t="str">
        <f>IF(AND(Programme_Grunddaten!$A367="Geprüft",Programme_Grunddaten!AD367&lt;&gt;""),IF(Programme_Grunddaten!AD367="Ja",1,0),"")</f>
        <v/>
      </c>
      <c r="W362" s="1" t="str">
        <f>IF(AND(Programme_Grunddaten!$A367="Geprüft",Programme_Grunddaten!AE367&lt;&gt;""),IF(Programme_Grunddaten!AE367="Ja",1,0),"")</f>
        <v/>
      </c>
      <c r="X362" s="1" t="str">
        <f>IF(AND(Programme_Grunddaten!$A367="Geprüft",Programme_Grunddaten!AF367&lt;&gt;""),IF(Programme_Grunddaten!AF367="Ja",1,0),"")</f>
        <v/>
      </c>
      <c r="Y362" s="1" t="str">
        <f>IF(AND(Programme_Grunddaten!$A367="Geprüft",Programme_Grunddaten!AG367&lt;&gt;""),IF(Programme_Grunddaten!AG367="Ja",1,0),"")</f>
        <v/>
      </c>
      <c r="Z362" s="1" t="str">
        <f>IF(AND(Programme_Grunddaten!$A367="Geprüft",Programme_Grunddaten!AH367&lt;&gt;""),IF(Programme_Grunddaten!AH367="Ja",1,0),"")</f>
        <v/>
      </c>
      <c r="AA362" s="1" t="str">
        <f>IF(AND(Programme_Grunddaten!$A367="Geprüft",Programme_Grunddaten!AI367&lt;&gt;""),IF(Programme_Grunddaten!AI367="Ja",1,0),"")</f>
        <v/>
      </c>
      <c r="AB362" s="1" t="str">
        <f>IF(AND(Programme_Grunddaten!$A367="Geprüft",Programme_Grunddaten!AJ367&lt;&gt;""),IF(Programme_Grunddaten!AJ367="individuell programmierbar",1,0),"")</f>
        <v/>
      </c>
      <c r="AC362" s="1" t="str">
        <f>IF(AND(Programme_Grunddaten!$A367="Geprüft",Programme_Grunddaten!AK367&lt;&gt;""),IF(Programme_Grunddaten!AK367="Deutsch",0,IF(Programme_Grunddaten!AK367="Deutsch und Englisch",1,2)),"")</f>
        <v/>
      </c>
      <c r="AD362" s="1" t="str">
        <f>IF(AND(Programme_Grunddaten!$A367="Geprüft",Programme_Grunddaten!AL367&lt;&gt;""),IF(Programme_Grunddaten!AL367="Ja",1,0),"")</f>
        <v/>
      </c>
      <c r="AE362" s="1" t="str">
        <f>IF(AND(Programme_Grunddaten!$A367="Geprüft",Programme_Grunddaten!AM367&lt;&gt;""),IF(Programme_Grunddaten!AM367="Ja",1,0),"")</f>
        <v/>
      </c>
      <c r="AF362" s="1" t="str">
        <f>IF(AND(Programme_Grunddaten!$A367="Geprüft",Programme_Grunddaten!AN367&lt;&gt;""),IF(Programme_Grunddaten!AN367="Ja",1,0),"")</f>
        <v/>
      </c>
      <c r="AG362" s="1" t="str">
        <f>IF(AND(Programme_Grunddaten!$A367="Geprüft",Programme_Grunddaten!AO367&lt;&gt;""),IF(Programme_Grunddaten!AO367="Ja",1,0),"")</f>
        <v/>
      </c>
      <c r="AH362" s="1" t="str">
        <f>IF(AND(Programme_Grunddaten!$A367="Geprüft",Programme_Grunddaten!AP367&lt;&gt;""),IF(Programme_Grunddaten!AP367="Ja",1,0),"")</f>
        <v/>
      </c>
      <c r="AI362" s="1" t="str">
        <f>IF(AND(Programme_Grunddaten!$A367="Geprüft",Programme_Grunddaten!AQ367&lt;&gt;""),IF(Programme_Grunddaten!AQ367="Ja",1,0),"")</f>
        <v/>
      </c>
      <c r="AJ362" s="1" t="str">
        <f>IF(AND(Programme_Grunddaten!$A367="Geprüft",Programme_Grunddaten!AR367&lt;&gt;""),IF(Programme_Grunddaten!AR367="Ja",1,0),"")</f>
        <v/>
      </c>
      <c r="AK362" s="1" t="str">
        <f>IF(AND(Programme_Grunddaten!$A367="Geprüft",Programme_Grunddaten!AS367&lt;&gt;""),IF(Programme_Grunddaten!AS367="Ja",1,0),"")</f>
        <v/>
      </c>
      <c r="AL362" s="1" t="str">
        <f>IF(AND(Programme_Grunddaten!$A367="Geprüft",Programme_Grunddaten!AT367&lt;&gt;""),IF(Programme_Grunddaten!AT367="Ja",1,0),"")</f>
        <v/>
      </c>
      <c r="AM362" s="1" t="str">
        <f>IF(AND(Programme_Grunddaten!$A367="Geprüft",Programme_Grunddaten!AU367&lt;&gt;""),IF(Programme_Grunddaten!AU367="Ja",1,0),"")</f>
        <v/>
      </c>
      <c r="AN362" s="1" t="str">
        <f>IF(AND(Programme_Grunddaten!$A367="Geprüft",Programme_Grunddaten!AV367&lt;&gt;""),IF(Programme_Grunddaten!AV367="Ja",1,0),"")</f>
        <v/>
      </c>
    </row>
    <row r="363" spans="1:40" x14ac:dyDescent="0.3">
      <c r="A363" s="1" t="str">
        <f>IF(AND(Programme_Grunddaten!A368="Geprüft",Programme_Grunddaten!B368&lt;&gt;""),Programme_Grunddaten!B368,"")</f>
        <v/>
      </c>
      <c r="B363" s="1" t="str">
        <f>IF(AND(Programme_Grunddaten!$A368="Geprüft",Programme_Grunddaten!I368&lt;&gt;""),IF(Programme_Grunddaten!I368="Ja",1,0),"")</f>
        <v/>
      </c>
      <c r="C363" s="1" t="str">
        <f>IF(AND(Programme_Grunddaten!$A368="Geprüft",Programme_Grunddaten!J368&lt;&gt;""),IF(Programme_Grunddaten!J368="Ja",1,0),"")</f>
        <v/>
      </c>
      <c r="D363" s="1" t="str">
        <f>IF(AND(Programme_Grunddaten!$A368="Geprüft",Programme_Grunddaten!K368&lt;&gt;""),IF(Programme_Grunddaten!K368="Ja",1,0),"")</f>
        <v/>
      </c>
      <c r="E363" s="1" t="str">
        <f>IF(AND(Programme_Grunddaten!$A368="Geprüft",Programme_Grunddaten!L368&lt;&gt;""),IF(Programme_Grunddaten!L368="Abo / befristete Lizenz",1,0),"")</f>
        <v/>
      </c>
      <c r="F363" s="1" t="str">
        <f>IF(AND(Programme_Grunddaten!$A368="Geprüft",Programme_Grunddaten!M368&lt;&gt;""),IF(Programme_Grunddaten!M368="Ja",1,0),"")</f>
        <v/>
      </c>
      <c r="G363" s="1" t="str">
        <f>IF(AND(Programme_Grunddaten!$A368="Geprüft",Programme_Grunddaten!N368&lt;&gt;""),IF(Programme_Grunddaten!N368="Ja",1,0),"")</f>
        <v/>
      </c>
      <c r="H363" s="1" t="str">
        <f>IF(AND(Programme_Grunddaten!$A368="Geprüft",Programme_Grunddaten!O368&lt;&gt;""),IF(Programme_Grunddaten!O368="Deutschland",0,IF(Programme_Grunddaten!O368="EU",1,2)),"")</f>
        <v/>
      </c>
      <c r="I363" s="1" t="str">
        <f>IF(AND(Programme_Grunddaten!$A368="Geprüft",Programme_Grunddaten!P368&lt;&gt;""),IF(Programme_Grunddaten!P368="Ja",1,0),"")</f>
        <v/>
      </c>
      <c r="J363" s="1" t="str">
        <f>IF(AND(Programme_Grunddaten!$A368="Geprüft",Programme_Grunddaten!Q368&lt;&gt;""),IF(Programme_Grunddaten!Q368="geschlossenes System",1,0),"")</f>
        <v/>
      </c>
      <c r="K363" s="1" t="str">
        <f>IF(AND(Programme_Grunddaten!$A368="Geprüft",Programme_Grunddaten!R368&lt;&gt;""),IF(Programme_Grunddaten!R368="Ja",1,0),"")</f>
        <v/>
      </c>
      <c r="L363" s="1" t="str">
        <f>IF(AND(Programme_Grunddaten!$A368="Geprüft",Programme_Grunddaten!T368&lt;&gt;""),IF(Programme_Grunddaten!T368="Ja",1,0),"")</f>
        <v/>
      </c>
      <c r="M363" s="1" t="str">
        <f>IF(AND(Programme_Grunddaten!$A368="Geprüft",Programme_Grunddaten!U368&lt;&gt;""),IF(Programme_Grunddaten!U368="Ja",1,0),"")</f>
        <v/>
      </c>
      <c r="N363" s="1" t="str">
        <f>IF(AND(Programme_Grunddaten!$A368="Geprüft",Programme_Grunddaten!V368&lt;&gt;""),IF(Programme_Grunddaten!V368="Ja",1,0),"")</f>
        <v/>
      </c>
      <c r="O363" s="1" t="str">
        <f>IF(AND(Programme_Grunddaten!$A368="Geprüft",Programme_Grunddaten!W368&lt;&gt;""),IF(Programme_Grunddaten!W368="Ja",1,0),"")</f>
        <v/>
      </c>
      <c r="P363" s="1" t="str">
        <f>IF(AND(Programme_Grunddaten!$A368="Geprüft",Programme_Grunddaten!X368&lt;&gt;""),IF(Programme_Grunddaten!X368="Ja",1,0),"")</f>
        <v/>
      </c>
      <c r="Q363" s="1" t="str">
        <f>IF(AND(Programme_Grunddaten!$A368="Geprüft",Programme_Grunddaten!Y368&lt;&gt;""),IF(Programme_Grunddaten!Y368="Ja",1,0),"")</f>
        <v/>
      </c>
      <c r="R363" s="1" t="str">
        <f>IF(AND(Programme_Grunddaten!$A368="Geprüft",Programme_Grunddaten!Z368&lt;&gt;""),IF(Programme_Grunddaten!Z368="Ja",1,0),"")</f>
        <v/>
      </c>
      <c r="S363" s="1" t="str">
        <f>IF(AND(Programme_Grunddaten!$A368="Geprüft",Programme_Grunddaten!AA368&lt;&gt;""),IF(Programme_Grunddaten!AA368="monolithisch",1,0),"")</f>
        <v/>
      </c>
      <c r="T363" s="1" t="str">
        <f>IF(AND(Programme_Grunddaten!$A368="Geprüft",Programme_Grunddaten!AB368&lt;&gt;""),IF(Programme_Grunddaten!AB368="Ja",1,0),"")</f>
        <v/>
      </c>
      <c r="U363" s="1" t="str">
        <f>IF(AND(Programme_Grunddaten!$A368="Geprüft",Programme_Grunddaten!AC368&lt;&gt;""),IF(Programme_Grunddaten!AC368="Ja",1,0),"")</f>
        <v/>
      </c>
      <c r="V363" s="1" t="str">
        <f>IF(AND(Programme_Grunddaten!$A368="Geprüft",Programme_Grunddaten!AD368&lt;&gt;""),IF(Programme_Grunddaten!AD368="Ja",1,0),"")</f>
        <v/>
      </c>
      <c r="W363" s="1" t="str">
        <f>IF(AND(Programme_Grunddaten!$A368="Geprüft",Programme_Grunddaten!AE368&lt;&gt;""),IF(Programme_Grunddaten!AE368="Ja",1,0),"")</f>
        <v/>
      </c>
      <c r="X363" s="1" t="str">
        <f>IF(AND(Programme_Grunddaten!$A368="Geprüft",Programme_Grunddaten!AF368&lt;&gt;""),IF(Programme_Grunddaten!AF368="Ja",1,0),"")</f>
        <v/>
      </c>
      <c r="Y363" s="1" t="str">
        <f>IF(AND(Programme_Grunddaten!$A368="Geprüft",Programme_Grunddaten!AG368&lt;&gt;""),IF(Programme_Grunddaten!AG368="Ja",1,0),"")</f>
        <v/>
      </c>
      <c r="Z363" s="1" t="str">
        <f>IF(AND(Programme_Grunddaten!$A368="Geprüft",Programme_Grunddaten!AH368&lt;&gt;""),IF(Programme_Grunddaten!AH368="Ja",1,0),"")</f>
        <v/>
      </c>
      <c r="AA363" s="1" t="str">
        <f>IF(AND(Programme_Grunddaten!$A368="Geprüft",Programme_Grunddaten!AI368&lt;&gt;""),IF(Programme_Grunddaten!AI368="Ja",1,0),"")</f>
        <v/>
      </c>
      <c r="AB363" s="1" t="str">
        <f>IF(AND(Programme_Grunddaten!$A368="Geprüft",Programme_Grunddaten!AJ368&lt;&gt;""),IF(Programme_Grunddaten!AJ368="individuell programmierbar",1,0),"")</f>
        <v/>
      </c>
      <c r="AC363" s="1" t="str">
        <f>IF(AND(Programme_Grunddaten!$A368="Geprüft",Programme_Grunddaten!AK368&lt;&gt;""),IF(Programme_Grunddaten!AK368="Deutsch",0,IF(Programme_Grunddaten!AK368="Deutsch und Englisch",1,2)),"")</f>
        <v/>
      </c>
      <c r="AD363" s="1" t="str">
        <f>IF(AND(Programme_Grunddaten!$A368="Geprüft",Programme_Grunddaten!AL368&lt;&gt;""),IF(Programme_Grunddaten!AL368="Ja",1,0),"")</f>
        <v/>
      </c>
      <c r="AE363" s="1" t="str">
        <f>IF(AND(Programme_Grunddaten!$A368="Geprüft",Programme_Grunddaten!AM368&lt;&gt;""),IF(Programme_Grunddaten!AM368="Ja",1,0),"")</f>
        <v/>
      </c>
      <c r="AF363" s="1" t="str">
        <f>IF(AND(Programme_Grunddaten!$A368="Geprüft",Programme_Grunddaten!AN368&lt;&gt;""),IF(Programme_Grunddaten!AN368="Ja",1,0),"")</f>
        <v/>
      </c>
      <c r="AG363" s="1" t="str">
        <f>IF(AND(Programme_Grunddaten!$A368="Geprüft",Programme_Grunddaten!AO368&lt;&gt;""),IF(Programme_Grunddaten!AO368="Ja",1,0),"")</f>
        <v/>
      </c>
      <c r="AH363" s="1" t="str">
        <f>IF(AND(Programme_Grunddaten!$A368="Geprüft",Programme_Grunddaten!AP368&lt;&gt;""),IF(Programme_Grunddaten!AP368="Ja",1,0),"")</f>
        <v/>
      </c>
      <c r="AI363" s="1" t="str">
        <f>IF(AND(Programme_Grunddaten!$A368="Geprüft",Programme_Grunddaten!AQ368&lt;&gt;""),IF(Programme_Grunddaten!AQ368="Ja",1,0),"")</f>
        <v/>
      </c>
      <c r="AJ363" s="1" t="str">
        <f>IF(AND(Programme_Grunddaten!$A368="Geprüft",Programme_Grunddaten!AR368&lt;&gt;""),IF(Programme_Grunddaten!AR368="Ja",1,0),"")</f>
        <v/>
      </c>
      <c r="AK363" s="1" t="str">
        <f>IF(AND(Programme_Grunddaten!$A368="Geprüft",Programme_Grunddaten!AS368&lt;&gt;""),IF(Programme_Grunddaten!AS368="Ja",1,0),"")</f>
        <v/>
      </c>
      <c r="AL363" s="1" t="str">
        <f>IF(AND(Programme_Grunddaten!$A368="Geprüft",Programme_Grunddaten!AT368&lt;&gt;""),IF(Programme_Grunddaten!AT368="Ja",1,0),"")</f>
        <v/>
      </c>
      <c r="AM363" s="1" t="str">
        <f>IF(AND(Programme_Grunddaten!$A368="Geprüft",Programme_Grunddaten!AU368&lt;&gt;""),IF(Programme_Grunddaten!AU368="Ja",1,0),"")</f>
        <v/>
      </c>
      <c r="AN363" s="1" t="str">
        <f>IF(AND(Programme_Grunddaten!$A368="Geprüft",Programme_Grunddaten!AV368&lt;&gt;""),IF(Programme_Grunddaten!AV368="Ja",1,0),"")</f>
        <v/>
      </c>
    </row>
    <row r="364" spans="1:40" x14ac:dyDescent="0.3">
      <c r="A364" s="1" t="str">
        <f>IF(AND(Programme_Grunddaten!A369="Geprüft",Programme_Grunddaten!B369&lt;&gt;""),Programme_Grunddaten!B369,"")</f>
        <v/>
      </c>
      <c r="B364" s="1" t="str">
        <f>IF(AND(Programme_Grunddaten!$A369="Geprüft",Programme_Grunddaten!I369&lt;&gt;""),IF(Programme_Grunddaten!I369="Ja",1,0),"")</f>
        <v/>
      </c>
      <c r="C364" s="1" t="str">
        <f>IF(AND(Programme_Grunddaten!$A369="Geprüft",Programme_Grunddaten!J369&lt;&gt;""),IF(Programme_Grunddaten!J369="Ja",1,0),"")</f>
        <v/>
      </c>
      <c r="D364" s="1" t="str">
        <f>IF(AND(Programme_Grunddaten!$A369="Geprüft",Programme_Grunddaten!K369&lt;&gt;""),IF(Programme_Grunddaten!K369="Ja",1,0),"")</f>
        <v/>
      </c>
      <c r="E364" s="1" t="str">
        <f>IF(AND(Programme_Grunddaten!$A369="Geprüft",Programme_Grunddaten!L369&lt;&gt;""),IF(Programme_Grunddaten!L369="Abo / befristete Lizenz",1,0),"")</f>
        <v/>
      </c>
      <c r="F364" s="1" t="str">
        <f>IF(AND(Programme_Grunddaten!$A369="Geprüft",Programme_Grunddaten!M369&lt;&gt;""),IF(Programme_Grunddaten!M369="Ja",1,0),"")</f>
        <v/>
      </c>
      <c r="G364" s="1" t="str">
        <f>IF(AND(Programme_Grunddaten!$A369="Geprüft",Programme_Grunddaten!N369&lt;&gt;""),IF(Programme_Grunddaten!N369="Ja",1,0),"")</f>
        <v/>
      </c>
      <c r="H364" s="1" t="str">
        <f>IF(AND(Programme_Grunddaten!$A369="Geprüft",Programme_Grunddaten!O369&lt;&gt;""),IF(Programme_Grunddaten!O369="Deutschland",0,IF(Programme_Grunddaten!O369="EU",1,2)),"")</f>
        <v/>
      </c>
      <c r="I364" s="1" t="str">
        <f>IF(AND(Programme_Grunddaten!$A369="Geprüft",Programme_Grunddaten!P369&lt;&gt;""),IF(Programme_Grunddaten!P369="Ja",1,0),"")</f>
        <v/>
      </c>
      <c r="J364" s="1" t="str">
        <f>IF(AND(Programme_Grunddaten!$A369="Geprüft",Programme_Grunddaten!Q369&lt;&gt;""),IF(Programme_Grunddaten!Q369="geschlossenes System",1,0),"")</f>
        <v/>
      </c>
      <c r="K364" s="1" t="str">
        <f>IF(AND(Programme_Grunddaten!$A369="Geprüft",Programme_Grunddaten!R369&lt;&gt;""),IF(Programme_Grunddaten!R369="Ja",1,0),"")</f>
        <v/>
      </c>
      <c r="L364" s="1" t="str">
        <f>IF(AND(Programme_Grunddaten!$A369="Geprüft",Programme_Grunddaten!T369&lt;&gt;""),IF(Programme_Grunddaten!T369="Ja",1,0),"")</f>
        <v/>
      </c>
      <c r="M364" s="1" t="str">
        <f>IF(AND(Programme_Grunddaten!$A369="Geprüft",Programme_Grunddaten!U369&lt;&gt;""),IF(Programme_Grunddaten!U369="Ja",1,0),"")</f>
        <v/>
      </c>
      <c r="N364" s="1" t="str">
        <f>IF(AND(Programme_Grunddaten!$A369="Geprüft",Programme_Grunddaten!V369&lt;&gt;""),IF(Programme_Grunddaten!V369="Ja",1,0),"")</f>
        <v/>
      </c>
      <c r="O364" s="1" t="str">
        <f>IF(AND(Programme_Grunddaten!$A369="Geprüft",Programme_Grunddaten!W369&lt;&gt;""),IF(Programme_Grunddaten!W369="Ja",1,0),"")</f>
        <v/>
      </c>
      <c r="P364" s="1" t="str">
        <f>IF(AND(Programme_Grunddaten!$A369="Geprüft",Programme_Grunddaten!X369&lt;&gt;""),IF(Programme_Grunddaten!X369="Ja",1,0),"")</f>
        <v/>
      </c>
      <c r="Q364" s="1" t="str">
        <f>IF(AND(Programme_Grunddaten!$A369="Geprüft",Programme_Grunddaten!Y369&lt;&gt;""),IF(Programme_Grunddaten!Y369="Ja",1,0),"")</f>
        <v/>
      </c>
      <c r="R364" s="1" t="str">
        <f>IF(AND(Programme_Grunddaten!$A369="Geprüft",Programme_Grunddaten!Z369&lt;&gt;""),IF(Programme_Grunddaten!Z369="Ja",1,0),"")</f>
        <v/>
      </c>
      <c r="S364" s="1" t="str">
        <f>IF(AND(Programme_Grunddaten!$A369="Geprüft",Programme_Grunddaten!AA369&lt;&gt;""),IF(Programme_Grunddaten!AA369="monolithisch",1,0),"")</f>
        <v/>
      </c>
      <c r="T364" s="1" t="str">
        <f>IF(AND(Programme_Grunddaten!$A369="Geprüft",Programme_Grunddaten!AB369&lt;&gt;""),IF(Programme_Grunddaten!AB369="Ja",1,0),"")</f>
        <v/>
      </c>
      <c r="U364" s="1" t="str">
        <f>IF(AND(Programme_Grunddaten!$A369="Geprüft",Programme_Grunddaten!AC369&lt;&gt;""),IF(Programme_Grunddaten!AC369="Ja",1,0),"")</f>
        <v/>
      </c>
      <c r="V364" s="1" t="str">
        <f>IF(AND(Programme_Grunddaten!$A369="Geprüft",Programme_Grunddaten!AD369&lt;&gt;""),IF(Programme_Grunddaten!AD369="Ja",1,0),"")</f>
        <v/>
      </c>
      <c r="W364" s="1" t="str">
        <f>IF(AND(Programme_Grunddaten!$A369="Geprüft",Programme_Grunddaten!AE369&lt;&gt;""),IF(Programme_Grunddaten!AE369="Ja",1,0),"")</f>
        <v/>
      </c>
      <c r="X364" s="1" t="str">
        <f>IF(AND(Programme_Grunddaten!$A369="Geprüft",Programme_Grunddaten!AF369&lt;&gt;""),IF(Programme_Grunddaten!AF369="Ja",1,0),"")</f>
        <v/>
      </c>
      <c r="Y364" s="1" t="str">
        <f>IF(AND(Programme_Grunddaten!$A369="Geprüft",Programme_Grunddaten!AG369&lt;&gt;""),IF(Programme_Grunddaten!AG369="Ja",1,0),"")</f>
        <v/>
      </c>
      <c r="Z364" s="1" t="str">
        <f>IF(AND(Programme_Grunddaten!$A369="Geprüft",Programme_Grunddaten!AH369&lt;&gt;""),IF(Programme_Grunddaten!AH369="Ja",1,0),"")</f>
        <v/>
      </c>
      <c r="AA364" s="1" t="str">
        <f>IF(AND(Programme_Grunddaten!$A369="Geprüft",Programme_Grunddaten!AI369&lt;&gt;""),IF(Programme_Grunddaten!AI369="Ja",1,0),"")</f>
        <v/>
      </c>
      <c r="AB364" s="1" t="str">
        <f>IF(AND(Programme_Grunddaten!$A369="Geprüft",Programme_Grunddaten!AJ369&lt;&gt;""),IF(Programme_Grunddaten!AJ369="individuell programmierbar",1,0),"")</f>
        <v/>
      </c>
      <c r="AC364" s="1" t="str">
        <f>IF(AND(Programme_Grunddaten!$A369="Geprüft",Programme_Grunddaten!AK369&lt;&gt;""),IF(Programme_Grunddaten!AK369="Deutsch",0,IF(Programme_Grunddaten!AK369="Deutsch und Englisch",1,2)),"")</f>
        <v/>
      </c>
      <c r="AD364" s="1" t="str">
        <f>IF(AND(Programme_Grunddaten!$A369="Geprüft",Programme_Grunddaten!AL369&lt;&gt;""),IF(Programme_Grunddaten!AL369="Ja",1,0),"")</f>
        <v/>
      </c>
      <c r="AE364" s="1" t="str">
        <f>IF(AND(Programme_Grunddaten!$A369="Geprüft",Programme_Grunddaten!AM369&lt;&gt;""),IF(Programme_Grunddaten!AM369="Ja",1,0),"")</f>
        <v/>
      </c>
      <c r="AF364" s="1" t="str">
        <f>IF(AND(Programme_Grunddaten!$A369="Geprüft",Programme_Grunddaten!AN369&lt;&gt;""),IF(Programme_Grunddaten!AN369="Ja",1,0),"")</f>
        <v/>
      </c>
      <c r="AG364" s="1" t="str">
        <f>IF(AND(Programme_Grunddaten!$A369="Geprüft",Programme_Grunddaten!AO369&lt;&gt;""),IF(Programme_Grunddaten!AO369="Ja",1,0),"")</f>
        <v/>
      </c>
      <c r="AH364" s="1" t="str">
        <f>IF(AND(Programme_Grunddaten!$A369="Geprüft",Programme_Grunddaten!AP369&lt;&gt;""),IF(Programme_Grunddaten!AP369="Ja",1,0),"")</f>
        <v/>
      </c>
      <c r="AI364" s="1" t="str">
        <f>IF(AND(Programme_Grunddaten!$A369="Geprüft",Programme_Grunddaten!AQ369&lt;&gt;""),IF(Programme_Grunddaten!AQ369="Ja",1,0),"")</f>
        <v/>
      </c>
      <c r="AJ364" s="1" t="str">
        <f>IF(AND(Programme_Grunddaten!$A369="Geprüft",Programme_Grunddaten!AR369&lt;&gt;""),IF(Programme_Grunddaten!AR369="Ja",1,0),"")</f>
        <v/>
      </c>
      <c r="AK364" s="1" t="str">
        <f>IF(AND(Programme_Grunddaten!$A369="Geprüft",Programme_Grunddaten!AS369&lt;&gt;""),IF(Programme_Grunddaten!AS369="Ja",1,0),"")</f>
        <v/>
      </c>
      <c r="AL364" s="1" t="str">
        <f>IF(AND(Programme_Grunddaten!$A369="Geprüft",Programme_Grunddaten!AT369&lt;&gt;""),IF(Programme_Grunddaten!AT369="Ja",1,0),"")</f>
        <v/>
      </c>
      <c r="AM364" s="1" t="str">
        <f>IF(AND(Programme_Grunddaten!$A369="Geprüft",Programme_Grunddaten!AU369&lt;&gt;""),IF(Programme_Grunddaten!AU369="Ja",1,0),"")</f>
        <v/>
      </c>
      <c r="AN364" s="1" t="str">
        <f>IF(AND(Programme_Grunddaten!$A369="Geprüft",Programme_Grunddaten!AV369&lt;&gt;""),IF(Programme_Grunddaten!AV369="Ja",1,0),"")</f>
        <v/>
      </c>
    </row>
    <row r="365" spans="1:40" x14ac:dyDescent="0.3">
      <c r="A365" s="1" t="str">
        <f>IF(AND(Programme_Grunddaten!A370="Geprüft",Programme_Grunddaten!B370&lt;&gt;""),Programme_Grunddaten!B370,"")</f>
        <v/>
      </c>
      <c r="B365" s="1" t="str">
        <f>IF(AND(Programme_Grunddaten!$A370="Geprüft",Programme_Grunddaten!I370&lt;&gt;""),IF(Programme_Grunddaten!I370="Ja",1,0),"")</f>
        <v/>
      </c>
      <c r="C365" s="1" t="str">
        <f>IF(AND(Programme_Grunddaten!$A370="Geprüft",Programme_Grunddaten!J370&lt;&gt;""),IF(Programme_Grunddaten!J370="Ja",1,0),"")</f>
        <v/>
      </c>
      <c r="D365" s="1" t="str">
        <f>IF(AND(Programme_Grunddaten!$A370="Geprüft",Programme_Grunddaten!K370&lt;&gt;""),IF(Programme_Grunddaten!K370="Ja",1,0),"")</f>
        <v/>
      </c>
      <c r="E365" s="1" t="str">
        <f>IF(AND(Programme_Grunddaten!$A370="Geprüft",Programme_Grunddaten!L370&lt;&gt;""),IF(Programme_Grunddaten!L370="Abo / befristete Lizenz",1,0),"")</f>
        <v/>
      </c>
      <c r="F365" s="1" t="str">
        <f>IF(AND(Programme_Grunddaten!$A370="Geprüft",Programme_Grunddaten!M370&lt;&gt;""),IF(Programme_Grunddaten!M370="Ja",1,0),"")</f>
        <v/>
      </c>
      <c r="G365" s="1" t="str">
        <f>IF(AND(Programme_Grunddaten!$A370="Geprüft",Programme_Grunddaten!N370&lt;&gt;""),IF(Programme_Grunddaten!N370="Ja",1,0),"")</f>
        <v/>
      </c>
      <c r="H365" s="1" t="str">
        <f>IF(AND(Programme_Grunddaten!$A370="Geprüft",Programme_Grunddaten!O370&lt;&gt;""),IF(Programme_Grunddaten!O370="Deutschland",0,IF(Programme_Grunddaten!O370="EU",1,2)),"")</f>
        <v/>
      </c>
      <c r="I365" s="1" t="str">
        <f>IF(AND(Programme_Grunddaten!$A370="Geprüft",Programme_Grunddaten!P370&lt;&gt;""),IF(Programme_Grunddaten!P370="Ja",1,0),"")</f>
        <v/>
      </c>
      <c r="J365" s="1" t="str">
        <f>IF(AND(Programme_Grunddaten!$A370="Geprüft",Programme_Grunddaten!Q370&lt;&gt;""),IF(Programme_Grunddaten!Q370="geschlossenes System",1,0),"")</f>
        <v/>
      </c>
      <c r="K365" s="1" t="str">
        <f>IF(AND(Programme_Grunddaten!$A370="Geprüft",Programme_Grunddaten!R370&lt;&gt;""),IF(Programme_Grunddaten!R370="Ja",1,0),"")</f>
        <v/>
      </c>
      <c r="L365" s="1" t="str">
        <f>IF(AND(Programme_Grunddaten!$A370="Geprüft",Programme_Grunddaten!T370&lt;&gt;""),IF(Programme_Grunddaten!T370="Ja",1,0),"")</f>
        <v/>
      </c>
      <c r="M365" s="1" t="str">
        <f>IF(AND(Programme_Grunddaten!$A370="Geprüft",Programme_Grunddaten!U370&lt;&gt;""),IF(Programme_Grunddaten!U370="Ja",1,0),"")</f>
        <v/>
      </c>
      <c r="N365" s="1" t="str">
        <f>IF(AND(Programme_Grunddaten!$A370="Geprüft",Programme_Grunddaten!V370&lt;&gt;""),IF(Programme_Grunddaten!V370="Ja",1,0),"")</f>
        <v/>
      </c>
      <c r="O365" s="1" t="str">
        <f>IF(AND(Programme_Grunddaten!$A370="Geprüft",Programme_Grunddaten!W370&lt;&gt;""),IF(Programme_Grunddaten!W370="Ja",1,0),"")</f>
        <v/>
      </c>
      <c r="P365" s="1" t="str">
        <f>IF(AND(Programme_Grunddaten!$A370="Geprüft",Programme_Grunddaten!X370&lt;&gt;""),IF(Programme_Grunddaten!X370="Ja",1,0),"")</f>
        <v/>
      </c>
      <c r="Q365" s="1" t="str">
        <f>IF(AND(Programme_Grunddaten!$A370="Geprüft",Programme_Grunddaten!Y370&lt;&gt;""),IF(Programme_Grunddaten!Y370="Ja",1,0),"")</f>
        <v/>
      </c>
      <c r="R365" s="1" t="str">
        <f>IF(AND(Programme_Grunddaten!$A370="Geprüft",Programme_Grunddaten!Z370&lt;&gt;""),IF(Programme_Grunddaten!Z370="Ja",1,0),"")</f>
        <v/>
      </c>
      <c r="S365" s="1" t="str">
        <f>IF(AND(Programme_Grunddaten!$A370="Geprüft",Programme_Grunddaten!AA370&lt;&gt;""),IF(Programme_Grunddaten!AA370="monolithisch",1,0),"")</f>
        <v/>
      </c>
      <c r="T365" s="1" t="str">
        <f>IF(AND(Programme_Grunddaten!$A370="Geprüft",Programme_Grunddaten!AB370&lt;&gt;""),IF(Programme_Grunddaten!AB370="Ja",1,0),"")</f>
        <v/>
      </c>
      <c r="U365" s="1" t="str">
        <f>IF(AND(Programme_Grunddaten!$A370="Geprüft",Programme_Grunddaten!AC370&lt;&gt;""),IF(Programme_Grunddaten!AC370="Ja",1,0),"")</f>
        <v/>
      </c>
      <c r="V365" s="1" t="str">
        <f>IF(AND(Programme_Grunddaten!$A370="Geprüft",Programme_Grunddaten!AD370&lt;&gt;""),IF(Programme_Grunddaten!AD370="Ja",1,0),"")</f>
        <v/>
      </c>
      <c r="W365" s="1" t="str">
        <f>IF(AND(Programme_Grunddaten!$A370="Geprüft",Programme_Grunddaten!AE370&lt;&gt;""),IF(Programme_Grunddaten!AE370="Ja",1,0),"")</f>
        <v/>
      </c>
      <c r="X365" s="1" t="str">
        <f>IF(AND(Programme_Grunddaten!$A370="Geprüft",Programme_Grunddaten!AF370&lt;&gt;""),IF(Programme_Grunddaten!AF370="Ja",1,0),"")</f>
        <v/>
      </c>
      <c r="Y365" s="1" t="str">
        <f>IF(AND(Programme_Grunddaten!$A370="Geprüft",Programme_Grunddaten!AG370&lt;&gt;""),IF(Programme_Grunddaten!AG370="Ja",1,0),"")</f>
        <v/>
      </c>
      <c r="Z365" s="1" t="str">
        <f>IF(AND(Programme_Grunddaten!$A370="Geprüft",Programme_Grunddaten!AH370&lt;&gt;""),IF(Programme_Grunddaten!AH370="Ja",1,0),"")</f>
        <v/>
      </c>
      <c r="AA365" s="1" t="str">
        <f>IF(AND(Programme_Grunddaten!$A370="Geprüft",Programme_Grunddaten!AI370&lt;&gt;""),IF(Programme_Grunddaten!AI370="Ja",1,0),"")</f>
        <v/>
      </c>
      <c r="AB365" s="1" t="str">
        <f>IF(AND(Programme_Grunddaten!$A370="Geprüft",Programme_Grunddaten!AJ370&lt;&gt;""),IF(Programme_Grunddaten!AJ370="individuell programmierbar",1,0),"")</f>
        <v/>
      </c>
      <c r="AC365" s="1" t="str">
        <f>IF(AND(Programme_Grunddaten!$A370="Geprüft",Programme_Grunddaten!AK370&lt;&gt;""),IF(Programme_Grunddaten!AK370="Deutsch",0,IF(Programme_Grunddaten!AK370="Deutsch und Englisch",1,2)),"")</f>
        <v/>
      </c>
      <c r="AD365" s="1" t="str">
        <f>IF(AND(Programme_Grunddaten!$A370="Geprüft",Programme_Grunddaten!AL370&lt;&gt;""),IF(Programme_Grunddaten!AL370="Ja",1,0),"")</f>
        <v/>
      </c>
      <c r="AE365" s="1" t="str">
        <f>IF(AND(Programme_Grunddaten!$A370="Geprüft",Programme_Grunddaten!AM370&lt;&gt;""),IF(Programme_Grunddaten!AM370="Ja",1,0),"")</f>
        <v/>
      </c>
      <c r="AF365" s="1" t="str">
        <f>IF(AND(Programme_Grunddaten!$A370="Geprüft",Programme_Grunddaten!AN370&lt;&gt;""),IF(Programme_Grunddaten!AN370="Ja",1,0),"")</f>
        <v/>
      </c>
      <c r="AG365" s="1" t="str">
        <f>IF(AND(Programme_Grunddaten!$A370="Geprüft",Programme_Grunddaten!AO370&lt;&gt;""),IF(Programme_Grunddaten!AO370="Ja",1,0),"")</f>
        <v/>
      </c>
      <c r="AH365" s="1" t="str">
        <f>IF(AND(Programme_Grunddaten!$A370="Geprüft",Programme_Grunddaten!AP370&lt;&gt;""),IF(Programme_Grunddaten!AP370="Ja",1,0),"")</f>
        <v/>
      </c>
      <c r="AI365" s="1" t="str">
        <f>IF(AND(Programme_Grunddaten!$A370="Geprüft",Programme_Grunddaten!AQ370&lt;&gt;""),IF(Programme_Grunddaten!AQ370="Ja",1,0),"")</f>
        <v/>
      </c>
      <c r="AJ365" s="1" t="str">
        <f>IF(AND(Programme_Grunddaten!$A370="Geprüft",Programme_Grunddaten!AR370&lt;&gt;""),IF(Programme_Grunddaten!AR370="Ja",1,0),"")</f>
        <v/>
      </c>
      <c r="AK365" s="1" t="str">
        <f>IF(AND(Programme_Grunddaten!$A370="Geprüft",Programme_Grunddaten!AS370&lt;&gt;""),IF(Programme_Grunddaten!AS370="Ja",1,0),"")</f>
        <v/>
      </c>
      <c r="AL365" s="1" t="str">
        <f>IF(AND(Programme_Grunddaten!$A370="Geprüft",Programme_Grunddaten!AT370&lt;&gt;""),IF(Programme_Grunddaten!AT370="Ja",1,0),"")</f>
        <v/>
      </c>
      <c r="AM365" s="1" t="str">
        <f>IF(AND(Programme_Grunddaten!$A370="Geprüft",Programme_Grunddaten!AU370&lt;&gt;""),IF(Programme_Grunddaten!AU370="Ja",1,0),"")</f>
        <v/>
      </c>
      <c r="AN365" s="1" t="str">
        <f>IF(AND(Programme_Grunddaten!$A370="Geprüft",Programme_Grunddaten!AV370&lt;&gt;""),IF(Programme_Grunddaten!AV370="Ja",1,0),"")</f>
        <v/>
      </c>
    </row>
    <row r="366" spans="1:40" x14ac:dyDescent="0.3">
      <c r="A366" s="1" t="str">
        <f>IF(AND(Programme_Grunddaten!A371="Geprüft",Programme_Grunddaten!B371&lt;&gt;""),Programme_Grunddaten!B371,"")</f>
        <v/>
      </c>
      <c r="B366" s="1" t="str">
        <f>IF(AND(Programme_Grunddaten!$A371="Geprüft",Programme_Grunddaten!I371&lt;&gt;""),IF(Programme_Grunddaten!I371="Ja",1,0),"")</f>
        <v/>
      </c>
      <c r="C366" s="1" t="str">
        <f>IF(AND(Programme_Grunddaten!$A371="Geprüft",Programme_Grunddaten!J371&lt;&gt;""),IF(Programme_Grunddaten!J371="Ja",1,0),"")</f>
        <v/>
      </c>
      <c r="D366" s="1" t="str">
        <f>IF(AND(Programme_Grunddaten!$A371="Geprüft",Programme_Grunddaten!K371&lt;&gt;""),IF(Programme_Grunddaten!K371="Ja",1,0),"")</f>
        <v/>
      </c>
      <c r="E366" s="1" t="str">
        <f>IF(AND(Programme_Grunddaten!$A371="Geprüft",Programme_Grunddaten!L371&lt;&gt;""),IF(Programme_Grunddaten!L371="Abo / befristete Lizenz",1,0),"")</f>
        <v/>
      </c>
      <c r="F366" s="1" t="str">
        <f>IF(AND(Programme_Grunddaten!$A371="Geprüft",Programme_Grunddaten!M371&lt;&gt;""),IF(Programme_Grunddaten!M371="Ja",1,0),"")</f>
        <v/>
      </c>
      <c r="G366" s="1" t="str">
        <f>IF(AND(Programme_Grunddaten!$A371="Geprüft",Programme_Grunddaten!N371&lt;&gt;""),IF(Programme_Grunddaten!N371="Ja",1,0),"")</f>
        <v/>
      </c>
      <c r="H366" s="1" t="str">
        <f>IF(AND(Programme_Grunddaten!$A371="Geprüft",Programme_Grunddaten!O371&lt;&gt;""),IF(Programme_Grunddaten!O371="Deutschland",0,IF(Programme_Grunddaten!O371="EU",1,2)),"")</f>
        <v/>
      </c>
      <c r="I366" s="1" t="str">
        <f>IF(AND(Programme_Grunddaten!$A371="Geprüft",Programme_Grunddaten!P371&lt;&gt;""),IF(Programme_Grunddaten!P371="Ja",1,0),"")</f>
        <v/>
      </c>
      <c r="J366" s="1" t="str">
        <f>IF(AND(Programme_Grunddaten!$A371="Geprüft",Programme_Grunddaten!Q371&lt;&gt;""),IF(Programme_Grunddaten!Q371="geschlossenes System",1,0),"")</f>
        <v/>
      </c>
      <c r="K366" s="1" t="str">
        <f>IF(AND(Programme_Grunddaten!$A371="Geprüft",Programme_Grunddaten!R371&lt;&gt;""),IF(Programme_Grunddaten!R371="Ja",1,0),"")</f>
        <v/>
      </c>
      <c r="L366" s="1" t="str">
        <f>IF(AND(Programme_Grunddaten!$A371="Geprüft",Programme_Grunddaten!T371&lt;&gt;""),IF(Programme_Grunddaten!T371="Ja",1,0),"")</f>
        <v/>
      </c>
      <c r="M366" s="1" t="str">
        <f>IF(AND(Programme_Grunddaten!$A371="Geprüft",Programme_Grunddaten!U371&lt;&gt;""),IF(Programme_Grunddaten!U371="Ja",1,0),"")</f>
        <v/>
      </c>
      <c r="N366" s="1" t="str">
        <f>IF(AND(Programme_Grunddaten!$A371="Geprüft",Programme_Grunddaten!V371&lt;&gt;""),IF(Programme_Grunddaten!V371="Ja",1,0),"")</f>
        <v/>
      </c>
      <c r="O366" s="1" t="str">
        <f>IF(AND(Programme_Grunddaten!$A371="Geprüft",Programme_Grunddaten!W371&lt;&gt;""),IF(Programme_Grunddaten!W371="Ja",1,0),"")</f>
        <v/>
      </c>
      <c r="P366" s="1" t="str">
        <f>IF(AND(Programme_Grunddaten!$A371="Geprüft",Programme_Grunddaten!X371&lt;&gt;""),IF(Programme_Grunddaten!X371="Ja",1,0),"")</f>
        <v/>
      </c>
      <c r="Q366" s="1" t="str">
        <f>IF(AND(Programme_Grunddaten!$A371="Geprüft",Programme_Grunddaten!Y371&lt;&gt;""),IF(Programme_Grunddaten!Y371="Ja",1,0),"")</f>
        <v/>
      </c>
      <c r="R366" s="1" t="str">
        <f>IF(AND(Programme_Grunddaten!$A371="Geprüft",Programme_Grunddaten!Z371&lt;&gt;""),IF(Programme_Grunddaten!Z371="Ja",1,0),"")</f>
        <v/>
      </c>
      <c r="S366" s="1" t="str">
        <f>IF(AND(Programme_Grunddaten!$A371="Geprüft",Programme_Grunddaten!AA371&lt;&gt;""),IF(Programme_Grunddaten!AA371="monolithisch",1,0),"")</f>
        <v/>
      </c>
      <c r="T366" s="1" t="str">
        <f>IF(AND(Programme_Grunddaten!$A371="Geprüft",Programme_Grunddaten!AB371&lt;&gt;""),IF(Programme_Grunddaten!AB371="Ja",1,0),"")</f>
        <v/>
      </c>
      <c r="U366" s="1" t="str">
        <f>IF(AND(Programme_Grunddaten!$A371="Geprüft",Programme_Grunddaten!AC371&lt;&gt;""),IF(Programme_Grunddaten!AC371="Ja",1,0),"")</f>
        <v/>
      </c>
      <c r="V366" s="1" t="str">
        <f>IF(AND(Programme_Grunddaten!$A371="Geprüft",Programme_Grunddaten!AD371&lt;&gt;""),IF(Programme_Grunddaten!AD371="Ja",1,0),"")</f>
        <v/>
      </c>
      <c r="W366" s="1" t="str">
        <f>IF(AND(Programme_Grunddaten!$A371="Geprüft",Programme_Grunddaten!AE371&lt;&gt;""),IF(Programme_Grunddaten!AE371="Ja",1,0),"")</f>
        <v/>
      </c>
      <c r="X366" s="1" t="str">
        <f>IF(AND(Programme_Grunddaten!$A371="Geprüft",Programme_Grunddaten!AF371&lt;&gt;""),IF(Programme_Grunddaten!AF371="Ja",1,0),"")</f>
        <v/>
      </c>
      <c r="Y366" s="1" t="str">
        <f>IF(AND(Programme_Grunddaten!$A371="Geprüft",Programme_Grunddaten!AG371&lt;&gt;""),IF(Programme_Grunddaten!AG371="Ja",1,0),"")</f>
        <v/>
      </c>
      <c r="Z366" s="1" t="str">
        <f>IF(AND(Programme_Grunddaten!$A371="Geprüft",Programme_Grunddaten!AH371&lt;&gt;""),IF(Programme_Grunddaten!AH371="Ja",1,0),"")</f>
        <v/>
      </c>
      <c r="AA366" s="1" t="str">
        <f>IF(AND(Programme_Grunddaten!$A371="Geprüft",Programme_Grunddaten!AI371&lt;&gt;""),IF(Programme_Grunddaten!AI371="Ja",1,0),"")</f>
        <v/>
      </c>
      <c r="AB366" s="1" t="str">
        <f>IF(AND(Programme_Grunddaten!$A371="Geprüft",Programme_Grunddaten!AJ371&lt;&gt;""),IF(Programme_Grunddaten!AJ371="individuell programmierbar",1,0),"")</f>
        <v/>
      </c>
      <c r="AC366" s="1" t="str">
        <f>IF(AND(Programme_Grunddaten!$A371="Geprüft",Programme_Grunddaten!AK371&lt;&gt;""),IF(Programme_Grunddaten!AK371="Deutsch",0,IF(Programme_Grunddaten!AK371="Deutsch und Englisch",1,2)),"")</f>
        <v/>
      </c>
      <c r="AD366" s="1" t="str">
        <f>IF(AND(Programme_Grunddaten!$A371="Geprüft",Programme_Grunddaten!AL371&lt;&gt;""),IF(Programme_Grunddaten!AL371="Ja",1,0),"")</f>
        <v/>
      </c>
      <c r="AE366" s="1" t="str">
        <f>IF(AND(Programme_Grunddaten!$A371="Geprüft",Programme_Grunddaten!AM371&lt;&gt;""),IF(Programme_Grunddaten!AM371="Ja",1,0),"")</f>
        <v/>
      </c>
      <c r="AF366" s="1" t="str">
        <f>IF(AND(Programme_Grunddaten!$A371="Geprüft",Programme_Grunddaten!AN371&lt;&gt;""),IF(Programme_Grunddaten!AN371="Ja",1,0),"")</f>
        <v/>
      </c>
      <c r="AG366" s="1" t="str">
        <f>IF(AND(Programme_Grunddaten!$A371="Geprüft",Programme_Grunddaten!AO371&lt;&gt;""),IF(Programme_Grunddaten!AO371="Ja",1,0),"")</f>
        <v/>
      </c>
      <c r="AH366" s="1" t="str">
        <f>IF(AND(Programme_Grunddaten!$A371="Geprüft",Programme_Grunddaten!AP371&lt;&gt;""),IF(Programme_Grunddaten!AP371="Ja",1,0),"")</f>
        <v/>
      </c>
      <c r="AI366" s="1" t="str">
        <f>IF(AND(Programme_Grunddaten!$A371="Geprüft",Programme_Grunddaten!AQ371&lt;&gt;""),IF(Programme_Grunddaten!AQ371="Ja",1,0),"")</f>
        <v/>
      </c>
      <c r="AJ366" s="1" t="str">
        <f>IF(AND(Programme_Grunddaten!$A371="Geprüft",Programme_Grunddaten!AR371&lt;&gt;""),IF(Programme_Grunddaten!AR371="Ja",1,0),"")</f>
        <v/>
      </c>
      <c r="AK366" s="1" t="str">
        <f>IF(AND(Programme_Grunddaten!$A371="Geprüft",Programme_Grunddaten!AS371&lt;&gt;""),IF(Programme_Grunddaten!AS371="Ja",1,0),"")</f>
        <v/>
      </c>
      <c r="AL366" s="1" t="str">
        <f>IF(AND(Programme_Grunddaten!$A371="Geprüft",Programme_Grunddaten!AT371&lt;&gt;""),IF(Programme_Grunddaten!AT371="Ja",1,0),"")</f>
        <v/>
      </c>
      <c r="AM366" s="1" t="str">
        <f>IF(AND(Programme_Grunddaten!$A371="Geprüft",Programme_Grunddaten!AU371&lt;&gt;""),IF(Programme_Grunddaten!AU371="Ja",1,0),"")</f>
        <v/>
      </c>
      <c r="AN366" s="1" t="str">
        <f>IF(AND(Programme_Grunddaten!$A371="Geprüft",Programme_Grunddaten!AV371&lt;&gt;""),IF(Programme_Grunddaten!AV371="Ja",1,0),"")</f>
        <v/>
      </c>
    </row>
    <row r="367" spans="1:40" x14ac:dyDescent="0.3">
      <c r="A367" s="1" t="str">
        <f>IF(AND(Programme_Grunddaten!A372="Geprüft",Programme_Grunddaten!B372&lt;&gt;""),Programme_Grunddaten!B372,"")</f>
        <v/>
      </c>
      <c r="B367" s="1" t="str">
        <f>IF(AND(Programme_Grunddaten!$A372="Geprüft",Programme_Grunddaten!I372&lt;&gt;""),IF(Programme_Grunddaten!I372="Ja",1,0),"")</f>
        <v/>
      </c>
      <c r="C367" s="1" t="str">
        <f>IF(AND(Programme_Grunddaten!$A372="Geprüft",Programme_Grunddaten!J372&lt;&gt;""),IF(Programme_Grunddaten!J372="Ja",1,0),"")</f>
        <v/>
      </c>
      <c r="D367" s="1" t="str">
        <f>IF(AND(Programme_Grunddaten!$A372="Geprüft",Programme_Grunddaten!K372&lt;&gt;""),IF(Programme_Grunddaten!K372="Ja",1,0),"")</f>
        <v/>
      </c>
      <c r="E367" s="1" t="str">
        <f>IF(AND(Programme_Grunddaten!$A372="Geprüft",Programme_Grunddaten!L372&lt;&gt;""),IF(Programme_Grunddaten!L372="Abo / befristete Lizenz",1,0),"")</f>
        <v/>
      </c>
      <c r="F367" s="1" t="str">
        <f>IF(AND(Programme_Grunddaten!$A372="Geprüft",Programme_Grunddaten!M372&lt;&gt;""),IF(Programme_Grunddaten!M372="Ja",1,0),"")</f>
        <v/>
      </c>
      <c r="G367" s="1" t="str">
        <f>IF(AND(Programme_Grunddaten!$A372="Geprüft",Programme_Grunddaten!N372&lt;&gt;""),IF(Programme_Grunddaten!N372="Ja",1,0),"")</f>
        <v/>
      </c>
      <c r="H367" s="1" t="str">
        <f>IF(AND(Programme_Grunddaten!$A372="Geprüft",Programme_Grunddaten!O372&lt;&gt;""),IF(Programme_Grunddaten!O372="Deutschland",0,IF(Programme_Grunddaten!O372="EU",1,2)),"")</f>
        <v/>
      </c>
      <c r="I367" s="1" t="str">
        <f>IF(AND(Programme_Grunddaten!$A372="Geprüft",Programme_Grunddaten!P372&lt;&gt;""),IF(Programme_Grunddaten!P372="Ja",1,0),"")</f>
        <v/>
      </c>
      <c r="J367" s="1" t="str">
        <f>IF(AND(Programme_Grunddaten!$A372="Geprüft",Programme_Grunddaten!Q372&lt;&gt;""),IF(Programme_Grunddaten!Q372="geschlossenes System",1,0),"")</f>
        <v/>
      </c>
      <c r="K367" s="1" t="str">
        <f>IF(AND(Programme_Grunddaten!$A372="Geprüft",Programme_Grunddaten!R372&lt;&gt;""),IF(Programme_Grunddaten!R372="Ja",1,0),"")</f>
        <v/>
      </c>
      <c r="L367" s="1" t="str">
        <f>IF(AND(Programme_Grunddaten!$A372="Geprüft",Programme_Grunddaten!T372&lt;&gt;""),IF(Programme_Grunddaten!T372="Ja",1,0),"")</f>
        <v/>
      </c>
      <c r="M367" s="1" t="str">
        <f>IF(AND(Programme_Grunddaten!$A372="Geprüft",Programme_Grunddaten!U372&lt;&gt;""),IF(Programme_Grunddaten!U372="Ja",1,0),"")</f>
        <v/>
      </c>
      <c r="N367" s="1" t="str">
        <f>IF(AND(Programme_Grunddaten!$A372="Geprüft",Programme_Grunddaten!V372&lt;&gt;""),IF(Programme_Grunddaten!V372="Ja",1,0),"")</f>
        <v/>
      </c>
      <c r="O367" s="1" t="str">
        <f>IF(AND(Programme_Grunddaten!$A372="Geprüft",Programme_Grunddaten!W372&lt;&gt;""),IF(Programme_Grunddaten!W372="Ja",1,0),"")</f>
        <v/>
      </c>
      <c r="P367" s="1" t="str">
        <f>IF(AND(Programme_Grunddaten!$A372="Geprüft",Programme_Grunddaten!X372&lt;&gt;""),IF(Programme_Grunddaten!X372="Ja",1,0),"")</f>
        <v/>
      </c>
      <c r="Q367" s="1" t="str">
        <f>IF(AND(Programme_Grunddaten!$A372="Geprüft",Programme_Grunddaten!Y372&lt;&gt;""),IF(Programme_Grunddaten!Y372="Ja",1,0),"")</f>
        <v/>
      </c>
      <c r="R367" s="1" t="str">
        <f>IF(AND(Programme_Grunddaten!$A372="Geprüft",Programme_Grunddaten!Z372&lt;&gt;""),IF(Programme_Grunddaten!Z372="Ja",1,0),"")</f>
        <v/>
      </c>
      <c r="S367" s="1" t="str">
        <f>IF(AND(Programme_Grunddaten!$A372="Geprüft",Programme_Grunddaten!AA372&lt;&gt;""),IF(Programme_Grunddaten!AA372="monolithisch",1,0),"")</f>
        <v/>
      </c>
      <c r="T367" s="1" t="str">
        <f>IF(AND(Programme_Grunddaten!$A372="Geprüft",Programme_Grunddaten!AB372&lt;&gt;""),IF(Programme_Grunddaten!AB372="Ja",1,0),"")</f>
        <v/>
      </c>
      <c r="U367" s="1" t="str">
        <f>IF(AND(Programme_Grunddaten!$A372="Geprüft",Programme_Grunddaten!AC372&lt;&gt;""),IF(Programme_Grunddaten!AC372="Ja",1,0),"")</f>
        <v/>
      </c>
      <c r="V367" s="1" t="str">
        <f>IF(AND(Programme_Grunddaten!$A372="Geprüft",Programme_Grunddaten!AD372&lt;&gt;""),IF(Programme_Grunddaten!AD372="Ja",1,0),"")</f>
        <v/>
      </c>
      <c r="W367" s="1" t="str">
        <f>IF(AND(Programme_Grunddaten!$A372="Geprüft",Programme_Grunddaten!AE372&lt;&gt;""),IF(Programme_Grunddaten!AE372="Ja",1,0),"")</f>
        <v/>
      </c>
      <c r="X367" s="1" t="str">
        <f>IF(AND(Programme_Grunddaten!$A372="Geprüft",Programme_Grunddaten!AF372&lt;&gt;""),IF(Programme_Grunddaten!AF372="Ja",1,0),"")</f>
        <v/>
      </c>
      <c r="Y367" s="1" t="str">
        <f>IF(AND(Programme_Grunddaten!$A372="Geprüft",Programme_Grunddaten!AG372&lt;&gt;""),IF(Programme_Grunddaten!AG372="Ja",1,0),"")</f>
        <v/>
      </c>
      <c r="Z367" s="1" t="str">
        <f>IF(AND(Programme_Grunddaten!$A372="Geprüft",Programme_Grunddaten!AH372&lt;&gt;""),IF(Programme_Grunddaten!AH372="Ja",1,0),"")</f>
        <v/>
      </c>
      <c r="AA367" s="1" t="str">
        <f>IF(AND(Programme_Grunddaten!$A372="Geprüft",Programme_Grunddaten!AI372&lt;&gt;""),IF(Programme_Grunddaten!AI372="Ja",1,0),"")</f>
        <v/>
      </c>
      <c r="AB367" s="1" t="str">
        <f>IF(AND(Programme_Grunddaten!$A372="Geprüft",Programme_Grunddaten!AJ372&lt;&gt;""),IF(Programme_Grunddaten!AJ372="individuell programmierbar",1,0),"")</f>
        <v/>
      </c>
      <c r="AC367" s="1" t="str">
        <f>IF(AND(Programme_Grunddaten!$A372="Geprüft",Programme_Grunddaten!AK372&lt;&gt;""),IF(Programme_Grunddaten!AK372="Deutsch",0,IF(Programme_Grunddaten!AK372="Deutsch und Englisch",1,2)),"")</f>
        <v/>
      </c>
      <c r="AD367" s="1" t="str">
        <f>IF(AND(Programme_Grunddaten!$A372="Geprüft",Programme_Grunddaten!AL372&lt;&gt;""),IF(Programme_Grunddaten!AL372="Ja",1,0),"")</f>
        <v/>
      </c>
      <c r="AE367" s="1" t="str">
        <f>IF(AND(Programme_Grunddaten!$A372="Geprüft",Programme_Grunddaten!AM372&lt;&gt;""),IF(Programme_Grunddaten!AM372="Ja",1,0),"")</f>
        <v/>
      </c>
      <c r="AF367" s="1" t="str">
        <f>IF(AND(Programme_Grunddaten!$A372="Geprüft",Programme_Grunddaten!AN372&lt;&gt;""),IF(Programme_Grunddaten!AN372="Ja",1,0),"")</f>
        <v/>
      </c>
      <c r="AG367" s="1" t="str">
        <f>IF(AND(Programme_Grunddaten!$A372="Geprüft",Programme_Grunddaten!AO372&lt;&gt;""),IF(Programme_Grunddaten!AO372="Ja",1,0),"")</f>
        <v/>
      </c>
      <c r="AH367" s="1" t="str">
        <f>IF(AND(Programme_Grunddaten!$A372="Geprüft",Programme_Grunddaten!AP372&lt;&gt;""),IF(Programme_Grunddaten!AP372="Ja",1,0),"")</f>
        <v/>
      </c>
      <c r="AI367" s="1" t="str">
        <f>IF(AND(Programme_Grunddaten!$A372="Geprüft",Programme_Grunddaten!AQ372&lt;&gt;""),IF(Programme_Grunddaten!AQ372="Ja",1,0),"")</f>
        <v/>
      </c>
      <c r="AJ367" s="1" t="str">
        <f>IF(AND(Programme_Grunddaten!$A372="Geprüft",Programme_Grunddaten!AR372&lt;&gt;""),IF(Programme_Grunddaten!AR372="Ja",1,0),"")</f>
        <v/>
      </c>
      <c r="AK367" s="1" t="str">
        <f>IF(AND(Programme_Grunddaten!$A372="Geprüft",Programme_Grunddaten!AS372&lt;&gt;""),IF(Programme_Grunddaten!AS372="Ja",1,0),"")</f>
        <v/>
      </c>
      <c r="AL367" s="1" t="str">
        <f>IF(AND(Programme_Grunddaten!$A372="Geprüft",Programme_Grunddaten!AT372&lt;&gt;""),IF(Programme_Grunddaten!AT372="Ja",1,0),"")</f>
        <v/>
      </c>
      <c r="AM367" s="1" t="str">
        <f>IF(AND(Programme_Grunddaten!$A372="Geprüft",Programme_Grunddaten!AU372&lt;&gt;""),IF(Programme_Grunddaten!AU372="Ja",1,0),"")</f>
        <v/>
      </c>
      <c r="AN367" s="1" t="str">
        <f>IF(AND(Programme_Grunddaten!$A372="Geprüft",Programme_Grunddaten!AV372&lt;&gt;""),IF(Programme_Grunddaten!AV372="Ja",1,0),"")</f>
        <v/>
      </c>
    </row>
    <row r="368" spans="1:40" x14ac:dyDescent="0.3">
      <c r="A368" s="1" t="str">
        <f>IF(AND(Programme_Grunddaten!A373="Geprüft",Programme_Grunddaten!B373&lt;&gt;""),Programme_Grunddaten!B373,"")</f>
        <v/>
      </c>
      <c r="B368" s="1" t="str">
        <f>IF(AND(Programme_Grunddaten!$A373="Geprüft",Programme_Grunddaten!I373&lt;&gt;""),IF(Programme_Grunddaten!I373="Ja",1,0),"")</f>
        <v/>
      </c>
      <c r="C368" s="1" t="str">
        <f>IF(AND(Programme_Grunddaten!$A373="Geprüft",Programme_Grunddaten!J373&lt;&gt;""),IF(Programme_Grunddaten!J373="Ja",1,0),"")</f>
        <v/>
      </c>
      <c r="D368" s="1" t="str">
        <f>IF(AND(Programme_Grunddaten!$A373="Geprüft",Programme_Grunddaten!K373&lt;&gt;""),IF(Programme_Grunddaten!K373="Ja",1,0),"")</f>
        <v/>
      </c>
      <c r="E368" s="1" t="str">
        <f>IF(AND(Programme_Grunddaten!$A373="Geprüft",Programme_Grunddaten!L373&lt;&gt;""),IF(Programme_Grunddaten!L373="Abo / befristete Lizenz",1,0),"")</f>
        <v/>
      </c>
      <c r="F368" s="1" t="str">
        <f>IF(AND(Programme_Grunddaten!$A373="Geprüft",Programme_Grunddaten!M373&lt;&gt;""),IF(Programme_Grunddaten!M373="Ja",1,0),"")</f>
        <v/>
      </c>
      <c r="G368" s="1" t="str">
        <f>IF(AND(Programme_Grunddaten!$A373="Geprüft",Programme_Grunddaten!N373&lt;&gt;""),IF(Programme_Grunddaten!N373="Ja",1,0),"")</f>
        <v/>
      </c>
      <c r="H368" s="1" t="str">
        <f>IF(AND(Programme_Grunddaten!$A373="Geprüft",Programme_Grunddaten!O373&lt;&gt;""),IF(Programme_Grunddaten!O373="Deutschland",0,IF(Programme_Grunddaten!O373="EU",1,2)),"")</f>
        <v/>
      </c>
      <c r="I368" s="1" t="str">
        <f>IF(AND(Programme_Grunddaten!$A373="Geprüft",Programme_Grunddaten!P373&lt;&gt;""),IF(Programme_Grunddaten!P373="Ja",1,0),"")</f>
        <v/>
      </c>
      <c r="J368" s="1" t="str">
        <f>IF(AND(Programme_Grunddaten!$A373="Geprüft",Programme_Grunddaten!Q373&lt;&gt;""),IF(Programme_Grunddaten!Q373="geschlossenes System",1,0),"")</f>
        <v/>
      </c>
      <c r="K368" s="1" t="str">
        <f>IF(AND(Programme_Grunddaten!$A373="Geprüft",Programme_Grunddaten!R373&lt;&gt;""),IF(Programme_Grunddaten!R373="Ja",1,0),"")</f>
        <v/>
      </c>
      <c r="L368" s="1" t="str">
        <f>IF(AND(Programme_Grunddaten!$A373="Geprüft",Programme_Grunddaten!T373&lt;&gt;""),IF(Programme_Grunddaten!T373="Ja",1,0),"")</f>
        <v/>
      </c>
      <c r="M368" s="1" t="str">
        <f>IF(AND(Programme_Grunddaten!$A373="Geprüft",Programme_Grunddaten!U373&lt;&gt;""),IF(Programme_Grunddaten!U373="Ja",1,0),"")</f>
        <v/>
      </c>
      <c r="N368" s="1" t="str">
        <f>IF(AND(Programme_Grunddaten!$A373="Geprüft",Programme_Grunddaten!V373&lt;&gt;""),IF(Programme_Grunddaten!V373="Ja",1,0),"")</f>
        <v/>
      </c>
      <c r="O368" s="1" t="str">
        <f>IF(AND(Programme_Grunddaten!$A373="Geprüft",Programme_Grunddaten!W373&lt;&gt;""),IF(Programme_Grunddaten!W373="Ja",1,0),"")</f>
        <v/>
      </c>
      <c r="P368" s="1" t="str">
        <f>IF(AND(Programme_Grunddaten!$A373="Geprüft",Programme_Grunddaten!X373&lt;&gt;""),IF(Programme_Grunddaten!X373="Ja",1,0),"")</f>
        <v/>
      </c>
      <c r="Q368" s="1" t="str">
        <f>IF(AND(Programme_Grunddaten!$A373="Geprüft",Programme_Grunddaten!Y373&lt;&gt;""),IF(Programme_Grunddaten!Y373="Ja",1,0),"")</f>
        <v/>
      </c>
      <c r="R368" s="1" t="str">
        <f>IF(AND(Programme_Grunddaten!$A373="Geprüft",Programme_Grunddaten!Z373&lt;&gt;""),IF(Programme_Grunddaten!Z373="Ja",1,0),"")</f>
        <v/>
      </c>
      <c r="S368" s="1" t="str">
        <f>IF(AND(Programme_Grunddaten!$A373="Geprüft",Programme_Grunddaten!AA373&lt;&gt;""),IF(Programme_Grunddaten!AA373="monolithisch",1,0),"")</f>
        <v/>
      </c>
      <c r="T368" s="1" t="str">
        <f>IF(AND(Programme_Grunddaten!$A373="Geprüft",Programme_Grunddaten!AB373&lt;&gt;""),IF(Programme_Grunddaten!AB373="Ja",1,0),"")</f>
        <v/>
      </c>
      <c r="U368" s="1" t="str">
        <f>IF(AND(Programme_Grunddaten!$A373="Geprüft",Programme_Grunddaten!AC373&lt;&gt;""),IF(Programme_Grunddaten!AC373="Ja",1,0),"")</f>
        <v/>
      </c>
      <c r="V368" s="1" t="str">
        <f>IF(AND(Programme_Grunddaten!$A373="Geprüft",Programme_Grunddaten!AD373&lt;&gt;""),IF(Programme_Grunddaten!AD373="Ja",1,0),"")</f>
        <v/>
      </c>
      <c r="W368" s="1" t="str">
        <f>IF(AND(Programme_Grunddaten!$A373="Geprüft",Programme_Grunddaten!AE373&lt;&gt;""),IF(Programme_Grunddaten!AE373="Ja",1,0),"")</f>
        <v/>
      </c>
      <c r="X368" s="1" t="str">
        <f>IF(AND(Programme_Grunddaten!$A373="Geprüft",Programme_Grunddaten!AF373&lt;&gt;""),IF(Programme_Grunddaten!AF373="Ja",1,0),"")</f>
        <v/>
      </c>
      <c r="Y368" s="1" t="str">
        <f>IF(AND(Programme_Grunddaten!$A373="Geprüft",Programme_Grunddaten!AG373&lt;&gt;""),IF(Programme_Grunddaten!AG373="Ja",1,0),"")</f>
        <v/>
      </c>
      <c r="Z368" s="1" t="str">
        <f>IF(AND(Programme_Grunddaten!$A373="Geprüft",Programme_Grunddaten!AH373&lt;&gt;""),IF(Programme_Grunddaten!AH373="Ja",1,0),"")</f>
        <v/>
      </c>
      <c r="AA368" s="1" t="str">
        <f>IF(AND(Programme_Grunddaten!$A373="Geprüft",Programme_Grunddaten!AI373&lt;&gt;""),IF(Programme_Grunddaten!AI373="Ja",1,0),"")</f>
        <v/>
      </c>
      <c r="AB368" s="1" t="str">
        <f>IF(AND(Programme_Grunddaten!$A373="Geprüft",Programme_Grunddaten!AJ373&lt;&gt;""),IF(Programme_Grunddaten!AJ373="individuell programmierbar",1,0),"")</f>
        <v/>
      </c>
      <c r="AC368" s="1" t="str">
        <f>IF(AND(Programme_Grunddaten!$A373="Geprüft",Programme_Grunddaten!AK373&lt;&gt;""),IF(Programme_Grunddaten!AK373="Deutsch",0,IF(Programme_Grunddaten!AK373="Deutsch und Englisch",1,2)),"")</f>
        <v/>
      </c>
      <c r="AD368" s="1" t="str">
        <f>IF(AND(Programme_Grunddaten!$A373="Geprüft",Programme_Grunddaten!AL373&lt;&gt;""),IF(Programme_Grunddaten!AL373="Ja",1,0),"")</f>
        <v/>
      </c>
      <c r="AE368" s="1" t="str">
        <f>IF(AND(Programme_Grunddaten!$A373="Geprüft",Programme_Grunddaten!AM373&lt;&gt;""),IF(Programme_Grunddaten!AM373="Ja",1,0),"")</f>
        <v/>
      </c>
      <c r="AF368" s="1" t="str">
        <f>IF(AND(Programme_Grunddaten!$A373="Geprüft",Programme_Grunddaten!AN373&lt;&gt;""),IF(Programme_Grunddaten!AN373="Ja",1,0),"")</f>
        <v/>
      </c>
      <c r="AG368" s="1" t="str">
        <f>IF(AND(Programme_Grunddaten!$A373="Geprüft",Programme_Grunddaten!AO373&lt;&gt;""),IF(Programme_Grunddaten!AO373="Ja",1,0),"")</f>
        <v/>
      </c>
      <c r="AH368" s="1" t="str">
        <f>IF(AND(Programme_Grunddaten!$A373="Geprüft",Programme_Grunddaten!AP373&lt;&gt;""),IF(Programme_Grunddaten!AP373="Ja",1,0),"")</f>
        <v/>
      </c>
      <c r="AI368" s="1" t="str">
        <f>IF(AND(Programme_Grunddaten!$A373="Geprüft",Programme_Grunddaten!AQ373&lt;&gt;""),IF(Programme_Grunddaten!AQ373="Ja",1,0),"")</f>
        <v/>
      </c>
      <c r="AJ368" s="1" t="str">
        <f>IF(AND(Programme_Grunddaten!$A373="Geprüft",Programme_Grunddaten!AR373&lt;&gt;""),IF(Programme_Grunddaten!AR373="Ja",1,0),"")</f>
        <v/>
      </c>
      <c r="AK368" s="1" t="str">
        <f>IF(AND(Programme_Grunddaten!$A373="Geprüft",Programme_Grunddaten!AS373&lt;&gt;""),IF(Programme_Grunddaten!AS373="Ja",1,0),"")</f>
        <v/>
      </c>
      <c r="AL368" s="1" t="str">
        <f>IF(AND(Programme_Grunddaten!$A373="Geprüft",Programme_Grunddaten!AT373&lt;&gt;""),IF(Programme_Grunddaten!AT373="Ja",1,0),"")</f>
        <v/>
      </c>
      <c r="AM368" s="1" t="str">
        <f>IF(AND(Programme_Grunddaten!$A373="Geprüft",Programme_Grunddaten!AU373&lt;&gt;""),IF(Programme_Grunddaten!AU373="Ja",1,0),"")</f>
        <v/>
      </c>
      <c r="AN368" s="1" t="str">
        <f>IF(AND(Programme_Grunddaten!$A373="Geprüft",Programme_Grunddaten!AV373&lt;&gt;""),IF(Programme_Grunddaten!AV373="Ja",1,0),"")</f>
        <v/>
      </c>
    </row>
    <row r="369" spans="1:40" x14ac:dyDescent="0.3">
      <c r="A369" s="1" t="str">
        <f>IF(AND(Programme_Grunddaten!A374="Geprüft",Programme_Grunddaten!B374&lt;&gt;""),Programme_Grunddaten!B374,"")</f>
        <v/>
      </c>
      <c r="B369" s="1" t="str">
        <f>IF(AND(Programme_Grunddaten!$A374="Geprüft",Programme_Grunddaten!I374&lt;&gt;""),IF(Programme_Grunddaten!I374="Ja",1,0),"")</f>
        <v/>
      </c>
      <c r="C369" s="1" t="str">
        <f>IF(AND(Programme_Grunddaten!$A374="Geprüft",Programme_Grunddaten!J374&lt;&gt;""),IF(Programme_Grunddaten!J374="Ja",1,0),"")</f>
        <v/>
      </c>
      <c r="D369" s="1" t="str">
        <f>IF(AND(Programme_Grunddaten!$A374="Geprüft",Programme_Grunddaten!K374&lt;&gt;""),IF(Programme_Grunddaten!K374="Ja",1,0),"")</f>
        <v/>
      </c>
      <c r="E369" s="1" t="str">
        <f>IF(AND(Programme_Grunddaten!$A374="Geprüft",Programme_Grunddaten!L374&lt;&gt;""),IF(Programme_Grunddaten!L374="Abo / befristete Lizenz",1,0),"")</f>
        <v/>
      </c>
      <c r="F369" s="1" t="str">
        <f>IF(AND(Programme_Grunddaten!$A374="Geprüft",Programme_Grunddaten!M374&lt;&gt;""),IF(Programme_Grunddaten!M374="Ja",1,0),"")</f>
        <v/>
      </c>
      <c r="G369" s="1" t="str">
        <f>IF(AND(Programme_Grunddaten!$A374="Geprüft",Programme_Grunddaten!N374&lt;&gt;""),IF(Programme_Grunddaten!N374="Ja",1,0),"")</f>
        <v/>
      </c>
      <c r="H369" s="1" t="str">
        <f>IF(AND(Programme_Grunddaten!$A374="Geprüft",Programme_Grunddaten!O374&lt;&gt;""),IF(Programme_Grunddaten!O374="Deutschland",0,IF(Programme_Grunddaten!O374="EU",1,2)),"")</f>
        <v/>
      </c>
      <c r="I369" s="1" t="str">
        <f>IF(AND(Programme_Grunddaten!$A374="Geprüft",Programme_Grunddaten!P374&lt;&gt;""),IF(Programme_Grunddaten!P374="Ja",1,0),"")</f>
        <v/>
      </c>
      <c r="J369" s="1" t="str">
        <f>IF(AND(Programme_Grunddaten!$A374="Geprüft",Programme_Grunddaten!Q374&lt;&gt;""),IF(Programme_Grunddaten!Q374="geschlossenes System",1,0),"")</f>
        <v/>
      </c>
      <c r="K369" s="1" t="str">
        <f>IF(AND(Programme_Grunddaten!$A374="Geprüft",Programme_Grunddaten!R374&lt;&gt;""),IF(Programme_Grunddaten!R374="Ja",1,0),"")</f>
        <v/>
      </c>
      <c r="L369" s="1" t="str">
        <f>IF(AND(Programme_Grunddaten!$A374="Geprüft",Programme_Grunddaten!T374&lt;&gt;""),IF(Programme_Grunddaten!T374="Ja",1,0),"")</f>
        <v/>
      </c>
      <c r="M369" s="1" t="str">
        <f>IF(AND(Programme_Grunddaten!$A374="Geprüft",Programme_Grunddaten!U374&lt;&gt;""),IF(Programme_Grunddaten!U374="Ja",1,0),"")</f>
        <v/>
      </c>
      <c r="N369" s="1" t="str">
        <f>IF(AND(Programme_Grunddaten!$A374="Geprüft",Programme_Grunddaten!V374&lt;&gt;""),IF(Programme_Grunddaten!V374="Ja",1,0),"")</f>
        <v/>
      </c>
      <c r="O369" s="1" t="str">
        <f>IF(AND(Programme_Grunddaten!$A374="Geprüft",Programme_Grunddaten!W374&lt;&gt;""),IF(Programme_Grunddaten!W374="Ja",1,0),"")</f>
        <v/>
      </c>
      <c r="P369" s="1" t="str">
        <f>IF(AND(Programme_Grunddaten!$A374="Geprüft",Programme_Grunddaten!X374&lt;&gt;""),IF(Programme_Grunddaten!X374="Ja",1,0),"")</f>
        <v/>
      </c>
      <c r="Q369" s="1" t="str">
        <f>IF(AND(Programme_Grunddaten!$A374="Geprüft",Programme_Grunddaten!Y374&lt;&gt;""),IF(Programme_Grunddaten!Y374="Ja",1,0),"")</f>
        <v/>
      </c>
      <c r="R369" s="1" t="str">
        <f>IF(AND(Programme_Grunddaten!$A374="Geprüft",Programme_Grunddaten!Z374&lt;&gt;""),IF(Programme_Grunddaten!Z374="Ja",1,0),"")</f>
        <v/>
      </c>
      <c r="S369" s="1" t="str">
        <f>IF(AND(Programme_Grunddaten!$A374="Geprüft",Programme_Grunddaten!AA374&lt;&gt;""),IF(Programme_Grunddaten!AA374="monolithisch",1,0),"")</f>
        <v/>
      </c>
      <c r="T369" s="1" t="str">
        <f>IF(AND(Programme_Grunddaten!$A374="Geprüft",Programme_Grunddaten!AB374&lt;&gt;""),IF(Programme_Grunddaten!AB374="Ja",1,0),"")</f>
        <v/>
      </c>
      <c r="U369" s="1" t="str">
        <f>IF(AND(Programme_Grunddaten!$A374="Geprüft",Programme_Grunddaten!AC374&lt;&gt;""),IF(Programme_Grunddaten!AC374="Ja",1,0),"")</f>
        <v/>
      </c>
      <c r="V369" s="1" t="str">
        <f>IF(AND(Programme_Grunddaten!$A374="Geprüft",Programme_Grunddaten!AD374&lt;&gt;""),IF(Programme_Grunddaten!AD374="Ja",1,0),"")</f>
        <v/>
      </c>
      <c r="W369" s="1" t="str">
        <f>IF(AND(Programme_Grunddaten!$A374="Geprüft",Programme_Grunddaten!AE374&lt;&gt;""),IF(Programme_Grunddaten!AE374="Ja",1,0),"")</f>
        <v/>
      </c>
      <c r="X369" s="1" t="str">
        <f>IF(AND(Programme_Grunddaten!$A374="Geprüft",Programme_Grunddaten!AF374&lt;&gt;""),IF(Programme_Grunddaten!AF374="Ja",1,0),"")</f>
        <v/>
      </c>
      <c r="Y369" s="1" t="str">
        <f>IF(AND(Programme_Grunddaten!$A374="Geprüft",Programme_Grunddaten!AG374&lt;&gt;""),IF(Programme_Grunddaten!AG374="Ja",1,0),"")</f>
        <v/>
      </c>
      <c r="Z369" s="1" t="str">
        <f>IF(AND(Programme_Grunddaten!$A374="Geprüft",Programme_Grunddaten!AH374&lt;&gt;""),IF(Programme_Grunddaten!AH374="Ja",1,0),"")</f>
        <v/>
      </c>
      <c r="AA369" s="1" t="str">
        <f>IF(AND(Programme_Grunddaten!$A374="Geprüft",Programme_Grunddaten!AI374&lt;&gt;""),IF(Programme_Grunddaten!AI374="Ja",1,0),"")</f>
        <v/>
      </c>
      <c r="AB369" s="1" t="str">
        <f>IF(AND(Programme_Grunddaten!$A374="Geprüft",Programme_Grunddaten!AJ374&lt;&gt;""),IF(Programme_Grunddaten!AJ374="individuell programmierbar",1,0),"")</f>
        <v/>
      </c>
      <c r="AC369" s="1" t="str">
        <f>IF(AND(Programme_Grunddaten!$A374="Geprüft",Programme_Grunddaten!AK374&lt;&gt;""),IF(Programme_Grunddaten!AK374="Deutsch",0,IF(Programme_Grunddaten!AK374="Deutsch und Englisch",1,2)),"")</f>
        <v/>
      </c>
      <c r="AD369" s="1" t="str">
        <f>IF(AND(Programme_Grunddaten!$A374="Geprüft",Programme_Grunddaten!AL374&lt;&gt;""),IF(Programme_Grunddaten!AL374="Ja",1,0),"")</f>
        <v/>
      </c>
      <c r="AE369" s="1" t="str">
        <f>IF(AND(Programme_Grunddaten!$A374="Geprüft",Programme_Grunddaten!AM374&lt;&gt;""),IF(Programme_Grunddaten!AM374="Ja",1,0),"")</f>
        <v/>
      </c>
      <c r="AF369" s="1" t="str">
        <f>IF(AND(Programme_Grunddaten!$A374="Geprüft",Programme_Grunddaten!AN374&lt;&gt;""),IF(Programme_Grunddaten!AN374="Ja",1,0),"")</f>
        <v/>
      </c>
      <c r="AG369" s="1" t="str">
        <f>IF(AND(Programme_Grunddaten!$A374="Geprüft",Programme_Grunddaten!AO374&lt;&gt;""),IF(Programme_Grunddaten!AO374="Ja",1,0),"")</f>
        <v/>
      </c>
      <c r="AH369" s="1" t="str">
        <f>IF(AND(Programme_Grunddaten!$A374="Geprüft",Programme_Grunddaten!AP374&lt;&gt;""),IF(Programme_Grunddaten!AP374="Ja",1,0),"")</f>
        <v/>
      </c>
      <c r="AI369" s="1" t="str">
        <f>IF(AND(Programme_Grunddaten!$A374="Geprüft",Programme_Grunddaten!AQ374&lt;&gt;""),IF(Programme_Grunddaten!AQ374="Ja",1,0),"")</f>
        <v/>
      </c>
      <c r="AJ369" s="1" t="str">
        <f>IF(AND(Programme_Grunddaten!$A374="Geprüft",Programme_Grunddaten!AR374&lt;&gt;""),IF(Programme_Grunddaten!AR374="Ja",1,0),"")</f>
        <v/>
      </c>
      <c r="AK369" s="1" t="str">
        <f>IF(AND(Programme_Grunddaten!$A374="Geprüft",Programme_Grunddaten!AS374&lt;&gt;""),IF(Programme_Grunddaten!AS374="Ja",1,0),"")</f>
        <v/>
      </c>
      <c r="AL369" s="1" t="str">
        <f>IF(AND(Programme_Grunddaten!$A374="Geprüft",Programme_Grunddaten!AT374&lt;&gt;""),IF(Programme_Grunddaten!AT374="Ja",1,0),"")</f>
        <v/>
      </c>
      <c r="AM369" s="1" t="str">
        <f>IF(AND(Programme_Grunddaten!$A374="Geprüft",Programme_Grunddaten!AU374&lt;&gt;""),IF(Programme_Grunddaten!AU374="Ja",1,0),"")</f>
        <v/>
      </c>
      <c r="AN369" s="1" t="str">
        <f>IF(AND(Programme_Grunddaten!$A374="Geprüft",Programme_Grunddaten!AV374&lt;&gt;""),IF(Programme_Grunddaten!AV374="Ja",1,0),"")</f>
        <v/>
      </c>
    </row>
    <row r="370" spans="1:40" x14ac:dyDescent="0.3">
      <c r="A370" s="1" t="str">
        <f>IF(AND(Programme_Grunddaten!A375="Geprüft",Programme_Grunddaten!B375&lt;&gt;""),Programme_Grunddaten!B375,"")</f>
        <v/>
      </c>
      <c r="B370" s="1" t="str">
        <f>IF(AND(Programme_Grunddaten!$A375="Geprüft",Programme_Grunddaten!I375&lt;&gt;""),IF(Programme_Grunddaten!I375="Ja",1,0),"")</f>
        <v/>
      </c>
      <c r="C370" s="1" t="str">
        <f>IF(AND(Programme_Grunddaten!$A375="Geprüft",Programme_Grunddaten!J375&lt;&gt;""),IF(Programme_Grunddaten!J375="Ja",1,0),"")</f>
        <v/>
      </c>
      <c r="D370" s="1" t="str">
        <f>IF(AND(Programme_Grunddaten!$A375="Geprüft",Programme_Grunddaten!K375&lt;&gt;""),IF(Programme_Grunddaten!K375="Ja",1,0),"")</f>
        <v/>
      </c>
      <c r="E370" s="1" t="str">
        <f>IF(AND(Programme_Grunddaten!$A375="Geprüft",Programme_Grunddaten!L375&lt;&gt;""),IF(Programme_Grunddaten!L375="Abo / befristete Lizenz",1,0),"")</f>
        <v/>
      </c>
      <c r="F370" s="1" t="str">
        <f>IF(AND(Programme_Grunddaten!$A375="Geprüft",Programme_Grunddaten!M375&lt;&gt;""),IF(Programme_Grunddaten!M375="Ja",1,0),"")</f>
        <v/>
      </c>
      <c r="G370" s="1" t="str">
        <f>IF(AND(Programme_Grunddaten!$A375="Geprüft",Programme_Grunddaten!N375&lt;&gt;""),IF(Programme_Grunddaten!N375="Ja",1,0),"")</f>
        <v/>
      </c>
      <c r="H370" s="1" t="str">
        <f>IF(AND(Programme_Grunddaten!$A375="Geprüft",Programme_Grunddaten!O375&lt;&gt;""),IF(Programme_Grunddaten!O375="Deutschland",0,IF(Programme_Grunddaten!O375="EU",1,2)),"")</f>
        <v/>
      </c>
      <c r="I370" s="1" t="str">
        <f>IF(AND(Programme_Grunddaten!$A375="Geprüft",Programme_Grunddaten!P375&lt;&gt;""),IF(Programme_Grunddaten!P375="Ja",1,0),"")</f>
        <v/>
      </c>
      <c r="J370" s="1" t="str">
        <f>IF(AND(Programme_Grunddaten!$A375="Geprüft",Programme_Grunddaten!Q375&lt;&gt;""),IF(Programme_Grunddaten!Q375="geschlossenes System",1,0),"")</f>
        <v/>
      </c>
      <c r="K370" s="1" t="str">
        <f>IF(AND(Programme_Grunddaten!$A375="Geprüft",Programme_Grunddaten!R375&lt;&gt;""),IF(Programme_Grunddaten!R375="Ja",1,0),"")</f>
        <v/>
      </c>
      <c r="L370" s="1" t="str">
        <f>IF(AND(Programme_Grunddaten!$A375="Geprüft",Programme_Grunddaten!T375&lt;&gt;""),IF(Programme_Grunddaten!T375="Ja",1,0),"")</f>
        <v/>
      </c>
      <c r="M370" s="1" t="str">
        <f>IF(AND(Programme_Grunddaten!$A375="Geprüft",Programme_Grunddaten!U375&lt;&gt;""),IF(Programme_Grunddaten!U375="Ja",1,0),"")</f>
        <v/>
      </c>
      <c r="N370" s="1" t="str">
        <f>IF(AND(Programme_Grunddaten!$A375="Geprüft",Programme_Grunddaten!V375&lt;&gt;""),IF(Programme_Grunddaten!V375="Ja",1,0),"")</f>
        <v/>
      </c>
      <c r="O370" s="1" t="str">
        <f>IF(AND(Programme_Grunddaten!$A375="Geprüft",Programme_Grunddaten!W375&lt;&gt;""),IF(Programme_Grunddaten!W375="Ja",1,0),"")</f>
        <v/>
      </c>
      <c r="P370" s="1" t="str">
        <f>IF(AND(Programme_Grunddaten!$A375="Geprüft",Programme_Grunddaten!X375&lt;&gt;""),IF(Programme_Grunddaten!X375="Ja",1,0),"")</f>
        <v/>
      </c>
      <c r="Q370" s="1" t="str">
        <f>IF(AND(Programme_Grunddaten!$A375="Geprüft",Programme_Grunddaten!Y375&lt;&gt;""),IF(Programme_Grunddaten!Y375="Ja",1,0),"")</f>
        <v/>
      </c>
      <c r="R370" s="1" t="str">
        <f>IF(AND(Programme_Grunddaten!$A375="Geprüft",Programme_Grunddaten!Z375&lt;&gt;""),IF(Programme_Grunddaten!Z375="Ja",1,0),"")</f>
        <v/>
      </c>
      <c r="S370" s="1" t="str">
        <f>IF(AND(Programme_Grunddaten!$A375="Geprüft",Programme_Grunddaten!AA375&lt;&gt;""),IF(Programme_Grunddaten!AA375="monolithisch",1,0),"")</f>
        <v/>
      </c>
      <c r="T370" s="1" t="str">
        <f>IF(AND(Programme_Grunddaten!$A375="Geprüft",Programme_Grunddaten!AB375&lt;&gt;""),IF(Programme_Grunddaten!AB375="Ja",1,0),"")</f>
        <v/>
      </c>
      <c r="U370" s="1" t="str">
        <f>IF(AND(Programme_Grunddaten!$A375="Geprüft",Programme_Grunddaten!AC375&lt;&gt;""),IF(Programme_Grunddaten!AC375="Ja",1,0),"")</f>
        <v/>
      </c>
      <c r="V370" s="1" t="str">
        <f>IF(AND(Programme_Grunddaten!$A375="Geprüft",Programme_Grunddaten!AD375&lt;&gt;""),IF(Programme_Grunddaten!AD375="Ja",1,0),"")</f>
        <v/>
      </c>
      <c r="W370" s="1" t="str">
        <f>IF(AND(Programme_Grunddaten!$A375="Geprüft",Programme_Grunddaten!AE375&lt;&gt;""),IF(Programme_Grunddaten!AE375="Ja",1,0),"")</f>
        <v/>
      </c>
      <c r="X370" s="1" t="str">
        <f>IF(AND(Programme_Grunddaten!$A375="Geprüft",Programme_Grunddaten!AF375&lt;&gt;""),IF(Programme_Grunddaten!AF375="Ja",1,0),"")</f>
        <v/>
      </c>
      <c r="Y370" s="1" t="str">
        <f>IF(AND(Programme_Grunddaten!$A375="Geprüft",Programme_Grunddaten!AG375&lt;&gt;""),IF(Programme_Grunddaten!AG375="Ja",1,0),"")</f>
        <v/>
      </c>
      <c r="Z370" s="1" t="str">
        <f>IF(AND(Programme_Grunddaten!$A375="Geprüft",Programme_Grunddaten!AH375&lt;&gt;""),IF(Programme_Grunddaten!AH375="Ja",1,0),"")</f>
        <v/>
      </c>
      <c r="AA370" s="1" t="str">
        <f>IF(AND(Programme_Grunddaten!$A375="Geprüft",Programme_Grunddaten!AI375&lt;&gt;""),IF(Programme_Grunddaten!AI375="Ja",1,0),"")</f>
        <v/>
      </c>
      <c r="AB370" s="1" t="str">
        <f>IF(AND(Programme_Grunddaten!$A375="Geprüft",Programme_Grunddaten!AJ375&lt;&gt;""),IF(Programme_Grunddaten!AJ375="individuell programmierbar",1,0),"")</f>
        <v/>
      </c>
      <c r="AC370" s="1" t="str">
        <f>IF(AND(Programme_Grunddaten!$A375="Geprüft",Programme_Grunddaten!AK375&lt;&gt;""),IF(Programme_Grunddaten!AK375="Deutsch",0,IF(Programme_Grunddaten!AK375="Deutsch und Englisch",1,2)),"")</f>
        <v/>
      </c>
      <c r="AD370" s="1" t="str">
        <f>IF(AND(Programme_Grunddaten!$A375="Geprüft",Programme_Grunddaten!AL375&lt;&gt;""),IF(Programme_Grunddaten!AL375="Ja",1,0),"")</f>
        <v/>
      </c>
      <c r="AE370" s="1" t="str">
        <f>IF(AND(Programme_Grunddaten!$A375="Geprüft",Programme_Grunddaten!AM375&lt;&gt;""),IF(Programme_Grunddaten!AM375="Ja",1,0),"")</f>
        <v/>
      </c>
      <c r="AF370" s="1" t="str">
        <f>IF(AND(Programme_Grunddaten!$A375="Geprüft",Programme_Grunddaten!AN375&lt;&gt;""),IF(Programme_Grunddaten!AN375="Ja",1,0),"")</f>
        <v/>
      </c>
      <c r="AG370" s="1" t="str">
        <f>IF(AND(Programme_Grunddaten!$A375="Geprüft",Programme_Grunddaten!AO375&lt;&gt;""),IF(Programme_Grunddaten!AO375="Ja",1,0),"")</f>
        <v/>
      </c>
      <c r="AH370" s="1" t="str">
        <f>IF(AND(Programme_Grunddaten!$A375="Geprüft",Programme_Grunddaten!AP375&lt;&gt;""),IF(Programme_Grunddaten!AP375="Ja",1,0),"")</f>
        <v/>
      </c>
      <c r="AI370" s="1" t="str">
        <f>IF(AND(Programme_Grunddaten!$A375="Geprüft",Programme_Grunddaten!AQ375&lt;&gt;""),IF(Programme_Grunddaten!AQ375="Ja",1,0),"")</f>
        <v/>
      </c>
      <c r="AJ370" s="1" t="str">
        <f>IF(AND(Programme_Grunddaten!$A375="Geprüft",Programme_Grunddaten!AR375&lt;&gt;""),IF(Programme_Grunddaten!AR375="Ja",1,0),"")</f>
        <v/>
      </c>
      <c r="AK370" s="1" t="str">
        <f>IF(AND(Programme_Grunddaten!$A375="Geprüft",Programme_Grunddaten!AS375&lt;&gt;""),IF(Programme_Grunddaten!AS375="Ja",1,0),"")</f>
        <v/>
      </c>
      <c r="AL370" s="1" t="str">
        <f>IF(AND(Programme_Grunddaten!$A375="Geprüft",Programme_Grunddaten!AT375&lt;&gt;""),IF(Programme_Grunddaten!AT375="Ja",1,0),"")</f>
        <v/>
      </c>
      <c r="AM370" s="1" t="str">
        <f>IF(AND(Programme_Grunddaten!$A375="Geprüft",Programme_Grunddaten!AU375&lt;&gt;""),IF(Programme_Grunddaten!AU375="Ja",1,0),"")</f>
        <v/>
      </c>
      <c r="AN370" s="1" t="str">
        <f>IF(AND(Programme_Grunddaten!$A375="Geprüft",Programme_Grunddaten!AV375&lt;&gt;""),IF(Programme_Grunddaten!AV375="Ja",1,0),"")</f>
        <v/>
      </c>
    </row>
    <row r="371" spans="1:40" x14ac:dyDescent="0.3">
      <c r="A371" s="1" t="str">
        <f>IF(AND(Programme_Grunddaten!A376="Geprüft",Programme_Grunddaten!B376&lt;&gt;""),Programme_Grunddaten!B376,"")</f>
        <v/>
      </c>
      <c r="B371" s="1" t="str">
        <f>IF(AND(Programme_Grunddaten!$A376="Geprüft",Programme_Grunddaten!I376&lt;&gt;""),IF(Programme_Grunddaten!I376="Ja",1,0),"")</f>
        <v/>
      </c>
      <c r="C371" s="1" t="str">
        <f>IF(AND(Programme_Grunddaten!$A376="Geprüft",Programme_Grunddaten!J376&lt;&gt;""),IF(Programme_Grunddaten!J376="Ja",1,0),"")</f>
        <v/>
      </c>
      <c r="D371" s="1" t="str">
        <f>IF(AND(Programme_Grunddaten!$A376="Geprüft",Programme_Grunddaten!K376&lt;&gt;""),IF(Programme_Grunddaten!K376="Ja",1,0),"")</f>
        <v/>
      </c>
      <c r="E371" s="1" t="str">
        <f>IF(AND(Programme_Grunddaten!$A376="Geprüft",Programme_Grunddaten!L376&lt;&gt;""),IF(Programme_Grunddaten!L376="Abo / befristete Lizenz",1,0),"")</f>
        <v/>
      </c>
      <c r="F371" s="1" t="str">
        <f>IF(AND(Programme_Grunddaten!$A376="Geprüft",Programme_Grunddaten!M376&lt;&gt;""),IF(Programme_Grunddaten!M376="Ja",1,0),"")</f>
        <v/>
      </c>
      <c r="G371" s="1" t="str">
        <f>IF(AND(Programme_Grunddaten!$A376="Geprüft",Programme_Grunddaten!N376&lt;&gt;""),IF(Programme_Grunddaten!N376="Ja",1,0),"")</f>
        <v/>
      </c>
      <c r="H371" s="1" t="str">
        <f>IF(AND(Programme_Grunddaten!$A376="Geprüft",Programme_Grunddaten!O376&lt;&gt;""),IF(Programme_Grunddaten!O376="Deutschland",0,IF(Programme_Grunddaten!O376="EU",1,2)),"")</f>
        <v/>
      </c>
      <c r="I371" s="1" t="str">
        <f>IF(AND(Programme_Grunddaten!$A376="Geprüft",Programme_Grunddaten!P376&lt;&gt;""),IF(Programme_Grunddaten!P376="Ja",1,0),"")</f>
        <v/>
      </c>
      <c r="J371" s="1" t="str">
        <f>IF(AND(Programme_Grunddaten!$A376="Geprüft",Programme_Grunddaten!Q376&lt;&gt;""),IF(Programme_Grunddaten!Q376="geschlossenes System",1,0),"")</f>
        <v/>
      </c>
      <c r="K371" s="1" t="str">
        <f>IF(AND(Programme_Grunddaten!$A376="Geprüft",Programme_Grunddaten!R376&lt;&gt;""),IF(Programme_Grunddaten!R376="Ja",1,0),"")</f>
        <v/>
      </c>
      <c r="L371" s="1" t="str">
        <f>IF(AND(Programme_Grunddaten!$A376="Geprüft",Programme_Grunddaten!T376&lt;&gt;""),IF(Programme_Grunddaten!T376="Ja",1,0),"")</f>
        <v/>
      </c>
      <c r="M371" s="1" t="str">
        <f>IF(AND(Programme_Grunddaten!$A376="Geprüft",Programme_Grunddaten!U376&lt;&gt;""),IF(Programme_Grunddaten!U376="Ja",1,0),"")</f>
        <v/>
      </c>
      <c r="N371" s="1" t="str">
        <f>IF(AND(Programme_Grunddaten!$A376="Geprüft",Programme_Grunddaten!V376&lt;&gt;""),IF(Programme_Grunddaten!V376="Ja",1,0),"")</f>
        <v/>
      </c>
      <c r="O371" s="1" t="str">
        <f>IF(AND(Programme_Grunddaten!$A376="Geprüft",Programme_Grunddaten!W376&lt;&gt;""),IF(Programme_Grunddaten!W376="Ja",1,0),"")</f>
        <v/>
      </c>
      <c r="P371" s="1" t="str">
        <f>IF(AND(Programme_Grunddaten!$A376="Geprüft",Programme_Grunddaten!X376&lt;&gt;""),IF(Programme_Grunddaten!X376="Ja",1,0),"")</f>
        <v/>
      </c>
      <c r="Q371" s="1" t="str">
        <f>IF(AND(Programme_Grunddaten!$A376="Geprüft",Programme_Grunddaten!Y376&lt;&gt;""),IF(Programme_Grunddaten!Y376="Ja",1,0),"")</f>
        <v/>
      </c>
      <c r="R371" s="1" t="str">
        <f>IF(AND(Programme_Grunddaten!$A376="Geprüft",Programme_Grunddaten!Z376&lt;&gt;""),IF(Programme_Grunddaten!Z376="Ja",1,0),"")</f>
        <v/>
      </c>
      <c r="S371" s="1" t="str">
        <f>IF(AND(Programme_Grunddaten!$A376="Geprüft",Programme_Grunddaten!AA376&lt;&gt;""),IF(Programme_Grunddaten!AA376="monolithisch",1,0),"")</f>
        <v/>
      </c>
      <c r="T371" s="1" t="str">
        <f>IF(AND(Programme_Grunddaten!$A376="Geprüft",Programme_Grunddaten!AB376&lt;&gt;""),IF(Programme_Grunddaten!AB376="Ja",1,0),"")</f>
        <v/>
      </c>
      <c r="U371" s="1" t="str">
        <f>IF(AND(Programme_Grunddaten!$A376="Geprüft",Programme_Grunddaten!AC376&lt;&gt;""),IF(Programme_Grunddaten!AC376="Ja",1,0),"")</f>
        <v/>
      </c>
      <c r="V371" s="1" t="str">
        <f>IF(AND(Programme_Grunddaten!$A376="Geprüft",Programme_Grunddaten!AD376&lt;&gt;""),IF(Programme_Grunddaten!AD376="Ja",1,0),"")</f>
        <v/>
      </c>
      <c r="W371" s="1" t="str">
        <f>IF(AND(Programme_Grunddaten!$A376="Geprüft",Programme_Grunddaten!AE376&lt;&gt;""),IF(Programme_Grunddaten!AE376="Ja",1,0),"")</f>
        <v/>
      </c>
      <c r="X371" s="1" t="str">
        <f>IF(AND(Programme_Grunddaten!$A376="Geprüft",Programme_Grunddaten!AF376&lt;&gt;""),IF(Programme_Grunddaten!AF376="Ja",1,0),"")</f>
        <v/>
      </c>
      <c r="Y371" s="1" t="str">
        <f>IF(AND(Programme_Grunddaten!$A376="Geprüft",Programme_Grunddaten!AG376&lt;&gt;""),IF(Programme_Grunddaten!AG376="Ja",1,0),"")</f>
        <v/>
      </c>
      <c r="Z371" s="1" t="str">
        <f>IF(AND(Programme_Grunddaten!$A376="Geprüft",Programme_Grunddaten!AH376&lt;&gt;""),IF(Programme_Grunddaten!AH376="Ja",1,0),"")</f>
        <v/>
      </c>
      <c r="AA371" s="1" t="str">
        <f>IF(AND(Programme_Grunddaten!$A376="Geprüft",Programme_Grunddaten!AI376&lt;&gt;""),IF(Programme_Grunddaten!AI376="Ja",1,0),"")</f>
        <v/>
      </c>
      <c r="AB371" s="1" t="str">
        <f>IF(AND(Programme_Grunddaten!$A376="Geprüft",Programme_Grunddaten!AJ376&lt;&gt;""),IF(Programme_Grunddaten!AJ376="individuell programmierbar",1,0),"")</f>
        <v/>
      </c>
      <c r="AC371" s="1" t="str">
        <f>IF(AND(Programme_Grunddaten!$A376="Geprüft",Programme_Grunddaten!AK376&lt;&gt;""),IF(Programme_Grunddaten!AK376="Deutsch",0,IF(Programme_Grunddaten!AK376="Deutsch und Englisch",1,2)),"")</f>
        <v/>
      </c>
      <c r="AD371" s="1" t="str">
        <f>IF(AND(Programme_Grunddaten!$A376="Geprüft",Programme_Grunddaten!AL376&lt;&gt;""),IF(Programme_Grunddaten!AL376="Ja",1,0),"")</f>
        <v/>
      </c>
      <c r="AE371" s="1" t="str">
        <f>IF(AND(Programme_Grunddaten!$A376="Geprüft",Programme_Grunddaten!AM376&lt;&gt;""),IF(Programme_Grunddaten!AM376="Ja",1,0),"")</f>
        <v/>
      </c>
      <c r="AF371" s="1" t="str">
        <f>IF(AND(Programme_Grunddaten!$A376="Geprüft",Programme_Grunddaten!AN376&lt;&gt;""),IF(Programme_Grunddaten!AN376="Ja",1,0),"")</f>
        <v/>
      </c>
      <c r="AG371" s="1" t="str">
        <f>IF(AND(Programme_Grunddaten!$A376="Geprüft",Programme_Grunddaten!AO376&lt;&gt;""),IF(Programme_Grunddaten!AO376="Ja",1,0),"")</f>
        <v/>
      </c>
      <c r="AH371" s="1" t="str">
        <f>IF(AND(Programme_Grunddaten!$A376="Geprüft",Programme_Grunddaten!AP376&lt;&gt;""),IF(Programme_Grunddaten!AP376="Ja",1,0),"")</f>
        <v/>
      </c>
      <c r="AI371" s="1" t="str">
        <f>IF(AND(Programme_Grunddaten!$A376="Geprüft",Programme_Grunddaten!AQ376&lt;&gt;""),IF(Programme_Grunddaten!AQ376="Ja",1,0),"")</f>
        <v/>
      </c>
      <c r="AJ371" s="1" t="str">
        <f>IF(AND(Programme_Grunddaten!$A376="Geprüft",Programme_Grunddaten!AR376&lt;&gt;""),IF(Programme_Grunddaten!AR376="Ja",1,0),"")</f>
        <v/>
      </c>
      <c r="AK371" s="1" t="str">
        <f>IF(AND(Programme_Grunddaten!$A376="Geprüft",Programme_Grunddaten!AS376&lt;&gt;""),IF(Programme_Grunddaten!AS376="Ja",1,0),"")</f>
        <v/>
      </c>
      <c r="AL371" s="1" t="str">
        <f>IF(AND(Programme_Grunddaten!$A376="Geprüft",Programme_Grunddaten!AT376&lt;&gt;""),IF(Programme_Grunddaten!AT376="Ja",1,0),"")</f>
        <v/>
      </c>
      <c r="AM371" s="1" t="str">
        <f>IF(AND(Programme_Grunddaten!$A376="Geprüft",Programme_Grunddaten!AU376&lt;&gt;""),IF(Programme_Grunddaten!AU376="Ja",1,0),"")</f>
        <v/>
      </c>
      <c r="AN371" s="1" t="str">
        <f>IF(AND(Programme_Grunddaten!$A376="Geprüft",Programme_Grunddaten!AV376&lt;&gt;""),IF(Programme_Grunddaten!AV376="Ja",1,0),"")</f>
        <v/>
      </c>
    </row>
    <row r="372" spans="1:40" x14ac:dyDescent="0.3">
      <c r="A372" s="1" t="str">
        <f>IF(AND(Programme_Grunddaten!A377="Geprüft",Programme_Grunddaten!B377&lt;&gt;""),Programme_Grunddaten!B377,"")</f>
        <v/>
      </c>
      <c r="B372" s="1" t="str">
        <f>IF(AND(Programme_Grunddaten!$A377="Geprüft",Programme_Grunddaten!I377&lt;&gt;""),IF(Programme_Grunddaten!I377="Ja",1,0),"")</f>
        <v/>
      </c>
      <c r="C372" s="1" t="str">
        <f>IF(AND(Programme_Grunddaten!$A377="Geprüft",Programme_Grunddaten!J377&lt;&gt;""),IF(Programme_Grunddaten!J377="Ja",1,0),"")</f>
        <v/>
      </c>
      <c r="D372" s="1" t="str">
        <f>IF(AND(Programme_Grunddaten!$A377="Geprüft",Programme_Grunddaten!K377&lt;&gt;""),IF(Programme_Grunddaten!K377="Ja",1,0),"")</f>
        <v/>
      </c>
      <c r="E372" s="1" t="str">
        <f>IF(AND(Programme_Grunddaten!$A377="Geprüft",Programme_Grunddaten!L377&lt;&gt;""),IF(Programme_Grunddaten!L377="Abo / befristete Lizenz",1,0),"")</f>
        <v/>
      </c>
      <c r="F372" s="1" t="str">
        <f>IF(AND(Programme_Grunddaten!$A377="Geprüft",Programme_Grunddaten!M377&lt;&gt;""),IF(Programme_Grunddaten!M377="Ja",1,0),"")</f>
        <v/>
      </c>
      <c r="G372" s="1" t="str">
        <f>IF(AND(Programme_Grunddaten!$A377="Geprüft",Programme_Grunddaten!N377&lt;&gt;""),IF(Programme_Grunddaten!N377="Ja",1,0),"")</f>
        <v/>
      </c>
      <c r="H372" s="1" t="str">
        <f>IF(AND(Programme_Grunddaten!$A377="Geprüft",Programme_Grunddaten!O377&lt;&gt;""),IF(Programme_Grunddaten!O377="Deutschland",0,IF(Programme_Grunddaten!O377="EU",1,2)),"")</f>
        <v/>
      </c>
      <c r="I372" s="1" t="str">
        <f>IF(AND(Programme_Grunddaten!$A377="Geprüft",Programme_Grunddaten!P377&lt;&gt;""),IF(Programme_Grunddaten!P377="Ja",1,0),"")</f>
        <v/>
      </c>
      <c r="J372" s="1" t="str">
        <f>IF(AND(Programme_Grunddaten!$A377="Geprüft",Programme_Grunddaten!Q377&lt;&gt;""),IF(Programme_Grunddaten!Q377="geschlossenes System",1,0),"")</f>
        <v/>
      </c>
      <c r="K372" s="1" t="str">
        <f>IF(AND(Programme_Grunddaten!$A377="Geprüft",Programme_Grunddaten!R377&lt;&gt;""),IF(Programme_Grunddaten!R377="Ja",1,0),"")</f>
        <v/>
      </c>
      <c r="L372" s="1" t="str">
        <f>IF(AND(Programme_Grunddaten!$A377="Geprüft",Programme_Grunddaten!T377&lt;&gt;""),IF(Programme_Grunddaten!T377="Ja",1,0),"")</f>
        <v/>
      </c>
      <c r="M372" s="1" t="str">
        <f>IF(AND(Programme_Grunddaten!$A377="Geprüft",Programme_Grunddaten!U377&lt;&gt;""),IF(Programme_Grunddaten!U377="Ja",1,0),"")</f>
        <v/>
      </c>
      <c r="N372" s="1" t="str">
        <f>IF(AND(Programme_Grunddaten!$A377="Geprüft",Programme_Grunddaten!V377&lt;&gt;""),IF(Programme_Grunddaten!V377="Ja",1,0),"")</f>
        <v/>
      </c>
      <c r="O372" s="1" t="str">
        <f>IF(AND(Programme_Grunddaten!$A377="Geprüft",Programme_Grunddaten!W377&lt;&gt;""),IF(Programme_Grunddaten!W377="Ja",1,0),"")</f>
        <v/>
      </c>
      <c r="P372" s="1" t="str">
        <f>IF(AND(Programme_Grunddaten!$A377="Geprüft",Programme_Grunddaten!X377&lt;&gt;""),IF(Programme_Grunddaten!X377="Ja",1,0),"")</f>
        <v/>
      </c>
      <c r="Q372" s="1" t="str">
        <f>IF(AND(Programme_Grunddaten!$A377="Geprüft",Programme_Grunddaten!Y377&lt;&gt;""),IF(Programme_Grunddaten!Y377="Ja",1,0),"")</f>
        <v/>
      </c>
      <c r="R372" s="1" t="str">
        <f>IF(AND(Programme_Grunddaten!$A377="Geprüft",Programme_Grunddaten!Z377&lt;&gt;""),IF(Programme_Grunddaten!Z377="Ja",1,0),"")</f>
        <v/>
      </c>
      <c r="S372" s="1" t="str">
        <f>IF(AND(Programme_Grunddaten!$A377="Geprüft",Programme_Grunddaten!AA377&lt;&gt;""),IF(Programme_Grunddaten!AA377="monolithisch",1,0),"")</f>
        <v/>
      </c>
      <c r="T372" s="1" t="str">
        <f>IF(AND(Programme_Grunddaten!$A377="Geprüft",Programme_Grunddaten!AB377&lt;&gt;""),IF(Programme_Grunddaten!AB377="Ja",1,0),"")</f>
        <v/>
      </c>
      <c r="U372" s="1" t="str">
        <f>IF(AND(Programme_Grunddaten!$A377="Geprüft",Programme_Grunddaten!AC377&lt;&gt;""),IF(Programme_Grunddaten!AC377="Ja",1,0),"")</f>
        <v/>
      </c>
      <c r="V372" s="1" t="str">
        <f>IF(AND(Programme_Grunddaten!$A377="Geprüft",Programme_Grunddaten!AD377&lt;&gt;""),IF(Programme_Grunddaten!AD377="Ja",1,0),"")</f>
        <v/>
      </c>
      <c r="W372" s="1" t="str">
        <f>IF(AND(Programme_Grunddaten!$A377="Geprüft",Programme_Grunddaten!AE377&lt;&gt;""),IF(Programme_Grunddaten!AE377="Ja",1,0),"")</f>
        <v/>
      </c>
      <c r="X372" s="1" t="str">
        <f>IF(AND(Programme_Grunddaten!$A377="Geprüft",Programme_Grunddaten!AF377&lt;&gt;""),IF(Programme_Grunddaten!AF377="Ja",1,0),"")</f>
        <v/>
      </c>
      <c r="Y372" s="1" t="str">
        <f>IF(AND(Programme_Grunddaten!$A377="Geprüft",Programme_Grunddaten!AG377&lt;&gt;""),IF(Programme_Grunddaten!AG377="Ja",1,0),"")</f>
        <v/>
      </c>
      <c r="Z372" s="1" t="str">
        <f>IF(AND(Programme_Grunddaten!$A377="Geprüft",Programme_Grunddaten!AH377&lt;&gt;""),IF(Programme_Grunddaten!AH377="Ja",1,0),"")</f>
        <v/>
      </c>
      <c r="AA372" s="1" t="str">
        <f>IF(AND(Programme_Grunddaten!$A377="Geprüft",Programme_Grunddaten!AI377&lt;&gt;""),IF(Programme_Grunddaten!AI377="Ja",1,0),"")</f>
        <v/>
      </c>
      <c r="AB372" s="1" t="str">
        <f>IF(AND(Programme_Grunddaten!$A377="Geprüft",Programme_Grunddaten!AJ377&lt;&gt;""),IF(Programme_Grunddaten!AJ377="individuell programmierbar",1,0),"")</f>
        <v/>
      </c>
      <c r="AC372" s="1" t="str">
        <f>IF(AND(Programme_Grunddaten!$A377="Geprüft",Programme_Grunddaten!AK377&lt;&gt;""),IF(Programme_Grunddaten!AK377="Deutsch",0,IF(Programme_Grunddaten!AK377="Deutsch und Englisch",1,2)),"")</f>
        <v/>
      </c>
      <c r="AD372" s="1" t="str">
        <f>IF(AND(Programme_Grunddaten!$A377="Geprüft",Programme_Grunddaten!AL377&lt;&gt;""),IF(Programme_Grunddaten!AL377="Ja",1,0),"")</f>
        <v/>
      </c>
      <c r="AE372" s="1" t="str">
        <f>IF(AND(Programme_Grunddaten!$A377="Geprüft",Programme_Grunddaten!AM377&lt;&gt;""),IF(Programme_Grunddaten!AM377="Ja",1,0),"")</f>
        <v/>
      </c>
      <c r="AF372" s="1" t="str">
        <f>IF(AND(Programme_Grunddaten!$A377="Geprüft",Programme_Grunddaten!AN377&lt;&gt;""),IF(Programme_Grunddaten!AN377="Ja",1,0),"")</f>
        <v/>
      </c>
      <c r="AG372" s="1" t="str">
        <f>IF(AND(Programme_Grunddaten!$A377="Geprüft",Programme_Grunddaten!AO377&lt;&gt;""),IF(Programme_Grunddaten!AO377="Ja",1,0),"")</f>
        <v/>
      </c>
      <c r="AH372" s="1" t="str">
        <f>IF(AND(Programme_Grunddaten!$A377="Geprüft",Programme_Grunddaten!AP377&lt;&gt;""),IF(Programme_Grunddaten!AP377="Ja",1,0),"")</f>
        <v/>
      </c>
      <c r="AI372" s="1" t="str">
        <f>IF(AND(Programme_Grunddaten!$A377="Geprüft",Programme_Grunddaten!AQ377&lt;&gt;""),IF(Programme_Grunddaten!AQ377="Ja",1,0),"")</f>
        <v/>
      </c>
      <c r="AJ372" s="1" t="str">
        <f>IF(AND(Programme_Grunddaten!$A377="Geprüft",Programme_Grunddaten!AR377&lt;&gt;""),IF(Programme_Grunddaten!AR377="Ja",1,0),"")</f>
        <v/>
      </c>
      <c r="AK372" s="1" t="str">
        <f>IF(AND(Programme_Grunddaten!$A377="Geprüft",Programme_Grunddaten!AS377&lt;&gt;""),IF(Programme_Grunddaten!AS377="Ja",1,0),"")</f>
        <v/>
      </c>
      <c r="AL372" s="1" t="str">
        <f>IF(AND(Programme_Grunddaten!$A377="Geprüft",Programme_Grunddaten!AT377&lt;&gt;""),IF(Programme_Grunddaten!AT377="Ja",1,0),"")</f>
        <v/>
      </c>
      <c r="AM372" s="1" t="str">
        <f>IF(AND(Programme_Grunddaten!$A377="Geprüft",Programme_Grunddaten!AU377&lt;&gt;""),IF(Programme_Grunddaten!AU377="Ja",1,0),"")</f>
        <v/>
      </c>
      <c r="AN372" s="1" t="str">
        <f>IF(AND(Programme_Grunddaten!$A377="Geprüft",Programme_Grunddaten!AV377&lt;&gt;""),IF(Programme_Grunddaten!AV377="Ja",1,0),"")</f>
        <v/>
      </c>
    </row>
    <row r="373" spans="1:40" x14ac:dyDescent="0.3">
      <c r="A373" s="1" t="str">
        <f>IF(AND(Programme_Grunddaten!A378="Geprüft",Programme_Grunddaten!B378&lt;&gt;""),Programme_Grunddaten!B378,"")</f>
        <v/>
      </c>
      <c r="B373" s="1" t="str">
        <f>IF(AND(Programme_Grunddaten!$A378="Geprüft",Programme_Grunddaten!I378&lt;&gt;""),IF(Programme_Grunddaten!I378="Ja",1,0),"")</f>
        <v/>
      </c>
      <c r="C373" s="1" t="str">
        <f>IF(AND(Programme_Grunddaten!$A378="Geprüft",Programme_Grunddaten!J378&lt;&gt;""),IF(Programme_Grunddaten!J378="Ja",1,0),"")</f>
        <v/>
      </c>
      <c r="D373" s="1" t="str">
        <f>IF(AND(Programme_Grunddaten!$A378="Geprüft",Programme_Grunddaten!K378&lt;&gt;""),IF(Programme_Grunddaten!K378="Ja",1,0),"")</f>
        <v/>
      </c>
      <c r="E373" s="1" t="str">
        <f>IF(AND(Programme_Grunddaten!$A378="Geprüft",Programme_Grunddaten!L378&lt;&gt;""),IF(Programme_Grunddaten!L378="Abo / befristete Lizenz",1,0),"")</f>
        <v/>
      </c>
      <c r="F373" s="1" t="str">
        <f>IF(AND(Programme_Grunddaten!$A378="Geprüft",Programme_Grunddaten!M378&lt;&gt;""),IF(Programme_Grunddaten!M378="Ja",1,0),"")</f>
        <v/>
      </c>
      <c r="G373" s="1" t="str">
        <f>IF(AND(Programme_Grunddaten!$A378="Geprüft",Programme_Grunddaten!N378&lt;&gt;""),IF(Programme_Grunddaten!N378="Ja",1,0),"")</f>
        <v/>
      </c>
      <c r="H373" s="1" t="str">
        <f>IF(AND(Programme_Grunddaten!$A378="Geprüft",Programme_Grunddaten!O378&lt;&gt;""),IF(Programme_Grunddaten!O378="Deutschland",0,IF(Programme_Grunddaten!O378="EU",1,2)),"")</f>
        <v/>
      </c>
      <c r="I373" s="1" t="str">
        <f>IF(AND(Programme_Grunddaten!$A378="Geprüft",Programme_Grunddaten!P378&lt;&gt;""),IF(Programme_Grunddaten!P378="Ja",1,0),"")</f>
        <v/>
      </c>
      <c r="J373" s="1" t="str">
        <f>IF(AND(Programme_Grunddaten!$A378="Geprüft",Programme_Grunddaten!Q378&lt;&gt;""),IF(Programme_Grunddaten!Q378="geschlossenes System",1,0),"")</f>
        <v/>
      </c>
      <c r="K373" s="1" t="str">
        <f>IF(AND(Programme_Grunddaten!$A378="Geprüft",Programme_Grunddaten!R378&lt;&gt;""),IF(Programme_Grunddaten!R378="Ja",1,0),"")</f>
        <v/>
      </c>
      <c r="L373" s="1" t="str">
        <f>IF(AND(Programme_Grunddaten!$A378="Geprüft",Programme_Grunddaten!T378&lt;&gt;""),IF(Programme_Grunddaten!T378="Ja",1,0),"")</f>
        <v/>
      </c>
      <c r="M373" s="1" t="str">
        <f>IF(AND(Programme_Grunddaten!$A378="Geprüft",Programme_Grunddaten!U378&lt;&gt;""),IF(Programme_Grunddaten!U378="Ja",1,0),"")</f>
        <v/>
      </c>
      <c r="N373" s="1" t="str">
        <f>IF(AND(Programme_Grunddaten!$A378="Geprüft",Programme_Grunddaten!V378&lt;&gt;""),IF(Programme_Grunddaten!V378="Ja",1,0),"")</f>
        <v/>
      </c>
      <c r="O373" s="1" t="str">
        <f>IF(AND(Programme_Grunddaten!$A378="Geprüft",Programme_Grunddaten!W378&lt;&gt;""),IF(Programme_Grunddaten!W378="Ja",1,0),"")</f>
        <v/>
      </c>
      <c r="P373" s="1" t="str">
        <f>IF(AND(Programme_Grunddaten!$A378="Geprüft",Programme_Grunddaten!X378&lt;&gt;""),IF(Programme_Grunddaten!X378="Ja",1,0),"")</f>
        <v/>
      </c>
      <c r="Q373" s="1" t="str">
        <f>IF(AND(Programme_Grunddaten!$A378="Geprüft",Programme_Grunddaten!Y378&lt;&gt;""),IF(Programme_Grunddaten!Y378="Ja",1,0),"")</f>
        <v/>
      </c>
      <c r="R373" s="1" t="str">
        <f>IF(AND(Programme_Grunddaten!$A378="Geprüft",Programme_Grunddaten!Z378&lt;&gt;""),IF(Programme_Grunddaten!Z378="Ja",1,0),"")</f>
        <v/>
      </c>
      <c r="S373" s="1" t="str">
        <f>IF(AND(Programme_Grunddaten!$A378="Geprüft",Programme_Grunddaten!AA378&lt;&gt;""),IF(Programme_Grunddaten!AA378="monolithisch",1,0),"")</f>
        <v/>
      </c>
      <c r="T373" s="1" t="str">
        <f>IF(AND(Programme_Grunddaten!$A378="Geprüft",Programme_Grunddaten!AB378&lt;&gt;""),IF(Programme_Grunddaten!AB378="Ja",1,0),"")</f>
        <v/>
      </c>
      <c r="U373" s="1" t="str">
        <f>IF(AND(Programme_Grunddaten!$A378="Geprüft",Programme_Grunddaten!AC378&lt;&gt;""),IF(Programme_Grunddaten!AC378="Ja",1,0),"")</f>
        <v/>
      </c>
      <c r="V373" s="1" t="str">
        <f>IF(AND(Programme_Grunddaten!$A378="Geprüft",Programme_Grunddaten!AD378&lt;&gt;""),IF(Programme_Grunddaten!AD378="Ja",1,0),"")</f>
        <v/>
      </c>
      <c r="W373" s="1" t="str">
        <f>IF(AND(Programme_Grunddaten!$A378="Geprüft",Programme_Grunddaten!AE378&lt;&gt;""),IF(Programme_Grunddaten!AE378="Ja",1,0),"")</f>
        <v/>
      </c>
      <c r="X373" s="1" t="str">
        <f>IF(AND(Programme_Grunddaten!$A378="Geprüft",Programme_Grunddaten!AF378&lt;&gt;""),IF(Programme_Grunddaten!AF378="Ja",1,0),"")</f>
        <v/>
      </c>
      <c r="Y373" s="1" t="str">
        <f>IF(AND(Programme_Grunddaten!$A378="Geprüft",Programme_Grunddaten!AG378&lt;&gt;""),IF(Programme_Grunddaten!AG378="Ja",1,0),"")</f>
        <v/>
      </c>
      <c r="Z373" s="1" t="str">
        <f>IF(AND(Programme_Grunddaten!$A378="Geprüft",Programme_Grunddaten!AH378&lt;&gt;""),IF(Programme_Grunddaten!AH378="Ja",1,0),"")</f>
        <v/>
      </c>
      <c r="AA373" s="1" t="str">
        <f>IF(AND(Programme_Grunddaten!$A378="Geprüft",Programme_Grunddaten!AI378&lt;&gt;""),IF(Programme_Grunddaten!AI378="Ja",1,0),"")</f>
        <v/>
      </c>
      <c r="AB373" s="1" t="str">
        <f>IF(AND(Programme_Grunddaten!$A378="Geprüft",Programme_Grunddaten!AJ378&lt;&gt;""),IF(Programme_Grunddaten!AJ378="individuell programmierbar",1,0),"")</f>
        <v/>
      </c>
      <c r="AC373" s="1" t="str">
        <f>IF(AND(Programme_Grunddaten!$A378="Geprüft",Programme_Grunddaten!AK378&lt;&gt;""),IF(Programme_Grunddaten!AK378="Deutsch",0,IF(Programme_Grunddaten!AK378="Deutsch und Englisch",1,2)),"")</f>
        <v/>
      </c>
      <c r="AD373" s="1" t="str">
        <f>IF(AND(Programme_Grunddaten!$A378="Geprüft",Programme_Grunddaten!AL378&lt;&gt;""),IF(Programme_Grunddaten!AL378="Ja",1,0),"")</f>
        <v/>
      </c>
      <c r="AE373" s="1" t="str">
        <f>IF(AND(Programme_Grunddaten!$A378="Geprüft",Programme_Grunddaten!AM378&lt;&gt;""),IF(Programme_Grunddaten!AM378="Ja",1,0),"")</f>
        <v/>
      </c>
      <c r="AF373" s="1" t="str">
        <f>IF(AND(Programme_Grunddaten!$A378="Geprüft",Programme_Grunddaten!AN378&lt;&gt;""),IF(Programme_Grunddaten!AN378="Ja",1,0),"")</f>
        <v/>
      </c>
      <c r="AG373" s="1" t="str">
        <f>IF(AND(Programme_Grunddaten!$A378="Geprüft",Programme_Grunddaten!AO378&lt;&gt;""),IF(Programme_Grunddaten!AO378="Ja",1,0),"")</f>
        <v/>
      </c>
      <c r="AH373" s="1" t="str">
        <f>IF(AND(Programme_Grunddaten!$A378="Geprüft",Programme_Grunddaten!AP378&lt;&gt;""),IF(Programme_Grunddaten!AP378="Ja",1,0),"")</f>
        <v/>
      </c>
      <c r="AI373" s="1" t="str">
        <f>IF(AND(Programme_Grunddaten!$A378="Geprüft",Programme_Grunddaten!AQ378&lt;&gt;""),IF(Programme_Grunddaten!AQ378="Ja",1,0),"")</f>
        <v/>
      </c>
      <c r="AJ373" s="1" t="str">
        <f>IF(AND(Programme_Grunddaten!$A378="Geprüft",Programme_Grunddaten!AR378&lt;&gt;""),IF(Programme_Grunddaten!AR378="Ja",1,0),"")</f>
        <v/>
      </c>
      <c r="AK373" s="1" t="str">
        <f>IF(AND(Programme_Grunddaten!$A378="Geprüft",Programme_Grunddaten!AS378&lt;&gt;""),IF(Programme_Grunddaten!AS378="Ja",1,0),"")</f>
        <v/>
      </c>
      <c r="AL373" s="1" t="str">
        <f>IF(AND(Programme_Grunddaten!$A378="Geprüft",Programme_Grunddaten!AT378&lt;&gt;""),IF(Programme_Grunddaten!AT378="Ja",1,0),"")</f>
        <v/>
      </c>
      <c r="AM373" s="1" t="str">
        <f>IF(AND(Programme_Grunddaten!$A378="Geprüft",Programme_Grunddaten!AU378&lt;&gt;""),IF(Programme_Grunddaten!AU378="Ja",1,0),"")</f>
        <v/>
      </c>
      <c r="AN373" s="1" t="str">
        <f>IF(AND(Programme_Grunddaten!$A378="Geprüft",Programme_Grunddaten!AV378&lt;&gt;""),IF(Programme_Grunddaten!AV378="Ja",1,0),"")</f>
        <v/>
      </c>
    </row>
    <row r="374" spans="1:40" x14ac:dyDescent="0.3">
      <c r="A374" s="1" t="str">
        <f>IF(AND(Programme_Grunddaten!A379="Geprüft",Programme_Grunddaten!B379&lt;&gt;""),Programme_Grunddaten!B379,"")</f>
        <v/>
      </c>
      <c r="B374" s="1" t="str">
        <f>IF(AND(Programme_Grunddaten!$A379="Geprüft",Programme_Grunddaten!I379&lt;&gt;""),IF(Programme_Grunddaten!I379="Ja",1,0),"")</f>
        <v/>
      </c>
      <c r="C374" s="1" t="str">
        <f>IF(AND(Programme_Grunddaten!$A379="Geprüft",Programme_Grunddaten!J379&lt;&gt;""),IF(Programme_Grunddaten!J379="Ja",1,0),"")</f>
        <v/>
      </c>
      <c r="D374" s="1" t="str">
        <f>IF(AND(Programme_Grunddaten!$A379="Geprüft",Programme_Grunddaten!K379&lt;&gt;""),IF(Programme_Grunddaten!K379="Ja",1,0),"")</f>
        <v/>
      </c>
      <c r="E374" s="1" t="str">
        <f>IF(AND(Programme_Grunddaten!$A379="Geprüft",Programme_Grunddaten!L379&lt;&gt;""),IF(Programme_Grunddaten!L379="Abo / befristete Lizenz",1,0),"")</f>
        <v/>
      </c>
      <c r="F374" s="1" t="str">
        <f>IF(AND(Programme_Grunddaten!$A379="Geprüft",Programme_Grunddaten!M379&lt;&gt;""),IF(Programme_Grunddaten!M379="Ja",1,0),"")</f>
        <v/>
      </c>
      <c r="G374" s="1" t="str">
        <f>IF(AND(Programme_Grunddaten!$A379="Geprüft",Programme_Grunddaten!N379&lt;&gt;""),IF(Programme_Grunddaten!N379="Ja",1,0),"")</f>
        <v/>
      </c>
      <c r="H374" s="1" t="str">
        <f>IF(AND(Programme_Grunddaten!$A379="Geprüft",Programme_Grunddaten!O379&lt;&gt;""),IF(Programme_Grunddaten!O379="Deutschland",0,IF(Programme_Grunddaten!O379="EU",1,2)),"")</f>
        <v/>
      </c>
      <c r="I374" s="1" t="str">
        <f>IF(AND(Programme_Grunddaten!$A379="Geprüft",Programme_Grunddaten!P379&lt;&gt;""),IF(Programme_Grunddaten!P379="Ja",1,0),"")</f>
        <v/>
      </c>
      <c r="J374" s="1" t="str">
        <f>IF(AND(Programme_Grunddaten!$A379="Geprüft",Programme_Grunddaten!Q379&lt;&gt;""),IF(Programme_Grunddaten!Q379="geschlossenes System",1,0),"")</f>
        <v/>
      </c>
      <c r="K374" s="1" t="str">
        <f>IF(AND(Programme_Grunddaten!$A379="Geprüft",Programme_Grunddaten!R379&lt;&gt;""),IF(Programme_Grunddaten!R379="Ja",1,0),"")</f>
        <v/>
      </c>
      <c r="L374" s="1" t="str">
        <f>IF(AND(Programme_Grunddaten!$A379="Geprüft",Programme_Grunddaten!T379&lt;&gt;""),IF(Programme_Grunddaten!T379="Ja",1,0),"")</f>
        <v/>
      </c>
      <c r="M374" s="1" t="str">
        <f>IF(AND(Programme_Grunddaten!$A379="Geprüft",Programme_Grunddaten!U379&lt;&gt;""),IF(Programme_Grunddaten!U379="Ja",1,0),"")</f>
        <v/>
      </c>
      <c r="N374" s="1" t="str">
        <f>IF(AND(Programme_Grunddaten!$A379="Geprüft",Programme_Grunddaten!V379&lt;&gt;""),IF(Programme_Grunddaten!V379="Ja",1,0),"")</f>
        <v/>
      </c>
      <c r="O374" s="1" t="str">
        <f>IF(AND(Programme_Grunddaten!$A379="Geprüft",Programme_Grunddaten!W379&lt;&gt;""),IF(Programme_Grunddaten!W379="Ja",1,0),"")</f>
        <v/>
      </c>
      <c r="P374" s="1" t="str">
        <f>IF(AND(Programme_Grunddaten!$A379="Geprüft",Programme_Grunddaten!X379&lt;&gt;""),IF(Programme_Grunddaten!X379="Ja",1,0),"")</f>
        <v/>
      </c>
      <c r="Q374" s="1" t="str">
        <f>IF(AND(Programme_Grunddaten!$A379="Geprüft",Programme_Grunddaten!Y379&lt;&gt;""),IF(Programme_Grunddaten!Y379="Ja",1,0),"")</f>
        <v/>
      </c>
      <c r="R374" s="1" t="str">
        <f>IF(AND(Programme_Grunddaten!$A379="Geprüft",Programme_Grunddaten!Z379&lt;&gt;""),IF(Programme_Grunddaten!Z379="Ja",1,0),"")</f>
        <v/>
      </c>
      <c r="S374" s="1" t="str">
        <f>IF(AND(Programme_Grunddaten!$A379="Geprüft",Programme_Grunddaten!AA379&lt;&gt;""),IF(Programme_Grunddaten!AA379="monolithisch",1,0),"")</f>
        <v/>
      </c>
      <c r="T374" s="1" t="str">
        <f>IF(AND(Programme_Grunddaten!$A379="Geprüft",Programme_Grunddaten!AB379&lt;&gt;""),IF(Programme_Grunddaten!AB379="Ja",1,0),"")</f>
        <v/>
      </c>
      <c r="U374" s="1" t="str">
        <f>IF(AND(Programme_Grunddaten!$A379="Geprüft",Programme_Grunddaten!AC379&lt;&gt;""),IF(Programme_Grunddaten!AC379="Ja",1,0),"")</f>
        <v/>
      </c>
      <c r="V374" s="1" t="str">
        <f>IF(AND(Programme_Grunddaten!$A379="Geprüft",Programme_Grunddaten!AD379&lt;&gt;""),IF(Programme_Grunddaten!AD379="Ja",1,0),"")</f>
        <v/>
      </c>
      <c r="W374" s="1" t="str">
        <f>IF(AND(Programme_Grunddaten!$A379="Geprüft",Programme_Grunddaten!AE379&lt;&gt;""),IF(Programme_Grunddaten!AE379="Ja",1,0),"")</f>
        <v/>
      </c>
      <c r="X374" s="1" t="str">
        <f>IF(AND(Programme_Grunddaten!$A379="Geprüft",Programme_Grunddaten!AF379&lt;&gt;""),IF(Programme_Grunddaten!AF379="Ja",1,0),"")</f>
        <v/>
      </c>
      <c r="Y374" s="1" t="str">
        <f>IF(AND(Programme_Grunddaten!$A379="Geprüft",Programme_Grunddaten!AG379&lt;&gt;""),IF(Programme_Grunddaten!AG379="Ja",1,0),"")</f>
        <v/>
      </c>
      <c r="Z374" s="1" t="str">
        <f>IF(AND(Programme_Grunddaten!$A379="Geprüft",Programme_Grunddaten!AH379&lt;&gt;""),IF(Programme_Grunddaten!AH379="Ja",1,0),"")</f>
        <v/>
      </c>
      <c r="AA374" s="1" t="str">
        <f>IF(AND(Programme_Grunddaten!$A379="Geprüft",Programme_Grunddaten!AI379&lt;&gt;""),IF(Programme_Grunddaten!AI379="Ja",1,0),"")</f>
        <v/>
      </c>
      <c r="AB374" s="1" t="str">
        <f>IF(AND(Programme_Grunddaten!$A379="Geprüft",Programme_Grunddaten!AJ379&lt;&gt;""),IF(Programme_Grunddaten!AJ379="individuell programmierbar",1,0),"")</f>
        <v/>
      </c>
      <c r="AC374" s="1" t="str">
        <f>IF(AND(Programme_Grunddaten!$A379="Geprüft",Programme_Grunddaten!AK379&lt;&gt;""),IF(Programme_Grunddaten!AK379="Deutsch",0,IF(Programme_Grunddaten!AK379="Deutsch und Englisch",1,2)),"")</f>
        <v/>
      </c>
      <c r="AD374" s="1" t="str">
        <f>IF(AND(Programme_Grunddaten!$A379="Geprüft",Programme_Grunddaten!AL379&lt;&gt;""),IF(Programme_Grunddaten!AL379="Ja",1,0),"")</f>
        <v/>
      </c>
      <c r="AE374" s="1" t="str">
        <f>IF(AND(Programme_Grunddaten!$A379="Geprüft",Programme_Grunddaten!AM379&lt;&gt;""),IF(Programme_Grunddaten!AM379="Ja",1,0),"")</f>
        <v/>
      </c>
      <c r="AF374" s="1" t="str">
        <f>IF(AND(Programme_Grunddaten!$A379="Geprüft",Programme_Grunddaten!AN379&lt;&gt;""),IF(Programme_Grunddaten!AN379="Ja",1,0),"")</f>
        <v/>
      </c>
      <c r="AG374" s="1" t="str">
        <f>IF(AND(Programme_Grunddaten!$A379="Geprüft",Programme_Grunddaten!AO379&lt;&gt;""),IF(Programme_Grunddaten!AO379="Ja",1,0),"")</f>
        <v/>
      </c>
      <c r="AH374" s="1" t="str">
        <f>IF(AND(Programme_Grunddaten!$A379="Geprüft",Programme_Grunddaten!AP379&lt;&gt;""),IF(Programme_Grunddaten!AP379="Ja",1,0),"")</f>
        <v/>
      </c>
      <c r="AI374" s="1" t="str">
        <f>IF(AND(Programme_Grunddaten!$A379="Geprüft",Programme_Grunddaten!AQ379&lt;&gt;""),IF(Programme_Grunddaten!AQ379="Ja",1,0),"")</f>
        <v/>
      </c>
      <c r="AJ374" s="1" t="str">
        <f>IF(AND(Programme_Grunddaten!$A379="Geprüft",Programme_Grunddaten!AR379&lt;&gt;""),IF(Programme_Grunddaten!AR379="Ja",1,0),"")</f>
        <v/>
      </c>
      <c r="AK374" s="1" t="str">
        <f>IF(AND(Programme_Grunddaten!$A379="Geprüft",Programme_Grunddaten!AS379&lt;&gt;""),IF(Programme_Grunddaten!AS379="Ja",1,0),"")</f>
        <v/>
      </c>
      <c r="AL374" s="1" t="str">
        <f>IF(AND(Programme_Grunddaten!$A379="Geprüft",Programme_Grunddaten!AT379&lt;&gt;""),IF(Programme_Grunddaten!AT379="Ja",1,0),"")</f>
        <v/>
      </c>
      <c r="AM374" s="1" t="str">
        <f>IF(AND(Programme_Grunddaten!$A379="Geprüft",Programme_Grunddaten!AU379&lt;&gt;""),IF(Programme_Grunddaten!AU379="Ja",1,0),"")</f>
        <v/>
      </c>
      <c r="AN374" s="1" t="str">
        <f>IF(AND(Programme_Grunddaten!$A379="Geprüft",Programme_Grunddaten!AV379&lt;&gt;""),IF(Programme_Grunddaten!AV379="Ja",1,0),"")</f>
        <v/>
      </c>
    </row>
    <row r="375" spans="1:40" x14ac:dyDescent="0.3">
      <c r="A375" s="1" t="str">
        <f>IF(AND(Programme_Grunddaten!A380="Geprüft",Programme_Grunddaten!B380&lt;&gt;""),Programme_Grunddaten!B380,"")</f>
        <v/>
      </c>
      <c r="B375" s="1" t="str">
        <f>IF(AND(Programme_Grunddaten!$A380="Geprüft",Programme_Grunddaten!I380&lt;&gt;""),IF(Programme_Grunddaten!I380="Ja",1,0),"")</f>
        <v/>
      </c>
      <c r="C375" s="1" t="str">
        <f>IF(AND(Programme_Grunddaten!$A380="Geprüft",Programme_Grunddaten!J380&lt;&gt;""),IF(Programme_Grunddaten!J380="Ja",1,0),"")</f>
        <v/>
      </c>
      <c r="D375" s="1" t="str">
        <f>IF(AND(Programme_Grunddaten!$A380="Geprüft",Programme_Grunddaten!K380&lt;&gt;""),IF(Programme_Grunddaten!K380="Ja",1,0),"")</f>
        <v/>
      </c>
      <c r="E375" s="1" t="str">
        <f>IF(AND(Programme_Grunddaten!$A380="Geprüft",Programme_Grunddaten!L380&lt;&gt;""),IF(Programme_Grunddaten!L380="Abo / befristete Lizenz",1,0),"")</f>
        <v/>
      </c>
      <c r="F375" s="1" t="str">
        <f>IF(AND(Programme_Grunddaten!$A380="Geprüft",Programme_Grunddaten!M380&lt;&gt;""),IF(Programme_Grunddaten!M380="Ja",1,0),"")</f>
        <v/>
      </c>
      <c r="G375" s="1" t="str">
        <f>IF(AND(Programme_Grunddaten!$A380="Geprüft",Programme_Grunddaten!N380&lt;&gt;""),IF(Programme_Grunddaten!N380="Ja",1,0),"")</f>
        <v/>
      </c>
      <c r="H375" s="1" t="str">
        <f>IF(AND(Programme_Grunddaten!$A380="Geprüft",Programme_Grunddaten!O380&lt;&gt;""),IF(Programme_Grunddaten!O380="Deutschland",0,IF(Programme_Grunddaten!O380="EU",1,2)),"")</f>
        <v/>
      </c>
      <c r="I375" s="1" t="str">
        <f>IF(AND(Programme_Grunddaten!$A380="Geprüft",Programme_Grunddaten!P380&lt;&gt;""),IF(Programme_Grunddaten!P380="Ja",1,0),"")</f>
        <v/>
      </c>
      <c r="J375" s="1" t="str">
        <f>IF(AND(Programme_Grunddaten!$A380="Geprüft",Programme_Grunddaten!Q380&lt;&gt;""),IF(Programme_Grunddaten!Q380="geschlossenes System",1,0),"")</f>
        <v/>
      </c>
      <c r="K375" s="1" t="str">
        <f>IF(AND(Programme_Grunddaten!$A380="Geprüft",Programme_Grunddaten!R380&lt;&gt;""),IF(Programme_Grunddaten!R380="Ja",1,0),"")</f>
        <v/>
      </c>
      <c r="L375" s="1" t="str">
        <f>IF(AND(Programme_Grunddaten!$A380="Geprüft",Programme_Grunddaten!T380&lt;&gt;""),IF(Programme_Grunddaten!T380="Ja",1,0),"")</f>
        <v/>
      </c>
      <c r="M375" s="1" t="str">
        <f>IF(AND(Programme_Grunddaten!$A380="Geprüft",Programme_Grunddaten!U380&lt;&gt;""),IF(Programme_Grunddaten!U380="Ja",1,0),"")</f>
        <v/>
      </c>
      <c r="N375" s="1" t="str">
        <f>IF(AND(Programme_Grunddaten!$A380="Geprüft",Programme_Grunddaten!V380&lt;&gt;""),IF(Programme_Grunddaten!V380="Ja",1,0),"")</f>
        <v/>
      </c>
      <c r="O375" s="1" t="str">
        <f>IF(AND(Programme_Grunddaten!$A380="Geprüft",Programme_Grunddaten!W380&lt;&gt;""),IF(Programme_Grunddaten!W380="Ja",1,0),"")</f>
        <v/>
      </c>
      <c r="P375" s="1" t="str">
        <f>IF(AND(Programme_Grunddaten!$A380="Geprüft",Programme_Grunddaten!X380&lt;&gt;""),IF(Programme_Grunddaten!X380="Ja",1,0),"")</f>
        <v/>
      </c>
      <c r="Q375" s="1" t="str">
        <f>IF(AND(Programme_Grunddaten!$A380="Geprüft",Programme_Grunddaten!Y380&lt;&gt;""),IF(Programme_Grunddaten!Y380="Ja",1,0),"")</f>
        <v/>
      </c>
      <c r="R375" s="1" t="str">
        <f>IF(AND(Programme_Grunddaten!$A380="Geprüft",Programme_Grunddaten!Z380&lt;&gt;""),IF(Programme_Grunddaten!Z380="Ja",1,0),"")</f>
        <v/>
      </c>
      <c r="S375" s="1" t="str">
        <f>IF(AND(Programme_Grunddaten!$A380="Geprüft",Programme_Grunddaten!AA380&lt;&gt;""),IF(Programme_Grunddaten!AA380="monolithisch",1,0),"")</f>
        <v/>
      </c>
      <c r="T375" s="1" t="str">
        <f>IF(AND(Programme_Grunddaten!$A380="Geprüft",Programme_Grunddaten!AB380&lt;&gt;""),IF(Programme_Grunddaten!AB380="Ja",1,0),"")</f>
        <v/>
      </c>
      <c r="U375" s="1" t="str">
        <f>IF(AND(Programme_Grunddaten!$A380="Geprüft",Programme_Grunddaten!AC380&lt;&gt;""),IF(Programme_Grunddaten!AC380="Ja",1,0),"")</f>
        <v/>
      </c>
      <c r="V375" s="1" t="str">
        <f>IF(AND(Programme_Grunddaten!$A380="Geprüft",Programme_Grunddaten!AD380&lt;&gt;""),IF(Programme_Grunddaten!AD380="Ja",1,0),"")</f>
        <v/>
      </c>
      <c r="W375" s="1" t="str">
        <f>IF(AND(Programme_Grunddaten!$A380="Geprüft",Programme_Grunddaten!AE380&lt;&gt;""),IF(Programme_Grunddaten!AE380="Ja",1,0),"")</f>
        <v/>
      </c>
      <c r="X375" s="1" t="str">
        <f>IF(AND(Programme_Grunddaten!$A380="Geprüft",Programme_Grunddaten!AF380&lt;&gt;""),IF(Programme_Grunddaten!AF380="Ja",1,0),"")</f>
        <v/>
      </c>
      <c r="Y375" s="1" t="str">
        <f>IF(AND(Programme_Grunddaten!$A380="Geprüft",Programme_Grunddaten!AG380&lt;&gt;""),IF(Programme_Grunddaten!AG380="Ja",1,0),"")</f>
        <v/>
      </c>
      <c r="Z375" s="1" t="str">
        <f>IF(AND(Programme_Grunddaten!$A380="Geprüft",Programme_Grunddaten!AH380&lt;&gt;""),IF(Programme_Grunddaten!AH380="Ja",1,0),"")</f>
        <v/>
      </c>
      <c r="AA375" s="1" t="str">
        <f>IF(AND(Programme_Grunddaten!$A380="Geprüft",Programme_Grunddaten!AI380&lt;&gt;""),IF(Programme_Grunddaten!AI380="Ja",1,0),"")</f>
        <v/>
      </c>
      <c r="AB375" s="1" t="str">
        <f>IF(AND(Programme_Grunddaten!$A380="Geprüft",Programme_Grunddaten!AJ380&lt;&gt;""),IF(Programme_Grunddaten!AJ380="individuell programmierbar",1,0),"")</f>
        <v/>
      </c>
      <c r="AC375" s="1" t="str">
        <f>IF(AND(Programme_Grunddaten!$A380="Geprüft",Programme_Grunddaten!AK380&lt;&gt;""),IF(Programme_Grunddaten!AK380="Deutsch",0,IF(Programme_Grunddaten!AK380="Deutsch und Englisch",1,2)),"")</f>
        <v/>
      </c>
      <c r="AD375" s="1" t="str">
        <f>IF(AND(Programme_Grunddaten!$A380="Geprüft",Programme_Grunddaten!AL380&lt;&gt;""),IF(Programme_Grunddaten!AL380="Ja",1,0),"")</f>
        <v/>
      </c>
      <c r="AE375" s="1" t="str">
        <f>IF(AND(Programme_Grunddaten!$A380="Geprüft",Programme_Grunddaten!AM380&lt;&gt;""),IF(Programme_Grunddaten!AM380="Ja",1,0),"")</f>
        <v/>
      </c>
      <c r="AF375" s="1" t="str">
        <f>IF(AND(Programme_Grunddaten!$A380="Geprüft",Programme_Grunddaten!AN380&lt;&gt;""),IF(Programme_Grunddaten!AN380="Ja",1,0),"")</f>
        <v/>
      </c>
      <c r="AG375" s="1" t="str">
        <f>IF(AND(Programme_Grunddaten!$A380="Geprüft",Programme_Grunddaten!AO380&lt;&gt;""),IF(Programme_Grunddaten!AO380="Ja",1,0),"")</f>
        <v/>
      </c>
      <c r="AH375" s="1" t="str">
        <f>IF(AND(Programme_Grunddaten!$A380="Geprüft",Programme_Grunddaten!AP380&lt;&gt;""),IF(Programme_Grunddaten!AP380="Ja",1,0),"")</f>
        <v/>
      </c>
      <c r="AI375" s="1" t="str">
        <f>IF(AND(Programme_Grunddaten!$A380="Geprüft",Programme_Grunddaten!AQ380&lt;&gt;""),IF(Programme_Grunddaten!AQ380="Ja",1,0),"")</f>
        <v/>
      </c>
      <c r="AJ375" s="1" t="str">
        <f>IF(AND(Programme_Grunddaten!$A380="Geprüft",Programme_Grunddaten!AR380&lt;&gt;""),IF(Programme_Grunddaten!AR380="Ja",1,0),"")</f>
        <v/>
      </c>
      <c r="AK375" s="1" t="str">
        <f>IF(AND(Programme_Grunddaten!$A380="Geprüft",Programme_Grunddaten!AS380&lt;&gt;""),IF(Programme_Grunddaten!AS380="Ja",1,0),"")</f>
        <v/>
      </c>
      <c r="AL375" s="1" t="str">
        <f>IF(AND(Programme_Grunddaten!$A380="Geprüft",Programme_Grunddaten!AT380&lt;&gt;""),IF(Programme_Grunddaten!AT380="Ja",1,0),"")</f>
        <v/>
      </c>
      <c r="AM375" s="1" t="str">
        <f>IF(AND(Programme_Grunddaten!$A380="Geprüft",Programme_Grunddaten!AU380&lt;&gt;""),IF(Programme_Grunddaten!AU380="Ja",1,0),"")</f>
        <v/>
      </c>
      <c r="AN375" s="1" t="str">
        <f>IF(AND(Programme_Grunddaten!$A380="Geprüft",Programme_Grunddaten!AV380&lt;&gt;""),IF(Programme_Grunddaten!AV380="Ja",1,0),"")</f>
        <v/>
      </c>
    </row>
    <row r="376" spans="1:40" x14ac:dyDescent="0.3">
      <c r="A376" s="1" t="str">
        <f>IF(AND(Programme_Grunddaten!A381="Geprüft",Programme_Grunddaten!B381&lt;&gt;""),Programme_Grunddaten!B381,"")</f>
        <v/>
      </c>
      <c r="B376" s="1" t="str">
        <f>IF(AND(Programme_Grunddaten!$A381="Geprüft",Programme_Grunddaten!I381&lt;&gt;""),IF(Programme_Grunddaten!I381="Ja",1,0),"")</f>
        <v/>
      </c>
      <c r="C376" s="1" t="str">
        <f>IF(AND(Programme_Grunddaten!$A381="Geprüft",Programme_Grunddaten!J381&lt;&gt;""),IF(Programme_Grunddaten!J381="Ja",1,0),"")</f>
        <v/>
      </c>
      <c r="D376" s="1" t="str">
        <f>IF(AND(Programme_Grunddaten!$A381="Geprüft",Programme_Grunddaten!K381&lt;&gt;""),IF(Programme_Grunddaten!K381="Ja",1,0),"")</f>
        <v/>
      </c>
      <c r="E376" s="1" t="str">
        <f>IF(AND(Programme_Grunddaten!$A381="Geprüft",Programme_Grunddaten!L381&lt;&gt;""),IF(Programme_Grunddaten!L381="Abo / befristete Lizenz",1,0),"")</f>
        <v/>
      </c>
      <c r="F376" s="1" t="str">
        <f>IF(AND(Programme_Grunddaten!$A381="Geprüft",Programme_Grunddaten!M381&lt;&gt;""),IF(Programme_Grunddaten!M381="Ja",1,0),"")</f>
        <v/>
      </c>
      <c r="G376" s="1" t="str">
        <f>IF(AND(Programme_Grunddaten!$A381="Geprüft",Programme_Grunddaten!N381&lt;&gt;""),IF(Programme_Grunddaten!N381="Ja",1,0),"")</f>
        <v/>
      </c>
      <c r="H376" s="1" t="str">
        <f>IF(AND(Programme_Grunddaten!$A381="Geprüft",Programme_Grunddaten!O381&lt;&gt;""),IF(Programme_Grunddaten!O381="Deutschland",0,IF(Programme_Grunddaten!O381="EU",1,2)),"")</f>
        <v/>
      </c>
      <c r="I376" s="1" t="str">
        <f>IF(AND(Programme_Grunddaten!$A381="Geprüft",Programme_Grunddaten!P381&lt;&gt;""),IF(Programme_Grunddaten!P381="Ja",1,0),"")</f>
        <v/>
      </c>
      <c r="J376" s="1" t="str">
        <f>IF(AND(Programme_Grunddaten!$A381="Geprüft",Programme_Grunddaten!Q381&lt;&gt;""),IF(Programme_Grunddaten!Q381="geschlossenes System",1,0),"")</f>
        <v/>
      </c>
      <c r="K376" s="1" t="str">
        <f>IF(AND(Programme_Grunddaten!$A381="Geprüft",Programme_Grunddaten!R381&lt;&gt;""),IF(Programme_Grunddaten!R381="Ja",1,0),"")</f>
        <v/>
      </c>
      <c r="L376" s="1" t="str">
        <f>IF(AND(Programme_Grunddaten!$A381="Geprüft",Programme_Grunddaten!T381&lt;&gt;""),IF(Programme_Grunddaten!T381="Ja",1,0),"")</f>
        <v/>
      </c>
      <c r="M376" s="1" t="str">
        <f>IF(AND(Programme_Grunddaten!$A381="Geprüft",Programme_Grunddaten!U381&lt;&gt;""),IF(Programme_Grunddaten!U381="Ja",1,0),"")</f>
        <v/>
      </c>
      <c r="N376" s="1" t="str">
        <f>IF(AND(Programme_Grunddaten!$A381="Geprüft",Programme_Grunddaten!V381&lt;&gt;""),IF(Programme_Grunddaten!V381="Ja",1,0),"")</f>
        <v/>
      </c>
      <c r="O376" s="1" t="str">
        <f>IF(AND(Programme_Grunddaten!$A381="Geprüft",Programme_Grunddaten!W381&lt;&gt;""),IF(Programme_Grunddaten!W381="Ja",1,0),"")</f>
        <v/>
      </c>
      <c r="P376" s="1" t="str">
        <f>IF(AND(Programme_Grunddaten!$A381="Geprüft",Programme_Grunddaten!X381&lt;&gt;""),IF(Programme_Grunddaten!X381="Ja",1,0),"")</f>
        <v/>
      </c>
      <c r="Q376" s="1" t="str">
        <f>IF(AND(Programme_Grunddaten!$A381="Geprüft",Programme_Grunddaten!Y381&lt;&gt;""),IF(Programme_Grunddaten!Y381="Ja",1,0),"")</f>
        <v/>
      </c>
      <c r="R376" s="1" t="str">
        <f>IF(AND(Programme_Grunddaten!$A381="Geprüft",Programme_Grunddaten!Z381&lt;&gt;""),IF(Programme_Grunddaten!Z381="Ja",1,0),"")</f>
        <v/>
      </c>
      <c r="S376" s="1" t="str">
        <f>IF(AND(Programme_Grunddaten!$A381="Geprüft",Programme_Grunddaten!AA381&lt;&gt;""),IF(Programme_Grunddaten!AA381="monolithisch",1,0),"")</f>
        <v/>
      </c>
      <c r="T376" s="1" t="str">
        <f>IF(AND(Programme_Grunddaten!$A381="Geprüft",Programme_Grunddaten!AB381&lt;&gt;""),IF(Programme_Grunddaten!AB381="Ja",1,0),"")</f>
        <v/>
      </c>
      <c r="U376" s="1" t="str">
        <f>IF(AND(Programme_Grunddaten!$A381="Geprüft",Programme_Grunddaten!AC381&lt;&gt;""),IF(Programme_Grunddaten!AC381="Ja",1,0),"")</f>
        <v/>
      </c>
      <c r="V376" s="1" t="str">
        <f>IF(AND(Programme_Grunddaten!$A381="Geprüft",Programme_Grunddaten!AD381&lt;&gt;""),IF(Programme_Grunddaten!AD381="Ja",1,0),"")</f>
        <v/>
      </c>
      <c r="W376" s="1" t="str">
        <f>IF(AND(Programme_Grunddaten!$A381="Geprüft",Programme_Grunddaten!AE381&lt;&gt;""),IF(Programme_Grunddaten!AE381="Ja",1,0),"")</f>
        <v/>
      </c>
      <c r="X376" s="1" t="str">
        <f>IF(AND(Programme_Grunddaten!$A381="Geprüft",Programme_Grunddaten!AF381&lt;&gt;""),IF(Programme_Grunddaten!AF381="Ja",1,0),"")</f>
        <v/>
      </c>
      <c r="Y376" s="1" t="str">
        <f>IF(AND(Programme_Grunddaten!$A381="Geprüft",Programme_Grunddaten!AG381&lt;&gt;""),IF(Programme_Grunddaten!AG381="Ja",1,0),"")</f>
        <v/>
      </c>
      <c r="Z376" s="1" t="str">
        <f>IF(AND(Programme_Grunddaten!$A381="Geprüft",Programme_Grunddaten!AH381&lt;&gt;""),IF(Programme_Grunddaten!AH381="Ja",1,0),"")</f>
        <v/>
      </c>
      <c r="AA376" s="1" t="str">
        <f>IF(AND(Programme_Grunddaten!$A381="Geprüft",Programme_Grunddaten!AI381&lt;&gt;""),IF(Programme_Grunddaten!AI381="Ja",1,0),"")</f>
        <v/>
      </c>
      <c r="AB376" s="1" t="str">
        <f>IF(AND(Programme_Grunddaten!$A381="Geprüft",Programme_Grunddaten!AJ381&lt;&gt;""),IF(Programme_Grunddaten!AJ381="individuell programmierbar",1,0),"")</f>
        <v/>
      </c>
      <c r="AC376" s="1" t="str">
        <f>IF(AND(Programme_Grunddaten!$A381="Geprüft",Programme_Grunddaten!AK381&lt;&gt;""),IF(Programme_Grunddaten!AK381="Deutsch",0,IF(Programme_Grunddaten!AK381="Deutsch und Englisch",1,2)),"")</f>
        <v/>
      </c>
      <c r="AD376" s="1" t="str">
        <f>IF(AND(Programme_Grunddaten!$A381="Geprüft",Programme_Grunddaten!AL381&lt;&gt;""),IF(Programme_Grunddaten!AL381="Ja",1,0),"")</f>
        <v/>
      </c>
      <c r="AE376" s="1" t="str">
        <f>IF(AND(Programme_Grunddaten!$A381="Geprüft",Programme_Grunddaten!AM381&lt;&gt;""),IF(Programme_Grunddaten!AM381="Ja",1,0),"")</f>
        <v/>
      </c>
      <c r="AF376" s="1" t="str">
        <f>IF(AND(Programme_Grunddaten!$A381="Geprüft",Programme_Grunddaten!AN381&lt;&gt;""),IF(Programme_Grunddaten!AN381="Ja",1,0),"")</f>
        <v/>
      </c>
      <c r="AG376" s="1" t="str">
        <f>IF(AND(Programme_Grunddaten!$A381="Geprüft",Programme_Grunddaten!AO381&lt;&gt;""),IF(Programme_Grunddaten!AO381="Ja",1,0),"")</f>
        <v/>
      </c>
      <c r="AH376" s="1" t="str">
        <f>IF(AND(Programme_Grunddaten!$A381="Geprüft",Programme_Grunddaten!AP381&lt;&gt;""),IF(Programme_Grunddaten!AP381="Ja",1,0),"")</f>
        <v/>
      </c>
      <c r="AI376" s="1" t="str">
        <f>IF(AND(Programme_Grunddaten!$A381="Geprüft",Programme_Grunddaten!AQ381&lt;&gt;""),IF(Programme_Grunddaten!AQ381="Ja",1,0),"")</f>
        <v/>
      </c>
      <c r="AJ376" s="1" t="str">
        <f>IF(AND(Programme_Grunddaten!$A381="Geprüft",Programme_Grunddaten!AR381&lt;&gt;""),IF(Programme_Grunddaten!AR381="Ja",1,0),"")</f>
        <v/>
      </c>
      <c r="AK376" s="1" t="str">
        <f>IF(AND(Programme_Grunddaten!$A381="Geprüft",Programme_Grunddaten!AS381&lt;&gt;""),IF(Programme_Grunddaten!AS381="Ja",1,0),"")</f>
        <v/>
      </c>
      <c r="AL376" s="1" t="str">
        <f>IF(AND(Programme_Grunddaten!$A381="Geprüft",Programme_Grunddaten!AT381&lt;&gt;""),IF(Programme_Grunddaten!AT381="Ja",1,0),"")</f>
        <v/>
      </c>
      <c r="AM376" s="1" t="str">
        <f>IF(AND(Programme_Grunddaten!$A381="Geprüft",Programme_Grunddaten!AU381&lt;&gt;""),IF(Programme_Grunddaten!AU381="Ja",1,0),"")</f>
        <v/>
      </c>
      <c r="AN376" s="1" t="str">
        <f>IF(AND(Programme_Grunddaten!$A381="Geprüft",Programme_Grunddaten!AV381&lt;&gt;""),IF(Programme_Grunddaten!AV381="Ja",1,0),"")</f>
        <v/>
      </c>
    </row>
    <row r="377" spans="1:40" x14ac:dyDescent="0.3">
      <c r="A377" s="1" t="str">
        <f>IF(AND(Programme_Grunddaten!A382="Geprüft",Programme_Grunddaten!B382&lt;&gt;""),Programme_Grunddaten!B382,"")</f>
        <v/>
      </c>
      <c r="B377" s="1" t="str">
        <f>IF(AND(Programme_Grunddaten!$A382="Geprüft",Programme_Grunddaten!I382&lt;&gt;""),IF(Programme_Grunddaten!I382="Ja",1,0),"")</f>
        <v/>
      </c>
      <c r="C377" s="1" t="str">
        <f>IF(AND(Programme_Grunddaten!$A382="Geprüft",Programme_Grunddaten!J382&lt;&gt;""),IF(Programme_Grunddaten!J382="Ja",1,0),"")</f>
        <v/>
      </c>
      <c r="D377" s="1" t="str">
        <f>IF(AND(Programme_Grunddaten!$A382="Geprüft",Programme_Grunddaten!K382&lt;&gt;""),IF(Programme_Grunddaten!K382="Ja",1,0),"")</f>
        <v/>
      </c>
      <c r="E377" s="1" t="str">
        <f>IF(AND(Programme_Grunddaten!$A382="Geprüft",Programme_Grunddaten!L382&lt;&gt;""),IF(Programme_Grunddaten!L382="Abo / befristete Lizenz",1,0),"")</f>
        <v/>
      </c>
      <c r="F377" s="1" t="str">
        <f>IF(AND(Programme_Grunddaten!$A382="Geprüft",Programme_Grunddaten!M382&lt;&gt;""),IF(Programme_Grunddaten!M382="Ja",1,0),"")</f>
        <v/>
      </c>
      <c r="G377" s="1" t="str">
        <f>IF(AND(Programme_Grunddaten!$A382="Geprüft",Programme_Grunddaten!N382&lt;&gt;""),IF(Programme_Grunddaten!N382="Ja",1,0),"")</f>
        <v/>
      </c>
      <c r="H377" s="1" t="str">
        <f>IF(AND(Programme_Grunddaten!$A382="Geprüft",Programme_Grunddaten!O382&lt;&gt;""),IF(Programme_Grunddaten!O382="Deutschland",0,IF(Programme_Grunddaten!O382="EU",1,2)),"")</f>
        <v/>
      </c>
      <c r="I377" s="1" t="str">
        <f>IF(AND(Programme_Grunddaten!$A382="Geprüft",Programme_Grunddaten!P382&lt;&gt;""),IF(Programme_Grunddaten!P382="Ja",1,0),"")</f>
        <v/>
      </c>
      <c r="J377" s="1" t="str">
        <f>IF(AND(Programme_Grunddaten!$A382="Geprüft",Programme_Grunddaten!Q382&lt;&gt;""),IF(Programme_Grunddaten!Q382="geschlossenes System",1,0),"")</f>
        <v/>
      </c>
      <c r="K377" s="1" t="str">
        <f>IF(AND(Programme_Grunddaten!$A382="Geprüft",Programme_Grunddaten!R382&lt;&gt;""),IF(Programme_Grunddaten!R382="Ja",1,0),"")</f>
        <v/>
      </c>
      <c r="L377" s="1" t="str">
        <f>IF(AND(Programme_Grunddaten!$A382="Geprüft",Programme_Grunddaten!T382&lt;&gt;""),IF(Programme_Grunddaten!T382="Ja",1,0),"")</f>
        <v/>
      </c>
      <c r="M377" s="1" t="str">
        <f>IF(AND(Programme_Grunddaten!$A382="Geprüft",Programme_Grunddaten!U382&lt;&gt;""),IF(Programme_Grunddaten!U382="Ja",1,0),"")</f>
        <v/>
      </c>
      <c r="N377" s="1" t="str">
        <f>IF(AND(Programme_Grunddaten!$A382="Geprüft",Programme_Grunddaten!V382&lt;&gt;""),IF(Programme_Grunddaten!V382="Ja",1,0),"")</f>
        <v/>
      </c>
      <c r="O377" s="1" t="str">
        <f>IF(AND(Programme_Grunddaten!$A382="Geprüft",Programme_Grunddaten!W382&lt;&gt;""),IF(Programme_Grunddaten!W382="Ja",1,0),"")</f>
        <v/>
      </c>
      <c r="P377" s="1" t="str">
        <f>IF(AND(Programme_Grunddaten!$A382="Geprüft",Programme_Grunddaten!X382&lt;&gt;""),IF(Programme_Grunddaten!X382="Ja",1,0),"")</f>
        <v/>
      </c>
      <c r="Q377" s="1" t="str">
        <f>IF(AND(Programme_Grunddaten!$A382="Geprüft",Programme_Grunddaten!Y382&lt;&gt;""),IF(Programme_Grunddaten!Y382="Ja",1,0),"")</f>
        <v/>
      </c>
      <c r="R377" s="1" t="str">
        <f>IF(AND(Programme_Grunddaten!$A382="Geprüft",Programme_Grunddaten!Z382&lt;&gt;""),IF(Programme_Grunddaten!Z382="Ja",1,0),"")</f>
        <v/>
      </c>
      <c r="S377" s="1" t="str">
        <f>IF(AND(Programme_Grunddaten!$A382="Geprüft",Programme_Grunddaten!AA382&lt;&gt;""),IF(Programme_Grunddaten!AA382="monolithisch",1,0),"")</f>
        <v/>
      </c>
      <c r="T377" s="1" t="str">
        <f>IF(AND(Programme_Grunddaten!$A382="Geprüft",Programme_Grunddaten!AB382&lt;&gt;""),IF(Programme_Grunddaten!AB382="Ja",1,0),"")</f>
        <v/>
      </c>
      <c r="U377" s="1" t="str">
        <f>IF(AND(Programme_Grunddaten!$A382="Geprüft",Programme_Grunddaten!AC382&lt;&gt;""),IF(Programme_Grunddaten!AC382="Ja",1,0),"")</f>
        <v/>
      </c>
      <c r="V377" s="1" t="str">
        <f>IF(AND(Programme_Grunddaten!$A382="Geprüft",Programme_Grunddaten!AD382&lt;&gt;""),IF(Programme_Grunddaten!AD382="Ja",1,0),"")</f>
        <v/>
      </c>
      <c r="W377" s="1" t="str">
        <f>IF(AND(Programme_Grunddaten!$A382="Geprüft",Programme_Grunddaten!AE382&lt;&gt;""),IF(Programme_Grunddaten!AE382="Ja",1,0),"")</f>
        <v/>
      </c>
      <c r="X377" s="1" t="str">
        <f>IF(AND(Programme_Grunddaten!$A382="Geprüft",Programme_Grunddaten!AF382&lt;&gt;""),IF(Programme_Grunddaten!AF382="Ja",1,0),"")</f>
        <v/>
      </c>
      <c r="Y377" s="1" t="str">
        <f>IF(AND(Programme_Grunddaten!$A382="Geprüft",Programme_Grunddaten!AG382&lt;&gt;""),IF(Programme_Grunddaten!AG382="Ja",1,0),"")</f>
        <v/>
      </c>
      <c r="Z377" s="1" t="str">
        <f>IF(AND(Programme_Grunddaten!$A382="Geprüft",Programme_Grunddaten!AH382&lt;&gt;""),IF(Programme_Grunddaten!AH382="Ja",1,0),"")</f>
        <v/>
      </c>
      <c r="AA377" s="1" t="str">
        <f>IF(AND(Programme_Grunddaten!$A382="Geprüft",Programme_Grunddaten!AI382&lt;&gt;""),IF(Programme_Grunddaten!AI382="Ja",1,0),"")</f>
        <v/>
      </c>
      <c r="AB377" s="1" t="str">
        <f>IF(AND(Programme_Grunddaten!$A382="Geprüft",Programme_Grunddaten!AJ382&lt;&gt;""),IF(Programme_Grunddaten!AJ382="individuell programmierbar",1,0),"")</f>
        <v/>
      </c>
      <c r="AC377" s="1" t="str">
        <f>IF(AND(Programme_Grunddaten!$A382="Geprüft",Programme_Grunddaten!AK382&lt;&gt;""),IF(Programme_Grunddaten!AK382="Deutsch",0,IF(Programme_Grunddaten!AK382="Deutsch und Englisch",1,2)),"")</f>
        <v/>
      </c>
      <c r="AD377" s="1" t="str">
        <f>IF(AND(Programme_Grunddaten!$A382="Geprüft",Programme_Grunddaten!AL382&lt;&gt;""),IF(Programme_Grunddaten!AL382="Ja",1,0),"")</f>
        <v/>
      </c>
      <c r="AE377" s="1" t="str">
        <f>IF(AND(Programme_Grunddaten!$A382="Geprüft",Programme_Grunddaten!AM382&lt;&gt;""),IF(Programme_Grunddaten!AM382="Ja",1,0),"")</f>
        <v/>
      </c>
      <c r="AF377" s="1" t="str">
        <f>IF(AND(Programme_Grunddaten!$A382="Geprüft",Programme_Grunddaten!AN382&lt;&gt;""),IF(Programme_Grunddaten!AN382="Ja",1,0),"")</f>
        <v/>
      </c>
      <c r="AG377" s="1" t="str">
        <f>IF(AND(Programme_Grunddaten!$A382="Geprüft",Programme_Grunddaten!AO382&lt;&gt;""),IF(Programme_Grunddaten!AO382="Ja",1,0),"")</f>
        <v/>
      </c>
      <c r="AH377" s="1" t="str">
        <f>IF(AND(Programme_Grunddaten!$A382="Geprüft",Programme_Grunddaten!AP382&lt;&gt;""),IF(Programme_Grunddaten!AP382="Ja",1,0),"")</f>
        <v/>
      </c>
      <c r="AI377" s="1" t="str">
        <f>IF(AND(Programme_Grunddaten!$A382="Geprüft",Programme_Grunddaten!AQ382&lt;&gt;""),IF(Programme_Grunddaten!AQ382="Ja",1,0),"")</f>
        <v/>
      </c>
      <c r="AJ377" s="1" t="str">
        <f>IF(AND(Programme_Grunddaten!$A382="Geprüft",Programme_Grunddaten!AR382&lt;&gt;""),IF(Programme_Grunddaten!AR382="Ja",1,0),"")</f>
        <v/>
      </c>
      <c r="AK377" s="1" t="str">
        <f>IF(AND(Programme_Grunddaten!$A382="Geprüft",Programme_Grunddaten!AS382&lt;&gt;""),IF(Programme_Grunddaten!AS382="Ja",1,0),"")</f>
        <v/>
      </c>
      <c r="AL377" s="1" t="str">
        <f>IF(AND(Programme_Grunddaten!$A382="Geprüft",Programme_Grunddaten!AT382&lt;&gt;""),IF(Programme_Grunddaten!AT382="Ja",1,0),"")</f>
        <v/>
      </c>
      <c r="AM377" s="1" t="str">
        <f>IF(AND(Programme_Grunddaten!$A382="Geprüft",Programme_Grunddaten!AU382&lt;&gt;""),IF(Programme_Grunddaten!AU382="Ja",1,0),"")</f>
        <v/>
      </c>
      <c r="AN377" s="1" t="str">
        <f>IF(AND(Programme_Grunddaten!$A382="Geprüft",Programme_Grunddaten!AV382&lt;&gt;""),IF(Programme_Grunddaten!AV382="Ja",1,0),"")</f>
        <v/>
      </c>
    </row>
    <row r="378" spans="1:40" x14ac:dyDescent="0.3">
      <c r="A378" s="1" t="str">
        <f>IF(AND(Programme_Grunddaten!A383="Geprüft",Programme_Grunddaten!B383&lt;&gt;""),Programme_Grunddaten!B383,"")</f>
        <v/>
      </c>
      <c r="B378" s="1" t="str">
        <f>IF(AND(Programme_Grunddaten!$A383="Geprüft",Programme_Grunddaten!I383&lt;&gt;""),IF(Programme_Grunddaten!I383="Ja",1,0),"")</f>
        <v/>
      </c>
      <c r="C378" s="1" t="str">
        <f>IF(AND(Programme_Grunddaten!$A383="Geprüft",Programme_Grunddaten!J383&lt;&gt;""),IF(Programme_Grunddaten!J383="Ja",1,0),"")</f>
        <v/>
      </c>
      <c r="D378" s="1" t="str">
        <f>IF(AND(Programme_Grunddaten!$A383="Geprüft",Programme_Grunddaten!K383&lt;&gt;""),IF(Programme_Grunddaten!K383="Ja",1,0),"")</f>
        <v/>
      </c>
      <c r="E378" s="1" t="str">
        <f>IF(AND(Programme_Grunddaten!$A383="Geprüft",Programme_Grunddaten!L383&lt;&gt;""),IF(Programme_Grunddaten!L383="Abo / befristete Lizenz",1,0),"")</f>
        <v/>
      </c>
      <c r="F378" s="1" t="str">
        <f>IF(AND(Programme_Grunddaten!$A383="Geprüft",Programme_Grunddaten!M383&lt;&gt;""),IF(Programme_Grunddaten!M383="Ja",1,0),"")</f>
        <v/>
      </c>
      <c r="G378" s="1" t="str">
        <f>IF(AND(Programme_Grunddaten!$A383="Geprüft",Programme_Grunddaten!N383&lt;&gt;""),IF(Programme_Grunddaten!N383="Ja",1,0),"")</f>
        <v/>
      </c>
      <c r="H378" s="1" t="str">
        <f>IF(AND(Programme_Grunddaten!$A383="Geprüft",Programme_Grunddaten!O383&lt;&gt;""),IF(Programme_Grunddaten!O383="Deutschland",0,IF(Programme_Grunddaten!O383="EU",1,2)),"")</f>
        <v/>
      </c>
      <c r="I378" s="1" t="str">
        <f>IF(AND(Programme_Grunddaten!$A383="Geprüft",Programme_Grunddaten!P383&lt;&gt;""),IF(Programme_Grunddaten!P383="Ja",1,0),"")</f>
        <v/>
      </c>
      <c r="J378" s="1" t="str">
        <f>IF(AND(Programme_Grunddaten!$A383="Geprüft",Programme_Grunddaten!Q383&lt;&gt;""),IF(Programme_Grunddaten!Q383="geschlossenes System",1,0),"")</f>
        <v/>
      </c>
      <c r="K378" s="1" t="str">
        <f>IF(AND(Programme_Grunddaten!$A383="Geprüft",Programme_Grunddaten!R383&lt;&gt;""),IF(Programme_Grunddaten!R383="Ja",1,0),"")</f>
        <v/>
      </c>
      <c r="L378" s="1" t="str">
        <f>IF(AND(Programme_Grunddaten!$A383="Geprüft",Programme_Grunddaten!T383&lt;&gt;""),IF(Programme_Grunddaten!T383="Ja",1,0),"")</f>
        <v/>
      </c>
      <c r="M378" s="1" t="str">
        <f>IF(AND(Programme_Grunddaten!$A383="Geprüft",Programme_Grunddaten!U383&lt;&gt;""),IF(Programme_Grunddaten!U383="Ja",1,0),"")</f>
        <v/>
      </c>
      <c r="N378" s="1" t="str">
        <f>IF(AND(Programme_Grunddaten!$A383="Geprüft",Programme_Grunddaten!V383&lt;&gt;""),IF(Programme_Grunddaten!V383="Ja",1,0),"")</f>
        <v/>
      </c>
      <c r="O378" s="1" t="str">
        <f>IF(AND(Programme_Grunddaten!$A383="Geprüft",Programme_Grunddaten!W383&lt;&gt;""),IF(Programme_Grunddaten!W383="Ja",1,0),"")</f>
        <v/>
      </c>
      <c r="P378" s="1" t="str">
        <f>IF(AND(Programme_Grunddaten!$A383="Geprüft",Programme_Grunddaten!X383&lt;&gt;""),IF(Programme_Grunddaten!X383="Ja",1,0),"")</f>
        <v/>
      </c>
      <c r="Q378" s="1" t="str">
        <f>IF(AND(Programme_Grunddaten!$A383="Geprüft",Programme_Grunddaten!Y383&lt;&gt;""),IF(Programme_Grunddaten!Y383="Ja",1,0),"")</f>
        <v/>
      </c>
      <c r="R378" s="1" t="str">
        <f>IF(AND(Programme_Grunddaten!$A383="Geprüft",Programme_Grunddaten!Z383&lt;&gt;""),IF(Programme_Grunddaten!Z383="Ja",1,0),"")</f>
        <v/>
      </c>
      <c r="S378" s="1" t="str">
        <f>IF(AND(Programme_Grunddaten!$A383="Geprüft",Programme_Grunddaten!AA383&lt;&gt;""),IF(Programme_Grunddaten!AA383="monolithisch",1,0),"")</f>
        <v/>
      </c>
      <c r="T378" s="1" t="str">
        <f>IF(AND(Programme_Grunddaten!$A383="Geprüft",Programme_Grunddaten!AB383&lt;&gt;""),IF(Programme_Grunddaten!AB383="Ja",1,0),"")</f>
        <v/>
      </c>
      <c r="U378" s="1" t="str">
        <f>IF(AND(Programme_Grunddaten!$A383="Geprüft",Programme_Grunddaten!AC383&lt;&gt;""),IF(Programme_Grunddaten!AC383="Ja",1,0),"")</f>
        <v/>
      </c>
      <c r="V378" s="1" t="str">
        <f>IF(AND(Programme_Grunddaten!$A383="Geprüft",Programme_Grunddaten!AD383&lt;&gt;""),IF(Programme_Grunddaten!AD383="Ja",1,0),"")</f>
        <v/>
      </c>
      <c r="W378" s="1" t="str">
        <f>IF(AND(Programme_Grunddaten!$A383="Geprüft",Programme_Grunddaten!AE383&lt;&gt;""),IF(Programme_Grunddaten!AE383="Ja",1,0),"")</f>
        <v/>
      </c>
      <c r="X378" s="1" t="str">
        <f>IF(AND(Programme_Grunddaten!$A383="Geprüft",Programme_Grunddaten!AF383&lt;&gt;""),IF(Programme_Grunddaten!AF383="Ja",1,0),"")</f>
        <v/>
      </c>
      <c r="Y378" s="1" t="str">
        <f>IF(AND(Programme_Grunddaten!$A383="Geprüft",Programme_Grunddaten!AG383&lt;&gt;""),IF(Programme_Grunddaten!AG383="Ja",1,0),"")</f>
        <v/>
      </c>
      <c r="Z378" s="1" t="str">
        <f>IF(AND(Programme_Grunddaten!$A383="Geprüft",Programme_Grunddaten!AH383&lt;&gt;""),IF(Programme_Grunddaten!AH383="Ja",1,0),"")</f>
        <v/>
      </c>
      <c r="AA378" s="1" t="str">
        <f>IF(AND(Programme_Grunddaten!$A383="Geprüft",Programme_Grunddaten!AI383&lt;&gt;""),IF(Programme_Grunddaten!AI383="Ja",1,0),"")</f>
        <v/>
      </c>
      <c r="AB378" s="1" t="str">
        <f>IF(AND(Programme_Grunddaten!$A383="Geprüft",Programme_Grunddaten!AJ383&lt;&gt;""),IF(Programme_Grunddaten!AJ383="individuell programmierbar",1,0),"")</f>
        <v/>
      </c>
      <c r="AC378" s="1" t="str">
        <f>IF(AND(Programme_Grunddaten!$A383="Geprüft",Programme_Grunddaten!AK383&lt;&gt;""),IF(Programme_Grunddaten!AK383="Deutsch",0,IF(Programme_Grunddaten!AK383="Deutsch und Englisch",1,2)),"")</f>
        <v/>
      </c>
      <c r="AD378" s="1" t="str">
        <f>IF(AND(Programme_Grunddaten!$A383="Geprüft",Programme_Grunddaten!AL383&lt;&gt;""),IF(Programme_Grunddaten!AL383="Ja",1,0),"")</f>
        <v/>
      </c>
      <c r="AE378" s="1" t="str">
        <f>IF(AND(Programme_Grunddaten!$A383="Geprüft",Programme_Grunddaten!AM383&lt;&gt;""),IF(Programme_Grunddaten!AM383="Ja",1,0),"")</f>
        <v/>
      </c>
      <c r="AF378" s="1" t="str">
        <f>IF(AND(Programme_Grunddaten!$A383="Geprüft",Programme_Grunddaten!AN383&lt;&gt;""),IF(Programme_Grunddaten!AN383="Ja",1,0),"")</f>
        <v/>
      </c>
      <c r="AG378" s="1" t="str">
        <f>IF(AND(Programme_Grunddaten!$A383="Geprüft",Programme_Grunddaten!AO383&lt;&gt;""),IF(Programme_Grunddaten!AO383="Ja",1,0),"")</f>
        <v/>
      </c>
      <c r="AH378" s="1" t="str">
        <f>IF(AND(Programme_Grunddaten!$A383="Geprüft",Programme_Grunddaten!AP383&lt;&gt;""),IF(Programme_Grunddaten!AP383="Ja",1,0),"")</f>
        <v/>
      </c>
      <c r="AI378" s="1" t="str">
        <f>IF(AND(Programme_Grunddaten!$A383="Geprüft",Programme_Grunddaten!AQ383&lt;&gt;""),IF(Programme_Grunddaten!AQ383="Ja",1,0),"")</f>
        <v/>
      </c>
      <c r="AJ378" s="1" t="str">
        <f>IF(AND(Programme_Grunddaten!$A383="Geprüft",Programme_Grunddaten!AR383&lt;&gt;""),IF(Programme_Grunddaten!AR383="Ja",1,0),"")</f>
        <v/>
      </c>
      <c r="AK378" s="1" t="str">
        <f>IF(AND(Programme_Grunddaten!$A383="Geprüft",Programme_Grunddaten!AS383&lt;&gt;""),IF(Programme_Grunddaten!AS383="Ja",1,0),"")</f>
        <v/>
      </c>
      <c r="AL378" s="1" t="str">
        <f>IF(AND(Programme_Grunddaten!$A383="Geprüft",Programme_Grunddaten!AT383&lt;&gt;""),IF(Programme_Grunddaten!AT383="Ja",1,0),"")</f>
        <v/>
      </c>
      <c r="AM378" s="1" t="str">
        <f>IF(AND(Programme_Grunddaten!$A383="Geprüft",Programme_Grunddaten!AU383&lt;&gt;""),IF(Programme_Grunddaten!AU383="Ja",1,0),"")</f>
        <v/>
      </c>
      <c r="AN378" s="1" t="str">
        <f>IF(AND(Programme_Grunddaten!$A383="Geprüft",Programme_Grunddaten!AV383&lt;&gt;""),IF(Programme_Grunddaten!AV383="Ja",1,0),"")</f>
        <v/>
      </c>
    </row>
    <row r="379" spans="1:40" x14ac:dyDescent="0.3">
      <c r="A379" s="1" t="str">
        <f>IF(AND(Programme_Grunddaten!A384="Geprüft",Programme_Grunddaten!B384&lt;&gt;""),Programme_Grunddaten!B384,"")</f>
        <v/>
      </c>
      <c r="B379" s="1" t="str">
        <f>IF(AND(Programme_Grunddaten!$A384="Geprüft",Programme_Grunddaten!I384&lt;&gt;""),IF(Programme_Grunddaten!I384="Ja",1,0),"")</f>
        <v/>
      </c>
      <c r="C379" s="1" t="str">
        <f>IF(AND(Programme_Grunddaten!$A384="Geprüft",Programme_Grunddaten!J384&lt;&gt;""),IF(Programme_Grunddaten!J384="Ja",1,0),"")</f>
        <v/>
      </c>
      <c r="D379" s="1" t="str">
        <f>IF(AND(Programme_Grunddaten!$A384="Geprüft",Programme_Grunddaten!K384&lt;&gt;""),IF(Programme_Grunddaten!K384="Ja",1,0),"")</f>
        <v/>
      </c>
      <c r="E379" s="1" t="str">
        <f>IF(AND(Programme_Grunddaten!$A384="Geprüft",Programme_Grunddaten!L384&lt;&gt;""),IF(Programme_Grunddaten!L384="Abo / befristete Lizenz",1,0),"")</f>
        <v/>
      </c>
      <c r="F379" s="1" t="str">
        <f>IF(AND(Programme_Grunddaten!$A384="Geprüft",Programme_Grunddaten!M384&lt;&gt;""),IF(Programme_Grunddaten!M384="Ja",1,0),"")</f>
        <v/>
      </c>
      <c r="G379" s="1" t="str">
        <f>IF(AND(Programme_Grunddaten!$A384="Geprüft",Programme_Grunddaten!N384&lt;&gt;""),IF(Programme_Grunddaten!N384="Ja",1,0),"")</f>
        <v/>
      </c>
      <c r="H379" s="1" t="str">
        <f>IF(AND(Programme_Grunddaten!$A384="Geprüft",Programme_Grunddaten!O384&lt;&gt;""),IF(Programme_Grunddaten!O384="Deutschland",0,IF(Programme_Grunddaten!O384="EU",1,2)),"")</f>
        <v/>
      </c>
      <c r="I379" s="1" t="str">
        <f>IF(AND(Programme_Grunddaten!$A384="Geprüft",Programme_Grunddaten!P384&lt;&gt;""),IF(Programme_Grunddaten!P384="Ja",1,0),"")</f>
        <v/>
      </c>
      <c r="J379" s="1" t="str">
        <f>IF(AND(Programme_Grunddaten!$A384="Geprüft",Programme_Grunddaten!Q384&lt;&gt;""),IF(Programme_Grunddaten!Q384="geschlossenes System",1,0),"")</f>
        <v/>
      </c>
      <c r="K379" s="1" t="str">
        <f>IF(AND(Programme_Grunddaten!$A384="Geprüft",Programme_Grunddaten!R384&lt;&gt;""),IF(Programme_Grunddaten!R384="Ja",1,0),"")</f>
        <v/>
      </c>
      <c r="L379" s="1" t="str">
        <f>IF(AND(Programme_Grunddaten!$A384="Geprüft",Programme_Grunddaten!T384&lt;&gt;""),IF(Programme_Grunddaten!T384="Ja",1,0),"")</f>
        <v/>
      </c>
      <c r="M379" s="1" t="str">
        <f>IF(AND(Programme_Grunddaten!$A384="Geprüft",Programme_Grunddaten!U384&lt;&gt;""),IF(Programme_Grunddaten!U384="Ja",1,0),"")</f>
        <v/>
      </c>
      <c r="N379" s="1" t="str">
        <f>IF(AND(Programme_Grunddaten!$A384="Geprüft",Programme_Grunddaten!V384&lt;&gt;""),IF(Programme_Grunddaten!V384="Ja",1,0),"")</f>
        <v/>
      </c>
      <c r="O379" s="1" t="str">
        <f>IF(AND(Programme_Grunddaten!$A384="Geprüft",Programme_Grunddaten!W384&lt;&gt;""),IF(Programme_Grunddaten!W384="Ja",1,0),"")</f>
        <v/>
      </c>
      <c r="P379" s="1" t="str">
        <f>IF(AND(Programme_Grunddaten!$A384="Geprüft",Programme_Grunddaten!X384&lt;&gt;""),IF(Programme_Grunddaten!X384="Ja",1,0),"")</f>
        <v/>
      </c>
      <c r="Q379" s="1" t="str">
        <f>IF(AND(Programme_Grunddaten!$A384="Geprüft",Programme_Grunddaten!Y384&lt;&gt;""),IF(Programme_Grunddaten!Y384="Ja",1,0),"")</f>
        <v/>
      </c>
      <c r="R379" s="1" t="str">
        <f>IF(AND(Programme_Grunddaten!$A384="Geprüft",Programme_Grunddaten!Z384&lt;&gt;""),IF(Programme_Grunddaten!Z384="Ja",1,0),"")</f>
        <v/>
      </c>
      <c r="S379" s="1" t="str">
        <f>IF(AND(Programme_Grunddaten!$A384="Geprüft",Programme_Grunddaten!AA384&lt;&gt;""),IF(Programme_Grunddaten!AA384="monolithisch",1,0),"")</f>
        <v/>
      </c>
      <c r="T379" s="1" t="str">
        <f>IF(AND(Programme_Grunddaten!$A384="Geprüft",Programme_Grunddaten!AB384&lt;&gt;""),IF(Programme_Grunddaten!AB384="Ja",1,0),"")</f>
        <v/>
      </c>
      <c r="U379" s="1" t="str">
        <f>IF(AND(Programme_Grunddaten!$A384="Geprüft",Programme_Grunddaten!AC384&lt;&gt;""),IF(Programme_Grunddaten!AC384="Ja",1,0),"")</f>
        <v/>
      </c>
      <c r="V379" s="1" t="str">
        <f>IF(AND(Programme_Grunddaten!$A384="Geprüft",Programme_Grunddaten!AD384&lt;&gt;""),IF(Programme_Grunddaten!AD384="Ja",1,0),"")</f>
        <v/>
      </c>
      <c r="W379" s="1" t="str">
        <f>IF(AND(Programme_Grunddaten!$A384="Geprüft",Programme_Grunddaten!AE384&lt;&gt;""),IF(Programme_Grunddaten!AE384="Ja",1,0),"")</f>
        <v/>
      </c>
      <c r="X379" s="1" t="str">
        <f>IF(AND(Programme_Grunddaten!$A384="Geprüft",Programme_Grunddaten!AF384&lt;&gt;""),IF(Programme_Grunddaten!AF384="Ja",1,0),"")</f>
        <v/>
      </c>
      <c r="Y379" s="1" t="str">
        <f>IF(AND(Programme_Grunddaten!$A384="Geprüft",Programme_Grunddaten!AG384&lt;&gt;""),IF(Programme_Grunddaten!AG384="Ja",1,0),"")</f>
        <v/>
      </c>
      <c r="Z379" s="1" t="str">
        <f>IF(AND(Programme_Grunddaten!$A384="Geprüft",Programme_Grunddaten!AH384&lt;&gt;""),IF(Programme_Grunddaten!AH384="Ja",1,0),"")</f>
        <v/>
      </c>
      <c r="AA379" s="1" t="str">
        <f>IF(AND(Programme_Grunddaten!$A384="Geprüft",Programme_Grunddaten!AI384&lt;&gt;""),IF(Programme_Grunddaten!AI384="Ja",1,0),"")</f>
        <v/>
      </c>
      <c r="AB379" s="1" t="str">
        <f>IF(AND(Programme_Grunddaten!$A384="Geprüft",Programme_Grunddaten!AJ384&lt;&gt;""),IF(Programme_Grunddaten!AJ384="individuell programmierbar",1,0),"")</f>
        <v/>
      </c>
      <c r="AC379" s="1" t="str">
        <f>IF(AND(Programme_Grunddaten!$A384="Geprüft",Programme_Grunddaten!AK384&lt;&gt;""),IF(Programme_Grunddaten!AK384="Deutsch",0,IF(Programme_Grunddaten!AK384="Deutsch und Englisch",1,2)),"")</f>
        <v/>
      </c>
      <c r="AD379" s="1" t="str">
        <f>IF(AND(Programme_Grunddaten!$A384="Geprüft",Programme_Grunddaten!AL384&lt;&gt;""),IF(Programme_Grunddaten!AL384="Ja",1,0),"")</f>
        <v/>
      </c>
      <c r="AE379" s="1" t="str">
        <f>IF(AND(Programme_Grunddaten!$A384="Geprüft",Programme_Grunddaten!AM384&lt;&gt;""),IF(Programme_Grunddaten!AM384="Ja",1,0),"")</f>
        <v/>
      </c>
      <c r="AF379" s="1" t="str">
        <f>IF(AND(Programme_Grunddaten!$A384="Geprüft",Programme_Grunddaten!AN384&lt;&gt;""),IF(Programme_Grunddaten!AN384="Ja",1,0),"")</f>
        <v/>
      </c>
      <c r="AG379" s="1" t="str">
        <f>IF(AND(Programme_Grunddaten!$A384="Geprüft",Programme_Grunddaten!AO384&lt;&gt;""),IF(Programme_Grunddaten!AO384="Ja",1,0),"")</f>
        <v/>
      </c>
      <c r="AH379" s="1" t="str">
        <f>IF(AND(Programme_Grunddaten!$A384="Geprüft",Programme_Grunddaten!AP384&lt;&gt;""),IF(Programme_Grunddaten!AP384="Ja",1,0),"")</f>
        <v/>
      </c>
      <c r="AI379" s="1" t="str">
        <f>IF(AND(Programme_Grunddaten!$A384="Geprüft",Programme_Grunddaten!AQ384&lt;&gt;""),IF(Programme_Grunddaten!AQ384="Ja",1,0),"")</f>
        <v/>
      </c>
      <c r="AJ379" s="1" t="str">
        <f>IF(AND(Programme_Grunddaten!$A384="Geprüft",Programme_Grunddaten!AR384&lt;&gt;""),IF(Programme_Grunddaten!AR384="Ja",1,0),"")</f>
        <v/>
      </c>
      <c r="AK379" s="1" t="str">
        <f>IF(AND(Programme_Grunddaten!$A384="Geprüft",Programme_Grunddaten!AS384&lt;&gt;""),IF(Programme_Grunddaten!AS384="Ja",1,0),"")</f>
        <v/>
      </c>
      <c r="AL379" s="1" t="str">
        <f>IF(AND(Programme_Grunddaten!$A384="Geprüft",Programme_Grunddaten!AT384&lt;&gt;""),IF(Programme_Grunddaten!AT384="Ja",1,0),"")</f>
        <v/>
      </c>
      <c r="AM379" s="1" t="str">
        <f>IF(AND(Programme_Grunddaten!$A384="Geprüft",Programme_Grunddaten!AU384&lt;&gt;""),IF(Programme_Grunddaten!AU384="Ja",1,0),"")</f>
        <v/>
      </c>
      <c r="AN379" s="1" t="str">
        <f>IF(AND(Programme_Grunddaten!$A384="Geprüft",Programme_Grunddaten!AV384&lt;&gt;""),IF(Programme_Grunddaten!AV384="Ja",1,0),"")</f>
        <v/>
      </c>
    </row>
    <row r="380" spans="1:40" x14ac:dyDescent="0.3">
      <c r="A380" s="1" t="str">
        <f>IF(AND(Programme_Grunddaten!A385="Geprüft",Programme_Grunddaten!B385&lt;&gt;""),Programme_Grunddaten!B385,"")</f>
        <v/>
      </c>
      <c r="B380" s="1" t="str">
        <f>IF(AND(Programme_Grunddaten!$A385="Geprüft",Programme_Grunddaten!I385&lt;&gt;""),IF(Programme_Grunddaten!I385="Ja",1,0),"")</f>
        <v/>
      </c>
      <c r="C380" s="1" t="str">
        <f>IF(AND(Programme_Grunddaten!$A385="Geprüft",Programme_Grunddaten!J385&lt;&gt;""),IF(Programme_Grunddaten!J385="Ja",1,0),"")</f>
        <v/>
      </c>
      <c r="D380" s="1" t="str">
        <f>IF(AND(Programme_Grunddaten!$A385="Geprüft",Programme_Grunddaten!K385&lt;&gt;""),IF(Programme_Grunddaten!K385="Ja",1,0),"")</f>
        <v/>
      </c>
      <c r="E380" s="1" t="str">
        <f>IF(AND(Programme_Grunddaten!$A385="Geprüft",Programme_Grunddaten!L385&lt;&gt;""),IF(Programme_Grunddaten!L385="Abo / befristete Lizenz",1,0),"")</f>
        <v/>
      </c>
      <c r="F380" s="1" t="str">
        <f>IF(AND(Programme_Grunddaten!$A385="Geprüft",Programme_Grunddaten!M385&lt;&gt;""),IF(Programme_Grunddaten!M385="Ja",1,0),"")</f>
        <v/>
      </c>
      <c r="G380" s="1" t="str">
        <f>IF(AND(Programme_Grunddaten!$A385="Geprüft",Programme_Grunddaten!N385&lt;&gt;""),IF(Programme_Grunddaten!N385="Ja",1,0),"")</f>
        <v/>
      </c>
      <c r="H380" s="1" t="str">
        <f>IF(AND(Programme_Grunddaten!$A385="Geprüft",Programme_Grunddaten!O385&lt;&gt;""),IF(Programme_Grunddaten!O385="Deutschland",0,IF(Programme_Grunddaten!O385="EU",1,2)),"")</f>
        <v/>
      </c>
      <c r="I380" s="1" t="str">
        <f>IF(AND(Programme_Grunddaten!$A385="Geprüft",Programme_Grunddaten!P385&lt;&gt;""),IF(Programme_Grunddaten!P385="Ja",1,0),"")</f>
        <v/>
      </c>
      <c r="J380" s="1" t="str">
        <f>IF(AND(Programme_Grunddaten!$A385="Geprüft",Programme_Grunddaten!Q385&lt;&gt;""),IF(Programme_Grunddaten!Q385="geschlossenes System",1,0),"")</f>
        <v/>
      </c>
      <c r="K380" s="1" t="str">
        <f>IF(AND(Programme_Grunddaten!$A385="Geprüft",Programme_Grunddaten!R385&lt;&gt;""),IF(Programme_Grunddaten!R385="Ja",1,0),"")</f>
        <v/>
      </c>
      <c r="L380" s="1" t="str">
        <f>IF(AND(Programme_Grunddaten!$A385="Geprüft",Programme_Grunddaten!T385&lt;&gt;""),IF(Programme_Grunddaten!T385="Ja",1,0),"")</f>
        <v/>
      </c>
      <c r="M380" s="1" t="str">
        <f>IF(AND(Programme_Grunddaten!$A385="Geprüft",Programme_Grunddaten!U385&lt;&gt;""),IF(Programme_Grunddaten!U385="Ja",1,0),"")</f>
        <v/>
      </c>
      <c r="N380" s="1" t="str">
        <f>IF(AND(Programme_Grunddaten!$A385="Geprüft",Programme_Grunddaten!V385&lt;&gt;""),IF(Programme_Grunddaten!V385="Ja",1,0),"")</f>
        <v/>
      </c>
      <c r="O380" s="1" t="str">
        <f>IF(AND(Programme_Grunddaten!$A385="Geprüft",Programme_Grunddaten!W385&lt;&gt;""),IF(Programme_Grunddaten!W385="Ja",1,0),"")</f>
        <v/>
      </c>
      <c r="P380" s="1" t="str">
        <f>IF(AND(Programme_Grunddaten!$A385="Geprüft",Programme_Grunddaten!X385&lt;&gt;""),IF(Programme_Grunddaten!X385="Ja",1,0),"")</f>
        <v/>
      </c>
      <c r="Q380" s="1" t="str">
        <f>IF(AND(Programme_Grunddaten!$A385="Geprüft",Programme_Grunddaten!Y385&lt;&gt;""),IF(Programme_Grunddaten!Y385="Ja",1,0),"")</f>
        <v/>
      </c>
      <c r="R380" s="1" t="str">
        <f>IF(AND(Programme_Grunddaten!$A385="Geprüft",Programme_Grunddaten!Z385&lt;&gt;""),IF(Programme_Grunddaten!Z385="Ja",1,0),"")</f>
        <v/>
      </c>
      <c r="S380" s="1" t="str">
        <f>IF(AND(Programme_Grunddaten!$A385="Geprüft",Programme_Grunddaten!AA385&lt;&gt;""),IF(Programme_Grunddaten!AA385="monolithisch",1,0),"")</f>
        <v/>
      </c>
      <c r="T380" s="1" t="str">
        <f>IF(AND(Programme_Grunddaten!$A385="Geprüft",Programme_Grunddaten!AB385&lt;&gt;""),IF(Programme_Grunddaten!AB385="Ja",1,0),"")</f>
        <v/>
      </c>
      <c r="U380" s="1" t="str">
        <f>IF(AND(Programme_Grunddaten!$A385="Geprüft",Programme_Grunddaten!AC385&lt;&gt;""),IF(Programme_Grunddaten!AC385="Ja",1,0),"")</f>
        <v/>
      </c>
      <c r="V380" s="1" t="str">
        <f>IF(AND(Programme_Grunddaten!$A385="Geprüft",Programme_Grunddaten!AD385&lt;&gt;""),IF(Programme_Grunddaten!AD385="Ja",1,0),"")</f>
        <v/>
      </c>
      <c r="W380" s="1" t="str">
        <f>IF(AND(Programme_Grunddaten!$A385="Geprüft",Programme_Grunddaten!AE385&lt;&gt;""),IF(Programme_Grunddaten!AE385="Ja",1,0),"")</f>
        <v/>
      </c>
      <c r="X380" s="1" t="str">
        <f>IF(AND(Programme_Grunddaten!$A385="Geprüft",Programme_Grunddaten!AF385&lt;&gt;""),IF(Programme_Grunddaten!AF385="Ja",1,0),"")</f>
        <v/>
      </c>
      <c r="Y380" s="1" t="str">
        <f>IF(AND(Programme_Grunddaten!$A385="Geprüft",Programme_Grunddaten!AG385&lt;&gt;""),IF(Programme_Grunddaten!AG385="Ja",1,0),"")</f>
        <v/>
      </c>
      <c r="Z380" s="1" t="str">
        <f>IF(AND(Programme_Grunddaten!$A385="Geprüft",Programme_Grunddaten!AH385&lt;&gt;""),IF(Programme_Grunddaten!AH385="Ja",1,0),"")</f>
        <v/>
      </c>
      <c r="AA380" s="1" t="str">
        <f>IF(AND(Programme_Grunddaten!$A385="Geprüft",Programme_Grunddaten!AI385&lt;&gt;""),IF(Programme_Grunddaten!AI385="Ja",1,0),"")</f>
        <v/>
      </c>
      <c r="AB380" s="1" t="str">
        <f>IF(AND(Programme_Grunddaten!$A385="Geprüft",Programme_Grunddaten!AJ385&lt;&gt;""),IF(Programme_Grunddaten!AJ385="individuell programmierbar",1,0),"")</f>
        <v/>
      </c>
      <c r="AC380" s="1" t="str">
        <f>IF(AND(Programme_Grunddaten!$A385="Geprüft",Programme_Grunddaten!AK385&lt;&gt;""),IF(Programme_Grunddaten!AK385="Deutsch",0,IF(Programme_Grunddaten!AK385="Deutsch und Englisch",1,2)),"")</f>
        <v/>
      </c>
      <c r="AD380" s="1" t="str">
        <f>IF(AND(Programme_Grunddaten!$A385="Geprüft",Programme_Grunddaten!AL385&lt;&gt;""),IF(Programme_Grunddaten!AL385="Ja",1,0),"")</f>
        <v/>
      </c>
      <c r="AE380" s="1" t="str">
        <f>IF(AND(Programme_Grunddaten!$A385="Geprüft",Programme_Grunddaten!AM385&lt;&gt;""),IF(Programme_Grunddaten!AM385="Ja",1,0),"")</f>
        <v/>
      </c>
      <c r="AF380" s="1" t="str">
        <f>IF(AND(Programme_Grunddaten!$A385="Geprüft",Programme_Grunddaten!AN385&lt;&gt;""),IF(Programme_Grunddaten!AN385="Ja",1,0),"")</f>
        <v/>
      </c>
      <c r="AG380" s="1" t="str">
        <f>IF(AND(Programme_Grunddaten!$A385="Geprüft",Programme_Grunddaten!AO385&lt;&gt;""),IF(Programme_Grunddaten!AO385="Ja",1,0),"")</f>
        <v/>
      </c>
      <c r="AH380" s="1" t="str">
        <f>IF(AND(Programme_Grunddaten!$A385="Geprüft",Programme_Grunddaten!AP385&lt;&gt;""),IF(Programme_Grunddaten!AP385="Ja",1,0),"")</f>
        <v/>
      </c>
      <c r="AI380" s="1" t="str">
        <f>IF(AND(Programme_Grunddaten!$A385="Geprüft",Programme_Grunddaten!AQ385&lt;&gt;""),IF(Programme_Grunddaten!AQ385="Ja",1,0),"")</f>
        <v/>
      </c>
      <c r="AJ380" s="1" t="str">
        <f>IF(AND(Programme_Grunddaten!$A385="Geprüft",Programme_Grunddaten!AR385&lt;&gt;""),IF(Programme_Grunddaten!AR385="Ja",1,0),"")</f>
        <v/>
      </c>
      <c r="AK380" s="1" t="str">
        <f>IF(AND(Programme_Grunddaten!$A385="Geprüft",Programme_Grunddaten!AS385&lt;&gt;""),IF(Programme_Grunddaten!AS385="Ja",1,0),"")</f>
        <v/>
      </c>
      <c r="AL380" s="1" t="str">
        <f>IF(AND(Programme_Grunddaten!$A385="Geprüft",Programme_Grunddaten!AT385&lt;&gt;""),IF(Programme_Grunddaten!AT385="Ja",1,0),"")</f>
        <v/>
      </c>
      <c r="AM380" s="1" t="str">
        <f>IF(AND(Programme_Grunddaten!$A385="Geprüft",Programme_Grunddaten!AU385&lt;&gt;""),IF(Programme_Grunddaten!AU385="Ja",1,0),"")</f>
        <v/>
      </c>
      <c r="AN380" s="1" t="str">
        <f>IF(AND(Programme_Grunddaten!$A385="Geprüft",Programme_Grunddaten!AV385&lt;&gt;""),IF(Programme_Grunddaten!AV385="Ja",1,0),"")</f>
        <v/>
      </c>
    </row>
    <row r="381" spans="1:40" x14ac:dyDescent="0.3">
      <c r="A381" s="1" t="str">
        <f>IF(AND(Programme_Grunddaten!A386="Geprüft",Programme_Grunddaten!B386&lt;&gt;""),Programme_Grunddaten!B386,"")</f>
        <v/>
      </c>
      <c r="B381" s="1" t="str">
        <f>IF(AND(Programme_Grunddaten!$A386="Geprüft",Programme_Grunddaten!I386&lt;&gt;""),IF(Programme_Grunddaten!I386="Ja",1,0),"")</f>
        <v/>
      </c>
      <c r="C381" s="1" t="str">
        <f>IF(AND(Programme_Grunddaten!$A386="Geprüft",Programme_Grunddaten!J386&lt;&gt;""),IF(Programme_Grunddaten!J386="Ja",1,0),"")</f>
        <v/>
      </c>
      <c r="D381" s="1" t="str">
        <f>IF(AND(Programme_Grunddaten!$A386="Geprüft",Programme_Grunddaten!K386&lt;&gt;""),IF(Programme_Grunddaten!K386="Ja",1,0),"")</f>
        <v/>
      </c>
      <c r="E381" s="1" t="str">
        <f>IF(AND(Programme_Grunddaten!$A386="Geprüft",Programme_Grunddaten!L386&lt;&gt;""),IF(Programme_Grunddaten!L386="Abo / befristete Lizenz",1,0),"")</f>
        <v/>
      </c>
      <c r="F381" s="1" t="str">
        <f>IF(AND(Programme_Grunddaten!$A386="Geprüft",Programme_Grunddaten!M386&lt;&gt;""),IF(Programme_Grunddaten!M386="Ja",1,0),"")</f>
        <v/>
      </c>
      <c r="G381" s="1" t="str">
        <f>IF(AND(Programme_Grunddaten!$A386="Geprüft",Programme_Grunddaten!N386&lt;&gt;""),IF(Programme_Grunddaten!N386="Ja",1,0),"")</f>
        <v/>
      </c>
      <c r="H381" s="1" t="str">
        <f>IF(AND(Programme_Grunddaten!$A386="Geprüft",Programme_Grunddaten!O386&lt;&gt;""),IF(Programme_Grunddaten!O386="Deutschland",0,IF(Programme_Grunddaten!O386="EU",1,2)),"")</f>
        <v/>
      </c>
      <c r="I381" s="1" t="str">
        <f>IF(AND(Programme_Grunddaten!$A386="Geprüft",Programme_Grunddaten!P386&lt;&gt;""),IF(Programme_Grunddaten!P386="Ja",1,0),"")</f>
        <v/>
      </c>
      <c r="J381" s="1" t="str">
        <f>IF(AND(Programme_Grunddaten!$A386="Geprüft",Programme_Grunddaten!Q386&lt;&gt;""),IF(Programme_Grunddaten!Q386="geschlossenes System",1,0),"")</f>
        <v/>
      </c>
      <c r="K381" s="1" t="str">
        <f>IF(AND(Programme_Grunddaten!$A386="Geprüft",Programme_Grunddaten!R386&lt;&gt;""),IF(Programme_Grunddaten!R386="Ja",1,0),"")</f>
        <v/>
      </c>
      <c r="L381" s="1" t="str">
        <f>IF(AND(Programme_Grunddaten!$A386="Geprüft",Programme_Grunddaten!T386&lt;&gt;""),IF(Programme_Grunddaten!T386="Ja",1,0),"")</f>
        <v/>
      </c>
      <c r="M381" s="1" t="str">
        <f>IF(AND(Programme_Grunddaten!$A386="Geprüft",Programme_Grunddaten!U386&lt;&gt;""),IF(Programme_Grunddaten!U386="Ja",1,0),"")</f>
        <v/>
      </c>
      <c r="N381" s="1" t="str">
        <f>IF(AND(Programme_Grunddaten!$A386="Geprüft",Programme_Grunddaten!V386&lt;&gt;""),IF(Programme_Grunddaten!V386="Ja",1,0),"")</f>
        <v/>
      </c>
      <c r="O381" s="1" t="str">
        <f>IF(AND(Programme_Grunddaten!$A386="Geprüft",Programme_Grunddaten!W386&lt;&gt;""),IF(Programme_Grunddaten!W386="Ja",1,0),"")</f>
        <v/>
      </c>
      <c r="P381" s="1" t="str">
        <f>IF(AND(Programme_Grunddaten!$A386="Geprüft",Programme_Grunddaten!X386&lt;&gt;""),IF(Programme_Grunddaten!X386="Ja",1,0),"")</f>
        <v/>
      </c>
      <c r="Q381" s="1" t="str">
        <f>IF(AND(Programme_Grunddaten!$A386="Geprüft",Programme_Grunddaten!Y386&lt;&gt;""),IF(Programme_Grunddaten!Y386="Ja",1,0),"")</f>
        <v/>
      </c>
      <c r="R381" s="1" t="str">
        <f>IF(AND(Programme_Grunddaten!$A386="Geprüft",Programme_Grunddaten!Z386&lt;&gt;""),IF(Programme_Grunddaten!Z386="Ja",1,0),"")</f>
        <v/>
      </c>
      <c r="S381" s="1" t="str">
        <f>IF(AND(Programme_Grunddaten!$A386="Geprüft",Programme_Grunddaten!AA386&lt;&gt;""),IF(Programme_Grunddaten!AA386="monolithisch",1,0),"")</f>
        <v/>
      </c>
      <c r="T381" s="1" t="str">
        <f>IF(AND(Programme_Grunddaten!$A386="Geprüft",Programme_Grunddaten!AB386&lt;&gt;""),IF(Programme_Grunddaten!AB386="Ja",1,0),"")</f>
        <v/>
      </c>
      <c r="U381" s="1" t="str">
        <f>IF(AND(Programme_Grunddaten!$A386="Geprüft",Programme_Grunddaten!AC386&lt;&gt;""),IF(Programme_Grunddaten!AC386="Ja",1,0),"")</f>
        <v/>
      </c>
      <c r="V381" s="1" t="str">
        <f>IF(AND(Programme_Grunddaten!$A386="Geprüft",Programme_Grunddaten!AD386&lt;&gt;""),IF(Programme_Grunddaten!AD386="Ja",1,0),"")</f>
        <v/>
      </c>
      <c r="W381" s="1" t="str">
        <f>IF(AND(Programme_Grunddaten!$A386="Geprüft",Programme_Grunddaten!AE386&lt;&gt;""),IF(Programme_Grunddaten!AE386="Ja",1,0),"")</f>
        <v/>
      </c>
      <c r="X381" s="1" t="str">
        <f>IF(AND(Programme_Grunddaten!$A386="Geprüft",Programme_Grunddaten!AF386&lt;&gt;""),IF(Programme_Grunddaten!AF386="Ja",1,0),"")</f>
        <v/>
      </c>
      <c r="Y381" s="1" t="str">
        <f>IF(AND(Programme_Grunddaten!$A386="Geprüft",Programme_Grunddaten!AG386&lt;&gt;""),IF(Programme_Grunddaten!AG386="Ja",1,0),"")</f>
        <v/>
      </c>
      <c r="Z381" s="1" t="str">
        <f>IF(AND(Programme_Grunddaten!$A386="Geprüft",Programme_Grunddaten!AH386&lt;&gt;""),IF(Programme_Grunddaten!AH386="Ja",1,0),"")</f>
        <v/>
      </c>
      <c r="AA381" s="1" t="str">
        <f>IF(AND(Programme_Grunddaten!$A386="Geprüft",Programme_Grunddaten!AI386&lt;&gt;""),IF(Programme_Grunddaten!AI386="Ja",1,0),"")</f>
        <v/>
      </c>
      <c r="AB381" s="1" t="str">
        <f>IF(AND(Programme_Grunddaten!$A386="Geprüft",Programme_Grunddaten!AJ386&lt;&gt;""),IF(Programme_Grunddaten!AJ386="individuell programmierbar",1,0),"")</f>
        <v/>
      </c>
      <c r="AC381" s="1" t="str">
        <f>IF(AND(Programme_Grunddaten!$A386="Geprüft",Programme_Grunddaten!AK386&lt;&gt;""),IF(Programme_Grunddaten!AK386="Deutsch",0,IF(Programme_Grunddaten!AK386="Deutsch und Englisch",1,2)),"")</f>
        <v/>
      </c>
      <c r="AD381" s="1" t="str">
        <f>IF(AND(Programme_Grunddaten!$A386="Geprüft",Programme_Grunddaten!AL386&lt;&gt;""),IF(Programme_Grunddaten!AL386="Ja",1,0),"")</f>
        <v/>
      </c>
      <c r="AE381" s="1" t="str">
        <f>IF(AND(Programme_Grunddaten!$A386="Geprüft",Programme_Grunddaten!AM386&lt;&gt;""),IF(Programme_Grunddaten!AM386="Ja",1,0),"")</f>
        <v/>
      </c>
      <c r="AF381" s="1" t="str">
        <f>IF(AND(Programme_Grunddaten!$A386="Geprüft",Programme_Grunddaten!AN386&lt;&gt;""),IF(Programme_Grunddaten!AN386="Ja",1,0),"")</f>
        <v/>
      </c>
      <c r="AG381" s="1" t="str">
        <f>IF(AND(Programme_Grunddaten!$A386="Geprüft",Programme_Grunddaten!AO386&lt;&gt;""),IF(Programme_Grunddaten!AO386="Ja",1,0),"")</f>
        <v/>
      </c>
      <c r="AH381" s="1" t="str">
        <f>IF(AND(Programme_Grunddaten!$A386="Geprüft",Programme_Grunddaten!AP386&lt;&gt;""),IF(Programme_Grunddaten!AP386="Ja",1,0),"")</f>
        <v/>
      </c>
      <c r="AI381" s="1" t="str">
        <f>IF(AND(Programme_Grunddaten!$A386="Geprüft",Programme_Grunddaten!AQ386&lt;&gt;""),IF(Programme_Grunddaten!AQ386="Ja",1,0),"")</f>
        <v/>
      </c>
      <c r="AJ381" s="1" t="str">
        <f>IF(AND(Programme_Grunddaten!$A386="Geprüft",Programme_Grunddaten!AR386&lt;&gt;""),IF(Programme_Grunddaten!AR386="Ja",1,0),"")</f>
        <v/>
      </c>
      <c r="AK381" s="1" t="str">
        <f>IF(AND(Programme_Grunddaten!$A386="Geprüft",Programme_Grunddaten!AS386&lt;&gt;""),IF(Programme_Grunddaten!AS386="Ja",1,0),"")</f>
        <v/>
      </c>
      <c r="AL381" s="1" t="str">
        <f>IF(AND(Programme_Grunddaten!$A386="Geprüft",Programme_Grunddaten!AT386&lt;&gt;""),IF(Programme_Grunddaten!AT386="Ja",1,0),"")</f>
        <v/>
      </c>
      <c r="AM381" s="1" t="str">
        <f>IF(AND(Programme_Grunddaten!$A386="Geprüft",Programme_Grunddaten!AU386&lt;&gt;""),IF(Programme_Grunddaten!AU386="Ja",1,0),"")</f>
        <v/>
      </c>
      <c r="AN381" s="1" t="str">
        <f>IF(AND(Programme_Grunddaten!$A386="Geprüft",Programme_Grunddaten!AV386&lt;&gt;""),IF(Programme_Grunddaten!AV386="Ja",1,0),"")</f>
        <v/>
      </c>
    </row>
    <row r="382" spans="1:40" x14ac:dyDescent="0.3">
      <c r="A382" s="1" t="str">
        <f>IF(AND(Programme_Grunddaten!A387="Geprüft",Programme_Grunddaten!B387&lt;&gt;""),Programme_Grunddaten!B387,"")</f>
        <v/>
      </c>
      <c r="B382" s="1" t="str">
        <f>IF(AND(Programme_Grunddaten!$A387="Geprüft",Programme_Grunddaten!I387&lt;&gt;""),IF(Programme_Grunddaten!I387="Ja",1,0),"")</f>
        <v/>
      </c>
      <c r="C382" s="1" t="str">
        <f>IF(AND(Programme_Grunddaten!$A387="Geprüft",Programme_Grunddaten!J387&lt;&gt;""),IF(Programme_Grunddaten!J387="Ja",1,0),"")</f>
        <v/>
      </c>
      <c r="D382" s="1" t="str">
        <f>IF(AND(Programme_Grunddaten!$A387="Geprüft",Programme_Grunddaten!K387&lt;&gt;""),IF(Programme_Grunddaten!K387="Ja",1,0),"")</f>
        <v/>
      </c>
      <c r="E382" s="1" t="str">
        <f>IF(AND(Programme_Grunddaten!$A387="Geprüft",Programme_Grunddaten!L387&lt;&gt;""),IF(Programme_Grunddaten!L387="Abo / befristete Lizenz",1,0),"")</f>
        <v/>
      </c>
      <c r="F382" s="1" t="str">
        <f>IF(AND(Programme_Grunddaten!$A387="Geprüft",Programme_Grunddaten!M387&lt;&gt;""),IF(Programme_Grunddaten!M387="Ja",1,0),"")</f>
        <v/>
      </c>
      <c r="G382" s="1" t="str">
        <f>IF(AND(Programme_Grunddaten!$A387="Geprüft",Programme_Grunddaten!N387&lt;&gt;""),IF(Programme_Grunddaten!N387="Ja",1,0),"")</f>
        <v/>
      </c>
      <c r="H382" s="1" t="str">
        <f>IF(AND(Programme_Grunddaten!$A387="Geprüft",Programme_Grunddaten!O387&lt;&gt;""),IF(Programme_Grunddaten!O387="Deutschland",0,IF(Programme_Grunddaten!O387="EU",1,2)),"")</f>
        <v/>
      </c>
      <c r="I382" s="1" t="str">
        <f>IF(AND(Programme_Grunddaten!$A387="Geprüft",Programme_Grunddaten!P387&lt;&gt;""),IF(Programme_Grunddaten!P387="Ja",1,0),"")</f>
        <v/>
      </c>
      <c r="J382" s="1" t="str">
        <f>IF(AND(Programme_Grunddaten!$A387="Geprüft",Programme_Grunddaten!Q387&lt;&gt;""),IF(Programme_Grunddaten!Q387="geschlossenes System",1,0),"")</f>
        <v/>
      </c>
      <c r="K382" s="1" t="str">
        <f>IF(AND(Programme_Grunddaten!$A387="Geprüft",Programme_Grunddaten!R387&lt;&gt;""),IF(Programme_Grunddaten!R387="Ja",1,0),"")</f>
        <v/>
      </c>
      <c r="L382" s="1" t="str">
        <f>IF(AND(Programme_Grunddaten!$A387="Geprüft",Programme_Grunddaten!T387&lt;&gt;""),IF(Programme_Grunddaten!T387="Ja",1,0),"")</f>
        <v/>
      </c>
      <c r="M382" s="1" t="str">
        <f>IF(AND(Programme_Grunddaten!$A387="Geprüft",Programme_Grunddaten!U387&lt;&gt;""),IF(Programme_Grunddaten!U387="Ja",1,0),"")</f>
        <v/>
      </c>
      <c r="N382" s="1" t="str">
        <f>IF(AND(Programme_Grunddaten!$A387="Geprüft",Programme_Grunddaten!V387&lt;&gt;""),IF(Programme_Grunddaten!V387="Ja",1,0),"")</f>
        <v/>
      </c>
      <c r="O382" s="1" t="str">
        <f>IF(AND(Programme_Grunddaten!$A387="Geprüft",Programme_Grunddaten!W387&lt;&gt;""),IF(Programme_Grunddaten!W387="Ja",1,0),"")</f>
        <v/>
      </c>
      <c r="P382" s="1" t="str">
        <f>IF(AND(Programme_Grunddaten!$A387="Geprüft",Programme_Grunddaten!X387&lt;&gt;""),IF(Programme_Grunddaten!X387="Ja",1,0),"")</f>
        <v/>
      </c>
      <c r="Q382" s="1" t="str">
        <f>IF(AND(Programme_Grunddaten!$A387="Geprüft",Programme_Grunddaten!Y387&lt;&gt;""),IF(Programme_Grunddaten!Y387="Ja",1,0),"")</f>
        <v/>
      </c>
      <c r="R382" s="1" t="str">
        <f>IF(AND(Programme_Grunddaten!$A387="Geprüft",Programme_Grunddaten!Z387&lt;&gt;""),IF(Programme_Grunddaten!Z387="Ja",1,0),"")</f>
        <v/>
      </c>
      <c r="S382" s="1" t="str">
        <f>IF(AND(Programme_Grunddaten!$A387="Geprüft",Programme_Grunddaten!AA387&lt;&gt;""),IF(Programme_Grunddaten!AA387="monolithisch",1,0),"")</f>
        <v/>
      </c>
      <c r="T382" s="1" t="str">
        <f>IF(AND(Programme_Grunddaten!$A387="Geprüft",Programme_Grunddaten!AB387&lt;&gt;""),IF(Programme_Grunddaten!AB387="Ja",1,0),"")</f>
        <v/>
      </c>
      <c r="U382" s="1" t="str">
        <f>IF(AND(Programme_Grunddaten!$A387="Geprüft",Programme_Grunddaten!AC387&lt;&gt;""),IF(Programme_Grunddaten!AC387="Ja",1,0),"")</f>
        <v/>
      </c>
      <c r="V382" s="1" t="str">
        <f>IF(AND(Programme_Grunddaten!$A387="Geprüft",Programme_Grunddaten!AD387&lt;&gt;""),IF(Programme_Grunddaten!AD387="Ja",1,0),"")</f>
        <v/>
      </c>
      <c r="W382" s="1" t="str">
        <f>IF(AND(Programme_Grunddaten!$A387="Geprüft",Programme_Grunddaten!AE387&lt;&gt;""),IF(Programme_Grunddaten!AE387="Ja",1,0),"")</f>
        <v/>
      </c>
      <c r="X382" s="1" t="str">
        <f>IF(AND(Programme_Grunddaten!$A387="Geprüft",Programme_Grunddaten!AF387&lt;&gt;""),IF(Programme_Grunddaten!AF387="Ja",1,0),"")</f>
        <v/>
      </c>
      <c r="Y382" s="1" t="str">
        <f>IF(AND(Programme_Grunddaten!$A387="Geprüft",Programme_Grunddaten!AG387&lt;&gt;""),IF(Programme_Grunddaten!AG387="Ja",1,0),"")</f>
        <v/>
      </c>
      <c r="Z382" s="1" t="str">
        <f>IF(AND(Programme_Grunddaten!$A387="Geprüft",Programme_Grunddaten!AH387&lt;&gt;""),IF(Programme_Grunddaten!AH387="Ja",1,0),"")</f>
        <v/>
      </c>
      <c r="AA382" s="1" t="str">
        <f>IF(AND(Programme_Grunddaten!$A387="Geprüft",Programme_Grunddaten!AI387&lt;&gt;""),IF(Programme_Grunddaten!AI387="Ja",1,0),"")</f>
        <v/>
      </c>
      <c r="AB382" s="1" t="str">
        <f>IF(AND(Programme_Grunddaten!$A387="Geprüft",Programme_Grunddaten!AJ387&lt;&gt;""),IF(Programme_Grunddaten!AJ387="individuell programmierbar",1,0),"")</f>
        <v/>
      </c>
      <c r="AC382" s="1" t="str">
        <f>IF(AND(Programme_Grunddaten!$A387="Geprüft",Programme_Grunddaten!AK387&lt;&gt;""),IF(Programme_Grunddaten!AK387="Deutsch",0,IF(Programme_Grunddaten!AK387="Deutsch und Englisch",1,2)),"")</f>
        <v/>
      </c>
      <c r="AD382" s="1" t="str">
        <f>IF(AND(Programme_Grunddaten!$A387="Geprüft",Programme_Grunddaten!AL387&lt;&gt;""),IF(Programme_Grunddaten!AL387="Ja",1,0),"")</f>
        <v/>
      </c>
      <c r="AE382" s="1" t="str">
        <f>IF(AND(Programme_Grunddaten!$A387="Geprüft",Programme_Grunddaten!AM387&lt;&gt;""),IF(Programme_Grunddaten!AM387="Ja",1,0),"")</f>
        <v/>
      </c>
      <c r="AF382" s="1" t="str">
        <f>IF(AND(Programme_Grunddaten!$A387="Geprüft",Programme_Grunddaten!AN387&lt;&gt;""),IF(Programme_Grunddaten!AN387="Ja",1,0),"")</f>
        <v/>
      </c>
      <c r="AG382" s="1" t="str">
        <f>IF(AND(Programme_Grunddaten!$A387="Geprüft",Programme_Grunddaten!AO387&lt;&gt;""),IF(Programme_Grunddaten!AO387="Ja",1,0),"")</f>
        <v/>
      </c>
      <c r="AH382" s="1" t="str">
        <f>IF(AND(Programme_Grunddaten!$A387="Geprüft",Programme_Grunddaten!AP387&lt;&gt;""),IF(Programme_Grunddaten!AP387="Ja",1,0),"")</f>
        <v/>
      </c>
      <c r="AI382" s="1" t="str">
        <f>IF(AND(Programme_Grunddaten!$A387="Geprüft",Programme_Grunddaten!AQ387&lt;&gt;""),IF(Programme_Grunddaten!AQ387="Ja",1,0),"")</f>
        <v/>
      </c>
      <c r="AJ382" s="1" t="str">
        <f>IF(AND(Programme_Grunddaten!$A387="Geprüft",Programme_Grunddaten!AR387&lt;&gt;""),IF(Programme_Grunddaten!AR387="Ja",1,0),"")</f>
        <v/>
      </c>
      <c r="AK382" s="1" t="str">
        <f>IF(AND(Programme_Grunddaten!$A387="Geprüft",Programme_Grunddaten!AS387&lt;&gt;""),IF(Programme_Grunddaten!AS387="Ja",1,0),"")</f>
        <v/>
      </c>
      <c r="AL382" s="1" t="str">
        <f>IF(AND(Programme_Grunddaten!$A387="Geprüft",Programme_Grunddaten!AT387&lt;&gt;""),IF(Programme_Grunddaten!AT387="Ja",1,0),"")</f>
        <v/>
      </c>
      <c r="AM382" s="1" t="str">
        <f>IF(AND(Programme_Grunddaten!$A387="Geprüft",Programme_Grunddaten!AU387&lt;&gt;""),IF(Programme_Grunddaten!AU387="Ja",1,0),"")</f>
        <v/>
      </c>
      <c r="AN382" s="1" t="str">
        <f>IF(AND(Programme_Grunddaten!$A387="Geprüft",Programme_Grunddaten!AV387&lt;&gt;""),IF(Programme_Grunddaten!AV387="Ja",1,0),"")</f>
        <v/>
      </c>
    </row>
    <row r="383" spans="1:40" x14ac:dyDescent="0.3">
      <c r="A383" s="1" t="str">
        <f>IF(AND(Programme_Grunddaten!A388="Geprüft",Programme_Grunddaten!B388&lt;&gt;""),Programme_Grunddaten!B388,"")</f>
        <v/>
      </c>
      <c r="B383" s="1" t="str">
        <f>IF(AND(Programme_Grunddaten!$A388="Geprüft",Programme_Grunddaten!I388&lt;&gt;""),IF(Programme_Grunddaten!I388="Ja",1,0),"")</f>
        <v/>
      </c>
      <c r="C383" s="1" t="str">
        <f>IF(AND(Programme_Grunddaten!$A388="Geprüft",Programme_Grunddaten!J388&lt;&gt;""),IF(Programme_Grunddaten!J388="Ja",1,0),"")</f>
        <v/>
      </c>
      <c r="D383" s="1" t="str">
        <f>IF(AND(Programme_Grunddaten!$A388="Geprüft",Programme_Grunddaten!K388&lt;&gt;""),IF(Programme_Grunddaten!K388="Ja",1,0),"")</f>
        <v/>
      </c>
      <c r="E383" s="1" t="str">
        <f>IF(AND(Programme_Grunddaten!$A388="Geprüft",Programme_Grunddaten!L388&lt;&gt;""),IF(Programme_Grunddaten!L388="Abo / befristete Lizenz",1,0),"")</f>
        <v/>
      </c>
      <c r="F383" s="1" t="str">
        <f>IF(AND(Programme_Grunddaten!$A388="Geprüft",Programme_Grunddaten!M388&lt;&gt;""),IF(Programme_Grunddaten!M388="Ja",1,0),"")</f>
        <v/>
      </c>
      <c r="G383" s="1" t="str">
        <f>IF(AND(Programme_Grunddaten!$A388="Geprüft",Programme_Grunddaten!N388&lt;&gt;""),IF(Programme_Grunddaten!N388="Ja",1,0),"")</f>
        <v/>
      </c>
      <c r="H383" s="1" t="str">
        <f>IF(AND(Programme_Grunddaten!$A388="Geprüft",Programme_Grunddaten!O388&lt;&gt;""),IF(Programme_Grunddaten!O388="Deutschland",0,IF(Programme_Grunddaten!O388="EU",1,2)),"")</f>
        <v/>
      </c>
      <c r="I383" s="1" t="str">
        <f>IF(AND(Programme_Grunddaten!$A388="Geprüft",Programme_Grunddaten!P388&lt;&gt;""),IF(Programme_Grunddaten!P388="Ja",1,0),"")</f>
        <v/>
      </c>
      <c r="J383" s="1" t="str">
        <f>IF(AND(Programme_Grunddaten!$A388="Geprüft",Programme_Grunddaten!Q388&lt;&gt;""),IF(Programme_Grunddaten!Q388="geschlossenes System",1,0),"")</f>
        <v/>
      </c>
      <c r="K383" s="1" t="str">
        <f>IF(AND(Programme_Grunddaten!$A388="Geprüft",Programme_Grunddaten!R388&lt;&gt;""),IF(Programme_Grunddaten!R388="Ja",1,0),"")</f>
        <v/>
      </c>
      <c r="L383" s="1" t="str">
        <f>IF(AND(Programme_Grunddaten!$A388="Geprüft",Programme_Grunddaten!T388&lt;&gt;""),IF(Programme_Grunddaten!T388="Ja",1,0),"")</f>
        <v/>
      </c>
      <c r="M383" s="1" t="str">
        <f>IF(AND(Programme_Grunddaten!$A388="Geprüft",Programme_Grunddaten!U388&lt;&gt;""),IF(Programme_Grunddaten!U388="Ja",1,0),"")</f>
        <v/>
      </c>
      <c r="N383" s="1" t="str">
        <f>IF(AND(Programme_Grunddaten!$A388="Geprüft",Programme_Grunddaten!V388&lt;&gt;""),IF(Programme_Grunddaten!V388="Ja",1,0),"")</f>
        <v/>
      </c>
      <c r="O383" s="1" t="str">
        <f>IF(AND(Programme_Grunddaten!$A388="Geprüft",Programme_Grunddaten!W388&lt;&gt;""),IF(Programme_Grunddaten!W388="Ja",1,0),"")</f>
        <v/>
      </c>
      <c r="P383" s="1" t="str">
        <f>IF(AND(Programme_Grunddaten!$A388="Geprüft",Programme_Grunddaten!X388&lt;&gt;""),IF(Programme_Grunddaten!X388="Ja",1,0),"")</f>
        <v/>
      </c>
      <c r="Q383" s="1" t="str">
        <f>IF(AND(Programme_Grunddaten!$A388="Geprüft",Programme_Grunddaten!Y388&lt;&gt;""),IF(Programme_Grunddaten!Y388="Ja",1,0),"")</f>
        <v/>
      </c>
      <c r="R383" s="1" t="str">
        <f>IF(AND(Programme_Grunddaten!$A388="Geprüft",Programme_Grunddaten!Z388&lt;&gt;""),IF(Programme_Grunddaten!Z388="Ja",1,0),"")</f>
        <v/>
      </c>
      <c r="S383" s="1" t="str">
        <f>IF(AND(Programme_Grunddaten!$A388="Geprüft",Programme_Grunddaten!AA388&lt;&gt;""),IF(Programme_Grunddaten!AA388="monolithisch",1,0),"")</f>
        <v/>
      </c>
      <c r="T383" s="1" t="str">
        <f>IF(AND(Programme_Grunddaten!$A388="Geprüft",Programme_Grunddaten!AB388&lt;&gt;""),IF(Programme_Grunddaten!AB388="Ja",1,0),"")</f>
        <v/>
      </c>
      <c r="U383" s="1" t="str">
        <f>IF(AND(Programme_Grunddaten!$A388="Geprüft",Programme_Grunddaten!AC388&lt;&gt;""),IF(Programme_Grunddaten!AC388="Ja",1,0),"")</f>
        <v/>
      </c>
      <c r="V383" s="1" t="str">
        <f>IF(AND(Programme_Grunddaten!$A388="Geprüft",Programme_Grunddaten!AD388&lt;&gt;""),IF(Programme_Grunddaten!AD388="Ja",1,0),"")</f>
        <v/>
      </c>
      <c r="W383" s="1" t="str">
        <f>IF(AND(Programme_Grunddaten!$A388="Geprüft",Programme_Grunddaten!AE388&lt;&gt;""),IF(Programme_Grunddaten!AE388="Ja",1,0),"")</f>
        <v/>
      </c>
      <c r="X383" s="1" t="str">
        <f>IF(AND(Programme_Grunddaten!$A388="Geprüft",Programme_Grunddaten!AF388&lt;&gt;""),IF(Programme_Grunddaten!AF388="Ja",1,0),"")</f>
        <v/>
      </c>
      <c r="Y383" s="1" t="str">
        <f>IF(AND(Programme_Grunddaten!$A388="Geprüft",Programme_Grunddaten!AG388&lt;&gt;""),IF(Programme_Grunddaten!AG388="Ja",1,0),"")</f>
        <v/>
      </c>
      <c r="Z383" s="1" t="str">
        <f>IF(AND(Programme_Grunddaten!$A388="Geprüft",Programme_Grunddaten!AH388&lt;&gt;""),IF(Programme_Grunddaten!AH388="Ja",1,0),"")</f>
        <v/>
      </c>
      <c r="AA383" s="1" t="str">
        <f>IF(AND(Programme_Grunddaten!$A388="Geprüft",Programme_Grunddaten!AI388&lt;&gt;""),IF(Programme_Grunddaten!AI388="Ja",1,0),"")</f>
        <v/>
      </c>
      <c r="AB383" s="1" t="str">
        <f>IF(AND(Programme_Grunddaten!$A388="Geprüft",Programme_Grunddaten!AJ388&lt;&gt;""),IF(Programme_Grunddaten!AJ388="individuell programmierbar",1,0),"")</f>
        <v/>
      </c>
      <c r="AC383" s="1" t="str">
        <f>IF(AND(Programme_Grunddaten!$A388="Geprüft",Programme_Grunddaten!AK388&lt;&gt;""),IF(Programme_Grunddaten!AK388="Deutsch",0,IF(Programme_Grunddaten!AK388="Deutsch und Englisch",1,2)),"")</f>
        <v/>
      </c>
      <c r="AD383" s="1" t="str">
        <f>IF(AND(Programme_Grunddaten!$A388="Geprüft",Programme_Grunddaten!AL388&lt;&gt;""),IF(Programme_Grunddaten!AL388="Ja",1,0),"")</f>
        <v/>
      </c>
      <c r="AE383" s="1" t="str">
        <f>IF(AND(Programme_Grunddaten!$A388="Geprüft",Programme_Grunddaten!AM388&lt;&gt;""),IF(Programme_Grunddaten!AM388="Ja",1,0),"")</f>
        <v/>
      </c>
      <c r="AF383" s="1" t="str">
        <f>IF(AND(Programme_Grunddaten!$A388="Geprüft",Programme_Grunddaten!AN388&lt;&gt;""),IF(Programme_Grunddaten!AN388="Ja",1,0),"")</f>
        <v/>
      </c>
      <c r="AG383" s="1" t="str">
        <f>IF(AND(Programme_Grunddaten!$A388="Geprüft",Programme_Grunddaten!AO388&lt;&gt;""),IF(Programme_Grunddaten!AO388="Ja",1,0),"")</f>
        <v/>
      </c>
      <c r="AH383" s="1" t="str">
        <f>IF(AND(Programme_Grunddaten!$A388="Geprüft",Programme_Grunddaten!AP388&lt;&gt;""),IF(Programme_Grunddaten!AP388="Ja",1,0),"")</f>
        <v/>
      </c>
      <c r="AI383" s="1" t="str">
        <f>IF(AND(Programme_Grunddaten!$A388="Geprüft",Programme_Grunddaten!AQ388&lt;&gt;""),IF(Programme_Grunddaten!AQ388="Ja",1,0),"")</f>
        <v/>
      </c>
      <c r="AJ383" s="1" t="str">
        <f>IF(AND(Programme_Grunddaten!$A388="Geprüft",Programme_Grunddaten!AR388&lt;&gt;""),IF(Programme_Grunddaten!AR388="Ja",1,0),"")</f>
        <v/>
      </c>
      <c r="AK383" s="1" t="str">
        <f>IF(AND(Programme_Grunddaten!$A388="Geprüft",Programme_Grunddaten!AS388&lt;&gt;""),IF(Programme_Grunddaten!AS388="Ja",1,0),"")</f>
        <v/>
      </c>
      <c r="AL383" s="1" t="str">
        <f>IF(AND(Programme_Grunddaten!$A388="Geprüft",Programme_Grunddaten!AT388&lt;&gt;""),IF(Programme_Grunddaten!AT388="Ja",1,0),"")</f>
        <v/>
      </c>
      <c r="AM383" s="1" t="str">
        <f>IF(AND(Programme_Grunddaten!$A388="Geprüft",Programme_Grunddaten!AU388&lt;&gt;""),IF(Programme_Grunddaten!AU388="Ja",1,0),"")</f>
        <v/>
      </c>
      <c r="AN383" s="1" t="str">
        <f>IF(AND(Programme_Grunddaten!$A388="Geprüft",Programme_Grunddaten!AV388&lt;&gt;""),IF(Programme_Grunddaten!AV388="Ja",1,0),"")</f>
        <v/>
      </c>
    </row>
    <row r="384" spans="1:40" x14ac:dyDescent="0.3">
      <c r="A384" s="1" t="str">
        <f>IF(AND(Programme_Grunddaten!A389="Geprüft",Programme_Grunddaten!B389&lt;&gt;""),Programme_Grunddaten!B389,"")</f>
        <v/>
      </c>
      <c r="B384" s="1" t="str">
        <f>IF(AND(Programme_Grunddaten!$A389="Geprüft",Programme_Grunddaten!I389&lt;&gt;""),IF(Programme_Grunddaten!I389="Ja",1,0),"")</f>
        <v/>
      </c>
      <c r="C384" s="1" t="str">
        <f>IF(AND(Programme_Grunddaten!$A389="Geprüft",Programme_Grunddaten!J389&lt;&gt;""),IF(Programme_Grunddaten!J389="Ja",1,0),"")</f>
        <v/>
      </c>
      <c r="D384" s="1" t="str">
        <f>IF(AND(Programme_Grunddaten!$A389="Geprüft",Programme_Grunddaten!K389&lt;&gt;""),IF(Programme_Grunddaten!K389="Ja",1,0),"")</f>
        <v/>
      </c>
      <c r="E384" s="1" t="str">
        <f>IF(AND(Programme_Grunddaten!$A389="Geprüft",Programme_Grunddaten!L389&lt;&gt;""),IF(Programme_Grunddaten!L389="Abo / befristete Lizenz",1,0),"")</f>
        <v/>
      </c>
      <c r="F384" s="1" t="str">
        <f>IF(AND(Programme_Grunddaten!$A389="Geprüft",Programme_Grunddaten!M389&lt;&gt;""),IF(Programme_Grunddaten!M389="Ja",1,0),"")</f>
        <v/>
      </c>
      <c r="G384" s="1" t="str">
        <f>IF(AND(Programme_Grunddaten!$A389="Geprüft",Programme_Grunddaten!N389&lt;&gt;""),IF(Programme_Grunddaten!N389="Ja",1,0),"")</f>
        <v/>
      </c>
      <c r="H384" s="1" t="str">
        <f>IF(AND(Programme_Grunddaten!$A389="Geprüft",Programme_Grunddaten!O389&lt;&gt;""),IF(Programme_Grunddaten!O389="Deutschland",0,IF(Programme_Grunddaten!O389="EU",1,2)),"")</f>
        <v/>
      </c>
      <c r="I384" s="1" t="str">
        <f>IF(AND(Programme_Grunddaten!$A389="Geprüft",Programme_Grunddaten!P389&lt;&gt;""),IF(Programme_Grunddaten!P389="Ja",1,0),"")</f>
        <v/>
      </c>
      <c r="J384" s="1" t="str">
        <f>IF(AND(Programme_Grunddaten!$A389="Geprüft",Programme_Grunddaten!Q389&lt;&gt;""),IF(Programme_Grunddaten!Q389="geschlossenes System",1,0),"")</f>
        <v/>
      </c>
      <c r="K384" s="1" t="str">
        <f>IF(AND(Programme_Grunddaten!$A389="Geprüft",Programme_Grunddaten!R389&lt;&gt;""),IF(Programme_Grunddaten!R389="Ja",1,0),"")</f>
        <v/>
      </c>
      <c r="L384" s="1" t="str">
        <f>IF(AND(Programme_Grunddaten!$A389="Geprüft",Programme_Grunddaten!T389&lt;&gt;""),IF(Programme_Grunddaten!T389="Ja",1,0),"")</f>
        <v/>
      </c>
      <c r="M384" s="1" t="str">
        <f>IF(AND(Programme_Grunddaten!$A389="Geprüft",Programme_Grunddaten!U389&lt;&gt;""),IF(Programme_Grunddaten!U389="Ja",1,0),"")</f>
        <v/>
      </c>
      <c r="N384" s="1" t="str">
        <f>IF(AND(Programme_Grunddaten!$A389="Geprüft",Programme_Grunddaten!V389&lt;&gt;""),IF(Programme_Grunddaten!V389="Ja",1,0),"")</f>
        <v/>
      </c>
      <c r="O384" s="1" t="str">
        <f>IF(AND(Programme_Grunddaten!$A389="Geprüft",Programme_Grunddaten!W389&lt;&gt;""),IF(Programme_Grunddaten!W389="Ja",1,0),"")</f>
        <v/>
      </c>
      <c r="P384" s="1" t="str">
        <f>IF(AND(Programme_Grunddaten!$A389="Geprüft",Programme_Grunddaten!X389&lt;&gt;""),IF(Programme_Grunddaten!X389="Ja",1,0),"")</f>
        <v/>
      </c>
      <c r="Q384" s="1" t="str">
        <f>IF(AND(Programme_Grunddaten!$A389="Geprüft",Programme_Grunddaten!Y389&lt;&gt;""),IF(Programme_Grunddaten!Y389="Ja",1,0),"")</f>
        <v/>
      </c>
      <c r="R384" s="1" t="str">
        <f>IF(AND(Programme_Grunddaten!$A389="Geprüft",Programme_Grunddaten!Z389&lt;&gt;""),IF(Programme_Grunddaten!Z389="Ja",1,0),"")</f>
        <v/>
      </c>
      <c r="S384" s="1" t="str">
        <f>IF(AND(Programme_Grunddaten!$A389="Geprüft",Programme_Grunddaten!AA389&lt;&gt;""),IF(Programme_Grunddaten!AA389="monolithisch",1,0),"")</f>
        <v/>
      </c>
      <c r="T384" s="1" t="str">
        <f>IF(AND(Programme_Grunddaten!$A389="Geprüft",Programme_Grunddaten!AB389&lt;&gt;""),IF(Programme_Grunddaten!AB389="Ja",1,0),"")</f>
        <v/>
      </c>
      <c r="U384" s="1" t="str">
        <f>IF(AND(Programme_Grunddaten!$A389="Geprüft",Programme_Grunddaten!AC389&lt;&gt;""),IF(Programme_Grunddaten!AC389="Ja",1,0),"")</f>
        <v/>
      </c>
      <c r="V384" s="1" t="str">
        <f>IF(AND(Programme_Grunddaten!$A389="Geprüft",Programme_Grunddaten!AD389&lt;&gt;""),IF(Programme_Grunddaten!AD389="Ja",1,0),"")</f>
        <v/>
      </c>
      <c r="W384" s="1" t="str">
        <f>IF(AND(Programme_Grunddaten!$A389="Geprüft",Programme_Grunddaten!AE389&lt;&gt;""),IF(Programme_Grunddaten!AE389="Ja",1,0),"")</f>
        <v/>
      </c>
      <c r="X384" s="1" t="str">
        <f>IF(AND(Programme_Grunddaten!$A389="Geprüft",Programme_Grunddaten!AF389&lt;&gt;""),IF(Programme_Grunddaten!AF389="Ja",1,0),"")</f>
        <v/>
      </c>
      <c r="Y384" s="1" t="str">
        <f>IF(AND(Programme_Grunddaten!$A389="Geprüft",Programme_Grunddaten!AG389&lt;&gt;""),IF(Programme_Grunddaten!AG389="Ja",1,0),"")</f>
        <v/>
      </c>
      <c r="Z384" s="1" t="str">
        <f>IF(AND(Programme_Grunddaten!$A389="Geprüft",Programme_Grunddaten!AH389&lt;&gt;""),IF(Programme_Grunddaten!AH389="Ja",1,0),"")</f>
        <v/>
      </c>
      <c r="AA384" s="1" t="str">
        <f>IF(AND(Programme_Grunddaten!$A389="Geprüft",Programme_Grunddaten!AI389&lt;&gt;""),IF(Programme_Grunddaten!AI389="Ja",1,0),"")</f>
        <v/>
      </c>
      <c r="AB384" s="1" t="str">
        <f>IF(AND(Programme_Grunddaten!$A389="Geprüft",Programme_Grunddaten!AJ389&lt;&gt;""),IF(Programme_Grunddaten!AJ389="individuell programmierbar",1,0),"")</f>
        <v/>
      </c>
      <c r="AC384" s="1" t="str">
        <f>IF(AND(Programme_Grunddaten!$A389="Geprüft",Programme_Grunddaten!AK389&lt;&gt;""),IF(Programme_Grunddaten!AK389="Deutsch",0,IF(Programme_Grunddaten!AK389="Deutsch und Englisch",1,2)),"")</f>
        <v/>
      </c>
      <c r="AD384" s="1" t="str">
        <f>IF(AND(Programme_Grunddaten!$A389="Geprüft",Programme_Grunddaten!AL389&lt;&gt;""),IF(Programme_Grunddaten!AL389="Ja",1,0),"")</f>
        <v/>
      </c>
      <c r="AE384" s="1" t="str">
        <f>IF(AND(Programme_Grunddaten!$A389="Geprüft",Programme_Grunddaten!AM389&lt;&gt;""),IF(Programme_Grunddaten!AM389="Ja",1,0),"")</f>
        <v/>
      </c>
      <c r="AF384" s="1" t="str">
        <f>IF(AND(Programme_Grunddaten!$A389="Geprüft",Programme_Grunddaten!AN389&lt;&gt;""),IF(Programme_Grunddaten!AN389="Ja",1,0),"")</f>
        <v/>
      </c>
      <c r="AG384" s="1" t="str">
        <f>IF(AND(Programme_Grunddaten!$A389="Geprüft",Programme_Grunddaten!AO389&lt;&gt;""),IF(Programme_Grunddaten!AO389="Ja",1,0),"")</f>
        <v/>
      </c>
      <c r="AH384" s="1" t="str">
        <f>IF(AND(Programme_Grunddaten!$A389="Geprüft",Programme_Grunddaten!AP389&lt;&gt;""),IF(Programme_Grunddaten!AP389="Ja",1,0),"")</f>
        <v/>
      </c>
      <c r="AI384" s="1" t="str">
        <f>IF(AND(Programme_Grunddaten!$A389="Geprüft",Programme_Grunddaten!AQ389&lt;&gt;""),IF(Programme_Grunddaten!AQ389="Ja",1,0),"")</f>
        <v/>
      </c>
      <c r="AJ384" s="1" t="str">
        <f>IF(AND(Programme_Grunddaten!$A389="Geprüft",Programme_Grunddaten!AR389&lt;&gt;""),IF(Programme_Grunddaten!AR389="Ja",1,0),"")</f>
        <v/>
      </c>
      <c r="AK384" s="1" t="str">
        <f>IF(AND(Programme_Grunddaten!$A389="Geprüft",Programme_Grunddaten!AS389&lt;&gt;""),IF(Programme_Grunddaten!AS389="Ja",1,0),"")</f>
        <v/>
      </c>
      <c r="AL384" s="1" t="str">
        <f>IF(AND(Programme_Grunddaten!$A389="Geprüft",Programme_Grunddaten!AT389&lt;&gt;""),IF(Programme_Grunddaten!AT389="Ja",1,0),"")</f>
        <v/>
      </c>
      <c r="AM384" s="1" t="str">
        <f>IF(AND(Programme_Grunddaten!$A389="Geprüft",Programme_Grunddaten!AU389&lt;&gt;""),IF(Programme_Grunddaten!AU389="Ja",1,0),"")</f>
        <v/>
      </c>
      <c r="AN384" s="1" t="str">
        <f>IF(AND(Programme_Grunddaten!$A389="Geprüft",Programme_Grunddaten!AV389&lt;&gt;""),IF(Programme_Grunddaten!AV389="Ja",1,0),"")</f>
        <v/>
      </c>
    </row>
    <row r="385" spans="1:40" x14ac:dyDescent="0.3">
      <c r="A385" s="1" t="str">
        <f>IF(AND(Programme_Grunddaten!A390="Geprüft",Programme_Grunddaten!B390&lt;&gt;""),Programme_Grunddaten!B390,"")</f>
        <v/>
      </c>
      <c r="B385" s="1" t="str">
        <f>IF(AND(Programme_Grunddaten!$A390="Geprüft",Programme_Grunddaten!I390&lt;&gt;""),IF(Programme_Grunddaten!I390="Ja",1,0),"")</f>
        <v/>
      </c>
      <c r="C385" s="1" t="str">
        <f>IF(AND(Programme_Grunddaten!$A390="Geprüft",Programme_Grunddaten!J390&lt;&gt;""),IF(Programme_Grunddaten!J390="Ja",1,0),"")</f>
        <v/>
      </c>
      <c r="D385" s="1" t="str">
        <f>IF(AND(Programme_Grunddaten!$A390="Geprüft",Programme_Grunddaten!K390&lt;&gt;""),IF(Programme_Grunddaten!K390="Ja",1,0),"")</f>
        <v/>
      </c>
      <c r="E385" s="1" t="str">
        <f>IF(AND(Programme_Grunddaten!$A390="Geprüft",Programme_Grunddaten!L390&lt;&gt;""),IF(Programme_Grunddaten!L390="Abo / befristete Lizenz",1,0),"")</f>
        <v/>
      </c>
      <c r="F385" s="1" t="str">
        <f>IF(AND(Programme_Grunddaten!$A390="Geprüft",Programme_Grunddaten!M390&lt;&gt;""),IF(Programme_Grunddaten!M390="Ja",1,0),"")</f>
        <v/>
      </c>
      <c r="G385" s="1" t="str">
        <f>IF(AND(Programme_Grunddaten!$A390="Geprüft",Programme_Grunddaten!N390&lt;&gt;""),IF(Programme_Grunddaten!N390="Ja",1,0),"")</f>
        <v/>
      </c>
      <c r="H385" s="1" t="str">
        <f>IF(AND(Programme_Grunddaten!$A390="Geprüft",Programme_Grunddaten!O390&lt;&gt;""),IF(Programme_Grunddaten!O390="Deutschland",0,IF(Programme_Grunddaten!O390="EU",1,2)),"")</f>
        <v/>
      </c>
      <c r="I385" s="1" t="str">
        <f>IF(AND(Programme_Grunddaten!$A390="Geprüft",Programme_Grunddaten!P390&lt;&gt;""),IF(Programme_Grunddaten!P390="Ja",1,0),"")</f>
        <v/>
      </c>
      <c r="J385" s="1" t="str">
        <f>IF(AND(Programme_Grunddaten!$A390="Geprüft",Programme_Grunddaten!Q390&lt;&gt;""),IF(Programme_Grunddaten!Q390="geschlossenes System",1,0),"")</f>
        <v/>
      </c>
      <c r="K385" s="1" t="str">
        <f>IF(AND(Programme_Grunddaten!$A390="Geprüft",Programme_Grunddaten!R390&lt;&gt;""),IF(Programme_Grunddaten!R390="Ja",1,0),"")</f>
        <v/>
      </c>
      <c r="L385" s="1" t="str">
        <f>IF(AND(Programme_Grunddaten!$A390="Geprüft",Programme_Grunddaten!T390&lt;&gt;""),IF(Programme_Grunddaten!T390="Ja",1,0),"")</f>
        <v/>
      </c>
      <c r="M385" s="1" t="str">
        <f>IF(AND(Programme_Grunddaten!$A390="Geprüft",Programme_Grunddaten!U390&lt;&gt;""),IF(Programme_Grunddaten!U390="Ja",1,0),"")</f>
        <v/>
      </c>
      <c r="N385" s="1" t="str">
        <f>IF(AND(Programme_Grunddaten!$A390="Geprüft",Programme_Grunddaten!V390&lt;&gt;""),IF(Programme_Grunddaten!V390="Ja",1,0),"")</f>
        <v/>
      </c>
      <c r="O385" s="1" t="str">
        <f>IF(AND(Programme_Grunddaten!$A390="Geprüft",Programme_Grunddaten!W390&lt;&gt;""),IF(Programme_Grunddaten!W390="Ja",1,0),"")</f>
        <v/>
      </c>
      <c r="P385" s="1" t="str">
        <f>IF(AND(Programme_Grunddaten!$A390="Geprüft",Programme_Grunddaten!X390&lt;&gt;""),IF(Programme_Grunddaten!X390="Ja",1,0),"")</f>
        <v/>
      </c>
      <c r="Q385" s="1" t="str">
        <f>IF(AND(Programme_Grunddaten!$A390="Geprüft",Programme_Grunddaten!Y390&lt;&gt;""),IF(Programme_Grunddaten!Y390="Ja",1,0),"")</f>
        <v/>
      </c>
      <c r="R385" s="1" t="str">
        <f>IF(AND(Programme_Grunddaten!$A390="Geprüft",Programme_Grunddaten!Z390&lt;&gt;""),IF(Programme_Grunddaten!Z390="Ja",1,0),"")</f>
        <v/>
      </c>
      <c r="S385" s="1" t="str">
        <f>IF(AND(Programme_Grunddaten!$A390="Geprüft",Programme_Grunddaten!AA390&lt;&gt;""),IF(Programme_Grunddaten!AA390="monolithisch",1,0),"")</f>
        <v/>
      </c>
      <c r="T385" s="1" t="str">
        <f>IF(AND(Programme_Grunddaten!$A390="Geprüft",Programme_Grunddaten!AB390&lt;&gt;""),IF(Programme_Grunddaten!AB390="Ja",1,0),"")</f>
        <v/>
      </c>
      <c r="U385" s="1" t="str">
        <f>IF(AND(Programme_Grunddaten!$A390="Geprüft",Programme_Grunddaten!AC390&lt;&gt;""),IF(Programme_Grunddaten!AC390="Ja",1,0),"")</f>
        <v/>
      </c>
      <c r="V385" s="1" t="str">
        <f>IF(AND(Programme_Grunddaten!$A390="Geprüft",Programme_Grunddaten!AD390&lt;&gt;""),IF(Programme_Grunddaten!AD390="Ja",1,0),"")</f>
        <v/>
      </c>
      <c r="W385" s="1" t="str">
        <f>IF(AND(Programme_Grunddaten!$A390="Geprüft",Programme_Grunddaten!AE390&lt;&gt;""),IF(Programme_Grunddaten!AE390="Ja",1,0),"")</f>
        <v/>
      </c>
      <c r="X385" s="1" t="str">
        <f>IF(AND(Programme_Grunddaten!$A390="Geprüft",Programme_Grunddaten!AF390&lt;&gt;""),IF(Programme_Grunddaten!AF390="Ja",1,0),"")</f>
        <v/>
      </c>
      <c r="Y385" s="1" t="str">
        <f>IF(AND(Programme_Grunddaten!$A390="Geprüft",Programme_Grunddaten!AG390&lt;&gt;""),IF(Programme_Grunddaten!AG390="Ja",1,0),"")</f>
        <v/>
      </c>
      <c r="Z385" s="1" t="str">
        <f>IF(AND(Programme_Grunddaten!$A390="Geprüft",Programme_Grunddaten!AH390&lt;&gt;""),IF(Programme_Grunddaten!AH390="Ja",1,0),"")</f>
        <v/>
      </c>
      <c r="AA385" s="1" t="str">
        <f>IF(AND(Programme_Grunddaten!$A390="Geprüft",Programme_Grunddaten!AI390&lt;&gt;""),IF(Programme_Grunddaten!AI390="Ja",1,0),"")</f>
        <v/>
      </c>
      <c r="AB385" s="1" t="str">
        <f>IF(AND(Programme_Grunddaten!$A390="Geprüft",Programme_Grunddaten!AJ390&lt;&gt;""),IF(Programme_Grunddaten!AJ390="individuell programmierbar",1,0),"")</f>
        <v/>
      </c>
      <c r="AC385" s="1" t="str">
        <f>IF(AND(Programme_Grunddaten!$A390="Geprüft",Programme_Grunddaten!AK390&lt;&gt;""),IF(Programme_Grunddaten!AK390="Deutsch",0,IF(Programme_Grunddaten!AK390="Deutsch und Englisch",1,2)),"")</f>
        <v/>
      </c>
      <c r="AD385" s="1" t="str">
        <f>IF(AND(Programme_Grunddaten!$A390="Geprüft",Programme_Grunddaten!AL390&lt;&gt;""),IF(Programme_Grunddaten!AL390="Ja",1,0),"")</f>
        <v/>
      </c>
      <c r="AE385" s="1" t="str">
        <f>IF(AND(Programme_Grunddaten!$A390="Geprüft",Programme_Grunddaten!AM390&lt;&gt;""),IF(Programme_Grunddaten!AM390="Ja",1,0),"")</f>
        <v/>
      </c>
      <c r="AF385" s="1" t="str">
        <f>IF(AND(Programme_Grunddaten!$A390="Geprüft",Programme_Grunddaten!AN390&lt;&gt;""),IF(Programme_Grunddaten!AN390="Ja",1,0),"")</f>
        <v/>
      </c>
      <c r="AG385" s="1" t="str">
        <f>IF(AND(Programme_Grunddaten!$A390="Geprüft",Programme_Grunddaten!AO390&lt;&gt;""),IF(Programme_Grunddaten!AO390="Ja",1,0),"")</f>
        <v/>
      </c>
      <c r="AH385" s="1" t="str">
        <f>IF(AND(Programme_Grunddaten!$A390="Geprüft",Programme_Grunddaten!AP390&lt;&gt;""),IF(Programme_Grunddaten!AP390="Ja",1,0),"")</f>
        <v/>
      </c>
      <c r="AI385" s="1" t="str">
        <f>IF(AND(Programme_Grunddaten!$A390="Geprüft",Programme_Grunddaten!AQ390&lt;&gt;""),IF(Programme_Grunddaten!AQ390="Ja",1,0),"")</f>
        <v/>
      </c>
      <c r="AJ385" s="1" t="str">
        <f>IF(AND(Programme_Grunddaten!$A390="Geprüft",Programme_Grunddaten!AR390&lt;&gt;""),IF(Programme_Grunddaten!AR390="Ja",1,0),"")</f>
        <v/>
      </c>
      <c r="AK385" s="1" t="str">
        <f>IF(AND(Programme_Grunddaten!$A390="Geprüft",Programme_Grunddaten!AS390&lt;&gt;""),IF(Programme_Grunddaten!AS390="Ja",1,0),"")</f>
        <v/>
      </c>
      <c r="AL385" s="1" t="str">
        <f>IF(AND(Programme_Grunddaten!$A390="Geprüft",Programme_Grunddaten!AT390&lt;&gt;""),IF(Programme_Grunddaten!AT390="Ja",1,0),"")</f>
        <v/>
      </c>
      <c r="AM385" s="1" t="str">
        <f>IF(AND(Programme_Grunddaten!$A390="Geprüft",Programme_Grunddaten!AU390&lt;&gt;""),IF(Programme_Grunddaten!AU390="Ja",1,0),"")</f>
        <v/>
      </c>
      <c r="AN385" s="1" t="str">
        <f>IF(AND(Programme_Grunddaten!$A390="Geprüft",Programme_Grunddaten!AV390&lt;&gt;""),IF(Programme_Grunddaten!AV390="Ja",1,0),"")</f>
        <v/>
      </c>
    </row>
    <row r="386" spans="1:40" x14ac:dyDescent="0.3">
      <c r="A386" s="1" t="str">
        <f>IF(AND(Programme_Grunddaten!A391="Geprüft",Programme_Grunddaten!B391&lt;&gt;""),Programme_Grunddaten!B391,"")</f>
        <v/>
      </c>
      <c r="B386" s="1" t="str">
        <f>IF(AND(Programme_Grunddaten!$A391="Geprüft",Programme_Grunddaten!I391&lt;&gt;""),IF(Programme_Grunddaten!I391="Ja",1,0),"")</f>
        <v/>
      </c>
      <c r="C386" s="1" t="str">
        <f>IF(AND(Programme_Grunddaten!$A391="Geprüft",Programme_Grunddaten!J391&lt;&gt;""),IF(Programme_Grunddaten!J391="Ja",1,0),"")</f>
        <v/>
      </c>
      <c r="D386" s="1" t="str">
        <f>IF(AND(Programme_Grunddaten!$A391="Geprüft",Programme_Grunddaten!K391&lt;&gt;""),IF(Programme_Grunddaten!K391="Ja",1,0),"")</f>
        <v/>
      </c>
      <c r="E386" s="1" t="str">
        <f>IF(AND(Programme_Grunddaten!$A391="Geprüft",Programme_Grunddaten!L391&lt;&gt;""),IF(Programme_Grunddaten!L391="Abo / befristete Lizenz",1,0),"")</f>
        <v/>
      </c>
      <c r="F386" s="1" t="str">
        <f>IF(AND(Programme_Grunddaten!$A391="Geprüft",Programme_Grunddaten!M391&lt;&gt;""),IF(Programme_Grunddaten!M391="Ja",1,0),"")</f>
        <v/>
      </c>
      <c r="G386" s="1" t="str">
        <f>IF(AND(Programme_Grunddaten!$A391="Geprüft",Programme_Grunddaten!N391&lt;&gt;""),IF(Programme_Grunddaten!N391="Ja",1,0),"")</f>
        <v/>
      </c>
      <c r="H386" s="1" t="str">
        <f>IF(AND(Programme_Grunddaten!$A391="Geprüft",Programme_Grunddaten!O391&lt;&gt;""),IF(Programme_Grunddaten!O391="Deutschland",0,IF(Programme_Grunddaten!O391="EU",1,2)),"")</f>
        <v/>
      </c>
      <c r="I386" s="1" t="str">
        <f>IF(AND(Programme_Grunddaten!$A391="Geprüft",Programme_Grunddaten!P391&lt;&gt;""),IF(Programme_Grunddaten!P391="Ja",1,0),"")</f>
        <v/>
      </c>
      <c r="J386" s="1" t="str">
        <f>IF(AND(Programme_Grunddaten!$A391="Geprüft",Programme_Grunddaten!Q391&lt;&gt;""),IF(Programme_Grunddaten!Q391="geschlossenes System",1,0),"")</f>
        <v/>
      </c>
      <c r="K386" s="1" t="str">
        <f>IF(AND(Programme_Grunddaten!$A391="Geprüft",Programme_Grunddaten!R391&lt;&gt;""),IF(Programme_Grunddaten!R391="Ja",1,0),"")</f>
        <v/>
      </c>
      <c r="L386" s="1" t="str">
        <f>IF(AND(Programme_Grunddaten!$A391="Geprüft",Programme_Grunddaten!T391&lt;&gt;""),IF(Programme_Grunddaten!T391="Ja",1,0),"")</f>
        <v/>
      </c>
      <c r="M386" s="1" t="str">
        <f>IF(AND(Programme_Grunddaten!$A391="Geprüft",Programme_Grunddaten!U391&lt;&gt;""),IF(Programme_Grunddaten!U391="Ja",1,0),"")</f>
        <v/>
      </c>
      <c r="N386" s="1" t="str">
        <f>IF(AND(Programme_Grunddaten!$A391="Geprüft",Programme_Grunddaten!V391&lt;&gt;""),IF(Programme_Grunddaten!V391="Ja",1,0),"")</f>
        <v/>
      </c>
      <c r="O386" s="1" t="str">
        <f>IF(AND(Programme_Grunddaten!$A391="Geprüft",Programme_Grunddaten!W391&lt;&gt;""),IF(Programme_Grunddaten!W391="Ja",1,0),"")</f>
        <v/>
      </c>
      <c r="P386" s="1" t="str">
        <f>IF(AND(Programme_Grunddaten!$A391="Geprüft",Programme_Grunddaten!X391&lt;&gt;""),IF(Programme_Grunddaten!X391="Ja",1,0),"")</f>
        <v/>
      </c>
      <c r="Q386" s="1" t="str">
        <f>IF(AND(Programme_Grunddaten!$A391="Geprüft",Programme_Grunddaten!Y391&lt;&gt;""),IF(Programme_Grunddaten!Y391="Ja",1,0),"")</f>
        <v/>
      </c>
      <c r="R386" s="1" t="str">
        <f>IF(AND(Programme_Grunddaten!$A391="Geprüft",Programme_Grunddaten!Z391&lt;&gt;""),IF(Programme_Grunddaten!Z391="Ja",1,0),"")</f>
        <v/>
      </c>
      <c r="S386" s="1" t="str">
        <f>IF(AND(Programme_Grunddaten!$A391="Geprüft",Programme_Grunddaten!AA391&lt;&gt;""),IF(Programme_Grunddaten!AA391="monolithisch",1,0),"")</f>
        <v/>
      </c>
      <c r="T386" s="1" t="str">
        <f>IF(AND(Programme_Grunddaten!$A391="Geprüft",Programme_Grunddaten!AB391&lt;&gt;""),IF(Programme_Grunddaten!AB391="Ja",1,0),"")</f>
        <v/>
      </c>
      <c r="U386" s="1" t="str">
        <f>IF(AND(Programme_Grunddaten!$A391="Geprüft",Programme_Grunddaten!AC391&lt;&gt;""),IF(Programme_Grunddaten!AC391="Ja",1,0),"")</f>
        <v/>
      </c>
      <c r="V386" s="1" t="str">
        <f>IF(AND(Programme_Grunddaten!$A391="Geprüft",Programme_Grunddaten!AD391&lt;&gt;""),IF(Programme_Grunddaten!AD391="Ja",1,0),"")</f>
        <v/>
      </c>
      <c r="W386" s="1" t="str">
        <f>IF(AND(Programme_Grunddaten!$A391="Geprüft",Programme_Grunddaten!AE391&lt;&gt;""),IF(Programme_Grunddaten!AE391="Ja",1,0),"")</f>
        <v/>
      </c>
      <c r="X386" s="1" t="str">
        <f>IF(AND(Programme_Grunddaten!$A391="Geprüft",Programme_Grunddaten!AF391&lt;&gt;""),IF(Programme_Grunddaten!AF391="Ja",1,0),"")</f>
        <v/>
      </c>
      <c r="Y386" s="1" t="str">
        <f>IF(AND(Programme_Grunddaten!$A391="Geprüft",Programme_Grunddaten!AG391&lt;&gt;""),IF(Programme_Grunddaten!AG391="Ja",1,0),"")</f>
        <v/>
      </c>
      <c r="Z386" s="1" t="str">
        <f>IF(AND(Programme_Grunddaten!$A391="Geprüft",Programme_Grunddaten!AH391&lt;&gt;""),IF(Programme_Grunddaten!AH391="Ja",1,0),"")</f>
        <v/>
      </c>
      <c r="AA386" s="1" t="str">
        <f>IF(AND(Programme_Grunddaten!$A391="Geprüft",Programme_Grunddaten!AI391&lt;&gt;""),IF(Programme_Grunddaten!AI391="Ja",1,0),"")</f>
        <v/>
      </c>
      <c r="AB386" s="1" t="str">
        <f>IF(AND(Programme_Grunddaten!$A391="Geprüft",Programme_Grunddaten!AJ391&lt;&gt;""),IF(Programme_Grunddaten!AJ391="individuell programmierbar",1,0),"")</f>
        <v/>
      </c>
      <c r="AC386" s="1" t="str">
        <f>IF(AND(Programme_Grunddaten!$A391="Geprüft",Programme_Grunddaten!AK391&lt;&gt;""),IF(Programme_Grunddaten!AK391="Deutsch",0,IF(Programme_Grunddaten!AK391="Deutsch und Englisch",1,2)),"")</f>
        <v/>
      </c>
      <c r="AD386" s="1" t="str">
        <f>IF(AND(Programme_Grunddaten!$A391="Geprüft",Programme_Grunddaten!AL391&lt;&gt;""),IF(Programme_Grunddaten!AL391="Ja",1,0),"")</f>
        <v/>
      </c>
      <c r="AE386" s="1" t="str">
        <f>IF(AND(Programme_Grunddaten!$A391="Geprüft",Programme_Grunddaten!AM391&lt;&gt;""),IF(Programme_Grunddaten!AM391="Ja",1,0),"")</f>
        <v/>
      </c>
      <c r="AF386" s="1" t="str">
        <f>IF(AND(Programme_Grunddaten!$A391="Geprüft",Programme_Grunddaten!AN391&lt;&gt;""),IF(Programme_Grunddaten!AN391="Ja",1,0),"")</f>
        <v/>
      </c>
      <c r="AG386" s="1" t="str">
        <f>IF(AND(Programme_Grunddaten!$A391="Geprüft",Programme_Grunddaten!AO391&lt;&gt;""),IF(Programme_Grunddaten!AO391="Ja",1,0),"")</f>
        <v/>
      </c>
      <c r="AH386" s="1" t="str">
        <f>IF(AND(Programme_Grunddaten!$A391="Geprüft",Programme_Grunddaten!AP391&lt;&gt;""),IF(Programme_Grunddaten!AP391="Ja",1,0),"")</f>
        <v/>
      </c>
      <c r="AI386" s="1" t="str">
        <f>IF(AND(Programme_Grunddaten!$A391="Geprüft",Programme_Grunddaten!AQ391&lt;&gt;""),IF(Programme_Grunddaten!AQ391="Ja",1,0),"")</f>
        <v/>
      </c>
      <c r="AJ386" s="1" t="str">
        <f>IF(AND(Programme_Grunddaten!$A391="Geprüft",Programme_Grunddaten!AR391&lt;&gt;""),IF(Programme_Grunddaten!AR391="Ja",1,0),"")</f>
        <v/>
      </c>
      <c r="AK386" s="1" t="str">
        <f>IF(AND(Programme_Grunddaten!$A391="Geprüft",Programme_Grunddaten!AS391&lt;&gt;""),IF(Programme_Grunddaten!AS391="Ja",1,0),"")</f>
        <v/>
      </c>
      <c r="AL386" s="1" t="str">
        <f>IF(AND(Programme_Grunddaten!$A391="Geprüft",Programme_Grunddaten!AT391&lt;&gt;""),IF(Programme_Grunddaten!AT391="Ja",1,0),"")</f>
        <v/>
      </c>
      <c r="AM386" s="1" t="str">
        <f>IF(AND(Programme_Grunddaten!$A391="Geprüft",Programme_Grunddaten!AU391&lt;&gt;""),IF(Programme_Grunddaten!AU391="Ja",1,0),"")</f>
        <v/>
      </c>
      <c r="AN386" s="1" t="str">
        <f>IF(AND(Programme_Grunddaten!$A391="Geprüft",Programme_Grunddaten!AV391&lt;&gt;""),IF(Programme_Grunddaten!AV391="Ja",1,0),"")</f>
        <v/>
      </c>
    </row>
    <row r="387" spans="1:40" x14ac:dyDescent="0.3">
      <c r="A387" s="1" t="str">
        <f>IF(AND(Programme_Grunddaten!A392="Geprüft",Programme_Grunddaten!B392&lt;&gt;""),Programme_Grunddaten!B392,"")</f>
        <v/>
      </c>
      <c r="B387" s="1" t="str">
        <f>IF(AND(Programme_Grunddaten!$A392="Geprüft",Programme_Grunddaten!I392&lt;&gt;""),IF(Programme_Grunddaten!I392="Ja",1,0),"")</f>
        <v/>
      </c>
      <c r="C387" s="1" t="str">
        <f>IF(AND(Programme_Grunddaten!$A392="Geprüft",Programme_Grunddaten!J392&lt;&gt;""),IF(Programme_Grunddaten!J392="Ja",1,0),"")</f>
        <v/>
      </c>
      <c r="D387" s="1" t="str">
        <f>IF(AND(Programme_Grunddaten!$A392="Geprüft",Programme_Grunddaten!K392&lt;&gt;""),IF(Programme_Grunddaten!K392="Ja",1,0),"")</f>
        <v/>
      </c>
      <c r="E387" s="1" t="str">
        <f>IF(AND(Programme_Grunddaten!$A392="Geprüft",Programme_Grunddaten!L392&lt;&gt;""),IF(Programme_Grunddaten!L392="Abo / befristete Lizenz",1,0),"")</f>
        <v/>
      </c>
      <c r="F387" s="1" t="str">
        <f>IF(AND(Programme_Grunddaten!$A392="Geprüft",Programme_Grunddaten!M392&lt;&gt;""),IF(Programme_Grunddaten!M392="Ja",1,0),"")</f>
        <v/>
      </c>
      <c r="G387" s="1" t="str">
        <f>IF(AND(Programme_Grunddaten!$A392="Geprüft",Programme_Grunddaten!N392&lt;&gt;""),IF(Programme_Grunddaten!N392="Ja",1,0),"")</f>
        <v/>
      </c>
      <c r="H387" s="1" t="str">
        <f>IF(AND(Programme_Grunddaten!$A392="Geprüft",Programme_Grunddaten!O392&lt;&gt;""),IF(Programme_Grunddaten!O392="Deutschland",0,IF(Programme_Grunddaten!O392="EU",1,2)),"")</f>
        <v/>
      </c>
      <c r="I387" s="1" t="str">
        <f>IF(AND(Programme_Grunddaten!$A392="Geprüft",Programme_Grunddaten!P392&lt;&gt;""),IF(Programme_Grunddaten!P392="Ja",1,0),"")</f>
        <v/>
      </c>
      <c r="J387" s="1" t="str">
        <f>IF(AND(Programme_Grunddaten!$A392="Geprüft",Programme_Grunddaten!Q392&lt;&gt;""),IF(Programme_Grunddaten!Q392="geschlossenes System",1,0),"")</f>
        <v/>
      </c>
      <c r="K387" s="1" t="str">
        <f>IF(AND(Programme_Grunddaten!$A392="Geprüft",Programme_Grunddaten!R392&lt;&gt;""),IF(Programme_Grunddaten!R392="Ja",1,0),"")</f>
        <v/>
      </c>
      <c r="L387" s="1" t="str">
        <f>IF(AND(Programme_Grunddaten!$A392="Geprüft",Programme_Grunddaten!T392&lt;&gt;""),IF(Programme_Grunddaten!T392="Ja",1,0),"")</f>
        <v/>
      </c>
      <c r="M387" s="1" t="str">
        <f>IF(AND(Programme_Grunddaten!$A392="Geprüft",Programme_Grunddaten!U392&lt;&gt;""),IF(Programme_Grunddaten!U392="Ja",1,0),"")</f>
        <v/>
      </c>
      <c r="N387" s="1" t="str">
        <f>IF(AND(Programme_Grunddaten!$A392="Geprüft",Programme_Grunddaten!V392&lt;&gt;""),IF(Programme_Grunddaten!V392="Ja",1,0),"")</f>
        <v/>
      </c>
      <c r="O387" s="1" t="str">
        <f>IF(AND(Programme_Grunddaten!$A392="Geprüft",Programme_Grunddaten!W392&lt;&gt;""),IF(Programme_Grunddaten!W392="Ja",1,0),"")</f>
        <v/>
      </c>
      <c r="P387" s="1" t="str">
        <f>IF(AND(Programme_Grunddaten!$A392="Geprüft",Programme_Grunddaten!X392&lt;&gt;""),IF(Programme_Grunddaten!X392="Ja",1,0),"")</f>
        <v/>
      </c>
      <c r="Q387" s="1" t="str">
        <f>IF(AND(Programme_Grunddaten!$A392="Geprüft",Programme_Grunddaten!Y392&lt;&gt;""),IF(Programme_Grunddaten!Y392="Ja",1,0),"")</f>
        <v/>
      </c>
      <c r="R387" s="1" t="str">
        <f>IF(AND(Programme_Grunddaten!$A392="Geprüft",Programme_Grunddaten!Z392&lt;&gt;""),IF(Programme_Grunddaten!Z392="Ja",1,0),"")</f>
        <v/>
      </c>
      <c r="S387" s="1" t="str">
        <f>IF(AND(Programme_Grunddaten!$A392="Geprüft",Programme_Grunddaten!AA392&lt;&gt;""),IF(Programme_Grunddaten!AA392="monolithisch",1,0),"")</f>
        <v/>
      </c>
      <c r="T387" s="1" t="str">
        <f>IF(AND(Programme_Grunddaten!$A392="Geprüft",Programme_Grunddaten!AB392&lt;&gt;""),IF(Programme_Grunddaten!AB392="Ja",1,0),"")</f>
        <v/>
      </c>
      <c r="U387" s="1" t="str">
        <f>IF(AND(Programme_Grunddaten!$A392="Geprüft",Programme_Grunddaten!AC392&lt;&gt;""),IF(Programme_Grunddaten!AC392="Ja",1,0),"")</f>
        <v/>
      </c>
      <c r="V387" s="1" t="str">
        <f>IF(AND(Programme_Grunddaten!$A392="Geprüft",Programme_Grunddaten!AD392&lt;&gt;""),IF(Programme_Grunddaten!AD392="Ja",1,0),"")</f>
        <v/>
      </c>
      <c r="W387" s="1" t="str">
        <f>IF(AND(Programme_Grunddaten!$A392="Geprüft",Programme_Grunddaten!AE392&lt;&gt;""),IF(Programme_Grunddaten!AE392="Ja",1,0),"")</f>
        <v/>
      </c>
      <c r="X387" s="1" t="str">
        <f>IF(AND(Programme_Grunddaten!$A392="Geprüft",Programme_Grunddaten!AF392&lt;&gt;""),IF(Programme_Grunddaten!AF392="Ja",1,0),"")</f>
        <v/>
      </c>
      <c r="Y387" s="1" t="str">
        <f>IF(AND(Programme_Grunddaten!$A392="Geprüft",Programme_Grunddaten!AG392&lt;&gt;""),IF(Programme_Grunddaten!AG392="Ja",1,0),"")</f>
        <v/>
      </c>
      <c r="Z387" s="1" t="str">
        <f>IF(AND(Programme_Grunddaten!$A392="Geprüft",Programme_Grunddaten!AH392&lt;&gt;""),IF(Programme_Grunddaten!AH392="Ja",1,0),"")</f>
        <v/>
      </c>
      <c r="AA387" s="1" t="str">
        <f>IF(AND(Programme_Grunddaten!$A392="Geprüft",Programme_Grunddaten!AI392&lt;&gt;""),IF(Programme_Grunddaten!AI392="Ja",1,0),"")</f>
        <v/>
      </c>
      <c r="AB387" s="1" t="str">
        <f>IF(AND(Programme_Grunddaten!$A392="Geprüft",Programme_Grunddaten!AJ392&lt;&gt;""),IF(Programme_Grunddaten!AJ392="individuell programmierbar",1,0),"")</f>
        <v/>
      </c>
      <c r="AC387" s="1" t="str">
        <f>IF(AND(Programme_Grunddaten!$A392="Geprüft",Programme_Grunddaten!AK392&lt;&gt;""),IF(Programme_Grunddaten!AK392="Deutsch",0,IF(Programme_Grunddaten!AK392="Deutsch und Englisch",1,2)),"")</f>
        <v/>
      </c>
      <c r="AD387" s="1" t="str">
        <f>IF(AND(Programme_Grunddaten!$A392="Geprüft",Programme_Grunddaten!AL392&lt;&gt;""),IF(Programme_Grunddaten!AL392="Ja",1,0),"")</f>
        <v/>
      </c>
      <c r="AE387" s="1" t="str">
        <f>IF(AND(Programme_Grunddaten!$A392="Geprüft",Programme_Grunddaten!AM392&lt;&gt;""),IF(Programme_Grunddaten!AM392="Ja",1,0),"")</f>
        <v/>
      </c>
      <c r="AF387" s="1" t="str">
        <f>IF(AND(Programme_Grunddaten!$A392="Geprüft",Programme_Grunddaten!AN392&lt;&gt;""),IF(Programme_Grunddaten!AN392="Ja",1,0),"")</f>
        <v/>
      </c>
      <c r="AG387" s="1" t="str">
        <f>IF(AND(Programme_Grunddaten!$A392="Geprüft",Programme_Grunddaten!AO392&lt;&gt;""),IF(Programme_Grunddaten!AO392="Ja",1,0),"")</f>
        <v/>
      </c>
      <c r="AH387" s="1" t="str">
        <f>IF(AND(Programme_Grunddaten!$A392="Geprüft",Programme_Grunddaten!AP392&lt;&gt;""),IF(Programme_Grunddaten!AP392="Ja",1,0),"")</f>
        <v/>
      </c>
      <c r="AI387" s="1" t="str">
        <f>IF(AND(Programme_Grunddaten!$A392="Geprüft",Programme_Grunddaten!AQ392&lt;&gt;""),IF(Programme_Grunddaten!AQ392="Ja",1,0),"")</f>
        <v/>
      </c>
      <c r="AJ387" s="1" t="str">
        <f>IF(AND(Programme_Grunddaten!$A392="Geprüft",Programme_Grunddaten!AR392&lt;&gt;""),IF(Programme_Grunddaten!AR392="Ja",1,0),"")</f>
        <v/>
      </c>
      <c r="AK387" s="1" t="str">
        <f>IF(AND(Programme_Grunddaten!$A392="Geprüft",Programme_Grunddaten!AS392&lt;&gt;""),IF(Programme_Grunddaten!AS392="Ja",1,0),"")</f>
        <v/>
      </c>
      <c r="AL387" s="1" t="str">
        <f>IF(AND(Programme_Grunddaten!$A392="Geprüft",Programme_Grunddaten!AT392&lt;&gt;""),IF(Programme_Grunddaten!AT392="Ja",1,0),"")</f>
        <v/>
      </c>
      <c r="AM387" s="1" t="str">
        <f>IF(AND(Programme_Grunddaten!$A392="Geprüft",Programme_Grunddaten!AU392&lt;&gt;""),IF(Programme_Grunddaten!AU392="Ja",1,0),"")</f>
        <v/>
      </c>
      <c r="AN387" s="1" t="str">
        <f>IF(AND(Programme_Grunddaten!$A392="Geprüft",Programme_Grunddaten!AV392&lt;&gt;""),IF(Programme_Grunddaten!AV392="Ja",1,0),"")</f>
        <v/>
      </c>
    </row>
    <row r="388" spans="1:40" x14ac:dyDescent="0.3">
      <c r="A388" s="1" t="str">
        <f>IF(AND(Programme_Grunddaten!A393="Geprüft",Programme_Grunddaten!B393&lt;&gt;""),Programme_Grunddaten!B393,"")</f>
        <v/>
      </c>
      <c r="B388" s="1" t="str">
        <f>IF(AND(Programme_Grunddaten!$A393="Geprüft",Programme_Grunddaten!I393&lt;&gt;""),IF(Programme_Grunddaten!I393="Ja",1,0),"")</f>
        <v/>
      </c>
      <c r="C388" s="1" t="str">
        <f>IF(AND(Programme_Grunddaten!$A393="Geprüft",Programme_Grunddaten!J393&lt;&gt;""),IF(Programme_Grunddaten!J393="Ja",1,0),"")</f>
        <v/>
      </c>
      <c r="D388" s="1" t="str">
        <f>IF(AND(Programme_Grunddaten!$A393="Geprüft",Programme_Grunddaten!K393&lt;&gt;""),IF(Programme_Grunddaten!K393="Ja",1,0),"")</f>
        <v/>
      </c>
      <c r="E388" s="1" t="str">
        <f>IF(AND(Programme_Grunddaten!$A393="Geprüft",Programme_Grunddaten!L393&lt;&gt;""),IF(Programme_Grunddaten!L393="Abo / befristete Lizenz",1,0),"")</f>
        <v/>
      </c>
      <c r="F388" s="1" t="str">
        <f>IF(AND(Programme_Grunddaten!$A393="Geprüft",Programme_Grunddaten!M393&lt;&gt;""),IF(Programme_Grunddaten!M393="Ja",1,0),"")</f>
        <v/>
      </c>
      <c r="G388" s="1" t="str">
        <f>IF(AND(Programme_Grunddaten!$A393="Geprüft",Programme_Grunddaten!N393&lt;&gt;""),IF(Programme_Grunddaten!N393="Ja",1,0),"")</f>
        <v/>
      </c>
      <c r="H388" s="1" t="str">
        <f>IF(AND(Programme_Grunddaten!$A393="Geprüft",Programme_Grunddaten!O393&lt;&gt;""),IF(Programme_Grunddaten!O393="Deutschland",0,IF(Programme_Grunddaten!O393="EU",1,2)),"")</f>
        <v/>
      </c>
      <c r="I388" s="1" t="str">
        <f>IF(AND(Programme_Grunddaten!$A393="Geprüft",Programme_Grunddaten!P393&lt;&gt;""),IF(Programme_Grunddaten!P393="Ja",1,0),"")</f>
        <v/>
      </c>
      <c r="J388" s="1" t="str">
        <f>IF(AND(Programme_Grunddaten!$A393="Geprüft",Programme_Grunddaten!Q393&lt;&gt;""),IF(Programme_Grunddaten!Q393="geschlossenes System",1,0),"")</f>
        <v/>
      </c>
      <c r="K388" s="1" t="str">
        <f>IF(AND(Programme_Grunddaten!$A393="Geprüft",Programme_Grunddaten!R393&lt;&gt;""),IF(Programme_Grunddaten!R393="Ja",1,0),"")</f>
        <v/>
      </c>
      <c r="L388" s="1" t="str">
        <f>IF(AND(Programme_Grunddaten!$A393="Geprüft",Programme_Grunddaten!T393&lt;&gt;""),IF(Programme_Grunddaten!T393="Ja",1,0),"")</f>
        <v/>
      </c>
      <c r="M388" s="1" t="str">
        <f>IF(AND(Programme_Grunddaten!$A393="Geprüft",Programme_Grunddaten!U393&lt;&gt;""),IF(Programme_Grunddaten!U393="Ja",1,0),"")</f>
        <v/>
      </c>
      <c r="N388" s="1" t="str">
        <f>IF(AND(Programme_Grunddaten!$A393="Geprüft",Programme_Grunddaten!V393&lt;&gt;""),IF(Programme_Grunddaten!V393="Ja",1,0),"")</f>
        <v/>
      </c>
      <c r="O388" s="1" t="str">
        <f>IF(AND(Programme_Grunddaten!$A393="Geprüft",Programme_Grunddaten!W393&lt;&gt;""),IF(Programme_Grunddaten!W393="Ja",1,0),"")</f>
        <v/>
      </c>
      <c r="P388" s="1" t="str">
        <f>IF(AND(Programme_Grunddaten!$A393="Geprüft",Programme_Grunddaten!X393&lt;&gt;""),IF(Programme_Grunddaten!X393="Ja",1,0),"")</f>
        <v/>
      </c>
      <c r="Q388" s="1" t="str">
        <f>IF(AND(Programme_Grunddaten!$A393="Geprüft",Programme_Grunddaten!Y393&lt;&gt;""),IF(Programme_Grunddaten!Y393="Ja",1,0),"")</f>
        <v/>
      </c>
      <c r="R388" s="1" t="str">
        <f>IF(AND(Programme_Grunddaten!$A393="Geprüft",Programme_Grunddaten!Z393&lt;&gt;""),IF(Programme_Grunddaten!Z393="Ja",1,0),"")</f>
        <v/>
      </c>
      <c r="S388" s="1" t="str">
        <f>IF(AND(Programme_Grunddaten!$A393="Geprüft",Programme_Grunddaten!AA393&lt;&gt;""),IF(Programme_Grunddaten!AA393="monolithisch",1,0),"")</f>
        <v/>
      </c>
      <c r="T388" s="1" t="str">
        <f>IF(AND(Programme_Grunddaten!$A393="Geprüft",Programme_Grunddaten!AB393&lt;&gt;""),IF(Programme_Grunddaten!AB393="Ja",1,0),"")</f>
        <v/>
      </c>
      <c r="U388" s="1" t="str">
        <f>IF(AND(Programme_Grunddaten!$A393="Geprüft",Programme_Grunddaten!AC393&lt;&gt;""),IF(Programme_Grunddaten!AC393="Ja",1,0),"")</f>
        <v/>
      </c>
      <c r="V388" s="1" t="str">
        <f>IF(AND(Programme_Grunddaten!$A393="Geprüft",Programme_Grunddaten!AD393&lt;&gt;""),IF(Programme_Grunddaten!AD393="Ja",1,0),"")</f>
        <v/>
      </c>
      <c r="W388" s="1" t="str">
        <f>IF(AND(Programme_Grunddaten!$A393="Geprüft",Programme_Grunddaten!AE393&lt;&gt;""),IF(Programme_Grunddaten!AE393="Ja",1,0),"")</f>
        <v/>
      </c>
      <c r="X388" s="1" t="str">
        <f>IF(AND(Programme_Grunddaten!$A393="Geprüft",Programme_Grunddaten!AF393&lt;&gt;""),IF(Programme_Grunddaten!AF393="Ja",1,0),"")</f>
        <v/>
      </c>
      <c r="Y388" s="1" t="str">
        <f>IF(AND(Programme_Grunddaten!$A393="Geprüft",Programme_Grunddaten!AG393&lt;&gt;""),IF(Programme_Grunddaten!AG393="Ja",1,0),"")</f>
        <v/>
      </c>
      <c r="Z388" s="1" t="str">
        <f>IF(AND(Programme_Grunddaten!$A393="Geprüft",Programme_Grunddaten!AH393&lt;&gt;""),IF(Programme_Grunddaten!AH393="Ja",1,0),"")</f>
        <v/>
      </c>
      <c r="AA388" s="1" t="str">
        <f>IF(AND(Programme_Grunddaten!$A393="Geprüft",Programme_Grunddaten!AI393&lt;&gt;""),IF(Programme_Grunddaten!AI393="Ja",1,0),"")</f>
        <v/>
      </c>
      <c r="AB388" s="1" t="str">
        <f>IF(AND(Programme_Grunddaten!$A393="Geprüft",Programme_Grunddaten!AJ393&lt;&gt;""),IF(Programme_Grunddaten!AJ393="individuell programmierbar",1,0),"")</f>
        <v/>
      </c>
      <c r="AC388" s="1" t="str">
        <f>IF(AND(Programme_Grunddaten!$A393="Geprüft",Programme_Grunddaten!AK393&lt;&gt;""),IF(Programme_Grunddaten!AK393="Deutsch",0,IF(Programme_Grunddaten!AK393="Deutsch und Englisch",1,2)),"")</f>
        <v/>
      </c>
      <c r="AD388" s="1" t="str">
        <f>IF(AND(Programme_Grunddaten!$A393="Geprüft",Programme_Grunddaten!AL393&lt;&gt;""),IF(Programme_Grunddaten!AL393="Ja",1,0),"")</f>
        <v/>
      </c>
      <c r="AE388" s="1" t="str">
        <f>IF(AND(Programme_Grunddaten!$A393="Geprüft",Programme_Grunddaten!AM393&lt;&gt;""),IF(Programme_Grunddaten!AM393="Ja",1,0),"")</f>
        <v/>
      </c>
      <c r="AF388" s="1" t="str">
        <f>IF(AND(Programme_Grunddaten!$A393="Geprüft",Programme_Grunddaten!AN393&lt;&gt;""),IF(Programme_Grunddaten!AN393="Ja",1,0),"")</f>
        <v/>
      </c>
      <c r="AG388" s="1" t="str">
        <f>IF(AND(Programme_Grunddaten!$A393="Geprüft",Programme_Grunddaten!AO393&lt;&gt;""),IF(Programme_Grunddaten!AO393="Ja",1,0),"")</f>
        <v/>
      </c>
      <c r="AH388" s="1" t="str">
        <f>IF(AND(Programme_Grunddaten!$A393="Geprüft",Programme_Grunddaten!AP393&lt;&gt;""),IF(Programme_Grunddaten!AP393="Ja",1,0),"")</f>
        <v/>
      </c>
      <c r="AI388" s="1" t="str">
        <f>IF(AND(Programme_Grunddaten!$A393="Geprüft",Programme_Grunddaten!AQ393&lt;&gt;""),IF(Programme_Grunddaten!AQ393="Ja",1,0),"")</f>
        <v/>
      </c>
      <c r="AJ388" s="1" t="str">
        <f>IF(AND(Programme_Grunddaten!$A393="Geprüft",Programme_Grunddaten!AR393&lt;&gt;""),IF(Programme_Grunddaten!AR393="Ja",1,0),"")</f>
        <v/>
      </c>
      <c r="AK388" s="1" t="str">
        <f>IF(AND(Programme_Grunddaten!$A393="Geprüft",Programme_Grunddaten!AS393&lt;&gt;""),IF(Programme_Grunddaten!AS393="Ja",1,0),"")</f>
        <v/>
      </c>
      <c r="AL388" s="1" t="str">
        <f>IF(AND(Programme_Grunddaten!$A393="Geprüft",Programme_Grunddaten!AT393&lt;&gt;""),IF(Programme_Grunddaten!AT393="Ja",1,0),"")</f>
        <v/>
      </c>
      <c r="AM388" s="1" t="str">
        <f>IF(AND(Programme_Grunddaten!$A393="Geprüft",Programme_Grunddaten!AU393&lt;&gt;""),IF(Programme_Grunddaten!AU393="Ja",1,0),"")</f>
        <v/>
      </c>
      <c r="AN388" s="1" t="str">
        <f>IF(AND(Programme_Grunddaten!$A393="Geprüft",Programme_Grunddaten!AV393&lt;&gt;""),IF(Programme_Grunddaten!AV393="Ja",1,0),"")</f>
        <v/>
      </c>
    </row>
    <row r="389" spans="1:40" x14ac:dyDescent="0.3">
      <c r="A389" s="1" t="str">
        <f>IF(AND(Programme_Grunddaten!A394="Geprüft",Programme_Grunddaten!B394&lt;&gt;""),Programme_Grunddaten!B394,"")</f>
        <v/>
      </c>
      <c r="B389" s="1" t="str">
        <f>IF(AND(Programme_Grunddaten!$A394="Geprüft",Programme_Grunddaten!I394&lt;&gt;""),IF(Programme_Grunddaten!I394="Ja",1,0),"")</f>
        <v/>
      </c>
      <c r="C389" s="1" t="str">
        <f>IF(AND(Programme_Grunddaten!$A394="Geprüft",Programme_Grunddaten!J394&lt;&gt;""),IF(Programme_Grunddaten!J394="Ja",1,0),"")</f>
        <v/>
      </c>
      <c r="D389" s="1" t="str">
        <f>IF(AND(Programme_Grunddaten!$A394="Geprüft",Programme_Grunddaten!K394&lt;&gt;""),IF(Programme_Grunddaten!K394="Ja",1,0),"")</f>
        <v/>
      </c>
      <c r="E389" s="1" t="str">
        <f>IF(AND(Programme_Grunddaten!$A394="Geprüft",Programme_Grunddaten!L394&lt;&gt;""),IF(Programme_Grunddaten!L394="Abo / befristete Lizenz",1,0),"")</f>
        <v/>
      </c>
      <c r="F389" s="1" t="str">
        <f>IF(AND(Programme_Grunddaten!$A394="Geprüft",Programme_Grunddaten!M394&lt;&gt;""),IF(Programme_Grunddaten!M394="Ja",1,0),"")</f>
        <v/>
      </c>
      <c r="G389" s="1" t="str">
        <f>IF(AND(Programme_Grunddaten!$A394="Geprüft",Programme_Grunddaten!N394&lt;&gt;""),IF(Programme_Grunddaten!N394="Ja",1,0),"")</f>
        <v/>
      </c>
      <c r="H389" s="1" t="str">
        <f>IF(AND(Programme_Grunddaten!$A394="Geprüft",Programme_Grunddaten!O394&lt;&gt;""),IF(Programme_Grunddaten!O394="Deutschland",0,IF(Programme_Grunddaten!O394="EU",1,2)),"")</f>
        <v/>
      </c>
      <c r="I389" s="1" t="str">
        <f>IF(AND(Programme_Grunddaten!$A394="Geprüft",Programme_Grunddaten!P394&lt;&gt;""),IF(Programme_Grunddaten!P394="Ja",1,0),"")</f>
        <v/>
      </c>
      <c r="J389" s="1" t="str">
        <f>IF(AND(Programme_Grunddaten!$A394="Geprüft",Programme_Grunddaten!Q394&lt;&gt;""),IF(Programme_Grunddaten!Q394="geschlossenes System",1,0),"")</f>
        <v/>
      </c>
      <c r="K389" s="1" t="str">
        <f>IF(AND(Programme_Grunddaten!$A394="Geprüft",Programme_Grunddaten!R394&lt;&gt;""),IF(Programme_Grunddaten!R394="Ja",1,0),"")</f>
        <v/>
      </c>
      <c r="L389" s="1" t="str">
        <f>IF(AND(Programme_Grunddaten!$A394="Geprüft",Programme_Grunddaten!T394&lt;&gt;""),IF(Programme_Grunddaten!T394="Ja",1,0),"")</f>
        <v/>
      </c>
      <c r="M389" s="1" t="str">
        <f>IF(AND(Programme_Grunddaten!$A394="Geprüft",Programme_Grunddaten!U394&lt;&gt;""),IF(Programme_Grunddaten!U394="Ja",1,0),"")</f>
        <v/>
      </c>
      <c r="N389" s="1" t="str">
        <f>IF(AND(Programme_Grunddaten!$A394="Geprüft",Programme_Grunddaten!V394&lt;&gt;""),IF(Programme_Grunddaten!V394="Ja",1,0),"")</f>
        <v/>
      </c>
      <c r="O389" s="1" t="str">
        <f>IF(AND(Programme_Grunddaten!$A394="Geprüft",Programme_Grunddaten!W394&lt;&gt;""),IF(Programme_Grunddaten!W394="Ja",1,0),"")</f>
        <v/>
      </c>
      <c r="P389" s="1" t="str">
        <f>IF(AND(Programme_Grunddaten!$A394="Geprüft",Programme_Grunddaten!X394&lt;&gt;""),IF(Programme_Grunddaten!X394="Ja",1,0),"")</f>
        <v/>
      </c>
      <c r="Q389" s="1" t="str">
        <f>IF(AND(Programme_Grunddaten!$A394="Geprüft",Programme_Grunddaten!Y394&lt;&gt;""),IF(Programme_Grunddaten!Y394="Ja",1,0),"")</f>
        <v/>
      </c>
      <c r="R389" s="1" t="str">
        <f>IF(AND(Programme_Grunddaten!$A394="Geprüft",Programme_Grunddaten!Z394&lt;&gt;""),IF(Programme_Grunddaten!Z394="Ja",1,0),"")</f>
        <v/>
      </c>
      <c r="S389" s="1" t="str">
        <f>IF(AND(Programme_Grunddaten!$A394="Geprüft",Programme_Grunddaten!AA394&lt;&gt;""),IF(Programme_Grunddaten!AA394="monolithisch",1,0),"")</f>
        <v/>
      </c>
      <c r="T389" s="1" t="str">
        <f>IF(AND(Programme_Grunddaten!$A394="Geprüft",Programme_Grunddaten!AB394&lt;&gt;""),IF(Programme_Grunddaten!AB394="Ja",1,0),"")</f>
        <v/>
      </c>
      <c r="U389" s="1" t="str">
        <f>IF(AND(Programme_Grunddaten!$A394="Geprüft",Programme_Grunddaten!AC394&lt;&gt;""),IF(Programme_Grunddaten!AC394="Ja",1,0),"")</f>
        <v/>
      </c>
      <c r="V389" s="1" t="str">
        <f>IF(AND(Programme_Grunddaten!$A394="Geprüft",Programme_Grunddaten!AD394&lt;&gt;""),IF(Programme_Grunddaten!AD394="Ja",1,0),"")</f>
        <v/>
      </c>
      <c r="W389" s="1" t="str">
        <f>IF(AND(Programme_Grunddaten!$A394="Geprüft",Programme_Grunddaten!AE394&lt;&gt;""),IF(Programme_Grunddaten!AE394="Ja",1,0),"")</f>
        <v/>
      </c>
      <c r="X389" s="1" t="str">
        <f>IF(AND(Programme_Grunddaten!$A394="Geprüft",Programme_Grunddaten!AF394&lt;&gt;""),IF(Programme_Grunddaten!AF394="Ja",1,0),"")</f>
        <v/>
      </c>
      <c r="Y389" s="1" t="str">
        <f>IF(AND(Programme_Grunddaten!$A394="Geprüft",Programme_Grunddaten!AG394&lt;&gt;""),IF(Programme_Grunddaten!AG394="Ja",1,0),"")</f>
        <v/>
      </c>
      <c r="Z389" s="1" t="str">
        <f>IF(AND(Programme_Grunddaten!$A394="Geprüft",Programme_Grunddaten!AH394&lt;&gt;""),IF(Programme_Grunddaten!AH394="Ja",1,0),"")</f>
        <v/>
      </c>
      <c r="AA389" s="1" t="str">
        <f>IF(AND(Programme_Grunddaten!$A394="Geprüft",Programme_Grunddaten!AI394&lt;&gt;""),IF(Programme_Grunddaten!AI394="Ja",1,0),"")</f>
        <v/>
      </c>
      <c r="AB389" s="1" t="str">
        <f>IF(AND(Programme_Grunddaten!$A394="Geprüft",Programme_Grunddaten!AJ394&lt;&gt;""),IF(Programme_Grunddaten!AJ394="individuell programmierbar",1,0),"")</f>
        <v/>
      </c>
      <c r="AC389" s="1" t="str">
        <f>IF(AND(Programme_Grunddaten!$A394="Geprüft",Programme_Grunddaten!AK394&lt;&gt;""),IF(Programme_Grunddaten!AK394="Deutsch",0,IF(Programme_Grunddaten!AK394="Deutsch und Englisch",1,2)),"")</f>
        <v/>
      </c>
      <c r="AD389" s="1" t="str">
        <f>IF(AND(Programme_Grunddaten!$A394="Geprüft",Programme_Grunddaten!AL394&lt;&gt;""),IF(Programme_Grunddaten!AL394="Ja",1,0),"")</f>
        <v/>
      </c>
      <c r="AE389" s="1" t="str">
        <f>IF(AND(Programme_Grunddaten!$A394="Geprüft",Programme_Grunddaten!AM394&lt;&gt;""),IF(Programme_Grunddaten!AM394="Ja",1,0),"")</f>
        <v/>
      </c>
      <c r="AF389" s="1" t="str">
        <f>IF(AND(Programme_Grunddaten!$A394="Geprüft",Programme_Grunddaten!AN394&lt;&gt;""),IF(Programme_Grunddaten!AN394="Ja",1,0),"")</f>
        <v/>
      </c>
      <c r="AG389" s="1" t="str">
        <f>IF(AND(Programme_Grunddaten!$A394="Geprüft",Programme_Grunddaten!AO394&lt;&gt;""),IF(Programme_Grunddaten!AO394="Ja",1,0),"")</f>
        <v/>
      </c>
      <c r="AH389" s="1" t="str">
        <f>IF(AND(Programme_Grunddaten!$A394="Geprüft",Programme_Grunddaten!AP394&lt;&gt;""),IF(Programme_Grunddaten!AP394="Ja",1,0),"")</f>
        <v/>
      </c>
      <c r="AI389" s="1" t="str">
        <f>IF(AND(Programme_Grunddaten!$A394="Geprüft",Programme_Grunddaten!AQ394&lt;&gt;""),IF(Programme_Grunddaten!AQ394="Ja",1,0),"")</f>
        <v/>
      </c>
      <c r="AJ389" s="1" t="str">
        <f>IF(AND(Programme_Grunddaten!$A394="Geprüft",Programme_Grunddaten!AR394&lt;&gt;""),IF(Programme_Grunddaten!AR394="Ja",1,0),"")</f>
        <v/>
      </c>
      <c r="AK389" s="1" t="str">
        <f>IF(AND(Programme_Grunddaten!$A394="Geprüft",Programme_Grunddaten!AS394&lt;&gt;""),IF(Programme_Grunddaten!AS394="Ja",1,0),"")</f>
        <v/>
      </c>
      <c r="AL389" s="1" t="str">
        <f>IF(AND(Programme_Grunddaten!$A394="Geprüft",Programme_Grunddaten!AT394&lt;&gt;""),IF(Programme_Grunddaten!AT394="Ja",1,0),"")</f>
        <v/>
      </c>
      <c r="AM389" s="1" t="str">
        <f>IF(AND(Programme_Grunddaten!$A394="Geprüft",Programme_Grunddaten!AU394&lt;&gt;""),IF(Programme_Grunddaten!AU394="Ja",1,0),"")</f>
        <v/>
      </c>
      <c r="AN389" s="1" t="str">
        <f>IF(AND(Programme_Grunddaten!$A394="Geprüft",Programme_Grunddaten!AV394&lt;&gt;""),IF(Programme_Grunddaten!AV394="Ja",1,0),"")</f>
        <v/>
      </c>
    </row>
    <row r="390" spans="1:40" x14ac:dyDescent="0.3">
      <c r="A390" s="1" t="str">
        <f>IF(AND(Programme_Grunddaten!A395="Geprüft",Programme_Grunddaten!B395&lt;&gt;""),Programme_Grunddaten!B395,"")</f>
        <v/>
      </c>
      <c r="B390" s="1" t="str">
        <f>IF(AND(Programme_Grunddaten!$A395="Geprüft",Programme_Grunddaten!I395&lt;&gt;""),IF(Programme_Grunddaten!I395="Ja",1,0),"")</f>
        <v/>
      </c>
      <c r="C390" s="1" t="str">
        <f>IF(AND(Programme_Grunddaten!$A395="Geprüft",Programme_Grunddaten!J395&lt;&gt;""),IF(Programme_Grunddaten!J395="Ja",1,0),"")</f>
        <v/>
      </c>
      <c r="D390" s="1" t="str">
        <f>IF(AND(Programme_Grunddaten!$A395="Geprüft",Programme_Grunddaten!K395&lt;&gt;""),IF(Programme_Grunddaten!K395="Ja",1,0),"")</f>
        <v/>
      </c>
      <c r="E390" s="1" t="str">
        <f>IF(AND(Programme_Grunddaten!$A395="Geprüft",Programme_Grunddaten!L395&lt;&gt;""),IF(Programme_Grunddaten!L395="Abo / befristete Lizenz",1,0),"")</f>
        <v/>
      </c>
      <c r="F390" s="1" t="str">
        <f>IF(AND(Programme_Grunddaten!$A395="Geprüft",Programme_Grunddaten!M395&lt;&gt;""),IF(Programme_Grunddaten!M395="Ja",1,0),"")</f>
        <v/>
      </c>
      <c r="G390" s="1" t="str">
        <f>IF(AND(Programme_Grunddaten!$A395="Geprüft",Programme_Grunddaten!N395&lt;&gt;""),IF(Programme_Grunddaten!N395="Ja",1,0),"")</f>
        <v/>
      </c>
      <c r="H390" s="1" t="str">
        <f>IF(AND(Programme_Grunddaten!$A395="Geprüft",Programme_Grunddaten!O395&lt;&gt;""),IF(Programme_Grunddaten!O395="Deutschland",0,IF(Programme_Grunddaten!O395="EU",1,2)),"")</f>
        <v/>
      </c>
      <c r="I390" s="1" t="str">
        <f>IF(AND(Programme_Grunddaten!$A395="Geprüft",Programme_Grunddaten!P395&lt;&gt;""),IF(Programme_Grunddaten!P395="Ja",1,0),"")</f>
        <v/>
      </c>
      <c r="J390" s="1" t="str">
        <f>IF(AND(Programme_Grunddaten!$A395="Geprüft",Programme_Grunddaten!Q395&lt;&gt;""),IF(Programme_Grunddaten!Q395="geschlossenes System",1,0),"")</f>
        <v/>
      </c>
      <c r="K390" s="1" t="str">
        <f>IF(AND(Programme_Grunddaten!$A395="Geprüft",Programme_Grunddaten!R395&lt;&gt;""),IF(Programme_Grunddaten!R395="Ja",1,0),"")</f>
        <v/>
      </c>
      <c r="L390" s="1" t="str">
        <f>IF(AND(Programme_Grunddaten!$A395="Geprüft",Programme_Grunddaten!T395&lt;&gt;""),IF(Programme_Grunddaten!T395="Ja",1,0),"")</f>
        <v/>
      </c>
      <c r="M390" s="1" t="str">
        <f>IF(AND(Programme_Grunddaten!$A395="Geprüft",Programme_Grunddaten!U395&lt;&gt;""),IF(Programme_Grunddaten!U395="Ja",1,0),"")</f>
        <v/>
      </c>
      <c r="N390" s="1" t="str">
        <f>IF(AND(Programme_Grunddaten!$A395="Geprüft",Programme_Grunddaten!V395&lt;&gt;""),IF(Programme_Grunddaten!V395="Ja",1,0),"")</f>
        <v/>
      </c>
      <c r="O390" s="1" t="str">
        <f>IF(AND(Programme_Grunddaten!$A395="Geprüft",Programme_Grunddaten!W395&lt;&gt;""),IF(Programme_Grunddaten!W395="Ja",1,0),"")</f>
        <v/>
      </c>
      <c r="P390" s="1" t="str">
        <f>IF(AND(Programme_Grunddaten!$A395="Geprüft",Programme_Grunddaten!X395&lt;&gt;""),IF(Programme_Grunddaten!X395="Ja",1,0),"")</f>
        <v/>
      </c>
      <c r="Q390" s="1" t="str">
        <f>IF(AND(Programme_Grunddaten!$A395="Geprüft",Programme_Grunddaten!Y395&lt;&gt;""),IF(Programme_Grunddaten!Y395="Ja",1,0),"")</f>
        <v/>
      </c>
      <c r="R390" s="1" t="str">
        <f>IF(AND(Programme_Grunddaten!$A395="Geprüft",Programme_Grunddaten!Z395&lt;&gt;""),IF(Programme_Grunddaten!Z395="Ja",1,0),"")</f>
        <v/>
      </c>
      <c r="S390" s="1" t="str">
        <f>IF(AND(Programme_Grunddaten!$A395="Geprüft",Programme_Grunddaten!AA395&lt;&gt;""),IF(Programme_Grunddaten!AA395="monolithisch",1,0),"")</f>
        <v/>
      </c>
      <c r="T390" s="1" t="str">
        <f>IF(AND(Programme_Grunddaten!$A395="Geprüft",Programme_Grunddaten!AB395&lt;&gt;""),IF(Programme_Grunddaten!AB395="Ja",1,0),"")</f>
        <v/>
      </c>
      <c r="U390" s="1" t="str">
        <f>IF(AND(Programme_Grunddaten!$A395="Geprüft",Programme_Grunddaten!AC395&lt;&gt;""),IF(Programme_Grunddaten!AC395="Ja",1,0),"")</f>
        <v/>
      </c>
      <c r="V390" s="1" t="str">
        <f>IF(AND(Programme_Grunddaten!$A395="Geprüft",Programme_Grunddaten!AD395&lt;&gt;""),IF(Programme_Grunddaten!AD395="Ja",1,0),"")</f>
        <v/>
      </c>
      <c r="W390" s="1" t="str">
        <f>IF(AND(Programme_Grunddaten!$A395="Geprüft",Programme_Grunddaten!AE395&lt;&gt;""),IF(Programme_Grunddaten!AE395="Ja",1,0),"")</f>
        <v/>
      </c>
      <c r="X390" s="1" t="str">
        <f>IF(AND(Programme_Grunddaten!$A395="Geprüft",Programme_Grunddaten!AF395&lt;&gt;""),IF(Programme_Grunddaten!AF395="Ja",1,0),"")</f>
        <v/>
      </c>
      <c r="Y390" s="1" t="str">
        <f>IF(AND(Programme_Grunddaten!$A395="Geprüft",Programme_Grunddaten!AG395&lt;&gt;""),IF(Programme_Grunddaten!AG395="Ja",1,0),"")</f>
        <v/>
      </c>
      <c r="Z390" s="1" t="str">
        <f>IF(AND(Programme_Grunddaten!$A395="Geprüft",Programme_Grunddaten!AH395&lt;&gt;""),IF(Programme_Grunddaten!AH395="Ja",1,0),"")</f>
        <v/>
      </c>
      <c r="AA390" s="1" t="str">
        <f>IF(AND(Programme_Grunddaten!$A395="Geprüft",Programme_Grunddaten!AI395&lt;&gt;""),IF(Programme_Grunddaten!AI395="Ja",1,0),"")</f>
        <v/>
      </c>
      <c r="AB390" s="1" t="str">
        <f>IF(AND(Programme_Grunddaten!$A395="Geprüft",Programme_Grunddaten!AJ395&lt;&gt;""),IF(Programme_Grunddaten!AJ395="individuell programmierbar",1,0),"")</f>
        <v/>
      </c>
      <c r="AC390" s="1" t="str">
        <f>IF(AND(Programme_Grunddaten!$A395="Geprüft",Programme_Grunddaten!AK395&lt;&gt;""),IF(Programme_Grunddaten!AK395="Deutsch",0,IF(Programme_Grunddaten!AK395="Deutsch und Englisch",1,2)),"")</f>
        <v/>
      </c>
      <c r="AD390" s="1" t="str">
        <f>IF(AND(Programme_Grunddaten!$A395="Geprüft",Programme_Grunddaten!AL395&lt;&gt;""),IF(Programme_Grunddaten!AL395="Ja",1,0),"")</f>
        <v/>
      </c>
      <c r="AE390" s="1" t="str">
        <f>IF(AND(Programme_Grunddaten!$A395="Geprüft",Programme_Grunddaten!AM395&lt;&gt;""),IF(Programme_Grunddaten!AM395="Ja",1,0),"")</f>
        <v/>
      </c>
      <c r="AF390" s="1" t="str">
        <f>IF(AND(Programme_Grunddaten!$A395="Geprüft",Programme_Grunddaten!AN395&lt;&gt;""),IF(Programme_Grunddaten!AN395="Ja",1,0),"")</f>
        <v/>
      </c>
      <c r="AG390" s="1" t="str">
        <f>IF(AND(Programme_Grunddaten!$A395="Geprüft",Programme_Grunddaten!AO395&lt;&gt;""),IF(Programme_Grunddaten!AO395="Ja",1,0),"")</f>
        <v/>
      </c>
      <c r="AH390" s="1" t="str">
        <f>IF(AND(Programme_Grunddaten!$A395="Geprüft",Programme_Grunddaten!AP395&lt;&gt;""),IF(Programme_Grunddaten!AP395="Ja",1,0),"")</f>
        <v/>
      </c>
      <c r="AI390" s="1" t="str">
        <f>IF(AND(Programme_Grunddaten!$A395="Geprüft",Programme_Grunddaten!AQ395&lt;&gt;""),IF(Programme_Grunddaten!AQ395="Ja",1,0),"")</f>
        <v/>
      </c>
      <c r="AJ390" s="1" t="str">
        <f>IF(AND(Programme_Grunddaten!$A395="Geprüft",Programme_Grunddaten!AR395&lt;&gt;""),IF(Programme_Grunddaten!AR395="Ja",1,0),"")</f>
        <v/>
      </c>
      <c r="AK390" s="1" t="str">
        <f>IF(AND(Programme_Grunddaten!$A395="Geprüft",Programme_Grunddaten!AS395&lt;&gt;""),IF(Programme_Grunddaten!AS395="Ja",1,0),"")</f>
        <v/>
      </c>
      <c r="AL390" s="1" t="str">
        <f>IF(AND(Programme_Grunddaten!$A395="Geprüft",Programme_Grunddaten!AT395&lt;&gt;""),IF(Programme_Grunddaten!AT395="Ja",1,0),"")</f>
        <v/>
      </c>
      <c r="AM390" s="1" t="str">
        <f>IF(AND(Programme_Grunddaten!$A395="Geprüft",Programme_Grunddaten!AU395&lt;&gt;""),IF(Programme_Grunddaten!AU395="Ja",1,0),"")</f>
        <v/>
      </c>
      <c r="AN390" s="1" t="str">
        <f>IF(AND(Programme_Grunddaten!$A395="Geprüft",Programme_Grunddaten!AV395&lt;&gt;""),IF(Programme_Grunddaten!AV395="Ja",1,0),"")</f>
        <v/>
      </c>
    </row>
    <row r="391" spans="1:40" x14ac:dyDescent="0.3">
      <c r="A391" s="1" t="str">
        <f>IF(AND(Programme_Grunddaten!A396="Geprüft",Programme_Grunddaten!B396&lt;&gt;""),Programme_Grunddaten!B396,"")</f>
        <v/>
      </c>
      <c r="B391" s="1" t="str">
        <f>IF(AND(Programme_Grunddaten!$A396="Geprüft",Programme_Grunddaten!I396&lt;&gt;""),IF(Programme_Grunddaten!I396="Ja",1,0),"")</f>
        <v/>
      </c>
      <c r="C391" s="1" t="str">
        <f>IF(AND(Programme_Grunddaten!$A396="Geprüft",Programme_Grunddaten!J396&lt;&gt;""),IF(Programme_Grunddaten!J396="Ja",1,0),"")</f>
        <v/>
      </c>
      <c r="D391" s="1" t="str">
        <f>IF(AND(Programme_Grunddaten!$A396="Geprüft",Programme_Grunddaten!K396&lt;&gt;""),IF(Programme_Grunddaten!K396="Ja",1,0),"")</f>
        <v/>
      </c>
      <c r="E391" s="1" t="str">
        <f>IF(AND(Programme_Grunddaten!$A396="Geprüft",Programme_Grunddaten!L396&lt;&gt;""),IF(Programme_Grunddaten!L396="Abo / befristete Lizenz",1,0),"")</f>
        <v/>
      </c>
      <c r="F391" s="1" t="str">
        <f>IF(AND(Programme_Grunddaten!$A396="Geprüft",Programme_Grunddaten!M396&lt;&gt;""),IF(Programme_Grunddaten!M396="Ja",1,0),"")</f>
        <v/>
      </c>
      <c r="G391" s="1" t="str">
        <f>IF(AND(Programme_Grunddaten!$A396="Geprüft",Programme_Grunddaten!N396&lt;&gt;""),IF(Programme_Grunddaten!N396="Ja",1,0),"")</f>
        <v/>
      </c>
      <c r="H391" s="1" t="str">
        <f>IF(AND(Programme_Grunddaten!$A396="Geprüft",Programme_Grunddaten!O396&lt;&gt;""),IF(Programme_Grunddaten!O396="Deutschland",0,IF(Programme_Grunddaten!O396="EU",1,2)),"")</f>
        <v/>
      </c>
      <c r="I391" s="1" t="str">
        <f>IF(AND(Programme_Grunddaten!$A396="Geprüft",Programme_Grunddaten!P396&lt;&gt;""),IF(Programme_Grunddaten!P396="Ja",1,0),"")</f>
        <v/>
      </c>
      <c r="J391" s="1" t="str">
        <f>IF(AND(Programme_Grunddaten!$A396="Geprüft",Programme_Grunddaten!Q396&lt;&gt;""),IF(Programme_Grunddaten!Q396="geschlossenes System",1,0),"")</f>
        <v/>
      </c>
      <c r="K391" s="1" t="str">
        <f>IF(AND(Programme_Grunddaten!$A396="Geprüft",Programme_Grunddaten!R396&lt;&gt;""),IF(Programme_Grunddaten!R396="Ja",1,0),"")</f>
        <v/>
      </c>
      <c r="L391" s="1" t="str">
        <f>IF(AND(Programme_Grunddaten!$A396="Geprüft",Programme_Grunddaten!T396&lt;&gt;""),IF(Programme_Grunddaten!T396="Ja",1,0),"")</f>
        <v/>
      </c>
      <c r="M391" s="1" t="str">
        <f>IF(AND(Programme_Grunddaten!$A396="Geprüft",Programme_Grunddaten!U396&lt;&gt;""),IF(Programme_Grunddaten!U396="Ja",1,0),"")</f>
        <v/>
      </c>
      <c r="N391" s="1" t="str">
        <f>IF(AND(Programme_Grunddaten!$A396="Geprüft",Programme_Grunddaten!V396&lt;&gt;""),IF(Programme_Grunddaten!V396="Ja",1,0),"")</f>
        <v/>
      </c>
      <c r="O391" s="1" t="str">
        <f>IF(AND(Programme_Grunddaten!$A396="Geprüft",Programme_Grunddaten!W396&lt;&gt;""),IF(Programme_Grunddaten!W396="Ja",1,0),"")</f>
        <v/>
      </c>
      <c r="P391" s="1" t="str">
        <f>IF(AND(Programme_Grunddaten!$A396="Geprüft",Programme_Grunddaten!X396&lt;&gt;""),IF(Programme_Grunddaten!X396="Ja",1,0),"")</f>
        <v/>
      </c>
      <c r="Q391" s="1" t="str">
        <f>IF(AND(Programme_Grunddaten!$A396="Geprüft",Programme_Grunddaten!Y396&lt;&gt;""),IF(Programme_Grunddaten!Y396="Ja",1,0),"")</f>
        <v/>
      </c>
      <c r="R391" s="1" t="str">
        <f>IF(AND(Programme_Grunddaten!$A396="Geprüft",Programme_Grunddaten!Z396&lt;&gt;""),IF(Programme_Grunddaten!Z396="Ja",1,0),"")</f>
        <v/>
      </c>
      <c r="S391" s="1" t="str">
        <f>IF(AND(Programme_Grunddaten!$A396="Geprüft",Programme_Grunddaten!AA396&lt;&gt;""),IF(Programme_Grunddaten!AA396="monolithisch",1,0),"")</f>
        <v/>
      </c>
      <c r="T391" s="1" t="str">
        <f>IF(AND(Programme_Grunddaten!$A396="Geprüft",Programme_Grunddaten!AB396&lt;&gt;""),IF(Programme_Grunddaten!AB396="Ja",1,0),"")</f>
        <v/>
      </c>
      <c r="U391" s="1" t="str">
        <f>IF(AND(Programme_Grunddaten!$A396="Geprüft",Programme_Grunddaten!AC396&lt;&gt;""),IF(Programme_Grunddaten!AC396="Ja",1,0),"")</f>
        <v/>
      </c>
      <c r="V391" s="1" t="str">
        <f>IF(AND(Programme_Grunddaten!$A396="Geprüft",Programme_Grunddaten!AD396&lt;&gt;""),IF(Programme_Grunddaten!AD396="Ja",1,0),"")</f>
        <v/>
      </c>
      <c r="W391" s="1" t="str">
        <f>IF(AND(Programme_Grunddaten!$A396="Geprüft",Programme_Grunddaten!AE396&lt;&gt;""),IF(Programme_Grunddaten!AE396="Ja",1,0),"")</f>
        <v/>
      </c>
      <c r="X391" s="1" t="str">
        <f>IF(AND(Programme_Grunddaten!$A396="Geprüft",Programme_Grunddaten!AF396&lt;&gt;""),IF(Programme_Grunddaten!AF396="Ja",1,0),"")</f>
        <v/>
      </c>
      <c r="Y391" s="1" t="str">
        <f>IF(AND(Programme_Grunddaten!$A396="Geprüft",Programme_Grunddaten!AG396&lt;&gt;""),IF(Programme_Grunddaten!AG396="Ja",1,0),"")</f>
        <v/>
      </c>
      <c r="Z391" s="1" t="str">
        <f>IF(AND(Programme_Grunddaten!$A396="Geprüft",Programme_Grunddaten!AH396&lt;&gt;""),IF(Programme_Grunddaten!AH396="Ja",1,0),"")</f>
        <v/>
      </c>
      <c r="AA391" s="1" t="str">
        <f>IF(AND(Programme_Grunddaten!$A396="Geprüft",Programme_Grunddaten!AI396&lt;&gt;""),IF(Programme_Grunddaten!AI396="Ja",1,0),"")</f>
        <v/>
      </c>
      <c r="AB391" s="1" t="str">
        <f>IF(AND(Programme_Grunddaten!$A396="Geprüft",Programme_Grunddaten!AJ396&lt;&gt;""),IF(Programme_Grunddaten!AJ396="individuell programmierbar",1,0),"")</f>
        <v/>
      </c>
      <c r="AC391" s="1" t="str">
        <f>IF(AND(Programme_Grunddaten!$A396="Geprüft",Programme_Grunddaten!AK396&lt;&gt;""),IF(Programme_Grunddaten!AK396="Deutsch",0,IF(Programme_Grunddaten!AK396="Deutsch und Englisch",1,2)),"")</f>
        <v/>
      </c>
      <c r="AD391" s="1" t="str">
        <f>IF(AND(Programme_Grunddaten!$A396="Geprüft",Programme_Grunddaten!AL396&lt;&gt;""),IF(Programme_Grunddaten!AL396="Ja",1,0),"")</f>
        <v/>
      </c>
      <c r="AE391" s="1" t="str">
        <f>IF(AND(Programme_Grunddaten!$A396="Geprüft",Programme_Grunddaten!AM396&lt;&gt;""),IF(Programme_Grunddaten!AM396="Ja",1,0),"")</f>
        <v/>
      </c>
      <c r="AF391" s="1" t="str">
        <f>IF(AND(Programme_Grunddaten!$A396="Geprüft",Programme_Grunddaten!AN396&lt;&gt;""),IF(Programme_Grunddaten!AN396="Ja",1,0),"")</f>
        <v/>
      </c>
      <c r="AG391" s="1" t="str">
        <f>IF(AND(Programme_Grunddaten!$A396="Geprüft",Programme_Grunddaten!AO396&lt;&gt;""),IF(Programme_Grunddaten!AO396="Ja",1,0),"")</f>
        <v/>
      </c>
      <c r="AH391" s="1" t="str">
        <f>IF(AND(Programme_Grunddaten!$A396="Geprüft",Programme_Grunddaten!AP396&lt;&gt;""),IF(Programme_Grunddaten!AP396="Ja",1,0),"")</f>
        <v/>
      </c>
      <c r="AI391" s="1" t="str">
        <f>IF(AND(Programme_Grunddaten!$A396="Geprüft",Programme_Grunddaten!AQ396&lt;&gt;""),IF(Programme_Grunddaten!AQ396="Ja",1,0),"")</f>
        <v/>
      </c>
      <c r="AJ391" s="1" t="str">
        <f>IF(AND(Programme_Grunddaten!$A396="Geprüft",Programme_Grunddaten!AR396&lt;&gt;""),IF(Programme_Grunddaten!AR396="Ja",1,0),"")</f>
        <v/>
      </c>
      <c r="AK391" s="1" t="str">
        <f>IF(AND(Programme_Grunddaten!$A396="Geprüft",Programme_Grunddaten!AS396&lt;&gt;""),IF(Programme_Grunddaten!AS396="Ja",1,0),"")</f>
        <v/>
      </c>
      <c r="AL391" s="1" t="str">
        <f>IF(AND(Programme_Grunddaten!$A396="Geprüft",Programme_Grunddaten!AT396&lt;&gt;""),IF(Programme_Grunddaten!AT396="Ja",1,0),"")</f>
        <v/>
      </c>
      <c r="AM391" s="1" t="str">
        <f>IF(AND(Programme_Grunddaten!$A396="Geprüft",Programme_Grunddaten!AU396&lt;&gt;""),IF(Programme_Grunddaten!AU396="Ja",1,0),"")</f>
        <v/>
      </c>
      <c r="AN391" s="1" t="str">
        <f>IF(AND(Programme_Grunddaten!$A396="Geprüft",Programme_Grunddaten!AV396&lt;&gt;""),IF(Programme_Grunddaten!AV396="Ja",1,0),"")</f>
        <v/>
      </c>
    </row>
    <row r="392" spans="1:40" x14ac:dyDescent="0.3">
      <c r="A392" s="1" t="str">
        <f>IF(AND(Programme_Grunddaten!A397="Geprüft",Programme_Grunddaten!B397&lt;&gt;""),Programme_Grunddaten!B397,"")</f>
        <v/>
      </c>
      <c r="B392" s="1" t="str">
        <f>IF(AND(Programme_Grunddaten!$A397="Geprüft",Programme_Grunddaten!I397&lt;&gt;""),IF(Programme_Grunddaten!I397="Ja",1,0),"")</f>
        <v/>
      </c>
      <c r="C392" s="1" t="str">
        <f>IF(AND(Programme_Grunddaten!$A397="Geprüft",Programme_Grunddaten!J397&lt;&gt;""),IF(Programme_Grunddaten!J397="Ja",1,0),"")</f>
        <v/>
      </c>
      <c r="D392" s="1" t="str">
        <f>IF(AND(Programme_Grunddaten!$A397="Geprüft",Programme_Grunddaten!K397&lt;&gt;""),IF(Programme_Grunddaten!K397="Ja",1,0),"")</f>
        <v/>
      </c>
      <c r="E392" s="1" t="str">
        <f>IF(AND(Programme_Grunddaten!$A397="Geprüft",Programme_Grunddaten!L397&lt;&gt;""),IF(Programme_Grunddaten!L397="Abo / befristete Lizenz",1,0),"")</f>
        <v/>
      </c>
      <c r="F392" s="1" t="str">
        <f>IF(AND(Programme_Grunddaten!$A397="Geprüft",Programme_Grunddaten!M397&lt;&gt;""),IF(Programme_Grunddaten!M397="Ja",1,0),"")</f>
        <v/>
      </c>
      <c r="G392" s="1" t="str">
        <f>IF(AND(Programme_Grunddaten!$A397="Geprüft",Programme_Grunddaten!N397&lt;&gt;""),IF(Programme_Grunddaten!N397="Ja",1,0),"")</f>
        <v/>
      </c>
      <c r="H392" s="1" t="str">
        <f>IF(AND(Programme_Grunddaten!$A397="Geprüft",Programme_Grunddaten!O397&lt;&gt;""),IF(Programme_Grunddaten!O397="Deutschland",0,IF(Programme_Grunddaten!O397="EU",1,2)),"")</f>
        <v/>
      </c>
      <c r="I392" s="1" t="str">
        <f>IF(AND(Programme_Grunddaten!$A397="Geprüft",Programme_Grunddaten!P397&lt;&gt;""),IF(Programme_Grunddaten!P397="Ja",1,0),"")</f>
        <v/>
      </c>
      <c r="J392" s="1" t="str">
        <f>IF(AND(Programme_Grunddaten!$A397="Geprüft",Programme_Grunddaten!Q397&lt;&gt;""),IF(Programme_Grunddaten!Q397="geschlossenes System",1,0),"")</f>
        <v/>
      </c>
      <c r="K392" s="1" t="str">
        <f>IF(AND(Programme_Grunddaten!$A397="Geprüft",Programme_Grunddaten!R397&lt;&gt;""),IF(Programme_Grunddaten!R397="Ja",1,0),"")</f>
        <v/>
      </c>
      <c r="L392" s="1" t="str">
        <f>IF(AND(Programme_Grunddaten!$A397="Geprüft",Programme_Grunddaten!T397&lt;&gt;""),IF(Programme_Grunddaten!T397="Ja",1,0),"")</f>
        <v/>
      </c>
      <c r="M392" s="1" t="str">
        <f>IF(AND(Programme_Grunddaten!$A397="Geprüft",Programme_Grunddaten!U397&lt;&gt;""),IF(Programme_Grunddaten!U397="Ja",1,0),"")</f>
        <v/>
      </c>
      <c r="N392" s="1" t="str">
        <f>IF(AND(Programme_Grunddaten!$A397="Geprüft",Programme_Grunddaten!V397&lt;&gt;""),IF(Programme_Grunddaten!V397="Ja",1,0),"")</f>
        <v/>
      </c>
      <c r="O392" s="1" t="str">
        <f>IF(AND(Programme_Grunddaten!$A397="Geprüft",Programme_Grunddaten!W397&lt;&gt;""),IF(Programme_Grunddaten!W397="Ja",1,0),"")</f>
        <v/>
      </c>
      <c r="P392" s="1" t="str">
        <f>IF(AND(Programme_Grunddaten!$A397="Geprüft",Programme_Grunddaten!X397&lt;&gt;""),IF(Programme_Grunddaten!X397="Ja",1,0),"")</f>
        <v/>
      </c>
      <c r="Q392" s="1" t="str">
        <f>IF(AND(Programme_Grunddaten!$A397="Geprüft",Programme_Grunddaten!Y397&lt;&gt;""),IF(Programme_Grunddaten!Y397="Ja",1,0),"")</f>
        <v/>
      </c>
      <c r="R392" s="1" t="str">
        <f>IF(AND(Programme_Grunddaten!$A397="Geprüft",Programme_Grunddaten!Z397&lt;&gt;""),IF(Programme_Grunddaten!Z397="Ja",1,0),"")</f>
        <v/>
      </c>
      <c r="S392" s="1" t="str">
        <f>IF(AND(Programme_Grunddaten!$A397="Geprüft",Programme_Grunddaten!AA397&lt;&gt;""),IF(Programme_Grunddaten!AA397="monolithisch",1,0),"")</f>
        <v/>
      </c>
      <c r="T392" s="1" t="str">
        <f>IF(AND(Programme_Grunddaten!$A397="Geprüft",Programme_Grunddaten!AB397&lt;&gt;""),IF(Programme_Grunddaten!AB397="Ja",1,0),"")</f>
        <v/>
      </c>
      <c r="U392" s="1" t="str">
        <f>IF(AND(Programme_Grunddaten!$A397="Geprüft",Programme_Grunddaten!AC397&lt;&gt;""),IF(Programme_Grunddaten!AC397="Ja",1,0),"")</f>
        <v/>
      </c>
      <c r="V392" s="1" t="str">
        <f>IF(AND(Programme_Grunddaten!$A397="Geprüft",Programme_Grunddaten!AD397&lt;&gt;""),IF(Programme_Grunddaten!AD397="Ja",1,0),"")</f>
        <v/>
      </c>
      <c r="W392" s="1" t="str">
        <f>IF(AND(Programme_Grunddaten!$A397="Geprüft",Programme_Grunddaten!AE397&lt;&gt;""),IF(Programme_Grunddaten!AE397="Ja",1,0),"")</f>
        <v/>
      </c>
      <c r="X392" s="1" t="str">
        <f>IF(AND(Programme_Grunddaten!$A397="Geprüft",Programme_Grunddaten!AF397&lt;&gt;""),IF(Programme_Grunddaten!AF397="Ja",1,0),"")</f>
        <v/>
      </c>
      <c r="Y392" s="1" t="str">
        <f>IF(AND(Programme_Grunddaten!$A397="Geprüft",Programme_Grunddaten!AG397&lt;&gt;""),IF(Programme_Grunddaten!AG397="Ja",1,0),"")</f>
        <v/>
      </c>
      <c r="Z392" s="1" t="str">
        <f>IF(AND(Programme_Grunddaten!$A397="Geprüft",Programme_Grunddaten!AH397&lt;&gt;""),IF(Programme_Grunddaten!AH397="Ja",1,0),"")</f>
        <v/>
      </c>
      <c r="AA392" s="1" t="str">
        <f>IF(AND(Programme_Grunddaten!$A397="Geprüft",Programme_Grunddaten!AI397&lt;&gt;""),IF(Programme_Grunddaten!AI397="Ja",1,0),"")</f>
        <v/>
      </c>
      <c r="AB392" s="1" t="str">
        <f>IF(AND(Programme_Grunddaten!$A397="Geprüft",Programme_Grunddaten!AJ397&lt;&gt;""),IF(Programme_Grunddaten!AJ397="individuell programmierbar",1,0),"")</f>
        <v/>
      </c>
      <c r="AC392" s="1" t="str">
        <f>IF(AND(Programme_Grunddaten!$A397="Geprüft",Programme_Grunddaten!AK397&lt;&gt;""),IF(Programme_Grunddaten!AK397="Deutsch",0,IF(Programme_Grunddaten!AK397="Deutsch und Englisch",1,2)),"")</f>
        <v/>
      </c>
      <c r="AD392" s="1" t="str">
        <f>IF(AND(Programme_Grunddaten!$A397="Geprüft",Programme_Grunddaten!AL397&lt;&gt;""),IF(Programme_Grunddaten!AL397="Ja",1,0),"")</f>
        <v/>
      </c>
      <c r="AE392" s="1" t="str">
        <f>IF(AND(Programme_Grunddaten!$A397="Geprüft",Programme_Grunddaten!AM397&lt;&gt;""),IF(Programme_Grunddaten!AM397="Ja",1,0),"")</f>
        <v/>
      </c>
      <c r="AF392" s="1" t="str">
        <f>IF(AND(Programme_Grunddaten!$A397="Geprüft",Programme_Grunddaten!AN397&lt;&gt;""),IF(Programme_Grunddaten!AN397="Ja",1,0),"")</f>
        <v/>
      </c>
      <c r="AG392" s="1" t="str">
        <f>IF(AND(Programme_Grunddaten!$A397="Geprüft",Programme_Grunddaten!AO397&lt;&gt;""),IF(Programme_Grunddaten!AO397="Ja",1,0),"")</f>
        <v/>
      </c>
      <c r="AH392" s="1" t="str">
        <f>IF(AND(Programme_Grunddaten!$A397="Geprüft",Programme_Grunddaten!AP397&lt;&gt;""),IF(Programme_Grunddaten!AP397="Ja",1,0),"")</f>
        <v/>
      </c>
      <c r="AI392" s="1" t="str">
        <f>IF(AND(Programme_Grunddaten!$A397="Geprüft",Programme_Grunddaten!AQ397&lt;&gt;""),IF(Programme_Grunddaten!AQ397="Ja",1,0),"")</f>
        <v/>
      </c>
      <c r="AJ392" s="1" t="str">
        <f>IF(AND(Programme_Grunddaten!$A397="Geprüft",Programme_Grunddaten!AR397&lt;&gt;""),IF(Programme_Grunddaten!AR397="Ja",1,0),"")</f>
        <v/>
      </c>
      <c r="AK392" s="1" t="str">
        <f>IF(AND(Programme_Grunddaten!$A397="Geprüft",Programme_Grunddaten!AS397&lt;&gt;""),IF(Programme_Grunddaten!AS397="Ja",1,0),"")</f>
        <v/>
      </c>
      <c r="AL392" s="1" t="str">
        <f>IF(AND(Programme_Grunddaten!$A397="Geprüft",Programme_Grunddaten!AT397&lt;&gt;""),IF(Programme_Grunddaten!AT397="Ja",1,0),"")</f>
        <v/>
      </c>
      <c r="AM392" s="1" t="str">
        <f>IF(AND(Programme_Grunddaten!$A397="Geprüft",Programme_Grunddaten!AU397&lt;&gt;""),IF(Programme_Grunddaten!AU397="Ja",1,0),"")</f>
        <v/>
      </c>
      <c r="AN392" s="1" t="str">
        <f>IF(AND(Programme_Grunddaten!$A397="Geprüft",Programme_Grunddaten!AV397&lt;&gt;""),IF(Programme_Grunddaten!AV397="Ja",1,0),"")</f>
        <v/>
      </c>
    </row>
    <row r="393" spans="1:40" x14ac:dyDescent="0.3">
      <c r="A393" s="1" t="str">
        <f>IF(AND(Programme_Grunddaten!A398="Geprüft",Programme_Grunddaten!B398&lt;&gt;""),Programme_Grunddaten!B398,"")</f>
        <v/>
      </c>
      <c r="B393" s="1" t="str">
        <f>IF(AND(Programme_Grunddaten!$A398="Geprüft",Programme_Grunddaten!I398&lt;&gt;""),IF(Programme_Grunddaten!I398="Ja",1,0),"")</f>
        <v/>
      </c>
      <c r="C393" s="1" t="str">
        <f>IF(AND(Programme_Grunddaten!$A398="Geprüft",Programme_Grunddaten!J398&lt;&gt;""),IF(Programme_Grunddaten!J398="Ja",1,0),"")</f>
        <v/>
      </c>
      <c r="D393" s="1" t="str">
        <f>IF(AND(Programme_Grunddaten!$A398="Geprüft",Programme_Grunddaten!K398&lt;&gt;""),IF(Programme_Grunddaten!K398="Ja",1,0),"")</f>
        <v/>
      </c>
      <c r="E393" s="1" t="str">
        <f>IF(AND(Programme_Grunddaten!$A398="Geprüft",Programme_Grunddaten!L398&lt;&gt;""),IF(Programme_Grunddaten!L398="Abo / befristete Lizenz",1,0),"")</f>
        <v/>
      </c>
      <c r="F393" s="1" t="str">
        <f>IF(AND(Programme_Grunddaten!$A398="Geprüft",Programme_Grunddaten!M398&lt;&gt;""),IF(Programme_Grunddaten!M398="Ja",1,0),"")</f>
        <v/>
      </c>
      <c r="G393" s="1" t="str">
        <f>IF(AND(Programme_Grunddaten!$A398="Geprüft",Programme_Grunddaten!N398&lt;&gt;""),IF(Programme_Grunddaten!N398="Ja",1,0),"")</f>
        <v/>
      </c>
      <c r="H393" s="1" t="str">
        <f>IF(AND(Programme_Grunddaten!$A398="Geprüft",Programme_Grunddaten!O398&lt;&gt;""),IF(Programme_Grunddaten!O398="Deutschland",0,IF(Programme_Grunddaten!O398="EU",1,2)),"")</f>
        <v/>
      </c>
      <c r="I393" s="1" t="str">
        <f>IF(AND(Programme_Grunddaten!$A398="Geprüft",Programme_Grunddaten!P398&lt;&gt;""),IF(Programme_Grunddaten!P398="Ja",1,0),"")</f>
        <v/>
      </c>
      <c r="J393" s="1" t="str">
        <f>IF(AND(Programme_Grunddaten!$A398="Geprüft",Programme_Grunddaten!Q398&lt;&gt;""),IF(Programme_Grunddaten!Q398="geschlossenes System",1,0),"")</f>
        <v/>
      </c>
      <c r="K393" s="1" t="str">
        <f>IF(AND(Programme_Grunddaten!$A398="Geprüft",Programme_Grunddaten!R398&lt;&gt;""),IF(Programme_Grunddaten!R398="Ja",1,0),"")</f>
        <v/>
      </c>
      <c r="L393" s="1" t="str">
        <f>IF(AND(Programme_Grunddaten!$A398="Geprüft",Programme_Grunddaten!T398&lt;&gt;""),IF(Programme_Grunddaten!T398="Ja",1,0),"")</f>
        <v/>
      </c>
      <c r="M393" s="1" t="str">
        <f>IF(AND(Programme_Grunddaten!$A398="Geprüft",Programme_Grunddaten!U398&lt;&gt;""),IF(Programme_Grunddaten!U398="Ja",1,0),"")</f>
        <v/>
      </c>
      <c r="N393" s="1" t="str">
        <f>IF(AND(Programme_Grunddaten!$A398="Geprüft",Programme_Grunddaten!V398&lt;&gt;""),IF(Programme_Grunddaten!V398="Ja",1,0),"")</f>
        <v/>
      </c>
      <c r="O393" s="1" t="str">
        <f>IF(AND(Programme_Grunddaten!$A398="Geprüft",Programme_Grunddaten!W398&lt;&gt;""),IF(Programme_Grunddaten!W398="Ja",1,0),"")</f>
        <v/>
      </c>
      <c r="P393" s="1" t="str">
        <f>IF(AND(Programme_Grunddaten!$A398="Geprüft",Programme_Grunddaten!X398&lt;&gt;""),IF(Programme_Grunddaten!X398="Ja",1,0),"")</f>
        <v/>
      </c>
      <c r="Q393" s="1" t="str">
        <f>IF(AND(Programme_Grunddaten!$A398="Geprüft",Programme_Grunddaten!Y398&lt;&gt;""),IF(Programme_Grunddaten!Y398="Ja",1,0),"")</f>
        <v/>
      </c>
      <c r="R393" s="1" t="str">
        <f>IF(AND(Programme_Grunddaten!$A398="Geprüft",Programme_Grunddaten!Z398&lt;&gt;""),IF(Programme_Grunddaten!Z398="Ja",1,0),"")</f>
        <v/>
      </c>
      <c r="S393" s="1" t="str">
        <f>IF(AND(Programme_Grunddaten!$A398="Geprüft",Programme_Grunddaten!AA398&lt;&gt;""),IF(Programme_Grunddaten!AA398="monolithisch",1,0),"")</f>
        <v/>
      </c>
      <c r="T393" s="1" t="str">
        <f>IF(AND(Programme_Grunddaten!$A398="Geprüft",Programme_Grunddaten!AB398&lt;&gt;""),IF(Programme_Grunddaten!AB398="Ja",1,0),"")</f>
        <v/>
      </c>
      <c r="U393" s="1" t="str">
        <f>IF(AND(Programme_Grunddaten!$A398="Geprüft",Programme_Grunddaten!AC398&lt;&gt;""),IF(Programme_Grunddaten!AC398="Ja",1,0),"")</f>
        <v/>
      </c>
      <c r="V393" s="1" t="str">
        <f>IF(AND(Programme_Grunddaten!$A398="Geprüft",Programme_Grunddaten!AD398&lt;&gt;""),IF(Programme_Grunddaten!AD398="Ja",1,0),"")</f>
        <v/>
      </c>
      <c r="W393" s="1" t="str">
        <f>IF(AND(Programme_Grunddaten!$A398="Geprüft",Programme_Grunddaten!AE398&lt;&gt;""),IF(Programme_Grunddaten!AE398="Ja",1,0),"")</f>
        <v/>
      </c>
      <c r="X393" s="1" t="str">
        <f>IF(AND(Programme_Grunddaten!$A398="Geprüft",Programme_Grunddaten!AF398&lt;&gt;""),IF(Programme_Grunddaten!AF398="Ja",1,0),"")</f>
        <v/>
      </c>
      <c r="Y393" s="1" t="str">
        <f>IF(AND(Programme_Grunddaten!$A398="Geprüft",Programme_Grunddaten!AG398&lt;&gt;""),IF(Programme_Grunddaten!AG398="Ja",1,0),"")</f>
        <v/>
      </c>
      <c r="Z393" s="1" t="str">
        <f>IF(AND(Programme_Grunddaten!$A398="Geprüft",Programme_Grunddaten!AH398&lt;&gt;""),IF(Programme_Grunddaten!AH398="Ja",1,0),"")</f>
        <v/>
      </c>
      <c r="AA393" s="1" t="str">
        <f>IF(AND(Programme_Grunddaten!$A398="Geprüft",Programme_Grunddaten!AI398&lt;&gt;""),IF(Programme_Grunddaten!AI398="Ja",1,0),"")</f>
        <v/>
      </c>
      <c r="AB393" s="1" t="str">
        <f>IF(AND(Programme_Grunddaten!$A398="Geprüft",Programme_Grunddaten!AJ398&lt;&gt;""),IF(Programme_Grunddaten!AJ398="individuell programmierbar",1,0),"")</f>
        <v/>
      </c>
      <c r="AC393" s="1" t="str">
        <f>IF(AND(Programme_Grunddaten!$A398="Geprüft",Programme_Grunddaten!AK398&lt;&gt;""),IF(Programme_Grunddaten!AK398="Deutsch",0,IF(Programme_Grunddaten!AK398="Deutsch und Englisch",1,2)),"")</f>
        <v/>
      </c>
      <c r="AD393" s="1" t="str">
        <f>IF(AND(Programme_Grunddaten!$A398="Geprüft",Programme_Grunddaten!AL398&lt;&gt;""),IF(Programme_Grunddaten!AL398="Ja",1,0),"")</f>
        <v/>
      </c>
      <c r="AE393" s="1" t="str">
        <f>IF(AND(Programme_Grunddaten!$A398="Geprüft",Programme_Grunddaten!AM398&lt;&gt;""),IF(Programme_Grunddaten!AM398="Ja",1,0),"")</f>
        <v/>
      </c>
      <c r="AF393" s="1" t="str">
        <f>IF(AND(Programme_Grunddaten!$A398="Geprüft",Programme_Grunddaten!AN398&lt;&gt;""),IF(Programme_Grunddaten!AN398="Ja",1,0),"")</f>
        <v/>
      </c>
      <c r="AG393" s="1" t="str">
        <f>IF(AND(Programme_Grunddaten!$A398="Geprüft",Programme_Grunddaten!AO398&lt;&gt;""),IF(Programme_Grunddaten!AO398="Ja",1,0),"")</f>
        <v/>
      </c>
      <c r="AH393" s="1" t="str">
        <f>IF(AND(Programme_Grunddaten!$A398="Geprüft",Programme_Grunddaten!AP398&lt;&gt;""),IF(Programme_Grunddaten!AP398="Ja",1,0),"")</f>
        <v/>
      </c>
      <c r="AI393" s="1" t="str">
        <f>IF(AND(Programme_Grunddaten!$A398="Geprüft",Programme_Grunddaten!AQ398&lt;&gt;""),IF(Programme_Grunddaten!AQ398="Ja",1,0),"")</f>
        <v/>
      </c>
      <c r="AJ393" s="1" t="str">
        <f>IF(AND(Programme_Grunddaten!$A398="Geprüft",Programme_Grunddaten!AR398&lt;&gt;""),IF(Programme_Grunddaten!AR398="Ja",1,0),"")</f>
        <v/>
      </c>
      <c r="AK393" s="1" t="str">
        <f>IF(AND(Programme_Grunddaten!$A398="Geprüft",Programme_Grunddaten!AS398&lt;&gt;""),IF(Programme_Grunddaten!AS398="Ja",1,0),"")</f>
        <v/>
      </c>
      <c r="AL393" s="1" t="str">
        <f>IF(AND(Programme_Grunddaten!$A398="Geprüft",Programme_Grunddaten!AT398&lt;&gt;""),IF(Programme_Grunddaten!AT398="Ja",1,0),"")</f>
        <v/>
      </c>
      <c r="AM393" s="1" t="str">
        <f>IF(AND(Programme_Grunddaten!$A398="Geprüft",Programme_Grunddaten!AU398&lt;&gt;""),IF(Programme_Grunddaten!AU398="Ja",1,0),"")</f>
        <v/>
      </c>
      <c r="AN393" s="1" t="str">
        <f>IF(AND(Programme_Grunddaten!$A398="Geprüft",Programme_Grunddaten!AV398&lt;&gt;""),IF(Programme_Grunddaten!AV398="Ja",1,0),"")</f>
        <v/>
      </c>
    </row>
    <row r="394" spans="1:40" x14ac:dyDescent="0.3">
      <c r="A394" s="1" t="str">
        <f>IF(AND(Programme_Grunddaten!A399="Geprüft",Programme_Grunddaten!B399&lt;&gt;""),Programme_Grunddaten!B399,"")</f>
        <v/>
      </c>
      <c r="B394" s="1" t="str">
        <f>IF(AND(Programme_Grunddaten!$A399="Geprüft",Programme_Grunddaten!I399&lt;&gt;""),IF(Programme_Grunddaten!I399="Ja",1,0),"")</f>
        <v/>
      </c>
      <c r="C394" s="1" t="str">
        <f>IF(AND(Programme_Grunddaten!$A399="Geprüft",Programme_Grunddaten!J399&lt;&gt;""),IF(Programme_Grunddaten!J399="Ja",1,0),"")</f>
        <v/>
      </c>
      <c r="D394" s="1" t="str">
        <f>IF(AND(Programme_Grunddaten!$A399="Geprüft",Programme_Grunddaten!K399&lt;&gt;""),IF(Programme_Grunddaten!K399="Ja",1,0),"")</f>
        <v/>
      </c>
      <c r="E394" s="1" t="str">
        <f>IF(AND(Programme_Grunddaten!$A399="Geprüft",Programme_Grunddaten!L399&lt;&gt;""),IF(Programme_Grunddaten!L399="Abo / befristete Lizenz",1,0),"")</f>
        <v/>
      </c>
      <c r="F394" s="1" t="str">
        <f>IF(AND(Programme_Grunddaten!$A399="Geprüft",Programme_Grunddaten!M399&lt;&gt;""),IF(Programme_Grunddaten!M399="Ja",1,0),"")</f>
        <v/>
      </c>
      <c r="G394" s="1" t="str">
        <f>IF(AND(Programme_Grunddaten!$A399="Geprüft",Programme_Grunddaten!N399&lt;&gt;""),IF(Programme_Grunddaten!N399="Ja",1,0),"")</f>
        <v/>
      </c>
      <c r="H394" s="1" t="str">
        <f>IF(AND(Programme_Grunddaten!$A399="Geprüft",Programme_Grunddaten!O399&lt;&gt;""),IF(Programme_Grunddaten!O399="Deutschland",0,IF(Programme_Grunddaten!O399="EU",1,2)),"")</f>
        <v/>
      </c>
      <c r="I394" s="1" t="str">
        <f>IF(AND(Programme_Grunddaten!$A399="Geprüft",Programme_Grunddaten!P399&lt;&gt;""),IF(Programme_Grunddaten!P399="Ja",1,0),"")</f>
        <v/>
      </c>
      <c r="J394" s="1" t="str">
        <f>IF(AND(Programme_Grunddaten!$A399="Geprüft",Programme_Grunddaten!Q399&lt;&gt;""),IF(Programme_Grunddaten!Q399="geschlossenes System",1,0),"")</f>
        <v/>
      </c>
      <c r="K394" s="1" t="str">
        <f>IF(AND(Programme_Grunddaten!$A399="Geprüft",Programme_Grunddaten!R399&lt;&gt;""),IF(Programme_Grunddaten!R399="Ja",1,0),"")</f>
        <v/>
      </c>
      <c r="L394" s="1" t="str">
        <f>IF(AND(Programme_Grunddaten!$A399="Geprüft",Programme_Grunddaten!T399&lt;&gt;""),IF(Programme_Grunddaten!T399="Ja",1,0),"")</f>
        <v/>
      </c>
      <c r="M394" s="1" t="str">
        <f>IF(AND(Programme_Grunddaten!$A399="Geprüft",Programme_Grunddaten!U399&lt;&gt;""),IF(Programme_Grunddaten!U399="Ja",1,0),"")</f>
        <v/>
      </c>
      <c r="N394" s="1" t="str">
        <f>IF(AND(Programme_Grunddaten!$A399="Geprüft",Programme_Grunddaten!V399&lt;&gt;""),IF(Programme_Grunddaten!V399="Ja",1,0),"")</f>
        <v/>
      </c>
      <c r="O394" s="1" t="str">
        <f>IF(AND(Programme_Grunddaten!$A399="Geprüft",Programme_Grunddaten!W399&lt;&gt;""),IF(Programme_Grunddaten!W399="Ja",1,0),"")</f>
        <v/>
      </c>
      <c r="P394" s="1" t="str">
        <f>IF(AND(Programme_Grunddaten!$A399="Geprüft",Programme_Grunddaten!X399&lt;&gt;""),IF(Programme_Grunddaten!X399="Ja",1,0),"")</f>
        <v/>
      </c>
      <c r="Q394" s="1" t="str">
        <f>IF(AND(Programme_Grunddaten!$A399="Geprüft",Programme_Grunddaten!Y399&lt;&gt;""),IF(Programme_Grunddaten!Y399="Ja",1,0),"")</f>
        <v/>
      </c>
      <c r="R394" s="1" t="str">
        <f>IF(AND(Programme_Grunddaten!$A399="Geprüft",Programme_Grunddaten!Z399&lt;&gt;""),IF(Programme_Grunddaten!Z399="Ja",1,0),"")</f>
        <v/>
      </c>
      <c r="S394" s="1" t="str">
        <f>IF(AND(Programme_Grunddaten!$A399="Geprüft",Programme_Grunddaten!AA399&lt;&gt;""),IF(Programme_Grunddaten!AA399="monolithisch",1,0),"")</f>
        <v/>
      </c>
      <c r="T394" s="1" t="str">
        <f>IF(AND(Programme_Grunddaten!$A399="Geprüft",Programme_Grunddaten!AB399&lt;&gt;""),IF(Programme_Grunddaten!AB399="Ja",1,0),"")</f>
        <v/>
      </c>
      <c r="U394" s="1" t="str">
        <f>IF(AND(Programme_Grunddaten!$A399="Geprüft",Programme_Grunddaten!AC399&lt;&gt;""),IF(Programme_Grunddaten!AC399="Ja",1,0),"")</f>
        <v/>
      </c>
      <c r="V394" s="1" t="str">
        <f>IF(AND(Programme_Grunddaten!$A399="Geprüft",Programme_Grunddaten!AD399&lt;&gt;""),IF(Programme_Grunddaten!AD399="Ja",1,0),"")</f>
        <v/>
      </c>
      <c r="W394" s="1" t="str">
        <f>IF(AND(Programme_Grunddaten!$A399="Geprüft",Programme_Grunddaten!AE399&lt;&gt;""),IF(Programme_Grunddaten!AE399="Ja",1,0),"")</f>
        <v/>
      </c>
      <c r="X394" s="1" t="str">
        <f>IF(AND(Programme_Grunddaten!$A399="Geprüft",Programme_Grunddaten!AF399&lt;&gt;""),IF(Programme_Grunddaten!AF399="Ja",1,0),"")</f>
        <v/>
      </c>
      <c r="Y394" s="1" t="str">
        <f>IF(AND(Programme_Grunddaten!$A399="Geprüft",Programme_Grunddaten!AG399&lt;&gt;""),IF(Programme_Grunddaten!AG399="Ja",1,0),"")</f>
        <v/>
      </c>
      <c r="Z394" s="1" t="str">
        <f>IF(AND(Programme_Grunddaten!$A399="Geprüft",Programme_Grunddaten!AH399&lt;&gt;""),IF(Programme_Grunddaten!AH399="Ja",1,0),"")</f>
        <v/>
      </c>
      <c r="AA394" s="1" t="str">
        <f>IF(AND(Programme_Grunddaten!$A399="Geprüft",Programme_Grunddaten!AI399&lt;&gt;""),IF(Programme_Grunddaten!AI399="Ja",1,0),"")</f>
        <v/>
      </c>
      <c r="AB394" s="1" t="str">
        <f>IF(AND(Programme_Grunddaten!$A399="Geprüft",Programme_Grunddaten!AJ399&lt;&gt;""),IF(Programme_Grunddaten!AJ399="individuell programmierbar",1,0),"")</f>
        <v/>
      </c>
      <c r="AC394" s="1" t="str">
        <f>IF(AND(Programme_Grunddaten!$A399="Geprüft",Programme_Grunddaten!AK399&lt;&gt;""),IF(Programme_Grunddaten!AK399="Deutsch",0,IF(Programme_Grunddaten!AK399="Deutsch und Englisch",1,2)),"")</f>
        <v/>
      </c>
      <c r="AD394" s="1" t="str">
        <f>IF(AND(Programme_Grunddaten!$A399="Geprüft",Programme_Grunddaten!AL399&lt;&gt;""),IF(Programme_Grunddaten!AL399="Ja",1,0),"")</f>
        <v/>
      </c>
      <c r="AE394" s="1" t="str">
        <f>IF(AND(Programme_Grunddaten!$A399="Geprüft",Programme_Grunddaten!AM399&lt;&gt;""),IF(Programme_Grunddaten!AM399="Ja",1,0),"")</f>
        <v/>
      </c>
      <c r="AF394" s="1" t="str">
        <f>IF(AND(Programme_Grunddaten!$A399="Geprüft",Programme_Grunddaten!AN399&lt;&gt;""),IF(Programme_Grunddaten!AN399="Ja",1,0),"")</f>
        <v/>
      </c>
      <c r="AG394" s="1" t="str">
        <f>IF(AND(Programme_Grunddaten!$A399="Geprüft",Programme_Grunddaten!AO399&lt;&gt;""),IF(Programme_Grunddaten!AO399="Ja",1,0),"")</f>
        <v/>
      </c>
      <c r="AH394" s="1" t="str">
        <f>IF(AND(Programme_Grunddaten!$A399="Geprüft",Programme_Grunddaten!AP399&lt;&gt;""),IF(Programme_Grunddaten!AP399="Ja",1,0),"")</f>
        <v/>
      </c>
      <c r="AI394" s="1" t="str">
        <f>IF(AND(Programme_Grunddaten!$A399="Geprüft",Programme_Grunddaten!AQ399&lt;&gt;""),IF(Programme_Grunddaten!AQ399="Ja",1,0),"")</f>
        <v/>
      </c>
      <c r="AJ394" s="1" t="str">
        <f>IF(AND(Programme_Grunddaten!$A399="Geprüft",Programme_Grunddaten!AR399&lt;&gt;""),IF(Programme_Grunddaten!AR399="Ja",1,0),"")</f>
        <v/>
      </c>
      <c r="AK394" s="1" t="str">
        <f>IF(AND(Programme_Grunddaten!$A399="Geprüft",Programme_Grunddaten!AS399&lt;&gt;""),IF(Programme_Grunddaten!AS399="Ja",1,0),"")</f>
        <v/>
      </c>
      <c r="AL394" s="1" t="str">
        <f>IF(AND(Programme_Grunddaten!$A399="Geprüft",Programme_Grunddaten!AT399&lt;&gt;""),IF(Programme_Grunddaten!AT399="Ja",1,0),"")</f>
        <v/>
      </c>
      <c r="AM394" s="1" t="str">
        <f>IF(AND(Programme_Grunddaten!$A399="Geprüft",Programme_Grunddaten!AU399&lt;&gt;""),IF(Programme_Grunddaten!AU399="Ja",1,0),"")</f>
        <v/>
      </c>
      <c r="AN394" s="1" t="str">
        <f>IF(AND(Programme_Grunddaten!$A399="Geprüft",Programme_Grunddaten!AV399&lt;&gt;""),IF(Programme_Grunddaten!AV399="Ja",1,0),"")</f>
        <v/>
      </c>
    </row>
    <row r="395" spans="1:40" x14ac:dyDescent="0.3">
      <c r="A395" s="1" t="str">
        <f>IF(AND(Programme_Grunddaten!A400="Geprüft",Programme_Grunddaten!B400&lt;&gt;""),Programme_Grunddaten!B400,"")</f>
        <v/>
      </c>
      <c r="B395" s="1" t="str">
        <f>IF(AND(Programme_Grunddaten!$A400="Geprüft",Programme_Grunddaten!I400&lt;&gt;""),IF(Programme_Grunddaten!I400="Ja",1,0),"")</f>
        <v/>
      </c>
      <c r="C395" s="1" t="str">
        <f>IF(AND(Programme_Grunddaten!$A400="Geprüft",Programme_Grunddaten!J400&lt;&gt;""),IF(Programme_Grunddaten!J400="Ja",1,0),"")</f>
        <v/>
      </c>
      <c r="D395" s="1" t="str">
        <f>IF(AND(Programme_Grunddaten!$A400="Geprüft",Programme_Grunddaten!K400&lt;&gt;""),IF(Programme_Grunddaten!K400="Ja",1,0),"")</f>
        <v/>
      </c>
      <c r="E395" s="1" t="str">
        <f>IF(AND(Programme_Grunddaten!$A400="Geprüft",Programme_Grunddaten!L400&lt;&gt;""),IF(Programme_Grunddaten!L400="Abo / befristete Lizenz",1,0),"")</f>
        <v/>
      </c>
      <c r="F395" s="1" t="str">
        <f>IF(AND(Programme_Grunddaten!$A400="Geprüft",Programme_Grunddaten!M400&lt;&gt;""),IF(Programme_Grunddaten!M400="Ja",1,0),"")</f>
        <v/>
      </c>
      <c r="G395" s="1" t="str">
        <f>IF(AND(Programme_Grunddaten!$A400="Geprüft",Programme_Grunddaten!N400&lt;&gt;""),IF(Programme_Grunddaten!N400="Ja",1,0),"")</f>
        <v/>
      </c>
      <c r="H395" s="1" t="str">
        <f>IF(AND(Programme_Grunddaten!$A400="Geprüft",Programme_Grunddaten!O400&lt;&gt;""),IF(Programme_Grunddaten!O400="Deutschland",0,IF(Programme_Grunddaten!O400="EU",1,2)),"")</f>
        <v/>
      </c>
      <c r="I395" s="1" t="str">
        <f>IF(AND(Programme_Grunddaten!$A400="Geprüft",Programme_Grunddaten!P400&lt;&gt;""),IF(Programme_Grunddaten!P400="Ja",1,0),"")</f>
        <v/>
      </c>
      <c r="J395" s="1" t="str">
        <f>IF(AND(Programme_Grunddaten!$A400="Geprüft",Programme_Grunddaten!Q400&lt;&gt;""),IF(Programme_Grunddaten!Q400="geschlossenes System",1,0),"")</f>
        <v/>
      </c>
      <c r="K395" s="1" t="str">
        <f>IF(AND(Programme_Grunddaten!$A400="Geprüft",Programme_Grunddaten!R400&lt;&gt;""),IF(Programme_Grunddaten!R400="Ja",1,0),"")</f>
        <v/>
      </c>
      <c r="L395" s="1" t="str">
        <f>IF(AND(Programme_Grunddaten!$A400="Geprüft",Programme_Grunddaten!T400&lt;&gt;""),IF(Programme_Grunddaten!T400="Ja",1,0),"")</f>
        <v/>
      </c>
      <c r="M395" s="1" t="str">
        <f>IF(AND(Programme_Grunddaten!$A400="Geprüft",Programme_Grunddaten!U400&lt;&gt;""),IF(Programme_Grunddaten!U400="Ja",1,0),"")</f>
        <v/>
      </c>
      <c r="N395" s="1" t="str">
        <f>IF(AND(Programme_Grunddaten!$A400="Geprüft",Programme_Grunddaten!V400&lt;&gt;""),IF(Programme_Grunddaten!V400="Ja",1,0),"")</f>
        <v/>
      </c>
      <c r="O395" s="1" t="str">
        <f>IF(AND(Programme_Grunddaten!$A400="Geprüft",Programme_Grunddaten!W400&lt;&gt;""),IF(Programme_Grunddaten!W400="Ja",1,0),"")</f>
        <v/>
      </c>
      <c r="P395" s="1" t="str">
        <f>IF(AND(Programme_Grunddaten!$A400="Geprüft",Programme_Grunddaten!X400&lt;&gt;""),IF(Programme_Grunddaten!X400="Ja",1,0),"")</f>
        <v/>
      </c>
      <c r="Q395" s="1" t="str">
        <f>IF(AND(Programme_Grunddaten!$A400="Geprüft",Programme_Grunddaten!Y400&lt;&gt;""),IF(Programme_Grunddaten!Y400="Ja",1,0),"")</f>
        <v/>
      </c>
      <c r="R395" s="1" t="str">
        <f>IF(AND(Programme_Grunddaten!$A400="Geprüft",Programme_Grunddaten!Z400&lt;&gt;""),IF(Programme_Grunddaten!Z400="Ja",1,0),"")</f>
        <v/>
      </c>
      <c r="S395" s="1" t="str">
        <f>IF(AND(Programme_Grunddaten!$A400="Geprüft",Programme_Grunddaten!AA400&lt;&gt;""),IF(Programme_Grunddaten!AA400="monolithisch",1,0),"")</f>
        <v/>
      </c>
      <c r="T395" s="1" t="str">
        <f>IF(AND(Programme_Grunddaten!$A400="Geprüft",Programme_Grunddaten!AB400&lt;&gt;""),IF(Programme_Grunddaten!AB400="Ja",1,0),"")</f>
        <v/>
      </c>
      <c r="U395" s="1" t="str">
        <f>IF(AND(Programme_Grunddaten!$A400="Geprüft",Programme_Grunddaten!AC400&lt;&gt;""),IF(Programme_Grunddaten!AC400="Ja",1,0),"")</f>
        <v/>
      </c>
      <c r="V395" s="1" t="str">
        <f>IF(AND(Programme_Grunddaten!$A400="Geprüft",Programme_Grunddaten!AD400&lt;&gt;""),IF(Programme_Grunddaten!AD400="Ja",1,0),"")</f>
        <v/>
      </c>
      <c r="W395" s="1" t="str">
        <f>IF(AND(Programme_Grunddaten!$A400="Geprüft",Programme_Grunddaten!AE400&lt;&gt;""),IF(Programme_Grunddaten!AE400="Ja",1,0),"")</f>
        <v/>
      </c>
      <c r="X395" s="1" t="str">
        <f>IF(AND(Programme_Grunddaten!$A400="Geprüft",Programme_Grunddaten!AF400&lt;&gt;""),IF(Programme_Grunddaten!AF400="Ja",1,0),"")</f>
        <v/>
      </c>
      <c r="Y395" s="1" t="str">
        <f>IF(AND(Programme_Grunddaten!$A400="Geprüft",Programme_Grunddaten!AG400&lt;&gt;""),IF(Programme_Grunddaten!AG400="Ja",1,0),"")</f>
        <v/>
      </c>
      <c r="Z395" s="1" t="str">
        <f>IF(AND(Programme_Grunddaten!$A400="Geprüft",Programme_Grunddaten!AH400&lt;&gt;""),IF(Programme_Grunddaten!AH400="Ja",1,0),"")</f>
        <v/>
      </c>
      <c r="AA395" s="1" t="str">
        <f>IF(AND(Programme_Grunddaten!$A400="Geprüft",Programme_Grunddaten!AI400&lt;&gt;""),IF(Programme_Grunddaten!AI400="Ja",1,0),"")</f>
        <v/>
      </c>
      <c r="AB395" s="1" t="str">
        <f>IF(AND(Programme_Grunddaten!$A400="Geprüft",Programme_Grunddaten!AJ400&lt;&gt;""),IF(Programme_Grunddaten!AJ400="individuell programmierbar",1,0),"")</f>
        <v/>
      </c>
      <c r="AC395" s="1" t="str">
        <f>IF(AND(Programme_Grunddaten!$A400="Geprüft",Programme_Grunddaten!AK400&lt;&gt;""),IF(Programme_Grunddaten!AK400="Deutsch",0,IF(Programme_Grunddaten!AK400="Deutsch und Englisch",1,2)),"")</f>
        <v/>
      </c>
      <c r="AD395" s="1" t="str">
        <f>IF(AND(Programme_Grunddaten!$A400="Geprüft",Programme_Grunddaten!AL400&lt;&gt;""),IF(Programme_Grunddaten!AL400="Ja",1,0),"")</f>
        <v/>
      </c>
      <c r="AE395" s="1" t="str">
        <f>IF(AND(Programme_Grunddaten!$A400="Geprüft",Programme_Grunddaten!AM400&lt;&gt;""),IF(Programme_Grunddaten!AM400="Ja",1,0),"")</f>
        <v/>
      </c>
      <c r="AF395" s="1" t="str">
        <f>IF(AND(Programme_Grunddaten!$A400="Geprüft",Programme_Grunddaten!AN400&lt;&gt;""),IF(Programme_Grunddaten!AN400="Ja",1,0),"")</f>
        <v/>
      </c>
      <c r="AG395" s="1" t="str">
        <f>IF(AND(Programme_Grunddaten!$A400="Geprüft",Programme_Grunddaten!AO400&lt;&gt;""),IF(Programme_Grunddaten!AO400="Ja",1,0),"")</f>
        <v/>
      </c>
      <c r="AH395" s="1" t="str">
        <f>IF(AND(Programme_Grunddaten!$A400="Geprüft",Programme_Grunddaten!AP400&lt;&gt;""),IF(Programme_Grunddaten!AP400="Ja",1,0),"")</f>
        <v/>
      </c>
      <c r="AI395" s="1" t="str">
        <f>IF(AND(Programme_Grunddaten!$A400="Geprüft",Programme_Grunddaten!AQ400&lt;&gt;""),IF(Programme_Grunddaten!AQ400="Ja",1,0),"")</f>
        <v/>
      </c>
      <c r="AJ395" s="1" t="str">
        <f>IF(AND(Programme_Grunddaten!$A400="Geprüft",Programme_Grunddaten!AR400&lt;&gt;""),IF(Programme_Grunddaten!AR400="Ja",1,0),"")</f>
        <v/>
      </c>
      <c r="AK395" s="1" t="str">
        <f>IF(AND(Programme_Grunddaten!$A400="Geprüft",Programme_Grunddaten!AS400&lt;&gt;""),IF(Programme_Grunddaten!AS400="Ja",1,0),"")</f>
        <v/>
      </c>
      <c r="AL395" s="1" t="str">
        <f>IF(AND(Programme_Grunddaten!$A400="Geprüft",Programme_Grunddaten!AT400&lt;&gt;""),IF(Programme_Grunddaten!AT400="Ja",1,0),"")</f>
        <v/>
      </c>
      <c r="AM395" s="1" t="str">
        <f>IF(AND(Programme_Grunddaten!$A400="Geprüft",Programme_Grunddaten!AU400&lt;&gt;""),IF(Programme_Grunddaten!AU400="Ja",1,0),"")</f>
        <v/>
      </c>
      <c r="AN395" s="1" t="str">
        <f>IF(AND(Programme_Grunddaten!$A400="Geprüft",Programme_Grunddaten!AV400&lt;&gt;""),IF(Programme_Grunddaten!AV400="Ja",1,0),"")</f>
        <v/>
      </c>
    </row>
    <row r="396" spans="1:40" x14ac:dyDescent="0.3">
      <c r="A396" s="1" t="str">
        <f>IF(AND(Programme_Grunddaten!A401="Geprüft",Programme_Grunddaten!B401&lt;&gt;""),Programme_Grunddaten!B401,"")</f>
        <v/>
      </c>
      <c r="B396" s="1" t="str">
        <f>IF(AND(Programme_Grunddaten!$A401="Geprüft",Programme_Grunddaten!I401&lt;&gt;""),IF(Programme_Grunddaten!I401="Ja",1,0),"")</f>
        <v/>
      </c>
      <c r="C396" s="1" t="str">
        <f>IF(AND(Programme_Grunddaten!$A401="Geprüft",Programme_Grunddaten!J401&lt;&gt;""),IF(Programme_Grunddaten!J401="Ja",1,0),"")</f>
        <v/>
      </c>
      <c r="D396" s="1" t="str">
        <f>IF(AND(Programme_Grunddaten!$A401="Geprüft",Programme_Grunddaten!K401&lt;&gt;""),IF(Programme_Grunddaten!K401="Ja",1,0),"")</f>
        <v/>
      </c>
      <c r="E396" s="1" t="str">
        <f>IF(AND(Programme_Grunddaten!$A401="Geprüft",Programme_Grunddaten!L401&lt;&gt;""),IF(Programme_Grunddaten!L401="Abo / befristete Lizenz",1,0),"")</f>
        <v/>
      </c>
      <c r="F396" s="1" t="str">
        <f>IF(AND(Programme_Grunddaten!$A401="Geprüft",Programme_Grunddaten!M401&lt;&gt;""),IF(Programme_Grunddaten!M401="Ja",1,0),"")</f>
        <v/>
      </c>
      <c r="G396" s="1" t="str">
        <f>IF(AND(Programme_Grunddaten!$A401="Geprüft",Programme_Grunddaten!N401&lt;&gt;""),IF(Programme_Grunddaten!N401="Ja",1,0),"")</f>
        <v/>
      </c>
      <c r="H396" s="1" t="str">
        <f>IF(AND(Programme_Grunddaten!$A401="Geprüft",Programme_Grunddaten!O401&lt;&gt;""),IF(Programme_Grunddaten!O401="Deutschland",0,IF(Programme_Grunddaten!O401="EU",1,2)),"")</f>
        <v/>
      </c>
      <c r="I396" s="1" t="str">
        <f>IF(AND(Programme_Grunddaten!$A401="Geprüft",Programme_Grunddaten!P401&lt;&gt;""),IF(Programme_Grunddaten!P401="Ja",1,0),"")</f>
        <v/>
      </c>
      <c r="J396" s="1" t="str">
        <f>IF(AND(Programme_Grunddaten!$A401="Geprüft",Programme_Grunddaten!Q401&lt;&gt;""),IF(Programme_Grunddaten!Q401="geschlossenes System",1,0),"")</f>
        <v/>
      </c>
      <c r="K396" s="1" t="str">
        <f>IF(AND(Programme_Grunddaten!$A401="Geprüft",Programme_Grunddaten!R401&lt;&gt;""),IF(Programme_Grunddaten!R401="Ja",1,0),"")</f>
        <v/>
      </c>
      <c r="L396" s="1" t="str">
        <f>IF(AND(Programme_Grunddaten!$A401="Geprüft",Programme_Grunddaten!T401&lt;&gt;""),IF(Programme_Grunddaten!T401="Ja",1,0),"")</f>
        <v/>
      </c>
      <c r="M396" s="1" t="str">
        <f>IF(AND(Programme_Grunddaten!$A401="Geprüft",Programme_Grunddaten!U401&lt;&gt;""),IF(Programme_Grunddaten!U401="Ja",1,0),"")</f>
        <v/>
      </c>
      <c r="N396" s="1" t="str">
        <f>IF(AND(Programme_Grunddaten!$A401="Geprüft",Programme_Grunddaten!V401&lt;&gt;""),IF(Programme_Grunddaten!V401="Ja",1,0),"")</f>
        <v/>
      </c>
      <c r="O396" s="1" t="str">
        <f>IF(AND(Programme_Grunddaten!$A401="Geprüft",Programme_Grunddaten!W401&lt;&gt;""),IF(Programme_Grunddaten!W401="Ja",1,0),"")</f>
        <v/>
      </c>
      <c r="P396" s="1" t="str">
        <f>IF(AND(Programme_Grunddaten!$A401="Geprüft",Programme_Grunddaten!X401&lt;&gt;""),IF(Programme_Grunddaten!X401="Ja",1,0),"")</f>
        <v/>
      </c>
      <c r="Q396" s="1" t="str">
        <f>IF(AND(Programme_Grunddaten!$A401="Geprüft",Programme_Grunddaten!Y401&lt;&gt;""),IF(Programme_Grunddaten!Y401="Ja",1,0),"")</f>
        <v/>
      </c>
      <c r="R396" s="1" t="str">
        <f>IF(AND(Programme_Grunddaten!$A401="Geprüft",Programme_Grunddaten!Z401&lt;&gt;""),IF(Programme_Grunddaten!Z401="Ja",1,0),"")</f>
        <v/>
      </c>
      <c r="S396" s="1" t="str">
        <f>IF(AND(Programme_Grunddaten!$A401="Geprüft",Programme_Grunddaten!AA401&lt;&gt;""),IF(Programme_Grunddaten!AA401="monolithisch",1,0),"")</f>
        <v/>
      </c>
      <c r="T396" s="1" t="str">
        <f>IF(AND(Programme_Grunddaten!$A401="Geprüft",Programme_Grunddaten!AB401&lt;&gt;""),IF(Programme_Grunddaten!AB401="Ja",1,0),"")</f>
        <v/>
      </c>
      <c r="U396" s="1" t="str">
        <f>IF(AND(Programme_Grunddaten!$A401="Geprüft",Programme_Grunddaten!AC401&lt;&gt;""),IF(Programme_Grunddaten!AC401="Ja",1,0),"")</f>
        <v/>
      </c>
      <c r="V396" s="1" t="str">
        <f>IF(AND(Programme_Grunddaten!$A401="Geprüft",Programme_Grunddaten!AD401&lt;&gt;""),IF(Programme_Grunddaten!AD401="Ja",1,0),"")</f>
        <v/>
      </c>
      <c r="W396" s="1" t="str">
        <f>IF(AND(Programme_Grunddaten!$A401="Geprüft",Programme_Grunddaten!AE401&lt;&gt;""),IF(Programme_Grunddaten!AE401="Ja",1,0),"")</f>
        <v/>
      </c>
      <c r="X396" s="1" t="str">
        <f>IF(AND(Programme_Grunddaten!$A401="Geprüft",Programme_Grunddaten!AF401&lt;&gt;""),IF(Programme_Grunddaten!AF401="Ja",1,0),"")</f>
        <v/>
      </c>
      <c r="Y396" s="1" t="str">
        <f>IF(AND(Programme_Grunddaten!$A401="Geprüft",Programme_Grunddaten!AG401&lt;&gt;""),IF(Programme_Grunddaten!AG401="Ja",1,0),"")</f>
        <v/>
      </c>
      <c r="Z396" s="1" t="str">
        <f>IF(AND(Programme_Grunddaten!$A401="Geprüft",Programme_Grunddaten!AH401&lt;&gt;""),IF(Programme_Grunddaten!AH401="Ja",1,0),"")</f>
        <v/>
      </c>
      <c r="AA396" s="1" t="str">
        <f>IF(AND(Programme_Grunddaten!$A401="Geprüft",Programme_Grunddaten!AI401&lt;&gt;""),IF(Programme_Grunddaten!AI401="Ja",1,0),"")</f>
        <v/>
      </c>
      <c r="AB396" s="1" t="str">
        <f>IF(AND(Programme_Grunddaten!$A401="Geprüft",Programme_Grunddaten!AJ401&lt;&gt;""),IF(Programme_Grunddaten!AJ401="individuell programmierbar",1,0),"")</f>
        <v/>
      </c>
      <c r="AC396" s="1" t="str">
        <f>IF(AND(Programme_Grunddaten!$A401="Geprüft",Programme_Grunddaten!AK401&lt;&gt;""),IF(Programme_Grunddaten!AK401="Deutsch",0,IF(Programme_Grunddaten!AK401="Deutsch und Englisch",1,2)),"")</f>
        <v/>
      </c>
      <c r="AD396" s="1" t="str">
        <f>IF(AND(Programme_Grunddaten!$A401="Geprüft",Programme_Grunddaten!AL401&lt;&gt;""),IF(Programme_Grunddaten!AL401="Ja",1,0),"")</f>
        <v/>
      </c>
      <c r="AE396" s="1" t="str">
        <f>IF(AND(Programme_Grunddaten!$A401="Geprüft",Programme_Grunddaten!AM401&lt;&gt;""),IF(Programme_Grunddaten!AM401="Ja",1,0),"")</f>
        <v/>
      </c>
      <c r="AF396" s="1" t="str">
        <f>IF(AND(Programme_Grunddaten!$A401="Geprüft",Programme_Grunddaten!AN401&lt;&gt;""),IF(Programme_Grunddaten!AN401="Ja",1,0),"")</f>
        <v/>
      </c>
      <c r="AG396" s="1" t="str">
        <f>IF(AND(Programme_Grunddaten!$A401="Geprüft",Programme_Grunddaten!AO401&lt;&gt;""),IF(Programme_Grunddaten!AO401="Ja",1,0),"")</f>
        <v/>
      </c>
      <c r="AH396" s="1" t="str">
        <f>IF(AND(Programme_Grunddaten!$A401="Geprüft",Programme_Grunddaten!AP401&lt;&gt;""),IF(Programme_Grunddaten!AP401="Ja",1,0),"")</f>
        <v/>
      </c>
      <c r="AI396" s="1" t="str">
        <f>IF(AND(Programme_Grunddaten!$A401="Geprüft",Programme_Grunddaten!AQ401&lt;&gt;""),IF(Programme_Grunddaten!AQ401="Ja",1,0),"")</f>
        <v/>
      </c>
      <c r="AJ396" s="1" t="str">
        <f>IF(AND(Programme_Grunddaten!$A401="Geprüft",Programme_Grunddaten!AR401&lt;&gt;""),IF(Programme_Grunddaten!AR401="Ja",1,0),"")</f>
        <v/>
      </c>
      <c r="AK396" s="1" t="str">
        <f>IF(AND(Programme_Grunddaten!$A401="Geprüft",Programme_Grunddaten!AS401&lt;&gt;""),IF(Programme_Grunddaten!AS401="Ja",1,0),"")</f>
        <v/>
      </c>
      <c r="AL396" s="1" t="str">
        <f>IF(AND(Programme_Grunddaten!$A401="Geprüft",Programme_Grunddaten!AT401&lt;&gt;""),IF(Programme_Grunddaten!AT401="Ja",1,0),"")</f>
        <v/>
      </c>
      <c r="AM396" s="1" t="str">
        <f>IF(AND(Programme_Grunddaten!$A401="Geprüft",Programme_Grunddaten!AU401&lt;&gt;""),IF(Programme_Grunddaten!AU401="Ja",1,0),"")</f>
        <v/>
      </c>
      <c r="AN396" s="1" t="str">
        <f>IF(AND(Programme_Grunddaten!$A401="Geprüft",Programme_Grunddaten!AV401&lt;&gt;""),IF(Programme_Grunddaten!AV401="Ja",1,0),"")</f>
        <v/>
      </c>
    </row>
    <row r="397" spans="1:40" x14ac:dyDescent="0.3">
      <c r="A397" s="1" t="str">
        <f>IF(AND(Programme_Grunddaten!A402="Geprüft",Programme_Grunddaten!B402&lt;&gt;""),Programme_Grunddaten!B402,"")</f>
        <v/>
      </c>
      <c r="B397" s="1" t="str">
        <f>IF(AND(Programme_Grunddaten!$A402="Geprüft",Programme_Grunddaten!I402&lt;&gt;""),IF(Programme_Grunddaten!I402="Ja",1,0),"")</f>
        <v/>
      </c>
      <c r="C397" s="1" t="str">
        <f>IF(AND(Programme_Grunddaten!$A402="Geprüft",Programme_Grunddaten!J402&lt;&gt;""),IF(Programme_Grunddaten!J402="Ja",1,0),"")</f>
        <v/>
      </c>
      <c r="D397" s="1" t="str">
        <f>IF(AND(Programme_Grunddaten!$A402="Geprüft",Programme_Grunddaten!K402&lt;&gt;""),IF(Programme_Grunddaten!K402="Ja",1,0),"")</f>
        <v/>
      </c>
      <c r="E397" s="1" t="str">
        <f>IF(AND(Programme_Grunddaten!$A402="Geprüft",Programme_Grunddaten!L402&lt;&gt;""),IF(Programme_Grunddaten!L402="Abo / befristete Lizenz",1,0),"")</f>
        <v/>
      </c>
      <c r="F397" s="1" t="str">
        <f>IF(AND(Programme_Grunddaten!$A402="Geprüft",Programme_Grunddaten!M402&lt;&gt;""),IF(Programme_Grunddaten!M402="Ja",1,0),"")</f>
        <v/>
      </c>
      <c r="G397" s="1" t="str">
        <f>IF(AND(Programme_Grunddaten!$A402="Geprüft",Programme_Grunddaten!N402&lt;&gt;""),IF(Programme_Grunddaten!N402="Ja",1,0),"")</f>
        <v/>
      </c>
      <c r="H397" s="1" t="str">
        <f>IF(AND(Programme_Grunddaten!$A402="Geprüft",Programme_Grunddaten!O402&lt;&gt;""),IF(Programme_Grunddaten!O402="Deutschland",0,IF(Programme_Grunddaten!O402="EU",1,2)),"")</f>
        <v/>
      </c>
      <c r="I397" s="1" t="str">
        <f>IF(AND(Programme_Grunddaten!$A402="Geprüft",Programme_Grunddaten!P402&lt;&gt;""),IF(Programme_Grunddaten!P402="Ja",1,0),"")</f>
        <v/>
      </c>
      <c r="J397" s="1" t="str">
        <f>IF(AND(Programme_Grunddaten!$A402="Geprüft",Programme_Grunddaten!Q402&lt;&gt;""),IF(Programme_Grunddaten!Q402="geschlossenes System",1,0),"")</f>
        <v/>
      </c>
      <c r="K397" s="1" t="str">
        <f>IF(AND(Programme_Grunddaten!$A402="Geprüft",Programme_Grunddaten!R402&lt;&gt;""),IF(Programme_Grunddaten!R402="Ja",1,0),"")</f>
        <v/>
      </c>
      <c r="L397" s="1" t="str">
        <f>IF(AND(Programme_Grunddaten!$A402="Geprüft",Programme_Grunddaten!T402&lt;&gt;""),IF(Programme_Grunddaten!T402="Ja",1,0),"")</f>
        <v/>
      </c>
      <c r="M397" s="1" t="str">
        <f>IF(AND(Programme_Grunddaten!$A402="Geprüft",Programme_Grunddaten!U402&lt;&gt;""),IF(Programme_Grunddaten!U402="Ja",1,0),"")</f>
        <v/>
      </c>
      <c r="N397" s="1" t="str">
        <f>IF(AND(Programme_Grunddaten!$A402="Geprüft",Programme_Grunddaten!V402&lt;&gt;""),IF(Programme_Grunddaten!V402="Ja",1,0),"")</f>
        <v/>
      </c>
      <c r="O397" s="1" t="str">
        <f>IF(AND(Programme_Grunddaten!$A402="Geprüft",Programme_Grunddaten!W402&lt;&gt;""),IF(Programme_Grunddaten!W402="Ja",1,0),"")</f>
        <v/>
      </c>
      <c r="P397" s="1" t="str">
        <f>IF(AND(Programme_Grunddaten!$A402="Geprüft",Programme_Grunddaten!X402&lt;&gt;""),IF(Programme_Grunddaten!X402="Ja",1,0),"")</f>
        <v/>
      </c>
      <c r="Q397" s="1" t="str">
        <f>IF(AND(Programme_Grunddaten!$A402="Geprüft",Programme_Grunddaten!Y402&lt;&gt;""),IF(Programme_Grunddaten!Y402="Ja",1,0),"")</f>
        <v/>
      </c>
      <c r="R397" s="1" t="str">
        <f>IF(AND(Programme_Grunddaten!$A402="Geprüft",Programme_Grunddaten!Z402&lt;&gt;""),IF(Programme_Grunddaten!Z402="Ja",1,0),"")</f>
        <v/>
      </c>
      <c r="S397" s="1" t="str">
        <f>IF(AND(Programme_Grunddaten!$A402="Geprüft",Programme_Grunddaten!AA402&lt;&gt;""),IF(Programme_Grunddaten!AA402="monolithisch",1,0),"")</f>
        <v/>
      </c>
      <c r="T397" s="1" t="str">
        <f>IF(AND(Programme_Grunddaten!$A402="Geprüft",Programme_Grunddaten!AB402&lt;&gt;""),IF(Programme_Grunddaten!AB402="Ja",1,0),"")</f>
        <v/>
      </c>
      <c r="U397" s="1" t="str">
        <f>IF(AND(Programme_Grunddaten!$A402="Geprüft",Programme_Grunddaten!AC402&lt;&gt;""),IF(Programme_Grunddaten!AC402="Ja",1,0),"")</f>
        <v/>
      </c>
      <c r="V397" s="1" t="str">
        <f>IF(AND(Programme_Grunddaten!$A402="Geprüft",Programme_Grunddaten!AD402&lt;&gt;""),IF(Programme_Grunddaten!AD402="Ja",1,0),"")</f>
        <v/>
      </c>
      <c r="W397" s="1" t="str">
        <f>IF(AND(Programme_Grunddaten!$A402="Geprüft",Programme_Grunddaten!AE402&lt;&gt;""),IF(Programme_Grunddaten!AE402="Ja",1,0),"")</f>
        <v/>
      </c>
      <c r="X397" s="1" t="str">
        <f>IF(AND(Programme_Grunddaten!$A402="Geprüft",Programme_Grunddaten!AF402&lt;&gt;""),IF(Programme_Grunddaten!AF402="Ja",1,0),"")</f>
        <v/>
      </c>
      <c r="Y397" s="1" t="str">
        <f>IF(AND(Programme_Grunddaten!$A402="Geprüft",Programme_Grunddaten!AG402&lt;&gt;""),IF(Programme_Grunddaten!AG402="Ja",1,0),"")</f>
        <v/>
      </c>
      <c r="Z397" s="1" t="str">
        <f>IF(AND(Programme_Grunddaten!$A402="Geprüft",Programme_Grunddaten!AH402&lt;&gt;""),IF(Programme_Grunddaten!AH402="Ja",1,0),"")</f>
        <v/>
      </c>
      <c r="AA397" s="1" t="str">
        <f>IF(AND(Programme_Grunddaten!$A402="Geprüft",Programme_Grunddaten!AI402&lt;&gt;""),IF(Programme_Grunddaten!AI402="Ja",1,0),"")</f>
        <v/>
      </c>
      <c r="AB397" s="1" t="str">
        <f>IF(AND(Programme_Grunddaten!$A402="Geprüft",Programme_Grunddaten!AJ402&lt;&gt;""),IF(Programme_Grunddaten!AJ402="individuell programmierbar",1,0),"")</f>
        <v/>
      </c>
      <c r="AC397" s="1" t="str">
        <f>IF(AND(Programme_Grunddaten!$A402="Geprüft",Programme_Grunddaten!AK402&lt;&gt;""),IF(Programme_Grunddaten!AK402="Deutsch",0,IF(Programme_Grunddaten!AK402="Deutsch und Englisch",1,2)),"")</f>
        <v/>
      </c>
      <c r="AD397" s="1" t="str">
        <f>IF(AND(Programme_Grunddaten!$A402="Geprüft",Programme_Grunddaten!AL402&lt;&gt;""),IF(Programme_Grunddaten!AL402="Ja",1,0),"")</f>
        <v/>
      </c>
      <c r="AE397" s="1" t="str">
        <f>IF(AND(Programme_Grunddaten!$A402="Geprüft",Programme_Grunddaten!AM402&lt;&gt;""),IF(Programme_Grunddaten!AM402="Ja",1,0),"")</f>
        <v/>
      </c>
      <c r="AF397" s="1" t="str">
        <f>IF(AND(Programme_Grunddaten!$A402="Geprüft",Programme_Grunddaten!AN402&lt;&gt;""),IF(Programme_Grunddaten!AN402="Ja",1,0),"")</f>
        <v/>
      </c>
      <c r="AG397" s="1" t="str">
        <f>IF(AND(Programme_Grunddaten!$A402="Geprüft",Programme_Grunddaten!AO402&lt;&gt;""),IF(Programme_Grunddaten!AO402="Ja",1,0),"")</f>
        <v/>
      </c>
      <c r="AH397" s="1" t="str">
        <f>IF(AND(Programme_Grunddaten!$A402="Geprüft",Programme_Grunddaten!AP402&lt;&gt;""),IF(Programme_Grunddaten!AP402="Ja",1,0),"")</f>
        <v/>
      </c>
      <c r="AI397" s="1" t="str">
        <f>IF(AND(Programme_Grunddaten!$A402="Geprüft",Programme_Grunddaten!AQ402&lt;&gt;""),IF(Programme_Grunddaten!AQ402="Ja",1,0),"")</f>
        <v/>
      </c>
      <c r="AJ397" s="1" t="str">
        <f>IF(AND(Programme_Grunddaten!$A402="Geprüft",Programme_Grunddaten!AR402&lt;&gt;""),IF(Programme_Grunddaten!AR402="Ja",1,0),"")</f>
        <v/>
      </c>
      <c r="AK397" s="1" t="str">
        <f>IF(AND(Programme_Grunddaten!$A402="Geprüft",Programme_Grunddaten!AS402&lt;&gt;""),IF(Programme_Grunddaten!AS402="Ja",1,0),"")</f>
        <v/>
      </c>
      <c r="AL397" s="1" t="str">
        <f>IF(AND(Programme_Grunddaten!$A402="Geprüft",Programme_Grunddaten!AT402&lt;&gt;""),IF(Programme_Grunddaten!AT402="Ja",1,0),"")</f>
        <v/>
      </c>
      <c r="AM397" s="1" t="str">
        <f>IF(AND(Programme_Grunddaten!$A402="Geprüft",Programme_Grunddaten!AU402&lt;&gt;""),IF(Programme_Grunddaten!AU402="Ja",1,0),"")</f>
        <v/>
      </c>
      <c r="AN397" s="1" t="str">
        <f>IF(AND(Programme_Grunddaten!$A402="Geprüft",Programme_Grunddaten!AV402&lt;&gt;""),IF(Programme_Grunddaten!AV402="Ja",1,0),"")</f>
        <v/>
      </c>
    </row>
    <row r="398" spans="1:40" x14ac:dyDescent="0.3">
      <c r="A398" s="1" t="str">
        <f>IF(AND(Programme_Grunddaten!A403="Geprüft",Programme_Grunddaten!B403&lt;&gt;""),Programme_Grunddaten!B403,"")</f>
        <v/>
      </c>
      <c r="B398" s="1" t="str">
        <f>IF(AND(Programme_Grunddaten!$A403="Geprüft",Programme_Grunddaten!I403&lt;&gt;""),IF(Programme_Grunddaten!I403="Ja",1,0),"")</f>
        <v/>
      </c>
      <c r="C398" s="1" t="str">
        <f>IF(AND(Programme_Grunddaten!$A403="Geprüft",Programme_Grunddaten!J403&lt;&gt;""),IF(Programme_Grunddaten!J403="Ja",1,0),"")</f>
        <v/>
      </c>
      <c r="D398" s="1" t="str">
        <f>IF(AND(Programme_Grunddaten!$A403="Geprüft",Programme_Grunddaten!K403&lt;&gt;""),IF(Programme_Grunddaten!K403="Ja",1,0),"")</f>
        <v/>
      </c>
      <c r="E398" s="1" t="str">
        <f>IF(AND(Programme_Grunddaten!$A403="Geprüft",Programme_Grunddaten!L403&lt;&gt;""),IF(Programme_Grunddaten!L403="Abo / befristete Lizenz",1,0),"")</f>
        <v/>
      </c>
      <c r="F398" s="1" t="str">
        <f>IF(AND(Programme_Grunddaten!$A403="Geprüft",Programme_Grunddaten!M403&lt;&gt;""),IF(Programme_Grunddaten!M403="Ja",1,0),"")</f>
        <v/>
      </c>
      <c r="G398" s="1" t="str">
        <f>IF(AND(Programme_Grunddaten!$A403="Geprüft",Programme_Grunddaten!N403&lt;&gt;""),IF(Programme_Grunddaten!N403="Ja",1,0),"")</f>
        <v/>
      </c>
      <c r="H398" s="1" t="str">
        <f>IF(AND(Programme_Grunddaten!$A403="Geprüft",Programme_Grunddaten!O403&lt;&gt;""),IF(Programme_Grunddaten!O403="Deutschland",0,IF(Programme_Grunddaten!O403="EU",1,2)),"")</f>
        <v/>
      </c>
      <c r="I398" s="1" t="str">
        <f>IF(AND(Programme_Grunddaten!$A403="Geprüft",Programme_Grunddaten!P403&lt;&gt;""),IF(Programme_Grunddaten!P403="Ja",1,0),"")</f>
        <v/>
      </c>
      <c r="J398" s="1" t="str">
        <f>IF(AND(Programme_Grunddaten!$A403="Geprüft",Programme_Grunddaten!Q403&lt;&gt;""),IF(Programme_Grunddaten!Q403="geschlossenes System",1,0),"")</f>
        <v/>
      </c>
      <c r="K398" s="1" t="str">
        <f>IF(AND(Programme_Grunddaten!$A403="Geprüft",Programme_Grunddaten!R403&lt;&gt;""),IF(Programme_Grunddaten!R403="Ja",1,0),"")</f>
        <v/>
      </c>
      <c r="L398" s="1" t="str">
        <f>IF(AND(Programme_Grunddaten!$A403="Geprüft",Programme_Grunddaten!T403&lt;&gt;""),IF(Programme_Grunddaten!T403="Ja",1,0),"")</f>
        <v/>
      </c>
      <c r="M398" s="1" t="str">
        <f>IF(AND(Programme_Grunddaten!$A403="Geprüft",Programme_Grunddaten!U403&lt;&gt;""),IF(Programme_Grunddaten!U403="Ja",1,0),"")</f>
        <v/>
      </c>
      <c r="N398" s="1" t="str">
        <f>IF(AND(Programme_Grunddaten!$A403="Geprüft",Programme_Grunddaten!V403&lt;&gt;""),IF(Programme_Grunddaten!V403="Ja",1,0),"")</f>
        <v/>
      </c>
      <c r="O398" s="1" t="str">
        <f>IF(AND(Programme_Grunddaten!$A403="Geprüft",Programme_Grunddaten!W403&lt;&gt;""),IF(Programme_Grunddaten!W403="Ja",1,0),"")</f>
        <v/>
      </c>
      <c r="P398" s="1" t="str">
        <f>IF(AND(Programme_Grunddaten!$A403="Geprüft",Programme_Grunddaten!X403&lt;&gt;""),IF(Programme_Grunddaten!X403="Ja",1,0),"")</f>
        <v/>
      </c>
      <c r="Q398" s="1" t="str">
        <f>IF(AND(Programme_Grunddaten!$A403="Geprüft",Programme_Grunddaten!Y403&lt;&gt;""),IF(Programme_Grunddaten!Y403="Ja",1,0),"")</f>
        <v/>
      </c>
      <c r="R398" s="1" t="str">
        <f>IF(AND(Programme_Grunddaten!$A403="Geprüft",Programme_Grunddaten!Z403&lt;&gt;""),IF(Programme_Grunddaten!Z403="Ja",1,0),"")</f>
        <v/>
      </c>
      <c r="S398" s="1" t="str">
        <f>IF(AND(Programme_Grunddaten!$A403="Geprüft",Programme_Grunddaten!AA403&lt;&gt;""),IF(Programme_Grunddaten!AA403="monolithisch",1,0),"")</f>
        <v/>
      </c>
      <c r="T398" s="1" t="str">
        <f>IF(AND(Programme_Grunddaten!$A403="Geprüft",Programme_Grunddaten!AB403&lt;&gt;""),IF(Programme_Grunddaten!AB403="Ja",1,0),"")</f>
        <v/>
      </c>
      <c r="U398" s="1" t="str">
        <f>IF(AND(Programme_Grunddaten!$A403="Geprüft",Programme_Grunddaten!AC403&lt;&gt;""),IF(Programme_Grunddaten!AC403="Ja",1,0),"")</f>
        <v/>
      </c>
      <c r="V398" s="1" t="str">
        <f>IF(AND(Programme_Grunddaten!$A403="Geprüft",Programme_Grunddaten!AD403&lt;&gt;""),IF(Programme_Grunddaten!AD403="Ja",1,0),"")</f>
        <v/>
      </c>
      <c r="W398" s="1" t="str">
        <f>IF(AND(Programme_Grunddaten!$A403="Geprüft",Programme_Grunddaten!AE403&lt;&gt;""),IF(Programme_Grunddaten!AE403="Ja",1,0),"")</f>
        <v/>
      </c>
      <c r="X398" s="1" t="str">
        <f>IF(AND(Programme_Grunddaten!$A403="Geprüft",Programme_Grunddaten!AF403&lt;&gt;""),IF(Programme_Grunddaten!AF403="Ja",1,0),"")</f>
        <v/>
      </c>
      <c r="Y398" s="1" t="str">
        <f>IF(AND(Programme_Grunddaten!$A403="Geprüft",Programme_Grunddaten!AG403&lt;&gt;""),IF(Programme_Grunddaten!AG403="Ja",1,0),"")</f>
        <v/>
      </c>
      <c r="Z398" s="1" t="str">
        <f>IF(AND(Programme_Grunddaten!$A403="Geprüft",Programme_Grunddaten!AH403&lt;&gt;""),IF(Programme_Grunddaten!AH403="Ja",1,0),"")</f>
        <v/>
      </c>
      <c r="AA398" s="1" t="str">
        <f>IF(AND(Programme_Grunddaten!$A403="Geprüft",Programme_Grunddaten!AI403&lt;&gt;""),IF(Programme_Grunddaten!AI403="Ja",1,0),"")</f>
        <v/>
      </c>
      <c r="AB398" s="1" t="str">
        <f>IF(AND(Programme_Grunddaten!$A403="Geprüft",Programme_Grunddaten!AJ403&lt;&gt;""),IF(Programme_Grunddaten!AJ403="individuell programmierbar",1,0),"")</f>
        <v/>
      </c>
      <c r="AC398" s="1" t="str">
        <f>IF(AND(Programme_Grunddaten!$A403="Geprüft",Programme_Grunddaten!AK403&lt;&gt;""),IF(Programme_Grunddaten!AK403="Deutsch",0,IF(Programme_Grunddaten!AK403="Deutsch und Englisch",1,2)),"")</f>
        <v/>
      </c>
      <c r="AD398" s="1" t="str">
        <f>IF(AND(Programme_Grunddaten!$A403="Geprüft",Programme_Grunddaten!AL403&lt;&gt;""),IF(Programme_Grunddaten!AL403="Ja",1,0),"")</f>
        <v/>
      </c>
      <c r="AE398" s="1" t="str">
        <f>IF(AND(Programme_Grunddaten!$A403="Geprüft",Programme_Grunddaten!AM403&lt;&gt;""),IF(Programme_Grunddaten!AM403="Ja",1,0),"")</f>
        <v/>
      </c>
      <c r="AF398" s="1" t="str">
        <f>IF(AND(Programme_Grunddaten!$A403="Geprüft",Programme_Grunddaten!AN403&lt;&gt;""),IF(Programme_Grunddaten!AN403="Ja",1,0),"")</f>
        <v/>
      </c>
      <c r="AG398" s="1" t="str">
        <f>IF(AND(Programme_Grunddaten!$A403="Geprüft",Programme_Grunddaten!AO403&lt;&gt;""),IF(Programme_Grunddaten!AO403="Ja",1,0),"")</f>
        <v/>
      </c>
      <c r="AH398" s="1" t="str">
        <f>IF(AND(Programme_Grunddaten!$A403="Geprüft",Programme_Grunddaten!AP403&lt;&gt;""),IF(Programme_Grunddaten!AP403="Ja",1,0),"")</f>
        <v/>
      </c>
      <c r="AI398" s="1" t="str">
        <f>IF(AND(Programme_Grunddaten!$A403="Geprüft",Programme_Grunddaten!AQ403&lt;&gt;""),IF(Programme_Grunddaten!AQ403="Ja",1,0),"")</f>
        <v/>
      </c>
      <c r="AJ398" s="1" t="str">
        <f>IF(AND(Programme_Grunddaten!$A403="Geprüft",Programme_Grunddaten!AR403&lt;&gt;""),IF(Programme_Grunddaten!AR403="Ja",1,0),"")</f>
        <v/>
      </c>
      <c r="AK398" s="1" t="str">
        <f>IF(AND(Programme_Grunddaten!$A403="Geprüft",Programme_Grunddaten!AS403&lt;&gt;""),IF(Programme_Grunddaten!AS403="Ja",1,0),"")</f>
        <v/>
      </c>
      <c r="AL398" s="1" t="str">
        <f>IF(AND(Programme_Grunddaten!$A403="Geprüft",Programme_Grunddaten!AT403&lt;&gt;""),IF(Programme_Grunddaten!AT403="Ja",1,0),"")</f>
        <v/>
      </c>
      <c r="AM398" s="1" t="str">
        <f>IF(AND(Programme_Grunddaten!$A403="Geprüft",Programme_Grunddaten!AU403&lt;&gt;""),IF(Programme_Grunddaten!AU403="Ja",1,0),"")</f>
        <v/>
      </c>
      <c r="AN398" s="1" t="str">
        <f>IF(AND(Programme_Grunddaten!$A403="Geprüft",Programme_Grunddaten!AV403&lt;&gt;""),IF(Programme_Grunddaten!AV403="Ja",1,0),"")</f>
        <v/>
      </c>
    </row>
    <row r="399" spans="1:40" x14ac:dyDescent="0.3">
      <c r="A399" s="1" t="str">
        <f>IF(AND(Programme_Grunddaten!A404="Geprüft",Programme_Grunddaten!B404&lt;&gt;""),Programme_Grunddaten!B404,"")</f>
        <v/>
      </c>
      <c r="B399" s="1" t="str">
        <f>IF(AND(Programme_Grunddaten!$A404="Geprüft",Programme_Grunddaten!I404&lt;&gt;""),IF(Programme_Grunddaten!I404="Ja",1,0),"")</f>
        <v/>
      </c>
      <c r="C399" s="1" t="str">
        <f>IF(AND(Programme_Grunddaten!$A404="Geprüft",Programme_Grunddaten!J404&lt;&gt;""),IF(Programme_Grunddaten!J404="Ja",1,0),"")</f>
        <v/>
      </c>
      <c r="D399" s="1" t="str">
        <f>IF(AND(Programme_Grunddaten!$A404="Geprüft",Programme_Grunddaten!K404&lt;&gt;""),IF(Programme_Grunddaten!K404="Ja",1,0),"")</f>
        <v/>
      </c>
      <c r="E399" s="1" t="str">
        <f>IF(AND(Programme_Grunddaten!$A404="Geprüft",Programme_Grunddaten!L404&lt;&gt;""),IF(Programme_Grunddaten!L404="Abo / befristete Lizenz",1,0),"")</f>
        <v/>
      </c>
      <c r="F399" s="1" t="str">
        <f>IF(AND(Programme_Grunddaten!$A404="Geprüft",Programme_Grunddaten!M404&lt;&gt;""),IF(Programme_Grunddaten!M404="Ja",1,0),"")</f>
        <v/>
      </c>
      <c r="G399" s="1" t="str">
        <f>IF(AND(Programme_Grunddaten!$A404="Geprüft",Programme_Grunddaten!N404&lt;&gt;""),IF(Programme_Grunddaten!N404="Ja",1,0),"")</f>
        <v/>
      </c>
      <c r="H399" s="1" t="str">
        <f>IF(AND(Programme_Grunddaten!$A404="Geprüft",Programme_Grunddaten!O404&lt;&gt;""),IF(Programme_Grunddaten!O404="Deutschland",0,IF(Programme_Grunddaten!O404="EU",1,2)),"")</f>
        <v/>
      </c>
      <c r="I399" s="1" t="str">
        <f>IF(AND(Programme_Grunddaten!$A404="Geprüft",Programme_Grunddaten!P404&lt;&gt;""),IF(Programme_Grunddaten!P404="Ja",1,0),"")</f>
        <v/>
      </c>
      <c r="J399" s="1" t="str">
        <f>IF(AND(Programme_Grunddaten!$A404="Geprüft",Programme_Grunddaten!Q404&lt;&gt;""),IF(Programme_Grunddaten!Q404="geschlossenes System",1,0),"")</f>
        <v/>
      </c>
      <c r="K399" s="1" t="str">
        <f>IF(AND(Programme_Grunddaten!$A404="Geprüft",Programme_Grunddaten!R404&lt;&gt;""),IF(Programme_Grunddaten!R404="Ja",1,0),"")</f>
        <v/>
      </c>
      <c r="L399" s="1" t="str">
        <f>IF(AND(Programme_Grunddaten!$A404="Geprüft",Programme_Grunddaten!T404&lt;&gt;""),IF(Programme_Grunddaten!T404="Ja",1,0),"")</f>
        <v/>
      </c>
      <c r="M399" s="1" t="str">
        <f>IF(AND(Programme_Grunddaten!$A404="Geprüft",Programme_Grunddaten!U404&lt;&gt;""),IF(Programme_Grunddaten!U404="Ja",1,0),"")</f>
        <v/>
      </c>
      <c r="N399" s="1" t="str">
        <f>IF(AND(Programme_Grunddaten!$A404="Geprüft",Programme_Grunddaten!V404&lt;&gt;""),IF(Programme_Grunddaten!V404="Ja",1,0),"")</f>
        <v/>
      </c>
      <c r="O399" s="1" t="str">
        <f>IF(AND(Programme_Grunddaten!$A404="Geprüft",Programme_Grunddaten!W404&lt;&gt;""),IF(Programme_Grunddaten!W404="Ja",1,0),"")</f>
        <v/>
      </c>
      <c r="P399" s="1" t="str">
        <f>IF(AND(Programme_Grunddaten!$A404="Geprüft",Programme_Grunddaten!X404&lt;&gt;""),IF(Programme_Grunddaten!X404="Ja",1,0),"")</f>
        <v/>
      </c>
      <c r="Q399" s="1" t="str">
        <f>IF(AND(Programme_Grunddaten!$A404="Geprüft",Programme_Grunddaten!Y404&lt;&gt;""),IF(Programme_Grunddaten!Y404="Ja",1,0),"")</f>
        <v/>
      </c>
      <c r="R399" s="1" t="str">
        <f>IF(AND(Programme_Grunddaten!$A404="Geprüft",Programme_Grunddaten!Z404&lt;&gt;""),IF(Programme_Grunddaten!Z404="Ja",1,0),"")</f>
        <v/>
      </c>
      <c r="S399" s="1" t="str">
        <f>IF(AND(Programme_Grunddaten!$A404="Geprüft",Programme_Grunddaten!AA404&lt;&gt;""),IF(Programme_Grunddaten!AA404="monolithisch",1,0),"")</f>
        <v/>
      </c>
      <c r="T399" s="1" t="str">
        <f>IF(AND(Programme_Grunddaten!$A404="Geprüft",Programme_Grunddaten!AB404&lt;&gt;""),IF(Programme_Grunddaten!AB404="Ja",1,0),"")</f>
        <v/>
      </c>
      <c r="U399" s="1" t="str">
        <f>IF(AND(Programme_Grunddaten!$A404="Geprüft",Programme_Grunddaten!AC404&lt;&gt;""),IF(Programme_Grunddaten!AC404="Ja",1,0),"")</f>
        <v/>
      </c>
      <c r="V399" s="1" t="str">
        <f>IF(AND(Programme_Grunddaten!$A404="Geprüft",Programme_Grunddaten!AD404&lt;&gt;""),IF(Programme_Grunddaten!AD404="Ja",1,0),"")</f>
        <v/>
      </c>
      <c r="W399" s="1" t="str">
        <f>IF(AND(Programme_Grunddaten!$A404="Geprüft",Programme_Grunddaten!AE404&lt;&gt;""),IF(Programme_Grunddaten!AE404="Ja",1,0),"")</f>
        <v/>
      </c>
      <c r="X399" s="1" t="str">
        <f>IF(AND(Programme_Grunddaten!$A404="Geprüft",Programme_Grunddaten!AF404&lt;&gt;""),IF(Programme_Grunddaten!AF404="Ja",1,0),"")</f>
        <v/>
      </c>
      <c r="Y399" s="1" t="str">
        <f>IF(AND(Programme_Grunddaten!$A404="Geprüft",Programme_Grunddaten!AG404&lt;&gt;""),IF(Programme_Grunddaten!AG404="Ja",1,0),"")</f>
        <v/>
      </c>
      <c r="Z399" s="1" t="str">
        <f>IF(AND(Programme_Grunddaten!$A404="Geprüft",Programme_Grunddaten!AH404&lt;&gt;""),IF(Programme_Grunddaten!AH404="Ja",1,0),"")</f>
        <v/>
      </c>
      <c r="AA399" s="1" t="str">
        <f>IF(AND(Programme_Grunddaten!$A404="Geprüft",Programme_Grunddaten!AI404&lt;&gt;""),IF(Programme_Grunddaten!AI404="Ja",1,0),"")</f>
        <v/>
      </c>
      <c r="AB399" s="1" t="str">
        <f>IF(AND(Programme_Grunddaten!$A404="Geprüft",Programme_Grunddaten!AJ404&lt;&gt;""),IF(Programme_Grunddaten!AJ404="individuell programmierbar",1,0),"")</f>
        <v/>
      </c>
      <c r="AC399" s="1" t="str">
        <f>IF(AND(Programme_Grunddaten!$A404="Geprüft",Programme_Grunddaten!AK404&lt;&gt;""),IF(Programme_Grunddaten!AK404="Deutsch",0,IF(Programme_Grunddaten!AK404="Deutsch und Englisch",1,2)),"")</f>
        <v/>
      </c>
      <c r="AD399" s="1" t="str">
        <f>IF(AND(Programme_Grunddaten!$A404="Geprüft",Programme_Grunddaten!AL404&lt;&gt;""),IF(Programme_Grunddaten!AL404="Ja",1,0),"")</f>
        <v/>
      </c>
      <c r="AE399" s="1" t="str">
        <f>IF(AND(Programme_Grunddaten!$A404="Geprüft",Programme_Grunddaten!AM404&lt;&gt;""),IF(Programme_Grunddaten!AM404="Ja",1,0),"")</f>
        <v/>
      </c>
      <c r="AF399" s="1" t="str">
        <f>IF(AND(Programme_Grunddaten!$A404="Geprüft",Programme_Grunddaten!AN404&lt;&gt;""),IF(Programme_Grunddaten!AN404="Ja",1,0),"")</f>
        <v/>
      </c>
      <c r="AG399" s="1" t="str">
        <f>IF(AND(Programme_Grunddaten!$A404="Geprüft",Programme_Grunddaten!AO404&lt;&gt;""),IF(Programme_Grunddaten!AO404="Ja",1,0),"")</f>
        <v/>
      </c>
      <c r="AH399" s="1" t="str">
        <f>IF(AND(Programme_Grunddaten!$A404="Geprüft",Programme_Grunddaten!AP404&lt;&gt;""),IF(Programme_Grunddaten!AP404="Ja",1,0),"")</f>
        <v/>
      </c>
      <c r="AI399" s="1" t="str">
        <f>IF(AND(Programme_Grunddaten!$A404="Geprüft",Programme_Grunddaten!AQ404&lt;&gt;""),IF(Programme_Grunddaten!AQ404="Ja",1,0),"")</f>
        <v/>
      </c>
      <c r="AJ399" s="1" t="str">
        <f>IF(AND(Programme_Grunddaten!$A404="Geprüft",Programme_Grunddaten!AR404&lt;&gt;""),IF(Programme_Grunddaten!AR404="Ja",1,0),"")</f>
        <v/>
      </c>
      <c r="AK399" s="1" t="str">
        <f>IF(AND(Programme_Grunddaten!$A404="Geprüft",Programme_Grunddaten!AS404&lt;&gt;""),IF(Programme_Grunddaten!AS404="Ja",1,0),"")</f>
        <v/>
      </c>
      <c r="AL399" s="1" t="str">
        <f>IF(AND(Programme_Grunddaten!$A404="Geprüft",Programme_Grunddaten!AT404&lt;&gt;""),IF(Programme_Grunddaten!AT404="Ja",1,0),"")</f>
        <v/>
      </c>
      <c r="AM399" s="1" t="str">
        <f>IF(AND(Programme_Grunddaten!$A404="Geprüft",Programme_Grunddaten!AU404&lt;&gt;""),IF(Programme_Grunddaten!AU404="Ja",1,0),"")</f>
        <v/>
      </c>
      <c r="AN399" s="1" t="str">
        <f>IF(AND(Programme_Grunddaten!$A404="Geprüft",Programme_Grunddaten!AV404&lt;&gt;""),IF(Programme_Grunddaten!AV404="Ja",1,0),"")</f>
        <v/>
      </c>
    </row>
    <row r="400" spans="1:40" x14ac:dyDescent="0.3">
      <c r="A400" s="1" t="str">
        <f>IF(AND(Programme_Grunddaten!A405="Geprüft",Programme_Grunddaten!B405&lt;&gt;""),Programme_Grunddaten!B405,"")</f>
        <v/>
      </c>
      <c r="B400" s="1" t="str">
        <f>IF(AND(Programme_Grunddaten!$A405="Geprüft",Programme_Grunddaten!I405&lt;&gt;""),IF(Programme_Grunddaten!I405="Ja",1,0),"")</f>
        <v/>
      </c>
      <c r="C400" s="1" t="str">
        <f>IF(AND(Programme_Grunddaten!$A405="Geprüft",Programme_Grunddaten!J405&lt;&gt;""),IF(Programme_Grunddaten!J405="Ja",1,0),"")</f>
        <v/>
      </c>
      <c r="D400" s="1" t="str">
        <f>IF(AND(Programme_Grunddaten!$A405="Geprüft",Programme_Grunddaten!K405&lt;&gt;""),IF(Programme_Grunddaten!K405="Ja",1,0),"")</f>
        <v/>
      </c>
      <c r="E400" s="1" t="str">
        <f>IF(AND(Programme_Grunddaten!$A405="Geprüft",Programme_Grunddaten!L405&lt;&gt;""),IF(Programme_Grunddaten!L405="Abo / befristete Lizenz",1,0),"")</f>
        <v/>
      </c>
      <c r="F400" s="1" t="str">
        <f>IF(AND(Programme_Grunddaten!$A405="Geprüft",Programme_Grunddaten!M405&lt;&gt;""),IF(Programme_Grunddaten!M405="Ja",1,0),"")</f>
        <v/>
      </c>
      <c r="G400" s="1" t="str">
        <f>IF(AND(Programme_Grunddaten!$A405="Geprüft",Programme_Grunddaten!N405&lt;&gt;""),IF(Programme_Grunddaten!N405="Ja",1,0),"")</f>
        <v/>
      </c>
      <c r="H400" s="1" t="str">
        <f>IF(AND(Programme_Grunddaten!$A405="Geprüft",Programme_Grunddaten!O405&lt;&gt;""),IF(Programme_Grunddaten!O405="Deutschland",0,IF(Programme_Grunddaten!O405="EU",1,2)),"")</f>
        <v/>
      </c>
      <c r="I400" s="1" t="str">
        <f>IF(AND(Programme_Grunddaten!$A405="Geprüft",Programme_Grunddaten!P405&lt;&gt;""),IF(Programme_Grunddaten!P405="Ja",1,0),"")</f>
        <v/>
      </c>
      <c r="J400" s="1" t="str">
        <f>IF(AND(Programme_Grunddaten!$A405="Geprüft",Programme_Grunddaten!Q405&lt;&gt;""),IF(Programme_Grunddaten!Q405="geschlossenes System",1,0),"")</f>
        <v/>
      </c>
      <c r="K400" s="1" t="str">
        <f>IF(AND(Programme_Grunddaten!$A405="Geprüft",Programme_Grunddaten!R405&lt;&gt;""),IF(Programme_Grunddaten!R405="Ja",1,0),"")</f>
        <v/>
      </c>
      <c r="L400" s="1" t="str">
        <f>IF(AND(Programme_Grunddaten!$A405="Geprüft",Programme_Grunddaten!T405&lt;&gt;""),IF(Programme_Grunddaten!T405="Ja",1,0),"")</f>
        <v/>
      </c>
      <c r="M400" s="1" t="str">
        <f>IF(AND(Programme_Grunddaten!$A405="Geprüft",Programme_Grunddaten!U405&lt;&gt;""),IF(Programme_Grunddaten!U405="Ja",1,0),"")</f>
        <v/>
      </c>
      <c r="N400" s="1" t="str">
        <f>IF(AND(Programme_Grunddaten!$A405="Geprüft",Programme_Grunddaten!V405&lt;&gt;""),IF(Programme_Grunddaten!V405="Ja",1,0),"")</f>
        <v/>
      </c>
      <c r="O400" s="1" t="str">
        <f>IF(AND(Programme_Grunddaten!$A405="Geprüft",Programme_Grunddaten!W405&lt;&gt;""),IF(Programme_Grunddaten!W405="Ja",1,0),"")</f>
        <v/>
      </c>
      <c r="P400" s="1" t="str">
        <f>IF(AND(Programme_Grunddaten!$A405="Geprüft",Programme_Grunddaten!X405&lt;&gt;""),IF(Programme_Grunddaten!X405="Ja",1,0),"")</f>
        <v/>
      </c>
      <c r="Q400" s="1" t="str">
        <f>IF(AND(Programme_Grunddaten!$A405="Geprüft",Programme_Grunddaten!Y405&lt;&gt;""),IF(Programme_Grunddaten!Y405="Ja",1,0),"")</f>
        <v/>
      </c>
      <c r="R400" s="1" t="str">
        <f>IF(AND(Programme_Grunddaten!$A405="Geprüft",Programme_Grunddaten!Z405&lt;&gt;""),IF(Programme_Grunddaten!Z405="Ja",1,0),"")</f>
        <v/>
      </c>
      <c r="S400" s="1" t="str">
        <f>IF(AND(Programme_Grunddaten!$A405="Geprüft",Programme_Grunddaten!AA405&lt;&gt;""),IF(Programme_Grunddaten!AA405="monolithisch",1,0),"")</f>
        <v/>
      </c>
      <c r="T400" s="1" t="str">
        <f>IF(AND(Programme_Grunddaten!$A405="Geprüft",Programme_Grunddaten!AB405&lt;&gt;""),IF(Programme_Grunddaten!AB405="Ja",1,0),"")</f>
        <v/>
      </c>
      <c r="U400" s="1" t="str">
        <f>IF(AND(Programme_Grunddaten!$A405="Geprüft",Programme_Grunddaten!AC405&lt;&gt;""),IF(Programme_Grunddaten!AC405="Ja",1,0),"")</f>
        <v/>
      </c>
      <c r="V400" s="1" t="str">
        <f>IF(AND(Programme_Grunddaten!$A405="Geprüft",Programme_Grunddaten!AD405&lt;&gt;""),IF(Programme_Grunddaten!AD405="Ja",1,0),"")</f>
        <v/>
      </c>
      <c r="W400" s="1" t="str">
        <f>IF(AND(Programme_Grunddaten!$A405="Geprüft",Programme_Grunddaten!AE405&lt;&gt;""),IF(Programme_Grunddaten!AE405="Ja",1,0),"")</f>
        <v/>
      </c>
      <c r="X400" s="1" t="str">
        <f>IF(AND(Programme_Grunddaten!$A405="Geprüft",Programme_Grunddaten!AF405&lt;&gt;""),IF(Programme_Grunddaten!AF405="Ja",1,0),"")</f>
        <v/>
      </c>
      <c r="Y400" s="1" t="str">
        <f>IF(AND(Programme_Grunddaten!$A405="Geprüft",Programme_Grunddaten!AG405&lt;&gt;""),IF(Programme_Grunddaten!AG405="Ja",1,0),"")</f>
        <v/>
      </c>
      <c r="Z400" s="1" t="str">
        <f>IF(AND(Programme_Grunddaten!$A405="Geprüft",Programme_Grunddaten!AH405&lt;&gt;""),IF(Programme_Grunddaten!AH405="Ja",1,0),"")</f>
        <v/>
      </c>
      <c r="AA400" s="1" t="str">
        <f>IF(AND(Programme_Grunddaten!$A405="Geprüft",Programme_Grunddaten!AI405&lt;&gt;""),IF(Programme_Grunddaten!AI405="Ja",1,0),"")</f>
        <v/>
      </c>
      <c r="AB400" s="1" t="str">
        <f>IF(AND(Programme_Grunddaten!$A405="Geprüft",Programme_Grunddaten!AJ405&lt;&gt;""),IF(Programme_Grunddaten!AJ405="individuell programmierbar",1,0),"")</f>
        <v/>
      </c>
      <c r="AC400" s="1" t="str">
        <f>IF(AND(Programme_Grunddaten!$A405="Geprüft",Programme_Grunddaten!AK405&lt;&gt;""),IF(Programme_Grunddaten!AK405="Deutsch",0,IF(Programme_Grunddaten!AK405="Deutsch und Englisch",1,2)),"")</f>
        <v/>
      </c>
      <c r="AD400" s="1" t="str">
        <f>IF(AND(Programme_Grunddaten!$A405="Geprüft",Programme_Grunddaten!AL405&lt;&gt;""),IF(Programme_Grunddaten!AL405="Ja",1,0),"")</f>
        <v/>
      </c>
      <c r="AE400" s="1" t="str">
        <f>IF(AND(Programme_Grunddaten!$A405="Geprüft",Programme_Grunddaten!AM405&lt;&gt;""),IF(Programme_Grunddaten!AM405="Ja",1,0),"")</f>
        <v/>
      </c>
      <c r="AF400" s="1" t="str">
        <f>IF(AND(Programme_Grunddaten!$A405="Geprüft",Programme_Grunddaten!AN405&lt;&gt;""),IF(Programme_Grunddaten!AN405="Ja",1,0),"")</f>
        <v/>
      </c>
      <c r="AG400" s="1" t="str">
        <f>IF(AND(Programme_Grunddaten!$A405="Geprüft",Programme_Grunddaten!AO405&lt;&gt;""),IF(Programme_Grunddaten!AO405="Ja",1,0),"")</f>
        <v/>
      </c>
      <c r="AH400" s="1" t="str">
        <f>IF(AND(Programme_Grunddaten!$A405="Geprüft",Programme_Grunddaten!AP405&lt;&gt;""),IF(Programme_Grunddaten!AP405="Ja",1,0),"")</f>
        <v/>
      </c>
      <c r="AI400" s="1" t="str">
        <f>IF(AND(Programme_Grunddaten!$A405="Geprüft",Programme_Grunddaten!AQ405&lt;&gt;""),IF(Programme_Grunddaten!AQ405="Ja",1,0),"")</f>
        <v/>
      </c>
      <c r="AJ400" s="1" t="str">
        <f>IF(AND(Programme_Grunddaten!$A405="Geprüft",Programme_Grunddaten!AR405&lt;&gt;""),IF(Programme_Grunddaten!AR405="Ja",1,0),"")</f>
        <v/>
      </c>
      <c r="AK400" s="1" t="str">
        <f>IF(AND(Programme_Grunddaten!$A405="Geprüft",Programme_Grunddaten!AS405&lt;&gt;""),IF(Programme_Grunddaten!AS405="Ja",1,0),"")</f>
        <v/>
      </c>
      <c r="AL400" s="1" t="str">
        <f>IF(AND(Programme_Grunddaten!$A405="Geprüft",Programme_Grunddaten!AT405&lt;&gt;""),IF(Programme_Grunddaten!AT405="Ja",1,0),"")</f>
        <v/>
      </c>
      <c r="AM400" s="1" t="str">
        <f>IF(AND(Programme_Grunddaten!$A405="Geprüft",Programme_Grunddaten!AU405&lt;&gt;""),IF(Programme_Grunddaten!AU405="Ja",1,0),"")</f>
        <v/>
      </c>
      <c r="AN400" s="1" t="str">
        <f>IF(AND(Programme_Grunddaten!$A405="Geprüft",Programme_Grunddaten!AV405&lt;&gt;""),IF(Programme_Grunddaten!AV405="Ja",1,0),"")</f>
        <v/>
      </c>
    </row>
    <row r="401" spans="1:40" x14ac:dyDescent="0.3">
      <c r="A401" s="1" t="str">
        <f>IF(AND(Programme_Grunddaten!A406="Geprüft",Programme_Grunddaten!B406&lt;&gt;""),Programme_Grunddaten!B406,"")</f>
        <v/>
      </c>
      <c r="B401" s="1" t="str">
        <f>IF(AND(Programme_Grunddaten!$A406="Geprüft",Programme_Grunddaten!I406&lt;&gt;""),IF(Programme_Grunddaten!I406="Ja",1,0),"")</f>
        <v/>
      </c>
      <c r="C401" s="1" t="str">
        <f>IF(AND(Programme_Grunddaten!$A406="Geprüft",Programme_Grunddaten!J406&lt;&gt;""),IF(Programme_Grunddaten!J406="Ja",1,0),"")</f>
        <v/>
      </c>
      <c r="D401" s="1" t="str">
        <f>IF(AND(Programme_Grunddaten!$A406="Geprüft",Programme_Grunddaten!K406&lt;&gt;""),IF(Programme_Grunddaten!K406="Ja",1,0),"")</f>
        <v/>
      </c>
      <c r="E401" s="1" t="str">
        <f>IF(AND(Programme_Grunddaten!$A406="Geprüft",Programme_Grunddaten!L406&lt;&gt;""),IF(Programme_Grunddaten!L406="Abo / befristete Lizenz",1,0),"")</f>
        <v/>
      </c>
      <c r="F401" s="1" t="str">
        <f>IF(AND(Programme_Grunddaten!$A406="Geprüft",Programme_Grunddaten!M406&lt;&gt;""),IF(Programme_Grunddaten!M406="Ja",1,0),"")</f>
        <v/>
      </c>
      <c r="G401" s="1" t="str">
        <f>IF(AND(Programme_Grunddaten!$A406="Geprüft",Programme_Grunddaten!N406&lt;&gt;""),IF(Programme_Grunddaten!N406="Ja",1,0),"")</f>
        <v/>
      </c>
      <c r="H401" s="1" t="str">
        <f>IF(AND(Programme_Grunddaten!$A406="Geprüft",Programme_Grunddaten!O406&lt;&gt;""),IF(Programme_Grunddaten!O406="Deutschland",0,IF(Programme_Grunddaten!O406="EU",1,2)),"")</f>
        <v/>
      </c>
      <c r="I401" s="1" t="str">
        <f>IF(AND(Programme_Grunddaten!$A406="Geprüft",Programme_Grunddaten!P406&lt;&gt;""),IF(Programme_Grunddaten!P406="Ja",1,0),"")</f>
        <v/>
      </c>
      <c r="J401" s="1" t="str">
        <f>IF(AND(Programme_Grunddaten!$A406="Geprüft",Programme_Grunddaten!Q406&lt;&gt;""),IF(Programme_Grunddaten!Q406="geschlossenes System",1,0),"")</f>
        <v/>
      </c>
      <c r="K401" s="1" t="str">
        <f>IF(AND(Programme_Grunddaten!$A406="Geprüft",Programme_Grunddaten!R406&lt;&gt;""),IF(Programme_Grunddaten!R406="Ja",1,0),"")</f>
        <v/>
      </c>
      <c r="L401" s="1" t="str">
        <f>IF(AND(Programme_Grunddaten!$A406="Geprüft",Programme_Grunddaten!T406&lt;&gt;""),IF(Programme_Grunddaten!T406="Ja",1,0),"")</f>
        <v/>
      </c>
      <c r="M401" s="1" t="str">
        <f>IF(AND(Programme_Grunddaten!$A406="Geprüft",Programme_Grunddaten!U406&lt;&gt;""),IF(Programme_Grunddaten!U406="Ja",1,0),"")</f>
        <v/>
      </c>
      <c r="N401" s="1" t="str">
        <f>IF(AND(Programme_Grunddaten!$A406="Geprüft",Programme_Grunddaten!V406&lt;&gt;""),IF(Programme_Grunddaten!V406="Ja",1,0),"")</f>
        <v/>
      </c>
      <c r="O401" s="1" t="str">
        <f>IF(AND(Programme_Grunddaten!$A406="Geprüft",Programme_Grunddaten!W406&lt;&gt;""),IF(Programme_Grunddaten!W406="Ja",1,0),"")</f>
        <v/>
      </c>
      <c r="P401" s="1" t="str">
        <f>IF(AND(Programme_Grunddaten!$A406="Geprüft",Programme_Grunddaten!X406&lt;&gt;""),IF(Programme_Grunddaten!X406="Ja",1,0),"")</f>
        <v/>
      </c>
      <c r="Q401" s="1" t="str">
        <f>IF(AND(Programme_Grunddaten!$A406="Geprüft",Programme_Grunddaten!Y406&lt;&gt;""),IF(Programme_Grunddaten!Y406="Ja",1,0),"")</f>
        <v/>
      </c>
      <c r="R401" s="1" t="str">
        <f>IF(AND(Programme_Grunddaten!$A406="Geprüft",Programme_Grunddaten!Z406&lt;&gt;""),IF(Programme_Grunddaten!Z406="Ja",1,0),"")</f>
        <v/>
      </c>
      <c r="S401" s="1" t="str">
        <f>IF(AND(Programme_Grunddaten!$A406="Geprüft",Programme_Grunddaten!AA406&lt;&gt;""),IF(Programme_Grunddaten!AA406="monolithisch",1,0),"")</f>
        <v/>
      </c>
      <c r="T401" s="1" t="str">
        <f>IF(AND(Programme_Grunddaten!$A406="Geprüft",Programme_Grunddaten!AB406&lt;&gt;""),IF(Programme_Grunddaten!AB406="Ja",1,0),"")</f>
        <v/>
      </c>
      <c r="U401" s="1" t="str">
        <f>IF(AND(Programme_Grunddaten!$A406="Geprüft",Programme_Grunddaten!AC406&lt;&gt;""),IF(Programme_Grunddaten!AC406="Ja",1,0),"")</f>
        <v/>
      </c>
      <c r="V401" s="1" t="str">
        <f>IF(AND(Programme_Grunddaten!$A406="Geprüft",Programme_Grunddaten!AD406&lt;&gt;""),IF(Programme_Grunddaten!AD406="Ja",1,0),"")</f>
        <v/>
      </c>
      <c r="W401" s="1" t="str">
        <f>IF(AND(Programme_Grunddaten!$A406="Geprüft",Programme_Grunddaten!AE406&lt;&gt;""),IF(Programme_Grunddaten!AE406="Ja",1,0),"")</f>
        <v/>
      </c>
      <c r="X401" s="1" t="str">
        <f>IF(AND(Programme_Grunddaten!$A406="Geprüft",Programme_Grunddaten!AF406&lt;&gt;""),IF(Programme_Grunddaten!AF406="Ja",1,0),"")</f>
        <v/>
      </c>
      <c r="Y401" s="1" t="str">
        <f>IF(AND(Programme_Grunddaten!$A406="Geprüft",Programme_Grunddaten!AG406&lt;&gt;""),IF(Programme_Grunddaten!AG406="Ja",1,0),"")</f>
        <v/>
      </c>
      <c r="Z401" s="1" t="str">
        <f>IF(AND(Programme_Grunddaten!$A406="Geprüft",Programme_Grunddaten!AH406&lt;&gt;""),IF(Programme_Grunddaten!AH406="Ja",1,0),"")</f>
        <v/>
      </c>
      <c r="AA401" s="1" t="str">
        <f>IF(AND(Programme_Grunddaten!$A406="Geprüft",Programme_Grunddaten!AI406&lt;&gt;""),IF(Programme_Grunddaten!AI406="Ja",1,0),"")</f>
        <v/>
      </c>
      <c r="AB401" s="1" t="str">
        <f>IF(AND(Programme_Grunddaten!$A406="Geprüft",Programme_Grunddaten!AJ406&lt;&gt;""),IF(Programme_Grunddaten!AJ406="individuell programmierbar",1,0),"")</f>
        <v/>
      </c>
      <c r="AC401" s="1" t="str">
        <f>IF(AND(Programme_Grunddaten!$A406="Geprüft",Programme_Grunddaten!AK406&lt;&gt;""),IF(Programme_Grunddaten!AK406="Deutsch",0,IF(Programme_Grunddaten!AK406="Deutsch und Englisch",1,2)),"")</f>
        <v/>
      </c>
      <c r="AD401" s="1" t="str">
        <f>IF(AND(Programme_Grunddaten!$A406="Geprüft",Programme_Grunddaten!AL406&lt;&gt;""),IF(Programme_Grunddaten!AL406="Ja",1,0),"")</f>
        <v/>
      </c>
      <c r="AE401" s="1" t="str">
        <f>IF(AND(Programme_Grunddaten!$A406="Geprüft",Programme_Grunddaten!AM406&lt;&gt;""),IF(Programme_Grunddaten!AM406="Ja",1,0),"")</f>
        <v/>
      </c>
      <c r="AF401" s="1" t="str">
        <f>IF(AND(Programme_Grunddaten!$A406="Geprüft",Programme_Grunddaten!AN406&lt;&gt;""),IF(Programme_Grunddaten!AN406="Ja",1,0),"")</f>
        <v/>
      </c>
      <c r="AG401" s="1" t="str">
        <f>IF(AND(Programme_Grunddaten!$A406="Geprüft",Programme_Grunddaten!AO406&lt;&gt;""),IF(Programme_Grunddaten!AO406="Ja",1,0),"")</f>
        <v/>
      </c>
      <c r="AH401" s="1" t="str">
        <f>IF(AND(Programme_Grunddaten!$A406="Geprüft",Programme_Grunddaten!AP406&lt;&gt;""),IF(Programme_Grunddaten!AP406="Ja",1,0),"")</f>
        <v/>
      </c>
      <c r="AI401" s="1" t="str">
        <f>IF(AND(Programme_Grunddaten!$A406="Geprüft",Programme_Grunddaten!AQ406&lt;&gt;""),IF(Programme_Grunddaten!AQ406="Ja",1,0),"")</f>
        <v/>
      </c>
      <c r="AJ401" s="1" t="str">
        <f>IF(AND(Programme_Grunddaten!$A406="Geprüft",Programme_Grunddaten!AR406&lt;&gt;""),IF(Programme_Grunddaten!AR406="Ja",1,0),"")</f>
        <v/>
      </c>
      <c r="AK401" s="1" t="str">
        <f>IF(AND(Programme_Grunddaten!$A406="Geprüft",Programme_Grunddaten!AS406&lt;&gt;""),IF(Programme_Grunddaten!AS406="Ja",1,0),"")</f>
        <v/>
      </c>
      <c r="AL401" s="1" t="str">
        <f>IF(AND(Programme_Grunddaten!$A406="Geprüft",Programme_Grunddaten!AT406&lt;&gt;""),IF(Programme_Grunddaten!AT406="Ja",1,0),"")</f>
        <v/>
      </c>
      <c r="AM401" s="1" t="str">
        <f>IF(AND(Programme_Grunddaten!$A406="Geprüft",Programme_Grunddaten!AU406&lt;&gt;""),IF(Programme_Grunddaten!AU406="Ja",1,0),"")</f>
        <v/>
      </c>
      <c r="AN401" s="1" t="str">
        <f>IF(AND(Programme_Grunddaten!$A406="Geprüft",Programme_Grunddaten!AV406&lt;&gt;""),IF(Programme_Grunddaten!AV406="Ja",1,0),"")</f>
        <v/>
      </c>
    </row>
    <row r="402" spans="1:40" x14ac:dyDescent="0.3">
      <c r="A402" s="1" t="str">
        <f>IF(AND(Programme_Grunddaten!A407="Geprüft",Programme_Grunddaten!B407&lt;&gt;""),Programme_Grunddaten!B407,"")</f>
        <v/>
      </c>
      <c r="B402" s="1" t="str">
        <f>IF(AND(Programme_Grunddaten!$A407="Geprüft",Programme_Grunddaten!I407&lt;&gt;""),IF(Programme_Grunddaten!I407="Ja",1,0),"")</f>
        <v/>
      </c>
      <c r="C402" s="1" t="str">
        <f>IF(AND(Programme_Grunddaten!$A407="Geprüft",Programme_Grunddaten!J407&lt;&gt;""),IF(Programme_Grunddaten!J407="Ja",1,0),"")</f>
        <v/>
      </c>
      <c r="D402" s="1" t="str">
        <f>IF(AND(Programme_Grunddaten!$A407="Geprüft",Programme_Grunddaten!K407&lt;&gt;""),IF(Programme_Grunddaten!K407="Ja",1,0),"")</f>
        <v/>
      </c>
      <c r="E402" s="1" t="str">
        <f>IF(AND(Programme_Grunddaten!$A407="Geprüft",Programme_Grunddaten!L407&lt;&gt;""),IF(Programme_Grunddaten!L407="Abo / befristete Lizenz",1,0),"")</f>
        <v/>
      </c>
      <c r="F402" s="1" t="str">
        <f>IF(AND(Programme_Grunddaten!$A407="Geprüft",Programme_Grunddaten!M407&lt;&gt;""),IF(Programme_Grunddaten!M407="Ja",1,0),"")</f>
        <v/>
      </c>
      <c r="G402" s="1" t="str">
        <f>IF(AND(Programme_Grunddaten!$A407="Geprüft",Programme_Grunddaten!N407&lt;&gt;""),IF(Programme_Grunddaten!N407="Ja",1,0),"")</f>
        <v/>
      </c>
      <c r="H402" s="1" t="str">
        <f>IF(AND(Programme_Grunddaten!$A407="Geprüft",Programme_Grunddaten!O407&lt;&gt;""),IF(Programme_Grunddaten!O407="Deutschland",0,IF(Programme_Grunddaten!O407="EU",1,2)),"")</f>
        <v/>
      </c>
      <c r="I402" s="1" t="str">
        <f>IF(AND(Programme_Grunddaten!$A407="Geprüft",Programme_Grunddaten!P407&lt;&gt;""),IF(Programme_Grunddaten!P407="Ja",1,0),"")</f>
        <v/>
      </c>
      <c r="J402" s="1" t="str">
        <f>IF(AND(Programme_Grunddaten!$A407="Geprüft",Programme_Grunddaten!Q407&lt;&gt;""),IF(Programme_Grunddaten!Q407="geschlossenes System",1,0),"")</f>
        <v/>
      </c>
      <c r="K402" s="1" t="str">
        <f>IF(AND(Programme_Grunddaten!$A407="Geprüft",Programme_Grunddaten!R407&lt;&gt;""),IF(Programme_Grunddaten!R407="Ja",1,0),"")</f>
        <v/>
      </c>
      <c r="L402" s="1" t="str">
        <f>IF(AND(Programme_Grunddaten!$A407="Geprüft",Programme_Grunddaten!T407&lt;&gt;""),IF(Programme_Grunddaten!T407="Ja",1,0),"")</f>
        <v/>
      </c>
      <c r="M402" s="1" t="str">
        <f>IF(AND(Programme_Grunddaten!$A407="Geprüft",Programme_Grunddaten!U407&lt;&gt;""),IF(Programme_Grunddaten!U407="Ja",1,0),"")</f>
        <v/>
      </c>
      <c r="N402" s="1" t="str">
        <f>IF(AND(Programme_Grunddaten!$A407="Geprüft",Programme_Grunddaten!V407&lt;&gt;""),IF(Programme_Grunddaten!V407="Ja",1,0),"")</f>
        <v/>
      </c>
      <c r="O402" s="1" t="str">
        <f>IF(AND(Programme_Grunddaten!$A407="Geprüft",Programme_Grunddaten!W407&lt;&gt;""),IF(Programme_Grunddaten!W407="Ja",1,0),"")</f>
        <v/>
      </c>
      <c r="P402" s="1" t="str">
        <f>IF(AND(Programme_Grunddaten!$A407="Geprüft",Programme_Grunddaten!X407&lt;&gt;""),IF(Programme_Grunddaten!X407="Ja",1,0),"")</f>
        <v/>
      </c>
      <c r="Q402" s="1" t="str">
        <f>IF(AND(Programme_Grunddaten!$A407="Geprüft",Programme_Grunddaten!Y407&lt;&gt;""),IF(Programme_Grunddaten!Y407="Ja",1,0),"")</f>
        <v/>
      </c>
      <c r="R402" s="1" t="str">
        <f>IF(AND(Programme_Grunddaten!$A407="Geprüft",Programme_Grunddaten!Z407&lt;&gt;""),IF(Programme_Grunddaten!Z407="Ja",1,0),"")</f>
        <v/>
      </c>
      <c r="S402" s="1" t="str">
        <f>IF(AND(Programme_Grunddaten!$A407="Geprüft",Programme_Grunddaten!AA407&lt;&gt;""),IF(Programme_Grunddaten!AA407="monolithisch",1,0),"")</f>
        <v/>
      </c>
      <c r="T402" s="1" t="str">
        <f>IF(AND(Programme_Grunddaten!$A407="Geprüft",Programme_Grunddaten!AB407&lt;&gt;""),IF(Programme_Grunddaten!AB407="Ja",1,0),"")</f>
        <v/>
      </c>
      <c r="U402" s="1" t="str">
        <f>IF(AND(Programme_Grunddaten!$A407="Geprüft",Programme_Grunddaten!AC407&lt;&gt;""),IF(Programme_Grunddaten!AC407="Ja",1,0),"")</f>
        <v/>
      </c>
      <c r="V402" s="1" t="str">
        <f>IF(AND(Programme_Grunddaten!$A407="Geprüft",Programme_Grunddaten!AD407&lt;&gt;""),IF(Programme_Grunddaten!AD407="Ja",1,0),"")</f>
        <v/>
      </c>
      <c r="W402" s="1" t="str">
        <f>IF(AND(Programme_Grunddaten!$A407="Geprüft",Programme_Grunddaten!AE407&lt;&gt;""),IF(Programme_Grunddaten!AE407="Ja",1,0),"")</f>
        <v/>
      </c>
      <c r="X402" s="1" t="str">
        <f>IF(AND(Programme_Grunddaten!$A407="Geprüft",Programme_Grunddaten!AF407&lt;&gt;""),IF(Programme_Grunddaten!AF407="Ja",1,0),"")</f>
        <v/>
      </c>
      <c r="Y402" s="1" t="str">
        <f>IF(AND(Programme_Grunddaten!$A407="Geprüft",Programme_Grunddaten!AG407&lt;&gt;""),IF(Programme_Grunddaten!AG407="Ja",1,0),"")</f>
        <v/>
      </c>
      <c r="Z402" s="1" t="str">
        <f>IF(AND(Programme_Grunddaten!$A407="Geprüft",Programme_Grunddaten!AH407&lt;&gt;""),IF(Programme_Grunddaten!AH407="Ja",1,0),"")</f>
        <v/>
      </c>
      <c r="AA402" s="1" t="str">
        <f>IF(AND(Programme_Grunddaten!$A407="Geprüft",Programme_Grunddaten!AI407&lt;&gt;""),IF(Programme_Grunddaten!AI407="Ja",1,0),"")</f>
        <v/>
      </c>
      <c r="AB402" s="1" t="str">
        <f>IF(AND(Programme_Grunddaten!$A407="Geprüft",Programme_Grunddaten!AJ407&lt;&gt;""),IF(Programme_Grunddaten!AJ407="individuell programmierbar",1,0),"")</f>
        <v/>
      </c>
      <c r="AC402" s="1" t="str">
        <f>IF(AND(Programme_Grunddaten!$A407="Geprüft",Programme_Grunddaten!AK407&lt;&gt;""),IF(Programme_Grunddaten!AK407="Deutsch",0,IF(Programme_Grunddaten!AK407="Deutsch und Englisch",1,2)),"")</f>
        <v/>
      </c>
      <c r="AD402" s="1" t="str">
        <f>IF(AND(Programme_Grunddaten!$A407="Geprüft",Programme_Grunddaten!AL407&lt;&gt;""),IF(Programme_Grunddaten!AL407="Ja",1,0),"")</f>
        <v/>
      </c>
      <c r="AE402" s="1" t="str">
        <f>IF(AND(Programme_Grunddaten!$A407="Geprüft",Programme_Grunddaten!AM407&lt;&gt;""),IF(Programme_Grunddaten!AM407="Ja",1,0),"")</f>
        <v/>
      </c>
      <c r="AF402" s="1" t="str">
        <f>IF(AND(Programme_Grunddaten!$A407="Geprüft",Programme_Grunddaten!AN407&lt;&gt;""),IF(Programme_Grunddaten!AN407="Ja",1,0),"")</f>
        <v/>
      </c>
      <c r="AG402" s="1" t="str">
        <f>IF(AND(Programme_Grunddaten!$A407="Geprüft",Programme_Grunddaten!AO407&lt;&gt;""),IF(Programme_Grunddaten!AO407="Ja",1,0),"")</f>
        <v/>
      </c>
      <c r="AH402" s="1" t="str">
        <f>IF(AND(Programme_Grunddaten!$A407="Geprüft",Programme_Grunddaten!AP407&lt;&gt;""),IF(Programme_Grunddaten!AP407="Ja",1,0),"")</f>
        <v/>
      </c>
      <c r="AI402" s="1" t="str">
        <f>IF(AND(Programme_Grunddaten!$A407="Geprüft",Programme_Grunddaten!AQ407&lt;&gt;""),IF(Programme_Grunddaten!AQ407="Ja",1,0),"")</f>
        <v/>
      </c>
      <c r="AJ402" s="1" t="str">
        <f>IF(AND(Programme_Grunddaten!$A407="Geprüft",Programme_Grunddaten!AR407&lt;&gt;""),IF(Programme_Grunddaten!AR407="Ja",1,0),"")</f>
        <v/>
      </c>
      <c r="AK402" s="1" t="str">
        <f>IF(AND(Programme_Grunddaten!$A407="Geprüft",Programme_Grunddaten!AS407&lt;&gt;""),IF(Programme_Grunddaten!AS407="Ja",1,0),"")</f>
        <v/>
      </c>
      <c r="AL402" s="1" t="str">
        <f>IF(AND(Programme_Grunddaten!$A407="Geprüft",Programme_Grunddaten!AT407&lt;&gt;""),IF(Programme_Grunddaten!AT407="Ja",1,0),"")</f>
        <v/>
      </c>
      <c r="AM402" s="1" t="str">
        <f>IF(AND(Programme_Grunddaten!$A407="Geprüft",Programme_Grunddaten!AU407&lt;&gt;""),IF(Programme_Grunddaten!AU407="Ja",1,0),"")</f>
        <v/>
      </c>
      <c r="AN402" s="1" t="str">
        <f>IF(AND(Programme_Grunddaten!$A407="Geprüft",Programme_Grunddaten!AV407&lt;&gt;""),IF(Programme_Grunddaten!AV407="Ja",1,0),"")</f>
        <v/>
      </c>
    </row>
    <row r="403" spans="1:40" x14ac:dyDescent="0.3">
      <c r="A403" s="1" t="str">
        <f>IF(AND(Programme_Grunddaten!A408="Geprüft",Programme_Grunddaten!B408&lt;&gt;""),Programme_Grunddaten!B408,"")</f>
        <v/>
      </c>
      <c r="B403" s="1" t="str">
        <f>IF(AND(Programme_Grunddaten!$A408="Geprüft",Programme_Grunddaten!I408&lt;&gt;""),IF(Programme_Grunddaten!I408="Ja",1,0),"")</f>
        <v/>
      </c>
      <c r="C403" s="1" t="str">
        <f>IF(AND(Programme_Grunddaten!$A408="Geprüft",Programme_Grunddaten!J408&lt;&gt;""),IF(Programme_Grunddaten!J408="Ja",1,0),"")</f>
        <v/>
      </c>
      <c r="D403" s="1" t="str">
        <f>IF(AND(Programme_Grunddaten!$A408="Geprüft",Programme_Grunddaten!K408&lt;&gt;""),IF(Programme_Grunddaten!K408="Ja",1,0),"")</f>
        <v/>
      </c>
      <c r="E403" s="1" t="str">
        <f>IF(AND(Programme_Grunddaten!$A408="Geprüft",Programme_Grunddaten!L408&lt;&gt;""),IF(Programme_Grunddaten!L408="Abo / befristete Lizenz",1,0),"")</f>
        <v/>
      </c>
      <c r="F403" s="1" t="str">
        <f>IF(AND(Programme_Grunddaten!$A408="Geprüft",Programme_Grunddaten!M408&lt;&gt;""),IF(Programme_Grunddaten!M408="Ja",1,0),"")</f>
        <v/>
      </c>
      <c r="G403" s="1" t="str">
        <f>IF(AND(Programme_Grunddaten!$A408="Geprüft",Programme_Grunddaten!N408&lt;&gt;""),IF(Programme_Grunddaten!N408="Ja",1,0),"")</f>
        <v/>
      </c>
      <c r="H403" s="1" t="str">
        <f>IF(AND(Programme_Grunddaten!$A408="Geprüft",Programme_Grunddaten!O408&lt;&gt;""),IF(Programme_Grunddaten!O408="Deutschland",0,IF(Programme_Grunddaten!O408="EU",1,2)),"")</f>
        <v/>
      </c>
      <c r="I403" s="1" t="str">
        <f>IF(AND(Programme_Grunddaten!$A408="Geprüft",Programme_Grunddaten!P408&lt;&gt;""),IF(Programme_Grunddaten!P408="Ja",1,0),"")</f>
        <v/>
      </c>
      <c r="J403" s="1" t="str">
        <f>IF(AND(Programme_Grunddaten!$A408="Geprüft",Programme_Grunddaten!Q408&lt;&gt;""),IF(Programme_Grunddaten!Q408="geschlossenes System",1,0),"")</f>
        <v/>
      </c>
      <c r="K403" s="1" t="str">
        <f>IF(AND(Programme_Grunddaten!$A408="Geprüft",Programme_Grunddaten!R408&lt;&gt;""),IF(Programme_Grunddaten!R408="Ja",1,0),"")</f>
        <v/>
      </c>
      <c r="L403" s="1" t="str">
        <f>IF(AND(Programme_Grunddaten!$A408="Geprüft",Programme_Grunddaten!T408&lt;&gt;""),IF(Programme_Grunddaten!T408="Ja",1,0),"")</f>
        <v/>
      </c>
      <c r="M403" s="1" t="str">
        <f>IF(AND(Programme_Grunddaten!$A408="Geprüft",Programme_Grunddaten!U408&lt;&gt;""),IF(Programme_Grunddaten!U408="Ja",1,0),"")</f>
        <v/>
      </c>
      <c r="N403" s="1" t="str">
        <f>IF(AND(Programme_Grunddaten!$A408="Geprüft",Programme_Grunddaten!V408&lt;&gt;""),IF(Programme_Grunddaten!V408="Ja",1,0),"")</f>
        <v/>
      </c>
      <c r="O403" s="1" t="str">
        <f>IF(AND(Programme_Grunddaten!$A408="Geprüft",Programme_Grunddaten!W408&lt;&gt;""),IF(Programme_Grunddaten!W408="Ja",1,0),"")</f>
        <v/>
      </c>
      <c r="P403" s="1" t="str">
        <f>IF(AND(Programme_Grunddaten!$A408="Geprüft",Programme_Grunddaten!X408&lt;&gt;""),IF(Programme_Grunddaten!X408="Ja",1,0),"")</f>
        <v/>
      </c>
      <c r="Q403" s="1" t="str">
        <f>IF(AND(Programme_Grunddaten!$A408="Geprüft",Programme_Grunddaten!Y408&lt;&gt;""),IF(Programme_Grunddaten!Y408="Ja",1,0),"")</f>
        <v/>
      </c>
      <c r="R403" s="1" t="str">
        <f>IF(AND(Programme_Grunddaten!$A408="Geprüft",Programme_Grunddaten!Z408&lt;&gt;""),IF(Programme_Grunddaten!Z408="Ja",1,0),"")</f>
        <v/>
      </c>
      <c r="S403" s="1" t="str">
        <f>IF(AND(Programme_Grunddaten!$A408="Geprüft",Programme_Grunddaten!AA408&lt;&gt;""),IF(Programme_Grunddaten!AA408="monolithisch",1,0),"")</f>
        <v/>
      </c>
      <c r="T403" s="1" t="str">
        <f>IF(AND(Programme_Grunddaten!$A408="Geprüft",Programme_Grunddaten!AB408&lt;&gt;""),IF(Programme_Grunddaten!AB408="Ja",1,0),"")</f>
        <v/>
      </c>
      <c r="U403" s="1" t="str">
        <f>IF(AND(Programme_Grunddaten!$A408="Geprüft",Programme_Grunddaten!AC408&lt;&gt;""),IF(Programme_Grunddaten!AC408="Ja",1,0),"")</f>
        <v/>
      </c>
      <c r="V403" s="1" t="str">
        <f>IF(AND(Programme_Grunddaten!$A408="Geprüft",Programme_Grunddaten!AD408&lt;&gt;""),IF(Programme_Grunddaten!AD408="Ja",1,0),"")</f>
        <v/>
      </c>
      <c r="W403" s="1" t="str">
        <f>IF(AND(Programme_Grunddaten!$A408="Geprüft",Programme_Grunddaten!AE408&lt;&gt;""),IF(Programme_Grunddaten!AE408="Ja",1,0),"")</f>
        <v/>
      </c>
      <c r="X403" s="1" t="str">
        <f>IF(AND(Programme_Grunddaten!$A408="Geprüft",Programme_Grunddaten!AF408&lt;&gt;""),IF(Programme_Grunddaten!AF408="Ja",1,0),"")</f>
        <v/>
      </c>
      <c r="Y403" s="1" t="str">
        <f>IF(AND(Programme_Grunddaten!$A408="Geprüft",Programme_Grunddaten!AG408&lt;&gt;""),IF(Programme_Grunddaten!AG408="Ja",1,0),"")</f>
        <v/>
      </c>
      <c r="Z403" s="1" t="str">
        <f>IF(AND(Programme_Grunddaten!$A408="Geprüft",Programme_Grunddaten!AH408&lt;&gt;""),IF(Programme_Grunddaten!AH408="Ja",1,0),"")</f>
        <v/>
      </c>
      <c r="AA403" s="1" t="str">
        <f>IF(AND(Programme_Grunddaten!$A408="Geprüft",Programme_Grunddaten!AI408&lt;&gt;""),IF(Programme_Grunddaten!AI408="Ja",1,0),"")</f>
        <v/>
      </c>
      <c r="AB403" s="1" t="str">
        <f>IF(AND(Programme_Grunddaten!$A408="Geprüft",Programme_Grunddaten!AJ408&lt;&gt;""),IF(Programme_Grunddaten!AJ408="individuell programmierbar",1,0),"")</f>
        <v/>
      </c>
      <c r="AC403" s="1" t="str">
        <f>IF(AND(Programme_Grunddaten!$A408="Geprüft",Programme_Grunddaten!AK408&lt;&gt;""),IF(Programme_Grunddaten!AK408="Deutsch",0,IF(Programme_Grunddaten!AK408="Deutsch und Englisch",1,2)),"")</f>
        <v/>
      </c>
      <c r="AD403" s="1" t="str">
        <f>IF(AND(Programme_Grunddaten!$A408="Geprüft",Programme_Grunddaten!AL408&lt;&gt;""),IF(Programme_Grunddaten!AL408="Ja",1,0),"")</f>
        <v/>
      </c>
      <c r="AE403" s="1" t="str">
        <f>IF(AND(Programme_Grunddaten!$A408="Geprüft",Programme_Grunddaten!AM408&lt;&gt;""),IF(Programme_Grunddaten!AM408="Ja",1,0),"")</f>
        <v/>
      </c>
      <c r="AF403" s="1" t="str">
        <f>IF(AND(Programme_Grunddaten!$A408="Geprüft",Programme_Grunddaten!AN408&lt;&gt;""),IF(Programme_Grunddaten!AN408="Ja",1,0),"")</f>
        <v/>
      </c>
      <c r="AG403" s="1" t="str">
        <f>IF(AND(Programme_Grunddaten!$A408="Geprüft",Programme_Grunddaten!AO408&lt;&gt;""),IF(Programme_Grunddaten!AO408="Ja",1,0),"")</f>
        <v/>
      </c>
      <c r="AH403" s="1" t="str">
        <f>IF(AND(Programme_Grunddaten!$A408="Geprüft",Programme_Grunddaten!AP408&lt;&gt;""),IF(Programme_Grunddaten!AP408="Ja",1,0),"")</f>
        <v/>
      </c>
      <c r="AI403" s="1" t="str">
        <f>IF(AND(Programme_Grunddaten!$A408="Geprüft",Programme_Grunddaten!AQ408&lt;&gt;""),IF(Programme_Grunddaten!AQ408="Ja",1,0),"")</f>
        <v/>
      </c>
      <c r="AJ403" s="1" t="str">
        <f>IF(AND(Programme_Grunddaten!$A408="Geprüft",Programme_Grunddaten!AR408&lt;&gt;""),IF(Programme_Grunddaten!AR408="Ja",1,0),"")</f>
        <v/>
      </c>
      <c r="AK403" s="1" t="str">
        <f>IF(AND(Programme_Grunddaten!$A408="Geprüft",Programme_Grunddaten!AS408&lt;&gt;""),IF(Programme_Grunddaten!AS408="Ja",1,0),"")</f>
        <v/>
      </c>
      <c r="AL403" s="1" t="str">
        <f>IF(AND(Programme_Grunddaten!$A408="Geprüft",Programme_Grunddaten!AT408&lt;&gt;""),IF(Programme_Grunddaten!AT408="Ja",1,0),"")</f>
        <v/>
      </c>
      <c r="AM403" s="1" t="str">
        <f>IF(AND(Programme_Grunddaten!$A408="Geprüft",Programme_Grunddaten!AU408&lt;&gt;""),IF(Programme_Grunddaten!AU408="Ja",1,0),"")</f>
        <v/>
      </c>
      <c r="AN403" s="1" t="str">
        <f>IF(AND(Programme_Grunddaten!$A408="Geprüft",Programme_Grunddaten!AV408&lt;&gt;""),IF(Programme_Grunddaten!AV408="Ja",1,0),"")</f>
        <v/>
      </c>
    </row>
    <row r="404" spans="1:40" x14ac:dyDescent="0.3">
      <c r="A404" s="1" t="str">
        <f>IF(AND(Programme_Grunddaten!A409="Geprüft",Programme_Grunddaten!B409&lt;&gt;""),Programme_Grunddaten!B409,"")</f>
        <v/>
      </c>
      <c r="B404" s="1" t="str">
        <f>IF(AND(Programme_Grunddaten!$A409="Geprüft",Programme_Grunddaten!I409&lt;&gt;""),IF(Programme_Grunddaten!I409="Ja",1,0),"")</f>
        <v/>
      </c>
      <c r="C404" s="1" t="str">
        <f>IF(AND(Programme_Grunddaten!$A409="Geprüft",Programme_Grunddaten!J409&lt;&gt;""),IF(Programme_Grunddaten!J409="Ja",1,0),"")</f>
        <v/>
      </c>
      <c r="D404" s="1" t="str">
        <f>IF(AND(Programme_Grunddaten!$A409="Geprüft",Programme_Grunddaten!K409&lt;&gt;""),IF(Programme_Grunddaten!K409="Ja",1,0),"")</f>
        <v/>
      </c>
      <c r="E404" s="1" t="str">
        <f>IF(AND(Programme_Grunddaten!$A409="Geprüft",Programme_Grunddaten!L409&lt;&gt;""),IF(Programme_Grunddaten!L409="Abo / befristete Lizenz",1,0),"")</f>
        <v/>
      </c>
      <c r="F404" s="1" t="str">
        <f>IF(AND(Programme_Grunddaten!$A409="Geprüft",Programme_Grunddaten!M409&lt;&gt;""),IF(Programme_Grunddaten!M409="Ja",1,0),"")</f>
        <v/>
      </c>
      <c r="G404" s="1" t="str">
        <f>IF(AND(Programme_Grunddaten!$A409="Geprüft",Programme_Grunddaten!N409&lt;&gt;""),IF(Programme_Grunddaten!N409="Ja",1,0),"")</f>
        <v/>
      </c>
      <c r="H404" s="1" t="str">
        <f>IF(AND(Programme_Grunddaten!$A409="Geprüft",Programme_Grunddaten!O409&lt;&gt;""),IF(Programme_Grunddaten!O409="Deutschland",0,IF(Programme_Grunddaten!O409="EU",1,2)),"")</f>
        <v/>
      </c>
      <c r="I404" s="1" t="str">
        <f>IF(AND(Programme_Grunddaten!$A409="Geprüft",Programme_Grunddaten!P409&lt;&gt;""),IF(Programme_Grunddaten!P409="Ja",1,0),"")</f>
        <v/>
      </c>
      <c r="J404" s="1" t="str">
        <f>IF(AND(Programme_Grunddaten!$A409="Geprüft",Programme_Grunddaten!Q409&lt;&gt;""),IF(Programme_Grunddaten!Q409="geschlossenes System",1,0),"")</f>
        <v/>
      </c>
      <c r="K404" s="1" t="str">
        <f>IF(AND(Programme_Grunddaten!$A409="Geprüft",Programme_Grunddaten!R409&lt;&gt;""),IF(Programme_Grunddaten!R409="Ja",1,0),"")</f>
        <v/>
      </c>
      <c r="L404" s="1" t="str">
        <f>IF(AND(Programme_Grunddaten!$A409="Geprüft",Programme_Grunddaten!T409&lt;&gt;""),IF(Programme_Grunddaten!T409="Ja",1,0),"")</f>
        <v/>
      </c>
      <c r="M404" s="1" t="str">
        <f>IF(AND(Programme_Grunddaten!$A409="Geprüft",Programme_Grunddaten!U409&lt;&gt;""),IF(Programme_Grunddaten!U409="Ja",1,0),"")</f>
        <v/>
      </c>
      <c r="N404" s="1" t="str">
        <f>IF(AND(Programme_Grunddaten!$A409="Geprüft",Programme_Grunddaten!V409&lt;&gt;""),IF(Programme_Grunddaten!V409="Ja",1,0),"")</f>
        <v/>
      </c>
      <c r="O404" s="1" t="str">
        <f>IF(AND(Programme_Grunddaten!$A409="Geprüft",Programme_Grunddaten!W409&lt;&gt;""),IF(Programme_Grunddaten!W409="Ja",1,0),"")</f>
        <v/>
      </c>
      <c r="P404" s="1" t="str">
        <f>IF(AND(Programme_Grunddaten!$A409="Geprüft",Programme_Grunddaten!X409&lt;&gt;""),IF(Programme_Grunddaten!X409="Ja",1,0),"")</f>
        <v/>
      </c>
      <c r="Q404" s="1" t="str">
        <f>IF(AND(Programme_Grunddaten!$A409="Geprüft",Programme_Grunddaten!Y409&lt;&gt;""),IF(Programme_Grunddaten!Y409="Ja",1,0),"")</f>
        <v/>
      </c>
      <c r="R404" s="1" t="str">
        <f>IF(AND(Programme_Grunddaten!$A409="Geprüft",Programme_Grunddaten!Z409&lt;&gt;""),IF(Programme_Grunddaten!Z409="Ja",1,0),"")</f>
        <v/>
      </c>
      <c r="S404" s="1" t="str">
        <f>IF(AND(Programme_Grunddaten!$A409="Geprüft",Programme_Grunddaten!AA409&lt;&gt;""),IF(Programme_Grunddaten!AA409="monolithisch",1,0),"")</f>
        <v/>
      </c>
      <c r="T404" s="1" t="str">
        <f>IF(AND(Programme_Grunddaten!$A409="Geprüft",Programme_Grunddaten!AB409&lt;&gt;""),IF(Programme_Grunddaten!AB409="Ja",1,0),"")</f>
        <v/>
      </c>
      <c r="U404" s="1" t="str">
        <f>IF(AND(Programme_Grunddaten!$A409="Geprüft",Programme_Grunddaten!AC409&lt;&gt;""),IF(Programme_Grunddaten!AC409="Ja",1,0),"")</f>
        <v/>
      </c>
      <c r="V404" s="1" t="str">
        <f>IF(AND(Programme_Grunddaten!$A409="Geprüft",Programme_Grunddaten!AD409&lt;&gt;""),IF(Programme_Grunddaten!AD409="Ja",1,0),"")</f>
        <v/>
      </c>
      <c r="W404" s="1" t="str">
        <f>IF(AND(Programme_Grunddaten!$A409="Geprüft",Programme_Grunddaten!AE409&lt;&gt;""),IF(Programme_Grunddaten!AE409="Ja",1,0),"")</f>
        <v/>
      </c>
      <c r="X404" s="1" t="str">
        <f>IF(AND(Programme_Grunddaten!$A409="Geprüft",Programme_Grunddaten!AF409&lt;&gt;""),IF(Programme_Grunddaten!AF409="Ja",1,0),"")</f>
        <v/>
      </c>
      <c r="Y404" s="1" t="str">
        <f>IF(AND(Programme_Grunddaten!$A409="Geprüft",Programme_Grunddaten!AG409&lt;&gt;""),IF(Programme_Grunddaten!AG409="Ja",1,0),"")</f>
        <v/>
      </c>
      <c r="Z404" s="1" t="str">
        <f>IF(AND(Programme_Grunddaten!$A409="Geprüft",Programme_Grunddaten!AH409&lt;&gt;""),IF(Programme_Grunddaten!AH409="Ja",1,0),"")</f>
        <v/>
      </c>
      <c r="AA404" s="1" t="str">
        <f>IF(AND(Programme_Grunddaten!$A409="Geprüft",Programme_Grunddaten!AI409&lt;&gt;""),IF(Programme_Grunddaten!AI409="Ja",1,0),"")</f>
        <v/>
      </c>
      <c r="AB404" s="1" t="str">
        <f>IF(AND(Programme_Grunddaten!$A409="Geprüft",Programme_Grunddaten!AJ409&lt;&gt;""),IF(Programme_Grunddaten!AJ409="individuell programmierbar",1,0),"")</f>
        <v/>
      </c>
      <c r="AC404" s="1" t="str">
        <f>IF(AND(Programme_Grunddaten!$A409="Geprüft",Programme_Grunddaten!AK409&lt;&gt;""),IF(Programme_Grunddaten!AK409="Deutsch",0,IF(Programme_Grunddaten!AK409="Deutsch und Englisch",1,2)),"")</f>
        <v/>
      </c>
      <c r="AD404" s="1" t="str">
        <f>IF(AND(Programme_Grunddaten!$A409="Geprüft",Programme_Grunddaten!AL409&lt;&gt;""),IF(Programme_Grunddaten!AL409="Ja",1,0),"")</f>
        <v/>
      </c>
      <c r="AE404" s="1" t="str">
        <f>IF(AND(Programme_Grunddaten!$A409="Geprüft",Programme_Grunddaten!AM409&lt;&gt;""),IF(Programme_Grunddaten!AM409="Ja",1,0),"")</f>
        <v/>
      </c>
      <c r="AF404" s="1" t="str">
        <f>IF(AND(Programme_Grunddaten!$A409="Geprüft",Programme_Grunddaten!AN409&lt;&gt;""),IF(Programme_Grunddaten!AN409="Ja",1,0),"")</f>
        <v/>
      </c>
      <c r="AG404" s="1" t="str">
        <f>IF(AND(Programme_Grunddaten!$A409="Geprüft",Programme_Grunddaten!AO409&lt;&gt;""),IF(Programme_Grunddaten!AO409="Ja",1,0),"")</f>
        <v/>
      </c>
      <c r="AH404" s="1" t="str">
        <f>IF(AND(Programme_Grunddaten!$A409="Geprüft",Programme_Grunddaten!AP409&lt;&gt;""),IF(Programme_Grunddaten!AP409="Ja",1,0),"")</f>
        <v/>
      </c>
      <c r="AI404" s="1" t="str">
        <f>IF(AND(Programme_Grunddaten!$A409="Geprüft",Programme_Grunddaten!AQ409&lt;&gt;""),IF(Programme_Grunddaten!AQ409="Ja",1,0),"")</f>
        <v/>
      </c>
      <c r="AJ404" s="1" t="str">
        <f>IF(AND(Programme_Grunddaten!$A409="Geprüft",Programme_Grunddaten!AR409&lt;&gt;""),IF(Programme_Grunddaten!AR409="Ja",1,0),"")</f>
        <v/>
      </c>
      <c r="AK404" s="1" t="str">
        <f>IF(AND(Programme_Grunddaten!$A409="Geprüft",Programme_Grunddaten!AS409&lt;&gt;""),IF(Programme_Grunddaten!AS409="Ja",1,0),"")</f>
        <v/>
      </c>
      <c r="AL404" s="1" t="str">
        <f>IF(AND(Programme_Grunddaten!$A409="Geprüft",Programme_Grunddaten!AT409&lt;&gt;""),IF(Programme_Grunddaten!AT409="Ja",1,0),"")</f>
        <v/>
      </c>
      <c r="AM404" s="1" t="str">
        <f>IF(AND(Programme_Grunddaten!$A409="Geprüft",Programme_Grunddaten!AU409&lt;&gt;""),IF(Programme_Grunddaten!AU409="Ja",1,0),"")</f>
        <v/>
      </c>
      <c r="AN404" s="1" t="str">
        <f>IF(AND(Programme_Grunddaten!$A409="Geprüft",Programme_Grunddaten!AV409&lt;&gt;""),IF(Programme_Grunddaten!AV409="Ja",1,0),"")</f>
        <v/>
      </c>
    </row>
    <row r="405" spans="1:40" x14ac:dyDescent="0.3">
      <c r="A405" s="1" t="str">
        <f>IF(AND(Programme_Grunddaten!A410="Geprüft",Programme_Grunddaten!B410&lt;&gt;""),Programme_Grunddaten!B410,"")</f>
        <v/>
      </c>
      <c r="B405" s="1" t="str">
        <f>IF(AND(Programme_Grunddaten!$A410="Geprüft",Programme_Grunddaten!I410&lt;&gt;""),IF(Programme_Grunddaten!I410="Ja",1,0),"")</f>
        <v/>
      </c>
      <c r="C405" s="1" t="str">
        <f>IF(AND(Programme_Grunddaten!$A410="Geprüft",Programme_Grunddaten!J410&lt;&gt;""),IF(Programme_Grunddaten!J410="Ja",1,0),"")</f>
        <v/>
      </c>
      <c r="D405" s="1" t="str">
        <f>IF(AND(Programme_Grunddaten!$A410="Geprüft",Programme_Grunddaten!K410&lt;&gt;""),IF(Programme_Grunddaten!K410="Ja",1,0),"")</f>
        <v/>
      </c>
      <c r="E405" s="1" t="str">
        <f>IF(AND(Programme_Grunddaten!$A410="Geprüft",Programme_Grunddaten!L410&lt;&gt;""),IF(Programme_Grunddaten!L410="Abo / befristete Lizenz",1,0),"")</f>
        <v/>
      </c>
      <c r="F405" s="1" t="str">
        <f>IF(AND(Programme_Grunddaten!$A410="Geprüft",Programme_Grunddaten!M410&lt;&gt;""),IF(Programme_Grunddaten!M410="Ja",1,0),"")</f>
        <v/>
      </c>
      <c r="G405" s="1" t="str">
        <f>IF(AND(Programme_Grunddaten!$A410="Geprüft",Programme_Grunddaten!N410&lt;&gt;""),IF(Programme_Grunddaten!N410="Ja",1,0),"")</f>
        <v/>
      </c>
      <c r="H405" s="1" t="str">
        <f>IF(AND(Programme_Grunddaten!$A410="Geprüft",Programme_Grunddaten!O410&lt;&gt;""),IF(Programme_Grunddaten!O410="Deutschland",0,IF(Programme_Grunddaten!O410="EU",1,2)),"")</f>
        <v/>
      </c>
      <c r="I405" s="1" t="str">
        <f>IF(AND(Programme_Grunddaten!$A410="Geprüft",Programme_Grunddaten!P410&lt;&gt;""),IF(Programme_Grunddaten!P410="Ja",1,0),"")</f>
        <v/>
      </c>
      <c r="J405" s="1" t="str">
        <f>IF(AND(Programme_Grunddaten!$A410="Geprüft",Programme_Grunddaten!Q410&lt;&gt;""),IF(Programme_Grunddaten!Q410="geschlossenes System",1,0),"")</f>
        <v/>
      </c>
      <c r="K405" s="1" t="str">
        <f>IF(AND(Programme_Grunddaten!$A410="Geprüft",Programme_Grunddaten!R410&lt;&gt;""),IF(Programme_Grunddaten!R410="Ja",1,0),"")</f>
        <v/>
      </c>
      <c r="L405" s="1" t="str">
        <f>IF(AND(Programme_Grunddaten!$A410="Geprüft",Programme_Grunddaten!T410&lt;&gt;""),IF(Programme_Grunddaten!T410="Ja",1,0),"")</f>
        <v/>
      </c>
      <c r="M405" s="1" t="str">
        <f>IF(AND(Programme_Grunddaten!$A410="Geprüft",Programme_Grunddaten!U410&lt;&gt;""),IF(Programme_Grunddaten!U410="Ja",1,0),"")</f>
        <v/>
      </c>
      <c r="N405" s="1" t="str">
        <f>IF(AND(Programme_Grunddaten!$A410="Geprüft",Programme_Grunddaten!V410&lt;&gt;""),IF(Programme_Grunddaten!V410="Ja",1,0),"")</f>
        <v/>
      </c>
      <c r="O405" s="1" t="str">
        <f>IF(AND(Programme_Grunddaten!$A410="Geprüft",Programme_Grunddaten!W410&lt;&gt;""),IF(Programme_Grunddaten!W410="Ja",1,0),"")</f>
        <v/>
      </c>
      <c r="P405" s="1" t="str">
        <f>IF(AND(Programme_Grunddaten!$A410="Geprüft",Programme_Grunddaten!X410&lt;&gt;""),IF(Programme_Grunddaten!X410="Ja",1,0),"")</f>
        <v/>
      </c>
      <c r="Q405" s="1" t="str">
        <f>IF(AND(Programme_Grunddaten!$A410="Geprüft",Programme_Grunddaten!Y410&lt;&gt;""),IF(Programme_Grunddaten!Y410="Ja",1,0),"")</f>
        <v/>
      </c>
      <c r="R405" s="1" t="str">
        <f>IF(AND(Programme_Grunddaten!$A410="Geprüft",Programme_Grunddaten!Z410&lt;&gt;""),IF(Programme_Grunddaten!Z410="Ja",1,0),"")</f>
        <v/>
      </c>
      <c r="S405" s="1" t="str">
        <f>IF(AND(Programme_Grunddaten!$A410="Geprüft",Programme_Grunddaten!AA410&lt;&gt;""),IF(Programme_Grunddaten!AA410="monolithisch",1,0),"")</f>
        <v/>
      </c>
      <c r="T405" s="1" t="str">
        <f>IF(AND(Programme_Grunddaten!$A410="Geprüft",Programme_Grunddaten!AB410&lt;&gt;""),IF(Programme_Grunddaten!AB410="Ja",1,0),"")</f>
        <v/>
      </c>
      <c r="U405" s="1" t="str">
        <f>IF(AND(Programme_Grunddaten!$A410="Geprüft",Programme_Grunddaten!AC410&lt;&gt;""),IF(Programme_Grunddaten!AC410="Ja",1,0),"")</f>
        <v/>
      </c>
      <c r="V405" s="1" t="str">
        <f>IF(AND(Programme_Grunddaten!$A410="Geprüft",Programme_Grunddaten!AD410&lt;&gt;""),IF(Programme_Grunddaten!AD410="Ja",1,0),"")</f>
        <v/>
      </c>
      <c r="W405" s="1" t="str">
        <f>IF(AND(Programme_Grunddaten!$A410="Geprüft",Programme_Grunddaten!AE410&lt;&gt;""),IF(Programme_Grunddaten!AE410="Ja",1,0),"")</f>
        <v/>
      </c>
      <c r="X405" s="1" t="str">
        <f>IF(AND(Programme_Grunddaten!$A410="Geprüft",Programme_Grunddaten!AF410&lt;&gt;""),IF(Programme_Grunddaten!AF410="Ja",1,0),"")</f>
        <v/>
      </c>
      <c r="Y405" s="1" t="str">
        <f>IF(AND(Programme_Grunddaten!$A410="Geprüft",Programme_Grunddaten!AG410&lt;&gt;""),IF(Programme_Grunddaten!AG410="Ja",1,0),"")</f>
        <v/>
      </c>
      <c r="Z405" s="1" t="str">
        <f>IF(AND(Programme_Grunddaten!$A410="Geprüft",Programme_Grunddaten!AH410&lt;&gt;""),IF(Programme_Grunddaten!AH410="Ja",1,0),"")</f>
        <v/>
      </c>
      <c r="AA405" s="1" t="str">
        <f>IF(AND(Programme_Grunddaten!$A410="Geprüft",Programme_Grunddaten!AI410&lt;&gt;""),IF(Programme_Grunddaten!AI410="Ja",1,0),"")</f>
        <v/>
      </c>
      <c r="AB405" s="1" t="str">
        <f>IF(AND(Programme_Grunddaten!$A410="Geprüft",Programme_Grunddaten!AJ410&lt;&gt;""),IF(Programme_Grunddaten!AJ410="individuell programmierbar",1,0),"")</f>
        <v/>
      </c>
      <c r="AC405" s="1" t="str">
        <f>IF(AND(Programme_Grunddaten!$A410="Geprüft",Programme_Grunddaten!AK410&lt;&gt;""),IF(Programme_Grunddaten!AK410="Deutsch",0,IF(Programme_Grunddaten!AK410="Deutsch und Englisch",1,2)),"")</f>
        <v/>
      </c>
      <c r="AD405" s="1" t="str">
        <f>IF(AND(Programme_Grunddaten!$A410="Geprüft",Programme_Grunddaten!AL410&lt;&gt;""),IF(Programme_Grunddaten!AL410="Ja",1,0),"")</f>
        <v/>
      </c>
      <c r="AE405" s="1" t="str">
        <f>IF(AND(Programme_Grunddaten!$A410="Geprüft",Programme_Grunddaten!AM410&lt;&gt;""),IF(Programme_Grunddaten!AM410="Ja",1,0),"")</f>
        <v/>
      </c>
      <c r="AF405" s="1" t="str">
        <f>IF(AND(Programme_Grunddaten!$A410="Geprüft",Programme_Grunddaten!AN410&lt;&gt;""),IF(Programme_Grunddaten!AN410="Ja",1,0),"")</f>
        <v/>
      </c>
      <c r="AG405" s="1" t="str">
        <f>IF(AND(Programme_Grunddaten!$A410="Geprüft",Programme_Grunddaten!AO410&lt;&gt;""),IF(Programme_Grunddaten!AO410="Ja",1,0),"")</f>
        <v/>
      </c>
      <c r="AH405" s="1" t="str">
        <f>IF(AND(Programme_Grunddaten!$A410="Geprüft",Programme_Grunddaten!AP410&lt;&gt;""),IF(Programme_Grunddaten!AP410="Ja",1,0),"")</f>
        <v/>
      </c>
      <c r="AI405" s="1" t="str">
        <f>IF(AND(Programme_Grunddaten!$A410="Geprüft",Programme_Grunddaten!AQ410&lt;&gt;""),IF(Programme_Grunddaten!AQ410="Ja",1,0),"")</f>
        <v/>
      </c>
      <c r="AJ405" s="1" t="str">
        <f>IF(AND(Programme_Grunddaten!$A410="Geprüft",Programme_Grunddaten!AR410&lt;&gt;""),IF(Programme_Grunddaten!AR410="Ja",1,0),"")</f>
        <v/>
      </c>
      <c r="AK405" s="1" t="str">
        <f>IF(AND(Programme_Grunddaten!$A410="Geprüft",Programme_Grunddaten!AS410&lt;&gt;""),IF(Programme_Grunddaten!AS410="Ja",1,0),"")</f>
        <v/>
      </c>
      <c r="AL405" s="1" t="str">
        <f>IF(AND(Programme_Grunddaten!$A410="Geprüft",Programme_Grunddaten!AT410&lt;&gt;""),IF(Programme_Grunddaten!AT410="Ja",1,0),"")</f>
        <v/>
      </c>
      <c r="AM405" s="1" t="str">
        <f>IF(AND(Programme_Grunddaten!$A410="Geprüft",Programme_Grunddaten!AU410&lt;&gt;""),IF(Programme_Grunddaten!AU410="Ja",1,0),"")</f>
        <v/>
      </c>
      <c r="AN405" s="1" t="str">
        <f>IF(AND(Programme_Grunddaten!$A410="Geprüft",Programme_Grunddaten!AV410&lt;&gt;""),IF(Programme_Grunddaten!AV410="Ja",1,0),"")</f>
        <v/>
      </c>
    </row>
    <row r="406" spans="1:40" x14ac:dyDescent="0.3">
      <c r="A406" s="1" t="str">
        <f>IF(AND(Programme_Grunddaten!A411="Geprüft",Programme_Grunddaten!B411&lt;&gt;""),Programme_Grunddaten!B411,"")</f>
        <v/>
      </c>
      <c r="B406" s="1" t="str">
        <f>IF(AND(Programme_Grunddaten!$A411="Geprüft",Programme_Grunddaten!I411&lt;&gt;""),IF(Programme_Grunddaten!I411="Ja",1,0),"")</f>
        <v/>
      </c>
      <c r="C406" s="1" t="str">
        <f>IF(AND(Programme_Grunddaten!$A411="Geprüft",Programme_Grunddaten!J411&lt;&gt;""),IF(Programme_Grunddaten!J411="Ja",1,0),"")</f>
        <v/>
      </c>
      <c r="D406" s="1" t="str">
        <f>IF(AND(Programme_Grunddaten!$A411="Geprüft",Programme_Grunddaten!K411&lt;&gt;""),IF(Programme_Grunddaten!K411="Ja",1,0),"")</f>
        <v/>
      </c>
      <c r="E406" s="1" t="str">
        <f>IF(AND(Programme_Grunddaten!$A411="Geprüft",Programme_Grunddaten!L411&lt;&gt;""),IF(Programme_Grunddaten!L411="Abo / befristete Lizenz",1,0),"")</f>
        <v/>
      </c>
      <c r="F406" s="1" t="str">
        <f>IF(AND(Programme_Grunddaten!$A411="Geprüft",Programme_Grunddaten!M411&lt;&gt;""),IF(Programme_Grunddaten!M411="Ja",1,0),"")</f>
        <v/>
      </c>
      <c r="G406" s="1" t="str">
        <f>IF(AND(Programme_Grunddaten!$A411="Geprüft",Programme_Grunddaten!N411&lt;&gt;""),IF(Programme_Grunddaten!N411="Ja",1,0),"")</f>
        <v/>
      </c>
      <c r="H406" s="1" t="str">
        <f>IF(AND(Programme_Grunddaten!$A411="Geprüft",Programme_Grunddaten!O411&lt;&gt;""),IF(Programme_Grunddaten!O411="Deutschland",0,IF(Programme_Grunddaten!O411="EU",1,2)),"")</f>
        <v/>
      </c>
      <c r="I406" s="1" t="str">
        <f>IF(AND(Programme_Grunddaten!$A411="Geprüft",Programme_Grunddaten!P411&lt;&gt;""),IF(Programme_Grunddaten!P411="Ja",1,0),"")</f>
        <v/>
      </c>
      <c r="J406" s="1" t="str">
        <f>IF(AND(Programme_Grunddaten!$A411="Geprüft",Programme_Grunddaten!Q411&lt;&gt;""),IF(Programme_Grunddaten!Q411="geschlossenes System",1,0),"")</f>
        <v/>
      </c>
      <c r="K406" s="1" t="str">
        <f>IF(AND(Programme_Grunddaten!$A411="Geprüft",Programme_Grunddaten!R411&lt;&gt;""),IF(Programme_Grunddaten!R411="Ja",1,0),"")</f>
        <v/>
      </c>
      <c r="L406" s="1" t="str">
        <f>IF(AND(Programme_Grunddaten!$A411="Geprüft",Programme_Grunddaten!T411&lt;&gt;""),IF(Programme_Grunddaten!T411="Ja",1,0),"")</f>
        <v/>
      </c>
      <c r="M406" s="1" t="str">
        <f>IF(AND(Programme_Grunddaten!$A411="Geprüft",Programme_Grunddaten!U411&lt;&gt;""),IF(Programme_Grunddaten!U411="Ja",1,0),"")</f>
        <v/>
      </c>
      <c r="N406" s="1" t="str">
        <f>IF(AND(Programme_Grunddaten!$A411="Geprüft",Programme_Grunddaten!V411&lt;&gt;""),IF(Programme_Grunddaten!V411="Ja",1,0),"")</f>
        <v/>
      </c>
      <c r="O406" s="1" t="str">
        <f>IF(AND(Programme_Grunddaten!$A411="Geprüft",Programme_Grunddaten!W411&lt;&gt;""),IF(Programme_Grunddaten!W411="Ja",1,0),"")</f>
        <v/>
      </c>
      <c r="P406" s="1" t="str">
        <f>IF(AND(Programme_Grunddaten!$A411="Geprüft",Programme_Grunddaten!X411&lt;&gt;""),IF(Programme_Grunddaten!X411="Ja",1,0),"")</f>
        <v/>
      </c>
      <c r="Q406" s="1" t="str">
        <f>IF(AND(Programme_Grunddaten!$A411="Geprüft",Programme_Grunddaten!Y411&lt;&gt;""),IF(Programme_Grunddaten!Y411="Ja",1,0),"")</f>
        <v/>
      </c>
      <c r="R406" s="1" t="str">
        <f>IF(AND(Programme_Grunddaten!$A411="Geprüft",Programme_Grunddaten!Z411&lt;&gt;""),IF(Programme_Grunddaten!Z411="Ja",1,0),"")</f>
        <v/>
      </c>
      <c r="S406" s="1" t="str">
        <f>IF(AND(Programme_Grunddaten!$A411="Geprüft",Programme_Grunddaten!AA411&lt;&gt;""),IF(Programme_Grunddaten!AA411="monolithisch",1,0),"")</f>
        <v/>
      </c>
      <c r="T406" s="1" t="str">
        <f>IF(AND(Programme_Grunddaten!$A411="Geprüft",Programme_Grunddaten!AB411&lt;&gt;""),IF(Programme_Grunddaten!AB411="Ja",1,0),"")</f>
        <v/>
      </c>
      <c r="U406" s="1" t="str">
        <f>IF(AND(Programme_Grunddaten!$A411="Geprüft",Programme_Grunddaten!AC411&lt;&gt;""),IF(Programme_Grunddaten!AC411="Ja",1,0),"")</f>
        <v/>
      </c>
      <c r="V406" s="1" t="str">
        <f>IF(AND(Programme_Grunddaten!$A411="Geprüft",Programme_Grunddaten!AD411&lt;&gt;""),IF(Programme_Grunddaten!AD411="Ja",1,0),"")</f>
        <v/>
      </c>
      <c r="W406" s="1" t="str">
        <f>IF(AND(Programme_Grunddaten!$A411="Geprüft",Programme_Grunddaten!AE411&lt;&gt;""),IF(Programme_Grunddaten!AE411="Ja",1,0),"")</f>
        <v/>
      </c>
      <c r="X406" s="1" t="str">
        <f>IF(AND(Programme_Grunddaten!$A411="Geprüft",Programme_Grunddaten!AF411&lt;&gt;""),IF(Programme_Grunddaten!AF411="Ja",1,0),"")</f>
        <v/>
      </c>
      <c r="Y406" s="1" t="str">
        <f>IF(AND(Programme_Grunddaten!$A411="Geprüft",Programme_Grunddaten!AG411&lt;&gt;""),IF(Programme_Grunddaten!AG411="Ja",1,0),"")</f>
        <v/>
      </c>
      <c r="Z406" s="1" t="str">
        <f>IF(AND(Programme_Grunddaten!$A411="Geprüft",Programme_Grunddaten!AH411&lt;&gt;""),IF(Programme_Grunddaten!AH411="Ja",1,0),"")</f>
        <v/>
      </c>
      <c r="AA406" s="1" t="str">
        <f>IF(AND(Programme_Grunddaten!$A411="Geprüft",Programme_Grunddaten!AI411&lt;&gt;""),IF(Programme_Grunddaten!AI411="Ja",1,0),"")</f>
        <v/>
      </c>
      <c r="AB406" s="1" t="str">
        <f>IF(AND(Programme_Grunddaten!$A411="Geprüft",Programme_Grunddaten!AJ411&lt;&gt;""),IF(Programme_Grunddaten!AJ411="individuell programmierbar",1,0),"")</f>
        <v/>
      </c>
      <c r="AC406" s="1" t="str">
        <f>IF(AND(Programme_Grunddaten!$A411="Geprüft",Programme_Grunddaten!AK411&lt;&gt;""),IF(Programme_Grunddaten!AK411="Deutsch",0,IF(Programme_Grunddaten!AK411="Deutsch und Englisch",1,2)),"")</f>
        <v/>
      </c>
      <c r="AD406" s="1" t="str">
        <f>IF(AND(Programme_Grunddaten!$A411="Geprüft",Programme_Grunddaten!AL411&lt;&gt;""),IF(Programme_Grunddaten!AL411="Ja",1,0),"")</f>
        <v/>
      </c>
      <c r="AE406" s="1" t="str">
        <f>IF(AND(Programme_Grunddaten!$A411="Geprüft",Programme_Grunddaten!AM411&lt;&gt;""),IF(Programme_Grunddaten!AM411="Ja",1,0),"")</f>
        <v/>
      </c>
      <c r="AF406" s="1" t="str">
        <f>IF(AND(Programme_Grunddaten!$A411="Geprüft",Programme_Grunddaten!AN411&lt;&gt;""),IF(Programme_Grunddaten!AN411="Ja",1,0),"")</f>
        <v/>
      </c>
      <c r="AG406" s="1" t="str">
        <f>IF(AND(Programme_Grunddaten!$A411="Geprüft",Programme_Grunddaten!AO411&lt;&gt;""),IF(Programme_Grunddaten!AO411="Ja",1,0),"")</f>
        <v/>
      </c>
      <c r="AH406" s="1" t="str">
        <f>IF(AND(Programme_Grunddaten!$A411="Geprüft",Programme_Grunddaten!AP411&lt;&gt;""),IF(Programme_Grunddaten!AP411="Ja",1,0),"")</f>
        <v/>
      </c>
      <c r="AI406" s="1" t="str">
        <f>IF(AND(Programme_Grunddaten!$A411="Geprüft",Programme_Grunddaten!AQ411&lt;&gt;""),IF(Programme_Grunddaten!AQ411="Ja",1,0),"")</f>
        <v/>
      </c>
      <c r="AJ406" s="1" t="str">
        <f>IF(AND(Programme_Grunddaten!$A411="Geprüft",Programme_Grunddaten!AR411&lt;&gt;""),IF(Programme_Grunddaten!AR411="Ja",1,0),"")</f>
        <v/>
      </c>
      <c r="AK406" s="1" t="str">
        <f>IF(AND(Programme_Grunddaten!$A411="Geprüft",Programme_Grunddaten!AS411&lt;&gt;""),IF(Programme_Grunddaten!AS411="Ja",1,0),"")</f>
        <v/>
      </c>
      <c r="AL406" s="1" t="str">
        <f>IF(AND(Programme_Grunddaten!$A411="Geprüft",Programme_Grunddaten!AT411&lt;&gt;""),IF(Programme_Grunddaten!AT411="Ja",1,0),"")</f>
        <v/>
      </c>
      <c r="AM406" s="1" t="str">
        <f>IF(AND(Programme_Grunddaten!$A411="Geprüft",Programme_Grunddaten!AU411&lt;&gt;""),IF(Programme_Grunddaten!AU411="Ja",1,0),"")</f>
        <v/>
      </c>
      <c r="AN406" s="1" t="str">
        <f>IF(AND(Programme_Grunddaten!$A411="Geprüft",Programme_Grunddaten!AV411&lt;&gt;""),IF(Programme_Grunddaten!AV411="Ja",1,0),"")</f>
        <v/>
      </c>
    </row>
    <row r="407" spans="1:40" x14ac:dyDescent="0.3">
      <c r="A407" s="1" t="str">
        <f>IF(AND(Programme_Grunddaten!A412="Geprüft",Programme_Grunddaten!B412&lt;&gt;""),Programme_Grunddaten!B412,"")</f>
        <v/>
      </c>
      <c r="B407" s="1" t="str">
        <f>IF(AND(Programme_Grunddaten!$A412="Geprüft",Programme_Grunddaten!I412&lt;&gt;""),IF(Programme_Grunddaten!I412="Ja",1,0),"")</f>
        <v/>
      </c>
      <c r="C407" s="1" t="str">
        <f>IF(AND(Programme_Grunddaten!$A412="Geprüft",Programme_Grunddaten!J412&lt;&gt;""),IF(Programme_Grunddaten!J412="Ja",1,0),"")</f>
        <v/>
      </c>
      <c r="D407" s="1" t="str">
        <f>IF(AND(Programme_Grunddaten!$A412="Geprüft",Programme_Grunddaten!K412&lt;&gt;""),IF(Programme_Grunddaten!K412="Ja",1,0),"")</f>
        <v/>
      </c>
      <c r="E407" s="1" t="str">
        <f>IF(AND(Programme_Grunddaten!$A412="Geprüft",Programme_Grunddaten!L412&lt;&gt;""),IF(Programme_Grunddaten!L412="Abo / befristete Lizenz",1,0),"")</f>
        <v/>
      </c>
      <c r="F407" s="1" t="str">
        <f>IF(AND(Programme_Grunddaten!$A412="Geprüft",Programme_Grunddaten!M412&lt;&gt;""),IF(Programme_Grunddaten!M412="Ja",1,0),"")</f>
        <v/>
      </c>
      <c r="G407" s="1" t="str">
        <f>IF(AND(Programme_Grunddaten!$A412="Geprüft",Programme_Grunddaten!N412&lt;&gt;""),IF(Programme_Grunddaten!N412="Ja",1,0),"")</f>
        <v/>
      </c>
      <c r="H407" s="1" t="str">
        <f>IF(AND(Programme_Grunddaten!$A412="Geprüft",Programme_Grunddaten!O412&lt;&gt;""),IF(Programme_Grunddaten!O412="Deutschland",0,IF(Programme_Grunddaten!O412="EU",1,2)),"")</f>
        <v/>
      </c>
      <c r="I407" s="1" t="str">
        <f>IF(AND(Programme_Grunddaten!$A412="Geprüft",Programme_Grunddaten!P412&lt;&gt;""),IF(Programme_Grunddaten!P412="Ja",1,0),"")</f>
        <v/>
      </c>
      <c r="J407" s="1" t="str">
        <f>IF(AND(Programme_Grunddaten!$A412="Geprüft",Programme_Grunddaten!Q412&lt;&gt;""),IF(Programme_Grunddaten!Q412="geschlossenes System",1,0),"")</f>
        <v/>
      </c>
      <c r="K407" s="1" t="str">
        <f>IF(AND(Programme_Grunddaten!$A412="Geprüft",Programme_Grunddaten!R412&lt;&gt;""),IF(Programme_Grunddaten!R412="Ja",1,0),"")</f>
        <v/>
      </c>
      <c r="L407" s="1" t="str">
        <f>IF(AND(Programme_Grunddaten!$A412="Geprüft",Programme_Grunddaten!T412&lt;&gt;""),IF(Programme_Grunddaten!T412="Ja",1,0),"")</f>
        <v/>
      </c>
      <c r="M407" s="1" t="str">
        <f>IF(AND(Programme_Grunddaten!$A412="Geprüft",Programme_Grunddaten!U412&lt;&gt;""),IF(Programme_Grunddaten!U412="Ja",1,0),"")</f>
        <v/>
      </c>
      <c r="N407" s="1" t="str">
        <f>IF(AND(Programme_Grunddaten!$A412="Geprüft",Programme_Grunddaten!V412&lt;&gt;""),IF(Programme_Grunddaten!V412="Ja",1,0),"")</f>
        <v/>
      </c>
      <c r="O407" s="1" t="str">
        <f>IF(AND(Programme_Grunddaten!$A412="Geprüft",Programme_Grunddaten!W412&lt;&gt;""),IF(Programme_Grunddaten!W412="Ja",1,0),"")</f>
        <v/>
      </c>
      <c r="P407" s="1" t="str">
        <f>IF(AND(Programme_Grunddaten!$A412="Geprüft",Programme_Grunddaten!X412&lt;&gt;""),IF(Programme_Grunddaten!X412="Ja",1,0),"")</f>
        <v/>
      </c>
      <c r="Q407" s="1" t="str">
        <f>IF(AND(Programme_Grunddaten!$A412="Geprüft",Programme_Grunddaten!Y412&lt;&gt;""),IF(Programme_Grunddaten!Y412="Ja",1,0),"")</f>
        <v/>
      </c>
      <c r="R407" s="1" t="str">
        <f>IF(AND(Programme_Grunddaten!$A412="Geprüft",Programme_Grunddaten!Z412&lt;&gt;""),IF(Programme_Grunddaten!Z412="Ja",1,0),"")</f>
        <v/>
      </c>
      <c r="S407" s="1" t="str">
        <f>IF(AND(Programme_Grunddaten!$A412="Geprüft",Programme_Grunddaten!AA412&lt;&gt;""),IF(Programme_Grunddaten!AA412="monolithisch",1,0),"")</f>
        <v/>
      </c>
      <c r="T407" s="1" t="str">
        <f>IF(AND(Programme_Grunddaten!$A412="Geprüft",Programme_Grunddaten!AB412&lt;&gt;""),IF(Programme_Grunddaten!AB412="Ja",1,0),"")</f>
        <v/>
      </c>
      <c r="U407" s="1" t="str">
        <f>IF(AND(Programme_Grunddaten!$A412="Geprüft",Programme_Grunddaten!AC412&lt;&gt;""),IF(Programme_Grunddaten!AC412="Ja",1,0),"")</f>
        <v/>
      </c>
      <c r="V407" s="1" t="str">
        <f>IF(AND(Programme_Grunddaten!$A412="Geprüft",Programme_Grunddaten!AD412&lt;&gt;""),IF(Programme_Grunddaten!AD412="Ja",1,0),"")</f>
        <v/>
      </c>
      <c r="W407" s="1" t="str">
        <f>IF(AND(Programme_Grunddaten!$A412="Geprüft",Programme_Grunddaten!AE412&lt;&gt;""),IF(Programme_Grunddaten!AE412="Ja",1,0),"")</f>
        <v/>
      </c>
      <c r="X407" s="1" t="str">
        <f>IF(AND(Programme_Grunddaten!$A412="Geprüft",Programme_Grunddaten!AF412&lt;&gt;""),IF(Programme_Grunddaten!AF412="Ja",1,0),"")</f>
        <v/>
      </c>
      <c r="Y407" s="1" t="str">
        <f>IF(AND(Programme_Grunddaten!$A412="Geprüft",Programme_Grunddaten!AG412&lt;&gt;""),IF(Programme_Grunddaten!AG412="Ja",1,0),"")</f>
        <v/>
      </c>
      <c r="Z407" s="1" t="str">
        <f>IF(AND(Programme_Grunddaten!$A412="Geprüft",Programme_Grunddaten!AH412&lt;&gt;""),IF(Programme_Grunddaten!AH412="Ja",1,0),"")</f>
        <v/>
      </c>
      <c r="AA407" s="1" t="str">
        <f>IF(AND(Programme_Grunddaten!$A412="Geprüft",Programme_Grunddaten!AI412&lt;&gt;""),IF(Programme_Grunddaten!AI412="Ja",1,0),"")</f>
        <v/>
      </c>
      <c r="AB407" s="1" t="str">
        <f>IF(AND(Programme_Grunddaten!$A412="Geprüft",Programme_Grunddaten!AJ412&lt;&gt;""),IF(Programme_Grunddaten!AJ412="individuell programmierbar",1,0),"")</f>
        <v/>
      </c>
      <c r="AC407" s="1" t="str">
        <f>IF(AND(Programme_Grunddaten!$A412="Geprüft",Programme_Grunddaten!AK412&lt;&gt;""),IF(Programme_Grunddaten!AK412="Deutsch",0,IF(Programme_Grunddaten!AK412="Deutsch und Englisch",1,2)),"")</f>
        <v/>
      </c>
      <c r="AD407" s="1" t="str">
        <f>IF(AND(Programme_Grunddaten!$A412="Geprüft",Programme_Grunddaten!AL412&lt;&gt;""),IF(Programme_Grunddaten!AL412="Ja",1,0),"")</f>
        <v/>
      </c>
      <c r="AE407" s="1" t="str">
        <f>IF(AND(Programme_Grunddaten!$A412="Geprüft",Programme_Grunddaten!AM412&lt;&gt;""),IF(Programme_Grunddaten!AM412="Ja",1,0),"")</f>
        <v/>
      </c>
      <c r="AF407" s="1" t="str">
        <f>IF(AND(Programme_Grunddaten!$A412="Geprüft",Programme_Grunddaten!AN412&lt;&gt;""),IF(Programme_Grunddaten!AN412="Ja",1,0),"")</f>
        <v/>
      </c>
      <c r="AG407" s="1" t="str">
        <f>IF(AND(Programme_Grunddaten!$A412="Geprüft",Programme_Grunddaten!AO412&lt;&gt;""),IF(Programme_Grunddaten!AO412="Ja",1,0),"")</f>
        <v/>
      </c>
      <c r="AH407" s="1" t="str">
        <f>IF(AND(Programme_Grunddaten!$A412="Geprüft",Programme_Grunddaten!AP412&lt;&gt;""),IF(Programme_Grunddaten!AP412="Ja",1,0),"")</f>
        <v/>
      </c>
      <c r="AI407" s="1" t="str">
        <f>IF(AND(Programme_Grunddaten!$A412="Geprüft",Programme_Grunddaten!AQ412&lt;&gt;""),IF(Programme_Grunddaten!AQ412="Ja",1,0),"")</f>
        <v/>
      </c>
      <c r="AJ407" s="1" t="str">
        <f>IF(AND(Programme_Grunddaten!$A412="Geprüft",Programme_Grunddaten!AR412&lt;&gt;""),IF(Programme_Grunddaten!AR412="Ja",1,0),"")</f>
        <v/>
      </c>
      <c r="AK407" s="1" t="str">
        <f>IF(AND(Programme_Grunddaten!$A412="Geprüft",Programme_Grunddaten!AS412&lt;&gt;""),IF(Programme_Grunddaten!AS412="Ja",1,0),"")</f>
        <v/>
      </c>
      <c r="AL407" s="1" t="str">
        <f>IF(AND(Programme_Grunddaten!$A412="Geprüft",Programme_Grunddaten!AT412&lt;&gt;""),IF(Programme_Grunddaten!AT412="Ja",1,0),"")</f>
        <v/>
      </c>
      <c r="AM407" s="1" t="str">
        <f>IF(AND(Programme_Grunddaten!$A412="Geprüft",Programme_Grunddaten!AU412&lt;&gt;""),IF(Programme_Grunddaten!AU412="Ja",1,0),"")</f>
        <v/>
      </c>
      <c r="AN407" s="1" t="str">
        <f>IF(AND(Programme_Grunddaten!$A412="Geprüft",Programme_Grunddaten!AV412&lt;&gt;""),IF(Programme_Grunddaten!AV412="Ja",1,0),"")</f>
        <v/>
      </c>
    </row>
    <row r="408" spans="1:40" x14ac:dyDescent="0.3">
      <c r="A408" s="1" t="str">
        <f>IF(AND(Programme_Grunddaten!A413="Geprüft",Programme_Grunddaten!B413&lt;&gt;""),Programme_Grunddaten!B413,"")</f>
        <v/>
      </c>
      <c r="B408" s="1" t="str">
        <f>IF(AND(Programme_Grunddaten!$A413="Geprüft",Programme_Grunddaten!I413&lt;&gt;""),IF(Programme_Grunddaten!I413="Ja",1,0),"")</f>
        <v/>
      </c>
      <c r="C408" s="1" t="str">
        <f>IF(AND(Programme_Grunddaten!$A413="Geprüft",Programme_Grunddaten!J413&lt;&gt;""),IF(Programme_Grunddaten!J413="Ja",1,0),"")</f>
        <v/>
      </c>
      <c r="D408" s="1" t="str">
        <f>IF(AND(Programme_Grunddaten!$A413="Geprüft",Programme_Grunddaten!K413&lt;&gt;""),IF(Programme_Grunddaten!K413="Ja",1,0),"")</f>
        <v/>
      </c>
      <c r="E408" s="1" t="str">
        <f>IF(AND(Programme_Grunddaten!$A413="Geprüft",Programme_Grunddaten!L413&lt;&gt;""),IF(Programme_Grunddaten!L413="Abo / befristete Lizenz",1,0),"")</f>
        <v/>
      </c>
      <c r="F408" s="1" t="str">
        <f>IF(AND(Programme_Grunddaten!$A413="Geprüft",Programme_Grunddaten!M413&lt;&gt;""),IF(Programme_Grunddaten!M413="Ja",1,0),"")</f>
        <v/>
      </c>
      <c r="G408" s="1" t="str">
        <f>IF(AND(Programme_Grunddaten!$A413="Geprüft",Programme_Grunddaten!N413&lt;&gt;""),IF(Programme_Grunddaten!N413="Ja",1,0),"")</f>
        <v/>
      </c>
      <c r="H408" s="1" t="str">
        <f>IF(AND(Programme_Grunddaten!$A413="Geprüft",Programme_Grunddaten!O413&lt;&gt;""),IF(Programme_Grunddaten!O413="Deutschland",0,IF(Programme_Grunddaten!O413="EU",1,2)),"")</f>
        <v/>
      </c>
      <c r="I408" s="1" t="str">
        <f>IF(AND(Programme_Grunddaten!$A413="Geprüft",Programme_Grunddaten!P413&lt;&gt;""),IF(Programme_Grunddaten!P413="Ja",1,0),"")</f>
        <v/>
      </c>
      <c r="J408" s="1" t="str">
        <f>IF(AND(Programme_Grunddaten!$A413="Geprüft",Programme_Grunddaten!Q413&lt;&gt;""),IF(Programme_Grunddaten!Q413="geschlossenes System",1,0),"")</f>
        <v/>
      </c>
      <c r="K408" s="1" t="str">
        <f>IF(AND(Programme_Grunddaten!$A413="Geprüft",Programme_Grunddaten!R413&lt;&gt;""),IF(Programme_Grunddaten!R413="Ja",1,0),"")</f>
        <v/>
      </c>
      <c r="L408" s="1" t="str">
        <f>IF(AND(Programme_Grunddaten!$A413="Geprüft",Programme_Grunddaten!T413&lt;&gt;""),IF(Programme_Grunddaten!T413="Ja",1,0),"")</f>
        <v/>
      </c>
      <c r="M408" s="1" t="str">
        <f>IF(AND(Programme_Grunddaten!$A413="Geprüft",Programme_Grunddaten!U413&lt;&gt;""),IF(Programme_Grunddaten!U413="Ja",1,0),"")</f>
        <v/>
      </c>
      <c r="N408" s="1" t="str">
        <f>IF(AND(Programme_Grunddaten!$A413="Geprüft",Programme_Grunddaten!V413&lt;&gt;""),IF(Programme_Grunddaten!V413="Ja",1,0),"")</f>
        <v/>
      </c>
      <c r="O408" s="1" t="str">
        <f>IF(AND(Programme_Grunddaten!$A413="Geprüft",Programme_Grunddaten!W413&lt;&gt;""),IF(Programme_Grunddaten!W413="Ja",1,0),"")</f>
        <v/>
      </c>
      <c r="P408" s="1" t="str">
        <f>IF(AND(Programme_Grunddaten!$A413="Geprüft",Programme_Grunddaten!X413&lt;&gt;""),IF(Programme_Grunddaten!X413="Ja",1,0),"")</f>
        <v/>
      </c>
      <c r="Q408" s="1" t="str">
        <f>IF(AND(Programme_Grunddaten!$A413="Geprüft",Programme_Grunddaten!Y413&lt;&gt;""),IF(Programme_Grunddaten!Y413="Ja",1,0),"")</f>
        <v/>
      </c>
      <c r="R408" s="1" t="str">
        <f>IF(AND(Programme_Grunddaten!$A413="Geprüft",Programme_Grunddaten!Z413&lt;&gt;""),IF(Programme_Grunddaten!Z413="Ja",1,0),"")</f>
        <v/>
      </c>
      <c r="S408" s="1" t="str">
        <f>IF(AND(Programme_Grunddaten!$A413="Geprüft",Programme_Grunddaten!AA413&lt;&gt;""),IF(Programme_Grunddaten!AA413="monolithisch",1,0),"")</f>
        <v/>
      </c>
      <c r="T408" s="1" t="str">
        <f>IF(AND(Programme_Grunddaten!$A413="Geprüft",Programme_Grunddaten!AB413&lt;&gt;""),IF(Programme_Grunddaten!AB413="Ja",1,0),"")</f>
        <v/>
      </c>
      <c r="U408" s="1" t="str">
        <f>IF(AND(Programme_Grunddaten!$A413="Geprüft",Programme_Grunddaten!AC413&lt;&gt;""),IF(Programme_Grunddaten!AC413="Ja",1,0),"")</f>
        <v/>
      </c>
      <c r="V408" s="1" t="str">
        <f>IF(AND(Programme_Grunddaten!$A413="Geprüft",Programme_Grunddaten!AD413&lt;&gt;""),IF(Programme_Grunddaten!AD413="Ja",1,0),"")</f>
        <v/>
      </c>
      <c r="W408" s="1" t="str">
        <f>IF(AND(Programme_Grunddaten!$A413="Geprüft",Programme_Grunddaten!AE413&lt;&gt;""),IF(Programme_Grunddaten!AE413="Ja",1,0),"")</f>
        <v/>
      </c>
      <c r="X408" s="1" t="str">
        <f>IF(AND(Programme_Grunddaten!$A413="Geprüft",Programme_Grunddaten!AF413&lt;&gt;""),IF(Programme_Grunddaten!AF413="Ja",1,0),"")</f>
        <v/>
      </c>
      <c r="Y408" s="1" t="str">
        <f>IF(AND(Programme_Grunddaten!$A413="Geprüft",Programme_Grunddaten!AG413&lt;&gt;""),IF(Programme_Grunddaten!AG413="Ja",1,0),"")</f>
        <v/>
      </c>
      <c r="Z408" s="1" t="str">
        <f>IF(AND(Programme_Grunddaten!$A413="Geprüft",Programme_Grunddaten!AH413&lt;&gt;""),IF(Programme_Grunddaten!AH413="Ja",1,0),"")</f>
        <v/>
      </c>
      <c r="AA408" s="1" t="str">
        <f>IF(AND(Programme_Grunddaten!$A413="Geprüft",Programme_Grunddaten!AI413&lt;&gt;""),IF(Programme_Grunddaten!AI413="Ja",1,0),"")</f>
        <v/>
      </c>
      <c r="AB408" s="1" t="str">
        <f>IF(AND(Programme_Grunddaten!$A413="Geprüft",Programme_Grunddaten!AJ413&lt;&gt;""),IF(Programme_Grunddaten!AJ413="individuell programmierbar",1,0),"")</f>
        <v/>
      </c>
      <c r="AC408" s="1" t="str">
        <f>IF(AND(Programme_Grunddaten!$A413="Geprüft",Programme_Grunddaten!AK413&lt;&gt;""),IF(Programme_Grunddaten!AK413="Deutsch",0,IF(Programme_Grunddaten!AK413="Deutsch und Englisch",1,2)),"")</f>
        <v/>
      </c>
      <c r="AD408" s="1" t="str">
        <f>IF(AND(Programme_Grunddaten!$A413="Geprüft",Programme_Grunddaten!AL413&lt;&gt;""),IF(Programme_Grunddaten!AL413="Ja",1,0),"")</f>
        <v/>
      </c>
      <c r="AE408" s="1" t="str">
        <f>IF(AND(Programme_Grunddaten!$A413="Geprüft",Programme_Grunddaten!AM413&lt;&gt;""),IF(Programme_Grunddaten!AM413="Ja",1,0),"")</f>
        <v/>
      </c>
      <c r="AF408" s="1" t="str">
        <f>IF(AND(Programme_Grunddaten!$A413="Geprüft",Programme_Grunddaten!AN413&lt;&gt;""),IF(Programme_Grunddaten!AN413="Ja",1,0),"")</f>
        <v/>
      </c>
      <c r="AG408" s="1" t="str">
        <f>IF(AND(Programme_Grunddaten!$A413="Geprüft",Programme_Grunddaten!AO413&lt;&gt;""),IF(Programme_Grunddaten!AO413="Ja",1,0),"")</f>
        <v/>
      </c>
      <c r="AH408" s="1" t="str">
        <f>IF(AND(Programme_Grunddaten!$A413="Geprüft",Programme_Grunddaten!AP413&lt;&gt;""),IF(Programme_Grunddaten!AP413="Ja",1,0),"")</f>
        <v/>
      </c>
      <c r="AI408" s="1" t="str">
        <f>IF(AND(Programme_Grunddaten!$A413="Geprüft",Programme_Grunddaten!AQ413&lt;&gt;""),IF(Programme_Grunddaten!AQ413="Ja",1,0),"")</f>
        <v/>
      </c>
      <c r="AJ408" s="1" t="str">
        <f>IF(AND(Programme_Grunddaten!$A413="Geprüft",Programme_Grunddaten!AR413&lt;&gt;""),IF(Programme_Grunddaten!AR413="Ja",1,0),"")</f>
        <v/>
      </c>
      <c r="AK408" s="1" t="str">
        <f>IF(AND(Programme_Grunddaten!$A413="Geprüft",Programme_Grunddaten!AS413&lt;&gt;""),IF(Programme_Grunddaten!AS413="Ja",1,0),"")</f>
        <v/>
      </c>
      <c r="AL408" s="1" t="str">
        <f>IF(AND(Programme_Grunddaten!$A413="Geprüft",Programme_Grunddaten!AT413&lt;&gt;""),IF(Programme_Grunddaten!AT413="Ja",1,0),"")</f>
        <v/>
      </c>
      <c r="AM408" s="1" t="str">
        <f>IF(AND(Programme_Grunddaten!$A413="Geprüft",Programme_Grunddaten!AU413&lt;&gt;""),IF(Programme_Grunddaten!AU413="Ja",1,0),"")</f>
        <v/>
      </c>
      <c r="AN408" s="1" t="str">
        <f>IF(AND(Programme_Grunddaten!$A413="Geprüft",Programme_Grunddaten!AV413&lt;&gt;""),IF(Programme_Grunddaten!AV413="Ja",1,0),"")</f>
        <v/>
      </c>
    </row>
    <row r="409" spans="1:40" x14ac:dyDescent="0.3">
      <c r="A409" s="1" t="str">
        <f>IF(AND(Programme_Grunddaten!A414="Geprüft",Programme_Grunddaten!B414&lt;&gt;""),Programme_Grunddaten!B414,"")</f>
        <v/>
      </c>
      <c r="B409" s="1" t="str">
        <f>IF(AND(Programme_Grunddaten!$A414="Geprüft",Programme_Grunddaten!I414&lt;&gt;""),IF(Programme_Grunddaten!I414="Ja",1,0),"")</f>
        <v/>
      </c>
      <c r="C409" s="1" t="str">
        <f>IF(AND(Programme_Grunddaten!$A414="Geprüft",Programme_Grunddaten!J414&lt;&gt;""),IF(Programme_Grunddaten!J414="Ja",1,0),"")</f>
        <v/>
      </c>
      <c r="D409" s="1" t="str">
        <f>IF(AND(Programme_Grunddaten!$A414="Geprüft",Programme_Grunddaten!K414&lt;&gt;""),IF(Programme_Grunddaten!K414="Ja",1,0),"")</f>
        <v/>
      </c>
      <c r="E409" s="1" t="str">
        <f>IF(AND(Programme_Grunddaten!$A414="Geprüft",Programme_Grunddaten!L414&lt;&gt;""),IF(Programme_Grunddaten!L414="Abo / befristete Lizenz",1,0),"")</f>
        <v/>
      </c>
      <c r="F409" s="1" t="str">
        <f>IF(AND(Programme_Grunddaten!$A414="Geprüft",Programme_Grunddaten!M414&lt;&gt;""),IF(Programme_Grunddaten!M414="Ja",1,0),"")</f>
        <v/>
      </c>
      <c r="G409" s="1" t="str">
        <f>IF(AND(Programme_Grunddaten!$A414="Geprüft",Programme_Grunddaten!N414&lt;&gt;""),IF(Programme_Grunddaten!N414="Ja",1,0),"")</f>
        <v/>
      </c>
      <c r="H409" s="1" t="str">
        <f>IF(AND(Programme_Grunddaten!$A414="Geprüft",Programme_Grunddaten!O414&lt;&gt;""),IF(Programme_Grunddaten!O414="Deutschland",0,IF(Programme_Grunddaten!O414="EU",1,2)),"")</f>
        <v/>
      </c>
      <c r="I409" s="1" t="str">
        <f>IF(AND(Programme_Grunddaten!$A414="Geprüft",Programme_Grunddaten!P414&lt;&gt;""),IF(Programme_Grunddaten!P414="Ja",1,0),"")</f>
        <v/>
      </c>
      <c r="J409" s="1" t="str">
        <f>IF(AND(Programme_Grunddaten!$A414="Geprüft",Programme_Grunddaten!Q414&lt;&gt;""),IF(Programme_Grunddaten!Q414="geschlossenes System",1,0),"")</f>
        <v/>
      </c>
      <c r="K409" s="1" t="str">
        <f>IF(AND(Programme_Grunddaten!$A414="Geprüft",Programme_Grunddaten!R414&lt;&gt;""),IF(Programme_Grunddaten!R414="Ja",1,0),"")</f>
        <v/>
      </c>
      <c r="L409" s="1" t="str">
        <f>IF(AND(Programme_Grunddaten!$A414="Geprüft",Programme_Grunddaten!T414&lt;&gt;""),IF(Programme_Grunddaten!T414="Ja",1,0),"")</f>
        <v/>
      </c>
      <c r="M409" s="1" t="str">
        <f>IF(AND(Programme_Grunddaten!$A414="Geprüft",Programme_Grunddaten!U414&lt;&gt;""),IF(Programme_Grunddaten!U414="Ja",1,0),"")</f>
        <v/>
      </c>
      <c r="N409" s="1" t="str">
        <f>IF(AND(Programme_Grunddaten!$A414="Geprüft",Programme_Grunddaten!V414&lt;&gt;""),IF(Programme_Grunddaten!V414="Ja",1,0),"")</f>
        <v/>
      </c>
      <c r="O409" s="1" t="str">
        <f>IF(AND(Programme_Grunddaten!$A414="Geprüft",Programme_Grunddaten!W414&lt;&gt;""),IF(Programme_Grunddaten!W414="Ja",1,0),"")</f>
        <v/>
      </c>
      <c r="P409" s="1" t="str">
        <f>IF(AND(Programme_Grunddaten!$A414="Geprüft",Programme_Grunddaten!X414&lt;&gt;""),IF(Programme_Grunddaten!X414="Ja",1,0),"")</f>
        <v/>
      </c>
      <c r="Q409" s="1" t="str">
        <f>IF(AND(Programme_Grunddaten!$A414="Geprüft",Programme_Grunddaten!Y414&lt;&gt;""),IF(Programme_Grunddaten!Y414="Ja",1,0),"")</f>
        <v/>
      </c>
      <c r="R409" s="1" t="str">
        <f>IF(AND(Programme_Grunddaten!$A414="Geprüft",Programme_Grunddaten!Z414&lt;&gt;""),IF(Programme_Grunddaten!Z414="Ja",1,0),"")</f>
        <v/>
      </c>
      <c r="S409" s="1" t="str">
        <f>IF(AND(Programme_Grunddaten!$A414="Geprüft",Programme_Grunddaten!AA414&lt;&gt;""),IF(Programme_Grunddaten!AA414="monolithisch",1,0),"")</f>
        <v/>
      </c>
      <c r="T409" s="1" t="str">
        <f>IF(AND(Programme_Grunddaten!$A414="Geprüft",Programme_Grunddaten!AB414&lt;&gt;""),IF(Programme_Grunddaten!AB414="Ja",1,0),"")</f>
        <v/>
      </c>
      <c r="U409" s="1" t="str">
        <f>IF(AND(Programme_Grunddaten!$A414="Geprüft",Programme_Grunddaten!AC414&lt;&gt;""),IF(Programme_Grunddaten!AC414="Ja",1,0),"")</f>
        <v/>
      </c>
      <c r="V409" s="1" t="str">
        <f>IF(AND(Programme_Grunddaten!$A414="Geprüft",Programme_Grunddaten!AD414&lt;&gt;""),IF(Programme_Grunddaten!AD414="Ja",1,0),"")</f>
        <v/>
      </c>
      <c r="W409" s="1" t="str">
        <f>IF(AND(Programme_Grunddaten!$A414="Geprüft",Programme_Grunddaten!AE414&lt;&gt;""),IF(Programme_Grunddaten!AE414="Ja",1,0),"")</f>
        <v/>
      </c>
      <c r="X409" s="1" t="str">
        <f>IF(AND(Programme_Grunddaten!$A414="Geprüft",Programme_Grunddaten!AF414&lt;&gt;""),IF(Programme_Grunddaten!AF414="Ja",1,0),"")</f>
        <v/>
      </c>
      <c r="Y409" s="1" t="str">
        <f>IF(AND(Programme_Grunddaten!$A414="Geprüft",Programme_Grunddaten!AG414&lt;&gt;""),IF(Programme_Grunddaten!AG414="Ja",1,0),"")</f>
        <v/>
      </c>
      <c r="Z409" s="1" t="str">
        <f>IF(AND(Programme_Grunddaten!$A414="Geprüft",Programme_Grunddaten!AH414&lt;&gt;""),IF(Programme_Grunddaten!AH414="Ja",1,0),"")</f>
        <v/>
      </c>
      <c r="AA409" s="1" t="str">
        <f>IF(AND(Programme_Grunddaten!$A414="Geprüft",Programme_Grunddaten!AI414&lt;&gt;""),IF(Programme_Grunddaten!AI414="Ja",1,0),"")</f>
        <v/>
      </c>
      <c r="AB409" s="1" t="str">
        <f>IF(AND(Programme_Grunddaten!$A414="Geprüft",Programme_Grunddaten!AJ414&lt;&gt;""),IF(Programme_Grunddaten!AJ414="individuell programmierbar",1,0),"")</f>
        <v/>
      </c>
      <c r="AC409" s="1" t="str">
        <f>IF(AND(Programme_Grunddaten!$A414="Geprüft",Programme_Grunddaten!AK414&lt;&gt;""),IF(Programme_Grunddaten!AK414="Deutsch",0,IF(Programme_Grunddaten!AK414="Deutsch und Englisch",1,2)),"")</f>
        <v/>
      </c>
      <c r="AD409" s="1" t="str">
        <f>IF(AND(Programme_Grunddaten!$A414="Geprüft",Programme_Grunddaten!AL414&lt;&gt;""),IF(Programme_Grunddaten!AL414="Ja",1,0),"")</f>
        <v/>
      </c>
      <c r="AE409" s="1" t="str">
        <f>IF(AND(Programme_Grunddaten!$A414="Geprüft",Programme_Grunddaten!AM414&lt;&gt;""),IF(Programme_Grunddaten!AM414="Ja",1,0),"")</f>
        <v/>
      </c>
      <c r="AF409" s="1" t="str">
        <f>IF(AND(Programme_Grunddaten!$A414="Geprüft",Programme_Grunddaten!AN414&lt;&gt;""),IF(Programme_Grunddaten!AN414="Ja",1,0),"")</f>
        <v/>
      </c>
      <c r="AG409" s="1" t="str">
        <f>IF(AND(Programme_Grunddaten!$A414="Geprüft",Programme_Grunddaten!AO414&lt;&gt;""),IF(Programme_Grunddaten!AO414="Ja",1,0),"")</f>
        <v/>
      </c>
      <c r="AH409" s="1" t="str">
        <f>IF(AND(Programme_Grunddaten!$A414="Geprüft",Programme_Grunddaten!AP414&lt;&gt;""),IF(Programme_Grunddaten!AP414="Ja",1,0),"")</f>
        <v/>
      </c>
      <c r="AI409" s="1" t="str">
        <f>IF(AND(Programme_Grunddaten!$A414="Geprüft",Programme_Grunddaten!AQ414&lt;&gt;""),IF(Programme_Grunddaten!AQ414="Ja",1,0),"")</f>
        <v/>
      </c>
      <c r="AJ409" s="1" t="str">
        <f>IF(AND(Programme_Grunddaten!$A414="Geprüft",Programme_Grunddaten!AR414&lt;&gt;""),IF(Programme_Grunddaten!AR414="Ja",1,0),"")</f>
        <v/>
      </c>
      <c r="AK409" s="1" t="str">
        <f>IF(AND(Programme_Grunddaten!$A414="Geprüft",Programme_Grunddaten!AS414&lt;&gt;""),IF(Programme_Grunddaten!AS414="Ja",1,0),"")</f>
        <v/>
      </c>
      <c r="AL409" s="1" t="str">
        <f>IF(AND(Programme_Grunddaten!$A414="Geprüft",Programme_Grunddaten!AT414&lt;&gt;""),IF(Programme_Grunddaten!AT414="Ja",1,0),"")</f>
        <v/>
      </c>
      <c r="AM409" s="1" t="str">
        <f>IF(AND(Programme_Grunddaten!$A414="Geprüft",Programme_Grunddaten!AU414&lt;&gt;""),IF(Programme_Grunddaten!AU414="Ja",1,0),"")</f>
        <v/>
      </c>
      <c r="AN409" s="1" t="str">
        <f>IF(AND(Programme_Grunddaten!$A414="Geprüft",Programme_Grunddaten!AV414&lt;&gt;""),IF(Programme_Grunddaten!AV414="Ja",1,0),"")</f>
        <v/>
      </c>
    </row>
    <row r="410" spans="1:40" x14ac:dyDescent="0.3">
      <c r="A410" s="1" t="str">
        <f>IF(AND(Programme_Grunddaten!A415="Geprüft",Programme_Grunddaten!B415&lt;&gt;""),Programme_Grunddaten!B415,"")</f>
        <v/>
      </c>
      <c r="B410" s="1" t="str">
        <f>IF(AND(Programme_Grunddaten!$A415="Geprüft",Programme_Grunddaten!I415&lt;&gt;""),IF(Programme_Grunddaten!I415="Ja",1,0),"")</f>
        <v/>
      </c>
      <c r="C410" s="1" t="str">
        <f>IF(AND(Programme_Grunddaten!$A415="Geprüft",Programme_Grunddaten!J415&lt;&gt;""),IF(Programme_Grunddaten!J415="Ja",1,0),"")</f>
        <v/>
      </c>
      <c r="D410" s="1" t="str">
        <f>IF(AND(Programme_Grunddaten!$A415="Geprüft",Programme_Grunddaten!K415&lt;&gt;""),IF(Programme_Grunddaten!K415="Ja",1,0),"")</f>
        <v/>
      </c>
      <c r="E410" s="1" t="str">
        <f>IF(AND(Programme_Grunddaten!$A415="Geprüft",Programme_Grunddaten!L415&lt;&gt;""),IF(Programme_Grunddaten!L415="Abo / befristete Lizenz",1,0),"")</f>
        <v/>
      </c>
      <c r="F410" s="1" t="str">
        <f>IF(AND(Programme_Grunddaten!$A415="Geprüft",Programme_Grunddaten!M415&lt;&gt;""),IF(Programme_Grunddaten!M415="Ja",1,0),"")</f>
        <v/>
      </c>
      <c r="G410" s="1" t="str">
        <f>IF(AND(Programme_Grunddaten!$A415="Geprüft",Programme_Grunddaten!N415&lt;&gt;""),IF(Programme_Grunddaten!N415="Ja",1,0),"")</f>
        <v/>
      </c>
      <c r="H410" s="1" t="str">
        <f>IF(AND(Programme_Grunddaten!$A415="Geprüft",Programme_Grunddaten!O415&lt;&gt;""),IF(Programme_Grunddaten!O415="Deutschland",0,IF(Programme_Grunddaten!O415="EU",1,2)),"")</f>
        <v/>
      </c>
      <c r="I410" s="1" t="str">
        <f>IF(AND(Programme_Grunddaten!$A415="Geprüft",Programme_Grunddaten!P415&lt;&gt;""),IF(Programme_Grunddaten!P415="Ja",1,0),"")</f>
        <v/>
      </c>
      <c r="J410" s="1" t="str">
        <f>IF(AND(Programme_Grunddaten!$A415="Geprüft",Programme_Grunddaten!Q415&lt;&gt;""),IF(Programme_Grunddaten!Q415="geschlossenes System",1,0),"")</f>
        <v/>
      </c>
      <c r="K410" s="1" t="str">
        <f>IF(AND(Programme_Grunddaten!$A415="Geprüft",Programme_Grunddaten!R415&lt;&gt;""),IF(Programme_Grunddaten!R415="Ja",1,0),"")</f>
        <v/>
      </c>
      <c r="L410" s="1" t="str">
        <f>IF(AND(Programme_Grunddaten!$A415="Geprüft",Programme_Grunddaten!T415&lt;&gt;""),IF(Programme_Grunddaten!T415="Ja",1,0),"")</f>
        <v/>
      </c>
      <c r="M410" s="1" t="str">
        <f>IF(AND(Programme_Grunddaten!$A415="Geprüft",Programme_Grunddaten!U415&lt;&gt;""),IF(Programme_Grunddaten!U415="Ja",1,0),"")</f>
        <v/>
      </c>
      <c r="N410" s="1" t="str">
        <f>IF(AND(Programme_Grunddaten!$A415="Geprüft",Programme_Grunddaten!V415&lt;&gt;""),IF(Programme_Grunddaten!V415="Ja",1,0),"")</f>
        <v/>
      </c>
      <c r="O410" s="1" t="str">
        <f>IF(AND(Programme_Grunddaten!$A415="Geprüft",Programme_Grunddaten!W415&lt;&gt;""),IF(Programme_Grunddaten!W415="Ja",1,0),"")</f>
        <v/>
      </c>
      <c r="P410" s="1" t="str">
        <f>IF(AND(Programme_Grunddaten!$A415="Geprüft",Programme_Grunddaten!X415&lt;&gt;""),IF(Programme_Grunddaten!X415="Ja",1,0),"")</f>
        <v/>
      </c>
      <c r="Q410" s="1" t="str">
        <f>IF(AND(Programme_Grunddaten!$A415="Geprüft",Programme_Grunddaten!Y415&lt;&gt;""),IF(Programme_Grunddaten!Y415="Ja",1,0),"")</f>
        <v/>
      </c>
      <c r="R410" s="1" t="str">
        <f>IF(AND(Programme_Grunddaten!$A415="Geprüft",Programme_Grunddaten!Z415&lt;&gt;""),IF(Programme_Grunddaten!Z415="Ja",1,0),"")</f>
        <v/>
      </c>
      <c r="S410" s="1" t="str">
        <f>IF(AND(Programme_Grunddaten!$A415="Geprüft",Programme_Grunddaten!AA415&lt;&gt;""),IF(Programme_Grunddaten!AA415="monolithisch",1,0),"")</f>
        <v/>
      </c>
      <c r="T410" s="1" t="str">
        <f>IF(AND(Programme_Grunddaten!$A415="Geprüft",Programme_Grunddaten!AB415&lt;&gt;""),IF(Programme_Grunddaten!AB415="Ja",1,0),"")</f>
        <v/>
      </c>
      <c r="U410" s="1" t="str">
        <f>IF(AND(Programme_Grunddaten!$A415="Geprüft",Programme_Grunddaten!AC415&lt;&gt;""),IF(Programme_Grunddaten!AC415="Ja",1,0),"")</f>
        <v/>
      </c>
      <c r="V410" s="1" t="str">
        <f>IF(AND(Programme_Grunddaten!$A415="Geprüft",Programme_Grunddaten!AD415&lt;&gt;""),IF(Programme_Grunddaten!AD415="Ja",1,0),"")</f>
        <v/>
      </c>
      <c r="W410" s="1" t="str">
        <f>IF(AND(Programme_Grunddaten!$A415="Geprüft",Programme_Grunddaten!AE415&lt;&gt;""),IF(Programme_Grunddaten!AE415="Ja",1,0),"")</f>
        <v/>
      </c>
      <c r="X410" s="1" t="str">
        <f>IF(AND(Programme_Grunddaten!$A415="Geprüft",Programme_Grunddaten!AF415&lt;&gt;""),IF(Programme_Grunddaten!AF415="Ja",1,0),"")</f>
        <v/>
      </c>
      <c r="Y410" s="1" t="str">
        <f>IF(AND(Programme_Grunddaten!$A415="Geprüft",Programme_Grunddaten!AG415&lt;&gt;""),IF(Programme_Grunddaten!AG415="Ja",1,0),"")</f>
        <v/>
      </c>
      <c r="Z410" s="1" t="str">
        <f>IF(AND(Programme_Grunddaten!$A415="Geprüft",Programme_Grunddaten!AH415&lt;&gt;""),IF(Programme_Grunddaten!AH415="Ja",1,0),"")</f>
        <v/>
      </c>
      <c r="AA410" s="1" t="str">
        <f>IF(AND(Programme_Grunddaten!$A415="Geprüft",Programme_Grunddaten!AI415&lt;&gt;""),IF(Programme_Grunddaten!AI415="Ja",1,0),"")</f>
        <v/>
      </c>
      <c r="AB410" s="1" t="str">
        <f>IF(AND(Programme_Grunddaten!$A415="Geprüft",Programme_Grunddaten!AJ415&lt;&gt;""),IF(Programme_Grunddaten!AJ415="individuell programmierbar",1,0),"")</f>
        <v/>
      </c>
      <c r="AC410" s="1" t="str">
        <f>IF(AND(Programme_Grunddaten!$A415="Geprüft",Programme_Grunddaten!AK415&lt;&gt;""),IF(Programme_Grunddaten!AK415="Deutsch",0,IF(Programme_Grunddaten!AK415="Deutsch und Englisch",1,2)),"")</f>
        <v/>
      </c>
      <c r="AD410" s="1" t="str">
        <f>IF(AND(Programme_Grunddaten!$A415="Geprüft",Programme_Grunddaten!AL415&lt;&gt;""),IF(Programme_Grunddaten!AL415="Ja",1,0),"")</f>
        <v/>
      </c>
      <c r="AE410" s="1" t="str">
        <f>IF(AND(Programme_Grunddaten!$A415="Geprüft",Programme_Grunddaten!AM415&lt;&gt;""),IF(Programme_Grunddaten!AM415="Ja",1,0),"")</f>
        <v/>
      </c>
      <c r="AF410" s="1" t="str">
        <f>IF(AND(Programme_Grunddaten!$A415="Geprüft",Programme_Grunddaten!AN415&lt;&gt;""),IF(Programme_Grunddaten!AN415="Ja",1,0),"")</f>
        <v/>
      </c>
      <c r="AG410" s="1" t="str">
        <f>IF(AND(Programme_Grunddaten!$A415="Geprüft",Programme_Grunddaten!AO415&lt;&gt;""),IF(Programme_Grunddaten!AO415="Ja",1,0),"")</f>
        <v/>
      </c>
      <c r="AH410" s="1" t="str">
        <f>IF(AND(Programme_Grunddaten!$A415="Geprüft",Programme_Grunddaten!AP415&lt;&gt;""),IF(Programme_Grunddaten!AP415="Ja",1,0),"")</f>
        <v/>
      </c>
      <c r="AI410" s="1" t="str">
        <f>IF(AND(Programme_Grunddaten!$A415="Geprüft",Programme_Grunddaten!AQ415&lt;&gt;""),IF(Programme_Grunddaten!AQ415="Ja",1,0),"")</f>
        <v/>
      </c>
      <c r="AJ410" s="1" t="str">
        <f>IF(AND(Programme_Grunddaten!$A415="Geprüft",Programme_Grunddaten!AR415&lt;&gt;""),IF(Programme_Grunddaten!AR415="Ja",1,0),"")</f>
        <v/>
      </c>
      <c r="AK410" s="1" t="str">
        <f>IF(AND(Programme_Grunddaten!$A415="Geprüft",Programme_Grunddaten!AS415&lt;&gt;""),IF(Programme_Grunddaten!AS415="Ja",1,0),"")</f>
        <v/>
      </c>
      <c r="AL410" s="1" t="str">
        <f>IF(AND(Programme_Grunddaten!$A415="Geprüft",Programme_Grunddaten!AT415&lt;&gt;""),IF(Programme_Grunddaten!AT415="Ja",1,0),"")</f>
        <v/>
      </c>
      <c r="AM410" s="1" t="str">
        <f>IF(AND(Programme_Grunddaten!$A415="Geprüft",Programme_Grunddaten!AU415&lt;&gt;""),IF(Programme_Grunddaten!AU415="Ja",1,0),"")</f>
        <v/>
      </c>
      <c r="AN410" s="1" t="str">
        <f>IF(AND(Programme_Grunddaten!$A415="Geprüft",Programme_Grunddaten!AV415&lt;&gt;""),IF(Programme_Grunddaten!AV415="Ja",1,0),"")</f>
        <v/>
      </c>
    </row>
    <row r="411" spans="1:40" x14ac:dyDescent="0.3">
      <c r="A411" s="1" t="str">
        <f>IF(AND(Programme_Grunddaten!A416="Geprüft",Programme_Grunddaten!B416&lt;&gt;""),Programme_Grunddaten!B416,"")</f>
        <v/>
      </c>
      <c r="B411" s="1" t="str">
        <f>IF(AND(Programme_Grunddaten!$A416="Geprüft",Programme_Grunddaten!I416&lt;&gt;""),IF(Programme_Grunddaten!I416="Ja",1,0),"")</f>
        <v/>
      </c>
      <c r="C411" s="1" t="str">
        <f>IF(AND(Programme_Grunddaten!$A416="Geprüft",Programme_Grunddaten!J416&lt;&gt;""),IF(Programme_Grunddaten!J416="Ja",1,0),"")</f>
        <v/>
      </c>
      <c r="D411" s="1" t="str">
        <f>IF(AND(Programme_Grunddaten!$A416="Geprüft",Programme_Grunddaten!K416&lt;&gt;""),IF(Programme_Grunddaten!K416="Ja",1,0),"")</f>
        <v/>
      </c>
      <c r="E411" s="1" t="str">
        <f>IF(AND(Programme_Grunddaten!$A416="Geprüft",Programme_Grunddaten!L416&lt;&gt;""),IF(Programme_Grunddaten!L416="Abo / befristete Lizenz",1,0),"")</f>
        <v/>
      </c>
      <c r="F411" s="1" t="str">
        <f>IF(AND(Programme_Grunddaten!$A416="Geprüft",Programme_Grunddaten!M416&lt;&gt;""),IF(Programme_Grunddaten!M416="Ja",1,0),"")</f>
        <v/>
      </c>
      <c r="G411" s="1" t="str">
        <f>IF(AND(Programme_Grunddaten!$A416="Geprüft",Programme_Grunddaten!N416&lt;&gt;""),IF(Programme_Grunddaten!N416="Ja",1,0),"")</f>
        <v/>
      </c>
      <c r="H411" s="1" t="str">
        <f>IF(AND(Programme_Grunddaten!$A416="Geprüft",Programme_Grunddaten!O416&lt;&gt;""),IF(Programme_Grunddaten!O416="Deutschland",0,IF(Programme_Grunddaten!O416="EU",1,2)),"")</f>
        <v/>
      </c>
      <c r="I411" s="1" t="str">
        <f>IF(AND(Programme_Grunddaten!$A416="Geprüft",Programme_Grunddaten!P416&lt;&gt;""),IF(Programme_Grunddaten!P416="Ja",1,0),"")</f>
        <v/>
      </c>
      <c r="J411" s="1" t="str">
        <f>IF(AND(Programme_Grunddaten!$A416="Geprüft",Programme_Grunddaten!Q416&lt;&gt;""),IF(Programme_Grunddaten!Q416="geschlossenes System",1,0),"")</f>
        <v/>
      </c>
      <c r="K411" s="1" t="str">
        <f>IF(AND(Programme_Grunddaten!$A416="Geprüft",Programme_Grunddaten!R416&lt;&gt;""),IF(Programme_Grunddaten!R416="Ja",1,0),"")</f>
        <v/>
      </c>
      <c r="L411" s="1" t="str">
        <f>IF(AND(Programme_Grunddaten!$A416="Geprüft",Programme_Grunddaten!T416&lt;&gt;""),IF(Programme_Grunddaten!T416="Ja",1,0),"")</f>
        <v/>
      </c>
      <c r="M411" s="1" t="str">
        <f>IF(AND(Programme_Grunddaten!$A416="Geprüft",Programme_Grunddaten!U416&lt;&gt;""),IF(Programme_Grunddaten!U416="Ja",1,0),"")</f>
        <v/>
      </c>
      <c r="N411" s="1" t="str">
        <f>IF(AND(Programme_Grunddaten!$A416="Geprüft",Programme_Grunddaten!V416&lt;&gt;""),IF(Programme_Grunddaten!V416="Ja",1,0),"")</f>
        <v/>
      </c>
      <c r="O411" s="1" t="str">
        <f>IF(AND(Programme_Grunddaten!$A416="Geprüft",Programme_Grunddaten!W416&lt;&gt;""),IF(Programme_Grunddaten!W416="Ja",1,0),"")</f>
        <v/>
      </c>
      <c r="P411" s="1" t="str">
        <f>IF(AND(Programme_Grunddaten!$A416="Geprüft",Programme_Grunddaten!X416&lt;&gt;""),IF(Programme_Grunddaten!X416="Ja",1,0),"")</f>
        <v/>
      </c>
      <c r="Q411" s="1" t="str">
        <f>IF(AND(Programme_Grunddaten!$A416="Geprüft",Programme_Grunddaten!Y416&lt;&gt;""),IF(Programme_Grunddaten!Y416="Ja",1,0),"")</f>
        <v/>
      </c>
      <c r="R411" s="1" t="str">
        <f>IF(AND(Programme_Grunddaten!$A416="Geprüft",Programme_Grunddaten!Z416&lt;&gt;""),IF(Programme_Grunddaten!Z416="Ja",1,0),"")</f>
        <v/>
      </c>
      <c r="S411" s="1" t="str">
        <f>IF(AND(Programme_Grunddaten!$A416="Geprüft",Programme_Grunddaten!AA416&lt;&gt;""),IF(Programme_Grunddaten!AA416="monolithisch",1,0),"")</f>
        <v/>
      </c>
      <c r="T411" s="1" t="str">
        <f>IF(AND(Programme_Grunddaten!$A416="Geprüft",Programme_Grunddaten!AB416&lt;&gt;""),IF(Programme_Grunddaten!AB416="Ja",1,0),"")</f>
        <v/>
      </c>
      <c r="U411" s="1" t="str">
        <f>IF(AND(Programme_Grunddaten!$A416="Geprüft",Programme_Grunddaten!AC416&lt;&gt;""),IF(Programme_Grunddaten!AC416="Ja",1,0),"")</f>
        <v/>
      </c>
      <c r="V411" s="1" t="str">
        <f>IF(AND(Programme_Grunddaten!$A416="Geprüft",Programme_Grunddaten!AD416&lt;&gt;""),IF(Programme_Grunddaten!AD416="Ja",1,0),"")</f>
        <v/>
      </c>
      <c r="W411" s="1" t="str">
        <f>IF(AND(Programme_Grunddaten!$A416="Geprüft",Programme_Grunddaten!AE416&lt;&gt;""),IF(Programme_Grunddaten!AE416="Ja",1,0),"")</f>
        <v/>
      </c>
      <c r="X411" s="1" t="str">
        <f>IF(AND(Programme_Grunddaten!$A416="Geprüft",Programme_Grunddaten!AF416&lt;&gt;""),IF(Programme_Grunddaten!AF416="Ja",1,0),"")</f>
        <v/>
      </c>
      <c r="Y411" s="1" t="str">
        <f>IF(AND(Programme_Grunddaten!$A416="Geprüft",Programme_Grunddaten!AG416&lt;&gt;""),IF(Programme_Grunddaten!AG416="Ja",1,0),"")</f>
        <v/>
      </c>
      <c r="Z411" s="1" t="str">
        <f>IF(AND(Programme_Grunddaten!$A416="Geprüft",Programme_Grunddaten!AH416&lt;&gt;""),IF(Programme_Grunddaten!AH416="Ja",1,0),"")</f>
        <v/>
      </c>
      <c r="AA411" s="1" t="str">
        <f>IF(AND(Programme_Grunddaten!$A416="Geprüft",Programme_Grunddaten!AI416&lt;&gt;""),IF(Programme_Grunddaten!AI416="Ja",1,0),"")</f>
        <v/>
      </c>
      <c r="AB411" s="1" t="str">
        <f>IF(AND(Programme_Grunddaten!$A416="Geprüft",Programme_Grunddaten!AJ416&lt;&gt;""),IF(Programme_Grunddaten!AJ416="individuell programmierbar",1,0),"")</f>
        <v/>
      </c>
      <c r="AC411" s="1" t="str">
        <f>IF(AND(Programme_Grunddaten!$A416="Geprüft",Programme_Grunddaten!AK416&lt;&gt;""),IF(Programme_Grunddaten!AK416="Deutsch",0,IF(Programme_Grunddaten!AK416="Deutsch und Englisch",1,2)),"")</f>
        <v/>
      </c>
      <c r="AD411" s="1" t="str">
        <f>IF(AND(Programme_Grunddaten!$A416="Geprüft",Programme_Grunddaten!AL416&lt;&gt;""),IF(Programme_Grunddaten!AL416="Ja",1,0),"")</f>
        <v/>
      </c>
      <c r="AE411" s="1" t="str">
        <f>IF(AND(Programme_Grunddaten!$A416="Geprüft",Programme_Grunddaten!AM416&lt;&gt;""),IF(Programme_Grunddaten!AM416="Ja",1,0),"")</f>
        <v/>
      </c>
      <c r="AF411" s="1" t="str">
        <f>IF(AND(Programme_Grunddaten!$A416="Geprüft",Programme_Grunddaten!AN416&lt;&gt;""),IF(Programme_Grunddaten!AN416="Ja",1,0),"")</f>
        <v/>
      </c>
      <c r="AG411" s="1" t="str">
        <f>IF(AND(Programme_Grunddaten!$A416="Geprüft",Programme_Grunddaten!AO416&lt;&gt;""),IF(Programme_Grunddaten!AO416="Ja",1,0),"")</f>
        <v/>
      </c>
      <c r="AH411" s="1" t="str">
        <f>IF(AND(Programme_Grunddaten!$A416="Geprüft",Programme_Grunddaten!AP416&lt;&gt;""),IF(Programme_Grunddaten!AP416="Ja",1,0),"")</f>
        <v/>
      </c>
      <c r="AI411" s="1" t="str">
        <f>IF(AND(Programme_Grunddaten!$A416="Geprüft",Programme_Grunddaten!AQ416&lt;&gt;""),IF(Programme_Grunddaten!AQ416="Ja",1,0),"")</f>
        <v/>
      </c>
      <c r="AJ411" s="1" t="str">
        <f>IF(AND(Programme_Grunddaten!$A416="Geprüft",Programme_Grunddaten!AR416&lt;&gt;""),IF(Programme_Grunddaten!AR416="Ja",1,0),"")</f>
        <v/>
      </c>
      <c r="AK411" s="1" t="str">
        <f>IF(AND(Programme_Grunddaten!$A416="Geprüft",Programme_Grunddaten!AS416&lt;&gt;""),IF(Programme_Grunddaten!AS416="Ja",1,0),"")</f>
        <v/>
      </c>
      <c r="AL411" s="1" t="str">
        <f>IF(AND(Programme_Grunddaten!$A416="Geprüft",Programme_Grunddaten!AT416&lt;&gt;""),IF(Programme_Grunddaten!AT416="Ja",1,0),"")</f>
        <v/>
      </c>
      <c r="AM411" s="1" t="str">
        <f>IF(AND(Programme_Grunddaten!$A416="Geprüft",Programme_Grunddaten!AU416&lt;&gt;""),IF(Programme_Grunddaten!AU416="Ja",1,0),"")</f>
        <v/>
      </c>
      <c r="AN411" s="1" t="str">
        <f>IF(AND(Programme_Grunddaten!$A416="Geprüft",Programme_Grunddaten!AV416&lt;&gt;""),IF(Programme_Grunddaten!AV416="Ja",1,0),"")</f>
        <v/>
      </c>
    </row>
    <row r="412" spans="1:40" x14ac:dyDescent="0.3">
      <c r="A412" s="1" t="str">
        <f>IF(AND(Programme_Grunddaten!A417="Geprüft",Programme_Grunddaten!B417&lt;&gt;""),Programme_Grunddaten!B417,"")</f>
        <v/>
      </c>
      <c r="B412" s="1" t="str">
        <f>IF(AND(Programme_Grunddaten!$A417="Geprüft",Programme_Grunddaten!I417&lt;&gt;""),IF(Programme_Grunddaten!I417="Ja",1,0),"")</f>
        <v/>
      </c>
      <c r="C412" s="1" t="str">
        <f>IF(AND(Programme_Grunddaten!$A417="Geprüft",Programme_Grunddaten!J417&lt;&gt;""),IF(Programme_Grunddaten!J417="Ja",1,0),"")</f>
        <v/>
      </c>
      <c r="D412" s="1" t="str">
        <f>IF(AND(Programme_Grunddaten!$A417="Geprüft",Programme_Grunddaten!K417&lt;&gt;""),IF(Programme_Grunddaten!K417="Ja",1,0),"")</f>
        <v/>
      </c>
      <c r="E412" s="1" t="str">
        <f>IF(AND(Programme_Grunddaten!$A417="Geprüft",Programme_Grunddaten!L417&lt;&gt;""),IF(Programme_Grunddaten!L417="Abo / befristete Lizenz",1,0),"")</f>
        <v/>
      </c>
      <c r="F412" s="1" t="str">
        <f>IF(AND(Programme_Grunddaten!$A417="Geprüft",Programme_Grunddaten!M417&lt;&gt;""),IF(Programme_Grunddaten!M417="Ja",1,0),"")</f>
        <v/>
      </c>
      <c r="G412" s="1" t="str">
        <f>IF(AND(Programme_Grunddaten!$A417="Geprüft",Programme_Grunddaten!N417&lt;&gt;""),IF(Programme_Grunddaten!N417="Ja",1,0),"")</f>
        <v/>
      </c>
      <c r="H412" s="1" t="str">
        <f>IF(AND(Programme_Grunddaten!$A417="Geprüft",Programme_Grunddaten!O417&lt;&gt;""),IF(Programme_Grunddaten!O417="Deutschland",0,IF(Programme_Grunddaten!O417="EU",1,2)),"")</f>
        <v/>
      </c>
      <c r="I412" s="1" t="str">
        <f>IF(AND(Programme_Grunddaten!$A417="Geprüft",Programme_Grunddaten!P417&lt;&gt;""),IF(Programme_Grunddaten!P417="Ja",1,0),"")</f>
        <v/>
      </c>
      <c r="J412" s="1" t="str">
        <f>IF(AND(Programme_Grunddaten!$A417="Geprüft",Programme_Grunddaten!Q417&lt;&gt;""),IF(Programme_Grunddaten!Q417="geschlossenes System",1,0),"")</f>
        <v/>
      </c>
      <c r="K412" s="1" t="str">
        <f>IF(AND(Programme_Grunddaten!$A417="Geprüft",Programme_Grunddaten!R417&lt;&gt;""),IF(Programme_Grunddaten!R417="Ja",1,0),"")</f>
        <v/>
      </c>
      <c r="L412" s="1" t="str">
        <f>IF(AND(Programme_Grunddaten!$A417="Geprüft",Programme_Grunddaten!T417&lt;&gt;""),IF(Programme_Grunddaten!T417="Ja",1,0),"")</f>
        <v/>
      </c>
      <c r="M412" s="1" t="str">
        <f>IF(AND(Programme_Grunddaten!$A417="Geprüft",Programme_Grunddaten!U417&lt;&gt;""),IF(Programme_Grunddaten!U417="Ja",1,0),"")</f>
        <v/>
      </c>
      <c r="N412" s="1" t="str">
        <f>IF(AND(Programme_Grunddaten!$A417="Geprüft",Programme_Grunddaten!V417&lt;&gt;""),IF(Programme_Grunddaten!V417="Ja",1,0),"")</f>
        <v/>
      </c>
      <c r="O412" s="1" t="str">
        <f>IF(AND(Programme_Grunddaten!$A417="Geprüft",Programme_Grunddaten!W417&lt;&gt;""),IF(Programme_Grunddaten!W417="Ja",1,0),"")</f>
        <v/>
      </c>
      <c r="P412" s="1" t="str">
        <f>IF(AND(Programme_Grunddaten!$A417="Geprüft",Programme_Grunddaten!X417&lt;&gt;""),IF(Programme_Grunddaten!X417="Ja",1,0),"")</f>
        <v/>
      </c>
      <c r="Q412" s="1" t="str">
        <f>IF(AND(Programme_Grunddaten!$A417="Geprüft",Programme_Grunddaten!Y417&lt;&gt;""),IF(Programme_Grunddaten!Y417="Ja",1,0),"")</f>
        <v/>
      </c>
      <c r="R412" s="1" t="str">
        <f>IF(AND(Programme_Grunddaten!$A417="Geprüft",Programme_Grunddaten!Z417&lt;&gt;""),IF(Programme_Grunddaten!Z417="Ja",1,0),"")</f>
        <v/>
      </c>
      <c r="S412" s="1" t="str">
        <f>IF(AND(Programme_Grunddaten!$A417="Geprüft",Programme_Grunddaten!AA417&lt;&gt;""),IF(Programme_Grunddaten!AA417="monolithisch",1,0),"")</f>
        <v/>
      </c>
      <c r="T412" s="1" t="str">
        <f>IF(AND(Programme_Grunddaten!$A417="Geprüft",Programme_Grunddaten!AB417&lt;&gt;""),IF(Programme_Grunddaten!AB417="Ja",1,0),"")</f>
        <v/>
      </c>
      <c r="U412" s="1" t="str">
        <f>IF(AND(Programme_Grunddaten!$A417="Geprüft",Programme_Grunddaten!AC417&lt;&gt;""),IF(Programme_Grunddaten!AC417="Ja",1,0),"")</f>
        <v/>
      </c>
      <c r="V412" s="1" t="str">
        <f>IF(AND(Programme_Grunddaten!$A417="Geprüft",Programme_Grunddaten!AD417&lt;&gt;""),IF(Programme_Grunddaten!AD417="Ja",1,0),"")</f>
        <v/>
      </c>
      <c r="W412" s="1" t="str">
        <f>IF(AND(Programme_Grunddaten!$A417="Geprüft",Programme_Grunddaten!AE417&lt;&gt;""),IF(Programme_Grunddaten!AE417="Ja",1,0),"")</f>
        <v/>
      </c>
      <c r="X412" s="1" t="str">
        <f>IF(AND(Programme_Grunddaten!$A417="Geprüft",Programme_Grunddaten!AF417&lt;&gt;""),IF(Programme_Grunddaten!AF417="Ja",1,0),"")</f>
        <v/>
      </c>
      <c r="Y412" s="1" t="str">
        <f>IF(AND(Programme_Grunddaten!$A417="Geprüft",Programme_Grunddaten!AG417&lt;&gt;""),IF(Programme_Grunddaten!AG417="Ja",1,0),"")</f>
        <v/>
      </c>
      <c r="Z412" s="1" t="str">
        <f>IF(AND(Programme_Grunddaten!$A417="Geprüft",Programme_Grunddaten!AH417&lt;&gt;""),IF(Programme_Grunddaten!AH417="Ja",1,0),"")</f>
        <v/>
      </c>
      <c r="AA412" s="1" t="str">
        <f>IF(AND(Programme_Grunddaten!$A417="Geprüft",Programme_Grunddaten!AI417&lt;&gt;""),IF(Programme_Grunddaten!AI417="Ja",1,0),"")</f>
        <v/>
      </c>
      <c r="AB412" s="1" t="str">
        <f>IF(AND(Programme_Grunddaten!$A417="Geprüft",Programme_Grunddaten!AJ417&lt;&gt;""),IF(Programme_Grunddaten!AJ417="individuell programmierbar",1,0),"")</f>
        <v/>
      </c>
      <c r="AC412" s="1" t="str">
        <f>IF(AND(Programme_Grunddaten!$A417="Geprüft",Programme_Grunddaten!AK417&lt;&gt;""),IF(Programme_Grunddaten!AK417="Deutsch",0,IF(Programme_Grunddaten!AK417="Deutsch und Englisch",1,2)),"")</f>
        <v/>
      </c>
      <c r="AD412" s="1" t="str">
        <f>IF(AND(Programme_Grunddaten!$A417="Geprüft",Programme_Grunddaten!AL417&lt;&gt;""),IF(Programme_Grunddaten!AL417="Ja",1,0),"")</f>
        <v/>
      </c>
      <c r="AE412" s="1" t="str">
        <f>IF(AND(Programme_Grunddaten!$A417="Geprüft",Programme_Grunddaten!AM417&lt;&gt;""),IF(Programme_Grunddaten!AM417="Ja",1,0),"")</f>
        <v/>
      </c>
      <c r="AF412" s="1" t="str">
        <f>IF(AND(Programme_Grunddaten!$A417="Geprüft",Programme_Grunddaten!AN417&lt;&gt;""),IF(Programme_Grunddaten!AN417="Ja",1,0),"")</f>
        <v/>
      </c>
      <c r="AG412" s="1" t="str">
        <f>IF(AND(Programme_Grunddaten!$A417="Geprüft",Programme_Grunddaten!AO417&lt;&gt;""),IF(Programme_Grunddaten!AO417="Ja",1,0),"")</f>
        <v/>
      </c>
      <c r="AH412" s="1" t="str">
        <f>IF(AND(Programme_Grunddaten!$A417="Geprüft",Programme_Grunddaten!AP417&lt;&gt;""),IF(Programme_Grunddaten!AP417="Ja",1,0),"")</f>
        <v/>
      </c>
      <c r="AI412" s="1" t="str">
        <f>IF(AND(Programme_Grunddaten!$A417="Geprüft",Programme_Grunddaten!AQ417&lt;&gt;""),IF(Programme_Grunddaten!AQ417="Ja",1,0),"")</f>
        <v/>
      </c>
      <c r="AJ412" s="1" t="str">
        <f>IF(AND(Programme_Grunddaten!$A417="Geprüft",Programme_Grunddaten!AR417&lt;&gt;""),IF(Programme_Grunddaten!AR417="Ja",1,0),"")</f>
        <v/>
      </c>
      <c r="AK412" s="1" t="str">
        <f>IF(AND(Programme_Grunddaten!$A417="Geprüft",Programme_Grunddaten!AS417&lt;&gt;""),IF(Programme_Grunddaten!AS417="Ja",1,0),"")</f>
        <v/>
      </c>
      <c r="AL412" s="1" t="str">
        <f>IF(AND(Programme_Grunddaten!$A417="Geprüft",Programme_Grunddaten!AT417&lt;&gt;""),IF(Programme_Grunddaten!AT417="Ja",1,0),"")</f>
        <v/>
      </c>
      <c r="AM412" s="1" t="str">
        <f>IF(AND(Programme_Grunddaten!$A417="Geprüft",Programme_Grunddaten!AU417&lt;&gt;""),IF(Programme_Grunddaten!AU417="Ja",1,0),"")</f>
        <v/>
      </c>
      <c r="AN412" s="1" t="str">
        <f>IF(AND(Programme_Grunddaten!$A417="Geprüft",Programme_Grunddaten!AV417&lt;&gt;""),IF(Programme_Grunddaten!AV417="Ja",1,0),"")</f>
        <v/>
      </c>
    </row>
    <row r="413" spans="1:40" x14ac:dyDescent="0.3">
      <c r="A413" s="1" t="str">
        <f>IF(AND(Programme_Grunddaten!A418="Geprüft",Programme_Grunddaten!B418&lt;&gt;""),Programme_Grunddaten!B418,"")</f>
        <v/>
      </c>
      <c r="B413" s="1" t="str">
        <f>IF(AND(Programme_Grunddaten!$A418="Geprüft",Programme_Grunddaten!I418&lt;&gt;""),IF(Programme_Grunddaten!I418="Ja",1,0),"")</f>
        <v/>
      </c>
      <c r="C413" s="1" t="str">
        <f>IF(AND(Programme_Grunddaten!$A418="Geprüft",Programme_Grunddaten!J418&lt;&gt;""),IF(Programme_Grunddaten!J418="Ja",1,0),"")</f>
        <v/>
      </c>
      <c r="D413" s="1" t="str">
        <f>IF(AND(Programme_Grunddaten!$A418="Geprüft",Programme_Grunddaten!K418&lt;&gt;""),IF(Programme_Grunddaten!K418="Ja",1,0),"")</f>
        <v/>
      </c>
      <c r="E413" s="1" t="str">
        <f>IF(AND(Programme_Grunddaten!$A418="Geprüft",Programme_Grunddaten!L418&lt;&gt;""),IF(Programme_Grunddaten!L418="Abo / befristete Lizenz",1,0),"")</f>
        <v/>
      </c>
      <c r="F413" s="1" t="str">
        <f>IF(AND(Programme_Grunddaten!$A418="Geprüft",Programme_Grunddaten!M418&lt;&gt;""),IF(Programme_Grunddaten!M418="Ja",1,0),"")</f>
        <v/>
      </c>
      <c r="G413" s="1" t="str">
        <f>IF(AND(Programme_Grunddaten!$A418="Geprüft",Programme_Grunddaten!N418&lt;&gt;""),IF(Programme_Grunddaten!N418="Ja",1,0),"")</f>
        <v/>
      </c>
      <c r="H413" s="1" t="str">
        <f>IF(AND(Programme_Grunddaten!$A418="Geprüft",Programme_Grunddaten!O418&lt;&gt;""),IF(Programme_Grunddaten!O418="Deutschland",0,IF(Programme_Grunddaten!O418="EU",1,2)),"")</f>
        <v/>
      </c>
      <c r="I413" s="1" t="str">
        <f>IF(AND(Programme_Grunddaten!$A418="Geprüft",Programme_Grunddaten!P418&lt;&gt;""),IF(Programme_Grunddaten!P418="Ja",1,0),"")</f>
        <v/>
      </c>
      <c r="J413" s="1" t="str">
        <f>IF(AND(Programme_Grunddaten!$A418="Geprüft",Programme_Grunddaten!Q418&lt;&gt;""),IF(Programme_Grunddaten!Q418="geschlossenes System",1,0),"")</f>
        <v/>
      </c>
      <c r="K413" s="1" t="str">
        <f>IF(AND(Programme_Grunddaten!$A418="Geprüft",Programme_Grunddaten!R418&lt;&gt;""),IF(Programme_Grunddaten!R418="Ja",1,0),"")</f>
        <v/>
      </c>
      <c r="L413" s="1" t="str">
        <f>IF(AND(Programme_Grunddaten!$A418="Geprüft",Programme_Grunddaten!T418&lt;&gt;""),IF(Programme_Grunddaten!T418="Ja",1,0),"")</f>
        <v/>
      </c>
      <c r="M413" s="1" t="str">
        <f>IF(AND(Programme_Grunddaten!$A418="Geprüft",Programme_Grunddaten!U418&lt;&gt;""),IF(Programme_Grunddaten!U418="Ja",1,0),"")</f>
        <v/>
      </c>
      <c r="N413" s="1" t="str">
        <f>IF(AND(Programme_Grunddaten!$A418="Geprüft",Programme_Grunddaten!V418&lt;&gt;""),IF(Programme_Grunddaten!V418="Ja",1,0),"")</f>
        <v/>
      </c>
      <c r="O413" s="1" t="str">
        <f>IF(AND(Programme_Grunddaten!$A418="Geprüft",Programme_Grunddaten!W418&lt;&gt;""),IF(Programme_Grunddaten!W418="Ja",1,0),"")</f>
        <v/>
      </c>
      <c r="P413" s="1" t="str">
        <f>IF(AND(Programme_Grunddaten!$A418="Geprüft",Programme_Grunddaten!X418&lt;&gt;""),IF(Programme_Grunddaten!X418="Ja",1,0),"")</f>
        <v/>
      </c>
      <c r="Q413" s="1" t="str">
        <f>IF(AND(Programme_Grunddaten!$A418="Geprüft",Programme_Grunddaten!Y418&lt;&gt;""),IF(Programme_Grunddaten!Y418="Ja",1,0),"")</f>
        <v/>
      </c>
      <c r="R413" s="1" t="str">
        <f>IF(AND(Programme_Grunddaten!$A418="Geprüft",Programme_Grunddaten!Z418&lt;&gt;""),IF(Programme_Grunddaten!Z418="Ja",1,0),"")</f>
        <v/>
      </c>
      <c r="S413" s="1" t="str">
        <f>IF(AND(Programme_Grunddaten!$A418="Geprüft",Programme_Grunddaten!AA418&lt;&gt;""),IF(Programme_Grunddaten!AA418="monolithisch",1,0),"")</f>
        <v/>
      </c>
      <c r="T413" s="1" t="str">
        <f>IF(AND(Programme_Grunddaten!$A418="Geprüft",Programme_Grunddaten!AB418&lt;&gt;""),IF(Programme_Grunddaten!AB418="Ja",1,0),"")</f>
        <v/>
      </c>
      <c r="U413" s="1" t="str">
        <f>IF(AND(Programme_Grunddaten!$A418="Geprüft",Programme_Grunddaten!AC418&lt;&gt;""),IF(Programme_Grunddaten!AC418="Ja",1,0),"")</f>
        <v/>
      </c>
      <c r="V413" s="1" t="str">
        <f>IF(AND(Programme_Grunddaten!$A418="Geprüft",Programme_Grunddaten!AD418&lt;&gt;""),IF(Programme_Grunddaten!AD418="Ja",1,0),"")</f>
        <v/>
      </c>
      <c r="W413" s="1" t="str">
        <f>IF(AND(Programme_Grunddaten!$A418="Geprüft",Programme_Grunddaten!AE418&lt;&gt;""),IF(Programme_Grunddaten!AE418="Ja",1,0),"")</f>
        <v/>
      </c>
      <c r="X413" s="1" t="str">
        <f>IF(AND(Programme_Grunddaten!$A418="Geprüft",Programme_Grunddaten!AF418&lt;&gt;""),IF(Programme_Grunddaten!AF418="Ja",1,0),"")</f>
        <v/>
      </c>
      <c r="Y413" s="1" t="str">
        <f>IF(AND(Programme_Grunddaten!$A418="Geprüft",Programme_Grunddaten!AG418&lt;&gt;""),IF(Programme_Grunddaten!AG418="Ja",1,0),"")</f>
        <v/>
      </c>
      <c r="Z413" s="1" t="str">
        <f>IF(AND(Programme_Grunddaten!$A418="Geprüft",Programme_Grunddaten!AH418&lt;&gt;""),IF(Programme_Grunddaten!AH418="Ja",1,0),"")</f>
        <v/>
      </c>
      <c r="AA413" s="1" t="str">
        <f>IF(AND(Programme_Grunddaten!$A418="Geprüft",Programme_Grunddaten!AI418&lt;&gt;""),IF(Programme_Grunddaten!AI418="Ja",1,0),"")</f>
        <v/>
      </c>
      <c r="AB413" s="1" t="str">
        <f>IF(AND(Programme_Grunddaten!$A418="Geprüft",Programme_Grunddaten!AJ418&lt;&gt;""),IF(Programme_Grunddaten!AJ418="individuell programmierbar",1,0),"")</f>
        <v/>
      </c>
      <c r="AC413" s="1" t="str">
        <f>IF(AND(Programme_Grunddaten!$A418="Geprüft",Programme_Grunddaten!AK418&lt;&gt;""),IF(Programme_Grunddaten!AK418="Deutsch",0,IF(Programme_Grunddaten!AK418="Deutsch und Englisch",1,2)),"")</f>
        <v/>
      </c>
      <c r="AD413" s="1" t="str">
        <f>IF(AND(Programme_Grunddaten!$A418="Geprüft",Programme_Grunddaten!AL418&lt;&gt;""),IF(Programme_Grunddaten!AL418="Ja",1,0),"")</f>
        <v/>
      </c>
      <c r="AE413" s="1" t="str">
        <f>IF(AND(Programme_Grunddaten!$A418="Geprüft",Programme_Grunddaten!AM418&lt;&gt;""),IF(Programme_Grunddaten!AM418="Ja",1,0),"")</f>
        <v/>
      </c>
      <c r="AF413" s="1" t="str">
        <f>IF(AND(Programme_Grunddaten!$A418="Geprüft",Programme_Grunddaten!AN418&lt;&gt;""),IF(Programme_Grunddaten!AN418="Ja",1,0),"")</f>
        <v/>
      </c>
      <c r="AG413" s="1" t="str">
        <f>IF(AND(Programme_Grunddaten!$A418="Geprüft",Programme_Grunddaten!AO418&lt;&gt;""),IF(Programme_Grunddaten!AO418="Ja",1,0),"")</f>
        <v/>
      </c>
      <c r="AH413" s="1" t="str">
        <f>IF(AND(Programme_Grunddaten!$A418="Geprüft",Programme_Grunddaten!AP418&lt;&gt;""),IF(Programme_Grunddaten!AP418="Ja",1,0),"")</f>
        <v/>
      </c>
      <c r="AI413" s="1" t="str">
        <f>IF(AND(Programme_Grunddaten!$A418="Geprüft",Programme_Grunddaten!AQ418&lt;&gt;""),IF(Programme_Grunddaten!AQ418="Ja",1,0),"")</f>
        <v/>
      </c>
      <c r="AJ413" s="1" t="str">
        <f>IF(AND(Programme_Grunddaten!$A418="Geprüft",Programme_Grunddaten!AR418&lt;&gt;""),IF(Programme_Grunddaten!AR418="Ja",1,0),"")</f>
        <v/>
      </c>
      <c r="AK413" s="1" t="str">
        <f>IF(AND(Programme_Grunddaten!$A418="Geprüft",Programme_Grunddaten!AS418&lt;&gt;""),IF(Programme_Grunddaten!AS418="Ja",1,0),"")</f>
        <v/>
      </c>
      <c r="AL413" s="1" t="str">
        <f>IF(AND(Programme_Grunddaten!$A418="Geprüft",Programme_Grunddaten!AT418&lt;&gt;""),IF(Programme_Grunddaten!AT418="Ja",1,0),"")</f>
        <v/>
      </c>
      <c r="AM413" s="1" t="str">
        <f>IF(AND(Programme_Grunddaten!$A418="Geprüft",Programme_Grunddaten!AU418&lt;&gt;""),IF(Programme_Grunddaten!AU418="Ja",1,0),"")</f>
        <v/>
      </c>
      <c r="AN413" s="1" t="str">
        <f>IF(AND(Programme_Grunddaten!$A418="Geprüft",Programme_Grunddaten!AV418&lt;&gt;""),IF(Programme_Grunddaten!AV418="Ja",1,0),"")</f>
        <v/>
      </c>
    </row>
    <row r="414" spans="1:40" x14ac:dyDescent="0.3">
      <c r="A414" s="1" t="str">
        <f>IF(AND(Programme_Grunddaten!A419="Geprüft",Programme_Grunddaten!B419&lt;&gt;""),Programme_Grunddaten!B419,"")</f>
        <v/>
      </c>
      <c r="B414" s="1" t="str">
        <f>IF(AND(Programme_Grunddaten!$A419="Geprüft",Programme_Grunddaten!I419&lt;&gt;""),IF(Programme_Grunddaten!I419="Ja",1,0),"")</f>
        <v/>
      </c>
      <c r="C414" s="1" t="str">
        <f>IF(AND(Programme_Grunddaten!$A419="Geprüft",Programme_Grunddaten!J419&lt;&gt;""),IF(Programme_Grunddaten!J419="Ja",1,0),"")</f>
        <v/>
      </c>
      <c r="D414" s="1" t="str">
        <f>IF(AND(Programme_Grunddaten!$A419="Geprüft",Programme_Grunddaten!K419&lt;&gt;""),IF(Programme_Grunddaten!K419="Ja",1,0),"")</f>
        <v/>
      </c>
      <c r="E414" s="1" t="str">
        <f>IF(AND(Programme_Grunddaten!$A419="Geprüft",Programme_Grunddaten!L419&lt;&gt;""),IF(Programme_Grunddaten!L419="Abo / befristete Lizenz",1,0),"")</f>
        <v/>
      </c>
      <c r="F414" s="1" t="str">
        <f>IF(AND(Programme_Grunddaten!$A419="Geprüft",Programme_Grunddaten!M419&lt;&gt;""),IF(Programme_Grunddaten!M419="Ja",1,0),"")</f>
        <v/>
      </c>
      <c r="G414" s="1" t="str">
        <f>IF(AND(Programme_Grunddaten!$A419="Geprüft",Programme_Grunddaten!N419&lt;&gt;""),IF(Programme_Grunddaten!N419="Ja",1,0),"")</f>
        <v/>
      </c>
      <c r="H414" s="1" t="str">
        <f>IF(AND(Programme_Grunddaten!$A419="Geprüft",Programme_Grunddaten!O419&lt;&gt;""),IF(Programme_Grunddaten!O419="Deutschland",0,IF(Programme_Grunddaten!O419="EU",1,2)),"")</f>
        <v/>
      </c>
      <c r="I414" s="1" t="str">
        <f>IF(AND(Programme_Grunddaten!$A419="Geprüft",Programme_Grunddaten!P419&lt;&gt;""),IF(Programme_Grunddaten!P419="Ja",1,0),"")</f>
        <v/>
      </c>
      <c r="J414" s="1" t="str">
        <f>IF(AND(Programme_Grunddaten!$A419="Geprüft",Programme_Grunddaten!Q419&lt;&gt;""),IF(Programme_Grunddaten!Q419="geschlossenes System",1,0),"")</f>
        <v/>
      </c>
      <c r="K414" s="1" t="str">
        <f>IF(AND(Programme_Grunddaten!$A419="Geprüft",Programme_Grunddaten!R419&lt;&gt;""),IF(Programme_Grunddaten!R419="Ja",1,0),"")</f>
        <v/>
      </c>
      <c r="L414" s="1" t="str">
        <f>IF(AND(Programme_Grunddaten!$A419="Geprüft",Programme_Grunddaten!T419&lt;&gt;""),IF(Programme_Grunddaten!T419="Ja",1,0),"")</f>
        <v/>
      </c>
      <c r="M414" s="1" t="str">
        <f>IF(AND(Programme_Grunddaten!$A419="Geprüft",Programme_Grunddaten!U419&lt;&gt;""),IF(Programme_Grunddaten!U419="Ja",1,0),"")</f>
        <v/>
      </c>
      <c r="N414" s="1" t="str">
        <f>IF(AND(Programme_Grunddaten!$A419="Geprüft",Programme_Grunddaten!V419&lt;&gt;""),IF(Programme_Grunddaten!V419="Ja",1,0),"")</f>
        <v/>
      </c>
      <c r="O414" s="1" t="str">
        <f>IF(AND(Programme_Grunddaten!$A419="Geprüft",Programme_Grunddaten!W419&lt;&gt;""),IF(Programme_Grunddaten!W419="Ja",1,0),"")</f>
        <v/>
      </c>
      <c r="P414" s="1" t="str">
        <f>IF(AND(Programme_Grunddaten!$A419="Geprüft",Programme_Grunddaten!X419&lt;&gt;""),IF(Programme_Grunddaten!X419="Ja",1,0),"")</f>
        <v/>
      </c>
      <c r="Q414" s="1" t="str">
        <f>IF(AND(Programme_Grunddaten!$A419="Geprüft",Programme_Grunddaten!Y419&lt;&gt;""),IF(Programme_Grunddaten!Y419="Ja",1,0),"")</f>
        <v/>
      </c>
      <c r="R414" s="1" t="str">
        <f>IF(AND(Programme_Grunddaten!$A419="Geprüft",Programme_Grunddaten!Z419&lt;&gt;""),IF(Programme_Grunddaten!Z419="Ja",1,0),"")</f>
        <v/>
      </c>
      <c r="S414" s="1" t="str">
        <f>IF(AND(Programme_Grunddaten!$A419="Geprüft",Programme_Grunddaten!AA419&lt;&gt;""),IF(Programme_Grunddaten!AA419="monolithisch",1,0),"")</f>
        <v/>
      </c>
      <c r="T414" s="1" t="str">
        <f>IF(AND(Programme_Grunddaten!$A419="Geprüft",Programme_Grunddaten!AB419&lt;&gt;""),IF(Programme_Grunddaten!AB419="Ja",1,0),"")</f>
        <v/>
      </c>
      <c r="U414" s="1" t="str">
        <f>IF(AND(Programme_Grunddaten!$A419="Geprüft",Programme_Grunddaten!AC419&lt;&gt;""),IF(Programme_Grunddaten!AC419="Ja",1,0),"")</f>
        <v/>
      </c>
      <c r="V414" s="1" t="str">
        <f>IF(AND(Programme_Grunddaten!$A419="Geprüft",Programme_Grunddaten!AD419&lt;&gt;""),IF(Programme_Grunddaten!AD419="Ja",1,0),"")</f>
        <v/>
      </c>
      <c r="W414" s="1" t="str">
        <f>IF(AND(Programme_Grunddaten!$A419="Geprüft",Programme_Grunddaten!AE419&lt;&gt;""),IF(Programme_Grunddaten!AE419="Ja",1,0),"")</f>
        <v/>
      </c>
      <c r="X414" s="1" t="str">
        <f>IF(AND(Programme_Grunddaten!$A419="Geprüft",Programme_Grunddaten!AF419&lt;&gt;""),IF(Programme_Grunddaten!AF419="Ja",1,0),"")</f>
        <v/>
      </c>
      <c r="Y414" s="1" t="str">
        <f>IF(AND(Programme_Grunddaten!$A419="Geprüft",Programme_Grunddaten!AG419&lt;&gt;""),IF(Programme_Grunddaten!AG419="Ja",1,0),"")</f>
        <v/>
      </c>
      <c r="Z414" s="1" t="str">
        <f>IF(AND(Programme_Grunddaten!$A419="Geprüft",Programme_Grunddaten!AH419&lt;&gt;""),IF(Programme_Grunddaten!AH419="Ja",1,0),"")</f>
        <v/>
      </c>
      <c r="AA414" s="1" t="str">
        <f>IF(AND(Programme_Grunddaten!$A419="Geprüft",Programme_Grunddaten!AI419&lt;&gt;""),IF(Programme_Grunddaten!AI419="Ja",1,0),"")</f>
        <v/>
      </c>
      <c r="AB414" s="1" t="str">
        <f>IF(AND(Programme_Grunddaten!$A419="Geprüft",Programme_Grunddaten!AJ419&lt;&gt;""),IF(Programme_Grunddaten!AJ419="individuell programmierbar",1,0),"")</f>
        <v/>
      </c>
      <c r="AC414" s="1" t="str">
        <f>IF(AND(Programme_Grunddaten!$A419="Geprüft",Programme_Grunddaten!AK419&lt;&gt;""),IF(Programme_Grunddaten!AK419="Deutsch",0,IF(Programme_Grunddaten!AK419="Deutsch und Englisch",1,2)),"")</f>
        <v/>
      </c>
      <c r="AD414" s="1" t="str">
        <f>IF(AND(Programme_Grunddaten!$A419="Geprüft",Programme_Grunddaten!AL419&lt;&gt;""),IF(Programme_Grunddaten!AL419="Ja",1,0),"")</f>
        <v/>
      </c>
      <c r="AE414" s="1" t="str">
        <f>IF(AND(Programme_Grunddaten!$A419="Geprüft",Programme_Grunddaten!AM419&lt;&gt;""),IF(Programme_Grunddaten!AM419="Ja",1,0),"")</f>
        <v/>
      </c>
      <c r="AF414" s="1" t="str">
        <f>IF(AND(Programme_Grunddaten!$A419="Geprüft",Programme_Grunddaten!AN419&lt;&gt;""),IF(Programme_Grunddaten!AN419="Ja",1,0),"")</f>
        <v/>
      </c>
      <c r="AG414" s="1" t="str">
        <f>IF(AND(Programme_Grunddaten!$A419="Geprüft",Programme_Grunddaten!AO419&lt;&gt;""),IF(Programme_Grunddaten!AO419="Ja",1,0),"")</f>
        <v/>
      </c>
      <c r="AH414" s="1" t="str">
        <f>IF(AND(Programme_Grunddaten!$A419="Geprüft",Programme_Grunddaten!AP419&lt;&gt;""),IF(Programme_Grunddaten!AP419="Ja",1,0),"")</f>
        <v/>
      </c>
      <c r="AI414" s="1" t="str">
        <f>IF(AND(Programme_Grunddaten!$A419="Geprüft",Programme_Grunddaten!AQ419&lt;&gt;""),IF(Programme_Grunddaten!AQ419="Ja",1,0),"")</f>
        <v/>
      </c>
      <c r="AJ414" s="1" t="str">
        <f>IF(AND(Programme_Grunddaten!$A419="Geprüft",Programme_Grunddaten!AR419&lt;&gt;""),IF(Programme_Grunddaten!AR419="Ja",1,0),"")</f>
        <v/>
      </c>
      <c r="AK414" s="1" t="str">
        <f>IF(AND(Programme_Grunddaten!$A419="Geprüft",Programme_Grunddaten!AS419&lt;&gt;""),IF(Programme_Grunddaten!AS419="Ja",1,0),"")</f>
        <v/>
      </c>
      <c r="AL414" s="1" t="str">
        <f>IF(AND(Programme_Grunddaten!$A419="Geprüft",Programme_Grunddaten!AT419&lt;&gt;""),IF(Programme_Grunddaten!AT419="Ja",1,0),"")</f>
        <v/>
      </c>
      <c r="AM414" s="1" t="str">
        <f>IF(AND(Programme_Grunddaten!$A419="Geprüft",Programme_Grunddaten!AU419&lt;&gt;""),IF(Programme_Grunddaten!AU419="Ja",1,0),"")</f>
        <v/>
      </c>
      <c r="AN414" s="1" t="str">
        <f>IF(AND(Programme_Grunddaten!$A419="Geprüft",Programme_Grunddaten!AV419&lt;&gt;""),IF(Programme_Grunddaten!AV419="Ja",1,0),"")</f>
        <v/>
      </c>
    </row>
    <row r="415" spans="1:40" x14ac:dyDescent="0.3">
      <c r="A415" s="1" t="str">
        <f>IF(AND(Programme_Grunddaten!A420="Geprüft",Programme_Grunddaten!B420&lt;&gt;""),Programme_Grunddaten!B420,"")</f>
        <v/>
      </c>
      <c r="B415" s="1" t="str">
        <f>IF(AND(Programme_Grunddaten!$A420="Geprüft",Programme_Grunddaten!I420&lt;&gt;""),IF(Programme_Grunddaten!I420="Ja",1,0),"")</f>
        <v/>
      </c>
      <c r="C415" s="1" t="str">
        <f>IF(AND(Programme_Grunddaten!$A420="Geprüft",Programme_Grunddaten!J420&lt;&gt;""),IF(Programme_Grunddaten!J420="Ja",1,0),"")</f>
        <v/>
      </c>
      <c r="D415" s="1" t="str">
        <f>IF(AND(Programme_Grunddaten!$A420="Geprüft",Programme_Grunddaten!K420&lt;&gt;""),IF(Programme_Grunddaten!K420="Ja",1,0),"")</f>
        <v/>
      </c>
      <c r="E415" s="1" t="str">
        <f>IF(AND(Programme_Grunddaten!$A420="Geprüft",Programme_Grunddaten!L420&lt;&gt;""),IF(Programme_Grunddaten!L420="Abo / befristete Lizenz",1,0),"")</f>
        <v/>
      </c>
      <c r="F415" s="1" t="str">
        <f>IF(AND(Programme_Grunddaten!$A420="Geprüft",Programme_Grunddaten!M420&lt;&gt;""),IF(Programme_Grunddaten!M420="Ja",1,0),"")</f>
        <v/>
      </c>
      <c r="G415" s="1" t="str">
        <f>IF(AND(Programme_Grunddaten!$A420="Geprüft",Programme_Grunddaten!N420&lt;&gt;""),IF(Programme_Grunddaten!N420="Ja",1,0),"")</f>
        <v/>
      </c>
      <c r="H415" s="1" t="str">
        <f>IF(AND(Programme_Grunddaten!$A420="Geprüft",Programme_Grunddaten!O420&lt;&gt;""),IF(Programme_Grunddaten!O420="Deutschland",0,IF(Programme_Grunddaten!O420="EU",1,2)),"")</f>
        <v/>
      </c>
      <c r="I415" s="1" t="str">
        <f>IF(AND(Programme_Grunddaten!$A420="Geprüft",Programme_Grunddaten!P420&lt;&gt;""),IF(Programme_Grunddaten!P420="Ja",1,0),"")</f>
        <v/>
      </c>
      <c r="J415" s="1" t="str">
        <f>IF(AND(Programme_Grunddaten!$A420="Geprüft",Programme_Grunddaten!Q420&lt;&gt;""),IF(Programme_Grunddaten!Q420="geschlossenes System",1,0),"")</f>
        <v/>
      </c>
      <c r="K415" s="1" t="str">
        <f>IF(AND(Programme_Grunddaten!$A420="Geprüft",Programme_Grunddaten!R420&lt;&gt;""),IF(Programme_Grunddaten!R420="Ja",1,0),"")</f>
        <v/>
      </c>
      <c r="L415" s="1" t="str">
        <f>IF(AND(Programme_Grunddaten!$A420="Geprüft",Programme_Grunddaten!T420&lt;&gt;""),IF(Programme_Grunddaten!T420="Ja",1,0),"")</f>
        <v/>
      </c>
      <c r="M415" s="1" t="str">
        <f>IF(AND(Programme_Grunddaten!$A420="Geprüft",Programme_Grunddaten!U420&lt;&gt;""),IF(Programme_Grunddaten!U420="Ja",1,0),"")</f>
        <v/>
      </c>
      <c r="N415" s="1" t="str">
        <f>IF(AND(Programme_Grunddaten!$A420="Geprüft",Programme_Grunddaten!V420&lt;&gt;""),IF(Programme_Grunddaten!V420="Ja",1,0),"")</f>
        <v/>
      </c>
      <c r="O415" s="1" t="str">
        <f>IF(AND(Programme_Grunddaten!$A420="Geprüft",Programme_Grunddaten!W420&lt;&gt;""),IF(Programme_Grunddaten!W420="Ja",1,0),"")</f>
        <v/>
      </c>
      <c r="P415" s="1" t="str">
        <f>IF(AND(Programme_Grunddaten!$A420="Geprüft",Programme_Grunddaten!X420&lt;&gt;""),IF(Programme_Grunddaten!X420="Ja",1,0),"")</f>
        <v/>
      </c>
      <c r="Q415" s="1" t="str">
        <f>IF(AND(Programme_Grunddaten!$A420="Geprüft",Programme_Grunddaten!Y420&lt;&gt;""),IF(Programme_Grunddaten!Y420="Ja",1,0),"")</f>
        <v/>
      </c>
      <c r="R415" s="1" t="str">
        <f>IF(AND(Programme_Grunddaten!$A420="Geprüft",Programme_Grunddaten!Z420&lt;&gt;""),IF(Programme_Grunddaten!Z420="Ja",1,0),"")</f>
        <v/>
      </c>
      <c r="S415" s="1" t="str">
        <f>IF(AND(Programme_Grunddaten!$A420="Geprüft",Programme_Grunddaten!AA420&lt;&gt;""),IF(Programme_Grunddaten!AA420="monolithisch",1,0),"")</f>
        <v/>
      </c>
      <c r="T415" s="1" t="str">
        <f>IF(AND(Programme_Grunddaten!$A420="Geprüft",Programme_Grunddaten!AB420&lt;&gt;""),IF(Programme_Grunddaten!AB420="Ja",1,0),"")</f>
        <v/>
      </c>
      <c r="U415" s="1" t="str">
        <f>IF(AND(Programme_Grunddaten!$A420="Geprüft",Programme_Grunddaten!AC420&lt;&gt;""),IF(Programme_Grunddaten!AC420="Ja",1,0),"")</f>
        <v/>
      </c>
      <c r="V415" s="1" t="str">
        <f>IF(AND(Programme_Grunddaten!$A420="Geprüft",Programme_Grunddaten!AD420&lt;&gt;""),IF(Programme_Grunddaten!AD420="Ja",1,0),"")</f>
        <v/>
      </c>
      <c r="W415" s="1" t="str">
        <f>IF(AND(Programme_Grunddaten!$A420="Geprüft",Programme_Grunddaten!AE420&lt;&gt;""),IF(Programme_Grunddaten!AE420="Ja",1,0),"")</f>
        <v/>
      </c>
      <c r="X415" s="1" t="str">
        <f>IF(AND(Programme_Grunddaten!$A420="Geprüft",Programme_Grunddaten!AF420&lt;&gt;""),IF(Programme_Grunddaten!AF420="Ja",1,0),"")</f>
        <v/>
      </c>
      <c r="Y415" s="1" t="str">
        <f>IF(AND(Programme_Grunddaten!$A420="Geprüft",Programme_Grunddaten!AG420&lt;&gt;""),IF(Programme_Grunddaten!AG420="Ja",1,0),"")</f>
        <v/>
      </c>
      <c r="Z415" s="1" t="str">
        <f>IF(AND(Programme_Grunddaten!$A420="Geprüft",Programme_Grunddaten!AH420&lt;&gt;""),IF(Programme_Grunddaten!AH420="Ja",1,0),"")</f>
        <v/>
      </c>
      <c r="AA415" s="1" t="str">
        <f>IF(AND(Programme_Grunddaten!$A420="Geprüft",Programme_Grunddaten!AI420&lt;&gt;""),IF(Programme_Grunddaten!AI420="Ja",1,0),"")</f>
        <v/>
      </c>
      <c r="AB415" s="1" t="str">
        <f>IF(AND(Programme_Grunddaten!$A420="Geprüft",Programme_Grunddaten!AJ420&lt;&gt;""),IF(Programme_Grunddaten!AJ420="individuell programmierbar",1,0),"")</f>
        <v/>
      </c>
      <c r="AC415" s="1" t="str">
        <f>IF(AND(Programme_Grunddaten!$A420="Geprüft",Programme_Grunddaten!AK420&lt;&gt;""),IF(Programme_Grunddaten!AK420="Deutsch",0,IF(Programme_Grunddaten!AK420="Deutsch und Englisch",1,2)),"")</f>
        <v/>
      </c>
      <c r="AD415" s="1" t="str">
        <f>IF(AND(Programme_Grunddaten!$A420="Geprüft",Programme_Grunddaten!AL420&lt;&gt;""),IF(Programme_Grunddaten!AL420="Ja",1,0),"")</f>
        <v/>
      </c>
      <c r="AE415" s="1" t="str">
        <f>IF(AND(Programme_Grunddaten!$A420="Geprüft",Programme_Grunddaten!AM420&lt;&gt;""),IF(Programme_Grunddaten!AM420="Ja",1,0),"")</f>
        <v/>
      </c>
      <c r="AF415" s="1" t="str">
        <f>IF(AND(Programme_Grunddaten!$A420="Geprüft",Programme_Grunddaten!AN420&lt;&gt;""),IF(Programme_Grunddaten!AN420="Ja",1,0),"")</f>
        <v/>
      </c>
      <c r="AG415" s="1" t="str">
        <f>IF(AND(Programme_Grunddaten!$A420="Geprüft",Programme_Grunddaten!AO420&lt;&gt;""),IF(Programme_Grunddaten!AO420="Ja",1,0),"")</f>
        <v/>
      </c>
      <c r="AH415" s="1" t="str">
        <f>IF(AND(Programme_Grunddaten!$A420="Geprüft",Programme_Grunddaten!AP420&lt;&gt;""),IF(Programme_Grunddaten!AP420="Ja",1,0),"")</f>
        <v/>
      </c>
      <c r="AI415" s="1" t="str">
        <f>IF(AND(Programme_Grunddaten!$A420="Geprüft",Programme_Grunddaten!AQ420&lt;&gt;""),IF(Programme_Grunddaten!AQ420="Ja",1,0),"")</f>
        <v/>
      </c>
      <c r="AJ415" s="1" t="str">
        <f>IF(AND(Programme_Grunddaten!$A420="Geprüft",Programme_Grunddaten!AR420&lt;&gt;""),IF(Programme_Grunddaten!AR420="Ja",1,0),"")</f>
        <v/>
      </c>
      <c r="AK415" s="1" t="str">
        <f>IF(AND(Programme_Grunddaten!$A420="Geprüft",Programme_Grunddaten!AS420&lt;&gt;""),IF(Programme_Grunddaten!AS420="Ja",1,0),"")</f>
        <v/>
      </c>
      <c r="AL415" s="1" t="str">
        <f>IF(AND(Programme_Grunddaten!$A420="Geprüft",Programme_Grunddaten!AT420&lt;&gt;""),IF(Programme_Grunddaten!AT420="Ja",1,0),"")</f>
        <v/>
      </c>
      <c r="AM415" s="1" t="str">
        <f>IF(AND(Programme_Grunddaten!$A420="Geprüft",Programme_Grunddaten!AU420&lt;&gt;""),IF(Programme_Grunddaten!AU420="Ja",1,0),"")</f>
        <v/>
      </c>
      <c r="AN415" s="1" t="str">
        <f>IF(AND(Programme_Grunddaten!$A420="Geprüft",Programme_Grunddaten!AV420&lt;&gt;""),IF(Programme_Grunddaten!AV420="Ja",1,0),"")</f>
        <v/>
      </c>
    </row>
    <row r="416" spans="1:40" x14ac:dyDescent="0.3">
      <c r="A416" s="1" t="str">
        <f>IF(AND(Programme_Grunddaten!A421="Geprüft",Programme_Grunddaten!B421&lt;&gt;""),Programme_Grunddaten!B421,"")</f>
        <v/>
      </c>
      <c r="B416" s="1" t="str">
        <f>IF(AND(Programme_Grunddaten!$A421="Geprüft",Programme_Grunddaten!I421&lt;&gt;""),IF(Programme_Grunddaten!I421="Ja",1,0),"")</f>
        <v/>
      </c>
      <c r="C416" s="1" t="str">
        <f>IF(AND(Programme_Grunddaten!$A421="Geprüft",Programme_Grunddaten!J421&lt;&gt;""),IF(Programme_Grunddaten!J421="Ja",1,0),"")</f>
        <v/>
      </c>
      <c r="D416" s="1" t="str">
        <f>IF(AND(Programme_Grunddaten!$A421="Geprüft",Programme_Grunddaten!K421&lt;&gt;""),IF(Programme_Grunddaten!K421="Ja",1,0),"")</f>
        <v/>
      </c>
      <c r="E416" s="1" t="str">
        <f>IF(AND(Programme_Grunddaten!$A421="Geprüft",Programme_Grunddaten!L421&lt;&gt;""),IF(Programme_Grunddaten!L421="Abo / befristete Lizenz",1,0),"")</f>
        <v/>
      </c>
      <c r="F416" s="1" t="str">
        <f>IF(AND(Programme_Grunddaten!$A421="Geprüft",Programme_Grunddaten!M421&lt;&gt;""),IF(Programme_Grunddaten!M421="Ja",1,0),"")</f>
        <v/>
      </c>
      <c r="G416" s="1" t="str">
        <f>IF(AND(Programme_Grunddaten!$A421="Geprüft",Programme_Grunddaten!N421&lt;&gt;""),IF(Programme_Grunddaten!N421="Ja",1,0),"")</f>
        <v/>
      </c>
      <c r="H416" s="1" t="str">
        <f>IF(AND(Programme_Grunddaten!$A421="Geprüft",Programme_Grunddaten!O421&lt;&gt;""),IF(Programme_Grunddaten!O421="Deutschland",0,IF(Programme_Grunddaten!O421="EU",1,2)),"")</f>
        <v/>
      </c>
      <c r="I416" s="1" t="str">
        <f>IF(AND(Programme_Grunddaten!$A421="Geprüft",Programme_Grunddaten!P421&lt;&gt;""),IF(Programme_Grunddaten!P421="Ja",1,0),"")</f>
        <v/>
      </c>
      <c r="J416" s="1" t="str">
        <f>IF(AND(Programme_Grunddaten!$A421="Geprüft",Programme_Grunddaten!Q421&lt;&gt;""),IF(Programme_Grunddaten!Q421="geschlossenes System",1,0),"")</f>
        <v/>
      </c>
      <c r="K416" s="1" t="str">
        <f>IF(AND(Programme_Grunddaten!$A421="Geprüft",Programme_Grunddaten!R421&lt;&gt;""),IF(Programme_Grunddaten!R421="Ja",1,0),"")</f>
        <v/>
      </c>
      <c r="L416" s="1" t="str">
        <f>IF(AND(Programme_Grunddaten!$A421="Geprüft",Programme_Grunddaten!T421&lt;&gt;""),IF(Programme_Grunddaten!T421="Ja",1,0),"")</f>
        <v/>
      </c>
      <c r="M416" s="1" t="str">
        <f>IF(AND(Programme_Grunddaten!$A421="Geprüft",Programme_Grunddaten!U421&lt;&gt;""),IF(Programme_Grunddaten!U421="Ja",1,0),"")</f>
        <v/>
      </c>
      <c r="N416" s="1" t="str">
        <f>IF(AND(Programme_Grunddaten!$A421="Geprüft",Programme_Grunddaten!V421&lt;&gt;""),IF(Programme_Grunddaten!V421="Ja",1,0),"")</f>
        <v/>
      </c>
      <c r="O416" s="1" t="str">
        <f>IF(AND(Programme_Grunddaten!$A421="Geprüft",Programme_Grunddaten!W421&lt;&gt;""),IF(Programme_Grunddaten!W421="Ja",1,0),"")</f>
        <v/>
      </c>
      <c r="P416" s="1" t="str">
        <f>IF(AND(Programme_Grunddaten!$A421="Geprüft",Programme_Grunddaten!X421&lt;&gt;""),IF(Programme_Grunddaten!X421="Ja",1,0),"")</f>
        <v/>
      </c>
      <c r="Q416" s="1" t="str">
        <f>IF(AND(Programme_Grunddaten!$A421="Geprüft",Programme_Grunddaten!Y421&lt;&gt;""),IF(Programme_Grunddaten!Y421="Ja",1,0),"")</f>
        <v/>
      </c>
      <c r="R416" s="1" t="str">
        <f>IF(AND(Programme_Grunddaten!$A421="Geprüft",Programme_Grunddaten!Z421&lt;&gt;""),IF(Programme_Grunddaten!Z421="Ja",1,0),"")</f>
        <v/>
      </c>
      <c r="S416" s="1" t="str">
        <f>IF(AND(Programme_Grunddaten!$A421="Geprüft",Programme_Grunddaten!AA421&lt;&gt;""),IF(Programme_Grunddaten!AA421="monolithisch",1,0),"")</f>
        <v/>
      </c>
      <c r="T416" s="1" t="str">
        <f>IF(AND(Programme_Grunddaten!$A421="Geprüft",Programme_Grunddaten!AB421&lt;&gt;""),IF(Programme_Grunddaten!AB421="Ja",1,0),"")</f>
        <v/>
      </c>
      <c r="U416" s="1" t="str">
        <f>IF(AND(Programme_Grunddaten!$A421="Geprüft",Programme_Grunddaten!AC421&lt;&gt;""),IF(Programme_Grunddaten!AC421="Ja",1,0),"")</f>
        <v/>
      </c>
      <c r="V416" s="1" t="str">
        <f>IF(AND(Programme_Grunddaten!$A421="Geprüft",Programme_Grunddaten!AD421&lt;&gt;""),IF(Programme_Grunddaten!AD421="Ja",1,0),"")</f>
        <v/>
      </c>
      <c r="W416" s="1" t="str">
        <f>IF(AND(Programme_Grunddaten!$A421="Geprüft",Programme_Grunddaten!AE421&lt;&gt;""),IF(Programme_Grunddaten!AE421="Ja",1,0),"")</f>
        <v/>
      </c>
      <c r="X416" s="1" t="str">
        <f>IF(AND(Programme_Grunddaten!$A421="Geprüft",Programme_Grunddaten!AF421&lt;&gt;""),IF(Programme_Grunddaten!AF421="Ja",1,0),"")</f>
        <v/>
      </c>
      <c r="Y416" s="1" t="str">
        <f>IF(AND(Programme_Grunddaten!$A421="Geprüft",Programme_Grunddaten!AG421&lt;&gt;""),IF(Programme_Grunddaten!AG421="Ja",1,0),"")</f>
        <v/>
      </c>
      <c r="Z416" s="1" t="str">
        <f>IF(AND(Programme_Grunddaten!$A421="Geprüft",Programme_Grunddaten!AH421&lt;&gt;""),IF(Programme_Grunddaten!AH421="Ja",1,0),"")</f>
        <v/>
      </c>
      <c r="AA416" s="1" t="str">
        <f>IF(AND(Programme_Grunddaten!$A421="Geprüft",Programme_Grunddaten!AI421&lt;&gt;""),IF(Programme_Grunddaten!AI421="Ja",1,0),"")</f>
        <v/>
      </c>
      <c r="AB416" s="1" t="str">
        <f>IF(AND(Programme_Grunddaten!$A421="Geprüft",Programme_Grunddaten!AJ421&lt;&gt;""),IF(Programme_Grunddaten!AJ421="individuell programmierbar",1,0),"")</f>
        <v/>
      </c>
      <c r="AC416" s="1" t="str">
        <f>IF(AND(Programme_Grunddaten!$A421="Geprüft",Programme_Grunddaten!AK421&lt;&gt;""),IF(Programme_Grunddaten!AK421="Deutsch",0,IF(Programme_Grunddaten!AK421="Deutsch und Englisch",1,2)),"")</f>
        <v/>
      </c>
      <c r="AD416" s="1" t="str">
        <f>IF(AND(Programme_Grunddaten!$A421="Geprüft",Programme_Grunddaten!AL421&lt;&gt;""),IF(Programme_Grunddaten!AL421="Ja",1,0),"")</f>
        <v/>
      </c>
      <c r="AE416" s="1" t="str">
        <f>IF(AND(Programme_Grunddaten!$A421="Geprüft",Programme_Grunddaten!AM421&lt;&gt;""),IF(Programme_Grunddaten!AM421="Ja",1,0),"")</f>
        <v/>
      </c>
      <c r="AF416" s="1" t="str">
        <f>IF(AND(Programme_Grunddaten!$A421="Geprüft",Programme_Grunddaten!AN421&lt;&gt;""),IF(Programme_Grunddaten!AN421="Ja",1,0),"")</f>
        <v/>
      </c>
      <c r="AG416" s="1" t="str">
        <f>IF(AND(Programme_Grunddaten!$A421="Geprüft",Programme_Grunddaten!AO421&lt;&gt;""),IF(Programme_Grunddaten!AO421="Ja",1,0),"")</f>
        <v/>
      </c>
      <c r="AH416" s="1" t="str">
        <f>IF(AND(Programme_Grunddaten!$A421="Geprüft",Programme_Grunddaten!AP421&lt;&gt;""),IF(Programme_Grunddaten!AP421="Ja",1,0),"")</f>
        <v/>
      </c>
      <c r="AI416" s="1" t="str">
        <f>IF(AND(Programme_Grunddaten!$A421="Geprüft",Programme_Grunddaten!AQ421&lt;&gt;""),IF(Programme_Grunddaten!AQ421="Ja",1,0),"")</f>
        <v/>
      </c>
      <c r="AJ416" s="1" t="str">
        <f>IF(AND(Programme_Grunddaten!$A421="Geprüft",Programme_Grunddaten!AR421&lt;&gt;""),IF(Programme_Grunddaten!AR421="Ja",1,0),"")</f>
        <v/>
      </c>
      <c r="AK416" s="1" t="str">
        <f>IF(AND(Programme_Grunddaten!$A421="Geprüft",Programme_Grunddaten!AS421&lt;&gt;""),IF(Programme_Grunddaten!AS421="Ja",1,0),"")</f>
        <v/>
      </c>
      <c r="AL416" s="1" t="str">
        <f>IF(AND(Programme_Grunddaten!$A421="Geprüft",Programme_Grunddaten!AT421&lt;&gt;""),IF(Programme_Grunddaten!AT421="Ja",1,0),"")</f>
        <v/>
      </c>
      <c r="AM416" s="1" t="str">
        <f>IF(AND(Programme_Grunddaten!$A421="Geprüft",Programme_Grunddaten!AU421&lt;&gt;""),IF(Programme_Grunddaten!AU421="Ja",1,0),"")</f>
        <v/>
      </c>
      <c r="AN416" s="1" t="str">
        <f>IF(AND(Programme_Grunddaten!$A421="Geprüft",Programme_Grunddaten!AV421&lt;&gt;""),IF(Programme_Grunddaten!AV421="Ja",1,0),"")</f>
        <v/>
      </c>
    </row>
    <row r="417" spans="1:40" x14ac:dyDescent="0.3">
      <c r="A417" s="1" t="str">
        <f>IF(AND(Programme_Grunddaten!A422="Geprüft",Programme_Grunddaten!B422&lt;&gt;""),Programme_Grunddaten!B422,"")</f>
        <v/>
      </c>
      <c r="B417" s="1" t="str">
        <f>IF(AND(Programme_Grunddaten!$A422="Geprüft",Programme_Grunddaten!I422&lt;&gt;""),IF(Programme_Grunddaten!I422="Ja",1,0),"")</f>
        <v/>
      </c>
      <c r="C417" s="1" t="str">
        <f>IF(AND(Programme_Grunddaten!$A422="Geprüft",Programme_Grunddaten!J422&lt;&gt;""),IF(Programme_Grunddaten!J422="Ja",1,0),"")</f>
        <v/>
      </c>
      <c r="D417" s="1" t="str">
        <f>IF(AND(Programme_Grunddaten!$A422="Geprüft",Programme_Grunddaten!K422&lt;&gt;""),IF(Programme_Grunddaten!K422="Ja",1,0),"")</f>
        <v/>
      </c>
      <c r="E417" s="1" t="str">
        <f>IF(AND(Programme_Grunddaten!$A422="Geprüft",Programme_Grunddaten!L422&lt;&gt;""),IF(Programme_Grunddaten!L422="Abo / befristete Lizenz",1,0),"")</f>
        <v/>
      </c>
      <c r="F417" s="1" t="str">
        <f>IF(AND(Programme_Grunddaten!$A422="Geprüft",Programme_Grunddaten!M422&lt;&gt;""),IF(Programme_Grunddaten!M422="Ja",1,0),"")</f>
        <v/>
      </c>
      <c r="G417" s="1" t="str">
        <f>IF(AND(Programme_Grunddaten!$A422="Geprüft",Programme_Grunddaten!N422&lt;&gt;""),IF(Programme_Grunddaten!N422="Ja",1,0),"")</f>
        <v/>
      </c>
      <c r="H417" s="1" t="str">
        <f>IF(AND(Programme_Grunddaten!$A422="Geprüft",Programme_Grunddaten!O422&lt;&gt;""),IF(Programme_Grunddaten!O422="Deutschland",0,IF(Programme_Grunddaten!O422="EU",1,2)),"")</f>
        <v/>
      </c>
      <c r="I417" s="1" t="str">
        <f>IF(AND(Programme_Grunddaten!$A422="Geprüft",Programme_Grunddaten!P422&lt;&gt;""),IF(Programme_Grunddaten!P422="Ja",1,0),"")</f>
        <v/>
      </c>
      <c r="J417" s="1" t="str">
        <f>IF(AND(Programme_Grunddaten!$A422="Geprüft",Programme_Grunddaten!Q422&lt;&gt;""),IF(Programme_Grunddaten!Q422="geschlossenes System",1,0),"")</f>
        <v/>
      </c>
      <c r="K417" s="1" t="str">
        <f>IF(AND(Programme_Grunddaten!$A422="Geprüft",Programme_Grunddaten!R422&lt;&gt;""),IF(Programme_Grunddaten!R422="Ja",1,0),"")</f>
        <v/>
      </c>
      <c r="L417" s="1" t="str">
        <f>IF(AND(Programme_Grunddaten!$A422="Geprüft",Programme_Grunddaten!T422&lt;&gt;""),IF(Programme_Grunddaten!T422="Ja",1,0),"")</f>
        <v/>
      </c>
      <c r="M417" s="1" t="str">
        <f>IF(AND(Programme_Grunddaten!$A422="Geprüft",Programme_Grunddaten!U422&lt;&gt;""),IF(Programme_Grunddaten!U422="Ja",1,0),"")</f>
        <v/>
      </c>
      <c r="N417" s="1" t="str">
        <f>IF(AND(Programme_Grunddaten!$A422="Geprüft",Programme_Grunddaten!V422&lt;&gt;""),IF(Programme_Grunddaten!V422="Ja",1,0),"")</f>
        <v/>
      </c>
      <c r="O417" s="1" t="str">
        <f>IF(AND(Programme_Grunddaten!$A422="Geprüft",Programme_Grunddaten!W422&lt;&gt;""),IF(Programme_Grunddaten!W422="Ja",1,0),"")</f>
        <v/>
      </c>
      <c r="P417" s="1" t="str">
        <f>IF(AND(Programme_Grunddaten!$A422="Geprüft",Programme_Grunddaten!X422&lt;&gt;""),IF(Programme_Grunddaten!X422="Ja",1,0),"")</f>
        <v/>
      </c>
      <c r="Q417" s="1" t="str">
        <f>IF(AND(Programme_Grunddaten!$A422="Geprüft",Programme_Grunddaten!Y422&lt;&gt;""),IF(Programme_Grunddaten!Y422="Ja",1,0),"")</f>
        <v/>
      </c>
      <c r="R417" s="1" t="str">
        <f>IF(AND(Programme_Grunddaten!$A422="Geprüft",Programme_Grunddaten!Z422&lt;&gt;""),IF(Programme_Grunddaten!Z422="Ja",1,0),"")</f>
        <v/>
      </c>
      <c r="S417" s="1" t="str">
        <f>IF(AND(Programme_Grunddaten!$A422="Geprüft",Programme_Grunddaten!AA422&lt;&gt;""),IF(Programme_Grunddaten!AA422="monolithisch",1,0),"")</f>
        <v/>
      </c>
      <c r="T417" s="1" t="str">
        <f>IF(AND(Programme_Grunddaten!$A422="Geprüft",Programme_Grunddaten!AB422&lt;&gt;""),IF(Programme_Grunddaten!AB422="Ja",1,0),"")</f>
        <v/>
      </c>
      <c r="U417" s="1" t="str">
        <f>IF(AND(Programme_Grunddaten!$A422="Geprüft",Programme_Grunddaten!AC422&lt;&gt;""),IF(Programme_Grunddaten!AC422="Ja",1,0),"")</f>
        <v/>
      </c>
      <c r="V417" s="1" t="str">
        <f>IF(AND(Programme_Grunddaten!$A422="Geprüft",Programme_Grunddaten!AD422&lt;&gt;""),IF(Programme_Grunddaten!AD422="Ja",1,0),"")</f>
        <v/>
      </c>
      <c r="W417" s="1" t="str">
        <f>IF(AND(Programme_Grunddaten!$A422="Geprüft",Programme_Grunddaten!AE422&lt;&gt;""),IF(Programme_Grunddaten!AE422="Ja",1,0),"")</f>
        <v/>
      </c>
      <c r="X417" s="1" t="str">
        <f>IF(AND(Programme_Grunddaten!$A422="Geprüft",Programme_Grunddaten!AF422&lt;&gt;""),IF(Programme_Grunddaten!AF422="Ja",1,0),"")</f>
        <v/>
      </c>
      <c r="Y417" s="1" t="str">
        <f>IF(AND(Programme_Grunddaten!$A422="Geprüft",Programme_Grunddaten!AG422&lt;&gt;""),IF(Programme_Grunddaten!AG422="Ja",1,0),"")</f>
        <v/>
      </c>
      <c r="Z417" s="1" t="str">
        <f>IF(AND(Programme_Grunddaten!$A422="Geprüft",Programme_Grunddaten!AH422&lt;&gt;""),IF(Programme_Grunddaten!AH422="Ja",1,0),"")</f>
        <v/>
      </c>
      <c r="AA417" s="1" t="str">
        <f>IF(AND(Programme_Grunddaten!$A422="Geprüft",Programme_Grunddaten!AI422&lt;&gt;""),IF(Programme_Grunddaten!AI422="Ja",1,0),"")</f>
        <v/>
      </c>
      <c r="AB417" s="1" t="str">
        <f>IF(AND(Programme_Grunddaten!$A422="Geprüft",Programme_Grunddaten!AJ422&lt;&gt;""),IF(Programme_Grunddaten!AJ422="individuell programmierbar",1,0),"")</f>
        <v/>
      </c>
      <c r="AC417" s="1" t="str">
        <f>IF(AND(Programme_Grunddaten!$A422="Geprüft",Programme_Grunddaten!AK422&lt;&gt;""),IF(Programme_Grunddaten!AK422="Deutsch",0,IF(Programme_Grunddaten!AK422="Deutsch und Englisch",1,2)),"")</f>
        <v/>
      </c>
      <c r="AD417" s="1" t="str">
        <f>IF(AND(Programme_Grunddaten!$A422="Geprüft",Programme_Grunddaten!AL422&lt;&gt;""),IF(Programme_Grunddaten!AL422="Ja",1,0),"")</f>
        <v/>
      </c>
      <c r="AE417" s="1" t="str">
        <f>IF(AND(Programme_Grunddaten!$A422="Geprüft",Programme_Grunddaten!AM422&lt;&gt;""),IF(Programme_Grunddaten!AM422="Ja",1,0),"")</f>
        <v/>
      </c>
      <c r="AF417" s="1" t="str">
        <f>IF(AND(Programme_Grunddaten!$A422="Geprüft",Programme_Grunddaten!AN422&lt;&gt;""),IF(Programme_Grunddaten!AN422="Ja",1,0),"")</f>
        <v/>
      </c>
      <c r="AG417" s="1" t="str">
        <f>IF(AND(Programme_Grunddaten!$A422="Geprüft",Programme_Grunddaten!AO422&lt;&gt;""),IF(Programme_Grunddaten!AO422="Ja",1,0),"")</f>
        <v/>
      </c>
      <c r="AH417" s="1" t="str">
        <f>IF(AND(Programme_Grunddaten!$A422="Geprüft",Programme_Grunddaten!AP422&lt;&gt;""),IF(Programme_Grunddaten!AP422="Ja",1,0),"")</f>
        <v/>
      </c>
      <c r="AI417" s="1" t="str">
        <f>IF(AND(Programme_Grunddaten!$A422="Geprüft",Programme_Grunddaten!AQ422&lt;&gt;""),IF(Programme_Grunddaten!AQ422="Ja",1,0),"")</f>
        <v/>
      </c>
      <c r="AJ417" s="1" t="str">
        <f>IF(AND(Programme_Grunddaten!$A422="Geprüft",Programme_Grunddaten!AR422&lt;&gt;""),IF(Programme_Grunddaten!AR422="Ja",1,0),"")</f>
        <v/>
      </c>
      <c r="AK417" s="1" t="str">
        <f>IF(AND(Programme_Grunddaten!$A422="Geprüft",Programme_Grunddaten!AS422&lt;&gt;""),IF(Programme_Grunddaten!AS422="Ja",1,0),"")</f>
        <v/>
      </c>
      <c r="AL417" s="1" t="str">
        <f>IF(AND(Programme_Grunddaten!$A422="Geprüft",Programme_Grunddaten!AT422&lt;&gt;""),IF(Programme_Grunddaten!AT422="Ja",1,0),"")</f>
        <v/>
      </c>
      <c r="AM417" s="1" t="str">
        <f>IF(AND(Programme_Grunddaten!$A422="Geprüft",Programme_Grunddaten!AU422&lt;&gt;""),IF(Programme_Grunddaten!AU422="Ja",1,0),"")</f>
        <v/>
      </c>
      <c r="AN417" s="1" t="str">
        <f>IF(AND(Programme_Grunddaten!$A422="Geprüft",Programme_Grunddaten!AV422&lt;&gt;""),IF(Programme_Grunddaten!AV422="Ja",1,0),"")</f>
        <v/>
      </c>
    </row>
    <row r="418" spans="1:40" x14ac:dyDescent="0.3">
      <c r="A418" s="1" t="str">
        <f>IF(AND(Programme_Grunddaten!A423="Geprüft",Programme_Grunddaten!B423&lt;&gt;""),Programme_Grunddaten!B423,"")</f>
        <v/>
      </c>
      <c r="B418" s="1" t="str">
        <f>IF(AND(Programme_Grunddaten!$A423="Geprüft",Programme_Grunddaten!I423&lt;&gt;""),IF(Programme_Grunddaten!I423="Ja",1,0),"")</f>
        <v/>
      </c>
      <c r="C418" s="1" t="str">
        <f>IF(AND(Programme_Grunddaten!$A423="Geprüft",Programme_Grunddaten!J423&lt;&gt;""),IF(Programme_Grunddaten!J423="Ja",1,0),"")</f>
        <v/>
      </c>
      <c r="D418" s="1" t="str">
        <f>IF(AND(Programme_Grunddaten!$A423="Geprüft",Programme_Grunddaten!K423&lt;&gt;""),IF(Programme_Grunddaten!K423="Ja",1,0),"")</f>
        <v/>
      </c>
      <c r="E418" s="1" t="str">
        <f>IF(AND(Programme_Grunddaten!$A423="Geprüft",Programme_Grunddaten!L423&lt;&gt;""),IF(Programme_Grunddaten!L423="Abo / befristete Lizenz",1,0),"")</f>
        <v/>
      </c>
      <c r="F418" s="1" t="str">
        <f>IF(AND(Programme_Grunddaten!$A423="Geprüft",Programme_Grunddaten!M423&lt;&gt;""),IF(Programme_Grunddaten!M423="Ja",1,0),"")</f>
        <v/>
      </c>
      <c r="G418" s="1" t="str">
        <f>IF(AND(Programme_Grunddaten!$A423="Geprüft",Programme_Grunddaten!N423&lt;&gt;""),IF(Programme_Grunddaten!N423="Ja",1,0),"")</f>
        <v/>
      </c>
      <c r="H418" s="1" t="str">
        <f>IF(AND(Programme_Grunddaten!$A423="Geprüft",Programme_Grunddaten!O423&lt;&gt;""),IF(Programme_Grunddaten!O423="Deutschland",0,IF(Programme_Grunddaten!O423="EU",1,2)),"")</f>
        <v/>
      </c>
      <c r="I418" s="1" t="str">
        <f>IF(AND(Programme_Grunddaten!$A423="Geprüft",Programme_Grunddaten!P423&lt;&gt;""),IF(Programme_Grunddaten!P423="Ja",1,0),"")</f>
        <v/>
      </c>
      <c r="J418" s="1" t="str">
        <f>IF(AND(Programme_Grunddaten!$A423="Geprüft",Programme_Grunddaten!Q423&lt;&gt;""),IF(Programme_Grunddaten!Q423="geschlossenes System",1,0),"")</f>
        <v/>
      </c>
      <c r="K418" s="1" t="str">
        <f>IF(AND(Programme_Grunddaten!$A423="Geprüft",Programme_Grunddaten!R423&lt;&gt;""),IF(Programme_Grunddaten!R423="Ja",1,0),"")</f>
        <v/>
      </c>
      <c r="L418" s="1" t="str">
        <f>IF(AND(Programme_Grunddaten!$A423="Geprüft",Programme_Grunddaten!T423&lt;&gt;""),IF(Programme_Grunddaten!T423="Ja",1,0),"")</f>
        <v/>
      </c>
      <c r="M418" s="1" t="str">
        <f>IF(AND(Programme_Grunddaten!$A423="Geprüft",Programme_Grunddaten!U423&lt;&gt;""),IF(Programme_Grunddaten!U423="Ja",1,0),"")</f>
        <v/>
      </c>
      <c r="N418" s="1" t="str">
        <f>IF(AND(Programme_Grunddaten!$A423="Geprüft",Programme_Grunddaten!V423&lt;&gt;""),IF(Programme_Grunddaten!V423="Ja",1,0),"")</f>
        <v/>
      </c>
      <c r="O418" s="1" t="str">
        <f>IF(AND(Programme_Grunddaten!$A423="Geprüft",Programme_Grunddaten!W423&lt;&gt;""),IF(Programme_Grunddaten!W423="Ja",1,0),"")</f>
        <v/>
      </c>
      <c r="P418" s="1" t="str">
        <f>IF(AND(Programme_Grunddaten!$A423="Geprüft",Programme_Grunddaten!X423&lt;&gt;""),IF(Programme_Grunddaten!X423="Ja",1,0),"")</f>
        <v/>
      </c>
      <c r="Q418" s="1" t="str">
        <f>IF(AND(Programme_Grunddaten!$A423="Geprüft",Programme_Grunddaten!Y423&lt;&gt;""),IF(Programme_Grunddaten!Y423="Ja",1,0),"")</f>
        <v/>
      </c>
      <c r="R418" s="1" t="str">
        <f>IF(AND(Programme_Grunddaten!$A423="Geprüft",Programme_Grunddaten!Z423&lt;&gt;""),IF(Programme_Grunddaten!Z423="Ja",1,0),"")</f>
        <v/>
      </c>
      <c r="S418" s="1" t="str">
        <f>IF(AND(Programme_Grunddaten!$A423="Geprüft",Programme_Grunddaten!AA423&lt;&gt;""),IF(Programme_Grunddaten!AA423="monolithisch",1,0),"")</f>
        <v/>
      </c>
      <c r="T418" s="1" t="str">
        <f>IF(AND(Programme_Grunddaten!$A423="Geprüft",Programme_Grunddaten!AB423&lt;&gt;""),IF(Programme_Grunddaten!AB423="Ja",1,0),"")</f>
        <v/>
      </c>
      <c r="U418" s="1" t="str">
        <f>IF(AND(Programme_Grunddaten!$A423="Geprüft",Programme_Grunddaten!AC423&lt;&gt;""),IF(Programme_Grunddaten!AC423="Ja",1,0),"")</f>
        <v/>
      </c>
      <c r="V418" s="1" t="str">
        <f>IF(AND(Programme_Grunddaten!$A423="Geprüft",Programme_Grunddaten!AD423&lt;&gt;""),IF(Programme_Grunddaten!AD423="Ja",1,0),"")</f>
        <v/>
      </c>
      <c r="W418" s="1" t="str">
        <f>IF(AND(Programme_Grunddaten!$A423="Geprüft",Programme_Grunddaten!AE423&lt;&gt;""),IF(Programme_Grunddaten!AE423="Ja",1,0),"")</f>
        <v/>
      </c>
      <c r="X418" s="1" t="str">
        <f>IF(AND(Programme_Grunddaten!$A423="Geprüft",Programme_Grunddaten!AF423&lt;&gt;""),IF(Programme_Grunddaten!AF423="Ja",1,0),"")</f>
        <v/>
      </c>
      <c r="Y418" s="1" t="str">
        <f>IF(AND(Programme_Grunddaten!$A423="Geprüft",Programme_Grunddaten!AG423&lt;&gt;""),IF(Programme_Grunddaten!AG423="Ja",1,0),"")</f>
        <v/>
      </c>
      <c r="Z418" s="1" t="str">
        <f>IF(AND(Programme_Grunddaten!$A423="Geprüft",Programme_Grunddaten!AH423&lt;&gt;""),IF(Programme_Grunddaten!AH423="Ja",1,0),"")</f>
        <v/>
      </c>
      <c r="AA418" s="1" t="str">
        <f>IF(AND(Programme_Grunddaten!$A423="Geprüft",Programme_Grunddaten!AI423&lt;&gt;""),IF(Programme_Grunddaten!AI423="Ja",1,0),"")</f>
        <v/>
      </c>
      <c r="AB418" s="1" t="str">
        <f>IF(AND(Programme_Grunddaten!$A423="Geprüft",Programme_Grunddaten!AJ423&lt;&gt;""),IF(Programme_Grunddaten!AJ423="individuell programmierbar",1,0),"")</f>
        <v/>
      </c>
      <c r="AC418" s="1" t="str">
        <f>IF(AND(Programme_Grunddaten!$A423="Geprüft",Programme_Grunddaten!AK423&lt;&gt;""),IF(Programme_Grunddaten!AK423="Deutsch",0,IF(Programme_Grunddaten!AK423="Deutsch und Englisch",1,2)),"")</f>
        <v/>
      </c>
      <c r="AD418" s="1" t="str">
        <f>IF(AND(Programme_Grunddaten!$A423="Geprüft",Programme_Grunddaten!AL423&lt;&gt;""),IF(Programme_Grunddaten!AL423="Ja",1,0),"")</f>
        <v/>
      </c>
      <c r="AE418" s="1" t="str">
        <f>IF(AND(Programme_Grunddaten!$A423="Geprüft",Programme_Grunddaten!AM423&lt;&gt;""),IF(Programme_Grunddaten!AM423="Ja",1,0),"")</f>
        <v/>
      </c>
      <c r="AF418" s="1" t="str">
        <f>IF(AND(Programme_Grunddaten!$A423="Geprüft",Programme_Grunddaten!AN423&lt;&gt;""),IF(Programme_Grunddaten!AN423="Ja",1,0),"")</f>
        <v/>
      </c>
      <c r="AG418" s="1" t="str">
        <f>IF(AND(Programme_Grunddaten!$A423="Geprüft",Programme_Grunddaten!AO423&lt;&gt;""),IF(Programme_Grunddaten!AO423="Ja",1,0),"")</f>
        <v/>
      </c>
      <c r="AH418" s="1" t="str">
        <f>IF(AND(Programme_Grunddaten!$A423="Geprüft",Programme_Grunddaten!AP423&lt;&gt;""),IF(Programme_Grunddaten!AP423="Ja",1,0),"")</f>
        <v/>
      </c>
      <c r="AI418" s="1" t="str">
        <f>IF(AND(Programme_Grunddaten!$A423="Geprüft",Programme_Grunddaten!AQ423&lt;&gt;""),IF(Programme_Grunddaten!AQ423="Ja",1,0),"")</f>
        <v/>
      </c>
      <c r="AJ418" s="1" t="str">
        <f>IF(AND(Programme_Grunddaten!$A423="Geprüft",Programme_Grunddaten!AR423&lt;&gt;""),IF(Programme_Grunddaten!AR423="Ja",1,0),"")</f>
        <v/>
      </c>
      <c r="AK418" s="1" t="str">
        <f>IF(AND(Programme_Grunddaten!$A423="Geprüft",Programme_Grunddaten!AS423&lt;&gt;""),IF(Programme_Grunddaten!AS423="Ja",1,0),"")</f>
        <v/>
      </c>
      <c r="AL418" s="1" t="str">
        <f>IF(AND(Programme_Grunddaten!$A423="Geprüft",Programme_Grunddaten!AT423&lt;&gt;""),IF(Programme_Grunddaten!AT423="Ja",1,0),"")</f>
        <v/>
      </c>
      <c r="AM418" s="1" t="str">
        <f>IF(AND(Programme_Grunddaten!$A423="Geprüft",Programme_Grunddaten!AU423&lt;&gt;""),IF(Programme_Grunddaten!AU423="Ja",1,0),"")</f>
        <v/>
      </c>
      <c r="AN418" s="1" t="str">
        <f>IF(AND(Programme_Grunddaten!$A423="Geprüft",Programme_Grunddaten!AV423&lt;&gt;""),IF(Programme_Grunddaten!AV423="Ja",1,0),"")</f>
        <v/>
      </c>
    </row>
    <row r="419" spans="1:40" x14ac:dyDescent="0.3">
      <c r="A419" s="1" t="str">
        <f>IF(AND(Programme_Grunddaten!A424="Geprüft",Programme_Grunddaten!B424&lt;&gt;""),Programme_Grunddaten!B424,"")</f>
        <v/>
      </c>
      <c r="B419" s="1" t="str">
        <f>IF(AND(Programme_Grunddaten!$A424="Geprüft",Programme_Grunddaten!I424&lt;&gt;""),IF(Programme_Grunddaten!I424="Ja",1,0),"")</f>
        <v/>
      </c>
      <c r="C419" s="1" t="str">
        <f>IF(AND(Programme_Grunddaten!$A424="Geprüft",Programme_Grunddaten!J424&lt;&gt;""),IF(Programme_Grunddaten!J424="Ja",1,0),"")</f>
        <v/>
      </c>
      <c r="D419" s="1" t="str">
        <f>IF(AND(Programme_Grunddaten!$A424="Geprüft",Programme_Grunddaten!K424&lt;&gt;""),IF(Programme_Grunddaten!K424="Ja",1,0),"")</f>
        <v/>
      </c>
      <c r="E419" s="1" t="str">
        <f>IF(AND(Programme_Grunddaten!$A424="Geprüft",Programme_Grunddaten!L424&lt;&gt;""),IF(Programme_Grunddaten!L424="Abo / befristete Lizenz",1,0),"")</f>
        <v/>
      </c>
      <c r="F419" s="1" t="str">
        <f>IF(AND(Programme_Grunddaten!$A424="Geprüft",Programme_Grunddaten!M424&lt;&gt;""),IF(Programme_Grunddaten!M424="Ja",1,0),"")</f>
        <v/>
      </c>
      <c r="G419" s="1" t="str">
        <f>IF(AND(Programme_Grunddaten!$A424="Geprüft",Programme_Grunddaten!N424&lt;&gt;""),IF(Programme_Grunddaten!N424="Ja",1,0),"")</f>
        <v/>
      </c>
      <c r="H419" s="1" t="str">
        <f>IF(AND(Programme_Grunddaten!$A424="Geprüft",Programme_Grunddaten!O424&lt;&gt;""),IF(Programme_Grunddaten!O424="Deutschland",0,IF(Programme_Grunddaten!O424="EU",1,2)),"")</f>
        <v/>
      </c>
      <c r="I419" s="1" t="str">
        <f>IF(AND(Programme_Grunddaten!$A424="Geprüft",Programme_Grunddaten!P424&lt;&gt;""),IF(Programme_Grunddaten!P424="Ja",1,0),"")</f>
        <v/>
      </c>
      <c r="J419" s="1" t="str">
        <f>IF(AND(Programme_Grunddaten!$A424="Geprüft",Programme_Grunddaten!Q424&lt;&gt;""),IF(Programme_Grunddaten!Q424="geschlossenes System",1,0),"")</f>
        <v/>
      </c>
      <c r="K419" s="1" t="str">
        <f>IF(AND(Programme_Grunddaten!$A424="Geprüft",Programme_Grunddaten!R424&lt;&gt;""),IF(Programme_Grunddaten!R424="Ja",1,0),"")</f>
        <v/>
      </c>
      <c r="L419" s="1" t="str">
        <f>IF(AND(Programme_Grunddaten!$A424="Geprüft",Programme_Grunddaten!T424&lt;&gt;""),IF(Programme_Grunddaten!T424="Ja",1,0),"")</f>
        <v/>
      </c>
      <c r="M419" s="1" t="str">
        <f>IF(AND(Programme_Grunddaten!$A424="Geprüft",Programme_Grunddaten!U424&lt;&gt;""),IF(Programme_Grunddaten!U424="Ja",1,0),"")</f>
        <v/>
      </c>
      <c r="N419" s="1" t="str">
        <f>IF(AND(Programme_Grunddaten!$A424="Geprüft",Programme_Grunddaten!V424&lt;&gt;""),IF(Programme_Grunddaten!V424="Ja",1,0),"")</f>
        <v/>
      </c>
      <c r="O419" s="1" t="str">
        <f>IF(AND(Programme_Grunddaten!$A424="Geprüft",Programme_Grunddaten!W424&lt;&gt;""),IF(Programme_Grunddaten!W424="Ja",1,0),"")</f>
        <v/>
      </c>
      <c r="P419" s="1" t="str">
        <f>IF(AND(Programme_Grunddaten!$A424="Geprüft",Programme_Grunddaten!X424&lt;&gt;""),IF(Programme_Grunddaten!X424="Ja",1,0),"")</f>
        <v/>
      </c>
      <c r="Q419" s="1" t="str">
        <f>IF(AND(Programme_Grunddaten!$A424="Geprüft",Programme_Grunddaten!Y424&lt;&gt;""),IF(Programme_Grunddaten!Y424="Ja",1,0),"")</f>
        <v/>
      </c>
      <c r="R419" s="1" t="str">
        <f>IF(AND(Programme_Grunddaten!$A424="Geprüft",Programme_Grunddaten!Z424&lt;&gt;""),IF(Programme_Grunddaten!Z424="Ja",1,0),"")</f>
        <v/>
      </c>
      <c r="S419" s="1" t="str">
        <f>IF(AND(Programme_Grunddaten!$A424="Geprüft",Programme_Grunddaten!AA424&lt;&gt;""),IF(Programme_Grunddaten!AA424="monolithisch",1,0),"")</f>
        <v/>
      </c>
      <c r="T419" s="1" t="str">
        <f>IF(AND(Programme_Grunddaten!$A424="Geprüft",Programme_Grunddaten!AB424&lt;&gt;""),IF(Programme_Grunddaten!AB424="Ja",1,0),"")</f>
        <v/>
      </c>
      <c r="U419" s="1" t="str">
        <f>IF(AND(Programme_Grunddaten!$A424="Geprüft",Programme_Grunddaten!AC424&lt;&gt;""),IF(Programme_Grunddaten!AC424="Ja",1,0),"")</f>
        <v/>
      </c>
      <c r="V419" s="1" t="str">
        <f>IF(AND(Programme_Grunddaten!$A424="Geprüft",Programme_Grunddaten!AD424&lt;&gt;""),IF(Programme_Grunddaten!AD424="Ja",1,0),"")</f>
        <v/>
      </c>
      <c r="W419" s="1" t="str">
        <f>IF(AND(Programme_Grunddaten!$A424="Geprüft",Programme_Grunddaten!AE424&lt;&gt;""),IF(Programme_Grunddaten!AE424="Ja",1,0),"")</f>
        <v/>
      </c>
      <c r="X419" s="1" t="str">
        <f>IF(AND(Programme_Grunddaten!$A424="Geprüft",Programme_Grunddaten!AF424&lt;&gt;""),IF(Programme_Grunddaten!AF424="Ja",1,0),"")</f>
        <v/>
      </c>
      <c r="Y419" s="1" t="str">
        <f>IF(AND(Programme_Grunddaten!$A424="Geprüft",Programme_Grunddaten!AG424&lt;&gt;""),IF(Programme_Grunddaten!AG424="Ja",1,0),"")</f>
        <v/>
      </c>
      <c r="Z419" s="1" t="str">
        <f>IF(AND(Programme_Grunddaten!$A424="Geprüft",Programme_Grunddaten!AH424&lt;&gt;""),IF(Programme_Grunddaten!AH424="Ja",1,0),"")</f>
        <v/>
      </c>
      <c r="AA419" s="1" t="str">
        <f>IF(AND(Programme_Grunddaten!$A424="Geprüft",Programme_Grunddaten!AI424&lt;&gt;""),IF(Programme_Grunddaten!AI424="Ja",1,0),"")</f>
        <v/>
      </c>
      <c r="AB419" s="1" t="str">
        <f>IF(AND(Programme_Grunddaten!$A424="Geprüft",Programme_Grunddaten!AJ424&lt;&gt;""),IF(Programme_Grunddaten!AJ424="individuell programmierbar",1,0),"")</f>
        <v/>
      </c>
      <c r="AC419" s="1" t="str">
        <f>IF(AND(Programme_Grunddaten!$A424="Geprüft",Programme_Grunddaten!AK424&lt;&gt;""),IF(Programme_Grunddaten!AK424="Deutsch",0,IF(Programme_Grunddaten!AK424="Deutsch und Englisch",1,2)),"")</f>
        <v/>
      </c>
      <c r="AD419" s="1" t="str">
        <f>IF(AND(Programme_Grunddaten!$A424="Geprüft",Programme_Grunddaten!AL424&lt;&gt;""),IF(Programme_Grunddaten!AL424="Ja",1,0),"")</f>
        <v/>
      </c>
      <c r="AE419" s="1" t="str">
        <f>IF(AND(Programme_Grunddaten!$A424="Geprüft",Programme_Grunddaten!AM424&lt;&gt;""),IF(Programme_Grunddaten!AM424="Ja",1,0),"")</f>
        <v/>
      </c>
      <c r="AF419" s="1" t="str">
        <f>IF(AND(Programme_Grunddaten!$A424="Geprüft",Programme_Grunddaten!AN424&lt;&gt;""),IF(Programme_Grunddaten!AN424="Ja",1,0),"")</f>
        <v/>
      </c>
      <c r="AG419" s="1" t="str">
        <f>IF(AND(Programme_Grunddaten!$A424="Geprüft",Programme_Grunddaten!AO424&lt;&gt;""),IF(Programme_Grunddaten!AO424="Ja",1,0),"")</f>
        <v/>
      </c>
      <c r="AH419" s="1" t="str">
        <f>IF(AND(Programme_Grunddaten!$A424="Geprüft",Programme_Grunddaten!AP424&lt;&gt;""),IF(Programme_Grunddaten!AP424="Ja",1,0),"")</f>
        <v/>
      </c>
      <c r="AI419" s="1" t="str">
        <f>IF(AND(Programme_Grunddaten!$A424="Geprüft",Programme_Grunddaten!AQ424&lt;&gt;""),IF(Programme_Grunddaten!AQ424="Ja",1,0),"")</f>
        <v/>
      </c>
      <c r="AJ419" s="1" t="str">
        <f>IF(AND(Programme_Grunddaten!$A424="Geprüft",Programme_Grunddaten!AR424&lt;&gt;""),IF(Programme_Grunddaten!AR424="Ja",1,0),"")</f>
        <v/>
      </c>
      <c r="AK419" s="1" t="str">
        <f>IF(AND(Programme_Grunddaten!$A424="Geprüft",Programme_Grunddaten!AS424&lt;&gt;""),IF(Programme_Grunddaten!AS424="Ja",1,0),"")</f>
        <v/>
      </c>
      <c r="AL419" s="1" t="str">
        <f>IF(AND(Programme_Grunddaten!$A424="Geprüft",Programme_Grunddaten!AT424&lt;&gt;""),IF(Programme_Grunddaten!AT424="Ja",1,0),"")</f>
        <v/>
      </c>
      <c r="AM419" s="1" t="str">
        <f>IF(AND(Programme_Grunddaten!$A424="Geprüft",Programme_Grunddaten!AU424&lt;&gt;""),IF(Programme_Grunddaten!AU424="Ja",1,0),"")</f>
        <v/>
      </c>
      <c r="AN419" s="1" t="str">
        <f>IF(AND(Programme_Grunddaten!$A424="Geprüft",Programme_Grunddaten!AV424&lt;&gt;""),IF(Programme_Grunddaten!AV424="Ja",1,0),"")</f>
        <v/>
      </c>
    </row>
    <row r="420" spans="1:40" x14ac:dyDescent="0.3">
      <c r="A420" s="1" t="str">
        <f>IF(AND(Programme_Grunddaten!A425="Geprüft",Programme_Grunddaten!B425&lt;&gt;""),Programme_Grunddaten!B425,"")</f>
        <v/>
      </c>
      <c r="B420" s="1" t="str">
        <f>IF(AND(Programme_Grunddaten!$A425="Geprüft",Programme_Grunddaten!I425&lt;&gt;""),IF(Programme_Grunddaten!I425="Ja",1,0),"")</f>
        <v/>
      </c>
      <c r="C420" s="1" t="str">
        <f>IF(AND(Programme_Grunddaten!$A425="Geprüft",Programme_Grunddaten!J425&lt;&gt;""),IF(Programme_Grunddaten!J425="Ja",1,0),"")</f>
        <v/>
      </c>
      <c r="D420" s="1" t="str">
        <f>IF(AND(Programme_Grunddaten!$A425="Geprüft",Programme_Grunddaten!K425&lt;&gt;""),IF(Programme_Grunddaten!K425="Ja",1,0),"")</f>
        <v/>
      </c>
      <c r="E420" s="1" t="str">
        <f>IF(AND(Programme_Grunddaten!$A425="Geprüft",Programme_Grunddaten!L425&lt;&gt;""),IF(Programme_Grunddaten!L425="Abo / befristete Lizenz",1,0),"")</f>
        <v/>
      </c>
      <c r="F420" s="1" t="str">
        <f>IF(AND(Programme_Grunddaten!$A425="Geprüft",Programme_Grunddaten!M425&lt;&gt;""),IF(Programme_Grunddaten!M425="Ja",1,0),"")</f>
        <v/>
      </c>
      <c r="G420" s="1" t="str">
        <f>IF(AND(Programme_Grunddaten!$A425="Geprüft",Programme_Grunddaten!N425&lt;&gt;""),IF(Programme_Grunddaten!N425="Ja",1,0),"")</f>
        <v/>
      </c>
      <c r="H420" s="1" t="str">
        <f>IF(AND(Programme_Grunddaten!$A425="Geprüft",Programme_Grunddaten!O425&lt;&gt;""),IF(Programme_Grunddaten!O425="Deutschland",0,IF(Programme_Grunddaten!O425="EU",1,2)),"")</f>
        <v/>
      </c>
      <c r="I420" s="1" t="str">
        <f>IF(AND(Programme_Grunddaten!$A425="Geprüft",Programme_Grunddaten!P425&lt;&gt;""),IF(Programme_Grunddaten!P425="Ja",1,0),"")</f>
        <v/>
      </c>
      <c r="J420" s="1" t="str">
        <f>IF(AND(Programme_Grunddaten!$A425="Geprüft",Programme_Grunddaten!Q425&lt;&gt;""),IF(Programme_Grunddaten!Q425="geschlossenes System",1,0),"")</f>
        <v/>
      </c>
      <c r="K420" s="1" t="str">
        <f>IF(AND(Programme_Grunddaten!$A425="Geprüft",Programme_Grunddaten!R425&lt;&gt;""),IF(Programme_Grunddaten!R425="Ja",1,0),"")</f>
        <v/>
      </c>
      <c r="L420" s="1" t="str">
        <f>IF(AND(Programme_Grunddaten!$A425="Geprüft",Programme_Grunddaten!T425&lt;&gt;""),IF(Programme_Grunddaten!T425="Ja",1,0),"")</f>
        <v/>
      </c>
      <c r="M420" s="1" t="str">
        <f>IF(AND(Programme_Grunddaten!$A425="Geprüft",Programme_Grunddaten!U425&lt;&gt;""),IF(Programme_Grunddaten!U425="Ja",1,0),"")</f>
        <v/>
      </c>
      <c r="N420" s="1" t="str">
        <f>IF(AND(Programme_Grunddaten!$A425="Geprüft",Programme_Grunddaten!V425&lt;&gt;""),IF(Programme_Grunddaten!V425="Ja",1,0),"")</f>
        <v/>
      </c>
      <c r="O420" s="1" t="str">
        <f>IF(AND(Programme_Grunddaten!$A425="Geprüft",Programme_Grunddaten!W425&lt;&gt;""),IF(Programme_Grunddaten!W425="Ja",1,0),"")</f>
        <v/>
      </c>
      <c r="P420" s="1" t="str">
        <f>IF(AND(Programme_Grunddaten!$A425="Geprüft",Programme_Grunddaten!X425&lt;&gt;""),IF(Programme_Grunddaten!X425="Ja",1,0),"")</f>
        <v/>
      </c>
      <c r="Q420" s="1" t="str">
        <f>IF(AND(Programme_Grunddaten!$A425="Geprüft",Programme_Grunddaten!Y425&lt;&gt;""),IF(Programme_Grunddaten!Y425="Ja",1,0),"")</f>
        <v/>
      </c>
      <c r="R420" s="1" t="str">
        <f>IF(AND(Programme_Grunddaten!$A425="Geprüft",Programme_Grunddaten!Z425&lt;&gt;""),IF(Programme_Grunddaten!Z425="Ja",1,0),"")</f>
        <v/>
      </c>
      <c r="S420" s="1" t="str">
        <f>IF(AND(Programme_Grunddaten!$A425="Geprüft",Programme_Grunddaten!AA425&lt;&gt;""),IF(Programme_Grunddaten!AA425="monolithisch",1,0),"")</f>
        <v/>
      </c>
      <c r="T420" s="1" t="str">
        <f>IF(AND(Programme_Grunddaten!$A425="Geprüft",Programme_Grunddaten!AB425&lt;&gt;""),IF(Programme_Grunddaten!AB425="Ja",1,0),"")</f>
        <v/>
      </c>
      <c r="U420" s="1" t="str">
        <f>IF(AND(Programme_Grunddaten!$A425="Geprüft",Programme_Grunddaten!AC425&lt;&gt;""),IF(Programme_Grunddaten!AC425="Ja",1,0),"")</f>
        <v/>
      </c>
      <c r="V420" s="1" t="str">
        <f>IF(AND(Programme_Grunddaten!$A425="Geprüft",Programme_Grunddaten!AD425&lt;&gt;""),IF(Programme_Grunddaten!AD425="Ja",1,0),"")</f>
        <v/>
      </c>
      <c r="W420" s="1" t="str">
        <f>IF(AND(Programme_Grunddaten!$A425="Geprüft",Programme_Grunddaten!AE425&lt;&gt;""),IF(Programme_Grunddaten!AE425="Ja",1,0),"")</f>
        <v/>
      </c>
      <c r="X420" s="1" t="str">
        <f>IF(AND(Programme_Grunddaten!$A425="Geprüft",Programme_Grunddaten!AF425&lt;&gt;""),IF(Programme_Grunddaten!AF425="Ja",1,0),"")</f>
        <v/>
      </c>
      <c r="Y420" s="1" t="str">
        <f>IF(AND(Programme_Grunddaten!$A425="Geprüft",Programme_Grunddaten!AG425&lt;&gt;""),IF(Programme_Grunddaten!AG425="Ja",1,0),"")</f>
        <v/>
      </c>
      <c r="Z420" s="1" t="str">
        <f>IF(AND(Programme_Grunddaten!$A425="Geprüft",Programme_Grunddaten!AH425&lt;&gt;""),IF(Programme_Grunddaten!AH425="Ja",1,0),"")</f>
        <v/>
      </c>
      <c r="AA420" s="1" t="str">
        <f>IF(AND(Programme_Grunddaten!$A425="Geprüft",Programme_Grunddaten!AI425&lt;&gt;""),IF(Programme_Grunddaten!AI425="Ja",1,0),"")</f>
        <v/>
      </c>
      <c r="AB420" s="1" t="str">
        <f>IF(AND(Programme_Grunddaten!$A425="Geprüft",Programme_Grunddaten!AJ425&lt;&gt;""),IF(Programme_Grunddaten!AJ425="individuell programmierbar",1,0),"")</f>
        <v/>
      </c>
      <c r="AC420" s="1" t="str">
        <f>IF(AND(Programme_Grunddaten!$A425="Geprüft",Programme_Grunddaten!AK425&lt;&gt;""),IF(Programme_Grunddaten!AK425="Deutsch",0,IF(Programme_Grunddaten!AK425="Deutsch und Englisch",1,2)),"")</f>
        <v/>
      </c>
      <c r="AD420" s="1" t="str">
        <f>IF(AND(Programme_Grunddaten!$A425="Geprüft",Programme_Grunddaten!AL425&lt;&gt;""),IF(Programme_Grunddaten!AL425="Ja",1,0),"")</f>
        <v/>
      </c>
      <c r="AE420" s="1" t="str">
        <f>IF(AND(Programme_Grunddaten!$A425="Geprüft",Programme_Grunddaten!AM425&lt;&gt;""),IF(Programme_Grunddaten!AM425="Ja",1,0),"")</f>
        <v/>
      </c>
      <c r="AF420" s="1" t="str">
        <f>IF(AND(Programme_Grunddaten!$A425="Geprüft",Programme_Grunddaten!AN425&lt;&gt;""),IF(Programme_Grunddaten!AN425="Ja",1,0),"")</f>
        <v/>
      </c>
      <c r="AG420" s="1" t="str">
        <f>IF(AND(Programme_Grunddaten!$A425="Geprüft",Programme_Grunddaten!AO425&lt;&gt;""),IF(Programme_Grunddaten!AO425="Ja",1,0),"")</f>
        <v/>
      </c>
      <c r="AH420" s="1" t="str">
        <f>IF(AND(Programme_Grunddaten!$A425="Geprüft",Programme_Grunddaten!AP425&lt;&gt;""),IF(Programme_Grunddaten!AP425="Ja",1,0),"")</f>
        <v/>
      </c>
      <c r="AI420" s="1" t="str">
        <f>IF(AND(Programme_Grunddaten!$A425="Geprüft",Programme_Grunddaten!AQ425&lt;&gt;""),IF(Programme_Grunddaten!AQ425="Ja",1,0),"")</f>
        <v/>
      </c>
      <c r="AJ420" s="1" t="str">
        <f>IF(AND(Programme_Grunddaten!$A425="Geprüft",Programme_Grunddaten!AR425&lt;&gt;""),IF(Programme_Grunddaten!AR425="Ja",1,0),"")</f>
        <v/>
      </c>
      <c r="AK420" s="1" t="str">
        <f>IF(AND(Programme_Grunddaten!$A425="Geprüft",Programme_Grunddaten!AS425&lt;&gt;""),IF(Programme_Grunddaten!AS425="Ja",1,0),"")</f>
        <v/>
      </c>
      <c r="AL420" s="1" t="str">
        <f>IF(AND(Programme_Grunddaten!$A425="Geprüft",Programme_Grunddaten!AT425&lt;&gt;""),IF(Programme_Grunddaten!AT425="Ja",1,0),"")</f>
        <v/>
      </c>
      <c r="AM420" s="1" t="str">
        <f>IF(AND(Programme_Grunddaten!$A425="Geprüft",Programme_Grunddaten!AU425&lt;&gt;""),IF(Programme_Grunddaten!AU425="Ja",1,0),"")</f>
        <v/>
      </c>
      <c r="AN420" s="1" t="str">
        <f>IF(AND(Programme_Grunddaten!$A425="Geprüft",Programme_Grunddaten!AV425&lt;&gt;""),IF(Programme_Grunddaten!AV425="Ja",1,0),"")</f>
        <v/>
      </c>
    </row>
    <row r="421" spans="1:40" x14ac:dyDescent="0.3">
      <c r="A421" s="1" t="str">
        <f>IF(AND(Programme_Grunddaten!A426="Geprüft",Programme_Grunddaten!B426&lt;&gt;""),Programme_Grunddaten!B426,"")</f>
        <v/>
      </c>
      <c r="B421" s="1" t="str">
        <f>IF(AND(Programme_Grunddaten!$A426="Geprüft",Programme_Grunddaten!I426&lt;&gt;""),IF(Programme_Grunddaten!I426="Ja",1,0),"")</f>
        <v/>
      </c>
      <c r="C421" s="1" t="str">
        <f>IF(AND(Programme_Grunddaten!$A426="Geprüft",Programme_Grunddaten!J426&lt;&gt;""),IF(Programme_Grunddaten!J426="Ja",1,0),"")</f>
        <v/>
      </c>
      <c r="D421" s="1" t="str">
        <f>IF(AND(Programme_Grunddaten!$A426="Geprüft",Programme_Grunddaten!K426&lt;&gt;""),IF(Programme_Grunddaten!K426="Ja",1,0),"")</f>
        <v/>
      </c>
      <c r="E421" s="1" t="str">
        <f>IF(AND(Programme_Grunddaten!$A426="Geprüft",Programme_Grunddaten!L426&lt;&gt;""),IF(Programme_Grunddaten!L426="Abo / befristete Lizenz",1,0),"")</f>
        <v/>
      </c>
      <c r="F421" s="1" t="str">
        <f>IF(AND(Programme_Grunddaten!$A426="Geprüft",Programme_Grunddaten!M426&lt;&gt;""),IF(Programme_Grunddaten!M426="Ja",1,0),"")</f>
        <v/>
      </c>
      <c r="G421" s="1" t="str">
        <f>IF(AND(Programme_Grunddaten!$A426="Geprüft",Programme_Grunddaten!N426&lt;&gt;""),IF(Programme_Grunddaten!N426="Ja",1,0),"")</f>
        <v/>
      </c>
      <c r="H421" s="1" t="str">
        <f>IF(AND(Programme_Grunddaten!$A426="Geprüft",Programme_Grunddaten!O426&lt;&gt;""),IF(Programme_Grunddaten!O426="Deutschland",0,IF(Programme_Grunddaten!O426="EU",1,2)),"")</f>
        <v/>
      </c>
      <c r="I421" s="1" t="str">
        <f>IF(AND(Programme_Grunddaten!$A426="Geprüft",Programme_Grunddaten!P426&lt;&gt;""),IF(Programme_Grunddaten!P426="Ja",1,0),"")</f>
        <v/>
      </c>
      <c r="J421" s="1" t="str">
        <f>IF(AND(Programme_Grunddaten!$A426="Geprüft",Programme_Grunddaten!Q426&lt;&gt;""),IF(Programme_Grunddaten!Q426="geschlossenes System",1,0),"")</f>
        <v/>
      </c>
      <c r="K421" s="1" t="str">
        <f>IF(AND(Programme_Grunddaten!$A426="Geprüft",Programme_Grunddaten!R426&lt;&gt;""),IF(Programme_Grunddaten!R426="Ja",1,0),"")</f>
        <v/>
      </c>
      <c r="L421" s="1" t="str">
        <f>IF(AND(Programme_Grunddaten!$A426="Geprüft",Programme_Grunddaten!T426&lt;&gt;""),IF(Programme_Grunddaten!T426="Ja",1,0),"")</f>
        <v/>
      </c>
      <c r="M421" s="1" t="str">
        <f>IF(AND(Programme_Grunddaten!$A426="Geprüft",Programme_Grunddaten!U426&lt;&gt;""),IF(Programme_Grunddaten!U426="Ja",1,0),"")</f>
        <v/>
      </c>
      <c r="N421" s="1" t="str">
        <f>IF(AND(Programme_Grunddaten!$A426="Geprüft",Programme_Grunddaten!V426&lt;&gt;""),IF(Programme_Grunddaten!V426="Ja",1,0),"")</f>
        <v/>
      </c>
      <c r="O421" s="1" t="str">
        <f>IF(AND(Programme_Grunddaten!$A426="Geprüft",Programme_Grunddaten!W426&lt;&gt;""),IF(Programme_Grunddaten!W426="Ja",1,0),"")</f>
        <v/>
      </c>
      <c r="P421" s="1" t="str">
        <f>IF(AND(Programme_Grunddaten!$A426="Geprüft",Programme_Grunddaten!X426&lt;&gt;""),IF(Programme_Grunddaten!X426="Ja",1,0),"")</f>
        <v/>
      </c>
      <c r="Q421" s="1" t="str">
        <f>IF(AND(Programme_Grunddaten!$A426="Geprüft",Programme_Grunddaten!Y426&lt;&gt;""),IF(Programme_Grunddaten!Y426="Ja",1,0),"")</f>
        <v/>
      </c>
      <c r="R421" s="1" t="str">
        <f>IF(AND(Programme_Grunddaten!$A426="Geprüft",Programme_Grunddaten!Z426&lt;&gt;""),IF(Programme_Grunddaten!Z426="Ja",1,0),"")</f>
        <v/>
      </c>
      <c r="S421" s="1" t="str">
        <f>IF(AND(Programme_Grunddaten!$A426="Geprüft",Programme_Grunddaten!AA426&lt;&gt;""),IF(Programme_Grunddaten!AA426="monolithisch",1,0),"")</f>
        <v/>
      </c>
      <c r="T421" s="1" t="str">
        <f>IF(AND(Programme_Grunddaten!$A426="Geprüft",Programme_Grunddaten!AB426&lt;&gt;""),IF(Programme_Grunddaten!AB426="Ja",1,0),"")</f>
        <v/>
      </c>
      <c r="U421" s="1" t="str">
        <f>IF(AND(Programme_Grunddaten!$A426="Geprüft",Programme_Grunddaten!AC426&lt;&gt;""),IF(Programme_Grunddaten!AC426="Ja",1,0),"")</f>
        <v/>
      </c>
      <c r="V421" s="1" t="str">
        <f>IF(AND(Programme_Grunddaten!$A426="Geprüft",Programme_Grunddaten!AD426&lt;&gt;""),IF(Programme_Grunddaten!AD426="Ja",1,0),"")</f>
        <v/>
      </c>
      <c r="W421" s="1" t="str">
        <f>IF(AND(Programme_Grunddaten!$A426="Geprüft",Programme_Grunddaten!AE426&lt;&gt;""),IF(Programme_Grunddaten!AE426="Ja",1,0),"")</f>
        <v/>
      </c>
      <c r="X421" s="1" t="str">
        <f>IF(AND(Programme_Grunddaten!$A426="Geprüft",Programme_Grunddaten!AF426&lt;&gt;""),IF(Programme_Grunddaten!AF426="Ja",1,0),"")</f>
        <v/>
      </c>
      <c r="Y421" s="1" t="str">
        <f>IF(AND(Programme_Grunddaten!$A426="Geprüft",Programme_Grunddaten!AG426&lt;&gt;""),IF(Programme_Grunddaten!AG426="Ja",1,0),"")</f>
        <v/>
      </c>
      <c r="Z421" s="1" t="str">
        <f>IF(AND(Programme_Grunddaten!$A426="Geprüft",Programme_Grunddaten!AH426&lt;&gt;""),IF(Programme_Grunddaten!AH426="Ja",1,0),"")</f>
        <v/>
      </c>
      <c r="AA421" s="1" t="str">
        <f>IF(AND(Programme_Grunddaten!$A426="Geprüft",Programme_Grunddaten!AI426&lt;&gt;""),IF(Programme_Grunddaten!AI426="Ja",1,0),"")</f>
        <v/>
      </c>
      <c r="AB421" s="1" t="str">
        <f>IF(AND(Programme_Grunddaten!$A426="Geprüft",Programme_Grunddaten!AJ426&lt;&gt;""),IF(Programme_Grunddaten!AJ426="individuell programmierbar",1,0),"")</f>
        <v/>
      </c>
      <c r="AC421" s="1" t="str">
        <f>IF(AND(Programme_Grunddaten!$A426="Geprüft",Programme_Grunddaten!AK426&lt;&gt;""),IF(Programme_Grunddaten!AK426="Deutsch",0,IF(Programme_Grunddaten!AK426="Deutsch und Englisch",1,2)),"")</f>
        <v/>
      </c>
      <c r="AD421" s="1" t="str">
        <f>IF(AND(Programme_Grunddaten!$A426="Geprüft",Programme_Grunddaten!AL426&lt;&gt;""),IF(Programme_Grunddaten!AL426="Ja",1,0),"")</f>
        <v/>
      </c>
      <c r="AE421" s="1" t="str">
        <f>IF(AND(Programme_Grunddaten!$A426="Geprüft",Programme_Grunddaten!AM426&lt;&gt;""),IF(Programme_Grunddaten!AM426="Ja",1,0),"")</f>
        <v/>
      </c>
      <c r="AF421" s="1" t="str">
        <f>IF(AND(Programme_Grunddaten!$A426="Geprüft",Programme_Grunddaten!AN426&lt;&gt;""),IF(Programme_Grunddaten!AN426="Ja",1,0),"")</f>
        <v/>
      </c>
      <c r="AG421" s="1" t="str">
        <f>IF(AND(Programme_Grunddaten!$A426="Geprüft",Programme_Grunddaten!AO426&lt;&gt;""),IF(Programme_Grunddaten!AO426="Ja",1,0),"")</f>
        <v/>
      </c>
      <c r="AH421" s="1" t="str">
        <f>IF(AND(Programme_Grunddaten!$A426="Geprüft",Programme_Grunddaten!AP426&lt;&gt;""),IF(Programme_Grunddaten!AP426="Ja",1,0),"")</f>
        <v/>
      </c>
      <c r="AI421" s="1" t="str">
        <f>IF(AND(Programme_Grunddaten!$A426="Geprüft",Programme_Grunddaten!AQ426&lt;&gt;""),IF(Programme_Grunddaten!AQ426="Ja",1,0),"")</f>
        <v/>
      </c>
      <c r="AJ421" s="1" t="str">
        <f>IF(AND(Programme_Grunddaten!$A426="Geprüft",Programme_Grunddaten!AR426&lt;&gt;""),IF(Programme_Grunddaten!AR426="Ja",1,0),"")</f>
        <v/>
      </c>
      <c r="AK421" s="1" t="str">
        <f>IF(AND(Programme_Grunddaten!$A426="Geprüft",Programme_Grunddaten!AS426&lt;&gt;""),IF(Programme_Grunddaten!AS426="Ja",1,0),"")</f>
        <v/>
      </c>
      <c r="AL421" s="1" t="str">
        <f>IF(AND(Programme_Grunddaten!$A426="Geprüft",Programme_Grunddaten!AT426&lt;&gt;""),IF(Programme_Grunddaten!AT426="Ja",1,0),"")</f>
        <v/>
      </c>
      <c r="AM421" s="1" t="str">
        <f>IF(AND(Programme_Grunddaten!$A426="Geprüft",Programme_Grunddaten!AU426&lt;&gt;""),IF(Programme_Grunddaten!AU426="Ja",1,0),"")</f>
        <v/>
      </c>
      <c r="AN421" s="1" t="str">
        <f>IF(AND(Programme_Grunddaten!$A426="Geprüft",Programme_Grunddaten!AV426&lt;&gt;""),IF(Programme_Grunddaten!AV426="Ja",1,0),"")</f>
        <v/>
      </c>
    </row>
    <row r="422" spans="1:40" x14ac:dyDescent="0.3">
      <c r="A422" s="1" t="str">
        <f>IF(AND(Programme_Grunddaten!A427="Geprüft",Programme_Grunddaten!B427&lt;&gt;""),Programme_Grunddaten!B427,"")</f>
        <v/>
      </c>
      <c r="B422" s="1" t="str">
        <f>IF(AND(Programme_Grunddaten!$A427="Geprüft",Programme_Grunddaten!I427&lt;&gt;""),IF(Programme_Grunddaten!I427="Ja",1,0),"")</f>
        <v/>
      </c>
      <c r="C422" s="1" t="str">
        <f>IF(AND(Programme_Grunddaten!$A427="Geprüft",Programme_Grunddaten!J427&lt;&gt;""),IF(Programme_Grunddaten!J427="Ja",1,0),"")</f>
        <v/>
      </c>
      <c r="D422" s="1" t="str">
        <f>IF(AND(Programme_Grunddaten!$A427="Geprüft",Programme_Grunddaten!K427&lt;&gt;""),IF(Programme_Grunddaten!K427="Ja",1,0),"")</f>
        <v/>
      </c>
      <c r="E422" s="1" t="str">
        <f>IF(AND(Programme_Grunddaten!$A427="Geprüft",Programme_Grunddaten!L427&lt;&gt;""),IF(Programme_Grunddaten!L427="Abo / befristete Lizenz",1,0),"")</f>
        <v/>
      </c>
      <c r="F422" s="1" t="str">
        <f>IF(AND(Programme_Grunddaten!$A427="Geprüft",Programme_Grunddaten!M427&lt;&gt;""),IF(Programme_Grunddaten!M427="Ja",1,0),"")</f>
        <v/>
      </c>
      <c r="G422" s="1" t="str">
        <f>IF(AND(Programme_Grunddaten!$A427="Geprüft",Programme_Grunddaten!N427&lt;&gt;""),IF(Programme_Grunddaten!N427="Ja",1,0),"")</f>
        <v/>
      </c>
      <c r="H422" s="1" t="str">
        <f>IF(AND(Programme_Grunddaten!$A427="Geprüft",Programme_Grunddaten!O427&lt;&gt;""),IF(Programme_Grunddaten!O427="Deutschland",0,IF(Programme_Grunddaten!O427="EU",1,2)),"")</f>
        <v/>
      </c>
      <c r="I422" s="1" t="str">
        <f>IF(AND(Programme_Grunddaten!$A427="Geprüft",Programme_Grunddaten!P427&lt;&gt;""),IF(Programme_Grunddaten!P427="Ja",1,0),"")</f>
        <v/>
      </c>
      <c r="J422" s="1" t="str">
        <f>IF(AND(Programme_Grunddaten!$A427="Geprüft",Programme_Grunddaten!Q427&lt;&gt;""),IF(Programme_Grunddaten!Q427="geschlossenes System",1,0),"")</f>
        <v/>
      </c>
      <c r="K422" s="1" t="str">
        <f>IF(AND(Programme_Grunddaten!$A427="Geprüft",Programme_Grunddaten!R427&lt;&gt;""),IF(Programme_Grunddaten!R427="Ja",1,0),"")</f>
        <v/>
      </c>
      <c r="L422" s="1" t="str">
        <f>IF(AND(Programme_Grunddaten!$A427="Geprüft",Programme_Grunddaten!T427&lt;&gt;""),IF(Programme_Grunddaten!T427="Ja",1,0),"")</f>
        <v/>
      </c>
      <c r="M422" s="1" t="str">
        <f>IF(AND(Programme_Grunddaten!$A427="Geprüft",Programme_Grunddaten!U427&lt;&gt;""),IF(Programme_Grunddaten!U427="Ja",1,0),"")</f>
        <v/>
      </c>
      <c r="N422" s="1" t="str">
        <f>IF(AND(Programme_Grunddaten!$A427="Geprüft",Programme_Grunddaten!V427&lt;&gt;""),IF(Programme_Grunddaten!V427="Ja",1,0),"")</f>
        <v/>
      </c>
      <c r="O422" s="1" t="str">
        <f>IF(AND(Programme_Grunddaten!$A427="Geprüft",Programme_Grunddaten!W427&lt;&gt;""),IF(Programme_Grunddaten!W427="Ja",1,0),"")</f>
        <v/>
      </c>
      <c r="P422" s="1" t="str">
        <f>IF(AND(Programme_Grunddaten!$A427="Geprüft",Programme_Grunddaten!X427&lt;&gt;""),IF(Programme_Grunddaten!X427="Ja",1,0),"")</f>
        <v/>
      </c>
      <c r="Q422" s="1" t="str">
        <f>IF(AND(Programme_Grunddaten!$A427="Geprüft",Programme_Grunddaten!Y427&lt;&gt;""),IF(Programme_Grunddaten!Y427="Ja",1,0),"")</f>
        <v/>
      </c>
      <c r="R422" s="1" t="str">
        <f>IF(AND(Programme_Grunddaten!$A427="Geprüft",Programme_Grunddaten!Z427&lt;&gt;""),IF(Programme_Grunddaten!Z427="Ja",1,0),"")</f>
        <v/>
      </c>
      <c r="S422" s="1" t="str">
        <f>IF(AND(Programme_Grunddaten!$A427="Geprüft",Programme_Grunddaten!AA427&lt;&gt;""),IF(Programme_Grunddaten!AA427="monolithisch",1,0),"")</f>
        <v/>
      </c>
      <c r="T422" s="1" t="str">
        <f>IF(AND(Programme_Grunddaten!$A427="Geprüft",Programme_Grunddaten!AB427&lt;&gt;""),IF(Programme_Grunddaten!AB427="Ja",1,0),"")</f>
        <v/>
      </c>
      <c r="U422" s="1" t="str">
        <f>IF(AND(Programme_Grunddaten!$A427="Geprüft",Programme_Grunddaten!AC427&lt;&gt;""),IF(Programme_Grunddaten!AC427="Ja",1,0),"")</f>
        <v/>
      </c>
      <c r="V422" s="1" t="str">
        <f>IF(AND(Programme_Grunddaten!$A427="Geprüft",Programme_Grunddaten!AD427&lt;&gt;""),IF(Programme_Grunddaten!AD427="Ja",1,0),"")</f>
        <v/>
      </c>
      <c r="W422" s="1" t="str">
        <f>IF(AND(Programme_Grunddaten!$A427="Geprüft",Programme_Grunddaten!AE427&lt;&gt;""),IF(Programme_Grunddaten!AE427="Ja",1,0),"")</f>
        <v/>
      </c>
      <c r="X422" s="1" t="str">
        <f>IF(AND(Programme_Grunddaten!$A427="Geprüft",Programme_Grunddaten!AF427&lt;&gt;""),IF(Programme_Grunddaten!AF427="Ja",1,0),"")</f>
        <v/>
      </c>
      <c r="Y422" s="1" t="str">
        <f>IF(AND(Programme_Grunddaten!$A427="Geprüft",Programme_Grunddaten!AG427&lt;&gt;""),IF(Programme_Grunddaten!AG427="Ja",1,0),"")</f>
        <v/>
      </c>
      <c r="Z422" s="1" t="str">
        <f>IF(AND(Programme_Grunddaten!$A427="Geprüft",Programme_Grunddaten!AH427&lt;&gt;""),IF(Programme_Grunddaten!AH427="Ja",1,0),"")</f>
        <v/>
      </c>
      <c r="AA422" s="1" t="str">
        <f>IF(AND(Programme_Grunddaten!$A427="Geprüft",Programme_Grunddaten!AI427&lt;&gt;""),IF(Programme_Grunddaten!AI427="Ja",1,0),"")</f>
        <v/>
      </c>
      <c r="AB422" s="1" t="str">
        <f>IF(AND(Programme_Grunddaten!$A427="Geprüft",Programme_Grunddaten!AJ427&lt;&gt;""),IF(Programme_Grunddaten!AJ427="individuell programmierbar",1,0),"")</f>
        <v/>
      </c>
      <c r="AC422" s="1" t="str">
        <f>IF(AND(Programme_Grunddaten!$A427="Geprüft",Programme_Grunddaten!AK427&lt;&gt;""),IF(Programme_Grunddaten!AK427="Deutsch",0,IF(Programme_Grunddaten!AK427="Deutsch und Englisch",1,2)),"")</f>
        <v/>
      </c>
      <c r="AD422" s="1" t="str">
        <f>IF(AND(Programme_Grunddaten!$A427="Geprüft",Programme_Grunddaten!AL427&lt;&gt;""),IF(Programme_Grunddaten!AL427="Ja",1,0),"")</f>
        <v/>
      </c>
      <c r="AE422" s="1" t="str">
        <f>IF(AND(Programme_Grunddaten!$A427="Geprüft",Programme_Grunddaten!AM427&lt;&gt;""),IF(Programme_Grunddaten!AM427="Ja",1,0),"")</f>
        <v/>
      </c>
      <c r="AF422" s="1" t="str">
        <f>IF(AND(Programme_Grunddaten!$A427="Geprüft",Programme_Grunddaten!AN427&lt;&gt;""),IF(Programme_Grunddaten!AN427="Ja",1,0),"")</f>
        <v/>
      </c>
      <c r="AG422" s="1" t="str">
        <f>IF(AND(Programme_Grunddaten!$A427="Geprüft",Programme_Grunddaten!AO427&lt;&gt;""),IF(Programme_Grunddaten!AO427="Ja",1,0),"")</f>
        <v/>
      </c>
      <c r="AH422" s="1" t="str">
        <f>IF(AND(Programme_Grunddaten!$A427="Geprüft",Programme_Grunddaten!AP427&lt;&gt;""),IF(Programme_Grunddaten!AP427="Ja",1,0),"")</f>
        <v/>
      </c>
      <c r="AI422" s="1" t="str">
        <f>IF(AND(Programme_Grunddaten!$A427="Geprüft",Programme_Grunddaten!AQ427&lt;&gt;""),IF(Programme_Grunddaten!AQ427="Ja",1,0),"")</f>
        <v/>
      </c>
      <c r="AJ422" s="1" t="str">
        <f>IF(AND(Programme_Grunddaten!$A427="Geprüft",Programme_Grunddaten!AR427&lt;&gt;""),IF(Programme_Grunddaten!AR427="Ja",1,0),"")</f>
        <v/>
      </c>
      <c r="AK422" s="1" t="str">
        <f>IF(AND(Programme_Grunddaten!$A427="Geprüft",Programme_Grunddaten!AS427&lt;&gt;""),IF(Programme_Grunddaten!AS427="Ja",1,0),"")</f>
        <v/>
      </c>
      <c r="AL422" s="1" t="str">
        <f>IF(AND(Programme_Grunddaten!$A427="Geprüft",Programme_Grunddaten!AT427&lt;&gt;""),IF(Programme_Grunddaten!AT427="Ja",1,0),"")</f>
        <v/>
      </c>
      <c r="AM422" s="1" t="str">
        <f>IF(AND(Programme_Grunddaten!$A427="Geprüft",Programme_Grunddaten!AU427&lt;&gt;""),IF(Programme_Grunddaten!AU427="Ja",1,0),"")</f>
        <v/>
      </c>
      <c r="AN422" s="1" t="str">
        <f>IF(AND(Programme_Grunddaten!$A427="Geprüft",Programme_Grunddaten!AV427&lt;&gt;""),IF(Programme_Grunddaten!AV427="Ja",1,0),"")</f>
        <v/>
      </c>
    </row>
    <row r="423" spans="1:40" x14ac:dyDescent="0.3">
      <c r="A423" s="1" t="str">
        <f>IF(AND(Programme_Grunddaten!A428="Geprüft",Programme_Grunddaten!B428&lt;&gt;""),Programme_Grunddaten!B428,"")</f>
        <v/>
      </c>
      <c r="B423" s="1" t="str">
        <f>IF(AND(Programme_Grunddaten!$A428="Geprüft",Programme_Grunddaten!I428&lt;&gt;""),IF(Programme_Grunddaten!I428="Ja",1,0),"")</f>
        <v/>
      </c>
      <c r="C423" s="1" t="str">
        <f>IF(AND(Programme_Grunddaten!$A428="Geprüft",Programme_Grunddaten!J428&lt;&gt;""),IF(Programme_Grunddaten!J428="Ja",1,0),"")</f>
        <v/>
      </c>
      <c r="D423" s="1" t="str">
        <f>IF(AND(Programme_Grunddaten!$A428="Geprüft",Programme_Grunddaten!K428&lt;&gt;""),IF(Programme_Grunddaten!K428="Ja",1,0),"")</f>
        <v/>
      </c>
      <c r="E423" s="1" t="str">
        <f>IF(AND(Programme_Grunddaten!$A428="Geprüft",Programme_Grunddaten!L428&lt;&gt;""),IF(Programme_Grunddaten!L428="Abo / befristete Lizenz",1,0),"")</f>
        <v/>
      </c>
      <c r="F423" s="1" t="str">
        <f>IF(AND(Programme_Grunddaten!$A428="Geprüft",Programme_Grunddaten!M428&lt;&gt;""),IF(Programme_Grunddaten!M428="Ja",1,0),"")</f>
        <v/>
      </c>
      <c r="G423" s="1" t="str">
        <f>IF(AND(Programme_Grunddaten!$A428="Geprüft",Programme_Grunddaten!N428&lt;&gt;""),IF(Programme_Grunddaten!N428="Ja",1,0),"")</f>
        <v/>
      </c>
      <c r="H423" s="1" t="str">
        <f>IF(AND(Programme_Grunddaten!$A428="Geprüft",Programme_Grunddaten!O428&lt;&gt;""),IF(Programme_Grunddaten!O428="Deutschland",0,IF(Programme_Grunddaten!O428="EU",1,2)),"")</f>
        <v/>
      </c>
      <c r="I423" s="1" t="str">
        <f>IF(AND(Programme_Grunddaten!$A428="Geprüft",Programme_Grunddaten!P428&lt;&gt;""),IF(Programme_Grunddaten!P428="Ja",1,0),"")</f>
        <v/>
      </c>
      <c r="J423" s="1" t="str">
        <f>IF(AND(Programme_Grunddaten!$A428="Geprüft",Programme_Grunddaten!Q428&lt;&gt;""),IF(Programme_Grunddaten!Q428="geschlossenes System",1,0),"")</f>
        <v/>
      </c>
      <c r="K423" s="1" t="str">
        <f>IF(AND(Programme_Grunddaten!$A428="Geprüft",Programme_Grunddaten!R428&lt;&gt;""),IF(Programme_Grunddaten!R428="Ja",1,0),"")</f>
        <v/>
      </c>
      <c r="L423" s="1" t="str">
        <f>IF(AND(Programme_Grunddaten!$A428="Geprüft",Programme_Grunddaten!T428&lt;&gt;""),IF(Programme_Grunddaten!T428="Ja",1,0),"")</f>
        <v/>
      </c>
      <c r="M423" s="1" t="str">
        <f>IF(AND(Programme_Grunddaten!$A428="Geprüft",Programme_Grunddaten!U428&lt;&gt;""),IF(Programme_Grunddaten!U428="Ja",1,0),"")</f>
        <v/>
      </c>
      <c r="N423" s="1" t="str">
        <f>IF(AND(Programme_Grunddaten!$A428="Geprüft",Programme_Grunddaten!V428&lt;&gt;""),IF(Programme_Grunddaten!V428="Ja",1,0),"")</f>
        <v/>
      </c>
      <c r="O423" s="1" t="str">
        <f>IF(AND(Programme_Grunddaten!$A428="Geprüft",Programme_Grunddaten!W428&lt;&gt;""),IF(Programme_Grunddaten!W428="Ja",1,0),"")</f>
        <v/>
      </c>
      <c r="P423" s="1" t="str">
        <f>IF(AND(Programme_Grunddaten!$A428="Geprüft",Programme_Grunddaten!X428&lt;&gt;""),IF(Programme_Grunddaten!X428="Ja",1,0),"")</f>
        <v/>
      </c>
      <c r="Q423" s="1" t="str">
        <f>IF(AND(Programme_Grunddaten!$A428="Geprüft",Programme_Grunddaten!Y428&lt;&gt;""),IF(Programme_Grunddaten!Y428="Ja",1,0),"")</f>
        <v/>
      </c>
      <c r="R423" s="1" t="str">
        <f>IF(AND(Programme_Grunddaten!$A428="Geprüft",Programme_Grunddaten!Z428&lt;&gt;""),IF(Programme_Grunddaten!Z428="Ja",1,0),"")</f>
        <v/>
      </c>
      <c r="S423" s="1" t="str">
        <f>IF(AND(Programme_Grunddaten!$A428="Geprüft",Programme_Grunddaten!AA428&lt;&gt;""),IF(Programme_Grunddaten!AA428="monolithisch",1,0),"")</f>
        <v/>
      </c>
      <c r="T423" s="1" t="str">
        <f>IF(AND(Programme_Grunddaten!$A428="Geprüft",Programme_Grunddaten!AB428&lt;&gt;""),IF(Programme_Grunddaten!AB428="Ja",1,0),"")</f>
        <v/>
      </c>
      <c r="U423" s="1" t="str">
        <f>IF(AND(Programme_Grunddaten!$A428="Geprüft",Programme_Grunddaten!AC428&lt;&gt;""),IF(Programme_Grunddaten!AC428="Ja",1,0),"")</f>
        <v/>
      </c>
      <c r="V423" s="1" t="str">
        <f>IF(AND(Programme_Grunddaten!$A428="Geprüft",Programme_Grunddaten!AD428&lt;&gt;""),IF(Programme_Grunddaten!AD428="Ja",1,0),"")</f>
        <v/>
      </c>
      <c r="W423" s="1" t="str">
        <f>IF(AND(Programme_Grunddaten!$A428="Geprüft",Programme_Grunddaten!AE428&lt;&gt;""),IF(Programme_Grunddaten!AE428="Ja",1,0),"")</f>
        <v/>
      </c>
      <c r="X423" s="1" t="str">
        <f>IF(AND(Programme_Grunddaten!$A428="Geprüft",Programme_Grunddaten!AF428&lt;&gt;""),IF(Programme_Grunddaten!AF428="Ja",1,0),"")</f>
        <v/>
      </c>
      <c r="Y423" s="1" t="str">
        <f>IF(AND(Programme_Grunddaten!$A428="Geprüft",Programme_Grunddaten!AG428&lt;&gt;""),IF(Programme_Grunddaten!AG428="Ja",1,0),"")</f>
        <v/>
      </c>
      <c r="Z423" s="1" t="str">
        <f>IF(AND(Programme_Grunddaten!$A428="Geprüft",Programme_Grunddaten!AH428&lt;&gt;""),IF(Programme_Grunddaten!AH428="Ja",1,0),"")</f>
        <v/>
      </c>
      <c r="AA423" s="1" t="str">
        <f>IF(AND(Programme_Grunddaten!$A428="Geprüft",Programme_Grunddaten!AI428&lt;&gt;""),IF(Programme_Grunddaten!AI428="Ja",1,0),"")</f>
        <v/>
      </c>
      <c r="AB423" s="1" t="str">
        <f>IF(AND(Programme_Grunddaten!$A428="Geprüft",Programme_Grunddaten!AJ428&lt;&gt;""),IF(Programme_Grunddaten!AJ428="individuell programmierbar",1,0),"")</f>
        <v/>
      </c>
      <c r="AC423" s="1" t="str">
        <f>IF(AND(Programme_Grunddaten!$A428="Geprüft",Programme_Grunddaten!AK428&lt;&gt;""),IF(Programme_Grunddaten!AK428="Deutsch",0,IF(Programme_Grunddaten!AK428="Deutsch und Englisch",1,2)),"")</f>
        <v/>
      </c>
      <c r="AD423" s="1" t="str">
        <f>IF(AND(Programme_Grunddaten!$A428="Geprüft",Programme_Grunddaten!AL428&lt;&gt;""),IF(Programme_Grunddaten!AL428="Ja",1,0),"")</f>
        <v/>
      </c>
      <c r="AE423" s="1" t="str">
        <f>IF(AND(Programme_Grunddaten!$A428="Geprüft",Programme_Grunddaten!AM428&lt;&gt;""),IF(Programme_Grunddaten!AM428="Ja",1,0),"")</f>
        <v/>
      </c>
      <c r="AF423" s="1" t="str">
        <f>IF(AND(Programme_Grunddaten!$A428="Geprüft",Programme_Grunddaten!AN428&lt;&gt;""),IF(Programme_Grunddaten!AN428="Ja",1,0),"")</f>
        <v/>
      </c>
      <c r="AG423" s="1" t="str">
        <f>IF(AND(Programme_Grunddaten!$A428="Geprüft",Programme_Grunddaten!AO428&lt;&gt;""),IF(Programme_Grunddaten!AO428="Ja",1,0),"")</f>
        <v/>
      </c>
      <c r="AH423" s="1" t="str">
        <f>IF(AND(Programme_Grunddaten!$A428="Geprüft",Programme_Grunddaten!AP428&lt;&gt;""),IF(Programme_Grunddaten!AP428="Ja",1,0),"")</f>
        <v/>
      </c>
      <c r="AI423" s="1" t="str">
        <f>IF(AND(Programme_Grunddaten!$A428="Geprüft",Programme_Grunddaten!AQ428&lt;&gt;""),IF(Programme_Grunddaten!AQ428="Ja",1,0),"")</f>
        <v/>
      </c>
      <c r="AJ423" s="1" t="str">
        <f>IF(AND(Programme_Grunddaten!$A428="Geprüft",Programme_Grunddaten!AR428&lt;&gt;""),IF(Programme_Grunddaten!AR428="Ja",1,0),"")</f>
        <v/>
      </c>
      <c r="AK423" s="1" t="str">
        <f>IF(AND(Programme_Grunddaten!$A428="Geprüft",Programme_Grunddaten!AS428&lt;&gt;""),IF(Programme_Grunddaten!AS428="Ja",1,0),"")</f>
        <v/>
      </c>
      <c r="AL423" s="1" t="str">
        <f>IF(AND(Programme_Grunddaten!$A428="Geprüft",Programme_Grunddaten!AT428&lt;&gt;""),IF(Programme_Grunddaten!AT428="Ja",1,0),"")</f>
        <v/>
      </c>
      <c r="AM423" s="1" t="str">
        <f>IF(AND(Programme_Grunddaten!$A428="Geprüft",Programme_Grunddaten!AU428&lt;&gt;""),IF(Programme_Grunddaten!AU428="Ja",1,0),"")</f>
        <v/>
      </c>
      <c r="AN423" s="1" t="str">
        <f>IF(AND(Programme_Grunddaten!$A428="Geprüft",Programme_Grunddaten!AV428&lt;&gt;""),IF(Programme_Grunddaten!AV428="Ja",1,0),"")</f>
        <v/>
      </c>
    </row>
    <row r="424" spans="1:40" x14ac:dyDescent="0.3">
      <c r="A424" s="1" t="str">
        <f>IF(AND(Programme_Grunddaten!A429="Geprüft",Programme_Grunddaten!B429&lt;&gt;""),Programme_Grunddaten!B429,"")</f>
        <v/>
      </c>
      <c r="B424" s="1" t="str">
        <f>IF(AND(Programme_Grunddaten!$A429="Geprüft",Programme_Grunddaten!I429&lt;&gt;""),IF(Programme_Grunddaten!I429="Ja",1,0),"")</f>
        <v/>
      </c>
      <c r="C424" s="1" t="str">
        <f>IF(AND(Programme_Grunddaten!$A429="Geprüft",Programme_Grunddaten!J429&lt;&gt;""),IF(Programme_Grunddaten!J429="Ja",1,0),"")</f>
        <v/>
      </c>
      <c r="D424" s="1" t="str">
        <f>IF(AND(Programme_Grunddaten!$A429="Geprüft",Programme_Grunddaten!K429&lt;&gt;""),IF(Programme_Grunddaten!K429="Ja",1,0),"")</f>
        <v/>
      </c>
      <c r="E424" s="1" t="str">
        <f>IF(AND(Programme_Grunddaten!$A429="Geprüft",Programme_Grunddaten!L429&lt;&gt;""),IF(Programme_Grunddaten!L429="Abo / befristete Lizenz",1,0),"")</f>
        <v/>
      </c>
      <c r="F424" s="1" t="str">
        <f>IF(AND(Programme_Grunddaten!$A429="Geprüft",Programme_Grunddaten!M429&lt;&gt;""),IF(Programme_Grunddaten!M429="Ja",1,0),"")</f>
        <v/>
      </c>
      <c r="G424" s="1" t="str">
        <f>IF(AND(Programme_Grunddaten!$A429="Geprüft",Programme_Grunddaten!N429&lt;&gt;""),IF(Programme_Grunddaten!N429="Ja",1,0),"")</f>
        <v/>
      </c>
      <c r="H424" s="1" t="str">
        <f>IF(AND(Programme_Grunddaten!$A429="Geprüft",Programme_Grunddaten!O429&lt;&gt;""),IF(Programme_Grunddaten!O429="Deutschland",0,IF(Programme_Grunddaten!O429="EU",1,2)),"")</f>
        <v/>
      </c>
      <c r="I424" s="1" t="str">
        <f>IF(AND(Programme_Grunddaten!$A429="Geprüft",Programme_Grunddaten!P429&lt;&gt;""),IF(Programme_Grunddaten!P429="Ja",1,0),"")</f>
        <v/>
      </c>
      <c r="J424" s="1" t="str">
        <f>IF(AND(Programme_Grunddaten!$A429="Geprüft",Programme_Grunddaten!Q429&lt;&gt;""),IF(Programme_Grunddaten!Q429="geschlossenes System",1,0),"")</f>
        <v/>
      </c>
      <c r="K424" s="1" t="str">
        <f>IF(AND(Programme_Grunddaten!$A429="Geprüft",Programme_Grunddaten!R429&lt;&gt;""),IF(Programme_Grunddaten!R429="Ja",1,0),"")</f>
        <v/>
      </c>
      <c r="L424" s="1" t="str">
        <f>IF(AND(Programme_Grunddaten!$A429="Geprüft",Programme_Grunddaten!T429&lt;&gt;""),IF(Programme_Grunddaten!T429="Ja",1,0),"")</f>
        <v/>
      </c>
      <c r="M424" s="1" t="str">
        <f>IF(AND(Programme_Grunddaten!$A429="Geprüft",Programme_Grunddaten!U429&lt;&gt;""),IF(Programme_Grunddaten!U429="Ja",1,0),"")</f>
        <v/>
      </c>
      <c r="N424" s="1" t="str">
        <f>IF(AND(Programme_Grunddaten!$A429="Geprüft",Programme_Grunddaten!V429&lt;&gt;""),IF(Programme_Grunddaten!V429="Ja",1,0),"")</f>
        <v/>
      </c>
      <c r="O424" s="1" t="str">
        <f>IF(AND(Programme_Grunddaten!$A429="Geprüft",Programme_Grunddaten!W429&lt;&gt;""),IF(Programme_Grunddaten!W429="Ja",1,0),"")</f>
        <v/>
      </c>
      <c r="P424" s="1" t="str">
        <f>IF(AND(Programme_Grunddaten!$A429="Geprüft",Programme_Grunddaten!X429&lt;&gt;""),IF(Programme_Grunddaten!X429="Ja",1,0),"")</f>
        <v/>
      </c>
      <c r="Q424" s="1" t="str">
        <f>IF(AND(Programme_Grunddaten!$A429="Geprüft",Programme_Grunddaten!Y429&lt;&gt;""),IF(Programme_Grunddaten!Y429="Ja",1,0),"")</f>
        <v/>
      </c>
      <c r="R424" s="1" t="str">
        <f>IF(AND(Programme_Grunddaten!$A429="Geprüft",Programme_Grunddaten!Z429&lt;&gt;""),IF(Programme_Grunddaten!Z429="Ja",1,0),"")</f>
        <v/>
      </c>
      <c r="S424" s="1" t="str">
        <f>IF(AND(Programme_Grunddaten!$A429="Geprüft",Programme_Grunddaten!AA429&lt;&gt;""),IF(Programme_Grunddaten!AA429="monolithisch",1,0),"")</f>
        <v/>
      </c>
      <c r="T424" s="1" t="str">
        <f>IF(AND(Programme_Grunddaten!$A429="Geprüft",Programme_Grunddaten!AB429&lt;&gt;""),IF(Programme_Grunddaten!AB429="Ja",1,0),"")</f>
        <v/>
      </c>
      <c r="U424" s="1" t="str">
        <f>IF(AND(Programme_Grunddaten!$A429="Geprüft",Programme_Grunddaten!AC429&lt;&gt;""),IF(Programme_Grunddaten!AC429="Ja",1,0),"")</f>
        <v/>
      </c>
      <c r="V424" s="1" t="str">
        <f>IF(AND(Programme_Grunddaten!$A429="Geprüft",Programme_Grunddaten!AD429&lt;&gt;""),IF(Programme_Grunddaten!AD429="Ja",1,0),"")</f>
        <v/>
      </c>
      <c r="W424" s="1" t="str">
        <f>IF(AND(Programme_Grunddaten!$A429="Geprüft",Programme_Grunddaten!AE429&lt;&gt;""),IF(Programme_Grunddaten!AE429="Ja",1,0),"")</f>
        <v/>
      </c>
      <c r="X424" s="1" t="str">
        <f>IF(AND(Programme_Grunddaten!$A429="Geprüft",Programme_Grunddaten!AF429&lt;&gt;""),IF(Programme_Grunddaten!AF429="Ja",1,0),"")</f>
        <v/>
      </c>
      <c r="Y424" s="1" t="str">
        <f>IF(AND(Programme_Grunddaten!$A429="Geprüft",Programme_Grunddaten!AG429&lt;&gt;""),IF(Programme_Grunddaten!AG429="Ja",1,0),"")</f>
        <v/>
      </c>
      <c r="Z424" s="1" t="str">
        <f>IF(AND(Programme_Grunddaten!$A429="Geprüft",Programme_Grunddaten!AH429&lt;&gt;""),IF(Programme_Grunddaten!AH429="Ja",1,0),"")</f>
        <v/>
      </c>
      <c r="AA424" s="1" t="str">
        <f>IF(AND(Programme_Grunddaten!$A429="Geprüft",Programme_Grunddaten!AI429&lt;&gt;""),IF(Programme_Grunddaten!AI429="Ja",1,0),"")</f>
        <v/>
      </c>
      <c r="AB424" s="1" t="str">
        <f>IF(AND(Programme_Grunddaten!$A429="Geprüft",Programme_Grunddaten!AJ429&lt;&gt;""),IF(Programme_Grunddaten!AJ429="individuell programmierbar",1,0),"")</f>
        <v/>
      </c>
      <c r="AC424" s="1" t="str">
        <f>IF(AND(Programme_Grunddaten!$A429="Geprüft",Programme_Grunddaten!AK429&lt;&gt;""),IF(Programme_Grunddaten!AK429="Deutsch",0,IF(Programme_Grunddaten!AK429="Deutsch und Englisch",1,2)),"")</f>
        <v/>
      </c>
      <c r="AD424" s="1" t="str">
        <f>IF(AND(Programme_Grunddaten!$A429="Geprüft",Programme_Grunddaten!AL429&lt;&gt;""),IF(Programme_Grunddaten!AL429="Ja",1,0),"")</f>
        <v/>
      </c>
      <c r="AE424" s="1" t="str">
        <f>IF(AND(Programme_Grunddaten!$A429="Geprüft",Programme_Grunddaten!AM429&lt;&gt;""),IF(Programme_Grunddaten!AM429="Ja",1,0),"")</f>
        <v/>
      </c>
      <c r="AF424" s="1" t="str">
        <f>IF(AND(Programme_Grunddaten!$A429="Geprüft",Programme_Grunddaten!AN429&lt;&gt;""),IF(Programme_Grunddaten!AN429="Ja",1,0),"")</f>
        <v/>
      </c>
      <c r="AG424" s="1" t="str">
        <f>IF(AND(Programme_Grunddaten!$A429="Geprüft",Programme_Grunddaten!AO429&lt;&gt;""),IF(Programme_Grunddaten!AO429="Ja",1,0),"")</f>
        <v/>
      </c>
      <c r="AH424" s="1" t="str">
        <f>IF(AND(Programme_Grunddaten!$A429="Geprüft",Programme_Grunddaten!AP429&lt;&gt;""),IF(Programme_Grunddaten!AP429="Ja",1,0),"")</f>
        <v/>
      </c>
      <c r="AI424" s="1" t="str">
        <f>IF(AND(Programme_Grunddaten!$A429="Geprüft",Programme_Grunddaten!AQ429&lt;&gt;""),IF(Programme_Grunddaten!AQ429="Ja",1,0),"")</f>
        <v/>
      </c>
      <c r="AJ424" s="1" t="str">
        <f>IF(AND(Programme_Grunddaten!$A429="Geprüft",Programme_Grunddaten!AR429&lt;&gt;""),IF(Programme_Grunddaten!AR429="Ja",1,0),"")</f>
        <v/>
      </c>
      <c r="AK424" s="1" t="str">
        <f>IF(AND(Programme_Grunddaten!$A429="Geprüft",Programme_Grunddaten!AS429&lt;&gt;""),IF(Programme_Grunddaten!AS429="Ja",1,0),"")</f>
        <v/>
      </c>
      <c r="AL424" s="1" t="str">
        <f>IF(AND(Programme_Grunddaten!$A429="Geprüft",Programme_Grunddaten!AT429&lt;&gt;""),IF(Programme_Grunddaten!AT429="Ja",1,0),"")</f>
        <v/>
      </c>
      <c r="AM424" s="1" t="str">
        <f>IF(AND(Programme_Grunddaten!$A429="Geprüft",Programme_Grunddaten!AU429&lt;&gt;""),IF(Programme_Grunddaten!AU429="Ja",1,0),"")</f>
        <v/>
      </c>
      <c r="AN424" s="1" t="str">
        <f>IF(AND(Programme_Grunddaten!$A429="Geprüft",Programme_Grunddaten!AV429&lt;&gt;""),IF(Programme_Grunddaten!AV429="Ja",1,0),"")</f>
        <v/>
      </c>
    </row>
    <row r="425" spans="1:40" x14ac:dyDescent="0.3">
      <c r="A425" s="1" t="str">
        <f>IF(AND(Programme_Grunddaten!A430="Geprüft",Programme_Grunddaten!B430&lt;&gt;""),Programme_Grunddaten!B430,"")</f>
        <v/>
      </c>
      <c r="B425" s="1" t="str">
        <f>IF(AND(Programme_Grunddaten!$A430="Geprüft",Programme_Grunddaten!I430&lt;&gt;""),IF(Programme_Grunddaten!I430="Ja",1,0),"")</f>
        <v/>
      </c>
      <c r="C425" s="1" t="str">
        <f>IF(AND(Programme_Grunddaten!$A430="Geprüft",Programme_Grunddaten!J430&lt;&gt;""),IF(Programme_Grunddaten!J430="Ja",1,0),"")</f>
        <v/>
      </c>
      <c r="D425" s="1" t="str">
        <f>IF(AND(Programme_Grunddaten!$A430="Geprüft",Programme_Grunddaten!K430&lt;&gt;""),IF(Programme_Grunddaten!K430="Ja",1,0),"")</f>
        <v/>
      </c>
      <c r="E425" s="1" t="str">
        <f>IF(AND(Programme_Grunddaten!$A430="Geprüft",Programme_Grunddaten!L430&lt;&gt;""),IF(Programme_Grunddaten!L430="Abo / befristete Lizenz",1,0),"")</f>
        <v/>
      </c>
      <c r="F425" s="1" t="str">
        <f>IF(AND(Programme_Grunddaten!$A430="Geprüft",Programme_Grunddaten!M430&lt;&gt;""),IF(Programme_Grunddaten!M430="Ja",1,0),"")</f>
        <v/>
      </c>
      <c r="G425" s="1" t="str">
        <f>IF(AND(Programme_Grunddaten!$A430="Geprüft",Programme_Grunddaten!N430&lt;&gt;""),IF(Programme_Grunddaten!N430="Ja",1,0),"")</f>
        <v/>
      </c>
      <c r="H425" s="1" t="str">
        <f>IF(AND(Programme_Grunddaten!$A430="Geprüft",Programme_Grunddaten!O430&lt;&gt;""),IF(Programme_Grunddaten!O430="Deutschland",0,IF(Programme_Grunddaten!O430="EU",1,2)),"")</f>
        <v/>
      </c>
      <c r="I425" s="1" t="str">
        <f>IF(AND(Programme_Grunddaten!$A430="Geprüft",Programme_Grunddaten!P430&lt;&gt;""),IF(Programme_Grunddaten!P430="Ja",1,0),"")</f>
        <v/>
      </c>
      <c r="J425" s="1" t="str">
        <f>IF(AND(Programme_Grunddaten!$A430="Geprüft",Programme_Grunddaten!Q430&lt;&gt;""),IF(Programme_Grunddaten!Q430="geschlossenes System",1,0),"")</f>
        <v/>
      </c>
      <c r="K425" s="1" t="str">
        <f>IF(AND(Programme_Grunddaten!$A430="Geprüft",Programme_Grunddaten!R430&lt;&gt;""),IF(Programme_Grunddaten!R430="Ja",1,0),"")</f>
        <v/>
      </c>
      <c r="L425" s="1" t="str">
        <f>IF(AND(Programme_Grunddaten!$A430="Geprüft",Programme_Grunddaten!T430&lt;&gt;""),IF(Programme_Grunddaten!T430="Ja",1,0),"")</f>
        <v/>
      </c>
      <c r="M425" s="1" t="str">
        <f>IF(AND(Programme_Grunddaten!$A430="Geprüft",Programme_Grunddaten!U430&lt;&gt;""),IF(Programme_Grunddaten!U430="Ja",1,0),"")</f>
        <v/>
      </c>
      <c r="N425" s="1" t="str">
        <f>IF(AND(Programme_Grunddaten!$A430="Geprüft",Programme_Grunddaten!V430&lt;&gt;""),IF(Programme_Grunddaten!V430="Ja",1,0),"")</f>
        <v/>
      </c>
      <c r="O425" s="1" t="str">
        <f>IF(AND(Programme_Grunddaten!$A430="Geprüft",Programme_Grunddaten!W430&lt;&gt;""),IF(Programme_Grunddaten!W430="Ja",1,0),"")</f>
        <v/>
      </c>
      <c r="P425" s="1" t="str">
        <f>IF(AND(Programme_Grunddaten!$A430="Geprüft",Programme_Grunddaten!X430&lt;&gt;""),IF(Programme_Grunddaten!X430="Ja",1,0),"")</f>
        <v/>
      </c>
      <c r="Q425" s="1" t="str">
        <f>IF(AND(Programme_Grunddaten!$A430="Geprüft",Programme_Grunddaten!Y430&lt;&gt;""),IF(Programme_Grunddaten!Y430="Ja",1,0),"")</f>
        <v/>
      </c>
      <c r="R425" s="1" t="str">
        <f>IF(AND(Programme_Grunddaten!$A430="Geprüft",Programme_Grunddaten!Z430&lt;&gt;""),IF(Programme_Grunddaten!Z430="Ja",1,0),"")</f>
        <v/>
      </c>
      <c r="S425" s="1" t="str">
        <f>IF(AND(Programme_Grunddaten!$A430="Geprüft",Programme_Grunddaten!AA430&lt;&gt;""),IF(Programme_Grunddaten!AA430="monolithisch",1,0),"")</f>
        <v/>
      </c>
      <c r="T425" s="1" t="str">
        <f>IF(AND(Programme_Grunddaten!$A430="Geprüft",Programme_Grunddaten!AB430&lt;&gt;""),IF(Programme_Grunddaten!AB430="Ja",1,0),"")</f>
        <v/>
      </c>
      <c r="U425" s="1" t="str">
        <f>IF(AND(Programme_Grunddaten!$A430="Geprüft",Programme_Grunddaten!AC430&lt;&gt;""),IF(Programme_Grunddaten!AC430="Ja",1,0),"")</f>
        <v/>
      </c>
      <c r="V425" s="1" t="str">
        <f>IF(AND(Programme_Grunddaten!$A430="Geprüft",Programme_Grunddaten!AD430&lt;&gt;""),IF(Programme_Grunddaten!AD430="Ja",1,0),"")</f>
        <v/>
      </c>
      <c r="W425" s="1" t="str">
        <f>IF(AND(Programme_Grunddaten!$A430="Geprüft",Programme_Grunddaten!AE430&lt;&gt;""),IF(Programme_Grunddaten!AE430="Ja",1,0),"")</f>
        <v/>
      </c>
      <c r="X425" s="1" t="str">
        <f>IF(AND(Programme_Grunddaten!$A430="Geprüft",Programme_Grunddaten!AF430&lt;&gt;""),IF(Programme_Grunddaten!AF430="Ja",1,0),"")</f>
        <v/>
      </c>
      <c r="Y425" s="1" t="str">
        <f>IF(AND(Programme_Grunddaten!$A430="Geprüft",Programme_Grunddaten!AG430&lt;&gt;""),IF(Programme_Grunddaten!AG430="Ja",1,0),"")</f>
        <v/>
      </c>
      <c r="Z425" s="1" t="str">
        <f>IF(AND(Programme_Grunddaten!$A430="Geprüft",Programme_Grunddaten!AH430&lt;&gt;""),IF(Programme_Grunddaten!AH430="Ja",1,0),"")</f>
        <v/>
      </c>
      <c r="AA425" s="1" t="str">
        <f>IF(AND(Programme_Grunddaten!$A430="Geprüft",Programme_Grunddaten!AI430&lt;&gt;""),IF(Programme_Grunddaten!AI430="Ja",1,0),"")</f>
        <v/>
      </c>
      <c r="AB425" s="1" t="str">
        <f>IF(AND(Programme_Grunddaten!$A430="Geprüft",Programme_Grunddaten!AJ430&lt;&gt;""),IF(Programme_Grunddaten!AJ430="individuell programmierbar",1,0),"")</f>
        <v/>
      </c>
      <c r="AC425" s="1" t="str">
        <f>IF(AND(Programme_Grunddaten!$A430="Geprüft",Programme_Grunddaten!AK430&lt;&gt;""),IF(Programme_Grunddaten!AK430="Deutsch",0,IF(Programme_Grunddaten!AK430="Deutsch und Englisch",1,2)),"")</f>
        <v/>
      </c>
      <c r="AD425" s="1" t="str">
        <f>IF(AND(Programme_Grunddaten!$A430="Geprüft",Programme_Grunddaten!AL430&lt;&gt;""),IF(Programme_Grunddaten!AL430="Ja",1,0),"")</f>
        <v/>
      </c>
      <c r="AE425" s="1" t="str">
        <f>IF(AND(Programme_Grunddaten!$A430="Geprüft",Programme_Grunddaten!AM430&lt;&gt;""),IF(Programme_Grunddaten!AM430="Ja",1,0),"")</f>
        <v/>
      </c>
      <c r="AF425" s="1" t="str">
        <f>IF(AND(Programme_Grunddaten!$A430="Geprüft",Programme_Grunddaten!AN430&lt;&gt;""),IF(Programme_Grunddaten!AN430="Ja",1,0),"")</f>
        <v/>
      </c>
      <c r="AG425" s="1" t="str">
        <f>IF(AND(Programme_Grunddaten!$A430="Geprüft",Programme_Grunddaten!AO430&lt;&gt;""),IF(Programme_Grunddaten!AO430="Ja",1,0),"")</f>
        <v/>
      </c>
      <c r="AH425" s="1" t="str">
        <f>IF(AND(Programme_Grunddaten!$A430="Geprüft",Programme_Grunddaten!AP430&lt;&gt;""),IF(Programme_Grunddaten!AP430="Ja",1,0),"")</f>
        <v/>
      </c>
      <c r="AI425" s="1" t="str">
        <f>IF(AND(Programme_Grunddaten!$A430="Geprüft",Programme_Grunddaten!AQ430&lt;&gt;""),IF(Programme_Grunddaten!AQ430="Ja",1,0),"")</f>
        <v/>
      </c>
      <c r="AJ425" s="1" t="str">
        <f>IF(AND(Programme_Grunddaten!$A430="Geprüft",Programme_Grunddaten!AR430&lt;&gt;""),IF(Programme_Grunddaten!AR430="Ja",1,0),"")</f>
        <v/>
      </c>
      <c r="AK425" s="1" t="str">
        <f>IF(AND(Programme_Grunddaten!$A430="Geprüft",Programme_Grunddaten!AS430&lt;&gt;""),IF(Programme_Grunddaten!AS430="Ja",1,0),"")</f>
        <v/>
      </c>
      <c r="AL425" s="1" t="str">
        <f>IF(AND(Programme_Grunddaten!$A430="Geprüft",Programme_Grunddaten!AT430&lt;&gt;""),IF(Programme_Grunddaten!AT430="Ja",1,0),"")</f>
        <v/>
      </c>
      <c r="AM425" s="1" t="str">
        <f>IF(AND(Programme_Grunddaten!$A430="Geprüft",Programme_Grunddaten!AU430&lt;&gt;""),IF(Programme_Grunddaten!AU430="Ja",1,0),"")</f>
        <v/>
      </c>
      <c r="AN425" s="1" t="str">
        <f>IF(AND(Programme_Grunddaten!$A430="Geprüft",Programme_Grunddaten!AV430&lt;&gt;""),IF(Programme_Grunddaten!AV430="Ja",1,0),"")</f>
        <v/>
      </c>
    </row>
    <row r="426" spans="1:40" x14ac:dyDescent="0.3">
      <c r="A426" s="1" t="str">
        <f>IF(AND(Programme_Grunddaten!A431="Geprüft",Programme_Grunddaten!B431&lt;&gt;""),Programme_Grunddaten!B431,"")</f>
        <v/>
      </c>
      <c r="B426" s="1" t="str">
        <f>IF(AND(Programme_Grunddaten!$A431="Geprüft",Programme_Grunddaten!I431&lt;&gt;""),IF(Programme_Grunddaten!I431="Ja",1,0),"")</f>
        <v/>
      </c>
      <c r="C426" s="1" t="str">
        <f>IF(AND(Programme_Grunddaten!$A431="Geprüft",Programme_Grunddaten!J431&lt;&gt;""),IF(Programme_Grunddaten!J431="Ja",1,0),"")</f>
        <v/>
      </c>
      <c r="D426" s="1" t="str">
        <f>IF(AND(Programme_Grunddaten!$A431="Geprüft",Programme_Grunddaten!K431&lt;&gt;""),IF(Programme_Grunddaten!K431="Ja",1,0),"")</f>
        <v/>
      </c>
      <c r="E426" s="1" t="str">
        <f>IF(AND(Programme_Grunddaten!$A431="Geprüft",Programme_Grunddaten!L431&lt;&gt;""),IF(Programme_Grunddaten!L431="Abo / befristete Lizenz",1,0),"")</f>
        <v/>
      </c>
      <c r="F426" s="1" t="str">
        <f>IF(AND(Programme_Grunddaten!$A431="Geprüft",Programme_Grunddaten!M431&lt;&gt;""),IF(Programme_Grunddaten!M431="Ja",1,0),"")</f>
        <v/>
      </c>
      <c r="G426" s="1" t="str">
        <f>IF(AND(Programme_Grunddaten!$A431="Geprüft",Programme_Grunddaten!N431&lt;&gt;""),IF(Programme_Grunddaten!N431="Ja",1,0),"")</f>
        <v/>
      </c>
      <c r="H426" s="1" t="str">
        <f>IF(AND(Programme_Grunddaten!$A431="Geprüft",Programme_Grunddaten!O431&lt;&gt;""),IF(Programme_Grunddaten!O431="Deutschland",0,IF(Programme_Grunddaten!O431="EU",1,2)),"")</f>
        <v/>
      </c>
      <c r="I426" s="1" t="str">
        <f>IF(AND(Programme_Grunddaten!$A431="Geprüft",Programme_Grunddaten!P431&lt;&gt;""),IF(Programme_Grunddaten!P431="Ja",1,0),"")</f>
        <v/>
      </c>
      <c r="J426" s="1" t="str">
        <f>IF(AND(Programme_Grunddaten!$A431="Geprüft",Programme_Grunddaten!Q431&lt;&gt;""),IF(Programme_Grunddaten!Q431="geschlossenes System",1,0),"")</f>
        <v/>
      </c>
      <c r="K426" s="1" t="str">
        <f>IF(AND(Programme_Grunddaten!$A431="Geprüft",Programme_Grunddaten!R431&lt;&gt;""),IF(Programme_Grunddaten!R431="Ja",1,0),"")</f>
        <v/>
      </c>
      <c r="L426" s="1" t="str">
        <f>IF(AND(Programme_Grunddaten!$A431="Geprüft",Programme_Grunddaten!T431&lt;&gt;""),IF(Programme_Grunddaten!T431="Ja",1,0),"")</f>
        <v/>
      </c>
      <c r="M426" s="1" t="str">
        <f>IF(AND(Programme_Grunddaten!$A431="Geprüft",Programme_Grunddaten!U431&lt;&gt;""),IF(Programme_Grunddaten!U431="Ja",1,0),"")</f>
        <v/>
      </c>
      <c r="N426" s="1" t="str">
        <f>IF(AND(Programme_Grunddaten!$A431="Geprüft",Programme_Grunddaten!V431&lt;&gt;""),IF(Programme_Grunddaten!V431="Ja",1,0),"")</f>
        <v/>
      </c>
      <c r="O426" s="1" t="str">
        <f>IF(AND(Programme_Grunddaten!$A431="Geprüft",Programme_Grunddaten!W431&lt;&gt;""),IF(Programme_Grunddaten!W431="Ja",1,0),"")</f>
        <v/>
      </c>
      <c r="P426" s="1" t="str">
        <f>IF(AND(Programme_Grunddaten!$A431="Geprüft",Programme_Grunddaten!X431&lt;&gt;""),IF(Programme_Grunddaten!X431="Ja",1,0),"")</f>
        <v/>
      </c>
      <c r="Q426" s="1" t="str">
        <f>IF(AND(Programme_Grunddaten!$A431="Geprüft",Programme_Grunddaten!Y431&lt;&gt;""),IF(Programme_Grunddaten!Y431="Ja",1,0),"")</f>
        <v/>
      </c>
      <c r="R426" s="1" t="str">
        <f>IF(AND(Programme_Grunddaten!$A431="Geprüft",Programme_Grunddaten!Z431&lt;&gt;""),IF(Programme_Grunddaten!Z431="Ja",1,0),"")</f>
        <v/>
      </c>
      <c r="S426" s="1" t="str">
        <f>IF(AND(Programme_Grunddaten!$A431="Geprüft",Programme_Grunddaten!AA431&lt;&gt;""),IF(Programme_Grunddaten!AA431="monolithisch",1,0),"")</f>
        <v/>
      </c>
      <c r="T426" s="1" t="str">
        <f>IF(AND(Programme_Grunddaten!$A431="Geprüft",Programme_Grunddaten!AB431&lt;&gt;""),IF(Programme_Grunddaten!AB431="Ja",1,0),"")</f>
        <v/>
      </c>
      <c r="U426" s="1" t="str">
        <f>IF(AND(Programme_Grunddaten!$A431="Geprüft",Programme_Grunddaten!AC431&lt;&gt;""),IF(Programme_Grunddaten!AC431="Ja",1,0),"")</f>
        <v/>
      </c>
      <c r="V426" s="1" t="str">
        <f>IF(AND(Programme_Grunddaten!$A431="Geprüft",Programme_Grunddaten!AD431&lt;&gt;""),IF(Programme_Grunddaten!AD431="Ja",1,0),"")</f>
        <v/>
      </c>
      <c r="W426" s="1" t="str">
        <f>IF(AND(Programme_Grunddaten!$A431="Geprüft",Programme_Grunddaten!AE431&lt;&gt;""),IF(Programme_Grunddaten!AE431="Ja",1,0),"")</f>
        <v/>
      </c>
      <c r="X426" s="1" t="str">
        <f>IF(AND(Programme_Grunddaten!$A431="Geprüft",Programme_Grunddaten!AF431&lt;&gt;""),IF(Programme_Grunddaten!AF431="Ja",1,0),"")</f>
        <v/>
      </c>
      <c r="Y426" s="1" t="str">
        <f>IF(AND(Programme_Grunddaten!$A431="Geprüft",Programme_Grunddaten!AG431&lt;&gt;""),IF(Programme_Grunddaten!AG431="Ja",1,0),"")</f>
        <v/>
      </c>
      <c r="Z426" s="1" t="str">
        <f>IF(AND(Programme_Grunddaten!$A431="Geprüft",Programme_Grunddaten!AH431&lt;&gt;""),IF(Programme_Grunddaten!AH431="Ja",1,0),"")</f>
        <v/>
      </c>
      <c r="AA426" s="1" t="str">
        <f>IF(AND(Programme_Grunddaten!$A431="Geprüft",Programme_Grunddaten!AI431&lt;&gt;""),IF(Programme_Grunddaten!AI431="Ja",1,0),"")</f>
        <v/>
      </c>
      <c r="AB426" s="1" t="str">
        <f>IF(AND(Programme_Grunddaten!$A431="Geprüft",Programme_Grunddaten!AJ431&lt;&gt;""),IF(Programme_Grunddaten!AJ431="individuell programmierbar",1,0),"")</f>
        <v/>
      </c>
      <c r="AC426" s="1" t="str">
        <f>IF(AND(Programme_Grunddaten!$A431="Geprüft",Programme_Grunddaten!AK431&lt;&gt;""),IF(Programme_Grunddaten!AK431="Deutsch",0,IF(Programme_Grunddaten!AK431="Deutsch und Englisch",1,2)),"")</f>
        <v/>
      </c>
      <c r="AD426" s="1" t="str">
        <f>IF(AND(Programme_Grunddaten!$A431="Geprüft",Programme_Grunddaten!AL431&lt;&gt;""),IF(Programme_Grunddaten!AL431="Ja",1,0),"")</f>
        <v/>
      </c>
      <c r="AE426" s="1" t="str">
        <f>IF(AND(Programme_Grunddaten!$A431="Geprüft",Programme_Grunddaten!AM431&lt;&gt;""),IF(Programme_Grunddaten!AM431="Ja",1,0),"")</f>
        <v/>
      </c>
      <c r="AF426" s="1" t="str">
        <f>IF(AND(Programme_Grunddaten!$A431="Geprüft",Programme_Grunddaten!AN431&lt;&gt;""),IF(Programme_Grunddaten!AN431="Ja",1,0),"")</f>
        <v/>
      </c>
      <c r="AG426" s="1" t="str">
        <f>IF(AND(Programme_Grunddaten!$A431="Geprüft",Programme_Grunddaten!AO431&lt;&gt;""),IF(Programme_Grunddaten!AO431="Ja",1,0),"")</f>
        <v/>
      </c>
      <c r="AH426" s="1" t="str">
        <f>IF(AND(Programme_Grunddaten!$A431="Geprüft",Programme_Grunddaten!AP431&lt;&gt;""),IF(Programme_Grunddaten!AP431="Ja",1,0),"")</f>
        <v/>
      </c>
      <c r="AI426" s="1" t="str">
        <f>IF(AND(Programme_Grunddaten!$A431="Geprüft",Programme_Grunddaten!AQ431&lt;&gt;""),IF(Programme_Grunddaten!AQ431="Ja",1,0),"")</f>
        <v/>
      </c>
      <c r="AJ426" s="1" t="str">
        <f>IF(AND(Programme_Grunddaten!$A431="Geprüft",Programme_Grunddaten!AR431&lt;&gt;""),IF(Programme_Grunddaten!AR431="Ja",1,0),"")</f>
        <v/>
      </c>
      <c r="AK426" s="1" t="str">
        <f>IF(AND(Programme_Grunddaten!$A431="Geprüft",Programme_Grunddaten!AS431&lt;&gt;""),IF(Programme_Grunddaten!AS431="Ja",1,0),"")</f>
        <v/>
      </c>
      <c r="AL426" s="1" t="str">
        <f>IF(AND(Programme_Grunddaten!$A431="Geprüft",Programme_Grunddaten!AT431&lt;&gt;""),IF(Programme_Grunddaten!AT431="Ja",1,0),"")</f>
        <v/>
      </c>
      <c r="AM426" s="1" t="str">
        <f>IF(AND(Programme_Grunddaten!$A431="Geprüft",Programme_Grunddaten!AU431&lt;&gt;""),IF(Programme_Grunddaten!AU431="Ja",1,0),"")</f>
        <v/>
      </c>
      <c r="AN426" s="1" t="str">
        <f>IF(AND(Programme_Grunddaten!$A431="Geprüft",Programme_Grunddaten!AV431&lt;&gt;""),IF(Programme_Grunddaten!AV431="Ja",1,0),"")</f>
        <v/>
      </c>
    </row>
    <row r="427" spans="1:40" x14ac:dyDescent="0.3">
      <c r="A427" s="1" t="str">
        <f>IF(AND(Programme_Grunddaten!A432="Geprüft",Programme_Grunddaten!B432&lt;&gt;""),Programme_Grunddaten!B432,"")</f>
        <v/>
      </c>
      <c r="B427" s="1" t="str">
        <f>IF(AND(Programme_Grunddaten!$A432="Geprüft",Programme_Grunddaten!I432&lt;&gt;""),IF(Programme_Grunddaten!I432="Ja",1,0),"")</f>
        <v/>
      </c>
      <c r="C427" s="1" t="str">
        <f>IF(AND(Programme_Grunddaten!$A432="Geprüft",Programme_Grunddaten!J432&lt;&gt;""),IF(Programme_Grunddaten!J432="Ja",1,0),"")</f>
        <v/>
      </c>
      <c r="D427" s="1" t="str">
        <f>IF(AND(Programme_Grunddaten!$A432="Geprüft",Programme_Grunddaten!K432&lt;&gt;""),IF(Programme_Grunddaten!K432="Ja",1,0),"")</f>
        <v/>
      </c>
      <c r="E427" s="1" t="str">
        <f>IF(AND(Programme_Grunddaten!$A432="Geprüft",Programme_Grunddaten!L432&lt;&gt;""),IF(Programme_Grunddaten!L432="Abo / befristete Lizenz",1,0),"")</f>
        <v/>
      </c>
      <c r="F427" s="1" t="str">
        <f>IF(AND(Programme_Grunddaten!$A432="Geprüft",Programme_Grunddaten!M432&lt;&gt;""),IF(Programme_Grunddaten!M432="Ja",1,0),"")</f>
        <v/>
      </c>
      <c r="G427" s="1" t="str">
        <f>IF(AND(Programme_Grunddaten!$A432="Geprüft",Programme_Grunddaten!N432&lt;&gt;""),IF(Programme_Grunddaten!N432="Ja",1,0),"")</f>
        <v/>
      </c>
      <c r="H427" s="1" t="str">
        <f>IF(AND(Programme_Grunddaten!$A432="Geprüft",Programme_Grunddaten!O432&lt;&gt;""),IF(Programme_Grunddaten!O432="Deutschland",0,IF(Programme_Grunddaten!O432="EU",1,2)),"")</f>
        <v/>
      </c>
      <c r="I427" s="1" t="str">
        <f>IF(AND(Programme_Grunddaten!$A432="Geprüft",Programme_Grunddaten!P432&lt;&gt;""),IF(Programme_Grunddaten!P432="Ja",1,0),"")</f>
        <v/>
      </c>
      <c r="J427" s="1" t="str">
        <f>IF(AND(Programme_Grunddaten!$A432="Geprüft",Programme_Grunddaten!Q432&lt;&gt;""),IF(Programme_Grunddaten!Q432="geschlossenes System",1,0),"")</f>
        <v/>
      </c>
      <c r="K427" s="1" t="str">
        <f>IF(AND(Programme_Grunddaten!$A432="Geprüft",Programme_Grunddaten!R432&lt;&gt;""),IF(Programme_Grunddaten!R432="Ja",1,0),"")</f>
        <v/>
      </c>
      <c r="L427" s="1" t="str">
        <f>IF(AND(Programme_Grunddaten!$A432="Geprüft",Programme_Grunddaten!T432&lt;&gt;""),IF(Programme_Grunddaten!T432="Ja",1,0),"")</f>
        <v/>
      </c>
      <c r="M427" s="1" t="str">
        <f>IF(AND(Programme_Grunddaten!$A432="Geprüft",Programme_Grunddaten!U432&lt;&gt;""),IF(Programme_Grunddaten!U432="Ja",1,0),"")</f>
        <v/>
      </c>
      <c r="N427" s="1" t="str">
        <f>IF(AND(Programme_Grunddaten!$A432="Geprüft",Programme_Grunddaten!V432&lt;&gt;""),IF(Programme_Grunddaten!V432="Ja",1,0),"")</f>
        <v/>
      </c>
      <c r="O427" s="1" t="str">
        <f>IF(AND(Programme_Grunddaten!$A432="Geprüft",Programme_Grunddaten!W432&lt;&gt;""),IF(Programme_Grunddaten!W432="Ja",1,0),"")</f>
        <v/>
      </c>
      <c r="P427" s="1" t="str">
        <f>IF(AND(Programme_Grunddaten!$A432="Geprüft",Programme_Grunddaten!X432&lt;&gt;""),IF(Programme_Grunddaten!X432="Ja",1,0),"")</f>
        <v/>
      </c>
      <c r="Q427" s="1" t="str">
        <f>IF(AND(Programme_Grunddaten!$A432="Geprüft",Programme_Grunddaten!Y432&lt;&gt;""),IF(Programme_Grunddaten!Y432="Ja",1,0),"")</f>
        <v/>
      </c>
      <c r="R427" s="1" t="str">
        <f>IF(AND(Programme_Grunddaten!$A432="Geprüft",Programme_Grunddaten!Z432&lt;&gt;""),IF(Programme_Grunddaten!Z432="Ja",1,0),"")</f>
        <v/>
      </c>
      <c r="S427" s="1" t="str">
        <f>IF(AND(Programme_Grunddaten!$A432="Geprüft",Programme_Grunddaten!AA432&lt;&gt;""),IF(Programme_Grunddaten!AA432="monolithisch",1,0),"")</f>
        <v/>
      </c>
      <c r="T427" s="1" t="str">
        <f>IF(AND(Programme_Grunddaten!$A432="Geprüft",Programme_Grunddaten!AB432&lt;&gt;""),IF(Programme_Grunddaten!AB432="Ja",1,0),"")</f>
        <v/>
      </c>
      <c r="U427" s="1" t="str">
        <f>IF(AND(Programme_Grunddaten!$A432="Geprüft",Programme_Grunddaten!AC432&lt;&gt;""),IF(Programme_Grunddaten!AC432="Ja",1,0),"")</f>
        <v/>
      </c>
      <c r="V427" s="1" t="str">
        <f>IF(AND(Programme_Grunddaten!$A432="Geprüft",Programme_Grunddaten!AD432&lt;&gt;""),IF(Programme_Grunddaten!AD432="Ja",1,0),"")</f>
        <v/>
      </c>
      <c r="W427" s="1" t="str">
        <f>IF(AND(Programme_Grunddaten!$A432="Geprüft",Programme_Grunddaten!AE432&lt;&gt;""),IF(Programme_Grunddaten!AE432="Ja",1,0),"")</f>
        <v/>
      </c>
      <c r="X427" s="1" t="str">
        <f>IF(AND(Programme_Grunddaten!$A432="Geprüft",Programme_Grunddaten!AF432&lt;&gt;""),IF(Programme_Grunddaten!AF432="Ja",1,0),"")</f>
        <v/>
      </c>
      <c r="Y427" s="1" t="str">
        <f>IF(AND(Programme_Grunddaten!$A432="Geprüft",Programme_Grunddaten!AG432&lt;&gt;""),IF(Programme_Grunddaten!AG432="Ja",1,0),"")</f>
        <v/>
      </c>
      <c r="Z427" s="1" t="str">
        <f>IF(AND(Programme_Grunddaten!$A432="Geprüft",Programme_Grunddaten!AH432&lt;&gt;""),IF(Programme_Grunddaten!AH432="Ja",1,0),"")</f>
        <v/>
      </c>
      <c r="AA427" s="1" t="str">
        <f>IF(AND(Programme_Grunddaten!$A432="Geprüft",Programme_Grunddaten!AI432&lt;&gt;""),IF(Programme_Grunddaten!AI432="Ja",1,0),"")</f>
        <v/>
      </c>
      <c r="AB427" s="1" t="str">
        <f>IF(AND(Programme_Grunddaten!$A432="Geprüft",Programme_Grunddaten!AJ432&lt;&gt;""),IF(Programme_Grunddaten!AJ432="individuell programmierbar",1,0),"")</f>
        <v/>
      </c>
      <c r="AC427" s="1" t="str">
        <f>IF(AND(Programme_Grunddaten!$A432="Geprüft",Programme_Grunddaten!AK432&lt;&gt;""),IF(Programme_Grunddaten!AK432="Deutsch",0,IF(Programme_Grunddaten!AK432="Deutsch und Englisch",1,2)),"")</f>
        <v/>
      </c>
      <c r="AD427" s="1" t="str">
        <f>IF(AND(Programme_Grunddaten!$A432="Geprüft",Programme_Grunddaten!AL432&lt;&gt;""),IF(Programme_Grunddaten!AL432="Ja",1,0),"")</f>
        <v/>
      </c>
      <c r="AE427" s="1" t="str">
        <f>IF(AND(Programme_Grunddaten!$A432="Geprüft",Programme_Grunddaten!AM432&lt;&gt;""),IF(Programme_Grunddaten!AM432="Ja",1,0),"")</f>
        <v/>
      </c>
      <c r="AF427" s="1" t="str">
        <f>IF(AND(Programme_Grunddaten!$A432="Geprüft",Programme_Grunddaten!AN432&lt;&gt;""),IF(Programme_Grunddaten!AN432="Ja",1,0),"")</f>
        <v/>
      </c>
      <c r="AG427" s="1" t="str">
        <f>IF(AND(Programme_Grunddaten!$A432="Geprüft",Programme_Grunddaten!AO432&lt;&gt;""),IF(Programme_Grunddaten!AO432="Ja",1,0),"")</f>
        <v/>
      </c>
      <c r="AH427" s="1" t="str">
        <f>IF(AND(Programme_Grunddaten!$A432="Geprüft",Programme_Grunddaten!AP432&lt;&gt;""),IF(Programme_Grunddaten!AP432="Ja",1,0),"")</f>
        <v/>
      </c>
      <c r="AI427" s="1" t="str">
        <f>IF(AND(Programme_Grunddaten!$A432="Geprüft",Programme_Grunddaten!AQ432&lt;&gt;""),IF(Programme_Grunddaten!AQ432="Ja",1,0),"")</f>
        <v/>
      </c>
      <c r="AJ427" s="1" t="str">
        <f>IF(AND(Programme_Grunddaten!$A432="Geprüft",Programme_Grunddaten!AR432&lt;&gt;""),IF(Programme_Grunddaten!AR432="Ja",1,0),"")</f>
        <v/>
      </c>
      <c r="AK427" s="1" t="str">
        <f>IF(AND(Programme_Grunddaten!$A432="Geprüft",Programme_Grunddaten!AS432&lt;&gt;""),IF(Programme_Grunddaten!AS432="Ja",1,0),"")</f>
        <v/>
      </c>
      <c r="AL427" s="1" t="str">
        <f>IF(AND(Programme_Grunddaten!$A432="Geprüft",Programme_Grunddaten!AT432&lt;&gt;""),IF(Programme_Grunddaten!AT432="Ja",1,0),"")</f>
        <v/>
      </c>
      <c r="AM427" s="1" t="str">
        <f>IF(AND(Programme_Grunddaten!$A432="Geprüft",Programme_Grunddaten!AU432&lt;&gt;""),IF(Programme_Grunddaten!AU432="Ja",1,0),"")</f>
        <v/>
      </c>
      <c r="AN427" s="1" t="str">
        <f>IF(AND(Programme_Grunddaten!$A432="Geprüft",Programme_Grunddaten!AV432&lt;&gt;""),IF(Programme_Grunddaten!AV432="Ja",1,0),"")</f>
        <v/>
      </c>
    </row>
    <row r="428" spans="1:40" x14ac:dyDescent="0.3">
      <c r="A428" s="1" t="str">
        <f>IF(AND(Programme_Grunddaten!A433="Geprüft",Programme_Grunddaten!B433&lt;&gt;""),Programme_Grunddaten!B433,"")</f>
        <v/>
      </c>
      <c r="B428" s="1" t="str">
        <f>IF(AND(Programme_Grunddaten!$A433="Geprüft",Programme_Grunddaten!I433&lt;&gt;""),IF(Programme_Grunddaten!I433="Ja",1,0),"")</f>
        <v/>
      </c>
      <c r="C428" s="1" t="str">
        <f>IF(AND(Programme_Grunddaten!$A433="Geprüft",Programme_Grunddaten!J433&lt;&gt;""),IF(Programme_Grunddaten!J433="Ja",1,0),"")</f>
        <v/>
      </c>
      <c r="D428" s="1" t="str">
        <f>IF(AND(Programme_Grunddaten!$A433="Geprüft",Programme_Grunddaten!K433&lt;&gt;""),IF(Programme_Grunddaten!K433="Ja",1,0),"")</f>
        <v/>
      </c>
      <c r="E428" s="1" t="str">
        <f>IF(AND(Programme_Grunddaten!$A433="Geprüft",Programme_Grunddaten!L433&lt;&gt;""),IF(Programme_Grunddaten!L433="Abo / befristete Lizenz",1,0),"")</f>
        <v/>
      </c>
      <c r="F428" s="1" t="str">
        <f>IF(AND(Programme_Grunddaten!$A433="Geprüft",Programme_Grunddaten!M433&lt;&gt;""),IF(Programme_Grunddaten!M433="Ja",1,0),"")</f>
        <v/>
      </c>
      <c r="G428" s="1" t="str">
        <f>IF(AND(Programme_Grunddaten!$A433="Geprüft",Programme_Grunddaten!N433&lt;&gt;""),IF(Programme_Grunddaten!N433="Ja",1,0),"")</f>
        <v/>
      </c>
      <c r="H428" s="1" t="str">
        <f>IF(AND(Programme_Grunddaten!$A433="Geprüft",Programme_Grunddaten!O433&lt;&gt;""),IF(Programme_Grunddaten!O433="Deutschland",0,IF(Programme_Grunddaten!O433="EU",1,2)),"")</f>
        <v/>
      </c>
      <c r="I428" s="1" t="str">
        <f>IF(AND(Programme_Grunddaten!$A433="Geprüft",Programme_Grunddaten!P433&lt;&gt;""),IF(Programme_Grunddaten!P433="Ja",1,0),"")</f>
        <v/>
      </c>
      <c r="J428" s="1" t="str">
        <f>IF(AND(Programme_Grunddaten!$A433="Geprüft",Programme_Grunddaten!Q433&lt;&gt;""),IF(Programme_Grunddaten!Q433="geschlossenes System",1,0),"")</f>
        <v/>
      </c>
      <c r="K428" s="1" t="str">
        <f>IF(AND(Programme_Grunddaten!$A433="Geprüft",Programme_Grunddaten!R433&lt;&gt;""),IF(Programme_Grunddaten!R433="Ja",1,0),"")</f>
        <v/>
      </c>
      <c r="L428" s="1" t="str">
        <f>IF(AND(Programme_Grunddaten!$A433="Geprüft",Programme_Grunddaten!T433&lt;&gt;""),IF(Programme_Grunddaten!T433="Ja",1,0),"")</f>
        <v/>
      </c>
      <c r="M428" s="1" t="str">
        <f>IF(AND(Programme_Grunddaten!$A433="Geprüft",Programme_Grunddaten!U433&lt;&gt;""),IF(Programme_Grunddaten!U433="Ja",1,0),"")</f>
        <v/>
      </c>
      <c r="N428" s="1" t="str">
        <f>IF(AND(Programme_Grunddaten!$A433="Geprüft",Programme_Grunddaten!V433&lt;&gt;""),IF(Programme_Grunddaten!V433="Ja",1,0),"")</f>
        <v/>
      </c>
      <c r="O428" s="1" t="str">
        <f>IF(AND(Programme_Grunddaten!$A433="Geprüft",Programme_Grunddaten!W433&lt;&gt;""),IF(Programme_Grunddaten!W433="Ja",1,0),"")</f>
        <v/>
      </c>
      <c r="P428" s="1" t="str">
        <f>IF(AND(Programme_Grunddaten!$A433="Geprüft",Programme_Grunddaten!X433&lt;&gt;""),IF(Programme_Grunddaten!X433="Ja",1,0),"")</f>
        <v/>
      </c>
      <c r="Q428" s="1" t="str">
        <f>IF(AND(Programme_Grunddaten!$A433="Geprüft",Programme_Grunddaten!Y433&lt;&gt;""),IF(Programme_Grunddaten!Y433="Ja",1,0),"")</f>
        <v/>
      </c>
      <c r="R428" s="1" t="str">
        <f>IF(AND(Programme_Grunddaten!$A433="Geprüft",Programme_Grunddaten!Z433&lt;&gt;""),IF(Programme_Grunddaten!Z433="Ja",1,0),"")</f>
        <v/>
      </c>
      <c r="S428" s="1" t="str">
        <f>IF(AND(Programme_Grunddaten!$A433="Geprüft",Programme_Grunddaten!AA433&lt;&gt;""),IF(Programme_Grunddaten!AA433="monolithisch",1,0),"")</f>
        <v/>
      </c>
      <c r="T428" s="1" t="str">
        <f>IF(AND(Programme_Grunddaten!$A433="Geprüft",Programme_Grunddaten!AB433&lt;&gt;""),IF(Programme_Grunddaten!AB433="Ja",1,0),"")</f>
        <v/>
      </c>
      <c r="U428" s="1" t="str">
        <f>IF(AND(Programme_Grunddaten!$A433="Geprüft",Programme_Grunddaten!AC433&lt;&gt;""),IF(Programme_Grunddaten!AC433="Ja",1,0),"")</f>
        <v/>
      </c>
      <c r="V428" s="1" t="str">
        <f>IF(AND(Programme_Grunddaten!$A433="Geprüft",Programme_Grunddaten!AD433&lt;&gt;""),IF(Programme_Grunddaten!AD433="Ja",1,0),"")</f>
        <v/>
      </c>
      <c r="W428" s="1" t="str">
        <f>IF(AND(Programme_Grunddaten!$A433="Geprüft",Programme_Grunddaten!AE433&lt;&gt;""),IF(Programme_Grunddaten!AE433="Ja",1,0),"")</f>
        <v/>
      </c>
      <c r="X428" s="1" t="str">
        <f>IF(AND(Programme_Grunddaten!$A433="Geprüft",Programme_Grunddaten!AF433&lt;&gt;""),IF(Programme_Grunddaten!AF433="Ja",1,0),"")</f>
        <v/>
      </c>
      <c r="Y428" s="1" t="str">
        <f>IF(AND(Programme_Grunddaten!$A433="Geprüft",Programme_Grunddaten!AG433&lt;&gt;""),IF(Programme_Grunddaten!AG433="Ja",1,0),"")</f>
        <v/>
      </c>
      <c r="Z428" s="1" t="str">
        <f>IF(AND(Programme_Grunddaten!$A433="Geprüft",Programme_Grunddaten!AH433&lt;&gt;""),IF(Programme_Grunddaten!AH433="Ja",1,0),"")</f>
        <v/>
      </c>
      <c r="AA428" s="1" t="str">
        <f>IF(AND(Programme_Grunddaten!$A433="Geprüft",Programme_Grunddaten!AI433&lt;&gt;""),IF(Programme_Grunddaten!AI433="Ja",1,0),"")</f>
        <v/>
      </c>
      <c r="AB428" s="1" t="str">
        <f>IF(AND(Programme_Grunddaten!$A433="Geprüft",Programme_Grunddaten!AJ433&lt;&gt;""),IF(Programme_Grunddaten!AJ433="individuell programmierbar",1,0),"")</f>
        <v/>
      </c>
      <c r="AC428" s="1" t="str">
        <f>IF(AND(Programme_Grunddaten!$A433="Geprüft",Programme_Grunddaten!AK433&lt;&gt;""),IF(Programme_Grunddaten!AK433="Deutsch",0,IF(Programme_Grunddaten!AK433="Deutsch und Englisch",1,2)),"")</f>
        <v/>
      </c>
      <c r="AD428" s="1" t="str">
        <f>IF(AND(Programme_Grunddaten!$A433="Geprüft",Programme_Grunddaten!AL433&lt;&gt;""),IF(Programme_Grunddaten!AL433="Ja",1,0),"")</f>
        <v/>
      </c>
      <c r="AE428" s="1" t="str">
        <f>IF(AND(Programme_Grunddaten!$A433="Geprüft",Programme_Grunddaten!AM433&lt;&gt;""),IF(Programme_Grunddaten!AM433="Ja",1,0),"")</f>
        <v/>
      </c>
      <c r="AF428" s="1" t="str">
        <f>IF(AND(Programme_Grunddaten!$A433="Geprüft",Programme_Grunddaten!AN433&lt;&gt;""),IF(Programme_Grunddaten!AN433="Ja",1,0),"")</f>
        <v/>
      </c>
      <c r="AG428" s="1" t="str">
        <f>IF(AND(Programme_Grunddaten!$A433="Geprüft",Programme_Grunddaten!AO433&lt;&gt;""),IF(Programme_Grunddaten!AO433="Ja",1,0),"")</f>
        <v/>
      </c>
      <c r="AH428" s="1" t="str">
        <f>IF(AND(Programme_Grunddaten!$A433="Geprüft",Programme_Grunddaten!AP433&lt;&gt;""),IF(Programme_Grunddaten!AP433="Ja",1,0),"")</f>
        <v/>
      </c>
      <c r="AI428" s="1" t="str">
        <f>IF(AND(Programme_Grunddaten!$A433="Geprüft",Programme_Grunddaten!AQ433&lt;&gt;""),IF(Programme_Grunddaten!AQ433="Ja",1,0),"")</f>
        <v/>
      </c>
      <c r="AJ428" s="1" t="str">
        <f>IF(AND(Programme_Grunddaten!$A433="Geprüft",Programme_Grunddaten!AR433&lt;&gt;""),IF(Programme_Grunddaten!AR433="Ja",1,0),"")</f>
        <v/>
      </c>
      <c r="AK428" s="1" t="str">
        <f>IF(AND(Programme_Grunddaten!$A433="Geprüft",Programme_Grunddaten!AS433&lt;&gt;""),IF(Programme_Grunddaten!AS433="Ja",1,0),"")</f>
        <v/>
      </c>
      <c r="AL428" s="1" t="str">
        <f>IF(AND(Programme_Grunddaten!$A433="Geprüft",Programme_Grunddaten!AT433&lt;&gt;""),IF(Programme_Grunddaten!AT433="Ja",1,0),"")</f>
        <v/>
      </c>
      <c r="AM428" s="1" t="str">
        <f>IF(AND(Programme_Grunddaten!$A433="Geprüft",Programme_Grunddaten!AU433&lt;&gt;""),IF(Programme_Grunddaten!AU433="Ja",1,0),"")</f>
        <v/>
      </c>
      <c r="AN428" s="1" t="str">
        <f>IF(AND(Programme_Grunddaten!$A433="Geprüft",Programme_Grunddaten!AV433&lt;&gt;""),IF(Programme_Grunddaten!AV433="Ja",1,0),"")</f>
        <v/>
      </c>
    </row>
    <row r="429" spans="1:40" x14ac:dyDescent="0.3">
      <c r="A429" s="1" t="str">
        <f>IF(AND(Programme_Grunddaten!A434="Geprüft",Programme_Grunddaten!B434&lt;&gt;""),Programme_Grunddaten!B434,"")</f>
        <v/>
      </c>
      <c r="B429" s="1" t="str">
        <f>IF(AND(Programme_Grunddaten!$A434="Geprüft",Programme_Grunddaten!I434&lt;&gt;""),IF(Programme_Grunddaten!I434="Ja",1,0),"")</f>
        <v/>
      </c>
      <c r="C429" s="1" t="str">
        <f>IF(AND(Programme_Grunddaten!$A434="Geprüft",Programme_Grunddaten!J434&lt;&gt;""),IF(Programme_Grunddaten!J434="Ja",1,0),"")</f>
        <v/>
      </c>
      <c r="D429" s="1" t="str">
        <f>IF(AND(Programme_Grunddaten!$A434="Geprüft",Programme_Grunddaten!K434&lt;&gt;""),IF(Programme_Grunddaten!K434="Ja",1,0),"")</f>
        <v/>
      </c>
      <c r="E429" s="1" t="str">
        <f>IF(AND(Programme_Grunddaten!$A434="Geprüft",Programme_Grunddaten!L434&lt;&gt;""),IF(Programme_Grunddaten!L434="Abo / befristete Lizenz",1,0),"")</f>
        <v/>
      </c>
      <c r="F429" s="1" t="str">
        <f>IF(AND(Programme_Grunddaten!$A434="Geprüft",Programme_Grunddaten!M434&lt;&gt;""),IF(Programme_Grunddaten!M434="Ja",1,0),"")</f>
        <v/>
      </c>
      <c r="G429" s="1" t="str">
        <f>IF(AND(Programme_Grunddaten!$A434="Geprüft",Programme_Grunddaten!N434&lt;&gt;""),IF(Programme_Grunddaten!N434="Ja",1,0),"")</f>
        <v/>
      </c>
      <c r="H429" s="1" t="str">
        <f>IF(AND(Programme_Grunddaten!$A434="Geprüft",Programme_Grunddaten!O434&lt;&gt;""),IF(Programme_Grunddaten!O434="Deutschland",0,IF(Programme_Grunddaten!O434="EU",1,2)),"")</f>
        <v/>
      </c>
      <c r="I429" s="1" t="str">
        <f>IF(AND(Programme_Grunddaten!$A434="Geprüft",Programme_Grunddaten!P434&lt;&gt;""),IF(Programme_Grunddaten!P434="Ja",1,0),"")</f>
        <v/>
      </c>
      <c r="J429" s="1" t="str">
        <f>IF(AND(Programme_Grunddaten!$A434="Geprüft",Programme_Grunddaten!Q434&lt;&gt;""),IF(Programme_Grunddaten!Q434="geschlossenes System",1,0),"")</f>
        <v/>
      </c>
      <c r="K429" s="1" t="str">
        <f>IF(AND(Programme_Grunddaten!$A434="Geprüft",Programme_Grunddaten!R434&lt;&gt;""),IF(Programme_Grunddaten!R434="Ja",1,0),"")</f>
        <v/>
      </c>
      <c r="L429" s="1" t="str">
        <f>IF(AND(Programme_Grunddaten!$A434="Geprüft",Programme_Grunddaten!T434&lt;&gt;""),IF(Programme_Grunddaten!T434="Ja",1,0),"")</f>
        <v/>
      </c>
      <c r="M429" s="1" t="str">
        <f>IF(AND(Programme_Grunddaten!$A434="Geprüft",Programme_Grunddaten!U434&lt;&gt;""),IF(Programme_Grunddaten!U434="Ja",1,0),"")</f>
        <v/>
      </c>
      <c r="N429" s="1" t="str">
        <f>IF(AND(Programme_Grunddaten!$A434="Geprüft",Programme_Grunddaten!V434&lt;&gt;""),IF(Programme_Grunddaten!V434="Ja",1,0),"")</f>
        <v/>
      </c>
      <c r="O429" s="1" t="str">
        <f>IF(AND(Programme_Grunddaten!$A434="Geprüft",Programme_Grunddaten!W434&lt;&gt;""),IF(Programme_Grunddaten!W434="Ja",1,0),"")</f>
        <v/>
      </c>
      <c r="P429" s="1" t="str">
        <f>IF(AND(Programme_Grunddaten!$A434="Geprüft",Programme_Grunddaten!X434&lt;&gt;""),IF(Programme_Grunddaten!X434="Ja",1,0),"")</f>
        <v/>
      </c>
      <c r="Q429" s="1" t="str">
        <f>IF(AND(Programme_Grunddaten!$A434="Geprüft",Programme_Grunddaten!Y434&lt;&gt;""),IF(Programme_Grunddaten!Y434="Ja",1,0),"")</f>
        <v/>
      </c>
      <c r="R429" s="1" t="str">
        <f>IF(AND(Programme_Grunddaten!$A434="Geprüft",Programme_Grunddaten!Z434&lt;&gt;""),IF(Programme_Grunddaten!Z434="Ja",1,0),"")</f>
        <v/>
      </c>
      <c r="S429" s="1" t="str">
        <f>IF(AND(Programme_Grunddaten!$A434="Geprüft",Programme_Grunddaten!AA434&lt;&gt;""),IF(Programme_Grunddaten!AA434="monolithisch",1,0),"")</f>
        <v/>
      </c>
      <c r="T429" s="1" t="str">
        <f>IF(AND(Programme_Grunddaten!$A434="Geprüft",Programme_Grunddaten!AB434&lt;&gt;""),IF(Programme_Grunddaten!AB434="Ja",1,0),"")</f>
        <v/>
      </c>
      <c r="U429" s="1" t="str">
        <f>IF(AND(Programme_Grunddaten!$A434="Geprüft",Programme_Grunddaten!AC434&lt;&gt;""),IF(Programme_Grunddaten!AC434="Ja",1,0),"")</f>
        <v/>
      </c>
      <c r="V429" s="1" t="str">
        <f>IF(AND(Programme_Grunddaten!$A434="Geprüft",Programme_Grunddaten!AD434&lt;&gt;""),IF(Programme_Grunddaten!AD434="Ja",1,0),"")</f>
        <v/>
      </c>
      <c r="W429" s="1" t="str">
        <f>IF(AND(Programme_Grunddaten!$A434="Geprüft",Programme_Grunddaten!AE434&lt;&gt;""),IF(Programme_Grunddaten!AE434="Ja",1,0),"")</f>
        <v/>
      </c>
      <c r="X429" s="1" t="str">
        <f>IF(AND(Programme_Grunddaten!$A434="Geprüft",Programme_Grunddaten!AF434&lt;&gt;""),IF(Programme_Grunddaten!AF434="Ja",1,0),"")</f>
        <v/>
      </c>
      <c r="Y429" s="1" t="str">
        <f>IF(AND(Programme_Grunddaten!$A434="Geprüft",Programme_Grunddaten!AG434&lt;&gt;""),IF(Programme_Grunddaten!AG434="Ja",1,0),"")</f>
        <v/>
      </c>
      <c r="Z429" s="1" t="str">
        <f>IF(AND(Programme_Grunddaten!$A434="Geprüft",Programme_Grunddaten!AH434&lt;&gt;""),IF(Programme_Grunddaten!AH434="Ja",1,0),"")</f>
        <v/>
      </c>
      <c r="AA429" s="1" t="str">
        <f>IF(AND(Programme_Grunddaten!$A434="Geprüft",Programme_Grunddaten!AI434&lt;&gt;""),IF(Programme_Grunddaten!AI434="Ja",1,0),"")</f>
        <v/>
      </c>
      <c r="AB429" s="1" t="str">
        <f>IF(AND(Programme_Grunddaten!$A434="Geprüft",Programme_Grunddaten!AJ434&lt;&gt;""),IF(Programme_Grunddaten!AJ434="individuell programmierbar",1,0),"")</f>
        <v/>
      </c>
      <c r="AC429" s="1" t="str">
        <f>IF(AND(Programme_Grunddaten!$A434="Geprüft",Programme_Grunddaten!AK434&lt;&gt;""),IF(Programme_Grunddaten!AK434="Deutsch",0,IF(Programme_Grunddaten!AK434="Deutsch und Englisch",1,2)),"")</f>
        <v/>
      </c>
      <c r="AD429" s="1" t="str">
        <f>IF(AND(Programme_Grunddaten!$A434="Geprüft",Programme_Grunddaten!AL434&lt;&gt;""),IF(Programme_Grunddaten!AL434="Ja",1,0),"")</f>
        <v/>
      </c>
      <c r="AE429" s="1" t="str">
        <f>IF(AND(Programme_Grunddaten!$A434="Geprüft",Programme_Grunddaten!AM434&lt;&gt;""),IF(Programme_Grunddaten!AM434="Ja",1,0),"")</f>
        <v/>
      </c>
      <c r="AF429" s="1" t="str">
        <f>IF(AND(Programme_Grunddaten!$A434="Geprüft",Programme_Grunddaten!AN434&lt;&gt;""),IF(Programme_Grunddaten!AN434="Ja",1,0),"")</f>
        <v/>
      </c>
      <c r="AG429" s="1" t="str">
        <f>IF(AND(Programme_Grunddaten!$A434="Geprüft",Programme_Grunddaten!AO434&lt;&gt;""),IF(Programme_Grunddaten!AO434="Ja",1,0),"")</f>
        <v/>
      </c>
      <c r="AH429" s="1" t="str">
        <f>IF(AND(Programme_Grunddaten!$A434="Geprüft",Programme_Grunddaten!AP434&lt;&gt;""),IF(Programme_Grunddaten!AP434="Ja",1,0),"")</f>
        <v/>
      </c>
      <c r="AI429" s="1" t="str">
        <f>IF(AND(Programme_Grunddaten!$A434="Geprüft",Programme_Grunddaten!AQ434&lt;&gt;""),IF(Programme_Grunddaten!AQ434="Ja",1,0),"")</f>
        <v/>
      </c>
      <c r="AJ429" s="1" t="str">
        <f>IF(AND(Programme_Grunddaten!$A434="Geprüft",Programme_Grunddaten!AR434&lt;&gt;""),IF(Programme_Grunddaten!AR434="Ja",1,0),"")</f>
        <v/>
      </c>
      <c r="AK429" s="1" t="str">
        <f>IF(AND(Programme_Grunddaten!$A434="Geprüft",Programme_Grunddaten!AS434&lt;&gt;""),IF(Programme_Grunddaten!AS434="Ja",1,0),"")</f>
        <v/>
      </c>
      <c r="AL429" s="1" t="str">
        <f>IF(AND(Programme_Grunddaten!$A434="Geprüft",Programme_Grunddaten!AT434&lt;&gt;""),IF(Programme_Grunddaten!AT434="Ja",1,0),"")</f>
        <v/>
      </c>
      <c r="AM429" s="1" t="str">
        <f>IF(AND(Programme_Grunddaten!$A434="Geprüft",Programme_Grunddaten!AU434&lt;&gt;""),IF(Programme_Grunddaten!AU434="Ja",1,0),"")</f>
        <v/>
      </c>
      <c r="AN429" s="1" t="str">
        <f>IF(AND(Programme_Grunddaten!$A434="Geprüft",Programme_Grunddaten!AV434&lt;&gt;""),IF(Programme_Grunddaten!AV434="Ja",1,0),"")</f>
        <v/>
      </c>
    </row>
    <row r="430" spans="1:40" x14ac:dyDescent="0.3">
      <c r="A430" s="1" t="str">
        <f>IF(AND(Programme_Grunddaten!A435="Geprüft",Programme_Grunddaten!B435&lt;&gt;""),Programme_Grunddaten!B435,"")</f>
        <v/>
      </c>
      <c r="B430" s="1" t="str">
        <f>IF(AND(Programme_Grunddaten!$A435="Geprüft",Programme_Grunddaten!I435&lt;&gt;""),IF(Programme_Grunddaten!I435="Ja",1,0),"")</f>
        <v/>
      </c>
      <c r="C430" s="1" t="str">
        <f>IF(AND(Programme_Grunddaten!$A435="Geprüft",Programme_Grunddaten!J435&lt;&gt;""),IF(Programme_Grunddaten!J435="Ja",1,0),"")</f>
        <v/>
      </c>
      <c r="D430" s="1" t="str">
        <f>IF(AND(Programme_Grunddaten!$A435="Geprüft",Programme_Grunddaten!K435&lt;&gt;""),IF(Programme_Grunddaten!K435="Ja",1,0),"")</f>
        <v/>
      </c>
      <c r="E430" s="1" t="str">
        <f>IF(AND(Programme_Grunddaten!$A435="Geprüft",Programme_Grunddaten!L435&lt;&gt;""),IF(Programme_Grunddaten!L435="Abo / befristete Lizenz",1,0),"")</f>
        <v/>
      </c>
      <c r="F430" s="1" t="str">
        <f>IF(AND(Programme_Grunddaten!$A435="Geprüft",Programme_Grunddaten!M435&lt;&gt;""),IF(Programme_Grunddaten!M435="Ja",1,0),"")</f>
        <v/>
      </c>
      <c r="G430" s="1" t="str">
        <f>IF(AND(Programme_Grunddaten!$A435="Geprüft",Programme_Grunddaten!N435&lt;&gt;""),IF(Programme_Grunddaten!N435="Ja",1,0),"")</f>
        <v/>
      </c>
      <c r="H430" s="1" t="str">
        <f>IF(AND(Programme_Grunddaten!$A435="Geprüft",Programme_Grunddaten!O435&lt;&gt;""),IF(Programme_Grunddaten!O435="Deutschland",0,IF(Programme_Grunddaten!O435="EU",1,2)),"")</f>
        <v/>
      </c>
      <c r="I430" s="1" t="str">
        <f>IF(AND(Programme_Grunddaten!$A435="Geprüft",Programme_Grunddaten!P435&lt;&gt;""),IF(Programme_Grunddaten!P435="Ja",1,0),"")</f>
        <v/>
      </c>
      <c r="J430" s="1" t="str">
        <f>IF(AND(Programme_Grunddaten!$A435="Geprüft",Programme_Grunddaten!Q435&lt;&gt;""),IF(Programme_Grunddaten!Q435="geschlossenes System",1,0),"")</f>
        <v/>
      </c>
      <c r="K430" s="1" t="str">
        <f>IF(AND(Programme_Grunddaten!$A435="Geprüft",Programme_Grunddaten!R435&lt;&gt;""),IF(Programme_Grunddaten!R435="Ja",1,0),"")</f>
        <v/>
      </c>
      <c r="L430" s="1" t="str">
        <f>IF(AND(Programme_Grunddaten!$A435="Geprüft",Programme_Grunddaten!T435&lt;&gt;""),IF(Programme_Grunddaten!T435="Ja",1,0),"")</f>
        <v/>
      </c>
      <c r="M430" s="1" t="str">
        <f>IF(AND(Programme_Grunddaten!$A435="Geprüft",Programme_Grunddaten!U435&lt;&gt;""),IF(Programme_Grunddaten!U435="Ja",1,0),"")</f>
        <v/>
      </c>
      <c r="N430" s="1" t="str">
        <f>IF(AND(Programme_Grunddaten!$A435="Geprüft",Programme_Grunddaten!V435&lt;&gt;""),IF(Programme_Grunddaten!V435="Ja",1,0),"")</f>
        <v/>
      </c>
      <c r="O430" s="1" t="str">
        <f>IF(AND(Programme_Grunddaten!$A435="Geprüft",Programme_Grunddaten!W435&lt;&gt;""),IF(Programme_Grunddaten!W435="Ja",1,0),"")</f>
        <v/>
      </c>
      <c r="P430" s="1" t="str">
        <f>IF(AND(Programme_Grunddaten!$A435="Geprüft",Programme_Grunddaten!X435&lt;&gt;""),IF(Programme_Grunddaten!X435="Ja",1,0),"")</f>
        <v/>
      </c>
      <c r="Q430" s="1" t="str">
        <f>IF(AND(Programme_Grunddaten!$A435="Geprüft",Programme_Grunddaten!Y435&lt;&gt;""),IF(Programme_Grunddaten!Y435="Ja",1,0),"")</f>
        <v/>
      </c>
      <c r="R430" s="1" t="str">
        <f>IF(AND(Programme_Grunddaten!$A435="Geprüft",Programme_Grunddaten!Z435&lt;&gt;""),IF(Programme_Grunddaten!Z435="Ja",1,0),"")</f>
        <v/>
      </c>
      <c r="S430" s="1" t="str">
        <f>IF(AND(Programme_Grunddaten!$A435="Geprüft",Programme_Grunddaten!AA435&lt;&gt;""),IF(Programme_Grunddaten!AA435="monolithisch",1,0),"")</f>
        <v/>
      </c>
      <c r="T430" s="1" t="str">
        <f>IF(AND(Programme_Grunddaten!$A435="Geprüft",Programme_Grunddaten!AB435&lt;&gt;""),IF(Programme_Grunddaten!AB435="Ja",1,0),"")</f>
        <v/>
      </c>
      <c r="U430" s="1" t="str">
        <f>IF(AND(Programme_Grunddaten!$A435="Geprüft",Programme_Grunddaten!AC435&lt;&gt;""),IF(Programme_Grunddaten!AC435="Ja",1,0),"")</f>
        <v/>
      </c>
      <c r="V430" s="1" t="str">
        <f>IF(AND(Programme_Grunddaten!$A435="Geprüft",Programme_Grunddaten!AD435&lt;&gt;""),IF(Programme_Grunddaten!AD435="Ja",1,0),"")</f>
        <v/>
      </c>
      <c r="W430" s="1" t="str">
        <f>IF(AND(Programme_Grunddaten!$A435="Geprüft",Programme_Grunddaten!AE435&lt;&gt;""),IF(Programme_Grunddaten!AE435="Ja",1,0),"")</f>
        <v/>
      </c>
      <c r="X430" s="1" t="str">
        <f>IF(AND(Programme_Grunddaten!$A435="Geprüft",Programme_Grunddaten!AF435&lt;&gt;""),IF(Programme_Grunddaten!AF435="Ja",1,0),"")</f>
        <v/>
      </c>
      <c r="Y430" s="1" t="str">
        <f>IF(AND(Programme_Grunddaten!$A435="Geprüft",Programme_Grunddaten!AG435&lt;&gt;""),IF(Programme_Grunddaten!AG435="Ja",1,0),"")</f>
        <v/>
      </c>
      <c r="Z430" s="1" t="str">
        <f>IF(AND(Programme_Grunddaten!$A435="Geprüft",Programme_Grunddaten!AH435&lt;&gt;""),IF(Programme_Grunddaten!AH435="Ja",1,0),"")</f>
        <v/>
      </c>
      <c r="AA430" s="1" t="str">
        <f>IF(AND(Programme_Grunddaten!$A435="Geprüft",Programme_Grunddaten!AI435&lt;&gt;""),IF(Programme_Grunddaten!AI435="Ja",1,0),"")</f>
        <v/>
      </c>
      <c r="AB430" s="1" t="str">
        <f>IF(AND(Programme_Grunddaten!$A435="Geprüft",Programme_Grunddaten!AJ435&lt;&gt;""),IF(Programme_Grunddaten!AJ435="individuell programmierbar",1,0),"")</f>
        <v/>
      </c>
      <c r="AC430" s="1" t="str">
        <f>IF(AND(Programme_Grunddaten!$A435="Geprüft",Programme_Grunddaten!AK435&lt;&gt;""),IF(Programme_Grunddaten!AK435="Deutsch",0,IF(Programme_Grunddaten!AK435="Deutsch und Englisch",1,2)),"")</f>
        <v/>
      </c>
      <c r="AD430" s="1" t="str">
        <f>IF(AND(Programme_Grunddaten!$A435="Geprüft",Programme_Grunddaten!AL435&lt;&gt;""),IF(Programme_Grunddaten!AL435="Ja",1,0),"")</f>
        <v/>
      </c>
      <c r="AE430" s="1" t="str">
        <f>IF(AND(Programme_Grunddaten!$A435="Geprüft",Programme_Grunddaten!AM435&lt;&gt;""),IF(Programme_Grunddaten!AM435="Ja",1,0),"")</f>
        <v/>
      </c>
      <c r="AF430" s="1" t="str">
        <f>IF(AND(Programme_Grunddaten!$A435="Geprüft",Programme_Grunddaten!AN435&lt;&gt;""),IF(Programme_Grunddaten!AN435="Ja",1,0),"")</f>
        <v/>
      </c>
      <c r="AG430" s="1" t="str">
        <f>IF(AND(Programme_Grunddaten!$A435="Geprüft",Programme_Grunddaten!AO435&lt;&gt;""),IF(Programme_Grunddaten!AO435="Ja",1,0),"")</f>
        <v/>
      </c>
      <c r="AH430" s="1" t="str">
        <f>IF(AND(Programme_Grunddaten!$A435="Geprüft",Programme_Grunddaten!AP435&lt;&gt;""),IF(Programme_Grunddaten!AP435="Ja",1,0),"")</f>
        <v/>
      </c>
      <c r="AI430" s="1" t="str">
        <f>IF(AND(Programme_Grunddaten!$A435="Geprüft",Programme_Grunddaten!AQ435&lt;&gt;""),IF(Programme_Grunddaten!AQ435="Ja",1,0),"")</f>
        <v/>
      </c>
      <c r="AJ430" s="1" t="str">
        <f>IF(AND(Programme_Grunddaten!$A435="Geprüft",Programme_Grunddaten!AR435&lt;&gt;""),IF(Programme_Grunddaten!AR435="Ja",1,0),"")</f>
        <v/>
      </c>
      <c r="AK430" s="1" t="str">
        <f>IF(AND(Programme_Grunddaten!$A435="Geprüft",Programme_Grunddaten!AS435&lt;&gt;""),IF(Programme_Grunddaten!AS435="Ja",1,0),"")</f>
        <v/>
      </c>
      <c r="AL430" s="1" t="str">
        <f>IF(AND(Programme_Grunddaten!$A435="Geprüft",Programme_Grunddaten!AT435&lt;&gt;""),IF(Programme_Grunddaten!AT435="Ja",1,0),"")</f>
        <v/>
      </c>
      <c r="AM430" s="1" t="str">
        <f>IF(AND(Programme_Grunddaten!$A435="Geprüft",Programme_Grunddaten!AU435&lt;&gt;""),IF(Programme_Grunddaten!AU435="Ja",1,0),"")</f>
        <v/>
      </c>
      <c r="AN430" s="1" t="str">
        <f>IF(AND(Programme_Grunddaten!$A435="Geprüft",Programme_Grunddaten!AV435&lt;&gt;""),IF(Programme_Grunddaten!AV435="Ja",1,0),"")</f>
        <v/>
      </c>
    </row>
    <row r="431" spans="1:40" x14ac:dyDescent="0.3">
      <c r="A431" s="1" t="str">
        <f>IF(AND(Programme_Grunddaten!A436="Geprüft",Programme_Grunddaten!B436&lt;&gt;""),Programme_Grunddaten!B436,"")</f>
        <v/>
      </c>
      <c r="B431" s="1" t="str">
        <f>IF(AND(Programme_Grunddaten!$A436="Geprüft",Programme_Grunddaten!I436&lt;&gt;""),IF(Programme_Grunddaten!I436="Ja",1,0),"")</f>
        <v/>
      </c>
      <c r="C431" s="1" t="str">
        <f>IF(AND(Programme_Grunddaten!$A436="Geprüft",Programme_Grunddaten!J436&lt;&gt;""),IF(Programme_Grunddaten!J436="Ja",1,0),"")</f>
        <v/>
      </c>
      <c r="D431" s="1" t="str">
        <f>IF(AND(Programme_Grunddaten!$A436="Geprüft",Programme_Grunddaten!K436&lt;&gt;""),IF(Programme_Grunddaten!K436="Ja",1,0),"")</f>
        <v/>
      </c>
      <c r="E431" s="1" t="str">
        <f>IF(AND(Programme_Grunddaten!$A436="Geprüft",Programme_Grunddaten!L436&lt;&gt;""),IF(Programme_Grunddaten!L436="Abo / befristete Lizenz",1,0),"")</f>
        <v/>
      </c>
      <c r="F431" s="1" t="str">
        <f>IF(AND(Programme_Grunddaten!$A436="Geprüft",Programme_Grunddaten!M436&lt;&gt;""),IF(Programme_Grunddaten!M436="Ja",1,0),"")</f>
        <v/>
      </c>
      <c r="G431" s="1" t="str">
        <f>IF(AND(Programme_Grunddaten!$A436="Geprüft",Programme_Grunddaten!N436&lt;&gt;""),IF(Programme_Grunddaten!N436="Ja",1,0),"")</f>
        <v/>
      </c>
      <c r="H431" s="1" t="str">
        <f>IF(AND(Programme_Grunddaten!$A436="Geprüft",Programme_Grunddaten!O436&lt;&gt;""),IF(Programme_Grunddaten!O436="Deutschland",0,IF(Programme_Grunddaten!O436="EU",1,2)),"")</f>
        <v/>
      </c>
      <c r="I431" s="1" t="str">
        <f>IF(AND(Programme_Grunddaten!$A436="Geprüft",Programme_Grunddaten!P436&lt;&gt;""),IF(Programme_Grunddaten!P436="Ja",1,0),"")</f>
        <v/>
      </c>
      <c r="J431" s="1" t="str">
        <f>IF(AND(Programme_Grunddaten!$A436="Geprüft",Programme_Grunddaten!Q436&lt;&gt;""),IF(Programme_Grunddaten!Q436="geschlossenes System",1,0),"")</f>
        <v/>
      </c>
      <c r="K431" s="1" t="str">
        <f>IF(AND(Programme_Grunddaten!$A436="Geprüft",Programme_Grunddaten!R436&lt;&gt;""),IF(Programme_Grunddaten!R436="Ja",1,0),"")</f>
        <v/>
      </c>
      <c r="L431" s="1" t="str">
        <f>IF(AND(Programme_Grunddaten!$A436="Geprüft",Programme_Grunddaten!T436&lt;&gt;""),IF(Programme_Grunddaten!T436="Ja",1,0),"")</f>
        <v/>
      </c>
      <c r="M431" s="1" t="str">
        <f>IF(AND(Programme_Grunddaten!$A436="Geprüft",Programme_Grunddaten!U436&lt;&gt;""),IF(Programme_Grunddaten!U436="Ja",1,0),"")</f>
        <v/>
      </c>
      <c r="N431" s="1" t="str">
        <f>IF(AND(Programme_Grunddaten!$A436="Geprüft",Programme_Grunddaten!V436&lt;&gt;""),IF(Programme_Grunddaten!V436="Ja",1,0),"")</f>
        <v/>
      </c>
      <c r="O431" s="1" t="str">
        <f>IF(AND(Programme_Grunddaten!$A436="Geprüft",Programme_Grunddaten!W436&lt;&gt;""),IF(Programme_Grunddaten!W436="Ja",1,0),"")</f>
        <v/>
      </c>
      <c r="P431" s="1" t="str">
        <f>IF(AND(Programme_Grunddaten!$A436="Geprüft",Programme_Grunddaten!X436&lt;&gt;""),IF(Programme_Grunddaten!X436="Ja",1,0),"")</f>
        <v/>
      </c>
      <c r="Q431" s="1" t="str">
        <f>IF(AND(Programme_Grunddaten!$A436="Geprüft",Programme_Grunddaten!Y436&lt;&gt;""),IF(Programme_Grunddaten!Y436="Ja",1,0),"")</f>
        <v/>
      </c>
      <c r="R431" s="1" t="str">
        <f>IF(AND(Programme_Grunddaten!$A436="Geprüft",Programme_Grunddaten!Z436&lt;&gt;""),IF(Programme_Grunddaten!Z436="Ja",1,0),"")</f>
        <v/>
      </c>
      <c r="S431" s="1" t="str">
        <f>IF(AND(Programme_Grunddaten!$A436="Geprüft",Programme_Grunddaten!AA436&lt;&gt;""),IF(Programme_Grunddaten!AA436="monolithisch",1,0),"")</f>
        <v/>
      </c>
      <c r="T431" s="1" t="str">
        <f>IF(AND(Programme_Grunddaten!$A436="Geprüft",Programme_Grunddaten!AB436&lt;&gt;""),IF(Programme_Grunddaten!AB436="Ja",1,0),"")</f>
        <v/>
      </c>
      <c r="U431" s="1" t="str">
        <f>IF(AND(Programme_Grunddaten!$A436="Geprüft",Programme_Grunddaten!AC436&lt;&gt;""),IF(Programme_Grunddaten!AC436="Ja",1,0),"")</f>
        <v/>
      </c>
      <c r="V431" s="1" t="str">
        <f>IF(AND(Programme_Grunddaten!$A436="Geprüft",Programme_Grunddaten!AD436&lt;&gt;""),IF(Programme_Grunddaten!AD436="Ja",1,0),"")</f>
        <v/>
      </c>
      <c r="W431" s="1" t="str">
        <f>IF(AND(Programme_Grunddaten!$A436="Geprüft",Programme_Grunddaten!AE436&lt;&gt;""),IF(Programme_Grunddaten!AE436="Ja",1,0),"")</f>
        <v/>
      </c>
      <c r="X431" s="1" t="str">
        <f>IF(AND(Programme_Grunddaten!$A436="Geprüft",Programme_Grunddaten!AF436&lt;&gt;""),IF(Programme_Grunddaten!AF436="Ja",1,0),"")</f>
        <v/>
      </c>
      <c r="Y431" s="1" t="str">
        <f>IF(AND(Programme_Grunddaten!$A436="Geprüft",Programme_Grunddaten!AG436&lt;&gt;""),IF(Programme_Grunddaten!AG436="Ja",1,0),"")</f>
        <v/>
      </c>
      <c r="Z431" s="1" t="str">
        <f>IF(AND(Programme_Grunddaten!$A436="Geprüft",Programme_Grunddaten!AH436&lt;&gt;""),IF(Programme_Grunddaten!AH436="Ja",1,0),"")</f>
        <v/>
      </c>
      <c r="AA431" s="1" t="str">
        <f>IF(AND(Programme_Grunddaten!$A436="Geprüft",Programme_Grunddaten!AI436&lt;&gt;""),IF(Programme_Grunddaten!AI436="Ja",1,0),"")</f>
        <v/>
      </c>
      <c r="AB431" s="1" t="str">
        <f>IF(AND(Programme_Grunddaten!$A436="Geprüft",Programme_Grunddaten!AJ436&lt;&gt;""),IF(Programme_Grunddaten!AJ436="individuell programmierbar",1,0),"")</f>
        <v/>
      </c>
      <c r="AC431" s="1" t="str">
        <f>IF(AND(Programme_Grunddaten!$A436="Geprüft",Programme_Grunddaten!AK436&lt;&gt;""),IF(Programme_Grunddaten!AK436="Deutsch",0,IF(Programme_Grunddaten!AK436="Deutsch und Englisch",1,2)),"")</f>
        <v/>
      </c>
      <c r="AD431" s="1" t="str">
        <f>IF(AND(Programme_Grunddaten!$A436="Geprüft",Programme_Grunddaten!AL436&lt;&gt;""),IF(Programme_Grunddaten!AL436="Ja",1,0),"")</f>
        <v/>
      </c>
      <c r="AE431" s="1" t="str">
        <f>IF(AND(Programme_Grunddaten!$A436="Geprüft",Programme_Grunddaten!AM436&lt;&gt;""),IF(Programme_Grunddaten!AM436="Ja",1,0),"")</f>
        <v/>
      </c>
      <c r="AF431" s="1" t="str">
        <f>IF(AND(Programme_Grunddaten!$A436="Geprüft",Programme_Grunddaten!AN436&lt;&gt;""),IF(Programme_Grunddaten!AN436="Ja",1,0),"")</f>
        <v/>
      </c>
      <c r="AG431" s="1" t="str">
        <f>IF(AND(Programme_Grunddaten!$A436="Geprüft",Programme_Grunddaten!AO436&lt;&gt;""),IF(Programme_Grunddaten!AO436="Ja",1,0),"")</f>
        <v/>
      </c>
      <c r="AH431" s="1" t="str">
        <f>IF(AND(Programme_Grunddaten!$A436="Geprüft",Programme_Grunddaten!AP436&lt;&gt;""),IF(Programme_Grunddaten!AP436="Ja",1,0),"")</f>
        <v/>
      </c>
      <c r="AI431" s="1" t="str">
        <f>IF(AND(Programme_Grunddaten!$A436="Geprüft",Programme_Grunddaten!AQ436&lt;&gt;""),IF(Programme_Grunddaten!AQ436="Ja",1,0),"")</f>
        <v/>
      </c>
      <c r="AJ431" s="1" t="str">
        <f>IF(AND(Programme_Grunddaten!$A436="Geprüft",Programme_Grunddaten!AR436&lt;&gt;""),IF(Programme_Grunddaten!AR436="Ja",1,0),"")</f>
        <v/>
      </c>
      <c r="AK431" s="1" t="str">
        <f>IF(AND(Programme_Grunddaten!$A436="Geprüft",Programme_Grunddaten!AS436&lt;&gt;""),IF(Programme_Grunddaten!AS436="Ja",1,0),"")</f>
        <v/>
      </c>
      <c r="AL431" s="1" t="str">
        <f>IF(AND(Programme_Grunddaten!$A436="Geprüft",Programme_Grunddaten!AT436&lt;&gt;""),IF(Programme_Grunddaten!AT436="Ja",1,0),"")</f>
        <v/>
      </c>
      <c r="AM431" s="1" t="str">
        <f>IF(AND(Programme_Grunddaten!$A436="Geprüft",Programme_Grunddaten!AU436&lt;&gt;""),IF(Programme_Grunddaten!AU436="Ja",1,0),"")</f>
        <v/>
      </c>
      <c r="AN431" s="1" t="str">
        <f>IF(AND(Programme_Grunddaten!$A436="Geprüft",Programme_Grunddaten!AV436&lt;&gt;""),IF(Programme_Grunddaten!AV436="Ja",1,0),"")</f>
        <v/>
      </c>
    </row>
    <row r="432" spans="1:40" x14ac:dyDescent="0.3">
      <c r="A432" s="1" t="str">
        <f>IF(AND(Programme_Grunddaten!A437="Geprüft",Programme_Grunddaten!B437&lt;&gt;""),Programme_Grunddaten!B437,"")</f>
        <v/>
      </c>
      <c r="B432" s="1" t="str">
        <f>IF(AND(Programme_Grunddaten!$A437="Geprüft",Programme_Grunddaten!I437&lt;&gt;""),IF(Programme_Grunddaten!I437="Ja",1,0),"")</f>
        <v/>
      </c>
      <c r="C432" s="1" t="str">
        <f>IF(AND(Programme_Grunddaten!$A437="Geprüft",Programme_Grunddaten!J437&lt;&gt;""),IF(Programme_Grunddaten!J437="Ja",1,0),"")</f>
        <v/>
      </c>
      <c r="D432" s="1" t="str">
        <f>IF(AND(Programme_Grunddaten!$A437="Geprüft",Programme_Grunddaten!K437&lt;&gt;""),IF(Programme_Grunddaten!K437="Ja",1,0),"")</f>
        <v/>
      </c>
      <c r="E432" s="1" t="str">
        <f>IF(AND(Programme_Grunddaten!$A437="Geprüft",Programme_Grunddaten!L437&lt;&gt;""),IF(Programme_Grunddaten!L437="Abo / befristete Lizenz",1,0),"")</f>
        <v/>
      </c>
      <c r="F432" s="1" t="str">
        <f>IF(AND(Programme_Grunddaten!$A437="Geprüft",Programme_Grunddaten!M437&lt;&gt;""),IF(Programme_Grunddaten!M437="Ja",1,0),"")</f>
        <v/>
      </c>
      <c r="G432" s="1" t="str">
        <f>IF(AND(Programme_Grunddaten!$A437="Geprüft",Programme_Grunddaten!N437&lt;&gt;""),IF(Programme_Grunddaten!N437="Ja",1,0),"")</f>
        <v/>
      </c>
      <c r="H432" s="1" t="str">
        <f>IF(AND(Programme_Grunddaten!$A437="Geprüft",Programme_Grunddaten!O437&lt;&gt;""),IF(Programme_Grunddaten!O437="Deutschland",0,IF(Programme_Grunddaten!O437="EU",1,2)),"")</f>
        <v/>
      </c>
      <c r="I432" s="1" t="str">
        <f>IF(AND(Programme_Grunddaten!$A437="Geprüft",Programme_Grunddaten!P437&lt;&gt;""),IF(Programme_Grunddaten!P437="Ja",1,0),"")</f>
        <v/>
      </c>
      <c r="J432" s="1" t="str">
        <f>IF(AND(Programme_Grunddaten!$A437="Geprüft",Programme_Grunddaten!Q437&lt;&gt;""),IF(Programme_Grunddaten!Q437="geschlossenes System",1,0),"")</f>
        <v/>
      </c>
      <c r="K432" s="1" t="str">
        <f>IF(AND(Programme_Grunddaten!$A437="Geprüft",Programme_Grunddaten!R437&lt;&gt;""),IF(Programme_Grunddaten!R437="Ja",1,0),"")</f>
        <v/>
      </c>
      <c r="L432" s="1" t="str">
        <f>IF(AND(Programme_Grunddaten!$A437="Geprüft",Programme_Grunddaten!T437&lt;&gt;""),IF(Programme_Grunddaten!T437="Ja",1,0),"")</f>
        <v/>
      </c>
      <c r="M432" s="1" t="str">
        <f>IF(AND(Programme_Grunddaten!$A437="Geprüft",Programme_Grunddaten!U437&lt;&gt;""),IF(Programme_Grunddaten!U437="Ja",1,0),"")</f>
        <v/>
      </c>
      <c r="N432" s="1" t="str">
        <f>IF(AND(Programme_Grunddaten!$A437="Geprüft",Programme_Grunddaten!V437&lt;&gt;""),IF(Programme_Grunddaten!V437="Ja",1,0),"")</f>
        <v/>
      </c>
      <c r="O432" s="1" t="str">
        <f>IF(AND(Programme_Grunddaten!$A437="Geprüft",Programme_Grunddaten!W437&lt;&gt;""),IF(Programme_Grunddaten!W437="Ja",1,0),"")</f>
        <v/>
      </c>
      <c r="P432" s="1" t="str">
        <f>IF(AND(Programme_Grunddaten!$A437="Geprüft",Programme_Grunddaten!X437&lt;&gt;""),IF(Programme_Grunddaten!X437="Ja",1,0),"")</f>
        <v/>
      </c>
      <c r="Q432" s="1" t="str">
        <f>IF(AND(Programme_Grunddaten!$A437="Geprüft",Programme_Grunddaten!Y437&lt;&gt;""),IF(Programme_Grunddaten!Y437="Ja",1,0),"")</f>
        <v/>
      </c>
      <c r="R432" s="1" t="str">
        <f>IF(AND(Programme_Grunddaten!$A437="Geprüft",Programme_Grunddaten!Z437&lt;&gt;""),IF(Programme_Grunddaten!Z437="Ja",1,0),"")</f>
        <v/>
      </c>
      <c r="S432" s="1" t="str">
        <f>IF(AND(Programme_Grunddaten!$A437="Geprüft",Programme_Grunddaten!AA437&lt;&gt;""),IF(Programme_Grunddaten!AA437="monolithisch",1,0),"")</f>
        <v/>
      </c>
      <c r="T432" s="1" t="str">
        <f>IF(AND(Programme_Grunddaten!$A437="Geprüft",Programme_Grunddaten!AB437&lt;&gt;""),IF(Programme_Grunddaten!AB437="Ja",1,0),"")</f>
        <v/>
      </c>
      <c r="U432" s="1" t="str">
        <f>IF(AND(Programme_Grunddaten!$A437="Geprüft",Programme_Grunddaten!AC437&lt;&gt;""),IF(Programme_Grunddaten!AC437="Ja",1,0),"")</f>
        <v/>
      </c>
      <c r="V432" s="1" t="str">
        <f>IF(AND(Programme_Grunddaten!$A437="Geprüft",Programme_Grunddaten!AD437&lt;&gt;""),IF(Programme_Grunddaten!AD437="Ja",1,0),"")</f>
        <v/>
      </c>
      <c r="W432" s="1" t="str">
        <f>IF(AND(Programme_Grunddaten!$A437="Geprüft",Programme_Grunddaten!AE437&lt;&gt;""),IF(Programme_Grunddaten!AE437="Ja",1,0),"")</f>
        <v/>
      </c>
      <c r="X432" s="1" t="str">
        <f>IF(AND(Programme_Grunddaten!$A437="Geprüft",Programme_Grunddaten!AF437&lt;&gt;""),IF(Programme_Grunddaten!AF437="Ja",1,0),"")</f>
        <v/>
      </c>
      <c r="Y432" s="1" t="str">
        <f>IF(AND(Programme_Grunddaten!$A437="Geprüft",Programme_Grunddaten!AG437&lt;&gt;""),IF(Programme_Grunddaten!AG437="Ja",1,0),"")</f>
        <v/>
      </c>
      <c r="Z432" s="1" t="str">
        <f>IF(AND(Programme_Grunddaten!$A437="Geprüft",Programme_Grunddaten!AH437&lt;&gt;""),IF(Programme_Grunddaten!AH437="Ja",1,0),"")</f>
        <v/>
      </c>
      <c r="AA432" s="1" t="str">
        <f>IF(AND(Programme_Grunddaten!$A437="Geprüft",Programme_Grunddaten!AI437&lt;&gt;""),IF(Programme_Grunddaten!AI437="Ja",1,0),"")</f>
        <v/>
      </c>
      <c r="AB432" s="1" t="str">
        <f>IF(AND(Programme_Grunddaten!$A437="Geprüft",Programme_Grunddaten!AJ437&lt;&gt;""),IF(Programme_Grunddaten!AJ437="individuell programmierbar",1,0),"")</f>
        <v/>
      </c>
      <c r="AC432" s="1" t="str">
        <f>IF(AND(Programme_Grunddaten!$A437="Geprüft",Programme_Grunddaten!AK437&lt;&gt;""),IF(Programme_Grunddaten!AK437="Deutsch",0,IF(Programme_Grunddaten!AK437="Deutsch und Englisch",1,2)),"")</f>
        <v/>
      </c>
      <c r="AD432" s="1" t="str">
        <f>IF(AND(Programme_Grunddaten!$A437="Geprüft",Programme_Grunddaten!AL437&lt;&gt;""),IF(Programme_Grunddaten!AL437="Ja",1,0),"")</f>
        <v/>
      </c>
      <c r="AE432" s="1" t="str">
        <f>IF(AND(Programme_Grunddaten!$A437="Geprüft",Programme_Grunddaten!AM437&lt;&gt;""),IF(Programme_Grunddaten!AM437="Ja",1,0),"")</f>
        <v/>
      </c>
      <c r="AF432" s="1" t="str">
        <f>IF(AND(Programme_Grunddaten!$A437="Geprüft",Programme_Grunddaten!AN437&lt;&gt;""),IF(Programme_Grunddaten!AN437="Ja",1,0),"")</f>
        <v/>
      </c>
      <c r="AG432" s="1" t="str">
        <f>IF(AND(Programme_Grunddaten!$A437="Geprüft",Programme_Grunddaten!AO437&lt;&gt;""),IF(Programme_Grunddaten!AO437="Ja",1,0),"")</f>
        <v/>
      </c>
      <c r="AH432" s="1" t="str">
        <f>IF(AND(Programme_Grunddaten!$A437="Geprüft",Programme_Grunddaten!AP437&lt;&gt;""),IF(Programme_Grunddaten!AP437="Ja",1,0),"")</f>
        <v/>
      </c>
      <c r="AI432" s="1" t="str">
        <f>IF(AND(Programme_Grunddaten!$A437="Geprüft",Programme_Grunddaten!AQ437&lt;&gt;""),IF(Programme_Grunddaten!AQ437="Ja",1,0),"")</f>
        <v/>
      </c>
      <c r="AJ432" s="1" t="str">
        <f>IF(AND(Programme_Grunddaten!$A437="Geprüft",Programme_Grunddaten!AR437&lt;&gt;""),IF(Programme_Grunddaten!AR437="Ja",1,0),"")</f>
        <v/>
      </c>
      <c r="AK432" s="1" t="str">
        <f>IF(AND(Programme_Grunddaten!$A437="Geprüft",Programme_Grunddaten!AS437&lt;&gt;""),IF(Programme_Grunddaten!AS437="Ja",1,0),"")</f>
        <v/>
      </c>
      <c r="AL432" s="1" t="str">
        <f>IF(AND(Programme_Grunddaten!$A437="Geprüft",Programme_Grunddaten!AT437&lt;&gt;""),IF(Programme_Grunddaten!AT437="Ja",1,0),"")</f>
        <v/>
      </c>
      <c r="AM432" s="1" t="str">
        <f>IF(AND(Programme_Grunddaten!$A437="Geprüft",Programme_Grunddaten!AU437&lt;&gt;""),IF(Programme_Grunddaten!AU437="Ja",1,0),"")</f>
        <v/>
      </c>
      <c r="AN432" s="1" t="str">
        <f>IF(AND(Programme_Grunddaten!$A437="Geprüft",Programme_Grunddaten!AV437&lt;&gt;""),IF(Programme_Grunddaten!AV437="Ja",1,0),"")</f>
        <v/>
      </c>
    </row>
    <row r="433" spans="1:40" x14ac:dyDescent="0.3">
      <c r="A433" s="1" t="str">
        <f>IF(AND(Programme_Grunddaten!A438="Geprüft",Programme_Grunddaten!B438&lt;&gt;""),Programme_Grunddaten!B438,"")</f>
        <v/>
      </c>
      <c r="B433" s="1" t="str">
        <f>IF(AND(Programme_Grunddaten!$A438="Geprüft",Programme_Grunddaten!I438&lt;&gt;""),IF(Programme_Grunddaten!I438="Ja",1,0),"")</f>
        <v/>
      </c>
      <c r="C433" s="1" t="str">
        <f>IF(AND(Programme_Grunddaten!$A438="Geprüft",Programme_Grunddaten!J438&lt;&gt;""),IF(Programme_Grunddaten!J438="Ja",1,0),"")</f>
        <v/>
      </c>
      <c r="D433" s="1" t="str">
        <f>IF(AND(Programme_Grunddaten!$A438="Geprüft",Programme_Grunddaten!K438&lt;&gt;""),IF(Programme_Grunddaten!K438="Ja",1,0),"")</f>
        <v/>
      </c>
      <c r="E433" s="1" t="str">
        <f>IF(AND(Programme_Grunddaten!$A438="Geprüft",Programme_Grunddaten!L438&lt;&gt;""),IF(Programme_Grunddaten!L438="Abo / befristete Lizenz",1,0),"")</f>
        <v/>
      </c>
      <c r="F433" s="1" t="str">
        <f>IF(AND(Programme_Grunddaten!$A438="Geprüft",Programme_Grunddaten!M438&lt;&gt;""),IF(Programme_Grunddaten!M438="Ja",1,0),"")</f>
        <v/>
      </c>
      <c r="G433" s="1" t="str">
        <f>IF(AND(Programme_Grunddaten!$A438="Geprüft",Programme_Grunddaten!N438&lt;&gt;""),IF(Programme_Grunddaten!N438="Ja",1,0),"")</f>
        <v/>
      </c>
      <c r="H433" s="1" t="str">
        <f>IF(AND(Programme_Grunddaten!$A438="Geprüft",Programme_Grunddaten!O438&lt;&gt;""),IF(Programme_Grunddaten!O438="Deutschland",0,IF(Programme_Grunddaten!O438="EU",1,2)),"")</f>
        <v/>
      </c>
      <c r="I433" s="1" t="str">
        <f>IF(AND(Programme_Grunddaten!$A438="Geprüft",Programme_Grunddaten!P438&lt;&gt;""),IF(Programme_Grunddaten!P438="Ja",1,0),"")</f>
        <v/>
      </c>
      <c r="J433" s="1" t="str">
        <f>IF(AND(Programme_Grunddaten!$A438="Geprüft",Programme_Grunddaten!Q438&lt;&gt;""),IF(Programme_Grunddaten!Q438="geschlossenes System",1,0),"")</f>
        <v/>
      </c>
      <c r="K433" s="1" t="str">
        <f>IF(AND(Programme_Grunddaten!$A438="Geprüft",Programme_Grunddaten!R438&lt;&gt;""),IF(Programme_Grunddaten!R438="Ja",1,0),"")</f>
        <v/>
      </c>
      <c r="L433" s="1" t="str">
        <f>IF(AND(Programme_Grunddaten!$A438="Geprüft",Programme_Grunddaten!T438&lt;&gt;""),IF(Programme_Grunddaten!T438="Ja",1,0),"")</f>
        <v/>
      </c>
      <c r="M433" s="1" t="str">
        <f>IF(AND(Programme_Grunddaten!$A438="Geprüft",Programme_Grunddaten!U438&lt;&gt;""),IF(Programme_Grunddaten!U438="Ja",1,0),"")</f>
        <v/>
      </c>
      <c r="N433" s="1" t="str">
        <f>IF(AND(Programme_Grunddaten!$A438="Geprüft",Programme_Grunddaten!V438&lt;&gt;""),IF(Programme_Grunddaten!V438="Ja",1,0),"")</f>
        <v/>
      </c>
      <c r="O433" s="1" t="str">
        <f>IF(AND(Programme_Grunddaten!$A438="Geprüft",Programme_Grunddaten!W438&lt;&gt;""),IF(Programme_Grunddaten!W438="Ja",1,0),"")</f>
        <v/>
      </c>
      <c r="P433" s="1" t="str">
        <f>IF(AND(Programme_Grunddaten!$A438="Geprüft",Programme_Grunddaten!X438&lt;&gt;""),IF(Programme_Grunddaten!X438="Ja",1,0),"")</f>
        <v/>
      </c>
      <c r="Q433" s="1" t="str">
        <f>IF(AND(Programme_Grunddaten!$A438="Geprüft",Programme_Grunddaten!Y438&lt;&gt;""),IF(Programme_Grunddaten!Y438="Ja",1,0),"")</f>
        <v/>
      </c>
      <c r="R433" s="1" t="str">
        <f>IF(AND(Programme_Grunddaten!$A438="Geprüft",Programme_Grunddaten!Z438&lt;&gt;""),IF(Programme_Grunddaten!Z438="Ja",1,0),"")</f>
        <v/>
      </c>
      <c r="S433" s="1" t="str">
        <f>IF(AND(Programme_Grunddaten!$A438="Geprüft",Programme_Grunddaten!AA438&lt;&gt;""),IF(Programme_Grunddaten!AA438="monolithisch",1,0),"")</f>
        <v/>
      </c>
      <c r="T433" s="1" t="str">
        <f>IF(AND(Programme_Grunddaten!$A438="Geprüft",Programme_Grunddaten!AB438&lt;&gt;""),IF(Programme_Grunddaten!AB438="Ja",1,0),"")</f>
        <v/>
      </c>
      <c r="U433" s="1" t="str">
        <f>IF(AND(Programme_Grunddaten!$A438="Geprüft",Programme_Grunddaten!AC438&lt;&gt;""),IF(Programme_Grunddaten!AC438="Ja",1,0),"")</f>
        <v/>
      </c>
      <c r="V433" s="1" t="str">
        <f>IF(AND(Programme_Grunddaten!$A438="Geprüft",Programme_Grunddaten!AD438&lt;&gt;""),IF(Programme_Grunddaten!AD438="Ja",1,0),"")</f>
        <v/>
      </c>
      <c r="W433" s="1" t="str">
        <f>IF(AND(Programme_Grunddaten!$A438="Geprüft",Programme_Grunddaten!AE438&lt;&gt;""),IF(Programme_Grunddaten!AE438="Ja",1,0),"")</f>
        <v/>
      </c>
      <c r="X433" s="1" t="str">
        <f>IF(AND(Programme_Grunddaten!$A438="Geprüft",Programme_Grunddaten!AF438&lt;&gt;""),IF(Programme_Grunddaten!AF438="Ja",1,0),"")</f>
        <v/>
      </c>
      <c r="Y433" s="1" t="str">
        <f>IF(AND(Programme_Grunddaten!$A438="Geprüft",Programme_Grunddaten!AG438&lt;&gt;""),IF(Programme_Grunddaten!AG438="Ja",1,0),"")</f>
        <v/>
      </c>
      <c r="Z433" s="1" t="str">
        <f>IF(AND(Programme_Grunddaten!$A438="Geprüft",Programme_Grunddaten!AH438&lt;&gt;""),IF(Programme_Grunddaten!AH438="Ja",1,0),"")</f>
        <v/>
      </c>
      <c r="AA433" s="1" t="str">
        <f>IF(AND(Programme_Grunddaten!$A438="Geprüft",Programme_Grunddaten!AI438&lt;&gt;""),IF(Programme_Grunddaten!AI438="Ja",1,0),"")</f>
        <v/>
      </c>
      <c r="AB433" s="1" t="str">
        <f>IF(AND(Programme_Grunddaten!$A438="Geprüft",Programme_Grunddaten!AJ438&lt;&gt;""),IF(Programme_Grunddaten!AJ438="individuell programmierbar",1,0),"")</f>
        <v/>
      </c>
      <c r="AC433" s="1" t="str">
        <f>IF(AND(Programme_Grunddaten!$A438="Geprüft",Programme_Grunddaten!AK438&lt;&gt;""),IF(Programme_Grunddaten!AK438="Deutsch",0,IF(Programme_Grunddaten!AK438="Deutsch und Englisch",1,2)),"")</f>
        <v/>
      </c>
      <c r="AD433" s="1" t="str">
        <f>IF(AND(Programme_Grunddaten!$A438="Geprüft",Programme_Grunddaten!AL438&lt;&gt;""),IF(Programme_Grunddaten!AL438="Ja",1,0),"")</f>
        <v/>
      </c>
      <c r="AE433" s="1" t="str">
        <f>IF(AND(Programme_Grunddaten!$A438="Geprüft",Programme_Grunddaten!AM438&lt;&gt;""),IF(Programme_Grunddaten!AM438="Ja",1,0),"")</f>
        <v/>
      </c>
      <c r="AF433" s="1" t="str">
        <f>IF(AND(Programme_Grunddaten!$A438="Geprüft",Programme_Grunddaten!AN438&lt;&gt;""),IF(Programme_Grunddaten!AN438="Ja",1,0),"")</f>
        <v/>
      </c>
      <c r="AG433" s="1" t="str">
        <f>IF(AND(Programme_Grunddaten!$A438="Geprüft",Programme_Grunddaten!AO438&lt;&gt;""),IF(Programme_Grunddaten!AO438="Ja",1,0),"")</f>
        <v/>
      </c>
      <c r="AH433" s="1" t="str">
        <f>IF(AND(Programme_Grunddaten!$A438="Geprüft",Programme_Grunddaten!AP438&lt;&gt;""),IF(Programme_Grunddaten!AP438="Ja",1,0),"")</f>
        <v/>
      </c>
      <c r="AI433" s="1" t="str">
        <f>IF(AND(Programme_Grunddaten!$A438="Geprüft",Programme_Grunddaten!AQ438&lt;&gt;""),IF(Programme_Grunddaten!AQ438="Ja",1,0),"")</f>
        <v/>
      </c>
      <c r="AJ433" s="1" t="str">
        <f>IF(AND(Programme_Grunddaten!$A438="Geprüft",Programme_Grunddaten!AR438&lt;&gt;""),IF(Programme_Grunddaten!AR438="Ja",1,0),"")</f>
        <v/>
      </c>
      <c r="AK433" s="1" t="str">
        <f>IF(AND(Programme_Grunddaten!$A438="Geprüft",Programme_Grunddaten!AS438&lt;&gt;""),IF(Programme_Grunddaten!AS438="Ja",1,0),"")</f>
        <v/>
      </c>
      <c r="AL433" s="1" t="str">
        <f>IF(AND(Programme_Grunddaten!$A438="Geprüft",Programme_Grunddaten!AT438&lt;&gt;""),IF(Programme_Grunddaten!AT438="Ja",1,0),"")</f>
        <v/>
      </c>
      <c r="AM433" s="1" t="str">
        <f>IF(AND(Programme_Grunddaten!$A438="Geprüft",Programme_Grunddaten!AU438&lt;&gt;""),IF(Programme_Grunddaten!AU438="Ja",1,0),"")</f>
        <v/>
      </c>
      <c r="AN433" s="1" t="str">
        <f>IF(AND(Programme_Grunddaten!$A438="Geprüft",Programme_Grunddaten!AV438&lt;&gt;""),IF(Programme_Grunddaten!AV438="Ja",1,0),"")</f>
        <v/>
      </c>
    </row>
    <row r="434" spans="1:40" x14ac:dyDescent="0.3">
      <c r="A434" s="1" t="str">
        <f>IF(AND(Programme_Grunddaten!A439="Geprüft",Programme_Grunddaten!B439&lt;&gt;""),Programme_Grunddaten!B439,"")</f>
        <v/>
      </c>
      <c r="B434" s="1" t="str">
        <f>IF(AND(Programme_Grunddaten!$A439="Geprüft",Programme_Grunddaten!I439&lt;&gt;""),IF(Programme_Grunddaten!I439="Ja",1,0),"")</f>
        <v/>
      </c>
      <c r="C434" s="1" t="str">
        <f>IF(AND(Programme_Grunddaten!$A439="Geprüft",Programme_Grunddaten!J439&lt;&gt;""),IF(Programme_Grunddaten!J439="Ja",1,0),"")</f>
        <v/>
      </c>
      <c r="D434" s="1" t="str">
        <f>IF(AND(Programme_Grunddaten!$A439="Geprüft",Programme_Grunddaten!K439&lt;&gt;""),IF(Programme_Grunddaten!K439="Ja",1,0),"")</f>
        <v/>
      </c>
      <c r="E434" s="1" t="str">
        <f>IF(AND(Programme_Grunddaten!$A439="Geprüft",Programme_Grunddaten!L439&lt;&gt;""),IF(Programme_Grunddaten!L439="Abo / befristete Lizenz",1,0),"")</f>
        <v/>
      </c>
      <c r="F434" s="1" t="str">
        <f>IF(AND(Programme_Grunddaten!$A439="Geprüft",Programme_Grunddaten!M439&lt;&gt;""),IF(Programme_Grunddaten!M439="Ja",1,0),"")</f>
        <v/>
      </c>
      <c r="G434" s="1" t="str">
        <f>IF(AND(Programme_Grunddaten!$A439="Geprüft",Programme_Grunddaten!N439&lt;&gt;""),IF(Programme_Grunddaten!N439="Ja",1,0),"")</f>
        <v/>
      </c>
      <c r="H434" s="1" t="str">
        <f>IF(AND(Programme_Grunddaten!$A439="Geprüft",Programme_Grunddaten!O439&lt;&gt;""),IF(Programme_Grunddaten!O439="Deutschland",0,IF(Programme_Grunddaten!O439="EU",1,2)),"")</f>
        <v/>
      </c>
      <c r="I434" s="1" t="str">
        <f>IF(AND(Programme_Grunddaten!$A439="Geprüft",Programme_Grunddaten!P439&lt;&gt;""),IF(Programme_Grunddaten!P439="Ja",1,0),"")</f>
        <v/>
      </c>
      <c r="J434" s="1" t="str">
        <f>IF(AND(Programme_Grunddaten!$A439="Geprüft",Programme_Grunddaten!Q439&lt;&gt;""),IF(Programme_Grunddaten!Q439="geschlossenes System",1,0),"")</f>
        <v/>
      </c>
      <c r="K434" s="1" t="str">
        <f>IF(AND(Programme_Grunddaten!$A439="Geprüft",Programme_Grunddaten!R439&lt;&gt;""),IF(Programme_Grunddaten!R439="Ja",1,0),"")</f>
        <v/>
      </c>
      <c r="L434" s="1" t="str">
        <f>IF(AND(Programme_Grunddaten!$A439="Geprüft",Programme_Grunddaten!T439&lt;&gt;""),IF(Programme_Grunddaten!T439="Ja",1,0),"")</f>
        <v/>
      </c>
      <c r="M434" s="1" t="str">
        <f>IF(AND(Programme_Grunddaten!$A439="Geprüft",Programme_Grunddaten!U439&lt;&gt;""),IF(Programme_Grunddaten!U439="Ja",1,0),"")</f>
        <v/>
      </c>
      <c r="N434" s="1" t="str">
        <f>IF(AND(Programme_Grunddaten!$A439="Geprüft",Programme_Grunddaten!V439&lt;&gt;""),IF(Programme_Grunddaten!V439="Ja",1,0),"")</f>
        <v/>
      </c>
      <c r="O434" s="1" t="str">
        <f>IF(AND(Programme_Grunddaten!$A439="Geprüft",Programme_Grunddaten!W439&lt;&gt;""),IF(Programme_Grunddaten!W439="Ja",1,0),"")</f>
        <v/>
      </c>
      <c r="P434" s="1" t="str">
        <f>IF(AND(Programme_Grunddaten!$A439="Geprüft",Programme_Grunddaten!X439&lt;&gt;""),IF(Programme_Grunddaten!X439="Ja",1,0),"")</f>
        <v/>
      </c>
      <c r="Q434" s="1" t="str">
        <f>IF(AND(Programme_Grunddaten!$A439="Geprüft",Programme_Grunddaten!Y439&lt;&gt;""),IF(Programme_Grunddaten!Y439="Ja",1,0),"")</f>
        <v/>
      </c>
      <c r="R434" s="1" t="str">
        <f>IF(AND(Programme_Grunddaten!$A439="Geprüft",Programme_Grunddaten!Z439&lt;&gt;""),IF(Programme_Grunddaten!Z439="Ja",1,0),"")</f>
        <v/>
      </c>
      <c r="S434" s="1" t="str">
        <f>IF(AND(Programme_Grunddaten!$A439="Geprüft",Programme_Grunddaten!AA439&lt;&gt;""),IF(Programme_Grunddaten!AA439="monolithisch",1,0),"")</f>
        <v/>
      </c>
      <c r="T434" s="1" t="str">
        <f>IF(AND(Programme_Grunddaten!$A439="Geprüft",Programme_Grunddaten!AB439&lt;&gt;""),IF(Programme_Grunddaten!AB439="Ja",1,0),"")</f>
        <v/>
      </c>
      <c r="U434" s="1" t="str">
        <f>IF(AND(Programme_Grunddaten!$A439="Geprüft",Programme_Grunddaten!AC439&lt;&gt;""),IF(Programme_Grunddaten!AC439="Ja",1,0),"")</f>
        <v/>
      </c>
      <c r="V434" s="1" t="str">
        <f>IF(AND(Programme_Grunddaten!$A439="Geprüft",Programme_Grunddaten!AD439&lt;&gt;""),IF(Programme_Grunddaten!AD439="Ja",1,0),"")</f>
        <v/>
      </c>
      <c r="W434" s="1" t="str">
        <f>IF(AND(Programme_Grunddaten!$A439="Geprüft",Programme_Grunddaten!AE439&lt;&gt;""),IF(Programme_Grunddaten!AE439="Ja",1,0),"")</f>
        <v/>
      </c>
      <c r="X434" s="1" t="str">
        <f>IF(AND(Programme_Grunddaten!$A439="Geprüft",Programme_Grunddaten!AF439&lt;&gt;""),IF(Programme_Grunddaten!AF439="Ja",1,0),"")</f>
        <v/>
      </c>
      <c r="Y434" s="1" t="str">
        <f>IF(AND(Programme_Grunddaten!$A439="Geprüft",Programme_Grunddaten!AG439&lt;&gt;""),IF(Programme_Grunddaten!AG439="Ja",1,0),"")</f>
        <v/>
      </c>
      <c r="Z434" s="1" t="str">
        <f>IF(AND(Programme_Grunddaten!$A439="Geprüft",Programme_Grunddaten!AH439&lt;&gt;""),IF(Programme_Grunddaten!AH439="Ja",1,0),"")</f>
        <v/>
      </c>
      <c r="AA434" s="1" t="str">
        <f>IF(AND(Programme_Grunddaten!$A439="Geprüft",Programme_Grunddaten!AI439&lt;&gt;""),IF(Programme_Grunddaten!AI439="Ja",1,0),"")</f>
        <v/>
      </c>
      <c r="AB434" s="1" t="str">
        <f>IF(AND(Programme_Grunddaten!$A439="Geprüft",Programme_Grunddaten!AJ439&lt;&gt;""),IF(Programme_Grunddaten!AJ439="individuell programmierbar",1,0),"")</f>
        <v/>
      </c>
      <c r="AC434" s="1" t="str">
        <f>IF(AND(Programme_Grunddaten!$A439="Geprüft",Programme_Grunddaten!AK439&lt;&gt;""),IF(Programme_Grunddaten!AK439="Deutsch",0,IF(Programme_Grunddaten!AK439="Deutsch und Englisch",1,2)),"")</f>
        <v/>
      </c>
      <c r="AD434" s="1" t="str">
        <f>IF(AND(Programme_Grunddaten!$A439="Geprüft",Programme_Grunddaten!AL439&lt;&gt;""),IF(Programme_Grunddaten!AL439="Ja",1,0),"")</f>
        <v/>
      </c>
      <c r="AE434" s="1" t="str">
        <f>IF(AND(Programme_Grunddaten!$A439="Geprüft",Programme_Grunddaten!AM439&lt;&gt;""),IF(Programme_Grunddaten!AM439="Ja",1,0),"")</f>
        <v/>
      </c>
      <c r="AF434" s="1" t="str">
        <f>IF(AND(Programme_Grunddaten!$A439="Geprüft",Programme_Grunddaten!AN439&lt;&gt;""),IF(Programme_Grunddaten!AN439="Ja",1,0),"")</f>
        <v/>
      </c>
      <c r="AG434" s="1" t="str">
        <f>IF(AND(Programme_Grunddaten!$A439="Geprüft",Programme_Grunddaten!AO439&lt;&gt;""),IF(Programme_Grunddaten!AO439="Ja",1,0),"")</f>
        <v/>
      </c>
      <c r="AH434" s="1" t="str">
        <f>IF(AND(Programme_Grunddaten!$A439="Geprüft",Programme_Grunddaten!AP439&lt;&gt;""),IF(Programme_Grunddaten!AP439="Ja",1,0),"")</f>
        <v/>
      </c>
      <c r="AI434" s="1" t="str">
        <f>IF(AND(Programme_Grunddaten!$A439="Geprüft",Programme_Grunddaten!AQ439&lt;&gt;""),IF(Programme_Grunddaten!AQ439="Ja",1,0),"")</f>
        <v/>
      </c>
      <c r="AJ434" s="1" t="str">
        <f>IF(AND(Programme_Grunddaten!$A439="Geprüft",Programme_Grunddaten!AR439&lt;&gt;""),IF(Programme_Grunddaten!AR439="Ja",1,0),"")</f>
        <v/>
      </c>
      <c r="AK434" s="1" t="str">
        <f>IF(AND(Programme_Grunddaten!$A439="Geprüft",Programme_Grunddaten!AS439&lt;&gt;""),IF(Programme_Grunddaten!AS439="Ja",1,0),"")</f>
        <v/>
      </c>
      <c r="AL434" s="1" t="str">
        <f>IF(AND(Programme_Grunddaten!$A439="Geprüft",Programme_Grunddaten!AT439&lt;&gt;""),IF(Programme_Grunddaten!AT439="Ja",1,0),"")</f>
        <v/>
      </c>
      <c r="AM434" s="1" t="str">
        <f>IF(AND(Programme_Grunddaten!$A439="Geprüft",Programme_Grunddaten!AU439&lt;&gt;""),IF(Programme_Grunddaten!AU439="Ja",1,0),"")</f>
        <v/>
      </c>
      <c r="AN434" s="1" t="str">
        <f>IF(AND(Programme_Grunddaten!$A439="Geprüft",Programme_Grunddaten!AV439&lt;&gt;""),IF(Programme_Grunddaten!AV439="Ja",1,0),"")</f>
        <v/>
      </c>
    </row>
    <row r="435" spans="1:40" x14ac:dyDescent="0.3">
      <c r="A435" s="1" t="str">
        <f>IF(AND(Programme_Grunddaten!A440="Geprüft",Programme_Grunddaten!B440&lt;&gt;""),Programme_Grunddaten!B440,"")</f>
        <v/>
      </c>
      <c r="B435" s="1" t="str">
        <f>IF(AND(Programme_Grunddaten!$A440="Geprüft",Programme_Grunddaten!I440&lt;&gt;""),IF(Programme_Grunddaten!I440="Ja",1,0),"")</f>
        <v/>
      </c>
      <c r="C435" s="1" t="str">
        <f>IF(AND(Programme_Grunddaten!$A440="Geprüft",Programme_Grunddaten!J440&lt;&gt;""),IF(Programme_Grunddaten!J440="Ja",1,0),"")</f>
        <v/>
      </c>
      <c r="D435" s="1" t="str">
        <f>IF(AND(Programme_Grunddaten!$A440="Geprüft",Programme_Grunddaten!K440&lt;&gt;""),IF(Programme_Grunddaten!K440="Ja",1,0),"")</f>
        <v/>
      </c>
      <c r="E435" s="1" t="str">
        <f>IF(AND(Programme_Grunddaten!$A440="Geprüft",Programme_Grunddaten!L440&lt;&gt;""),IF(Programme_Grunddaten!L440="Abo / befristete Lizenz",1,0),"")</f>
        <v/>
      </c>
      <c r="F435" s="1" t="str">
        <f>IF(AND(Programme_Grunddaten!$A440="Geprüft",Programme_Grunddaten!M440&lt;&gt;""),IF(Programme_Grunddaten!M440="Ja",1,0),"")</f>
        <v/>
      </c>
      <c r="G435" s="1" t="str">
        <f>IF(AND(Programme_Grunddaten!$A440="Geprüft",Programme_Grunddaten!N440&lt;&gt;""),IF(Programme_Grunddaten!N440="Ja",1,0),"")</f>
        <v/>
      </c>
      <c r="H435" s="1" t="str">
        <f>IF(AND(Programme_Grunddaten!$A440="Geprüft",Programme_Grunddaten!O440&lt;&gt;""),IF(Programme_Grunddaten!O440="Deutschland",0,IF(Programme_Grunddaten!O440="EU",1,2)),"")</f>
        <v/>
      </c>
      <c r="I435" s="1" t="str">
        <f>IF(AND(Programme_Grunddaten!$A440="Geprüft",Programme_Grunddaten!P440&lt;&gt;""),IF(Programme_Grunddaten!P440="Ja",1,0),"")</f>
        <v/>
      </c>
      <c r="J435" s="1" t="str">
        <f>IF(AND(Programme_Grunddaten!$A440="Geprüft",Programme_Grunddaten!Q440&lt;&gt;""),IF(Programme_Grunddaten!Q440="geschlossenes System",1,0),"")</f>
        <v/>
      </c>
      <c r="K435" s="1" t="str">
        <f>IF(AND(Programme_Grunddaten!$A440="Geprüft",Programme_Grunddaten!R440&lt;&gt;""),IF(Programme_Grunddaten!R440="Ja",1,0),"")</f>
        <v/>
      </c>
      <c r="L435" s="1" t="str">
        <f>IF(AND(Programme_Grunddaten!$A440="Geprüft",Programme_Grunddaten!T440&lt;&gt;""),IF(Programme_Grunddaten!T440="Ja",1,0),"")</f>
        <v/>
      </c>
      <c r="M435" s="1" t="str">
        <f>IF(AND(Programme_Grunddaten!$A440="Geprüft",Programme_Grunddaten!U440&lt;&gt;""),IF(Programme_Grunddaten!U440="Ja",1,0),"")</f>
        <v/>
      </c>
      <c r="N435" s="1" t="str">
        <f>IF(AND(Programme_Grunddaten!$A440="Geprüft",Programme_Grunddaten!V440&lt;&gt;""),IF(Programme_Grunddaten!V440="Ja",1,0),"")</f>
        <v/>
      </c>
      <c r="O435" s="1" t="str">
        <f>IF(AND(Programme_Grunddaten!$A440="Geprüft",Programme_Grunddaten!W440&lt;&gt;""),IF(Programme_Grunddaten!W440="Ja",1,0),"")</f>
        <v/>
      </c>
      <c r="P435" s="1" t="str">
        <f>IF(AND(Programme_Grunddaten!$A440="Geprüft",Programme_Grunddaten!X440&lt;&gt;""),IF(Programme_Grunddaten!X440="Ja",1,0),"")</f>
        <v/>
      </c>
      <c r="Q435" s="1" t="str">
        <f>IF(AND(Programme_Grunddaten!$A440="Geprüft",Programme_Grunddaten!Y440&lt;&gt;""),IF(Programme_Grunddaten!Y440="Ja",1,0),"")</f>
        <v/>
      </c>
      <c r="R435" s="1" t="str">
        <f>IF(AND(Programme_Grunddaten!$A440="Geprüft",Programme_Grunddaten!Z440&lt;&gt;""),IF(Programme_Grunddaten!Z440="Ja",1,0),"")</f>
        <v/>
      </c>
      <c r="S435" s="1" t="str">
        <f>IF(AND(Programme_Grunddaten!$A440="Geprüft",Programme_Grunddaten!AA440&lt;&gt;""),IF(Programme_Grunddaten!AA440="monolithisch",1,0),"")</f>
        <v/>
      </c>
      <c r="T435" s="1" t="str">
        <f>IF(AND(Programme_Grunddaten!$A440="Geprüft",Programme_Grunddaten!AB440&lt;&gt;""),IF(Programme_Grunddaten!AB440="Ja",1,0),"")</f>
        <v/>
      </c>
      <c r="U435" s="1" t="str">
        <f>IF(AND(Programme_Grunddaten!$A440="Geprüft",Programme_Grunddaten!AC440&lt;&gt;""),IF(Programme_Grunddaten!AC440="Ja",1,0),"")</f>
        <v/>
      </c>
      <c r="V435" s="1" t="str">
        <f>IF(AND(Programme_Grunddaten!$A440="Geprüft",Programme_Grunddaten!AD440&lt;&gt;""),IF(Programme_Grunddaten!AD440="Ja",1,0),"")</f>
        <v/>
      </c>
      <c r="W435" s="1" t="str">
        <f>IF(AND(Programme_Grunddaten!$A440="Geprüft",Programme_Grunddaten!AE440&lt;&gt;""),IF(Programme_Grunddaten!AE440="Ja",1,0),"")</f>
        <v/>
      </c>
      <c r="X435" s="1" t="str">
        <f>IF(AND(Programme_Grunddaten!$A440="Geprüft",Programme_Grunddaten!AF440&lt;&gt;""),IF(Programme_Grunddaten!AF440="Ja",1,0),"")</f>
        <v/>
      </c>
      <c r="Y435" s="1" t="str">
        <f>IF(AND(Programme_Grunddaten!$A440="Geprüft",Programme_Grunddaten!AG440&lt;&gt;""),IF(Programme_Grunddaten!AG440="Ja",1,0),"")</f>
        <v/>
      </c>
      <c r="Z435" s="1" t="str">
        <f>IF(AND(Programme_Grunddaten!$A440="Geprüft",Programme_Grunddaten!AH440&lt;&gt;""),IF(Programme_Grunddaten!AH440="Ja",1,0),"")</f>
        <v/>
      </c>
      <c r="AA435" s="1" t="str">
        <f>IF(AND(Programme_Grunddaten!$A440="Geprüft",Programme_Grunddaten!AI440&lt;&gt;""),IF(Programme_Grunddaten!AI440="Ja",1,0),"")</f>
        <v/>
      </c>
      <c r="AB435" s="1" t="str">
        <f>IF(AND(Programme_Grunddaten!$A440="Geprüft",Programme_Grunddaten!AJ440&lt;&gt;""),IF(Programme_Grunddaten!AJ440="individuell programmierbar",1,0),"")</f>
        <v/>
      </c>
      <c r="AC435" s="1" t="str">
        <f>IF(AND(Programme_Grunddaten!$A440="Geprüft",Programme_Grunddaten!AK440&lt;&gt;""),IF(Programme_Grunddaten!AK440="Deutsch",0,IF(Programme_Grunddaten!AK440="Deutsch und Englisch",1,2)),"")</f>
        <v/>
      </c>
      <c r="AD435" s="1" t="str">
        <f>IF(AND(Programme_Grunddaten!$A440="Geprüft",Programme_Grunddaten!AL440&lt;&gt;""),IF(Programme_Grunddaten!AL440="Ja",1,0),"")</f>
        <v/>
      </c>
      <c r="AE435" s="1" t="str">
        <f>IF(AND(Programme_Grunddaten!$A440="Geprüft",Programme_Grunddaten!AM440&lt;&gt;""),IF(Programme_Grunddaten!AM440="Ja",1,0),"")</f>
        <v/>
      </c>
      <c r="AF435" s="1" t="str">
        <f>IF(AND(Programme_Grunddaten!$A440="Geprüft",Programme_Grunddaten!AN440&lt;&gt;""),IF(Programme_Grunddaten!AN440="Ja",1,0),"")</f>
        <v/>
      </c>
      <c r="AG435" s="1" t="str">
        <f>IF(AND(Programme_Grunddaten!$A440="Geprüft",Programme_Grunddaten!AO440&lt;&gt;""),IF(Programme_Grunddaten!AO440="Ja",1,0),"")</f>
        <v/>
      </c>
      <c r="AH435" s="1" t="str">
        <f>IF(AND(Programme_Grunddaten!$A440="Geprüft",Programme_Grunddaten!AP440&lt;&gt;""),IF(Programme_Grunddaten!AP440="Ja",1,0),"")</f>
        <v/>
      </c>
      <c r="AI435" s="1" t="str">
        <f>IF(AND(Programme_Grunddaten!$A440="Geprüft",Programme_Grunddaten!AQ440&lt;&gt;""),IF(Programme_Grunddaten!AQ440="Ja",1,0),"")</f>
        <v/>
      </c>
      <c r="AJ435" s="1" t="str">
        <f>IF(AND(Programme_Grunddaten!$A440="Geprüft",Programme_Grunddaten!AR440&lt;&gt;""),IF(Programme_Grunddaten!AR440="Ja",1,0),"")</f>
        <v/>
      </c>
      <c r="AK435" s="1" t="str">
        <f>IF(AND(Programme_Grunddaten!$A440="Geprüft",Programme_Grunddaten!AS440&lt;&gt;""),IF(Programme_Grunddaten!AS440="Ja",1,0),"")</f>
        <v/>
      </c>
      <c r="AL435" s="1" t="str">
        <f>IF(AND(Programme_Grunddaten!$A440="Geprüft",Programme_Grunddaten!AT440&lt;&gt;""),IF(Programme_Grunddaten!AT440="Ja",1,0),"")</f>
        <v/>
      </c>
      <c r="AM435" s="1" t="str">
        <f>IF(AND(Programme_Grunddaten!$A440="Geprüft",Programme_Grunddaten!AU440&lt;&gt;""),IF(Programme_Grunddaten!AU440="Ja",1,0),"")</f>
        <v/>
      </c>
      <c r="AN435" s="1" t="str">
        <f>IF(AND(Programme_Grunddaten!$A440="Geprüft",Programme_Grunddaten!AV440&lt;&gt;""),IF(Programme_Grunddaten!AV440="Ja",1,0),"")</f>
        <v/>
      </c>
    </row>
    <row r="436" spans="1:40" x14ac:dyDescent="0.3">
      <c r="A436" s="1" t="str">
        <f>IF(AND(Programme_Grunddaten!A441="Geprüft",Programme_Grunddaten!B441&lt;&gt;""),Programme_Grunddaten!B441,"")</f>
        <v/>
      </c>
      <c r="B436" s="1" t="str">
        <f>IF(AND(Programme_Grunddaten!$A441="Geprüft",Programme_Grunddaten!I441&lt;&gt;""),IF(Programme_Grunddaten!I441="Ja",1,0),"")</f>
        <v/>
      </c>
      <c r="C436" s="1" t="str">
        <f>IF(AND(Programme_Grunddaten!$A441="Geprüft",Programme_Grunddaten!J441&lt;&gt;""),IF(Programme_Grunddaten!J441="Ja",1,0),"")</f>
        <v/>
      </c>
      <c r="D436" s="1" t="str">
        <f>IF(AND(Programme_Grunddaten!$A441="Geprüft",Programme_Grunddaten!K441&lt;&gt;""),IF(Programme_Grunddaten!K441="Ja",1,0),"")</f>
        <v/>
      </c>
      <c r="E436" s="1" t="str">
        <f>IF(AND(Programme_Grunddaten!$A441="Geprüft",Programme_Grunddaten!L441&lt;&gt;""),IF(Programme_Grunddaten!L441="Abo / befristete Lizenz",1,0),"")</f>
        <v/>
      </c>
      <c r="F436" s="1" t="str">
        <f>IF(AND(Programme_Grunddaten!$A441="Geprüft",Programme_Grunddaten!M441&lt;&gt;""),IF(Programme_Grunddaten!M441="Ja",1,0),"")</f>
        <v/>
      </c>
      <c r="G436" s="1" t="str">
        <f>IF(AND(Programme_Grunddaten!$A441="Geprüft",Programme_Grunddaten!N441&lt;&gt;""),IF(Programme_Grunddaten!N441="Ja",1,0),"")</f>
        <v/>
      </c>
      <c r="H436" s="1" t="str">
        <f>IF(AND(Programme_Grunddaten!$A441="Geprüft",Programme_Grunddaten!O441&lt;&gt;""),IF(Programme_Grunddaten!O441="Deutschland",0,IF(Programme_Grunddaten!O441="EU",1,2)),"")</f>
        <v/>
      </c>
      <c r="I436" s="1" t="str">
        <f>IF(AND(Programme_Grunddaten!$A441="Geprüft",Programme_Grunddaten!P441&lt;&gt;""),IF(Programme_Grunddaten!P441="Ja",1,0),"")</f>
        <v/>
      </c>
      <c r="J436" s="1" t="str">
        <f>IF(AND(Programme_Grunddaten!$A441="Geprüft",Programme_Grunddaten!Q441&lt;&gt;""),IF(Programme_Grunddaten!Q441="geschlossenes System",1,0),"")</f>
        <v/>
      </c>
      <c r="K436" s="1" t="str">
        <f>IF(AND(Programme_Grunddaten!$A441="Geprüft",Programme_Grunddaten!R441&lt;&gt;""),IF(Programme_Grunddaten!R441="Ja",1,0),"")</f>
        <v/>
      </c>
      <c r="L436" s="1" t="str">
        <f>IF(AND(Programme_Grunddaten!$A441="Geprüft",Programme_Grunddaten!T441&lt;&gt;""),IF(Programme_Grunddaten!T441="Ja",1,0),"")</f>
        <v/>
      </c>
      <c r="M436" s="1" t="str">
        <f>IF(AND(Programme_Grunddaten!$A441="Geprüft",Programme_Grunddaten!U441&lt;&gt;""),IF(Programme_Grunddaten!U441="Ja",1,0),"")</f>
        <v/>
      </c>
      <c r="N436" s="1" t="str">
        <f>IF(AND(Programme_Grunddaten!$A441="Geprüft",Programme_Grunddaten!V441&lt;&gt;""),IF(Programme_Grunddaten!V441="Ja",1,0),"")</f>
        <v/>
      </c>
      <c r="O436" s="1" t="str">
        <f>IF(AND(Programme_Grunddaten!$A441="Geprüft",Programme_Grunddaten!W441&lt;&gt;""),IF(Programme_Grunddaten!W441="Ja",1,0),"")</f>
        <v/>
      </c>
      <c r="P436" s="1" t="str">
        <f>IF(AND(Programme_Grunddaten!$A441="Geprüft",Programme_Grunddaten!X441&lt;&gt;""),IF(Programme_Grunddaten!X441="Ja",1,0),"")</f>
        <v/>
      </c>
      <c r="Q436" s="1" t="str">
        <f>IF(AND(Programme_Grunddaten!$A441="Geprüft",Programme_Grunddaten!Y441&lt;&gt;""),IF(Programme_Grunddaten!Y441="Ja",1,0),"")</f>
        <v/>
      </c>
      <c r="R436" s="1" t="str">
        <f>IF(AND(Programme_Grunddaten!$A441="Geprüft",Programme_Grunddaten!Z441&lt;&gt;""),IF(Programme_Grunddaten!Z441="Ja",1,0),"")</f>
        <v/>
      </c>
      <c r="S436" s="1" t="str">
        <f>IF(AND(Programme_Grunddaten!$A441="Geprüft",Programme_Grunddaten!AA441&lt;&gt;""),IF(Programme_Grunddaten!AA441="monolithisch",1,0),"")</f>
        <v/>
      </c>
      <c r="T436" s="1" t="str">
        <f>IF(AND(Programme_Grunddaten!$A441="Geprüft",Programme_Grunddaten!AB441&lt;&gt;""),IF(Programme_Grunddaten!AB441="Ja",1,0),"")</f>
        <v/>
      </c>
      <c r="U436" s="1" t="str">
        <f>IF(AND(Programme_Grunddaten!$A441="Geprüft",Programme_Grunddaten!AC441&lt;&gt;""),IF(Programme_Grunddaten!AC441="Ja",1,0),"")</f>
        <v/>
      </c>
      <c r="V436" s="1" t="str">
        <f>IF(AND(Programme_Grunddaten!$A441="Geprüft",Programme_Grunddaten!AD441&lt;&gt;""),IF(Programme_Grunddaten!AD441="Ja",1,0),"")</f>
        <v/>
      </c>
      <c r="W436" s="1" t="str">
        <f>IF(AND(Programme_Grunddaten!$A441="Geprüft",Programme_Grunddaten!AE441&lt;&gt;""),IF(Programme_Grunddaten!AE441="Ja",1,0),"")</f>
        <v/>
      </c>
      <c r="X436" s="1" t="str">
        <f>IF(AND(Programme_Grunddaten!$A441="Geprüft",Programme_Grunddaten!AF441&lt;&gt;""),IF(Programme_Grunddaten!AF441="Ja",1,0),"")</f>
        <v/>
      </c>
      <c r="Y436" s="1" t="str">
        <f>IF(AND(Programme_Grunddaten!$A441="Geprüft",Programme_Grunddaten!AG441&lt;&gt;""),IF(Programme_Grunddaten!AG441="Ja",1,0),"")</f>
        <v/>
      </c>
      <c r="Z436" s="1" t="str">
        <f>IF(AND(Programme_Grunddaten!$A441="Geprüft",Programme_Grunddaten!AH441&lt;&gt;""),IF(Programme_Grunddaten!AH441="Ja",1,0),"")</f>
        <v/>
      </c>
      <c r="AA436" s="1" t="str">
        <f>IF(AND(Programme_Grunddaten!$A441="Geprüft",Programme_Grunddaten!AI441&lt;&gt;""),IF(Programme_Grunddaten!AI441="Ja",1,0),"")</f>
        <v/>
      </c>
      <c r="AB436" s="1" t="str">
        <f>IF(AND(Programme_Grunddaten!$A441="Geprüft",Programme_Grunddaten!AJ441&lt;&gt;""),IF(Programme_Grunddaten!AJ441="individuell programmierbar",1,0),"")</f>
        <v/>
      </c>
      <c r="AC436" s="1" t="str">
        <f>IF(AND(Programme_Grunddaten!$A441="Geprüft",Programme_Grunddaten!AK441&lt;&gt;""),IF(Programme_Grunddaten!AK441="Deutsch",0,IF(Programme_Grunddaten!AK441="Deutsch und Englisch",1,2)),"")</f>
        <v/>
      </c>
      <c r="AD436" s="1" t="str">
        <f>IF(AND(Programme_Grunddaten!$A441="Geprüft",Programme_Grunddaten!AL441&lt;&gt;""),IF(Programme_Grunddaten!AL441="Ja",1,0),"")</f>
        <v/>
      </c>
      <c r="AE436" s="1" t="str">
        <f>IF(AND(Programme_Grunddaten!$A441="Geprüft",Programme_Grunddaten!AM441&lt;&gt;""),IF(Programme_Grunddaten!AM441="Ja",1,0),"")</f>
        <v/>
      </c>
      <c r="AF436" s="1" t="str">
        <f>IF(AND(Programme_Grunddaten!$A441="Geprüft",Programme_Grunddaten!AN441&lt;&gt;""),IF(Programme_Grunddaten!AN441="Ja",1,0),"")</f>
        <v/>
      </c>
      <c r="AG436" s="1" t="str">
        <f>IF(AND(Programme_Grunddaten!$A441="Geprüft",Programme_Grunddaten!AO441&lt;&gt;""),IF(Programme_Grunddaten!AO441="Ja",1,0),"")</f>
        <v/>
      </c>
      <c r="AH436" s="1" t="str">
        <f>IF(AND(Programme_Grunddaten!$A441="Geprüft",Programme_Grunddaten!AP441&lt;&gt;""),IF(Programme_Grunddaten!AP441="Ja",1,0),"")</f>
        <v/>
      </c>
      <c r="AI436" s="1" t="str">
        <f>IF(AND(Programme_Grunddaten!$A441="Geprüft",Programme_Grunddaten!AQ441&lt;&gt;""),IF(Programme_Grunddaten!AQ441="Ja",1,0),"")</f>
        <v/>
      </c>
      <c r="AJ436" s="1" t="str">
        <f>IF(AND(Programme_Grunddaten!$A441="Geprüft",Programme_Grunddaten!AR441&lt;&gt;""),IF(Programme_Grunddaten!AR441="Ja",1,0),"")</f>
        <v/>
      </c>
      <c r="AK436" s="1" t="str">
        <f>IF(AND(Programme_Grunddaten!$A441="Geprüft",Programme_Grunddaten!AS441&lt;&gt;""),IF(Programme_Grunddaten!AS441="Ja",1,0),"")</f>
        <v/>
      </c>
      <c r="AL436" s="1" t="str">
        <f>IF(AND(Programme_Grunddaten!$A441="Geprüft",Programme_Grunddaten!AT441&lt;&gt;""),IF(Programme_Grunddaten!AT441="Ja",1,0),"")</f>
        <v/>
      </c>
      <c r="AM436" s="1" t="str">
        <f>IF(AND(Programme_Grunddaten!$A441="Geprüft",Programme_Grunddaten!AU441&lt;&gt;""),IF(Programme_Grunddaten!AU441="Ja",1,0),"")</f>
        <v/>
      </c>
      <c r="AN436" s="1" t="str">
        <f>IF(AND(Programme_Grunddaten!$A441="Geprüft",Programme_Grunddaten!AV441&lt;&gt;""),IF(Programme_Grunddaten!AV441="Ja",1,0),"")</f>
        <v/>
      </c>
    </row>
    <row r="437" spans="1:40" x14ac:dyDescent="0.3">
      <c r="A437" s="1" t="str">
        <f>IF(AND(Programme_Grunddaten!A442="Geprüft",Programme_Grunddaten!B442&lt;&gt;""),Programme_Grunddaten!B442,"")</f>
        <v/>
      </c>
      <c r="B437" s="1" t="str">
        <f>IF(AND(Programme_Grunddaten!$A442="Geprüft",Programme_Grunddaten!I442&lt;&gt;""),IF(Programme_Grunddaten!I442="Ja",1,0),"")</f>
        <v/>
      </c>
      <c r="C437" s="1" t="str">
        <f>IF(AND(Programme_Grunddaten!$A442="Geprüft",Programme_Grunddaten!J442&lt;&gt;""),IF(Programme_Grunddaten!J442="Ja",1,0),"")</f>
        <v/>
      </c>
      <c r="D437" s="1" t="str">
        <f>IF(AND(Programme_Grunddaten!$A442="Geprüft",Programme_Grunddaten!K442&lt;&gt;""),IF(Programme_Grunddaten!K442="Ja",1,0),"")</f>
        <v/>
      </c>
      <c r="E437" s="1" t="str">
        <f>IF(AND(Programme_Grunddaten!$A442="Geprüft",Programme_Grunddaten!L442&lt;&gt;""),IF(Programme_Grunddaten!L442="Abo / befristete Lizenz",1,0),"")</f>
        <v/>
      </c>
      <c r="F437" s="1" t="str">
        <f>IF(AND(Programme_Grunddaten!$A442="Geprüft",Programme_Grunddaten!M442&lt;&gt;""),IF(Programme_Grunddaten!M442="Ja",1,0),"")</f>
        <v/>
      </c>
      <c r="G437" s="1" t="str">
        <f>IF(AND(Programme_Grunddaten!$A442="Geprüft",Programme_Grunddaten!N442&lt;&gt;""),IF(Programme_Grunddaten!N442="Ja",1,0),"")</f>
        <v/>
      </c>
      <c r="H437" s="1" t="str">
        <f>IF(AND(Programme_Grunddaten!$A442="Geprüft",Programme_Grunddaten!O442&lt;&gt;""),IF(Programme_Grunddaten!O442="Deutschland",0,IF(Programme_Grunddaten!O442="EU",1,2)),"")</f>
        <v/>
      </c>
      <c r="I437" s="1" t="str">
        <f>IF(AND(Programme_Grunddaten!$A442="Geprüft",Programme_Grunddaten!P442&lt;&gt;""),IF(Programme_Grunddaten!P442="Ja",1,0),"")</f>
        <v/>
      </c>
      <c r="J437" s="1" t="str">
        <f>IF(AND(Programme_Grunddaten!$A442="Geprüft",Programme_Grunddaten!Q442&lt;&gt;""),IF(Programme_Grunddaten!Q442="geschlossenes System",1,0),"")</f>
        <v/>
      </c>
      <c r="K437" s="1" t="str">
        <f>IF(AND(Programme_Grunddaten!$A442="Geprüft",Programme_Grunddaten!R442&lt;&gt;""),IF(Programme_Grunddaten!R442="Ja",1,0),"")</f>
        <v/>
      </c>
      <c r="L437" s="1" t="str">
        <f>IF(AND(Programme_Grunddaten!$A442="Geprüft",Programme_Grunddaten!T442&lt;&gt;""),IF(Programme_Grunddaten!T442="Ja",1,0),"")</f>
        <v/>
      </c>
      <c r="M437" s="1" t="str">
        <f>IF(AND(Programme_Grunddaten!$A442="Geprüft",Programme_Grunddaten!U442&lt;&gt;""),IF(Programme_Grunddaten!U442="Ja",1,0),"")</f>
        <v/>
      </c>
      <c r="N437" s="1" t="str">
        <f>IF(AND(Programme_Grunddaten!$A442="Geprüft",Programme_Grunddaten!V442&lt;&gt;""),IF(Programme_Grunddaten!V442="Ja",1,0),"")</f>
        <v/>
      </c>
      <c r="O437" s="1" t="str">
        <f>IF(AND(Programme_Grunddaten!$A442="Geprüft",Programme_Grunddaten!W442&lt;&gt;""),IF(Programme_Grunddaten!W442="Ja",1,0),"")</f>
        <v/>
      </c>
      <c r="P437" s="1" t="str">
        <f>IF(AND(Programme_Grunddaten!$A442="Geprüft",Programme_Grunddaten!X442&lt;&gt;""),IF(Programme_Grunddaten!X442="Ja",1,0),"")</f>
        <v/>
      </c>
      <c r="Q437" s="1" t="str">
        <f>IF(AND(Programme_Grunddaten!$A442="Geprüft",Programme_Grunddaten!Y442&lt;&gt;""),IF(Programme_Grunddaten!Y442="Ja",1,0),"")</f>
        <v/>
      </c>
      <c r="R437" s="1" t="str">
        <f>IF(AND(Programme_Grunddaten!$A442="Geprüft",Programme_Grunddaten!Z442&lt;&gt;""),IF(Programme_Grunddaten!Z442="Ja",1,0),"")</f>
        <v/>
      </c>
      <c r="S437" s="1" t="str">
        <f>IF(AND(Programme_Grunddaten!$A442="Geprüft",Programme_Grunddaten!AA442&lt;&gt;""),IF(Programme_Grunddaten!AA442="monolithisch",1,0),"")</f>
        <v/>
      </c>
      <c r="T437" s="1" t="str">
        <f>IF(AND(Programme_Grunddaten!$A442="Geprüft",Programme_Grunddaten!AB442&lt;&gt;""),IF(Programme_Grunddaten!AB442="Ja",1,0),"")</f>
        <v/>
      </c>
      <c r="U437" s="1" t="str">
        <f>IF(AND(Programme_Grunddaten!$A442="Geprüft",Programme_Grunddaten!AC442&lt;&gt;""),IF(Programme_Grunddaten!AC442="Ja",1,0),"")</f>
        <v/>
      </c>
      <c r="V437" s="1" t="str">
        <f>IF(AND(Programme_Grunddaten!$A442="Geprüft",Programme_Grunddaten!AD442&lt;&gt;""),IF(Programme_Grunddaten!AD442="Ja",1,0),"")</f>
        <v/>
      </c>
      <c r="W437" s="1" t="str">
        <f>IF(AND(Programme_Grunddaten!$A442="Geprüft",Programme_Grunddaten!AE442&lt;&gt;""),IF(Programme_Grunddaten!AE442="Ja",1,0),"")</f>
        <v/>
      </c>
      <c r="X437" s="1" t="str">
        <f>IF(AND(Programme_Grunddaten!$A442="Geprüft",Programme_Grunddaten!AF442&lt;&gt;""),IF(Programme_Grunddaten!AF442="Ja",1,0),"")</f>
        <v/>
      </c>
      <c r="Y437" s="1" t="str">
        <f>IF(AND(Programme_Grunddaten!$A442="Geprüft",Programme_Grunddaten!AG442&lt;&gt;""),IF(Programme_Grunddaten!AG442="Ja",1,0),"")</f>
        <v/>
      </c>
      <c r="Z437" s="1" t="str">
        <f>IF(AND(Programme_Grunddaten!$A442="Geprüft",Programme_Grunddaten!AH442&lt;&gt;""),IF(Programme_Grunddaten!AH442="Ja",1,0),"")</f>
        <v/>
      </c>
      <c r="AA437" s="1" t="str">
        <f>IF(AND(Programme_Grunddaten!$A442="Geprüft",Programme_Grunddaten!AI442&lt;&gt;""),IF(Programme_Grunddaten!AI442="Ja",1,0),"")</f>
        <v/>
      </c>
      <c r="AB437" s="1" t="str">
        <f>IF(AND(Programme_Grunddaten!$A442="Geprüft",Programme_Grunddaten!AJ442&lt;&gt;""),IF(Programme_Grunddaten!AJ442="individuell programmierbar",1,0),"")</f>
        <v/>
      </c>
      <c r="AC437" s="1" t="str">
        <f>IF(AND(Programme_Grunddaten!$A442="Geprüft",Programme_Grunddaten!AK442&lt;&gt;""),IF(Programme_Grunddaten!AK442="Deutsch",0,IF(Programme_Grunddaten!AK442="Deutsch und Englisch",1,2)),"")</f>
        <v/>
      </c>
      <c r="AD437" s="1" t="str">
        <f>IF(AND(Programme_Grunddaten!$A442="Geprüft",Programme_Grunddaten!AL442&lt;&gt;""),IF(Programme_Grunddaten!AL442="Ja",1,0),"")</f>
        <v/>
      </c>
      <c r="AE437" s="1" t="str">
        <f>IF(AND(Programme_Grunddaten!$A442="Geprüft",Programme_Grunddaten!AM442&lt;&gt;""),IF(Programme_Grunddaten!AM442="Ja",1,0),"")</f>
        <v/>
      </c>
      <c r="AF437" s="1" t="str">
        <f>IF(AND(Programme_Grunddaten!$A442="Geprüft",Programme_Grunddaten!AN442&lt;&gt;""),IF(Programme_Grunddaten!AN442="Ja",1,0),"")</f>
        <v/>
      </c>
      <c r="AG437" s="1" t="str">
        <f>IF(AND(Programme_Grunddaten!$A442="Geprüft",Programme_Grunddaten!AO442&lt;&gt;""),IF(Programme_Grunddaten!AO442="Ja",1,0),"")</f>
        <v/>
      </c>
      <c r="AH437" s="1" t="str">
        <f>IF(AND(Programme_Grunddaten!$A442="Geprüft",Programme_Grunddaten!AP442&lt;&gt;""),IF(Programme_Grunddaten!AP442="Ja",1,0),"")</f>
        <v/>
      </c>
      <c r="AI437" s="1" t="str">
        <f>IF(AND(Programme_Grunddaten!$A442="Geprüft",Programme_Grunddaten!AQ442&lt;&gt;""),IF(Programme_Grunddaten!AQ442="Ja",1,0),"")</f>
        <v/>
      </c>
      <c r="AJ437" s="1" t="str">
        <f>IF(AND(Programme_Grunddaten!$A442="Geprüft",Programme_Grunddaten!AR442&lt;&gt;""),IF(Programme_Grunddaten!AR442="Ja",1,0),"")</f>
        <v/>
      </c>
      <c r="AK437" s="1" t="str">
        <f>IF(AND(Programme_Grunddaten!$A442="Geprüft",Programme_Grunddaten!AS442&lt;&gt;""),IF(Programme_Grunddaten!AS442="Ja",1,0),"")</f>
        <v/>
      </c>
      <c r="AL437" s="1" t="str">
        <f>IF(AND(Programme_Grunddaten!$A442="Geprüft",Programme_Grunddaten!AT442&lt;&gt;""),IF(Programme_Grunddaten!AT442="Ja",1,0),"")</f>
        <v/>
      </c>
      <c r="AM437" s="1" t="str">
        <f>IF(AND(Programme_Grunddaten!$A442="Geprüft",Programme_Grunddaten!AU442&lt;&gt;""),IF(Programme_Grunddaten!AU442="Ja",1,0),"")</f>
        <v/>
      </c>
      <c r="AN437" s="1" t="str">
        <f>IF(AND(Programme_Grunddaten!$A442="Geprüft",Programme_Grunddaten!AV442&lt;&gt;""),IF(Programme_Grunddaten!AV442="Ja",1,0),"")</f>
        <v/>
      </c>
    </row>
    <row r="438" spans="1:40" x14ac:dyDescent="0.3">
      <c r="A438" s="1" t="str">
        <f>IF(AND(Programme_Grunddaten!A443="Geprüft",Programme_Grunddaten!B443&lt;&gt;""),Programme_Grunddaten!B443,"")</f>
        <v/>
      </c>
      <c r="B438" s="1" t="str">
        <f>IF(AND(Programme_Grunddaten!$A443="Geprüft",Programme_Grunddaten!I443&lt;&gt;""),IF(Programme_Grunddaten!I443="Ja",1,0),"")</f>
        <v/>
      </c>
      <c r="C438" s="1" t="str">
        <f>IF(AND(Programme_Grunddaten!$A443="Geprüft",Programme_Grunddaten!J443&lt;&gt;""),IF(Programme_Grunddaten!J443="Ja",1,0),"")</f>
        <v/>
      </c>
      <c r="D438" s="1" t="str">
        <f>IF(AND(Programme_Grunddaten!$A443="Geprüft",Programme_Grunddaten!K443&lt;&gt;""),IF(Programme_Grunddaten!K443="Ja",1,0),"")</f>
        <v/>
      </c>
      <c r="E438" s="1" t="str">
        <f>IF(AND(Programme_Grunddaten!$A443="Geprüft",Programme_Grunddaten!L443&lt;&gt;""),IF(Programme_Grunddaten!L443="Abo / befristete Lizenz",1,0),"")</f>
        <v/>
      </c>
      <c r="F438" s="1" t="str">
        <f>IF(AND(Programme_Grunddaten!$A443="Geprüft",Programme_Grunddaten!M443&lt;&gt;""),IF(Programme_Grunddaten!M443="Ja",1,0),"")</f>
        <v/>
      </c>
      <c r="G438" s="1" t="str">
        <f>IF(AND(Programme_Grunddaten!$A443="Geprüft",Programme_Grunddaten!N443&lt;&gt;""),IF(Programme_Grunddaten!N443="Ja",1,0),"")</f>
        <v/>
      </c>
      <c r="H438" s="1" t="str">
        <f>IF(AND(Programme_Grunddaten!$A443="Geprüft",Programme_Grunddaten!O443&lt;&gt;""),IF(Programme_Grunddaten!O443="Deutschland",0,IF(Programme_Grunddaten!O443="EU",1,2)),"")</f>
        <v/>
      </c>
      <c r="I438" s="1" t="str">
        <f>IF(AND(Programme_Grunddaten!$A443="Geprüft",Programme_Grunddaten!P443&lt;&gt;""),IF(Programme_Grunddaten!P443="Ja",1,0),"")</f>
        <v/>
      </c>
      <c r="J438" s="1" t="str">
        <f>IF(AND(Programme_Grunddaten!$A443="Geprüft",Programme_Grunddaten!Q443&lt;&gt;""),IF(Programme_Grunddaten!Q443="geschlossenes System",1,0),"")</f>
        <v/>
      </c>
      <c r="K438" s="1" t="str">
        <f>IF(AND(Programme_Grunddaten!$A443="Geprüft",Programme_Grunddaten!R443&lt;&gt;""),IF(Programme_Grunddaten!R443="Ja",1,0),"")</f>
        <v/>
      </c>
      <c r="L438" s="1" t="str">
        <f>IF(AND(Programme_Grunddaten!$A443="Geprüft",Programme_Grunddaten!T443&lt;&gt;""),IF(Programme_Grunddaten!T443="Ja",1,0),"")</f>
        <v/>
      </c>
      <c r="M438" s="1" t="str">
        <f>IF(AND(Programme_Grunddaten!$A443="Geprüft",Programme_Grunddaten!U443&lt;&gt;""),IF(Programme_Grunddaten!U443="Ja",1,0),"")</f>
        <v/>
      </c>
      <c r="N438" s="1" t="str">
        <f>IF(AND(Programme_Grunddaten!$A443="Geprüft",Programme_Grunddaten!V443&lt;&gt;""),IF(Programme_Grunddaten!V443="Ja",1,0),"")</f>
        <v/>
      </c>
      <c r="O438" s="1" t="str">
        <f>IF(AND(Programme_Grunddaten!$A443="Geprüft",Programme_Grunddaten!W443&lt;&gt;""),IF(Programme_Grunddaten!W443="Ja",1,0),"")</f>
        <v/>
      </c>
      <c r="P438" s="1" t="str">
        <f>IF(AND(Programme_Grunddaten!$A443="Geprüft",Programme_Grunddaten!X443&lt;&gt;""),IF(Programme_Grunddaten!X443="Ja",1,0),"")</f>
        <v/>
      </c>
      <c r="Q438" s="1" t="str">
        <f>IF(AND(Programme_Grunddaten!$A443="Geprüft",Programme_Grunddaten!Y443&lt;&gt;""),IF(Programme_Grunddaten!Y443="Ja",1,0),"")</f>
        <v/>
      </c>
      <c r="R438" s="1" t="str">
        <f>IF(AND(Programme_Grunddaten!$A443="Geprüft",Programme_Grunddaten!Z443&lt;&gt;""),IF(Programme_Grunddaten!Z443="Ja",1,0),"")</f>
        <v/>
      </c>
      <c r="S438" s="1" t="str">
        <f>IF(AND(Programme_Grunddaten!$A443="Geprüft",Programme_Grunddaten!AA443&lt;&gt;""),IF(Programme_Grunddaten!AA443="monolithisch",1,0),"")</f>
        <v/>
      </c>
      <c r="T438" s="1" t="str">
        <f>IF(AND(Programme_Grunddaten!$A443="Geprüft",Programme_Grunddaten!AB443&lt;&gt;""),IF(Programme_Grunddaten!AB443="Ja",1,0),"")</f>
        <v/>
      </c>
      <c r="U438" s="1" t="str">
        <f>IF(AND(Programme_Grunddaten!$A443="Geprüft",Programme_Grunddaten!AC443&lt;&gt;""),IF(Programme_Grunddaten!AC443="Ja",1,0),"")</f>
        <v/>
      </c>
      <c r="V438" s="1" t="str">
        <f>IF(AND(Programme_Grunddaten!$A443="Geprüft",Programme_Grunddaten!AD443&lt;&gt;""),IF(Programme_Grunddaten!AD443="Ja",1,0),"")</f>
        <v/>
      </c>
      <c r="W438" s="1" t="str">
        <f>IF(AND(Programme_Grunddaten!$A443="Geprüft",Programme_Grunddaten!AE443&lt;&gt;""),IF(Programme_Grunddaten!AE443="Ja",1,0),"")</f>
        <v/>
      </c>
      <c r="X438" s="1" t="str">
        <f>IF(AND(Programme_Grunddaten!$A443="Geprüft",Programme_Grunddaten!AF443&lt;&gt;""),IF(Programme_Grunddaten!AF443="Ja",1,0),"")</f>
        <v/>
      </c>
      <c r="Y438" s="1" t="str">
        <f>IF(AND(Programme_Grunddaten!$A443="Geprüft",Programme_Grunddaten!AG443&lt;&gt;""),IF(Programme_Grunddaten!AG443="Ja",1,0),"")</f>
        <v/>
      </c>
      <c r="Z438" s="1" t="str">
        <f>IF(AND(Programme_Grunddaten!$A443="Geprüft",Programme_Grunddaten!AH443&lt;&gt;""),IF(Programme_Grunddaten!AH443="Ja",1,0),"")</f>
        <v/>
      </c>
      <c r="AA438" s="1" t="str">
        <f>IF(AND(Programme_Grunddaten!$A443="Geprüft",Programme_Grunddaten!AI443&lt;&gt;""),IF(Programme_Grunddaten!AI443="Ja",1,0),"")</f>
        <v/>
      </c>
      <c r="AB438" s="1" t="str">
        <f>IF(AND(Programme_Grunddaten!$A443="Geprüft",Programme_Grunddaten!AJ443&lt;&gt;""),IF(Programme_Grunddaten!AJ443="individuell programmierbar",1,0),"")</f>
        <v/>
      </c>
      <c r="AC438" s="1" t="str">
        <f>IF(AND(Programme_Grunddaten!$A443="Geprüft",Programme_Grunddaten!AK443&lt;&gt;""),IF(Programme_Grunddaten!AK443="Deutsch",0,IF(Programme_Grunddaten!AK443="Deutsch und Englisch",1,2)),"")</f>
        <v/>
      </c>
      <c r="AD438" s="1" t="str">
        <f>IF(AND(Programme_Grunddaten!$A443="Geprüft",Programme_Grunddaten!AL443&lt;&gt;""),IF(Programme_Grunddaten!AL443="Ja",1,0),"")</f>
        <v/>
      </c>
      <c r="AE438" s="1" t="str">
        <f>IF(AND(Programme_Grunddaten!$A443="Geprüft",Programme_Grunddaten!AM443&lt;&gt;""),IF(Programme_Grunddaten!AM443="Ja",1,0),"")</f>
        <v/>
      </c>
      <c r="AF438" s="1" t="str">
        <f>IF(AND(Programme_Grunddaten!$A443="Geprüft",Programme_Grunddaten!AN443&lt;&gt;""),IF(Programme_Grunddaten!AN443="Ja",1,0),"")</f>
        <v/>
      </c>
      <c r="AG438" s="1" t="str">
        <f>IF(AND(Programme_Grunddaten!$A443="Geprüft",Programme_Grunddaten!AO443&lt;&gt;""),IF(Programme_Grunddaten!AO443="Ja",1,0),"")</f>
        <v/>
      </c>
      <c r="AH438" s="1" t="str">
        <f>IF(AND(Programme_Grunddaten!$A443="Geprüft",Programme_Grunddaten!AP443&lt;&gt;""),IF(Programme_Grunddaten!AP443="Ja",1,0),"")</f>
        <v/>
      </c>
      <c r="AI438" s="1" t="str">
        <f>IF(AND(Programme_Grunddaten!$A443="Geprüft",Programme_Grunddaten!AQ443&lt;&gt;""),IF(Programme_Grunddaten!AQ443="Ja",1,0),"")</f>
        <v/>
      </c>
      <c r="AJ438" s="1" t="str">
        <f>IF(AND(Programme_Grunddaten!$A443="Geprüft",Programme_Grunddaten!AR443&lt;&gt;""),IF(Programme_Grunddaten!AR443="Ja",1,0),"")</f>
        <v/>
      </c>
      <c r="AK438" s="1" t="str">
        <f>IF(AND(Programme_Grunddaten!$A443="Geprüft",Programme_Grunddaten!AS443&lt;&gt;""),IF(Programme_Grunddaten!AS443="Ja",1,0),"")</f>
        <v/>
      </c>
      <c r="AL438" s="1" t="str">
        <f>IF(AND(Programme_Grunddaten!$A443="Geprüft",Programme_Grunddaten!AT443&lt;&gt;""),IF(Programme_Grunddaten!AT443="Ja",1,0),"")</f>
        <v/>
      </c>
      <c r="AM438" s="1" t="str">
        <f>IF(AND(Programme_Grunddaten!$A443="Geprüft",Programme_Grunddaten!AU443&lt;&gt;""),IF(Programme_Grunddaten!AU443="Ja",1,0),"")</f>
        <v/>
      </c>
      <c r="AN438" s="1" t="str">
        <f>IF(AND(Programme_Grunddaten!$A443="Geprüft",Programme_Grunddaten!AV443&lt;&gt;""),IF(Programme_Grunddaten!AV443="Ja",1,0),"")</f>
        <v/>
      </c>
    </row>
    <row r="439" spans="1:40" x14ac:dyDescent="0.3">
      <c r="A439" s="1" t="str">
        <f>IF(AND(Programme_Grunddaten!A444="Geprüft",Programme_Grunddaten!B444&lt;&gt;""),Programme_Grunddaten!B444,"")</f>
        <v/>
      </c>
      <c r="B439" s="1" t="str">
        <f>IF(AND(Programme_Grunddaten!$A444="Geprüft",Programme_Grunddaten!I444&lt;&gt;""),IF(Programme_Grunddaten!I444="Ja",1,0),"")</f>
        <v/>
      </c>
      <c r="C439" s="1" t="str">
        <f>IF(AND(Programme_Grunddaten!$A444="Geprüft",Programme_Grunddaten!J444&lt;&gt;""),IF(Programme_Grunddaten!J444="Ja",1,0),"")</f>
        <v/>
      </c>
      <c r="D439" s="1" t="str">
        <f>IF(AND(Programme_Grunddaten!$A444="Geprüft",Programme_Grunddaten!K444&lt;&gt;""),IF(Programme_Grunddaten!K444="Ja",1,0),"")</f>
        <v/>
      </c>
      <c r="E439" s="1" t="str">
        <f>IF(AND(Programme_Grunddaten!$A444="Geprüft",Programme_Grunddaten!L444&lt;&gt;""),IF(Programme_Grunddaten!L444="Abo / befristete Lizenz",1,0),"")</f>
        <v/>
      </c>
      <c r="F439" s="1" t="str">
        <f>IF(AND(Programme_Grunddaten!$A444="Geprüft",Programme_Grunddaten!M444&lt;&gt;""),IF(Programme_Grunddaten!M444="Ja",1,0),"")</f>
        <v/>
      </c>
      <c r="G439" s="1" t="str">
        <f>IF(AND(Programme_Grunddaten!$A444="Geprüft",Programme_Grunddaten!N444&lt;&gt;""),IF(Programme_Grunddaten!N444="Ja",1,0),"")</f>
        <v/>
      </c>
      <c r="H439" s="1" t="str">
        <f>IF(AND(Programme_Grunddaten!$A444="Geprüft",Programme_Grunddaten!O444&lt;&gt;""),IF(Programme_Grunddaten!O444="Deutschland",0,IF(Programme_Grunddaten!O444="EU",1,2)),"")</f>
        <v/>
      </c>
      <c r="I439" s="1" t="str">
        <f>IF(AND(Programme_Grunddaten!$A444="Geprüft",Programme_Grunddaten!P444&lt;&gt;""),IF(Programme_Grunddaten!P444="Ja",1,0),"")</f>
        <v/>
      </c>
      <c r="J439" s="1" t="str">
        <f>IF(AND(Programme_Grunddaten!$A444="Geprüft",Programme_Grunddaten!Q444&lt;&gt;""),IF(Programme_Grunddaten!Q444="geschlossenes System",1,0),"")</f>
        <v/>
      </c>
      <c r="K439" s="1" t="str">
        <f>IF(AND(Programme_Grunddaten!$A444="Geprüft",Programme_Grunddaten!R444&lt;&gt;""),IF(Programme_Grunddaten!R444="Ja",1,0),"")</f>
        <v/>
      </c>
      <c r="L439" s="1" t="str">
        <f>IF(AND(Programme_Grunddaten!$A444="Geprüft",Programme_Grunddaten!T444&lt;&gt;""),IF(Programme_Grunddaten!T444="Ja",1,0),"")</f>
        <v/>
      </c>
      <c r="M439" s="1" t="str">
        <f>IF(AND(Programme_Grunddaten!$A444="Geprüft",Programme_Grunddaten!U444&lt;&gt;""),IF(Programme_Grunddaten!U444="Ja",1,0),"")</f>
        <v/>
      </c>
      <c r="N439" s="1" t="str">
        <f>IF(AND(Programme_Grunddaten!$A444="Geprüft",Programme_Grunddaten!V444&lt;&gt;""),IF(Programme_Grunddaten!V444="Ja",1,0),"")</f>
        <v/>
      </c>
      <c r="O439" s="1" t="str">
        <f>IF(AND(Programme_Grunddaten!$A444="Geprüft",Programme_Grunddaten!W444&lt;&gt;""),IF(Programme_Grunddaten!W444="Ja",1,0),"")</f>
        <v/>
      </c>
      <c r="P439" s="1" t="str">
        <f>IF(AND(Programme_Grunddaten!$A444="Geprüft",Programme_Grunddaten!X444&lt;&gt;""),IF(Programme_Grunddaten!X444="Ja",1,0),"")</f>
        <v/>
      </c>
      <c r="Q439" s="1" t="str">
        <f>IF(AND(Programme_Grunddaten!$A444="Geprüft",Programme_Grunddaten!Y444&lt;&gt;""),IF(Programme_Grunddaten!Y444="Ja",1,0),"")</f>
        <v/>
      </c>
      <c r="R439" s="1" t="str">
        <f>IF(AND(Programme_Grunddaten!$A444="Geprüft",Programme_Grunddaten!Z444&lt;&gt;""),IF(Programme_Grunddaten!Z444="Ja",1,0),"")</f>
        <v/>
      </c>
      <c r="S439" s="1" t="str">
        <f>IF(AND(Programme_Grunddaten!$A444="Geprüft",Programme_Grunddaten!AA444&lt;&gt;""),IF(Programme_Grunddaten!AA444="monolithisch",1,0),"")</f>
        <v/>
      </c>
      <c r="T439" s="1" t="str">
        <f>IF(AND(Programme_Grunddaten!$A444="Geprüft",Programme_Grunddaten!AB444&lt;&gt;""),IF(Programme_Grunddaten!AB444="Ja",1,0),"")</f>
        <v/>
      </c>
      <c r="U439" s="1" t="str">
        <f>IF(AND(Programme_Grunddaten!$A444="Geprüft",Programme_Grunddaten!AC444&lt;&gt;""),IF(Programme_Grunddaten!AC444="Ja",1,0),"")</f>
        <v/>
      </c>
      <c r="V439" s="1" t="str">
        <f>IF(AND(Programme_Grunddaten!$A444="Geprüft",Programme_Grunddaten!AD444&lt;&gt;""),IF(Programme_Grunddaten!AD444="Ja",1,0),"")</f>
        <v/>
      </c>
      <c r="W439" s="1" t="str">
        <f>IF(AND(Programme_Grunddaten!$A444="Geprüft",Programme_Grunddaten!AE444&lt;&gt;""),IF(Programme_Grunddaten!AE444="Ja",1,0),"")</f>
        <v/>
      </c>
      <c r="X439" s="1" t="str">
        <f>IF(AND(Programme_Grunddaten!$A444="Geprüft",Programme_Grunddaten!AF444&lt;&gt;""),IF(Programme_Grunddaten!AF444="Ja",1,0),"")</f>
        <v/>
      </c>
      <c r="Y439" s="1" t="str">
        <f>IF(AND(Programme_Grunddaten!$A444="Geprüft",Programme_Grunddaten!AG444&lt;&gt;""),IF(Programme_Grunddaten!AG444="Ja",1,0),"")</f>
        <v/>
      </c>
      <c r="Z439" s="1" t="str">
        <f>IF(AND(Programme_Grunddaten!$A444="Geprüft",Programme_Grunddaten!AH444&lt;&gt;""),IF(Programme_Grunddaten!AH444="Ja",1,0),"")</f>
        <v/>
      </c>
      <c r="AA439" s="1" t="str">
        <f>IF(AND(Programme_Grunddaten!$A444="Geprüft",Programme_Grunddaten!AI444&lt;&gt;""),IF(Programme_Grunddaten!AI444="Ja",1,0),"")</f>
        <v/>
      </c>
      <c r="AB439" s="1" t="str">
        <f>IF(AND(Programme_Grunddaten!$A444="Geprüft",Programme_Grunddaten!AJ444&lt;&gt;""),IF(Programme_Grunddaten!AJ444="individuell programmierbar",1,0),"")</f>
        <v/>
      </c>
      <c r="AC439" s="1" t="str">
        <f>IF(AND(Programme_Grunddaten!$A444="Geprüft",Programme_Grunddaten!AK444&lt;&gt;""),IF(Programme_Grunddaten!AK444="Deutsch",0,IF(Programme_Grunddaten!AK444="Deutsch und Englisch",1,2)),"")</f>
        <v/>
      </c>
      <c r="AD439" s="1" t="str">
        <f>IF(AND(Programme_Grunddaten!$A444="Geprüft",Programme_Grunddaten!AL444&lt;&gt;""),IF(Programme_Grunddaten!AL444="Ja",1,0),"")</f>
        <v/>
      </c>
      <c r="AE439" s="1" t="str">
        <f>IF(AND(Programme_Grunddaten!$A444="Geprüft",Programme_Grunddaten!AM444&lt;&gt;""),IF(Programme_Grunddaten!AM444="Ja",1,0),"")</f>
        <v/>
      </c>
      <c r="AF439" s="1" t="str">
        <f>IF(AND(Programme_Grunddaten!$A444="Geprüft",Programme_Grunddaten!AN444&lt;&gt;""),IF(Programme_Grunddaten!AN444="Ja",1,0),"")</f>
        <v/>
      </c>
      <c r="AG439" s="1" t="str">
        <f>IF(AND(Programme_Grunddaten!$A444="Geprüft",Programme_Grunddaten!AO444&lt;&gt;""),IF(Programme_Grunddaten!AO444="Ja",1,0),"")</f>
        <v/>
      </c>
      <c r="AH439" s="1" t="str">
        <f>IF(AND(Programme_Grunddaten!$A444="Geprüft",Programme_Grunddaten!AP444&lt;&gt;""),IF(Programme_Grunddaten!AP444="Ja",1,0),"")</f>
        <v/>
      </c>
      <c r="AI439" s="1" t="str">
        <f>IF(AND(Programme_Grunddaten!$A444="Geprüft",Programme_Grunddaten!AQ444&lt;&gt;""),IF(Programme_Grunddaten!AQ444="Ja",1,0),"")</f>
        <v/>
      </c>
      <c r="AJ439" s="1" t="str">
        <f>IF(AND(Programme_Grunddaten!$A444="Geprüft",Programme_Grunddaten!AR444&lt;&gt;""),IF(Programme_Grunddaten!AR444="Ja",1,0),"")</f>
        <v/>
      </c>
      <c r="AK439" s="1" t="str">
        <f>IF(AND(Programme_Grunddaten!$A444="Geprüft",Programme_Grunddaten!AS444&lt;&gt;""),IF(Programme_Grunddaten!AS444="Ja",1,0),"")</f>
        <v/>
      </c>
      <c r="AL439" s="1" t="str">
        <f>IF(AND(Programme_Grunddaten!$A444="Geprüft",Programme_Grunddaten!AT444&lt;&gt;""),IF(Programme_Grunddaten!AT444="Ja",1,0),"")</f>
        <v/>
      </c>
      <c r="AM439" s="1" t="str">
        <f>IF(AND(Programme_Grunddaten!$A444="Geprüft",Programme_Grunddaten!AU444&lt;&gt;""),IF(Programme_Grunddaten!AU444="Ja",1,0),"")</f>
        <v/>
      </c>
      <c r="AN439" s="1" t="str">
        <f>IF(AND(Programme_Grunddaten!$A444="Geprüft",Programme_Grunddaten!AV444&lt;&gt;""),IF(Programme_Grunddaten!AV444="Ja",1,0),"")</f>
        <v/>
      </c>
    </row>
    <row r="440" spans="1:40" x14ac:dyDescent="0.3">
      <c r="A440" s="1" t="str">
        <f>IF(AND(Programme_Grunddaten!A445="Geprüft",Programme_Grunddaten!B445&lt;&gt;""),Programme_Grunddaten!B445,"")</f>
        <v/>
      </c>
      <c r="B440" s="1" t="str">
        <f>IF(AND(Programme_Grunddaten!$A445="Geprüft",Programme_Grunddaten!I445&lt;&gt;""),IF(Programme_Grunddaten!I445="Ja",1,0),"")</f>
        <v/>
      </c>
      <c r="C440" s="1" t="str">
        <f>IF(AND(Programme_Grunddaten!$A445="Geprüft",Programme_Grunddaten!J445&lt;&gt;""),IF(Programme_Grunddaten!J445="Ja",1,0),"")</f>
        <v/>
      </c>
      <c r="D440" s="1" t="str">
        <f>IF(AND(Programme_Grunddaten!$A445="Geprüft",Programme_Grunddaten!K445&lt;&gt;""),IF(Programme_Grunddaten!K445="Ja",1,0),"")</f>
        <v/>
      </c>
      <c r="E440" s="1" t="str">
        <f>IF(AND(Programme_Grunddaten!$A445="Geprüft",Programme_Grunddaten!L445&lt;&gt;""),IF(Programme_Grunddaten!L445="Abo / befristete Lizenz",1,0),"")</f>
        <v/>
      </c>
      <c r="F440" s="1" t="str">
        <f>IF(AND(Programme_Grunddaten!$A445="Geprüft",Programme_Grunddaten!M445&lt;&gt;""),IF(Programme_Grunddaten!M445="Ja",1,0),"")</f>
        <v/>
      </c>
      <c r="G440" s="1" t="str">
        <f>IF(AND(Programme_Grunddaten!$A445="Geprüft",Programme_Grunddaten!N445&lt;&gt;""),IF(Programme_Grunddaten!N445="Ja",1,0),"")</f>
        <v/>
      </c>
      <c r="H440" s="1" t="str">
        <f>IF(AND(Programme_Grunddaten!$A445="Geprüft",Programme_Grunddaten!O445&lt;&gt;""),IF(Programme_Grunddaten!O445="Deutschland",0,IF(Programme_Grunddaten!O445="EU",1,2)),"")</f>
        <v/>
      </c>
      <c r="I440" s="1" t="str">
        <f>IF(AND(Programme_Grunddaten!$A445="Geprüft",Programme_Grunddaten!P445&lt;&gt;""),IF(Programme_Grunddaten!P445="Ja",1,0),"")</f>
        <v/>
      </c>
      <c r="J440" s="1" t="str">
        <f>IF(AND(Programme_Grunddaten!$A445="Geprüft",Programme_Grunddaten!Q445&lt;&gt;""),IF(Programme_Grunddaten!Q445="geschlossenes System",1,0),"")</f>
        <v/>
      </c>
      <c r="K440" s="1" t="str">
        <f>IF(AND(Programme_Grunddaten!$A445="Geprüft",Programme_Grunddaten!R445&lt;&gt;""),IF(Programme_Grunddaten!R445="Ja",1,0),"")</f>
        <v/>
      </c>
      <c r="L440" s="1" t="str">
        <f>IF(AND(Programme_Grunddaten!$A445="Geprüft",Programme_Grunddaten!T445&lt;&gt;""),IF(Programme_Grunddaten!T445="Ja",1,0),"")</f>
        <v/>
      </c>
      <c r="M440" s="1" t="str">
        <f>IF(AND(Programme_Grunddaten!$A445="Geprüft",Programme_Grunddaten!U445&lt;&gt;""),IF(Programme_Grunddaten!U445="Ja",1,0),"")</f>
        <v/>
      </c>
      <c r="N440" s="1" t="str">
        <f>IF(AND(Programme_Grunddaten!$A445="Geprüft",Programme_Grunddaten!V445&lt;&gt;""),IF(Programme_Grunddaten!V445="Ja",1,0),"")</f>
        <v/>
      </c>
      <c r="O440" s="1" t="str">
        <f>IF(AND(Programme_Grunddaten!$A445="Geprüft",Programme_Grunddaten!W445&lt;&gt;""),IF(Programme_Grunddaten!W445="Ja",1,0),"")</f>
        <v/>
      </c>
      <c r="P440" s="1" t="str">
        <f>IF(AND(Programme_Grunddaten!$A445="Geprüft",Programme_Grunddaten!X445&lt;&gt;""),IF(Programme_Grunddaten!X445="Ja",1,0),"")</f>
        <v/>
      </c>
      <c r="Q440" s="1" t="str">
        <f>IF(AND(Programme_Grunddaten!$A445="Geprüft",Programme_Grunddaten!Y445&lt;&gt;""),IF(Programme_Grunddaten!Y445="Ja",1,0),"")</f>
        <v/>
      </c>
      <c r="R440" s="1" t="str">
        <f>IF(AND(Programme_Grunddaten!$A445="Geprüft",Programme_Grunddaten!Z445&lt;&gt;""),IF(Programme_Grunddaten!Z445="Ja",1,0),"")</f>
        <v/>
      </c>
      <c r="S440" s="1" t="str">
        <f>IF(AND(Programme_Grunddaten!$A445="Geprüft",Programme_Grunddaten!AA445&lt;&gt;""),IF(Programme_Grunddaten!AA445="monolithisch",1,0),"")</f>
        <v/>
      </c>
      <c r="T440" s="1" t="str">
        <f>IF(AND(Programme_Grunddaten!$A445="Geprüft",Programme_Grunddaten!AB445&lt;&gt;""),IF(Programme_Grunddaten!AB445="Ja",1,0),"")</f>
        <v/>
      </c>
      <c r="U440" s="1" t="str">
        <f>IF(AND(Programme_Grunddaten!$A445="Geprüft",Programme_Grunddaten!AC445&lt;&gt;""),IF(Programme_Grunddaten!AC445="Ja",1,0),"")</f>
        <v/>
      </c>
      <c r="V440" s="1" t="str">
        <f>IF(AND(Programme_Grunddaten!$A445="Geprüft",Programme_Grunddaten!AD445&lt;&gt;""),IF(Programme_Grunddaten!AD445="Ja",1,0),"")</f>
        <v/>
      </c>
      <c r="W440" s="1" t="str">
        <f>IF(AND(Programme_Grunddaten!$A445="Geprüft",Programme_Grunddaten!AE445&lt;&gt;""),IF(Programme_Grunddaten!AE445="Ja",1,0),"")</f>
        <v/>
      </c>
      <c r="X440" s="1" t="str">
        <f>IF(AND(Programme_Grunddaten!$A445="Geprüft",Programme_Grunddaten!AF445&lt;&gt;""),IF(Programme_Grunddaten!AF445="Ja",1,0),"")</f>
        <v/>
      </c>
      <c r="Y440" s="1" t="str">
        <f>IF(AND(Programme_Grunddaten!$A445="Geprüft",Programme_Grunddaten!AG445&lt;&gt;""),IF(Programme_Grunddaten!AG445="Ja",1,0),"")</f>
        <v/>
      </c>
      <c r="Z440" s="1" t="str">
        <f>IF(AND(Programme_Grunddaten!$A445="Geprüft",Programme_Grunddaten!AH445&lt;&gt;""),IF(Programme_Grunddaten!AH445="Ja",1,0),"")</f>
        <v/>
      </c>
      <c r="AA440" s="1" t="str">
        <f>IF(AND(Programme_Grunddaten!$A445="Geprüft",Programme_Grunddaten!AI445&lt;&gt;""),IF(Programme_Grunddaten!AI445="Ja",1,0),"")</f>
        <v/>
      </c>
      <c r="AB440" s="1" t="str">
        <f>IF(AND(Programme_Grunddaten!$A445="Geprüft",Programme_Grunddaten!AJ445&lt;&gt;""),IF(Programme_Grunddaten!AJ445="individuell programmierbar",1,0),"")</f>
        <v/>
      </c>
      <c r="AC440" s="1" t="str">
        <f>IF(AND(Programme_Grunddaten!$A445="Geprüft",Programme_Grunddaten!AK445&lt;&gt;""),IF(Programme_Grunddaten!AK445="Deutsch",0,IF(Programme_Grunddaten!AK445="Deutsch und Englisch",1,2)),"")</f>
        <v/>
      </c>
      <c r="AD440" s="1" t="str">
        <f>IF(AND(Programme_Grunddaten!$A445="Geprüft",Programme_Grunddaten!AL445&lt;&gt;""),IF(Programme_Grunddaten!AL445="Ja",1,0),"")</f>
        <v/>
      </c>
      <c r="AE440" s="1" t="str">
        <f>IF(AND(Programme_Grunddaten!$A445="Geprüft",Programme_Grunddaten!AM445&lt;&gt;""),IF(Programme_Grunddaten!AM445="Ja",1,0),"")</f>
        <v/>
      </c>
      <c r="AF440" s="1" t="str">
        <f>IF(AND(Programme_Grunddaten!$A445="Geprüft",Programme_Grunddaten!AN445&lt;&gt;""),IF(Programme_Grunddaten!AN445="Ja",1,0),"")</f>
        <v/>
      </c>
      <c r="AG440" s="1" t="str">
        <f>IF(AND(Programme_Grunddaten!$A445="Geprüft",Programme_Grunddaten!AO445&lt;&gt;""),IF(Programme_Grunddaten!AO445="Ja",1,0),"")</f>
        <v/>
      </c>
      <c r="AH440" s="1" t="str">
        <f>IF(AND(Programme_Grunddaten!$A445="Geprüft",Programme_Grunddaten!AP445&lt;&gt;""),IF(Programme_Grunddaten!AP445="Ja",1,0),"")</f>
        <v/>
      </c>
      <c r="AI440" s="1" t="str">
        <f>IF(AND(Programme_Grunddaten!$A445="Geprüft",Programme_Grunddaten!AQ445&lt;&gt;""),IF(Programme_Grunddaten!AQ445="Ja",1,0),"")</f>
        <v/>
      </c>
      <c r="AJ440" s="1" t="str">
        <f>IF(AND(Programme_Grunddaten!$A445="Geprüft",Programme_Grunddaten!AR445&lt;&gt;""),IF(Programme_Grunddaten!AR445="Ja",1,0),"")</f>
        <v/>
      </c>
      <c r="AK440" s="1" t="str">
        <f>IF(AND(Programme_Grunddaten!$A445="Geprüft",Programme_Grunddaten!AS445&lt;&gt;""),IF(Programme_Grunddaten!AS445="Ja",1,0),"")</f>
        <v/>
      </c>
      <c r="AL440" s="1" t="str">
        <f>IF(AND(Programme_Grunddaten!$A445="Geprüft",Programme_Grunddaten!AT445&lt;&gt;""),IF(Programme_Grunddaten!AT445="Ja",1,0),"")</f>
        <v/>
      </c>
      <c r="AM440" s="1" t="str">
        <f>IF(AND(Programme_Grunddaten!$A445="Geprüft",Programme_Grunddaten!AU445&lt;&gt;""),IF(Programme_Grunddaten!AU445="Ja",1,0),"")</f>
        <v/>
      </c>
      <c r="AN440" s="1" t="str">
        <f>IF(AND(Programme_Grunddaten!$A445="Geprüft",Programme_Grunddaten!AV445&lt;&gt;""),IF(Programme_Grunddaten!AV445="Ja",1,0),"")</f>
        <v/>
      </c>
    </row>
    <row r="441" spans="1:40" x14ac:dyDescent="0.3">
      <c r="A441" s="1" t="str">
        <f>IF(AND(Programme_Grunddaten!A446="Geprüft",Programme_Grunddaten!B446&lt;&gt;""),Programme_Grunddaten!B446,"")</f>
        <v/>
      </c>
      <c r="B441" s="1" t="str">
        <f>IF(AND(Programme_Grunddaten!$A446="Geprüft",Programme_Grunddaten!I446&lt;&gt;""),IF(Programme_Grunddaten!I446="Ja",1,0),"")</f>
        <v/>
      </c>
      <c r="C441" s="1" t="str">
        <f>IF(AND(Programme_Grunddaten!$A446="Geprüft",Programme_Grunddaten!J446&lt;&gt;""),IF(Programme_Grunddaten!J446="Ja",1,0),"")</f>
        <v/>
      </c>
      <c r="D441" s="1" t="str">
        <f>IF(AND(Programme_Grunddaten!$A446="Geprüft",Programme_Grunddaten!K446&lt;&gt;""),IF(Programme_Grunddaten!K446="Ja",1,0),"")</f>
        <v/>
      </c>
      <c r="E441" s="1" t="str">
        <f>IF(AND(Programme_Grunddaten!$A446="Geprüft",Programme_Grunddaten!L446&lt;&gt;""),IF(Programme_Grunddaten!L446="Abo / befristete Lizenz",1,0),"")</f>
        <v/>
      </c>
      <c r="F441" s="1" t="str">
        <f>IF(AND(Programme_Grunddaten!$A446="Geprüft",Programme_Grunddaten!M446&lt;&gt;""),IF(Programme_Grunddaten!M446="Ja",1,0),"")</f>
        <v/>
      </c>
      <c r="G441" s="1" t="str">
        <f>IF(AND(Programme_Grunddaten!$A446="Geprüft",Programme_Grunddaten!N446&lt;&gt;""),IF(Programme_Grunddaten!N446="Ja",1,0),"")</f>
        <v/>
      </c>
      <c r="H441" s="1" t="str">
        <f>IF(AND(Programme_Grunddaten!$A446="Geprüft",Programme_Grunddaten!O446&lt;&gt;""),IF(Programme_Grunddaten!O446="Deutschland",0,IF(Programme_Grunddaten!O446="EU",1,2)),"")</f>
        <v/>
      </c>
      <c r="I441" s="1" t="str">
        <f>IF(AND(Programme_Grunddaten!$A446="Geprüft",Programme_Grunddaten!P446&lt;&gt;""),IF(Programme_Grunddaten!P446="Ja",1,0),"")</f>
        <v/>
      </c>
      <c r="J441" s="1" t="str">
        <f>IF(AND(Programme_Grunddaten!$A446="Geprüft",Programme_Grunddaten!Q446&lt;&gt;""),IF(Programme_Grunddaten!Q446="geschlossenes System",1,0),"")</f>
        <v/>
      </c>
      <c r="K441" s="1" t="str">
        <f>IF(AND(Programme_Grunddaten!$A446="Geprüft",Programme_Grunddaten!R446&lt;&gt;""),IF(Programme_Grunddaten!R446="Ja",1,0),"")</f>
        <v/>
      </c>
      <c r="L441" s="1" t="str">
        <f>IF(AND(Programme_Grunddaten!$A446="Geprüft",Programme_Grunddaten!T446&lt;&gt;""),IF(Programme_Grunddaten!T446="Ja",1,0),"")</f>
        <v/>
      </c>
      <c r="M441" s="1" t="str">
        <f>IF(AND(Programme_Grunddaten!$A446="Geprüft",Programme_Grunddaten!U446&lt;&gt;""),IF(Programme_Grunddaten!U446="Ja",1,0),"")</f>
        <v/>
      </c>
      <c r="N441" s="1" t="str">
        <f>IF(AND(Programme_Grunddaten!$A446="Geprüft",Programme_Grunddaten!V446&lt;&gt;""),IF(Programme_Grunddaten!V446="Ja",1,0),"")</f>
        <v/>
      </c>
      <c r="O441" s="1" t="str">
        <f>IF(AND(Programme_Grunddaten!$A446="Geprüft",Programme_Grunddaten!W446&lt;&gt;""),IF(Programme_Grunddaten!W446="Ja",1,0),"")</f>
        <v/>
      </c>
      <c r="P441" s="1" t="str">
        <f>IF(AND(Programme_Grunddaten!$A446="Geprüft",Programme_Grunddaten!X446&lt;&gt;""),IF(Programme_Grunddaten!X446="Ja",1,0),"")</f>
        <v/>
      </c>
      <c r="Q441" s="1" t="str">
        <f>IF(AND(Programme_Grunddaten!$A446="Geprüft",Programme_Grunddaten!Y446&lt;&gt;""),IF(Programme_Grunddaten!Y446="Ja",1,0),"")</f>
        <v/>
      </c>
      <c r="R441" s="1" t="str">
        <f>IF(AND(Programme_Grunddaten!$A446="Geprüft",Programme_Grunddaten!Z446&lt;&gt;""),IF(Programme_Grunddaten!Z446="Ja",1,0),"")</f>
        <v/>
      </c>
      <c r="S441" s="1" t="str">
        <f>IF(AND(Programme_Grunddaten!$A446="Geprüft",Programme_Grunddaten!AA446&lt;&gt;""),IF(Programme_Grunddaten!AA446="monolithisch",1,0),"")</f>
        <v/>
      </c>
      <c r="T441" s="1" t="str">
        <f>IF(AND(Programme_Grunddaten!$A446="Geprüft",Programme_Grunddaten!AB446&lt;&gt;""),IF(Programme_Grunddaten!AB446="Ja",1,0),"")</f>
        <v/>
      </c>
      <c r="U441" s="1" t="str">
        <f>IF(AND(Programme_Grunddaten!$A446="Geprüft",Programme_Grunddaten!AC446&lt;&gt;""),IF(Programme_Grunddaten!AC446="Ja",1,0),"")</f>
        <v/>
      </c>
      <c r="V441" s="1" t="str">
        <f>IF(AND(Programme_Grunddaten!$A446="Geprüft",Programme_Grunddaten!AD446&lt;&gt;""),IF(Programme_Grunddaten!AD446="Ja",1,0),"")</f>
        <v/>
      </c>
      <c r="W441" s="1" t="str">
        <f>IF(AND(Programme_Grunddaten!$A446="Geprüft",Programme_Grunddaten!AE446&lt;&gt;""),IF(Programme_Grunddaten!AE446="Ja",1,0),"")</f>
        <v/>
      </c>
      <c r="X441" s="1" t="str">
        <f>IF(AND(Programme_Grunddaten!$A446="Geprüft",Programme_Grunddaten!AF446&lt;&gt;""),IF(Programme_Grunddaten!AF446="Ja",1,0),"")</f>
        <v/>
      </c>
      <c r="Y441" s="1" t="str">
        <f>IF(AND(Programme_Grunddaten!$A446="Geprüft",Programme_Grunddaten!AG446&lt;&gt;""),IF(Programme_Grunddaten!AG446="Ja",1,0),"")</f>
        <v/>
      </c>
      <c r="Z441" s="1" t="str">
        <f>IF(AND(Programme_Grunddaten!$A446="Geprüft",Programme_Grunddaten!AH446&lt;&gt;""),IF(Programme_Grunddaten!AH446="Ja",1,0),"")</f>
        <v/>
      </c>
      <c r="AA441" s="1" t="str">
        <f>IF(AND(Programme_Grunddaten!$A446="Geprüft",Programme_Grunddaten!AI446&lt;&gt;""),IF(Programme_Grunddaten!AI446="Ja",1,0),"")</f>
        <v/>
      </c>
      <c r="AB441" s="1" t="str">
        <f>IF(AND(Programme_Grunddaten!$A446="Geprüft",Programme_Grunddaten!AJ446&lt;&gt;""),IF(Programme_Grunddaten!AJ446="individuell programmierbar",1,0),"")</f>
        <v/>
      </c>
      <c r="AC441" s="1" t="str">
        <f>IF(AND(Programme_Grunddaten!$A446="Geprüft",Programme_Grunddaten!AK446&lt;&gt;""),IF(Programme_Grunddaten!AK446="Deutsch",0,IF(Programme_Grunddaten!AK446="Deutsch und Englisch",1,2)),"")</f>
        <v/>
      </c>
      <c r="AD441" s="1" t="str">
        <f>IF(AND(Programme_Grunddaten!$A446="Geprüft",Programme_Grunddaten!AL446&lt;&gt;""),IF(Programme_Grunddaten!AL446="Ja",1,0),"")</f>
        <v/>
      </c>
      <c r="AE441" s="1" t="str">
        <f>IF(AND(Programme_Grunddaten!$A446="Geprüft",Programme_Grunddaten!AM446&lt;&gt;""),IF(Programme_Grunddaten!AM446="Ja",1,0),"")</f>
        <v/>
      </c>
      <c r="AF441" s="1" t="str">
        <f>IF(AND(Programme_Grunddaten!$A446="Geprüft",Programme_Grunddaten!AN446&lt;&gt;""),IF(Programme_Grunddaten!AN446="Ja",1,0),"")</f>
        <v/>
      </c>
      <c r="AG441" s="1" t="str">
        <f>IF(AND(Programme_Grunddaten!$A446="Geprüft",Programme_Grunddaten!AO446&lt;&gt;""),IF(Programme_Grunddaten!AO446="Ja",1,0),"")</f>
        <v/>
      </c>
      <c r="AH441" s="1" t="str">
        <f>IF(AND(Programme_Grunddaten!$A446="Geprüft",Programme_Grunddaten!AP446&lt;&gt;""),IF(Programme_Grunddaten!AP446="Ja",1,0),"")</f>
        <v/>
      </c>
      <c r="AI441" s="1" t="str">
        <f>IF(AND(Programme_Grunddaten!$A446="Geprüft",Programme_Grunddaten!AQ446&lt;&gt;""),IF(Programme_Grunddaten!AQ446="Ja",1,0),"")</f>
        <v/>
      </c>
      <c r="AJ441" s="1" t="str">
        <f>IF(AND(Programme_Grunddaten!$A446="Geprüft",Programme_Grunddaten!AR446&lt;&gt;""),IF(Programme_Grunddaten!AR446="Ja",1,0),"")</f>
        <v/>
      </c>
      <c r="AK441" s="1" t="str">
        <f>IF(AND(Programme_Grunddaten!$A446="Geprüft",Programme_Grunddaten!AS446&lt;&gt;""),IF(Programme_Grunddaten!AS446="Ja",1,0),"")</f>
        <v/>
      </c>
      <c r="AL441" s="1" t="str">
        <f>IF(AND(Programme_Grunddaten!$A446="Geprüft",Programme_Grunddaten!AT446&lt;&gt;""),IF(Programme_Grunddaten!AT446="Ja",1,0),"")</f>
        <v/>
      </c>
      <c r="AM441" s="1" t="str">
        <f>IF(AND(Programme_Grunddaten!$A446="Geprüft",Programme_Grunddaten!AU446&lt;&gt;""),IF(Programme_Grunddaten!AU446="Ja",1,0),"")</f>
        <v/>
      </c>
      <c r="AN441" s="1" t="str">
        <f>IF(AND(Programme_Grunddaten!$A446="Geprüft",Programme_Grunddaten!AV446&lt;&gt;""),IF(Programme_Grunddaten!AV446="Ja",1,0),"")</f>
        <v/>
      </c>
    </row>
    <row r="442" spans="1:40" x14ac:dyDescent="0.3">
      <c r="A442" s="1" t="str">
        <f>IF(AND(Programme_Grunddaten!A447="Geprüft",Programme_Grunddaten!B447&lt;&gt;""),Programme_Grunddaten!B447,"")</f>
        <v/>
      </c>
      <c r="B442" s="1" t="str">
        <f>IF(AND(Programme_Grunddaten!$A447="Geprüft",Programme_Grunddaten!I447&lt;&gt;""),IF(Programme_Grunddaten!I447="Ja",1,0),"")</f>
        <v/>
      </c>
      <c r="C442" s="1" t="str">
        <f>IF(AND(Programme_Grunddaten!$A447="Geprüft",Programme_Grunddaten!J447&lt;&gt;""),IF(Programme_Grunddaten!J447="Ja",1,0),"")</f>
        <v/>
      </c>
      <c r="D442" s="1" t="str">
        <f>IF(AND(Programme_Grunddaten!$A447="Geprüft",Programme_Grunddaten!K447&lt;&gt;""),IF(Programme_Grunddaten!K447="Ja",1,0),"")</f>
        <v/>
      </c>
      <c r="E442" s="1" t="str">
        <f>IF(AND(Programme_Grunddaten!$A447="Geprüft",Programme_Grunddaten!L447&lt;&gt;""),IF(Programme_Grunddaten!L447="Abo / befristete Lizenz",1,0),"")</f>
        <v/>
      </c>
      <c r="F442" s="1" t="str">
        <f>IF(AND(Programme_Grunddaten!$A447="Geprüft",Programme_Grunddaten!M447&lt;&gt;""),IF(Programme_Grunddaten!M447="Ja",1,0),"")</f>
        <v/>
      </c>
      <c r="G442" s="1" t="str">
        <f>IF(AND(Programme_Grunddaten!$A447="Geprüft",Programme_Grunddaten!N447&lt;&gt;""),IF(Programme_Grunddaten!N447="Ja",1,0),"")</f>
        <v/>
      </c>
      <c r="H442" s="1" t="str">
        <f>IF(AND(Programme_Grunddaten!$A447="Geprüft",Programme_Grunddaten!O447&lt;&gt;""),IF(Programme_Grunddaten!O447="Deutschland",0,IF(Programme_Grunddaten!O447="EU",1,2)),"")</f>
        <v/>
      </c>
      <c r="I442" s="1" t="str">
        <f>IF(AND(Programme_Grunddaten!$A447="Geprüft",Programme_Grunddaten!P447&lt;&gt;""),IF(Programme_Grunddaten!P447="Ja",1,0),"")</f>
        <v/>
      </c>
      <c r="J442" s="1" t="str">
        <f>IF(AND(Programme_Grunddaten!$A447="Geprüft",Programme_Grunddaten!Q447&lt;&gt;""),IF(Programme_Grunddaten!Q447="geschlossenes System",1,0),"")</f>
        <v/>
      </c>
      <c r="K442" s="1" t="str">
        <f>IF(AND(Programme_Grunddaten!$A447="Geprüft",Programme_Grunddaten!R447&lt;&gt;""),IF(Programme_Grunddaten!R447="Ja",1,0),"")</f>
        <v/>
      </c>
      <c r="L442" s="1" t="str">
        <f>IF(AND(Programme_Grunddaten!$A447="Geprüft",Programme_Grunddaten!T447&lt;&gt;""),IF(Programme_Grunddaten!T447="Ja",1,0),"")</f>
        <v/>
      </c>
      <c r="M442" s="1" t="str">
        <f>IF(AND(Programme_Grunddaten!$A447="Geprüft",Programme_Grunddaten!U447&lt;&gt;""),IF(Programme_Grunddaten!U447="Ja",1,0),"")</f>
        <v/>
      </c>
      <c r="N442" s="1" t="str">
        <f>IF(AND(Programme_Grunddaten!$A447="Geprüft",Programme_Grunddaten!V447&lt;&gt;""),IF(Programme_Grunddaten!V447="Ja",1,0),"")</f>
        <v/>
      </c>
      <c r="O442" s="1" t="str">
        <f>IF(AND(Programme_Grunddaten!$A447="Geprüft",Programme_Grunddaten!W447&lt;&gt;""),IF(Programme_Grunddaten!W447="Ja",1,0),"")</f>
        <v/>
      </c>
      <c r="P442" s="1" t="str">
        <f>IF(AND(Programme_Grunddaten!$A447="Geprüft",Programme_Grunddaten!X447&lt;&gt;""),IF(Programme_Grunddaten!X447="Ja",1,0),"")</f>
        <v/>
      </c>
      <c r="Q442" s="1" t="str">
        <f>IF(AND(Programme_Grunddaten!$A447="Geprüft",Programme_Grunddaten!Y447&lt;&gt;""),IF(Programme_Grunddaten!Y447="Ja",1,0),"")</f>
        <v/>
      </c>
      <c r="R442" s="1" t="str">
        <f>IF(AND(Programme_Grunddaten!$A447="Geprüft",Programme_Grunddaten!Z447&lt;&gt;""),IF(Programme_Grunddaten!Z447="Ja",1,0),"")</f>
        <v/>
      </c>
      <c r="S442" s="1" t="str">
        <f>IF(AND(Programme_Grunddaten!$A447="Geprüft",Programme_Grunddaten!AA447&lt;&gt;""),IF(Programme_Grunddaten!AA447="monolithisch",1,0),"")</f>
        <v/>
      </c>
      <c r="T442" s="1" t="str">
        <f>IF(AND(Programme_Grunddaten!$A447="Geprüft",Programme_Grunddaten!AB447&lt;&gt;""),IF(Programme_Grunddaten!AB447="Ja",1,0),"")</f>
        <v/>
      </c>
      <c r="U442" s="1" t="str">
        <f>IF(AND(Programme_Grunddaten!$A447="Geprüft",Programme_Grunddaten!AC447&lt;&gt;""),IF(Programme_Grunddaten!AC447="Ja",1,0),"")</f>
        <v/>
      </c>
      <c r="V442" s="1" t="str">
        <f>IF(AND(Programme_Grunddaten!$A447="Geprüft",Programme_Grunddaten!AD447&lt;&gt;""),IF(Programme_Grunddaten!AD447="Ja",1,0),"")</f>
        <v/>
      </c>
      <c r="W442" s="1" t="str">
        <f>IF(AND(Programme_Grunddaten!$A447="Geprüft",Programme_Grunddaten!AE447&lt;&gt;""),IF(Programme_Grunddaten!AE447="Ja",1,0),"")</f>
        <v/>
      </c>
      <c r="X442" s="1" t="str">
        <f>IF(AND(Programme_Grunddaten!$A447="Geprüft",Programme_Grunddaten!AF447&lt;&gt;""),IF(Programme_Grunddaten!AF447="Ja",1,0),"")</f>
        <v/>
      </c>
      <c r="Y442" s="1" t="str">
        <f>IF(AND(Programme_Grunddaten!$A447="Geprüft",Programme_Grunddaten!AG447&lt;&gt;""),IF(Programme_Grunddaten!AG447="Ja",1,0),"")</f>
        <v/>
      </c>
      <c r="Z442" s="1" t="str">
        <f>IF(AND(Programme_Grunddaten!$A447="Geprüft",Programme_Grunddaten!AH447&lt;&gt;""),IF(Programme_Grunddaten!AH447="Ja",1,0),"")</f>
        <v/>
      </c>
      <c r="AA442" s="1" t="str">
        <f>IF(AND(Programme_Grunddaten!$A447="Geprüft",Programme_Grunddaten!AI447&lt;&gt;""),IF(Programme_Grunddaten!AI447="Ja",1,0),"")</f>
        <v/>
      </c>
      <c r="AB442" s="1" t="str">
        <f>IF(AND(Programme_Grunddaten!$A447="Geprüft",Programme_Grunddaten!AJ447&lt;&gt;""),IF(Programme_Grunddaten!AJ447="individuell programmierbar",1,0),"")</f>
        <v/>
      </c>
      <c r="AC442" s="1" t="str">
        <f>IF(AND(Programme_Grunddaten!$A447="Geprüft",Programme_Grunddaten!AK447&lt;&gt;""),IF(Programme_Grunddaten!AK447="Deutsch",0,IF(Programme_Grunddaten!AK447="Deutsch und Englisch",1,2)),"")</f>
        <v/>
      </c>
      <c r="AD442" s="1" t="str">
        <f>IF(AND(Programme_Grunddaten!$A447="Geprüft",Programme_Grunddaten!AL447&lt;&gt;""),IF(Programme_Grunddaten!AL447="Ja",1,0),"")</f>
        <v/>
      </c>
      <c r="AE442" s="1" t="str">
        <f>IF(AND(Programme_Grunddaten!$A447="Geprüft",Programme_Grunddaten!AM447&lt;&gt;""),IF(Programme_Grunddaten!AM447="Ja",1,0),"")</f>
        <v/>
      </c>
      <c r="AF442" s="1" t="str">
        <f>IF(AND(Programme_Grunddaten!$A447="Geprüft",Programme_Grunddaten!AN447&lt;&gt;""),IF(Programme_Grunddaten!AN447="Ja",1,0),"")</f>
        <v/>
      </c>
      <c r="AG442" s="1" t="str">
        <f>IF(AND(Programme_Grunddaten!$A447="Geprüft",Programme_Grunddaten!AO447&lt;&gt;""),IF(Programme_Grunddaten!AO447="Ja",1,0),"")</f>
        <v/>
      </c>
      <c r="AH442" s="1" t="str">
        <f>IF(AND(Programme_Grunddaten!$A447="Geprüft",Programme_Grunddaten!AP447&lt;&gt;""),IF(Programme_Grunddaten!AP447="Ja",1,0),"")</f>
        <v/>
      </c>
      <c r="AI442" s="1" t="str">
        <f>IF(AND(Programme_Grunddaten!$A447="Geprüft",Programme_Grunddaten!AQ447&lt;&gt;""),IF(Programme_Grunddaten!AQ447="Ja",1,0),"")</f>
        <v/>
      </c>
      <c r="AJ442" s="1" t="str">
        <f>IF(AND(Programme_Grunddaten!$A447="Geprüft",Programme_Grunddaten!AR447&lt;&gt;""),IF(Programme_Grunddaten!AR447="Ja",1,0),"")</f>
        <v/>
      </c>
      <c r="AK442" s="1" t="str">
        <f>IF(AND(Programme_Grunddaten!$A447="Geprüft",Programme_Grunddaten!AS447&lt;&gt;""),IF(Programme_Grunddaten!AS447="Ja",1,0),"")</f>
        <v/>
      </c>
      <c r="AL442" s="1" t="str">
        <f>IF(AND(Programme_Grunddaten!$A447="Geprüft",Programme_Grunddaten!AT447&lt;&gt;""),IF(Programme_Grunddaten!AT447="Ja",1,0),"")</f>
        <v/>
      </c>
      <c r="AM442" s="1" t="str">
        <f>IF(AND(Programme_Grunddaten!$A447="Geprüft",Programme_Grunddaten!AU447&lt;&gt;""),IF(Programme_Grunddaten!AU447="Ja",1,0),"")</f>
        <v/>
      </c>
      <c r="AN442" s="1" t="str">
        <f>IF(AND(Programme_Grunddaten!$A447="Geprüft",Programme_Grunddaten!AV447&lt;&gt;""),IF(Programme_Grunddaten!AV447="Ja",1,0),"")</f>
        <v/>
      </c>
    </row>
    <row r="443" spans="1:40" x14ac:dyDescent="0.3">
      <c r="A443" s="1" t="str">
        <f>IF(AND(Programme_Grunddaten!A448="Geprüft",Programme_Grunddaten!B448&lt;&gt;""),Programme_Grunddaten!B448,"")</f>
        <v/>
      </c>
      <c r="B443" s="1" t="str">
        <f>IF(AND(Programme_Grunddaten!$A448="Geprüft",Programme_Grunddaten!I448&lt;&gt;""),IF(Programme_Grunddaten!I448="Ja",1,0),"")</f>
        <v/>
      </c>
      <c r="C443" s="1" t="str">
        <f>IF(AND(Programme_Grunddaten!$A448="Geprüft",Programme_Grunddaten!J448&lt;&gt;""),IF(Programme_Grunddaten!J448="Ja",1,0),"")</f>
        <v/>
      </c>
      <c r="D443" s="1" t="str">
        <f>IF(AND(Programme_Grunddaten!$A448="Geprüft",Programme_Grunddaten!K448&lt;&gt;""),IF(Programme_Grunddaten!K448="Ja",1,0),"")</f>
        <v/>
      </c>
      <c r="E443" s="1" t="str">
        <f>IF(AND(Programme_Grunddaten!$A448="Geprüft",Programme_Grunddaten!L448&lt;&gt;""),IF(Programme_Grunddaten!L448="Abo / befristete Lizenz",1,0),"")</f>
        <v/>
      </c>
      <c r="F443" s="1" t="str">
        <f>IF(AND(Programme_Grunddaten!$A448="Geprüft",Programme_Grunddaten!M448&lt;&gt;""),IF(Programme_Grunddaten!M448="Ja",1,0),"")</f>
        <v/>
      </c>
      <c r="G443" s="1" t="str">
        <f>IF(AND(Programme_Grunddaten!$A448="Geprüft",Programme_Grunddaten!N448&lt;&gt;""),IF(Programme_Grunddaten!N448="Ja",1,0),"")</f>
        <v/>
      </c>
      <c r="H443" s="1" t="str">
        <f>IF(AND(Programme_Grunddaten!$A448="Geprüft",Programme_Grunddaten!O448&lt;&gt;""),IF(Programme_Grunddaten!O448="Deutschland",0,IF(Programme_Grunddaten!O448="EU",1,2)),"")</f>
        <v/>
      </c>
      <c r="I443" s="1" t="str">
        <f>IF(AND(Programme_Grunddaten!$A448="Geprüft",Programme_Grunddaten!P448&lt;&gt;""),IF(Programme_Grunddaten!P448="Ja",1,0),"")</f>
        <v/>
      </c>
      <c r="J443" s="1" t="str">
        <f>IF(AND(Programme_Grunddaten!$A448="Geprüft",Programme_Grunddaten!Q448&lt;&gt;""),IF(Programme_Grunddaten!Q448="geschlossenes System",1,0),"")</f>
        <v/>
      </c>
      <c r="K443" s="1" t="str">
        <f>IF(AND(Programme_Grunddaten!$A448="Geprüft",Programme_Grunddaten!R448&lt;&gt;""),IF(Programme_Grunddaten!R448="Ja",1,0),"")</f>
        <v/>
      </c>
      <c r="L443" s="1" t="str">
        <f>IF(AND(Programme_Grunddaten!$A448="Geprüft",Programme_Grunddaten!T448&lt;&gt;""),IF(Programme_Grunddaten!T448="Ja",1,0),"")</f>
        <v/>
      </c>
      <c r="M443" s="1" t="str">
        <f>IF(AND(Programme_Grunddaten!$A448="Geprüft",Programme_Grunddaten!U448&lt;&gt;""),IF(Programme_Grunddaten!U448="Ja",1,0),"")</f>
        <v/>
      </c>
      <c r="N443" s="1" t="str">
        <f>IF(AND(Programme_Grunddaten!$A448="Geprüft",Programme_Grunddaten!V448&lt;&gt;""),IF(Programme_Grunddaten!V448="Ja",1,0),"")</f>
        <v/>
      </c>
      <c r="O443" s="1" t="str">
        <f>IF(AND(Programme_Grunddaten!$A448="Geprüft",Programme_Grunddaten!W448&lt;&gt;""),IF(Programme_Grunddaten!W448="Ja",1,0),"")</f>
        <v/>
      </c>
      <c r="P443" s="1" t="str">
        <f>IF(AND(Programme_Grunddaten!$A448="Geprüft",Programme_Grunddaten!X448&lt;&gt;""),IF(Programme_Grunddaten!X448="Ja",1,0),"")</f>
        <v/>
      </c>
      <c r="Q443" s="1" t="str">
        <f>IF(AND(Programme_Grunddaten!$A448="Geprüft",Programme_Grunddaten!Y448&lt;&gt;""),IF(Programme_Grunddaten!Y448="Ja",1,0),"")</f>
        <v/>
      </c>
      <c r="R443" s="1" t="str">
        <f>IF(AND(Programme_Grunddaten!$A448="Geprüft",Programme_Grunddaten!Z448&lt;&gt;""),IF(Programme_Grunddaten!Z448="Ja",1,0),"")</f>
        <v/>
      </c>
      <c r="S443" s="1" t="str">
        <f>IF(AND(Programme_Grunddaten!$A448="Geprüft",Programme_Grunddaten!AA448&lt;&gt;""),IF(Programme_Grunddaten!AA448="monolithisch",1,0),"")</f>
        <v/>
      </c>
      <c r="T443" s="1" t="str">
        <f>IF(AND(Programme_Grunddaten!$A448="Geprüft",Programme_Grunddaten!AB448&lt;&gt;""),IF(Programme_Grunddaten!AB448="Ja",1,0),"")</f>
        <v/>
      </c>
      <c r="U443" s="1" t="str">
        <f>IF(AND(Programme_Grunddaten!$A448="Geprüft",Programme_Grunddaten!AC448&lt;&gt;""),IF(Programme_Grunddaten!AC448="Ja",1,0),"")</f>
        <v/>
      </c>
      <c r="V443" s="1" t="str">
        <f>IF(AND(Programme_Grunddaten!$A448="Geprüft",Programme_Grunddaten!AD448&lt;&gt;""),IF(Programme_Grunddaten!AD448="Ja",1,0),"")</f>
        <v/>
      </c>
      <c r="W443" s="1" t="str">
        <f>IF(AND(Programme_Grunddaten!$A448="Geprüft",Programme_Grunddaten!AE448&lt;&gt;""),IF(Programme_Grunddaten!AE448="Ja",1,0),"")</f>
        <v/>
      </c>
      <c r="X443" s="1" t="str">
        <f>IF(AND(Programme_Grunddaten!$A448="Geprüft",Programme_Grunddaten!AF448&lt;&gt;""),IF(Programme_Grunddaten!AF448="Ja",1,0),"")</f>
        <v/>
      </c>
      <c r="Y443" s="1" t="str">
        <f>IF(AND(Programme_Grunddaten!$A448="Geprüft",Programme_Grunddaten!AG448&lt;&gt;""),IF(Programme_Grunddaten!AG448="Ja",1,0),"")</f>
        <v/>
      </c>
      <c r="Z443" s="1" t="str">
        <f>IF(AND(Programme_Grunddaten!$A448="Geprüft",Programme_Grunddaten!AH448&lt;&gt;""),IF(Programme_Grunddaten!AH448="Ja",1,0),"")</f>
        <v/>
      </c>
      <c r="AA443" s="1" t="str">
        <f>IF(AND(Programme_Grunddaten!$A448="Geprüft",Programme_Grunddaten!AI448&lt;&gt;""),IF(Programme_Grunddaten!AI448="Ja",1,0),"")</f>
        <v/>
      </c>
      <c r="AB443" s="1" t="str">
        <f>IF(AND(Programme_Grunddaten!$A448="Geprüft",Programme_Grunddaten!AJ448&lt;&gt;""),IF(Programme_Grunddaten!AJ448="individuell programmierbar",1,0),"")</f>
        <v/>
      </c>
      <c r="AC443" s="1" t="str">
        <f>IF(AND(Programme_Grunddaten!$A448="Geprüft",Programme_Grunddaten!AK448&lt;&gt;""),IF(Programme_Grunddaten!AK448="Deutsch",0,IF(Programme_Grunddaten!AK448="Deutsch und Englisch",1,2)),"")</f>
        <v/>
      </c>
      <c r="AD443" s="1" t="str">
        <f>IF(AND(Programme_Grunddaten!$A448="Geprüft",Programme_Grunddaten!AL448&lt;&gt;""),IF(Programme_Grunddaten!AL448="Ja",1,0),"")</f>
        <v/>
      </c>
      <c r="AE443" s="1" t="str">
        <f>IF(AND(Programme_Grunddaten!$A448="Geprüft",Programme_Grunddaten!AM448&lt;&gt;""),IF(Programme_Grunddaten!AM448="Ja",1,0),"")</f>
        <v/>
      </c>
      <c r="AF443" s="1" t="str">
        <f>IF(AND(Programme_Grunddaten!$A448="Geprüft",Programme_Grunddaten!AN448&lt;&gt;""),IF(Programme_Grunddaten!AN448="Ja",1,0),"")</f>
        <v/>
      </c>
      <c r="AG443" s="1" t="str">
        <f>IF(AND(Programme_Grunddaten!$A448="Geprüft",Programme_Grunddaten!AO448&lt;&gt;""),IF(Programme_Grunddaten!AO448="Ja",1,0),"")</f>
        <v/>
      </c>
      <c r="AH443" s="1" t="str">
        <f>IF(AND(Programme_Grunddaten!$A448="Geprüft",Programme_Grunddaten!AP448&lt;&gt;""),IF(Programme_Grunddaten!AP448="Ja",1,0),"")</f>
        <v/>
      </c>
      <c r="AI443" s="1" t="str">
        <f>IF(AND(Programme_Grunddaten!$A448="Geprüft",Programme_Grunddaten!AQ448&lt;&gt;""),IF(Programme_Grunddaten!AQ448="Ja",1,0),"")</f>
        <v/>
      </c>
      <c r="AJ443" s="1" t="str">
        <f>IF(AND(Programme_Grunddaten!$A448="Geprüft",Programme_Grunddaten!AR448&lt;&gt;""),IF(Programme_Grunddaten!AR448="Ja",1,0),"")</f>
        <v/>
      </c>
      <c r="AK443" s="1" t="str">
        <f>IF(AND(Programme_Grunddaten!$A448="Geprüft",Programme_Grunddaten!AS448&lt;&gt;""),IF(Programme_Grunddaten!AS448="Ja",1,0),"")</f>
        <v/>
      </c>
      <c r="AL443" s="1" t="str">
        <f>IF(AND(Programme_Grunddaten!$A448="Geprüft",Programme_Grunddaten!AT448&lt;&gt;""),IF(Programme_Grunddaten!AT448="Ja",1,0),"")</f>
        <v/>
      </c>
      <c r="AM443" s="1" t="str">
        <f>IF(AND(Programme_Grunddaten!$A448="Geprüft",Programme_Grunddaten!AU448&lt;&gt;""),IF(Programme_Grunddaten!AU448="Ja",1,0),"")</f>
        <v/>
      </c>
      <c r="AN443" s="1" t="str">
        <f>IF(AND(Programme_Grunddaten!$A448="Geprüft",Programme_Grunddaten!AV448&lt;&gt;""),IF(Programme_Grunddaten!AV448="Ja",1,0),"")</f>
        <v/>
      </c>
    </row>
    <row r="444" spans="1:40" x14ac:dyDescent="0.3">
      <c r="A444" s="1" t="str">
        <f>IF(AND(Programme_Grunddaten!A449="Geprüft",Programme_Grunddaten!B449&lt;&gt;""),Programme_Grunddaten!B449,"")</f>
        <v/>
      </c>
      <c r="B444" s="1" t="str">
        <f>IF(AND(Programme_Grunddaten!$A449="Geprüft",Programme_Grunddaten!I449&lt;&gt;""),IF(Programme_Grunddaten!I449="Ja",1,0),"")</f>
        <v/>
      </c>
      <c r="C444" s="1" t="str">
        <f>IF(AND(Programme_Grunddaten!$A449="Geprüft",Programme_Grunddaten!J449&lt;&gt;""),IF(Programme_Grunddaten!J449="Ja",1,0),"")</f>
        <v/>
      </c>
      <c r="D444" s="1" t="str">
        <f>IF(AND(Programme_Grunddaten!$A449="Geprüft",Programme_Grunddaten!K449&lt;&gt;""),IF(Programme_Grunddaten!K449="Ja",1,0),"")</f>
        <v/>
      </c>
      <c r="E444" s="1" t="str">
        <f>IF(AND(Programme_Grunddaten!$A449="Geprüft",Programme_Grunddaten!L449&lt;&gt;""),IF(Programme_Grunddaten!L449="Abo / befristete Lizenz",1,0),"")</f>
        <v/>
      </c>
      <c r="F444" s="1" t="str">
        <f>IF(AND(Programme_Grunddaten!$A449="Geprüft",Programme_Grunddaten!M449&lt;&gt;""),IF(Programme_Grunddaten!M449="Ja",1,0),"")</f>
        <v/>
      </c>
      <c r="G444" s="1" t="str">
        <f>IF(AND(Programme_Grunddaten!$A449="Geprüft",Programme_Grunddaten!N449&lt;&gt;""),IF(Programme_Grunddaten!N449="Ja",1,0),"")</f>
        <v/>
      </c>
      <c r="H444" s="1" t="str">
        <f>IF(AND(Programme_Grunddaten!$A449="Geprüft",Programme_Grunddaten!O449&lt;&gt;""),IF(Programme_Grunddaten!O449="Deutschland",0,IF(Programme_Grunddaten!O449="EU",1,2)),"")</f>
        <v/>
      </c>
      <c r="I444" s="1" t="str">
        <f>IF(AND(Programme_Grunddaten!$A449="Geprüft",Programme_Grunddaten!P449&lt;&gt;""),IF(Programme_Grunddaten!P449="Ja",1,0),"")</f>
        <v/>
      </c>
      <c r="J444" s="1" t="str">
        <f>IF(AND(Programme_Grunddaten!$A449="Geprüft",Programme_Grunddaten!Q449&lt;&gt;""),IF(Programme_Grunddaten!Q449="geschlossenes System",1,0),"")</f>
        <v/>
      </c>
      <c r="K444" s="1" t="str">
        <f>IF(AND(Programme_Grunddaten!$A449="Geprüft",Programme_Grunddaten!R449&lt;&gt;""),IF(Programme_Grunddaten!R449="Ja",1,0),"")</f>
        <v/>
      </c>
      <c r="L444" s="1" t="str">
        <f>IF(AND(Programme_Grunddaten!$A449="Geprüft",Programme_Grunddaten!T449&lt;&gt;""),IF(Programme_Grunddaten!T449="Ja",1,0),"")</f>
        <v/>
      </c>
      <c r="M444" s="1" t="str">
        <f>IF(AND(Programme_Grunddaten!$A449="Geprüft",Programme_Grunddaten!U449&lt;&gt;""),IF(Programme_Grunddaten!U449="Ja",1,0),"")</f>
        <v/>
      </c>
      <c r="N444" s="1" t="str">
        <f>IF(AND(Programme_Grunddaten!$A449="Geprüft",Programme_Grunddaten!V449&lt;&gt;""),IF(Programme_Grunddaten!V449="Ja",1,0),"")</f>
        <v/>
      </c>
      <c r="O444" s="1" t="str">
        <f>IF(AND(Programme_Grunddaten!$A449="Geprüft",Programme_Grunddaten!W449&lt;&gt;""),IF(Programme_Grunddaten!W449="Ja",1,0),"")</f>
        <v/>
      </c>
      <c r="P444" s="1" t="str">
        <f>IF(AND(Programme_Grunddaten!$A449="Geprüft",Programme_Grunddaten!X449&lt;&gt;""),IF(Programme_Grunddaten!X449="Ja",1,0),"")</f>
        <v/>
      </c>
      <c r="Q444" s="1" t="str">
        <f>IF(AND(Programme_Grunddaten!$A449="Geprüft",Programme_Grunddaten!Y449&lt;&gt;""),IF(Programme_Grunddaten!Y449="Ja",1,0),"")</f>
        <v/>
      </c>
      <c r="R444" s="1" t="str">
        <f>IF(AND(Programme_Grunddaten!$A449="Geprüft",Programme_Grunddaten!Z449&lt;&gt;""),IF(Programme_Grunddaten!Z449="Ja",1,0),"")</f>
        <v/>
      </c>
      <c r="S444" s="1" t="str">
        <f>IF(AND(Programme_Grunddaten!$A449="Geprüft",Programme_Grunddaten!AA449&lt;&gt;""),IF(Programme_Grunddaten!AA449="monolithisch",1,0),"")</f>
        <v/>
      </c>
      <c r="T444" s="1" t="str">
        <f>IF(AND(Programme_Grunddaten!$A449="Geprüft",Programme_Grunddaten!AB449&lt;&gt;""),IF(Programme_Grunddaten!AB449="Ja",1,0),"")</f>
        <v/>
      </c>
      <c r="U444" s="1" t="str">
        <f>IF(AND(Programme_Grunddaten!$A449="Geprüft",Programme_Grunddaten!AC449&lt;&gt;""),IF(Programme_Grunddaten!AC449="Ja",1,0),"")</f>
        <v/>
      </c>
      <c r="V444" s="1" t="str">
        <f>IF(AND(Programme_Grunddaten!$A449="Geprüft",Programme_Grunddaten!AD449&lt;&gt;""),IF(Programme_Grunddaten!AD449="Ja",1,0),"")</f>
        <v/>
      </c>
      <c r="W444" s="1" t="str">
        <f>IF(AND(Programme_Grunddaten!$A449="Geprüft",Programme_Grunddaten!AE449&lt;&gt;""),IF(Programme_Grunddaten!AE449="Ja",1,0),"")</f>
        <v/>
      </c>
      <c r="X444" s="1" t="str">
        <f>IF(AND(Programme_Grunddaten!$A449="Geprüft",Programme_Grunddaten!AF449&lt;&gt;""),IF(Programme_Grunddaten!AF449="Ja",1,0),"")</f>
        <v/>
      </c>
      <c r="Y444" s="1" t="str">
        <f>IF(AND(Programme_Grunddaten!$A449="Geprüft",Programme_Grunddaten!AG449&lt;&gt;""),IF(Programme_Grunddaten!AG449="Ja",1,0),"")</f>
        <v/>
      </c>
      <c r="Z444" s="1" t="str">
        <f>IF(AND(Programme_Grunddaten!$A449="Geprüft",Programme_Grunddaten!AH449&lt;&gt;""),IF(Programme_Grunddaten!AH449="Ja",1,0),"")</f>
        <v/>
      </c>
      <c r="AA444" s="1" t="str">
        <f>IF(AND(Programme_Grunddaten!$A449="Geprüft",Programme_Grunddaten!AI449&lt;&gt;""),IF(Programme_Grunddaten!AI449="Ja",1,0),"")</f>
        <v/>
      </c>
      <c r="AB444" s="1" t="str">
        <f>IF(AND(Programme_Grunddaten!$A449="Geprüft",Programme_Grunddaten!AJ449&lt;&gt;""),IF(Programme_Grunddaten!AJ449="individuell programmierbar",1,0),"")</f>
        <v/>
      </c>
      <c r="AC444" s="1" t="str">
        <f>IF(AND(Programme_Grunddaten!$A449="Geprüft",Programme_Grunddaten!AK449&lt;&gt;""),IF(Programme_Grunddaten!AK449="Deutsch",0,IF(Programme_Grunddaten!AK449="Deutsch und Englisch",1,2)),"")</f>
        <v/>
      </c>
      <c r="AD444" s="1" t="str">
        <f>IF(AND(Programme_Grunddaten!$A449="Geprüft",Programme_Grunddaten!AL449&lt;&gt;""),IF(Programme_Grunddaten!AL449="Ja",1,0),"")</f>
        <v/>
      </c>
      <c r="AE444" s="1" t="str">
        <f>IF(AND(Programme_Grunddaten!$A449="Geprüft",Programme_Grunddaten!AM449&lt;&gt;""),IF(Programme_Grunddaten!AM449="Ja",1,0),"")</f>
        <v/>
      </c>
      <c r="AF444" s="1" t="str">
        <f>IF(AND(Programme_Grunddaten!$A449="Geprüft",Programme_Grunddaten!AN449&lt;&gt;""),IF(Programme_Grunddaten!AN449="Ja",1,0),"")</f>
        <v/>
      </c>
      <c r="AG444" s="1" t="str">
        <f>IF(AND(Programme_Grunddaten!$A449="Geprüft",Programme_Grunddaten!AO449&lt;&gt;""),IF(Programme_Grunddaten!AO449="Ja",1,0),"")</f>
        <v/>
      </c>
      <c r="AH444" s="1" t="str">
        <f>IF(AND(Programme_Grunddaten!$A449="Geprüft",Programme_Grunddaten!AP449&lt;&gt;""),IF(Programme_Grunddaten!AP449="Ja",1,0),"")</f>
        <v/>
      </c>
      <c r="AI444" s="1" t="str">
        <f>IF(AND(Programme_Grunddaten!$A449="Geprüft",Programme_Grunddaten!AQ449&lt;&gt;""),IF(Programme_Grunddaten!AQ449="Ja",1,0),"")</f>
        <v/>
      </c>
      <c r="AJ444" s="1" t="str">
        <f>IF(AND(Programme_Grunddaten!$A449="Geprüft",Programme_Grunddaten!AR449&lt;&gt;""),IF(Programme_Grunddaten!AR449="Ja",1,0),"")</f>
        <v/>
      </c>
      <c r="AK444" s="1" t="str">
        <f>IF(AND(Programme_Grunddaten!$A449="Geprüft",Programme_Grunddaten!AS449&lt;&gt;""),IF(Programme_Grunddaten!AS449="Ja",1,0),"")</f>
        <v/>
      </c>
      <c r="AL444" s="1" t="str">
        <f>IF(AND(Programme_Grunddaten!$A449="Geprüft",Programme_Grunddaten!AT449&lt;&gt;""),IF(Programme_Grunddaten!AT449="Ja",1,0),"")</f>
        <v/>
      </c>
      <c r="AM444" s="1" t="str">
        <f>IF(AND(Programme_Grunddaten!$A449="Geprüft",Programme_Grunddaten!AU449&lt;&gt;""),IF(Programme_Grunddaten!AU449="Ja",1,0),"")</f>
        <v/>
      </c>
      <c r="AN444" s="1" t="str">
        <f>IF(AND(Programme_Grunddaten!$A449="Geprüft",Programme_Grunddaten!AV449&lt;&gt;""),IF(Programme_Grunddaten!AV449="Ja",1,0),"")</f>
        <v/>
      </c>
    </row>
    <row r="445" spans="1:40" x14ac:dyDescent="0.3">
      <c r="A445" s="1" t="str">
        <f>IF(AND(Programme_Grunddaten!A450="Geprüft",Programme_Grunddaten!B450&lt;&gt;""),Programme_Grunddaten!B450,"")</f>
        <v/>
      </c>
      <c r="B445" s="1" t="str">
        <f>IF(AND(Programme_Grunddaten!$A450="Geprüft",Programme_Grunddaten!I450&lt;&gt;""),IF(Programme_Grunddaten!I450="Ja",1,0),"")</f>
        <v/>
      </c>
      <c r="C445" s="1" t="str">
        <f>IF(AND(Programme_Grunddaten!$A450="Geprüft",Programme_Grunddaten!J450&lt;&gt;""),IF(Programme_Grunddaten!J450="Ja",1,0),"")</f>
        <v/>
      </c>
      <c r="D445" s="1" t="str">
        <f>IF(AND(Programme_Grunddaten!$A450="Geprüft",Programme_Grunddaten!K450&lt;&gt;""),IF(Programme_Grunddaten!K450="Ja",1,0),"")</f>
        <v/>
      </c>
      <c r="E445" s="1" t="str">
        <f>IF(AND(Programme_Grunddaten!$A450="Geprüft",Programme_Grunddaten!L450&lt;&gt;""),IF(Programme_Grunddaten!L450="Abo / befristete Lizenz",1,0),"")</f>
        <v/>
      </c>
      <c r="F445" s="1" t="str">
        <f>IF(AND(Programme_Grunddaten!$A450="Geprüft",Programme_Grunddaten!M450&lt;&gt;""),IF(Programme_Grunddaten!M450="Ja",1,0),"")</f>
        <v/>
      </c>
      <c r="G445" s="1" t="str">
        <f>IF(AND(Programme_Grunddaten!$A450="Geprüft",Programme_Grunddaten!N450&lt;&gt;""),IF(Programme_Grunddaten!N450="Ja",1,0),"")</f>
        <v/>
      </c>
      <c r="H445" s="1" t="str">
        <f>IF(AND(Programme_Grunddaten!$A450="Geprüft",Programme_Grunddaten!O450&lt;&gt;""),IF(Programme_Grunddaten!O450="Deutschland",0,IF(Programme_Grunddaten!O450="EU",1,2)),"")</f>
        <v/>
      </c>
      <c r="I445" s="1" t="str">
        <f>IF(AND(Programme_Grunddaten!$A450="Geprüft",Programme_Grunddaten!P450&lt;&gt;""),IF(Programme_Grunddaten!P450="Ja",1,0),"")</f>
        <v/>
      </c>
      <c r="J445" s="1" t="str">
        <f>IF(AND(Programme_Grunddaten!$A450="Geprüft",Programme_Grunddaten!Q450&lt;&gt;""),IF(Programme_Grunddaten!Q450="geschlossenes System",1,0),"")</f>
        <v/>
      </c>
      <c r="K445" s="1" t="str">
        <f>IF(AND(Programme_Grunddaten!$A450="Geprüft",Programme_Grunddaten!R450&lt;&gt;""),IF(Programme_Grunddaten!R450="Ja",1,0),"")</f>
        <v/>
      </c>
      <c r="L445" s="1" t="str">
        <f>IF(AND(Programme_Grunddaten!$A450="Geprüft",Programme_Grunddaten!T450&lt;&gt;""),IF(Programme_Grunddaten!T450="Ja",1,0),"")</f>
        <v/>
      </c>
      <c r="M445" s="1" t="str">
        <f>IF(AND(Programme_Grunddaten!$A450="Geprüft",Programme_Grunddaten!U450&lt;&gt;""),IF(Programme_Grunddaten!U450="Ja",1,0),"")</f>
        <v/>
      </c>
      <c r="N445" s="1" t="str">
        <f>IF(AND(Programme_Grunddaten!$A450="Geprüft",Programme_Grunddaten!V450&lt;&gt;""),IF(Programme_Grunddaten!V450="Ja",1,0),"")</f>
        <v/>
      </c>
      <c r="O445" s="1" t="str">
        <f>IF(AND(Programme_Grunddaten!$A450="Geprüft",Programme_Grunddaten!W450&lt;&gt;""),IF(Programme_Grunddaten!W450="Ja",1,0),"")</f>
        <v/>
      </c>
      <c r="P445" s="1" t="str">
        <f>IF(AND(Programme_Grunddaten!$A450="Geprüft",Programme_Grunddaten!X450&lt;&gt;""),IF(Programme_Grunddaten!X450="Ja",1,0),"")</f>
        <v/>
      </c>
      <c r="Q445" s="1" t="str">
        <f>IF(AND(Programme_Grunddaten!$A450="Geprüft",Programme_Grunddaten!Y450&lt;&gt;""),IF(Programme_Grunddaten!Y450="Ja",1,0),"")</f>
        <v/>
      </c>
      <c r="R445" s="1" t="str">
        <f>IF(AND(Programme_Grunddaten!$A450="Geprüft",Programme_Grunddaten!Z450&lt;&gt;""),IF(Programme_Grunddaten!Z450="Ja",1,0),"")</f>
        <v/>
      </c>
      <c r="S445" s="1" t="str">
        <f>IF(AND(Programme_Grunddaten!$A450="Geprüft",Programme_Grunddaten!AA450&lt;&gt;""),IF(Programme_Grunddaten!AA450="monolithisch",1,0),"")</f>
        <v/>
      </c>
      <c r="T445" s="1" t="str">
        <f>IF(AND(Programme_Grunddaten!$A450="Geprüft",Programme_Grunddaten!AB450&lt;&gt;""),IF(Programme_Grunddaten!AB450="Ja",1,0),"")</f>
        <v/>
      </c>
      <c r="U445" s="1" t="str">
        <f>IF(AND(Programme_Grunddaten!$A450="Geprüft",Programme_Grunddaten!AC450&lt;&gt;""),IF(Programme_Grunddaten!AC450="Ja",1,0),"")</f>
        <v/>
      </c>
      <c r="V445" s="1" t="str">
        <f>IF(AND(Programme_Grunddaten!$A450="Geprüft",Programme_Grunddaten!AD450&lt;&gt;""),IF(Programme_Grunddaten!AD450="Ja",1,0),"")</f>
        <v/>
      </c>
      <c r="W445" s="1" t="str">
        <f>IF(AND(Programme_Grunddaten!$A450="Geprüft",Programme_Grunddaten!AE450&lt;&gt;""),IF(Programme_Grunddaten!AE450="Ja",1,0),"")</f>
        <v/>
      </c>
      <c r="X445" s="1" t="str">
        <f>IF(AND(Programme_Grunddaten!$A450="Geprüft",Programme_Grunddaten!AF450&lt;&gt;""),IF(Programme_Grunddaten!AF450="Ja",1,0),"")</f>
        <v/>
      </c>
      <c r="Y445" s="1" t="str">
        <f>IF(AND(Programme_Grunddaten!$A450="Geprüft",Programme_Grunddaten!AG450&lt;&gt;""),IF(Programme_Grunddaten!AG450="Ja",1,0),"")</f>
        <v/>
      </c>
      <c r="Z445" s="1" t="str">
        <f>IF(AND(Programme_Grunddaten!$A450="Geprüft",Programme_Grunddaten!AH450&lt;&gt;""),IF(Programme_Grunddaten!AH450="Ja",1,0),"")</f>
        <v/>
      </c>
      <c r="AA445" s="1" t="str">
        <f>IF(AND(Programme_Grunddaten!$A450="Geprüft",Programme_Grunddaten!AI450&lt;&gt;""),IF(Programme_Grunddaten!AI450="Ja",1,0),"")</f>
        <v/>
      </c>
      <c r="AB445" s="1" t="str">
        <f>IF(AND(Programme_Grunddaten!$A450="Geprüft",Programme_Grunddaten!AJ450&lt;&gt;""),IF(Programme_Grunddaten!AJ450="individuell programmierbar",1,0),"")</f>
        <v/>
      </c>
      <c r="AC445" s="1" t="str">
        <f>IF(AND(Programme_Grunddaten!$A450="Geprüft",Programme_Grunddaten!AK450&lt;&gt;""),IF(Programme_Grunddaten!AK450="Deutsch",0,IF(Programme_Grunddaten!AK450="Deutsch und Englisch",1,2)),"")</f>
        <v/>
      </c>
      <c r="AD445" s="1" t="str">
        <f>IF(AND(Programme_Grunddaten!$A450="Geprüft",Programme_Grunddaten!AL450&lt;&gt;""),IF(Programme_Grunddaten!AL450="Ja",1,0),"")</f>
        <v/>
      </c>
      <c r="AE445" s="1" t="str">
        <f>IF(AND(Programme_Grunddaten!$A450="Geprüft",Programme_Grunddaten!AM450&lt;&gt;""),IF(Programme_Grunddaten!AM450="Ja",1,0),"")</f>
        <v/>
      </c>
      <c r="AF445" s="1" t="str">
        <f>IF(AND(Programme_Grunddaten!$A450="Geprüft",Programme_Grunddaten!AN450&lt;&gt;""),IF(Programme_Grunddaten!AN450="Ja",1,0),"")</f>
        <v/>
      </c>
      <c r="AG445" s="1" t="str">
        <f>IF(AND(Programme_Grunddaten!$A450="Geprüft",Programme_Grunddaten!AO450&lt;&gt;""),IF(Programme_Grunddaten!AO450="Ja",1,0),"")</f>
        <v/>
      </c>
      <c r="AH445" s="1" t="str">
        <f>IF(AND(Programme_Grunddaten!$A450="Geprüft",Programme_Grunddaten!AP450&lt;&gt;""),IF(Programme_Grunddaten!AP450="Ja",1,0),"")</f>
        <v/>
      </c>
      <c r="AI445" s="1" t="str">
        <f>IF(AND(Programme_Grunddaten!$A450="Geprüft",Programme_Grunddaten!AQ450&lt;&gt;""),IF(Programme_Grunddaten!AQ450="Ja",1,0),"")</f>
        <v/>
      </c>
      <c r="AJ445" s="1" t="str">
        <f>IF(AND(Programme_Grunddaten!$A450="Geprüft",Programme_Grunddaten!AR450&lt;&gt;""),IF(Programme_Grunddaten!AR450="Ja",1,0),"")</f>
        <v/>
      </c>
      <c r="AK445" s="1" t="str">
        <f>IF(AND(Programme_Grunddaten!$A450="Geprüft",Programme_Grunddaten!AS450&lt;&gt;""),IF(Programme_Grunddaten!AS450="Ja",1,0),"")</f>
        <v/>
      </c>
      <c r="AL445" s="1" t="str">
        <f>IF(AND(Programme_Grunddaten!$A450="Geprüft",Programme_Grunddaten!AT450&lt;&gt;""),IF(Programme_Grunddaten!AT450="Ja",1,0),"")</f>
        <v/>
      </c>
      <c r="AM445" s="1" t="str">
        <f>IF(AND(Programme_Grunddaten!$A450="Geprüft",Programme_Grunddaten!AU450&lt;&gt;""),IF(Programme_Grunddaten!AU450="Ja",1,0),"")</f>
        <v/>
      </c>
      <c r="AN445" s="1" t="str">
        <f>IF(AND(Programme_Grunddaten!$A450="Geprüft",Programme_Grunddaten!AV450&lt;&gt;""),IF(Programme_Grunddaten!AV450="Ja",1,0),"")</f>
        <v/>
      </c>
    </row>
    <row r="446" spans="1:40" x14ac:dyDescent="0.3">
      <c r="A446" s="1" t="str">
        <f>IF(AND(Programme_Grunddaten!A451="Geprüft",Programme_Grunddaten!B451&lt;&gt;""),Programme_Grunddaten!B451,"")</f>
        <v/>
      </c>
      <c r="B446" s="1" t="str">
        <f>IF(AND(Programme_Grunddaten!$A451="Geprüft",Programme_Grunddaten!I451&lt;&gt;""),IF(Programme_Grunddaten!I451="Ja",1,0),"")</f>
        <v/>
      </c>
      <c r="C446" s="1" t="str">
        <f>IF(AND(Programme_Grunddaten!$A451="Geprüft",Programme_Grunddaten!J451&lt;&gt;""),IF(Programme_Grunddaten!J451="Ja",1,0),"")</f>
        <v/>
      </c>
      <c r="D446" s="1" t="str">
        <f>IF(AND(Programme_Grunddaten!$A451="Geprüft",Programme_Grunddaten!K451&lt;&gt;""),IF(Programme_Grunddaten!K451="Ja",1,0),"")</f>
        <v/>
      </c>
      <c r="E446" s="1" t="str">
        <f>IF(AND(Programme_Grunddaten!$A451="Geprüft",Programme_Grunddaten!L451&lt;&gt;""),IF(Programme_Grunddaten!L451="Abo / befristete Lizenz",1,0),"")</f>
        <v/>
      </c>
      <c r="F446" s="1" t="str">
        <f>IF(AND(Programme_Grunddaten!$A451="Geprüft",Programme_Grunddaten!M451&lt;&gt;""),IF(Programme_Grunddaten!M451="Ja",1,0),"")</f>
        <v/>
      </c>
      <c r="G446" s="1" t="str">
        <f>IF(AND(Programme_Grunddaten!$A451="Geprüft",Programme_Grunddaten!N451&lt;&gt;""),IF(Programme_Grunddaten!N451="Ja",1,0),"")</f>
        <v/>
      </c>
      <c r="H446" s="1" t="str">
        <f>IF(AND(Programme_Grunddaten!$A451="Geprüft",Programme_Grunddaten!O451&lt;&gt;""),IF(Programme_Grunddaten!O451="Deutschland",0,IF(Programme_Grunddaten!O451="EU",1,2)),"")</f>
        <v/>
      </c>
      <c r="I446" s="1" t="str">
        <f>IF(AND(Programme_Grunddaten!$A451="Geprüft",Programme_Grunddaten!P451&lt;&gt;""),IF(Programme_Grunddaten!P451="Ja",1,0),"")</f>
        <v/>
      </c>
      <c r="J446" s="1" t="str">
        <f>IF(AND(Programme_Grunddaten!$A451="Geprüft",Programme_Grunddaten!Q451&lt;&gt;""),IF(Programme_Grunddaten!Q451="geschlossenes System",1,0),"")</f>
        <v/>
      </c>
      <c r="K446" s="1" t="str">
        <f>IF(AND(Programme_Grunddaten!$A451="Geprüft",Programme_Grunddaten!R451&lt;&gt;""),IF(Programme_Grunddaten!R451="Ja",1,0),"")</f>
        <v/>
      </c>
      <c r="L446" s="1" t="str">
        <f>IF(AND(Programme_Grunddaten!$A451="Geprüft",Programme_Grunddaten!T451&lt;&gt;""),IF(Programme_Grunddaten!T451="Ja",1,0),"")</f>
        <v/>
      </c>
      <c r="M446" s="1" t="str">
        <f>IF(AND(Programme_Grunddaten!$A451="Geprüft",Programme_Grunddaten!U451&lt;&gt;""),IF(Programme_Grunddaten!U451="Ja",1,0),"")</f>
        <v/>
      </c>
      <c r="N446" s="1" t="str">
        <f>IF(AND(Programme_Grunddaten!$A451="Geprüft",Programme_Grunddaten!V451&lt;&gt;""),IF(Programme_Grunddaten!V451="Ja",1,0),"")</f>
        <v/>
      </c>
      <c r="O446" s="1" t="str">
        <f>IF(AND(Programme_Grunddaten!$A451="Geprüft",Programme_Grunddaten!W451&lt;&gt;""),IF(Programme_Grunddaten!W451="Ja",1,0),"")</f>
        <v/>
      </c>
      <c r="P446" s="1" t="str">
        <f>IF(AND(Programme_Grunddaten!$A451="Geprüft",Programme_Grunddaten!X451&lt;&gt;""),IF(Programme_Grunddaten!X451="Ja",1,0),"")</f>
        <v/>
      </c>
      <c r="Q446" s="1" t="str">
        <f>IF(AND(Programme_Grunddaten!$A451="Geprüft",Programme_Grunddaten!Y451&lt;&gt;""),IF(Programme_Grunddaten!Y451="Ja",1,0),"")</f>
        <v/>
      </c>
      <c r="R446" s="1" t="str">
        <f>IF(AND(Programme_Grunddaten!$A451="Geprüft",Programme_Grunddaten!Z451&lt;&gt;""),IF(Programme_Grunddaten!Z451="Ja",1,0),"")</f>
        <v/>
      </c>
      <c r="S446" s="1" t="str">
        <f>IF(AND(Programme_Grunddaten!$A451="Geprüft",Programme_Grunddaten!AA451&lt;&gt;""),IF(Programme_Grunddaten!AA451="monolithisch",1,0),"")</f>
        <v/>
      </c>
      <c r="T446" s="1" t="str">
        <f>IF(AND(Programme_Grunddaten!$A451="Geprüft",Programme_Grunddaten!AB451&lt;&gt;""),IF(Programme_Grunddaten!AB451="Ja",1,0),"")</f>
        <v/>
      </c>
      <c r="U446" s="1" t="str">
        <f>IF(AND(Programme_Grunddaten!$A451="Geprüft",Programme_Grunddaten!AC451&lt;&gt;""),IF(Programme_Grunddaten!AC451="Ja",1,0),"")</f>
        <v/>
      </c>
      <c r="V446" s="1" t="str">
        <f>IF(AND(Programme_Grunddaten!$A451="Geprüft",Programme_Grunddaten!AD451&lt;&gt;""),IF(Programme_Grunddaten!AD451="Ja",1,0),"")</f>
        <v/>
      </c>
      <c r="W446" s="1" t="str">
        <f>IF(AND(Programme_Grunddaten!$A451="Geprüft",Programme_Grunddaten!AE451&lt;&gt;""),IF(Programme_Grunddaten!AE451="Ja",1,0),"")</f>
        <v/>
      </c>
      <c r="X446" s="1" t="str">
        <f>IF(AND(Programme_Grunddaten!$A451="Geprüft",Programme_Grunddaten!AF451&lt;&gt;""),IF(Programme_Grunddaten!AF451="Ja",1,0),"")</f>
        <v/>
      </c>
      <c r="Y446" s="1" t="str">
        <f>IF(AND(Programme_Grunddaten!$A451="Geprüft",Programme_Grunddaten!AG451&lt;&gt;""),IF(Programme_Grunddaten!AG451="Ja",1,0),"")</f>
        <v/>
      </c>
      <c r="Z446" s="1" t="str">
        <f>IF(AND(Programme_Grunddaten!$A451="Geprüft",Programme_Grunddaten!AH451&lt;&gt;""),IF(Programme_Grunddaten!AH451="Ja",1,0),"")</f>
        <v/>
      </c>
      <c r="AA446" s="1" t="str">
        <f>IF(AND(Programme_Grunddaten!$A451="Geprüft",Programme_Grunddaten!AI451&lt;&gt;""),IF(Programme_Grunddaten!AI451="Ja",1,0),"")</f>
        <v/>
      </c>
      <c r="AB446" s="1" t="str">
        <f>IF(AND(Programme_Grunddaten!$A451="Geprüft",Programme_Grunddaten!AJ451&lt;&gt;""),IF(Programme_Grunddaten!AJ451="individuell programmierbar",1,0),"")</f>
        <v/>
      </c>
      <c r="AC446" s="1" t="str">
        <f>IF(AND(Programme_Grunddaten!$A451="Geprüft",Programme_Grunddaten!AK451&lt;&gt;""),IF(Programme_Grunddaten!AK451="Deutsch",0,IF(Programme_Grunddaten!AK451="Deutsch und Englisch",1,2)),"")</f>
        <v/>
      </c>
      <c r="AD446" s="1" t="str">
        <f>IF(AND(Programme_Grunddaten!$A451="Geprüft",Programme_Grunddaten!AL451&lt;&gt;""),IF(Programme_Grunddaten!AL451="Ja",1,0),"")</f>
        <v/>
      </c>
      <c r="AE446" s="1" t="str">
        <f>IF(AND(Programme_Grunddaten!$A451="Geprüft",Programme_Grunddaten!AM451&lt;&gt;""),IF(Programme_Grunddaten!AM451="Ja",1,0),"")</f>
        <v/>
      </c>
      <c r="AF446" s="1" t="str">
        <f>IF(AND(Programme_Grunddaten!$A451="Geprüft",Programme_Grunddaten!AN451&lt;&gt;""),IF(Programme_Grunddaten!AN451="Ja",1,0),"")</f>
        <v/>
      </c>
      <c r="AG446" s="1" t="str">
        <f>IF(AND(Programme_Grunddaten!$A451="Geprüft",Programme_Grunddaten!AO451&lt;&gt;""),IF(Programme_Grunddaten!AO451="Ja",1,0),"")</f>
        <v/>
      </c>
      <c r="AH446" s="1" t="str">
        <f>IF(AND(Programme_Grunddaten!$A451="Geprüft",Programme_Grunddaten!AP451&lt;&gt;""),IF(Programme_Grunddaten!AP451="Ja",1,0),"")</f>
        <v/>
      </c>
      <c r="AI446" s="1" t="str">
        <f>IF(AND(Programme_Grunddaten!$A451="Geprüft",Programme_Grunddaten!AQ451&lt;&gt;""),IF(Programme_Grunddaten!AQ451="Ja",1,0),"")</f>
        <v/>
      </c>
      <c r="AJ446" s="1" t="str">
        <f>IF(AND(Programme_Grunddaten!$A451="Geprüft",Programme_Grunddaten!AR451&lt;&gt;""),IF(Programme_Grunddaten!AR451="Ja",1,0),"")</f>
        <v/>
      </c>
      <c r="AK446" s="1" t="str">
        <f>IF(AND(Programme_Grunddaten!$A451="Geprüft",Programme_Grunddaten!AS451&lt;&gt;""),IF(Programme_Grunddaten!AS451="Ja",1,0),"")</f>
        <v/>
      </c>
      <c r="AL446" s="1" t="str">
        <f>IF(AND(Programme_Grunddaten!$A451="Geprüft",Programme_Grunddaten!AT451&lt;&gt;""),IF(Programme_Grunddaten!AT451="Ja",1,0),"")</f>
        <v/>
      </c>
      <c r="AM446" s="1" t="str">
        <f>IF(AND(Programme_Grunddaten!$A451="Geprüft",Programme_Grunddaten!AU451&lt;&gt;""),IF(Programme_Grunddaten!AU451="Ja",1,0),"")</f>
        <v/>
      </c>
      <c r="AN446" s="1" t="str">
        <f>IF(AND(Programme_Grunddaten!$A451="Geprüft",Programme_Grunddaten!AV451&lt;&gt;""),IF(Programme_Grunddaten!AV451="Ja",1,0),"")</f>
        <v/>
      </c>
    </row>
    <row r="447" spans="1:40" x14ac:dyDescent="0.3">
      <c r="A447" s="1" t="str">
        <f>IF(AND(Programme_Grunddaten!A452="Geprüft",Programme_Grunddaten!B452&lt;&gt;""),Programme_Grunddaten!B452,"")</f>
        <v/>
      </c>
      <c r="B447" s="1" t="str">
        <f>IF(AND(Programme_Grunddaten!$A452="Geprüft",Programme_Grunddaten!I452&lt;&gt;""),IF(Programme_Grunddaten!I452="Ja",1,0),"")</f>
        <v/>
      </c>
      <c r="C447" s="1" t="str">
        <f>IF(AND(Programme_Grunddaten!$A452="Geprüft",Programme_Grunddaten!J452&lt;&gt;""),IF(Programme_Grunddaten!J452="Ja",1,0),"")</f>
        <v/>
      </c>
      <c r="D447" s="1" t="str">
        <f>IF(AND(Programme_Grunddaten!$A452="Geprüft",Programme_Grunddaten!K452&lt;&gt;""),IF(Programme_Grunddaten!K452="Ja",1,0),"")</f>
        <v/>
      </c>
      <c r="E447" s="1" t="str">
        <f>IF(AND(Programme_Grunddaten!$A452="Geprüft",Programme_Grunddaten!L452&lt;&gt;""),IF(Programme_Grunddaten!L452="Abo / befristete Lizenz",1,0),"")</f>
        <v/>
      </c>
      <c r="F447" s="1" t="str">
        <f>IF(AND(Programme_Grunddaten!$A452="Geprüft",Programme_Grunddaten!M452&lt;&gt;""),IF(Programme_Grunddaten!M452="Ja",1,0),"")</f>
        <v/>
      </c>
      <c r="G447" s="1" t="str">
        <f>IF(AND(Programme_Grunddaten!$A452="Geprüft",Programme_Grunddaten!N452&lt;&gt;""),IF(Programme_Grunddaten!N452="Ja",1,0),"")</f>
        <v/>
      </c>
      <c r="H447" s="1" t="str">
        <f>IF(AND(Programme_Grunddaten!$A452="Geprüft",Programme_Grunddaten!O452&lt;&gt;""),IF(Programme_Grunddaten!O452="Deutschland",0,IF(Programme_Grunddaten!O452="EU",1,2)),"")</f>
        <v/>
      </c>
      <c r="I447" s="1" t="str">
        <f>IF(AND(Programme_Grunddaten!$A452="Geprüft",Programme_Grunddaten!P452&lt;&gt;""),IF(Programme_Grunddaten!P452="Ja",1,0),"")</f>
        <v/>
      </c>
      <c r="J447" s="1" t="str">
        <f>IF(AND(Programme_Grunddaten!$A452="Geprüft",Programme_Grunddaten!Q452&lt;&gt;""),IF(Programme_Grunddaten!Q452="geschlossenes System",1,0),"")</f>
        <v/>
      </c>
      <c r="K447" s="1" t="str">
        <f>IF(AND(Programme_Grunddaten!$A452="Geprüft",Programme_Grunddaten!R452&lt;&gt;""),IF(Programme_Grunddaten!R452="Ja",1,0),"")</f>
        <v/>
      </c>
      <c r="L447" s="1" t="str">
        <f>IF(AND(Programme_Grunddaten!$A452="Geprüft",Programme_Grunddaten!T452&lt;&gt;""),IF(Programme_Grunddaten!T452="Ja",1,0),"")</f>
        <v/>
      </c>
      <c r="M447" s="1" t="str">
        <f>IF(AND(Programme_Grunddaten!$A452="Geprüft",Programme_Grunddaten!U452&lt;&gt;""),IF(Programme_Grunddaten!U452="Ja",1,0),"")</f>
        <v/>
      </c>
      <c r="N447" s="1" t="str">
        <f>IF(AND(Programme_Grunddaten!$A452="Geprüft",Programme_Grunddaten!V452&lt;&gt;""),IF(Programme_Grunddaten!V452="Ja",1,0),"")</f>
        <v/>
      </c>
      <c r="O447" s="1" t="str">
        <f>IF(AND(Programme_Grunddaten!$A452="Geprüft",Programme_Grunddaten!W452&lt;&gt;""),IF(Programme_Grunddaten!W452="Ja",1,0),"")</f>
        <v/>
      </c>
      <c r="P447" s="1" t="str">
        <f>IF(AND(Programme_Grunddaten!$A452="Geprüft",Programme_Grunddaten!X452&lt;&gt;""),IF(Programme_Grunddaten!X452="Ja",1,0),"")</f>
        <v/>
      </c>
      <c r="Q447" s="1" t="str">
        <f>IF(AND(Programme_Grunddaten!$A452="Geprüft",Programme_Grunddaten!Y452&lt;&gt;""),IF(Programme_Grunddaten!Y452="Ja",1,0),"")</f>
        <v/>
      </c>
      <c r="R447" s="1" t="str">
        <f>IF(AND(Programme_Grunddaten!$A452="Geprüft",Programme_Grunddaten!Z452&lt;&gt;""),IF(Programme_Grunddaten!Z452="Ja",1,0),"")</f>
        <v/>
      </c>
      <c r="S447" s="1" t="str">
        <f>IF(AND(Programme_Grunddaten!$A452="Geprüft",Programme_Grunddaten!AA452&lt;&gt;""),IF(Programme_Grunddaten!AA452="monolithisch",1,0),"")</f>
        <v/>
      </c>
      <c r="T447" s="1" t="str">
        <f>IF(AND(Programme_Grunddaten!$A452="Geprüft",Programme_Grunddaten!AB452&lt;&gt;""),IF(Programme_Grunddaten!AB452="Ja",1,0),"")</f>
        <v/>
      </c>
      <c r="U447" s="1" t="str">
        <f>IF(AND(Programme_Grunddaten!$A452="Geprüft",Programme_Grunddaten!AC452&lt;&gt;""),IF(Programme_Grunddaten!AC452="Ja",1,0),"")</f>
        <v/>
      </c>
      <c r="V447" s="1" t="str">
        <f>IF(AND(Programme_Grunddaten!$A452="Geprüft",Programme_Grunddaten!AD452&lt;&gt;""),IF(Programme_Grunddaten!AD452="Ja",1,0),"")</f>
        <v/>
      </c>
      <c r="W447" s="1" t="str">
        <f>IF(AND(Programme_Grunddaten!$A452="Geprüft",Programme_Grunddaten!AE452&lt;&gt;""),IF(Programme_Grunddaten!AE452="Ja",1,0),"")</f>
        <v/>
      </c>
      <c r="X447" s="1" t="str">
        <f>IF(AND(Programme_Grunddaten!$A452="Geprüft",Programme_Grunddaten!AF452&lt;&gt;""),IF(Programme_Grunddaten!AF452="Ja",1,0),"")</f>
        <v/>
      </c>
      <c r="Y447" s="1" t="str">
        <f>IF(AND(Programme_Grunddaten!$A452="Geprüft",Programme_Grunddaten!AG452&lt;&gt;""),IF(Programme_Grunddaten!AG452="Ja",1,0),"")</f>
        <v/>
      </c>
      <c r="Z447" s="1" t="str">
        <f>IF(AND(Programme_Grunddaten!$A452="Geprüft",Programme_Grunddaten!AH452&lt;&gt;""),IF(Programme_Grunddaten!AH452="Ja",1,0),"")</f>
        <v/>
      </c>
      <c r="AA447" s="1" t="str">
        <f>IF(AND(Programme_Grunddaten!$A452="Geprüft",Programme_Grunddaten!AI452&lt;&gt;""),IF(Programme_Grunddaten!AI452="Ja",1,0),"")</f>
        <v/>
      </c>
      <c r="AB447" s="1" t="str">
        <f>IF(AND(Programme_Grunddaten!$A452="Geprüft",Programme_Grunddaten!AJ452&lt;&gt;""),IF(Programme_Grunddaten!AJ452="individuell programmierbar",1,0),"")</f>
        <v/>
      </c>
      <c r="AC447" s="1" t="str">
        <f>IF(AND(Programme_Grunddaten!$A452="Geprüft",Programme_Grunddaten!AK452&lt;&gt;""),IF(Programme_Grunddaten!AK452="Deutsch",0,IF(Programme_Grunddaten!AK452="Deutsch und Englisch",1,2)),"")</f>
        <v/>
      </c>
      <c r="AD447" s="1" t="str">
        <f>IF(AND(Programme_Grunddaten!$A452="Geprüft",Programme_Grunddaten!AL452&lt;&gt;""),IF(Programme_Grunddaten!AL452="Ja",1,0),"")</f>
        <v/>
      </c>
      <c r="AE447" s="1" t="str">
        <f>IF(AND(Programme_Grunddaten!$A452="Geprüft",Programme_Grunddaten!AM452&lt;&gt;""),IF(Programme_Grunddaten!AM452="Ja",1,0),"")</f>
        <v/>
      </c>
      <c r="AF447" s="1" t="str">
        <f>IF(AND(Programme_Grunddaten!$A452="Geprüft",Programme_Grunddaten!AN452&lt;&gt;""),IF(Programme_Grunddaten!AN452="Ja",1,0),"")</f>
        <v/>
      </c>
      <c r="AG447" s="1" t="str">
        <f>IF(AND(Programme_Grunddaten!$A452="Geprüft",Programme_Grunddaten!AO452&lt;&gt;""),IF(Programme_Grunddaten!AO452="Ja",1,0),"")</f>
        <v/>
      </c>
      <c r="AH447" s="1" t="str">
        <f>IF(AND(Programme_Grunddaten!$A452="Geprüft",Programme_Grunddaten!AP452&lt;&gt;""),IF(Programme_Grunddaten!AP452="Ja",1,0),"")</f>
        <v/>
      </c>
      <c r="AI447" s="1" t="str">
        <f>IF(AND(Programme_Grunddaten!$A452="Geprüft",Programme_Grunddaten!AQ452&lt;&gt;""),IF(Programme_Grunddaten!AQ452="Ja",1,0),"")</f>
        <v/>
      </c>
      <c r="AJ447" s="1" t="str">
        <f>IF(AND(Programme_Grunddaten!$A452="Geprüft",Programme_Grunddaten!AR452&lt;&gt;""),IF(Programme_Grunddaten!AR452="Ja",1,0),"")</f>
        <v/>
      </c>
      <c r="AK447" s="1" t="str">
        <f>IF(AND(Programme_Grunddaten!$A452="Geprüft",Programme_Grunddaten!AS452&lt;&gt;""),IF(Programme_Grunddaten!AS452="Ja",1,0),"")</f>
        <v/>
      </c>
      <c r="AL447" s="1" t="str">
        <f>IF(AND(Programme_Grunddaten!$A452="Geprüft",Programme_Grunddaten!AT452&lt;&gt;""),IF(Programme_Grunddaten!AT452="Ja",1,0),"")</f>
        <v/>
      </c>
      <c r="AM447" s="1" t="str">
        <f>IF(AND(Programme_Grunddaten!$A452="Geprüft",Programme_Grunddaten!AU452&lt;&gt;""),IF(Programme_Grunddaten!AU452="Ja",1,0),"")</f>
        <v/>
      </c>
      <c r="AN447" s="1" t="str">
        <f>IF(AND(Programme_Grunddaten!$A452="Geprüft",Programme_Grunddaten!AV452&lt;&gt;""),IF(Programme_Grunddaten!AV452="Ja",1,0),"")</f>
        <v/>
      </c>
    </row>
    <row r="448" spans="1:40" x14ac:dyDescent="0.3">
      <c r="A448" s="1" t="str">
        <f>IF(AND(Programme_Grunddaten!A453="Geprüft",Programme_Grunddaten!B453&lt;&gt;""),Programme_Grunddaten!B453,"")</f>
        <v/>
      </c>
      <c r="B448" s="1" t="str">
        <f>IF(AND(Programme_Grunddaten!$A453="Geprüft",Programme_Grunddaten!I453&lt;&gt;""),IF(Programme_Grunddaten!I453="Ja",1,0),"")</f>
        <v/>
      </c>
      <c r="C448" s="1" t="str">
        <f>IF(AND(Programme_Grunddaten!$A453="Geprüft",Programme_Grunddaten!J453&lt;&gt;""),IF(Programme_Grunddaten!J453="Ja",1,0),"")</f>
        <v/>
      </c>
      <c r="D448" s="1" t="str">
        <f>IF(AND(Programme_Grunddaten!$A453="Geprüft",Programme_Grunddaten!K453&lt;&gt;""),IF(Programme_Grunddaten!K453="Ja",1,0),"")</f>
        <v/>
      </c>
      <c r="E448" s="1" t="str">
        <f>IF(AND(Programme_Grunddaten!$A453="Geprüft",Programme_Grunddaten!L453&lt;&gt;""),IF(Programme_Grunddaten!L453="Abo / befristete Lizenz",1,0),"")</f>
        <v/>
      </c>
      <c r="F448" s="1" t="str">
        <f>IF(AND(Programme_Grunddaten!$A453="Geprüft",Programme_Grunddaten!M453&lt;&gt;""),IF(Programme_Grunddaten!M453="Ja",1,0),"")</f>
        <v/>
      </c>
      <c r="G448" s="1" t="str">
        <f>IF(AND(Programme_Grunddaten!$A453="Geprüft",Programme_Grunddaten!N453&lt;&gt;""),IF(Programme_Grunddaten!N453="Ja",1,0),"")</f>
        <v/>
      </c>
      <c r="H448" s="1" t="str">
        <f>IF(AND(Programme_Grunddaten!$A453="Geprüft",Programme_Grunddaten!O453&lt;&gt;""),IF(Programme_Grunddaten!O453="Deutschland",0,IF(Programme_Grunddaten!O453="EU",1,2)),"")</f>
        <v/>
      </c>
      <c r="I448" s="1" t="str">
        <f>IF(AND(Programme_Grunddaten!$A453="Geprüft",Programme_Grunddaten!P453&lt;&gt;""),IF(Programme_Grunddaten!P453="Ja",1,0),"")</f>
        <v/>
      </c>
      <c r="J448" s="1" t="str">
        <f>IF(AND(Programme_Grunddaten!$A453="Geprüft",Programme_Grunddaten!Q453&lt;&gt;""),IF(Programme_Grunddaten!Q453="geschlossenes System",1,0),"")</f>
        <v/>
      </c>
      <c r="K448" s="1" t="str">
        <f>IF(AND(Programme_Grunddaten!$A453="Geprüft",Programme_Grunddaten!R453&lt;&gt;""),IF(Programme_Grunddaten!R453="Ja",1,0),"")</f>
        <v/>
      </c>
      <c r="L448" s="1" t="str">
        <f>IF(AND(Programme_Grunddaten!$A453="Geprüft",Programme_Grunddaten!T453&lt;&gt;""),IF(Programme_Grunddaten!T453="Ja",1,0),"")</f>
        <v/>
      </c>
      <c r="M448" s="1" t="str">
        <f>IF(AND(Programme_Grunddaten!$A453="Geprüft",Programme_Grunddaten!U453&lt;&gt;""),IF(Programme_Grunddaten!U453="Ja",1,0),"")</f>
        <v/>
      </c>
      <c r="N448" s="1" t="str">
        <f>IF(AND(Programme_Grunddaten!$A453="Geprüft",Programme_Grunddaten!V453&lt;&gt;""),IF(Programme_Grunddaten!V453="Ja",1,0),"")</f>
        <v/>
      </c>
      <c r="O448" s="1" t="str">
        <f>IF(AND(Programme_Grunddaten!$A453="Geprüft",Programme_Grunddaten!W453&lt;&gt;""),IF(Programme_Grunddaten!W453="Ja",1,0),"")</f>
        <v/>
      </c>
      <c r="P448" s="1" t="str">
        <f>IF(AND(Programme_Grunddaten!$A453="Geprüft",Programme_Grunddaten!X453&lt;&gt;""),IF(Programme_Grunddaten!X453="Ja",1,0),"")</f>
        <v/>
      </c>
      <c r="Q448" s="1" t="str">
        <f>IF(AND(Programme_Grunddaten!$A453="Geprüft",Programme_Grunddaten!Y453&lt;&gt;""),IF(Programme_Grunddaten!Y453="Ja",1,0),"")</f>
        <v/>
      </c>
      <c r="R448" s="1" t="str">
        <f>IF(AND(Programme_Grunddaten!$A453="Geprüft",Programme_Grunddaten!Z453&lt;&gt;""),IF(Programme_Grunddaten!Z453="Ja",1,0),"")</f>
        <v/>
      </c>
      <c r="S448" s="1" t="str">
        <f>IF(AND(Programme_Grunddaten!$A453="Geprüft",Programme_Grunddaten!AA453&lt;&gt;""),IF(Programme_Grunddaten!AA453="monolithisch",1,0),"")</f>
        <v/>
      </c>
      <c r="T448" s="1" t="str">
        <f>IF(AND(Programme_Grunddaten!$A453="Geprüft",Programme_Grunddaten!AB453&lt;&gt;""),IF(Programme_Grunddaten!AB453="Ja",1,0),"")</f>
        <v/>
      </c>
      <c r="U448" s="1" t="str">
        <f>IF(AND(Programme_Grunddaten!$A453="Geprüft",Programme_Grunddaten!AC453&lt;&gt;""),IF(Programme_Grunddaten!AC453="Ja",1,0),"")</f>
        <v/>
      </c>
      <c r="V448" s="1" t="str">
        <f>IF(AND(Programme_Grunddaten!$A453="Geprüft",Programme_Grunddaten!AD453&lt;&gt;""),IF(Programme_Grunddaten!AD453="Ja",1,0),"")</f>
        <v/>
      </c>
      <c r="W448" s="1" t="str">
        <f>IF(AND(Programme_Grunddaten!$A453="Geprüft",Programme_Grunddaten!AE453&lt;&gt;""),IF(Programme_Grunddaten!AE453="Ja",1,0),"")</f>
        <v/>
      </c>
      <c r="X448" s="1" t="str">
        <f>IF(AND(Programme_Grunddaten!$A453="Geprüft",Programme_Grunddaten!AF453&lt;&gt;""),IF(Programme_Grunddaten!AF453="Ja",1,0),"")</f>
        <v/>
      </c>
      <c r="Y448" s="1" t="str">
        <f>IF(AND(Programme_Grunddaten!$A453="Geprüft",Programme_Grunddaten!AG453&lt;&gt;""),IF(Programme_Grunddaten!AG453="Ja",1,0),"")</f>
        <v/>
      </c>
      <c r="Z448" s="1" t="str">
        <f>IF(AND(Programme_Grunddaten!$A453="Geprüft",Programme_Grunddaten!AH453&lt;&gt;""),IF(Programme_Grunddaten!AH453="Ja",1,0),"")</f>
        <v/>
      </c>
      <c r="AA448" s="1" t="str">
        <f>IF(AND(Programme_Grunddaten!$A453="Geprüft",Programme_Grunddaten!AI453&lt;&gt;""),IF(Programme_Grunddaten!AI453="Ja",1,0),"")</f>
        <v/>
      </c>
      <c r="AB448" s="1" t="str">
        <f>IF(AND(Programme_Grunddaten!$A453="Geprüft",Programme_Grunddaten!AJ453&lt;&gt;""),IF(Programme_Grunddaten!AJ453="individuell programmierbar",1,0),"")</f>
        <v/>
      </c>
      <c r="AC448" s="1" t="str">
        <f>IF(AND(Programme_Grunddaten!$A453="Geprüft",Programme_Grunddaten!AK453&lt;&gt;""),IF(Programme_Grunddaten!AK453="Deutsch",0,IF(Programme_Grunddaten!AK453="Deutsch und Englisch",1,2)),"")</f>
        <v/>
      </c>
      <c r="AD448" s="1" t="str">
        <f>IF(AND(Programme_Grunddaten!$A453="Geprüft",Programme_Grunddaten!AL453&lt;&gt;""),IF(Programme_Grunddaten!AL453="Ja",1,0),"")</f>
        <v/>
      </c>
      <c r="AE448" s="1" t="str">
        <f>IF(AND(Programme_Grunddaten!$A453="Geprüft",Programme_Grunddaten!AM453&lt;&gt;""),IF(Programme_Grunddaten!AM453="Ja",1,0),"")</f>
        <v/>
      </c>
      <c r="AF448" s="1" t="str">
        <f>IF(AND(Programme_Grunddaten!$A453="Geprüft",Programme_Grunddaten!AN453&lt;&gt;""),IF(Programme_Grunddaten!AN453="Ja",1,0),"")</f>
        <v/>
      </c>
      <c r="AG448" s="1" t="str">
        <f>IF(AND(Programme_Grunddaten!$A453="Geprüft",Programme_Grunddaten!AO453&lt;&gt;""),IF(Programme_Grunddaten!AO453="Ja",1,0),"")</f>
        <v/>
      </c>
      <c r="AH448" s="1" t="str">
        <f>IF(AND(Programme_Grunddaten!$A453="Geprüft",Programme_Grunddaten!AP453&lt;&gt;""),IF(Programme_Grunddaten!AP453="Ja",1,0),"")</f>
        <v/>
      </c>
      <c r="AI448" s="1" t="str">
        <f>IF(AND(Programme_Grunddaten!$A453="Geprüft",Programme_Grunddaten!AQ453&lt;&gt;""),IF(Programme_Grunddaten!AQ453="Ja",1,0),"")</f>
        <v/>
      </c>
      <c r="AJ448" s="1" t="str">
        <f>IF(AND(Programme_Grunddaten!$A453="Geprüft",Programme_Grunddaten!AR453&lt;&gt;""),IF(Programme_Grunddaten!AR453="Ja",1,0),"")</f>
        <v/>
      </c>
      <c r="AK448" s="1" t="str">
        <f>IF(AND(Programme_Grunddaten!$A453="Geprüft",Programme_Grunddaten!AS453&lt;&gt;""),IF(Programme_Grunddaten!AS453="Ja",1,0),"")</f>
        <v/>
      </c>
      <c r="AL448" s="1" t="str">
        <f>IF(AND(Programme_Grunddaten!$A453="Geprüft",Programme_Grunddaten!AT453&lt;&gt;""),IF(Programme_Grunddaten!AT453="Ja",1,0),"")</f>
        <v/>
      </c>
      <c r="AM448" s="1" t="str">
        <f>IF(AND(Programme_Grunddaten!$A453="Geprüft",Programme_Grunddaten!AU453&lt;&gt;""),IF(Programme_Grunddaten!AU453="Ja",1,0),"")</f>
        <v/>
      </c>
      <c r="AN448" s="1" t="str">
        <f>IF(AND(Programme_Grunddaten!$A453="Geprüft",Programme_Grunddaten!AV453&lt;&gt;""),IF(Programme_Grunddaten!AV453="Ja",1,0),"")</f>
        <v/>
      </c>
    </row>
    <row r="449" spans="1:40" x14ac:dyDescent="0.3">
      <c r="A449" s="1" t="str">
        <f>IF(AND(Programme_Grunddaten!A454="Geprüft",Programme_Grunddaten!B454&lt;&gt;""),Programme_Grunddaten!B454,"")</f>
        <v/>
      </c>
      <c r="B449" s="1" t="str">
        <f>IF(AND(Programme_Grunddaten!$A454="Geprüft",Programme_Grunddaten!I454&lt;&gt;""),IF(Programme_Grunddaten!I454="Ja",1,0),"")</f>
        <v/>
      </c>
      <c r="C449" s="1" t="str">
        <f>IF(AND(Programme_Grunddaten!$A454="Geprüft",Programme_Grunddaten!J454&lt;&gt;""),IF(Programme_Grunddaten!J454="Ja",1,0),"")</f>
        <v/>
      </c>
      <c r="D449" s="1" t="str">
        <f>IF(AND(Programme_Grunddaten!$A454="Geprüft",Programme_Grunddaten!K454&lt;&gt;""),IF(Programme_Grunddaten!K454="Ja",1,0),"")</f>
        <v/>
      </c>
      <c r="E449" s="1" t="str">
        <f>IF(AND(Programme_Grunddaten!$A454="Geprüft",Programme_Grunddaten!L454&lt;&gt;""),IF(Programme_Grunddaten!L454="Abo / befristete Lizenz",1,0),"")</f>
        <v/>
      </c>
      <c r="F449" s="1" t="str">
        <f>IF(AND(Programme_Grunddaten!$A454="Geprüft",Programme_Grunddaten!M454&lt;&gt;""),IF(Programme_Grunddaten!M454="Ja",1,0),"")</f>
        <v/>
      </c>
      <c r="G449" s="1" t="str">
        <f>IF(AND(Programme_Grunddaten!$A454="Geprüft",Programme_Grunddaten!N454&lt;&gt;""),IF(Programme_Grunddaten!N454="Ja",1,0),"")</f>
        <v/>
      </c>
      <c r="H449" s="1" t="str">
        <f>IF(AND(Programme_Grunddaten!$A454="Geprüft",Programme_Grunddaten!O454&lt;&gt;""),IF(Programme_Grunddaten!O454="Deutschland",0,IF(Programme_Grunddaten!O454="EU",1,2)),"")</f>
        <v/>
      </c>
      <c r="I449" s="1" t="str">
        <f>IF(AND(Programme_Grunddaten!$A454="Geprüft",Programme_Grunddaten!P454&lt;&gt;""),IF(Programme_Grunddaten!P454="Ja",1,0),"")</f>
        <v/>
      </c>
      <c r="J449" s="1" t="str">
        <f>IF(AND(Programme_Grunddaten!$A454="Geprüft",Programme_Grunddaten!Q454&lt;&gt;""),IF(Programme_Grunddaten!Q454="geschlossenes System",1,0),"")</f>
        <v/>
      </c>
      <c r="K449" s="1" t="str">
        <f>IF(AND(Programme_Grunddaten!$A454="Geprüft",Programme_Grunddaten!R454&lt;&gt;""),IF(Programme_Grunddaten!R454="Ja",1,0),"")</f>
        <v/>
      </c>
      <c r="L449" s="1" t="str">
        <f>IF(AND(Programme_Grunddaten!$A454="Geprüft",Programme_Grunddaten!T454&lt;&gt;""),IF(Programme_Grunddaten!T454="Ja",1,0),"")</f>
        <v/>
      </c>
      <c r="M449" s="1" t="str">
        <f>IF(AND(Programme_Grunddaten!$A454="Geprüft",Programme_Grunddaten!U454&lt;&gt;""),IF(Programme_Grunddaten!U454="Ja",1,0),"")</f>
        <v/>
      </c>
      <c r="N449" s="1" t="str">
        <f>IF(AND(Programme_Grunddaten!$A454="Geprüft",Programme_Grunddaten!V454&lt;&gt;""),IF(Programme_Grunddaten!V454="Ja",1,0),"")</f>
        <v/>
      </c>
      <c r="O449" s="1" t="str">
        <f>IF(AND(Programme_Grunddaten!$A454="Geprüft",Programme_Grunddaten!W454&lt;&gt;""),IF(Programme_Grunddaten!W454="Ja",1,0),"")</f>
        <v/>
      </c>
      <c r="P449" s="1" t="str">
        <f>IF(AND(Programme_Grunddaten!$A454="Geprüft",Programme_Grunddaten!X454&lt;&gt;""),IF(Programme_Grunddaten!X454="Ja",1,0),"")</f>
        <v/>
      </c>
      <c r="Q449" s="1" t="str">
        <f>IF(AND(Programme_Grunddaten!$A454="Geprüft",Programme_Grunddaten!Y454&lt;&gt;""),IF(Programme_Grunddaten!Y454="Ja",1,0),"")</f>
        <v/>
      </c>
      <c r="R449" s="1" t="str">
        <f>IF(AND(Programme_Grunddaten!$A454="Geprüft",Programme_Grunddaten!Z454&lt;&gt;""),IF(Programme_Grunddaten!Z454="Ja",1,0),"")</f>
        <v/>
      </c>
      <c r="S449" s="1" t="str">
        <f>IF(AND(Programme_Grunddaten!$A454="Geprüft",Programme_Grunddaten!AA454&lt;&gt;""),IF(Programme_Grunddaten!AA454="monolithisch",1,0),"")</f>
        <v/>
      </c>
      <c r="T449" s="1" t="str">
        <f>IF(AND(Programme_Grunddaten!$A454="Geprüft",Programme_Grunddaten!AB454&lt;&gt;""),IF(Programme_Grunddaten!AB454="Ja",1,0),"")</f>
        <v/>
      </c>
      <c r="U449" s="1" t="str">
        <f>IF(AND(Programme_Grunddaten!$A454="Geprüft",Programme_Grunddaten!AC454&lt;&gt;""),IF(Programme_Grunddaten!AC454="Ja",1,0),"")</f>
        <v/>
      </c>
      <c r="V449" s="1" t="str">
        <f>IF(AND(Programme_Grunddaten!$A454="Geprüft",Programme_Grunddaten!AD454&lt;&gt;""),IF(Programme_Grunddaten!AD454="Ja",1,0),"")</f>
        <v/>
      </c>
      <c r="W449" s="1" t="str">
        <f>IF(AND(Programme_Grunddaten!$A454="Geprüft",Programme_Grunddaten!AE454&lt;&gt;""),IF(Programme_Grunddaten!AE454="Ja",1,0),"")</f>
        <v/>
      </c>
      <c r="X449" s="1" t="str">
        <f>IF(AND(Programme_Grunddaten!$A454="Geprüft",Programme_Grunddaten!AF454&lt;&gt;""),IF(Programme_Grunddaten!AF454="Ja",1,0),"")</f>
        <v/>
      </c>
      <c r="Y449" s="1" t="str">
        <f>IF(AND(Programme_Grunddaten!$A454="Geprüft",Programme_Grunddaten!AG454&lt;&gt;""),IF(Programme_Grunddaten!AG454="Ja",1,0),"")</f>
        <v/>
      </c>
      <c r="Z449" s="1" t="str">
        <f>IF(AND(Programme_Grunddaten!$A454="Geprüft",Programme_Grunddaten!AH454&lt;&gt;""),IF(Programme_Grunddaten!AH454="Ja",1,0),"")</f>
        <v/>
      </c>
      <c r="AA449" s="1" t="str">
        <f>IF(AND(Programme_Grunddaten!$A454="Geprüft",Programme_Grunddaten!AI454&lt;&gt;""),IF(Programme_Grunddaten!AI454="Ja",1,0),"")</f>
        <v/>
      </c>
      <c r="AB449" s="1" t="str">
        <f>IF(AND(Programme_Grunddaten!$A454="Geprüft",Programme_Grunddaten!AJ454&lt;&gt;""),IF(Programme_Grunddaten!AJ454="individuell programmierbar",1,0),"")</f>
        <v/>
      </c>
      <c r="AC449" s="1" t="str">
        <f>IF(AND(Programme_Grunddaten!$A454="Geprüft",Programme_Grunddaten!AK454&lt;&gt;""),IF(Programme_Grunddaten!AK454="Deutsch",0,IF(Programme_Grunddaten!AK454="Deutsch und Englisch",1,2)),"")</f>
        <v/>
      </c>
      <c r="AD449" s="1" t="str">
        <f>IF(AND(Programme_Grunddaten!$A454="Geprüft",Programme_Grunddaten!AL454&lt;&gt;""),IF(Programme_Grunddaten!AL454="Ja",1,0),"")</f>
        <v/>
      </c>
      <c r="AE449" s="1" t="str">
        <f>IF(AND(Programme_Grunddaten!$A454="Geprüft",Programme_Grunddaten!AM454&lt;&gt;""),IF(Programme_Grunddaten!AM454="Ja",1,0),"")</f>
        <v/>
      </c>
      <c r="AF449" s="1" t="str">
        <f>IF(AND(Programme_Grunddaten!$A454="Geprüft",Programme_Grunddaten!AN454&lt;&gt;""),IF(Programme_Grunddaten!AN454="Ja",1,0),"")</f>
        <v/>
      </c>
      <c r="AG449" s="1" t="str">
        <f>IF(AND(Programme_Grunddaten!$A454="Geprüft",Programme_Grunddaten!AO454&lt;&gt;""),IF(Programme_Grunddaten!AO454="Ja",1,0),"")</f>
        <v/>
      </c>
      <c r="AH449" s="1" t="str">
        <f>IF(AND(Programme_Grunddaten!$A454="Geprüft",Programme_Grunddaten!AP454&lt;&gt;""),IF(Programme_Grunddaten!AP454="Ja",1,0),"")</f>
        <v/>
      </c>
      <c r="AI449" s="1" t="str">
        <f>IF(AND(Programme_Grunddaten!$A454="Geprüft",Programme_Grunddaten!AQ454&lt;&gt;""),IF(Programme_Grunddaten!AQ454="Ja",1,0),"")</f>
        <v/>
      </c>
      <c r="AJ449" s="1" t="str">
        <f>IF(AND(Programme_Grunddaten!$A454="Geprüft",Programme_Grunddaten!AR454&lt;&gt;""),IF(Programme_Grunddaten!AR454="Ja",1,0),"")</f>
        <v/>
      </c>
      <c r="AK449" s="1" t="str">
        <f>IF(AND(Programme_Grunddaten!$A454="Geprüft",Programme_Grunddaten!AS454&lt;&gt;""),IF(Programme_Grunddaten!AS454="Ja",1,0),"")</f>
        <v/>
      </c>
      <c r="AL449" s="1" t="str">
        <f>IF(AND(Programme_Grunddaten!$A454="Geprüft",Programme_Grunddaten!AT454&lt;&gt;""),IF(Programme_Grunddaten!AT454="Ja",1,0),"")</f>
        <v/>
      </c>
      <c r="AM449" s="1" t="str">
        <f>IF(AND(Programme_Grunddaten!$A454="Geprüft",Programme_Grunddaten!AU454&lt;&gt;""),IF(Programme_Grunddaten!AU454="Ja",1,0),"")</f>
        <v/>
      </c>
      <c r="AN449" s="1" t="str">
        <f>IF(AND(Programme_Grunddaten!$A454="Geprüft",Programme_Grunddaten!AV454&lt;&gt;""),IF(Programme_Grunddaten!AV454="Ja",1,0),"")</f>
        <v/>
      </c>
    </row>
    <row r="450" spans="1:40" x14ac:dyDescent="0.3">
      <c r="A450" s="1" t="str">
        <f>IF(AND(Programme_Grunddaten!A455="Geprüft",Programme_Grunddaten!B455&lt;&gt;""),Programme_Grunddaten!B455,"")</f>
        <v/>
      </c>
      <c r="B450" s="1" t="str">
        <f>IF(AND(Programme_Grunddaten!$A455="Geprüft",Programme_Grunddaten!I455&lt;&gt;""),IF(Programme_Grunddaten!I455="Ja",1,0),"")</f>
        <v/>
      </c>
      <c r="C450" s="1" t="str">
        <f>IF(AND(Programme_Grunddaten!$A455="Geprüft",Programme_Grunddaten!J455&lt;&gt;""),IF(Programme_Grunddaten!J455="Ja",1,0),"")</f>
        <v/>
      </c>
      <c r="D450" s="1" t="str">
        <f>IF(AND(Programme_Grunddaten!$A455="Geprüft",Programme_Grunddaten!K455&lt;&gt;""),IF(Programme_Grunddaten!K455="Ja",1,0),"")</f>
        <v/>
      </c>
      <c r="E450" s="1" t="str">
        <f>IF(AND(Programme_Grunddaten!$A455="Geprüft",Programme_Grunddaten!L455&lt;&gt;""),IF(Programme_Grunddaten!L455="Abo / befristete Lizenz",1,0),"")</f>
        <v/>
      </c>
      <c r="F450" s="1" t="str">
        <f>IF(AND(Programme_Grunddaten!$A455="Geprüft",Programme_Grunddaten!M455&lt;&gt;""),IF(Programme_Grunddaten!M455="Ja",1,0),"")</f>
        <v/>
      </c>
      <c r="G450" s="1" t="str">
        <f>IF(AND(Programme_Grunddaten!$A455="Geprüft",Programme_Grunddaten!N455&lt;&gt;""),IF(Programme_Grunddaten!N455="Ja",1,0),"")</f>
        <v/>
      </c>
      <c r="H450" s="1" t="str">
        <f>IF(AND(Programme_Grunddaten!$A455="Geprüft",Programme_Grunddaten!O455&lt;&gt;""),IF(Programme_Grunddaten!O455="Deutschland",0,IF(Programme_Grunddaten!O455="EU",1,2)),"")</f>
        <v/>
      </c>
      <c r="I450" s="1" t="str">
        <f>IF(AND(Programme_Grunddaten!$A455="Geprüft",Programme_Grunddaten!P455&lt;&gt;""),IF(Programme_Grunddaten!P455="Ja",1,0),"")</f>
        <v/>
      </c>
      <c r="J450" s="1" t="str">
        <f>IF(AND(Programme_Grunddaten!$A455="Geprüft",Programme_Grunddaten!Q455&lt;&gt;""),IF(Programme_Grunddaten!Q455="geschlossenes System",1,0),"")</f>
        <v/>
      </c>
      <c r="K450" s="1" t="str">
        <f>IF(AND(Programme_Grunddaten!$A455="Geprüft",Programme_Grunddaten!R455&lt;&gt;""),IF(Programme_Grunddaten!R455="Ja",1,0),"")</f>
        <v/>
      </c>
      <c r="L450" s="1" t="str">
        <f>IF(AND(Programme_Grunddaten!$A455="Geprüft",Programme_Grunddaten!T455&lt;&gt;""),IF(Programme_Grunddaten!T455="Ja",1,0),"")</f>
        <v/>
      </c>
      <c r="M450" s="1" t="str">
        <f>IF(AND(Programme_Grunddaten!$A455="Geprüft",Programme_Grunddaten!U455&lt;&gt;""),IF(Programme_Grunddaten!U455="Ja",1,0),"")</f>
        <v/>
      </c>
      <c r="N450" s="1" t="str">
        <f>IF(AND(Programme_Grunddaten!$A455="Geprüft",Programme_Grunddaten!V455&lt;&gt;""),IF(Programme_Grunddaten!V455="Ja",1,0),"")</f>
        <v/>
      </c>
      <c r="O450" s="1" t="str">
        <f>IF(AND(Programme_Grunddaten!$A455="Geprüft",Programme_Grunddaten!W455&lt;&gt;""),IF(Programme_Grunddaten!W455="Ja",1,0),"")</f>
        <v/>
      </c>
      <c r="P450" s="1" t="str">
        <f>IF(AND(Programme_Grunddaten!$A455="Geprüft",Programme_Grunddaten!X455&lt;&gt;""),IF(Programme_Grunddaten!X455="Ja",1,0),"")</f>
        <v/>
      </c>
      <c r="Q450" s="1" t="str">
        <f>IF(AND(Programme_Grunddaten!$A455="Geprüft",Programme_Grunddaten!Y455&lt;&gt;""),IF(Programme_Grunddaten!Y455="Ja",1,0),"")</f>
        <v/>
      </c>
      <c r="R450" s="1" t="str">
        <f>IF(AND(Programme_Grunddaten!$A455="Geprüft",Programme_Grunddaten!Z455&lt;&gt;""),IF(Programme_Grunddaten!Z455="Ja",1,0),"")</f>
        <v/>
      </c>
      <c r="S450" s="1" t="str">
        <f>IF(AND(Programme_Grunddaten!$A455="Geprüft",Programme_Grunddaten!AA455&lt;&gt;""),IF(Programme_Grunddaten!AA455="monolithisch",1,0),"")</f>
        <v/>
      </c>
      <c r="T450" s="1" t="str">
        <f>IF(AND(Programme_Grunddaten!$A455="Geprüft",Programme_Grunddaten!AB455&lt;&gt;""),IF(Programme_Grunddaten!AB455="Ja",1,0),"")</f>
        <v/>
      </c>
      <c r="U450" s="1" t="str">
        <f>IF(AND(Programme_Grunddaten!$A455="Geprüft",Programme_Grunddaten!AC455&lt;&gt;""),IF(Programme_Grunddaten!AC455="Ja",1,0),"")</f>
        <v/>
      </c>
      <c r="V450" s="1" t="str">
        <f>IF(AND(Programme_Grunddaten!$A455="Geprüft",Programme_Grunddaten!AD455&lt;&gt;""),IF(Programme_Grunddaten!AD455="Ja",1,0),"")</f>
        <v/>
      </c>
      <c r="W450" s="1" t="str">
        <f>IF(AND(Programme_Grunddaten!$A455="Geprüft",Programme_Grunddaten!AE455&lt;&gt;""),IF(Programme_Grunddaten!AE455="Ja",1,0),"")</f>
        <v/>
      </c>
      <c r="X450" s="1" t="str">
        <f>IF(AND(Programme_Grunddaten!$A455="Geprüft",Programme_Grunddaten!AF455&lt;&gt;""),IF(Programme_Grunddaten!AF455="Ja",1,0),"")</f>
        <v/>
      </c>
      <c r="Y450" s="1" t="str">
        <f>IF(AND(Programme_Grunddaten!$A455="Geprüft",Programme_Grunddaten!AG455&lt;&gt;""),IF(Programme_Grunddaten!AG455="Ja",1,0),"")</f>
        <v/>
      </c>
      <c r="Z450" s="1" t="str">
        <f>IF(AND(Programme_Grunddaten!$A455="Geprüft",Programme_Grunddaten!AH455&lt;&gt;""),IF(Programme_Grunddaten!AH455="Ja",1,0),"")</f>
        <v/>
      </c>
      <c r="AA450" s="1" t="str">
        <f>IF(AND(Programme_Grunddaten!$A455="Geprüft",Programme_Grunddaten!AI455&lt;&gt;""),IF(Programme_Grunddaten!AI455="Ja",1,0),"")</f>
        <v/>
      </c>
      <c r="AB450" s="1" t="str">
        <f>IF(AND(Programme_Grunddaten!$A455="Geprüft",Programme_Grunddaten!AJ455&lt;&gt;""),IF(Programme_Grunddaten!AJ455="individuell programmierbar",1,0),"")</f>
        <v/>
      </c>
      <c r="AC450" s="1" t="str">
        <f>IF(AND(Programme_Grunddaten!$A455="Geprüft",Programme_Grunddaten!AK455&lt;&gt;""),IF(Programme_Grunddaten!AK455="Deutsch",0,IF(Programme_Grunddaten!AK455="Deutsch und Englisch",1,2)),"")</f>
        <v/>
      </c>
      <c r="AD450" s="1" t="str">
        <f>IF(AND(Programme_Grunddaten!$A455="Geprüft",Programme_Grunddaten!AL455&lt;&gt;""),IF(Programme_Grunddaten!AL455="Ja",1,0),"")</f>
        <v/>
      </c>
      <c r="AE450" s="1" t="str">
        <f>IF(AND(Programme_Grunddaten!$A455="Geprüft",Programme_Grunddaten!AM455&lt;&gt;""),IF(Programme_Grunddaten!AM455="Ja",1,0),"")</f>
        <v/>
      </c>
      <c r="AF450" s="1" t="str">
        <f>IF(AND(Programme_Grunddaten!$A455="Geprüft",Programme_Grunddaten!AN455&lt;&gt;""),IF(Programme_Grunddaten!AN455="Ja",1,0),"")</f>
        <v/>
      </c>
      <c r="AG450" s="1" t="str">
        <f>IF(AND(Programme_Grunddaten!$A455="Geprüft",Programme_Grunddaten!AO455&lt;&gt;""),IF(Programme_Grunddaten!AO455="Ja",1,0),"")</f>
        <v/>
      </c>
      <c r="AH450" s="1" t="str">
        <f>IF(AND(Programme_Grunddaten!$A455="Geprüft",Programme_Grunddaten!AP455&lt;&gt;""),IF(Programme_Grunddaten!AP455="Ja",1,0),"")</f>
        <v/>
      </c>
      <c r="AI450" s="1" t="str">
        <f>IF(AND(Programme_Grunddaten!$A455="Geprüft",Programme_Grunddaten!AQ455&lt;&gt;""),IF(Programme_Grunddaten!AQ455="Ja",1,0),"")</f>
        <v/>
      </c>
      <c r="AJ450" s="1" t="str">
        <f>IF(AND(Programme_Grunddaten!$A455="Geprüft",Programme_Grunddaten!AR455&lt;&gt;""),IF(Programme_Grunddaten!AR455="Ja",1,0),"")</f>
        <v/>
      </c>
      <c r="AK450" s="1" t="str">
        <f>IF(AND(Programme_Grunddaten!$A455="Geprüft",Programme_Grunddaten!AS455&lt;&gt;""),IF(Programme_Grunddaten!AS455="Ja",1,0),"")</f>
        <v/>
      </c>
      <c r="AL450" s="1" t="str">
        <f>IF(AND(Programme_Grunddaten!$A455="Geprüft",Programme_Grunddaten!AT455&lt;&gt;""),IF(Programme_Grunddaten!AT455="Ja",1,0),"")</f>
        <v/>
      </c>
      <c r="AM450" s="1" t="str">
        <f>IF(AND(Programme_Grunddaten!$A455="Geprüft",Programme_Grunddaten!AU455&lt;&gt;""),IF(Programme_Grunddaten!AU455="Ja",1,0),"")</f>
        <v/>
      </c>
      <c r="AN450" s="1" t="str">
        <f>IF(AND(Programme_Grunddaten!$A455="Geprüft",Programme_Grunddaten!AV455&lt;&gt;""),IF(Programme_Grunddaten!AV455="Ja",1,0),"")</f>
        <v/>
      </c>
    </row>
    <row r="451" spans="1:40" x14ac:dyDescent="0.3">
      <c r="A451" s="1" t="str">
        <f>IF(AND(Programme_Grunddaten!A456="Geprüft",Programme_Grunddaten!B456&lt;&gt;""),Programme_Grunddaten!B456,"")</f>
        <v/>
      </c>
      <c r="B451" s="1" t="str">
        <f>IF(AND(Programme_Grunddaten!$A456="Geprüft",Programme_Grunddaten!I456&lt;&gt;""),IF(Programme_Grunddaten!I456="Ja",1,0),"")</f>
        <v/>
      </c>
      <c r="C451" s="1" t="str">
        <f>IF(AND(Programme_Grunddaten!$A456="Geprüft",Programme_Grunddaten!J456&lt;&gt;""),IF(Programme_Grunddaten!J456="Ja",1,0),"")</f>
        <v/>
      </c>
      <c r="D451" s="1" t="str">
        <f>IF(AND(Programme_Grunddaten!$A456="Geprüft",Programme_Grunddaten!K456&lt;&gt;""),IF(Programme_Grunddaten!K456="Ja",1,0),"")</f>
        <v/>
      </c>
      <c r="E451" s="1" t="str">
        <f>IF(AND(Programme_Grunddaten!$A456="Geprüft",Programme_Grunddaten!L456&lt;&gt;""),IF(Programme_Grunddaten!L456="Abo / befristete Lizenz",1,0),"")</f>
        <v/>
      </c>
      <c r="F451" s="1" t="str">
        <f>IF(AND(Programme_Grunddaten!$A456="Geprüft",Programme_Grunddaten!M456&lt;&gt;""),IF(Programme_Grunddaten!M456="Ja",1,0),"")</f>
        <v/>
      </c>
      <c r="G451" s="1" t="str">
        <f>IF(AND(Programme_Grunddaten!$A456="Geprüft",Programme_Grunddaten!N456&lt;&gt;""),IF(Programme_Grunddaten!N456="Ja",1,0),"")</f>
        <v/>
      </c>
      <c r="H451" s="1" t="str">
        <f>IF(AND(Programme_Grunddaten!$A456="Geprüft",Programme_Grunddaten!O456&lt;&gt;""),IF(Programme_Grunddaten!O456="Deutschland",0,IF(Programme_Grunddaten!O456="EU",1,2)),"")</f>
        <v/>
      </c>
      <c r="I451" s="1" t="str">
        <f>IF(AND(Programme_Grunddaten!$A456="Geprüft",Programme_Grunddaten!P456&lt;&gt;""),IF(Programme_Grunddaten!P456="Ja",1,0),"")</f>
        <v/>
      </c>
      <c r="J451" s="1" t="str">
        <f>IF(AND(Programme_Grunddaten!$A456="Geprüft",Programme_Grunddaten!Q456&lt;&gt;""),IF(Programme_Grunddaten!Q456="geschlossenes System",1,0),"")</f>
        <v/>
      </c>
      <c r="K451" s="1" t="str">
        <f>IF(AND(Programme_Grunddaten!$A456="Geprüft",Programme_Grunddaten!R456&lt;&gt;""),IF(Programme_Grunddaten!R456="Ja",1,0),"")</f>
        <v/>
      </c>
      <c r="L451" s="1" t="str">
        <f>IF(AND(Programme_Grunddaten!$A456="Geprüft",Programme_Grunddaten!T456&lt;&gt;""),IF(Programme_Grunddaten!T456="Ja",1,0),"")</f>
        <v/>
      </c>
      <c r="M451" s="1" t="str">
        <f>IF(AND(Programme_Grunddaten!$A456="Geprüft",Programme_Grunddaten!U456&lt;&gt;""),IF(Programme_Grunddaten!U456="Ja",1,0),"")</f>
        <v/>
      </c>
      <c r="N451" s="1" t="str">
        <f>IF(AND(Programme_Grunddaten!$A456="Geprüft",Programme_Grunddaten!V456&lt;&gt;""),IF(Programme_Grunddaten!V456="Ja",1,0),"")</f>
        <v/>
      </c>
      <c r="O451" s="1" t="str">
        <f>IF(AND(Programme_Grunddaten!$A456="Geprüft",Programme_Grunddaten!W456&lt;&gt;""),IF(Programme_Grunddaten!W456="Ja",1,0),"")</f>
        <v/>
      </c>
      <c r="P451" s="1" t="str">
        <f>IF(AND(Programme_Grunddaten!$A456="Geprüft",Programme_Grunddaten!X456&lt;&gt;""),IF(Programme_Grunddaten!X456="Ja",1,0),"")</f>
        <v/>
      </c>
      <c r="Q451" s="1" t="str">
        <f>IF(AND(Programme_Grunddaten!$A456="Geprüft",Programme_Grunddaten!Y456&lt;&gt;""),IF(Programme_Grunddaten!Y456="Ja",1,0),"")</f>
        <v/>
      </c>
      <c r="R451" s="1" t="str">
        <f>IF(AND(Programme_Grunddaten!$A456="Geprüft",Programme_Grunddaten!Z456&lt;&gt;""),IF(Programme_Grunddaten!Z456="Ja",1,0),"")</f>
        <v/>
      </c>
      <c r="S451" s="1" t="str">
        <f>IF(AND(Programme_Grunddaten!$A456="Geprüft",Programme_Grunddaten!AA456&lt;&gt;""),IF(Programme_Grunddaten!AA456="monolithisch",1,0),"")</f>
        <v/>
      </c>
      <c r="T451" s="1" t="str">
        <f>IF(AND(Programme_Grunddaten!$A456="Geprüft",Programme_Grunddaten!AB456&lt;&gt;""),IF(Programme_Grunddaten!AB456="Ja",1,0),"")</f>
        <v/>
      </c>
      <c r="U451" s="1" t="str">
        <f>IF(AND(Programme_Grunddaten!$A456="Geprüft",Programme_Grunddaten!AC456&lt;&gt;""),IF(Programme_Grunddaten!AC456="Ja",1,0),"")</f>
        <v/>
      </c>
      <c r="V451" s="1" t="str">
        <f>IF(AND(Programme_Grunddaten!$A456="Geprüft",Programme_Grunddaten!AD456&lt;&gt;""),IF(Programme_Grunddaten!AD456="Ja",1,0),"")</f>
        <v/>
      </c>
      <c r="W451" s="1" t="str">
        <f>IF(AND(Programme_Grunddaten!$A456="Geprüft",Programme_Grunddaten!AE456&lt;&gt;""),IF(Programme_Grunddaten!AE456="Ja",1,0),"")</f>
        <v/>
      </c>
      <c r="X451" s="1" t="str">
        <f>IF(AND(Programme_Grunddaten!$A456="Geprüft",Programme_Grunddaten!AF456&lt;&gt;""),IF(Programme_Grunddaten!AF456="Ja",1,0),"")</f>
        <v/>
      </c>
      <c r="Y451" s="1" t="str">
        <f>IF(AND(Programme_Grunddaten!$A456="Geprüft",Programme_Grunddaten!AG456&lt;&gt;""),IF(Programme_Grunddaten!AG456="Ja",1,0),"")</f>
        <v/>
      </c>
      <c r="Z451" s="1" t="str">
        <f>IF(AND(Programme_Grunddaten!$A456="Geprüft",Programme_Grunddaten!AH456&lt;&gt;""),IF(Programme_Grunddaten!AH456="Ja",1,0),"")</f>
        <v/>
      </c>
      <c r="AA451" s="1" t="str">
        <f>IF(AND(Programme_Grunddaten!$A456="Geprüft",Programme_Grunddaten!AI456&lt;&gt;""),IF(Programme_Grunddaten!AI456="Ja",1,0),"")</f>
        <v/>
      </c>
      <c r="AB451" s="1" t="str">
        <f>IF(AND(Programme_Grunddaten!$A456="Geprüft",Programme_Grunddaten!AJ456&lt;&gt;""),IF(Programme_Grunddaten!AJ456="individuell programmierbar",1,0),"")</f>
        <v/>
      </c>
      <c r="AC451" s="1" t="str">
        <f>IF(AND(Programme_Grunddaten!$A456="Geprüft",Programme_Grunddaten!AK456&lt;&gt;""),IF(Programme_Grunddaten!AK456="Deutsch",0,IF(Programme_Grunddaten!AK456="Deutsch und Englisch",1,2)),"")</f>
        <v/>
      </c>
      <c r="AD451" s="1" t="str">
        <f>IF(AND(Programme_Grunddaten!$A456="Geprüft",Programme_Grunddaten!AL456&lt;&gt;""),IF(Programme_Grunddaten!AL456="Ja",1,0),"")</f>
        <v/>
      </c>
      <c r="AE451" s="1" t="str">
        <f>IF(AND(Programme_Grunddaten!$A456="Geprüft",Programme_Grunddaten!AM456&lt;&gt;""),IF(Programme_Grunddaten!AM456="Ja",1,0),"")</f>
        <v/>
      </c>
      <c r="AF451" s="1" t="str">
        <f>IF(AND(Programme_Grunddaten!$A456="Geprüft",Programme_Grunddaten!AN456&lt;&gt;""),IF(Programme_Grunddaten!AN456="Ja",1,0),"")</f>
        <v/>
      </c>
      <c r="AG451" s="1" t="str">
        <f>IF(AND(Programme_Grunddaten!$A456="Geprüft",Programme_Grunddaten!AO456&lt;&gt;""),IF(Programme_Grunddaten!AO456="Ja",1,0),"")</f>
        <v/>
      </c>
      <c r="AH451" s="1" t="str">
        <f>IF(AND(Programme_Grunddaten!$A456="Geprüft",Programme_Grunddaten!AP456&lt;&gt;""),IF(Programme_Grunddaten!AP456="Ja",1,0),"")</f>
        <v/>
      </c>
      <c r="AI451" s="1" t="str">
        <f>IF(AND(Programme_Grunddaten!$A456="Geprüft",Programme_Grunddaten!AQ456&lt;&gt;""),IF(Programme_Grunddaten!AQ456="Ja",1,0),"")</f>
        <v/>
      </c>
      <c r="AJ451" s="1" t="str">
        <f>IF(AND(Programme_Grunddaten!$A456="Geprüft",Programme_Grunddaten!AR456&lt;&gt;""),IF(Programme_Grunddaten!AR456="Ja",1,0),"")</f>
        <v/>
      </c>
      <c r="AK451" s="1" t="str">
        <f>IF(AND(Programme_Grunddaten!$A456="Geprüft",Programme_Grunddaten!AS456&lt;&gt;""),IF(Programme_Grunddaten!AS456="Ja",1,0),"")</f>
        <v/>
      </c>
      <c r="AL451" s="1" t="str">
        <f>IF(AND(Programme_Grunddaten!$A456="Geprüft",Programme_Grunddaten!AT456&lt;&gt;""),IF(Programme_Grunddaten!AT456="Ja",1,0),"")</f>
        <v/>
      </c>
      <c r="AM451" s="1" t="str">
        <f>IF(AND(Programme_Grunddaten!$A456="Geprüft",Programme_Grunddaten!AU456&lt;&gt;""),IF(Programme_Grunddaten!AU456="Ja",1,0),"")</f>
        <v/>
      </c>
      <c r="AN451" s="1" t="str">
        <f>IF(AND(Programme_Grunddaten!$A456="Geprüft",Programme_Grunddaten!AV456&lt;&gt;""),IF(Programme_Grunddaten!AV456="Ja",1,0),"")</f>
        <v/>
      </c>
    </row>
    <row r="452" spans="1:40" x14ac:dyDescent="0.3">
      <c r="A452" s="1" t="str">
        <f>IF(AND(Programme_Grunddaten!A457="Geprüft",Programme_Grunddaten!B457&lt;&gt;""),Programme_Grunddaten!B457,"")</f>
        <v/>
      </c>
      <c r="B452" s="1" t="str">
        <f>IF(AND(Programme_Grunddaten!$A457="Geprüft",Programme_Grunddaten!I457&lt;&gt;""),IF(Programme_Grunddaten!I457="Ja",1,0),"")</f>
        <v/>
      </c>
      <c r="C452" s="1" t="str">
        <f>IF(AND(Programme_Grunddaten!$A457="Geprüft",Programme_Grunddaten!J457&lt;&gt;""),IF(Programme_Grunddaten!J457="Ja",1,0),"")</f>
        <v/>
      </c>
      <c r="D452" s="1" t="str">
        <f>IF(AND(Programme_Grunddaten!$A457="Geprüft",Programme_Grunddaten!K457&lt;&gt;""),IF(Programme_Grunddaten!K457="Ja",1,0),"")</f>
        <v/>
      </c>
      <c r="E452" s="1" t="str">
        <f>IF(AND(Programme_Grunddaten!$A457="Geprüft",Programme_Grunddaten!L457&lt;&gt;""),IF(Programme_Grunddaten!L457="Abo / befristete Lizenz",1,0),"")</f>
        <v/>
      </c>
      <c r="F452" s="1" t="str">
        <f>IF(AND(Programme_Grunddaten!$A457="Geprüft",Programme_Grunddaten!M457&lt;&gt;""),IF(Programme_Grunddaten!M457="Ja",1,0),"")</f>
        <v/>
      </c>
      <c r="G452" s="1" t="str">
        <f>IF(AND(Programme_Grunddaten!$A457="Geprüft",Programme_Grunddaten!N457&lt;&gt;""),IF(Programme_Grunddaten!N457="Ja",1,0),"")</f>
        <v/>
      </c>
      <c r="H452" s="1" t="str">
        <f>IF(AND(Programme_Grunddaten!$A457="Geprüft",Programme_Grunddaten!O457&lt;&gt;""),IF(Programme_Grunddaten!O457="Deutschland",0,IF(Programme_Grunddaten!O457="EU",1,2)),"")</f>
        <v/>
      </c>
      <c r="I452" s="1" t="str">
        <f>IF(AND(Programme_Grunddaten!$A457="Geprüft",Programme_Grunddaten!P457&lt;&gt;""),IF(Programme_Grunddaten!P457="Ja",1,0),"")</f>
        <v/>
      </c>
      <c r="J452" s="1" t="str">
        <f>IF(AND(Programme_Grunddaten!$A457="Geprüft",Programme_Grunddaten!Q457&lt;&gt;""),IF(Programme_Grunddaten!Q457="geschlossenes System",1,0),"")</f>
        <v/>
      </c>
      <c r="K452" s="1" t="str">
        <f>IF(AND(Programme_Grunddaten!$A457="Geprüft",Programme_Grunddaten!R457&lt;&gt;""),IF(Programme_Grunddaten!R457="Ja",1,0),"")</f>
        <v/>
      </c>
      <c r="L452" s="1" t="str">
        <f>IF(AND(Programme_Grunddaten!$A457="Geprüft",Programme_Grunddaten!T457&lt;&gt;""),IF(Programme_Grunddaten!T457="Ja",1,0),"")</f>
        <v/>
      </c>
      <c r="M452" s="1" t="str">
        <f>IF(AND(Programme_Grunddaten!$A457="Geprüft",Programme_Grunddaten!U457&lt;&gt;""),IF(Programme_Grunddaten!U457="Ja",1,0),"")</f>
        <v/>
      </c>
      <c r="N452" s="1" t="str">
        <f>IF(AND(Programme_Grunddaten!$A457="Geprüft",Programme_Grunddaten!V457&lt;&gt;""),IF(Programme_Grunddaten!V457="Ja",1,0),"")</f>
        <v/>
      </c>
      <c r="O452" s="1" t="str">
        <f>IF(AND(Programme_Grunddaten!$A457="Geprüft",Programme_Grunddaten!W457&lt;&gt;""),IF(Programme_Grunddaten!W457="Ja",1,0),"")</f>
        <v/>
      </c>
      <c r="P452" s="1" t="str">
        <f>IF(AND(Programme_Grunddaten!$A457="Geprüft",Programme_Grunddaten!X457&lt;&gt;""),IF(Programme_Grunddaten!X457="Ja",1,0),"")</f>
        <v/>
      </c>
      <c r="Q452" s="1" t="str">
        <f>IF(AND(Programme_Grunddaten!$A457="Geprüft",Programme_Grunddaten!Y457&lt;&gt;""),IF(Programme_Grunddaten!Y457="Ja",1,0),"")</f>
        <v/>
      </c>
      <c r="R452" s="1" t="str">
        <f>IF(AND(Programme_Grunddaten!$A457="Geprüft",Programme_Grunddaten!Z457&lt;&gt;""),IF(Programme_Grunddaten!Z457="Ja",1,0),"")</f>
        <v/>
      </c>
      <c r="S452" s="1" t="str">
        <f>IF(AND(Programme_Grunddaten!$A457="Geprüft",Programme_Grunddaten!AA457&lt;&gt;""),IF(Programme_Grunddaten!AA457="monolithisch",1,0),"")</f>
        <v/>
      </c>
      <c r="T452" s="1" t="str">
        <f>IF(AND(Programme_Grunddaten!$A457="Geprüft",Programme_Grunddaten!AB457&lt;&gt;""),IF(Programme_Grunddaten!AB457="Ja",1,0),"")</f>
        <v/>
      </c>
      <c r="U452" s="1" t="str">
        <f>IF(AND(Programme_Grunddaten!$A457="Geprüft",Programme_Grunddaten!AC457&lt;&gt;""),IF(Programme_Grunddaten!AC457="Ja",1,0),"")</f>
        <v/>
      </c>
      <c r="V452" s="1" t="str">
        <f>IF(AND(Programme_Grunddaten!$A457="Geprüft",Programme_Grunddaten!AD457&lt;&gt;""),IF(Programme_Grunddaten!AD457="Ja",1,0),"")</f>
        <v/>
      </c>
      <c r="W452" s="1" t="str">
        <f>IF(AND(Programme_Grunddaten!$A457="Geprüft",Programme_Grunddaten!AE457&lt;&gt;""),IF(Programme_Grunddaten!AE457="Ja",1,0),"")</f>
        <v/>
      </c>
      <c r="X452" s="1" t="str">
        <f>IF(AND(Programme_Grunddaten!$A457="Geprüft",Programme_Grunddaten!AF457&lt;&gt;""),IF(Programme_Grunddaten!AF457="Ja",1,0),"")</f>
        <v/>
      </c>
      <c r="Y452" s="1" t="str">
        <f>IF(AND(Programme_Grunddaten!$A457="Geprüft",Programme_Grunddaten!AG457&lt;&gt;""),IF(Programme_Grunddaten!AG457="Ja",1,0),"")</f>
        <v/>
      </c>
      <c r="Z452" s="1" t="str">
        <f>IF(AND(Programme_Grunddaten!$A457="Geprüft",Programme_Grunddaten!AH457&lt;&gt;""),IF(Programme_Grunddaten!AH457="Ja",1,0),"")</f>
        <v/>
      </c>
      <c r="AA452" s="1" t="str">
        <f>IF(AND(Programme_Grunddaten!$A457="Geprüft",Programme_Grunddaten!AI457&lt;&gt;""),IF(Programme_Grunddaten!AI457="Ja",1,0),"")</f>
        <v/>
      </c>
      <c r="AB452" s="1" t="str">
        <f>IF(AND(Programme_Grunddaten!$A457="Geprüft",Programme_Grunddaten!AJ457&lt;&gt;""),IF(Programme_Grunddaten!AJ457="individuell programmierbar",1,0),"")</f>
        <v/>
      </c>
      <c r="AC452" s="1" t="str">
        <f>IF(AND(Programme_Grunddaten!$A457="Geprüft",Programme_Grunddaten!AK457&lt;&gt;""),IF(Programme_Grunddaten!AK457="Deutsch",0,IF(Programme_Grunddaten!AK457="Deutsch und Englisch",1,2)),"")</f>
        <v/>
      </c>
      <c r="AD452" s="1" t="str">
        <f>IF(AND(Programme_Grunddaten!$A457="Geprüft",Programme_Grunddaten!AL457&lt;&gt;""),IF(Programme_Grunddaten!AL457="Ja",1,0),"")</f>
        <v/>
      </c>
      <c r="AE452" s="1" t="str">
        <f>IF(AND(Programme_Grunddaten!$A457="Geprüft",Programme_Grunddaten!AM457&lt;&gt;""),IF(Programme_Grunddaten!AM457="Ja",1,0),"")</f>
        <v/>
      </c>
      <c r="AF452" s="1" t="str">
        <f>IF(AND(Programme_Grunddaten!$A457="Geprüft",Programme_Grunddaten!AN457&lt;&gt;""),IF(Programme_Grunddaten!AN457="Ja",1,0),"")</f>
        <v/>
      </c>
      <c r="AG452" s="1" t="str">
        <f>IF(AND(Programme_Grunddaten!$A457="Geprüft",Programme_Grunddaten!AO457&lt;&gt;""),IF(Programme_Grunddaten!AO457="Ja",1,0),"")</f>
        <v/>
      </c>
      <c r="AH452" s="1" t="str">
        <f>IF(AND(Programme_Grunddaten!$A457="Geprüft",Programme_Grunddaten!AP457&lt;&gt;""),IF(Programme_Grunddaten!AP457="Ja",1,0),"")</f>
        <v/>
      </c>
      <c r="AI452" s="1" t="str">
        <f>IF(AND(Programme_Grunddaten!$A457="Geprüft",Programme_Grunddaten!AQ457&lt;&gt;""),IF(Programme_Grunddaten!AQ457="Ja",1,0),"")</f>
        <v/>
      </c>
      <c r="AJ452" s="1" t="str">
        <f>IF(AND(Programme_Grunddaten!$A457="Geprüft",Programme_Grunddaten!AR457&lt;&gt;""),IF(Programme_Grunddaten!AR457="Ja",1,0),"")</f>
        <v/>
      </c>
      <c r="AK452" s="1" t="str">
        <f>IF(AND(Programme_Grunddaten!$A457="Geprüft",Programme_Grunddaten!AS457&lt;&gt;""),IF(Programme_Grunddaten!AS457="Ja",1,0),"")</f>
        <v/>
      </c>
      <c r="AL452" s="1" t="str">
        <f>IF(AND(Programme_Grunddaten!$A457="Geprüft",Programme_Grunddaten!AT457&lt;&gt;""),IF(Programme_Grunddaten!AT457="Ja",1,0),"")</f>
        <v/>
      </c>
      <c r="AM452" s="1" t="str">
        <f>IF(AND(Programme_Grunddaten!$A457="Geprüft",Programme_Grunddaten!AU457&lt;&gt;""),IF(Programme_Grunddaten!AU457="Ja",1,0),"")</f>
        <v/>
      </c>
      <c r="AN452" s="1" t="str">
        <f>IF(AND(Programme_Grunddaten!$A457="Geprüft",Programme_Grunddaten!AV457&lt;&gt;""),IF(Programme_Grunddaten!AV457="Ja",1,0),"")</f>
        <v/>
      </c>
    </row>
    <row r="453" spans="1:40" x14ac:dyDescent="0.3">
      <c r="A453" s="1" t="str">
        <f>IF(AND(Programme_Grunddaten!A458="Geprüft",Programme_Grunddaten!B458&lt;&gt;""),Programme_Grunddaten!B458,"")</f>
        <v/>
      </c>
      <c r="B453" s="1" t="str">
        <f>IF(AND(Programme_Grunddaten!$A458="Geprüft",Programme_Grunddaten!I458&lt;&gt;""),IF(Programme_Grunddaten!I458="Ja",1,0),"")</f>
        <v/>
      </c>
      <c r="C453" s="1" t="str">
        <f>IF(AND(Programme_Grunddaten!$A458="Geprüft",Programme_Grunddaten!J458&lt;&gt;""),IF(Programme_Grunddaten!J458="Ja",1,0),"")</f>
        <v/>
      </c>
      <c r="D453" s="1" t="str">
        <f>IF(AND(Programme_Grunddaten!$A458="Geprüft",Programme_Grunddaten!K458&lt;&gt;""),IF(Programme_Grunddaten!K458="Ja",1,0),"")</f>
        <v/>
      </c>
      <c r="E453" s="1" t="str">
        <f>IF(AND(Programme_Grunddaten!$A458="Geprüft",Programme_Grunddaten!L458&lt;&gt;""),IF(Programme_Grunddaten!L458="Abo / befristete Lizenz",1,0),"")</f>
        <v/>
      </c>
      <c r="F453" s="1" t="str">
        <f>IF(AND(Programme_Grunddaten!$A458="Geprüft",Programme_Grunddaten!M458&lt;&gt;""),IF(Programme_Grunddaten!M458="Ja",1,0),"")</f>
        <v/>
      </c>
      <c r="G453" s="1" t="str">
        <f>IF(AND(Programme_Grunddaten!$A458="Geprüft",Programme_Grunddaten!N458&lt;&gt;""),IF(Programme_Grunddaten!N458="Ja",1,0),"")</f>
        <v/>
      </c>
      <c r="H453" s="1" t="str">
        <f>IF(AND(Programme_Grunddaten!$A458="Geprüft",Programme_Grunddaten!O458&lt;&gt;""),IF(Programme_Grunddaten!O458="Deutschland",0,IF(Programme_Grunddaten!O458="EU",1,2)),"")</f>
        <v/>
      </c>
      <c r="I453" s="1" t="str">
        <f>IF(AND(Programme_Grunddaten!$A458="Geprüft",Programme_Grunddaten!P458&lt;&gt;""),IF(Programme_Grunddaten!P458="Ja",1,0),"")</f>
        <v/>
      </c>
      <c r="J453" s="1" t="str">
        <f>IF(AND(Programme_Grunddaten!$A458="Geprüft",Programme_Grunddaten!Q458&lt;&gt;""),IF(Programme_Grunddaten!Q458="geschlossenes System",1,0),"")</f>
        <v/>
      </c>
      <c r="K453" s="1" t="str">
        <f>IF(AND(Programme_Grunddaten!$A458="Geprüft",Programme_Grunddaten!R458&lt;&gt;""),IF(Programme_Grunddaten!R458="Ja",1,0),"")</f>
        <v/>
      </c>
      <c r="L453" s="1" t="str">
        <f>IF(AND(Programme_Grunddaten!$A458="Geprüft",Programme_Grunddaten!T458&lt;&gt;""),IF(Programme_Grunddaten!T458="Ja",1,0),"")</f>
        <v/>
      </c>
      <c r="M453" s="1" t="str">
        <f>IF(AND(Programme_Grunddaten!$A458="Geprüft",Programme_Grunddaten!U458&lt;&gt;""),IF(Programme_Grunddaten!U458="Ja",1,0),"")</f>
        <v/>
      </c>
      <c r="N453" s="1" t="str">
        <f>IF(AND(Programme_Grunddaten!$A458="Geprüft",Programme_Grunddaten!V458&lt;&gt;""),IF(Programme_Grunddaten!V458="Ja",1,0),"")</f>
        <v/>
      </c>
      <c r="O453" s="1" t="str">
        <f>IF(AND(Programme_Grunddaten!$A458="Geprüft",Programme_Grunddaten!W458&lt;&gt;""),IF(Programme_Grunddaten!W458="Ja",1,0),"")</f>
        <v/>
      </c>
      <c r="P453" s="1" t="str">
        <f>IF(AND(Programme_Grunddaten!$A458="Geprüft",Programme_Grunddaten!X458&lt;&gt;""),IF(Programme_Grunddaten!X458="Ja",1,0),"")</f>
        <v/>
      </c>
      <c r="Q453" s="1" t="str">
        <f>IF(AND(Programme_Grunddaten!$A458="Geprüft",Programme_Grunddaten!Y458&lt;&gt;""),IF(Programme_Grunddaten!Y458="Ja",1,0),"")</f>
        <v/>
      </c>
      <c r="R453" s="1" t="str">
        <f>IF(AND(Programme_Grunddaten!$A458="Geprüft",Programme_Grunddaten!Z458&lt;&gt;""),IF(Programme_Grunddaten!Z458="Ja",1,0),"")</f>
        <v/>
      </c>
      <c r="S453" s="1" t="str">
        <f>IF(AND(Programme_Grunddaten!$A458="Geprüft",Programme_Grunddaten!AA458&lt;&gt;""),IF(Programme_Grunddaten!AA458="monolithisch",1,0),"")</f>
        <v/>
      </c>
      <c r="T453" s="1" t="str">
        <f>IF(AND(Programme_Grunddaten!$A458="Geprüft",Programme_Grunddaten!AB458&lt;&gt;""),IF(Programme_Grunddaten!AB458="Ja",1,0),"")</f>
        <v/>
      </c>
      <c r="U453" s="1" t="str">
        <f>IF(AND(Programme_Grunddaten!$A458="Geprüft",Programme_Grunddaten!AC458&lt;&gt;""),IF(Programme_Grunddaten!AC458="Ja",1,0),"")</f>
        <v/>
      </c>
      <c r="V453" s="1" t="str">
        <f>IF(AND(Programme_Grunddaten!$A458="Geprüft",Programme_Grunddaten!AD458&lt;&gt;""),IF(Programme_Grunddaten!AD458="Ja",1,0),"")</f>
        <v/>
      </c>
      <c r="W453" s="1" t="str">
        <f>IF(AND(Programme_Grunddaten!$A458="Geprüft",Programme_Grunddaten!AE458&lt;&gt;""),IF(Programme_Grunddaten!AE458="Ja",1,0),"")</f>
        <v/>
      </c>
      <c r="X453" s="1" t="str">
        <f>IF(AND(Programme_Grunddaten!$A458="Geprüft",Programme_Grunddaten!AF458&lt;&gt;""),IF(Programme_Grunddaten!AF458="Ja",1,0),"")</f>
        <v/>
      </c>
      <c r="Y453" s="1" t="str">
        <f>IF(AND(Programme_Grunddaten!$A458="Geprüft",Programme_Grunddaten!AG458&lt;&gt;""),IF(Programme_Grunddaten!AG458="Ja",1,0),"")</f>
        <v/>
      </c>
      <c r="Z453" s="1" t="str">
        <f>IF(AND(Programme_Grunddaten!$A458="Geprüft",Programme_Grunddaten!AH458&lt;&gt;""),IF(Programme_Grunddaten!AH458="Ja",1,0),"")</f>
        <v/>
      </c>
      <c r="AA453" s="1" t="str">
        <f>IF(AND(Programme_Grunddaten!$A458="Geprüft",Programme_Grunddaten!AI458&lt;&gt;""),IF(Programme_Grunddaten!AI458="Ja",1,0),"")</f>
        <v/>
      </c>
      <c r="AB453" s="1" t="str">
        <f>IF(AND(Programme_Grunddaten!$A458="Geprüft",Programme_Grunddaten!AJ458&lt;&gt;""),IF(Programme_Grunddaten!AJ458="individuell programmierbar",1,0),"")</f>
        <v/>
      </c>
      <c r="AC453" s="1" t="str">
        <f>IF(AND(Programme_Grunddaten!$A458="Geprüft",Programme_Grunddaten!AK458&lt;&gt;""),IF(Programme_Grunddaten!AK458="Deutsch",0,IF(Programme_Grunddaten!AK458="Deutsch und Englisch",1,2)),"")</f>
        <v/>
      </c>
      <c r="AD453" s="1" t="str">
        <f>IF(AND(Programme_Grunddaten!$A458="Geprüft",Programme_Grunddaten!AL458&lt;&gt;""),IF(Programme_Grunddaten!AL458="Ja",1,0),"")</f>
        <v/>
      </c>
      <c r="AE453" s="1" t="str">
        <f>IF(AND(Programme_Grunddaten!$A458="Geprüft",Programme_Grunddaten!AM458&lt;&gt;""),IF(Programme_Grunddaten!AM458="Ja",1,0),"")</f>
        <v/>
      </c>
      <c r="AF453" s="1" t="str">
        <f>IF(AND(Programme_Grunddaten!$A458="Geprüft",Programme_Grunddaten!AN458&lt;&gt;""),IF(Programme_Grunddaten!AN458="Ja",1,0),"")</f>
        <v/>
      </c>
      <c r="AG453" s="1" t="str">
        <f>IF(AND(Programme_Grunddaten!$A458="Geprüft",Programme_Grunddaten!AO458&lt;&gt;""),IF(Programme_Grunddaten!AO458="Ja",1,0),"")</f>
        <v/>
      </c>
      <c r="AH453" s="1" t="str">
        <f>IF(AND(Programme_Grunddaten!$A458="Geprüft",Programme_Grunddaten!AP458&lt;&gt;""),IF(Programme_Grunddaten!AP458="Ja",1,0),"")</f>
        <v/>
      </c>
      <c r="AI453" s="1" t="str">
        <f>IF(AND(Programme_Grunddaten!$A458="Geprüft",Programme_Grunddaten!AQ458&lt;&gt;""),IF(Programme_Grunddaten!AQ458="Ja",1,0),"")</f>
        <v/>
      </c>
      <c r="AJ453" s="1" t="str">
        <f>IF(AND(Programme_Grunddaten!$A458="Geprüft",Programme_Grunddaten!AR458&lt;&gt;""),IF(Programme_Grunddaten!AR458="Ja",1,0),"")</f>
        <v/>
      </c>
      <c r="AK453" s="1" t="str">
        <f>IF(AND(Programme_Grunddaten!$A458="Geprüft",Programme_Grunddaten!AS458&lt;&gt;""),IF(Programme_Grunddaten!AS458="Ja",1,0),"")</f>
        <v/>
      </c>
      <c r="AL453" s="1" t="str">
        <f>IF(AND(Programme_Grunddaten!$A458="Geprüft",Programme_Grunddaten!AT458&lt;&gt;""),IF(Programme_Grunddaten!AT458="Ja",1,0),"")</f>
        <v/>
      </c>
      <c r="AM453" s="1" t="str">
        <f>IF(AND(Programme_Grunddaten!$A458="Geprüft",Programme_Grunddaten!AU458&lt;&gt;""),IF(Programme_Grunddaten!AU458="Ja",1,0),"")</f>
        <v/>
      </c>
      <c r="AN453" s="1" t="str">
        <f>IF(AND(Programme_Grunddaten!$A458="Geprüft",Programme_Grunddaten!AV458&lt;&gt;""),IF(Programme_Grunddaten!AV458="Ja",1,0),"")</f>
        <v/>
      </c>
    </row>
    <row r="454" spans="1:40" x14ac:dyDescent="0.3">
      <c r="A454" s="1" t="str">
        <f>IF(AND(Programme_Grunddaten!A459="Geprüft",Programme_Grunddaten!B459&lt;&gt;""),Programme_Grunddaten!B459,"")</f>
        <v/>
      </c>
      <c r="B454" s="1" t="str">
        <f>IF(AND(Programme_Grunddaten!$A459="Geprüft",Programme_Grunddaten!I459&lt;&gt;""),IF(Programme_Grunddaten!I459="Ja",1,0),"")</f>
        <v/>
      </c>
      <c r="C454" s="1" t="str">
        <f>IF(AND(Programme_Grunddaten!$A459="Geprüft",Programme_Grunddaten!J459&lt;&gt;""),IF(Programme_Grunddaten!J459="Ja",1,0),"")</f>
        <v/>
      </c>
      <c r="D454" s="1" t="str">
        <f>IF(AND(Programme_Grunddaten!$A459="Geprüft",Programme_Grunddaten!K459&lt;&gt;""),IF(Programme_Grunddaten!K459="Ja",1,0),"")</f>
        <v/>
      </c>
      <c r="E454" s="1" t="str">
        <f>IF(AND(Programme_Grunddaten!$A459="Geprüft",Programme_Grunddaten!L459&lt;&gt;""),IF(Programme_Grunddaten!L459="Abo / befristete Lizenz",1,0),"")</f>
        <v/>
      </c>
      <c r="F454" s="1" t="str">
        <f>IF(AND(Programme_Grunddaten!$A459="Geprüft",Programme_Grunddaten!M459&lt;&gt;""),IF(Programme_Grunddaten!M459="Ja",1,0),"")</f>
        <v/>
      </c>
      <c r="G454" s="1" t="str">
        <f>IF(AND(Programme_Grunddaten!$A459="Geprüft",Programme_Grunddaten!N459&lt;&gt;""),IF(Programme_Grunddaten!N459="Ja",1,0),"")</f>
        <v/>
      </c>
      <c r="H454" s="1" t="str">
        <f>IF(AND(Programme_Grunddaten!$A459="Geprüft",Programme_Grunddaten!O459&lt;&gt;""),IF(Programme_Grunddaten!O459="Deutschland",0,IF(Programme_Grunddaten!O459="EU",1,2)),"")</f>
        <v/>
      </c>
      <c r="I454" s="1" t="str">
        <f>IF(AND(Programme_Grunddaten!$A459="Geprüft",Programme_Grunddaten!P459&lt;&gt;""),IF(Programme_Grunddaten!P459="Ja",1,0),"")</f>
        <v/>
      </c>
      <c r="J454" s="1" t="str">
        <f>IF(AND(Programme_Grunddaten!$A459="Geprüft",Programme_Grunddaten!Q459&lt;&gt;""),IF(Programme_Grunddaten!Q459="geschlossenes System",1,0),"")</f>
        <v/>
      </c>
      <c r="K454" s="1" t="str">
        <f>IF(AND(Programme_Grunddaten!$A459="Geprüft",Programme_Grunddaten!R459&lt;&gt;""),IF(Programme_Grunddaten!R459="Ja",1,0),"")</f>
        <v/>
      </c>
      <c r="L454" s="1" t="str">
        <f>IF(AND(Programme_Grunddaten!$A459="Geprüft",Programme_Grunddaten!T459&lt;&gt;""),IF(Programme_Grunddaten!T459="Ja",1,0),"")</f>
        <v/>
      </c>
      <c r="M454" s="1" t="str">
        <f>IF(AND(Programme_Grunddaten!$A459="Geprüft",Programme_Grunddaten!U459&lt;&gt;""),IF(Programme_Grunddaten!U459="Ja",1,0),"")</f>
        <v/>
      </c>
      <c r="N454" s="1" t="str">
        <f>IF(AND(Programme_Grunddaten!$A459="Geprüft",Programme_Grunddaten!V459&lt;&gt;""),IF(Programme_Grunddaten!V459="Ja",1,0),"")</f>
        <v/>
      </c>
      <c r="O454" s="1" t="str">
        <f>IF(AND(Programme_Grunddaten!$A459="Geprüft",Programme_Grunddaten!W459&lt;&gt;""),IF(Programme_Grunddaten!W459="Ja",1,0),"")</f>
        <v/>
      </c>
      <c r="P454" s="1" t="str">
        <f>IF(AND(Programme_Grunddaten!$A459="Geprüft",Programme_Grunddaten!X459&lt;&gt;""),IF(Programme_Grunddaten!X459="Ja",1,0),"")</f>
        <v/>
      </c>
      <c r="Q454" s="1" t="str">
        <f>IF(AND(Programme_Grunddaten!$A459="Geprüft",Programme_Grunddaten!Y459&lt;&gt;""),IF(Programme_Grunddaten!Y459="Ja",1,0),"")</f>
        <v/>
      </c>
      <c r="R454" s="1" t="str">
        <f>IF(AND(Programme_Grunddaten!$A459="Geprüft",Programme_Grunddaten!Z459&lt;&gt;""),IF(Programme_Grunddaten!Z459="Ja",1,0),"")</f>
        <v/>
      </c>
      <c r="S454" s="1" t="str">
        <f>IF(AND(Programme_Grunddaten!$A459="Geprüft",Programme_Grunddaten!AA459&lt;&gt;""),IF(Programme_Grunddaten!AA459="monolithisch",1,0),"")</f>
        <v/>
      </c>
      <c r="T454" s="1" t="str">
        <f>IF(AND(Programme_Grunddaten!$A459="Geprüft",Programme_Grunddaten!AB459&lt;&gt;""),IF(Programme_Grunddaten!AB459="Ja",1,0),"")</f>
        <v/>
      </c>
      <c r="U454" s="1" t="str">
        <f>IF(AND(Programme_Grunddaten!$A459="Geprüft",Programme_Grunddaten!AC459&lt;&gt;""),IF(Programme_Grunddaten!AC459="Ja",1,0),"")</f>
        <v/>
      </c>
      <c r="V454" s="1" t="str">
        <f>IF(AND(Programme_Grunddaten!$A459="Geprüft",Programme_Grunddaten!AD459&lt;&gt;""),IF(Programme_Grunddaten!AD459="Ja",1,0),"")</f>
        <v/>
      </c>
      <c r="W454" s="1" t="str">
        <f>IF(AND(Programme_Grunddaten!$A459="Geprüft",Programme_Grunddaten!AE459&lt;&gt;""),IF(Programme_Grunddaten!AE459="Ja",1,0),"")</f>
        <v/>
      </c>
      <c r="X454" s="1" t="str">
        <f>IF(AND(Programme_Grunddaten!$A459="Geprüft",Programme_Grunddaten!AF459&lt;&gt;""),IF(Programme_Grunddaten!AF459="Ja",1,0),"")</f>
        <v/>
      </c>
      <c r="Y454" s="1" t="str">
        <f>IF(AND(Programme_Grunddaten!$A459="Geprüft",Programme_Grunddaten!AG459&lt;&gt;""),IF(Programme_Grunddaten!AG459="Ja",1,0),"")</f>
        <v/>
      </c>
      <c r="Z454" s="1" t="str">
        <f>IF(AND(Programme_Grunddaten!$A459="Geprüft",Programme_Grunddaten!AH459&lt;&gt;""),IF(Programme_Grunddaten!AH459="Ja",1,0),"")</f>
        <v/>
      </c>
      <c r="AA454" s="1" t="str">
        <f>IF(AND(Programme_Grunddaten!$A459="Geprüft",Programme_Grunddaten!AI459&lt;&gt;""),IF(Programme_Grunddaten!AI459="Ja",1,0),"")</f>
        <v/>
      </c>
      <c r="AB454" s="1" t="str">
        <f>IF(AND(Programme_Grunddaten!$A459="Geprüft",Programme_Grunddaten!AJ459&lt;&gt;""),IF(Programme_Grunddaten!AJ459="individuell programmierbar",1,0),"")</f>
        <v/>
      </c>
      <c r="AC454" s="1" t="str">
        <f>IF(AND(Programme_Grunddaten!$A459="Geprüft",Programme_Grunddaten!AK459&lt;&gt;""),IF(Programme_Grunddaten!AK459="Deutsch",0,IF(Programme_Grunddaten!AK459="Deutsch und Englisch",1,2)),"")</f>
        <v/>
      </c>
      <c r="AD454" s="1" t="str">
        <f>IF(AND(Programme_Grunddaten!$A459="Geprüft",Programme_Grunddaten!AL459&lt;&gt;""),IF(Programme_Grunddaten!AL459="Ja",1,0),"")</f>
        <v/>
      </c>
      <c r="AE454" s="1" t="str">
        <f>IF(AND(Programme_Grunddaten!$A459="Geprüft",Programme_Grunddaten!AM459&lt;&gt;""),IF(Programme_Grunddaten!AM459="Ja",1,0),"")</f>
        <v/>
      </c>
      <c r="AF454" s="1" t="str">
        <f>IF(AND(Programme_Grunddaten!$A459="Geprüft",Programme_Grunddaten!AN459&lt;&gt;""),IF(Programme_Grunddaten!AN459="Ja",1,0),"")</f>
        <v/>
      </c>
      <c r="AG454" s="1" t="str">
        <f>IF(AND(Programme_Grunddaten!$A459="Geprüft",Programme_Grunddaten!AO459&lt;&gt;""),IF(Programme_Grunddaten!AO459="Ja",1,0),"")</f>
        <v/>
      </c>
      <c r="AH454" s="1" t="str">
        <f>IF(AND(Programme_Grunddaten!$A459="Geprüft",Programme_Grunddaten!AP459&lt;&gt;""),IF(Programme_Grunddaten!AP459="Ja",1,0),"")</f>
        <v/>
      </c>
      <c r="AI454" s="1" t="str">
        <f>IF(AND(Programme_Grunddaten!$A459="Geprüft",Programme_Grunddaten!AQ459&lt;&gt;""),IF(Programme_Grunddaten!AQ459="Ja",1,0),"")</f>
        <v/>
      </c>
      <c r="AJ454" s="1" t="str">
        <f>IF(AND(Programme_Grunddaten!$A459="Geprüft",Programme_Grunddaten!AR459&lt;&gt;""),IF(Programme_Grunddaten!AR459="Ja",1,0),"")</f>
        <v/>
      </c>
      <c r="AK454" s="1" t="str">
        <f>IF(AND(Programme_Grunddaten!$A459="Geprüft",Programme_Grunddaten!AS459&lt;&gt;""),IF(Programme_Grunddaten!AS459="Ja",1,0),"")</f>
        <v/>
      </c>
      <c r="AL454" s="1" t="str">
        <f>IF(AND(Programme_Grunddaten!$A459="Geprüft",Programme_Grunddaten!AT459&lt;&gt;""),IF(Programme_Grunddaten!AT459="Ja",1,0),"")</f>
        <v/>
      </c>
      <c r="AM454" s="1" t="str">
        <f>IF(AND(Programme_Grunddaten!$A459="Geprüft",Programme_Grunddaten!AU459&lt;&gt;""),IF(Programme_Grunddaten!AU459="Ja",1,0),"")</f>
        <v/>
      </c>
      <c r="AN454" s="1" t="str">
        <f>IF(AND(Programme_Grunddaten!$A459="Geprüft",Programme_Grunddaten!AV459&lt;&gt;""),IF(Programme_Grunddaten!AV459="Ja",1,0),"")</f>
        <v/>
      </c>
    </row>
    <row r="455" spans="1:40" x14ac:dyDescent="0.3">
      <c r="A455" s="1" t="str">
        <f>IF(AND(Programme_Grunddaten!A460="Geprüft",Programme_Grunddaten!B460&lt;&gt;""),Programme_Grunddaten!B460,"")</f>
        <v/>
      </c>
      <c r="B455" s="1" t="str">
        <f>IF(AND(Programme_Grunddaten!$A460="Geprüft",Programme_Grunddaten!I460&lt;&gt;""),IF(Programme_Grunddaten!I460="Ja",1,0),"")</f>
        <v/>
      </c>
      <c r="C455" s="1" t="str">
        <f>IF(AND(Programme_Grunddaten!$A460="Geprüft",Programme_Grunddaten!J460&lt;&gt;""),IF(Programme_Grunddaten!J460="Ja",1,0),"")</f>
        <v/>
      </c>
      <c r="D455" s="1" t="str">
        <f>IF(AND(Programme_Grunddaten!$A460="Geprüft",Programme_Grunddaten!K460&lt;&gt;""),IF(Programme_Grunddaten!K460="Ja",1,0),"")</f>
        <v/>
      </c>
      <c r="E455" s="1" t="str">
        <f>IF(AND(Programme_Grunddaten!$A460="Geprüft",Programme_Grunddaten!L460&lt;&gt;""),IF(Programme_Grunddaten!L460="Abo / befristete Lizenz",1,0),"")</f>
        <v/>
      </c>
      <c r="F455" s="1" t="str">
        <f>IF(AND(Programme_Grunddaten!$A460="Geprüft",Programme_Grunddaten!M460&lt;&gt;""),IF(Programme_Grunddaten!M460="Ja",1,0),"")</f>
        <v/>
      </c>
      <c r="G455" s="1" t="str">
        <f>IF(AND(Programme_Grunddaten!$A460="Geprüft",Programme_Grunddaten!N460&lt;&gt;""),IF(Programme_Grunddaten!N460="Ja",1,0),"")</f>
        <v/>
      </c>
      <c r="H455" s="1" t="str">
        <f>IF(AND(Programme_Grunddaten!$A460="Geprüft",Programme_Grunddaten!O460&lt;&gt;""),IF(Programme_Grunddaten!O460="Deutschland",0,IF(Programme_Grunddaten!O460="EU",1,2)),"")</f>
        <v/>
      </c>
      <c r="I455" s="1" t="str">
        <f>IF(AND(Programme_Grunddaten!$A460="Geprüft",Programme_Grunddaten!P460&lt;&gt;""),IF(Programme_Grunddaten!P460="Ja",1,0),"")</f>
        <v/>
      </c>
      <c r="J455" s="1" t="str">
        <f>IF(AND(Programme_Grunddaten!$A460="Geprüft",Programme_Grunddaten!Q460&lt;&gt;""),IF(Programme_Grunddaten!Q460="geschlossenes System",1,0),"")</f>
        <v/>
      </c>
      <c r="K455" s="1" t="str">
        <f>IF(AND(Programme_Grunddaten!$A460="Geprüft",Programme_Grunddaten!R460&lt;&gt;""),IF(Programme_Grunddaten!R460="Ja",1,0),"")</f>
        <v/>
      </c>
      <c r="L455" s="1" t="str">
        <f>IF(AND(Programme_Grunddaten!$A460="Geprüft",Programme_Grunddaten!T460&lt;&gt;""),IF(Programme_Grunddaten!T460="Ja",1,0),"")</f>
        <v/>
      </c>
      <c r="M455" s="1" t="str">
        <f>IF(AND(Programme_Grunddaten!$A460="Geprüft",Programme_Grunddaten!U460&lt;&gt;""),IF(Programme_Grunddaten!U460="Ja",1,0),"")</f>
        <v/>
      </c>
      <c r="N455" s="1" t="str">
        <f>IF(AND(Programme_Grunddaten!$A460="Geprüft",Programme_Grunddaten!V460&lt;&gt;""),IF(Programme_Grunddaten!V460="Ja",1,0),"")</f>
        <v/>
      </c>
      <c r="O455" s="1" t="str">
        <f>IF(AND(Programme_Grunddaten!$A460="Geprüft",Programme_Grunddaten!W460&lt;&gt;""),IF(Programme_Grunddaten!W460="Ja",1,0),"")</f>
        <v/>
      </c>
      <c r="P455" s="1" t="str">
        <f>IF(AND(Programme_Grunddaten!$A460="Geprüft",Programme_Grunddaten!X460&lt;&gt;""),IF(Programme_Grunddaten!X460="Ja",1,0),"")</f>
        <v/>
      </c>
      <c r="Q455" s="1" t="str">
        <f>IF(AND(Programme_Grunddaten!$A460="Geprüft",Programme_Grunddaten!Y460&lt;&gt;""),IF(Programme_Grunddaten!Y460="Ja",1,0),"")</f>
        <v/>
      </c>
      <c r="R455" s="1" t="str">
        <f>IF(AND(Programme_Grunddaten!$A460="Geprüft",Programme_Grunddaten!Z460&lt;&gt;""),IF(Programme_Grunddaten!Z460="Ja",1,0),"")</f>
        <v/>
      </c>
      <c r="S455" s="1" t="str">
        <f>IF(AND(Programme_Grunddaten!$A460="Geprüft",Programme_Grunddaten!AA460&lt;&gt;""),IF(Programme_Grunddaten!AA460="monolithisch",1,0),"")</f>
        <v/>
      </c>
      <c r="T455" s="1" t="str">
        <f>IF(AND(Programme_Grunddaten!$A460="Geprüft",Programme_Grunddaten!AB460&lt;&gt;""),IF(Programme_Grunddaten!AB460="Ja",1,0),"")</f>
        <v/>
      </c>
      <c r="U455" s="1" t="str">
        <f>IF(AND(Programme_Grunddaten!$A460="Geprüft",Programme_Grunddaten!AC460&lt;&gt;""),IF(Programme_Grunddaten!AC460="Ja",1,0),"")</f>
        <v/>
      </c>
      <c r="V455" s="1" t="str">
        <f>IF(AND(Programme_Grunddaten!$A460="Geprüft",Programme_Grunddaten!AD460&lt;&gt;""),IF(Programme_Grunddaten!AD460="Ja",1,0),"")</f>
        <v/>
      </c>
      <c r="W455" s="1" t="str">
        <f>IF(AND(Programme_Grunddaten!$A460="Geprüft",Programme_Grunddaten!AE460&lt;&gt;""),IF(Programme_Grunddaten!AE460="Ja",1,0),"")</f>
        <v/>
      </c>
      <c r="X455" s="1" t="str">
        <f>IF(AND(Programme_Grunddaten!$A460="Geprüft",Programme_Grunddaten!AF460&lt;&gt;""),IF(Programme_Grunddaten!AF460="Ja",1,0),"")</f>
        <v/>
      </c>
      <c r="Y455" s="1" t="str">
        <f>IF(AND(Programme_Grunddaten!$A460="Geprüft",Programme_Grunddaten!AG460&lt;&gt;""),IF(Programme_Grunddaten!AG460="Ja",1,0),"")</f>
        <v/>
      </c>
      <c r="Z455" s="1" t="str">
        <f>IF(AND(Programme_Grunddaten!$A460="Geprüft",Programme_Grunddaten!AH460&lt;&gt;""),IF(Programme_Grunddaten!AH460="Ja",1,0),"")</f>
        <v/>
      </c>
      <c r="AA455" s="1" t="str">
        <f>IF(AND(Programme_Grunddaten!$A460="Geprüft",Programme_Grunddaten!AI460&lt;&gt;""),IF(Programme_Grunddaten!AI460="Ja",1,0),"")</f>
        <v/>
      </c>
      <c r="AB455" s="1" t="str">
        <f>IF(AND(Programme_Grunddaten!$A460="Geprüft",Programme_Grunddaten!AJ460&lt;&gt;""),IF(Programme_Grunddaten!AJ460="individuell programmierbar",1,0),"")</f>
        <v/>
      </c>
      <c r="AC455" s="1" t="str">
        <f>IF(AND(Programme_Grunddaten!$A460="Geprüft",Programme_Grunddaten!AK460&lt;&gt;""),IF(Programme_Grunddaten!AK460="Deutsch",0,IF(Programme_Grunddaten!AK460="Deutsch und Englisch",1,2)),"")</f>
        <v/>
      </c>
      <c r="AD455" s="1" t="str">
        <f>IF(AND(Programme_Grunddaten!$A460="Geprüft",Programme_Grunddaten!AL460&lt;&gt;""),IF(Programme_Grunddaten!AL460="Ja",1,0),"")</f>
        <v/>
      </c>
      <c r="AE455" s="1" t="str">
        <f>IF(AND(Programme_Grunddaten!$A460="Geprüft",Programme_Grunddaten!AM460&lt;&gt;""),IF(Programme_Grunddaten!AM460="Ja",1,0),"")</f>
        <v/>
      </c>
      <c r="AF455" s="1" t="str">
        <f>IF(AND(Programme_Grunddaten!$A460="Geprüft",Programme_Grunddaten!AN460&lt;&gt;""),IF(Programme_Grunddaten!AN460="Ja",1,0),"")</f>
        <v/>
      </c>
      <c r="AG455" s="1" t="str">
        <f>IF(AND(Programme_Grunddaten!$A460="Geprüft",Programme_Grunddaten!AO460&lt;&gt;""),IF(Programme_Grunddaten!AO460="Ja",1,0),"")</f>
        <v/>
      </c>
      <c r="AH455" s="1" t="str">
        <f>IF(AND(Programme_Grunddaten!$A460="Geprüft",Programme_Grunddaten!AP460&lt;&gt;""),IF(Programme_Grunddaten!AP460="Ja",1,0),"")</f>
        <v/>
      </c>
      <c r="AI455" s="1" t="str">
        <f>IF(AND(Programme_Grunddaten!$A460="Geprüft",Programme_Grunddaten!AQ460&lt;&gt;""),IF(Programme_Grunddaten!AQ460="Ja",1,0),"")</f>
        <v/>
      </c>
      <c r="AJ455" s="1" t="str">
        <f>IF(AND(Programme_Grunddaten!$A460="Geprüft",Programme_Grunddaten!AR460&lt;&gt;""),IF(Programme_Grunddaten!AR460="Ja",1,0),"")</f>
        <v/>
      </c>
      <c r="AK455" s="1" t="str">
        <f>IF(AND(Programme_Grunddaten!$A460="Geprüft",Programme_Grunddaten!AS460&lt;&gt;""),IF(Programme_Grunddaten!AS460="Ja",1,0),"")</f>
        <v/>
      </c>
      <c r="AL455" s="1" t="str">
        <f>IF(AND(Programme_Grunddaten!$A460="Geprüft",Programme_Grunddaten!AT460&lt;&gt;""),IF(Programme_Grunddaten!AT460="Ja",1,0),"")</f>
        <v/>
      </c>
      <c r="AM455" s="1" t="str">
        <f>IF(AND(Programme_Grunddaten!$A460="Geprüft",Programme_Grunddaten!AU460&lt;&gt;""),IF(Programme_Grunddaten!AU460="Ja",1,0),"")</f>
        <v/>
      </c>
      <c r="AN455" s="1" t="str">
        <f>IF(AND(Programme_Grunddaten!$A460="Geprüft",Programme_Grunddaten!AV460&lt;&gt;""),IF(Programme_Grunddaten!AV460="Ja",1,0),"")</f>
        <v/>
      </c>
    </row>
    <row r="456" spans="1:40" x14ac:dyDescent="0.3">
      <c r="A456" s="1" t="str">
        <f>IF(AND(Programme_Grunddaten!A461="Geprüft",Programme_Grunddaten!B461&lt;&gt;""),Programme_Grunddaten!B461,"")</f>
        <v/>
      </c>
      <c r="B456" s="1" t="str">
        <f>IF(AND(Programme_Grunddaten!$A461="Geprüft",Programme_Grunddaten!I461&lt;&gt;""),IF(Programme_Grunddaten!I461="Ja",1,0),"")</f>
        <v/>
      </c>
      <c r="C456" s="1" t="str">
        <f>IF(AND(Programme_Grunddaten!$A461="Geprüft",Programme_Grunddaten!J461&lt;&gt;""),IF(Programme_Grunddaten!J461="Ja",1,0),"")</f>
        <v/>
      </c>
      <c r="D456" s="1" t="str">
        <f>IF(AND(Programme_Grunddaten!$A461="Geprüft",Programme_Grunddaten!K461&lt;&gt;""),IF(Programme_Grunddaten!K461="Ja",1,0),"")</f>
        <v/>
      </c>
      <c r="E456" s="1" t="str">
        <f>IF(AND(Programme_Grunddaten!$A461="Geprüft",Programme_Grunddaten!L461&lt;&gt;""),IF(Programme_Grunddaten!L461="Abo / befristete Lizenz",1,0),"")</f>
        <v/>
      </c>
      <c r="F456" s="1" t="str">
        <f>IF(AND(Programme_Grunddaten!$A461="Geprüft",Programme_Grunddaten!M461&lt;&gt;""),IF(Programme_Grunddaten!M461="Ja",1,0),"")</f>
        <v/>
      </c>
      <c r="G456" s="1" t="str">
        <f>IF(AND(Programme_Grunddaten!$A461="Geprüft",Programme_Grunddaten!N461&lt;&gt;""),IF(Programme_Grunddaten!N461="Ja",1,0),"")</f>
        <v/>
      </c>
      <c r="H456" s="1" t="str">
        <f>IF(AND(Programme_Grunddaten!$A461="Geprüft",Programme_Grunddaten!O461&lt;&gt;""),IF(Programme_Grunddaten!O461="Deutschland",0,IF(Programme_Grunddaten!O461="EU",1,2)),"")</f>
        <v/>
      </c>
      <c r="I456" s="1" t="str">
        <f>IF(AND(Programme_Grunddaten!$A461="Geprüft",Programme_Grunddaten!P461&lt;&gt;""),IF(Programme_Grunddaten!P461="Ja",1,0),"")</f>
        <v/>
      </c>
      <c r="J456" s="1" t="str">
        <f>IF(AND(Programme_Grunddaten!$A461="Geprüft",Programme_Grunddaten!Q461&lt;&gt;""),IF(Programme_Grunddaten!Q461="geschlossenes System",1,0),"")</f>
        <v/>
      </c>
      <c r="K456" s="1" t="str">
        <f>IF(AND(Programme_Grunddaten!$A461="Geprüft",Programme_Grunddaten!R461&lt;&gt;""),IF(Programme_Grunddaten!R461="Ja",1,0),"")</f>
        <v/>
      </c>
      <c r="L456" s="1" t="str">
        <f>IF(AND(Programme_Grunddaten!$A461="Geprüft",Programme_Grunddaten!T461&lt;&gt;""),IF(Programme_Grunddaten!T461="Ja",1,0),"")</f>
        <v/>
      </c>
      <c r="M456" s="1" t="str">
        <f>IF(AND(Programme_Grunddaten!$A461="Geprüft",Programme_Grunddaten!U461&lt;&gt;""),IF(Programme_Grunddaten!U461="Ja",1,0),"")</f>
        <v/>
      </c>
      <c r="N456" s="1" t="str">
        <f>IF(AND(Programme_Grunddaten!$A461="Geprüft",Programme_Grunddaten!V461&lt;&gt;""),IF(Programme_Grunddaten!V461="Ja",1,0),"")</f>
        <v/>
      </c>
      <c r="O456" s="1" t="str">
        <f>IF(AND(Programme_Grunddaten!$A461="Geprüft",Programme_Grunddaten!W461&lt;&gt;""),IF(Programme_Grunddaten!W461="Ja",1,0),"")</f>
        <v/>
      </c>
      <c r="P456" s="1" t="str">
        <f>IF(AND(Programme_Grunddaten!$A461="Geprüft",Programme_Grunddaten!X461&lt;&gt;""),IF(Programme_Grunddaten!X461="Ja",1,0),"")</f>
        <v/>
      </c>
      <c r="Q456" s="1" t="str">
        <f>IF(AND(Programme_Grunddaten!$A461="Geprüft",Programme_Grunddaten!Y461&lt;&gt;""),IF(Programme_Grunddaten!Y461="Ja",1,0),"")</f>
        <v/>
      </c>
      <c r="R456" s="1" t="str">
        <f>IF(AND(Programme_Grunddaten!$A461="Geprüft",Programme_Grunddaten!Z461&lt;&gt;""),IF(Programme_Grunddaten!Z461="Ja",1,0),"")</f>
        <v/>
      </c>
      <c r="S456" s="1" t="str">
        <f>IF(AND(Programme_Grunddaten!$A461="Geprüft",Programme_Grunddaten!AA461&lt;&gt;""),IF(Programme_Grunddaten!AA461="monolithisch",1,0),"")</f>
        <v/>
      </c>
      <c r="T456" s="1" t="str">
        <f>IF(AND(Programme_Grunddaten!$A461="Geprüft",Programme_Grunddaten!AB461&lt;&gt;""),IF(Programme_Grunddaten!AB461="Ja",1,0),"")</f>
        <v/>
      </c>
      <c r="U456" s="1" t="str">
        <f>IF(AND(Programme_Grunddaten!$A461="Geprüft",Programme_Grunddaten!AC461&lt;&gt;""),IF(Programme_Grunddaten!AC461="Ja",1,0),"")</f>
        <v/>
      </c>
      <c r="V456" s="1" t="str">
        <f>IF(AND(Programme_Grunddaten!$A461="Geprüft",Programme_Grunddaten!AD461&lt;&gt;""),IF(Programme_Grunddaten!AD461="Ja",1,0),"")</f>
        <v/>
      </c>
      <c r="W456" s="1" t="str">
        <f>IF(AND(Programme_Grunddaten!$A461="Geprüft",Programme_Grunddaten!AE461&lt;&gt;""),IF(Programme_Grunddaten!AE461="Ja",1,0),"")</f>
        <v/>
      </c>
      <c r="X456" s="1" t="str">
        <f>IF(AND(Programme_Grunddaten!$A461="Geprüft",Programme_Grunddaten!AF461&lt;&gt;""),IF(Programme_Grunddaten!AF461="Ja",1,0),"")</f>
        <v/>
      </c>
      <c r="Y456" s="1" t="str">
        <f>IF(AND(Programme_Grunddaten!$A461="Geprüft",Programme_Grunddaten!AG461&lt;&gt;""),IF(Programme_Grunddaten!AG461="Ja",1,0),"")</f>
        <v/>
      </c>
      <c r="Z456" s="1" t="str">
        <f>IF(AND(Programme_Grunddaten!$A461="Geprüft",Programme_Grunddaten!AH461&lt;&gt;""),IF(Programme_Grunddaten!AH461="Ja",1,0),"")</f>
        <v/>
      </c>
      <c r="AA456" s="1" t="str">
        <f>IF(AND(Programme_Grunddaten!$A461="Geprüft",Programme_Grunddaten!AI461&lt;&gt;""),IF(Programme_Grunddaten!AI461="Ja",1,0),"")</f>
        <v/>
      </c>
      <c r="AB456" s="1" t="str">
        <f>IF(AND(Programme_Grunddaten!$A461="Geprüft",Programme_Grunddaten!AJ461&lt;&gt;""),IF(Programme_Grunddaten!AJ461="individuell programmierbar",1,0),"")</f>
        <v/>
      </c>
      <c r="AC456" s="1" t="str">
        <f>IF(AND(Programme_Grunddaten!$A461="Geprüft",Programme_Grunddaten!AK461&lt;&gt;""),IF(Programme_Grunddaten!AK461="Deutsch",0,IF(Programme_Grunddaten!AK461="Deutsch und Englisch",1,2)),"")</f>
        <v/>
      </c>
      <c r="AD456" s="1" t="str">
        <f>IF(AND(Programme_Grunddaten!$A461="Geprüft",Programme_Grunddaten!AL461&lt;&gt;""),IF(Programme_Grunddaten!AL461="Ja",1,0),"")</f>
        <v/>
      </c>
      <c r="AE456" s="1" t="str">
        <f>IF(AND(Programme_Grunddaten!$A461="Geprüft",Programme_Grunddaten!AM461&lt;&gt;""),IF(Programme_Grunddaten!AM461="Ja",1,0),"")</f>
        <v/>
      </c>
      <c r="AF456" s="1" t="str">
        <f>IF(AND(Programme_Grunddaten!$A461="Geprüft",Programme_Grunddaten!AN461&lt;&gt;""),IF(Programme_Grunddaten!AN461="Ja",1,0),"")</f>
        <v/>
      </c>
      <c r="AG456" s="1" t="str">
        <f>IF(AND(Programme_Grunddaten!$A461="Geprüft",Programme_Grunddaten!AO461&lt;&gt;""),IF(Programme_Grunddaten!AO461="Ja",1,0),"")</f>
        <v/>
      </c>
      <c r="AH456" s="1" t="str">
        <f>IF(AND(Programme_Grunddaten!$A461="Geprüft",Programme_Grunddaten!AP461&lt;&gt;""),IF(Programme_Grunddaten!AP461="Ja",1,0),"")</f>
        <v/>
      </c>
      <c r="AI456" s="1" t="str">
        <f>IF(AND(Programme_Grunddaten!$A461="Geprüft",Programme_Grunddaten!AQ461&lt;&gt;""),IF(Programme_Grunddaten!AQ461="Ja",1,0),"")</f>
        <v/>
      </c>
      <c r="AJ456" s="1" t="str">
        <f>IF(AND(Programme_Grunddaten!$A461="Geprüft",Programme_Grunddaten!AR461&lt;&gt;""),IF(Programme_Grunddaten!AR461="Ja",1,0),"")</f>
        <v/>
      </c>
      <c r="AK456" s="1" t="str">
        <f>IF(AND(Programme_Grunddaten!$A461="Geprüft",Programme_Grunddaten!AS461&lt;&gt;""),IF(Programme_Grunddaten!AS461="Ja",1,0),"")</f>
        <v/>
      </c>
      <c r="AL456" s="1" t="str">
        <f>IF(AND(Programme_Grunddaten!$A461="Geprüft",Programme_Grunddaten!AT461&lt;&gt;""),IF(Programme_Grunddaten!AT461="Ja",1,0),"")</f>
        <v/>
      </c>
      <c r="AM456" s="1" t="str">
        <f>IF(AND(Programme_Grunddaten!$A461="Geprüft",Programme_Grunddaten!AU461&lt;&gt;""),IF(Programme_Grunddaten!AU461="Ja",1,0),"")</f>
        <v/>
      </c>
      <c r="AN456" s="1" t="str">
        <f>IF(AND(Programme_Grunddaten!$A461="Geprüft",Programme_Grunddaten!AV461&lt;&gt;""),IF(Programme_Grunddaten!AV461="Ja",1,0),"")</f>
        <v/>
      </c>
    </row>
    <row r="457" spans="1:40" x14ac:dyDescent="0.3">
      <c r="A457" s="1" t="str">
        <f>IF(AND(Programme_Grunddaten!A462="Geprüft",Programme_Grunddaten!B462&lt;&gt;""),Programme_Grunddaten!B462,"")</f>
        <v/>
      </c>
      <c r="B457" s="1" t="str">
        <f>IF(AND(Programme_Grunddaten!$A462="Geprüft",Programme_Grunddaten!I462&lt;&gt;""),IF(Programme_Grunddaten!I462="Ja",1,0),"")</f>
        <v/>
      </c>
      <c r="C457" s="1" t="str">
        <f>IF(AND(Programme_Grunddaten!$A462="Geprüft",Programme_Grunddaten!J462&lt;&gt;""),IF(Programme_Grunddaten!J462="Ja",1,0),"")</f>
        <v/>
      </c>
      <c r="D457" s="1" t="str">
        <f>IF(AND(Programme_Grunddaten!$A462="Geprüft",Programme_Grunddaten!K462&lt;&gt;""),IF(Programme_Grunddaten!K462="Ja",1,0),"")</f>
        <v/>
      </c>
      <c r="E457" s="1" t="str">
        <f>IF(AND(Programme_Grunddaten!$A462="Geprüft",Programme_Grunddaten!L462&lt;&gt;""),IF(Programme_Grunddaten!L462="Abo / befristete Lizenz",1,0),"")</f>
        <v/>
      </c>
      <c r="F457" s="1" t="str">
        <f>IF(AND(Programme_Grunddaten!$A462="Geprüft",Programme_Grunddaten!M462&lt;&gt;""),IF(Programme_Grunddaten!M462="Ja",1,0),"")</f>
        <v/>
      </c>
      <c r="G457" s="1" t="str">
        <f>IF(AND(Programme_Grunddaten!$A462="Geprüft",Programme_Grunddaten!N462&lt;&gt;""),IF(Programme_Grunddaten!N462="Ja",1,0),"")</f>
        <v/>
      </c>
      <c r="H457" s="1" t="str">
        <f>IF(AND(Programme_Grunddaten!$A462="Geprüft",Programme_Grunddaten!O462&lt;&gt;""),IF(Programme_Grunddaten!O462="Deutschland",0,IF(Programme_Grunddaten!O462="EU",1,2)),"")</f>
        <v/>
      </c>
      <c r="I457" s="1" t="str">
        <f>IF(AND(Programme_Grunddaten!$A462="Geprüft",Programme_Grunddaten!P462&lt;&gt;""),IF(Programme_Grunddaten!P462="Ja",1,0),"")</f>
        <v/>
      </c>
      <c r="J457" s="1" t="str">
        <f>IF(AND(Programme_Grunddaten!$A462="Geprüft",Programme_Grunddaten!Q462&lt;&gt;""),IF(Programme_Grunddaten!Q462="geschlossenes System",1,0),"")</f>
        <v/>
      </c>
      <c r="K457" s="1" t="str">
        <f>IF(AND(Programme_Grunddaten!$A462="Geprüft",Programme_Grunddaten!R462&lt;&gt;""),IF(Programme_Grunddaten!R462="Ja",1,0),"")</f>
        <v/>
      </c>
      <c r="L457" s="1" t="str">
        <f>IF(AND(Programme_Grunddaten!$A462="Geprüft",Programme_Grunddaten!T462&lt;&gt;""),IF(Programme_Grunddaten!T462="Ja",1,0),"")</f>
        <v/>
      </c>
      <c r="M457" s="1" t="str">
        <f>IF(AND(Programme_Grunddaten!$A462="Geprüft",Programme_Grunddaten!U462&lt;&gt;""),IF(Programme_Grunddaten!U462="Ja",1,0),"")</f>
        <v/>
      </c>
      <c r="N457" s="1" t="str">
        <f>IF(AND(Programme_Grunddaten!$A462="Geprüft",Programme_Grunddaten!V462&lt;&gt;""),IF(Programme_Grunddaten!V462="Ja",1,0),"")</f>
        <v/>
      </c>
      <c r="O457" s="1" t="str">
        <f>IF(AND(Programme_Grunddaten!$A462="Geprüft",Programme_Grunddaten!W462&lt;&gt;""),IF(Programme_Grunddaten!W462="Ja",1,0),"")</f>
        <v/>
      </c>
      <c r="P457" s="1" t="str">
        <f>IF(AND(Programme_Grunddaten!$A462="Geprüft",Programme_Grunddaten!X462&lt;&gt;""),IF(Programme_Grunddaten!X462="Ja",1,0),"")</f>
        <v/>
      </c>
      <c r="Q457" s="1" t="str">
        <f>IF(AND(Programme_Grunddaten!$A462="Geprüft",Programme_Grunddaten!Y462&lt;&gt;""),IF(Programme_Grunddaten!Y462="Ja",1,0),"")</f>
        <v/>
      </c>
      <c r="R457" s="1" t="str">
        <f>IF(AND(Programme_Grunddaten!$A462="Geprüft",Programme_Grunddaten!Z462&lt;&gt;""),IF(Programme_Grunddaten!Z462="Ja",1,0),"")</f>
        <v/>
      </c>
      <c r="S457" s="1" t="str">
        <f>IF(AND(Programme_Grunddaten!$A462="Geprüft",Programme_Grunddaten!AA462&lt;&gt;""),IF(Programme_Grunddaten!AA462="monolithisch",1,0),"")</f>
        <v/>
      </c>
      <c r="T457" s="1" t="str">
        <f>IF(AND(Programme_Grunddaten!$A462="Geprüft",Programme_Grunddaten!AB462&lt;&gt;""),IF(Programme_Grunddaten!AB462="Ja",1,0),"")</f>
        <v/>
      </c>
      <c r="U457" s="1" t="str">
        <f>IF(AND(Programme_Grunddaten!$A462="Geprüft",Programme_Grunddaten!AC462&lt;&gt;""),IF(Programme_Grunddaten!AC462="Ja",1,0),"")</f>
        <v/>
      </c>
      <c r="V457" s="1" t="str">
        <f>IF(AND(Programme_Grunddaten!$A462="Geprüft",Programme_Grunddaten!AD462&lt;&gt;""),IF(Programme_Grunddaten!AD462="Ja",1,0),"")</f>
        <v/>
      </c>
      <c r="W457" s="1" t="str">
        <f>IF(AND(Programme_Grunddaten!$A462="Geprüft",Programme_Grunddaten!AE462&lt;&gt;""),IF(Programme_Grunddaten!AE462="Ja",1,0),"")</f>
        <v/>
      </c>
      <c r="X457" s="1" t="str">
        <f>IF(AND(Programme_Grunddaten!$A462="Geprüft",Programme_Grunddaten!AF462&lt;&gt;""),IF(Programme_Grunddaten!AF462="Ja",1,0),"")</f>
        <v/>
      </c>
      <c r="Y457" s="1" t="str">
        <f>IF(AND(Programme_Grunddaten!$A462="Geprüft",Programme_Grunddaten!AG462&lt;&gt;""),IF(Programme_Grunddaten!AG462="Ja",1,0),"")</f>
        <v/>
      </c>
      <c r="Z457" s="1" t="str">
        <f>IF(AND(Programme_Grunddaten!$A462="Geprüft",Programme_Grunddaten!AH462&lt;&gt;""),IF(Programme_Grunddaten!AH462="Ja",1,0),"")</f>
        <v/>
      </c>
      <c r="AA457" s="1" t="str">
        <f>IF(AND(Programme_Grunddaten!$A462="Geprüft",Programme_Grunddaten!AI462&lt;&gt;""),IF(Programme_Grunddaten!AI462="Ja",1,0),"")</f>
        <v/>
      </c>
      <c r="AB457" s="1" t="str">
        <f>IF(AND(Programme_Grunddaten!$A462="Geprüft",Programme_Grunddaten!AJ462&lt;&gt;""),IF(Programme_Grunddaten!AJ462="individuell programmierbar",1,0),"")</f>
        <v/>
      </c>
      <c r="AC457" s="1" t="str">
        <f>IF(AND(Programme_Grunddaten!$A462="Geprüft",Programme_Grunddaten!AK462&lt;&gt;""),IF(Programme_Grunddaten!AK462="Deutsch",0,IF(Programme_Grunddaten!AK462="Deutsch und Englisch",1,2)),"")</f>
        <v/>
      </c>
      <c r="AD457" s="1" t="str">
        <f>IF(AND(Programme_Grunddaten!$A462="Geprüft",Programme_Grunddaten!AL462&lt;&gt;""),IF(Programme_Grunddaten!AL462="Ja",1,0),"")</f>
        <v/>
      </c>
      <c r="AE457" s="1" t="str">
        <f>IF(AND(Programme_Grunddaten!$A462="Geprüft",Programme_Grunddaten!AM462&lt;&gt;""),IF(Programme_Grunddaten!AM462="Ja",1,0),"")</f>
        <v/>
      </c>
      <c r="AF457" s="1" t="str">
        <f>IF(AND(Programme_Grunddaten!$A462="Geprüft",Programme_Grunddaten!AN462&lt;&gt;""),IF(Programme_Grunddaten!AN462="Ja",1,0),"")</f>
        <v/>
      </c>
      <c r="AG457" s="1" t="str">
        <f>IF(AND(Programme_Grunddaten!$A462="Geprüft",Programme_Grunddaten!AO462&lt;&gt;""),IF(Programme_Grunddaten!AO462="Ja",1,0),"")</f>
        <v/>
      </c>
      <c r="AH457" s="1" t="str">
        <f>IF(AND(Programme_Grunddaten!$A462="Geprüft",Programme_Grunddaten!AP462&lt;&gt;""),IF(Programme_Grunddaten!AP462="Ja",1,0),"")</f>
        <v/>
      </c>
      <c r="AI457" s="1" t="str">
        <f>IF(AND(Programme_Grunddaten!$A462="Geprüft",Programme_Grunddaten!AQ462&lt;&gt;""),IF(Programme_Grunddaten!AQ462="Ja",1,0),"")</f>
        <v/>
      </c>
      <c r="AJ457" s="1" t="str">
        <f>IF(AND(Programme_Grunddaten!$A462="Geprüft",Programme_Grunddaten!AR462&lt;&gt;""),IF(Programme_Grunddaten!AR462="Ja",1,0),"")</f>
        <v/>
      </c>
      <c r="AK457" s="1" t="str">
        <f>IF(AND(Programme_Grunddaten!$A462="Geprüft",Programme_Grunddaten!AS462&lt;&gt;""),IF(Programme_Grunddaten!AS462="Ja",1,0),"")</f>
        <v/>
      </c>
      <c r="AL457" s="1" t="str">
        <f>IF(AND(Programme_Grunddaten!$A462="Geprüft",Programme_Grunddaten!AT462&lt;&gt;""),IF(Programme_Grunddaten!AT462="Ja",1,0),"")</f>
        <v/>
      </c>
      <c r="AM457" s="1" t="str">
        <f>IF(AND(Programme_Grunddaten!$A462="Geprüft",Programme_Grunddaten!AU462&lt;&gt;""),IF(Programme_Grunddaten!AU462="Ja",1,0),"")</f>
        <v/>
      </c>
      <c r="AN457" s="1" t="str">
        <f>IF(AND(Programme_Grunddaten!$A462="Geprüft",Programme_Grunddaten!AV462&lt;&gt;""),IF(Programme_Grunddaten!AV462="Ja",1,0),"")</f>
        <v/>
      </c>
    </row>
    <row r="458" spans="1:40" x14ac:dyDescent="0.3">
      <c r="A458" s="1" t="str">
        <f>IF(AND(Programme_Grunddaten!A463="Geprüft",Programme_Grunddaten!B463&lt;&gt;""),Programme_Grunddaten!B463,"")</f>
        <v/>
      </c>
      <c r="B458" s="1" t="str">
        <f>IF(AND(Programme_Grunddaten!$A463="Geprüft",Programme_Grunddaten!I463&lt;&gt;""),IF(Programme_Grunddaten!I463="Ja",1,0),"")</f>
        <v/>
      </c>
      <c r="C458" s="1" t="str">
        <f>IF(AND(Programme_Grunddaten!$A463="Geprüft",Programme_Grunddaten!J463&lt;&gt;""),IF(Programme_Grunddaten!J463="Ja",1,0),"")</f>
        <v/>
      </c>
      <c r="D458" s="1" t="str">
        <f>IF(AND(Programme_Grunddaten!$A463="Geprüft",Programme_Grunddaten!K463&lt;&gt;""),IF(Programme_Grunddaten!K463="Ja",1,0),"")</f>
        <v/>
      </c>
      <c r="E458" s="1" t="str">
        <f>IF(AND(Programme_Grunddaten!$A463="Geprüft",Programme_Grunddaten!L463&lt;&gt;""),IF(Programme_Grunddaten!L463="Abo / befristete Lizenz",1,0),"")</f>
        <v/>
      </c>
      <c r="F458" s="1" t="str">
        <f>IF(AND(Programme_Grunddaten!$A463="Geprüft",Programme_Grunddaten!M463&lt;&gt;""),IF(Programme_Grunddaten!M463="Ja",1,0),"")</f>
        <v/>
      </c>
      <c r="G458" s="1" t="str">
        <f>IF(AND(Programme_Grunddaten!$A463="Geprüft",Programme_Grunddaten!N463&lt;&gt;""),IF(Programme_Grunddaten!N463="Ja",1,0),"")</f>
        <v/>
      </c>
      <c r="H458" s="1" t="str">
        <f>IF(AND(Programme_Grunddaten!$A463="Geprüft",Programme_Grunddaten!O463&lt;&gt;""),IF(Programme_Grunddaten!O463="Deutschland",0,IF(Programme_Grunddaten!O463="EU",1,2)),"")</f>
        <v/>
      </c>
      <c r="I458" s="1" t="str">
        <f>IF(AND(Programme_Grunddaten!$A463="Geprüft",Programme_Grunddaten!P463&lt;&gt;""),IF(Programme_Grunddaten!P463="Ja",1,0),"")</f>
        <v/>
      </c>
      <c r="J458" s="1" t="str">
        <f>IF(AND(Programme_Grunddaten!$A463="Geprüft",Programme_Grunddaten!Q463&lt;&gt;""),IF(Programme_Grunddaten!Q463="geschlossenes System",1,0),"")</f>
        <v/>
      </c>
      <c r="K458" s="1" t="str">
        <f>IF(AND(Programme_Grunddaten!$A463="Geprüft",Programme_Grunddaten!R463&lt;&gt;""),IF(Programme_Grunddaten!R463="Ja",1,0),"")</f>
        <v/>
      </c>
      <c r="L458" s="1" t="str">
        <f>IF(AND(Programme_Grunddaten!$A463="Geprüft",Programme_Grunddaten!T463&lt;&gt;""),IF(Programme_Grunddaten!T463="Ja",1,0),"")</f>
        <v/>
      </c>
      <c r="M458" s="1" t="str">
        <f>IF(AND(Programme_Grunddaten!$A463="Geprüft",Programme_Grunddaten!U463&lt;&gt;""),IF(Programme_Grunddaten!U463="Ja",1,0),"")</f>
        <v/>
      </c>
      <c r="N458" s="1" t="str">
        <f>IF(AND(Programme_Grunddaten!$A463="Geprüft",Programme_Grunddaten!V463&lt;&gt;""),IF(Programme_Grunddaten!V463="Ja",1,0),"")</f>
        <v/>
      </c>
      <c r="O458" s="1" t="str">
        <f>IF(AND(Programme_Grunddaten!$A463="Geprüft",Programme_Grunddaten!W463&lt;&gt;""),IF(Programme_Grunddaten!W463="Ja",1,0),"")</f>
        <v/>
      </c>
      <c r="P458" s="1" t="str">
        <f>IF(AND(Programme_Grunddaten!$A463="Geprüft",Programme_Grunddaten!X463&lt;&gt;""),IF(Programme_Grunddaten!X463="Ja",1,0),"")</f>
        <v/>
      </c>
      <c r="Q458" s="1" t="str">
        <f>IF(AND(Programme_Grunddaten!$A463="Geprüft",Programme_Grunddaten!Y463&lt;&gt;""),IF(Programme_Grunddaten!Y463="Ja",1,0),"")</f>
        <v/>
      </c>
      <c r="R458" s="1" t="str">
        <f>IF(AND(Programme_Grunddaten!$A463="Geprüft",Programme_Grunddaten!Z463&lt;&gt;""),IF(Programme_Grunddaten!Z463="Ja",1,0),"")</f>
        <v/>
      </c>
      <c r="S458" s="1" t="str">
        <f>IF(AND(Programme_Grunddaten!$A463="Geprüft",Programme_Grunddaten!AA463&lt;&gt;""),IF(Programme_Grunddaten!AA463="monolithisch",1,0),"")</f>
        <v/>
      </c>
      <c r="T458" s="1" t="str">
        <f>IF(AND(Programme_Grunddaten!$A463="Geprüft",Programme_Grunddaten!AB463&lt;&gt;""),IF(Programme_Grunddaten!AB463="Ja",1,0),"")</f>
        <v/>
      </c>
      <c r="U458" s="1" t="str">
        <f>IF(AND(Programme_Grunddaten!$A463="Geprüft",Programme_Grunddaten!AC463&lt;&gt;""),IF(Programme_Grunddaten!AC463="Ja",1,0),"")</f>
        <v/>
      </c>
      <c r="V458" s="1" t="str">
        <f>IF(AND(Programme_Grunddaten!$A463="Geprüft",Programme_Grunddaten!AD463&lt;&gt;""),IF(Programme_Grunddaten!AD463="Ja",1,0),"")</f>
        <v/>
      </c>
      <c r="W458" s="1" t="str">
        <f>IF(AND(Programme_Grunddaten!$A463="Geprüft",Programme_Grunddaten!AE463&lt;&gt;""),IF(Programme_Grunddaten!AE463="Ja",1,0),"")</f>
        <v/>
      </c>
      <c r="X458" s="1" t="str">
        <f>IF(AND(Programme_Grunddaten!$A463="Geprüft",Programme_Grunddaten!AF463&lt;&gt;""),IF(Programme_Grunddaten!AF463="Ja",1,0),"")</f>
        <v/>
      </c>
      <c r="Y458" s="1" t="str">
        <f>IF(AND(Programme_Grunddaten!$A463="Geprüft",Programme_Grunddaten!AG463&lt;&gt;""),IF(Programme_Grunddaten!AG463="Ja",1,0),"")</f>
        <v/>
      </c>
      <c r="Z458" s="1" t="str">
        <f>IF(AND(Programme_Grunddaten!$A463="Geprüft",Programme_Grunddaten!AH463&lt;&gt;""),IF(Programme_Grunddaten!AH463="Ja",1,0),"")</f>
        <v/>
      </c>
      <c r="AA458" s="1" t="str">
        <f>IF(AND(Programme_Grunddaten!$A463="Geprüft",Programme_Grunddaten!AI463&lt;&gt;""),IF(Programme_Grunddaten!AI463="Ja",1,0),"")</f>
        <v/>
      </c>
      <c r="AB458" s="1" t="str">
        <f>IF(AND(Programme_Grunddaten!$A463="Geprüft",Programme_Grunddaten!AJ463&lt;&gt;""),IF(Programme_Grunddaten!AJ463="individuell programmierbar",1,0),"")</f>
        <v/>
      </c>
      <c r="AC458" s="1" t="str">
        <f>IF(AND(Programme_Grunddaten!$A463="Geprüft",Programme_Grunddaten!AK463&lt;&gt;""),IF(Programme_Grunddaten!AK463="Deutsch",0,IF(Programme_Grunddaten!AK463="Deutsch und Englisch",1,2)),"")</f>
        <v/>
      </c>
      <c r="AD458" s="1" t="str">
        <f>IF(AND(Programme_Grunddaten!$A463="Geprüft",Programme_Grunddaten!AL463&lt;&gt;""),IF(Programme_Grunddaten!AL463="Ja",1,0),"")</f>
        <v/>
      </c>
      <c r="AE458" s="1" t="str">
        <f>IF(AND(Programme_Grunddaten!$A463="Geprüft",Programme_Grunddaten!AM463&lt;&gt;""),IF(Programme_Grunddaten!AM463="Ja",1,0),"")</f>
        <v/>
      </c>
      <c r="AF458" s="1" t="str">
        <f>IF(AND(Programme_Grunddaten!$A463="Geprüft",Programme_Grunddaten!AN463&lt;&gt;""),IF(Programme_Grunddaten!AN463="Ja",1,0),"")</f>
        <v/>
      </c>
      <c r="AG458" s="1" t="str">
        <f>IF(AND(Programme_Grunddaten!$A463="Geprüft",Programme_Grunddaten!AO463&lt;&gt;""),IF(Programme_Grunddaten!AO463="Ja",1,0),"")</f>
        <v/>
      </c>
      <c r="AH458" s="1" t="str">
        <f>IF(AND(Programme_Grunddaten!$A463="Geprüft",Programme_Grunddaten!AP463&lt;&gt;""),IF(Programme_Grunddaten!AP463="Ja",1,0),"")</f>
        <v/>
      </c>
      <c r="AI458" s="1" t="str">
        <f>IF(AND(Programme_Grunddaten!$A463="Geprüft",Programme_Grunddaten!AQ463&lt;&gt;""),IF(Programme_Grunddaten!AQ463="Ja",1,0),"")</f>
        <v/>
      </c>
      <c r="AJ458" s="1" t="str">
        <f>IF(AND(Programme_Grunddaten!$A463="Geprüft",Programme_Grunddaten!AR463&lt;&gt;""),IF(Programme_Grunddaten!AR463="Ja",1,0),"")</f>
        <v/>
      </c>
      <c r="AK458" s="1" t="str">
        <f>IF(AND(Programme_Grunddaten!$A463="Geprüft",Programme_Grunddaten!AS463&lt;&gt;""),IF(Programme_Grunddaten!AS463="Ja",1,0),"")</f>
        <v/>
      </c>
      <c r="AL458" s="1" t="str">
        <f>IF(AND(Programme_Grunddaten!$A463="Geprüft",Programme_Grunddaten!AT463&lt;&gt;""),IF(Programme_Grunddaten!AT463="Ja",1,0),"")</f>
        <v/>
      </c>
      <c r="AM458" s="1" t="str">
        <f>IF(AND(Programme_Grunddaten!$A463="Geprüft",Programme_Grunddaten!AU463&lt;&gt;""),IF(Programme_Grunddaten!AU463="Ja",1,0),"")</f>
        <v/>
      </c>
      <c r="AN458" s="1" t="str">
        <f>IF(AND(Programme_Grunddaten!$A463="Geprüft",Programme_Grunddaten!AV463&lt;&gt;""),IF(Programme_Grunddaten!AV463="Ja",1,0),"")</f>
        <v/>
      </c>
    </row>
    <row r="459" spans="1:40" x14ac:dyDescent="0.3">
      <c r="A459" s="1" t="str">
        <f>IF(AND(Programme_Grunddaten!A464="Geprüft",Programme_Grunddaten!B464&lt;&gt;""),Programme_Grunddaten!B464,"")</f>
        <v/>
      </c>
      <c r="B459" s="1" t="str">
        <f>IF(AND(Programme_Grunddaten!$A464="Geprüft",Programme_Grunddaten!I464&lt;&gt;""),IF(Programme_Grunddaten!I464="Ja",1,0),"")</f>
        <v/>
      </c>
      <c r="C459" s="1" t="str">
        <f>IF(AND(Programme_Grunddaten!$A464="Geprüft",Programme_Grunddaten!J464&lt;&gt;""),IF(Programme_Grunddaten!J464="Ja",1,0),"")</f>
        <v/>
      </c>
      <c r="D459" s="1" t="str">
        <f>IF(AND(Programme_Grunddaten!$A464="Geprüft",Programme_Grunddaten!K464&lt;&gt;""),IF(Programme_Grunddaten!K464="Ja",1,0),"")</f>
        <v/>
      </c>
      <c r="E459" s="1" t="str">
        <f>IF(AND(Programme_Grunddaten!$A464="Geprüft",Programme_Grunddaten!L464&lt;&gt;""),IF(Programme_Grunddaten!L464="Abo / befristete Lizenz",1,0),"")</f>
        <v/>
      </c>
      <c r="F459" s="1" t="str">
        <f>IF(AND(Programme_Grunddaten!$A464="Geprüft",Programme_Grunddaten!M464&lt;&gt;""),IF(Programme_Grunddaten!M464="Ja",1,0),"")</f>
        <v/>
      </c>
      <c r="G459" s="1" t="str">
        <f>IF(AND(Programme_Grunddaten!$A464="Geprüft",Programme_Grunddaten!N464&lt;&gt;""),IF(Programme_Grunddaten!N464="Ja",1,0),"")</f>
        <v/>
      </c>
      <c r="H459" s="1" t="str">
        <f>IF(AND(Programme_Grunddaten!$A464="Geprüft",Programme_Grunddaten!O464&lt;&gt;""),IF(Programme_Grunddaten!O464="Deutschland",0,IF(Programme_Grunddaten!O464="EU",1,2)),"")</f>
        <v/>
      </c>
      <c r="I459" s="1" t="str">
        <f>IF(AND(Programme_Grunddaten!$A464="Geprüft",Programme_Grunddaten!P464&lt;&gt;""),IF(Programme_Grunddaten!P464="Ja",1,0),"")</f>
        <v/>
      </c>
      <c r="J459" s="1" t="str">
        <f>IF(AND(Programme_Grunddaten!$A464="Geprüft",Programme_Grunddaten!Q464&lt;&gt;""),IF(Programme_Grunddaten!Q464="geschlossenes System",1,0),"")</f>
        <v/>
      </c>
      <c r="K459" s="1" t="str">
        <f>IF(AND(Programme_Grunddaten!$A464="Geprüft",Programme_Grunddaten!R464&lt;&gt;""),IF(Programme_Grunddaten!R464="Ja",1,0),"")</f>
        <v/>
      </c>
      <c r="L459" s="1" t="str">
        <f>IF(AND(Programme_Grunddaten!$A464="Geprüft",Programme_Grunddaten!T464&lt;&gt;""),IF(Programme_Grunddaten!T464="Ja",1,0),"")</f>
        <v/>
      </c>
      <c r="M459" s="1" t="str">
        <f>IF(AND(Programme_Grunddaten!$A464="Geprüft",Programme_Grunddaten!U464&lt;&gt;""),IF(Programme_Grunddaten!U464="Ja",1,0),"")</f>
        <v/>
      </c>
      <c r="N459" s="1" t="str">
        <f>IF(AND(Programme_Grunddaten!$A464="Geprüft",Programme_Grunddaten!V464&lt;&gt;""),IF(Programme_Grunddaten!V464="Ja",1,0),"")</f>
        <v/>
      </c>
      <c r="O459" s="1" t="str">
        <f>IF(AND(Programme_Grunddaten!$A464="Geprüft",Programme_Grunddaten!W464&lt;&gt;""),IF(Programme_Grunddaten!W464="Ja",1,0),"")</f>
        <v/>
      </c>
      <c r="P459" s="1" t="str">
        <f>IF(AND(Programme_Grunddaten!$A464="Geprüft",Programme_Grunddaten!X464&lt;&gt;""),IF(Programme_Grunddaten!X464="Ja",1,0),"")</f>
        <v/>
      </c>
      <c r="Q459" s="1" t="str">
        <f>IF(AND(Programme_Grunddaten!$A464="Geprüft",Programme_Grunddaten!Y464&lt;&gt;""),IF(Programme_Grunddaten!Y464="Ja",1,0),"")</f>
        <v/>
      </c>
      <c r="R459" s="1" t="str">
        <f>IF(AND(Programme_Grunddaten!$A464="Geprüft",Programme_Grunddaten!Z464&lt;&gt;""),IF(Programme_Grunddaten!Z464="Ja",1,0),"")</f>
        <v/>
      </c>
      <c r="S459" s="1" t="str">
        <f>IF(AND(Programme_Grunddaten!$A464="Geprüft",Programme_Grunddaten!AA464&lt;&gt;""),IF(Programme_Grunddaten!AA464="monolithisch",1,0),"")</f>
        <v/>
      </c>
      <c r="T459" s="1" t="str">
        <f>IF(AND(Programme_Grunddaten!$A464="Geprüft",Programme_Grunddaten!AB464&lt;&gt;""),IF(Programme_Grunddaten!AB464="Ja",1,0),"")</f>
        <v/>
      </c>
      <c r="U459" s="1" t="str">
        <f>IF(AND(Programme_Grunddaten!$A464="Geprüft",Programme_Grunddaten!AC464&lt;&gt;""),IF(Programme_Grunddaten!AC464="Ja",1,0),"")</f>
        <v/>
      </c>
      <c r="V459" s="1" t="str">
        <f>IF(AND(Programme_Grunddaten!$A464="Geprüft",Programme_Grunddaten!AD464&lt;&gt;""),IF(Programme_Grunddaten!AD464="Ja",1,0),"")</f>
        <v/>
      </c>
      <c r="W459" s="1" t="str">
        <f>IF(AND(Programme_Grunddaten!$A464="Geprüft",Programme_Grunddaten!AE464&lt;&gt;""),IF(Programme_Grunddaten!AE464="Ja",1,0),"")</f>
        <v/>
      </c>
      <c r="X459" s="1" t="str">
        <f>IF(AND(Programme_Grunddaten!$A464="Geprüft",Programme_Grunddaten!AF464&lt;&gt;""),IF(Programme_Grunddaten!AF464="Ja",1,0),"")</f>
        <v/>
      </c>
      <c r="Y459" s="1" t="str">
        <f>IF(AND(Programme_Grunddaten!$A464="Geprüft",Programme_Grunddaten!AG464&lt;&gt;""),IF(Programme_Grunddaten!AG464="Ja",1,0),"")</f>
        <v/>
      </c>
      <c r="Z459" s="1" t="str">
        <f>IF(AND(Programme_Grunddaten!$A464="Geprüft",Programme_Grunddaten!AH464&lt;&gt;""),IF(Programme_Grunddaten!AH464="Ja",1,0),"")</f>
        <v/>
      </c>
      <c r="AA459" s="1" t="str">
        <f>IF(AND(Programme_Grunddaten!$A464="Geprüft",Programme_Grunddaten!AI464&lt;&gt;""),IF(Programme_Grunddaten!AI464="Ja",1,0),"")</f>
        <v/>
      </c>
      <c r="AB459" s="1" t="str">
        <f>IF(AND(Programme_Grunddaten!$A464="Geprüft",Programme_Grunddaten!AJ464&lt;&gt;""),IF(Programme_Grunddaten!AJ464="individuell programmierbar",1,0),"")</f>
        <v/>
      </c>
      <c r="AC459" s="1" t="str">
        <f>IF(AND(Programme_Grunddaten!$A464="Geprüft",Programme_Grunddaten!AK464&lt;&gt;""),IF(Programme_Grunddaten!AK464="Deutsch",0,IF(Programme_Grunddaten!AK464="Deutsch und Englisch",1,2)),"")</f>
        <v/>
      </c>
      <c r="AD459" s="1" t="str">
        <f>IF(AND(Programme_Grunddaten!$A464="Geprüft",Programme_Grunddaten!AL464&lt;&gt;""),IF(Programme_Grunddaten!AL464="Ja",1,0),"")</f>
        <v/>
      </c>
      <c r="AE459" s="1" t="str">
        <f>IF(AND(Programme_Grunddaten!$A464="Geprüft",Programme_Grunddaten!AM464&lt;&gt;""),IF(Programme_Grunddaten!AM464="Ja",1,0),"")</f>
        <v/>
      </c>
      <c r="AF459" s="1" t="str">
        <f>IF(AND(Programme_Grunddaten!$A464="Geprüft",Programme_Grunddaten!AN464&lt;&gt;""),IF(Programme_Grunddaten!AN464="Ja",1,0),"")</f>
        <v/>
      </c>
      <c r="AG459" s="1" t="str">
        <f>IF(AND(Programme_Grunddaten!$A464="Geprüft",Programme_Grunddaten!AO464&lt;&gt;""),IF(Programme_Grunddaten!AO464="Ja",1,0),"")</f>
        <v/>
      </c>
      <c r="AH459" s="1" t="str">
        <f>IF(AND(Programme_Grunddaten!$A464="Geprüft",Programme_Grunddaten!AP464&lt;&gt;""),IF(Programme_Grunddaten!AP464="Ja",1,0),"")</f>
        <v/>
      </c>
      <c r="AI459" s="1" t="str">
        <f>IF(AND(Programme_Grunddaten!$A464="Geprüft",Programme_Grunddaten!AQ464&lt;&gt;""),IF(Programme_Grunddaten!AQ464="Ja",1,0),"")</f>
        <v/>
      </c>
      <c r="AJ459" s="1" t="str">
        <f>IF(AND(Programme_Grunddaten!$A464="Geprüft",Programme_Grunddaten!AR464&lt;&gt;""),IF(Programme_Grunddaten!AR464="Ja",1,0),"")</f>
        <v/>
      </c>
      <c r="AK459" s="1" t="str">
        <f>IF(AND(Programme_Grunddaten!$A464="Geprüft",Programme_Grunddaten!AS464&lt;&gt;""),IF(Programme_Grunddaten!AS464="Ja",1,0),"")</f>
        <v/>
      </c>
      <c r="AL459" s="1" t="str">
        <f>IF(AND(Programme_Grunddaten!$A464="Geprüft",Programme_Grunddaten!AT464&lt;&gt;""),IF(Programme_Grunddaten!AT464="Ja",1,0),"")</f>
        <v/>
      </c>
      <c r="AM459" s="1" t="str">
        <f>IF(AND(Programme_Grunddaten!$A464="Geprüft",Programme_Grunddaten!AU464&lt;&gt;""),IF(Programme_Grunddaten!AU464="Ja",1,0),"")</f>
        <v/>
      </c>
      <c r="AN459" s="1" t="str">
        <f>IF(AND(Programme_Grunddaten!$A464="Geprüft",Programme_Grunddaten!AV464&lt;&gt;""),IF(Programme_Grunddaten!AV464="Ja",1,0),"")</f>
        <v/>
      </c>
    </row>
    <row r="460" spans="1:40" x14ac:dyDescent="0.3">
      <c r="A460" s="1" t="str">
        <f>IF(AND(Programme_Grunddaten!A465="Geprüft",Programme_Grunddaten!B465&lt;&gt;""),Programme_Grunddaten!B465,"")</f>
        <v/>
      </c>
      <c r="B460" s="1" t="str">
        <f>IF(AND(Programme_Grunddaten!$A465="Geprüft",Programme_Grunddaten!I465&lt;&gt;""),IF(Programme_Grunddaten!I465="Ja",1,0),"")</f>
        <v/>
      </c>
      <c r="C460" s="1" t="str">
        <f>IF(AND(Programme_Grunddaten!$A465="Geprüft",Programme_Grunddaten!J465&lt;&gt;""),IF(Programme_Grunddaten!J465="Ja",1,0),"")</f>
        <v/>
      </c>
      <c r="D460" s="1" t="str">
        <f>IF(AND(Programme_Grunddaten!$A465="Geprüft",Programme_Grunddaten!K465&lt;&gt;""),IF(Programme_Grunddaten!K465="Ja",1,0),"")</f>
        <v/>
      </c>
      <c r="E460" s="1" t="str">
        <f>IF(AND(Programme_Grunddaten!$A465="Geprüft",Programme_Grunddaten!L465&lt;&gt;""),IF(Programme_Grunddaten!L465="Abo / befristete Lizenz",1,0),"")</f>
        <v/>
      </c>
      <c r="F460" s="1" t="str">
        <f>IF(AND(Programme_Grunddaten!$A465="Geprüft",Programme_Grunddaten!M465&lt;&gt;""),IF(Programme_Grunddaten!M465="Ja",1,0),"")</f>
        <v/>
      </c>
      <c r="G460" s="1" t="str">
        <f>IF(AND(Programme_Grunddaten!$A465="Geprüft",Programme_Grunddaten!N465&lt;&gt;""),IF(Programme_Grunddaten!N465="Ja",1,0),"")</f>
        <v/>
      </c>
      <c r="H460" s="1" t="str">
        <f>IF(AND(Programme_Grunddaten!$A465="Geprüft",Programme_Grunddaten!O465&lt;&gt;""),IF(Programme_Grunddaten!O465="Deutschland",0,IF(Programme_Grunddaten!O465="EU",1,2)),"")</f>
        <v/>
      </c>
      <c r="I460" s="1" t="str">
        <f>IF(AND(Programme_Grunddaten!$A465="Geprüft",Programme_Grunddaten!P465&lt;&gt;""),IF(Programme_Grunddaten!P465="Ja",1,0),"")</f>
        <v/>
      </c>
      <c r="J460" s="1" t="str">
        <f>IF(AND(Programme_Grunddaten!$A465="Geprüft",Programme_Grunddaten!Q465&lt;&gt;""),IF(Programme_Grunddaten!Q465="geschlossenes System",1,0),"")</f>
        <v/>
      </c>
      <c r="K460" s="1" t="str">
        <f>IF(AND(Programme_Grunddaten!$A465="Geprüft",Programme_Grunddaten!R465&lt;&gt;""),IF(Programme_Grunddaten!R465="Ja",1,0),"")</f>
        <v/>
      </c>
      <c r="L460" s="1" t="str">
        <f>IF(AND(Programme_Grunddaten!$A465="Geprüft",Programme_Grunddaten!T465&lt;&gt;""),IF(Programme_Grunddaten!T465="Ja",1,0),"")</f>
        <v/>
      </c>
      <c r="M460" s="1" t="str">
        <f>IF(AND(Programme_Grunddaten!$A465="Geprüft",Programme_Grunddaten!U465&lt;&gt;""),IF(Programme_Grunddaten!U465="Ja",1,0),"")</f>
        <v/>
      </c>
      <c r="N460" s="1" t="str">
        <f>IF(AND(Programme_Grunddaten!$A465="Geprüft",Programme_Grunddaten!V465&lt;&gt;""),IF(Programme_Grunddaten!V465="Ja",1,0),"")</f>
        <v/>
      </c>
      <c r="O460" s="1" t="str">
        <f>IF(AND(Programme_Grunddaten!$A465="Geprüft",Programme_Grunddaten!W465&lt;&gt;""),IF(Programme_Grunddaten!W465="Ja",1,0),"")</f>
        <v/>
      </c>
      <c r="P460" s="1" t="str">
        <f>IF(AND(Programme_Grunddaten!$A465="Geprüft",Programme_Grunddaten!X465&lt;&gt;""),IF(Programme_Grunddaten!X465="Ja",1,0),"")</f>
        <v/>
      </c>
      <c r="Q460" s="1" t="str">
        <f>IF(AND(Programme_Grunddaten!$A465="Geprüft",Programme_Grunddaten!Y465&lt;&gt;""),IF(Programme_Grunddaten!Y465="Ja",1,0),"")</f>
        <v/>
      </c>
      <c r="R460" s="1" t="str">
        <f>IF(AND(Programme_Grunddaten!$A465="Geprüft",Programme_Grunddaten!Z465&lt;&gt;""),IF(Programme_Grunddaten!Z465="Ja",1,0),"")</f>
        <v/>
      </c>
      <c r="S460" s="1" t="str">
        <f>IF(AND(Programme_Grunddaten!$A465="Geprüft",Programme_Grunddaten!AA465&lt;&gt;""),IF(Programme_Grunddaten!AA465="monolithisch",1,0),"")</f>
        <v/>
      </c>
      <c r="T460" s="1" t="str">
        <f>IF(AND(Programme_Grunddaten!$A465="Geprüft",Programme_Grunddaten!AB465&lt;&gt;""),IF(Programme_Grunddaten!AB465="Ja",1,0),"")</f>
        <v/>
      </c>
      <c r="U460" s="1" t="str">
        <f>IF(AND(Programme_Grunddaten!$A465="Geprüft",Programme_Grunddaten!AC465&lt;&gt;""),IF(Programme_Grunddaten!AC465="Ja",1,0),"")</f>
        <v/>
      </c>
      <c r="V460" s="1" t="str">
        <f>IF(AND(Programme_Grunddaten!$A465="Geprüft",Programme_Grunddaten!AD465&lt;&gt;""),IF(Programme_Grunddaten!AD465="Ja",1,0),"")</f>
        <v/>
      </c>
      <c r="W460" s="1" t="str">
        <f>IF(AND(Programme_Grunddaten!$A465="Geprüft",Programme_Grunddaten!AE465&lt;&gt;""),IF(Programme_Grunddaten!AE465="Ja",1,0),"")</f>
        <v/>
      </c>
      <c r="X460" s="1" t="str">
        <f>IF(AND(Programme_Grunddaten!$A465="Geprüft",Programme_Grunddaten!AF465&lt;&gt;""),IF(Programme_Grunddaten!AF465="Ja",1,0),"")</f>
        <v/>
      </c>
      <c r="Y460" s="1" t="str">
        <f>IF(AND(Programme_Grunddaten!$A465="Geprüft",Programme_Grunddaten!AG465&lt;&gt;""),IF(Programme_Grunddaten!AG465="Ja",1,0),"")</f>
        <v/>
      </c>
      <c r="Z460" s="1" t="str">
        <f>IF(AND(Programme_Grunddaten!$A465="Geprüft",Programme_Grunddaten!AH465&lt;&gt;""),IF(Programme_Grunddaten!AH465="Ja",1,0),"")</f>
        <v/>
      </c>
      <c r="AA460" s="1" t="str">
        <f>IF(AND(Programme_Grunddaten!$A465="Geprüft",Programme_Grunddaten!AI465&lt;&gt;""),IF(Programme_Grunddaten!AI465="Ja",1,0),"")</f>
        <v/>
      </c>
      <c r="AB460" s="1" t="str">
        <f>IF(AND(Programme_Grunddaten!$A465="Geprüft",Programme_Grunddaten!AJ465&lt;&gt;""),IF(Programme_Grunddaten!AJ465="individuell programmierbar",1,0),"")</f>
        <v/>
      </c>
      <c r="AC460" s="1" t="str">
        <f>IF(AND(Programme_Grunddaten!$A465="Geprüft",Programme_Grunddaten!AK465&lt;&gt;""),IF(Programme_Grunddaten!AK465="Deutsch",0,IF(Programme_Grunddaten!AK465="Deutsch und Englisch",1,2)),"")</f>
        <v/>
      </c>
      <c r="AD460" s="1" t="str">
        <f>IF(AND(Programme_Grunddaten!$A465="Geprüft",Programme_Grunddaten!AL465&lt;&gt;""),IF(Programme_Grunddaten!AL465="Ja",1,0),"")</f>
        <v/>
      </c>
      <c r="AE460" s="1" t="str">
        <f>IF(AND(Programme_Grunddaten!$A465="Geprüft",Programme_Grunddaten!AM465&lt;&gt;""),IF(Programme_Grunddaten!AM465="Ja",1,0),"")</f>
        <v/>
      </c>
      <c r="AF460" s="1" t="str">
        <f>IF(AND(Programme_Grunddaten!$A465="Geprüft",Programme_Grunddaten!AN465&lt;&gt;""),IF(Programme_Grunddaten!AN465="Ja",1,0),"")</f>
        <v/>
      </c>
      <c r="AG460" s="1" t="str">
        <f>IF(AND(Programme_Grunddaten!$A465="Geprüft",Programme_Grunddaten!AO465&lt;&gt;""),IF(Programme_Grunddaten!AO465="Ja",1,0),"")</f>
        <v/>
      </c>
      <c r="AH460" s="1" t="str">
        <f>IF(AND(Programme_Grunddaten!$A465="Geprüft",Programme_Grunddaten!AP465&lt;&gt;""),IF(Programme_Grunddaten!AP465="Ja",1,0),"")</f>
        <v/>
      </c>
      <c r="AI460" s="1" t="str">
        <f>IF(AND(Programme_Grunddaten!$A465="Geprüft",Programme_Grunddaten!AQ465&lt;&gt;""),IF(Programme_Grunddaten!AQ465="Ja",1,0),"")</f>
        <v/>
      </c>
      <c r="AJ460" s="1" t="str">
        <f>IF(AND(Programme_Grunddaten!$A465="Geprüft",Programme_Grunddaten!AR465&lt;&gt;""),IF(Programme_Grunddaten!AR465="Ja",1,0),"")</f>
        <v/>
      </c>
      <c r="AK460" s="1" t="str">
        <f>IF(AND(Programme_Grunddaten!$A465="Geprüft",Programme_Grunddaten!AS465&lt;&gt;""),IF(Programme_Grunddaten!AS465="Ja",1,0),"")</f>
        <v/>
      </c>
      <c r="AL460" s="1" t="str">
        <f>IF(AND(Programme_Grunddaten!$A465="Geprüft",Programme_Grunddaten!AT465&lt;&gt;""),IF(Programme_Grunddaten!AT465="Ja",1,0),"")</f>
        <v/>
      </c>
      <c r="AM460" s="1" t="str">
        <f>IF(AND(Programme_Grunddaten!$A465="Geprüft",Programme_Grunddaten!AU465&lt;&gt;""),IF(Programme_Grunddaten!AU465="Ja",1,0),"")</f>
        <v/>
      </c>
      <c r="AN460" s="1" t="str">
        <f>IF(AND(Programme_Grunddaten!$A465="Geprüft",Programme_Grunddaten!AV465&lt;&gt;""),IF(Programme_Grunddaten!AV465="Ja",1,0),"")</f>
        <v/>
      </c>
    </row>
    <row r="461" spans="1:40" x14ac:dyDescent="0.3">
      <c r="A461" s="1" t="str">
        <f>IF(AND(Programme_Grunddaten!A466="Geprüft",Programme_Grunddaten!B466&lt;&gt;""),Programme_Grunddaten!B466,"")</f>
        <v/>
      </c>
      <c r="B461" s="1" t="str">
        <f>IF(AND(Programme_Grunddaten!$A466="Geprüft",Programme_Grunddaten!I466&lt;&gt;""),IF(Programme_Grunddaten!I466="Ja",1,0),"")</f>
        <v/>
      </c>
      <c r="C461" s="1" t="str">
        <f>IF(AND(Programme_Grunddaten!$A466="Geprüft",Programme_Grunddaten!J466&lt;&gt;""),IF(Programme_Grunddaten!J466="Ja",1,0),"")</f>
        <v/>
      </c>
      <c r="D461" s="1" t="str">
        <f>IF(AND(Programme_Grunddaten!$A466="Geprüft",Programme_Grunddaten!K466&lt;&gt;""),IF(Programme_Grunddaten!K466="Ja",1,0),"")</f>
        <v/>
      </c>
      <c r="E461" s="1" t="str">
        <f>IF(AND(Programme_Grunddaten!$A466="Geprüft",Programme_Grunddaten!L466&lt;&gt;""),IF(Programme_Grunddaten!L466="Abo / befristete Lizenz",1,0),"")</f>
        <v/>
      </c>
      <c r="F461" s="1" t="str">
        <f>IF(AND(Programme_Grunddaten!$A466="Geprüft",Programme_Grunddaten!M466&lt;&gt;""),IF(Programme_Grunddaten!M466="Ja",1,0),"")</f>
        <v/>
      </c>
      <c r="G461" s="1" t="str">
        <f>IF(AND(Programme_Grunddaten!$A466="Geprüft",Programme_Grunddaten!N466&lt;&gt;""),IF(Programme_Grunddaten!N466="Ja",1,0),"")</f>
        <v/>
      </c>
      <c r="H461" s="1" t="str">
        <f>IF(AND(Programme_Grunddaten!$A466="Geprüft",Programme_Grunddaten!O466&lt;&gt;""),IF(Programme_Grunddaten!O466="Deutschland",0,IF(Programme_Grunddaten!O466="EU",1,2)),"")</f>
        <v/>
      </c>
      <c r="I461" s="1" t="str">
        <f>IF(AND(Programme_Grunddaten!$A466="Geprüft",Programme_Grunddaten!P466&lt;&gt;""),IF(Programme_Grunddaten!P466="Ja",1,0),"")</f>
        <v/>
      </c>
      <c r="J461" s="1" t="str">
        <f>IF(AND(Programme_Grunddaten!$A466="Geprüft",Programme_Grunddaten!Q466&lt;&gt;""),IF(Programme_Grunddaten!Q466="geschlossenes System",1,0),"")</f>
        <v/>
      </c>
      <c r="K461" s="1" t="str">
        <f>IF(AND(Programme_Grunddaten!$A466="Geprüft",Programme_Grunddaten!R466&lt;&gt;""),IF(Programme_Grunddaten!R466="Ja",1,0),"")</f>
        <v/>
      </c>
      <c r="L461" s="1" t="str">
        <f>IF(AND(Programme_Grunddaten!$A466="Geprüft",Programme_Grunddaten!T466&lt;&gt;""),IF(Programme_Grunddaten!T466="Ja",1,0),"")</f>
        <v/>
      </c>
      <c r="M461" s="1" t="str">
        <f>IF(AND(Programme_Grunddaten!$A466="Geprüft",Programme_Grunddaten!U466&lt;&gt;""),IF(Programme_Grunddaten!U466="Ja",1,0),"")</f>
        <v/>
      </c>
      <c r="N461" s="1" t="str">
        <f>IF(AND(Programme_Grunddaten!$A466="Geprüft",Programme_Grunddaten!V466&lt;&gt;""),IF(Programme_Grunddaten!V466="Ja",1,0),"")</f>
        <v/>
      </c>
      <c r="O461" s="1" t="str">
        <f>IF(AND(Programme_Grunddaten!$A466="Geprüft",Programme_Grunddaten!W466&lt;&gt;""),IF(Programme_Grunddaten!W466="Ja",1,0),"")</f>
        <v/>
      </c>
      <c r="P461" s="1" t="str">
        <f>IF(AND(Programme_Grunddaten!$A466="Geprüft",Programme_Grunddaten!X466&lt;&gt;""),IF(Programme_Grunddaten!X466="Ja",1,0),"")</f>
        <v/>
      </c>
      <c r="Q461" s="1" t="str">
        <f>IF(AND(Programme_Grunddaten!$A466="Geprüft",Programme_Grunddaten!Y466&lt;&gt;""),IF(Programme_Grunddaten!Y466="Ja",1,0),"")</f>
        <v/>
      </c>
      <c r="R461" s="1" t="str">
        <f>IF(AND(Programme_Grunddaten!$A466="Geprüft",Programme_Grunddaten!Z466&lt;&gt;""),IF(Programme_Grunddaten!Z466="Ja",1,0),"")</f>
        <v/>
      </c>
      <c r="S461" s="1" t="str">
        <f>IF(AND(Programme_Grunddaten!$A466="Geprüft",Programme_Grunddaten!AA466&lt;&gt;""),IF(Programme_Grunddaten!AA466="monolithisch",1,0),"")</f>
        <v/>
      </c>
      <c r="T461" s="1" t="str">
        <f>IF(AND(Programme_Grunddaten!$A466="Geprüft",Programme_Grunddaten!AB466&lt;&gt;""),IF(Programme_Grunddaten!AB466="Ja",1,0),"")</f>
        <v/>
      </c>
      <c r="U461" s="1" t="str">
        <f>IF(AND(Programme_Grunddaten!$A466="Geprüft",Programme_Grunddaten!AC466&lt;&gt;""),IF(Programme_Grunddaten!AC466="Ja",1,0),"")</f>
        <v/>
      </c>
      <c r="V461" s="1" t="str">
        <f>IF(AND(Programme_Grunddaten!$A466="Geprüft",Programme_Grunddaten!AD466&lt;&gt;""),IF(Programme_Grunddaten!AD466="Ja",1,0),"")</f>
        <v/>
      </c>
      <c r="W461" s="1" t="str">
        <f>IF(AND(Programme_Grunddaten!$A466="Geprüft",Programme_Grunddaten!AE466&lt;&gt;""),IF(Programme_Grunddaten!AE466="Ja",1,0),"")</f>
        <v/>
      </c>
      <c r="X461" s="1" t="str">
        <f>IF(AND(Programme_Grunddaten!$A466="Geprüft",Programme_Grunddaten!AF466&lt;&gt;""),IF(Programme_Grunddaten!AF466="Ja",1,0),"")</f>
        <v/>
      </c>
      <c r="Y461" s="1" t="str">
        <f>IF(AND(Programme_Grunddaten!$A466="Geprüft",Programme_Grunddaten!AG466&lt;&gt;""),IF(Programme_Grunddaten!AG466="Ja",1,0),"")</f>
        <v/>
      </c>
      <c r="Z461" s="1" t="str">
        <f>IF(AND(Programme_Grunddaten!$A466="Geprüft",Programme_Grunddaten!AH466&lt;&gt;""),IF(Programme_Grunddaten!AH466="Ja",1,0),"")</f>
        <v/>
      </c>
      <c r="AA461" s="1" t="str">
        <f>IF(AND(Programme_Grunddaten!$A466="Geprüft",Programme_Grunddaten!AI466&lt;&gt;""),IF(Programme_Grunddaten!AI466="Ja",1,0),"")</f>
        <v/>
      </c>
      <c r="AB461" s="1" t="str">
        <f>IF(AND(Programme_Grunddaten!$A466="Geprüft",Programme_Grunddaten!AJ466&lt;&gt;""),IF(Programme_Grunddaten!AJ466="individuell programmierbar",1,0),"")</f>
        <v/>
      </c>
      <c r="AC461" s="1" t="str">
        <f>IF(AND(Programme_Grunddaten!$A466="Geprüft",Programme_Grunddaten!AK466&lt;&gt;""),IF(Programme_Grunddaten!AK466="Deutsch",0,IF(Programme_Grunddaten!AK466="Deutsch und Englisch",1,2)),"")</f>
        <v/>
      </c>
      <c r="AD461" s="1" t="str">
        <f>IF(AND(Programme_Grunddaten!$A466="Geprüft",Programme_Grunddaten!AL466&lt;&gt;""),IF(Programme_Grunddaten!AL466="Ja",1,0),"")</f>
        <v/>
      </c>
      <c r="AE461" s="1" t="str">
        <f>IF(AND(Programme_Grunddaten!$A466="Geprüft",Programme_Grunddaten!AM466&lt;&gt;""),IF(Programme_Grunddaten!AM466="Ja",1,0),"")</f>
        <v/>
      </c>
      <c r="AF461" s="1" t="str">
        <f>IF(AND(Programme_Grunddaten!$A466="Geprüft",Programme_Grunddaten!AN466&lt;&gt;""),IF(Programme_Grunddaten!AN466="Ja",1,0),"")</f>
        <v/>
      </c>
      <c r="AG461" s="1" t="str">
        <f>IF(AND(Programme_Grunddaten!$A466="Geprüft",Programme_Grunddaten!AO466&lt;&gt;""),IF(Programme_Grunddaten!AO466="Ja",1,0),"")</f>
        <v/>
      </c>
      <c r="AH461" s="1" t="str">
        <f>IF(AND(Programme_Grunddaten!$A466="Geprüft",Programme_Grunddaten!AP466&lt;&gt;""),IF(Programme_Grunddaten!AP466="Ja",1,0),"")</f>
        <v/>
      </c>
      <c r="AI461" s="1" t="str">
        <f>IF(AND(Programme_Grunddaten!$A466="Geprüft",Programme_Grunddaten!AQ466&lt;&gt;""),IF(Programme_Grunddaten!AQ466="Ja",1,0),"")</f>
        <v/>
      </c>
      <c r="AJ461" s="1" t="str">
        <f>IF(AND(Programme_Grunddaten!$A466="Geprüft",Programme_Grunddaten!AR466&lt;&gt;""),IF(Programme_Grunddaten!AR466="Ja",1,0),"")</f>
        <v/>
      </c>
      <c r="AK461" s="1" t="str">
        <f>IF(AND(Programme_Grunddaten!$A466="Geprüft",Programme_Grunddaten!AS466&lt;&gt;""),IF(Programme_Grunddaten!AS466="Ja",1,0),"")</f>
        <v/>
      </c>
      <c r="AL461" s="1" t="str">
        <f>IF(AND(Programme_Grunddaten!$A466="Geprüft",Programme_Grunddaten!AT466&lt;&gt;""),IF(Programme_Grunddaten!AT466="Ja",1,0),"")</f>
        <v/>
      </c>
      <c r="AM461" s="1" t="str">
        <f>IF(AND(Programme_Grunddaten!$A466="Geprüft",Programme_Grunddaten!AU466&lt;&gt;""),IF(Programme_Grunddaten!AU466="Ja",1,0),"")</f>
        <v/>
      </c>
      <c r="AN461" s="1" t="str">
        <f>IF(AND(Programme_Grunddaten!$A466="Geprüft",Programme_Grunddaten!AV466&lt;&gt;""),IF(Programme_Grunddaten!AV466="Ja",1,0),"")</f>
        <v/>
      </c>
    </row>
    <row r="462" spans="1:40" x14ac:dyDescent="0.3">
      <c r="A462" s="1" t="str">
        <f>IF(AND(Programme_Grunddaten!A467="Geprüft",Programme_Grunddaten!B467&lt;&gt;""),Programme_Grunddaten!B467,"")</f>
        <v/>
      </c>
      <c r="B462" s="1" t="str">
        <f>IF(AND(Programme_Grunddaten!$A467="Geprüft",Programme_Grunddaten!I467&lt;&gt;""),IF(Programme_Grunddaten!I467="Ja",1,0),"")</f>
        <v/>
      </c>
      <c r="C462" s="1" t="str">
        <f>IF(AND(Programme_Grunddaten!$A467="Geprüft",Programme_Grunddaten!J467&lt;&gt;""),IF(Programme_Grunddaten!J467="Ja",1,0),"")</f>
        <v/>
      </c>
      <c r="D462" s="1" t="str">
        <f>IF(AND(Programme_Grunddaten!$A467="Geprüft",Programme_Grunddaten!K467&lt;&gt;""),IF(Programme_Grunddaten!K467="Ja",1,0),"")</f>
        <v/>
      </c>
      <c r="E462" s="1" t="str">
        <f>IF(AND(Programme_Grunddaten!$A467="Geprüft",Programme_Grunddaten!L467&lt;&gt;""),IF(Programme_Grunddaten!L467="Abo / befristete Lizenz",1,0),"")</f>
        <v/>
      </c>
      <c r="F462" s="1" t="str">
        <f>IF(AND(Programme_Grunddaten!$A467="Geprüft",Programme_Grunddaten!M467&lt;&gt;""),IF(Programme_Grunddaten!M467="Ja",1,0),"")</f>
        <v/>
      </c>
      <c r="G462" s="1" t="str">
        <f>IF(AND(Programme_Grunddaten!$A467="Geprüft",Programme_Grunddaten!N467&lt;&gt;""),IF(Programme_Grunddaten!N467="Ja",1,0),"")</f>
        <v/>
      </c>
      <c r="H462" s="1" t="str">
        <f>IF(AND(Programme_Grunddaten!$A467="Geprüft",Programme_Grunddaten!O467&lt;&gt;""),IF(Programme_Grunddaten!O467="Deutschland",0,IF(Programme_Grunddaten!O467="EU",1,2)),"")</f>
        <v/>
      </c>
      <c r="I462" s="1" t="str">
        <f>IF(AND(Programme_Grunddaten!$A467="Geprüft",Programme_Grunddaten!P467&lt;&gt;""),IF(Programme_Grunddaten!P467="Ja",1,0),"")</f>
        <v/>
      </c>
      <c r="J462" s="1" t="str">
        <f>IF(AND(Programme_Grunddaten!$A467="Geprüft",Programme_Grunddaten!Q467&lt;&gt;""),IF(Programme_Grunddaten!Q467="geschlossenes System",1,0),"")</f>
        <v/>
      </c>
      <c r="K462" s="1" t="str">
        <f>IF(AND(Programme_Grunddaten!$A467="Geprüft",Programme_Grunddaten!R467&lt;&gt;""),IF(Programme_Grunddaten!R467="Ja",1,0),"")</f>
        <v/>
      </c>
      <c r="L462" s="1" t="str">
        <f>IF(AND(Programme_Grunddaten!$A467="Geprüft",Programme_Grunddaten!T467&lt;&gt;""),IF(Programme_Grunddaten!T467="Ja",1,0),"")</f>
        <v/>
      </c>
      <c r="M462" s="1" t="str">
        <f>IF(AND(Programme_Grunddaten!$A467="Geprüft",Programme_Grunddaten!U467&lt;&gt;""),IF(Programme_Grunddaten!U467="Ja",1,0),"")</f>
        <v/>
      </c>
      <c r="N462" s="1" t="str">
        <f>IF(AND(Programme_Grunddaten!$A467="Geprüft",Programme_Grunddaten!V467&lt;&gt;""),IF(Programme_Grunddaten!V467="Ja",1,0),"")</f>
        <v/>
      </c>
      <c r="O462" s="1" t="str">
        <f>IF(AND(Programme_Grunddaten!$A467="Geprüft",Programme_Grunddaten!W467&lt;&gt;""),IF(Programme_Grunddaten!W467="Ja",1,0),"")</f>
        <v/>
      </c>
      <c r="P462" s="1" t="str">
        <f>IF(AND(Programme_Grunddaten!$A467="Geprüft",Programme_Grunddaten!X467&lt;&gt;""),IF(Programme_Grunddaten!X467="Ja",1,0),"")</f>
        <v/>
      </c>
      <c r="Q462" s="1" t="str">
        <f>IF(AND(Programme_Grunddaten!$A467="Geprüft",Programme_Grunddaten!Y467&lt;&gt;""),IF(Programme_Grunddaten!Y467="Ja",1,0),"")</f>
        <v/>
      </c>
      <c r="R462" s="1" t="str">
        <f>IF(AND(Programme_Grunddaten!$A467="Geprüft",Programme_Grunddaten!Z467&lt;&gt;""),IF(Programme_Grunddaten!Z467="Ja",1,0),"")</f>
        <v/>
      </c>
      <c r="S462" s="1" t="str">
        <f>IF(AND(Programme_Grunddaten!$A467="Geprüft",Programme_Grunddaten!AA467&lt;&gt;""),IF(Programme_Grunddaten!AA467="monolithisch",1,0),"")</f>
        <v/>
      </c>
      <c r="T462" s="1" t="str">
        <f>IF(AND(Programme_Grunddaten!$A467="Geprüft",Programme_Grunddaten!AB467&lt;&gt;""),IF(Programme_Grunddaten!AB467="Ja",1,0),"")</f>
        <v/>
      </c>
      <c r="U462" s="1" t="str">
        <f>IF(AND(Programme_Grunddaten!$A467="Geprüft",Programme_Grunddaten!AC467&lt;&gt;""),IF(Programme_Grunddaten!AC467="Ja",1,0),"")</f>
        <v/>
      </c>
      <c r="V462" s="1" t="str">
        <f>IF(AND(Programme_Grunddaten!$A467="Geprüft",Programme_Grunddaten!AD467&lt;&gt;""),IF(Programme_Grunddaten!AD467="Ja",1,0),"")</f>
        <v/>
      </c>
      <c r="W462" s="1" t="str">
        <f>IF(AND(Programme_Grunddaten!$A467="Geprüft",Programme_Grunddaten!AE467&lt;&gt;""),IF(Programme_Grunddaten!AE467="Ja",1,0),"")</f>
        <v/>
      </c>
      <c r="X462" s="1" t="str">
        <f>IF(AND(Programme_Grunddaten!$A467="Geprüft",Programme_Grunddaten!AF467&lt;&gt;""),IF(Programme_Grunddaten!AF467="Ja",1,0),"")</f>
        <v/>
      </c>
      <c r="Y462" s="1" t="str">
        <f>IF(AND(Programme_Grunddaten!$A467="Geprüft",Programme_Grunddaten!AG467&lt;&gt;""),IF(Programme_Grunddaten!AG467="Ja",1,0),"")</f>
        <v/>
      </c>
      <c r="Z462" s="1" t="str">
        <f>IF(AND(Programme_Grunddaten!$A467="Geprüft",Programme_Grunddaten!AH467&lt;&gt;""),IF(Programme_Grunddaten!AH467="Ja",1,0),"")</f>
        <v/>
      </c>
      <c r="AA462" s="1" t="str">
        <f>IF(AND(Programme_Grunddaten!$A467="Geprüft",Programme_Grunddaten!AI467&lt;&gt;""),IF(Programme_Grunddaten!AI467="Ja",1,0),"")</f>
        <v/>
      </c>
      <c r="AB462" s="1" t="str">
        <f>IF(AND(Programme_Grunddaten!$A467="Geprüft",Programme_Grunddaten!AJ467&lt;&gt;""),IF(Programme_Grunddaten!AJ467="individuell programmierbar",1,0),"")</f>
        <v/>
      </c>
      <c r="AC462" s="1" t="str">
        <f>IF(AND(Programme_Grunddaten!$A467="Geprüft",Programme_Grunddaten!AK467&lt;&gt;""),IF(Programme_Grunddaten!AK467="Deutsch",0,IF(Programme_Grunddaten!AK467="Deutsch und Englisch",1,2)),"")</f>
        <v/>
      </c>
      <c r="AD462" s="1" t="str">
        <f>IF(AND(Programme_Grunddaten!$A467="Geprüft",Programme_Grunddaten!AL467&lt;&gt;""),IF(Programme_Grunddaten!AL467="Ja",1,0),"")</f>
        <v/>
      </c>
      <c r="AE462" s="1" t="str">
        <f>IF(AND(Programme_Grunddaten!$A467="Geprüft",Programme_Grunddaten!AM467&lt;&gt;""),IF(Programme_Grunddaten!AM467="Ja",1,0),"")</f>
        <v/>
      </c>
      <c r="AF462" s="1" t="str">
        <f>IF(AND(Programme_Grunddaten!$A467="Geprüft",Programme_Grunddaten!AN467&lt;&gt;""),IF(Programme_Grunddaten!AN467="Ja",1,0),"")</f>
        <v/>
      </c>
      <c r="AG462" s="1" t="str">
        <f>IF(AND(Programme_Grunddaten!$A467="Geprüft",Programme_Grunddaten!AO467&lt;&gt;""),IF(Programme_Grunddaten!AO467="Ja",1,0),"")</f>
        <v/>
      </c>
      <c r="AH462" s="1" t="str">
        <f>IF(AND(Programme_Grunddaten!$A467="Geprüft",Programme_Grunddaten!AP467&lt;&gt;""),IF(Programme_Grunddaten!AP467="Ja",1,0),"")</f>
        <v/>
      </c>
      <c r="AI462" s="1" t="str">
        <f>IF(AND(Programme_Grunddaten!$A467="Geprüft",Programme_Grunddaten!AQ467&lt;&gt;""),IF(Programme_Grunddaten!AQ467="Ja",1,0),"")</f>
        <v/>
      </c>
      <c r="AJ462" s="1" t="str">
        <f>IF(AND(Programme_Grunddaten!$A467="Geprüft",Programme_Grunddaten!AR467&lt;&gt;""),IF(Programme_Grunddaten!AR467="Ja",1,0),"")</f>
        <v/>
      </c>
      <c r="AK462" s="1" t="str">
        <f>IF(AND(Programme_Grunddaten!$A467="Geprüft",Programme_Grunddaten!AS467&lt;&gt;""),IF(Programme_Grunddaten!AS467="Ja",1,0),"")</f>
        <v/>
      </c>
      <c r="AL462" s="1" t="str">
        <f>IF(AND(Programme_Grunddaten!$A467="Geprüft",Programme_Grunddaten!AT467&lt;&gt;""),IF(Programme_Grunddaten!AT467="Ja",1,0),"")</f>
        <v/>
      </c>
      <c r="AM462" s="1" t="str">
        <f>IF(AND(Programme_Grunddaten!$A467="Geprüft",Programme_Grunddaten!AU467&lt;&gt;""),IF(Programme_Grunddaten!AU467="Ja",1,0),"")</f>
        <v/>
      </c>
      <c r="AN462" s="1" t="str">
        <f>IF(AND(Programme_Grunddaten!$A467="Geprüft",Programme_Grunddaten!AV467&lt;&gt;""),IF(Programme_Grunddaten!AV467="Ja",1,0),"")</f>
        <v/>
      </c>
    </row>
    <row r="463" spans="1:40" x14ac:dyDescent="0.3">
      <c r="A463" s="1" t="str">
        <f>IF(AND(Programme_Grunddaten!A468="Geprüft",Programme_Grunddaten!B468&lt;&gt;""),Programme_Grunddaten!B468,"")</f>
        <v/>
      </c>
      <c r="B463" s="1" t="str">
        <f>IF(AND(Programme_Grunddaten!$A468="Geprüft",Programme_Grunddaten!I468&lt;&gt;""),IF(Programme_Grunddaten!I468="Ja",1,0),"")</f>
        <v/>
      </c>
      <c r="C463" s="1" t="str">
        <f>IF(AND(Programme_Grunddaten!$A468="Geprüft",Programme_Grunddaten!J468&lt;&gt;""),IF(Programme_Grunddaten!J468="Ja",1,0),"")</f>
        <v/>
      </c>
      <c r="D463" s="1" t="str">
        <f>IF(AND(Programme_Grunddaten!$A468="Geprüft",Programme_Grunddaten!K468&lt;&gt;""),IF(Programme_Grunddaten!K468="Ja",1,0),"")</f>
        <v/>
      </c>
      <c r="E463" s="1" t="str">
        <f>IF(AND(Programme_Grunddaten!$A468="Geprüft",Programme_Grunddaten!L468&lt;&gt;""),IF(Programme_Grunddaten!L468="Abo / befristete Lizenz",1,0),"")</f>
        <v/>
      </c>
      <c r="F463" s="1" t="str">
        <f>IF(AND(Programme_Grunddaten!$A468="Geprüft",Programme_Grunddaten!M468&lt;&gt;""),IF(Programme_Grunddaten!M468="Ja",1,0),"")</f>
        <v/>
      </c>
      <c r="G463" s="1" t="str">
        <f>IF(AND(Programme_Grunddaten!$A468="Geprüft",Programme_Grunddaten!N468&lt;&gt;""),IF(Programme_Grunddaten!N468="Ja",1,0),"")</f>
        <v/>
      </c>
      <c r="H463" s="1" t="str">
        <f>IF(AND(Programme_Grunddaten!$A468="Geprüft",Programme_Grunddaten!O468&lt;&gt;""),IF(Programme_Grunddaten!O468="Deutschland",0,IF(Programme_Grunddaten!O468="EU",1,2)),"")</f>
        <v/>
      </c>
      <c r="I463" s="1" t="str">
        <f>IF(AND(Programme_Grunddaten!$A468="Geprüft",Programme_Grunddaten!P468&lt;&gt;""),IF(Programme_Grunddaten!P468="Ja",1,0),"")</f>
        <v/>
      </c>
      <c r="J463" s="1" t="str">
        <f>IF(AND(Programme_Grunddaten!$A468="Geprüft",Programme_Grunddaten!Q468&lt;&gt;""),IF(Programme_Grunddaten!Q468="geschlossenes System",1,0),"")</f>
        <v/>
      </c>
      <c r="K463" s="1" t="str">
        <f>IF(AND(Programme_Grunddaten!$A468="Geprüft",Programme_Grunddaten!R468&lt;&gt;""),IF(Programme_Grunddaten!R468="Ja",1,0),"")</f>
        <v/>
      </c>
      <c r="L463" s="1" t="str">
        <f>IF(AND(Programme_Grunddaten!$A468="Geprüft",Programme_Grunddaten!T468&lt;&gt;""),IF(Programme_Grunddaten!T468="Ja",1,0),"")</f>
        <v/>
      </c>
      <c r="M463" s="1" t="str">
        <f>IF(AND(Programme_Grunddaten!$A468="Geprüft",Programme_Grunddaten!U468&lt;&gt;""),IF(Programme_Grunddaten!U468="Ja",1,0),"")</f>
        <v/>
      </c>
      <c r="N463" s="1" t="str">
        <f>IF(AND(Programme_Grunddaten!$A468="Geprüft",Programme_Grunddaten!V468&lt;&gt;""),IF(Programme_Grunddaten!V468="Ja",1,0),"")</f>
        <v/>
      </c>
      <c r="O463" s="1" t="str">
        <f>IF(AND(Programme_Grunddaten!$A468="Geprüft",Programme_Grunddaten!W468&lt;&gt;""),IF(Programme_Grunddaten!W468="Ja",1,0),"")</f>
        <v/>
      </c>
      <c r="P463" s="1" t="str">
        <f>IF(AND(Programme_Grunddaten!$A468="Geprüft",Programme_Grunddaten!X468&lt;&gt;""),IF(Programme_Grunddaten!X468="Ja",1,0),"")</f>
        <v/>
      </c>
      <c r="Q463" s="1" t="str">
        <f>IF(AND(Programme_Grunddaten!$A468="Geprüft",Programme_Grunddaten!Y468&lt;&gt;""),IF(Programme_Grunddaten!Y468="Ja",1,0),"")</f>
        <v/>
      </c>
      <c r="R463" s="1" t="str">
        <f>IF(AND(Programme_Grunddaten!$A468="Geprüft",Programme_Grunddaten!Z468&lt;&gt;""),IF(Programme_Grunddaten!Z468="Ja",1,0),"")</f>
        <v/>
      </c>
      <c r="S463" s="1" t="str">
        <f>IF(AND(Programme_Grunddaten!$A468="Geprüft",Programme_Grunddaten!AA468&lt;&gt;""),IF(Programme_Grunddaten!AA468="monolithisch",1,0),"")</f>
        <v/>
      </c>
      <c r="T463" s="1" t="str">
        <f>IF(AND(Programme_Grunddaten!$A468="Geprüft",Programme_Grunddaten!AB468&lt;&gt;""),IF(Programme_Grunddaten!AB468="Ja",1,0),"")</f>
        <v/>
      </c>
      <c r="U463" s="1" t="str">
        <f>IF(AND(Programme_Grunddaten!$A468="Geprüft",Programme_Grunddaten!AC468&lt;&gt;""),IF(Programme_Grunddaten!AC468="Ja",1,0),"")</f>
        <v/>
      </c>
      <c r="V463" s="1" t="str">
        <f>IF(AND(Programme_Grunddaten!$A468="Geprüft",Programme_Grunddaten!AD468&lt;&gt;""),IF(Programme_Grunddaten!AD468="Ja",1,0),"")</f>
        <v/>
      </c>
      <c r="W463" s="1" t="str">
        <f>IF(AND(Programme_Grunddaten!$A468="Geprüft",Programme_Grunddaten!AE468&lt;&gt;""),IF(Programme_Grunddaten!AE468="Ja",1,0),"")</f>
        <v/>
      </c>
      <c r="X463" s="1" t="str">
        <f>IF(AND(Programme_Grunddaten!$A468="Geprüft",Programme_Grunddaten!AF468&lt;&gt;""),IF(Programme_Grunddaten!AF468="Ja",1,0),"")</f>
        <v/>
      </c>
      <c r="Y463" s="1" t="str">
        <f>IF(AND(Programme_Grunddaten!$A468="Geprüft",Programme_Grunddaten!AG468&lt;&gt;""),IF(Programme_Grunddaten!AG468="Ja",1,0),"")</f>
        <v/>
      </c>
      <c r="Z463" s="1" t="str">
        <f>IF(AND(Programme_Grunddaten!$A468="Geprüft",Programme_Grunddaten!AH468&lt;&gt;""),IF(Programme_Grunddaten!AH468="Ja",1,0),"")</f>
        <v/>
      </c>
      <c r="AA463" s="1" t="str">
        <f>IF(AND(Programme_Grunddaten!$A468="Geprüft",Programme_Grunddaten!AI468&lt;&gt;""),IF(Programme_Grunddaten!AI468="Ja",1,0),"")</f>
        <v/>
      </c>
      <c r="AB463" s="1" t="str">
        <f>IF(AND(Programme_Grunddaten!$A468="Geprüft",Programme_Grunddaten!AJ468&lt;&gt;""),IF(Programme_Grunddaten!AJ468="individuell programmierbar",1,0),"")</f>
        <v/>
      </c>
      <c r="AC463" s="1" t="str">
        <f>IF(AND(Programme_Grunddaten!$A468="Geprüft",Programme_Grunddaten!AK468&lt;&gt;""),IF(Programme_Grunddaten!AK468="Deutsch",0,IF(Programme_Grunddaten!AK468="Deutsch und Englisch",1,2)),"")</f>
        <v/>
      </c>
      <c r="AD463" s="1" t="str">
        <f>IF(AND(Programme_Grunddaten!$A468="Geprüft",Programme_Grunddaten!AL468&lt;&gt;""),IF(Programme_Grunddaten!AL468="Ja",1,0),"")</f>
        <v/>
      </c>
      <c r="AE463" s="1" t="str">
        <f>IF(AND(Programme_Grunddaten!$A468="Geprüft",Programme_Grunddaten!AM468&lt;&gt;""),IF(Programme_Grunddaten!AM468="Ja",1,0),"")</f>
        <v/>
      </c>
      <c r="AF463" s="1" t="str">
        <f>IF(AND(Programme_Grunddaten!$A468="Geprüft",Programme_Grunddaten!AN468&lt;&gt;""),IF(Programme_Grunddaten!AN468="Ja",1,0),"")</f>
        <v/>
      </c>
      <c r="AG463" s="1" t="str">
        <f>IF(AND(Programme_Grunddaten!$A468="Geprüft",Programme_Grunddaten!AO468&lt;&gt;""),IF(Programme_Grunddaten!AO468="Ja",1,0),"")</f>
        <v/>
      </c>
      <c r="AH463" s="1" t="str">
        <f>IF(AND(Programme_Grunddaten!$A468="Geprüft",Programme_Grunddaten!AP468&lt;&gt;""),IF(Programme_Grunddaten!AP468="Ja",1,0),"")</f>
        <v/>
      </c>
      <c r="AI463" s="1" t="str">
        <f>IF(AND(Programme_Grunddaten!$A468="Geprüft",Programme_Grunddaten!AQ468&lt;&gt;""),IF(Programme_Grunddaten!AQ468="Ja",1,0),"")</f>
        <v/>
      </c>
      <c r="AJ463" s="1" t="str">
        <f>IF(AND(Programme_Grunddaten!$A468="Geprüft",Programme_Grunddaten!AR468&lt;&gt;""),IF(Programme_Grunddaten!AR468="Ja",1,0),"")</f>
        <v/>
      </c>
      <c r="AK463" s="1" t="str">
        <f>IF(AND(Programme_Grunddaten!$A468="Geprüft",Programme_Grunddaten!AS468&lt;&gt;""),IF(Programme_Grunddaten!AS468="Ja",1,0),"")</f>
        <v/>
      </c>
      <c r="AL463" s="1" t="str">
        <f>IF(AND(Programme_Grunddaten!$A468="Geprüft",Programme_Grunddaten!AT468&lt;&gt;""),IF(Programme_Grunddaten!AT468="Ja",1,0),"")</f>
        <v/>
      </c>
      <c r="AM463" s="1" t="str">
        <f>IF(AND(Programme_Grunddaten!$A468="Geprüft",Programme_Grunddaten!AU468&lt;&gt;""),IF(Programme_Grunddaten!AU468="Ja",1,0),"")</f>
        <v/>
      </c>
      <c r="AN463" s="1" t="str">
        <f>IF(AND(Programme_Grunddaten!$A468="Geprüft",Programme_Grunddaten!AV468&lt;&gt;""),IF(Programme_Grunddaten!AV468="Ja",1,0),"")</f>
        <v/>
      </c>
    </row>
    <row r="464" spans="1:40" x14ac:dyDescent="0.3">
      <c r="A464" s="1" t="str">
        <f>IF(AND(Programme_Grunddaten!A469="Geprüft",Programme_Grunddaten!B469&lt;&gt;""),Programme_Grunddaten!B469,"")</f>
        <v/>
      </c>
      <c r="B464" s="1" t="str">
        <f>IF(AND(Programme_Grunddaten!$A469="Geprüft",Programme_Grunddaten!I469&lt;&gt;""),IF(Programme_Grunddaten!I469="Ja",1,0),"")</f>
        <v/>
      </c>
      <c r="C464" s="1" t="str">
        <f>IF(AND(Programme_Grunddaten!$A469="Geprüft",Programme_Grunddaten!J469&lt;&gt;""),IF(Programme_Grunddaten!J469="Ja",1,0),"")</f>
        <v/>
      </c>
      <c r="D464" s="1" t="str">
        <f>IF(AND(Programme_Grunddaten!$A469="Geprüft",Programme_Grunddaten!K469&lt;&gt;""),IF(Programme_Grunddaten!K469="Ja",1,0),"")</f>
        <v/>
      </c>
      <c r="E464" s="1" t="str">
        <f>IF(AND(Programme_Grunddaten!$A469="Geprüft",Programme_Grunddaten!L469&lt;&gt;""),IF(Programme_Grunddaten!L469="Abo / befristete Lizenz",1,0),"")</f>
        <v/>
      </c>
      <c r="F464" s="1" t="str">
        <f>IF(AND(Programme_Grunddaten!$A469="Geprüft",Programme_Grunddaten!M469&lt;&gt;""),IF(Programme_Grunddaten!M469="Ja",1,0),"")</f>
        <v/>
      </c>
      <c r="G464" s="1" t="str">
        <f>IF(AND(Programme_Grunddaten!$A469="Geprüft",Programme_Grunddaten!N469&lt;&gt;""),IF(Programme_Grunddaten!N469="Ja",1,0),"")</f>
        <v/>
      </c>
      <c r="H464" s="1" t="str">
        <f>IF(AND(Programme_Grunddaten!$A469="Geprüft",Programme_Grunddaten!O469&lt;&gt;""),IF(Programme_Grunddaten!O469="Deutschland",0,IF(Programme_Grunddaten!O469="EU",1,2)),"")</f>
        <v/>
      </c>
      <c r="I464" s="1" t="str">
        <f>IF(AND(Programme_Grunddaten!$A469="Geprüft",Programme_Grunddaten!P469&lt;&gt;""),IF(Programme_Grunddaten!P469="Ja",1,0),"")</f>
        <v/>
      </c>
      <c r="J464" s="1" t="str">
        <f>IF(AND(Programme_Grunddaten!$A469="Geprüft",Programme_Grunddaten!Q469&lt;&gt;""),IF(Programme_Grunddaten!Q469="geschlossenes System",1,0),"")</f>
        <v/>
      </c>
      <c r="K464" s="1" t="str">
        <f>IF(AND(Programme_Grunddaten!$A469="Geprüft",Programme_Grunddaten!R469&lt;&gt;""),IF(Programme_Grunddaten!R469="Ja",1,0),"")</f>
        <v/>
      </c>
      <c r="L464" s="1" t="str">
        <f>IF(AND(Programme_Grunddaten!$A469="Geprüft",Programme_Grunddaten!T469&lt;&gt;""),IF(Programme_Grunddaten!T469="Ja",1,0),"")</f>
        <v/>
      </c>
      <c r="M464" s="1" t="str">
        <f>IF(AND(Programme_Grunddaten!$A469="Geprüft",Programme_Grunddaten!U469&lt;&gt;""),IF(Programme_Grunddaten!U469="Ja",1,0),"")</f>
        <v/>
      </c>
      <c r="N464" s="1" t="str">
        <f>IF(AND(Programme_Grunddaten!$A469="Geprüft",Programme_Grunddaten!V469&lt;&gt;""),IF(Programme_Grunddaten!V469="Ja",1,0),"")</f>
        <v/>
      </c>
      <c r="O464" s="1" t="str">
        <f>IF(AND(Programme_Grunddaten!$A469="Geprüft",Programme_Grunddaten!W469&lt;&gt;""),IF(Programme_Grunddaten!W469="Ja",1,0),"")</f>
        <v/>
      </c>
      <c r="P464" s="1" t="str">
        <f>IF(AND(Programme_Grunddaten!$A469="Geprüft",Programme_Grunddaten!X469&lt;&gt;""),IF(Programme_Grunddaten!X469="Ja",1,0),"")</f>
        <v/>
      </c>
      <c r="Q464" s="1" t="str">
        <f>IF(AND(Programme_Grunddaten!$A469="Geprüft",Programme_Grunddaten!Y469&lt;&gt;""),IF(Programme_Grunddaten!Y469="Ja",1,0),"")</f>
        <v/>
      </c>
      <c r="R464" s="1" t="str">
        <f>IF(AND(Programme_Grunddaten!$A469="Geprüft",Programme_Grunddaten!Z469&lt;&gt;""),IF(Programme_Grunddaten!Z469="Ja",1,0),"")</f>
        <v/>
      </c>
      <c r="S464" s="1" t="str">
        <f>IF(AND(Programme_Grunddaten!$A469="Geprüft",Programme_Grunddaten!AA469&lt;&gt;""),IF(Programme_Grunddaten!AA469="monolithisch",1,0),"")</f>
        <v/>
      </c>
      <c r="T464" s="1" t="str">
        <f>IF(AND(Programme_Grunddaten!$A469="Geprüft",Programme_Grunddaten!AB469&lt;&gt;""),IF(Programme_Grunddaten!AB469="Ja",1,0),"")</f>
        <v/>
      </c>
      <c r="U464" s="1" t="str">
        <f>IF(AND(Programme_Grunddaten!$A469="Geprüft",Programme_Grunddaten!AC469&lt;&gt;""),IF(Programme_Grunddaten!AC469="Ja",1,0),"")</f>
        <v/>
      </c>
      <c r="V464" s="1" t="str">
        <f>IF(AND(Programme_Grunddaten!$A469="Geprüft",Programme_Grunddaten!AD469&lt;&gt;""),IF(Programme_Grunddaten!AD469="Ja",1,0),"")</f>
        <v/>
      </c>
      <c r="W464" s="1" t="str">
        <f>IF(AND(Programme_Grunddaten!$A469="Geprüft",Programme_Grunddaten!AE469&lt;&gt;""),IF(Programme_Grunddaten!AE469="Ja",1,0),"")</f>
        <v/>
      </c>
      <c r="X464" s="1" t="str">
        <f>IF(AND(Programme_Grunddaten!$A469="Geprüft",Programme_Grunddaten!AF469&lt;&gt;""),IF(Programme_Grunddaten!AF469="Ja",1,0),"")</f>
        <v/>
      </c>
      <c r="Y464" s="1" t="str">
        <f>IF(AND(Programme_Grunddaten!$A469="Geprüft",Programme_Grunddaten!AG469&lt;&gt;""),IF(Programme_Grunddaten!AG469="Ja",1,0),"")</f>
        <v/>
      </c>
      <c r="Z464" s="1" t="str">
        <f>IF(AND(Programme_Grunddaten!$A469="Geprüft",Programme_Grunddaten!AH469&lt;&gt;""),IF(Programme_Grunddaten!AH469="Ja",1,0),"")</f>
        <v/>
      </c>
      <c r="AA464" s="1" t="str">
        <f>IF(AND(Programme_Grunddaten!$A469="Geprüft",Programme_Grunddaten!AI469&lt;&gt;""),IF(Programme_Grunddaten!AI469="Ja",1,0),"")</f>
        <v/>
      </c>
      <c r="AB464" s="1" t="str">
        <f>IF(AND(Programme_Grunddaten!$A469="Geprüft",Programme_Grunddaten!AJ469&lt;&gt;""),IF(Programme_Grunddaten!AJ469="individuell programmierbar",1,0),"")</f>
        <v/>
      </c>
      <c r="AC464" s="1" t="str">
        <f>IF(AND(Programme_Grunddaten!$A469="Geprüft",Programme_Grunddaten!AK469&lt;&gt;""),IF(Programme_Grunddaten!AK469="Deutsch",0,IF(Programme_Grunddaten!AK469="Deutsch und Englisch",1,2)),"")</f>
        <v/>
      </c>
      <c r="AD464" s="1" t="str">
        <f>IF(AND(Programme_Grunddaten!$A469="Geprüft",Programme_Grunddaten!AL469&lt;&gt;""),IF(Programme_Grunddaten!AL469="Ja",1,0),"")</f>
        <v/>
      </c>
      <c r="AE464" s="1" t="str">
        <f>IF(AND(Programme_Grunddaten!$A469="Geprüft",Programme_Grunddaten!AM469&lt;&gt;""),IF(Programme_Grunddaten!AM469="Ja",1,0),"")</f>
        <v/>
      </c>
      <c r="AF464" s="1" t="str">
        <f>IF(AND(Programme_Grunddaten!$A469="Geprüft",Programme_Grunddaten!AN469&lt;&gt;""),IF(Programme_Grunddaten!AN469="Ja",1,0),"")</f>
        <v/>
      </c>
      <c r="AG464" s="1" t="str">
        <f>IF(AND(Programme_Grunddaten!$A469="Geprüft",Programme_Grunddaten!AO469&lt;&gt;""),IF(Programme_Grunddaten!AO469="Ja",1,0),"")</f>
        <v/>
      </c>
      <c r="AH464" s="1" t="str">
        <f>IF(AND(Programme_Grunddaten!$A469="Geprüft",Programme_Grunddaten!AP469&lt;&gt;""),IF(Programme_Grunddaten!AP469="Ja",1,0),"")</f>
        <v/>
      </c>
      <c r="AI464" s="1" t="str">
        <f>IF(AND(Programme_Grunddaten!$A469="Geprüft",Programme_Grunddaten!AQ469&lt;&gt;""),IF(Programme_Grunddaten!AQ469="Ja",1,0),"")</f>
        <v/>
      </c>
      <c r="AJ464" s="1" t="str">
        <f>IF(AND(Programme_Grunddaten!$A469="Geprüft",Programme_Grunddaten!AR469&lt;&gt;""),IF(Programme_Grunddaten!AR469="Ja",1,0),"")</f>
        <v/>
      </c>
      <c r="AK464" s="1" t="str">
        <f>IF(AND(Programme_Grunddaten!$A469="Geprüft",Programme_Grunddaten!AS469&lt;&gt;""),IF(Programme_Grunddaten!AS469="Ja",1,0),"")</f>
        <v/>
      </c>
      <c r="AL464" s="1" t="str">
        <f>IF(AND(Programme_Grunddaten!$A469="Geprüft",Programme_Grunddaten!AT469&lt;&gt;""),IF(Programme_Grunddaten!AT469="Ja",1,0),"")</f>
        <v/>
      </c>
      <c r="AM464" s="1" t="str">
        <f>IF(AND(Programme_Grunddaten!$A469="Geprüft",Programme_Grunddaten!AU469&lt;&gt;""),IF(Programme_Grunddaten!AU469="Ja",1,0),"")</f>
        <v/>
      </c>
      <c r="AN464" s="1" t="str">
        <f>IF(AND(Programme_Grunddaten!$A469="Geprüft",Programme_Grunddaten!AV469&lt;&gt;""),IF(Programme_Grunddaten!AV469="Ja",1,0),"")</f>
        <v/>
      </c>
    </row>
    <row r="465" spans="1:40" x14ac:dyDescent="0.3">
      <c r="A465" s="1" t="str">
        <f>IF(AND(Programme_Grunddaten!A470="Geprüft",Programme_Grunddaten!B470&lt;&gt;""),Programme_Grunddaten!B470,"")</f>
        <v/>
      </c>
      <c r="B465" s="1" t="str">
        <f>IF(AND(Programme_Grunddaten!$A470="Geprüft",Programme_Grunddaten!I470&lt;&gt;""),IF(Programme_Grunddaten!I470="Ja",1,0),"")</f>
        <v/>
      </c>
      <c r="C465" s="1" t="str">
        <f>IF(AND(Programme_Grunddaten!$A470="Geprüft",Programme_Grunddaten!J470&lt;&gt;""),IF(Programme_Grunddaten!J470="Ja",1,0),"")</f>
        <v/>
      </c>
      <c r="D465" s="1" t="str">
        <f>IF(AND(Programme_Grunddaten!$A470="Geprüft",Programme_Grunddaten!K470&lt;&gt;""),IF(Programme_Grunddaten!K470="Ja",1,0),"")</f>
        <v/>
      </c>
      <c r="E465" s="1" t="str">
        <f>IF(AND(Programme_Grunddaten!$A470="Geprüft",Programme_Grunddaten!L470&lt;&gt;""),IF(Programme_Grunddaten!L470="Abo / befristete Lizenz",1,0),"")</f>
        <v/>
      </c>
      <c r="F465" s="1" t="str">
        <f>IF(AND(Programme_Grunddaten!$A470="Geprüft",Programme_Grunddaten!M470&lt;&gt;""),IF(Programme_Grunddaten!M470="Ja",1,0),"")</f>
        <v/>
      </c>
      <c r="G465" s="1" t="str">
        <f>IF(AND(Programme_Grunddaten!$A470="Geprüft",Programme_Grunddaten!N470&lt;&gt;""),IF(Programme_Grunddaten!N470="Ja",1,0),"")</f>
        <v/>
      </c>
      <c r="H465" s="1" t="str">
        <f>IF(AND(Programme_Grunddaten!$A470="Geprüft",Programme_Grunddaten!O470&lt;&gt;""),IF(Programme_Grunddaten!O470="Deutschland",0,IF(Programme_Grunddaten!O470="EU",1,2)),"")</f>
        <v/>
      </c>
      <c r="I465" s="1" t="str">
        <f>IF(AND(Programme_Grunddaten!$A470="Geprüft",Programme_Grunddaten!P470&lt;&gt;""),IF(Programme_Grunddaten!P470="Ja",1,0),"")</f>
        <v/>
      </c>
      <c r="J465" s="1" t="str">
        <f>IF(AND(Programme_Grunddaten!$A470="Geprüft",Programme_Grunddaten!Q470&lt;&gt;""),IF(Programme_Grunddaten!Q470="geschlossenes System",1,0),"")</f>
        <v/>
      </c>
      <c r="K465" s="1" t="str">
        <f>IF(AND(Programme_Grunddaten!$A470="Geprüft",Programme_Grunddaten!R470&lt;&gt;""),IF(Programme_Grunddaten!R470="Ja",1,0),"")</f>
        <v/>
      </c>
      <c r="L465" s="1" t="str">
        <f>IF(AND(Programme_Grunddaten!$A470="Geprüft",Programme_Grunddaten!T470&lt;&gt;""),IF(Programme_Grunddaten!T470="Ja",1,0),"")</f>
        <v/>
      </c>
      <c r="M465" s="1" t="str">
        <f>IF(AND(Programme_Grunddaten!$A470="Geprüft",Programme_Grunddaten!U470&lt;&gt;""),IF(Programme_Grunddaten!U470="Ja",1,0),"")</f>
        <v/>
      </c>
      <c r="N465" s="1" t="str">
        <f>IF(AND(Programme_Grunddaten!$A470="Geprüft",Programme_Grunddaten!V470&lt;&gt;""),IF(Programme_Grunddaten!V470="Ja",1,0),"")</f>
        <v/>
      </c>
      <c r="O465" s="1" t="str">
        <f>IF(AND(Programme_Grunddaten!$A470="Geprüft",Programme_Grunddaten!W470&lt;&gt;""),IF(Programme_Grunddaten!W470="Ja",1,0),"")</f>
        <v/>
      </c>
      <c r="P465" s="1" t="str">
        <f>IF(AND(Programme_Grunddaten!$A470="Geprüft",Programme_Grunddaten!X470&lt;&gt;""),IF(Programme_Grunddaten!X470="Ja",1,0),"")</f>
        <v/>
      </c>
      <c r="Q465" s="1" t="str">
        <f>IF(AND(Programme_Grunddaten!$A470="Geprüft",Programme_Grunddaten!Y470&lt;&gt;""),IF(Programme_Grunddaten!Y470="Ja",1,0),"")</f>
        <v/>
      </c>
      <c r="R465" s="1" t="str">
        <f>IF(AND(Programme_Grunddaten!$A470="Geprüft",Programme_Grunddaten!Z470&lt;&gt;""),IF(Programme_Grunddaten!Z470="Ja",1,0),"")</f>
        <v/>
      </c>
      <c r="S465" s="1" t="str">
        <f>IF(AND(Programme_Grunddaten!$A470="Geprüft",Programme_Grunddaten!AA470&lt;&gt;""),IF(Programme_Grunddaten!AA470="monolithisch",1,0),"")</f>
        <v/>
      </c>
      <c r="T465" s="1" t="str">
        <f>IF(AND(Programme_Grunddaten!$A470="Geprüft",Programme_Grunddaten!AB470&lt;&gt;""),IF(Programme_Grunddaten!AB470="Ja",1,0),"")</f>
        <v/>
      </c>
      <c r="U465" s="1" t="str">
        <f>IF(AND(Programme_Grunddaten!$A470="Geprüft",Programme_Grunddaten!AC470&lt;&gt;""),IF(Programme_Grunddaten!AC470="Ja",1,0),"")</f>
        <v/>
      </c>
      <c r="V465" s="1" t="str">
        <f>IF(AND(Programme_Grunddaten!$A470="Geprüft",Programme_Grunddaten!AD470&lt;&gt;""),IF(Programme_Grunddaten!AD470="Ja",1,0),"")</f>
        <v/>
      </c>
      <c r="W465" s="1" t="str">
        <f>IF(AND(Programme_Grunddaten!$A470="Geprüft",Programme_Grunddaten!AE470&lt;&gt;""),IF(Programme_Grunddaten!AE470="Ja",1,0),"")</f>
        <v/>
      </c>
      <c r="X465" s="1" t="str">
        <f>IF(AND(Programme_Grunddaten!$A470="Geprüft",Programme_Grunddaten!AF470&lt;&gt;""),IF(Programme_Grunddaten!AF470="Ja",1,0),"")</f>
        <v/>
      </c>
      <c r="Y465" s="1" t="str">
        <f>IF(AND(Programme_Grunddaten!$A470="Geprüft",Programme_Grunddaten!AG470&lt;&gt;""),IF(Programme_Grunddaten!AG470="Ja",1,0),"")</f>
        <v/>
      </c>
      <c r="Z465" s="1" t="str">
        <f>IF(AND(Programme_Grunddaten!$A470="Geprüft",Programme_Grunddaten!AH470&lt;&gt;""),IF(Programme_Grunddaten!AH470="Ja",1,0),"")</f>
        <v/>
      </c>
      <c r="AA465" s="1" t="str">
        <f>IF(AND(Programme_Grunddaten!$A470="Geprüft",Programme_Grunddaten!AI470&lt;&gt;""),IF(Programme_Grunddaten!AI470="Ja",1,0),"")</f>
        <v/>
      </c>
      <c r="AB465" s="1" t="str">
        <f>IF(AND(Programme_Grunddaten!$A470="Geprüft",Programme_Grunddaten!AJ470&lt;&gt;""),IF(Programme_Grunddaten!AJ470="individuell programmierbar",1,0),"")</f>
        <v/>
      </c>
      <c r="AC465" s="1" t="str">
        <f>IF(AND(Programme_Grunddaten!$A470="Geprüft",Programme_Grunddaten!AK470&lt;&gt;""),IF(Programme_Grunddaten!AK470="Deutsch",0,IF(Programme_Grunddaten!AK470="Deutsch und Englisch",1,2)),"")</f>
        <v/>
      </c>
      <c r="AD465" s="1" t="str">
        <f>IF(AND(Programme_Grunddaten!$A470="Geprüft",Programme_Grunddaten!AL470&lt;&gt;""),IF(Programme_Grunddaten!AL470="Ja",1,0),"")</f>
        <v/>
      </c>
      <c r="AE465" s="1" t="str">
        <f>IF(AND(Programme_Grunddaten!$A470="Geprüft",Programme_Grunddaten!AM470&lt;&gt;""),IF(Programme_Grunddaten!AM470="Ja",1,0),"")</f>
        <v/>
      </c>
      <c r="AF465" s="1" t="str">
        <f>IF(AND(Programme_Grunddaten!$A470="Geprüft",Programme_Grunddaten!AN470&lt;&gt;""),IF(Programme_Grunddaten!AN470="Ja",1,0),"")</f>
        <v/>
      </c>
      <c r="AG465" s="1" t="str">
        <f>IF(AND(Programme_Grunddaten!$A470="Geprüft",Programme_Grunddaten!AO470&lt;&gt;""),IF(Programme_Grunddaten!AO470="Ja",1,0),"")</f>
        <v/>
      </c>
      <c r="AH465" s="1" t="str">
        <f>IF(AND(Programme_Grunddaten!$A470="Geprüft",Programme_Grunddaten!AP470&lt;&gt;""),IF(Programme_Grunddaten!AP470="Ja",1,0),"")</f>
        <v/>
      </c>
      <c r="AI465" s="1" t="str">
        <f>IF(AND(Programme_Grunddaten!$A470="Geprüft",Programme_Grunddaten!AQ470&lt;&gt;""),IF(Programme_Grunddaten!AQ470="Ja",1,0),"")</f>
        <v/>
      </c>
      <c r="AJ465" s="1" t="str">
        <f>IF(AND(Programme_Grunddaten!$A470="Geprüft",Programme_Grunddaten!AR470&lt;&gt;""),IF(Programme_Grunddaten!AR470="Ja",1,0),"")</f>
        <v/>
      </c>
      <c r="AK465" s="1" t="str">
        <f>IF(AND(Programme_Grunddaten!$A470="Geprüft",Programme_Grunddaten!AS470&lt;&gt;""),IF(Programme_Grunddaten!AS470="Ja",1,0),"")</f>
        <v/>
      </c>
      <c r="AL465" s="1" t="str">
        <f>IF(AND(Programme_Grunddaten!$A470="Geprüft",Programme_Grunddaten!AT470&lt;&gt;""),IF(Programme_Grunddaten!AT470="Ja",1,0),"")</f>
        <v/>
      </c>
      <c r="AM465" s="1" t="str">
        <f>IF(AND(Programme_Grunddaten!$A470="Geprüft",Programme_Grunddaten!AU470&lt;&gt;""),IF(Programme_Grunddaten!AU470="Ja",1,0),"")</f>
        <v/>
      </c>
      <c r="AN465" s="1" t="str">
        <f>IF(AND(Programme_Grunddaten!$A470="Geprüft",Programme_Grunddaten!AV470&lt;&gt;""),IF(Programme_Grunddaten!AV470="Ja",1,0),"")</f>
        <v/>
      </c>
    </row>
    <row r="466" spans="1:40" x14ac:dyDescent="0.3">
      <c r="A466" s="1" t="str">
        <f>IF(AND(Programme_Grunddaten!A471="Geprüft",Programme_Grunddaten!B471&lt;&gt;""),Programme_Grunddaten!B471,"")</f>
        <v/>
      </c>
      <c r="B466" s="1" t="str">
        <f>IF(AND(Programme_Grunddaten!$A471="Geprüft",Programme_Grunddaten!I471&lt;&gt;""),IF(Programme_Grunddaten!I471="Ja",1,0),"")</f>
        <v/>
      </c>
      <c r="C466" s="1" t="str">
        <f>IF(AND(Programme_Grunddaten!$A471="Geprüft",Programme_Grunddaten!J471&lt;&gt;""),IF(Programme_Grunddaten!J471="Ja",1,0),"")</f>
        <v/>
      </c>
      <c r="D466" s="1" t="str">
        <f>IF(AND(Programme_Grunddaten!$A471="Geprüft",Programme_Grunddaten!K471&lt;&gt;""),IF(Programme_Grunddaten!K471="Ja",1,0),"")</f>
        <v/>
      </c>
      <c r="E466" s="1" t="str">
        <f>IF(AND(Programme_Grunddaten!$A471="Geprüft",Programme_Grunddaten!L471&lt;&gt;""),IF(Programme_Grunddaten!L471="Abo / befristete Lizenz",1,0),"")</f>
        <v/>
      </c>
      <c r="F466" s="1" t="str">
        <f>IF(AND(Programme_Grunddaten!$A471="Geprüft",Programme_Grunddaten!M471&lt;&gt;""),IF(Programme_Grunddaten!M471="Ja",1,0),"")</f>
        <v/>
      </c>
      <c r="G466" s="1" t="str">
        <f>IF(AND(Programme_Grunddaten!$A471="Geprüft",Programme_Grunddaten!N471&lt;&gt;""),IF(Programme_Grunddaten!N471="Ja",1,0),"")</f>
        <v/>
      </c>
      <c r="H466" s="1" t="str">
        <f>IF(AND(Programme_Grunddaten!$A471="Geprüft",Programme_Grunddaten!O471&lt;&gt;""),IF(Programme_Grunddaten!O471="Deutschland",0,IF(Programme_Grunddaten!O471="EU",1,2)),"")</f>
        <v/>
      </c>
      <c r="I466" s="1" t="str">
        <f>IF(AND(Programme_Grunddaten!$A471="Geprüft",Programme_Grunddaten!P471&lt;&gt;""),IF(Programme_Grunddaten!P471="Ja",1,0),"")</f>
        <v/>
      </c>
      <c r="J466" s="1" t="str">
        <f>IF(AND(Programme_Grunddaten!$A471="Geprüft",Programme_Grunddaten!Q471&lt;&gt;""),IF(Programme_Grunddaten!Q471="geschlossenes System",1,0),"")</f>
        <v/>
      </c>
      <c r="K466" s="1" t="str">
        <f>IF(AND(Programme_Grunddaten!$A471="Geprüft",Programme_Grunddaten!R471&lt;&gt;""),IF(Programme_Grunddaten!R471="Ja",1,0),"")</f>
        <v/>
      </c>
      <c r="L466" s="1" t="str">
        <f>IF(AND(Programme_Grunddaten!$A471="Geprüft",Programme_Grunddaten!T471&lt;&gt;""),IF(Programme_Grunddaten!T471="Ja",1,0),"")</f>
        <v/>
      </c>
      <c r="M466" s="1" t="str">
        <f>IF(AND(Programme_Grunddaten!$A471="Geprüft",Programme_Grunddaten!U471&lt;&gt;""),IF(Programme_Grunddaten!U471="Ja",1,0),"")</f>
        <v/>
      </c>
      <c r="N466" s="1" t="str">
        <f>IF(AND(Programme_Grunddaten!$A471="Geprüft",Programme_Grunddaten!V471&lt;&gt;""),IF(Programme_Grunddaten!V471="Ja",1,0),"")</f>
        <v/>
      </c>
      <c r="O466" s="1" t="str">
        <f>IF(AND(Programme_Grunddaten!$A471="Geprüft",Programme_Grunddaten!W471&lt;&gt;""),IF(Programme_Grunddaten!W471="Ja",1,0),"")</f>
        <v/>
      </c>
      <c r="P466" s="1" t="str">
        <f>IF(AND(Programme_Grunddaten!$A471="Geprüft",Programme_Grunddaten!X471&lt;&gt;""),IF(Programme_Grunddaten!X471="Ja",1,0),"")</f>
        <v/>
      </c>
      <c r="Q466" s="1" t="str">
        <f>IF(AND(Programme_Grunddaten!$A471="Geprüft",Programme_Grunddaten!Y471&lt;&gt;""),IF(Programme_Grunddaten!Y471="Ja",1,0),"")</f>
        <v/>
      </c>
      <c r="R466" s="1" t="str">
        <f>IF(AND(Programme_Grunddaten!$A471="Geprüft",Programme_Grunddaten!Z471&lt;&gt;""),IF(Programme_Grunddaten!Z471="Ja",1,0),"")</f>
        <v/>
      </c>
      <c r="S466" s="1" t="str">
        <f>IF(AND(Programme_Grunddaten!$A471="Geprüft",Programme_Grunddaten!AA471&lt;&gt;""),IF(Programme_Grunddaten!AA471="monolithisch",1,0),"")</f>
        <v/>
      </c>
      <c r="T466" s="1" t="str">
        <f>IF(AND(Programme_Grunddaten!$A471="Geprüft",Programme_Grunddaten!AB471&lt;&gt;""),IF(Programme_Grunddaten!AB471="Ja",1,0),"")</f>
        <v/>
      </c>
      <c r="U466" s="1" t="str">
        <f>IF(AND(Programme_Grunddaten!$A471="Geprüft",Programme_Grunddaten!AC471&lt;&gt;""),IF(Programme_Grunddaten!AC471="Ja",1,0),"")</f>
        <v/>
      </c>
      <c r="V466" s="1" t="str">
        <f>IF(AND(Programme_Grunddaten!$A471="Geprüft",Programme_Grunddaten!AD471&lt;&gt;""),IF(Programme_Grunddaten!AD471="Ja",1,0),"")</f>
        <v/>
      </c>
      <c r="W466" s="1" t="str">
        <f>IF(AND(Programme_Grunddaten!$A471="Geprüft",Programme_Grunddaten!AE471&lt;&gt;""),IF(Programme_Grunddaten!AE471="Ja",1,0),"")</f>
        <v/>
      </c>
      <c r="X466" s="1" t="str">
        <f>IF(AND(Programme_Grunddaten!$A471="Geprüft",Programme_Grunddaten!AF471&lt;&gt;""),IF(Programme_Grunddaten!AF471="Ja",1,0),"")</f>
        <v/>
      </c>
      <c r="Y466" s="1" t="str">
        <f>IF(AND(Programme_Grunddaten!$A471="Geprüft",Programme_Grunddaten!AG471&lt;&gt;""),IF(Programme_Grunddaten!AG471="Ja",1,0),"")</f>
        <v/>
      </c>
      <c r="Z466" s="1" t="str">
        <f>IF(AND(Programme_Grunddaten!$A471="Geprüft",Programme_Grunddaten!AH471&lt;&gt;""),IF(Programme_Grunddaten!AH471="Ja",1,0),"")</f>
        <v/>
      </c>
      <c r="AA466" s="1" t="str">
        <f>IF(AND(Programme_Grunddaten!$A471="Geprüft",Programme_Grunddaten!AI471&lt;&gt;""),IF(Programme_Grunddaten!AI471="Ja",1,0),"")</f>
        <v/>
      </c>
      <c r="AB466" s="1" t="str">
        <f>IF(AND(Programme_Grunddaten!$A471="Geprüft",Programme_Grunddaten!AJ471&lt;&gt;""),IF(Programme_Grunddaten!AJ471="individuell programmierbar",1,0),"")</f>
        <v/>
      </c>
      <c r="AC466" s="1" t="str">
        <f>IF(AND(Programme_Grunddaten!$A471="Geprüft",Programme_Grunddaten!AK471&lt;&gt;""),IF(Programme_Grunddaten!AK471="Deutsch",0,IF(Programme_Grunddaten!AK471="Deutsch und Englisch",1,2)),"")</f>
        <v/>
      </c>
      <c r="AD466" s="1" t="str">
        <f>IF(AND(Programme_Grunddaten!$A471="Geprüft",Programme_Grunddaten!AL471&lt;&gt;""),IF(Programme_Grunddaten!AL471="Ja",1,0),"")</f>
        <v/>
      </c>
      <c r="AE466" s="1" t="str">
        <f>IF(AND(Programme_Grunddaten!$A471="Geprüft",Programme_Grunddaten!AM471&lt;&gt;""),IF(Programme_Grunddaten!AM471="Ja",1,0),"")</f>
        <v/>
      </c>
      <c r="AF466" s="1" t="str">
        <f>IF(AND(Programme_Grunddaten!$A471="Geprüft",Programme_Grunddaten!AN471&lt;&gt;""),IF(Programme_Grunddaten!AN471="Ja",1,0),"")</f>
        <v/>
      </c>
      <c r="AG466" s="1" t="str">
        <f>IF(AND(Programme_Grunddaten!$A471="Geprüft",Programme_Grunddaten!AO471&lt;&gt;""),IF(Programme_Grunddaten!AO471="Ja",1,0),"")</f>
        <v/>
      </c>
      <c r="AH466" s="1" t="str">
        <f>IF(AND(Programme_Grunddaten!$A471="Geprüft",Programme_Grunddaten!AP471&lt;&gt;""),IF(Programme_Grunddaten!AP471="Ja",1,0),"")</f>
        <v/>
      </c>
      <c r="AI466" s="1" t="str">
        <f>IF(AND(Programme_Grunddaten!$A471="Geprüft",Programme_Grunddaten!AQ471&lt;&gt;""),IF(Programme_Grunddaten!AQ471="Ja",1,0),"")</f>
        <v/>
      </c>
      <c r="AJ466" s="1" t="str">
        <f>IF(AND(Programme_Grunddaten!$A471="Geprüft",Programme_Grunddaten!AR471&lt;&gt;""),IF(Programme_Grunddaten!AR471="Ja",1,0),"")</f>
        <v/>
      </c>
      <c r="AK466" s="1" t="str">
        <f>IF(AND(Programme_Grunddaten!$A471="Geprüft",Programme_Grunddaten!AS471&lt;&gt;""),IF(Programme_Grunddaten!AS471="Ja",1,0),"")</f>
        <v/>
      </c>
      <c r="AL466" s="1" t="str">
        <f>IF(AND(Programme_Grunddaten!$A471="Geprüft",Programme_Grunddaten!AT471&lt;&gt;""),IF(Programme_Grunddaten!AT471="Ja",1,0),"")</f>
        <v/>
      </c>
      <c r="AM466" s="1" t="str">
        <f>IF(AND(Programme_Grunddaten!$A471="Geprüft",Programme_Grunddaten!AU471&lt;&gt;""),IF(Programme_Grunddaten!AU471="Ja",1,0),"")</f>
        <v/>
      </c>
      <c r="AN466" s="1" t="str">
        <f>IF(AND(Programme_Grunddaten!$A471="Geprüft",Programme_Grunddaten!AV471&lt;&gt;""),IF(Programme_Grunddaten!AV471="Ja",1,0),"")</f>
        <v/>
      </c>
    </row>
    <row r="467" spans="1:40" x14ac:dyDescent="0.3">
      <c r="A467" s="1" t="str">
        <f>IF(AND(Programme_Grunddaten!A472="Geprüft",Programme_Grunddaten!B472&lt;&gt;""),Programme_Grunddaten!B472,"")</f>
        <v/>
      </c>
      <c r="B467" s="1" t="str">
        <f>IF(AND(Programme_Grunddaten!$A472="Geprüft",Programme_Grunddaten!I472&lt;&gt;""),IF(Programme_Grunddaten!I472="Ja",1,0),"")</f>
        <v/>
      </c>
      <c r="C467" s="1" t="str">
        <f>IF(AND(Programme_Grunddaten!$A472="Geprüft",Programme_Grunddaten!J472&lt;&gt;""),IF(Programme_Grunddaten!J472="Ja",1,0),"")</f>
        <v/>
      </c>
      <c r="D467" s="1" t="str">
        <f>IF(AND(Programme_Grunddaten!$A472="Geprüft",Programme_Grunddaten!K472&lt;&gt;""),IF(Programme_Grunddaten!K472="Ja",1,0),"")</f>
        <v/>
      </c>
      <c r="E467" s="1" t="str">
        <f>IF(AND(Programme_Grunddaten!$A472="Geprüft",Programme_Grunddaten!L472&lt;&gt;""),IF(Programme_Grunddaten!L472="Abo / befristete Lizenz",1,0),"")</f>
        <v/>
      </c>
      <c r="F467" s="1" t="str">
        <f>IF(AND(Programme_Grunddaten!$A472="Geprüft",Programme_Grunddaten!M472&lt;&gt;""),IF(Programme_Grunddaten!M472="Ja",1,0),"")</f>
        <v/>
      </c>
      <c r="G467" s="1" t="str">
        <f>IF(AND(Programme_Grunddaten!$A472="Geprüft",Programme_Grunddaten!N472&lt;&gt;""),IF(Programme_Grunddaten!N472="Ja",1,0),"")</f>
        <v/>
      </c>
      <c r="H467" s="1" t="str">
        <f>IF(AND(Programme_Grunddaten!$A472="Geprüft",Programme_Grunddaten!O472&lt;&gt;""),IF(Programme_Grunddaten!O472="Deutschland",0,IF(Programme_Grunddaten!O472="EU",1,2)),"")</f>
        <v/>
      </c>
      <c r="I467" s="1" t="str">
        <f>IF(AND(Programme_Grunddaten!$A472="Geprüft",Programme_Grunddaten!P472&lt;&gt;""),IF(Programme_Grunddaten!P472="Ja",1,0),"")</f>
        <v/>
      </c>
      <c r="J467" s="1" t="str">
        <f>IF(AND(Programme_Grunddaten!$A472="Geprüft",Programme_Grunddaten!Q472&lt;&gt;""),IF(Programme_Grunddaten!Q472="geschlossenes System",1,0),"")</f>
        <v/>
      </c>
      <c r="K467" s="1" t="str">
        <f>IF(AND(Programme_Grunddaten!$A472="Geprüft",Programme_Grunddaten!R472&lt;&gt;""),IF(Programme_Grunddaten!R472="Ja",1,0),"")</f>
        <v/>
      </c>
      <c r="L467" s="1" t="str">
        <f>IF(AND(Programme_Grunddaten!$A472="Geprüft",Programme_Grunddaten!T472&lt;&gt;""),IF(Programme_Grunddaten!T472="Ja",1,0),"")</f>
        <v/>
      </c>
      <c r="M467" s="1" t="str">
        <f>IF(AND(Programme_Grunddaten!$A472="Geprüft",Programme_Grunddaten!U472&lt;&gt;""),IF(Programme_Grunddaten!U472="Ja",1,0),"")</f>
        <v/>
      </c>
      <c r="N467" s="1" t="str">
        <f>IF(AND(Programme_Grunddaten!$A472="Geprüft",Programme_Grunddaten!V472&lt;&gt;""),IF(Programme_Grunddaten!V472="Ja",1,0),"")</f>
        <v/>
      </c>
      <c r="O467" s="1" t="str">
        <f>IF(AND(Programme_Grunddaten!$A472="Geprüft",Programme_Grunddaten!W472&lt;&gt;""),IF(Programme_Grunddaten!W472="Ja",1,0),"")</f>
        <v/>
      </c>
      <c r="P467" s="1" t="str">
        <f>IF(AND(Programme_Grunddaten!$A472="Geprüft",Programme_Grunddaten!X472&lt;&gt;""),IF(Programme_Grunddaten!X472="Ja",1,0),"")</f>
        <v/>
      </c>
      <c r="Q467" s="1" t="str">
        <f>IF(AND(Programme_Grunddaten!$A472="Geprüft",Programme_Grunddaten!Y472&lt;&gt;""),IF(Programme_Grunddaten!Y472="Ja",1,0),"")</f>
        <v/>
      </c>
      <c r="R467" s="1" t="str">
        <f>IF(AND(Programme_Grunddaten!$A472="Geprüft",Programme_Grunddaten!Z472&lt;&gt;""),IF(Programme_Grunddaten!Z472="Ja",1,0),"")</f>
        <v/>
      </c>
      <c r="S467" s="1" t="str">
        <f>IF(AND(Programme_Grunddaten!$A472="Geprüft",Programme_Grunddaten!AA472&lt;&gt;""),IF(Programme_Grunddaten!AA472="monolithisch",1,0),"")</f>
        <v/>
      </c>
      <c r="T467" s="1" t="str">
        <f>IF(AND(Programme_Grunddaten!$A472="Geprüft",Programme_Grunddaten!AB472&lt;&gt;""),IF(Programme_Grunddaten!AB472="Ja",1,0),"")</f>
        <v/>
      </c>
      <c r="U467" s="1" t="str">
        <f>IF(AND(Programme_Grunddaten!$A472="Geprüft",Programme_Grunddaten!AC472&lt;&gt;""),IF(Programme_Grunddaten!AC472="Ja",1,0),"")</f>
        <v/>
      </c>
      <c r="V467" s="1" t="str">
        <f>IF(AND(Programme_Grunddaten!$A472="Geprüft",Programme_Grunddaten!AD472&lt;&gt;""),IF(Programme_Grunddaten!AD472="Ja",1,0),"")</f>
        <v/>
      </c>
      <c r="W467" s="1" t="str">
        <f>IF(AND(Programme_Grunddaten!$A472="Geprüft",Programme_Grunddaten!AE472&lt;&gt;""),IF(Programme_Grunddaten!AE472="Ja",1,0),"")</f>
        <v/>
      </c>
      <c r="X467" s="1" t="str">
        <f>IF(AND(Programme_Grunddaten!$A472="Geprüft",Programme_Grunddaten!AF472&lt;&gt;""),IF(Programme_Grunddaten!AF472="Ja",1,0),"")</f>
        <v/>
      </c>
      <c r="Y467" s="1" t="str">
        <f>IF(AND(Programme_Grunddaten!$A472="Geprüft",Programme_Grunddaten!AG472&lt;&gt;""),IF(Programme_Grunddaten!AG472="Ja",1,0),"")</f>
        <v/>
      </c>
      <c r="Z467" s="1" t="str">
        <f>IF(AND(Programme_Grunddaten!$A472="Geprüft",Programme_Grunddaten!AH472&lt;&gt;""),IF(Programme_Grunddaten!AH472="Ja",1,0),"")</f>
        <v/>
      </c>
      <c r="AA467" s="1" t="str">
        <f>IF(AND(Programme_Grunddaten!$A472="Geprüft",Programme_Grunddaten!AI472&lt;&gt;""),IF(Programme_Grunddaten!AI472="Ja",1,0),"")</f>
        <v/>
      </c>
      <c r="AB467" s="1" t="str">
        <f>IF(AND(Programme_Grunddaten!$A472="Geprüft",Programme_Grunddaten!AJ472&lt;&gt;""),IF(Programme_Grunddaten!AJ472="individuell programmierbar",1,0),"")</f>
        <v/>
      </c>
      <c r="AC467" s="1" t="str">
        <f>IF(AND(Programme_Grunddaten!$A472="Geprüft",Programme_Grunddaten!AK472&lt;&gt;""),IF(Programme_Grunddaten!AK472="Deutsch",0,IF(Programme_Grunddaten!AK472="Deutsch und Englisch",1,2)),"")</f>
        <v/>
      </c>
      <c r="AD467" s="1" t="str">
        <f>IF(AND(Programme_Grunddaten!$A472="Geprüft",Programme_Grunddaten!AL472&lt;&gt;""),IF(Programme_Grunddaten!AL472="Ja",1,0),"")</f>
        <v/>
      </c>
      <c r="AE467" s="1" t="str">
        <f>IF(AND(Programme_Grunddaten!$A472="Geprüft",Programme_Grunddaten!AM472&lt;&gt;""),IF(Programme_Grunddaten!AM472="Ja",1,0),"")</f>
        <v/>
      </c>
      <c r="AF467" s="1" t="str">
        <f>IF(AND(Programme_Grunddaten!$A472="Geprüft",Programme_Grunddaten!AN472&lt;&gt;""),IF(Programme_Grunddaten!AN472="Ja",1,0),"")</f>
        <v/>
      </c>
      <c r="AG467" s="1" t="str">
        <f>IF(AND(Programme_Grunddaten!$A472="Geprüft",Programme_Grunddaten!AO472&lt;&gt;""),IF(Programme_Grunddaten!AO472="Ja",1,0),"")</f>
        <v/>
      </c>
      <c r="AH467" s="1" t="str">
        <f>IF(AND(Programme_Grunddaten!$A472="Geprüft",Programme_Grunddaten!AP472&lt;&gt;""),IF(Programme_Grunddaten!AP472="Ja",1,0),"")</f>
        <v/>
      </c>
      <c r="AI467" s="1" t="str">
        <f>IF(AND(Programme_Grunddaten!$A472="Geprüft",Programme_Grunddaten!AQ472&lt;&gt;""),IF(Programme_Grunddaten!AQ472="Ja",1,0),"")</f>
        <v/>
      </c>
      <c r="AJ467" s="1" t="str">
        <f>IF(AND(Programme_Grunddaten!$A472="Geprüft",Programme_Grunddaten!AR472&lt;&gt;""),IF(Programme_Grunddaten!AR472="Ja",1,0),"")</f>
        <v/>
      </c>
      <c r="AK467" s="1" t="str">
        <f>IF(AND(Programme_Grunddaten!$A472="Geprüft",Programme_Grunddaten!AS472&lt;&gt;""),IF(Programme_Grunddaten!AS472="Ja",1,0),"")</f>
        <v/>
      </c>
      <c r="AL467" s="1" t="str">
        <f>IF(AND(Programme_Grunddaten!$A472="Geprüft",Programme_Grunddaten!AT472&lt;&gt;""),IF(Programme_Grunddaten!AT472="Ja",1,0),"")</f>
        <v/>
      </c>
      <c r="AM467" s="1" t="str">
        <f>IF(AND(Programme_Grunddaten!$A472="Geprüft",Programme_Grunddaten!AU472&lt;&gt;""),IF(Programme_Grunddaten!AU472="Ja",1,0),"")</f>
        <v/>
      </c>
      <c r="AN467" s="1" t="str">
        <f>IF(AND(Programme_Grunddaten!$A472="Geprüft",Programme_Grunddaten!AV472&lt;&gt;""),IF(Programme_Grunddaten!AV472="Ja",1,0),"")</f>
        <v/>
      </c>
    </row>
    <row r="468" spans="1:40" x14ac:dyDescent="0.3">
      <c r="A468" s="1" t="str">
        <f>IF(AND(Programme_Grunddaten!A473="Geprüft",Programme_Grunddaten!B473&lt;&gt;""),Programme_Grunddaten!B473,"")</f>
        <v/>
      </c>
      <c r="B468" s="1" t="str">
        <f>IF(AND(Programme_Grunddaten!$A473="Geprüft",Programme_Grunddaten!I473&lt;&gt;""),IF(Programme_Grunddaten!I473="Ja",1,0),"")</f>
        <v/>
      </c>
      <c r="C468" s="1" t="str">
        <f>IF(AND(Programme_Grunddaten!$A473="Geprüft",Programme_Grunddaten!J473&lt;&gt;""),IF(Programme_Grunddaten!J473="Ja",1,0),"")</f>
        <v/>
      </c>
      <c r="D468" s="1" t="str">
        <f>IF(AND(Programme_Grunddaten!$A473="Geprüft",Programme_Grunddaten!K473&lt;&gt;""),IF(Programme_Grunddaten!K473="Ja",1,0),"")</f>
        <v/>
      </c>
      <c r="E468" s="1" t="str">
        <f>IF(AND(Programme_Grunddaten!$A473="Geprüft",Programme_Grunddaten!L473&lt;&gt;""),IF(Programme_Grunddaten!L473="Abo / befristete Lizenz",1,0),"")</f>
        <v/>
      </c>
      <c r="F468" s="1" t="str">
        <f>IF(AND(Programme_Grunddaten!$A473="Geprüft",Programme_Grunddaten!M473&lt;&gt;""),IF(Programme_Grunddaten!M473="Ja",1,0),"")</f>
        <v/>
      </c>
      <c r="G468" s="1" t="str">
        <f>IF(AND(Programme_Grunddaten!$A473="Geprüft",Programme_Grunddaten!N473&lt;&gt;""),IF(Programme_Grunddaten!N473="Ja",1,0),"")</f>
        <v/>
      </c>
      <c r="H468" s="1" t="str">
        <f>IF(AND(Programme_Grunddaten!$A473="Geprüft",Programme_Grunddaten!O473&lt;&gt;""),IF(Programme_Grunddaten!O473="Deutschland",0,IF(Programme_Grunddaten!O473="EU",1,2)),"")</f>
        <v/>
      </c>
      <c r="I468" s="1" t="str">
        <f>IF(AND(Programme_Grunddaten!$A473="Geprüft",Programme_Grunddaten!P473&lt;&gt;""),IF(Programme_Grunddaten!P473="Ja",1,0),"")</f>
        <v/>
      </c>
      <c r="J468" s="1" t="str">
        <f>IF(AND(Programme_Grunddaten!$A473="Geprüft",Programme_Grunddaten!Q473&lt;&gt;""),IF(Programme_Grunddaten!Q473="geschlossenes System",1,0),"")</f>
        <v/>
      </c>
      <c r="K468" s="1" t="str">
        <f>IF(AND(Programme_Grunddaten!$A473="Geprüft",Programme_Grunddaten!R473&lt;&gt;""),IF(Programme_Grunddaten!R473="Ja",1,0),"")</f>
        <v/>
      </c>
      <c r="L468" s="1" t="str">
        <f>IF(AND(Programme_Grunddaten!$A473="Geprüft",Programme_Grunddaten!T473&lt;&gt;""),IF(Programme_Grunddaten!T473="Ja",1,0),"")</f>
        <v/>
      </c>
      <c r="M468" s="1" t="str">
        <f>IF(AND(Programme_Grunddaten!$A473="Geprüft",Programme_Grunddaten!U473&lt;&gt;""),IF(Programme_Grunddaten!U473="Ja",1,0),"")</f>
        <v/>
      </c>
      <c r="N468" s="1" t="str">
        <f>IF(AND(Programme_Grunddaten!$A473="Geprüft",Programme_Grunddaten!V473&lt;&gt;""),IF(Programme_Grunddaten!V473="Ja",1,0),"")</f>
        <v/>
      </c>
      <c r="O468" s="1" t="str">
        <f>IF(AND(Programme_Grunddaten!$A473="Geprüft",Programme_Grunddaten!W473&lt;&gt;""),IF(Programme_Grunddaten!W473="Ja",1,0),"")</f>
        <v/>
      </c>
      <c r="P468" s="1" t="str">
        <f>IF(AND(Programme_Grunddaten!$A473="Geprüft",Programme_Grunddaten!X473&lt;&gt;""),IF(Programme_Grunddaten!X473="Ja",1,0),"")</f>
        <v/>
      </c>
      <c r="Q468" s="1" t="str">
        <f>IF(AND(Programme_Grunddaten!$A473="Geprüft",Programme_Grunddaten!Y473&lt;&gt;""),IF(Programme_Grunddaten!Y473="Ja",1,0),"")</f>
        <v/>
      </c>
      <c r="R468" s="1" t="str">
        <f>IF(AND(Programme_Grunddaten!$A473="Geprüft",Programme_Grunddaten!Z473&lt;&gt;""),IF(Programme_Grunddaten!Z473="Ja",1,0),"")</f>
        <v/>
      </c>
      <c r="S468" s="1" t="str">
        <f>IF(AND(Programme_Grunddaten!$A473="Geprüft",Programme_Grunddaten!AA473&lt;&gt;""),IF(Programme_Grunddaten!AA473="monolithisch",1,0),"")</f>
        <v/>
      </c>
      <c r="T468" s="1" t="str">
        <f>IF(AND(Programme_Grunddaten!$A473="Geprüft",Programme_Grunddaten!AB473&lt;&gt;""),IF(Programme_Grunddaten!AB473="Ja",1,0),"")</f>
        <v/>
      </c>
      <c r="U468" s="1" t="str">
        <f>IF(AND(Programme_Grunddaten!$A473="Geprüft",Programme_Grunddaten!AC473&lt;&gt;""),IF(Programme_Grunddaten!AC473="Ja",1,0),"")</f>
        <v/>
      </c>
      <c r="V468" s="1" t="str">
        <f>IF(AND(Programme_Grunddaten!$A473="Geprüft",Programme_Grunddaten!AD473&lt;&gt;""),IF(Programme_Grunddaten!AD473="Ja",1,0),"")</f>
        <v/>
      </c>
      <c r="W468" s="1" t="str">
        <f>IF(AND(Programme_Grunddaten!$A473="Geprüft",Programme_Grunddaten!AE473&lt;&gt;""),IF(Programme_Grunddaten!AE473="Ja",1,0),"")</f>
        <v/>
      </c>
      <c r="X468" s="1" t="str">
        <f>IF(AND(Programme_Grunddaten!$A473="Geprüft",Programme_Grunddaten!AF473&lt;&gt;""),IF(Programme_Grunddaten!AF473="Ja",1,0),"")</f>
        <v/>
      </c>
      <c r="Y468" s="1" t="str">
        <f>IF(AND(Programme_Grunddaten!$A473="Geprüft",Programme_Grunddaten!AG473&lt;&gt;""),IF(Programme_Grunddaten!AG473="Ja",1,0),"")</f>
        <v/>
      </c>
      <c r="Z468" s="1" t="str">
        <f>IF(AND(Programme_Grunddaten!$A473="Geprüft",Programme_Grunddaten!AH473&lt;&gt;""),IF(Programme_Grunddaten!AH473="Ja",1,0),"")</f>
        <v/>
      </c>
      <c r="AA468" s="1" t="str">
        <f>IF(AND(Programme_Grunddaten!$A473="Geprüft",Programme_Grunddaten!AI473&lt;&gt;""),IF(Programme_Grunddaten!AI473="Ja",1,0),"")</f>
        <v/>
      </c>
      <c r="AB468" s="1" t="str">
        <f>IF(AND(Programme_Grunddaten!$A473="Geprüft",Programme_Grunddaten!AJ473&lt;&gt;""),IF(Programme_Grunddaten!AJ473="individuell programmierbar",1,0),"")</f>
        <v/>
      </c>
      <c r="AC468" s="1" t="str">
        <f>IF(AND(Programme_Grunddaten!$A473="Geprüft",Programme_Grunddaten!AK473&lt;&gt;""),IF(Programme_Grunddaten!AK473="Deutsch",0,IF(Programme_Grunddaten!AK473="Deutsch und Englisch",1,2)),"")</f>
        <v/>
      </c>
      <c r="AD468" s="1" t="str">
        <f>IF(AND(Programme_Grunddaten!$A473="Geprüft",Programme_Grunddaten!AL473&lt;&gt;""),IF(Programme_Grunddaten!AL473="Ja",1,0),"")</f>
        <v/>
      </c>
      <c r="AE468" s="1" t="str">
        <f>IF(AND(Programme_Grunddaten!$A473="Geprüft",Programme_Grunddaten!AM473&lt;&gt;""),IF(Programme_Grunddaten!AM473="Ja",1,0),"")</f>
        <v/>
      </c>
      <c r="AF468" s="1" t="str">
        <f>IF(AND(Programme_Grunddaten!$A473="Geprüft",Programme_Grunddaten!AN473&lt;&gt;""),IF(Programme_Grunddaten!AN473="Ja",1,0),"")</f>
        <v/>
      </c>
      <c r="AG468" s="1" t="str">
        <f>IF(AND(Programme_Grunddaten!$A473="Geprüft",Programme_Grunddaten!AO473&lt;&gt;""),IF(Programme_Grunddaten!AO473="Ja",1,0),"")</f>
        <v/>
      </c>
      <c r="AH468" s="1" t="str">
        <f>IF(AND(Programme_Grunddaten!$A473="Geprüft",Programme_Grunddaten!AP473&lt;&gt;""),IF(Programme_Grunddaten!AP473="Ja",1,0),"")</f>
        <v/>
      </c>
      <c r="AI468" s="1" t="str">
        <f>IF(AND(Programme_Grunddaten!$A473="Geprüft",Programme_Grunddaten!AQ473&lt;&gt;""),IF(Programme_Grunddaten!AQ473="Ja",1,0),"")</f>
        <v/>
      </c>
      <c r="AJ468" s="1" t="str">
        <f>IF(AND(Programme_Grunddaten!$A473="Geprüft",Programme_Grunddaten!AR473&lt;&gt;""),IF(Programme_Grunddaten!AR473="Ja",1,0),"")</f>
        <v/>
      </c>
      <c r="AK468" s="1" t="str">
        <f>IF(AND(Programme_Grunddaten!$A473="Geprüft",Programme_Grunddaten!AS473&lt;&gt;""),IF(Programme_Grunddaten!AS473="Ja",1,0),"")</f>
        <v/>
      </c>
      <c r="AL468" s="1" t="str">
        <f>IF(AND(Programme_Grunddaten!$A473="Geprüft",Programme_Grunddaten!AT473&lt;&gt;""),IF(Programme_Grunddaten!AT473="Ja",1,0),"")</f>
        <v/>
      </c>
      <c r="AM468" s="1" t="str">
        <f>IF(AND(Programme_Grunddaten!$A473="Geprüft",Programme_Grunddaten!AU473&lt;&gt;""),IF(Programme_Grunddaten!AU473="Ja",1,0),"")</f>
        <v/>
      </c>
      <c r="AN468" s="1" t="str">
        <f>IF(AND(Programme_Grunddaten!$A473="Geprüft",Programme_Grunddaten!AV473&lt;&gt;""),IF(Programme_Grunddaten!AV473="Ja",1,0),"")</f>
        <v/>
      </c>
    </row>
    <row r="469" spans="1:40" x14ac:dyDescent="0.3">
      <c r="A469" s="1" t="str">
        <f>IF(AND(Programme_Grunddaten!A474="Geprüft",Programme_Grunddaten!B474&lt;&gt;""),Programme_Grunddaten!B474,"")</f>
        <v/>
      </c>
      <c r="B469" s="1" t="str">
        <f>IF(AND(Programme_Grunddaten!$A474="Geprüft",Programme_Grunddaten!I474&lt;&gt;""),IF(Programme_Grunddaten!I474="Ja",1,0),"")</f>
        <v/>
      </c>
      <c r="C469" s="1" t="str">
        <f>IF(AND(Programme_Grunddaten!$A474="Geprüft",Programme_Grunddaten!J474&lt;&gt;""),IF(Programme_Grunddaten!J474="Ja",1,0),"")</f>
        <v/>
      </c>
      <c r="D469" s="1" t="str">
        <f>IF(AND(Programme_Grunddaten!$A474="Geprüft",Programme_Grunddaten!K474&lt;&gt;""),IF(Programme_Grunddaten!K474="Ja",1,0),"")</f>
        <v/>
      </c>
      <c r="E469" s="1" t="str">
        <f>IF(AND(Programme_Grunddaten!$A474="Geprüft",Programme_Grunddaten!L474&lt;&gt;""),IF(Programme_Grunddaten!L474="Abo / befristete Lizenz",1,0),"")</f>
        <v/>
      </c>
      <c r="F469" s="1" t="str">
        <f>IF(AND(Programme_Grunddaten!$A474="Geprüft",Programme_Grunddaten!M474&lt;&gt;""),IF(Programme_Grunddaten!M474="Ja",1,0),"")</f>
        <v/>
      </c>
      <c r="G469" s="1" t="str">
        <f>IF(AND(Programme_Grunddaten!$A474="Geprüft",Programme_Grunddaten!N474&lt;&gt;""),IF(Programme_Grunddaten!N474="Ja",1,0),"")</f>
        <v/>
      </c>
      <c r="H469" s="1" t="str">
        <f>IF(AND(Programme_Grunddaten!$A474="Geprüft",Programme_Grunddaten!O474&lt;&gt;""),IF(Programme_Grunddaten!O474="Deutschland",0,IF(Programme_Grunddaten!O474="EU",1,2)),"")</f>
        <v/>
      </c>
      <c r="I469" s="1" t="str">
        <f>IF(AND(Programme_Grunddaten!$A474="Geprüft",Programme_Grunddaten!P474&lt;&gt;""),IF(Programme_Grunddaten!P474="Ja",1,0),"")</f>
        <v/>
      </c>
      <c r="J469" s="1" t="str">
        <f>IF(AND(Programme_Grunddaten!$A474="Geprüft",Programme_Grunddaten!Q474&lt;&gt;""),IF(Programme_Grunddaten!Q474="geschlossenes System",1,0),"")</f>
        <v/>
      </c>
      <c r="K469" s="1" t="str">
        <f>IF(AND(Programme_Grunddaten!$A474="Geprüft",Programme_Grunddaten!R474&lt;&gt;""),IF(Programme_Grunddaten!R474="Ja",1,0),"")</f>
        <v/>
      </c>
      <c r="L469" s="1" t="str">
        <f>IF(AND(Programme_Grunddaten!$A474="Geprüft",Programme_Grunddaten!T474&lt;&gt;""),IF(Programme_Grunddaten!T474="Ja",1,0),"")</f>
        <v/>
      </c>
      <c r="M469" s="1" t="str">
        <f>IF(AND(Programme_Grunddaten!$A474="Geprüft",Programme_Grunddaten!U474&lt;&gt;""),IF(Programme_Grunddaten!U474="Ja",1,0),"")</f>
        <v/>
      </c>
      <c r="N469" s="1" t="str">
        <f>IF(AND(Programme_Grunddaten!$A474="Geprüft",Programme_Grunddaten!V474&lt;&gt;""),IF(Programme_Grunddaten!V474="Ja",1,0),"")</f>
        <v/>
      </c>
      <c r="O469" s="1" t="str">
        <f>IF(AND(Programme_Grunddaten!$A474="Geprüft",Programme_Grunddaten!W474&lt;&gt;""),IF(Programme_Grunddaten!W474="Ja",1,0),"")</f>
        <v/>
      </c>
      <c r="P469" s="1" t="str">
        <f>IF(AND(Programme_Grunddaten!$A474="Geprüft",Programme_Grunddaten!X474&lt;&gt;""),IF(Programme_Grunddaten!X474="Ja",1,0),"")</f>
        <v/>
      </c>
      <c r="Q469" s="1" t="str">
        <f>IF(AND(Programme_Grunddaten!$A474="Geprüft",Programme_Grunddaten!Y474&lt;&gt;""),IF(Programme_Grunddaten!Y474="Ja",1,0),"")</f>
        <v/>
      </c>
      <c r="R469" s="1" t="str">
        <f>IF(AND(Programme_Grunddaten!$A474="Geprüft",Programme_Grunddaten!Z474&lt;&gt;""),IF(Programme_Grunddaten!Z474="Ja",1,0),"")</f>
        <v/>
      </c>
      <c r="S469" s="1" t="str">
        <f>IF(AND(Programme_Grunddaten!$A474="Geprüft",Programme_Grunddaten!AA474&lt;&gt;""),IF(Programme_Grunddaten!AA474="monolithisch",1,0),"")</f>
        <v/>
      </c>
      <c r="T469" s="1" t="str">
        <f>IF(AND(Programme_Grunddaten!$A474="Geprüft",Programme_Grunddaten!AB474&lt;&gt;""),IF(Programme_Grunddaten!AB474="Ja",1,0),"")</f>
        <v/>
      </c>
      <c r="U469" s="1" t="str">
        <f>IF(AND(Programme_Grunddaten!$A474="Geprüft",Programme_Grunddaten!AC474&lt;&gt;""),IF(Programme_Grunddaten!AC474="Ja",1,0),"")</f>
        <v/>
      </c>
      <c r="V469" s="1" t="str">
        <f>IF(AND(Programme_Grunddaten!$A474="Geprüft",Programme_Grunddaten!AD474&lt;&gt;""),IF(Programme_Grunddaten!AD474="Ja",1,0),"")</f>
        <v/>
      </c>
      <c r="W469" s="1" t="str">
        <f>IF(AND(Programme_Grunddaten!$A474="Geprüft",Programme_Grunddaten!AE474&lt;&gt;""),IF(Programme_Grunddaten!AE474="Ja",1,0),"")</f>
        <v/>
      </c>
      <c r="X469" s="1" t="str">
        <f>IF(AND(Programme_Grunddaten!$A474="Geprüft",Programme_Grunddaten!AF474&lt;&gt;""),IF(Programme_Grunddaten!AF474="Ja",1,0),"")</f>
        <v/>
      </c>
      <c r="Y469" s="1" t="str">
        <f>IF(AND(Programme_Grunddaten!$A474="Geprüft",Programme_Grunddaten!AG474&lt;&gt;""),IF(Programme_Grunddaten!AG474="Ja",1,0),"")</f>
        <v/>
      </c>
      <c r="Z469" s="1" t="str">
        <f>IF(AND(Programme_Grunddaten!$A474="Geprüft",Programme_Grunddaten!AH474&lt;&gt;""),IF(Programme_Grunddaten!AH474="Ja",1,0),"")</f>
        <v/>
      </c>
      <c r="AA469" s="1" t="str">
        <f>IF(AND(Programme_Grunddaten!$A474="Geprüft",Programme_Grunddaten!AI474&lt;&gt;""),IF(Programme_Grunddaten!AI474="Ja",1,0),"")</f>
        <v/>
      </c>
      <c r="AB469" s="1" t="str">
        <f>IF(AND(Programme_Grunddaten!$A474="Geprüft",Programme_Grunddaten!AJ474&lt;&gt;""),IF(Programme_Grunddaten!AJ474="individuell programmierbar",1,0),"")</f>
        <v/>
      </c>
      <c r="AC469" s="1" t="str">
        <f>IF(AND(Programme_Grunddaten!$A474="Geprüft",Programme_Grunddaten!AK474&lt;&gt;""),IF(Programme_Grunddaten!AK474="Deutsch",0,IF(Programme_Grunddaten!AK474="Deutsch und Englisch",1,2)),"")</f>
        <v/>
      </c>
      <c r="AD469" s="1" t="str">
        <f>IF(AND(Programme_Grunddaten!$A474="Geprüft",Programme_Grunddaten!AL474&lt;&gt;""),IF(Programme_Grunddaten!AL474="Ja",1,0),"")</f>
        <v/>
      </c>
      <c r="AE469" s="1" t="str">
        <f>IF(AND(Programme_Grunddaten!$A474="Geprüft",Programme_Grunddaten!AM474&lt;&gt;""),IF(Programme_Grunddaten!AM474="Ja",1,0),"")</f>
        <v/>
      </c>
      <c r="AF469" s="1" t="str">
        <f>IF(AND(Programme_Grunddaten!$A474="Geprüft",Programme_Grunddaten!AN474&lt;&gt;""),IF(Programme_Grunddaten!AN474="Ja",1,0),"")</f>
        <v/>
      </c>
      <c r="AG469" s="1" t="str">
        <f>IF(AND(Programme_Grunddaten!$A474="Geprüft",Programme_Grunddaten!AO474&lt;&gt;""),IF(Programme_Grunddaten!AO474="Ja",1,0),"")</f>
        <v/>
      </c>
      <c r="AH469" s="1" t="str">
        <f>IF(AND(Programme_Grunddaten!$A474="Geprüft",Programme_Grunddaten!AP474&lt;&gt;""),IF(Programme_Grunddaten!AP474="Ja",1,0),"")</f>
        <v/>
      </c>
      <c r="AI469" s="1" t="str">
        <f>IF(AND(Programme_Grunddaten!$A474="Geprüft",Programme_Grunddaten!AQ474&lt;&gt;""),IF(Programme_Grunddaten!AQ474="Ja",1,0),"")</f>
        <v/>
      </c>
      <c r="AJ469" s="1" t="str">
        <f>IF(AND(Programme_Grunddaten!$A474="Geprüft",Programme_Grunddaten!AR474&lt;&gt;""),IF(Programme_Grunddaten!AR474="Ja",1,0),"")</f>
        <v/>
      </c>
      <c r="AK469" s="1" t="str">
        <f>IF(AND(Programme_Grunddaten!$A474="Geprüft",Programme_Grunddaten!AS474&lt;&gt;""),IF(Programme_Grunddaten!AS474="Ja",1,0),"")</f>
        <v/>
      </c>
      <c r="AL469" s="1" t="str">
        <f>IF(AND(Programme_Grunddaten!$A474="Geprüft",Programme_Grunddaten!AT474&lt;&gt;""),IF(Programme_Grunddaten!AT474="Ja",1,0),"")</f>
        <v/>
      </c>
      <c r="AM469" s="1" t="str">
        <f>IF(AND(Programme_Grunddaten!$A474="Geprüft",Programme_Grunddaten!AU474&lt;&gt;""),IF(Programme_Grunddaten!AU474="Ja",1,0),"")</f>
        <v/>
      </c>
      <c r="AN469" s="1" t="str">
        <f>IF(AND(Programme_Grunddaten!$A474="Geprüft",Programme_Grunddaten!AV474&lt;&gt;""),IF(Programme_Grunddaten!AV474="Ja",1,0),"")</f>
        <v/>
      </c>
    </row>
    <row r="470" spans="1:40" x14ac:dyDescent="0.3">
      <c r="A470" s="1" t="str">
        <f>IF(AND(Programme_Grunddaten!A475="Geprüft",Programme_Grunddaten!B475&lt;&gt;""),Programme_Grunddaten!B475,"")</f>
        <v/>
      </c>
      <c r="B470" s="1" t="str">
        <f>IF(AND(Programme_Grunddaten!$A475="Geprüft",Programme_Grunddaten!I475&lt;&gt;""),IF(Programme_Grunddaten!I475="Ja",1,0),"")</f>
        <v/>
      </c>
      <c r="C470" s="1" t="str">
        <f>IF(AND(Programme_Grunddaten!$A475="Geprüft",Programme_Grunddaten!J475&lt;&gt;""),IF(Programme_Grunddaten!J475="Ja",1,0),"")</f>
        <v/>
      </c>
      <c r="D470" s="1" t="str">
        <f>IF(AND(Programme_Grunddaten!$A475="Geprüft",Programme_Grunddaten!K475&lt;&gt;""),IF(Programme_Grunddaten!K475="Ja",1,0),"")</f>
        <v/>
      </c>
      <c r="E470" s="1" t="str">
        <f>IF(AND(Programme_Grunddaten!$A475="Geprüft",Programme_Grunddaten!L475&lt;&gt;""),IF(Programme_Grunddaten!L475="Abo / befristete Lizenz",1,0),"")</f>
        <v/>
      </c>
      <c r="F470" s="1" t="str">
        <f>IF(AND(Programme_Grunddaten!$A475="Geprüft",Programme_Grunddaten!M475&lt;&gt;""),IF(Programme_Grunddaten!M475="Ja",1,0),"")</f>
        <v/>
      </c>
      <c r="G470" s="1" t="str">
        <f>IF(AND(Programme_Grunddaten!$A475="Geprüft",Programme_Grunddaten!N475&lt;&gt;""),IF(Programme_Grunddaten!N475="Ja",1,0),"")</f>
        <v/>
      </c>
      <c r="H470" s="1" t="str">
        <f>IF(AND(Programme_Grunddaten!$A475="Geprüft",Programme_Grunddaten!O475&lt;&gt;""),IF(Programme_Grunddaten!O475="Deutschland",0,IF(Programme_Grunddaten!O475="EU",1,2)),"")</f>
        <v/>
      </c>
      <c r="I470" s="1" t="str">
        <f>IF(AND(Programme_Grunddaten!$A475="Geprüft",Programme_Grunddaten!P475&lt;&gt;""),IF(Programme_Grunddaten!P475="Ja",1,0),"")</f>
        <v/>
      </c>
      <c r="J470" s="1" t="str">
        <f>IF(AND(Programme_Grunddaten!$A475="Geprüft",Programme_Grunddaten!Q475&lt;&gt;""),IF(Programme_Grunddaten!Q475="geschlossenes System",1,0),"")</f>
        <v/>
      </c>
      <c r="K470" s="1" t="str">
        <f>IF(AND(Programme_Grunddaten!$A475="Geprüft",Programme_Grunddaten!R475&lt;&gt;""),IF(Programme_Grunddaten!R475="Ja",1,0),"")</f>
        <v/>
      </c>
      <c r="L470" s="1" t="str">
        <f>IF(AND(Programme_Grunddaten!$A475="Geprüft",Programme_Grunddaten!T475&lt;&gt;""),IF(Programme_Grunddaten!T475="Ja",1,0),"")</f>
        <v/>
      </c>
      <c r="M470" s="1" t="str">
        <f>IF(AND(Programme_Grunddaten!$A475="Geprüft",Programme_Grunddaten!U475&lt;&gt;""),IF(Programme_Grunddaten!U475="Ja",1,0),"")</f>
        <v/>
      </c>
      <c r="N470" s="1" t="str">
        <f>IF(AND(Programme_Grunddaten!$A475="Geprüft",Programme_Grunddaten!V475&lt;&gt;""),IF(Programme_Grunddaten!V475="Ja",1,0),"")</f>
        <v/>
      </c>
      <c r="O470" s="1" t="str">
        <f>IF(AND(Programme_Grunddaten!$A475="Geprüft",Programme_Grunddaten!W475&lt;&gt;""),IF(Programme_Grunddaten!W475="Ja",1,0),"")</f>
        <v/>
      </c>
      <c r="P470" s="1" t="str">
        <f>IF(AND(Programme_Grunddaten!$A475="Geprüft",Programme_Grunddaten!X475&lt;&gt;""),IF(Programme_Grunddaten!X475="Ja",1,0),"")</f>
        <v/>
      </c>
      <c r="Q470" s="1" t="str">
        <f>IF(AND(Programme_Grunddaten!$A475="Geprüft",Programme_Grunddaten!Y475&lt;&gt;""),IF(Programme_Grunddaten!Y475="Ja",1,0),"")</f>
        <v/>
      </c>
      <c r="R470" s="1" t="str">
        <f>IF(AND(Programme_Grunddaten!$A475="Geprüft",Programme_Grunddaten!Z475&lt;&gt;""),IF(Programme_Grunddaten!Z475="Ja",1,0),"")</f>
        <v/>
      </c>
      <c r="S470" s="1" t="str">
        <f>IF(AND(Programme_Grunddaten!$A475="Geprüft",Programme_Grunddaten!AA475&lt;&gt;""),IF(Programme_Grunddaten!AA475="monolithisch",1,0),"")</f>
        <v/>
      </c>
      <c r="T470" s="1" t="str">
        <f>IF(AND(Programme_Grunddaten!$A475="Geprüft",Programme_Grunddaten!AB475&lt;&gt;""),IF(Programme_Grunddaten!AB475="Ja",1,0),"")</f>
        <v/>
      </c>
      <c r="U470" s="1" t="str">
        <f>IF(AND(Programme_Grunddaten!$A475="Geprüft",Programme_Grunddaten!AC475&lt;&gt;""),IF(Programme_Grunddaten!AC475="Ja",1,0),"")</f>
        <v/>
      </c>
      <c r="V470" s="1" t="str">
        <f>IF(AND(Programme_Grunddaten!$A475="Geprüft",Programme_Grunddaten!AD475&lt;&gt;""),IF(Programme_Grunddaten!AD475="Ja",1,0),"")</f>
        <v/>
      </c>
      <c r="W470" s="1" t="str">
        <f>IF(AND(Programme_Grunddaten!$A475="Geprüft",Programme_Grunddaten!AE475&lt;&gt;""),IF(Programme_Grunddaten!AE475="Ja",1,0),"")</f>
        <v/>
      </c>
      <c r="X470" s="1" t="str">
        <f>IF(AND(Programme_Grunddaten!$A475="Geprüft",Programme_Grunddaten!AF475&lt;&gt;""),IF(Programme_Grunddaten!AF475="Ja",1,0),"")</f>
        <v/>
      </c>
      <c r="Y470" s="1" t="str">
        <f>IF(AND(Programme_Grunddaten!$A475="Geprüft",Programme_Grunddaten!AG475&lt;&gt;""),IF(Programme_Grunddaten!AG475="Ja",1,0),"")</f>
        <v/>
      </c>
      <c r="Z470" s="1" t="str">
        <f>IF(AND(Programme_Grunddaten!$A475="Geprüft",Programme_Grunddaten!AH475&lt;&gt;""),IF(Programme_Grunddaten!AH475="Ja",1,0),"")</f>
        <v/>
      </c>
      <c r="AA470" s="1" t="str">
        <f>IF(AND(Programme_Grunddaten!$A475="Geprüft",Programme_Grunddaten!AI475&lt;&gt;""),IF(Programme_Grunddaten!AI475="Ja",1,0),"")</f>
        <v/>
      </c>
      <c r="AB470" s="1" t="str">
        <f>IF(AND(Programme_Grunddaten!$A475="Geprüft",Programme_Grunddaten!AJ475&lt;&gt;""),IF(Programme_Grunddaten!AJ475="individuell programmierbar",1,0),"")</f>
        <v/>
      </c>
      <c r="AC470" s="1" t="str">
        <f>IF(AND(Programme_Grunddaten!$A475="Geprüft",Programme_Grunddaten!AK475&lt;&gt;""),IF(Programme_Grunddaten!AK475="Deutsch",0,IF(Programme_Grunddaten!AK475="Deutsch und Englisch",1,2)),"")</f>
        <v/>
      </c>
      <c r="AD470" s="1" t="str">
        <f>IF(AND(Programme_Grunddaten!$A475="Geprüft",Programme_Grunddaten!AL475&lt;&gt;""),IF(Programme_Grunddaten!AL475="Ja",1,0),"")</f>
        <v/>
      </c>
      <c r="AE470" s="1" t="str">
        <f>IF(AND(Programme_Grunddaten!$A475="Geprüft",Programme_Grunddaten!AM475&lt;&gt;""),IF(Programme_Grunddaten!AM475="Ja",1,0),"")</f>
        <v/>
      </c>
      <c r="AF470" s="1" t="str">
        <f>IF(AND(Programme_Grunddaten!$A475="Geprüft",Programme_Grunddaten!AN475&lt;&gt;""),IF(Programme_Grunddaten!AN475="Ja",1,0),"")</f>
        <v/>
      </c>
      <c r="AG470" s="1" t="str">
        <f>IF(AND(Programme_Grunddaten!$A475="Geprüft",Programme_Grunddaten!AO475&lt;&gt;""),IF(Programme_Grunddaten!AO475="Ja",1,0),"")</f>
        <v/>
      </c>
      <c r="AH470" s="1" t="str">
        <f>IF(AND(Programme_Grunddaten!$A475="Geprüft",Programme_Grunddaten!AP475&lt;&gt;""),IF(Programme_Grunddaten!AP475="Ja",1,0),"")</f>
        <v/>
      </c>
      <c r="AI470" s="1" t="str">
        <f>IF(AND(Programme_Grunddaten!$A475="Geprüft",Programme_Grunddaten!AQ475&lt;&gt;""),IF(Programme_Grunddaten!AQ475="Ja",1,0),"")</f>
        <v/>
      </c>
      <c r="AJ470" s="1" t="str">
        <f>IF(AND(Programme_Grunddaten!$A475="Geprüft",Programme_Grunddaten!AR475&lt;&gt;""),IF(Programme_Grunddaten!AR475="Ja",1,0),"")</f>
        <v/>
      </c>
      <c r="AK470" s="1" t="str">
        <f>IF(AND(Programme_Grunddaten!$A475="Geprüft",Programme_Grunddaten!AS475&lt;&gt;""),IF(Programme_Grunddaten!AS475="Ja",1,0),"")</f>
        <v/>
      </c>
      <c r="AL470" s="1" t="str">
        <f>IF(AND(Programme_Grunddaten!$A475="Geprüft",Programme_Grunddaten!AT475&lt;&gt;""),IF(Programme_Grunddaten!AT475="Ja",1,0),"")</f>
        <v/>
      </c>
      <c r="AM470" s="1" t="str">
        <f>IF(AND(Programme_Grunddaten!$A475="Geprüft",Programme_Grunddaten!AU475&lt;&gt;""),IF(Programme_Grunddaten!AU475="Ja",1,0),"")</f>
        <v/>
      </c>
      <c r="AN470" s="1" t="str">
        <f>IF(AND(Programme_Grunddaten!$A475="Geprüft",Programme_Grunddaten!AV475&lt;&gt;""),IF(Programme_Grunddaten!AV475="Ja",1,0),"")</f>
        <v/>
      </c>
    </row>
    <row r="471" spans="1:40" x14ac:dyDescent="0.3">
      <c r="A471" s="1" t="str">
        <f>IF(AND(Programme_Grunddaten!A476="Geprüft",Programme_Grunddaten!B476&lt;&gt;""),Programme_Grunddaten!B476,"")</f>
        <v/>
      </c>
      <c r="B471" s="1" t="str">
        <f>IF(AND(Programme_Grunddaten!$A476="Geprüft",Programme_Grunddaten!I476&lt;&gt;""),IF(Programme_Grunddaten!I476="Ja",1,0),"")</f>
        <v/>
      </c>
      <c r="C471" s="1" t="str">
        <f>IF(AND(Programme_Grunddaten!$A476="Geprüft",Programme_Grunddaten!J476&lt;&gt;""),IF(Programme_Grunddaten!J476="Ja",1,0),"")</f>
        <v/>
      </c>
      <c r="D471" s="1" t="str">
        <f>IF(AND(Programme_Grunddaten!$A476="Geprüft",Programme_Grunddaten!K476&lt;&gt;""),IF(Programme_Grunddaten!K476="Ja",1,0),"")</f>
        <v/>
      </c>
      <c r="E471" s="1" t="str">
        <f>IF(AND(Programme_Grunddaten!$A476="Geprüft",Programme_Grunddaten!L476&lt;&gt;""),IF(Programme_Grunddaten!L476="Abo / befristete Lizenz",1,0),"")</f>
        <v/>
      </c>
      <c r="F471" s="1" t="str">
        <f>IF(AND(Programme_Grunddaten!$A476="Geprüft",Programme_Grunddaten!M476&lt;&gt;""),IF(Programme_Grunddaten!M476="Ja",1,0),"")</f>
        <v/>
      </c>
      <c r="G471" s="1" t="str">
        <f>IF(AND(Programme_Grunddaten!$A476="Geprüft",Programme_Grunddaten!N476&lt;&gt;""),IF(Programme_Grunddaten!N476="Ja",1,0),"")</f>
        <v/>
      </c>
      <c r="H471" s="1" t="str">
        <f>IF(AND(Programme_Grunddaten!$A476="Geprüft",Programme_Grunddaten!O476&lt;&gt;""),IF(Programme_Grunddaten!O476="Deutschland",0,IF(Programme_Grunddaten!O476="EU",1,2)),"")</f>
        <v/>
      </c>
      <c r="I471" s="1" t="str">
        <f>IF(AND(Programme_Grunddaten!$A476="Geprüft",Programme_Grunddaten!P476&lt;&gt;""),IF(Programme_Grunddaten!P476="Ja",1,0),"")</f>
        <v/>
      </c>
      <c r="J471" s="1" t="str">
        <f>IF(AND(Programme_Grunddaten!$A476="Geprüft",Programme_Grunddaten!Q476&lt;&gt;""),IF(Programme_Grunddaten!Q476="geschlossenes System",1,0),"")</f>
        <v/>
      </c>
      <c r="K471" s="1" t="str">
        <f>IF(AND(Programme_Grunddaten!$A476="Geprüft",Programme_Grunddaten!R476&lt;&gt;""),IF(Programme_Grunddaten!R476="Ja",1,0),"")</f>
        <v/>
      </c>
      <c r="L471" s="1" t="str">
        <f>IF(AND(Programme_Grunddaten!$A476="Geprüft",Programme_Grunddaten!T476&lt;&gt;""),IF(Programme_Grunddaten!T476="Ja",1,0),"")</f>
        <v/>
      </c>
      <c r="M471" s="1" t="str">
        <f>IF(AND(Programme_Grunddaten!$A476="Geprüft",Programme_Grunddaten!U476&lt;&gt;""),IF(Programme_Grunddaten!U476="Ja",1,0),"")</f>
        <v/>
      </c>
      <c r="N471" s="1" t="str">
        <f>IF(AND(Programme_Grunddaten!$A476="Geprüft",Programme_Grunddaten!V476&lt;&gt;""),IF(Programme_Grunddaten!V476="Ja",1,0),"")</f>
        <v/>
      </c>
      <c r="O471" s="1" t="str">
        <f>IF(AND(Programme_Grunddaten!$A476="Geprüft",Programme_Grunddaten!W476&lt;&gt;""),IF(Programme_Grunddaten!W476="Ja",1,0),"")</f>
        <v/>
      </c>
      <c r="P471" s="1" t="str">
        <f>IF(AND(Programme_Grunddaten!$A476="Geprüft",Programme_Grunddaten!X476&lt;&gt;""),IF(Programme_Grunddaten!X476="Ja",1,0),"")</f>
        <v/>
      </c>
      <c r="Q471" s="1" t="str">
        <f>IF(AND(Programme_Grunddaten!$A476="Geprüft",Programme_Grunddaten!Y476&lt;&gt;""),IF(Programme_Grunddaten!Y476="Ja",1,0),"")</f>
        <v/>
      </c>
      <c r="R471" s="1" t="str">
        <f>IF(AND(Programme_Grunddaten!$A476="Geprüft",Programme_Grunddaten!Z476&lt;&gt;""),IF(Programme_Grunddaten!Z476="Ja",1,0),"")</f>
        <v/>
      </c>
      <c r="S471" s="1" t="str">
        <f>IF(AND(Programme_Grunddaten!$A476="Geprüft",Programme_Grunddaten!AA476&lt;&gt;""),IF(Programme_Grunddaten!AA476="monolithisch",1,0),"")</f>
        <v/>
      </c>
      <c r="T471" s="1" t="str">
        <f>IF(AND(Programme_Grunddaten!$A476="Geprüft",Programme_Grunddaten!AB476&lt;&gt;""),IF(Programme_Grunddaten!AB476="Ja",1,0),"")</f>
        <v/>
      </c>
      <c r="U471" s="1" t="str">
        <f>IF(AND(Programme_Grunddaten!$A476="Geprüft",Programme_Grunddaten!AC476&lt;&gt;""),IF(Programme_Grunddaten!AC476="Ja",1,0),"")</f>
        <v/>
      </c>
      <c r="V471" s="1" t="str">
        <f>IF(AND(Programme_Grunddaten!$A476="Geprüft",Programme_Grunddaten!AD476&lt;&gt;""),IF(Programme_Grunddaten!AD476="Ja",1,0),"")</f>
        <v/>
      </c>
      <c r="W471" s="1" t="str">
        <f>IF(AND(Programme_Grunddaten!$A476="Geprüft",Programme_Grunddaten!AE476&lt;&gt;""),IF(Programme_Grunddaten!AE476="Ja",1,0),"")</f>
        <v/>
      </c>
      <c r="X471" s="1" t="str">
        <f>IF(AND(Programme_Grunddaten!$A476="Geprüft",Programme_Grunddaten!AF476&lt;&gt;""),IF(Programme_Grunddaten!AF476="Ja",1,0),"")</f>
        <v/>
      </c>
      <c r="Y471" s="1" t="str">
        <f>IF(AND(Programme_Grunddaten!$A476="Geprüft",Programme_Grunddaten!AG476&lt;&gt;""),IF(Programme_Grunddaten!AG476="Ja",1,0),"")</f>
        <v/>
      </c>
      <c r="Z471" s="1" t="str">
        <f>IF(AND(Programme_Grunddaten!$A476="Geprüft",Programme_Grunddaten!AH476&lt;&gt;""),IF(Programme_Grunddaten!AH476="Ja",1,0),"")</f>
        <v/>
      </c>
      <c r="AA471" s="1" t="str">
        <f>IF(AND(Programme_Grunddaten!$A476="Geprüft",Programme_Grunddaten!AI476&lt;&gt;""),IF(Programme_Grunddaten!AI476="Ja",1,0),"")</f>
        <v/>
      </c>
      <c r="AB471" s="1" t="str">
        <f>IF(AND(Programme_Grunddaten!$A476="Geprüft",Programme_Grunddaten!AJ476&lt;&gt;""),IF(Programme_Grunddaten!AJ476="individuell programmierbar",1,0),"")</f>
        <v/>
      </c>
      <c r="AC471" s="1" t="str">
        <f>IF(AND(Programme_Grunddaten!$A476="Geprüft",Programme_Grunddaten!AK476&lt;&gt;""),IF(Programme_Grunddaten!AK476="Deutsch",0,IF(Programme_Grunddaten!AK476="Deutsch und Englisch",1,2)),"")</f>
        <v/>
      </c>
      <c r="AD471" s="1" t="str">
        <f>IF(AND(Programme_Grunddaten!$A476="Geprüft",Programme_Grunddaten!AL476&lt;&gt;""),IF(Programme_Grunddaten!AL476="Ja",1,0),"")</f>
        <v/>
      </c>
      <c r="AE471" s="1" t="str">
        <f>IF(AND(Programme_Grunddaten!$A476="Geprüft",Programme_Grunddaten!AM476&lt;&gt;""),IF(Programme_Grunddaten!AM476="Ja",1,0),"")</f>
        <v/>
      </c>
      <c r="AF471" s="1" t="str">
        <f>IF(AND(Programme_Grunddaten!$A476="Geprüft",Programme_Grunddaten!AN476&lt;&gt;""),IF(Programme_Grunddaten!AN476="Ja",1,0),"")</f>
        <v/>
      </c>
      <c r="AG471" s="1" t="str">
        <f>IF(AND(Programme_Grunddaten!$A476="Geprüft",Programme_Grunddaten!AO476&lt;&gt;""),IF(Programme_Grunddaten!AO476="Ja",1,0),"")</f>
        <v/>
      </c>
      <c r="AH471" s="1" t="str">
        <f>IF(AND(Programme_Grunddaten!$A476="Geprüft",Programme_Grunddaten!AP476&lt;&gt;""),IF(Programme_Grunddaten!AP476="Ja",1,0),"")</f>
        <v/>
      </c>
      <c r="AI471" s="1" t="str">
        <f>IF(AND(Programme_Grunddaten!$A476="Geprüft",Programme_Grunddaten!AQ476&lt;&gt;""),IF(Programme_Grunddaten!AQ476="Ja",1,0),"")</f>
        <v/>
      </c>
      <c r="AJ471" s="1" t="str">
        <f>IF(AND(Programme_Grunddaten!$A476="Geprüft",Programme_Grunddaten!AR476&lt;&gt;""),IF(Programme_Grunddaten!AR476="Ja",1,0),"")</f>
        <v/>
      </c>
      <c r="AK471" s="1" t="str">
        <f>IF(AND(Programme_Grunddaten!$A476="Geprüft",Programme_Grunddaten!AS476&lt;&gt;""),IF(Programme_Grunddaten!AS476="Ja",1,0),"")</f>
        <v/>
      </c>
      <c r="AL471" s="1" t="str">
        <f>IF(AND(Programme_Grunddaten!$A476="Geprüft",Programme_Grunddaten!AT476&lt;&gt;""),IF(Programme_Grunddaten!AT476="Ja",1,0),"")</f>
        <v/>
      </c>
      <c r="AM471" s="1" t="str">
        <f>IF(AND(Programme_Grunddaten!$A476="Geprüft",Programme_Grunddaten!AU476&lt;&gt;""),IF(Programme_Grunddaten!AU476="Ja",1,0),"")</f>
        <v/>
      </c>
      <c r="AN471" s="1" t="str">
        <f>IF(AND(Programme_Grunddaten!$A476="Geprüft",Programme_Grunddaten!AV476&lt;&gt;""),IF(Programme_Grunddaten!AV476="Ja",1,0),"")</f>
        <v/>
      </c>
    </row>
    <row r="472" spans="1:40" x14ac:dyDescent="0.3">
      <c r="A472" s="1" t="str">
        <f>IF(AND(Programme_Grunddaten!A477="Geprüft",Programme_Grunddaten!B477&lt;&gt;""),Programme_Grunddaten!B477,"")</f>
        <v/>
      </c>
      <c r="B472" s="1" t="str">
        <f>IF(AND(Programme_Grunddaten!$A477="Geprüft",Programme_Grunddaten!I477&lt;&gt;""),IF(Programme_Grunddaten!I477="Ja",1,0),"")</f>
        <v/>
      </c>
      <c r="C472" s="1" t="str">
        <f>IF(AND(Programme_Grunddaten!$A477="Geprüft",Programme_Grunddaten!J477&lt;&gt;""),IF(Programme_Grunddaten!J477="Ja",1,0),"")</f>
        <v/>
      </c>
      <c r="D472" s="1" t="str">
        <f>IF(AND(Programme_Grunddaten!$A477="Geprüft",Programme_Grunddaten!K477&lt;&gt;""),IF(Programme_Grunddaten!K477="Ja",1,0),"")</f>
        <v/>
      </c>
      <c r="E472" s="1" t="str">
        <f>IF(AND(Programme_Grunddaten!$A477="Geprüft",Programme_Grunddaten!L477&lt;&gt;""),IF(Programme_Grunddaten!L477="Abo / befristete Lizenz",1,0),"")</f>
        <v/>
      </c>
      <c r="F472" s="1" t="str">
        <f>IF(AND(Programme_Grunddaten!$A477="Geprüft",Programme_Grunddaten!M477&lt;&gt;""),IF(Programme_Grunddaten!M477="Ja",1,0),"")</f>
        <v/>
      </c>
      <c r="G472" s="1" t="str">
        <f>IF(AND(Programme_Grunddaten!$A477="Geprüft",Programme_Grunddaten!N477&lt;&gt;""),IF(Programme_Grunddaten!N477="Ja",1,0),"")</f>
        <v/>
      </c>
      <c r="H472" s="1" t="str">
        <f>IF(AND(Programme_Grunddaten!$A477="Geprüft",Programme_Grunddaten!O477&lt;&gt;""),IF(Programme_Grunddaten!O477="Deutschland",0,IF(Programme_Grunddaten!O477="EU",1,2)),"")</f>
        <v/>
      </c>
      <c r="I472" s="1" t="str">
        <f>IF(AND(Programme_Grunddaten!$A477="Geprüft",Programme_Grunddaten!P477&lt;&gt;""),IF(Programme_Grunddaten!P477="Ja",1,0),"")</f>
        <v/>
      </c>
      <c r="J472" s="1" t="str">
        <f>IF(AND(Programme_Grunddaten!$A477="Geprüft",Programme_Grunddaten!Q477&lt;&gt;""),IF(Programme_Grunddaten!Q477="geschlossenes System",1,0),"")</f>
        <v/>
      </c>
      <c r="K472" s="1" t="str">
        <f>IF(AND(Programme_Grunddaten!$A477="Geprüft",Programme_Grunddaten!R477&lt;&gt;""),IF(Programme_Grunddaten!R477="Ja",1,0),"")</f>
        <v/>
      </c>
      <c r="L472" s="1" t="str">
        <f>IF(AND(Programme_Grunddaten!$A477="Geprüft",Programme_Grunddaten!T477&lt;&gt;""),IF(Programme_Grunddaten!T477="Ja",1,0),"")</f>
        <v/>
      </c>
      <c r="M472" s="1" t="str">
        <f>IF(AND(Programme_Grunddaten!$A477="Geprüft",Programme_Grunddaten!U477&lt;&gt;""),IF(Programme_Grunddaten!U477="Ja",1,0),"")</f>
        <v/>
      </c>
      <c r="N472" s="1" t="str">
        <f>IF(AND(Programme_Grunddaten!$A477="Geprüft",Programme_Grunddaten!V477&lt;&gt;""),IF(Programme_Grunddaten!V477="Ja",1,0),"")</f>
        <v/>
      </c>
      <c r="O472" s="1" t="str">
        <f>IF(AND(Programme_Grunddaten!$A477="Geprüft",Programme_Grunddaten!W477&lt;&gt;""),IF(Programme_Grunddaten!W477="Ja",1,0),"")</f>
        <v/>
      </c>
      <c r="P472" s="1" t="str">
        <f>IF(AND(Programme_Grunddaten!$A477="Geprüft",Programme_Grunddaten!X477&lt;&gt;""),IF(Programme_Grunddaten!X477="Ja",1,0),"")</f>
        <v/>
      </c>
      <c r="Q472" s="1" t="str">
        <f>IF(AND(Programme_Grunddaten!$A477="Geprüft",Programme_Grunddaten!Y477&lt;&gt;""),IF(Programme_Grunddaten!Y477="Ja",1,0),"")</f>
        <v/>
      </c>
      <c r="R472" s="1" t="str">
        <f>IF(AND(Programme_Grunddaten!$A477="Geprüft",Programme_Grunddaten!Z477&lt;&gt;""),IF(Programme_Grunddaten!Z477="Ja",1,0),"")</f>
        <v/>
      </c>
      <c r="S472" s="1" t="str">
        <f>IF(AND(Programme_Grunddaten!$A477="Geprüft",Programme_Grunddaten!AA477&lt;&gt;""),IF(Programme_Grunddaten!AA477="monolithisch",1,0),"")</f>
        <v/>
      </c>
      <c r="T472" s="1" t="str">
        <f>IF(AND(Programme_Grunddaten!$A477="Geprüft",Programme_Grunddaten!AB477&lt;&gt;""),IF(Programme_Grunddaten!AB477="Ja",1,0),"")</f>
        <v/>
      </c>
      <c r="U472" s="1" t="str">
        <f>IF(AND(Programme_Grunddaten!$A477="Geprüft",Programme_Grunddaten!AC477&lt;&gt;""),IF(Programme_Grunddaten!AC477="Ja",1,0),"")</f>
        <v/>
      </c>
      <c r="V472" s="1" t="str">
        <f>IF(AND(Programme_Grunddaten!$A477="Geprüft",Programme_Grunddaten!AD477&lt;&gt;""),IF(Programme_Grunddaten!AD477="Ja",1,0),"")</f>
        <v/>
      </c>
      <c r="W472" s="1" t="str">
        <f>IF(AND(Programme_Grunddaten!$A477="Geprüft",Programme_Grunddaten!AE477&lt;&gt;""),IF(Programme_Grunddaten!AE477="Ja",1,0),"")</f>
        <v/>
      </c>
      <c r="X472" s="1" t="str">
        <f>IF(AND(Programme_Grunddaten!$A477="Geprüft",Programme_Grunddaten!AF477&lt;&gt;""),IF(Programme_Grunddaten!AF477="Ja",1,0),"")</f>
        <v/>
      </c>
      <c r="Y472" s="1" t="str">
        <f>IF(AND(Programme_Grunddaten!$A477="Geprüft",Programme_Grunddaten!AG477&lt;&gt;""),IF(Programme_Grunddaten!AG477="Ja",1,0),"")</f>
        <v/>
      </c>
      <c r="Z472" s="1" t="str">
        <f>IF(AND(Programme_Grunddaten!$A477="Geprüft",Programme_Grunddaten!AH477&lt;&gt;""),IF(Programme_Grunddaten!AH477="Ja",1,0),"")</f>
        <v/>
      </c>
      <c r="AA472" s="1" t="str">
        <f>IF(AND(Programme_Grunddaten!$A477="Geprüft",Programme_Grunddaten!AI477&lt;&gt;""),IF(Programme_Grunddaten!AI477="Ja",1,0),"")</f>
        <v/>
      </c>
      <c r="AB472" s="1" t="str">
        <f>IF(AND(Programme_Grunddaten!$A477="Geprüft",Programme_Grunddaten!AJ477&lt;&gt;""),IF(Programme_Grunddaten!AJ477="individuell programmierbar",1,0),"")</f>
        <v/>
      </c>
      <c r="AC472" s="1" t="str">
        <f>IF(AND(Programme_Grunddaten!$A477="Geprüft",Programme_Grunddaten!AK477&lt;&gt;""),IF(Programme_Grunddaten!AK477="Deutsch",0,IF(Programme_Grunddaten!AK477="Deutsch und Englisch",1,2)),"")</f>
        <v/>
      </c>
      <c r="AD472" s="1" t="str">
        <f>IF(AND(Programme_Grunddaten!$A477="Geprüft",Programme_Grunddaten!AL477&lt;&gt;""),IF(Programme_Grunddaten!AL477="Ja",1,0),"")</f>
        <v/>
      </c>
      <c r="AE472" s="1" t="str">
        <f>IF(AND(Programme_Grunddaten!$A477="Geprüft",Programme_Grunddaten!AM477&lt;&gt;""),IF(Programme_Grunddaten!AM477="Ja",1,0),"")</f>
        <v/>
      </c>
      <c r="AF472" s="1" t="str">
        <f>IF(AND(Programme_Grunddaten!$A477="Geprüft",Programme_Grunddaten!AN477&lt;&gt;""),IF(Programme_Grunddaten!AN477="Ja",1,0),"")</f>
        <v/>
      </c>
      <c r="AG472" s="1" t="str">
        <f>IF(AND(Programme_Grunddaten!$A477="Geprüft",Programme_Grunddaten!AO477&lt;&gt;""),IF(Programme_Grunddaten!AO477="Ja",1,0),"")</f>
        <v/>
      </c>
      <c r="AH472" s="1" t="str">
        <f>IF(AND(Programme_Grunddaten!$A477="Geprüft",Programme_Grunddaten!AP477&lt;&gt;""),IF(Programme_Grunddaten!AP477="Ja",1,0),"")</f>
        <v/>
      </c>
      <c r="AI472" s="1" t="str">
        <f>IF(AND(Programme_Grunddaten!$A477="Geprüft",Programme_Grunddaten!AQ477&lt;&gt;""),IF(Programme_Grunddaten!AQ477="Ja",1,0),"")</f>
        <v/>
      </c>
      <c r="AJ472" s="1" t="str">
        <f>IF(AND(Programme_Grunddaten!$A477="Geprüft",Programme_Grunddaten!AR477&lt;&gt;""),IF(Programme_Grunddaten!AR477="Ja",1,0),"")</f>
        <v/>
      </c>
      <c r="AK472" s="1" t="str">
        <f>IF(AND(Programme_Grunddaten!$A477="Geprüft",Programme_Grunddaten!AS477&lt;&gt;""),IF(Programme_Grunddaten!AS477="Ja",1,0),"")</f>
        <v/>
      </c>
      <c r="AL472" s="1" t="str">
        <f>IF(AND(Programme_Grunddaten!$A477="Geprüft",Programme_Grunddaten!AT477&lt;&gt;""),IF(Programme_Grunddaten!AT477="Ja",1,0),"")</f>
        <v/>
      </c>
      <c r="AM472" s="1" t="str">
        <f>IF(AND(Programme_Grunddaten!$A477="Geprüft",Programme_Grunddaten!AU477&lt;&gt;""),IF(Programme_Grunddaten!AU477="Ja",1,0),"")</f>
        <v/>
      </c>
      <c r="AN472" s="1" t="str">
        <f>IF(AND(Programme_Grunddaten!$A477="Geprüft",Programme_Grunddaten!AV477&lt;&gt;""),IF(Programme_Grunddaten!AV477="Ja",1,0),"")</f>
        <v/>
      </c>
    </row>
    <row r="473" spans="1:40" x14ac:dyDescent="0.3">
      <c r="A473" s="1" t="str">
        <f>IF(AND(Programme_Grunddaten!A478="Geprüft",Programme_Grunddaten!B478&lt;&gt;""),Programme_Grunddaten!B478,"")</f>
        <v/>
      </c>
      <c r="B473" s="1" t="str">
        <f>IF(AND(Programme_Grunddaten!$A478="Geprüft",Programme_Grunddaten!I478&lt;&gt;""),IF(Programme_Grunddaten!I478="Ja",1,0),"")</f>
        <v/>
      </c>
      <c r="C473" s="1" t="str">
        <f>IF(AND(Programme_Grunddaten!$A478="Geprüft",Programme_Grunddaten!J478&lt;&gt;""),IF(Programme_Grunddaten!J478="Ja",1,0),"")</f>
        <v/>
      </c>
      <c r="D473" s="1" t="str">
        <f>IF(AND(Programme_Grunddaten!$A478="Geprüft",Programme_Grunddaten!K478&lt;&gt;""),IF(Programme_Grunddaten!K478="Ja",1,0),"")</f>
        <v/>
      </c>
      <c r="E473" s="1" t="str">
        <f>IF(AND(Programme_Grunddaten!$A478="Geprüft",Programme_Grunddaten!L478&lt;&gt;""),IF(Programme_Grunddaten!L478="Abo / befristete Lizenz",1,0),"")</f>
        <v/>
      </c>
      <c r="F473" s="1" t="str">
        <f>IF(AND(Programme_Grunddaten!$A478="Geprüft",Programme_Grunddaten!M478&lt;&gt;""),IF(Programme_Grunddaten!M478="Ja",1,0),"")</f>
        <v/>
      </c>
      <c r="G473" s="1" t="str">
        <f>IF(AND(Programme_Grunddaten!$A478="Geprüft",Programme_Grunddaten!N478&lt;&gt;""),IF(Programme_Grunddaten!N478="Ja",1,0),"")</f>
        <v/>
      </c>
      <c r="H473" s="1" t="str">
        <f>IF(AND(Programme_Grunddaten!$A478="Geprüft",Programme_Grunddaten!O478&lt;&gt;""),IF(Programme_Grunddaten!O478="Deutschland",0,IF(Programme_Grunddaten!O478="EU",1,2)),"")</f>
        <v/>
      </c>
      <c r="I473" s="1" t="str">
        <f>IF(AND(Programme_Grunddaten!$A478="Geprüft",Programme_Grunddaten!P478&lt;&gt;""),IF(Programme_Grunddaten!P478="Ja",1,0),"")</f>
        <v/>
      </c>
      <c r="J473" s="1" t="str">
        <f>IF(AND(Programme_Grunddaten!$A478="Geprüft",Programme_Grunddaten!Q478&lt;&gt;""),IF(Programme_Grunddaten!Q478="geschlossenes System",1,0),"")</f>
        <v/>
      </c>
      <c r="K473" s="1" t="str">
        <f>IF(AND(Programme_Grunddaten!$A478="Geprüft",Programme_Grunddaten!R478&lt;&gt;""),IF(Programme_Grunddaten!R478="Ja",1,0),"")</f>
        <v/>
      </c>
      <c r="L473" s="1" t="str">
        <f>IF(AND(Programme_Grunddaten!$A478="Geprüft",Programme_Grunddaten!T478&lt;&gt;""),IF(Programme_Grunddaten!T478="Ja",1,0),"")</f>
        <v/>
      </c>
      <c r="M473" s="1" t="str">
        <f>IF(AND(Programme_Grunddaten!$A478="Geprüft",Programme_Grunddaten!U478&lt;&gt;""),IF(Programme_Grunddaten!U478="Ja",1,0),"")</f>
        <v/>
      </c>
      <c r="N473" s="1" t="str">
        <f>IF(AND(Programme_Grunddaten!$A478="Geprüft",Programme_Grunddaten!V478&lt;&gt;""),IF(Programme_Grunddaten!V478="Ja",1,0),"")</f>
        <v/>
      </c>
      <c r="O473" s="1" t="str">
        <f>IF(AND(Programme_Grunddaten!$A478="Geprüft",Programme_Grunddaten!W478&lt;&gt;""),IF(Programme_Grunddaten!W478="Ja",1,0),"")</f>
        <v/>
      </c>
      <c r="P473" s="1" t="str">
        <f>IF(AND(Programme_Grunddaten!$A478="Geprüft",Programme_Grunddaten!X478&lt;&gt;""),IF(Programme_Grunddaten!X478="Ja",1,0),"")</f>
        <v/>
      </c>
      <c r="Q473" s="1" t="str">
        <f>IF(AND(Programme_Grunddaten!$A478="Geprüft",Programme_Grunddaten!Y478&lt;&gt;""),IF(Programme_Grunddaten!Y478="Ja",1,0),"")</f>
        <v/>
      </c>
      <c r="R473" s="1" t="str">
        <f>IF(AND(Programme_Grunddaten!$A478="Geprüft",Programme_Grunddaten!Z478&lt;&gt;""),IF(Programme_Grunddaten!Z478="Ja",1,0),"")</f>
        <v/>
      </c>
      <c r="S473" s="1" t="str">
        <f>IF(AND(Programme_Grunddaten!$A478="Geprüft",Programme_Grunddaten!AA478&lt;&gt;""),IF(Programme_Grunddaten!AA478="monolithisch",1,0),"")</f>
        <v/>
      </c>
      <c r="T473" s="1" t="str">
        <f>IF(AND(Programme_Grunddaten!$A478="Geprüft",Programme_Grunddaten!AB478&lt;&gt;""),IF(Programme_Grunddaten!AB478="Ja",1,0),"")</f>
        <v/>
      </c>
      <c r="U473" s="1" t="str">
        <f>IF(AND(Programme_Grunddaten!$A478="Geprüft",Programme_Grunddaten!AC478&lt;&gt;""),IF(Programme_Grunddaten!AC478="Ja",1,0),"")</f>
        <v/>
      </c>
      <c r="V473" s="1" t="str">
        <f>IF(AND(Programme_Grunddaten!$A478="Geprüft",Programme_Grunddaten!AD478&lt;&gt;""),IF(Programme_Grunddaten!AD478="Ja",1,0),"")</f>
        <v/>
      </c>
      <c r="W473" s="1" t="str">
        <f>IF(AND(Programme_Grunddaten!$A478="Geprüft",Programme_Grunddaten!AE478&lt;&gt;""),IF(Programme_Grunddaten!AE478="Ja",1,0),"")</f>
        <v/>
      </c>
      <c r="X473" s="1" t="str">
        <f>IF(AND(Programme_Grunddaten!$A478="Geprüft",Programme_Grunddaten!AF478&lt;&gt;""),IF(Programme_Grunddaten!AF478="Ja",1,0),"")</f>
        <v/>
      </c>
      <c r="Y473" s="1" t="str">
        <f>IF(AND(Programme_Grunddaten!$A478="Geprüft",Programme_Grunddaten!AG478&lt;&gt;""),IF(Programme_Grunddaten!AG478="Ja",1,0),"")</f>
        <v/>
      </c>
      <c r="Z473" s="1" t="str">
        <f>IF(AND(Programme_Grunddaten!$A478="Geprüft",Programme_Grunddaten!AH478&lt;&gt;""),IF(Programme_Grunddaten!AH478="Ja",1,0),"")</f>
        <v/>
      </c>
      <c r="AA473" s="1" t="str">
        <f>IF(AND(Programme_Grunddaten!$A478="Geprüft",Programme_Grunddaten!AI478&lt;&gt;""),IF(Programme_Grunddaten!AI478="Ja",1,0),"")</f>
        <v/>
      </c>
      <c r="AB473" s="1" t="str">
        <f>IF(AND(Programme_Grunddaten!$A478="Geprüft",Programme_Grunddaten!AJ478&lt;&gt;""),IF(Programme_Grunddaten!AJ478="individuell programmierbar",1,0),"")</f>
        <v/>
      </c>
      <c r="AC473" s="1" t="str">
        <f>IF(AND(Programme_Grunddaten!$A478="Geprüft",Programme_Grunddaten!AK478&lt;&gt;""),IF(Programme_Grunddaten!AK478="Deutsch",0,IF(Programme_Grunddaten!AK478="Deutsch und Englisch",1,2)),"")</f>
        <v/>
      </c>
      <c r="AD473" s="1" t="str">
        <f>IF(AND(Programme_Grunddaten!$A478="Geprüft",Programme_Grunddaten!AL478&lt;&gt;""),IF(Programme_Grunddaten!AL478="Ja",1,0),"")</f>
        <v/>
      </c>
      <c r="AE473" s="1" t="str">
        <f>IF(AND(Programme_Grunddaten!$A478="Geprüft",Programme_Grunddaten!AM478&lt;&gt;""),IF(Programme_Grunddaten!AM478="Ja",1,0),"")</f>
        <v/>
      </c>
      <c r="AF473" s="1" t="str">
        <f>IF(AND(Programme_Grunddaten!$A478="Geprüft",Programme_Grunddaten!AN478&lt;&gt;""),IF(Programme_Grunddaten!AN478="Ja",1,0),"")</f>
        <v/>
      </c>
      <c r="AG473" s="1" t="str">
        <f>IF(AND(Programme_Grunddaten!$A478="Geprüft",Programme_Grunddaten!AO478&lt;&gt;""),IF(Programme_Grunddaten!AO478="Ja",1,0),"")</f>
        <v/>
      </c>
      <c r="AH473" s="1" t="str">
        <f>IF(AND(Programme_Grunddaten!$A478="Geprüft",Programme_Grunddaten!AP478&lt;&gt;""),IF(Programme_Grunddaten!AP478="Ja",1,0),"")</f>
        <v/>
      </c>
      <c r="AI473" s="1" t="str">
        <f>IF(AND(Programme_Grunddaten!$A478="Geprüft",Programme_Grunddaten!AQ478&lt;&gt;""),IF(Programme_Grunddaten!AQ478="Ja",1,0),"")</f>
        <v/>
      </c>
      <c r="AJ473" s="1" t="str">
        <f>IF(AND(Programme_Grunddaten!$A478="Geprüft",Programme_Grunddaten!AR478&lt;&gt;""),IF(Programme_Grunddaten!AR478="Ja",1,0),"")</f>
        <v/>
      </c>
      <c r="AK473" s="1" t="str">
        <f>IF(AND(Programme_Grunddaten!$A478="Geprüft",Programme_Grunddaten!AS478&lt;&gt;""),IF(Programme_Grunddaten!AS478="Ja",1,0),"")</f>
        <v/>
      </c>
      <c r="AL473" s="1" t="str">
        <f>IF(AND(Programme_Grunddaten!$A478="Geprüft",Programme_Grunddaten!AT478&lt;&gt;""),IF(Programme_Grunddaten!AT478="Ja",1,0),"")</f>
        <v/>
      </c>
      <c r="AM473" s="1" t="str">
        <f>IF(AND(Programme_Grunddaten!$A478="Geprüft",Programme_Grunddaten!AU478&lt;&gt;""),IF(Programme_Grunddaten!AU478="Ja",1,0),"")</f>
        <v/>
      </c>
      <c r="AN473" s="1" t="str">
        <f>IF(AND(Programme_Grunddaten!$A478="Geprüft",Programme_Grunddaten!AV478&lt;&gt;""),IF(Programme_Grunddaten!AV478="Ja",1,0),"")</f>
        <v/>
      </c>
    </row>
    <row r="474" spans="1:40" x14ac:dyDescent="0.3">
      <c r="A474" s="1" t="str">
        <f>IF(AND(Programme_Grunddaten!A479="Geprüft",Programme_Grunddaten!B479&lt;&gt;""),Programme_Grunddaten!B479,"")</f>
        <v/>
      </c>
      <c r="B474" s="1" t="str">
        <f>IF(AND(Programme_Grunddaten!$A479="Geprüft",Programme_Grunddaten!I479&lt;&gt;""),IF(Programme_Grunddaten!I479="Ja",1,0),"")</f>
        <v/>
      </c>
      <c r="C474" s="1" t="str">
        <f>IF(AND(Programme_Grunddaten!$A479="Geprüft",Programme_Grunddaten!J479&lt;&gt;""),IF(Programme_Grunddaten!J479="Ja",1,0),"")</f>
        <v/>
      </c>
      <c r="D474" s="1" t="str">
        <f>IF(AND(Programme_Grunddaten!$A479="Geprüft",Programme_Grunddaten!K479&lt;&gt;""),IF(Programme_Grunddaten!K479="Ja",1,0),"")</f>
        <v/>
      </c>
      <c r="E474" s="1" t="str">
        <f>IF(AND(Programme_Grunddaten!$A479="Geprüft",Programme_Grunddaten!L479&lt;&gt;""),IF(Programme_Grunddaten!L479="Abo / befristete Lizenz",1,0),"")</f>
        <v/>
      </c>
      <c r="F474" s="1" t="str">
        <f>IF(AND(Programme_Grunddaten!$A479="Geprüft",Programme_Grunddaten!M479&lt;&gt;""),IF(Programme_Grunddaten!M479="Ja",1,0),"")</f>
        <v/>
      </c>
      <c r="G474" s="1" t="str">
        <f>IF(AND(Programme_Grunddaten!$A479="Geprüft",Programme_Grunddaten!N479&lt;&gt;""),IF(Programme_Grunddaten!N479="Ja",1,0),"")</f>
        <v/>
      </c>
      <c r="H474" s="1" t="str">
        <f>IF(AND(Programme_Grunddaten!$A479="Geprüft",Programme_Grunddaten!O479&lt;&gt;""),IF(Programme_Grunddaten!O479="Deutschland",0,IF(Programme_Grunddaten!O479="EU",1,2)),"")</f>
        <v/>
      </c>
      <c r="I474" s="1" t="str">
        <f>IF(AND(Programme_Grunddaten!$A479="Geprüft",Programme_Grunddaten!P479&lt;&gt;""),IF(Programme_Grunddaten!P479="Ja",1,0),"")</f>
        <v/>
      </c>
      <c r="J474" s="1" t="str">
        <f>IF(AND(Programme_Grunddaten!$A479="Geprüft",Programme_Grunddaten!Q479&lt;&gt;""),IF(Programme_Grunddaten!Q479="geschlossenes System",1,0),"")</f>
        <v/>
      </c>
      <c r="K474" s="1" t="str">
        <f>IF(AND(Programme_Grunddaten!$A479="Geprüft",Programme_Grunddaten!R479&lt;&gt;""),IF(Programme_Grunddaten!R479="Ja",1,0),"")</f>
        <v/>
      </c>
      <c r="L474" s="1" t="str">
        <f>IF(AND(Programme_Grunddaten!$A479="Geprüft",Programme_Grunddaten!T479&lt;&gt;""),IF(Programme_Grunddaten!T479="Ja",1,0),"")</f>
        <v/>
      </c>
      <c r="M474" s="1" t="str">
        <f>IF(AND(Programme_Grunddaten!$A479="Geprüft",Programme_Grunddaten!U479&lt;&gt;""),IF(Programme_Grunddaten!U479="Ja",1,0),"")</f>
        <v/>
      </c>
      <c r="N474" s="1" t="str">
        <f>IF(AND(Programme_Grunddaten!$A479="Geprüft",Programme_Grunddaten!V479&lt;&gt;""),IF(Programme_Grunddaten!V479="Ja",1,0),"")</f>
        <v/>
      </c>
      <c r="O474" s="1" t="str">
        <f>IF(AND(Programme_Grunddaten!$A479="Geprüft",Programme_Grunddaten!W479&lt;&gt;""),IF(Programme_Grunddaten!W479="Ja",1,0),"")</f>
        <v/>
      </c>
      <c r="P474" s="1" t="str">
        <f>IF(AND(Programme_Grunddaten!$A479="Geprüft",Programme_Grunddaten!X479&lt;&gt;""),IF(Programme_Grunddaten!X479="Ja",1,0),"")</f>
        <v/>
      </c>
      <c r="Q474" s="1" t="str">
        <f>IF(AND(Programme_Grunddaten!$A479="Geprüft",Programme_Grunddaten!Y479&lt;&gt;""),IF(Programme_Grunddaten!Y479="Ja",1,0),"")</f>
        <v/>
      </c>
      <c r="R474" s="1" t="str">
        <f>IF(AND(Programme_Grunddaten!$A479="Geprüft",Programme_Grunddaten!Z479&lt;&gt;""),IF(Programme_Grunddaten!Z479="Ja",1,0),"")</f>
        <v/>
      </c>
      <c r="S474" s="1" t="str">
        <f>IF(AND(Programme_Grunddaten!$A479="Geprüft",Programme_Grunddaten!AA479&lt;&gt;""),IF(Programme_Grunddaten!AA479="monolithisch",1,0),"")</f>
        <v/>
      </c>
      <c r="T474" s="1" t="str">
        <f>IF(AND(Programme_Grunddaten!$A479="Geprüft",Programme_Grunddaten!AB479&lt;&gt;""),IF(Programme_Grunddaten!AB479="Ja",1,0),"")</f>
        <v/>
      </c>
      <c r="U474" s="1" t="str">
        <f>IF(AND(Programme_Grunddaten!$A479="Geprüft",Programme_Grunddaten!AC479&lt;&gt;""),IF(Programme_Grunddaten!AC479="Ja",1,0),"")</f>
        <v/>
      </c>
      <c r="V474" s="1" t="str">
        <f>IF(AND(Programme_Grunddaten!$A479="Geprüft",Programme_Grunddaten!AD479&lt;&gt;""),IF(Programme_Grunddaten!AD479="Ja",1,0),"")</f>
        <v/>
      </c>
      <c r="W474" s="1" t="str">
        <f>IF(AND(Programme_Grunddaten!$A479="Geprüft",Programme_Grunddaten!AE479&lt;&gt;""),IF(Programme_Grunddaten!AE479="Ja",1,0),"")</f>
        <v/>
      </c>
      <c r="X474" s="1" t="str">
        <f>IF(AND(Programme_Grunddaten!$A479="Geprüft",Programme_Grunddaten!AF479&lt;&gt;""),IF(Programme_Grunddaten!AF479="Ja",1,0),"")</f>
        <v/>
      </c>
      <c r="Y474" s="1" t="str">
        <f>IF(AND(Programme_Grunddaten!$A479="Geprüft",Programme_Grunddaten!AG479&lt;&gt;""),IF(Programme_Grunddaten!AG479="Ja",1,0),"")</f>
        <v/>
      </c>
      <c r="Z474" s="1" t="str">
        <f>IF(AND(Programme_Grunddaten!$A479="Geprüft",Programme_Grunddaten!AH479&lt;&gt;""),IF(Programme_Grunddaten!AH479="Ja",1,0),"")</f>
        <v/>
      </c>
      <c r="AA474" s="1" t="str">
        <f>IF(AND(Programme_Grunddaten!$A479="Geprüft",Programme_Grunddaten!AI479&lt;&gt;""),IF(Programme_Grunddaten!AI479="Ja",1,0),"")</f>
        <v/>
      </c>
      <c r="AB474" s="1" t="str">
        <f>IF(AND(Programme_Grunddaten!$A479="Geprüft",Programme_Grunddaten!AJ479&lt;&gt;""),IF(Programme_Grunddaten!AJ479="individuell programmierbar",1,0),"")</f>
        <v/>
      </c>
      <c r="AC474" s="1" t="str">
        <f>IF(AND(Programme_Grunddaten!$A479="Geprüft",Programme_Grunddaten!AK479&lt;&gt;""),IF(Programme_Grunddaten!AK479="Deutsch",0,IF(Programme_Grunddaten!AK479="Deutsch und Englisch",1,2)),"")</f>
        <v/>
      </c>
      <c r="AD474" s="1" t="str">
        <f>IF(AND(Programme_Grunddaten!$A479="Geprüft",Programme_Grunddaten!AL479&lt;&gt;""),IF(Programme_Grunddaten!AL479="Ja",1,0),"")</f>
        <v/>
      </c>
      <c r="AE474" s="1" t="str">
        <f>IF(AND(Programme_Grunddaten!$A479="Geprüft",Programme_Grunddaten!AM479&lt;&gt;""),IF(Programme_Grunddaten!AM479="Ja",1,0),"")</f>
        <v/>
      </c>
      <c r="AF474" s="1" t="str">
        <f>IF(AND(Programme_Grunddaten!$A479="Geprüft",Programme_Grunddaten!AN479&lt;&gt;""),IF(Programme_Grunddaten!AN479="Ja",1,0),"")</f>
        <v/>
      </c>
      <c r="AG474" s="1" t="str">
        <f>IF(AND(Programme_Grunddaten!$A479="Geprüft",Programme_Grunddaten!AO479&lt;&gt;""),IF(Programme_Grunddaten!AO479="Ja",1,0),"")</f>
        <v/>
      </c>
      <c r="AH474" s="1" t="str">
        <f>IF(AND(Programme_Grunddaten!$A479="Geprüft",Programme_Grunddaten!AP479&lt;&gt;""),IF(Programme_Grunddaten!AP479="Ja",1,0),"")</f>
        <v/>
      </c>
      <c r="AI474" s="1" t="str">
        <f>IF(AND(Programme_Grunddaten!$A479="Geprüft",Programme_Grunddaten!AQ479&lt;&gt;""),IF(Programme_Grunddaten!AQ479="Ja",1,0),"")</f>
        <v/>
      </c>
      <c r="AJ474" s="1" t="str">
        <f>IF(AND(Programme_Grunddaten!$A479="Geprüft",Programme_Grunddaten!AR479&lt;&gt;""),IF(Programme_Grunddaten!AR479="Ja",1,0),"")</f>
        <v/>
      </c>
      <c r="AK474" s="1" t="str">
        <f>IF(AND(Programme_Grunddaten!$A479="Geprüft",Programme_Grunddaten!AS479&lt;&gt;""),IF(Programme_Grunddaten!AS479="Ja",1,0),"")</f>
        <v/>
      </c>
      <c r="AL474" s="1" t="str">
        <f>IF(AND(Programme_Grunddaten!$A479="Geprüft",Programme_Grunddaten!AT479&lt;&gt;""),IF(Programme_Grunddaten!AT479="Ja",1,0),"")</f>
        <v/>
      </c>
      <c r="AM474" s="1" t="str">
        <f>IF(AND(Programme_Grunddaten!$A479="Geprüft",Programme_Grunddaten!AU479&lt;&gt;""),IF(Programme_Grunddaten!AU479="Ja",1,0),"")</f>
        <v/>
      </c>
      <c r="AN474" s="1" t="str">
        <f>IF(AND(Programme_Grunddaten!$A479="Geprüft",Programme_Grunddaten!AV479&lt;&gt;""),IF(Programme_Grunddaten!AV479="Ja",1,0),"")</f>
        <v/>
      </c>
    </row>
    <row r="475" spans="1:40" x14ac:dyDescent="0.3">
      <c r="A475" s="1" t="str">
        <f>IF(AND(Programme_Grunddaten!A480="Geprüft",Programme_Grunddaten!B480&lt;&gt;""),Programme_Grunddaten!B480,"")</f>
        <v/>
      </c>
      <c r="B475" s="1" t="str">
        <f>IF(AND(Programme_Grunddaten!$A480="Geprüft",Programme_Grunddaten!I480&lt;&gt;""),IF(Programme_Grunddaten!I480="Ja",1,0),"")</f>
        <v/>
      </c>
      <c r="C475" s="1" t="str">
        <f>IF(AND(Programme_Grunddaten!$A480="Geprüft",Programme_Grunddaten!J480&lt;&gt;""),IF(Programme_Grunddaten!J480="Ja",1,0),"")</f>
        <v/>
      </c>
      <c r="D475" s="1" t="str">
        <f>IF(AND(Programme_Grunddaten!$A480="Geprüft",Programme_Grunddaten!K480&lt;&gt;""),IF(Programme_Grunddaten!K480="Ja",1,0),"")</f>
        <v/>
      </c>
      <c r="E475" s="1" t="str">
        <f>IF(AND(Programme_Grunddaten!$A480="Geprüft",Programme_Grunddaten!L480&lt;&gt;""),IF(Programme_Grunddaten!L480="Abo / befristete Lizenz",1,0),"")</f>
        <v/>
      </c>
      <c r="F475" s="1" t="str">
        <f>IF(AND(Programme_Grunddaten!$A480="Geprüft",Programme_Grunddaten!M480&lt;&gt;""),IF(Programme_Grunddaten!M480="Ja",1,0),"")</f>
        <v/>
      </c>
      <c r="G475" s="1" t="str">
        <f>IF(AND(Programme_Grunddaten!$A480="Geprüft",Programme_Grunddaten!N480&lt;&gt;""),IF(Programme_Grunddaten!N480="Ja",1,0),"")</f>
        <v/>
      </c>
      <c r="H475" s="1" t="str">
        <f>IF(AND(Programme_Grunddaten!$A480="Geprüft",Programme_Grunddaten!O480&lt;&gt;""),IF(Programme_Grunddaten!O480="Deutschland",0,IF(Programme_Grunddaten!O480="EU",1,2)),"")</f>
        <v/>
      </c>
      <c r="I475" s="1" t="str">
        <f>IF(AND(Programme_Grunddaten!$A480="Geprüft",Programme_Grunddaten!P480&lt;&gt;""),IF(Programme_Grunddaten!P480="Ja",1,0),"")</f>
        <v/>
      </c>
      <c r="J475" s="1" t="str">
        <f>IF(AND(Programme_Grunddaten!$A480="Geprüft",Programme_Grunddaten!Q480&lt;&gt;""),IF(Programme_Grunddaten!Q480="geschlossenes System",1,0),"")</f>
        <v/>
      </c>
      <c r="K475" s="1" t="str">
        <f>IF(AND(Programme_Grunddaten!$A480="Geprüft",Programme_Grunddaten!R480&lt;&gt;""),IF(Programme_Grunddaten!R480="Ja",1,0),"")</f>
        <v/>
      </c>
      <c r="L475" s="1" t="str">
        <f>IF(AND(Programme_Grunddaten!$A480="Geprüft",Programme_Grunddaten!T480&lt;&gt;""),IF(Programme_Grunddaten!T480="Ja",1,0),"")</f>
        <v/>
      </c>
      <c r="M475" s="1" t="str">
        <f>IF(AND(Programme_Grunddaten!$A480="Geprüft",Programme_Grunddaten!U480&lt;&gt;""),IF(Programme_Grunddaten!U480="Ja",1,0),"")</f>
        <v/>
      </c>
      <c r="N475" s="1" t="str">
        <f>IF(AND(Programme_Grunddaten!$A480="Geprüft",Programme_Grunddaten!V480&lt;&gt;""),IF(Programme_Grunddaten!V480="Ja",1,0),"")</f>
        <v/>
      </c>
      <c r="O475" s="1" t="str">
        <f>IF(AND(Programme_Grunddaten!$A480="Geprüft",Programme_Grunddaten!W480&lt;&gt;""),IF(Programme_Grunddaten!W480="Ja",1,0),"")</f>
        <v/>
      </c>
      <c r="P475" s="1" t="str">
        <f>IF(AND(Programme_Grunddaten!$A480="Geprüft",Programme_Grunddaten!X480&lt;&gt;""),IF(Programme_Grunddaten!X480="Ja",1,0),"")</f>
        <v/>
      </c>
      <c r="Q475" s="1" t="str">
        <f>IF(AND(Programme_Grunddaten!$A480="Geprüft",Programme_Grunddaten!Y480&lt;&gt;""),IF(Programme_Grunddaten!Y480="Ja",1,0),"")</f>
        <v/>
      </c>
      <c r="R475" s="1" t="str">
        <f>IF(AND(Programme_Grunddaten!$A480="Geprüft",Programme_Grunddaten!Z480&lt;&gt;""),IF(Programme_Grunddaten!Z480="Ja",1,0),"")</f>
        <v/>
      </c>
      <c r="S475" s="1" t="str">
        <f>IF(AND(Programme_Grunddaten!$A480="Geprüft",Programme_Grunddaten!AA480&lt;&gt;""),IF(Programme_Grunddaten!AA480="monolithisch",1,0),"")</f>
        <v/>
      </c>
      <c r="T475" s="1" t="str">
        <f>IF(AND(Programme_Grunddaten!$A480="Geprüft",Programme_Grunddaten!AB480&lt;&gt;""),IF(Programme_Grunddaten!AB480="Ja",1,0),"")</f>
        <v/>
      </c>
      <c r="U475" s="1" t="str">
        <f>IF(AND(Programme_Grunddaten!$A480="Geprüft",Programme_Grunddaten!AC480&lt;&gt;""),IF(Programme_Grunddaten!AC480="Ja",1,0),"")</f>
        <v/>
      </c>
      <c r="V475" s="1" t="str">
        <f>IF(AND(Programme_Grunddaten!$A480="Geprüft",Programme_Grunddaten!AD480&lt;&gt;""),IF(Programme_Grunddaten!AD480="Ja",1,0),"")</f>
        <v/>
      </c>
      <c r="W475" s="1" t="str">
        <f>IF(AND(Programme_Grunddaten!$A480="Geprüft",Programme_Grunddaten!AE480&lt;&gt;""),IF(Programme_Grunddaten!AE480="Ja",1,0),"")</f>
        <v/>
      </c>
      <c r="X475" s="1" t="str">
        <f>IF(AND(Programme_Grunddaten!$A480="Geprüft",Programme_Grunddaten!AF480&lt;&gt;""),IF(Programme_Grunddaten!AF480="Ja",1,0),"")</f>
        <v/>
      </c>
      <c r="Y475" s="1" t="str">
        <f>IF(AND(Programme_Grunddaten!$A480="Geprüft",Programme_Grunddaten!AG480&lt;&gt;""),IF(Programme_Grunddaten!AG480="Ja",1,0),"")</f>
        <v/>
      </c>
      <c r="Z475" s="1" t="str">
        <f>IF(AND(Programme_Grunddaten!$A480="Geprüft",Programme_Grunddaten!AH480&lt;&gt;""),IF(Programme_Grunddaten!AH480="Ja",1,0),"")</f>
        <v/>
      </c>
      <c r="AA475" s="1" t="str">
        <f>IF(AND(Programme_Grunddaten!$A480="Geprüft",Programme_Grunddaten!AI480&lt;&gt;""),IF(Programme_Grunddaten!AI480="Ja",1,0),"")</f>
        <v/>
      </c>
      <c r="AB475" s="1" t="str">
        <f>IF(AND(Programme_Grunddaten!$A480="Geprüft",Programme_Grunddaten!AJ480&lt;&gt;""),IF(Programme_Grunddaten!AJ480="individuell programmierbar",1,0),"")</f>
        <v/>
      </c>
      <c r="AC475" s="1" t="str">
        <f>IF(AND(Programme_Grunddaten!$A480="Geprüft",Programme_Grunddaten!AK480&lt;&gt;""),IF(Programme_Grunddaten!AK480="Deutsch",0,IF(Programme_Grunddaten!AK480="Deutsch und Englisch",1,2)),"")</f>
        <v/>
      </c>
      <c r="AD475" s="1" t="str">
        <f>IF(AND(Programme_Grunddaten!$A480="Geprüft",Programme_Grunddaten!AL480&lt;&gt;""),IF(Programme_Grunddaten!AL480="Ja",1,0),"")</f>
        <v/>
      </c>
      <c r="AE475" s="1" t="str">
        <f>IF(AND(Programme_Grunddaten!$A480="Geprüft",Programme_Grunddaten!AM480&lt;&gt;""),IF(Programme_Grunddaten!AM480="Ja",1,0),"")</f>
        <v/>
      </c>
      <c r="AF475" s="1" t="str">
        <f>IF(AND(Programme_Grunddaten!$A480="Geprüft",Programme_Grunddaten!AN480&lt;&gt;""),IF(Programme_Grunddaten!AN480="Ja",1,0),"")</f>
        <v/>
      </c>
      <c r="AG475" s="1" t="str">
        <f>IF(AND(Programme_Grunddaten!$A480="Geprüft",Programme_Grunddaten!AO480&lt;&gt;""),IF(Programme_Grunddaten!AO480="Ja",1,0),"")</f>
        <v/>
      </c>
      <c r="AH475" s="1" t="str">
        <f>IF(AND(Programme_Grunddaten!$A480="Geprüft",Programme_Grunddaten!AP480&lt;&gt;""),IF(Programme_Grunddaten!AP480="Ja",1,0),"")</f>
        <v/>
      </c>
      <c r="AI475" s="1" t="str">
        <f>IF(AND(Programme_Grunddaten!$A480="Geprüft",Programme_Grunddaten!AQ480&lt;&gt;""),IF(Programme_Grunddaten!AQ480="Ja",1,0),"")</f>
        <v/>
      </c>
      <c r="AJ475" s="1" t="str">
        <f>IF(AND(Programme_Grunddaten!$A480="Geprüft",Programme_Grunddaten!AR480&lt;&gt;""),IF(Programme_Grunddaten!AR480="Ja",1,0),"")</f>
        <v/>
      </c>
      <c r="AK475" s="1" t="str">
        <f>IF(AND(Programme_Grunddaten!$A480="Geprüft",Programme_Grunddaten!AS480&lt;&gt;""),IF(Programme_Grunddaten!AS480="Ja",1,0),"")</f>
        <v/>
      </c>
      <c r="AL475" s="1" t="str">
        <f>IF(AND(Programme_Grunddaten!$A480="Geprüft",Programme_Grunddaten!AT480&lt;&gt;""),IF(Programme_Grunddaten!AT480="Ja",1,0),"")</f>
        <v/>
      </c>
      <c r="AM475" s="1" t="str">
        <f>IF(AND(Programme_Grunddaten!$A480="Geprüft",Programme_Grunddaten!AU480&lt;&gt;""),IF(Programme_Grunddaten!AU480="Ja",1,0),"")</f>
        <v/>
      </c>
      <c r="AN475" s="1" t="str">
        <f>IF(AND(Programme_Grunddaten!$A480="Geprüft",Programme_Grunddaten!AV480&lt;&gt;""),IF(Programme_Grunddaten!AV480="Ja",1,0),"")</f>
        <v/>
      </c>
    </row>
    <row r="476" spans="1:40" x14ac:dyDescent="0.3">
      <c r="A476" s="1" t="str">
        <f>IF(AND(Programme_Grunddaten!A481="Geprüft",Programme_Grunddaten!B481&lt;&gt;""),Programme_Grunddaten!B481,"")</f>
        <v/>
      </c>
      <c r="B476" s="1" t="str">
        <f>IF(AND(Programme_Grunddaten!$A481="Geprüft",Programme_Grunddaten!I481&lt;&gt;""),IF(Programme_Grunddaten!I481="Ja",1,0),"")</f>
        <v/>
      </c>
      <c r="C476" s="1" t="str">
        <f>IF(AND(Programme_Grunddaten!$A481="Geprüft",Programme_Grunddaten!J481&lt;&gt;""),IF(Programme_Grunddaten!J481="Ja",1,0),"")</f>
        <v/>
      </c>
      <c r="D476" s="1" t="str">
        <f>IF(AND(Programme_Grunddaten!$A481="Geprüft",Programme_Grunddaten!K481&lt;&gt;""),IF(Programme_Grunddaten!K481="Ja",1,0),"")</f>
        <v/>
      </c>
      <c r="E476" s="1" t="str">
        <f>IF(AND(Programme_Grunddaten!$A481="Geprüft",Programme_Grunddaten!L481&lt;&gt;""),IF(Programme_Grunddaten!L481="Abo / befristete Lizenz",1,0),"")</f>
        <v/>
      </c>
      <c r="F476" s="1" t="str">
        <f>IF(AND(Programme_Grunddaten!$A481="Geprüft",Programme_Grunddaten!M481&lt;&gt;""),IF(Programme_Grunddaten!M481="Ja",1,0),"")</f>
        <v/>
      </c>
      <c r="G476" s="1" t="str">
        <f>IF(AND(Programme_Grunddaten!$A481="Geprüft",Programme_Grunddaten!N481&lt;&gt;""),IF(Programme_Grunddaten!N481="Ja",1,0),"")</f>
        <v/>
      </c>
      <c r="H476" s="1" t="str">
        <f>IF(AND(Programme_Grunddaten!$A481="Geprüft",Programme_Grunddaten!O481&lt;&gt;""),IF(Programme_Grunddaten!O481="Deutschland",0,IF(Programme_Grunddaten!O481="EU",1,2)),"")</f>
        <v/>
      </c>
      <c r="I476" s="1" t="str">
        <f>IF(AND(Programme_Grunddaten!$A481="Geprüft",Programme_Grunddaten!P481&lt;&gt;""),IF(Programme_Grunddaten!P481="Ja",1,0),"")</f>
        <v/>
      </c>
      <c r="J476" s="1" t="str">
        <f>IF(AND(Programme_Grunddaten!$A481="Geprüft",Programme_Grunddaten!Q481&lt;&gt;""),IF(Programme_Grunddaten!Q481="geschlossenes System",1,0),"")</f>
        <v/>
      </c>
      <c r="K476" s="1" t="str">
        <f>IF(AND(Programme_Grunddaten!$A481="Geprüft",Programme_Grunddaten!R481&lt;&gt;""),IF(Programme_Grunddaten!R481="Ja",1,0),"")</f>
        <v/>
      </c>
      <c r="L476" s="1" t="str">
        <f>IF(AND(Programme_Grunddaten!$A481="Geprüft",Programme_Grunddaten!T481&lt;&gt;""),IF(Programme_Grunddaten!T481="Ja",1,0),"")</f>
        <v/>
      </c>
      <c r="M476" s="1" t="str">
        <f>IF(AND(Programme_Grunddaten!$A481="Geprüft",Programme_Grunddaten!U481&lt;&gt;""),IF(Programme_Grunddaten!U481="Ja",1,0),"")</f>
        <v/>
      </c>
      <c r="N476" s="1" t="str">
        <f>IF(AND(Programme_Grunddaten!$A481="Geprüft",Programme_Grunddaten!V481&lt;&gt;""),IF(Programme_Grunddaten!V481="Ja",1,0),"")</f>
        <v/>
      </c>
      <c r="O476" s="1" t="str">
        <f>IF(AND(Programme_Grunddaten!$A481="Geprüft",Programme_Grunddaten!W481&lt;&gt;""),IF(Programme_Grunddaten!W481="Ja",1,0),"")</f>
        <v/>
      </c>
      <c r="P476" s="1" t="str">
        <f>IF(AND(Programme_Grunddaten!$A481="Geprüft",Programme_Grunddaten!X481&lt;&gt;""),IF(Programme_Grunddaten!X481="Ja",1,0),"")</f>
        <v/>
      </c>
      <c r="Q476" s="1" t="str">
        <f>IF(AND(Programme_Grunddaten!$A481="Geprüft",Programme_Grunddaten!Y481&lt;&gt;""),IF(Programme_Grunddaten!Y481="Ja",1,0),"")</f>
        <v/>
      </c>
      <c r="R476" s="1" t="str">
        <f>IF(AND(Programme_Grunddaten!$A481="Geprüft",Programme_Grunddaten!Z481&lt;&gt;""),IF(Programme_Grunddaten!Z481="Ja",1,0),"")</f>
        <v/>
      </c>
      <c r="S476" s="1" t="str">
        <f>IF(AND(Programme_Grunddaten!$A481="Geprüft",Programme_Grunddaten!AA481&lt;&gt;""),IF(Programme_Grunddaten!AA481="monolithisch",1,0),"")</f>
        <v/>
      </c>
      <c r="T476" s="1" t="str">
        <f>IF(AND(Programme_Grunddaten!$A481="Geprüft",Programme_Grunddaten!AB481&lt;&gt;""),IF(Programme_Grunddaten!AB481="Ja",1,0),"")</f>
        <v/>
      </c>
      <c r="U476" s="1" t="str">
        <f>IF(AND(Programme_Grunddaten!$A481="Geprüft",Programme_Grunddaten!AC481&lt;&gt;""),IF(Programme_Grunddaten!AC481="Ja",1,0),"")</f>
        <v/>
      </c>
      <c r="V476" s="1" t="str">
        <f>IF(AND(Programme_Grunddaten!$A481="Geprüft",Programme_Grunddaten!AD481&lt;&gt;""),IF(Programme_Grunddaten!AD481="Ja",1,0),"")</f>
        <v/>
      </c>
      <c r="W476" s="1" t="str">
        <f>IF(AND(Programme_Grunddaten!$A481="Geprüft",Programme_Grunddaten!AE481&lt;&gt;""),IF(Programme_Grunddaten!AE481="Ja",1,0),"")</f>
        <v/>
      </c>
      <c r="X476" s="1" t="str">
        <f>IF(AND(Programme_Grunddaten!$A481="Geprüft",Programme_Grunddaten!AF481&lt;&gt;""),IF(Programme_Grunddaten!AF481="Ja",1,0),"")</f>
        <v/>
      </c>
      <c r="Y476" s="1" t="str">
        <f>IF(AND(Programme_Grunddaten!$A481="Geprüft",Programme_Grunddaten!AG481&lt;&gt;""),IF(Programme_Grunddaten!AG481="Ja",1,0),"")</f>
        <v/>
      </c>
      <c r="Z476" s="1" t="str">
        <f>IF(AND(Programme_Grunddaten!$A481="Geprüft",Programme_Grunddaten!AH481&lt;&gt;""),IF(Programme_Grunddaten!AH481="Ja",1,0),"")</f>
        <v/>
      </c>
      <c r="AA476" s="1" t="str">
        <f>IF(AND(Programme_Grunddaten!$A481="Geprüft",Programme_Grunddaten!AI481&lt;&gt;""),IF(Programme_Grunddaten!AI481="Ja",1,0),"")</f>
        <v/>
      </c>
      <c r="AB476" s="1" t="str">
        <f>IF(AND(Programme_Grunddaten!$A481="Geprüft",Programme_Grunddaten!AJ481&lt;&gt;""),IF(Programme_Grunddaten!AJ481="individuell programmierbar",1,0),"")</f>
        <v/>
      </c>
      <c r="AC476" s="1" t="str">
        <f>IF(AND(Programme_Grunddaten!$A481="Geprüft",Programme_Grunddaten!AK481&lt;&gt;""),IF(Programme_Grunddaten!AK481="Deutsch",0,IF(Programme_Grunddaten!AK481="Deutsch und Englisch",1,2)),"")</f>
        <v/>
      </c>
      <c r="AD476" s="1" t="str">
        <f>IF(AND(Programme_Grunddaten!$A481="Geprüft",Programme_Grunddaten!AL481&lt;&gt;""),IF(Programme_Grunddaten!AL481="Ja",1,0),"")</f>
        <v/>
      </c>
      <c r="AE476" s="1" t="str">
        <f>IF(AND(Programme_Grunddaten!$A481="Geprüft",Programme_Grunddaten!AM481&lt;&gt;""),IF(Programme_Grunddaten!AM481="Ja",1,0),"")</f>
        <v/>
      </c>
      <c r="AF476" s="1" t="str">
        <f>IF(AND(Programme_Grunddaten!$A481="Geprüft",Programme_Grunddaten!AN481&lt;&gt;""),IF(Programme_Grunddaten!AN481="Ja",1,0),"")</f>
        <v/>
      </c>
      <c r="AG476" s="1" t="str">
        <f>IF(AND(Programme_Grunddaten!$A481="Geprüft",Programme_Grunddaten!AO481&lt;&gt;""),IF(Programme_Grunddaten!AO481="Ja",1,0),"")</f>
        <v/>
      </c>
      <c r="AH476" s="1" t="str">
        <f>IF(AND(Programme_Grunddaten!$A481="Geprüft",Programme_Grunddaten!AP481&lt;&gt;""),IF(Programme_Grunddaten!AP481="Ja",1,0),"")</f>
        <v/>
      </c>
      <c r="AI476" s="1" t="str">
        <f>IF(AND(Programme_Grunddaten!$A481="Geprüft",Programme_Grunddaten!AQ481&lt;&gt;""),IF(Programme_Grunddaten!AQ481="Ja",1,0),"")</f>
        <v/>
      </c>
      <c r="AJ476" s="1" t="str">
        <f>IF(AND(Programme_Grunddaten!$A481="Geprüft",Programme_Grunddaten!AR481&lt;&gt;""),IF(Programme_Grunddaten!AR481="Ja",1,0),"")</f>
        <v/>
      </c>
      <c r="AK476" s="1" t="str">
        <f>IF(AND(Programme_Grunddaten!$A481="Geprüft",Programme_Grunddaten!AS481&lt;&gt;""),IF(Programme_Grunddaten!AS481="Ja",1,0),"")</f>
        <v/>
      </c>
      <c r="AL476" s="1" t="str">
        <f>IF(AND(Programme_Grunddaten!$A481="Geprüft",Programme_Grunddaten!AT481&lt;&gt;""),IF(Programme_Grunddaten!AT481="Ja",1,0),"")</f>
        <v/>
      </c>
      <c r="AM476" s="1" t="str">
        <f>IF(AND(Programme_Grunddaten!$A481="Geprüft",Programme_Grunddaten!AU481&lt;&gt;""),IF(Programme_Grunddaten!AU481="Ja",1,0),"")</f>
        <v/>
      </c>
      <c r="AN476" s="1" t="str">
        <f>IF(AND(Programme_Grunddaten!$A481="Geprüft",Programme_Grunddaten!AV481&lt;&gt;""),IF(Programme_Grunddaten!AV481="Ja",1,0),"")</f>
        <v/>
      </c>
    </row>
    <row r="477" spans="1:40" x14ac:dyDescent="0.3">
      <c r="A477" s="1" t="str">
        <f>IF(AND(Programme_Grunddaten!A482="Geprüft",Programme_Grunddaten!B482&lt;&gt;""),Programme_Grunddaten!B482,"")</f>
        <v/>
      </c>
      <c r="B477" s="1" t="str">
        <f>IF(AND(Programme_Grunddaten!$A482="Geprüft",Programme_Grunddaten!I482&lt;&gt;""),IF(Programme_Grunddaten!I482="Ja",1,0),"")</f>
        <v/>
      </c>
      <c r="C477" s="1" t="str">
        <f>IF(AND(Programme_Grunddaten!$A482="Geprüft",Programme_Grunddaten!J482&lt;&gt;""),IF(Programme_Grunddaten!J482="Ja",1,0),"")</f>
        <v/>
      </c>
      <c r="D477" s="1" t="str">
        <f>IF(AND(Programme_Grunddaten!$A482="Geprüft",Programme_Grunddaten!K482&lt;&gt;""),IF(Programme_Grunddaten!K482="Ja",1,0),"")</f>
        <v/>
      </c>
      <c r="E477" s="1" t="str">
        <f>IF(AND(Programme_Grunddaten!$A482="Geprüft",Programme_Grunddaten!L482&lt;&gt;""),IF(Programme_Grunddaten!L482="Abo / befristete Lizenz",1,0),"")</f>
        <v/>
      </c>
      <c r="F477" s="1" t="str">
        <f>IF(AND(Programme_Grunddaten!$A482="Geprüft",Programme_Grunddaten!M482&lt;&gt;""),IF(Programme_Grunddaten!M482="Ja",1,0),"")</f>
        <v/>
      </c>
      <c r="G477" s="1" t="str">
        <f>IF(AND(Programme_Grunddaten!$A482="Geprüft",Programme_Grunddaten!N482&lt;&gt;""),IF(Programme_Grunddaten!N482="Ja",1,0),"")</f>
        <v/>
      </c>
      <c r="H477" s="1" t="str">
        <f>IF(AND(Programme_Grunddaten!$A482="Geprüft",Programme_Grunddaten!O482&lt;&gt;""),IF(Programme_Grunddaten!O482="Deutschland",0,IF(Programme_Grunddaten!O482="EU",1,2)),"")</f>
        <v/>
      </c>
      <c r="I477" s="1" t="str">
        <f>IF(AND(Programme_Grunddaten!$A482="Geprüft",Programme_Grunddaten!P482&lt;&gt;""),IF(Programme_Grunddaten!P482="Ja",1,0),"")</f>
        <v/>
      </c>
      <c r="J477" s="1" t="str">
        <f>IF(AND(Programme_Grunddaten!$A482="Geprüft",Programme_Grunddaten!Q482&lt;&gt;""),IF(Programme_Grunddaten!Q482="geschlossenes System",1,0),"")</f>
        <v/>
      </c>
      <c r="K477" s="1" t="str">
        <f>IF(AND(Programme_Grunddaten!$A482="Geprüft",Programme_Grunddaten!R482&lt;&gt;""),IF(Programme_Grunddaten!R482="Ja",1,0),"")</f>
        <v/>
      </c>
      <c r="L477" s="1" t="str">
        <f>IF(AND(Programme_Grunddaten!$A482="Geprüft",Programme_Grunddaten!T482&lt;&gt;""),IF(Programme_Grunddaten!T482="Ja",1,0),"")</f>
        <v/>
      </c>
      <c r="M477" s="1" t="str">
        <f>IF(AND(Programme_Grunddaten!$A482="Geprüft",Programme_Grunddaten!U482&lt;&gt;""),IF(Programme_Grunddaten!U482="Ja",1,0),"")</f>
        <v/>
      </c>
      <c r="N477" s="1" t="str">
        <f>IF(AND(Programme_Grunddaten!$A482="Geprüft",Programme_Grunddaten!V482&lt;&gt;""),IF(Programme_Grunddaten!V482="Ja",1,0),"")</f>
        <v/>
      </c>
      <c r="O477" s="1" t="str">
        <f>IF(AND(Programme_Grunddaten!$A482="Geprüft",Programme_Grunddaten!W482&lt;&gt;""),IF(Programme_Grunddaten!W482="Ja",1,0),"")</f>
        <v/>
      </c>
      <c r="P477" s="1" t="str">
        <f>IF(AND(Programme_Grunddaten!$A482="Geprüft",Programme_Grunddaten!X482&lt;&gt;""),IF(Programme_Grunddaten!X482="Ja",1,0),"")</f>
        <v/>
      </c>
      <c r="Q477" s="1" t="str">
        <f>IF(AND(Programme_Grunddaten!$A482="Geprüft",Programme_Grunddaten!Y482&lt;&gt;""),IF(Programme_Grunddaten!Y482="Ja",1,0),"")</f>
        <v/>
      </c>
      <c r="R477" s="1" t="str">
        <f>IF(AND(Programme_Grunddaten!$A482="Geprüft",Programme_Grunddaten!Z482&lt;&gt;""),IF(Programme_Grunddaten!Z482="Ja",1,0),"")</f>
        <v/>
      </c>
      <c r="S477" s="1" t="str">
        <f>IF(AND(Programme_Grunddaten!$A482="Geprüft",Programme_Grunddaten!AA482&lt;&gt;""),IF(Programme_Grunddaten!AA482="monolithisch",1,0),"")</f>
        <v/>
      </c>
      <c r="T477" s="1" t="str">
        <f>IF(AND(Programme_Grunddaten!$A482="Geprüft",Programme_Grunddaten!AB482&lt;&gt;""),IF(Programme_Grunddaten!AB482="Ja",1,0),"")</f>
        <v/>
      </c>
      <c r="U477" s="1" t="str">
        <f>IF(AND(Programme_Grunddaten!$A482="Geprüft",Programme_Grunddaten!AC482&lt;&gt;""),IF(Programme_Grunddaten!AC482="Ja",1,0),"")</f>
        <v/>
      </c>
      <c r="V477" s="1" t="str">
        <f>IF(AND(Programme_Grunddaten!$A482="Geprüft",Programme_Grunddaten!AD482&lt;&gt;""),IF(Programme_Grunddaten!AD482="Ja",1,0),"")</f>
        <v/>
      </c>
      <c r="W477" s="1" t="str">
        <f>IF(AND(Programme_Grunddaten!$A482="Geprüft",Programme_Grunddaten!AE482&lt;&gt;""),IF(Programme_Grunddaten!AE482="Ja",1,0),"")</f>
        <v/>
      </c>
      <c r="X477" s="1" t="str">
        <f>IF(AND(Programme_Grunddaten!$A482="Geprüft",Programme_Grunddaten!AF482&lt;&gt;""),IF(Programme_Grunddaten!AF482="Ja",1,0),"")</f>
        <v/>
      </c>
      <c r="Y477" s="1" t="str">
        <f>IF(AND(Programme_Grunddaten!$A482="Geprüft",Programme_Grunddaten!AG482&lt;&gt;""),IF(Programme_Grunddaten!AG482="Ja",1,0),"")</f>
        <v/>
      </c>
      <c r="Z477" s="1" t="str">
        <f>IF(AND(Programme_Grunddaten!$A482="Geprüft",Programme_Grunddaten!AH482&lt;&gt;""),IF(Programme_Grunddaten!AH482="Ja",1,0),"")</f>
        <v/>
      </c>
      <c r="AA477" s="1" t="str">
        <f>IF(AND(Programme_Grunddaten!$A482="Geprüft",Programme_Grunddaten!AI482&lt;&gt;""),IF(Programme_Grunddaten!AI482="Ja",1,0),"")</f>
        <v/>
      </c>
      <c r="AB477" s="1" t="str">
        <f>IF(AND(Programme_Grunddaten!$A482="Geprüft",Programme_Grunddaten!AJ482&lt;&gt;""),IF(Programme_Grunddaten!AJ482="individuell programmierbar",1,0),"")</f>
        <v/>
      </c>
      <c r="AC477" s="1" t="str">
        <f>IF(AND(Programme_Grunddaten!$A482="Geprüft",Programme_Grunddaten!AK482&lt;&gt;""),IF(Programme_Grunddaten!AK482="Deutsch",0,IF(Programme_Grunddaten!AK482="Deutsch und Englisch",1,2)),"")</f>
        <v/>
      </c>
      <c r="AD477" s="1" t="str">
        <f>IF(AND(Programme_Grunddaten!$A482="Geprüft",Programme_Grunddaten!AL482&lt;&gt;""),IF(Programme_Grunddaten!AL482="Ja",1,0),"")</f>
        <v/>
      </c>
      <c r="AE477" s="1" t="str">
        <f>IF(AND(Programme_Grunddaten!$A482="Geprüft",Programme_Grunddaten!AM482&lt;&gt;""),IF(Programme_Grunddaten!AM482="Ja",1,0),"")</f>
        <v/>
      </c>
      <c r="AF477" s="1" t="str">
        <f>IF(AND(Programme_Grunddaten!$A482="Geprüft",Programme_Grunddaten!AN482&lt;&gt;""),IF(Programme_Grunddaten!AN482="Ja",1,0),"")</f>
        <v/>
      </c>
      <c r="AG477" s="1" t="str">
        <f>IF(AND(Programme_Grunddaten!$A482="Geprüft",Programme_Grunddaten!AO482&lt;&gt;""),IF(Programme_Grunddaten!AO482="Ja",1,0),"")</f>
        <v/>
      </c>
      <c r="AH477" s="1" t="str">
        <f>IF(AND(Programme_Grunddaten!$A482="Geprüft",Programme_Grunddaten!AP482&lt;&gt;""),IF(Programme_Grunddaten!AP482="Ja",1,0),"")</f>
        <v/>
      </c>
      <c r="AI477" s="1" t="str">
        <f>IF(AND(Programme_Grunddaten!$A482="Geprüft",Programme_Grunddaten!AQ482&lt;&gt;""),IF(Programme_Grunddaten!AQ482="Ja",1,0),"")</f>
        <v/>
      </c>
      <c r="AJ477" s="1" t="str">
        <f>IF(AND(Programme_Grunddaten!$A482="Geprüft",Programme_Grunddaten!AR482&lt;&gt;""),IF(Programme_Grunddaten!AR482="Ja",1,0),"")</f>
        <v/>
      </c>
      <c r="AK477" s="1" t="str">
        <f>IF(AND(Programme_Grunddaten!$A482="Geprüft",Programme_Grunddaten!AS482&lt;&gt;""),IF(Programme_Grunddaten!AS482="Ja",1,0),"")</f>
        <v/>
      </c>
      <c r="AL477" s="1" t="str">
        <f>IF(AND(Programme_Grunddaten!$A482="Geprüft",Programme_Grunddaten!AT482&lt;&gt;""),IF(Programme_Grunddaten!AT482="Ja",1,0),"")</f>
        <v/>
      </c>
      <c r="AM477" s="1" t="str">
        <f>IF(AND(Programme_Grunddaten!$A482="Geprüft",Programme_Grunddaten!AU482&lt;&gt;""),IF(Programme_Grunddaten!AU482="Ja",1,0),"")</f>
        <v/>
      </c>
      <c r="AN477" s="1" t="str">
        <f>IF(AND(Programme_Grunddaten!$A482="Geprüft",Programme_Grunddaten!AV482&lt;&gt;""),IF(Programme_Grunddaten!AV482="Ja",1,0),"")</f>
        <v/>
      </c>
    </row>
    <row r="478" spans="1:40" x14ac:dyDescent="0.3">
      <c r="A478" s="1" t="str">
        <f>IF(AND(Programme_Grunddaten!A483="Geprüft",Programme_Grunddaten!B483&lt;&gt;""),Programme_Grunddaten!B483,"")</f>
        <v/>
      </c>
      <c r="B478" s="1" t="str">
        <f>IF(AND(Programme_Grunddaten!$A483="Geprüft",Programme_Grunddaten!I483&lt;&gt;""),IF(Programme_Grunddaten!I483="Ja",1,0),"")</f>
        <v/>
      </c>
      <c r="C478" s="1" t="str">
        <f>IF(AND(Programme_Grunddaten!$A483="Geprüft",Programme_Grunddaten!J483&lt;&gt;""),IF(Programme_Grunddaten!J483="Ja",1,0),"")</f>
        <v/>
      </c>
      <c r="D478" s="1" t="str">
        <f>IF(AND(Programme_Grunddaten!$A483="Geprüft",Programme_Grunddaten!K483&lt;&gt;""),IF(Programme_Grunddaten!K483="Ja",1,0),"")</f>
        <v/>
      </c>
      <c r="E478" s="1" t="str">
        <f>IF(AND(Programme_Grunddaten!$A483="Geprüft",Programme_Grunddaten!L483&lt;&gt;""),IF(Programme_Grunddaten!L483="Abo / befristete Lizenz",1,0),"")</f>
        <v/>
      </c>
      <c r="F478" s="1" t="str">
        <f>IF(AND(Programme_Grunddaten!$A483="Geprüft",Programme_Grunddaten!M483&lt;&gt;""),IF(Programme_Grunddaten!M483="Ja",1,0),"")</f>
        <v/>
      </c>
      <c r="G478" s="1" t="str">
        <f>IF(AND(Programme_Grunddaten!$A483="Geprüft",Programme_Grunddaten!N483&lt;&gt;""),IF(Programme_Grunddaten!N483="Ja",1,0),"")</f>
        <v/>
      </c>
      <c r="H478" s="1" t="str">
        <f>IF(AND(Programme_Grunddaten!$A483="Geprüft",Programme_Grunddaten!O483&lt;&gt;""),IF(Programme_Grunddaten!O483="Deutschland",0,IF(Programme_Grunddaten!O483="EU",1,2)),"")</f>
        <v/>
      </c>
      <c r="I478" s="1" t="str">
        <f>IF(AND(Programme_Grunddaten!$A483="Geprüft",Programme_Grunddaten!P483&lt;&gt;""),IF(Programme_Grunddaten!P483="Ja",1,0),"")</f>
        <v/>
      </c>
      <c r="J478" s="1" t="str">
        <f>IF(AND(Programme_Grunddaten!$A483="Geprüft",Programme_Grunddaten!Q483&lt;&gt;""),IF(Programme_Grunddaten!Q483="geschlossenes System",1,0),"")</f>
        <v/>
      </c>
      <c r="K478" s="1" t="str">
        <f>IF(AND(Programme_Grunddaten!$A483="Geprüft",Programme_Grunddaten!R483&lt;&gt;""),IF(Programme_Grunddaten!R483="Ja",1,0),"")</f>
        <v/>
      </c>
      <c r="L478" s="1" t="str">
        <f>IF(AND(Programme_Grunddaten!$A483="Geprüft",Programme_Grunddaten!T483&lt;&gt;""),IF(Programme_Grunddaten!T483="Ja",1,0),"")</f>
        <v/>
      </c>
      <c r="M478" s="1" t="str">
        <f>IF(AND(Programme_Grunddaten!$A483="Geprüft",Programme_Grunddaten!U483&lt;&gt;""),IF(Programme_Grunddaten!U483="Ja",1,0),"")</f>
        <v/>
      </c>
      <c r="N478" s="1" t="str">
        <f>IF(AND(Programme_Grunddaten!$A483="Geprüft",Programme_Grunddaten!V483&lt;&gt;""),IF(Programme_Grunddaten!V483="Ja",1,0),"")</f>
        <v/>
      </c>
      <c r="O478" s="1" t="str">
        <f>IF(AND(Programme_Grunddaten!$A483="Geprüft",Programme_Grunddaten!W483&lt;&gt;""),IF(Programme_Grunddaten!W483="Ja",1,0),"")</f>
        <v/>
      </c>
      <c r="P478" s="1" t="str">
        <f>IF(AND(Programme_Grunddaten!$A483="Geprüft",Programme_Grunddaten!X483&lt;&gt;""),IF(Programme_Grunddaten!X483="Ja",1,0),"")</f>
        <v/>
      </c>
      <c r="Q478" s="1" t="str">
        <f>IF(AND(Programme_Grunddaten!$A483="Geprüft",Programme_Grunddaten!Y483&lt;&gt;""),IF(Programme_Grunddaten!Y483="Ja",1,0),"")</f>
        <v/>
      </c>
      <c r="R478" s="1" t="str">
        <f>IF(AND(Programme_Grunddaten!$A483="Geprüft",Programme_Grunddaten!Z483&lt;&gt;""),IF(Programme_Grunddaten!Z483="Ja",1,0),"")</f>
        <v/>
      </c>
      <c r="S478" s="1" t="str">
        <f>IF(AND(Programme_Grunddaten!$A483="Geprüft",Programme_Grunddaten!AA483&lt;&gt;""),IF(Programme_Grunddaten!AA483="monolithisch",1,0),"")</f>
        <v/>
      </c>
      <c r="T478" s="1" t="str">
        <f>IF(AND(Programme_Grunddaten!$A483="Geprüft",Programme_Grunddaten!AB483&lt;&gt;""),IF(Programme_Grunddaten!AB483="Ja",1,0),"")</f>
        <v/>
      </c>
      <c r="U478" s="1" t="str">
        <f>IF(AND(Programme_Grunddaten!$A483="Geprüft",Programme_Grunddaten!AC483&lt;&gt;""),IF(Programme_Grunddaten!AC483="Ja",1,0),"")</f>
        <v/>
      </c>
      <c r="V478" s="1" t="str">
        <f>IF(AND(Programme_Grunddaten!$A483="Geprüft",Programme_Grunddaten!AD483&lt;&gt;""),IF(Programme_Grunddaten!AD483="Ja",1,0),"")</f>
        <v/>
      </c>
      <c r="W478" s="1" t="str">
        <f>IF(AND(Programme_Grunddaten!$A483="Geprüft",Programme_Grunddaten!AE483&lt;&gt;""),IF(Programme_Grunddaten!AE483="Ja",1,0),"")</f>
        <v/>
      </c>
      <c r="X478" s="1" t="str">
        <f>IF(AND(Programme_Grunddaten!$A483="Geprüft",Programme_Grunddaten!AF483&lt;&gt;""),IF(Programme_Grunddaten!AF483="Ja",1,0),"")</f>
        <v/>
      </c>
      <c r="Y478" s="1" t="str">
        <f>IF(AND(Programme_Grunddaten!$A483="Geprüft",Programme_Grunddaten!AG483&lt;&gt;""),IF(Programme_Grunddaten!AG483="Ja",1,0),"")</f>
        <v/>
      </c>
      <c r="Z478" s="1" t="str">
        <f>IF(AND(Programme_Grunddaten!$A483="Geprüft",Programme_Grunddaten!AH483&lt;&gt;""),IF(Programme_Grunddaten!AH483="Ja",1,0),"")</f>
        <v/>
      </c>
      <c r="AA478" s="1" t="str">
        <f>IF(AND(Programme_Grunddaten!$A483="Geprüft",Programme_Grunddaten!AI483&lt;&gt;""),IF(Programme_Grunddaten!AI483="Ja",1,0),"")</f>
        <v/>
      </c>
      <c r="AB478" s="1" t="str">
        <f>IF(AND(Programme_Grunddaten!$A483="Geprüft",Programme_Grunddaten!AJ483&lt;&gt;""),IF(Programme_Grunddaten!AJ483="individuell programmierbar",1,0),"")</f>
        <v/>
      </c>
      <c r="AC478" s="1" t="str">
        <f>IF(AND(Programme_Grunddaten!$A483="Geprüft",Programme_Grunddaten!AK483&lt;&gt;""),IF(Programme_Grunddaten!AK483="Deutsch",0,IF(Programme_Grunddaten!AK483="Deutsch und Englisch",1,2)),"")</f>
        <v/>
      </c>
      <c r="AD478" s="1" t="str">
        <f>IF(AND(Programme_Grunddaten!$A483="Geprüft",Programme_Grunddaten!AL483&lt;&gt;""),IF(Programme_Grunddaten!AL483="Ja",1,0),"")</f>
        <v/>
      </c>
      <c r="AE478" s="1" t="str">
        <f>IF(AND(Programme_Grunddaten!$A483="Geprüft",Programme_Grunddaten!AM483&lt;&gt;""),IF(Programme_Grunddaten!AM483="Ja",1,0),"")</f>
        <v/>
      </c>
      <c r="AF478" s="1" t="str">
        <f>IF(AND(Programme_Grunddaten!$A483="Geprüft",Programme_Grunddaten!AN483&lt;&gt;""),IF(Programme_Grunddaten!AN483="Ja",1,0),"")</f>
        <v/>
      </c>
      <c r="AG478" s="1" t="str">
        <f>IF(AND(Programme_Grunddaten!$A483="Geprüft",Programme_Grunddaten!AO483&lt;&gt;""),IF(Programme_Grunddaten!AO483="Ja",1,0),"")</f>
        <v/>
      </c>
      <c r="AH478" s="1" t="str">
        <f>IF(AND(Programme_Grunddaten!$A483="Geprüft",Programme_Grunddaten!AP483&lt;&gt;""),IF(Programme_Grunddaten!AP483="Ja",1,0),"")</f>
        <v/>
      </c>
      <c r="AI478" s="1" t="str">
        <f>IF(AND(Programme_Grunddaten!$A483="Geprüft",Programme_Grunddaten!AQ483&lt;&gt;""),IF(Programme_Grunddaten!AQ483="Ja",1,0),"")</f>
        <v/>
      </c>
      <c r="AJ478" s="1" t="str">
        <f>IF(AND(Programme_Grunddaten!$A483="Geprüft",Programme_Grunddaten!AR483&lt;&gt;""),IF(Programme_Grunddaten!AR483="Ja",1,0),"")</f>
        <v/>
      </c>
      <c r="AK478" s="1" t="str">
        <f>IF(AND(Programme_Grunddaten!$A483="Geprüft",Programme_Grunddaten!AS483&lt;&gt;""),IF(Programme_Grunddaten!AS483="Ja",1,0),"")</f>
        <v/>
      </c>
      <c r="AL478" s="1" t="str">
        <f>IF(AND(Programme_Grunddaten!$A483="Geprüft",Programme_Grunddaten!AT483&lt;&gt;""),IF(Programme_Grunddaten!AT483="Ja",1,0),"")</f>
        <v/>
      </c>
      <c r="AM478" s="1" t="str">
        <f>IF(AND(Programme_Grunddaten!$A483="Geprüft",Programme_Grunddaten!AU483&lt;&gt;""),IF(Programme_Grunddaten!AU483="Ja",1,0),"")</f>
        <v/>
      </c>
      <c r="AN478" s="1" t="str">
        <f>IF(AND(Programme_Grunddaten!$A483="Geprüft",Programme_Grunddaten!AV483&lt;&gt;""),IF(Programme_Grunddaten!AV483="Ja",1,0),"")</f>
        <v/>
      </c>
    </row>
    <row r="479" spans="1:40" x14ac:dyDescent="0.3">
      <c r="A479" s="1" t="str">
        <f>IF(AND(Programme_Grunddaten!A484="Geprüft",Programme_Grunddaten!B484&lt;&gt;""),Programme_Grunddaten!B484,"")</f>
        <v/>
      </c>
      <c r="B479" s="1" t="str">
        <f>IF(AND(Programme_Grunddaten!$A484="Geprüft",Programme_Grunddaten!I484&lt;&gt;""),IF(Programme_Grunddaten!I484="Ja",1,0),"")</f>
        <v/>
      </c>
      <c r="C479" s="1" t="str">
        <f>IF(AND(Programme_Grunddaten!$A484="Geprüft",Programme_Grunddaten!J484&lt;&gt;""),IF(Programme_Grunddaten!J484="Ja",1,0),"")</f>
        <v/>
      </c>
      <c r="D479" s="1" t="str">
        <f>IF(AND(Programme_Grunddaten!$A484="Geprüft",Programme_Grunddaten!K484&lt;&gt;""),IF(Programme_Grunddaten!K484="Ja",1,0),"")</f>
        <v/>
      </c>
      <c r="E479" s="1" t="str">
        <f>IF(AND(Programme_Grunddaten!$A484="Geprüft",Programme_Grunddaten!L484&lt;&gt;""),IF(Programme_Grunddaten!L484="Abo / befristete Lizenz",1,0),"")</f>
        <v/>
      </c>
      <c r="F479" s="1" t="str">
        <f>IF(AND(Programme_Grunddaten!$A484="Geprüft",Programme_Grunddaten!M484&lt;&gt;""),IF(Programme_Grunddaten!M484="Ja",1,0),"")</f>
        <v/>
      </c>
      <c r="G479" s="1" t="str">
        <f>IF(AND(Programme_Grunddaten!$A484="Geprüft",Programme_Grunddaten!N484&lt;&gt;""),IF(Programme_Grunddaten!N484="Ja",1,0),"")</f>
        <v/>
      </c>
      <c r="H479" s="1" t="str">
        <f>IF(AND(Programme_Grunddaten!$A484="Geprüft",Programme_Grunddaten!O484&lt;&gt;""),IF(Programme_Grunddaten!O484="Deutschland",0,IF(Programme_Grunddaten!O484="EU",1,2)),"")</f>
        <v/>
      </c>
      <c r="I479" s="1" t="str">
        <f>IF(AND(Programme_Grunddaten!$A484="Geprüft",Programme_Grunddaten!P484&lt;&gt;""),IF(Programme_Grunddaten!P484="Ja",1,0),"")</f>
        <v/>
      </c>
      <c r="J479" s="1" t="str">
        <f>IF(AND(Programme_Grunddaten!$A484="Geprüft",Programme_Grunddaten!Q484&lt;&gt;""),IF(Programme_Grunddaten!Q484="geschlossenes System",1,0),"")</f>
        <v/>
      </c>
      <c r="K479" s="1" t="str">
        <f>IF(AND(Programme_Grunddaten!$A484="Geprüft",Programme_Grunddaten!R484&lt;&gt;""),IF(Programme_Grunddaten!R484="Ja",1,0),"")</f>
        <v/>
      </c>
      <c r="L479" s="1" t="str">
        <f>IF(AND(Programme_Grunddaten!$A484="Geprüft",Programme_Grunddaten!T484&lt;&gt;""),IF(Programme_Grunddaten!T484="Ja",1,0),"")</f>
        <v/>
      </c>
      <c r="M479" s="1" t="str">
        <f>IF(AND(Programme_Grunddaten!$A484="Geprüft",Programme_Grunddaten!U484&lt;&gt;""),IF(Programme_Grunddaten!U484="Ja",1,0),"")</f>
        <v/>
      </c>
      <c r="N479" s="1" t="str">
        <f>IF(AND(Programme_Grunddaten!$A484="Geprüft",Programme_Grunddaten!V484&lt;&gt;""),IF(Programme_Grunddaten!V484="Ja",1,0),"")</f>
        <v/>
      </c>
      <c r="O479" s="1" t="str">
        <f>IF(AND(Programme_Grunddaten!$A484="Geprüft",Programme_Grunddaten!W484&lt;&gt;""),IF(Programme_Grunddaten!W484="Ja",1,0),"")</f>
        <v/>
      </c>
      <c r="P479" s="1" t="str">
        <f>IF(AND(Programme_Grunddaten!$A484="Geprüft",Programme_Grunddaten!X484&lt;&gt;""),IF(Programme_Grunddaten!X484="Ja",1,0),"")</f>
        <v/>
      </c>
      <c r="Q479" s="1" t="str">
        <f>IF(AND(Programme_Grunddaten!$A484="Geprüft",Programme_Grunddaten!Y484&lt;&gt;""),IF(Programme_Grunddaten!Y484="Ja",1,0),"")</f>
        <v/>
      </c>
      <c r="R479" s="1" t="str">
        <f>IF(AND(Programme_Grunddaten!$A484="Geprüft",Programme_Grunddaten!Z484&lt;&gt;""),IF(Programme_Grunddaten!Z484="Ja",1,0),"")</f>
        <v/>
      </c>
      <c r="S479" s="1" t="str">
        <f>IF(AND(Programme_Grunddaten!$A484="Geprüft",Programme_Grunddaten!AA484&lt;&gt;""),IF(Programme_Grunddaten!AA484="monolithisch",1,0),"")</f>
        <v/>
      </c>
      <c r="T479" s="1" t="str">
        <f>IF(AND(Programme_Grunddaten!$A484="Geprüft",Programme_Grunddaten!AB484&lt;&gt;""),IF(Programme_Grunddaten!AB484="Ja",1,0),"")</f>
        <v/>
      </c>
      <c r="U479" s="1" t="str">
        <f>IF(AND(Programme_Grunddaten!$A484="Geprüft",Programme_Grunddaten!AC484&lt;&gt;""),IF(Programme_Grunddaten!AC484="Ja",1,0),"")</f>
        <v/>
      </c>
      <c r="V479" s="1" t="str">
        <f>IF(AND(Programme_Grunddaten!$A484="Geprüft",Programme_Grunddaten!AD484&lt;&gt;""),IF(Programme_Grunddaten!AD484="Ja",1,0),"")</f>
        <v/>
      </c>
      <c r="W479" s="1" t="str">
        <f>IF(AND(Programme_Grunddaten!$A484="Geprüft",Programme_Grunddaten!AE484&lt;&gt;""),IF(Programme_Grunddaten!AE484="Ja",1,0),"")</f>
        <v/>
      </c>
      <c r="X479" s="1" t="str">
        <f>IF(AND(Programme_Grunddaten!$A484="Geprüft",Programme_Grunddaten!AF484&lt;&gt;""),IF(Programme_Grunddaten!AF484="Ja",1,0),"")</f>
        <v/>
      </c>
      <c r="Y479" s="1" t="str">
        <f>IF(AND(Programme_Grunddaten!$A484="Geprüft",Programme_Grunddaten!AG484&lt;&gt;""),IF(Programme_Grunddaten!AG484="Ja",1,0),"")</f>
        <v/>
      </c>
      <c r="Z479" s="1" t="str">
        <f>IF(AND(Programme_Grunddaten!$A484="Geprüft",Programme_Grunddaten!AH484&lt;&gt;""),IF(Programme_Grunddaten!AH484="Ja",1,0),"")</f>
        <v/>
      </c>
      <c r="AA479" s="1" t="str">
        <f>IF(AND(Programme_Grunddaten!$A484="Geprüft",Programme_Grunddaten!AI484&lt;&gt;""),IF(Programme_Grunddaten!AI484="Ja",1,0),"")</f>
        <v/>
      </c>
      <c r="AB479" s="1" t="str">
        <f>IF(AND(Programme_Grunddaten!$A484="Geprüft",Programme_Grunddaten!AJ484&lt;&gt;""),IF(Programme_Grunddaten!AJ484="individuell programmierbar",1,0),"")</f>
        <v/>
      </c>
      <c r="AC479" s="1" t="str">
        <f>IF(AND(Programme_Grunddaten!$A484="Geprüft",Programme_Grunddaten!AK484&lt;&gt;""),IF(Programme_Grunddaten!AK484="Deutsch",0,IF(Programme_Grunddaten!AK484="Deutsch und Englisch",1,2)),"")</f>
        <v/>
      </c>
      <c r="AD479" s="1" t="str">
        <f>IF(AND(Programme_Grunddaten!$A484="Geprüft",Programme_Grunddaten!AL484&lt;&gt;""),IF(Programme_Grunddaten!AL484="Ja",1,0),"")</f>
        <v/>
      </c>
      <c r="AE479" s="1" t="str">
        <f>IF(AND(Programme_Grunddaten!$A484="Geprüft",Programme_Grunddaten!AM484&lt;&gt;""),IF(Programme_Grunddaten!AM484="Ja",1,0),"")</f>
        <v/>
      </c>
      <c r="AF479" s="1" t="str">
        <f>IF(AND(Programme_Grunddaten!$A484="Geprüft",Programme_Grunddaten!AN484&lt;&gt;""),IF(Programme_Grunddaten!AN484="Ja",1,0),"")</f>
        <v/>
      </c>
      <c r="AG479" s="1" t="str">
        <f>IF(AND(Programme_Grunddaten!$A484="Geprüft",Programme_Grunddaten!AO484&lt;&gt;""),IF(Programme_Grunddaten!AO484="Ja",1,0),"")</f>
        <v/>
      </c>
      <c r="AH479" s="1" t="str">
        <f>IF(AND(Programme_Grunddaten!$A484="Geprüft",Programme_Grunddaten!AP484&lt;&gt;""),IF(Programme_Grunddaten!AP484="Ja",1,0),"")</f>
        <v/>
      </c>
      <c r="AI479" s="1" t="str">
        <f>IF(AND(Programme_Grunddaten!$A484="Geprüft",Programme_Grunddaten!AQ484&lt;&gt;""),IF(Programme_Grunddaten!AQ484="Ja",1,0),"")</f>
        <v/>
      </c>
      <c r="AJ479" s="1" t="str">
        <f>IF(AND(Programme_Grunddaten!$A484="Geprüft",Programme_Grunddaten!AR484&lt;&gt;""),IF(Programme_Grunddaten!AR484="Ja",1,0),"")</f>
        <v/>
      </c>
      <c r="AK479" s="1" t="str">
        <f>IF(AND(Programme_Grunddaten!$A484="Geprüft",Programme_Grunddaten!AS484&lt;&gt;""),IF(Programme_Grunddaten!AS484="Ja",1,0),"")</f>
        <v/>
      </c>
      <c r="AL479" s="1" t="str">
        <f>IF(AND(Programme_Grunddaten!$A484="Geprüft",Programme_Grunddaten!AT484&lt;&gt;""),IF(Programme_Grunddaten!AT484="Ja",1,0),"")</f>
        <v/>
      </c>
      <c r="AM479" s="1" t="str">
        <f>IF(AND(Programme_Grunddaten!$A484="Geprüft",Programme_Grunddaten!AU484&lt;&gt;""),IF(Programme_Grunddaten!AU484="Ja",1,0),"")</f>
        <v/>
      </c>
      <c r="AN479" s="1" t="str">
        <f>IF(AND(Programme_Grunddaten!$A484="Geprüft",Programme_Grunddaten!AV484&lt;&gt;""),IF(Programme_Grunddaten!AV484="Ja",1,0),"")</f>
        <v/>
      </c>
    </row>
    <row r="480" spans="1:40" x14ac:dyDescent="0.3">
      <c r="A480" s="1" t="str">
        <f>IF(AND(Programme_Grunddaten!A485="Geprüft",Programme_Grunddaten!B485&lt;&gt;""),Programme_Grunddaten!B485,"")</f>
        <v/>
      </c>
      <c r="B480" s="1" t="str">
        <f>IF(AND(Programme_Grunddaten!$A485="Geprüft",Programme_Grunddaten!I485&lt;&gt;""),IF(Programme_Grunddaten!I485="Ja",1,0),"")</f>
        <v/>
      </c>
      <c r="C480" s="1" t="str">
        <f>IF(AND(Programme_Grunddaten!$A485="Geprüft",Programme_Grunddaten!J485&lt;&gt;""),IF(Programme_Grunddaten!J485="Ja",1,0),"")</f>
        <v/>
      </c>
      <c r="D480" s="1" t="str">
        <f>IF(AND(Programme_Grunddaten!$A485="Geprüft",Programme_Grunddaten!K485&lt;&gt;""),IF(Programme_Grunddaten!K485="Ja",1,0),"")</f>
        <v/>
      </c>
      <c r="E480" s="1" t="str">
        <f>IF(AND(Programme_Grunddaten!$A485="Geprüft",Programme_Grunddaten!L485&lt;&gt;""),IF(Programme_Grunddaten!L485="Abo / befristete Lizenz",1,0),"")</f>
        <v/>
      </c>
      <c r="F480" s="1" t="str">
        <f>IF(AND(Programme_Grunddaten!$A485="Geprüft",Programme_Grunddaten!M485&lt;&gt;""),IF(Programme_Grunddaten!M485="Ja",1,0),"")</f>
        <v/>
      </c>
      <c r="G480" s="1" t="str">
        <f>IF(AND(Programme_Grunddaten!$A485="Geprüft",Programme_Grunddaten!N485&lt;&gt;""),IF(Programme_Grunddaten!N485="Ja",1,0),"")</f>
        <v/>
      </c>
      <c r="H480" s="1" t="str">
        <f>IF(AND(Programme_Grunddaten!$A485="Geprüft",Programme_Grunddaten!O485&lt;&gt;""),IF(Programme_Grunddaten!O485="Deutschland",0,IF(Programme_Grunddaten!O485="EU",1,2)),"")</f>
        <v/>
      </c>
      <c r="I480" s="1" t="str">
        <f>IF(AND(Programme_Grunddaten!$A485="Geprüft",Programme_Grunddaten!P485&lt;&gt;""),IF(Programme_Grunddaten!P485="Ja",1,0),"")</f>
        <v/>
      </c>
      <c r="J480" s="1" t="str">
        <f>IF(AND(Programme_Grunddaten!$A485="Geprüft",Programme_Grunddaten!Q485&lt;&gt;""),IF(Programme_Grunddaten!Q485="geschlossenes System",1,0),"")</f>
        <v/>
      </c>
      <c r="K480" s="1" t="str">
        <f>IF(AND(Programme_Grunddaten!$A485="Geprüft",Programme_Grunddaten!R485&lt;&gt;""),IF(Programme_Grunddaten!R485="Ja",1,0),"")</f>
        <v/>
      </c>
      <c r="L480" s="1" t="str">
        <f>IF(AND(Programme_Grunddaten!$A485="Geprüft",Programme_Grunddaten!T485&lt;&gt;""),IF(Programme_Grunddaten!T485="Ja",1,0),"")</f>
        <v/>
      </c>
      <c r="M480" s="1" t="str">
        <f>IF(AND(Programme_Grunddaten!$A485="Geprüft",Programme_Grunddaten!U485&lt;&gt;""),IF(Programme_Grunddaten!U485="Ja",1,0),"")</f>
        <v/>
      </c>
      <c r="N480" s="1" t="str">
        <f>IF(AND(Programme_Grunddaten!$A485="Geprüft",Programme_Grunddaten!V485&lt;&gt;""),IF(Programme_Grunddaten!V485="Ja",1,0),"")</f>
        <v/>
      </c>
      <c r="O480" s="1" t="str">
        <f>IF(AND(Programme_Grunddaten!$A485="Geprüft",Programme_Grunddaten!W485&lt;&gt;""),IF(Programme_Grunddaten!W485="Ja",1,0),"")</f>
        <v/>
      </c>
      <c r="P480" s="1" t="str">
        <f>IF(AND(Programme_Grunddaten!$A485="Geprüft",Programme_Grunddaten!X485&lt;&gt;""),IF(Programme_Grunddaten!X485="Ja",1,0),"")</f>
        <v/>
      </c>
      <c r="Q480" s="1" t="str">
        <f>IF(AND(Programme_Grunddaten!$A485="Geprüft",Programme_Grunddaten!Y485&lt;&gt;""),IF(Programme_Grunddaten!Y485="Ja",1,0),"")</f>
        <v/>
      </c>
      <c r="R480" s="1" t="str">
        <f>IF(AND(Programme_Grunddaten!$A485="Geprüft",Programme_Grunddaten!Z485&lt;&gt;""),IF(Programme_Grunddaten!Z485="Ja",1,0),"")</f>
        <v/>
      </c>
      <c r="S480" s="1" t="str">
        <f>IF(AND(Programme_Grunddaten!$A485="Geprüft",Programme_Grunddaten!AA485&lt;&gt;""),IF(Programme_Grunddaten!AA485="monolithisch",1,0),"")</f>
        <v/>
      </c>
      <c r="T480" s="1" t="str">
        <f>IF(AND(Programme_Grunddaten!$A485="Geprüft",Programme_Grunddaten!AB485&lt;&gt;""),IF(Programme_Grunddaten!AB485="Ja",1,0),"")</f>
        <v/>
      </c>
      <c r="U480" s="1" t="str">
        <f>IF(AND(Programme_Grunddaten!$A485="Geprüft",Programme_Grunddaten!AC485&lt;&gt;""),IF(Programme_Grunddaten!AC485="Ja",1,0),"")</f>
        <v/>
      </c>
      <c r="V480" s="1" t="str">
        <f>IF(AND(Programme_Grunddaten!$A485="Geprüft",Programme_Grunddaten!AD485&lt;&gt;""),IF(Programme_Grunddaten!AD485="Ja",1,0),"")</f>
        <v/>
      </c>
      <c r="W480" s="1" t="str">
        <f>IF(AND(Programme_Grunddaten!$A485="Geprüft",Programme_Grunddaten!AE485&lt;&gt;""),IF(Programme_Grunddaten!AE485="Ja",1,0),"")</f>
        <v/>
      </c>
      <c r="X480" s="1" t="str">
        <f>IF(AND(Programme_Grunddaten!$A485="Geprüft",Programme_Grunddaten!AF485&lt;&gt;""),IF(Programme_Grunddaten!AF485="Ja",1,0),"")</f>
        <v/>
      </c>
      <c r="Y480" s="1" t="str">
        <f>IF(AND(Programme_Grunddaten!$A485="Geprüft",Programme_Grunddaten!AG485&lt;&gt;""),IF(Programme_Grunddaten!AG485="Ja",1,0),"")</f>
        <v/>
      </c>
      <c r="Z480" s="1" t="str">
        <f>IF(AND(Programme_Grunddaten!$A485="Geprüft",Programme_Grunddaten!AH485&lt;&gt;""),IF(Programme_Grunddaten!AH485="Ja",1,0),"")</f>
        <v/>
      </c>
      <c r="AA480" s="1" t="str">
        <f>IF(AND(Programme_Grunddaten!$A485="Geprüft",Programme_Grunddaten!AI485&lt;&gt;""),IF(Programme_Grunddaten!AI485="Ja",1,0),"")</f>
        <v/>
      </c>
      <c r="AB480" s="1" t="str">
        <f>IF(AND(Programme_Grunddaten!$A485="Geprüft",Programme_Grunddaten!AJ485&lt;&gt;""),IF(Programme_Grunddaten!AJ485="individuell programmierbar",1,0),"")</f>
        <v/>
      </c>
      <c r="AC480" s="1" t="str">
        <f>IF(AND(Programme_Grunddaten!$A485="Geprüft",Programme_Grunddaten!AK485&lt;&gt;""),IF(Programme_Grunddaten!AK485="Deutsch",0,IF(Programme_Grunddaten!AK485="Deutsch und Englisch",1,2)),"")</f>
        <v/>
      </c>
      <c r="AD480" s="1" t="str">
        <f>IF(AND(Programme_Grunddaten!$A485="Geprüft",Programme_Grunddaten!AL485&lt;&gt;""),IF(Programme_Grunddaten!AL485="Ja",1,0),"")</f>
        <v/>
      </c>
      <c r="AE480" s="1" t="str">
        <f>IF(AND(Programme_Grunddaten!$A485="Geprüft",Programme_Grunddaten!AM485&lt;&gt;""),IF(Programme_Grunddaten!AM485="Ja",1,0),"")</f>
        <v/>
      </c>
      <c r="AF480" s="1" t="str">
        <f>IF(AND(Programme_Grunddaten!$A485="Geprüft",Programme_Grunddaten!AN485&lt;&gt;""),IF(Programme_Grunddaten!AN485="Ja",1,0),"")</f>
        <v/>
      </c>
      <c r="AG480" s="1" t="str">
        <f>IF(AND(Programme_Grunddaten!$A485="Geprüft",Programme_Grunddaten!AO485&lt;&gt;""),IF(Programme_Grunddaten!AO485="Ja",1,0),"")</f>
        <v/>
      </c>
      <c r="AH480" s="1" t="str">
        <f>IF(AND(Programme_Grunddaten!$A485="Geprüft",Programme_Grunddaten!AP485&lt;&gt;""),IF(Programme_Grunddaten!AP485="Ja",1,0),"")</f>
        <v/>
      </c>
      <c r="AI480" s="1" t="str">
        <f>IF(AND(Programme_Grunddaten!$A485="Geprüft",Programme_Grunddaten!AQ485&lt;&gt;""),IF(Programme_Grunddaten!AQ485="Ja",1,0),"")</f>
        <v/>
      </c>
      <c r="AJ480" s="1" t="str">
        <f>IF(AND(Programme_Grunddaten!$A485="Geprüft",Programme_Grunddaten!AR485&lt;&gt;""),IF(Programme_Grunddaten!AR485="Ja",1,0),"")</f>
        <v/>
      </c>
      <c r="AK480" s="1" t="str">
        <f>IF(AND(Programme_Grunddaten!$A485="Geprüft",Programme_Grunddaten!AS485&lt;&gt;""),IF(Programme_Grunddaten!AS485="Ja",1,0),"")</f>
        <v/>
      </c>
      <c r="AL480" s="1" t="str">
        <f>IF(AND(Programme_Grunddaten!$A485="Geprüft",Programme_Grunddaten!AT485&lt;&gt;""),IF(Programme_Grunddaten!AT485="Ja",1,0),"")</f>
        <v/>
      </c>
      <c r="AM480" s="1" t="str">
        <f>IF(AND(Programme_Grunddaten!$A485="Geprüft",Programme_Grunddaten!AU485&lt;&gt;""),IF(Programme_Grunddaten!AU485="Ja",1,0),"")</f>
        <v/>
      </c>
      <c r="AN480" s="1" t="str">
        <f>IF(AND(Programme_Grunddaten!$A485="Geprüft",Programme_Grunddaten!AV485&lt;&gt;""),IF(Programme_Grunddaten!AV485="Ja",1,0),"")</f>
        <v/>
      </c>
    </row>
    <row r="481" spans="1:40" x14ac:dyDescent="0.3">
      <c r="A481" s="1" t="str">
        <f>IF(AND(Programme_Grunddaten!A486="Geprüft",Programme_Grunddaten!B486&lt;&gt;""),Programme_Grunddaten!B486,"")</f>
        <v/>
      </c>
      <c r="B481" s="1" t="str">
        <f>IF(AND(Programme_Grunddaten!$A486="Geprüft",Programme_Grunddaten!I486&lt;&gt;""),IF(Programme_Grunddaten!I486="Ja",1,0),"")</f>
        <v/>
      </c>
      <c r="C481" s="1" t="str">
        <f>IF(AND(Programme_Grunddaten!$A486="Geprüft",Programme_Grunddaten!J486&lt;&gt;""),IF(Programme_Grunddaten!J486="Ja",1,0),"")</f>
        <v/>
      </c>
      <c r="D481" s="1" t="str">
        <f>IF(AND(Programme_Grunddaten!$A486="Geprüft",Programme_Grunddaten!K486&lt;&gt;""),IF(Programme_Grunddaten!K486="Ja",1,0),"")</f>
        <v/>
      </c>
      <c r="E481" s="1" t="str">
        <f>IF(AND(Programme_Grunddaten!$A486="Geprüft",Programme_Grunddaten!L486&lt;&gt;""),IF(Programme_Grunddaten!L486="Abo / befristete Lizenz",1,0),"")</f>
        <v/>
      </c>
      <c r="F481" s="1" t="str">
        <f>IF(AND(Programme_Grunddaten!$A486="Geprüft",Programme_Grunddaten!M486&lt;&gt;""),IF(Programme_Grunddaten!M486="Ja",1,0),"")</f>
        <v/>
      </c>
      <c r="G481" s="1" t="str">
        <f>IF(AND(Programme_Grunddaten!$A486="Geprüft",Programme_Grunddaten!N486&lt;&gt;""),IF(Programme_Grunddaten!N486="Ja",1,0),"")</f>
        <v/>
      </c>
      <c r="H481" s="1" t="str">
        <f>IF(AND(Programme_Grunddaten!$A486="Geprüft",Programme_Grunddaten!O486&lt;&gt;""),IF(Programme_Grunddaten!O486="Deutschland",0,IF(Programme_Grunddaten!O486="EU",1,2)),"")</f>
        <v/>
      </c>
      <c r="I481" s="1" t="str">
        <f>IF(AND(Programme_Grunddaten!$A486="Geprüft",Programme_Grunddaten!P486&lt;&gt;""),IF(Programme_Grunddaten!P486="Ja",1,0),"")</f>
        <v/>
      </c>
      <c r="J481" s="1" t="str">
        <f>IF(AND(Programme_Grunddaten!$A486="Geprüft",Programme_Grunddaten!Q486&lt;&gt;""),IF(Programme_Grunddaten!Q486="geschlossenes System",1,0),"")</f>
        <v/>
      </c>
      <c r="K481" s="1" t="str">
        <f>IF(AND(Programme_Grunddaten!$A486="Geprüft",Programme_Grunddaten!R486&lt;&gt;""),IF(Programme_Grunddaten!R486="Ja",1,0),"")</f>
        <v/>
      </c>
      <c r="L481" s="1" t="str">
        <f>IF(AND(Programme_Grunddaten!$A486="Geprüft",Programme_Grunddaten!T486&lt;&gt;""),IF(Programme_Grunddaten!T486="Ja",1,0),"")</f>
        <v/>
      </c>
      <c r="M481" s="1" t="str">
        <f>IF(AND(Programme_Grunddaten!$A486="Geprüft",Programme_Grunddaten!U486&lt;&gt;""),IF(Programme_Grunddaten!U486="Ja",1,0),"")</f>
        <v/>
      </c>
      <c r="N481" s="1" t="str">
        <f>IF(AND(Programme_Grunddaten!$A486="Geprüft",Programme_Grunddaten!V486&lt;&gt;""),IF(Programme_Grunddaten!V486="Ja",1,0),"")</f>
        <v/>
      </c>
      <c r="O481" s="1" t="str">
        <f>IF(AND(Programme_Grunddaten!$A486="Geprüft",Programme_Grunddaten!W486&lt;&gt;""),IF(Programme_Grunddaten!W486="Ja",1,0),"")</f>
        <v/>
      </c>
      <c r="P481" s="1" t="str">
        <f>IF(AND(Programme_Grunddaten!$A486="Geprüft",Programme_Grunddaten!X486&lt;&gt;""),IF(Programme_Grunddaten!X486="Ja",1,0),"")</f>
        <v/>
      </c>
      <c r="Q481" s="1" t="str">
        <f>IF(AND(Programme_Grunddaten!$A486="Geprüft",Programme_Grunddaten!Y486&lt;&gt;""),IF(Programme_Grunddaten!Y486="Ja",1,0),"")</f>
        <v/>
      </c>
      <c r="R481" s="1" t="str">
        <f>IF(AND(Programme_Grunddaten!$A486="Geprüft",Programme_Grunddaten!Z486&lt;&gt;""),IF(Programme_Grunddaten!Z486="Ja",1,0),"")</f>
        <v/>
      </c>
      <c r="S481" s="1" t="str">
        <f>IF(AND(Programme_Grunddaten!$A486="Geprüft",Programme_Grunddaten!AA486&lt;&gt;""),IF(Programme_Grunddaten!AA486="monolithisch",1,0),"")</f>
        <v/>
      </c>
      <c r="T481" s="1" t="str">
        <f>IF(AND(Programme_Grunddaten!$A486="Geprüft",Programme_Grunddaten!AB486&lt;&gt;""),IF(Programme_Grunddaten!AB486="Ja",1,0),"")</f>
        <v/>
      </c>
      <c r="U481" s="1" t="str">
        <f>IF(AND(Programme_Grunddaten!$A486="Geprüft",Programme_Grunddaten!AC486&lt;&gt;""),IF(Programme_Grunddaten!AC486="Ja",1,0),"")</f>
        <v/>
      </c>
      <c r="V481" s="1" t="str">
        <f>IF(AND(Programme_Grunddaten!$A486="Geprüft",Programme_Grunddaten!AD486&lt;&gt;""),IF(Programme_Grunddaten!AD486="Ja",1,0),"")</f>
        <v/>
      </c>
      <c r="W481" s="1" t="str">
        <f>IF(AND(Programme_Grunddaten!$A486="Geprüft",Programme_Grunddaten!AE486&lt;&gt;""),IF(Programme_Grunddaten!AE486="Ja",1,0),"")</f>
        <v/>
      </c>
      <c r="X481" s="1" t="str">
        <f>IF(AND(Programme_Grunddaten!$A486="Geprüft",Programme_Grunddaten!AF486&lt;&gt;""),IF(Programme_Grunddaten!AF486="Ja",1,0),"")</f>
        <v/>
      </c>
      <c r="Y481" s="1" t="str">
        <f>IF(AND(Programme_Grunddaten!$A486="Geprüft",Programme_Grunddaten!AG486&lt;&gt;""),IF(Programme_Grunddaten!AG486="Ja",1,0),"")</f>
        <v/>
      </c>
      <c r="Z481" s="1" t="str">
        <f>IF(AND(Programme_Grunddaten!$A486="Geprüft",Programme_Grunddaten!AH486&lt;&gt;""),IF(Programme_Grunddaten!AH486="Ja",1,0),"")</f>
        <v/>
      </c>
      <c r="AA481" s="1" t="str">
        <f>IF(AND(Programme_Grunddaten!$A486="Geprüft",Programme_Grunddaten!AI486&lt;&gt;""),IF(Programme_Grunddaten!AI486="Ja",1,0),"")</f>
        <v/>
      </c>
      <c r="AB481" s="1" t="str">
        <f>IF(AND(Programme_Grunddaten!$A486="Geprüft",Programme_Grunddaten!AJ486&lt;&gt;""),IF(Programme_Grunddaten!AJ486="individuell programmierbar",1,0),"")</f>
        <v/>
      </c>
      <c r="AC481" s="1" t="str">
        <f>IF(AND(Programme_Grunddaten!$A486="Geprüft",Programme_Grunddaten!AK486&lt;&gt;""),IF(Programme_Grunddaten!AK486="Deutsch",0,IF(Programme_Grunddaten!AK486="Deutsch und Englisch",1,2)),"")</f>
        <v/>
      </c>
      <c r="AD481" s="1" t="str">
        <f>IF(AND(Programme_Grunddaten!$A486="Geprüft",Programme_Grunddaten!AL486&lt;&gt;""),IF(Programme_Grunddaten!AL486="Ja",1,0),"")</f>
        <v/>
      </c>
      <c r="AE481" s="1" t="str">
        <f>IF(AND(Programme_Grunddaten!$A486="Geprüft",Programme_Grunddaten!AM486&lt;&gt;""),IF(Programme_Grunddaten!AM486="Ja",1,0),"")</f>
        <v/>
      </c>
      <c r="AF481" s="1" t="str">
        <f>IF(AND(Programme_Grunddaten!$A486="Geprüft",Programme_Grunddaten!AN486&lt;&gt;""),IF(Programme_Grunddaten!AN486="Ja",1,0),"")</f>
        <v/>
      </c>
      <c r="AG481" s="1" t="str">
        <f>IF(AND(Programme_Grunddaten!$A486="Geprüft",Programme_Grunddaten!AO486&lt;&gt;""),IF(Programme_Grunddaten!AO486="Ja",1,0),"")</f>
        <v/>
      </c>
      <c r="AH481" s="1" t="str">
        <f>IF(AND(Programme_Grunddaten!$A486="Geprüft",Programme_Grunddaten!AP486&lt;&gt;""),IF(Programme_Grunddaten!AP486="Ja",1,0),"")</f>
        <v/>
      </c>
      <c r="AI481" s="1" t="str">
        <f>IF(AND(Programme_Grunddaten!$A486="Geprüft",Programme_Grunddaten!AQ486&lt;&gt;""),IF(Programme_Grunddaten!AQ486="Ja",1,0),"")</f>
        <v/>
      </c>
      <c r="AJ481" s="1" t="str">
        <f>IF(AND(Programme_Grunddaten!$A486="Geprüft",Programme_Grunddaten!AR486&lt;&gt;""),IF(Programme_Grunddaten!AR486="Ja",1,0),"")</f>
        <v/>
      </c>
      <c r="AK481" s="1" t="str">
        <f>IF(AND(Programme_Grunddaten!$A486="Geprüft",Programme_Grunddaten!AS486&lt;&gt;""),IF(Programme_Grunddaten!AS486="Ja",1,0),"")</f>
        <v/>
      </c>
      <c r="AL481" s="1" t="str">
        <f>IF(AND(Programme_Grunddaten!$A486="Geprüft",Programme_Grunddaten!AT486&lt;&gt;""),IF(Programme_Grunddaten!AT486="Ja",1,0),"")</f>
        <v/>
      </c>
      <c r="AM481" s="1" t="str">
        <f>IF(AND(Programme_Grunddaten!$A486="Geprüft",Programme_Grunddaten!AU486&lt;&gt;""),IF(Programme_Grunddaten!AU486="Ja",1,0),"")</f>
        <v/>
      </c>
      <c r="AN481" s="1" t="str">
        <f>IF(AND(Programme_Grunddaten!$A486="Geprüft",Programme_Grunddaten!AV486&lt;&gt;""),IF(Programme_Grunddaten!AV486="Ja",1,0),"")</f>
        <v/>
      </c>
    </row>
    <row r="482" spans="1:40" x14ac:dyDescent="0.3">
      <c r="A482" s="1" t="str">
        <f>IF(AND(Programme_Grunddaten!A487="Geprüft",Programme_Grunddaten!B487&lt;&gt;""),Programme_Grunddaten!B487,"")</f>
        <v/>
      </c>
      <c r="B482" s="1" t="str">
        <f>IF(AND(Programme_Grunddaten!$A487="Geprüft",Programme_Grunddaten!I487&lt;&gt;""),IF(Programme_Grunddaten!I487="Ja",1,0),"")</f>
        <v/>
      </c>
      <c r="C482" s="1" t="str">
        <f>IF(AND(Programme_Grunddaten!$A487="Geprüft",Programme_Grunddaten!J487&lt;&gt;""),IF(Programme_Grunddaten!J487="Ja",1,0),"")</f>
        <v/>
      </c>
      <c r="D482" s="1" t="str">
        <f>IF(AND(Programme_Grunddaten!$A487="Geprüft",Programme_Grunddaten!K487&lt;&gt;""),IF(Programme_Grunddaten!K487="Ja",1,0),"")</f>
        <v/>
      </c>
      <c r="E482" s="1" t="str">
        <f>IF(AND(Programme_Grunddaten!$A487="Geprüft",Programme_Grunddaten!L487&lt;&gt;""),IF(Programme_Grunddaten!L487="Abo / befristete Lizenz",1,0),"")</f>
        <v/>
      </c>
      <c r="F482" s="1" t="str">
        <f>IF(AND(Programme_Grunddaten!$A487="Geprüft",Programme_Grunddaten!M487&lt;&gt;""),IF(Programme_Grunddaten!M487="Ja",1,0),"")</f>
        <v/>
      </c>
      <c r="G482" s="1" t="str">
        <f>IF(AND(Programme_Grunddaten!$A487="Geprüft",Programme_Grunddaten!N487&lt;&gt;""),IF(Programme_Grunddaten!N487="Ja",1,0),"")</f>
        <v/>
      </c>
      <c r="H482" s="1" t="str">
        <f>IF(AND(Programme_Grunddaten!$A487="Geprüft",Programme_Grunddaten!O487&lt;&gt;""),IF(Programme_Grunddaten!O487="Deutschland",0,IF(Programme_Grunddaten!O487="EU",1,2)),"")</f>
        <v/>
      </c>
      <c r="I482" s="1" t="str">
        <f>IF(AND(Programme_Grunddaten!$A487="Geprüft",Programme_Grunddaten!P487&lt;&gt;""),IF(Programme_Grunddaten!P487="Ja",1,0),"")</f>
        <v/>
      </c>
      <c r="J482" s="1" t="str">
        <f>IF(AND(Programme_Grunddaten!$A487="Geprüft",Programme_Grunddaten!Q487&lt;&gt;""),IF(Programme_Grunddaten!Q487="geschlossenes System",1,0),"")</f>
        <v/>
      </c>
      <c r="K482" s="1" t="str">
        <f>IF(AND(Programme_Grunddaten!$A487="Geprüft",Programme_Grunddaten!R487&lt;&gt;""),IF(Programme_Grunddaten!R487="Ja",1,0),"")</f>
        <v/>
      </c>
      <c r="L482" s="1" t="str">
        <f>IF(AND(Programme_Grunddaten!$A487="Geprüft",Programme_Grunddaten!T487&lt;&gt;""),IF(Programme_Grunddaten!T487="Ja",1,0),"")</f>
        <v/>
      </c>
      <c r="M482" s="1" t="str">
        <f>IF(AND(Programme_Grunddaten!$A487="Geprüft",Programme_Grunddaten!U487&lt;&gt;""),IF(Programme_Grunddaten!U487="Ja",1,0),"")</f>
        <v/>
      </c>
      <c r="N482" s="1" t="str">
        <f>IF(AND(Programme_Grunddaten!$A487="Geprüft",Programme_Grunddaten!V487&lt;&gt;""),IF(Programme_Grunddaten!V487="Ja",1,0),"")</f>
        <v/>
      </c>
      <c r="O482" s="1" t="str">
        <f>IF(AND(Programme_Grunddaten!$A487="Geprüft",Programme_Grunddaten!W487&lt;&gt;""),IF(Programme_Grunddaten!W487="Ja",1,0),"")</f>
        <v/>
      </c>
      <c r="P482" s="1" t="str">
        <f>IF(AND(Programme_Grunddaten!$A487="Geprüft",Programme_Grunddaten!X487&lt;&gt;""),IF(Programme_Grunddaten!X487="Ja",1,0),"")</f>
        <v/>
      </c>
      <c r="Q482" s="1" t="str">
        <f>IF(AND(Programme_Grunddaten!$A487="Geprüft",Programme_Grunddaten!Y487&lt;&gt;""),IF(Programme_Grunddaten!Y487="Ja",1,0),"")</f>
        <v/>
      </c>
      <c r="R482" s="1" t="str">
        <f>IF(AND(Programme_Grunddaten!$A487="Geprüft",Programme_Grunddaten!Z487&lt;&gt;""),IF(Programme_Grunddaten!Z487="Ja",1,0),"")</f>
        <v/>
      </c>
      <c r="S482" s="1" t="str">
        <f>IF(AND(Programme_Grunddaten!$A487="Geprüft",Programme_Grunddaten!AA487&lt;&gt;""),IF(Programme_Grunddaten!AA487="monolithisch",1,0),"")</f>
        <v/>
      </c>
      <c r="T482" s="1" t="str">
        <f>IF(AND(Programme_Grunddaten!$A487="Geprüft",Programme_Grunddaten!AB487&lt;&gt;""),IF(Programme_Grunddaten!AB487="Ja",1,0),"")</f>
        <v/>
      </c>
      <c r="U482" s="1" t="str">
        <f>IF(AND(Programme_Grunddaten!$A487="Geprüft",Programme_Grunddaten!AC487&lt;&gt;""),IF(Programme_Grunddaten!AC487="Ja",1,0),"")</f>
        <v/>
      </c>
      <c r="V482" s="1" t="str">
        <f>IF(AND(Programme_Grunddaten!$A487="Geprüft",Programme_Grunddaten!AD487&lt;&gt;""),IF(Programme_Grunddaten!AD487="Ja",1,0),"")</f>
        <v/>
      </c>
      <c r="W482" s="1" t="str">
        <f>IF(AND(Programme_Grunddaten!$A487="Geprüft",Programme_Grunddaten!AE487&lt;&gt;""),IF(Programme_Grunddaten!AE487="Ja",1,0),"")</f>
        <v/>
      </c>
      <c r="X482" s="1" t="str">
        <f>IF(AND(Programme_Grunddaten!$A487="Geprüft",Programme_Grunddaten!AF487&lt;&gt;""),IF(Programme_Grunddaten!AF487="Ja",1,0),"")</f>
        <v/>
      </c>
      <c r="Y482" s="1" t="str">
        <f>IF(AND(Programme_Grunddaten!$A487="Geprüft",Programme_Grunddaten!AG487&lt;&gt;""),IF(Programme_Grunddaten!AG487="Ja",1,0),"")</f>
        <v/>
      </c>
      <c r="Z482" s="1" t="str">
        <f>IF(AND(Programme_Grunddaten!$A487="Geprüft",Programme_Grunddaten!AH487&lt;&gt;""),IF(Programme_Grunddaten!AH487="Ja",1,0),"")</f>
        <v/>
      </c>
      <c r="AA482" s="1" t="str">
        <f>IF(AND(Programme_Grunddaten!$A487="Geprüft",Programme_Grunddaten!AI487&lt;&gt;""),IF(Programme_Grunddaten!AI487="Ja",1,0),"")</f>
        <v/>
      </c>
      <c r="AB482" s="1" t="str">
        <f>IF(AND(Programme_Grunddaten!$A487="Geprüft",Programme_Grunddaten!AJ487&lt;&gt;""),IF(Programme_Grunddaten!AJ487="individuell programmierbar",1,0),"")</f>
        <v/>
      </c>
      <c r="AC482" s="1" t="str">
        <f>IF(AND(Programme_Grunddaten!$A487="Geprüft",Programme_Grunddaten!AK487&lt;&gt;""),IF(Programme_Grunddaten!AK487="Deutsch",0,IF(Programme_Grunddaten!AK487="Deutsch und Englisch",1,2)),"")</f>
        <v/>
      </c>
      <c r="AD482" s="1" t="str">
        <f>IF(AND(Programme_Grunddaten!$A487="Geprüft",Programme_Grunddaten!AL487&lt;&gt;""),IF(Programme_Grunddaten!AL487="Ja",1,0),"")</f>
        <v/>
      </c>
      <c r="AE482" s="1" t="str">
        <f>IF(AND(Programme_Grunddaten!$A487="Geprüft",Programme_Grunddaten!AM487&lt;&gt;""),IF(Programme_Grunddaten!AM487="Ja",1,0),"")</f>
        <v/>
      </c>
      <c r="AF482" s="1" t="str">
        <f>IF(AND(Programme_Grunddaten!$A487="Geprüft",Programme_Grunddaten!AN487&lt;&gt;""),IF(Programme_Grunddaten!AN487="Ja",1,0),"")</f>
        <v/>
      </c>
      <c r="AG482" s="1" t="str">
        <f>IF(AND(Programme_Grunddaten!$A487="Geprüft",Programme_Grunddaten!AO487&lt;&gt;""),IF(Programme_Grunddaten!AO487="Ja",1,0),"")</f>
        <v/>
      </c>
      <c r="AH482" s="1" t="str">
        <f>IF(AND(Programme_Grunddaten!$A487="Geprüft",Programme_Grunddaten!AP487&lt;&gt;""),IF(Programme_Grunddaten!AP487="Ja",1,0),"")</f>
        <v/>
      </c>
      <c r="AI482" s="1" t="str">
        <f>IF(AND(Programme_Grunddaten!$A487="Geprüft",Programme_Grunddaten!AQ487&lt;&gt;""),IF(Programme_Grunddaten!AQ487="Ja",1,0),"")</f>
        <v/>
      </c>
      <c r="AJ482" s="1" t="str">
        <f>IF(AND(Programme_Grunddaten!$A487="Geprüft",Programme_Grunddaten!AR487&lt;&gt;""),IF(Programme_Grunddaten!AR487="Ja",1,0),"")</f>
        <v/>
      </c>
      <c r="AK482" s="1" t="str">
        <f>IF(AND(Programme_Grunddaten!$A487="Geprüft",Programme_Grunddaten!AS487&lt;&gt;""),IF(Programme_Grunddaten!AS487="Ja",1,0),"")</f>
        <v/>
      </c>
      <c r="AL482" s="1" t="str">
        <f>IF(AND(Programme_Grunddaten!$A487="Geprüft",Programme_Grunddaten!AT487&lt;&gt;""),IF(Programme_Grunddaten!AT487="Ja",1,0),"")</f>
        <v/>
      </c>
      <c r="AM482" s="1" t="str">
        <f>IF(AND(Programme_Grunddaten!$A487="Geprüft",Programme_Grunddaten!AU487&lt;&gt;""),IF(Programme_Grunddaten!AU487="Ja",1,0),"")</f>
        <v/>
      </c>
      <c r="AN482" s="1" t="str">
        <f>IF(AND(Programme_Grunddaten!$A487="Geprüft",Programme_Grunddaten!AV487&lt;&gt;""),IF(Programme_Grunddaten!AV487="Ja",1,0),"")</f>
        <v/>
      </c>
    </row>
    <row r="483" spans="1:40" x14ac:dyDescent="0.3">
      <c r="A483" s="1" t="str">
        <f>IF(AND(Programme_Grunddaten!A488="Geprüft",Programme_Grunddaten!B488&lt;&gt;""),Programme_Grunddaten!B488,"")</f>
        <v/>
      </c>
      <c r="B483" s="1" t="str">
        <f>IF(AND(Programme_Grunddaten!$A488="Geprüft",Programme_Grunddaten!I488&lt;&gt;""),IF(Programme_Grunddaten!I488="Ja",1,0),"")</f>
        <v/>
      </c>
      <c r="C483" s="1" t="str">
        <f>IF(AND(Programme_Grunddaten!$A488="Geprüft",Programme_Grunddaten!J488&lt;&gt;""),IF(Programme_Grunddaten!J488="Ja",1,0),"")</f>
        <v/>
      </c>
      <c r="D483" s="1" t="str">
        <f>IF(AND(Programme_Grunddaten!$A488="Geprüft",Programme_Grunddaten!K488&lt;&gt;""),IF(Programme_Grunddaten!K488="Ja",1,0),"")</f>
        <v/>
      </c>
      <c r="E483" s="1" t="str">
        <f>IF(AND(Programme_Grunddaten!$A488="Geprüft",Programme_Grunddaten!L488&lt;&gt;""),IF(Programme_Grunddaten!L488="Abo / befristete Lizenz",1,0),"")</f>
        <v/>
      </c>
      <c r="F483" s="1" t="str">
        <f>IF(AND(Programme_Grunddaten!$A488="Geprüft",Programme_Grunddaten!M488&lt;&gt;""),IF(Programme_Grunddaten!M488="Ja",1,0),"")</f>
        <v/>
      </c>
      <c r="G483" s="1" t="str">
        <f>IF(AND(Programme_Grunddaten!$A488="Geprüft",Programme_Grunddaten!N488&lt;&gt;""),IF(Programme_Grunddaten!N488="Ja",1,0),"")</f>
        <v/>
      </c>
      <c r="H483" s="1" t="str">
        <f>IF(AND(Programme_Grunddaten!$A488="Geprüft",Programme_Grunddaten!O488&lt;&gt;""),IF(Programme_Grunddaten!O488="Deutschland",0,IF(Programme_Grunddaten!O488="EU",1,2)),"")</f>
        <v/>
      </c>
      <c r="I483" s="1" t="str">
        <f>IF(AND(Programme_Grunddaten!$A488="Geprüft",Programme_Grunddaten!P488&lt;&gt;""),IF(Programme_Grunddaten!P488="Ja",1,0),"")</f>
        <v/>
      </c>
      <c r="J483" s="1" t="str">
        <f>IF(AND(Programme_Grunddaten!$A488="Geprüft",Programme_Grunddaten!Q488&lt;&gt;""),IF(Programme_Grunddaten!Q488="geschlossenes System",1,0),"")</f>
        <v/>
      </c>
      <c r="K483" s="1" t="str">
        <f>IF(AND(Programme_Grunddaten!$A488="Geprüft",Programme_Grunddaten!R488&lt;&gt;""),IF(Programme_Grunddaten!R488="Ja",1,0),"")</f>
        <v/>
      </c>
      <c r="L483" s="1" t="str">
        <f>IF(AND(Programme_Grunddaten!$A488="Geprüft",Programme_Grunddaten!T488&lt;&gt;""),IF(Programme_Grunddaten!T488="Ja",1,0),"")</f>
        <v/>
      </c>
      <c r="M483" s="1" t="str">
        <f>IF(AND(Programme_Grunddaten!$A488="Geprüft",Programme_Grunddaten!U488&lt;&gt;""),IF(Programme_Grunddaten!U488="Ja",1,0),"")</f>
        <v/>
      </c>
      <c r="N483" s="1" t="str">
        <f>IF(AND(Programme_Grunddaten!$A488="Geprüft",Programme_Grunddaten!V488&lt;&gt;""),IF(Programme_Grunddaten!V488="Ja",1,0),"")</f>
        <v/>
      </c>
      <c r="O483" s="1" t="str">
        <f>IF(AND(Programme_Grunddaten!$A488="Geprüft",Programme_Grunddaten!W488&lt;&gt;""),IF(Programme_Grunddaten!W488="Ja",1,0),"")</f>
        <v/>
      </c>
      <c r="P483" s="1" t="str">
        <f>IF(AND(Programme_Grunddaten!$A488="Geprüft",Programme_Grunddaten!X488&lt;&gt;""),IF(Programme_Grunddaten!X488="Ja",1,0),"")</f>
        <v/>
      </c>
      <c r="Q483" s="1" t="str">
        <f>IF(AND(Programme_Grunddaten!$A488="Geprüft",Programme_Grunddaten!Y488&lt;&gt;""),IF(Programme_Grunddaten!Y488="Ja",1,0),"")</f>
        <v/>
      </c>
      <c r="R483" s="1" t="str">
        <f>IF(AND(Programme_Grunddaten!$A488="Geprüft",Programme_Grunddaten!Z488&lt;&gt;""),IF(Programme_Grunddaten!Z488="Ja",1,0),"")</f>
        <v/>
      </c>
      <c r="S483" s="1" t="str">
        <f>IF(AND(Programme_Grunddaten!$A488="Geprüft",Programme_Grunddaten!AA488&lt;&gt;""),IF(Programme_Grunddaten!AA488="monolithisch",1,0),"")</f>
        <v/>
      </c>
      <c r="T483" s="1" t="str">
        <f>IF(AND(Programme_Grunddaten!$A488="Geprüft",Programme_Grunddaten!AB488&lt;&gt;""),IF(Programme_Grunddaten!AB488="Ja",1,0),"")</f>
        <v/>
      </c>
      <c r="U483" s="1" t="str">
        <f>IF(AND(Programme_Grunddaten!$A488="Geprüft",Programme_Grunddaten!AC488&lt;&gt;""),IF(Programme_Grunddaten!AC488="Ja",1,0),"")</f>
        <v/>
      </c>
      <c r="V483" s="1" t="str">
        <f>IF(AND(Programme_Grunddaten!$A488="Geprüft",Programme_Grunddaten!AD488&lt;&gt;""),IF(Programme_Grunddaten!AD488="Ja",1,0),"")</f>
        <v/>
      </c>
      <c r="W483" s="1" t="str">
        <f>IF(AND(Programme_Grunddaten!$A488="Geprüft",Programme_Grunddaten!AE488&lt;&gt;""),IF(Programme_Grunddaten!AE488="Ja",1,0),"")</f>
        <v/>
      </c>
      <c r="X483" s="1" t="str">
        <f>IF(AND(Programme_Grunddaten!$A488="Geprüft",Programme_Grunddaten!AF488&lt;&gt;""),IF(Programme_Grunddaten!AF488="Ja",1,0),"")</f>
        <v/>
      </c>
      <c r="Y483" s="1" t="str">
        <f>IF(AND(Programme_Grunddaten!$A488="Geprüft",Programme_Grunddaten!AG488&lt;&gt;""),IF(Programme_Grunddaten!AG488="Ja",1,0),"")</f>
        <v/>
      </c>
      <c r="Z483" s="1" t="str">
        <f>IF(AND(Programme_Grunddaten!$A488="Geprüft",Programme_Grunddaten!AH488&lt;&gt;""),IF(Programme_Grunddaten!AH488="Ja",1,0),"")</f>
        <v/>
      </c>
      <c r="AA483" s="1" t="str">
        <f>IF(AND(Programme_Grunddaten!$A488="Geprüft",Programme_Grunddaten!AI488&lt;&gt;""),IF(Programme_Grunddaten!AI488="Ja",1,0),"")</f>
        <v/>
      </c>
      <c r="AB483" s="1" t="str">
        <f>IF(AND(Programme_Grunddaten!$A488="Geprüft",Programme_Grunddaten!AJ488&lt;&gt;""),IF(Programme_Grunddaten!AJ488="individuell programmierbar",1,0),"")</f>
        <v/>
      </c>
      <c r="AC483" s="1" t="str">
        <f>IF(AND(Programme_Grunddaten!$A488="Geprüft",Programme_Grunddaten!AK488&lt;&gt;""),IF(Programme_Grunddaten!AK488="Deutsch",0,IF(Programme_Grunddaten!AK488="Deutsch und Englisch",1,2)),"")</f>
        <v/>
      </c>
      <c r="AD483" s="1" t="str">
        <f>IF(AND(Programme_Grunddaten!$A488="Geprüft",Programme_Grunddaten!AL488&lt;&gt;""),IF(Programme_Grunddaten!AL488="Ja",1,0),"")</f>
        <v/>
      </c>
      <c r="AE483" s="1" t="str">
        <f>IF(AND(Programme_Grunddaten!$A488="Geprüft",Programme_Grunddaten!AM488&lt;&gt;""),IF(Programme_Grunddaten!AM488="Ja",1,0),"")</f>
        <v/>
      </c>
      <c r="AF483" s="1" t="str">
        <f>IF(AND(Programme_Grunddaten!$A488="Geprüft",Programme_Grunddaten!AN488&lt;&gt;""),IF(Programme_Grunddaten!AN488="Ja",1,0),"")</f>
        <v/>
      </c>
      <c r="AG483" s="1" t="str">
        <f>IF(AND(Programme_Grunddaten!$A488="Geprüft",Programme_Grunddaten!AO488&lt;&gt;""),IF(Programme_Grunddaten!AO488="Ja",1,0),"")</f>
        <v/>
      </c>
      <c r="AH483" s="1" t="str">
        <f>IF(AND(Programme_Grunddaten!$A488="Geprüft",Programme_Grunddaten!AP488&lt;&gt;""),IF(Programme_Grunddaten!AP488="Ja",1,0),"")</f>
        <v/>
      </c>
      <c r="AI483" s="1" t="str">
        <f>IF(AND(Programme_Grunddaten!$A488="Geprüft",Programme_Grunddaten!AQ488&lt;&gt;""),IF(Programme_Grunddaten!AQ488="Ja",1,0),"")</f>
        <v/>
      </c>
      <c r="AJ483" s="1" t="str">
        <f>IF(AND(Programme_Grunddaten!$A488="Geprüft",Programme_Grunddaten!AR488&lt;&gt;""),IF(Programme_Grunddaten!AR488="Ja",1,0),"")</f>
        <v/>
      </c>
      <c r="AK483" s="1" t="str">
        <f>IF(AND(Programme_Grunddaten!$A488="Geprüft",Programme_Grunddaten!AS488&lt;&gt;""),IF(Programme_Grunddaten!AS488="Ja",1,0),"")</f>
        <v/>
      </c>
      <c r="AL483" s="1" t="str">
        <f>IF(AND(Programme_Grunddaten!$A488="Geprüft",Programme_Grunddaten!AT488&lt;&gt;""),IF(Programme_Grunddaten!AT488="Ja",1,0),"")</f>
        <v/>
      </c>
      <c r="AM483" s="1" t="str">
        <f>IF(AND(Programme_Grunddaten!$A488="Geprüft",Programme_Grunddaten!AU488&lt;&gt;""),IF(Programme_Grunddaten!AU488="Ja",1,0),"")</f>
        <v/>
      </c>
      <c r="AN483" s="1" t="str">
        <f>IF(AND(Programme_Grunddaten!$A488="Geprüft",Programme_Grunddaten!AV488&lt;&gt;""),IF(Programme_Grunddaten!AV488="Ja",1,0),"")</f>
        <v/>
      </c>
    </row>
    <row r="484" spans="1:40" x14ac:dyDescent="0.3">
      <c r="A484" s="1" t="str">
        <f>IF(AND(Programme_Grunddaten!A489="Geprüft",Programme_Grunddaten!B489&lt;&gt;""),Programme_Grunddaten!B489,"")</f>
        <v/>
      </c>
      <c r="B484" s="1" t="str">
        <f>IF(AND(Programme_Grunddaten!$A489="Geprüft",Programme_Grunddaten!I489&lt;&gt;""),IF(Programme_Grunddaten!I489="Ja",1,0),"")</f>
        <v/>
      </c>
      <c r="C484" s="1" t="str">
        <f>IF(AND(Programme_Grunddaten!$A489="Geprüft",Programme_Grunddaten!J489&lt;&gt;""),IF(Programme_Grunddaten!J489="Ja",1,0),"")</f>
        <v/>
      </c>
      <c r="D484" s="1" t="str">
        <f>IF(AND(Programme_Grunddaten!$A489="Geprüft",Programme_Grunddaten!K489&lt;&gt;""),IF(Programme_Grunddaten!K489="Ja",1,0),"")</f>
        <v/>
      </c>
      <c r="E484" s="1" t="str">
        <f>IF(AND(Programme_Grunddaten!$A489="Geprüft",Programme_Grunddaten!L489&lt;&gt;""),IF(Programme_Grunddaten!L489="Abo / befristete Lizenz",1,0),"")</f>
        <v/>
      </c>
      <c r="F484" s="1" t="str">
        <f>IF(AND(Programme_Grunddaten!$A489="Geprüft",Programme_Grunddaten!M489&lt;&gt;""),IF(Programme_Grunddaten!M489="Ja",1,0),"")</f>
        <v/>
      </c>
      <c r="G484" s="1" t="str">
        <f>IF(AND(Programme_Grunddaten!$A489="Geprüft",Programme_Grunddaten!N489&lt;&gt;""),IF(Programme_Grunddaten!N489="Ja",1,0),"")</f>
        <v/>
      </c>
      <c r="H484" s="1" t="str">
        <f>IF(AND(Programme_Grunddaten!$A489="Geprüft",Programme_Grunddaten!O489&lt;&gt;""),IF(Programme_Grunddaten!O489="Deutschland",0,IF(Programme_Grunddaten!O489="EU",1,2)),"")</f>
        <v/>
      </c>
      <c r="I484" s="1" t="str">
        <f>IF(AND(Programme_Grunddaten!$A489="Geprüft",Programme_Grunddaten!P489&lt;&gt;""),IF(Programme_Grunddaten!P489="Ja",1,0),"")</f>
        <v/>
      </c>
      <c r="J484" s="1" t="str">
        <f>IF(AND(Programme_Grunddaten!$A489="Geprüft",Programme_Grunddaten!Q489&lt;&gt;""),IF(Programme_Grunddaten!Q489="geschlossenes System",1,0),"")</f>
        <v/>
      </c>
      <c r="K484" s="1" t="str">
        <f>IF(AND(Programme_Grunddaten!$A489="Geprüft",Programme_Grunddaten!R489&lt;&gt;""),IF(Programme_Grunddaten!R489="Ja",1,0),"")</f>
        <v/>
      </c>
      <c r="L484" s="1" t="str">
        <f>IF(AND(Programme_Grunddaten!$A489="Geprüft",Programme_Grunddaten!T489&lt;&gt;""),IF(Programme_Grunddaten!T489="Ja",1,0),"")</f>
        <v/>
      </c>
      <c r="M484" s="1" t="str">
        <f>IF(AND(Programme_Grunddaten!$A489="Geprüft",Programme_Grunddaten!U489&lt;&gt;""),IF(Programme_Grunddaten!U489="Ja",1,0),"")</f>
        <v/>
      </c>
      <c r="N484" s="1" t="str">
        <f>IF(AND(Programme_Grunddaten!$A489="Geprüft",Programme_Grunddaten!V489&lt;&gt;""),IF(Programme_Grunddaten!V489="Ja",1,0),"")</f>
        <v/>
      </c>
      <c r="O484" s="1" t="str">
        <f>IF(AND(Programme_Grunddaten!$A489="Geprüft",Programme_Grunddaten!W489&lt;&gt;""),IF(Programme_Grunddaten!W489="Ja",1,0),"")</f>
        <v/>
      </c>
      <c r="P484" s="1" t="str">
        <f>IF(AND(Programme_Grunddaten!$A489="Geprüft",Programme_Grunddaten!X489&lt;&gt;""),IF(Programme_Grunddaten!X489="Ja",1,0),"")</f>
        <v/>
      </c>
      <c r="Q484" s="1" t="str">
        <f>IF(AND(Programme_Grunddaten!$A489="Geprüft",Programme_Grunddaten!Y489&lt;&gt;""),IF(Programme_Grunddaten!Y489="Ja",1,0),"")</f>
        <v/>
      </c>
      <c r="R484" s="1" t="str">
        <f>IF(AND(Programme_Grunddaten!$A489="Geprüft",Programme_Grunddaten!Z489&lt;&gt;""),IF(Programme_Grunddaten!Z489="Ja",1,0),"")</f>
        <v/>
      </c>
      <c r="S484" s="1" t="str">
        <f>IF(AND(Programme_Grunddaten!$A489="Geprüft",Programme_Grunddaten!AA489&lt;&gt;""),IF(Programme_Grunddaten!AA489="monolithisch",1,0),"")</f>
        <v/>
      </c>
      <c r="T484" s="1" t="str">
        <f>IF(AND(Programme_Grunddaten!$A489="Geprüft",Programme_Grunddaten!AB489&lt;&gt;""),IF(Programme_Grunddaten!AB489="Ja",1,0),"")</f>
        <v/>
      </c>
      <c r="U484" s="1" t="str">
        <f>IF(AND(Programme_Grunddaten!$A489="Geprüft",Programme_Grunddaten!AC489&lt;&gt;""),IF(Programme_Grunddaten!AC489="Ja",1,0),"")</f>
        <v/>
      </c>
      <c r="V484" s="1" t="str">
        <f>IF(AND(Programme_Grunddaten!$A489="Geprüft",Programme_Grunddaten!AD489&lt;&gt;""),IF(Programme_Grunddaten!AD489="Ja",1,0),"")</f>
        <v/>
      </c>
      <c r="W484" s="1" t="str">
        <f>IF(AND(Programme_Grunddaten!$A489="Geprüft",Programme_Grunddaten!AE489&lt;&gt;""),IF(Programme_Grunddaten!AE489="Ja",1,0),"")</f>
        <v/>
      </c>
      <c r="X484" s="1" t="str">
        <f>IF(AND(Programme_Grunddaten!$A489="Geprüft",Programme_Grunddaten!AF489&lt;&gt;""),IF(Programme_Grunddaten!AF489="Ja",1,0),"")</f>
        <v/>
      </c>
      <c r="Y484" s="1" t="str">
        <f>IF(AND(Programme_Grunddaten!$A489="Geprüft",Programme_Grunddaten!AG489&lt;&gt;""),IF(Programme_Grunddaten!AG489="Ja",1,0),"")</f>
        <v/>
      </c>
      <c r="Z484" s="1" t="str">
        <f>IF(AND(Programme_Grunddaten!$A489="Geprüft",Programme_Grunddaten!AH489&lt;&gt;""),IF(Programme_Grunddaten!AH489="Ja",1,0),"")</f>
        <v/>
      </c>
      <c r="AA484" s="1" t="str">
        <f>IF(AND(Programme_Grunddaten!$A489="Geprüft",Programme_Grunddaten!AI489&lt;&gt;""),IF(Programme_Grunddaten!AI489="Ja",1,0),"")</f>
        <v/>
      </c>
      <c r="AB484" s="1" t="str">
        <f>IF(AND(Programme_Grunddaten!$A489="Geprüft",Programme_Grunddaten!AJ489&lt;&gt;""),IF(Programme_Grunddaten!AJ489="individuell programmierbar",1,0),"")</f>
        <v/>
      </c>
      <c r="AC484" s="1" t="str">
        <f>IF(AND(Programme_Grunddaten!$A489="Geprüft",Programme_Grunddaten!AK489&lt;&gt;""),IF(Programme_Grunddaten!AK489="Deutsch",0,IF(Programme_Grunddaten!AK489="Deutsch und Englisch",1,2)),"")</f>
        <v/>
      </c>
      <c r="AD484" s="1" t="str">
        <f>IF(AND(Programme_Grunddaten!$A489="Geprüft",Programme_Grunddaten!AL489&lt;&gt;""),IF(Programme_Grunddaten!AL489="Ja",1,0),"")</f>
        <v/>
      </c>
      <c r="AE484" s="1" t="str">
        <f>IF(AND(Programme_Grunddaten!$A489="Geprüft",Programme_Grunddaten!AM489&lt;&gt;""),IF(Programme_Grunddaten!AM489="Ja",1,0),"")</f>
        <v/>
      </c>
      <c r="AF484" s="1" t="str">
        <f>IF(AND(Programme_Grunddaten!$A489="Geprüft",Programme_Grunddaten!AN489&lt;&gt;""),IF(Programme_Grunddaten!AN489="Ja",1,0),"")</f>
        <v/>
      </c>
      <c r="AG484" s="1" t="str">
        <f>IF(AND(Programme_Grunddaten!$A489="Geprüft",Programme_Grunddaten!AO489&lt;&gt;""),IF(Programme_Grunddaten!AO489="Ja",1,0),"")</f>
        <v/>
      </c>
      <c r="AH484" s="1" t="str">
        <f>IF(AND(Programme_Grunddaten!$A489="Geprüft",Programme_Grunddaten!AP489&lt;&gt;""),IF(Programme_Grunddaten!AP489="Ja",1,0),"")</f>
        <v/>
      </c>
      <c r="AI484" s="1" t="str">
        <f>IF(AND(Programme_Grunddaten!$A489="Geprüft",Programme_Grunddaten!AQ489&lt;&gt;""),IF(Programme_Grunddaten!AQ489="Ja",1,0),"")</f>
        <v/>
      </c>
      <c r="AJ484" s="1" t="str">
        <f>IF(AND(Programme_Grunddaten!$A489="Geprüft",Programme_Grunddaten!AR489&lt;&gt;""),IF(Programme_Grunddaten!AR489="Ja",1,0),"")</f>
        <v/>
      </c>
      <c r="AK484" s="1" t="str">
        <f>IF(AND(Programme_Grunddaten!$A489="Geprüft",Programme_Grunddaten!AS489&lt;&gt;""),IF(Programme_Grunddaten!AS489="Ja",1,0),"")</f>
        <v/>
      </c>
      <c r="AL484" s="1" t="str">
        <f>IF(AND(Programme_Grunddaten!$A489="Geprüft",Programme_Grunddaten!AT489&lt;&gt;""),IF(Programme_Grunddaten!AT489="Ja",1,0),"")</f>
        <v/>
      </c>
      <c r="AM484" s="1" t="str">
        <f>IF(AND(Programme_Grunddaten!$A489="Geprüft",Programme_Grunddaten!AU489&lt;&gt;""),IF(Programme_Grunddaten!AU489="Ja",1,0),"")</f>
        <v/>
      </c>
      <c r="AN484" s="1" t="str">
        <f>IF(AND(Programme_Grunddaten!$A489="Geprüft",Programme_Grunddaten!AV489&lt;&gt;""),IF(Programme_Grunddaten!AV489="Ja",1,0),"")</f>
        <v/>
      </c>
    </row>
    <row r="485" spans="1:40" x14ac:dyDescent="0.3">
      <c r="A485" s="1" t="str">
        <f>IF(AND(Programme_Grunddaten!A490="Geprüft",Programme_Grunddaten!B490&lt;&gt;""),Programme_Grunddaten!B490,"")</f>
        <v/>
      </c>
      <c r="B485" s="1" t="str">
        <f>IF(AND(Programme_Grunddaten!$A490="Geprüft",Programme_Grunddaten!I490&lt;&gt;""),IF(Programme_Grunddaten!I490="Ja",1,0),"")</f>
        <v/>
      </c>
      <c r="C485" s="1" t="str">
        <f>IF(AND(Programme_Grunddaten!$A490="Geprüft",Programme_Grunddaten!J490&lt;&gt;""),IF(Programme_Grunddaten!J490="Ja",1,0),"")</f>
        <v/>
      </c>
      <c r="D485" s="1" t="str">
        <f>IF(AND(Programme_Grunddaten!$A490="Geprüft",Programme_Grunddaten!K490&lt;&gt;""),IF(Programme_Grunddaten!K490="Ja",1,0),"")</f>
        <v/>
      </c>
      <c r="E485" s="1" t="str">
        <f>IF(AND(Programme_Grunddaten!$A490="Geprüft",Programme_Grunddaten!L490&lt;&gt;""),IF(Programme_Grunddaten!L490="Abo / befristete Lizenz",1,0),"")</f>
        <v/>
      </c>
      <c r="F485" s="1" t="str">
        <f>IF(AND(Programme_Grunddaten!$A490="Geprüft",Programme_Grunddaten!M490&lt;&gt;""),IF(Programme_Grunddaten!M490="Ja",1,0),"")</f>
        <v/>
      </c>
      <c r="G485" s="1" t="str">
        <f>IF(AND(Programme_Grunddaten!$A490="Geprüft",Programme_Grunddaten!N490&lt;&gt;""),IF(Programme_Grunddaten!N490="Ja",1,0),"")</f>
        <v/>
      </c>
      <c r="H485" s="1" t="str">
        <f>IF(AND(Programme_Grunddaten!$A490="Geprüft",Programme_Grunddaten!O490&lt;&gt;""),IF(Programme_Grunddaten!O490="Deutschland",0,IF(Programme_Grunddaten!O490="EU",1,2)),"")</f>
        <v/>
      </c>
      <c r="I485" s="1" t="str">
        <f>IF(AND(Programme_Grunddaten!$A490="Geprüft",Programme_Grunddaten!P490&lt;&gt;""),IF(Programme_Grunddaten!P490="Ja",1,0),"")</f>
        <v/>
      </c>
      <c r="J485" s="1" t="str">
        <f>IF(AND(Programme_Grunddaten!$A490="Geprüft",Programme_Grunddaten!Q490&lt;&gt;""),IF(Programme_Grunddaten!Q490="geschlossenes System",1,0),"")</f>
        <v/>
      </c>
      <c r="K485" s="1" t="str">
        <f>IF(AND(Programme_Grunddaten!$A490="Geprüft",Programme_Grunddaten!R490&lt;&gt;""),IF(Programme_Grunddaten!R490="Ja",1,0),"")</f>
        <v/>
      </c>
      <c r="L485" s="1" t="str">
        <f>IF(AND(Programme_Grunddaten!$A490="Geprüft",Programme_Grunddaten!T490&lt;&gt;""),IF(Programme_Grunddaten!T490="Ja",1,0),"")</f>
        <v/>
      </c>
      <c r="M485" s="1" t="str">
        <f>IF(AND(Programme_Grunddaten!$A490="Geprüft",Programme_Grunddaten!U490&lt;&gt;""),IF(Programme_Grunddaten!U490="Ja",1,0),"")</f>
        <v/>
      </c>
      <c r="N485" s="1" t="str">
        <f>IF(AND(Programme_Grunddaten!$A490="Geprüft",Programme_Grunddaten!V490&lt;&gt;""),IF(Programme_Grunddaten!V490="Ja",1,0),"")</f>
        <v/>
      </c>
      <c r="O485" s="1" t="str">
        <f>IF(AND(Programme_Grunddaten!$A490="Geprüft",Programme_Grunddaten!W490&lt;&gt;""),IF(Programme_Grunddaten!W490="Ja",1,0),"")</f>
        <v/>
      </c>
      <c r="P485" s="1" t="str">
        <f>IF(AND(Programme_Grunddaten!$A490="Geprüft",Programme_Grunddaten!X490&lt;&gt;""),IF(Programme_Grunddaten!X490="Ja",1,0),"")</f>
        <v/>
      </c>
      <c r="Q485" s="1" t="str">
        <f>IF(AND(Programme_Grunddaten!$A490="Geprüft",Programme_Grunddaten!Y490&lt;&gt;""),IF(Programme_Grunddaten!Y490="Ja",1,0),"")</f>
        <v/>
      </c>
      <c r="R485" s="1" t="str">
        <f>IF(AND(Programme_Grunddaten!$A490="Geprüft",Programme_Grunddaten!Z490&lt;&gt;""),IF(Programme_Grunddaten!Z490="Ja",1,0),"")</f>
        <v/>
      </c>
      <c r="S485" s="1" t="str">
        <f>IF(AND(Programme_Grunddaten!$A490="Geprüft",Programme_Grunddaten!AA490&lt;&gt;""),IF(Programme_Grunddaten!AA490="monolithisch",1,0),"")</f>
        <v/>
      </c>
      <c r="T485" s="1" t="str">
        <f>IF(AND(Programme_Grunddaten!$A490="Geprüft",Programme_Grunddaten!AB490&lt;&gt;""),IF(Programme_Grunddaten!AB490="Ja",1,0),"")</f>
        <v/>
      </c>
      <c r="U485" s="1" t="str">
        <f>IF(AND(Programme_Grunddaten!$A490="Geprüft",Programme_Grunddaten!AC490&lt;&gt;""),IF(Programme_Grunddaten!AC490="Ja",1,0),"")</f>
        <v/>
      </c>
      <c r="V485" s="1" t="str">
        <f>IF(AND(Programme_Grunddaten!$A490="Geprüft",Programme_Grunddaten!AD490&lt;&gt;""),IF(Programme_Grunddaten!AD490="Ja",1,0),"")</f>
        <v/>
      </c>
      <c r="W485" s="1" t="str">
        <f>IF(AND(Programme_Grunddaten!$A490="Geprüft",Programme_Grunddaten!AE490&lt;&gt;""),IF(Programme_Grunddaten!AE490="Ja",1,0),"")</f>
        <v/>
      </c>
      <c r="X485" s="1" t="str">
        <f>IF(AND(Programme_Grunddaten!$A490="Geprüft",Programme_Grunddaten!AF490&lt;&gt;""),IF(Programme_Grunddaten!AF490="Ja",1,0),"")</f>
        <v/>
      </c>
      <c r="Y485" s="1" t="str">
        <f>IF(AND(Programme_Grunddaten!$A490="Geprüft",Programme_Grunddaten!AG490&lt;&gt;""),IF(Programme_Grunddaten!AG490="Ja",1,0),"")</f>
        <v/>
      </c>
      <c r="Z485" s="1" t="str">
        <f>IF(AND(Programme_Grunddaten!$A490="Geprüft",Programme_Grunddaten!AH490&lt;&gt;""),IF(Programme_Grunddaten!AH490="Ja",1,0),"")</f>
        <v/>
      </c>
      <c r="AA485" s="1" t="str">
        <f>IF(AND(Programme_Grunddaten!$A490="Geprüft",Programme_Grunddaten!AI490&lt;&gt;""),IF(Programme_Grunddaten!AI490="Ja",1,0),"")</f>
        <v/>
      </c>
      <c r="AB485" s="1" t="str">
        <f>IF(AND(Programme_Grunddaten!$A490="Geprüft",Programme_Grunddaten!AJ490&lt;&gt;""),IF(Programme_Grunddaten!AJ490="individuell programmierbar",1,0),"")</f>
        <v/>
      </c>
      <c r="AC485" s="1" t="str">
        <f>IF(AND(Programme_Grunddaten!$A490="Geprüft",Programme_Grunddaten!AK490&lt;&gt;""),IF(Programme_Grunddaten!AK490="Deutsch",0,IF(Programme_Grunddaten!AK490="Deutsch und Englisch",1,2)),"")</f>
        <v/>
      </c>
      <c r="AD485" s="1" t="str">
        <f>IF(AND(Programme_Grunddaten!$A490="Geprüft",Programme_Grunddaten!AL490&lt;&gt;""),IF(Programme_Grunddaten!AL490="Ja",1,0),"")</f>
        <v/>
      </c>
      <c r="AE485" s="1" t="str">
        <f>IF(AND(Programme_Grunddaten!$A490="Geprüft",Programme_Grunddaten!AM490&lt;&gt;""),IF(Programme_Grunddaten!AM490="Ja",1,0),"")</f>
        <v/>
      </c>
      <c r="AF485" s="1" t="str">
        <f>IF(AND(Programme_Grunddaten!$A490="Geprüft",Programme_Grunddaten!AN490&lt;&gt;""),IF(Programme_Grunddaten!AN490="Ja",1,0),"")</f>
        <v/>
      </c>
      <c r="AG485" s="1" t="str">
        <f>IF(AND(Programme_Grunddaten!$A490="Geprüft",Programme_Grunddaten!AO490&lt;&gt;""),IF(Programme_Grunddaten!AO490="Ja",1,0),"")</f>
        <v/>
      </c>
      <c r="AH485" s="1" t="str">
        <f>IF(AND(Programme_Grunddaten!$A490="Geprüft",Programme_Grunddaten!AP490&lt;&gt;""),IF(Programme_Grunddaten!AP490="Ja",1,0),"")</f>
        <v/>
      </c>
      <c r="AI485" s="1" t="str">
        <f>IF(AND(Programme_Grunddaten!$A490="Geprüft",Programme_Grunddaten!AQ490&lt;&gt;""),IF(Programme_Grunddaten!AQ490="Ja",1,0),"")</f>
        <v/>
      </c>
      <c r="AJ485" s="1" t="str">
        <f>IF(AND(Programme_Grunddaten!$A490="Geprüft",Programme_Grunddaten!AR490&lt;&gt;""),IF(Programme_Grunddaten!AR490="Ja",1,0),"")</f>
        <v/>
      </c>
      <c r="AK485" s="1" t="str">
        <f>IF(AND(Programme_Grunddaten!$A490="Geprüft",Programme_Grunddaten!AS490&lt;&gt;""),IF(Programme_Grunddaten!AS490="Ja",1,0),"")</f>
        <v/>
      </c>
      <c r="AL485" s="1" t="str">
        <f>IF(AND(Programme_Grunddaten!$A490="Geprüft",Programme_Grunddaten!AT490&lt;&gt;""),IF(Programme_Grunddaten!AT490="Ja",1,0),"")</f>
        <v/>
      </c>
      <c r="AM485" s="1" t="str">
        <f>IF(AND(Programme_Grunddaten!$A490="Geprüft",Programme_Grunddaten!AU490&lt;&gt;""),IF(Programme_Grunddaten!AU490="Ja",1,0),"")</f>
        <v/>
      </c>
      <c r="AN485" s="1" t="str">
        <f>IF(AND(Programme_Grunddaten!$A490="Geprüft",Programme_Grunddaten!AV490&lt;&gt;""),IF(Programme_Grunddaten!AV490="Ja",1,0),"")</f>
        <v/>
      </c>
    </row>
    <row r="486" spans="1:40" x14ac:dyDescent="0.3">
      <c r="A486" s="1" t="str">
        <f>IF(AND(Programme_Grunddaten!A491="Geprüft",Programme_Grunddaten!B491&lt;&gt;""),Programme_Grunddaten!B491,"")</f>
        <v/>
      </c>
      <c r="B486" s="1" t="str">
        <f>IF(AND(Programme_Grunddaten!$A491="Geprüft",Programme_Grunddaten!I491&lt;&gt;""),IF(Programme_Grunddaten!I491="Ja",1,0),"")</f>
        <v/>
      </c>
      <c r="C486" s="1" t="str">
        <f>IF(AND(Programme_Grunddaten!$A491="Geprüft",Programme_Grunddaten!J491&lt;&gt;""),IF(Programme_Grunddaten!J491="Ja",1,0),"")</f>
        <v/>
      </c>
      <c r="D486" s="1" t="str">
        <f>IF(AND(Programme_Grunddaten!$A491="Geprüft",Programme_Grunddaten!K491&lt;&gt;""),IF(Programme_Grunddaten!K491="Ja",1,0),"")</f>
        <v/>
      </c>
      <c r="E486" s="1" t="str">
        <f>IF(AND(Programme_Grunddaten!$A491="Geprüft",Programme_Grunddaten!L491&lt;&gt;""),IF(Programme_Grunddaten!L491="Abo / befristete Lizenz",1,0),"")</f>
        <v/>
      </c>
      <c r="F486" s="1" t="str">
        <f>IF(AND(Programme_Grunddaten!$A491="Geprüft",Programme_Grunddaten!M491&lt;&gt;""),IF(Programme_Grunddaten!M491="Ja",1,0),"")</f>
        <v/>
      </c>
      <c r="G486" s="1" t="str">
        <f>IF(AND(Programme_Grunddaten!$A491="Geprüft",Programme_Grunddaten!N491&lt;&gt;""),IF(Programme_Grunddaten!N491="Ja",1,0),"")</f>
        <v/>
      </c>
      <c r="H486" s="1" t="str">
        <f>IF(AND(Programme_Grunddaten!$A491="Geprüft",Programme_Grunddaten!O491&lt;&gt;""),IF(Programme_Grunddaten!O491="Deutschland",0,IF(Programme_Grunddaten!O491="EU",1,2)),"")</f>
        <v/>
      </c>
      <c r="I486" s="1" t="str">
        <f>IF(AND(Programme_Grunddaten!$A491="Geprüft",Programme_Grunddaten!P491&lt;&gt;""),IF(Programme_Grunddaten!P491="Ja",1,0),"")</f>
        <v/>
      </c>
      <c r="J486" s="1" t="str">
        <f>IF(AND(Programme_Grunddaten!$A491="Geprüft",Programme_Grunddaten!Q491&lt;&gt;""),IF(Programme_Grunddaten!Q491="geschlossenes System",1,0),"")</f>
        <v/>
      </c>
      <c r="K486" s="1" t="str">
        <f>IF(AND(Programme_Grunddaten!$A491="Geprüft",Programme_Grunddaten!R491&lt;&gt;""),IF(Programme_Grunddaten!R491="Ja",1,0),"")</f>
        <v/>
      </c>
      <c r="L486" s="1" t="str">
        <f>IF(AND(Programme_Grunddaten!$A491="Geprüft",Programme_Grunddaten!T491&lt;&gt;""),IF(Programme_Grunddaten!T491="Ja",1,0),"")</f>
        <v/>
      </c>
      <c r="M486" s="1" t="str">
        <f>IF(AND(Programme_Grunddaten!$A491="Geprüft",Programme_Grunddaten!U491&lt;&gt;""),IF(Programme_Grunddaten!U491="Ja",1,0),"")</f>
        <v/>
      </c>
      <c r="N486" s="1" t="str">
        <f>IF(AND(Programme_Grunddaten!$A491="Geprüft",Programme_Grunddaten!V491&lt;&gt;""),IF(Programme_Grunddaten!V491="Ja",1,0),"")</f>
        <v/>
      </c>
      <c r="O486" s="1" t="str">
        <f>IF(AND(Programme_Grunddaten!$A491="Geprüft",Programme_Grunddaten!W491&lt;&gt;""),IF(Programme_Grunddaten!W491="Ja",1,0),"")</f>
        <v/>
      </c>
      <c r="P486" s="1" t="str">
        <f>IF(AND(Programme_Grunddaten!$A491="Geprüft",Programme_Grunddaten!X491&lt;&gt;""),IF(Programme_Grunddaten!X491="Ja",1,0),"")</f>
        <v/>
      </c>
      <c r="Q486" s="1" t="str">
        <f>IF(AND(Programme_Grunddaten!$A491="Geprüft",Programme_Grunddaten!Y491&lt;&gt;""),IF(Programme_Grunddaten!Y491="Ja",1,0),"")</f>
        <v/>
      </c>
      <c r="R486" s="1" t="str">
        <f>IF(AND(Programme_Grunddaten!$A491="Geprüft",Programme_Grunddaten!Z491&lt;&gt;""),IF(Programme_Grunddaten!Z491="Ja",1,0),"")</f>
        <v/>
      </c>
      <c r="S486" s="1" t="str">
        <f>IF(AND(Programme_Grunddaten!$A491="Geprüft",Programme_Grunddaten!AA491&lt;&gt;""),IF(Programme_Grunddaten!AA491="monolithisch",1,0),"")</f>
        <v/>
      </c>
      <c r="T486" s="1" t="str">
        <f>IF(AND(Programme_Grunddaten!$A491="Geprüft",Programme_Grunddaten!AB491&lt;&gt;""),IF(Programme_Grunddaten!AB491="Ja",1,0),"")</f>
        <v/>
      </c>
      <c r="U486" s="1" t="str">
        <f>IF(AND(Programme_Grunddaten!$A491="Geprüft",Programme_Grunddaten!AC491&lt;&gt;""),IF(Programme_Grunddaten!AC491="Ja",1,0),"")</f>
        <v/>
      </c>
      <c r="V486" s="1" t="str">
        <f>IF(AND(Programme_Grunddaten!$A491="Geprüft",Programme_Grunddaten!AD491&lt;&gt;""),IF(Programme_Grunddaten!AD491="Ja",1,0),"")</f>
        <v/>
      </c>
      <c r="W486" s="1" t="str">
        <f>IF(AND(Programme_Grunddaten!$A491="Geprüft",Programme_Grunddaten!AE491&lt;&gt;""),IF(Programme_Grunddaten!AE491="Ja",1,0),"")</f>
        <v/>
      </c>
      <c r="X486" s="1" t="str">
        <f>IF(AND(Programme_Grunddaten!$A491="Geprüft",Programme_Grunddaten!AF491&lt;&gt;""),IF(Programme_Grunddaten!AF491="Ja",1,0),"")</f>
        <v/>
      </c>
      <c r="Y486" s="1" t="str">
        <f>IF(AND(Programme_Grunddaten!$A491="Geprüft",Programme_Grunddaten!AG491&lt;&gt;""),IF(Programme_Grunddaten!AG491="Ja",1,0),"")</f>
        <v/>
      </c>
      <c r="Z486" s="1" t="str">
        <f>IF(AND(Programme_Grunddaten!$A491="Geprüft",Programme_Grunddaten!AH491&lt;&gt;""),IF(Programme_Grunddaten!AH491="Ja",1,0),"")</f>
        <v/>
      </c>
      <c r="AA486" s="1" t="str">
        <f>IF(AND(Programme_Grunddaten!$A491="Geprüft",Programme_Grunddaten!AI491&lt;&gt;""),IF(Programme_Grunddaten!AI491="Ja",1,0),"")</f>
        <v/>
      </c>
      <c r="AB486" s="1" t="str">
        <f>IF(AND(Programme_Grunddaten!$A491="Geprüft",Programme_Grunddaten!AJ491&lt;&gt;""),IF(Programme_Grunddaten!AJ491="individuell programmierbar",1,0),"")</f>
        <v/>
      </c>
      <c r="AC486" s="1" t="str">
        <f>IF(AND(Programme_Grunddaten!$A491="Geprüft",Programme_Grunddaten!AK491&lt;&gt;""),IF(Programme_Grunddaten!AK491="Deutsch",0,IF(Programme_Grunddaten!AK491="Deutsch und Englisch",1,2)),"")</f>
        <v/>
      </c>
      <c r="AD486" s="1" t="str">
        <f>IF(AND(Programme_Grunddaten!$A491="Geprüft",Programme_Grunddaten!AL491&lt;&gt;""),IF(Programme_Grunddaten!AL491="Ja",1,0),"")</f>
        <v/>
      </c>
      <c r="AE486" s="1" t="str">
        <f>IF(AND(Programme_Grunddaten!$A491="Geprüft",Programme_Grunddaten!AM491&lt;&gt;""),IF(Programme_Grunddaten!AM491="Ja",1,0),"")</f>
        <v/>
      </c>
      <c r="AF486" s="1" t="str">
        <f>IF(AND(Programme_Grunddaten!$A491="Geprüft",Programme_Grunddaten!AN491&lt;&gt;""),IF(Programme_Grunddaten!AN491="Ja",1,0),"")</f>
        <v/>
      </c>
      <c r="AG486" s="1" t="str">
        <f>IF(AND(Programme_Grunddaten!$A491="Geprüft",Programme_Grunddaten!AO491&lt;&gt;""),IF(Programme_Grunddaten!AO491="Ja",1,0),"")</f>
        <v/>
      </c>
      <c r="AH486" s="1" t="str">
        <f>IF(AND(Programme_Grunddaten!$A491="Geprüft",Programme_Grunddaten!AP491&lt;&gt;""),IF(Programme_Grunddaten!AP491="Ja",1,0),"")</f>
        <v/>
      </c>
      <c r="AI486" s="1" t="str">
        <f>IF(AND(Programme_Grunddaten!$A491="Geprüft",Programme_Grunddaten!AQ491&lt;&gt;""),IF(Programme_Grunddaten!AQ491="Ja",1,0),"")</f>
        <v/>
      </c>
      <c r="AJ486" s="1" t="str">
        <f>IF(AND(Programme_Grunddaten!$A491="Geprüft",Programme_Grunddaten!AR491&lt;&gt;""),IF(Programme_Grunddaten!AR491="Ja",1,0),"")</f>
        <v/>
      </c>
      <c r="AK486" s="1" t="str">
        <f>IF(AND(Programme_Grunddaten!$A491="Geprüft",Programme_Grunddaten!AS491&lt;&gt;""),IF(Programme_Grunddaten!AS491="Ja",1,0),"")</f>
        <v/>
      </c>
      <c r="AL486" s="1" t="str">
        <f>IF(AND(Programme_Grunddaten!$A491="Geprüft",Programme_Grunddaten!AT491&lt;&gt;""),IF(Programme_Grunddaten!AT491="Ja",1,0),"")</f>
        <v/>
      </c>
      <c r="AM486" s="1" t="str">
        <f>IF(AND(Programme_Grunddaten!$A491="Geprüft",Programme_Grunddaten!AU491&lt;&gt;""),IF(Programme_Grunddaten!AU491="Ja",1,0),"")</f>
        <v/>
      </c>
      <c r="AN486" s="1" t="str">
        <f>IF(AND(Programme_Grunddaten!$A491="Geprüft",Programme_Grunddaten!AV491&lt;&gt;""),IF(Programme_Grunddaten!AV491="Ja",1,0),"")</f>
        <v/>
      </c>
    </row>
    <row r="487" spans="1:40" x14ac:dyDescent="0.3">
      <c r="A487" s="1" t="str">
        <f>IF(AND(Programme_Grunddaten!A492="Geprüft",Programme_Grunddaten!B492&lt;&gt;""),Programme_Grunddaten!B492,"")</f>
        <v/>
      </c>
      <c r="B487" s="1" t="str">
        <f>IF(AND(Programme_Grunddaten!$A492="Geprüft",Programme_Grunddaten!I492&lt;&gt;""),IF(Programme_Grunddaten!I492="Ja",1,0),"")</f>
        <v/>
      </c>
      <c r="C487" s="1" t="str">
        <f>IF(AND(Programme_Grunddaten!$A492="Geprüft",Programme_Grunddaten!J492&lt;&gt;""),IF(Programme_Grunddaten!J492="Ja",1,0),"")</f>
        <v/>
      </c>
      <c r="D487" s="1" t="str">
        <f>IF(AND(Programme_Grunddaten!$A492="Geprüft",Programme_Grunddaten!K492&lt;&gt;""),IF(Programme_Grunddaten!K492="Ja",1,0),"")</f>
        <v/>
      </c>
      <c r="E487" s="1" t="str">
        <f>IF(AND(Programme_Grunddaten!$A492="Geprüft",Programme_Grunddaten!L492&lt;&gt;""),IF(Programme_Grunddaten!L492="Abo / befristete Lizenz",1,0),"")</f>
        <v/>
      </c>
      <c r="F487" s="1" t="str">
        <f>IF(AND(Programme_Grunddaten!$A492="Geprüft",Programme_Grunddaten!M492&lt;&gt;""),IF(Programme_Grunddaten!M492="Ja",1,0),"")</f>
        <v/>
      </c>
      <c r="G487" s="1" t="str">
        <f>IF(AND(Programme_Grunddaten!$A492="Geprüft",Programme_Grunddaten!N492&lt;&gt;""),IF(Programme_Grunddaten!N492="Ja",1,0),"")</f>
        <v/>
      </c>
      <c r="H487" s="1" t="str">
        <f>IF(AND(Programme_Grunddaten!$A492="Geprüft",Programme_Grunddaten!O492&lt;&gt;""),IF(Programme_Grunddaten!O492="Deutschland",0,IF(Programme_Grunddaten!O492="EU",1,2)),"")</f>
        <v/>
      </c>
      <c r="I487" s="1" t="str">
        <f>IF(AND(Programme_Grunddaten!$A492="Geprüft",Programme_Grunddaten!P492&lt;&gt;""),IF(Programme_Grunddaten!P492="Ja",1,0),"")</f>
        <v/>
      </c>
      <c r="J487" s="1" t="str">
        <f>IF(AND(Programme_Grunddaten!$A492="Geprüft",Programme_Grunddaten!Q492&lt;&gt;""),IF(Programme_Grunddaten!Q492="geschlossenes System",1,0),"")</f>
        <v/>
      </c>
      <c r="K487" s="1" t="str">
        <f>IF(AND(Programme_Grunddaten!$A492="Geprüft",Programme_Grunddaten!R492&lt;&gt;""),IF(Programme_Grunddaten!R492="Ja",1,0),"")</f>
        <v/>
      </c>
      <c r="L487" s="1" t="str">
        <f>IF(AND(Programme_Grunddaten!$A492="Geprüft",Programme_Grunddaten!T492&lt;&gt;""),IF(Programme_Grunddaten!T492="Ja",1,0),"")</f>
        <v/>
      </c>
      <c r="M487" s="1" t="str">
        <f>IF(AND(Programme_Grunddaten!$A492="Geprüft",Programme_Grunddaten!U492&lt;&gt;""),IF(Programme_Grunddaten!U492="Ja",1,0),"")</f>
        <v/>
      </c>
      <c r="N487" s="1" t="str">
        <f>IF(AND(Programme_Grunddaten!$A492="Geprüft",Programme_Grunddaten!V492&lt;&gt;""),IF(Programme_Grunddaten!V492="Ja",1,0),"")</f>
        <v/>
      </c>
      <c r="O487" s="1" t="str">
        <f>IF(AND(Programme_Grunddaten!$A492="Geprüft",Programme_Grunddaten!W492&lt;&gt;""),IF(Programme_Grunddaten!W492="Ja",1,0),"")</f>
        <v/>
      </c>
      <c r="P487" s="1" t="str">
        <f>IF(AND(Programme_Grunddaten!$A492="Geprüft",Programme_Grunddaten!X492&lt;&gt;""),IF(Programme_Grunddaten!X492="Ja",1,0),"")</f>
        <v/>
      </c>
      <c r="Q487" s="1" t="str">
        <f>IF(AND(Programme_Grunddaten!$A492="Geprüft",Programme_Grunddaten!Y492&lt;&gt;""),IF(Programme_Grunddaten!Y492="Ja",1,0),"")</f>
        <v/>
      </c>
      <c r="R487" s="1" t="str">
        <f>IF(AND(Programme_Grunddaten!$A492="Geprüft",Programme_Grunddaten!Z492&lt;&gt;""),IF(Programme_Grunddaten!Z492="Ja",1,0),"")</f>
        <v/>
      </c>
      <c r="S487" s="1" t="str">
        <f>IF(AND(Programme_Grunddaten!$A492="Geprüft",Programme_Grunddaten!AA492&lt;&gt;""),IF(Programme_Grunddaten!AA492="monolithisch",1,0),"")</f>
        <v/>
      </c>
      <c r="T487" s="1" t="str">
        <f>IF(AND(Programme_Grunddaten!$A492="Geprüft",Programme_Grunddaten!AB492&lt;&gt;""),IF(Programme_Grunddaten!AB492="Ja",1,0),"")</f>
        <v/>
      </c>
      <c r="U487" s="1" t="str">
        <f>IF(AND(Programme_Grunddaten!$A492="Geprüft",Programme_Grunddaten!AC492&lt;&gt;""),IF(Programme_Grunddaten!AC492="Ja",1,0),"")</f>
        <v/>
      </c>
      <c r="V487" s="1" t="str">
        <f>IF(AND(Programme_Grunddaten!$A492="Geprüft",Programme_Grunddaten!AD492&lt;&gt;""),IF(Programme_Grunddaten!AD492="Ja",1,0),"")</f>
        <v/>
      </c>
      <c r="W487" s="1" t="str">
        <f>IF(AND(Programme_Grunddaten!$A492="Geprüft",Programme_Grunddaten!AE492&lt;&gt;""),IF(Programme_Grunddaten!AE492="Ja",1,0),"")</f>
        <v/>
      </c>
      <c r="X487" s="1" t="str">
        <f>IF(AND(Programme_Grunddaten!$A492="Geprüft",Programme_Grunddaten!AF492&lt;&gt;""),IF(Programme_Grunddaten!AF492="Ja",1,0),"")</f>
        <v/>
      </c>
      <c r="Y487" s="1" t="str">
        <f>IF(AND(Programme_Grunddaten!$A492="Geprüft",Programme_Grunddaten!AG492&lt;&gt;""),IF(Programme_Grunddaten!AG492="Ja",1,0),"")</f>
        <v/>
      </c>
      <c r="Z487" s="1" t="str">
        <f>IF(AND(Programme_Grunddaten!$A492="Geprüft",Programme_Grunddaten!AH492&lt;&gt;""),IF(Programme_Grunddaten!AH492="Ja",1,0),"")</f>
        <v/>
      </c>
      <c r="AA487" s="1" t="str">
        <f>IF(AND(Programme_Grunddaten!$A492="Geprüft",Programme_Grunddaten!AI492&lt;&gt;""),IF(Programme_Grunddaten!AI492="Ja",1,0),"")</f>
        <v/>
      </c>
      <c r="AB487" s="1" t="str">
        <f>IF(AND(Programme_Grunddaten!$A492="Geprüft",Programme_Grunddaten!AJ492&lt;&gt;""),IF(Programme_Grunddaten!AJ492="individuell programmierbar",1,0),"")</f>
        <v/>
      </c>
      <c r="AC487" s="1" t="str">
        <f>IF(AND(Programme_Grunddaten!$A492="Geprüft",Programme_Grunddaten!AK492&lt;&gt;""),IF(Programme_Grunddaten!AK492="Deutsch",0,IF(Programme_Grunddaten!AK492="Deutsch und Englisch",1,2)),"")</f>
        <v/>
      </c>
      <c r="AD487" s="1" t="str">
        <f>IF(AND(Programme_Grunddaten!$A492="Geprüft",Programme_Grunddaten!AL492&lt;&gt;""),IF(Programme_Grunddaten!AL492="Ja",1,0),"")</f>
        <v/>
      </c>
      <c r="AE487" s="1" t="str">
        <f>IF(AND(Programme_Grunddaten!$A492="Geprüft",Programme_Grunddaten!AM492&lt;&gt;""),IF(Programme_Grunddaten!AM492="Ja",1,0),"")</f>
        <v/>
      </c>
      <c r="AF487" s="1" t="str">
        <f>IF(AND(Programme_Grunddaten!$A492="Geprüft",Programme_Grunddaten!AN492&lt;&gt;""),IF(Programme_Grunddaten!AN492="Ja",1,0),"")</f>
        <v/>
      </c>
      <c r="AG487" s="1" t="str">
        <f>IF(AND(Programme_Grunddaten!$A492="Geprüft",Programme_Grunddaten!AO492&lt;&gt;""),IF(Programme_Grunddaten!AO492="Ja",1,0),"")</f>
        <v/>
      </c>
      <c r="AH487" s="1" t="str">
        <f>IF(AND(Programme_Grunddaten!$A492="Geprüft",Programme_Grunddaten!AP492&lt;&gt;""),IF(Programme_Grunddaten!AP492="Ja",1,0),"")</f>
        <v/>
      </c>
      <c r="AI487" s="1" t="str">
        <f>IF(AND(Programme_Grunddaten!$A492="Geprüft",Programme_Grunddaten!AQ492&lt;&gt;""),IF(Programme_Grunddaten!AQ492="Ja",1,0),"")</f>
        <v/>
      </c>
      <c r="AJ487" s="1" t="str">
        <f>IF(AND(Programme_Grunddaten!$A492="Geprüft",Programme_Grunddaten!AR492&lt;&gt;""),IF(Programme_Grunddaten!AR492="Ja",1,0),"")</f>
        <v/>
      </c>
      <c r="AK487" s="1" t="str">
        <f>IF(AND(Programme_Grunddaten!$A492="Geprüft",Programme_Grunddaten!AS492&lt;&gt;""),IF(Programme_Grunddaten!AS492="Ja",1,0),"")</f>
        <v/>
      </c>
      <c r="AL487" s="1" t="str">
        <f>IF(AND(Programme_Grunddaten!$A492="Geprüft",Programme_Grunddaten!AT492&lt;&gt;""),IF(Programme_Grunddaten!AT492="Ja",1,0),"")</f>
        <v/>
      </c>
      <c r="AM487" s="1" t="str">
        <f>IF(AND(Programme_Grunddaten!$A492="Geprüft",Programme_Grunddaten!AU492&lt;&gt;""),IF(Programme_Grunddaten!AU492="Ja",1,0),"")</f>
        <v/>
      </c>
      <c r="AN487" s="1" t="str">
        <f>IF(AND(Programme_Grunddaten!$A492="Geprüft",Programme_Grunddaten!AV492&lt;&gt;""),IF(Programme_Grunddaten!AV492="Ja",1,0),"")</f>
        <v/>
      </c>
    </row>
    <row r="488" spans="1:40" x14ac:dyDescent="0.3">
      <c r="A488" s="1" t="str">
        <f>IF(AND(Programme_Grunddaten!A493="Geprüft",Programme_Grunddaten!B493&lt;&gt;""),Programme_Grunddaten!B493,"")</f>
        <v/>
      </c>
      <c r="B488" s="1" t="str">
        <f>IF(AND(Programme_Grunddaten!$A493="Geprüft",Programme_Grunddaten!I493&lt;&gt;""),IF(Programme_Grunddaten!I493="Ja",1,0),"")</f>
        <v/>
      </c>
      <c r="C488" s="1" t="str">
        <f>IF(AND(Programme_Grunddaten!$A493="Geprüft",Programme_Grunddaten!J493&lt;&gt;""),IF(Programme_Grunddaten!J493="Ja",1,0),"")</f>
        <v/>
      </c>
      <c r="D488" s="1" t="str">
        <f>IF(AND(Programme_Grunddaten!$A493="Geprüft",Programme_Grunddaten!K493&lt;&gt;""),IF(Programme_Grunddaten!K493="Ja",1,0),"")</f>
        <v/>
      </c>
      <c r="E488" s="1" t="str">
        <f>IF(AND(Programme_Grunddaten!$A493="Geprüft",Programme_Grunddaten!L493&lt;&gt;""),IF(Programme_Grunddaten!L493="Abo / befristete Lizenz",1,0),"")</f>
        <v/>
      </c>
      <c r="F488" s="1" t="str">
        <f>IF(AND(Programme_Grunddaten!$A493="Geprüft",Programme_Grunddaten!M493&lt;&gt;""),IF(Programme_Grunddaten!M493="Ja",1,0),"")</f>
        <v/>
      </c>
      <c r="G488" s="1" t="str">
        <f>IF(AND(Programme_Grunddaten!$A493="Geprüft",Programme_Grunddaten!N493&lt;&gt;""),IF(Programme_Grunddaten!N493="Ja",1,0),"")</f>
        <v/>
      </c>
      <c r="H488" s="1" t="str">
        <f>IF(AND(Programme_Grunddaten!$A493="Geprüft",Programme_Grunddaten!O493&lt;&gt;""),IF(Programme_Grunddaten!O493="Deutschland",0,IF(Programme_Grunddaten!O493="EU",1,2)),"")</f>
        <v/>
      </c>
      <c r="I488" s="1" t="str">
        <f>IF(AND(Programme_Grunddaten!$A493="Geprüft",Programme_Grunddaten!P493&lt;&gt;""),IF(Programme_Grunddaten!P493="Ja",1,0),"")</f>
        <v/>
      </c>
      <c r="J488" s="1" t="str">
        <f>IF(AND(Programme_Grunddaten!$A493="Geprüft",Programme_Grunddaten!Q493&lt;&gt;""),IF(Programme_Grunddaten!Q493="geschlossenes System",1,0),"")</f>
        <v/>
      </c>
      <c r="K488" s="1" t="str">
        <f>IF(AND(Programme_Grunddaten!$A493="Geprüft",Programme_Grunddaten!R493&lt;&gt;""),IF(Programme_Grunddaten!R493="Ja",1,0),"")</f>
        <v/>
      </c>
      <c r="L488" s="1" t="str">
        <f>IF(AND(Programme_Grunddaten!$A493="Geprüft",Programme_Grunddaten!T493&lt;&gt;""),IF(Programme_Grunddaten!T493="Ja",1,0),"")</f>
        <v/>
      </c>
      <c r="M488" s="1" t="str">
        <f>IF(AND(Programme_Grunddaten!$A493="Geprüft",Programme_Grunddaten!U493&lt;&gt;""),IF(Programme_Grunddaten!U493="Ja",1,0),"")</f>
        <v/>
      </c>
      <c r="N488" s="1" t="str">
        <f>IF(AND(Programme_Grunddaten!$A493="Geprüft",Programme_Grunddaten!V493&lt;&gt;""),IF(Programme_Grunddaten!V493="Ja",1,0),"")</f>
        <v/>
      </c>
      <c r="O488" s="1" t="str">
        <f>IF(AND(Programme_Grunddaten!$A493="Geprüft",Programme_Grunddaten!W493&lt;&gt;""),IF(Programme_Grunddaten!W493="Ja",1,0),"")</f>
        <v/>
      </c>
      <c r="P488" s="1" t="str">
        <f>IF(AND(Programme_Grunddaten!$A493="Geprüft",Programme_Grunddaten!X493&lt;&gt;""),IF(Programme_Grunddaten!X493="Ja",1,0),"")</f>
        <v/>
      </c>
      <c r="Q488" s="1" t="str">
        <f>IF(AND(Programme_Grunddaten!$A493="Geprüft",Programme_Grunddaten!Y493&lt;&gt;""),IF(Programme_Grunddaten!Y493="Ja",1,0),"")</f>
        <v/>
      </c>
      <c r="R488" s="1" t="str">
        <f>IF(AND(Programme_Grunddaten!$A493="Geprüft",Programme_Grunddaten!Z493&lt;&gt;""),IF(Programme_Grunddaten!Z493="Ja",1,0),"")</f>
        <v/>
      </c>
      <c r="S488" s="1" t="str">
        <f>IF(AND(Programme_Grunddaten!$A493="Geprüft",Programme_Grunddaten!AA493&lt;&gt;""),IF(Programme_Grunddaten!AA493="monolithisch",1,0),"")</f>
        <v/>
      </c>
      <c r="T488" s="1" t="str">
        <f>IF(AND(Programme_Grunddaten!$A493="Geprüft",Programme_Grunddaten!AB493&lt;&gt;""),IF(Programme_Grunddaten!AB493="Ja",1,0),"")</f>
        <v/>
      </c>
      <c r="U488" s="1" t="str">
        <f>IF(AND(Programme_Grunddaten!$A493="Geprüft",Programme_Grunddaten!AC493&lt;&gt;""),IF(Programme_Grunddaten!AC493="Ja",1,0),"")</f>
        <v/>
      </c>
      <c r="V488" s="1" t="str">
        <f>IF(AND(Programme_Grunddaten!$A493="Geprüft",Programme_Grunddaten!AD493&lt;&gt;""),IF(Programme_Grunddaten!AD493="Ja",1,0),"")</f>
        <v/>
      </c>
      <c r="W488" s="1" t="str">
        <f>IF(AND(Programme_Grunddaten!$A493="Geprüft",Programme_Grunddaten!AE493&lt;&gt;""),IF(Programme_Grunddaten!AE493="Ja",1,0),"")</f>
        <v/>
      </c>
      <c r="X488" s="1" t="str">
        <f>IF(AND(Programme_Grunddaten!$A493="Geprüft",Programme_Grunddaten!AF493&lt;&gt;""),IF(Programme_Grunddaten!AF493="Ja",1,0),"")</f>
        <v/>
      </c>
      <c r="Y488" s="1" t="str">
        <f>IF(AND(Programme_Grunddaten!$A493="Geprüft",Programme_Grunddaten!AG493&lt;&gt;""),IF(Programme_Grunddaten!AG493="Ja",1,0),"")</f>
        <v/>
      </c>
      <c r="Z488" s="1" t="str">
        <f>IF(AND(Programme_Grunddaten!$A493="Geprüft",Programme_Grunddaten!AH493&lt;&gt;""),IF(Programme_Grunddaten!AH493="Ja",1,0),"")</f>
        <v/>
      </c>
      <c r="AA488" s="1" t="str">
        <f>IF(AND(Programme_Grunddaten!$A493="Geprüft",Programme_Grunddaten!AI493&lt;&gt;""),IF(Programme_Grunddaten!AI493="Ja",1,0),"")</f>
        <v/>
      </c>
      <c r="AB488" s="1" t="str">
        <f>IF(AND(Programme_Grunddaten!$A493="Geprüft",Programme_Grunddaten!AJ493&lt;&gt;""),IF(Programme_Grunddaten!AJ493="individuell programmierbar",1,0),"")</f>
        <v/>
      </c>
      <c r="AC488" s="1" t="str">
        <f>IF(AND(Programme_Grunddaten!$A493="Geprüft",Programme_Grunddaten!AK493&lt;&gt;""),IF(Programme_Grunddaten!AK493="Deutsch",0,IF(Programme_Grunddaten!AK493="Deutsch und Englisch",1,2)),"")</f>
        <v/>
      </c>
      <c r="AD488" s="1" t="str">
        <f>IF(AND(Programme_Grunddaten!$A493="Geprüft",Programme_Grunddaten!AL493&lt;&gt;""),IF(Programme_Grunddaten!AL493="Ja",1,0),"")</f>
        <v/>
      </c>
      <c r="AE488" s="1" t="str">
        <f>IF(AND(Programme_Grunddaten!$A493="Geprüft",Programme_Grunddaten!AM493&lt;&gt;""),IF(Programme_Grunddaten!AM493="Ja",1,0),"")</f>
        <v/>
      </c>
      <c r="AF488" s="1" t="str">
        <f>IF(AND(Programme_Grunddaten!$A493="Geprüft",Programme_Grunddaten!AN493&lt;&gt;""),IF(Programme_Grunddaten!AN493="Ja",1,0),"")</f>
        <v/>
      </c>
      <c r="AG488" s="1" t="str">
        <f>IF(AND(Programme_Grunddaten!$A493="Geprüft",Programme_Grunddaten!AO493&lt;&gt;""),IF(Programme_Grunddaten!AO493="Ja",1,0),"")</f>
        <v/>
      </c>
      <c r="AH488" s="1" t="str">
        <f>IF(AND(Programme_Grunddaten!$A493="Geprüft",Programme_Grunddaten!AP493&lt;&gt;""),IF(Programme_Grunddaten!AP493="Ja",1,0),"")</f>
        <v/>
      </c>
      <c r="AI488" s="1" t="str">
        <f>IF(AND(Programme_Grunddaten!$A493="Geprüft",Programme_Grunddaten!AQ493&lt;&gt;""),IF(Programme_Grunddaten!AQ493="Ja",1,0),"")</f>
        <v/>
      </c>
      <c r="AJ488" s="1" t="str">
        <f>IF(AND(Programme_Grunddaten!$A493="Geprüft",Programme_Grunddaten!AR493&lt;&gt;""),IF(Programme_Grunddaten!AR493="Ja",1,0),"")</f>
        <v/>
      </c>
      <c r="AK488" s="1" t="str">
        <f>IF(AND(Programme_Grunddaten!$A493="Geprüft",Programme_Grunddaten!AS493&lt;&gt;""),IF(Programme_Grunddaten!AS493="Ja",1,0),"")</f>
        <v/>
      </c>
      <c r="AL488" s="1" t="str">
        <f>IF(AND(Programme_Grunddaten!$A493="Geprüft",Programme_Grunddaten!AT493&lt;&gt;""),IF(Programme_Grunddaten!AT493="Ja",1,0),"")</f>
        <v/>
      </c>
      <c r="AM488" s="1" t="str">
        <f>IF(AND(Programme_Grunddaten!$A493="Geprüft",Programme_Grunddaten!AU493&lt;&gt;""),IF(Programme_Grunddaten!AU493="Ja",1,0),"")</f>
        <v/>
      </c>
      <c r="AN488" s="1" t="str">
        <f>IF(AND(Programme_Grunddaten!$A493="Geprüft",Programme_Grunddaten!AV493&lt;&gt;""),IF(Programme_Grunddaten!AV493="Ja",1,0),"")</f>
        <v/>
      </c>
    </row>
    <row r="489" spans="1:40" x14ac:dyDescent="0.3">
      <c r="A489" s="1" t="str">
        <f>IF(AND(Programme_Grunddaten!A494="Geprüft",Programme_Grunddaten!B494&lt;&gt;""),Programme_Grunddaten!B494,"")</f>
        <v/>
      </c>
      <c r="B489" s="1" t="str">
        <f>IF(AND(Programme_Grunddaten!$A494="Geprüft",Programme_Grunddaten!I494&lt;&gt;""),IF(Programme_Grunddaten!I494="Ja",1,0),"")</f>
        <v/>
      </c>
      <c r="C489" s="1" t="str">
        <f>IF(AND(Programme_Grunddaten!$A494="Geprüft",Programme_Grunddaten!J494&lt;&gt;""),IF(Programme_Grunddaten!J494="Ja",1,0),"")</f>
        <v/>
      </c>
      <c r="D489" s="1" t="str">
        <f>IF(AND(Programme_Grunddaten!$A494="Geprüft",Programme_Grunddaten!K494&lt;&gt;""),IF(Programme_Grunddaten!K494="Ja",1,0),"")</f>
        <v/>
      </c>
      <c r="E489" s="1" t="str">
        <f>IF(AND(Programme_Grunddaten!$A494="Geprüft",Programme_Grunddaten!L494&lt;&gt;""),IF(Programme_Grunddaten!L494="Abo / befristete Lizenz",1,0),"")</f>
        <v/>
      </c>
      <c r="F489" s="1" t="str">
        <f>IF(AND(Programme_Grunddaten!$A494="Geprüft",Programme_Grunddaten!M494&lt;&gt;""),IF(Programme_Grunddaten!M494="Ja",1,0),"")</f>
        <v/>
      </c>
      <c r="G489" s="1" t="str">
        <f>IF(AND(Programme_Grunddaten!$A494="Geprüft",Programme_Grunddaten!N494&lt;&gt;""),IF(Programme_Grunddaten!N494="Ja",1,0),"")</f>
        <v/>
      </c>
      <c r="H489" s="1" t="str">
        <f>IF(AND(Programme_Grunddaten!$A494="Geprüft",Programme_Grunddaten!O494&lt;&gt;""),IF(Programme_Grunddaten!O494="Deutschland",0,IF(Programme_Grunddaten!O494="EU",1,2)),"")</f>
        <v/>
      </c>
      <c r="I489" s="1" t="str">
        <f>IF(AND(Programme_Grunddaten!$A494="Geprüft",Programme_Grunddaten!P494&lt;&gt;""),IF(Programme_Grunddaten!P494="Ja",1,0),"")</f>
        <v/>
      </c>
      <c r="J489" s="1" t="str">
        <f>IF(AND(Programme_Grunddaten!$A494="Geprüft",Programme_Grunddaten!Q494&lt;&gt;""),IF(Programme_Grunddaten!Q494="geschlossenes System",1,0),"")</f>
        <v/>
      </c>
      <c r="K489" s="1" t="str">
        <f>IF(AND(Programme_Grunddaten!$A494="Geprüft",Programme_Grunddaten!R494&lt;&gt;""),IF(Programme_Grunddaten!R494="Ja",1,0),"")</f>
        <v/>
      </c>
      <c r="L489" s="1" t="str">
        <f>IF(AND(Programme_Grunddaten!$A494="Geprüft",Programme_Grunddaten!T494&lt;&gt;""),IF(Programme_Grunddaten!T494="Ja",1,0),"")</f>
        <v/>
      </c>
      <c r="M489" s="1" t="str">
        <f>IF(AND(Programme_Grunddaten!$A494="Geprüft",Programme_Grunddaten!U494&lt;&gt;""),IF(Programme_Grunddaten!U494="Ja",1,0),"")</f>
        <v/>
      </c>
      <c r="N489" s="1" t="str">
        <f>IF(AND(Programme_Grunddaten!$A494="Geprüft",Programme_Grunddaten!V494&lt;&gt;""),IF(Programme_Grunddaten!V494="Ja",1,0),"")</f>
        <v/>
      </c>
      <c r="O489" s="1" t="str">
        <f>IF(AND(Programme_Grunddaten!$A494="Geprüft",Programme_Grunddaten!W494&lt;&gt;""),IF(Programme_Grunddaten!W494="Ja",1,0),"")</f>
        <v/>
      </c>
      <c r="P489" s="1" t="str">
        <f>IF(AND(Programme_Grunddaten!$A494="Geprüft",Programme_Grunddaten!X494&lt;&gt;""),IF(Programme_Grunddaten!X494="Ja",1,0),"")</f>
        <v/>
      </c>
      <c r="Q489" s="1" t="str">
        <f>IF(AND(Programme_Grunddaten!$A494="Geprüft",Programme_Grunddaten!Y494&lt;&gt;""),IF(Programme_Grunddaten!Y494="Ja",1,0),"")</f>
        <v/>
      </c>
      <c r="R489" s="1" t="str">
        <f>IF(AND(Programme_Grunddaten!$A494="Geprüft",Programme_Grunddaten!Z494&lt;&gt;""),IF(Programme_Grunddaten!Z494="Ja",1,0),"")</f>
        <v/>
      </c>
      <c r="S489" s="1" t="str">
        <f>IF(AND(Programme_Grunddaten!$A494="Geprüft",Programme_Grunddaten!AA494&lt;&gt;""),IF(Programme_Grunddaten!AA494="monolithisch",1,0),"")</f>
        <v/>
      </c>
      <c r="T489" s="1" t="str">
        <f>IF(AND(Programme_Grunddaten!$A494="Geprüft",Programme_Grunddaten!AB494&lt;&gt;""),IF(Programme_Grunddaten!AB494="Ja",1,0),"")</f>
        <v/>
      </c>
      <c r="U489" s="1" t="str">
        <f>IF(AND(Programme_Grunddaten!$A494="Geprüft",Programme_Grunddaten!AC494&lt;&gt;""),IF(Programme_Grunddaten!AC494="Ja",1,0),"")</f>
        <v/>
      </c>
      <c r="V489" s="1" t="str">
        <f>IF(AND(Programme_Grunddaten!$A494="Geprüft",Programme_Grunddaten!AD494&lt;&gt;""),IF(Programme_Grunddaten!AD494="Ja",1,0),"")</f>
        <v/>
      </c>
      <c r="W489" s="1" t="str">
        <f>IF(AND(Programme_Grunddaten!$A494="Geprüft",Programme_Grunddaten!AE494&lt;&gt;""),IF(Programme_Grunddaten!AE494="Ja",1,0),"")</f>
        <v/>
      </c>
      <c r="X489" s="1" t="str">
        <f>IF(AND(Programme_Grunddaten!$A494="Geprüft",Programme_Grunddaten!AF494&lt;&gt;""),IF(Programme_Grunddaten!AF494="Ja",1,0),"")</f>
        <v/>
      </c>
      <c r="Y489" s="1" t="str">
        <f>IF(AND(Programme_Grunddaten!$A494="Geprüft",Programme_Grunddaten!AG494&lt;&gt;""),IF(Programme_Grunddaten!AG494="Ja",1,0),"")</f>
        <v/>
      </c>
      <c r="Z489" s="1" t="str">
        <f>IF(AND(Programme_Grunddaten!$A494="Geprüft",Programme_Grunddaten!AH494&lt;&gt;""),IF(Programme_Grunddaten!AH494="Ja",1,0),"")</f>
        <v/>
      </c>
      <c r="AA489" s="1" t="str">
        <f>IF(AND(Programme_Grunddaten!$A494="Geprüft",Programme_Grunddaten!AI494&lt;&gt;""),IF(Programme_Grunddaten!AI494="Ja",1,0),"")</f>
        <v/>
      </c>
      <c r="AB489" s="1" t="str">
        <f>IF(AND(Programme_Grunddaten!$A494="Geprüft",Programme_Grunddaten!AJ494&lt;&gt;""),IF(Programme_Grunddaten!AJ494="individuell programmierbar",1,0),"")</f>
        <v/>
      </c>
      <c r="AC489" s="1" t="str">
        <f>IF(AND(Programme_Grunddaten!$A494="Geprüft",Programme_Grunddaten!AK494&lt;&gt;""),IF(Programme_Grunddaten!AK494="Deutsch",0,IF(Programme_Grunddaten!AK494="Deutsch und Englisch",1,2)),"")</f>
        <v/>
      </c>
      <c r="AD489" s="1" t="str">
        <f>IF(AND(Programme_Grunddaten!$A494="Geprüft",Programme_Grunddaten!AL494&lt;&gt;""),IF(Programme_Grunddaten!AL494="Ja",1,0),"")</f>
        <v/>
      </c>
      <c r="AE489" s="1" t="str">
        <f>IF(AND(Programme_Grunddaten!$A494="Geprüft",Programme_Grunddaten!AM494&lt;&gt;""),IF(Programme_Grunddaten!AM494="Ja",1,0),"")</f>
        <v/>
      </c>
      <c r="AF489" s="1" t="str">
        <f>IF(AND(Programme_Grunddaten!$A494="Geprüft",Programme_Grunddaten!AN494&lt;&gt;""),IF(Programme_Grunddaten!AN494="Ja",1,0),"")</f>
        <v/>
      </c>
      <c r="AG489" s="1" t="str">
        <f>IF(AND(Programme_Grunddaten!$A494="Geprüft",Programme_Grunddaten!AO494&lt;&gt;""),IF(Programme_Grunddaten!AO494="Ja",1,0),"")</f>
        <v/>
      </c>
      <c r="AH489" s="1" t="str">
        <f>IF(AND(Programme_Grunddaten!$A494="Geprüft",Programme_Grunddaten!AP494&lt;&gt;""),IF(Programme_Grunddaten!AP494="Ja",1,0),"")</f>
        <v/>
      </c>
      <c r="AI489" s="1" t="str">
        <f>IF(AND(Programme_Grunddaten!$A494="Geprüft",Programme_Grunddaten!AQ494&lt;&gt;""),IF(Programme_Grunddaten!AQ494="Ja",1,0),"")</f>
        <v/>
      </c>
      <c r="AJ489" s="1" t="str">
        <f>IF(AND(Programme_Grunddaten!$A494="Geprüft",Programme_Grunddaten!AR494&lt;&gt;""),IF(Programme_Grunddaten!AR494="Ja",1,0),"")</f>
        <v/>
      </c>
      <c r="AK489" s="1" t="str">
        <f>IF(AND(Programme_Grunddaten!$A494="Geprüft",Programme_Grunddaten!AS494&lt;&gt;""),IF(Programme_Grunddaten!AS494="Ja",1,0),"")</f>
        <v/>
      </c>
      <c r="AL489" s="1" t="str">
        <f>IF(AND(Programme_Grunddaten!$A494="Geprüft",Programme_Grunddaten!AT494&lt;&gt;""),IF(Programme_Grunddaten!AT494="Ja",1,0),"")</f>
        <v/>
      </c>
      <c r="AM489" s="1" t="str">
        <f>IF(AND(Programme_Grunddaten!$A494="Geprüft",Programme_Grunddaten!AU494&lt;&gt;""),IF(Programme_Grunddaten!AU494="Ja",1,0),"")</f>
        <v/>
      </c>
      <c r="AN489" s="1" t="str">
        <f>IF(AND(Programme_Grunddaten!$A494="Geprüft",Programme_Grunddaten!AV494&lt;&gt;""),IF(Programme_Grunddaten!AV494="Ja",1,0),"")</f>
        <v/>
      </c>
    </row>
    <row r="490" spans="1:40" x14ac:dyDescent="0.3">
      <c r="A490" s="1" t="str">
        <f>IF(AND(Programme_Grunddaten!A495="Geprüft",Programme_Grunddaten!B495&lt;&gt;""),Programme_Grunddaten!B495,"")</f>
        <v/>
      </c>
      <c r="B490" s="1" t="str">
        <f>IF(AND(Programme_Grunddaten!$A495="Geprüft",Programme_Grunddaten!I495&lt;&gt;""),IF(Programme_Grunddaten!I495="Ja",1,0),"")</f>
        <v/>
      </c>
      <c r="C490" s="1" t="str">
        <f>IF(AND(Programme_Grunddaten!$A495="Geprüft",Programme_Grunddaten!J495&lt;&gt;""),IF(Programme_Grunddaten!J495="Ja",1,0),"")</f>
        <v/>
      </c>
      <c r="D490" s="1" t="str">
        <f>IF(AND(Programme_Grunddaten!$A495="Geprüft",Programme_Grunddaten!K495&lt;&gt;""),IF(Programme_Grunddaten!K495="Ja",1,0),"")</f>
        <v/>
      </c>
      <c r="E490" s="1" t="str">
        <f>IF(AND(Programme_Grunddaten!$A495="Geprüft",Programme_Grunddaten!L495&lt;&gt;""),IF(Programme_Grunddaten!L495="Abo / befristete Lizenz",1,0),"")</f>
        <v/>
      </c>
      <c r="F490" s="1" t="str">
        <f>IF(AND(Programme_Grunddaten!$A495="Geprüft",Programme_Grunddaten!M495&lt;&gt;""),IF(Programme_Grunddaten!M495="Ja",1,0),"")</f>
        <v/>
      </c>
      <c r="G490" s="1" t="str">
        <f>IF(AND(Programme_Grunddaten!$A495="Geprüft",Programme_Grunddaten!N495&lt;&gt;""),IF(Programme_Grunddaten!N495="Ja",1,0),"")</f>
        <v/>
      </c>
      <c r="H490" s="1" t="str">
        <f>IF(AND(Programme_Grunddaten!$A495="Geprüft",Programme_Grunddaten!O495&lt;&gt;""),IF(Programme_Grunddaten!O495="Deutschland",0,IF(Programme_Grunddaten!O495="EU",1,2)),"")</f>
        <v/>
      </c>
      <c r="I490" s="1" t="str">
        <f>IF(AND(Programme_Grunddaten!$A495="Geprüft",Programme_Grunddaten!P495&lt;&gt;""),IF(Programme_Grunddaten!P495="Ja",1,0),"")</f>
        <v/>
      </c>
      <c r="J490" s="1" t="str">
        <f>IF(AND(Programme_Grunddaten!$A495="Geprüft",Programme_Grunddaten!Q495&lt;&gt;""),IF(Programme_Grunddaten!Q495="geschlossenes System",1,0),"")</f>
        <v/>
      </c>
      <c r="K490" s="1" t="str">
        <f>IF(AND(Programme_Grunddaten!$A495="Geprüft",Programme_Grunddaten!R495&lt;&gt;""),IF(Programme_Grunddaten!R495="Ja",1,0),"")</f>
        <v/>
      </c>
      <c r="L490" s="1" t="str">
        <f>IF(AND(Programme_Grunddaten!$A495="Geprüft",Programme_Grunddaten!T495&lt;&gt;""),IF(Programme_Grunddaten!T495="Ja",1,0),"")</f>
        <v/>
      </c>
      <c r="M490" s="1" t="str">
        <f>IF(AND(Programme_Grunddaten!$A495="Geprüft",Programme_Grunddaten!U495&lt;&gt;""),IF(Programme_Grunddaten!U495="Ja",1,0),"")</f>
        <v/>
      </c>
      <c r="N490" s="1" t="str">
        <f>IF(AND(Programme_Grunddaten!$A495="Geprüft",Programme_Grunddaten!V495&lt;&gt;""),IF(Programme_Grunddaten!V495="Ja",1,0),"")</f>
        <v/>
      </c>
      <c r="O490" s="1" t="str">
        <f>IF(AND(Programme_Grunddaten!$A495="Geprüft",Programme_Grunddaten!W495&lt;&gt;""),IF(Programme_Grunddaten!W495="Ja",1,0),"")</f>
        <v/>
      </c>
      <c r="P490" s="1" t="str">
        <f>IF(AND(Programme_Grunddaten!$A495="Geprüft",Programme_Grunddaten!X495&lt;&gt;""),IF(Programme_Grunddaten!X495="Ja",1,0),"")</f>
        <v/>
      </c>
      <c r="Q490" s="1" t="str">
        <f>IF(AND(Programme_Grunddaten!$A495="Geprüft",Programme_Grunddaten!Y495&lt;&gt;""),IF(Programme_Grunddaten!Y495="Ja",1,0),"")</f>
        <v/>
      </c>
      <c r="R490" s="1" t="str">
        <f>IF(AND(Programme_Grunddaten!$A495="Geprüft",Programme_Grunddaten!Z495&lt;&gt;""),IF(Programme_Grunddaten!Z495="Ja",1,0),"")</f>
        <v/>
      </c>
      <c r="S490" s="1" t="str">
        <f>IF(AND(Programme_Grunddaten!$A495="Geprüft",Programme_Grunddaten!AA495&lt;&gt;""),IF(Programme_Grunddaten!AA495="monolithisch",1,0),"")</f>
        <v/>
      </c>
      <c r="T490" s="1" t="str">
        <f>IF(AND(Programme_Grunddaten!$A495="Geprüft",Programme_Grunddaten!AB495&lt;&gt;""),IF(Programme_Grunddaten!AB495="Ja",1,0),"")</f>
        <v/>
      </c>
      <c r="U490" s="1" t="str">
        <f>IF(AND(Programme_Grunddaten!$A495="Geprüft",Programme_Grunddaten!AC495&lt;&gt;""),IF(Programme_Grunddaten!AC495="Ja",1,0),"")</f>
        <v/>
      </c>
      <c r="V490" s="1" t="str">
        <f>IF(AND(Programme_Grunddaten!$A495="Geprüft",Programme_Grunddaten!AD495&lt;&gt;""),IF(Programme_Grunddaten!AD495="Ja",1,0),"")</f>
        <v/>
      </c>
      <c r="W490" s="1" t="str">
        <f>IF(AND(Programme_Grunddaten!$A495="Geprüft",Programme_Grunddaten!AE495&lt;&gt;""),IF(Programme_Grunddaten!AE495="Ja",1,0),"")</f>
        <v/>
      </c>
      <c r="X490" s="1" t="str">
        <f>IF(AND(Programme_Grunddaten!$A495="Geprüft",Programme_Grunddaten!AF495&lt;&gt;""),IF(Programme_Grunddaten!AF495="Ja",1,0),"")</f>
        <v/>
      </c>
      <c r="Y490" s="1" t="str">
        <f>IF(AND(Programme_Grunddaten!$A495="Geprüft",Programme_Grunddaten!AG495&lt;&gt;""),IF(Programme_Grunddaten!AG495="Ja",1,0),"")</f>
        <v/>
      </c>
      <c r="Z490" s="1" t="str">
        <f>IF(AND(Programme_Grunddaten!$A495="Geprüft",Programme_Grunddaten!AH495&lt;&gt;""),IF(Programme_Grunddaten!AH495="Ja",1,0),"")</f>
        <v/>
      </c>
      <c r="AA490" s="1" t="str">
        <f>IF(AND(Programme_Grunddaten!$A495="Geprüft",Programme_Grunddaten!AI495&lt;&gt;""),IF(Programme_Grunddaten!AI495="Ja",1,0),"")</f>
        <v/>
      </c>
      <c r="AB490" s="1" t="str">
        <f>IF(AND(Programme_Grunddaten!$A495="Geprüft",Programme_Grunddaten!AJ495&lt;&gt;""),IF(Programme_Grunddaten!AJ495="individuell programmierbar",1,0),"")</f>
        <v/>
      </c>
      <c r="AC490" s="1" t="str">
        <f>IF(AND(Programme_Grunddaten!$A495="Geprüft",Programme_Grunddaten!AK495&lt;&gt;""),IF(Programme_Grunddaten!AK495="Deutsch",0,IF(Programme_Grunddaten!AK495="Deutsch und Englisch",1,2)),"")</f>
        <v/>
      </c>
      <c r="AD490" s="1" t="str">
        <f>IF(AND(Programme_Grunddaten!$A495="Geprüft",Programme_Grunddaten!AL495&lt;&gt;""),IF(Programme_Grunddaten!AL495="Ja",1,0),"")</f>
        <v/>
      </c>
      <c r="AE490" s="1" t="str">
        <f>IF(AND(Programme_Grunddaten!$A495="Geprüft",Programme_Grunddaten!AM495&lt;&gt;""),IF(Programme_Grunddaten!AM495="Ja",1,0),"")</f>
        <v/>
      </c>
      <c r="AF490" s="1" t="str">
        <f>IF(AND(Programme_Grunddaten!$A495="Geprüft",Programme_Grunddaten!AN495&lt;&gt;""),IF(Programme_Grunddaten!AN495="Ja",1,0),"")</f>
        <v/>
      </c>
      <c r="AG490" s="1" t="str">
        <f>IF(AND(Programme_Grunddaten!$A495="Geprüft",Programme_Grunddaten!AO495&lt;&gt;""),IF(Programme_Grunddaten!AO495="Ja",1,0),"")</f>
        <v/>
      </c>
      <c r="AH490" s="1" t="str">
        <f>IF(AND(Programme_Grunddaten!$A495="Geprüft",Programme_Grunddaten!AP495&lt;&gt;""),IF(Programme_Grunddaten!AP495="Ja",1,0),"")</f>
        <v/>
      </c>
      <c r="AI490" s="1" t="str">
        <f>IF(AND(Programme_Grunddaten!$A495="Geprüft",Programme_Grunddaten!AQ495&lt;&gt;""),IF(Programme_Grunddaten!AQ495="Ja",1,0),"")</f>
        <v/>
      </c>
      <c r="AJ490" s="1" t="str">
        <f>IF(AND(Programme_Grunddaten!$A495="Geprüft",Programme_Grunddaten!AR495&lt;&gt;""),IF(Programme_Grunddaten!AR495="Ja",1,0),"")</f>
        <v/>
      </c>
      <c r="AK490" s="1" t="str">
        <f>IF(AND(Programme_Grunddaten!$A495="Geprüft",Programme_Grunddaten!AS495&lt;&gt;""),IF(Programme_Grunddaten!AS495="Ja",1,0),"")</f>
        <v/>
      </c>
      <c r="AL490" s="1" t="str">
        <f>IF(AND(Programme_Grunddaten!$A495="Geprüft",Programme_Grunddaten!AT495&lt;&gt;""),IF(Programme_Grunddaten!AT495="Ja",1,0),"")</f>
        <v/>
      </c>
      <c r="AM490" s="1" t="str">
        <f>IF(AND(Programme_Grunddaten!$A495="Geprüft",Programme_Grunddaten!AU495&lt;&gt;""),IF(Programme_Grunddaten!AU495="Ja",1,0),"")</f>
        <v/>
      </c>
      <c r="AN490" s="1" t="str">
        <f>IF(AND(Programme_Grunddaten!$A495="Geprüft",Programme_Grunddaten!AV495&lt;&gt;""),IF(Programme_Grunddaten!AV495="Ja",1,0),"")</f>
        <v/>
      </c>
    </row>
    <row r="491" spans="1:40" x14ac:dyDescent="0.3">
      <c r="A491" s="1" t="str">
        <f>IF(AND(Programme_Grunddaten!A496="Geprüft",Programme_Grunddaten!B496&lt;&gt;""),Programme_Grunddaten!B496,"")</f>
        <v/>
      </c>
      <c r="B491" s="1" t="str">
        <f>IF(AND(Programme_Grunddaten!$A496="Geprüft",Programme_Grunddaten!I496&lt;&gt;""),IF(Programme_Grunddaten!I496="Ja",1,0),"")</f>
        <v/>
      </c>
      <c r="C491" s="1" t="str">
        <f>IF(AND(Programme_Grunddaten!$A496="Geprüft",Programme_Grunddaten!J496&lt;&gt;""),IF(Programme_Grunddaten!J496="Ja",1,0),"")</f>
        <v/>
      </c>
      <c r="D491" s="1" t="str">
        <f>IF(AND(Programme_Grunddaten!$A496="Geprüft",Programme_Grunddaten!K496&lt;&gt;""),IF(Programme_Grunddaten!K496="Ja",1,0),"")</f>
        <v/>
      </c>
      <c r="E491" s="1" t="str">
        <f>IF(AND(Programme_Grunddaten!$A496="Geprüft",Programme_Grunddaten!L496&lt;&gt;""),IF(Programme_Grunddaten!L496="Abo / befristete Lizenz",1,0),"")</f>
        <v/>
      </c>
      <c r="F491" s="1" t="str">
        <f>IF(AND(Programme_Grunddaten!$A496="Geprüft",Programme_Grunddaten!M496&lt;&gt;""),IF(Programme_Grunddaten!M496="Ja",1,0),"")</f>
        <v/>
      </c>
      <c r="G491" s="1" t="str">
        <f>IF(AND(Programme_Grunddaten!$A496="Geprüft",Programme_Grunddaten!N496&lt;&gt;""),IF(Programme_Grunddaten!N496="Ja",1,0),"")</f>
        <v/>
      </c>
      <c r="H491" s="1" t="str">
        <f>IF(AND(Programme_Grunddaten!$A496="Geprüft",Programme_Grunddaten!O496&lt;&gt;""),IF(Programme_Grunddaten!O496="Deutschland",0,IF(Programme_Grunddaten!O496="EU",1,2)),"")</f>
        <v/>
      </c>
      <c r="I491" s="1" t="str">
        <f>IF(AND(Programme_Grunddaten!$A496="Geprüft",Programme_Grunddaten!P496&lt;&gt;""),IF(Programme_Grunddaten!P496="Ja",1,0),"")</f>
        <v/>
      </c>
      <c r="J491" s="1" t="str">
        <f>IF(AND(Programme_Grunddaten!$A496="Geprüft",Programme_Grunddaten!Q496&lt;&gt;""),IF(Programme_Grunddaten!Q496="geschlossenes System",1,0),"")</f>
        <v/>
      </c>
      <c r="K491" s="1" t="str">
        <f>IF(AND(Programme_Grunddaten!$A496="Geprüft",Programme_Grunddaten!R496&lt;&gt;""),IF(Programme_Grunddaten!R496="Ja",1,0),"")</f>
        <v/>
      </c>
      <c r="L491" s="1" t="str">
        <f>IF(AND(Programme_Grunddaten!$A496="Geprüft",Programme_Grunddaten!T496&lt;&gt;""),IF(Programme_Grunddaten!T496="Ja",1,0),"")</f>
        <v/>
      </c>
      <c r="M491" s="1" t="str">
        <f>IF(AND(Programme_Grunddaten!$A496="Geprüft",Programme_Grunddaten!U496&lt;&gt;""),IF(Programme_Grunddaten!U496="Ja",1,0),"")</f>
        <v/>
      </c>
      <c r="N491" s="1" t="str">
        <f>IF(AND(Programme_Grunddaten!$A496="Geprüft",Programme_Grunddaten!V496&lt;&gt;""),IF(Programme_Grunddaten!V496="Ja",1,0),"")</f>
        <v/>
      </c>
      <c r="O491" s="1" t="str">
        <f>IF(AND(Programme_Grunddaten!$A496="Geprüft",Programme_Grunddaten!W496&lt;&gt;""),IF(Programme_Grunddaten!W496="Ja",1,0),"")</f>
        <v/>
      </c>
      <c r="P491" s="1" t="str">
        <f>IF(AND(Programme_Grunddaten!$A496="Geprüft",Programme_Grunddaten!X496&lt;&gt;""),IF(Programme_Grunddaten!X496="Ja",1,0),"")</f>
        <v/>
      </c>
      <c r="Q491" s="1" t="str">
        <f>IF(AND(Programme_Grunddaten!$A496="Geprüft",Programme_Grunddaten!Y496&lt;&gt;""),IF(Programme_Grunddaten!Y496="Ja",1,0),"")</f>
        <v/>
      </c>
      <c r="R491" s="1" t="str">
        <f>IF(AND(Programme_Grunddaten!$A496="Geprüft",Programme_Grunddaten!Z496&lt;&gt;""),IF(Programme_Grunddaten!Z496="Ja",1,0),"")</f>
        <v/>
      </c>
      <c r="S491" s="1" t="str">
        <f>IF(AND(Programme_Grunddaten!$A496="Geprüft",Programme_Grunddaten!AA496&lt;&gt;""),IF(Programme_Grunddaten!AA496="monolithisch",1,0),"")</f>
        <v/>
      </c>
      <c r="T491" s="1" t="str">
        <f>IF(AND(Programme_Grunddaten!$A496="Geprüft",Programme_Grunddaten!AB496&lt;&gt;""),IF(Programme_Grunddaten!AB496="Ja",1,0),"")</f>
        <v/>
      </c>
      <c r="U491" s="1" t="str">
        <f>IF(AND(Programme_Grunddaten!$A496="Geprüft",Programme_Grunddaten!AC496&lt;&gt;""),IF(Programme_Grunddaten!AC496="Ja",1,0),"")</f>
        <v/>
      </c>
      <c r="V491" s="1" t="str">
        <f>IF(AND(Programme_Grunddaten!$A496="Geprüft",Programme_Grunddaten!AD496&lt;&gt;""),IF(Programme_Grunddaten!AD496="Ja",1,0),"")</f>
        <v/>
      </c>
      <c r="W491" s="1" t="str">
        <f>IF(AND(Programme_Grunddaten!$A496="Geprüft",Programme_Grunddaten!AE496&lt;&gt;""),IF(Programme_Grunddaten!AE496="Ja",1,0),"")</f>
        <v/>
      </c>
      <c r="X491" s="1" t="str">
        <f>IF(AND(Programme_Grunddaten!$A496="Geprüft",Programme_Grunddaten!AF496&lt;&gt;""),IF(Programme_Grunddaten!AF496="Ja",1,0),"")</f>
        <v/>
      </c>
      <c r="Y491" s="1" t="str">
        <f>IF(AND(Programme_Grunddaten!$A496="Geprüft",Programme_Grunddaten!AG496&lt;&gt;""),IF(Programme_Grunddaten!AG496="Ja",1,0),"")</f>
        <v/>
      </c>
      <c r="Z491" s="1" t="str">
        <f>IF(AND(Programme_Grunddaten!$A496="Geprüft",Programme_Grunddaten!AH496&lt;&gt;""),IF(Programme_Grunddaten!AH496="Ja",1,0),"")</f>
        <v/>
      </c>
      <c r="AA491" s="1" t="str">
        <f>IF(AND(Programme_Grunddaten!$A496="Geprüft",Programme_Grunddaten!AI496&lt;&gt;""),IF(Programme_Grunddaten!AI496="Ja",1,0),"")</f>
        <v/>
      </c>
      <c r="AB491" s="1" t="str">
        <f>IF(AND(Programme_Grunddaten!$A496="Geprüft",Programme_Grunddaten!AJ496&lt;&gt;""),IF(Programme_Grunddaten!AJ496="individuell programmierbar",1,0),"")</f>
        <v/>
      </c>
      <c r="AC491" s="1" t="str">
        <f>IF(AND(Programme_Grunddaten!$A496="Geprüft",Programme_Grunddaten!AK496&lt;&gt;""),IF(Programme_Grunddaten!AK496="Deutsch",0,IF(Programme_Grunddaten!AK496="Deutsch und Englisch",1,2)),"")</f>
        <v/>
      </c>
      <c r="AD491" s="1" t="str">
        <f>IF(AND(Programme_Grunddaten!$A496="Geprüft",Programme_Grunddaten!AL496&lt;&gt;""),IF(Programme_Grunddaten!AL496="Ja",1,0),"")</f>
        <v/>
      </c>
      <c r="AE491" s="1" t="str">
        <f>IF(AND(Programme_Grunddaten!$A496="Geprüft",Programme_Grunddaten!AM496&lt;&gt;""),IF(Programme_Grunddaten!AM496="Ja",1,0),"")</f>
        <v/>
      </c>
      <c r="AF491" s="1" t="str">
        <f>IF(AND(Programme_Grunddaten!$A496="Geprüft",Programme_Grunddaten!AN496&lt;&gt;""),IF(Programme_Grunddaten!AN496="Ja",1,0),"")</f>
        <v/>
      </c>
      <c r="AG491" s="1" t="str">
        <f>IF(AND(Programme_Grunddaten!$A496="Geprüft",Programme_Grunddaten!AO496&lt;&gt;""),IF(Programme_Grunddaten!AO496="Ja",1,0),"")</f>
        <v/>
      </c>
      <c r="AH491" s="1" t="str">
        <f>IF(AND(Programme_Grunddaten!$A496="Geprüft",Programme_Grunddaten!AP496&lt;&gt;""),IF(Programme_Grunddaten!AP496="Ja",1,0),"")</f>
        <v/>
      </c>
      <c r="AI491" s="1" t="str">
        <f>IF(AND(Programme_Grunddaten!$A496="Geprüft",Programme_Grunddaten!AQ496&lt;&gt;""),IF(Programme_Grunddaten!AQ496="Ja",1,0),"")</f>
        <v/>
      </c>
      <c r="AJ491" s="1" t="str">
        <f>IF(AND(Programme_Grunddaten!$A496="Geprüft",Programme_Grunddaten!AR496&lt;&gt;""),IF(Programme_Grunddaten!AR496="Ja",1,0),"")</f>
        <v/>
      </c>
      <c r="AK491" s="1" t="str">
        <f>IF(AND(Programme_Grunddaten!$A496="Geprüft",Programme_Grunddaten!AS496&lt;&gt;""),IF(Programme_Grunddaten!AS496="Ja",1,0),"")</f>
        <v/>
      </c>
      <c r="AL491" s="1" t="str">
        <f>IF(AND(Programme_Grunddaten!$A496="Geprüft",Programme_Grunddaten!AT496&lt;&gt;""),IF(Programme_Grunddaten!AT496="Ja",1,0),"")</f>
        <v/>
      </c>
      <c r="AM491" s="1" t="str">
        <f>IF(AND(Programme_Grunddaten!$A496="Geprüft",Programme_Grunddaten!AU496&lt;&gt;""),IF(Programme_Grunddaten!AU496="Ja",1,0),"")</f>
        <v/>
      </c>
      <c r="AN491" s="1" t="str">
        <f>IF(AND(Programme_Grunddaten!$A496="Geprüft",Programme_Grunddaten!AV496&lt;&gt;""),IF(Programme_Grunddaten!AV496="Ja",1,0),"")</f>
        <v/>
      </c>
    </row>
    <row r="492" spans="1:40" x14ac:dyDescent="0.3">
      <c r="A492" s="1" t="str">
        <f>IF(AND(Programme_Grunddaten!A497="Geprüft",Programme_Grunddaten!B497&lt;&gt;""),Programme_Grunddaten!B497,"")</f>
        <v/>
      </c>
      <c r="B492" s="1" t="str">
        <f>IF(AND(Programme_Grunddaten!$A497="Geprüft",Programme_Grunddaten!I497&lt;&gt;""),IF(Programme_Grunddaten!I497="Ja",1,0),"")</f>
        <v/>
      </c>
      <c r="C492" s="1" t="str">
        <f>IF(AND(Programme_Grunddaten!$A497="Geprüft",Programme_Grunddaten!J497&lt;&gt;""),IF(Programme_Grunddaten!J497="Ja",1,0),"")</f>
        <v/>
      </c>
      <c r="D492" s="1" t="str">
        <f>IF(AND(Programme_Grunddaten!$A497="Geprüft",Programme_Grunddaten!K497&lt;&gt;""),IF(Programme_Grunddaten!K497="Ja",1,0),"")</f>
        <v/>
      </c>
      <c r="E492" s="1" t="str">
        <f>IF(AND(Programme_Grunddaten!$A497="Geprüft",Programme_Grunddaten!L497&lt;&gt;""),IF(Programme_Grunddaten!L497="Abo / befristete Lizenz",1,0),"")</f>
        <v/>
      </c>
      <c r="F492" s="1" t="str">
        <f>IF(AND(Programme_Grunddaten!$A497="Geprüft",Programme_Grunddaten!M497&lt;&gt;""),IF(Programme_Grunddaten!M497="Ja",1,0),"")</f>
        <v/>
      </c>
      <c r="G492" s="1" t="str">
        <f>IF(AND(Programme_Grunddaten!$A497="Geprüft",Programme_Grunddaten!N497&lt;&gt;""),IF(Programme_Grunddaten!N497="Ja",1,0),"")</f>
        <v/>
      </c>
      <c r="H492" s="1" t="str">
        <f>IF(AND(Programme_Grunddaten!$A497="Geprüft",Programme_Grunddaten!O497&lt;&gt;""),IF(Programme_Grunddaten!O497="Deutschland",0,IF(Programme_Grunddaten!O497="EU",1,2)),"")</f>
        <v/>
      </c>
      <c r="I492" s="1" t="str">
        <f>IF(AND(Programme_Grunddaten!$A497="Geprüft",Programme_Grunddaten!P497&lt;&gt;""),IF(Programme_Grunddaten!P497="Ja",1,0),"")</f>
        <v/>
      </c>
      <c r="J492" s="1" t="str">
        <f>IF(AND(Programme_Grunddaten!$A497="Geprüft",Programme_Grunddaten!Q497&lt;&gt;""),IF(Programme_Grunddaten!Q497="geschlossenes System",1,0),"")</f>
        <v/>
      </c>
      <c r="K492" s="1" t="str">
        <f>IF(AND(Programme_Grunddaten!$A497="Geprüft",Programme_Grunddaten!R497&lt;&gt;""),IF(Programme_Grunddaten!R497="Ja",1,0),"")</f>
        <v/>
      </c>
      <c r="L492" s="1" t="str">
        <f>IF(AND(Programme_Grunddaten!$A497="Geprüft",Programme_Grunddaten!T497&lt;&gt;""),IF(Programme_Grunddaten!T497="Ja",1,0),"")</f>
        <v/>
      </c>
      <c r="M492" s="1" t="str">
        <f>IF(AND(Programme_Grunddaten!$A497="Geprüft",Programme_Grunddaten!U497&lt;&gt;""),IF(Programme_Grunddaten!U497="Ja",1,0),"")</f>
        <v/>
      </c>
      <c r="N492" s="1" t="str">
        <f>IF(AND(Programme_Grunddaten!$A497="Geprüft",Programme_Grunddaten!V497&lt;&gt;""),IF(Programme_Grunddaten!V497="Ja",1,0),"")</f>
        <v/>
      </c>
      <c r="O492" s="1" t="str">
        <f>IF(AND(Programme_Grunddaten!$A497="Geprüft",Programme_Grunddaten!W497&lt;&gt;""),IF(Programme_Grunddaten!W497="Ja",1,0),"")</f>
        <v/>
      </c>
      <c r="P492" s="1" t="str">
        <f>IF(AND(Programme_Grunddaten!$A497="Geprüft",Programme_Grunddaten!X497&lt;&gt;""),IF(Programme_Grunddaten!X497="Ja",1,0),"")</f>
        <v/>
      </c>
      <c r="Q492" s="1" t="str">
        <f>IF(AND(Programme_Grunddaten!$A497="Geprüft",Programme_Grunddaten!Y497&lt;&gt;""),IF(Programme_Grunddaten!Y497="Ja",1,0),"")</f>
        <v/>
      </c>
      <c r="R492" s="1" t="str">
        <f>IF(AND(Programme_Grunddaten!$A497="Geprüft",Programme_Grunddaten!Z497&lt;&gt;""),IF(Programme_Grunddaten!Z497="Ja",1,0),"")</f>
        <v/>
      </c>
      <c r="S492" s="1" t="str">
        <f>IF(AND(Programme_Grunddaten!$A497="Geprüft",Programme_Grunddaten!AA497&lt;&gt;""),IF(Programme_Grunddaten!AA497="monolithisch",1,0),"")</f>
        <v/>
      </c>
      <c r="T492" s="1" t="str">
        <f>IF(AND(Programme_Grunddaten!$A497="Geprüft",Programme_Grunddaten!AB497&lt;&gt;""),IF(Programme_Grunddaten!AB497="Ja",1,0),"")</f>
        <v/>
      </c>
      <c r="U492" s="1" t="str">
        <f>IF(AND(Programme_Grunddaten!$A497="Geprüft",Programme_Grunddaten!AC497&lt;&gt;""),IF(Programme_Grunddaten!AC497="Ja",1,0),"")</f>
        <v/>
      </c>
      <c r="V492" s="1" t="str">
        <f>IF(AND(Programme_Grunddaten!$A497="Geprüft",Programme_Grunddaten!AD497&lt;&gt;""),IF(Programme_Grunddaten!AD497="Ja",1,0),"")</f>
        <v/>
      </c>
      <c r="W492" s="1" t="str">
        <f>IF(AND(Programme_Grunddaten!$A497="Geprüft",Programme_Grunddaten!AE497&lt;&gt;""),IF(Programme_Grunddaten!AE497="Ja",1,0),"")</f>
        <v/>
      </c>
      <c r="X492" s="1" t="str">
        <f>IF(AND(Programme_Grunddaten!$A497="Geprüft",Programme_Grunddaten!AF497&lt;&gt;""),IF(Programme_Grunddaten!AF497="Ja",1,0),"")</f>
        <v/>
      </c>
      <c r="Y492" s="1" t="str">
        <f>IF(AND(Programme_Grunddaten!$A497="Geprüft",Programme_Grunddaten!AG497&lt;&gt;""),IF(Programme_Grunddaten!AG497="Ja",1,0),"")</f>
        <v/>
      </c>
      <c r="Z492" s="1" t="str">
        <f>IF(AND(Programme_Grunddaten!$A497="Geprüft",Programme_Grunddaten!AH497&lt;&gt;""),IF(Programme_Grunddaten!AH497="Ja",1,0),"")</f>
        <v/>
      </c>
      <c r="AA492" s="1" t="str">
        <f>IF(AND(Programme_Grunddaten!$A497="Geprüft",Programme_Grunddaten!AI497&lt;&gt;""),IF(Programme_Grunddaten!AI497="Ja",1,0),"")</f>
        <v/>
      </c>
      <c r="AB492" s="1" t="str">
        <f>IF(AND(Programme_Grunddaten!$A497="Geprüft",Programme_Grunddaten!AJ497&lt;&gt;""),IF(Programme_Grunddaten!AJ497="individuell programmierbar",1,0),"")</f>
        <v/>
      </c>
      <c r="AC492" s="1" t="str">
        <f>IF(AND(Programme_Grunddaten!$A497="Geprüft",Programme_Grunddaten!AK497&lt;&gt;""),IF(Programme_Grunddaten!AK497="Deutsch",0,IF(Programme_Grunddaten!AK497="Deutsch und Englisch",1,2)),"")</f>
        <v/>
      </c>
      <c r="AD492" s="1" t="str">
        <f>IF(AND(Programme_Grunddaten!$A497="Geprüft",Programme_Grunddaten!AL497&lt;&gt;""),IF(Programme_Grunddaten!AL497="Ja",1,0),"")</f>
        <v/>
      </c>
      <c r="AE492" s="1" t="str">
        <f>IF(AND(Programme_Grunddaten!$A497="Geprüft",Programme_Grunddaten!AM497&lt;&gt;""),IF(Programme_Grunddaten!AM497="Ja",1,0),"")</f>
        <v/>
      </c>
      <c r="AF492" s="1" t="str">
        <f>IF(AND(Programme_Grunddaten!$A497="Geprüft",Programme_Grunddaten!AN497&lt;&gt;""),IF(Programme_Grunddaten!AN497="Ja",1,0),"")</f>
        <v/>
      </c>
      <c r="AG492" s="1" t="str">
        <f>IF(AND(Programme_Grunddaten!$A497="Geprüft",Programme_Grunddaten!AO497&lt;&gt;""),IF(Programme_Grunddaten!AO497="Ja",1,0),"")</f>
        <v/>
      </c>
      <c r="AH492" s="1" t="str">
        <f>IF(AND(Programme_Grunddaten!$A497="Geprüft",Programme_Grunddaten!AP497&lt;&gt;""),IF(Programme_Grunddaten!AP497="Ja",1,0),"")</f>
        <v/>
      </c>
      <c r="AI492" s="1" t="str">
        <f>IF(AND(Programme_Grunddaten!$A497="Geprüft",Programme_Grunddaten!AQ497&lt;&gt;""),IF(Programme_Grunddaten!AQ497="Ja",1,0),"")</f>
        <v/>
      </c>
      <c r="AJ492" s="1" t="str">
        <f>IF(AND(Programme_Grunddaten!$A497="Geprüft",Programme_Grunddaten!AR497&lt;&gt;""),IF(Programme_Grunddaten!AR497="Ja",1,0),"")</f>
        <v/>
      </c>
      <c r="AK492" s="1" t="str">
        <f>IF(AND(Programme_Grunddaten!$A497="Geprüft",Programme_Grunddaten!AS497&lt;&gt;""),IF(Programme_Grunddaten!AS497="Ja",1,0),"")</f>
        <v/>
      </c>
      <c r="AL492" s="1" t="str">
        <f>IF(AND(Programme_Grunddaten!$A497="Geprüft",Programme_Grunddaten!AT497&lt;&gt;""),IF(Programme_Grunddaten!AT497="Ja",1,0),"")</f>
        <v/>
      </c>
      <c r="AM492" s="1" t="str">
        <f>IF(AND(Programme_Grunddaten!$A497="Geprüft",Programme_Grunddaten!AU497&lt;&gt;""),IF(Programme_Grunddaten!AU497="Ja",1,0),"")</f>
        <v/>
      </c>
      <c r="AN492" s="1" t="str">
        <f>IF(AND(Programme_Grunddaten!$A497="Geprüft",Programme_Grunddaten!AV497&lt;&gt;""),IF(Programme_Grunddaten!AV497="Ja",1,0),"")</f>
        <v/>
      </c>
    </row>
    <row r="493" spans="1:40" x14ac:dyDescent="0.3">
      <c r="A493" s="1" t="str">
        <f>IF(AND(Programme_Grunddaten!A498="Geprüft",Programme_Grunddaten!B498&lt;&gt;""),Programme_Grunddaten!B498,"")</f>
        <v/>
      </c>
      <c r="B493" s="1" t="str">
        <f>IF(AND(Programme_Grunddaten!$A498="Geprüft",Programme_Grunddaten!I498&lt;&gt;""),IF(Programme_Grunddaten!I498="Ja",1,0),"")</f>
        <v/>
      </c>
      <c r="C493" s="1" t="str">
        <f>IF(AND(Programme_Grunddaten!$A498="Geprüft",Programme_Grunddaten!J498&lt;&gt;""),IF(Programme_Grunddaten!J498="Ja",1,0),"")</f>
        <v/>
      </c>
      <c r="D493" s="1" t="str">
        <f>IF(AND(Programme_Grunddaten!$A498="Geprüft",Programme_Grunddaten!K498&lt;&gt;""),IF(Programme_Grunddaten!K498="Ja",1,0),"")</f>
        <v/>
      </c>
      <c r="E493" s="1" t="str">
        <f>IF(AND(Programme_Grunddaten!$A498="Geprüft",Programme_Grunddaten!L498&lt;&gt;""),IF(Programme_Grunddaten!L498="Abo / befristete Lizenz",1,0),"")</f>
        <v/>
      </c>
      <c r="F493" s="1" t="str">
        <f>IF(AND(Programme_Grunddaten!$A498="Geprüft",Programme_Grunddaten!M498&lt;&gt;""),IF(Programme_Grunddaten!M498="Ja",1,0),"")</f>
        <v/>
      </c>
      <c r="G493" s="1" t="str">
        <f>IF(AND(Programme_Grunddaten!$A498="Geprüft",Programme_Grunddaten!N498&lt;&gt;""),IF(Programme_Grunddaten!N498="Ja",1,0),"")</f>
        <v/>
      </c>
      <c r="H493" s="1" t="str">
        <f>IF(AND(Programme_Grunddaten!$A498="Geprüft",Programme_Grunddaten!O498&lt;&gt;""),IF(Programme_Grunddaten!O498="Deutschland",0,IF(Programme_Grunddaten!O498="EU",1,2)),"")</f>
        <v/>
      </c>
      <c r="I493" s="1" t="str">
        <f>IF(AND(Programme_Grunddaten!$A498="Geprüft",Programme_Grunddaten!P498&lt;&gt;""),IF(Programme_Grunddaten!P498="Ja",1,0),"")</f>
        <v/>
      </c>
      <c r="J493" s="1" t="str">
        <f>IF(AND(Programme_Grunddaten!$A498="Geprüft",Programme_Grunddaten!Q498&lt;&gt;""),IF(Programme_Grunddaten!Q498="geschlossenes System",1,0),"")</f>
        <v/>
      </c>
      <c r="K493" s="1" t="str">
        <f>IF(AND(Programme_Grunddaten!$A498="Geprüft",Programme_Grunddaten!R498&lt;&gt;""),IF(Programme_Grunddaten!R498="Ja",1,0),"")</f>
        <v/>
      </c>
      <c r="L493" s="1" t="str">
        <f>IF(AND(Programme_Grunddaten!$A498="Geprüft",Programme_Grunddaten!T498&lt;&gt;""),IF(Programme_Grunddaten!T498="Ja",1,0),"")</f>
        <v/>
      </c>
      <c r="M493" s="1" t="str">
        <f>IF(AND(Programme_Grunddaten!$A498="Geprüft",Programme_Grunddaten!U498&lt;&gt;""),IF(Programme_Grunddaten!U498="Ja",1,0),"")</f>
        <v/>
      </c>
      <c r="N493" s="1" t="str">
        <f>IF(AND(Programme_Grunddaten!$A498="Geprüft",Programme_Grunddaten!V498&lt;&gt;""),IF(Programme_Grunddaten!V498="Ja",1,0),"")</f>
        <v/>
      </c>
      <c r="O493" s="1" t="str">
        <f>IF(AND(Programme_Grunddaten!$A498="Geprüft",Programme_Grunddaten!W498&lt;&gt;""),IF(Programme_Grunddaten!W498="Ja",1,0),"")</f>
        <v/>
      </c>
      <c r="P493" s="1" t="str">
        <f>IF(AND(Programme_Grunddaten!$A498="Geprüft",Programme_Grunddaten!X498&lt;&gt;""),IF(Programme_Grunddaten!X498="Ja",1,0),"")</f>
        <v/>
      </c>
      <c r="Q493" s="1" t="str">
        <f>IF(AND(Programme_Grunddaten!$A498="Geprüft",Programme_Grunddaten!Y498&lt;&gt;""),IF(Programme_Grunddaten!Y498="Ja",1,0),"")</f>
        <v/>
      </c>
      <c r="R493" s="1" t="str">
        <f>IF(AND(Programme_Grunddaten!$A498="Geprüft",Programme_Grunddaten!Z498&lt;&gt;""),IF(Programme_Grunddaten!Z498="Ja",1,0),"")</f>
        <v/>
      </c>
      <c r="S493" s="1" t="str">
        <f>IF(AND(Programme_Grunddaten!$A498="Geprüft",Programme_Grunddaten!AA498&lt;&gt;""),IF(Programme_Grunddaten!AA498="monolithisch",1,0),"")</f>
        <v/>
      </c>
      <c r="T493" s="1" t="str">
        <f>IF(AND(Programme_Grunddaten!$A498="Geprüft",Programme_Grunddaten!AB498&lt;&gt;""),IF(Programme_Grunddaten!AB498="Ja",1,0),"")</f>
        <v/>
      </c>
      <c r="U493" s="1" t="str">
        <f>IF(AND(Programme_Grunddaten!$A498="Geprüft",Programme_Grunddaten!AC498&lt;&gt;""),IF(Programme_Grunddaten!AC498="Ja",1,0),"")</f>
        <v/>
      </c>
      <c r="V493" s="1" t="str">
        <f>IF(AND(Programme_Grunddaten!$A498="Geprüft",Programme_Grunddaten!AD498&lt;&gt;""),IF(Programme_Grunddaten!AD498="Ja",1,0),"")</f>
        <v/>
      </c>
      <c r="W493" s="1" t="str">
        <f>IF(AND(Programme_Grunddaten!$A498="Geprüft",Programme_Grunddaten!AE498&lt;&gt;""),IF(Programme_Grunddaten!AE498="Ja",1,0),"")</f>
        <v/>
      </c>
      <c r="X493" s="1" t="str">
        <f>IF(AND(Programme_Grunddaten!$A498="Geprüft",Programme_Grunddaten!AF498&lt;&gt;""),IF(Programme_Grunddaten!AF498="Ja",1,0),"")</f>
        <v/>
      </c>
      <c r="Y493" s="1" t="str">
        <f>IF(AND(Programme_Grunddaten!$A498="Geprüft",Programme_Grunddaten!AG498&lt;&gt;""),IF(Programme_Grunddaten!AG498="Ja",1,0),"")</f>
        <v/>
      </c>
      <c r="Z493" s="1" t="str">
        <f>IF(AND(Programme_Grunddaten!$A498="Geprüft",Programme_Grunddaten!AH498&lt;&gt;""),IF(Programme_Grunddaten!AH498="Ja",1,0),"")</f>
        <v/>
      </c>
      <c r="AA493" s="1" t="str">
        <f>IF(AND(Programme_Grunddaten!$A498="Geprüft",Programme_Grunddaten!AI498&lt;&gt;""),IF(Programme_Grunddaten!AI498="Ja",1,0),"")</f>
        <v/>
      </c>
      <c r="AB493" s="1" t="str">
        <f>IF(AND(Programme_Grunddaten!$A498="Geprüft",Programme_Grunddaten!AJ498&lt;&gt;""),IF(Programme_Grunddaten!AJ498="individuell programmierbar",1,0),"")</f>
        <v/>
      </c>
      <c r="AC493" s="1" t="str">
        <f>IF(AND(Programme_Grunddaten!$A498="Geprüft",Programme_Grunddaten!AK498&lt;&gt;""),IF(Programme_Grunddaten!AK498="Deutsch",0,IF(Programme_Grunddaten!AK498="Deutsch und Englisch",1,2)),"")</f>
        <v/>
      </c>
      <c r="AD493" s="1" t="str">
        <f>IF(AND(Programme_Grunddaten!$A498="Geprüft",Programme_Grunddaten!AL498&lt;&gt;""),IF(Programme_Grunddaten!AL498="Ja",1,0),"")</f>
        <v/>
      </c>
      <c r="AE493" s="1" t="str">
        <f>IF(AND(Programme_Grunddaten!$A498="Geprüft",Programme_Grunddaten!AM498&lt;&gt;""),IF(Programme_Grunddaten!AM498="Ja",1,0),"")</f>
        <v/>
      </c>
      <c r="AF493" s="1" t="str">
        <f>IF(AND(Programme_Grunddaten!$A498="Geprüft",Programme_Grunddaten!AN498&lt;&gt;""),IF(Programme_Grunddaten!AN498="Ja",1,0),"")</f>
        <v/>
      </c>
      <c r="AG493" s="1" t="str">
        <f>IF(AND(Programme_Grunddaten!$A498="Geprüft",Programme_Grunddaten!AO498&lt;&gt;""),IF(Programme_Grunddaten!AO498="Ja",1,0),"")</f>
        <v/>
      </c>
      <c r="AH493" s="1" t="str">
        <f>IF(AND(Programme_Grunddaten!$A498="Geprüft",Programme_Grunddaten!AP498&lt;&gt;""),IF(Programme_Grunddaten!AP498="Ja",1,0),"")</f>
        <v/>
      </c>
      <c r="AI493" s="1" t="str">
        <f>IF(AND(Programme_Grunddaten!$A498="Geprüft",Programme_Grunddaten!AQ498&lt;&gt;""),IF(Programme_Grunddaten!AQ498="Ja",1,0),"")</f>
        <v/>
      </c>
      <c r="AJ493" s="1" t="str">
        <f>IF(AND(Programme_Grunddaten!$A498="Geprüft",Programme_Grunddaten!AR498&lt;&gt;""),IF(Programme_Grunddaten!AR498="Ja",1,0),"")</f>
        <v/>
      </c>
      <c r="AK493" s="1" t="str">
        <f>IF(AND(Programme_Grunddaten!$A498="Geprüft",Programme_Grunddaten!AS498&lt;&gt;""),IF(Programme_Grunddaten!AS498="Ja",1,0),"")</f>
        <v/>
      </c>
      <c r="AL493" s="1" t="str">
        <f>IF(AND(Programme_Grunddaten!$A498="Geprüft",Programme_Grunddaten!AT498&lt;&gt;""),IF(Programme_Grunddaten!AT498="Ja",1,0),"")</f>
        <v/>
      </c>
      <c r="AM493" s="1" t="str">
        <f>IF(AND(Programme_Grunddaten!$A498="Geprüft",Programme_Grunddaten!AU498&lt;&gt;""),IF(Programme_Grunddaten!AU498="Ja",1,0),"")</f>
        <v/>
      </c>
      <c r="AN493" s="1" t="str">
        <f>IF(AND(Programme_Grunddaten!$A498="Geprüft",Programme_Grunddaten!AV498&lt;&gt;""),IF(Programme_Grunddaten!AV498="Ja",1,0),"")</f>
        <v/>
      </c>
    </row>
    <row r="494" spans="1:40" x14ac:dyDescent="0.3">
      <c r="A494" s="1" t="str">
        <f>IF(AND(Programme_Grunddaten!A499="Geprüft",Programme_Grunddaten!B499&lt;&gt;""),Programme_Grunddaten!B499,"")</f>
        <v/>
      </c>
      <c r="B494" s="1" t="str">
        <f>IF(AND(Programme_Grunddaten!$A499="Geprüft",Programme_Grunddaten!I499&lt;&gt;""),IF(Programme_Grunddaten!I499="Ja",1,0),"")</f>
        <v/>
      </c>
      <c r="C494" s="1" t="str">
        <f>IF(AND(Programme_Grunddaten!$A499="Geprüft",Programme_Grunddaten!J499&lt;&gt;""),IF(Programme_Grunddaten!J499="Ja",1,0),"")</f>
        <v/>
      </c>
      <c r="D494" s="1" t="str">
        <f>IF(AND(Programme_Grunddaten!$A499="Geprüft",Programme_Grunddaten!K499&lt;&gt;""),IF(Programme_Grunddaten!K499="Ja",1,0),"")</f>
        <v/>
      </c>
      <c r="E494" s="1" t="str">
        <f>IF(AND(Programme_Grunddaten!$A499="Geprüft",Programme_Grunddaten!L499&lt;&gt;""),IF(Programme_Grunddaten!L499="Abo / befristete Lizenz",1,0),"")</f>
        <v/>
      </c>
      <c r="F494" s="1" t="str">
        <f>IF(AND(Programme_Grunddaten!$A499="Geprüft",Programme_Grunddaten!M499&lt;&gt;""),IF(Programme_Grunddaten!M499="Ja",1,0),"")</f>
        <v/>
      </c>
      <c r="G494" s="1" t="str">
        <f>IF(AND(Programme_Grunddaten!$A499="Geprüft",Programme_Grunddaten!N499&lt;&gt;""),IF(Programme_Grunddaten!N499="Ja",1,0),"")</f>
        <v/>
      </c>
      <c r="H494" s="1" t="str">
        <f>IF(AND(Programme_Grunddaten!$A499="Geprüft",Programme_Grunddaten!O499&lt;&gt;""),IF(Programme_Grunddaten!O499="Deutschland",0,IF(Programme_Grunddaten!O499="EU",1,2)),"")</f>
        <v/>
      </c>
      <c r="I494" s="1" t="str">
        <f>IF(AND(Programme_Grunddaten!$A499="Geprüft",Programme_Grunddaten!P499&lt;&gt;""),IF(Programme_Grunddaten!P499="Ja",1,0),"")</f>
        <v/>
      </c>
      <c r="J494" s="1" t="str">
        <f>IF(AND(Programme_Grunddaten!$A499="Geprüft",Programme_Grunddaten!Q499&lt;&gt;""),IF(Programme_Grunddaten!Q499="geschlossenes System",1,0),"")</f>
        <v/>
      </c>
      <c r="K494" s="1" t="str">
        <f>IF(AND(Programme_Grunddaten!$A499="Geprüft",Programme_Grunddaten!R499&lt;&gt;""),IF(Programme_Grunddaten!R499="Ja",1,0),"")</f>
        <v/>
      </c>
      <c r="L494" s="1" t="str">
        <f>IF(AND(Programme_Grunddaten!$A499="Geprüft",Programme_Grunddaten!T499&lt;&gt;""),IF(Programme_Grunddaten!T499="Ja",1,0),"")</f>
        <v/>
      </c>
      <c r="M494" s="1" t="str">
        <f>IF(AND(Programme_Grunddaten!$A499="Geprüft",Programme_Grunddaten!U499&lt;&gt;""),IF(Programme_Grunddaten!U499="Ja",1,0),"")</f>
        <v/>
      </c>
      <c r="N494" s="1" t="str">
        <f>IF(AND(Programme_Grunddaten!$A499="Geprüft",Programme_Grunddaten!V499&lt;&gt;""),IF(Programme_Grunddaten!V499="Ja",1,0),"")</f>
        <v/>
      </c>
      <c r="O494" s="1" t="str">
        <f>IF(AND(Programme_Grunddaten!$A499="Geprüft",Programme_Grunddaten!W499&lt;&gt;""),IF(Programme_Grunddaten!W499="Ja",1,0),"")</f>
        <v/>
      </c>
      <c r="P494" s="1" t="str">
        <f>IF(AND(Programme_Grunddaten!$A499="Geprüft",Programme_Grunddaten!X499&lt;&gt;""),IF(Programme_Grunddaten!X499="Ja",1,0),"")</f>
        <v/>
      </c>
      <c r="Q494" s="1" t="str">
        <f>IF(AND(Programme_Grunddaten!$A499="Geprüft",Programme_Grunddaten!Y499&lt;&gt;""),IF(Programme_Grunddaten!Y499="Ja",1,0),"")</f>
        <v/>
      </c>
      <c r="R494" s="1" t="str">
        <f>IF(AND(Programme_Grunddaten!$A499="Geprüft",Programme_Grunddaten!Z499&lt;&gt;""),IF(Programme_Grunddaten!Z499="Ja",1,0),"")</f>
        <v/>
      </c>
      <c r="S494" s="1" t="str">
        <f>IF(AND(Programme_Grunddaten!$A499="Geprüft",Programme_Grunddaten!AA499&lt;&gt;""),IF(Programme_Grunddaten!AA499="monolithisch",1,0),"")</f>
        <v/>
      </c>
      <c r="T494" s="1" t="str">
        <f>IF(AND(Programme_Grunddaten!$A499="Geprüft",Programme_Grunddaten!AB499&lt;&gt;""),IF(Programme_Grunddaten!AB499="Ja",1,0),"")</f>
        <v/>
      </c>
      <c r="U494" s="1" t="str">
        <f>IF(AND(Programme_Grunddaten!$A499="Geprüft",Programme_Grunddaten!AC499&lt;&gt;""),IF(Programme_Grunddaten!AC499="Ja",1,0),"")</f>
        <v/>
      </c>
      <c r="V494" s="1" t="str">
        <f>IF(AND(Programme_Grunddaten!$A499="Geprüft",Programme_Grunddaten!AD499&lt;&gt;""),IF(Programme_Grunddaten!AD499="Ja",1,0),"")</f>
        <v/>
      </c>
      <c r="W494" s="1" t="str">
        <f>IF(AND(Programme_Grunddaten!$A499="Geprüft",Programme_Grunddaten!AE499&lt;&gt;""),IF(Programme_Grunddaten!AE499="Ja",1,0),"")</f>
        <v/>
      </c>
      <c r="X494" s="1" t="str">
        <f>IF(AND(Programme_Grunddaten!$A499="Geprüft",Programme_Grunddaten!AF499&lt;&gt;""),IF(Programme_Grunddaten!AF499="Ja",1,0),"")</f>
        <v/>
      </c>
      <c r="Y494" s="1" t="str">
        <f>IF(AND(Programme_Grunddaten!$A499="Geprüft",Programme_Grunddaten!AG499&lt;&gt;""),IF(Programme_Grunddaten!AG499="Ja",1,0),"")</f>
        <v/>
      </c>
      <c r="Z494" s="1" t="str">
        <f>IF(AND(Programme_Grunddaten!$A499="Geprüft",Programme_Grunddaten!AH499&lt;&gt;""),IF(Programme_Grunddaten!AH499="Ja",1,0),"")</f>
        <v/>
      </c>
      <c r="AA494" s="1" t="str">
        <f>IF(AND(Programme_Grunddaten!$A499="Geprüft",Programme_Grunddaten!AI499&lt;&gt;""),IF(Programme_Grunddaten!AI499="Ja",1,0),"")</f>
        <v/>
      </c>
      <c r="AB494" s="1" t="str">
        <f>IF(AND(Programme_Grunddaten!$A499="Geprüft",Programme_Grunddaten!AJ499&lt;&gt;""),IF(Programme_Grunddaten!AJ499="individuell programmierbar",1,0),"")</f>
        <v/>
      </c>
      <c r="AC494" s="1" t="str">
        <f>IF(AND(Programme_Grunddaten!$A499="Geprüft",Programme_Grunddaten!AK499&lt;&gt;""),IF(Programme_Grunddaten!AK499="Deutsch",0,IF(Programme_Grunddaten!AK499="Deutsch und Englisch",1,2)),"")</f>
        <v/>
      </c>
      <c r="AD494" s="1" t="str">
        <f>IF(AND(Programme_Grunddaten!$A499="Geprüft",Programme_Grunddaten!AL499&lt;&gt;""),IF(Programme_Grunddaten!AL499="Ja",1,0),"")</f>
        <v/>
      </c>
      <c r="AE494" s="1" t="str">
        <f>IF(AND(Programme_Grunddaten!$A499="Geprüft",Programme_Grunddaten!AM499&lt;&gt;""),IF(Programme_Grunddaten!AM499="Ja",1,0),"")</f>
        <v/>
      </c>
      <c r="AF494" s="1" t="str">
        <f>IF(AND(Programme_Grunddaten!$A499="Geprüft",Programme_Grunddaten!AN499&lt;&gt;""),IF(Programme_Grunddaten!AN499="Ja",1,0),"")</f>
        <v/>
      </c>
      <c r="AG494" s="1" t="str">
        <f>IF(AND(Programme_Grunddaten!$A499="Geprüft",Programme_Grunddaten!AO499&lt;&gt;""),IF(Programme_Grunddaten!AO499="Ja",1,0),"")</f>
        <v/>
      </c>
      <c r="AH494" s="1" t="str">
        <f>IF(AND(Programme_Grunddaten!$A499="Geprüft",Programme_Grunddaten!AP499&lt;&gt;""),IF(Programme_Grunddaten!AP499="Ja",1,0),"")</f>
        <v/>
      </c>
      <c r="AI494" s="1" t="str">
        <f>IF(AND(Programme_Grunddaten!$A499="Geprüft",Programme_Grunddaten!AQ499&lt;&gt;""),IF(Programme_Grunddaten!AQ499="Ja",1,0),"")</f>
        <v/>
      </c>
      <c r="AJ494" s="1" t="str">
        <f>IF(AND(Programme_Grunddaten!$A499="Geprüft",Programme_Grunddaten!AR499&lt;&gt;""),IF(Programme_Grunddaten!AR499="Ja",1,0),"")</f>
        <v/>
      </c>
      <c r="AK494" s="1" t="str">
        <f>IF(AND(Programme_Grunddaten!$A499="Geprüft",Programme_Grunddaten!AS499&lt;&gt;""),IF(Programme_Grunddaten!AS499="Ja",1,0),"")</f>
        <v/>
      </c>
      <c r="AL494" s="1" t="str">
        <f>IF(AND(Programme_Grunddaten!$A499="Geprüft",Programme_Grunddaten!AT499&lt;&gt;""),IF(Programme_Grunddaten!AT499="Ja",1,0),"")</f>
        <v/>
      </c>
      <c r="AM494" s="1" t="str">
        <f>IF(AND(Programme_Grunddaten!$A499="Geprüft",Programme_Grunddaten!AU499&lt;&gt;""),IF(Programme_Grunddaten!AU499="Ja",1,0),"")</f>
        <v/>
      </c>
      <c r="AN494" s="1" t="str">
        <f>IF(AND(Programme_Grunddaten!$A499="Geprüft",Programme_Grunddaten!AV499&lt;&gt;""),IF(Programme_Grunddaten!AV499="Ja",1,0),"")</f>
        <v/>
      </c>
    </row>
    <row r="495" spans="1:40" x14ac:dyDescent="0.3">
      <c r="A495" s="1" t="str">
        <f>IF(AND(Programme_Grunddaten!A500="Geprüft",Programme_Grunddaten!B500&lt;&gt;""),Programme_Grunddaten!B500,"")</f>
        <v/>
      </c>
      <c r="B495" s="1" t="str">
        <f>IF(AND(Programme_Grunddaten!$A500="Geprüft",Programme_Grunddaten!I500&lt;&gt;""),IF(Programme_Grunddaten!I500="Ja",1,0),"")</f>
        <v/>
      </c>
      <c r="C495" s="1" t="str">
        <f>IF(AND(Programme_Grunddaten!$A500="Geprüft",Programme_Grunddaten!J500&lt;&gt;""),IF(Programme_Grunddaten!J500="Ja",1,0),"")</f>
        <v/>
      </c>
      <c r="D495" s="1" t="str">
        <f>IF(AND(Programme_Grunddaten!$A500="Geprüft",Programme_Grunddaten!K500&lt;&gt;""),IF(Programme_Grunddaten!K500="Ja",1,0),"")</f>
        <v/>
      </c>
      <c r="E495" s="1" t="str">
        <f>IF(AND(Programme_Grunddaten!$A500="Geprüft",Programme_Grunddaten!L500&lt;&gt;""),IF(Programme_Grunddaten!L500="Abo / befristete Lizenz",1,0),"")</f>
        <v/>
      </c>
      <c r="F495" s="1" t="str">
        <f>IF(AND(Programme_Grunddaten!$A500="Geprüft",Programme_Grunddaten!M500&lt;&gt;""),IF(Programme_Grunddaten!M500="Ja",1,0),"")</f>
        <v/>
      </c>
      <c r="G495" s="1" t="str">
        <f>IF(AND(Programme_Grunddaten!$A500="Geprüft",Programme_Grunddaten!N500&lt;&gt;""),IF(Programme_Grunddaten!N500="Ja",1,0),"")</f>
        <v/>
      </c>
      <c r="H495" s="1" t="str">
        <f>IF(AND(Programme_Grunddaten!$A500="Geprüft",Programme_Grunddaten!O500&lt;&gt;""),IF(Programme_Grunddaten!O500="Deutschland",0,IF(Programme_Grunddaten!O500="EU",1,2)),"")</f>
        <v/>
      </c>
      <c r="I495" s="1" t="str">
        <f>IF(AND(Programme_Grunddaten!$A500="Geprüft",Programme_Grunddaten!P500&lt;&gt;""),IF(Programme_Grunddaten!P500="Ja",1,0),"")</f>
        <v/>
      </c>
      <c r="J495" s="1" t="str">
        <f>IF(AND(Programme_Grunddaten!$A500="Geprüft",Programme_Grunddaten!Q500&lt;&gt;""),IF(Programme_Grunddaten!Q500="geschlossenes System",1,0),"")</f>
        <v/>
      </c>
      <c r="K495" s="1" t="str">
        <f>IF(AND(Programme_Grunddaten!$A500="Geprüft",Programme_Grunddaten!R500&lt;&gt;""),IF(Programme_Grunddaten!R500="Ja",1,0),"")</f>
        <v/>
      </c>
      <c r="L495" s="1" t="str">
        <f>IF(AND(Programme_Grunddaten!$A500="Geprüft",Programme_Grunddaten!T500&lt;&gt;""),IF(Programme_Grunddaten!T500="Ja",1,0),"")</f>
        <v/>
      </c>
      <c r="M495" s="1" t="str">
        <f>IF(AND(Programme_Grunddaten!$A500="Geprüft",Programme_Grunddaten!U500&lt;&gt;""),IF(Programme_Grunddaten!U500="Ja",1,0),"")</f>
        <v/>
      </c>
      <c r="N495" s="1" t="str">
        <f>IF(AND(Programme_Grunddaten!$A500="Geprüft",Programme_Grunddaten!V500&lt;&gt;""),IF(Programme_Grunddaten!V500="Ja",1,0),"")</f>
        <v/>
      </c>
      <c r="O495" s="1" t="str">
        <f>IF(AND(Programme_Grunddaten!$A500="Geprüft",Programme_Grunddaten!W500&lt;&gt;""),IF(Programme_Grunddaten!W500="Ja",1,0),"")</f>
        <v/>
      </c>
      <c r="P495" s="1" t="str">
        <f>IF(AND(Programme_Grunddaten!$A500="Geprüft",Programme_Grunddaten!X500&lt;&gt;""),IF(Programme_Grunddaten!X500="Ja",1,0),"")</f>
        <v/>
      </c>
      <c r="Q495" s="1" t="str">
        <f>IF(AND(Programme_Grunddaten!$A500="Geprüft",Programme_Grunddaten!Y500&lt;&gt;""),IF(Programme_Grunddaten!Y500="Ja",1,0),"")</f>
        <v/>
      </c>
      <c r="R495" s="1" t="str">
        <f>IF(AND(Programme_Grunddaten!$A500="Geprüft",Programme_Grunddaten!Z500&lt;&gt;""),IF(Programme_Grunddaten!Z500="Ja",1,0),"")</f>
        <v/>
      </c>
      <c r="S495" s="1" t="str">
        <f>IF(AND(Programme_Grunddaten!$A500="Geprüft",Programme_Grunddaten!AA500&lt;&gt;""),IF(Programme_Grunddaten!AA500="monolithisch",1,0),"")</f>
        <v/>
      </c>
      <c r="T495" s="1" t="str">
        <f>IF(AND(Programme_Grunddaten!$A500="Geprüft",Programme_Grunddaten!AB500&lt;&gt;""),IF(Programme_Grunddaten!AB500="Ja",1,0),"")</f>
        <v/>
      </c>
      <c r="U495" s="1" t="str">
        <f>IF(AND(Programme_Grunddaten!$A500="Geprüft",Programme_Grunddaten!AC500&lt;&gt;""),IF(Programme_Grunddaten!AC500="Ja",1,0),"")</f>
        <v/>
      </c>
      <c r="V495" s="1" t="str">
        <f>IF(AND(Programme_Grunddaten!$A500="Geprüft",Programme_Grunddaten!AD500&lt;&gt;""),IF(Programme_Grunddaten!AD500="Ja",1,0),"")</f>
        <v/>
      </c>
      <c r="W495" s="1" t="str">
        <f>IF(AND(Programme_Grunddaten!$A500="Geprüft",Programme_Grunddaten!AE500&lt;&gt;""),IF(Programme_Grunddaten!AE500="Ja",1,0),"")</f>
        <v/>
      </c>
      <c r="X495" s="1" t="str">
        <f>IF(AND(Programme_Grunddaten!$A500="Geprüft",Programme_Grunddaten!AF500&lt;&gt;""),IF(Programme_Grunddaten!AF500="Ja",1,0),"")</f>
        <v/>
      </c>
      <c r="Y495" s="1" t="str">
        <f>IF(AND(Programme_Grunddaten!$A500="Geprüft",Programme_Grunddaten!AG500&lt;&gt;""),IF(Programme_Grunddaten!AG500="Ja",1,0),"")</f>
        <v/>
      </c>
      <c r="Z495" s="1" t="str">
        <f>IF(AND(Programme_Grunddaten!$A500="Geprüft",Programme_Grunddaten!AH500&lt;&gt;""),IF(Programme_Grunddaten!AH500="Ja",1,0),"")</f>
        <v/>
      </c>
      <c r="AA495" s="1" t="str">
        <f>IF(AND(Programme_Grunddaten!$A500="Geprüft",Programme_Grunddaten!AI500&lt;&gt;""),IF(Programme_Grunddaten!AI500="Ja",1,0),"")</f>
        <v/>
      </c>
      <c r="AB495" s="1" t="str">
        <f>IF(AND(Programme_Grunddaten!$A500="Geprüft",Programme_Grunddaten!AJ500&lt;&gt;""),IF(Programme_Grunddaten!AJ500="individuell programmierbar",1,0),"")</f>
        <v/>
      </c>
      <c r="AC495" s="1" t="str">
        <f>IF(AND(Programme_Grunddaten!$A500="Geprüft",Programme_Grunddaten!AK500&lt;&gt;""),IF(Programme_Grunddaten!AK500="Deutsch",0,IF(Programme_Grunddaten!AK500="Deutsch und Englisch",1,2)),"")</f>
        <v/>
      </c>
      <c r="AD495" s="1" t="str">
        <f>IF(AND(Programme_Grunddaten!$A500="Geprüft",Programme_Grunddaten!AL500&lt;&gt;""),IF(Programme_Grunddaten!AL500="Ja",1,0),"")</f>
        <v/>
      </c>
      <c r="AE495" s="1" t="str">
        <f>IF(AND(Programme_Grunddaten!$A500="Geprüft",Programme_Grunddaten!AM500&lt;&gt;""),IF(Programme_Grunddaten!AM500="Ja",1,0),"")</f>
        <v/>
      </c>
      <c r="AF495" s="1" t="str">
        <f>IF(AND(Programme_Grunddaten!$A500="Geprüft",Programme_Grunddaten!AN500&lt;&gt;""),IF(Programme_Grunddaten!AN500="Ja",1,0),"")</f>
        <v/>
      </c>
      <c r="AG495" s="1" t="str">
        <f>IF(AND(Programme_Grunddaten!$A500="Geprüft",Programme_Grunddaten!AO500&lt;&gt;""),IF(Programme_Grunddaten!AO500="Ja",1,0),"")</f>
        <v/>
      </c>
      <c r="AH495" s="1" t="str">
        <f>IF(AND(Programme_Grunddaten!$A500="Geprüft",Programme_Grunddaten!AP500&lt;&gt;""),IF(Programme_Grunddaten!AP500="Ja",1,0),"")</f>
        <v/>
      </c>
      <c r="AI495" s="1" t="str">
        <f>IF(AND(Programme_Grunddaten!$A500="Geprüft",Programme_Grunddaten!AQ500&lt;&gt;""),IF(Programme_Grunddaten!AQ500="Ja",1,0),"")</f>
        <v/>
      </c>
      <c r="AJ495" s="1" t="str">
        <f>IF(AND(Programme_Grunddaten!$A500="Geprüft",Programme_Grunddaten!AR500&lt;&gt;""),IF(Programme_Grunddaten!AR500="Ja",1,0),"")</f>
        <v/>
      </c>
      <c r="AK495" s="1" t="str">
        <f>IF(AND(Programme_Grunddaten!$A500="Geprüft",Programme_Grunddaten!AS500&lt;&gt;""),IF(Programme_Grunddaten!AS500="Ja",1,0),"")</f>
        <v/>
      </c>
      <c r="AL495" s="1" t="str">
        <f>IF(AND(Programme_Grunddaten!$A500="Geprüft",Programme_Grunddaten!AT500&lt;&gt;""),IF(Programme_Grunddaten!AT500="Ja",1,0),"")</f>
        <v/>
      </c>
      <c r="AM495" s="1" t="str">
        <f>IF(AND(Programme_Grunddaten!$A500="Geprüft",Programme_Grunddaten!AU500&lt;&gt;""),IF(Programme_Grunddaten!AU500="Ja",1,0),"")</f>
        <v/>
      </c>
      <c r="AN495" s="1" t="str">
        <f>IF(AND(Programme_Grunddaten!$A500="Geprüft",Programme_Grunddaten!AV500&lt;&gt;""),IF(Programme_Grunddaten!AV500="Ja",1,0),"")</f>
        <v/>
      </c>
    </row>
    <row r="496" spans="1:40" x14ac:dyDescent="0.3">
      <c r="A496" s="1" t="str">
        <f>IF(AND(Programme_Grunddaten!A501="Geprüft",Programme_Grunddaten!B501&lt;&gt;""),Programme_Grunddaten!B501,"")</f>
        <v/>
      </c>
      <c r="B496" s="1" t="str">
        <f>IF(AND(Programme_Grunddaten!$A501="Geprüft",Programme_Grunddaten!I501&lt;&gt;""),IF(Programme_Grunddaten!I501="Ja",1,0),"")</f>
        <v/>
      </c>
      <c r="C496" s="1" t="str">
        <f>IF(AND(Programme_Grunddaten!$A501="Geprüft",Programme_Grunddaten!J501&lt;&gt;""),IF(Programme_Grunddaten!J501="Ja",1,0),"")</f>
        <v/>
      </c>
      <c r="D496" s="1" t="str">
        <f>IF(AND(Programme_Grunddaten!$A501="Geprüft",Programme_Grunddaten!K501&lt;&gt;""),IF(Programme_Grunddaten!K501="Ja",1,0),"")</f>
        <v/>
      </c>
      <c r="E496" s="1" t="str">
        <f>IF(AND(Programme_Grunddaten!$A501="Geprüft",Programme_Grunddaten!L501&lt;&gt;""),IF(Programme_Grunddaten!L501="Abo / befristete Lizenz",1,0),"")</f>
        <v/>
      </c>
      <c r="F496" s="1" t="str">
        <f>IF(AND(Programme_Grunddaten!$A501="Geprüft",Programme_Grunddaten!M501&lt;&gt;""),IF(Programme_Grunddaten!M501="Ja",1,0),"")</f>
        <v/>
      </c>
      <c r="G496" s="1" t="str">
        <f>IF(AND(Programme_Grunddaten!$A501="Geprüft",Programme_Grunddaten!N501&lt;&gt;""),IF(Programme_Grunddaten!N501="Ja",1,0),"")</f>
        <v/>
      </c>
      <c r="H496" s="1" t="str">
        <f>IF(AND(Programme_Grunddaten!$A501="Geprüft",Programme_Grunddaten!O501&lt;&gt;""),IF(Programme_Grunddaten!O501="Deutschland",0,IF(Programme_Grunddaten!O501="EU",1,2)),"")</f>
        <v/>
      </c>
      <c r="I496" s="1" t="str">
        <f>IF(AND(Programme_Grunddaten!$A501="Geprüft",Programme_Grunddaten!P501&lt;&gt;""),IF(Programme_Grunddaten!P501="Ja",1,0),"")</f>
        <v/>
      </c>
      <c r="J496" s="1" t="str">
        <f>IF(AND(Programme_Grunddaten!$A501="Geprüft",Programme_Grunddaten!Q501&lt;&gt;""),IF(Programme_Grunddaten!Q501="geschlossenes System",1,0),"")</f>
        <v/>
      </c>
      <c r="K496" s="1" t="str">
        <f>IF(AND(Programme_Grunddaten!$A501="Geprüft",Programme_Grunddaten!R501&lt;&gt;""),IF(Programme_Grunddaten!R501="Ja",1,0),"")</f>
        <v/>
      </c>
      <c r="L496" s="1" t="str">
        <f>IF(AND(Programme_Grunddaten!$A501="Geprüft",Programme_Grunddaten!T501&lt;&gt;""),IF(Programme_Grunddaten!T501="Ja",1,0),"")</f>
        <v/>
      </c>
      <c r="M496" s="1" t="str">
        <f>IF(AND(Programme_Grunddaten!$A501="Geprüft",Programme_Grunddaten!U501&lt;&gt;""),IF(Programme_Grunddaten!U501="Ja",1,0),"")</f>
        <v/>
      </c>
      <c r="N496" s="1" t="str">
        <f>IF(AND(Programme_Grunddaten!$A501="Geprüft",Programme_Grunddaten!V501&lt;&gt;""),IF(Programme_Grunddaten!V501="Ja",1,0),"")</f>
        <v/>
      </c>
      <c r="O496" s="1" t="str">
        <f>IF(AND(Programme_Grunddaten!$A501="Geprüft",Programme_Grunddaten!W501&lt;&gt;""),IF(Programme_Grunddaten!W501="Ja",1,0),"")</f>
        <v/>
      </c>
      <c r="P496" s="1" t="str">
        <f>IF(AND(Programme_Grunddaten!$A501="Geprüft",Programme_Grunddaten!X501&lt;&gt;""),IF(Programme_Grunddaten!X501="Ja",1,0),"")</f>
        <v/>
      </c>
      <c r="Q496" s="1" t="str">
        <f>IF(AND(Programme_Grunddaten!$A501="Geprüft",Programme_Grunddaten!Y501&lt;&gt;""),IF(Programme_Grunddaten!Y501="Ja",1,0),"")</f>
        <v/>
      </c>
      <c r="R496" s="1" t="str">
        <f>IF(AND(Programme_Grunddaten!$A501="Geprüft",Programme_Grunddaten!Z501&lt;&gt;""),IF(Programme_Grunddaten!Z501="Ja",1,0),"")</f>
        <v/>
      </c>
      <c r="S496" s="1" t="str">
        <f>IF(AND(Programme_Grunddaten!$A501="Geprüft",Programme_Grunddaten!AA501&lt;&gt;""),IF(Programme_Grunddaten!AA501="monolithisch",1,0),"")</f>
        <v/>
      </c>
      <c r="T496" s="1" t="str">
        <f>IF(AND(Programme_Grunddaten!$A501="Geprüft",Programme_Grunddaten!AB501&lt;&gt;""),IF(Programme_Grunddaten!AB501="Ja",1,0),"")</f>
        <v/>
      </c>
      <c r="U496" s="1" t="str">
        <f>IF(AND(Programme_Grunddaten!$A501="Geprüft",Programme_Grunddaten!AC501&lt;&gt;""),IF(Programme_Grunddaten!AC501="Ja",1,0),"")</f>
        <v/>
      </c>
      <c r="V496" s="1" t="str">
        <f>IF(AND(Programme_Grunddaten!$A501="Geprüft",Programme_Grunddaten!AD501&lt;&gt;""),IF(Programme_Grunddaten!AD501="Ja",1,0),"")</f>
        <v/>
      </c>
      <c r="W496" s="1" t="str">
        <f>IF(AND(Programme_Grunddaten!$A501="Geprüft",Programme_Grunddaten!AE501&lt;&gt;""),IF(Programme_Grunddaten!AE501="Ja",1,0),"")</f>
        <v/>
      </c>
      <c r="X496" s="1" t="str">
        <f>IF(AND(Programme_Grunddaten!$A501="Geprüft",Programme_Grunddaten!AF501&lt;&gt;""),IF(Programme_Grunddaten!AF501="Ja",1,0),"")</f>
        <v/>
      </c>
      <c r="Y496" s="1" t="str">
        <f>IF(AND(Programme_Grunddaten!$A501="Geprüft",Programme_Grunddaten!AG501&lt;&gt;""),IF(Programme_Grunddaten!AG501="Ja",1,0),"")</f>
        <v/>
      </c>
      <c r="Z496" s="1" t="str">
        <f>IF(AND(Programme_Grunddaten!$A501="Geprüft",Programme_Grunddaten!AH501&lt;&gt;""),IF(Programme_Grunddaten!AH501="Ja",1,0),"")</f>
        <v/>
      </c>
      <c r="AA496" s="1" t="str">
        <f>IF(AND(Programme_Grunddaten!$A501="Geprüft",Programme_Grunddaten!AI501&lt;&gt;""),IF(Programme_Grunddaten!AI501="Ja",1,0),"")</f>
        <v/>
      </c>
      <c r="AB496" s="1" t="str">
        <f>IF(AND(Programme_Grunddaten!$A501="Geprüft",Programme_Grunddaten!AJ501&lt;&gt;""),IF(Programme_Grunddaten!AJ501="individuell programmierbar",1,0),"")</f>
        <v/>
      </c>
      <c r="AC496" s="1" t="str">
        <f>IF(AND(Programme_Grunddaten!$A501="Geprüft",Programme_Grunddaten!AK501&lt;&gt;""),IF(Programme_Grunddaten!AK501="Deutsch",0,IF(Programme_Grunddaten!AK501="Deutsch und Englisch",1,2)),"")</f>
        <v/>
      </c>
      <c r="AD496" s="1" t="str">
        <f>IF(AND(Programme_Grunddaten!$A501="Geprüft",Programme_Grunddaten!AL501&lt;&gt;""),IF(Programme_Grunddaten!AL501="Ja",1,0),"")</f>
        <v/>
      </c>
      <c r="AE496" s="1" t="str">
        <f>IF(AND(Programme_Grunddaten!$A501="Geprüft",Programme_Grunddaten!AM501&lt;&gt;""),IF(Programme_Grunddaten!AM501="Ja",1,0),"")</f>
        <v/>
      </c>
      <c r="AF496" s="1" t="str">
        <f>IF(AND(Programme_Grunddaten!$A501="Geprüft",Programme_Grunddaten!AN501&lt;&gt;""),IF(Programme_Grunddaten!AN501="Ja",1,0),"")</f>
        <v/>
      </c>
      <c r="AG496" s="1" t="str">
        <f>IF(AND(Programme_Grunddaten!$A501="Geprüft",Programme_Grunddaten!AO501&lt;&gt;""),IF(Programme_Grunddaten!AO501="Ja",1,0),"")</f>
        <v/>
      </c>
      <c r="AH496" s="1" t="str">
        <f>IF(AND(Programme_Grunddaten!$A501="Geprüft",Programme_Grunddaten!AP501&lt;&gt;""),IF(Programme_Grunddaten!AP501="Ja",1,0),"")</f>
        <v/>
      </c>
      <c r="AI496" s="1" t="str">
        <f>IF(AND(Programme_Grunddaten!$A501="Geprüft",Programme_Grunddaten!AQ501&lt;&gt;""),IF(Programme_Grunddaten!AQ501="Ja",1,0),"")</f>
        <v/>
      </c>
      <c r="AJ496" s="1" t="str">
        <f>IF(AND(Programme_Grunddaten!$A501="Geprüft",Programme_Grunddaten!AR501&lt;&gt;""),IF(Programme_Grunddaten!AR501="Ja",1,0),"")</f>
        <v/>
      </c>
      <c r="AK496" s="1" t="str">
        <f>IF(AND(Programme_Grunddaten!$A501="Geprüft",Programme_Grunddaten!AS501&lt;&gt;""),IF(Programme_Grunddaten!AS501="Ja",1,0),"")</f>
        <v/>
      </c>
      <c r="AL496" s="1" t="str">
        <f>IF(AND(Programme_Grunddaten!$A501="Geprüft",Programme_Grunddaten!AT501&lt;&gt;""),IF(Programme_Grunddaten!AT501="Ja",1,0),"")</f>
        <v/>
      </c>
      <c r="AM496" s="1" t="str">
        <f>IF(AND(Programme_Grunddaten!$A501="Geprüft",Programme_Grunddaten!AU501&lt;&gt;""),IF(Programme_Grunddaten!AU501="Ja",1,0),"")</f>
        <v/>
      </c>
      <c r="AN496" s="1" t="str">
        <f>IF(AND(Programme_Grunddaten!$A501="Geprüft",Programme_Grunddaten!AV501&lt;&gt;""),IF(Programme_Grunddaten!AV501="Ja",1,0),"")</f>
        <v/>
      </c>
    </row>
    <row r="497" spans="1:40" x14ac:dyDescent="0.3">
      <c r="A497" s="1" t="str">
        <f>IF(AND(Programme_Grunddaten!A502="Geprüft",Programme_Grunddaten!B502&lt;&gt;""),Programme_Grunddaten!B502,"")</f>
        <v/>
      </c>
      <c r="B497" s="1" t="str">
        <f>IF(AND(Programme_Grunddaten!$A502="Geprüft",Programme_Grunddaten!I502&lt;&gt;""),IF(Programme_Grunddaten!I502="Ja",1,0),"")</f>
        <v/>
      </c>
      <c r="C497" s="1" t="str">
        <f>IF(AND(Programme_Grunddaten!$A502="Geprüft",Programme_Grunddaten!J502&lt;&gt;""),IF(Programme_Grunddaten!J502="Ja",1,0),"")</f>
        <v/>
      </c>
      <c r="D497" s="1" t="str">
        <f>IF(AND(Programme_Grunddaten!$A502="Geprüft",Programme_Grunddaten!K502&lt;&gt;""),IF(Programme_Grunddaten!K502="Ja",1,0),"")</f>
        <v/>
      </c>
      <c r="E497" s="1" t="str">
        <f>IF(AND(Programme_Grunddaten!$A502="Geprüft",Programme_Grunddaten!L502&lt;&gt;""),IF(Programme_Grunddaten!L502="Abo / befristete Lizenz",1,0),"")</f>
        <v/>
      </c>
      <c r="F497" s="1" t="str">
        <f>IF(AND(Programme_Grunddaten!$A502="Geprüft",Programme_Grunddaten!M502&lt;&gt;""),IF(Programme_Grunddaten!M502="Ja",1,0),"")</f>
        <v/>
      </c>
      <c r="G497" s="1" t="str">
        <f>IF(AND(Programme_Grunddaten!$A502="Geprüft",Programme_Grunddaten!N502&lt;&gt;""),IF(Programme_Grunddaten!N502="Ja",1,0),"")</f>
        <v/>
      </c>
      <c r="H497" s="1" t="str">
        <f>IF(AND(Programme_Grunddaten!$A502="Geprüft",Programme_Grunddaten!O502&lt;&gt;""),IF(Programme_Grunddaten!O502="Deutschland",0,IF(Programme_Grunddaten!O502="EU",1,2)),"")</f>
        <v/>
      </c>
      <c r="I497" s="1" t="str">
        <f>IF(AND(Programme_Grunddaten!$A502="Geprüft",Programme_Grunddaten!P502&lt;&gt;""),IF(Programme_Grunddaten!P502="Ja",1,0),"")</f>
        <v/>
      </c>
      <c r="J497" s="1" t="str">
        <f>IF(AND(Programme_Grunddaten!$A502="Geprüft",Programme_Grunddaten!Q502&lt;&gt;""),IF(Programme_Grunddaten!Q502="geschlossenes System",1,0),"")</f>
        <v/>
      </c>
      <c r="K497" s="1" t="str">
        <f>IF(AND(Programme_Grunddaten!$A502="Geprüft",Programme_Grunddaten!R502&lt;&gt;""),IF(Programme_Grunddaten!R502="Ja",1,0),"")</f>
        <v/>
      </c>
      <c r="L497" s="1" t="str">
        <f>IF(AND(Programme_Grunddaten!$A502="Geprüft",Programme_Grunddaten!T502&lt;&gt;""),IF(Programme_Grunddaten!T502="Ja",1,0),"")</f>
        <v/>
      </c>
      <c r="M497" s="1" t="str">
        <f>IF(AND(Programme_Grunddaten!$A502="Geprüft",Programme_Grunddaten!U502&lt;&gt;""),IF(Programme_Grunddaten!U502="Ja",1,0),"")</f>
        <v/>
      </c>
      <c r="N497" s="1" t="str">
        <f>IF(AND(Programme_Grunddaten!$A502="Geprüft",Programme_Grunddaten!V502&lt;&gt;""),IF(Programme_Grunddaten!V502="Ja",1,0),"")</f>
        <v/>
      </c>
      <c r="O497" s="1" t="str">
        <f>IF(AND(Programme_Grunddaten!$A502="Geprüft",Programme_Grunddaten!W502&lt;&gt;""),IF(Programme_Grunddaten!W502="Ja",1,0),"")</f>
        <v/>
      </c>
      <c r="P497" s="1" t="str">
        <f>IF(AND(Programme_Grunddaten!$A502="Geprüft",Programme_Grunddaten!X502&lt;&gt;""),IF(Programme_Grunddaten!X502="Ja",1,0),"")</f>
        <v/>
      </c>
      <c r="Q497" s="1" t="str">
        <f>IF(AND(Programme_Grunddaten!$A502="Geprüft",Programme_Grunddaten!Y502&lt;&gt;""),IF(Programme_Grunddaten!Y502="Ja",1,0),"")</f>
        <v/>
      </c>
      <c r="R497" s="1" t="str">
        <f>IF(AND(Programme_Grunddaten!$A502="Geprüft",Programme_Grunddaten!Z502&lt;&gt;""),IF(Programme_Grunddaten!Z502="Ja",1,0),"")</f>
        <v/>
      </c>
      <c r="S497" s="1" t="str">
        <f>IF(AND(Programme_Grunddaten!$A502="Geprüft",Programme_Grunddaten!AA502&lt;&gt;""),IF(Programme_Grunddaten!AA502="monolithisch",1,0),"")</f>
        <v/>
      </c>
      <c r="T497" s="1" t="str">
        <f>IF(AND(Programme_Grunddaten!$A502="Geprüft",Programme_Grunddaten!AB502&lt;&gt;""),IF(Programme_Grunddaten!AB502="Ja",1,0),"")</f>
        <v/>
      </c>
      <c r="U497" s="1" t="str">
        <f>IF(AND(Programme_Grunddaten!$A502="Geprüft",Programme_Grunddaten!AC502&lt;&gt;""),IF(Programme_Grunddaten!AC502="Ja",1,0),"")</f>
        <v/>
      </c>
      <c r="V497" s="1" t="str">
        <f>IF(AND(Programme_Grunddaten!$A502="Geprüft",Programme_Grunddaten!AD502&lt;&gt;""),IF(Programme_Grunddaten!AD502="Ja",1,0),"")</f>
        <v/>
      </c>
      <c r="W497" s="1" t="str">
        <f>IF(AND(Programme_Grunddaten!$A502="Geprüft",Programme_Grunddaten!AE502&lt;&gt;""),IF(Programme_Grunddaten!AE502="Ja",1,0),"")</f>
        <v/>
      </c>
      <c r="X497" s="1" t="str">
        <f>IF(AND(Programme_Grunddaten!$A502="Geprüft",Programme_Grunddaten!AF502&lt;&gt;""),IF(Programme_Grunddaten!AF502="Ja",1,0),"")</f>
        <v/>
      </c>
      <c r="Y497" s="1" t="str">
        <f>IF(AND(Programme_Grunddaten!$A502="Geprüft",Programme_Grunddaten!AG502&lt;&gt;""),IF(Programme_Grunddaten!AG502="Ja",1,0),"")</f>
        <v/>
      </c>
      <c r="Z497" s="1" t="str">
        <f>IF(AND(Programme_Grunddaten!$A502="Geprüft",Programme_Grunddaten!AH502&lt;&gt;""),IF(Programme_Grunddaten!AH502="Ja",1,0),"")</f>
        <v/>
      </c>
      <c r="AA497" s="1" t="str">
        <f>IF(AND(Programme_Grunddaten!$A502="Geprüft",Programme_Grunddaten!AI502&lt;&gt;""),IF(Programme_Grunddaten!AI502="Ja",1,0),"")</f>
        <v/>
      </c>
      <c r="AB497" s="1" t="str">
        <f>IF(AND(Programme_Grunddaten!$A502="Geprüft",Programme_Grunddaten!AJ502&lt;&gt;""),IF(Programme_Grunddaten!AJ502="individuell programmierbar",1,0),"")</f>
        <v/>
      </c>
      <c r="AC497" s="1" t="str">
        <f>IF(AND(Programme_Grunddaten!$A502="Geprüft",Programme_Grunddaten!AK502&lt;&gt;""),IF(Programme_Grunddaten!AK502="Deutsch",0,IF(Programme_Grunddaten!AK502="Deutsch und Englisch",1,2)),"")</f>
        <v/>
      </c>
      <c r="AD497" s="1" t="str">
        <f>IF(AND(Programme_Grunddaten!$A502="Geprüft",Programme_Grunddaten!AL502&lt;&gt;""),IF(Programme_Grunddaten!AL502="Ja",1,0),"")</f>
        <v/>
      </c>
      <c r="AE497" s="1" t="str">
        <f>IF(AND(Programme_Grunddaten!$A502="Geprüft",Programme_Grunddaten!AM502&lt;&gt;""),IF(Programme_Grunddaten!AM502="Ja",1,0),"")</f>
        <v/>
      </c>
      <c r="AF497" s="1" t="str">
        <f>IF(AND(Programme_Grunddaten!$A502="Geprüft",Programme_Grunddaten!AN502&lt;&gt;""),IF(Programme_Grunddaten!AN502="Ja",1,0),"")</f>
        <v/>
      </c>
      <c r="AG497" s="1" t="str">
        <f>IF(AND(Programme_Grunddaten!$A502="Geprüft",Programme_Grunddaten!AO502&lt;&gt;""),IF(Programme_Grunddaten!AO502="Ja",1,0),"")</f>
        <v/>
      </c>
      <c r="AH497" s="1" t="str">
        <f>IF(AND(Programme_Grunddaten!$A502="Geprüft",Programme_Grunddaten!AP502&lt;&gt;""),IF(Programme_Grunddaten!AP502="Ja",1,0),"")</f>
        <v/>
      </c>
      <c r="AI497" s="1" t="str">
        <f>IF(AND(Programme_Grunddaten!$A502="Geprüft",Programme_Grunddaten!AQ502&lt;&gt;""),IF(Programme_Grunddaten!AQ502="Ja",1,0),"")</f>
        <v/>
      </c>
      <c r="AJ497" s="1" t="str">
        <f>IF(AND(Programme_Grunddaten!$A502="Geprüft",Programme_Grunddaten!AR502&lt;&gt;""),IF(Programme_Grunddaten!AR502="Ja",1,0),"")</f>
        <v/>
      </c>
      <c r="AK497" s="1" t="str">
        <f>IF(AND(Programme_Grunddaten!$A502="Geprüft",Programme_Grunddaten!AS502&lt;&gt;""),IF(Programme_Grunddaten!AS502="Ja",1,0),"")</f>
        <v/>
      </c>
      <c r="AL497" s="1" t="str">
        <f>IF(AND(Programme_Grunddaten!$A502="Geprüft",Programme_Grunddaten!AT502&lt;&gt;""),IF(Programme_Grunddaten!AT502="Ja",1,0),"")</f>
        <v/>
      </c>
      <c r="AM497" s="1" t="str">
        <f>IF(AND(Programme_Grunddaten!$A502="Geprüft",Programme_Grunddaten!AU502&lt;&gt;""),IF(Programme_Grunddaten!AU502="Ja",1,0),"")</f>
        <v/>
      </c>
      <c r="AN497" s="1" t="str">
        <f>IF(AND(Programme_Grunddaten!$A502="Geprüft",Programme_Grunddaten!AV502&lt;&gt;""),IF(Programme_Grunddaten!AV502="Ja",1,0),"")</f>
        <v/>
      </c>
    </row>
    <row r="498" spans="1:40" x14ac:dyDescent="0.3">
      <c r="A498" s="1" t="str">
        <f>IF(AND(Programme_Grunddaten!A503="Geprüft",Programme_Grunddaten!B503&lt;&gt;""),Programme_Grunddaten!B503,"")</f>
        <v/>
      </c>
      <c r="B498" s="1" t="str">
        <f>IF(AND(Programme_Grunddaten!$A503="Geprüft",Programme_Grunddaten!I503&lt;&gt;""),IF(Programme_Grunddaten!I503="Ja",1,0),"")</f>
        <v/>
      </c>
      <c r="C498" s="1" t="str">
        <f>IF(AND(Programme_Grunddaten!$A503="Geprüft",Programme_Grunddaten!J503&lt;&gt;""),IF(Programme_Grunddaten!J503="Ja",1,0),"")</f>
        <v/>
      </c>
      <c r="D498" s="1" t="str">
        <f>IF(AND(Programme_Grunddaten!$A503="Geprüft",Programme_Grunddaten!K503&lt;&gt;""),IF(Programme_Grunddaten!K503="Ja",1,0),"")</f>
        <v/>
      </c>
      <c r="E498" s="1" t="str">
        <f>IF(AND(Programme_Grunddaten!$A503="Geprüft",Programme_Grunddaten!L503&lt;&gt;""),IF(Programme_Grunddaten!L503="Abo / befristete Lizenz",1,0),"")</f>
        <v/>
      </c>
      <c r="F498" s="1" t="str">
        <f>IF(AND(Programme_Grunddaten!$A503="Geprüft",Programme_Grunddaten!M503&lt;&gt;""),IF(Programme_Grunddaten!M503="Ja",1,0),"")</f>
        <v/>
      </c>
      <c r="G498" s="1" t="str">
        <f>IF(AND(Programme_Grunddaten!$A503="Geprüft",Programme_Grunddaten!N503&lt;&gt;""),IF(Programme_Grunddaten!N503="Ja",1,0),"")</f>
        <v/>
      </c>
      <c r="H498" s="1" t="str">
        <f>IF(AND(Programme_Grunddaten!$A503="Geprüft",Programme_Grunddaten!O503&lt;&gt;""),IF(Programme_Grunddaten!O503="Deutschland",0,IF(Programme_Grunddaten!O503="EU",1,2)),"")</f>
        <v/>
      </c>
      <c r="I498" s="1" t="str">
        <f>IF(AND(Programme_Grunddaten!$A503="Geprüft",Programme_Grunddaten!P503&lt;&gt;""),IF(Programme_Grunddaten!P503="Ja",1,0),"")</f>
        <v/>
      </c>
      <c r="J498" s="1" t="str">
        <f>IF(AND(Programme_Grunddaten!$A503="Geprüft",Programme_Grunddaten!Q503&lt;&gt;""),IF(Programme_Grunddaten!Q503="geschlossenes System",1,0),"")</f>
        <v/>
      </c>
      <c r="K498" s="1" t="str">
        <f>IF(AND(Programme_Grunddaten!$A503="Geprüft",Programme_Grunddaten!R503&lt;&gt;""),IF(Programme_Grunddaten!R503="Ja",1,0),"")</f>
        <v/>
      </c>
      <c r="L498" s="1" t="str">
        <f>IF(AND(Programme_Grunddaten!$A503="Geprüft",Programme_Grunddaten!T503&lt;&gt;""),IF(Programme_Grunddaten!T503="Ja",1,0),"")</f>
        <v/>
      </c>
      <c r="M498" s="1" t="str">
        <f>IF(AND(Programme_Grunddaten!$A503="Geprüft",Programme_Grunddaten!U503&lt;&gt;""),IF(Programme_Grunddaten!U503="Ja",1,0),"")</f>
        <v/>
      </c>
      <c r="N498" s="1" t="str">
        <f>IF(AND(Programme_Grunddaten!$A503="Geprüft",Programme_Grunddaten!V503&lt;&gt;""),IF(Programme_Grunddaten!V503="Ja",1,0),"")</f>
        <v/>
      </c>
      <c r="O498" s="1" t="str">
        <f>IF(AND(Programme_Grunddaten!$A503="Geprüft",Programme_Grunddaten!W503&lt;&gt;""),IF(Programme_Grunddaten!W503="Ja",1,0),"")</f>
        <v/>
      </c>
      <c r="P498" s="1" t="str">
        <f>IF(AND(Programme_Grunddaten!$A503="Geprüft",Programme_Grunddaten!X503&lt;&gt;""),IF(Programme_Grunddaten!X503="Ja",1,0),"")</f>
        <v/>
      </c>
      <c r="Q498" s="1" t="str">
        <f>IF(AND(Programme_Grunddaten!$A503="Geprüft",Programme_Grunddaten!Y503&lt;&gt;""),IF(Programme_Grunddaten!Y503="Ja",1,0),"")</f>
        <v/>
      </c>
      <c r="R498" s="1" t="str">
        <f>IF(AND(Programme_Grunddaten!$A503="Geprüft",Programme_Grunddaten!Z503&lt;&gt;""),IF(Programme_Grunddaten!Z503="Ja",1,0),"")</f>
        <v/>
      </c>
      <c r="S498" s="1" t="str">
        <f>IF(AND(Programme_Grunddaten!$A503="Geprüft",Programme_Grunddaten!AA503&lt;&gt;""),IF(Programme_Grunddaten!AA503="monolithisch",1,0),"")</f>
        <v/>
      </c>
      <c r="T498" s="1" t="str">
        <f>IF(AND(Programme_Grunddaten!$A503="Geprüft",Programme_Grunddaten!AB503&lt;&gt;""),IF(Programme_Grunddaten!AB503="Ja",1,0),"")</f>
        <v/>
      </c>
      <c r="U498" s="1" t="str">
        <f>IF(AND(Programme_Grunddaten!$A503="Geprüft",Programme_Grunddaten!AC503&lt;&gt;""),IF(Programme_Grunddaten!AC503="Ja",1,0),"")</f>
        <v/>
      </c>
      <c r="V498" s="1" t="str">
        <f>IF(AND(Programme_Grunddaten!$A503="Geprüft",Programme_Grunddaten!AD503&lt;&gt;""),IF(Programme_Grunddaten!AD503="Ja",1,0),"")</f>
        <v/>
      </c>
      <c r="W498" s="1" t="str">
        <f>IF(AND(Programme_Grunddaten!$A503="Geprüft",Programme_Grunddaten!AE503&lt;&gt;""),IF(Programme_Grunddaten!AE503="Ja",1,0),"")</f>
        <v/>
      </c>
      <c r="X498" s="1" t="str">
        <f>IF(AND(Programme_Grunddaten!$A503="Geprüft",Programme_Grunddaten!AF503&lt;&gt;""),IF(Programme_Grunddaten!AF503="Ja",1,0),"")</f>
        <v/>
      </c>
      <c r="Y498" s="1" t="str">
        <f>IF(AND(Programme_Grunddaten!$A503="Geprüft",Programme_Grunddaten!AG503&lt;&gt;""),IF(Programme_Grunddaten!AG503="Ja",1,0),"")</f>
        <v/>
      </c>
      <c r="Z498" s="1" t="str">
        <f>IF(AND(Programme_Grunddaten!$A503="Geprüft",Programme_Grunddaten!AH503&lt;&gt;""),IF(Programme_Grunddaten!AH503="Ja",1,0),"")</f>
        <v/>
      </c>
      <c r="AA498" s="1" t="str">
        <f>IF(AND(Programme_Grunddaten!$A503="Geprüft",Programme_Grunddaten!AI503&lt;&gt;""),IF(Programme_Grunddaten!AI503="Ja",1,0),"")</f>
        <v/>
      </c>
      <c r="AB498" s="1" t="str">
        <f>IF(AND(Programme_Grunddaten!$A503="Geprüft",Programme_Grunddaten!AJ503&lt;&gt;""),IF(Programme_Grunddaten!AJ503="individuell programmierbar",1,0),"")</f>
        <v/>
      </c>
      <c r="AC498" s="1" t="str">
        <f>IF(AND(Programme_Grunddaten!$A503="Geprüft",Programme_Grunddaten!AK503&lt;&gt;""),IF(Programme_Grunddaten!AK503="Deutsch",0,IF(Programme_Grunddaten!AK503="Deutsch und Englisch",1,2)),"")</f>
        <v/>
      </c>
      <c r="AD498" s="1" t="str">
        <f>IF(AND(Programme_Grunddaten!$A503="Geprüft",Programme_Grunddaten!AL503&lt;&gt;""),IF(Programme_Grunddaten!AL503="Ja",1,0),"")</f>
        <v/>
      </c>
      <c r="AE498" s="1" t="str">
        <f>IF(AND(Programme_Grunddaten!$A503="Geprüft",Programme_Grunddaten!AM503&lt;&gt;""),IF(Programme_Grunddaten!AM503="Ja",1,0),"")</f>
        <v/>
      </c>
      <c r="AF498" s="1" t="str">
        <f>IF(AND(Programme_Grunddaten!$A503="Geprüft",Programme_Grunddaten!AN503&lt;&gt;""),IF(Programme_Grunddaten!AN503="Ja",1,0),"")</f>
        <v/>
      </c>
      <c r="AG498" s="1" t="str">
        <f>IF(AND(Programme_Grunddaten!$A503="Geprüft",Programme_Grunddaten!AO503&lt;&gt;""),IF(Programme_Grunddaten!AO503="Ja",1,0),"")</f>
        <v/>
      </c>
      <c r="AH498" s="1" t="str">
        <f>IF(AND(Programme_Grunddaten!$A503="Geprüft",Programme_Grunddaten!AP503&lt;&gt;""),IF(Programme_Grunddaten!AP503="Ja",1,0),"")</f>
        <v/>
      </c>
      <c r="AI498" s="1" t="str">
        <f>IF(AND(Programme_Grunddaten!$A503="Geprüft",Programme_Grunddaten!AQ503&lt;&gt;""),IF(Programme_Grunddaten!AQ503="Ja",1,0),"")</f>
        <v/>
      </c>
      <c r="AJ498" s="1" t="str">
        <f>IF(AND(Programme_Grunddaten!$A503="Geprüft",Programme_Grunddaten!AR503&lt;&gt;""),IF(Programme_Grunddaten!AR503="Ja",1,0),"")</f>
        <v/>
      </c>
      <c r="AK498" s="1" t="str">
        <f>IF(AND(Programme_Grunddaten!$A503="Geprüft",Programme_Grunddaten!AS503&lt;&gt;""),IF(Programme_Grunddaten!AS503="Ja",1,0),"")</f>
        <v/>
      </c>
      <c r="AL498" s="1" t="str">
        <f>IF(AND(Programme_Grunddaten!$A503="Geprüft",Programme_Grunddaten!AT503&lt;&gt;""),IF(Programme_Grunddaten!AT503="Ja",1,0),"")</f>
        <v/>
      </c>
      <c r="AM498" s="1" t="str">
        <f>IF(AND(Programme_Grunddaten!$A503="Geprüft",Programme_Grunddaten!AU503&lt;&gt;""),IF(Programme_Grunddaten!AU503="Ja",1,0),"")</f>
        <v/>
      </c>
      <c r="AN498" s="1" t="str">
        <f>IF(AND(Programme_Grunddaten!$A503="Geprüft",Programme_Grunddaten!AV503&lt;&gt;""),IF(Programme_Grunddaten!AV503="Ja",1,0),"")</f>
        <v/>
      </c>
    </row>
    <row r="499" spans="1:40" x14ac:dyDescent="0.3">
      <c r="A499" s="1" t="str">
        <f>IF(AND(Programme_Grunddaten!A504="Geprüft",Programme_Grunddaten!B504&lt;&gt;""),Programme_Grunddaten!B504,"")</f>
        <v/>
      </c>
      <c r="B499" s="1" t="str">
        <f>IF(AND(Programme_Grunddaten!$A504="Geprüft",Programme_Grunddaten!I504&lt;&gt;""),IF(Programme_Grunddaten!I504="Ja",1,0),"")</f>
        <v/>
      </c>
      <c r="C499" s="1" t="str">
        <f>IF(AND(Programme_Grunddaten!$A504="Geprüft",Programme_Grunddaten!J504&lt;&gt;""),IF(Programme_Grunddaten!J504="Ja",1,0),"")</f>
        <v/>
      </c>
      <c r="D499" s="1" t="str">
        <f>IF(AND(Programme_Grunddaten!$A504="Geprüft",Programme_Grunddaten!K504&lt;&gt;""),IF(Programme_Grunddaten!K504="Ja",1,0),"")</f>
        <v/>
      </c>
      <c r="E499" s="1" t="str">
        <f>IF(AND(Programme_Grunddaten!$A504="Geprüft",Programme_Grunddaten!L504&lt;&gt;""),IF(Programme_Grunddaten!L504="Abo / befristete Lizenz",1,0),"")</f>
        <v/>
      </c>
      <c r="F499" s="1" t="str">
        <f>IF(AND(Programme_Grunddaten!$A504="Geprüft",Programme_Grunddaten!M504&lt;&gt;""),IF(Programme_Grunddaten!M504="Ja",1,0),"")</f>
        <v/>
      </c>
      <c r="G499" s="1" t="str">
        <f>IF(AND(Programme_Grunddaten!$A504="Geprüft",Programme_Grunddaten!N504&lt;&gt;""),IF(Programme_Grunddaten!N504="Ja",1,0),"")</f>
        <v/>
      </c>
      <c r="H499" s="1" t="str">
        <f>IF(AND(Programme_Grunddaten!$A504="Geprüft",Programme_Grunddaten!O504&lt;&gt;""),IF(Programme_Grunddaten!O504="Deutschland",0,IF(Programme_Grunddaten!O504="EU",1,2)),"")</f>
        <v/>
      </c>
      <c r="I499" s="1" t="str">
        <f>IF(AND(Programme_Grunddaten!$A504="Geprüft",Programme_Grunddaten!P504&lt;&gt;""),IF(Programme_Grunddaten!P504="Ja",1,0),"")</f>
        <v/>
      </c>
      <c r="J499" s="1" t="str">
        <f>IF(AND(Programme_Grunddaten!$A504="Geprüft",Programme_Grunddaten!Q504&lt;&gt;""),IF(Programme_Grunddaten!Q504="geschlossenes System",1,0),"")</f>
        <v/>
      </c>
      <c r="K499" s="1" t="str">
        <f>IF(AND(Programme_Grunddaten!$A504="Geprüft",Programme_Grunddaten!R504&lt;&gt;""),IF(Programme_Grunddaten!R504="Ja",1,0),"")</f>
        <v/>
      </c>
      <c r="L499" s="1" t="str">
        <f>IF(AND(Programme_Grunddaten!$A504="Geprüft",Programme_Grunddaten!T504&lt;&gt;""),IF(Programme_Grunddaten!T504="Ja",1,0),"")</f>
        <v/>
      </c>
      <c r="M499" s="1" t="str">
        <f>IF(AND(Programme_Grunddaten!$A504="Geprüft",Programme_Grunddaten!U504&lt;&gt;""),IF(Programme_Grunddaten!U504="Ja",1,0),"")</f>
        <v/>
      </c>
      <c r="N499" s="1" t="str">
        <f>IF(AND(Programme_Grunddaten!$A504="Geprüft",Programme_Grunddaten!V504&lt;&gt;""),IF(Programme_Grunddaten!V504="Ja",1,0),"")</f>
        <v/>
      </c>
      <c r="O499" s="1" t="str">
        <f>IF(AND(Programme_Grunddaten!$A504="Geprüft",Programme_Grunddaten!W504&lt;&gt;""),IF(Programme_Grunddaten!W504="Ja",1,0),"")</f>
        <v/>
      </c>
      <c r="P499" s="1" t="str">
        <f>IF(AND(Programme_Grunddaten!$A504="Geprüft",Programme_Grunddaten!X504&lt;&gt;""),IF(Programme_Grunddaten!X504="Ja",1,0),"")</f>
        <v/>
      </c>
      <c r="Q499" s="1" t="str">
        <f>IF(AND(Programme_Grunddaten!$A504="Geprüft",Programme_Grunddaten!Y504&lt;&gt;""),IF(Programme_Grunddaten!Y504="Ja",1,0),"")</f>
        <v/>
      </c>
      <c r="R499" s="1" t="str">
        <f>IF(AND(Programme_Grunddaten!$A504="Geprüft",Programme_Grunddaten!Z504&lt;&gt;""),IF(Programme_Grunddaten!Z504="Ja",1,0),"")</f>
        <v/>
      </c>
      <c r="S499" s="1" t="str">
        <f>IF(AND(Programme_Grunddaten!$A504="Geprüft",Programme_Grunddaten!AA504&lt;&gt;""),IF(Programme_Grunddaten!AA504="monolithisch",1,0),"")</f>
        <v/>
      </c>
      <c r="T499" s="1" t="str">
        <f>IF(AND(Programme_Grunddaten!$A504="Geprüft",Programme_Grunddaten!AB504&lt;&gt;""),IF(Programme_Grunddaten!AB504="Ja",1,0),"")</f>
        <v/>
      </c>
      <c r="U499" s="1" t="str">
        <f>IF(AND(Programme_Grunddaten!$A504="Geprüft",Programme_Grunddaten!AC504&lt;&gt;""),IF(Programme_Grunddaten!AC504="Ja",1,0),"")</f>
        <v/>
      </c>
      <c r="V499" s="1" t="str">
        <f>IF(AND(Programme_Grunddaten!$A504="Geprüft",Programme_Grunddaten!AD504&lt;&gt;""),IF(Programme_Grunddaten!AD504="Ja",1,0),"")</f>
        <v/>
      </c>
      <c r="W499" s="1" t="str">
        <f>IF(AND(Programme_Grunddaten!$A504="Geprüft",Programme_Grunddaten!AE504&lt;&gt;""),IF(Programme_Grunddaten!AE504="Ja",1,0),"")</f>
        <v/>
      </c>
      <c r="X499" s="1" t="str">
        <f>IF(AND(Programme_Grunddaten!$A504="Geprüft",Programme_Grunddaten!AF504&lt;&gt;""),IF(Programme_Grunddaten!AF504="Ja",1,0),"")</f>
        <v/>
      </c>
      <c r="Y499" s="1" t="str">
        <f>IF(AND(Programme_Grunddaten!$A504="Geprüft",Programme_Grunddaten!AG504&lt;&gt;""),IF(Programme_Grunddaten!AG504="Ja",1,0),"")</f>
        <v/>
      </c>
      <c r="Z499" s="1" t="str">
        <f>IF(AND(Programme_Grunddaten!$A504="Geprüft",Programme_Grunddaten!AH504&lt;&gt;""),IF(Programme_Grunddaten!AH504="Ja",1,0),"")</f>
        <v/>
      </c>
      <c r="AA499" s="1" t="str">
        <f>IF(AND(Programme_Grunddaten!$A504="Geprüft",Programme_Grunddaten!AI504&lt;&gt;""),IF(Programme_Grunddaten!AI504="Ja",1,0),"")</f>
        <v/>
      </c>
      <c r="AB499" s="1" t="str">
        <f>IF(AND(Programme_Grunddaten!$A504="Geprüft",Programme_Grunddaten!AJ504&lt;&gt;""),IF(Programme_Grunddaten!AJ504="individuell programmierbar",1,0),"")</f>
        <v/>
      </c>
      <c r="AC499" s="1" t="str">
        <f>IF(AND(Programme_Grunddaten!$A504="Geprüft",Programme_Grunddaten!AK504&lt;&gt;""),IF(Programme_Grunddaten!AK504="Deutsch",0,IF(Programme_Grunddaten!AK504="Deutsch und Englisch",1,2)),"")</f>
        <v/>
      </c>
      <c r="AD499" s="1" t="str">
        <f>IF(AND(Programme_Grunddaten!$A504="Geprüft",Programme_Grunddaten!AL504&lt;&gt;""),IF(Programme_Grunddaten!AL504="Ja",1,0),"")</f>
        <v/>
      </c>
      <c r="AE499" s="1" t="str">
        <f>IF(AND(Programme_Grunddaten!$A504="Geprüft",Programme_Grunddaten!AM504&lt;&gt;""),IF(Programme_Grunddaten!AM504="Ja",1,0),"")</f>
        <v/>
      </c>
      <c r="AF499" s="1" t="str">
        <f>IF(AND(Programme_Grunddaten!$A504="Geprüft",Programme_Grunddaten!AN504&lt;&gt;""),IF(Programme_Grunddaten!AN504="Ja",1,0),"")</f>
        <v/>
      </c>
      <c r="AG499" s="1" t="str">
        <f>IF(AND(Programme_Grunddaten!$A504="Geprüft",Programme_Grunddaten!AO504&lt;&gt;""),IF(Programme_Grunddaten!AO504="Ja",1,0),"")</f>
        <v/>
      </c>
      <c r="AH499" s="1" t="str">
        <f>IF(AND(Programme_Grunddaten!$A504="Geprüft",Programme_Grunddaten!AP504&lt;&gt;""),IF(Programme_Grunddaten!AP504="Ja",1,0),"")</f>
        <v/>
      </c>
      <c r="AI499" s="1" t="str">
        <f>IF(AND(Programme_Grunddaten!$A504="Geprüft",Programme_Grunddaten!AQ504&lt;&gt;""),IF(Programme_Grunddaten!AQ504="Ja",1,0),"")</f>
        <v/>
      </c>
      <c r="AJ499" s="1" t="str">
        <f>IF(AND(Programme_Grunddaten!$A504="Geprüft",Programme_Grunddaten!AR504&lt;&gt;""),IF(Programme_Grunddaten!AR504="Ja",1,0),"")</f>
        <v/>
      </c>
      <c r="AK499" s="1" t="str">
        <f>IF(AND(Programme_Grunddaten!$A504="Geprüft",Programme_Grunddaten!AS504&lt;&gt;""),IF(Programme_Grunddaten!AS504="Ja",1,0),"")</f>
        <v/>
      </c>
      <c r="AL499" s="1" t="str">
        <f>IF(AND(Programme_Grunddaten!$A504="Geprüft",Programme_Grunddaten!AT504&lt;&gt;""),IF(Programme_Grunddaten!AT504="Ja",1,0),"")</f>
        <v/>
      </c>
      <c r="AM499" s="1" t="str">
        <f>IF(AND(Programme_Grunddaten!$A504="Geprüft",Programme_Grunddaten!AU504&lt;&gt;""),IF(Programme_Grunddaten!AU504="Ja",1,0),"")</f>
        <v/>
      </c>
      <c r="AN499" s="1" t="str">
        <f>IF(AND(Programme_Grunddaten!$A504="Geprüft",Programme_Grunddaten!AV504&lt;&gt;""),IF(Programme_Grunddaten!AV504="Ja",1,0),"")</f>
        <v/>
      </c>
    </row>
    <row r="500" spans="1:40" x14ac:dyDescent="0.3">
      <c r="A500" s="1" t="str">
        <f>IF(AND(Programme_Grunddaten!A505="Geprüft",Programme_Grunddaten!B505&lt;&gt;""),Programme_Grunddaten!B505,"")</f>
        <v/>
      </c>
      <c r="B500" s="1" t="str">
        <f>IF(AND(Programme_Grunddaten!$A505="Geprüft",Programme_Grunddaten!I505&lt;&gt;""),IF(Programme_Grunddaten!I505="Ja",1,0),"")</f>
        <v/>
      </c>
      <c r="C500" s="1" t="str">
        <f>IF(AND(Programme_Grunddaten!$A505="Geprüft",Programme_Grunddaten!J505&lt;&gt;""),IF(Programme_Grunddaten!J505="Ja",1,0),"")</f>
        <v/>
      </c>
      <c r="D500" s="1" t="str">
        <f>IF(AND(Programme_Grunddaten!$A505="Geprüft",Programme_Grunddaten!K505&lt;&gt;""),IF(Programme_Grunddaten!K505="Ja",1,0),"")</f>
        <v/>
      </c>
      <c r="E500" s="1" t="str">
        <f>IF(AND(Programme_Grunddaten!$A505="Geprüft",Programme_Grunddaten!L505&lt;&gt;""),IF(Programme_Grunddaten!L505="Abo / befristete Lizenz",1,0),"")</f>
        <v/>
      </c>
      <c r="F500" s="1" t="str">
        <f>IF(AND(Programme_Grunddaten!$A505="Geprüft",Programme_Grunddaten!M505&lt;&gt;""),IF(Programme_Grunddaten!M505="Ja",1,0),"")</f>
        <v/>
      </c>
      <c r="G500" s="1" t="str">
        <f>IF(AND(Programme_Grunddaten!$A505="Geprüft",Programme_Grunddaten!N505&lt;&gt;""),IF(Programme_Grunddaten!N505="Ja",1,0),"")</f>
        <v/>
      </c>
      <c r="H500" s="1" t="str">
        <f>IF(AND(Programme_Grunddaten!$A505="Geprüft",Programme_Grunddaten!O505&lt;&gt;""),IF(Programme_Grunddaten!O505="Deutschland",0,IF(Programme_Grunddaten!O505="EU",1,2)),"")</f>
        <v/>
      </c>
      <c r="I500" s="1" t="str">
        <f>IF(AND(Programme_Grunddaten!$A505="Geprüft",Programme_Grunddaten!P505&lt;&gt;""),IF(Programme_Grunddaten!P505="Ja",1,0),"")</f>
        <v/>
      </c>
      <c r="J500" s="1" t="str">
        <f>IF(AND(Programme_Grunddaten!$A505="Geprüft",Programme_Grunddaten!Q505&lt;&gt;""),IF(Programme_Grunddaten!Q505="geschlossenes System",1,0),"")</f>
        <v/>
      </c>
      <c r="K500" s="1" t="str">
        <f>IF(AND(Programme_Grunddaten!$A505="Geprüft",Programme_Grunddaten!R505&lt;&gt;""),IF(Programme_Grunddaten!R505="Ja",1,0),"")</f>
        <v/>
      </c>
      <c r="L500" s="1" t="str">
        <f>IF(AND(Programme_Grunddaten!$A505="Geprüft",Programme_Grunddaten!T505&lt;&gt;""),IF(Programme_Grunddaten!T505="Ja",1,0),"")</f>
        <v/>
      </c>
      <c r="M500" s="1" t="str">
        <f>IF(AND(Programme_Grunddaten!$A505="Geprüft",Programme_Grunddaten!U505&lt;&gt;""),IF(Programme_Grunddaten!U505="Ja",1,0),"")</f>
        <v/>
      </c>
      <c r="N500" s="1" t="str">
        <f>IF(AND(Programme_Grunddaten!$A505="Geprüft",Programme_Grunddaten!V505&lt;&gt;""),IF(Programme_Grunddaten!V505="Ja",1,0),"")</f>
        <v/>
      </c>
      <c r="O500" s="1" t="str">
        <f>IF(AND(Programme_Grunddaten!$A505="Geprüft",Programme_Grunddaten!W505&lt;&gt;""),IF(Programme_Grunddaten!W505="Ja",1,0),"")</f>
        <v/>
      </c>
      <c r="P500" s="1" t="str">
        <f>IF(AND(Programme_Grunddaten!$A505="Geprüft",Programme_Grunddaten!X505&lt;&gt;""),IF(Programme_Grunddaten!X505="Ja",1,0),"")</f>
        <v/>
      </c>
      <c r="Q500" s="1" t="str">
        <f>IF(AND(Programme_Grunddaten!$A505="Geprüft",Programme_Grunddaten!Y505&lt;&gt;""),IF(Programme_Grunddaten!Y505="Ja",1,0),"")</f>
        <v/>
      </c>
      <c r="R500" s="1" t="str">
        <f>IF(AND(Programme_Grunddaten!$A505="Geprüft",Programme_Grunddaten!Z505&lt;&gt;""),IF(Programme_Grunddaten!Z505="Ja",1,0),"")</f>
        <v/>
      </c>
      <c r="S500" s="1" t="str">
        <f>IF(AND(Programme_Grunddaten!$A505="Geprüft",Programme_Grunddaten!AA505&lt;&gt;""),IF(Programme_Grunddaten!AA505="monolithisch",1,0),"")</f>
        <v/>
      </c>
      <c r="T500" s="1" t="str">
        <f>IF(AND(Programme_Grunddaten!$A505="Geprüft",Programme_Grunddaten!AB505&lt;&gt;""),IF(Programme_Grunddaten!AB505="Ja",1,0),"")</f>
        <v/>
      </c>
      <c r="U500" s="1" t="str">
        <f>IF(AND(Programme_Grunddaten!$A505="Geprüft",Programme_Grunddaten!AC505&lt;&gt;""),IF(Programme_Grunddaten!AC505="Ja",1,0),"")</f>
        <v/>
      </c>
      <c r="V500" s="1" t="str">
        <f>IF(AND(Programme_Grunddaten!$A505="Geprüft",Programme_Grunddaten!AD505&lt;&gt;""),IF(Programme_Grunddaten!AD505="Ja",1,0),"")</f>
        <v/>
      </c>
      <c r="W500" s="1" t="str">
        <f>IF(AND(Programme_Grunddaten!$A505="Geprüft",Programme_Grunddaten!AE505&lt;&gt;""),IF(Programme_Grunddaten!AE505="Ja",1,0),"")</f>
        <v/>
      </c>
      <c r="X500" s="1" t="str">
        <f>IF(AND(Programme_Grunddaten!$A505="Geprüft",Programme_Grunddaten!AF505&lt;&gt;""),IF(Programme_Grunddaten!AF505="Ja",1,0),"")</f>
        <v/>
      </c>
      <c r="Y500" s="1" t="str">
        <f>IF(AND(Programme_Grunddaten!$A505="Geprüft",Programme_Grunddaten!AG505&lt;&gt;""),IF(Programme_Grunddaten!AG505="Ja",1,0),"")</f>
        <v/>
      </c>
      <c r="Z500" s="1" t="str">
        <f>IF(AND(Programme_Grunddaten!$A505="Geprüft",Programme_Grunddaten!AH505&lt;&gt;""),IF(Programme_Grunddaten!AH505="Ja",1,0),"")</f>
        <v/>
      </c>
      <c r="AA500" s="1" t="str">
        <f>IF(AND(Programme_Grunddaten!$A505="Geprüft",Programme_Grunddaten!AI505&lt;&gt;""),IF(Programme_Grunddaten!AI505="Ja",1,0),"")</f>
        <v/>
      </c>
      <c r="AB500" s="1" t="str">
        <f>IF(AND(Programme_Grunddaten!$A505="Geprüft",Programme_Grunddaten!AJ505&lt;&gt;""),IF(Programme_Grunddaten!AJ505="individuell programmierbar",1,0),"")</f>
        <v/>
      </c>
      <c r="AC500" s="1" t="str">
        <f>IF(AND(Programme_Grunddaten!$A505="Geprüft",Programme_Grunddaten!AK505&lt;&gt;""),IF(Programme_Grunddaten!AK505="Deutsch",0,IF(Programme_Grunddaten!AK505="Deutsch und Englisch",1,2)),"")</f>
        <v/>
      </c>
      <c r="AD500" s="1" t="str">
        <f>IF(AND(Programme_Grunddaten!$A505="Geprüft",Programme_Grunddaten!AL505&lt;&gt;""),IF(Programme_Grunddaten!AL505="Ja",1,0),"")</f>
        <v/>
      </c>
      <c r="AE500" s="1" t="str">
        <f>IF(AND(Programme_Grunddaten!$A505="Geprüft",Programme_Grunddaten!AM505&lt;&gt;""),IF(Programme_Grunddaten!AM505="Ja",1,0),"")</f>
        <v/>
      </c>
      <c r="AF500" s="1" t="str">
        <f>IF(AND(Programme_Grunddaten!$A505="Geprüft",Programme_Grunddaten!AN505&lt;&gt;""),IF(Programme_Grunddaten!AN505="Ja",1,0),"")</f>
        <v/>
      </c>
      <c r="AG500" s="1" t="str">
        <f>IF(AND(Programme_Grunddaten!$A505="Geprüft",Programme_Grunddaten!AO505&lt;&gt;""),IF(Programme_Grunddaten!AO505="Ja",1,0),"")</f>
        <v/>
      </c>
      <c r="AH500" s="1" t="str">
        <f>IF(AND(Programme_Grunddaten!$A505="Geprüft",Programme_Grunddaten!AP505&lt;&gt;""),IF(Programme_Grunddaten!AP505="Ja",1,0),"")</f>
        <v/>
      </c>
      <c r="AI500" s="1" t="str">
        <f>IF(AND(Programme_Grunddaten!$A505="Geprüft",Programme_Grunddaten!AQ505&lt;&gt;""),IF(Programme_Grunddaten!AQ505="Ja",1,0),"")</f>
        <v/>
      </c>
      <c r="AJ500" s="1" t="str">
        <f>IF(AND(Programme_Grunddaten!$A505="Geprüft",Programme_Grunddaten!AR505&lt;&gt;""),IF(Programme_Grunddaten!AR505="Ja",1,0),"")</f>
        <v/>
      </c>
      <c r="AK500" s="1" t="str">
        <f>IF(AND(Programme_Grunddaten!$A505="Geprüft",Programme_Grunddaten!AS505&lt;&gt;""),IF(Programme_Grunddaten!AS505="Ja",1,0),"")</f>
        <v/>
      </c>
      <c r="AL500" s="1" t="str">
        <f>IF(AND(Programme_Grunddaten!$A505="Geprüft",Programme_Grunddaten!AT505&lt;&gt;""),IF(Programme_Grunddaten!AT505="Ja",1,0),"")</f>
        <v/>
      </c>
      <c r="AM500" s="1" t="str">
        <f>IF(AND(Programme_Grunddaten!$A505="Geprüft",Programme_Grunddaten!AU505&lt;&gt;""),IF(Programme_Grunddaten!AU505="Ja",1,0),"")</f>
        <v/>
      </c>
      <c r="AN500" s="1" t="str">
        <f>IF(AND(Programme_Grunddaten!$A505="Geprüft",Programme_Grunddaten!AV505&lt;&gt;""),IF(Programme_Grunddaten!AV505="Ja",1,0),"")</f>
        <v/>
      </c>
    </row>
    <row r="501" spans="1:40" x14ac:dyDescent="0.3">
      <c r="A501" s="1" t="str">
        <f>IF(AND(Programme_Grunddaten!A506="Geprüft",Programme_Grunddaten!B506&lt;&gt;""),Programme_Grunddaten!B506,"")</f>
        <v/>
      </c>
      <c r="B501" s="1" t="str">
        <f>IF(AND(Programme_Grunddaten!$A506="Geprüft",Programme_Grunddaten!I506&lt;&gt;""),IF(Programme_Grunddaten!I506="Ja",1,0),"")</f>
        <v/>
      </c>
      <c r="C501" s="1" t="str">
        <f>IF(AND(Programme_Grunddaten!$A506="Geprüft",Programme_Grunddaten!J506&lt;&gt;""),IF(Programme_Grunddaten!J506="Ja",1,0),"")</f>
        <v/>
      </c>
      <c r="D501" s="1" t="str">
        <f>IF(AND(Programme_Grunddaten!$A506="Geprüft",Programme_Grunddaten!K506&lt;&gt;""),IF(Programme_Grunddaten!K506="Ja",1,0),"")</f>
        <v/>
      </c>
      <c r="E501" s="1" t="str">
        <f>IF(AND(Programme_Grunddaten!$A506="Geprüft",Programme_Grunddaten!L506&lt;&gt;""),IF(Programme_Grunddaten!L506="Abo / befristete Lizenz",1,0),"")</f>
        <v/>
      </c>
      <c r="F501" s="1" t="str">
        <f>IF(AND(Programme_Grunddaten!$A506="Geprüft",Programme_Grunddaten!M506&lt;&gt;""),IF(Programme_Grunddaten!M506="Ja",1,0),"")</f>
        <v/>
      </c>
      <c r="G501" s="1" t="str">
        <f>IF(AND(Programme_Grunddaten!$A506="Geprüft",Programme_Grunddaten!N506&lt;&gt;""),IF(Programme_Grunddaten!N506="Ja",1,0),"")</f>
        <v/>
      </c>
      <c r="H501" s="1" t="str">
        <f>IF(AND(Programme_Grunddaten!$A506="Geprüft",Programme_Grunddaten!O506&lt;&gt;""),IF(Programme_Grunddaten!O506="Deutschland",0,IF(Programme_Grunddaten!O506="EU",1,2)),"")</f>
        <v/>
      </c>
      <c r="I501" s="1" t="str">
        <f>IF(AND(Programme_Grunddaten!$A506="Geprüft",Programme_Grunddaten!P506&lt;&gt;""),IF(Programme_Grunddaten!P506="Ja",1,0),"")</f>
        <v/>
      </c>
      <c r="J501" s="1" t="str">
        <f>IF(AND(Programme_Grunddaten!$A506="Geprüft",Programme_Grunddaten!Q506&lt;&gt;""),IF(Programme_Grunddaten!Q506="geschlossenes System",1,0),"")</f>
        <v/>
      </c>
      <c r="K501" s="1" t="str">
        <f>IF(AND(Programme_Grunddaten!$A506="Geprüft",Programme_Grunddaten!R506&lt;&gt;""),IF(Programme_Grunddaten!R506="Ja",1,0),"")</f>
        <v/>
      </c>
      <c r="L501" s="1" t="str">
        <f>IF(AND(Programme_Grunddaten!$A506="Geprüft",Programme_Grunddaten!T506&lt;&gt;""),IF(Programme_Grunddaten!T506="Ja",1,0),"")</f>
        <v/>
      </c>
      <c r="M501" s="1" t="str">
        <f>IF(AND(Programme_Grunddaten!$A506="Geprüft",Programme_Grunddaten!U506&lt;&gt;""),IF(Programme_Grunddaten!U506="Ja",1,0),"")</f>
        <v/>
      </c>
      <c r="N501" s="1" t="str">
        <f>IF(AND(Programme_Grunddaten!$A506="Geprüft",Programme_Grunddaten!V506&lt;&gt;""),IF(Programme_Grunddaten!V506="Ja",1,0),"")</f>
        <v/>
      </c>
      <c r="O501" s="1" t="str">
        <f>IF(AND(Programme_Grunddaten!$A506="Geprüft",Programme_Grunddaten!W506&lt;&gt;""),IF(Programme_Grunddaten!W506="Ja",1,0),"")</f>
        <v/>
      </c>
      <c r="P501" s="1" t="str">
        <f>IF(AND(Programme_Grunddaten!$A506="Geprüft",Programme_Grunddaten!X506&lt;&gt;""),IF(Programme_Grunddaten!X506="Ja",1,0),"")</f>
        <v/>
      </c>
      <c r="Q501" s="1" t="str">
        <f>IF(AND(Programme_Grunddaten!$A506="Geprüft",Programme_Grunddaten!Y506&lt;&gt;""),IF(Programme_Grunddaten!Y506="Ja",1,0),"")</f>
        <v/>
      </c>
      <c r="R501" s="1" t="str">
        <f>IF(AND(Programme_Grunddaten!$A506="Geprüft",Programme_Grunddaten!Z506&lt;&gt;""),IF(Programme_Grunddaten!Z506="Ja",1,0),"")</f>
        <v/>
      </c>
      <c r="S501" s="1" t="str">
        <f>IF(AND(Programme_Grunddaten!$A506="Geprüft",Programme_Grunddaten!AA506&lt;&gt;""),IF(Programme_Grunddaten!AA506="monolithisch",1,0),"")</f>
        <v/>
      </c>
      <c r="T501" s="1" t="str">
        <f>IF(AND(Programme_Grunddaten!$A506="Geprüft",Programme_Grunddaten!AB506&lt;&gt;""),IF(Programme_Grunddaten!AB506="Ja",1,0),"")</f>
        <v/>
      </c>
      <c r="U501" s="1" t="str">
        <f>IF(AND(Programme_Grunddaten!$A506="Geprüft",Programme_Grunddaten!AC506&lt;&gt;""),IF(Programme_Grunddaten!AC506="Ja",1,0),"")</f>
        <v/>
      </c>
      <c r="V501" s="1" t="str">
        <f>IF(AND(Programme_Grunddaten!$A506="Geprüft",Programme_Grunddaten!AD506&lt;&gt;""),IF(Programme_Grunddaten!AD506="Ja",1,0),"")</f>
        <v/>
      </c>
      <c r="W501" s="1" t="str">
        <f>IF(AND(Programme_Grunddaten!$A506="Geprüft",Programme_Grunddaten!AE506&lt;&gt;""),IF(Programme_Grunddaten!AE506="Ja",1,0),"")</f>
        <v/>
      </c>
      <c r="X501" s="1" t="str">
        <f>IF(AND(Programme_Grunddaten!$A506="Geprüft",Programme_Grunddaten!AF506&lt;&gt;""),IF(Programme_Grunddaten!AF506="Ja",1,0),"")</f>
        <v/>
      </c>
      <c r="Y501" s="1" t="str">
        <f>IF(AND(Programme_Grunddaten!$A506="Geprüft",Programme_Grunddaten!AG506&lt;&gt;""),IF(Programme_Grunddaten!AG506="Ja",1,0),"")</f>
        <v/>
      </c>
      <c r="Z501" s="1" t="str">
        <f>IF(AND(Programme_Grunddaten!$A506="Geprüft",Programme_Grunddaten!AH506&lt;&gt;""),IF(Programme_Grunddaten!AH506="Ja",1,0),"")</f>
        <v/>
      </c>
      <c r="AA501" s="1" t="str">
        <f>IF(AND(Programme_Grunddaten!$A506="Geprüft",Programme_Grunddaten!AI506&lt;&gt;""),IF(Programme_Grunddaten!AI506="Ja",1,0),"")</f>
        <v/>
      </c>
      <c r="AB501" s="1" t="str">
        <f>IF(AND(Programme_Grunddaten!$A506="Geprüft",Programme_Grunddaten!AJ506&lt;&gt;""),IF(Programme_Grunddaten!AJ506="individuell programmierbar",1,0),"")</f>
        <v/>
      </c>
      <c r="AC501" s="1" t="str">
        <f>IF(AND(Programme_Grunddaten!$A506="Geprüft",Programme_Grunddaten!AK506&lt;&gt;""),IF(Programme_Grunddaten!AK506="Deutsch",0,IF(Programme_Grunddaten!AK506="Deutsch und Englisch",1,2)),"")</f>
        <v/>
      </c>
      <c r="AD501" s="1" t="str">
        <f>IF(AND(Programme_Grunddaten!$A506="Geprüft",Programme_Grunddaten!AL506&lt;&gt;""),IF(Programme_Grunddaten!AL506="Ja",1,0),"")</f>
        <v/>
      </c>
      <c r="AE501" s="1" t="str">
        <f>IF(AND(Programme_Grunddaten!$A506="Geprüft",Programme_Grunddaten!AM506&lt;&gt;""),IF(Programme_Grunddaten!AM506="Ja",1,0),"")</f>
        <v/>
      </c>
      <c r="AF501" s="1" t="str">
        <f>IF(AND(Programme_Grunddaten!$A506="Geprüft",Programme_Grunddaten!AN506&lt;&gt;""),IF(Programme_Grunddaten!AN506="Ja",1,0),"")</f>
        <v/>
      </c>
      <c r="AG501" s="1" t="str">
        <f>IF(AND(Programme_Grunddaten!$A506="Geprüft",Programme_Grunddaten!AO506&lt;&gt;""),IF(Programme_Grunddaten!AO506="Ja",1,0),"")</f>
        <v/>
      </c>
      <c r="AH501" s="1" t="str">
        <f>IF(AND(Programme_Grunddaten!$A506="Geprüft",Programme_Grunddaten!AP506&lt;&gt;""),IF(Programme_Grunddaten!AP506="Ja",1,0),"")</f>
        <v/>
      </c>
      <c r="AI501" s="1" t="str">
        <f>IF(AND(Programme_Grunddaten!$A506="Geprüft",Programme_Grunddaten!AQ506&lt;&gt;""),IF(Programme_Grunddaten!AQ506="Ja",1,0),"")</f>
        <v/>
      </c>
      <c r="AJ501" s="1" t="str">
        <f>IF(AND(Programme_Grunddaten!$A506="Geprüft",Programme_Grunddaten!AR506&lt;&gt;""),IF(Programme_Grunddaten!AR506="Ja",1,0),"")</f>
        <v/>
      </c>
      <c r="AK501" s="1" t="str">
        <f>IF(AND(Programme_Grunddaten!$A506="Geprüft",Programme_Grunddaten!AS506&lt;&gt;""),IF(Programme_Grunddaten!AS506="Ja",1,0),"")</f>
        <v/>
      </c>
      <c r="AL501" s="1" t="str">
        <f>IF(AND(Programme_Grunddaten!$A506="Geprüft",Programme_Grunddaten!AT506&lt;&gt;""),IF(Programme_Grunddaten!AT506="Ja",1,0),"")</f>
        <v/>
      </c>
      <c r="AM501" s="1" t="str">
        <f>IF(AND(Programme_Grunddaten!$A506="Geprüft",Programme_Grunddaten!AU506&lt;&gt;""),IF(Programme_Grunddaten!AU506="Ja",1,0),"")</f>
        <v/>
      </c>
      <c r="AN501" s="1" t="str">
        <f>IF(AND(Programme_Grunddaten!$A506="Geprüft",Programme_Grunddaten!AV506&lt;&gt;""),IF(Programme_Grunddaten!AV506="Ja",1,0),"")</f>
        <v/>
      </c>
    </row>
    <row r="502" spans="1:40" x14ac:dyDescent="0.3">
      <c r="A502" s="1" t="str">
        <f>IF(AND(Programme_Grunddaten!A507="Geprüft",Programme_Grunddaten!B507&lt;&gt;""),Programme_Grunddaten!B507,"")</f>
        <v/>
      </c>
      <c r="B502" s="1" t="str">
        <f>IF(AND(Programme_Grunddaten!$A507="Geprüft",Programme_Grunddaten!I507&lt;&gt;""),IF(Programme_Grunddaten!I507="Ja",1,0),"")</f>
        <v/>
      </c>
      <c r="C502" s="1" t="str">
        <f>IF(AND(Programme_Grunddaten!$A507="Geprüft",Programme_Grunddaten!J507&lt;&gt;""),IF(Programme_Grunddaten!J507="Ja",1,0),"")</f>
        <v/>
      </c>
      <c r="D502" s="1" t="str">
        <f>IF(AND(Programme_Grunddaten!$A507="Geprüft",Programme_Grunddaten!K507&lt;&gt;""),IF(Programme_Grunddaten!K507="Ja",1,0),"")</f>
        <v/>
      </c>
      <c r="E502" s="1" t="str">
        <f>IF(AND(Programme_Grunddaten!$A507="Geprüft",Programme_Grunddaten!L507&lt;&gt;""),IF(Programme_Grunddaten!L507="Abo / befristete Lizenz",1,0),"")</f>
        <v/>
      </c>
      <c r="F502" s="1" t="str">
        <f>IF(AND(Programme_Grunddaten!$A507="Geprüft",Programme_Grunddaten!M507&lt;&gt;""),IF(Programme_Grunddaten!M507="Ja",1,0),"")</f>
        <v/>
      </c>
      <c r="G502" s="1" t="str">
        <f>IF(AND(Programme_Grunddaten!$A507="Geprüft",Programme_Grunddaten!N507&lt;&gt;""),IF(Programme_Grunddaten!N507="Ja",1,0),"")</f>
        <v/>
      </c>
      <c r="H502" s="1" t="str">
        <f>IF(AND(Programme_Grunddaten!$A507="Geprüft",Programme_Grunddaten!O507&lt;&gt;""),IF(Programme_Grunddaten!O507="Deutschland",0,IF(Programme_Grunddaten!O507="EU",1,2)),"")</f>
        <v/>
      </c>
      <c r="I502" s="1" t="str">
        <f>IF(AND(Programme_Grunddaten!$A507="Geprüft",Programme_Grunddaten!P507&lt;&gt;""),IF(Programme_Grunddaten!P507="Ja",1,0),"")</f>
        <v/>
      </c>
      <c r="J502" s="1" t="str">
        <f>IF(AND(Programme_Grunddaten!$A507="Geprüft",Programme_Grunddaten!Q507&lt;&gt;""),IF(Programme_Grunddaten!Q507="geschlossenes System",1,0),"")</f>
        <v/>
      </c>
      <c r="K502" s="1" t="str">
        <f>IF(AND(Programme_Grunddaten!$A507="Geprüft",Programme_Grunddaten!R507&lt;&gt;""),IF(Programme_Grunddaten!R507="Ja",1,0),"")</f>
        <v/>
      </c>
      <c r="L502" s="1" t="str">
        <f>IF(AND(Programme_Grunddaten!$A507="Geprüft",Programme_Grunddaten!T507&lt;&gt;""),IF(Programme_Grunddaten!T507="Ja",1,0),"")</f>
        <v/>
      </c>
      <c r="M502" s="1" t="str">
        <f>IF(AND(Programme_Grunddaten!$A507="Geprüft",Programme_Grunddaten!U507&lt;&gt;""),IF(Programme_Grunddaten!U507="Ja",1,0),"")</f>
        <v/>
      </c>
      <c r="N502" s="1" t="str">
        <f>IF(AND(Programme_Grunddaten!$A507="Geprüft",Programme_Grunddaten!V507&lt;&gt;""),IF(Programme_Grunddaten!V507="Ja",1,0),"")</f>
        <v/>
      </c>
      <c r="O502" s="1" t="str">
        <f>IF(AND(Programme_Grunddaten!$A507="Geprüft",Programme_Grunddaten!W507&lt;&gt;""),IF(Programme_Grunddaten!W507="Ja",1,0),"")</f>
        <v/>
      </c>
      <c r="P502" s="1" t="str">
        <f>IF(AND(Programme_Grunddaten!$A507="Geprüft",Programme_Grunddaten!X507&lt;&gt;""),IF(Programme_Grunddaten!X507="Ja",1,0),"")</f>
        <v/>
      </c>
      <c r="Q502" s="1" t="str">
        <f>IF(AND(Programme_Grunddaten!$A507="Geprüft",Programme_Grunddaten!Y507&lt;&gt;""),IF(Programme_Grunddaten!Y507="Ja",1,0),"")</f>
        <v/>
      </c>
      <c r="R502" s="1" t="str">
        <f>IF(AND(Programme_Grunddaten!$A507="Geprüft",Programme_Grunddaten!Z507&lt;&gt;""),IF(Programme_Grunddaten!Z507="Ja",1,0),"")</f>
        <v/>
      </c>
      <c r="S502" s="1" t="str">
        <f>IF(AND(Programme_Grunddaten!$A507="Geprüft",Programme_Grunddaten!AA507&lt;&gt;""),IF(Programme_Grunddaten!AA507="monolithisch",1,0),"")</f>
        <v/>
      </c>
      <c r="T502" s="1" t="str">
        <f>IF(AND(Programme_Grunddaten!$A507="Geprüft",Programme_Grunddaten!AB507&lt;&gt;""),IF(Programme_Grunddaten!AB507="Ja",1,0),"")</f>
        <v/>
      </c>
      <c r="U502" s="1" t="str">
        <f>IF(AND(Programme_Grunddaten!$A507="Geprüft",Programme_Grunddaten!AC507&lt;&gt;""),IF(Programme_Grunddaten!AC507="Ja",1,0),"")</f>
        <v/>
      </c>
      <c r="V502" s="1" t="str">
        <f>IF(AND(Programme_Grunddaten!$A507="Geprüft",Programme_Grunddaten!AD507&lt;&gt;""),IF(Programme_Grunddaten!AD507="Ja",1,0),"")</f>
        <v/>
      </c>
      <c r="W502" s="1" t="str">
        <f>IF(AND(Programme_Grunddaten!$A507="Geprüft",Programme_Grunddaten!AE507&lt;&gt;""),IF(Programme_Grunddaten!AE507="Ja",1,0),"")</f>
        <v/>
      </c>
      <c r="X502" s="1" t="str">
        <f>IF(AND(Programme_Grunddaten!$A507="Geprüft",Programme_Grunddaten!AF507&lt;&gt;""),IF(Programme_Grunddaten!AF507="Ja",1,0),"")</f>
        <v/>
      </c>
      <c r="Y502" s="1" t="str">
        <f>IF(AND(Programme_Grunddaten!$A507="Geprüft",Programme_Grunddaten!AG507&lt;&gt;""),IF(Programme_Grunddaten!AG507="Ja",1,0),"")</f>
        <v/>
      </c>
      <c r="Z502" s="1" t="str">
        <f>IF(AND(Programme_Grunddaten!$A507="Geprüft",Programme_Grunddaten!AH507&lt;&gt;""),IF(Programme_Grunddaten!AH507="Ja",1,0),"")</f>
        <v/>
      </c>
      <c r="AA502" s="1" t="str">
        <f>IF(AND(Programme_Grunddaten!$A507="Geprüft",Programme_Grunddaten!AI507&lt;&gt;""),IF(Programme_Grunddaten!AI507="Ja",1,0),"")</f>
        <v/>
      </c>
      <c r="AB502" s="1" t="str">
        <f>IF(AND(Programme_Grunddaten!$A507="Geprüft",Programme_Grunddaten!AJ507&lt;&gt;""),IF(Programme_Grunddaten!AJ507="individuell programmierbar",1,0),"")</f>
        <v/>
      </c>
      <c r="AC502" s="1" t="str">
        <f>IF(AND(Programme_Grunddaten!$A507="Geprüft",Programme_Grunddaten!AK507&lt;&gt;""),IF(Programme_Grunddaten!AK507="Deutsch",0,IF(Programme_Grunddaten!AK507="Deutsch und Englisch",1,2)),"")</f>
        <v/>
      </c>
      <c r="AD502" s="1" t="str">
        <f>IF(AND(Programme_Grunddaten!$A507="Geprüft",Programme_Grunddaten!AL507&lt;&gt;""),IF(Programme_Grunddaten!AL507="Ja",1,0),"")</f>
        <v/>
      </c>
      <c r="AE502" s="1" t="str">
        <f>IF(AND(Programme_Grunddaten!$A507="Geprüft",Programme_Grunddaten!AM507&lt;&gt;""),IF(Programme_Grunddaten!AM507="Ja",1,0),"")</f>
        <v/>
      </c>
      <c r="AF502" s="1" t="str">
        <f>IF(AND(Programme_Grunddaten!$A507="Geprüft",Programme_Grunddaten!AN507&lt;&gt;""),IF(Programme_Grunddaten!AN507="Ja",1,0),"")</f>
        <v/>
      </c>
      <c r="AG502" s="1" t="str">
        <f>IF(AND(Programme_Grunddaten!$A507="Geprüft",Programme_Grunddaten!AO507&lt;&gt;""),IF(Programme_Grunddaten!AO507="Ja",1,0),"")</f>
        <v/>
      </c>
      <c r="AH502" s="1" t="str">
        <f>IF(AND(Programme_Grunddaten!$A507="Geprüft",Programme_Grunddaten!AP507&lt;&gt;""),IF(Programme_Grunddaten!AP507="Ja",1,0),"")</f>
        <v/>
      </c>
      <c r="AI502" s="1" t="str">
        <f>IF(AND(Programme_Grunddaten!$A507="Geprüft",Programme_Grunddaten!AQ507&lt;&gt;""),IF(Programme_Grunddaten!AQ507="Ja",1,0),"")</f>
        <v/>
      </c>
      <c r="AJ502" s="1" t="str">
        <f>IF(AND(Programme_Grunddaten!$A507="Geprüft",Programme_Grunddaten!AR507&lt;&gt;""),IF(Programme_Grunddaten!AR507="Ja",1,0),"")</f>
        <v/>
      </c>
      <c r="AK502" s="1" t="str">
        <f>IF(AND(Programme_Grunddaten!$A507="Geprüft",Programme_Grunddaten!AS507&lt;&gt;""),IF(Programme_Grunddaten!AS507="Ja",1,0),"")</f>
        <v/>
      </c>
      <c r="AL502" s="1" t="str">
        <f>IF(AND(Programme_Grunddaten!$A507="Geprüft",Programme_Grunddaten!AT507&lt;&gt;""),IF(Programme_Grunddaten!AT507="Ja",1,0),"")</f>
        <v/>
      </c>
      <c r="AM502" s="1" t="str">
        <f>IF(AND(Programme_Grunddaten!$A507="Geprüft",Programme_Grunddaten!AU507&lt;&gt;""),IF(Programme_Grunddaten!AU507="Ja",1,0),"")</f>
        <v/>
      </c>
      <c r="AN502" s="1" t="str">
        <f>IF(AND(Programme_Grunddaten!$A507="Geprüft",Programme_Grunddaten!AV507&lt;&gt;""),IF(Programme_Grunddaten!AV507="Ja",1,0),"")</f>
        <v/>
      </c>
    </row>
    <row r="503" spans="1:40" x14ac:dyDescent="0.3">
      <c r="A503" s="1" t="str">
        <f>IF(AND(Programme_Grunddaten!A508="Geprüft",Programme_Grunddaten!B508&lt;&gt;""),Programme_Grunddaten!B508,"")</f>
        <v/>
      </c>
      <c r="B503" s="1" t="str">
        <f>IF(AND(Programme_Grunddaten!$A508="Geprüft",Programme_Grunddaten!I508&lt;&gt;""),IF(Programme_Grunddaten!I508="Ja",1,0),"")</f>
        <v/>
      </c>
      <c r="C503" s="1" t="str">
        <f>IF(AND(Programme_Grunddaten!$A508="Geprüft",Programme_Grunddaten!J508&lt;&gt;""),IF(Programme_Grunddaten!J508="Ja",1,0),"")</f>
        <v/>
      </c>
      <c r="D503" s="1" t="str">
        <f>IF(AND(Programme_Grunddaten!$A508="Geprüft",Programme_Grunddaten!K508&lt;&gt;""),IF(Programme_Grunddaten!K508="Ja",1,0),"")</f>
        <v/>
      </c>
      <c r="E503" s="1" t="str">
        <f>IF(AND(Programme_Grunddaten!$A508="Geprüft",Programme_Grunddaten!L508&lt;&gt;""),IF(Programme_Grunddaten!L508="Abo / befristete Lizenz",1,0),"")</f>
        <v/>
      </c>
      <c r="F503" s="1" t="str">
        <f>IF(AND(Programme_Grunddaten!$A508="Geprüft",Programme_Grunddaten!M508&lt;&gt;""),IF(Programme_Grunddaten!M508="Ja",1,0),"")</f>
        <v/>
      </c>
      <c r="G503" s="1" t="str">
        <f>IF(AND(Programme_Grunddaten!$A508="Geprüft",Programme_Grunddaten!N508&lt;&gt;""),IF(Programme_Grunddaten!N508="Ja",1,0),"")</f>
        <v/>
      </c>
      <c r="H503" s="1" t="str">
        <f>IF(AND(Programme_Grunddaten!$A508="Geprüft",Programme_Grunddaten!O508&lt;&gt;""),IF(Programme_Grunddaten!O508="Deutschland",0,IF(Programme_Grunddaten!O508="EU",1,2)),"")</f>
        <v/>
      </c>
      <c r="I503" s="1" t="str">
        <f>IF(AND(Programme_Grunddaten!$A508="Geprüft",Programme_Grunddaten!P508&lt;&gt;""),IF(Programme_Grunddaten!P508="Ja",1,0),"")</f>
        <v/>
      </c>
      <c r="J503" s="1" t="str">
        <f>IF(AND(Programme_Grunddaten!$A508="Geprüft",Programme_Grunddaten!Q508&lt;&gt;""),IF(Programme_Grunddaten!Q508="geschlossenes System",1,0),"")</f>
        <v/>
      </c>
      <c r="K503" s="1" t="str">
        <f>IF(AND(Programme_Grunddaten!$A508="Geprüft",Programme_Grunddaten!R508&lt;&gt;""),IF(Programme_Grunddaten!R508="Ja",1,0),"")</f>
        <v/>
      </c>
      <c r="L503" s="1" t="str">
        <f>IF(AND(Programme_Grunddaten!$A508="Geprüft",Programme_Grunddaten!T508&lt;&gt;""),IF(Programme_Grunddaten!T508="Ja",1,0),"")</f>
        <v/>
      </c>
      <c r="M503" s="1" t="str">
        <f>IF(AND(Programme_Grunddaten!$A508="Geprüft",Programme_Grunddaten!U508&lt;&gt;""),IF(Programme_Grunddaten!U508="Ja",1,0),"")</f>
        <v/>
      </c>
      <c r="N503" s="1" t="str">
        <f>IF(AND(Programme_Grunddaten!$A508="Geprüft",Programme_Grunddaten!V508&lt;&gt;""),IF(Programme_Grunddaten!V508="Ja",1,0),"")</f>
        <v/>
      </c>
      <c r="O503" s="1" t="str">
        <f>IF(AND(Programme_Grunddaten!$A508="Geprüft",Programme_Grunddaten!W508&lt;&gt;""),IF(Programme_Grunddaten!W508="Ja",1,0),"")</f>
        <v/>
      </c>
      <c r="P503" s="1" t="str">
        <f>IF(AND(Programme_Grunddaten!$A508="Geprüft",Programme_Grunddaten!X508&lt;&gt;""),IF(Programme_Grunddaten!X508="Ja",1,0),"")</f>
        <v/>
      </c>
      <c r="Q503" s="1" t="str">
        <f>IF(AND(Programme_Grunddaten!$A508="Geprüft",Programme_Grunddaten!Y508&lt;&gt;""),IF(Programme_Grunddaten!Y508="Ja",1,0),"")</f>
        <v/>
      </c>
      <c r="R503" s="1" t="str">
        <f>IF(AND(Programme_Grunddaten!$A508="Geprüft",Programme_Grunddaten!Z508&lt;&gt;""),IF(Programme_Grunddaten!Z508="Ja",1,0),"")</f>
        <v/>
      </c>
      <c r="S503" s="1" t="str">
        <f>IF(AND(Programme_Grunddaten!$A508="Geprüft",Programme_Grunddaten!AA508&lt;&gt;""),IF(Programme_Grunddaten!AA508="monolithisch",1,0),"")</f>
        <v/>
      </c>
      <c r="T503" s="1" t="str">
        <f>IF(AND(Programme_Grunddaten!$A508="Geprüft",Programme_Grunddaten!AB508&lt;&gt;""),IF(Programme_Grunddaten!AB508="Ja",1,0),"")</f>
        <v/>
      </c>
      <c r="U503" s="1" t="str">
        <f>IF(AND(Programme_Grunddaten!$A508="Geprüft",Programme_Grunddaten!AC508&lt;&gt;""),IF(Programme_Grunddaten!AC508="Ja",1,0),"")</f>
        <v/>
      </c>
      <c r="V503" s="1" t="str">
        <f>IF(AND(Programme_Grunddaten!$A508="Geprüft",Programme_Grunddaten!AD508&lt;&gt;""),IF(Programme_Grunddaten!AD508="Ja",1,0),"")</f>
        <v/>
      </c>
      <c r="W503" s="1" t="str">
        <f>IF(AND(Programme_Grunddaten!$A508="Geprüft",Programme_Grunddaten!AE508&lt;&gt;""),IF(Programme_Grunddaten!AE508="Ja",1,0),"")</f>
        <v/>
      </c>
      <c r="X503" s="1" t="str">
        <f>IF(AND(Programme_Grunddaten!$A508="Geprüft",Programme_Grunddaten!AF508&lt;&gt;""),IF(Programme_Grunddaten!AF508="Ja",1,0),"")</f>
        <v/>
      </c>
      <c r="Y503" s="1" t="str">
        <f>IF(AND(Programme_Grunddaten!$A508="Geprüft",Programme_Grunddaten!AG508&lt;&gt;""),IF(Programme_Grunddaten!AG508="Ja",1,0),"")</f>
        <v/>
      </c>
      <c r="Z503" s="1" t="str">
        <f>IF(AND(Programme_Grunddaten!$A508="Geprüft",Programme_Grunddaten!AH508&lt;&gt;""),IF(Programme_Grunddaten!AH508="Ja",1,0),"")</f>
        <v/>
      </c>
      <c r="AA503" s="1" t="str">
        <f>IF(AND(Programme_Grunddaten!$A508="Geprüft",Programme_Grunddaten!AI508&lt;&gt;""),IF(Programme_Grunddaten!AI508="Ja",1,0),"")</f>
        <v/>
      </c>
      <c r="AB503" s="1" t="str">
        <f>IF(AND(Programme_Grunddaten!$A508="Geprüft",Programme_Grunddaten!AJ508&lt;&gt;""),IF(Programme_Grunddaten!AJ508="individuell programmierbar",1,0),"")</f>
        <v/>
      </c>
      <c r="AC503" s="1" t="str">
        <f>IF(AND(Programme_Grunddaten!$A508="Geprüft",Programme_Grunddaten!AK508&lt;&gt;""),IF(Programme_Grunddaten!AK508="Deutsch",0,IF(Programme_Grunddaten!AK508="Deutsch und Englisch",1,2)),"")</f>
        <v/>
      </c>
      <c r="AD503" s="1" t="str">
        <f>IF(AND(Programme_Grunddaten!$A508="Geprüft",Programme_Grunddaten!AL508&lt;&gt;""),IF(Programme_Grunddaten!AL508="Ja",1,0),"")</f>
        <v/>
      </c>
      <c r="AE503" s="1" t="str">
        <f>IF(AND(Programme_Grunddaten!$A508="Geprüft",Programme_Grunddaten!AM508&lt;&gt;""),IF(Programme_Grunddaten!AM508="Ja",1,0),"")</f>
        <v/>
      </c>
      <c r="AF503" s="1" t="str">
        <f>IF(AND(Programme_Grunddaten!$A508="Geprüft",Programme_Grunddaten!AN508&lt;&gt;""),IF(Programme_Grunddaten!AN508="Ja",1,0),"")</f>
        <v/>
      </c>
      <c r="AG503" s="1" t="str">
        <f>IF(AND(Programme_Grunddaten!$A508="Geprüft",Programme_Grunddaten!AO508&lt;&gt;""),IF(Programme_Grunddaten!AO508="Ja",1,0),"")</f>
        <v/>
      </c>
      <c r="AH503" s="1" t="str">
        <f>IF(AND(Programme_Grunddaten!$A508="Geprüft",Programme_Grunddaten!AP508&lt;&gt;""),IF(Programme_Grunddaten!AP508="Ja",1,0),"")</f>
        <v/>
      </c>
      <c r="AI503" s="1" t="str">
        <f>IF(AND(Programme_Grunddaten!$A508="Geprüft",Programme_Grunddaten!AQ508&lt;&gt;""),IF(Programme_Grunddaten!AQ508="Ja",1,0),"")</f>
        <v/>
      </c>
      <c r="AJ503" s="1" t="str">
        <f>IF(AND(Programme_Grunddaten!$A508="Geprüft",Programme_Grunddaten!AR508&lt;&gt;""),IF(Programme_Grunddaten!AR508="Ja",1,0),"")</f>
        <v/>
      </c>
      <c r="AK503" s="1" t="str">
        <f>IF(AND(Programme_Grunddaten!$A508="Geprüft",Programme_Grunddaten!AS508&lt;&gt;""),IF(Programme_Grunddaten!AS508="Ja",1,0),"")</f>
        <v/>
      </c>
      <c r="AL503" s="1" t="str">
        <f>IF(AND(Programme_Grunddaten!$A508="Geprüft",Programme_Grunddaten!AT508&lt;&gt;""),IF(Programme_Grunddaten!AT508="Ja",1,0),"")</f>
        <v/>
      </c>
      <c r="AM503" s="1" t="str">
        <f>IF(AND(Programme_Grunddaten!$A508="Geprüft",Programme_Grunddaten!AU508&lt;&gt;""),IF(Programme_Grunddaten!AU508="Ja",1,0),"")</f>
        <v/>
      </c>
      <c r="AN503" s="1" t="str">
        <f>IF(AND(Programme_Grunddaten!$A508="Geprüft",Programme_Grunddaten!AV508&lt;&gt;""),IF(Programme_Grunddaten!AV508="Ja",1,0),"")</f>
        <v/>
      </c>
    </row>
    <row r="504" spans="1:40" x14ac:dyDescent="0.3">
      <c r="A504" s="1" t="str">
        <f>IF(AND(Programme_Grunddaten!A509="Geprüft",Programme_Grunddaten!B509&lt;&gt;""),Programme_Grunddaten!B509,"")</f>
        <v/>
      </c>
      <c r="B504" s="1" t="str">
        <f>IF(AND(Programme_Grunddaten!$A509="Geprüft",Programme_Grunddaten!I509&lt;&gt;""),IF(Programme_Grunddaten!I509="Ja",1,0),"")</f>
        <v/>
      </c>
      <c r="C504" s="1" t="str">
        <f>IF(AND(Programme_Grunddaten!$A509="Geprüft",Programme_Grunddaten!J509&lt;&gt;""),IF(Programme_Grunddaten!J509="Ja",1,0),"")</f>
        <v/>
      </c>
      <c r="D504" s="1" t="str">
        <f>IF(AND(Programme_Grunddaten!$A509="Geprüft",Programme_Grunddaten!K509&lt;&gt;""),IF(Programme_Grunddaten!K509="Ja",1,0),"")</f>
        <v/>
      </c>
      <c r="E504" s="1" t="str">
        <f>IF(AND(Programme_Grunddaten!$A509="Geprüft",Programme_Grunddaten!L509&lt;&gt;""),IF(Programme_Grunddaten!L509="Abo / befristete Lizenz",1,0),"")</f>
        <v/>
      </c>
      <c r="F504" s="1" t="str">
        <f>IF(AND(Programme_Grunddaten!$A509="Geprüft",Programme_Grunddaten!M509&lt;&gt;""),IF(Programme_Grunddaten!M509="Ja",1,0),"")</f>
        <v/>
      </c>
      <c r="G504" s="1" t="str">
        <f>IF(AND(Programme_Grunddaten!$A509="Geprüft",Programme_Grunddaten!N509&lt;&gt;""),IF(Programme_Grunddaten!N509="Ja",1,0),"")</f>
        <v/>
      </c>
      <c r="H504" s="1" t="str">
        <f>IF(AND(Programme_Grunddaten!$A509="Geprüft",Programme_Grunddaten!O509&lt;&gt;""),IF(Programme_Grunddaten!O509="Deutschland",0,IF(Programme_Grunddaten!O509="EU",1,2)),"")</f>
        <v/>
      </c>
      <c r="I504" s="1" t="str">
        <f>IF(AND(Programme_Grunddaten!$A509="Geprüft",Programme_Grunddaten!P509&lt;&gt;""),IF(Programme_Grunddaten!P509="Ja",1,0),"")</f>
        <v/>
      </c>
      <c r="J504" s="1" t="str">
        <f>IF(AND(Programme_Grunddaten!$A509="Geprüft",Programme_Grunddaten!Q509&lt;&gt;""),IF(Programme_Grunddaten!Q509="geschlossenes System",1,0),"")</f>
        <v/>
      </c>
      <c r="K504" s="1" t="str">
        <f>IF(AND(Programme_Grunddaten!$A509="Geprüft",Programme_Grunddaten!R509&lt;&gt;""),IF(Programme_Grunddaten!R509="Ja",1,0),"")</f>
        <v/>
      </c>
      <c r="L504" s="1" t="str">
        <f>IF(AND(Programme_Grunddaten!$A509="Geprüft",Programme_Grunddaten!T509&lt;&gt;""),IF(Programme_Grunddaten!T509="Ja",1,0),"")</f>
        <v/>
      </c>
      <c r="M504" s="1" t="str">
        <f>IF(AND(Programme_Grunddaten!$A509="Geprüft",Programme_Grunddaten!U509&lt;&gt;""),IF(Programme_Grunddaten!U509="Ja",1,0),"")</f>
        <v/>
      </c>
      <c r="N504" s="1" t="str">
        <f>IF(AND(Programme_Grunddaten!$A509="Geprüft",Programme_Grunddaten!V509&lt;&gt;""),IF(Programme_Grunddaten!V509="Ja",1,0),"")</f>
        <v/>
      </c>
      <c r="O504" s="1" t="str">
        <f>IF(AND(Programme_Grunddaten!$A509="Geprüft",Programme_Grunddaten!W509&lt;&gt;""),IF(Programme_Grunddaten!W509="Ja",1,0),"")</f>
        <v/>
      </c>
      <c r="P504" s="1" t="str">
        <f>IF(AND(Programme_Grunddaten!$A509="Geprüft",Programme_Grunddaten!X509&lt;&gt;""),IF(Programme_Grunddaten!X509="Ja",1,0),"")</f>
        <v/>
      </c>
      <c r="Q504" s="1" t="str">
        <f>IF(AND(Programme_Grunddaten!$A509="Geprüft",Programme_Grunddaten!Y509&lt;&gt;""),IF(Programme_Grunddaten!Y509="Ja",1,0),"")</f>
        <v/>
      </c>
      <c r="R504" s="1" t="str">
        <f>IF(AND(Programme_Grunddaten!$A509="Geprüft",Programme_Grunddaten!Z509&lt;&gt;""),IF(Programme_Grunddaten!Z509="Ja",1,0),"")</f>
        <v/>
      </c>
      <c r="S504" s="1" t="str">
        <f>IF(AND(Programme_Grunddaten!$A509="Geprüft",Programme_Grunddaten!AA509&lt;&gt;""),IF(Programme_Grunddaten!AA509="monolithisch",1,0),"")</f>
        <v/>
      </c>
      <c r="T504" s="1" t="str">
        <f>IF(AND(Programme_Grunddaten!$A509="Geprüft",Programme_Grunddaten!AB509&lt;&gt;""),IF(Programme_Grunddaten!AB509="Ja",1,0),"")</f>
        <v/>
      </c>
      <c r="U504" s="1" t="str">
        <f>IF(AND(Programme_Grunddaten!$A509="Geprüft",Programme_Grunddaten!AC509&lt;&gt;""),IF(Programme_Grunddaten!AC509="Ja",1,0),"")</f>
        <v/>
      </c>
      <c r="V504" s="1" t="str">
        <f>IF(AND(Programme_Grunddaten!$A509="Geprüft",Programme_Grunddaten!AD509&lt;&gt;""),IF(Programme_Grunddaten!AD509="Ja",1,0),"")</f>
        <v/>
      </c>
      <c r="W504" s="1" t="str">
        <f>IF(AND(Programme_Grunddaten!$A509="Geprüft",Programme_Grunddaten!AE509&lt;&gt;""),IF(Programme_Grunddaten!AE509="Ja",1,0),"")</f>
        <v/>
      </c>
      <c r="X504" s="1" t="str">
        <f>IF(AND(Programme_Grunddaten!$A509="Geprüft",Programme_Grunddaten!AF509&lt;&gt;""),IF(Programme_Grunddaten!AF509="Ja",1,0),"")</f>
        <v/>
      </c>
      <c r="Y504" s="1" t="str">
        <f>IF(AND(Programme_Grunddaten!$A509="Geprüft",Programme_Grunddaten!AG509&lt;&gt;""),IF(Programme_Grunddaten!AG509="Ja",1,0),"")</f>
        <v/>
      </c>
      <c r="Z504" s="1" t="str">
        <f>IF(AND(Programme_Grunddaten!$A509="Geprüft",Programme_Grunddaten!AH509&lt;&gt;""),IF(Programme_Grunddaten!AH509="Ja",1,0),"")</f>
        <v/>
      </c>
      <c r="AA504" s="1" t="str">
        <f>IF(AND(Programme_Grunddaten!$A509="Geprüft",Programme_Grunddaten!AI509&lt;&gt;""),IF(Programme_Grunddaten!AI509="Ja",1,0),"")</f>
        <v/>
      </c>
      <c r="AB504" s="1" t="str">
        <f>IF(AND(Programme_Grunddaten!$A509="Geprüft",Programme_Grunddaten!AJ509&lt;&gt;""),IF(Programme_Grunddaten!AJ509="individuell programmierbar",1,0),"")</f>
        <v/>
      </c>
      <c r="AC504" s="1" t="str">
        <f>IF(AND(Programme_Grunddaten!$A509="Geprüft",Programme_Grunddaten!AK509&lt;&gt;""),IF(Programme_Grunddaten!AK509="Deutsch",0,IF(Programme_Grunddaten!AK509="Deutsch und Englisch",1,2)),"")</f>
        <v/>
      </c>
      <c r="AD504" s="1" t="str">
        <f>IF(AND(Programme_Grunddaten!$A509="Geprüft",Programme_Grunddaten!AL509&lt;&gt;""),IF(Programme_Grunddaten!AL509="Ja",1,0),"")</f>
        <v/>
      </c>
      <c r="AE504" s="1" t="str">
        <f>IF(AND(Programme_Grunddaten!$A509="Geprüft",Programme_Grunddaten!AM509&lt;&gt;""),IF(Programme_Grunddaten!AM509="Ja",1,0),"")</f>
        <v/>
      </c>
      <c r="AF504" s="1" t="str">
        <f>IF(AND(Programme_Grunddaten!$A509="Geprüft",Programme_Grunddaten!AN509&lt;&gt;""),IF(Programme_Grunddaten!AN509="Ja",1,0),"")</f>
        <v/>
      </c>
      <c r="AG504" s="1" t="str">
        <f>IF(AND(Programme_Grunddaten!$A509="Geprüft",Programme_Grunddaten!AO509&lt;&gt;""),IF(Programme_Grunddaten!AO509="Ja",1,0),"")</f>
        <v/>
      </c>
      <c r="AH504" s="1" t="str">
        <f>IF(AND(Programme_Grunddaten!$A509="Geprüft",Programme_Grunddaten!AP509&lt;&gt;""),IF(Programme_Grunddaten!AP509="Ja",1,0),"")</f>
        <v/>
      </c>
      <c r="AI504" s="1" t="str">
        <f>IF(AND(Programme_Grunddaten!$A509="Geprüft",Programme_Grunddaten!AQ509&lt;&gt;""),IF(Programme_Grunddaten!AQ509="Ja",1,0),"")</f>
        <v/>
      </c>
      <c r="AJ504" s="1" t="str">
        <f>IF(AND(Programme_Grunddaten!$A509="Geprüft",Programme_Grunddaten!AR509&lt;&gt;""),IF(Programme_Grunddaten!AR509="Ja",1,0),"")</f>
        <v/>
      </c>
      <c r="AK504" s="1" t="str">
        <f>IF(AND(Programme_Grunddaten!$A509="Geprüft",Programme_Grunddaten!AS509&lt;&gt;""),IF(Programme_Grunddaten!AS509="Ja",1,0),"")</f>
        <v/>
      </c>
      <c r="AL504" s="1" t="str">
        <f>IF(AND(Programme_Grunddaten!$A509="Geprüft",Programme_Grunddaten!AT509&lt;&gt;""),IF(Programme_Grunddaten!AT509="Ja",1,0),"")</f>
        <v/>
      </c>
      <c r="AM504" s="1" t="str">
        <f>IF(AND(Programme_Grunddaten!$A509="Geprüft",Programme_Grunddaten!AU509&lt;&gt;""),IF(Programme_Grunddaten!AU509="Ja",1,0),"")</f>
        <v/>
      </c>
      <c r="AN504" s="1" t="str">
        <f>IF(AND(Programme_Grunddaten!$A509="Geprüft",Programme_Grunddaten!AV509&lt;&gt;""),IF(Programme_Grunddaten!AV509="Ja",1,0),"")</f>
        <v/>
      </c>
    </row>
    <row r="505" spans="1:40" x14ac:dyDescent="0.3">
      <c r="A505" s="1" t="str">
        <f>IF(AND(Programme_Grunddaten!A510="Geprüft",Programme_Grunddaten!B510&lt;&gt;""),Programme_Grunddaten!B510,"")</f>
        <v/>
      </c>
      <c r="B505" s="1" t="str">
        <f>IF(AND(Programme_Grunddaten!$A510="Geprüft",Programme_Grunddaten!I510&lt;&gt;""),IF(Programme_Grunddaten!I510="Ja",1,0),"")</f>
        <v/>
      </c>
      <c r="C505" s="1" t="str">
        <f>IF(AND(Programme_Grunddaten!$A510="Geprüft",Programme_Grunddaten!J510&lt;&gt;""),IF(Programme_Grunddaten!J510="Ja",1,0),"")</f>
        <v/>
      </c>
      <c r="D505" s="1" t="str">
        <f>IF(AND(Programme_Grunddaten!$A510="Geprüft",Programme_Grunddaten!K510&lt;&gt;""),IF(Programme_Grunddaten!K510="Ja",1,0),"")</f>
        <v/>
      </c>
      <c r="E505" s="1" t="str">
        <f>IF(AND(Programme_Grunddaten!$A510="Geprüft",Programme_Grunddaten!L510&lt;&gt;""),IF(Programme_Grunddaten!L510="Abo / befristete Lizenz",1,0),"")</f>
        <v/>
      </c>
      <c r="F505" s="1" t="str">
        <f>IF(AND(Programme_Grunddaten!$A510="Geprüft",Programme_Grunddaten!M510&lt;&gt;""),IF(Programme_Grunddaten!M510="Ja",1,0),"")</f>
        <v/>
      </c>
      <c r="G505" s="1" t="str">
        <f>IF(AND(Programme_Grunddaten!$A510="Geprüft",Programme_Grunddaten!N510&lt;&gt;""),IF(Programme_Grunddaten!N510="Ja",1,0),"")</f>
        <v/>
      </c>
      <c r="H505" s="1" t="str">
        <f>IF(AND(Programme_Grunddaten!$A510="Geprüft",Programme_Grunddaten!O510&lt;&gt;""),IF(Programme_Grunddaten!O510="Deutschland",0,IF(Programme_Grunddaten!O510="EU",1,2)),"")</f>
        <v/>
      </c>
      <c r="I505" s="1" t="str">
        <f>IF(AND(Programme_Grunddaten!$A510="Geprüft",Programme_Grunddaten!P510&lt;&gt;""),IF(Programme_Grunddaten!P510="Ja",1,0),"")</f>
        <v/>
      </c>
      <c r="J505" s="1" t="str">
        <f>IF(AND(Programme_Grunddaten!$A510="Geprüft",Programme_Grunddaten!Q510&lt;&gt;""),IF(Programme_Grunddaten!Q510="geschlossenes System",1,0),"")</f>
        <v/>
      </c>
      <c r="K505" s="1" t="str">
        <f>IF(AND(Programme_Grunddaten!$A510="Geprüft",Programme_Grunddaten!R510&lt;&gt;""),IF(Programme_Grunddaten!R510="Ja",1,0),"")</f>
        <v/>
      </c>
      <c r="L505" s="1" t="str">
        <f>IF(AND(Programme_Grunddaten!$A510="Geprüft",Programme_Grunddaten!T510&lt;&gt;""),IF(Programme_Grunddaten!T510="Ja",1,0),"")</f>
        <v/>
      </c>
      <c r="M505" s="1" t="str">
        <f>IF(AND(Programme_Grunddaten!$A510="Geprüft",Programme_Grunddaten!U510&lt;&gt;""),IF(Programme_Grunddaten!U510="Ja",1,0),"")</f>
        <v/>
      </c>
      <c r="N505" s="1" t="str">
        <f>IF(AND(Programme_Grunddaten!$A510="Geprüft",Programme_Grunddaten!V510&lt;&gt;""),IF(Programme_Grunddaten!V510="Ja",1,0),"")</f>
        <v/>
      </c>
      <c r="O505" s="1" t="str">
        <f>IF(AND(Programme_Grunddaten!$A510="Geprüft",Programme_Grunddaten!W510&lt;&gt;""),IF(Programme_Grunddaten!W510="Ja",1,0),"")</f>
        <v/>
      </c>
      <c r="P505" s="1" t="str">
        <f>IF(AND(Programme_Grunddaten!$A510="Geprüft",Programme_Grunddaten!X510&lt;&gt;""),IF(Programme_Grunddaten!X510="Ja",1,0),"")</f>
        <v/>
      </c>
      <c r="Q505" s="1" t="str">
        <f>IF(AND(Programme_Grunddaten!$A510="Geprüft",Programme_Grunddaten!Y510&lt;&gt;""),IF(Programme_Grunddaten!Y510="Ja",1,0),"")</f>
        <v/>
      </c>
      <c r="R505" s="1" t="str">
        <f>IF(AND(Programme_Grunddaten!$A510="Geprüft",Programme_Grunddaten!Z510&lt;&gt;""),IF(Programme_Grunddaten!Z510="Ja",1,0),"")</f>
        <v/>
      </c>
      <c r="S505" s="1" t="str">
        <f>IF(AND(Programme_Grunddaten!$A510="Geprüft",Programme_Grunddaten!AA510&lt;&gt;""),IF(Programme_Grunddaten!AA510="monolithisch",1,0),"")</f>
        <v/>
      </c>
      <c r="T505" s="1" t="str">
        <f>IF(AND(Programme_Grunddaten!$A510="Geprüft",Programme_Grunddaten!AB510&lt;&gt;""),IF(Programme_Grunddaten!AB510="Ja",1,0),"")</f>
        <v/>
      </c>
      <c r="U505" s="1" t="str">
        <f>IF(AND(Programme_Grunddaten!$A510="Geprüft",Programme_Grunddaten!AC510&lt;&gt;""),IF(Programme_Grunddaten!AC510="Ja",1,0),"")</f>
        <v/>
      </c>
      <c r="V505" s="1" t="str">
        <f>IF(AND(Programme_Grunddaten!$A510="Geprüft",Programme_Grunddaten!AD510&lt;&gt;""),IF(Programme_Grunddaten!AD510="Ja",1,0),"")</f>
        <v/>
      </c>
      <c r="W505" s="1" t="str">
        <f>IF(AND(Programme_Grunddaten!$A510="Geprüft",Programme_Grunddaten!AE510&lt;&gt;""),IF(Programme_Grunddaten!AE510="Ja",1,0),"")</f>
        <v/>
      </c>
      <c r="X505" s="1" t="str">
        <f>IF(AND(Programme_Grunddaten!$A510="Geprüft",Programme_Grunddaten!AF510&lt;&gt;""),IF(Programme_Grunddaten!AF510="Ja",1,0),"")</f>
        <v/>
      </c>
      <c r="Y505" s="1" t="str">
        <f>IF(AND(Programme_Grunddaten!$A510="Geprüft",Programme_Grunddaten!AG510&lt;&gt;""),IF(Programme_Grunddaten!AG510="Ja",1,0),"")</f>
        <v/>
      </c>
      <c r="Z505" s="1" t="str">
        <f>IF(AND(Programme_Grunddaten!$A510="Geprüft",Programme_Grunddaten!AH510&lt;&gt;""),IF(Programme_Grunddaten!AH510="Ja",1,0),"")</f>
        <v/>
      </c>
      <c r="AA505" s="1" t="str">
        <f>IF(AND(Programme_Grunddaten!$A510="Geprüft",Programme_Grunddaten!AI510&lt;&gt;""),IF(Programme_Grunddaten!AI510="Ja",1,0),"")</f>
        <v/>
      </c>
      <c r="AB505" s="1" t="str">
        <f>IF(AND(Programme_Grunddaten!$A510="Geprüft",Programme_Grunddaten!AJ510&lt;&gt;""),IF(Programme_Grunddaten!AJ510="individuell programmierbar",1,0),"")</f>
        <v/>
      </c>
      <c r="AC505" s="1" t="str">
        <f>IF(AND(Programme_Grunddaten!$A510="Geprüft",Programme_Grunddaten!AK510&lt;&gt;""),IF(Programme_Grunddaten!AK510="Deutsch",0,IF(Programme_Grunddaten!AK510="Deutsch und Englisch",1,2)),"")</f>
        <v/>
      </c>
      <c r="AD505" s="1" t="str">
        <f>IF(AND(Programme_Grunddaten!$A510="Geprüft",Programme_Grunddaten!AL510&lt;&gt;""),IF(Programme_Grunddaten!AL510="Ja",1,0),"")</f>
        <v/>
      </c>
      <c r="AE505" s="1" t="str">
        <f>IF(AND(Programme_Grunddaten!$A510="Geprüft",Programme_Grunddaten!AM510&lt;&gt;""),IF(Programme_Grunddaten!AM510="Ja",1,0),"")</f>
        <v/>
      </c>
      <c r="AF505" s="1" t="str">
        <f>IF(AND(Programme_Grunddaten!$A510="Geprüft",Programme_Grunddaten!AN510&lt;&gt;""),IF(Programme_Grunddaten!AN510="Ja",1,0),"")</f>
        <v/>
      </c>
      <c r="AG505" s="1" t="str">
        <f>IF(AND(Programme_Grunddaten!$A510="Geprüft",Programme_Grunddaten!AO510&lt;&gt;""),IF(Programme_Grunddaten!AO510="Ja",1,0),"")</f>
        <v/>
      </c>
      <c r="AH505" s="1" t="str">
        <f>IF(AND(Programme_Grunddaten!$A510="Geprüft",Programme_Grunddaten!AP510&lt;&gt;""),IF(Programme_Grunddaten!AP510="Ja",1,0),"")</f>
        <v/>
      </c>
      <c r="AI505" s="1" t="str">
        <f>IF(AND(Programme_Grunddaten!$A510="Geprüft",Programme_Grunddaten!AQ510&lt;&gt;""),IF(Programme_Grunddaten!AQ510="Ja",1,0),"")</f>
        <v/>
      </c>
      <c r="AJ505" s="1" t="str">
        <f>IF(AND(Programme_Grunddaten!$A510="Geprüft",Programme_Grunddaten!AR510&lt;&gt;""),IF(Programme_Grunddaten!AR510="Ja",1,0),"")</f>
        <v/>
      </c>
      <c r="AK505" s="1" t="str">
        <f>IF(AND(Programme_Grunddaten!$A510="Geprüft",Programme_Grunddaten!AS510&lt;&gt;""),IF(Programme_Grunddaten!AS510="Ja",1,0),"")</f>
        <v/>
      </c>
      <c r="AL505" s="1" t="str">
        <f>IF(AND(Programme_Grunddaten!$A510="Geprüft",Programme_Grunddaten!AT510&lt;&gt;""),IF(Programme_Grunddaten!AT510="Ja",1,0),"")</f>
        <v/>
      </c>
      <c r="AM505" s="1" t="str">
        <f>IF(AND(Programme_Grunddaten!$A510="Geprüft",Programme_Grunddaten!AU510&lt;&gt;""),IF(Programme_Grunddaten!AU510="Ja",1,0),"")</f>
        <v/>
      </c>
      <c r="AN505" s="1" t="str">
        <f>IF(AND(Programme_Grunddaten!$A510="Geprüft",Programme_Grunddaten!AV510&lt;&gt;""),IF(Programme_Grunddaten!AV510="Ja",1,0),"")</f>
        <v/>
      </c>
    </row>
    <row r="506" spans="1:40" x14ac:dyDescent="0.3">
      <c r="A506" s="1" t="str">
        <f>IF(AND(Programme_Grunddaten!A511="Geprüft",Programme_Grunddaten!B511&lt;&gt;""),Programme_Grunddaten!B511,"")</f>
        <v/>
      </c>
      <c r="B506" s="1" t="str">
        <f>IF(AND(Programme_Grunddaten!$A511="Geprüft",Programme_Grunddaten!I511&lt;&gt;""),IF(Programme_Grunddaten!I511="Ja",1,0),"")</f>
        <v/>
      </c>
      <c r="C506" s="1" t="str">
        <f>IF(AND(Programme_Grunddaten!$A511="Geprüft",Programme_Grunddaten!J511&lt;&gt;""),IF(Programme_Grunddaten!J511="Ja",1,0),"")</f>
        <v/>
      </c>
      <c r="D506" s="1" t="str">
        <f>IF(AND(Programme_Grunddaten!$A511="Geprüft",Programme_Grunddaten!K511&lt;&gt;""),IF(Programme_Grunddaten!K511="Ja",1,0),"")</f>
        <v/>
      </c>
      <c r="E506" s="1" t="str">
        <f>IF(AND(Programme_Grunddaten!$A511="Geprüft",Programme_Grunddaten!L511&lt;&gt;""),IF(Programme_Grunddaten!L511="Abo / befristete Lizenz",1,0),"")</f>
        <v/>
      </c>
      <c r="F506" s="1" t="str">
        <f>IF(AND(Programme_Grunddaten!$A511="Geprüft",Programme_Grunddaten!M511&lt;&gt;""),IF(Programme_Grunddaten!M511="Ja",1,0),"")</f>
        <v/>
      </c>
      <c r="G506" s="1" t="str">
        <f>IF(AND(Programme_Grunddaten!$A511="Geprüft",Programme_Grunddaten!N511&lt;&gt;""),IF(Programme_Grunddaten!N511="Ja",1,0),"")</f>
        <v/>
      </c>
      <c r="H506" s="1" t="str">
        <f>IF(AND(Programme_Grunddaten!$A511="Geprüft",Programme_Grunddaten!O511&lt;&gt;""),IF(Programme_Grunddaten!O511="Deutschland",0,IF(Programme_Grunddaten!O511="EU",1,2)),"")</f>
        <v/>
      </c>
      <c r="I506" s="1" t="str">
        <f>IF(AND(Programme_Grunddaten!$A511="Geprüft",Programme_Grunddaten!P511&lt;&gt;""),IF(Programme_Grunddaten!P511="Ja",1,0),"")</f>
        <v/>
      </c>
      <c r="J506" s="1" t="str">
        <f>IF(AND(Programme_Grunddaten!$A511="Geprüft",Programme_Grunddaten!Q511&lt;&gt;""),IF(Programme_Grunddaten!Q511="geschlossenes System",1,0),"")</f>
        <v/>
      </c>
      <c r="K506" s="1" t="str">
        <f>IF(AND(Programme_Grunddaten!$A511="Geprüft",Programme_Grunddaten!R511&lt;&gt;""),IF(Programme_Grunddaten!R511="Ja",1,0),"")</f>
        <v/>
      </c>
      <c r="L506" s="1" t="str">
        <f>IF(AND(Programme_Grunddaten!$A511="Geprüft",Programme_Grunddaten!T511&lt;&gt;""),IF(Programme_Grunddaten!T511="Ja",1,0),"")</f>
        <v/>
      </c>
      <c r="M506" s="1" t="str">
        <f>IF(AND(Programme_Grunddaten!$A511="Geprüft",Programme_Grunddaten!U511&lt;&gt;""),IF(Programme_Grunddaten!U511="Ja",1,0),"")</f>
        <v/>
      </c>
      <c r="N506" s="1" t="str">
        <f>IF(AND(Programme_Grunddaten!$A511="Geprüft",Programme_Grunddaten!V511&lt;&gt;""),IF(Programme_Grunddaten!V511="Ja",1,0),"")</f>
        <v/>
      </c>
      <c r="O506" s="1" t="str">
        <f>IF(AND(Programme_Grunddaten!$A511="Geprüft",Programme_Grunddaten!W511&lt;&gt;""),IF(Programme_Grunddaten!W511="Ja",1,0),"")</f>
        <v/>
      </c>
      <c r="P506" s="1" t="str">
        <f>IF(AND(Programme_Grunddaten!$A511="Geprüft",Programme_Grunddaten!X511&lt;&gt;""),IF(Programme_Grunddaten!X511="Ja",1,0),"")</f>
        <v/>
      </c>
      <c r="Q506" s="1" t="str">
        <f>IF(AND(Programme_Grunddaten!$A511="Geprüft",Programme_Grunddaten!Y511&lt;&gt;""),IF(Programme_Grunddaten!Y511="Ja",1,0),"")</f>
        <v/>
      </c>
      <c r="R506" s="1" t="str">
        <f>IF(AND(Programme_Grunddaten!$A511="Geprüft",Programme_Grunddaten!Z511&lt;&gt;""),IF(Programme_Grunddaten!Z511="Ja",1,0),"")</f>
        <v/>
      </c>
      <c r="S506" s="1" t="str">
        <f>IF(AND(Programme_Grunddaten!$A511="Geprüft",Programme_Grunddaten!AA511&lt;&gt;""),IF(Programme_Grunddaten!AA511="monolithisch",1,0),"")</f>
        <v/>
      </c>
      <c r="T506" s="1" t="str">
        <f>IF(AND(Programme_Grunddaten!$A511="Geprüft",Programme_Grunddaten!AB511&lt;&gt;""),IF(Programme_Grunddaten!AB511="Ja",1,0),"")</f>
        <v/>
      </c>
      <c r="U506" s="1" t="str">
        <f>IF(AND(Programme_Grunddaten!$A511="Geprüft",Programme_Grunddaten!AC511&lt;&gt;""),IF(Programme_Grunddaten!AC511="Ja",1,0),"")</f>
        <v/>
      </c>
      <c r="V506" s="1" t="str">
        <f>IF(AND(Programme_Grunddaten!$A511="Geprüft",Programme_Grunddaten!AD511&lt;&gt;""),IF(Programme_Grunddaten!AD511="Ja",1,0),"")</f>
        <v/>
      </c>
      <c r="W506" s="1" t="str">
        <f>IF(AND(Programme_Grunddaten!$A511="Geprüft",Programme_Grunddaten!AE511&lt;&gt;""),IF(Programme_Grunddaten!AE511="Ja",1,0),"")</f>
        <v/>
      </c>
      <c r="X506" s="1" t="str">
        <f>IF(AND(Programme_Grunddaten!$A511="Geprüft",Programme_Grunddaten!AF511&lt;&gt;""),IF(Programme_Grunddaten!AF511="Ja",1,0),"")</f>
        <v/>
      </c>
      <c r="Y506" s="1" t="str">
        <f>IF(AND(Programme_Grunddaten!$A511="Geprüft",Programme_Grunddaten!AG511&lt;&gt;""),IF(Programme_Grunddaten!AG511="Ja",1,0),"")</f>
        <v/>
      </c>
      <c r="Z506" s="1" t="str">
        <f>IF(AND(Programme_Grunddaten!$A511="Geprüft",Programme_Grunddaten!AH511&lt;&gt;""),IF(Programme_Grunddaten!AH511="Ja",1,0),"")</f>
        <v/>
      </c>
      <c r="AA506" s="1" t="str">
        <f>IF(AND(Programme_Grunddaten!$A511="Geprüft",Programme_Grunddaten!AI511&lt;&gt;""),IF(Programme_Grunddaten!AI511="Ja",1,0),"")</f>
        <v/>
      </c>
      <c r="AB506" s="1" t="str">
        <f>IF(AND(Programme_Grunddaten!$A511="Geprüft",Programme_Grunddaten!AJ511&lt;&gt;""),IF(Programme_Grunddaten!AJ511="individuell programmierbar",1,0),"")</f>
        <v/>
      </c>
      <c r="AC506" s="1" t="str">
        <f>IF(AND(Programme_Grunddaten!$A511="Geprüft",Programme_Grunddaten!AK511&lt;&gt;""),IF(Programme_Grunddaten!AK511="Deutsch",0,IF(Programme_Grunddaten!AK511="Deutsch und Englisch",1,2)),"")</f>
        <v/>
      </c>
      <c r="AD506" s="1" t="str">
        <f>IF(AND(Programme_Grunddaten!$A511="Geprüft",Programme_Grunddaten!AL511&lt;&gt;""),IF(Programme_Grunddaten!AL511="Ja",1,0),"")</f>
        <v/>
      </c>
      <c r="AE506" s="1" t="str">
        <f>IF(AND(Programme_Grunddaten!$A511="Geprüft",Programme_Grunddaten!AM511&lt;&gt;""),IF(Programme_Grunddaten!AM511="Ja",1,0),"")</f>
        <v/>
      </c>
      <c r="AF506" s="1" t="str">
        <f>IF(AND(Programme_Grunddaten!$A511="Geprüft",Programme_Grunddaten!AN511&lt;&gt;""),IF(Programme_Grunddaten!AN511="Ja",1,0),"")</f>
        <v/>
      </c>
      <c r="AG506" s="1" t="str">
        <f>IF(AND(Programme_Grunddaten!$A511="Geprüft",Programme_Grunddaten!AO511&lt;&gt;""),IF(Programme_Grunddaten!AO511="Ja",1,0),"")</f>
        <v/>
      </c>
      <c r="AH506" s="1" t="str">
        <f>IF(AND(Programme_Grunddaten!$A511="Geprüft",Programme_Grunddaten!AP511&lt;&gt;""),IF(Programme_Grunddaten!AP511="Ja",1,0),"")</f>
        <v/>
      </c>
      <c r="AI506" s="1" t="str">
        <f>IF(AND(Programme_Grunddaten!$A511="Geprüft",Programme_Grunddaten!AQ511&lt;&gt;""),IF(Programme_Grunddaten!AQ511="Ja",1,0),"")</f>
        <v/>
      </c>
      <c r="AJ506" s="1" t="str">
        <f>IF(AND(Programme_Grunddaten!$A511="Geprüft",Programme_Grunddaten!AR511&lt;&gt;""),IF(Programme_Grunddaten!AR511="Ja",1,0),"")</f>
        <v/>
      </c>
      <c r="AK506" s="1" t="str">
        <f>IF(AND(Programme_Grunddaten!$A511="Geprüft",Programme_Grunddaten!AS511&lt;&gt;""),IF(Programme_Grunddaten!AS511="Ja",1,0),"")</f>
        <v/>
      </c>
      <c r="AL506" s="1" t="str">
        <f>IF(AND(Programme_Grunddaten!$A511="Geprüft",Programme_Grunddaten!AT511&lt;&gt;""),IF(Programme_Grunddaten!AT511="Ja",1,0),"")</f>
        <v/>
      </c>
      <c r="AM506" s="1" t="str">
        <f>IF(AND(Programme_Grunddaten!$A511="Geprüft",Programme_Grunddaten!AU511&lt;&gt;""),IF(Programme_Grunddaten!AU511="Ja",1,0),"")</f>
        <v/>
      </c>
      <c r="AN506" s="1" t="str">
        <f>IF(AND(Programme_Grunddaten!$A511="Geprüft",Programme_Grunddaten!AV511&lt;&gt;""),IF(Programme_Grunddaten!AV511="Ja",1,0),"")</f>
        <v/>
      </c>
    </row>
    <row r="507" spans="1:40" x14ac:dyDescent="0.3">
      <c r="A507" s="1" t="str">
        <f>IF(AND(Programme_Grunddaten!A512="Geprüft",Programme_Grunddaten!B512&lt;&gt;""),Programme_Grunddaten!B512,"")</f>
        <v/>
      </c>
      <c r="B507" s="1" t="str">
        <f>IF(AND(Programme_Grunddaten!$A512="Geprüft",Programme_Grunddaten!I512&lt;&gt;""),IF(Programme_Grunddaten!I512="Ja",1,0),"")</f>
        <v/>
      </c>
      <c r="C507" s="1" t="str">
        <f>IF(AND(Programme_Grunddaten!$A512="Geprüft",Programme_Grunddaten!J512&lt;&gt;""),IF(Programme_Grunddaten!J512="Ja",1,0),"")</f>
        <v/>
      </c>
      <c r="D507" s="1" t="str">
        <f>IF(AND(Programme_Grunddaten!$A512="Geprüft",Programme_Grunddaten!K512&lt;&gt;""),IF(Programme_Grunddaten!K512="Ja",1,0),"")</f>
        <v/>
      </c>
      <c r="E507" s="1" t="str">
        <f>IF(AND(Programme_Grunddaten!$A512="Geprüft",Programme_Grunddaten!L512&lt;&gt;""),IF(Programme_Grunddaten!L512="Abo / befristete Lizenz",1,0),"")</f>
        <v/>
      </c>
      <c r="F507" s="1" t="str">
        <f>IF(AND(Programme_Grunddaten!$A512="Geprüft",Programme_Grunddaten!M512&lt;&gt;""),IF(Programme_Grunddaten!M512="Ja",1,0),"")</f>
        <v/>
      </c>
      <c r="G507" s="1" t="str">
        <f>IF(AND(Programme_Grunddaten!$A512="Geprüft",Programme_Grunddaten!N512&lt;&gt;""),IF(Programme_Grunddaten!N512="Ja",1,0),"")</f>
        <v/>
      </c>
      <c r="H507" s="1" t="str">
        <f>IF(AND(Programme_Grunddaten!$A512="Geprüft",Programme_Grunddaten!O512&lt;&gt;""),IF(Programme_Grunddaten!O512="Deutschland",0,IF(Programme_Grunddaten!O512="EU",1,2)),"")</f>
        <v/>
      </c>
      <c r="I507" s="1" t="str">
        <f>IF(AND(Programme_Grunddaten!$A512="Geprüft",Programme_Grunddaten!P512&lt;&gt;""),IF(Programme_Grunddaten!P512="Ja",1,0),"")</f>
        <v/>
      </c>
      <c r="J507" s="1" t="str">
        <f>IF(AND(Programme_Grunddaten!$A512="Geprüft",Programme_Grunddaten!Q512&lt;&gt;""),IF(Programme_Grunddaten!Q512="geschlossenes System",1,0),"")</f>
        <v/>
      </c>
      <c r="K507" s="1" t="str">
        <f>IF(AND(Programme_Grunddaten!$A512="Geprüft",Programme_Grunddaten!R512&lt;&gt;""),IF(Programme_Grunddaten!R512="Ja",1,0),"")</f>
        <v/>
      </c>
      <c r="L507" s="1" t="str">
        <f>IF(AND(Programme_Grunddaten!$A512="Geprüft",Programme_Grunddaten!T512&lt;&gt;""),IF(Programme_Grunddaten!T512="Ja",1,0),"")</f>
        <v/>
      </c>
      <c r="M507" s="1" t="str">
        <f>IF(AND(Programme_Grunddaten!$A512="Geprüft",Programme_Grunddaten!U512&lt;&gt;""),IF(Programme_Grunddaten!U512="Ja",1,0),"")</f>
        <v/>
      </c>
      <c r="N507" s="1" t="str">
        <f>IF(AND(Programme_Grunddaten!$A512="Geprüft",Programme_Grunddaten!V512&lt;&gt;""),IF(Programme_Grunddaten!V512="Ja",1,0),"")</f>
        <v/>
      </c>
      <c r="O507" s="1" t="str">
        <f>IF(AND(Programme_Grunddaten!$A512="Geprüft",Programme_Grunddaten!W512&lt;&gt;""),IF(Programme_Grunddaten!W512="Ja",1,0),"")</f>
        <v/>
      </c>
      <c r="P507" s="1" t="str">
        <f>IF(AND(Programme_Grunddaten!$A512="Geprüft",Programme_Grunddaten!X512&lt;&gt;""),IF(Programme_Grunddaten!X512="Ja",1,0),"")</f>
        <v/>
      </c>
      <c r="Q507" s="1" t="str">
        <f>IF(AND(Programme_Grunddaten!$A512="Geprüft",Programme_Grunddaten!Y512&lt;&gt;""),IF(Programme_Grunddaten!Y512="Ja",1,0),"")</f>
        <v/>
      </c>
      <c r="R507" s="1" t="str">
        <f>IF(AND(Programme_Grunddaten!$A512="Geprüft",Programme_Grunddaten!Z512&lt;&gt;""),IF(Programme_Grunddaten!Z512="Ja",1,0),"")</f>
        <v/>
      </c>
      <c r="S507" s="1" t="str">
        <f>IF(AND(Programme_Grunddaten!$A512="Geprüft",Programme_Grunddaten!AA512&lt;&gt;""),IF(Programme_Grunddaten!AA512="monolithisch",1,0),"")</f>
        <v/>
      </c>
      <c r="T507" s="1" t="str">
        <f>IF(AND(Programme_Grunddaten!$A512="Geprüft",Programme_Grunddaten!AB512&lt;&gt;""),IF(Programme_Grunddaten!AB512="Ja",1,0),"")</f>
        <v/>
      </c>
      <c r="U507" s="1" t="str">
        <f>IF(AND(Programme_Grunddaten!$A512="Geprüft",Programme_Grunddaten!AC512&lt;&gt;""),IF(Programme_Grunddaten!AC512="Ja",1,0),"")</f>
        <v/>
      </c>
      <c r="V507" s="1" t="str">
        <f>IF(AND(Programme_Grunddaten!$A512="Geprüft",Programme_Grunddaten!AD512&lt;&gt;""),IF(Programme_Grunddaten!AD512="Ja",1,0),"")</f>
        <v/>
      </c>
      <c r="W507" s="1" t="str">
        <f>IF(AND(Programme_Grunddaten!$A512="Geprüft",Programme_Grunddaten!AE512&lt;&gt;""),IF(Programme_Grunddaten!AE512="Ja",1,0),"")</f>
        <v/>
      </c>
      <c r="X507" s="1" t="str">
        <f>IF(AND(Programme_Grunddaten!$A512="Geprüft",Programme_Grunddaten!AF512&lt;&gt;""),IF(Programme_Grunddaten!AF512="Ja",1,0),"")</f>
        <v/>
      </c>
      <c r="Y507" s="1" t="str">
        <f>IF(AND(Programme_Grunddaten!$A512="Geprüft",Programme_Grunddaten!AG512&lt;&gt;""),IF(Programme_Grunddaten!AG512="Ja",1,0),"")</f>
        <v/>
      </c>
      <c r="Z507" s="1" t="str">
        <f>IF(AND(Programme_Grunddaten!$A512="Geprüft",Programme_Grunddaten!AH512&lt;&gt;""),IF(Programme_Grunddaten!AH512="Ja",1,0),"")</f>
        <v/>
      </c>
      <c r="AA507" s="1" t="str">
        <f>IF(AND(Programme_Grunddaten!$A512="Geprüft",Programme_Grunddaten!AI512&lt;&gt;""),IF(Programme_Grunddaten!AI512="Ja",1,0),"")</f>
        <v/>
      </c>
      <c r="AB507" s="1" t="str">
        <f>IF(AND(Programme_Grunddaten!$A512="Geprüft",Programme_Grunddaten!AJ512&lt;&gt;""),IF(Programme_Grunddaten!AJ512="individuell programmierbar",1,0),"")</f>
        <v/>
      </c>
      <c r="AC507" s="1" t="str">
        <f>IF(AND(Programme_Grunddaten!$A512="Geprüft",Programme_Grunddaten!AK512&lt;&gt;""),IF(Programme_Grunddaten!AK512="Deutsch",0,IF(Programme_Grunddaten!AK512="Deutsch und Englisch",1,2)),"")</f>
        <v/>
      </c>
      <c r="AD507" s="1" t="str">
        <f>IF(AND(Programme_Grunddaten!$A512="Geprüft",Programme_Grunddaten!AL512&lt;&gt;""),IF(Programme_Grunddaten!AL512="Ja",1,0),"")</f>
        <v/>
      </c>
      <c r="AE507" s="1" t="str">
        <f>IF(AND(Programme_Grunddaten!$A512="Geprüft",Programme_Grunddaten!AM512&lt;&gt;""),IF(Programme_Grunddaten!AM512="Ja",1,0),"")</f>
        <v/>
      </c>
      <c r="AF507" s="1" t="str">
        <f>IF(AND(Programme_Grunddaten!$A512="Geprüft",Programme_Grunddaten!AN512&lt;&gt;""),IF(Programme_Grunddaten!AN512="Ja",1,0),"")</f>
        <v/>
      </c>
      <c r="AG507" s="1" t="str">
        <f>IF(AND(Programme_Grunddaten!$A512="Geprüft",Programme_Grunddaten!AO512&lt;&gt;""),IF(Programme_Grunddaten!AO512="Ja",1,0),"")</f>
        <v/>
      </c>
      <c r="AH507" s="1" t="str">
        <f>IF(AND(Programme_Grunddaten!$A512="Geprüft",Programme_Grunddaten!AP512&lt;&gt;""),IF(Programme_Grunddaten!AP512="Ja",1,0),"")</f>
        <v/>
      </c>
      <c r="AI507" s="1" t="str">
        <f>IF(AND(Programme_Grunddaten!$A512="Geprüft",Programme_Grunddaten!AQ512&lt;&gt;""),IF(Programme_Grunddaten!AQ512="Ja",1,0),"")</f>
        <v/>
      </c>
      <c r="AJ507" s="1" t="str">
        <f>IF(AND(Programme_Grunddaten!$A512="Geprüft",Programme_Grunddaten!AR512&lt;&gt;""),IF(Programme_Grunddaten!AR512="Ja",1,0),"")</f>
        <v/>
      </c>
      <c r="AK507" s="1" t="str">
        <f>IF(AND(Programme_Grunddaten!$A512="Geprüft",Programme_Grunddaten!AS512&lt;&gt;""),IF(Programme_Grunddaten!AS512="Ja",1,0),"")</f>
        <v/>
      </c>
      <c r="AL507" s="1" t="str">
        <f>IF(AND(Programme_Grunddaten!$A512="Geprüft",Programme_Grunddaten!AT512&lt;&gt;""),IF(Programme_Grunddaten!AT512="Ja",1,0),"")</f>
        <v/>
      </c>
      <c r="AM507" s="1" t="str">
        <f>IF(AND(Programme_Grunddaten!$A512="Geprüft",Programme_Grunddaten!AU512&lt;&gt;""),IF(Programme_Grunddaten!AU512="Ja",1,0),"")</f>
        <v/>
      </c>
      <c r="AN507" s="1" t="str">
        <f>IF(AND(Programme_Grunddaten!$A512="Geprüft",Programme_Grunddaten!AV512&lt;&gt;""),IF(Programme_Grunddaten!AV512="Ja",1,0),"")</f>
        <v/>
      </c>
    </row>
    <row r="508" spans="1:40" x14ac:dyDescent="0.3">
      <c r="A508" s="1" t="str">
        <f>IF(AND(Programme_Grunddaten!A513="Geprüft",Programme_Grunddaten!B513&lt;&gt;""),Programme_Grunddaten!B513,"")</f>
        <v/>
      </c>
      <c r="B508" s="1" t="str">
        <f>IF(AND(Programme_Grunddaten!$A513="Geprüft",Programme_Grunddaten!I513&lt;&gt;""),IF(Programme_Grunddaten!I513="Ja",1,0),"")</f>
        <v/>
      </c>
      <c r="C508" s="1" t="str">
        <f>IF(AND(Programme_Grunddaten!$A513="Geprüft",Programme_Grunddaten!J513&lt;&gt;""),IF(Programme_Grunddaten!J513="Ja",1,0),"")</f>
        <v/>
      </c>
      <c r="D508" s="1" t="str">
        <f>IF(AND(Programme_Grunddaten!$A513="Geprüft",Programme_Grunddaten!K513&lt;&gt;""),IF(Programme_Grunddaten!K513="Ja",1,0),"")</f>
        <v/>
      </c>
      <c r="E508" s="1" t="str">
        <f>IF(AND(Programme_Grunddaten!$A513="Geprüft",Programme_Grunddaten!L513&lt;&gt;""),IF(Programme_Grunddaten!L513="Abo / befristete Lizenz",1,0),"")</f>
        <v/>
      </c>
      <c r="F508" s="1" t="str">
        <f>IF(AND(Programme_Grunddaten!$A513="Geprüft",Programme_Grunddaten!M513&lt;&gt;""),IF(Programme_Grunddaten!M513="Ja",1,0),"")</f>
        <v/>
      </c>
      <c r="G508" s="1" t="str">
        <f>IF(AND(Programme_Grunddaten!$A513="Geprüft",Programme_Grunddaten!N513&lt;&gt;""),IF(Programme_Grunddaten!N513="Ja",1,0),"")</f>
        <v/>
      </c>
      <c r="H508" s="1" t="str">
        <f>IF(AND(Programme_Grunddaten!$A513="Geprüft",Programme_Grunddaten!O513&lt;&gt;""),IF(Programme_Grunddaten!O513="Deutschland",0,IF(Programme_Grunddaten!O513="EU",1,2)),"")</f>
        <v/>
      </c>
      <c r="I508" s="1" t="str">
        <f>IF(AND(Programme_Grunddaten!$A513="Geprüft",Programme_Grunddaten!P513&lt;&gt;""),IF(Programme_Grunddaten!P513="Ja",1,0),"")</f>
        <v/>
      </c>
      <c r="J508" s="1" t="str">
        <f>IF(AND(Programme_Grunddaten!$A513="Geprüft",Programme_Grunddaten!Q513&lt;&gt;""),IF(Programme_Grunddaten!Q513="geschlossenes System",1,0),"")</f>
        <v/>
      </c>
      <c r="K508" s="1" t="str">
        <f>IF(AND(Programme_Grunddaten!$A513="Geprüft",Programme_Grunddaten!R513&lt;&gt;""),IF(Programme_Grunddaten!R513="Ja",1,0),"")</f>
        <v/>
      </c>
      <c r="L508" s="1" t="str">
        <f>IF(AND(Programme_Grunddaten!$A513="Geprüft",Programme_Grunddaten!T513&lt;&gt;""),IF(Programme_Grunddaten!T513="Ja",1,0),"")</f>
        <v/>
      </c>
      <c r="M508" s="1" t="str">
        <f>IF(AND(Programme_Grunddaten!$A513="Geprüft",Programme_Grunddaten!U513&lt;&gt;""),IF(Programme_Grunddaten!U513="Ja",1,0),"")</f>
        <v/>
      </c>
      <c r="N508" s="1" t="str">
        <f>IF(AND(Programme_Grunddaten!$A513="Geprüft",Programme_Grunddaten!V513&lt;&gt;""),IF(Programme_Grunddaten!V513="Ja",1,0),"")</f>
        <v/>
      </c>
      <c r="O508" s="1" t="str">
        <f>IF(AND(Programme_Grunddaten!$A513="Geprüft",Programme_Grunddaten!W513&lt;&gt;""),IF(Programme_Grunddaten!W513="Ja",1,0),"")</f>
        <v/>
      </c>
      <c r="P508" s="1" t="str">
        <f>IF(AND(Programme_Grunddaten!$A513="Geprüft",Programme_Grunddaten!X513&lt;&gt;""),IF(Programme_Grunddaten!X513="Ja",1,0),"")</f>
        <v/>
      </c>
      <c r="Q508" s="1" t="str">
        <f>IF(AND(Programme_Grunddaten!$A513="Geprüft",Programme_Grunddaten!Y513&lt;&gt;""),IF(Programme_Grunddaten!Y513="Ja",1,0),"")</f>
        <v/>
      </c>
      <c r="R508" s="1" t="str">
        <f>IF(AND(Programme_Grunddaten!$A513="Geprüft",Programme_Grunddaten!Z513&lt;&gt;""),IF(Programme_Grunddaten!Z513="Ja",1,0),"")</f>
        <v/>
      </c>
      <c r="S508" s="1" t="str">
        <f>IF(AND(Programme_Grunddaten!$A513="Geprüft",Programme_Grunddaten!AA513&lt;&gt;""),IF(Programme_Grunddaten!AA513="monolithisch",1,0),"")</f>
        <v/>
      </c>
      <c r="T508" s="1" t="str">
        <f>IF(AND(Programme_Grunddaten!$A513="Geprüft",Programme_Grunddaten!AB513&lt;&gt;""),IF(Programme_Grunddaten!AB513="Ja",1,0),"")</f>
        <v/>
      </c>
      <c r="U508" s="1" t="str">
        <f>IF(AND(Programme_Grunddaten!$A513="Geprüft",Programme_Grunddaten!AC513&lt;&gt;""),IF(Programme_Grunddaten!AC513="Ja",1,0),"")</f>
        <v/>
      </c>
      <c r="V508" s="1" t="str">
        <f>IF(AND(Programme_Grunddaten!$A513="Geprüft",Programme_Grunddaten!AD513&lt;&gt;""),IF(Programme_Grunddaten!AD513="Ja",1,0),"")</f>
        <v/>
      </c>
      <c r="W508" s="1" t="str">
        <f>IF(AND(Programme_Grunddaten!$A513="Geprüft",Programme_Grunddaten!AE513&lt;&gt;""),IF(Programme_Grunddaten!AE513="Ja",1,0),"")</f>
        <v/>
      </c>
      <c r="X508" s="1" t="str">
        <f>IF(AND(Programme_Grunddaten!$A513="Geprüft",Programme_Grunddaten!AF513&lt;&gt;""),IF(Programme_Grunddaten!AF513="Ja",1,0),"")</f>
        <v/>
      </c>
      <c r="Y508" s="1" t="str">
        <f>IF(AND(Programme_Grunddaten!$A513="Geprüft",Programme_Grunddaten!AG513&lt;&gt;""),IF(Programme_Grunddaten!AG513="Ja",1,0),"")</f>
        <v/>
      </c>
      <c r="Z508" s="1" t="str">
        <f>IF(AND(Programme_Grunddaten!$A513="Geprüft",Programme_Grunddaten!AH513&lt;&gt;""),IF(Programme_Grunddaten!AH513="Ja",1,0),"")</f>
        <v/>
      </c>
      <c r="AA508" s="1" t="str">
        <f>IF(AND(Programme_Grunddaten!$A513="Geprüft",Programme_Grunddaten!AI513&lt;&gt;""),IF(Programme_Grunddaten!AI513="Ja",1,0),"")</f>
        <v/>
      </c>
      <c r="AB508" s="1" t="str">
        <f>IF(AND(Programme_Grunddaten!$A513="Geprüft",Programme_Grunddaten!AJ513&lt;&gt;""),IF(Programme_Grunddaten!AJ513="individuell programmierbar",1,0),"")</f>
        <v/>
      </c>
      <c r="AC508" s="1" t="str">
        <f>IF(AND(Programme_Grunddaten!$A513="Geprüft",Programme_Grunddaten!AK513&lt;&gt;""),IF(Programme_Grunddaten!AK513="Deutsch",0,IF(Programme_Grunddaten!AK513="Deutsch und Englisch",1,2)),"")</f>
        <v/>
      </c>
      <c r="AD508" s="1" t="str">
        <f>IF(AND(Programme_Grunddaten!$A513="Geprüft",Programme_Grunddaten!AL513&lt;&gt;""),IF(Programme_Grunddaten!AL513="Ja",1,0),"")</f>
        <v/>
      </c>
      <c r="AE508" s="1" t="str">
        <f>IF(AND(Programme_Grunddaten!$A513="Geprüft",Programme_Grunddaten!AM513&lt;&gt;""),IF(Programme_Grunddaten!AM513="Ja",1,0),"")</f>
        <v/>
      </c>
      <c r="AF508" s="1" t="str">
        <f>IF(AND(Programme_Grunddaten!$A513="Geprüft",Programme_Grunddaten!AN513&lt;&gt;""),IF(Programme_Grunddaten!AN513="Ja",1,0),"")</f>
        <v/>
      </c>
      <c r="AG508" s="1" t="str">
        <f>IF(AND(Programme_Grunddaten!$A513="Geprüft",Programme_Grunddaten!AO513&lt;&gt;""),IF(Programme_Grunddaten!AO513="Ja",1,0),"")</f>
        <v/>
      </c>
      <c r="AH508" s="1" t="str">
        <f>IF(AND(Programme_Grunddaten!$A513="Geprüft",Programme_Grunddaten!AP513&lt;&gt;""),IF(Programme_Grunddaten!AP513="Ja",1,0),"")</f>
        <v/>
      </c>
      <c r="AI508" s="1" t="str">
        <f>IF(AND(Programme_Grunddaten!$A513="Geprüft",Programme_Grunddaten!AQ513&lt;&gt;""),IF(Programme_Grunddaten!AQ513="Ja",1,0),"")</f>
        <v/>
      </c>
      <c r="AJ508" s="1" t="str">
        <f>IF(AND(Programme_Grunddaten!$A513="Geprüft",Programme_Grunddaten!AR513&lt;&gt;""),IF(Programme_Grunddaten!AR513="Ja",1,0),"")</f>
        <v/>
      </c>
      <c r="AK508" s="1" t="str">
        <f>IF(AND(Programme_Grunddaten!$A513="Geprüft",Programme_Grunddaten!AS513&lt;&gt;""),IF(Programme_Grunddaten!AS513="Ja",1,0),"")</f>
        <v/>
      </c>
      <c r="AL508" s="1" t="str">
        <f>IF(AND(Programme_Grunddaten!$A513="Geprüft",Programme_Grunddaten!AT513&lt;&gt;""),IF(Programme_Grunddaten!AT513="Ja",1,0),"")</f>
        <v/>
      </c>
      <c r="AM508" s="1" t="str">
        <f>IF(AND(Programme_Grunddaten!$A513="Geprüft",Programme_Grunddaten!AU513&lt;&gt;""),IF(Programme_Grunddaten!AU513="Ja",1,0),"")</f>
        <v/>
      </c>
      <c r="AN508" s="1" t="str">
        <f>IF(AND(Programme_Grunddaten!$A513="Geprüft",Programme_Grunddaten!AV513&lt;&gt;""),IF(Programme_Grunddaten!AV513="Ja",1,0),"")</f>
        <v/>
      </c>
    </row>
    <row r="509" spans="1:40" x14ac:dyDescent="0.3">
      <c r="A509" s="1" t="str">
        <f>IF(AND(Programme_Grunddaten!A514="Geprüft",Programme_Grunddaten!B514&lt;&gt;""),Programme_Grunddaten!B514,"")</f>
        <v/>
      </c>
      <c r="B509" s="1" t="str">
        <f>IF(AND(Programme_Grunddaten!$A514="Geprüft",Programme_Grunddaten!I514&lt;&gt;""),IF(Programme_Grunddaten!I514="Ja",1,0),"")</f>
        <v/>
      </c>
      <c r="C509" s="1" t="str">
        <f>IF(AND(Programme_Grunddaten!$A514="Geprüft",Programme_Grunddaten!J514&lt;&gt;""),IF(Programme_Grunddaten!J514="Ja",1,0),"")</f>
        <v/>
      </c>
      <c r="D509" s="1" t="str">
        <f>IF(AND(Programme_Grunddaten!$A514="Geprüft",Programme_Grunddaten!K514&lt;&gt;""),IF(Programme_Grunddaten!K514="Ja",1,0),"")</f>
        <v/>
      </c>
      <c r="E509" s="1" t="str">
        <f>IF(AND(Programme_Grunddaten!$A514="Geprüft",Programme_Grunddaten!L514&lt;&gt;""),IF(Programme_Grunddaten!L514="Abo / befristete Lizenz",1,0),"")</f>
        <v/>
      </c>
      <c r="F509" s="1" t="str">
        <f>IF(AND(Programme_Grunddaten!$A514="Geprüft",Programme_Grunddaten!M514&lt;&gt;""),IF(Programme_Grunddaten!M514="Ja",1,0),"")</f>
        <v/>
      </c>
      <c r="G509" s="1" t="str">
        <f>IF(AND(Programme_Grunddaten!$A514="Geprüft",Programme_Grunddaten!N514&lt;&gt;""),IF(Programme_Grunddaten!N514="Ja",1,0),"")</f>
        <v/>
      </c>
      <c r="H509" s="1" t="str">
        <f>IF(AND(Programme_Grunddaten!$A514="Geprüft",Programme_Grunddaten!O514&lt;&gt;""),IF(Programme_Grunddaten!O514="Deutschland",0,IF(Programme_Grunddaten!O514="EU",1,2)),"")</f>
        <v/>
      </c>
      <c r="I509" s="1" t="str">
        <f>IF(AND(Programme_Grunddaten!$A514="Geprüft",Programme_Grunddaten!P514&lt;&gt;""),IF(Programme_Grunddaten!P514="Ja",1,0),"")</f>
        <v/>
      </c>
      <c r="J509" s="1" t="str">
        <f>IF(AND(Programme_Grunddaten!$A514="Geprüft",Programme_Grunddaten!Q514&lt;&gt;""),IF(Programme_Grunddaten!Q514="geschlossenes System",1,0),"")</f>
        <v/>
      </c>
      <c r="K509" s="1" t="str">
        <f>IF(AND(Programme_Grunddaten!$A514="Geprüft",Programme_Grunddaten!R514&lt;&gt;""),IF(Programme_Grunddaten!R514="Ja",1,0),"")</f>
        <v/>
      </c>
      <c r="L509" s="1" t="str">
        <f>IF(AND(Programme_Grunddaten!$A514="Geprüft",Programme_Grunddaten!T514&lt;&gt;""),IF(Programme_Grunddaten!T514="Ja",1,0),"")</f>
        <v/>
      </c>
      <c r="M509" s="1" t="str">
        <f>IF(AND(Programme_Grunddaten!$A514="Geprüft",Programme_Grunddaten!U514&lt;&gt;""),IF(Programme_Grunddaten!U514="Ja",1,0),"")</f>
        <v/>
      </c>
      <c r="N509" s="1" t="str">
        <f>IF(AND(Programme_Grunddaten!$A514="Geprüft",Programme_Grunddaten!V514&lt;&gt;""),IF(Programme_Grunddaten!V514="Ja",1,0),"")</f>
        <v/>
      </c>
      <c r="O509" s="1" t="str">
        <f>IF(AND(Programme_Grunddaten!$A514="Geprüft",Programme_Grunddaten!W514&lt;&gt;""),IF(Programme_Grunddaten!W514="Ja",1,0),"")</f>
        <v/>
      </c>
      <c r="P509" s="1" t="str">
        <f>IF(AND(Programme_Grunddaten!$A514="Geprüft",Programme_Grunddaten!X514&lt;&gt;""),IF(Programme_Grunddaten!X514="Ja",1,0),"")</f>
        <v/>
      </c>
      <c r="Q509" s="1" t="str">
        <f>IF(AND(Programme_Grunddaten!$A514="Geprüft",Programme_Grunddaten!Y514&lt;&gt;""),IF(Programme_Grunddaten!Y514="Ja",1,0),"")</f>
        <v/>
      </c>
      <c r="R509" s="1" t="str">
        <f>IF(AND(Programme_Grunddaten!$A514="Geprüft",Programme_Grunddaten!Z514&lt;&gt;""),IF(Programme_Grunddaten!Z514="Ja",1,0),"")</f>
        <v/>
      </c>
      <c r="S509" s="1" t="str">
        <f>IF(AND(Programme_Grunddaten!$A514="Geprüft",Programme_Grunddaten!AA514&lt;&gt;""),IF(Programme_Grunddaten!AA514="monolithisch",1,0),"")</f>
        <v/>
      </c>
      <c r="T509" s="1" t="str">
        <f>IF(AND(Programme_Grunddaten!$A514="Geprüft",Programme_Grunddaten!AB514&lt;&gt;""),IF(Programme_Grunddaten!AB514="Ja",1,0),"")</f>
        <v/>
      </c>
      <c r="U509" s="1" t="str">
        <f>IF(AND(Programme_Grunddaten!$A514="Geprüft",Programme_Grunddaten!AC514&lt;&gt;""),IF(Programme_Grunddaten!AC514="Ja",1,0),"")</f>
        <v/>
      </c>
      <c r="V509" s="1" t="str">
        <f>IF(AND(Programme_Grunddaten!$A514="Geprüft",Programme_Grunddaten!AD514&lt;&gt;""),IF(Programme_Grunddaten!AD514="Ja",1,0),"")</f>
        <v/>
      </c>
      <c r="W509" s="1" t="str">
        <f>IF(AND(Programme_Grunddaten!$A514="Geprüft",Programme_Grunddaten!AE514&lt;&gt;""),IF(Programme_Grunddaten!AE514="Ja",1,0),"")</f>
        <v/>
      </c>
      <c r="X509" s="1" t="str">
        <f>IF(AND(Programme_Grunddaten!$A514="Geprüft",Programme_Grunddaten!AF514&lt;&gt;""),IF(Programme_Grunddaten!AF514="Ja",1,0),"")</f>
        <v/>
      </c>
      <c r="Y509" s="1" t="str">
        <f>IF(AND(Programme_Grunddaten!$A514="Geprüft",Programme_Grunddaten!AG514&lt;&gt;""),IF(Programme_Grunddaten!AG514="Ja",1,0),"")</f>
        <v/>
      </c>
      <c r="Z509" s="1" t="str">
        <f>IF(AND(Programme_Grunddaten!$A514="Geprüft",Programme_Grunddaten!AH514&lt;&gt;""),IF(Programme_Grunddaten!AH514="Ja",1,0),"")</f>
        <v/>
      </c>
      <c r="AA509" s="1" t="str">
        <f>IF(AND(Programme_Grunddaten!$A514="Geprüft",Programme_Grunddaten!AI514&lt;&gt;""),IF(Programme_Grunddaten!AI514="Ja",1,0),"")</f>
        <v/>
      </c>
      <c r="AB509" s="1" t="str">
        <f>IF(AND(Programme_Grunddaten!$A514="Geprüft",Programme_Grunddaten!AJ514&lt;&gt;""),IF(Programme_Grunddaten!AJ514="individuell programmierbar",1,0),"")</f>
        <v/>
      </c>
      <c r="AC509" s="1" t="str">
        <f>IF(AND(Programme_Grunddaten!$A514="Geprüft",Programme_Grunddaten!AK514&lt;&gt;""),IF(Programme_Grunddaten!AK514="Deutsch",0,IF(Programme_Grunddaten!AK514="Deutsch und Englisch",1,2)),"")</f>
        <v/>
      </c>
      <c r="AD509" s="1" t="str">
        <f>IF(AND(Programme_Grunddaten!$A514="Geprüft",Programme_Grunddaten!AL514&lt;&gt;""),IF(Programme_Grunddaten!AL514="Ja",1,0),"")</f>
        <v/>
      </c>
      <c r="AE509" s="1" t="str">
        <f>IF(AND(Programme_Grunddaten!$A514="Geprüft",Programme_Grunddaten!AM514&lt;&gt;""),IF(Programme_Grunddaten!AM514="Ja",1,0),"")</f>
        <v/>
      </c>
      <c r="AF509" s="1" t="str">
        <f>IF(AND(Programme_Grunddaten!$A514="Geprüft",Programme_Grunddaten!AN514&lt;&gt;""),IF(Programme_Grunddaten!AN514="Ja",1,0),"")</f>
        <v/>
      </c>
      <c r="AG509" s="1" t="str">
        <f>IF(AND(Programme_Grunddaten!$A514="Geprüft",Programme_Grunddaten!AO514&lt;&gt;""),IF(Programme_Grunddaten!AO514="Ja",1,0),"")</f>
        <v/>
      </c>
      <c r="AH509" s="1" t="str">
        <f>IF(AND(Programme_Grunddaten!$A514="Geprüft",Programme_Grunddaten!AP514&lt;&gt;""),IF(Programme_Grunddaten!AP514="Ja",1,0),"")</f>
        <v/>
      </c>
      <c r="AI509" s="1" t="str">
        <f>IF(AND(Programme_Grunddaten!$A514="Geprüft",Programme_Grunddaten!AQ514&lt;&gt;""),IF(Programme_Grunddaten!AQ514="Ja",1,0),"")</f>
        <v/>
      </c>
      <c r="AJ509" s="1" t="str">
        <f>IF(AND(Programme_Grunddaten!$A514="Geprüft",Programme_Grunddaten!AR514&lt;&gt;""),IF(Programme_Grunddaten!AR514="Ja",1,0),"")</f>
        <v/>
      </c>
      <c r="AK509" s="1" t="str">
        <f>IF(AND(Programme_Grunddaten!$A514="Geprüft",Programme_Grunddaten!AS514&lt;&gt;""),IF(Programme_Grunddaten!AS514="Ja",1,0),"")</f>
        <v/>
      </c>
      <c r="AL509" s="1" t="str">
        <f>IF(AND(Programme_Grunddaten!$A514="Geprüft",Programme_Grunddaten!AT514&lt;&gt;""),IF(Programme_Grunddaten!AT514="Ja",1,0),"")</f>
        <v/>
      </c>
      <c r="AM509" s="1" t="str">
        <f>IF(AND(Programme_Grunddaten!$A514="Geprüft",Programme_Grunddaten!AU514&lt;&gt;""),IF(Programme_Grunddaten!AU514="Ja",1,0),"")</f>
        <v/>
      </c>
      <c r="AN509" s="1" t="str">
        <f>IF(AND(Programme_Grunddaten!$A514="Geprüft",Programme_Grunddaten!AV514&lt;&gt;""),IF(Programme_Grunddaten!AV514="Ja",1,0),"")</f>
        <v/>
      </c>
    </row>
    <row r="510" spans="1:40" x14ac:dyDescent="0.3">
      <c r="A510" s="1" t="str">
        <f>IF(AND(Programme_Grunddaten!A515="Geprüft",Programme_Grunddaten!B515&lt;&gt;""),Programme_Grunddaten!B515,"")</f>
        <v/>
      </c>
      <c r="B510" s="1" t="str">
        <f>IF(AND(Programme_Grunddaten!$A515="Geprüft",Programme_Grunddaten!I515&lt;&gt;""),IF(Programme_Grunddaten!I515="Ja",1,0),"")</f>
        <v/>
      </c>
      <c r="C510" s="1" t="str">
        <f>IF(AND(Programme_Grunddaten!$A515="Geprüft",Programme_Grunddaten!J515&lt;&gt;""),IF(Programme_Grunddaten!J515="Ja",1,0),"")</f>
        <v/>
      </c>
      <c r="D510" s="1" t="str">
        <f>IF(AND(Programme_Grunddaten!$A515="Geprüft",Programme_Grunddaten!K515&lt;&gt;""),IF(Programme_Grunddaten!K515="Ja",1,0),"")</f>
        <v/>
      </c>
      <c r="E510" s="1" t="str">
        <f>IF(AND(Programme_Grunddaten!$A515="Geprüft",Programme_Grunddaten!L515&lt;&gt;""),IF(Programme_Grunddaten!L515="Abo / befristete Lizenz",1,0),"")</f>
        <v/>
      </c>
      <c r="F510" s="1" t="str">
        <f>IF(AND(Programme_Grunddaten!$A515="Geprüft",Programme_Grunddaten!M515&lt;&gt;""),IF(Programme_Grunddaten!M515="Ja",1,0),"")</f>
        <v/>
      </c>
      <c r="G510" s="1" t="str">
        <f>IF(AND(Programme_Grunddaten!$A515="Geprüft",Programme_Grunddaten!N515&lt;&gt;""),IF(Programme_Grunddaten!N515="Ja",1,0),"")</f>
        <v/>
      </c>
      <c r="H510" s="1" t="str">
        <f>IF(AND(Programme_Grunddaten!$A515="Geprüft",Programme_Grunddaten!O515&lt;&gt;""),IF(Programme_Grunddaten!O515="Deutschland",0,IF(Programme_Grunddaten!O515="EU",1,2)),"")</f>
        <v/>
      </c>
      <c r="I510" s="1" t="str">
        <f>IF(AND(Programme_Grunddaten!$A515="Geprüft",Programme_Grunddaten!P515&lt;&gt;""),IF(Programme_Grunddaten!P515="Ja",1,0),"")</f>
        <v/>
      </c>
      <c r="J510" s="1" t="str">
        <f>IF(AND(Programme_Grunddaten!$A515="Geprüft",Programme_Grunddaten!Q515&lt;&gt;""),IF(Programme_Grunddaten!Q515="geschlossenes System",1,0),"")</f>
        <v/>
      </c>
      <c r="K510" s="1" t="str">
        <f>IF(AND(Programme_Grunddaten!$A515="Geprüft",Programme_Grunddaten!R515&lt;&gt;""),IF(Programme_Grunddaten!R515="Ja",1,0),"")</f>
        <v/>
      </c>
      <c r="L510" s="1" t="str">
        <f>IF(AND(Programme_Grunddaten!$A515="Geprüft",Programme_Grunddaten!T515&lt;&gt;""),IF(Programme_Grunddaten!T515="Ja",1,0),"")</f>
        <v/>
      </c>
      <c r="M510" s="1" t="str">
        <f>IF(AND(Programme_Grunddaten!$A515="Geprüft",Programme_Grunddaten!U515&lt;&gt;""),IF(Programme_Grunddaten!U515="Ja",1,0),"")</f>
        <v/>
      </c>
      <c r="N510" s="1" t="str">
        <f>IF(AND(Programme_Grunddaten!$A515="Geprüft",Programme_Grunddaten!V515&lt;&gt;""),IF(Programme_Grunddaten!V515="Ja",1,0),"")</f>
        <v/>
      </c>
      <c r="O510" s="1" t="str">
        <f>IF(AND(Programme_Grunddaten!$A515="Geprüft",Programme_Grunddaten!W515&lt;&gt;""),IF(Programme_Grunddaten!W515="Ja",1,0),"")</f>
        <v/>
      </c>
      <c r="P510" s="1" t="str">
        <f>IF(AND(Programme_Grunddaten!$A515="Geprüft",Programme_Grunddaten!X515&lt;&gt;""),IF(Programme_Grunddaten!X515="Ja",1,0),"")</f>
        <v/>
      </c>
      <c r="Q510" s="1" t="str">
        <f>IF(AND(Programme_Grunddaten!$A515="Geprüft",Programme_Grunddaten!Y515&lt;&gt;""),IF(Programme_Grunddaten!Y515="Ja",1,0),"")</f>
        <v/>
      </c>
      <c r="R510" s="1" t="str">
        <f>IF(AND(Programme_Grunddaten!$A515="Geprüft",Programme_Grunddaten!Z515&lt;&gt;""),IF(Programme_Grunddaten!Z515="Ja",1,0),"")</f>
        <v/>
      </c>
      <c r="S510" s="1" t="str">
        <f>IF(AND(Programme_Grunddaten!$A515="Geprüft",Programme_Grunddaten!AA515&lt;&gt;""),IF(Programme_Grunddaten!AA515="monolithisch",1,0),"")</f>
        <v/>
      </c>
      <c r="T510" s="1" t="str">
        <f>IF(AND(Programme_Grunddaten!$A515="Geprüft",Programme_Grunddaten!AB515&lt;&gt;""),IF(Programme_Grunddaten!AB515="Ja",1,0),"")</f>
        <v/>
      </c>
      <c r="U510" s="1" t="str">
        <f>IF(AND(Programme_Grunddaten!$A515="Geprüft",Programme_Grunddaten!AC515&lt;&gt;""),IF(Programme_Grunddaten!AC515="Ja",1,0),"")</f>
        <v/>
      </c>
      <c r="V510" s="1" t="str">
        <f>IF(AND(Programme_Grunddaten!$A515="Geprüft",Programme_Grunddaten!AD515&lt;&gt;""),IF(Programme_Grunddaten!AD515="Ja",1,0),"")</f>
        <v/>
      </c>
      <c r="W510" s="1" t="str">
        <f>IF(AND(Programme_Grunddaten!$A515="Geprüft",Programme_Grunddaten!AE515&lt;&gt;""),IF(Programme_Grunddaten!AE515="Ja",1,0),"")</f>
        <v/>
      </c>
      <c r="X510" s="1" t="str">
        <f>IF(AND(Programme_Grunddaten!$A515="Geprüft",Programme_Grunddaten!AF515&lt;&gt;""),IF(Programme_Grunddaten!AF515="Ja",1,0),"")</f>
        <v/>
      </c>
      <c r="Y510" s="1" t="str">
        <f>IF(AND(Programme_Grunddaten!$A515="Geprüft",Programme_Grunddaten!AG515&lt;&gt;""),IF(Programme_Grunddaten!AG515="Ja",1,0),"")</f>
        <v/>
      </c>
      <c r="Z510" s="1" t="str">
        <f>IF(AND(Programme_Grunddaten!$A515="Geprüft",Programme_Grunddaten!AH515&lt;&gt;""),IF(Programme_Grunddaten!AH515="Ja",1,0),"")</f>
        <v/>
      </c>
      <c r="AA510" s="1" t="str">
        <f>IF(AND(Programme_Grunddaten!$A515="Geprüft",Programme_Grunddaten!AI515&lt;&gt;""),IF(Programme_Grunddaten!AI515="Ja",1,0),"")</f>
        <v/>
      </c>
      <c r="AB510" s="1" t="str">
        <f>IF(AND(Programme_Grunddaten!$A515="Geprüft",Programme_Grunddaten!AJ515&lt;&gt;""),IF(Programme_Grunddaten!AJ515="individuell programmierbar",1,0),"")</f>
        <v/>
      </c>
      <c r="AC510" s="1" t="str">
        <f>IF(AND(Programme_Grunddaten!$A515="Geprüft",Programme_Grunddaten!AK515&lt;&gt;""),IF(Programme_Grunddaten!AK515="Deutsch",0,IF(Programme_Grunddaten!AK515="Deutsch und Englisch",1,2)),"")</f>
        <v/>
      </c>
      <c r="AD510" s="1" t="str">
        <f>IF(AND(Programme_Grunddaten!$A515="Geprüft",Programme_Grunddaten!AL515&lt;&gt;""),IF(Programme_Grunddaten!AL515="Ja",1,0),"")</f>
        <v/>
      </c>
      <c r="AE510" s="1" t="str">
        <f>IF(AND(Programme_Grunddaten!$A515="Geprüft",Programme_Grunddaten!AM515&lt;&gt;""),IF(Programme_Grunddaten!AM515="Ja",1,0),"")</f>
        <v/>
      </c>
      <c r="AF510" s="1" t="str">
        <f>IF(AND(Programme_Grunddaten!$A515="Geprüft",Programme_Grunddaten!AN515&lt;&gt;""),IF(Programme_Grunddaten!AN515="Ja",1,0),"")</f>
        <v/>
      </c>
      <c r="AG510" s="1" t="str">
        <f>IF(AND(Programme_Grunddaten!$A515="Geprüft",Programme_Grunddaten!AO515&lt;&gt;""),IF(Programme_Grunddaten!AO515="Ja",1,0),"")</f>
        <v/>
      </c>
      <c r="AH510" s="1" t="str">
        <f>IF(AND(Programme_Grunddaten!$A515="Geprüft",Programme_Grunddaten!AP515&lt;&gt;""),IF(Programme_Grunddaten!AP515="Ja",1,0),"")</f>
        <v/>
      </c>
      <c r="AI510" s="1" t="str">
        <f>IF(AND(Programme_Grunddaten!$A515="Geprüft",Programme_Grunddaten!AQ515&lt;&gt;""),IF(Programme_Grunddaten!AQ515="Ja",1,0),"")</f>
        <v/>
      </c>
      <c r="AJ510" s="1" t="str">
        <f>IF(AND(Programme_Grunddaten!$A515="Geprüft",Programme_Grunddaten!AR515&lt;&gt;""),IF(Programme_Grunddaten!AR515="Ja",1,0),"")</f>
        <v/>
      </c>
      <c r="AK510" s="1" t="str">
        <f>IF(AND(Programme_Grunddaten!$A515="Geprüft",Programme_Grunddaten!AS515&lt;&gt;""),IF(Programme_Grunddaten!AS515="Ja",1,0),"")</f>
        <v/>
      </c>
      <c r="AL510" s="1" t="str">
        <f>IF(AND(Programme_Grunddaten!$A515="Geprüft",Programme_Grunddaten!AT515&lt;&gt;""),IF(Programme_Grunddaten!AT515="Ja",1,0),"")</f>
        <v/>
      </c>
      <c r="AM510" s="1" t="str">
        <f>IF(AND(Programme_Grunddaten!$A515="Geprüft",Programme_Grunddaten!AU515&lt;&gt;""),IF(Programme_Grunddaten!AU515="Ja",1,0),"")</f>
        <v/>
      </c>
      <c r="AN510" s="1" t="str">
        <f>IF(AND(Programme_Grunddaten!$A515="Geprüft",Programme_Grunddaten!AV515&lt;&gt;""),IF(Programme_Grunddaten!AV515="Ja",1,0),"")</f>
        <v/>
      </c>
    </row>
    <row r="511" spans="1:40" x14ac:dyDescent="0.3">
      <c r="A511" s="1" t="str">
        <f>IF(AND(Programme_Grunddaten!A516="Geprüft",Programme_Grunddaten!B516&lt;&gt;""),Programme_Grunddaten!B516,"")</f>
        <v/>
      </c>
      <c r="B511" s="1" t="str">
        <f>IF(AND(Programme_Grunddaten!$A516="Geprüft",Programme_Grunddaten!I516&lt;&gt;""),IF(Programme_Grunddaten!I516="Ja",1,0),"")</f>
        <v/>
      </c>
      <c r="C511" s="1" t="str">
        <f>IF(AND(Programme_Grunddaten!$A516="Geprüft",Programme_Grunddaten!J516&lt;&gt;""),IF(Programme_Grunddaten!J516="Ja",1,0),"")</f>
        <v/>
      </c>
      <c r="D511" s="1" t="str">
        <f>IF(AND(Programme_Grunddaten!$A516="Geprüft",Programme_Grunddaten!K516&lt;&gt;""),IF(Programme_Grunddaten!K516="Ja",1,0),"")</f>
        <v/>
      </c>
      <c r="E511" s="1" t="str">
        <f>IF(AND(Programme_Grunddaten!$A516="Geprüft",Programme_Grunddaten!L516&lt;&gt;""),IF(Programme_Grunddaten!L516="Abo / befristete Lizenz",1,0),"")</f>
        <v/>
      </c>
      <c r="F511" s="1" t="str">
        <f>IF(AND(Programme_Grunddaten!$A516="Geprüft",Programme_Grunddaten!M516&lt;&gt;""),IF(Programme_Grunddaten!M516="Ja",1,0),"")</f>
        <v/>
      </c>
      <c r="G511" s="1" t="str">
        <f>IF(AND(Programme_Grunddaten!$A516="Geprüft",Programme_Grunddaten!N516&lt;&gt;""),IF(Programme_Grunddaten!N516="Ja",1,0),"")</f>
        <v/>
      </c>
      <c r="H511" s="1" t="str">
        <f>IF(AND(Programme_Grunddaten!$A516="Geprüft",Programme_Grunddaten!O516&lt;&gt;""),IF(Programme_Grunddaten!O516="Deutschland",0,IF(Programme_Grunddaten!O516="EU",1,2)),"")</f>
        <v/>
      </c>
      <c r="I511" s="1" t="str">
        <f>IF(AND(Programme_Grunddaten!$A516="Geprüft",Programme_Grunddaten!P516&lt;&gt;""),IF(Programme_Grunddaten!P516="Ja",1,0),"")</f>
        <v/>
      </c>
      <c r="J511" s="1" t="str">
        <f>IF(AND(Programme_Grunddaten!$A516="Geprüft",Programme_Grunddaten!Q516&lt;&gt;""),IF(Programme_Grunddaten!Q516="geschlossenes System",1,0),"")</f>
        <v/>
      </c>
      <c r="K511" s="1" t="str">
        <f>IF(AND(Programme_Grunddaten!$A516="Geprüft",Programme_Grunddaten!R516&lt;&gt;""),IF(Programme_Grunddaten!R516="Ja",1,0),"")</f>
        <v/>
      </c>
      <c r="L511" s="1" t="str">
        <f>IF(AND(Programme_Grunddaten!$A516="Geprüft",Programme_Grunddaten!T516&lt;&gt;""),IF(Programme_Grunddaten!T516="Ja",1,0),"")</f>
        <v/>
      </c>
      <c r="M511" s="1" t="str">
        <f>IF(AND(Programme_Grunddaten!$A516="Geprüft",Programme_Grunddaten!U516&lt;&gt;""),IF(Programme_Grunddaten!U516="Ja",1,0),"")</f>
        <v/>
      </c>
      <c r="N511" s="1" t="str">
        <f>IF(AND(Programme_Grunddaten!$A516="Geprüft",Programme_Grunddaten!V516&lt;&gt;""),IF(Programme_Grunddaten!V516="Ja",1,0),"")</f>
        <v/>
      </c>
      <c r="O511" s="1" t="str">
        <f>IF(AND(Programme_Grunddaten!$A516="Geprüft",Programme_Grunddaten!W516&lt;&gt;""),IF(Programme_Grunddaten!W516="Ja",1,0),"")</f>
        <v/>
      </c>
      <c r="P511" s="1" t="str">
        <f>IF(AND(Programme_Grunddaten!$A516="Geprüft",Programme_Grunddaten!X516&lt;&gt;""),IF(Programme_Grunddaten!X516="Ja",1,0),"")</f>
        <v/>
      </c>
      <c r="Q511" s="1" t="str">
        <f>IF(AND(Programme_Grunddaten!$A516="Geprüft",Programme_Grunddaten!Y516&lt;&gt;""),IF(Programme_Grunddaten!Y516="Ja",1,0),"")</f>
        <v/>
      </c>
      <c r="R511" s="1" t="str">
        <f>IF(AND(Programme_Grunddaten!$A516="Geprüft",Programme_Grunddaten!Z516&lt;&gt;""),IF(Programme_Grunddaten!Z516="Ja",1,0),"")</f>
        <v/>
      </c>
      <c r="S511" s="1" t="str">
        <f>IF(AND(Programme_Grunddaten!$A516="Geprüft",Programme_Grunddaten!AA516&lt;&gt;""),IF(Programme_Grunddaten!AA516="monolithisch",1,0),"")</f>
        <v/>
      </c>
      <c r="T511" s="1" t="str">
        <f>IF(AND(Programme_Grunddaten!$A516="Geprüft",Programme_Grunddaten!AB516&lt;&gt;""),IF(Programme_Grunddaten!AB516="Ja",1,0),"")</f>
        <v/>
      </c>
      <c r="U511" s="1" t="str">
        <f>IF(AND(Programme_Grunddaten!$A516="Geprüft",Programme_Grunddaten!AC516&lt;&gt;""),IF(Programme_Grunddaten!AC516="Ja",1,0),"")</f>
        <v/>
      </c>
      <c r="V511" s="1" t="str">
        <f>IF(AND(Programme_Grunddaten!$A516="Geprüft",Programme_Grunddaten!AD516&lt;&gt;""),IF(Programme_Grunddaten!AD516="Ja",1,0),"")</f>
        <v/>
      </c>
      <c r="W511" s="1" t="str">
        <f>IF(AND(Programme_Grunddaten!$A516="Geprüft",Programme_Grunddaten!AE516&lt;&gt;""),IF(Programme_Grunddaten!AE516="Ja",1,0),"")</f>
        <v/>
      </c>
      <c r="X511" s="1" t="str">
        <f>IF(AND(Programme_Grunddaten!$A516="Geprüft",Programme_Grunddaten!AF516&lt;&gt;""),IF(Programme_Grunddaten!AF516="Ja",1,0),"")</f>
        <v/>
      </c>
      <c r="Y511" s="1" t="str">
        <f>IF(AND(Programme_Grunddaten!$A516="Geprüft",Programme_Grunddaten!AG516&lt;&gt;""),IF(Programme_Grunddaten!AG516="Ja",1,0),"")</f>
        <v/>
      </c>
      <c r="Z511" s="1" t="str">
        <f>IF(AND(Programme_Grunddaten!$A516="Geprüft",Programme_Grunddaten!AH516&lt;&gt;""),IF(Programme_Grunddaten!AH516="Ja",1,0),"")</f>
        <v/>
      </c>
      <c r="AA511" s="1" t="str">
        <f>IF(AND(Programme_Grunddaten!$A516="Geprüft",Programme_Grunddaten!AI516&lt;&gt;""),IF(Programme_Grunddaten!AI516="Ja",1,0),"")</f>
        <v/>
      </c>
      <c r="AB511" s="1" t="str">
        <f>IF(AND(Programme_Grunddaten!$A516="Geprüft",Programme_Grunddaten!AJ516&lt;&gt;""),IF(Programme_Grunddaten!AJ516="individuell programmierbar",1,0),"")</f>
        <v/>
      </c>
      <c r="AC511" s="1" t="str">
        <f>IF(AND(Programme_Grunddaten!$A516="Geprüft",Programme_Grunddaten!AK516&lt;&gt;""),IF(Programme_Grunddaten!AK516="Deutsch",0,IF(Programme_Grunddaten!AK516="Deutsch und Englisch",1,2)),"")</f>
        <v/>
      </c>
      <c r="AD511" s="1" t="str">
        <f>IF(AND(Programme_Grunddaten!$A516="Geprüft",Programme_Grunddaten!AL516&lt;&gt;""),IF(Programme_Grunddaten!AL516="Ja",1,0),"")</f>
        <v/>
      </c>
      <c r="AE511" s="1" t="str">
        <f>IF(AND(Programme_Grunddaten!$A516="Geprüft",Programme_Grunddaten!AM516&lt;&gt;""),IF(Programme_Grunddaten!AM516="Ja",1,0),"")</f>
        <v/>
      </c>
      <c r="AF511" s="1" t="str">
        <f>IF(AND(Programme_Grunddaten!$A516="Geprüft",Programme_Grunddaten!AN516&lt;&gt;""),IF(Programme_Grunddaten!AN516="Ja",1,0),"")</f>
        <v/>
      </c>
      <c r="AG511" s="1" t="str">
        <f>IF(AND(Programme_Grunddaten!$A516="Geprüft",Programme_Grunddaten!AO516&lt;&gt;""),IF(Programme_Grunddaten!AO516="Ja",1,0),"")</f>
        <v/>
      </c>
      <c r="AH511" s="1" t="str">
        <f>IF(AND(Programme_Grunddaten!$A516="Geprüft",Programme_Grunddaten!AP516&lt;&gt;""),IF(Programme_Grunddaten!AP516="Ja",1,0),"")</f>
        <v/>
      </c>
      <c r="AI511" s="1" t="str">
        <f>IF(AND(Programme_Grunddaten!$A516="Geprüft",Programme_Grunddaten!AQ516&lt;&gt;""),IF(Programme_Grunddaten!AQ516="Ja",1,0),"")</f>
        <v/>
      </c>
      <c r="AJ511" s="1" t="str">
        <f>IF(AND(Programme_Grunddaten!$A516="Geprüft",Programme_Grunddaten!AR516&lt;&gt;""),IF(Programme_Grunddaten!AR516="Ja",1,0),"")</f>
        <v/>
      </c>
      <c r="AK511" s="1" t="str">
        <f>IF(AND(Programme_Grunddaten!$A516="Geprüft",Programme_Grunddaten!AS516&lt;&gt;""),IF(Programme_Grunddaten!AS516="Ja",1,0),"")</f>
        <v/>
      </c>
      <c r="AL511" s="1" t="str">
        <f>IF(AND(Programme_Grunddaten!$A516="Geprüft",Programme_Grunddaten!AT516&lt;&gt;""),IF(Programme_Grunddaten!AT516="Ja",1,0),"")</f>
        <v/>
      </c>
      <c r="AM511" s="1" t="str">
        <f>IF(AND(Programme_Grunddaten!$A516="Geprüft",Programme_Grunddaten!AU516&lt;&gt;""),IF(Programme_Grunddaten!AU516="Ja",1,0),"")</f>
        <v/>
      </c>
      <c r="AN511" s="1" t="str">
        <f>IF(AND(Programme_Grunddaten!$A516="Geprüft",Programme_Grunddaten!AV516&lt;&gt;""),IF(Programme_Grunddaten!AV516="Ja",1,0),"")</f>
        <v/>
      </c>
    </row>
    <row r="512" spans="1:40" x14ac:dyDescent="0.3">
      <c r="A512" s="1" t="str">
        <f>IF(AND(Programme_Grunddaten!A517="Geprüft",Programme_Grunddaten!B517&lt;&gt;""),Programme_Grunddaten!B517,"")</f>
        <v/>
      </c>
      <c r="B512" s="1" t="str">
        <f>IF(AND(Programme_Grunddaten!$A517="Geprüft",Programme_Grunddaten!I517&lt;&gt;""),IF(Programme_Grunddaten!I517="Ja",1,0),"")</f>
        <v/>
      </c>
      <c r="C512" s="1" t="str">
        <f>IF(AND(Programme_Grunddaten!$A517="Geprüft",Programme_Grunddaten!J517&lt;&gt;""),IF(Programme_Grunddaten!J517="Ja",1,0),"")</f>
        <v/>
      </c>
      <c r="D512" s="1" t="str">
        <f>IF(AND(Programme_Grunddaten!$A517="Geprüft",Programme_Grunddaten!K517&lt;&gt;""),IF(Programme_Grunddaten!K517="Ja",1,0),"")</f>
        <v/>
      </c>
      <c r="E512" s="1" t="str">
        <f>IF(AND(Programme_Grunddaten!$A517="Geprüft",Programme_Grunddaten!L517&lt;&gt;""),IF(Programme_Grunddaten!L517="Abo / befristete Lizenz",1,0),"")</f>
        <v/>
      </c>
      <c r="F512" s="1" t="str">
        <f>IF(AND(Programme_Grunddaten!$A517="Geprüft",Programme_Grunddaten!M517&lt;&gt;""),IF(Programme_Grunddaten!M517="Ja",1,0),"")</f>
        <v/>
      </c>
      <c r="G512" s="1" t="str">
        <f>IF(AND(Programme_Grunddaten!$A517="Geprüft",Programme_Grunddaten!N517&lt;&gt;""),IF(Programme_Grunddaten!N517="Ja",1,0),"")</f>
        <v/>
      </c>
      <c r="H512" s="1" t="str">
        <f>IF(AND(Programme_Grunddaten!$A517="Geprüft",Programme_Grunddaten!O517&lt;&gt;""),IF(Programme_Grunddaten!O517="Deutschland",0,IF(Programme_Grunddaten!O517="EU",1,2)),"")</f>
        <v/>
      </c>
      <c r="I512" s="1" t="str">
        <f>IF(AND(Programme_Grunddaten!$A517="Geprüft",Programme_Grunddaten!P517&lt;&gt;""),IF(Programme_Grunddaten!P517="Ja",1,0),"")</f>
        <v/>
      </c>
      <c r="J512" s="1" t="str">
        <f>IF(AND(Programme_Grunddaten!$A517="Geprüft",Programme_Grunddaten!Q517&lt;&gt;""),IF(Programme_Grunddaten!Q517="geschlossenes System",1,0),"")</f>
        <v/>
      </c>
      <c r="K512" s="1" t="str">
        <f>IF(AND(Programme_Grunddaten!$A517="Geprüft",Programme_Grunddaten!R517&lt;&gt;""),IF(Programme_Grunddaten!R517="Ja",1,0),"")</f>
        <v/>
      </c>
      <c r="L512" s="1" t="str">
        <f>IF(AND(Programme_Grunddaten!$A517="Geprüft",Programme_Grunddaten!T517&lt;&gt;""),IF(Programme_Grunddaten!T517="Ja",1,0),"")</f>
        <v/>
      </c>
      <c r="M512" s="1" t="str">
        <f>IF(AND(Programme_Grunddaten!$A517="Geprüft",Programme_Grunddaten!U517&lt;&gt;""),IF(Programme_Grunddaten!U517="Ja",1,0),"")</f>
        <v/>
      </c>
      <c r="N512" s="1" t="str">
        <f>IF(AND(Programme_Grunddaten!$A517="Geprüft",Programme_Grunddaten!V517&lt;&gt;""),IF(Programme_Grunddaten!V517="Ja",1,0),"")</f>
        <v/>
      </c>
      <c r="O512" s="1" t="str">
        <f>IF(AND(Programme_Grunddaten!$A517="Geprüft",Programme_Grunddaten!W517&lt;&gt;""),IF(Programme_Grunddaten!W517="Ja",1,0),"")</f>
        <v/>
      </c>
      <c r="P512" s="1" t="str">
        <f>IF(AND(Programme_Grunddaten!$A517="Geprüft",Programme_Grunddaten!X517&lt;&gt;""),IF(Programme_Grunddaten!X517="Ja",1,0),"")</f>
        <v/>
      </c>
      <c r="Q512" s="1" t="str">
        <f>IF(AND(Programme_Grunddaten!$A517="Geprüft",Programme_Grunddaten!Y517&lt;&gt;""),IF(Programme_Grunddaten!Y517="Ja",1,0),"")</f>
        <v/>
      </c>
      <c r="R512" s="1" t="str">
        <f>IF(AND(Programme_Grunddaten!$A517="Geprüft",Programme_Grunddaten!Z517&lt;&gt;""),IF(Programme_Grunddaten!Z517="Ja",1,0),"")</f>
        <v/>
      </c>
      <c r="S512" s="1" t="str">
        <f>IF(AND(Programme_Grunddaten!$A517="Geprüft",Programme_Grunddaten!AA517&lt;&gt;""),IF(Programme_Grunddaten!AA517="monolithisch",1,0),"")</f>
        <v/>
      </c>
      <c r="T512" s="1" t="str">
        <f>IF(AND(Programme_Grunddaten!$A517="Geprüft",Programme_Grunddaten!AB517&lt;&gt;""),IF(Programme_Grunddaten!AB517="Ja",1,0),"")</f>
        <v/>
      </c>
      <c r="U512" s="1" t="str">
        <f>IF(AND(Programme_Grunddaten!$A517="Geprüft",Programme_Grunddaten!AC517&lt;&gt;""),IF(Programme_Grunddaten!AC517="Ja",1,0),"")</f>
        <v/>
      </c>
      <c r="V512" s="1" t="str">
        <f>IF(AND(Programme_Grunddaten!$A517="Geprüft",Programme_Grunddaten!AD517&lt;&gt;""),IF(Programme_Grunddaten!AD517="Ja",1,0),"")</f>
        <v/>
      </c>
      <c r="W512" s="1" t="str">
        <f>IF(AND(Programme_Grunddaten!$A517="Geprüft",Programme_Grunddaten!AE517&lt;&gt;""),IF(Programme_Grunddaten!AE517="Ja",1,0),"")</f>
        <v/>
      </c>
      <c r="X512" s="1" t="str">
        <f>IF(AND(Programme_Grunddaten!$A517="Geprüft",Programme_Grunddaten!AF517&lt;&gt;""),IF(Programme_Grunddaten!AF517="Ja",1,0),"")</f>
        <v/>
      </c>
      <c r="Y512" s="1" t="str">
        <f>IF(AND(Programme_Grunddaten!$A517="Geprüft",Programme_Grunddaten!AG517&lt;&gt;""),IF(Programme_Grunddaten!AG517="Ja",1,0),"")</f>
        <v/>
      </c>
      <c r="Z512" s="1" t="str">
        <f>IF(AND(Programme_Grunddaten!$A517="Geprüft",Programme_Grunddaten!AH517&lt;&gt;""),IF(Programme_Grunddaten!AH517="Ja",1,0),"")</f>
        <v/>
      </c>
      <c r="AA512" s="1" t="str">
        <f>IF(AND(Programme_Grunddaten!$A517="Geprüft",Programme_Grunddaten!AI517&lt;&gt;""),IF(Programme_Grunddaten!AI517="Ja",1,0),"")</f>
        <v/>
      </c>
      <c r="AB512" s="1" t="str">
        <f>IF(AND(Programme_Grunddaten!$A517="Geprüft",Programme_Grunddaten!AJ517&lt;&gt;""),IF(Programme_Grunddaten!AJ517="individuell programmierbar",1,0),"")</f>
        <v/>
      </c>
      <c r="AC512" s="1" t="str">
        <f>IF(AND(Programme_Grunddaten!$A517="Geprüft",Programme_Grunddaten!AK517&lt;&gt;""),IF(Programme_Grunddaten!AK517="Deutsch",0,IF(Programme_Grunddaten!AK517="Deutsch und Englisch",1,2)),"")</f>
        <v/>
      </c>
      <c r="AD512" s="1" t="str">
        <f>IF(AND(Programme_Grunddaten!$A517="Geprüft",Programme_Grunddaten!AL517&lt;&gt;""),IF(Programme_Grunddaten!AL517="Ja",1,0),"")</f>
        <v/>
      </c>
      <c r="AE512" s="1" t="str">
        <f>IF(AND(Programme_Grunddaten!$A517="Geprüft",Programme_Grunddaten!AM517&lt;&gt;""),IF(Programme_Grunddaten!AM517="Ja",1,0),"")</f>
        <v/>
      </c>
      <c r="AF512" s="1" t="str">
        <f>IF(AND(Programme_Grunddaten!$A517="Geprüft",Programme_Grunddaten!AN517&lt;&gt;""),IF(Programme_Grunddaten!AN517="Ja",1,0),"")</f>
        <v/>
      </c>
      <c r="AG512" s="1" t="str">
        <f>IF(AND(Programme_Grunddaten!$A517="Geprüft",Programme_Grunddaten!AO517&lt;&gt;""),IF(Programme_Grunddaten!AO517="Ja",1,0),"")</f>
        <v/>
      </c>
      <c r="AH512" s="1" t="str">
        <f>IF(AND(Programme_Grunddaten!$A517="Geprüft",Programme_Grunddaten!AP517&lt;&gt;""),IF(Programme_Grunddaten!AP517="Ja",1,0),"")</f>
        <v/>
      </c>
      <c r="AI512" s="1" t="str">
        <f>IF(AND(Programme_Grunddaten!$A517="Geprüft",Programme_Grunddaten!AQ517&lt;&gt;""),IF(Programme_Grunddaten!AQ517="Ja",1,0),"")</f>
        <v/>
      </c>
      <c r="AJ512" s="1" t="str">
        <f>IF(AND(Programme_Grunddaten!$A517="Geprüft",Programme_Grunddaten!AR517&lt;&gt;""),IF(Programme_Grunddaten!AR517="Ja",1,0),"")</f>
        <v/>
      </c>
      <c r="AK512" s="1" t="str">
        <f>IF(AND(Programme_Grunddaten!$A517="Geprüft",Programme_Grunddaten!AS517&lt;&gt;""),IF(Programme_Grunddaten!AS517="Ja",1,0),"")</f>
        <v/>
      </c>
      <c r="AL512" s="1" t="str">
        <f>IF(AND(Programme_Grunddaten!$A517="Geprüft",Programme_Grunddaten!AT517&lt;&gt;""),IF(Programme_Grunddaten!AT517="Ja",1,0),"")</f>
        <v/>
      </c>
      <c r="AM512" s="1" t="str">
        <f>IF(AND(Programme_Grunddaten!$A517="Geprüft",Programme_Grunddaten!AU517&lt;&gt;""),IF(Programme_Grunddaten!AU517="Ja",1,0),"")</f>
        <v/>
      </c>
      <c r="AN512" s="1" t="str">
        <f>IF(AND(Programme_Grunddaten!$A517="Geprüft",Programme_Grunddaten!AV517&lt;&gt;""),IF(Programme_Grunddaten!AV517="Ja",1,0),"")</f>
        <v/>
      </c>
    </row>
    <row r="513" spans="1:40" x14ac:dyDescent="0.3">
      <c r="A513" s="1" t="str">
        <f>IF(AND(Programme_Grunddaten!A518="Geprüft",Programme_Grunddaten!B518&lt;&gt;""),Programme_Grunddaten!B518,"")</f>
        <v/>
      </c>
      <c r="B513" s="1" t="str">
        <f>IF(AND(Programme_Grunddaten!$A518="Geprüft",Programme_Grunddaten!I518&lt;&gt;""),IF(Programme_Grunddaten!I518="Ja",1,0),"")</f>
        <v/>
      </c>
      <c r="C513" s="1" t="str">
        <f>IF(AND(Programme_Grunddaten!$A518="Geprüft",Programme_Grunddaten!J518&lt;&gt;""),IF(Programme_Grunddaten!J518="Ja",1,0),"")</f>
        <v/>
      </c>
      <c r="D513" s="1" t="str">
        <f>IF(AND(Programme_Grunddaten!$A518="Geprüft",Programme_Grunddaten!K518&lt;&gt;""),IF(Programme_Grunddaten!K518="Ja",1,0),"")</f>
        <v/>
      </c>
      <c r="E513" s="1" t="str">
        <f>IF(AND(Programme_Grunddaten!$A518="Geprüft",Programme_Grunddaten!L518&lt;&gt;""),IF(Programme_Grunddaten!L518="Abo / befristete Lizenz",1,0),"")</f>
        <v/>
      </c>
      <c r="F513" s="1" t="str">
        <f>IF(AND(Programme_Grunddaten!$A518="Geprüft",Programme_Grunddaten!M518&lt;&gt;""),IF(Programme_Grunddaten!M518="Ja",1,0),"")</f>
        <v/>
      </c>
      <c r="G513" s="1" t="str">
        <f>IF(AND(Programme_Grunddaten!$A518="Geprüft",Programme_Grunddaten!N518&lt;&gt;""),IF(Programme_Grunddaten!N518="Ja",1,0),"")</f>
        <v/>
      </c>
      <c r="H513" s="1" t="str">
        <f>IF(AND(Programme_Grunddaten!$A518="Geprüft",Programme_Grunddaten!O518&lt;&gt;""),IF(Programme_Grunddaten!O518="Deutschland",0,IF(Programme_Grunddaten!O518="EU",1,2)),"")</f>
        <v/>
      </c>
      <c r="I513" s="1" t="str">
        <f>IF(AND(Programme_Grunddaten!$A518="Geprüft",Programme_Grunddaten!P518&lt;&gt;""),IF(Programme_Grunddaten!P518="Ja",1,0),"")</f>
        <v/>
      </c>
      <c r="J513" s="1" t="str">
        <f>IF(AND(Programme_Grunddaten!$A518="Geprüft",Programme_Grunddaten!Q518&lt;&gt;""),IF(Programme_Grunddaten!Q518="geschlossenes System",1,0),"")</f>
        <v/>
      </c>
      <c r="K513" s="1" t="str">
        <f>IF(AND(Programme_Grunddaten!$A518="Geprüft",Programme_Grunddaten!R518&lt;&gt;""),IF(Programme_Grunddaten!R518="Ja",1,0),"")</f>
        <v/>
      </c>
      <c r="L513" s="1" t="str">
        <f>IF(AND(Programme_Grunddaten!$A518="Geprüft",Programme_Grunddaten!T518&lt;&gt;""),IF(Programme_Grunddaten!T518="Ja",1,0),"")</f>
        <v/>
      </c>
      <c r="M513" s="1" t="str">
        <f>IF(AND(Programme_Grunddaten!$A518="Geprüft",Programme_Grunddaten!U518&lt;&gt;""),IF(Programme_Grunddaten!U518="Ja",1,0),"")</f>
        <v/>
      </c>
      <c r="N513" s="1" t="str">
        <f>IF(AND(Programme_Grunddaten!$A518="Geprüft",Programme_Grunddaten!V518&lt;&gt;""),IF(Programme_Grunddaten!V518="Ja",1,0),"")</f>
        <v/>
      </c>
      <c r="O513" s="1" t="str">
        <f>IF(AND(Programme_Grunddaten!$A518="Geprüft",Programme_Grunddaten!W518&lt;&gt;""),IF(Programme_Grunddaten!W518="Ja",1,0),"")</f>
        <v/>
      </c>
      <c r="P513" s="1" t="str">
        <f>IF(AND(Programme_Grunddaten!$A518="Geprüft",Programme_Grunddaten!X518&lt;&gt;""),IF(Programme_Grunddaten!X518="Ja",1,0),"")</f>
        <v/>
      </c>
      <c r="Q513" s="1" t="str">
        <f>IF(AND(Programme_Grunddaten!$A518="Geprüft",Programme_Grunddaten!Y518&lt;&gt;""),IF(Programme_Grunddaten!Y518="Ja",1,0),"")</f>
        <v/>
      </c>
      <c r="R513" s="1" t="str">
        <f>IF(AND(Programme_Grunddaten!$A518="Geprüft",Programme_Grunddaten!Z518&lt;&gt;""),IF(Programme_Grunddaten!Z518="Ja",1,0),"")</f>
        <v/>
      </c>
      <c r="S513" s="1" t="str">
        <f>IF(AND(Programme_Grunddaten!$A518="Geprüft",Programme_Grunddaten!AA518&lt;&gt;""),IF(Programme_Grunddaten!AA518="monolithisch",1,0),"")</f>
        <v/>
      </c>
      <c r="T513" s="1" t="str">
        <f>IF(AND(Programme_Grunddaten!$A518="Geprüft",Programme_Grunddaten!AB518&lt;&gt;""),IF(Programme_Grunddaten!AB518="Ja",1,0),"")</f>
        <v/>
      </c>
      <c r="U513" s="1" t="str">
        <f>IF(AND(Programme_Grunddaten!$A518="Geprüft",Programme_Grunddaten!AC518&lt;&gt;""),IF(Programme_Grunddaten!AC518="Ja",1,0),"")</f>
        <v/>
      </c>
      <c r="V513" s="1" t="str">
        <f>IF(AND(Programme_Grunddaten!$A518="Geprüft",Programme_Grunddaten!AD518&lt;&gt;""),IF(Programme_Grunddaten!AD518="Ja",1,0),"")</f>
        <v/>
      </c>
      <c r="W513" s="1" t="str">
        <f>IF(AND(Programme_Grunddaten!$A518="Geprüft",Programme_Grunddaten!AE518&lt;&gt;""),IF(Programme_Grunddaten!AE518="Ja",1,0),"")</f>
        <v/>
      </c>
      <c r="X513" s="1" t="str">
        <f>IF(AND(Programme_Grunddaten!$A518="Geprüft",Programme_Grunddaten!AF518&lt;&gt;""),IF(Programme_Grunddaten!AF518="Ja",1,0),"")</f>
        <v/>
      </c>
      <c r="Y513" s="1" t="str">
        <f>IF(AND(Programme_Grunddaten!$A518="Geprüft",Programme_Grunddaten!AG518&lt;&gt;""),IF(Programme_Grunddaten!AG518="Ja",1,0),"")</f>
        <v/>
      </c>
      <c r="Z513" s="1" t="str">
        <f>IF(AND(Programme_Grunddaten!$A518="Geprüft",Programme_Grunddaten!AH518&lt;&gt;""),IF(Programme_Grunddaten!AH518="Ja",1,0),"")</f>
        <v/>
      </c>
      <c r="AA513" s="1" t="str">
        <f>IF(AND(Programme_Grunddaten!$A518="Geprüft",Programme_Grunddaten!AI518&lt;&gt;""),IF(Programme_Grunddaten!AI518="Ja",1,0),"")</f>
        <v/>
      </c>
      <c r="AB513" s="1" t="str">
        <f>IF(AND(Programme_Grunddaten!$A518="Geprüft",Programme_Grunddaten!AJ518&lt;&gt;""),IF(Programme_Grunddaten!AJ518="individuell programmierbar",1,0),"")</f>
        <v/>
      </c>
      <c r="AC513" s="1" t="str">
        <f>IF(AND(Programme_Grunddaten!$A518="Geprüft",Programme_Grunddaten!AK518&lt;&gt;""),IF(Programme_Grunddaten!AK518="Deutsch",0,IF(Programme_Grunddaten!AK518="Deutsch und Englisch",1,2)),"")</f>
        <v/>
      </c>
      <c r="AD513" s="1" t="str">
        <f>IF(AND(Programme_Grunddaten!$A518="Geprüft",Programme_Grunddaten!AL518&lt;&gt;""),IF(Programme_Grunddaten!AL518="Ja",1,0),"")</f>
        <v/>
      </c>
      <c r="AE513" s="1" t="str">
        <f>IF(AND(Programme_Grunddaten!$A518="Geprüft",Programme_Grunddaten!AM518&lt;&gt;""),IF(Programme_Grunddaten!AM518="Ja",1,0),"")</f>
        <v/>
      </c>
      <c r="AF513" s="1" t="str">
        <f>IF(AND(Programme_Grunddaten!$A518="Geprüft",Programme_Grunddaten!AN518&lt;&gt;""),IF(Programme_Grunddaten!AN518="Ja",1,0),"")</f>
        <v/>
      </c>
      <c r="AG513" s="1" t="str">
        <f>IF(AND(Programme_Grunddaten!$A518="Geprüft",Programme_Grunddaten!AO518&lt;&gt;""),IF(Programme_Grunddaten!AO518="Ja",1,0),"")</f>
        <v/>
      </c>
      <c r="AH513" s="1" t="str">
        <f>IF(AND(Programme_Grunddaten!$A518="Geprüft",Programme_Grunddaten!AP518&lt;&gt;""),IF(Programme_Grunddaten!AP518="Ja",1,0),"")</f>
        <v/>
      </c>
      <c r="AI513" s="1" t="str">
        <f>IF(AND(Programme_Grunddaten!$A518="Geprüft",Programme_Grunddaten!AQ518&lt;&gt;""),IF(Programme_Grunddaten!AQ518="Ja",1,0),"")</f>
        <v/>
      </c>
      <c r="AJ513" s="1" t="str">
        <f>IF(AND(Programme_Grunddaten!$A518="Geprüft",Programme_Grunddaten!AR518&lt;&gt;""),IF(Programme_Grunddaten!AR518="Ja",1,0),"")</f>
        <v/>
      </c>
      <c r="AK513" s="1" t="str">
        <f>IF(AND(Programme_Grunddaten!$A518="Geprüft",Programme_Grunddaten!AS518&lt;&gt;""),IF(Programme_Grunddaten!AS518="Ja",1,0),"")</f>
        <v/>
      </c>
      <c r="AL513" s="1" t="str">
        <f>IF(AND(Programme_Grunddaten!$A518="Geprüft",Programme_Grunddaten!AT518&lt;&gt;""),IF(Programme_Grunddaten!AT518="Ja",1,0),"")</f>
        <v/>
      </c>
      <c r="AM513" s="1" t="str">
        <f>IF(AND(Programme_Grunddaten!$A518="Geprüft",Programme_Grunddaten!AU518&lt;&gt;""),IF(Programme_Grunddaten!AU518="Ja",1,0),"")</f>
        <v/>
      </c>
      <c r="AN513" s="1" t="str">
        <f>IF(AND(Programme_Grunddaten!$A518="Geprüft",Programme_Grunddaten!AV518&lt;&gt;""),IF(Programme_Grunddaten!AV518="Ja",1,0),"")</f>
        <v/>
      </c>
    </row>
    <row r="514" spans="1:40" x14ac:dyDescent="0.3">
      <c r="A514" s="1" t="str">
        <f>IF(AND(Programme_Grunddaten!A519="Geprüft",Programme_Grunddaten!B519&lt;&gt;""),Programme_Grunddaten!B519,"")</f>
        <v/>
      </c>
      <c r="B514" s="1" t="str">
        <f>IF(AND(Programme_Grunddaten!$A519="Geprüft",Programme_Grunddaten!I519&lt;&gt;""),IF(Programme_Grunddaten!I519="Ja",1,0),"")</f>
        <v/>
      </c>
      <c r="C514" s="1" t="str">
        <f>IF(AND(Programme_Grunddaten!$A519="Geprüft",Programme_Grunddaten!J519&lt;&gt;""),IF(Programme_Grunddaten!J519="Ja",1,0),"")</f>
        <v/>
      </c>
      <c r="D514" s="1" t="str">
        <f>IF(AND(Programme_Grunddaten!$A519="Geprüft",Programme_Grunddaten!K519&lt;&gt;""),IF(Programme_Grunddaten!K519="Ja",1,0),"")</f>
        <v/>
      </c>
      <c r="E514" s="1" t="str">
        <f>IF(AND(Programme_Grunddaten!$A519="Geprüft",Programme_Grunddaten!L519&lt;&gt;""),IF(Programme_Grunddaten!L519="Abo / befristete Lizenz",1,0),"")</f>
        <v/>
      </c>
      <c r="F514" s="1" t="str">
        <f>IF(AND(Programme_Grunddaten!$A519="Geprüft",Programme_Grunddaten!M519&lt;&gt;""),IF(Programme_Grunddaten!M519="Ja",1,0),"")</f>
        <v/>
      </c>
      <c r="G514" s="1" t="str">
        <f>IF(AND(Programme_Grunddaten!$A519="Geprüft",Programme_Grunddaten!N519&lt;&gt;""),IF(Programme_Grunddaten!N519="Ja",1,0),"")</f>
        <v/>
      </c>
      <c r="H514" s="1" t="str">
        <f>IF(AND(Programme_Grunddaten!$A519="Geprüft",Programme_Grunddaten!O519&lt;&gt;""),IF(Programme_Grunddaten!O519="Deutschland",0,IF(Programme_Grunddaten!O519="EU",1,2)),"")</f>
        <v/>
      </c>
      <c r="I514" s="1" t="str">
        <f>IF(AND(Programme_Grunddaten!$A519="Geprüft",Programme_Grunddaten!P519&lt;&gt;""),IF(Programme_Grunddaten!P519="Ja",1,0),"")</f>
        <v/>
      </c>
      <c r="J514" s="1" t="str">
        <f>IF(AND(Programme_Grunddaten!$A519="Geprüft",Programme_Grunddaten!Q519&lt;&gt;""),IF(Programme_Grunddaten!Q519="geschlossenes System",1,0),"")</f>
        <v/>
      </c>
      <c r="K514" s="1" t="str">
        <f>IF(AND(Programme_Grunddaten!$A519="Geprüft",Programme_Grunddaten!R519&lt;&gt;""),IF(Programme_Grunddaten!R519="Ja",1,0),"")</f>
        <v/>
      </c>
      <c r="L514" s="1" t="str">
        <f>IF(AND(Programme_Grunddaten!$A519="Geprüft",Programme_Grunddaten!T519&lt;&gt;""),IF(Programme_Grunddaten!T519="Ja",1,0),"")</f>
        <v/>
      </c>
      <c r="M514" s="1" t="str">
        <f>IF(AND(Programme_Grunddaten!$A519="Geprüft",Programme_Grunddaten!U519&lt;&gt;""),IF(Programme_Grunddaten!U519="Ja",1,0),"")</f>
        <v/>
      </c>
      <c r="N514" s="1" t="str">
        <f>IF(AND(Programme_Grunddaten!$A519="Geprüft",Programme_Grunddaten!V519&lt;&gt;""),IF(Programme_Grunddaten!V519="Ja",1,0),"")</f>
        <v/>
      </c>
      <c r="O514" s="1" t="str">
        <f>IF(AND(Programme_Grunddaten!$A519="Geprüft",Programme_Grunddaten!W519&lt;&gt;""),IF(Programme_Grunddaten!W519="Ja",1,0),"")</f>
        <v/>
      </c>
      <c r="P514" s="1" t="str">
        <f>IF(AND(Programme_Grunddaten!$A519="Geprüft",Programme_Grunddaten!X519&lt;&gt;""),IF(Programme_Grunddaten!X519="Ja",1,0),"")</f>
        <v/>
      </c>
      <c r="Q514" s="1" t="str">
        <f>IF(AND(Programme_Grunddaten!$A519="Geprüft",Programme_Grunddaten!Y519&lt;&gt;""),IF(Programme_Grunddaten!Y519="Ja",1,0),"")</f>
        <v/>
      </c>
      <c r="R514" s="1" t="str">
        <f>IF(AND(Programme_Grunddaten!$A519="Geprüft",Programme_Grunddaten!Z519&lt;&gt;""),IF(Programme_Grunddaten!Z519="Ja",1,0),"")</f>
        <v/>
      </c>
      <c r="S514" s="1" t="str">
        <f>IF(AND(Programme_Grunddaten!$A519="Geprüft",Programme_Grunddaten!AA519&lt;&gt;""),IF(Programme_Grunddaten!AA519="monolithisch",1,0),"")</f>
        <v/>
      </c>
      <c r="T514" s="1" t="str">
        <f>IF(AND(Programme_Grunddaten!$A519="Geprüft",Programme_Grunddaten!AB519&lt;&gt;""),IF(Programme_Grunddaten!AB519="Ja",1,0),"")</f>
        <v/>
      </c>
      <c r="U514" s="1" t="str">
        <f>IF(AND(Programme_Grunddaten!$A519="Geprüft",Programme_Grunddaten!AC519&lt;&gt;""),IF(Programme_Grunddaten!AC519="Ja",1,0),"")</f>
        <v/>
      </c>
      <c r="V514" s="1" t="str">
        <f>IF(AND(Programme_Grunddaten!$A519="Geprüft",Programme_Grunddaten!AD519&lt;&gt;""),IF(Programme_Grunddaten!AD519="Ja",1,0),"")</f>
        <v/>
      </c>
      <c r="W514" s="1" t="str">
        <f>IF(AND(Programme_Grunddaten!$A519="Geprüft",Programme_Grunddaten!AE519&lt;&gt;""),IF(Programme_Grunddaten!AE519="Ja",1,0),"")</f>
        <v/>
      </c>
      <c r="X514" s="1" t="str">
        <f>IF(AND(Programme_Grunddaten!$A519="Geprüft",Programme_Grunddaten!AF519&lt;&gt;""),IF(Programme_Grunddaten!AF519="Ja",1,0),"")</f>
        <v/>
      </c>
      <c r="Y514" s="1" t="str">
        <f>IF(AND(Programme_Grunddaten!$A519="Geprüft",Programme_Grunddaten!AG519&lt;&gt;""),IF(Programme_Grunddaten!AG519="Ja",1,0),"")</f>
        <v/>
      </c>
      <c r="Z514" s="1" t="str">
        <f>IF(AND(Programme_Grunddaten!$A519="Geprüft",Programme_Grunddaten!AH519&lt;&gt;""),IF(Programme_Grunddaten!AH519="Ja",1,0),"")</f>
        <v/>
      </c>
      <c r="AA514" s="1" t="str">
        <f>IF(AND(Programme_Grunddaten!$A519="Geprüft",Programme_Grunddaten!AI519&lt;&gt;""),IF(Programme_Grunddaten!AI519="Ja",1,0),"")</f>
        <v/>
      </c>
      <c r="AB514" s="1" t="str">
        <f>IF(AND(Programme_Grunddaten!$A519="Geprüft",Programme_Grunddaten!AJ519&lt;&gt;""),IF(Programme_Grunddaten!AJ519="individuell programmierbar",1,0),"")</f>
        <v/>
      </c>
      <c r="AC514" s="1" t="str">
        <f>IF(AND(Programme_Grunddaten!$A519="Geprüft",Programme_Grunddaten!AK519&lt;&gt;""),IF(Programme_Grunddaten!AK519="Deutsch",0,IF(Programme_Grunddaten!AK519="Deutsch und Englisch",1,2)),"")</f>
        <v/>
      </c>
      <c r="AD514" s="1" t="str">
        <f>IF(AND(Programme_Grunddaten!$A519="Geprüft",Programme_Grunddaten!AL519&lt;&gt;""),IF(Programme_Grunddaten!AL519="Ja",1,0),"")</f>
        <v/>
      </c>
      <c r="AE514" s="1" t="str">
        <f>IF(AND(Programme_Grunddaten!$A519="Geprüft",Programme_Grunddaten!AM519&lt;&gt;""),IF(Programme_Grunddaten!AM519="Ja",1,0),"")</f>
        <v/>
      </c>
      <c r="AF514" s="1" t="str">
        <f>IF(AND(Programme_Grunddaten!$A519="Geprüft",Programme_Grunddaten!AN519&lt;&gt;""),IF(Programme_Grunddaten!AN519="Ja",1,0),"")</f>
        <v/>
      </c>
      <c r="AG514" s="1" t="str">
        <f>IF(AND(Programme_Grunddaten!$A519="Geprüft",Programme_Grunddaten!AO519&lt;&gt;""),IF(Programme_Grunddaten!AO519="Ja",1,0),"")</f>
        <v/>
      </c>
      <c r="AH514" s="1" t="str">
        <f>IF(AND(Programme_Grunddaten!$A519="Geprüft",Programme_Grunddaten!AP519&lt;&gt;""),IF(Programme_Grunddaten!AP519="Ja",1,0),"")</f>
        <v/>
      </c>
      <c r="AI514" s="1" t="str">
        <f>IF(AND(Programme_Grunddaten!$A519="Geprüft",Programme_Grunddaten!AQ519&lt;&gt;""),IF(Programme_Grunddaten!AQ519="Ja",1,0),"")</f>
        <v/>
      </c>
      <c r="AJ514" s="1" t="str">
        <f>IF(AND(Programme_Grunddaten!$A519="Geprüft",Programme_Grunddaten!AR519&lt;&gt;""),IF(Programme_Grunddaten!AR519="Ja",1,0),"")</f>
        <v/>
      </c>
      <c r="AK514" s="1" t="str">
        <f>IF(AND(Programme_Grunddaten!$A519="Geprüft",Programme_Grunddaten!AS519&lt;&gt;""),IF(Programme_Grunddaten!AS519="Ja",1,0),"")</f>
        <v/>
      </c>
      <c r="AL514" s="1" t="str">
        <f>IF(AND(Programme_Grunddaten!$A519="Geprüft",Programme_Grunddaten!AT519&lt;&gt;""),IF(Programme_Grunddaten!AT519="Ja",1,0),"")</f>
        <v/>
      </c>
      <c r="AM514" s="1" t="str">
        <f>IF(AND(Programme_Grunddaten!$A519="Geprüft",Programme_Grunddaten!AU519&lt;&gt;""),IF(Programme_Grunddaten!AU519="Ja",1,0),"")</f>
        <v/>
      </c>
      <c r="AN514" s="1" t="str">
        <f>IF(AND(Programme_Grunddaten!$A519="Geprüft",Programme_Grunddaten!AV519&lt;&gt;""),IF(Programme_Grunddaten!AV519="Ja",1,0),"")</f>
        <v/>
      </c>
    </row>
    <row r="515" spans="1:40" x14ac:dyDescent="0.3">
      <c r="A515" s="1" t="str">
        <f>IF(AND(Programme_Grunddaten!A520="Geprüft",Programme_Grunddaten!B520&lt;&gt;""),Programme_Grunddaten!B520,"")</f>
        <v/>
      </c>
      <c r="B515" s="1" t="str">
        <f>IF(AND(Programme_Grunddaten!$A520="Geprüft",Programme_Grunddaten!I520&lt;&gt;""),IF(Programme_Grunddaten!I520="Ja",1,0),"")</f>
        <v/>
      </c>
      <c r="C515" s="1" t="str">
        <f>IF(AND(Programme_Grunddaten!$A520="Geprüft",Programme_Grunddaten!J520&lt;&gt;""),IF(Programme_Grunddaten!J520="Ja",1,0),"")</f>
        <v/>
      </c>
      <c r="D515" s="1" t="str">
        <f>IF(AND(Programme_Grunddaten!$A520="Geprüft",Programme_Grunddaten!K520&lt;&gt;""),IF(Programme_Grunddaten!K520="Ja",1,0),"")</f>
        <v/>
      </c>
      <c r="E515" s="1" t="str">
        <f>IF(AND(Programme_Grunddaten!$A520="Geprüft",Programme_Grunddaten!L520&lt;&gt;""),IF(Programme_Grunddaten!L520="Abo / befristete Lizenz",1,0),"")</f>
        <v/>
      </c>
      <c r="F515" s="1" t="str">
        <f>IF(AND(Programme_Grunddaten!$A520="Geprüft",Programme_Grunddaten!M520&lt;&gt;""),IF(Programme_Grunddaten!M520="Ja",1,0),"")</f>
        <v/>
      </c>
      <c r="G515" s="1" t="str">
        <f>IF(AND(Programme_Grunddaten!$A520="Geprüft",Programme_Grunddaten!N520&lt;&gt;""),IF(Programme_Grunddaten!N520="Ja",1,0),"")</f>
        <v/>
      </c>
      <c r="H515" s="1" t="str">
        <f>IF(AND(Programme_Grunddaten!$A520="Geprüft",Programme_Grunddaten!O520&lt;&gt;""),IF(Programme_Grunddaten!O520="Deutschland",0,IF(Programme_Grunddaten!O520="EU",1,2)),"")</f>
        <v/>
      </c>
      <c r="I515" s="1" t="str">
        <f>IF(AND(Programme_Grunddaten!$A520="Geprüft",Programme_Grunddaten!P520&lt;&gt;""),IF(Programme_Grunddaten!P520="Ja",1,0),"")</f>
        <v/>
      </c>
      <c r="J515" s="1" t="str">
        <f>IF(AND(Programme_Grunddaten!$A520="Geprüft",Programme_Grunddaten!Q520&lt;&gt;""),IF(Programme_Grunddaten!Q520="geschlossenes System",1,0),"")</f>
        <v/>
      </c>
      <c r="K515" s="1" t="str">
        <f>IF(AND(Programme_Grunddaten!$A520="Geprüft",Programme_Grunddaten!R520&lt;&gt;""),IF(Programme_Grunddaten!R520="Ja",1,0),"")</f>
        <v/>
      </c>
      <c r="L515" s="1" t="str">
        <f>IF(AND(Programme_Grunddaten!$A520="Geprüft",Programme_Grunddaten!T520&lt;&gt;""),IF(Programme_Grunddaten!T520="Ja",1,0),"")</f>
        <v/>
      </c>
      <c r="M515" s="1" t="str">
        <f>IF(AND(Programme_Grunddaten!$A520="Geprüft",Programme_Grunddaten!U520&lt;&gt;""),IF(Programme_Grunddaten!U520="Ja",1,0),"")</f>
        <v/>
      </c>
      <c r="N515" s="1" t="str">
        <f>IF(AND(Programme_Grunddaten!$A520="Geprüft",Programme_Grunddaten!V520&lt;&gt;""),IF(Programme_Grunddaten!V520="Ja",1,0),"")</f>
        <v/>
      </c>
      <c r="O515" s="1" t="str">
        <f>IF(AND(Programme_Grunddaten!$A520="Geprüft",Programme_Grunddaten!W520&lt;&gt;""),IF(Programme_Grunddaten!W520="Ja",1,0),"")</f>
        <v/>
      </c>
      <c r="P515" s="1" t="str">
        <f>IF(AND(Programme_Grunddaten!$A520="Geprüft",Programme_Grunddaten!X520&lt;&gt;""),IF(Programme_Grunddaten!X520="Ja",1,0),"")</f>
        <v/>
      </c>
      <c r="Q515" s="1" t="str">
        <f>IF(AND(Programme_Grunddaten!$A520="Geprüft",Programme_Grunddaten!Y520&lt;&gt;""),IF(Programme_Grunddaten!Y520="Ja",1,0),"")</f>
        <v/>
      </c>
      <c r="R515" s="1" t="str">
        <f>IF(AND(Programme_Grunddaten!$A520="Geprüft",Programme_Grunddaten!Z520&lt;&gt;""),IF(Programme_Grunddaten!Z520="Ja",1,0),"")</f>
        <v/>
      </c>
      <c r="S515" s="1" t="str">
        <f>IF(AND(Programme_Grunddaten!$A520="Geprüft",Programme_Grunddaten!AA520&lt;&gt;""),IF(Programme_Grunddaten!AA520="monolithisch",1,0),"")</f>
        <v/>
      </c>
      <c r="T515" s="1" t="str">
        <f>IF(AND(Programme_Grunddaten!$A520="Geprüft",Programme_Grunddaten!AB520&lt;&gt;""),IF(Programme_Grunddaten!AB520="Ja",1,0),"")</f>
        <v/>
      </c>
      <c r="U515" s="1" t="str">
        <f>IF(AND(Programme_Grunddaten!$A520="Geprüft",Programme_Grunddaten!AC520&lt;&gt;""),IF(Programme_Grunddaten!AC520="Ja",1,0),"")</f>
        <v/>
      </c>
      <c r="V515" s="1" t="str">
        <f>IF(AND(Programme_Grunddaten!$A520="Geprüft",Programme_Grunddaten!AD520&lt;&gt;""),IF(Programme_Grunddaten!AD520="Ja",1,0),"")</f>
        <v/>
      </c>
      <c r="W515" s="1" t="str">
        <f>IF(AND(Programme_Grunddaten!$A520="Geprüft",Programme_Grunddaten!AE520&lt;&gt;""),IF(Programme_Grunddaten!AE520="Ja",1,0),"")</f>
        <v/>
      </c>
      <c r="X515" s="1" t="str">
        <f>IF(AND(Programme_Grunddaten!$A520="Geprüft",Programme_Grunddaten!AF520&lt;&gt;""),IF(Programme_Grunddaten!AF520="Ja",1,0),"")</f>
        <v/>
      </c>
      <c r="Y515" s="1" t="str">
        <f>IF(AND(Programme_Grunddaten!$A520="Geprüft",Programme_Grunddaten!AG520&lt;&gt;""),IF(Programme_Grunddaten!AG520="Ja",1,0),"")</f>
        <v/>
      </c>
      <c r="Z515" s="1" t="str">
        <f>IF(AND(Programme_Grunddaten!$A520="Geprüft",Programme_Grunddaten!AH520&lt;&gt;""),IF(Programme_Grunddaten!AH520="Ja",1,0),"")</f>
        <v/>
      </c>
      <c r="AA515" s="1" t="str">
        <f>IF(AND(Programme_Grunddaten!$A520="Geprüft",Programme_Grunddaten!AI520&lt;&gt;""),IF(Programme_Grunddaten!AI520="Ja",1,0),"")</f>
        <v/>
      </c>
      <c r="AB515" s="1" t="str">
        <f>IF(AND(Programme_Grunddaten!$A520="Geprüft",Programme_Grunddaten!AJ520&lt;&gt;""),IF(Programme_Grunddaten!AJ520="individuell programmierbar",1,0),"")</f>
        <v/>
      </c>
      <c r="AC515" s="1" t="str">
        <f>IF(AND(Programme_Grunddaten!$A520="Geprüft",Programme_Grunddaten!AK520&lt;&gt;""),IF(Programme_Grunddaten!AK520="Deutsch",0,IF(Programme_Grunddaten!AK520="Deutsch und Englisch",1,2)),"")</f>
        <v/>
      </c>
      <c r="AD515" s="1" t="str">
        <f>IF(AND(Programme_Grunddaten!$A520="Geprüft",Programme_Grunddaten!AL520&lt;&gt;""),IF(Programme_Grunddaten!AL520="Ja",1,0),"")</f>
        <v/>
      </c>
      <c r="AE515" s="1" t="str">
        <f>IF(AND(Programme_Grunddaten!$A520="Geprüft",Programme_Grunddaten!AM520&lt;&gt;""),IF(Programme_Grunddaten!AM520="Ja",1,0),"")</f>
        <v/>
      </c>
      <c r="AF515" s="1" t="str">
        <f>IF(AND(Programme_Grunddaten!$A520="Geprüft",Programme_Grunddaten!AN520&lt;&gt;""),IF(Programme_Grunddaten!AN520="Ja",1,0),"")</f>
        <v/>
      </c>
      <c r="AG515" s="1" t="str">
        <f>IF(AND(Programme_Grunddaten!$A520="Geprüft",Programme_Grunddaten!AO520&lt;&gt;""),IF(Programme_Grunddaten!AO520="Ja",1,0),"")</f>
        <v/>
      </c>
      <c r="AH515" s="1" t="str">
        <f>IF(AND(Programme_Grunddaten!$A520="Geprüft",Programme_Grunddaten!AP520&lt;&gt;""),IF(Programme_Grunddaten!AP520="Ja",1,0),"")</f>
        <v/>
      </c>
      <c r="AI515" s="1" t="str">
        <f>IF(AND(Programme_Grunddaten!$A520="Geprüft",Programme_Grunddaten!AQ520&lt;&gt;""),IF(Programme_Grunddaten!AQ520="Ja",1,0),"")</f>
        <v/>
      </c>
      <c r="AJ515" s="1" t="str">
        <f>IF(AND(Programme_Grunddaten!$A520="Geprüft",Programme_Grunddaten!AR520&lt;&gt;""),IF(Programme_Grunddaten!AR520="Ja",1,0),"")</f>
        <v/>
      </c>
      <c r="AK515" s="1" t="str">
        <f>IF(AND(Programme_Grunddaten!$A520="Geprüft",Programme_Grunddaten!AS520&lt;&gt;""),IF(Programme_Grunddaten!AS520="Ja",1,0),"")</f>
        <v/>
      </c>
      <c r="AL515" s="1" t="str">
        <f>IF(AND(Programme_Grunddaten!$A520="Geprüft",Programme_Grunddaten!AT520&lt;&gt;""),IF(Programme_Grunddaten!AT520="Ja",1,0),"")</f>
        <v/>
      </c>
      <c r="AM515" s="1" t="str">
        <f>IF(AND(Programme_Grunddaten!$A520="Geprüft",Programme_Grunddaten!AU520&lt;&gt;""),IF(Programme_Grunddaten!AU520="Ja",1,0),"")</f>
        <v/>
      </c>
      <c r="AN515" s="1" t="str">
        <f>IF(AND(Programme_Grunddaten!$A520="Geprüft",Programme_Grunddaten!AV520&lt;&gt;""),IF(Programme_Grunddaten!AV520="Ja",1,0),"")</f>
        <v/>
      </c>
    </row>
    <row r="516" spans="1:40" x14ac:dyDescent="0.3">
      <c r="A516" s="1" t="str">
        <f>IF(AND(Programme_Grunddaten!A521="Geprüft",Programme_Grunddaten!B521&lt;&gt;""),Programme_Grunddaten!B521,"")</f>
        <v/>
      </c>
      <c r="B516" s="1" t="str">
        <f>IF(AND(Programme_Grunddaten!$A521="Geprüft",Programme_Grunddaten!I521&lt;&gt;""),IF(Programme_Grunddaten!I521="Ja",1,0),"")</f>
        <v/>
      </c>
      <c r="C516" s="1" t="str">
        <f>IF(AND(Programme_Grunddaten!$A521="Geprüft",Programme_Grunddaten!J521&lt;&gt;""),IF(Programme_Grunddaten!J521="Ja",1,0),"")</f>
        <v/>
      </c>
      <c r="D516" s="1" t="str">
        <f>IF(AND(Programme_Grunddaten!$A521="Geprüft",Programme_Grunddaten!K521&lt;&gt;""),IF(Programme_Grunddaten!K521="Ja",1,0),"")</f>
        <v/>
      </c>
      <c r="E516" s="1" t="str">
        <f>IF(AND(Programme_Grunddaten!$A521="Geprüft",Programme_Grunddaten!L521&lt;&gt;""),IF(Programme_Grunddaten!L521="Abo / befristete Lizenz",1,0),"")</f>
        <v/>
      </c>
      <c r="F516" s="1" t="str">
        <f>IF(AND(Programme_Grunddaten!$A521="Geprüft",Programme_Grunddaten!M521&lt;&gt;""),IF(Programme_Grunddaten!M521="Ja",1,0),"")</f>
        <v/>
      </c>
      <c r="G516" s="1" t="str">
        <f>IF(AND(Programme_Grunddaten!$A521="Geprüft",Programme_Grunddaten!N521&lt;&gt;""),IF(Programme_Grunddaten!N521="Ja",1,0),"")</f>
        <v/>
      </c>
      <c r="H516" s="1" t="str">
        <f>IF(AND(Programme_Grunddaten!$A521="Geprüft",Programme_Grunddaten!O521&lt;&gt;""),IF(Programme_Grunddaten!O521="Deutschland",0,IF(Programme_Grunddaten!O521="EU",1,2)),"")</f>
        <v/>
      </c>
      <c r="I516" s="1" t="str">
        <f>IF(AND(Programme_Grunddaten!$A521="Geprüft",Programme_Grunddaten!P521&lt;&gt;""),IF(Programme_Grunddaten!P521="Ja",1,0),"")</f>
        <v/>
      </c>
      <c r="J516" s="1" t="str">
        <f>IF(AND(Programme_Grunddaten!$A521="Geprüft",Programme_Grunddaten!Q521&lt;&gt;""),IF(Programme_Grunddaten!Q521="geschlossenes System",1,0),"")</f>
        <v/>
      </c>
      <c r="K516" s="1" t="str">
        <f>IF(AND(Programme_Grunddaten!$A521="Geprüft",Programme_Grunddaten!R521&lt;&gt;""),IF(Programme_Grunddaten!R521="Ja",1,0),"")</f>
        <v/>
      </c>
      <c r="L516" s="1" t="str">
        <f>IF(AND(Programme_Grunddaten!$A521="Geprüft",Programme_Grunddaten!T521&lt;&gt;""),IF(Programme_Grunddaten!T521="Ja",1,0),"")</f>
        <v/>
      </c>
      <c r="M516" s="1" t="str">
        <f>IF(AND(Programme_Grunddaten!$A521="Geprüft",Programme_Grunddaten!U521&lt;&gt;""),IF(Programme_Grunddaten!U521="Ja",1,0),"")</f>
        <v/>
      </c>
      <c r="N516" s="1" t="str">
        <f>IF(AND(Programme_Grunddaten!$A521="Geprüft",Programme_Grunddaten!V521&lt;&gt;""),IF(Programme_Grunddaten!V521="Ja",1,0),"")</f>
        <v/>
      </c>
      <c r="O516" s="1" t="str">
        <f>IF(AND(Programme_Grunddaten!$A521="Geprüft",Programme_Grunddaten!W521&lt;&gt;""),IF(Programme_Grunddaten!W521="Ja",1,0),"")</f>
        <v/>
      </c>
      <c r="P516" s="1" t="str">
        <f>IF(AND(Programme_Grunddaten!$A521="Geprüft",Programme_Grunddaten!X521&lt;&gt;""),IF(Programme_Grunddaten!X521="Ja",1,0),"")</f>
        <v/>
      </c>
      <c r="Q516" s="1" t="str">
        <f>IF(AND(Programme_Grunddaten!$A521="Geprüft",Programme_Grunddaten!Y521&lt;&gt;""),IF(Programme_Grunddaten!Y521="Ja",1,0),"")</f>
        <v/>
      </c>
      <c r="R516" s="1" t="str">
        <f>IF(AND(Programme_Grunddaten!$A521="Geprüft",Programme_Grunddaten!Z521&lt;&gt;""),IF(Programme_Grunddaten!Z521="Ja",1,0),"")</f>
        <v/>
      </c>
      <c r="S516" s="1" t="str">
        <f>IF(AND(Programme_Grunddaten!$A521="Geprüft",Programme_Grunddaten!AA521&lt;&gt;""),IF(Programme_Grunddaten!AA521="monolithisch",1,0),"")</f>
        <v/>
      </c>
      <c r="T516" s="1" t="str">
        <f>IF(AND(Programme_Grunddaten!$A521="Geprüft",Programme_Grunddaten!AB521&lt;&gt;""),IF(Programme_Grunddaten!AB521="Ja",1,0),"")</f>
        <v/>
      </c>
      <c r="U516" s="1" t="str">
        <f>IF(AND(Programme_Grunddaten!$A521="Geprüft",Programme_Grunddaten!AC521&lt;&gt;""),IF(Programme_Grunddaten!AC521="Ja",1,0),"")</f>
        <v/>
      </c>
      <c r="V516" s="1" t="str">
        <f>IF(AND(Programme_Grunddaten!$A521="Geprüft",Programme_Grunddaten!AD521&lt;&gt;""),IF(Programme_Grunddaten!AD521="Ja",1,0),"")</f>
        <v/>
      </c>
      <c r="W516" s="1" t="str">
        <f>IF(AND(Programme_Grunddaten!$A521="Geprüft",Programme_Grunddaten!AE521&lt;&gt;""),IF(Programme_Grunddaten!AE521="Ja",1,0),"")</f>
        <v/>
      </c>
      <c r="X516" s="1" t="str">
        <f>IF(AND(Programme_Grunddaten!$A521="Geprüft",Programme_Grunddaten!AF521&lt;&gt;""),IF(Programme_Grunddaten!AF521="Ja",1,0),"")</f>
        <v/>
      </c>
      <c r="Y516" s="1" t="str">
        <f>IF(AND(Programme_Grunddaten!$A521="Geprüft",Programme_Grunddaten!AG521&lt;&gt;""),IF(Programme_Grunddaten!AG521="Ja",1,0),"")</f>
        <v/>
      </c>
      <c r="Z516" s="1" t="str">
        <f>IF(AND(Programme_Grunddaten!$A521="Geprüft",Programme_Grunddaten!AH521&lt;&gt;""),IF(Programme_Grunddaten!AH521="Ja",1,0),"")</f>
        <v/>
      </c>
      <c r="AA516" s="1" t="str">
        <f>IF(AND(Programme_Grunddaten!$A521="Geprüft",Programme_Grunddaten!AI521&lt;&gt;""),IF(Programme_Grunddaten!AI521="Ja",1,0),"")</f>
        <v/>
      </c>
      <c r="AB516" s="1" t="str">
        <f>IF(AND(Programme_Grunddaten!$A521="Geprüft",Programme_Grunddaten!AJ521&lt;&gt;""),IF(Programme_Grunddaten!AJ521="individuell programmierbar",1,0),"")</f>
        <v/>
      </c>
      <c r="AC516" s="1" t="str">
        <f>IF(AND(Programme_Grunddaten!$A521="Geprüft",Programme_Grunddaten!AK521&lt;&gt;""),IF(Programme_Grunddaten!AK521="Deutsch",0,IF(Programme_Grunddaten!AK521="Deutsch und Englisch",1,2)),"")</f>
        <v/>
      </c>
      <c r="AD516" s="1" t="str">
        <f>IF(AND(Programme_Grunddaten!$A521="Geprüft",Programme_Grunddaten!AL521&lt;&gt;""),IF(Programme_Grunddaten!AL521="Ja",1,0),"")</f>
        <v/>
      </c>
      <c r="AE516" s="1" t="str">
        <f>IF(AND(Programme_Grunddaten!$A521="Geprüft",Programme_Grunddaten!AM521&lt;&gt;""),IF(Programme_Grunddaten!AM521="Ja",1,0),"")</f>
        <v/>
      </c>
      <c r="AF516" s="1" t="str">
        <f>IF(AND(Programme_Grunddaten!$A521="Geprüft",Programme_Grunddaten!AN521&lt;&gt;""),IF(Programme_Grunddaten!AN521="Ja",1,0),"")</f>
        <v/>
      </c>
      <c r="AG516" s="1" t="str">
        <f>IF(AND(Programme_Grunddaten!$A521="Geprüft",Programme_Grunddaten!AO521&lt;&gt;""),IF(Programme_Grunddaten!AO521="Ja",1,0),"")</f>
        <v/>
      </c>
      <c r="AH516" s="1" t="str">
        <f>IF(AND(Programme_Grunddaten!$A521="Geprüft",Programme_Grunddaten!AP521&lt;&gt;""),IF(Programme_Grunddaten!AP521="Ja",1,0),"")</f>
        <v/>
      </c>
      <c r="AI516" s="1" t="str">
        <f>IF(AND(Programme_Grunddaten!$A521="Geprüft",Programme_Grunddaten!AQ521&lt;&gt;""),IF(Programme_Grunddaten!AQ521="Ja",1,0),"")</f>
        <v/>
      </c>
      <c r="AJ516" s="1" t="str">
        <f>IF(AND(Programme_Grunddaten!$A521="Geprüft",Programme_Grunddaten!AR521&lt;&gt;""),IF(Programme_Grunddaten!AR521="Ja",1,0),"")</f>
        <v/>
      </c>
      <c r="AK516" s="1" t="str">
        <f>IF(AND(Programme_Grunddaten!$A521="Geprüft",Programme_Grunddaten!AS521&lt;&gt;""),IF(Programme_Grunddaten!AS521="Ja",1,0),"")</f>
        <v/>
      </c>
      <c r="AL516" s="1" t="str">
        <f>IF(AND(Programme_Grunddaten!$A521="Geprüft",Programme_Grunddaten!AT521&lt;&gt;""),IF(Programme_Grunddaten!AT521="Ja",1,0),"")</f>
        <v/>
      </c>
      <c r="AM516" s="1" t="str">
        <f>IF(AND(Programme_Grunddaten!$A521="Geprüft",Programme_Grunddaten!AU521&lt;&gt;""),IF(Programme_Grunddaten!AU521="Ja",1,0),"")</f>
        <v/>
      </c>
      <c r="AN516" s="1" t="str">
        <f>IF(AND(Programme_Grunddaten!$A521="Geprüft",Programme_Grunddaten!AV521&lt;&gt;""),IF(Programme_Grunddaten!AV521="Ja",1,0),"")</f>
        <v/>
      </c>
    </row>
    <row r="517" spans="1:40" x14ac:dyDescent="0.3">
      <c r="A517" s="1" t="str">
        <f>IF(AND(Programme_Grunddaten!A522="Geprüft",Programme_Grunddaten!B522&lt;&gt;""),Programme_Grunddaten!B522,"")</f>
        <v/>
      </c>
      <c r="B517" s="1" t="str">
        <f>IF(AND(Programme_Grunddaten!$A522="Geprüft",Programme_Grunddaten!I522&lt;&gt;""),IF(Programme_Grunddaten!I522="Ja",1,0),"")</f>
        <v/>
      </c>
      <c r="C517" s="1" t="str">
        <f>IF(AND(Programme_Grunddaten!$A522="Geprüft",Programme_Grunddaten!J522&lt;&gt;""),IF(Programme_Grunddaten!J522="Ja",1,0),"")</f>
        <v/>
      </c>
      <c r="D517" s="1" t="str">
        <f>IF(AND(Programme_Grunddaten!$A522="Geprüft",Programme_Grunddaten!K522&lt;&gt;""),IF(Programme_Grunddaten!K522="Ja",1,0),"")</f>
        <v/>
      </c>
      <c r="E517" s="1" t="str">
        <f>IF(AND(Programme_Grunddaten!$A522="Geprüft",Programme_Grunddaten!L522&lt;&gt;""),IF(Programme_Grunddaten!L522="Abo / befristete Lizenz",1,0),"")</f>
        <v/>
      </c>
      <c r="F517" s="1" t="str">
        <f>IF(AND(Programme_Grunddaten!$A522="Geprüft",Programme_Grunddaten!M522&lt;&gt;""),IF(Programme_Grunddaten!M522="Ja",1,0),"")</f>
        <v/>
      </c>
      <c r="G517" s="1" t="str">
        <f>IF(AND(Programme_Grunddaten!$A522="Geprüft",Programme_Grunddaten!N522&lt;&gt;""),IF(Programme_Grunddaten!N522="Ja",1,0),"")</f>
        <v/>
      </c>
      <c r="H517" s="1" t="str">
        <f>IF(AND(Programme_Grunddaten!$A522="Geprüft",Programme_Grunddaten!O522&lt;&gt;""),IF(Programme_Grunddaten!O522="Deutschland",0,IF(Programme_Grunddaten!O522="EU",1,2)),"")</f>
        <v/>
      </c>
      <c r="I517" s="1" t="str">
        <f>IF(AND(Programme_Grunddaten!$A522="Geprüft",Programme_Grunddaten!P522&lt;&gt;""),IF(Programme_Grunddaten!P522="Ja",1,0),"")</f>
        <v/>
      </c>
      <c r="J517" s="1" t="str">
        <f>IF(AND(Programme_Grunddaten!$A522="Geprüft",Programme_Grunddaten!Q522&lt;&gt;""),IF(Programme_Grunddaten!Q522="geschlossenes System",1,0),"")</f>
        <v/>
      </c>
      <c r="K517" s="1" t="str">
        <f>IF(AND(Programme_Grunddaten!$A522="Geprüft",Programme_Grunddaten!R522&lt;&gt;""),IF(Programme_Grunddaten!R522="Ja",1,0),"")</f>
        <v/>
      </c>
      <c r="L517" s="1" t="str">
        <f>IF(AND(Programme_Grunddaten!$A522="Geprüft",Programme_Grunddaten!T522&lt;&gt;""),IF(Programme_Grunddaten!T522="Ja",1,0),"")</f>
        <v/>
      </c>
      <c r="M517" s="1" t="str">
        <f>IF(AND(Programme_Grunddaten!$A522="Geprüft",Programme_Grunddaten!U522&lt;&gt;""),IF(Programme_Grunddaten!U522="Ja",1,0),"")</f>
        <v/>
      </c>
      <c r="N517" s="1" t="str">
        <f>IF(AND(Programme_Grunddaten!$A522="Geprüft",Programme_Grunddaten!V522&lt;&gt;""),IF(Programme_Grunddaten!V522="Ja",1,0),"")</f>
        <v/>
      </c>
      <c r="O517" s="1" t="str">
        <f>IF(AND(Programme_Grunddaten!$A522="Geprüft",Programme_Grunddaten!W522&lt;&gt;""),IF(Programme_Grunddaten!W522="Ja",1,0),"")</f>
        <v/>
      </c>
      <c r="P517" s="1" t="str">
        <f>IF(AND(Programme_Grunddaten!$A522="Geprüft",Programme_Grunddaten!X522&lt;&gt;""),IF(Programme_Grunddaten!X522="Ja",1,0),"")</f>
        <v/>
      </c>
      <c r="Q517" s="1" t="str">
        <f>IF(AND(Programme_Grunddaten!$A522="Geprüft",Programme_Grunddaten!Y522&lt;&gt;""),IF(Programme_Grunddaten!Y522="Ja",1,0),"")</f>
        <v/>
      </c>
      <c r="R517" s="1" t="str">
        <f>IF(AND(Programme_Grunddaten!$A522="Geprüft",Programme_Grunddaten!Z522&lt;&gt;""),IF(Programme_Grunddaten!Z522="Ja",1,0),"")</f>
        <v/>
      </c>
      <c r="S517" s="1" t="str">
        <f>IF(AND(Programme_Grunddaten!$A522="Geprüft",Programme_Grunddaten!AA522&lt;&gt;""),IF(Programme_Grunddaten!AA522="monolithisch",1,0),"")</f>
        <v/>
      </c>
      <c r="T517" s="1" t="str">
        <f>IF(AND(Programme_Grunddaten!$A522="Geprüft",Programme_Grunddaten!AB522&lt;&gt;""),IF(Programme_Grunddaten!AB522="Ja",1,0),"")</f>
        <v/>
      </c>
      <c r="U517" s="1" t="str">
        <f>IF(AND(Programme_Grunddaten!$A522="Geprüft",Programme_Grunddaten!AC522&lt;&gt;""),IF(Programme_Grunddaten!AC522="Ja",1,0),"")</f>
        <v/>
      </c>
      <c r="V517" s="1" t="str">
        <f>IF(AND(Programme_Grunddaten!$A522="Geprüft",Programme_Grunddaten!AD522&lt;&gt;""),IF(Programme_Grunddaten!AD522="Ja",1,0),"")</f>
        <v/>
      </c>
      <c r="W517" s="1" t="str">
        <f>IF(AND(Programme_Grunddaten!$A522="Geprüft",Programme_Grunddaten!AE522&lt;&gt;""),IF(Programme_Grunddaten!AE522="Ja",1,0),"")</f>
        <v/>
      </c>
      <c r="X517" s="1" t="str">
        <f>IF(AND(Programme_Grunddaten!$A522="Geprüft",Programme_Grunddaten!AF522&lt;&gt;""),IF(Programme_Grunddaten!AF522="Ja",1,0),"")</f>
        <v/>
      </c>
      <c r="Y517" s="1" t="str">
        <f>IF(AND(Programme_Grunddaten!$A522="Geprüft",Programme_Grunddaten!AG522&lt;&gt;""),IF(Programme_Grunddaten!AG522="Ja",1,0),"")</f>
        <v/>
      </c>
      <c r="Z517" s="1" t="str">
        <f>IF(AND(Programme_Grunddaten!$A522="Geprüft",Programme_Grunddaten!AH522&lt;&gt;""),IF(Programme_Grunddaten!AH522="Ja",1,0),"")</f>
        <v/>
      </c>
      <c r="AA517" s="1" t="str">
        <f>IF(AND(Programme_Grunddaten!$A522="Geprüft",Programme_Grunddaten!AI522&lt;&gt;""),IF(Programme_Grunddaten!AI522="Ja",1,0),"")</f>
        <v/>
      </c>
      <c r="AB517" s="1" t="str">
        <f>IF(AND(Programme_Grunddaten!$A522="Geprüft",Programme_Grunddaten!AJ522&lt;&gt;""),IF(Programme_Grunddaten!AJ522="individuell programmierbar",1,0),"")</f>
        <v/>
      </c>
      <c r="AC517" s="1" t="str">
        <f>IF(AND(Programme_Grunddaten!$A522="Geprüft",Programme_Grunddaten!AK522&lt;&gt;""),IF(Programme_Grunddaten!AK522="Deutsch",0,IF(Programme_Grunddaten!AK522="Deutsch und Englisch",1,2)),"")</f>
        <v/>
      </c>
      <c r="AD517" s="1" t="str">
        <f>IF(AND(Programme_Grunddaten!$A522="Geprüft",Programme_Grunddaten!AL522&lt;&gt;""),IF(Programme_Grunddaten!AL522="Ja",1,0),"")</f>
        <v/>
      </c>
      <c r="AE517" s="1" t="str">
        <f>IF(AND(Programme_Grunddaten!$A522="Geprüft",Programme_Grunddaten!AM522&lt;&gt;""),IF(Programme_Grunddaten!AM522="Ja",1,0),"")</f>
        <v/>
      </c>
      <c r="AF517" s="1" t="str">
        <f>IF(AND(Programme_Grunddaten!$A522="Geprüft",Programme_Grunddaten!AN522&lt;&gt;""),IF(Programme_Grunddaten!AN522="Ja",1,0),"")</f>
        <v/>
      </c>
      <c r="AG517" s="1" t="str">
        <f>IF(AND(Programme_Grunddaten!$A522="Geprüft",Programme_Grunddaten!AO522&lt;&gt;""),IF(Programme_Grunddaten!AO522="Ja",1,0),"")</f>
        <v/>
      </c>
      <c r="AH517" s="1" t="str">
        <f>IF(AND(Programme_Grunddaten!$A522="Geprüft",Programme_Grunddaten!AP522&lt;&gt;""),IF(Programme_Grunddaten!AP522="Ja",1,0),"")</f>
        <v/>
      </c>
      <c r="AI517" s="1" t="str">
        <f>IF(AND(Programme_Grunddaten!$A522="Geprüft",Programme_Grunddaten!AQ522&lt;&gt;""),IF(Programme_Grunddaten!AQ522="Ja",1,0),"")</f>
        <v/>
      </c>
      <c r="AJ517" s="1" t="str">
        <f>IF(AND(Programme_Grunddaten!$A522="Geprüft",Programme_Grunddaten!AR522&lt;&gt;""),IF(Programme_Grunddaten!AR522="Ja",1,0),"")</f>
        <v/>
      </c>
      <c r="AK517" s="1" t="str">
        <f>IF(AND(Programme_Grunddaten!$A522="Geprüft",Programme_Grunddaten!AS522&lt;&gt;""),IF(Programme_Grunddaten!AS522="Ja",1,0),"")</f>
        <v/>
      </c>
      <c r="AL517" s="1" t="str">
        <f>IF(AND(Programme_Grunddaten!$A522="Geprüft",Programme_Grunddaten!AT522&lt;&gt;""),IF(Programme_Grunddaten!AT522="Ja",1,0),"")</f>
        <v/>
      </c>
      <c r="AM517" s="1" t="str">
        <f>IF(AND(Programme_Grunddaten!$A522="Geprüft",Programme_Grunddaten!AU522&lt;&gt;""),IF(Programme_Grunddaten!AU522="Ja",1,0),"")</f>
        <v/>
      </c>
      <c r="AN517" s="1" t="str">
        <f>IF(AND(Programme_Grunddaten!$A522="Geprüft",Programme_Grunddaten!AV522&lt;&gt;""),IF(Programme_Grunddaten!AV522="Ja",1,0),"")</f>
        <v/>
      </c>
    </row>
    <row r="518" spans="1:40" x14ac:dyDescent="0.3">
      <c r="A518" s="1" t="str">
        <f>IF(AND(Programme_Grunddaten!A523="Geprüft",Programme_Grunddaten!B523&lt;&gt;""),Programme_Grunddaten!B523,"")</f>
        <v/>
      </c>
      <c r="B518" s="1" t="str">
        <f>IF(AND(Programme_Grunddaten!$A523="Geprüft",Programme_Grunddaten!I523&lt;&gt;""),IF(Programme_Grunddaten!I523="Ja",1,0),"")</f>
        <v/>
      </c>
      <c r="C518" s="1" t="str">
        <f>IF(AND(Programme_Grunddaten!$A523="Geprüft",Programme_Grunddaten!J523&lt;&gt;""),IF(Programme_Grunddaten!J523="Ja",1,0),"")</f>
        <v/>
      </c>
      <c r="D518" s="1" t="str">
        <f>IF(AND(Programme_Grunddaten!$A523="Geprüft",Programme_Grunddaten!K523&lt;&gt;""),IF(Programme_Grunddaten!K523="Ja",1,0),"")</f>
        <v/>
      </c>
      <c r="E518" s="1" t="str">
        <f>IF(AND(Programme_Grunddaten!$A523="Geprüft",Programme_Grunddaten!L523&lt;&gt;""),IF(Programme_Grunddaten!L523="Abo / befristete Lizenz",1,0),"")</f>
        <v/>
      </c>
      <c r="F518" s="1" t="str">
        <f>IF(AND(Programme_Grunddaten!$A523="Geprüft",Programme_Grunddaten!M523&lt;&gt;""),IF(Programme_Grunddaten!M523="Ja",1,0),"")</f>
        <v/>
      </c>
      <c r="G518" s="1" t="str">
        <f>IF(AND(Programme_Grunddaten!$A523="Geprüft",Programme_Grunddaten!N523&lt;&gt;""),IF(Programme_Grunddaten!N523="Ja",1,0),"")</f>
        <v/>
      </c>
      <c r="H518" s="1" t="str">
        <f>IF(AND(Programme_Grunddaten!$A523="Geprüft",Programme_Grunddaten!O523&lt;&gt;""),IF(Programme_Grunddaten!O523="Deutschland",0,IF(Programme_Grunddaten!O523="EU",1,2)),"")</f>
        <v/>
      </c>
      <c r="I518" s="1" t="str">
        <f>IF(AND(Programme_Grunddaten!$A523="Geprüft",Programme_Grunddaten!P523&lt;&gt;""),IF(Programme_Grunddaten!P523="Ja",1,0),"")</f>
        <v/>
      </c>
      <c r="J518" s="1" t="str">
        <f>IF(AND(Programme_Grunddaten!$A523="Geprüft",Programme_Grunddaten!Q523&lt;&gt;""),IF(Programme_Grunddaten!Q523="geschlossenes System",1,0),"")</f>
        <v/>
      </c>
      <c r="K518" s="1" t="str">
        <f>IF(AND(Programme_Grunddaten!$A523="Geprüft",Programme_Grunddaten!R523&lt;&gt;""),IF(Programme_Grunddaten!R523="Ja",1,0),"")</f>
        <v/>
      </c>
      <c r="L518" s="1" t="str">
        <f>IF(AND(Programme_Grunddaten!$A523="Geprüft",Programme_Grunddaten!T523&lt;&gt;""),IF(Programme_Grunddaten!T523="Ja",1,0),"")</f>
        <v/>
      </c>
      <c r="M518" s="1" t="str">
        <f>IF(AND(Programme_Grunddaten!$A523="Geprüft",Programme_Grunddaten!U523&lt;&gt;""),IF(Programme_Grunddaten!U523="Ja",1,0),"")</f>
        <v/>
      </c>
      <c r="N518" s="1" t="str">
        <f>IF(AND(Programme_Grunddaten!$A523="Geprüft",Programme_Grunddaten!V523&lt;&gt;""),IF(Programme_Grunddaten!V523="Ja",1,0),"")</f>
        <v/>
      </c>
      <c r="O518" s="1" t="str">
        <f>IF(AND(Programme_Grunddaten!$A523="Geprüft",Programme_Grunddaten!W523&lt;&gt;""),IF(Programme_Grunddaten!W523="Ja",1,0),"")</f>
        <v/>
      </c>
      <c r="P518" s="1" t="str">
        <f>IF(AND(Programme_Grunddaten!$A523="Geprüft",Programme_Grunddaten!X523&lt;&gt;""),IF(Programme_Grunddaten!X523="Ja",1,0),"")</f>
        <v/>
      </c>
      <c r="Q518" s="1" t="str">
        <f>IF(AND(Programme_Grunddaten!$A523="Geprüft",Programme_Grunddaten!Y523&lt;&gt;""),IF(Programme_Grunddaten!Y523="Ja",1,0),"")</f>
        <v/>
      </c>
      <c r="R518" s="1" t="str">
        <f>IF(AND(Programme_Grunddaten!$A523="Geprüft",Programme_Grunddaten!Z523&lt;&gt;""),IF(Programme_Grunddaten!Z523="Ja",1,0),"")</f>
        <v/>
      </c>
      <c r="S518" s="1" t="str">
        <f>IF(AND(Programme_Grunddaten!$A523="Geprüft",Programme_Grunddaten!AA523&lt;&gt;""),IF(Programme_Grunddaten!AA523="monolithisch",1,0),"")</f>
        <v/>
      </c>
      <c r="T518" s="1" t="str">
        <f>IF(AND(Programme_Grunddaten!$A523="Geprüft",Programme_Grunddaten!AB523&lt;&gt;""),IF(Programme_Grunddaten!AB523="Ja",1,0),"")</f>
        <v/>
      </c>
      <c r="U518" s="1" t="str">
        <f>IF(AND(Programme_Grunddaten!$A523="Geprüft",Programme_Grunddaten!AC523&lt;&gt;""),IF(Programme_Grunddaten!AC523="Ja",1,0),"")</f>
        <v/>
      </c>
      <c r="V518" s="1" t="str">
        <f>IF(AND(Programme_Grunddaten!$A523="Geprüft",Programme_Grunddaten!AD523&lt;&gt;""),IF(Programme_Grunddaten!AD523="Ja",1,0),"")</f>
        <v/>
      </c>
      <c r="W518" s="1" t="str">
        <f>IF(AND(Programme_Grunddaten!$A523="Geprüft",Programme_Grunddaten!AE523&lt;&gt;""),IF(Programme_Grunddaten!AE523="Ja",1,0),"")</f>
        <v/>
      </c>
      <c r="X518" s="1" t="str">
        <f>IF(AND(Programme_Grunddaten!$A523="Geprüft",Programme_Grunddaten!AF523&lt;&gt;""),IF(Programme_Grunddaten!AF523="Ja",1,0),"")</f>
        <v/>
      </c>
      <c r="Y518" s="1" t="str">
        <f>IF(AND(Programme_Grunddaten!$A523="Geprüft",Programme_Grunddaten!AG523&lt;&gt;""),IF(Programme_Grunddaten!AG523="Ja",1,0),"")</f>
        <v/>
      </c>
      <c r="Z518" s="1" t="str">
        <f>IF(AND(Programme_Grunddaten!$A523="Geprüft",Programme_Grunddaten!AH523&lt;&gt;""),IF(Programme_Grunddaten!AH523="Ja",1,0),"")</f>
        <v/>
      </c>
      <c r="AA518" s="1" t="str">
        <f>IF(AND(Programme_Grunddaten!$A523="Geprüft",Programme_Grunddaten!AI523&lt;&gt;""),IF(Programme_Grunddaten!AI523="Ja",1,0),"")</f>
        <v/>
      </c>
      <c r="AB518" s="1" t="str">
        <f>IF(AND(Programme_Grunddaten!$A523="Geprüft",Programme_Grunddaten!AJ523&lt;&gt;""),IF(Programme_Grunddaten!AJ523="individuell programmierbar",1,0),"")</f>
        <v/>
      </c>
      <c r="AC518" s="1" t="str">
        <f>IF(AND(Programme_Grunddaten!$A523="Geprüft",Programme_Grunddaten!AK523&lt;&gt;""),IF(Programme_Grunddaten!AK523="Deutsch",0,IF(Programme_Grunddaten!AK523="Deutsch und Englisch",1,2)),"")</f>
        <v/>
      </c>
      <c r="AD518" s="1" t="str">
        <f>IF(AND(Programme_Grunddaten!$A523="Geprüft",Programme_Grunddaten!AL523&lt;&gt;""),IF(Programme_Grunddaten!AL523="Ja",1,0),"")</f>
        <v/>
      </c>
      <c r="AE518" s="1" t="str">
        <f>IF(AND(Programme_Grunddaten!$A523="Geprüft",Programme_Grunddaten!AM523&lt;&gt;""),IF(Programme_Grunddaten!AM523="Ja",1,0),"")</f>
        <v/>
      </c>
      <c r="AF518" s="1" t="str">
        <f>IF(AND(Programme_Grunddaten!$A523="Geprüft",Programme_Grunddaten!AN523&lt;&gt;""),IF(Programme_Grunddaten!AN523="Ja",1,0),"")</f>
        <v/>
      </c>
      <c r="AG518" s="1" t="str">
        <f>IF(AND(Programme_Grunddaten!$A523="Geprüft",Programme_Grunddaten!AO523&lt;&gt;""),IF(Programme_Grunddaten!AO523="Ja",1,0),"")</f>
        <v/>
      </c>
      <c r="AH518" s="1" t="str">
        <f>IF(AND(Programme_Grunddaten!$A523="Geprüft",Programme_Grunddaten!AP523&lt;&gt;""),IF(Programme_Grunddaten!AP523="Ja",1,0),"")</f>
        <v/>
      </c>
      <c r="AI518" s="1" t="str">
        <f>IF(AND(Programme_Grunddaten!$A523="Geprüft",Programme_Grunddaten!AQ523&lt;&gt;""),IF(Programme_Grunddaten!AQ523="Ja",1,0),"")</f>
        <v/>
      </c>
      <c r="AJ518" s="1" t="str">
        <f>IF(AND(Programme_Grunddaten!$A523="Geprüft",Programme_Grunddaten!AR523&lt;&gt;""),IF(Programme_Grunddaten!AR523="Ja",1,0),"")</f>
        <v/>
      </c>
      <c r="AK518" s="1" t="str">
        <f>IF(AND(Programme_Grunddaten!$A523="Geprüft",Programme_Grunddaten!AS523&lt;&gt;""),IF(Programme_Grunddaten!AS523="Ja",1,0),"")</f>
        <v/>
      </c>
      <c r="AL518" s="1" t="str">
        <f>IF(AND(Programme_Grunddaten!$A523="Geprüft",Programme_Grunddaten!AT523&lt;&gt;""),IF(Programme_Grunddaten!AT523="Ja",1,0),"")</f>
        <v/>
      </c>
      <c r="AM518" s="1" t="str">
        <f>IF(AND(Programme_Grunddaten!$A523="Geprüft",Programme_Grunddaten!AU523&lt;&gt;""),IF(Programme_Grunddaten!AU523="Ja",1,0),"")</f>
        <v/>
      </c>
      <c r="AN518" s="1" t="str">
        <f>IF(AND(Programme_Grunddaten!$A523="Geprüft",Programme_Grunddaten!AV523&lt;&gt;""),IF(Programme_Grunddaten!AV523="Ja",1,0),"")</f>
        <v/>
      </c>
    </row>
    <row r="519" spans="1:40" x14ac:dyDescent="0.3">
      <c r="A519" s="1" t="str">
        <f>IF(AND(Programme_Grunddaten!A524="Geprüft",Programme_Grunddaten!B524&lt;&gt;""),Programme_Grunddaten!B524,"")</f>
        <v/>
      </c>
      <c r="B519" s="1" t="str">
        <f>IF(AND(Programme_Grunddaten!$A524="Geprüft",Programme_Grunddaten!I524&lt;&gt;""),IF(Programme_Grunddaten!I524="Ja",1,0),"")</f>
        <v/>
      </c>
      <c r="C519" s="1" t="str">
        <f>IF(AND(Programme_Grunddaten!$A524="Geprüft",Programme_Grunddaten!J524&lt;&gt;""),IF(Programme_Grunddaten!J524="Ja",1,0),"")</f>
        <v/>
      </c>
      <c r="D519" s="1" t="str">
        <f>IF(AND(Programme_Grunddaten!$A524="Geprüft",Programme_Grunddaten!K524&lt;&gt;""),IF(Programme_Grunddaten!K524="Ja",1,0),"")</f>
        <v/>
      </c>
      <c r="E519" s="1" t="str">
        <f>IF(AND(Programme_Grunddaten!$A524="Geprüft",Programme_Grunddaten!L524&lt;&gt;""),IF(Programme_Grunddaten!L524="Abo / befristete Lizenz",1,0),"")</f>
        <v/>
      </c>
      <c r="F519" s="1" t="str">
        <f>IF(AND(Programme_Grunddaten!$A524="Geprüft",Programme_Grunddaten!M524&lt;&gt;""),IF(Programme_Grunddaten!M524="Ja",1,0),"")</f>
        <v/>
      </c>
      <c r="G519" s="1" t="str">
        <f>IF(AND(Programme_Grunddaten!$A524="Geprüft",Programme_Grunddaten!N524&lt;&gt;""),IF(Programme_Grunddaten!N524="Ja",1,0),"")</f>
        <v/>
      </c>
      <c r="H519" s="1" t="str">
        <f>IF(AND(Programme_Grunddaten!$A524="Geprüft",Programme_Grunddaten!O524&lt;&gt;""),IF(Programme_Grunddaten!O524="Deutschland",0,IF(Programme_Grunddaten!O524="EU",1,2)),"")</f>
        <v/>
      </c>
      <c r="I519" s="1" t="str">
        <f>IF(AND(Programme_Grunddaten!$A524="Geprüft",Programme_Grunddaten!P524&lt;&gt;""),IF(Programme_Grunddaten!P524="Ja",1,0),"")</f>
        <v/>
      </c>
      <c r="J519" s="1" t="str">
        <f>IF(AND(Programme_Grunddaten!$A524="Geprüft",Programme_Grunddaten!Q524&lt;&gt;""),IF(Programme_Grunddaten!Q524="geschlossenes System",1,0),"")</f>
        <v/>
      </c>
      <c r="K519" s="1" t="str">
        <f>IF(AND(Programme_Grunddaten!$A524="Geprüft",Programme_Grunddaten!R524&lt;&gt;""),IF(Programme_Grunddaten!R524="Ja",1,0),"")</f>
        <v/>
      </c>
      <c r="L519" s="1" t="str">
        <f>IF(AND(Programme_Grunddaten!$A524="Geprüft",Programme_Grunddaten!T524&lt;&gt;""),IF(Programme_Grunddaten!T524="Ja",1,0),"")</f>
        <v/>
      </c>
      <c r="M519" s="1" t="str">
        <f>IF(AND(Programme_Grunddaten!$A524="Geprüft",Programme_Grunddaten!U524&lt;&gt;""),IF(Programme_Grunddaten!U524="Ja",1,0),"")</f>
        <v/>
      </c>
      <c r="N519" s="1" t="str">
        <f>IF(AND(Programme_Grunddaten!$A524="Geprüft",Programme_Grunddaten!V524&lt;&gt;""),IF(Programme_Grunddaten!V524="Ja",1,0),"")</f>
        <v/>
      </c>
      <c r="O519" s="1" t="str">
        <f>IF(AND(Programme_Grunddaten!$A524="Geprüft",Programme_Grunddaten!W524&lt;&gt;""),IF(Programme_Grunddaten!W524="Ja",1,0),"")</f>
        <v/>
      </c>
      <c r="P519" s="1" t="str">
        <f>IF(AND(Programme_Grunddaten!$A524="Geprüft",Programme_Grunddaten!X524&lt;&gt;""),IF(Programme_Grunddaten!X524="Ja",1,0),"")</f>
        <v/>
      </c>
      <c r="Q519" s="1" t="str">
        <f>IF(AND(Programme_Grunddaten!$A524="Geprüft",Programme_Grunddaten!Y524&lt;&gt;""),IF(Programme_Grunddaten!Y524="Ja",1,0),"")</f>
        <v/>
      </c>
      <c r="R519" s="1" t="str">
        <f>IF(AND(Programme_Grunddaten!$A524="Geprüft",Programme_Grunddaten!Z524&lt;&gt;""),IF(Programme_Grunddaten!Z524="Ja",1,0),"")</f>
        <v/>
      </c>
      <c r="S519" s="1" t="str">
        <f>IF(AND(Programme_Grunddaten!$A524="Geprüft",Programme_Grunddaten!AA524&lt;&gt;""),IF(Programme_Grunddaten!AA524="monolithisch",1,0),"")</f>
        <v/>
      </c>
      <c r="T519" s="1" t="str">
        <f>IF(AND(Programme_Grunddaten!$A524="Geprüft",Programme_Grunddaten!AB524&lt;&gt;""),IF(Programme_Grunddaten!AB524="Ja",1,0),"")</f>
        <v/>
      </c>
      <c r="U519" s="1" t="str">
        <f>IF(AND(Programme_Grunddaten!$A524="Geprüft",Programme_Grunddaten!AC524&lt;&gt;""),IF(Programme_Grunddaten!AC524="Ja",1,0),"")</f>
        <v/>
      </c>
      <c r="V519" s="1" t="str">
        <f>IF(AND(Programme_Grunddaten!$A524="Geprüft",Programme_Grunddaten!AD524&lt;&gt;""),IF(Programme_Grunddaten!AD524="Ja",1,0),"")</f>
        <v/>
      </c>
      <c r="W519" s="1" t="str">
        <f>IF(AND(Programme_Grunddaten!$A524="Geprüft",Programme_Grunddaten!AE524&lt;&gt;""),IF(Programme_Grunddaten!AE524="Ja",1,0),"")</f>
        <v/>
      </c>
      <c r="X519" s="1" t="str">
        <f>IF(AND(Programme_Grunddaten!$A524="Geprüft",Programme_Grunddaten!AF524&lt;&gt;""),IF(Programme_Grunddaten!AF524="Ja",1,0),"")</f>
        <v/>
      </c>
      <c r="Y519" s="1" t="str">
        <f>IF(AND(Programme_Grunddaten!$A524="Geprüft",Programme_Grunddaten!AG524&lt;&gt;""),IF(Programme_Grunddaten!AG524="Ja",1,0),"")</f>
        <v/>
      </c>
      <c r="Z519" s="1" t="str">
        <f>IF(AND(Programme_Grunddaten!$A524="Geprüft",Programme_Grunddaten!AH524&lt;&gt;""),IF(Programme_Grunddaten!AH524="Ja",1,0),"")</f>
        <v/>
      </c>
      <c r="AA519" s="1" t="str">
        <f>IF(AND(Programme_Grunddaten!$A524="Geprüft",Programme_Grunddaten!AI524&lt;&gt;""),IF(Programme_Grunddaten!AI524="Ja",1,0),"")</f>
        <v/>
      </c>
      <c r="AB519" s="1" t="str">
        <f>IF(AND(Programme_Grunddaten!$A524="Geprüft",Programme_Grunddaten!AJ524&lt;&gt;""),IF(Programme_Grunddaten!AJ524="individuell programmierbar",1,0),"")</f>
        <v/>
      </c>
      <c r="AC519" s="1" t="str">
        <f>IF(AND(Programme_Grunddaten!$A524="Geprüft",Programme_Grunddaten!AK524&lt;&gt;""),IF(Programme_Grunddaten!AK524="Deutsch",0,IF(Programme_Grunddaten!AK524="Deutsch und Englisch",1,2)),"")</f>
        <v/>
      </c>
      <c r="AD519" s="1" t="str">
        <f>IF(AND(Programme_Grunddaten!$A524="Geprüft",Programme_Grunddaten!AL524&lt;&gt;""),IF(Programme_Grunddaten!AL524="Ja",1,0),"")</f>
        <v/>
      </c>
      <c r="AE519" s="1" t="str">
        <f>IF(AND(Programme_Grunddaten!$A524="Geprüft",Programme_Grunddaten!AM524&lt;&gt;""),IF(Programme_Grunddaten!AM524="Ja",1,0),"")</f>
        <v/>
      </c>
      <c r="AF519" s="1" t="str">
        <f>IF(AND(Programme_Grunddaten!$A524="Geprüft",Programme_Grunddaten!AN524&lt;&gt;""),IF(Programme_Grunddaten!AN524="Ja",1,0),"")</f>
        <v/>
      </c>
      <c r="AG519" s="1" t="str">
        <f>IF(AND(Programme_Grunddaten!$A524="Geprüft",Programme_Grunddaten!AO524&lt;&gt;""),IF(Programme_Grunddaten!AO524="Ja",1,0),"")</f>
        <v/>
      </c>
      <c r="AH519" s="1" t="str">
        <f>IF(AND(Programme_Grunddaten!$A524="Geprüft",Programme_Grunddaten!AP524&lt;&gt;""),IF(Programme_Grunddaten!AP524="Ja",1,0),"")</f>
        <v/>
      </c>
      <c r="AI519" s="1" t="str">
        <f>IF(AND(Programme_Grunddaten!$A524="Geprüft",Programme_Grunddaten!AQ524&lt;&gt;""),IF(Programme_Grunddaten!AQ524="Ja",1,0),"")</f>
        <v/>
      </c>
      <c r="AJ519" s="1" t="str">
        <f>IF(AND(Programme_Grunddaten!$A524="Geprüft",Programme_Grunddaten!AR524&lt;&gt;""),IF(Programme_Grunddaten!AR524="Ja",1,0),"")</f>
        <v/>
      </c>
      <c r="AK519" s="1" t="str">
        <f>IF(AND(Programme_Grunddaten!$A524="Geprüft",Programme_Grunddaten!AS524&lt;&gt;""),IF(Programme_Grunddaten!AS524="Ja",1,0),"")</f>
        <v/>
      </c>
      <c r="AL519" s="1" t="str">
        <f>IF(AND(Programme_Grunddaten!$A524="Geprüft",Programme_Grunddaten!AT524&lt;&gt;""),IF(Programme_Grunddaten!AT524="Ja",1,0),"")</f>
        <v/>
      </c>
      <c r="AM519" s="1" t="str">
        <f>IF(AND(Programme_Grunddaten!$A524="Geprüft",Programme_Grunddaten!AU524&lt;&gt;""),IF(Programme_Grunddaten!AU524="Ja",1,0),"")</f>
        <v/>
      </c>
      <c r="AN519" s="1" t="str">
        <f>IF(AND(Programme_Grunddaten!$A524="Geprüft",Programme_Grunddaten!AV524&lt;&gt;""),IF(Programme_Grunddaten!AV524="Ja",1,0),"")</f>
        <v/>
      </c>
    </row>
    <row r="520" spans="1:40" x14ac:dyDescent="0.3">
      <c r="A520" s="1" t="str">
        <f>IF(AND(Programme_Grunddaten!A525="Geprüft",Programme_Grunddaten!B525&lt;&gt;""),Programme_Grunddaten!B525,"")</f>
        <v/>
      </c>
      <c r="B520" s="1" t="str">
        <f>IF(AND(Programme_Grunddaten!$A525="Geprüft",Programme_Grunddaten!I525&lt;&gt;""),IF(Programme_Grunddaten!I525="Ja",1,0),"")</f>
        <v/>
      </c>
      <c r="C520" s="1" t="str">
        <f>IF(AND(Programme_Grunddaten!$A525="Geprüft",Programme_Grunddaten!J525&lt;&gt;""),IF(Programme_Grunddaten!J525="Ja",1,0),"")</f>
        <v/>
      </c>
      <c r="D520" s="1" t="str">
        <f>IF(AND(Programme_Grunddaten!$A525="Geprüft",Programme_Grunddaten!K525&lt;&gt;""),IF(Programme_Grunddaten!K525="Ja",1,0),"")</f>
        <v/>
      </c>
      <c r="E520" s="1" t="str">
        <f>IF(AND(Programme_Grunddaten!$A525="Geprüft",Programme_Grunddaten!L525&lt;&gt;""),IF(Programme_Grunddaten!L525="Abo / befristete Lizenz",1,0),"")</f>
        <v/>
      </c>
      <c r="F520" s="1" t="str">
        <f>IF(AND(Programme_Grunddaten!$A525="Geprüft",Programme_Grunddaten!M525&lt;&gt;""),IF(Programme_Grunddaten!M525="Ja",1,0),"")</f>
        <v/>
      </c>
      <c r="G520" s="1" t="str">
        <f>IF(AND(Programme_Grunddaten!$A525="Geprüft",Programme_Grunddaten!N525&lt;&gt;""),IF(Programme_Grunddaten!N525="Ja",1,0),"")</f>
        <v/>
      </c>
      <c r="H520" s="1" t="str">
        <f>IF(AND(Programme_Grunddaten!$A525="Geprüft",Programme_Grunddaten!O525&lt;&gt;""),IF(Programme_Grunddaten!O525="Deutschland",0,IF(Programme_Grunddaten!O525="EU",1,2)),"")</f>
        <v/>
      </c>
      <c r="I520" s="1" t="str">
        <f>IF(AND(Programme_Grunddaten!$A525="Geprüft",Programme_Grunddaten!P525&lt;&gt;""),IF(Programme_Grunddaten!P525="Ja",1,0),"")</f>
        <v/>
      </c>
      <c r="J520" s="1" t="str">
        <f>IF(AND(Programme_Grunddaten!$A525="Geprüft",Programme_Grunddaten!Q525&lt;&gt;""),IF(Programme_Grunddaten!Q525="geschlossenes System",1,0),"")</f>
        <v/>
      </c>
      <c r="K520" s="1" t="str">
        <f>IF(AND(Programme_Grunddaten!$A525="Geprüft",Programme_Grunddaten!R525&lt;&gt;""),IF(Programme_Grunddaten!R525="Ja",1,0),"")</f>
        <v/>
      </c>
      <c r="L520" s="1" t="str">
        <f>IF(AND(Programme_Grunddaten!$A525="Geprüft",Programme_Grunddaten!T525&lt;&gt;""),IF(Programme_Grunddaten!T525="Ja",1,0),"")</f>
        <v/>
      </c>
      <c r="M520" s="1" t="str">
        <f>IF(AND(Programme_Grunddaten!$A525="Geprüft",Programme_Grunddaten!U525&lt;&gt;""),IF(Programme_Grunddaten!U525="Ja",1,0),"")</f>
        <v/>
      </c>
      <c r="N520" s="1" t="str">
        <f>IF(AND(Programme_Grunddaten!$A525="Geprüft",Programme_Grunddaten!V525&lt;&gt;""),IF(Programme_Grunddaten!V525="Ja",1,0),"")</f>
        <v/>
      </c>
      <c r="O520" s="1" t="str">
        <f>IF(AND(Programme_Grunddaten!$A525="Geprüft",Programme_Grunddaten!W525&lt;&gt;""),IF(Programme_Grunddaten!W525="Ja",1,0),"")</f>
        <v/>
      </c>
      <c r="P520" s="1" t="str">
        <f>IF(AND(Programme_Grunddaten!$A525="Geprüft",Programme_Grunddaten!X525&lt;&gt;""),IF(Programme_Grunddaten!X525="Ja",1,0),"")</f>
        <v/>
      </c>
      <c r="Q520" s="1" t="str">
        <f>IF(AND(Programme_Grunddaten!$A525="Geprüft",Programme_Grunddaten!Y525&lt;&gt;""),IF(Programme_Grunddaten!Y525="Ja",1,0),"")</f>
        <v/>
      </c>
      <c r="R520" s="1" t="str">
        <f>IF(AND(Programme_Grunddaten!$A525="Geprüft",Programme_Grunddaten!Z525&lt;&gt;""),IF(Programme_Grunddaten!Z525="Ja",1,0),"")</f>
        <v/>
      </c>
      <c r="S520" s="1" t="str">
        <f>IF(AND(Programme_Grunddaten!$A525="Geprüft",Programme_Grunddaten!AA525&lt;&gt;""),IF(Programme_Grunddaten!AA525="monolithisch",1,0),"")</f>
        <v/>
      </c>
      <c r="T520" s="1" t="str">
        <f>IF(AND(Programme_Grunddaten!$A525="Geprüft",Programme_Grunddaten!AB525&lt;&gt;""),IF(Programme_Grunddaten!AB525="Ja",1,0),"")</f>
        <v/>
      </c>
      <c r="U520" s="1" t="str">
        <f>IF(AND(Programme_Grunddaten!$A525="Geprüft",Programme_Grunddaten!AC525&lt;&gt;""),IF(Programme_Grunddaten!AC525="Ja",1,0),"")</f>
        <v/>
      </c>
      <c r="V520" s="1" t="str">
        <f>IF(AND(Programme_Grunddaten!$A525="Geprüft",Programme_Grunddaten!AD525&lt;&gt;""),IF(Programme_Grunddaten!AD525="Ja",1,0),"")</f>
        <v/>
      </c>
      <c r="W520" s="1" t="str">
        <f>IF(AND(Programme_Grunddaten!$A525="Geprüft",Programme_Grunddaten!AE525&lt;&gt;""),IF(Programme_Grunddaten!AE525="Ja",1,0),"")</f>
        <v/>
      </c>
      <c r="X520" s="1" t="str">
        <f>IF(AND(Programme_Grunddaten!$A525="Geprüft",Programme_Grunddaten!AF525&lt;&gt;""),IF(Programme_Grunddaten!AF525="Ja",1,0),"")</f>
        <v/>
      </c>
      <c r="Y520" s="1" t="str">
        <f>IF(AND(Programme_Grunddaten!$A525="Geprüft",Programme_Grunddaten!AG525&lt;&gt;""),IF(Programme_Grunddaten!AG525="Ja",1,0),"")</f>
        <v/>
      </c>
      <c r="Z520" s="1" t="str">
        <f>IF(AND(Programme_Grunddaten!$A525="Geprüft",Programme_Grunddaten!AH525&lt;&gt;""),IF(Programme_Grunddaten!AH525="Ja",1,0),"")</f>
        <v/>
      </c>
      <c r="AA520" s="1" t="str">
        <f>IF(AND(Programme_Grunddaten!$A525="Geprüft",Programme_Grunddaten!AI525&lt;&gt;""),IF(Programme_Grunddaten!AI525="Ja",1,0),"")</f>
        <v/>
      </c>
      <c r="AB520" s="1" t="str">
        <f>IF(AND(Programme_Grunddaten!$A525="Geprüft",Programme_Grunddaten!AJ525&lt;&gt;""),IF(Programme_Grunddaten!AJ525="individuell programmierbar",1,0),"")</f>
        <v/>
      </c>
      <c r="AC520" s="1" t="str">
        <f>IF(AND(Programme_Grunddaten!$A525="Geprüft",Programme_Grunddaten!AK525&lt;&gt;""),IF(Programme_Grunddaten!AK525="Deutsch",0,IF(Programme_Grunddaten!AK525="Deutsch und Englisch",1,2)),"")</f>
        <v/>
      </c>
      <c r="AD520" s="1" t="str">
        <f>IF(AND(Programme_Grunddaten!$A525="Geprüft",Programme_Grunddaten!AL525&lt;&gt;""),IF(Programme_Grunddaten!AL525="Ja",1,0),"")</f>
        <v/>
      </c>
      <c r="AE520" s="1" t="str">
        <f>IF(AND(Programme_Grunddaten!$A525="Geprüft",Programme_Grunddaten!AM525&lt;&gt;""),IF(Programme_Grunddaten!AM525="Ja",1,0),"")</f>
        <v/>
      </c>
      <c r="AF520" s="1" t="str">
        <f>IF(AND(Programme_Grunddaten!$A525="Geprüft",Programme_Grunddaten!AN525&lt;&gt;""),IF(Programme_Grunddaten!AN525="Ja",1,0),"")</f>
        <v/>
      </c>
      <c r="AG520" s="1" t="str">
        <f>IF(AND(Programme_Grunddaten!$A525="Geprüft",Programme_Grunddaten!AO525&lt;&gt;""),IF(Programme_Grunddaten!AO525="Ja",1,0),"")</f>
        <v/>
      </c>
      <c r="AH520" s="1" t="str">
        <f>IF(AND(Programme_Grunddaten!$A525="Geprüft",Programme_Grunddaten!AP525&lt;&gt;""),IF(Programme_Grunddaten!AP525="Ja",1,0),"")</f>
        <v/>
      </c>
      <c r="AI520" s="1" t="str">
        <f>IF(AND(Programme_Grunddaten!$A525="Geprüft",Programme_Grunddaten!AQ525&lt;&gt;""),IF(Programme_Grunddaten!AQ525="Ja",1,0),"")</f>
        <v/>
      </c>
      <c r="AJ520" s="1" t="str">
        <f>IF(AND(Programme_Grunddaten!$A525="Geprüft",Programme_Grunddaten!AR525&lt;&gt;""),IF(Programme_Grunddaten!AR525="Ja",1,0),"")</f>
        <v/>
      </c>
      <c r="AK520" s="1" t="str">
        <f>IF(AND(Programme_Grunddaten!$A525="Geprüft",Programme_Grunddaten!AS525&lt;&gt;""),IF(Programme_Grunddaten!AS525="Ja",1,0),"")</f>
        <v/>
      </c>
      <c r="AL520" s="1" t="str">
        <f>IF(AND(Programme_Grunddaten!$A525="Geprüft",Programme_Grunddaten!AT525&lt;&gt;""),IF(Programme_Grunddaten!AT525="Ja",1,0),"")</f>
        <v/>
      </c>
      <c r="AM520" s="1" t="str">
        <f>IF(AND(Programme_Grunddaten!$A525="Geprüft",Programme_Grunddaten!AU525&lt;&gt;""),IF(Programme_Grunddaten!AU525="Ja",1,0),"")</f>
        <v/>
      </c>
      <c r="AN520" s="1" t="str">
        <f>IF(AND(Programme_Grunddaten!$A525="Geprüft",Programme_Grunddaten!AV525&lt;&gt;""),IF(Programme_Grunddaten!AV525="Ja",1,0),"")</f>
        <v/>
      </c>
    </row>
    <row r="521" spans="1:40" x14ac:dyDescent="0.3">
      <c r="A521" s="1" t="str">
        <f>IF(AND(Programme_Grunddaten!A526="Geprüft",Programme_Grunddaten!B526&lt;&gt;""),Programme_Grunddaten!B526,"")</f>
        <v/>
      </c>
      <c r="B521" s="1" t="str">
        <f>IF(AND(Programme_Grunddaten!$A526="Geprüft",Programme_Grunddaten!I526&lt;&gt;""),IF(Programme_Grunddaten!I526="Ja",1,0),"")</f>
        <v/>
      </c>
      <c r="C521" s="1" t="str">
        <f>IF(AND(Programme_Grunddaten!$A526="Geprüft",Programme_Grunddaten!J526&lt;&gt;""),IF(Programme_Grunddaten!J526="Ja",1,0),"")</f>
        <v/>
      </c>
      <c r="D521" s="1" t="str">
        <f>IF(AND(Programme_Grunddaten!$A526="Geprüft",Programme_Grunddaten!K526&lt;&gt;""),IF(Programme_Grunddaten!K526="Ja",1,0),"")</f>
        <v/>
      </c>
      <c r="E521" s="1" t="str">
        <f>IF(AND(Programme_Grunddaten!$A526="Geprüft",Programme_Grunddaten!L526&lt;&gt;""),IF(Programme_Grunddaten!L526="Abo / befristete Lizenz",1,0),"")</f>
        <v/>
      </c>
      <c r="F521" s="1" t="str">
        <f>IF(AND(Programme_Grunddaten!$A526="Geprüft",Programme_Grunddaten!M526&lt;&gt;""),IF(Programme_Grunddaten!M526="Ja",1,0),"")</f>
        <v/>
      </c>
      <c r="G521" s="1" t="str">
        <f>IF(AND(Programme_Grunddaten!$A526="Geprüft",Programme_Grunddaten!N526&lt;&gt;""),IF(Programme_Grunddaten!N526="Ja",1,0),"")</f>
        <v/>
      </c>
      <c r="H521" s="1" t="str">
        <f>IF(AND(Programme_Grunddaten!$A526="Geprüft",Programme_Grunddaten!O526&lt;&gt;""),IF(Programme_Grunddaten!O526="Deutschland",0,IF(Programme_Grunddaten!O526="EU",1,2)),"")</f>
        <v/>
      </c>
      <c r="I521" s="1" t="str">
        <f>IF(AND(Programme_Grunddaten!$A526="Geprüft",Programme_Grunddaten!P526&lt;&gt;""),IF(Programme_Grunddaten!P526="Ja",1,0),"")</f>
        <v/>
      </c>
      <c r="J521" s="1" t="str">
        <f>IF(AND(Programme_Grunddaten!$A526="Geprüft",Programme_Grunddaten!Q526&lt;&gt;""),IF(Programme_Grunddaten!Q526="geschlossenes System",1,0),"")</f>
        <v/>
      </c>
      <c r="K521" s="1" t="str">
        <f>IF(AND(Programme_Grunddaten!$A526="Geprüft",Programme_Grunddaten!R526&lt;&gt;""),IF(Programme_Grunddaten!R526="Ja",1,0),"")</f>
        <v/>
      </c>
      <c r="L521" s="1" t="str">
        <f>IF(AND(Programme_Grunddaten!$A526="Geprüft",Programme_Grunddaten!T526&lt;&gt;""),IF(Programme_Grunddaten!T526="Ja",1,0),"")</f>
        <v/>
      </c>
      <c r="M521" s="1" t="str">
        <f>IF(AND(Programme_Grunddaten!$A526="Geprüft",Programme_Grunddaten!U526&lt;&gt;""),IF(Programme_Grunddaten!U526="Ja",1,0),"")</f>
        <v/>
      </c>
      <c r="N521" s="1" t="str">
        <f>IF(AND(Programme_Grunddaten!$A526="Geprüft",Programme_Grunddaten!V526&lt;&gt;""),IF(Programme_Grunddaten!V526="Ja",1,0),"")</f>
        <v/>
      </c>
      <c r="O521" s="1" t="str">
        <f>IF(AND(Programme_Grunddaten!$A526="Geprüft",Programme_Grunddaten!W526&lt;&gt;""),IF(Programme_Grunddaten!W526="Ja",1,0),"")</f>
        <v/>
      </c>
      <c r="P521" s="1" t="str">
        <f>IF(AND(Programme_Grunddaten!$A526="Geprüft",Programme_Grunddaten!X526&lt;&gt;""),IF(Programme_Grunddaten!X526="Ja",1,0),"")</f>
        <v/>
      </c>
      <c r="Q521" s="1" t="str">
        <f>IF(AND(Programme_Grunddaten!$A526="Geprüft",Programme_Grunddaten!Y526&lt;&gt;""),IF(Programme_Grunddaten!Y526="Ja",1,0),"")</f>
        <v/>
      </c>
      <c r="R521" s="1" t="str">
        <f>IF(AND(Programme_Grunddaten!$A526="Geprüft",Programme_Grunddaten!Z526&lt;&gt;""),IF(Programme_Grunddaten!Z526="Ja",1,0),"")</f>
        <v/>
      </c>
      <c r="S521" s="1" t="str">
        <f>IF(AND(Programme_Grunddaten!$A526="Geprüft",Programme_Grunddaten!AA526&lt;&gt;""),IF(Programme_Grunddaten!AA526="monolithisch",1,0),"")</f>
        <v/>
      </c>
      <c r="T521" s="1" t="str">
        <f>IF(AND(Programme_Grunddaten!$A526="Geprüft",Programme_Grunddaten!AB526&lt;&gt;""),IF(Programme_Grunddaten!AB526="Ja",1,0),"")</f>
        <v/>
      </c>
      <c r="U521" s="1" t="str">
        <f>IF(AND(Programme_Grunddaten!$A526="Geprüft",Programme_Grunddaten!AC526&lt;&gt;""),IF(Programme_Grunddaten!AC526="Ja",1,0),"")</f>
        <v/>
      </c>
      <c r="V521" s="1" t="str">
        <f>IF(AND(Programme_Grunddaten!$A526="Geprüft",Programme_Grunddaten!AD526&lt;&gt;""),IF(Programme_Grunddaten!AD526="Ja",1,0),"")</f>
        <v/>
      </c>
      <c r="W521" s="1" t="str">
        <f>IF(AND(Programme_Grunddaten!$A526="Geprüft",Programme_Grunddaten!AE526&lt;&gt;""),IF(Programme_Grunddaten!AE526="Ja",1,0),"")</f>
        <v/>
      </c>
      <c r="X521" s="1" t="str">
        <f>IF(AND(Programme_Grunddaten!$A526="Geprüft",Programme_Grunddaten!AF526&lt;&gt;""),IF(Programme_Grunddaten!AF526="Ja",1,0),"")</f>
        <v/>
      </c>
      <c r="Y521" s="1" t="str">
        <f>IF(AND(Programme_Grunddaten!$A526="Geprüft",Programme_Grunddaten!AG526&lt;&gt;""),IF(Programme_Grunddaten!AG526="Ja",1,0),"")</f>
        <v/>
      </c>
      <c r="Z521" s="1" t="str">
        <f>IF(AND(Programme_Grunddaten!$A526="Geprüft",Programme_Grunddaten!AH526&lt;&gt;""),IF(Programme_Grunddaten!AH526="Ja",1,0),"")</f>
        <v/>
      </c>
      <c r="AA521" s="1" t="str">
        <f>IF(AND(Programme_Grunddaten!$A526="Geprüft",Programme_Grunddaten!AI526&lt;&gt;""),IF(Programme_Grunddaten!AI526="Ja",1,0),"")</f>
        <v/>
      </c>
      <c r="AB521" s="1" t="str">
        <f>IF(AND(Programme_Grunddaten!$A526="Geprüft",Programme_Grunddaten!AJ526&lt;&gt;""),IF(Programme_Grunddaten!AJ526="individuell programmierbar",1,0),"")</f>
        <v/>
      </c>
      <c r="AC521" s="1" t="str">
        <f>IF(AND(Programme_Grunddaten!$A526="Geprüft",Programme_Grunddaten!AK526&lt;&gt;""),IF(Programme_Grunddaten!AK526="Deutsch",0,IF(Programme_Grunddaten!AK526="Deutsch und Englisch",1,2)),"")</f>
        <v/>
      </c>
      <c r="AD521" s="1" t="str">
        <f>IF(AND(Programme_Grunddaten!$A526="Geprüft",Programme_Grunddaten!AL526&lt;&gt;""),IF(Programme_Grunddaten!AL526="Ja",1,0),"")</f>
        <v/>
      </c>
      <c r="AE521" s="1" t="str">
        <f>IF(AND(Programme_Grunddaten!$A526="Geprüft",Programme_Grunddaten!AM526&lt;&gt;""),IF(Programme_Grunddaten!AM526="Ja",1,0),"")</f>
        <v/>
      </c>
      <c r="AF521" s="1" t="str">
        <f>IF(AND(Programme_Grunddaten!$A526="Geprüft",Programme_Grunddaten!AN526&lt;&gt;""),IF(Programme_Grunddaten!AN526="Ja",1,0),"")</f>
        <v/>
      </c>
      <c r="AG521" s="1" t="str">
        <f>IF(AND(Programme_Grunddaten!$A526="Geprüft",Programme_Grunddaten!AO526&lt;&gt;""),IF(Programme_Grunddaten!AO526="Ja",1,0),"")</f>
        <v/>
      </c>
      <c r="AH521" s="1" t="str">
        <f>IF(AND(Programme_Grunddaten!$A526="Geprüft",Programme_Grunddaten!AP526&lt;&gt;""),IF(Programme_Grunddaten!AP526="Ja",1,0),"")</f>
        <v/>
      </c>
      <c r="AI521" s="1" t="str">
        <f>IF(AND(Programme_Grunddaten!$A526="Geprüft",Programme_Grunddaten!AQ526&lt;&gt;""),IF(Programme_Grunddaten!AQ526="Ja",1,0),"")</f>
        <v/>
      </c>
      <c r="AJ521" s="1" t="str">
        <f>IF(AND(Programme_Grunddaten!$A526="Geprüft",Programme_Grunddaten!AR526&lt;&gt;""),IF(Programme_Grunddaten!AR526="Ja",1,0),"")</f>
        <v/>
      </c>
      <c r="AK521" s="1" t="str">
        <f>IF(AND(Programme_Grunddaten!$A526="Geprüft",Programme_Grunddaten!AS526&lt;&gt;""),IF(Programme_Grunddaten!AS526="Ja",1,0),"")</f>
        <v/>
      </c>
      <c r="AL521" s="1" t="str">
        <f>IF(AND(Programme_Grunddaten!$A526="Geprüft",Programme_Grunddaten!AT526&lt;&gt;""),IF(Programme_Grunddaten!AT526="Ja",1,0),"")</f>
        <v/>
      </c>
      <c r="AM521" s="1" t="str">
        <f>IF(AND(Programme_Grunddaten!$A526="Geprüft",Programme_Grunddaten!AU526&lt;&gt;""),IF(Programme_Grunddaten!AU526="Ja",1,0),"")</f>
        <v/>
      </c>
      <c r="AN521" s="1" t="str">
        <f>IF(AND(Programme_Grunddaten!$A526="Geprüft",Programme_Grunddaten!AV526&lt;&gt;""),IF(Programme_Grunddaten!AV526="Ja",1,0),"")</f>
        <v/>
      </c>
    </row>
    <row r="522" spans="1:40" x14ac:dyDescent="0.3">
      <c r="A522" s="1" t="str">
        <f>IF(AND(Programme_Grunddaten!A527="Geprüft",Programme_Grunddaten!B527&lt;&gt;""),Programme_Grunddaten!B527,"")</f>
        <v/>
      </c>
      <c r="B522" s="1" t="str">
        <f>IF(AND(Programme_Grunddaten!$A527="Geprüft",Programme_Grunddaten!I527&lt;&gt;""),IF(Programme_Grunddaten!I527="Ja",1,0),"")</f>
        <v/>
      </c>
      <c r="C522" s="1" t="str">
        <f>IF(AND(Programme_Grunddaten!$A527="Geprüft",Programme_Grunddaten!J527&lt;&gt;""),IF(Programme_Grunddaten!J527="Ja",1,0),"")</f>
        <v/>
      </c>
      <c r="D522" s="1" t="str">
        <f>IF(AND(Programme_Grunddaten!$A527="Geprüft",Programme_Grunddaten!K527&lt;&gt;""),IF(Programme_Grunddaten!K527="Ja",1,0),"")</f>
        <v/>
      </c>
      <c r="E522" s="1" t="str">
        <f>IF(AND(Programme_Grunddaten!$A527="Geprüft",Programme_Grunddaten!L527&lt;&gt;""),IF(Programme_Grunddaten!L527="Abo / befristete Lizenz",1,0),"")</f>
        <v/>
      </c>
      <c r="F522" s="1" t="str">
        <f>IF(AND(Programme_Grunddaten!$A527="Geprüft",Programme_Grunddaten!M527&lt;&gt;""),IF(Programme_Grunddaten!M527="Ja",1,0),"")</f>
        <v/>
      </c>
      <c r="G522" s="1" t="str">
        <f>IF(AND(Programme_Grunddaten!$A527="Geprüft",Programme_Grunddaten!N527&lt;&gt;""),IF(Programme_Grunddaten!N527="Ja",1,0),"")</f>
        <v/>
      </c>
      <c r="H522" s="1" t="str">
        <f>IF(AND(Programme_Grunddaten!$A527="Geprüft",Programme_Grunddaten!O527&lt;&gt;""),IF(Programme_Grunddaten!O527="Deutschland",0,IF(Programme_Grunddaten!O527="EU",1,2)),"")</f>
        <v/>
      </c>
      <c r="I522" s="1" t="str">
        <f>IF(AND(Programme_Grunddaten!$A527="Geprüft",Programme_Grunddaten!P527&lt;&gt;""),IF(Programme_Grunddaten!P527="Ja",1,0),"")</f>
        <v/>
      </c>
      <c r="J522" s="1" t="str">
        <f>IF(AND(Programme_Grunddaten!$A527="Geprüft",Programme_Grunddaten!Q527&lt;&gt;""),IF(Programme_Grunddaten!Q527="geschlossenes System",1,0),"")</f>
        <v/>
      </c>
      <c r="K522" s="1" t="str">
        <f>IF(AND(Programme_Grunddaten!$A527="Geprüft",Programme_Grunddaten!R527&lt;&gt;""),IF(Programme_Grunddaten!R527="Ja",1,0),"")</f>
        <v/>
      </c>
      <c r="L522" s="1" t="str">
        <f>IF(AND(Programme_Grunddaten!$A527="Geprüft",Programme_Grunddaten!T527&lt;&gt;""),IF(Programme_Grunddaten!T527="Ja",1,0),"")</f>
        <v/>
      </c>
      <c r="M522" s="1" t="str">
        <f>IF(AND(Programme_Grunddaten!$A527="Geprüft",Programme_Grunddaten!U527&lt;&gt;""),IF(Programme_Grunddaten!U527="Ja",1,0),"")</f>
        <v/>
      </c>
      <c r="N522" s="1" t="str">
        <f>IF(AND(Programme_Grunddaten!$A527="Geprüft",Programme_Grunddaten!V527&lt;&gt;""),IF(Programme_Grunddaten!V527="Ja",1,0),"")</f>
        <v/>
      </c>
      <c r="O522" s="1" t="str">
        <f>IF(AND(Programme_Grunddaten!$A527="Geprüft",Programme_Grunddaten!W527&lt;&gt;""),IF(Programme_Grunddaten!W527="Ja",1,0),"")</f>
        <v/>
      </c>
      <c r="P522" s="1" t="str">
        <f>IF(AND(Programme_Grunddaten!$A527="Geprüft",Programme_Grunddaten!X527&lt;&gt;""),IF(Programme_Grunddaten!X527="Ja",1,0),"")</f>
        <v/>
      </c>
      <c r="Q522" s="1" t="str">
        <f>IF(AND(Programme_Grunddaten!$A527="Geprüft",Programme_Grunddaten!Y527&lt;&gt;""),IF(Programme_Grunddaten!Y527="Ja",1,0),"")</f>
        <v/>
      </c>
      <c r="R522" s="1" t="str">
        <f>IF(AND(Programme_Grunddaten!$A527="Geprüft",Programme_Grunddaten!Z527&lt;&gt;""),IF(Programme_Grunddaten!Z527="Ja",1,0),"")</f>
        <v/>
      </c>
      <c r="S522" s="1" t="str">
        <f>IF(AND(Programme_Grunddaten!$A527="Geprüft",Programme_Grunddaten!AA527&lt;&gt;""),IF(Programme_Grunddaten!AA527="monolithisch",1,0),"")</f>
        <v/>
      </c>
      <c r="T522" s="1" t="str">
        <f>IF(AND(Programme_Grunddaten!$A527="Geprüft",Programme_Grunddaten!AB527&lt;&gt;""),IF(Programme_Grunddaten!AB527="Ja",1,0),"")</f>
        <v/>
      </c>
      <c r="U522" s="1" t="str">
        <f>IF(AND(Programme_Grunddaten!$A527="Geprüft",Programme_Grunddaten!AC527&lt;&gt;""),IF(Programme_Grunddaten!AC527="Ja",1,0),"")</f>
        <v/>
      </c>
      <c r="V522" s="1" t="str">
        <f>IF(AND(Programme_Grunddaten!$A527="Geprüft",Programme_Grunddaten!AD527&lt;&gt;""),IF(Programme_Grunddaten!AD527="Ja",1,0),"")</f>
        <v/>
      </c>
      <c r="W522" s="1" t="str">
        <f>IF(AND(Programme_Grunddaten!$A527="Geprüft",Programme_Grunddaten!AE527&lt;&gt;""),IF(Programme_Grunddaten!AE527="Ja",1,0),"")</f>
        <v/>
      </c>
      <c r="X522" s="1" t="str">
        <f>IF(AND(Programme_Grunddaten!$A527="Geprüft",Programme_Grunddaten!AF527&lt;&gt;""),IF(Programme_Grunddaten!AF527="Ja",1,0),"")</f>
        <v/>
      </c>
      <c r="Y522" s="1" t="str">
        <f>IF(AND(Programme_Grunddaten!$A527="Geprüft",Programme_Grunddaten!AG527&lt;&gt;""),IF(Programme_Grunddaten!AG527="Ja",1,0),"")</f>
        <v/>
      </c>
      <c r="Z522" s="1" t="str">
        <f>IF(AND(Programme_Grunddaten!$A527="Geprüft",Programme_Grunddaten!AH527&lt;&gt;""),IF(Programme_Grunddaten!AH527="Ja",1,0),"")</f>
        <v/>
      </c>
      <c r="AA522" s="1" t="str">
        <f>IF(AND(Programme_Grunddaten!$A527="Geprüft",Programme_Grunddaten!AI527&lt;&gt;""),IF(Programme_Grunddaten!AI527="Ja",1,0),"")</f>
        <v/>
      </c>
      <c r="AB522" s="1" t="str">
        <f>IF(AND(Programme_Grunddaten!$A527="Geprüft",Programme_Grunddaten!AJ527&lt;&gt;""),IF(Programme_Grunddaten!AJ527="individuell programmierbar",1,0),"")</f>
        <v/>
      </c>
      <c r="AC522" s="1" t="str">
        <f>IF(AND(Programme_Grunddaten!$A527="Geprüft",Programme_Grunddaten!AK527&lt;&gt;""),IF(Programme_Grunddaten!AK527="Deutsch",0,IF(Programme_Grunddaten!AK527="Deutsch und Englisch",1,2)),"")</f>
        <v/>
      </c>
      <c r="AD522" s="1" t="str">
        <f>IF(AND(Programme_Grunddaten!$A527="Geprüft",Programme_Grunddaten!AL527&lt;&gt;""),IF(Programme_Grunddaten!AL527="Ja",1,0),"")</f>
        <v/>
      </c>
      <c r="AE522" s="1" t="str">
        <f>IF(AND(Programme_Grunddaten!$A527="Geprüft",Programme_Grunddaten!AM527&lt;&gt;""),IF(Programme_Grunddaten!AM527="Ja",1,0),"")</f>
        <v/>
      </c>
      <c r="AF522" s="1" t="str">
        <f>IF(AND(Programme_Grunddaten!$A527="Geprüft",Programme_Grunddaten!AN527&lt;&gt;""),IF(Programme_Grunddaten!AN527="Ja",1,0),"")</f>
        <v/>
      </c>
      <c r="AG522" s="1" t="str">
        <f>IF(AND(Programme_Grunddaten!$A527="Geprüft",Programme_Grunddaten!AO527&lt;&gt;""),IF(Programme_Grunddaten!AO527="Ja",1,0),"")</f>
        <v/>
      </c>
      <c r="AH522" s="1" t="str">
        <f>IF(AND(Programme_Grunddaten!$A527="Geprüft",Programme_Grunddaten!AP527&lt;&gt;""),IF(Programme_Grunddaten!AP527="Ja",1,0),"")</f>
        <v/>
      </c>
      <c r="AI522" s="1" t="str">
        <f>IF(AND(Programme_Grunddaten!$A527="Geprüft",Programme_Grunddaten!AQ527&lt;&gt;""),IF(Programme_Grunddaten!AQ527="Ja",1,0),"")</f>
        <v/>
      </c>
      <c r="AJ522" s="1" t="str">
        <f>IF(AND(Programme_Grunddaten!$A527="Geprüft",Programme_Grunddaten!AR527&lt;&gt;""),IF(Programme_Grunddaten!AR527="Ja",1,0),"")</f>
        <v/>
      </c>
      <c r="AK522" s="1" t="str">
        <f>IF(AND(Programme_Grunddaten!$A527="Geprüft",Programme_Grunddaten!AS527&lt;&gt;""),IF(Programme_Grunddaten!AS527="Ja",1,0),"")</f>
        <v/>
      </c>
      <c r="AL522" s="1" t="str">
        <f>IF(AND(Programme_Grunddaten!$A527="Geprüft",Programme_Grunddaten!AT527&lt;&gt;""),IF(Programme_Grunddaten!AT527="Ja",1,0),"")</f>
        <v/>
      </c>
      <c r="AM522" s="1" t="str">
        <f>IF(AND(Programme_Grunddaten!$A527="Geprüft",Programme_Grunddaten!AU527&lt;&gt;""),IF(Programme_Grunddaten!AU527="Ja",1,0),"")</f>
        <v/>
      </c>
      <c r="AN522" s="1" t="str">
        <f>IF(AND(Programme_Grunddaten!$A527="Geprüft",Programme_Grunddaten!AV527&lt;&gt;""),IF(Programme_Grunddaten!AV527="Ja",1,0),"")</f>
        <v/>
      </c>
    </row>
    <row r="523" spans="1:40" x14ac:dyDescent="0.3">
      <c r="A523" s="1" t="str">
        <f>IF(AND(Programme_Grunddaten!A528="Geprüft",Programme_Grunddaten!B528&lt;&gt;""),Programme_Grunddaten!B528,"")</f>
        <v/>
      </c>
      <c r="B523" s="1" t="str">
        <f>IF(AND(Programme_Grunddaten!$A528="Geprüft",Programme_Grunddaten!I528&lt;&gt;""),IF(Programme_Grunddaten!I528="Ja",1,0),"")</f>
        <v/>
      </c>
      <c r="C523" s="1" t="str">
        <f>IF(AND(Programme_Grunddaten!$A528="Geprüft",Programme_Grunddaten!J528&lt;&gt;""),IF(Programme_Grunddaten!J528="Ja",1,0),"")</f>
        <v/>
      </c>
      <c r="D523" s="1" t="str">
        <f>IF(AND(Programme_Grunddaten!$A528="Geprüft",Programme_Grunddaten!K528&lt;&gt;""),IF(Programme_Grunddaten!K528="Ja",1,0),"")</f>
        <v/>
      </c>
      <c r="E523" s="1" t="str">
        <f>IF(AND(Programme_Grunddaten!$A528="Geprüft",Programme_Grunddaten!L528&lt;&gt;""),IF(Programme_Grunddaten!L528="Abo / befristete Lizenz",1,0),"")</f>
        <v/>
      </c>
      <c r="F523" s="1" t="str">
        <f>IF(AND(Programme_Grunddaten!$A528="Geprüft",Programme_Grunddaten!M528&lt;&gt;""),IF(Programme_Grunddaten!M528="Ja",1,0),"")</f>
        <v/>
      </c>
      <c r="G523" s="1" t="str">
        <f>IF(AND(Programme_Grunddaten!$A528="Geprüft",Programme_Grunddaten!N528&lt;&gt;""),IF(Programme_Grunddaten!N528="Ja",1,0),"")</f>
        <v/>
      </c>
      <c r="H523" s="1" t="str">
        <f>IF(AND(Programme_Grunddaten!$A528="Geprüft",Programme_Grunddaten!O528&lt;&gt;""),IF(Programme_Grunddaten!O528="Deutschland",0,IF(Programme_Grunddaten!O528="EU",1,2)),"")</f>
        <v/>
      </c>
      <c r="I523" s="1" t="str">
        <f>IF(AND(Programme_Grunddaten!$A528="Geprüft",Programme_Grunddaten!P528&lt;&gt;""),IF(Programme_Grunddaten!P528="Ja",1,0),"")</f>
        <v/>
      </c>
      <c r="J523" s="1" t="str">
        <f>IF(AND(Programme_Grunddaten!$A528="Geprüft",Programme_Grunddaten!Q528&lt;&gt;""),IF(Programme_Grunddaten!Q528="geschlossenes System",1,0),"")</f>
        <v/>
      </c>
      <c r="K523" s="1" t="str">
        <f>IF(AND(Programme_Grunddaten!$A528="Geprüft",Programme_Grunddaten!R528&lt;&gt;""),IF(Programme_Grunddaten!R528="Ja",1,0),"")</f>
        <v/>
      </c>
      <c r="L523" s="1" t="str">
        <f>IF(AND(Programme_Grunddaten!$A528="Geprüft",Programme_Grunddaten!T528&lt;&gt;""),IF(Programme_Grunddaten!T528="Ja",1,0),"")</f>
        <v/>
      </c>
      <c r="M523" s="1" t="str">
        <f>IF(AND(Programme_Grunddaten!$A528="Geprüft",Programme_Grunddaten!U528&lt;&gt;""),IF(Programme_Grunddaten!U528="Ja",1,0),"")</f>
        <v/>
      </c>
      <c r="N523" s="1" t="str">
        <f>IF(AND(Programme_Grunddaten!$A528="Geprüft",Programme_Grunddaten!V528&lt;&gt;""),IF(Programme_Grunddaten!V528="Ja",1,0),"")</f>
        <v/>
      </c>
      <c r="O523" s="1" t="str">
        <f>IF(AND(Programme_Grunddaten!$A528="Geprüft",Programme_Grunddaten!W528&lt;&gt;""),IF(Programme_Grunddaten!W528="Ja",1,0),"")</f>
        <v/>
      </c>
      <c r="P523" s="1" t="str">
        <f>IF(AND(Programme_Grunddaten!$A528="Geprüft",Programme_Grunddaten!X528&lt;&gt;""),IF(Programme_Grunddaten!X528="Ja",1,0),"")</f>
        <v/>
      </c>
      <c r="Q523" s="1" t="str">
        <f>IF(AND(Programme_Grunddaten!$A528="Geprüft",Programme_Grunddaten!Y528&lt;&gt;""),IF(Programme_Grunddaten!Y528="Ja",1,0),"")</f>
        <v/>
      </c>
      <c r="R523" s="1" t="str">
        <f>IF(AND(Programme_Grunddaten!$A528="Geprüft",Programme_Grunddaten!Z528&lt;&gt;""),IF(Programme_Grunddaten!Z528="Ja",1,0),"")</f>
        <v/>
      </c>
      <c r="S523" s="1" t="str">
        <f>IF(AND(Programme_Grunddaten!$A528="Geprüft",Programme_Grunddaten!AA528&lt;&gt;""),IF(Programme_Grunddaten!AA528="monolithisch",1,0),"")</f>
        <v/>
      </c>
      <c r="T523" s="1" t="str">
        <f>IF(AND(Programme_Grunddaten!$A528="Geprüft",Programme_Grunddaten!AB528&lt;&gt;""),IF(Programme_Grunddaten!AB528="Ja",1,0),"")</f>
        <v/>
      </c>
      <c r="U523" s="1" t="str">
        <f>IF(AND(Programme_Grunddaten!$A528="Geprüft",Programme_Grunddaten!AC528&lt;&gt;""),IF(Programme_Grunddaten!AC528="Ja",1,0),"")</f>
        <v/>
      </c>
      <c r="V523" s="1" t="str">
        <f>IF(AND(Programme_Grunddaten!$A528="Geprüft",Programme_Grunddaten!AD528&lt;&gt;""),IF(Programme_Grunddaten!AD528="Ja",1,0),"")</f>
        <v/>
      </c>
      <c r="W523" s="1" t="str">
        <f>IF(AND(Programme_Grunddaten!$A528="Geprüft",Programme_Grunddaten!AE528&lt;&gt;""),IF(Programme_Grunddaten!AE528="Ja",1,0),"")</f>
        <v/>
      </c>
      <c r="X523" s="1" t="str">
        <f>IF(AND(Programme_Grunddaten!$A528="Geprüft",Programme_Grunddaten!AF528&lt;&gt;""),IF(Programme_Grunddaten!AF528="Ja",1,0),"")</f>
        <v/>
      </c>
      <c r="Y523" s="1" t="str">
        <f>IF(AND(Programme_Grunddaten!$A528="Geprüft",Programme_Grunddaten!AG528&lt;&gt;""),IF(Programme_Grunddaten!AG528="Ja",1,0),"")</f>
        <v/>
      </c>
      <c r="Z523" s="1" t="str">
        <f>IF(AND(Programme_Grunddaten!$A528="Geprüft",Programme_Grunddaten!AH528&lt;&gt;""),IF(Programme_Grunddaten!AH528="Ja",1,0),"")</f>
        <v/>
      </c>
      <c r="AA523" s="1" t="str">
        <f>IF(AND(Programme_Grunddaten!$A528="Geprüft",Programme_Grunddaten!AI528&lt;&gt;""),IF(Programme_Grunddaten!AI528="Ja",1,0),"")</f>
        <v/>
      </c>
      <c r="AB523" s="1" t="str">
        <f>IF(AND(Programme_Grunddaten!$A528="Geprüft",Programme_Grunddaten!AJ528&lt;&gt;""),IF(Programme_Grunddaten!AJ528="individuell programmierbar",1,0),"")</f>
        <v/>
      </c>
      <c r="AC523" s="1" t="str">
        <f>IF(AND(Programme_Grunddaten!$A528="Geprüft",Programme_Grunddaten!AK528&lt;&gt;""),IF(Programme_Grunddaten!AK528="Deutsch",0,IF(Programme_Grunddaten!AK528="Deutsch und Englisch",1,2)),"")</f>
        <v/>
      </c>
      <c r="AD523" s="1" t="str">
        <f>IF(AND(Programme_Grunddaten!$A528="Geprüft",Programme_Grunddaten!AL528&lt;&gt;""),IF(Programme_Grunddaten!AL528="Ja",1,0),"")</f>
        <v/>
      </c>
      <c r="AE523" s="1" t="str">
        <f>IF(AND(Programme_Grunddaten!$A528="Geprüft",Programme_Grunddaten!AM528&lt;&gt;""),IF(Programme_Grunddaten!AM528="Ja",1,0),"")</f>
        <v/>
      </c>
      <c r="AF523" s="1" t="str">
        <f>IF(AND(Programme_Grunddaten!$A528="Geprüft",Programme_Grunddaten!AN528&lt;&gt;""),IF(Programme_Grunddaten!AN528="Ja",1,0),"")</f>
        <v/>
      </c>
      <c r="AG523" s="1" t="str">
        <f>IF(AND(Programme_Grunddaten!$A528="Geprüft",Programme_Grunddaten!AO528&lt;&gt;""),IF(Programme_Grunddaten!AO528="Ja",1,0),"")</f>
        <v/>
      </c>
      <c r="AH523" s="1" t="str">
        <f>IF(AND(Programme_Grunddaten!$A528="Geprüft",Programme_Grunddaten!AP528&lt;&gt;""),IF(Programme_Grunddaten!AP528="Ja",1,0),"")</f>
        <v/>
      </c>
      <c r="AI523" s="1" t="str">
        <f>IF(AND(Programme_Grunddaten!$A528="Geprüft",Programme_Grunddaten!AQ528&lt;&gt;""),IF(Programme_Grunddaten!AQ528="Ja",1,0),"")</f>
        <v/>
      </c>
      <c r="AJ523" s="1" t="str">
        <f>IF(AND(Programme_Grunddaten!$A528="Geprüft",Programme_Grunddaten!AR528&lt;&gt;""),IF(Programme_Grunddaten!AR528="Ja",1,0),"")</f>
        <v/>
      </c>
      <c r="AK523" s="1" t="str">
        <f>IF(AND(Programme_Grunddaten!$A528="Geprüft",Programme_Grunddaten!AS528&lt;&gt;""),IF(Programme_Grunddaten!AS528="Ja",1,0),"")</f>
        <v/>
      </c>
      <c r="AL523" s="1" t="str">
        <f>IF(AND(Programme_Grunddaten!$A528="Geprüft",Programme_Grunddaten!AT528&lt;&gt;""),IF(Programme_Grunddaten!AT528="Ja",1,0),"")</f>
        <v/>
      </c>
      <c r="AM523" s="1" t="str">
        <f>IF(AND(Programme_Grunddaten!$A528="Geprüft",Programme_Grunddaten!AU528&lt;&gt;""),IF(Programme_Grunddaten!AU528="Ja",1,0),"")</f>
        <v/>
      </c>
      <c r="AN523" s="1" t="str">
        <f>IF(AND(Programme_Grunddaten!$A528="Geprüft",Programme_Grunddaten!AV528&lt;&gt;""),IF(Programme_Grunddaten!AV528="Ja",1,0),"")</f>
        <v/>
      </c>
    </row>
    <row r="524" spans="1:40" x14ac:dyDescent="0.3">
      <c r="A524" s="1" t="str">
        <f>IF(AND(Programme_Grunddaten!A529="Geprüft",Programme_Grunddaten!B529&lt;&gt;""),Programme_Grunddaten!B529,"")</f>
        <v/>
      </c>
      <c r="B524" s="1" t="str">
        <f>IF(AND(Programme_Grunddaten!$A529="Geprüft",Programme_Grunddaten!I529&lt;&gt;""),IF(Programme_Grunddaten!I529="Ja",1,0),"")</f>
        <v/>
      </c>
      <c r="C524" s="1" t="str">
        <f>IF(AND(Programme_Grunddaten!$A529="Geprüft",Programme_Grunddaten!J529&lt;&gt;""),IF(Programme_Grunddaten!J529="Ja",1,0),"")</f>
        <v/>
      </c>
      <c r="D524" s="1" t="str">
        <f>IF(AND(Programme_Grunddaten!$A529="Geprüft",Programme_Grunddaten!K529&lt;&gt;""),IF(Programme_Grunddaten!K529="Ja",1,0),"")</f>
        <v/>
      </c>
      <c r="E524" s="1" t="str">
        <f>IF(AND(Programme_Grunddaten!$A529="Geprüft",Programme_Grunddaten!L529&lt;&gt;""),IF(Programme_Grunddaten!L529="Abo / befristete Lizenz",1,0),"")</f>
        <v/>
      </c>
      <c r="F524" s="1" t="str">
        <f>IF(AND(Programme_Grunddaten!$A529="Geprüft",Programme_Grunddaten!M529&lt;&gt;""),IF(Programme_Grunddaten!M529="Ja",1,0),"")</f>
        <v/>
      </c>
      <c r="G524" s="1" t="str">
        <f>IF(AND(Programme_Grunddaten!$A529="Geprüft",Programme_Grunddaten!N529&lt;&gt;""),IF(Programme_Grunddaten!N529="Ja",1,0),"")</f>
        <v/>
      </c>
      <c r="H524" s="1" t="str">
        <f>IF(AND(Programme_Grunddaten!$A529="Geprüft",Programme_Grunddaten!O529&lt;&gt;""),IF(Programme_Grunddaten!O529="Deutschland",0,IF(Programme_Grunddaten!O529="EU",1,2)),"")</f>
        <v/>
      </c>
      <c r="I524" s="1" t="str">
        <f>IF(AND(Programme_Grunddaten!$A529="Geprüft",Programme_Grunddaten!P529&lt;&gt;""),IF(Programme_Grunddaten!P529="Ja",1,0),"")</f>
        <v/>
      </c>
      <c r="J524" s="1" t="str">
        <f>IF(AND(Programme_Grunddaten!$A529="Geprüft",Programme_Grunddaten!Q529&lt;&gt;""),IF(Programme_Grunddaten!Q529="geschlossenes System",1,0),"")</f>
        <v/>
      </c>
      <c r="K524" s="1" t="str">
        <f>IF(AND(Programme_Grunddaten!$A529="Geprüft",Programme_Grunddaten!R529&lt;&gt;""),IF(Programme_Grunddaten!R529="Ja",1,0),"")</f>
        <v/>
      </c>
      <c r="L524" s="1" t="str">
        <f>IF(AND(Programme_Grunddaten!$A529="Geprüft",Programme_Grunddaten!T529&lt;&gt;""),IF(Programme_Grunddaten!T529="Ja",1,0),"")</f>
        <v/>
      </c>
      <c r="M524" s="1" t="str">
        <f>IF(AND(Programme_Grunddaten!$A529="Geprüft",Programme_Grunddaten!U529&lt;&gt;""),IF(Programme_Grunddaten!U529="Ja",1,0),"")</f>
        <v/>
      </c>
      <c r="N524" s="1" t="str">
        <f>IF(AND(Programme_Grunddaten!$A529="Geprüft",Programme_Grunddaten!V529&lt;&gt;""),IF(Programme_Grunddaten!V529="Ja",1,0),"")</f>
        <v/>
      </c>
      <c r="O524" s="1" t="str">
        <f>IF(AND(Programme_Grunddaten!$A529="Geprüft",Programme_Grunddaten!W529&lt;&gt;""),IF(Programme_Grunddaten!W529="Ja",1,0),"")</f>
        <v/>
      </c>
      <c r="P524" s="1" t="str">
        <f>IF(AND(Programme_Grunddaten!$A529="Geprüft",Programme_Grunddaten!X529&lt;&gt;""),IF(Programme_Grunddaten!X529="Ja",1,0),"")</f>
        <v/>
      </c>
      <c r="Q524" s="1" t="str">
        <f>IF(AND(Programme_Grunddaten!$A529="Geprüft",Programme_Grunddaten!Y529&lt;&gt;""),IF(Programme_Grunddaten!Y529="Ja",1,0),"")</f>
        <v/>
      </c>
      <c r="R524" s="1" t="str">
        <f>IF(AND(Programme_Grunddaten!$A529="Geprüft",Programme_Grunddaten!Z529&lt;&gt;""),IF(Programme_Grunddaten!Z529="Ja",1,0),"")</f>
        <v/>
      </c>
      <c r="S524" s="1" t="str">
        <f>IF(AND(Programme_Grunddaten!$A529="Geprüft",Programme_Grunddaten!AA529&lt;&gt;""),IF(Programme_Grunddaten!AA529="monolithisch",1,0),"")</f>
        <v/>
      </c>
      <c r="T524" s="1" t="str">
        <f>IF(AND(Programme_Grunddaten!$A529="Geprüft",Programme_Grunddaten!AB529&lt;&gt;""),IF(Programme_Grunddaten!AB529="Ja",1,0),"")</f>
        <v/>
      </c>
      <c r="U524" s="1" t="str">
        <f>IF(AND(Programme_Grunddaten!$A529="Geprüft",Programme_Grunddaten!AC529&lt;&gt;""),IF(Programme_Grunddaten!AC529="Ja",1,0),"")</f>
        <v/>
      </c>
      <c r="V524" s="1" t="str">
        <f>IF(AND(Programme_Grunddaten!$A529="Geprüft",Programme_Grunddaten!AD529&lt;&gt;""),IF(Programme_Grunddaten!AD529="Ja",1,0),"")</f>
        <v/>
      </c>
      <c r="W524" s="1" t="str">
        <f>IF(AND(Programme_Grunddaten!$A529="Geprüft",Programme_Grunddaten!AE529&lt;&gt;""),IF(Programme_Grunddaten!AE529="Ja",1,0),"")</f>
        <v/>
      </c>
      <c r="X524" s="1" t="str">
        <f>IF(AND(Programme_Grunddaten!$A529="Geprüft",Programme_Grunddaten!AF529&lt;&gt;""),IF(Programme_Grunddaten!AF529="Ja",1,0),"")</f>
        <v/>
      </c>
      <c r="Y524" s="1" t="str">
        <f>IF(AND(Programme_Grunddaten!$A529="Geprüft",Programme_Grunddaten!AG529&lt;&gt;""),IF(Programme_Grunddaten!AG529="Ja",1,0),"")</f>
        <v/>
      </c>
      <c r="Z524" s="1" t="str">
        <f>IF(AND(Programme_Grunddaten!$A529="Geprüft",Programme_Grunddaten!AH529&lt;&gt;""),IF(Programme_Grunddaten!AH529="Ja",1,0),"")</f>
        <v/>
      </c>
      <c r="AA524" s="1" t="str">
        <f>IF(AND(Programme_Grunddaten!$A529="Geprüft",Programme_Grunddaten!AI529&lt;&gt;""),IF(Programme_Grunddaten!AI529="Ja",1,0),"")</f>
        <v/>
      </c>
      <c r="AB524" s="1" t="str">
        <f>IF(AND(Programme_Grunddaten!$A529="Geprüft",Programme_Grunddaten!AJ529&lt;&gt;""),IF(Programme_Grunddaten!AJ529="individuell programmierbar",1,0),"")</f>
        <v/>
      </c>
      <c r="AC524" s="1" t="str">
        <f>IF(AND(Programme_Grunddaten!$A529="Geprüft",Programme_Grunddaten!AK529&lt;&gt;""),IF(Programme_Grunddaten!AK529="Deutsch",0,IF(Programme_Grunddaten!AK529="Deutsch und Englisch",1,2)),"")</f>
        <v/>
      </c>
      <c r="AD524" s="1" t="str">
        <f>IF(AND(Programme_Grunddaten!$A529="Geprüft",Programme_Grunddaten!AL529&lt;&gt;""),IF(Programme_Grunddaten!AL529="Ja",1,0),"")</f>
        <v/>
      </c>
      <c r="AE524" s="1" t="str">
        <f>IF(AND(Programme_Grunddaten!$A529="Geprüft",Programme_Grunddaten!AM529&lt;&gt;""),IF(Programme_Grunddaten!AM529="Ja",1,0),"")</f>
        <v/>
      </c>
      <c r="AF524" s="1" t="str">
        <f>IF(AND(Programme_Grunddaten!$A529="Geprüft",Programme_Grunddaten!AN529&lt;&gt;""),IF(Programme_Grunddaten!AN529="Ja",1,0),"")</f>
        <v/>
      </c>
      <c r="AG524" s="1" t="str">
        <f>IF(AND(Programme_Grunddaten!$A529="Geprüft",Programme_Grunddaten!AO529&lt;&gt;""),IF(Programme_Grunddaten!AO529="Ja",1,0),"")</f>
        <v/>
      </c>
      <c r="AH524" s="1" t="str">
        <f>IF(AND(Programme_Grunddaten!$A529="Geprüft",Programme_Grunddaten!AP529&lt;&gt;""),IF(Programme_Grunddaten!AP529="Ja",1,0),"")</f>
        <v/>
      </c>
      <c r="AI524" s="1" t="str">
        <f>IF(AND(Programme_Grunddaten!$A529="Geprüft",Programme_Grunddaten!AQ529&lt;&gt;""),IF(Programme_Grunddaten!AQ529="Ja",1,0),"")</f>
        <v/>
      </c>
      <c r="AJ524" s="1" t="str">
        <f>IF(AND(Programme_Grunddaten!$A529="Geprüft",Programme_Grunddaten!AR529&lt;&gt;""),IF(Programme_Grunddaten!AR529="Ja",1,0),"")</f>
        <v/>
      </c>
      <c r="AK524" s="1" t="str">
        <f>IF(AND(Programme_Grunddaten!$A529="Geprüft",Programme_Grunddaten!AS529&lt;&gt;""),IF(Programme_Grunddaten!AS529="Ja",1,0),"")</f>
        <v/>
      </c>
      <c r="AL524" s="1" t="str">
        <f>IF(AND(Programme_Grunddaten!$A529="Geprüft",Programme_Grunddaten!AT529&lt;&gt;""),IF(Programme_Grunddaten!AT529="Ja",1,0),"")</f>
        <v/>
      </c>
      <c r="AM524" s="1" t="str">
        <f>IF(AND(Programme_Grunddaten!$A529="Geprüft",Programme_Grunddaten!AU529&lt;&gt;""),IF(Programme_Grunddaten!AU529="Ja",1,0),"")</f>
        <v/>
      </c>
      <c r="AN524" s="1" t="str">
        <f>IF(AND(Programme_Grunddaten!$A529="Geprüft",Programme_Grunddaten!AV529&lt;&gt;""),IF(Programme_Grunddaten!AV529="Ja",1,0),"")</f>
        <v/>
      </c>
    </row>
    <row r="525" spans="1:40" x14ac:dyDescent="0.3">
      <c r="A525" s="1" t="str">
        <f>IF(AND(Programme_Grunddaten!A530="Geprüft",Programme_Grunddaten!B530&lt;&gt;""),Programme_Grunddaten!B530,"")</f>
        <v/>
      </c>
      <c r="B525" s="1" t="str">
        <f>IF(AND(Programme_Grunddaten!$A530="Geprüft",Programme_Grunddaten!I530&lt;&gt;""),IF(Programme_Grunddaten!I530="Ja",1,0),"")</f>
        <v/>
      </c>
      <c r="C525" s="1" t="str">
        <f>IF(AND(Programme_Grunddaten!$A530="Geprüft",Programme_Grunddaten!J530&lt;&gt;""),IF(Programme_Grunddaten!J530="Ja",1,0),"")</f>
        <v/>
      </c>
      <c r="D525" s="1" t="str">
        <f>IF(AND(Programme_Grunddaten!$A530="Geprüft",Programme_Grunddaten!K530&lt;&gt;""),IF(Programme_Grunddaten!K530="Ja",1,0),"")</f>
        <v/>
      </c>
      <c r="E525" s="1" t="str">
        <f>IF(AND(Programme_Grunddaten!$A530="Geprüft",Programme_Grunddaten!L530&lt;&gt;""),IF(Programme_Grunddaten!L530="Abo / befristete Lizenz",1,0),"")</f>
        <v/>
      </c>
      <c r="F525" s="1" t="str">
        <f>IF(AND(Programme_Grunddaten!$A530="Geprüft",Programme_Grunddaten!M530&lt;&gt;""),IF(Programme_Grunddaten!M530="Ja",1,0),"")</f>
        <v/>
      </c>
      <c r="G525" s="1" t="str">
        <f>IF(AND(Programme_Grunddaten!$A530="Geprüft",Programme_Grunddaten!N530&lt;&gt;""),IF(Programme_Grunddaten!N530="Ja",1,0),"")</f>
        <v/>
      </c>
      <c r="H525" s="1" t="str">
        <f>IF(AND(Programme_Grunddaten!$A530="Geprüft",Programme_Grunddaten!O530&lt;&gt;""),IF(Programme_Grunddaten!O530="Deutschland",0,IF(Programme_Grunddaten!O530="EU",1,2)),"")</f>
        <v/>
      </c>
      <c r="I525" s="1" t="str">
        <f>IF(AND(Programme_Grunddaten!$A530="Geprüft",Programme_Grunddaten!P530&lt;&gt;""),IF(Programme_Grunddaten!P530="Ja",1,0),"")</f>
        <v/>
      </c>
      <c r="J525" s="1" t="str">
        <f>IF(AND(Programme_Grunddaten!$A530="Geprüft",Programme_Grunddaten!Q530&lt;&gt;""),IF(Programme_Grunddaten!Q530="geschlossenes System",1,0),"")</f>
        <v/>
      </c>
      <c r="K525" s="1" t="str">
        <f>IF(AND(Programme_Grunddaten!$A530="Geprüft",Programme_Grunddaten!R530&lt;&gt;""),IF(Programme_Grunddaten!R530="Ja",1,0),"")</f>
        <v/>
      </c>
      <c r="L525" s="1" t="str">
        <f>IF(AND(Programme_Grunddaten!$A530="Geprüft",Programme_Grunddaten!T530&lt;&gt;""),IF(Programme_Grunddaten!T530="Ja",1,0),"")</f>
        <v/>
      </c>
      <c r="M525" s="1" t="str">
        <f>IF(AND(Programme_Grunddaten!$A530="Geprüft",Programme_Grunddaten!U530&lt;&gt;""),IF(Programme_Grunddaten!U530="Ja",1,0),"")</f>
        <v/>
      </c>
      <c r="N525" s="1" t="str">
        <f>IF(AND(Programme_Grunddaten!$A530="Geprüft",Programme_Grunddaten!V530&lt;&gt;""),IF(Programme_Grunddaten!V530="Ja",1,0),"")</f>
        <v/>
      </c>
      <c r="O525" s="1" t="str">
        <f>IF(AND(Programme_Grunddaten!$A530="Geprüft",Programme_Grunddaten!W530&lt;&gt;""),IF(Programme_Grunddaten!W530="Ja",1,0),"")</f>
        <v/>
      </c>
      <c r="P525" s="1" t="str">
        <f>IF(AND(Programme_Grunddaten!$A530="Geprüft",Programme_Grunddaten!X530&lt;&gt;""),IF(Programme_Grunddaten!X530="Ja",1,0),"")</f>
        <v/>
      </c>
      <c r="Q525" s="1" t="str">
        <f>IF(AND(Programme_Grunddaten!$A530="Geprüft",Programme_Grunddaten!Y530&lt;&gt;""),IF(Programme_Grunddaten!Y530="Ja",1,0),"")</f>
        <v/>
      </c>
      <c r="R525" s="1" t="str">
        <f>IF(AND(Programme_Grunddaten!$A530="Geprüft",Programme_Grunddaten!Z530&lt;&gt;""),IF(Programme_Grunddaten!Z530="Ja",1,0),"")</f>
        <v/>
      </c>
      <c r="S525" s="1" t="str">
        <f>IF(AND(Programme_Grunddaten!$A530="Geprüft",Programme_Grunddaten!AA530&lt;&gt;""),IF(Programme_Grunddaten!AA530="monolithisch",1,0),"")</f>
        <v/>
      </c>
      <c r="T525" s="1" t="str">
        <f>IF(AND(Programme_Grunddaten!$A530="Geprüft",Programme_Grunddaten!AB530&lt;&gt;""),IF(Programme_Grunddaten!AB530="Ja",1,0),"")</f>
        <v/>
      </c>
      <c r="U525" s="1" t="str">
        <f>IF(AND(Programme_Grunddaten!$A530="Geprüft",Programme_Grunddaten!AC530&lt;&gt;""),IF(Programme_Grunddaten!AC530="Ja",1,0),"")</f>
        <v/>
      </c>
      <c r="V525" s="1" t="str">
        <f>IF(AND(Programme_Grunddaten!$A530="Geprüft",Programme_Grunddaten!AD530&lt;&gt;""),IF(Programme_Grunddaten!AD530="Ja",1,0),"")</f>
        <v/>
      </c>
      <c r="W525" s="1" t="str">
        <f>IF(AND(Programme_Grunddaten!$A530="Geprüft",Programme_Grunddaten!AE530&lt;&gt;""),IF(Programme_Grunddaten!AE530="Ja",1,0),"")</f>
        <v/>
      </c>
      <c r="X525" s="1" t="str">
        <f>IF(AND(Programme_Grunddaten!$A530="Geprüft",Programme_Grunddaten!AF530&lt;&gt;""),IF(Programme_Grunddaten!AF530="Ja",1,0),"")</f>
        <v/>
      </c>
      <c r="Y525" s="1" t="str">
        <f>IF(AND(Programme_Grunddaten!$A530="Geprüft",Programme_Grunddaten!AG530&lt;&gt;""),IF(Programme_Grunddaten!AG530="Ja",1,0),"")</f>
        <v/>
      </c>
      <c r="Z525" s="1" t="str">
        <f>IF(AND(Programme_Grunddaten!$A530="Geprüft",Programme_Grunddaten!AH530&lt;&gt;""),IF(Programme_Grunddaten!AH530="Ja",1,0),"")</f>
        <v/>
      </c>
      <c r="AA525" s="1" t="str">
        <f>IF(AND(Programme_Grunddaten!$A530="Geprüft",Programme_Grunddaten!AI530&lt;&gt;""),IF(Programme_Grunddaten!AI530="Ja",1,0),"")</f>
        <v/>
      </c>
      <c r="AB525" s="1" t="str">
        <f>IF(AND(Programme_Grunddaten!$A530="Geprüft",Programme_Grunddaten!AJ530&lt;&gt;""),IF(Programme_Grunddaten!AJ530="individuell programmierbar",1,0),"")</f>
        <v/>
      </c>
      <c r="AC525" s="1" t="str">
        <f>IF(AND(Programme_Grunddaten!$A530="Geprüft",Programme_Grunddaten!AK530&lt;&gt;""),IF(Programme_Grunddaten!AK530="Deutsch",0,IF(Programme_Grunddaten!AK530="Deutsch und Englisch",1,2)),"")</f>
        <v/>
      </c>
      <c r="AD525" s="1" t="str">
        <f>IF(AND(Programme_Grunddaten!$A530="Geprüft",Programme_Grunddaten!AL530&lt;&gt;""),IF(Programme_Grunddaten!AL530="Ja",1,0),"")</f>
        <v/>
      </c>
      <c r="AE525" s="1" t="str">
        <f>IF(AND(Programme_Grunddaten!$A530="Geprüft",Programme_Grunddaten!AM530&lt;&gt;""),IF(Programme_Grunddaten!AM530="Ja",1,0),"")</f>
        <v/>
      </c>
      <c r="AF525" s="1" t="str">
        <f>IF(AND(Programme_Grunddaten!$A530="Geprüft",Programme_Grunddaten!AN530&lt;&gt;""),IF(Programme_Grunddaten!AN530="Ja",1,0),"")</f>
        <v/>
      </c>
      <c r="AG525" s="1" t="str">
        <f>IF(AND(Programme_Grunddaten!$A530="Geprüft",Programme_Grunddaten!AO530&lt;&gt;""),IF(Programme_Grunddaten!AO530="Ja",1,0),"")</f>
        <v/>
      </c>
      <c r="AH525" s="1" t="str">
        <f>IF(AND(Programme_Grunddaten!$A530="Geprüft",Programme_Grunddaten!AP530&lt;&gt;""),IF(Programme_Grunddaten!AP530="Ja",1,0),"")</f>
        <v/>
      </c>
      <c r="AI525" s="1" t="str">
        <f>IF(AND(Programme_Grunddaten!$A530="Geprüft",Programme_Grunddaten!AQ530&lt;&gt;""),IF(Programme_Grunddaten!AQ530="Ja",1,0),"")</f>
        <v/>
      </c>
      <c r="AJ525" s="1" t="str">
        <f>IF(AND(Programme_Grunddaten!$A530="Geprüft",Programme_Grunddaten!AR530&lt;&gt;""),IF(Programme_Grunddaten!AR530="Ja",1,0),"")</f>
        <v/>
      </c>
      <c r="AK525" s="1" t="str">
        <f>IF(AND(Programme_Grunddaten!$A530="Geprüft",Programme_Grunddaten!AS530&lt;&gt;""),IF(Programme_Grunddaten!AS530="Ja",1,0),"")</f>
        <v/>
      </c>
      <c r="AL525" s="1" t="str">
        <f>IF(AND(Programme_Grunddaten!$A530="Geprüft",Programme_Grunddaten!AT530&lt;&gt;""),IF(Programme_Grunddaten!AT530="Ja",1,0),"")</f>
        <v/>
      </c>
      <c r="AM525" s="1" t="str">
        <f>IF(AND(Programme_Grunddaten!$A530="Geprüft",Programme_Grunddaten!AU530&lt;&gt;""),IF(Programme_Grunddaten!AU530="Ja",1,0),"")</f>
        <v/>
      </c>
      <c r="AN525" s="1" t="str">
        <f>IF(AND(Programme_Grunddaten!$A530="Geprüft",Programme_Grunddaten!AV530&lt;&gt;""),IF(Programme_Grunddaten!AV530="Ja",1,0),"")</f>
        <v/>
      </c>
    </row>
    <row r="526" spans="1:40" x14ac:dyDescent="0.3">
      <c r="A526" s="1" t="str">
        <f>IF(AND(Programme_Grunddaten!A531="Geprüft",Programme_Grunddaten!B531&lt;&gt;""),Programme_Grunddaten!B531,"")</f>
        <v/>
      </c>
      <c r="B526" s="1" t="str">
        <f>IF(AND(Programme_Grunddaten!$A531="Geprüft",Programme_Grunddaten!I531&lt;&gt;""),IF(Programme_Grunddaten!I531="Ja",1,0),"")</f>
        <v/>
      </c>
      <c r="C526" s="1" t="str">
        <f>IF(AND(Programme_Grunddaten!$A531="Geprüft",Programme_Grunddaten!J531&lt;&gt;""),IF(Programme_Grunddaten!J531="Ja",1,0),"")</f>
        <v/>
      </c>
      <c r="D526" s="1" t="str">
        <f>IF(AND(Programme_Grunddaten!$A531="Geprüft",Programme_Grunddaten!K531&lt;&gt;""),IF(Programme_Grunddaten!K531="Ja",1,0),"")</f>
        <v/>
      </c>
      <c r="E526" s="1" t="str">
        <f>IF(AND(Programme_Grunddaten!$A531="Geprüft",Programme_Grunddaten!L531&lt;&gt;""),IF(Programme_Grunddaten!L531="Abo / befristete Lizenz",1,0),"")</f>
        <v/>
      </c>
      <c r="F526" s="1" t="str">
        <f>IF(AND(Programme_Grunddaten!$A531="Geprüft",Programme_Grunddaten!M531&lt;&gt;""),IF(Programme_Grunddaten!M531="Ja",1,0),"")</f>
        <v/>
      </c>
      <c r="G526" s="1" t="str">
        <f>IF(AND(Programme_Grunddaten!$A531="Geprüft",Programme_Grunddaten!N531&lt;&gt;""),IF(Programme_Grunddaten!N531="Ja",1,0),"")</f>
        <v/>
      </c>
      <c r="H526" s="1" t="str">
        <f>IF(AND(Programme_Grunddaten!$A531="Geprüft",Programme_Grunddaten!O531&lt;&gt;""),IF(Programme_Grunddaten!O531="Deutschland",0,IF(Programme_Grunddaten!O531="EU",1,2)),"")</f>
        <v/>
      </c>
      <c r="I526" s="1" t="str">
        <f>IF(AND(Programme_Grunddaten!$A531="Geprüft",Programme_Grunddaten!P531&lt;&gt;""),IF(Programme_Grunddaten!P531="Ja",1,0),"")</f>
        <v/>
      </c>
      <c r="J526" s="1" t="str">
        <f>IF(AND(Programme_Grunddaten!$A531="Geprüft",Programme_Grunddaten!Q531&lt;&gt;""),IF(Programme_Grunddaten!Q531="geschlossenes System",1,0),"")</f>
        <v/>
      </c>
      <c r="K526" s="1" t="str">
        <f>IF(AND(Programme_Grunddaten!$A531="Geprüft",Programme_Grunddaten!R531&lt;&gt;""),IF(Programme_Grunddaten!R531="Ja",1,0),"")</f>
        <v/>
      </c>
      <c r="L526" s="1" t="str">
        <f>IF(AND(Programme_Grunddaten!$A531="Geprüft",Programme_Grunddaten!T531&lt;&gt;""),IF(Programme_Grunddaten!T531="Ja",1,0),"")</f>
        <v/>
      </c>
      <c r="M526" s="1" t="str">
        <f>IF(AND(Programme_Grunddaten!$A531="Geprüft",Programme_Grunddaten!U531&lt;&gt;""),IF(Programme_Grunddaten!U531="Ja",1,0),"")</f>
        <v/>
      </c>
      <c r="N526" s="1" t="str">
        <f>IF(AND(Programme_Grunddaten!$A531="Geprüft",Programme_Grunddaten!V531&lt;&gt;""),IF(Programme_Grunddaten!V531="Ja",1,0),"")</f>
        <v/>
      </c>
      <c r="O526" s="1" t="str">
        <f>IF(AND(Programme_Grunddaten!$A531="Geprüft",Programme_Grunddaten!W531&lt;&gt;""),IF(Programme_Grunddaten!W531="Ja",1,0),"")</f>
        <v/>
      </c>
      <c r="P526" s="1" t="str">
        <f>IF(AND(Programme_Grunddaten!$A531="Geprüft",Programme_Grunddaten!X531&lt;&gt;""),IF(Programme_Grunddaten!X531="Ja",1,0),"")</f>
        <v/>
      </c>
      <c r="Q526" s="1" t="str">
        <f>IF(AND(Programme_Grunddaten!$A531="Geprüft",Programme_Grunddaten!Y531&lt;&gt;""),IF(Programme_Grunddaten!Y531="Ja",1,0),"")</f>
        <v/>
      </c>
      <c r="R526" s="1" t="str">
        <f>IF(AND(Programme_Grunddaten!$A531="Geprüft",Programme_Grunddaten!Z531&lt;&gt;""),IF(Programme_Grunddaten!Z531="Ja",1,0),"")</f>
        <v/>
      </c>
      <c r="S526" s="1" t="str">
        <f>IF(AND(Programme_Grunddaten!$A531="Geprüft",Programme_Grunddaten!AA531&lt;&gt;""),IF(Programme_Grunddaten!AA531="monolithisch",1,0),"")</f>
        <v/>
      </c>
      <c r="T526" s="1" t="str">
        <f>IF(AND(Programme_Grunddaten!$A531="Geprüft",Programme_Grunddaten!AB531&lt;&gt;""),IF(Programme_Grunddaten!AB531="Ja",1,0),"")</f>
        <v/>
      </c>
      <c r="U526" s="1" t="str">
        <f>IF(AND(Programme_Grunddaten!$A531="Geprüft",Programme_Grunddaten!AC531&lt;&gt;""),IF(Programme_Grunddaten!AC531="Ja",1,0),"")</f>
        <v/>
      </c>
      <c r="V526" s="1" t="str">
        <f>IF(AND(Programme_Grunddaten!$A531="Geprüft",Programme_Grunddaten!AD531&lt;&gt;""),IF(Programme_Grunddaten!AD531="Ja",1,0),"")</f>
        <v/>
      </c>
      <c r="W526" s="1" t="str">
        <f>IF(AND(Programme_Grunddaten!$A531="Geprüft",Programme_Grunddaten!AE531&lt;&gt;""),IF(Programme_Grunddaten!AE531="Ja",1,0),"")</f>
        <v/>
      </c>
      <c r="X526" s="1" t="str">
        <f>IF(AND(Programme_Grunddaten!$A531="Geprüft",Programme_Grunddaten!AF531&lt;&gt;""),IF(Programme_Grunddaten!AF531="Ja",1,0),"")</f>
        <v/>
      </c>
      <c r="Y526" s="1" t="str">
        <f>IF(AND(Programme_Grunddaten!$A531="Geprüft",Programme_Grunddaten!AG531&lt;&gt;""),IF(Programme_Grunddaten!AG531="Ja",1,0),"")</f>
        <v/>
      </c>
      <c r="Z526" s="1" t="str">
        <f>IF(AND(Programme_Grunddaten!$A531="Geprüft",Programme_Grunddaten!AH531&lt;&gt;""),IF(Programme_Grunddaten!AH531="Ja",1,0),"")</f>
        <v/>
      </c>
      <c r="AA526" s="1" t="str">
        <f>IF(AND(Programme_Grunddaten!$A531="Geprüft",Programme_Grunddaten!AI531&lt;&gt;""),IF(Programme_Grunddaten!AI531="Ja",1,0),"")</f>
        <v/>
      </c>
      <c r="AB526" s="1" t="str">
        <f>IF(AND(Programme_Grunddaten!$A531="Geprüft",Programme_Grunddaten!AJ531&lt;&gt;""),IF(Programme_Grunddaten!AJ531="individuell programmierbar",1,0),"")</f>
        <v/>
      </c>
      <c r="AC526" s="1" t="str">
        <f>IF(AND(Programme_Grunddaten!$A531="Geprüft",Programme_Grunddaten!AK531&lt;&gt;""),IF(Programme_Grunddaten!AK531="Deutsch",0,IF(Programme_Grunddaten!AK531="Deutsch und Englisch",1,2)),"")</f>
        <v/>
      </c>
      <c r="AD526" s="1" t="str">
        <f>IF(AND(Programme_Grunddaten!$A531="Geprüft",Programme_Grunddaten!AL531&lt;&gt;""),IF(Programme_Grunddaten!AL531="Ja",1,0),"")</f>
        <v/>
      </c>
      <c r="AE526" s="1" t="str">
        <f>IF(AND(Programme_Grunddaten!$A531="Geprüft",Programme_Grunddaten!AM531&lt;&gt;""),IF(Programme_Grunddaten!AM531="Ja",1,0),"")</f>
        <v/>
      </c>
      <c r="AF526" s="1" t="str">
        <f>IF(AND(Programme_Grunddaten!$A531="Geprüft",Programme_Grunddaten!AN531&lt;&gt;""),IF(Programme_Grunddaten!AN531="Ja",1,0),"")</f>
        <v/>
      </c>
      <c r="AG526" s="1" t="str">
        <f>IF(AND(Programme_Grunddaten!$A531="Geprüft",Programme_Grunddaten!AO531&lt;&gt;""),IF(Programme_Grunddaten!AO531="Ja",1,0),"")</f>
        <v/>
      </c>
      <c r="AH526" s="1" t="str">
        <f>IF(AND(Programme_Grunddaten!$A531="Geprüft",Programme_Grunddaten!AP531&lt;&gt;""),IF(Programme_Grunddaten!AP531="Ja",1,0),"")</f>
        <v/>
      </c>
      <c r="AI526" s="1" t="str">
        <f>IF(AND(Programme_Grunddaten!$A531="Geprüft",Programme_Grunddaten!AQ531&lt;&gt;""),IF(Programme_Grunddaten!AQ531="Ja",1,0),"")</f>
        <v/>
      </c>
      <c r="AJ526" s="1" t="str">
        <f>IF(AND(Programme_Grunddaten!$A531="Geprüft",Programme_Grunddaten!AR531&lt;&gt;""),IF(Programme_Grunddaten!AR531="Ja",1,0),"")</f>
        <v/>
      </c>
      <c r="AK526" s="1" t="str">
        <f>IF(AND(Programme_Grunddaten!$A531="Geprüft",Programme_Grunddaten!AS531&lt;&gt;""),IF(Programme_Grunddaten!AS531="Ja",1,0),"")</f>
        <v/>
      </c>
      <c r="AL526" s="1" t="str">
        <f>IF(AND(Programme_Grunddaten!$A531="Geprüft",Programme_Grunddaten!AT531&lt;&gt;""),IF(Programme_Grunddaten!AT531="Ja",1,0),"")</f>
        <v/>
      </c>
      <c r="AM526" s="1" t="str">
        <f>IF(AND(Programme_Grunddaten!$A531="Geprüft",Programme_Grunddaten!AU531&lt;&gt;""),IF(Programme_Grunddaten!AU531="Ja",1,0),"")</f>
        <v/>
      </c>
      <c r="AN526" s="1" t="str">
        <f>IF(AND(Programme_Grunddaten!$A531="Geprüft",Programme_Grunddaten!AV531&lt;&gt;""),IF(Programme_Grunddaten!AV531="Ja",1,0),"")</f>
        <v/>
      </c>
    </row>
    <row r="527" spans="1:40" x14ac:dyDescent="0.3">
      <c r="A527" s="1" t="str">
        <f>IF(AND(Programme_Grunddaten!A532="Geprüft",Programme_Grunddaten!B532&lt;&gt;""),Programme_Grunddaten!B532,"")</f>
        <v/>
      </c>
      <c r="B527" s="1" t="str">
        <f>IF(AND(Programme_Grunddaten!$A532="Geprüft",Programme_Grunddaten!I532&lt;&gt;""),IF(Programme_Grunddaten!I532="Ja",1,0),"")</f>
        <v/>
      </c>
      <c r="C527" s="1" t="str">
        <f>IF(AND(Programme_Grunddaten!$A532="Geprüft",Programme_Grunddaten!J532&lt;&gt;""),IF(Programme_Grunddaten!J532="Ja",1,0),"")</f>
        <v/>
      </c>
      <c r="D527" s="1" t="str">
        <f>IF(AND(Programme_Grunddaten!$A532="Geprüft",Programme_Grunddaten!K532&lt;&gt;""),IF(Programme_Grunddaten!K532="Ja",1,0),"")</f>
        <v/>
      </c>
      <c r="E527" s="1" t="str">
        <f>IF(AND(Programme_Grunddaten!$A532="Geprüft",Programme_Grunddaten!L532&lt;&gt;""),IF(Programme_Grunddaten!L532="Abo / befristete Lizenz",1,0),"")</f>
        <v/>
      </c>
      <c r="F527" s="1" t="str">
        <f>IF(AND(Programme_Grunddaten!$A532="Geprüft",Programme_Grunddaten!M532&lt;&gt;""),IF(Programme_Grunddaten!M532="Ja",1,0),"")</f>
        <v/>
      </c>
      <c r="G527" s="1" t="str">
        <f>IF(AND(Programme_Grunddaten!$A532="Geprüft",Programme_Grunddaten!N532&lt;&gt;""),IF(Programme_Grunddaten!N532="Ja",1,0),"")</f>
        <v/>
      </c>
      <c r="H527" s="1" t="str">
        <f>IF(AND(Programme_Grunddaten!$A532="Geprüft",Programme_Grunddaten!O532&lt;&gt;""),IF(Programme_Grunddaten!O532="Deutschland",0,IF(Programme_Grunddaten!O532="EU",1,2)),"")</f>
        <v/>
      </c>
      <c r="I527" s="1" t="str">
        <f>IF(AND(Programme_Grunddaten!$A532="Geprüft",Programme_Grunddaten!P532&lt;&gt;""),IF(Programme_Grunddaten!P532="Ja",1,0),"")</f>
        <v/>
      </c>
      <c r="J527" s="1" t="str">
        <f>IF(AND(Programme_Grunddaten!$A532="Geprüft",Programme_Grunddaten!Q532&lt;&gt;""),IF(Programme_Grunddaten!Q532="geschlossenes System",1,0),"")</f>
        <v/>
      </c>
      <c r="K527" s="1" t="str">
        <f>IF(AND(Programme_Grunddaten!$A532="Geprüft",Programme_Grunddaten!R532&lt;&gt;""),IF(Programme_Grunddaten!R532="Ja",1,0),"")</f>
        <v/>
      </c>
      <c r="L527" s="1" t="str">
        <f>IF(AND(Programme_Grunddaten!$A532="Geprüft",Programme_Grunddaten!T532&lt;&gt;""),IF(Programme_Grunddaten!T532="Ja",1,0),"")</f>
        <v/>
      </c>
      <c r="M527" s="1" t="str">
        <f>IF(AND(Programme_Grunddaten!$A532="Geprüft",Programme_Grunddaten!U532&lt;&gt;""),IF(Programme_Grunddaten!U532="Ja",1,0),"")</f>
        <v/>
      </c>
      <c r="N527" s="1" t="str">
        <f>IF(AND(Programme_Grunddaten!$A532="Geprüft",Programme_Grunddaten!V532&lt;&gt;""),IF(Programme_Grunddaten!V532="Ja",1,0),"")</f>
        <v/>
      </c>
      <c r="O527" s="1" t="str">
        <f>IF(AND(Programme_Grunddaten!$A532="Geprüft",Programme_Grunddaten!W532&lt;&gt;""),IF(Programme_Grunddaten!W532="Ja",1,0),"")</f>
        <v/>
      </c>
      <c r="P527" s="1" t="str">
        <f>IF(AND(Programme_Grunddaten!$A532="Geprüft",Programme_Grunddaten!X532&lt;&gt;""),IF(Programme_Grunddaten!X532="Ja",1,0),"")</f>
        <v/>
      </c>
      <c r="Q527" s="1" t="str">
        <f>IF(AND(Programme_Grunddaten!$A532="Geprüft",Programme_Grunddaten!Y532&lt;&gt;""),IF(Programme_Grunddaten!Y532="Ja",1,0),"")</f>
        <v/>
      </c>
      <c r="R527" s="1" t="str">
        <f>IF(AND(Programme_Grunddaten!$A532="Geprüft",Programme_Grunddaten!Z532&lt;&gt;""),IF(Programme_Grunddaten!Z532="Ja",1,0),"")</f>
        <v/>
      </c>
      <c r="S527" s="1" t="str">
        <f>IF(AND(Programme_Grunddaten!$A532="Geprüft",Programme_Grunddaten!AA532&lt;&gt;""),IF(Programme_Grunddaten!AA532="monolithisch",1,0),"")</f>
        <v/>
      </c>
      <c r="T527" s="1" t="str">
        <f>IF(AND(Programme_Grunddaten!$A532="Geprüft",Programme_Grunddaten!AB532&lt;&gt;""),IF(Programme_Grunddaten!AB532="Ja",1,0),"")</f>
        <v/>
      </c>
      <c r="U527" s="1" t="str">
        <f>IF(AND(Programme_Grunddaten!$A532="Geprüft",Programme_Grunddaten!AC532&lt;&gt;""),IF(Programme_Grunddaten!AC532="Ja",1,0),"")</f>
        <v/>
      </c>
      <c r="V527" s="1" t="str">
        <f>IF(AND(Programme_Grunddaten!$A532="Geprüft",Programme_Grunddaten!AD532&lt;&gt;""),IF(Programme_Grunddaten!AD532="Ja",1,0),"")</f>
        <v/>
      </c>
      <c r="W527" s="1" t="str">
        <f>IF(AND(Programme_Grunddaten!$A532="Geprüft",Programme_Grunddaten!AE532&lt;&gt;""),IF(Programme_Grunddaten!AE532="Ja",1,0),"")</f>
        <v/>
      </c>
      <c r="X527" s="1" t="str">
        <f>IF(AND(Programme_Grunddaten!$A532="Geprüft",Programme_Grunddaten!AF532&lt;&gt;""),IF(Programme_Grunddaten!AF532="Ja",1,0),"")</f>
        <v/>
      </c>
      <c r="Y527" s="1" t="str">
        <f>IF(AND(Programme_Grunddaten!$A532="Geprüft",Programme_Grunddaten!AG532&lt;&gt;""),IF(Programme_Grunddaten!AG532="Ja",1,0),"")</f>
        <v/>
      </c>
      <c r="Z527" s="1" t="str">
        <f>IF(AND(Programme_Grunddaten!$A532="Geprüft",Programme_Grunddaten!AH532&lt;&gt;""),IF(Programme_Grunddaten!AH532="Ja",1,0),"")</f>
        <v/>
      </c>
      <c r="AA527" s="1" t="str">
        <f>IF(AND(Programme_Grunddaten!$A532="Geprüft",Programme_Grunddaten!AI532&lt;&gt;""),IF(Programme_Grunddaten!AI532="Ja",1,0),"")</f>
        <v/>
      </c>
      <c r="AB527" s="1" t="str">
        <f>IF(AND(Programme_Grunddaten!$A532="Geprüft",Programme_Grunddaten!AJ532&lt;&gt;""),IF(Programme_Grunddaten!AJ532="individuell programmierbar",1,0),"")</f>
        <v/>
      </c>
      <c r="AC527" s="1" t="str">
        <f>IF(AND(Programme_Grunddaten!$A532="Geprüft",Programme_Grunddaten!AK532&lt;&gt;""),IF(Programme_Grunddaten!AK532="Deutsch",0,IF(Programme_Grunddaten!AK532="Deutsch und Englisch",1,2)),"")</f>
        <v/>
      </c>
      <c r="AD527" s="1" t="str">
        <f>IF(AND(Programme_Grunddaten!$A532="Geprüft",Programme_Grunddaten!AL532&lt;&gt;""),IF(Programme_Grunddaten!AL532="Ja",1,0),"")</f>
        <v/>
      </c>
      <c r="AE527" s="1" t="str">
        <f>IF(AND(Programme_Grunddaten!$A532="Geprüft",Programme_Grunddaten!AM532&lt;&gt;""),IF(Programme_Grunddaten!AM532="Ja",1,0),"")</f>
        <v/>
      </c>
      <c r="AF527" s="1" t="str">
        <f>IF(AND(Programme_Grunddaten!$A532="Geprüft",Programme_Grunddaten!AN532&lt;&gt;""),IF(Programme_Grunddaten!AN532="Ja",1,0),"")</f>
        <v/>
      </c>
      <c r="AG527" s="1" t="str">
        <f>IF(AND(Programme_Grunddaten!$A532="Geprüft",Programme_Grunddaten!AO532&lt;&gt;""),IF(Programme_Grunddaten!AO532="Ja",1,0),"")</f>
        <v/>
      </c>
      <c r="AH527" s="1" t="str">
        <f>IF(AND(Programme_Grunddaten!$A532="Geprüft",Programme_Grunddaten!AP532&lt;&gt;""),IF(Programme_Grunddaten!AP532="Ja",1,0),"")</f>
        <v/>
      </c>
      <c r="AI527" s="1" t="str">
        <f>IF(AND(Programme_Grunddaten!$A532="Geprüft",Programme_Grunddaten!AQ532&lt;&gt;""),IF(Programme_Grunddaten!AQ532="Ja",1,0),"")</f>
        <v/>
      </c>
      <c r="AJ527" s="1" t="str">
        <f>IF(AND(Programme_Grunddaten!$A532="Geprüft",Programme_Grunddaten!AR532&lt;&gt;""),IF(Programme_Grunddaten!AR532="Ja",1,0),"")</f>
        <v/>
      </c>
      <c r="AK527" s="1" t="str">
        <f>IF(AND(Programme_Grunddaten!$A532="Geprüft",Programme_Grunddaten!AS532&lt;&gt;""),IF(Programme_Grunddaten!AS532="Ja",1,0),"")</f>
        <v/>
      </c>
      <c r="AL527" s="1" t="str">
        <f>IF(AND(Programme_Grunddaten!$A532="Geprüft",Programme_Grunddaten!AT532&lt;&gt;""),IF(Programme_Grunddaten!AT532="Ja",1,0),"")</f>
        <v/>
      </c>
      <c r="AM527" s="1" t="str">
        <f>IF(AND(Programme_Grunddaten!$A532="Geprüft",Programme_Grunddaten!AU532&lt;&gt;""),IF(Programme_Grunddaten!AU532="Ja",1,0),"")</f>
        <v/>
      </c>
      <c r="AN527" s="1" t="str">
        <f>IF(AND(Programme_Grunddaten!$A532="Geprüft",Programme_Grunddaten!AV532&lt;&gt;""),IF(Programme_Grunddaten!AV532="Ja",1,0),"")</f>
        <v/>
      </c>
    </row>
    <row r="528" spans="1:40" x14ac:dyDescent="0.3">
      <c r="A528" s="1" t="str">
        <f>IF(AND(Programme_Grunddaten!A533="Geprüft",Programme_Grunddaten!B533&lt;&gt;""),Programme_Grunddaten!B533,"")</f>
        <v/>
      </c>
      <c r="B528" s="1" t="str">
        <f>IF(AND(Programme_Grunddaten!$A533="Geprüft",Programme_Grunddaten!I533&lt;&gt;""),IF(Programme_Grunddaten!I533="Ja",1,0),"")</f>
        <v/>
      </c>
      <c r="C528" s="1" t="str">
        <f>IF(AND(Programme_Grunddaten!$A533="Geprüft",Programme_Grunddaten!J533&lt;&gt;""),IF(Programme_Grunddaten!J533="Ja",1,0),"")</f>
        <v/>
      </c>
      <c r="D528" s="1" t="str">
        <f>IF(AND(Programme_Grunddaten!$A533="Geprüft",Programme_Grunddaten!K533&lt;&gt;""),IF(Programme_Grunddaten!K533="Ja",1,0),"")</f>
        <v/>
      </c>
      <c r="E528" s="1" t="str">
        <f>IF(AND(Programme_Grunddaten!$A533="Geprüft",Programme_Grunddaten!L533&lt;&gt;""),IF(Programme_Grunddaten!L533="Abo / befristete Lizenz",1,0),"")</f>
        <v/>
      </c>
      <c r="F528" s="1" t="str">
        <f>IF(AND(Programme_Grunddaten!$A533="Geprüft",Programme_Grunddaten!M533&lt;&gt;""),IF(Programme_Grunddaten!M533="Ja",1,0),"")</f>
        <v/>
      </c>
      <c r="G528" s="1" t="str">
        <f>IF(AND(Programme_Grunddaten!$A533="Geprüft",Programme_Grunddaten!N533&lt;&gt;""),IF(Programme_Grunddaten!N533="Ja",1,0),"")</f>
        <v/>
      </c>
      <c r="H528" s="1" t="str">
        <f>IF(AND(Programme_Grunddaten!$A533="Geprüft",Programme_Grunddaten!O533&lt;&gt;""),IF(Programme_Grunddaten!O533="Deutschland",0,IF(Programme_Grunddaten!O533="EU",1,2)),"")</f>
        <v/>
      </c>
      <c r="I528" s="1" t="str">
        <f>IF(AND(Programme_Grunddaten!$A533="Geprüft",Programme_Grunddaten!P533&lt;&gt;""),IF(Programme_Grunddaten!P533="Ja",1,0),"")</f>
        <v/>
      </c>
      <c r="J528" s="1" t="str">
        <f>IF(AND(Programme_Grunddaten!$A533="Geprüft",Programme_Grunddaten!Q533&lt;&gt;""),IF(Programme_Grunddaten!Q533="geschlossenes System",1,0),"")</f>
        <v/>
      </c>
      <c r="K528" s="1" t="str">
        <f>IF(AND(Programme_Grunddaten!$A533="Geprüft",Programme_Grunddaten!R533&lt;&gt;""),IF(Programme_Grunddaten!R533="Ja",1,0),"")</f>
        <v/>
      </c>
      <c r="L528" s="1" t="str">
        <f>IF(AND(Programme_Grunddaten!$A533="Geprüft",Programme_Grunddaten!T533&lt;&gt;""),IF(Programme_Grunddaten!T533="Ja",1,0),"")</f>
        <v/>
      </c>
      <c r="M528" s="1" t="str">
        <f>IF(AND(Programme_Grunddaten!$A533="Geprüft",Programme_Grunddaten!U533&lt;&gt;""),IF(Programme_Grunddaten!U533="Ja",1,0),"")</f>
        <v/>
      </c>
      <c r="N528" s="1" t="str">
        <f>IF(AND(Programme_Grunddaten!$A533="Geprüft",Programme_Grunddaten!V533&lt;&gt;""),IF(Programme_Grunddaten!V533="Ja",1,0),"")</f>
        <v/>
      </c>
      <c r="O528" s="1" t="str">
        <f>IF(AND(Programme_Grunddaten!$A533="Geprüft",Programme_Grunddaten!W533&lt;&gt;""),IF(Programme_Grunddaten!W533="Ja",1,0),"")</f>
        <v/>
      </c>
      <c r="P528" s="1" t="str">
        <f>IF(AND(Programme_Grunddaten!$A533="Geprüft",Programme_Grunddaten!X533&lt;&gt;""),IF(Programme_Grunddaten!X533="Ja",1,0),"")</f>
        <v/>
      </c>
      <c r="Q528" s="1" t="str">
        <f>IF(AND(Programme_Grunddaten!$A533="Geprüft",Programme_Grunddaten!Y533&lt;&gt;""),IF(Programme_Grunddaten!Y533="Ja",1,0),"")</f>
        <v/>
      </c>
      <c r="R528" s="1" t="str">
        <f>IF(AND(Programme_Grunddaten!$A533="Geprüft",Programme_Grunddaten!Z533&lt;&gt;""),IF(Programme_Grunddaten!Z533="Ja",1,0),"")</f>
        <v/>
      </c>
      <c r="S528" s="1" t="str">
        <f>IF(AND(Programme_Grunddaten!$A533="Geprüft",Programme_Grunddaten!AA533&lt;&gt;""),IF(Programme_Grunddaten!AA533="monolithisch",1,0),"")</f>
        <v/>
      </c>
      <c r="T528" s="1" t="str">
        <f>IF(AND(Programme_Grunddaten!$A533="Geprüft",Programme_Grunddaten!AB533&lt;&gt;""),IF(Programme_Grunddaten!AB533="Ja",1,0),"")</f>
        <v/>
      </c>
      <c r="U528" s="1" t="str">
        <f>IF(AND(Programme_Grunddaten!$A533="Geprüft",Programme_Grunddaten!AC533&lt;&gt;""),IF(Programme_Grunddaten!AC533="Ja",1,0),"")</f>
        <v/>
      </c>
      <c r="V528" s="1" t="str">
        <f>IF(AND(Programme_Grunddaten!$A533="Geprüft",Programme_Grunddaten!AD533&lt;&gt;""),IF(Programme_Grunddaten!AD533="Ja",1,0),"")</f>
        <v/>
      </c>
      <c r="W528" s="1" t="str">
        <f>IF(AND(Programme_Grunddaten!$A533="Geprüft",Programme_Grunddaten!AE533&lt;&gt;""),IF(Programme_Grunddaten!AE533="Ja",1,0),"")</f>
        <v/>
      </c>
      <c r="X528" s="1" t="str">
        <f>IF(AND(Programme_Grunddaten!$A533="Geprüft",Programme_Grunddaten!AF533&lt;&gt;""),IF(Programme_Grunddaten!AF533="Ja",1,0),"")</f>
        <v/>
      </c>
      <c r="Y528" s="1" t="str">
        <f>IF(AND(Programme_Grunddaten!$A533="Geprüft",Programme_Grunddaten!AG533&lt;&gt;""),IF(Programme_Grunddaten!AG533="Ja",1,0),"")</f>
        <v/>
      </c>
      <c r="Z528" s="1" t="str">
        <f>IF(AND(Programme_Grunddaten!$A533="Geprüft",Programme_Grunddaten!AH533&lt;&gt;""),IF(Programme_Grunddaten!AH533="Ja",1,0),"")</f>
        <v/>
      </c>
      <c r="AA528" s="1" t="str">
        <f>IF(AND(Programme_Grunddaten!$A533="Geprüft",Programme_Grunddaten!AI533&lt;&gt;""),IF(Programme_Grunddaten!AI533="Ja",1,0),"")</f>
        <v/>
      </c>
      <c r="AB528" s="1" t="str">
        <f>IF(AND(Programme_Grunddaten!$A533="Geprüft",Programme_Grunddaten!AJ533&lt;&gt;""),IF(Programme_Grunddaten!AJ533="individuell programmierbar",1,0),"")</f>
        <v/>
      </c>
      <c r="AC528" s="1" t="str">
        <f>IF(AND(Programme_Grunddaten!$A533="Geprüft",Programme_Grunddaten!AK533&lt;&gt;""),IF(Programme_Grunddaten!AK533="Deutsch",0,IF(Programme_Grunddaten!AK533="Deutsch und Englisch",1,2)),"")</f>
        <v/>
      </c>
      <c r="AD528" s="1" t="str">
        <f>IF(AND(Programme_Grunddaten!$A533="Geprüft",Programme_Grunddaten!AL533&lt;&gt;""),IF(Programme_Grunddaten!AL533="Ja",1,0),"")</f>
        <v/>
      </c>
      <c r="AE528" s="1" t="str">
        <f>IF(AND(Programme_Grunddaten!$A533="Geprüft",Programme_Grunddaten!AM533&lt;&gt;""),IF(Programme_Grunddaten!AM533="Ja",1,0),"")</f>
        <v/>
      </c>
      <c r="AF528" s="1" t="str">
        <f>IF(AND(Programme_Grunddaten!$A533="Geprüft",Programme_Grunddaten!AN533&lt;&gt;""),IF(Programme_Grunddaten!AN533="Ja",1,0),"")</f>
        <v/>
      </c>
      <c r="AG528" s="1" t="str">
        <f>IF(AND(Programme_Grunddaten!$A533="Geprüft",Programme_Grunddaten!AO533&lt;&gt;""),IF(Programme_Grunddaten!AO533="Ja",1,0),"")</f>
        <v/>
      </c>
      <c r="AH528" s="1" t="str">
        <f>IF(AND(Programme_Grunddaten!$A533="Geprüft",Programme_Grunddaten!AP533&lt;&gt;""),IF(Programme_Grunddaten!AP533="Ja",1,0),"")</f>
        <v/>
      </c>
      <c r="AI528" s="1" t="str">
        <f>IF(AND(Programme_Grunddaten!$A533="Geprüft",Programme_Grunddaten!AQ533&lt;&gt;""),IF(Programme_Grunddaten!AQ533="Ja",1,0),"")</f>
        <v/>
      </c>
      <c r="AJ528" s="1" t="str">
        <f>IF(AND(Programme_Grunddaten!$A533="Geprüft",Programme_Grunddaten!AR533&lt;&gt;""),IF(Programme_Grunddaten!AR533="Ja",1,0),"")</f>
        <v/>
      </c>
      <c r="AK528" s="1" t="str">
        <f>IF(AND(Programme_Grunddaten!$A533="Geprüft",Programme_Grunddaten!AS533&lt;&gt;""),IF(Programme_Grunddaten!AS533="Ja",1,0),"")</f>
        <v/>
      </c>
      <c r="AL528" s="1" t="str">
        <f>IF(AND(Programme_Grunddaten!$A533="Geprüft",Programme_Grunddaten!AT533&lt;&gt;""),IF(Programme_Grunddaten!AT533="Ja",1,0),"")</f>
        <v/>
      </c>
      <c r="AM528" s="1" t="str">
        <f>IF(AND(Programme_Grunddaten!$A533="Geprüft",Programme_Grunddaten!AU533&lt;&gt;""),IF(Programme_Grunddaten!AU533="Ja",1,0),"")</f>
        <v/>
      </c>
      <c r="AN528" s="1" t="str">
        <f>IF(AND(Programme_Grunddaten!$A533="Geprüft",Programme_Grunddaten!AV533&lt;&gt;""),IF(Programme_Grunddaten!AV533="Ja",1,0),"")</f>
        <v/>
      </c>
    </row>
    <row r="529" spans="1:40" x14ac:dyDescent="0.3">
      <c r="A529" s="1" t="str">
        <f>IF(AND(Programme_Grunddaten!A534="Geprüft",Programme_Grunddaten!B534&lt;&gt;""),Programme_Grunddaten!B534,"")</f>
        <v/>
      </c>
      <c r="B529" s="1" t="str">
        <f>IF(AND(Programme_Grunddaten!$A534="Geprüft",Programme_Grunddaten!I534&lt;&gt;""),IF(Programme_Grunddaten!I534="Ja",1,0),"")</f>
        <v/>
      </c>
      <c r="C529" s="1" t="str">
        <f>IF(AND(Programme_Grunddaten!$A534="Geprüft",Programme_Grunddaten!J534&lt;&gt;""),IF(Programme_Grunddaten!J534="Ja",1,0),"")</f>
        <v/>
      </c>
      <c r="D529" s="1" t="str">
        <f>IF(AND(Programme_Grunddaten!$A534="Geprüft",Programme_Grunddaten!K534&lt;&gt;""),IF(Programme_Grunddaten!K534="Ja",1,0),"")</f>
        <v/>
      </c>
      <c r="E529" s="1" t="str">
        <f>IF(AND(Programme_Grunddaten!$A534="Geprüft",Programme_Grunddaten!L534&lt;&gt;""),IF(Programme_Grunddaten!L534="Abo / befristete Lizenz",1,0),"")</f>
        <v/>
      </c>
      <c r="F529" s="1" t="str">
        <f>IF(AND(Programme_Grunddaten!$A534="Geprüft",Programme_Grunddaten!M534&lt;&gt;""),IF(Programme_Grunddaten!M534="Ja",1,0),"")</f>
        <v/>
      </c>
      <c r="G529" s="1" t="str">
        <f>IF(AND(Programme_Grunddaten!$A534="Geprüft",Programme_Grunddaten!N534&lt;&gt;""),IF(Programme_Grunddaten!N534="Ja",1,0),"")</f>
        <v/>
      </c>
      <c r="H529" s="1" t="str">
        <f>IF(AND(Programme_Grunddaten!$A534="Geprüft",Programme_Grunddaten!O534&lt;&gt;""),IF(Programme_Grunddaten!O534="Deutschland",0,IF(Programme_Grunddaten!O534="EU",1,2)),"")</f>
        <v/>
      </c>
      <c r="I529" s="1" t="str">
        <f>IF(AND(Programme_Grunddaten!$A534="Geprüft",Programme_Grunddaten!P534&lt;&gt;""),IF(Programme_Grunddaten!P534="Ja",1,0),"")</f>
        <v/>
      </c>
      <c r="J529" s="1" t="str">
        <f>IF(AND(Programme_Grunddaten!$A534="Geprüft",Programme_Grunddaten!Q534&lt;&gt;""),IF(Programme_Grunddaten!Q534="geschlossenes System",1,0),"")</f>
        <v/>
      </c>
      <c r="K529" s="1" t="str">
        <f>IF(AND(Programme_Grunddaten!$A534="Geprüft",Programme_Grunddaten!R534&lt;&gt;""),IF(Programme_Grunddaten!R534="Ja",1,0),"")</f>
        <v/>
      </c>
      <c r="L529" s="1" t="str">
        <f>IF(AND(Programme_Grunddaten!$A534="Geprüft",Programme_Grunddaten!T534&lt;&gt;""),IF(Programme_Grunddaten!T534="Ja",1,0),"")</f>
        <v/>
      </c>
      <c r="M529" s="1" t="str">
        <f>IF(AND(Programme_Grunddaten!$A534="Geprüft",Programme_Grunddaten!U534&lt;&gt;""),IF(Programme_Grunddaten!U534="Ja",1,0),"")</f>
        <v/>
      </c>
      <c r="N529" s="1" t="str">
        <f>IF(AND(Programme_Grunddaten!$A534="Geprüft",Programme_Grunddaten!V534&lt;&gt;""),IF(Programme_Grunddaten!V534="Ja",1,0),"")</f>
        <v/>
      </c>
      <c r="O529" s="1" t="str">
        <f>IF(AND(Programme_Grunddaten!$A534="Geprüft",Programme_Grunddaten!W534&lt;&gt;""),IF(Programme_Grunddaten!W534="Ja",1,0),"")</f>
        <v/>
      </c>
      <c r="P529" s="1" t="str">
        <f>IF(AND(Programme_Grunddaten!$A534="Geprüft",Programme_Grunddaten!X534&lt;&gt;""),IF(Programme_Grunddaten!X534="Ja",1,0),"")</f>
        <v/>
      </c>
      <c r="Q529" s="1" t="str">
        <f>IF(AND(Programme_Grunddaten!$A534="Geprüft",Programme_Grunddaten!Y534&lt;&gt;""),IF(Programme_Grunddaten!Y534="Ja",1,0),"")</f>
        <v/>
      </c>
      <c r="R529" s="1" t="str">
        <f>IF(AND(Programme_Grunddaten!$A534="Geprüft",Programme_Grunddaten!Z534&lt;&gt;""),IF(Programme_Grunddaten!Z534="Ja",1,0),"")</f>
        <v/>
      </c>
      <c r="S529" s="1" t="str">
        <f>IF(AND(Programme_Grunddaten!$A534="Geprüft",Programme_Grunddaten!AA534&lt;&gt;""),IF(Programme_Grunddaten!AA534="monolithisch",1,0),"")</f>
        <v/>
      </c>
      <c r="T529" s="1" t="str">
        <f>IF(AND(Programme_Grunddaten!$A534="Geprüft",Programme_Grunddaten!AB534&lt;&gt;""),IF(Programme_Grunddaten!AB534="Ja",1,0),"")</f>
        <v/>
      </c>
      <c r="U529" s="1" t="str">
        <f>IF(AND(Programme_Grunddaten!$A534="Geprüft",Programme_Grunddaten!AC534&lt;&gt;""),IF(Programme_Grunddaten!AC534="Ja",1,0),"")</f>
        <v/>
      </c>
      <c r="V529" s="1" t="str">
        <f>IF(AND(Programme_Grunddaten!$A534="Geprüft",Programme_Grunddaten!AD534&lt;&gt;""),IF(Programme_Grunddaten!AD534="Ja",1,0),"")</f>
        <v/>
      </c>
      <c r="W529" s="1" t="str">
        <f>IF(AND(Programme_Grunddaten!$A534="Geprüft",Programme_Grunddaten!AE534&lt;&gt;""),IF(Programme_Grunddaten!AE534="Ja",1,0),"")</f>
        <v/>
      </c>
      <c r="X529" s="1" t="str">
        <f>IF(AND(Programme_Grunddaten!$A534="Geprüft",Programme_Grunddaten!AF534&lt;&gt;""),IF(Programme_Grunddaten!AF534="Ja",1,0),"")</f>
        <v/>
      </c>
      <c r="Y529" s="1" t="str">
        <f>IF(AND(Programme_Grunddaten!$A534="Geprüft",Programme_Grunddaten!AG534&lt;&gt;""),IF(Programme_Grunddaten!AG534="Ja",1,0),"")</f>
        <v/>
      </c>
      <c r="Z529" s="1" t="str">
        <f>IF(AND(Programme_Grunddaten!$A534="Geprüft",Programme_Grunddaten!AH534&lt;&gt;""),IF(Programme_Grunddaten!AH534="Ja",1,0),"")</f>
        <v/>
      </c>
      <c r="AA529" s="1" t="str">
        <f>IF(AND(Programme_Grunddaten!$A534="Geprüft",Programme_Grunddaten!AI534&lt;&gt;""),IF(Programme_Grunddaten!AI534="Ja",1,0),"")</f>
        <v/>
      </c>
      <c r="AB529" s="1" t="str">
        <f>IF(AND(Programme_Grunddaten!$A534="Geprüft",Programme_Grunddaten!AJ534&lt;&gt;""),IF(Programme_Grunddaten!AJ534="individuell programmierbar",1,0),"")</f>
        <v/>
      </c>
      <c r="AC529" s="1" t="str">
        <f>IF(AND(Programme_Grunddaten!$A534="Geprüft",Programme_Grunddaten!AK534&lt;&gt;""),IF(Programme_Grunddaten!AK534="Deutsch",0,IF(Programme_Grunddaten!AK534="Deutsch und Englisch",1,2)),"")</f>
        <v/>
      </c>
      <c r="AD529" s="1" t="str">
        <f>IF(AND(Programme_Grunddaten!$A534="Geprüft",Programme_Grunddaten!AL534&lt;&gt;""),IF(Programme_Grunddaten!AL534="Ja",1,0),"")</f>
        <v/>
      </c>
      <c r="AE529" s="1" t="str">
        <f>IF(AND(Programme_Grunddaten!$A534="Geprüft",Programme_Grunddaten!AM534&lt;&gt;""),IF(Programme_Grunddaten!AM534="Ja",1,0),"")</f>
        <v/>
      </c>
      <c r="AF529" s="1" t="str">
        <f>IF(AND(Programme_Grunddaten!$A534="Geprüft",Programme_Grunddaten!AN534&lt;&gt;""),IF(Programme_Grunddaten!AN534="Ja",1,0),"")</f>
        <v/>
      </c>
      <c r="AG529" s="1" t="str">
        <f>IF(AND(Programme_Grunddaten!$A534="Geprüft",Programme_Grunddaten!AO534&lt;&gt;""),IF(Programme_Grunddaten!AO534="Ja",1,0),"")</f>
        <v/>
      </c>
      <c r="AH529" s="1" t="str">
        <f>IF(AND(Programme_Grunddaten!$A534="Geprüft",Programme_Grunddaten!AP534&lt;&gt;""),IF(Programme_Grunddaten!AP534="Ja",1,0),"")</f>
        <v/>
      </c>
      <c r="AI529" s="1" t="str">
        <f>IF(AND(Programme_Grunddaten!$A534="Geprüft",Programme_Grunddaten!AQ534&lt;&gt;""),IF(Programme_Grunddaten!AQ534="Ja",1,0),"")</f>
        <v/>
      </c>
      <c r="AJ529" s="1" t="str">
        <f>IF(AND(Programme_Grunddaten!$A534="Geprüft",Programme_Grunddaten!AR534&lt;&gt;""),IF(Programme_Grunddaten!AR534="Ja",1,0),"")</f>
        <v/>
      </c>
      <c r="AK529" s="1" t="str">
        <f>IF(AND(Programme_Grunddaten!$A534="Geprüft",Programme_Grunddaten!AS534&lt;&gt;""),IF(Programme_Grunddaten!AS534="Ja",1,0),"")</f>
        <v/>
      </c>
      <c r="AL529" s="1" t="str">
        <f>IF(AND(Programme_Grunddaten!$A534="Geprüft",Programme_Grunddaten!AT534&lt;&gt;""),IF(Programme_Grunddaten!AT534="Ja",1,0),"")</f>
        <v/>
      </c>
      <c r="AM529" s="1" t="str">
        <f>IF(AND(Programme_Grunddaten!$A534="Geprüft",Programme_Grunddaten!AU534&lt;&gt;""),IF(Programme_Grunddaten!AU534="Ja",1,0),"")</f>
        <v/>
      </c>
      <c r="AN529" s="1" t="str">
        <f>IF(AND(Programme_Grunddaten!$A534="Geprüft",Programme_Grunddaten!AV534&lt;&gt;""),IF(Programme_Grunddaten!AV534="Ja",1,0),"")</f>
        <v/>
      </c>
    </row>
    <row r="530" spans="1:40" x14ac:dyDescent="0.3">
      <c r="A530" s="1" t="str">
        <f>IF(AND(Programme_Grunddaten!A535="Geprüft",Programme_Grunddaten!B535&lt;&gt;""),Programme_Grunddaten!B535,"")</f>
        <v/>
      </c>
      <c r="B530" s="1" t="str">
        <f>IF(AND(Programme_Grunddaten!$A535="Geprüft",Programme_Grunddaten!I535&lt;&gt;""),IF(Programme_Grunddaten!I535="Ja",1,0),"")</f>
        <v/>
      </c>
      <c r="C530" s="1" t="str">
        <f>IF(AND(Programme_Grunddaten!$A535="Geprüft",Programme_Grunddaten!J535&lt;&gt;""),IF(Programme_Grunddaten!J535="Ja",1,0),"")</f>
        <v/>
      </c>
      <c r="D530" s="1" t="str">
        <f>IF(AND(Programme_Grunddaten!$A535="Geprüft",Programme_Grunddaten!K535&lt;&gt;""),IF(Programme_Grunddaten!K535="Ja",1,0),"")</f>
        <v/>
      </c>
      <c r="E530" s="1" t="str">
        <f>IF(AND(Programme_Grunddaten!$A535="Geprüft",Programme_Grunddaten!L535&lt;&gt;""),IF(Programme_Grunddaten!L535="Abo / befristete Lizenz",1,0),"")</f>
        <v/>
      </c>
      <c r="F530" s="1" t="str">
        <f>IF(AND(Programme_Grunddaten!$A535="Geprüft",Programme_Grunddaten!M535&lt;&gt;""),IF(Programme_Grunddaten!M535="Ja",1,0),"")</f>
        <v/>
      </c>
      <c r="G530" s="1" t="str">
        <f>IF(AND(Programme_Grunddaten!$A535="Geprüft",Programme_Grunddaten!N535&lt;&gt;""),IF(Programme_Grunddaten!N535="Ja",1,0),"")</f>
        <v/>
      </c>
      <c r="H530" s="1" t="str">
        <f>IF(AND(Programme_Grunddaten!$A535="Geprüft",Programme_Grunddaten!O535&lt;&gt;""),IF(Programme_Grunddaten!O535="Deutschland",0,IF(Programme_Grunddaten!O535="EU",1,2)),"")</f>
        <v/>
      </c>
      <c r="I530" s="1" t="str">
        <f>IF(AND(Programme_Grunddaten!$A535="Geprüft",Programme_Grunddaten!P535&lt;&gt;""),IF(Programme_Grunddaten!P535="Ja",1,0),"")</f>
        <v/>
      </c>
      <c r="J530" s="1" t="str">
        <f>IF(AND(Programme_Grunddaten!$A535="Geprüft",Programme_Grunddaten!Q535&lt;&gt;""),IF(Programme_Grunddaten!Q535="geschlossenes System",1,0),"")</f>
        <v/>
      </c>
      <c r="K530" s="1" t="str">
        <f>IF(AND(Programme_Grunddaten!$A535="Geprüft",Programme_Grunddaten!R535&lt;&gt;""),IF(Programme_Grunddaten!R535="Ja",1,0),"")</f>
        <v/>
      </c>
      <c r="L530" s="1" t="str">
        <f>IF(AND(Programme_Grunddaten!$A535="Geprüft",Programme_Grunddaten!T535&lt;&gt;""),IF(Programme_Grunddaten!T535="Ja",1,0),"")</f>
        <v/>
      </c>
      <c r="M530" s="1" t="str">
        <f>IF(AND(Programme_Grunddaten!$A535="Geprüft",Programme_Grunddaten!U535&lt;&gt;""),IF(Programme_Grunddaten!U535="Ja",1,0),"")</f>
        <v/>
      </c>
      <c r="N530" s="1" t="str">
        <f>IF(AND(Programme_Grunddaten!$A535="Geprüft",Programme_Grunddaten!V535&lt;&gt;""),IF(Programme_Grunddaten!V535="Ja",1,0),"")</f>
        <v/>
      </c>
      <c r="O530" s="1" t="str">
        <f>IF(AND(Programme_Grunddaten!$A535="Geprüft",Programme_Grunddaten!W535&lt;&gt;""),IF(Programme_Grunddaten!W535="Ja",1,0),"")</f>
        <v/>
      </c>
      <c r="P530" s="1" t="str">
        <f>IF(AND(Programme_Grunddaten!$A535="Geprüft",Programme_Grunddaten!X535&lt;&gt;""),IF(Programme_Grunddaten!X535="Ja",1,0),"")</f>
        <v/>
      </c>
      <c r="Q530" s="1" t="str">
        <f>IF(AND(Programme_Grunddaten!$A535="Geprüft",Programme_Grunddaten!Y535&lt;&gt;""),IF(Programme_Grunddaten!Y535="Ja",1,0),"")</f>
        <v/>
      </c>
      <c r="R530" s="1" t="str">
        <f>IF(AND(Programme_Grunddaten!$A535="Geprüft",Programme_Grunddaten!Z535&lt;&gt;""),IF(Programme_Grunddaten!Z535="Ja",1,0),"")</f>
        <v/>
      </c>
      <c r="S530" s="1" t="str">
        <f>IF(AND(Programme_Grunddaten!$A535="Geprüft",Programme_Grunddaten!AA535&lt;&gt;""),IF(Programme_Grunddaten!AA535="monolithisch",1,0),"")</f>
        <v/>
      </c>
      <c r="T530" s="1" t="str">
        <f>IF(AND(Programme_Grunddaten!$A535="Geprüft",Programme_Grunddaten!AB535&lt;&gt;""),IF(Programme_Grunddaten!AB535="Ja",1,0),"")</f>
        <v/>
      </c>
      <c r="U530" s="1" t="str">
        <f>IF(AND(Programme_Grunddaten!$A535="Geprüft",Programme_Grunddaten!AC535&lt;&gt;""),IF(Programme_Grunddaten!AC535="Ja",1,0),"")</f>
        <v/>
      </c>
      <c r="V530" s="1" t="str">
        <f>IF(AND(Programme_Grunddaten!$A535="Geprüft",Programme_Grunddaten!AD535&lt;&gt;""),IF(Programme_Grunddaten!AD535="Ja",1,0),"")</f>
        <v/>
      </c>
      <c r="W530" s="1" t="str">
        <f>IF(AND(Programme_Grunddaten!$A535="Geprüft",Programme_Grunddaten!AE535&lt;&gt;""),IF(Programme_Grunddaten!AE535="Ja",1,0),"")</f>
        <v/>
      </c>
      <c r="X530" s="1" t="str">
        <f>IF(AND(Programme_Grunddaten!$A535="Geprüft",Programme_Grunddaten!AF535&lt;&gt;""),IF(Programme_Grunddaten!AF535="Ja",1,0),"")</f>
        <v/>
      </c>
      <c r="Y530" s="1" t="str">
        <f>IF(AND(Programme_Grunddaten!$A535="Geprüft",Programme_Grunddaten!AG535&lt;&gt;""),IF(Programme_Grunddaten!AG535="Ja",1,0),"")</f>
        <v/>
      </c>
      <c r="Z530" s="1" t="str">
        <f>IF(AND(Programme_Grunddaten!$A535="Geprüft",Programme_Grunddaten!AH535&lt;&gt;""),IF(Programme_Grunddaten!AH535="Ja",1,0),"")</f>
        <v/>
      </c>
      <c r="AA530" s="1" t="str">
        <f>IF(AND(Programme_Grunddaten!$A535="Geprüft",Programme_Grunddaten!AI535&lt;&gt;""),IF(Programme_Grunddaten!AI535="Ja",1,0),"")</f>
        <v/>
      </c>
      <c r="AB530" s="1" t="str">
        <f>IF(AND(Programme_Grunddaten!$A535="Geprüft",Programme_Grunddaten!AJ535&lt;&gt;""),IF(Programme_Grunddaten!AJ535="individuell programmierbar",1,0),"")</f>
        <v/>
      </c>
      <c r="AC530" s="1" t="str">
        <f>IF(AND(Programme_Grunddaten!$A535="Geprüft",Programme_Grunddaten!AK535&lt;&gt;""),IF(Programme_Grunddaten!AK535="Deutsch",0,IF(Programme_Grunddaten!AK535="Deutsch und Englisch",1,2)),"")</f>
        <v/>
      </c>
      <c r="AD530" s="1" t="str">
        <f>IF(AND(Programme_Grunddaten!$A535="Geprüft",Programme_Grunddaten!AL535&lt;&gt;""),IF(Programme_Grunddaten!AL535="Ja",1,0),"")</f>
        <v/>
      </c>
      <c r="AE530" s="1" t="str">
        <f>IF(AND(Programme_Grunddaten!$A535="Geprüft",Programme_Grunddaten!AM535&lt;&gt;""),IF(Programme_Grunddaten!AM535="Ja",1,0),"")</f>
        <v/>
      </c>
      <c r="AF530" s="1" t="str">
        <f>IF(AND(Programme_Grunddaten!$A535="Geprüft",Programme_Grunddaten!AN535&lt;&gt;""),IF(Programme_Grunddaten!AN535="Ja",1,0),"")</f>
        <v/>
      </c>
      <c r="AG530" s="1" t="str">
        <f>IF(AND(Programme_Grunddaten!$A535="Geprüft",Programme_Grunddaten!AO535&lt;&gt;""),IF(Programme_Grunddaten!AO535="Ja",1,0),"")</f>
        <v/>
      </c>
      <c r="AH530" s="1" t="str">
        <f>IF(AND(Programme_Grunddaten!$A535="Geprüft",Programme_Grunddaten!AP535&lt;&gt;""),IF(Programme_Grunddaten!AP535="Ja",1,0),"")</f>
        <v/>
      </c>
      <c r="AI530" s="1" t="str">
        <f>IF(AND(Programme_Grunddaten!$A535="Geprüft",Programme_Grunddaten!AQ535&lt;&gt;""),IF(Programme_Grunddaten!AQ535="Ja",1,0),"")</f>
        <v/>
      </c>
      <c r="AJ530" s="1" t="str">
        <f>IF(AND(Programme_Grunddaten!$A535="Geprüft",Programme_Grunddaten!AR535&lt;&gt;""),IF(Programme_Grunddaten!AR535="Ja",1,0),"")</f>
        <v/>
      </c>
      <c r="AK530" s="1" t="str">
        <f>IF(AND(Programme_Grunddaten!$A535="Geprüft",Programme_Grunddaten!AS535&lt;&gt;""),IF(Programme_Grunddaten!AS535="Ja",1,0),"")</f>
        <v/>
      </c>
      <c r="AL530" s="1" t="str">
        <f>IF(AND(Programme_Grunddaten!$A535="Geprüft",Programme_Grunddaten!AT535&lt;&gt;""),IF(Programme_Grunddaten!AT535="Ja",1,0),"")</f>
        <v/>
      </c>
      <c r="AM530" s="1" t="str">
        <f>IF(AND(Programme_Grunddaten!$A535="Geprüft",Programme_Grunddaten!AU535&lt;&gt;""),IF(Programme_Grunddaten!AU535="Ja",1,0),"")</f>
        <v/>
      </c>
      <c r="AN530" s="1" t="str">
        <f>IF(AND(Programme_Grunddaten!$A535="Geprüft",Programme_Grunddaten!AV535&lt;&gt;""),IF(Programme_Grunddaten!AV535="Ja",1,0),"")</f>
        <v/>
      </c>
    </row>
    <row r="531" spans="1:40" x14ac:dyDescent="0.3">
      <c r="A531" s="1" t="str">
        <f>IF(AND(Programme_Grunddaten!A536="Geprüft",Programme_Grunddaten!B536&lt;&gt;""),Programme_Grunddaten!B536,"")</f>
        <v/>
      </c>
      <c r="B531" s="1" t="str">
        <f>IF(AND(Programme_Grunddaten!$A536="Geprüft",Programme_Grunddaten!I536&lt;&gt;""),IF(Programme_Grunddaten!I536="Ja",1,0),"")</f>
        <v/>
      </c>
      <c r="C531" s="1" t="str">
        <f>IF(AND(Programme_Grunddaten!$A536="Geprüft",Programme_Grunddaten!J536&lt;&gt;""),IF(Programme_Grunddaten!J536="Ja",1,0),"")</f>
        <v/>
      </c>
      <c r="D531" s="1" t="str">
        <f>IF(AND(Programme_Grunddaten!$A536="Geprüft",Programme_Grunddaten!K536&lt;&gt;""),IF(Programme_Grunddaten!K536="Ja",1,0),"")</f>
        <v/>
      </c>
      <c r="E531" s="1" t="str">
        <f>IF(AND(Programme_Grunddaten!$A536="Geprüft",Programme_Grunddaten!L536&lt;&gt;""),IF(Programme_Grunddaten!L536="Abo / befristete Lizenz",1,0),"")</f>
        <v/>
      </c>
      <c r="F531" s="1" t="str">
        <f>IF(AND(Programme_Grunddaten!$A536="Geprüft",Programme_Grunddaten!M536&lt;&gt;""),IF(Programme_Grunddaten!M536="Ja",1,0),"")</f>
        <v/>
      </c>
      <c r="G531" s="1" t="str">
        <f>IF(AND(Programme_Grunddaten!$A536="Geprüft",Programme_Grunddaten!N536&lt;&gt;""),IF(Programme_Grunddaten!N536="Ja",1,0),"")</f>
        <v/>
      </c>
      <c r="H531" s="1" t="str">
        <f>IF(AND(Programme_Grunddaten!$A536="Geprüft",Programme_Grunddaten!O536&lt;&gt;""),IF(Programme_Grunddaten!O536="Deutschland",0,IF(Programme_Grunddaten!O536="EU",1,2)),"")</f>
        <v/>
      </c>
      <c r="I531" s="1" t="str">
        <f>IF(AND(Programme_Grunddaten!$A536="Geprüft",Programme_Grunddaten!P536&lt;&gt;""),IF(Programme_Grunddaten!P536="Ja",1,0),"")</f>
        <v/>
      </c>
      <c r="J531" s="1" t="str">
        <f>IF(AND(Programme_Grunddaten!$A536="Geprüft",Programme_Grunddaten!Q536&lt;&gt;""),IF(Programme_Grunddaten!Q536="geschlossenes System",1,0),"")</f>
        <v/>
      </c>
      <c r="K531" s="1" t="str">
        <f>IF(AND(Programme_Grunddaten!$A536="Geprüft",Programme_Grunddaten!R536&lt;&gt;""),IF(Programme_Grunddaten!R536="Ja",1,0),"")</f>
        <v/>
      </c>
      <c r="L531" s="1" t="str">
        <f>IF(AND(Programme_Grunddaten!$A536="Geprüft",Programme_Grunddaten!T536&lt;&gt;""),IF(Programme_Grunddaten!T536="Ja",1,0),"")</f>
        <v/>
      </c>
      <c r="M531" s="1" t="str">
        <f>IF(AND(Programme_Grunddaten!$A536="Geprüft",Programme_Grunddaten!U536&lt;&gt;""),IF(Programme_Grunddaten!U536="Ja",1,0),"")</f>
        <v/>
      </c>
      <c r="N531" s="1" t="str">
        <f>IF(AND(Programme_Grunddaten!$A536="Geprüft",Programme_Grunddaten!V536&lt;&gt;""),IF(Programme_Grunddaten!V536="Ja",1,0),"")</f>
        <v/>
      </c>
      <c r="O531" s="1" t="str">
        <f>IF(AND(Programme_Grunddaten!$A536="Geprüft",Programme_Grunddaten!W536&lt;&gt;""),IF(Programme_Grunddaten!W536="Ja",1,0),"")</f>
        <v/>
      </c>
      <c r="P531" s="1" t="str">
        <f>IF(AND(Programme_Grunddaten!$A536="Geprüft",Programme_Grunddaten!X536&lt;&gt;""),IF(Programme_Grunddaten!X536="Ja",1,0),"")</f>
        <v/>
      </c>
      <c r="Q531" s="1" t="str">
        <f>IF(AND(Programme_Grunddaten!$A536="Geprüft",Programme_Grunddaten!Y536&lt;&gt;""),IF(Programme_Grunddaten!Y536="Ja",1,0),"")</f>
        <v/>
      </c>
      <c r="R531" s="1" t="str">
        <f>IF(AND(Programme_Grunddaten!$A536="Geprüft",Programme_Grunddaten!Z536&lt;&gt;""),IF(Programme_Grunddaten!Z536="Ja",1,0),"")</f>
        <v/>
      </c>
      <c r="S531" s="1" t="str">
        <f>IF(AND(Programme_Grunddaten!$A536="Geprüft",Programme_Grunddaten!AA536&lt;&gt;""),IF(Programme_Grunddaten!AA536="monolithisch",1,0),"")</f>
        <v/>
      </c>
      <c r="T531" s="1" t="str">
        <f>IF(AND(Programme_Grunddaten!$A536="Geprüft",Programme_Grunddaten!AB536&lt;&gt;""),IF(Programme_Grunddaten!AB536="Ja",1,0),"")</f>
        <v/>
      </c>
      <c r="U531" s="1" t="str">
        <f>IF(AND(Programme_Grunddaten!$A536="Geprüft",Programme_Grunddaten!AC536&lt;&gt;""),IF(Programme_Grunddaten!AC536="Ja",1,0),"")</f>
        <v/>
      </c>
      <c r="V531" s="1" t="str">
        <f>IF(AND(Programme_Grunddaten!$A536="Geprüft",Programme_Grunddaten!AD536&lt;&gt;""),IF(Programme_Grunddaten!AD536="Ja",1,0),"")</f>
        <v/>
      </c>
      <c r="W531" s="1" t="str">
        <f>IF(AND(Programme_Grunddaten!$A536="Geprüft",Programme_Grunddaten!AE536&lt;&gt;""),IF(Programme_Grunddaten!AE536="Ja",1,0),"")</f>
        <v/>
      </c>
      <c r="X531" s="1" t="str">
        <f>IF(AND(Programme_Grunddaten!$A536="Geprüft",Programme_Grunddaten!AF536&lt;&gt;""),IF(Programme_Grunddaten!AF536="Ja",1,0),"")</f>
        <v/>
      </c>
      <c r="Y531" s="1" t="str">
        <f>IF(AND(Programme_Grunddaten!$A536="Geprüft",Programme_Grunddaten!AG536&lt;&gt;""),IF(Programme_Grunddaten!AG536="Ja",1,0),"")</f>
        <v/>
      </c>
      <c r="Z531" s="1" t="str">
        <f>IF(AND(Programme_Grunddaten!$A536="Geprüft",Programme_Grunddaten!AH536&lt;&gt;""),IF(Programme_Grunddaten!AH536="Ja",1,0),"")</f>
        <v/>
      </c>
      <c r="AA531" s="1" t="str">
        <f>IF(AND(Programme_Grunddaten!$A536="Geprüft",Programme_Grunddaten!AI536&lt;&gt;""),IF(Programme_Grunddaten!AI536="Ja",1,0),"")</f>
        <v/>
      </c>
      <c r="AB531" s="1" t="str">
        <f>IF(AND(Programme_Grunddaten!$A536="Geprüft",Programme_Grunddaten!AJ536&lt;&gt;""),IF(Programme_Grunddaten!AJ536="individuell programmierbar",1,0),"")</f>
        <v/>
      </c>
      <c r="AC531" s="1" t="str">
        <f>IF(AND(Programme_Grunddaten!$A536="Geprüft",Programme_Grunddaten!AK536&lt;&gt;""),IF(Programme_Grunddaten!AK536="Deutsch",0,IF(Programme_Grunddaten!AK536="Deutsch und Englisch",1,2)),"")</f>
        <v/>
      </c>
      <c r="AD531" s="1" t="str">
        <f>IF(AND(Programme_Grunddaten!$A536="Geprüft",Programme_Grunddaten!AL536&lt;&gt;""),IF(Programme_Grunddaten!AL536="Ja",1,0),"")</f>
        <v/>
      </c>
      <c r="AE531" s="1" t="str">
        <f>IF(AND(Programme_Grunddaten!$A536="Geprüft",Programme_Grunddaten!AM536&lt;&gt;""),IF(Programme_Grunddaten!AM536="Ja",1,0),"")</f>
        <v/>
      </c>
      <c r="AF531" s="1" t="str">
        <f>IF(AND(Programme_Grunddaten!$A536="Geprüft",Programme_Grunddaten!AN536&lt;&gt;""),IF(Programme_Grunddaten!AN536="Ja",1,0),"")</f>
        <v/>
      </c>
      <c r="AG531" s="1" t="str">
        <f>IF(AND(Programme_Grunddaten!$A536="Geprüft",Programme_Grunddaten!AO536&lt;&gt;""),IF(Programme_Grunddaten!AO536="Ja",1,0),"")</f>
        <v/>
      </c>
      <c r="AH531" s="1" t="str">
        <f>IF(AND(Programme_Grunddaten!$A536="Geprüft",Programme_Grunddaten!AP536&lt;&gt;""),IF(Programme_Grunddaten!AP536="Ja",1,0),"")</f>
        <v/>
      </c>
      <c r="AI531" s="1" t="str">
        <f>IF(AND(Programme_Grunddaten!$A536="Geprüft",Programme_Grunddaten!AQ536&lt;&gt;""),IF(Programme_Grunddaten!AQ536="Ja",1,0),"")</f>
        <v/>
      </c>
      <c r="AJ531" s="1" t="str">
        <f>IF(AND(Programme_Grunddaten!$A536="Geprüft",Programme_Grunddaten!AR536&lt;&gt;""),IF(Programme_Grunddaten!AR536="Ja",1,0),"")</f>
        <v/>
      </c>
      <c r="AK531" s="1" t="str">
        <f>IF(AND(Programme_Grunddaten!$A536="Geprüft",Programme_Grunddaten!AS536&lt;&gt;""),IF(Programme_Grunddaten!AS536="Ja",1,0),"")</f>
        <v/>
      </c>
      <c r="AL531" s="1" t="str">
        <f>IF(AND(Programme_Grunddaten!$A536="Geprüft",Programme_Grunddaten!AT536&lt;&gt;""),IF(Programme_Grunddaten!AT536="Ja",1,0),"")</f>
        <v/>
      </c>
      <c r="AM531" s="1" t="str">
        <f>IF(AND(Programme_Grunddaten!$A536="Geprüft",Programme_Grunddaten!AU536&lt;&gt;""),IF(Programme_Grunddaten!AU536="Ja",1,0),"")</f>
        <v/>
      </c>
      <c r="AN531" s="1" t="str">
        <f>IF(AND(Programme_Grunddaten!$A536="Geprüft",Programme_Grunddaten!AV536&lt;&gt;""),IF(Programme_Grunddaten!AV536="Ja",1,0),"")</f>
        <v/>
      </c>
    </row>
    <row r="532" spans="1:40" x14ac:dyDescent="0.3">
      <c r="A532" s="1" t="str">
        <f>IF(AND(Programme_Grunddaten!A537="Geprüft",Programme_Grunddaten!B537&lt;&gt;""),Programme_Grunddaten!B537,"")</f>
        <v/>
      </c>
      <c r="B532" s="1" t="str">
        <f>IF(AND(Programme_Grunddaten!$A537="Geprüft",Programme_Grunddaten!I537&lt;&gt;""),IF(Programme_Grunddaten!I537="Ja",1,0),"")</f>
        <v/>
      </c>
      <c r="C532" s="1" t="str">
        <f>IF(AND(Programme_Grunddaten!$A537="Geprüft",Programme_Grunddaten!J537&lt;&gt;""),IF(Programme_Grunddaten!J537="Ja",1,0),"")</f>
        <v/>
      </c>
      <c r="D532" s="1" t="str">
        <f>IF(AND(Programme_Grunddaten!$A537="Geprüft",Programme_Grunddaten!K537&lt;&gt;""),IF(Programme_Grunddaten!K537="Ja",1,0),"")</f>
        <v/>
      </c>
      <c r="E532" s="1" t="str">
        <f>IF(AND(Programme_Grunddaten!$A537="Geprüft",Programme_Grunddaten!L537&lt;&gt;""),IF(Programme_Grunddaten!L537="Abo / befristete Lizenz",1,0),"")</f>
        <v/>
      </c>
      <c r="F532" s="1" t="str">
        <f>IF(AND(Programme_Grunddaten!$A537="Geprüft",Programme_Grunddaten!M537&lt;&gt;""),IF(Programme_Grunddaten!M537="Ja",1,0),"")</f>
        <v/>
      </c>
      <c r="G532" s="1" t="str">
        <f>IF(AND(Programme_Grunddaten!$A537="Geprüft",Programme_Grunddaten!N537&lt;&gt;""),IF(Programme_Grunddaten!N537="Ja",1,0),"")</f>
        <v/>
      </c>
      <c r="H532" s="1" t="str">
        <f>IF(AND(Programme_Grunddaten!$A537="Geprüft",Programme_Grunddaten!O537&lt;&gt;""),IF(Programme_Grunddaten!O537="Deutschland",0,IF(Programme_Grunddaten!O537="EU",1,2)),"")</f>
        <v/>
      </c>
      <c r="I532" s="1" t="str">
        <f>IF(AND(Programme_Grunddaten!$A537="Geprüft",Programme_Grunddaten!P537&lt;&gt;""),IF(Programme_Grunddaten!P537="Ja",1,0),"")</f>
        <v/>
      </c>
      <c r="J532" s="1" t="str">
        <f>IF(AND(Programme_Grunddaten!$A537="Geprüft",Programme_Grunddaten!Q537&lt;&gt;""),IF(Programme_Grunddaten!Q537="geschlossenes System",1,0),"")</f>
        <v/>
      </c>
      <c r="K532" s="1" t="str">
        <f>IF(AND(Programme_Grunddaten!$A537="Geprüft",Programme_Grunddaten!R537&lt;&gt;""),IF(Programme_Grunddaten!R537="Ja",1,0),"")</f>
        <v/>
      </c>
      <c r="L532" s="1" t="str">
        <f>IF(AND(Programme_Grunddaten!$A537="Geprüft",Programme_Grunddaten!T537&lt;&gt;""),IF(Programme_Grunddaten!T537="Ja",1,0),"")</f>
        <v/>
      </c>
      <c r="M532" s="1" t="str">
        <f>IF(AND(Programme_Grunddaten!$A537="Geprüft",Programme_Grunddaten!U537&lt;&gt;""),IF(Programme_Grunddaten!U537="Ja",1,0),"")</f>
        <v/>
      </c>
      <c r="N532" s="1" t="str">
        <f>IF(AND(Programme_Grunddaten!$A537="Geprüft",Programme_Grunddaten!V537&lt;&gt;""),IF(Programme_Grunddaten!V537="Ja",1,0),"")</f>
        <v/>
      </c>
      <c r="O532" s="1" t="str">
        <f>IF(AND(Programme_Grunddaten!$A537="Geprüft",Programme_Grunddaten!W537&lt;&gt;""),IF(Programme_Grunddaten!W537="Ja",1,0),"")</f>
        <v/>
      </c>
      <c r="P532" s="1" t="str">
        <f>IF(AND(Programme_Grunddaten!$A537="Geprüft",Programme_Grunddaten!X537&lt;&gt;""),IF(Programme_Grunddaten!X537="Ja",1,0),"")</f>
        <v/>
      </c>
      <c r="Q532" s="1" t="str">
        <f>IF(AND(Programme_Grunddaten!$A537="Geprüft",Programme_Grunddaten!Y537&lt;&gt;""),IF(Programme_Grunddaten!Y537="Ja",1,0),"")</f>
        <v/>
      </c>
      <c r="R532" s="1" t="str">
        <f>IF(AND(Programme_Grunddaten!$A537="Geprüft",Programme_Grunddaten!Z537&lt;&gt;""),IF(Programme_Grunddaten!Z537="Ja",1,0),"")</f>
        <v/>
      </c>
      <c r="S532" s="1" t="str">
        <f>IF(AND(Programme_Grunddaten!$A537="Geprüft",Programme_Grunddaten!AA537&lt;&gt;""),IF(Programme_Grunddaten!AA537="monolithisch",1,0),"")</f>
        <v/>
      </c>
      <c r="T532" s="1" t="str">
        <f>IF(AND(Programme_Grunddaten!$A537="Geprüft",Programme_Grunddaten!AB537&lt;&gt;""),IF(Programme_Grunddaten!AB537="Ja",1,0),"")</f>
        <v/>
      </c>
      <c r="U532" s="1" t="str">
        <f>IF(AND(Programme_Grunddaten!$A537="Geprüft",Programme_Grunddaten!AC537&lt;&gt;""),IF(Programme_Grunddaten!AC537="Ja",1,0),"")</f>
        <v/>
      </c>
      <c r="V532" s="1" t="str">
        <f>IF(AND(Programme_Grunddaten!$A537="Geprüft",Programme_Grunddaten!AD537&lt;&gt;""),IF(Programme_Grunddaten!AD537="Ja",1,0),"")</f>
        <v/>
      </c>
      <c r="W532" s="1" t="str">
        <f>IF(AND(Programme_Grunddaten!$A537="Geprüft",Programme_Grunddaten!AE537&lt;&gt;""),IF(Programme_Grunddaten!AE537="Ja",1,0),"")</f>
        <v/>
      </c>
      <c r="X532" s="1" t="str">
        <f>IF(AND(Programme_Grunddaten!$A537="Geprüft",Programme_Grunddaten!AF537&lt;&gt;""),IF(Programme_Grunddaten!AF537="Ja",1,0),"")</f>
        <v/>
      </c>
      <c r="Y532" s="1" t="str">
        <f>IF(AND(Programme_Grunddaten!$A537="Geprüft",Programme_Grunddaten!AG537&lt;&gt;""),IF(Programme_Grunddaten!AG537="Ja",1,0),"")</f>
        <v/>
      </c>
      <c r="Z532" s="1" t="str">
        <f>IF(AND(Programme_Grunddaten!$A537="Geprüft",Programme_Grunddaten!AH537&lt;&gt;""),IF(Programme_Grunddaten!AH537="Ja",1,0),"")</f>
        <v/>
      </c>
      <c r="AA532" s="1" t="str">
        <f>IF(AND(Programme_Grunddaten!$A537="Geprüft",Programme_Grunddaten!AI537&lt;&gt;""),IF(Programme_Grunddaten!AI537="Ja",1,0),"")</f>
        <v/>
      </c>
      <c r="AB532" s="1" t="str">
        <f>IF(AND(Programme_Grunddaten!$A537="Geprüft",Programme_Grunddaten!AJ537&lt;&gt;""),IF(Programme_Grunddaten!AJ537="individuell programmierbar",1,0),"")</f>
        <v/>
      </c>
      <c r="AC532" s="1" t="str">
        <f>IF(AND(Programme_Grunddaten!$A537="Geprüft",Programme_Grunddaten!AK537&lt;&gt;""),IF(Programme_Grunddaten!AK537="Deutsch",0,IF(Programme_Grunddaten!AK537="Deutsch und Englisch",1,2)),"")</f>
        <v/>
      </c>
      <c r="AD532" s="1" t="str">
        <f>IF(AND(Programme_Grunddaten!$A537="Geprüft",Programme_Grunddaten!AL537&lt;&gt;""),IF(Programme_Grunddaten!AL537="Ja",1,0),"")</f>
        <v/>
      </c>
      <c r="AE532" s="1" t="str">
        <f>IF(AND(Programme_Grunddaten!$A537="Geprüft",Programme_Grunddaten!AM537&lt;&gt;""),IF(Programme_Grunddaten!AM537="Ja",1,0),"")</f>
        <v/>
      </c>
      <c r="AF532" s="1" t="str">
        <f>IF(AND(Programme_Grunddaten!$A537="Geprüft",Programme_Grunddaten!AN537&lt;&gt;""),IF(Programme_Grunddaten!AN537="Ja",1,0),"")</f>
        <v/>
      </c>
      <c r="AG532" s="1" t="str">
        <f>IF(AND(Programme_Grunddaten!$A537="Geprüft",Programme_Grunddaten!AO537&lt;&gt;""),IF(Programme_Grunddaten!AO537="Ja",1,0),"")</f>
        <v/>
      </c>
      <c r="AH532" s="1" t="str">
        <f>IF(AND(Programme_Grunddaten!$A537="Geprüft",Programme_Grunddaten!AP537&lt;&gt;""),IF(Programme_Grunddaten!AP537="Ja",1,0),"")</f>
        <v/>
      </c>
      <c r="AI532" s="1" t="str">
        <f>IF(AND(Programme_Grunddaten!$A537="Geprüft",Programme_Grunddaten!AQ537&lt;&gt;""),IF(Programme_Grunddaten!AQ537="Ja",1,0),"")</f>
        <v/>
      </c>
      <c r="AJ532" s="1" t="str">
        <f>IF(AND(Programme_Grunddaten!$A537="Geprüft",Programme_Grunddaten!AR537&lt;&gt;""),IF(Programme_Grunddaten!AR537="Ja",1,0),"")</f>
        <v/>
      </c>
      <c r="AK532" s="1" t="str">
        <f>IF(AND(Programme_Grunddaten!$A537="Geprüft",Programme_Grunddaten!AS537&lt;&gt;""),IF(Programme_Grunddaten!AS537="Ja",1,0),"")</f>
        <v/>
      </c>
      <c r="AL532" s="1" t="str">
        <f>IF(AND(Programme_Grunddaten!$A537="Geprüft",Programme_Grunddaten!AT537&lt;&gt;""),IF(Programme_Grunddaten!AT537="Ja",1,0),"")</f>
        <v/>
      </c>
      <c r="AM532" s="1" t="str">
        <f>IF(AND(Programme_Grunddaten!$A537="Geprüft",Programme_Grunddaten!AU537&lt;&gt;""),IF(Programme_Grunddaten!AU537="Ja",1,0),"")</f>
        <v/>
      </c>
      <c r="AN532" s="1" t="str">
        <f>IF(AND(Programme_Grunddaten!$A537="Geprüft",Programme_Grunddaten!AV537&lt;&gt;""),IF(Programme_Grunddaten!AV537="Ja",1,0),"")</f>
        <v/>
      </c>
    </row>
    <row r="533" spans="1:40" x14ac:dyDescent="0.3">
      <c r="A533" s="1" t="str">
        <f>IF(AND(Programme_Grunddaten!A538="Geprüft",Programme_Grunddaten!B538&lt;&gt;""),Programme_Grunddaten!B538,"")</f>
        <v/>
      </c>
      <c r="B533" s="1" t="str">
        <f>IF(AND(Programme_Grunddaten!$A538="Geprüft",Programme_Grunddaten!I538&lt;&gt;""),IF(Programme_Grunddaten!I538="Ja",1,0),"")</f>
        <v/>
      </c>
      <c r="C533" s="1" t="str">
        <f>IF(AND(Programme_Grunddaten!$A538="Geprüft",Programme_Grunddaten!J538&lt;&gt;""),IF(Programme_Grunddaten!J538="Ja",1,0),"")</f>
        <v/>
      </c>
      <c r="D533" s="1" t="str">
        <f>IF(AND(Programme_Grunddaten!$A538="Geprüft",Programme_Grunddaten!K538&lt;&gt;""),IF(Programme_Grunddaten!K538="Ja",1,0),"")</f>
        <v/>
      </c>
      <c r="E533" s="1" t="str">
        <f>IF(AND(Programme_Grunddaten!$A538="Geprüft",Programme_Grunddaten!L538&lt;&gt;""),IF(Programme_Grunddaten!L538="Abo / befristete Lizenz",1,0),"")</f>
        <v/>
      </c>
      <c r="F533" s="1" t="str">
        <f>IF(AND(Programme_Grunddaten!$A538="Geprüft",Programme_Grunddaten!M538&lt;&gt;""),IF(Programme_Grunddaten!M538="Ja",1,0),"")</f>
        <v/>
      </c>
      <c r="G533" s="1" t="str">
        <f>IF(AND(Programme_Grunddaten!$A538="Geprüft",Programme_Grunddaten!N538&lt;&gt;""),IF(Programme_Grunddaten!N538="Ja",1,0),"")</f>
        <v/>
      </c>
      <c r="H533" s="1" t="str">
        <f>IF(AND(Programme_Grunddaten!$A538="Geprüft",Programme_Grunddaten!O538&lt;&gt;""),IF(Programme_Grunddaten!O538="Deutschland",0,IF(Programme_Grunddaten!O538="EU",1,2)),"")</f>
        <v/>
      </c>
      <c r="I533" s="1" t="str">
        <f>IF(AND(Programme_Grunddaten!$A538="Geprüft",Programme_Grunddaten!P538&lt;&gt;""),IF(Programme_Grunddaten!P538="Ja",1,0),"")</f>
        <v/>
      </c>
      <c r="J533" s="1" t="str">
        <f>IF(AND(Programme_Grunddaten!$A538="Geprüft",Programme_Grunddaten!Q538&lt;&gt;""),IF(Programme_Grunddaten!Q538="geschlossenes System",1,0),"")</f>
        <v/>
      </c>
      <c r="K533" s="1" t="str">
        <f>IF(AND(Programme_Grunddaten!$A538="Geprüft",Programme_Grunddaten!R538&lt;&gt;""),IF(Programme_Grunddaten!R538="Ja",1,0),"")</f>
        <v/>
      </c>
      <c r="L533" s="1" t="str">
        <f>IF(AND(Programme_Grunddaten!$A538="Geprüft",Programme_Grunddaten!T538&lt;&gt;""),IF(Programme_Grunddaten!T538="Ja",1,0),"")</f>
        <v/>
      </c>
      <c r="M533" s="1" t="str">
        <f>IF(AND(Programme_Grunddaten!$A538="Geprüft",Programme_Grunddaten!U538&lt;&gt;""),IF(Programme_Grunddaten!U538="Ja",1,0),"")</f>
        <v/>
      </c>
      <c r="N533" s="1" t="str">
        <f>IF(AND(Programme_Grunddaten!$A538="Geprüft",Programme_Grunddaten!V538&lt;&gt;""),IF(Programme_Grunddaten!V538="Ja",1,0),"")</f>
        <v/>
      </c>
      <c r="O533" s="1" t="str">
        <f>IF(AND(Programme_Grunddaten!$A538="Geprüft",Programme_Grunddaten!W538&lt;&gt;""),IF(Programme_Grunddaten!W538="Ja",1,0),"")</f>
        <v/>
      </c>
      <c r="P533" s="1" t="str">
        <f>IF(AND(Programme_Grunddaten!$A538="Geprüft",Programme_Grunddaten!X538&lt;&gt;""),IF(Programme_Grunddaten!X538="Ja",1,0),"")</f>
        <v/>
      </c>
      <c r="Q533" s="1" t="str">
        <f>IF(AND(Programme_Grunddaten!$A538="Geprüft",Programme_Grunddaten!Y538&lt;&gt;""),IF(Programme_Grunddaten!Y538="Ja",1,0),"")</f>
        <v/>
      </c>
      <c r="R533" s="1" t="str">
        <f>IF(AND(Programme_Grunddaten!$A538="Geprüft",Programme_Grunddaten!Z538&lt;&gt;""),IF(Programme_Grunddaten!Z538="Ja",1,0),"")</f>
        <v/>
      </c>
      <c r="S533" s="1" t="str">
        <f>IF(AND(Programme_Grunddaten!$A538="Geprüft",Programme_Grunddaten!AA538&lt;&gt;""),IF(Programme_Grunddaten!AA538="monolithisch",1,0),"")</f>
        <v/>
      </c>
      <c r="T533" s="1" t="str">
        <f>IF(AND(Programme_Grunddaten!$A538="Geprüft",Programme_Grunddaten!AB538&lt;&gt;""),IF(Programme_Grunddaten!AB538="Ja",1,0),"")</f>
        <v/>
      </c>
      <c r="U533" s="1" t="str">
        <f>IF(AND(Programme_Grunddaten!$A538="Geprüft",Programme_Grunddaten!AC538&lt;&gt;""),IF(Programme_Grunddaten!AC538="Ja",1,0),"")</f>
        <v/>
      </c>
      <c r="V533" s="1" t="str">
        <f>IF(AND(Programme_Grunddaten!$A538="Geprüft",Programme_Grunddaten!AD538&lt;&gt;""),IF(Programme_Grunddaten!AD538="Ja",1,0),"")</f>
        <v/>
      </c>
      <c r="W533" s="1" t="str">
        <f>IF(AND(Programme_Grunddaten!$A538="Geprüft",Programme_Grunddaten!AE538&lt;&gt;""),IF(Programme_Grunddaten!AE538="Ja",1,0),"")</f>
        <v/>
      </c>
      <c r="X533" s="1" t="str">
        <f>IF(AND(Programme_Grunddaten!$A538="Geprüft",Programme_Grunddaten!AF538&lt;&gt;""),IF(Programme_Grunddaten!AF538="Ja",1,0),"")</f>
        <v/>
      </c>
      <c r="Y533" s="1" t="str">
        <f>IF(AND(Programme_Grunddaten!$A538="Geprüft",Programme_Grunddaten!AG538&lt;&gt;""),IF(Programme_Grunddaten!AG538="Ja",1,0),"")</f>
        <v/>
      </c>
      <c r="Z533" s="1" t="str">
        <f>IF(AND(Programme_Grunddaten!$A538="Geprüft",Programme_Grunddaten!AH538&lt;&gt;""),IF(Programme_Grunddaten!AH538="Ja",1,0),"")</f>
        <v/>
      </c>
      <c r="AA533" s="1" t="str">
        <f>IF(AND(Programme_Grunddaten!$A538="Geprüft",Programme_Grunddaten!AI538&lt;&gt;""),IF(Programme_Grunddaten!AI538="Ja",1,0),"")</f>
        <v/>
      </c>
      <c r="AB533" s="1" t="str">
        <f>IF(AND(Programme_Grunddaten!$A538="Geprüft",Programme_Grunddaten!AJ538&lt;&gt;""),IF(Programme_Grunddaten!AJ538="individuell programmierbar",1,0),"")</f>
        <v/>
      </c>
      <c r="AC533" s="1" t="str">
        <f>IF(AND(Programme_Grunddaten!$A538="Geprüft",Programme_Grunddaten!AK538&lt;&gt;""),IF(Programme_Grunddaten!AK538="Deutsch",0,IF(Programme_Grunddaten!AK538="Deutsch und Englisch",1,2)),"")</f>
        <v/>
      </c>
      <c r="AD533" s="1" t="str">
        <f>IF(AND(Programme_Grunddaten!$A538="Geprüft",Programme_Grunddaten!AL538&lt;&gt;""),IF(Programme_Grunddaten!AL538="Ja",1,0),"")</f>
        <v/>
      </c>
      <c r="AE533" s="1" t="str">
        <f>IF(AND(Programme_Grunddaten!$A538="Geprüft",Programme_Grunddaten!AM538&lt;&gt;""),IF(Programme_Grunddaten!AM538="Ja",1,0),"")</f>
        <v/>
      </c>
      <c r="AF533" s="1" t="str">
        <f>IF(AND(Programme_Grunddaten!$A538="Geprüft",Programme_Grunddaten!AN538&lt;&gt;""),IF(Programme_Grunddaten!AN538="Ja",1,0),"")</f>
        <v/>
      </c>
      <c r="AG533" s="1" t="str">
        <f>IF(AND(Programme_Grunddaten!$A538="Geprüft",Programme_Grunddaten!AO538&lt;&gt;""),IF(Programme_Grunddaten!AO538="Ja",1,0),"")</f>
        <v/>
      </c>
      <c r="AH533" s="1" t="str">
        <f>IF(AND(Programme_Grunddaten!$A538="Geprüft",Programme_Grunddaten!AP538&lt;&gt;""),IF(Programme_Grunddaten!AP538="Ja",1,0),"")</f>
        <v/>
      </c>
      <c r="AI533" s="1" t="str">
        <f>IF(AND(Programme_Grunddaten!$A538="Geprüft",Programme_Grunddaten!AQ538&lt;&gt;""),IF(Programme_Grunddaten!AQ538="Ja",1,0),"")</f>
        <v/>
      </c>
      <c r="AJ533" s="1" t="str">
        <f>IF(AND(Programme_Grunddaten!$A538="Geprüft",Programme_Grunddaten!AR538&lt;&gt;""),IF(Programme_Grunddaten!AR538="Ja",1,0),"")</f>
        <v/>
      </c>
      <c r="AK533" s="1" t="str">
        <f>IF(AND(Programme_Grunddaten!$A538="Geprüft",Programme_Grunddaten!AS538&lt;&gt;""),IF(Programme_Grunddaten!AS538="Ja",1,0),"")</f>
        <v/>
      </c>
      <c r="AL533" s="1" t="str">
        <f>IF(AND(Programme_Grunddaten!$A538="Geprüft",Programme_Grunddaten!AT538&lt;&gt;""),IF(Programme_Grunddaten!AT538="Ja",1,0),"")</f>
        <v/>
      </c>
      <c r="AM533" s="1" t="str">
        <f>IF(AND(Programme_Grunddaten!$A538="Geprüft",Programme_Grunddaten!AU538&lt;&gt;""),IF(Programme_Grunddaten!AU538="Ja",1,0),"")</f>
        <v/>
      </c>
      <c r="AN533" s="1" t="str">
        <f>IF(AND(Programme_Grunddaten!$A538="Geprüft",Programme_Grunddaten!AV538&lt;&gt;""),IF(Programme_Grunddaten!AV538="Ja",1,0),"")</f>
        <v/>
      </c>
    </row>
    <row r="534" spans="1:40" x14ac:dyDescent="0.3">
      <c r="A534" s="1" t="str">
        <f>IF(AND(Programme_Grunddaten!A539="Geprüft",Programme_Grunddaten!B539&lt;&gt;""),Programme_Grunddaten!B539,"")</f>
        <v/>
      </c>
      <c r="B534" s="1" t="str">
        <f>IF(AND(Programme_Grunddaten!$A539="Geprüft",Programme_Grunddaten!I539&lt;&gt;""),IF(Programme_Grunddaten!I539="Ja",1,0),"")</f>
        <v/>
      </c>
      <c r="C534" s="1" t="str">
        <f>IF(AND(Programme_Grunddaten!$A539="Geprüft",Programme_Grunddaten!J539&lt;&gt;""),IF(Programme_Grunddaten!J539="Ja",1,0),"")</f>
        <v/>
      </c>
      <c r="D534" s="1" t="str">
        <f>IF(AND(Programme_Grunddaten!$A539="Geprüft",Programme_Grunddaten!K539&lt;&gt;""),IF(Programme_Grunddaten!K539="Ja",1,0),"")</f>
        <v/>
      </c>
      <c r="E534" s="1" t="str">
        <f>IF(AND(Programme_Grunddaten!$A539="Geprüft",Programme_Grunddaten!L539&lt;&gt;""),IF(Programme_Grunddaten!L539="Abo / befristete Lizenz",1,0),"")</f>
        <v/>
      </c>
      <c r="F534" s="1" t="str">
        <f>IF(AND(Programme_Grunddaten!$A539="Geprüft",Programme_Grunddaten!M539&lt;&gt;""),IF(Programme_Grunddaten!M539="Ja",1,0),"")</f>
        <v/>
      </c>
      <c r="G534" s="1" t="str">
        <f>IF(AND(Programme_Grunddaten!$A539="Geprüft",Programme_Grunddaten!N539&lt;&gt;""),IF(Programme_Grunddaten!N539="Ja",1,0),"")</f>
        <v/>
      </c>
      <c r="H534" s="1" t="str">
        <f>IF(AND(Programme_Grunddaten!$A539="Geprüft",Programme_Grunddaten!O539&lt;&gt;""),IF(Programme_Grunddaten!O539="Deutschland",0,IF(Programme_Grunddaten!O539="EU",1,2)),"")</f>
        <v/>
      </c>
      <c r="I534" s="1" t="str">
        <f>IF(AND(Programme_Grunddaten!$A539="Geprüft",Programme_Grunddaten!P539&lt;&gt;""),IF(Programme_Grunddaten!P539="Ja",1,0),"")</f>
        <v/>
      </c>
      <c r="J534" s="1" t="str">
        <f>IF(AND(Programme_Grunddaten!$A539="Geprüft",Programme_Grunddaten!Q539&lt;&gt;""),IF(Programme_Grunddaten!Q539="geschlossenes System",1,0),"")</f>
        <v/>
      </c>
      <c r="K534" s="1" t="str">
        <f>IF(AND(Programme_Grunddaten!$A539="Geprüft",Programme_Grunddaten!R539&lt;&gt;""),IF(Programme_Grunddaten!R539="Ja",1,0),"")</f>
        <v/>
      </c>
      <c r="L534" s="1" t="str">
        <f>IF(AND(Programme_Grunddaten!$A539="Geprüft",Programme_Grunddaten!T539&lt;&gt;""),IF(Programme_Grunddaten!T539="Ja",1,0),"")</f>
        <v/>
      </c>
      <c r="M534" s="1" t="str">
        <f>IF(AND(Programme_Grunddaten!$A539="Geprüft",Programme_Grunddaten!U539&lt;&gt;""),IF(Programme_Grunddaten!U539="Ja",1,0),"")</f>
        <v/>
      </c>
      <c r="N534" s="1" t="str">
        <f>IF(AND(Programme_Grunddaten!$A539="Geprüft",Programme_Grunddaten!V539&lt;&gt;""),IF(Programme_Grunddaten!V539="Ja",1,0),"")</f>
        <v/>
      </c>
      <c r="O534" s="1" t="str">
        <f>IF(AND(Programme_Grunddaten!$A539="Geprüft",Programme_Grunddaten!W539&lt;&gt;""),IF(Programme_Grunddaten!W539="Ja",1,0),"")</f>
        <v/>
      </c>
      <c r="P534" s="1" t="str">
        <f>IF(AND(Programme_Grunddaten!$A539="Geprüft",Programme_Grunddaten!X539&lt;&gt;""),IF(Programme_Grunddaten!X539="Ja",1,0),"")</f>
        <v/>
      </c>
      <c r="Q534" s="1" t="str">
        <f>IF(AND(Programme_Grunddaten!$A539="Geprüft",Programme_Grunddaten!Y539&lt;&gt;""),IF(Programme_Grunddaten!Y539="Ja",1,0),"")</f>
        <v/>
      </c>
      <c r="R534" s="1" t="str">
        <f>IF(AND(Programme_Grunddaten!$A539="Geprüft",Programme_Grunddaten!Z539&lt;&gt;""),IF(Programme_Grunddaten!Z539="Ja",1,0),"")</f>
        <v/>
      </c>
      <c r="S534" s="1" t="str">
        <f>IF(AND(Programme_Grunddaten!$A539="Geprüft",Programme_Grunddaten!AA539&lt;&gt;""),IF(Programme_Grunddaten!AA539="monolithisch",1,0),"")</f>
        <v/>
      </c>
      <c r="T534" s="1" t="str">
        <f>IF(AND(Programme_Grunddaten!$A539="Geprüft",Programme_Grunddaten!AB539&lt;&gt;""),IF(Programme_Grunddaten!AB539="Ja",1,0),"")</f>
        <v/>
      </c>
      <c r="U534" s="1" t="str">
        <f>IF(AND(Programme_Grunddaten!$A539="Geprüft",Programme_Grunddaten!AC539&lt;&gt;""),IF(Programme_Grunddaten!AC539="Ja",1,0),"")</f>
        <v/>
      </c>
      <c r="V534" s="1" t="str">
        <f>IF(AND(Programme_Grunddaten!$A539="Geprüft",Programme_Grunddaten!AD539&lt;&gt;""),IF(Programme_Grunddaten!AD539="Ja",1,0),"")</f>
        <v/>
      </c>
      <c r="W534" s="1" t="str">
        <f>IF(AND(Programme_Grunddaten!$A539="Geprüft",Programme_Grunddaten!AE539&lt;&gt;""),IF(Programme_Grunddaten!AE539="Ja",1,0),"")</f>
        <v/>
      </c>
      <c r="X534" s="1" t="str">
        <f>IF(AND(Programme_Grunddaten!$A539="Geprüft",Programme_Grunddaten!AF539&lt;&gt;""),IF(Programme_Grunddaten!AF539="Ja",1,0),"")</f>
        <v/>
      </c>
      <c r="Y534" s="1" t="str">
        <f>IF(AND(Programme_Grunddaten!$A539="Geprüft",Programme_Grunddaten!AG539&lt;&gt;""),IF(Programme_Grunddaten!AG539="Ja",1,0),"")</f>
        <v/>
      </c>
      <c r="Z534" s="1" t="str">
        <f>IF(AND(Programme_Grunddaten!$A539="Geprüft",Programme_Grunddaten!AH539&lt;&gt;""),IF(Programme_Grunddaten!AH539="Ja",1,0),"")</f>
        <v/>
      </c>
      <c r="AA534" s="1" t="str">
        <f>IF(AND(Programme_Grunddaten!$A539="Geprüft",Programme_Grunddaten!AI539&lt;&gt;""),IF(Programme_Grunddaten!AI539="Ja",1,0),"")</f>
        <v/>
      </c>
      <c r="AB534" s="1" t="str">
        <f>IF(AND(Programme_Grunddaten!$A539="Geprüft",Programme_Grunddaten!AJ539&lt;&gt;""),IF(Programme_Grunddaten!AJ539="individuell programmierbar",1,0),"")</f>
        <v/>
      </c>
      <c r="AC534" s="1" t="str">
        <f>IF(AND(Programme_Grunddaten!$A539="Geprüft",Programme_Grunddaten!AK539&lt;&gt;""),IF(Programme_Grunddaten!AK539="Deutsch",0,IF(Programme_Grunddaten!AK539="Deutsch und Englisch",1,2)),"")</f>
        <v/>
      </c>
      <c r="AD534" s="1" t="str">
        <f>IF(AND(Programme_Grunddaten!$A539="Geprüft",Programme_Grunddaten!AL539&lt;&gt;""),IF(Programme_Grunddaten!AL539="Ja",1,0),"")</f>
        <v/>
      </c>
      <c r="AE534" s="1" t="str">
        <f>IF(AND(Programme_Grunddaten!$A539="Geprüft",Programme_Grunddaten!AM539&lt;&gt;""),IF(Programme_Grunddaten!AM539="Ja",1,0),"")</f>
        <v/>
      </c>
      <c r="AF534" s="1" t="str">
        <f>IF(AND(Programme_Grunddaten!$A539="Geprüft",Programme_Grunddaten!AN539&lt;&gt;""),IF(Programme_Grunddaten!AN539="Ja",1,0),"")</f>
        <v/>
      </c>
      <c r="AG534" s="1" t="str">
        <f>IF(AND(Programme_Grunddaten!$A539="Geprüft",Programme_Grunddaten!AO539&lt;&gt;""),IF(Programme_Grunddaten!AO539="Ja",1,0),"")</f>
        <v/>
      </c>
      <c r="AH534" s="1" t="str">
        <f>IF(AND(Programme_Grunddaten!$A539="Geprüft",Programme_Grunddaten!AP539&lt;&gt;""),IF(Programme_Grunddaten!AP539="Ja",1,0),"")</f>
        <v/>
      </c>
      <c r="AI534" s="1" t="str">
        <f>IF(AND(Programme_Grunddaten!$A539="Geprüft",Programme_Grunddaten!AQ539&lt;&gt;""),IF(Programme_Grunddaten!AQ539="Ja",1,0),"")</f>
        <v/>
      </c>
      <c r="AJ534" s="1" t="str">
        <f>IF(AND(Programme_Grunddaten!$A539="Geprüft",Programme_Grunddaten!AR539&lt;&gt;""),IF(Programme_Grunddaten!AR539="Ja",1,0),"")</f>
        <v/>
      </c>
      <c r="AK534" s="1" t="str">
        <f>IF(AND(Programme_Grunddaten!$A539="Geprüft",Programme_Grunddaten!AS539&lt;&gt;""),IF(Programme_Grunddaten!AS539="Ja",1,0),"")</f>
        <v/>
      </c>
      <c r="AL534" s="1" t="str">
        <f>IF(AND(Programme_Grunddaten!$A539="Geprüft",Programme_Grunddaten!AT539&lt;&gt;""),IF(Programme_Grunddaten!AT539="Ja",1,0),"")</f>
        <v/>
      </c>
      <c r="AM534" s="1" t="str">
        <f>IF(AND(Programme_Grunddaten!$A539="Geprüft",Programme_Grunddaten!AU539&lt;&gt;""),IF(Programme_Grunddaten!AU539="Ja",1,0),"")</f>
        <v/>
      </c>
      <c r="AN534" s="1" t="str">
        <f>IF(AND(Programme_Grunddaten!$A539="Geprüft",Programme_Grunddaten!AV539&lt;&gt;""),IF(Programme_Grunddaten!AV539="Ja",1,0),"")</f>
        <v/>
      </c>
    </row>
    <row r="535" spans="1:40" x14ac:dyDescent="0.3">
      <c r="A535" s="1" t="str">
        <f>IF(AND(Programme_Grunddaten!A540="Geprüft",Programme_Grunddaten!B540&lt;&gt;""),Programme_Grunddaten!B540,"")</f>
        <v/>
      </c>
      <c r="B535" s="1" t="str">
        <f>IF(AND(Programme_Grunddaten!$A540="Geprüft",Programme_Grunddaten!I540&lt;&gt;""),IF(Programme_Grunddaten!I540="Ja",1,0),"")</f>
        <v/>
      </c>
      <c r="C535" s="1" t="str">
        <f>IF(AND(Programme_Grunddaten!$A540="Geprüft",Programme_Grunddaten!J540&lt;&gt;""),IF(Programme_Grunddaten!J540="Ja",1,0),"")</f>
        <v/>
      </c>
      <c r="D535" s="1" t="str">
        <f>IF(AND(Programme_Grunddaten!$A540="Geprüft",Programme_Grunddaten!K540&lt;&gt;""),IF(Programme_Grunddaten!K540="Ja",1,0),"")</f>
        <v/>
      </c>
      <c r="E535" s="1" t="str">
        <f>IF(AND(Programme_Grunddaten!$A540="Geprüft",Programme_Grunddaten!L540&lt;&gt;""),IF(Programme_Grunddaten!L540="Abo / befristete Lizenz",1,0),"")</f>
        <v/>
      </c>
      <c r="F535" s="1" t="str">
        <f>IF(AND(Programme_Grunddaten!$A540="Geprüft",Programme_Grunddaten!M540&lt;&gt;""),IF(Programme_Grunddaten!M540="Ja",1,0),"")</f>
        <v/>
      </c>
      <c r="G535" s="1" t="str">
        <f>IF(AND(Programme_Grunddaten!$A540="Geprüft",Programme_Grunddaten!N540&lt;&gt;""),IF(Programme_Grunddaten!N540="Ja",1,0),"")</f>
        <v/>
      </c>
      <c r="H535" s="1" t="str">
        <f>IF(AND(Programme_Grunddaten!$A540="Geprüft",Programme_Grunddaten!O540&lt;&gt;""),IF(Programme_Grunddaten!O540="Deutschland",0,IF(Programme_Grunddaten!O540="EU",1,2)),"")</f>
        <v/>
      </c>
      <c r="I535" s="1" t="str">
        <f>IF(AND(Programme_Grunddaten!$A540="Geprüft",Programme_Grunddaten!P540&lt;&gt;""),IF(Programme_Grunddaten!P540="Ja",1,0),"")</f>
        <v/>
      </c>
      <c r="J535" s="1" t="str">
        <f>IF(AND(Programme_Grunddaten!$A540="Geprüft",Programme_Grunddaten!Q540&lt;&gt;""),IF(Programme_Grunddaten!Q540="geschlossenes System",1,0),"")</f>
        <v/>
      </c>
      <c r="K535" s="1" t="str">
        <f>IF(AND(Programme_Grunddaten!$A540="Geprüft",Programme_Grunddaten!R540&lt;&gt;""),IF(Programme_Grunddaten!R540="Ja",1,0),"")</f>
        <v/>
      </c>
      <c r="L535" s="1" t="str">
        <f>IF(AND(Programme_Grunddaten!$A540="Geprüft",Programme_Grunddaten!T540&lt;&gt;""),IF(Programme_Grunddaten!T540="Ja",1,0),"")</f>
        <v/>
      </c>
      <c r="M535" s="1" t="str">
        <f>IF(AND(Programme_Grunddaten!$A540="Geprüft",Programme_Grunddaten!U540&lt;&gt;""),IF(Programme_Grunddaten!U540="Ja",1,0),"")</f>
        <v/>
      </c>
      <c r="N535" s="1" t="str">
        <f>IF(AND(Programme_Grunddaten!$A540="Geprüft",Programme_Grunddaten!V540&lt;&gt;""),IF(Programme_Grunddaten!V540="Ja",1,0),"")</f>
        <v/>
      </c>
      <c r="O535" s="1" t="str">
        <f>IF(AND(Programme_Grunddaten!$A540="Geprüft",Programme_Grunddaten!W540&lt;&gt;""),IF(Programme_Grunddaten!W540="Ja",1,0),"")</f>
        <v/>
      </c>
      <c r="P535" s="1" t="str">
        <f>IF(AND(Programme_Grunddaten!$A540="Geprüft",Programme_Grunddaten!X540&lt;&gt;""),IF(Programme_Grunddaten!X540="Ja",1,0),"")</f>
        <v/>
      </c>
      <c r="Q535" s="1" t="str">
        <f>IF(AND(Programme_Grunddaten!$A540="Geprüft",Programme_Grunddaten!Y540&lt;&gt;""),IF(Programme_Grunddaten!Y540="Ja",1,0),"")</f>
        <v/>
      </c>
      <c r="R535" s="1" t="str">
        <f>IF(AND(Programme_Grunddaten!$A540="Geprüft",Programme_Grunddaten!Z540&lt;&gt;""),IF(Programme_Grunddaten!Z540="Ja",1,0),"")</f>
        <v/>
      </c>
      <c r="S535" s="1" t="str">
        <f>IF(AND(Programme_Grunddaten!$A540="Geprüft",Programme_Grunddaten!AA540&lt;&gt;""),IF(Programme_Grunddaten!AA540="monolithisch",1,0),"")</f>
        <v/>
      </c>
      <c r="T535" s="1" t="str">
        <f>IF(AND(Programme_Grunddaten!$A540="Geprüft",Programme_Grunddaten!AB540&lt;&gt;""),IF(Programme_Grunddaten!AB540="Ja",1,0),"")</f>
        <v/>
      </c>
      <c r="U535" s="1" t="str">
        <f>IF(AND(Programme_Grunddaten!$A540="Geprüft",Programme_Grunddaten!AC540&lt;&gt;""),IF(Programme_Grunddaten!AC540="Ja",1,0),"")</f>
        <v/>
      </c>
      <c r="V535" s="1" t="str">
        <f>IF(AND(Programme_Grunddaten!$A540="Geprüft",Programme_Grunddaten!AD540&lt;&gt;""),IF(Programme_Grunddaten!AD540="Ja",1,0),"")</f>
        <v/>
      </c>
      <c r="W535" s="1" t="str">
        <f>IF(AND(Programme_Grunddaten!$A540="Geprüft",Programme_Grunddaten!AE540&lt;&gt;""),IF(Programme_Grunddaten!AE540="Ja",1,0),"")</f>
        <v/>
      </c>
      <c r="X535" s="1" t="str">
        <f>IF(AND(Programme_Grunddaten!$A540="Geprüft",Programme_Grunddaten!AF540&lt;&gt;""),IF(Programme_Grunddaten!AF540="Ja",1,0),"")</f>
        <v/>
      </c>
      <c r="Y535" s="1" t="str">
        <f>IF(AND(Programme_Grunddaten!$A540="Geprüft",Programme_Grunddaten!AG540&lt;&gt;""),IF(Programme_Grunddaten!AG540="Ja",1,0),"")</f>
        <v/>
      </c>
      <c r="Z535" s="1" t="str">
        <f>IF(AND(Programme_Grunddaten!$A540="Geprüft",Programme_Grunddaten!AH540&lt;&gt;""),IF(Programme_Grunddaten!AH540="Ja",1,0),"")</f>
        <v/>
      </c>
      <c r="AA535" s="1" t="str">
        <f>IF(AND(Programme_Grunddaten!$A540="Geprüft",Programme_Grunddaten!AI540&lt;&gt;""),IF(Programme_Grunddaten!AI540="Ja",1,0),"")</f>
        <v/>
      </c>
      <c r="AB535" s="1" t="str">
        <f>IF(AND(Programme_Grunddaten!$A540="Geprüft",Programme_Grunddaten!AJ540&lt;&gt;""),IF(Programme_Grunddaten!AJ540="individuell programmierbar",1,0),"")</f>
        <v/>
      </c>
      <c r="AC535" s="1" t="str">
        <f>IF(AND(Programme_Grunddaten!$A540="Geprüft",Programme_Grunddaten!AK540&lt;&gt;""),IF(Programme_Grunddaten!AK540="Deutsch",0,IF(Programme_Grunddaten!AK540="Deutsch und Englisch",1,2)),"")</f>
        <v/>
      </c>
      <c r="AD535" s="1" t="str">
        <f>IF(AND(Programme_Grunddaten!$A540="Geprüft",Programme_Grunddaten!AL540&lt;&gt;""),IF(Programme_Grunddaten!AL540="Ja",1,0),"")</f>
        <v/>
      </c>
      <c r="AE535" s="1" t="str">
        <f>IF(AND(Programme_Grunddaten!$A540="Geprüft",Programme_Grunddaten!AM540&lt;&gt;""),IF(Programme_Grunddaten!AM540="Ja",1,0),"")</f>
        <v/>
      </c>
      <c r="AF535" s="1" t="str">
        <f>IF(AND(Programme_Grunddaten!$A540="Geprüft",Programme_Grunddaten!AN540&lt;&gt;""),IF(Programme_Grunddaten!AN540="Ja",1,0),"")</f>
        <v/>
      </c>
      <c r="AG535" s="1" t="str">
        <f>IF(AND(Programme_Grunddaten!$A540="Geprüft",Programme_Grunddaten!AO540&lt;&gt;""),IF(Programme_Grunddaten!AO540="Ja",1,0),"")</f>
        <v/>
      </c>
      <c r="AH535" s="1" t="str">
        <f>IF(AND(Programme_Grunddaten!$A540="Geprüft",Programme_Grunddaten!AP540&lt;&gt;""),IF(Programme_Grunddaten!AP540="Ja",1,0),"")</f>
        <v/>
      </c>
      <c r="AI535" s="1" t="str">
        <f>IF(AND(Programme_Grunddaten!$A540="Geprüft",Programme_Grunddaten!AQ540&lt;&gt;""),IF(Programme_Grunddaten!AQ540="Ja",1,0),"")</f>
        <v/>
      </c>
      <c r="AJ535" s="1" t="str">
        <f>IF(AND(Programme_Grunddaten!$A540="Geprüft",Programme_Grunddaten!AR540&lt;&gt;""),IF(Programme_Grunddaten!AR540="Ja",1,0),"")</f>
        <v/>
      </c>
      <c r="AK535" s="1" t="str">
        <f>IF(AND(Programme_Grunddaten!$A540="Geprüft",Programme_Grunddaten!AS540&lt;&gt;""),IF(Programme_Grunddaten!AS540="Ja",1,0),"")</f>
        <v/>
      </c>
      <c r="AL535" s="1" t="str">
        <f>IF(AND(Programme_Grunddaten!$A540="Geprüft",Programme_Grunddaten!AT540&lt;&gt;""),IF(Programme_Grunddaten!AT540="Ja",1,0),"")</f>
        <v/>
      </c>
      <c r="AM535" s="1" t="str">
        <f>IF(AND(Programme_Grunddaten!$A540="Geprüft",Programme_Grunddaten!AU540&lt;&gt;""),IF(Programme_Grunddaten!AU540="Ja",1,0),"")</f>
        <v/>
      </c>
      <c r="AN535" s="1" t="str">
        <f>IF(AND(Programme_Grunddaten!$A540="Geprüft",Programme_Grunddaten!AV540&lt;&gt;""),IF(Programme_Grunddaten!AV540="Ja",1,0),"")</f>
        <v/>
      </c>
    </row>
    <row r="536" spans="1:40" x14ac:dyDescent="0.3">
      <c r="A536" s="1" t="str">
        <f>IF(AND(Programme_Grunddaten!A541="Geprüft",Programme_Grunddaten!B541&lt;&gt;""),Programme_Grunddaten!B541,"")</f>
        <v/>
      </c>
      <c r="B536" s="1" t="str">
        <f>IF(AND(Programme_Grunddaten!$A541="Geprüft",Programme_Grunddaten!I541&lt;&gt;""),IF(Programme_Grunddaten!I541="Ja",1,0),"")</f>
        <v/>
      </c>
      <c r="C536" s="1" t="str">
        <f>IF(AND(Programme_Grunddaten!$A541="Geprüft",Programme_Grunddaten!J541&lt;&gt;""),IF(Programme_Grunddaten!J541="Ja",1,0),"")</f>
        <v/>
      </c>
      <c r="D536" s="1" t="str">
        <f>IF(AND(Programme_Grunddaten!$A541="Geprüft",Programme_Grunddaten!K541&lt;&gt;""),IF(Programme_Grunddaten!K541="Ja",1,0),"")</f>
        <v/>
      </c>
      <c r="E536" s="1" t="str">
        <f>IF(AND(Programme_Grunddaten!$A541="Geprüft",Programme_Grunddaten!L541&lt;&gt;""),IF(Programme_Grunddaten!L541="Abo / befristete Lizenz",1,0),"")</f>
        <v/>
      </c>
      <c r="F536" s="1" t="str">
        <f>IF(AND(Programme_Grunddaten!$A541="Geprüft",Programme_Grunddaten!M541&lt;&gt;""),IF(Programme_Grunddaten!M541="Ja",1,0),"")</f>
        <v/>
      </c>
      <c r="G536" s="1" t="str">
        <f>IF(AND(Programme_Grunddaten!$A541="Geprüft",Programme_Grunddaten!N541&lt;&gt;""),IF(Programme_Grunddaten!N541="Ja",1,0),"")</f>
        <v/>
      </c>
      <c r="H536" s="1" t="str">
        <f>IF(AND(Programme_Grunddaten!$A541="Geprüft",Programme_Grunddaten!O541&lt;&gt;""),IF(Programme_Grunddaten!O541="Deutschland",0,IF(Programme_Grunddaten!O541="EU",1,2)),"")</f>
        <v/>
      </c>
      <c r="I536" s="1" t="str">
        <f>IF(AND(Programme_Grunddaten!$A541="Geprüft",Programme_Grunddaten!P541&lt;&gt;""),IF(Programme_Grunddaten!P541="Ja",1,0),"")</f>
        <v/>
      </c>
      <c r="J536" s="1" t="str">
        <f>IF(AND(Programme_Grunddaten!$A541="Geprüft",Programme_Grunddaten!Q541&lt;&gt;""),IF(Programme_Grunddaten!Q541="geschlossenes System",1,0),"")</f>
        <v/>
      </c>
      <c r="K536" s="1" t="str">
        <f>IF(AND(Programme_Grunddaten!$A541="Geprüft",Programme_Grunddaten!R541&lt;&gt;""),IF(Programme_Grunddaten!R541="Ja",1,0),"")</f>
        <v/>
      </c>
      <c r="L536" s="1" t="str">
        <f>IF(AND(Programme_Grunddaten!$A541="Geprüft",Programme_Grunddaten!T541&lt;&gt;""),IF(Programme_Grunddaten!T541="Ja",1,0),"")</f>
        <v/>
      </c>
      <c r="M536" s="1" t="str">
        <f>IF(AND(Programme_Grunddaten!$A541="Geprüft",Programme_Grunddaten!U541&lt;&gt;""),IF(Programme_Grunddaten!U541="Ja",1,0),"")</f>
        <v/>
      </c>
      <c r="N536" s="1" t="str">
        <f>IF(AND(Programme_Grunddaten!$A541="Geprüft",Programme_Grunddaten!V541&lt;&gt;""),IF(Programme_Grunddaten!V541="Ja",1,0),"")</f>
        <v/>
      </c>
      <c r="O536" s="1" t="str">
        <f>IF(AND(Programme_Grunddaten!$A541="Geprüft",Programme_Grunddaten!W541&lt;&gt;""),IF(Programme_Grunddaten!W541="Ja",1,0),"")</f>
        <v/>
      </c>
      <c r="P536" s="1" t="str">
        <f>IF(AND(Programme_Grunddaten!$A541="Geprüft",Programme_Grunddaten!X541&lt;&gt;""),IF(Programme_Grunddaten!X541="Ja",1,0),"")</f>
        <v/>
      </c>
      <c r="Q536" s="1" t="str">
        <f>IF(AND(Programme_Grunddaten!$A541="Geprüft",Programme_Grunddaten!Y541&lt;&gt;""),IF(Programme_Grunddaten!Y541="Ja",1,0),"")</f>
        <v/>
      </c>
      <c r="R536" s="1" t="str">
        <f>IF(AND(Programme_Grunddaten!$A541="Geprüft",Programme_Grunddaten!Z541&lt;&gt;""),IF(Programme_Grunddaten!Z541="Ja",1,0),"")</f>
        <v/>
      </c>
      <c r="S536" s="1" t="str">
        <f>IF(AND(Programme_Grunddaten!$A541="Geprüft",Programme_Grunddaten!AA541&lt;&gt;""),IF(Programme_Grunddaten!AA541="monolithisch",1,0),"")</f>
        <v/>
      </c>
      <c r="T536" s="1" t="str">
        <f>IF(AND(Programme_Grunddaten!$A541="Geprüft",Programme_Grunddaten!AB541&lt;&gt;""),IF(Programme_Grunddaten!AB541="Ja",1,0),"")</f>
        <v/>
      </c>
      <c r="U536" s="1" t="str">
        <f>IF(AND(Programme_Grunddaten!$A541="Geprüft",Programme_Grunddaten!AC541&lt;&gt;""),IF(Programme_Grunddaten!AC541="Ja",1,0),"")</f>
        <v/>
      </c>
      <c r="V536" s="1" t="str">
        <f>IF(AND(Programme_Grunddaten!$A541="Geprüft",Programme_Grunddaten!AD541&lt;&gt;""),IF(Programme_Grunddaten!AD541="Ja",1,0),"")</f>
        <v/>
      </c>
      <c r="W536" s="1" t="str">
        <f>IF(AND(Programme_Grunddaten!$A541="Geprüft",Programme_Grunddaten!AE541&lt;&gt;""),IF(Programme_Grunddaten!AE541="Ja",1,0),"")</f>
        <v/>
      </c>
      <c r="X536" s="1" t="str">
        <f>IF(AND(Programme_Grunddaten!$A541="Geprüft",Programme_Grunddaten!AF541&lt;&gt;""),IF(Programme_Grunddaten!AF541="Ja",1,0),"")</f>
        <v/>
      </c>
      <c r="Y536" s="1" t="str">
        <f>IF(AND(Programme_Grunddaten!$A541="Geprüft",Programme_Grunddaten!AG541&lt;&gt;""),IF(Programme_Grunddaten!AG541="Ja",1,0),"")</f>
        <v/>
      </c>
      <c r="Z536" s="1" t="str">
        <f>IF(AND(Programme_Grunddaten!$A541="Geprüft",Programme_Grunddaten!AH541&lt;&gt;""),IF(Programme_Grunddaten!AH541="Ja",1,0),"")</f>
        <v/>
      </c>
      <c r="AA536" s="1" t="str">
        <f>IF(AND(Programme_Grunddaten!$A541="Geprüft",Programme_Grunddaten!AI541&lt;&gt;""),IF(Programme_Grunddaten!AI541="Ja",1,0),"")</f>
        <v/>
      </c>
      <c r="AB536" s="1" t="str">
        <f>IF(AND(Programme_Grunddaten!$A541="Geprüft",Programme_Grunddaten!AJ541&lt;&gt;""),IF(Programme_Grunddaten!AJ541="individuell programmierbar",1,0),"")</f>
        <v/>
      </c>
      <c r="AC536" s="1" t="str">
        <f>IF(AND(Programme_Grunddaten!$A541="Geprüft",Programme_Grunddaten!AK541&lt;&gt;""),IF(Programme_Grunddaten!AK541="Deutsch",0,IF(Programme_Grunddaten!AK541="Deutsch und Englisch",1,2)),"")</f>
        <v/>
      </c>
      <c r="AD536" s="1" t="str">
        <f>IF(AND(Programme_Grunddaten!$A541="Geprüft",Programme_Grunddaten!AL541&lt;&gt;""),IF(Programme_Grunddaten!AL541="Ja",1,0),"")</f>
        <v/>
      </c>
      <c r="AE536" s="1" t="str">
        <f>IF(AND(Programme_Grunddaten!$A541="Geprüft",Programme_Grunddaten!AM541&lt;&gt;""),IF(Programme_Grunddaten!AM541="Ja",1,0),"")</f>
        <v/>
      </c>
      <c r="AF536" s="1" t="str">
        <f>IF(AND(Programme_Grunddaten!$A541="Geprüft",Programme_Grunddaten!AN541&lt;&gt;""),IF(Programme_Grunddaten!AN541="Ja",1,0),"")</f>
        <v/>
      </c>
      <c r="AG536" s="1" t="str">
        <f>IF(AND(Programme_Grunddaten!$A541="Geprüft",Programme_Grunddaten!AO541&lt;&gt;""),IF(Programme_Grunddaten!AO541="Ja",1,0),"")</f>
        <v/>
      </c>
      <c r="AH536" s="1" t="str">
        <f>IF(AND(Programme_Grunddaten!$A541="Geprüft",Programme_Grunddaten!AP541&lt;&gt;""),IF(Programme_Grunddaten!AP541="Ja",1,0),"")</f>
        <v/>
      </c>
      <c r="AI536" s="1" t="str">
        <f>IF(AND(Programme_Grunddaten!$A541="Geprüft",Programme_Grunddaten!AQ541&lt;&gt;""),IF(Programme_Grunddaten!AQ541="Ja",1,0),"")</f>
        <v/>
      </c>
      <c r="AJ536" s="1" t="str">
        <f>IF(AND(Programme_Grunddaten!$A541="Geprüft",Programme_Grunddaten!AR541&lt;&gt;""),IF(Programme_Grunddaten!AR541="Ja",1,0),"")</f>
        <v/>
      </c>
      <c r="AK536" s="1" t="str">
        <f>IF(AND(Programme_Grunddaten!$A541="Geprüft",Programme_Grunddaten!AS541&lt;&gt;""),IF(Programme_Grunddaten!AS541="Ja",1,0),"")</f>
        <v/>
      </c>
      <c r="AL536" s="1" t="str">
        <f>IF(AND(Programme_Grunddaten!$A541="Geprüft",Programme_Grunddaten!AT541&lt;&gt;""),IF(Programme_Grunddaten!AT541="Ja",1,0),"")</f>
        <v/>
      </c>
      <c r="AM536" s="1" t="str">
        <f>IF(AND(Programme_Grunddaten!$A541="Geprüft",Programme_Grunddaten!AU541&lt;&gt;""),IF(Programme_Grunddaten!AU541="Ja",1,0),"")</f>
        <v/>
      </c>
      <c r="AN536" s="1" t="str">
        <f>IF(AND(Programme_Grunddaten!$A541="Geprüft",Programme_Grunddaten!AV541&lt;&gt;""),IF(Programme_Grunddaten!AV541="Ja",1,0),"")</f>
        <v/>
      </c>
    </row>
    <row r="537" spans="1:40" x14ac:dyDescent="0.3">
      <c r="A537" s="1" t="str">
        <f>IF(AND(Programme_Grunddaten!A542="Geprüft",Programme_Grunddaten!B542&lt;&gt;""),Programme_Grunddaten!B542,"")</f>
        <v/>
      </c>
      <c r="B537" s="1" t="str">
        <f>IF(AND(Programme_Grunddaten!$A542="Geprüft",Programme_Grunddaten!I542&lt;&gt;""),IF(Programme_Grunddaten!I542="Ja",1,0),"")</f>
        <v/>
      </c>
      <c r="C537" s="1" t="str">
        <f>IF(AND(Programme_Grunddaten!$A542="Geprüft",Programme_Grunddaten!J542&lt;&gt;""),IF(Programme_Grunddaten!J542="Ja",1,0),"")</f>
        <v/>
      </c>
      <c r="D537" s="1" t="str">
        <f>IF(AND(Programme_Grunddaten!$A542="Geprüft",Programme_Grunddaten!K542&lt;&gt;""),IF(Programme_Grunddaten!K542="Ja",1,0),"")</f>
        <v/>
      </c>
      <c r="E537" s="1" t="str">
        <f>IF(AND(Programme_Grunddaten!$A542="Geprüft",Programme_Grunddaten!L542&lt;&gt;""),IF(Programme_Grunddaten!L542="Abo / befristete Lizenz",1,0),"")</f>
        <v/>
      </c>
      <c r="F537" s="1" t="str">
        <f>IF(AND(Programme_Grunddaten!$A542="Geprüft",Programme_Grunddaten!M542&lt;&gt;""),IF(Programme_Grunddaten!M542="Ja",1,0),"")</f>
        <v/>
      </c>
      <c r="G537" s="1" t="str">
        <f>IF(AND(Programme_Grunddaten!$A542="Geprüft",Programme_Grunddaten!N542&lt;&gt;""),IF(Programme_Grunddaten!N542="Ja",1,0),"")</f>
        <v/>
      </c>
      <c r="H537" s="1" t="str">
        <f>IF(AND(Programme_Grunddaten!$A542="Geprüft",Programme_Grunddaten!O542&lt;&gt;""),IF(Programme_Grunddaten!O542="Deutschland",0,IF(Programme_Grunddaten!O542="EU",1,2)),"")</f>
        <v/>
      </c>
      <c r="I537" s="1" t="str">
        <f>IF(AND(Programme_Grunddaten!$A542="Geprüft",Programme_Grunddaten!P542&lt;&gt;""),IF(Programme_Grunddaten!P542="Ja",1,0),"")</f>
        <v/>
      </c>
      <c r="J537" s="1" t="str">
        <f>IF(AND(Programme_Grunddaten!$A542="Geprüft",Programme_Grunddaten!Q542&lt;&gt;""),IF(Programme_Grunddaten!Q542="geschlossenes System",1,0),"")</f>
        <v/>
      </c>
      <c r="K537" s="1" t="str">
        <f>IF(AND(Programme_Grunddaten!$A542="Geprüft",Programme_Grunddaten!R542&lt;&gt;""),IF(Programme_Grunddaten!R542="Ja",1,0),"")</f>
        <v/>
      </c>
      <c r="L537" s="1" t="str">
        <f>IF(AND(Programme_Grunddaten!$A542="Geprüft",Programme_Grunddaten!T542&lt;&gt;""),IF(Programme_Grunddaten!T542="Ja",1,0),"")</f>
        <v/>
      </c>
      <c r="M537" s="1" t="str">
        <f>IF(AND(Programme_Grunddaten!$A542="Geprüft",Programme_Grunddaten!U542&lt;&gt;""),IF(Programme_Grunddaten!U542="Ja",1,0),"")</f>
        <v/>
      </c>
      <c r="N537" s="1" t="str">
        <f>IF(AND(Programme_Grunddaten!$A542="Geprüft",Programme_Grunddaten!V542&lt;&gt;""),IF(Programme_Grunddaten!V542="Ja",1,0),"")</f>
        <v/>
      </c>
      <c r="O537" s="1" t="str">
        <f>IF(AND(Programme_Grunddaten!$A542="Geprüft",Programme_Grunddaten!W542&lt;&gt;""),IF(Programme_Grunddaten!W542="Ja",1,0),"")</f>
        <v/>
      </c>
      <c r="P537" s="1" t="str">
        <f>IF(AND(Programme_Grunddaten!$A542="Geprüft",Programme_Grunddaten!X542&lt;&gt;""),IF(Programme_Grunddaten!X542="Ja",1,0),"")</f>
        <v/>
      </c>
      <c r="Q537" s="1" t="str">
        <f>IF(AND(Programme_Grunddaten!$A542="Geprüft",Programme_Grunddaten!Y542&lt;&gt;""),IF(Programme_Grunddaten!Y542="Ja",1,0),"")</f>
        <v/>
      </c>
      <c r="R537" s="1" t="str">
        <f>IF(AND(Programme_Grunddaten!$A542="Geprüft",Programme_Grunddaten!Z542&lt;&gt;""),IF(Programme_Grunddaten!Z542="Ja",1,0),"")</f>
        <v/>
      </c>
      <c r="S537" s="1" t="str">
        <f>IF(AND(Programme_Grunddaten!$A542="Geprüft",Programme_Grunddaten!AA542&lt;&gt;""),IF(Programme_Grunddaten!AA542="monolithisch",1,0),"")</f>
        <v/>
      </c>
      <c r="T537" s="1" t="str">
        <f>IF(AND(Programme_Grunddaten!$A542="Geprüft",Programme_Grunddaten!AB542&lt;&gt;""),IF(Programme_Grunddaten!AB542="Ja",1,0),"")</f>
        <v/>
      </c>
      <c r="U537" s="1" t="str">
        <f>IF(AND(Programme_Grunddaten!$A542="Geprüft",Programme_Grunddaten!AC542&lt;&gt;""),IF(Programme_Grunddaten!AC542="Ja",1,0),"")</f>
        <v/>
      </c>
      <c r="V537" s="1" t="str">
        <f>IF(AND(Programme_Grunddaten!$A542="Geprüft",Programme_Grunddaten!AD542&lt;&gt;""),IF(Programme_Grunddaten!AD542="Ja",1,0),"")</f>
        <v/>
      </c>
      <c r="W537" s="1" t="str">
        <f>IF(AND(Programme_Grunddaten!$A542="Geprüft",Programme_Grunddaten!AE542&lt;&gt;""),IF(Programme_Grunddaten!AE542="Ja",1,0),"")</f>
        <v/>
      </c>
      <c r="X537" s="1" t="str">
        <f>IF(AND(Programme_Grunddaten!$A542="Geprüft",Programme_Grunddaten!AF542&lt;&gt;""),IF(Programme_Grunddaten!AF542="Ja",1,0),"")</f>
        <v/>
      </c>
      <c r="Y537" s="1" t="str">
        <f>IF(AND(Programme_Grunddaten!$A542="Geprüft",Programme_Grunddaten!AG542&lt;&gt;""),IF(Programme_Grunddaten!AG542="Ja",1,0),"")</f>
        <v/>
      </c>
      <c r="Z537" s="1" t="str">
        <f>IF(AND(Programme_Grunddaten!$A542="Geprüft",Programme_Grunddaten!AH542&lt;&gt;""),IF(Programme_Grunddaten!AH542="Ja",1,0),"")</f>
        <v/>
      </c>
      <c r="AA537" s="1" t="str">
        <f>IF(AND(Programme_Grunddaten!$A542="Geprüft",Programme_Grunddaten!AI542&lt;&gt;""),IF(Programme_Grunddaten!AI542="Ja",1,0),"")</f>
        <v/>
      </c>
      <c r="AB537" s="1" t="str">
        <f>IF(AND(Programme_Grunddaten!$A542="Geprüft",Programme_Grunddaten!AJ542&lt;&gt;""),IF(Programme_Grunddaten!AJ542="individuell programmierbar",1,0),"")</f>
        <v/>
      </c>
      <c r="AC537" s="1" t="str">
        <f>IF(AND(Programme_Grunddaten!$A542="Geprüft",Programme_Grunddaten!AK542&lt;&gt;""),IF(Programme_Grunddaten!AK542="Deutsch",0,IF(Programme_Grunddaten!AK542="Deutsch und Englisch",1,2)),"")</f>
        <v/>
      </c>
      <c r="AD537" s="1" t="str">
        <f>IF(AND(Programme_Grunddaten!$A542="Geprüft",Programme_Grunddaten!AL542&lt;&gt;""),IF(Programme_Grunddaten!AL542="Ja",1,0),"")</f>
        <v/>
      </c>
      <c r="AE537" s="1" t="str">
        <f>IF(AND(Programme_Grunddaten!$A542="Geprüft",Programme_Grunddaten!AM542&lt;&gt;""),IF(Programme_Grunddaten!AM542="Ja",1,0),"")</f>
        <v/>
      </c>
      <c r="AF537" s="1" t="str">
        <f>IF(AND(Programme_Grunddaten!$A542="Geprüft",Programme_Grunddaten!AN542&lt;&gt;""),IF(Programme_Grunddaten!AN542="Ja",1,0),"")</f>
        <v/>
      </c>
      <c r="AG537" s="1" t="str">
        <f>IF(AND(Programme_Grunddaten!$A542="Geprüft",Programme_Grunddaten!AO542&lt;&gt;""),IF(Programme_Grunddaten!AO542="Ja",1,0),"")</f>
        <v/>
      </c>
      <c r="AH537" s="1" t="str">
        <f>IF(AND(Programme_Grunddaten!$A542="Geprüft",Programme_Grunddaten!AP542&lt;&gt;""),IF(Programme_Grunddaten!AP542="Ja",1,0),"")</f>
        <v/>
      </c>
      <c r="AI537" s="1" t="str">
        <f>IF(AND(Programme_Grunddaten!$A542="Geprüft",Programme_Grunddaten!AQ542&lt;&gt;""),IF(Programme_Grunddaten!AQ542="Ja",1,0),"")</f>
        <v/>
      </c>
      <c r="AJ537" s="1" t="str">
        <f>IF(AND(Programme_Grunddaten!$A542="Geprüft",Programme_Grunddaten!AR542&lt;&gt;""),IF(Programme_Grunddaten!AR542="Ja",1,0),"")</f>
        <v/>
      </c>
      <c r="AK537" s="1" t="str">
        <f>IF(AND(Programme_Grunddaten!$A542="Geprüft",Programme_Grunddaten!AS542&lt;&gt;""),IF(Programme_Grunddaten!AS542="Ja",1,0),"")</f>
        <v/>
      </c>
      <c r="AL537" s="1" t="str">
        <f>IF(AND(Programme_Grunddaten!$A542="Geprüft",Programme_Grunddaten!AT542&lt;&gt;""),IF(Programme_Grunddaten!AT542="Ja",1,0),"")</f>
        <v/>
      </c>
      <c r="AM537" s="1" t="str">
        <f>IF(AND(Programme_Grunddaten!$A542="Geprüft",Programme_Grunddaten!AU542&lt;&gt;""),IF(Programme_Grunddaten!AU542="Ja",1,0),"")</f>
        <v/>
      </c>
      <c r="AN537" s="1" t="str">
        <f>IF(AND(Programme_Grunddaten!$A542="Geprüft",Programme_Grunddaten!AV542&lt;&gt;""),IF(Programme_Grunddaten!AV542="Ja",1,0),"")</f>
        <v/>
      </c>
    </row>
    <row r="538" spans="1:40" x14ac:dyDescent="0.3">
      <c r="A538" s="1" t="str">
        <f>IF(AND(Programme_Grunddaten!A543="Geprüft",Programme_Grunddaten!B543&lt;&gt;""),Programme_Grunddaten!B543,"")</f>
        <v/>
      </c>
      <c r="B538" s="1" t="str">
        <f>IF(AND(Programme_Grunddaten!$A543="Geprüft",Programme_Grunddaten!I543&lt;&gt;""),IF(Programme_Grunddaten!I543="Ja",1,0),"")</f>
        <v/>
      </c>
      <c r="C538" s="1" t="str">
        <f>IF(AND(Programme_Grunddaten!$A543="Geprüft",Programme_Grunddaten!J543&lt;&gt;""),IF(Programme_Grunddaten!J543="Ja",1,0),"")</f>
        <v/>
      </c>
      <c r="D538" s="1" t="str">
        <f>IF(AND(Programme_Grunddaten!$A543="Geprüft",Programme_Grunddaten!K543&lt;&gt;""),IF(Programme_Grunddaten!K543="Ja",1,0),"")</f>
        <v/>
      </c>
      <c r="E538" s="1" t="str">
        <f>IF(AND(Programme_Grunddaten!$A543="Geprüft",Programme_Grunddaten!L543&lt;&gt;""),IF(Programme_Grunddaten!L543="Abo / befristete Lizenz",1,0),"")</f>
        <v/>
      </c>
      <c r="F538" s="1" t="str">
        <f>IF(AND(Programme_Grunddaten!$A543="Geprüft",Programme_Grunddaten!M543&lt;&gt;""),IF(Programme_Grunddaten!M543="Ja",1,0),"")</f>
        <v/>
      </c>
      <c r="G538" s="1" t="str">
        <f>IF(AND(Programme_Grunddaten!$A543="Geprüft",Programme_Grunddaten!N543&lt;&gt;""),IF(Programme_Grunddaten!N543="Ja",1,0),"")</f>
        <v/>
      </c>
      <c r="H538" s="1" t="str">
        <f>IF(AND(Programme_Grunddaten!$A543="Geprüft",Programme_Grunddaten!O543&lt;&gt;""),IF(Programme_Grunddaten!O543="Deutschland",0,IF(Programme_Grunddaten!O543="EU",1,2)),"")</f>
        <v/>
      </c>
      <c r="I538" s="1" t="str">
        <f>IF(AND(Programme_Grunddaten!$A543="Geprüft",Programme_Grunddaten!P543&lt;&gt;""),IF(Programme_Grunddaten!P543="Ja",1,0),"")</f>
        <v/>
      </c>
      <c r="J538" s="1" t="str">
        <f>IF(AND(Programme_Grunddaten!$A543="Geprüft",Programme_Grunddaten!Q543&lt;&gt;""),IF(Programme_Grunddaten!Q543="geschlossenes System",1,0),"")</f>
        <v/>
      </c>
      <c r="K538" s="1" t="str">
        <f>IF(AND(Programme_Grunddaten!$A543="Geprüft",Programme_Grunddaten!R543&lt;&gt;""),IF(Programme_Grunddaten!R543="Ja",1,0),"")</f>
        <v/>
      </c>
      <c r="L538" s="1" t="str">
        <f>IF(AND(Programme_Grunddaten!$A543="Geprüft",Programme_Grunddaten!T543&lt;&gt;""),IF(Programme_Grunddaten!T543="Ja",1,0),"")</f>
        <v/>
      </c>
      <c r="M538" s="1" t="str">
        <f>IF(AND(Programme_Grunddaten!$A543="Geprüft",Programme_Grunddaten!U543&lt;&gt;""),IF(Programme_Grunddaten!U543="Ja",1,0),"")</f>
        <v/>
      </c>
      <c r="N538" s="1" t="str">
        <f>IF(AND(Programme_Grunddaten!$A543="Geprüft",Programme_Grunddaten!V543&lt;&gt;""),IF(Programme_Grunddaten!V543="Ja",1,0),"")</f>
        <v/>
      </c>
      <c r="O538" s="1" t="str">
        <f>IF(AND(Programme_Grunddaten!$A543="Geprüft",Programme_Grunddaten!W543&lt;&gt;""),IF(Programme_Grunddaten!W543="Ja",1,0),"")</f>
        <v/>
      </c>
      <c r="P538" s="1" t="str">
        <f>IF(AND(Programme_Grunddaten!$A543="Geprüft",Programme_Grunddaten!X543&lt;&gt;""),IF(Programme_Grunddaten!X543="Ja",1,0),"")</f>
        <v/>
      </c>
      <c r="Q538" s="1" t="str">
        <f>IF(AND(Programme_Grunddaten!$A543="Geprüft",Programme_Grunddaten!Y543&lt;&gt;""),IF(Programme_Grunddaten!Y543="Ja",1,0),"")</f>
        <v/>
      </c>
      <c r="R538" s="1" t="str">
        <f>IF(AND(Programme_Grunddaten!$A543="Geprüft",Programme_Grunddaten!Z543&lt;&gt;""),IF(Programme_Grunddaten!Z543="Ja",1,0),"")</f>
        <v/>
      </c>
      <c r="S538" s="1" t="str">
        <f>IF(AND(Programme_Grunddaten!$A543="Geprüft",Programme_Grunddaten!AA543&lt;&gt;""),IF(Programme_Grunddaten!AA543="monolithisch",1,0),"")</f>
        <v/>
      </c>
      <c r="T538" s="1" t="str">
        <f>IF(AND(Programme_Grunddaten!$A543="Geprüft",Programme_Grunddaten!AB543&lt;&gt;""),IF(Programme_Grunddaten!AB543="Ja",1,0),"")</f>
        <v/>
      </c>
      <c r="U538" s="1" t="str">
        <f>IF(AND(Programme_Grunddaten!$A543="Geprüft",Programme_Grunddaten!AC543&lt;&gt;""),IF(Programme_Grunddaten!AC543="Ja",1,0),"")</f>
        <v/>
      </c>
      <c r="V538" s="1" t="str">
        <f>IF(AND(Programme_Grunddaten!$A543="Geprüft",Programme_Grunddaten!AD543&lt;&gt;""),IF(Programme_Grunddaten!AD543="Ja",1,0),"")</f>
        <v/>
      </c>
      <c r="W538" s="1" t="str">
        <f>IF(AND(Programme_Grunddaten!$A543="Geprüft",Programme_Grunddaten!AE543&lt;&gt;""),IF(Programme_Grunddaten!AE543="Ja",1,0),"")</f>
        <v/>
      </c>
      <c r="X538" s="1" t="str">
        <f>IF(AND(Programme_Grunddaten!$A543="Geprüft",Programme_Grunddaten!AF543&lt;&gt;""),IF(Programme_Grunddaten!AF543="Ja",1,0),"")</f>
        <v/>
      </c>
      <c r="Y538" s="1" t="str">
        <f>IF(AND(Programme_Grunddaten!$A543="Geprüft",Programme_Grunddaten!AG543&lt;&gt;""),IF(Programme_Grunddaten!AG543="Ja",1,0),"")</f>
        <v/>
      </c>
      <c r="Z538" s="1" t="str">
        <f>IF(AND(Programme_Grunddaten!$A543="Geprüft",Programme_Grunddaten!AH543&lt;&gt;""),IF(Programme_Grunddaten!AH543="Ja",1,0),"")</f>
        <v/>
      </c>
      <c r="AA538" s="1" t="str">
        <f>IF(AND(Programme_Grunddaten!$A543="Geprüft",Programme_Grunddaten!AI543&lt;&gt;""),IF(Programme_Grunddaten!AI543="Ja",1,0),"")</f>
        <v/>
      </c>
      <c r="AB538" s="1" t="str">
        <f>IF(AND(Programme_Grunddaten!$A543="Geprüft",Programme_Grunddaten!AJ543&lt;&gt;""),IF(Programme_Grunddaten!AJ543="individuell programmierbar",1,0),"")</f>
        <v/>
      </c>
      <c r="AC538" s="1" t="str">
        <f>IF(AND(Programme_Grunddaten!$A543="Geprüft",Programme_Grunddaten!AK543&lt;&gt;""),IF(Programme_Grunddaten!AK543="Deutsch",0,IF(Programme_Grunddaten!AK543="Deutsch und Englisch",1,2)),"")</f>
        <v/>
      </c>
      <c r="AD538" s="1" t="str">
        <f>IF(AND(Programme_Grunddaten!$A543="Geprüft",Programme_Grunddaten!AL543&lt;&gt;""),IF(Programme_Grunddaten!AL543="Ja",1,0),"")</f>
        <v/>
      </c>
      <c r="AE538" s="1" t="str">
        <f>IF(AND(Programme_Grunddaten!$A543="Geprüft",Programme_Grunddaten!AM543&lt;&gt;""),IF(Programme_Grunddaten!AM543="Ja",1,0),"")</f>
        <v/>
      </c>
      <c r="AF538" s="1" t="str">
        <f>IF(AND(Programme_Grunddaten!$A543="Geprüft",Programme_Grunddaten!AN543&lt;&gt;""),IF(Programme_Grunddaten!AN543="Ja",1,0),"")</f>
        <v/>
      </c>
      <c r="AG538" s="1" t="str">
        <f>IF(AND(Programme_Grunddaten!$A543="Geprüft",Programme_Grunddaten!AO543&lt;&gt;""),IF(Programme_Grunddaten!AO543="Ja",1,0),"")</f>
        <v/>
      </c>
      <c r="AH538" s="1" t="str">
        <f>IF(AND(Programme_Grunddaten!$A543="Geprüft",Programme_Grunddaten!AP543&lt;&gt;""),IF(Programme_Grunddaten!AP543="Ja",1,0),"")</f>
        <v/>
      </c>
      <c r="AI538" s="1" t="str">
        <f>IF(AND(Programme_Grunddaten!$A543="Geprüft",Programme_Grunddaten!AQ543&lt;&gt;""),IF(Programme_Grunddaten!AQ543="Ja",1,0),"")</f>
        <v/>
      </c>
      <c r="AJ538" s="1" t="str">
        <f>IF(AND(Programme_Grunddaten!$A543="Geprüft",Programme_Grunddaten!AR543&lt;&gt;""),IF(Programme_Grunddaten!AR543="Ja",1,0),"")</f>
        <v/>
      </c>
      <c r="AK538" s="1" t="str">
        <f>IF(AND(Programme_Grunddaten!$A543="Geprüft",Programme_Grunddaten!AS543&lt;&gt;""),IF(Programme_Grunddaten!AS543="Ja",1,0),"")</f>
        <v/>
      </c>
      <c r="AL538" s="1" t="str">
        <f>IF(AND(Programme_Grunddaten!$A543="Geprüft",Programme_Grunddaten!AT543&lt;&gt;""),IF(Programme_Grunddaten!AT543="Ja",1,0),"")</f>
        <v/>
      </c>
      <c r="AM538" s="1" t="str">
        <f>IF(AND(Programme_Grunddaten!$A543="Geprüft",Programme_Grunddaten!AU543&lt;&gt;""),IF(Programme_Grunddaten!AU543="Ja",1,0),"")</f>
        <v/>
      </c>
      <c r="AN538" s="1" t="str">
        <f>IF(AND(Programme_Grunddaten!$A543="Geprüft",Programme_Grunddaten!AV543&lt;&gt;""),IF(Programme_Grunddaten!AV543="Ja",1,0),"")</f>
        <v/>
      </c>
    </row>
    <row r="539" spans="1:40" x14ac:dyDescent="0.3">
      <c r="A539" s="1" t="str">
        <f>IF(AND(Programme_Grunddaten!A544="Geprüft",Programme_Grunddaten!B544&lt;&gt;""),Programme_Grunddaten!B544,"")</f>
        <v/>
      </c>
      <c r="B539" s="1" t="str">
        <f>IF(AND(Programme_Grunddaten!$A544="Geprüft",Programme_Grunddaten!I544&lt;&gt;""),IF(Programme_Grunddaten!I544="Ja",1,0),"")</f>
        <v/>
      </c>
      <c r="C539" s="1" t="str">
        <f>IF(AND(Programme_Grunddaten!$A544="Geprüft",Programme_Grunddaten!J544&lt;&gt;""),IF(Programme_Grunddaten!J544="Ja",1,0),"")</f>
        <v/>
      </c>
      <c r="D539" s="1" t="str">
        <f>IF(AND(Programme_Grunddaten!$A544="Geprüft",Programme_Grunddaten!K544&lt;&gt;""),IF(Programme_Grunddaten!K544="Ja",1,0),"")</f>
        <v/>
      </c>
      <c r="E539" s="1" t="str">
        <f>IF(AND(Programme_Grunddaten!$A544="Geprüft",Programme_Grunddaten!L544&lt;&gt;""),IF(Programme_Grunddaten!L544="Abo / befristete Lizenz",1,0),"")</f>
        <v/>
      </c>
      <c r="F539" s="1" t="str">
        <f>IF(AND(Programme_Grunddaten!$A544="Geprüft",Programme_Grunddaten!M544&lt;&gt;""),IF(Programme_Grunddaten!M544="Ja",1,0),"")</f>
        <v/>
      </c>
      <c r="G539" s="1" t="str">
        <f>IF(AND(Programme_Grunddaten!$A544="Geprüft",Programme_Grunddaten!N544&lt;&gt;""),IF(Programme_Grunddaten!N544="Ja",1,0),"")</f>
        <v/>
      </c>
      <c r="H539" s="1" t="str">
        <f>IF(AND(Programme_Grunddaten!$A544="Geprüft",Programme_Grunddaten!O544&lt;&gt;""),IF(Programme_Grunddaten!O544="Deutschland",0,IF(Programme_Grunddaten!O544="EU",1,2)),"")</f>
        <v/>
      </c>
      <c r="I539" s="1" t="str">
        <f>IF(AND(Programme_Grunddaten!$A544="Geprüft",Programme_Grunddaten!P544&lt;&gt;""),IF(Programme_Grunddaten!P544="Ja",1,0),"")</f>
        <v/>
      </c>
      <c r="J539" s="1" t="str">
        <f>IF(AND(Programme_Grunddaten!$A544="Geprüft",Programme_Grunddaten!Q544&lt;&gt;""),IF(Programme_Grunddaten!Q544="geschlossenes System",1,0),"")</f>
        <v/>
      </c>
      <c r="K539" s="1" t="str">
        <f>IF(AND(Programme_Grunddaten!$A544="Geprüft",Programme_Grunddaten!R544&lt;&gt;""),IF(Programme_Grunddaten!R544="Ja",1,0),"")</f>
        <v/>
      </c>
      <c r="L539" s="1" t="str">
        <f>IF(AND(Programme_Grunddaten!$A544="Geprüft",Programme_Grunddaten!T544&lt;&gt;""),IF(Programme_Grunddaten!T544="Ja",1,0),"")</f>
        <v/>
      </c>
      <c r="M539" s="1" t="str">
        <f>IF(AND(Programme_Grunddaten!$A544="Geprüft",Programme_Grunddaten!U544&lt;&gt;""),IF(Programme_Grunddaten!U544="Ja",1,0),"")</f>
        <v/>
      </c>
      <c r="N539" s="1" t="str">
        <f>IF(AND(Programme_Grunddaten!$A544="Geprüft",Programme_Grunddaten!V544&lt;&gt;""),IF(Programme_Grunddaten!V544="Ja",1,0),"")</f>
        <v/>
      </c>
      <c r="O539" s="1" t="str">
        <f>IF(AND(Programme_Grunddaten!$A544="Geprüft",Programme_Grunddaten!W544&lt;&gt;""),IF(Programme_Grunddaten!W544="Ja",1,0),"")</f>
        <v/>
      </c>
      <c r="P539" s="1" t="str">
        <f>IF(AND(Programme_Grunddaten!$A544="Geprüft",Programme_Grunddaten!X544&lt;&gt;""),IF(Programme_Grunddaten!X544="Ja",1,0),"")</f>
        <v/>
      </c>
      <c r="Q539" s="1" t="str">
        <f>IF(AND(Programme_Grunddaten!$A544="Geprüft",Programme_Grunddaten!Y544&lt;&gt;""),IF(Programme_Grunddaten!Y544="Ja",1,0),"")</f>
        <v/>
      </c>
      <c r="R539" s="1" t="str">
        <f>IF(AND(Programme_Grunddaten!$A544="Geprüft",Programme_Grunddaten!Z544&lt;&gt;""),IF(Programme_Grunddaten!Z544="Ja",1,0),"")</f>
        <v/>
      </c>
      <c r="S539" s="1" t="str">
        <f>IF(AND(Programme_Grunddaten!$A544="Geprüft",Programme_Grunddaten!AA544&lt;&gt;""),IF(Programme_Grunddaten!AA544="monolithisch",1,0),"")</f>
        <v/>
      </c>
      <c r="T539" s="1" t="str">
        <f>IF(AND(Programme_Grunddaten!$A544="Geprüft",Programme_Grunddaten!AB544&lt;&gt;""),IF(Programme_Grunddaten!AB544="Ja",1,0),"")</f>
        <v/>
      </c>
      <c r="U539" s="1" t="str">
        <f>IF(AND(Programme_Grunddaten!$A544="Geprüft",Programme_Grunddaten!AC544&lt;&gt;""),IF(Programme_Grunddaten!AC544="Ja",1,0),"")</f>
        <v/>
      </c>
      <c r="V539" s="1" t="str">
        <f>IF(AND(Programme_Grunddaten!$A544="Geprüft",Programme_Grunddaten!AD544&lt;&gt;""),IF(Programme_Grunddaten!AD544="Ja",1,0),"")</f>
        <v/>
      </c>
      <c r="W539" s="1" t="str">
        <f>IF(AND(Programme_Grunddaten!$A544="Geprüft",Programme_Grunddaten!AE544&lt;&gt;""),IF(Programme_Grunddaten!AE544="Ja",1,0),"")</f>
        <v/>
      </c>
      <c r="X539" s="1" t="str">
        <f>IF(AND(Programme_Grunddaten!$A544="Geprüft",Programme_Grunddaten!AF544&lt;&gt;""),IF(Programme_Grunddaten!AF544="Ja",1,0),"")</f>
        <v/>
      </c>
      <c r="Y539" s="1" t="str">
        <f>IF(AND(Programme_Grunddaten!$A544="Geprüft",Programme_Grunddaten!AG544&lt;&gt;""),IF(Programme_Grunddaten!AG544="Ja",1,0),"")</f>
        <v/>
      </c>
      <c r="Z539" s="1" t="str">
        <f>IF(AND(Programme_Grunddaten!$A544="Geprüft",Programme_Grunddaten!AH544&lt;&gt;""),IF(Programme_Grunddaten!AH544="Ja",1,0),"")</f>
        <v/>
      </c>
      <c r="AA539" s="1" t="str">
        <f>IF(AND(Programme_Grunddaten!$A544="Geprüft",Programme_Grunddaten!AI544&lt;&gt;""),IF(Programme_Grunddaten!AI544="Ja",1,0),"")</f>
        <v/>
      </c>
      <c r="AB539" s="1" t="str">
        <f>IF(AND(Programme_Grunddaten!$A544="Geprüft",Programme_Grunddaten!AJ544&lt;&gt;""),IF(Programme_Grunddaten!AJ544="individuell programmierbar",1,0),"")</f>
        <v/>
      </c>
      <c r="AC539" s="1" t="str">
        <f>IF(AND(Programme_Grunddaten!$A544="Geprüft",Programme_Grunddaten!AK544&lt;&gt;""),IF(Programme_Grunddaten!AK544="Deutsch",0,IF(Programme_Grunddaten!AK544="Deutsch und Englisch",1,2)),"")</f>
        <v/>
      </c>
      <c r="AD539" s="1" t="str">
        <f>IF(AND(Programme_Grunddaten!$A544="Geprüft",Programme_Grunddaten!AL544&lt;&gt;""),IF(Programme_Grunddaten!AL544="Ja",1,0),"")</f>
        <v/>
      </c>
      <c r="AE539" s="1" t="str">
        <f>IF(AND(Programme_Grunddaten!$A544="Geprüft",Programme_Grunddaten!AM544&lt;&gt;""),IF(Programme_Grunddaten!AM544="Ja",1,0),"")</f>
        <v/>
      </c>
      <c r="AF539" s="1" t="str">
        <f>IF(AND(Programme_Grunddaten!$A544="Geprüft",Programme_Grunddaten!AN544&lt;&gt;""),IF(Programme_Grunddaten!AN544="Ja",1,0),"")</f>
        <v/>
      </c>
      <c r="AG539" s="1" t="str">
        <f>IF(AND(Programme_Grunddaten!$A544="Geprüft",Programme_Grunddaten!AO544&lt;&gt;""),IF(Programme_Grunddaten!AO544="Ja",1,0),"")</f>
        <v/>
      </c>
      <c r="AH539" s="1" t="str">
        <f>IF(AND(Programme_Grunddaten!$A544="Geprüft",Programme_Grunddaten!AP544&lt;&gt;""),IF(Programme_Grunddaten!AP544="Ja",1,0),"")</f>
        <v/>
      </c>
      <c r="AI539" s="1" t="str">
        <f>IF(AND(Programme_Grunddaten!$A544="Geprüft",Programme_Grunddaten!AQ544&lt;&gt;""),IF(Programme_Grunddaten!AQ544="Ja",1,0),"")</f>
        <v/>
      </c>
      <c r="AJ539" s="1" t="str">
        <f>IF(AND(Programme_Grunddaten!$A544="Geprüft",Programme_Grunddaten!AR544&lt;&gt;""),IF(Programme_Grunddaten!AR544="Ja",1,0),"")</f>
        <v/>
      </c>
      <c r="AK539" s="1" t="str">
        <f>IF(AND(Programme_Grunddaten!$A544="Geprüft",Programme_Grunddaten!AS544&lt;&gt;""),IF(Programme_Grunddaten!AS544="Ja",1,0),"")</f>
        <v/>
      </c>
      <c r="AL539" s="1" t="str">
        <f>IF(AND(Programme_Grunddaten!$A544="Geprüft",Programme_Grunddaten!AT544&lt;&gt;""),IF(Programme_Grunddaten!AT544="Ja",1,0),"")</f>
        <v/>
      </c>
      <c r="AM539" s="1" t="str">
        <f>IF(AND(Programme_Grunddaten!$A544="Geprüft",Programme_Grunddaten!AU544&lt;&gt;""),IF(Programme_Grunddaten!AU544="Ja",1,0),"")</f>
        <v/>
      </c>
      <c r="AN539" s="1" t="str">
        <f>IF(AND(Programme_Grunddaten!$A544="Geprüft",Programme_Grunddaten!AV544&lt;&gt;""),IF(Programme_Grunddaten!AV544="Ja",1,0),"")</f>
        <v/>
      </c>
    </row>
    <row r="540" spans="1:40" x14ac:dyDescent="0.3">
      <c r="A540" s="1" t="str">
        <f>IF(AND(Programme_Grunddaten!A545="Geprüft",Programme_Grunddaten!B545&lt;&gt;""),Programme_Grunddaten!B545,"")</f>
        <v/>
      </c>
      <c r="B540" s="1" t="str">
        <f>IF(AND(Programme_Grunddaten!$A545="Geprüft",Programme_Grunddaten!I545&lt;&gt;""),IF(Programme_Grunddaten!I545="Ja",1,0),"")</f>
        <v/>
      </c>
      <c r="C540" s="1" t="str">
        <f>IF(AND(Programme_Grunddaten!$A545="Geprüft",Programme_Grunddaten!J545&lt;&gt;""),IF(Programme_Grunddaten!J545="Ja",1,0),"")</f>
        <v/>
      </c>
      <c r="D540" s="1" t="str">
        <f>IF(AND(Programme_Grunddaten!$A545="Geprüft",Programme_Grunddaten!K545&lt;&gt;""),IF(Programme_Grunddaten!K545="Ja",1,0),"")</f>
        <v/>
      </c>
      <c r="E540" s="1" t="str">
        <f>IF(AND(Programme_Grunddaten!$A545="Geprüft",Programme_Grunddaten!L545&lt;&gt;""),IF(Programme_Grunddaten!L545="Abo / befristete Lizenz",1,0),"")</f>
        <v/>
      </c>
      <c r="F540" s="1" t="str">
        <f>IF(AND(Programme_Grunddaten!$A545="Geprüft",Programme_Grunddaten!M545&lt;&gt;""),IF(Programme_Grunddaten!M545="Ja",1,0),"")</f>
        <v/>
      </c>
      <c r="G540" s="1" t="str">
        <f>IF(AND(Programme_Grunddaten!$A545="Geprüft",Programme_Grunddaten!N545&lt;&gt;""),IF(Programme_Grunddaten!N545="Ja",1,0),"")</f>
        <v/>
      </c>
      <c r="H540" s="1" t="str">
        <f>IF(AND(Programme_Grunddaten!$A545="Geprüft",Programme_Grunddaten!O545&lt;&gt;""),IF(Programme_Grunddaten!O545="Deutschland",0,IF(Programme_Grunddaten!O545="EU",1,2)),"")</f>
        <v/>
      </c>
      <c r="I540" s="1" t="str">
        <f>IF(AND(Programme_Grunddaten!$A545="Geprüft",Programme_Grunddaten!P545&lt;&gt;""),IF(Programme_Grunddaten!P545="Ja",1,0),"")</f>
        <v/>
      </c>
      <c r="J540" s="1" t="str">
        <f>IF(AND(Programme_Grunddaten!$A545="Geprüft",Programme_Grunddaten!Q545&lt;&gt;""),IF(Programme_Grunddaten!Q545="geschlossenes System",1,0),"")</f>
        <v/>
      </c>
      <c r="K540" s="1" t="str">
        <f>IF(AND(Programme_Grunddaten!$A545="Geprüft",Programme_Grunddaten!R545&lt;&gt;""),IF(Programme_Grunddaten!R545="Ja",1,0),"")</f>
        <v/>
      </c>
      <c r="L540" s="1" t="str">
        <f>IF(AND(Programme_Grunddaten!$A545="Geprüft",Programme_Grunddaten!T545&lt;&gt;""),IF(Programme_Grunddaten!T545="Ja",1,0),"")</f>
        <v/>
      </c>
      <c r="M540" s="1" t="str">
        <f>IF(AND(Programme_Grunddaten!$A545="Geprüft",Programme_Grunddaten!U545&lt;&gt;""),IF(Programme_Grunddaten!U545="Ja",1,0),"")</f>
        <v/>
      </c>
      <c r="N540" s="1" t="str">
        <f>IF(AND(Programme_Grunddaten!$A545="Geprüft",Programme_Grunddaten!V545&lt;&gt;""),IF(Programme_Grunddaten!V545="Ja",1,0),"")</f>
        <v/>
      </c>
      <c r="O540" s="1" t="str">
        <f>IF(AND(Programme_Grunddaten!$A545="Geprüft",Programme_Grunddaten!W545&lt;&gt;""),IF(Programme_Grunddaten!W545="Ja",1,0),"")</f>
        <v/>
      </c>
      <c r="P540" s="1" t="str">
        <f>IF(AND(Programme_Grunddaten!$A545="Geprüft",Programme_Grunddaten!X545&lt;&gt;""),IF(Programme_Grunddaten!X545="Ja",1,0),"")</f>
        <v/>
      </c>
      <c r="Q540" s="1" t="str">
        <f>IF(AND(Programme_Grunddaten!$A545="Geprüft",Programme_Grunddaten!Y545&lt;&gt;""),IF(Programme_Grunddaten!Y545="Ja",1,0),"")</f>
        <v/>
      </c>
      <c r="R540" s="1" t="str">
        <f>IF(AND(Programme_Grunddaten!$A545="Geprüft",Programme_Grunddaten!Z545&lt;&gt;""),IF(Programme_Grunddaten!Z545="Ja",1,0),"")</f>
        <v/>
      </c>
      <c r="S540" s="1" t="str">
        <f>IF(AND(Programme_Grunddaten!$A545="Geprüft",Programme_Grunddaten!AA545&lt;&gt;""),IF(Programme_Grunddaten!AA545="monolithisch",1,0),"")</f>
        <v/>
      </c>
      <c r="T540" s="1" t="str">
        <f>IF(AND(Programme_Grunddaten!$A545="Geprüft",Programme_Grunddaten!AB545&lt;&gt;""),IF(Programme_Grunddaten!AB545="Ja",1,0),"")</f>
        <v/>
      </c>
      <c r="U540" s="1" t="str">
        <f>IF(AND(Programme_Grunddaten!$A545="Geprüft",Programme_Grunddaten!AC545&lt;&gt;""),IF(Programme_Grunddaten!AC545="Ja",1,0),"")</f>
        <v/>
      </c>
      <c r="V540" s="1" t="str">
        <f>IF(AND(Programme_Grunddaten!$A545="Geprüft",Programme_Grunddaten!AD545&lt;&gt;""),IF(Programme_Grunddaten!AD545="Ja",1,0),"")</f>
        <v/>
      </c>
      <c r="W540" s="1" t="str">
        <f>IF(AND(Programme_Grunddaten!$A545="Geprüft",Programme_Grunddaten!AE545&lt;&gt;""),IF(Programme_Grunddaten!AE545="Ja",1,0),"")</f>
        <v/>
      </c>
      <c r="X540" s="1" t="str">
        <f>IF(AND(Programme_Grunddaten!$A545="Geprüft",Programme_Grunddaten!AF545&lt;&gt;""),IF(Programme_Grunddaten!AF545="Ja",1,0),"")</f>
        <v/>
      </c>
      <c r="Y540" s="1" t="str">
        <f>IF(AND(Programme_Grunddaten!$A545="Geprüft",Programme_Grunddaten!AG545&lt;&gt;""),IF(Programme_Grunddaten!AG545="Ja",1,0),"")</f>
        <v/>
      </c>
      <c r="Z540" s="1" t="str">
        <f>IF(AND(Programme_Grunddaten!$A545="Geprüft",Programme_Grunddaten!AH545&lt;&gt;""),IF(Programme_Grunddaten!AH545="Ja",1,0),"")</f>
        <v/>
      </c>
      <c r="AA540" s="1" t="str">
        <f>IF(AND(Programme_Grunddaten!$A545="Geprüft",Programme_Grunddaten!AI545&lt;&gt;""),IF(Programme_Grunddaten!AI545="Ja",1,0),"")</f>
        <v/>
      </c>
      <c r="AB540" s="1" t="str">
        <f>IF(AND(Programme_Grunddaten!$A545="Geprüft",Programme_Grunddaten!AJ545&lt;&gt;""),IF(Programme_Grunddaten!AJ545="individuell programmierbar",1,0),"")</f>
        <v/>
      </c>
      <c r="AC540" s="1" t="str">
        <f>IF(AND(Programme_Grunddaten!$A545="Geprüft",Programme_Grunddaten!AK545&lt;&gt;""),IF(Programme_Grunddaten!AK545="Deutsch",0,IF(Programme_Grunddaten!AK545="Deutsch und Englisch",1,2)),"")</f>
        <v/>
      </c>
      <c r="AD540" s="1" t="str">
        <f>IF(AND(Programme_Grunddaten!$A545="Geprüft",Programme_Grunddaten!AL545&lt;&gt;""),IF(Programme_Grunddaten!AL545="Ja",1,0),"")</f>
        <v/>
      </c>
      <c r="AE540" s="1" t="str">
        <f>IF(AND(Programme_Grunddaten!$A545="Geprüft",Programme_Grunddaten!AM545&lt;&gt;""),IF(Programme_Grunddaten!AM545="Ja",1,0),"")</f>
        <v/>
      </c>
      <c r="AF540" s="1" t="str">
        <f>IF(AND(Programme_Grunddaten!$A545="Geprüft",Programme_Grunddaten!AN545&lt;&gt;""),IF(Programme_Grunddaten!AN545="Ja",1,0),"")</f>
        <v/>
      </c>
      <c r="AG540" s="1" t="str">
        <f>IF(AND(Programme_Grunddaten!$A545="Geprüft",Programme_Grunddaten!AO545&lt;&gt;""),IF(Programme_Grunddaten!AO545="Ja",1,0),"")</f>
        <v/>
      </c>
      <c r="AH540" s="1" t="str">
        <f>IF(AND(Programme_Grunddaten!$A545="Geprüft",Programme_Grunddaten!AP545&lt;&gt;""),IF(Programme_Grunddaten!AP545="Ja",1,0),"")</f>
        <v/>
      </c>
      <c r="AI540" s="1" t="str">
        <f>IF(AND(Programme_Grunddaten!$A545="Geprüft",Programme_Grunddaten!AQ545&lt;&gt;""),IF(Programme_Grunddaten!AQ545="Ja",1,0),"")</f>
        <v/>
      </c>
      <c r="AJ540" s="1" t="str">
        <f>IF(AND(Programme_Grunddaten!$A545="Geprüft",Programme_Grunddaten!AR545&lt;&gt;""),IF(Programme_Grunddaten!AR545="Ja",1,0),"")</f>
        <v/>
      </c>
      <c r="AK540" s="1" t="str">
        <f>IF(AND(Programme_Grunddaten!$A545="Geprüft",Programme_Grunddaten!AS545&lt;&gt;""),IF(Programme_Grunddaten!AS545="Ja",1,0),"")</f>
        <v/>
      </c>
      <c r="AL540" s="1" t="str">
        <f>IF(AND(Programme_Grunddaten!$A545="Geprüft",Programme_Grunddaten!AT545&lt;&gt;""),IF(Programme_Grunddaten!AT545="Ja",1,0),"")</f>
        <v/>
      </c>
      <c r="AM540" s="1" t="str">
        <f>IF(AND(Programme_Grunddaten!$A545="Geprüft",Programme_Grunddaten!AU545&lt;&gt;""),IF(Programme_Grunddaten!AU545="Ja",1,0),"")</f>
        <v/>
      </c>
      <c r="AN540" s="1" t="str">
        <f>IF(AND(Programme_Grunddaten!$A545="Geprüft",Programme_Grunddaten!AV545&lt;&gt;""),IF(Programme_Grunddaten!AV545="Ja",1,0),"")</f>
        <v/>
      </c>
    </row>
    <row r="541" spans="1:40" x14ac:dyDescent="0.3">
      <c r="A541" s="1" t="str">
        <f>IF(AND(Programme_Grunddaten!A546="Geprüft",Programme_Grunddaten!B546&lt;&gt;""),Programme_Grunddaten!B546,"")</f>
        <v/>
      </c>
      <c r="B541" s="1" t="str">
        <f>IF(AND(Programme_Grunddaten!$A546="Geprüft",Programme_Grunddaten!I546&lt;&gt;""),IF(Programme_Grunddaten!I546="Ja",1,0),"")</f>
        <v/>
      </c>
      <c r="C541" s="1" t="str">
        <f>IF(AND(Programme_Grunddaten!$A546="Geprüft",Programme_Grunddaten!J546&lt;&gt;""),IF(Programme_Grunddaten!J546="Ja",1,0),"")</f>
        <v/>
      </c>
      <c r="D541" s="1" t="str">
        <f>IF(AND(Programme_Grunddaten!$A546="Geprüft",Programme_Grunddaten!K546&lt;&gt;""),IF(Programme_Grunddaten!K546="Ja",1,0),"")</f>
        <v/>
      </c>
      <c r="E541" s="1" t="str">
        <f>IF(AND(Programme_Grunddaten!$A546="Geprüft",Programme_Grunddaten!L546&lt;&gt;""),IF(Programme_Grunddaten!L546="Abo / befristete Lizenz",1,0),"")</f>
        <v/>
      </c>
      <c r="F541" s="1" t="str">
        <f>IF(AND(Programme_Grunddaten!$A546="Geprüft",Programme_Grunddaten!M546&lt;&gt;""),IF(Programme_Grunddaten!M546="Ja",1,0),"")</f>
        <v/>
      </c>
      <c r="G541" s="1" t="str">
        <f>IF(AND(Programme_Grunddaten!$A546="Geprüft",Programme_Grunddaten!N546&lt;&gt;""),IF(Programme_Grunddaten!N546="Ja",1,0),"")</f>
        <v/>
      </c>
      <c r="H541" s="1" t="str">
        <f>IF(AND(Programme_Grunddaten!$A546="Geprüft",Programme_Grunddaten!O546&lt;&gt;""),IF(Programme_Grunddaten!O546="Deutschland",0,IF(Programme_Grunddaten!O546="EU",1,2)),"")</f>
        <v/>
      </c>
      <c r="I541" s="1" t="str">
        <f>IF(AND(Programme_Grunddaten!$A546="Geprüft",Programme_Grunddaten!P546&lt;&gt;""),IF(Programme_Grunddaten!P546="Ja",1,0),"")</f>
        <v/>
      </c>
      <c r="J541" s="1" t="str">
        <f>IF(AND(Programme_Grunddaten!$A546="Geprüft",Programme_Grunddaten!Q546&lt;&gt;""),IF(Programme_Grunddaten!Q546="geschlossenes System",1,0),"")</f>
        <v/>
      </c>
      <c r="K541" s="1" t="str">
        <f>IF(AND(Programme_Grunddaten!$A546="Geprüft",Programme_Grunddaten!R546&lt;&gt;""),IF(Programme_Grunddaten!R546="Ja",1,0),"")</f>
        <v/>
      </c>
      <c r="L541" s="1" t="str">
        <f>IF(AND(Programme_Grunddaten!$A546="Geprüft",Programme_Grunddaten!T546&lt;&gt;""),IF(Programme_Grunddaten!T546="Ja",1,0),"")</f>
        <v/>
      </c>
      <c r="M541" s="1" t="str">
        <f>IF(AND(Programme_Grunddaten!$A546="Geprüft",Programme_Grunddaten!U546&lt;&gt;""),IF(Programme_Grunddaten!U546="Ja",1,0),"")</f>
        <v/>
      </c>
      <c r="N541" s="1" t="str">
        <f>IF(AND(Programme_Grunddaten!$A546="Geprüft",Programme_Grunddaten!V546&lt;&gt;""),IF(Programme_Grunddaten!V546="Ja",1,0),"")</f>
        <v/>
      </c>
      <c r="O541" s="1" t="str">
        <f>IF(AND(Programme_Grunddaten!$A546="Geprüft",Programme_Grunddaten!W546&lt;&gt;""),IF(Programme_Grunddaten!W546="Ja",1,0),"")</f>
        <v/>
      </c>
      <c r="P541" s="1" t="str">
        <f>IF(AND(Programme_Grunddaten!$A546="Geprüft",Programme_Grunddaten!X546&lt;&gt;""),IF(Programme_Grunddaten!X546="Ja",1,0),"")</f>
        <v/>
      </c>
      <c r="Q541" s="1" t="str">
        <f>IF(AND(Programme_Grunddaten!$A546="Geprüft",Programme_Grunddaten!Y546&lt;&gt;""),IF(Programme_Grunddaten!Y546="Ja",1,0),"")</f>
        <v/>
      </c>
      <c r="R541" s="1" t="str">
        <f>IF(AND(Programme_Grunddaten!$A546="Geprüft",Programme_Grunddaten!Z546&lt;&gt;""),IF(Programme_Grunddaten!Z546="Ja",1,0),"")</f>
        <v/>
      </c>
      <c r="S541" s="1" t="str">
        <f>IF(AND(Programme_Grunddaten!$A546="Geprüft",Programme_Grunddaten!AA546&lt;&gt;""),IF(Programme_Grunddaten!AA546="monolithisch",1,0),"")</f>
        <v/>
      </c>
      <c r="T541" s="1" t="str">
        <f>IF(AND(Programme_Grunddaten!$A546="Geprüft",Programme_Grunddaten!AB546&lt;&gt;""),IF(Programme_Grunddaten!AB546="Ja",1,0),"")</f>
        <v/>
      </c>
      <c r="U541" s="1" t="str">
        <f>IF(AND(Programme_Grunddaten!$A546="Geprüft",Programme_Grunddaten!AC546&lt;&gt;""),IF(Programme_Grunddaten!AC546="Ja",1,0),"")</f>
        <v/>
      </c>
      <c r="V541" s="1" t="str">
        <f>IF(AND(Programme_Grunddaten!$A546="Geprüft",Programme_Grunddaten!AD546&lt;&gt;""),IF(Programme_Grunddaten!AD546="Ja",1,0),"")</f>
        <v/>
      </c>
      <c r="W541" s="1" t="str">
        <f>IF(AND(Programme_Grunddaten!$A546="Geprüft",Programme_Grunddaten!AE546&lt;&gt;""),IF(Programme_Grunddaten!AE546="Ja",1,0),"")</f>
        <v/>
      </c>
      <c r="X541" s="1" t="str">
        <f>IF(AND(Programme_Grunddaten!$A546="Geprüft",Programme_Grunddaten!AF546&lt;&gt;""),IF(Programme_Grunddaten!AF546="Ja",1,0),"")</f>
        <v/>
      </c>
      <c r="Y541" s="1" t="str">
        <f>IF(AND(Programme_Grunddaten!$A546="Geprüft",Programme_Grunddaten!AG546&lt;&gt;""),IF(Programme_Grunddaten!AG546="Ja",1,0),"")</f>
        <v/>
      </c>
      <c r="Z541" s="1" t="str">
        <f>IF(AND(Programme_Grunddaten!$A546="Geprüft",Programme_Grunddaten!AH546&lt;&gt;""),IF(Programme_Grunddaten!AH546="Ja",1,0),"")</f>
        <v/>
      </c>
      <c r="AA541" s="1" t="str">
        <f>IF(AND(Programme_Grunddaten!$A546="Geprüft",Programme_Grunddaten!AI546&lt;&gt;""),IF(Programme_Grunddaten!AI546="Ja",1,0),"")</f>
        <v/>
      </c>
      <c r="AB541" s="1" t="str">
        <f>IF(AND(Programme_Grunddaten!$A546="Geprüft",Programme_Grunddaten!AJ546&lt;&gt;""),IF(Programme_Grunddaten!AJ546="individuell programmierbar",1,0),"")</f>
        <v/>
      </c>
      <c r="AC541" s="1" t="str">
        <f>IF(AND(Programme_Grunddaten!$A546="Geprüft",Programme_Grunddaten!AK546&lt;&gt;""),IF(Programme_Grunddaten!AK546="Deutsch",0,IF(Programme_Grunddaten!AK546="Deutsch und Englisch",1,2)),"")</f>
        <v/>
      </c>
      <c r="AD541" s="1" t="str">
        <f>IF(AND(Programme_Grunddaten!$A546="Geprüft",Programme_Grunddaten!AL546&lt;&gt;""),IF(Programme_Grunddaten!AL546="Ja",1,0),"")</f>
        <v/>
      </c>
      <c r="AE541" s="1" t="str">
        <f>IF(AND(Programme_Grunddaten!$A546="Geprüft",Programme_Grunddaten!AM546&lt;&gt;""),IF(Programme_Grunddaten!AM546="Ja",1,0),"")</f>
        <v/>
      </c>
      <c r="AF541" s="1" t="str">
        <f>IF(AND(Programme_Grunddaten!$A546="Geprüft",Programme_Grunddaten!AN546&lt;&gt;""),IF(Programme_Grunddaten!AN546="Ja",1,0),"")</f>
        <v/>
      </c>
      <c r="AG541" s="1" t="str">
        <f>IF(AND(Programme_Grunddaten!$A546="Geprüft",Programme_Grunddaten!AO546&lt;&gt;""),IF(Programme_Grunddaten!AO546="Ja",1,0),"")</f>
        <v/>
      </c>
      <c r="AH541" s="1" t="str">
        <f>IF(AND(Programme_Grunddaten!$A546="Geprüft",Programme_Grunddaten!AP546&lt;&gt;""),IF(Programme_Grunddaten!AP546="Ja",1,0),"")</f>
        <v/>
      </c>
      <c r="AI541" s="1" t="str">
        <f>IF(AND(Programme_Grunddaten!$A546="Geprüft",Programme_Grunddaten!AQ546&lt;&gt;""),IF(Programme_Grunddaten!AQ546="Ja",1,0),"")</f>
        <v/>
      </c>
      <c r="AJ541" s="1" t="str">
        <f>IF(AND(Programme_Grunddaten!$A546="Geprüft",Programme_Grunddaten!AR546&lt;&gt;""),IF(Programme_Grunddaten!AR546="Ja",1,0),"")</f>
        <v/>
      </c>
      <c r="AK541" s="1" t="str">
        <f>IF(AND(Programme_Grunddaten!$A546="Geprüft",Programme_Grunddaten!AS546&lt;&gt;""),IF(Programme_Grunddaten!AS546="Ja",1,0),"")</f>
        <v/>
      </c>
      <c r="AL541" s="1" t="str">
        <f>IF(AND(Programme_Grunddaten!$A546="Geprüft",Programme_Grunddaten!AT546&lt;&gt;""),IF(Programme_Grunddaten!AT546="Ja",1,0),"")</f>
        <v/>
      </c>
      <c r="AM541" s="1" t="str">
        <f>IF(AND(Programme_Grunddaten!$A546="Geprüft",Programme_Grunddaten!AU546&lt;&gt;""),IF(Programme_Grunddaten!AU546="Ja",1,0),"")</f>
        <v/>
      </c>
      <c r="AN541" s="1" t="str">
        <f>IF(AND(Programme_Grunddaten!$A546="Geprüft",Programme_Grunddaten!AV546&lt;&gt;""),IF(Programme_Grunddaten!AV546="Ja",1,0),"")</f>
        <v/>
      </c>
    </row>
    <row r="542" spans="1:40" x14ac:dyDescent="0.3">
      <c r="A542" s="1" t="str">
        <f>IF(AND(Programme_Grunddaten!A547="Geprüft",Programme_Grunddaten!B547&lt;&gt;""),Programme_Grunddaten!B547,"")</f>
        <v/>
      </c>
      <c r="B542" s="1" t="str">
        <f>IF(AND(Programme_Grunddaten!$A547="Geprüft",Programme_Grunddaten!I547&lt;&gt;""),IF(Programme_Grunddaten!I547="Ja",1,0),"")</f>
        <v/>
      </c>
      <c r="C542" s="1" t="str">
        <f>IF(AND(Programme_Grunddaten!$A547="Geprüft",Programme_Grunddaten!J547&lt;&gt;""),IF(Programme_Grunddaten!J547="Ja",1,0),"")</f>
        <v/>
      </c>
      <c r="D542" s="1" t="str">
        <f>IF(AND(Programme_Grunddaten!$A547="Geprüft",Programme_Grunddaten!K547&lt;&gt;""),IF(Programme_Grunddaten!K547="Ja",1,0),"")</f>
        <v/>
      </c>
      <c r="E542" s="1" t="str">
        <f>IF(AND(Programme_Grunddaten!$A547="Geprüft",Programme_Grunddaten!L547&lt;&gt;""),IF(Programme_Grunddaten!L547="Abo / befristete Lizenz",1,0),"")</f>
        <v/>
      </c>
      <c r="F542" s="1" t="str">
        <f>IF(AND(Programme_Grunddaten!$A547="Geprüft",Programme_Grunddaten!M547&lt;&gt;""),IF(Programme_Grunddaten!M547="Ja",1,0),"")</f>
        <v/>
      </c>
      <c r="G542" s="1" t="str">
        <f>IF(AND(Programme_Grunddaten!$A547="Geprüft",Programme_Grunddaten!N547&lt;&gt;""),IF(Programme_Grunddaten!N547="Ja",1,0),"")</f>
        <v/>
      </c>
      <c r="H542" s="1" t="str">
        <f>IF(AND(Programme_Grunddaten!$A547="Geprüft",Programme_Grunddaten!O547&lt;&gt;""),IF(Programme_Grunddaten!O547="Deutschland",0,IF(Programme_Grunddaten!O547="EU",1,2)),"")</f>
        <v/>
      </c>
      <c r="I542" s="1" t="str">
        <f>IF(AND(Programme_Grunddaten!$A547="Geprüft",Programme_Grunddaten!P547&lt;&gt;""),IF(Programme_Grunddaten!P547="Ja",1,0),"")</f>
        <v/>
      </c>
      <c r="J542" s="1" t="str">
        <f>IF(AND(Programme_Grunddaten!$A547="Geprüft",Programme_Grunddaten!Q547&lt;&gt;""),IF(Programme_Grunddaten!Q547="geschlossenes System",1,0),"")</f>
        <v/>
      </c>
      <c r="K542" s="1" t="str">
        <f>IF(AND(Programme_Grunddaten!$A547="Geprüft",Programme_Grunddaten!R547&lt;&gt;""),IF(Programme_Grunddaten!R547="Ja",1,0),"")</f>
        <v/>
      </c>
      <c r="L542" s="1" t="str">
        <f>IF(AND(Programme_Grunddaten!$A547="Geprüft",Programme_Grunddaten!T547&lt;&gt;""),IF(Programme_Grunddaten!T547="Ja",1,0),"")</f>
        <v/>
      </c>
      <c r="M542" s="1" t="str">
        <f>IF(AND(Programme_Grunddaten!$A547="Geprüft",Programme_Grunddaten!U547&lt;&gt;""),IF(Programme_Grunddaten!U547="Ja",1,0),"")</f>
        <v/>
      </c>
      <c r="N542" s="1" t="str">
        <f>IF(AND(Programme_Grunddaten!$A547="Geprüft",Programme_Grunddaten!V547&lt;&gt;""),IF(Programme_Grunddaten!V547="Ja",1,0),"")</f>
        <v/>
      </c>
      <c r="O542" s="1" t="str">
        <f>IF(AND(Programme_Grunddaten!$A547="Geprüft",Programme_Grunddaten!W547&lt;&gt;""),IF(Programme_Grunddaten!W547="Ja",1,0),"")</f>
        <v/>
      </c>
      <c r="P542" s="1" t="str">
        <f>IF(AND(Programme_Grunddaten!$A547="Geprüft",Programme_Grunddaten!X547&lt;&gt;""),IF(Programme_Grunddaten!X547="Ja",1,0),"")</f>
        <v/>
      </c>
      <c r="Q542" s="1" t="str">
        <f>IF(AND(Programme_Grunddaten!$A547="Geprüft",Programme_Grunddaten!Y547&lt;&gt;""),IF(Programme_Grunddaten!Y547="Ja",1,0),"")</f>
        <v/>
      </c>
      <c r="R542" s="1" t="str">
        <f>IF(AND(Programme_Grunddaten!$A547="Geprüft",Programme_Grunddaten!Z547&lt;&gt;""),IF(Programme_Grunddaten!Z547="Ja",1,0),"")</f>
        <v/>
      </c>
      <c r="S542" s="1" t="str">
        <f>IF(AND(Programme_Grunddaten!$A547="Geprüft",Programme_Grunddaten!AA547&lt;&gt;""),IF(Programme_Grunddaten!AA547="monolithisch",1,0),"")</f>
        <v/>
      </c>
      <c r="T542" s="1" t="str">
        <f>IF(AND(Programme_Grunddaten!$A547="Geprüft",Programme_Grunddaten!AB547&lt;&gt;""),IF(Programme_Grunddaten!AB547="Ja",1,0),"")</f>
        <v/>
      </c>
      <c r="U542" s="1" t="str">
        <f>IF(AND(Programme_Grunddaten!$A547="Geprüft",Programme_Grunddaten!AC547&lt;&gt;""),IF(Programme_Grunddaten!AC547="Ja",1,0),"")</f>
        <v/>
      </c>
      <c r="V542" s="1" t="str">
        <f>IF(AND(Programme_Grunddaten!$A547="Geprüft",Programme_Grunddaten!AD547&lt;&gt;""),IF(Programme_Grunddaten!AD547="Ja",1,0),"")</f>
        <v/>
      </c>
      <c r="W542" s="1" t="str">
        <f>IF(AND(Programme_Grunddaten!$A547="Geprüft",Programme_Grunddaten!AE547&lt;&gt;""),IF(Programme_Grunddaten!AE547="Ja",1,0),"")</f>
        <v/>
      </c>
      <c r="X542" s="1" t="str">
        <f>IF(AND(Programme_Grunddaten!$A547="Geprüft",Programme_Grunddaten!AF547&lt;&gt;""),IF(Programme_Grunddaten!AF547="Ja",1,0),"")</f>
        <v/>
      </c>
      <c r="Y542" s="1" t="str">
        <f>IF(AND(Programme_Grunddaten!$A547="Geprüft",Programme_Grunddaten!AG547&lt;&gt;""),IF(Programme_Grunddaten!AG547="Ja",1,0),"")</f>
        <v/>
      </c>
      <c r="Z542" s="1" t="str">
        <f>IF(AND(Programme_Grunddaten!$A547="Geprüft",Programme_Grunddaten!AH547&lt;&gt;""),IF(Programme_Grunddaten!AH547="Ja",1,0),"")</f>
        <v/>
      </c>
      <c r="AA542" s="1" t="str">
        <f>IF(AND(Programme_Grunddaten!$A547="Geprüft",Programme_Grunddaten!AI547&lt;&gt;""),IF(Programme_Grunddaten!AI547="Ja",1,0),"")</f>
        <v/>
      </c>
      <c r="AB542" s="1" t="str">
        <f>IF(AND(Programme_Grunddaten!$A547="Geprüft",Programme_Grunddaten!AJ547&lt;&gt;""),IF(Programme_Grunddaten!AJ547="individuell programmierbar",1,0),"")</f>
        <v/>
      </c>
      <c r="AC542" s="1" t="str">
        <f>IF(AND(Programme_Grunddaten!$A547="Geprüft",Programme_Grunddaten!AK547&lt;&gt;""),IF(Programme_Grunddaten!AK547="Deutsch",0,IF(Programme_Grunddaten!AK547="Deutsch und Englisch",1,2)),"")</f>
        <v/>
      </c>
      <c r="AD542" s="1" t="str">
        <f>IF(AND(Programme_Grunddaten!$A547="Geprüft",Programme_Grunddaten!AL547&lt;&gt;""),IF(Programme_Grunddaten!AL547="Ja",1,0),"")</f>
        <v/>
      </c>
      <c r="AE542" s="1" t="str">
        <f>IF(AND(Programme_Grunddaten!$A547="Geprüft",Programme_Grunddaten!AM547&lt;&gt;""),IF(Programme_Grunddaten!AM547="Ja",1,0),"")</f>
        <v/>
      </c>
      <c r="AF542" s="1" t="str">
        <f>IF(AND(Programme_Grunddaten!$A547="Geprüft",Programme_Grunddaten!AN547&lt;&gt;""),IF(Programme_Grunddaten!AN547="Ja",1,0),"")</f>
        <v/>
      </c>
      <c r="AG542" s="1" t="str">
        <f>IF(AND(Programme_Grunddaten!$A547="Geprüft",Programme_Grunddaten!AO547&lt;&gt;""),IF(Programme_Grunddaten!AO547="Ja",1,0),"")</f>
        <v/>
      </c>
      <c r="AH542" s="1" t="str">
        <f>IF(AND(Programme_Grunddaten!$A547="Geprüft",Programme_Grunddaten!AP547&lt;&gt;""),IF(Programme_Grunddaten!AP547="Ja",1,0),"")</f>
        <v/>
      </c>
      <c r="AI542" s="1" t="str">
        <f>IF(AND(Programme_Grunddaten!$A547="Geprüft",Programme_Grunddaten!AQ547&lt;&gt;""),IF(Programme_Grunddaten!AQ547="Ja",1,0),"")</f>
        <v/>
      </c>
      <c r="AJ542" s="1" t="str">
        <f>IF(AND(Programme_Grunddaten!$A547="Geprüft",Programme_Grunddaten!AR547&lt;&gt;""),IF(Programme_Grunddaten!AR547="Ja",1,0),"")</f>
        <v/>
      </c>
      <c r="AK542" s="1" t="str">
        <f>IF(AND(Programme_Grunddaten!$A547="Geprüft",Programme_Grunddaten!AS547&lt;&gt;""),IF(Programme_Grunddaten!AS547="Ja",1,0),"")</f>
        <v/>
      </c>
      <c r="AL542" s="1" t="str">
        <f>IF(AND(Programme_Grunddaten!$A547="Geprüft",Programme_Grunddaten!AT547&lt;&gt;""),IF(Programme_Grunddaten!AT547="Ja",1,0),"")</f>
        <v/>
      </c>
      <c r="AM542" s="1" t="str">
        <f>IF(AND(Programme_Grunddaten!$A547="Geprüft",Programme_Grunddaten!AU547&lt;&gt;""),IF(Programme_Grunddaten!AU547="Ja",1,0),"")</f>
        <v/>
      </c>
      <c r="AN542" s="1" t="str">
        <f>IF(AND(Programme_Grunddaten!$A547="Geprüft",Programme_Grunddaten!AV547&lt;&gt;""),IF(Programme_Grunddaten!AV547="Ja",1,0),"")</f>
        <v/>
      </c>
    </row>
    <row r="543" spans="1:40" x14ac:dyDescent="0.3">
      <c r="A543" s="1" t="str">
        <f>IF(AND(Programme_Grunddaten!A548="Geprüft",Programme_Grunddaten!B548&lt;&gt;""),Programme_Grunddaten!B548,"")</f>
        <v/>
      </c>
      <c r="B543" s="1" t="str">
        <f>IF(AND(Programme_Grunddaten!$A548="Geprüft",Programme_Grunddaten!I548&lt;&gt;""),IF(Programme_Grunddaten!I548="Ja",1,0),"")</f>
        <v/>
      </c>
      <c r="C543" s="1" t="str">
        <f>IF(AND(Programme_Grunddaten!$A548="Geprüft",Programme_Grunddaten!J548&lt;&gt;""),IF(Programme_Grunddaten!J548="Ja",1,0),"")</f>
        <v/>
      </c>
      <c r="D543" s="1" t="str">
        <f>IF(AND(Programme_Grunddaten!$A548="Geprüft",Programme_Grunddaten!K548&lt;&gt;""),IF(Programme_Grunddaten!K548="Ja",1,0),"")</f>
        <v/>
      </c>
      <c r="E543" s="1" t="str">
        <f>IF(AND(Programme_Grunddaten!$A548="Geprüft",Programme_Grunddaten!L548&lt;&gt;""),IF(Programme_Grunddaten!L548="Abo / befristete Lizenz",1,0),"")</f>
        <v/>
      </c>
      <c r="F543" s="1" t="str">
        <f>IF(AND(Programme_Grunddaten!$A548="Geprüft",Programme_Grunddaten!M548&lt;&gt;""),IF(Programme_Grunddaten!M548="Ja",1,0),"")</f>
        <v/>
      </c>
      <c r="G543" s="1" t="str">
        <f>IF(AND(Programme_Grunddaten!$A548="Geprüft",Programme_Grunddaten!N548&lt;&gt;""),IF(Programme_Grunddaten!N548="Ja",1,0),"")</f>
        <v/>
      </c>
      <c r="H543" s="1" t="str">
        <f>IF(AND(Programme_Grunddaten!$A548="Geprüft",Programme_Grunddaten!O548&lt;&gt;""),IF(Programme_Grunddaten!O548="Deutschland",0,IF(Programme_Grunddaten!O548="EU",1,2)),"")</f>
        <v/>
      </c>
      <c r="I543" s="1" t="str">
        <f>IF(AND(Programme_Grunddaten!$A548="Geprüft",Programme_Grunddaten!P548&lt;&gt;""),IF(Programme_Grunddaten!P548="Ja",1,0),"")</f>
        <v/>
      </c>
      <c r="J543" s="1" t="str">
        <f>IF(AND(Programme_Grunddaten!$A548="Geprüft",Programme_Grunddaten!Q548&lt;&gt;""),IF(Programme_Grunddaten!Q548="geschlossenes System",1,0),"")</f>
        <v/>
      </c>
      <c r="K543" s="1" t="str">
        <f>IF(AND(Programme_Grunddaten!$A548="Geprüft",Programme_Grunddaten!R548&lt;&gt;""),IF(Programme_Grunddaten!R548="Ja",1,0),"")</f>
        <v/>
      </c>
      <c r="L543" s="1" t="str">
        <f>IF(AND(Programme_Grunddaten!$A548="Geprüft",Programme_Grunddaten!T548&lt;&gt;""),IF(Programme_Grunddaten!T548="Ja",1,0),"")</f>
        <v/>
      </c>
      <c r="M543" s="1" t="str">
        <f>IF(AND(Programme_Grunddaten!$A548="Geprüft",Programme_Grunddaten!U548&lt;&gt;""),IF(Programme_Grunddaten!U548="Ja",1,0),"")</f>
        <v/>
      </c>
      <c r="N543" s="1" t="str">
        <f>IF(AND(Programme_Grunddaten!$A548="Geprüft",Programme_Grunddaten!V548&lt;&gt;""),IF(Programme_Grunddaten!V548="Ja",1,0),"")</f>
        <v/>
      </c>
      <c r="O543" s="1" t="str">
        <f>IF(AND(Programme_Grunddaten!$A548="Geprüft",Programme_Grunddaten!W548&lt;&gt;""),IF(Programme_Grunddaten!W548="Ja",1,0),"")</f>
        <v/>
      </c>
      <c r="P543" s="1" t="str">
        <f>IF(AND(Programme_Grunddaten!$A548="Geprüft",Programme_Grunddaten!X548&lt;&gt;""),IF(Programme_Grunddaten!X548="Ja",1,0),"")</f>
        <v/>
      </c>
      <c r="Q543" s="1" t="str">
        <f>IF(AND(Programme_Grunddaten!$A548="Geprüft",Programme_Grunddaten!Y548&lt;&gt;""),IF(Programme_Grunddaten!Y548="Ja",1,0),"")</f>
        <v/>
      </c>
      <c r="R543" s="1" t="str">
        <f>IF(AND(Programme_Grunddaten!$A548="Geprüft",Programme_Grunddaten!Z548&lt;&gt;""),IF(Programme_Grunddaten!Z548="Ja",1,0),"")</f>
        <v/>
      </c>
      <c r="S543" s="1" t="str">
        <f>IF(AND(Programme_Grunddaten!$A548="Geprüft",Programme_Grunddaten!AA548&lt;&gt;""),IF(Programme_Grunddaten!AA548="monolithisch",1,0),"")</f>
        <v/>
      </c>
      <c r="T543" s="1" t="str">
        <f>IF(AND(Programme_Grunddaten!$A548="Geprüft",Programme_Grunddaten!AB548&lt;&gt;""),IF(Programme_Grunddaten!AB548="Ja",1,0),"")</f>
        <v/>
      </c>
      <c r="U543" s="1" t="str">
        <f>IF(AND(Programme_Grunddaten!$A548="Geprüft",Programme_Grunddaten!AC548&lt;&gt;""),IF(Programme_Grunddaten!AC548="Ja",1,0),"")</f>
        <v/>
      </c>
      <c r="V543" s="1" t="str">
        <f>IF(AND(Programme_Grunddaten!$A548="Geprüft",Programme_Grunddaten!AD548&lt;&gt;""),IF(Programme_Grunddaten!AD548="Ja",1,0),"")</f>
        <v/>
      </c>
      <c r="W543" s="1" t="str">
        <f>IF(AND(Programme_Grunddaten!$A548="Geprüft",Programme_Grunddaten!AE548&lt;&gt;""),IF(Programme_Grunddaten!AE548="Ja",1,0),"")</f>
        <v/>
      </c>
      <c r="X543" s="1" t="str">
        <f>IF(AND(Programme_Grunddaten!$A548="Geprüft",Programme_Grunddaten!AF548&lt;&gt;""),IF(Programme_Grunddaten!AF548="Ja",1,0),"")</f>
        <v/>
      </c>
      <c r="Y543" s="1" t="str">
        <f>IF(AND(Programme_Grunddaten!$A548="Geprüft",Programme_Grunddaten!AG548&lt;&gt;""),IF(Programme_Grunddaten!AG548="Ja",1,0),"")</f>
        <v/>
      </c>
      <c r="Z543" s="1" t="str">
        <f>IF(AND(Programme_Grunddaten!$A548="Geprüft",Programme_Grunddaten!AH548&lt;&gt;""),IF(Programme_Grunddaten!AH548="Ja",1,0),"")</f>
        <v/>
      </c>
      <c r="AA543" s="1" t="str">
        <f>IF(AND(Programme_Grunddaten!$A548="Geprüft",Programme_Grunddaten!AI548&lt;&gt;""),IF(Programme_Grunddaten!AI548="Ja",1,0),"")</f>
        <v/>
      </c>
      <c r="AB543" s="1" t="str">
        <f>IF(AND(Programme_Grunddaten!$A548="Geprüft",Programme_Grunddaten!AJ548&lt;&gt;""),IF(Programme_Grunddaten!AJ548="individuell programmierbar",1,0),"")</f>
        <v/>
      </c>
      <c r="AC543" s="1" t="str">
        <f>IF(AND(Programme_Grunddaten!$A548="Geprüft",Programme_Grunddaten!AK548&lt;&gt;""),IF(Programme_Grunddaten!AK548="Deutsch",0,IF(Programme_Grunddaten!AK548="Deutsch und Englisch",1,2)),"")</f>
        <v/>
      </c>
      <c r="AD543" s="1" t="str">
        <f>IF(AND(Programme_Grunddaten!$A548="Geprüft",Programme_Grunddaten!AL548&lt;&gt;""),IF(Programme_Grunddaten!AL548="Ja",1,0),"")</f>
        <v/>
      </c>
      <c r="AE543" s="1" t="str">
        <f>IF(AND(Programme_Grunddaten!$A548="Geprüft",Programme_Grunddaten!AM548&lt;&gt;""),IF(Programme_Grunddaten!AM548="Ja",1,0),"")</f>
        <v/>
      </c>
      <c r="AF543" s="1" t="str">
        <f>IF(AND(Programme_Grunddaten!$A548="Geprüft",Programme_Grunddaten!AN548&lt;&gt;""),IF(Programme_Grunddaten!AN548="Ja",1,0),"")</f>
        <v/>
      </c>
      <c r="AG543" s="1" t="str">
        <f>IF(AND(Programme_Grunddaten!$A548="Geprüft",Programme_Grunddaten!AO548&lt;&gt;""),IF(Programme_Grunddaten!AO548="Ja",1,0),"")</f>
        <v/>
      </c>
      <c r="AH543" s="1" t="str">
        <f>IF(AND(Programme_Grunddaten!$A548="Geprüft",Programme_Grunddaten!AP548&lt;&gt;""),IF(Programme_Grunddaten!AP548="Ja",1,0),"")</f>
        <v/>
      </c>
      <c r="AI543" s="1" t="str">
        <f>IF(AND(Programme_Grunddaten!$A548="Geprüft",Programme_Grunddaten!AQ548&lt;&gt;""),IF(Programme_Grunddaten!AQ548="Ja",1,0),"")</f>
        <v/>
      </c>
      <c r="AJ543" s="1" t="str">
        <f>IF(AND(Programme_Grunddaten!$A548="Geprüft",Programme_Grunddaten!AR548&lt;&gt;""),IF(Programme_Grunddaten!AR548="Ja",1,0),"")</f>
        <v/>
      </c>
      <c r="AK543" s="1" t="str">
        <f>IF(AND(Programme_Grunddaten!$A548="Geprüft",Programme_Grunddaten!AS548&lt;&gt;""),IF(Programme_Grunddaten!AS548="Ja",1,0),"")</f>
        <v/>
      </c>
      <c r="AL543" s="1" t="str">
        <f>IF(AND(Programme_Grunddaten!$A548="Geprüft",Programme_Grunddaten!AT548&lt;&gt;""),IF(Programme_Grunddaten!AT548="Ja",1,0),"")</f>
        <v/>
      </c>
      <c r="AM543" s="1" t="str">
        <f>IF(AND(Programme_Grunddaten!$A548="Geprüft",Programme_Grunddaten!AU548&lt;&gt;""),IF(Programme_Grunddaten!AU548="Ja",1,0),"")</f>
        <v/>
      </c>
      <c r="AN543" s="1" t="str">
        <f>IF(AND(Programme_Grunddaten!$A548="Geprüft",Programme_Grunddaten!AV548&lt;&gt;""),IF(Programme_Grunddaten!AV548="Ja",1,0),"")</f>
        <v/>
      </c>
    </row>
    <row r="544" spans="1:40" x14ac:dyDescent="0.3">
      <c r="A544" s="1" t="str">
        <f>IF(AND(Programme_Grunddaten!A549="Geprüft",Programme_Grunddaten!B549&lt;&gt;""),Programme_Grunddaten!B549,"")</f>
        <v/>
      </c>
      <c r="B544" s="1" t="str">
        <f>IF(AND(Programme_Grunddaten!$A549="Geprüft",Programme_Grunddaten!I549&lt;&gt;""),IF(Programme_Grunddaten!I549="Ja",1,0),"")</f>
        <v/>
      </c>
      <c r="C544" s="1" t="str">
        <f>IF(AND(Programme_Grunddaten!$A549="Geprüft",Programme_Grunddaten!J549&lt;&gt;""),IF(Programme_Grunddaten!J549="Ja",1,0),"")</f>
        <v/>
      </c>
      <c r="D544" s="1" t="str">
        <f>IF(AND(Programme_Grunddaten!$A549="Geprüft",Programme_Grunddaten!K549&lt;&gt;""),IF(Programme_Grunddaten!K549="Ja",1,0),"")</f>
        <v/>
      </c>
      <c r="E544" s="1" t="str">
        <f>IF(AND(Programme_Grunddaten!$A549="Geprüft",Programme_Grunddaten!L549&lt;&gt;""),IF(Programme_Grunddaten!L549="Abo / befristete Lizenz",1,0),"")</f>
        <v/>
      </c>
      <c r="F544" s="1" t="str">
        <f>IF(AND(Programme_Grunddaten!$A549="Geprüft",Programme_Grunddaten!M549&lt;&gt;""),IF(Programme_Grunddaten!M549="Ja",1,0),"")</f>
        <v/>
      </c>
      <c r="G544" s="1" t="str">
        <f>IF(AND(Programme_Grunddaten!$A549="Geprüft",Programme_Grunddaten!N549&lt;&gt;""),IF(Programme_Grunddaten!N549="Ja",1,0),"")</f>
        <v/>
      </c>
      <c r="H544" s="1" t="str">
        <f>IF(AND(Programme_Grunddaten!$A549="Geprüft",Programme_Grunddaten!O549&lt;&gt;""),IF(Programme_Grunddaten!O549="Deutschland",0,IF(Programme_Grunddaten!O549="EU",1,2)),"")</f>
        <v/>
      </c>
      <c r="I544" s="1" t="str">
        <f>IF(AND(Programme_Grunddaten!$A549="Geprüft",Programme_Grunddaten!P549&lt;&gt;""),IF(Programme_Grunddaten!P549="Ja",1,0),"")</f>
        <v/>
      </c>
      <c r="J544" s="1" t="str">
        <f>IF(AND(Programme_Grunddaten!$A549="Geprüft",Programme_Grunddaten!Q549&lt;&gt;""),IF(Programme_Grunddaten!Q549="geschlossenes System",1,0),"")</f>
        <v/>
      </c>
      <c r="K544" s="1" t="str">
        <f>IF(AND(Programme_Grunddaten!$A549="Geprüft",Programme_Grunddaten!R549&lt;&gt;""),IF(Programme_Grunddaten!R549="Ja",1,0),"")</f>
        <v/>
      </c>
      <c r="L544" s="1" t="str">
        <f>IF(AND(Programme_Grunddaten!$A549="Geprüft",Programme_Grunddaten!T549&lt;&gt;""),IF(Programme_Grunddaten!T549="Ja",1,0),"")</f>
        <v/>
      </c>
      <c r="M544" s="1" t="str">
        <f>IF(AND(Programme_Grunddaten!$A549="Geprüft",Programme_Grunddaten!U549&lt;&gt;""),IF(Programme_Grunddaten!U549="Ja",1,0),"")</f>
        <v/>
      </c>
      <c r="N544" s="1" t="str">
        <f>IF(AND(Programme_Grunddaten!$A549="Geprüft",Programme_Grunddaten!V549&lt;&gt;""),IF(Programme_Grunddaten!V549="Ja",1,0),"")</f>
        <v/>
      </c>
      <c r="O544" s="1" t="str">
        <f>IF(AND(Programme_Grunddaten!$A549="Geprüft",Programme_Grunddaten!W549&lt;&gt;""),IF(Programme_Grunddaten!W549="Ja",1,0),"")</f>
        <v/>
      </c>
      <c r="P544" s="1" t="str">
        <f>IF(AND(Programme_Grunddaten!$A549="Geprüft",Programme_Grunddaten!X549&lt;&gt;""),IF(Programme_Grunddaten!X549="Ja",1,0),"")</f>
        <v/>
      </c>
      <c r="Q544" s="1" t="str">
        <f>IF(AND(Programme_Grunddaten!$A549="Geprüft",Programme_Grunddaten!Y549&lt;&gt;""),IF(Programme_Grunddaten!Y549="Ja",1,0),"")</f>
        <v/>
      </c>
      <c r="R544" s="1" t="str">
        <f>IF(AND(Programme_Grunddaten!$A549="Geprüft",Programme_Grunddaten!Z549&lt;&gt;""),IF(Programme_Grunddaten!Z549="Ja",1,0),"")</f>
        <v/>
      </c>
      <c r="S544" s="1" t="str">
        <f>IF(AND(Programme_Grunddaten!$A549="Geprüft",Programme_Grunddaten!AA549&lt;&gt;""),IF(Programme_Grunddaten!AA549="monolithisch",1,0),"")</f>
        <v/>
      </c>
      <c r="T544" s="1" t="str">
        <f>IF(AND(Programme_Grunddaten!$A549="Geprüft",Programme_Grunddaten!AB549&lt;&gt;""),IF(Programme_Grunddaten!AB549="Ja",1,0),"")</f>
        <v/>
      </c>
      <c r="U544" s="1" t="str">
        <f>IF(AND(Programme_Grunddaten!$A549="Geprüft",Programme_Grunddaten!AC549&lt;&gt;""),IF(Programme_Grunddaten!AC549="Ja",1,0),"")</f>
        <v/>
      </c>
      <c r="V544" s="1" t="str">
        <f>IF(AND(Programme_Grunddaten!$A549="Geprüft",Programme_Grunddaten!AD549&lt;&gt;""),IF(Programme_Grunddaten!AD549="Ja",1,0),"")</f>
        <v/>
      </c>
      <c r="W544" s="1" t="str">
        <f>IF(AND(Programme_Grunddaten!$A549="Geprüft",Programme_Grunddaten!AE549&lt;&gt;""),IF(Programme_Grunddaten!AE549="Ja",1,0),"")</f>
        <v/>
      </c>
      <c r="X544" s="1" t="str">
        <f>IF(AND(Programme_Grunddaten!$A549="Geprüft",Programme_Grunddaten!AF549&lt;&gt;""),IF(Programme_Grunddaten!AF549="Ja",1,0),"")</f>
        <v/>
      </c>
      <c r="Y544" s="1" t="str">
        <f>IF(AND(Programme_Grunddaten!$A549="Geprüft",Programme_Grunddaten!AG549&lt;&gt;""),IF(Programme_Grunddaten!AG549="Ja",1,0),"")</f>
        <v/>
      </c>
      <c r="Z544" s="1" t="str">
        <f>IF(AND(Programme_Grunddaten!$A549="Geprüft",Programme_Grunddaten!AH549&lt;&gt;""),IF(Programme_Grunddaten!AH549="Ja",1,0),"")</f>
        <v/>
      </c>
      <c r="AA544" s="1" t="str">
        <f>IF(AND(Programme_Grunddaten!$A549="Geprüft",Programme_Grunddaten!AI549&lt;&gt;""),IF(Programme_Grunddaten!AI549="Ja",1,0),"")</f>
        <v/>
      </c>
      <c r="AB544" s="1" t="str">
        <f>IF(AND(Programme_Grunddaten!$A549="Geprüft",Programme_Grunddaten!AJ549&lt;&gt;""),IF(Programme_Grunddaten!AJ549="individuell programmierbar",1,0),"")</f>
        <v/>
      </c>
      <c r="AC544" s="1" t="str">
        <f>IF(AND(Programme_Grunddaten!$A549="Geprüft",Programme_Grunddaten!AK549&lt;&gt;""),IF(Programme_Grunddaten!AK549="Deutsch",0,IF(Programme_Grunddaten!AK549="Deutsch und Englisch",1,2)),"")</f>
        <v/>
      </c>
      <c r="AD544" s="1" t="str">
        <f>IF(AND(Programme_Grunddaten!$A549="Geprüft",Programme_Grunddaten!AL549&lt;&gt;""),IF(Programme_Grunddaten!AL549="Ja",1,0),"")</f>
        <v/>
      </c>
      <c r="AE544" s="1" t="str">
        <f>IF(AND(Programme_Grunddaten!$A549="Geprüft",Programme_Grunddaten!AM549&lt;&gt;""),IF(Programme_Grunddaten!AM549="Ja",1,0),"")</f>
        <v/>
      </c>
      <c r="AF544" s="1" t="str">
        <f>IF(AND(Programme_Grunddaten!$A549="Geprüft",Programme_Grunddaten!AN549&lt;&gt;""),IF(Programme_Grunddaten!AN549="Ja",1,0),"")</f>
        <v/>
      </c>
      <c r="AG544" s="1" t="str">
        <f>IF(AND(Programme_Grunddaten!$A549="Geprüft",Programme_Grunddaten!AO549&lt;&gt;""),IF(Programme_Grunddaten!AO549="Ja",1,0),"")</f>
        <v/>
      </c>
      <c r="AH544" s="1" t="str">
        <f>IF(AND(Programme_Grunddaten!$A549="Geprüft",Programme_Grunddaten!AP549&lt;&gt;""),IF(Programme_Grunddaten!AP549="Ja",1,0),"")</f>
        <v/>
      </c>
      <c r="AI544" s="1" t="str">
        <f>IF(AND(Programme_Grunddaten!$A549="Geprüft",Programme_Grunddaten!AQ549&lt;&gt;""),IF(Programme_Grunddaten!AQ549="Ja",1,0),"")</f>
        <v/>
      </c>
      <c r="AJ544" s="1" t="str">
        <f>IF(AND(Programme_Grunddaten!$A549="Geprüft",Programme_Grunddaten!AR549&lt;&gt;""),IF(Programme_Grunddaten!AR549="Ja",1,0),"")</f>
        <v/>
      </c>
      <c r="AK544" s="1" t="str">
        <f>IF(AND(Programme_Grunddaten!$A549="Geprüft",Programme_Grunddaten!AS549&lt;&gt;""),IF(Programme_Grunddaten!AS549="Ja",1,0),"")</f>
        <v/>
      </c>
      <c r="AL544" s="1" t="str">
        <f>IF(AND(Programme_Grunddaten!$A549="Geprüft",Programme_Grunddaten!AT549&lt;&gt;""),IF(Programme_Grunddaten!AT549="Ja",1,0),"")</f>
        <v/>
      </c>
      <c r="AM544" s="1" t="str">
        <f>IF(AND(Programme_Grunddaten!$A549="Geprüft",Programme_Grunddaten!AU549&lt;&gt;""),IF(Programme_Grunddaten!AU549="Ja",1,0),"")</f>
        <v/>
      </c>
      <c r="AN544" s="1" t="str">
        <f>IF(AND(Programme_Grunddaten!$A549="Geprüft",Programme_Grunddaten!AV549&lt;&gt;""),IF(Programme_Grunddaten!AV549="Ja",1,0),"")</f>
        <v/>
      </c>
    </row>
    <row r="545" spans="1:40" x14ac:dyDescent="0.3">
      <c r="A545" s="1" t="str">
        <f>IF(AND(Programme_Grunddaten!A550="Geprüft",Programme_Grunddaten!B550&lt;&gt;""),Programme_Grunddaten!B550,"")</f>
        <v/>
      </c>
      <c r="B545" s="1" t="str">
        <f>IF(AND(Programme_Grunddaten!$A550="Geprüft",Programme_Grunddaten!I550&lt;&gt;""),IF(Programme_Grunddaten!I550="Ja",1,0),"")</f>
        <v/>
      </c>
      <c r="C545" s="1" t="str">
        <f>IF(AND(Programme_Grunddaten!$A550="Geprüft",Programme_Grunddaten!J550&lt;&gt;""),IF(Programme_Grunddaten!J550="Ja",1,0),"")</f>
        <v/>
      </c>
      <c r="D545" s="1" t="str">
        <f>IF(AND(Programme_Grunddaten!$A550="Geprüft",Programme_Grunddaten!K550&lt;&gt;""),IF(Programme_Grunddaten!K550="Ja",1,0),"")</f>
        <v/>
      </c>
      <c r="E545" s="1" t="str">
        <f>IF(AND(Programme_Grunddaten!$A550="Geprüft",Programme_Grunddaten!L550&lt;&gt;""),IF(Programme_Grunddaten!L550="Abo / befristete Lizenz",1,0),"")</f>
        <v/>
      </c>
      <c r="F545" s="1" t="str">
        <f>IF(AND(Programme_Grunddaten!$A550="Geprüft",Programme_Grunddaten!M550&lt;&gt;""),IF(Programme_Grunddaten!M550="Ja",1,0),"")</f>
        <v/>
      </c>
      <c r="G545" s="1" t="str">
        <f>IF(AND(Programme_Grunddaten!$A550="Geprüft",Programme_Grunddaten!N550&lt;&gt;""),IF(Programme_Grunddaten!N550="Ja",1,0),"")</f>
        <v/>
      </c>
      <c r="H545" s="1" t="str">
        <f>IF(AND(Programme_Grunddaten!$A550="Geprüft",Programme_Grunddaten!O550&lt;&gt;""),IF(Programme_Grunddaten!O550="Deutschland",0,IF(Programme_Grunddaten!O550="EU",1,2)),"")</f>
        <v/>
      </c>
      <c r="I545" s="1" t="str">
        <f>IF(AND(Programme_Grunddaten!$A550="Geprüft",Programme_Grunddaten!P550&lt;&gt;""),IF(Programme_Grunddaten!P550="Ja",1,0),"")</f>
        <v/>
      </c>
      <c r="J545" s="1" t="str">
        <f>IF(AND(Programme_Grunddaten!$A550="Geprüft",Programme_Grunddaten!Q550&lt;&gt;""),IF(Programme_Grunddaten!Q550="geschlossenes System",1,0),"")</f>
        <v/>
      </c>
      <c r="K545" s="1" t="str">
        <f>IF(AND(Programme_Grunddaten!$A550="Geprüft",Programme_Grunddaten!R550&lt;&gt;""),IF(Programme_Grunddaten!R550="Ja",1,0),"")</f>
        <v/>
      </c>
      <c r="L545" s="1" t="str">
        <f>IF(AND(Programme_Grunddaten!$A550="Geprüft",Programme_Grunddaten!T550&lt;&gt;""),IF(Programme_Grunddaten!T550="Ja",1,0),"")</f>
        <v/>
      </c>
      <c r="M545" s="1" t="str">
        <f>IF(AND(Programme_Grunddaten!$A550="Geprüft",Programme_Grunddaten!U550&lt;&gt;""),IF(Programme_Grunddaten!U550="Ja",1,0),"")</f>
        <v/>
      </c>
      <c r="N545" s="1" t="str">
        <f>IF(AND(Programme_Grunddaten!$A550="Geprüft",Programme_Grunddaten!V550&lt;&gt;""),IF(Programme_Grunddaten!V550="Ja",1,0),"")</f>
        <v/>
      </c>
      <c r="O545" s="1" t="str">
        <f>IF(AND(Programme_Grunddaten!$A550="Geprüft",Programme_Grunddaten!W550&lt;&gt;""),IF(Programme_Grunddaten!W550="Ja",1,0),"")</f>
        <v/>
      </c>
      <c r="P545" s="1" t="str">
        <f>IF(AND(Programme_Grunddaten!$A550="Geprüft",Programme_Grunddaten!X550&lt;&gt;""),IF(Programme_Grunddaten!X550="Ja",1,0),"")</f>
        <v/>
      </c>
      <c r="Q545" s="1" t="str">
        <f>IF(AND(Programme_Grunddaten!$A550="Geprüft",Programme_Grunddaten!Y550&lt;&gt;""),IF(Programme_Grunddaten!Y550="Ja",1,0),"")</f>
        <v/>
      </c>
      <c r="R545" s="1" t="str">
        <f>IF(AND(Programme_Grunddaten!$A550="Geprüft",Programme_Grunddaten!Z550&lt;&gt;""),IF(Programme_Grunddaten!Z550="Ja",1,0),"")</f>
        <v/>
      </c>
      <c r="S545" s="1" t="str">
        <f>IF(AND(Programme_Grunddaten!$A550="Geprüft",Programme_Grunddaten!AA550&lt;&gt;""),IF(Programme_Grunddaten!AA550="monolithisch",1,0),"")</f>
        <v/>
      </c>
      <c r="T545" s="1" t="str">
        <f>IF(AND(Programme_Grunddaten!$A550="Geprüft",Programme_Grunddaten!AB550&lt;&gt;""),IF(Programme_Grunddaten!AB550="Ja",1,0),"")</f>
        <v/>
      </c>
      <c r="U545" s="1" t="str">
        <f>IF(AND(Programme_Grunddaten!$A550="Geprüft",Programme_Grunddaten!AC550&lt;&gt;""),IF(Programme_Grunddaten!AC550="Ja",1,0),"")</f>
        <v/>
      </c>
      <c r="V545" s="1" t="str">
        <f>IF(AND(Programme_Grunddaten!$A550="Geprüft",Programme_Grunddaten!AD550&lt;&gt;""),IF(Programme_Grunddaten!AD550="Ja",1,0),"")</f>
        <v/>
      </c>
      <c r="W545" s="1" t="str">
        <f>IF(AND(Programme_Grunddaten!$A550="Geprüft",Programme_Grunddaten!AE550&lt;&gt;""),IF(Programme_Grunddaten!AE550="Ja",1,0),"")</f>
        <v/>
      </c>
      <c r="X545" s="1" t="str">
        <f>IF(AND(Programme_Grunddaten!$A550="Geprüft",Programme_Grunddaten!AF550&lt;&gt;""),IF(Programme_Grunddaten!AF550="Ja",1,0),"")</f>
        <v/>
      </c>
      <c r="Y545" s="1" t="str">
        <f>IF(AND(Programme_Grunddaten!$A550="Geprüft",Programme_Grunddaten!AG550&lt;&gt;""),IF(Programme_Grunddaten!AG550="Ja",1,0),"")</f>
        <v/>
      </c>
      <c r="Z545" s="1" t="str">
        <f>IF(AND(Programme_Grunddaten!$A550="Geprüft",Programme_Grunddaten!AH550&lt;&gt;""),IF(Programme_Grunddaten!AH550="Ja",1,0),"")</f>
        <v/>
      </c>
      <c r="AA545" s="1" t="str">
        <f>IF(AND(Programme_Grunddaten!$A550="Geprüft",Programme_Grunddaten!AI550&lt;&gt;""),IF(Programme_Grunddaten!AI550="Ja",1,0),"")</f>
        <v/>
      </c>
      <c r="AB545" s="1" t="str">
        <f>IF(AND(Programme_Grunddaten!$A550="Geprüft",Programme_Grunddaten!AJ550&lt;&gt;""),IF(Programme_Grunddaten!AJ550="individuell programmierbar",1,0),"")</f>
        <v/>
      </c>
      <c r="AC545" s="1" t="str">
        <f>IF(AND(Programme_Grunddaten!$A550="Geprüft",Programme_Grunddaten!AK550&lt;&gt;""),IF(Programme_Grunddaten!AK550="Deutsch",0,IF(Programme_Grunddaten!AK550="Deutsch und Englisch",1,2)),"")</f>
        <v/>
      </c>
      <c r="AD545" s="1" t="str">
        <f>IF(AND(Programme_Grunddaten!$A550="Geprüft",Programme_Grunddaten!AL550&lt;&gt;""),IF(Programme_Grunddaten!AL550="Ja",1,0),"")</f>
        <v/>
      </c>
      <c r="AE545" s="1" t="str">
        <f>IF(AND(Programme_Grunddaten!$A550="Geprüft",Programme_Grunddaten!AM550&lt;&gt;""),IF(Programme_Grunddaten!AM550="Ja",1,0),"")</f>
        <v/>
      </c>
      <c r="AF545" s="1" t="str">
        <f>IF(AND(Programme_Grunddaten!$A550="Geprüft",Programme_Grunddaten!AN550&lt;&gt;""),IF(Programme_Grunddaten!AN550="Ja",1,0),"")</f>
        <v/>
      </c>
      <c r="AG545" s="1" t="str">
        <f>IF(AND(Programme_Grunddaten!$A550="Geprüft",Programme_Grunddaten!AO550&lt;&gt;""),IF(Programme_Grunddaten!AO550="Ja",1,0),"")</f>
        <v/>
      </c>
      <c r="AH545" s="1" t="str">
        <f>IF(AND(Programme_Grunddaten!$A550="Geprüft",Programme_Grunddaten!AP550&lt;&gt;""),IF(Programme_Grunddaten!AP550="Ja",1,0),"")</f>
        <v/>
      </c>
      <c r="AI545" s="1" t="str">
        <f>IF(AND(Programme_Grunddaten!$A550="Geprüft",Programme_Grunddaten!AQ550&lt;&gt;""),IF(Programme_Grunddaten!AQ550="Ja",1,0),"")</f>
        <v/>
      </c>
      <c r="AJ545" s="1" t="str">
        <f>IF(AND(Programme_Grunddaten!$A550="Geprüft",Programme_Grunddaten!AR550&lt;&gt;""),IF(Programme_Grunddaten!AR550="Ja",1,0),"")</f>
        <v/>
      </c>
      <c r="AK545" s="1" t="str">
        <f>IF(AND(Programme_Grunddaten!$A550="Geprüft",Programme_Grunddaten!AS550&lt;&gt;""),IF(Programme_Grunddaten!AS550="Ja",1,0),"")</f>
        <v/>
      </c>
      <c r="AL545" s="1" t="str">
        <f>IF(AND(Programme_Grunddaten!$A550="Geprüft",Programme_Grunddaten!AT550&lt;&gt;""),IF(Programme_Grunddaten!AT550="Ja",1,0),"")</f>
        <v/>
      </c>
      <c r="AM545" s="1" t="str">
        <f>IF(AND(Programme_Grunddaten!$A550="Geprüft",Programme_Grunddaten!AU550&lt;&gt;""),IF(Programme_Grunddaten!AU550="Ja",1,0),"")</f>
        <v/>
      </c>
      <c r="AN545" s="1" t="str">
        <f>IF(AND(Programme_Grunddaten!$A550="Geprüft",Programme_Grunddaten!AV550&lt;&gt;""),IF(Programme_Grunddaten!AV550="Ja",1,0),"")</f>
        <v/>
      </c>
    </row>
    <row r="546" spans="1:40" x14ac:dyDescent="0.3">
      <c r="A546" s="1" t="str">
        <f>IF(AND(Programme_Grunddaten!A551="Geprüft",Programme_Grunddaten!B551&lt;&gt;""),Programme_Grunddaten!B551,"")</f>
        <v/>
      </c>
      <c r="B546" s="1" t="str">
        <f>IF(AND(Programme_Grunddaten!$A551="Geprüft",Programme_Grunddaten!I551&lt;&gt;""),IF(Programme_Grunddaten!I551="Ja",1,0),"")</f>
        <v/>
      </c>
      <c r="C546" s="1" t="str">
        <f>IF(AND(Programme_Grunddaten!$A551="Geprüft",Programme_Grunddaten!J551&lt;&gt;""),IF(Programme_Grunddaten!J551="Ja",1,0),"")</f>
        <v/>
      </c>
      <c r="D546" s="1" t="str">
        <f>IF(AND(Programme_Grunddaten!$A551="Geprüft",Programme_Grunddaten!K551&lt;&gt;""),IF(Programme_Grunddaten!K551="Ja",1,0),"")</f>
        <v/>
      </c>
      <c r="E546" s="1" t="str">
        <f>IF(AND(Programme_Grunddaten!$A551="Geprüft",Programme_Grunddaten!L551&lt;&gt;""),IF(Programme_Grunddaten!L551="Abo / befristete Lizenz",1,0),"")</f>
        <v/>
      </c>
      <c r="F546" s="1" t="str">
        <f>IF(AND(Programme_Grunddaten!$A551="Geprüft",Programme_Grunddaten!M551&lt;&gt;""),IF(Programme_Grunddaten!M551="Ja",1,0),"")</f>
        <v/>
      </c>
      <c r="G546" s="1" t="str">
        <f>IF(AND(Programme_Grunddaten!$A551="Geprüft",Programme_Grunddaten!N551&lt;&gt;""),IF(Programme_Grunddaten!N551="Ja",1,0),"")</f>
        <v/>
      </c>
      <c r="H546" s="1" t="str">
        <f>IF(AND(Programme_Grunddaten!$A551="Geprüft",Programme_Grunddaten!O551&lt;&gt;""),IF(Programme_Grunddaten!O551="Deutschland",0,IF(Programme_Grunddaten!O551="EU",1,2)),"")</f>
        <v/>
      </c>
      <c r="I546" s="1" t="str">
        <f>IF(AND(Programme_Grunddaten!$A551="Geprüft",Programme_Grunddaten!P551&lt;&gt;""),IF(Programme_Grunddaten!P551="Ja",1,0),"")</f>
        <v/>
      </c>
      <c r="J546" s="1" t="str">
        <f>IF(AND(Programme_Grunddaten!$A551="Geprüft",Programme_Grunddaten!Q551&lt;&gt;""),IF(Programme_Grunddaten!Q551="geschlossenes System",1,0),"")</f>
        <v/>
      </c>
      <c r="K546" s="1" t="str">
        <f>IF(AND(Programme_Grunddaten!$A551="Geprüft",Programme_Grunddaten!R551&lt;&gt;""),IF(Programme_Grunddaten!R551="Ja",1,0),"")</f>
        <v/>
      </c>
      <c r="L546" s="1" t="str">
        <f>IF(AND(Programme_Grunddaten!$A551="Geprüft",Programme_Grunddaten!T551&lt;&gt;""),IF(Programme_Grunddaten!T551="Ja",1,0),"")</f>
        <v/>
      </c>
      <c r="M546" s="1" t="str">
        <f>IF(AND(Programme_Grunddaten!$A551="Geprüft",Programme_Grunddaten!U551&lt;&gt;""),IF(Programme_Grunddaten!U551="Ja",1,0),"")</f>
        <v/>
      </c>
      <c r="N546" s="1" t="str">
        <f>IF(AND(Programme_Grunddaten!$A551="Geprüft",Programme_Grunddaten!V551&lt;&gt;""),IF(Programme_Grunddaten!V551="Ja",1,0),"")</f>
        <v/>
      </c>
      <c r="O546" s="1" t="str">
        <f>IF(AND(Programme_Grunddaten!$A551="Geprüft",Programme_Grunddaten!W551&lt;&gt;""),IF(Programme_Grunddaten!W551="Ja",1,0),"")</f>
        <v/>
      </c>
      <c r="P546" s="1" t="str">
        <f>IF(AND(Programme_Grunddaten!$A551="Geprüft",Programme_Grunddaten!X551&lt;&gt;""),IF(Programme_Grunddaten!X551="Ja",1,0),"")</f>
        <v/>
      </c>
      <c r="Q546" s="1" t="str">
        <f>IF(AND(Programme_Grunddaten!$A551="Geprüft",Programme_Grunddaten!Y551&lt;&gt;""),IF(Programme_Grunddaten!Y551="Ja",1,0),"")</f>
        <v/>
      </c>
      <c r="R546" s="1" t="str">
        <f>IF(AND(Programme_Grunddaten!$A551="Geprüft",Programme_Grunddaten!Z551&lt;&gt;""),IF(Programme_Grunddaten!Z551="Ja",1,0),"")</f>
        <v/>
      </c>
      <c r="S546" s="1" t="str">
        <f>IF(AND(Programme_Grunddaten!$A551="Geprüft",Programme_Grunddaten!AA551&lt;&gt;""),IF(Programme_Grunddaten!AA551="monolithisch",1,0),"")</f>
        <v/>
      </c>
      <c r="T546" s="1" t="str">
        <f>IF(AND(Programme_Grunddaten!$A551="Geprüft",Programme_Grunddaten!AB551&lt;&gt;""),IF(Programme_Grunddaten!AB551="Ja",1,0),"")</f>
        <v/>
      </c>
      <c r="U546" s="1" t="str">
        <f>IF(AND(Programme_Grunddaten!$A551="Geprüft",Programme_Grunddaten!AC551&lt;&gt;""),IF(Programme_Grunddaten!AC551="Ja",1,0),"")</f>
        <v/>
      </c>
      <c r="V546" s="1" t="str">
        <f>IF(AND(Programme_Grunddaten!$A551="Geprüft",Programme_Grunddaten!AD551&lt;&gt;""),IF(Programme_Grunddaten!AD551="Ja",1,0),"")</f>
        <v/>
      </c>
      <c r="W546" s="1" t="str">
        <f>IF(AND(Programme_Grunddaten!$A551="Geprüft",Programme_Grunddaten!AE551&lt;&gt;""),IF(Programme_Grunddaten!AE551="Ja",1,0),"")</f>
        <v/>
      </c>
      <c r="X546" s="1" t="str">
        <f>IF(AND(Programme_Grunddaten!$A551="Geprüft",Programme_Grunddaten!AF551&lt;&gt;""),IF(Programme_Grunddaten!AF551="Ja",1,0),"")</f>
        <v/>
      </c>
      <c r="Y546" s="1" t="str">
        <f>IF(AND(Programme_Grunddaten!$A551="Geprüft",Programme_Grunddaten!AG551&lt;&gt;""),IF(Programme_Grunddaten!AG551="Ja",1,0),"")</f>
        <v/>
      </c>
      <c r="Z546" s="1" t="str">
        <f>IF(AND(Programme_Grunddaten!$A551="Geprüft",Programme_Grunddaten!AH551&lt;&gt;""),IF(Programme_Grunddaten!AH551="Ja",1,0),"")</f>
        <v/>
      </c>
      <c r="AA546" s="1" t="str">
        <f>IF(AND(Programme_Grunddaten!$A551="Geprüft",Programme_Grunddaten!AI551&lt;&gt;""),IF(Programme_Grunddaten!AI551="Ja",1,0),"")</f>
        <v/>
      </c>
      <c r="AB546" s="1" t="str">
        <f>IF(AND(Programme_Grunddaten!$A551="Geprüft",Programme_Grunddaten!AJ551&lt;&gt;""),IF(Programme_Grunddaten!AJ551="individuell programmierbar",1,0),"")</f>
        <v/>
      </c>
      <c r="AC546" s="1" t="str">
        <f>IF(AND(Programme_Grunddaten!$A551="Geprüft",Programme_Grunddaten!AK551&lt;&gt;""),IF(Programme_Grunddaten!AK551="Deutsch",0,IF(Programme_Grunddaten!AK551="Deutsch und Englisch",1,2)),"")</f>
        <v/>
      </c>
      <c r="AD546" s="1" t="str">
        <f>IF(AND(Programme_Grunddaten!$A551="Geprüft",Programme_Grunddaten!AL551&lt;&gt;""),IF(Programme_Grunddaten!AL551="Ja",1,0),"")</f>
        <v/>
      </c>
      <c r="AE546" s="1" t="str">
        <f>IF(AND(Programme_Grunddaten!$A551="Geprüft",Programme_Grunddaten!AM551&lt;&gt;""),IF(Programme_Grunddaten!AM551="Ja",1,0),"")</f>
        <v/>
      </c>
      <c r="AF546" s="1" t="str">
        <f>IF(AND(Programme_Grunddaten!$A551="Geprüft",Programme_Grunddaten!AN551&lt;&gt;""),IF(Programme_Grunddaten!AN551="Ja",1,0),"")</f>
        <v/>
      </c>
      <c r="AG546" s="1" t="str">
        <f>IF(AND(Programme_Grunddaten!$A551="Geprüft",Programme_Grunddaten!AO551&lt;&gt;""),IF(Programme_Grunddaten!AO551="Ja",1,0),"")</f>
        <v/>
      </c>
      <c r="AH546" s="1" t="str">
        <f>IF(AND(Programme_Grunddaten!$A551="Geprüft",Programme_Grunddaten!AP551&lt;&gt;""),IF(Programme_Grunddaten!AP551="Ja",1,0),"")</f>
        <v/>
      </c>
      <c r="AI546" s="1" t="str">
        <f>IF(AND(Programme_Grunddaten!$A551="Geprüft",Programme_Grunddaten!AQ551&lt;&gt;""),IF(Programme_Grunddaten!AQ551="Ja",1,0),"")</f>
        <v/>
      </c>
      <c r="AJ546" s="1" t="str">
        <f>IF(AND(Programme_Grunddaten!$A551="Geprüft",Programme_Grunddaten!AR551&lt;&gt;""),IF(Programme_Grunddaten!AR551="Ja",1,0),"")</f>
        <v/>
      </c>
      <c r="AK546" s="1" t="str">
        <f>IF(AND(Programme_Grunddaten!$A551="Geprüft",Programme_Grunddaten!AS551&lt;&gt;""),IF(Programme_Grunddaten!AS551="Ja",1,0),"")</f>
        <v/>
      </c>
      <c r="AL546" s="1" t="str">
        <f>IF(AND(Programme_Grunddaten!$A551="Geprüft",Programme_Grunddaten!AT551&lt;&gt;""),IF(Programme_Grunddaten!AT551="Ja",1,0),"")</f>
        <v/>
      </c>
      <c r="AM546" s="1" t="str">
        <f>IF(AND(Programme_Grunddaten!$A551="Geprüft",Programme_Grunddaten!AU551&lt;&gt;""),IF(Programme_Grunddaten!AU551="Ja",1,0),"")</f>
        <v/>
      </c>
      <c r="AN546" s="1" t="str">
        <f>IF(AND(Programme_Grunddaten!$A551="Geprüft",Programme_Grunddaten!AV551&lt;&gt;""),IF(Programme_Grunddaten!AV551="Ja",1,0),"")</f>
        <v/>
      </c>
    </row>
    <row r="547" spans="1:40" x14ac:dyDescent="0.3">
      <c r="A547" s="1" t="str">
        <f>IF(AND(Programme_Grunddaten!A552="Geprüft",Programme_Grunddaten!B552&lt;&gt;""),Programme_Grunddaten!B552,"")</f>
        <v/>
      </c>
      <c r="B547" s="1" t="str">
        <f>IF(AND(Programme_Grunddaten!$A552="Geprüft",Programme_Grunddaten!I552&lt;&gt;""),IF(Programme_Grunddaten!I552="Ja",1,0),"")</f>
        <v/>
      </c>
      <c r="C547" s="1" t="str">
        <f>IF(AND(Programme_Grunddaten!$A552="Geprüft",Programme_Grunddaten!J552&lt;&gt;""),IF(Programme_Grunddaten!J552="Ja",1,0),"")</f>
        <v/>
      </c>
      <c r="D547" s="1" t="str">
        <f>IF(AND(Programme_Grunddaten!$A552="Geprüft",Programme_Grunddaten!K552&lt;&gt;""),IF(Programme_Grunddaten!K552="Ja",1,0),"")</f>
        <v/>
      </c>
      <c r="E547" s="1" t="str">
        <f>IF(AND(Programme_Grunddaten!$A552="Geprüft",Programme_Grunddaten!L552&lt;&gt;""),IF(Programme_Grunddaten!L552="Abo / befristete Lizenz",1,0),"")</f>
        <v/>
      </c>
      <c r="F547" s="1" t="str">
        <f>IF(AND(Programme_Grunddaten!$A552="Geprüft",Programme_Grunddaten!M552&lt;&gt;""),IF(Programme_Grunddaten!M552="Ja",1,0),"")</f>
        <v/>
      </c>
      <c r="G547" s="1" t="str">
        <f>IF(AND(Programme_Grunddaten!$A552="Geprüft",Programme_Grunddaten!N552&lt;&gt;""),IF(Programme_Grunddaten!N552="Ja",1,0),"")</f>
        <v/>
      </c>
      <c r="H547" s="1" t="str">
        <f>IF(AND(Programme_Grunddaten!$A552="Geprüft",Programme_Grunddaten!O552&lt;&gt;""),IF(Programme_Grunddaten!O552="Deutschland",0,IF(Programme_Grunddaten!O552="EU",1,2)),"")</f>
        <v/>
      </c>
      <c r="I547" s="1" t="str">
        <f>IF(AND(Programme_Grunddaten!$A552="Geprüft",Programme_Grunddaten!P552&lt;&gt;""),IF(Programme_Grunddaten!P552="Ja",1,0),"")</f>
        <v/>
      </c>
      <c r="J547" s="1" t="str">
        <f>IF(AND(Programme_Grunddaten!$A552="Geprüft",Programme_Grunddaten!Q552&lt;&gt;""),IF(Programme_Grunddaten!Q552="geschlossenes System",1,0),"")</f>
        <v/>
      </c>
      <c r="K547" s="1" t="str">
        <f>IF(AND(Programme_Grunddaten!$A552="Geprüft",Programme_Grunddaten!R552&lt;&gt;""),IF(Programme_Grunddaten!R552="Ja",1,0),"")</f>
        <v/>
      </c>
      <c r="L547" s="1" t="str">
        <f>IF(AND(Programme_Grunddaten!$A552="Geprüft",Programme_Grunddaten!T552&lt;&gt;""),IF(Programme_Grunddaten!T552="Ja",1,0),"")</f>
        <v/>
      </c>
      <c r="M547" s="1" t="str">
        <f>IF(AND(Programme_Grunddaten!$A552="Geprüft",Programme_Grunddaten!U552&lt;&gt;""),IF(Programme_Grunddaten!U552="Ja",1,0),"")</f>
        <v/>
      </c>
      <c r="N547" s="1" t="str">
        <f>IF(AND(Programme_Grunddaten!$A552="Geprüft",Programme_Grunddaten!V552&lt;&gt;""),IF(Programme_Grunddaten!V552="Ja",1,0),"")</f>
        <v/>
      </c>
      <c r="O547" s="1" t="str">
        <f>IF(AND(Programme_Grunddaten!$A552="Geprüft",Programme_Grunddaten!W552&lt;&gt;""),IF(Programme_Grunddaten!W552="Ja",1,0),"")</f>
        <v/>
      </c>
      <c r="P547" s="1" t="str">
        <f>IF(AND(Programme_Grunddaten!$A552="Geprüft",Programme_Grunddaten!X552&lt;&gt;""),IF(Programme_Grunddaten!X552="Ja",1,0),"")</f>
        <v/>
      </c>
      <c r="Q547" s="1" t="str">
        <f>IF(AND(Programme_Grunddaten!$A552="Geprüft",Programme_Grunddaten!Y552&lt;&gt;""),IF(Programme_Grunddaten!Y552="Ja",1,0),"")</f>
        <v/>
      </c>
      <c r="R547" s="1" t="str">
        <f>IF(AND(Programme_Grunddaten!$A552="Geprüft",Programme_Grunddaten!Z552&lt;&gt;""),IF(Programme_Grunddaten!Z552="Ja",1,0),"")</f>
        <v/>
      </c>
      <c r="S547" s="1" t="str">
        <f>IF(AND(Programme_Grunddaten!$A552="Geprüft",Programme_Grunddaten!AA552&lt;&gt;""),IF(Programme_Grunddaten!AA552="monolithisch",1,0),"")</f>
        <v/>
      </c>
      <c r="T547" s="1" t="str">
        <f>IF(AND(Programme_Grunddaten!$A552="Geprüft",Programme_Grunddaten!AB552&lt;&gt;""),IF(Programme_Grunddaten!AB552="Ja",1,0),"")</f>
        <v/>
      </c>
      <c r="U547" s="1" t="str">
        <f>IF(AND(Programme_Grunddaten!$A552="Geprüft",Programme_Grunddaten!AC552&lt;&gt;""),IF(Programme_Grunddaten!AC552="Ja",1,0),"")</f>
        <v/>
      </c>
      <c r="V547" s="1" t="str">
        <f>IF(AND(Programme_Grunddaten!$A552="Geprüft",Programme_Grunddaten!AD552&lt;&gt;""),IF(Programme_Grunddaten!AD552="Ja",1,0),"")</f>
        <v/>
      </c>
      <c r="W547" s="1" t="str">
        <f>IF(AND(Programme_Grunddaten!$A552="Geprüft",Programme_Grunddaten!AE552&lt;&gt;""),IF(Programme_Grunddaten!AE552="Ja",1,0),"")</f>
        <v/>
      </c>
      <c r="X547" s="1" t="str">
        <f>IF(AND(Programme_Grunddaten!$A552="Geprüft",Programme_Grunddaten!AF552&lt;&gt;""),IF(Programme_Grunddaten!AF552="Ja",1,0),"")</f>
        <v/>
      </c>
      <c r="Y547" s="1" t="str">
        <f>IF(AND(Programme_Grunddaten!$A552="Geprüft",Programme_Grunddaten!AG552&lt;&gt;""),IF(Programme_Grunddaten!AG552="Ja",1,0),"")</f>
        <v/>
      </c>
      <c r="Z547" s="1" t="str">
        <f>IF(AND(Programme_Grunddaten!$A552="Geprüft",Programme_Grunddaten!AH552&lt;&gt;""),IF(Programme_Grunddaten!AH552="Ja",1,0),"")</f>
        <v/>
      </c>
      <c r="AA547" s="1" t="str">
        <f>IF(AND(Programme_Grunddaten!$A552="Geprüft",Programme_Grunddaten!AI552&lt;&gt;""),IF(Programme_Grunddaten!AI552="Ja",1,0),"")</f>
        <v/>
      </c>
      <c r="AB547" s="1" t="str">
        <f>IF(AND(Programme_Grunddaten!$A552="Geprüft",Programme_Grunddaten!AJ552&lt;&gt;""),IF(Programme_Grunddaten!AJ552="individuell programmierbar",1,0),"")</f>
        <v/>
      </c>
      <c r="AC547" s="1" t="str">
        <f>IF(AND(Programme_Grunddaten!$A552="Geprüft",Programme_Grunddaten!AK552&lt;&gt;""),IF(Programme_Grunddaten!AK552="Deutsch",0,IF(Programme_Grunddaten!AK552="Deutsch und Englisch",1,2)),"")</f>
        <v/>
      </c>
      <c r="AD547" s="1" t="str">
        <f>IF(AND(Programme_Grunddaten!$A552="Geprüft",Programme_Grunddaten!AL552&lt;&gt;""),IF(Programme_Grunddaten!AL552="Ja",1,0),"")</f>
        <v/>
      </c>
      <c r="AE547" s="1" t="str">
        <f>IF(AND(Programme_Grunddaten!$A552="Geprüft",Programme_Grunddaten!AM552&lt;&gt;""),IF(Programme_Grunddaten!AM552="Ja",1,0),"")</f>
        <v/>
      </c>
      <c r="AF547" s="1" t="str">
        <f>IF(AND(Programme_Grunddaten!$A552="Geprüft",Programme_Grunddaten!AN552&lt;&gt;""),IF(Programme_Grunddaten!AN552="Ja",1,0),"")</f>
        <v/>
      </c>
      <c r="AG547" s="1" t="str">
        <f>IF(AND(Programme_Grunddaten!$A552="Geprüft",Programme_Grunddaten!AO552&lt;&gt;""),IF(Programme_Grunddaten!AO552="Ja",1,0),"")</f>
        <v/>
      </c>
      <c r="AH547" s="1" t="str">
        <f>IF(AND(Programme_Grunddaten!$A552="Geprüft",Programme_Grunddaten!AP552&lt;&gt;""),IF(Programme_Grunddaten!AP552="Ja",1,0),"")</f>
        <v/>
      </c>
      <c r="AI547" s="1" t="str">
        <f>IF(AND(Programme_Grunddaten!$A552="Geprüft",Programme_Grunddaten!AQ552&lt;&gt;""),IF(Programme_Grunddaten!AQ552="Ja",1,0),"")</f>
        <v/>
      </c>
      <c r="AJ547" s="1" t="str">
        <f>IF(AND(Programme_Grunddaten!$A552="Geprüft",Programme_Grunddaten!AR552&lt;&gt;""),IF(Programme_Grunddaten!AR552="Ja",1,0),"")</f>
        <v/>
      </c>
      <c r="AK547" s="1" t="str">
        <f>IF(AND(Programme_Grunddaten!$A552="Geprüft",Programme_Grunddaten!AS552&lt;&gt;""),IF(Programme_Grunddaten!AS552="Ja",1,0),"")</f>
        <v/>
      </c>
      <c r="AL547" s="1" t="str">
        <f>IF(AND(Programme_Grunddaten!$A552="Geprüft",Programme_Grunddaten!AT552&lt;&gt;""),IF(Programme_Grunddaten!AT552="Ja",1,0),"")</f>
        <v/>
      </c>
      <c r="AM547" s="1" t="str">
        <f>IF(AND(Programme_Grunddaten!$A552="Geprüft",Programme_Grunddaten!AU552&lt;&gt;""),IF(Programme_Grunddaten!AU552="Ja",1,0),"")</f>
        <v/>
      </c>
      <c r="AN547" s="1" t="str">
        <f>IF(AND(Programme_Grunddaten!$A552="Geprüft",Programme_Grunddaten!AV552&lt;&gt;""),IF(Programme_Grunddaten!AV552="Ja",1,0),"")</f>
        <v/>
      </c>
    </row>
    <row r="548" spans="1:40" x14ac:dyDescent="0.3">
      <c r="A548" s="1" t="str">
        <f>IF(AND(Programme_Grunddaten!A553="Geprüft",Programme_Grunddaten!B553&lt;&gt;""),Programme_Grunddaten!B553,"")</f>
        <v/>
      </c>
      <c r="B548" s="1" t="str">
        <f>IF(AND(Programme_Grunddaten!$A553="Geprüft",Programme_Grunddaten!I553&lt;&gt;""),IF(Programme_Grunddaten!I553="Ja",1,0),"")</f>
        <v/>
      </c>
      <c r="C548" s="1" t="str">
        <f>IF(AND(Programme_Grunddaten!$A553="Geprüft",Programme_Grunddaten!J553&lt;&gt;""),IF(Programme_Grunddaten!J553="Ja",1,0),"")</f>
        <v/>
      </c>
      <c r="D548" s="1" t="str">
        <f>IF(AND(Programme_Grunddaten!$A553="Geprüft",Programme_Grunddaten!K553&lt;&gt;""),IF(Programme_Grunddaten!K553="Ja",1,0),"")</f>
        <v/>
      </c>
      <c r="E548" s="1" t="str">
        <f>IF(AND(Programme_Grunddaten!$A553="Geprüft",Programme_Grunddaten!L553&lt;&gt;""),IF(Programme_Grunddaten!L553="Abo / befristete Lizenz",1,0),"")</f>
        <v/>
      </c>
      <c r="F548" s="1" t="str">
        <f>IF(AND(Programme_Grunddaten!$A553="Geprüft",Programme_Grunddaten!M553&lt;&gt;""),IF(Programme_Grunddaten!M553="Ja",1,0),"")</f>
        <v/>
      </c>
      <c r="G548" s="1" t="str">
        <f>IF(AND(Programme_Grunddaten!$A553="Geprüft",Programme_Grunddaten!N553&lt;&gt;""),IF(Programme_Grunddaten!N553="Ja",1,0),"")</f>
        <v/>
      </c>
      <c r="H548" s="1" t="str">
        <f>IF(AND(Programme_Grunddaten!$A553="Geprüft",Programme_Grunddaten!O553&lt;&gt;""),IF(Programme_Grunddaten!O553="Deutschland",0,IF(Programme_Grunddaten!O553="EU",1,2)),"")</f>
        <v/>
      </c>
      <c r="I548" s="1" t="str">
        <f>IF(AND(Programme_Grunddaten!$A553="Geprüft",Programme_Grunddaten!P553&lt;&gt;""),IF(Programme_Grunddaten!P553="Ja",1,0),"")</f>
        <v/>
      </c>
      <c r="J548" s="1" t="str">
        <f>IF(AND(Programme_Grunddaten!$A553="Geprüft",Programme_Grunddaten!Q553&lt;&gt;""),IF(Programme_Grunddaten!Q553="geschlossenes System",1,0),"")</f>
        <v/>
      </c>
      <c r="K548" s="1" t="str">
        <f>IF(AND(Programme_Grunddaten!$A553="Geprüft",Programme_Grunddaten!R553&lt;&gt;""),IF(Programme_Grunddaten!R553="Ja",1,0),"")</f>
        <v/>
      </c>
      <c r="L548" s="1" t="str">
        <f>IF(AND(Programme_Grunddaten!$A553="Geprüft",Programme_Grunddaten!T553&lt;&gt;""),IF(Programme_Grunddaten!T553="Ja",1,0),"")</f>
        <v/>
      </c>
      <c r="M548" s="1" t="str">
        <f>IF(AND(Programme_Grunddaten!$A553="Geprüft",Programme_Grunddaten!U553&lt;&gt;""),IF(Programme_Grunddaten!U553="Ja",1,0),"")</f>
        <v/>
      </c>
      <c r="N548" s="1" t="str">
        <f>IF(AND(Programme_Grunddaten!$A553="Geprüft",Programme_Grunddaten!V553&lt;&gt;""),IF(Programme_Grunddaten!V553="Ja",1,0),"")</f>
        <v/>
      </c>
      <c r="O548" s="1" t="str">
        <f>IF(AND(Programme_Grunddaten!$A553="Geprüft",Programme_Grunddaten!W553&lt;&gt;""),IF(Programme_Grunddaten!W553="Ja",1,0),"")</f>
        <v/>
      </c>
      <c r="P548" s="1" t="str">
        <f>IF(AND(Programme_Grunddaten!$A553="Geprüft",Programme_Grunddaten!X553&lt;&gt;""),IF(Programme_Grunddaten!X553="Ja",1,0),"")</f>
        <v/>
      </c>
      <c r="Q548" s="1" t="str">
        <f>IF(AND(Programme_Grunddaten!$A553="Geprüft",Programme_Grunddaten!Y553&lt;&gt;""),IF(Programme_Grunddaten!Y553="Ja",1,0),"")</f>
        <v/>
      </c>
      <c r="R548" s="1" t="str">
        <f>IF(AND(Programme_Grunddaten!$A553="Geprüft",Programme_Grunddaten!Z553&lt;&gt;""),IF(Programme_Grunddaten!Z553="Ja",1,0),"")</f>
        <v/>
      </c>
      <c r="S548" s="1" t="str">
        <f>IF(AND(Programme_Grunddaten!$A553="Geprüft",Programme_Grunddaten!AA553&lt;&gt;""),IF(Programme_Grunddaten!AA553="monolithisch",1,0),"")</f>
        <v/>
      </c>
      <c r="T548" s="1" t="str">
        <f>IF(AND(Programme_Grunddaten!$A553="Geprüft",Programme_Grunddaten!AB553&lt;&gt;""),IF(Programme_Grunddaten!AB553="Ja",1,0),"")</f>
        <v/>
      </c>
      <c r="U548" s="1" t="str">
        <f>IF(AND(Programme_Grunddaten!$A553="Geprüft",Programme_Grunddaten!AC553&lt;&gt;""),IF(Programme_Grunddaten!AC553="Ja",1,0),"")</f>
        <v/>
      </c>
      <c r="V548" s="1" t="str">
        <f>IF(AND(Programme_Grunddaten!$A553="Geprüft",Programme_Grunddaten!AD553&lt;&gt;""),IF(Programme_Grunddaten!AD553="Ja",1,0),"")</f>
        <v/>
      </c>
      <c r="W548" s="1" t="str">
        <f>IF(AND(Programme_Grunddaten!$A553="Geprüft",Programme_Grunddaten!AE553&lt;&gt;""),IF(Programme_Grunddaten!AE553="Ja",1,0),"")</f>
        <v/>
      </c>
      <c r="X548" s="1" t="str">
        <f>IF(AND(Programme_Grunddaten!$A553="Geprüft",Programme_Grunddaten!AF553&lt;&gt;""),IF(Programme_Grunddaten!AF553="Ja",1,0),"")</f>
        <v/>
      </c>
      <c r="Y548" s="1" t="str">
        <f>IF(AND(Programme_Grunddaten!$A553="Geprüft",Programme_Grunddaten!AG553&lt;&gt;""),IF(Programme_Grunddaten!AG553="Ja",1,0),"")</f>
        <v/>
      </c>
      <c r="Z548" s="1" t="str">
        <f>IF(AND(Programme_Grunddaten!$A553="Geprüft",Programme_Grunddaten!AH553&lt;&gt;""),IF(Programme_Grunddaten!AH553="Ja",1,0),"")</f>
        <v/>
      </c>
      <c r="AA548" s="1" t="str">
        <f>IF(AND(Programme_Grunddaten!$A553="Geprüft",Programme_Grunddaten!AI553&lt;&gt;""),IF(Programme_Grunddaten!AI553="Ja",1,0),"")</f>
        <v/>
      </c>
      <c r="AB548" s="1" t="str">
        <f>IF(AND(Programme_Grunddaten!$A553="Geprüft",Programme_Grunddaten!AJ553&lt;&gt;""),IF(Programme_Grunddaten!AJ553="individuell programmierbar",1,0),"")</f>
        <v/>
      </c>
      <c r="AC548" s="1" t="str">
        <f>IF(AND(Programme_Grunddaten!$A553="Geprüft",Programme_Grunddaten!AK553&lt;&gt;""),IF(Programme_Grunddaten!AK553="Deutsch",0,IF(Programme_Grunddaten!AK553="Deutsch und Englisch",1,2)),"")</f>
        <v/>
      </c>
      <c r="AD548" s="1" t="str">
        <f>IF(AND(Programme_Grunddaten!$A553="Geprüft",Programme_Grunddaten!AL553&lt;&gt;""),IF(Programme_Grunddaten!AL553="Ja",1,0),"")</f>
        <v/>
      </c>
      <c r="AE548" s="1" t="str">
        <f>IF(AND(Programme_Grunddaten!$A553="Geprüft",Programme_Grunddaten!AM553&lt;&gt;""),IF(Programme_Grunddaten!AM553="Ja",1,0),"")</f>
        <v/>
      </c>
      <c r="AF548" s="1" t="str">
        <f>IF(AND(Programme_Grunddaten!$A553="Geprüft",Programme_Grunddaten!AN553&lt;&gt;""),IF(Programme_Grunddaten!AN553="Ja",1,0),"")</f>
        <v/>
      </c>
      <c r="AG548" s="1" t="str">
        <f>IF(AND(Programme_Grunddaten!$A553="Geprüft",Programme_Grunddaten!AO553&lt;&gt;""),IF(Programme_Grunddaten!AO553="Ja",1,0),"")</f>
        <v/>
      </c>
      <c r="AH548" s="1" t="str">
        <f>IF(AND(Programme_Grunddaten!$A553="Geprüft",Programme_Grunddaten!AP553&lt;&gt;""),IF(Programme_Grunddaten!AP553="Ja",1,0),"")</f>
        <v/>
      </c>
      <c r="AI548" s="1" t="str">
        <f>IF(AND(Programme_Grunddaten!$A553="Geprüft",Programme_Grunddaten!AQ553&lt;&gt;""),IF(Programme_Grunddaten!AQ553="Ja",1,0),"")</f>
        <v/>
      </c>
      <c r="AJ548" s="1" t="str">
        <f>IF(AND(Programme_Grunddaten!$A553="Geprüft",Programme_Grunddaten!AR553&lt;&gt;""),IF(Programme_Grunddaten!AR553="Ja",1,0),"")</f>
        <v/>
      </c>
      <c r="AK548" s="1" t="str">
        <f>IF(AND(Programme_Grunddaten!$A553="Geprüft",Programme_Grunddaten!AS553&lt;&gt;""),IF(Programme_Grunddaten!AS553="Ja",1,0),"")</f>
        <v/>
      </c>
      <c r="AL548" s="1" t="str">
        <f>IF(AND(Programme_Grunddaten!$A553="Geprüft",Programme_Grunddaten!AT553&lt;&gt;""),IF(Programme_Grunddaten!AT553="Ja",1,0),"")</f>
        <v/>
      </c>
      <c r="AM548" s="1" t="str">
        <f>IF(AND(Programme_Grunddaten!$A553="Geprüft",Programme_Grunddaten!AU553&lt;&gt;""),IF(Programme_Grunddaten!AU553="Ja",1,0),"")</f>
        <v/>
      </c>
      <c r="AN548" s="1" t="str">
        <f>IF(AND(Programme_Grunddaten!$A553="Geprüft",Programme_Grunddaten!AV553&lt;&gt;""),IF(Programme_Grunddaten!AV553="Ja",1,0),"")</f>
        <v/>
      </c>
    </row>
    <row r="549" spans="1:40" x14ac:dyDescent="0.3">
      <c r="A549" s="1" t="str">
        <f>IF(AND(Programme_Grunddaten!A554="Geprüft",Programme_Grunddaten!B554&lt;&gt;""),Programme_Grunddaten!B554,"")</f>
        <v/>
      </c>
      <c r="B549" s="1" t="str">
        <f>IF(AND(Programme_Grunddaten!$A554="Geprüft",Programme_Grunddaten!I554&lt;&gt;""),IF(Programme_Grunddaten!I554="Ja",1,0),"")</f>
        <v/>
      </c>
      <c r="C549" s="1" t="str">
        <f>IF(AND(Programme_Grunddaten!$A554="Geprüft",Programme_Grunddaten!J554&lt;&gt;""),IF(Programme_Grunddaten!J554="Ja",1,0),"")</f>
        <v/>
      </c>
      <c r="D549" s="1" t="str">
        <f>IF(AND(Programme_Grunddaten!$A554="Geprüft",Programme_Grunddaten!K554&lt;&gt;""),IF(Programme_Grunddaten!K554="Ja",1,0),"")</f>
        <v/>
      </c>
      <c r="E549" s="1" t="str">
        <f>IF(AND(Programme_Grunddaten!$A554="Geprüft",Programme_Grunddaten!L554&lt;&gt;""),IF(Programme_Grunddaten!L554="Abo / befristete Lizenz",1,0),"")</f>
        <v/>
      </c>
      <c r="F549" s="1" t="str">
        <f>IF(AND(Programme_Grunddaten!$A554="Geprüft",Programme_Grunddaten!M554&lt;&gt;""),IF(Programme_Grunddaten!M554="Ja",1,0),"")</f>
        <v/>
      </c>
      <c r="G549" s="1" t="str">
        <f>IF(AND(Programme_Grunddaten!$A554="Geprüft",Programme_Grunddaten!N554&lt;&gt;""),IF(Programme_Grunddaten!N554="Ja",1,0),"")</f>
        <v/>
      </c>
      <c r="H549" s="1" t="str">
        <f>IF(AND(Programme_Grunddaten!$A554="Geprüft",Programme_Grunddaten!O554&lt;&gt;""),IF(Programme_Grunddaten!O554="Deutschland",0,IF(Programme_Grunddaten!O554="EU",1,2)),"")</f>
        <v/>
      </c>
      <c r="I549" s="1" t="str">
        <f>IF(AND(Programme_Grunddaten!$A554="Geprüft",Programme_Grunddaten!P554&lt;&gt;""),IF(Programme_Grunddaten!P554="Ja",1,0),"")</f>
        <v/>
      </c>
      <c r="J549" s="1" t="str">
        <f>IF(AND(Programme_Grunddaten!$A554="Geprüft",Programme_Grunddaten!Q554&lt;&gt;""),IF(Programme_Grunddaten!Q554="geschlossenes System",1,0),"")</f>
        <v/>
      </c>
      <c r="K549" s="1" t="str">
        <f>IF(AND(Programme_Grunddaten!$A554="Geprüft",Programme_Grunddaten!R554&lt;&gt;""),IF(Programme_Grunddaten!R554="Ja",1,0),"")</f>
        <v/>
      </c>
      <c r="L549" s="1" t="str">
        <f>IF(AND(Programme_Grunddaten!$A554="Geprüft",Programme_Grunddaten!T554&lt;&gt;""),IF(Programme_Grunddaten!T554="Ja",1,0),"")</f>
        <v/>
      </c>
      <c r="M549" s="1" t="str">
        <f>IF(AND(Programme_Grunddaten!$A554="Geprüft",Programme_Grunddaten!U554&lt;&gt;""),IF(Programme_Grunddaten!U554="Ja",1,0),"")</f>
        <v/>
      </c>
      <c r="N549" s="1" t="str">
        <f>IF(AND(Programme_Grunddaten!$A554="Geprüft",Programme_Grunddaten!V554&lt;&gt;""),IF(Programme_Grunddaten!V554="Ja",1,0),"")</f>
        <v/>
      </c>
      <c r="O549" s="1" t="str">
        <f>IF(AND(Programme_Grunddaten!$A554="Geprüft",Programme_Grunddaten!W554&lt;&gt;""),IF(Programme_Grunddaten!W554="Ja",1,0),"")</f>
        <v/>
      </c>
      <c r="P549" s="1" t="str">
        <f>IF(AND(Programme_Grunddaten!$A554="Geprüft",Programme_Grunddaten!X554&lt;&gt;""),IF(Programme_Grunddaten!X554="Ja",1,0),"")</f>
        <v/>
      </c>
      <c r="Q549" s="1" t="str">
        <f>IF(AND(Programme_Grunddaten!$A554="Geprüft",Programme_Grunddaten!Y554&lt;&gt;""),IF(Programme_Grunddaten!Y554="Ja",1,0),"")</f>
        <v/>
      </c>
      <c r="R549" s="1" t="str">
        <f>IF(AND(Programme_Grunddaten!$A554="Geprüft",Programme_Grunddaten!Z554&lt;&gt;""),IF(Programme_Grunddaten!Z554="Ja",1,0),"")</f>
        <v/>
      </c>
      <c r="S549" s="1" t="str">
        <f>IF(AND(Programme_Grunddaten!$A554="Geprüft",Programme_Grunddaten!AA554&lt;&gt;""),IF(Programme_Grunddaten!AA554="monolithisch",1,0),"")</f>
        <v/>
      </c>
      <c r="T549" s="1" t="str">
        <f>IF(AND(Programme_Grunddaten!$A554="Geprüft",Programme_Grunddaten!AB554&lt;&gt;""),IF(Programme_Grunddaten!AB554="Ja",1,0),"")</f>
        <v/>
      </c>
      <c r="U549" s="1" t="str">
        <f>IF(AND(Programme_Grunddaten!$A554="Geprüft",Programme_Grunddaten!AC554&lt;&gt;""),IF(Programme_Grunddaten!AC554="Ja",1,0),"")</f>
        <v/>
      </c>
      <c r="V549" s="1" t="str">
        <f>IF(AND(Programme_Grunddaten!$A554="Geprüft",Programme_Grunddaten!AD554&lt;&gt;""),IF(Programme_Grunddaten!AD554="Ja",1,0),"")</f>
        <v/>
      </c>
      <c r="W549" s="1" t="str">
        <f>IF(AND(Programme_Grunddaten!$A554="Geprüft",Programme_Grunddaten!AE554&lt;&gt;""),IF(Programme_Grunddaten!AE554="Ja",1,0),"")</f>
        <v/>
      </c>
      <c r="X549" s="1" t="str">
        <f>IF(AND(Programme_Grunddaten!$A554="Geprüft",Programme_Grunddaten!AF554&lt;&gt;""),IF(Programme_Grunddaten!AF554="Ja",1,0),"")</f>
        <v/>
      </c>
      <c r="Y549" s="1" t="str">
        <f>IF(AND(Programme_Grunddaten!$A554="Geprüft",Programme_Grunddaten!AG554&lt;&gt;""),IF(Programme_Grunddaten!AG554="Ja",1,0),"")</f>
        <v/>
      </c>
      <c r="Z549" s="1" t="str">
        <f>IF(AND(Programme_Grunddaten!$A554="Geprüft",Programme_Grunddaten!AH554&lt;&gt;""),IF(Programme_Grunddaten!AH554="Ja",1,0),"")</f>
        <v/>
      </c>
      <c r="AA549" s="1" t="str">
        <f>IF(AND(Programme_Grunddaten!$A554="Geprüft",Programme_Grunddaten!AI554&lt;&gt;""),IF(Programme_Grunddaten!AI554="Ja",1,0),"")</f>
        <v/>
      </c>
      <c r="AB549" s="1" t="str">
        <f>IF(AND(Programme_Grunddaten!$A554="Geprüft",Programme_Grunddaten!AJ554&lt;&gt;""),IF(Programme_Grunddaten!AJ554="individuell programmierbar",1,0),"")</f>
        <v/>
      </c>
      <c r="AC549" s="1" t="str">
        <f>IF(AND(Programme_Grunddaten!$A554="Geprüft",Programme_Grunddaten!AK554&lt;&gt;""),IF(Programme_Grunddaten!AK554="Deutsch",0,IF(Programme_Grunddaten!AK554="Deutsch und Englisch",1,2)),"")</f>
        <v/>
      </c>
      <c r="AD549" s="1" t="str">
        <f>IF(AND(Programme_Grunddaten!$A554="Geprüft",Programme_Grunddaten!AL554&lt;&gt;""),IF(Programme_Grunddaten!AL554="Ja",1,0),"")</f>
        <v/>
      </c>
      <c r="AE549" s="1" t="str">
        <f>IF(AND(Programme_Grunddaten!$A554="Geprüft",Programme_Grunddaten!AM554&lt;&gt;""),IF(Programme_Grunddaten!AM554="Ja",1,0),"")</f>
        <v/>
      </c>
      <c r="AF549" s="1" t="str">
        <f>IF(AND(Programme_Grunddaten!$A554="Geprüft",Programme_Grunddaten!AN554&lt;&gt;""),IF(Programme_Grunddaten!AN554="Ja",1,0),"")</f>
        <v/>
      </c>
      <c r="AG549" s="1" t="str">
        <f>IF(AND(Programme_Grunddaten!$A554="Geprüft",Programme_Grunddaten!AO554&lt;&gt;""),IF(Programme_Grunddaten!AO554="Ja",1,0),"")</f>
        <v/>
      </c>
      <c r="AH549" s="1" t="str">
        <f>IF(AND(Programme_Grunddaten!$A554="Geprüft",Programme_Grunddaten!AP554&lt;&gt;""),IF(Programme_Grunddaten!AP554="Ja",1,0),"")</f>
        <v/>
      </c>
      <c r="AI549" s="1" t="str">
        <f>IF(AND(Programme_Grunddaten!$A554="Geprüft",Programme_Grunddaten!AQ554&lt;&gt;""),IF(Programme_Grunddaten!AQ554="Ja",1,0),"")</f>
        <v/>
      </c>
      <c r="AJ549" s="1" t="str">
        <f>IF(AND(Programme_Grunddaten!$A554="Geprüft",Programme_Grunddaten!AR554&lt;&gt;""),IF(Programme_Grunddaten!AR554="Ja",1,0),"")</f>
        <v/>
      </c>
      <c r="AK549" s="1" t="str">
        <f>IF(AND(Programme_Grunddaten!$A554="Geprüft",Programme_Grunddaten!AS554&lt;&gt;""),IF(Programme_Grunddaten!AS554="Ja",1,0),"")</f>
        <v/>
      </c>
      <c r="AL549" s="1" t="str">
        <f>IF(AND(Programme_Grunddaten!$A554="Geprüft",Programme_Grunddaten!AT554&lt;&gt;""),IF(Programme_Grunddaten!AT554="Ja",1,0),"")</f>
        <v/>
      </c>
      <c r="AM549" s="1" t="str">
        <f>IF(AND(Programme_Grunddaten!$A554="Geprüft",Programme_Grunddaten!AU554&lt;&gt;""),IF(Programme_Grunddaten!AU554="Ja",1,0),"")</f>
        <v/>
      </c>
      <c r="AN549" s="1" t="str">
        <f>IF(AND(Programme_Grunddaten!$A554="Geprüft",Programme_Grunddaten!AV554&lt;&gt;""),IF(Programme_Grunddaten!AV554="Ja",1,0),"")</f>
        <v/>
      </c>
    </row>
    <row r="550" spans="1:40" x14ac:dyDescent="0.3">
      <c r="A550" s="1" t="str">
        <f>IF(AND(Programme_Grunddaten!A555="Geprüft",Programme_Grunddaten!B555&lt;&gt;""),Programme_Grunddaten!B555,"")</f>
        <v/>
      </c>
      <c r="B550" s="1" t="str">
        <f>IF(AND(Programme_Grunddaten!$A555="Geprüft",Programme_Grunddaten!I555&lt;&gt;""),IF(Programme_Grunddaten!I555="Ja",1,0),"")</f>
        <v/>
      </c>
      <c r="C550" s="1" t="str">
        <f>IF(AND(Programme_Grunddaten!$A555="Geprüft",Programme_Grunddaten!J555&lt;&gt;""),IF(Programme_Grunddaten!J555="Ja",1,0),"")</f>
        <v/>
      </c>
      <c r="D550" s="1" t="str">
        <f>IF(AND(Programme_Grunddaten!$A555="Geprüft",Programme_Grunddaten!K555&lt;&gt;""),IF(Programme_Grunddaten!K555="Ja",1,0),"")</f>
        <v/>
      </c>
      <c r="E550" s="1" t="str">
        <f>IF(AND(Programme_Grunddaten!$A555="Geprüft",Programme_Grunddaten!L555&lt;&gt;""),IF(Programme_Grunddaten!L555="Abo / befristete Lizenz",1,0),"")</f>
        <v/>
      </c>
      <c r="F550" s="1" t="str">
        <f>IF(AND(Programme_Grunddaten!$A555="Geprüft",Programme_Grunddaten!M555&lt;&gt;""),IF(Programme_Grunddaten!M555="Ja",1,0),"")</f>
        <v/>
      </c>
      <c r="G550" s="1" t="str">
        <f>IF(AND(Programme_Grunddaten!$A555="Geprüft",Programme_Grunddaten!N555&lt;&gt;""),IF(Programme_Grunddaten!N555="Ja",1,0),"")</f>
        <v/>
      </c>
      <c r="H550" s="1" t="str">
        <f>IF(AND(Programme_Grunddaten!$A555="Geprüft",Programme_Grunddaten!O555&lt;&gt;""),IF(Programme_Grunddaten!O555="Deutschland",0,IF(Programme_Grunddaten!O555="EU",1,2)),"")</f>
        <v/>
      </c>
      <c r="I550" s="1" t="str">
        <f>IF(AND(Programme_Grunddaten!$A555="Geprüft",Programme_Grunddaten!P555&lt;&gt;""),IF(Programme_Grunddaten!P555="Ja",1,0),"")</f>
        <v/>
      </c>
      <c r="J550" s="1" t="str">
        <f>IF(AND(Programme_Grunddaten!$A555="Geprüft",Programme_Grunddaten!Q555&lt;&gt;""),IF(Programme_Grunddaten!Q555="geschlossenes System",1,0),"")</f>
        <v/>
      </c>
      <c r="K550" s="1" t="str">
        <f>IF(AND(Programme_Grunddaten!$A555="Geprüft",Programme_Grunddaten!R555&lt;&gt;""),IF(Programme_Grunddaten!R555="Ja",1,0),"")</f>
        <v/>
      </c>
      <c r="L550" s="1" t="str">
        <f>IF(AND(Programme_Grunddaten!$A555="Geprüft",Programme_Grunddaten!T555&lt;&gt;""),IF(Programme_Grunddaten!T555="Ja",1,0),"")</f>
        <v/>
      </c>
      <c r="M550" s="1" t="str">
        <f>IF(AND(Programme_Grunddaten!$A555="Geprüft",Programme_Grunddaten!U555&lt;&gt;""),IF(Programme_Grunddaten!U555="Ja",1,0),"")</f>
        <v/>
      </c>
      <c r="N550" s="1" t="str">
        <f>IF(AND(Programme_Grunddaten!$A555="Geprüft",Programme_Grunddaten!V555&lt;&gt;""),IF(Programme_Grunddaten!V555="Ja",1,0),"")</f>
        <v/>
      </c>
      <c r="O550" s="1" t="str">
        <f>IF(AND(Programme_Grunddaten!$A555="Geprüft",Programme_Grunddaten!W555&lt;&gt;""),IF(Programme_Grunddaten!W555="Ja",1,0),"")</f>
        <v/>
      </c>
      <c r="P550" s="1" t="str">
        <f>IF(AND(Programme_Grunddaten!$A555="Geprüft",Programme_Grunddaten!X555&lt;&gt;""),IF(Programme_Grunddaten!X555="Ja",1,0),"")</f>
        <v/>
      </c>
      <c r="Q550" s="1" t="str">
        <f>IF(AND(Programme_Grunddaten!$A555="Geprüft",Programme_Grunddaten!Y555&lt;&gt;""),IF(Programme_Grunddaten!Y555="Ja",1,0),"")</f>
        <v/>
      </c>
      <c r="R550" s="1" t="str">
        <f>IF(AND(Programme_Grunddaten!$A555="Geprüft",Programme_Grunddaten!Z555&lt;&gt;""),IF(Programme_Grunddaten!Z555="Ja",1,0),"")</f>
        <v/>
      </c>
      <c r="S550" s="1" t="str">
        <f>IF(AND(Programme_Grunddaten!$A555="Geprüft",Programme_Grunddaten!AA555&lt;&gt;""),IF(Programme_Grunddaten!AA555="monolithisch",1,0),"")</f>
        <v/>
      </c>
      <c r="T550" s="1" t="str">
        <f>IF(AND(Programme_Grunddaten!$A555="Geprüft",Programme_Grunddaten!AB555&lt;&gt;""),IF(Programme_Grunddaten!AB555="Ja",1,0),"")</f>
        <v/>
      </c>
      <c r="U550" s="1" t="str">
        <f>IF(AND(Programme_Grunddaten!$A555="Geprüft",Programme_Grunddaten!AC555&lt;&gt;""),IF(Programme_Grunddaten!AC555="Ja",1,0),"")</f>
        <v/>
      </c>
      <c r="V550" s="1" t="str">
        <f>IF(AND(Programme_Grunddaten!$A555="Geprüft",Programme_Grunddaten!AD555&lt;&gt;""),IF(Programme_Grunddaten!AD555="Ja",1,0),"")</f>
        <v/>
      </c>
      <c r="W550" s="1" t="str">
        <f>IF(AND(Programme_Grunddaten!$A555="Geprüft",Programme_Grunddaten!AE555&lt;&gt;""),IF(Programme_Grunddaten!AE555="Ja",1,0),"")</f>
        <v/>
      </c>
      <c r="X550" s="1" t="str">
        <f>IF(AND(Programme_Grunddaten!$A555="Geprüft",Programme_Grunddaten!AF555&lt;&gt;""),IF(Programme_Grunddaten!AF555="Ja",1,0),"")</f>
        <v/>
      </c>
      <c r="Y550" s="1" t="str">
        <f>IF(AND(Programme_Grunddaten!$A555="Geprüft",Programme_Grunddaten!AG555&lt;&gt;""),IF(Programme_Grunddaten!AG555="Ja",1,0),"")</f>
        <v/>
      </c>
      <c r="Z550" s="1" t="str">
        <f>IF(AND(Programme_Grunddaten!$A555="Geprüft",Programme_Grunddaten!AH555&lt;&gt;""),IF(Programme_Grunddaten!AH555="Ja",1,0),"")</f>
        <v/>
      </c>
      <c r="AA550" s="1" t="str">
        <f>IF(AND(Programme_Grunddaten!$A555="Geprüft",Programme_Grunddaten!AI555&lt;&gt;""),IF(Programme_Grunddaten!AI555="Ja",1,0),"")</f>
        <v/>
      </c>
      <c r="AB550" s="1" t="str">
        <f>IF(AND(Programme_Grunddaten!$A555="Geprüft",Programme_Grunddaten!AJ555&lt;&gt;""),IF(Programme_Grunddaten!AJ555="individuell programmierbar",1,0),"")</f>
        <v/>
      </c>
      <c r="AC550" s="1" t="str">
        <f>IF(AND(Programme_Grunddaten!$A555="Geprüft",Programme_Grunddaten!AK555&lt;&gt;""),IF(Programme_Grunddaten!AK555="Deutsch",0,IF(Programme_Grunddaten!AK555="Deutsch und Englisch",1,2)),"")</f>
        <v/>
      </c>
      <c r="AD550" s="1" t="str">
        <f>IF(AND(Programme_Grunddaten!$A555="Geprüft",Programme_Grunddaten!AL555&lt;&gt;""),IF(Programme_Grunddaten!AL555="Ja",1,0),"")</f>
        <v/>
      </c>
      <c r="AE550" s="1" t="str">
        <f>IF(AND(Programme_Grunddaten!$A555="Geprüft",Programme_Grunddaten!AM555&lt;&gt;""),IF(Programme_Grunddaten!AM555="Ja",1,0),"")</f>
        <v/>
      </c>
      <c r="AF550" s="1" t="str">
        <f>IF(AND(Programme_Grunddaten!$A555="Geprüft",Programme_Grunddaten!AN555&lt;&gt;""),IF(Programme_Grunddaten!AN555="Ja",1,0),"")</f>
        <v/>
      </c>
      <c r="AG550" s="1" t="str">
        <f>IF(AND(Programme_Grunddaten!$A555="Geprüft",Programme_Grunddaten!AO555&lt;&gt;""),IF(Programme_Grunddaten!AO555="Ja",1,0),"")</f>
        <v/>
      </c>
      <c r="AH550" s="1" t="str">
        <f>IF(AND(Programme_Grunddaten!$A555="Geprüft",Programme_Grunddaten!AP555&lt;&gt;""),IF(Programme_Grunddaten!AP555="Ja",1,0),"")</f>
        <v/>
      </c>
      <c r="AI550" s="1" t="str">
        <f>IF(AND(Programme_Grunddaten!$A555="Geprüft",Programme_Grunddaten!AQ555&lt;&gt;""),IF(Programme_Grunddaten!AQ555="Ja",1,0),"")</f>
        <v/>
      </c>
      <c r="AJ550" s="1" t="str">
        <f>IF(AND(Programme_Grunddaten!$A555="Geprüft",Programme_Grunddaten!AR555&lt;&gt;""),IF(Programme_Grunddaten!AR555="Ja",1,0),"")</f>
        <v/>
      </c>
      <c r="AK550" s="1" t="str">
        <f>IF(AND(Programme_Grunddaten!$A555="Geprüft",Programme_Grunddaten!AS555&lt;&gt;""),IF(Programme_Grunddaten!AS555="Ja",1,0),"")</f>
        <v/>
      </c>
      <c r="AL550" s="1" t="str">
        <f>IF(AND(Programme_Grunddaten!$A555="Geprüft",Programme_Grunddaten!AT555&lt;&gt;""),IF(Programme_Grunddaten!AT555="Ja",1,0),"")</f>
        <v/>
      </c>
      <c r="AM550" s="1" t="str">
        <f>IF(AND(Programme_Grunddaten!$A555="Geprüft",Programme_Grunddaten!AU555&lt;&gt;""),IF(Programme_Grunddaten!AU555="Ja",1,0),"")</f>
        <v/>
      </c>
      <c r="AN550" s="1" t="str">
        <f>IF(AND(Programme_Grunddaten!$A555="Geprüft",Programme_Grunddaten!AV555&lt;&gt;""),IF(Programme_Grunddaten!AV555="Ja",1,0),"")</f>
        <v/>
      </c>
    </row>
    <row r="551" spans="1:40" x14ac:dyDescent="0.3">
      <c r="A551" s="1" t="str">
        <f>IF(AND(Programme_Grunddaten!A556="Geprüft",Programme_Grunddaten!B556&lt;&gt;""),Programme_Grunddaten!B556,"")</f>
        <v/>
      </c>
      <c r="B551" s="1" t="str">
        <f>IF(AND(Programme_Grunddaten!$A556="Geprüft",Programme_Grunddaten!I556&lt;&gt;""),IF(Programme_Grunddaten!I556="Ja",1,0),"")</f>
        <v/>
      </c>
      <c r="C551" s="1" t="str">
        <f>IF(AND(Programme_Grunddaten!$A556="Geprüft",Programme_Grunddaten!J556&lt;&gt;""),IF(Programme_Grunddaten!J556="Ja",1,0),"")</f>
        <v/>
      </c>
      <c r="D551" s="1" t="str">
        <f>IF(AND(Programme_Grunddaten!$A556="Geprüft",Programme_Grunddaten!K556&lt;&gt;""),IF(Programme_Grunddaten!K556="Ja",1,0),"")</f>
        <v/>
      </c>
      <c r="E551" s="1" t="str">
        <f>IF(AND(Programme_Grunddaten!$A556="Geprüft",Programme_Grunddaten!L556&lt;&gt;""),IF(Programme_Grunddaten!L556="Abo / befristete Lizenz",1,0),"")</f>
        <v/>
      </c>
      <c r="F551" s="1" t="str">
        <f>IF(AND(Programme_Grunddaten!$A556="Geprüft",Programme_Grunddaten!M556&lt;&gt;""),IF(Programme_Grunddaten!M556="Ja",1,0),"")</f>
        <v/>
      </c>
      <c r="G551" s="1" t="str">
        <f>IF(AND(Programme_Grunddaten!$A556="Geprüft",Programme_Grunddaten!N556&lt;&gt;""),IF(Programme_Grunddaten!N556="Ja",1,0),"")</f>
        <v/>
      </c>
      <c r="H551" s="1" t="str">
        <f>IF(AND(Programme_Grunddaten!$A556="Geprüft",Programme_Grunddaten!O556&lt;&gt;""),IF(Programme_Grunddaten!O556="Deutschland",0,IF(Programme_Grunddaten!O556="EU",1,2)),"")</f>
        <v/>
      </c>
      <c r="I551" s="1" t="str">
        <f>IF(AND(Programme_Grunddaten!$A556="Geprüft",Programme_Grunddaten!P556&lt;&gt;""),IF(Programme_Grunddaten!P556="Ja",1,0),"")</f>
        <v/>
      </c>
      <c r="J551" s="1" t="str">
        <f>IF(AND(Programme_Grunddaten!$A556="Geprüft",Programme_Grunddaten!Q556&lt;&gt;""),IF(Programme_Grunddaten!Q556="geschlossenes System",1,0),"")</f>
        <v/>
      </c>
      <c r="K551" s="1" t="str">
        <f>IF(AND(Programme_Grunddaten!$A556="Geprüft",Programme_Grunddaten!R556&lt;&gt;""),IF(Programme_Grunddaten!R556="Ja",1,0),"")</f>
        <v/>
      </c>
      <c r="L551" s="1" t="str">
        <f>IF(AND(Programme_Grunddaten!$A556="Geprüft",Programme_Grunddaten!T556&lt;&gt;""),IF(Programme_Grunddaten!T556="Ja",1,0),"")</f>
        <v/>
      </c>
      <c r="M551" s="1" t="str">
        <f>IF(AND(Programme_Grunddaten!$A556="Geprüft",Programme_Grunddaten!U556&lt;&gt;""),IF(Programme_Grunddaten!U556="Ja",1,0),"")</f>
        <v/>
      </c>
      <c r="N551" s="1" t="str">
        <f>IF(AND(Programme_Grunddaten!$A556="Geprüft",Programme_Grunddaten!V556&lt;&gt;""),IF(Programme_Grunddaten!V556="Ja",1,0),"")</f>
        <v/>
      </c>
      <c r="O551" s="1" t="str">
        <f>IF(AND(Programme_Grunddaten!$A556="Geprüft",Programme_Grunddaten!W556&lt;&gt;""),IF(Programme_Grunddaten!W556="Ja",1,0),"")</f>
        <v/>
      </c>
      <c r="P551" s="1" t="str">
        <f>IF(AND(Programme_Grunddaten!$A556="Geprüft",Programme_Grunddaten!X556&lt;&gt;""),IF(Programme_Grunddaten!X556="Ja",1,0),"")</f>
        <v/>
      </c>
      <c r="Q551" s="1" t="str">
        <f>IF(AND(Programme_Grunddaten!$A556="Geprüft",Programme_Grunddaten!Y556&lt;&gt;""),IF(Programme_Grunddaten!Y556="Ja",1,0),"")</f>
        <v/>
      </c>
      <c r="R551" s="1" t="str">
        <f>IF(AND(Programme_Grunddaten!$A556="Geprüft",Programme_Grunddaten!Z556&lt;&gt;""),IF(Programme_Grunddaten!Z556="Ja",1,0),"")</f>
        <v/>
      </c>
      <c r="S551" s="1" t="str">
        <f>IF(AND(Programme_Grunddaten!$A556="Geprüft",Programme_Grunddaten!AA556&lt;&gt;""),IF(Programme_Grunddaten!AA556="monolithisch",1,0),"")</f>
        <v/>
      </c>
      <c r="T551" s="1" t="str">
        <f>IF(AND(Programme_Grunddaten!$A556="Geprüft",Programme_Grunddaten!AB556&lt;&gt;""),IF(Programme_Grunddaten!AB556="Ja",1,0),"")</f>
        <v/>
      </c>
      <c r="U551" s="1" t="str">
        <f>IF(AND(Programme_Grunddaten!$A556="Geprüft",Programme_Grunddaten!AC556&lt;&gt;""),IF(Programme_Grunddaten!AC556="Ja",1,0),"")</f>
        <v/>
      </c>
      <c r="V551" s="1" t="str">
        <f>IF(AND(Programme_Grunddaten!$A556="Geprüft",Programme_Grunddaten!AD556&lt;&gt;""),IF(Programme_Grunddaten!AD556="Ja",1,0),"")</f>
        <v/>
      </c>
      <c r="W551" s="1" t="str">
        <f>IF(AND(Programme_Grunddaten!$A556="Geprüft",Programme_Grunddaten!AE556&lt;&gt;""),IF(Programme_Grunddaten!AE556="Ja",1,0),"")</f>
        <v/>
      </c>
      <c r="X551" s="1" t="str">
        <f>IF(AND(Programme_Grunddaten!$A556="Geprüft",Programme_Grunddaten!AF556&lt;&gt;""),IF(Programme_Grunddaten!AF556="Ja",1,0),"")</f>
        <v/>
      </c>
      <c r="Y551" s="1" t="str">
        <f>IF(AND(Programme_Grunddaten!$A556="Geprüft",Programme_Grunddaten!AG556&lt;&gt;""),IF(Programme_Grunddaten!AG556="Ja",1,0),"")</f>
        <v/>
      </c>
      <c r="Z551" s="1" t="str">
        <f>IF(AND(Programme_Grunddaten!$A556="Geprüft",Programme_Grunddaten!AH556&lt;&gt;""),IF(Programme_Grunddaten!AH556="Ja",1,0),"")</f>
        <v/>
      </c>
      <c r="AA551" s="1" t="str">
        <f>IF(AND(Programme_Grunddaten!$A556="Geprüft",Programme_Grunddaten!AI556&lt;&gt;""),IF(Programme_Grunddaten!AI556="Ja",1,0),"")</f>
        <v/>
      </c>
      <c r="AB551" s="1" t="str">
        <f>IF(AND(Programme_Grunddaten!$A556="Geprüft",Programme_Grunddaten!AJ556&lt;&gt;""),IF(Programme_Grunddaten!AJ556="individuell programmierbar",1,0),"")</f>
        <v/>
      </c>
      <c r="AC551" s="1" t="str">
        <f>IF(AND(Programme_Grunddaten!$A556="Geprüft",Programme_Grunddaten!AK556&lt;&gt;""),IF(Programme_Grunddaten!AK556="Deutsch",0,IF(Programme_Grunddaten!AK556="Deutsch und Englisch",1,2)),"")</f>
        <v/>
      </c>
      <c r="AD551" s="1" t="str">
        <f>IF(AND(Programme_Grunddaten!$A556="Geprüft",Programme_Grunddaten!AL556&lt;&gt;""),IF(Programme_Grunddaten!AL556="Ja",1,0),"")</f>
        <v/>
      </c>
      <c r="AE551" s="1" t="str">
        <f>IF(AND(Programme_Grunddaten!$A556="Geprüft",Programme_Grunddaten!AM556&lt;&gt;""),IF(Programme_Grunddaten!AM556="Ja",1,0),"")</f>
        <v/>
      </c>
      <c r="AF551" s="1" t="str">
        <f>IF(AND(Programme_Grunddaten!$A556="Geprüft",Programme_Grunddaten!AN556&lt;&gt;""),IF(Programme_Grunddaten!AN556="Ja",1,0),"")</f>
        <v/>
      </c>
      <c r="AG551" s="1" t="str">
        <f>IF(AND(Programme_Grunddaten!$A556="Geprüft",Programme_Grunddaten!AO556&lt;&gt;""),IF(Programme_Grunddaten!AO556="Ja",1,0),"")</f>
        <v/>
      </c>
      <c r="AH551" s="1" t="str">
        <f>IF(AND(Programme_Grunddaten!$A556="Geprüft",Programme_Grunddaten!AP556&lt;&gt;""),IF(Programme_Grunddaten!AP556="Ja",1,0),"")</f>
        <v/>
      </c>
      <c r="AI551" s="1" t="str">
        <f>IF(AND(Programme_Grunddaten!$A556="Geprüft",Programme_Grunddaten!AQ556&lt;&gt;""),IF(Programme_Grunddaten!AQ556="Ja",1,0),"")</f>
        <v/>
      </c>
      <c r="AJ551" s="1" t="str">
        <f>IF(AND(Programme_Grunddaten!$A556="Geprüft",Programme_Grunddaten!AR556&lt;&gt;""),IF(Programme_Grunddaten!AR556="Ja",1,0),"")</f>
        <v/>
      </c>
      <c r="AK551" s="1" t="str">
        <f>IF(AND(Programme_Grunddaten!$A556="Geprüft",Programme_Grunddaten!AS556&lt;&gt;""),IF(Programme_Grunddaten!AS556="Ja",1,0),"")</f>
        <v/>
      </c>
      <c r="AL551" s="1" t="str">
        <f>IF(AND(Programme_Grunddaten!$A556="Geprüft",Programme_Grunddaten!AT556&lt;&gt;""),IF(Programme_Grunddaten!AT556="Ja",1,0),"")</f>
        <v/>
      </c>
      <c r="AM551" s="1" t="str">
        <f>IF(AND(Programme_Grunddaten!$A556="Geprüft",Programme_Grunddaten!AU556&lt;&gt;""),IF(Programme_Grunddaten!AU556="Ja",1,0),"")</f>
        <v/>
      </c>
      <c r="AN551" s="1" t="str">
        <f>IF(AND(Programme_Grunddaten!$A556="Geprüft",Programme_Grunddaten!AV556&lt;&gt;""),IF(Programme_Grunddaten!AV556="Ja",1,0),"")</f>
        <v/>
      </c>
    </row>
    <row r="552" spans="1:40" x14ac:dyDescent="0.3">
      <c r="A552" s="1" t="str">
        <f>IF(AND(Programme_Grunddaten!A557="Geprüft",Programme_Grunddaten!B557&lt;&gt;""),Programme_Grunddaten!B557,"")</f>
        <v/>
      </c>
      <c r="B552" s="1" t="str">
        <f>IF(AND(Programme_Grunddaten!$A557="Geprüft",Programme_Grunddaten!I557&lt;&gt;""),IF(Programme_Grunddaten!I557="Ja",1,0),"")</f>
        <v/>
      </c>
      <c r="C552" s="1" t="str">
        <f>IF(AND(Programme_Grunddaten!$A557="Geprüft",Programme_Grunddaten!J557&lt;&gt;""),IF(Programme_Grunddaten!J557="Ja",1,0),"")</f>
        <v/>
      </c>
      <c r="D552" s="1" t="str">
        <f>IF(AND(Programme_Grunddaten!$A557="Geprüft",Programme_Grunddaten!K557&lt;&gt;""),IF(Programme_Grunddaten!K557="Ja",1,0),"")</f>
        <v/>
      </c>
      <c r="E552" s="1" t="str">
        <f>IF(AND(Programme_Grunddaten!$A557="Geprüft",Programme_Grunddaten!L557&lt;&gt;""),IF(Programme_Grunddaten!L557="Abo / befristete Lizenz",1,0),"")</f>
        <v/>
      </c>
      <c r="F552" s="1" t="str">
        <f>IF(AND(Programme_Grunddaten!$A557="Geprüft",Programme_Grunddaten!M557&lt;&gt;""),IF(Programme_Grunddaten!M557="Ja",1,0),"")</f>
        <v/>
      </c>
      <c r="G552" s="1" t="str">
        <f>IF(AND(Programme_Grunddaten!$A557="Geprüft",Programme_Grunddaten!N557&lt;&gt;""),IF(Programme_Grunddaten!N557="Ja",1,0),"")</f>
        <v/>
      </c>
      <c r="H552" s="1" t="str">
        <f>IF(AND(Programme_Grunddaten!$A557="Geprüft",Programme_Grunddaten!O557&lt;&gt;""),IF(Programme_Grunddaten!O557="Deutschland",0,IF(Programme_Grunddaten!O557="EU",1,2)),"")</f>
        <v/>
      </c>
      <c r="I552" s="1" t="str">
        <f>IF(AND(Programme_Grunddaten!$A557="Geprüft",Programme_Grunddaten!P557&lt;&gt;""),IF(Programme_Grunddaten!P557="Ja",1,0),"")</f>
        <v/>
      </c>
      <c r="J552" s="1" t="str">
        <f>IF(AND(Programme_Grunddaten!$A557="Geprüft",Programme_Grunddaten!Q557&lt;&gt;""),IF(Programme_Grunddaten!Q557="geschlossenes System",1,0),"")</f>
        <v/>
      </c>
      <c r="K552" s="1" t="str">
        <f>IF(AND(Programme_Grunddaten!$A557="Geprüft",Programme_Grunddaten!R557&lt;&gt;""),IF(Programme_Grunddaten!R557="Ja",1,0),"")</f>
        <v/>
      </c>
      <c r="L552" s="1" t="str">
        <f>IF(AND(Programme_Grunddaten!$A557="Geprüft",Programme_Grunddaten!T557&lt;&gt;""),IF(Programme_Grunddaten!T557="Ja",1,0),"")</f>
        <v/>
      </c>
      <c r="M552" s="1" t="str">
        <f>IF(AND(Programme_Grunddaten!$A557="Geprüft",Programme_Grunddaten!U557&lt;&gt;""),IF(Programme_Grunddaten!U557="Ja",1,0),"")</f>
        <v/>
      </c>
      <c r="N552" s="1" t="str">
        <f>IF(AND(Programme_Grunddaten!$A557="Geprüft",Programme_Grunddaten!V557&lt;&gt;""),IF(Programme_Grunddaten!V557="Ja",1,0),"")</f>
        <v/>
      </c>
      <c r="O552" s="1" t="str">
        <f>IF(AND(Programme_Grunddaten!$A557="Geprüft",Programme_Grunddaten!W557&lt;&gt;""),IF(Programme_Grunddaten!W557="Ja",1,0),"")</f>
        <v/>
      </c>
      <c r="P552" s="1" t="str">
        <f>IF(AND(Programme_Grunddaten!$A557="Geprüft",Programme_Grunddaten!X557&lt;&gt;""),IF(Programme_Grunddaten!X557="Ja",1,0),"")</f>
        <v/>
      </c>
      <c r="Q552" s="1" t="str">
        <f>IF(AND(Programme_Grunddaten!$A557="Geprüft",Programme_Grunddaten!Y557&lt;&gt;""),IF(Programme_Grunddaten!Y557="Ja",1,0),"")</f>
        <v/>
      </c>
      <c r="R552" s="1" t="str">
        <f>IF(AND(Programme_Grunddaten!$A557="Geprüft",Programme_Grunddaten!Z557&lt;&gt;""),IF(Programme_Grunddaten!Z557="Ja",1,0),"")</f>
        <v/>
      </c>
      <c r="S552" s="1" t="str">
        <f>IF(AND(Programme_Grunddaten!$A557="Geprüft",Programme_Grunddaten!AA557&lt;&gt;""),IF(Programme_Grunddaten!AA557="monolithisch",1,0),"")</f>
        <v/>
      </c>
      <c r="T552" s="1" t="str">
        <f>IF(AND(Programme_Grunddaten!$A557="Geprüft",Programme_Grunddaten!AB557&lt;&gt;""),IF(Programme_Grunddaten!AB557="Ja",1,0),"")</f>
        <v/>
      </c>
      <c r="U552" s="1" t="str">
        <f>IF(AND(Programme_Grunddaten!$A557="Geprüft",Programme_Grunddaten!AC557&lt;&gt;""),IF(Programme_Grunddaten!AC557="Ja",1,0),"")</f>
        <v/>
      </c>
      <c r="V552" s="1" t="str">
        <f>IF(AND(Programme_Grunddaten!$A557="Geprüft",Programme_Grunddaten!AD557&lt;&gt;""),IF(Programme_Grunddaten!AD557="Ja",1,0),"")</f>
        <v/>
      </c>
      <c r="W552" s="1" t="str">
        <f>IF(AND(Programme_Grunddaten!$A557="Geprüft",Programme_Grunddaten!AE557&lt;&gt;""),IF(Programme_Grunddaten!AE557="Ja",1,0),"")</f>
        <v/>
      </c>
      <c r="X552" s="1" t="str">
        <f>IF(AND(Programme_Grunddaten!$A557="Geprüft",Programme_Grunddaten!AF557&lt;&gt;""),IF(Programme_Grunddaten!AF557="Ja",1,0),"")</f>
        <v/>
      </c>
      <c r="Y552" s="1" t="str">
        <f>IF(AND(Programme_Grunddaten!$A557="Geprüft",Programme_Grunddaten!AG557&lt;&gt;""),IF(Programme_Grunddaten!AG557="Ja",1,0),"")</f>
        <v/>
      </c>
      <c r="Z552" s="1" t="str">
        <f>IF(AND(Programme_Grunddaten!$A557="Geprüft",Programme_Grunddaten!AH557&lt;&gt;""),IF(Programme_Grunddaten!AH557="Ja",1,0),"")</f>
        <v/>
      </c>
      <c r="AA552" s="1" t="str">
        <f>IF(AND(Programme_Grunddaten!$A557="Geprüft",Programme_Grunddaten!AI557&lt;&gt;""),IF(Programme_Grunddaten!AI557="Ja",1,0),"")</f>
        <v/>
      </c>
      <c r="AB552" s="1" t="str">
        <f>IF(AND(Programme_Grunddaten!$A557="Geprüft",Programme_Grunddaten!AJ557&lt;&gt;""),IF(Programme_Grunddaten!AJ557="individuell programmierbar",1,0),"")</f>
        <v/>
      </c>
      <c r="AC552" s="1" t="str">
        <f>IF(AND(Programme_Grunddaten!$A557="Geprüft",Programme_Grunddaten!AK557&lt;&gt;""),IF(Programme_Grunddaten!AK557="Deutsch",0,IF(Programme_Grunddaten!AK557="Deutsch und Englisch",1,2)),"")</f>
        <v/>
      </c>
      <c r="AD552" s="1" t="str">
        <f>IF(AND(Programme_Grunddaten!$A557="Geprüft",Programme_Grunddaten!AL557&lt;&gt;""),IF(Programme_Grunddaten!AL557="Ja",1,0),"")</f>
        <v/>
      </c>
      <c r="AE552" s="1" t="str">
        <f>IF(AND(Programme_Grunddaten!$A557="Geprüft",Programme_Grunddaten!AM557&lt;&gt;""),IF(Programme_Grunddaten!AM557="Ja",1,0),"")</f>
        <v/>
      </c>
      <c r="AF552" s="1" t="str">
        <f>IF(AND(Programme_Grunddaten!$A557="Geprüft",Programme_Grunddaten!AN557&lt;&gt;""),IF(Programme_Grunddaten!AN557="Ja",1,0),"")</f>
        <v/>
      </c>
      <c r="AG552" s="1" t="str">
        <f>IF(AND(Programme_Grunddaten!$A557="Geprüft",Programme_Grunddaten!AO557&lt;&gt;""),IF(Programme_Grunddaten!AO557="Ja",1,0),"")</f>
        <v/>
      </c>
      <c r="AH552" s="1" t="str">
        <f>IF(AND(Programme_Grunddaten!$A557="Geprüft",Programme_Grunddaten!AP557&lt;&gt;""),IF(Programme_Grunddaten!AP557="Ja",1,0),"")</f>
        <v/>
      </c>
      <c r="AI552" s="1" t="str">
        <f>IF(AND(Programme_Grunddaten!$A557="Geprüft",Programme_Grunddaten!AQ557&lt;&gt;""),IF(Programme_Grunddaten!AQ557="Ja",1,0),"")</f>
        <v/>
      </c>
      <c r="AJ552" s="1" t="str">
        <f>IF(AND(Programme_Grunddaten!$A557="Geprüft",Programme_Grunddaten!AR557&lt;&gt;""),IF(Programme_Grunddaten!AR557="Ja",1,0),"")</f>
        <v/>
      </c>
      <c r="AK552" s="1" t="str">
        <f>IF(AND(Programme_Grunddaten!$A557="Geprüft",Programme_Grunddaten!AS557&lt;&gt;""),IF(Programme_Grunddaten!AS557="Ja",1,0),"")</f>
        <v/>
      </c>
      <c r="AL552" s="1" t="str">
        <f>IF(AND(Programme_Grunddaten!$A557="Geprüft",Programme_Grunddaten!AT557&lt;&gt;""),IF(Programme_Grunddaten!AT557="Ja",1,0),"")</f>
        <v/>
      </c>
      <c r="AM552" s="1" t="str">
        <f>IF(AND(Programme_Grunddaten!$A557="Geprüft",Programme_Grunddaten!AU557&lt;&gt;""),IF(Programme_Grunddaten!AU557="Ja",1,0),"")</f>
        <v/>
      </c>
      <c r="AN552" s="1" t="str">
        <f>IF(AND(Programme_Grunddaten!$A557="Geprüft",Programme_Grunddaten!AV557&lt;&gt;""),IF(Programme_Grunddaten!AV557="Ja",1,0),"")</f>
        <v/>
      </c>
    </row>
    <row r="553" spans="1:40" x14ac:dyDescent="0.3">
      <c r="A553" s="1" t="str">
        <f>IF(AND(Programme_Grunddaten!A558="Geprüft",Programme_Grunddaten!B558&lt;&gt;""),Programme_Grunddaten!B558,"")</f>
        <v/>
      </c>
      <c r="B553" s="1" t="str">
        <f>IF(AND(Programme_Grunddaten!$A558="Geprüft",Programme_Grunddaten!I558&lt;&gt;""),IF(Programme_Grunddaten!I558="Ja",1,0),"")</f>
        <v/>
      </c>
      <c r="C553" s="1" t="str">
        <f>IF(AND(Programme_Grunddaten!$A558="Geprüft",Programme_Grunddaten!J558&lt;&gt;""),IF(Programme_Grunddaten!J558="Ja",1,0),"")</f>
        <v/>
      </c>
      <c r="D553" s="1" t="str">
        <f>IF(AND(Programme_Grunddaten!$A558="Geprüft",Programme_Grunddaten!K558&lt;&gt;""),IF(Programme_Grunddaten!K558="Ja",1,0),"")</f>
        <v/>
      </c>
      <c r="E553" s="1" t="str">
        <f>IF(AND(Programme_Grunddaten!$A558="Geprüft",Programme_Grunddaten!L558&lt;&gt;""),IF(Programme_Grunddaten!L558="Abo / befristete Lizenz",1,0),"")</f>
        <v/>
      </c>
      <c r="F553" s="1" t="str">
        <f>IF(AND(Programme_Grunddaten!$A558="Geprüft",Programme_Grunddaten!M558&lt;&gt;""),IF(Programme_Grunddaten!M558="Ja",1,0),"")</f>
        <v/>
      </c>
      <c r="G553" s="1" t="str">
        <f>IF(AND(Programme_Grunddaten!$A558="Geprüft",Programme_Grunddaten!N558&lt;&gt;""),IF(Programme_Grunddaten!N558="Ja",1,0),"")</f>
        <v/>
      </c>
      <c r="H553" s="1" t="str">
        <f>IF(AND(Programme_Grunddaten!$A558="Geprüft",Programme_Grunddaten!O558&lt;&gt;""),IF(Programme_Grunddaten!O558="Deutschland",0,IF(Programme_Grunddaten!O558="EU",1,2)),"")</f>
        <v/>
      </c>
      <c r="I553" s="1" t="str">
        <f>IF(AND(Programme_Grunddaten!$A558="Geprüft",Programme_Grunddaten!P558&lt;&gt;""),IF(Programme_Grunddaten!P558="Ja",1,0),"")</f>
        <v/>
      </c>
      <c r="J553" s="1" t="str">
        <f>IF(AND(Programme_Grunddaten!$A558="Geprüft",Programme_Grunddaten!Q558&lt;&gt;""),IF(Programme_Grunddaten!Q558="geschlossenes System",1,0),"")</f>
        <v/>
      </c>
      <c r="K553" s="1" t="str">
        <f>IF(AND(Programme_Grunddaten!$A558="Geprüft",Programme_Grunddaten!R558&lt;&gt;""),IF(Programme_Grunddaten!R558="Ja",1,0),"")</f>
        <v/>
      </c>
      <c r="L553" s="1" t="str">
        <f>IF(AND(Programme_Grunddaten!$A558="Geprüft",Programme_Grunddaten!T558&lt;&gt;""),IF(Programme_Grunddaten!T558="Ja",1,0),"")</f>
        <v/>
      </c>
      <c r="M553" s="1" t="str">
        <f>IF(AND(Programme_Grunddaten!$A558="Geprüft",Programme_Grunddaten!U558&lt;&gt;""),IF(Programme_Grunddaten!U558="Ja",1,0),"")</f>
        <v/>
      </c>
      <c r="N553" s="1" t="str">
        <f>IF(AND(Programme_Grunddaten!$A558="Geprüft",Programme_Grunddaten!V558&lt;&gt;""),IF(Programme_Grunddaten!V558="Ja",1,0),"")</f>
        <v/>
      </c>
      <c r="O553" s="1" t="str">
        <f>IF(AND(Programme_Grunddaten!$A558="Geprüft",Programme_Grunddaten!W558&lt;&gt;""),IF(Programme_Grunddaten!W558="Ja",1,0),"")</f>
        <v/>
      </c>
      <c r="P553" s="1" t="str">
        <f>IF(AND(Programme_Grunddaten!$A558="Geprüft",Programme_Grunddaten!X558&lt;&gt;""),IF(Programme_Grunddaten!X558="Ja",1,0),"")</f>
        <v/>
      </c>
      <c r="Q553" s="1" t="str">
        <f>IF(AND(Programme_Grunddaten!$A558="Geprüft",Programme_Grunddaten!Y558&lt;&gt;""),IF(Programme_Grunddaten!Y558="Ja",1,0),"")</f>
        <v/>
      </c>
      <c r="R553" s="1" t="str">
        <f>IF(AND(Programme_Grunddaten!$A558="Geprüft",Programme_Grunddaten!Z558&lt;&gt;""),IF(Programme_Grunddaten!Z558="Ja",1,0),"")</f>
        <v/>
      </c>
      <c r="S553" s="1" t="str">
        <f>IF(AND(Programme_Grunddaten!$A558="Geprüft",Programme_Grunddaten!AA558&lt;&gt;""),IF(Programme_Grunddaten!AA558="monolithisch",1,0),"")</f>
        <v/>
      </c>
      <c r="T553" s="1" t="str">
        <f>IF(AND(Programme_Grunddaten!$A558="Geprüft",Programme_Grunddaten!AB558&lt;&gt;""),IF(Programme_Grunddaten!AB558="Ja",1,0),"")</f>
        <v/>
      </c>
      <c r="U553" s="1" t="str">
        <f>IF(AND(Programme_Grunddaten!$A558="Geprüft",Programme_Grunddaten!AC558&lt;&gt;""),IF(Programme_Grunddaten!AC558="Ja",1,0),"")</f>
        <v/>
      </c>
      <c r="V553" s="1" t="str">
        <f>IF(AND(Programme_Grunddaten!$A558="Geprüft",Programme_Grunddaten!AD558&lt;&gt;""),IF(Programme_Grunddaten!AD558="Ja",1,0),"")</f>
        <v/>
      </c>
      <c r="W553" s="1" t="str">
        <f>IF(AND(Programme_Grunddaten!$A558="Geprüft",Programme_Grunddaten!AE558&lt;&gt;""),IF(Programme_Grunddaten!AE558="Ja",1,0),"")</f>
        <v/>
      </c>
      <c r="X553" s="1" t="str">
        <f>IF(AND(Programme_Grunddaten!$A558="Geprüft",Programme_Grunddaten!AF558&lt;&gt;""),IF(Programme_Grunddaten!AF558="Ja",1,0),"")</f>
        <v/>
      </c>
      <c r="Y553" s="1" t="str">
        <f>IF(AND(Programme_Grunddaten!$A558="Geprüft",Programme_Grunddaten!AG558&lt;&gt;""),IF(Programme_Grunddaten!AG558="Ja",1,0),"")</f>
        <v/>
      </c>
      <c r="Z553" s="1" t="str">
        <f>IF(AND(Programme_Grunddaten!$A558="Geprüft",Programme_Grunddaten!AH558&lt;&gt;""),IF(Programme_Grunddaten!AH558="Ja",1,0),"")</f>
        <v/>
      </c>
      <c r="AA553" s="1" t="str">
        <f>IF(AND(Programme_Grunddaten!$A558="Geprüft",Programme_Grunddaten!AI558&lt;&gt;""),IF(Programme_Grunddaten!AI558="Ja",1,0),"")</f>
        <v/>
      </c>
      <c r="AB553" s="1" t="str">
        <f>IF(AND(Programme_Grunddaten!$A558="Geprüft",Programme_Grunddaten!AJ558&lt;&gt;""),IF(Programme_Grunddaten!AJ558="individuell programmierbar",1,0),"")</f>
        <v/>
      </c>
      <c r="AC553" s="1" t="str">
        <f>IF(AND(Programme_Grunddaten!$A558="Geprüft",Programme_Grunddaten!AK558&lt;&gt;""),IF(Programme_Grunddaten!AK558="Deutsch",0,IF(Programme_Grunddaten!AK558="Deutsch und Englisch",1,2)),"")</f>
        <v/>
      </c>
      <c r="AD553" s="1" t="str">
        <f>IF(AND(Programme_Grunddaten!$A558="Geprüft",Programme_Grunddaten!AL558&lt;&gt;""),IF(Programme_Grunddaten!AL558="Ja",1,0),"")</f>
        <v/>
      </c>
      <c r="AE553" s="1" t="str">
        <f>IF(AND(Programme_Grunddaten!$A558="Geprüft",Programme_Grunddaten!AM558&lt;&gt;""),IF(Programme_Grunddaten!AM558="Ja",1,0),"")</f>
        <v/>
      </c>
      <c r="AF553" s="1" t="str">
        <f>IF(AND(Programme_Grunddaten!$A558="Geprüft",Programme_Grunddaten!AN558&lt;&gt;""),IF(Programme_Grunddaten!AN558="Ja",1,0),"")</f>
        <v/>
      </c>
      <c r="AG553" s="1" t="str">
        <f>IF(AND(Programme_Grunddaten!$A558="Geprüft",Programme_Grunddaten!AO558&lt;&gt;""),IF(Programme_Grunddaten!AO558="Ja",1,0),"")</f>
        <v/>
      </c>
      <c r="AH553" s="1" t="str">
        <f>IF(AND(Programme_Grunddaten!$A558="Geprüft",Programme_Grunddaten!AP558&lt;&gt;""),IF(Programme_Grunddaten!AP558="Ja",1,0),"")</f>
        <v/>
      </c>
      <c r="AI553" s="1" t="str">
        <f>IF(AND(Programme_Grunddaten!$A558="Geprüft",Programme_Grunddaten!AQ558&lt;&gt;""),IF(Programme_Grunddaten!AQ558="Ja",1,0),"")</f>
        <v/>
      </c>
      <c r="AJ553" s="1" t="str">
        <f>IF(AND(Programme_Grunddaten!$A558="Geprüft",Programme_Grunddaten!AR558&lt;&gt;""),IF(Programme_Grunddaten!AR558="Ja",1,0),"")</f>
        <v/>
      </c>
      <c r="AK553" s="1" t="str">
        <f>IF(AND(Programme_Grunddaten!$A558="Geprüft",Programme_Grunddaten!AS558&lt;&gt;""),IF(Programme_Grunddaten!AS558="Ja",1,0),"")</f>
        <v/>
      </c>
      <c r="AL553" s="1" t="str">
        <f>IF(AND(Programme_Grunddaten!$A558="Geprüft",Programme_Grunddaten!AT558&lt;&gt;""),IF(Programme_Grunddaten!AT558="Ja",1,0),"")</f>
        <v/>
      </c>
      <c r="AM553" s="1" t="str">
        <f>IF(AND(Programme_Grunddaten!$A558="Geprüft",Programme_Grunddaten!AU558&lt;&gt;""),IF(Programme_Grunddaten!AU558="Ja",1,0),"")</f>
        <v/>
      </c>
      <c r="AN553" s="1" t="str">
        <f>IF(AND(Programme_Grunddaten!$A558="Geprüft",Programme_Grunddaten!AV558&lt;&gt;""),IF(Programme_Grunddaten!AV558="Ja",1,0),"")</f>
        <v/>
      </c>
    </row>
    <row r="554" spans="1:40" x14ac:dyDescent="0.3">
      <c r="A554" s="1" t="str">
        <f>IF(AND(Programme_Grunddaten!A559="Geprüft",Programme_Grunddaten!B559&lt;&gt;""),Programme_Grunddaten!B559,"")</f>
        <v/>
      </c>
      <c r="B554" s="1" t="str">
        <f>IF(AND(Programme_Grunddaten!$A559="Geprüft",Programme_Grunddaten!I559&lt;&gt;""),IF(Programme_Grunddaten!I559="Ja",1,0),"")</f>
        <v/>
      </c>
      <c r="C554" s="1" t="str">
        <f>IF(AND(Programme_Grunddaten!$A559="Geprüft",Programme_Grunddaten!J559&lt;&gt;""),IF(Programme_Grunddaten!J559="Ja",1,0),"")</f>
        <v/>
      </c>
      <c r="D554" s="1" t="str">
        <f>IF(AND(Programme_Grunddaten!$A559="Geprüft",Programme_Grunddaten!K559&lt;&gt;""),IF(Programme_Grunddaten!K559="Ja",1,0),"")</f>
        <v/>
      </c>
      <c r="E554" s="1" t="str">
        <f>IF(AND(Programme_Grunddaten!$A559="Geprüft",Programme_Grunddaten!L559&lt;&gt;""),IF(Programme_Grunddaten!L559="Abo / befristete Lizenz",1,0),"")</f>
        <v/>
      </c>
      <c r="F554" s="1" t="str">
        <f>IF(AND(Programme_Grunddaten!$A559="Geprüft",Programme_Grunddaten!M559&lt;&gt;""),IF(Programme_Grunddaten!M559="Ja",1,0),"")</f>
        <v/>
      </c>
      <c r="G554" s="1" t="str">
        <f>IF(AND(Programme_Grunddaten!$A559="Geprüft",Programme_Grunddaten!N559&lt;&gt;""),IF(Programme_Grunddaten!N559="Ja",1,0),"")</f>
        <v/>
      </c>
      <c r="H554" s="1" t="str">
        <f>IF(AND(Programme_Grunddaten!$A559="Geprüft",Programme_Grunddaten!O559&lt;&gt;""),IF(Programme_Grunddaten!O559="Deutschland",0,IF(Programme_Grunddaten!O559="EU",1,2)),"")</f>
        <v/>
      </c>
      <c r="I554" s="1" t="str">
        <f>IF(AND(Programme_Grunddaten!$A559="Geprüft",Programme_Grunddaten!P559&lt;&gt;""),IF(Programme_Grunddaten!P559="Ja",1,0),"")</f>
        <v/>
      </c>
      <c r="J554" s="1" t="str">
        <f>IF(AND(Programme_Grunddaten!$A559="Geprüft",Programme_Grunddaten!Q559&lt;&gt;""),IF(Programme_Grunddaten!Q559="geschlossenes System",1,0),"")</f>
        <v/>
      </c>
      <c r="K554" s="1" t="str">
        <f>IF(AND(Programme_Grunddaten!$A559="Geprüft",Programme_Grunddaten!R559&lt;&gt;""),IF(Programme_Grunddaten!R559="Ja",1,0),"")</f>
        <v/>
      </c>
      <c r="L554" s="1" t="str">
        <f>IF(AND(Programme_Grunddaten!$A559="Geprüft",Programme_Grunddaten!T559&lt;&gt;""),IF(Programme_Grunddaten!T559="Ja",1,0),"")</f>
        <v/>
      </c>
      <c r="M554" s="1" t="str">
        <f>IF(AND(Programme_Grunddaten!$A559="Geprüft",Programme_Grunddaten!U559&lt;&gt;""),IF(Programme_Grunddaten!U559="Ja",1,0),"")</f>
        <v/>
      </c>
      <c r="N554" s="1" t="str">
        <f>IF(AND(Programme_Grunddaten!$A559="Geprüft",Programme_Grunddaten!V559&lt;&gt;""),IF(Programme_Grunddaten!V559="Ja",1,0),"")</f>
        <v/>
      </c>
      <c r="O554" s="1" t="str">
        <f>IF(AND(Programme_Grunddaten!$A559="Geprüft",Programme_Grunddaten!W559&lt;&gt;""),IF(Programme_Grunddaten!W559="Ja",1,0),"")</f>
        <v/>
      </c>
      <c r="P554" s="1" t="str">
        <f>IF(AND(Programme_Grunddaten!$A559="Geprüft",Programme_Grunddaten!X559&lt;&gt;""),IF(Programme_Grunddaten!X559="Ja",1,0),"")</f>
        <v/>
      </c>
      <c r="Q554" s="1" t="str">
        <f>IF(AND(Programme_Grunddaten!$A559="Geprüft",Programme_Grunddaten!Y559&lt;&gt;""),IF(Programme_Grunddaten!Y559="Ja",1,0),"")</f>
        <v/>
      </c>
      <c r="R554" s="1" t="str">
        <f>IF(AND(Programme_Grunddaten!$A559="Geprüft",Programme_Grunddaten!Z559&lt;&gt;""),IF(Programme_Grunddaten!Z559="Ja",1,0),"")</f>
        <v/>
      </c>
      <c r="S554" s="1" t="str">
        <f>IF(AND(Programme_Grunddaten!$A559="Geprüft",Programme_Grunddaten!AA559&lt;&gt;""),IF(Programme_Grunddaten!AA559="monolithisch",1,0),"")</f>
        <v/>
      </c>
      <c r="T554" s="1" t="str">
        <f>IF(AND(Programme_Grunddaten!$A559="Geprüft",Programme_Grunddaten!AB559&lt;&gt;""),IF(Programme_Grunddaten!AB559="Ja",1,0),"")</f>
        <v/>
      </c>
      <c r="U554" s="1" t="str">
        <f>IF(AND(Programme_Grunddaten!$A559="Geprüft",Programme_Grunddaten!AC559&lt;&gt;""),IF(Programme_Grunddaten!AC559="Ja",1,0),"")</f>
        <v/>
      </c>
      <c r="V554" s="1" t="str">
        <f>IF(AND(Programme_Grunddaten!$A559="Geprüft",Programme_Grunddaten!AD559&lt;&gt;""),IF(Programme_Grunddaten!AD559="Ja",1,0),"")</f>
        <v/>
      </c>
      <c r="W554" s="1" t="str">
        <f>IF(AND(Programme_Grunddaten!$A559="Geprüft",Programme_Grunddaten!AE559&lt;&gt;""),IF(Programme_Grunddaten!AE559="Ja",1,0),"")</f>
        <v/>
      </c>
      <c r="X554" s="1" t="str">
        <f>IF(AND(Programme_Grunddaten!$A559="Geprüft",Programme_Grunddaten!AF559&lt;&gt;""),IF(Programme_Grunddaten!AF559="Ja",1,0),"")</f>
        <v/>
      </c>
      <c r="Y554" s="1" t="str">
        <f>IF(AND(Programme_Grunddaten!$A559="Geprüft",Programme_Grunddaten!AG559&lt;&gt;""),IF(Programme_Grunddaten!AG559="Ja",1,0),"")</f>
        <v/>
      </c>
      <c r="Z554" s="1" t="str">
        <f>IF(AND(Programme_Grunddaten!$A559="Geprüft",Programme_Grunddaten!AH559&lt;&gt;""),IF(Programme_Grunddaten!AH559="Ja",1,0),"")</f>
        <v/>
      </c>
      <c r="AA554" s="1" t="str">
        <f>IF(AND(Programme_Grunddaten!$A559="Geprüft",Programme_Grunddaten!AI559&lt;&gt;""),IF(Programme_Grunddaten!AI559="Ja",1,0),"")</f>
        <v/>
      </c>
      <c r="AB554" s="1" t="str">
        <f>IF(AND(Programme_Grunddaten!$A559="Geprüft",Programme_Grunddaten!AJ559&lt;&gt;""),IF(Programme_Grunddaten!AJ559="individuell programmierbar",1,0),"")</f>
        <v/>
      </c>
      <c r="AC554" s="1" t="str">
        <f>IF(AND(Programme_Grunddaten!$A559="Geprüft",Programme_Grunddaten!AK559&lt;&gt;""),IF(Programme_Grunddaten!AK559="Deutsch",0,IF(Programme_Grunddaten!AK559="Deutsch und Englisch",1,2)),"")</f>
        <v/>
      </c>
      <c r="AD554" s="1" t="str">
        <f>IF(AND(Programme_Grunddaten!$A559="Geprüft",Programme_Grunddaten!AL559&lt;&gt;""),IF(Programme_Grunddaten!AL559="Ja",1,0),"")</f>
        <v/>
      </c>
      <c r="AE554" s="1" t="str">
        <f>IF(AND(Programme_Grunddaten!$A559="Geprüft",Programme_Grunddaten!AM559&lt;&gt;""),IF(Programme_Grunddaten!AM559="Ja",1,0),"")</f>
        <v/>
      </c>
      <c r="AF554" s="1" t="str">
        <f>IF(AND(Programme_Grunddaten!$A559="Geprüft",Programme_Grunddaten!AN559&lt;&gt;""),IF(Programme_Grunddaten!AN559="Ja",1,0),"")</f>
        <v/>
      </c>
      <c r="AG554" s="1" t="str">
        <f>IF(AND(Programme_Grunddaten!$A559="Geprüft",Programme_Grunddaten!AO559&lt;&gt;""),IF(Programme_Grunddaten!AO559="Ja",1,0),"")</f>
        <v/>
      </c>
      <c r="AH554" s="1" t="str">
        <f>IF(AND(Programme_Grunddaten!$A559="Geprüft",Programme_Grunddaten!AP559&lt;&gt;""),IF(Programme_Grunddaten!AP559="Ja",1,0),"")</f>
        <v/>
      </c>
      <c r="AI554" s="1" t="str">
        <f>IF(AND(Programme_Grunddaten!$A559="Geprüft",Programme_Grunddaten!AQ559&lt;&gt;""),IF(Programme_Grunddaten!AQ559="Ja",1,0),"")</f>
        <v/>
      </c>
      <c r="AJ554" s="1" t="str">
        <f>IF(AND(Programme_Grunddaten!$A559="Geprüft",Programme_Grunddaten!AR559&lt;&gt;""),IF(Programme_Grunddaten!AR559="Ja",1,0),"")</f>
        <v/>
      </c>
      <c r="AK554" s="1" t="str">
        <f>IF(AND(Programme_Grunddaten!$A559="Geprüft",Programme_Grunddaten!AS559&lt;&gt;""),IF(Programme_Grunddaten!AS559="Ja",1,0),"")</f>
        <v/>
      </c>
      <c r="AL554" s="1" t="str">
        <f>IF(AND(Programme_Grunddaten!$A559="Geprüft",Programme_Grunddaten!AT559&lt;&gt;""),IF(Programme_Grunddaten!AT559="Ja",1,0),"")</f>
        <v/>
      </c>
      <c r="AM554" s="1" t="str">
        <f>IF(AND(Programme_Grunddaten!$A559="Geprüft",Programme_Grunddaten!AU559&lt;&gt;""),IF(Programme_Grunddaten!AU559="Ja",1,0),"")</f>
        <v/>
      </c>
      <c r="AN554" s="1" t="str">
        <f>IF(AND(Programme_Grunddaten!$A559="Geprüft",Programme_Grunddaten!AV559&lt;&gt;""),IF(Programme_Grunddaten!AV559="Ja",1,0),"")</f>
        <v/>
      </c>
    </row>
    <row r="555" spans="1:40" x14ac:dyDescent="0.3">
      <c r="A555" s="1" t="str">
        <f>IF(AND(Programme_Grunddaten!A560="Geprüft",Programme_Grunddaten!B560&lt;&gt;""),Programme_Grunddaten!B560,"")</f>
        <v/>
      </c>
      <c r="B555" s="1" t="str">
        <f>IF(AND(Programme_Grunddaten!$A560="Geprüft",Programme_Grunddaten!I560&lt;&gt;""),IF(Programme_Grunddaten!I560="Ja",1,0),"")</f>
        <v/>
      </c>
      <c r="C555" s="1" t="str">
        <f>IF(AND(Programme_Grunddaten!$A560="Geprüft",Programme_Grunddaten!J560&lt;&gt;""),IF(Programme_Grunddaten!J560="Ja",1,0),"")</f>
        <v/>
      </c>
      <c r="D555" s="1" t="str">
        <f>IF(AND(Programme_Grunddaten!$A560="Geprüft",Programme_Grunddaten!K560&lt;&gt;""),IF(Programme_Grunddaten!K560="Ja",1,0),"")</f>
        <v/>
      </c>
      <c r="E555" s="1" t="str">
        <f>IF(AND(Programme_Grunddaten!$A560="Geprüft",Programme_Grunddaten!L560&lt;&gt;""),IF(Programme_Grunddaten!L560="Abo / befristete Lizenz",1,0),"")</f>
        <v/>
      </c>
      <c r="F555" s="1" t="str">
        <f>IF(AND(Programme_Grunddaten!$A560="Geprüft",Programme_Grunddaten!M560&lt;&gt;""),IF(Programme_Grunddaten!M560="Ja",1,0),"")</f>
        <v/>
      </c>
      <c r="G555" s="1" t="str">
        <f>IF(AND(Programme_Grunddaten!$A560="Geprüft",Programme_Grunddaten!N560&lt;&gt;""),IF(Programme_Grunddaten!N560="Ja",1,0),"")</f>
        <v/>
      </c>
      <c r="H555" s="1" t="str">
        <f>IF(AND(Programme_Grunddaten!$A560="Geprüft",Programme_Grunddaten!O560&lt;&gt;""),IF(Programme_Grunddaten!O560="Deutschland",0,IF(Programme_Grunddaten!O560="EU",1,2)),"")</f>
        <v/>
      </c>
      <c r="I555" s="1" t="str">
        <f>IF(AND(Programme_Grunddaten!$A560="Geprüft",Programme_Grunddaten!P560&lt;&gt;""),IF(Programme_Grunddaten!P560="Ja",1,0),"")</f>
        <v/>
      </c>
      <c r="J555" s="1" t="str">
        <f>IF(AND(Programme_Grunddaten!$A560="Geprüft",Programme_Grunddaten!Q560&lt;&gt;""),IF(Programme_Grunddaten!Q560="geschlossenes System",1,0),"")</f>
        <v/>
      </c>
      <c r="K555" s="1" t="str">
        <f>IF(AND(Programme_Grunddaten!$A560="Geprüft",Programme_Grunddaten!R560&lt;&gt;""),IF(Programme_Grunddaten!R560="Ja",1,0),"")</f>
        <v/>
      </c>
      <c r="L555" s="1" t="str">
        <f>IF(AND(Programme_Grunddaten!$A560="Geprüft",Programme_Grunddaten!T560&lt;&gt;""),IF(Programme_Grunddaten!T560="Ja",1,0),"")</f>
        <v/>
      </c>
      <c r="M555" s="1" t="str">
        <f>IF(AND(Programme_Grunddaten!$A560="Geprüft",Programme_Grunddaten!U560&lt;&gt;""),IF(Programme_Grunddaten!U560="Ja",1,0),"")</f>
        <v/>
      </c>
      <c r="N555" s="1" t="str">
        <f>IF(AND(Programme_Grunddaten!$A560="Geprüft",Programme_Grunddaten!V560&lt;&gt;""),IF(Programme_Grunddaten!V560="Ja",1,0),"")</f>
        <v/>
      </c>
      <c r="O555" s="1" t="str">
        <f>IF(AND(Programme_Grunddaten!$A560="Geprüft",Programme_Grunddaten!W560&lt;&gt;""),IF(Programme_Grunddaten!W560="Ja",1,0),"")</f>
        <v/>
      </c>
      <c r="P555" s="1" t="str">
        <f>IF(AND(Programme_Grunddaten!$A560="Geprüft",Programme_Grunddaten!X560&lt;&gt;""),IF(Programme_Grunddaten!X560="Ja",1,0),"")</f>
        <v/>
      </c>
      <c r="Q555" s="1" t="str">
        <f>IF(AND(Programme_Grunddaten!$A560="Geprüft",Programme_Grunddaten!Y560&lt;&gt;""),IF(Programme_Grunddaten!Y560="Ja",1,0),"")</f>
        <v/>
      </c>
      <c r="R555" s="1" t="str">
        <f>IF(AND(Programme_Grunddaten!$A560="Geprüft",Programme_Grunddaten!Z560&lt;&gt;""),IF(Programme_Grunddaten!Z560="Ja",1,0),"")</f>
        <v/>
      </c>
      <c r="S555" s="1" t="str">
        <f>IF(AND(Programme_Grunddaten!$A560="Geprüft",Programme_Grunddaten!AA560&lt;&gt;""),IF(Programme_Grunddaten!AA560="monolithisch",1,0),"")</f>
        <v/>
      </c>
      <c r="T555" s="1" t="str">
        <f>IF(AND(Programme_Grunddaten!$A560="Geprüft",Programme_Grunddaten!AB560&lt;&gt;""),IF(Programme_Grunddaten!AB560="Ja",1,0),"")</f>
        <v/>
      </c>
      <c r="U555" s="1" t="str">
        <f>IF(AND(Programme_Grunddaten!$A560="Geprüft",Programme_Grunddaten!AC560&lt;&gt;""),IF(Programme_Grunddaten!AC560="Ja",1,0),"")</f>
        <v/>
      </c>
      <c r="V555" s="1" t="str">
        <f>IF(AND(Programme_Grunddaten!$A560="Geprüft",Programme_Grunddaten!AD560&lt;&gt;""),IF(Programme_Grunddaten!AD560="Ja",1,0),"")</f>
        <v/>
      </c>
      <c r="W555" s="1" t="str">
        <f>IF(AND(Programme_Grunddaten!$A560="Geprüft",Programme_Grunddaten!AE560&lt;&gt;""),IF(Programme_Grunddaten!AE560="Ja",1,0),"")</f>
        <v/>
      </c>
      <c r="X555" s="1" t="str">
        <f>IF(AND(Programme_Grunddaten!$A560="Geprüft",Programme_Grunddaten!AF560&lt;&gt;""),IF(Programme_Grunddaten!AF560="Ja",1,0),"")</f>
        <v/>
      </c>
      <c r="Y555" s="1" t="str">
        <f>IF(AND(Programme_Grunddaten!$A560="Geprüft",Programme_Grunddaten!AG560&lt;&gt;""),IF(Programme_Grunddaten!AG560="Ja",1,0),"")</f>
        <v/>
      </c>
      <c r="Z555" s="1" t="str">
        <f>IF(AND(Programme_Grunddaten!$A560="Geprüft",Programme_Grunddaten!AH560&lt;&gt;""),IF(Programme_Grunddaten!AH560="Ja",1,0),"")</f>
        <v/>
      </c>
      <c r="AA555" s="1" t="str">
        <f>IF(AND(Programme_Grunddaten!$A560="Geprüft",Programme_Grunddaten!AI560&lt;&gt;""),IF(Programme_Grunddaten!AI560="Ja",1,0),"")</f>
        <v/>
      </c>
      <c r="AB555" s="1" t="str">
        <f>IF(AND(Programme_Grunddaten!$A560="Geprüft",Programme_Grunddaten!AJ560&lt;&gt;""),IF(Programme_Grunddaten!AJ560="individuell programmierbar",1,0),"")</f>
        <v/>
      </c>
      <c r="AC555" s="1" t="str">
        <f>IF(AND(Programme_Grunddaten!$A560="Geprüft",Programme_Grunddaten!AK560&lt;&gt;""),IF(Programme_Grunddaten!AK560="Deutsch",0,IF(Programme_Grunddaten!AK560="Deutsch und Englisch",1,2)),"")</f>
        <v/>
      </c>
      <c r="AD555" s="1" t="str">
        <f>IF(AND(Programme_Grunddaten!$A560="Geprüft",Programme_Grunddaten!AL560&lt;&gt;""),IF(Programme_Grunddaten!AL560="Ja",1,0),"")</f>
        <v/>
      </c>
      <c r="AE555" s="1" t="str">
        <f>IF(AND(Programme_Grunddaten!$A560="Geprüft",Programme_Grunddaten!AM560&lt;&gt;""),IF(Programme_Grunddaten!AM560="Ja",1,0),"")</f>
        <v/>
      </c>
      <c r="AF555" s="1" t="str">
        <f>IF(AND(Programme_Grunddaten!$A560="Geprüft",Programme_Grunddaten!AN560&lt;&gt;""),IF(Programme_Grunddaten!AN560="Ja",1,0),"")</f>
        <v/>
      </c>
      <c r="AG555" s="1" t="str">
        <f>IF(AND(Programme_Grunddaten!$A560="Geprüft",Programme_Grunddaten!AO560&lt;&gt;""),IF(Programme_Grunddaten!AO560="Ja",1,0),"")</f>
        <v/>
      </c>
      <c r="AH555" s="1" t="str">
        <f>IF(AND(Programme_Grunddaten!$A560="Geprüft",Programme_Grunddaten!AP560&lt;&gt;""),IF(Programme_Grunddaten!AP560="Ja",1,0),"")</f>
        <v/>
      </c>
      <c r="AI555" s="1" t="str">
        <f>IF(AND(Programme_Grunddaten!$A560="Geprüft",Programme_Grunddaten!AQ560&lt;&gt;""),IF(Programme_Grunddaten!AQ560="Ja",1,0),"")</f>
        <v/>
      </c>
      <c r="AJ555" s="1" t="str">
        <f>IF(AND(Programme_Grunddaten!$A560="Geprüft",Programme_Grunddaten!AR560&lt;&gt;""),IF(Programme_Grunddaten!AR560="Ja",1,0),"")</f>
        <v/>
      </c>
      <c r="AK555" s="1" t="str">
        <f>IF(AND(Programme_Grunddaten!$A560="Geprüft",Programme_Grunddaten!AS560&lt;&gt;""),IF(Programme_Grunddaten!AS560="Ja",1,0),"")</f>
        <v/>
      </c>
      <c r="AL555" s="1" t="str">
        <f>IF(AND(Programme_Grunddaten!$A560="Geprüft",Programme_Grunddaten!AT560&lt;&gt;""),IF(Programme_Grunddaten!AT560="Ja",1,0),"")</f>
        <v/>
      </c>
      <c r="AM555" s="1" t="str">
        <f>IF(AND(Programme_Grunddaten!$A560="Geprüft",Programme_Grunddaten!AU560&lt;&gt;""),IF(Programme_Grunddaten!AU560="Ja",1,0),"")</f>
        <v/>
      </c>
      <c r="AN555" s="1" t="str">
        <f>IF(AND(Programme_Grunddaten!$A560="Geprüft",Programme_Grunddaten!AV560&lt;&gt;""),IF(Programme_Grunddaten!AV560="Ja",1,0),"")</f>
        <v/>
      </c>
    </row>
    <row r="556" spans="1:40" x14ac:dyDescent="0.3">
      <c r="A556" s="1" t="str">
        <f>IF(AND(Programme_Grunddaten!A561="Geprüft",Programme_Grunddaten!B561&lt;&gt;""),Programme_Grunddaten!B561,"")</f>
        <v/>
      </c>
      <c r="B556" s="1" t="str">
        <f>IF(AND(Programme_Grunddaten!$A561="Geprüft",Programme_Grunddaten!I561&lt;&gt;""),IF(Programme_Grunddaten!I561="Ja",1,0),"")</f>
        <v/>
      </c>
      <c r="C556" s="1" t="str">
        <f>IF(AND(Programme_Grunddaten!$A561="Geprüft",Programme_Grunddaten!J561&lt;&gt;""),IF(Programme_Grunddaten!J561="Ja",1,0),"")</f>
        <v/>
      </c>
      <c r="D556" s="1" t="str">
        <f>IF(AND(Programme_Grunddaten!$A561="Geprüft",Programme_Grunddaten!K561&lt;&gt;""),IF(Programme_Grunddaten!K561="Ja",1,0),"")</f>
        <v/>
      </c>
      <c r="E556" s="1" t="str">
        <f>IF(AND(Programme_Grunddaten!$A561="Geprüft",Programme_Grunddaten!L561&lt;&gt;""),IF(Programme_Grunddaten!L561="Abo / befristete Lizenz",1,0),"")</f>
        <v/>
      </c>
      <c r="F556" s="1" t="str">
        <f>IF(AND(Programme_Grunddaten!$A561="Geprüft",Programme_Grunddaten!M561&lt;&gt;""),IF(Programme_Grunddaten!M561="Ja",1,0),"")</f>
        <v/>
      </c>
      <c r="G556" s="1" t="str">
        <f>IF(AND(Programme_Grunddaten!$A561="Geprüft",Programme_Grunddaten!N561&lt;&gt;""),IF(Programme_Grunddaten!N561="Ja",1,0),"")</f>
        <v/>
      </c>
      <c r="H556" s="1" t="str">
        <f>IF(AND(Programme_Grunddaten!$A561="Geprüft",Programme_Grunddaten!O561&lt;&gt;""),IF(Programme_Grunddaten!O561="Deutschland",0,IF(Programme_Grunddaten!O561="EU",1,2)),"")</f>
        <v/>
      </c>
      <c r="I556" s="1" t="str">
        <f>IF(AND(Programme_Grunddaten!$A561="Geprüft",Programme_Grunddaten!P561&lt;&gt;""),IF(Programme_Grunddaten!P561="Ja",1,0),"")</f>
        <v/>
      </c>
      <c r="J556" s="1" t="str">
        <f>IF(AND(Programme_Grunddaten!$A561="Geprüft",Programme_Grunddaten!Q561&lt;&gt;""),IF(Programme_Grunddaten!Q561="geschlossenes System",1,0),"")</f>
        <v/>
      </c>
      <c r="K556" s="1" t="str">
        <f>IF(AND(Programme_Grunddaten!$A561="Geprüft",Programme_Grunddaten!R561&lt;&gt;""),IF(Programme_Grunddaten!R561="Ja",1,0),"")</f>
        <v/>
      </c>
      <c r="L556" s="1" t="str">
        <f>IF(AND(Programme_Grunddaten!$A561="Geprüft",Programme_Grunddaten!T561&lt;&gt;""),IF(Programme_Grunddaten!T561="Ja",1,0),"")</f>
        <v/>
      </c>
      <c r="M556" s="1" t="str">
        <f>IF(AND(Programme_Grunddaten!$A561="Geprüft",Programme_Grunddaten!U561&lt;&gt;""),IF(Programme_Grunddaten!U561="Ja",1,0),"")</f>
        <v/>
      </c>
      <c r="N556" s="1" t="str">
        <f>IF(AND(Programme_Grunddaten!$A561="Geprüft",Programme_Grunddaten!V561&lt;&gt;""),IF(Programme_Grunddaten!V561="Ja",1,0),"")</f>
        <v/>
      </c>
      <c r="O556" s="1" t="str">
        <f>IF(AND(Programme_Grunddaten!$A561="Geprüft",Programme_Grunddaten!W561&lt;&gt;""),IF(Programme_Grunddaten!W561="Ja",1,0),"")</f>
        <v/>
      </c>
      <c r="P556" s="1" t="str">
        <f>IF(AND(Programme_Grunddaten!$A561="Geprüft",Programme_Grunddaten!X561&lt;&gt;""),IF(Programme_Grunddaten!X561="Ja",1,0),"")</f>
        <v/>
      </c>
      <c r="Q556" s="1" t="str">
        <f>IF(AND(Programme_Grunddaten!$A561="Geprüft",Programme_Grunddaten!Y561&lt;&gt;""),IF(Programme_Grunddaten!Y561="Ja",1,0),"")</f>
        <v/>
      </c>
      <c r="R556" s="1" t="str">
        <f>IF(AND(Programme_Grunddaten!$A561="Geprüft",Programme_Grunddaten!Z561&lt;&gt;""),IF(Programme_Grunddaten!Z561="Ja",1,0),"")</f>
        <v/>
      </c>
      <c r="S556" s="1" t="str">
        <f>IF(AND(Programme_Grunddaten!$A561="Geprüft",Programme_Grunddaten!AA561&lt;&gt;""),IF(Programme_Grunddaten!AA561="monolithisch",1,0),"")</f>
        <v/>
      </c>
      <c r="T556" s="1" t="str">
        <f>IF(AND(Programme_Grunddaten!$A561="Geprüft",Programme_Grunddaten!AB561&lt;&gt;""),IF(Programme_Grunddaten!AB561="Ja",1,0),"")</f>
        <v/>
      </c>
      <c r="U556" s="1" t="str">
        <f>IF(AND(Programme_Grunddaten!$A561="Geprüft",Programme_Grunddaten!AC561&lt;&gt;""),IF(Programme_Grunddaten!AC561="Ja",1,0),"")</f>
        <v/>
      </c>
      <c r="V556" s="1" t="str">
        <f>IF(AND(Programme_Grunddaten!$A561="Geprüft",Programme_Grunddaten!AD561&lt;&gt;""),IF(Programme_Grunddaten!AD561="Ja",1,0),"")</f>
        <v/>
      </c>
      <c r="W556" s="1" t="str">
        <f>IF(AND(Programme_Grunddaten!$A561="Geprüft",Programme_Grunddaten!AE561&lt;&gt;""),IF(Programme_Grunddaten!AE561="Ja",1,0),"")</f>
        <v/>
      </c>
      <c r="X556" s="1" t="str">
        <f>IF(AND(Programme_Grunddaten!$A561="Geprüft",Programme_Grunddaten!AF561&lt;&gt;""),IF(Programme_Grunddaten!AF561="Ja",1,0),"")</f>
        <v/>
      </c>
      <c r="Y556" s="1" t="str">
        <f>IF(AND(Programme_Grunddaten!$A561="Geprüft",Programme_Grunddaten!AG561&lt;&gt;""),IF(Programme_Grunddaten!AG561="Ja",1,0),"")</f>
        <v/>
      </c>
      <c r="Z556" s="1" t="str">
        <f>IF(AND(Programme_Grunddaten!$A561="Geprüft",Programme_Grunddaten!AH561&lt;&gt;""),IF(Programme_Grunddaten!AH561="Ja",1,0),"")</f>
        <v/>
      </c>
      <c r="AA556" s="1" t="str">
        <f>IF(AND(Programme_Grunddaten!$A561="Geprüft",Programme_Grunddaten!AI561&lt;&gt;""),IF(Programme_Grunddaten!AI561="Ja",1,0),"")</f>
        <v/>
      </c>
      <c r="AB556" s="1" t="str">
        <f>IF(AND(Programme_Grunddaten!$A561="Geprüft",Programme_Grunddaten!AJ561&lt;&gt;""),IF(Programme_Grunddaten!AJ561="individuell programmierbar",1,0),"")</f>
        <v/>
      </c>
      <c r="AC556" s="1" t="str">
        <f>IF(AND(Programme_Grunddaten!$A561="Geprüft",Programme_Grunddaten!AK561&lt;&gt;""),IF(Programme_Grunddaten!AK561="Deutsch",0,IF(Programme_Grunddaten!AK561="Deutsch und Englisch",1,2)),"")</f>
        <v/>
      </c>
      <c r="AD556" s="1" t="str">
        <f>IF(AND(Programme_Grunddaten!$A561="Geprüft",Programme_Grunddaten!AL561&lt;&gt;""),IF(Programme_Grunddaten!AL561="Ja",1,0),"")</f>
        <v/>
      </c>
      <c r="AE556" s="1" t="str">
        <f>IF(AND(Programme_Grunddaten!$A561="Geprüft",Programme_Grunddaten!AM561&lt;&gt;""),IF(Programme_Grunddaten!AM561="Ja",1,0),"")</f>
        <v/>
      </c>
      <c r="AF556" s="1" t="str">
        <f>IF(AND(Programme_Grunddaten!$A561="Geprüft",Programme_Grunddaten!AN561&lt;&gt;""),IF(Programme_Grunddaten!AN561="Ja",1,0),"")</f>
        <v/>
      </c>
      <c r="AG556" s="1" t="str">
        <f>IF(AND(Programme_Grunddaten!$A561="Geprüft",Programme_Grunddaten!AO561&lt;&gt;""),IF(Programme_Grunddaten!AO561="Ja",1,0),"")</f>
        <v/>
      </c>
      <c r="AH556" s="1" t="str">
        <f>IF(AND(Programme_Grunddaten!$A561="Geprüft",Programme_Grunddaten!AP561&lt;&gt;""),IF(Programme_Grunddaten!AP561="Ja",1,0),"")</f>
        <v/>
      </c>
      <c r="AI556" s="1" t="str">
        <f>IF(AND(Programme_Grunddaten!$A561="Geprüft",Programme_Grunddaten!AQ561&lt;&gt;""),IF(Programme_Grunddaten!AQ561="Ja",1,0),"")</f>
        <v/>
      </c>
      <c r="AJ556" s="1" t="str">
        <f>IF(AND(Programme_Grunddaten!$A561="Geprüft",Programme_Grunddaten!AR561&lt;&gt;""),IF(Programme_Grunddaten!AR561="Ja",1,0),"")</f>
        <v/>
      </c>
      <c r="AK556" s="1" t="str">
        <f>IF(AND(Programme_Grunddaten!$A561="Geprüft",Programme_Grunddaten!AS561&lt;&gt;""),IF(Programme_Grunddaten!AS561="Ja",1,0),"")</f>
        <v/>
      </c>
      <c r="AL556" s="1" t="str">
        <f>IF(AND(Programme_Grunddaten!$A561="Geprüft",Programme_Grunddaten!AT561&lt;&gt;""),IF(Programme_Grunddaten!AT561="Ja",1,0),"")</f>
        <v/>
      </c>
      <c r="AM556" s="1" t="str">
        <f>IF(AND(Programme_Grunddaten!$A561="Geprüft",Programme_Grunddaten!AU561&lt;&gt;""),IF(Programme_Grunddaten!AU561="Ja",1,0),"")</f>
        <v/>
      </c>
      <c r="AN556" s="1" t="str">
        <f>IF(AND(Programme_Grunddaten!$A561="Geprüft",Programme_Grunddaten!AV561&lt;&gt;""),IF(Programme_Grunddaten!AV561="Ja",1,0),"")</f>
        <v/>
      </c>
    </row>
    <row r="557" spans="1:40" x14ac:dyDescent="0.3">
      <c r="A557" s="1" t="str">
        <f>IF(AND(Programme_Grunddaten!A562="Geprüft",Programme_Grunddaten!B562&lt;&gt;""),Programme_Grunddaten!B562,"")</f>
        <v/>
      </c>
      <c r="B557" s="1" t="str">
        <f>IF(AND(Programme_Grunddaten!$A562="Geprüft",Programme_Grunddaten!I562&lt;&gt;""),IF(Programme_Grunddaten!I562="Ja",1,0),"")</f>
        <v/>
      </c>
      <c r="C557" s="1" t="str">
        <f>IF(AND(Programme_Grunddaten!$A562="Geprüft",Programme_Grunddaten!J562&lt;&gt;""),IF(Programme_Grunddaten!J562="Ja",1,0),"")</f>
        <v/>
      </c>
      <c r="D557" s="1" t="str">
        <f>IF(AND(Programme_Grunddaten!$A562="Geprüft",Programme_Grunddaten!K562&lt;&gt;""),IF(Programme_Grunddaten!K562="Ja",1,0),"")</f>
        <v/>
      </c>
      <c r="E557" s="1" t="str">
        <f>IF(AND(Programme_Grunddaten!$A562="Geprüft",Programme_Grunddaten!L562&lt;&gt;""),IF(Programme_Grunddaten!L562="Abo / befristete Lizenz",1,0),"")</f>
        <v/>
      </c>
      <c r="F557" s="1" t="str">
        <f>IF(AND(Programme_Grunddaten!$A562="Geprüft",Programme_Grunddaten!M562&lt;&gt;""),IF(Programme_Grunddaten!M562="Ja",1,0),"")</f>
        <v/>
      </c>
      <c r="G557" s="1" t="str">
        <f>IF(AND(Programme_Grunddaten!$A562="Geprüft",Programme_Grunddaten!N562&lt;&gt;""),IF(Programme_Grunddaten!N562="Ja",1,0),"")</f>
        <v/>
      </c>
      <c r="H557" s="1" t="str">
        <f>IF(AND(Programme_Grunddaten!$A562="Geprüft",Programme_Grunddaten!O562&lt;&gt;""),IF(Programme_Grunddaten!O562="Deutschland",0,IF(Programme_Grunddaten!O562="EU",1,2)),"")</f>
        <v/>
      </c>
      <c r="I557" s="1" t="str">
        <f>IF(AND(Programme_Grunddaten!$A562="Geprüft",Programme_Grunddaten!P562&lt;&gt;""),IF(Programme_Grunddaten!P562="Ja",1,0),"")</f>
        <v/>
      </c>
      <c r="J557" s="1" t="str">
        <f>IF(AND(Programme_Grunddaten!$A562="Geprüft",Programme_Grunddaten!Q562&lt;&gt;""),IF(Programme_Grunddaten!Q562="geschlossenes System",1,0),"")</f>
        <v/>
      </c>
      <c r="K557" s="1" t="str">
        <f>IF(AND(Programme_Grunddaten!$A562="Geprüft",Programme_Grunddaten!R562&lt;&gt;""),IF(Programme_Grunddaten!R562="Ja",1,0),"")</f>
        <v/>
      </c>
      <c r="L557" s="1" t="str">
        <f>IF(AND(Programme_Grunddaten!$A562="Geprüft",Programme_Grunddaten!T562&lt;&gt;""),IF(Programme_Grunddaten!T562="Ja",1,0),"")</f>
        <v/>
      </c>
      <c r="M557" s="1" t="str">
        <f>IF(AND(Programme_Grunddaten!$A562="Geprüft",Programme_Grunddaten!U562&lt;&gt;""),IF(Programme_Grunddaten!U562="Ja",1,0),"")</f>
        <v/>
      </c>
      <c r="N557" s="1" t="str">
        <f>IF(AND(Programme_Grunddaten!$A562="Geprüft",Programme_Grunddaten!V562&lt;&gt;""),IF(Programme_Grunddaten!V562="Ja",1,0),"")</f>
        <v/>
      </c>
      <c r="O557" s="1" t="str">
        <f>IF(AND(Programme_Grunddaten!$A562="Geprüft",Programme_Grunddaten!W562&lt;&gt;""),IF(Programme_Grunddaten!W562="Ja",1,0),"")</f>
        <v/>
      </c>
      <c r="P557" s="1" t="str">
        <f>IF(AND(Programme_Grunddaten!$A562="Geprüft",Programme_Grunddaten!X562&lt;&gt;""),IF(Programme_Grunddaten!X562="Ja",1,0),"")</f>
        <v/>
      </c>
      <c r="Q557" s="1" t="str">
        <f>IF(AND(Programme_Grunddaten!$A562="Geprüft",Programme_Grunddaten!Y562&lt;&gt;""),IF(Programme_Grunddaten!Y562="Ja",1,0),"")</f>
        <v/>
      </c>
      <c r="R557" s="1" t="str">
        <f>IF(AND(Programme_Grunddaten!$A562="Geprüft",Programme_Grunddaten!Z562&lt;&gt;""),IF(Programme_Grunddaten!Z562="Ja",1,0),"")</f>
        <v/>
      </c>
      <c r="S557" s="1" t="str">
        <f>IF(AND(Programme_Grunddaten!$A562="Geprüft",Programme_Grunddaten!AA562&lt;&gt;""),IF(Programme_Grunddaten!AA562="monolithisch",1,0),"")</f>
        <v/>
      </c>
      <c r="T557" s="1" t="str">
        <f>IF(AND(Programme_Grunddaten!$A562="Geprüft",Programme_Grunddaten!AB562&lt;&gt;""),IF(Programme_Grunddaten!AB562="Ja",1,0),"")</f>
        <v/>
      </c>
      <c r="U557" s="1" t="str">
        <f>IF(AND(Programme_Grunddaten!$A562="Geprüft",Programme_Grunddaten!AC562&lt;&gt;""),IF(Programme_Grunddaten!AC562="Ja",1,0),"")</f>
        <v/>
      </c>
      <c r="V557" s="1" t="str">
        <f>IF(AND(Programme_Grunddaten!$A562="Geprüft",Programme_Grunddaten!AD562&lt;&gt;""),IF(Programme_Grunddaten!AD562="Ja",1,0),"")</f>
        <v/>
      </c>
      <c r="W557" s="1" t="str">
        <f>IF(AND(Programme_Grunddaten!$A562="Geprüft",Programme_Grunddaten!AE562&lt;&gt;""),IF(Programme_Grunddaten!AE562="Ja",1,0),"")</f>
        <v/>
      </c>
      <c r="X557" s="1" t="str">
        <f>IF(AND(Programme_Grunddaten!$A562="Geprüft",Programme_Grunddaten!AF562&lt;&gt;""),IF(Programme_Grunddaten!AF562="Ja",1,0),"")</f>
        <v/>
      </c>
      <c r="Y557" s="1" t="str">
        <f>IF(AND(Programme_Grunddaten!$A562="Geprüft",Programme_Grunddaten!AG562&lt;&gt;""),IF(Programme_Grunddaten!AG562="Ja",1,0),"")</f>
        <v/>
      </c>
      <c r="Z557" s="1" t="str">
        <f>IF(AND(Programme_Grunddaten!$A562="Geprüft",Programme_Grunddaten!AH562&lt;&gt;""),IF(Programme_Grunddaten!AH562="Ja",1,0),"")</f>
        <v/>
      </c>
      <c r="AA557" s="1" t="str">
        <f>IF(AND(Programme_Grunddaten!$A562="Geprüft",Programme_Grunddaten!AI562&lt;&gt;""),IF(Programme_Grunddaten!AI562="Ja",1,0),"")</f>
        <v/>
      </c>
      <c r="AB557" s="1" t="str">
        <f>IF(AND(Programme_Grunddaten!$A562="Geprüft",Programme_Grunddaten!AJ562&lt;&gt;""),IF(Programme_Grunddaten!AJ562="individuell programmierbar",1,0),"")</f>
        <v/>
      </c>
      <c r="AC557" s="1" t="str">
        <f>IF(AND(Programme_Grunddaten!$A562="Geprüft",Programme_Grunddaten!AK562&lt;&gt;""),IF(Programme_Grunddaten!AK562="Deutsch",0,IF(Programme_Grunddaten!AK562="Deutsch und Englisch",1,2)),"")</f>
        <v/>
      </c>
      <c r="AD557" s="1" t="str">
        <f>IF(AND(Programme_Grunddaten!$A562="Geprüft",Programme_Grunddaten!AL562&lt;&gt;""),IF(Programme_Grunddaten!AL562="Ja",1,0),"")</f>
        <v/>
      </c>
      <c r="AE557" s="1" t="str">
        <f>IF(AND(Programme_Grunddaten!$A562="Geprüft",Programme_Grunddaten!AM562&lt;&gt;""),IF(Programme_Grunddaten!AM562="Ja",1,0),"")</f>
        <v/>
      </c>
      <c r="AF557" s="1" t="str">
        <f>IF(AND(Programme_Grunddaten!$A562="Geprüft",Programme_Grunddaten!AN562&lt;&gt;""),IF(Programme_Grunddaten!AN562="Ja",1,0),"")</f>
        <v/>
      </c>
      <c r="AG557" s="1" t="str">
        <f>IF(AND(Programme_Grunddaten!$A562="Geprüft",Programme_Grunddaten!AO562&lt;&gt;""),IF(Programme_Grunddaten!AO562="Ja",1,0),"")</f>
        <v/>
      </c>
      <c r="AH557" s="1" t="str">
        <f>IF(AND(Programme_Grunddaten!$A562="Geprüft",Programme_Grunddaten!AP562&lt;&gt;""),IF(Programme_Grunddaten!AP562="Ja",1,0),"")</f>
        <v/>
      </c>
      <c r="AI557" s="1" t="str">
        <f>IF(AND(Programme_Grunddaten!$A562="Geprüft",Programme_Grunddaten!AQ562&lt;&gt;""),IF(Programme_Grunddaten!AQ562="Ja",1,0),"")</f>
        <v/>
      </c>
      <c r="AJ557" s="1" t="str">
        <f>IF(AND(Programme_Grunddaten!$A562="Geprüft",Programme_Grunddaten!AR562&lt;&gt;""),IF(Programme_Grunddaten!AR562="Ja",1,0),"")</f>
        <v/>
      </c>
      <c r="AK557" s="1" t="str">
        <f>IF(AND(Programme_Grunddaten!$A562="Geprüft",Programme_Grunddaten!AS562&lt;&gt;""),IF(Programme_Grunddaten!AS562="Ja",1,0),"")</f>
        <v/>
      </c>
      <c r="AL557" s="1" t="str">
        <f>IF(AND(Programme_Grunddaten!$A562="Geprüft",Programme_Grunddaten!AT562&lt;&gt;""),IF(Programme_Grunddaten!AT562="Ja",1,0),"")</f>
        <v/>
      </c>
      <c r="AM557" s="1" t="str">
        <f>IF(AND(Programme_Grunddaten!$A562="Geprüft",Programme_Grunddaten!AU562&lt;&gt;""),IF(Programme_Grunddaten!AU562="Ja",1,0),"")</f>
        <v/>
      </c>
      <c r="AN557" s="1" t="str">
        <f>IF(AND(Programme_Grunddaten!$A562="Geprüft",Programme_Grunddaten!AV562&lt;&gt;""),IF(Programme_Grunddaten!AV562="Ja",1,0),"")</f>
        <v/>
      </c>
    </row>
    <row r="558" spans="1:40" x14ac:dyDescent="0.3">
      <c r="A558" s="1" t="str">
        <f>IF(AND(Programme_Grunddaten!A563="Geprüft",Programme_Grunddaten!B563&lt;&gt;""),Programme_Grunddaten!B563,"")</f>
        <v/>
      </c>
      <c r="B558" s="1" t="str">
        <f>IF(AND(Programme_Grunddaten!$A563="Geprüft",Programme_Grunddaten!I563&lt;&gt;""),IF(Programme_Grunddaten!I563="Ja",1,0),"")</f>
        <v/>
      </c>
      <c r="C558" s="1" t="str">
        <f>IF(AND(Programme_Grunddaten!$A563="Geprüft",Programme_Grunddaten!J563&lt;&gt;""),IF(Programme_Grunddaten!J563="Ja",1,0),"")</f>
        <v/>
      </c>
      <c r="D558" s="1" t="str">
        <f>IF(AND(Programme_Grunddaten!$A563="Geprüft",Programme_Grunddaten!K563&lt;&gt;""),IF(Programme_Grunddaten!K563="Ja",1,0),"")</f>
        <v/>
      </c>
      <c r="E558" s="1" t="str">
        <f>IF(AND(Programme_Grunddaten!$A563="Geprüft",Programme_Grunddaten!L563&lt;&gt;""),IF(Programme_Grunddaten!L563="Abo / befristete Lizenz",1,0),"")</f>
        <v/>
      </c>
      <c r="F558" s="1" t="str">
        <f>IF(AND(Programme_Grunddaten!$A563="Geprüft",Programme_Grunddaten!M563&lt;&gt;""),IF(Programme_Grunddaten!M563="Ja",1,0),"")</f>
        <v/>
      </c>
      <c r="G558" s="1" t="str">
        <f>IF(AND(Programme_Grunddaten!$A563="Geprüft",Programme_Grunddaten!N563&lt;&gt;""),IF(Programme_Grunddaten!N563="Ja",1,0),"")</f>
        <v/>
      </c>
      <c r="H558" s="1" t="str">
        <f>IF(AND(Programme_Grunddaten!$A563="Geprüft",Programme_Grunddaten!O563&lt;&gt;""),IF(Programme_Grunddaten!O563="Deutschland",0,IF(Programme_Grunddaten!O563="EU",1,2)),"")</f>
        <v/>
      </c>
      <c r="I558" s="1" t="str">
        <f>IF(AND(Programme_Grunddaten!$A563="Geprüft",Programme_Grunddaten!P563&lt;&gt;""),IF(Programme_Grunddaten!P563="Ja",1,0),"")</f>
        <v/>
      </c>
      <c r="J558" s="1" t="str">
        <f>IF(AND(Programme_Grunddaten!$A563="Geprüft",Programme_Grunddaten!Q563&lt;&gt;""),IF(Programme_Grunddaten!Q563="geschlossenes System",1,0),"")</f>
        <v/>
      </c>
      <c r="K558" s="1" t="str">
        <f>IF(AND(Programme_Grunddaten!$A563="Geprüft",Programme_Grunddaten!R563&lt;&gt;""),IF(Programme_Grunddaten!R563="Ja",1,0),"")</f>
        <v/>
      </c>
      <c r="L558" s="1" t="str">
        <f>IF(AND(Programme_Grunddaten!$A563="Geprüft",Programme_Grunddaten!T563&lt;&gt;""),IF(Programme_Grunddaten!T563="Ja",1,0),"")</f>
        <v/>
      </c>
      <c r="M558" s="1" t="str">
        <f>IF(AND(Programme_Grunddaten!$A563="Geprüft",Programme_Grunddaten!U563&lt;&gt;""),IF(Programme_Grunddaten!U563="Ja",1,0),"")</f>
        <v/>
      </c>
      <c r="N558" s="1" t="str">
        <f>IF(AND(Programme_Grunddaten!$A563="Geprüft",Programme_Grunddaten!V563&lt;&gt;""),IF(Programme_Grunddaten!V563="Ja",1,0),"")</f>
        <v/>
      </c>
      <c r="O558" s="1" t="str">
        <f>IF(AND(Programme_Grunddaten!$A563="Geprüft",Programme_Grunddaten!W563&lt;&gt;""),IF(Programme_Grunddaten!W563="Ja",1,0),"")</f>
        <v/>
      </c>
      <c r="P558" s="1" t="str">
        <f>IF(AND(Programme_Grunddaten!$A563="Geprüft",Programme_Grunddaten!X563&lt;&gt;""),IF(Programme_Grunddaten!X563="Ja",1,0),"")</f>
        <v/>
      </c>
      <c r="Q558" s="1" t="str">
        <f>IF(AND(Programme_Grunddaten!$A563="Geprüft",Programme_Grunddaten!Y563&lt;&gt;""),IF(Programme_Grunddaten!Y563="Ja",1,0),"")</f>
        <v/>
      </c>
      <c r="R558" s="1" t="str">
        <f>IF(AND(Programme_Grunddaten!$A563="Geprüft",Programme_Grunddaten!Z563&lt;&gt;""),IF(Programme_Grunddaten!Z563="Ja",1,0),"")</f>
        <v/>
      </c>
      <c r="S558" s="1" t="str">
        <f>IF(AND(Programme_Grunddaten!$A563="Geprüft",Programme_Grunddaten!AA563&lt;&gt;""),IF(Programme_Grunddaten!AA563="monolithisch",1,0),"")</f>
        <v/>
      </c>
      <c r="T558" s="1" t="str">
        <f>IF(AND(Programme_Grunddaten!$A563="Geprüft",Programme_Grunddaten!AB563&lt;&gt;""),IF(Programme_Grunddaten!AB563="Ja",1,0),"")</f>
        <v/>
      </c>
      <c r="U558" s="1" t="str">
        <f>IF(AND(Programme_Grunddaten!$A563="Geprüft",Programme_Grunddaten!AC563&lt;&gt;""),IF(Programme_Grunddaten!AC563="Ja",1,0),"")</f>
        <v/>
      </c>
      <c r="V558" s="1" t="str">
        <f>IF(AND(Programme_Grunddaten!$A563="Geprüft",Programme_Grunddaten!AD563&lt;&gt;""),IF(Programme_Grunddaten!AD563="Ja",1,0),"")</f>
        <v/>
      </c>
      <c r="W558" s="1" t="str">
        <f>IF(AND(Programme_Grunddaten!$A563="Geprüft",Programme_Grunddaten!AE563&lt;&gt;""),IF(Programme_Grunddaten!AE563="Ja",1,0),"")</f>
        <v/>
      </c>
      <c r="X558" s="1" t="str">
        <f>IF(AND(Programme_Grunddaten!$A563="Geprüft",Programme_Grunddaten!AF563&lt;&gt;""),IF(Programme_Grunddaten!AF563="Ja",1,0),"")</f>
        <v/>
      </c>
      <c r="Y558" s="1" t="str">
        <f>IF(AND(Programme_Grunddaten!$A563="Geprüft",Programme_Grunddaten!AG563&lt;&gt;""),IF(Programme_Grunddaten!AG563="Ja",1,0),"")</f>
        <v/>
      </c>
      <c r="Z558" s="1" t="str">
        <f>IF(AND(Programme_Grunddaten!$A563="Geprüft",Programme_Grunddaten!AH563&lt;&gt;""),IF(Programme_Grunddaten!AH563="Ja",1,0),"")</f>
        <v/>
      </c>
      <c r="AA558" s="1" t="str">
        <f>IF(AND(Programme_Grunddaten!$A563="Geprüft",Programme_Grunddaten!AI563&lt;&gt;""),IF(Programme_Grunddaten!AI563="Ja",1,0),"")</f>
        <v/>
      </c>
      <c r="AB558" s="1" t="str">
        <f>IF(AND(Programme_Grunddaten!$A563="Geprüft",Programme_Grunddaten!AJ563&lt;&gt;""),IF(Programme_Grunddaten!AJ563="individuell programmierbar",1,0),"")</f>
        <v/>
      </c>
      <c r="AC558" s="1" t="str">
        <f>IF(AND(Programme_Grunddaten!$A563="Geprüft",Programme_Grunddaten!AK563&lt;&gt;""),IF(Programme_Grunddaten!AK563="Deutsch",0,IF(Programme_Grunddaten!AK563="Deutsch und Englisch",1,2)),"")</f>
        <v/>
      </c>
      <c r="AD558" s="1" t="str">
        <f>IF(AND(Programme_Grunddaten!$A563="Geprüft",Programme_Grunddaten!AL563&lt;&gt;""),IF(Programme_Grunddaten!AL563="Ja",1,0),"")</f>
        <v/>
      </c>
      <c r="AE558" s="1" t="str">
        <f>IF(AND(Programme_Grunddaten!$A563="Geprüft",Programme_Grunddaten!AM563&lt;&gt;""),IF(Programme_Grunddaten!AM563="Ja",1,0),"")</f>
        <v/>
      </c>
      <c r="AF558" s="1" t="str">
        <f>IF(AND(Programme_Grunddaten!$A563="Geprüft",Programme_Grunddaten!AN563&lt;&gt;""),IF(Programme_Grunddaten!AN563="Ja",1,0),"")</f>
        <v/>
      </c>
      <c r="AG558" s="1" t="str">
        <f>IF(AND(Programme_Grunddaten!$A563="Geprüft",Programme_Grunddaten!AO563&lt;&gt;""),IF(Programme_Grunddaten!AO563="Ja",1,0),"")</f>
        <v/>
      </c>
      <c r="AH558" s="1" t="str">
        <f>IF(AND(Programme_Grunddaten!$A563="Geprüft",Programme_Grunddaten!AP563&lt;&gt;""),IF(Programme_Grunddaten!AP563="Ja",1,0),"")</f>
        <v/>
      </c>
      <c r="AI558" s="1" t="str">
        <f>IF(AND(Programme_Grunddaten!$A563="Geprüft",Programme_Grunddaten!AQ563&lt;&gt;""),IF(Programme_Grunddaten!AQ563="Ja",1,0),"")</f>
        <v/>
      </c>
      <c r="AJ558" s="1" t="str">
        <f>IF(AND(Programme_Grunddaten!$A563="Geprüft",Programme_Grunddaten!AR563&lt;&gt;""),IF(Programme_Grunddaten!AR563="Ja",1,0),"")</f>
        <v/>
      </c>
      <c r="AK558" s="1" t="str">
        <f>IF(AND(Programme_Grunddaten!$A563="Geprüft",Programme_Grunddaten!AS563&lt;&gt;""),IF(Programme_Grunddaten!AS563="Ja",1,0),"")</f>
        <v/>
      </c>
      <c r="AL558" s="1" t="str">
        <f>IF(AND(Programme_Grunddaten!$A563="Geprüft",Programme_Grunddaten!AT563&lt;&gt;""),IF(Programme_Grunddaten!AT563="Ja",1,0),"")</f>
        <v/>
      </c>
      <c r="AM558" s="1" t="str">
        <f>IF(AND(Programme_Grunddaten!$A563="Geprüft",Programme_Grunddaten!AU563&lt;&gt;""),IF(Programme_Grunddaten!AU563="Ja",1,0),"")</f>
        <v/>
      </c>
      <c r="AN558" s="1" t="str">
        <f>IF(AND(Programme_Grunddaten!$A563="Geprüft",Programme_Grunddaten!AV563&lt;&gt;""),IF(Programme_Grunddaten!AV563="Ja",1,0),"")</f>
        <v/>
      </c>
    </row>
    <row r="559" spans="1:40" x14ac:dyDescent="0.3">
      <c r="A559" s="1" t="str">
        <f>IF(AND(Programme_Grunddaten!A564="Geprüft",Programme_Grunddaten!B564&lt;&gt;""),Programme_Grunddaten!B564,"")</f>
        <v/>
      </c>
      <c r="B559" s="1" t="str">
        <f>IF(AND(Programme_Grunddaten!$A564="Geprüft",Programme_Grunddaten!I564&lt;&gt;""),IF(Programme_Grunddaten!I564="Ja",1,0),"")</f>
        <v/>
      </c>
      <c r="C559" s="1" t="str">
        <f>IF(AND(Programme_Grunddaten!$A564="Geprüft",Programme_Grunddaten!J564&lt;&gt;""),IF(Programme_Grunddaten!J564="Ja",1,0),"")</f>
        <v/>
      </c>
      <c r="D559" s="1" t="str">
        <f>IF(AND(Programme_Grunddaten!$A564="Geprüft",Programme_Grunddaten!K564&lt;&gt;""),IF(Programme_Grunddaten!K564="Ja",1,0),"")</f>
        <v/>
      </c>
      <c r="E559" s="1" t="str">
        <f>IF(AND(Programme_Grunddaten!$A564="Geprüft",Programme_Grunddaten!L564&lt;&gt;""),IF(Programme_Grunddaten!L564="Abo / befristete Lizenz",1,0),"")</f>
        <v/>
      </c>
      <c r="F559" s="1" t="str">
        <f>IF(AND(Programme_Grunddaten!$A564="Geprüft",Programme_Grunddaten!M564&lt;&gt;""),IF(Programme_Grunddaten!M564="Ja",1,0),"")</f>
        <v/>
      </c>
      <c r="G559" s="1" t="str">
        <f>IF(AND(Programme_Grunddaten!$A564="Geprüft",Programme_Grunddaten!N564&lt;&gt;""),IF(Programme_Grunddaten!N564="Ja",1,0),"")</f>
        <v/>
      </c>
      <c r="H559" s="1" t="str">
        <f>IF(AND(Programme_Grunddaten!$A564="Geprüft",Programme_Grunddaten!O564&lt;&gt;""),IF(Programme_Grunddaten!O564="Deutschland",0,IF(Programme_Grunddaten!O564="EU",1,2)),"")</f>
        <v/>
      </c>
      <c r="I559" s="1" t="str">
        <f>IF(AND(Programme_Grunddaten!$A564="Geprüft",Programme_Grunddaten!P564&lt;&gt;""),IF(Programme_Grunddaten!P564="Ja",1,0),"")</f>
        <v/>
      </c>
      <c r="J559" s="1" t="str">
        <f>IF(AND(Programme_Grunddaten!$A564="Geprüft",Programme_Grunddaten!Q564&lt;&gt;""),IF(Programme_Grunddaten!Q564="geschlossenes System",1,0),"")</f>
        <v/>
      </c>
      <c r="K559" s="1" t="str">
        <f>IF(AND(Programme_Grunddaten!$A564="Geprüft",Programme_Grunddaten!R564&lt;&gt;""),IF(Programme_Grunddaten!R564="Ja",1,0),"")</f>
        <v/>
      </c>
      <c r="L559" s="1" t="str">
        <f>IF(AND(Programme_Grunddaten!$A564="Geprüft",Programme_Grunddaten!T564&lt;&gt;""),IF(Programme_Grunddaten!T564="Ja",1,0),"")</f>
        <v/>
      </c>
      <c r="M559" s="1" t="str">
        <f>IF(AND(Programme_Grunddaten!$A564="Geprüft",Programme_Grunddaten!U564&lt;&gt;""),IF(Programme_Grunddaten!U564="Ja",1,0),"")</f>
        <v/>
      </c>
      <c r="N559" s="1" t="str">
        <f>IF(AND(Programme_Grunddaten!$A564="Geprüft",Programme_Grunddaten!V564&lt;&gt;""),IF(Programme_Grunddaten!V564="Ja",1,0),"")</f>
        <v/>
      </c>
      <c r="O559" s="1" t="str">
        <f>IF(AND(Programme_Grunddaten!$A564="Geprüft",Programme_Grunddaten!W564&lt;&gt;""),IF(Programme_Grunddaten!W564="Ja",1,0),"")</f>
        <v/>
      </c>
      <c r="P559" s="1" t="str">
        <f>IF(AND(Programme_Grunddaten!$A564="Geprüft",Programme_Grunddaten!X564&lt;&gt;""),IF(Programme_Grunddaten!X564="Ja",1,0),"")</f>
        <v/>
      </c>
      <c r="Q559" s="1" t="str">
        <f>IF(AND(Programme_Grunddaten!$A564="Geprüft",Programme_Grunddaten!Y564&lt;&gt;""),IF(Programme_Grunddaten!Y564="Ja",1,0),"")</f>
        <v/>
      </c>
      <c r="R559" s="1" t="str">
        <f>IF(AND(Programme_Grunddaten!$A564="Geprüft",Programme_Grunddaten!Z564&lt;&gt;""),IF(Programme_Grunddaten!Z564="Ja",1,0),"")</f>
        <v/>
      </c>
      <c r="S559" s="1" t="str">
        <f>IF(AND(Programme_Grunddaten!$A564="Geprüft",Programme_Grunddaten!AA564&lt;&gt;""),IF(Programme_Grunddaten!AA564="monolithisch",1,0),"")</f>
        <v/>
      </c>
      <c r="T559" s="1" t="str">
        <f>IF(AND(Programme_Grunddaten!$A564="Geprüft",Programme_Grunddaten!AB564&lt;&gt;""),IF(Programme_Grunddaten!AB564="Ja",1,0),"")</f>
        <v/>
      </c>
      <c r="U559" s="1" t="str">
        <f>IF(AND(Programme_Grunddaten!$A564="Geprüft",Programme_Grunddaten!AC564&lt;&gt;""),IF(Programme_Grunddaten!AC564="Ja",1,0),"")</f>
        <v/>
      </c>
      <c r="V559" s="1" t="str">
        <f>IF(AND(Programme_Grunddaten!$A564="Geprüft",Programme_Grunddaten!AD564&lt;&gt;""),IF(Programme_Grunddaten!AD564="Ja",1,0),"")</f>
        <v/>
      </c>
      <c r="W559" s="1" t="str">
        <f>IF(AND(Programme_Grunddaten!$A564="Geprüft",Programme_Grunddaten!AE564&lt;&gt;""),IF(Programme_Grunddaten!AE564="Ja",1,0),"")</f>
        <v/>
      </c>
      <c r="X559" s="1" t="str">
        <f>IF(AND(Programme_Grunddaten!$A564="Geprüft",Programme_Grunddaten!AF564&lt;&gt;""),IF(Programme_Grunddaten!AF564="Ja",1,0),"")</f>
        <v/>
      </c>
      <c r="Y559" s="1" t="str">
        <f>IF(AND(Programme_Grunddaten!$A564="Geprüft",Programme_Grunddaten!AG564&lt;&gt;""),IF(Programme_Grunddaten!AG564="Ja",1,0),"")</f>
        <v/>
      </c>
      <c r="Z559" s="1" t="str">
        <f>IF(AND(Programme_Grunddaten!$A564="Geprüft",Programme_Grunddaten!AH564&lt;&gt;""),IF(Programme_Grunddaten!AH564="Ja",1,0),"")</f>
        <v/>
      </c>
      <c r="AA559" s="1" t="str">
        <f>IF(AND(Programme_Grunddaten!$A564="Geprüft",Programme_Grunddaten!AI564&lt;&gt;""),IF(Programme_Grunddaten!AI564="Ja",1,0),"")</f>
        <v/>
      </c>
      <c r="AB559" s="1" t="str">
        <f>IF(AND(Programme_Grunddaten!$A564="Geprüft",Programme_Grunddaten!AJ564&lt;&gt;""),IF(Programme_Grunddaten!AJ564="individuell programmierbar",1,0),"")</f>
        <v/>
      </c>
      <c r="AC559" s="1" t="str">
        <f>IF(AND(Programme_Grunddaten!$A564="Geprüft",Programme_Grunddaten!AK564&lt;&gt;""),IF(Programme_Grunddaten!AK564="Deutsch",0,IF(Programme_Grunddaten!AK564="Deutsch und Englisch",1,2)),"")</f>
        <v/>
      </c>
      <c r="AD559" s="1" t="str">
        <f>IF(AND(Programme_Grunddaten!$A564="Geprüft",Programme_Grunddaten!AL564&lt;&gt;""),IF(Programme_Grunddaten!AL564="Ja",1,0),"")</f>
        <v/>
      </c>
      <c r="AE559" s="1" t="str">
        <f>IF(AND(Programme_Grunddaten!$A564="Geprüft",Programme_Grunddaten!AM564&lt;&gt;""),IF(Programme_Grunddaten!AM564="Ja",1,0),"")</f>
        <v/>
      </c>
      <c r="AF559" s="1" t="str">
        <f>IF(AND(Programme_Grunddaten!$A564="Geprüft",Programme_Grunddaten!AN564&lt;&gt;""),IF(Programme_Grunddaten!AN564="Ja",1,0),"")</f>
        <v/>
      </c>
      <c r="AG559" s="1" t="str">
        <f>IF(AND(Programme_Grunddaten!$A564="Geprüft",Programme_Grunddaten!AO564&lt;&gt;""),IF(Programme_Grunddaten!AO564="Ja",1,0),"")</f>
        <v/>
      </c>
      <c r="AH559" s="1" t="str">
        <f>IF(AND(Programme_Grunddaten!$A564="Geprüft",Programme_Grunddaten!AP564&lt;&gt;""),IF(Programme_Grunddaten!AP564="Ja",1,0),"")</f>
        <v/>
      </c>
      <c r="AI559" s="1" t="str">
        <f>IF(AND(Programme_Grunddaten!$A564="Geprüft",Programme_Grunddaten!AQ564&lt;&gt;""),IF(Programme_Grunddaten!AQ564="Ja",1,0),"")</f>
        <v/>
      </c>
      <c r="AJ559" s="1" t="str">
        <f>IF(AND(Programme_Grunddaten!$A564="Geprüft",Programme_Grunddaten!AR564&lt;&gt;""),IF(Programme_Grunddaten!AR564="Ja",1,0),"")</f>
        <v/>
      </c>
      <c r="AK559" s="1" t="str">
        <f>IF(AND(Programme_Grunddaten!$A564="Geprüft",Programme_Grunddaten!AS564&lt;&gt;""),IF(Programme_Grunddaten!AS564="Ja",1,0),"")</f>
        <v/>
      </c>
      <c r="AL559" s="1" t="str">
        <f>IF(AND(Programme_Grunddaten!$A564="Geprüft",Programme_Grunddaten!AT564&lt;&gt;""),IF(Programme_Grunddaten!AT564="Ja",1,0),"")</f>
        <v/>
      </c>
      <c r="AM559" s="1" t="str">
        <f>IF(AND(Programme_Grunddaten!$A564="Geprüft",Programme_Grunddaten!AU564&lt;&gt;""),IF(Programme_Grunddaten!AU564="Ja",1,0),"")</f>
        <v/>
      </c>
      <c r="AN559" s="1" t="str">
        <f>IF(AND(Programme_Grunddaten!$A564="Geprüft",Programme_Grunddaten!AV564&lt;&gt;""),IF(Programme_Grunddaten!AV564="Ja",1,0),"")</f>
        <v/>
      </c>
    </row>
    <row r="560" spans="1:40" x14ac:dyDescent="0.3">
      <c r="A560" s="1" t="str">
        <f>IF(AND(Programme_Grunddaten!A565="Geprüft",Programme_Grunddaten!B565&lt;&gt;""),Programme_Grunddaten!B565,"")</f>
        <v/>
      </c>
      <c r="B560" s="1" t="str">
        <f>IF(AND(Programme_Grunddaten!$A565="Geprüft",Programme_Grunddaten!I565&lt;&gt;""),IF(Programme_Grunddaten!I565="Ja",1,0),"")</f>
        <v/>
      </c>
      <c r="C560" s="1" t="str">
        <f>IF(AND(Programme_Grunddaten!$A565="Geprüft",Programme_Grunddaten!J565&lt;&gt;""),IF(Programme_Grunddaten!J565="Ja",1,0),"")</f>
        <v/>
      </c>
      <c r="D560" s="1" t="str">
        <f>IF(AND(Programme_Grunddaten!$A565="Geprüft",Programme_Grunddaten!K565&lt;&gt;""),IF(Programme_Grunddaten!K565="Ja",1,0),"")</f>
        <v/>
      </c>
      <c r="E560" s="1" t="str">
        <f>IF(AND(Programme_Grunddaten!$A565="Geprüft",Programme_Grunddaten!L565&lt;&gt;""),IF(Programme_Grunddaten!L565="Abo / befristete Lizenz",1,0),"")</f>
        <v/>
      </c>
      <c r="F560" s="1" t="str">
        <f>IF(AND(Programme_Grunddaten!$A565="Geprüft",Programme_Grunddaten!M565&lt;&gt;""),IF(Programme_Grunddaten!M565="Ja",1,0),"")</f>
        <v/>
      </c>
      <c r="G560" s="1" t="str">
        <f>IF(AND(Programme_Grunddaten!$A565="Geprüft",Programme_Grunddaten!N565&lt;&gt;""),IF(Programme_Grunddaten!N565="Ja",1,0),"")</f>
        <v/>
      </c>
      <c r="H560" s="1" t="str">
        <f>IF(AND(Programme_Grunddaten!$A565="Geprüft",Programme_Grunddaten!O565&lt;&gt;""),IF(Programme_Grunddaten!O565="Deutschland",0,IF(Programme_Grunddaten!O565="EU",1,2)),"")</f>
        <v/>
      </c>
      <c r="I560" s="1" t="str">
        <f>IF(AND(Programme_Grunddaten!$A565="Geprüft",Programme_Grunddaten!P565&lt;&gt;""),IF(Programme_Grunddaten!P565="Ja",1,0),"")</f>
        <v/>
      </c>
      <c r="J560" s="1" t="str">
        <f>IF(AND(Programme_Grunddaten!$A565="Geprüft",Programme_Grunddaten!Q565&lt;&gt;""),IF(Programme_Grunddaten!Q565="geschlossenes System",1,0),"")</f>
        <v/>
      </c>
      <c r="K560" s="1" t="str">
        <f>IF(AND(Programme_Grunddaten!$A565="Geprüft",Programme_Grunddaten!R565&lt;&gt;""),IF(Programme_Grunddaten!R565="Ja",1,0),"")</f>
        <v/>
      </c>
      <c r="L560" s="1" t="str">
        <f>IF(AND(Programme_Grunddaten!$A565="Geprüft",Programme_Grunddaten!T565&lt;&gt;""),IF(Programme_Grunddaten!T565="Ja",1,0),"")</f>
        <v/>
      </c>
      <c r="M560" s="1" t="str">
        <f>IF(AND(Programme_Grunddaten!$A565="Geprüft",Programme_Grunddaten!U565&lt;&gt;""),IF(Programme_Grunddaten!U565="Ja",1,0),"")</f>
        <v/>
      </c>
      <c r="N560" s="1" t="str">
        <f>IF(AND(Programme_Grunddaten!$A565="Geprüft",Programme_Grunddaten!V565&lt;&gt;""),IF(Programme_Grunddaten!V565="Ja",1,0),"")</f>
        <v/>
      </c>
      <c r="O560" s="1" t="str">
        <f>IF(AND(Programme_Grunddaten!$A565="Geprüft",Programme_Grunddaten!W565&lt;&gt;""),IF(Programme_Grunddaten!W565="Ja",1,0),"")</f>
        <v/>
      </c>
      <c r="P560" s="1" t="str">
        <f>IF(AND(Programme_Grunddaten!$A565="Geprüft",Programme_Grunddaten!X565&lt;&gt;""),IF(Programme_Grunddaten!X565="Ja",1,0),"")</f>
        <v/>
      </c>
      <c r="Q560" s="1" t="str">
        <f>IF(AND(Programme_Grunddaten!$A565="Geprüft",Programme_Grunddaten!Y565&lt;&gt;""),IF(Programme_Grunddaten!Y565="Ja",1,0),"")</f>
        <v/>
      </c>
      <c r="R560" s="1" t="str">
        <f>IF(AND(Programme_Grunddaten!$A565="Geprüft",Programme_Grunddaten!Z565&lt;&gt;""),IF(Programme_Grunddaten!Z565="Ja",1,0),"")</f>
        <v/>
      </c>
      <c r="S560" s="1" t="str">
        <f>IF(AND(Programme_Grunddaten!$A565="Geprüft",Programme_Grunddaten!AA565&lt;&gt;""),IF(Programme_Grunddaten!AA565="monolithisch",1,0),"")</f>
        <v/>
      </c>
      <c r="T560" s="1" t="str">
        <f>IF(AND(Programme_Grunddaten!$A565="Geprüft",Programme_Grunddaten!AB565&lt;&gt;""),IF(Programme_Grunddaten!AB565="Ja",1,0),"")</f>
        <v/>
      </c>
      <c r="U560" s="1" t="str">
        <f>IF(AND(Programme_Grunddaten!$A565="Geprüft",Programme_Grunddaten!AC565&lt;&gt;""),IF(Programme_Grunddaten!AC565="Ja",1,0),"")</f>
        <v/>
      </c>
      <c r="V560" s="1" t="str">
        <f>IF(AND(Programme_Grunddaten!$A565="Geprüft",Programme_Grunddaten!AD565&lt;&gt;""),IF(Programme_Grunddaten!AD565="Ja",1,0),"")</f>
        <v/>
      </c>
      <c r="W560" s="1" t="str">
        <f>IF(AND(Programme_Grunddaten!$A565="Geprüft",Programme_Grunddaten!AE565&lt;&gt;""),IF(Programme_Grunddaten!AE565="Ja",1,0),"")</f>
        <v/>
      </c>
      <c r="X560" s="1" t="str">
        <f>IF(AND(Programme_Grunddaten!$A565="Geprüft",Programme_Grunddaten!AF565&lt;&gt;""),IF(Programme_Grunddaten!AF565="Ja",1,0),"")</f>
        <v/>
      </c>
      <c r="Y560" s="1" t="str">
        <f>IF(AND(Programme_Grunddaten!$A565="Geprüft",Programme_Grunddaten!AG565&lt;&gt;""),IF(Programme_Grunddaten!AG565="Ja",1,0),"")</f>
        <v/>
      </c>
      <c r="Z560" s="1" t="str">
        <f>IF(AND(Programme_Grunddaten!$A565="Geprüft",Programme_Grunddaten!AH565&lt;&gt;""),IF(Programme_Grunddaten!AH565="Ja",1,0),"")</f>
        <v/>
      </c>
      <c r="AA560" s="1" t="str">
        <f>IF(AND(Programme_Grunddaten!$A565="Geprüft",Programme_Grunddaten!AI565&lt;&gt;""),IF(Programme_Grunddaten!AI565="Ja",1,0),"")</f>
        <v/>
      </c>
      <c r="AB560" s="1" t="str">
        <f>IF(AND(Programme_Grunddaten!$A565="Geprüft",Programme_Grunddaten!AJ565&lt;&gt;""),IF(Programme_Grunddaten!AJ565="individuell programmierbar",1,0),"")</f>
        <v/>
      </c>
      <c r="AC560" s="1" t="str">
        <f>IF(AND(Programme_Grunddaten!$A565="Geprüft",Programme_Grunddaten!AK565&lt;&gt;""),IF(Programme_Grunddaten!AK565="Deutsch",0,IF(Programme_Grunddaten!AK565="Deutsch und Englisch",1,2)),"")</f>
        <v/>
      </c>
      <c r="AD560" s="1" t="str">
        <f>IF(AND(Programme_Grunddaten!$A565="Geprüft",Programme_Grunddaten!AL565&lt;&gt;""),IF(Programme_Grunddaten!AL565="Ja",1,0),"")</f>
        <v/>
      </c>
      <c r="AE560" s="1" t="str">
        <f>IF(AND(Programme_Grunddaten!$A565="Geprüft",Programme_Grunddaten!AM565&lt;&gt;""),IF(Programme_Grunddaten!AM565="Ja",1,0),"")</f>
        <v/>
      </c>
      <c r="AF560" s="1" t="str">
        <f>IF(AND(Programme_Grunddaten!$A565="Geprüft",Programme_Grunddaten!AN565&lt;&gt;""),IF(Programme_Grunddaten!AN565="Ja",1,0),"")</f>
        <v/>
      </c>
      <c r="AG560" s="1" t="str">
        <f>IF(AND(Programme_Grunddaten!$A565="Geprüft",Programme_Grunddaten!AO565&lt;&gt;""),IF(Programme_Grunddaten!AO565="Ja",1,0),"")</f>
        <v/>
      </c>
      <c r="AH560" s="1" t="str">
        <f>IF(AND(Programme_Grunddaten!$A565="Geprüft",Programme_Grunddaten!AP565&lt;&gt;""),IF(Programme_Grunddaten!AP565="Ja",1,0),"")</f>
        <v/>
      </c>
      <c r="AI560" s="1" t="str">
        <f>IF(AND(Programme_Grunddaten!$A565="Geprüft",Programme_Grunddaten!AQ565&lt;&gt;""),IF(Programme_Grunddaten!AQ565="Ja",1,0),"")</f>
        <v/>
      </c>
      <c r="AJ560" s="1" t="str">
        <f>IF(AND(Programme_Grunddaten!$A565="Geprüft",Programme_Grunddaten!AR565&lt;&gt;""),IF(Programme_Grunddaten!AR565="Ja",1,0),"")</f>
        <v/>
      </c>
      <c r="AK560" s="1" t="str">
        <f>IF(AND(Programme_Grunddaten!$A565="Geprüft",Programme_Grunddaten!AS565&lt;&gt;""),IF(Programme_Grunddaten!AS565="Ja",1,0),"")</f>
        <v/>
      </c>
      <c r="AL560" s="1" t="str">
        <f>IF(AND(Programme_Grunddaten!$A565="Geprüft",Programme_Grunddaten!AT565&lt;&gt;""),IF(Programme_Grunddaten!AT565="Ja",1,0),"")</f>
        <v/>
      </c>
      <c r="AM560" s="1" t="str">
        <f>IF(AND(Programme_Grunddaten!$A565="Geprüft",Programme_Grunddaten!AU565&lt;&gt;""),IF(Programme_Grunddaten!AU565="Ja",1,0),"")</f>
        <v/>
      </c>
      <c r="AN560" s="1" t="str">
        <f>IF(AND(Programme_Grunddaten!$A565="Geprüft",Programme_Grunddaten!AV565&lt;&gt;""),IF(Programme_Grunddaten!AV565="Ja",1,0),"")</f>
        <v/>
      </c>
    </row>
    <row r="561" spans="1:40" x14ac:dyDescent="0.3">
      <c r="A561" s="1" t="str">
        <f>IF(AND(Programme_Grunddaten!A566="Geprüft",Programme_Grunddaten!B566&lt;&gt;""),Programme_Grunddaten!B566,"")</f>
        <v/>
      </c>
      <c r="B561" s="1" t="str">
        <f>IF(AND(Programme_Grunddaten!$A566="Geprüft",Programme_Grunddaten!I566&lt;&gt;""),IF(Programme_Grunddaten!I566="Ja",1,0),"")</f>
        <v/>
      </c>
      <c r="C561" s="1" t="str">
        <f>IF(AND(Programme_Grunddaten!$A566="Geprüft",Programme_Grunddaten!J566&lt;&gt;""),IF(Programme_Grunddaten!J566="Ja",1,0),"")</f>
        <v/>
      </c>
      <c r="D561" s="1" t="str">
        <f>IF(AND(Programme_Grunddaten!$A566="Geprüft",Programme_Grunddaten!K566&lt;&gt;""),IF(Programme_Grunddaten!K566="Ja",1,0),"")</f>
        <v/>
      </c>
      <c r="E561" s="1" t="str">
        <f>IF(AND(Programme_Grunddaten!$A566="Geprüft",Programme_Grunddaten!L566&lt;&gt;""),IF(Programme_Grunddaten!L566="Abo / befristete Lizenz",1,0),"")</f>
        <v/>
      </c>
      <c r="F561" s="1" t="str">
        <f>IF(AND(Programme_Grunddaten!$A566="Geprüft",Programme_Grunddaten!M566&lt;&gt;""),IF(Programme_Grunddaten!M566="Ja",1,0),"")</f>
        <v/>
      </c>
      <c r="G561" s="1" t="str">
        <f>IF(AND(Programme_Grunddaten!$A566="Geprüft",Programme_Grunddaten!N566&lt;&gt;""),IF(Programme_Grunddaten!N566="Ja",1,0),"")</f>
        <v/>
      </c>
      <c r="H561" s="1" t="str">
        <f>IF(AND(Programme_Grunddaten!$A566="Geprüft",Programme_Grunddaten!O566&lt;&gt;""),IF(Programme_Grunddaten!O566="Deutschland",0,IF(Programme_Grunddaten!O566="EU",1,2)),"")</f>
        <v/>
      </c>
      <c r="I561" s="1" t="str">
        <f>IF(AND(Programme_Grunddaten!$A566="Geprüft",Programme_Grunddaten!P566&lt;&gt;""),IF(Programme_Grunddaten!P566="Ja",1,0),"")</f>
        <v/>
      </c>
      <c r="J561" s="1" t="str">
        <f>IF(AND(Programme_Grunddaten!$A566="Geprüft",Programme_Grunddaten!Q566&lt;&gt;""),IF(Programme_Grunddaten!Q566="geschlossenes System",1,0),"")</f>
        <v/>
      </c>
      <c r="K561" s="1" t="str">
        <f>IF(AND(Programme_Grunddaten!$A566="Geprüft",Programme_Grunddaten!R566&lt;&gt;""),IF(Programme_Grunddaten!R566="Ja",1,0),"")</f>
        <v/>
      </c>
      <c r="L561" s="1" t="str">
        <f>IF(AND(Programme_Grunddaten!$A566="Geprüft",Programme_Grunddaten!T566&lt;&gt;""),IF(Programme_Grunddaten!T566="Ja",1,0),"")</f>
        <v/>
      </c>
      <c r="M561" s="1" t="str">
        <f>IF(AND(Programme_Grunddaten!$A566="Geprüft",Programme_Grunddaten!U566&lt;&gt;""),IF(Programme_Grunddaten!U566="Ja",1,0),"")</f>
        <v/>
      </c>
      <c r="N561" s="1" t="str">
        <f>IF(AND(Programme_Grunddaten!$A566="Geprüft",Programme_Grunddaten!V566&lt;&gt;""),IF(Programme_Grunddaten!V566="Ja",1,0),"")</f>
        <v/>
      </c>
      <c r="O561" s="1" t="str">
        <f>IF(AND(Programme_Grunddaten!$A566="Geprüft",Programme_Grunddaten!W566&lt;&gt;""),IF(Programme_Grunddaten!W566="Ja",1,0),"")</f>
        <v/>
      </c>
      <c r="P561" s="1" t="str">
        <f>IF(AND(Programme_Grunddaten!$A566="Geprüft",Programme_Grunddaten!X566&lt;&gt;""),IF(Programme_Grunddaten!X566="Ja",1,0),"")</f>
        <v/>
      </c>
      <c r="Q561" s="1" t="str">
        <f>IF(AND(Programme_Grunddaten!$A566="Geprüft",Programme_Grunddaten!Y566&lt;&gt;""),IF(Programme_Grunddaten!Y566="Ja",1,0),"")</f>
        <v/>
      </c>
      <c r="R561" s="1" t="str">
        <f>IF(AND(Programme_Grunddaten!$A566="Geprüft",Programme_Grunddaten!Z566&lt;&gt;""),IF(Programme_Grunddaten!Z566="Ja",1,0),"")</f>
        <v/>
      </c>
      <c r="S561" s="1" t="str">
        <f>IF(AND(Programme_Grunddaten!$A566="Geprüft",Programme_Grunddaten!AA566&lt;&gt;""),IF(Programme_Grunddaten!AA566="monolithisch",1,0),"")</f>
        <v/>
      </c>
      <c r="T561" s="1" t="str">
        <f>IF(AND(Programme_Grunddaten!$A566="Geprüft",Programme_Grunddaten!AB566&lt;&gt;""),IF(Programme_Grunddaten!AB566="Ja",1,0),"")</f>
        <v/>
      </c>
      <c r="U561" s="1" t="str">
        <f>IF(AND(Programme_Grunddaten!$A566="Geprüft",Programme_Grunddaten!AC566&lt;&gt;""),IF(Programme_Grunddaten!AC566="Ja",1,0),"")</f>
        <v/>
      </c>
      <c r="V561" s="1" t="str">
        <f>IF(AND(Programme_Grunddaten!$A566="Geprüft",Programme_Grunddaten!AD566&lt;&gt;""),IF(Programme_Grunddaten!AD566="Ja",1,0),"")</f>
        <v/>
      </c>
      <c r="W561" s="1" t="str">
        <f>IF(AND(Programme_Grunddaten!$A566="Geprüft",Programme_Grunddaten!AE566&lt;&gt;""),IF(Programme_Grunddaten!AE566="Ja",1,0),"")</f>
        <v/>
      </c>
      <c r="X561" s="1" t="str">
        <f>IF(AND(Programme_Grunddaten!$A566="Geprüft",Programme_Grunddaten!AF566&lt;&gt;""),IF(Programme_Grunddaten!AF566="Ja",1,0),"")</f>
        <v/>
      </c>
      <c r="Y561" s="1" t="str">
        <f>IF(AND(Programme_Grunddaten!$A566="Geprüft",Programme_Grunddaten!AG566&lt;&gt;""),IF(Programme_Grunddaten!AG566="Ja",1,0),"")</f>
        <v/>
      </c>
      <c r="Z561" s="1" t="str">
        <f>IF(AND(Programme_Grunddaten!$A566="Geprüft",Programme_Grunddaten!AH566&lt;&gt;""),IF(Programme_Grunddaten!AH566="Ja",1,0),"")</f>
        <v/>
      </c>
      <c r="AA561" s="1" t="str">
        <f>IF(AND(Programme_Grunddaten!$A566="Geprüft",Programme_Grunddaten!AI566&lt;&gt;""),IF(Programme_Grunddaten!AI566="Ja",1,0),"")</f>
        <v/>
      </c>
      <c r="AB561" s="1" t="str">
        <f>IF(AND(Programme_Grunddaten!$A566="Geprüft",Programme_Grunddaten!AJ566&lt;&gt;""),IF(Programme_Grunddaten!AJ566="individuell programmierbar",1,0),"")</f>
        <v/>
      </c>
      <c r="AC561" s="1" t="str">
        <f>IF(AND(Programme_Grunddaten!$A566="Geprüft",Programme_Grunddaten!AK566&lt;&gt;""),IF(Programme_Grunddaten!AK566="Deutsch",0,IF(Programme_Grunddaten!AK566="Deutsch und Englisch",1,2)),"")</f>
        <v/>
      </c>
      <c r="AD561" s="1" t="str">
        <f>IF(AND(Programme_Grunddaten!$A566="Geprüft",Programme_Grunddaten!AL566&lt;&gt;""),IF(Programme_Grunddaten!AL566="Ja",1,0),"")</f>
        <v/>
      </c>
      <c r="AE561" s="1" t="str">
        <f>IF(AND(Programme_Grunddaten!$A566="Geprüft",Programme_Grunddaten!AM566&lt;&gt;""),IF(Programme_Grunddaten!AM566="Ja",1,0),"")</f>
        <v/>
      </c>
      <c r="AF561" s="1" t="str">
        <f>IF(AND(Programme_Grunddaten!$A566="Geprüft",Programme_Grunddaten!AN566&lt;&gt;""),IF(Programme_Grunddaten!AN566="Ja",1,0),"")</f>
        <v/>
      </c>
      <c r="AG561" s="1" t="str">
        <f>IF(AND(Programme_Grunddaten!$A566="Geprüft",Programme_Grunddaten!AO566&lt;&gt;""),IF(Programme_Grunddaten!AO566="Ja",1,0),"")</f>
        <v/>
      </c>
      <c r="AH561" s="1" t="str">
        <f>IF(AND(Programme_Grunddaten!$A566="Geprüft",Programme_Grunddaten!AP566&lt;&gt;""),IF(Programme_Grunddaten!AP566="Ja",1,0),"")</f>
        <v/>
      </c>
      <c r="AI561" s="1" t="str">
        <f>IF(AND(Programme_Grunddaten!$A566="Geprüft",Programme_Grunddaten!AQ566&lt;&gt;""),IF(Programme_Grunddaten!AQ566="Ja",1,0),"")</f>
        <v/>
      </c>
      <c r="AJ561" s="1" t="str">
        <f>IF(AND(Programme_Grunddaten!$A566="Geprüft",Programme_Grunddaten!AR566&lt;&gt;""),IF(Programme_Grunddaten!AR566="Ja",1,0),"")</f>
        <v/>
      </c>
      <c r="AK561" s="1" t="str">
        <f>IF(AND(Programme_Grunddaten!$A566="Geprüft",Programme_Grunddaten!AS566&lt;&gt;""),IF(Programme_Grunddaten!AS566="Ja",1,0),"")</f>
        <v/>
      </c>
      <c r="AL561" s="1" t="str">
        <f>IF(AND(Programme_Grunddaten!$A566="Geprüft",Programme_Grunddaten!AT566&lt;&gt;""),IF(Programme_Grunddaten!AT566="Ja",1,0),"")</f>
        <v/>
      </c>
      <c r="AM561" s="1" t="str">
        <f>IF(AND(Programme_Grunddaten!$A566="Geprüft",Programme_Grunddaten!AU566&lt;&gt;""),IF(Programme_Grunddaten!AU566="Ja",1,0),"")</f>
        <v/>
      </c>
      <c r="AN561" s="1" t="str">
        <f>IF(AND(Programme_Grunddaten!$A566="Geprüft",Programme_Grunddaten!AV566&lt;&gt;""),IF(Programme_Grunddaten!AV566="Ja",1,0),"")</f>
        <v/>
      </c>
    </row>
    <row r="562" spans="1:40" x14ac:dyDescent="0.3">
      <c r="A562" s="1" t="str">
        <f>IF(AND(Programme_Grunddaten!A567="Geprüft",Programme_Grunddaten!B567&lt;&gt;""),Programme_Grunddaten!B567,"")</f>
        <v/>
      </c>
      <c r="B562" s="1" t="str">
        <f>IF(AND(Programme_Grunddaten!$A567="Geprüft",Programme_Grunddaten!I567&lt;&gt;""),IF(Programme_Grunddaten!I567="Ja",1,0),"")</f>
        <v/>
      </c>
      <c r="C562" s="1" t="str">
        <f>IF(AND(Programme_Grunddaten!$A567="Geprüft",Programme_Grunddaten!J567&lt;&gt;""),IF(Programme_Grunddaten!J567="Ja",1,0),"")</f>
        <v/>
      </c>
      <c r="D562" s="1" t="str">
        <f>IF(AND(Programme_Grunddaten!$A567="Geprüft",Programme_Grunddaten!K567&lt;&gt;""),IF(Programme_Grunddaten!K567="Ja",1,0),"")</f>
        <v/>
      </c>
      <c r="E562" s="1" t="str">
        <f>IF(AND(Programme_Grunddaten!$A567="Geprüft",Programme_Grunddaten!L567&lt;&gt;""),IF(Programme_Grunddaten!L567="Abo / befristete Lizenz",1,0),"")</f>
        <v/>
      </c>
      <c r="F562" s="1" t="str">
        <f>IF(AND(Programme_Grunddaten!$A567="Geprüft",Programme_Grunddaten!M567&lt;&gt;""),IF(Programme_Grunddaten!M567="Ja",1,0),"")</f>
        <v/>
      </c>
      <c r="G562" s="1" t="str">
        <f>IF(AND(Programme_Grunddaten!$A567="Geprüft",Programme_Grunddaten!N567&lt;&gt;""),IF(Programme_Grunddaten!N567="Ja",1,0),"")</f>
        <v/>
      </c>
      <c r="H562" s="1" t="str">
        <f>IF(AND(Programme_Grunddaten!$A567="Geprüft",Programme_Grunddaten!O567&lt;&gt;""),IF(Programme_Grunddaten!O567="Deutschland",0,IF(Programme_Grunddaten!O567="EU",1,2)),"")</f>
        <v/>
      </c>
      <c r="I562" s="1" t="str">
        <f>IF(AND(Programme_Grunddaten!$A567="Geprüft",Programme_Grunddaten!P567&lt;&gt;""),IF(Programme_Grunddaten!P567="Ja",1,0),"")</f>
        <v/>
      </c>
      <c r="J562" s="1" t="str">
        <f>IF(AND(Programme_Grunddaten!$A567="Geprüft",Programme_Grunddaten!Q567&lt;&gt;""),IF(Programme_Grunddaten!Q567="geschlossenes System",1,0),"")</f>
        <v/>
      </c>
      <c r="K562" s="1" t="str">
        <f>IF(AND(Programme_Grunddaten!$A567="Geprüft",Programme_Grunddaten!R567&lt;&gt;""),IF(Programme_Grunddaten!R567="Ja",1,0),"")</f>
        <v/>
      </c>
      <c r="L562" s="1" t="str">
        <f>IF(AND(Programme_Grunddaten!$A567="Geprüft",Programme_Grunddaten!T567&lt;&gt;""),IF(Programme_Grunddaten!T567="Ja",1,0),"")</f>
        <v/>
      </c>
      <c r="M562" s="1" t="str">
        <f>IF(AND(Programme_Grunddaten!$A567="Geprüft",Programme_Grunddaten!U567&lt;&gt;""),IF(Programme_Grunddaten!U567="Ja",1,0),"")</f>
        <v/>
      </c>
      <c r="N562" s="1" t="str">
        <f>IF(AND(Programme_Grunddaten!$A567="Geprüft",Programme_Grunddaten!V567&lt;&gt;""),IF(Programme_Grunddaten!V567="Ja",1,0),"")</f>
        <v/>
      </c>
      <c r="O562" s="1" t="str">
        <f>IF(AND(Programme_Grunddaten!$A567="Geprüft",Programme_Grunddaten!W567&lt;&gt;""),IF(Programme_Grunddaten!W567="Ja",1,0),"")</f>
        <v/>
      </c>
      <c r="P562" s="1" t="str">
        <f>IF(AND(Programme_Grunddaten!$A567="Geprüft",Programme_Grunddaten!X567&lt;&gt;""),IF(Programme_Grunddaten!X567="Ja",1,0),"")</f>
        <v/>
      </c>
      <c r="Q562" s="1" t="str">
        <f>IF(AND(Programme_Grunddaten!$A567="Geprüft",Programme_Grunddaten!Y567&lt;&gt;""),IF(Programme_Grunddaten!Y567="Ja",1,0),"")</f>
        <v/>
      </c>
      <c r="R562" s="1" t="str">
        <f>IF(AND(Programme_Grunddaten!$A567="Geprüft",Programme_Grunddaten!Z567&lt;&gt;""),IF(Programme_Grunddaten!Z567="Ja",1,0),"")</f>
        <v/>
      </c>
      <c r="S562" s="1" t="str">
        <f>IF(AND(Programme_Grunddaten!$A567="Geprüft",Programme_Grunddaten!AA567&lt;&gt;""),IF(Programme_Grunddaten!AA567="monolithisch",1,0),"")</f>
        <v/>
      </c>
      <c r="T562" s="1" t="str">
        <f>IF(AND(Programme_Grunddaten!$A567="Geprüft",Programme_Grunddaten!AB567&lt;&gt;""),IF(Programme_Grunddaten!AB567="Ja",1,0),"")</f>
        <v/>
      </c>
      <c r="U562" s="1" t="str">
        <f>IF(AND(Programme_Grunddaten!$A567="Geprüft",Programme_Grunddaten!AC567&lt;&gt;""),IF(Programme_Grunddaten!AC567="Ja",1,0),"")</f>
        <v/>
      </c>
      <c r="V562" s="1" t="str">
        <f>IF(AND(Programme_Grunddaten!$A567="Geprüft",Programme_Grunddaten!AD567&lt;&gt;""),IF(Programme_Grunddaten!AD567="Ja",1,0),"")</f>
        <v/>
      </c>
      <c r="W562" s="1" t="str">
        <f>IF(AND(Programme_Grunddaten!$A567="Geprüft",Programme_Grunddaten!AE567&lt;&gt;""),IF(Programme_Grunddaten!AE567="Ja",1,0),"")</f>
        <v/>
      </c>
      <c r="X562" s="1" t="str">
        <f>IF(AND(Programme_Grunddaten!$A567="Geprüft",Programme_Grunddaten!AF567&lt;&gt;""),IF(Programme_Grunddaten!AF567="Ja",1,0),"")</f>
        <v/>
      </c>
      <c r="Y562" s="1" t="str">
        <f>IF(AND(Programme_Grunddaten!$A567="Geprüft",Programme_Grunddaten!AG567&lt;&gt;""),IF(Programme_Grunddaten!AG567="Ja",1,0),"")</f>
        <v/>
      </c>
      <c r="Z562" s="1" t="str">
        <f>IF(AND(Programme_Grunddaten!$A567="Geprüft",Programme_Grunddaten!AH567&lt;&gt;""),IF(Programme_Grunddaten!AH567="Ja",1,0),"")</f>
        <v/>
      </c>
      <c r="AA562" s="1" t="str">
        <f>IF(AND(Programme_Grunddaten!$A567="Geprüft",Programme_Grunddaten!AI567&lt;&gt;""),IF(Programme_Grunddaten!AI567="Ja",1,0),"")</f>
        <v/>
      </c>
      <c r="AB562" s="1" t="str">
        <f>IF(AND(Programme_Grunddaten!$A567="Geprüft",Programme_Grunddaten!AJ567&lt;&gt;""),IF(Programme_Grunddaten!AJ567="individuell programmierbar",1,0),"")</f>
        <v/>
      </c>
      <c r="AC562" s="1" t="str">
        <f>IF(AND(Programme_Grunddaten!$A567="Geprüft",Programme_Grunddaten!AK567&lt;&gt;""),IF(Programme_Grunddaten!AK567="Deutsch",0,IF(Programme_Grunddaten!AK567="Deutsch und Englisch",1,2)),"")</f>
        <v/>
      </c>
      <c r="AD562" s="1" t="str">
        <f>IF(AND(Programme_Grunddaten!$A567="Geprüft",Programme_Grunddaten!AL567&lt;&gt;""),IF(Programme_Grunddaten!AL567="Ja",1,0),"")</f>
        <v/>
      </c>
      <c r="AE562" s="1" t="str">
        <f>IF(AND(Programme_Grunddaten!$A567="Geprüft",Programme_Grunddaten!AM567&lt;&gt;""),IF(Programme_Grunddaten!AM567="Ja",1,0),"")</f>
        <v/>
      </c>
      <c r="AF562" s="1" t="str">
        <f>IF(AND(Programme_Grunddaten!$A567="Geprüft",Programme_Grunddaten!AN567&lt;&gt;""),IF(Programme_Grunddaten!AN567="Ja",1,0),"")</f>
        <v/>
      </c>
      <c r="AG562" s="1" t="str">
        <f>IF(AND(Programme_Grunddaten!$A567="Geprüft",Programme_Grunddaten!AO567&lt;&gt;""),IF(Programme_Grunddaten!AO567="Ja",1,0),"")</f>
        <v/>
      </c>
      <c r="AH562" s="1" t="str">
        <f>IF(AND(Programme_Grunddaten!$A567="Geprüft",Programme_Grunddaten!AP567&lt;&gt;""),IF(Programme_Grunddaten!AP567="Ja",1,0),"")</f>
        <v/>
      </c>
      <c r="AI562" s="1" t="str">
        <f>IF(AND(Programme_Grunddaten!$A567="Geprüft",Programme_Grunddaten!AQ567&lt;&gt;""),IF(Programme_Grunddaten!AQ567="Ja",1,0),"")</f>
        <v/>
      </c>
      <c r="AJ562" s="1" t="str">
        <f>IF(AND(Programme_Grunddaten!$A567="Geprüft",Programme_Grunddaten!AR567&lt;&gt;""),IF(Programme_Grunddaten!AR567="Ja",1,0),"")</f>
        <v/>
      </c>
      <c r="AK562" s="1" t="str">
        <f>IF(AND(Programme_Grunddaten!$A567="Geprüft",Programme_Grunddaten!AS567&lt;&gt;""),IF(Programme_Grunddaten!AS567="Ja",1,0),"")</f>
        <v/>
      </c>
      <c r="AL562" s="1" t="str">
        <f>IF(AND(Programme_Grunddaten!$A567="Geprüft",Programme_Grunddaten!AT567&lt;&gt;""),IF(Programme_Grunddaten!AT567="Ja",1,0),"")</f>
        <v/>
      </c>
      <c r="AM562" s="1" t="str">
        <f>IF(AND(Programme_Grunddaten!$A567="Geprüft",Programme_Grunddaten!AU567&lt;&gt;""),IF(Programme_Grunddaten!AU567="Ja",1,0),"")</f>
        <v/>
      </c>
      <c r="AN562" s="1" t="str">
        <f>IF(AND(Programme_Grunddaten!$A567="Geprüft",Programme_Grunddaten!AV567&lt;&gt;""),IF(Programme_Grunddaten!AV567="Ja",1,0),"")</f>
        <v/>
      </c>
    </row>
    <row r="563" spans="1:40" x14ac:dyDescent="0.3">
      <c r="A563" s="1" t="str">
        <f>IF(AND(Programme_Grunddaten!A568="Geprüft",Programme_Grunddaten!B568&lt;&gt;""),Programme_Grunddaten!B568,"")</f>
        <v/>
      </c>
      <c r="B563" s="1" t="str">
        <f>IF(AND(Programme_Grunddaten!$A568="Geprüft",Programme_Grunddaten!I568&lt;&gt;""),IF(Programme_Grunddaten!I568="Ja",1,0),"")</f>
        <v/>
      </c>
      <c r="C563" s="1" t="str">
        <f>IF(AND(Programme_Grunddaten!$A568="Geprüft",Programme_Grunddaten!J568&lt;&gt;""),IF(Programme_Grunddaten!J568="Ja",1,0),"")</f>
        <v/>
      </c>
      <c r="D563" s="1" t="str">
        <f>IF(AND(Programme_Grunddaten!$A568="Geprüft",Programme_Grunddaten!K568&lt;&gt;""),IF(Programme_Grunddaten!K568="Ja",1,0),"")</f>
        <v/>
      </c>
      <c r="E563" s="1" t="str">
        <f>IF(AND(Programme_Grunddaten!$A568="Geprüft",Programme_Grunddaten!L568&lt;&gt;""),IF(Programme_Grunddaten!L568="Abo / befristete Lizenz",1,0),"")</f>
        <v/>
      </c>
      <c r="F563" s="1" t="str">
        <f>IF(AND(Programme_Grunddaten!$A568="Geprüft",Programme_Grunddaten!M568&lt;&gt;""),IF(Programme_Grunddaten!M568="Ja",1,0),"")</f>
        <v/>
      </c>
      <c r="G563" s="1" t="str">
        <f>IF(AND(Programme_Grunddaten!$A568="Geprüft",Programme_Grunddaten!N568&lt;&gt;""),IF(Programme_Grunddaten!N568="Ja",1,0),"")</f>
        <v/>
      </c>
      <c r="H563" s="1" t="str">
        <f>IF(AND(Programme_Grunddaten!$A568="Geprüft",Programme_Grunddaten!O568&lt;&gt;""),IF(Programme_Grunddaten!O568="Deutschland",0,IF(Programme_Grunddaten!O568="EU",1,2)),"")</f>
        <v/>
      </c>
      <c r="I563" s="1" t="str">
        <f>IF(AND(Programme_Grunddaten!$A568="Geprüft",Programme_Grunddaten!P568&lt;&gt;""),IF(Programme_Grunddaten!P568="Ja",1,0),"")</f>
        <v/>
      </c>
      <c r="J563" s="1" t="str">
        <f>IF(AND(Programme_Grunddaten!$A568="Geprüft",Programme_Grunddaten!Q568&lt;&gt;""),IF(Programme_Grunddaten!Q568="geschlossenes System",1,0),"")</f>
        <v/>
      </c>
      <c r="K563" s="1" t="str">
        <f>IF(AND(Programme_Grunddaten!$A568="Geprüft",Programme_Grunddaten!R568&lt;&gt;""),IF(Programme_Grunddaten!R568="Ja",1,0),"")</f>
        <v/>
      </c>
      <c r="L563" s="1" t="str">
        <f>IF(AND(Programme_Grunddaten!$A568="Geprüft",Programme_Grunddaten!T568&lt;&gt;""),IF(Programme_Grunddaten!T568="Ja",1,0),"")</f>
        <v/>
      </c>
      <c r="M563" s="1" t="str">
        <f>IF(AND(Programme_Grunddaten!$A568="Geprüft",Programme_Grunddaten!U568&lt;&gt;""),IF(Programme_Grunddaten!U568="Ja",1,0),"")</f>
        <v/>
      </c>
      <c r="N563" s="1" t="str">
        <f>IF(AND(Programme_Grunddaten!$A568="Geprüft",Programme_Grunddaten!V568&lt;&gt;""),IF(Programme_Grunddaten!V568="Ja",1,0),"")</f>
        <v/>
      </c>
      <c r="O563" s="1" t="str">
        <f>IF(AND(Programme_Grunddaten!$A568="Geprüft",Programme_Grunddaten!W568&lt;&gt;""),IF(Programme_Grunddaten!W568="Ja",1,0),"")</f>
        <v/>
      </c>
      <c r="P563" s="1" t="str">
        <f>IF(AND(Programme_Grunddaten!$A568="Geprüft",Programme_Grunddaten!X568&lt;&gt;""),IF(Programme_Grunddaten!X568="Ja",1,0),"")</f>
        <v/>
      </c>
      <c r="Q563" s="1" t="str">
        <f>IF(AND(Programme_Grunddaten!$A568="Geprüft",Programme_Grunddaten!Y568&lt;&gt;""),IF(Programme_Grunddaten!Y568="Ja",1,0),"")</f>
        <v/>
      </c>
      <c r="R563" s="1" t="str">
        <f>IF(AND(Programme_Grunddaten!$A568="Geprüft",Programme_Grunddaten!Z568&lt;&gt;""),IF(Programme_Grunddaten!Z568="Ja",1,0),"")</f>
        <v/>
      </c>
      <c r="S563" s="1" t="str">
        <f>IF(AND(Programme_Grunddaten!$A568="Geprüft",Programme_Grunddaten!AA568&lt;&gt;""),IF(Programme_Grunddaten!AA568="monolithisch",1,0),"")</f>
        <v/>
      </c>
      <c r="T563" s="1" t="str">
        <f>IF(AND(Programme_Grunddaten!$A568="Geprüft",Programme_Grunddaten!AB568&lt;&gt;""),IF(Programme_Grunddaten!AB568="Ja",1,0),"")</f>
        <v/>
      </c>
      <c r="U563" s="1" t="str">
        <f>IF(AND(Programme_Grunddaten!$A568="Geprüft",Programme_Grunddaten!AC568&lt;&gt;""),IF(Programme_Grunddaten!AC568="Ja",1,0),"")</f>
        <v/>
      </c>
      <c r="V563" s="1" t="str">
        <f>IF(AND(Programme_Grunddaten!$A568="Geprüft",Programme_Grunddaten!AD568&lt;&gt;""),IF(Programme_Grunddaten!AD568="Ja",1,0),"")</f>
        <v/>
      </c>
      <c r="W563" s="1" t="str">
        <f>IF(AND(Programme_Grunddaten!$A568="Geprüft",Programme_Grunddaten!AE568&lt;&gt;""),IF(Programme_Grunddaten!AE568="Ja",1,0),"")</f>
        <v/>
      </c>
      <c r="X563" s="1" t="str">
        <f>IF(AND(Programme_Grunddaten!$A568="Geprüft",Programme_Grunddaten!AF568&lt;&gt;""),IF(Programme_Grunddaten!AF568="Ja",1,0),"")</f>
        <v/>
      </c>
      <c r="Y563" s="1" t="str">
        <f>IF(AND(Programme_Grunddaten!$A568="Geprüft",Programme_Grunddaten!AG568&lt;&gt;""),IF(Programme_Grunddaten!AG568="Ja",1,0),"")</f>
        <v/>
      </c>
      <c r="Z563" s="1" t="str">
        <f>IF(AND(Programme_Grunddaten!$A568="Geprüft",Programme_Grunddaten!AH568&lt;&gt;""),IF(Programme_Grunddaten!AH568="Ja",1,0),"")</f>
        <v/>
      </c>
      <c r="AA563" s="1" t="str">
        <f>IF(AND(Programme_Grunddaten!$A568="Geprüft",Programme_Grunddaten!AI568&lt;&gt;""),IF(Programme_Grunddaten!AI568="Ja",1,0),"")</f>
        <v/>
      </c>
      <c r="AB563" s="1" t="str">
        <f>IF(AND(Programme_Grunddaten!$A568="Geprüft",Programme_Grunddaten!AJ568&lt;&gt;""),IF(Programme_Grunddaten!AJ568="individuell programmierbar",1,0),"")</f>
        <v/>
      </c>
      <c r="AC563" s="1" t="str">
        <f>IF(AND(Programme_Grunddaten!$A568="Geprüft",Programme_Grunddaten!AK568&lt;&gt;""),IF(Programme_Grunddaten!AK568="Deutsch",0,IF(Programme_Grunddaten!AK568="Deutsch und Englisch",1,2)),"")</f>
        <v/>
      </c>
      <c r="AD563" s="1" t="str">
        <f>IF(AND(Programme_Grunddaten!$A568="Geprüft",Programme_Grunddaten!AL568&lt;&gt;""),IF(Programme_Grunddaten!AL568="Ja",1,0),"")</f>
        <v/>
      </c>
      <c r="AE563" s="1" t="str">
        <f>IF(AND(Programme_Grunddaten!$A568="Geprüft",Programme_Grunddaten!AM568&lt;&gt;""),IF(Programme_Grunddaten!AM568="Ja",1,0),"")</f>
        <v/>
      </c>
      <c r="AF563" s="1" t="str">
        <f>IF(AND(Programme_Grunddaten!$A568="Geprüft",Programme_Grunddaten!AN568&lt;&gt;""),IF(Programme_Grunddaten!AN568="Ja",1,0),"")</f>
        <v/>
      </c>
      <c r="AG563" s="1" t="str">
        <f>IF(AND(Programme_Grunddaten!$A568="Geprüft",Programme_Grunddaten!AO568&lt;&gt;""),IF(Programme_Grunddaten!AO568="Ja",1,0),"")</f>
        <v/>
      </c>
      <c r="AH563" s="1" t="str">
        <f>IF(AND(Programme_Grunddaten!$A568="Geprüft",Programme_Grunddaten!AP568&lt;&gt;""),IF(Programme_Grunddaten!AP568="Ja",1,0),"")</f>
        <v/>
      </c>
      <c r="AI563" s="1" t="str">
        <f>IF(AND(Programme_Grunddaten!$A568="Geprüft",Programme_Grunddaten!AQ568&lt;&gt;""),IF(Programme_Grunddaten!AQ568="Ja",1,0),"")</f>
        <v/>
      </c>
      <c r="AJ563" s="1" t="str">
        <f>IF(AND(Programme_Grunddaten!$A568="Geprüft",Programme_Grunddaten!AR568&lt;&gt;""),IF(Programme_Grunddaten!AR568="Ja",1,0),"")</f>
        <v/>
      </c>
      <c r="AK563" s="1" t="str">
        <f>IF(AND(Programme_Grunddaten!$A568="Geprüft",Programme_Grunddaten!AS568&lt;&gt;""),IF(Programme_Grunddaten!AS568="Ja",1,0),"")</f>
        <v/>
      </c>
      <c r="AL563" s="1" t="str">
        <f>IF(AND(Programme_Grunddaten!$A568="Geprüft",Programme_Grunddaten!AT568&lt;&gt;""),IF(Programme_Grunddaten!AT568="Ja",1,0),"")</f>
        <v/>
      </c>
      <c r="AM563" s="1" t="str">
        <f>IF(AND(Programme_Grunddaten!$A568="Geprüft",Programme_Grunddaten!AU568&lt;&gt;""),IF(Programme_Grunddaten!AU568="Ja",1,0),"")</f>
        <v/>
      </c>
      <c r="AN563" s="1" t="str">
        <f>IF(AND(Programme_Grunddaten!$A568="Geprüft",Programme_Grunddaten!AV568&lt;&gt;""),IF(Programme_Grunddaten!AV568="Ja",1,0),"")</f>
        <v/>
      </c>
    </row>
    <row r="564" spans="1:40" x14ac:dyDescent="0.3">
      <c r="A564" s="1" t="str">
        <f>IF(AND(Programme_Grunddaten!A569="Geprüft",Programme_Grunddaten!B569&lt;&gt;""),Programme_Grunddaten!B569,"")</f>
        <v/>
      </c>
      <c r="B564" s="1" t="str">
        <f>IF(AND(Programme_Grunddaten!$A569="Geprüft",Programme_Grunddaten!I569&lt;&gt;""),IF(Programme_Grunddaten!I569="Ja",1,0),"")</f>
        <v/>
      </c>
      <c r="C564" s="1" t="str">
        <f>IF(AND(Programme_Grunddaten!$A569="Geprüft",Programme_Grunddaten!J569&lt;&gt;""),IF(Programme_Grunddaten!J569="Ja",1,0),"")</f>
        <v/>
      </c>
      <c r="D564" s="1" t="str">
        <f>IF(AND(Programme_Grunddaten!$A569="Geprüft",Programme_Grunddaten!K569&lt;&gt;""),IF(Programme_Grunddaten!K569="Ja",1,0),"")</f>
        <v/>
      </c>
      <c r="E564" s="1" t="str">
        <f>IF(AND(Programme_Grunddaten!$A569="Geprüft",Programme_Grunddaten!L569&lt;&gt;""),IF(Programme_Grunddaten!L569="Abo / befristete Lizenz",1,0),"")</f>
        <v/>
      </c>
      <c r="F564" s="1" t="str">
        <f>IF(AND(Programme_Grunddaten!$A569="Geprüft",Programme_Grunddaten!M569&lt;&gt;""),IF(Programme_Grunddaten!M569="Ja",1,0),"")</f>
        <v/>
      </c>
      <c r="G564" s="1" t="str">
        <f>IF(AND(Programme_Grunddaten!$A569="Geprüft",Programme_Grunddaten!N569&lt;&gt;""),IF(Programme_Grunddaten!N569="Ja",1,0),"")</f>
        <v/>
      </c>
      <c r="H564" s="1" t="str">
        <f>IF(AND(Programme_Grunddaten!$A569="Geprüft",Programme_Grunddaten!O569&lt;&gt;""),IF(Programme_Grunddaten!O569="Deutschland",0,IF(Programme_Grunddaten!O569="EU",1,2)),"")</f>
        <v/>
      </c>
      <c r="I564" s="1" t="str">
        <f>IF(AND(Programme_Grunddaten!$A569="Geprüft",Programme_Grunddaten!P569&lt;&gt;""),IF(Programme_Grunddaten!P569="Ja",1,0),"")</f>
        <v/>
      </c>
      <c r="J564" s="1" t="str">
        <f>IF(AND(Programme_Grunddaten!$A569="Geprüft",Programme_Grunddaten!Q569&lt;&gt;""),IF(Programme_Grunddaten!Q569="geschlossenes System",1,0),"")</f>
        <v/>
      </c>
      <c r="K564" s="1" t="str">
        <f>IF(AND(Programme_Grunddaten!$A569="Geprüft",Programme_Grunddaten!R569&lt;&gt;""),IF(Programme_Grunddaten!R569="Ja",1,0),"")</f>
        <v/>
      </c>
      <c r="L564" s="1" t="str">
        <f>IF(AND(Programme_Grunddaten!$A569="Geprüft",Programme_Grunddaten!T569&lt;&gt;""),IF(Programme_Grunddaten!T569="Ja",1,0),"")</f>
        <v/>
      </c>
      <c r="M564" s="1" t="str">
        <f>IF(AND(Programme_Grunddaten!$A569="Geprüft",Programme_Grunddaten!U569&lt;&gt;""),IF(Programme_Grunddaten!U569="Ja",1,0),"")</f>
        <v/>
      </c>
      <c r="N564" s="1" t="str">
        <f>IF(AND(Programme_Grunddaten!$A569="Geprüft",Programme_Grunddaten!V569&lt;&gt;""),IF(Programme_Grunddaten!V569="Ja",1,0),"")</f>
        <v/>
      </c>
      <c r="O564" s="1" t="str">
        <f>IF(AND(Programme_Grunddaten!$A569="Geprüft",Programme_Grunddaten!W569&lt;&gt;""),IF(Programme_Grunddaten!W569="Ja",1,0),"")</f>
        <v/>
      </c>
      <c r="P564" s="1" t="str">
        <f>IF(AND(Programme_Grunddaten!$A569="Geprüft",Programme_Grunddaten!X569&lt;&gt;""),IF(Programme_Grunddaten!X569="Ja",1,0),"")</f>
        <v/>
      </c>
      <c r="Q564" s="1" t="str">
        <f>IF(AND(Programme_Grunddaten!$A569="Geprüft",Programme_Grunddaten!Y569&lt;&gt;""),IF(Programme_Grunddaten!Y569="Ja",1,0),"")</f>
        <v/>
      </c>
      <c r="R564" s="1" t="str">
        <f>IF(AND(Programme_Grunddaten!$A569="Geprüft",Programme_Grunddaten!Z569&lt;&gt;""),IF(Programme_Grunddaten!Z569="Ja",1,0),"")</f>
        <v/>
      </c>
      <c r="S564" s="1" t="str">
        <f>IF(AND(Programme_Grunddaten!$A569="Geprüft",Programme_Grunddaten!AA569&lt;&gt;""),IF(Programme_Grunddaten!AA569="monolithisch",1,0),"")</f>
        <v/>
      </c>
      <c r="T564" s="1" t="str">
        <f>IF(AND(Programme_Grunddaten!$A569="Geprüft",Programme_Grunddaten!AB569&lt;&gt;""),IF(Programme_Grunddaten!AB569="Ja",1,0),"")</f>
        <v/>
      </c>
      <c r="U564" s="1" t="str">
        <f>IF(AND(Programme_Grunddaten!$A569="Geprüft",Programme_Grunddaten!AC569&lt;&gt;""),IF(Programme_Grunddaten!AC569="Ja",1,0),"")</f>
        <v/>
      </c>
      <c r="V564" s="1" t="str">
        <f>IF(AND(Programme_Grunddaten!$A569="Geprüft",Programme_Grunddaten!AD569&lt;&gt;""),IF(Programme_Grunddaten!AD569="Ja",1,0),"")</f>
        <v/>
      </c>
      <c r="W564" s="1" t="str">
        <f>IF(AND(Programme_Grunddaten!$A569="Geprüft",Programme_Grunddaten!AE569&lt;&gt;""),IF(Programme_Grunddaten!AE569="Ja",1,0),"")</f>
        <v/>
      </c>
      <c r="X564" s="1" t="str">
        <f>IF(AND(Programme_Grunddaten!$A569="Geprüft",Programme_Grunddaten!AF569&lt;&gt;""),IF(Programme_Grunddaten!AF569="Ja",1,0),"")</f>
        <v/>
      </c>
      <c r="Y564" s="1" t="str">
        <f>IF(AND(Programme_Grunddaten!$A569="Geprüft",Programme_Grunddaten!AG569&lt;&gt;""),IF(Programme_Grunddaten!AG569="Ja",1,0),"")</f>
        <v/>
      </c>
      <c r="Z564" s="1" t="str">
        <f>IF(AND(Programme_Grunddaten!$A569="Geprüft",Programme_Grunddaten!AH569&lt;&gt;""),IF(Programme_Grunddaten!AH569="Ja",1,0),"")</f>
        <v/>
      </c>
      <c r="AA564" s="1" t="str">
        <f>IF(AND(Programme_Grunddaten!$A569="Geprüft",Programme_Grunddaten!AI569&lt;&gt;""),IF(Programme_Grunddaten!AI569="Ja",1,0),"")</f>
        <v/>
      </c>
      <c r="AB564" s="1" t="str">
        <f>IF(AND(Programme_Grunddaten!$A569="Geprüft",Programme_Grunddaten!AJ569&lt;&gt;""),IF(Programme_Grunddaten!AJ569="individuell programmierbar",1,0),"")</f>
        <v/>
      </c>
      <c r="AC564" s="1" t="str">
        <f>IF(AND(Programme_Grunddaten!$A569="Geprüft",Programme_Grunddaten!AK569&lt;&gt;""),IF(Programme_Grunddaten!AK569="Deutsch",0,IF(Programme_Grunddaten!AK569="Deutsch und Englisch",1,2)),"")</f>
        <v/>
      </c>
      <c r="AD564" s="1" t="str">
        <f>IF(AND(Programme_Grunddaten!$A569="Geprüft",Programme_Grunddaten!AL569&lt;&gt;""),IF(Programme_Grunddaten!AL569="Ja",1,0),"")</f>
        <v/>
      </c>
      <c r="AE564" s="1" t="str">
        <f>IF(AND(Programme_Grunddaten!$A569="Geprüft",Programme_Grunddaten!AM569&lt;&gt;""),IF(Programme_Grunddaten!AM569="Ja",1,0),"")</f>
        <v/>
      </c>
      <c r="AF564" s="1" t="str">
        <f>IF(AND(Programme_Grunddaten!$A569="Geprüft",Programme_Grunddaten!AN569&lt;&gt;""),IF(Programme_Grunddaten!AN569="Ja",1,0),"")</f>
        <v/>
      </c>
      <c r="AG564" s="1" t="str">
        <f>IF(AND(Programme_Grunddaten!$A569="Geprüft",Programme_Grunddaten!AO569&lt;&gt;""),IF(Programme_Grunddaten!AO569="Ja",1,0),"")</f>
        <v/>
      </c>
      <c r="AH564" s="1" t="str">
        <f>IF(AND(Programme_Grunddaten!$A569="Geprüft",Programme_Grunddaten!AP569&lt;&gt;""),IF(Programme_Grunddaten!AP569="Ja",1,0),"")</f>
        <v/>
      </c>
      <c r="AI564" s="1" t="str">
        <f>IF(AND(Programme_Grunddaten!$A569="Geprüft",Programme_Grunddaten!AQ569&lt;&gt;""),IF(Programme_Grunddaten!AQ569="Ja",1,0),"")</f>
        <v/>
      </c>
      <c r="AJ564" s="1" t="str">
        <f>IF(AND(Programme_Grunddaten!$A569="Geprüft",Programme_Grunddaten!AR569&lt;&gt;""),IF(Programme_Grunddaten!AR569="Ja",1,0),"")</f>
        <v/>
      </c>
      <c r="AK564" s="1" t="str">
        <f>IF(AND(Programme_Grunddaten!$A569="Geprüft",Programme_Grunddaten!AS569&lt;&gt;""),IF(Programme_Grunddaten!AS569="Ja",1,0),"")</f>
        <v/>
      </c>
      <c r="AL564" s="1" t="str">
        <f>IF(AND(Programme_Grunddaten!$A569="Geprüft",Programme_Grunddaten!AT569&lt;&gt;""),IF(Programme_Grunddaten!AT569="Ja",1,0),"")</f>
        <v/>
      </c>
      <c r="AM564" s="1" t="str">
        <f>IF(AND(Programme_Grunddaten!$A569="Geprüft",Programme_Grunddaten!AU569&lt;&gt;""),IF(Programme_Grunddaten!AU569="Ja",1,0),"")</f>
        <v/>
      </c>
      <c r="AN564" s="1" t="str">
        <f>IF(AND(Programme_Grunddaten!$A569="Geprüft",Programme_Grunddaten!AV569&lt;&gt;""),IF(Programme_Grunddaten!AV569="Ja",1,0),"")</f>
        <v/>
      </c>
    </row>
    <row r="565" spans="1:40" x14ac:dyDescent="0.3">
      <c r="A565" s="1" t="str">
        <f>IF(AND(Programme_Grunddaten!A570="Geprüft",Programme_Grunddaten!B570&lt;&gt;""),Programme_Grunddaten!B570,"")</f>
        <v/>
      </c>
      <c r="B565" s="1" t="str">
        <f>IF(AND(Programme_Grunddaten!$A570="Geprüft",Programme_Grunddaten!I570&lt;&gt;""),IF(Programme_Grunddaten!I570="Ja",1,0),"")</f>
        <v/>
      </c>
      <c r="C565" s="1" t="str">
        <f>IF(AND(Programme_Grunddaten!$A570="Geprüft",Programme_Grunddaten!J570&lt;&gt;""),IF(Programme_Grunddaten!J570="Ja",1,0),"")</f>
        <v/>
      </c>
      <c r="D565" s="1" t="str">
        <f>IF(AND(Programme_Grunddaten!$A570="Geprüft",Programme_Grunddaten!K570&lt;&gt;""),IF(Programme_Grunddaten!K570="Ja",1,0),"")</f>
        <v/>
      </c>
      <c r="E565" s="1" t="str">
        <f>IF(AND(Programme_Grunddaten!$A570="Geprüft",Programme_Grunddaten!L570&lt;&gt;""),IF(Programme_Grunddaten!L570="Abo / befristete Lizenz",1,0),"")</f>
        <v/>
      </c>
      <c r="F565" s="1" t="str">
        <f>IF(AND(Programme_Grunddaten!$A570="Geprüft",Programme_Grunddaten!M570&lt;&gt;""),IF(Programme_Grunddaten!M570="Ja",1,0),"")</f>
        <v/>
      </c>
      <c r="G565" s="1" t="str">
        <f>IF(AND(Programme_Grunddaten!$A570="Geprüft",Programme_Grunddaten!N570&lt;&gt;""),IF(Programme_Grunddaten!N570="Ja",1,0),"")</f>
        <v/>
      </c>
      <c r="H565" s="1" t="str">
        <f>IF(AND(Programme_Grunddaten!$A570="Geprüft",Programme_Grunddaten!O570&lt;&gt;""),IF(Programme_Grunddaten!O570="Deutschland",0,IF(Programme_Grunddaten!O570="EU",1,2)),"")</f>
        <v/>
      </c>
      <c r="I565" s="1" t="str">
        <f>IF(AND(Programme_Grunddaten!$A570="Geprüft",Programme_Grunddaten!P570&lt;&gt;""),IF(Programme_Grunddaten!P570="Ja",1,0),"")</f>
        <v/>
      </c>
      <c r="J565" s="1" t="str">
        <f>IF(AND(Programme_Grunddaten!$A570="Geprüft",Programme_Grunddaten!Q570&lt;&gt;""),IF(Programme_Grunddaten!Q570="geschlossenes System",1,0),"")</f>
        <v/>
      </c>
      <c r="K565" s="1" t="str">
        <f>IF(AND(Programme_Grunddaten!$A570="Geprüft",Programme_Grunddaten!R570&lt;&gt;""),IF(Programme_Grunddaten!R570="Ja",1,0),"")</f>
        <v/>
      </c>
      <c r="L565" s="1" t="str">
        <f>IF(AND(Programme_Grunddaten!$A570="Geprüft",Programme_Grunddaten!T570&lt;&gt;""),IF(Programme_Grunddaten!T570="Ja",1,0),"")</f>
        <v/>
      </c>
      <c r="M565" s="1" t="str">
        <f>IF(AND(Programme_Grunddaten!$A570="Geprüft",Programme_Grunddaten!U570&lt;&gt;""),IF(Programme_Grunddaten!U570="Ja",1,0),"")</f>
        <v/>
      </c>
      <c r="N565" s="1" t="str">
        <f>IF(AND(Programme_Grunddaten!$A570="Geprüft",Programme_Grunddaten!V570&lt;&gt;""),IF(Programme_Grunddaten!V570="Ja",1,0),"")</f>
        <v/>
      </c>
      <c r="O565" s="1" t="str">
        <f>IF(AND(Programme_Grunddaten!$A570="Geprüft",Programme_Grunddaten!W570&lt;&gt;""),IF(Programme_Grunddaten!W570="Ja",1,0),"")</f>
        <v/>
      </c>
      <c r="P565" s="1" t="str">
        <f>IF(AND(Programme_Grunddaten!$A570="Geprüft",Programme_Grunddaten!X570&lt;&gt;""),IF(Programme_Grunddaten!X570="Ja",1,0),"")</f>
        <v/>
      </c>
      <c r="Q565" s="1" t="str">
        <f>IF(AND(Programme_Grunddaten!$A570="Geprüft",Programme_Grunddaten!Y570&lt;&gt;""),IF(Programme_Grunddaten!Y570="Ja",1,0),"")</f>
        <v/>
      </c>
      <c r="R565" s="1" t="str">
        <f>IF(AND(Programme_Grunddaten!$A570="Geprüft",Programme_Grunddaten!Z570&lt;&gt;""),IF(Programme_Grunddaten!Z570="Ja",1,0),"")</f>
        <v/>
      </c>
      <c r="S565" s="1" t="str">
        <f>IF(AND(Programme_Grunddaten!$A570="Geprüft",Programme_Grunddaten!AA570&lt;&gt;""),IF(Programme_Grunddaten!AA570="monolithisch",1,0),"")</f>
        <v/>
      </c>
      <c r="T565" s="1" t="str">
        <f>IF(AND(Programme_Grunddaten!$A570="Geprüft",Programme_Grunddaten!AB570&lt;&gt;""),IF(Programme_Grunddaten!AB570="Ja",1,0),"")</f>
        <v/>
      </c>
      <c r="U565" s="1" t="str">
        <f>IF(AND(Programme_Grunddaten!$A570="Geprüft",Programme_Grunddaten!AC570&lt;&gt;""),IF(Programme_Grunddaten!AC570="Ja",1,0),"")</f>
        <v/>
      </c>
      <c r="V565" s="1" t="str">
        <f>IF(AND(Programme_Grunddaten!$A570="Geprüft",Programme_Grunddaten!AD570&lt;&gt;""),IF(Programme_Grunddaten!AD570="Ja",1,0),"")</f>
        <v/>
      </c>
      <c r="W565" s="1" t="str">
        <f>IF(AND(Programme_Grunddaten!$A570="Geprüft",Programme_Grunddaten!AE570&lt;&gt;""),IF(Programme_Grunddaten!AE570="Ja",1,0),"")</f>
        <v/>
      </c>
      <c r="X565" s="1" t="str">
        <f>IF(AND(Programme_Grunddaten!$A570="Geprüft",Programme_Grunddaten!AF570&lt;&gt;""),IF(Programme_Grunddaten!AF570="Ja",1,0),"")</f>
        <v/>
      </c>
      <c r="Y565" s="1" t="str">
        <f>IF(AND(Programme_Grunddaten!$A570="Geprüft",Programme_Grunddaten!AG570&lt;&gt;""),IF(Programme_Grunddaten!AG570="Ja",1,0),"")</f>
        <v/>
      </c>
      <c r="Z565" s="1" t="str">
        <f>IF(AND(Programme_Grunddaten!$A570="Geprüft",Programme_Grunddaten!AH570&lt;&gt;""),IF(Programme_Grunddaten!AH570="Ja",1,0),"")</f>
        <v/>
      </c>
      <c r="AA565" s="1" t="str">
        <f>IF(AND(Programme_Grunddaten!$A570="Geprüft",Programme_Grunddaten!AI570&lt;&gt;""),IF(Programme_Grunddaten!AI570="Ja",1,0),"")</f>
        <v/>
      </c>
      <c r="AB565" s="1" t="str">
        <f>IF(AND(Programme_Grunddaten!$A570="Geprüft",Programme_Grunddaten!AJ570&lt;&gt;""),IF(Programme_Grunddaten!AJ570="individuell programmierbar",1,0),"")</f>
        <v/>
      </c>
      <c r="AC565" s="1" t="str">
        <f>IF(AND(Programme_Grunddaten!$A570="Geprüft",Programme_Grunddaten!AK570&lt;&gt;""),IF(Programme_Grunddaten!AK570="Deutsch",0,IF(Programme_Grunddaten!AK570="Deutsch und Englisch",1,2)),"")</f>
        <v/>
      </c>
      <c r="AD565" s="1" t="str">
        <f>IF(AND(Programme_Grunddaten!$A570="Geprüft",Programme_Grunddaten!AL570&lt;&gt;""),IF(Programme_Grunddaten!AL570="Ja",1,0),"")</f>
        <v/>
      </c>
      <c r="AE565" s="1" t="str">
        <f>IF(AND(Programme_Grunddaten!$A570="Geprüft",Programme_Grunddaten!AM570&lt;&gt;""),IF(Programme_Grunddaten!AM570="Ja",1,0),"")</f>
        <v/>
      </c>
      <c r="AF565" s="1" t="str">
        <f>IF(AND(Programme_Grunddaten!$A570="Geprüft",Programme_Grunddaten!AN570&lt;&gt;""),IF(Programme_Grunddaten!AN570="Ja",1,0),"")</f>
        <v/>
      </c>
      <c r="AG565" s="1" t="str">
        <f>IF(AND(Programme_Grunddaten!$A570="Geprüft",Programme_Grunddaten!AO570&lt;&gt;""),IF(Programme_Grunddaten!AO570="Ja",1,0),"")</f>
        <v/>
      </c>
      <c r="AH565" s="1" t="str">
        <f>IF(AND(Programme_Grunddaten!$A570="Geprüft",Programme_Grunddaten!AP570&lt;&gt;""),IF(Programme_Grunddaten!AP570="Ja",1,0),"")</f>
        <v/>
      </c>
      <c r="AI565" s="1" t="str">
        <f>IF(AND(Programme_Grunddaten!$A570="Geprüft",Programme_Grunddaten!AQ570&lt;&gt;""),IF(Programme_Grunddaten!AQ570="Ja",1,0),"")</f>
        <v/>
      </c>
      <c r="AJ565" s="1" t="str">
        <f>IF(AND(Programme_Grunddaten!$A570="Geprüft",Programme_Grunddaten!AR570&lt;&gt;""),IF(Programme_Grunddaten!AR570="Ja",1,0),"")</f>
        <v/>
      </c>
      <c r="AK565" s="1" t="str">
        <f>IF(AND(Programme_Grunddaten!$A570="Geprüft",Programme_Grunddaten!AS570&lt;&gt;""),IF(Programme_Grunddaten!AS570="Ja",1,0),"")</f>
        <v/>
      </c>
      <c r="AL565" s="1" t="str">
        <f>IF(AND(Programme_Grunddaten!$A570="Geprüft",Programme_Grunddaten!AT570&lt;&gt;""),IF(Programme_Grunddaten!AT570="Ja",1,0),"")</f>
        <v/>
      </c>
      <c r="AM565" s="1" t="str">
        <f>IF(AND(Programme_Grunddaten!$A570="Geprüft",Programme_Grunddaten!AU570&lt;&gt;""),IF(Programme_Grunddaten!AU570="Ja",1,0),"")</f>
        <v/>
      </c>
      <c r="AN565" s="1" t="str">
        <f>IF(AND(Programme_Grunddaten!$A570="Geprüft",Programme_Grunddaten!AV570&lt;&gt;""),IF(Programme_Grunddaten!AV570="Ja",1,0),"")</f>
        <v/>
      </c>
    </row>
    <row r="566" spans="1:40" x14ac:dyDescent="0.3">
      <c r="A566" s="1" t="str">
        <f>IF(AND(Programme_Grunddaten!A571="Geprüft",Programme_Grunddaten!B571&lt;&gt;""),Programme_Grunddaten!B571,"")</f>
        <v/>
      </c>
      <c r="B566" s="1" t="str">
        <f>IF(AND(Programme_Grunddaten!$A571="Geprüft",Programme_Grunddaten!I571&lt;&gt;""),IF(Programme_Grunddaten!I571="Ja",1,0),"")</f>
        <v/>
      </c>
      <c r="C566" s="1" t="str">
        <f>IF(AND(Programme_Grunddaten!$A571="Geprüft",Programme_Grunddaten!J571&lt;&gt;""),IF(Programme_Grunddaten!J571="Ja",1,0),"")</f>
        <v/>
      </c>
      <c r="D566" s="1" t="str">
        <f>IF(AND(Programme_Grunddaten!$A571="Geprüft",Programme_Grunddaten!K571&lt;&gt;""),IF(Programme_Grunddaten!K571="Ja",1,0),"")</f>
        <v/>
      </c>
      <c r="E566" s="1" t="str">
        <f>IF(AND(Programme_Grunddaten!$A571="Geprüft",Programme_Grunddaten!L571&lt;&gt;""),IF(Programme_Grunddaten!L571="Abo / befristete Lizenz",1,0),"")</f>
        <v/>
      </c>
      <c r="F566" s="1" t="str">
        <f>IF(AND(Programme_Grunddaten!$A571="Geprüft",Programme_Grunddaten!M571&lt;&gt;""),IF(Programme_Grunddaten!M571="Ja",1,0),"")</f>
        <v/>
      </c>
      <c r="G566" s="1" t="str">
        <f>IF(AND(Programme_Grunddaten!$A571="Geprüft",Programme_Grunddaten!N571&lt;&gt;""),IF(Programme_Grunddaten!N571="Ja",1,0),"")</f>
        <v/>
      </c>
      <c r="H566" s="1" t="str">
        <f>IF(AND(Programme_Grunddaten!$A571="Geprüft",Programme_Grunddaten!O571&lt;&gt;""),IF(Programme_Grunddaten!O571="Deutschland",0,IF(Programme_Grunddaten!O571="EU",1,2)),"")</f>
        <v/>
      </c>
      <c r="I566" s="1" t="str">
        <f>IF(AND(Programme_Grunddaten!$A571="Geprüft",Programme_Grunddaten!P571&lt;&gt;""),IF(Programme_Grunddaten!P571="Ja",1,0),"")</f>
        <v/>
      </c>
      <c r="J566" s="1" t="str">
        <f>IF(AND(Programme_Grunddaten!$A571="Geprüft",Programme_Grunddaten!Q571&lt;&gt;""),IF(Programme_Grunddaten!Q571="geschlossenes System",1,0),"")</f>
        <v/>
      </c>
      <c r="K566" s="1" t="str">
        <f>IF(AND(Programme_Grunddaten!$A571="Geprüft",Programme_Grunddaten!R571&lt;&gt;""),IF(Programme_Grunddaten!R571="Ja",1,0),"")</f>
        <v/>
      </c>
      <c r="L566" s="1" t="str">
        <f>IF(AND(Programme_Grunddaten!$A571="Geprüft",Programme_Grunddaten!T571&lt;&gt;""),IF(Programme_Grunddaten!T571="Ja",1,0),"")</f>
        <v/>
      </c>
      <c r="M566" s="1" t="str">
        <f>IF(AND(Programme_Grunddaten!$A571="Geprüft",Programme_Grunddaten!U571&lt;&gt;""),IF(Programme_Grunddaten!U571="Ja",1,0),"")</f>
        <v/>
      </c>
      <c r="N566" s="1" t="str">
        <f>IF(AND(Programme_Grunddaten!$A571="Geprüft",Programme_Grunddaten!V571&lt;&gt;""),IF(Programme_Grunddaten!V571="Ja",1,0),"")</f>
        <v/>
      </c>
      <c r="O566" s="1" t="str">
        <f>IF(AND(Programme_Grunddaten!$A571="Geprüft",Programme_Grunddaten!W571&lt;&gt;""),IF(Programme_Grunddaten!W571="Ja",1,0),"")</f>
        <v/>
      </c>
      <c r="P566" s="1" t="str">
        <f>IF(AND(Programme_Grunddaten!$A571="Geprüft",Programme_Grunddaten!X571&lt;&gt;""),IF(Programme_Grunddaten!X571="Ja",1,0),"")</f>
        <v/>
      </c>
      <c r="Q566" s="1" t="str">
        <f>IF(AND(Programme_Grunddaten!$A571="Geprüft",Programme_Grunddaten!Y571&lt;&gt;""),IF(Programme_Grunddaten!Y571="Ja",1,0),"")</f>
        <v/>
      </c>
      <c r="R566" s="1" t="str">
        <f>IF(AND(Programme_Grunddaten!$A571="Geprüft",Programme_Grunddaten!Z571&lt;&gt;""),IF(Programme_Grunddaten!Z571="Ja",1,0),"")</f>
        <v/>
      </c>
      <c r="S566" s="1" t="str">
        <f>IF(AND(Programme_Grunddaten!$A571="Geprüft",Programme_Grunddaten!AA571&lt;&gt;""),IF(Programme_Grunddaten!AA571="monolithisch",1,0),"")</f>
        <v/>
      </c>
      <c r="T566" s="1" t="str">
        <f>IF(AND(Programme_Grunddaten!$A571="Geprüft",Programme_Grunddaten!AB571&lt;&gt;""),IF(Programme_Grunddaten!AB571="Ja",1,0),"")</f>
        <v/>
      </c>
      <c r="U566" s="1" t="str">
        <f>IF(AND(Programme_Grunddaten!$A571="Geprüft",Programme_Grunddaten!AC571&lt;&gt;""),IF(Programme_Grunddaten!AC571="Ja",1,0),"")</f>
        <v/>
      </c>
      <c r="V566" s="1" t="str">
        <f>IF(AND(Programme_Grunddaten!$A571="Geprüft",Programme_Grunddaten!AD571&lt;&gt;""),IF(Programme_Grunddaten!AD571="Ja",1,0),"")</f>
        <v/>
      </c>
      <c r="W566" s="1" t="str">
        <f>IF(AND(Programme_Grunddaten!$A571="Geprüft",Programme_Grunddaten!AE571&lt;&gt;""),IF(Programme_Grunddaten!AE571="Ja",1,0),"")</f>
        <v/>
      </c>
      <c r="X566" s="1" t="str">
        <f>IF(AND(Programme_Grunddaten!$A571="Geprüft",Programme_Grunddaten!AF571&lt;&gt;""),IF(Programme_Grunddaten!AF571="Ja",1,0),"")</f>
        <v/>
      </c>
      <c r="Y566" s="1" t="str">
        <f>IF(AND(Programme_Grunddaten!$A571="Geprüft",Programme_Grunddaten!AG571&lt;&gt;""),IF(Programme_Grunddaten!AG571="Ja",1,0),"")</f>
        <v/>
      </c>
      <c r="Z566" s="1" t="str">
        <f>IF(AND(Programme_Grunddaten!$A571="Geprüft",Programme_Grunddaten!AH571&lt;&gt;""),IF(Programme_Grunddaten!AH571="Ja",1,0),"")</f>
        <v/>
      </c>
      <c r="AA566" s="1" t="str">
        <f>IF(AND(Programme_Grunddaten!$A571="Geprüft",Programme_Grunddaten!AI571&lt;&gt;""),IF(Programme_Grunddaten!AI571="Ja",1,0),"")</f>
        <v/>
      </c>
      <c r="AB566" s="1" t="str">
        <f>IF(AND(Programme_Grunddaten!$A571="Geprüft",Programme_Grunddaten!AJ571&lt;&gt;""),IF(Programme_Grunddaten!AJ571="individuell programmierbar",1,0),"")</f>
        <v/>
      </c>
      <c r="AC566" s="1" t="str">
        <f>IF(AND(Programme_Grunddaten!$A571="Geprüft",Programme_Grunddaten!AK571&lt;&gt;""),IF(Programme_Grunddaten!AK571="Deutsch",0,IF(Programme_Grunddaten!AK571="Deutsch und Englisch",1,2)),"")</f>
        <v/>
      </c>
      <c r="AD566" s="1" t="str">
        <f>IF(AND(Programme_Grunddaten!$A571="Geprüft",Programme_Grunddaten!AL571&lt;&gt;""),IF(Programme_Grunddaten!AL571="Ja",1,0),"")</f>
        <v/>
      </c>
      <c r="AE566" s="1" t="str">
        <f>IF(AND(Programme_Grunddaten!$A571="Geprüft",Programme_Grunddaten!AM571&lt;&gt;""),IF(Programme_Grunddaten!AM571="Ja",1,0),"")</f>
        <v/>
      </c>
      <c r="AF566" s="1" t="str">
        <f>IF(AND(Programme_Grunddaten!$A571="Geprüft",Programme_Grunddaten!AN571&lt;&gt;""),IF(Programme_Grunddaten!AN571="Ja",1,0),"")</f>
        <v/>
      </c>
      <c r="AG566" s="1" t="str">
        <f>IF(AND(Programme_Grunddaten!$A571="Geprüft",Programme_Grunddaten!AO571&lt;&gt;""),IF(Programme_Grunddaten!AO571="Ja",1,0),"")</f>
        <v/>
      </c>
      <c r="AH566" s="1" t="str">
        <f>IF(AND(Programme_Grunddaten!$A571="Geprüft",Programme_Grunddaten!AP571&lt;&gt;""),IF(Programme_Grunddaten!AP571="Ja",1,0),"")</f>
        <v/>
      </c>
      <c r="AI566" s="1" t="str">
        <f>IF(AND(Programme_Grunddaten!$A571="Geprüft",Programme_Grunddaten!AQ571&lt;&gt;""),IF(Programme_Grunddaten!AQ571="Ja",1,0),"")</f>
        <v/>
      </c>
      <c r="AJ566" s="1" t="str">
        <f>IF(AND(Programme_Grunddaten!$A571="Geprüft",Programme_Grunddaten!AR571&lt;&gt;""),IF(Programme_Grunddaten!AR571="Ja",1,0),"")</f>
        <v/>
      </c>
      <c r="AK566" s="1" t="str">
        <f>IF(AND(Programme_Grunddaten!$A571="Geprüft",Programme_Grunddaten!AS571&lt;&gt;""),IF(Programme_Grunddaten!AS571="Ja",1,0),"")</f>
        <v/>
      </c>
      <c r="AL566" s="1" t="str">
        <f>IF(AND(Programme_Grunddaten!$A571="Geprüft",Programme_Grunddaten!AT571&lt;&gt;""),IF(Programme_Grunddaten!AT571="Ja",1,0),"")</f>
        <v/>
      </c>
      <c r="AM566" s="1" t="str">
        <f>IF(AND(Programme_Grunddaten!$A571="Geprüft",Programme_Grunddaten!AU571&lt;&gt;""),IF(Programme_Grunddaten!AU571="Ja",1,0),"")</f>
        <v/>
      </c>
      <c r="AN566" s="1" t="str">
        <f>IF(AND(Programme_Grunddaten!$A571="Geprüft",Programme_Grunddaten!AV571&lt;&gt;""),IF(Programme_Grunddaten!AV571="Ja",1,0),"")</f>
        <v/>
      </c>
    </row>
    <row r="567" spans="1:40" x14ac:dyDescent="0.3">
      <c r="A567" s="1" t="str">
        <f>IF(AND(Programme_Grunddaten!A572="Geprüft",Programme_Grunddaten!B572&lt;&gt;""),Programme_Grunddaten!B572,"")</f>
        <v/>
      </c>
      <c r="B567" s="1" t="str">
        <f>IF(AND(Programme_Grunddaten!$A572="Geprüft",Programme_Grunddaten!I572&lt;&gt;""),IF(Programme_Grunddaten!I572="Ja",1,0),"")</f>
        <v/>
      </c>
      <c r="C567" s="1" t="str">
        <f>IF(AND(Programme_Grunddaten!$A572="Geprüft",Programme_Grunddaten!J572&lt;&gt;""),IF(Programme_Grunddaten!J572="Ja",1,0),"")</f>
        <v/>
      </c>
      <c r="D567" s="1" t="str">
        <f>IF(AND(Programme_Grunddaten!$A572="Geprüft",Programme_Grunddaten!K572&lt;&gt;""),IF(Programme_Grunddaten!K572="Ja",1,0),"")</f>
        <v/>
      </c>
      <c r="E567" s="1" t="str">
        <f>IF(AND(Programme_Grunddaten!$A572="Geprüft",Programme_Grunddaten!L572&lt;&gt;""),IF(Programme_Grunddaten!L572="Abo / befristete Lizenz",1,0),"")</f>
        <v/>
      </c>
      <c r="F567" s="1" t="str">
        <f>IF(AND(Programme_Grunddaten!$A572="Geprüft",Programme_Grunddaten!M572&lt;&gt;""),IF(Programme_Grunddaten!M572="Ja",1,0),"")</f>
        <v/>
      </c>
      <c r="G567" s="1" t="str">
        <f>IF(AND(Programme_Grunddaten!$A572="Geprüft",Programme_Grunddaten!N572&lt;&gt;""),IF(Programme_Grunddaten!N572="Ja",1,0),"")</f>
        <v/>
      </c>
      <c r="H567" s="1" t="str">
        <f>IF(AND(Programme_Grunddaten!$A572="Geprüft",Programme_Grunddaten!O572&lt;&gt;""),IF(Programme_Grunddaten!O572="Deutschland",0,IF(Programme_Grunddaten!O572="EU",1,2)),"")</f>
        <v/>
      </c>
      <c r="I567" s="1" t="str">
        <f>IF(AND(Programme_Grunddaten!$A572="Geprüft",Programme_Grunddaten!P572&lt;&gt;""),IF(Programme_Grunddaten!P572="Ja",1,0),"")</f>
        <v/>
      </c>
      <c r="J567" s="1" t="str">
        <f>IF(AND(Programme_Grunddaten!$A572="Geprüft",Programme_Grunddaten!Q572&lt;&gt;""),IF(Programme_Grunddaten!Q572="geschlossenes System",1,0),"")</f>
        <v/>
      </c>
      <c r="K567" s="1" t="str">
        <f>IF(AND(Programme_Grunddaten!$A572="Geprüft",Programme_Grunddaten!R572&lt;&gt;""),IF(Programme_Grunddaten!R572="Ja",1,0),"")</f>
        <v/>
      </c>
      <c r="L567" s="1" t="str">
        <f>IF(AND(Programme_Grunddaten!$A572="Geprüft",Programme_Grunddaten!T572&lt;&gt;""),IF(Programme_Grunddaten!T572="Ja",1,0),"")</f>
        <v/>
      </c>
      <c r="M567" s="1" t="str">
        <f>IF(AND(Programme_Grunddaten!$A572="Geprüft",Programme_Grunddaten!U572&lt;&gt;""),IF(Programme_Grunddaten!U572="Ja",1,0),"")</f>
        <v/>
      </c>
      <c r="N567" s="1" t="str">
        <f>IF(AND(Programme_Grunddaten!$A572="Geprüft",Programme_Grunddaten!V572&lt;&gt;""),IF(Programme_Grunddaten!V572="Ja",1,0),"")</f>
        <v/>
      </c>
      <c r="O567" s="1" t="str">
        <f>IF(AND(Programme_Grunddaten!$A572="Geprüft",Programme_Grunddaten!W572&lt;&gt;""),IF(Programme_Grunddaten!W572="Ja",1,0),"")</f>
        <v/>
      </c>
      <c r="P567" s="1" t="str">
        <f>IF(AND(Programme_Grunddaten!$A572="Geprüft",Programme_Grunddaten!X572&lt;&gt;""),IF(Programme_Grunddaten!X572="Ja",1,0),"")</f>
        <v/>
      </c>
      <c r="Q567" s="1" t="str">
        <f>IF(AND(Programme_Grunddaten!$A572="Geprüft",Programme_Grunddaten!Y572&lt;&gt;""),IF(Programme_Grunddaten!Y572="Ja",1,0),"")</f>
        <v/>
      </c>
      <c r="R567" s="1" t="str">
        <f>IF(AND(Programme_Grunddaten!$A572="Geprüft",Programme_Grunddaten!Z572&lt;&gt;""),IF(Programme_Grunddaten!Z572="Ja",1,0),"")</f>
        <v/>
      </c>
      <c r="S567" s="1" t="str">
        <f>IF(AND(Programme_Grunddaten!$A572="Geprüft",Programme_Grunddaten!AA572&lt;&gt;""),IF(Programme_Grunddaten!AA572="monolithisch",1,0),"")</f>
        <v/>
      </c>
      <c r="T567" s="1" t="str">
        <f>IF(AND(Programme_Grunddaten!$A572="Geprüft",Programme_Grunddaten!AB572&lt;&gt;""),IF(Programme_Grunddaten!AB572="Ja",1,0),"")</f>
        <v/>
      </c>
      <c r="U567" s="1" t="str">
        <f>IF(AND(Programme_Grunddaten!$A572="Geprüft",Programme_Grunddaten!AC572&lt;&gt;""),IF(Programme_Grunddaten!AC572="Ja",1,0),"")</f>
        <v/>
      </c>
      <c r="V567" s="1" t="str">
        <f>IF(AND(Programme_Grunddaten!$A572="Geprüft",Programme_Grunddaten!AD572&lt;&gt;""),IF(Programme_Grunddaten!AD572="Ja",1,0),"")</f>
        <v/>
      </c>
      <c r="W567" s="1" t="str">
        <f>IF(AND(Programme_Grunddaten!$A572="Geprüft",Programme_Grunddaten!AE572&lt;&gt;""),IF(Programme_Grunddaten!AE572="Ja",1,0),"")</f>
        <v/>
      </c>
      <c r="X567" s="1" t="str">
        <f>IF(AND(Programme_Grunddaten!$A572="Geprüft",Programme_Grunddaten!AF572&lt;&gt;""),IF(Programme_Grunddaten!AF572="Ja",1,0),"")</f>
        <v/>
      </c>
      <c r="Y567" s="1" t="str">
        <f>IF(AND(Programme_Grunddaten!$A572="Geprüft",Programme_Grunddaten!AG572&lt;&gt;""),IF(Programme_Grunddaten!AG572="Ja",1,0),"")</f>
        <v/>
      </c>
      <c r="Z567" s="1" t="str">
        <f>IF(AND(Programme_Grunddaten!$A572="Geprüft",Programme_Grunddaten!AH572&lt;&gt;""),IF(Programme_Grunddaten!AH572="Ja",1,0),"")</f>
        <v/>
      </c>
      <c r="AA567" s="1" t="str">
        <f>IF(AND(Programme_Grunddaten!$A572="Geprüft",Programme_Grunddaten!AI572&lt;&gt;""),IF(Programme_Grunddaten!AI572="Ja",1,0),"")</f>
        <v/>
      </c>
      <c r="AB567" s="1" t="str">
        <f>IF(AND(Programme_Grunddaten!$A572="Geprüft",Programme_Grunddaten!AJ572&lt;&gt;""),IF(Programme_Grunddaten!AJ572="individuell programmierbar",1,0),"")</f>
        <v/>
      </c>
      <c r="AC567" s="1" t="str">
        <f>IF(AND(Programme_Grunddaten!$A572="Geprüft",Programme_Grunddaten!AK572&lt;&gt;""),IF(Programme_Grunddaten!AK572="Deutsch",0,IF(Programme_Grunddaten!AK572="Deutsch und Englisch",1,2)),"")</f>
        <v/>
      </c>
      <c r="AD567" s="1" t="str">
        <f>IF(AND(Programme_Grunddaten!$A572="Geprüft",Programme_Grunddaten!AL572&lt;&gt;""),IF(Programme_Grunddaten!AL572="Ja",1,0),"")</f>
        <v/>
      </c>
      <c r="AE567" s="1" t="str">
        <f>IF(AND(Programme_Grunddaten!$A572="Geprüft",Programme_Grunddaten!AM572&lt;&gt;""),IF(Programme_Grunddaten!AM572="Ja",1,0),"")</f>
        <v/>
      </c>
      <c r="AF567" s="1" t="str">
        <f>IF(AND(Programme_Grunddaten!$A572="Geprüft",Programme_Grunddaten!AN572&lt;&gt;""),IF(Programme_Grunddaten!AN572="Ja",1,0),"")</f>
        <v/>
      </c>
      <c r="AG567" s="1" t="str">
        <f>IF(AND(Programme_Grunddaten!$A572="Geprüft",Programme_Grunddaten!AO572&lt;&gt;""),IF(Programme_Grunddaten!AO572="Ja",1,0),"")</f>
        <v/>
      </c>
      <c r="AH567" s="1" t="str">
        <f>IF(AND(Programme_Grunddaten!$A572="Geprüft",Programme_Grunddaten!AP572&lt;&gt;""),IF(Programme_Grunddaten!AP572="Ja",1,0),"")</f>
        <v/>
      </c>
      <c r="AI567" s="1" t="str">
        <f>IF(AND(Programme_Grunddaten!$A572="Geprüft",Programme_Grunddaten!AQ572&lt;&gt;""),IF(Programme_Grunddaten!AQ572="Ja",1,0),"")</f>
        <v/>
      </c>
      <c r="AJ567" s="1" t="str">
        <f>IF(AND(Programme_Grunddaten!$A572="Geprüft",Programme_Grunddaten!AR572&lt;&gt;""),IF(Programme_Grunddaten!AR572="Ja",1,0),"")</f>
        <v/>
      </c>
      <c r="AK567" s="1" t="str">
        <f>IF(AND(Programme_Grunddaten!$A572="Geprüft",Programme_Grunddaten!AS572&lt;&gt;""),IF(Programme_Grunddaten!AS572="Ja",1,0),"")</f>
        <v/>
      </c>
      <c r="AL567" s="1" t="str">
        <f>IF(AND(Programme_Grunddaten!$A572="Geprüft",Programme_Grunddaten!AT572&lt;&gt;""),IF(Programme_Grunddaten!AT572="Ja",1,0),"")</f>
        <v/>
      </c>
      <c r="AM567" s="1" t="str">
        <f>IF(AND(Programme_Grunddaten!$A572="Geprüft",Programme_Grunddaten!AU572&lt;&gt;""),IF(Programme_Grunddaten!AU572="Ja",1,0),"")</f>
        <v/>
      </c>
      <c r="AN567" s="1" t="str">
        <f>IF(AND(Programme_Grunddaten!$A572="Geprüft",Programme_Grunddaten!AV572&lt;&gt;""),IF(Programme_Grunddaten!AV572="Ja",1,0),"")</f>
        <v/>
      </c>
    </row>
    <row r="568" spans="1:40" x14ac:dyDescent="0.3">
      <c r="A568" s="1" t="str">
        <f>IF(AND(Programme_Grunddaten!A573="Geprüft",Programme_Grunddaten!B573&lt;&gt;""),Programme_Grunddaten!B573,"")</f>
        <v/>
      </c>
      <c r="B568" s="1" t="str">
        <f>IF(AND(Programme_Grunddaten!$A573="Geprüft",Programme_Grunddaten!I573&lt;&gt;""),IF(Programme_Grunddaten!I573="Ja",1,0),"")</f>
        <v/>
      </c>
      <c r="C568" s="1" t="str">
        <f>IF(AND(Programme_Grunddaten!$A573="Geprüft",Programme_Grunddaten!J573&lt;&gt;""),IF(Programme_Grunddaten!J573="Ja",1,0),"")</f>
        <v/>
      </c>
      <c r="D568" s="1" t="str">
        <f>IF(AND(Programme_Grunddaten!$A573="Geprüft",Programme_Grunddaten!K573&lt;&gt;""),IF(Programme_Grunddaten!K573="Ja",1,0),"")</f>
        <v/>
      </c>
      <c r="E568" s="1" t="str">
        <f>IF(AND(Programme_Grunddaten!$A573="Geprüft",Programme_Grunddaten!L573&lt;&gt;""),IF(Programme_Grunddaten!L573="Abo / befristete Lizenz",1,0),"")</f>
        <v/>
      </c>
      <c r="F568" s="1" t="str">
        <f>IF(AND(Programme_Grunddaten!$A573="Geprüft",Programme_Grunddaten!M573&lt;&gt;""),IF(Programme_Grunddaten!M573="Ja",1,0),"")</f>
        <v/>
      </c>
      <c r="G568" s="1" t="str">
        <f>IF(AND(Programme_Grunddaten!$A573="Geprüft",Programme_Grunddaten!N573&lt;&gt;""),IF(Programme_Grunddaten!N573="Ja",1,0),"")</f>
        <v/>
      </c>
      <c r="H568" s="1" t="str">
        <f>IF(AND(Programme_Grunddaten!$A573="Geprüft",Programme_Grunddaten!O573&lt;&gt;""),IF(Programme_Grunddaten!O573="Deutschland",0,IF(Programme_Grunddaten!O573="EU",1,2)),"")</f>
        <v/>
      </c>
      <c r="I568" s="1" t="str">
        <f>IF(AND(Programme_Grunddaten!$A573="Geprüft",Programme_Grunddaten!P573&lt;&gt;""),IF(Programme_Grunddaten!P573="Ja",1,0),"")</f>
        <v/>
      </c>
      <c r="J568" s="1" t="str">
        <f>IF(AND(Programme_Grunddaten!$A573="Geprüft",Programme_Grunddaten!Q573&lt;&gt;""),IF(Programme_Grunddaten!Q573="geschlossenes System",1,0),"")</f>
        <v/>
      </c>
      <c r="K568" s="1" t="str">
        <f>IF(AND(Programme_Grunddaten!$A573="Geprüft",Programme_Grunddaten!R573&lt;&gt;""),IF(Programme_Grunddaten!R573="Ja",1,0),"")</f>
        <v/>
      </c>
      <c r="L568" s="1" t="str">
        <f>IF(AND(Programme_Grunddaten!$A573="Geprüft",Programme_Grunddaten!T573&lt;&gt;""),IF(Programme_Grunddaten!T573="Ja",1,0),"")</f>
        <v/>
      </c>
      <c r="M568" s="1" t="str">
        <f>IF(AND(Programme_Grunddaten!$A573="Geprüft",Programme_Grunddaten!U573&lt;&gt;""),IF(Programme_Grunddaten!U573="Ja",1,0),"")</f>
        <v/>
      </c>
      <c r="N568" s="1" t="str">
        <f>IF(AND(Programme_Grunddaten!$A573="Geprüft",Programme_Grunddaten!V573&lt;&gt;""),IF(Programme_Grunddaten!V573="Ja",1,0),"")</f>
        <v/>
      </c>
      <c r="O568" s="1" t="str">
        <f>IF(AND(Programme_Grunddaten!$A573="Geprüft",Programme_Grunddaten!W573&lt;&gt;""),IF(Programme_Grunddaten!W573="Ja",1,0),"")</f>
        <v/>
      </c>
      <c r="P568" s="1" t="str">
        <f>IF(AND(Programme_Grunddaten!$A573="Geprüft",Programme_Grunddaten!X573&lt;&gt;""),IF(Programme_Grunddaten!X573="Ja",1,0),"")</f>
        <v/>
      </c>
      <c r="Q568" s="1" t="str">
        <f>IF(AND(Programme_Grunddaten!$A573="Geprüft",Programme_Grunddaten!Y573&lt;&gt;""),IF(Programme_Grunddaten!Y573="Ja",1,0),"")</f>
        <v/>
      </c>
      <c r="R568" s="1" t="str">
        <f>IF(AND(Programme_Grunddaten!$A573="Geprüft",Programme_Grunddaten!Z573&lt;&gt;""),IF(Programme_Grunddaten!Z573="Ja",1,0),"")</f>
        <v/>
      </c>
      <c r="S568" s="1" t="str">
        <f>IF(AND(Programme_Grunddaten!$A573="Geprüft",Programme_Grunddaten!AA573&lt;&gt;""),IF(Programme_Grunddaten!AA573="monolithisch",1,0),"")</f>
        <v/>
      </c>
      <c r="T568" s="1" t="str">
        <f>IF(AND(Programme_Grunddaten!$A573="Geprüft",Programme_Grunddaten!AB573&lt;&gt;""),IF(Programme_Grunddaten!AB573="Ja",1,0),"")</f>
        <v/>
      </c>
      <c r="U568" s="1" t="str">
        <f>IF(AND(Programme_Grunddaten!$A573="Geprüft",Programme_Grunddaten!AC573&lt;&gt;""),IF(Programme_Grunddaten!AC573="Ja",1,0),"")</f>
        <v/>
      </c>
      <c r="V568" s="1" t="str">
        <f>IF(AND(Programme_Grunddaten!$A573="Geprüft",Programme_Grunddaten!AD573&lt;&gt;""),IF(Programme_Grunddaten!AD573="Ja",1,0),"")</f>
        <v/>
      </c>
      <c r="W568" s="1" t="str">
        <f>IF(AND(Programme_Grunddaten!$A573="Geprüft",Programme_Grunddaten!AE573&lt;&gt;""),IF(Programme_Grunddaten!AE573="Ja",1,0),"")</f>
        <v/>
      </c>
      <c r="X568" s="1" t="str">
        <f>IF(AND(Programme_Grunddaten!$A573="Geprüft",Programme_Grunddaten!AF573&lt;&gt;""),IF(Programme_Grunddaten!AF573="Ja",1,0),"")</f>
        <v/>
      </c>
      <c r="Y568" s="1" t="str">
        <f>IF(AND(Programme_Grunddaten!$A573="Geprüft",Programme_Grunddaten!AG573&lt;&gt;""),IF(Programme_Grunddaten!AG573="Ja",1,0),"")</f>
        <v/>
      </c>
      <c r="Z568" s="1" t="str">
        <f>IF(AND(Programme_Grunddaten!$A573="Geprüft",Programme_Grunddaten!AH573&lt;&gt;""),IF(Programme_Grunddaten!AH573="Ja",1,0),"")</f>
        <v/>
      </c>
      <c r="AA568" s="1" t="str">
        <f>IF(AND(Programme_Grunddaten!$A573="Geprüft",Programme_Grunddaten!AI573&lt;&gt;""),IF(Programme_Grunddaten!AI573="Ja",1,0),"")</f>
        <v/>
      </c>
      <c r="AB568" s="1" t="str">
        <f>IF(AND(Programme_Grunddaten!$A573="Geprüft",Programme_Grunddaten!AJ573&lt;&gt;""),IF(Programme_Grunddaten!AJ573="individuell programmierbar",1,0),"")</f>
        <v/>
      </c>
      <c r="AC568" s="1" t="str">
        <f>IF(AND(Programme_Grunddaten!$A573="Geprüft",Programme_Grunddaten!AK573&lt;&gt;""),IF(Programme_Grunddaten!AK573="Deutsch",0,IF(Programme_Grunddaten!AK573="Deutsch und Englisch",1,2)),"")</f>
        <v/>
      </c>
      <c r="AD568" s="1" t="str">
        <f>IF(AND(Programme_Grunddaten!$A573="Geprüft",Programme_Grunddaten!AL573&lt;&gt;""),IF(Programme_Grunddaten!AL573="Ja",1,0),"")</f>
        <v/>
      </c>
      <c r="AE568" s="1" t="str">
        <f>IF(AND(Programme_Grunddaten!$A573="Geprüft",Programme_Grunddaten!AM573&lt;&gt;""),IF(Programme_Grunddaten!AM573="Ja",1,0),"")</f>
        <v/>
      </c>
      <c r="AF568" s="1" t="str">
        <f>IF(AND(Programme_Grunddaten!$A573="Geprüft",Programme_Grunddaten!AN573&lt;&gt;""),IF(Programme_Grunddaten!AN573="Ja",1,0),"")</f>
        <v/>
      </c>
      <c r="AG568" s="1" t="str">
        <f>IF(AND(Programme_Grunddaten!$A573="Geprüft",Programme_Grunddaten!AO573&lt;&gt;""),IF(Programme_Grunddaten!AO573="Ja",1,0),"")</f>
        <v/>
      </c>
      <c r="AH568" s="1" t="str">
        <f>IF(AND(Programme_Grunddaten!$A573="Geprüft",Programme_Grunddaten!AP573&lt;&gt;""),IF(Programme_Grunddaten!AP573="Ja",1,0),"")</f>
        <v/>
      </c>
      <c r="AI568" s="1" t="str">
        <f>IF(AND(Programme_Grunddaten!$A573="Geprüft",Programme_Grunddaten!AQ573&lt;&gt;""),IF(Programme_Grunddaten!AQ573="Ja",1,0),"")</f>
        <v/>
      </c>
      <c r="AJ568" s="1" t="str">
        <f>IF(AND(Programme_Grunddaten!$A573="Geprüft",Programme_Grunddaten!AR573&lt;&gt;""),IF(Programme_Grunddaten!AR573="Ja",1,0),"")</f>
        <v/>
      </c>
      <c r="AK568" s="1" t="str">
        <f>IF(AND(Programme_Grunddaten!$A573="Geprüft",Programme_Grunddaten!AS573&lt;&gt;""),IF(Programme_Grunddaten!AS573="Ja",1,0),"")</f>
        <v/>
      </c>
      <c r="AL568" s="1" t="str">
        <f>IF(AND(Programme_Grunddaten!$A573="Geprüft",Programme_Grunddaten!AT573&lt;&gt;""),IF(Programme_Grunddaten!AT573="Ja",1,0),"")</f>
        <v/>
      </c>
      <c r="AM568" s="1" t="str">
        <f>IF(AND(Programme_Grunddaten!$A573="Geprüft",Programme_Grunddaten!AU573&lt;&gt;""),IF(Programme_Grunddaten!AU573="Ja",1,0),"")</f>
        <v/>
      </c>
      <c r="AN568" s="1" t="str">
        <f>IF(AND(Programme_Grunddaten!$A573="Geprüft",Programme_Grunddaten!AV573&lt;&gt;""),IF(Programme_Grunddaten!AV573="Ja",1,0),"")</f>
        <v/>
      </c>
    </row>
    <row r="569" spans="1:40" x14ac:dyDescent="0.3">
      <c r="A569" s="1" t="str">
        <f>IF(AND(Programme_Grunddaten!A574="Geprüft",Programme_Grunddaten!B574&lt;&gt;""),Programme_Grunddaten!B574,"")</f>
        <v/>
      </c>
      <c r="B569" s="1" t="str">
        <f>IF(AND(Programme_Grunddaten!$A574="Geprüft",Programme_Grunddaten!I574&lt;&gt;""),IF(Programme_Grunddaten!I574="Ja",1,0),"")</f>
        <v/>
      </c>
      <c r="C569" s="1" t="str">
        <f>IF(AND(Programme_Grunddaten!$A574="Geprüft",Programme_Grunddaten!J574&lt;&gt;""),IF(Programme_Grunddaten!J574="Ja",1,0),"")</f>
        <v/>
      </c>
      <c r="D569" s="1" t="str">
        <f>IF(AND(Programme_Grunddaten!$A574="Geprüft",Programme_Grunddaten!K574&lt;&gt;""),IF(Programme_Grunddaten!K574="Ja",1,0),"")</f>
        <v/>
      </c>
      <c r="E569" s="1" t="str">
        <f>IF(AND(Programme_Grunddaten!$A574="Geprüft",Programme_Grunddaten!L574&lt;&gt;""),IF(Programme_Grunddaten!L574="Abo / befristete Lizenz",1,0),"")</f>
        <v/>
      </c>
      <c r="F569" s="1" t="str">
        <f>IF(AND(Programme_Grunddaten!$A574="Geprüft",Programme_Grunddaten!M574&lt;&gt;""),IF(Programme_Grunddaten!M574="Ja",1,0),"")</f>
        <v/>
      </c>
      <c r="G569" s="1" t="str">
        <f>IF(AND(Programme_Grunddaten!$A574="Geprüft",Programme_Grunddaten!N574&lt;&gt;""),IF(Programme_Grunddaten!N574="Ja",1,0),"")</f>
        <v/>
      </c>
      <c r="H569" s="1" t="str">
        <f>IF(AND(Programme_Grunddaten!$A574="Geprüft",Programme_Grunddaten!O574&lt;&gt;""),IF(Programme_Grunddaten!O574="Deutschland",0,IF(Programme_Grunddaten!O574="EU",1,2)),"")</f>
        <v/>
      </c>
      <c r="I569" s="1" t="str">
        <f>IF(AND(Programme_Grunddaten!$A574="Geprüft",Programme_Grunddaten!P574&lt;&gt;""),IF(Programme_Grunddaten!P574="Ja",1,0),"")</f>
        <v/>
      </c>
      <c r="J569" s="1" t="str">
        <f>IF(AND(Programme_Grunddaten!$A574="Geprüft",Programme_Grunddaten!Q574&lt;&gt;""),IF(Programme_Grunddaten!Q574="geschlossenes System",1,0),"")</f>
        <v/>
      </c>
      <c r="K569" s="1" t="str">
        <f>IF(AND(Programme_Grunddaten!$A574="Geprüft",Programme_Grunddaten!R574&lt;&gt;""),IF(Programme_Grunddaten!R574="Ja",1,0),"")</f>
        <v/>
      </c>
      <c r="L569" s="1" t="str">
        <f>IF(AND(Programme_Grunddaten!$A574="Geprüft",Programme_Grunddaten!T574&lt;&gt;""),IF(Programme_Grunddaten!T574="Ja",1,0),"")</f>
        <v/>
      </c>
      <c r="M569" s="1" t="str">
        <f>IF(AND(Programme_Grunddaten!$A574="Geprüft",Programme_Grunddaten!U574&lt;&gt;""),IF(Programme_Grunddaten!U574="Ja",1,0),"")</f>
        <v/>
      </c>
      <c r="N569" s="1" t="str">
        <f>IF(AND(Programme_Grunddaten!$A574="Geprüft",Programme_Grunddaten!V574&lt;&gt;""),IF(Programme_Grunddaten!V574="Ja",1,0),"")</f>
        <v/>
      </c>
      <c r="O569" s="1" t="str">
        <f>IF(AND(Programme_Grunddaten!$A574="Geprüft",Programme_Grunddaten!W574&lt;&gt;""),IF(Programme_Grunddaten!W574="Ja",1,0),"")</f>
        <v/>
      </c>
      <c r="P569" s="1" t="str">
        <f>IF(AND(Programme_Grunddaten!$A574="Geprüft",Programme_Grunddaten!X574&lt;&gt;""),IF(Programme_Grunddaten!X574="Ja",1,0),"")</f>
        <v/>
      </c>
      <c r="Q569" s="1" t="str">
        <f>IF(AND(Programme_Grunddaten!$A574="Geprüft",Programme_Grunddaten!Y574&lt;&gt;""),IF(Programme_Grunddaten!Y574="Ja",1,0),"")</f>
        <v/>
      </c>
      <c r="R569" s="1" t="str">
        <f>IF(AND(Programme_Grunddaten!$A574="Geprüft",Programme_Grunddaten!Z574&lt;&gt;""),IF(Programme_Grunddaten!Z574="Ja",1,0),"")</f>
        <v/>
      </c>
      <c r="S569" s="1" t="str">
        <f>IF(AND(Programme_Grunddaten!$A574="Geprüft",Programme_Grunddaten!AA574&lt;&gt;""),IF(Programme_Grunddaten!AA574="monolithisch",1,0),"")</f>
        <v/>
      </c>
      <c r="T569" s="1" t="str">
        <f>IF(AND(Programme_Grunddaten!$A574="Geprüft",Programme_Grunddaten!AB574&lt;&gt;""),IF(Programme_Grunddaten!AB574="Ja",1,0),"")</f>
        <v/>
      </c>
      <c r="U569" s="1" t="str">
        <f>IF(AND(Programme_Grunddaten!$A574="Geprüft",Programme_Grunddaten!AC574&lt;&gt;""),IF(Programme_Grunddaten!AC574="Ja",1,0),"")</f>
        <v/>
      </c>
      <c r="V569" s="1" t="str">
        <f>IF(AND(Programme_Grunddaten!$A574="Geprüft",Programme_Grunddaten!AD574&lt;&gt;""),IF(Programme_Grunddaten!AD574="Ja",1,0),"")</f>
        <v/>
      </c>
      <c r="W569" s="1" t="str">
        <f>IF(AND(Programme_Grunddaten!$A574="Geprüft",Programme_Grunddaten!AE574&lt;&gt;""),IF(Programme_Grunddaten!AE574="Ja",1,0),"")</f>
        <v/>
      </c>
      <c r="X569" s="1" t="str">
        <f>IF(AND(Programme_Grunddaten!$A574="Geprüft",Programme_Grunddaten!AF574&lt;&gt;""),IF(Programme_Grunddaten!AF574="Ja",1,0),"")</f>
        <v/>
      </c>
      <c r="Y569" s="1" t="str">
        <f>IF(AND(Programme_Grunddaten!$A574="Geprüft",Programme_Grunddaten!AG574&lt;&gt;""),IF(Programme_Grunddaten!AG574="Ja",1,0),"")</f>
        <v/>
      </c>
      <c r="Z569" s="1" t="str">
        <f>IF(AND(Programme_Grunddaten!$A574="Geprüft",Programme_Grunddaten!AH574&lt;&gt;""),IF(Programme_Grunddaten!AH574="Ja",1,0),"")</f>
        <v/>
      </c>
      <c r="AA569" s="1" t="str">
        <f>IF(AND(Programme_Grunddaten!$A574="Geprüft",Programme_Grunddaten!AI574&lt;&gt;""),IF(Programme_Grunddaten!AI574="Ja",1,0),"")</f>
        <v/>
      </c>
      <c r="AB569" s="1" t="str">
        <f>IF(AND(Programme_Grunddaten!$A574="Geprüft",Programme_Grunddaten!AJ574&lt;&gt;""),IF(Programme_Grunddaten!AJ574="individuell programmierbar",1,0),"")</f>
        <v/>
      </c>
      <c r="AC569" s="1" t="str">
        <f>IF(AND(Programme_Grunddaten!$A574="Geprüft",Programme_Grunddaten!AK574&lt;&gt;""),IF(Programme_Grunddaten!AK574="Deutsch",0,IF(Programme_Grunddaten!AK574="Deutsch und Englisch",1,2)),"")</f>
        <v/>
      </c>
      <c r="AD569" s="1" t="str">
        <f>IF(AND(Programme_Grunddaten!$A574="Geprüft",Programme_Grunddaten!AL574&lt;&gt;""),IF(Programme_Grunddaten!AL574="Ja",1,0),"")</f>
        <v/>
      </c>
      <c r="AE569" s="1" t="str">
        <f>IF(AND(Programme_Grunddaten!$A574="Geprüft",Programme_Grunddaten!AM574&lt;&gt;""),IF(Programme_Grunddaten!AM574="Ja",1,0),"")</f>
        <v/>
      </c>
      <c r="AF569" s="1" t="str">
        <f>IF(AND(Programme_Grunddaten!$A574="Geprüft",Programme_Grunddaten!AN574&lt;&gt;""),IF(Programme_Grunddaten!AN574="Ja",1,0),"")</f>
        <v/>
      </c>
      <c r="AG569" s="1" t="str">
        <f>IF(AND(Programme_Grunddaten!$A574="Geprüft",Programme_Grunddaten!AO574&lt;&gt;""),IF(Programme_Grunddaten!AO574="Ja",1,0),"")</f>
        <v/>
      </c>
      <c r="AH569" s="1" t="str">
        <f>IF(AND(Programme_Grunddaten!$A574="Geprüft",Programme_Grunddaten!AP574&lt;&gt;""),IF(Programme_Grunddaten!AP574="Ja",1,0),"")</f>
        <v/>
      </c>
      <c r="AI569" s="1" t="str">
        <f>IF(AND(Programme_Grunddaten!$A574="Geprüft",Programme_Grunddaten!AQ574&lt;&gt;""),IF(Programme_Grunddaten!AQ574="Ja",1,0),"")</f>
        <v/>
      </c>
      <c r="AJ569" s="1" t="str">
        <f>IF(AND(Programme_Grunddaten!$A574="Geprüft",Programme_Grunddaten!AR574&lt;&gt;""),IF(Programme_Grunddaten!AR574="Ja",1,0),"")</f>
        <v/>
      </c>
      <c r="AK569" s="1" t="str">
        <f>IF(AND(Programme_Grunddaten!$A574="Geprüft",Programme_Grunddaten!AS574&lt;&gt;""),IF(Programme_Grunddaten!AS574="Ja",1,0),"")</f>
        <v/>
      </c>
      <c r="AL569" s="1" t="str">
        <f>IF(AND(Programme_Grunddaten!$A574="Geprüft",Programme_Grunddaten!AT574&lt;&gt;""),IF(Programme_Grunddaten!AT574="Ja",1,0),"")</f>
        <v/>
      </c>
      <c r="AM569" s="1" t="str">
        <f>IF(AND(Programme_Grunddaten!$A574="Geprüft",Programme_Grunddaten!AU574&lt;&gt;""),IF(Programme_Grunddaten!AU574="Ja",1,0),"")</f>
        <v/>
      </c>
      <c r="AN569" s="1" t="str">
        <f>IF(AND(Programme_Grunddaten!$A574="Geprüft",Programme_Grunddaten!AV574&lt;&gt;""),IF(Programme_Grunddaten!AV574="Ja",1,0),"")</f>
        <v/>
      </c>
    </row>
    <row r="570" spans="1:40" x14ac:dyDescent="0.3">
      <c r="A570" s="1" t="str">
        <f>IF(AND(Programme_Grunddaten!A575="Geprüft",Programme_Grunddaten!B575&lt;&gt;""),Programme_Grunddaten!B575,"")</f>
        <v/>
      </c>
      <c r="B570" s="1" t="str">
        <f>IF(AND(Programme_Grunddaten!$A575="Geprüft",Programme_Grunddaten!I575&lt;&gt;""),IF(Programme_Grunddaten!I575="Ja",1,0),"")</f>
        <v/>
      </c>
      <c r="C570" s="1" t="str">
        <f>IF(AND(Programme_Grunddaten!$A575="Geprüft",Programme_Grunddaten!J575&lt;&gt;""),IF(Programme_Grunddaten!J575="Ja",1,0),"")</f>
        <v/>
      </c>
      <c r="D570" s="1" t="str">
        <f>IF(AND(Programme_Grunddaten!$A575="Geprüft",Programme_Grunddaten!K575&lt;&gt;""),IF(Programme_Grunddaten!K575="Ja",1,0),"")</f>
        <v/>
      </c>
      <c r="E570" s="1" t="str">
        <f>IF(AND(Programme_Grunddaten!$A575="Geprüft",Programme_Grunddaten!L575&lt;&gt;""),IF(Programme_Grunddaten!L575="Abo / befristete Lizenz",1,0),"")</f>
        <v/>
      </c>
      <c r="F570" s="1" t="str">
        <f>IF(AND(Programme_Grunddaten!$A575="Geprüft",Programme_Grunddaten!M575&lt;&gt;""),IF(Programme_Grunddaten!M575="Ja",1,0),"")</f>
        <v/>
      </c>
      <c r="G570" s="1" t="str">
        <f>IF(AND(Programme_Grunddaten!$A575="Geprüft",Programme_Grunddaten!N575&lt;&gt;""),IF(Programme_Grunddaten!N575="Ja",1,0),"")</f>
        <v/>
      </c>
      <c r="H570" s="1" t="str">
        <f>IF(AND(Programme_Grunddaten!$A575="Geprüft",Programme_Grunddaten!O575&lt;&gt;""),IF(Programme_Grunddaten!O575="Deutschland",0,IF(Programme_Grunddaten!O575="EU",1,2)),"")</f>
        <v/>
      </c>
      <c r="I570" s="1" t="str">
        <f>IF(AND(Programme_Grunddaten!$A575="Geprüft",Programme_Grunddaten!P575&lt;&gt;""),IF(Programme_Grunddaten!P575="Ja",1,0),"")</f>
        <v/>
      </c>
      <c r="J570" s="1" t="str">
        <f>IF(AND(Programme_Grunddaten!$A575="Geprüft",Programme_Grunddaten!Q575&lt;&gt;""),IF(Programme_Grunddaten!Q575="geschlossenes System",1,0),"")</f>
        <v/>
      </c>
      <c r="K570" s="1" t="str">
        <f>IF(AND(Programme_Grunddaten!$A575="Geprüft",Programme_Grunddaten!R575&lt;&gt;""),IF(Programme_Grunddaten!R575="Ja",1,0),"")</f>
        <v/>
      </c>
      <c r="L570" s="1" t="str">
        <f>IF(AND(Programme_Grunddaten!$A575="Geprüft",Programme_Grunddaten!T575&lt;&gt;""),IF(Programme_Grunddaten!T575="Ja",1,0),"")</f>
        <v/>
      </c>
      <c r="M570" s="1" t="str">
        <f>IF(AND(Programme_Grunddaten!$A575="Geprüft",Programme_Grunddaten!U575&lt;&gt;""),IF(Programme_Grunddaten!U575="Ja",1,0),"")</f>
        <v/>
      </c>
      <c r="N570" s="1" t="str">
        <f>IF(AND(Programme_Grunddaten!$A575="Geprüft",Programme_Grunddaten!V575&lt;&gt;""),IF(Programme_Grunddaten!V575="Ja",1,0),"")</f>
        <v/>
      </c>
      <c r="O570" s="1" t="str">
        <f>IF(AND(Programme_Grunddaten!$A575="Geprüft",Programme_Grunddaten!W575&lt;&gt;""),IF(Programme_Grunddaten!W575="Ja",1,0),"")</f>
        <v/>
      </c>
      <c r="P570" s="1" t="str">
        <f>IF(AND(Programme_Grunddaten!$A575="Geprüft",Programme_Grunddaten!X575&lt;&gt;""),IF(Programme_Grunddaten!X575="Ja",1,0),"")</f>
        <v/>
      </c>
      <c r="Q570" s="1" t="str">
        <f>IF(AND(Programme_Grunddaten!$A575="Geprüft",Programme_Grunddaten!Y575&lt;&gt;""),IF(Programme_Grunddaten!Y575="Ja",1,0),"")</f>
        <v/>
      </c>
      <c r="R570" s="1" t="str">
        <f>IF(AND(Programme_Grunddaten!$A575="Geprüft",Programme_Grunddaten!Z575&lt;&gt;""),IF(Programme_Grunddaten!Z575="Ja",1,0),"")</f>
        <v/>
      </c>
      <c r="S570" s="1" t="str">
        <f>IF(AND(Programme_Grunddaten!$A575="Geprüft",Programme_Grunddaten!AA575&lt;&gt;""),IF(Programme_Grunddaten!AA575="monolithisch",1,0),"")</f>
        <v/>
      </c>
      <c r="T570" s="1" t="str">
        <f>IF(AND(Programme_Grunddaten!$A575="Geprüft",Programme_Grunddaten!AB575&lt;&gt;""),IF(Programme_Grunddaten!AB575="Ja",1,0),"")</f>
        <v/>
      </c>
      <c r="U570" s="1" t="str">
        <f>IF(AND(Programme_Grunddaten!$A575="Geprüft",Programme_Grunddaten!AC575&lt;&gt;""),IF(Programme_Grunddaten!AC575="Ja",1,0),"")</f>
        <v/>
      </c>
      <c r="V570" s="1" t="str">
        <f>IF(AND(Programme_Grunddaten!$A575="Geprüft",Programme_Grunddaten!AD575&lt;&gt;""),IF(Programme_Grunddaten!AD575="Ja",1,0),"")</f>
        <v/>
      </c>
      <c r="W570" s="1" t="str">
        <f>IF(AND(Programme_Grunddaten!$A575="Geprüft",Programme_Grunddaten!AE575&lt;&gt;""),IF(Programme_Grunddaten!AE575="Ja",1,0),"")</f>
        <v/>
      </c>
      <c r="X570" s="1" t="str">
        <f>IF(AND(Programme_Grunddaten!$A575="Geprüft",Programme_Grunddaten!AF575&lt;&gt;""),IF(Programme_Grunddaten!AF575="Ja",1,0),"")</f>
        <v/>
      </c>
      <c r="Y570" s="1" t="str">
        <f>IF(AND(Programme_Grunddaten!$A575="Geprüft",Programme_Grunddaten!AG575&lt;&gt;""),IF(Programme_Grunddaten!AG575="Ja",1,0),"")</f>
        <v/>
      </c>
      <c r="Z570" s="1" t="str">
        <f>IF(AND(Programme_Grunddaten!$A575="Geprüft",Programme_Grunddaten!AH575&lt;&gt;""),IF(Programme_Grunddaten!AH575="Ja",1,0),"")</f>
        <v/>
      </c>
      <c r="AA570" s="1" t="str">
        <f>IF(AND(Programme_Grunddaten!$A575="Geprüft",Programme_Grunddaten!AI575&lt;&gt;""),IF(Programme_Grunddaten!AI575="Ja",1,0),"")</f>
        <v/>
      </c>
      <c r="AB570" s="1" t="str">
        <f>IF(AND(Programme_Grunddaten!$A575="Geprüft",Programme_Grunddaten!AJ575&lt;&gt;""),IF(Programme_Grunddaten!AJ575="individuell programmierbar",1,0),"")</f>
        <v/>
      </c>
      <c r="AC570" s="1" t="str">
        <f>IF(AND(Programme_Grunddaten!$A575="Geprüft",Programme_Grunddaten!AK575&lt;&gt;""),IF(Programme_Grunddaten!AK575="Deutsch",0,IF(Programme_Grunddaten!AK575="Deutsch und Englisch",1,2)),"")</f>
        <v/>
      </c>
      <c r="AD570" s="1" t="str">
        <f>IF(AND(Programme_Grunddaten!$A575="Geprüft",Programme_Grunddaten!AL575&lt;&gt;""),IF(Programme_Grunddaten!AL575="Ja",1,0),"")</f>
        <v/>
      </c>
      <c r="AE570" s="1" t="str">
        <f>IF(AND(Programme_Grunddaten!$A575="Geprüft",Programme_Grunddaten!AM575&lt;&gt;""),IF(Programme_Grunddaten!AM575="Ja",1,0),"")</f>
        <v/>
      </c>
      <c r="AF570" s="1" t="str">
        <f>IF(AND(Programme_Grunddaten!$A575="Geprüft",Programme_Grunddaten!AN575&lt;&gt;""),IF(Programme_Grunddaten!AN575="Ja",1,0),"")</f>
        <v/>
      </c>
      <c r="AG570" s="1" t="str">
        <f>IF(AND(Programme_Grunddaten!$A575="Geprüft",Programme_Grunddaten!AO575&lt;&gt;""),IF(Programme_Grunddaten!AO575="Ja",1,0),"")</f>
        <v/>
      </c>
      <c r="AH570" s="1" t="str">
        <f>IF(AND(Programme_Grunddaten!$A575="Geprüft",Programme_Grunddaten!AP575&lt;&gt;""),IF(Programme_Grunddaten!AP575="Ja",1,0),"")</f>
        <v/>
      </c>
      <c r="AI570" s="1" t="str">
        <f>IF(AND(Programme_Grunddaten!$A575="Geprüft",Programme_Grunddaten!AQ575&lt;&gt;""),IF(Programme_Grunddaten!AQ575="Ja",1,0),"")</f>
        <v/>
      </c>
      <c r="AJ570" s="1" t="str">
        <f>IF(AND(Programme_Grunddaten!$A575="Geprüft",Programme_Grunddaten!AR575&lt;&gt;""),IF(Programme_Grunddaten!AR575="Ja",1,0),"")</f>
        <v/>
      </c>
      <c r="AK570" s="1" t="str">
        <f>IF(AND(Programme_Grunddaten!$A575="Geprüft",Programme_Grunddaten!AS575&lt;&gt;""),IF(Programme_Grunddaten!AS575="Ja",1,0),"")</f>
        <v/>
      </c>
      <c r="AL570" s="1" t="str">
        <f>IF(AND(Programme_Grunddaten!$A575="Geprüft",Programme_Grunddaten!AT575&lt;&gt;""),IF(Programme_Grunddaten!AT575="Ja",1,0),"")</f>
        <v/>
      </c>
      <c r="AM570" s="1" t="str">
        <f>IF(AND(Programme_Grunddaten!$A575="Geprüft",Programme_Grunddaten!AU575&lt;&gt;""),IF(Programme_Grunddaten!AU575="Ja",1,0),"")</f>
        <v/>
      </c>
      <c r="AN570" s="1" t="str">
        <f>IF(AND(Programme_Grunddaten!$A575="Geprüft",Programme_Grunddaten!AV575&lt;&gt;""),IF(Programme_Grunddaten!AV575="Ja",1,0),"")</f>
        <v/>
      </c>
    </row>
    <row r="571" spans="1:40" x14ac:dyDescent="0.3">
      <c r="A571" s="1" t="str">
        <f>IF(AND(Programme_Grunddaten!A576="Geprüft",Programme_Grunddaten!B576&lt;&gt;""),Programme_Grunddaten!B576,"")</f>
        <v/>
      </c>
      <c r="B571" s="1" t="str">
        <f>IF(AND(Programme_Grunddaten!$A576="Geprüft",Programme_Grunddaten!I576&lt;&gt;""),IF(Programme_Grunddaten!I576="Ja",1,0),"")</f>
        <v/>
      </c>
      <c r="C571" s="1" t="str">
        <f>IF(AND(Programme_Grunddaten!$A576="Geprüft",Programme_Grunddaten!J576&lt;&gt;""),IF(Programme_Grunddaten!J576="Ja",1,0),"")</f>
        <v/>
      </c>
      <c r="D571" s="1" t="str">
        <f>IF(AND(Programme_Grunddaten!$A576="Geprüft",Programme_Grunddaten!K576&lt;&gt;""),IF(Programme_Grunddaten!K576="Ja",1,0),"")</f>
        <v/>
      </c>
      <c r="E571" s="1" t="str">
        <f>IF(AND(Programme_Grunddaten!$A576="Geprüft",Programme_Grunddaten!L576&lt;&gt;""),IF(Programme_Grunddaten!L576="Abo / befristete Lizenz",1,0),"")</f>
        <v/>
      </c>
      <c r="F571" s="1" t="str">
        <f>IF(AND(Programme_Grunddaten!$A576="Geprüft",Programme_Grunddaten!M576&lt;&gt;""),IF(Programme_Grunddaten!M576="Ja",1,0),"")</f>
        <v/>
      </c>
      <c r="G571" s="1" t="str">
        <f>IF(AND(Programme_Grunddaten!$A576="Geprüft",Programme_Grunddaten!N576&lt;&gt;""),IF(Programme_Grunddaten!N576="Ja",1,0),"")</f>
        <v/>
      </c>
      <c r="H571" s="1" t="str">
        <f>IF(AND(Programme_Grunddaten!$A576="Geprüft",Programme_Grunddaten!O576&lt;&gt;""),IF(Programme_Grunddaten!O576="Deutschland",0,IF(Programme_Grunddaten!O576="EU",1,2)),"")</f>
        <v/>
      </c>
      <c r="I571" s="1" t="str">
        <f>IF(AND(Programme_Grunddaten!$A576="Geprüft",Programme_Grunddaten!P576&lt;&gt;""),IF(Programme_Grunddaten!P576="Ja",1,0),"")</f>
        <v/>
      </c>
      <c r="J571" s="1" t="str">
        <f>IF(AND(Programme_Grunddaten!$A576="Geprüft",Programme_Grunddaten!Q576&lt;&gt;""),IF(Programme_Grunddaten!Q576="geschlossenes System",1,0),"")</f>
        <v/>
      </c>
      <c r="K571" s="1" t="str">
        <f>IF(AND(Programme_Grunddaten!$A576="Geprüft",Programme_Grunddaten!R576&lt;&gt;""),IF(Programme_Grunddaten!R576="Ja",1,0),"")</f>
        <v/>
      </c>
      <c r="L571" s="1" t="str">
        <f>IF(AND(Programme_Grunddaten!$A576="Geprüft",Programme_Grunddaten!T576&lt;&gt;""),IF(Programme_Grunddaten!T576="Ja",1,0),"")</f>
        <v/>
      </c>
      <c r="M571" s="1" t="str">
        <f>IF(AND(Programme_Grunddaten!$A576="Geprüft",Programme_Grunddaten!U576&lt;&gt;""),IF(Programme_Grunddaten!U576="Ja",1,0),"")</f>
        <v/>
      </c>
      <c r="N571" s="1" t="str">
        <f>IF(AND(Programme_Grunddaten!$A576="Geprüft",Programme_Grunddaten!V576&lt;&gt;""),IF(Programme_Grunddaten!V576="Ja",1,0),"")</f>
        <v/>
      </c>
      <c r="O571" s="1" t="str">
        <f>IF(AND(Programme_Grunddaten!$A576="Geprüft",Programme_Grunddaten!W576&lt;&gt;""),IF(Programme_Grunddaten!W576="Ja",1,0),"")</f>
        <v/>
      </c>
      <c r="P571" s="1" t="str">
        <f>IF(AND(Programme_Grunddaten!$A576="Geprüft",Programme_Grunddaten!X576&lt;&gt;""),IF(Programme_Grunddaten!X576="Ja",1,0),"")</f>
        <v/>
      </c>
      <c r="Q571" s="1" t="str">
        <f>IF(AND(Programme_Grunddaten!$A576="Geprüft",Programme_Grunddaten!Y576&lt;&gt;""),IF(Programme_Grunddaten!Y576="Ja",1,0),"")</f>
        <v/>
      </c>
      <c r="R571" s="1" t="str">
        <f>IF(AND(Programme_Grunddaten!$A576="Geprüft",Programme_Grunddaten!Z576&lt;&gt;""),IF(Programme_Grunddaten!Z576="Ja",1,0),"")</f>
        <v/>
      </c>
      <c r="S571" s="1" t="str">
        <f>IF(AND(Programme_Grunddaten!$A576="Geprüft",Programme_Grunddaten!AA576&lt;&gt;""),IF(Programme_Grunddaten!AA576="monolithisch",1,0),"")</f>
        <v/>
      </c>
      <c r="T571" s="1" t="str">
        <f>IF(AND(Programme_Grunddaten!$A576="Geprüft",Programme_Grunddaten!AB576&lt;&gt;""),IF(Programme_Grunddaten!AB576="Ja",1,0),"")</f>
        <v/>
      </c>
      <c r="U571" s="1" t="str">
        <f>IF(AND(Programme_Grunddaten!$A576="Geprüft",Programme_Grunddaten!AC576&lt;&gt;""),IF(Programme_Grunddaten!AC576="Ja",1,0),"")</f>
        <v/>
      </c>
      <c r="V571" s="1" t="str">
        <f>IF(AND(Programme_Grunddaten!$A576="Geprüft",Programme_Grunddaten!AD576&lt;&gt;""),IF(Programme_Grunddaten!AD576="Ja",1,0),"")</f>
        <v/>
      </c>
      <c r="W571" s="1" t="str">
        <f>IF(AND(Programme_Grunddaten!$A576="Geprüft",Programme_Grunddaten!AE576&lt;&gt;""),IF(Programme_Grunddaten!AE576="Ja",1,0),"")</f>
        <v/>
      </c>
      <c r="X571" s="1" t="str">
        <f>IF(AND(Programme_Grunddaten!$A576="Geprüft",Programme_Grunddaten!AF576&lt;&gt;""),IF(Programme_Grunddaten!AF576="Ja",1,0),"")</f>
        <v/>
      </c>
      <c r="Y571" s="1" t="str">
        <f>IF(AND(Programme_Grunddaten!$A576="Geprüft",Programme_Grunddaten!AG576&lt;&gt;""),IF(Programme_Grunddaten!AG576="Ja",1,0),"")</f>
        <v/>
      </c>
      <c r="Z571" s="1" t="str">
        <f>IF(AND(Programme_Grunddaten!$A576="Geprüft",Programme_Grunddaten!AH576&lt;&gt;""),IF(Programme_Grunddaten!AH576="Ja",1,0),"")</f>
        <v/>
      </c>
      <c r="AA571" s="1" t="str">
        <f>IF(AND(Programme_Grunddaten!$A576="Geprüft",Programme_Grunddaten!AI576&lt;&gt;""),IF(Programme_Grunddaten!AI576="Ja",1,0),"")</f>
        <v/>
      </c>
      <c r="AB571" s="1" t="str">
        <f>IF(AND(Programme_Grunddaten!$A576="Geprüft",Programme_Grunddaten!AJ576&lt;&gt;""),IF(Programme_Grunddaten!AJ576="individuell programmierbar",1,0),"")</f>
        <v/>
      </c>
      <c r="AC571" s="1" t="str">
        <f>IF(AND(Programme_Grunddaten!$A576="Geprüft",Programme_Grunddaten!AK576&lt;&gt;""),IF(Programme_Grunddaten!AK576="Deutsch",0,IF(Programme_Grunddaten!AK576="Deutsch und Englisch",1,2)),"")</f>
        <v/>
      </c>
      <c r="AD571" s="1" t="str">
        <f>IF(AND(Programme_Grunddaten!$A576="Geprüft",Programme_Grunddaten!AL576&lt;&gt;""),IF(Programme_Grunddaten!AL576="Ja",1,0),"")</f>
        <v/>
      </c>
      <c r="AE571" s="1" t="str">
        <f>IF(AND(Programme_Grunddaten!$A576="Geprüft",Programme_Grunddaten!AM576&lt;&gt;""),IF(Programme_Grunddaten!AM576="Ja",1,0),"")</f>
        <v/>
      </c>
      <c r="AF571" s="1" t="str">
        <f>IF(AND(Programme_Grunddaten!$A576="Geprüft",Programme_Grunddaten!AN576&lt;&gt;""),IF(Programme_Grunddaten!AN576="Ja",1,0),"")</f>
        <v/>
      </c>
      <c r="AG571" s="1" t="str">
        <f>IF(AND(Programme_Grunddaten!$A576="Geprüft",Programme_Grunddaten!AO576&lt;&gt;""),IF(Programme_Grunddaten!AO576="Ja",1,0),"")</f>
        <v/>
      </c>
      <c r="AH571" s="1" t="str">
        <f>IF(AND(Programme_Grunddaten!$A576="Geprüft",Programme_Grunddaten!AP576&lt;&gt;""),IF(Programme_Grunddaten!AP576="Ja",1,0),"")</f>
        <v/>
      </c>
      <c r="AI571" s="1" t="str">
        <f>IF(AND(Programme_Grunddaten!$A576="Geprüft",Programme_Grunddaten!AQ576&lt;&gt;""),IF(Programme_Grunddaten!AQ576="Ja",1,0),"")</f>
        <v/>
      </c>
      <c r="AJ571" s="1" t="str">
        <f>IF(AND(Programme_Grunddaten!$A576="Geprüft",Programme_Grunddaten!AR576&lt;&gt;""),IF(Programme_Grunddaten!AR576="Ja",1,0),"")</f>
        <v/>
      </c>
      <c r="AK571" s="1" t="str">
        <f>IF(AND(Programme_Grunddaten!$A576="Geprüft",Programme_Grunddaten!AS576&lt;&gt;""),IF(Programme_Grunddaten!AS576="Ja",1,0),"")</f>
        <v/>
      </c>
      <c r="AL571" s="1" t="str">
        <f>IF(AND(Programme_Grunddaten!$A576="Geprüft",Programme_Grunddaten!AT576&lt;&gt;""),IF(Programme_Grunddaten!AT576="Ja",1,0),"")</f>
        <v/>
      </c>
      <c r="AM571" s="1" t="str">
        <f>IF(AND(Programme_Grunddaten!$A576="Geprüft",Programme_Grunddaten!AU576&lt;&gt;""),IF(Programme_Grunddaten!AU576="Ja",1,0),"")</f>
        <v/>
      </c>
      <c r="AN571" s="1" t="str">
        <f>IF(AND(Programme_Grunddaten!$A576="Geprüft",Programme_Grunddaten!AV576&lt;&gt;""),IF(Programme_Grunddaten!AV576="Ja",1,0),"")</f>
        <v/>
      </c>
    </row>
    <row r="572" spans="1:40" x14ac:dyDescent="0.3">
      <c r="A572" s="1" t="str">
        <f>IF(AND(Programme_Grunddaten!A577="Geprüft",Programme_Grunddaten!B577&lt;&gt;""),Programme_Grunddaten!B577,"")</f>
        <v/>
      </c>
      <c r="B572" s="1" t="str">
        <f>IF(AND(Programme_Grunddaten!$A577="Geprüft",Programme_Grunddaten!I577&lt;&gt;""),IF(Programme_Grunddaten!I577="Ja",1,0),"")</f>
        <v/>
      </c>
      <c r="C572" s="1" t="str">
        <f>IF(AND(Programme_Grunddaten!$A577="Geprüft",Programme_Grunddaten!J577&lt;&gt;""),IF(Programme_Grunddaten!J577="Ja",1,0),"")</f>
        <v/>
      </c>
      <c r="D572" s="1" t="str">
        <f>IF(AND(Programme_Grunddaten!$A577="Geprüft",Programme_Grunddaten!K577&lt;&gt;""),IF(Programme_Grunddaten!K577="Ja",1,0),"")</f>
        <v/>
      </c>
      <c r="E572" s="1" t="str">
        <f>IF(AND(Programme_Grunddaten!$A577="Geprüft",Programme_Grunddaten!L577&lt;&gt;""),IF(Programme_Grunddaten!L577="Abo / befristete Lizenz",1,0),"")</f>
        <v/>
      </c>
      <c r="F572" s="1" t="str">
        <f>IF(AND(Programme_Grunddaten!$A577="Geprüft",Programme_Grunddaten!M577&lt;&gt;""),IF(Programme_Grunddaten!M577="Ja",1,0),"")</f>
        <v/>
      </c>
      <c r="G572" s="1" t="str">
        <f>IF(AND(Programme_Grunddaten!$A577="Geprüft",Programme_Grunddaten!N577&lt;&gt;""),IF(Programme_Grunddaten!N577="Ja",1,0),"")</f>
        <v/>
      </c>
      <c r="H572" s="1" t="str">
        <f>IF(AND(Programme_Grunddaten!$A577="Geprüft",Programme_Grunddaten!O577&lt;&gt;""),IF(Programme_Grunddaten!O577="Deutschland",0,IF(Programme_Grunddaten!O577="EU",1,2)),"")</f>
        <v/>
      </c>
      <c r="I572" s="1" t="str">
        <f>IF(AND(Programme_Grunddaten!$A577="Geprüft",Programme_Grunddaten!P577&lt;&gt;""),IF(Programme_Grunddaten!P577="Ja",1,0),"")</f>
        <v/>
      </c>
      <c r="J572" s="1" t="str">
        <f>IF(AND(Programme_Grunddaten!$A577="Geprüft",Programme_Grunddaten!Q577&lt;&gt;""),IF(Programme_Grunddaten!Q577="geschlossenes System",1,0),"")</f>
        <v/>
      </c>
      <c r="K572" s="1" t="str">
        <f>IF(AND(Programme_Grunddaten!$A577="Geprüft",Programme_Grunddaten!R577&lt;&gt;""),IF(Programme_Grunddaten!R577="Ja",1,0),"")</f>
        <v/>
      </c>
      <c r="L572" s="1" t="str">
        <f>IF(AND(Programme_Grunddaten!$A577="Geprüft",Programme_Grunddaten!T577&lt;&gt;""),IF(Programme_Grunddaten!T577="Ja",1,0),"")</f>
        <v/>
      </c>
      <c r="M572" s="1" t="str">
        <f>IF(AND(Programme_Grunddaten!$A577="Geprüft",Programme_Grunddaten!U577&lt;&gt;""),IF(Programme_Grunddaten!U577="Ja",1,0),"")</f>
        <v/>
      </c>
      <c r="N572" s="1" t="str">
        <f>IF(AND(Programme_Grunddaten!$A577="Geprüft",Programme_Grunddaten!V577&lt;&gt;""),IF(Programme_Grunddaten!V577="Ja",1,0),"")</f>
        <v/>
      </c>
      <c r="O572" s="1" t="str">
        <f>IF(AND(Programme_Grunddaten!$A577="Geprüft",Programme_Grunddaten!W577&lt;&gt;""),IF(Programme_Grunddaten!W577="Ja",1,0),"")</f>
        <v/>
      </c>
      <c r="P572" s="1" t="str">
        <f>IF(AND(Programme_Grunddaten!$A577="Geprüft",Programme_Grunddaten!X577&lt;&gt;""),IF(Programme_Grunddaten!X577="Ja",1,0),"")</f>
        <v/>
      </c>
      <c r="Q572" s="1" t="str">
        <f>IF(AND(Programme_Grunddaten!$A577="Geprüft",Programme_Grunddaten!Y577&lt;&gt;""),IF(Programme_Grunddaten!Y577="Ja",1,0),"")</f>
        <v/>
      </c>
      <c r="R572" s="1" t="str">
        <f>IF(AND(Programme_Grunddaten!$A577="Geprüft",Programme_Grunddaten!Z577&lt;&gt;""),IF(Programme_Grunddaten!Z577="Ja",1,0),"")</f>
        <v/>
      </c>
      <c r="S572" s="1" t="str">
        <f>IF(AND(Programme_Grunddaten!$A577="Geprüft",Programme_Grunddaten!AA577&lt;&gt;""),IF(Programme_Grunddaten!AA577="monolithisch",1,0),"")</f>
        <v/>
      </c>
      <c r="T572" s="1" t="str">
        <f>IF(AND(Programme_Grunddaten!$A577="Geprüft",Programme_Grunddaten!AB577&lt;&gt;""),IF(Programme_Grunddaten!AB577="Ja",1,0),"")</f>
        <v/>
      </c>
      <c r="U572" s="1" t="str">
        <f>IF(AND(Programme_Grunddaten!$A577="Geprüft",Programme_Grunddaten!AC577&lt;&gt;""),IF(Programme_Grunddaten!AC577="Ja",1,0),"")</f>
        <v/>
      </c>
      <c r="V572" s="1" t="str">
        <f>IF(AND(Programme_Grunddaten!$A577="Geprüft",Programme_Grunddaten!AD577&lt;&gt;""),IF(Programme_Grunddaten!AD577="Ja",1,0),"")</f>
        <v/>
      </c>
      <c r="W572" s="1" t="str">
        <f>IF(AND(Programme_Grunddaten!$A577="Geprüft",Programme_Grunddaten!AE577&lt;&gt;""),IF(Programme_Grunddaten!AE577="Ja",1,0),"")</f>
        <v/>
      </c>
      <c r="X572" s="1" t="str">
        <f>IF(AND(Programme_Grunddaten!$A577="Geprüft",Programme_Grunddaten!AF577&lt;&gt;""),IF(Programme_Grunddaten!AF577="Ja",1,0),"")</f>
        <v/>
      </c>
      <c r="Y572" s="1" t="str">
        <f>IF(AND(Programme_Grunddaten!$A577="Geprüft",Programme_Grunddaten!AG577&lt;&gt;""),IF(Programme_Grunddaten!AG577="Ja",1,0),"")</f>
        <v/>
      </c>
      <c r="Z572" s="1" t="str">
        <f>IF(AND(Programme_Grunddaten!$A577="Geprüft",Programme_Grunddaten!AH577&lt;&gt;""),IF(Programme_Grunddaten!AH577="Ja",1,0),"")</f>
        <v/>
      </c>
      <c r="AA572" s="1" t="str">
        <f>IF(AND(Programme_Grunddaten!$A577="Geprüft",Programme_Grunddaten!AI577&lt;&gt;""),IF(Programme_Grunddaten!AI577="Ja",1,0),"")</f>
        <v/>
      </c>
      <c r="AB572" s="1" t="str">
        <f>IF(AND(Programme_Grunddaten!$A577="Geprüft",Programme_Grunddaten!AJ577&lt;&gt;""),IF(Programme_Grunddaten!AJ577="individuell programmierbar",1,0),"")</f>
        <v/>
      </c>
      <c r="AC572" s="1" t="str">
        <f>IF(AND(Programme_Grunddaten!$A577="Geprüft",Programme_Grunddaten!AK577&lt;&gt;""),IF(Programme_Grunddaten!AK577="Deutsch",0,IF(Programme_Grunddaten!AK577="Deutsch und Englisch",1,2)),"")</f>
        <v/>
      </c>
      <c r="AD572" s="1" t="str">
        <f>IF(AND(Programme_Grunddaten!$A577="Geprüft",Programme_Grunddaten!AL577&lt;&gt;""),IF(Programme_Grunddaten!AL577="Ja",1,0),"")</f>
        <v/>
      </c>
      <c r="AE572" s="1" t="str">
        <f>IF(AND(Programme_Grunddaten!$A577="Geprüft",Programme_Grunddaten!AM577&lt;&gt;""),IF(Programme_Grunddaten!AM577="Ja",1,0),"")</f>
        <v/>
      </c>
      <c r="AF572" s="1" t="str">
        <f>IF(AND(Programme_Grunddaten!$A577="Geprüft",Programme_Grunddaten!AN577&lt;&gt;""),IF(Programme_Grunddaten!AN577="Ja",1,0),"")</f>
        <v/>
      </c>
      <c r="AG572" s="1" t="str">
        <f>IF(AND(Programme_Grunddaten!$A577="Geprüft",Programme_Grunddaten!AO577&lt;&gt;""),IF(Programme_Grunddaten!AO577="Ja",1,0),"")</f>
        <v/>
      </c>
      <c r="AH572" s="1" t="str">
        <f>IF(AND(Programme_Grunddaten!$A577="Geprüft",Programme_Grunddaten!AP577&lt;&gt;""),IF(Programme_Grunddaten!AP577="Ja",1,0),"")</f>
        <v/>
      </c>
      <c r="AI572" s="1" t="str">
        <f>IF(AND(Programme_Grunddaten!$A577="Geprüft",Programme_Grunddaten!AQ577&lt;&gt;""),IF(Programme_Grunddaten!AQ577="Ja",1,0),"")</f>
        <v/>
      </c>
      <c r="AJ572" s="1" t="str">
        <f>IF(AND(Programme_Grunddaten!$A577="Geprüft",Programme_Grunddaten!AR577&lt;&gt;""),IF(Programme_Grunddaten!AR577="Ja",1,0),"")</f>
        <v/>
      </c>
      <c r="AK572" s="1" t="str">
        <f>IF(AND(Programme_Grunddaten!$A577="Geprüft",Programme_Grunddaten!AS577&lt;&gt;""),IF(Programme_Grunddaten!AS577="Ja",1,0),"")</f>
        <v/>
      </c>
      <c r="AL572" s="1" t="str">
        <f>IF(AND(Programme_Grunddaten!$A577="Geprüft",Programme_Grunddaten!AT577&lt;&gt;""),IF(Programme_Grunddaten!AT577="Ja",1,0),"")</f>
        <v/>
      </c>
      <c r="AM572" s="1" t="str">
        <f>IF(AND(Programme_Grunddaten!$A577="Geprüft",Programme_Grunddaten!AU577&lt;&gt;""),IF(Programme_Grunddaten!AU577="Ja",1,0),"")</f>
        <v/>
      </c>
      <c r="AN572" s="1" t="str">
        <f>IF(AND(Programme_Grunddaten!$A577="Geprüft",Programme_Grunddaten!AV577&lt;&gt;""),IF(Programme_Grunddaten!AV577="Ja",1,0),"")</f>
        <v/>
      </c>
    </row>
    <row r="573" spans="1:40" x14ac:dyDescent="0.3">
      <c r="A573" s="1" t="str">
        <f>IF(AND(Programme_Grunddaten!A578="Geprüft",Programme_Grunddaten!B578&lt;&gt;""),Programme_Grunddaten!B578,"")</f>
        <v/>
      </c>
      <c r="B573" s="1" t="str">
        <f>IF(AND(Programme_Grunddaten!$A578="Geprüft",Programme_Grunddaten!I578&lt;&gt;""),IF(Programme_Grunddaten!I578="Ja",1,0),"")</f>
        <v/>
      </c>
      <c r="C573" s="1" t="str">
        <f>IF(AND(Programme_Grunddaten!$A578="Geprüft",Programme_Grunddaten!J578&lt;&gt;""),IF(Programme_Grunddaten!J578="Ja",1,0),"")</f>
        <v/>
      </c>
      <c r="D573" s="1" t="str">
        <f>IF(AND(Programme_Grunddaten!$A578="Geprüft",Programme_Grunddaten!K578&lt;&gt;""),IF(Programme_Grunddaten!K578="Ja",1,0),"")</f>
        <v/>
      </c>
      <c r="E573" s="1" t="str">
        <f>IF(AND(Programme_Grunddaten!$A578="Geprüft",Programme_Grunddaten!L578&lt;&gt;""),IF(Programme_Grunddaten!L578="Abo / befristete Lizenz",1,0),"")</f>
        <v/>
      </c>
      <c r="F573" s="1" t="str">
        <f>IF(AND(Programme_Grunddaten!$A578="Geprüft",Programme_Grunddaten!M578&lt;&gt;""),IF(Programme_Grunddaten!M578="Ja",1,0),"")</f>
        <v/>
      </c>
      <c r="G573" s="1" t="str">
        <f>IF(AND(Programme_Grunddaten!$A578="Geprüft",Programme_Grunddaten!N578&lt;&gt;""),IF(Programme_Grunddaten!N578="Ja",1,0),"")</f>
        <v/>
      </c>
      <c r="H573" s="1" t="str">
        <f>IF(AND(Programme_Grunddaten!$A578="Geprüft",Programme_Grunddaten!O578&lt;&gt;""),IF(Programme_Grunddaten!O578="Deutschland",0,IF(Programme_Grunddaten!O578="EU",1,2)),"")</f>
        <v/>
      </c>
      <c r="I573" s="1" t="str">
        <f>IF(AND(Programme_Grunddaten!$A578="Geprüft",Programme_Grunddaten!P578&lt;&gt;""),IF(Programme_Grunddaten!P578="Ja",1,0),"")</f>
        <v/>
      </c>
      <c r="J573" s="1" t="str">
        <f>IF(AND(Programme_Grunddaten!$A578="Geprüft",Programme_Grunddaten!Q578&lt;&gt;""),IF(Programme_Grunddaten!Q578="geschlossenes System",1,0),"")</f>
        <v/>
      </c>
      <c r="K573" s="1" t="str">
        <f>IF(AND(Programme_Grunddaten!$A578="Geprüft",Programme_Grunddaten!R578&lt;&gt;""),IF(Programme_Grunddaten!R578="Ja",1,0),"")</f>
        <v/>
      </c>
      <c r="L573" s="1" t="str">
        <f>IF(AND(Programme_Grunddaten!$A578="Geprüft",Programme_Grunddaten!T578&lt;&gt;""),IF(Programme_Grunddaten!T578="Ja",1,0),"")</f>
        <v/>
      </c>
      <c r="M573" s="1" t="str">
        <f>IF(AND(Programme_Grunddaten!$A578="Geprüft",Programme_Grunddaten!U578&lt;&gt;""),IF(Programme_Grunddaten!U578="Ja",1,0),"")</f>
        <v/>
      </c>
      <c r="N573" s="1" t="str">
        <f>IF(AND(Programme_Grunddaten!$A578="Geprüft",Programme_Grunddaten!V578&lt;&gt;""),IF(Programme_Grunddaten!V578="Ja",1,0),"")</f>
        <v/>
      </c>
      <c r="O573" s="1" t="str">
        <f>IF(AND(Programme_Grunddaten!$A578="Geprüft",Programme_Grunddaten!W578&lt;&gt;""),IF(Programme_Grunddaten!W578="Ja",1,0),"")</f>
        <v/>
      </c>
      <c r="P573" s="1" t="str">
        <f>IF(AND(Programme_Grunddaten!$A578="Geprüft",Programme_Grunddaten!X578&lt;&gt;""),IF(Programme_Grunddaten!X578="Ja",1,0),"")</f>
        <v/>
      </c>
      <c r="Q573" s="1" t="str">
        <f>IF(AND(Programme_Grunddaten!$A578="Geprüft",Programme_Grunddaten!Y578&lt;&gt;""),IF(Programme_Grunddaten!Y578="Ja",1,0),"")</f>
        <v/>
      </c>
      <c r="R573" s="1" t="str">
        <f>IF(AND(Programme_Grunddaten!$A578="Geprüft",Programme_Grunddaten!Z578&lt;&gt;""),IF(Programme_Grunddaten!Z578="Ja",1,0),"")</f>
        <v/>
      </c>
      <c r="S573" s="1" t="str">
        <f>IF(AND(Programme_Grunddaten!$A578="Geprüft",Programme_Grunddaten!AA578&lt;&gt;""),IF(Programme_Grunddaten!AA578="monolithisch",1,0),"")</f>
        <v/>
      </c>
      <c r="T573" s="1" t="str">
        <f>IF(AND(Programme_Grunddaten!$A578="Geprüft",Programme_Grunddaten!AB578&lt;&gt;""),IF(Programme_Grunddaten!AB578="Ja",1,0),"")</f>
        <v/>
      </c>
      <c r="U573" s="1" t="str">
        <f>IF(AND(Programme_Grunddaten!$A578="Geprüft",Programme_Grunddaten!AC578&lt;&gt;""),IF(Programme_Grunddaten!AC578="Ja",1,0),"")</f>
        <v/>
      </c>
      <c r="V573" s="1" t="str">
        <f>IF(AND(Programme_Grunddaten!$A578="Geprüft",Programme_Grunddaten!AD578&lt;&gt;""),IF(Programme_Grunddaten!AD578="Ja",1,0),"")</f>
        <v/>
      </c>
      <c r="W573" s="1" t="str">
        <f>IF(AND(Programme_Grunddaten!$A578="Geprüft",Programme_Grunddaten!AE578&lt;&gt;""),IF(Programme_Grunddaten!AE578="Ja",1,0),"")</f>
        <v/>
      </c>
      <c r="X573" s="1" t="str">
        <f>IF(AND(Programme_Grunddaten!$A578="Geprüft",Programme_Grunddaten!AF578&lt;&gt;""),IF(Programme_Grunddaten!AF578="Ja",1,0),"")</f>
        <v/>
      </c>
      <c r="Y573" s="1" t="str">
        <f>IF(AND(Programme_Grunddaten!$A578="Geprüft",Programme_Grunddaten!AG578&lt;&gt;""),IF(Programme_Grunddaten!AG578="Ja",1,0),"")</f>
        <v/>
      </c>
      <c r="Z573" s="1" t="str">
        <f>IF(AND(Programme_Grunddaten!$A578="Geprüft",Programme_Grunddaten!AH578&lt;&gt;""),IF(Programme_Grunddaten!AH578="Ja",1,0),"")</f>
        <v/>
      </c>
      <c r="AA573" s="1" t="str">
        <f>IF(AND(Programme_Grunddaten!$A578="Geprüft",Programme_Grunddaten!AI578&lt;&gt;""),IF(Programme_Grunddaten!AI578="Ja",1,0),"")</f>
        <v/>
      </c>
      <c r="AB573" s="1" t="str">
        <f>IF(AND(Programme_Grunddaten!$A578="Geprüft",Programme_Grunddaten!AJ578&lt;&gt;""),IF(Programme_Grunddaten!AJ578="individuell programmierbar",1,0),"")</f>
        <v/>
      </c>
      <c r="AC573" s="1" t="str">
        <f>IF(AND(Programme_Grunddaten!$A578="Geprüft",Programme_Grunddaten!AK578&lt;&gt;""),IF(Programme_Grunddaten!AK578="Deutsch",0,IF(Programme_Grunddaten!AK578="Deutsch und Englisch",1,2)),"")</f>
        <v/>
      </c>
      <c r="AD573" s="1" t="str">
        <f>IF(AND(Programme_Grunddaten!$A578="Geprüft",Programme_Grunddaten!AL578&lt;&gt;""),IF(Programme_Grunddaten!AL578="Ja",1,0),"")</f>
        <v/>
      </c>
      <c r="AE573" s="1" t="str">
        <f>IF(AND(Programme_Grunddaten!$A578="Geprüft",Programme_Grunddaten!AM578&lt;&gt;""),IF(Programme_Grunddaten!AM578="Ja",1,0),"")</f>
        <v/>
      </c>
      <c r="AF573" s="1" t="str">
        <f>IF(AND(Programme_Grunddaten!$A578="Geprüft",Programme_Grunddaten!AN578&lt;&gt;""),IF(Programme_Grunddaten!AN578="Ja",1,0),"")</f>
        <v/>
      </c>
      <c r="AG573" s="1" t="str">
        <f>IF(AND(Programme_Grunddaten!$A578="Geprüft",Programme_Grunddaten!AO578&lt;&gt;""),IF(Programme_Grunddaten!AO578="Ja",1,0),"")</f>
        <v/>
      </c>
      <c r="AH573" s="1" t="str">
        <f>IF(AND(Programme_Grunddaten!$A578="Geprüft",Programme_Grunddaten!AP578&lt;&gt;""),IF(Programme_Grunddaten!AP578="Ja",1,0),"")</f>
        <v/>
      </c>
      <c r="AI573" s="1" t="str">
        <f>IF(AND(Programme_Grunddaten!$A578="Geprüft",Programme_Grunddaten!AQ578&lt;&gt;""),IF(Programme_Grunddaten!AQ578="Ja",1,0),"")</f>
        <v/>
      </c>
      <c r="AJ573" s="1" t="str">
        <f>IF(AND(Programme_Grunddaten!$A578="Geprüft",Programme_Grunddaten!AR578&lt;&gt;""),IF(Programme_Grunddaten!AR578="Ja",1,0),"")</f>
        <v/>
      </c>
      <c r="AK573" s="1" t="str">
        <f>IF(AND(Programme_Grunddaten!$A578="Geprüft",Programme_Grunddaten!AS578&lt;&gt;""),IF(Programme_Grunddaten!AS578="Ja",1,0),"")</f>
        <v/>
      </c>
      <c r="AL573" s="1" t="str">
        <f>IF(AND(Programme_Grunddaten!$A578="Geprüft",Programme_Grunddaten!AT578&lt;&gt;""),IF(Programme_Grunddaten!AT578="Ja",1,0),"")</f>
        <v/>
      </c>
      <c r="AM573" s="1" t="str">
        <f>IF(AND(Programme_Grunddaten!$A578="Geprüft",Programme_Grunddaten!AU578&lt;&gt;""),IF(Programme_Grunddaten!AU578="Ja",1,0),"")</f>
        <v/>
      </c>
      <c r="AN573" s="1" t="str">
        <f>IF(AND(Programme_Grunddaten!$A578="Geprüft",Programme_Grunddaten!AV578&lt;&gt;""),IF(Programme_Grunddaten!AV578="Ja",1,0),"")</f>
        <v/>
      </c>
    </row>
    <row r="574" spans="1:40" x14ac:dyDescent="0.3">
      <c r="A574" s="1" t="str">
        <f>IF(AND(Programme_Grunddaten!A579="Geprüft",Programme_Grunddaten!B579&lt;&gt;""),Programme_Grunddaten!B579,"")</f>
        <v/>
      </c>
      <c r="B574" s="1" t="str">
        <f>IF(AND(Programme_Grunddaten!$A579="Geprüft",Programme_Grunddaten!I579&lt;&gt;""),IF(Programme_Grunddaten!I579="Ja",1,0),"")</f>
        <v/>
      </c>
      <c r="C574" s="1" t="str">
        <f>IF(AND(Programme_Grunddaten!$A579="Geprüft",Programme_Grunddaten!J579&lt;&gt;""),IF(Programme_Grunddaten!J579="Ja",1,0),"")</f>
        <v/>
      </c>
      <c r="D574" s="1" t="str">
        <f>IF(AND(Programme_Grunddaten!$A579="Geprüft",Programme_Grunddaten!K579&lt;&gt;""),IF(Programme_Grunddaten!K579="Ja",1,0),"")</f>
        <v/>
      </c>
      <c r="E574" s="1" t="str">
        <f>IF(AND(Programme_Grunddaten!$A579="Geprüft",Programme_Grunddaten!L579&lt;&gt;""),IF(Programme_Grunddaten!L579="Abo / befristete Lizenz",1,0),"")</f>
        <v/>
      </c>
      <c r="F574" s="1" t="str">
        <f>IF(AND(Programme_Grunddaten!$A579="Geprüft",Programme_Grunddaten!M579&lt;&gt;""),IF(Programme_Grunddaten!M579="Ja",1,0),"")</f>
        <v/>
      </c>
      <c r="G574" s="1" t="str">
        <f>IF(AND(Programme_Grunddaten!$A579="Geprüft",Programme_Grunddaten!N579&lt;&gt;""),IF(Programme_Grunddaten!N579="Ja",1,0),"")</f>
        <v/>
      </c>
      <c r="H574" s="1" t="str">
        <f>IF(AND(Programme_Grunddaten!$A579="Geprüft",Programme_Grunddaten!O579&lt;&gt;""),IF(Programme_Grunddaten!O579="Deutschland",0,IF(Programme_Grunddaten!O579="EU",1,2)),"")</f>
        <v/>
      </c>
      <c r="I574" s="1" t="str">
        <f>IF(AND(Programme_Grunddaten!$A579="Geprüft",Programme_Grunddaten!P579&lt;&gt;""),IF(Programme_Grunddaten!P579="Ja",1,0),"")</f>
        <v/>
      </c>
      <c r="J574" s="1" t="str">
        <f>IF(AND(Programme_Grunddaten!$A579="Geprüft",Programme_Grunddaten!Q579&lt;&gt;""),IF(Programme_Grunddaten!Q579="geschlossenes System",1,0),"")</f>
        <v/>
      </c>
      <c r="K574" s="1" t="str">
        <f>IF(AND(Programme_Grunddaten!$A579="Geprüft",Programme_Grunddaten!R579&lt;&gt;""),IF(Programme_Grunddaten!R579="Ja",1,0),"")</f>
        <v/>
      </c>
      <c r="L574" s="1" t="str">
        <f>IF(AND(Programme_Grunddaten!$A579="Geprüft",Programme_Grunddaten!T579&lt;&gt;""),IF(Programme_Grunddaten!T579="Ja",1,0),"")</f>
        <v/>
      </c>
      <c r="M574" s="1" t="str">
        <f>IF(AND(Programme_Grunddaten!$A579="Geprüft",Programme_Grunddaten!U579&lt;&gt;""),IF(Programme_Grunddaten!U579="Ja",1,0),"")</f>
        <v/>
      </c>
      <c r="N574" s="1" t="str">
        <f>IF(AND(Programme_Grunddaten!$A579="Geprüft",Programme_Grunddaten!V579&lt;&gt;""),IF(Programme_Grunddaten!V579="Ja",1,0),"")</f>
        <v/>
      </c>
      <c r="O574" s="1" t="str">
        <f>IF(AND(Programme_Grunddaten!$A579="Geprüft",Programme_Grunddaten!W579&lt;&gt;""),IF(Programme_Grunddaten!W579="Ja",1,0),"")</f>
        <v/>
      </c>
      <c r="P574" s="1" t="str">
        <f>IF(AND(Programme_Grunddaten!$A579="Geprüft",Programme_Grunddaten!X579&lt;&gt;""),IF(Programme_Grunddaten!X579="Ja",1,0),"")</f>
        <v/>
      </c>
      <c r="Q574" s="1" t="str">
        <f>IF(AND(Programme_Grunddaten!$A579="Geprüft",Programme_Grunddaten!Y579&lt;&gt;""),IF(Programme_Grunddaten!Y579="Ja",1,0),"")</f>
        <v/>
      </c>
      <c r="R574" s="1" t="str">
        <f>IF(AND(Programme_Grunddaten!$A579="Geprüft",Programme_Grunddaten!Z579&lt;&gt;""),IF(Programme_Grunddaten!Z579="Ja",1,0),"")</f>
        <v/>
      </c>
      <c r="S574" s="1" t="str">
        <f>IF(AND(Programme_Grunddaten!$A579="Geprüft",Programme_Grunddaten!AA579&lt;&gt;""),IF(Programme_Grunddaten!AA579="monolithisch",1,0),"")</f>
        <v/>
      </c>
      <c r="T574" s="1" t="str">
        <f>IF(AND(Programme_Grunddaten!$A579="Geprüft",Programme_Grunddaten!AB579&lt;&gt;""),IF(Programme_Grunddaten!AB579="Ja",1,0),"")</f>
        <v/>
      </c>
      <c r="U574" s="1" t="str">
        <f>IF(AND(Programme_Grunddaten!$A579="Geprüft",Programme_Grunddaten!AC579&lt;&gt;""),IF(Programme_Grunddaten!AC579="Ja",1,0),"")</f>
        <v/>
      </c>
      <c r="V574" s="1" t="str">
        <f>IF(AND(Programme_Grunddaten!$A579="Geprüft",Programme_Grunddaten!AD579&lt;&gt;""),IF(Programme_Grunddaten!AD579="Ja",1,0),"")</f>
        <v/>
      </c>
      <c r="W574" s="1" t="str">
        <f>IF(AND(Programme_Grunddaten!$A579="Geprüft",Programme_Grunddaten!AE579&lt;&gt;""),IF(Programme_Grunddaten!AE579="Ja",1,0),"")</f>
        <v/>
      </c>
      <c r="X574" s="1" t="str">
        <f>IF(AND(Programme_Grunddaten!$A579="Geprüft",Programme_Grunddaten!AF579&lt;&gt;""),IF(Programme_Grunddaten!AF579="Ja",1,0),"")</f>
        <v/>
      </c>
      <c r="Y574" s="1" t="str">
        <f>IF(AND(Programme_Grunddaten!$A579="Geprüft",Programme_Grunddaten!AG579&lt;&gt;""),IF(Programme_Grunddaten!AG579="Ja",1,0),"")</f>
        <v/>
      </c>
      <c r="Z574" s="1" t="str">
        <f>IF(AND(Programme_Grunddaten!$A579="Geprüft",Programme_Grunddaten!AH579&lt;&gt;""),IF(Programme_Grunddaten!AH579="Ja",1,0),"")</f>
        <v/>
      </c>
      <c r="AA574" s="1" t="str">
        <f>IF(AND(Programme_Grunddaten!$A579="Geprüft",Programme_Grunddaten!AI579&lt;&gt;""),IF(Programme_Grunddaten!AI579="Ja",1,0),"")</f>
        <v/>
      </c>
      <c r="AB574" s="1" t="str">
        <f>IF(AND(Programme_Grunddaten!$A579="Geprüft",Programme_Grunddaten!AJ579&lt;&gt;""),IF(Programme_Grunddaten!AJ579="individuell programmierbar",1,0),"")</f>
        <v/>
      </c>
      <c r="AC574" s="1" t="str">
        <f>IF(AND(Programme_Grunddaten!$A579="Geprüft",Programme_Grunddaten!AK579&lt;&gt;""),IF(Programme_Grunddaten!AK579="Deutsch",0,IF(Programme_Grunddaten!AK579="Deutsch und Englisch",1,2)),"")</f>
        <v/>
      </c>
      <c r="AD574" s="1" t="str">
        <f>IF(AND(Programme_Grunddaten!$A579="Geprüft",Programme_Grunddaten!AL579&lt;&gt;""),IF(Programme_Grunddaten!AL579="Ja",1,0),"")</f>
        <v/>
      </c>
      <c r="AE574" s="1" t="str">
        <f>IF(AND(Programme_Grunddaten!$A579="Geprüft",Programme_Grunddaten!AM579&lt;&gt;""),IF(Programme_Grunddaten!AM579="Ja",1,0),"")</f>
        <v/>
      </c>
      <c r="AF574" s="1" t="str">
        <f>IF(AND(Programme_Grunddaten!$A579="Geprüft",Programme_Grunddaten!AN579&lt;&gt;""),IF(Programme_Grunddaten!AN579="Ja",1,0),"")</f>
        <v/>
      </c>
      <c r="AG574" s="1" t="str">
        <f>IF(AND(Programme_Grunddaten!$A579="Geprüft",Programme_Grunddaten!AO579&lt;&gt;""),IF(Programme_Grunddaten!AO579="Ja",1,0),"")</f>
        <v/>
      </c>
      <c r="AH574" s="1" t="str">
        <f>IF(AND(Programme_Grunddaten!$A579="Geprüft",Programme_Grunddaten!AP579&lt;&gt;""),IF(Programme_Grunddaten!AP579="Ja",1,0),"")</f>
        <v/>
      </c>
      <c r="AI574" s="1" t="str">
        <f>IF(AND(Programme_Grunddaten!$A579="Geprüft",Programme_Grunddaten!AQ579&lt;&gt;""),IF(Programme_Grunddaten!AQ579="Ja",1,0),"")</f>
        <v/>
      </c>
      <c r="AJ574" s="1" t="str">
        <f>IF(AND(Programme_Grunddaten!$A579="Geprüft",Programme_Grunddaten!AR579&lt;&gt;""),IF(Programme_Grunddaten!AR579="Ja",1,0),"")</f>
        <v/>
      </c>
      <c r="AK574" s="1" t="str">
        <f>IF(AND(Programme_Grunddaten!$A579="Geprüft",Programme_Grunddaten!AS579&lt;&gt;""),IF(Programme_Grunddaten!AS579="Ja",1,0),"")</f>
        <v/>
      </c>
      <c r="AL574" s="1" t="str">
        <f>IF(AND(Programme_Grunddaten!$A579="Geprüft",Programme_Grunddaten!AT579&lt;&gt;""),IF(Programme_Grunddaten!AT579="Ja",1,0),"")</f>
        <v/>
      </c>
      <c r="AM574" s="1" t="str">
        <f>IF(AND(Programme_Grunddaten!$A579="Geprüft",Programme_Grunddaten!AU579&lt;&gt;""),IF(Programme_Grunddaten!AU579="Ja",1,0),"")</f>
        <v/>
      </c>
      <c r="AN574" s="1" t="str">
        <f>IF(AND(Programme_Grunddaten!$A579="Geprüft",Programme_Grunddaten!AV579&lt;&gt;""),IF(Programme_Grunddaten!AV579="Ja",1,0),"")</f>
        <v/>
      </c>
    </row>
    <row r="575" spans="1:40" x14ac:dyDescent="0.3">
      <c r="A575" s="1" t="str">
        <f>IF(AND(Programme_Grunddaten!A580="Geprüft",Programme_Grunddaten!B580&lt;&gt;""),Programme_Grunddaten!B580,"")</f>
        <v/>
      </c>
      <c r="B575" s="1" t="str">
        <f>IF(AND(Programme_Grunddaten!$A580="Geprüft",Programme_Grunddaten!I580&lt;&gt;""),IF(Programme_Grunddaten!I580="Ja",1,0),"")</f>
        <v/>
      </c>
      <c r="C575" s="1" t="str">
        <f>IF(AND(Programme_Grunddaten!$A580="Geprüft",Programme_Grunddaten!J580&lt;&gt;""),IF(Programme_Grunddaten!J580="Ja",1,0),"")</f>
        <v/>
      </c>
      <c r="D575" s="1" t="str">
        <f>IF(AND(Programme_Grunddaten!$A580="Geprüft",Programme_Grunddaten!K580&lt;&gt;""),IF(Programme_Grunddaten!K580="Ja",1,0),"")</f>
        <v/>
      </c>
      <c r="E575" s="1" t="str">
        <f>IF(AND(Programme_Grunddaten!$A580="Geprüft",Programme_Grunddaten!L580&lt;&gt;""),IF(Programme_Grunddaten!L580="Abo / befristete Lizenz",1,0),"")</f>
        <v/>
      </c>
      <c r="F575" s="1" t="str">
        <f>IF(AND(Programme_Grunddaten!$A580="Geprüft",Programme_Grunddaten!M580&lt;&gt;""),IF(Programme_Grunddaten!M580="Ja",1,0),"")</f>
        <v/>
      </c>
      <c r="G575" s="1" t="str">
        <f>IF(AND(Programme_Grunddaten!$A580="Geprüft",Programme_Grunddaten!N580&lt;&gt;""),IF(Programme_Grunddaten!N580="Ja",1,0),"")</f>
        <v/>
      </c>
      <c r="H575" s="1" t="str">
        <f>IF(AND(Programme_Grunddaten!$A580="Geprüft",Programme_Grunddaten!O580&lt;&gt;""),IF(Programme_Grunddaten!O580="Deutschland",0,IF(Programme_Grunddaten!O580="EU",1,2)),"")</f>
        <v/>
      </c>
      <c r="I575" s="1" t="str">
        <f>IF(AND(Programme_Grunddaten!$A580="Geprüft",Programme_Grunddaten!P580&lt;&gt;""),IF(Programme_Grunddaten!P580="Ja",1,0),"")</f>
        <v/>
      </c>
      <c r="J575" s="1" t="str">
        <f>IF(AND(Programme_Grunddaten!$A580="Geprüft",Programme_Grunddaten!Q580&lt;&gt;""),IF(Programme_Grunddaten!Q580="geschlossenes System",1,0),"")</f>
        <v/>
      </c>
      <c r="K575" s="1" t="str">
        <f>IF(AND(Programme_Grunddaten!$A580="Geprüft",Programme_Grunddaten!R580&lt;&gt;""),IF(Programme_Grunddaten!R580="Ja",1,0),"")</f>
        <v/>
      </c>
      <c r="L575" s="1" t="str">
        <f>IF(AND(Programme_Grunddaten!$A580="Geprüft",Programme_Grunddaten!T580&lt;&gt;""),IF(Programme_Grunddaten!T580="Ja",1,0),"")</f>
        <v/>
      </c>
      <c r="M575" s="1" t="str">
        <f>IF(AND(Programme_Grunddaten!$A580="Geprüft",Programme_Grunddaten!U580&lt;&gt;""),IF(Programme_Grunddaten!U580="Ja",1,0),"")</f>
        <v/>
      </c>
      <c r="N575" s="1" t="str">
        <f>IF(AND(Programme_Grunddaten!$A580="Geprüft",Programme_Grunddaten!V580&lt;&gt;""),IF(Programme_Grunddaten!V580="Ja",1,0),"")</f>
        <v/>
      </c>
      <c r="O575" s="1" t="str">
        <f>IF(AND(Programme_Grunddaten!$A580="Geprüft",Programme_Grunddaten!W580&lt;&gt;""),IF(Programme_Grunddaten!W580="Ja",1,0),"")</f>
        <v/>
      </c>
      <c r="P575" s="1" t="str">
        <f>IF(AND(Programme_Grunddaten!$A580="Geprüft",Programme_Grunddaten!X580&lt;&gt;""),IF(Programme_Grunddaten!X580="Ja",1,0),"")</f>
        <v/>
      </c>
      <c r="Q575" s="1" t="str">
        <f>IF(AND(Programme_Grunddaten!$A580="Geprüft",Programme_Grunddaten!Y580&lt;&gt;""),IF(Programme_Grunddaten!Y580="Ja",1,0),"")</f>
        <v/>
      </c>
      <c r="R575" s="1" t="str">
        <f>IF(AND(Programme_Grunddaten!$A580="Geprüft",Programme_Grunddaten!Z580&lt;&gt;""),IF(Programme_Grunddaten!Z580="Ja",1,0),"")</f>
        <v/>
      </c>
      <c r="S575" s="1" t="str">
        <f>IF(AND(Programme_Grunddaten!$A580="Geprüft",Programme_Grunddaten!AA580&lt;&gt;""),IF(Programme_Grunddaten!AA580="monolithisch",1,0),"")</f>
        <v/>
      </c>
      <c r="T575" s="1" t="str">
        <f>IF(AND(Programme_Grunddaten!$A580="Geprüft",Programme_Grunddaten!AB580&lt;&gt;""),IF(Programme_Grunddaten!AB580="Ja",1,0),"")</f>
        <v/>
      </c>
      <c r="U575" s="1" t="str">
        <f>IF(AND(Programme_Grunddaten!$A580="Geprüft",Programme_Grunddaten!AC580&lt;&gt;""),IF(Programme_Grunddaten!AC580="Ja",1,0),"")</f>
        <v/>
      </c>
      <c r="V575" s="1" t="str">
        <f>IF(AND(Programme_Grunddaten!$A580="Geprüft",Programme_Grunddaten!AD580&lt;&gt;""),IF(Programme_Grunddaten!AD580="Ja",1,0),"")</f>
        <v/>
      </c>
      <c r="W575" s="1" t="str">
        <f>IF(AND(Programme_Grunddaten!$A580="Geprüft",Programme_Grunddaten!AE580&lt;&gt;""),IF(Programme_Grunddaten!AE580="Ja",1,0),"")</f>
        <v/>
      </c>
      <c r="X575" s="1" t="str">
        <f>IF(AND(Programme_Grunddaten!$A580="Geprüft",Programme_Grunddaten!AF580&lt;&gt;""),IF(Programme_Grunddaten!AF580="Ja",1,0),"")</f>
        <v/>
      </c>
      <c r="Y575" s="1" t="str">
        <f>IF(AND(Programme_Grunddaten!$A580="Geprüft",Programme_Grunddaten!AG580&lt;&gt;""),IF(Programme_Grunddaten!AG580="Ja",1,0),"")</f>
        <v/>
      </c>
      <c r="Z575" s="1" t="str">
        <f>IF(AND(Programme_Grunddaten!$A580="Geprüft",Programme_Grunddaten!AH580&lt;&gt;""),IF(Programme_Grunddaten!AH580="Ja",1,0),"")</f>
        <v/>
      </c>
      <c r="AA575" s="1" t="str">
        <f>IF(AND(Programme_Grunddaten!$A580="Geprüft",Programme_Grunddaten!AI580&lt;&gt;""),IF(Programme_Grunddaten!AI580="Ja",1,0),"")</f>
        <v/>
      </c>
      <c r="AB575" s="1" t="str">
        <f>IF(AND(Programme_Grunddaten!$A580="Geprüft",Programme_Grunddaten!AJ580&lt;&gt;""),IF(Programme_Grunddaten!AJ580="individuell programmierbar",1,0),"")</f>
        <v/>
      </c>
      <c r="AC575" s="1" t="str">
        <f>IF(AND(Programme_Grunddaten!$A580="Geprüft",Programme_Grunddaten!AK580&lt;&gt;""),IF(Programme_Grunddaten!AK580="Deutsch",0,IF(Programme_Grunddaten!AK580="Deutsch und Englisch",1,2)),"")</f>
        <v/>
      </c>
      <c r="AD575" s="1" t="str">
        <f>IF(AND(Programme_Grunddaten!$A580="Geprüft",Programme_Grunddaten!AL580&lt;&gt;""),IF(Programme_Grunddaten!AL580="Ja",1,0),"")</f>
        <v/>
      </c>
      <c r="AE575" s="1" t="str">
        <f>IF(AND(Programme_Grunddaten!$A580="Geprüft",Programme_Grunddaten!AM580&lt;&gt;""),IF(Programme_Grunddaten!AM580="Ja",1,0),"")</f>
        <v/>
      </c>
      <c r="AF575" s="1" t="str">
        <f>IF(AND(Programme_Grunddaten!$A580="Geprüft",Programme_Grunddaten!AN580&lt;&gt;""),IF(Programme_Grunddaten!AN580="Ja",1,0),"")</f>
        <v/>
      </c>
      <c r="AG575" s="1" t="str">
        <f>IF(AND(Programme_Grunddaten!$A580="Geprüft",Programme_Grunddaten!AO580&lt;&gt;""),IF(Programme_Grunddaten!AO580="Ja",1,0),"")</f>
        <v/>
      </c>
      <c r="AH575" s="1" t="str">
        <f>IF(AND(Programme_Grunddaten!$A580="Geprüft",Programme_Grunddaten!AP580&lt;&gt;""),IF(Programme_Grunddaten!AP580="Ja",1,0),"")</f>
        <v/>
      </c>
      <c r="AI575" s="1" t="str">
        <f>IF(AND(Programme_Grunddaten!$A580="Geprüft",Programme_Grunddaten!AQ580&lt;&gt;""),IF(Programme_Grunddaten!AQ580="Ja",1,0),"")</f>
        <v/>
      </c>
      <c r="AJ575" s="1" t="str">
        <f>IF(AND(Programme_Grunddaten!$A580="Geprüft",Programme_Grunddaten!AR580&lt;&gt;""),IF(Programme_Grunddaten!AR580="Ja",1,0),"")</f>
        <v/>
      </c>
      <c r="AK575" s="1" t="str">
        <f>IF(AND(Programme_Grunddaten!$A580="Geprüft",Programme_Grunddaten!AS580&lt;&gt;""),IF(Programme_Grunddaten!AS580="Ja",1,0),"")</f>
        <v/>
      </c>
      <c r="AL575" s="1" t="str">
        <f>IF(AND(Programme_Grunddaten!$A580="Geprüft",Programme_Grunddaten!AT580&lt;&gt;""),IF(Programme_Grunddaten!AT580="Ja",1,0),"")</f>
        <v/>
      </c>
      <c r="AM575" s="1" t="str">
        <f>IF(AND(Programme_Grunddaten!$A580="Geprüft",Programme_Grunddaten!AU580&lt;&gt;""),IF(Programme_Grunddaten!AU580="Ja",1,0),"")</f>
        <v/>
      </c>
      <c r="AN575" s="1" t="str">
        <f>IF(AND(Programme_Grunddaten!$A580="Geprüft",Programme_Grunddaten!AV580&lt;&gt;""),IF(Programme_Grunddaten!AV580="Ja",1,0),"")</f>
        <v/>
      </c>
    </row>
    <row r="576" spans="1:40" x14ac:dyDescent="0.3">
      <c r="A576" s="1" t="str">
        <f>IF(AND(Programme_Grunddaten!A581="Geprüft",Programme_Grunddaten!B581&lt;&gt;""),Programme_Grunddaten!B581,"")</f>
        <v/>
      </c>
      <c r="B576" s="1" t="str">
        <f>IF(AND(Programme_Grunddaten!$A581="Geprüft",Programme_Grunddaten!I581&lt;&gt;""),IF(Programme_Grunddaten!I581="Ja",1,0),"")</f>
        <v/>
      </c>
      <c r="C576" s="1" t="str">
        <f>IF(AND(Programme_Grunddaten!$A581="Geprüft",Programme_Grunddaten!J581&lt;&gt;""),IF(Programme_Grunddaten!J581="Ja",1,0),"")</f>
        <v/>
      </c>
      <c r="D576" s="1" t="str">
        <f>IF(AND(Programme_Grunddaten!$A581="Geprüft",Programme_Grunddaten!K581&lt;&gt;""),IF(Programme_Grunddaten!K581="Ja",1,0),"")</f>
        <v/>
      </c>
      <c r="E576" s="1" t="str">
        <f>IF(AND(Programme_Grunddaten!$A581="Geprüft",Programme_Grunddaten!L581&lt;&gt;""),IF(Programme_Grunddaten!L581="Abo / befristete Lizenz",1,0),"")</f>
        <v/>
      </c>
      <c r="F576" s="1" t="str">
        <f>IF(AND(Programme_Grunddaten!$A581="Geprüft",Programme_Grunddaten!M581&lt;&gt;""),IF(Programme_Grunddaten!M581="Ja",1,0),"")</f>
        <v/>
      </c>
      <c r="G576" s="1" t="str">
        <f>IF(AND(Programme_Grunddaten!$A581="Geprüft",Programme_Grunddaten!N581&lt;&gt;""),IF(Programme_Grunddaten!N581="Ja",1,0),"")</f>
        <v/>
      </c>
      <c r="H576" s="1" t="str">
        <f>IF(AND(Programme_Grunddaten!$A581="Geprüft",Programme_Grunddaten!O581&lt;&gt;""),IF(Programme_Grunddaten!O581="Deutschland",0,IF(Programme_Grunddaten!O581="EU",1,2)),"")</f>
        <v/>
      </c>
      <c r="I576" s="1" t="str">
        <f>IF(AND(Programme_Grunddaten!$A581="Geprüft",Programme_Grunddaten!P581&lt;&gt;""),IF(Programme_Grunddaten!P581="Ja",1,0),"")</f>
        <v/>
      </c>
      <c r="J576" s="1" t="str">
        <f>IF(AND(Programme_Grunddaten!$A581="Geprüft",Programme_Grunddaten!Q581&lt;&gt;""),IF(Programme_Grunddaten!Q581="geschlossenes System",1,0),"")</f>
        <v/>
      </c>
      <c r="K576" s="1" t="str">
        <f>IF(AND(Programme_Grunddaten!$A581="Geprüft",Programme_Grunddaten!R581&lt;&gt;""),IF(Programme_Grunddaten!R581="Ja",1,0),"")</f>
        <v/>
      </c>
      <c r="L576" s="1" t="str">
        <f>IF(AND(Programme_Grunddaten!$A581="Geprüft",Programme_Grunddaten!T581&lt;&gt;""),IF(Programme_Grunddaten!T581="Ja",1,0),"")</f>
        <v/>
      </c>
      <c r="M576" s="1" t="str">
        <f>IF(AND(Programme_Grunddaten!$A581="Geprüft",Programme_Grunddaten!U581&lt;&gt;""),IF(Programme_Grunddaten!U581="Ja",1,0),"")</f>
        <v/>
      </c>
      <c r="N576" s="1" t="str">
        <f>IF(AND(Programme_Grunddaten!$A581="Geprüft",Programme_Grunddaten!V581&lt;&gt;""),IF(Programme_Grunddaten!V581="Ja",1,0),"")</f>
        <v/>
      </c>
      <c r="O576" s="1" t="str">
        <f>IF(AND(Programme_Grunddaten!$A581="Geprüft",Programme_Grunddaten!W581&lt;&gt;""),IF(Programme_Grunddaten!W581="Ja",1,0),"")</f>
        <v/>
      </c>
      <c r="P576" s="1" t="str">
        <f>IF(AND(Programme_Grunddaten!$A581="Geprüft",Programme_Grunddaten!X581&lt;&gt;""),IF(Programme_Grunddaten!X581="Ja",1,0),"")</f>
        <v/>
      </c>
      <c r="Q576" s="1" t="str">
        <f>IF(AND(Programme_Grunddaten!$A581="Geprüft",Programme_Grunddaten!Y581&lt;&gt;""),IF(Programme_Grunddaten!Y581="Ja",1,0),"")</f>
        <v/>
      </c>
      <c r="R576" s="1" t="str">
        <f>IF(AND(Programme_Grunddaten!$A581="Geprüft",Programme_Grunddaten!Z581&lt;&gt;""),IF(Programme_Grunddaten!Z581="Ja",1,0),"")</f>
        <v/>
      </c>
      <c r="S576" s="1" t="str">
        <f>IF(AND(Programme_Grunddaten!$A581="Geprüft",Programme_Grunddaten!AA581&lt;&gt;""),IF(Programme_Grunddaten!AA581="monolithisch",1,0),"")</f>
        <v/>
      </c>
      <c r="T576" s="1" t="str">
        <f>IF(AND(Programme_Grunddaten!$A581="Geprüft",Programme_Grunddaten!AB581&lt;&gt;""),IF(Programme_Grunddaten!AB581="Ja",1,0),"")</f>
        <v/>
      </c>
      <c r="U576" s="1" t="str">
        <f>IF(AND(Programme_Grunddaten!$A581="Geprüft",Programme_Grunddaten!AC581&lt;&gt;""),IF(Programme_Grunddaten!AC581="Ja",1,0),"")</f>
        <v/>
      </c>
      <c r="V576" s="1" t="str">
        <f>IF(AND(Programme_Grunddaten!$A581="Geprüft",Programme_Grunddaten!AD581&lt;&gt;""),IF(Programme_Grunddaten!AD581="Ja",1,0),"")</f>
        <v/>
      </c>
      <c r="W576" s="1" t="str">
        <f>IF(AND(Programme_Grunddaten!$A581="Geprüft",Programme_Grunddaten!AE581&lt;&gt;""),IF(Programme_Grunddaten!AE581="Ja",1,0),"")</f>
        <v/>
      </c>
      <c r="X576" s="1" t="str">
        <f>IF(AND(Programme_Grunddaten!$A581="Geprüft",Programme_Grunddaten!AF581&lt;&gt;""),IF(Programme_Grunddaten!AF581="Ja",1,0),"")</f>
        <v/>
      </c>
      <c r="Y576" s="1" t="str">
        <f>IF(AND(Programme_Grunddaten!$A581="Geprüft",Programme_Grunddaten!AG581&lt;&gt;""),IF(Programme_Grunddaten!AG581="Ja",1,0),"")</f>
        <v/>
      </c>
      <c r="Z576" s="1" t="str">
        <f>IF(AND(Programme_Grunddaten!$A581="Geprüft",Programme_Grunddaten!AH581&lt;&gt;""),IF(Programme_Grunddaten!AH581="Ja",1,0),"")</f>
        <v/>
      </c>
      <c r="AA576" s="1" t="str">
        <f>IF(AND(Programme_Grunddaten!$A581="Geprüft",Programme_Grunddaten!AI581&lt;&gt;""),IF(Programme_Grunddaten!AI581="Ja",1,0),"")</f>
        <v/>
      </c>
      <c r="AB576" s="1" t="str">
        <f>IF(AND(Programme_Grunddaten!$A581="Geprüft",Programme_Grunddaten!AJ581&lt;&gt;""),IF(Programme_Grunddaten!AJ581="individuell programmierbar",1,0),"")</f>
        <v/>
      </c>
      <c r="AC576" s="1" t="str">
        <f>IF(AND(Programme_Grunddaten!$A581="Geprüft",Programme_Grunddaten!AK581&lt;&gt;""),IF(Programme_Grunddaten!AK581="Deutsch",0,IF(Programme_Grunddaten!AK581="Deutsch und Englisch",1,2)),"")</f>
        <v/>
      </c>
      <c r="AD576" s="1" t="str">
        <f>IF(AND(Programme_Grunddaten!$A581="Geprüft",Programme_Grunddaten!AL581&lt;&gt;""),IF(Programme_Grunddaten!AL581="Ja",1,0),"")</f>
        <v/>
      </c>
      <c r="AE576" s="1" t="str">
        <f>IF(AND(Programme_Grunddaten!$A581="Geprüft",Programme_Grunddaten!AM581&lt;&gt;""),IF(Programme_Grunddaten!AM581="Ja",1,0),"")</f>
        <v/>
      </c>
      <c r="AF576" s="1" t="str">
        <f>IF(AND(Programme_Grunddaten!$A581="Geprüft",Programme_Grunddaten!AN581&lt;&gt;""),IF(Programme_Grunddaten!AN581="Ja",1,0),"")</f>
        <v/>
      </c>
      <c r="AG576" s="1" t="str">
        <f>IF(AND(Programme_Grunddaten!$A581="Geprüft",Programme_Grunddaten!AO581&lt;&gt;""),IF(Programme_Grunddaten!AO581="Ja",1,0),"")</f>
        <v/>
      </c>
      <c r="AH576" s="1" t="str">
        <f>IF(AND(Programme_Grunddaten!$A581="Geprüft",Programme_Grunddaten!AP581&lt;&gt;""),IF(Programme_Grunddaten!AP581="Ja",1,0),"")</f>
        <v/>
      </c>
      <c r="AI576" s="1" t="str">
        <f>IF(AND(Programme_Grunddaten!$A581="Geprüft",Programme_Grunddaten!AQ581&lt;&gt;""),IF(Programme_Grunddaten!AQ581="Ja",1,0),"")</f>
        <v/>
      </c>
      <c r="AJ576" s="1" t="str">
        <f>IF(AND(Programme_Grunddaten!$A581="Geprüft",Programme_Grunddaten!AR581&lt;&gt;""),IF(Programme_Grunddaten!AR581="Ja",1,0),"")</f>
        <v/>
      </c>
      <c r="AK576" s="1" t="str">
        <f>IF(AND(Programme_Grunddaten!$A581="Geprüft",Programme_Grunddaten!AS581&lt;&gt;""),IF(Programme_Grunddaten!AS581="Ja",1,0),"")</f>
        <v/>
      </c>
      <c r="AL576" s="1" t="str">
        <f>IF(AND(Programme_Grunddaten!$A581="Geprüft",Programme_Grunddaten!AT581&lt;&gt;""),IF(Programme_Grunddaten!AT581="Ja",1,0),"")</f>
        <v/>
      </c>
      <c r="AM576" s="1" t="str">
        <f>IF(AND(Programme_Grunddaten!$A581="Geprüft",Programme_Grunddaten!AU581&lt;&gt;""),IF(Programme_Grunddaten!AU581="Ja",1,0),"")</f>
        <v/>
      </c>
      <c r="AN576" s="1" t="str">
        <f>IF(AND(Programme_Grunddaten!$A581="Geprüft",Programme_Grunddaten!AV581&lt;&gt;""),IF(Programme_Grunddaten!AV581="Ja",1,0),"")</f>
        <v/>
      </c>
    </row>
    <row r="577" spans="1:40" x14ac:dyDescent="0.3">
      <c r="A577" s="1" t="str">
        <f>IF(AND(Programme_Grunddaten!A582="Geprüft",Programme_Grunddaten!B582&lt;&gt;""),Programme_Grunddaten!B582,"")</f>
        <v/>
      </c>
      <c r="B577" s="1" t="str">
        <f>IF(AND(Programme_Grunddaten!$A582="Geprüft",Programme_Grunddaten!I582&lt;&gt;""),IF(Programme_Grunddaten!I582="Ja",1,0),"")</f>
        <v/>
      </c>
      <c r="C577" s="1" t="str">
        <f>IF(AND(Programme_Grunddaten!$A582="Geprüft",Programme_Grunddaten!J582&lt;&gt;""),IF(Programme_Grunddaten!J582="Ja",1,0),"")</f>
        <v/>
      </c>
      <c r="D577" s="1" t="str">
        <f>IF(AND(Programme_Grunddaten!$A582="Geprüft",Programme_Grunddaten!K582&lt;&gt;""),IF(Programme_Grunddaten!K582="Ja",1,0),"")</f>
        <v/>
      </c>
      <c r="E577" s="1" t="str">
        <f>IF(AND(Programme_Grunddaten!$A582="Geprüft",Programme_Grunddaten!L582&lt;&gt;""),IF(Programme_Grunddaten!L582="Abo / befristete Lizenz",1,0),"")</f>
        <v/>
      </c>
      <c r="F577" s="1" t="str">
        <f>IF(AND(Programme_Grunddaten!$A582="Geprüft",Programme_Grunddaten!M582&lt;&gt;""),IF(Programme_Grunddaten!M582="Ja",1,0),"")</f>
        <v/>
      </c>
      <c r="G577" s="1" t="str">
        <f>IF(AND(Programme_Grunddaten!$A582="Geprüft",Programme_Grunddaten!N582&lt;&gt;""),IF(Programme_Grunddaten!N582="Ja",1,0),"")</f>
        <v/>
      </c>
      <c r="H577" s="1" t="str">
        <f>IF(AND(Programme_Grunddaten!$A582="Geprüft",Programme_Grunddaten!O582&lt;&gt;""),IF(Programme_Grunddaten!O582="Deutschland",0,IF(Programme_Grunddaten!O582="EU",1,2)),"")</f>
        <v/>
      </c>
      <c r="I577" s="1" t="str">
        <f>IF(AND(Programme_Grunddaten!$A582="Geprüft",Programme_Grunddaten!P582&lt;&gt;""),IF(Programme_Grunddaten!P582="Ja",1,0),"")</f>
        <v/>
      </c>
      <c r="J577" s="1" t="str">
        <f>IF(AND(Programme_Grunddaten!$A582="Geprüft",Programme_Grunddaten!Q582&lt;&gt;""),IF(Programme_Grunddaten!Q582="geschlossenes System",1,0),"")</f>
        <v/>
      </c>
      <c r="K577" s="1" t="str">
        <f>IF(AND(Programme_Grunddaten!$A582="Geprüft",Programme_Grunddaten!R582&lt;&gt;""),IF(Programme_Grunddaten!R582="Ja",1,0),"")</f>
        <v/>
      </c>
      <c r="L577" s="1" t="str">
        <f>IF(AND(Programme_Grunddaten!$A582="Geprüft",Programme_Grunddaten!T582&lt;&gt;""),IF(Programme_Grunddaten!T582="Ja",1,0),"")</f>
        <v/>
      </c>
      <c r="M577" s="1" t="str">
        <f>IF(AND(Programme_Grunddaten!$A582="Geprüft",Programme_Grunddaten!U582&lt;&gt;""),IF(Programme_Grunddaten!U582="Ja",1,0),"")</f>
        <v/>
      </c>
      <c r="N577" s="1" t="str">
        <f>IF(AND(Programme_Grunddaten!$A582="Geprüft",Programme_Grunddaten!V582&lt;&gt;""),IF(Programme_Grunddaten!V582="Ja",1,0),"")</f>
        <v/>
      </c>
      <c r="O577" s="1" t="str">
        <f>IF(AND(Programme_Grunddaten!$A582="Geprüft",Programme_Grunddaten!W582&lt;&gt;""),IF(Programme_Grunddaten!W582="Ja",1,0),"")</f>
        <v/>
      </c>
      <c r="P577" s="1" t="str">
        <f>IF(AND(Programme_Grunddaten!$A582="Geprüft",Programme_Grunddaten!X582&lt;&gt;""),IF(Programme_Grunddaten!X582="Ja",1,0),"")</f>
        <v/>
      </c>
      <c r="Q577" s="1" t="str">
        <f>IF(AND(Programme_Grunddaten!$A582="Geprüft",Programme_Grunddaten!Y582&lt;&gt;""),IF(Programme_Grunddaten!Y582="Ja",1,0),"")</f>
        <v/>
      </c>
      <c r="R577" s="1" t="str">
        <f>IF(AND(Programme_Grunddaten!$A582="Geprüft",Programme_Grunddaten!Z582&lt;&gt;""),IF(Programme_Grunddaten!Z582="Ja",1,0),"")</f>
        <v/>
      </c>
      <c r="S577" s="1" t="str">
        <f>IF(AND(Programme_Grunddaten!$A582="Geprüft",Programme_Grunddaten!AA582&lt;&gt;""),IF(Programme_Grunddaten!AA582="monolithisch",1,0),"")</f>
        <v/>
      </c>
      <c r="T577" s="1" t="str">
        <f>IF(AND(Programme_Grunddaten!$A582="Geprüft",Programme_Grunddaten!AB582&lt;&gt;""),IF(Programme_Grunddaten!AB582="Ja",1,0),"")</f>
        <v/>
      </c>
      <c r="U577" s="1" t="str">
        <f>IF(AND(Programme_Grunddaten!$A582="Geprüft",Programme_Grunddaten!AC582&lt;&gt;""),IF(Programme_Grunddaten!AC582="Ja",1,0),"")</f>
        <v/>
      </c>
      <c r="V577" s="1" t="str">
        <f>IF(AND(Programme_Grunddaten!$A582="Geprüft",Programme_Grunddaten!AD582&lt;&gt;""),IF(Programme_Grunddaten!AD582="Ja",1,0),"")</f>
        <v/>
      </c>
      <c r="W577" s="1" t="str">
        <f>IF(AND(Programme_Grunddaten!$A582="Geprüft",Programme_Grunddaten!AE582&lt;&gt;""),IF(Programme_Grunddaten!AE582="Ja",1,0),"")</f>
        <v/>
      </c>
      <c r="X577" s="1" t="str">
        <f>IF(AND(Programme_Grunddaten!$A582="Geprüft",Programme_Grunddaten!AF582&lt;&gt;""),IF(Programme_Grunddaten!AF582="Ja",1,0),"")</f>
        <v/>
      </c>
      <c r="Y577" s="1" t="str">
        <f>IF(AND(Programme_Grunddaten!$A582="Geprüft",Programme_Grunddaten!AG582&lt;&gt;""),IF(Programme_Grunddaten!AG582="Ja",1,0),"")</f>
        <v/>
      </c>
      <c r="Z577" s="1" t="str">
        <f>IF(AND(Programme_Grunddaten!$A582="Geprüft",Programme_Grunddaten!AH582&lt;&gt;""),IF(Programme_Grunddaten!AH582="Ja",1,0),"")</f>
        <v/>
      </c>
      <c r="AA577" s="1" t="str">
        <f>IF(AND(Programme_Grunddaten!$A582="Geprüft",Programme_Grunddaten!AI582&lt;&gt;""),IF(Programme_Grunddaten!AI582="Ja",1,0),"")</f>
        <v/>
      </c>
      <c r="AB577" s="1" t="str">
        <f>IF(AND(Programme_Grunddaten!$A582="Geprüft",Programme_Grunddaten!AJ582&lt;&gt;""),IF(Programme_Grunddaten!AJ582="individuell programmierbar",1,0),"")</f>
        <v/>
      </c>
      <c r="AC577" s="1" t="str">
        <f>IF(AND(Programme_Grunddaten!$A582="Geprüft",Programme_Grunddaten!AK582&lt;&gt;""),IF(Programme_Grunddaten!AK582="Deutsch",0,IF(Programme_Grunddaten!AK582="Deutsch und Englisch",1,2)),"")</f>
        <v/>
      </c>
      <c r="AD577" s="1" t="str">
        <f>IF(AND(Programme_Grunddaten!$A582="Geprüft",Programme_Grunddaten!AL582&lt;&gt;""),IF(Programme_Grunddaten!AL582="Ja",1,0),"")</f>
        <v/>
      </c>
      <c r="AE577" s="1" t="str">
        <f>IF(AND(Programme_Grunddaten!$A582="Geprüft",Programme_Grunddaten!AM582&lt;&gt;""),IF(Programme_Grunddaten!AM582="Ja",1,0),"")</f>
        <v/>
      </c>
      <c r="AF577" s="1" t="str">
        <f>IF(AND(Programme_Grunddaten!$A582="Geprüft",Programme_Grunddaten!AN582&lt;&gt;""),IF(Programme_Grunddaten!AN582="Ja",1,0),"")</f>
        <v/>
      </c>
      <c r="AG577" s="1" t="str">
        <f>IF(AND(Programme_Grunddaten!$A582="Geprüft",Programme_Grunddaten!AO582&lt;&gt;""),IF(Programme_Grunddaten!AO582="Ja",1,0),"")</f>
        <v/>
      </c>
      <c r="AH577" s="1" t="str">
        <f>IF(AND(Programme_Grunddaten!$A582="Geprüft",Programme_Grunddaten!AP582&lt;&gt;""),IF(Programme_Grunddaten!AP582="Ja",1,0),"")</f>
        <v/>
      </c>
      <c r="AI577" s="1" t="str">
        <f>IF(AND(Programme_Grunddaten!$A582="Geprüft",Programme_Grunddaten!AQ582&lt;&gt;""),IF(Programme_Grunddaten!AQ582="Ja",1,0),"")</f>
        <v/>
      </c>
      <c r="AJ577" s="1" t="str">
        <f>IF(AND(Programme_Grunddaten!$A582="Geprüft",Programme_Grunddaten!AR582&lt;&gt;""),IF(Programme_Grunddaten!AR582="Ja",1,0),"")</f>
        <v/>
      </c>
      <c r="AK577" s="1" t="str">
        <f>IF(AND(Programme_Grunddaten!$A582="Geprüft",Programme_Grunddaten!AS582&lt;&gt;""),IF(Programme_Grunddaten!AS582="Ja",1,0),"")</f>
        <v/>
      </c>
      <c r="AL577" s="1" t="str">
        <f>IF(AND(Programme_Grunddaten!$A582="Geprüft",Programme_Grunddaten!AT582&lt;&gt;""),IF(Programme_Grunddaten!AT582="Ja",1,0),"")</f>
        <v/>
      </c>
      <c r="AM577" s="1" t="str">
        <f>IF(AND(Programme_Grunddaten!$A582="Geprüft",Programme_Grunddaten!AU582&lt;&gt;""),IF(Programme_Grunddaten!AU582="Ja",1,0),"")</f>
        <v/>
      </c>
      <c r="AN577" s="1" t="str">
        <f>IF(AND(Programme_Grunddaten!$A582="Geprüft",Programme_Grunddaten!AV582&lt;&gt;""),IF(Programme_Grunddaten!AV582="Ja",1,0),"")</f>
        <v/>
      </c>
    </row>
    <row r="578" spans="1:40" x14ac:dyDescent="0.3">
      <c r="A578" s="1" t="str">
        <f>IF(AND(Programme_Grunddaten!A583="Geprüft",Programme_Grunddaten!B583&lt;&gt;""),Programme_Grunddaten!B583,"")</f>
        <v/>
      </c>
      <c r="B578" s="1" t="str">
        <f>IF(AND(Programme_Grunddaten!$A583="Geprüft",Programme_Grunddaten!I583&lt;&gt;""),IF(Programme_Grunddaten!I583="Ja",1,0),"")</f>
        <v/>
      </c>
      <c r="C578" s="1" t="str">
        <f>IF(AND(Programme_Grunddaten!$A583="Geprüft",Programme_Grunddaten!J583&lt;&gt;""),IF(Programme_Grunddaten!J583="Ja",1,0),"")</f>
        <v/>
      </c>
      <c r="D578" s="1" t="str">
        <f>IF(AND(Programme_Grunddaten!$A583="Geprüft",Programme_Grunddaten!K583&lt;&gt;""),IF(Programme_Grunddaten!K583="Ja",1,0),"")</f>
        <v/>
      </c>
      <c r="E578" s="1" t="str">
        <f>IF(AND(Programme_Grunddaten!$A583="Geprüft",Programme_Grunddaten!L583&lt;&gt;""),IF(Programme_Grunddaten!L583="Abo / befristete Lizenz",1,0),"")</f>
        <v/>
      </c>
      <c r="F578" s="1" t="str">
        <f>IF(AND(Programme_Grunddaten!$A583="Geprüft",Programme_Grunddaten!M583&lt;&gt;""),IF(Programme_Grunddaten!M583="Ja",1,0),"")</f>
        <v/>
      </c>
      <c r="G578" s="1" t="str">
        <f>IF(AND(Programme_Grunddaten!$A583="Geprüft",Programme_Grunddaten!N583&lt;&gt;""),IF(Programme_Grunddaten!N583="Ja",1,0),"")</f>
        <v/>
      </c>
      <c r="H578" s="1" t="str">
        <f>IF(AND(Programme_Grunddaten!$A583="Geprüft",Programme_Grunddaten!O583&lt;&gt;""),IF(Programme_Grunddaten!O583="Deutschland",0,IF(Programme_Grunddaten!O583="EU",1,2)),"")</f>
        <v/>
      </c>
      <c r="I578" s="1" t="str">
        <f>IF(AND(Programme_Grunddaten!$A583="Geprüft",Programme_Grunddaten!P583&lt;&gt;""),IF(Programme_Grunddaten!P583="Ja",1,0),"")</f>
        <v/>
      </c>
      <c r="J578" s="1" t="str">
        <f>IF(AND(Programme_Grunddaten!$A583="Geprüft",Programme_Grunddaten!Q583&lt;&gt;""),IF(Programme_Grunddaten!Q583="geschlossenes System",1,0),"")</f>
        <v/>
      </c>
      <c r="K578" s="1" t="str">
        <f>IF(AND(Programme_Grunddaten!$A583="Geprüft",Programme_Grunddaten!R583&lt;&gt;""),IF(Programme_Grunddaten!R583="Ja",1,0),"")</f>
        <v/>
      </c>
      <c r="L578" s="1" t="str">
        <f>IF(AND(Programme_Grunddaten!$A583="Geprüft",Programme_Grunddaten!T583&lt;&gt;""),IF(Programme_Grunddaten!T583="Ja",1,0),"")</f>
        <v/>
      </c>
      <c r="M578" s="1" t="str">
        <f>IF(AND(Programme_Grunddaten!$A583="Geprüft",Programme_Grunddaten!U583&lt;&gt;""),IF(Programme_Grunddaten!U583="Ja",1,0),"")</f>
        <v/>
      </c>
      <c r="N578" s="1" t="str">
        <f>IF(AND(Programme_Grunddaten!$A583="Geprüft",Programme_Grunddaten!V583&lt;&gt;""),IF(Programme_Grunddaten!V583="Ja",1,0),"")</f>
        <v/>
      </c>
      <c r="O578" s="1" t="str">
        <f>IF(AND(Programme_Grunddaten!$A583="Geprüft",Programme_Grunddaten!W583&lt;&gt;""),IF(Programme_Grunddaten!W583="Ja",1,0),"")</f>
        <v/>
      </c>
      <c r="P578" s="1" t="str">
        <f>IF(AND(Programme_Grunddaten!$A583="Geprüft",Programme_Grunddaten!X583&lt;&gt;""),IF(Programme_Grunddaten!X583="Ja",1,0),"")</f>
        <v/>
      </c>
      <c r="Q578" s="1" t="str">
        <f>IF(AND(Programme_Grunddaten!$A583="Geprüft",Programme_Grunddaten!Y583&lt;&gt;""),IF(Programme_Grunddaten!Y583="Ja",1,0),"")</f>
        <v/>
      </c>
      <c r="R578" s="1" t="str">
        <f>IF(AND(Programme_Grunddaten!$A583="Geprüft",Programme_Grunddaten!Z583&lt;&gt;""),IF(Programme_Grunddaten!Z583="Ja",1,0),"")</f>
        <v/>
      </c>
      <c r="S578" s="1" t="str">
        <f>IF(AND(Programme_Grunddaten!$A583="Geprüft",Programme_Grunddaten!AA583&lt;&gt;""),IF(Programme_Grunddaten!AA583="monolithisch",1,0),"")</f>
        <v/>
      </c>
      <c r="T578" s="1" t="str">
        <f>IF(AND(Programme_Grunddaten!$A583="Geprüft",Programme_Grunddaten!AB583&lt;&gt;""),IF(Programme_Grunddaten!AB583="Ja",1,0),"")</f>
        <v/>
      </c>
      <c r="U578" s="1" t="str">
        <f>IF(AND(Programme_Grunddaten!$A583="Geprüft",Programme_Grunddaten!AC583&lt;&gt;""),IF(Programme_Grunddaten!AC583="Ja",1,0),"")</f>
        <v/>
      </c>
      <c r="V578" s="1" t="str">
        <f>IF(AND(Programme_Grunddaten!$A583="Geprüft",Programme_Grunddaten!AD583&lt;&gt;""),IF(Programme_Grunddaten!AD583="Ja",1,0),"")</f>
        <v/>
      </c>
      <c r="W578" s="1" t="str">
        <f>IF(AND(Programme_Grunddaten!$A583="Geprüft",Programme_Grunddaten!AE583&lt;&gt;""),IF(Programme_Grunddaten!AE583="Ja",1,0),"")</f>
        <v/>
      </c>
      <c r="X578" s="1" t="str">
        <f>IF(AND(Programme_Grunddaten!$A583="Geprüft",Programme_Grunddaten!AF583&lt;&gt;""),IF(Programme_Grunddaten!AF583="Ja",1,0),"")</f>
        <v/>
      </c>
      <c r="Y578" s="1" t="str">
        <f>IF(AND(Programme_Grunddaten!$A583="Geprüft",Programme_Grunddaten!AG583&lt;&gt;""),IF(Programme_Grunddaten!AG583="Ja",1,0),"")</f>
        <v/>
      </c>
      <c r="Z578" s="1" t="str">
        <f>IF(AND(Programme_Grunddaten!$A583="Geprüft",Programme_Grunddaten!AH583&lt;&gt;""),IF(Programme_Grunddaten!AH583="Ja",1,0),"")</f>
        <v/>
      </c>
      <c r="AA578" s="1" t="str">
        <f>IF(AND(Programme_Grunddaten!$A583="Geprüft",Programme_Grunddaten!AI583&lt;&gt;""),IF(Programme_Grunddaten!AI583="Ja",1,0),"")</f>
        <v/>
      </c>
      <c r="AB578" s="1" t="str">
        <f>IF(AND(Programme_Grunddaten!$A583="Geprüft",Programme_Grunddaten!AJ583&lt;&gt;""),IF(Programme_Grunddaten!AJ583="individuell programmierbar",1,0),"")</f>
        <v/>
      </c>
      <c r="AC578" s="1" t="str">
        <f>IF(AND(Programme_Grunddaten!$A583="Geprüft",Programme_Grunddaten!AK583&lt;&gt;""),IF(Programme_Grunddaten!AK583="Deutsch",0,IF(Programme_Grunddaten!AK583="Deutsch und Englisch",1,2)),"")</f>
        <v/>
      </c>
      <c r="AD578" s="1" t="str">
        <f>IF(AND(Programme_Grunddaten!$A583="Geprüft",Programme_Grunddaten!AL583&lt;&gt;""),IF(Programme_Grunddaten!AL583="Ja",1,0),"")</f>
        <v/>
      </c>
      <c r="AE578" s="1" t="str">
        <f>IF(AND(Programme_Grunddaten!$A583="Geprüft",Programme_Grunddaten!AM583&lt;&gt;""),IF(Programme_Grunddaten!AM583="Ja",1,0),"")</f>
        <v/>
      </c>
      <c r="AF578" s="1" t="str">
        <f>IF(AND(Programme_Grunddaten!$A583="Geprüft",Programme_Grunddaten!AN583&lt;&gt;""),IF(Programme_Grunddaten!AN583="Ja",1,0),"")</f>
        <v/>
      </c>
      <c r="AG578" s="1" t="str">
        <f>IF(AND(Programme_Grunddaten!$A583="Geprüft",Programme_Grunddaten!AO583&lt;&gt;""),IF(Programme_Grunddaten!AO583="Ja",1,0),"")</f>
        <v/>
      </c>
      <c r="AH578" s="1" t="str">
        <f>IF(AND(Programme_Grunddaten!$A583="Geprüft",Programme_Grunddaten!AP583&lt;&gt;""),IF(Programme_Grunddaten!AP583="Ja",1,0),"")</f>
        <v/>
      </c>
      <c r="AI578" s="1" t="str">
        <f>IF(AND(Programme_Grunddaten!$A583="Geprüft",Programme_Grunddaten!AQ583&lt;&gt;""),IF(Programme_Grunddaten!AQ583="Ja",1,0),"")</f>
        <v/>
      </c>
      <c r="AJ578" s="1" t="str">
        <f>IF(AND(Programme_Grunddaten!$A583="Geprüft",Programme_Grunddaten!AR583&lt;&gt;""),IF(Programme_Grunddaten!AR583="Ja",1,0),"")</f>
        <v/>
      </c>
      <c r="AK578" s="1" t="str">
        <f>IF(AND(Programme_Grunddaten!$A583="Geprüft",Programme_Grunddaten!AS583&lt;&gt;""),IF(Programme_Grunddaten!AS583="Ja",1,0),"")</f>
        <v/>
      </c>
      <c r="AL578" s="1" t="str">
        <f>IF(AND(Programme_Grunddaten!$A583="Geprüft",Programme_Grunddaten!AT583&lt;&gt;""),IF(Programme_Grunddaten!AT583="Ja",1,0),"")</f>
        <v/>
      </c>
      <c r="AM578" s="1" t="str">
        <f>IF(AND(Programme_Grunddaten!$A583="Geprüft",Programme_Grunddaten!AU583&lt;&gt;""),IF(Programme_Grunddaten!AU583="Ja",1,0),"")</f>
        <v/>
      </c>
      <c r="AN578" s="1" t="str">
        <f>IF(AND(Programme_Grunddaten!$A583="Geprüft",Programme_Grunddaten!AV583&lt;&gt;""),IF(Programme_Grunddaten!AV583="Ja",1,0),"")</f>
        <v/>
      </c>
    </row>
    <row r="579" spans="1:40" x14ac:dyDescent="0.3">
      <c r="A579" s="1" t="str">
        <f>IF(AND(Programme_Grunddaten!A584="Geprüft",Programme_Grunddaten!B584&lt;&gt;""),Programme_Grunddaten!B584,"")</f>
        <v/>
      </c>
      <c r="B579" s="1" t="str">
        <f>IF(AND(Programme_Grunddaten!$A584="Geprüft",Programme_Grunddaten!I584&lt;&gt;""),IF(Programme_Grunddaten!I584="Ja",1,0),"")</f>
        <v/>
      </c>
      <c r="C579" s="1" t="str">
        <f>IF(AND(Programme_Grunddaten!$A584="Geprüft",Programme_Grunddaten!J584&lt;&gt;""),IF(Programme_Grunddaten!J584="Ja",1,0),"")</f>
        <v/>
      </c>
      <c r="D579" s="1" t="str">
        <f>IF(AND(Programme_Grunddaten!$A584="Geprüft",Programme_Grunddaten!K584&lt;&gt;""),IF(Programme_Grunddaten!K584="Ja",1,0),"")</f>
        <v/>
      </c>
      <c r="E579" s="1" t="str">
        <f>IF(AND(Programme_Grunddaten!$A584="Geprüft",Programme_Grunddaten!L584&lt;&gt;""),IF(Programme_Grunddaten!L584="Abo / befristete Lizenz",1,0),"")</f>
        <v/>
      </c>
      <c r="F579" s="1" t="str">
        <f>IF(AND(Programme_Grunddaten!$A584="Geprüft",Programme_Grunddaten!M584&lt;&gt;""),IF(Programme_Grunddaten!M584="Ja",1,0),"")</f>
        <v/>
      </c>
      <c r="G579" s="1" t="str">
        <f>IF(AND(Programme_Grunddaten!$A584="Geprüft",Programme_Grunddaten!N584&lt;&gt;""),IF(Programme_Grunddaten!N584="Ja",1,0),"")</f>
        <v/>
      </c>
      <c r="H579" s="1" t="str">
        <f>IF(AND(Programme_Grunddaten!$A584="Geprüft",Programme_Grunddaten!O584&lt;&gt;""),IF(Programme_Grunddaten!O584="Deutschland",0,IF(Programme_Grunddaten!O584="EU",1,2)),"")</f>
        <v/>
      </c>
      <c r="I579" s="1" t="str">
        <f>IF(AND(Programme_Grunddaten!$A584="Geprüft",Programme_Grunddaten!P584&lt;&gt;""),IF(Programme_Grunddaten!P584="Ja",1,0),"")</f>
        <v/>
      </c>
      <c r="J579" s="1" t="str">
        <f>IF(AND(Programme_Grunddaten!$A584="Geprüft",Programme_Grunddaten!Q584&lt;&gt;""),IF(Programme_Grunddaten!Q584="geschlossenes System",1,0),"")</f>
        <v/>
      </c>
      <c r="K579" s="1" t="str">
        <f>IF(AND(Programme_Grunddaten!$A584="Geprüft",Programme_Grunddaten!R584&lt;&gt;""),IF(Programme_Grunddaten!R584="Ja",1,0),"")</f>
        <v/>
      </c>
      <c r="L579" s="1" t="str">
        <f>IF(AND(Programme_Grunddaten!$A584="Geprüft",Programme_Grunddaten!T584&lt;&gt;""),IF(Programme_Grunddaten!T584="Ja",1,0),"")</f>
        <v/>
      </c>
      <c r="M579" s="1" t="str">
        <f>IF(AND(Programme_Grunddaten!$A584="Geprüft",Programme_Grunddaten!U584&lt;&gt;""),IF(Programme_Grunddaten!U584="Ja",1,0),"")</f>
        <v/>
      </c>
      <c r="N579" s="1" t="str">
        <f>IF(AND(Programme_Grunddaten!$A584="Geprüft",Programme_Grunddaten!V584&lt;&gt;""),IF(Programme_Grunddaten!V584="Ja",1,0),"")</f>
        <v/>
      </c>
      <c r="O579" s="1" t="str">
        <f>IF(AND(Programme_Grunddaten!$A584="Geprüft",Programme_Grunddaten!W584&lt;&gt;""),IF(Programme_Grunddaten!W584="Ja",1,0),"")</f>
        <v/>
      </c>
      <c r="P579" s="1" t="str">
        <f>IF(AND(Programme_Grunddaten!$A584="Geprüft",Programme_Grunddaten!X584&lt;&gt;""),IF(Programme_Grunddaten!X584="Ja",1,0),"")</f>
        <v/>
      </c>
      <c r="Q579" s="1" t="str">
        <f>IF(AND(Programme_Grunddaten!$A584="Geprüft",Programme_Grunddaten!Y584&lt;&gt;""),IF(Programme_Grunddaten!Y584="Ja",1,0),"")</f>
        <v/>
      </c>
      <c r="R579" s="1" t="str">
        <f>IF(AND(Programme_Grunddaten!$A584="Geprüft",Programme_Grunddaten!Z584&lt;&gt;""),IF(Programme_Grunddaten!Z584="Ja",1,0),"")</f>
        <v/>
      </c>
      <c r="S579" s="1" t="str">
        <f>IF(AND(Programme_Grunddaten!$A584="Geprüft",Programme_Grunddaten!AA584&lt;&gt;""),IF(Programme_Grunddaten!AA584="monolithisch",1,0),"")</f>
        <v/>
      </c>
      <c r="T579" s="1" t="str">
        <f>IF(AND(Programme_Grunddaten!$A584="Geprüft",Programme_Grunddaten!AB584&lt;&gt;""),IF(Programme_Grunddaten!AB584="Ja",1,0),"")</f>
        <v/>
      </c>
      <c r="U579" s="1" t="str">
        <f>IF(AND(Programme_Grunddaten!$A584="Geprüft",Programme_Grunddaten!AC584&lt;&gt;""),IF(Programme_Grunddaten!AC584="Ja",1,0),"")</f>
        <v/>
      </c>
      <c r="V579" s="1" t="str">
        <f>IF(AND(Programme_Grunddaten!$A584="Geprüft",Programme_Grunddaten!AD584&lt;&gt;""),IF(Programme_Grunddaten!AD584="Ja",1,0),"")</f>
        <v/>
      </c>
      <c r="W579" s="1" t="str">
        <f>IF(AND(Programme_Grunddaten!$A584="Geprüft",Programme_Grunddaten!AE584&lt;&gt;""),IF(Programme_Grunddaten!AE584="Ja",1,0),"")</f>
        <v/>
      </c>
      <c r="X579" s="1" t="str">
        <f>IF(AND(Programme_Grunddaten!$A584="Geprüft",Programme_Grunddaten!AF584&lt;&gt;""),IF(Programme_Grunddaten!AF584="Ja",1,0),"")</f>
        <v/>
      </c>
      <c r="Y579" s="1" t="str">
        <f>IF(AND(Programme_Grunddaten!$A584="Geprüft",Programme_Grunddaten!AG584&lt;&gt;""),IF(Programme_Grunddaten!AG584="Ja",1,0),"")</f>
        <v/>
      </c>
      <c r="Z579" s="1" t="str">
        <f>IF(AND(Programme_Grunddaten!$A584="Geprüft",Programme_Grunddaten!AH584&lt;&gt;""),IF(Programme_Grunddaten!AH584="Ja",1,0),"")</f>
        <v/>
      </c>
      <c r="AA579" s="1" t="str">
        <f>IF(AND(Programme_Grunddaten!$A584="Geprüft",Programme_Grunddaten!AI584&lt;&gt;""),IF(Programme_Grunddaten!AI584="Ja",1,0),"")</f>
        <v/>
      </c>
      <c r="AB579" s="1" t="str">
        <f>IF(AND(Programme_Grunddaten!$A584="Geprüft",Programme_Grunddaten!AJ584&lt;&gt;""),IF(Programme_Grunddaten!AJ584="individuell programmierbar",1,0),"")</f>
        <v/>
      </c>
      <c r="AC579" s="1" t="str">
        <f>IF(AND(Programme_Grunddaten!$A584="Geprüft",Programme_Grunddaten!AK584&lt;&gt;""),IF(Programme_Grunddaten!AK584="Deutsch",0,IF(Programme_Grunddaten!AK584="Deutsch und Englisch",1,2)),"")</f>
        <v/>
      </c>
      <c r="AD579" s="1" t="str">
        <f>IF(AND(Programme_Grunddaten!$A584="Geprüft",Programme_Grunddaten!AL584&lt;&gt;""),IF(Programme_Grunddaten!AL584="Ja",1,0),"")</f>
        <v/>
      </c>
      <c r="AE579" s="1" t="str">
        <f>IF(AND(Programme_Grunddaten!$A584="Geprüft",Programme_Grunddaten!AM584&lt;&gt;""),IF(Programme_Grunddaten!AM584="Ja",1,0),"")</f>
        <v/>
      </c>
      <c r="AF579" s="1" t="str">
        <f>IF(AND(Programme_Grunddaten!$A584="Geprüft",Programme_Grunddaten!AN584&lt;&gt;""),IF(Programme_Grunddaten!AN584="Ja",1,0),"")</f>
        <v/>
      </c>
      <c r="AG579" s="1" t="str">
        <f>IF(AND(Programme_Grunddaten!$A584="Geprüft",Programme_Grunddaten!AO584&lt;&gt;""),IF(Programme_Grunddaten!AO584="Ja",1,0),"")</f>
        <v/>
      </c>
      <c r="AH579" s="1" t="str">
        <f>IF(AND(Programme_Grunddaten!$A584="Geprüft",Programme_Grunddaten!AP584&lt;&gt;""),IF(Programme_Grunddaten!AP584="Ja",1,0),"")</f>
        <v/>
      </c>
      <c r="AI579" s="1" t="str">
        <f>IF(AND(Programme_Grunddaten!$A584="Geprüft",Programme_Grunddaten!AQ584&lt;&gt;""),IF(Programme_Grunddaten!AQ584="Ja",1,0),"")</f>
        <v/>
      </c>
      <c r="AJ579" s="1" t="str">
        <f>IF(AND(Programme_Grunddaten!$A584="Geprüft",Programme_Grunddaten!AR584&lt;&gt;""),IF(Programme_Grunddaten!AR584="Ja",1,0),"")</f>
        <v/>
      </c>
      <c r="AK579" s="1" t="str">
        <f>IF(AND(Programme_Grunddaten!$A584="Geprüft",Programme_Grunddaten!AS584&lt;&gt;""),IF(Programme_Grunddaten!AS584="Ja",1,0),"")</f>
        <v/>
      </c>
      <c r="AL579" s="1" t="str">
        <f>IF(AND(Programme_Grunddaten!$A584="Geprüft",Programme_Grunddaten!AT584&lt;&gt;""),IF(Programme_Grunddaten!AT584="Ja",1,0),"")</f>
        <v/>
      </c>
      <c r="AM579" s="1" t="str">
        <f>IF(AND(Programme_Grunddaten!$A584="Geprüft",Programme_Grunddaten!AU584&lt;&gt;""),IF(Programme_Grunddaten!AU584="Ja",1,0),"")</f>
        <v/>
      </c>
      <c r="AN579" s="1" t="str">
        <f>IF(AND(Programme_Grunddaten!$A584="Geprüft",Programme_Grunddaten!AV584&lt;&gt;""),IF(Programme_Grunddaten!AV584="Ja",1,0),"")</f>
        <v/>
      </c>
    </row>
    <row r="580" spans="1:40" x14ac:dyDescent="0.3">
      <c r="A580" s="1" t="str">
        <f>IF(AND(Programme_Grunddaten!A585="Geprüft",Programme_Grunddaten!B585&lt;&gt;""),Programme_Grunddaten!B585,"")</f>
        <v/>
      </c>
      <c r="B580" s="1" t="str">
        <f>IF(AND(Programme_Grunddaten!$A585="Geprüft",Programme_Grunddaten!I585&lt;&gt;""),IF(Programme_Grunddaten!I585="Ja",1,0),"")</f>
        <v/>
      </c>
      <c r="C580" s="1" t="str">
        <f>IF(AND(Programme_Grunddaten!$A585="Geprüft",Programme_Grunddaten!J585&lt;&gt;""),IF(Programme_Grunddaten!J585="Ja",1,0),"")</f>
        <v/>
      </c>
      <c r="D580" s="1" t="str">
        <f>IF(AND(Programme_Grunddaten!$A585="Geprüft",Programme_Grunddaten!K585&lt;&gt;""),IF(Programme_Grunddaten!K585="Ja",1,0),"")</f>
        <v/>
      </c>
      <c r="E580" s="1" t="str">
        <f>IF(AND(Programme_Grunddaten!$A585="Geprüft",Programme_Grunddaten!L585&lt;&gt;""),IF(Programme_Grunddaten!L585="Abo / befristete Lizenz",1,0),"")</f>
        <v/>
      </c>
      <c r="F580" s="1" t="str">
        <f>IF(AND(Programme_Grunddaten!$A585="Geprüft",Programme_Grunddaten!M585&lt;&gt;""),IF(Programme_Grunddaten!M585="Ja",1,0),"")</f>
        <v/>
      </c>
      <c r="G580" s="1" t="str">
        <f>IF(AND(Programme_Grunddaten!$A585="Geprüft",Programme_Grunddaten!N585&lt;&gt;""),IF(Programme_Grunddaten!N585="Ja",1,0),"")</f>
        <v/>
      </c>
      <c r="H580" s="1" t="str">
        <f>IF(AND(Programme_Grunddaten!$A585="Geprüft",Programme_Grunddaten!O585&lt;&gt;""),IF(Programme_Grunddaten!O585="Deutschland",0,IF(Programme_Grunddaten!O585="EU",1,2)),"")</f>
        <v/>
      </c>
      <c r="I580" s="1" t="str">
        <f>IF(AND(Programme_Grunddaten!$A585="Geprüft",Programme_Grunddaten!P585&lt;&gt;""),IF(Programme_Grunddaten!P585="Ja",1,0),"")</f>
        <v/>
      </c>
      <c r="J580" s="1" t="str">
        <f>IF(AND(Programme_Grunddaten!$A585="Geprüft",Programme_Grunddaten!Q585&lt;&gt;""),IF(Programme_Grunddaten!Q585="geschlossenes System",1,0),"")</f>
        <v/>
      </c>
      <c r="K580" s="1" t="str">
        <f>IF(AND(Programme_Grunddaten!$A585="Geprüft",Programme_Grunddaten!R585&lt;&gt;""),IF(Programme_Grunddaten!R585="Ja",1,0),"")</f>
        <v/>
      </c>
      <c r="L580" s="1" t="str">
        <f>IF(AND(Programme_Grunddaten!$A585="Geprüft",Programme_Grunddaten!T585&lt;&gt;""),IF(Programme_Grunddaten!T585="Ja",1,0),"")</f>
        <v/>
      </c>
      <c r="M580" s="1" t="str">
        <f>IF(AND(Programme_Grunddaten!$A585="Geprüft",Programme_Grunddaten!U585&lt;&gt;""),IF(Programme_Grunddaten!U585="Ja",1,0),"")</f>
        <v/>
      </c>
      <c r="N580" s="1" t="str">
        <f>IF(AND(Programme_Grunddaten!$A585="Geprüft",Programme_Grunddaten!V585&lt;&gt;""),IF(Programme_Grunddaten!V585="Ja",1,0),"")</f>
        <v/>
      </c>
      <c r="O580" s="1" t="str">
        <f>IF(AND(Programme_Grunddaten!$A585="Geprüft",Programme_Grunddaten!W585&lt;&gt;""),IF(Programme_Grunddaten!W585="Ja",1,0),"")</f>
        <v/>
      </c>
      <c r="P580" s="1" t="str">
        <f>IF(AND(Programme_Grunddaten!$A585="Geprüft",Programme_Grunddaten!X585&lt;&gt;""),IF(Programme_Grunddaten!X585="Ja",1,0),"")</f>
        <v/>
      </c>
      <c r="Q580" s="1" t="str">
        <f>IF(AND(Programme_Grunddaten!$A585="Geprüft",Programme_Grunddaten!Y585&lt;&gt;""),IF(Programme_Grunddaten!Y585="Ja",1,0),"")</f>
        <v/>
      </c>
      <c r="R580" s="1" t="str">
        <f>IF(AND(Programme_Grunddaten!$A585="Geprüft",Programme_Grunddaten!Z585&lt;&gt;""),IF(Programme_Grunddaten!Z585="Ja",1,0),"")</f>
        <v/>
      </c>
      <c r="S580" s="1" t="str">
        <f>IF(AND(Programme_Grunddaten!$A585="Geprüft",Programme_Grunddaten!AA585&lt;&gt;""),IF(Programme_Grunddaten!AA585="monolithisch",1,0),"")</f>
        <v/>
      </c>
      <c r="T580" s="1" t="str">
        <f>IF(AND(Programme_Grunddaten!$A585="Geprüft",Programme_Grunddaten!AB585&lt;&gt;""),IF(Programme_Grunddaten!AB585="Ja",1,0),"")</f>
        <v/>
      </c>
      <c r="U580" s="1" t="str">
        <f>IF(AND(Programme_Grunddaten!$A585="Geprüft",Programme_Grunddaten!AC585&lt;&gt;""),IF(Programme_Grunddaten!AC585="Ja",1,0),"")</f>
        <v/>
      </c>
      <c r="V580" s="1" t="str">
        <f>IF(AND(Programme_Grunddaten!$A585="Geprüft",Programme_Grunddaten!AD585&lt;&gt;""),IF(Programme_Grunddaten!AD585="Ja",1,0),"")</f>
        <v/>
      </c>
      <c r="W580" s="1" t="str">
        <f>IF(AND(Programme_Grunddaten!$A585="Geprüft",Programme_Grunddaten!AE585&lt;&gt;""),IF(Programme_Grunddaten!AE585="Ja",1,0),"")</f>
        <v/>
      </c>
      <c r="X580" s="1" t="str">
        <f>IF(AND(Programme_Grunddaten!$A585="Geprüft",Programme_Grunddaten!AF585&lt;&gt;""),IF(Programme_Grunddaten!AF585="Ja",1,0),"")</f>
        <v/>
      </c>
      <c r="Y580" s="1" t="str">
        <f>IF(AND(Programme_Grunddaten!$A585="Geprüft",Programme_Grunddaten!AG585&lt;&gt;""),IF(Programme_Grunddaten!AG585="Ja",1,0),"")</f>
        <v/>
      </c>
      <c r="Z580" s="1" t="str">
        <f>IF(AND(Programme_Grunddaten!$A585="Geprüft",Programme_Grunddaten!AH585&lt;&gt;""),IF(Programme_Grunddaten!AH585="Ja",1,0),"")</f>
        <v/>
      </c>
      <c r="AA580" s="1" t="str">
        <f>IF(AND(Programme_Grunddaten!$A585="Geprüft",Programme_Grunddaten!AI585&lt;&gt;""),IF(Programme_Grunddaten!AI585="Ja",1,0),"")</f>
        <v/>
      </c>
      <c r="AB580" s="1" t="str">
        <f>IF(AND(Programme_Grunddaten!$A585="Geprüft",Programme_Grunddaten!AJ585&lt;&gt;""),IF(Programme_Grunddaten!AJ585="individuell programmierbar",1,0),"")</f>
        <v/>
      </c>
      <c r="AC580" s="1" t="str">
        <f>IF(AND(Programme_Grunddaten!$A585="Geprüft",Programme_Grunddaten!AK585&lt;&gt;""),IF(Programme_Grunddaten!AK585="Deutsch",0,IF(Programme_Grunddaten!AK585="Deutsch und Englisch",1,2)),"")</f>
        <v/>
      </c>
      <c r="AD580" s="1" t="str">
        <f>IF(AND(Programme_Grunddaten!$A585="Geprüft",Programme_Grunddaten!AL585&lt;&gt;""),IF(Programme_Grunddaten!AL585="Ja",1,0),"")</f>
        <v/>
      </c>
      <c r="AE580" s="1" t="str">
        <f>IF(AND(Programme_Grunddaten!$A585="Geprüft",Programme_Grunddaten!AM585&lt;&gt;""),IF(Programme_Grunddaten!AM585="Ja",1,0),"")</f>
        <v/>
      </c>
      <c r="AF580" s="1" t="str">
        <f>IF(AND(Programme_Grunddaten!$A585="Geprüft",Programme_Grunddaten!AN585&lt;&gt;""),IF(Programme_Grunddaten!AN585="Ja",1,0),"")</f>
        <v/>
      </c>
      <c r="AG580" s="1" t="str">
        <f>IF(AND(Programme_Grunddaten!$A585="Geprüft",Programme_Grunddaten!AO585&lt;&gt;""),IF(Programme_Grunddaten!AO585="Ja",1,0),"")</f>
        <v/>
      </c>
      <c r="AH580" s="1" t="str">
        <f>IF(AND(Programme_Grunddaten!$A585="Geprüft",Programme_Grunddaten!AP585&lt;&gt;""),IF(Programme_Grunddaten!AP585="Ja",1,0),"")</f>
        <v/>
      </c>
      <c r="AI580" s="1" t="str">
        <f>IF(AND(Programme_Grunddaten!$A585="Geprüft",Programme_Grunddaten!AQ585&lt;&gt;""),IF(Programme_Grunddaten!AQ585="Ja",1,0),"")</f>
        <v/>
      </c>
      <c r="AJ580" s="1" t="str">
        <f>IF(AND(Programme_Grunddaten!$A585="Geprüft",Programme_Grunddaten!AR585&lt;&gt;""),IF(Programme_Grunddaten!AR585="Ja",1,0),"")</f>
        <v/>
      </c>
      <c r="AK580" s="1" t="str">
        <f>IF(AND(Programme_Grunddaten!$A585="Geprüft",Programme_Grunddaten!AS585&lt;&gt;""),IF(Programme_Grunddaten!AS585="Ja",1,0),"")</f>
        <v/>
      </c>
      <c r="AL580" s="1" t="str">
        <f>IF(AND(Programme_Grunddaten!$A585="Geprüft",Programme_Grunddaten!AT585&lt;&gt;""),IF(Programme_Grunddaten!AT585="Ja",1,0),"")</f>
        <v/>
      </c>
      <c r="AM580" s="1" t="str">
        <f>IF(AND(Programme_Grunddaten!$A585="Geprüft",Programme_Grunddaten!AU585&lt;&gt;""),IF(Programme_Grunddaten!AU585="Ja",1,0),"")</f>
        <v/>
      </c>
      <c r="AN580" s="1" t="str">
        <f>IF(AND(Programme_Grunddaten!$A585="Geprüft",Programme_Grunddaten!AV585&lt;&gt;""),IF(Programme_Grunddaten!AV585="Ja",1,0),"")</f>
        <v/>
      </c>
    </row>
    <row r="581" spans="1:40" x14ac:dyDescent="0.3">
      <c r="A581" s="1" t="str">
        <f>IF(AND(Programme_Grunddaten!A586="Geprüft",Programme_Grunddaten!B586&lt;&gt;""),Programme_Grunddaten!B586,"")</f>
        <v/>
      </c>
      <c r="B581" s="1" t="str">
        <f>IF(AND(Programme_Grunddaten!$A586="Geprüft",Programme_Grunddaten!I586&lt;&gt;""),IF(Programme_Grunddaten!I586="Ja",1,0),"")</f>
        <v/>
      </c>
      <c r="C581" s="1" t="str">
        <f>IF(AND(Programme_Grunddaten!$A586="Geprüft",Programme_Grunddaten!J586&lt;&gt;""),IF(Programme_Grunddaten!J586="Ja",1,0),"")</f>
        <v/>
      </c>
      <c r="D581" s="1" t="str">
        <f>IF(AND(Programme_Grunddaten!$A586="Geprüft",Programme_Grunddaten!K586&lt;&gt;""),IF(Programme_Grunddaten!K586="Ja",1,0),"")</f>
        <v/>
      </c>
      <c r="E581" s="1" t="str">
        <f>IF(AND(Programme_Grunddaten!$A586="Geprüft",Programme_Grunddaten!L586&lt;&gt;""),IF(Programme_Grunddaten!L586="Abo / befristete Lizenz",1,0),"")</f>
        <v/>
      </c>
      <c r="F581" s="1" t="str">
        <f>IF(AND(Programme_Grunddaten!$A586="Geprüft",Programme_Grunddaten!M586&lt;&gt;""),IF(Programme_Grunddaten!M586="Ja",1,0),"")</f>
        <v/>
      </c>
      <c r="G581" s="1" t="str">
        <f>IF(AND(Programme_Grunddaten!$A586="Geprüft",Programme_Grunddaten!N586&lt;&gt;""),IF(Programme_Grunddaten!N586="Ja",1,0),"")</f>
        <v/>
      </c>
      <c r="H581" s="1" t="str">
        <f>IF(AND(Programme_Grunddaten!$A586="Geprüft",Programme_Grunddaten!O586&lt;&gt;""),IF(Programme_Grunddaten!O586="Deutschland",0,IF(Programme_Grunddaten!O586="EU",1,2)),"")</f>
        <v/>
      </c>
      <c r="I581" s="1" t="str">
        <f>IF(AND(Programme_Grunddaten!$A586="Geprüft",Programme_Grunddaten!P586&lt;&gt;""),IF(Programme_Grunddaten!P586="Ja",1,0),"")</f>
        <v/>
      </c>
      <c r="J581" s="1" t="str">
        <f>IF(AND(Programme_Grunddaten!$A586="Geprüft",Programme_Grunddaten!Q586&lt;&gt;""),IF(Programme_Grunddaten!Q586="geschlossenes System",1,0),"")</f>
        <v/>
      </c>
      <c r="K581" s="1" t="str">
        <f>IF(AND(Programme_Grunddaten!$A586="Geprüft",Programme_Grunddaten!R586&lt;&gt;""),IF(Programme_Grunddaten!R586="Ja",1,0),"")</f>
        <v/>
      </c>
      <c r="L581" s="1" t="str">
        <f>IF(AND(Programme_Grunddaten!$A586="Geprüft",Programme_Grunddaten!T586&lt;&gt;""),IF(Programme_Grunddaten!T586="Ja",1,0),"")</f>
        <v/>
      </c>
      <c r="M581" s="1" t="str">
        <f>IF(AND(Programme_Grunddaten!$A586="Geprüft",Programme_Grunddaten!U586&lt;&gt;""),IF(Programme_Grunddaten!U586="Ja",1,0),"")</f>
        <v/>
      </c>
      <c r="N581" s="1" t="str">
        <f>IF(AND(Programme_Grunddaten!$A586="Geprüft",Programme_Grunddaten!V586&lt;&gt;""),IF(Programme_Grunddaten!V586="Ja",1,0),"")</f>
        <v/>
      </c>
      <c r="O581" s="1" t="str">
        <f>IF(AND(Programme_Grunddaten!$A586="Geprüft",Programme_Grunddaten!W586&lt;&gt;""),IF(Programme_Grunddaten!W586="Ja",1,0),"")</f>
        <v/>
      </c>
      <c r="P581" s="1" t="str">
        <f>IF(AND(Programme_Grunddaten!$A586="Geprüft",Programme_Grunddaten!X586&lt;&gt;""),IF(Programme_Grunddaten!X586="Ja",1,0),"")</f>
        <v/>
      </c>
      <c r="Q581" s="1" t="str">
        <f>IF(AND(Programme_Grunddaten!$A586="Geprüft",Programme_Grunddaten!Y586&lt;&gt;""),IF(Programme_Grunddaten!Y586="Ja",1,0),"")</f>
        <v/>
      </c>
      <c r="R581" s="1" t="str">
        <f>IF(AND(Programme_Grunddaten!$A586="Geprüft",Programme_Grunddaten!Z586&lt;&gt;""),IF(Programme_Grunddaten!Z586="Ja",1,0),"")</f>
        <v/>
      </c>
      <c r="S581" s="1" t="str">
        <f>IF(AND(Programme_Grunddaten!$A586="Geprüft",Programme_Grunddaten!AA586&lt;&gt;""),IF(Programme_Grunddaten!AA586="monolithisch",1,0),"")</f>
        <v/>
      </c>
      <c r="T581" s="1" t="str">
        <f>IF(AND(Programme_Grunddaten!$A586="Geprüft",Programme_Grunddaten!AB586&lt;&gt;""),IF(Programme_Grunddaten!AB586="Ja",1,0),"")</f>
        <v/>
      </c>
      <c r="U581" s="1" t="str">
        <f>IF(AND(Programme_Grunddaten!$A586="Geprüft",Programme_Grunddaten!AC586&lt;&gt;""),IF(Programme_Grunddaten!AC586="Ja",1,0),"")</f>
        <v/>
      </c>
      <c r="V581" s="1" t="str">
        <f>IF(AND(Programme_Grunddaten!$A586="Geprüft",Programme_Grunddaten!AD586&lt;&gt;""),IF(Programme_Grunddaten!AD586="Ja",1,0),"")</f>
        <v/>
      </c>
      <c r="W581" s="1" t="str">
        <f>IF(AND(Programme_Grunddaten!$A586="Geprüft",Programme_Grunddaten!AE586&lt;&gt;""),IF(Programme_Grunddaten!AE586="Ja",1,0),"")</f>
        <v/>
      </c>
      <c r="X581" s="1" t="str">
        <f>IF(AND(Programme_Grunddaten!$A586="Geprüft",Programme_Grunddaten!AF586&lt;&gt;""),IF(Programme_Grunddaten!AF586="Ja",1,0),"")</f>
        <v/>
      </c>
      <c r="Y581" s="1" t="str">
        <f>IF(AND(Programme_Grunddaten!$A586="Geprüft",Programme_Grunddaten!AG586&lt;&gt;""),IF(Programme_Grunddaten!AG586="Ja",1,0),"")</f>
        <v/>
      </c>
      <c r="Z581" s="1" t="str">
        <f>IF(AND(Programme_Grunddaten!$A586="Geprüft",Programme_Grunddaten!AH586&lt;&gt;""),IF(Programme_Grunddaten!AH586="Ja",1,0),"")</f>
        <v/>
      </c>
      <c r="AA581" s="1" t="str">
        <f>IF(AND(Programme_Grunddaten!$A586="Geprüft",Programme_Grunddaten!AI586&lt;&gt;""),IF(Programme_Grunddaten!AI586="Ja",1,0),"")</f>
        <v/>
      </c>
      <c r="AB581" s="1" t="str">
        <f>IF(AND(Programme_Grunddaten!$A586="Geprüft",Programme_Grunddaten!AJ586&lt;&gt;""),IF(Programme_Grunddaten!AJ586="individuell programmierbar",1,0),"")</f>
        <v/>
      </c>
      <c r="AC581" s="1" t="str">
        <f>IF(AND(Programme_Grunddaten!$A586="Geprüft",Programme_Grunddaten!AK586&lt;&gt;""),IF(Programme_Grunddaten!AK586="Deutsch",0,IF(Programme_Grunddaten!AK586="Deutsch und Englisch",1,2)),"")</f>
        <v/>
      </c>
      <c r="AD581" s="1" t="str">
        <f>IF(AND(Programme_Grunddaten!$A586="Geprüft",Programme_Grunddaten!AL586&lt;&gt;""),IF(Programme_Grunddaten!AL586="Ja",1,0),"")</f>
        <v/>
      </c>
      <c r="AE581" s="1" t="str">
        <f>IF(AND(Programme_Grunddaten!$A586="Geprüft",Programme_Grunddaten!AM586&lt;&gt;""),IF(Programme_Grunddaten!AM586="Ja",1,0),"")</f>
        <v/>
      </c>
      <c r="AF581" s="1" t="str">
        <f>IF(AND(Programme_Grunddaten!$A586="Geprüft",Programme_Grunddaten!AN586&lt;&gt;""),IF(Programme_Grunddaten!AN586="Ja",1,0),"")</f>
        <v/>
      </c>
      <c r="AG581" s="1" t="str">
        <f>IF(AND(Programme_Grunddaten!$A586="Geprüft",Programme_Grunddaten!AO586&lt;&gt;""),IF(Programme_Grunddaten!AO586="Ja",1,0),"")</f>
        <v/>
      </c>
      <c r="AH581" s="1" t="str">
        <f>IF(AND(Programme_Grunddaten!$A586="Geprüft",Programme_Grunddaten!AP586&lt;&gt;""),IF(Programme_Grunddaten!AP586="Ja",1,0),"")</f>
        <v/>
      </c>
      <c r="AI581" s="1" t="str">
        <f>IF(AND(Programme_Grunddaten!$A586="Geprüft",Programme_Grunddaten!AQ586&lt;&gt;""),IF(Programme_Grunddaten!AQ586="Ja",1,0),"")</f>
        <v/>
      </c>
      <c r="AJ581" s="1" t="str">
        <f>IF(AND(Programme_Grunddaten!$A586="Geprüft",Programme_Grunddaten!AR586&lt;&gt;""),IF(Programme_Grunddaten!AR586="Ja",1,0),"")</f>
        <v/>
      </c>
      <c r="AK581" s="1" t="str">
        <f>IF(AND(Programme_Grunddaten!$A586="Geprüft",Programme_Grunddaten!AS586&lt;&gt;""),IF(Programme_Grunddaten!AS586="Ja",1,0),"")</f>
        <v/>
      </c>
      <c r="AL581" s="1" t="str">
        <f>IF(AND(Programme_Grunddaten!$A586="Geprüft",Programme_Grunddaten!AT586&lt;&gt;""),IF(Programme_Grunddaten!AT586="Ja",1,0),"")</f>
        <v/>
      </c>
      <c r="AM581" s="1" t="str">
        <f>IF(AND(Programme_Grunddaten!$A586="Geprüft",Programme_Grunddaten!AU586&lt;&gt;""),IF(Programme_Grunddaten!AU586="Ja",1,0),"")</f>
        <v/>
      </c>
      <c r="AN581" s="1" t="str">
        <f>IF(AND(Programme_Grunddaten!$A586="Geprüft",Programme_Grunddaten!AV586&lt;&gt;""),IF(Programme_Grunddaten!AV586="Ja",1,0),"")</f>
        <v/>
      </c>
    </row>
    <row r="582" spans="1:40" x14ac:dyDescent="0.3">
      <c r="A582" s="1" t="str">
        <f>IF(AND(Programme_Grunddaten!A587="Geprüft",Programme_Grunddaten!B587&lt;&gt;""),Programme_Grunddaten!B587,"")</f>
        <v/>
      </c>
      <c r="B582" s="1" t="str">
        <f>IF(AND(Programme_Grunddaten!$A587="Geprüft",Programme_Grunddaten!I587&lt;&gt;""),IF(Programme_Grunddaten!I587="Ja",1,0),"")</f>
        <v/>
      </c>
      <c r="C582" s="1" t="str">
        <f>IF(AND(Programme_Grunddaten!$A587="Geprüft",Programme_Grunddaten!J587&lt;&gt;""),IF(Programme_Grunddaten!J587="Ja",1,0),"")</f>
        <v/>
      </c>
      <c r="D582" s="1" t="str">
        <f>IF(AND(Programme_Grunddaten!$A587="Geprüft",Programme_Grunddaten!K587&lt;&gt;""),IF(Programme_Grunddaten!K587="Ja",1,0),"")</f>
        <v/>
      </c>
      <c r="E582" s="1" t="str">
        <f>IF(AND(Programme_Grunddaten!$A587="Geprüft",Programme_Grunddaten!L587&lt;&gt;""),IF(Programme_Grunddaten!L587="Abo / befristete Lizenz",1,0),"")</f>
        <v/>
      </c>
      <c r="F582" s="1" t="str">
        <f>IF(AND(Programme_Grunddaten!$A587="Geprüft",Programme_Grunddaten!M587&lt;&gt;""),IF(Programme_Grunddaten!M587="Ja",1,0),"")</f>
        <v/>
      </c>
      <c r="G582" s="1" t="str">
        <f>IF(AND(Programme_Grunddaten!$A587="Geprüft",Programme_Grunddaten!N587&lt;&gt;""),IF(Programme_Grunddaten!N587="Ja",1,0),"")</f>
        <v/>
      </c>
      <c r="H582" s="1" t="str">
        <f>IF(AND(Programme_Grunddaten!$A587="Geprüft",Programme_Grunddaten!O587&lt;&gt;""),IF(Programme_Grunddaten!O587="Deutschland",0,IF(Programme_Grunddaten!O587="EU",1,2)),"")</f>
        <v/>
      </c>
      <c r="I582" s="1" t="str">
        <f>IF(AND(Programme_Grunddaten!$A587="Geprüft",Programme_Grunddaten!P587&lt;&gt;""),IF(Programme_Grunddaten!P587="Ja",1,0),"")</f>
        <v/>
      </c>
      <c r="J582" s="1" t="str">
        <f>IF(AND(Programme_Grunddaten!$A587="Geprüft",Programme_Grunddaten!Q587&lt;&gt;""),IF(Programme_Grunddaten!Q587="geschlossenes System",1,0),"")</f>
        <v/>
      </c>
      <c r="K582" s="1" t="str">
        <f>IF(AND(Programme_Grunddaten!$A587="Geprüft",Programme_Grunddaten!R587&lt;&gt;""),IF(Programme_Grunddaten!R587="Ja",1,0),"")</f>
        <v/>
      </c>
      <c r="L582" s="1" t="str">
        <f>IF(AND(Programme_Grunddaten!$A587="Geprüft",Programme_Grunddaten!T587&lt;&gt;""),IF(Programme_Grunddaten!T587="Ja",1,0),"")</f>
        <v/>
      </c>
      <c r="M582" s="1" t="str">
        <f>IF(AND(Programme_Grunddaten!$A587="Geprüft",Programme_Grunddaten!U587&lt;&gt;""),IF(Programme_Grunddaten!U587="Ja",1,0),"")</f>
        <v/>
      </c>
      <c r="N582" s="1" t="str">
        <f>IF(AND(Programme_Grunddaten!$A587="Geprüft",Programme_Grunddaten!V587&lt;&gt;""),IF(Programme_Grunddaten!V587="Ja",1,0),"")</f>
        <v/>
      </c>
      <c r="O582" s="1" t="str">
        <f>IF(AND(Programme_Grunddaten!$A587="Geprüft",Programme_Grunddaten!W587&lt;&gt;""),IF(Programme_Grunddaten!W587="Ja",1,0),"")</f>
        <v/>
      </c>
      <c r="P582" s="1" t="str">
        <f>IF(AND(Programme_Grunddaten!$A587="Geprüft",Programme_Grunddaten!X587&lt;&gt;""),IF(Programme_Grunddaten!X587="Ja",1,0),"")</f>
        <v/>
      </c>
      <c r="Q582" s="1" t="str">
        <f>IF(AND(Programme_Grunddaten!$A587="Geprüft",Programme_Grunddaten!Y587&lt;&gt;""),IF(Programme_Grunddaten!Y587="Ja",1,0),"")</f>
        <v/>
      </c>
      <c r="R582" s="1" t="str">
        <f>IF(AND(Programme_Grunddaten!$A587="Geprüft",Programme_Grunddaten!Z587&lt;&gt;""),IF(Programme_Grunddaten!Z587="Ja",1,0),"")</f>
        <v/>
      </c>
      <c r="S582" s="1" t="str">
        <f>IF(AND(Programme_Grunddaten!$A587="Geprüft",Programme_Grunddaten!AA587&lt;&gt;""),IF(Programme_Grunddaten!AA587="monolithisch",1,0),"")</f>
        <v/>
      </c>
      <c r="T582" s="1" t="str">
        <f>IF(AND(Programme_Grunddaten!$A587="Geprüft",Programme_Grunddaten!AB587&lt;&gt;""),IF(Programme_Grunddaten!AB587="Ja",1,0),"")</f>
        <v/>
      </c>
      <c r="U582" s="1" t="str">
        <f>IF(AND(Programme_Grunddaten!$A587="Geprüft",Programme_Grunddaten!AC587&lt;&gt;""),IF(Programme_Grunddaten!AC587="Ja",1,0),"")</f>
        <v/>
      </c>
      <c r="V582" s="1" t="str">
        <f>IF(AND(Programme_Grunddaten!$A587="Geprüft",Programme_Grunddaten!AD587&lt;&gt;""),IF(Programme_Grunddaten!AD587="Ja",1,0),"")</f>
        <v/>
      </c>
      <c r="W582" s="1" t="str">
        <f>IF(AND(Programme_Grunddaten!$A587="Geprüft",Programme_Grunddaten!AE587&lt;&gt;""),IF(Programme_Grunddaten!AE587="Ja",1,0),"")</f>
        <v/>
      </c>
      <c r="X582" s="1" t="str">
        <f>IF(AND(Programme_Grunddaten!$A587="Geprüft",Programme_Grunddaten!AF587&lt;&gt;""),IF(Programme_Grunddaten!AF587="Ja",1,0),"")</f>
        <v/>
      </c>
      <c r="Y582" s="1" t="str">
        <f>IF(AND(Programme_Grunddaten!$A587="Geprüft",Programme_Grunddaten!AG587&lt;&gt;""),IF(Programme_Grunddaten!AG587="Ja",1,0),"")</f>
        <v/>
      </c>
      <c r="Z582" s="1" t="str">
        <f>IF(AND(Programme_Grunddaten!$A587="Geprüft",Programme_Grunddaten!AH587&lt;&gt;""),IF(Programme_Grunddaten!AH587="Ja",1,0),"")</f>
        <v/>
      </c>
      <c r="AA582" s="1" t="str">
        <f>IF(AND(Programme_Grunddaten!$A587="Geprüft",Programme_Grunddaten!AI587&lt;&gt;""),IF(Programme_Grunddaten!AI587="Ja",1,0),"")</f>
        <v/>
      </c>
      <c r="AB582" s="1" t="str">
        <f>IF(AND(Programme_Grunddaten!$A587="Geprüft",Programme_Grunddaten!AJ587&lt;&gt;""),IF(Programme_Grunddaten!AJ587="individuell programmierbar",1,0),"")</f>
        <v/>
      </c>
      <c r="AC582" s="1" t="str">
        <f>IF(AND(Programme_Grunddaten!$A587="Geprüft",Programme_Grunddaten!AK587&lt;&gt;""),IF(Programme_Grunddaten!AK587="Deutsch",0,IF(Programme_Grunddaten!AK587="Deutsch und Englisch",1,2)),"")</f>
        <v/>
      </c>
      <c r="AD582" s="1" t="str">
        <f>IF(AND(Programme_Grunddaten!$A587="Geprüft",Programme_Grunddaten!AL587&lt;&gt;""),IF(Programme_Grunddaten!AL587="Ja",1,0),"")</f>
        <v/>
      </c>
      <c r="AE582" s="1" t="str">
        <f>IF(AND(Programme_Grunddaten!$A587="Geprüft",Programme_Grunddaten!AM587&lt;&gt;""),IF(Programme_Grunddaten!AM587="Ja",1,0),"")</f>
        <v/>
      </c>
      <c r="AF582" s="1" t="str">
        <f>IF(AND(Programme_Grunddaten!$A587="Geprüft",Programme_Grunddaten!AN587&lt;&gt;""),IF(Programme_Grunddaten!AN587="Ja",1,0),"")</f>
        <v/>
      </c>
      <c r="AG582" s="1" t="str">
        <f>IF(AND(Programme_Grunddaten!$A587="Geprüft",Programme_Grunddaten!AO587&lt;&gt;""),IF(Programme_Grunddaten!AO587="Ja",1,0),"")</f>
        <v/>
      </c>
      <c r="AH582" s="1" t="str">
        <f>IF(AND(Programme_Grunddaten!$A587="Geprüft",Programme_Grunddaten!AP587&lt;&gt;""),IF(Programme_Grunddaten!AP587="Ja",1,0),"")</f>
        <v/>
      </c>
      <c r="AI582" s="1" t="str">
        <f>IF(AND(Programme_Grunddaten!$A587="Geprüft",Programme_Grunddaten!AQ587&lt;&gt;""),IF(Programme_Grunddaten!AQ587="Ja",1,0),"")</f>
        <v/>
      </c>
      <c r="AJ582" s="1" t="str">
        <f>IF(AND(Programme_Grunddaten!$A587="Geprüft",Programme_Grunddaten!AR587&lt;&gt;""),IF(Programme_Grunddaten!AR587="Ja",1,0),"")</f>
        <v/>
      </c>
      <c r="AK582" s="1" t="str">
        <f>IF(AND(Programme_Grunddaten!$A587="Geprüft",Programme_Grunddaten!AS587&lt;&gt;""),IF(Programme_Grunddaten!AS587="Ja",1,0),"")</f>
        <v/>
      </c>
      <c r="AL582" s="1" t="str">
        <f>IF(AND(Programme_Grunddaten!$A587="Geprüft",Programme_Grunddaten!AT587&lt;&gt;""),IF(Programme_Grunddaten!AT587="Ja",1,0),"")</f>
        <v/>
      </c>
      <c r="AM582" s="1" t="str">
        <f>IF(AND(Programme_Grunddaten!$A587="Geprüft",Programme_Grunddaten!AU587&lt;&gt;""),IF(Programme_Grunddaten!AU587="Ja",1,0),"")</f>
        <v/>
      </c>
      <c r="AN582" s="1" t="str">
        <f>IF(AND(Programme_Grunddaten!$A587="Geprüft",Programme_Grunddaten!AV587&lt;&gt;""),IF(Programme_Grunddaten!AV587="Ja",1,0),"")</f>
        <v/>
      </c>
    </row>
    <row r="583" spans="1:40" x14ac:dyDescent="0.3">
      <c r="A583" s="1" t="str">
        <f>IF(AND(Programme_Grunddaten!A588="Geprüft",Programme_Grunddaten!B588&lt;&gt;""),Programme_Grunddaten!B588,"")</f>
        <v/>
      </c>
      <c r="B583" s="1" t="str">
        <f>IF(AND(Programme_Grunddaten!$A588="Geprüft",Programme_Grunddaten!I588&lt;&gt;""),IF(Programme_Grunddaten!I588="Ja",1,0),"")</f>
        <v/>
      </c>
      <c r="C583" s="1" t="str">
        <f>IF(AND(Programme_Grunddaten!$A588="Geprüft",Programme_Grunddaten!J588&lt;&gt;""),IF(Programme_Grunddaten!J588="Ja",1,0),"")</f>
        <v/>
      </c>
      <c r="D583" s="1" t="str">
        <f>IF(AND(Programme_Grunddaten!$A588="Geprüft",Programme_Grunddaten!K588&lt;&gt;""),IF(Programme_Grunddaten!K588="Ja",1,0),"")</f>
        <v/>
      </c>
      <c r="E583" s="1" t="str">
        <f>IF(AND(Programme_Grunddaten!$A588="Geprüft",Programme_Grunddaten!L588&lt;&gt;""),IF(Programme_Grunddaten!L588="Abo / befristete Lizenz",1,0),"")</f>
        <v/>
      </c>
      <c r="F583" s="1" t="str">
        <f>IF(AND(Programme_Grunddaten!$A588="Geprüft",Programme_Grunddaten!M588&lt;&gt;""),IF(Programme_Grunddaten!M588="Ja",1,0),"")</f>
        <v/>
      </c>
      <c r="G583" s="1" t="str">
        <f>IF(AND(Programme_Grunddaten!$A588="Geprüft",Programme_Grunddaten!N588&lt;&gt;""),IF(Programme_Grunddaten!N588="Ja",1,0),"")</f>
        <v/>
      </c>
      <c r="H583" s="1" t="str">
        <f>IF(AND(Programme_Grunddaten!$A588="Geprüft",Programme_Grunddaten!O588&lt;&gt;""),IF(Programme_Grunddaten!O588="Deutschland",0,IF(Programme_Grunddaten!O588="EU",1,2)),"")</f>
        <v/>
      </c>
      <c r="I583" s="1" t="str">
        <f>IF(AND(Programme_Grunddaten!$A588="Geprüft",Programme_Grunddaten!P588&lt;&gt;""),IF(Programme_Grunddaten!P588="Ja",1,0),"")</f>
        <v/>
      </c>
      <c r="J583" s="1" t="str">
        <f>IF(AND(Programme_Grunddaten!$A588="Geprüft",Programme_Grunddaten!Q588&lt;&gt;""),IF(Programme_Grunddaten!Q588="geschlossenes System",1,0),"")</f>
        <v/>
      </c>
      <c r="K583" s="1" t="str">
        <f>IF(AND(Programme_Grunddaten!$A588="Geprüft",Programme_Grunddaten!R588&lt;&gt;""),IF(Programme_Grunddaten!R588="Ja",1,0),"")</f>
        <v/>
      </c>
      <c r="L583" s="1" t="str">
        <f>IF(AND(Programme_Grunddaten!$A588="Geprüft",Programme_Grunddaten!T588&lt;&gt;""),IF(Programme_Grunddaten!T588="Ja",1,0),"")</f>
        <v/>
      </c>
      <c r="M583" s="1" t="str">
        <f>IF(AND(Programme_Grunddaten!$A588="Geprüft",Programme_Grunddaten!U588&lt;&gt;""),IF(Programme_Grunddaten!U588="Ja",1,0),"")</f>
        <v/>
      </c>
      <c r="N583" s="1" t="str">
        <f>IF(AND(Programme_Grunddaten!$A588="Geprüft",Programme_Grunddaten!V588&lt;&gt;""),IF(Programme_Grunddaten!V588="Ja",1,0),"")</f>
        <v/>
      </c>
      <c r="O583" s="1" t="str">
        <f>IF(AND(Programme_Grunddaten!$A588="Geprüft",Programme_Grunddaten!W588&lt;&gt;""),IF(Programme_Grunddaten!W588="Ja",1,0),"")</f>
        <v/>
      </c>
      <c r="P583" s="1" t="str">
        <f>IF(AND(Programme_Grunddaten!$A588="Geprüft",Programme_Grunddaten!X588&lt;&gt;""),IF(Programme_Grunddaten!X588="Ja",1,0),"")</f>
        <v/>
      </c>
      <c r="Q583" s="1" t="str">
        <f>IF(AND(Programme_Grunddaten!$A588="Geprüft",Programme_Grunddaten!Y588&lt;&gt;""),IF(Programme_Grunddaten!Y588="Ja",1,0),"")</f>
        <v/>
      </c>
      <c r="R583" s="1" t="str">
        <f>IF(AND(Programme_Grunddaten!$A588="Geprüft",Programme_Grunddaten!Z588&lt;&gt;""),IF(Programme_Grunddaten!Z588="Ja",1,0),"")</f>
        <v/>
      </c>
      <c r="S583" s="1" t="str">
        <f>IF(AND(Programme_Grunddaten!$A588="Geprüft",Programme_Grunddaten!AA588&lt;&gt;""),IF(Programme_Grunddaten!AA588="monolithisch",1,0),"")</f>
        <v/>
      </c>
      <c r="T583" s="1" t="str">
        <f>IF(AND(Programme_Grunddaten!$A588="Geprüft",Programme_Grunddaten!AB588&lt;&gt;""),IF(Programme_Grunddaten!AB588="Ja",1,0),"")</f>
        <v/>
      </c>
      <c r="U583" s="1" t="str">
        <f>IF(AND(Programme_Grunddaten!$A588="Geprüft",Programme_Grunddaten!AC588&lt;&gt;""),IF(Programme_Grunddaten!AC588="Ja",1,0),"")</f>
        <v/>
      </c>
      <c r="V583" s="1" t="str">
        <f>IF(AND(Programme_Grunddaten!$A588="Geprüft",Programme_Grunddaten!AD588&lt;&gt;""),IF(Programme_Grunddaten!AD588="Ja",1,0),"")</f>
        <v/>
      </c>
      <c r="W583" s="1" t="str">
        <f>IF(AND(Programme_Grunddaten!$A588="Geprüft",Programme_Grunddaten!AE588&lt;&gt;""),IF(Programme_Grunddaten!AE588="Ja",1,0),"")</f>
        <v/>
      </c>
      <c r="X583" s="1" t="str">
        <f>IF(AND(Programme_Grunddaten!$A588="Geprüft",Programme_Grunddaten!AF588&lt;&gt;""),IF(Programme_Grunddaten!AF588="Ja",1,0),"")</f>
        <v/>
      </c>
      <c r="Y583" s="1" t="str">
        <f>IF(AND(Programme_Grunddaten!$A588="Geprüft",Programme_Grunddaten!AG588&lt;&gt;""),IF(Programme_Grunddaten!AG588="Ja",1,0),"")</f>
        <v/>
      </c>
      <c r="Z583" s="1" t="str">
        <f>IF(AND(Programme_Grunddaten!$A588="Geprüft",Programme_Grunddaten!AH588&lt;&gt;""),IF(Programme_Grunddaten!AH588="Ja",1,0),"")</f>
        <v/>
      </c>
      <c r="AA583" s="1" t="str">
        <f>IF(AND(Programme_Grunddaten!$A588="Geprüft",Programme_Grunddaten!AI588&lt;&gt;""),IF(Programme_Grunddaten!AI588="Ja",1,0),"")</f>
        <v/>
      </c>
      <c r="AB583" s="1" t="str">
        <f>IF(AND(Programme_Grunddaten!$A588="Geprüft",Programme_Grunddaten!AJ588&lt;&gt;""),IF(Programme_Grunddaten!AJ588="individuell programmierbar",1,0),"")</f>
        <v/>
      </c>
      <c r="AC583" s="1" t="str">
        <f>IF(AND(Programme_Grunddaten!$A588="Geprüft",Programme_Grunddaten!AK588&lt;&gt;""),IF(Programme_Grunddaten!AK588="Deutsch",0,IF(Programme_Grunddaten!AK588="Deutsch und Englisch",1,2)),"")</f>
        <v/>
      </c>
      <c r="AD583" s="1" t="str">
        <f>IF(AND(Programme_Grunddaten!$A588="Geprüft",Programme_Grunddaten!AL588&lt;&gt;""),IF(Programme_Grunddaten!AL588="Ja",1,0),"")</f>
        <v/>
      </c>
      <c r="AE583" s="1" t="str">
        <f>IF(AND(Programme_Grunddaten!$A588="Geprüft",Programme_Grunddaten!AM588&lt;&gt;""),IF(Programme_Grunddaten!AM588="Ja",1,0),"")</f>
        <v/>
      </c>
      <c r="AF583" s="1" t="str">
        <f>IF(AND(Programme_Grunddaten!$A588="Geprüft",Programme_Grunddaten!AN588&lt;&gt;""),IF(Programme_Grunddaten!AN588="Ja",1,0),"")</f>
        <v/>
      </c>
      <c r="AG583" s="1" t="str">
        <f>IF(AND(Programme_Grunddaten!$A588="Geprüft",Programme_Grunddaten!AO588&lt;&gt;""),IF(Programme_Grunddaten!AO588="Ja",1,0),"")</f>
        <v/>
      </c>
      <c r="AH583" s="1" t="str">
        <f>IF(AND(Programme_Grunddaten!$A588="Geprüft",Programme_Grunddaten!AP588&lt;&gt;""),IF(Programme_Grunddaten!AP588="Ja",1,0),"")</f>
        <v/>
      </c>
      <c r="AI583" s="1" t="str">
        <f>IF(AND(Programme_Grunddaten!$A588="Geprüft",Programme_Grunddaten!AQ588&lt;&gt;""),IF(Programme_Grunddaten!AQ588="Ja",1,0),"")</f>
        <v/>
      </c>
      <c r="AJ583" s="1" t="str">
        <f>IF(AND(Programme_Grunddaten!$A588="Geprüft",Programme_Grunddaten!AR588&lt;&gt;""),IF(Programme_Grunddaten!AR588="Ja",1,0),"")</f>
        <v/>
      </c>
      <c r="AK583" s="1" t="str">
        <f>IF(AND(Programme_Grunddaten!$A588="Geprüft",Programme_Grunddaten!AS588&lt;&gt;""),IF(Programme_Grunddaten!AS588="Ja",1,0),"")</f>
        <v/>
      </c>
      <c r="AL583" s="1" t="str">
        <f>IF(AND(Programme_Grunddaten!$A588="Geprüft",Programme_Grunddaten!AT588&lt;&gt;""),IF(Programme_Grunddaten!AT588="Ja",1,0),"")</f>
        <v/>
      </c>
      <c r="AM583" s="1" t="str">
        <f>IF(AND(Programme_Grunddaten!$A588="Geprüft",Programme_Grunddaten!AU588&lt;&gt;""),IF(Programme_Grunddaten!AU588="Ja",1,0),"")</f>
        <v/>
      </c>
      <c r="AN583" s="1" t="str">
        <f>IF(AND(Programme_Grunddaten!$A588="Geprüft",Programme_Grunddaten!AV588&lt;&gt;""),IF(Programme_Grunddaten!AV588="Ja",1,0),"")</f>
        <v/>
      </c>
    </row>
    <row r="584" spans="1:40" x14ac:dyDescent="0.3">
      <c r="A584" s="1" t="str">
        <f>IF(AND(Programme_Grunddaten!A589="Geprüft",Programme_Grunddaten!B589&lt;&gt;""),Programme_Grunddaten!B589,"")</f>
        <v/>
      </c>
      <c r="B584" s="1" t="str">
        <f>IF(AND(Programme_Grunddaten!$A589="Geprüft",Programme_Grunddaten!I589&lt;&gt;""),IF(Programme_Grunddaten!I589="Ja",1,0),"")</f>
        <v/>
      </c>
      <c r="C584" s="1" t="str">
        <f>IF(AND(Programme_Grunddaten!$A589="Geprüft",Programme_Grunddaten!J589&lt;&gt;""),IF(Programme_Grunddaten!J589="Ja",1,0),"")</f>
        <v/>
      </c>
      <c r="D584" s="1" t="str">
        <f>IF(AND(Programme_Grunddaten!$A589="Geprüft",Programme_Grunddaten!K589&lt;&gt;""),IF(Programme_Grunddaten!K589="Ja",1,0),"")</f>
        <v/>
      </c>
      <c r="E584" s="1" t="str">
        <f>IF(AND(Programme_Grunddaten!$A589="Geprüft",Programme_Grunddaten!L589&lt;&gt;""),IF(Programme_Grunddaten!L589="Abo / befristete Lizenz",1,0),"")</f>
        <v/>
      </c>
      <c r="F584" s="1" t="str">
        <f>IF(AND(Programme_Grunddaten!$A589="Geprüft",Programme_Grunddaten!M589&lt;&gt;""),IF(Programme_Grunddaten!M589="Ja",1,0),"")</f>
        <v/>
      </c>
      <c r="G584" s="1" t="str">
        <f>IF(AND(Programme_Grunddaten!$A589="Geprüft",Programme_Grunddaten!N589&lt;&gt;""),IF(Programme_Grunddaten!N589="Ja",1,0),"")</f>
        <v/>
      </c>
      <c r="H584" s="1" t="str">
        <f>IF(AND(Programme_Grunddaten!$A589="Geprüft",Programme_Grunddaten!O589&lt;&gt;""),IF(Programme_Grunddaten!O589="Deutschland",0,IF(Programme_Grunddaten!O589="EU",1,2)),"")</f>
        <v/>
      </c>
      <c r="I584" s="1" t="str">
        <f>IF(AND(Programme_Grunddaten!$A589="Geprüft",Programme_Grunddaten!P589&lt;&gt;""),IF(Programme_Grunddaten!P589="Ja",1,0),"")</f>
        <v/>
      </c>
      <c r="J584" s="1" t="str">
        <f>IF(AND(Programme_Grunddaten!$A589="Geprüft",Programme_Grunddaten!Q589&lt;&gt;""),IF(Programme_Grunddaten!Q589="geschlossenes System",1,0),"")</f>
        <v/>
      </c>
      <c r="K584" s="1" t="str">
        <f>IF(AND(Programme_Grunddaten!$A589="Geprüft",Programme_Grunddaten!R589&lt;&gt;""),IF(Programme_Grunddaten!R589="Ja",1,0),"")</f>
        <v/>
      </c>
      <c r="L584" s="1" t="str">
        <f>IF(AND(Programme_Grunddaten!$A589="Geprüft",Programme_Grunddaten!T589&lt;&gt;""),IF(Programme_Grunddaten!T589="Ja",1,0),"")</f>
        <v/>
      </c>
      <c r="M584" s="1" t="str">
        <f>IF(AND(Programme_Grunddaten!$A589="Geprüft",Programme_Grunddaten!U589&lt;&gt;""),IF(Programme_Grunddaten!U589="Ja",1,0),"")</f>
        <v/>
      </c>
      <c r="N584" s="1" t="str">
        <f>IF(AND(Programme_Grunddaten!$A589="Geprüft",Programme_Grunddaten!V589&lt;&gt;""),IF(Programme_Grunddaten!V589="Ja",1,0),"")</f>
        <v/>
      </c>
      <c r="O584" s="1" t="str">
        <f>IF(AND(Programme_Grunddaten!$A589="Geprüft",Programme_Grunddaten!W589&lt;&gt;""),IF(Programme_Grunddaten!W589="Ja",1,0),"")</f>
        <v/>
      </c>
      <c r="P584" s="1" t="str">
        <f>IF(AND(Programme_Grunddaten!$A589="Geprüft",Programme_Grunddaten!X589&lt;&gt;""),IF(Programme_Grunddaten!X589="Ja",1,0),"")</f>
        <v/>
      </c>
      <c r="Q584" s="1" t="str">
        <f>IF(AND(Programme_Grunddaten!$A589="Geprüft",Programme_Grunddaten!Y589&lt;&gt;""),IF(Programme_Grunddaten!Y589="Ja",1,0),"")</f>
        <v/>
      </c>
      <c r="R584" s="1" t="str">
        <f>IF(AND(Programme_Grunddaten!$A589="Geprüft",Programme_Grunddaten!Z589&lt;&gt;""),IF(Programme_Grunddaten!Z589="Ja",1,0),"")</f>
        <v/>
      </c>
      <c r="S584" s="1" t="str">
        <f>IF(AND(Programme_Grunddaten!$A589="Geprüft",Programme_Grunddaten!AA589&lt;&gt;""),IF(Programme_Grunddaten!AA589="monolithisch",1,0),"")</f>
        <v/>
      </c>
      <c r="T584" s="1" t="str">
        <f>IF(AND(Programme_Grunddaten!$A589="Geprüft",Programme_Grunddaten!AB589&lt;&gt;""),IF(Programme_Grunddaten!AB589="Ja",1,0),"")</f>
        <v/>
      </c>
      <c r="U584" s="1" t="str">
        <f>IF(AND(Programme_Grunddaten!$A589="Geprüft",Programme_Grunddaten!AC589&lt;&gt;""),IF(Programme_Grunddaten!AC589="Ja",1,0),"")</f>
        <v/>
      </c>
      <c r="V584" s="1" t="str">
        <f>IF(AND(Programme_Grunddaten!$A589="Geprüft",Programme_Grunddaten!AD589&lt;&gt;""),IF(Programme_Grunddaten!AD589="Ja",1,0),"")</f>
        <v/>
      </c>
      <c r="W584" s="1" t="str">
        <f>IF(AND(Programme_Grunddaten!$A589="Geprüft",Programme_Grunddaten!AE589&lt;&gt;""),IF(Programme_Grunddaten!AE589="Ja",1,0),"")</f>
        <v/>
      </c>
      <c r="X584" s="1" t="str">
        <f>IF(AND(Programme_Grunddaten!$A589="Geprüft",Programme_Grunddaten!AF589&lt;&gt;""),IF(Programme_Grunddaten!AF589="Ja",1,0),"")</f>
        <v/>
      </c>
      <c r="Y584" s="1" t="str">
        <f>IF(AND(Programme_Grunddaten!$A589="Geprüft",Programme_Grunddaten!AG589&lt;&gt;""),IF(Programme_Grunddaten!AG589="Ja",1,0),"")</f>
        <v/>
      </c>
      <c r="Z584" s="1" t="str">
        <f>IF(AND(Programme_Grunddaten!$A589="Geprüft",Programme_Grunddaten!AH589&lt;&gt;""),IF(Programme_Grunddaten!AH589="Ja",1,0),"")</f>
        <v/>
      </c>
      <c r="AA584" s="1" t="str">
        <f>IF(AND(Programme_Grunddaten!$A589="Geprüft",Programme_Grunddaten!AI589&lt;&gt;""),IF(Programme_Grunddaten!AI589="Ja",1,0),"")</f>
        <v/>
      </c>
      <c r="AB584" s="1" t="str">
        <f>IF(AND(Programme_Grunddaten!$A589="Geprüft",Programme_Grunddaten!AJ589&lt;&gt;""),IF(Programme_Grunddaten!AJ589="individuell programmierbar",1,0),"")</f>
        <v/>
      </c>
      <c r="AC584" s="1" t="str">
        <f>IF(AND(Programme_Grunddaten!$A589="Geprüft",Programme_Grunddaten!AK589&lt;&gt;""),IF(Programme_Grunddaten!AK589="Deutsch",0,IF(Programme_Grunddaten!AK589="Deutsch und Englisch",1,2)),"")</f>
        <v/>
      </c>
      <c r="AD584" s="1" t="str">
        <f>IF(AND(Programme_Grunddaten!$A589="Geprüft",Programme_Grunddaten!AL589&lt;&gt;""),IF(Programme_Grunddaten!AL589="Ja",1,0),"")</f>
        <v/>
      </c>
      <c r="AE584" s="1" t="str">
        <f>IF(AND(Programme_Grunddaten!$A589="Geprüft",Programme_Grunddaten!AM589&lt;&gt;""),IF(Programme_Grunddaten!AM589="Ja",1,0),"")</f>
        <v/>
      </c>
      <c r="AF584" s="1" t="str">
        <f>IF(AND(Programme_Grunddaten!$A589="Geprüft",Programme_Grunddaten!AN589&lt;&gt;""),IF(Programme_Grunddaten!AN589="Ja",1,0),"")</f>
        <v/>
      </c>
      <c r="AG584" s="1" t="str">
        <f>IF(AND(Programme_Grunddaten!$A589="Geprüft",Programme_Grunddaten!AO589&lt;&gt;""),IF(Programme_Grunddaten!AO589="Ja",1,0),"")</f>
        <v/>
      </c>
      <c r="AH584" s="1" t="str">
        <f>IF(AND(Programme_Grunddaten!$A589="Geprüft",Programme_Grunddaten!AP589&lt;&gt;""),IF(Programme_Grunddaten!AP589="Ja",1,0),"")</f>
        <v/>
      </c>
      <c r="AI584" s="1" t="str">
        <f>IF(AND(Programme_Grunddaten!$A589="Geprüft",Programme_Grunddaten!AQ589&lt;&gt;""),IF(Programme_Grunddaten!AQ589="Ja",1,0),"")</f>
        <v/>
      </c>
      <c r="AJ584" s="1" t="str">
        <f>IF(AND(Programme_Grunddaten!$A589="Geprüft",Programme_Grunddaten!AR589&lt;&gt;""),IF(Programme_Grunddaten!AR589="Ja",1,0),"")</f>
        <v/>
      </c>
      <c r="AK584" s="1" t="str">
        <f>IF(AND(Programme_Grunddaten!$A589="Geprüft",Programme_Grunddaten!AS589&lt;&gt;""),IF(Programme_Grunddaten!AS589="Ja",1,0),"")</f>
        <v/>
      </c>
      <c r="AL584" s="1" t="str">
        <f>IF(AND(Programme_Grunddaten!$A589="Geprüft",Programme_Grunddaten!AT589&lt;&gt;""),IF(Programme_Grunddaten!AT589="Ja",1,0),"")</f>
        <v/>
      </c>
      <c r="AM584" s="1" t="str">
        <f>IF(AND(Programme_Grunddaten!$A589="Geprüft",Programme_Grunddaten!AU589&lt;&gt;""),IF(Programme_Grunddaten!AU589="Ja",1,0),"")</f>
        <v/>
      </c>
      <c r="AN584" s="1" t="str">
        <f>IF(AND(Programme_Grunddaten!$A589="Geprüft",Programme_Grunddaten!AV589&lt;&gt;""),IF(Programme_Grunddaten!AV589="Ja",1,0),"")</f>
        <v/>
      </c>
    </row>
    <row r="585" spans="1:40" x14ac:dyDescent="0.3">
      <c r="A585" s="1" t="str">
        <f>IF(AND(Programme_Grunddaten!A590="Geprüft",Programme_Grunddaten!B590&lt;&gt;""),Programme_Grunddaten!B590,"")</f>
        <v/>
      </c>
      <c r="B585" s="1" t="str">
        <f>IF(AND(Programme_Grunddaten!$A590="Geprüft",Programme_Grunddaten!I590&lt;&gt;""),IF(Programme_Grunddaten!I590="Ja",1,0),"")</f>
        <v/>
      </c>
      <c r="C585" s="1" t="str">
        <f>IF(AND(Programme_Grunddaten!$A590="Geprüft",Programme_Grunddaten!J590&lt;&gt;""),IF(Programme_Grunddaten!J590="Ja",1,0),"")</f>
        <v/>
      </c>
      <c r="D585" s="1" t="str">
        <f>IF(AND(Programme_Grunddaten!$A590="Geprüft",Programme_Grunddaten!K590&lt;&gt;""),IF(Programme_Grunddaten!K590="Ja",1,0),"")</f>
        <v/>
      </c>
      <c r="E585" s="1" t="str">
        <f>IF(AND(Programme_Grunddaten!$A590="Geprüft",Programme_Grunddaten!L590&lt;&gt;""),IF(Programme_Grunddaten!L590="Abo / befristete Lizenz",1,0),"")</f>
        <v/>
      </c>
      <c r="F585" s="1" t="str">
        <f>IF(AND(Programme_Grunddaten!$A590="Geprüft",Programme_Grunddaten!M590&lt;&gt;""),IF(Programme_Grunddaten!M590="Ja",1,0),"")</f>
        <v/>
      </c>
      <c r="G585" s="1" t="str">
        <f>IF(AND(Programme_Grunddaten!$A590="Geprüft",Programme_Grunddaten!N590&lt;&gt;""),IF(Programme_Grunddaten!N590="Ja",1,0),"")</f>
        <v/>
      </c>
      <c r="H585" s="1" t="str">
        <f>IF(AND(Programme_Grunddaten!$A590="Geprüft",Programme_Grunddaten!O590&lt;&gt;""),IF(Programme_Grunddaten!O590="Deutschland",0,IF(Programme_Grunddaten!O590="EU",1,2)),"")</f>
        <v/>
      </c>
      <c r="I585" s="1" t="str">
        <f>IF(AND(Programme_Grunddaten!$A590="Geprüft",Programme_Grunddaten!P590&lt;&gt;""),IF(Programme_Grunddaten!P590="Ja",1,0),"")</f>
        <v/>
      </c>
      <c r="J585" s="1" t="str">
        <f>IF(AND(Programme_Grunddaten!$A590="Geprüft",Programme_Grunddaten!Q590&lt;&gt;""),IF(Programme_Grunddaten!Q590="geschlossenes System",1,0),"")</f>
        <v/>
      </c>
      <c r="K585" s="1" t="str">
        <f>IF(AND(Programme_Grunddaten!$A590="Geprüft",Programme_Grunddaten!R590&lt;&gt;""),IF(Programme_Grunddaten!R590="Ja",1,0),"")</f>
        <v/>
      </c>
      <c r="L585" s="1" t="str">
        <f>IF(AND(Programme_Grunddaten!$A590="Geprüft",Programme_Grunddaten!T590&lt;&gt;""),IF(Programme_Grunddaten!T590="Ja",1,0),"")</f>
        <v/>
      </c>
      <c r="M585" s="1" t="str">
        <f>IF(AND(Programme_Grunddaten!$A590="Geprüft",Programme_Grunddaten!U590&lt;&gt;""),IF(Programme_Grunddaten!U590="Ja",1,0),"")</f>
        <v/>
      </c>
      <c r="N585" s="1" t="str">
        <f>IF(AND(Programme_Grunddaten!$A590="Geprüft",Programme_Grunddaten!V590&lt;&gt;""),IF(Programme_Grunddaten!V590="Ja",1,0),"")</f>
        <v/>
      </c>
      <c r="O585" s="1" t="str">
        <f>IF(AND(Programme_Grunddaten!$A590="Geprüft",Programme_Grunddaten!W590&lt;&gt;""),IF(Programme_Grunddaten!W590="Ja",1,0),"")</f>
        <v/>
      </c>
      <c r="P585" s="1" t="str">
        <f>IF(AND(Programme_Grunddaten!$A590="Geprüft",Programme_Grunddaten!X590&lt;&gt;""),IF(Programme_Grunddaten!X590="Ja",1,0),"")</f>
        <v/>
      </c>
      <c r="Q585" s="1" t="str">
        <f>IF(AND(Programme_Grunddaten!$A590="Geprüft",Programme_Grunddaten!Y590&lt;&gt;""),IF(Programme_Grunddaten!Y590="Ja",1,0),"")</f>
        <v/>
      </c>
      <c r="R585" s="1" t="str">
        <f>IF(AND(Programme_Grunddaten!$A590="Geprüft",Programme_Grunddaten!Z590&lt;&gt;""),IF(Programme_Grunddaten!Z590="Ja",1,0),"")</f>
        <v/>
      </c>
      <c r="S585" s="1" t="str">
        <f>IF(AND(Programme_Grunddaten!$A590="Geprüft",Programme_Grunddaten!AA590&lt;&gt;""),IF(Programme_Grunddaten!AA590="monolithisch",1,0),"")</f>
        <v/>
      </c>
      <c r="T585" s="1" t="str">
        <f>IF(AND(Programme_Grunddaten!$A590="Geprüft",Programme_Grunddaten!AB590&lt;&gt;""),IF(Programme_Grunddaten!AB590="Ja",1,0),"")</f>
        <v/>
      </c>
      <c r="U585" s="1" t="str">
        <f>IF(AND(Programme_Grunddaten!$A590="Geprüft",Programme_Grunddaten!AC590&lt;&gt;""),IF(Programme_Grunddaten!AC590="Ja",1,0),"")</f>
        <v/>
      </c>
      <c r="V585" s="1" t="str">
        <f>IF(AND(Programme_Grunddaten!$A590="Geprüft",Programme_Grunddaten!AD590&lt;&gt;""),IF(Programme_Grunddaten!AD590="Ja",1,0),"")</f>
        <v/>
      </c>
      <c r="W585" s="1" t="str">
        <f>IF(AND(Programme_Grunddaten!$A590="Geprüft",Programme_Grunddaten!AE590&lt;&gt;""),IF(Programme_Grunddaten!AE590="Ja",1,0),"")</f>
        <v/>
      </c>
      <c r="X585" s="1" t="str">
        <f>IF(AND(Programme_Grunddaten!$A590="Geprüft",Programme_Grunddaten!AF590&lt;&gt;""),IF(Programme_Grunddaten!AF590="Ja",1,0),"")</f>
        <v/>
      </c>
      <c r="Y585" s="1" t="str">
        <f>IF(AND(Programme_Grunddaten!$A590="Geprüft",Programme_Grunddaten!AG590&lt;&gt;""),IF(Programme_Grunddaten!AG590="Ja",1,0),"")</f>
        <v/>
      </c>
      <c r="Z585" s="1" t="str">
        <f>IF(AND(Programme_Grunddaten!$A590="Geprüft",Programme_Grunddaten!AH590&lt;&gt;""),IF(Programme_Grunddaten!AH590="Ja",1,0),"")</f>
        <v/>
      </c>
      <c r="AA585" s="1" t="str">
        <f>IF(AND(Programme_Grunddaten!$A590="Geprüft",Programme_Grunddaten!AI590&lt;&gt;""),IF(Programme_Grunddaten!AI590="Ja",1,0),"")</f>
        <v/>
      </c>
      <c r="AB585" s="1" t="str">
        <f>IF(AND(Programme_Grunddaten!$A590="Geprüft",Programme_Grunddaten!AJ590&lt;&gt;""),IF(Programme_Grunddaten!AJ590="individuell programmierbar",1,0),"")</f>
        <v/>
      </c>
      <c r="AC585" s="1" t="str">
        <f>IF(AND(Programme_Grunddaten!$A590="Geprüft",Programme_Grunddaten!AK590&lt;&gt;""),IF(Programme_Grunddaten!AK590="Deutsch",0,IF(Programme_Grunddaten!AK590="Deutsch und Englisch",1,2)),"")</f>
        <v/>
      </c>
      <c r="AD585" s="1" t="str">
        <f>IF(AND(Programme_Grunddaten!$A590="Geprüft",Programme_Grunddaten!AL590&lt;&gt;""),IF(Programme_Grunddaten!AL590="Ja",1,0),"")</f>
        <v/>
      </c>
      <c r="AE585" s="1" t="str">
        <f>IF(AND(Programme_Grunddaten!$A590="Geprüft",Programme_Grunddaten!AM590&lt;&gt;""),IF(Programme_Grunddaten!AM590="Ja",1,0),"")</f>
        <v/>
      </c>
      <c r="AF585" s="1" t="str">
        <f>IF(AND(Programme_Grunddaten!$A590="Geprüft",Programme_Grunddaten!AN590&lt;&gt;""),IF(Programme_Grunddaten!AN590="Ja",1,0),"")</f>
        <v/>
      </c>
      <c r="AG585" s="1" t="str">
        <f>IF(AND(Programme_Grunddaten!$A590="Geprüft",Programme_Grunddaten!AO590&lt;&gt;""),IF(Programme_Grunddaten!AO590="Ja",1,0),"")</f>
        <v/>
      </c>
      <c r="AH585" s="1" t="str">
        <f>IF(AND(Programme_Grunddaten!$A590="Geprüft",Programme_Grunddaten!AP590&lt;&gt;""),IF(Programme_Grunddaten!AP590="Ja",1,0),"")</f>
        <v/>
      </c>
      <c r="AI585" s="1" t="str">
        <f>IF(AND(Programme_Grunddaten!$A590="Geprüft",Programme_Grunddaten!AQ590&lt;&gt;""),IF(Programme_Grunddaten!AQ590="Ja",1,0),"")</f>
        <v/>
      </c>
      <c r="AJ585" s="1" t="str">
        <f>IF(AND(Programme_Grunddaten!$A590="Geprüft",Programme_Grunddaten!AR590&lt;&gt;""),IF(Programme_Grunddaten!AR590="Ja",1,0),"")</f>
        <v/>
      </c>
      <c r="AK585" s="1" t="str">
        <f>IF(AND(Programme_Grunddaten!$A590="Geprüft",Programme_Grunddaten!AS590&lt;&gt;""),IF(Programme_Grunddaten!AS590="Ja",1,0),"")</f>
        <v/>
      </c>
      <c r="AL585" s="1" t="str">
        <f>IF(AND(Programme_Grunddaten!$A590="Geprüft",Programme_Grunddaten!AT590&lt;&gt;""),IF(Programme_Grunddaten!AT590="Ja",1,0),"")</f>
        <v/>
      </c>
      <c r="AM585" s="1" t="str">
        <f>IF(AND(Programme_Grunddaten!$A590="Geprüft",Programme_Grunddaten!AU590&lt;&gt;""),IF(Programme_Grunddaten!AU590="Ja",1,0),"")</f>
        <v/>
      </c>
      <c r="AN585" s="1" t="str">
        <f>IF(AND(Programme_Grunddaten!$A590="Geprüft",Programme_Grunddaten!AV590&lt;&gt;""),IF(Programme_Grunddaten!AV590="Ja",1,0),"")</f>
        <v/>
      </c>
    </row>
    <row r="586" spans="1:40" x14ac:dyDescent="0.3">
      <c r="A586" s="1" t="str">
        <f>IF(AND(Programme_Grunddaten!A591="Geprüft",Programme_Grunddaten!B591&lt;&gt;""),Programme_Grunddaten!B591,"")</f>
        <v/>
      </c>
      <c r="B586" s="1" t="str">
        <f>IF(AND(Programme_Grunddaten!$A591="Geprüft",Programme_Grunddaten!I591&lt;&gt;""),IF(Programme_Grunddaten!I591="Ja",1,0),"")</f>
        <v/>
      </c>
      <c r="C586" s="1" t="str">
        <f>IF(AND(Programme_Grunddaten!$A591="Geprüft",Programme_Grunddaten!J591&lt;&gt;""),IF(Programme_Grunddaten!J591="Ja",1,0),"")</f>
        <v/>
      </c>
      <c r="D586" s="1" t="str">
        <f>IF(AND(Programme_Grunddaten!$A591="Geprüft",Programme_Grunddaten!K591&lt;&gt;""),IF(Programme_Grunddaten!K591="Ja",1,0),"")</f>
        <v/>
      </c>
      <c r="E586" s="1" t="str">
        <f>IF(AND(Programme_Grunddaten!$A591="Geprüft",Programme_Grunddaten!L591&lt;&gt;""),IF(Programme_Grunddaten!L591="Abo / befristete Lizenz",1,0),"")</f>
        <v/>
      </c>
      <c r="F586" s="1" t="str">
        <f>IF(AND(Programme_Grunddaten!$A591="Geprüft",Programme_Grunddaten!M591&lt;&gt;""),IF(Programme_Grunddaten!M591="Ja",1,0),"")</f>
        <v/>
      </c>
      <c r="G586" s="1" t="str">
        <f>IF(AND(Programme_Grunddaten!$A591="Geprüft",Programme_Grunddaten!N591&lt;&gt;""),IF(Programme_Grunddaten!N591="Ja",1,0),"")</f>
        <v/>
      </c>
      <c r="H586" s="1" t="str">
        <f>IF(AND(Programme_Grunddaten!$A591="Geprüft",Programme_Grunddaten!O591&lt;&gt;""),IF(Programme_Grunddaten!O591="Deutschland",0,IF(Programme_Grunddaten!O591="EU",1,2)),"")</f>
        <v/>
      </c>
      <c r="I586" s="1" t="str">
        <f>IF(AND(Programme_Grunddaten!$A591="Geprüft",Programme_Grunddaten!P591&lt;&gt;""),IF(Programme_Grunddaten!P591="Ja",1,0),"")</f>
        <v/>
      </c>
      <c r="J586" s="1" t="str">
        <f>IF(AND(Programme_Grunddaten!$A591="Geprüft",Programme_Grunddaten!Q591&lt;&gt;""),IF(Programme_Grunddaten!Q591="geschlossenes System",1,0),"")</f>
        <v/>
      </c>
      <c r="K586" s="1" t="str">
        <f>IF(AND(Programme_Grunddaten!$A591="Geprüft",Programme_Grunddaten!R591&lt;&gt;""),IF(Programme_Grunddaten!R591="Ja",1,0),"")</f>
        <v/>
      </c>
      <c r="L586" s="1" t="str">
        <f>IF(AND(Programme_Grunddaten!$A591="Geprüft",Programme_Grunddaten!T591&lt;&gt;""),IF(Programme_Grunddaten!T591="Ja",1,0),"")</f>
        <v/>
      </c>
      <c r="M586" s="1" t="str">
        <f>IF(AND(Programme_Grunddaten!$A591="Geprüft",Programme_Grunddaten!U591&lt;&gt;""),IF(Programme_Grunddaten!U591="Ja",1,0),"")</f>
        <v/>
      </c>
      <c r="N586" s="1" t="str">
        <f>IF(AND(Programme_Grunddaten!$A591="Geprüft",Programme_Grunddaten!V591&lt;&gt;""),IF(Programme_Grunddaten!V591="Ja",1,0),"")</f>
        <v/>
      </c>
      <c r="O586" s="1" t="str">
        <f>IF(AND(Programme_Grunddaten!$A591="Geprüft",Programme_Grunddaten!W591&lt;&gt;""),IF(Programme_Grunddaten!W591="Ja",1,0),"")</f>
        <v/>
      </c>
      <c r="P586" s="1" t="str">
        <f>IF(AND(Programme_Grunddaten!$A591="Geprüft",Programme_Grunddaten!X591&lt;&gt;""),IF(Programme_Grunddaten!X591="Ja",1,0),"")</f>
        <v/>
      </c>
      <c r="Q586" s="1" t="str">
        <f>IF(AND(Programme_Grunddaten!$A591="Geprüft",Programme_Grunddaten!Y591&lt;&gt;""),IF(Programme_Grunddaten!Y591="Ja",1,0),"")</f>
        <v/>
      </c>
      <c r="R586" s="1" t="str">
        <f>IF(AND(Programme_Grunddaten!$A591="Geprüft",Programme_Grunddaten!Z591&lt;&gt;""),IF(Programme_Grunddaten!Z591="Ja",1,0),"")</f>
        <v/>
      </c>
      <c r="S586" s="1" t="str">
        <f>IF(AND(Programme_Grunddaten!$A591="Geprüft",Programme_Grunddaten!AA591&lt;&gt;""),IF(Programme_Grunddaten!AA591="monolithisch",1,0),"")</f>
        <v/>
      </c>
      <c r="T586" s="1" t="str">
        <f>IF(AND(Programme_Grunddaten!$A591="Geprüft",Programme_Grunddaten!AB591&lt;&gt;""),IF(Programme_Grunddaten!AB591="Ja",1,0),"")</f>
        <v/>
      </c>
      <c r="U586" s="1" t="str">
        <f>IF(AND(Programme_Grunddaten!$A591="Geprüft",Programme_Grunddaten!AC591&lt;&gt;""),IF(Programme_Grunddaten!AC591="Ja",1,0),"")</f>
        <v/>
      </c>
      <c r="V586" s="1" t="str">
        <f>IF(AND(Programme_Grunddaten!$A591="Geprüft",Programme_Grunddaten!AD591&lt;&gt;""),IF(Programme_Grunddaten!AD591="Ja",1,0),"")</f>
        <v/>
      </c>
      <c r="W586" s="1" t="str">
        <f>IF(AND(Programme_Grunddaten!$A591="Geprüft",Programme_Grunddaten!AE591&lt;&gt;""),IF(Programme_Grunddaten!AE591="Ja",1,0),"")</f>
        <v/>
      </c>
      <c r="X586" s="1" t="str">
        <f>IF(AND(Programme_Grunddaten!$A591="Geprüft",Programme_Grunddaten!AF591&lt;&gt;""),IF(Programme_Grunddaten!AF591="Ja",1,0),"")</f>
        <v/>
      </c>
      <c r="Y586" s="1" t="str">
        <f>IF(AND(Programme_Grunddaten!$A591="Geprüft",Programme_Grunddaten!AG591&lt;&gt;""),IF(Programme_Grunddaten!AG591="Ja",1,0),"")</f>
        <v/>
      </c>
      <c r="Z586" s="1" t="str">
        <f>IF(AND(Programme_Grunddaten!$A591="Geprüft",Programme_Grunddaten!AH591&lt;&gt;""),IF(Programme_Grunddaten!AH591="Ja",1,0),"")</f>
        <v/>
      </c>
      <c r="AA586" s="1" t="str">
        <f>IF(AND(Programme_Grunddaten!$A591="Geprüft",Programme_Grunddaten!AI591&lt;&gt;""),IF(Programme_Grunddaten!AI591="Ja",1,0),"")</f>
        <v/>
      </c>
      <c r="AB586" s="1" t="str">
        <f>IF(AND(Programme_Grunddaten!$A591="Geprüft",Programme_Grunddaten!AJ591&lt;&gt;""),IF(Programme_Grunddaten!AJ591="individuell programmierbar",1,0),"")</f>
        <v/>
      </c>
      <c r="AC586" s="1" t="str">
        <f>IF(AND(Programme_Grunddaten!$A591="Geprüft",Programme_Grunddaten!AK591&lt;&gt;""),IF(Programme_Grunddaten!AK591="Deutsch",0,IF(Programme_Grunddaten!AK591="Deutsch und Englisch",1,2)),"")</f>
        <v/>
      </c>
      <c r="AD586" s="1" t="str">
        <f>IF(AND(Programme_Grunddaten!$A591="Geprüft",Programme_Grunddaten!AL591&lt;&gt;""),IF(Programme_Grunddaten!AL591="Ja",1,0),"")</f>
        <v/>
      </c>
      <c r="AE586" s="1" t="str">
        <f>IF(AND(Programme_Grunddaten!$A591="Geprüft",Programme_Grunddaten!AM591&lt;&gt;""),IF(Programme_Grunddaten!AM591="Ja",1,0),"")</f>
        <v/>
      </c>
      <c r="AF586" s="1" t="str">
        <f>IF(AND(Programme_Grunddaten!$A591="Geprüft",Programme_Grunddaten!AN591&lt;&gt;""),IF(Programme_Grunddaten!AN591="Ja",1,0),"")</f>
        <v/>
      </c>
      <c r="AG586" s="1" t="str">
        <f>IF(AND(Programme_Grunddaten!$A591="Geprüft",Programme_Grunddaten!AO591&lt;&gt;""),IF(Programme_Grunddaten!AO591="Ja",1,0),"")</f>
        <v/>
      </c>
      <c r="AH586" s="1" t="str">
        <f>IF(AND(Programme_Grunddaten!$A591="Geprüft",Programme_Grunddaten!AP591&lt;&gt;""),IF(Programme_Grunddaten!AP591="Ja",1,0),"")</f>
        <v/>
      </c>
      <c r="AI586" s="1" t="str">
        <f>IF(AND(Programme_Grunddaten!$A591="Geprüft",Programme_Grunddaten!AQ591&lt;&gt;""),IF(Programme_Grunddaten!AQ591="Ja",1,0),"")</f>
        <v/>
      </c>
      <c r="AJ586" s="1" t="str">
        <f>IF(AND(Programme_Grunddaten!$A591="Geprüft",Programme_Grunddaten!AR591&lt;&gt;""),IF(Programme_Grunddaten!AR591="Ja",1,0),"")</f>
        <v/>
      </c>
      <c r="AK586" s="1" t="str">
        <f>IF(AND(Programme_Grunddaten!$A591="Geprüft",Programme_Grunddaten!AS591&lt;&gt;""),IF(Programme_Grunddaten!AS591="Ja",1,0),"")</f>
        <v/>
      </c>
      <c r="AL586" s="1" t="str">
        <f>IF(AND(Programme_Grunddaten!$A591="Geprüft",Programme_Grunddaten!AT591&lt;&gt;""),IF(Programme_Grunddaten!AT591="Ja",1,0),"")</f>
        <v/>
      </c>
      <c r="AM586" s="1" t="str">
        <f>IF(AND(Programme_Grunddaten!$A591="Geprüft",Programme_Grunddaten!AU591&lt;&gt;""),IF(Programme_Grunddaten!AU591="Ja",1,0),"")</f>
        <v/>
      </c>
      <c r="AN586" s="1" t="str">
        <f>IF(AND(Programme_Grunddaten!$A591="Geprüft",Programme_Grunddaten!AV591&lt;&gt;""),IF(Programme_Grunddaten!AV591="Ja",1,0),"")</f>
        <v/>
      </c>
    </row>
    <row r="587" spans="1:40" x14ac:dyDescent="0.3">
      <c r="A587" s="1" t="str">
        <f>IF(AND(Programme_Grunddaten!A592="Geprüft",Programme_Grunddaten!B592&lt;&gt;""),Programme_Grunddaten!B592,"")</f>
        <v/>
      </c>
      <c r="B587" s="1" t="str">
        <f>IF(AND(Programme_Grunddaten!$A592="Geprüft",Programme_Grunddaten!I592&lt;&gt;""),IF(Programme_Grunddaten!I592="Ja",1,0),"")</f>
        <v/>
      </c>
      <c r="C587" s="1" t="str">
        <f>IF(AND(Programme_Grunddaten!$A592="Geprüft",Programme_Grunddaten!J592&lt;&gt;""),IF(Programme_Grunddaten!J592="Ja",1,0),"")</f>
        <v/>
      </c>
      <c r="D587" s="1" t="str">
        <f>IF(AND(Programme_Grunddaten!$A592="Geprüft",Programme_Grunddaten!K592&lt;&gt;""),IF(Programme_Grunddaten!K592="Ja",1,0),"")</f>
        <v/>
      </c>
      <c r="E587" s="1" t="str">
        <f>IF(AND(Programme_Grunddaten!$A592="Geprüft",Programme_Grunddaten!L592&lt;&gt;""),IF(Programme_Grunddaten!L592="Abo / befristete Lizenz",1,0),"")</f>
        <v/>
      </c>
      <c r="F587" s="1" t="str">
        <f>IF(AND(Programme_Grunddaten!$A592="Geprüft",Programme_Grunddaten!M592&lt;&gt;""),IF(Programme_Grunddaten!M592="Ja",1,0),"")</f>
        <v/>
      </c>
      <c r="G587" s="1" t="str">
        <f>IF(AND(Programme_Grunddaten!$A592="Geprüft",Programme_Grunddaten!N592&lt;&gt;""),IF(Programme_Grunddaten!N592="Ja",1,0),"")</f>
        <v/>
      </c>
      <c r="H587" s="1" t="str">
        <f>IF(AND(Programme_Grunddaten!$A592="Geprüft",Programme_Grunddaten!O592&lt;&gt;""),IF(Programme_Grunddaten!O592="Deutschland",0,IF(Programme_Grunddaten!O592="EU",1,2)),"")</f>
        <v/>
      </c>
      <c r="I587" s="1" t="str">
        <f>IF(AND(Programme_Grunddaten!$A592="Geprüft",Programme_Grunddaten!P592&lt;&gt;""),IF(Programme_Grunddaten!P592="Ja",1,0),"")</f>
        <v/>
      </c>
      <c r="J587" s="1" t="str">
        <f>IF(AND(Programme_Grunddaten!$A592="Geprüft",Programme_Grunddaten!Q592&lt;&gt;""),IF(Programme_Grunddaten!Q592="geschlossenes System",1,0),"")</f>
        <v/>
      </c>
      <c r="K587" s="1" t="str">
        <f>IF(AND(Programme_Grunddaten!$A592="Geprüft",Programme_Grunddaten!R592&lt;&gt;""),IF(Programme_Grunddaten!R592="Ja",1,0),"")</f>
        <v/>
      </c>
      <c r="L587" s="1" t="str">
        <f>IF(AND(Programme_Grunddaten!$A592="Geprüft",Programme_Grunddaten!T592&lt;&gt;""),IF(Programme_Grunddaten!T592="Ja",1,0),"")</f>
        <v/>
      </c>
      <c r="M587" s="1" t="str">
        <f>IF(AND(Programme_Grunddaten!$A592="Geprüft",Programme_Grunddaten!U592&lt;&gt;""),IF(Programme_Grunddaten!U592="Ja",1,0),"")</f>
        <v/>
      </c>
      <c r="N587" s="1" t="str">
        <f>IF(AND(Programme_Grunddaten!$A592="Geprüft",Programme_Grunddaten!V592&lt;&gt;""),IF(Programme_Grunddaten!V592="Ja",1,0),"")</f>
        <v/>
      </c>
      <c r="O587" s="1" t="str">
        <f>IF(AND(Programme_Grunddaten!$A592="Geprüft",Programme_Grunddaten!W592&lt;&gt;""),IF(Programme_Grunddaten!W592="Ja",1,0),"")</f>
        <v/>
      </c>
      <c r="P587" s="1" t="str">
        <f>IF(AND(Programme_Grunddaten!$A592="Geprüft",Programme_Grunddaten!X592&lt;&gt;""),IF(Programme_Grunddaten!X592="Ja",1,0),"")</f>
        <v/>
      </c>
      <c r="Q587" s="1" t="str">
        <f>IF(AND(Programme_Grunddaten!$A592="Geprüft",Programme_Grunddaten!Y592&lt;&gt;""),IF(Programme_Grunddaten!Y592="Ja",1,0),"")</f>
        <v/>
      </c>
      <c r="R587" s="1" t="str">
        <f>IF(AND(Programme_Grunddaten!$A592="Geprüft",Programme_Grunddaten!Z592&lt;&gt;""),IF(Programme_Grunddaten!Z592="Ja",1,0),"")</f>
        <v/>
      </c>
      <c r="S587" s="1" t="str">
        <f>IF(AND(Programme_Grunddaten!$A592="Geprüft",Programme_Grunddaten!AA592&lt;&gt;""),IF(Programme_Grunddaten!AA592="monolithisch",1,0),"")</f>
        <v/>
      </c>
      <c r="T587" s="1" t="str">
        <f>IF(AND(Programme_Grunddaten!$A592="Geprüft",Programme_Grunddaten!AB592&lt;&gt;""),IF(Programme_Grunddaten!AB592="Ja",1,0),"")</f>
        <v/>
      </c>
      <c r="U587" s="1" t="str">
        <f>IF(AND(Programme_Grunddaten!$A592="Geprüft",Programme_Grunddaten!AC592&lt;&gt;""),IF(Programme_Grunddaten!AC592="Ja",1,0),"")</f>
        <v/>
      </c>
      <c r="V587" s="1" t="str">
        <f>IF(AND(Programme_Grunddaten!$A592="Geprüft",Programme_Grunddaten!AD592&lt;&gt;""),IF(Programme_Grunddaten!AD592="Ja",1,0),"")</f>
        <v/>
      </c>
      <c r="W587" s="1" t="str">
        <f>IF(AND(Programme_Grunddaten!$A592="Geprüft",Programme_Grunddaten!AE592&lt;&gt;""),IF(Programme_Grunddaten!AE592="Ja",1,0),"")</f>
        <v/>
      </c>
      <c r="X587" s="1" t="str">
        <f>IF(AND(Programme_Grunddaten!$A592="Geprüft",Programme_Grunddaten!AF592&lt;&gt;""),IF(Programme_Grunddaten!AF592="Ja",1,0),"")</f>
        <v/>
      </c>
      <c r="Y587" s="1" t="str">
        <f>IF(AND(Programme_Grunddaten!$A592="Geprüft",Programme_Grunddaten!AG592&lt;&gt;""),IF(Programme_Grunddaten!AG592="Ja",1,0),"")</f>
        <v/>
      </c>
      <c r="Z587" s="1" t="str">
        <f>IF(AND(Programme_Grunddaten!$A592="Geprüft",Programme_Grunddaten!AH592&lt;&gt;""),IF(Programme_Grunddaten!AH592="Ja",1,0),"")</f>
        <v/>
      </c>
      <c r="AA587" s="1" t="str">
        <f>IF(AND(Programme_Grunddaten!$A592="Geprüft",Programme_Grunddaten!AI592&lt;&gt;""),IF(Programme_Grunddaten!AI592="Ja",1,0),"")</f>
        <v/>
      </c>
      <c r="AB587" s="1" t="str">
        <f>IF(AND(Programme_Grunddaten!$A592="Geprüft",Programme_Grunddaten!AJ592&lt;&gt;""),IF(Programme_Grunddaten!AJ592="individuell programmierbar",1,0),"")</f>
        <v/>
      </c>
      <c r="AC587" s="1" t="str">
        <f>IF(AND(Programme_Grunddaten!$A592="Geprüft",Programme_Grunddaten!AK592&lt;&gt;""),IF(Programme_Grunddaten!AK592="Deutsch",0,IF(Programme_Grunddaten!AK592="Deutsch und Englisch",1,2)),"")</f>
        <v/>
      </c>
      <c r="AD587" s="1" t="str">
        <f>IF(AND(Programme_Grunddaten!$A592="Geprüft",Programme_Grunddaten!AL592&lt;&gt;""),IF(Programme_Grunddaten!AL592="Ja",1,0),"")</f>
        <v/>
      </c>
      <c r="AE587" s="1" t="str">
        <f>IF(AND(Programme_Grunddaten!$A592="Geprüft",Programme_Grunddaten!AM592&lt;&gt;""),IF(Programme_Grunddaten!AM592="Ja",1,0),"")</f>
        <v/>
      </c>
      <c r="AF587" s="1" t="str">
        <f>IF(AND(Programme_Grunddaten!$A592="Geprüft",Programme_Grunddaten!AN592&lt;&gt;""),IF(Programme_Grunddaten!AN592="Ja",1,0),"")</f>
        <v/>
      </c>
      <c r="AG587" s="1" t="str">
        <f>IF(AND(Programme_Grunddaten!$A592="Geprüft",Programme_Grunddaten!AO592&lt;&gt;""),IF(Programme_Grunddaten!AO592="Ja",1,0),"")</f>
        <v/>
      </c>
      <c r="AH587" s="1" t="str">
        <f>IF(AND(Programme_Grunddaten!$A592="Geprüft",Programme_Grunddaten!AP592&lt;&gt;""),IF(Programme_Grunddaten!AP592="Ja",1,0),"")</f>
        <v/>
      </c>
      <c r="AI587" s="1" t="str">
        <f>IF(AND(Programme_Grunddaten!$A592="Geprüft",Programme_Grunddaten!AQ592&lt;&gt;""),IF(Programme_Grunddaten!AQ592="Ja",1,0),"")</f>
        <v/>
      </c>
      <c r="AJ587" s="1" t="str">
        <f>IF(AND(Programme_Grunddaten!$A592="Geprüft",Programme_Grunddaten!AR592&lt;&gt;""),IF(Programme_Grunddaten!AR592="Ja",1,0),"")</f>
        <v/>
      </c>
      <c r="AK587" s="1" t="str">
        <f>IF(AND(Programme_Grunddaten!$A592="Geprüft",Programme_Grunddaten!AS592&lt;&gt;""),IF(Programme_Grunddaten!AS592="Ja",1,0),"")</f>
        <v/>
      </c>
      <c r="AL587" s="1" t="str">
        <f>IF(AND(Programme_Grunddaten!$A592="Geprüft",Programme_Grunddaten!AT592&lt;&gt;""),IF(Programme_Grunddaten!AT592="Ja",1,0),"")</f>
        <v/>
      </c>
      <c r="AM587" s="1" t="str">
        <f>IF(AND(Programme_Grunddaten!$A592="Geprüft",Programme_Grunddaten!AU592&lt;&gt;""),IF(Programme_Grunddaten!AU592="Ja",1,0),"")</f>
        <v/>
      </c>
      <c r="AN587" s="1" t="str">
        <f>IF(AND(Programme_Grunddaten!$A592="Geprüft",Programme_Grunddaten!AV592&lt;&gt;""),IF(Programme_Grunddaten!AV592="Ja",1,0),"")</f>
        <v/>
      </c>
    </row>
    <row r="588" spans="1:40" x14ac:dyDescent="0.3">
      <c r="A588" s="1" t="str">
        <f>IF(AND(Programme_Grunddaten!A593="Geprüft",Programme_Grunddaten!B593&lt;&gt;""),Programme_Grunddaten!B593,"")</f>
        <v/>
      </c>
      <c r="B588" s="1" t="str">
        <f>IF(AND(Programme_Grunddaten!$A593="Geprüft",Programme_Grunddaten!I593&lt;&gt;""),IF(Programme_Grunddaten!I593="Ja",1,0),"")</f>
        <v/>
      </c>
      <c r="C588" s="1" t="str">
        <f>IF(AND(Programme_Grunddaten!$A593="Geprüft",Programme_Grunddaten!J593&lt;&gt;""),IF(Programme_Grunddaten!J593="Ja",1,0),"")</f>
        <v/>
      </c>
      <c r="D588" s="1" t="str">
        <f>IF(AND(Programme_Grunddaten!$A593="Geprüft",Programme_Grunddaten!K593&lt;&gt;""),IF(Programme_Grunddaten!K593="Ja",1,0),"")</f>
        <v/>
      </c>
      <c r="E588" s="1" t="str">
        <f>IF(AND(Programme_Grunddaten!$A593="Geprüft",Programme_Grunddaten!L593&lt;&gt;""),IF(Programme_Grunddaten!L593="Abo / befristete Lizenz",1,0),"")</f>
        <v/>
      </c>
      <c r="F588" s="1" t="str">
        <f>IF(AND(Programme_Grunddaten!$A593="Geprüft",Programme_Grunddaten!M593&lt;&gt;""),IF(Programme_Grunddaten!M593="Ja",1,0),"")</f>
        <v/>
      </c>
      <c r="G588" s="1" t="str">
        <f>IF(AND(Programme_Grunddaten!$A593="Geprüft",Programme_Grunddaten!N593&lt;&gt;""),IF(Programme_Grunddaten!N593="Ja",1,0),"")</f>
        <v/>
      </c>
      <c r="H588" s="1" t="str">
        <f>IF(AND(Programme_Grunddaten!$A593="Geprüft",Programme_Grunddaten!O593&lt;&gt;""),IF(Programme_Grunddaten!O593="Deutschland",0,IF(Programme_Grunddaten!O593="EU",1,2)),"")</f>
        <v/>
      </c>
      <c r="I588" s="1" t="str">
        <f>IF(AND(Programme_Grunddaten!$A593="Geprüft",Programme_Grunddaten!P593&lt;&gt;""),IF(Programme_Grunddaten!P593="Ja",1,0),"")</f>
        <v/>
      </c>
      <c r="J588" s="1" t="str">
        <f>IF(AND(Programme_Grunddaten!$A593="Geprüft",Programme_Grunddaten!Q593&lt;&gt;""),IF(Programme_Grunddaten!Q593="geschlossenes System",1,0),"")</f>
        <v/>
      </c>
      <c r="K588" s="1" t="str">
        <f>IF(AND(Programme_Grunddaten!$A593="Geprüft",Programme_Grunddaten!R593&lt;&gt;""),IF(Programme_Grunddaten!R593="Ja",1,0),"")</f>
        <v/>
      </c>
      <c r="L588" s="1" t="str">
        <f>IF(AND(Programme_Grunddaten!$A593="Geprüft",Programme_Grunddaten!T593&lt;&gt;""),IF(Programme_Grunddaten!T593="Ja",1,0),"")</f>
        <v/>
      </c>
      <c r="M588" s="1" t="str">
        <f>IF(AND(Programme_Grunddaten!$A593="Geprüft",Programme_Grunddaten!U593&lt;&gt;""),IF(Programme_Grunddaten!U593="Ja",1,0),"")</f>
        <v/>
      </c>
      <c r="N588" s="1" t="str">
        <f>IF(AND(Programme_Grunddaten!$A593="Geprüft",Programme_Grunddaten!V593&lt;&gt;""),IF(Programme_Grunddaten!V593="Ja",1,0),"")</f>
        <v/>
      </c>
      <c r="O588" s="1" t="str">
        <f>IF(AND(Programme_Grunddaten!$A593="Geprüft",Programme_Grunddaten!W593&lt;&gt;""),IF(Programme_Grunddaten!W593="Ja",1,0),"")</f>
        <v/>
      </c>
      <c r="P588" s="1" t="str">
        <f>IF(AND(Programme_Grunddaten!$A593="Geprüft",Programme_Grunddaten!X593&lt;&gt;""),IF(Programme_Grunddaten!X593="Ja",1,0),"")</f>
        <v/>
      </c>
      <c r="Q588" s="1" t="str">
        <f>IF(AND(Programme_Grunddaten!$A593="Geprüft",Programme_Grunddaten!Y593&lt;&gt;""),IF(Programme_Grunddaten!Y593="Ja",1,0),"")</f>
        <v/>
      </c>
      <c r="R588" s="1" t="str">
        <f>IF(AND(Programme_Grunddaten!$A593="Geprüft",Programme_Grunddaten!Z593&lt;&gt;""),IF(Programme_Grunddaten!Z593="Ja",1,0),"")</f>
        <v/>
      </c>
      <c r="S588" s="1" t="str">
        <f>IF(AND(Programme_Grunddaten!$A593="Geprüft",Programme_Grunddaten!AA593&lt;&gt;""),IF(Programme_Grunddaten!AA593="monolithisch",1,0),"")</f>
        <v/>
      </c>
      <c r="T588" s="1" t="str">
        <f>IF(AND(Programme_Grunddaten!$A593="Geprüft",Programme_Grunddaten!AB593&lt;&gt;""),IF(Programme_Grunddaten!AB593="Ja",1,0),"")</f>
        <v/>
      </c>
      <c r="U588" s="1" t="str">
        <f>IF(AND(Programme_Grunddaten!$A593="Geprüft",Programme_Grunddaten!AC593&lt;&gt;""),IF(Programme_Grunddaten!AC593="Ja",1,0),"")</f>
        <v/>
      </c>
      <c r="V588" s="1" t="str">
        <f>IF(AND(Programme_Grunddaten!$A593="Geprüft",Programme_Grunddaten!AD593&lt;&gt;""),IF(Programme_Grunddaten!AD593="Ja",1,0),"")</f>
        <v/>
      </c>
      <c r="W588" s="1" t="str">
        <f>IF(AND(Programme_Grunddaten!$A593="Geprüft",Programme_Grunddaten!AE593&lt;&gt;""),IF(Programme_Grunddaten!AE593="Ja",1,0),"")</f>
        <v/>
      </c>
      <c r="X588" s="1" t="str">
        <f>IF(AND(Programme_Grunddaten!$A593="Geprüft",Programme_Grunddaten!AF593&lt;&gt;""),IF(Programme_Grunddaten!AF593="Ja",1,0),"")</f>
        <v/>
      </c>
      <c r="Y588" s="1" t="str">
        <f>IF(AND(Programme_Grunddaten!$A593="Geprüft",Programme_Grunddaten!AG593&lt;&gt;""),IF(Programme_Grunddaten!AG593="Ja",1,0),"")</f>
        <v/>
      </c>
      <c r="Z588" s="1" t="str">
        <f>IF(AND(Programme_Grunddaten!$A593="Geprüft",Programme_Grunddaten!AH593&lt;&gt;""),IF(Programme_Grunddaten!AH593="Ja",1,0),"")</f>
        <v/>
      </c>
      <c r="AA588" s="1" t="str">
        <f>IF(AND(Programme_Grunddaten!$A593="Geprüft",Programme_Grunddaten!AI593&lt;&gt;""),IF(Programme_Grunddaten!AI593="Ja",1,0),"")</f>
        <v/>
      </c>
      <c r="AB588" s="1" t="str">
        <f>IF(AND(Programme_Grunddaten!$A593="Geprüft",Programme_Grunddaten!AJ593&lt;&gt;""),IF(Programme_Grunddaten!AJ593="individuell programmierbar",1,0),"")</f>
        <v/>
      </c>
      <c r="AC588" s="1" t="str">
        <f>IF(AND(Programme_Grunddaten!$A593="Geprüft",Programme_Grunddaten!AK593&lt;&gt;""),IF(Programme_Grunddaten!AK593="Deutsch",0,IF(Programme_Grunddaten!AK593="Deutsch und Englisch",1,2)),"")</f>
        <v/>
      </c>
      <c r="AD588" s="1" t="str">
        <f>IF(AND(Programme_Grunddaten!$A593="Geprüft",Programme_Grunddaten!AL593&lt;&gt;""),IF(Programme_Grunddaten!AL593="Ja",1,0),"")</f>
        <v/>
      </c>
      <c r="AE588" s="1" t="str">
        <f>IF(AND(Programme_Grunddaten!$A593="Geprüft",Programme_Grunddaten!AM593&lt;&gt;""),IF(Programme_Grunddaten!AM593="Ja",1,0),"")</f>
        <v/>
      </c>
      <c r="AF588" s="1" t="str">
        <f>IF(AND(Programme_Grunddaten!$A593="Geprüft",Programme_Grunddaten!AN593&lt;&gt;""),IF(Programme_Grunddaten!AN593="Ja",1,0),"")</f>
        <v/>
      </c>
      <c r="AG588" s="1" t="str">
        <f>IF(AND(Programme_Grunddaten!$A593="Geprüft",Programme_Grunddaten!AO593&lt;&gt;""),IF(Programme_Grunddaten!AO593="Ja",1,0),"")</f>
        <v/>
      </c>
      <c r="AH588" s="1" t="str">
        <f>IF(AND(Programme_Grunddaten!$A593="Geprüft",Programme_Grunddaten!AP593&lt;&gt;""),IF(Programme_Grunddaten!AP593="Ja",1,0),"")</f>
        <v/>
      </c>
      <c r="AI588" s="1" t="str">
        <f>IF(AND(Programme_Grunddaten!$A593="Geprüft",Programme_Grunddaten!AQ593&lt;&gt;""),IF(Programme_Grunddaten!AQ593="Ja",1,0),"")</f>
        <v/>
      </c>
      <c r="AJ588" s="1" t="str">
        <f>IF(AND(Programme_Grunddaten!$A593="Geprüft",Programme_Grunddaten!AR593&lt;&gt;""),IF(Programme_Grunddaten!AR593="Ja",1,0),"")</f>
        <v/>
      </c>
      <c r="AK588" s="1" t="str">
        <f>IF(AND(Programme_Grunddaten!$A593="Geprüft",Programme_Grunddaten!AS593&lt;&gt;""),IF(Programme_Grunddaten!AS593="Ja",1,0),"")</f>
        <v/>
      </c>
      <c r="AL588" s="1" t="str">
        <f>IF(AND(Programme_Grunddaten!$A593="Geprüft",Programme_Grunddaten!AT593&lt;&gt;""),IF(Programme_Grunddaten!AT593="Ja",1,0),"")</f>
        <v/>
      </c>
      <c r="AM588" s="1" t="str">
        <f>IF(AND(Programme_Grunddaten!$A593="Geprüft",Programme_Grunddaten!AU593&lt;&gt;""),IF(Programme_Grunddaten!AU593="Ja",1,0),"")</f>
        <v/>
      </c>
      <c r="AN588" s="1" t="str">
        <f>IF(AND(Programme_Grunddaten!$A593="Geprüft",Programme_Grunddaten!AV593&lt;&gt;""),IF(Programme_Grunddaten!AV593="Ja",1,0),"")</f>
        <v/>
      </c>
    </row>
    <row r="589" spans="1:40" x14ac:dyDescent="0.3">
      <c r="A589" s="1" t="str">
        <f>IF(AND(Programme_Grunddaten!A594="Geprüft",Programme_Grunddaten!B594&lt;&gt;""),Programme_Grunddaten!B594,"")</f>
        <v/>
      </c>
      <c r="B589" s="1" t="str">
        <f>IF(AND(Programme_Grunddaten!$A594="Geprüft",Programme_Grunddaten!I594&lt;&gt;""),IF(Programme_Grunddaten!I594="Ja",1,0),"")</f>
        <v/>
      </c>
      <c r="C589" s="1" t="str">
        <f>IF(AND(Programme_Grunddaten!$A594="Geprüft",Programme_Grunddaten!J594&lt;&gt;""),IF(Programme_Grunddaten!J594="Ja",1,0),"")</f>
        <v/>
      </c>
      <c r="D589" s="1" t="str">
        <f>IF(AND(Programme_Grunddaten!$A594="Geprüft",Programme_Grunddaten!K594&lt;&gt;""),IF(Programme_Grunddaten!K594="Ja",1,0),"")</f>
        <v/>
      </c>
      <c r="E589" s="1" t="str">
        <f>IF(AND(Programme_Grunddaten!$A594="Geprüft",Programme_Grunddaten!L594&lt;&gt;""),IF(Programme_Grunddaten!L594="Abo / befristete Lizenz",1,0),"")</f>
        <v/>
      </c>
      <c r="F589" s="1" t="str">
        <f>IF(AND(Programme_Grunddaten!$A594="Geprüft",Programme_Grunddaten!M594&lt;&gt;""),IF(Programme_Grunddaten!M594="Ja",1,0),"")</f>
        <v/>
      </c>
      <c r="G589" s="1" t="str">
        <f>IF(AND(Programme_Grunddaten!$A594="Geprüft",Programme_Grunddaten!N594&lt;&gt;""),IF(Programme_Grunddaten!N594="Ja",1,0),"")</f>
        <v/>
      </c>
      <c r="H589" s="1" t="str">
        <f>IF(AND(Programme_Grunddaten!$A594="Geprüft",Programme_Grunddaten!O594&lt;&gt;""),IF(Programme_Grunddaten!O594="Deutschland",0,IF(Programme_Grunddaten!O594="EU",1,2)),"")</f>
        <v/>
      </c>
      <c r="I589" s="1" t="str">
        <f>IF(AND(Programme_Grunddaten!$A594="Geprüft",Programme_Grunddaten!P594&lt;&gt;""),IF(Programme_Grunddaten!P594="Ja",1,0),"")</f>
        <v/>
      </c>
      <c r="J589" s="1" t="str">
        <f>IF(AND(Programme_Grunddaten!$A594="Geprüft",Programme_Grunddaten!Q594&lt;&gt;""),IF(Programme_Grunddaten!Q594="geschlossenes System",1,0),"")</f>
        <v/>
      </c>
      <c r="K589" s="1" t="str">
        <f>IF(AND(Programme_Grunddaten!$A594="Geprüft",Programme_Grunddaten!R594&lt;&gt;""),IF(Programme_Grunddaten!R594="Ja",1,0),"")</f>
        <v/>
      </c>
      <c r="L589" s="1" t="str">
        <f>IF(AND(Programme_Grunddaten!$A594="Geprüft",Programme_Grunddaten!T594&lt;&gt;""),IF(Programme_Grunddaten!T594="Ja",1,0),"")</f>
        <v/>
      </c>
      <c r="M589" s="1" t="str">
        <f>IF(AND(Programme_Grunddaten!$A594="Geprüft",Programme_Grunddaten!U594&lt;&gt;""),IF(Programme_Grunddaten!U594="Ja",1,0),"")</f>
        <v/>
      </c>
      <c r="N589" s="1" t="str">
        <f>IF(AND(Programme_Grunddaten!$A594="Geprüft",Programme_Grunddaten!V594&lt;&gt;""),IF(Programme_Grunddaten!V594="Ja",1,0),"")</f>
        <v/>
      </c>
      <c r="O589" s="1" t="str">
        <f>IF(AND(Programme_Grunddaten!$A594="Geprüft",Programme_Grunddaten!W594&lt;&gt;""),IF(Programme_Grunddaten!W594="Ja",1,0),"")</f>
        <v/>
      </c>
      <c r="P589" s="1" t="str">
        <f>IF(AND(Programme_Grunddaten!$A594="Geprüft",Programme_Grunddaten!X594&lt;&gt;""),IF(Programme_Grunddaten!X594="Ja",1,0),"")</f>
        <v/>
      </c>
      <c r="Q589" s="1" t="str">
        <f>IF(AND(Programme_Grunddaten!$A594="Geprüft",Programme_Grunddaten!Y594&lt;&gt;""),IF(Programme_Grunddaten!Y594="Ja",1,0),"")</f>
        <v/>
      </c>
      <c r="R589" s="1" t="str">
        <f>IF(AND(Programme_Grunddaten!$A594="Geprüft",Programme_Grunddaten!Z594&lt;&gt;""),IF(Programme_Grunddaten!Z594="Ja",1,0),"")</f>
        <v/>
      </c>
      <c r="S589" s="1" t="str">
        <f>IF(AND(Programme_Grunddaten!$A594="Geprüft",Programme_Grunddaten!AA594&lt;&gt;""),IF(Programme_Grunddaten!AA594="monolithisch",1,0),"")</f>
        <v/>
      </c>
      <c r="T589" s="1" t="str">
        <f>IF(AND(Programme_Grunddaten!$A594="Geprüft",Programme_Grunddaten!AB594&lt;&gt;""),IF(Programme_Grunddaten!AB594="Ja",1,0),"")</f>
        <v/>
      </c>
      <c r="U589" s="1" t="str">
        <f>IF(AND(Programme_Grunddaten!$A594="Geprüft",Programme_Grunddaten!AC594&lt;&gt;""),IF(Programme_Grunddaten!AC594="Ja",1,0),"")</f>
        <v/>
      </c>
      <c r="V589" s="1" t="str">
        <f>IF(AND(Programme_Grunddaten!$A594="Geprüft",Programme_Grunddaten!AD594&lt;&gt;""),IF(Programme_Grunddaten!AD594="Ja",1,0),"")</f>
        <v/>
      </c>
      <c r="W589" s="1" t="str">
        <f>IF(AND(Programme_Grunddaten!$A594="Geprüft",Programme_Grunddaten!AE594&lt;&gt;""),IF(Programme_Grunddaten!AE594="Ja",1,0),"")</f>
        <v/>
      </c>
      <c r="X589" s="1" t="str">
        <f>IF(AND(Programme_Grunddaten!$A594="Geprüft",Programme_Grunddaten!AF594&lt;&gt;""),IF(Programme_Grunddaten!AF594="Ja",1,0),"")</f>
        <v/>
      </c>
      <c r="Y589" s="1" t="str">
        <f>IF(AND(Programme_Grunddaten!$A594="Geprüft",Programme_Grunddaten!AG594&lt;&gt;""),IF(Programme_Grunddaten!AG594="Ja",1,0),"")</f>
        <v/>
      </c>
      <c r="Z589" s="1" t="str">
        <f>IF(AND(Programme_Grunddaten!$A594="Geprüft",Programme_Grunddaten!AH594&lt;&gt;""),IF(Programme_Grunddaten!AH594="Ja",1,0),"")</f>
        <v/>
      </c>
      <c r="AA589" s="1" t="str">
        <f>IF(AND(Programme_Grunddaten!$A594="Geprüft",Programme_Grunddaten!AI594&lt;&gt;""),IF(Programme_Grunddaten!AI594="Ja",1,0),"")</f>
        <v/>
      </c>
      <c r="AB589" s="1" t="str">
        <f>IF(AND(Programme_Grunddaten!$A594="Geprüft",Programme_Grunddaten!AJ594&lt;&gt;""),IF(Programme_Grunddaten!AJ594="individuell programmierbar",1,0),"")</f>
        <v/>
      </c>
      <c r="AC589" s="1" t="str">
        <f>IF(AND(Programme_Grunddaten!$A594="Geprüft",Programme_Grunddaten!AK594&lt;&gt;""),IF(Programme_Grunddaten!AK594="Deutsch",0,IF(Programme_Grunddaten!AK594="Deutsch und Englisch",1,2)),"")</f>
        <v/>
      </c>
      <c r="AD589" s="1" t="str">
        <f>IF(AND(Programme_Grunddaten!$A594="Geprüft",Programme_Grunddaten!AL594&lt;&gt;""),IF(Programme_Grunddaten!AL594="Ja",1,0),"")</f>
        <v/>
      </c>
      <c r="AE589" s="1" t="str">
        <f>IF(AND(Programme_Grunddaten!$A594="Geprüft",Programme_Grunddaten!AM594&lt;&gt;""),IF(Programme_Grunddaten!AM594="Ja",1,0),"")</f>
        <v/>
      </c>
      <c r="AF589" s="1" t="str">
        <f>IF(AND(Programme_Grunddaten!$A594="Geprüft",Programme_Grunddaten!AN594&lt;&gt;""),IF(Programme_Grunddaten!AN594="Ja",1,0),"")</f>
        <v/>
      </c>
      <c r="AG589" s="1" t="str">
        <f>IF(AND(Programme_Grunddaten!$A594="Geprüft",Programme_Grunddaten!AO594&lt;&gt;""),IF(Programme_Grunddaten!AO594="Ja",1,0),"")</f>
        <v/>
      </c>
      <c r="AH589" s="1" t="str">
        <f>IF(AND(Programme_Grunddaten!$A594="Geprüft",Programme_Grunddaten!AP594&lt;&gt;""),IF(Programme_Grunddaten!AP594="Ja",1,0),"")</f>
        <v/>
      </c>
      <c r="AI589" s="1" t="str">
        <f>IF(AND(Programme_Grunddaten!$A594="Geprüft",Programme_Grunddaten!AQ594&lt;&gt;""),IF(Programme_Grunddaten!AQ594="Ja",1,0),"")</f>
        <v/>
      </c>
      <c r="AJ589" s="1" t="str">
        <f>IF(AND(Programme_Grunddaten!$A594="Geprüft",Programme_Grunddaten!AR594&lt;&gt;""),IF(Programme_Grunddaten!AR594="Ja",1,0),"")</f>
        <v/>
      </c>
      <c r="AK589" s="1" t="str">
        <f>IF(AND(Programme_Grunddaten!$A594="Geprüft",Programme_Grunddaten!AS594&lt;&gt;""),IF(Programme_Grunddaten!AS594="Ja",1,0),"")</f>
        <v/>
      </c>
      <c r="AL589" s="1" t="str">
        <f>IF(AND(Programme_Grunddaten!$A594="Geprüft",Programme_Grunddaten!AT594&lt;&gt;""),IF(Programme_Grunddaten!AT594="Ja",1,0),"")</f>
        <v/>
      </c>
      <c r="AM589" s="1" t="str">
        <f>IF(AND(Programme_Grunddaten!$A594="Geprüft",Programme_Grunddaten!AU594&lt;&gt;""),IF(Programme_Grunddaten!AU594="Ja",1,0),"")</f>
        <v/>
      </c>
      <c r="AN589" s="1" t="str">
        <f>IF(AND(Programme_Grunddaten!$A594="Geprüft",Programme_Grunddaten!AV594&lt;&gt;""),IF(Programme_Grunddaten!AV594="Ja",1,0),"")</f>
        <v/>
      </c>
    </row>
    <row r="590" spans="1:40" x14ac:dyDescent="0.3">
      <c r="A590" s="1" t="str">
        <f>IF(AND(Programme_Grunddaten!A595="Geprüft",Programme_Grunddaten!B595&lt;&gt;""),Programme_Grunddaten!B595,"")</f>
        <v/>
      </c>
      <c r="B590" s="1" t="str">
        <f>IF(AND(Programme_Grunddaten!$A595="Geprüft",Programme_Grunddaten!I595&lt;&gt;""),IF(Programme_Grunddaten!I595="Ja",1,0),"")</f>
        <v/>
      </c>
      <c r="C590" s="1" t="str">
        <f>IF(AND(Programme_Grunddaten!$A595="Geprüft",Programme_Grunddaten!J595&lt;&gt;""),IF(Programme_Grunddaten!J595="Ja",1,0),"")</f>
        <v/>
      </c>
      <c r="D590" s="1" t="str">
        <f>IF(AND(Programme_Grunddaten!$A595="Geprüft",Programme_Grunddaten!K595&lt;&gt;""),IF(Programme_Grunddaten!K595="Ja",1,0),"")</f>
        <v/>
      </c>
      <c r="E590" s="1" t="str">
        <f>IF(AND(Programme_Grunddaten!$A595="Geprüft",Programme_Grunddaten!L595&lt;&gt;""),IF(Programme_Grunddaten!L595="Abo / befristete Lizenz",1,0),"")</f>
        <v/>
      </c>
      <c r="F590" s="1" t="str">
        <f>IF(AND(Programme_Grunddaten!$A595="Geprüft",Programme_Grunddaten!M595&lt;&gt;""),IF(Programme_Grunddaten!M595="Ja",1,0),"")</f>
        <v/>
      </c>
      <c r="G590" s="1" t="str">
        <f>IF(AND(Programme_Grunddaten!$A595="Geprüft",Programme_Grunddaten!N595&lt;&gt;""),IF(Programme_Grunddaten!N595="Ja",1,0),"")</f>
        <v/>
      </c>
      <c r="H590" s="1" t="str">
        <f>IF(AND(Programme_Grunddaten!$A595="Geprüft",Programme_Grunddaten!O595&lt;&gt;""),IF(Programme_Grunddaten!O595="Deutschland",0,IF(Programme_Grunddaten!O595="EU",1,2)),"")</f>
        <v/>
      </c>
      <c r="I590" s="1" t="str">
        <f>IF(AND(Programme_Grunddaten!$A595="Geprüft",Programme_Grunddaten!P595&lt;&gt;""),IF(Programme_Grunddaten!P595="Ja",1,0),"")</f>
        <v/>
      </c>
      <c r="J590" s="1" t="str">
        <f>IF(AND(Programme_Grunddaten!$A595="Geprüft",Programme_Grunddaten!Q595&lt;&gt;""),IF(Programme_Grunddaten!Q595="geschlossenes System",1,0),"")</f>
        <v/>
      </c>
      <c r="K590" s="1" t="str">
        <f>IF(AND(Programme_Grunddaten!$A595="Geprüft",Programme_Grunddaten!R595&lt;&gt;""),IF(Programme_Grunddaten!R595="Ja",1,0),"")</f>
        <v/>
      </c>
      <c r="L590" s="1" t="str">
        <f>IF(AND(Programme_Grunddaten!$A595="Geprüft",Programme_Grunddaten!T595&lt;&gt;""),IF(Programme_Grunddaten!T595="Ja",1,0),"")</f>
        <v/>
      </c>
      <c r="M590" s="1" t="str">
        <f>IF(AND(Programme_Grunddaten!$A595="Geprüft",Programme_Grunddaten!U595&lt;&gt;""),IF(Programme_Grunddaten!U595="Ja",1,0),"")</f>
        <v/>
      </c>
      <c r="N590" s="1" t="str">
        <f>IF(AND(Programme_Grunddaten!$A595="Geprüft",Programme_Grunddaten!V595&lt;&gt;""),IF(Programme_Grunddaten!V595="Ja",1,0),"")</f>
        <v/>
      </c>
      <c r="O590" s="1" t="str">
        <f>IF(AND(Programme_Grunddaten!$A595="Geprüft",Programme_Grunddaten!W595&lt;&gt;""),IF(Programme_Grunddaten!W595="Ja",1,0),"")</f>
        <v/>
      </c>
      <c r="P590" s="1" t="str">
        <f>IF(AND(Programme_Grunddaten!$A595="Geprüft",Programme_Grunddaten!X595&lt;&gt;""),IF(Programme_Grunddaten!X595="Ja",1,0),"")</f>
        <v/>
      </c>
      <c r="Q590" s="1" t="str">
        <f>IF(AND(Programme_Grunddaten!$A595="Geprüft",Programme_Grunddaten!Y595&lt;&gt;""),IF(Programme_Grunddaten!Y595="Ja",1,0),"")</f>
        <v/>
      </c>
      <c r="R590" s="1" t="str">
        <f>IF(AND(Programme_Grunddaten!$A595="Geprüft",Programme_Grunddaten!Z595&lt;&gt;""),IF(Programme_Grunddaten!Z595="Ja",1,0),"")</f>
        <v/>
      </c>
      <c r="S590" s="1" t="str">
        <f>IF(AND(Programme_Grunddaten!$A595="Geprüft",Programme_Grunddaten!AA595&lt;&gt;""),IF(Programme_Grunddaten!AA595="monolithisch",1,0),"")</f>
        <v/>
      </c>
      <c r="T590" s="1" t="str">
        <f>IF(AND(Programme_Grunddaten!$A595="Geprüft",Programme_Grunddaten!AB595&lt;&gt;""),IF(Programme_Grunddaten!AB595="Ja",1,0),"")</f>
        <v/>
      </c>
      <c r="U590" s="1" t="str">
        <f>IF(AND(Programme_Grunddaten!$A595="Geprüft",Programme_Grunddaten!AC595&lt;&gt;""),IF(Programme_Grunddaten!AC595="Ja",1,0),"")</f>
        <v/>
      </c>
      <c r="V590" s="1" t="str">
        <f>IF(AND(Programme_Grunddaten!$A595="Geprüft",Programme_Grunddaten!AD595&lt;&gt;""),IF(Programme_Grunddaten!AD595="Ja",1,0),"")</f>
        <v/>
      </c>
      <c r="W590" s="1" t="str">
        <f>IF(AND(Programme_Grunddaten!$A595="Geprüft",Programme_Grunddaten!AE595&lt;&gt;""),IF(Programme_Grunddaten!AE595="Ja",1,0),"")</f>
        <v/>
      </c>
      <c r="X590" s="1" t="str">
        <f>IF(AND(Programme_Grunddaten!$A595="Geprüft",Programme_Grunddaten!AF595&lt;&gt;""),IF(Programme_Grunddaten!AF595="Ja",1,0),"")</f>
        <v/>
      </c>
      <c r="Y590" s="1" t="str">
        <f>IF(AND(Programme_Grunddaten!$A595="Geprüft",Programme_Grunddaten!AG595&lt;&gt;""),IF(Programme_Grunddaten!AG595="Ja",1,0),"")</f>
        <v/>
      </c>
      <c r="Z590" s="1" t="str">
        <f>IF(AND(Programme_Grunddaten!$A595="Geprüft",Programme_Grunddaten!AH595&lt;&gt;""),IF(Programme_Grunddaten!AH595="Ja",1,0),"")</f>
        <v/>
      </c>
      <c r="AA590" s="1" t="str">
        <f>IF(AND(Programme_Grunddaten!$A595="Geprüft",Programme_Grunddaten!AI595&lt;&gt;""),IF(Programme_Grunddaten!AI595="Ja",1,0),"")</f>
        <v/>
      </c>
      <c r="AB590" s="1" t="str">
        <f>IF(AND(Programme_Grunddaten!$A595="Geprüft",Programme_Grunddaten!AJ595&lt;&gt;""),IF(Programme_Grunddaten!AJ595="individuell programmierbar",1,0),"")</f>
        <v/>
      </c>
      <c r="AC590" s="1" t="str">
        <f>IF(AND(Programme_Grunddaten!$A595="Geprüft",Programme_Grunddaten!AK595&lt;&gt;""),IF(Programme_Grunddaten!AK595="Deutsch",0,IF(Programme_Grunddaten!AK595="Deutsch und Englisch",1,2)),"")</f>
        <v/>
      </c>
      <c r="AD590" s="1" t="str">
        <f>IF(AND(Programme_Grunddaten!$A595="Geprüft",Programme_Grunddaten!AL595&lt;&gt;""),IF(Programme_Grunddaten!AL595="Ja",1,0),"")</f>
        <v/>
      </c>
      <c r="AE590" s="1" t="str">
        <f>IF(AND(Programme_Grunddaten!$A595="Geprüft",Programme_Grunddaten!AM595&lt;&gt;""),IF(Programme_Grunddaten!AM595="Ja",1,0),"")</f>
        <v/>
      </c>
      <c r="AF590" s="1" t="str">
        <f>IF(AND(Programme_Grunddaten!$A595="Geprüft",Programme_Grunddaten!AN595&lt;&gt;""),IF(Programme_Grunddaten!AN595="Ja",1,0),"")</f>
        <v/>
      </c>
      <c r="AG590" s="1" t="str">
        <f>IF(AND(Programme_Grunddaten!$A595="Geprüft",Programme_Grunddaten!AO595&lt;&gt;""),IF(Programme_Grunddaten!AO595="Ja",1,0),"")</f>
        <v/>
      </c>
      <c r="AH590" s="1" t="str">
        <f>IF(AND(Programme_Grunddaten!$A595="Geprüft",Programme_Grunddaten!AP595&lt;&gt;""),IF(Programme_Grunddaten!AP595="Ja",1,0),"")</f>
        <v/>
      </c>
      <c r="AI590" s="1" t="str">
        <f>IF(AND(Programme_Grunddaten!$A595="Geprüft",Programme_Grunddaten!AQ595&lt;&gt;""),IF(Programme_Grunddaten!AQ595="Ja",1,0),"")</f>
        <v/>
      </c>
      <c r="AJ590" s="1" t="str">
        <f>IF(AND(Programme_Grunddaten!$A595="Geprüft",Programme_Grunddaten!AR595&lt;&gt;""),IF(Programme_Grunddaten!AR595="Ja",1,0),"")</f>
        <v/>
      </c>
      <c r="AK590" s="1" t="str">
        <f>IF(AND(Programme_Grunddaten!$A595="Geprüft",Programme_Grunddaten!AS595&lt;&gt;""),IF(Programme_Grunddaten!AS595="Ja",1,0),"")</f>
        <v/>
      </c>
      <c r="AL590" s="1" t="str">
        <f>IF(AND(Programme_Grunddaten!$A595="Geprüft",Programme_Grunddaten!AT595&lt;&gt;""),IF(Programme_Grunddaten!AT595="Ja",1,0),"")</f>
        <v/>
      </c>
      <c r="AM590" s="1" t="str">
        <f>IF(AND(Programme_Grunddaten!$A595="Geprüft",Programme_Grunddaten!AU595&lt;&gt;""),IF(Programme_Grunddaten!AU595="Ja",1,0),"")</f>
        <v/>
      </c>
      <c r="AN590" s="1" t="str">
        <f>IF(AND(Programme_Grunddaten!$A595="Geprüft",Programme_Grunddaten!AV595&lt;&gt;""),IF(Programme_Grunddaten!AV595="Ja",1,0),"")</f>
        <v/>
      </c>
    </row>
    <row r="591" spans="1:40" x14ac:dyDescent="0.3">
      <c r="A591" s="1" t="str">
        <f>IF(AND(Programme_Grunddaten!A596="Geprüft",Programme_Grunddaten!B596&lt;&gt;""),Programme_Grunddaten!B596,"")</f>
        <v/>
      </c>
      <c r="B591" s="1" t="str">
        <f>IF(AND(Programme_Grunddaten!$A596="Geprüft",Programme_Grunddaten!I596&lt;&gt;""),IF(Programme_Grunddaten!I596="Ja",1,0),"")</f>
        <v/>
      </c>
      <c r="C591" s="1" t="str">
        <f>IF(AND(Programme_Grunddaten!$A596="Geprüft",Programme_Grunddaten!J596&lt;&gt;""),IF(Programme_Grunddaten!J596="Ja",1,0),"")</f>
        <v/>
      </c>
      <c r="D591" s="1" t="str">
        <f>IF(AND(Programme_Grunddaten!$A596="Geprüft",Programme_Grunddaten!K596&lt;&gt;""),IF(Programme_Grunddaten!K596="Ja",1,0),"")</f>
        <v/>
      </c>
      <c r="E591" s="1" t="str">
        <f>IF(AND(Programme_Grunddaten!$A596="Geprüft",Programme_Grunddaten!L596&lt;&gt;""),IF(Programme_Grunddaten!L596="Abo / befristete Lizenz",1,0),"")</f>
        <v/>
      </c>
      <c r="F591" s="1" t="str">
        <f>IF(AND(Programme_Grunddaten!$A596="Geprüft",Programme_Grunddaten!M596&lt;&gt;""),IF(Programme_Grunddaten!M596="Ja",1,0),"")</f>
        <v/>
      </c>
      <c r="G591" s="1" t="str">
        <f>IF(AND(Programme_Grunddaten!$A596="Geprüft",Programme_Grunddaten!N596&lt;&gt;""),IF(Programme_Grunddaten!N596="Ja",1,0),"")</f>
        <v/>
      </c>
      <c r="H591" s="1" t="str">
        <f>IF(AND(Programme_Grunddaten!$A596="Geprüft",Programme_Grunddaten!O596&lt;&gt;""),IF(Programme_Grunddaten!O596="Deutschland",0,IF(Programme_Grunddaten!O596="EU",1,2)),"")</f>
        <v/>
      </c>
      <c r="I591" s="1" t="str">
        <f>IF(AND(Programme_Grunddaten!$A596="Geprüft",Programme_Grunddaten!P596&lt;&gt;""),IF(Programme_Grunddaten!P596="Ja",1,0),"")</f>
        <v/>
      </c>
      <c r="J591" s="1" t="str">
        <f>IF(AND(Programme_Grunddaten!$A596="Geprüft",Programme_Grunddaten!Q596&lt;&gt;""),IF(Programme_Grunddaten!Q596="geschlossenes System",1,0),"")</f>
        <v/>
      </c>
      <c r="K591" s="1" t="str">
        <f>IF(AND(Programme_Grunddaten!$A596="Geprüft",Programme_Grunddaten!R596&lt;&gt;""),IF(Programme_Grunddaten!R596="Ja",1,0),"")</f>
        <v/>
      </c>
      <c r="L591" s="1" t="str">
        <f>IF(AND(Programme_Grunddaten!$A596="Geprüft",Programme_Grunddaten!T596&lt;&gt;""),IF(Programme_Grunddaten!T596="Ja",1,0),"")</f>
        <v/>
      </c>
      <c r="M591" s="1" t="str">
        <f>IF(AND(Programme_Grunddaten!$A596="Geprüft",Programme_Grunddaten!U596&lt;&gt;""),IF(Programme_Grunddaten!U596="Ja",1,0),"")</f>
        <v/>
      </c>
      <c r="N591" s="1" t="str">
        <f>IF(AND(Programme_Grunddaten!$A596="Geprüft",Programme_Grunddaten!V596&lt;&gt;""),IF(Programme_Grunddaten!V596="Ja",1,0),"")</f>
        <v/>
      </c>
      <c r="O591" s="1" t="str">
        <f>IF(AND(Programme_Grunddaten!$A596="Geprüft",Programme_Grunddaten!W596&lt;&gt;""),IF(Programme_Grunddaten!W596="Ja",1,0),"")</f>
        <v/>
      </c>
      <c r="P591" s="1" t="str">
        <f>IF(AND(Programme_Grunddaten!$A596="Geprüft",Programme_Grunddaten!X596&lt;&gt;""),IF(Programme_Grunddaten!X596="Ja",1,0),"")</f>
        <v/>
      </c>
      <c r="Q591" s="1" t="str">
        <f>IF(AND(Programme_Grunddaten!$A596="Geprüft",Programme_Grunddaten!Y596&lt;&gt;""),IF(Programme_Grunddaten!Y596="Ja",1,0),"")</f>
        <v/>
      </c>
      <c r="R591" s="1" t="str">
        <f>IF(AND(Programme_Grunddaten!$A596="Geprüft",Programme_Grunddaten!Z596&lt;&gt;""),IF(Programme_Grunddaten!Z596="Ja",1,0),"")</f>
        <v/>
      </c>
      <c r="S591" s="1" t="str">
        <f>IF(AND(Programme_Grunddaten!$A596="Geprüft",Programme_Grunddaten!AA596&lt;&gt;""),IF(Programme_Grunddaten!AA596="monolithisch",1,0),"")</f>
        <v/>
      </c>
      <c r="T591" s="1" t="str">
        <f>IF(AND(Programme_Grunddaten!$A596="Geprüft",Programme_Grunddaten!AB596&lt;&gt;""),IF(Programme_Grunddaten!AB596="Ja",1,0),"")</f>
        <v/>
      </c>
      <c r="U591" s="1" t="str">
        <f>IF(AND(Programme_Grunddaten!$A596="Geprüft",Programme_Grunddaten!AC596&lt;&gt;""),IF(Programme_Grunddaten!AC596="Ja",1,0),"")</f>
        <v/>
      </c>
      <c r="V591" s="1" t="str">
        <f>IF(AND(Programme_Grunddaten!$A596="Geprüft",Programme_Grunddaten!AD596&lt;&gt;""),IF(Programme_Grunddaten!AD596="Ja",1,0),"")</f>
        <v/>
      </c>
      <c r="W591" s="1" t="str">
        <f>IF(AND(Programme_Grunddaten!$A596="Geprüft",Programme_Grunddaten!AE596&lt;&gt;""),IF(Programme_Grunddaten!AE596="Ja",1,0),"")</f>
        <v/>
      </c>
      <c r="X591" s="1" t="str">
        <f>IF(AND(Programme_Grunddaten!$A596="Geprüft",Programme_Grunddaten!AF596&lt;&gt;""),IF(Programme_Grunddaten!AF596="Ja",1,0),"")</f>
        <v/>
      </c>
      <c r="Y591" s="1" t="str">
        <f>IF(AND(Programme_Grunddaten!$A596="Geprüft",Programme_Grunddaten!AG596&lt;&gt;""),IF(Programme_Grunddaten!AG596="Ja",1,0),"")</f>
        <v/>
      </c>
      <c r="Z591" s="1" t="str">
        <f>IF(AND(Programme_Grunddaten!$A596="Geprüft",Programme_Grunddaten!AH596&lt;&gt;""),IF(Programme_Grunddaten!AH596="Ja",1,0),"")</f>
        <v/>
      </c>
      <c r="AA591" s="1" t="str">
        <f>IF(AND(Programme_Grunddaten!$A596="Geprüft",Programme_Grunddaten!AI596&lt;&gt;""),IF(Programme_Grunddaten!AI596="Ja",1,0),"")</f>
        <v/>
      </c>
      <c r="AB591" s="1" t="str">
        <f>IF(AND(Programme_Grunddaten!$A596="Geprüft",Programme_Grunddaten!AJ596&lt;&gt;""),IF(Programme_Grunddaten!AJ596="individuell programmierbar",1,0),"")</f>
        <v/>
      </c>
      <c r="AC591" s="1" t="str">
        <f>IF(AND(Programme_Grunddaten!$A596="Geprüft",Programme_Grunddaten!AK596&lt;&gt;""),IF(Programme_Grunddaten!AK596="Deutsch",0,IF(Programme_Grunddaten!AK596="Deutsch und Englisch",1,2)),"")</f>
        <v/>
      </c>
      <c r="AD591" s="1" t="str">
        <f>IF(AND(Programme_Grunddaten!$A596="Geprüft",Programme_Grunddaten!AL596&lt;&gt;""),IF(Programme_Grunddaten!AL596="Ja",1,0),"")</f>
        <v/>
      </c>
      <c r="AE591" s="1" t="str">
        <f>IF(AND(Programme_Grunddaten!$A596="Geprüft",Programme_Grunddaten!AM596&lt;&gt;""),IF(Programme_Grunddaten!AM596="Ja",1,0),"")</f>
        <v/>
      </c>
      <c r="AF591" s="1" t="str">
        <f>IF(AND(Programme_Grunddaten!$A596="Geprüft",Programme_Grunddaten!AN596&lt;&gt;""),IF(Programme_Grunddaten!AN596="Ja",1,0),"")</f>
        <v/>
      </c>
      <c r="AG591" s="1" t="str">
        <f>IF(AND(Programme_Grunddaten!$A596="Geprüft",Programme_Grunddaten!AO596&lt;&gt;""),IF(Programme_Grunddaten!AO596="Ja",1,0),"")</f>
        <v/>
      </c>
      <c r="AH591" s="1" t="str">
        <f>IF(AND(Programme_Grunddaten!$A596="Geprüft",Programme_Grunddaten!AP596&lt;&gt;""),IF(Programme_Grunddaten!AP596="Ja",1,0),"")</f>
        <v/>
      </c>
      <c r="AI591" s="1" t="str">
        <f>IF(AND(Programme_Grunddaten!$A596="Geprüft",Programme_Grunddaten!AQ596&lt;&gt;""),IF(Programme_Grunddaten!AQ596="Ja",1,0),"")</f>
        <v/>
      </c>
      <c r="AJ591" s="1" t="str">
        <f>IF(AND(Programme_Grunddaten!$A596="Geprüft",Programme_Grunddaten!AR596&lt;&gt;""),IF(Programme_Grunddaten!AR596="Ja",1,0),"")</f>
        <v/>
      </c>
      <c r="AK591" s="1" t="str">
        <f>IF(AND(Programme_Grunddaten!$A596="Geprüft",Programme_Grunddaten!AS596&lt;&gt;""),IF(Programme_Grunddaten!AS596="Ja",1,0),"")</f>
        <v/>
      </c>
      <c r="AL591" s="1" t="str">
        <f>IF(AND(Programme_Grunddaten!$A596="Geprüft",Programme_Grunddaten!AT596&lt;&gt;""),IF(Programme_Grunddaten!AT596="Ja",1,0),"")</f>
        <v/>
      </c>
      <c r="AM591" s="1" t="str">
        <f>IF(AND(Programme_Grunddaten!$A596="Geprüft",Programme_Grunddaten!AU596&lt;&gt;""),IF(Programme_Grunddaten!AU596="Ja",1,0),"")</f>
        <v/>
      </c>
      <c r="AN591" s="1" t="str">
        <f>IF(AND(Programme_Grunddaten!$A596="Geprüft",Programme_Grunddaten!AV596&lt;&gt;""),IF(Programme_Grunddaten!AV596="Ja",1,0),"")</f>
        <v/>
      </c>
    </row>
    <row r="592" spans="1:40" x14ac:dyDescent="0.3">
      <c r="A592" s="1" t="str">
        <f>IF(AND(Programme_Grunddaten!A597="Geprüft",Programme_Grunddaten!B597&lt;&gt;""),Programme_Grunddaten!B597,"")</f>
        <v/>
      </c>
      <c r="B592" s="1" t="str">
        <f>IF(AND(Programme_Grunddaten!$A597="Geprüft",Programme_Grunddaten!I597&lt;&gt;""),IF(Programme_Grunddaten!I597="Ja",1,0),"")</f>
        <v/>
      </c>
      <c r="C592" s="1" t="str">
        <f>IF(AND(Programme_Grunddaten!$A597="Geprüft",Programme_Grunddaten!J597&lt;&gt;""),IF(Programme_Grunddaten!J597="Ja",1,0),"")</f>
        <v/>
      </c>
      <c r="D592" s="1" t="str">
        <f>IF(AND(Programme_Grunddaten!$A597="Geprüft",Programme_Grunddaten!K597&lt;&gt;""),IF(Programme_Grunddaten!K597="Ja",1,0),"")</f>
        <v/>
      </c>
      <c r="E592" s="1" t="str">
        <f>IF(AND(Programme_Grunddaten!$A597="Geprüft",Programme_Grunddaten!L597&lt;&gt;""),IF(Programme_Grunddaten!L597="Abo / befristete Lizenz",1,0),"")</f>
        <v/>
      </c>
      <c r="F592" s="1" t="str">
        <f>IF(AND(Programme_Grunddaten!$A597="Geprüft",Programme_Grunddaten!M597&lt;&gt;""),IF(Programme_Grunddaten!M597="Ja",1,0),"")</f>
        <v/>
      </c>
      <c r="G592" s="1" t="str">
        <f>IF(AND(Programme_Grunddaten!$A597="Geprüft",Programme_Grunddaten!N597&lt;&gt;""),IF(Programme_Grunddaten!N597="Ja",1,0),"")</f>
        <v/>
      </c>
      <c r="H592" s="1" t="str">
        <f>IF(AND(Programme_Grunddaten!$A597="Geprüft",Programme_Grunddaten!O597&lt;&gt;""),IF(Programme_Grunddaten!O597="Deutschland",0,IF(Programme_Grunddaten!O597="EU",1,2)),"")</f>
        <v/>
      </c>
      <c r="I592" s="1" t="str">
        <f>IF(AND(Programme_Grunddaten!$A597="Geprüft",Programme_Grunddaten!P597&lt;&gt;""),IF(Programme_Grunddaten!P597="Ja",1,0),"")</f>
        <v/>
      </c>
      <c r="J592" s="1" t="str">
        <f>IF(AND(Programme_Grunddaten!$A597="Geprüft",Programme_Grunddaten!Q597&lt;&gt;""),IF(Programme_Grunddaten!Q597="geschlossenes System",1,0),"")</f>
        <v/>
      </c>
      <c r="K592" s="1" t="str">
        <f>IF(AND(Programme_Grunddaten!$A597="Geprüft",Programme_Grunddaten!R597&lt;&gt;""),IF(Programme_Grunddaten!R597="Ja",1,0),"")</f>
        <v/>
      </c>
      <c r="L592" s="1" t="str">
        <f>IF(AND(Programme_Grunddaten!$A597="Geprüft",Programme_Grunddaten!T597&lt;&gt;""),IF(Programme_Grunddaten!T597="Ja",1,0),"")</f>
        <v/>
      </c>
      <c r="M592" s="1" t="str">
        <f>IF(AND(Programme_Grunddaten!$A597="Geprüft",Programme_Grunddaten!U597&lt;&gt;""),IF(Programme_Grunddaten!U597="Ja",1,0),"")</f>
        <v/>
      </c>
      <c r="N592" s="1" t="str">
        <f>IF(AND(Programme_Grunddaten!$A597="Geprüft",Programme_Grunddaten!V597&lt;&gt;""),IF(Programme_Grunddaten!V597="Ja",1,0),"")</f>
        <v/>
      </c>
      <c r="O592" s="1" t="str">
        <f>IF(AND(Programme_Grunddaten!$A597="Geprüft",Programme_Grunddaten!W597&lt;&gt;""),IF(Programme_Grunddaten!W597="Ja",1,0),"")</f>
        <v/>
      </c>
      <c r="P592" s="1" t="str">
        <f>IF(AND(Programme_Grunddaten!$A597="Geprüft",Programme_Grunddaten!X597&lt;&gt;""),IF(Programme_Grunddaten!X597="Ja",1,0),"")</f>
        <v/>
      </c>
      <c r="Q592" s="1" t="str">
        <f>IF(AND(Programme_Grunddaten!$A597="Geprüft",Programme_Grunddaten!Y597&lt;&gt;""),IF(Programme_Grunddaten!Y597="Ja",1,0),"")</f>
        <v/>
      </c>
      <c r="R592" s="1" t="str">
        <f>IF(AND(Programme_Grunddaten!$A597="Geprüft",Programme_Grunddaten!Z597&lt;&gt;""),IF(Programme_Grunddaten!Z597="Ja",1,0),"")</f>
        <v/>
      </c>
      <c r="S592" s="1" t="str">
        <f>IF(AND(Programme_Grunddaten!$A597="Geprüft",Programme_Grunddaten!AA597&lt;&gt;""),IF(Programme_Grunddaten!AA597="monolithisch",1,0),"")</f>
        <v/>
      </c>
      <c r="T592" s="1" t="str">
        <f>IF(AND(Programme_Grunddaten!$A597="Geprüft",Programme_Grunddaten!AB597&lt;&gt;""),IF(Programme_Grunddaten!AB597="Ja",1,0),"")</f>
        <v/>
      </c>
      <c r="U592" s="1" t="str">
        <f>IF(AND(Programme_Grunddaten!$A597="Geprüft",Programme_Grunddaten!AC597&lt;&gt;""),IF(Programme_Grunddaten!AC597="Ja",1,0),"")</f>
        <v/>
      </c>
      <c r="V592" s="1" t="str">
        <f>IF(AND(Programme_Grunddaten!$A597="Geprüft",Programme_Grunddaten!AD597&lt;&gt;""),IF(Programme_Grunddaten!AD597="Ja",1,0),"")</f>
        <v/>
      </c>
      <c r="W592" s="1" t="str">
        <f>IF(AND(Programme_Grunddaten!$A597="Geprüft",Programme_Grunddaten!AE597&lt;&gt;""),IF(Programme_Grunddaten!AE597="Ja",1,0),"")</f>
        <v/>
      </c>
      <c r="X592" s="1" t="str">
        <f>IF(AND(Programme_Grunddaten!$A597="Geprüft",Programme_Grunddaten!AF597&lt;&gt;""),IF(Programme_Grunddaten!AF597="Ja",1,0),"")</f>
        <v/>
      </c>
      <c r="Y592" s="1" t="str">
        <f>IF(AND(Programme_Grunddaten!$A597="Geprüft",Programme_Grunddaten!AG597&lt;&gt;""),IF(Programme_Grunddaten!AG597="Ja",1,0),"")</f>
        <v/>
      </c>
      <c r="Z592" s="1" t="str">
        <f>IF(AND(Programme_Grunddaten!$A597="Geprüft",Programme_Grunddaten!AH597&lt;&gt;""),IF(Programme_Grunddaten!AH597="Ja",1,0),"")</f>
        <v/>
      </c>
      <c r="AA592" s="1" t="str">
        <f>IF(AND(Programme_Grunddaten!$A597="Geprüft",Programme_Grunddaten!AI597&lt;&gt;""),IF(Programme_Grunddaten!AI597="Ja",1,0),"")</f>
        <v/>
      </c>
      <c r="AB592" s="1" t="str">
        <f>IF(AND(Programme_Grunddaten!$A597="Geprüft",Programme_Grunddaten!AJ597&lt;&gt;""),IF(Programme_Grunddaten!AJ597="individuell programmierbar",1,0),"")</f>
        <v/>
      </c>
      <c r="AC592" s="1" t="str">
        <f>IF(AND(Programme_Grunddaten!$A597="Geprüft",Programme_Grunddaten!AK597&lt;&gt;""),IF(Programme_Grunddaten!AK597="Deutsch",0,IF(Programme_Grunddaten!AK597="Deutsch und Englisch",1,2)),"")</f>
        <v/>
      </c>
      <c r="AD592" s="1" t="str">
        <f>IF(AND(Programme_Grunddaten!$A597="Geprüft",Programme_Grunddaten!AL597&lt;&gt;""),IF(Programme_Grunddaten!AL597="Ja",1,0),"")</f>
        <v/>
      </c>
      <c r="AE592" s="1" t="str">
        <f>IF(AND(Programme_Grunddaten!$A597="Geprüft",Programme_Grunddaten!AM597&lt;&gt;""),IF(Programme_Grunddaten!AM597="Ja",1,0),"")</f>
        <v/>
      </c>
      <c r="AF592" s="1" t="str">
        <f>IF(AND(Programme_Grunddaten!$A597="Geprüft",Programme_Grunddaten!AN597&lt;&gt;""),IF(Programme_Grunddaten!AN597="Ja",1,0),"")</f>
        <v/>
      </c>
      <c r="AG592" s="1" t="str">
        <f>IF(AND(Programme_Grunddaten!$A597="Geprüft",Programme_Grunddaten!AO597&lt;&gt;""),IF(Programme_Grunddaten!AO597="Ja",1,0),"")</f>
        <v/>
      </c>
      <c r="AH592" s="1" t="str">
        <f>IF(AND(Programme_Grunddaten!$A597="Geprüft",Programme_Grunddaten!AP597&lt;&gt;""),IF(Programme_Grunddaten!AP597="Ja",1,0),"")</f>
        <v/>
      </c>
      <c r="AI592" s="1" t="str">
        <f>IF(AND(Programme_Grunddaten!$A597="Geprüft",Programme_Grunddaten!AQ597&lt;&gt;""),IF(Programme_Grunddaten!AQ597="Ja",1,0),"")</f>
        <v/>
      </c>
      <c r="AJ592" s="1" t="str">
        <f>IF(AND(Programme_Grunddaten!$A597="Geprüft",Programme_Grunddaten!AR597&lt;&gt;""),IF(Programme_Grunddaten!AR597="Ja",1,0),"")</f>
        <v/>
      </c>
      <c r="AK592" s="1" t="str">
        <f>IF(AND(Programme_Grunddaten!$A597="Geprüft",Programme_Grunddaten!AS597&lt;&gt;""),IF(Programme_Grunddaten!AS597="Ja",1,0),"")</f>
        <v/>
      </c>
      <c r="AL592" s="1" t="str">
        <f>IF(AND(Programme_Grunddaten!$A597="Geprüft",Programme_Grunddaten!AT597&lt;&gt;""),IF(Programme_Grunddaten!AT597="Ja",1,0),"")</f>
        <v/>
      </c>
      <c r="AM592" s="1" t="str">
        <f>IF(AND(Programme_Grunddaten!$A597="Geprüft",Programme_Grunddaten!AU597&lt;&gt;""),IF(Programme_Grunddaten!AU597="Ja",1,0),"")</f>
        <v/>
      </c>
      <c r="AN592" s="1" t="str">
        <f>IF(AND(Programme_Grunddaten!$A597="Geprüft",Programme_Grunddaten!AV597&lt;&gt;""),IF(Programme_Grunddaten!AV597="Ja",1,0),"")</f>
        <v/>
      </c>
    </row>
    <row r="593" spans="1:40" x14ac:dyDescent="0.3">
      <c r="A593" s="1" t="str">
        <f>IF(AND(Programme_Grunddaten!A598="Geprüft",Programme_Grunddaten!B598&lt;&gt;""),Programme_Grunddaten!B598,"")</f>
        <v/>
      </c>
      <c r="B593" s="1" t="str">
        <f>IF(AND(Programme_Grunddaten!$A598="Geprüft",Programme_Grunddaten!I598&lt;&gt;""),IF(Programme_Grunddaten!I598="Ja",1,0),"")</f>
        <v/>
      </c>
      <c r="C593" s="1" t="str">
        <f>IF(AND(Programme_Grunddaten!$A598="Geprüft",Programme_Grunddaten!J598&lt;&gt;""),IF(Programme_Grunddaten!J598="Ja",1,0),"")</f>
        <v/>
      </c>
      <c r="D593" s="1" t="str">
        <f>IF(AND(Programme_Grunddaten!$A598="Geprüft",Programme_Grunddaten!K598&lt;&gt;""),IF(Programme_Grunddaten!K598="Ja",1,0),"")</f>
        <v/>
      </c>
      <c r="E593" s="1" t="str">
        <f>IF(AND(Programme_Grunddaten!$A598="Geprüft",Programme_Grunddaten!L598&lt;&gt;""),IF(Programme_Grunddaten!L598="Abo / befristete Lizenz",1,0),"")</f>
        <v/>
      </c>
      <c r="F593" s="1" t="str">
        <f>IF(AND(Programme_Grunddaten!$A598="Geprüft",Programme_Grunddaten!M598&lt;&gt;""),IF(Programme_Grunddaten!M598="Ja",1,0),"")</f>
        <v/>
      </c>
      <c r="G593" s="1" t="str">
        <f>IF(AND(Programme_Grunddaten!$A598="Geprüft",Programme_Grunddaten!N598&lt;&gt;""),IF(Programme_Grunddaten!N598="Ja",1,0),"")</f>
        <v/>
      </c>
      <c r="H593" s="1" t="str">
        <f>IF(AND(Programme_Grunddaten!$A598="Geprüft",Programme_Grunddaten!O598&lt;&gt;""),IF(Programme_Grunddaten!O598="Deutschland",0,IF(Programme_Grunddaten!O598="EU",1,2)),"")</f>
        <v/>
      </c>
      <c r="I593" s="1" t="str">
        <f>IF(AND(Programme_Grunddaten!$A598="Geprüft",Programme_Grunddaten!P598&lt;&gt;""),IF(Programme_Grunddaten!P598="Ja",1,0),"")</f>
        <v/>
      </c>
      <c r="J593" s="1" t="str">
        <f>IF(AND(Programme_Grunddaten!$A598="Geprüft",Programme_Grunddaten!Q598&lt;&gt;""),IF(Programme_Grunddaten!Q598="geschlossenes System",1,0),"")</f>
        <v/>
      </c>
      <c r="K593" s="1" t="str">
        <f>IF(AND(Programme_Grunddaten!$A598="Geprüft",Programme_Grunddaten!R598&lt;&gt;""),IF(Programme_Grunddaten!R598="Ja",1,0),"")</f>
        <v/>
      </c>
      <c r="L593" s="1" t="str">
        <f>IF(AND(Programme_Grunddaten!$A598="Geprüft",Programme_Grunddaten!T598&lt;&gt;""),IF(Programme_Grunddaten!T598="Ja",1,0),"")</f>
        <v/>
      </c>
      <c r="M593" s="1" t="str">
        <f>IF(AND(Programme_Grunddaten!$A598="Geprüft",Programme_Grunddaten!U598&lt;&gt;""),IF(Programme_Grunddaten!U598="Ja",1,0),"")</f>
        <v/>
      </c>
      <c r="N593" s="1" t="str">
        <f>IF(AND(Programme_Grunddaten!$A598="Geprüft",Programme_Grunddaten!V598&lt;&gt;""),IF(Programme_Grunddaten!V598="Ja",1,0),"")</f>
        <v/>
      </c>
      <c r="O593" s="1" t="str">
        <f>IF(AND(Programme_Grunddaten!$A598="Geprüft",Programme_Grunddaten!W598&lt;&gt;""),IF(Programme_Grunddaten!W598="Ja",1,0),"")</f>
        <v/>
      </c>
      <c r="P593" s="1" t="str">
        <f>IF(AND(Programme_Grunddaten!$A598="Geprüft",Programme_Grunddaten!X598&lt;&gt;""),IF(Programme_Grunddaten!X598="Ja",1,0),"")</f>
        <v/>
      </c>
      <c r="Q593" s="1" t="str">
        <f>IF(AND(Programme_Grunddaten!$A598="Geprüft",Programme_Grunddaten!Y598&lt;&gt;""),IF(Programme_Grunddaten!Y598="Ja",1,0),"")</f>
        <v/>
      </c>
      <c r="R593" s="1" t="str">
        <f>IF(AND(Programme_Grunddaten!$A598="Geprüft",Programme_Grunddaten!Z598&lt;&gt;""),IF(Programme_Grunddaten!Z598="Ja",1,0),"")</f>
        <v/>
      </c>
      <c r="S593" s="1" t="str">
        <f>IF(AND(Programme_Grunddaten!$A598="Geprüft",Programme_Grunddaten!AA598&lt;&gt;""),IF(Programme_Grunddaten!AA598="monolithisch",1,0),"")</f>
        <v/>
      </c>
      <c r="T593" s="1" t="str">
        <f>IF(AND(Programme_Grunddaten!$A598="Geprüft",Programme_Grunddaten!AB598&lt;&gt;""),IF(Programme_Grunddaten!AB598="Ja",1,0),"")</f>
        <v/>
      </c>
      <c r="U593" s="1" t="str">
        <f>IF(AND(Programme_Grunddaten!$A598="Geprüft",Programme_Grunddaten!AC598&lt;&gt;""),IF(Programme_Grunddaten!AC598="Ja",1,0),"")</f>
        <v/>
      </c>
      <c r="V593" s="1" t="str">
        <f>IF(AND(Programme_Grunddaten!$A598="Geprüft",Programme_Grunddaten!AD598&lt;&gt;""),IF(Programme_Grunddaten!AD598="Ja",1,0),"")</f>
        <v/>
      </c>
      <c r="W593" s="1" t="str">
        <f>IF(AND(Programme_Grunddaten!$A598="Geprüft",Programme_Grunddaten!AE598&lt;&gt;""),IF(Programme_Grunddaten!AE598="Ja",1,0),"")</f>
        <v/>
      </c>
      <c r="X593" s="1" t="str">
        <f>IF(AND(Programme_Grunddaten!$A598="Geprüft",Programme_Grunddaten!AF598&lt;&gt;""),IF(Programme_Grunddaten!AF598="Ja",1,0),"")</f>
        <v/>
      </c>
      <c r="Y593" s="1" t="str">
        <f>IF(AND(Programme_Grunddaten!$A598="Geprüft",Programme_Grunddaten!AG598&lt;&gt;""),IF(Programme_Grunddaten!AG598="Ja",1,0),"")</f>
        <v/>
      </c>
      <c r="Z593" s="1" t="str">
        <f>IF(AND(Programme_Grunddaten!$A598="Geprüft",Programme_Grunddaten!AH598&lt;&gt;""),IF(Programme_Grunddaten!AH598="Ja",1,0),"")</f>
        <v/>
      </c>
      <c r="AA593" s="1" t="str">
        <f>IF(AND(Programme_Grunddaten!$A598="Geprüft",Programme_Grunddaten!AI598&lt;&gt;""),IF(Programme_Grunddaten!AI598="Ja",1,0),"")</f>
        <v/>
      </c>
      <c r="AB593" s="1" t="str">
        <f>IF(AND(Programme_Grunddaten!$A598="Geprüft",Programme_Grunddaten!AJ598&lt;&gt;""),IF(Programme_Grunddaten!AJ598="individuell programmierbar",1,0),"")</f>
        <v/>
      </c>
      <c r="AC593" s="1" t="str">
        <f>IF(AND(Programme_Grunddaten!$A598="Geprüft",Programme_Grunddaten!AK598&lt;&gt;""),IF(Programme_Grunddaten!AK598="Deutsch",0,IF(Programme_Grunddaten!AK598="Deutsch und Englisch",1,2)),"")</f>
        <v/>
      </c>
      <c r="AD593" s="1" t="str">
        <f>IF(AND(Programme_Grunddaten!$A598="Geprüft",Programme_Grunddaten!AL598&lt;&gt;""),IF(Programme_Grunddaten!AL598="Ja",1,0),"")</f>
        <v/>
      </c>
      <c r="AE593" s="1" t="str">
        <f>IF(AND(Programme_Grunddaten!$A598="Geprüft",Programme_Grunddaten!AM598&lt;&gt;""),IF(Programme_Grunddaten!AM598="Ja",1,0),"")</f>
        <v/>
      </c>
      <c r="AF593" s="1" t="str">
        <f>IF(AND(Programme_Grunddaten!$A598="Geprüft",Programme_Grunddaten!AN598&lt;&gt;""),IF(Programme_Grunddaten!AN598="Ja",1,0),"")</f>
        <v/>
      </c>
      <c r="AG593" s="1" t="str">
        <f>IF(AND(Programme_Grunddaten!$A598="Geprüft",Programme_Grunddaten!AO598&lt;&gt;""),IF(Programme_Grunddaten!AO598="Ja",1,0),"")</f>
        <v/>
      </c>
      <c r="AH593" s="1" t="str">
        <f>IF(AND(Programme_Grunddaten!$A598="Geprüft",Programme_Grunddaten!AP598&lt;&gt;""),IF(Programme_Grunddaten!AP598="Ja",1,0),"")</f>
        <v/>
      </c>
      <c r="AI593" s="1" t="str">
        <f>IF(AND(Programme_Grunddaten!$A598="Geprüft",Programme_Grunddaten!AQ598&lt;&gt;""),IF(Programme_Grunddaten!AQ598="Ja",1,0),"")</f>
        <v/>
      </c>
      <c r="AJ593" s="1" t="str">
        <f>IF(AND(Programme_Grunddaten!$A598="Geprüft",Programme_Grunddaten!AR598&lt;&gt;""),IF(Programme_Grunddaten!AR598="Ja",1,0),"")</f>
        <v/>
      </c>
      <c r="AK593" s="1" t="str">
        <f>IF(AND(Programme_Grunddaten!$A598="Geprüft",Programme_Grunddaten!AS598&lt;&gt;""),IF(Programme_Grunddaten!AS598="Ja",1,0),"")</f>
        <v/>
      </c>
      <c r="AL593" s="1" t="str">
        <f>IF(AND(Programme_Grunddaten!$A598="Geprüft",Programme_Grunddaten!AT598&lt;&gt;""),IF(Programme_Grunddaten!AT598="Ja",1,0),"")</f>
        <v/>
      </c>
      <c r="AM593" s="1" t="str">
        <f>IF(AND(Programme_Grunddaten!$A598="Geprüft",Programme_Grunddaten!AU598&lt;&gt;""),IF(Programme_Grunddaten!AU598="Ja",1,0),"")</f>
        <v/>
      </c>
      <c r="AN593" s="1" t="str">
        <f>IF(AND(Programme_Grunddaten!$A598="Geprüft",Programme_Grunddaten!AV598&lt;&gt;""),IF(Programme_Grunddaten!AV598="Ja",1,0),"")</f>
        <v/>
      </c>
    </row>
    <row r="594" spans="1:40" x14ac:dyDescent="0.3">
      <c r="A594" s="1" t="str">
        <f>IF(AND(Programme_Grunddaten!A599="Geprüft",Programme_Grunddaten!B599&lt;&gt;""),Programme_Grunddaten!B599,"")</f>
        <v/>
      </c>
      <c r="B594" s="1" t="str">
        <f>IF(AND(Programme_Grunddaten!$A599="Geprüft",Programme_Grunddaten!I599&lt;&gt;""),IF(Programme_Grunddaten!I599="Ja",1,0),"")</f>
        <v/>
      </c>
      <c r="C594" s="1" t="str">
        <f>IF(AND(Programme_Grunddaten!$A599="Geprüft",Programme_Grunddaten!J599&lt;&gt;""),IF(Programme_Grunddaten!J599="Ja",1,0),"")</f>
        <v/>
      </c>
      <c r="D594" s="1" t="str">
        <f>IF(AND(Programme_Grunddaten!$A599="Geprüft",Programme_Grunddaten!K599&lt;&gt;""),IF(Programme_Grunddaten!K599="Ja",1,0),"")</f>
        <v/>
      </c>
      <c r="E594" s="1" t="str">
        <f>IF(AND(Programme_Grunddaten!$A599="Geprüft",Programme_Grunddaten!L599&lt;&gt;""),IF(Programme_Grunddaten!L599="Abo / befristete Lizenz",1,0),"")</f>
        <v/>
      </c>
      <c r="F594" s="1" t="str">
        <f>IF(AND(Programme_Grunddaten!$A599="Geprüft",Programme_Grunddaten!M599&lt;&gt;""),IF(Programme_Grunddaten!M599="Ja",1,0),"")</f>
        <v/>
      </c>
      <c r="G594" s="1" t="str">
        <f>IF(AND(Programme_Grunddaten!$A599="Geprüft",Programme_Grunddaten!N599&lt;&gt;""),IF(Programme_Grunddaten!N599="Ja",1,0),"")</f>
        <v/>
      </c>
      <c r="H594" s="1" t="str">
        <f>IF(AND(Programme_Grunddaten!$A599="Geprüft",Programme_Grunddaten!O599&lt;&gt;""),IF(Programme_Grunddaten!O599="Deutschland",0,IF(Programme_Grunddaten!O599="EU",1,2)),"")</f>
        <v/>
      </c>
      <c r="I594" s="1" t="str">
        <f>IF(AND(Programme_Grunddaten!$A599="Geprüft",Programme_Grunddaten!P599&lt;&gt;""),IF(Programme_Grunddaten!P599="Ja",1,0),"")</f>
        <v/>
      </c>
      <c r="J594" s="1" t="str">
        <f>IF(AND(Programme_Grunddaten!$A599="Geprüft",Programme_Grunddaten!Q599&lt;&gt;""),IF(Programme_Grunddaten!Q599="geschlossenes System",1,0),"")</f>
        <v/>
      </c>
      <c r="K594" s="1" t="str">
        <f>IF(AND(Programme_Grunddaten!$A599="Geprüft",Programme_Grunddaten!R599&lt;&gt;""),IF(Programme_Grunddaten!R599="Ja",1,0),"")</f>
        <v/>
      </c>
      <c r="L594" s="1" t="str">
        <f>IF(AND(Programme_Grunddaten!$A599="Geprüft",Programme_Grunddaten!T599&lt;&gt;""),IF(Programme_Grunddaten!T599="Ja",1,0),"")</f>
        <v/>
      </c>
      <c r="M594" s="1" t="str">
        <f>IF(AND(Programme_Grunddaten!$A599="Geprüft",Programme_Grunddaten!U599&lt;&gt;""),IF(Programme_Grunddaten!U599="Ja",1,0),"")</f>
        <v/>
      </c>
      <c r="N594" s="1" t="str">
        <f>IF(AND(Programme_Grunddaten!$A599="Geprüft",Programme_Grunddaten!V599&lt;&gt;""),IF(Programme_Grunddaten!V599="Ja",1,0),"")</f>
        <v/>
      </c>
      <c r="O594" s="1" t="str">
        <f>IF(AND(Programme_Grunddaten!$A599="Geprüft",Programme_Grunddaten!W599&lt;&gt;""),IF(Programme_Grunddaten!W599="Ja",1,0),"")</f>
        <v/>
      </c>
      <c r="P594" s="1" t="str">
        <f>IF(AND(Programme_Grunddaten!$A599="Geprüft",Programme_Grunddaten!X599&lt;&gt;""),IF(Programme_Grunddaten!X599="Ja",1,0),"")</f>
        <v/>
      </c>
      <c r="Q594" s="1" t="str">
        <f>IF(AND(Programme_Grunddaten!$A599="Geprüft",Programme_Grunddaten!Y599&lt;&gt;""),IF(Programme_Grunddaten!Y599="Ja",1,0),"")</f>
        <v/>
      </c>
      <c r="R594" s="1" t="str">
        <f>IF(AND(Programme_Grunddaten!$A599="Geprüft",Programme_Grunddaten!Z599&lt;&gt;""),IF(Programme_Grunddaten!Z599="Ja",1,0),"")</f>
        <v/>
      </c>
      <c r="S594" s="1" t="str">
        <f>IF(AND(Programme_Grunddaten!$A599="Geprüft",Programme_Grunddaten!AA599&lt;&gt;""),IF(Programme_Grunddaten!AA599="monolithisch",1,0),"")</f>
        <v/>
      </c>
      <c r="T594" s="1" t="str">
        <f>IF(AND(Programme_Grunddaten!$A599="Geprüft",Programme_Grunddaten!AB599&lt;&gt;""),IF(Programme_Grunddaten!AB599="Ja",1,0),"")</f>
        <v/>
      </c>
      <c r="U594" s="1" t="str">
        <f>IF(AND(Programme_Grunddaten!$A599="Geprüft",Programme_Grunddaten!AC599&lt;&gt;""),IF(Programme_Grunddaten!AC599="Ja",1,0),"")</f>
        <v/>
      </c>
      <c r="V594" s="1" t="str">
        <f>IF(AND(Programme_Grunddaten!$A599="Geprüft",Programme_Grunddaten!AD599&lt;&gt;""),IF(Programme_Grunddaten!AD599="Ja",1,0),"")</f>
        <v/>
      </c>
      <c r="W594" s="1" t="str">
        <f>IF(AND(Programme_Grunddaten!$A599="Geprüft",Programme_Grunddaten!AE599&lt;&gt;""),IF(Programme_Grunddaten!AE599="Ja",1,0),"")</f>
        <v/>
      </c>
      <c r="X594" s="1" t="str">
        <f>IF(AND(Programme_Grunddaten!$A599="Geprüft",Programme_Grunddaten!AF599&lt;&gt;""),IF(Programme_Grunddaten!AF599="Ja",1,0),"")</f>
        <v/>
      </c>
      <c r="Y594" s="1" t="str">
        <f>IF(AND(Programme_Grunddaten!$A599="Geprüft",Programme_Grunddaten!AG599&lt;&gt;""),IF(Programme_Grunddaten!AG599="Ja",1,0),"")</f>
        <v/>
      </c>
      <c r="Z594" s="1" t="str">
        <f>IF(AND(Programme_Grunddaten!$A599="Geprüft",Programme_Grunddaten!AH599&lt;&gt;""),IF(Programme_Grunddaten!AH599="Ja",1,0),"")</f>
        <v/>
      </c>
      <c r="AA594" s="1" t="str">
        <f>IF(AND(Programme_Grunddaten!$A599="Geprüft",Programme_Grunddaten!AI599&lt;&gt;""),IF(Programme_Grunddaten!AI599="Ja",1,0),"")</f>
        <v/>
      </c>
      <c r="AB594" s="1" t="str">
        <f>IF(AND(Programme_Grunddaten!$A599="Geprüft",Programme_Grunddaten!AJ599&lt;&gt;""),IF(Programme_Grunddaten!AJ599="individuell programmierbar",1,0),"")</f>
        <v/>
      </c>
      <c r="AC594" s="1" t="str">
        <f>IF(AND(Programme_Grunddaten!$A599="Geprüft",Programme_Grunddaten!AK599&lt;&gt;""),IF(Programme_Grunddaten!AK599="Deutsch",0,IF(Programme_Grunddaten!AK599="Deutsch und Englisch",1,2)),"")</f>
        <v/>
      </c>
      <c r="AD594" s="1" t="str">
        <f>IF(AND(Programme_Grunddaten!$A599="Geprüft",Programme_Grunddaten!AL599&lt;&gt;""),IF(Programme_Grunddaten!AL599="Ja",1,0),"")</f>
        <v/>
      </c>
      <c r="AE594" s="1" t="str">
        <f>IF(AND(Programme_Grunddaten!$A599="Geprüft",Programme_Grunddaten!AM599&lt;&gt;""),IF(Programme_Grunddaten!AM599="Ja",1,0),"")</f>
        <v/>
      </c>
      <c r="AF594" s="1" t="str">
        <f>IF(AND(Programme_Grunddaten!$A599="Geprüft",Programme_Grunddaten!AN599&lt;&gt;""),IF(Programme_Grunddaten!AN599="Ja",1,0),"")</f>
        <v/>
      </c>
      <c r="AG594" s="1" t="str">
        <f>IF(AND(Programme_Grunddaten!$A599="Geprüft",Programme_Grunddaten!AO599&lt;&gt;""),IF(Programme_Grunddaten!AO599="Ja",1,0),"")</f>
        <v/>
      </c>
      <c r="AH594" s="1" t="str">
        <f>IF(AND(Programme_Grunddaten!$A599="Geprüft",Programme_Grunddaten!AP599&lt;&gt;""),IF(Programme_Grunddaten!AP599="Ja",1,0),"")</f>
        <v/>
      </c>
      <c r="AI594" s="1" t="str">
        <f>IF(AND(Programme_Grunddaten!$A599="Geprüft",Programme_Grunddaten!AQ599&lt;&gt;""),IF(Programme_Grunddaten!AQ599="Ja",1,0),"")</f>
        <v/>
      </c>
      <c r="AJ594" s="1" t="str">
        <f>IF(AND(Programme_Grunddaten!$A599="Geprüft",Programme_Grunddaten!AR599&lt;&gt;""),IF(Programme_Grunddaten!AR599="Ja",1,0),"")</f>
        <v/>
      </c>
      <c r="AK594" s="1" t="str">
        <f>IF(AND(Programme_Grunddaten!$A599="Geprüft",Programme_Grunddaten!AS599&lt;&gt;""),IF(Programme_Grunddaten!AS599="Ja",1,0),"")</f>
        <v/>
      </c>
      <c r="AL594" s="1" t="str">
        <f>IF(AND(Programme_Grunddaten!$A599="Geprüft",Programme_Grunddaten!AT599&lt;&gt;""),IF(Programme_Grunddaten!AT599="Ja",1,0),"")</f>
        <v/>
      </c>
      <c r="AM594" s="1" t="str">
        <f>IF(AND(Programme_Grunddaten!$A599="Geprüft",Programme_Grunddaten!AU599&lt;&gt;""),IF(Programme_Grunddaten!AU599="Ja",1,0),"")</f>
        <v/>
      </c>
      <c r="AN594" s="1" t="str">
        <f>IF(AND(Programme_Grunddaten!$A599="Geprüft",Programme_Grunddaten!AV599&lt;&gt;""),IF(Programme_Grunddaten!AV599="Ja",1,0),"")</f>
        <v/>
      </c>
    </row>
    <row r="595" spans="1:40" x14ac:dyDescent="0.3">
      <c r="A595" s="1" t="str">
        <f>IF(AND(Programme_Grunddaten!A600="Geprüft",Programme_Grunddaten!B600&lt;&gt;""),Programme_Grunddaten!B600,"")</f>
        <v/>
      </c>
      <c r="B595" s="1" t="str">
        <f>IF(AND(Programme_Grunddaten!$A600="Geprüft",Programme_Grunddaten!I600&lt;&gt;""),IF(Programme_Grunddaten!I600="Ja",1,0),"")</f>
        <v/>
      </c>
      <c r="C595" s="1" t="str">
        <f>IF(AND(Programme_Grunddaten!$A600="Geprüft",Programme_Grunddaten!J600&lt;&gt;""),IF(Programme_Grunddaten!J600="Ja",1,0),"")</f>
        <v/>
      </c>
      <c r="D595" s="1" t="str">
        <f>IF(AND(Programme_Grunddaten!$A600="Geprüft",Programme_Grunddaten!K600&lt;&gt;""),IF(Programme_Grunddaten!K600="Ja",1,0),"")</f>
        <v/>
      </c>
      <c r="E595" s="1" t="str">
        <f>IF(AND(Programme_Grunddaten!$A600="Geprüft",Programme_Grunddaten!L600&lt;&gt;""),IF(Programme_Grunddaten!L600="Abo / befristete Lizenz",1,0),"")</f>
        <v/>
      </c>
      <c r="F595" s="1" t="str">
        <f>IF(AND(Programme_Grunddaten!$A600="Geprüft",Programme_Grunddaten!M600&lt;&gt;""),IF(Programme_Grunddaten!M600="Ja",1,0),"")</f>
        <v/>
      </c>
      <c r="G595" s="1" t="str">
        <f>IF(AND(Programme_Grunddaten!$A600="Geprüft",Programme_Grunddaten!N600&lt;&gt;""),IF(Programme_Grunddaten!N600="Ja",1,0),"")</f>
        <v/>
      </c>
      <c r="H595" s="1" t="str">
        <f>IF(AND(Programme_Grunddaten!$A600="Geprüft",Programme_Grunddaten!O600&lt;&gt;""),IF(Programme_Grunddaten!O600="Deutschland",0,IF(Programme_Grunddaten!O600="EU",1,2)),"")</f>
        <v/>
      </c>
      <c r="I595" s="1" t="str">
        <f>IF(AND(Programme_Grunddaten!$A600="Geprüft",Programme_Grunddaten!P600&lt;&gt;""),IF(Programme_Grunddaten!P600="Ja",1,0),"")</f>
        <v/>
      </c>
      <c r="J595" s="1" t="str">
        <f>IF(AND(Programme_Grunddaten!$A600="Geprüft",Programme_Grunddaten!Q600&lt;&gt;""),IF(Programme_Grunddaten!Q600="geschlossenes System",1,0),"")</f>
        <v/>
      </c>
      <c r="K595" s="1" t="str">
        <f>IF(AND(Programme_Grunddaten!$A600="Geprüft",Programme_Grunddaten!R600&lt;&gt;""),IF(Programme_Grunddaten!R600="Ja",1,0),"")</f>
        <v/>
      </c>
      <c r="L595" s="1" t="str">
        <f>IF(AND(Programme_Grunddaten!$A600="Geprüft",Programme_Grunddaten!T600&lt;&gt;""),IF(Programme_Grunddaten!T600="Ja",1,0),"")</f>
        <v/>
      </c>
      <c r="M595" s="1" t="str">
        <f>IF(AND(Programme_Grunddaten!$A600="Geprüft",Programme_Grunddaten!U600&lt;&gt;""),IF(Programme_Grunddaten!U600="Ja",1,0),"")</f>
        <v/>
      </c>
      <c r="N595" s="1" t="str">
        <f>IF(AND(Programme_Grunddaten!$A600="Geprüft",Programme_Grunddaten!V600&lt;&gt;""),IF(Programme_Grunddaten!V600="Ja",1,0),"")</f>
        <v/>
      </c>
      <c r="O595" s="1" t="str">
        <f>IF(AND(Programme_Grunddaten!$A600="Geprüft",Programme_Grunddaten!W600&lt;&gt;""),IF(Programme_Grunddaten!W600="Ja",1,0),"")</f>
        <v/>
      </c>
      <c r="P595" s="1" t="str">
        <f>IF(AND(Programme_Grunddaten!$A600="Geprüft",Programme_Grunddaten!X600&lt;&gt;""),IF(Programme_Grunddaten!X600="Ja",1,0),"")</f>
        <v/>
      </c>
      <c r="Q595" s="1" t="str">
        <f>IF(AND(Programme_Grunddaten!$A600="Geprüft",Programme_Grunddaten!Y600&lt;&gt;""),IF(Programme_Grunddaten!Y600="Ja",1,0),"")</f>
        <v/>
      </c>
      <c r="R595" s="1" t="str">
        <f>IF(AND(Programme_Grunddaten!$A600="Geprüft",Programme_Grunddaten!Z600&lt;&gt;""),IF(Programme_Grunddaten!Z600="Ja",1,0),"")</f>
        <v/>
      </c>
      <c r="S595" s="1" t="str">
        <f>IF(AND(Programme_Grunddaten!$A600="Geprüft",Programme_Grunddaten!AA600&lt;&gt;""),IF(Programme_Grunddaten!AA600="monolithisch",1,0),"")</f>
        <v/>
      </c>
      <c r="T595" s="1" t="str">
        <f>IF(AND(Programme_Grunddaten!$A600="Geprüft",Programme_Grunddaten!AB600&lt;&gt;""),IF(Programme_Grunddaten!AB600="Ja",1,0),"")</f>
        <v/>
      </c>
      <c r="U595" s="1" t="str">
        <f>IF(AND(Programme_Grunddaten!$A600="Geprüft",Programme_Grunddaten!AC600&lt;&gt;""),IF(Programme_Grunddaten!AC600="Ja",1,0),"")</f>
        <v/>
      </c>
      <c r="V595" s="1" t="str">
        <f>IF(AND(Programme_Grunddaten!$A600="Geprüft",Programme_Grunddaten!AD600&lt;&gt;""),IF(Programme_Grunddaten!AD600="Ja",1,0),"")</f>
        <v/>
      </c>
      <c r="W595" s="1" t="str">
        <f>IF(AND(Programme_Grunddaten!$A600="Geprüft",Programme_Grunddaten!AE600&lt;&gt;""),IF(Programme_Grunddaten!AE600="Ja",1,0),"")</f>
        <v/>
      </c>
      <c r="X595" s="1" t="str">
        <f>IF(AND(Programme_Grunddaten!$A600="Geprüft",Programme_Grunddaten!AF600&lt;&gt;""),IF(Programme_Grunddaten!AF600="Ja",1,0),"")</f>
        <v/>
      </c>
      <c r="Y595" s="1" t="str">
        <f>IF(AND(Programme_Grunddaten!$A600="Geprüft",Programme_Grunddaten!AG600&lt;&gt;""),IF(Programme_Grunddaten!AG600="Ja",1,0),"")</f>
        <v/>
      </c>
      <c r="Z595" s="1" t="str">
        <f>IF(AND(Programme_Grunddaten!$A600="Geprüft",Programme_Grunddaten!AH600&lt;&gt;""),IF(Programme_Grunddaten!AH600="Ja",1,0),"")</f>
        <v/>
      </c>
      <c r="AA595" s="1" t="str">
        <f>IF(AND(Programme_Grunddaten!$A600="Geprüft",Programme_Grunddaten!AI600&lt;&gt;""),IF(Programme_Grunddaten!AI600="Ja",1,0),"")</f>
        <v/>
      </c>
      <c r="AB595" s="1" t="str">
        <f>IF(AND(Programme_Grunddaten!$A600="Geprüft",Programme_Grunddaten!AJ600&lt;&gt;""),IF(Programme_Grunddaten!AJ600="individuell programmierbar",1,0),"")</f>
        <v/>
      </c>
      <c r="AC595" s="1" t="str">
        <f>IF(AND(Programme_Grunddaten!$A600="Geprüft",Programme_Grunddaten!AK600&lt;&gt;""),IF(Programme_Grunddaten!AK600="Deutsch",0,IF(Programme_Grunddaten!AK600="Deutsch und Englisch",1,2)),"")</f>
        <v/>
      </c>
      <c r="AD595" s="1" t="str">
        <f>IF(AND(Programme_Grunddaten!$A600="Geprüft",Programme_Grunddaten!AL600&lt;&gt;""),IF(Programme_Grunddaten!AL600="Ja",1,0),"")</f>
        <v/>
      </c>
      <c r="AE595" s="1" t="str">
        <f>IF(AND(Programme_Grunddaten!$A600="Geprüft",Programme_Grunddaten!AM600&lt;&gt;""),IF(Programme_Grunddaten!AM600="Ja",1,0),"")</f>
        <v/>
      </c>
      <c r="AF595" s="1" t="str">
        <f>IF(AND(Programme_Grunddaten!$A600="Geprüft",Programme_Grunddaten!AN600&lt;&gt;""),IF(Programme_Grunddaten!AN600="Ja",1,0),"")</f>
        <v/>
      </c>
      <c r="AG595" s="1" t="str">
        <f>IF(AND(Programme_Grunddaten!$A600="Geprüft",Programme_Grunddaten!AO600&lt;&gt;""),IF(Programme_Grunddaten!AO600="Ja",1,0),"")</f>
        <v/>
      </c>
      <c r="AH595" s="1" t="str">
        <f>IF(AND(Programme_Grunddaten!$A600="Geprüft",Programme_Grunddaten!AP600&lt;&gt;""),IF(Programme_Grunddaten!AP600="Ja",1,0),"")</f>
        <v/>
      </c>
      <c r="AI595" s="1" t="str">
        <f>IF(AND(Programme_Grunddaten!$A600="Geprüft",Programme_Grunddaten!AQ600&lt;&gt;""),IF(Programme_Grunddaten!AQ600="Ja",1,0),"")</f>
        <v/>
      </c>
      <c r="AJ595" s="1" t="str">
        <f>IF(AND(Programme_Grunddaten!$A600="Geprüft",Programme_Grunddaten!AR600&lt;&gt;""),IF(Programme_Grunddaten!AR600="Ja",1,0),"")</f>
        <v/>
      </c>
      <c r="AK595" s="1" t="str">
        <f>IF(AND(Programme_Grunddaten!$A600="Geprüft",Programme_Grunddaten!AS600&lt;&gt;""),IF(Programme_Grunddaten!AS600="Ja",1,0),"")</f>
        <v/>
      </c>
      <c r="AL595" s="1" t="str">
        <f>IF(AND(Programme_Grunddaten!$A600="Geprüft",Programme_Grunddaten!AT600&lt;&gt;""),IF(Programme_Grunddaten!AT600="Ja",1,0),"")</f>
        <v/>
      </c>
      <c r="AM595" s="1" t="str">
        <f>IF(AND(Programme_Grunddaten!$A600="Geprüft",Programme_Grunddaten!AU600&lt;&gt;""),IF(Programme_Grunddaten!AU600="Ja",1,0),"")</f>
        <v/>
      </c>
      <c r="AN595" s="1" t="str">
        <f>IF(AND(Programme_Grunddaten!$A600="Geprüft",Programme_Grunddaten!AV600&lt;&gt;""),IF(Programme_Grunddaten!AV600="Ja",1,0),"")</f>
        <v/>
      </c>
    </row>
    <row r="596" spans="1:40" x14ac:dyDescent="0.3">
      <c r="A596" s="1" t="str">
        <f>IF(AND(Programme_Grunddaten!A601="Geprüft",Programme_Grunddaten!B601&lt;&gt;""),Programme_Grunddaten!B601,"")</f>
        <v/>
      </c>
      <c r="B596" s="1" t="str">
        <f>IF(AND(Programme_Grunddaten!$A601="Geprüft",Programme_Grunddaten!I601&lt;&gt;""),IF(Programme_Grunddaten!I601="Ja",1,0),"")</f>
        <v/>
      </c>
      <c r="C596" s="1" t="str">
        <f>IF(AND(Programme_Grunddaten!$A601="Geprüft",Programme_Grunddaten!J601&lt;&gt;""),IF(Programme_Grunddaten!J601="Ja",1,0),"")</f>
        <v/>
      </c>
      <c r="D596" s="1" t="str">
        <f>IF(AND(Programme_Grunddaten!$A601="Geprüft",Programme_Grunddaten!K601&lt;&gt;""),IF(Programme_Grunddaten!K601="Ja",1,0),"")</f>
        <v/>
      </c>
      <c r="E596" s="1" t="str">
        <f>IF(AND(Programme_Grunddaten!$A601="Geprüft",Programme_Grunddaten!L601&lt;&gt;""),IF(Programme_Grunddaten!L601="Abo / befristete Lizenz",1,0),"")</f>
        <v/>
      </c>
      <c r="F596" s="1" t="str">
        <f>IF(AND(Programme_Grunddaten!$A601="Geprüft",Programme_Grunddaten!M601&lt;&gt;""),IF(Programme_Grunddaten!M601="Ja",1,0),"")</f>
        <v/>
      </c>
      <c r="G596" s="1" t="str">
        <f>IF(AND(Programme_Grunddaten!$A601="Geprüft",Programme_Grunddaten!N601&lt;&gt;""),IF(Programme_Grunddaten!N601="Ja",1,0),"")</f>
        <v/>
      </c>
      <c r="H596" s="1" t="str">
        <f>IF(AND(Programme_Grunddaten!$A601="Geprüft",Programme_Grunddaten!O601&lt;&gt;""),IF(Programme_Grunddaten!O601="Deutschland",0,IF(Programme_Grunddaten!O601="EU",1,2)),"")</f>
        <v/>
      </c>
      <c r="I596" s="1" t="str">
        <f>IF(AND(Programme_Grunddaten!$A601="Geprüft",Programme_Grunddaten!P601&lt;&gt;""),IF(Programme_Grunddaten!P601="Ja",1,0),"")</f>
        <v/>
      </c>
      <c r="J596" s="1" t="str">
        <f>IF(AND(Programme_Grunddaten!$A601="Geprüft",Programme_Grunddaten!Q601&lt;&gt;""),IF(Programme_Grunddaten!Q601="geschlossenes System",1,0),"")</f>
        <v/>
      </c>
      <c r="K596" s="1" t="str">
        <f>IF(AND(Programme_Grunddaten!$A601="Geprüft",Programme_Grunddaten!R601&lt;&gt;""),IF(Programme_Grunddaten!R601="Ja",1,0),"")</f>
        <v/>
      </c>
      <c r="L596" s="1" t="str">
        <f>IF(AND(Programme_Grunddaten!$A601="Geprüft",Programme_Grunddaten!T601&lt;&gt;""),IF(Programme_Grunddaten!T601="Ja",1,0),"")</f>
        <v/>
      </c>
      <c r="M596" s="1" t="str">
        <f>IF(AND(Programme_Grunddaten!$A601="Geprüft",Programme_Grunddaten!U601&lt;&gt;""),IF(Programme_Grunddaten!U601="Ja",1,0),"")</f>
        <v/>
      </c>
      <c r="N596" s="1" t="str">
        <f>IF(AND(Programme_Grunddaten!$A601="Geprüft",Programme_Grunddaten!V601&lt;&gt;""),IF(Programme_Grunddaten!V601="Ja",1,0),"")</f>
        <v/>
      </c>
      <c r="O596" s="1" t="str">
        <f>IF(AND(Programme_Grunddaten!$A601="Geprüft",Programme_Grunddaten!W601&lt;&gt;""),IF(Programme_Grunddaten!W601="Ja",1,0),"")</f>
        <v/>
      </c>
      <c r="P596" s="1" t="str">
        <f>IF(AND(Programme_Grunddaten!$A601="Geprüft",Programme_Grunddaten!X601&lt;&gt;""),IF(Programme_Grunddaten!X601="Ja",1,0),"")</f>
        <v/>
      </c>
      <c r="Q596" s="1" t="str">
        <f>IF(AND(Programme_Grunddaten!$A601="Geprüft",Programme_Grunddaten!Y601&lt;&gt;""),IF(Programme_Grunddaten!Y601="Ja",1,0),"")</f>
        <v/>
      </c>
      <c r="R596" s="1" t="str">
        <f>IF(AND(Programme_Grunddaten!$A601="Geprüft",Programme_Grunddaten!Z601&lt;&gt;""),IF(Programme_Grunddaten!Z601="Ja",1,0),"")</f>
        <v/>
      </c>
      <c r="S596" s="1" t="str">
        <f>IF(AND(Programme_Grunddaten!$A601="Geprüft",Programme_Grunddaten!AA601&lt;&gt;""),IF(Programme_Grunddaten!AA601="monolithisch",1,0),"")</f>
        <v/>
      </c>
      <c r="T596" s="1" t="str">
        <f>IF(AND(Programme_Grunddaten!$A601="Geprüft",Programme_Grunddaten!AB601&lt;&gt;""),IF(Programme_Grunddaten!AB601="Ja",1,0),"")</f>
        <v/>
      </c>
      <c r="U596" s="1" t="str">
        <f>IF(AND(Programme_Grunddaten!$A601="Geprüft",Programme_Grunddaten!AC601&lt;&gt;""),IF(Programme_Grunddaten!AC601="Ja",1,0),"")</f>
        <v/>
      </c>
      <c r="V596" s="1" t="str">
        <f>IF(AND(Programme_Grunddaten!$A601="Geprüft",Programme_Grunddaten!AD601&lt;&gt;""),IF(Programme_Grunddaten!AD601="Ja",1,0),"")</f>
        <v/>
      </c>
      <c r="W596" s="1" t="str">
        <f>IF(AND(Programme_Grunddaten!$A601="Geprüft",Programme_Grunddaten!AE601&lt;&gt;""),IF(Programme_Grunddaten!AE601="Ja",1,0),"")</f>
        <v/>
      </c>
      <c r="X596" s="1" t="str">
        <f>IF(AND(Programme_Grunddaten!$A601="Geprüft",Programme_Grunddaten!AF601&lt;&gt;""),IF(Programme_Grunddaten!AF601="Ja",1,0),"")</f>
        <v/>
      </c>
      <c r="Y596" s="1" t="str">
        <f>IF(AND(Programme_Grunddaten!$A601="Geprüft",Programme_Grunddaten!AG601&lt;&gt;""),IF(Programme_Grunddaten!AG601="Ja",1,0),"")</f>
        <v/>
      </c>
      <c r="Z596" s="1" t="str">
        <f>IF(AND(Programme_Grunddaten!$A601="Geprüft",Programme_Grunddaten!AH601&lt;&gt;""),IF(Programme_Grunddaten!AH601="Ja",1,0),"")</f>
        <v/>
      </c>
      <c r="AA596" s="1" t="str">
        <f>IF(AND(Programme_Grunddaten!$A601="Geprüft",Programme_Grunddaten!AI601&lt;&gt;""),IF(Programme_Grunddaten!AI601="Ja",1,0),"")</f>
        <v/>
      </c>
      <c r="AB596" s="1" t="str">
        <f>IF(AND(Programme_Grunddaten!$A601="Geprüft",Programme_Grunddaten!AJ601&lt;&gt;""),IF(Programme_Grunddaten!AJ601="individuell programmierbar",1,0),"")</f>
        <v/>
      </c>
      <c r="AC596" s="1" t="str">
        <f>IF(AND(Programme_Grunddaten!$A601="Geprüft",Programme_Grunddaten!AK601&lt;&gt;""),IF(Programme_Grunddaten!AK601="Deutsch",0,IF(Programme_Grunddaten!AK601="Deutsch und Englisch",1,2)),"")</f>
        <v/>
      </c>
      <c r="AD596" s="1" t="str">
        <f>IF(AND(Programme_Grunddaten!$A601="Geprüft",Programme_Grunddaten!AL601&lt;&gt;""),IF(Programme_Grunddaten!AL601="Ja",1,0),"")</f>
        <v/>
      </c>
      <c r="AE596" s="1" t="str">
        <f>IF(AND(Programme_Grunddaten!$A601="Geprüft",Programme_Grunddaten!AM601&lt;&gt;""),IF(Programme_Grunddaten!AM601="Ja",1,0),"")</f>
        <v/>
      </c>
      <c r="AF596" s="1" t="str">
        <f>IF(AND(Programme_Grunddaten!$A601="Geprüft",Programme_Grunddaten!AN601&lt;&gt;""),IF(Programme_Grunddaten!AN601="Ja",1,0),"")</f>
        <v/>
      </c>
      <c r="AG596" s="1" t="str">
        <f>IF(AND(Programme_Grunddaten!$A601="Geprüft",Programme_Grunddaten!AO601&lt;&gt;""),IF(Programme_Grunddaten!AO601="Ja",1,0),"")</f>
        <v/>
      </c>
      <c r="AH596" s="1" t="str">
        <f>IF(AND(Programme_Grunddaten!$A601="Geprüft",Programme_Grunddaten!AP601&lt;&gt;""),IF(Programme_Grunddaten!AP601="Ja",1,0),"")</f>
        <v/>
      </c>
      <c r="AI596" s="1" t="str">
        <f>IF(AND(Programme_Grunddaten!$A601="Geprüft",Programme_Grunddaten!AQ601&lt;&gt;""),IF(Programme_Grunddaten!AQ601="Ja",1,0),"")</f>
        <v/>
      </c>
      <c r="AJ596" s="1" t="str">
        <f>IF(AND(Programme_Grunddaten!$A601="Geprüft",Programme_Grunddaten!AR601&lt;&gt;""),IF(Programme_Grunddaten!AR601="Ja",1,0),"")</f>
        <v/>
      </c>
      <c r="AK596" s="1" t="str">
        <f>IF(AND(Programme_Grunddaten!$A601="Geprüft",Programme_Grunddaten!AS601&lt;&gt;""),IF(Programme_Grunddaten!AS601="Ja",1,0),"")</f>
        <v/>
      </c>
      <c r="AL596" s="1" t="str">
        <f>IF(AND(Programme_Grunddaten!$A601="Geprüft",Programme_Grunddaten!AT601&lt;&gt;""),IF(Programme_Grunddaten!AT601="Ja",1,0),"")</f>
        <v/>
      </c>
      <c r="AM596" s="1" t="str">
        <f>IF(AND(Programme_Grunddaten!$A601="Geprüft",Programme_Grunddaten!AU601&lt;&gt;""),IF(Programme_Grunddaten!AU601="Ja",1,0),"")</f>
        <v/>
      </c>
      <c r="AN596" s="1" t="str">
        <f>IF(AND(Programme_Grunddaten!$A601="Geprüft",Programme_Grunddaten!AV601&lt;&gt;""),IF(Programme_Grunddaten!AV601="Ja",1,0),"")</f>
        <v/>
      </c>
    </row>
    <row r="597" spans="1:40" x14ac:dyDescent="0.3">
      <c r="A597" s="1" t="str">
        <f>IF(AND(Programme_Grunddaten!A602="Geprüft",Programme_Grunddaten!B602&lt;&gt;""),Programme_Grunddaten!B602,"")</f>
        <v/>
      </c>
      <c r="B597" s="1" t="str">
        <f>IF(AND(Programme_Grunddaten!$A602="Geprüft",Programme_Grunddaten!I602&lt;&gt;""),IF(Programme_Grunddaten!I602="Ja",1,0),"")</f>
        <v/>
      </c>
      <c r="C597" s="1" t="str">
        <f>IF(AND(Programme_Grunddaten!$A602="Geprüft",Programme_Grunddaten!J602&lt;&gt;""),IF(Programme_Grunddaten!J602="Ja",1,0),"")</f>
        <v/>
      </c>
      <c r="D597" s="1" t="str">
        <f>IF(AND(Programme_Grunddaten!$A602="Geprüft",Programme_Grunddaten!K602&lt;&gt;""),IF(Programme_Grunddaten!K602="Ja",1,0),"")</f>
        <v/>
      </c>
      <c r="E597" s="1" t="str">
        <f>IF(AND(Programme_Grunddaten!$A602="Geprüft",Programme_Grunddaten!L602&lt;&gt;""),IF(Programme_Grunddaten!L602="Abo / befristete Lizenz",1,0),"")</f>
        <v/>
      </c>
      <c r="F597" s="1" t="str">
        <f>IF(AND(Programme_Grunddaten!$A602="Geprüft",Programme_Grunddaten!M602&lt;&gt;""),IF(Programme_Grunddaten!M602="Ja",1,0),"")</f>
        <v/>
      </c>
      <c r="G597" s="1" t="str">
        <f>IF(AND(Programme_Grunddaten!$A602="Geprüft",Programme_Grunddaten!N602&lt;&gt;""),IF(Programme_Grunddaten!N602="Ja",1,0),"")</f>
        <v/>
      </c>
      <c r="H597" s="1" t="str">
        <f>IF(AND(Programme_Grunddaten!$A602="Geprüft",Programme_Grunddaten!O602&lt;&gt;""),IF(Programme_Grunddaten!O602="Deutschland",0,IF(Programme_Grunddaten!O602="EU",1,2)),"")</f>
        <v/>
      </c>
      <c r="I597" s="1" t="str">
        <f>IF(AND(Programme_Grunddaten!$A602="Geprüft",Programme_Grunddaten!P602&lt;&gt;""),IF(Programme_Grunddaten!P602="Ja",1,0),"")</f>
        <v/>
      </c>
      <c r="J597" s="1" t="str">
        <f>IF(AND(Programme_Grunddaten!$A602="Geprüft",Programme_Grunddaten!Q602&lt;&gt;""),IF(Programme_Grunddaten!Q602="geschlossenes System",1,0),"")</f>
        <v/>
      </c>
      <c r="K597" s="1" t="str">
        <f>IF(AND(Programme_Grunddaten!$A602="Geprüft",Programme_Grunddaten!R602&lt;&gt;""),IF(Programme_Grunddaten!R602="Ja",1,0),"")</f>
        <v/>
      </c>
      <c r="L597" s="1" t="str">
        <f>IF(AND(Programme_Grunddaten!$A602="Geprüft",Programme_Grunddaten!T602&lt;&gt;""),IF(Programme_Grunddaten!T602="Ja",1,0),"")</f>
        <v/>
      </c>
      <c r="M597" s="1" t="str">
        <f>IF(AND(Programme_Grunddaten!$A602="Geprüft",Programme_Grunddaten!U602&lt;&gt;""),IF(Programme_Grunddaten!U602="Ja",1,0),"")</f>
        <v/>
      </c>
      <c r="N597" s="1" t="str">
        <f>IF(AND(Programme_Grunddaten!$A602="Geprüft",Programme_Grunddaten!V602&lt;&gt;""),IF(Programme_Grunddaten!V602="Ja",1,0),"")</f>
        <v/>
      </c>
      <c r="O597" s="1" t="str">
        <f>IF(AND(Programme_Grunddaten!$A602="Geprüft",Programme_Grunddaten!W602&lt;&gt;""),IF(Programme_Grunddaten!W602="Ja",1,0),"")</f>
        <v/>
      </c>
      <c r="P597" s="1" t="str">
        <f>IF(AND(Programme_Grunddaten!$A602="Geprüft",Programme_Grunddaten!X602&lt;&gt;""),IF(Programme_Grunddaten!X602="Ja",1,0),"")</f>
        <v/>
      </c>
      <c r="Q597" s="1" t="str">
        <f>IF(AND(Programme_Grunddaten!$A602="Geprüft",Programme_Grunddaten!Y602&lt;&gt;""),IF(Programme_Grunddaten!Y602="Ja",1,0),"")</f>
        <v/>
      </c>
      <c r="R597" s="1" t="str">
        <f>IF(AND(Programme_Grunddaten!$A602="Geprüft",Programme_Grunddaten!Z602&lt;&gt;""),IF(Programme_Grunddaten!Z602="Ja",1,0),"")</f>
        <v/>
      </c>
      <c r="S597" s="1" t="str">
        <f>IF(AND(Programme_Grunddaten!$A602="Geprüft",Programme_Grunddaten!AA602&lt;&gt;""),IF(Programme_Grunddaten!AA602="monolithisch",1,0),"")</f>
        <v/>
      </c>
      <c r="T597" s="1" t="str">
        <f>IF(AND(Programme_Grunddaten!$A602="Geprüft",Programme_Grunddaten!AB602&lt;&gt;""),IF(Programme_Grunddaten!AB602="Ja",1,0),"")</f>
        <v/>
      </c>
      <c r="U597" s="1" t="str">
        <f>IF(AND(Programme_Grunddaten!$A602="Geprüft",Programme_Grunddaten!AC602&lt;&gt;""),IF(Programme_Grunddaten!AC602="Ja",1,0),"")</f>
        <v/>
      </c>
      <c r="V597" s="1" t="str">
        <f>IF(AND(Programme_Grunddaten!$A602="Geprüft",Programme_Grunddaten!AD602&lt;&gt;""),IF(Programme_Grunddaten!AD602="Ja",1,0),"")</f>
        <v/>
      </c>
      <c r="W597" s="1" t="str">
        <f>IF(AND(Programme_Grunddaten!$A602="Geprüft",Programme_Grunddaten!AE602&lt;&gt;""),IF(Programme_Grunddaten!AE602="Ja",1,0),"")</f>
        <v/>
      </c>
      <c r="X597" s="1" t="str">
        <f>IF(AND(Programme_Grunddaten!$A602="Geprüft",Programme_Grunddaten!AF602&lt;&gt;""),IF(Programme_Grunddaten!AF602="Ja",1,0),"")</f>
        <v/>
      </c>
      <c r="Y597" s="1" t="str">
        <f>IF(AND(Programme_Grunddaten!$A602="Geprüft",Programme_Grunddaten!AG602&lt;&gt;""),IF(Programme_Grunddaten!AG602="Ja",1,0),"")</f>
        <v/>
      </c>
      <c r="Z597" s="1" t="str">
        <f>IF(AND(Programme_Grunddaten!$A602="Geprüft",Programme_Grunddaten!AH602&lt;&gt;""),IF(Programme_Grunddaten!AH602="Ja",1,0),"")</f>
        <v/>
      </c>
      <c r="AA597" s="1" t="str">
        <f>IF(AND(Programme_Grunddaten!$A602="Geprüft",Programme_Grunddaten!AI602&lt;&gt;""),IF(Programme_Grunddaten!AI602="Ja",1,0),"")</f>
        <v/>
      </c>
      <c r="AB597" s="1" t="str">
        <f>IF(AND(Programme_Grunddaten!$A602="Geprüft",Programme_Grunddaten!AJ602&lt;&gt;""),IF(Programme_Grunddaten!AJ602="individuell programmierbar",1,0),"")</f>
        <v/>
      </c>
      <c r="AC597" s="1" t="str">
        <f>IF(AND(Programme_Grunddaten!$A602="Geprüft",Programme_Grunddaten!AK602&lt;&gt;""),IF(Programme_Grunddaten!AK602="Deutsch",0,IF(Programme_Grunddaten!AK602="Deutsch und Englisch",1,2)),"")</f>
        <v/>
      </c>
      <c r="AD597" s="1" t="str">
        <f>IF(AND(Programme_Grunddaten!$A602="Geprüft",Programme_Grunddaten!AL602&lt;&gt;""),IF(Programme_Grunddaten!AL602="Ja",1,0),"")</f>
        <v/>
      </c>
      <c r="AE597" s="1" t="str">
        <f>IF(AND(Programme_Grunddaten!$A602="Geprüft",Programme_Grunddaten!AM602&lt;&gt;""),IF(Programme_Grunddaten!AM602="Ja",1,0),"")</f>
        <v/>
      </c>
      <c r="AF597" s="1" t="str">
        <f>IF(AND(Programme_Grunddaten!$A602="Geprüft",Programme_Grunddaten!AN602&lt;&gt;""),IF(Programme_Grunddaten!AN602="Ja",1,0),"")</f>
        <v/>
      </c>
      <c r="AG597" s="1" t="str">
        <f>IF(AND(Programme_Grunddaten!$A602="Geprüft",Programme_Grunddaten!AO602&lt;&gt;""),IF(Programme_Grunddaten!AO602="Ja",1,0),"")</f>
        <v/>
      </c>
      <c r="AH597" s="1" t="str">
        <f>IF(AND(Programme_Grunddaten!$A602="Geprüft",Programme_Grunddaten!AP602&lt;&gt;""),IF(Programme_Grunddaten!AP602="Ja",1,0),"")</f>
        <v/>
      </c>
      <c r="AI597" s="1" t="str">
        <f>IF(AND(Programme_Grunddaten!$A602="Geprüft",Programme_Grunddaten!AQ602&lt;&gt;""),IF(Programme_Grunddaten!AQ602="Ja",1,0),"")</f>
        <v/>
      </c>
      <c r="AJ597" s="1" t="str">
        <f>IF(AND(Programme_Grunddaten!$A602="Geprüft",Programme_Grunddaten!AR602&lt;&gt;""),IF(Programme_Grunddaten!AR602="Ja",1,0),"")</f>
        <v/>
      </c>
      <c r="AK597" s="1" t="str">
        <f>IF(AND(Programme_Grunddaten!$A602="Geprüft",Programme_Grunddaten!AS602&lt;&gt;""),IF(Programme_Grunddaten!AS602="Ja",1,0),"")</f>
        <v/>
      </c>
      <c r="AL597" s="1" t="str">
        <f>IF(AND(Programme_Grunddaten!$A602="Geprüft",Programme_Grunddaten!AT602&lt;&gt;""),IF(Programme_Grunddaten!AT602="Ja",1,0),"")</f>
        <v/>
      </c>
      <c r="AM597" s="1" t="str">
        <f>IF(AND(Programme_Grunddaten!$A602="Geprüft",Programme_Grunddaten!AU602&lt;&gt;""),IF(Programme_Grunddaten!AU602="Ja",1,0),"")</f>
        <v/>
      </c>
      <c r="AN597" s="1" t="str">
        <f>IF(AND(Programme_Grunddaten!$A602="Geprüft",Programme_Grunddaten!AV602&lt;&gt;""),IF(Programme_Grunddaten!AV602="Ja",1,0),"")</f>
        <v/>
      </c>
    </row>
    <row r="598" spans="1:40" x14ac:dyDescent="0.3">
      <c r="A598" s="1" t="str">
        <f>IF(AND(Programme_Grunddaten!A603="Geprüft",Programme_Grunddaten!B603&lt;&gt;""),Programme_Grunddaten!B603,"")</f>
        <v/>
      </c>
      <c r="B598" s="1" t="str">
        <f>IF(AND(Programme_Grunddaten!$A603="Geprüft",Programme_Grunddaten!I603&lt;&gt;""),IF(Programme_Grunddaten!I603="Ja",1,0),"")</f>
        <v/>
      </c>
      <c r="C598" s="1" t="str">
        <f>IF(AND(Programme_Grunddaten!$A603="Geprüft",Programme_Grunddaten!J603&lt;&gt;""),IF(Programme_Grunddaten!J603="Ja",1,0),"")</f>
        <v/>
      </c>
      <c r="D598" s="1" t="str">
        <f>IF(AND(Programme_Grunddaten!$A603="Geprüft",Programme_Grunddaten!K603&lt;&gt;""),IF(Programme_Grunddaten!K603="Ja",1,0),"")</f>
        <v/>
      </c>
      <c r="E598" s="1" t="str">
        <f>IF(AND(Programme_Grunddaten!$A603="Geprüft",Programme_Grunddaten!L603&lt;&gt;""),IF(Programme_Grunddaten!L603="Abo / befristete Lizenz",1,0),"")</f>
        <v/>
      </c>
      <c r="F598" s="1" t="str">
        <f>IF(AND(Programme_Grunddaten!$A603="Geprüft",Programme_Grunddaten!M603&lt;&gt;""),IF(Programme_Grunddaten!M603="Ja",1,0),"")</f>
        <v/>
      </c>
      <c r="G598" s="1" t="str">
        <f>IF(AND(Programme_Grunddaten!$A603="Geprüft",Programme_Grunddaten!N603&lt;&gt;""),IF(Programme_Grunddaten!N603="Ja",1,0),"")</f>
        <v/>
      </c>
      <c r="H598" s="1" t="str">
        <f>IF(AND(Programme_Grunddaten!$A603="Geprüft",Programme_Grunddaten!O603&lt;&gt;""),IF(Programme_Grunddaten!O603="Deutschland",0,IF(Programme_Grunddaten!O603="EU",1,2)),"")</f>
        <v/>
      </c>
      <c r="I598" s="1" t="str">
        <f>IF(AND(Programme_Grunddaten!$A603="Geprüft",Programme_Grunddaten!P603&lt;&gt;""),IF(Programme_Grunddaten!P603="Ja",1,0),"")</f>
        <v/>
      </c>
      <c r="J598" s="1" t="str">
        <f>IF(AND(Programme_Grunddaten!$A603="Geprüft",Programme_Grunddaten!Q603&lt;&gt;""),IF(Programme_Grunddaten!Q603="geschlossenes System",1,0),"")</f>
        <v/>
      </c>
      <c r="K598" s="1" t="str">
        <f>IF(AND(Programme_Grunddaten!$A603="Geprüft",Programme_Grunddaten!R603&lt;&gt;""),IF(Programme_Grunddaten!R603="Ja",1,0),"")</f>
        <v/>
      </c>
      <c r="L598" s="1" t="str">
        <f>IF(AND(Programme_Grunddaten!$A603="Geprüft",Programme_Grunddaten!T603&lt;&gt;""),IF(Programme_Grunddaten!T603="Ja",1,0),"")</f>
        <v/>
      </c>
      <c r="M598" s="1" t="str">
        <f>IF(AND(Programme_Grunddaten!$A603="Geprüft",Programme_Grunddaten!U603&lt;&gt;""),IF(Programme_Grunddaten!U603="Ja",1,0),"")</f>
        <v/>
      </c>
      <c r="N598" s="1" t="str">
        <f>IF(AND(Programme_Grunddaten!$A603="Geprüft",Programme_Grunddaten!V603&lt;&gt;""),IF(Programme_Grunddaten!V603="Ja",1,0),"")</f>
        <v/>
      </c>
      <c r="O598" s="1" t="str">
        <f>IF(AND(Programme_Grunddaten!$A603="Geprüft",Programme_Grunddaten!W603&lt;&gt;""),IF(Programme_Grunddaten!W603="Ja",1,0),"")</f>
        <v/>
      </c>
      <c r="P598" s="1" t="str">
        <f>IF(AND(Programme_Grunddaten!$A603="Geprüft",Programme_Grunddaten!X603&lt;&gt;""),IF(Programme_Grunddaten!X603="Ja",1,0),"")</f>
        <v/>
      </c>
      <c r="Q598" s="1" t="str">
        <f>IF(AND(Programme_Grunddaten!$A603="Geprüft",Programme_Grunddaten!Y603&lt;&gt;""),IF(Programme_Grunddaten!Y603="Ja",1,0),"")</f>
        <v/>
      </c>
      <c r="R598" s="1" t="str">
        <f>IF(AND(Programme_Grunddaten!$A603="Geprüft",Programme_Grunddaten!Z603&lt;&gt;""),IF(Programme_Grunddaten!Z603="Ja",1,0),"")</f>
        <v/>
      </c>
      <c r="S598" s="1" t="str">
        <f>IF(AND(Programme_Grunddaten!$A603="Geprüft",Programme_Grunddaten!AA603&lt;&gt;""),IF(Programme_Grunddaten!AA603="monolithisch",1,0),"")</f>
        <v/>
      </c>
      <c r="T598" s="1" t="str">
        <f>IF(AND(Programme_Grunddaten!$A603="Geprüft",Programme_Grunddaten!AB603&lt;&gt;""),IF(Programme_Grunddaten!AB603="Ja",1,0),"")</f>
        <v/>
      </c>
      <c r="U598" s="1" t="str">
        <f>IF(AND(Programme_Grunddaten!$A603="Geprüft",Programme_Grunddaten!AC603&lt;&gt;""),IF(Programme_Grunddaten!AC603="Ja",1,0),"")</f>
        <v/>
      </c>
      <c r="V598" s="1" t="str">
        <f>IF(AND(Programme_Grunddaten!$A603="Geprüft",Programme_Grunddaten!AD603&lt;&gt;""),IF(Programme_Grunddaten!AD603="Ja",1,0),"")</f>
        <v/>
      </c>
      <c r="W598" s="1" t="str">
        <f>IF(AND(Programme_Grunddaten!$A603="Geprüft",Programme_Grunddaten!AE603&lt;&gt;""),IF(Programme_Grunddaten!AE603="Ja",1,0),"")</f>
        <v/>
      </c>
      <c r="X598" s="1" t="str">
        <f>IF(AND(Programme_Grunddaten!$A603="Geprüft",Programme_Grunddaten!AF603&lt;&gt;""),IF(Programme_Grunddaten!AF603="Ja",1,0),"")</f>
        <v/>
      </c>
      <c r="Y598" s="1" t="str">
        <f>IF(AND(Programme_Grunddaten!$A603="Geprüft",Programme_Grunddaten!AG603&lt;&gt;""),IF(Programme_Grunddaten!AG603="Ja",1,0),"")</f>
        <v/>
      </c>
      <c r="Z598" s="1" t="str">
        <f>IF(AND(Programme_Grunddaten!$A603="Geprüft",Programme_Grunddaten!AH603&lt;&gt;""),IF(Programme_Grunddaten!AH603="Ja",1,0),"")</f>
        <v/>
      </c>
      <c r="AA598" s="1" t="str">
        <f>IF(AND(Programme_Grunddaten!$A603="Geprüft",Programme_Grunddaten!AI603&lt;&gt;""),IF(Programme_Grunddaten!AI603="Ja",1,0),"")</f>
        <v/>
      </c>
      <c r="AB598" s="1" t="str">
        <f>IF(AND(Programme_Grunddaten!$A603="Geprüft",Programme_Grunddaten!AJ603&lt;&gt;""),IF(Programme_Grunddaten!AJ603="individuell programmierbar",1,0),"")</f>
        <v/>
      </c>
      <c r="AC598" s="1" t="str">
        <f>IF(AND(Programme_Grunddaten!$A603="Geprüft",Programme_Grunddaten!AK603&lt;&gt;""),IF(Programme_Grunddaten!AK603="Deutsch",0,IF(Programme_Grunddaten!AK603="Deutsch und Englisch",1,2)),"")</f>
        <v/>
      </c>
      <c r="AD598" s="1" t="str">
        <f>IF(AND(Programme_Grunddaten!$A603="Geprüft",Programme_Grunddaten!AL603&lt;&gt;""),IF(Programme_Grunddaten!AL603="Ja",1,0),"")</f>
        <v/>
      </c>
      <c r="AE598" s="1" t="str">
        <f>IF(AND(Programme_Grunddaten!$A603="Geprüft",Programme_Grunddaten!AM603&lt;&gt;""),IF(Programme_Grunddaten!AM603="Ja",1,0),"")</f>
        <v/>
      </c>
      <c r="AF598" s="1" t="str">
        <f>IF(AND(Programme_Grunddaten!$A603="Geprüft",Programme_Grunddaten!AN603&lt;&gt;""),IF(Programme_Grunddaten!AN603="Ja",1,0),"")</f>
        <v/>
      </c>
      <c r="AG598" s="1" t="str">
        <f>IF(AND(Programme_Grunddaten!$A603="Geprüft",Programme_Grunddaten!AO603&lt;&gt;""),IF(Programme_Grunddaten!AO603="Ja",1,0),"")</f>
        <v/>
      </c>
      <c r="AH598" s="1" t="str">
        <f>IF(AND(Programme_Grunddaten!$A603="Geprüft",Programme_Grunddaten!AP603&lt;&gt;""),IF(Programme_Grunddaten!AP603="Ja",1,0),"")</f>
        <v/>
      </c>
      <c r="AI598" s="1" t="str">
        <f>IF(AND(Programme_Grunddaten!$A603="Geprüft",Programme_Grunddaten!AQ603&lt;&gt;""),IF(Programme_Grunddaten!AQ603="Ja",1,0),"")</f>
        <v/>
      </c>
      <c r="AJ598" s="1" t="str">
        <f>IF(AND(Programme_Grunddaten!$A603="Geprüft",Programme_Grunddaten!AR603&lt;&gt;""),IF(Programme_Grunddaten!AR603="Ja",1,0),"")</f>
        <v/>
      </c>
      <c r="AK598" s="1" t="str">
        <f>IF(AND(Programme_Grunddaten!$A603="Geprüft",Programme_Grunddaten!AS603&lt;&gt;""),IF(Programme_Grunddaten!AS603="Ja",1,0),"")</f>
        <v/>
      </c>
      <c r="AL598" s="1" t="str">
        <f>IF(AND(Programme_Grunddaten!$A603="Geprüft",Programme_Grunddaten!AT603&lt;&gt;""),IF(Programme_Grunddaten!AT603="Ja",1,0),"")</f>
        <v/>
      </c>
      <c r="AM598" s="1" t="str">
        <f>IF(AND(Programme_Grunddaten!$A603="Geprüft",Programme_Grunddaten!AU603&lt;&gt;""),IF(Programme_Grunddaten!AU603="Ja",1,0),"")</f>
        <v/>
      </c>
      <c r="AN598" s="1" t="str">
        <f>IF(AND(Programme_Grunddaten!$A603="Geprüft",Programme_Grunddaten!AV603&lt;&gt;""),IF(Programme_Grunddaten!AV603="Ja",1,0),"")</f>
        <v/>
      </c>
    </row>
    <row r="599" spans="1:40" x14ac:dyDescent="0.3">
      <c r="A599" s="1" t="str">
        <f>IF(AND(Programme_Grunddaten!A604="Geprüft",Programme_Grunddaten!B604&lt;&gt;""),Programme_Grunddaten!B604,"")</f>
        <v/>
      </c>
      <c r="B599" s="1" t="str">
        <f>IF(AND(Programme_Grunddaten!$A604="Geprüft",Programme_Grunddaten!I604&lt;&gt;""),IF(Programme_Grunddaten!I604="Ja",1,0),"")</f>
        <v/>
      </c>
      <c r="C599" s="1" t="str">
        <f>IF(AND(Programme_Grunddaten!$A604="Geprüft",Programme_Grunddaten!J604&lt;&gt;""),IF(Programme_Grunddaten!J604="Ja",1,0),"")</f>
        <v/>
      </c>
      <c r="D599" s="1" t="str">
        <f>IF(AND(Programme_Grunddaten!$A604="Geprüft",Programme_Grunddaten!K604&lt;&gt;""),IF(Programme_Grunddaten!K604="Ja",1,0),"")</f>
        <v/>
      </c>
      <c r="E599" s="1" t="str">
        <f>IF(AND(Programme_Grunddaten!$A604="Geprüft",Programme_Grunddaten!L604&lt;&gt;""),IF(Programme_Grunddaten!L604="Abo / befristete Lizenz",1,0),"")</f>
        <v/>
      </c>
      <c r="F599" s="1" t="str">
        <f>IF(AND(Programme_Grunddaten!$A604="Geprüft",Programme_Grunddaten!M604&lt;&gt;""),IF(Programme_Grunddaten!M604="Ja",1,0),"")</f>
        <v/>
      </c>
      <c r="G599" s="1" t="str">
        <f>IF(AND(Programme_Grunddaten!$A604="Geprüft",Programme_Grunddaten!N604&lt;&gt;""),IF(Programme_Grunddaten!N604="Ja",1,0),"")</f>
        <v/>
      </c>
      <c r="H599" s="1" t="str">
        <f>IF(AND(Programme_Grunddaten!$A604="Geprüft",Programme_Grunddaten!O604&lt;&gt;""),IF(Programme_Grunddaten!O604="Deutschland",0,IF(Programme_Grunddaten!O604="EU",1,2)),"")</f>
        <v/>
      </c>
      <c r="I599" s="1" t="str">
        <f>IF(AND(Programme_Grunddaten!$A604="Geprüft",Programme_Grunddaten!P604&lt;&gt;""),IF(Programme_Grunddaten!P604="Ja",1,0),"")</f>
        <v/>
      </c>
      <c r="J599" s="1" t="str">
        <f>IF(AND(Programme_Grunddaten!$A604="Geprüft",Programme_Grunddaten!Q604&lt;&gt;""),IF(Programme_Grunddaten!Q604="geschlossenes System",1,0),"")</f>
        <v/>
      </c>
      <c r="K599" s="1" t="str">
        <f>IF(AND(Programme_Grunddaten!$A604="Geprüft",Programme_Grunddaten!R604&lt;&gt;""),IF(Programme_Grunddaten!R604="Ja",1,0),"")</f>
        <v/>
      </c>
      <c r="L599" s="1" t="str">
        <f>IF(AND(Programme_Grunddaten!$A604="Geprüft",Programme_Grunddaten!T604&lt;&gt;""),IF(Programme_Grunddaten!T604="Ja",1,0),"")</f>
        <v/>
      </c>
      <c r="M599" s="1" t="str">
        <f>IF(AND(Programme_Grunddaten!$A604="Geprüft",Programme_Grunddaten!U604&lt;&gt;""),IF(Programme_Grunddaten!U604="Ja",1,0),"")</f>
        <v/>
      </c>
      <c r="N599" s="1" t="str">
        <f>IF(AND(Programme_Grunddaten!$A604="Geprüft",Programme_Grunddaten!V604&lt;&gt;""),IF(Programme_Grunddaten!V604="Ja",1,0),"")</f>
        <v/>
      </c>
      <c r="O599" s="1" t="str">
        <f>IF(AND(Programme_Grunddaten!$A604="Geprüft",Programme_Grunddaten!W604&lt;&gt;""),IF(Programme_Grunddaten!W604="Ja",1,0),"")</f>
        <v/>
      </c>
      <c r="P599" s="1" t="str">
        <f>IF(AND(Programme_Grunddaten!$A604="Geprüft",Programme_Grunddaten!X604&lt;&gt;""),IF(Programme_Grunddaten!X604="Ja",1,0),"")</f>
        <v/>
      </c>
      <c r="Q599" s="1" t="str">
        <f>IF(AND(Programme_Grunddaten!$A604="Geprüft",Programme_Grunddaten!Y604&lt;&gt;""),IF(Programme_Grunddaten!Y604="Ja",1,0),"")</f>
        <v/>
      </c>
      <c r="R599" s="1" t="str">
        <f>IF(AND(Programme_Grunddaten!$A604="Geprüft",Programme_Grunddaten!Z604&lt;&gt;""),IF(Programme_Grunddaten!Z604="Ja",1,0),"")</f>
        <v/>
      </c>
      <c r="S599" s="1" t="str">
        <f>IF(AND(Programme_Grunddaten!$A604="Geprüft",Programme_Grunddaten!AA604&lt;&gt;""),IF(Programme_Grunddaten!AA604="monolithisch",1,0),"")</f>
        <v/>
      </c>
      <c r="T599" s="1" t="str">
        <f>IF(AND(Programme_Grunddaten!$A604="Geprüft",Programme_Grunddaten!AB604&lt;&gt;""),IF(Programme_Grunddaten!AB604="Ja",1,0),"")</f>
        <v/>
      </c>
      <c r="U599" s="1" t="str">
        <f>IF(AND(Programme_Grunddaten!$A604="Geprüft",Programme_Grunddaten!AC604&lt;&gt;""),IF(Programme_Grunddaten!AC604="Ja",1,0),"")</f>
        <v/>
      </c>
      <c r="V599" s="1" t="str">
        <f>IF(AND(Programme_Grunddaten!$A604="Geprüft",Programme_Grunddaten!AD604&lt;&gt;""),IF(Programme_Grunddaten!AD604="Ja",1,0),"")</f>
        <v/>
      </c>
      <c r="W599" s="1" t="str">
        <f>IF(AND(Programme_Grunddaten!$A604="Geprüft",Programme_Grunddaten!AE604&lt;&gt;""),IF(Programme_Grunddaten!AE604="Ja",1,0),"")</f>
        <v/>
      </c>
      <c r="X599" s="1" t="str">
        <f>IF(AND(Programme_Grunddaten!$A604="Geprüft",Programme_Grunddaten!AF604&lt;&gt;""),IF(Programme_Grunddaten!AF604="Ja",1,0),"")</f>
        <v/>
      </c>
      <c r="Y599" s="1" t="str">
        <f>IF(AND(Programme_Grunddaten!$A604="Geprüft",Programme_Grunddaten!AG604&lt;&gt;""),IF(Programme_Grunddaten!AG604="Ja",1,0),"")</f>
        <v/>
      </c>
      <c r="Z599" s="1" t="str">
        <f>IF(AND(Programme_Grunddaten!$A604="Geprüft",Programme_Grunddaten!AH604&lt;&gt;""),IF(Programme_Grunddaten!AH604="Ja",1,0),"")</f>
        <v/>
      </c>
      <c r="AA599" s="1" t="str">
        <f>IF(AND(Programme_Grunddaten!$A604="Geprüft",Programme_Grunddaten!AI604&lt;&gt;""),IF(Programme_Grunddaten!AI604="Ja",1,0),"")</f>
        <v/>
      </c>
      <c r="AB599" s="1" t="str">
        <f>IF(AND(Programme_Grunddaten!$A604="Geprüft",Programme_Grunddaten!AJ604&lt;&gt;""),IF(Programme_Grunddaten!AJ604="individuell programmierbar",1,0),"")</f>
        <v/>
      </c>
      <c r="AC599" s="1" t="str">
        <f>IF(AND(Programme_Grunddaten!$A604="Geprüft",Programme_Grunddaten!AK604&lt;&gt;""),IF(Programme_Grunddaten!AK604="Deutsch",0,IF(Programme_Grunddaten!AK604="Deutsch und Englisch",1,2)),"")</f>
        <v/>
      </c>
      <c r="AD599" s="1" t="str">
        <f>IF(AND(Programme_Grunddaten!$A604="Geprüft",Programme_Grunddaten!AL604&lt;&gt;""),IF(Programme_Grunddaten!AL604="Ja",1,0),"")</f>
        <v/>
      </c>
      <c r="AE599" s="1" t="str">
        <f>IF(AND(Programme_Grunddaten!$A604="Geprüft",Programme_Grunddaten!AM604&lt;&gt;""),IF(Programme_Grunddaten!AM604="Ja",1,0),"")</f>
        <v/>
      </c>
      <c r="AF599" s="1" t="str">
        <f>IF(AND(Programme_Grunddaten!$A604="Geprüft",Programme_Grunddaten!AN604&lt;&gt;""),IF(Programme_Grunddaten!AN604="Ja",1,0),"")</f>
        <v/>
      </c>
      <c r="AG599" s="1" t="str">
        <f>IF(AND(Programme_Grunddaten!$A604="Geprüft",Programme_Grunddaten!AO604&lt;&gt;""),IF(Programme_Grunddaten!AO604="Ja",1,0),"")</f>
        <v/>
      </c>
      <c r="AH599" s="1" t="str">
        <f>IF(AND(Programme_Grunddaten!$A604="Geprüft",Programme_Grunddaten!AP604&lt;&gt;""),IF(Programme_Grunddaten!AP604="Ja",1,0),"")</f>
        <v/>
      </c>
      <c r="AI599" s="1" t="str">
        <f>IF(AND(Programme_Grunddaten!$A604="Geprüft",Programme_Grunddaten!AQ604&lt;&gt;""),IF(Programme_Grunddaten!AQ604="Ja",1,0),"")</f>
        <v/>
      </c>
      <c r="AJ599" s="1" t="str">
        <f>IF(AND(Programme_Grunddaten!$A604="Geprüft",Programme_Grunddaten!AR604&lt;&gt;""),IF(Programme_Grunddaten!AR604="Ja",1,0),"")</f>
        <v/>
      </c>
      <c r="AK599" s="1" t="str">
        <f>IF(AND(Programme_Grunddaten!$A604="Geprüft",Programme_Grunddaten!AS604&lt;&gt;""),IF(Programme_Grunddaten!AS604="Ja",1,0),"")</f>
        <v/>
      </c>
      <c r="AL599" s="1" t="str">
        <f>IF(AND(Programme_Grunddaten!$A604="Geprüft",Programme_Grunddaten!AT604&lt;&gt;""),IF(Programme_Grunddaten!AT604="Ja",1,0),"")</f>
        <v/>
      </c>
      <c r="AM599" s="1" t="str">
        <f>IF(AND(Programme_Grunddaten!$A604="Geprüft",Programme_Grunddaten!AU604&lt;&gt;""),IF(Programme_Grunddaten!AU604="Ja",1,0),"")</f>
        <v/>
      </c>
      <c r="AN599" s="1" t="str">
        <f>IF(AND(Programme_Grunddaten!$A604="Geprüft",Programme_Grunddaten!AV604&lt;&gt;""),IF(Programme_Grunddaten!AV604="Ja",1,0),"")</f>
        <v/>
      </c>
    </row>
    <row r="600" spans="1:40" x14ac:dyDescent="0.3">
      <c r="A600" s="1" t="str">
        <f>IF(AND(Programme_Grunddaten!A605="Geprüft",Programme_Grunddaten!B605&lt;&gt;""),Programme_Grunddaten!B605,"")</f>
        <v/>
      </c>
      <c r="B600" s="1" t="str">
        <f>IF(AND(Programme_Grunddaten!$A605="Geprüft",Programme_Grunddaten!I605&lt;&gt;""),IF(Programme_Grunddaten!I605="Ja",1,0),"")</f>
        <v/>
      </c>
      <c r="C600" s="1" t="str">
        <f>IF(AND(Programme_Grunddaten!$A605="Geprüft",Programme_Grunddaten!J605&lt;&gt;""),IF(Programme_Grunddaten!J605="Ja",1,0),"")</f>
        <v/>
      </c>
      <c r="D600" s="1" t="str">
        <f>IF(AND(Programme_Grunddaten!$A605="Geprüft",Programme_Grunddaten!K605&lt;&gt;""),IF(Programme_Grunddaten!K605="Ja",1,0),"")</f>
        <v/>
      </c>
      <c r="E600" s="1" t="str">
        <f>IF(AND(Programme_Grunddaten!$A605="Geprüft",Programme_Grunddaten!L605&lt;&gt;""),IF(Programme_Grunddaten!L605="Abo / befristete Lizenz",1,0),"")</f>
        <v/>
      </c>
      <c r="F600" s="1" t="str">
        <f>IF(AND(Programme_Grunddaten!$A605="Geprüft",Programme_Grunddaten!M605&lt;&gt;""),IF(Programme_Grunddaten!M605="Ja",1,0),"")</f>
        <v/>
      </c>
      <c r="G600" s="1" t="str">
        <f>IF(AND(Programme_Grunddaten!$A605="Geprüft",Programme_Grunddaten!N605&lt;&gt;""),IF(Programme_Grunddaten!N605="Ja",1,0),"")</f>
        <v/>
      </c>
      <c r="H600" s="1" t="str">
        <f>IF(AND(Programme_Grunddaten!$A605="Geprüft",Programme_Grunddaten!O605&lt;&gt;""),IF(Programme_Grunddaten!O605="Deutschland",0,IF(Programme_Grunddaten!O605="EU",1,2)),"")</f>
        <v/>
      </c>
      <c r="I600" s="1" t="str">
        <f>IF(AND(Programme_Grunddaten!$A605="Geprüft",Programme_Grunddaten!P605&lt;&gt;""),IF(Programme_Grunddaten!P605="Ja",1,0),"")</f>
        <v/>
      </c>
      <c r="J600" s="1" t="str">
        <f>IF(AND(Programme_Grunddaten!$A605="Geprüft",Programme_Grunddaten!Q605&lt;&gt;""),IF(Programme_Grunddaten!Q605="geschlossenes System",1,0),"")</f>
        <v/>
      </c>
      <c r="K600" s="1" t="str">
        <f>IF(AND(Programme_Grunddaten!$A605="Geprüft",Programme_Grunddaten!R605&lt;&gt;""),IF(Programme_Grunddaten!R605="Ja",1,0),"")</f>
        <v/>
      </c>
      <c r="L600" s="1" t="str">
        <f>IF(AND(Programme_Grunddaten!$A605="Geprüft",Programme_Grunddaten!T605&lt;&gt;""),IF(Programme_Grunddaten!T605="Ja",1,0),"")</f>
        <v/>
      </c>
      <c r="M600" s="1" t="str">
        <f>IF(AND(Programme_Grunddaten!$A605="Geprüft",Programme_Grunddaten!U605&lt;&gt;""),IF(Programme_Grunddaten!U605="Ja",1,0),"")</f>
        <v/>
      </c>
      <c r="N600" s="1" t="str">
        <f>IF(AND(Programme_Grunddaten!$A605="Geprüft",Programme_Grunddaten!V605&lt;&gt;""),IF(Programme_Grunddaten!V605="Ja",1,0),"")</f>
        <v/>
      </c>
      <c r="O600" s="1" t="str">
        <f>IF(AND(Programme_Grunddaten!$A605="Geprüft",Programme_Grunddaten!W605&lt;&gt;""),IF(Programme_Grunddaten!W605="Ja",1,0),"")</f>
        <v/>
      </c>
      <c r="P600" s="1" t="str">
        <f>IF(AND(Programme_Grunddaten!$A605="Geprüft",Programme_Grunddaten!X605&lt;&gt;""),IF(Programme_Grunddaten!X605="Ja",1,0),"")</f>
        <v/>
      </c>
      <c r="Q600" s="1" t="str">
        <f>IF(AND(Programme_Grunddaten!$A605="Geprüft",Programme_Grunddaten!Y605&lt;&gt;""),IF(Programme_Grunddaten!Y605="Ja",1,0),"")</f>
        <v/>
      </c>
      <c r="R600" s="1" t="str">
        <f>IF(AND(Programme_Grunddaten!$A605="Geprüft",Programme_Grunddaten!Z605&lt;&gt;""),IF(Programme_Grunddaten!Z605="Ja",1,0),"")</f>
        <v/>
      </c>
      <c r="S600" s="1" t="str">
        <f>IF(AND(Programme_Grunddaten!$A605="Geprüft",Programme_Grunddaten!AA605&lt;&gt;""),IF(Programme_Grunddaten!AA605="monolithisch",1,0),"")</f>
        <v/>
      </c>
      <c r="T600" s="1" t="str">
        <f>IF(AND(Programme_Grunddaten!$A605="Geprüft",Programme_Grunddaten!AB605&lt;&gt;""),IF(Programme_Grunddaten!AB605="Ja",1,0),"")</f>
        <v/>
      </c>
      <c r="U600" s="1" t="str">
        <f>IF(AND(Programme_Grunddaten!$A605="Geprüft",Programme_Grunddaten!AC605&lt;&gt;""),IF(Programme_Grunddaten!AC605="Ja",1,0),"")</f>
        <v/>
      </c>
      <c r="V600" s="1" t="str">
        <f>IF(AND(Programme_Grunddaten!$A605="Geprüft",Programme_Grunddaten!AD605&lt;&gt;""),IF(Programme_Grunddaten!AD605="Ja",1,0),"")</f>
        <v/>
      </c>
      <c r="W600" s="1" t="str">
        <f>IF(AND(Programme_Grunddaten!$A605="Geprüft",Programme_Grunddaten!AE605&lt;&gt;""),IF(Programme_Grunddaten!AE605="Ja",1,0),"")</f>
        <v/>
      </c>
      <c r="X600" s="1" t="str">
        <f>IF(AND(Programme_Grunddaten!$A605="Geprüft",Programme_Grunddaten!AF605&lt;&gt;""),IF(Programme_Grunddaten!AF605="Ja",1,0),"")</f>
        <v/>
      </c>
      <c r="Y600" s="1" t="str">
        <f>IF(AND(Programme_Grunddaten!$A605="Geprüft",Programme_Grunddaten!AG605&lt;&gt;""),IF(Programme_Grunddaten!AG605="Ja",1,0),"")</f>
        <v/>
      </c>
      <c r="Z600" s="1" t="str">
        <f>IF(AND(Programme_Grunddaten!$A605="Geprüft",Programme_Grunddaten!AH605&lt;&gt;""),IF(Programme_Grunddaten!AH605="Ja",1,0),"")</f>
        <v/>
      </c>
      <c r="AA600" s="1" t="str">
        <f>IF(AND(Programme_Grunddaten!$A605="Geprüft",Programme_Grunddaten!AI605&lt;&gt;""),IF(Programme_Grunddaten!AI605="Ja",1,0),"")</f>
        <v/>
      </c>
      <c r="AB600" s="1" t="str">
        <f>IF(AND(Programme_Grunddaten!$A605="Geprüft",Programme_Grunddaten!AJ605&lt;&gt;""),IF(Programme_Grunddaten!AJ605="individuell programmierbar",1,0),"")</f>
        <v/>
      </c>
      <c r="AC600" s="1" t="str">
        <f>IF(AND(Programme_Grunddaten!$A605="Geprüft",Programme_Grunddaten!AK605&lt;&gt;""),IF(Programme_Grunddaten!AK605="Deutsch",0,IF(Programme_Grunddaten!AK605="Deutsch und Englisch",1,2)),"")</f>
        <v/>
      </c>
      <c r="AD600" s="1" t="str">
        <f>IF(AND(Programme_Grunddaten!$A605="Geprüft",Programme_Grunddaten!AL605&lt;&gt;""),IF(Programme_Grunddaten!AL605="Ja",1,0),"")</f>
        <v/>
      </c>
      <c r="AE600" s="1" t="str">
        <f>IF(AND(Programme_Grunddaten!$A605="Geprüft",Programme_Grunddaten!AM605&lt;&gt;""),IF(Programme_Grunddaten!AM605="Ja",1,0),"")</f>
        <v/>
      </c>
      <c r="AF600" s="1" t="str">
        <f>IF(AND(Programme_Grunddaten!$A605="Geprüft",Programme_Grunddaten!AN605&lt;&gt;""),IF(Programme_Grunddaten!AN605="Ja",1,0),"")</f>
        <v/>
      </c>
      <c r="AG600" s="1" t="str">
        <f>IF(AND(Programme_Grunddaten!$A605="Geprüft",Programme_Grunddaten!AO605&lt;&gt;""),IF(Programme_Grunddaten!AO605="Ja",1,0),"")</f>
        <v/>
      </c>
      <c r="AH600" s="1" t="str">
        <f>IF(AND(Programme_Grunddaten!$A605="Geprüft",Programme_Grunddaten!AP605&lt;&gt;""),IF(Programme_Grunddaten!AP605="Ja",1,0),"")</f>
        <v/>
      </c>
      <c r="AI600" s="1" t="str">
        <f>IF(AND(Programme_Grunddaten!$A605="Geprüft",Programme_Grunddaten!AQ605&lt;&gt;""),IF(Programme_Grunddaten!AQ605="Ja",1,0),"")</f>
        <v/>
      </c>
      <c r="AJ600" s="1" t="str">
        <f>IF(AND(Programme_Grunddaten!$A605="Geprüft",Programme_Grunddaten!AR605&lt;&gt;""),IF(Programme_Grunddaten!AR605="Ja",1,0),"")</f>
        <v/>
      </c>
      <c r="AK600" s="1" t="str">
        <f>IF(AND(Programme_Grunddaten!$A605="Geprüft",Programme_Grunddaten!AS605&lt;&gt;""),IF(Programme_Grunddaten!AS605="Ja",1,0),"")</f>
        <v/>
      </c>
      <c r="AL600" s="1" t="str">
        <f>IF(AND(Programme_Grunddaten!$A605="Geprüft",Programme_Grunddaten!AT605&lt;&gt;""),IF(Programme_Grunddaten!AT605="Ja",1,0),"")</f>
        <v/>
      </c>
      <c r="AM600" s="1" t="str">
        <f>IF(AND(Programme_Grunddaten!$A605="Geprüft",Programme_Grunddaten!AU605&lt;&gt;""),IF(Programme_Grunddaten!AU605="Ja",1,0),"")</f>
        <v/>
      </c>
      <c r="AN600" s="1" t="str">
        <f>IF(AND(Programme_Grunddaten!$A605="Geprüft",Programme_Grunddaten!AV605&lt;&gt;""),IF(Programme_Grunddaten!AV605="Ja",1,0),"")</f>
        <v/>
      </c>
    </row>
    <row r="601" spans="1:40" x14ac:dyDescent="0.3">
      <c r="A601" s="1" t="str">
        <f>IF(AND(Programme_Grunddaten!A606="Geprüft",Programme_Grunddaten!B606&lt;&gt;""),Programme_Grunddaten!B606,"")</f>
        <v/>
      </c>
      <c r="B601" s="1" t="str">
        <f>IF(AND(Programme_Grunddaten!$A606="Geprüft",Programme_Grunddaten!I606&lt;&gt;""),IF(Programme_Grunddaten!I606="Ja",1,0),"")</f>
        <v/>
      </c>
      <c r="C601" s="1" t="str">
        <f>IF(AND(Programme_Grunddaten!$A606="Geprüft",Programme_Grunddaten!J606&lt;&gt;""),IF(Programme_Grunddaten!J606="Ja",1,0),"")</f>
        <v/>
      </c>
      <c r="D601" s="1" t="str">
        <f>IF(AND(Programme_Grunddaten!$A606="Geprüft",Programme_Grunddaten!K606&lt;&gt;""),IF(Programme_Grunddaten!K606="Ja",1,0),"")</f>
        <v/>
      </c>
      <c r="E601" s="1" t="str">
        <f>IF(AND(Programme_Grunddaten!$A606="Geprüft",Programme_Grunddaten!L606&lt;&gt;""),IF(Programme_Grunddaten!L606="Abo / befristete Lizenz",1,0),"")</f>
        <v/>
      </c>
      <c r="F601" s="1" t="str">
        <f>IF(AND(Programme_Grunddaten!$A606="Geprüft",Programme_Grunddaten!M606&lt;&gt;""),IF(Programme_Grunddaten!M606="Ja",1,0),"")</f>
        <v/>
      </c>
      <c r="G601" s="1" t="str">
        <f>IF(AND(Programme_Grunddaten!$A606="Geprüft",Programme_Grunddaten!N606&lt;&gt;""),IF(Programme_Grunddaten!N606="Ja",1,0),"")</f>
        <v/>
      </c>
      <c r="H601" s="1" t="str">
        <f>IF(AND(Programme_Grunddaten!$A606="Geprüft",Programme_Grunddaten!O606&lt;&gt;""),IF(Programme_Grunddaten!O606="Deutschland",0,IF(Programme_Grunddaten!O606="EU",1,2)),"")</f>
        <v/>
      </c>
      <c r="I601" s="1" t="str">
        <f>IF(AND(Programme_Grunddaten!$A606="Geprüft",Programme_Grunddaten!P606&lt;&gt;""),IF(Programme_Grunddaten!P606="Ja",1,0),"")</f>
        <v/>
      </c>
      <c r="J601" s="1" t="str">
        <f>IF(AND(Programme_Grunddaten!$A606="Geprüft",Programme_Grunddaten!Q606&lt;&gt;""),IF(Programme_Grunddaten!Q606="geschlossenes System",1,0),"")</f>
        <v/>
      </c>
      <c r="K601" s="1" t="str">
        <f>IF(AND(Programme_Grunddaten!$A606="Geprüft",Programme_Grunddaten!R606&lt;&gt;""),IF(Programme_Grunddaten!R606="Ja",1,0),"")</f>
        <v/>
      </c>
      <c r="L601" s="1" t="str">
        <f>IF(AND(Programme_Grunddaten!$A606="Geprüft",Programme_Grunddaten!T606&lt;&gt;""),IF(Programme_Grunddaten!T606="Ja",1,0),"")</f>
        <v/>
      </c>
      <c r="M601" s="1" t="str">
        <f>IF(AND(Programme_Grunddaten!$A606="Geprüft",Programme_Grunddaten!U606&lt;&gt;""),IF(Programme_Grunddaten!U606="Ja",1,0),"")</f>
        <v/>
      </c>
      <c r="N601" s="1" t="str">
        <f>IF(AND(Programme_Grunddaten!$A606="Geprüft",Programme_Grunddaten!V606&lt;&gt;""),IF(Programme_Grunddaten!V606="Ja",1,0),"")</f>
        <v/>
      </c>
      <c r="O601" s="1" t="str">
        <f>IF(AND(Programme_Grunddaten!$A606="Geprüft",Programme_Grunddaten!W606&lt;&gt;""),IF(Programme_Grunddaten!W606="Ja",1,0),"")</f>
        <v/>
      </c>
      <c r="P601" s="1" t="str">
        <f>IF(AND(Programme_Grunddaten!$A606="Geprüft",Programme_Grunddaten!X606&lt;&gt;""),IF(Programme_Grunddaten!X606="Ja",1,0),"")</f>
        <v/>
      </c>
      <c r="Q601" s="1" t="str">
        <f>IF(AND(Programme_Grunddaten!$A606="Geprüft",Programme_Grunddaten!Y606&lt;&gt;""),IF(Programme_Grunddaten!Y606="Ja",1,0),"")</f>
        <v/>
      </c>
      <c r="R601" s="1" t="str">
        <f>IF(AND(Programme_Grunddaten!$A606="Geprüft",Programme_Grunddaten!Z606&lt;&gt;""),IF(Programme_Grunddaten!Z606="Ja",1,0),"")</f>
        <v/>
      </c>
      <c r="S601" s="1" t="str">
        <f>IF(AND(Programme_Grunddaten!$A606="Geprüft",Programme_Grunddaten!AA606&lt;&gt;""),IF(Programme_Grunddaten!AA606="monolithisch",1,0),"")</f>
        <v/>
      </c>
      <c r="T601" s="1" t="str">
        <f>IF(AND(Programme_Grunddaten!$A606="Geprüft",Programme_Grunddaten!AB606&lt;&gt;""),IF(Programme_Grunddaten!AB606="Ja",1,0),"")</f>
        <v/>
      </c>
      <c r="U601" s="1" t="str">
        <f>IF(AND(Programme_Grunddaten!$A606="Geprüft",Programme_Grunddaten!AC606&lt;&gt;""),IF(Programme_Grunddaten!AC606="Ja",1,0),"")</f>
        <v/>
      </c>
      <c r="V601" s="1" t="str">
        <f>IF(AND(Programme_Grunddaten!$A606="Geprüft",Programme_Grunddaten!AD606&lt;&gt;""),IF(Programme_Grunddaten!AD606="Ja",1,0),"")</f>
        <v/>
      </c>
      <c r="W601" s="1" t="str">
        <f>IF(AND(Programme_Grunddaten!$A606="Geprüft",Programme_Grunddaten!AE606&lt;&gt;""),IF(Programme_Grunddaten!AE606="Ja",1,0),"")</f>
        <v/>
      </c>
      <c r="X601" s="1" t="str">
        <f>IF(AND(Programme_Grunddaten!$A606="Geprüft",Programme_Grunddaten!AF606&lt;&gt;""),IF(Programme_Grunddaten!AF606="Ja",1,0),"")</f>
        <v/>
      </c>
      <c r="Y601" s="1" t="str">
        <f>IF(AND(Programme_Grunddaten!$A606="Geprüft",Programme_Grunddaten!AG606&lt;&gt;""),IF(Programme_Grunddaten!AG606="Ja",1,0),"")</f>
        <v/>
      </c>
      <c r="Z601" s="1" t="str">
        <f>IF(AND(Programme_Grunddaten!$A606="Geprüft",Programme_Grunddaten!AH606&lt;&gt;""),IF(Programme_Grunddaten!AH606="Ja",1,0),"")</f>
        <v/>
      </c>
      <c r="AA601" s="1" t="str">
        <f>IF(AND(Programme_Grunddaten!$A606="Geprüft",Programme_Grunddaten!AI606&lt;&gt;""),IF(Programme_Grunddaten!AI606="Ja",1,0),"")</f>
        <v/>
      </c>
      <c r="AB601" s="1" t="str">
        <f>IF(AND(Programme_Grunddaten!$A606="Geprüft",Programme_Grunddaten!AJ606&lt;&gt;""),IF(Programme_Grunddaten!AJ606="individuell programmierbar",1,0),"")</f>
        <v/>
      </c>
      <c r="AC601" s="1" t="str">
        <f>IF(AND(Programme_Grunddaten!$A606="Geprüft",Programme_Grunddaten!AK606&lt;&gt;""),IF(Programme_Grunddaten!AK606="Deutsch",0,IF(Programme_Grunddaten!AK606="Deutsch und Englisch",1,2)),"")</f>
        <v/>
      </c>
      <c r="AD601" s="1" t="str">
        <f>IF(AND(Programme_Grunddaten!$A606="Geprüft",Programme_Grunddaten!AL606&lt;&gt;""),IF(Programme_Grunddaten!AL606="Ja",1,0),"")</f>
        <v/>
      </c>
      <c r="AE601" s="1" t="str">
        <f>IF(AND(Programme_Grunddaten!$A606="Geprüft",Programme_Grunddaten!AM606&lt;&gt;""),IF(Programme_Grunddaten!AM606="Ja",1,0),"")</f>
        <v/>
      </c>
      <c r="AF601" s="1" t="str">
        <f>IF(AND(Programme_Grunddaten!$A606="Geprüft",Programme_Grunddaten!AN606&lt;&gt;""),IF(Programme_Grunddaten!AN606="Ja",1,0),"")</f>
        <v/>
      </c>
      <c r="AG601" s="1" t="str">
        <f>IF(AND(Programme_Grunddaten!$A606="Geprüft",Programme_Grunddaten!AO606&lt;&gt;""),IF(Programme_Grunddaten!AO606="Ja",1,0),"")</f>
        <v/>
      </c>
      <c r="AH601" s="1" t="str">
        <f>IF(AND(Programme_Grunddaten!$A606="Geprüft",Programme_Grunddaten!AP606&lt;&gt;""),IF(Programme_Grunddaten!AP606="Ja",1,0),"")</f>
        <v/>
      </c>
      <c r="AI601" s="1" t="str">
        <f>IF(AND(Programme_Grunddaten!$A606="Geprüft",Programme_Grunddaten!AQ606&lt;&gt;""),IF(Programme_Grunddaten!AQ606="Ja",1,0),"")</f>
        <v/>
      </c>
      <c r="AJ601" s="1" t="str">
        <f>IF(AND(Programme_Grunddaten!$A606="Geprüft",Programme_Grunddaten!AR606&lt;&gt;""),IF(Programme_Grunddaten!AR606="Ja",1,0),"")</f>
        <v/>
      </c>
      <c r="AK601" s="1" t="str">
        <f>IF(AND(Programme_Grunddaten!$A606="Geprüft",Programme_Grunddaten!AS606&lt;&gt;""),IF(Programme_Grunddaten!AS606="Ja",1,0),"")</f>
        <v/>
      </c>
      <c r="AL601" s="1" t="str">
        <f>IF(AND(Programme_Grunddaten!$A606="Geprüft",Programme_Grunddaten!AT606&lt;&gt;""),IF(Programme_Grunddaten!AT606="Ja",1,0),"")</f>
        <v/>
      </c>
      <c r="AM601" s="1" t="str">
        <f>IF(AND(Programme_Grunddaten!$A606="Geprüft",Programme_Grunddaten!AU606&lt;&gt;""),IF(Programme_Grunddaten!AU606="Ja",1,0),"")</f>
        <v/>
      </c>
      <c r="AN601" s="1" t="str">
        <f>IF(AND(Programme_Grunddaten!$A606="Geprüft",Programme_Grunddaten!AV606&lt;&gt;""),IF(Programme_Grunddaten!AV606="Ja",1,0),"")</f>
        <v/>
      </c>
    </row>
    <row r="602" spans="1:40" x14ac:dyDescent="0.3">
      <c r="A602" s="1" t="str">
        <f>IF(AND(Programme_Grunddaten!A607="Geprüft",Programme_Grunddaten!B607&lt;&gt;""),Programme_Grunddaten!B607,"")</f>
        <v/>
      </c>
      <c r="B602" s="1" t="str">
        <f>IF(AND(Programme_Grunddaten!$A607="Geprüft",Programme_Grunddaten!I607&lt;&gt;""),IF(Programme_Grunddaten!I607="Ja",1,0),"")</f>
        <v/>
      </c>
      <c r="C602" s="1" t="str">
        <f>IF(AND(Programme_Grunddaten!$A607="Geprüft",Programme_Grunddaten!J607&lt;&gt;""),IF(Programme_Grunddaten!J607="Ja",1,0),"")</f>
        <v/>
      </c>
      <c r="D602" s="1" t="str">
        <f>IF(AND(Programme_Grunddaten!$A607="Geprüft",Programme_Grunddaten!K607&lt;&gt;""),IF(Programme_Grunddaten!K607="Ja",1,0),"")</f>
        <v/>
      </c>
      <c r="E602" s="1" t="str">
        <f>IF(AND(Programme_Grunddaten!$A607="Geprüft",Programme_Grunddaten!L607&lt;&gt;""),IF(Programme_Grunddaten!L607="Abo / befristete Lizenz",1,0),"")</f>
        <v/>
      </c>
      <c r="F602" s="1" t="str">
        <f>IF(AND(Programme_Grunddaten!$A607="Geprüft",Programme_Grunddaten!M607&lt;&gt;""),IF(Programme_Grunddaten!M607="Ja",1,0),"")</f>
        <v/>
      </c>
      <c r="G602" s="1" t="str">
        <f>IF(AND(Programme_Grunddaten!$A607="Geprüft",Programme_Grunddaten!N607&lt;&gt;""),IF(Programme_Grunddaten!N607="Ja",1,0),"")</f>
        <v/>
      </c>
      <c r="H602" s="1" t="str">
        <f>IF(AND(Programme_Grunddaten!$A607="Geprüft",Programme_Grunddaten!O607&lt;&gt;""),IF(Programme_Grunddaten!O607="Deutschland",0,IF(Programme_Grunddaten!O607="EU",1,2)),"")</f>
        <v/>
      </c>
      <c r="I602" s="1" t="str">
        <f>IF(AND(Programme_Grunddaten!$A607="Geprüft",Programme_Grunddaten!P607&lt;&gt;""),IF(Programme_Grunddaten!P607="Ja",1,0),"")</f>
        <v/>
      </c>
      <c r="J602" s="1" t="str">
        <f>IF(AND(Programme_Grunddaten!$A607="Geprüft",Programme_Grunddaten!Q607&lt;&gt;""),IF(Programme_Grunddaten!Q607="geschlossenes System",1,0),"")</f>
        <v/>
      </c>
      <c r="K602" s="1" t="str">
        <f>IF(AND(Programme_Grunddaten!$A607="Geprüft",Programme_Grunddaten!R607&lt;&gt;""),IF(Programme_Grunddaten!R607="Ja",1,0),"")</f>
        <v/>
      </c>
      <c r="L602" s="1" t="str">
        <f>IF(AND(Programme_Grunddaten!$A607="Geprüft",Programme_Grunddaten!T607&lt;&gt;""),IF(Programme_Grunddaten!T607="Ja",1,0),"")</f>
        <v/>
      </c>
      <c r="M602" s="1" t="str">
        <f>IF(AND(Programme_Grunddaten!$A607="Geprüft",Programme_Grunddaten!U607&lt;&gt;""),IF(Programme_Grunddaten!U607="Ja",1,0),"")</f>
        <v/>
      </c>
      <c r="N602" s="1" t="str">
        <f>IF(AND(Programme_Grunddaten!$A607="Geprüft",Programme_Grunddaten!V607&lt;&gt;""),IF(Programme_Grunddaten!V607="Ja",1,0),"")</f>
        <v/>
      </c>
      <c r="O602" s="1" t="str">
        <f>IF(AND(Programme_Grunddaten!$A607="Geprüft",Programme_Grunddaten!W607&lt;&gt;""),IF(Programme_Grunddaten!W607="Ja",1,0),"")</f>
        <v/>
      </c>
      <c r="P602" s="1" t="str">
        <f>IF(AND(Programme_Grunddaten!$A607="Geprüft",Programme_Grunddaten!X607&lt;&gt;""),IF(Programme_Grunddaten!X607="Ja",1,0),"")</f>
        <v/>
      </c>
      <c r="Q602" s="1" t="str">
        <f>IF(AND(Programme_Grunddaten!$A607="Geprüft",Programme_Grunddaten!Y607&lt;&gt;""),IF(Programme_Grunddaten!Y607="Ja",1,0),"")</f>
        <v/>
      </c>
      <c r="R602" s="1" t="str">
        <f>IF(AND(Programme_Grunddaten!$A607="Geprüft",Programme_Grunddaten!Z607&lt;&gt;""),IF(Programme_Grunddaten!Z607="Ja",1,0),"")</f>
        <v/>
      </c>
      <c r="S602" s="1" t="str">
        <f>IF(AND(Programme_Grunddaten!$A607="Geprüft",Programme_Grunddaten!AA607&lt;&gt;""),IF(Programme_Grunddaten!AA607="monolithisch",1,0),"")</f>
        <v/>
      </c>
      <c r="T602" s="1" t="str">
        <f>IF(AND(Programme_Grunddaten!$A607="Geprüft",Programme_Grunddaten!AB607&lt;&gt;""),IF(Programme_Grunddaten!AB607="Ja",1,0),"")</f>
        <v/>
      </c>
      <c r="U602" s="1" t="str">
        <f>IF(AND(Programme_Grunddaten!$A607="Geprüft",Programme_Grunddaten!AC607&lt;&gt;""),IF(Programme_Grunddaten!AC607="Ja",1,0),"")</f>
        <v/>
      </c>
      <c r="V602" s="1" t="str">
        <f>IF(AND(Programme_Grunddaten!$A607="Geprüft",Programme_Grunddaten!AD607&lt;&gt;""),IF(Programme_Grunddaten!AD607="Ja",1,0),"")</f>
        <v/>
      </c>
      <c r="W602" s="1" t="str">
        <f>IF(AND(Programme_Grunddaten!$A607="Geprüft",Programme_Grunddaten!AE607&lt;&gt;""),IF(Programme_Grunddaten!AE607="Ja",1,0),"")</f>
        <v/>
      </c>
      <c r="X602" s="1" t="str">
        <f>IF(AND(Programme_Grunddaten!$A607="Geprüft",Programme_Grunddaten!AF607&lt;&gt;""),IF(Programme_Grunddaten!AF607="Ja",1,0),"")</f>
        <v/>
      </c>
      <c r="Y602" s="1" t="str">
        <f>IF(AND(Programme_Grunddaten!$A607="Geprüft",Programme_Grunddaten!AG607&lt;&gt;""),IF(Programme_Grunddaten!AG607="Ja",1,0),"")</f>
        <v/>
      </c>
      <c r="Z602" s="1" t="str">
        <f>IF(AND(Programme_Grunddaten!$A607="Geprüft",Programme_Grunddaten!AH607&lt;&gt;""),IF(Programme_Grunddaten!AH607="Ja",1,0),"")</f>
        <v/>
      </c>
      <c r="AA602" s="1" t="str">
        <f>IF(AND(Programme_Grunddaten!$A607="Geprüft",Programme_Grunddaten!AI607&lt;&gt;""),IF(Programme_Grunddaten!AI607="Ja",1,0),"")</f>
        <v/>
      </c>
      <c r="AB602" s="1" t="str">
        <f>IF(AND(Programme_Grunddaten!$A607="Geprüft",Programme_Grunddaten!AJ607&lt;&gt;""),IF(Programme_Grunddaten!AJ607="individuell programmierbar",1,0),"")</f>
        <v/>
      </c>
      <c r="AC602" s="1" t="str">
        <f>IF(AND(Programme_Grunddaten!$A607="Geprüft",Programme_Grunddaten!AK607&lt;&gt;""),IF(Programme_Grunddaten!AK607="Deutsch",0,IF(Programme_Grunddaten!AK607="Deutsch und Englisch",1,2)),"")</f>
        <v/>
      </c>
      <c r="AD602" s="1" t="str">
        <f>IF(AND(Programme_Grunddaten!$A607="Geprüft",Programme_Grunddaten!AL607&lt;&gt;""),IF(Programme_Grunddaten!AL607="Ja",1,0),"")</f>
        <v/>
      </c>
      <c r="AE602" s="1" t="str">
        <f>IF(AND(Programme_Grunddaten!$A607="Geprüft",Programme_Grunddaten!AM607&lt;&gt;""),IF(Programme_Grunddaten!AM607="Ja",1,0),"")</f>
        <v/>
      </c>
      <c r="AF602" s="1" t="str">
        <f>IF(AND(Programme_Grunddaten!$A607="Geprüft",Programme_Grunddaten!AN607&lt;&gt;""),IF(Programme_Grunddaten!AN607="Ja",1,0),"")</f>
        <v/>
      </c>
      <c r="AG602" s="1" t="str">
        <f>IF(AND(Programme_Grunddaten!$A607="Geprüft",Programme_Grunddaten!AO607&lt;&gt;""),IF(Programme_Grunddaten!AO607="Ja",1,0),"")</f>
        <v/>
      </c>
      <c r="AH602" s="1" t="str">
        <f>IF(AND(Programme_Grunddaten!$A607="Geprüft",Programme_Grunddaten!AP607&lt;&gt;""),IF(Programme_Grunddaten!AP607="Ja",1,0),"")</f>
        <v/>
      </c>
      <c r="AI602" s="1" t="str">
        <f>IF(AND(Programme_Grunddaten!$A607="Geprüft",Programme_Grunddaten!AQ607&lt;&gt;""),IF(Programme_Grunddaten!AQ607="Ja",1,0),"")</f>
        <v/>
      </c>
      <c r="AJ602" s="1" t="str">
        <f>IF(AND(Programme_Grunddaten!$A607="Geprüft",Programme_Grunddaten!AR607&lt;&gt;""),IF(Programme_Grunddaten!AR607="Ja",1,0),"")</f>
        <v/>
      </c>
      <c r="AK602" s="1" t="str">
        <f>IF(AND(Programme_Grunddaten!$A607="Geprüft",Programme_Grunddaten!AS607&lt;&gt;""),IF(Programme_Grunddaten!AS607="Ja",1,0),"")</f>
        <v/>
      </c>
      <c r="AL602" s="1" t="str">
        <f>IF(AND(Programme_Grunddaten!$A607="Geprüft",Programme_Grunddaten!AT607&lt;&gt;""),IF(Programme_Grunddaten!AT607="Ja",1,0),"")</f>
        <v/>
      </c>
      <c r="AM602" s="1" t="str">
        <f>IF(AND(Programme_Grunddaten!$A607="Geprüft",Programme_Grunddaten!AU607&lt;&gt;""),IF(Programme_Grunddaten!AU607="Ja",1,0),"")</f>
        <v/>
      </c>
      <c r="AN602" s="1" t="str">
        <f>IF(AND(Programme_Grunddaten!$A607="Geprüft",Programme_Grunddaten!AV607&lt;&gt;""),IF(Programme_Grunddaten!AV607="Ja",1,0),"")</f>
        <v/>
      </c>
    </row>
    <row r="603" spans="1:40" x14ac:dyDescent="0.3">
      <c r="A603" s="1" t="str">
        <f>IF(AND(Programme_Grunddaten!A608="Geprüft",Programme_Grunddaten!B608&lt;&gt;""),Programme_Grunddaten!B608,"")</f>
        <v/>
      </c>
      <c r="B603" s="1" t="str">
        <f>IF(AND(Programme_Grunddaten!$A608="Geprüft",Programme_Grunddaten!I608&lt;&gt;""),IF(Programme_Grunddaten!I608="Ja",1,0),"")</f>
        <v/>
      </c>
      <c r="C603" s="1" t="str">
        <f>IF(AND(Programme_Grunddaten!$A608="Geprüft",Programme_Grunddaten!J608&lt;&gt;""),IF(Programme_Grunddaten!J608="Ja",1,0),"")</f>
        <v/>
      </c>
      <c r="D603" s="1" t="str">
        <f>IF(AND(Programme_Grunddaten!$A608="Geprüft",Programme_Grunddaten!K608&lt;&gt;""),IF(Programme_Grunddaten!K608="Ja",1,0),"")</f>
        <v/>
      </c>
      <c r="E603" s="1" t="str">
        <f>IF(AND(Programme_Grunddaten!$A608="Geprüft",Programme_Grunddaten!L608&lt;&gt;""),IF(Programme_Grunddaten!L608="Abo / befristete Lizenz",1,0),"")</f>
        <v/>
      </c>
      <c r="F603" s="1" t="str">
        <f>IF(AND(Programme_Grunddaten!$A608="Geprüft",Programme_Grunddaten!M608&lt;&gt;""),IF(Programme_Grunddaten!M608="Ja",1,0),"")</f>
        <v/>
      </c>
      <c r="G603" s="1" t="str">
        <f>IF(AND(Programme_Grunddaten!$A608="Geprüft",Programme_Grunddaten!N608&lt;&gt;""),IF(Programme_Grunddaten!N608="Ja",1,0),"")</f>
        <v/>
      </c>
      <c r="H603" s="1" t="str">
        <f>IF(AND(Programme_Grunddaten!$A608="Geprüft",Programme_Grunddaten!O608&lt;&gt;""),IF(Programme_Grunddaten!O608="Deutschland",0,IF(Programme_Grunddaten!O608="EU",1,2)),"")</f>
        <v/>
      </c>
      <c r="I603" s="1" t="str">
        <f>IF(AND(Programme_Grunddaten!$A608="Geprüft",Programme_Grunddaten!P608&lt;&gt;""),IF(Programme_Grunddaten!P608="Ja",1,0),"")</f>
        <v/>
      </c>
      <c r="J603" s="1" t="str">
        <f>IF(AND(Programme_Grunddaten!$A608="Geprüft",Programme_Grunddaten!Q608&lt;&gt;""),IF(Programme_Grunddaten!Q608="geschlossenes System",1,0),"")</f>
        <v/>
      </c>
      <c r="K603" s="1" t="str">
        <f>IF(AND(Programme_Grunddaten!$A608="Geprüft",Programme_Grunddaten!R608&lt;&gt;""),IF(Programme_Grunddaten!R608="Ja",1,0),"")</f>
        <v/>
      </c>
      <c r="L603" s="1" t="str">
        <f>IF(AND(Programme_Grunddaten!$A608="Geprüft",Programme_Grunddaten!T608&lt;&gt;""),IF(Programme_Grunddaten!T608="Ja",1,0),"")</f>
        <v/>
      </c>
      <c r="M603" s="1" t="str">
        <f>IF(AND(Programme_Grunddaten!$A608="Geprüft",Programme_Grunddaten!U608&lt;&gt;""),IF(Programme_Grunddaten!U608="Ja",1,0),"")</f>
        <v/>
      </c>
      <c r="N603" s="1" t="str">
        <f>IF(AND(Programme_Grunddaten!$A608="Geprüft",Programme_Grunddaten!V608&lt;&gt;""),IF(Programme_Grunddaten!V608="Ja",1,0),"")</f>
        <v/>
      </c>
      <c r="O603" s="1" t="str">
        <f>IF(AND(Programme_Grunddaten!$A608="Geprüft",Programme_Grunddaten!W608&lt;&gt;""),IF(Programme_Grunddaten!W608="Ja",1,0),"")</f>
        <v/>
      </c>
      <c r="P603" s="1" t="str">
        <f>IF(AND(Programme_Grunddaten!$A608="Geprüft",Programme_Grunddaten!X608&lt;&gt;""),IF(Programme_Grunddaten!X608="Ja",1,0),"")</f>
        <v/>
      </c>
      <c r="Q603" s="1" t="str">
        <f>IF(AND(Programme_Grunddaten!$A608="Geprüft",Programme_Grunddaten!Y608&lt;&gt;""),IF(Programme_Grunddaten!Y608="Ja",1,0),"")</f>
        <v/>
      </c>
      <c r="R603" s="1" t="str">
        <f>IF(AND(Programme_Grunddaten!$A608="Geprüft",Programme_Grunddaten!Z608&lt;&gt;""),IF(Programme_Grunddaten!Z608="Ja",1,0),"")</f>
        <v/>
      </c>
      <c r="S603" s="1" t="str">
        <f>IF(AND(Programme_Grunddaten!$A608="Geprüft",Programme_Grunddaten!AA608&lt;&gt;""),IF(Programme_Grunddaten!AA608="monolithisch",1,0),"")</f>
        <v/>
      </c>
      <c r="T603" s="1" t="str">
        <f>IF(AND(Programme_Grunddaten!$A608="Geprüft",Programme_Grunddaten!AB608&lt;&gt;""),IF(Programme_Grunddaten!AB608="Ja",1,0),"")</f>
        <v/>
      </c>
      <c r="U603" s="1" t="str">
        <f>IF(AND(Programme_Grunddaten!$A608="Geprüft",Programme_Grunddaten!AC608&lt;&gt;""),IF(Programme_Grunddaten!AC608="Ja",1,0),"")</f>
        <v/>
      </c>
      <c r="V603" s="1" t="str">
        <f>IF(AND(Programme_Grunddaten!$A608="Geprüft",Programme_Grunddaten!AD608&lt;&gt;""),IF(Programme_Grunddaten!AD608="Ja",1,0),"")</f>
        <v/>
      </c>
      <c r="W603" s="1" t="str">
        <f>IF(AND(Programme_Grunddaten!$A608="Geprüft",Programme_Grunddaten!AE608&lt;&gt;""),IF(Programme_Grunddaten!AE608="Ja",1,0),"")</f>
        <v/>
      </c>
      <c r="X603" s="1" t="str">
        <f>IF(AND(Programme_Grunddaten!$A608="Geprüft",Programme_Grunddaten!AF608&lt;&gt;""),IF(Programme_Grunddaten!AF608="Ja",1,0),"")</f>
        <v/>
      </c>
      <c r="Y603" s="1" t="str">
        <f>IF(AND(Programme_Grunddaten!$A608="Geprüft",Programme_Grunddaten!AG608&lt;&gt;""),IF(Programme_Grunddaten!AG608="Ja",1,0),"")</f>
        <v/>
      </c>
      <c r="Z603" s="1" t="str">
        <f>IF(AND(Programme_Grunddaten!$A608="Geprüft",Programme_Grunddaten!AH608&lt;&gt;""),IF(Programme_Grunddaten!AH608="Ja",1,0),"")</f>
        <v/>
      </c>
      <c r="AA603" s="1" t="str">
        <f>IF(AND(Programme_Grunddaten!$A608="Geprüft",Programme_Grunddaten!AI608&lt;&gt;""),IF(Programme_Grunddaten!AI608="Ja",1,0),"")</f>
        <v/>
      </c>
      <c r="AB603" s="1" t="str">
        <f>IF(AND(Programme_Grunddaten!$A608="Geprüft",Programme_Grunddaten!AJ608&lt;&gt;""),IF(Programme_Grunddaten!AJ608="individuell programmierbar",1,0),"")</f>
        <v/>
      </c>
      <c r="AC603" s="1" t="str">
        <f>IF(AND(Programme_Grunddaten!$A608="Geprüft",Programme_Grunddaten!AK608&lt;&gt;""),IF(Programme_Grunddaten!AK608="Deutsch",0,IF(Programme_Grunddaten!AK608="Deutsch und Englisch",1,2)),"")</f>
        <v/>
      </c>
      <c r="AD603" s="1" t="str">
        <f>IF(AND(Programme_Grunddaten!$A608="Geprüft",Programme_Grunddaten!AL608&lt;&gt;""),IF(Programme_Grunddaten!AL608="Ja",1,0),"")</f>
        <v/>
      </c>
      <c r="AE603" s="1" t="str">
        <f>IF(AND(Programme_Grunddaten!$A608="Geprüft",Programme_Grunddaten!AM608&lt;&gt;""),IF(Programme_Grunddaten!AM608="Ja",1,0),"")</f>
        <v/>
      </c>
      <c r="AF603" s="1" t="str">
        <f>IF(AND(Programme_Grunddaten!$A608="Geprüft",Programme_Grunddaten!AN608&lt;&gt;""),IF(Programme_Grunddaten!AN608="Ja",1,0),"")</f>
        <v/>
      </c>
      <c r="AG603" s="1" t="str">
        <f>IF(AND(Programme_Grunddaten!$A608="Geprüft",Programme_Grunddaten!AO608&lt;&gt;""),IF(Programme_Grunddaten!AO608="Ja",1,0),"")</f>
        <v/>
      </c>
      <c r="AH603" s="1" t="str">
        <f>IF(AND(Programme_Grunddaten!$A608="Geprüft",Programme_Grunddaten!AP608&lt;&gt;""),IF(Programme_Grunddaten!AP608="Ja",1,0),"")</f>
        <v/>
      </c>
      <c r="AI603" s="1" t="str">
        <f>IF(AND(Programme_Grunddaten!$A608="Geprüft",Programme_Grunddaten!AQ608&lt;&gt;""),IF(Programme_Grunddaten!AQ608="Ja",1,0),"")</f>
        <v/>
      </c>
      <c r="AJ603" s="1" t="str">
        <f>IF(AND(Programme_Grunddaten!$A608="Geprüft",Programme_Grunddaten!AR608&lt;&gt;""),IF(Programme_Grunddaten!AR608="Ja",1,0),"")</f>
        <v/>
      </c>
      <c r="AK603" s="1" t="str">
        <f>IF(AND(Programme_Grunddaten!$A608="Geprüft",Programme_Grunddaten!AS608&lt;&gt;""),IF(Programme_Grunddaten!AS608="Ja",1,0),"")</f>
        <v/>
      </c>
      <c r="AL603" s="1" t="str">
        <f>IF(AND(Programme_Grunddaten!$A608="Geprüft",Programme_Grunddaten!AT608&lt;&gt;""),IF(Programme_Grunddaten!AT608="Ja",1,0),"")</f>
        <v/>
      </c>
      <c r="AM603" s="1" t="str">
        <f>IF(AND(Programme_Grunddaten!$A608="Geprüft",Programme_Grunddaten!AU608&lt;&gt;""),IF(Programme_Grunddaten!AU608="Ja",1,0),"")</f>
        <v/>
      </c>
      <c r="AN603" s="1" t="str">
        <f>IF(AND(Programme_Grunddaten!$A608="Geprüft",Programme_Grunddaten!AV608&lt;&gt;""),IF(Programme_Grunddaten!AV608="Ja",1,0),"")</f>
        <v/>
      </c>
    </row>
    <row r="604" spans="1:40" x14ac:dyDescent="0.3">
      <c r="A604" s="1" t="str">
        <f>IF(AND(Programme_Grunddaten!A609="Geprüft",Programme_Grunddaten!B609&lt;&gt;""),Programme_Grunddaten!B609,"")</f>
        <v/>
      </c>
      <c r="B604" s="1" t="str">
        <f>IF(AND(Programme_Grunddaten!$A609="Geprüft",Programme_Grunddaten!I609&lt;&gt;""),IF(Programme_Grunddaten!I609="Ja",1,0),"")</f>
        <v/>
      </c>
      <c r="C604" s="1" t="str">
        <f>IF(AND(Programme_Grunddaten!$A609="Geprüft",Programme_Grunddaten!J609&lt;&gt;""),IF(Programme_Grunddaten!J609="Ja",1,0),"")</f>
        <v/>
      </c>
      <c r="D604" s="1" t="str">
        <f>IF(AND(Programme_Grunddaten!$A609="Geprüft",Programme_Grunddaten!K609&lt;&gt;""),IF(Programme_Grunddaten!K609="Ja",1,0),"")</f>
        <v/>
      </c>
      <c r="E604" s="1" t="str">
        <f>IF(AND(Programme_Grunddaten!$A609="Geprüft",Programme_Grunddaten!L609&lt;&gt;""),IF(Programme_Grunddaten!L609="Abo / befristete Lizenz",1,0),"")</f>
        <v/>
      </c>
      <c r="F604" s="1" t="str">
        <f>IF(AND(Programme_Grunddaten!$A609="Geprüft",Programme_Grunddaten!M609&lt;&gt;""),IF(Programme_Grunddaten!M609="Ja",1,0),"")</f>
        <v/>
      </c>
      <c r="G604" s="1" t="str">
        <f>IF(AND(Programme_Grunddaten!$A609="Geprüft",Programme_Grunddaten!N609&lt;&gt;""),IF(Programme_Grunddaten!N609="Ja",1,0),"")</f>
        <v/>
      </c>
      <c r="H604" s="1" t="str">
        <f>IF(AND(Programme_Grunddaten!$A609="Geprüft",Programme_Grunddaten!O609&lt;&gt;""),IF(Programme_Grunddaten!O609="Deutschland",0,IF(Programme_Grunddaten!O609="EU",1,2)),"")</f>
        <v/>
      </c>
      <c r="I604" s="1" t="str">
        <f>IF(AND(Programme_Grunddaten!$A609="Geprüft",Programme_Grunddaten!P609&lt;&gt;""),IF(Programme_Grunddaten!P609="Ja",1,0),"")</f>
        <v/>
      </c>
      <c r="J604" s="1" t="str">
        <f>IF(AND(Programme_Grunddaten!$A609="Geprüft",Programme_Grunddaten!Q609&lt;&gt;""),IF(Programme_Grunddaten!Q609="geschlossenes System",1,0),"")</f>
        <v/>
      </c>
      <c r="K604" s="1" t="str">
        <f>IF(AND(Programme_Grunddaten!$A609="Geprüft",Programme_Grunddaten!R609&lt;&gt;""),IF(Programme_Grunddaten!R609="Ja",1,0),"")</f>
        <v/>
      </c>
      <c r="L604" s="1" t="str">
        <f>IF(AND(Programme_Grunddaten!$A609="Geprüft",Programme_Grunddaten!T609&lt;&gt;""),IF(Programme_Grunddaten!T609="Ja",1,0),"")</f>
        <v/>
      </c>
      <c r="M604" s="1" t="str">
        <f>IF(AND(Programme_Grunddaten!$A609="Geprüft",Programme_Grunddaten!U609&lt;&gt;""),IF(Programme_Grunddaten!U609="Ja",1,0),"")</f>
        <v/>
      </c>
      <c r="N604" s="1" t="str">
        <f>IF(AND(Programme_Grunddaten!$A609="Geprüft",Programme_Grunddaten!V609&lt;&gt;""),IF(Programme_Grunddaten!V609="Ja",1,0),"")</f>
        <v/>
      </c>
      <c r="O604" s="1" t="str">
        <f>IF(AND(Programme_Grunddaten!$A609="Geprüft",Programme_Grunddaten!W609&lt;&gt;""),IF(Programme_Grunddaten!W609="Ja",1,0),"")</f>
        <v/>
      </c>
      <c r="P604" s="1" t="str">
        <f>IF(AND(Programme_Grunddaten!$A609="Geprüft",Programme_Grunddaten!X609&lt;&gt;""),IF(Programme_Grunddaten!X609="Ja",1,0),"")</f>
        <v/>
      </c>
      <c r="Q604" s="1" t="str">
        <f>IF(AND(Programme_Grunddaten!$A609="Geprüft",Programme_Grunddaten!Y609&lt;&gt;""),IF(Programme_Grunddaten!Y609="Ja",1,0),"")</f>
        <v/>
      </c>
      <c r="R604" s="1" t="str">
        <f>IF(AND(Programme_Grunddaten!$A609="Geprüft",Programme_Grunddaten!Z609&lt;&gt;""),IF(Programme_Grunddaten!Z609="Ja",1,0),"")</f>
        <v/>
      </c>
      <c r="S604" s="1" t="str">
        <f>IF(AND(Programme_Grunddaten!$A609="Geprüft",Programme_Grunddaten!AA609&lt;&gt;""),IF(Programme_Grunddaten!AA609="monolithisch",1,0),"")</f>
        <v/>
      </c>
      <c r="T604" s="1" t="str">
        <f>IF(AND(Programme_Grunddaten!$A609="Geprüft",Programme_Grunddaten!AB609&lt;&gt;""),IF(Programme_Grunddaten!AB609="Ja",1,0),"")</f>
        <v/>
      </c>
      <c r="U604" s="1" t="str">
        <f>IF(AND(Programme_Grunddaten!$A609="Geprüft",Programme_Grunddaten!AC609&lt;&gt;""),IF(Programme_Grunddaten!AC609="Ja",1,0),"")</f>
        <v/>
      </c>
      <c r="V604" s="1" t="str">
        <f>IF(AND(Programme_Grunddaten!$A609="Geprüft",Programme_Grunddaten!AD609&lt;&gt;""),IF(Programme_Grunddaten!AD609="Ja",1,0),"")</f>
        <v/>
      </c>
      <c r="W604" s="1" t="str">
        <f>IF(AND(Programme_Grunddaten!$A609="Geprüft",Programme_Grunddaten!AE609&lt;&gt;""),IF(Programme_Grunddaten!AE609="Ja",1,0),"")</f>
        <v/>
      </c>
      <c r="X604" s="1" t="str">
        <f>IF(AND(Programme_Grunddaten!$A609="Geprüft",Programme_Grunddaten!AF609&lt;&gt;""),IF(Programme_Grunddaten!AF609="Ja",1,0),"")</f>
        <v/>
      </c>
      <c r="Y604" s="1" t="str">
        <f>IF(AND(Programme_Grunddaten!$A609="Geprüft",Programme_Grunddaten!AG609&lt;&gt;""),IF(Programme_Grunddaten!AG609="Ja",1,0),"")</f>
        <v/>
      </c>
      <c r="Z604" s="1" t="str">
        <f>IF(AND(Programme_Grunddaten!$A609="Geprüft",Programme_Grunddaten!AH609&lt;&gt;""),IF(Programme_Grunddaten!AH609="Ja",1,0),"")</f>
        <v/>
      </c>
      <c r="AA604" s="1" t="str">
        <f>IF(AND(Programme_Grunddaten!$A609="Geprüft",Programme_Grunddaten!AI609&lt;&gt;""),IF(Programme_Grunddaten!AI609="Ja",1,0),"")</f>
        <v/>
      </c>
      <c r="AB604" s="1" t="str">
        <f>IF(AND(Programme_Grunddaten!$A609="Geprüft",Programme_Grunddaten!AJ609&lt;&gt;""),IF(Programme_Grunddaten!AJ609="individuell programmierbar",1,0),"")</f>
        <v/>
      </c>
      <c r="AC604" s="1" t="str">
        <f>IF(AND(Programme_Grunddaten!$A609="Geprüft",Programme_Grunddaten!AK609&lt;&gt;""),IF(Programme_Grunddaten!AK609="Deutsch",0,IF(Programme_Grunddaten!AK609="Deutsch und Englisch",1,2)),"")</f>
        <v/>
      </c>
      <c r="AD604" s="1" t="str">
        <f>IF(AND(Programme_Grunddaten!$A609="Geprüft",Programme_Grunddaten!AL609&lt;&gt;""),IF(Programme_Grunddaten!AL609="Ja",1,0),"")</f>
        <v/>
      </c>
      <c r="AE604" s="1" t="str">
        <f>IF(AND(Programme_Grunddaten!$A609="Geprüft",Programme_Grunddaten!AM609&lt;&gt;""),IF(Programme_Grunddaten!AM609="Ja",1,0),"")</f>
        <v/>
      </c>
      <c r="AF604" s="1" t="str">
        <f>IF(AND(Programme_Grunddaten!$A609="Geprüft",Programme_Grunddaten!AN609&lt;&gt;""),IF(Programme_Grunddaten!AN609="Ja",1,0),"")</f>
        <v/>
      </c>
      <c r="AG604" s="1" t="str">
        <f>IF(AND(Programme_Grunddaten!$A609="Geprüft",Programme_Grunddaten!AO609&lt;&gt;""),IF(Programme_Grunddaten!AO609="Ja",1,0),"")</f>
        <v/>
      </c>
      <c r="AH604" s="1" t="str">
        <f>IF(AND(Programme_Grunddaten!$A609="Geprüft",Programme_Grunddaten!AP609&lt;&gt;""),IF(Programme_Grunddaten!AP609="Ja",1,0),"")</f>
        <v/>
      </c>
      <c r="AI604" s="1" t="str">
        <f>IF(AND(Programme_Grunddaten!$A609="Geprüft",Programme_Grunddaten!AQ609&lt;&gt;""),IF(Programme_Grunddaten!AQ609="Ja",1,0),"")</f>
        <v/>
      </c>
      <c r="AJ604" s="1" t="str">
        <f>IF(AND(Programme_Grunddaten!$A609="Geprüft",Programme_Grunddaten!AR609&lt;&gt;""),IF(Programme_Grunddaten!AR609="Ja",1,0),"")</f>
        <v/>
      </c>
      <c r="AK604" s="1" t="str">
        <f>IF(AND(Programme_Grunddaten!$A609="Geprüft",Programme_Grunddaten!AS609&lt;&gt;""),IF(Programme_Grunddaten!AS609="Ja",1,0),"")</f>
        <v/>
      </c>
      <c r="AL604" s="1" t="str">
        <f>IF(AND(Programme_Grunddaten!$A609="Geprüft",Programme_Grunddaten!AT609&lt;&gt;""),IF(Programme_Grunddaten!AT609="Ja",1,0),"")</f>
        <v/>
      </c>
      <c r="AM604" s="1" t="str">
        <f>IF(AND(Programme_Grunddaten!$A609="Geprüft",Programme_Grunddaten!AU609&lt;&gt;""),IF(Programme_Grunddaten!AU609="Ja",1,0),"")</f>
        <v/>
      </c>
      <c r="AN604" s="1" t="str">
        <f>IF(AND(Programme_Grunddaten!$A609="Geprüft",Programme_Grunddaten!AV609&lt;&gt;""),IF(Programme_Grunddaten!AV609="Ja",1,0),"")</f>
        <v/>
      </c>
    </row>
    <row r="605" spans="1:40" x14ac:dyDescent="0.3">
      <c r="A605" s="1" t="str">
        <f>IF(AND(Programme_Grunddaten!A610="Geprüft",Programme_Grunddaten!B610&lt;&gt;""),Programme_Grunddaten!B610,"")</f>
        <v/>
      </c>
      <c r="B605" s="1" t="str">
        <f>IF(AND(Programme_Grunddaten!$A610="Geprüft",Programme_Grunddaten!I610&lt;&gt;""),IF(Programme_Grunddaten!I610="Ja",1,0),"")</f>
        <v/>
      </c>
      <c r="C605" s="1" t="str">
        <f>IF(AND(Programme_Grunddaten!$A610="Geprüft",Programme_Grunddaten!J610&lt;&gt;""),IF(Programme_Grunddaten!J610="Ja",1,0),"")</f>
        <v/>
      </c>
      <c r="D605" s="1" t="str">
        <f>IF(AND(Programme_Grunddaten!$A610="Geprüft",Programme_Grunddaten!K610&lt;&gt;""),IF(Programme_Grunddaten!K610="Ja",1,0),"")</f>
        <v/>
      </c>
      <c r="E605" s="1" t="str">
        <f>IF(AND(Programme_Grunddaten!$A610="Geprüft",Programme_Grunddaten!L610&lt;&gt;""),IF(Programme_Grunddaten!L610="Abo / befristete Lizenz",1,0),"")</f>
        <v/>
      </c>
      <c r="F605" s="1" t="str">
        <f>IF(AND(Programme_Grunddaten!$A610="Geprüft",Programme_Grunddaten!M610&lt;&gt;""),IF(Programme_Grunddaten!M610="Ja",1,0),"")</f>
        <v/>
      </c>
      <c r="G605" s="1" t="str">
        <f>IF(AND(Programme_Grunddaten!$A610="Geprüft",Programme_Grunddaten!N610&lt;&gt;""),IF(Programme_Grunddaten!N610="Ja",1,0),"")</f>
        <v/>
      </c>
      <c r="H605" s="1" t="str">
        <f>IF(AND(Programme_Grunddaten!$A610="Geprüft",Programme_Grunddaten!O610&lt;&gt;""),IF(Programme_Grunddaten!O610="Deutschland",0,IF(Programme_Grunddaten!O610="EU",1,2)),"")</f>
        <v/>
      </c>
      <c r="I605" s="1" t="str">
        <f>IF(AND(Programme_Grunddaten!$A610="Geprüft",Programme_Grunddaten!P610&lt;&gt;""),IF(Programme_Grunddaten!P610="Ja",1,0),"")</f>
        <v/>
      </c>
      <c r="J605" s="1" t="str">
        <f>IF(AND(Programme_Grunddaten!$A610="Geprüft",Programme_Grunddaten!Q610&lt;&gt;""),IF(Programme_Grunddaten!Q610="geschlossenes System",1,0),"")</f>
        <v/>
      </c>
      <c r="K605" s="1" t="str">
        <f>IF(AND(Programme_Grunddaten!$A610="Geprüft",Programme_Grunddaten!R610&lt;&gt;""),IF(Programme_Grunddaten!R610="Ja",1,0),"")</f>
        <v/>
      </c>
      <c r="L605" s="1" t="str">
        <f>IF(AND(Programme_Grunddaten!$A610="Geprüft",Programme_Grunddaten!T610&lt;&gt;""),IF(Programme_Grunddaten!T610="Ja",1,0),"")</f>
        <v/>
      </c>
      <c r="M605" s="1" t="str">
        <f>IF(AND(Programme_Grunddaten!$A610="Geprüft",Programme_Grunddaten!U610&lt;&gt;""),IF(Programme_Grunddaten!U610="Ja",1,0),"")</f>
        <v/>
      </c>
      <c r="N605" s="1" t="str">
        <f>IF(AND(Programme_Grunddaten!$A610="Geprüft",Programme_Grunddaten!V610&lt;&gt;""),IF(Programme_Grunddaten!V610="Ja",1,0),"")</f>
        <v/>
      </c>
      <c r="O605" s="1" t="str">
        <f>IF(AND(Programme_Grunddaten!$A610="Geprüft",Programme_Grunddaten!W610&lt;&gt;""),IF(Programme_Grunddaten!W610="Ja",1,0),"")</f>
        <v/>
      </c>
      <c r="P605" s="1" t="str">
        <f>IF(AND(Programme_Grunddaten!$A610="Geprüft",Programme_Grunddaten!X610&lt;&gt;""),IF(Programme_Grunddaten!X610="Ja",1,0),"")</f>
        <v/>
      </c>
      <c r="Q605" s="1" t="str">
        <f>IF(AND(Programme_Grunddaten!$A610="Geprüft",Programme_Grunddaten!Y610&lt;&gt;""),IF(Programme_Grunddaten!Y610="Ja",1,0),"")</f>
        <v/>
      </c>
      <c r="R605" s="1" t="str">
        <f>IF(AND(Programme_Grunddaten!$A610="Geprüft",Programme_Grunddaten!Z610&lt;&gt;""),IF(Programme_Grunddaten!Z610="Ja",1,0),"")</f>
        <v/>
      </c>
      <c r="S605" s="1" t="str">
        <f>IF(AND(Programme_Grunddaten!$A610="Geprüft",Programme_Grunddaten!AA610&lt;&gt;""),IF(Programme_Grunddaten!AA610="monolithisch",1,0),"")</f>
        <v/>
      </c>
      <c r="T605" s="1" t="str">
        <f>IF(AND(Programme_Grunddaten!$A610="Geprüft",Programme_Grunddaten!AB610&lt;&gt;""),IF(Programme_Grunddaten!AB610="Ja",1,0),"")</f>
        <v/>
      </c>
      <c r="U605" s="1" t="str">
        <f>IF(AND(Programme_Grunddaten!$A610="Geprüft",Programme_Grunddaten!AC610&lt;&gt;""),IF(Programme_Grunddaten!AC610="Ja",1,0),"")</f>
        <v/>
      </c>
      <c r="V605" s="1" t="str">
        <f>IF(AND(Programme_Grunddaten!$A610="Geprüft",Programme_Grunddaten!AD610&lt;&gt;""),IF(Programme_Grunddaten!AD610="Ja",1,0),"")</f>
        <v/>
      </c>
      <c r="W605" s="1" t="str">
        <f>IF(AND(Programme_Grunddaten!$A610="Geprüft",Programme_Grunddaten!AE610&lt;&gt;""),IF(Programme_Grunddaten!AE610="Ja",1,0),"")</f>
        <v/>
      </c>
      <c r="X605" s="1" t="str">
        <f>IF(AND(Programme_Grunddaten!$A610="Geprüft",Programme_Grunddaten!AF610&lt;&gt;""),IF(Programme_Grunddaten!AF610="Ja",1,0),"")</f>
        <v/>
      </c>
      <c r="Y605" s="1" t="str">
        <f>IF(AND(Programme_Grunddaten!$A610="Geprüft",Programme_Grunddaten!AG610&lt;&gt;""),IF(Programme_Grunddaten!AG610="Ja",1,0),"")</f>
        <v/>
      </c>
      <c r="Z605" s="1" t="str">
        <f>IF(AND(Programme_Grunddaten!$A610="Geprüft",Programme_Grunddaten!AH610&lt;&gt;""),IF(Programme_Grunddaten!AH610="Ja",1,0),"")</f>
        <v/>
      </c>
      <c r="AA605" s="1" t="str">
        <f>IF(AND(Programme_Grunddaten!$A610="Geprüft",Programme_Grunddaten!AI610&lt;&gt;""),IF(Programme_Grunddaten!AI610="Ja",1,0),"")</f>
        <v/>
      </c>
      <c r="AB605" s="1" t="str">
        <f>IF(AND(Programme_Grunddaten!$A610="Geprüft",Programme_Grunddaten!AJ610&lt;&gt;""),IF(Programme_Grunddaten!AJ610="individuell programmierbar",1,0),"")</f>
        <v/>
      </c>
      <c r="AC605" s="1" t="str">
        <f>IF(AND(Programme_Grunddaten!$A610="Geprüft",Programme_Grunddaten!AK610&lt;&gt;""),IF(Programme_Grunddaten!AK610="Deutsch",0,IF(Programme_Grunddaten!AK610="Deutsch und Englisch",1,2)),"")</f>
        <v/>
      </c>
      <c r="AD605" s="1" t="str">
        <f>IF(AND(Programme_Grunddaten!$A610="Geprüft",Programme_Grunddaten!AL610&lt;&gt;""),IF(Programme_Grunddaten!AL610="Ja",1,0),"")</f>
        <v/>
      </c>
      <c r="AE605" s="1" t="str">
        <f>IF(AND(Programme_Grunddaten!$A610="Geprüft",Programme_Grunddaten!AM610&lt;&gt;""),IF(Programme_Grunddaten!AM610="Ja",1,0),"")</f>
        <v/>
      </c>
      <c r="AF605" s="1" t="str">
        <f>IF(AND(Programme_Grunddaten!$A610="Geprüft",Programme_Grunddaten!AN610&lt;&gt;""),IF(Programme_Grunddaten!AN610="Ja",1,0),"")</f>
        <v/>
      </c>
      <c r="AG605" s="1" t="str">
        <f>IF(AND(Programme_Grunddaten!$A610="Geprüft",Programme_Grunddaten!AO610&lt;&gt;""),IF(Programme_Grunddaten!AO610="Ja",1,0),"")</f>
        <v/>
      </c>
      <c r="AH605" s="1" t="str">
        <f>IF(AND(Programme_Grunddaten!$A610="Geprüft",Programme_Grunddaten!AP610&lt;&gt;""),IF(Programme_Grunddaten!AP610="Ja",1,0),"")</f>
        <v/>
      </c>
      <c r="AI605" s="1" t="str">
        <f>IF(AND(Programme_Grunddaten!$A610="Geprüft",Programme_Grunddaten!AQ610&lt;&gt;""),IF(Programme_Grunddaten!AQ610="Ja",1,0),"")</f>
        <v/>
      </c>
      <c r="AJ605" s="1" t="str">
        <f>IF(AND(Programme_Grunddaten!$A610="Geprüft",Programme_Grunddaten!AR610&lt;&gt;""),IF(Programme_Grunddaten!AR610="Ja",1,0),"")</f>
        <v/>
      </c>
      <c r="AK605" s="1" t="str">
        <f>IF(AND(Programme_Grunddaten!$A610="Geprüft",Programme_Grunddaten!AS610&lt;&gt;""),IF(Programme_Grunddaten!AS610="Ja",1,0),"")</f>
        <v/>
      </c>
      <c r="AL605" s="1" t="str">
        <f>IF(AND(Programme_Grunddaten!$A610="Geprüft",Programme_Grunddaten!AT610&lt;&gt;""),IF(Programme_Grunddaten!AT610="Ja",1,0),"")</f>
        <v/>
      </c>
      <c r="AM605" s="1" t="str">
        <f>IF(AND(Programme_Grunddaten!$A610="Geprüft",Programme_Grunddaten!AU610&lt;&gt;""),IF(Programme_Grunddaten!AU610="Ja",1,0),"")</f>
        <v/>
      </c>
      <c r="AN605" s="1" t="str">
        <f>IF(AND(Programme_Grunddaten!$A610="Geprüft",Programme_Grunddaten!AV610&lt;&gt;""),IF(Programme_Grunddaten!AV610="Ja",1,0),"")</f>
        <v/>
      </c>
    </row>
    <row r="606" spans="1:40" x14ac:dyDescent="0.3">
      <c r="A606" s="1" t="str">
        <f>IF(AND(Programme_Grunddaten!A611="Geprüft",Programme_Grunddaten!B611&lt;&gt;""),Programme_Grunddaten!B611,"")</f>
        <v/>
      </c>
      <c r="B606" s="1" t="str">
        <f>IF(AND(Programme_Grunddaten!$A611="Geprüft",Programme_Grunddaten!I611&lt;&gt;""),IF(Programme_Grunddaten!I611="Ja",1,0),"")</f>
        <v/>
      </c>
      <c r="C606" s="1" t="str">
        <f>IF(AND(Programme_Grunddaten!$A611="Geprüft",Programme_Grunddaten!J611&lt;&gt;""),IF(Programme_Grunddaten!J611="Ja",1,0),"")</f>
        <v/>
      </c>
      <c r="D606" s="1" t="str">
        <f>IF(AND(Programme_Grunddaten!$A611="Geprüft",Programme_Grunddaten!K611&lt;&gt;""),IF(Programme_Grunddaten!K611="Ja",1,0),"")</f>
        <v/>
      </c>
      <c r="E606" s="1" t="str">
        <f>IF(AND(Programme_Grunddaten!$A611="Geprüft",Programme_Grunddaten!L611&lt;&gt;""),IF(Programme_Grunddaten!L611="Abo / befristete Lizenz",1,0),"")</f>
        <v/>
      </c>
      <c r="F606" s="1" t="str">
        <f>IF(AND(Programme_Grunddaten!$A611="Geprüft",Programme_Grunddaten!M611&lt;&gt;""),IF(Programme_Grunddaten!M611="Ja",1,0),"")</f>
        <v/>
      </c>
      <c r="G606" s="1" t="str">
        <f>IF(AND(Programme_Grunddaten!$A611="Geprüft",Programme_Grunddaten!N611&lt;&gt;""),IF(Programme_Grunddaten!N611="Ja",1,0),"")</f>
        <v/>
      </c>
      <c r="H606" s="1" t="str">
        <f>IF(AND(Programme_Grunddaten!$A611="Geprüft",Programme_Grunddaten!O611&lt;&gt;""),IF(Programme_Grunddaten!O611="Deutschland",0,IF(Programme_Grunddaten!O611="EU",1,2)),"")</f>
        <v/>
      </c>
      <c r="I606" s="1" t="str">
        <f>IF(AND(Programme_Grunddaten!$A611="Geprüft",Programme_Grunddaten!P611&lt;&gt;""),IF(Programme_Grunddaten!P611="Ja",1,0),"")</f>
        <v/>
      </c>
      <c r="J606" s="1" t="str">
        <f>IF(AND(Programme_Grunddaten!$A611="Geprüft",Programme_Grunddaten!Q611&lt;&gt;""),IF(Programme_Grunddaten!Q611="geschlossenes System",1,0),"")</f>
        <v/>
      </c>
      <c r="K606" s="1" t="str">
        <f>IF(AND(Programme_Grunddaten!$A611="Geprüft",Programme_Grunddaten!R611&lt;&gt;""),IF(Programme_Grunddaten!R611="Ja",1,0),"")</f>
        <v/>
      </c>
      <c r="L606" s="1" t="str">
        <f>IF(AND(Programme_Grunddaten!$A611="Geprüft",Programme_Grunddaten!T611&lt;&gt;""),IF(Programme_Grunddaten!T611="Ja",1,0),"")</f>
        <v/>
      </c>
      <c r="M606" s="1" t="str">
        <f>IF(AND(Programme_Grunddaten!$A611="Geprüft",Programme_Grunddaten!U611&lt;&gt;""),IF(Programme_Grunddaten!U611="Ja",1,0),"")</f>
        <v/>
      </c>
      <c r="N606" s="1" t="str">
        <f>IF(AND(Programme_Grunddaten!$A611="Geprüft",Programme_Grunddaten!V611&lt;&gt;""),IF(Programme_Grunddaten!V611="Ja",1,0),"")</f>
        <v/>
      </c>
      <c r="O606" s="1" t="str">
        <f>IF(AND(Programme_Grunddaten!$A611="Geprüft",Programme_Grunddaten!W611&lt;&gt;""),IF(Programme_Grunddaten!W611="Ja",1,0),"")</f>
        <v/>
      </c>
      <c r="P606" s="1" t="str">
        <f>IF(AND(Programme_Grunddaten!$A611="Geprüft",Programme_Grunddaten!X611&lt;&gt;""),IF(Programme_Grunddaten!X611="Ja",1,0),"")</f>
        <v/>
      </c>
      <c r="Q606" s="1" t="str">
        <f>IF(AND(Programme_Grunddaten!$A611="Geprüft",Programme_Grunddaten!Y611&lt;&gt;""),IF(Programme_Grunddaten!Y611="Ja",1,0),"")</f>
        <v/>
      </c>
      <c r="R606" s="1" t="str">
        <f>IF(AND(Programme_Grunddaten!$A611="Geprüft",Programme_Grunddaten!Z611&lt;&gt;""),IF(Programme_Grunddaten!Z611="Ja",1,0),"")</f>
        <v/>
      </c>
      <c r="S606" s="1" t="str">
        <f>IF(AND(Programme_Grunddaten!$A611="Geprüft",Programme_Grunddaten!AA611&lt;&gt;""),IF(Programme_Grunddaten!AA611="monolithisch",1,0),"")</f>
        <v/>
      </c>
      <c r="T606" s="1" t="str">
        <f>IF(AND(Programme_Grunddaten!$A611="Geprüft",Programme_Grunddaten!AB611&lt;&gt;""),IF(Programme_Grunddaten!AB611="Ja",1,0),"")</f>
        <v/>
      </c>
      <c r="U606" s="1" t="str">
        <f>IF(AND(Programme_Grunddaten!$A611="Geprüft",Programme_Grunddaten!AC611&lt;&gt;""),IF(Programme_Grunddaten!AC611="Ja",1,0),"")</f>
        <v/>
      </c>
      <c r="V606" s="1" t="str">
        <f>IF(AND(Programme_Grunddaten!$A611="Geprüft",Programme_Grunddaten!AD611&lt;&gt;""),IF(Programme_Grunddaten!AD611="Ja",1,0),"")</f>
        <v/>
      </c>
      <c r="W606" s="1" t="str">
        <f>IF(AND(Programme_Grunddaten!$A611="Geprüft",Programme_Grunddaten!AE611&lt;&gt;""),IF(Programme_Grunddaten!AE611="Ja",1,0),"")</f>
        <v/>
      </c>
      <c r="X606" s="1" t="str">
        <f>IF(AND(Programme_Grunddaten!$A611="Geprüft",Programme_Grunddaten!AF611&lt;&gt;""),IF(Programme_Grunddaten!AF611="Ja",1,0),"")</f>
        <v/>
      </c>
      <c r="Y606" s="1" t="str">
        <f>IF(AND(Programme_Grunddaten!$A611="Geprüft",Programme_Grunddaten!AG611&lt;&gt;""),IF(Programme_Grunddaten!AG611="Ja",1,0),"")</f>
        <v/>
      </c>
      <c r="Z606" s="1" t="str">
        <f>IF(AND(Programme_Grunddaten!$A611="Geprüft",Programme_Grunddaten!AH611&lt;&gt;""),IF(Programme_Grunddaten!AH611="Ja",1,0),"")</f>
        <v/>
      </c>
      <c r="AA606" s="1" t="str">
        <f>IF(AND(Programme_Grunddaten!$A611="Geprüft",Programme_Grunddaten!AI611&lt;&gt;""),IF(Programme_Grunddaten!AI611="Ja",1,0),"")</f>
        <v/>
      </c>
      <c r="AB606" s="1" t="str">
        <f>IF(AND(Programme_Grunddaten!$A611="Geprüft",Programme_Grunddaten!AJ611&lt;&gt;""),IF(Programme_Grunddaten!AJ611="individuell programmierbar",1,0),"")</f>
        <v/>
      </c>
      <c r="AC606" s="1" t="str">
        <f>IF(AND(Programme_Grunddaten!$A611="Geprüft",Programme_Grunddaten!AK611&lt;&gt;""),IF(Programme_Grunddaten!AK611="Deutsch",0,IF(Programme_Grunddaten!AK611="Deutsch und Englisch",1,2)),"")</f>
        <v/>
      </c>
      <c r="AD606" s="1" t="str">
        <f>IF(AND(Programme_Grunddaten!$A611="Geprüft",Programme_Grunddaten!AL611&lt;&gt;""),IF(Programme_Grunddaten!AL611="Ja",1,0),"")</f>
        <v/>
      </c>
      <c r="AE606" s="1" t="str">
        <f>IF(AND(Programme_Grunddaten!$A611="Geprüft",Programme_Grunddaten!AM611&lt;&gt;""),IF(Programme_Grunddaten!AM611="Ja",1,0),"")</f>
        <v/>
      </c>
      <c r="AF606" s="1" t="str">
        <f>IF(AND(Programme_Grunddaten!$A611="Geprüft",Programme_Grunddaten!AN611&lt;&gt;""),IF(Programme_Grunddaten!AN611="Ja",1,0),"")</f>
        <v/>
      </c>
      <c r="AG606" s="1" t="str">
        <f>IF(AND(Programme_Grunddaten!$A611="Geprüft",Programme_Grunddaten!AO611&lt;&gt;""),IF(Programme_Grunddaten!AO611="Ja",1,0),"")</f>
        <v/>
      </c>
      <c r="AH606" s="1" t="str">
        <f>IF(AND(Programme_Grunddaten!$A611="Geprüft",Programme_Grunddaten!AP611&lt;&gt;""),IF(Programme_Grunddaten!AP611="Ja",1,0),"")</f>
        <v/>
      </c>
      <c r="AI606" s="1" t="str">
        <f>IF(AND(Programme_Grunddaten!$A611="Geprüft",Programme_Grunddaten!AQ611&lt;&gt;""),IF(Programme_Grunddaten!AQ611="Ja",1,0),"")</f>
        <v/>
      </c>
      <c r="AJ606" s="1" t="str">
        <f>IF(AND(Programme_Grunddaten!$A611="Geprüft",Programme_Grunddaten!AR611&lt;&gt;""),IF(Programme_Grunddaten!AR611="Ja",1,0),"")</f>
        <v/>
      </c>
      <c r="AK606" s="1" t="str">
        <f>IF(AND(Programme_Grunddaten!$A611="Geprüft",Programme_Grunddaten!AS611&lt;&gt;""),IF(Programme_Grunddaten!AS611="Ja",1,0),"")</f>
        <v/>
      </c>
      <c r="AL606" s="1" t="str">
        <f>IF(AND(Programme_Grunddaten!$A611="Geprüft",Programme_Grunddaten!AT611&lt;&gt;""),IF(Programme_Grunddaten!AT611="Ja",1,0),"")</f>
        <v/>
      </c>
      <c r="AM606" s="1" t="str">
        <f>IF(AND(Programme_Grunddaten!$A611="Geprüft",Programme_Grunddaten!AU611&lt;&gt;""),IF(Programme_Grunddaten!AU611="Ja",1,0),"")</f>
        <v/>
      </c>
      <c r="AN606" s="1" t="str">
        <f>IF(AND(Programme_Grunddaten!$A611="Geprüft",Programme_Grunddaten!AV611&lt;&gt;""),IF(Programme_Grunddaten!AV611="Ja",1,0),"")</f>
        <v/>
      </c>
    </row>
    <row r="607" spans="1:40" x14ac:dyDescent="0.3">
      <c r="A607" s="1" t="str">
        <f>IF(AND(Programme_Grunddaten!A612="Geprüft",Programme_Grunddaten!B612&lt;&gt;""),Programme_Grunddaten!B612,"")</f>
        <v/>
      </c>
      <c r="B607" s="1" t="str">
        <f>IF(AND(Programme_Grunddaten!$A612="Geprüft",Programme_Grunddaten!I612&lt;&gt;""),IF(Programme_Grunddaten!I612="Ja",1,0),"")</f>
        <v/>
      </c>
      <c r="C607" s="1" t="str">
        <f>IF(AND(Programme_Grunddaten!$A612="Geprüft",Programme_Grunddaten!J612&lt;&gt;""),IF(Programme_Grunddaten!J612="Ja",1,0),"")</f>
        <v/>
      </c>
      <c r="D607" s="1" t="str">
        <f>IF(AND(Programme_Grunddaten!$A612="Geprüft",Programme_Grunddaten!K612&lt;&gt;""),IF(Programme_Grunddaten!K612="Ja",1,0),"")</f>
        <v/>
      </c>
      <c r="E607" s="1" t="str">
        <f>IF(AND(Programme_Grunddaten!$A612="Geprüft",Programme_Grunddaten!L612&lt;&gt;""),IF(Programme_Grunddaten!L612="Abo / befristete Lizenz",1,0),"")</f>
        <v/>
      </c>
      <c r="F607" s="1" t="str">
        <f>IF(AND(Programme_Grunddaten!$A612="Geprüft",Programme_Grunddaten!M612&lt;&gt;""),IF(Programme_Grunddaten!M612="Ja",1,0),"")</f>
        <v/>
      </c>
      <c r="G607" s="1" t="str">
        <f>IF(AND(Programme_Grunddaten!$A612="Geprüft",Programme_Grunddaten!N612&lt;&gt;""),IF(Programme_Grunddaten!N612="Ja",1,0),"")</f>
        <v/>
      </c>
      <c r="H607" s="1" t="str">
        <f>IF(AND(Programme_Grunddaten!$A612="Geprüft",Programme_Grunddaten!O612&lt;&gt;""),IF(Programme_Grunddaten!O612="Deutschland",0,IF(Programme_Grunddaten!O612="EU",1,2)),"")</f>
        <v/>
      </c>
      <c r="I607" s="1" t="str">
        <f>IF(AND(Programme_Grunddaten!$A612="Geprüft",Programme_Grunddaten!P612&lt;&gt;""),IF(Programme_Grunddaten!P612="Ja",1,0),"")</f>
        <v/>
      </c>
      <c r="J607" s="1" t="str">
        <f>IF(AND(Programme_Grunddaten!$A612="Geprüft",Programme_Grunddaten!Q612&lt;&gt;""),IF(Programme_Grunddaten!Q612="geschlossenes System",1,0),"")</f>
        <v/>
      </c>
      <c r="K607" s="1" t="str">
        <f>IF(AND(Programme_Grunddaten!$A612="Geprüft",Programme_Grunddaten!R612&lt;&gt;""),IF(Programme_Grunddaten!R612="Ja",1,0),"")</f>
        <v/>
      </c>
      <c r="L607" s="1" t="str">
        <f>IF(AND(Programme_Grunddaten!$A612="Geprüft",Programme_Grunddaten!T612&lt;&gt;""),IF(Programme_Grunddaten!T612="Ja",1,0),"")</f>
        <v/>
      </c>
      <c r="M607" s="1" t="str">
        <f>IF(AND(Programme_Grunddaten!$A612="Geprüft",Programme_Grunddaten!U612&lt;&gt;""),IF(Programme_Grunddaten!U612="Ja",1,0),"")</f>
        <v/>
      </c>
      <c r="N607" s="1" t="str">
        <f>IF(AND(Programme_Grunddaten!$A612="Geprüft",Programme_Grunddaten!V612&lt;&gt;""),IF(Programme_Grunddaten!V612="Ja",1,0),"")</f>
        <v/>
      </c>
      <c r="O607" s="1" t="str">
        <f>IF(AND(Programme_Grunddaten!$A612="Geprüft",Programme_Grunddaten!W612&lt;&gt;""),IF(Programme_Grunddaten!W612="Ja",1,0),"")</f>
        <v/>
      </c>
      <c r="P607" s="1" t="str">
        <f>IF(AND(Programme_Grunddaten!$A612="Geprüft",Programme_Grunddaten!X612&lt;&gt;""),IF(Programme_Grunddaten!X612="Ja",1,0),"")</f>
        <v/>
      </c>
      <c r="Q607" s="1" t="str">
        <f>IF(AND(Programme_Grunddaten!$A612="Geprüft",Programme_Grunddaten!Y612&lt;&gt;""),IF(Programme_Grunddaten!Y612="Ja",1,0),"")</f>
        <v/>
      </c>
      <c r="R607" s="1" t="str">
        <f>IF(AND(Programme_Grunddaten!$A612="Geprüft",Programme_Grunddaten!Z612&lt;&gt;""),IF(Programme_Grunddaten!Z612="Ja",1,0),"")</f>
        <v/>
      </c>
      <c r="S607" s="1" t="str">
        <f>IF(AND(Programme_Grunddaten!$A612="Geprüft",Programme_Grunddaten!AA612&lt;&gt;""),IF(Programme_Grunddaten!AA612="monolithisch",1,0),"")</f>
        <v/>
      </c>
      <c r="T607" s="1" t="str">
        <f>IF(AND(Programme_Grunddaten!$A612="Geprüft",Programme_Grunddaten!AB612&lt;&gt;""),IF(Programme_Grunddaten!AB612="Ja",1,0),"")</f>
        <v/>
      </c>
      <c r="U607" s="1" t="str">
        <f>IF(AND(Programme_Grunddaten!$A612="Geprüft",Programme_Grunddaten!AC612&lt;&gt;""),IF(Programme_Grunddaten!AC612="Ja",1,0),"")</f>
        <v/>
      </c>
      <c r="V607" s="1" t="str">
        <f>IF(AND(Programme_Grunddaten!$A612="Geprüft",Programme_Grunddaten!AD612&lt;&gt;""),IF(Programme_Grunddaten!AD612="Ja",1,0),"")</f>
        <v/>
      </c>
      <c r="W607" s="1" t="str">
        <f>IF(AND(Programme_Grunddaten!$A612="Geprüft",Programme_Grunddaten!AE612&lt;&gt;""),IF(Programme_Grunddaten!AE612="Ja",1,0),"")</f>
        <v/>
      </c>
      <c r="X607" s="1" t="str">
        <f>IF(AND(Programme_Grunddaten!$A612="Geprüft",Programme_Grunddaten!AF612&lt;&gt;""),IF(Programme_Grunddaten!AF612="Ja",1,0),"")</f>
        <v/>
      </c>
      <c r="Y607" s="1" t="str">
        <f>IF(AND(Programme_Grunddaten!$A612="Geprüft",Programme_Grunddaten!AG612&lt;&gt;""),IF(Programme_Grunddaten!AG612="Ja",1,0),"")</f>
        <v/>
      </c>
      <c r="Z607" s="1" t="str">
        <f>IF(AND(Programme_Grunddaten!$A612="Geprüft",Programme_Grunddaten!AH612&lt;&gt;""),IF(Programme_Grunddaten!AH612="Ja",1,0),"")</f>
        <v/>
      </c>
      <c r="AA607" s="1" t="str">
        <f>IF(AND(Programme_Grunddaten!$A612="Geprüft",Programme_Grunddaten!AI612&lt;&gt;""),IF(Programme_Grunddaten!AI612="Ja",1,0),"")</f>
        <v/>
      </c>
      <c r="AB607" s="1" t="str">
        <f>IF(AND(Programme_Grunddaten!$A612="Geprüft",Programme_Grunddaten!AJ612&lt;&gt;""),IF(Programme_Grunddaten!AJ612="individuell programmierbar",1,0),"")</f>
        <v/>
      </c>
      <c r="AC607" s="1" t="str">
        <f>IF(AND(Programme_Grunddaten!$A612="Geprüft",Programme_Grunddaten!AK612&lt;&gt;""),IF(Programme_Grunddaten!AK612="Deutsch",0,IF(Programme_Grunddaten!AK612="Deutsch und Englisch",1,2)),"")</f>
        <v/>
      </c>
      <c r="AD607" s="1" t="str">
        <f>IF(AND(Programme_Grunddaten!$A612="Geprüft",Programme_Grunddaten!AL612&lt;&gt;""),IF(Programme_Grunddaten!AL612="Ja",1,0),"")</f>
        <v/>
      </c>
      <c r="AE607" s="1" t="str">
        <f>IF(AND(Programme_Grunddaten!$A612="Geprüft",Programme_Grunddaten!AM612&lt;&gt;""),IF(Programme_Grunddaten!AM612="Ja",1,0),"")</f>
        <v/>
      </c>
      <c r="AF607" s="1" t="str">
        <f>IF(AND(Programme_Grunddaten!$A612="Geprüft",Programme_Grunddaten!AN612&lt;&gt;""),IF(Programme_Grunddaten!AN612="Ja",1,0),"")</f>
        <v/>
      </c>
      <c r="AG607" s="1" t="str">
        <f>IF(AND(Programme_Grunddaten!$A612="Geprüft",Programme_Grunddaten!AO612&lt;&gt;""),IF(Programme_Grunddaten!AO612="Ja",1,0),"")</f>
        <v/>
      </c>
      <c r="AH607" s="1" t="str">
        <f>IF(AND(Programme_Grunddaten!$A612="Geprüft",Programme_Grunddaten!AP612&lt;&gt;""),IF(Programme_Grunddaten!AP612="Ja",1,0),"")</f>
        <v/>
      </c>
      <c r="AI607" s="1" t="str">
        <f>IF(AND(Programme_Grunddaten!$A612="Geprüft",Programme_Grunddaten!AQ612&lt;&gt;""),IF(Programme_Grunddaten!AQ612="Ja",1,0),"")</f>
        <v/>
      </c>
      <c r="AJ607" s="1" t="str">
        <f>IF(AND(Programme_Grunddaten!$A612="Geprüft",Programme_Grunddaten!AR612&lt;&gt;""),IF(Programme_Grunddaten!AR612="Ja",1,0),"")</f>
        <v/>
      </c>
      <c r="AK607" s="1" t="str">
        <f>IF(AND(Programme_Grunddaten!$A612="Geprüft",Programme_Grunddaten!AS612&lt;&gt;""),IF(Programme_Grunddaten!AS612="Ja",1,0),"")</f>
        <v/>
      </c>
      <c r="AL607" s="1" t="str">
        <f>IF(AND(Programme_Grunddaten!$A612="Geprüft",Programme_Grunddaten!AT612&lt;&gt;""),IF(Programme_Grunddaten!AT612="Ja",1,0),"")</f>
        <v/>
      </c>
      <c r="AM607" s="1" t="str">
        <f>IF(AND(Programme_Grunddaten!$A612="Geprüft",Programme_Grunddaten!AU612&lt;&gt;""),IF(Programme_Grunddaten!AU612="Ja",1,0),"")</f>
        <v/>
      </c>
      <c r="AN607" s="1" t="str">
        <f>IF(AND(Programme_Grunddaten!$A612="Geprüft",Programme_Grunddaten!AV612&lt;&gt;""),IF(Programme_Grunddaten!AV612="Ja",1,0),"")</f>
        <v/>
      </c>
    </row>
    <row r="608" spans="1:40" x14ac:dyDescent="0.3">
      <c r="A608" s="1" t="str">
        <f>IF(AND(Programme_Grunddaten!A613="Geprüft",Programme_Grunddaten!B613&lt;&gt;""),Programme_Grunddaten!B613,"")</f>
        <v/>
      </c>
      <c r="B608" s="1" t="str">
        <f>IF(AND(Programme_Grunddaten!$A613="Geprüft",Programme_Grunddaten!I613&lt;&gt;""),IF(Programme_Grunddaten!I613="Ja",1,0),"")</f>
        <v/>
      </c>
      <c r="C608" s="1" t="str">
        <f>IF(AND(Programme_Grunddaten!$A613="Geprüft",Programme_Grunddaten!J613&lt;&gt;""),IF(Programme_Grunddaten!J613="Ja",1,0),"")</f>
        <v/>
      </c>
      <c r="D608" s="1" t="str">
        <f>IF(AND(Programme_Grunddaten!$A613="Geprüft",Programme_Grunddaten!K613&lt;&gt;""),IF(Programme_Grunddaten!K613="Ja",1,0),"")</f>
        <v/>
      </c>
      <c r="E608" s="1" t="str">
        <f>IF(AND(Programme_Grunddaten!$A613="Geprüft",Programme_Grunddaten!L613&lt;&gt;""),IF(Programme_Grunddaten!L613="Abo / befristete Lizenz",1,0),"")</f>
        <v/>
      </c>
      <c r="F608" s="1" t="str">
        <f>IF(AND(Programme_Grunddaten!$A613="Geprüft",Programme_Grunddaten!M613&lt;&gt;""),IF(Programme_Grunddaten!M613="Ja",1,0),"")</f>
        <v/>
      </c>
      <c r="G608" s="1" t="str">
        <f>IF(AND(Programme_Grunddaten!$A613="Geprüft",Programme_Grunddaten!N613&lt;&gt;""),IF(Programme_Grunddaten!N613="Ja",1,0),"")</f>
        <v/>
      </c>
      <c r="H608" s="1" t="str">
        <f>IF(AND(Programme_Grunddaten!$A613="Geprüft",Programme_Grunddaten!O613&lt;&gt;""),IF(Programme_Grunddaten!O613="Deutschland",0,IF(Programme_Grunddaten!O613="EU",1,2)),"")</f>
        <v/>
      </c>
      <c r="I608" s="1" t="str">
        <f>IF(AND(Programme_Grunddaten!$A613="Geprüft",Programme_Grunddaten!P613&lt;&gt;""),IF(Programme_Grunddaten!P613="Ja",1,0),"")</f>
        <v/>
      </c>
      <c r="J608" s="1" t="str">
        <f>IF(AND(Programme_Grunddaten!$A613="Geprüft",Programme_Grunddaten!Q613&lt;&gt;""),IF(Programme_Grunddaten!Q613="geschlossenes System",1,0),"")</f>
        <v/>
      </c>
      <c r="K608" s="1" t="str">
        <f>IF(AND(Programme_Grunddaten!$A613="Geprüft",Programme_Grunddaten!R613&lt;&gt;""),IF(Programme_Grunddaten!R613="Ja",1,0),"")</f>
        <v/>
      </c>
      <c r="L608" s="1" t="str">
        <f>IF(AND(Programme_Grunddaten!$A613="Geprüft",Programme_Grunddaten!T613&lt;&gt;""),IF(Programme_Grunddaten!T613="Ja",1,0),"")</f>
        <v/>
      </c>
      <c r="M608" s="1" t="str">
        <f>IF(AND(Programme_Grunddaten!$A613="Geprüft",Programme_Grunddaten!U613&lt;&gt;""),IF(Programme_Grunddaten!U613="Ja",1,0),"")</f>
        <v/>
      </c>
      <c r="N608" s="1" t="str">
        <f>IF(AND(Programme_Grunddaten!$A613="Geprüft",Programme_Grunddaten!V613&lt;&gt;""),IF(Programme_Grunddaten!V613="Ja",1,0),"")</f>
        <v/>
      </c>
      <c r="O608" s="1" t="str">
        <f>IF(AND(Programme_Grunddaten!$A613="Geprüft",Programme_Grunddaten!W613&lt;&gt;""),IF(Programme_Grunddaten!W613="Ja",1,0),"")</f>
        <v/>
      </c>
      <c r="P608" s="1" t="str">
        <f>IF(AND(Programme_Grunddaten!$A613="Geprüft",Programme_Grunddaten!X613&lt;&gt;""),IF(Programme_Grunddaten!X613="Ja",1,0),"")</f>
        <v/>
      </c>
      <c r="Q608" s="1" t="str">
        <f>IF(AND(Programme_Grunddaten!$A613="Geprüft",Programme_Grunddaten!Y613&lt;&gt;""),IF(Programme_Grunddaten!Y613="Ja",1,0),"")</f>
        <v/>
      </c>
      <c r="R608" s="1" t="str">
        <f>IF(AND(Programme_Grunddaten!$A613="Geprüft",Programme_Grunddaten!Z613&lt;&gt;""),IF(Programme_Grunddaten!Z613="Ja",1,0),"")</f>
        <v/>
      </c>
      <c r="S608" s="1" t="str">
        <f>IF(AND(Programme_Grunddaten!$A613="Geprüft",Programme_Grunddaten!AA613&lt;&gt;""),IF(Programme_Grunddaten!AA613="monolithisch",1,0),"")</f>
        <v/>
      </c>
      <c r="T608" s="1" t="str">
        <f>IF(AND(Programme_Grunddaten!$A613="Geprüft",Programme_Grunddaten!AB613&lt;&gt;""),IF(Programme_Grunddaten!AB613="Ja",1,0),"")</f>
        <v/>
      </c>
      <c r="U608" s="1" t="str">
        <f>IF(AND(Programme_Grunddaten!$A613="Geprüft",Programme_Grunddaten!AC613&lt;&gt;""),IF(Programme_Grunddaten!AC613="Ja",1,0),"")</f>
        <v/>
      </c>
      <c r="V608" s="1" t="str">
        <f>IF(AND(Programme_Grunddaten!$A613="Geprüft",Programme_Grunddaten!AD613&lt;&gt;""),IF(Programme_Grunddaten!AD613="Ja",1,0),"")</f>
        <v/>
      </c>
      <c r="W608" s="1" t="str">
        <f>IF(AND(Programme_Grunddaten!$A613="Geprüft",Programme_Grunddaten!AE613&lt;&gt;""),IF(Programme_Grunddaten!AE613="Ja",1,0),"")</f>
        <v/>
      </c>
      <c r="X608" s="1" t="str">
        <f>IF(AND(Programme_Grunddaten!$A613="Geprüft",Programme_Grunddaten!AF613&lt;&gt;""),IF(Programme_Grunddaten!AF613="Ja",1,0),"")</f>
        <v/>
      </c>
      <c r="Y608" s="1" t="str">
        <f>IF(AND(Programme_Grunddaten!$A613="Geprüft",Programme_Grunddaten!AG613&lt;&gt;""),IF(Programme_Grunddaten!AG613="Ja",1,0),"")</f>
        <v/>
      </c>
      <c r="Z608" s="1" t="str">
        <f>IF(AND(Programme_Grunddaten!$A613="Geprüft",Programme_Grunddaten!AH613&lt;&gt;""),IF(Programme_Grunddaten!AH613="Ja",1,0),"")</f>
        <v/>
      </c>
      <c r="AA608" s="1" t="str">
        <f>IF(AND(Programme_Grunddaten!$A613="Geprüft",Programme_Grunddaten!AI613&lt;&gt;""),IF(Programme_Grunddaten!AI613="Ja",1,0),"")</f>
        <v/>
      </c>
      <c r="AB608" s="1" t="str">
        <f>IF(AND(Programme_Grunddaten!$A613="Geprüft",Programme_Grunddaten!AJ613&lt;&gt;""),IF(Programme_Grunddaten!AJ613="individuell programmierbar",1,0),"")</f>
        <v/>
      </c>
      <c r="AC608" s="1" t="str">
        <f>IF(AND(Programme_Grunddaten!$A613="Geprüft",Programme_Grunddaten!AK613&lt;&gt;""),IF(Programme_Grunddaten!AK613="Deutsch",0,IF(Programme_Grunddaten!AK613="Deutsch und Englisch",1,2)),"")</f>
        <v/>
      </c>
      <c r="AD608" s="1" t="str">
        <f>IF(AND(Programme_Grunddaten!$A613="Geprüft",Programme_Grunddaten!AL613&lt;&gt;""),IF(Programme_Grunddaten!AL613="Ja",1,0),"")</f>
        <v/>
      </c>
      <c r="AE608" s="1" t="str">
        <f>IF(AND(Programme_Grunddaten!$A613="Geprüft",Programme_Grunddaten!AM613&lt;&gt;""),IF(Programme_Grunddaten!AM613="Ja",1,0),"")</f>
        <v/>
      </c>
      <c r="AF608" s="1" t="str">
        <f>IF(AND(Programme_Grunddaten!$A613="Geprüft",Programme_Grunddaten!AN613&lt;&gt;""),IF(Programme_Grunddaten!AN613="Ja",1,0),"")</f>
        <v/>
      </c>
      <c r="AG608" s="1" t="str">
        <f>IF(AND(Programme_Grunddaten!$A613="Geprüft",Programme_Grunddaten!AO613&lt;&gt;""),IF(Programme_Grunddaten!AO613="Ja",1,0),"")</f>
        <v/>
      </c>
      <c r="AH608" s="1" t="str">
        <f>IF(AND(Programme_Grunddaten!$A613="Geprüft",Programme_Grunddaten!AP613&lt;&gt;""),IF(Programme_Grunddaten!AP613="Ja",1,0),"")</f>
        <v/>
      </c>
      <c r="AI608" s="1" t="str">
        <f>IF(AND(Programme_Grunddaten!$A613="Geprüft",Programme_Grunddaten!AQ613&lt;&gt;""),IF(Programme_Grunddaten!AQ613="Ja",1,0),"")</f>
        <v/>
      </c>
      <c r="AJ608" s="1" t="str">
        <f>IF(AND(Programme_Grunddaten!$A613="Geprüft",Programme_Grunddaten!AR613&lt;&gt;""),IF(Programme_Grunddaten!AR613="Ja",1,0),"")</f>
        <v/>
      </c>
      <c r="AK608" s="1" t="str">
        <f>IF(AND(Programme_Grunddaten!$A613="Geprüft",Programme_Grunddaten!AS613&lt;&gt;""),IF(Programme_Grunddaten!AS613="Ja",1,0),"")</f>
        <v/>
      </c>
      <c r="AL608" s="1" t="str">
        <f>IF(AND(Programme_Grunddaten!$A613="Geprüft",Programme_Grunddaten!AT613&lt;&gt;""),IF(Programme_Grunddaten!AT613="Ja",1,0),"")</f>
        <v/>
      </c>
      <c r="AM608" s="1" t="str">
        <f>IF(AND(Programme_Grunddaten!$A613="Geprüft",Programme_Grunddaten!AU613&lt;&gt;""),IF(Programme_Grunddaten!AU613="Ja",1,0),"")</f>
        <v/>
      </c>
      <c r="AN608" s="1" t="str">
        <f>IF(AND(Programme_Grunddaten!$A613="Geprüft",Programme_Grunddaten!AV613&lt;&gt;""),IF(Programme_Grunddaten!AV613="Ja",1,0),"")</f>
        <v/>
      </c>
    </row>
    <row r="609" spans="1:40" x14ac:dyDescent="0.3">
      <c r="A609" s="1" t="str">
        <f>IF(AND(Programme_Grunddaten!A614="Geprüft",Programme_Grunddaten!B614&lt;&gt;""),Programme_Grunddaten!B614,"")</f>
        <v/>
      </c>
      <c r="B609" s="1" t="str">
        <f>IF(AND(Programme_Grunddaten!$A614="Geprüft",Programme_Grunddaten!I614&lt;&gt;""),IF(Programme_Grunddaten!I614="Ja",1,0),"")</f>
        <v/>
      </c>
      <c r="C609" s="1" t="str">
        <f>IF(AND(Programme_Grunddaten!$A614="Geprüft",Programme_Grunddaten!J614&lt;&gt;""),IF(Programme_Grunddaten!J614="Ja",1,0),"")</f>
        <v/>
      </c>
      <c r="D609" s="1" t="str">
        <f>IF(AND(Programme_Grunddaten!$A614="Geprüft",Programme_Grunddaten!K614&lt;&gt;""),IF(Programme_Grunddaten!K614="Ja",1,0),"")</f>
        <v/>
      </c>
      <c r="E609" s="1" t="str">
        <f>IF(AND(Programme_Grunddaten!$A614="Geprüft",Programme_Grunddaten!L614&lt;&gt;""),IF(Programme_Grunddaten!L614="Abo / befristete Lizenz",1,0),"")</f>
        <v/>
      </c>
      <c r="F609" s="1" t="str">
        <f>IF(AND(Programme_Grunddaten!$A614="Geprüft",Programme_Grunddaten!M614&lt;&gt;""),IF(Programme_Grunddaten!M614="Ja",1,0),"")</f>
        <v/>
      </c>
      <c r="G609" s="1" t="str">
        <f>IF(AND(Programme_Grunddaten!$A614="Geprüft",Programme_Grunddaten!N614&lt;&gt;""),IF(Programme_Grunddaten!N614="Ja",1,0),"")</f>
        <v/>
      </c>
      <c r="H609" s="1" t="str">
        <f>IF(AND(Programme_Grunddaten!$A614="Geprüft",Programme_Grunddaten!O614&lt;&gt;""),IF(Programme_Grunddaten!O614="Deutschland",0,IF(Programme_Grunddaten!O614="EU",1,2)),"")</f>
        <v/>
      </c>
      <c r="I609" s="1" t="str">
        <f>IF(AND(Programme_Grunddaten!$A614="Geprüft",Programme_Grunddaten!P614&lt;&gt;""),IF(Programme_Grunddaten!P614="Ja",1,0),"")</f>
        <v/>
      </c>
      <c r="J609" s="1" t="str">
        <f>IF(AND(Programme_Grunddaten!$A614="Geprüft",Programme_Grunddaten!Q614&lt;&gt;""),IF(Programme_Grunddaten!Q614="geschlossenes System",1,0),"")</f>
        <v/>
      </c>
      <c r="K609" s="1" t="str">
        <f>IF(AND(Programme_Grunddaten!$A614="Geprüft",Programme_Grunddaten!R614&lt;&gt;""),IF(Programme_Grunddaten!R614="Ja",1,0),"")</f>
        <v/>
      </c>
      <c r="L609" s="1" t="str">
        <f>IF(AND(Programme_Grunddaten!$A614="Geprüft",Programme_Grunddaten!T614&lt;&gt;""),IF(Programme_Grunddaten!T614="Ja",1,0),"")</f>
        <v/>
      </c>
      <c r="M609" s="1" t="str">
        <f>IF(AND(Programme_Grunddaten!$A614="Geprüft",Programme_Grunddaten!U614&lt;&gt;""),IF(Programme_Grunddaten!U614="Ja",1,0),"")</f>
        <v/>
      </c>
      <c r="N609" s="1" t="str">
        <f>IF(AND(Programme_Grunddaten!$A614="Geprüft",Programme_Grunddaten!V614&lt;&gt;""),IF(Programme_Grunddaten!V614="Ja",1,0),"")</f>
        <v/>
      </c>
      <c r="O609" s="1" t="str">
        <f>IF(AND(Programme_Grunddaten!$A614="Geprüft",Programme_Grunddaten!W614&lt;&gt;""),IF(Programme_Grunddaten!W614="Ja",1,0),"")</f>
        <v/>
      </c>
      <c r="P609" s="1" t="str">
        <f>IF(AND(Programme_Grunddaten!$A614="Geprüft",Programme_Grunddaten!X614&lt;&gt;""),IF(Programme_Grunddaten!X614="Ja",1,0),"")</f>
        <v/>
      </c>
      <c r="Q609" s="1" t="str">
        <f>IF(AND(Programme_Grunddaten!$A614="Geprüft",Programme_Grunddaten!Y614&lt;&gt;""),IF(Programme_Grunddaten!Y614="Ja",1,0),"")</f>
        <v/>
      </c>
      <c r="R609" s="1" t="str">
        <f>IF(AND(Programme_Grunddaten!$A614="Geprüft",Programme_Grunddaten!Z614&lt;&gt;""),IF(Programme_Grunddaten!Z614="Ja",1,0),"")</f>
        <v/>
      </c>
      <c r="S609" s="1" t="str">
        <f>IF(AND(Programme_Grunddaten!$A614="Geprüft",Programme_Grunddaten!AA614&lt;&gt;""),IF(Programme_Grunddaten!AA614="monolithisch",1,0),"")</f>
        <v/>
      </c>
      <c r="T609" s="1" t="str">
        <f>IF(AND(Programme_Grunddaten!$A614="Geprüft",Programme_Grunddaten!AB614&lt;&gt;""),IF(Programme_Grunddaten!AB614="Ja",1,0),"")</f>
        <v/>
      </c>
      <c r="U609" s="1" t="str">
        <f>IF(AND(Programme_Grunddaten!$A614="Geprüft",Programme_Grunddaten!AC614&lt;&gt;""),IF(Programme_Grunddaten!AC614="Ja",1,0),"")</f>
        <v/>
      </c>
      <c r="V609" s="1" t="str">
        <f>IF(AND(Programme_Grunddaten!$A614="Geprüft",Programme_Grunddaten!AD614&lt;&gt;""),IF(Programme_Grunddaten!AD614="Ja",1,0),"")</f>
        <v/>
      </c>
      <c r="W609" s="1" t="str">
        <f>IF(AND(Programme_Grunddaten!$A614="Geprüft",Programme_Grunddaten!AE614&lt;&gt;""),IF(Programme_Grunddaten!AE614="Ja",1,0),"")</f>
        <v/>
      </c>
      <c r="X609" s="1" t="str">
        <f>IF(AND(Programme_Grunddaten!$A614="Geprüft",Programme_Grunddaten!AF614&lt;&gt;""),IF(Programme_Grunddaten!AF614="Ja",1,0),"")</f>
        <v/>
      </c>
      <c r="Y609" s="1" t="str">
        <f>IF(AND(Programme_Grunddaten!$A614="Geprüft",Programme_Grunddaten!AG614&lt;&gt;""),IF(Programme_Grunddaten!AG614="Ja",1,0),"")</f>
        <v/>
      </c>
      <c r="Z609" s="1" t="str">
        <f>IF(AND(Programme_Grunddaten!$A614="Geprüft",Programme_Grunddaten!AH614&lt;&gt;""),IF(Programme_Grunddaten!AH614="Ja",1,0),"")</f>
        <v/>
      </c>
      <c r="AA609" s="1" t="str">
        <f>IF(AND(Programme_Grunddaten!$A614="Geprüft",Programme_Grunddaten!AI614&lt;&gt;""),IF(Programme_Grunddaten!AI614="Ja",1,0),"")</f>
        <v/>
      </c>
      <c r="AB609" s="1" t="str">
        <f>IF(AND(Programme_Grunddaten!$A614="Geprüft",Programme_Grunddaten!AJ614&lt;&gt;""),IF(Programme_Grunddaten!AJ614="individuell programmierbar",1,0),"")</f>
        <v/>
      </c>
      <c r="AC609" s="1" t="str">
        <f>IF(AND(Programme_Grunddaten!$A614="Geprüft",Programme_Grunddaten!AK614&lt;&gt;""),IF(Programme_Grunddaten!AK614="Deutsch",0,IF(Programme_Grunddaten!AK614="Deutsch und Englisch",1,2)),"")</f>
        <v/>
      </c>
      <c r="AD609" s="1" t="str">
        <f>IF(AND(Programme_Grunddaten!$A614="Geprüft",Programme_Grunddaten!AL614&lt;&gt;""),IF(Programme_Grunddaten!AL614="Ja",1,0),"")</f>
        <v/>
      </c>
      <c r="AE609" s="1" t="str">
        <f>IF(AND(Programme_Grunddaten!$A614="Geprüft",Programme_Grunddaten!AM614&lt;&gt;""),IF(Programme_Grunddaten!AM614="Ja",1,0),"")</f>
        <v/>
      </c>
      <c r="AF609" s="1" t="str">
        <f>IF(AND(Programme_Grunddaten!$A614="Geprüft",Programme_Grunddaten!AN614&lt;&gt;""),IF(Programme_Grunddaten!AN614="Ja",1,0),"")</f>
        <v/>
      </c>
      <c r="AG609" s="1" t="str">
        <f>IF(AND(Programme_Grunddaten!$A614="Geprüft",Programme_Grunddaten!AO614&lt;&gt;""),IF(Programme_Grunddaten!AO614="Ja",1,0),"")</f>
        <v/>
      </c>
      <c r="AH609" s="1" t="str">
        <f>IF(AND(Programme_Grunddaten!$A614="Geprüft",Programme_Grunddaten!AP614&lt;&gt;""),IF(Programme_Grunddaten!AP614="Ja",1,0),"")</f>
        <v/>
      </c>
      <c r="AI609" s="1" t="str">
        <f>IF(AND(Programme_Grunddaten!$A614="Geprüft",Programme_Grunddaten!AQ614&lt;&gt;""),IF(Programme_Grunddaten!AQ614="Ja",1,0),"")</f>
        <v/>
      </c>
      <c r="AJ609" s="1" t="str">
        <f>IF(AND(Programme_Grunddaten!$A614="Geprüft",Programme_Grunddaten!AR614&lt;&gt;""),IF(Programme_Grunddaten!AR614="Ja",1,0),"")</f>
        <v/>
      </c>
      <c r="AK609" s="1" t="str">
        <f>IF(AND(Programme_Grunddaten!$A614="Geprüft",Programme_Grunddaten!AS614&lt;&gt;""),IF(Programme_Grunddaten!AS614="Ja",1,0),"")</f>
        <v/>
      </c>
      <c r="AL609" s="1" t="str">
        <f>IF(AND(Programme_Grunddaten!$A614="Geprüft",Programme_Grunddaten!AT614&lt;&gt;""),IF(Programme_Grunddaten!AT614="Ja",1,0),"")</f>
        <v/>
      </c>
      <c r="AM609" s="1" t="str">
        <f>IF(AND(Programme_Grunddaten!$A614="Geprüft",Programme_Grunddaten!AU614&lt;&gt;""),IF(Programme_Grunddaten!AU614="Ja",1,0),"")</f>
        <v/>
      </c>
      <c r="AN609" s="1" t="str">
        <f>IF(AND(Programme_Grunddaten!$A614="Geprüft",Programme_Grunddaten!AV614&lt;&gt;""),IF(Programme_Grunddaten!AV614="Ja",1,0),"")</f>
        <v/>
      </c>
    </row>
    <row r="610" spans="1:40" x14ac:dyDescent="0.3">
      <c r="A610" s="1" t="str">
        <f>IF(AND(Programme_Grunddaten!A615="Geprüft",Programme_Grunddaten!B615&lt;&gt;""),Programme_Grunddaten!B615,"")</f>
        <v/>
      </c>
      <c r="B610" s="1" t="str">
        <f>IF(AND(Programme_Grunddaten!$A615="Geprüft",Programme_Grunddaten!I615&lt;&gt;""),IF(Programme_Grunddaten!I615="Ja",1,0),"")</f>
        <v/>
      </c>
      <c r="C610" s="1" t="str">
        <f>IF(AND(Programme_Grunddaten!$A615="Geprüft",Programme_Grunddaten!J615&lt;&gt;""),IF(Programme_Grunddaten!J615="Ja",1,0),"")</f>
        <v/>
      </c>
      <c r="D610" s="1" t="str">
        <f>IF(AND(Programme_Grunddaten!$A615="Geprüft",Programme_Grunddaten!K615&lt;&gt;""),IF(Programme_Grunddaten!K615="Ja",1,0),"")</f>
        <v/>
      </c>
      <c r="E610" s="1" t="str">
        <f>IF(AND(Programme_Grunddaten!$A615="Geprüft",Programme_Grunddaten!L615&lt;&gt;""),IF(Programme_Grunddaten!L615="Abo / befristete Lizenz",1,0),"")</f>
        <v/>
      </c>
      <c r="F610" s="1" t="str">
        <f>IF(AND(Programme_Grunddaten!$A615="Geprüft",Programme_Grunddaten!M615&lt;&gt;""),IF(Programme_Grunddaten!M615="Ja",1,0),"")</f>
        <v/>
      </c>
      <c r="G610" s="1" t="str">
        <f>IF(AND(Programme_Grunddaten!$A615="Geprüft",Programme_Grunddaten!N615&lt;&gt;""),IF(Programme_Grunddaten!N615="Ja",1,0),"")</f>
        <v/>
      </c>
      <c r="H610" s="1" t="str">
        <f>IF(AND(Programme_Grunddaten!$A615="Geprüft",Programme_Grunddaten!O615&lt;&gt;""),IF(Programme_Grunddaten!O615="Deutschland",0,IF(Programme_Grunddaten!O615="EU",1,2)),"")</f>
        <v/>
      </c>
      <c r="I610" s="1" t="str">
        <f>IF(AND(Programme_Grunddaten!$A615="Geprüft",Programme_Grunddaten!P615&lt;&gt;""),IF(Programme_Grunddaten!P615="Ja",1,0),"")</f>
        <v/>
      </c>
      <c r="J610" s="1" t="str">
        <f>IF(AND(Programme_Grunddaten!$A615="Geprüft",Programme_Grunddaten!Q615&lt;&gt;""),IF(Programme_Grunddaten!Q615="geschlossenes System",1,0),"")</f>
        <v/>
      </c>
      <c r="K610" s="1" t="str">
        <f>IF(AND(Programme_Grunddaten!$A615="Geprüft",Programme_Grunddaten!R615&lt;&gt;""),IF(Programme_Grunddaten!R615="Ja",1,0),"")</f>
        <v/>
      </c>
      <c r="L610" s="1" t="str">
        <f>IF(AND(Programme_Grunddaten!$A615="Geprüft",Programme_Grunddaten!T615&lt;&gt;""),IF(Programme_Grunddaten!T615="Ja",1,0),"")</f>
        <v/>
      </c>
      <c r="M610" s="1" t="str">
        <f>IF(AND(Programme_Grunddaten!$A615="Geprüft",Programme_Grunddaten!U615&lt;&gt;""),IF(Programme_Grunddaten!U615="Ja",1,0),"")</f>
        <v/>
      </c>
      <c r="N610" s="1" t="str">
        <f>IF(AND(Programme_Grunddaten!$A615="Geprüft",Programme_Grunddaten!V615&lt;&gt;""),IF(Programme_Grunddaten!V615="Ja",1,0),"")</f>
        <v/>
      </c>
      <c r="O610" s="1" t="str">
        <f>IF(AND(Programme_Grunddaten!$A615="Geprüft",Programme_Grunddaten!W615&lt;&gt;""),IF(Programme_Grunddaten!W615="Ja",1,0),"")</f>
        <v/>
      </c>
      <c r="P610" s="1" t="str">
        <f>IF(AND(Programme_Grunddaten!$A615="Geprüft",Programme_Grunddaten!X615&lt;&gt;""),IF(Programme_Grunddaten!X615="Ja",1,0),"")</f>
        <v/>
      </c>
      <c r="Q610" s="1" t="str">
        <f>IF(AND(Programme_Grunddaten!$A615="Geprüft",Programme_Grunddaten!Y615&lt;&gt;""),IF(Programme_Grunddaten!Y615="Ja",1,0),"")</f>
        <v/>
      </c>
      <c r="R610" s="1" t="str">
        <f>IF(AND(Programme_Grunddaten!$A615="Geprüft",Programme_Grunddaten!Z615&lt;&gt;""),IF(Programme_Grunddaten!Z615="Ja",1,0),"")</f>
        <v/>
      </c>
      <c r="S610" s="1" t="str">
        <f>IF(AND(Programme_Grunddaten!$A615="Geprüft",Programme_Grunddaten!AA615&lt;&gt;""),IF(Programme_Grunddaten!AA615="monolithisch",1,0),"")</f>
        <v/>
      </c>
      <c r="T610" s="1" t="str">
        <f>IF(AND(Programme_Grunddaten!$A615="Geprüft",Programme_Grunddaten!AB615&lt;&gt;""),IF(Programme_Grunddaten!AB615="Ja",1,0),"")</f>
        <v/>
      </c>
      <c r="U610" s="1" t="str">
        <f>IF(AND(Programme_Grunddaten!$A615="Geprüft",Programme_Grunddaten!AC615&lt;&gt;""),IF(Programme_Grunddaten!AC615="Ja",1,0),"")</f>
        <v/>
      </c>
      <c r="V610" s="1" t="str">
        <f>IF(AND(Programme_Grunddaten!$A615="Geprüft",Programme_Grunddaten!AD615&lt;&gt;""),IF(Programme_Grunddaten!AD615="Ja",1,0),"")</f>
        <v/>
      </c>
      <c r="W610" s="1" t="str">
        <f>IF(AND(Programme_Grunddaten!$A615="Geprüft",Programme_Grunddaten!AE615&lt;&gt;""),IF(Programme_Grunddaten!AE615="Ja",1,0),"")</f>
        <v/>
      </c>
      <c r="X610" s="1" t="str">
        <f>IF(AND(Programme_Grunddaten!$A615="Geprüft",Programme_Grunddaten!AF615&lt;&gt;""),IF(Programme_Grunddaten!AF615="Ja",1,0),"")</f>
        <v/>
      </c>
      <c r="Y610" s="1" t="str">
        <f>IF(AND(Programme_Grunddaten!$A615="Geprüft",Programme_Grunddaten!AG615&lt;&gt;""),IF(Programme_Grunddaten!AG615="Ja",1,0),"")</f>
        <v/>
      </c>
      <c r="Z610" s="1" t="str">
        <f>IF(AND(Programme_Grunddaten!$A615="Geprüft",Programme_Grunddaten!AH615&lt;&gt;""),IF(Programme_Grunddaten!AH615="Ja",1,0),"")</f>
        <v/>
      </c>
      <c r="AA610" s="1" t="str">
        <f>IF(AND(Programme_Grunddaten!$A615="Geprüft",Programme_Grunddaten!AI615&lt;&gt;""),IF(Programme_Grunddaten!AI615="Ja",1,0),"")</f>
        <v/>
      </c>
      <c r="AB610" s="1" t="str">
        <f>IF(AND(Programme_Grunddaten!$A615="Geprüft",Programme_Grunddaten!AJ615&lt;&gt;""),IF(Programme_Grunddaten!AJ615="individuell programmierbar",1,0),"")</f>
        <v/>
      </c>
      <c r="AC610" s="1" t="str">
        <f>IF(AND(Programme_Grunddaten!$A615="Geprüft",Programme_Grunddaten!AK615&lt;&gt;""),IF(Programme_Grunddaten!AK615="Deutsch",0,IF(Programme_Grunddaten!AK615="Deutsch und Englisch",1,2)),"")</f>
        <v/>
      </c>
      <c r="AD610" s="1" t="str">
        <f>IF(AND(Programme_Grunddaten!$A615="Geprüft",Programme_Grunddaten!AL615&lt;&gt;""),IF(Programme_Grunddaten!AL615="Ja",1,0),"")</f>
        <v/>
      </c>
      <c r="AE610" s="1" t="str">
        <f>IF(AND(Programme_Grunddaten!$A615="Geprüft",Programme_Grunddaten!AM615&lt;&gt;""),IF(Programme_Grunddaten!AM615="Ja",1,0),"")</f>
        <v/>
      </c>
      <c r="AF610" s="1" t="str">
        <f>IF(AND(Programme_Grunddaten!$A615="Geprüft",Programme_Grunddaten!AN615&lt;&gt;""),IF(Programme_Grunddaten!AN615="Ja",1,0),"")</f>
        <v/>
      </c>
      <c r="AG610" s="1" t="str">
        <f>IF(AND(Programme_Grunddaten!$A615="Geprüft",Programme_Grunddaten!AO615&lt;&gt;""),IF(Programme_Grunddaten!AO615="Ja",1,0),"")</f>
        <v/>
      </c>
      <c r="AH610" s="1" t="str">
        <f>IF(AND(Programme_Grunddaten!$A615="Geprüft",Programme_Grunddaten!AP615&lt;&gt;""),IF(Programme_Grunddaten!AP615="Ja",1,0),"")</f>
        <v/>
      </c>
      <c r="AI610" s="1" t="str">
        <f>IF(AND(Programme_Grunddaten!$A615="Geprüft",Programme_Grunddaten!AQ615&lt;&gt;""),IF(Programme_Grunddaten!AQ615="Ja",1,0),"")</f>
        <v/>
      </c>
      <c r="AJ610" s="1" t="str">
        <f>IF(AND(Programme_Grunddaten!$A615="Geprüft",Programme_Grunddaten!AR615&lt;&gt;""),IF(Programme_Grunddaten!AR615="Ja",1,0),"")</f>
        <v/>
      </c>
      <c r="AK610" s="1" t="str">
        <f>IF(AND(Programme_Grunddaten!$A615="Geprüft",Programme_Grunddaten!AS615&lt;&gt;""),IF(Programme_Grunddaten!AS615="Ja",1,0),"")</f>
        <v/>
      </c>
      <c r="AL610" s="1" t="str">
        <f>IF(AND(Programme_Grunddaten!$A615="Geprüft",Programme_Grunddaten!AT615&lt;&gt;""),IF(Programme_Grunddaten!AT615="Ja",1,0),"")</f>
        <v/>
      </c>
      <c r="AM610" s="1" t="str">
        <f>IF(AND(Programme_Grunddaten!$A615="Geprüft",Programme_Grunddaten!AU615&lt;&gt;""),IF(Programme_Grunddaten!AU615="Ja",1,0),"")</f>
        <v/>
      </c>
      <c r="AN610" s="1" t="str">
        <f>IF(AND(Programme_Grunddaten!$A615="Geprüft",Programme_Grunddaten!AV615&lt;&gt;""),IF(Programme_Grunddaten!AV615="Ja",1,0),"")</f>
        <v/>
      </c>
    </row>
    <row r="611" spans="1:40" x14ac:dyDescent="0.3">
      <c r="A611" s="1" t="str">
        <f>IF(AND(Programme_Grunddaten!A616="Geprüft",Programme_Grunddaten!B616&lt;&gt;""),Programme_Grunddaten!B616,"")</f>
        <v/>
      </c>
      <c r="B611" s="1" t="str">
        <f>IF(AND(Programme_Grunddaten!$A616="Geprüft",Programme_Grunddaten!I616&lt;&gt;""),IF(Programme_Grunddaten!I616="Ja",1,0),"")</f>
        <v/>
      </c>
      <c r="C611" s="1" t="str">
        <f>IF(AND(Programme_Grunddaten!$A616="Geprüft",Programme_Grunddaten!J616&lt;&gt;""),IF(Programme_Grunddaten!J616="Ja",1,0),"")</f>
        <v/>
      </c>
      <c r="D611" s="1" t="str">
        <f>IF(AND(Programme_Grunddaten!$A616="Geprüft",Programme_Grunddaten!K616&lt;&gt;""),IF(Programme_Grunddaten!K616="Ja",1,0),"")</f>
        <v/>
      </c>
      <c r="E611" s="1" t="str">
        <f>IF(AND(Programme_Grunddaten!$A616="Geprüft",Programme_Grunddaten!L616&lt;&gt;""),IF(Programme_Grunddaten!L616="Abo / befristete Lizenz",1,0),"")</f>
        <v/>
      </c>
      <c r="F611" s="1" t="str">
        <f>IF(AND(Programme_Grunddaten!$A616="Geprüft",Programme_Grunddaten!M616&lt;&gt;""),IF(Programme_Grunddaten!M616="Ja",1,0),"")</f>
        <v/>
      </c>
      <c r="G611" s="1" t="str">
        <f>IF(AND(Programme_Grunddaten!$A616="Geprüft",Programme_Grunddaten!N616&lt;&gt;""),IF(Programme_Grunddaten!N616="Ja",1,0),"")</f>
        <v/>
      </c>
      <c r="H611" s="1" t="str">
        <f>IF(AND(Programme_Grunddaten!$A616="Geprüft",Programme_Grunddaten!O616&lt;&gt;""),IF(Programme_Grunddaten!O616="Deutschland",0,IF(Programme_Grunddaten!O616="EU",1,2)),"")</f>
        <v/>
      </c>
      <c r="I611" s="1" t="str">
        <f>IF(AND(Programme_Grunddaten!$A616="Geprüft",Programme_Grunddaten!P616&lt;&gt;""),IF(Programme_Grunddaten!P616="Ja",1,0),"")</f>
        <v/>
      </c>
      <c r="J611" s="1" t="str">
        <f>IF(AND(Programme_Grunddaten!$A616="Geprüft",Programme_Grunddaten!Q616&lt;&gt;""),IF(Programme_Grunddaten!Q616="geschlossenes System",1,0),"")</f>
        <v/>
      </c>
      <c r="K611" s="1" t="str">
        <f>IF(AND(Programme_Grunddaten!$A616="Geprüft",Programme_Grunddaten!R616&lt;&gt;""),IF(Programme_Grunddaten!R616="Ja",1,0),"")</f>
        <v/>
      </c>
      <c r="L611" s="1" t="str">
        <f>IF(AND(Programme_Grunddaten!$A616="Geprüft",Programme_Grunddaten!T616&lt;&gt;""),IF(Programme_Grunddaten!T616="Ja",1,0),"")</f>
        <v/>
      </c>
      <c r="M611" s="1" t="str">
        <f>IF(AND(Programme_Grunddaten!$A616="Geprüft",Programme_Grunddaten!U616&lt;&gt;""),IF(Programme_Grunddaten!U616="Ja",1,0),"")</f>
        <v/>
      </c>
      <c r="N611" s="1" t="str">
        <f>IF(AND(Programme_Grunddaten!$A616="Geprüft",Programme_Grunddaten!V616&lt;&gt;""),IF(Programme_Grunddaten!V616="Ja",1,0),"")</f>
        <v/>
      </c>
      <c r="O611" s="1" t="str">
        <f>IF(AND(Programme_Grunddaten!$A616="Geprüft",Programme_Grunddaten!W616&lt;&gt;""),IF(Programme_Grunddaten!W616="Ja",1,0),"")</f>
        <v/>
      </c>
      <c r="P611" s="1" t="str">
        <f>IF(AND(Programme_Grunddaten!$A616="Geprüft",Programme_Grunddaten!X616&lt;&gt;""),IF(Programme_Grunddaten!X616="Ja",1,0),"")</f>
        <v/>
      </c>
      <c r="Q611" s="1" t="str">
        <f>IF(AND(Programme_Grunddaten!$A616="Geprüft",Programme_Grunddaten!Y616&lt;&gt;""),IF(Programme_Grunddaten!Y616="Ja",1,0),"")</f>
        <v/>
      </c>
      <c r="R611" s="1" t="str">
        <f>IF(AND(Programme_Grunddaten!$A616="Geprüft",Programme_Grunddaten!Z616&lt;&gt;""),IF(Programme_Grunddaten!Z616="Ja",1,0),"")</f>
        <v/>
      </c>
      <c r="S611" s="1" t="str">
        <f>IF(AND(Programme_Grunddaten!$A616="Geprüft",Programme_Grunddaten!AA616&lt;&gt;""),IF(Programme_Grunddaten!AA616="monolithisch",1,0),"")</f>
        <v/>
      </c>
      <c r="T611" s="1" t="str">
        <f>IF(AND(Programme_Grunddaten!$A616="Geprüft",Programme_Grunddaten!AB616&lt;&gt;""),IF(Programme_Grunddaten!AB616="Ja",1,0),"")</f>
        <v/>
      </c>
      <c r="U611" s="1" t="str">
        <f>IF(AND(Programme_Grunddaten!$A616="Geprüft",Programme_Grunddaten!AC616&lt;&gt;""),IF(Programme_Grunddaten!AC616="Ja",1,0),"")</f>
        <v/>
      </c>
      <c r="V611" s="1" t="str">
        <f>IF(AND(Programme_Grunddaten!$A616="Geprüft",Programme_Grunddaten!AD616&lt;&gt;""),IF(Programme_Grunddaten!AD616="Ja",1,0),"")</f>
        <v/>
      </c>
      <c r="W611" s="1" t="str">
        <f>IF(AND(Programme_Grunddaten!$A616="Geprüft",Programme_Grunddaten!AE616&lt;&gt;""),IF(Programme_Grunddaten!AE616="Ja",1,0),"")</f>
        <v/>
      </c>
      <c r="X611" s="1" t="str">
        <f>IF(AND(Programme_Grunddaten!$A616="Geprüft",Programme_Grunddaten!AF616&lt;&gt;""),IF(Programme_Grunddaten!AF616="Ja",1,0),"")</f>
        <v/>
      </c>
      <c r="Y611" s="1" t="str">
        <f>IF(AND(Programme_Grunddaten!$A616="Geprüft",Programme_Grunddaten!AG616&lt;&gt;""),IF(Programme_Grunddaten!AG616="Ja",1,0),"")</f>
        <v/>
      </c>
      <c r="Z611" s="1" t="str">
        <f>IF(AND(Programme_Grunddaten!$A616="Geprüft",Programme_Grunddaten!AH616&lt;&gt;""),IF(Programme_Grunddaten!AH616="Ja",1,0),"")</f>
        <v/>
      </c>
      <c r="AA611" s="1" t="str">
        <f>IF(AND(Programme_Grunddaten!$A616="Geprüft",Programme_Grunddaten!AI616&lt;&gt;""),IF(Programme_Grunddaten!AI616="Ja",1,0),"")</f>
        <v/>
      </c>
      <c r="AB611" s="1" t="str">
        <f>IF(AND(Programme_Grunddaten!$A616="Geprüft",Programme_Grunddaten!AJ616&lt;&gt;""),IF(Programme_Grunddaten!AJ616="individuell programmierbar",1,0),"")</f>
        <v/>
      </c>
      <c r="AC611" s="1" t="str">
        <f>IF(AND(Programme_Grunddaten!$A616="Geprüft",Programme_Grunddaten!AK616&lt;&gt;""),IF(Programme_Grunddaten!AK616="Deutsch",0,IF(Programme_Grunddaten!AK616="Deutsch und Englisch",1,2)),"")</f>
        <v/>
      </c>
      <c r="AD611" s="1" t="str">
        <f>IF(AND(Programme_Grunddaten!$A616="Geprüft",Programme_Grunddaten!AL616&lt;&gt;""),IF(Programme_Grunddaten!AL616="Ja",1,0),"")</f>
        <v/>
      </c>
      <c r="AE611" s="1" t="str">
        <f>IF(AND(Programme_Grunddaten!$A616="Geprüft",Programme_Grunddaten!AM616&lt;&gt;""),IF(Programme_Grunddaten!AM616="Ja",1,0),"")</f>
        <v/>
      </c>
      <c r="AF611" s="1" t="str">
        <f>IF(AND(Programme_Grunddaten!$A616="Geprüft",Programme_Grunddaten!AN616&lt;&gt;""),IF(Programme_Grunddaten!AN616="Ja",1,0),"")</f>
        <v/>
      </c>
      <c r="AG611" s="1" t="str">
        <f>IF(AND(Programme_Grunddaten!$A616="Geprüft",Programme_Grunddaten!AO616&lt;&gt;""),IF(Programme_Grunddaten!AO616="Ja",1,0),"")</f>
        <v/>
      </c>
      <c r="AH611" s="1" t="str">
        <f>IF(AND(Programme_Grunddaten!$A616="Geprüft",Programme_Grunddaten!AP616&lt;&gt;""),IF(Programme_Grunddaten!AP616="Ja",1,0),"")</f>
        <v/>
      </c>
      <c r="AI611" s="1" t="str">
        <f>IF(AND(Programme_Grunddaten!$A616="Geprüft",Programme_Grunddaten!AQ616&lt;&gt;""),IF(Programme_Grunddaten!AQ616="Ja",1,0),"")</f>
        <v/>
      </c>
      <c r="AJ611" s="1" t="str">
        <f>IF(AND(Programme_Grunddaten!$A616="Geprüft",Programme_Grunddaten!AR616&lt;&gt;""),IF(Programme_Grunddaten!AR616="Ja",1,0),"")</f>
        <v/>
      </c>
      <c r="AK611" s="1" t="str">
        <f>IF(AND(Programme_Grunddaten!$A616="Geprüft",Programme_Grunddaten!AS616&lt;&gt;""),IF(Programme_Grunddaten!AS616="Ja",1,0),"")</f>
        <v/>
      </c>
      <c r="AL611" s="1" t="str">
        <f>IF(AND(Programme_Grunddaten!$A616="Geprüft",Programme_Grunddaten!AT616&lt;&gt;""),IF(Programme_Grunddaten!AT616="Ja",1,0),"")</f>
        <v/>
      </c>
      <c r="AM611" s="1" t="str">
        <f>IF(AND(Programme_Grunddaten!$A616="Geprüft",Programme_Grunddaten!AU616&lt;&gt;""),IF(Programme_Grunddaten!AU616="Ja",1,0),"")</f>
        <v/>
      </c>
      <c r="AN611" s="1" t="str">
        <f>IF(AND(Programme_Grunddaten!$A616="Geprüft",Programme_Grunddaten!AV616&lt;&gt;""),IF(Programme_Grunddaten!AV616="Ja",1,0),"")</f>
        <v/>
      </c>
    </row>
    <row r="612" spans="1:40" x14ac:dyDescent="0.3">
      <c r="A612" s="1" t="str">
        <f>IF(AND(Programme_Grunddaten!A617="Geprüft",Programme_Grunddaten!B617&lt;&gt;""),Programme_Grunddaten!B617,"")</f>
        <v/>
      </c>
      <c r="B612" s="1" t="str">
        <f>IF(AND(Programme_Grunddaten!$A617="Geprüft",Programme_Grunddaten!I617&lt;&gt;""),IF(Programme_Grunddaten!I617="Ja",1,0),"")</f>
        <v/>
      </c>
      <c r="C612" s="1" t="str">
        <f>IF(AND(Programme_Grunddaten!$A617="Geprüft",Programme_Grunddaten!J617&lt;&gt;""),IF(Programme_Grunddaten!J617="Ja",1,0),"")</f>
        <v/>
      </c>
      <c r="D612" s="1" t="str">
        <f>IF(AND(Programme_Grunddaten!$A617="Geprüft",Programme_Grunddaten!K617&lt;&gt;""),IF(Programme_Grunddaten!K617="Ja",1,0),"")</f>
        <v/>
      </c>
      <c r="E612" s="1" t="str">
        <f>IF(AND(Programme_Grunddaten!$A617="Geprüft",Programme_Grunddaten!L617&lt;&gt;""),IF(Programme_Grunddaten!L617="Abo / befristete Lizenz",1,0),"")</f>
        <v/>
      </c>
      <c r="F612" s="1" t="str">
        <f>IF(AND(Programme_Grunddaten!$A617="Geprüft",Programme_Grunddaten!M617&lt;&gt;""),IF(Programme_Grunddaten!M617="Ja",1,0),"")</f>
        <v/>
      </c>
      <c r="G612" s="1" t="str">
        <f>IF(AND(Programme_Grunddaten!$A617="Geprüft",Programme_Grunddaten!N617&lt;&gt;""),IF(Programme_Grunddaten!N617="Ja",1,0),"")</f>
        <v/>
      </c>
      <c r="H612" s="1" t="str">
        <f>IF(AND(Programme_Grunddaten!$A617="Geprüft",Programme_Grunddaten!O617&lt;&gt;""),IF(Programme_Grunddaten!O617="Deutschland",0,IF(Programme_Grunddaten!O617="EU",1,2)),"")</f>
        <v/>
      </c>
      <c r="I612" s="1" t="str">
        <f>IF(AND(Programme_Grunddaten!$A617="Geprüft",Programme_Grunddaten!P617&lt;&gt;""),IF(Programme_Grunddaten!P617="Ja",1,0),"")</f>
        <v/>
      </c>
      <c r="J612" s="1" t="str">
        <f>IF(AND(Programme_Grunddaten!$A617="Geprüft",Programme_Grunddaten!Q617&lt;&gt;""),IF(Programme_Grunddaten!Q617="geschlossenes System",1,0),"")</f>
        <v/>
      </c>
      <c r="K612" s="1" t="str">
        <f>IF(AND(Programme_Grunddaten!$A617="Geprüft",Programme_Grunddaten!R617&lt;&gt;""),IF(Programme_Grunddaten!R617="Ja",1,0),"")</f>
        <v/>
      </c>
      <c r="L612" s="1" t="str">
        <f>IF(AND(Programme_Grunddaten!$A617="Geprüft",Programme_Grunddaten!T617&lt;&gt;""),IF(Programme_Grunddaten!T617="Ja",1,0),"")</f>
        <v/>
      </c>
      <c r="M612" s="1" t="str">
        <f>IF(AND(Programme_Grunddaten!$A617="Geprüft",Programme_Grunddaten!U617&lt;&gt;""),IF(Programme_Grunddaten!U617="Ja",1,0),"")</f>
        <v/>
      </c>
      <c r="N612" s="1" t="str">
        <f>IF(AND(Programme_Grunddaten!$A617="Geprüft",Programme_Grunddaten!V617&lt;&gt;""),IF(Programme_Grunddaten!V617="Ja",1,0),"")</f>
        <v/>
      </c>
      <c r="O612" s="1" t="str">
        <f>IF(AND(Programme_Grunddaten!$A617="Geprüft",Programme_Grunddaten!W617&lt;&gt;""),IF(Programme_Grunddaten!W617="Ja",1,0),"")</f>
        <v/>
      </c>
      <c r="P612" s="1" t="str">
        <f>IF(AND(Programme_Grunddaten!$A617="Geprüft",Programme_Grunddaten!X617&lt;&gt;""),IF(Programme_Grunddaten!X617="Ja",1,0),"")</f>
        <v/>
      </c>
      <c r="Q612" s="1" t="str">
        <f>IF(AND(Programme_Grunddaten!$A617="Geprüft",Programme_Grunddaten!Y617&lt;&gt;""),IF(Programme_Grunddaten!Y617="Ja",1,0),"")</f>
        <v/>
      </c>
      <c r="R612" s="1" t="str">
        <f>IF(AND(Programme_Grunddaten!$A617="Geprüft",Programme_Grunddaten!Z617&lt;&gt;""),IF(Programme_Grunddaten!Z617="Ja",1,0),"")</f>
        <v/>
      </c>
      <c r="S612" s="1" t="str">
        <f>IF(AND(Programme_Grunddaten!$A617="Geprüft",Programme_Grunddaten!AA617&lt;&gt;""),IF(Programme_Grunddaten!AA617="monolithisch",1,0),"")</f>
        <v/>
      </c>
      <c r="T612" s="1" t="str">
        <f>IF(AND(Programme_Grunddaten!$A617="Geprüft",Programme_Grunddaten!AB617&lt;&gt;""),IF(Programme_Grunddaten!AB617="Ja",1,0),"")</f>
        <v/>
      </c>
      <c r="U612" s="1" t="str">
        <f>IF(AND(Programme_Grunddaten!$A617="Geprüft",Programme_Grunddaten!AC617&lt;&gt;""),IF(Programme_Grunddaten!AC617="Ja",1,0),"")</f>
        <v/>
      </c>
      <c r="V612" s="1" t="str">
        <f>IF(AND(Programme_Grunddaten!$A617="Geprüft",Programme_Grunddaten!AD617&lt;&gt;""),IF(Programme_Grunddaten!AD617="Ja",1,0),"")</f>
        <v/>
      </c>
      <c r="W612" s="1" t="str">
        <f>IF(AND(Programme_Grunddaten!$A617="Geprüft",Programme_Grunddaten!AE617&lt;&gt;""),IF(Programme_Grunddaten!AE617="Ja",1,0),"")</f>
        <v/>
      </c>
      <c r="X612" s="1" t="str">
        <f>IF(AND(Programme_Grunddaten!$A617="Geprüft",Programme_Grunddaten!AF617&lt;&gt;""),IF(Programme_Grunddaten!AF617="Ja",1,0),"")</f>
        <v/>
      </c>
      <c r="Y612" s="1" t="str">
        <f>IF(AND(Programme_Grunddaten!$A617="Geprüft",Programme_Grunddaten!AG617&lt;&gt;""),IF(Programme_Grunddaten!AG617="Ja",1,0),"")</f>
        <v/>
      </c>
      <c r="Z612" s="1" t="str">
        <f>IF(AND(Programme_Grunddaten!$A617="Geprüft",Programme_Grunddaten!AH617&lt;&gt;""),IF(Programme_Grunddaten!AH617="Ja",1,0),"")</f>
        <v/>
      </c>
      <c r="AA612" s="1" t="str">
        <f>IF(AND(Programme_Grunddaten!$A617="Geprüft",Programme_Grunddaten!AI617&lt;&gt;""),IF(Programme_Grunddaten!AI617="Ja",1,0),"")</f>
        <v/>
      </c>
      <c r="AB612" s="1" t="str">
        <f>IF(AND(Programme_Grunddaten!$A617="Geprüft",Programme_Grunddaten!AJ617&lt;&gt;""),IF(Programme_Grunddaten!AJ617="individuell programmierbar",1,0),"")</f>
        <v/>
      </c>
      <c r="AC612" s="1" t="str">
        <f>IF(AND(Programme_Grunddaten!$A617="Geprüft",Programme_Grunddaten!AK617&lt;&gt;""),IF(Programme_Grunddaten!AK617="Deutsch",0,IF(Programme_Grunddaten!AK617="Deutsch und Englisch",1,2)),"")</f>
        <v/>
      </c>
      <c r="AD612" s="1" t="str">
        <f>IF(AND(Programme_Grunddaten!$A617="Geprüft",Programme_Grunddaten!AL617&lt;&gt;""),IF(Programme_Grunddaten!AL617="Ja",1,0),"")</f>
        <v/>
      </c>
      <c r="AE612" s="1" t="str">
        <f>IF(AND(Programme_Grunddaten!$A617="Geprüft",Programme_Grunddaten!AM617&lt;&gt;""),IF(Programme_Grunddaten!AM617="Ja",1,0),"")</f>
        <v/>
      </c>
      <c r="AF612" s="1" t="str">
        <f>IF(AND(Programme_Grunddaten!$A617="Geprüft",Programme_Grunddaten!AN617&lt;&gt;""),IF(Programme_Grunddaten!AN617="Ja",1,0),"")</f>
        <v/>
      </c>
      <c r="AG612" s="1" t="str">
        <f>IF(AND(Programme_Grunddaten!$A617="Geprüft",Programme_Grunddaten!AO617&lt;&gt;""),IF(Programme_Grunddaten!AO617="Ja",1,0),"")</f>
        <v/>
      </c>
      <c r="AH612" s="1" t="str">
        <f>IF(AND(Programme_Grunddaten!$A617="Geprüft",Programme_Grunddaten!AP617&lt;&gt;""),IF(Programme_Grunddaten!AP617="Ja",1,0),"")</f>
        <v/>
      </c>
      <c r="AI612" s="1" t="str">
        <f>IF(AND(Programme_Grunddaten!$A617="Geprüft",Programme_Grunddaten!AQ617&lt;&gt;""),IF(Programme_Grunddaten!AQ617="Ja",1,0),"")</f>
        <v/>
      </c>
      <c r="AJ612" s="1" t="str">
        <f>IF(AND(Programme_Grunddaten!$A617="Geprüft",Programme_Grunddaten!AR617&lt;&gt;""),IF(Programme_Grunddaten!AR617="Ja",1,0),"")</f>
        <v/>
      </c>
      <c r="AK612" s="1" t="str">
        <f>IF(AND(Programme_Grunddaten!$A617="Geprüft",Programme_Grunddaten!AS617&lt;&gt;""),IF(Programme_Grunddaten!AS617="Ja",1,0),"")</f>
        <v/>
      </c>
      <c r="AL612" s="1" t="str">
        <f>IF(AND(Programme_Grunddaten!$A617="Geprüft",Programme_Grunddaten!AT617&lt;&gt;""),IF(Programme_Grunddaten!AT617="Ja",1,0),"")</f>
        <v/>
      </c>
      <c r="AM612" s="1" t="str">
        <f>IF(AND(Programme_Grunddaten!$A617="Geprüft",Programme_Grunddaten!AU617&lt;&gt;""),IF(Programme_Grunddaten!AU617="Ja",1,0),"")</f>
        <v/>
      </c>
      <c r="AN612" s="1" t="str">
        <f>IF(AND(Programme_Grunddaten!$A617="Geprüft",Programme_Grunddaten!AV617&lt;&gt;""),IF(Programme_Grunddaten!AV617="Ja",1,0),"")</f>
        <v/>
      </c>
    </row>
    <row r="613" spans="1:40" x14ac:dyDescent="0.3">
      <c r="A613" s="1" t="str">
        <f>IF(AND(Programme_Grunddaten!A618="Geprüft",Programme_Grunddaten!B618&lt;&gt;""),Programme_Grunddaten!B618,"")</f>
        <v/>
      </c>
      <c r="B613" s="1" t="str">
        <f>IF(AND(Programme_Grunddaten!$A618="Geprüft",Programme_Grunddaten!I618&lt;&gt;""),IF(Programme_Grunddaten!I618="Ja",1,0),"")</f>
        <v/>
      </c>
      <c r="C613" s="1" t="str">
        <f>IF(AND(Programme_Grunddaten!$A618="Geprüft",Programme_Grunddaten!J618&lt;&gt;""),IF(Programme_Grunddaten!J618="Ja",1,0),"")</f>
        <v/>
      </c>
      <c r="D613" s="1" t="str">
        <f>IF(AND(Programme_Grunddaten!$A618="Geprüft",Programme_Grunddaten!K618&lt;&gt;""),IF(Programme_Grunddaten!K618="Ja",1,0),"")</f>
        <v/>
      </c>
      <c r="E613" s="1" t="str">
        <f>IF(AND(Programme_Grunddaten!$A618="Geprüft",Programme_Grunddaten!L618&lt;&gt;""),IF(Programme_Grunddaten!L618="Abo / befristete Lizenz",1,0),"")</f>
        <v/>
      </c>
      <c r="F613" s="1" t="str">
        <f>IF(AND(Programme_Grunddaten!$A618="Geprüft",Programme_Grunddaten!M618&lt;&gt;""),IF(Programme_Grunddaten!M618="Ja",1,0),"")</f>
        <v/>
      </c>
      <c r="G613" s="1" t="str">
        <f>IF(AND(Programme_Grunddaten!$A618="Geprüft",Programme_Grunddaten!N618&lt;&gt;""),IF(Programme_Grunddaten!N618="Ja",1,0),"")</f>
        <v/>
      </c>
      <c r="H613" s="1" t="str">
        <f>IF(AND(Programme_Grunddaten!$A618="Geprüft",Programme_Grunddaten!O618&lt;&gt;""),IF(Programme_Grunddaten!O618="Deutschland",0,IF(Programme_Grunddaten!O618="EU",1,2)),"")</f>
        <v/>
      </c>
      <c r="I613" s="1" t="str">
        <f>IF(AND(Programme_Grunddaten!$A618="Geprüft",Programme_Grunddaten!P618&lt;&gt;""),IF(Programme_Grunddaten!P618="Ja",1,0),"")</f>
        <v/>
      </c>
      <c r="J613" s="1" t="str">
        <f>IF(AND(Programme_Grunddaten!$A618="Geprüft",Programme_Grunddaten!Q618&lt;&gt;""),IF(Programme_Grunddaten!Q618="geschlossenes System",1,0),"")</f>
        <v/>
      </c>
      <c r="K613" s="1" t="str">
        <f>IF(AND(Programme_Grunddaten!$A618="Geprüft",Programme_Grunddaten!R618&lt;&gt;""),IF(Programme_Grunddaten!R618="Ja",1,0),"")</f>
        <v/>
      </c>
      <c r="L613" s="1" t="str">
        <f>IF(AND(Programme_Grunddaten!$A618="Geprüft",Programme_Grunddaten!T618&lt;&gt;""),IF(Programme_Grunddaten!T618="Ja",1,0),"")</f>
        <v/>
      </c>
      <c r="M613" s="1" t="str">
        <f>IF(AND(Programme_Grunddaten!$A618="Geprüft",Programme_Grunddaten!U618&lt;&gt;""),IF(Programme_Grunddaten!U618="Ja",1,0),"")</f>
        <v/>
      </c>
      <c r="N613" s="1" t="str">
        <f>IF(AND(Programme_Grunddaten!$A618="Geprüft",Programme_Grunddaten!V618&lt;&gt;""),IF(Programme_Grunddaten!V618="Ja",1,0),"")</f>
        <v/>
      </c>
      <c r="O613" s="1" t="str">
        <f>IF(AND(Programme_Grunddaten!$A618="Geprüft",Programme_Grunddaten!W618&lt;&gt;""),IF(Programme_Grunddaten!W618="Ja",1,0),"")</f>
        <v/>
      </c>
      <c r="P613" s="1" t="str">
        <f>IF(AND(Programme_Grunddaten!$A618="Geprüft",Programme_Grunddaten!X618&lt;&gt;""),IF(Programme_Grunddaten!X618="Ja",1,0),"")</f>
        <v/>
      </c>
      <c r="Q613" s="1" t="str">
        <f>IF(AND(Programme_Grunddaten!$A618="Geprüft",Programme_Grunddaten!Y618&lt;&gt;""),IF(Programme_Grunddaten!Y618="Ja",1,0),"")</f>
        <v/>
      </c>
      <c r="R613" s="1" t="str">
        <f>IF(AND(Programme_Grunddaten!$A618="Geprüft",Programme_Grunddaten!Z618&lt;&gt;""),IF(Programme_Grunddaten!Z618="Ja",1,0),"")</f>
        <v/>
      </c>
      <c r="S613" s="1" t="str">
        <f>IF(AND(Programme_Grunddaten!$A618="Geprüft",Programme_Grunddaten!AA618&lt;&gt;""),IF(Programme_Grunddaten!AA618="monolithisch",1,0),"")</f>
        <v/>
      </c>
      <c r="T613" s="1" t="str">
        <f>IF(AND(Programme_Grunddaten!$A618="Geprüft",Programme_Grunddaten!AB618&lt;&gt;""),IF(Programme_Grunddaten!AB618="Ja",1,0),"")</f>
        <v/>
      </c>
      <c r="U613" s="1" t="str">
        <f>IF(AND(Programme_Grunddaten!$A618="Geprüft",Programme_Grunddaten!AC618&lt;&gt;""),IF(Programme_Grunddaten!AC618="Ja",1,0),"")</f>
        <v/>
      </c>
      <c r="V613" s="1" t="str">
        <f>IF(AND(Programme_Grunddaten!$A618="Geprüft",Programme_Grunddaten!AD618&lt;&gt;""),IF(Programme_Grunddaten!AD618="Ja",1,0),"")</f>
        <v/>
      </c>
      <c r="W613" s="1" t="str">
        <f>IF(AND(Programme_Grunddaten!$A618="Geprüft",Programme_Grunddaten!AE618&lt;&gt;""),IF(Programme_Grunddaten!AE618="Ja",1,0),"")</f>
        <v/>
      </c>
      <c r="X613" s="1" t="str">
        <f>IF(AND(Programme_Grunddaten!$A618="Geprüft",Programme_Grunddaten!AF618&lt;&gt;""),IF(Programme_Grunddaten!AF618="Ja",1,0),"")</f>
        <v/>
      </c>
      <c r="Y613" s="1" t="str">
        <f>IF(AND(Programme_Grunddaten!$A618="Geprüft",Programme_Grunddaten!AG618&lt;&gt;""),IF(Programme_Grunddaten!AG618="Ja",1,0),"")</f>
        <v/>
      </c>
      <c r="Z613" s="1" t="str">
        <f>IF(AND(Programme_Grunddaten!$A618="Geprüft",Programme_Grunddaten!AH618&lt;&gt;""),IF(Programme_Grunddaten!AH618="Ja",1,0),"")</f>
        <v/>
      </c>
      <c r="AA613" s="1" t="str">
        <f>IF(AND(Programme_Grunddaten!$A618="Geprüft",Programme_Grunddaten!AI618&lt;&gt;""),IF(Programme_Grunddaten!AI618="Ja",1,0),"")</f>
        <v/>
      </c>
      <c r="AB613" s="1" t="str">
        <f>IF(AND(Programme_Grunddaten!$A618="Geprüft",Programme_Grunddaten!AJ618&lt;&gt;""),IF(Programme_Grunddaten!AJ618="individuell programmierbar",1,0),"")</f>
        <v/>
      </c>
      <c r="AC613" s="1" t="str">
        <f>IF(AND(Programme_Grunddaten!$A618="Geprüft",Programme_Grunddaten!AK618&lt;&gt;""),IF(Programme_Grunddaten!AK618="Deutsch",0,IF(Programme_Grunddaten!AK618="Deutsch und Englisch",1,2)),"")</f>
        <v/>
      </c>
      <c r="AD613" s="1" t="str">
        <f>IF(AND(Programme_Grunddaten!$A618="Geprüft",Programme_Grunddaten!AL618&lt;&gt;""),IF(Programme_Grunddaten!AL618="Ja",1,0),"")</f>
        <v/>
      </c>
      <c r="AE613" s="1" t="str">
        <f>IF(AND(Programme_Grunddaten!$A618="Geprüft",Programme_Grunddaten!AM618&lt;&gt;""),IF(Programme_Grunddaten!AM618="Ja",1,0),"")</f>
        <v/>
      </c>
      <c r="AF613" s="1" t="str">
        <f>IF(AND(Programme_Grunddaten!$A618="Geprüft",Programme_Grunddaten!AN618&lt;&gt;""),IF(Programme_Grunddaten!AN618="Ja",1,0),"")</f>
        <v/>
      </c>
      <c r="AG613" s="1" t="str">
        <f>IF(AND(Programme_Grunddaten!$A618="Geprüft",Programme_Grunddaten!AO618&lt;&gt;""),IF(Programme_Grunddaten!AO618="Ja",1,0),"")</f>
        <v/>
      </c>
      <c r="AH613" s="1" t="str">
        <f>IF(AND(Programme_Grunddaten!$A618="Geprüft",Programme_Grunddaten!AP618&lt;&gt;""),IF(Programme_Grunddaten!AP618="Ja",1,0),"")</f>
        <v/>
      </c>
      <c r="AI613" s="1" t="str">
        <f>IF(AND(Programme_Grunddaten!$A618="Geprüft",Programme_Grunddaten!AQ618&lt;&gt;""),IF(Programme_Grunddaten!AQ618="Ja",1,0),"")</f>
        <v/>
      </c>
      <c r="AJ613" s="1" t="str">
        <f>IF(AND(Programme_Grunddaten!$A618="Geprüft",Programme_Grunddaten!AR618&lt;&gt;""),IF(Programme_Grunddaten!AR618="Ja",1,0),"")</f>
        <v/>
      </c>
      <c r="AK613" s="1" t="str">
        <f>IF(AND(Programme_Grunddaten!$A618="Geprüft",Programme_Grunddaten!AS618&lt;&gt;""),IF(Programme_Grunddaten!AS618="Ja",1,0),"")</f>
        <v/>
      </c>
      <c r="AL613" s="1" t="str">
        <f>IF(AND(Programme_Grunddaten!$A618="Geprüft",Programme_Grunddaten!AT618&lt;&gt;""),IF(Programme_Grunddaten!AT618="Ja",1,0),"")</f>
        <v/>
      </c>
      <c r="AM613" s="1" t="str">
        <f>IF(AND(Programme_Grunddaten!$A618="Geprüft",Programme_Grunddaten!AU618&lt;&gt;""),IF(Programme_Grunddaten!AU618="Ja",1,0),"")</f>
        <v/>
      </c>
      <c r="AN613" s="1" t="str">
        <f>IF(AND(Programme_Grunddaten!$A618="Geprüft",Programme_Grunddaten!AV618&lt;&gt;""),IF(Programme_Grunddaten!AV618="Ja",1,0),"")</f>
        <v/>
      </c>
    </row>
    <row r="614" spans="1:40" x14ac:dyDescent="0.3">
      <c r="A614" s="1" t="str">
        <f>IF(AND(Programme_Grunddaten!A619="Geprüft",Programme_Grunddaten!B619&lt;&gt;""),Programme_Grunddaten!B619,"")</f>
        <v/>
      </c>
      <c r="B614" s="1" t="str">
        <f>IF(AND(Programme_Grunddaten!$A619="Geprüft",Programme_Grunddaten!I619&lt;&gt;""),IF(Programme_Grunddaten!I619="Ja",1,0),"")</f>
        <v/>
      </c>
      <c r="C614" s="1" t="str">
        <f>IF(AND(Programme_Grunddaten!$A619="Geprüft",Programme_Grunddaten!J619&lt;&gt;""),IF(Programme_Grunddaten!J619="Ja",1,0),"")</f>
        <v/>
      </c>
      <c r="D614" s="1" t="str">
        <f>IF(AND(Programme_Grunddaten!$A619="Geprüft",Programme_Grunddaten!K619&lt;&gt;""),IF(Programme_Grunddaten!K619="Ja",1,0),"")</f>
        <v/>
      </c>
      <c r="E614" s="1" t="str">
        <f>IF(AND(Programme_Grunddaten!$A619="Geprüft",Programme_Grunddaten!L619&lt;&gt;""),IF(Programme_Grunddaten!L619="Abo / befristete Lizenz",1,0),"")</f>
        <v/>
      </c>
      <c r="F614" s="1" t="str">
        <f>IF(AND(Programme_Grunddaten!$A619="Geprüft",Programme_Grunddaten!M619&lt;&gt;""),IF(Programme_Grunddaten!M619="Ja",1,0),"")</f>
        <v/>
      </c>
      <c r="G614" s="1" t="str">
        <f>IF(AND(Programme_Grunddaten!$A619="Geprüft",Programme_Grunddaten!N619&lt;&gt;""),IF(Programme_Grunddaten!N619="Ja",1,0),"")</f>
        <v/>
      </c>
      <c r="H614" s="1" t="str">
        <f>IF(AND(Programme_Grunddaten!$A619="Geprüft",Programme_Grunddaten!O619&lt;&gt;""),IF(Programme_Grunddaten!O619="Deutschland",0,IF(Programme_Grunddaten!O619="EU",1,2)),"")</f>
        <v/>
      </c>
      <c r="I614" s="1" t="str">
        <f>IF(AND(Programme_Grunddaten!$A619="Geprüft",Programme_Grunddaten!P619&lt;&gt;""),IF(Programme_Grunddaten!P619="Ja",1,0),"")</f>
        <v/>
      </c>
      <c r="J614" s="1" t="str">
        <f>IF(AND(Programme_Grunddaten!$A619="Geprüft",Programme_Grunddaten!Q619&lt;&gt;""),IF(Programme_Grunddaten!Q619="geschlossenes System",1,0),"")</f>
        <v/>
      </c>
      <c r="K614" s="1" t="str">
        <f>IF(AND(Programme_Grunddaten!$A619="Geprüft",Programme_Grunddaten!R619&lt;&gt;""),IF(Programme_Grunddaten!R619="Ja",1,0),"")</f>
        <v/>
      </c>
      <c r="L614" s="1" t="str">
        <f>IF(AND(Programme_Grunddaten!$A619="Geprüft",Programme_Grunddaten!T619&lt;&gt;""),IF(Programme_Grunddaten!T619="Ja",1,0),"")</f>
        <v/>
      </c>
      <c r="M614" s="1" t="str">
        <f>IF(AND(Programme_Grunddaten!$A619="Geprüft",Programme_Grunddaten!U619&lt;&gt;""),IF(Programme_Grunddaten!U619="Ja",1,0),"")</f>
        <v/>
      </c>
      <c r="N614" s="1" t="str">
        <f>IF(AND(Programme_Grunddaten!$A619="Geprüft",Programme_Grunddaten!V619&lt;&gt;""),IF(Programme_Grunddaten!V619="Ja",1,0),"")</f>
        <v/>
      </c>
      <c r="O614" s="1" t="str">
        <f>IF(AND(Programme_Grunddaten!$A619="Geprüft",Programme_Grunddaten!W619&lt;&gt;""),IF(Programme_Grunddaten!W619="Ja",1,0),"")</f>
        <v/>
      </c>
      <c r="P614" s="1" t="str">
        <f>IF(AND(Programme_Grunddaten!$A619="Geprüft",Programme_Grunddaten!X619&lt;&gt;""),IF(Programme_Grunddaten!X619="Ja",1,0),"")</f>
        <v/>
      </c>
      <c r="Q614" s="1" t="str">
        <f>IF(AND(Programme_Grunddaten!$A619="Geprüft",Programme_Grunddaten!Y619&lt;&gt;""),IF(Programme_Grunddaten!Y619="Ja",1,0),"")</f>
        <v/>
      </c>
      <c r="R614" s="1" t="str">
        <f>IF(AND(Programme_Grunddaten!$A619="Geprüft",Programme_Grunddaten!Z619&lt;&gt;""),IF(Programme_Grunddaten!Z619="Ja",1,0),"")</f>
        <v/>
      </c>
      <c r="S614" s="1" t="str">
        <f>IF(AND(Programme_Grunddaten!$A619="Geprüft",Programme_Grunddaten!AA619&lt;&gt;""),IF(Programme_Grunddaten!AA619="monolithisch",1,0),"")</f>
        <v/>
      </c>
      <c r="T614" s="1" t="str">
        <f>IF(AND(Programme_Grunddaten!$A619="Geprüft",Programme_Grunddaten!AB619&lt;&gt;""),IF(Programme_Grunddaten!AB619="Ja",1,0),"")</f>
        <v/>
      </c>
      <c r="U614" s="1" t="str">
        <f>IF(AND(Programme_Grunddaten!$A619="Geprüft",Programme_Grunddaten!AC619&lt;&gt;""),IF(Programme_Grunddaten!AC619="Ja",1,0),"")</f>
        <v/>
      </c>
      <c r="V614" s="1" t="str">
        <f>IF(AND(Programme_Grunddaten!$A619="Geprüft",Programme_Grunddaten!AD619&lt;&gt;""),IF(Programme_Grunddaten!AD619="Ja",1,0),"")</f>
        <v/>
      </c>
      <c r="W614" s="1" t="str">
        <f>IF(AND(Programme_Grunddaten!$A619="Geprüft",Programme_Grunddaten!AE619&lt;&gt;""),IF(Programme_Grunddaten!AE619="Ja",1,0),"")</f>
        <v/>
      </c>
      <c r="X614" s="1" t="str">
        <f>IF(AND(Programme_Grunddaten!$A619="Geprüft",Programme_Grunddaten!AF619&lt;&gt;""),IF(Programme_Grunddaten!AF619="Ja",1,0),"")</f>
        <v/>
      </c>
      <c r="Y614" s="1" t="str">
        <f>IF(AND(Programme_Grunddaten!$A619="Geprüft",Programme_Grunddaten!AG619&lt;&gt;""),IF(Programme_Grunddaten!AG619="Ja",1,0),"")</f>
        <v/>
      </c>
      <c r="Z614" s="1" t="str">
        <f>IF(AND(Programme_Grunddaten!$A619="Geprüft",Programme_Grunddaten!AH619&lt;&gt;""),IF(Programme_Grunddaten!AH619="Ja",1,0),"")</f>
        <v/>
      </c>
      <c r="AA614" s="1" t="str">
        <f>IF(AND(Programme_Grunddaten!$A619="Geprüft",Programme_Grunddaten!AI619&lt;&gt;""),IF(Programme_Grunddaten!AI619="Ja",1,0),"")</f>
        <v/>
      </c>
      <c r="AB614" s="1" t="str">
        <f>IF(AND(Programme_Grunddaten!$A619="Geprüft",Programme_Grunddaten!AJ619&lt;&gt;""),IF(Programme_Grunddaten!AJ619="individuell programmierbar",1,0),"")</f>
        <v/>
      </c>
      <c r="AC614" s="1" t="str">
        <f>IF(AND(Programme_Grunddaten!$A619="Geprüft",Programme_Grunddaten!AK619&lt;&gt;""),IF(Programme_Grunddaten!AK619="Deutsch",0,IF(Programme_Grunddaten!AK619="Deutsch und Englisch",1,2)),"")</f>
        <v/>
      </c>
      <c r="AD614" s="1" t="str">
        <f>IF(AND(Programme_Grunddaten!$A619="Geprüft",Programme_Grunddaten!AL619&lt;&gt;""),IF(Programme_Grunddaten!AL619="Ja",1,0),"")</f>
        <v/>
      </c>
      <c r="AE614" s="1" t="str">
        <f>IF(AND(Programme_Grunddaten!$A619="Geprüft",Programme_Grunddaten!AM619&lt;&gt;""),IF(Programme_Grunddaten!AM619="Ja",1,0),"")</f>
        <v/>
      </c>
      <c r="AF614" s="1" t="str">
        <f>IF(AND(Programme_Grunddaten!$A619="Geprüft",Programme_Grunddaten!AN619&lt;&gt;""),IF(Programme_Grunddaten!AN619="Ja",1,0),"")</f>
        <v/>
      </c>
      <c r="AG614" s="1" t="str">
        <f>IF(AND(Programme_Grunddaten!$A619="Geprüft",Programme_Grunddaten!AO619&lt;&gt;""),IF(Programme_Grunddaten!AO619="Ja",1,0),"")</f>
        <v/>
      </c>
      <c r="AH614" s="1" t="str">
        <f>IF(AND(Programme_Grunddaten!$A619="Geprüft",Programme_Grunddaten!AP619&lt;&gt;""),IF(Programme_Grunddaten!AP619="Ja",1,0),"")</f>
        <v/>
      </c>
      <c r="AI614" s="1" t="str">
        <f>IF(AND(Programme_Grunddaten!$A619="Geprüft",Programme_Grunddaten!AQ619&lt;&gt;""),IF(Programme_Grunddaten!AQ619="Ja",1,0),"")</f>
        <v/>
      </c>
      <c r="AJ614" s="1" t="str">
        <f>IF(AND(Programme_Grunddaten!$A619="Geprüft",Programme_Grunddaten!AR619&lt;&gt;""),IF(Programme_Grunddaten!AR619="Ja",1,0),"")</f>
        <v/>
      </c>
      <c r="AK614" s="1" t="str">
        <f>IF(AND(Programme_Grunddaten!$A619="Geprüft",Programme_Grunddaten!AS619&lt;&gt;""),IF(Programme_Grunddaten!AS619="Ja",1,0),"")</f>
        <v/>
      </c>
      <c r="AL614" s="1" t="str">
        <f>IF(AND(Programme_Grunddaten!$A619="Geprüft",Programme_Grunddaten!AT619&lt;&gt;""),IF(Programme_Grunddaten!AT619="Ja",1,0),"")</f>
        <v/>
      </c>
      <c r="AM614" s="1" t="str">
        <f>IF(AND(Programme_Grunddaten!$A619="Geprüft",Programme_Grunddaten!AU619&lt;&gt;""),IF(Programme_Grunddaten!AU619="Ja",1,0),"")</f>
        <v/>
      </c>
      <c r="AN614" s="1" t="str">
        <f>IF(AND(Programme_Grunddaten!$A619="Geprüft",Programme_Grunddaten!AV619&lt;&gt;""),IF(Programme_Grunddaten!AV619="Ja",1,0),"")</f>
        <v/>
      </c>
    </row>
    <row r="615" spans="1:40" x14ac:dyDescent="0.3">
      <c r="A615" s="1" t="str">
        <f>IF(AND(Programme_Grunddaten!A620="Geprüft",Programme_Grunddaten!B620&lt;&gt;""),Programme_Grunddaten!B620,"")</f>
        <v/>
      </c>
      <c r="B615" s="1" t="str">
        <f>IF(AND(Programme_Grunddaten!$A620="Geprüft",Programme_Grunddaten!I620&lt;&gt;""),IF(Programme_Grunddaten!I620="Ja",1,0),"")</f>
        <v/>
      </c>
      <c r="C615" s="1" t="str">
        <f>IF(AND(Programme_Grunddaten!$A620="Geprüft",Programme_Grunddaten!J620&lt;&gt;""),IF(Programme_Grunddaten!J620="Ja",1,0),"")</f>
        <v/>
      </c>
      <c r="D615" s="1" t="str">
        <f>IF(AND(Programme_Grunddaten!$A620="Geprüft",Programme_Grunddaten!K620&lt;&gt;""),IF(Programme_Grunddaten!K620="Ja",1,0),"")</f>
        <v/>
      </c>
      <c r="E615" s="1" t="str">
        <f>IF(AND(Programme_Grunddaten!$A620="Geprüft",Programme_Grunddaten!L620&lt;&gt;""),IF(Programme_Grunddaten!L620="Abo / befristete Lizenz",1,0),"")</f>
        <v/>
      </c>
      <c r="F615" s="1" t="str">
        <f>IF(AND(Programme_Grunddaten!$A620="Geprüft",Programme_Grunddaten!M620&lt;&gt;""),IF(Programme_Grunddaten!M620="Ja",1,0),"")</f>
        <v/>
      </c>
      <c r="G615" s="1" t="str">
        <f>IF(AND(Programme_Grunddaten!$A620="Geprüft",Programme_Grunddaten!N620&lt;&gt;""),IF(Programme_Grunddaten!N620="Ja",1,0),"")</f>
        <v/>
      </c>
      <c r="H615" s="1" t="str">
        <f>IF(AND(Programme_Grunddaten!$A620="Geprüft",Programme_Grunddaten!O620&lt;&gt;""),IF(Programme_Grunddaten!O620="Deutschland",0,IF(Programme_Grunddaten!O620="EU",1,2)),"")</f>
        <v/>
      </c>
      <c r="I615" s="1" t="str">
        <f>IF(AND(Programme_Grunddaten!$A620="Geprüft",Programme_Grunddaten!P620&lt;&gt;""),IF(Programme_Grunddaten!P620="Ja",1,0),"")</f>
        <v/>
      </c>
      <c r="J615" s="1" t="str">
        <f>IF(AND(Programme_Grunddaten!$A620="Geprüft",Programme_Grunddaten!Q620&lt;&gt;""),IF(Programme_Grunddaten!Q620="geschlossenes System",1,0),"")</f>
        <v/>
      </c>
      <c r="K615" s="1" t="str">
        <f>IF(AND(Programme_Grunddaten!$A620="Geprüft",Programme_Grunddaten!R620&lt;&gt;""),IF(Programme_Grunddaten!R620="Ja",1,0),"")</f>
        <v/>
      </c>
      <c r="L615" s="1" t="str">
        <f>IF(AND(Programme_Grunddaten!$A620="Geprüft",Programme_Grunddaten!T620&lt;&gt;""),IF(Programme_Grunddaten!T620="Ja",1,0),"")</f>
        <v/>
      </c>
      <c r="M615" s="1" t="str">
        <f>IF(AND(Programme_Grunddaten!$A620="Geprüft",Programme_Grunddaten!U620&lt;&gt;""),IF(Programme_Grunddaten!U620="Ja",1,0),"")</f>
        <v/>
      </c>
      <c r="N615" s="1" t="str">
        <f>IF(AND(Programme_Grunddaten!$A620="Geprüft",Programme_Grunddaten!V620&lt;&gt;""),IF(Programme_Grunddaten!V620="Ja",1,0),"")</f>
        <v/>
      </c>
      <c r="O615" s="1" t="str">
        <f>IF(AND(Programme_Grunddaten!$A620="Geprüft",Programme_Grunddaten!W620&lt;&gt;""),IF(Programme_Grunddaten!W620="Ja",1,0),"")</f>
        <v/>
      </c>
      <c r="P615" s="1" t="str">
        <f>IF(AND(Programme_Grunddaten!$A620="Geprüft",Programme_Grunddaten!X620&lt;&gt;""),IF(Programme_Grunddaten!X620="Ja",1,0),"")</f>
        <v/>
      </c>
      <c r="Q615" s="1" t="str">
        <f>IF(AND(Programme_Grunddaten!$A620="Geprüft",Programme_Grunddaten!Y620&lt;&gt;""),IF(Programme_Grunddaten!Y620="Ja",1,0),"")</f>
        <v/>
      </c>
      <c r="R615" s="1" t="str">
        <f>IF(AND(Programme_Grunddaten!$A620="Geprüft",Programme_Grunddaten!Z620&lt;&gt;""),IF(Programme_Grunddaten!Z620="Ja",1,0),"")</f>
        <v/>
      </c>
      <c r="S615" s="1" t="str">
        <f>IF(AND(Programme_Grunddaten!$A620="Geprüft",Programme_Grunddaten!AA620&lt;&gt;""),IF(Programme_Grunddaten!AA620="monolithisch",1,0),"")</f>
        <v/>
      </c>
      <c r="T615" s="1" t="str">
        <f>IF(AND(Programme_Grunddaten!$A620="Geprüft",Programme_Grunddaten!AB620&lt;&gt;""),IF(Programme_Grunddaten!AB620="Ja",1,0),"")</f>
        <v/>
      </c>
      <c r="U615" s="1" t="str">
        <f>IF(AND(Programme_Grunddaten!$A620="Geprüft",Programme_Grunddaten!AC620&lt;&gt;""),IF(Programme_Grunddaten!AC620="Ja",1,0),"")</f>
        <v/>
      </c>
      <c r="V615" s="1" t="str">
        <f>IF(AND(Programme_Grunddaten!$A620="Geprüft",Programme_Grunddaten!AD620&lt;&gt;""),IF(Programme_Grunddaten!AD620="Ja",1,0),"")</f>
        <v/>
      </c>
      <c r="W615" s="1" t="str">
        <f>IF(AND(Programme_Grunddaten!$A620="Geprüft",Programme_Grunddaten!AE620&lt;&gt;""),IF(Programme_Grunddaten!AE620="Ja",1,0),"")</f>
        <v/>
      </c>
      <c r="X615" s="1" t="str">
        <f>IF(AND(Programme_Grunddaten!$A620="Geprüft",Programme_Grunddaten!AF620&lt;&gt;""),IF(Programme_Grunddaten!AF620="Ja",1,0),"")</f>
        <v/>
      </c>
      <c r="Y615" s="1" t="str">
        <f>IF(AND(Programme_Grunddaten!$A620="Geprüft",Programme_Grunddaten!AG620&lt;&gt;""),IF(Programme_Grunddaten!AG620="Ja",1,0),"")</f>
        <v/>
      </c>
      <c r="Z615" s="1" t="str">
        <f>IF(AND(Programme_Grunddaten!$A620="Geprüft",Programme_Grunddaten!AH620&lt;&gt;""),IF(Programme_Grunddaten!AH620="Ja",1,0),"")</f>
        <v/>
      </c>
      <c r="AA615" s="1" t="str">
        <f>IF(AND(Programme_Grunddaten!$A620="Geprüft",Programme_Grunddaten!AI620&lt;&gt;""),IF(Programme_Grunddaten!AI620="Ja",1,0),"")</f>
        <v/>
      </c>
      <c r="AB615" s="1" t="str">
        <f>IF(AND(Programme_Grunddaten!$A620="Geprüft",Programme_Grunddaten!AJ620&lt;&gt;""),IF(Programme_Grunddaten!AJ620="individuell programmierbar",1,0),"")</f>
        <v/>
      </c>
      <c r="AC615" s="1" t="str">
        <f>IF(AND(Programme_Grunddaten!$A620="Geprüft",Programme_Grunddaten!AK620&lt;&gt;""),IF(Programme_Grunddaten!AK620="Deutsch",0,IF(Programme_Grunddaten!AK620="Deutsch und Englisch",1,2)),"")</f>
        <v/>
      </c>
      <c r="AD615" s="1" t="str">
        <f>IF(AND(Programme_Grunddaten!$A620="Geprüft",Programme_Grunddaten!AL620&lt;&gt;""),IF(Programme_Grunddaten!AL620="Ja",1,0),"")</f>
        <v/>
      </c>
      <c r="AE615" s="1" t="str">
        <f>IF(AND(Programme_Grunddaten!$A620="Geprüft",Programme_Grunddaten!AM620&lt;&gt;""),IF(Programme_Grunddaten!AM620="Ja",1,0),"")</f>
        <v/>
      </c>
      <c r="AF615" s="1" t="str">
        <f>IF(AND(Programme_Grunddaten!$A620="Geprüft",Programme_Grunddaten!AN620&lt;&gt;""),IF(Programme_Grunddaten!AN620="Ja",1,0),"")</f>
        <v/>
      </c>
      <c r="AG615" s="1" t="str">
        <f>IF(AND(Programme_Grunddaten!$A620="Geprüft",Programme_Grunddaten!AO620&lt;&gt;""),IF(Programme_Grunddaten!AO620="Ja",1,0),"")</f>
        <v/>
      </c>
      <c r="AH615" s="1" t="str">
        <f>IF(AND(Programme_Grunddaten!$A620="Geprüft",Programme_Grunddaten!AP620&lt;&gt;""),IF(Programme_Grunddaten!AP620="Ja",1,0),"")</f>
        <v/>
      </c>
      <c r="AI615" s="1" t="str">
        <f>IF(AND(Programme_Grunddaten!$A620="Geprüft",Programme_Grunddaten!AQ620&lt;&gt;""),IF(Programme_Grunddaten!AQ620="Ja",1,0),"")</f>
        <v/>
      </c>
      <c r="AJ615" s="1" t="str">
        <f>IF(AND(Programme_Grunddaten!$A620="Geprüft",Programme_Grunddaten!AR620&lt;&gt;""),IF(Programme_Grunddaten!AR620="Ja",1,0),"")</f>
        <v/>
      </c>
      <c r="AK615" s="1" t="str">
        <f>IF(AND(Programme_Grunddaten!$A620="Geprüft",Programme_Grunddaten!AS620&lt;&gt;""),IF(Programme_Grunddaten!AS620="Ja",1,0),"")</f>
        <v/>
      </c>
      <c r="AL615" s="1" t="str">
        <f>IF(AND(Programme_Grunddaten!$A620="Geprüft",Programme_Grunddaten!AT620&lt;&gt;""),IF(Programme_Grunddaten!AT620="Ja",1,0),"")</f>
        <v/>
      </c>
      <c r="AM615" s="1" t="str">
        <f>IF(AND(Programme_Grunddaten!$A620="Geprüft",Programme_Grunddaten!AU620&lt;&gt;""),IF(Programme_Grunddaten!AU620="Ja",1,0),"")</f>
        <v/>
      </c>
      <c r="AN615" s="1" t="str">
        <f>IF(AND(Programme_Grunddaten!$A620="Geprüft",Programme_Grunddaten!AV620&lt;&gt;""),IF(Programme_Grunddaten!AV620="Ja",1,0),"")</f>
        <v/>
      </c>
    </row>
    <row r="616" spans="1:40" x14ac:dyDescent="0.3">
      <c r="A616" s="1" t="str">
        <f>IF(AND(Programme_Grunddaten!A621="Geprüft",Programme_Grunddaten!B621&lt;&gt;""),Programme_Grunddaten!B621,"")</f>
        <v/>
      </c>
      <c r="B616" s="1" t="str">
        <f>IF(AND(Programme_Grunddaten!$A621="Geprüft",Programme_Grunddaten!I621&lt;&gt;""),IF(Programme_Grunddaten!I621="Ja",1,0),"")</f>
        <v/>
      </c>
      <c r="C616" s="1" t="str">
        <f>IF(AND(Programme_Grunddaten!$A621="Geprüft",Programme_Grunddaten!J621&lt;&gt;""),IF(Programme_Grunddaten!J621="Ja",1,0),"")</f>
        <v/>
      </c>
      <c r="D616" s="1" t="str">
        <f>IF(AND(Programme_Grunddaten!$A621="Geprüft",Programme_Grunddaten!K621&lt;&gt;""),IF(Programme_Grunddaten!K621="Ja",1,0),"")</f>
        <v/>
      </c>
      <c r="E616" s="1" t="str">
        <f>IF(AND(Programme_Grunddaten!$A621="Geprüft",Programme_Grunddaten!L621&lt;&gt;""),IF(Programme_Grunddaten!L621="Abo / befristete Lizenz",1,0),"")</f>
        <v/>
      </c>
      <c r="F616" s="1" t="str">
        <f>IF(AND(Programme_Grunddaten!$A621="Geprüft",Programme_Grunddaten!M621&lt;&gt;""),IF(Programme_Grunddaten!M621="Ja",1,0),"")</f>
        <v/>
      </c>
      <c r="G616" s="1" t="str">
        <f>IF(AND(Programme_Grunddaten!$A621="Geprüft",Programme_Grunddaten!N621&lt;&gt;""),IF(Programme_Grunddaten!N621="Ja",1,0),"")</f>
        <v/>
      </c>
      <c r="H616" s="1" t="str">
        <f>IF(AND(Programme_Grunddaten!$A621="Geprüft",Programme_Grunddaten!O621&lt;&gt;""),IF(Programme_Grunddaten!O621="Deutschland",0,IF(Programme_Grunddaten!O621="EU",1,2)),"")</f>
        <v/>
      </c>
      <c r="I616" s="1" t="str">
        <f>IF(AND(Programme_Grunddaten!$A621="Geprüft",Programme_Grunddaten!P621&lt;&gt;""),IF(Programme_Grunddaten!P621="Ja",1,0),"")</f>
        <v/>
      </c>
      <c r="J616" s="1" t="str">
        <f>IF(AND(Programme_Grunddaten!$A621="Geprüft",Programme_Grunddaten!Q621&lt;&gt;""),IF(Programme_Grunddaten!Q621="geschlossenes System",1,0),"")</f>
        <v/>
      </c>
      <c r="K616" s="1" t="str">
        <f>IF(AND(Programme_Grunddaten!$A621="Geprüft",Programme_Grunddaten!R621&lt;&gt;""),IF(Programme_Grunddaten!R621="Ja",1,0),"")</f>
        <v/>
      </c>
      <c r="L616" s="1" t="str">
        <f>IF(AND(Programme_Grunddaten!$A621="Geprüft",Programme_Grunddaten!T621&lt;&gt;""),IF(Programme_Grunddaten!T621="Ja",1,0),"")</f>
        <v/>
      </c>
      <c r="M616" s="1" t="str">
        <f>IF(AND(Programme_Grunddaten!$A621="Geprüft",Programme_Grunddaten!U621&lt;&gt;""),IF(Programme_Grunddaten!U621="Ja",1,0),"")</f>
        <v/>
      </c>
      <c r="N616" s="1" t="str">
        <f>IF(AND(Programme_Grunddaten!$A621="Geprüft",Programme_Grunddaten!V621&lt;&gt;""),IF(Programme_Grunddaten!V621="Ja",1,0),"")</f>
        <v/>
      </c>
      <c r="O616" s="1" t="str">
        <f>IF(AND(Programme_Grunddaten!$A621="Geprüft",Programme_Grunddaten!W621&lt;&gt;""),IF(Programme_Grunddaten!W621="Ja",1,0),"")</f>
        <v/>
      </c>
      <c r="P616" s="1" t="str">
        <f>IF(AND(Programme_Grunddaten!$A621="Geprüft",Programme_Grunddaten!X621&lt;&gt;""),IF(Programme_Grunddaten!X621="Ja",1,0),"")</f>
        <v/>
      </c>
      <c r="Q616" s="1" t="str">
        <f>IF(AND(Programme_Grunddaten!$A621="Geprüft",Programme_Grunddaten!Y621&lt;&gt;""),IF(Programme_Grunddaten!Y621="Ja",1,0),"")</f>
        <v/>
      </c>
      <c r="R616" s="1" t="str">
        <f>IF(AND(Programme_Grunddaten!$A621="Geprüft",Programme_Grunddaten!Z621&lt;&gt;""),IF(Programme_Grunddaten!Z621="Ja",1,0),"")</f>
        <v/>
      </c>
      <c r="S616" s="1" t="str">
        <f>IF(AND(Programme_Grunddaten!$A621="Geprüft",Programme_Grunddaten!AA621&lt;&gt;""),IF(Programme_Grunddaten!AA621="monolithisch",1,0),"")</f>
        <v/>
      </c>
      <c r="T616" s="1" t="str">
        <f>IF(AND(Programme_Grunddaten!$A621="Geprüft",Programme_Grunddaten!AB621&lt;&gt;""),IF(Programme_Grunddaten!AB621="Ja",1,0),"")</f>
        <v/>
      </c>
      <c r="U616" s="1" t="str">
        <f>IF(AND(Programme_Grunddaten!$A621="Geprüft",Programme_Grunddaten!AC621&lt;&gt;""),IF(Programme_Grunddaten!AC621="Ja",1,0),"")</f>
        <v/>
      </c>
      <c r="V616" s="1" t="str">
        <f>IF(AND(Programme_Grunddaten!$A621="Geprüft",Programme_Grunddaten!AD621&lt;&gt;""),IF(Programme_Grunddaten!AD621="Ja",1,0),"")</f>
        <v/>
      </c>
      <c r="W616" s="1" t="str">
        <f>IF(AND(Programme_Grunddaten!$A621="Geprüft",Programme_Grunddaten!AE621&lt;&gt;""),IF(Programme_Grunddaten!AE621="Ja",1,0),"")</f>
        <v/>
      </c>
      <c r="X616" s="1" t="str">
        <f>IF(AND(Programme_Grunddaten!$A621="Geprüft",Programme_Grunddaten!AF621&lt;&gt;""),IF(Programme_Grunddaten!AF621="Ja",1,0),"")</f>
        <v/>
      </c>
      <c r="Y616" s="1" t="str">
        <f>IF(AND(Programme_Grunddaten!$A621="Geprüft",Programme_Grunddaten!AG621&lt;&gt;""),IF(Programme_Grunddaten!AG621="Ja",1,0),"")</f>
        <v/>
      </c>
      <c r="Z616" s="1" t="str">
        <f>IF(AND(Programme_Grunddaten!$A621="Geprüft",Programme_Grunddaten!AH621&lt;&gt;""),IF(Programme_Grunddaten!AH621="Ja",1,0),"")</f>
        <v/>
      </c>
      <c r="AA616" s="1" t="str">
        <f>IF(AND(Programme_Grunddaten!$A621="Geprüft",Programme_Grunddaten!AI621&lt;&gt;""),IF(Programme_Grunddaten!AI621="Ja",1,0),"")</f>
        <v/>
      </c>
      <c r="AB616" s="1" t="str">
        <f>IF(AND(Programme_Grunddaten!$A621="Geprüft",Programme_Grunddaten!AJ621&lt;&gt;""),IF(Programme_Grunddaten!AJ621="individuell programmierbar",1,0),"")</f>
        <v/>
      </c>
      <c r="AC616" s="1" t="str">
        <f>IF(AND(Programme_Grunddaten!$A621="Geprüft",Programme_Grunddaten!AK621&lt;&gt;""),IF(Programme_Grunddaten!AK621="Deutsch",0,IF(Programme_Grunddaten!AK621="Deutsch und Englisch",1,2)),"")</f>
        <v/>
      </c>
      <c r="AD616" s="1" t="str">
        <f>IF(AND(Programme_Grunddaten!$A621="Geprüft",Programme_Grunddaten!AL621&lt;&gt;""),IF(Programme_Grunddaten!AL621="Ja",1,0),"")</f>
        <v/>
      </c>
      <c r="AE616" s="1" t="str">
        <f>IF(AND(Programme_Grunddaten!$A621="Geprüft",Programme_Grunddaten!AM621&lt;&gt;""),IF(Programme_Grunddaten!AM621="Ja",1,0),"")</f>
        <v/>
      </c>
      <c r="AF616" s="1" t="str">
        <f>IF(AND(Programme_Grunddaten!$A621="Geprüft",Programme_Grunddaten!AN621&lt;&gt;""),IF(Programme_Grunddaten!AN621="Ja",1,0),"")</f>
        <v/>
      </c>
      <c r="AG616" s="1" t="str">
        <f>IF(AND(Programme_Grunddaten!$A621="Geprüft",Programme_Grunddaten!AO621&lt;&gt;""),IF(Programme_Grunddaten!AO621="Ja",1,0),"")</f>
        <v/>
      </c>
      <c r="AH616" s="1" t="str">
        <f>IF(AND(Programme_Grunddaten!$A621="Geprüft",Programme_Grunddaten!AP621&lt;&gt;""),IF(Programme_Grunddaten!AP621="Ja",1,0),"")</f>
        <v/>
      </c>
      <c r="AI616" s="1" t="str">
        <f>IF(AND(Programme_Grunddaten!$A621="Geprüft",Programme_Grunddaten!AQ621&lt;&gt;""),IF(Programme_Grunddaten!AQ621="Ja",1,0),"")</f>
        <v/>
      </c>
      <c r="AJ616" s="1" t="str">
        <f>IF(AND(Programme_Grunddaten!$A621="Geprüft",Programme_Grunddaten!AR621&lt;&gt;""),IF(Programme_Grunddaten!AR621="Ja",1,0),"")</f>
        <v/>
      </c>
      <c r="AK616" s="1" t="str">
        <f>IF(AND(Programme_Grunddaten!$A621="Geprüft",Programme_Grunddaten!AS621&lt;&gt;""),IF(Programme_Grunddaten!AS621="Ja",1,0),"")</f>
        <v/>
      </c>
      <c r="AL616" s="1" t="str">
        <f>IF(AND(Programme_Grunddaten!$A621="Geprüft",Programme_Grunddaten!AT621&lt;&gt;""),IF(Programme_Grunddaten!AT621="Ja",1,0),"")</f>
        <v/>
      </c>
      <c r="AM616" s="1" t="str">
        <f>IF(AND(Programme_Grunddaten!$A621="Geprüft",Programme_Grunddaten!AU621&lt;&gt;""),IF(Programme_Grunddaten!AU621="Ja",1,0),"")</f>
        <v/>
      </c>
      <c r="AN616" s="1" t="str">
        <f>IF(AND(Programme_Grunddaten!$A621="Geprüft",Programme_Grunddaten!AV621&lt;&gt;""),IF(Programme_Grunddaten!AV621="Ja",1,0),"")</f>
        <v/>
      </c>
    </row>
    <row r="617" spans="1:40" x14ac:dyDescent="0.3">
      <c r="A617" s="1" t="str">
        <f>IF(AND(Programme_Grunddaten!A622="Geprüft",Programme_Grunddaten!B622&lt;&gt;""),Programme_Grunddaten!B622,"")</f>
        <v/>
      </c>
      <c r="B617" s="1" t="str">
        <f>IF(AND(Programme_Grunddaten!$A622="Geprüft",Programme_Grunddaten!I622&lt;&gt;""),IF(Programme_Grunddaten!I622="Ja",1,0),"")</f>
        <v/>
      </c>
      <c r="C617" s="1" t="str">
        <f>IF(AND(Programme_Grunddaten!$A622="Geprüft",Programme_Grunddaten!J622&lt;&gt;""),IF(Programme_Grunddaten!J622="Ja",1,0),"")</f>
        <v/>
      </c>
      <c r="D617" s="1" t="str">
        <f>IF(AND(Programme_Grunddaten!$A622="Geprüft",Programme_Grunddaten!K622&lt;&gt;""),IF(Programme_Grunddaten!K622="Ja",1,0),"")</f>
        <v/>
      </c>
      <c r="E617" s="1" t="str">
        <f>IF(AND(Programme_Grunddaten!$A622="Geprüft",Programme_Grunddaten!L622&lt;&gt;""),IF(Programme_Grunddaten!L622="Abo / befristete Lizenz",1,0),"")</f>
        <v/>
      </c>
      <c r="F617" s="1" t="str">
        <f>IF(AND(Programme_Grunddaten!$A622="Geprüft",Programme_Grunddaten!M622&lt;&gt;""),IF(Programme_Grunddaten!M622="Ja",1,0),"")</f>
        <v/>
      </c>
      <c r="G617" s="1" t="str">
        <f>IF(AND(Programme_Grunddaten!$A622="Geprüft",Programme_Grunddaten!N622&lt;&gt;""),IF(Programme_Grunddaten!N622="Ja",1,0),"")</f>
        <v/>
      </c>
      <c r="H617" s="1" t="str">
        <f>IF(AND(Programme_Grunddaten!$A622="Geprüft",Programme_Grunddaten!O622&lt;&gt;""),IF(Programme_Grunddaten!O622="Deutschland",0,IF(Programme_Grunddaten!O622="EU",1,2)),"")</f>
        <v/>
      </c>
      <c r="I617" s="1" t="str">
        <f>IF(AND(Programme_Grunddaten!$A622="Geprüft",Programme_Grunddaten!P622&lt;&gt;""),IF(Programme_Grunddaten!P622="Ja",1,0),"")</f>
        <v/>
      </c>
      <c r="J617" s="1" t="str">
        <f>IF(AND(Programme_Grunddaten!$A622="Geprüft",Programme_Grunddaten!Q622&lt;&gt;""),IF(Programme_Grunddaten!Q622="geschlossenes System",1,0),"")</f>
        <v/>
      </c>
      <c r="K617" s="1" t="str">
        <f>IF(AND(Programme_Grunddaten!$A622="Geprüft",Programme_Grunddaten!R622&lt;&gt;""),IF(Programme_Grunddaten!R622="Ja",1,0),"")</f>
        <v/>
      </c>
      <c r="L617" s="1" t="str">
        <f>IF(AND(Programme_Grunddaten!$A622="Geprüft",Programme_Grunddaten!T622&lt;&gt;""),IF(Programme_Grunddaten!T622="Ja",1,0),"")</f>
        <v/>
      </c>
      <c r="M617" s="1" t="str">
        <f>IF(AND(Programme_Grunddaten!$A622="Geprüft",Programme_Grunddaten!U622&lt;&gt;""),IF(Programme_Grunddaten!U622="Ja",1,0),"")</f>
        <v/>
      </c>
      <c r="N617" s="1" t="str">
        <f>IF(AND(Programme_Grunddaten!$A622="Geprüft",Programme_Grunddaten!V622&lt;&gt;""),IF(Programme_Grunddaten!V622="Ja",1,0),"")</f>
        <v/>
      </c>
      <c r="O617" s="1" t="str">
        <f>IF(AND(Programme_Grunddaten!$A622="Geprüft",Programme_Grunddaten!W622&lt;&gt;""),IF(Programme_Grunddaten!W622="Ja",1,0),"")</f>
        <v/>
      </c>
      <c r="P617" s="1" t="str">
        <f>IF(AND(Programme_Grunddaten!$A622="Geprüft",Programme_Grunddaten!X622&lt;&gt;""),IF(Programme_Grunddaten!X622="Ja",1,0),"")</f>
        <v/>
      </c>
      <c r="Q617" s="1" t="str">
        <f>IF(AND(Programme_Grunddaten!$A622="Geprüft",Programme_Grunddaten!Y622&lt;&gt;""),IF(Programme_Grunddaten!Y622="Ja",1,0),"")</f>
        <v/>
      </c>
      <c r="R617" s="1" t="str">
        <f>IF(AND(Programme_Grunddaten!$A622="Geprüft",Programme_Grunddaten!Z622&lt;&gt;""),IF(Programme_Grunddaten!Z622="Ja",1,0),"")</f>
        <v/>
      </c>
      <c r="S617" s="1" t="str">
        <f>IF(AND(Programme_Grunddaten!$A622="Geprüft",Programme_Grunddaten!AA622&lt;&gt;""),IF(Programme_Grunddaten!AA622="monolithisch",1,0),"")</f>
        <v/>
      </c>
      <c r="T617" s="1" t="str">
        <f>IF(AND(Programme_Grunddaten!$A622="Geprüft",Programme_Grunddaten!AB622&lt;&gt;""),IF(Programme_Grunddaten!AB622="Ja",1,0),"")</f>
        <v/>
      </c>
      <c r="U617" s="1" t="str">
        <f>IF(AND(Programme_Grunddaten!$A622="Geprüft",Programme_Grunddaten!AC622&lt;&gt;""),IF(Programme_Grunddaten!AC622="Ja",1,0),"")</f>
        <v/>
      </c>
      <c r="V617" s="1" t="str">
        <f>IF(AND(Programme_Grunddaten!$A622="Geprüft",Programme_Grunddaten!AD622&lt;&gt;""),IF(Programme_Grunddaten!AD622="Ja",1,0),"")</f>
        <v/>
      </c>
      <c r="W617" s="1" t="str">
        <f>IF(AND(Programme_Grunddaten!$A622="Geprüft",Programme_Grunddaten!AE622&lt;&gt;""),IF(Programme_Grunddaten!AE622="Ja",1,0),"")</f>
        <v/>
      </c>
      <c r="X617" s="1" t="str">
        <f>IF(AND(Programme_Grunddaten!$A622="Geprüft",Programme_Grunddaten!AF622&lt;&gt;""),IF(Programme_Grunddaten!AF622="Ja",1,0),"")</f>
        <v/>
      </c>
      <c r="Y617" s="1" t="str">
        <f>IF(AND(Programme_Grunddaten!$A622="Geprüft",Programme_Grunddaten!AG622&lt;&gt;""),IF(Programme_Grunddaten!AG622="Ja",1,0),"")</f>
        <v/>
      </c>
      <c r="Z617" s="1" t="str">
        <f>IF(AND(Programme_Grunddaten!$A622="Geprüft",Programme_Grunddaten!AH622&lt;&gt;""),IF(Programme_Grunddaten!AH622="Ja",1,0),"")</f>
        <v/>
      </c>
      <c r="AA617" s="1" t="str">
        <f>IF(AND(Programme_Grunddaten!$A622="Geprüft",Programme_Grunddaten!AI622&lt;&gt;""),IF(Programme_Grunddaten!AI622="Ja",1,0),"")</f>
        <v/>
      </c>
      <c r="AB617" s="1" t="str">
        <f>IF(AND(Programme_Grunddaten!$A622="Geprüft",Programme_Grunddaten!AJ622&lt;&gt;""),IF(Programme_Grunddaten!AJ622="individuell programmierbar",1,0),"")</f>
        <v/>
      </c>
      <c r="AC617" s="1" t="str">
        <f>IF(AND(Programme_Grunddaten!$A622="Geprüft",Programme_Grunddaten!AK622&lt;&gt;""),IF(Programme_Grunddaten!AK622="Deutsch",0,IF(Programme_Grunddaten!AK622="Deutsch und Englisch",1,2)),"")</f>
        <v/>
      </c>
      <c r="AD617" s="1" t="str">
        <f>IF(AND(Programme_Grunddaten!$A622="Geprüft",Programme_Grunddaten!AL622&lt;&gt;""),IF(Programme_Grunddaten!AL622="Ja",1,0),"")</f>
        <v/>
      </c>
      <c r="AE617" s="1" t="str">
        <f>IF(AND(Programme_Grunddaten!$A622="Geprüft",Programme_Grunddaten!AM622&lt;&gt;""),IF(Programme_Grunddaten!AM622="Ja",1,0),"")</f>
        <v/>
      </c>
      <c r="AF617" s="1" t="str">
        <f>IF(AND(Programme_Grunddaten!$A622="Geprüft",Programme_Grunddaten!AN622&lt;&gt;""),IF(Programme_Grunddaten!AN622="Ja",1,0),"")</f>
        <v/>
      </c>
      <c r="AG617" s="1" t="str">
        <f>IF(AND(Programme_Grunddaten!$A622="Geprüft",Programme_Grunddaten!AO622&lt;&gt;""),IF(Programme_Grunddaten!AO622="Ja",1,0),"")</f>
        <v/>
      </c>
      <c r="AH617" s="1" t="str">
        <f>IF(AND(Programme_Grunddaten!$A622="Geprüft",Programme_Grunddaten!AP622&lt;&gt;""),IF(Programme_Grunddaten!AP622="Ja",1,0),"")</f>
        <v/>
      </c>
      <c r="AI617" s="1" t="str">
        <f>IF(AND(Programme_Grunddaten!$A622="Geprüft",Programme_Grunddaten!AQ622&lt;&gt;""),IF(Programme_Grunddaten!AQ622="Ja",1,0),"")</f>
        <v/>
      </c>
      <c r="AJ617" s="1" t="str">
        <f>IF(AND(Programme_Grunddaten!$A622="Geprüft",Programme_Grunddaten!AR622&lt;&gt;""),IF(Programme_Grunddaten!AR622="Ja",1,0),"")</f>
        <v/>
      </c>
      <c r="AK617" s="1" t="str">
        <f>IF(AND(Programme_Grunddaten!$A622="Geprüft",Programme_Grunddaten!AS622&lt;&gt;""),IF(Programme_Grunddaten!AS622="Ja",1,0),"")</f>
        <v/>
      </c>
      <c r="AL617" s="1" t="str">
        <f>IF(AND(Programme_Grunddaten!$A622="Geprüft",Programme_Grunddaten!AT622&lt;&gt;""),IF(Programme_Grunddaten!AT622="Ja",1,0),"")</f>
        <v/>
      </c>
      <c r="AM617" s="1" t="str">
        <f>IF(AND(Programme_Grunddaten!$A622="Geprüft",Programme_Grunddaten!AU622&lt;&gt;""),IF(Programme_Grunddaten!AU622="Ja",1,0),"")</f>
        <v/>
      </c>
      <c r="AN617" s="1" t="str">
        <f>IF(AND(Programme_Grunddaten!$A622="Geprüft",Programme_Grunddaten!AV622&lt;&gt;""),IF(Programme_Grunddaten!AV622="Ja",1,0),"")</f>
        <v/>
      </c>
    </row>
    <row r="618" spans="1:40" x14ac:dyDescent="0.3">
      <c r="A618" s="1" t="str">
        <f>IF(AND(Programme_Grunddaten!A623="Geprüft",Programme_Grunddaten!B623&lt;&gt;""),Programme_Grunddaten!B623,"")</f>
        <v/>
      </c>
      <c r="B618" s="1" t="str">
        <f>IF(AND(Programme_Grunddaten!$A623="Geprüft",Programme_Grunddaten!I623&lt;&gt;""),IF(Programme_Grunddaten!I623="Ja",1,0),"")</f>
        <v/>
      </c>
      <c r="C618" s="1" t="str">
        <f>IF(AND(Programme_Grunddaten!$A623="Geprüft",Programme_Grunddaten!J623&lt;&gt;""),IF(Programme_Grunddaten!J623="Ja",1,0),"")</f>
        <v/>
      </c>
      <c r="D618" s="1" t="str">
        <f>IF(AND(Programme_Grunddaten!$A623="Geprüft",Programme_Grunddaten!K623&lt;&gt;""),IF(Programme_Grunddaten!K623="Ja",1,0),"")</f>
        <v/>
      </c>
      <c r="E618" s="1" t="str">
        <f>IF(AND(Programme_Grunddaten!$A623="Geprüft",Programme_Grunddaten!L623&lt;&gt;""),IF(Programme_Grunddaten!L623="Abo / befristete Lizenz",1,0),"")</f>
        <v/>
      </c>
      <c r="F618" s="1" t="str">
        <f>IF(AND(Programme_Grunddaten!$A623="Geprüft",Programme_Grunddaten!M623&lt;&gt;""),IF(Programme_Grunddaten!M623="Ja",1,0),"")</f>
        <v/>
      </c>
      <c r="G618" s="1" t="str">
        <f>IF(AND(Programme_Grunddaten!$A623="Geprüft",Programme_Grunddaten!N623&lt;&gt;""),IF(Programme_Grunddaten!N623="Ja",1,0),"")</f>
        <v/>
      </c>
      <c r="H618" s="1" t="str">
        <f>IF(AND(Programme_Grunddaten!$A623="Geprüft",Programme_Grunddaten!O623&lt;&gt;""),IF(Programme_Grunddaten!O623="Deutschland",0,IF(Programme_Grunddaten!O623="EU",1,2)),"")</f>
        <v/>
      </c>
      <c r="I618" s="1" t="str">
        <f>IF(AND(Programme_Grunddaten!$A623="Geprüft",Programme_Grunddaten!P623&lt;&gt;""),IF(Programme_Grunddaten!P623="Ja",1,0),"")</f>
        <v/>
      </c>
      <c r="J618" s="1" t="str">
        <f>IF(AND(Programme_Grunddaten!$A623="Geprüft",Programme_Grunddaten!Q623&lt;&gt;""),IF(Programme_Grunddaten!Q623="geschlossenes System",1,0),"")</f>
        <v/>
      </c>
      <c r="K618" s="1" t="str">
        <f>IF(AND(Programme_Grunddaten!$A623="Geprüft",Programme_Grunddaten!R623&lt;&gt;""),IF(Programme_Grunddaten!R623="Ja",1,0),"")</f>
        <v/>
      </c>
      <c r="L618" s="1" t="str">
        <f>IF(AND(Programme_Grunddaten!$A623="Geprüft",Programme_Grunddaten!T623&lt;&gt;""),IF(Programme_Grunddaten!T623="Ja",1,0),"")</f>
        <v/>
      </c>
      <c r="M618" s="1" t="str">
        <f>IF(AND(Programme_Grunddaten!$A623="Geprüft",Programme_Grunddaten!U623&lt;&gt;""),IF(Programme_Grunddaten!U623="Ja",1,0),"")</f>
        <v/>
      </c>
      <c r="N618" s="1" t="str">
        <f>IF(AND(Programme_Grunddaten!$A623="Geprüft",Programme_Grunddaten!V623&lt;&gt;""),IF(Programme_Grunddaten!V623="Ja",1,0),"")</f>
        <v/>
      </c>
      <c r="O618" s="1" t="str">
        <f>IF(AND(Programme_Grunddaten!$A623="Geprüft",Programme_Grunddaten!W623&lt;&gt;""),IF(Programme_Grunddaten!W623="Ja",1,0),"")</f>
        <v/>
      </c>
      <c r="P618" s="1" t="str">
        <f>IF(AND(Programme_Grunddaten!$A623="Geprüft",Programme_Grunddaten!X623&lt;&gt;""),IF(Programme_Grunddaten!X623="Ja",1,0),"")</f>
        <v/>
      </c>
      <c r="Q618" s="1" t="str">
        <f>IF(AND(Programme_Grunddaten!$A623="Geprüft",Programme_Grunddaten!Y623&lt;&gt;""),IF(Programme_Grunddaten!Y623="Ja",1,0),"")</f>
        <v/>
      </c>
      <c r="R618" s="1" t="str">
        <f>IF(AND(Programme_Grunddaten!$A623="Geprüft",Programme_Grunddaten!Z623&lt;&gt;""),IF(Programme_Grunddaten!Z623="Ja",1,0),"")</f>
        <v/>
      </c>
      <c r="S618" s="1" t="str">
        <f>IF(AND(Programme_Grunddaten!$A623="Geprüft",Programme_Grunddaten!AA623&lt;&gt;""),IF(Programme_Grunddaten!AA623="monolithisch",1,0),"")</f>
        <v/>
      </c>
      <c r="T618" s="1" t="str">
        <f>IF(AND(Programme_Grunddaten!$A623="Geprüft",Programme_Grunddaten!AB623&lt;&gt;""),IF(Programme_Grunddaten!AB623="Ja",1,0),"")</f>
        <v/>
      </c>
      <c r="U618" s="1" t="str">
        <f>IF(AND(Programme_Grunddaten!$A623="Geprüft",Programme_Grunddaten!AC623&lt;&gt;""),IF(Programme_Grunddaten!AC623="Ja",1,0),"")</f>
        <v/>
      </c>
      <c r="V618" s="1" t="str">
        <f>IF(AND(Programme_Grunddaten!$A623="Geprüft",Programme_Grunddaten!AD623&lt;&gt;""),IF(Programme_Grunddaten!AD623="Ja",1,0),"")</f>
        <v/>
      </c>
      <c r="W618" s="1" t="str">
        <f>IF(AND(Programme_Grunddaten!$A623="Geprüft",Programme_Grunddaten!AE623&lt;&gt;""),IF(Programme_Grunddaten!AE623="Ja",1,0),"")</f>
        <v/>
      </c>
      <c r="X618" s="1" t="str">
        <f>IF(AND(Programme_Grunddaten!$A623="Geprüft",Programme_Grunddaten!AF623&lt;&gt;""),IF(Programme_Grunddaten!AF623="Ja",1,0),"")</f>
        <v/>
      </c>
      <c r="Y618" s="1" t="str">
        <f>IF(AND(Programme_Grunddaten!$A623="Geprüft",Programme_Grunddaten!AG623&lt;&gt;""),IF(Programme_Grunddaten!AG623="Ja",1,0),"")</f>
        <v/>
      </c>
      <c r="Z618" s="1" t="str">
        <f>IF(AND(Programme_Grunddaten!$A623="Geprüft",Programme_Grunddaten!AH623&lt;&gt;""),IF(Programme_Grunddaten!AH623="Ja",1,0),"")</f>
        <v/>
      </c>
      <c r="AA618" s="1" t="str">
        <f>IF(AND(Programme_Grunddaten!$A623="Geprüft",Programme_Grunddaten!AI623&lt;&gt;""),IF(Programme_Grunddaten!AI623="Ja",1,0),"")</f>
        <v/>
      </c>
      <c r="AB618" s="1" t="str">
        <f>IF(AND(Programme_Grunddaten!$A623="Geprüft",Programme_Grunddaten!AJ623&lt;&gt;""),IF(Programme_Grunddaten!AJ623="individuell programmierbar",1,0),"")</f>
        <v/>
      </c>
      <c r="AC618" s="1" t="str">
        <f>IF(AND(Programme_Grunddaten!$A623="Geprüft",Programme_Grunddaten!AK623&lt;&gt;""),IF(Programme_Grunddaten!AK623="Deutsch",0,IF(Programme_Grunddaten!AK623="Deutsch und Englisch",1,2)),"")</f>
        <v/>
      </c>
      <c r="AD618" s="1" t="str">
        <f>IF(AND(Programme_Grunddaten!$A623="Geprüft",Programme_Grunddaten!AL623&lt;&gt;""),IF(Programme_Grunddaten!AL623="Ja",1,0),"")</f>
        <v/>
      </c>
      <c r="AE618" s="1" t="str">
        <f>IF(AND(Programme_Grunddaten!$A623="Geprüft",Programme_Grunddaten!AM623&lt;&gt;""),IF(Programme_Grunddaten!AM623="Ja",1,0),"")</f>
        <v/>
      </c>
      <c r="AF618" s="1" t="str">
        <f>IF(AND(Programme_Grunddaten!$A623="Geprüft",Programme_Grunddaten!AN623&lt;&gt;""),IF(Programme_Grunddaten!AN623="Ja",1,0),"")</f>
        <v/>
      </c>
      <c r="AG618" s="1" t="str">
        <f>IF(AND(Programme_Grunddaten!$A623="Geprüft",Programme_Grunddaten!AO623&lt;&gt;""),IF(Programme_Grunddaten!AO623="Ja",1,0),"")</f>
        <v/>
      </c>
      <c r="AH618" s="1" t="str">
        <f>IF(AND(Programme_Grunddaten!$A623="Geprüft",Programme_Grunddaten!AP623&lt;&gt;""),IF(Programme_Grunddaten!AP623="Ja",1,0),"")</f>
        <v/>
      </c>
      <c r="AI618" s="1" t="str">
        <f>IF(AND(Programme_Grunddaten!$A623="Geprüft",Programme_Grunddaten!AQ623&lt;&gt;""),IF(Programme_Grunddaten!AQ623="Ja",1,0),"")</f>
        <v/>
      </c>
      <c r="AJ618" s="1" t="str">
        <f>IF(AND(Programme_Grunddaten!$A623="Geprüft",Programme_Grunddaten!AR623&lt;&gt;""),IF(Programme_Grunddaten!AR623="Ja",1,0),"")</f>
        <v/>
      </c>
      <c r="AK618" s="1" t="str">
        <f>IF(AND(Programme_Grunddaten!$A623="Geprüft",Programme_Grunddaten!AS623&lt;&gt;""),IF(Programme_Grunddaten!AS623="Ja",1,0),"")</f>
        <v/>
      </c>
      <c r="AL618" s="1" t="str">
        <f>IF(AND(Programme_Grunddaten!$A623="Geprüft",Programme_Grunddaten!AT623&lt;&gt;""),IF(Programme_Grunddaten!AT623="Ja",1,0),"")</f>
        <v/>
      </c>
      <c r="AM618" s="1" t="str">
        <f>IF(AND(Programme_Grunddaten!$A623="Geprüft",Programme_Grunddaten!AU623&lt;&gt;""),IF(Programme_Grunddaten!AU623="Ja",1,0),"")</f>
        <v/>
      </c>
      <c r="AN618" s="1" t="str">
        <f>IF(AND(Programme_Grunddaten!$A623="Geprüft",Programme_Grunddaten!AV623&lt;&gt;""),IF(Programme_Grunddaten!AV623="Ja",1,0),"")</f>
        <v/>
      </c>
    </row>
    <row r="619" spans="1:40" x14ac:dyDescent="0.3">
      <c r="A619" s="1" t="str">
        <f>IF(AND(Programme_Grunddaten!A624="Geprüft",Programme_Grunddaten!B624&lt;&gt;""),Programme_Grunddaten!B624,"")</f>
        <v/>
      </c>
      <c r="B619" s="1" t="str">
        <f>IF(AND(Programme_Grunddaten!$A624="Geprüft",Programme_Grunddaten!I624&lt;&gt;""),IF(Programme_Grunddaten!I624="Ja",1,0),"")</f>
        <v/>
      </c>
      <c r="C619" s="1" t="str">
        <f>IF(AND(Programme_Grunddaten!$A624="Geprüft",Programme_Grunddaten!J624&lt;&gt;""),IF(Programme_Grunddaten!J624="Ja",1,0),"")</f>
        <v/>
      </c>
      <c r="D619" s="1" t="str">
        <f>IF(AND(Programme_Grunddaten!$A624="Geprüft",Programme_Grunddaten!K624&lt;&gt;""),IF(Programme_Grunddaten!K624="Ja",1,0),"")</f>
        <v/>
      </c>
      <c r="E619" s="1" t="str">
        <f>IF(AND(Programme_Grunddaten!$A624="Geprüft",Programme_Grunddaten!L624&lt;&gt;""),IF(Programme_Grunddaten!L624="Abo / befristete Lizenz",1,0),"")</f>
        <v/>
      </c>
      <c r="F619" s="1" t="str">
        <f>IF(AND(Programme_Grunddaten!$A624="Geprüft",Programme_Grunddaten!M624&lt;&gt;""),IF(Programme_Grunddaten!M624="Ja",1,0),"")</f>
        <v/>
      </c>
      <c r="G619" s="1" t="str">
        <f>IF(AND(Programme_Grunddaten!$A624="Geprüft",Programme_Grunddaten!N624&lt;&gt;""),IF(Programme_Grunddaten!N624="Ja",1,0),"")</f>
        <v/>
      </c>
      <c r="H619" s="1" t="str">
        <f>IF(AND(Programme_Grunddaten!$A624="Geprüft",Programme_Grunddaten!O624&lt;&gt;""),IF(Programme_Grunddaten!O624="Deutschland",0,IF(Programme_Grunddaten!O624="EU",1,2)),"")</f>
        <v/>
      </c>
      <c r="I619" s="1" t="str">
        <f>IF(AND(Programme_Grunddaten!$A624="Geprüft",Programme_Grunddaten!P624&lt;&gt;""),IF(Programme_Grunddaten!P624="Ja",1,0),"")</f>
        <v/>
      </c>
      <c r="J619" s="1" t="str">
        <f>IF(AND(Programme_Grunddaten!$A624="Geprüft",Programme_Grunddaten!Q624&lt;&gt;""),IF(Programme_Grunddaten!Q624="geschlossenes System",1,0),"")</f>
        <v/>
      </c>
      <c r="K619" s="1" t="str">
        <f>IF(AND(Programme_Grunddaten!$A624="Geprüft",Programme_Grunddaten!R624&lt;&gt;""),IF(Programme_Grunddaten!R624="Ja",1,0),"")</f>
        <v/>
      </c>
      <c r="L619" s="1" t="str">
        <f>IF(AND(Programme_Grunddaten!$A624="Geprüft",Programme_Grunddaten!T624&lt;&gt;""),IF(Programme_Grunddaten!T624="Ja",1,0),"")</f>
        <v/>
      </c>
      <c r="M619" s="1" t="str">
        <f>IF(AND(Programme_Grunddaten!$A624="Geprüft",Programme_Grunddaten!U624&lt;&gt;""),IF(Programme_Grunddaten!U624="Ja",1,0),"")</f>
        <v/>
      </c>
      <c r="N619" s="1" t="str">
        <f>IF(AND(Programme_Grunddaten!$A624="Geprüft",Programme_Grunddaten!V624&lt;&gt;""),IF(Programme_Grunddaten!V624="Ja",1,0),"")</f>
        <v/>
      </c>
      <c r="O619" s="1" t="str">
        <f>IF(AND(Programme_Grunddaten!$A624="Geprüft",Programme_Grunddaten!W624&lt;&gt;""),IF(Programme_Grunddaten!W624="Ja",1,0),"")</f>
        <v/>
      </c>
      <c r="P619" s="1" t="str">
        <f>IF(AND(Programme_Grunddaten!$A624="Geprüft",Programme_Grunddaten!X624&lt;&gt;""),IF(Programme_Grunddaten!X624="Ja",1,0),"")</f>
        <v/>
      </c>
      <c r="Q619" s="1" t="str">
        <f>IF(AND(Programme_Grunddaten!$A624="Geprüft",Programme_Grunddaten!Y624&lt;&gt;""),IF(Programme_Grunddaten!Y624="Ja",1,0),"")</f>
        <v/>
      </c>
      <c r="R619" s="1" t="str">
        <f>IF(AND(Programme_Grunddaten!$A624="Geprüft",Programme_Grunddaten!Z624&lt;&gt;""),IF(Programme_Grunddaten!Z624="Ja",1,0),"")</f>
        <v/>
      </c>
      <c r="S619" s="1" t="str">
        <f>IF(AND(Programme_Grunddaten!$A624="Geprüft",Programme_Grunddaten!AA624&lt;&gt;""),IF(Programme_Grunddaten!AA624="monolithisch",1,0),"")</f>
        <v/>
      </c>
      <c r="T619" s="1" t="str">
        <f>IF(AND(Programme_Grunddaten!$A624="Geprüft",Programme_Grunddaten!AB624&lt;&gt;""),IF(Programme_Grunddaten!AB624="Ja",1,0),"")</f>
        <v/>
      </c>
      <c r="U619" s="1" t="str">
        <f>IF(AND(Programme_Grunddaten!$A624="Geprüft",Programme_Grunddaten!AC624&lt;&gt;""),IF(Programme_Grunddaten!AC624="Ja",1,0),"")</f>
        <v/>
      </c>
      <c r="V619" s="1" t="str">
        <f>IF(AND(Programme_Grunddaten!$A624="Geprüft",Programme_Grunddaten!AD624&lt;&gt;""),IF(Programme_Grunddaten!AD624="Ja",1,0),"")</f>
        <v/>
      </c>
      <c r="W619" s="1" t="str">
        <f>IF(AND(Programme_Grunddaten!$A624="Geprüft",Programme_Grunddaten!AE624&lt;&gt;""),IF(Programme_Grunddaten!AE624="Ja",1,0),"")</f>
        <v/>
      </c>
      <c r="X619" s="1" t="str">
        <f>IF(AND(Programme_Grunddaten!$A624="Geprüft",Programme_Grunddaten!AF624&lt;&gt;""),IF(Programme_Grunddaten!AF624="Ja",1,0),"")</f>
        <v/>
      </c>
      <c r="Y619" s="1" t="str">
        <f>IF(AND(Programme_Grunddaten!$A624="Geprüft",Programme_Grunddaten!AG624&lt;&gt;""),IF(Programme_Grunddaten!AG624="Ja",1,0),"")</f>
        <v/>
      </c>
      <c r="Z619" s="1" t="str">
        <f>IF(AND(Programme_Grunddaten!$A624="Geprüft",Programme_Grunddaten!AH624&lt;&gt;""),IF(Programme_Grunddaten!AH624="Ja",1,0),"")</f>
        <v/>
      </c>
      <c r="AA619" s="1" t="str">
        <f>IF(AND(Programme_Grunddaten!$A624="Geprüft",Programme_Grunddaten!AI624&lt;&gt;""),IF(Programme_Grunddaten!AI624="Ja",1,0),"")</f>
        <v/>
      </c>
      <c r="AB619" s="1" t="str">
        <f>IF(AND(Programme_Grunddaten!$A624="Geprüft",Programme_Grunddaten!AJ624&lt;&gt;""),IF(Programme_Grunddaten!AJ624="individuell programmierbar",1,0),"")</f>
        <v/>
      </c>
      <c r="AC619" s="1" t="str">
        <f>IF(AND(Programme_Grunddaten!$A624="Geprüft",Programme_Grunddaten!AK624&lt;&gt;""),IF(Programme_Grunddaten!AK624="Deutsch",0,IF(Programme_Grunddaten!AK624="Deutsch und Englisch",1,2)),"")</f>
        <v/>
      </c>
      <c r="AD619" s="1" t="str">
        <f>IF(AND(Programme_Grunddaten!$A624="Geprüft",Programme_Grunddaten!AL624&lt;&gt;""),IF(Programme_Grunddaten!AL624="Ja",1,0),"")</f>
        <v/>
      </c>
      <c r="AE619" s="1" t="str">
        <f>IF(AND(Programme_Grunddaten!$A624="Geprüft",Programme_Grunddaten!AM624&lt;&gt;""),IF(Programme_Grunddaten!AM624="Ja",1,0),"")</f>
        <v/>
      </c>
      <c r="AF619" s="1" t="str">
        <f>IF(AND(Programme_Grunddaten!$A624="Geprüft",Programme_Grunddaten!AN624&lt;&gt;""),IF(Programme_Grunddaten!AN624="Ja",1,0),"")</f>
        <v/>
      </c>
      <c r="AG619" s="1" t="str">
        <f>IF(AND(Programme_Grunddaten!$A624="Geprüft",Programme_Grunddaten!AO624&lt;&gt;""),IF(Programme_Grunddaten!AO624="Ja",1,0),"")</f>
        <v/>
      </c>
      <c r="AH619" s="1" t="str">
        <f>IF(AND(Programme_Grunddaten!$A624="Geprüft",Programme_Grunddaten!AP624&lt;&gt;""),IF(Programme_Grunddaten!AP624="Ja",1,0),"")</f>
        <v/>
      </c>
      <c r="AI619" s="1" t="str">
        <f>IF(AND(Programme_Grunddaten!$A624="Geprüft",Programme_Grunddaten!AQ624&lt;&gt;""),IF(Programme_Grunddaten!AQ624="Ja",1,0),"")</f>
        <v/>
      </c>
      <c r="AJ619" s="1" t="str">
        <f>IF(AND(Programme_Grunddaten!$A624="Geprüft",Programme_Grunddaten!AR624&lt;&gt;""),IF(Programme_Grunddaten!AR624="Ja",1,0),"")</f>
        <v/>
      </c>
      <c r="AK619" s="1" t="str">
        <f>IF(AND(Programme_Grunddaten!$A624="Geprüft",Programme_Grunddaten!AS624&lt;&gt;""),IF(Programme_Grunddaten!AS624="Ja",1,0),"")</f>
        <v/>
      </c>
      <c r="AL619" s="1" t="str">
        <f>IF(AND(Programme_Grunddaten!$A624="Geprüft",Programme_Grunddaten!AT624&lt;&gt;""),IF(Programme_Grunddaten!AT624="Ja",1,0),"")</f>
        <v/>
      </c>
      <c r="AM619" s="1" t="str">
        <f>IF(AND(Programme_Grunddaten!$A624="Geprüft",Programme_Grunddaten!AU624&lt;&gt;""),IF(Programme_Grunddaten!AU624="Ja",1,0),"")</f>
        <v/>
      </c>
      <c r="AN619" s="1" t="str">
        <f>IF(AND(Programme_Grunddaten!$A624="Geprüft",Programme_Grunddaten!AV624&lt;&gt;""),IF(Programme_Grunddaten!AV624="Ja",1,0),"")</f>
        <v/>
      </c>
    </row>
    <row r="620" spans="1:40" x14ac:dyDescent="0.3">
      <c r="A620" s="1" t="str">
        <f>IF(AND(Programme_Grunddaten!A625="Geprüft",Programme_Grunddaten!B625&lt;&gt;""),Programme_Grunddaten!B625,"")</f>
        <v/>
      </c>
      <c r="B620" s="1" t="str">
        <f>IF(AND(Programme_Grunddaten!$A625="Geprüft",Programme_Grunddaten!I625&lt;&gt;""),IF(Programme_Grunddaten!I625="Ja",1,0),"")</f>
        <v/>
      </c>
      <c r="C620" s="1" t="str">
        <f>IF(AND(Programme_Grunddaten!$A625="Geprüft",Programme_Grunddaten!J625&lt;&gt;""),IF(Programme_Grunddaten!J625="Ja",1,0),"")</f>
        <v/>
      </c>
      <c r="D620" s="1" t="str">
        <f>IF(AND(Programme_Grunddaten!$A625="Geprüft",Programme_Grunddaten!K625&lt;&gt;""),IF(Programme_Grunddaten!K625="Ja",1,0),"")</f>
        <v/>
      </c>
      <c r="E620" s="1" t="str">
        <f>IF(AND(Programme_Grunddaten!$A625="Geprüft",Programme_Grunddaten!L625&lt;&gt;""),IF(Programme_Grunddaten!L625="Abo / befristete Lizenz",1,0),"")</f>
        <v/>
      </c>
      <c r="F620" s="1" t="str">
        <f>IF(AND(Programme_Grunddaten!$A625="Geprüft",Programme_Grunddaten!M625&lt;&gt;""),IF(Programme_Grunddaten!M625="Ja",1,0),"")</f>
        <v/>
      </c>
      <c r="G620" s="1" t="str">
        <f>IF(AND(Programme_Grunddaten!$A625="Geprüft",Programme_Grunddaten!N625&lt;&gt;""),IF(Programme_Grunddaten!N625="Ja",1,0),"")</f>
        <v/>
      </c>
      <c r="H620" s="1" t="str">
        <f>IF(AND(Programme_Grunddaten!$A625="Geprüft",Programme_Grunddaten!O625&lt;&gt;""),IF(Programme_Grunddaten!O625="Deutschland",0,IF(Programme_Grunddaten!O625="EU",1,2)),"")</f>
        <v/>
      </c>
      <c r="I620" s="1" t="str">
        <f>IF(AND(Programme_Grunddaten!$A625="Geprüft",Programme_Grunddaten!P625&lt;&gt;""),IF(Programme_Grunddaten!P625="Ja",1,0),"")</f>
        <v/>
      </c>
      <c r="J620" s="1" t="str">
        <f>IF(AND(Programme_Grunddaten!$A625="Geprüft",Programme_Grunddaten!Q625&lt;&gt;""),IF(Programme_Grunddaten!Q625="geschlossenes System",1,0),"")</f>
        <v/>
      </c>
      <c r="K620" s="1" t="str">
        <f>IF(AND(Programme_Grunddaten!$A625="Geprüft",Programme_Grunddaten!R625&lt;&gt;""),IF(Programme_Grunddaten!R625="Ja",1,0),"")</f>
        <v/>
      </c>
      <c r="L620" s="1" t="str">
        <f>IF(AND(Programme_Grunddaten!$A625="Geprüft",Programme_Grunddaten!T625&lt;&gt;""),IF(Programme_Grunddaten!T625="Ja",1,0),"")</f>
        <v/>
      </c>
      <c r="M620" s="1" t="str">
        <f>IF(AND(Programme_Grunddaten!$A625="Geprüft",Programme_Grunddaten!U625&lt;&gt;""),IF(Programme_Grunddaten!U625="Ja",1,0),"")</f>
        <v/>
      </c>
      <c r="N620" s="1" t="str">
        <f>IF(AND(Programme_Grunddaten!$A625="Geprüft",Programme_Grunddaten!V625&lt;&gt;""),IF(Programme_Grunddaten!V625="Ja",1,0),"")</f>
        <v/>
      </c>
      <c r="O620" s="1" t="str">
        <f>IF(AND(Programme_Grunddaten!$A625="Geprüft",Programme_Grunddaten!W625&lt;&gt;""),IF(Programme_Grunddaten!W625="Ja",1,0),"")</f>
        <v/>
      </c>
      <c r="P620" s="1" t="str">
        <f>IF(AND(Programme_Grunddaten!$A625="Geprüft",Programme_Grunddaten!X625&lt;&gt;""),IF(Programme_Grunddaten!X625="Ja",1,0),"")</f>
        <v/>
      </c>
      <c r="Q620" s="1" t="str">
        <f>IF(AND(Programme_Grunddaten!$A625="Geprüft",Programme_Grunddaten!Y625&lt;&gt;""),IF(Programme_Grunddaten!Y625="Ja",1,0),"")</f>
        <v/>
      </c>
      <c r="R620" s="1" t="str">
        <f>IF(AND(Programme_Grunddaten!$A625="Geprüft",Programme_Grunddaten!Z625&lt;&gt;""),IF(Programme_Grunddaten!Z625="Ja",1,0),"")</f>
        <v/>
      </c>
      <c r="S620" s="1" t="str">
        <f>IF(AND(Programme_Grunddaten!$A625="Geprüft",Programme_Grunddaten!AA625&lt;&gt;""),IF(Programme_Grunddaten!AA625="monolithisch",1,0),"")</f>
        <v/>
      </c>
      <c r="T620" s="1" t="str">
        <f>IF(AND(Programme_Grunddaten!$A625="Geprüft",Programme_Grunddaten!AB625&lt;&gt;""),IF(Programme_Grunddaten!AB625="Ja",1,0),"")</f>
        <v/>
      </c>
      <c r="U620" s="1" t="str">
        <f>IF(AND(Programme_Grunddaten!$A625="Geprüft",Programme_Grunddaten!AC625&lt;&gt;""),IF(Programme_Grunddaten!AC625="Ja",1,0),"")</f>
        <v/>
      </c>
      <c r="V620" s="1" t="str">
        <f>IF(AND(Programme_Grunddaten!$A625="Geprüft",Programme_Grunddaten!AD625&lt;&gt;""),IF(Programme_Grunddaten!AD625="Ja",1,0),"")</f>
        <v/>
      </c>
      <c r="W620" s="1" t="str">
        <f>IF(AND(Programme_Grunddaten!$A625="Geprüft",Programme_Grunddaten!AE625&lt;&gt;""),IF(Programme_Grunddaten!AE625="Ja",1,0),"")</f>
        <v/>
      </c>
      <c r="X620" s="1" t="str">
        <f>IF(AND(Programme_Grunddaten!$A625="Geprüft",Programme_Grunddaten!AF625&lt;&gt;""),IF(Programme_Grunddaten!AF625="Ja",1,0),"")</f>
        <v/>
      </c>
      <c r="Y620" s="1" t="str">
        <f>IF(AND(Programme_Grunddaten!$A625="Geprüft",Programme_Grunddaten!AG625&lt;&gt;""),IF(Programme_Grunddaten!AG625="Ja",1,0),"")</f>
        <v/>
      </c>
      <c r="Z620" s="1" t="str">
        <f>IF(AND(Programme_Grunddaten!$A625="Geprüft",Programme_Grunddaten!AH625&lt;&gt;""),IF(Programme_Grunddaten!AH625="Ja",1,0),"")</f>
        <v/>
      </c>
      <c r="AA620" s="1" t="str">
        <f>IF(AND(Programme_Grunddaten!$A625="Geprüft",Programme_Grunddaten!AI625&lt;&gt;""),IF(Programme_Grunddaten!AI625="Ja",1,0),"")</f>
        <v/>
      </c>
      <c r="AB620" s="1" t="str">
        <f>IF(AND(Programme_Grunddaten!$A625="Geprüft",Programme_Grunddaten!AJ625&lt;&gt;""),IF(Programme_Grunddaten!AJ625="individuell programmierbar",1,0),"")</f>
        <v/>
      </c>
      <c r="AC620" s="1" t="str">
        <f>IF(AND(Programme_Grunddaten!$A625="Geprüft",Programme_Grunddaten!AK625&lt;&gt;""),IF(Programme_Grunddaten!AK625="Deutsch",0,IF(Programme_Grunddaten!AK625="Deutsch und Englisch",1,2)),"")</f>
        <v/>
      </c>
      <c r="AD620" s="1" t="str">
        <f>IF(AND(Programme_Grunddaten!$A625="Geprüft",Programme_Grunddaten!AL625&lt;&gt;""),IF(Programme_Grunddaten!AL625="Ja",1,0),"")</f>
        <v/>
      </c>
      <c r="AE620" s="1" t="str">
        <f>IF(AND(Programme_Grunddaten!$A625="Geprüft",Programme_Grunddaten!AM625&lt;&gt;""),IF(Programme_Grunddaten!AM625="Ja",1,0),"")</f>
        <v/>
      </c>
      <c r="AF620" s="1" t="str">
        <f>IF(AND(Programme_Grunddaten!$A625="Geprüft",Programme_Grunddaten!AN625&lt;&gt;""),IF(Programme_Grunddaten!AN625="Ja",1,0),"")</f>
        <v/>
      </c>
      <c r="AG620" s="1" t="str">
        <f>IF(AND(Programme_Grunddaten!$A625="Geprüft",Programme_Grunddaten!AO625&lt;&gt;""),IF(Programme_Grunddaten!AO625="Ja",1,0),"")</f>
        <v/>
      </c>
      <c r="AH620" s="1" t="str">
        <f>IF(AND(Programme_Grunddaten!$A625="Geprüft",Programme_Grunddaten!AP625&lt;&gt;""),IF(Programme_Grunddaten!AP625="Ja",1,0),"")</f>
        <v/>
      </c>
      <c r="AI620" s="1" t="str">
        <f>IF(AND(Programme_Grunddaten!$A625="Geprüft",Programme_Grunddaten!AQ625&lt;&gt;""),IF(Programme_Grunddaten!AQ625="Ja",1,0),"")</f>
        <v/>
      </c>
      <c r="AJ620" s="1" t="str">
        <f>IF(AND(Programme_Grunddaten!$A625="Geprüft",Programme_Grunddaten!AR625&lt;&gt;""),IF(Programme_Grunddaten!AR625="Ja",1,0),"")</f>
        <v/>
      </c>
      <c r="AK620" s="1" t="str">
        <f>IF(AND(Programme_Grunddaten!$A625="Geprüft",Programme_Grunddaten!AS625&lt;&gt;""),IF(Programme_Grunddaten!AS625="Ja",1,0),"")</f>
        <v/>
      </c>
      <c r="AL620" s="1" t="str">
        <f>IF(AND(Programme_Grunddaten!$A625="Geprüft",Programme_Grunddaten!AT625&lt;&gt;""),IF(Programme_Grunddaten!AT625="Ja",1,0),"")</f>
        <v/>
      </c>
      <c r="AM620" s="1" t="str">
        <f>IF(AND(Programme_Grunddaten!$A625="Geprüft",Programme_Grunddaten!AU625&lt;&gt;""),IF(Programme_Grunddaten!AU625="Ja",1,0),"")</f>
        <v/>
      </c>
      <c r="AN620" s="1" t="str">
        <f>IF(AND(Programme_Grunddaten!$A625="Geprüft",Programme_Grunddaten!AV625&lt;&gt;""),IF(Programme_Grunddaten!AV625="Ja",1,0),"")</f>
        <v/>
      </c>
    </row>
    <row r="621" spans="1:40" x14ac:dyDescent="0.3">
      <c r="A621" s="1" t="str">
        <f>IF(AND(Programme_Grunddaten!A626="Geprüft",Programme_Grunddaten!B626&lt;&gt;""),Programme_Grunddaten!B626,"")</f>
        <v/>
      </c>
      <c r="B621" s="1" t="str">
        <f>IF(AND(Programme_Grunddaten!$A626="Geprüft",Programme_Grunddaten!I626&lt;&gt;""),IF(Programme_Grunddaten!I626="Ja",1,0),"")</f>
        <v/>
      </c>
      <c r="C621" s="1" t="str">
        <f>IF(AND(Programme_Grunddaten!$A626="Geprüft",Programme_Grunddaten!J626&lt;&gt;""),IF(Programme_Grunddaten!J626="Ja",1,0),"")</f>
        <v/>
      </c>
      <c r="D621" s="1" t="str">
        <f>IF(AND(Programme_Grunddaten!$A626="Geprüft",Programme_Grunddaten!K626&lt;&gt;""),IF(Programme_Grunddaten!K626="Ja",1,0),"")</f>
        <v/>
      </c>
      <c r="E621" s="1" t="str">
        <f>IF(AND(Programme_Grunddaten!$A626="Geprüft",Programme_Grunddaten!L626&lt;&gt;""),IF(Programme_Grunddaten!L626="Abo / befristete Lizenz",1,0),"")</f>
        <v/>
      </c>
      <c r="F621" s="1" t="str">
        <f>IF(AND(Programme_Grunddaten!$A626="Geprüft",Programme_Grunddaten!M626&lt;&gt;""),IF(Programme_Grunddaten!M626="Ja",1,0),"")</f>
        <v/>
      </c>
      <c r="G621" s="1" t="str">
        <f>IF(AND(Programme_Grunddaten!$A626="Geprüft",Programme_Grunddaten!N626&lt;&gt;""),IF(Programme_Grunddaten!N626="Ja",1,0),"")</f>
        <v/>
      </c>
      <c r="H621" s="1" t="str">
        <f>IF(AND(Programme_Grunddaten!$A626="Geprüft",Programme_Grunddaten!O626&lt;&gt;""),IF(Programme_Grunddaten!O626="Deutschland",0,IF(Programme_Grunddaten!O626="EU",1,2)),"")</f>
        <v/>
      </c>
      <c r="I621" s="1" t="str">
        <f>IF(AND(Programme_Grunddaten!$A626="Geprüft",Programme_Grunddaten!P626&lt;&gt;""),IF(Programme_Grunddaten!P626="Ja",1,0),"")</f>
        <v/>
      </c>
      <c r="J621" s="1" t="str">
        <f>IF(AND(Programme_Grunddaten!$A626="Geprüft",Programme_Grunddaten!Q626&lt;&gt;""),IF(Programme_Grunddaten!Q626="geschlossenes System",1,0),"")</f>
        <v/>
      </c>
      <c r="K621" s="1" t="str">
        <f>IF(AND(Programme_Grunddaten!$A626="Geprüft",Programme_Grunddaten!R626&lt;&gt;""),IF(Programme_Grunddaten!R626="Ja",1,0),"")</f>
        <v/>
      </c>
      <c r="L621" s="1" t="str">
        <f>IF(AND(Programme_Grunddaten!$A626="Geprüft",Programme_Grunddaten!T626&lt;&gt;""),IF(Programme_Grunddaten!T626="Ja",1,0),"")</f>
        <v/>
      </c>
      <c r="M621" s="1" t="str">
        <f>IF(AND(Programme_Grunddaten!$A626="Geprüft",Programme_Grunddaten!U626&lt;&gt;""),IF(Programme_Grunddaten!U626="Ja",1,0),"")</f>
        <v/>
      </c>
      <c r="N621" s="1" t="str">
        <f>IF(AND(Programme_Grunddaten!$A626="Geprüft",Programme_Grunddaten!V626&lt;&gt;""),IF(Programme_Grunddaten!V626="Ja",1,0),"")</f>
        <v/>
      </c>
      <c r="O621" s="1" t="str">
        <f>IF(AND(Programme_Grunddaten!$A626="Geprüft",Programme_Grunddaten!W626&lt;&gt;""),IF(Programme_Grunddaten!W626="Ja",1,0),"")</f>
        <v/>
      </c>
      <c r="P621" s="1" t="str">
        <f>IF(AND(Programme_Grunddaten!$A626="Geprüft",Programme_Grunddaten!X626&lt;&gt;""),IF(Programme_Grunddaten!X626="Ja",1,0),"")</f>
        <v/>
      </c>
      <c r="Q621" s="1" t="str">
        <f>IF(AND(Programme_Grunddaten!$A626="Geprüft",Programme_Grunddaten!Y626&lt;&gt;""),IF(Programme_Grunddaten!Y626="Ja",1,0),"")</f>
        <v/>
      </c>
      <c r="R621" s="1" t="str">
        <f>IF(AND(Programme_Grunddaten!$A626="Geprüft",Programme_Grunddaten!Z626&lt;&gt;""),IF(Programme_Grunddaten!Z626="Ja",1,0),"")</f>
        <v/>
      </c>
      <c r="S621" s="1" t="str">
        <f>IF(AND(Programme_Grunddaten!$A626="Geprüft",Programme_Grunddaten!AA626&lt;&gt;""),IF(Programme_Grunddaten!AA626="monolithisch",1,0),"")</f>
        <v/>
      </c>
      <c r="T621" s="1" t="str">
        <f>IF(AND(Programme_Grunddaten!$A626="Geprüft",Programme_Grunddaten!AB626&lt;&gt;""),IF(Programme_Grunddaten!AB626="Ja",1,0),"")</f>
        <v/>
      </c>
      <c r="U621" s="1" t="str">
        <f>IF(AND(Programme_Grunddaten!$A626="Geprüft",Programme_Grunddaten!AC626&lt;&gt;""),IF(Programme_Grunddaten!AC626="Ja",1,0),"")</f>
        <v/>
      </c>
      <c r="V621" s="1" t="str">
        <f>IF(AND(Programme_Grunddaten!$A626="Geprüft",Programme_Grunddaten!AD626&lt;&gt;""),IF(Programme_Grunddaten!AD626="Ja",1,0),"")</f>
        <v/>
      </c>
      <c r="W621" s="1" t="str">
        <f>IF(AND(Programme_Grunddaten!$A626="Geprüft",Programme_Grunddaten!AE626&lt;&gt;""),IF(Programme_Grunddaten!AE626="Ja",1,0),"")</f>
        <v/>
      </c>
      <c r="X621" s="1" t="str">
        <f>IF(AND(Programme_Grunddaten!$A626="Geprüft",Programme_Grunddaten!AF626&lt;&gt;""),IF(Programme_Grunddaten!AF626="Ja",1,0),"")</f>
        <v/>
      </c>
      <c r="Y621" s="1" t="str">
        <f>IF(AND(Programme_Grunddaten!$A626="Geprüft",Programme_Grunddaten!AG626&lt;&gt;""),IF(Programme_Grunddaten!AG626="Ja",1,0),"")</f>
        <v/>
      </c>
      <c r="Z621" s="1" t="str">
        <f>IF(AND(Programme_Grunddaten!$A626="Geprüft",Programme_Grunddaten!AH626&lt;&gt;""),IF(Programme_Grunddaten!AH626="Ja",1,0),"")</f>
        <v/>
      </c>
      <c r="AA621" s="1" t="str">
        <f>IF(AND(Programme_Grunddaten!$A626="Geprüft",Programme_Grunddaten!AI626&lt;&gt;""),IF(Programme_Grunddaten!AI626="Ja",1,0),"")</f>
        <v/>
      </c>
      <c r="AB621" s="1" t="str">
        <f>IF(AND(Programme_Grunddaten!$A626="Geprüft",Programme_Grunddaten!AJ626&lt;&gt;""),IF(Programme_Grunddaten!AJ626="individuell programmierbar",1,0),"")</f>
        <v/>
      </c>
      <c r="AC621" s="1" t="str">
        <f>IF(AND(Programme_Grunddaten!$A626="Geprüft",Programme_Grunddaten!AK626&lt;&gt;""),IF(Programme_Grunddaten!AK626="Deutsch",0,IF(Programme_Grunddaten!AK626="Deutsch und Englisch",1,2)),"")</f>
        <v/>
      </c>
      <c r="AD621" s="1" t="str">
        <f>IF(AND(Programme_Grunddaten!$A626="Geprüft",Programme_Grunddaten!AL626&lt;&gt;""),IF(Programme_Grunddaten!AL626="Ja",1,0),"")</f>
        <v/>
      </c>
      <c r="AE621" s="1" t="str">
        <f>IF(AND(Programme_Grunddaten!$A626="Geprüft",Programme_Grunddaten!AM626&lt;&gt;""),IF(Programme_Grunddaten!AM626="Ja",1,0),"")</f>
        <v/>
      </c>
      <c r="AF621" s="1" t="str">
        <f>IF(AND(Programme_Grunddaten!$A626="Geprüft",Programme_Grunddaten!AN626&lt;&gt;""),IF(Programme_Grunddaten!AN626="Ja",1,0),"")</f>
        <v/>
      </c>
      <c r="AG621" s="1" t="str">
        <f>IF(AND(Programme_Grunddaten!$A626="Geprüft",Programme_Grunddaten!AO626&lt;&gt;""),IF(Programme_Grunddaten!AO626="Ja",1,0),"")</f>
        <v/>
      </c>
      <c r="AH621" s="1" t="str">
        <f>IF(AND(Programme_Grunddaten!$A626="Geprüft",Programme_Grunddaten!AP626&lt;&gt;""),IF(Programme_Grunddaten!AP626="Ja",1,0),"")</f>
        <v/>
      </c>
      <c r="AI621" s="1" t="str">
        <f>IF(AND(Programme_Grunddaten!$A626="Geprüft",Programme_Grunddaten!AQ626&lt;&gt;""),IF(Programme_Grunddaten!AQ626="Ja",1,0),"")</f>
        <v/>
      </c>
      <c r="AJ621" s="1" t="str">
        <f>IF(AND(Programme_Grunddaten!$A626="Geprüft",Programme_Grunddaten!AR626&lt;&gt;""),IF(Programme_Grunddaten!AR626="Ja",1,0),"")</f>
        <v/>
      </c>
      <c r="AK621" s="1" t="str">
        <f>IF(AND(Programme_Grunddaten!$A626="Geprüft",Programme_Grunddaten!AS626&lt;&gt;""),IF(Programme_Grunddaten!AS626="Ja",1,0),"")</f>
        <v/>
      </c>
      <c r="AL621" s="1" t="str">
        <f>IF(AND(Programme_Grunddaten!$A626="Geprüft",Programme_Grunddaten!AT626&lt;&gt;""),IF(Programme_Grunddaten!AT626="Ja",1,0),"")</f>
        <v/>
      </c>
      <c r="AM621" s="1" t="str">
        <f>IF(AND(Programme_Grunddaten!$A626="Geprüft",Programme_Grunddaten!AU626&lt;&gt;""),IF(Programme_Grunddaten!AU626="Ja",1,0),"")</f>
        <v/>
      </c>
      <c r="AN621" s="1" t="str">
        <f>IF(AND(Programme_Grunddaten!$A626="Geprüft",Programme_Grunddaten!AV626&lt;&gt;""),IF(Programme_Grunddaten!AV626="Ja",1,0),"")</f>
        <v/>
      </c>
    </row>
    <row r="622" spans="1:40" x14ac:dyDescent="0.3">
      <c r="A622" s="1" t="str">
        <f>IF(AND(Programme_Grunddaten!A627="Geprüft",Programme_Grunddaten!B627&lt;&gt;""),Programme_Grunddaten!B627,"")</f>
        <v/>
      </c>
      <c r="B622" s="1" t="str">
        <f>IF(AND(Programme_Grunddaten!$A627="Geprüft",Programme_Grunddaten!I627&lt;&gt;""),IF(Programme_Grunddaten!I627="Ja",1,0),"")</f>
        <v/>
      </c>
      <c r="C622" s="1" t="str">
        <f>IF(AND(Programme_Grunddaten!$A627="Geprüft",Programme_Grunddaten!J627&lt;&gt;""),IF(Programme_Grunddaten!J627="Ja",1,0),"")</f>
        <v/>
      </c>
      <c r="D622" s="1" t="str">
        <f>IF(AND(Programme_Grunddaten!$A627="Geprüft",Programme_Grunddaten!K627&lt;&gt;""),IF(Programme_Grunddaten!K627="Ja",1,0),"")</f>
        <v/>
      </c>
      <c r="E622" s="1" t="str">
        <f>IF(AND(Programme_Grunddaten!$A627="Geprüft",Programme_Grunddaten!L627&lt;&gt;""),IF(Programme_Grunddaten!L627="Abo / befristete Lizenz",1,0),"")</f>
        <v/>
      </c>
      <c r="F622" s="1" t="str">
        <f>IF(AND(Programme_Grunddaten!$A627="Geprüft",Programme_Grunddaten!M627&lt;&gt;""),IF(Programme_Grunddaten!M627="Ja",1,0),"")</f>
        <v/>
      </c>
      <c r="G622" s="1" t="str">
        <f>IF(AND(Programme_Grunddaten!$A627="Geprüft",Programme_Grunddaten!N627&lt;&gt;""),IF(Programme_Grunddaten!N627="Ja",1,0),"")</f>
        <v/>
      </c>
      <c r="H622" s="1" t="str">
        <f>IF(AND(Programme_Grunddaten!$A627="Geprüft",Programme_Grunddaten!O627&lt;&gt;""),IF(Programme_Grunddaten!O627="Deutschland",0,IF(Programme_Grunddaten!O627="EU",1,2)),"")</f>
        <v/>
      </c>
      <c r="I622" s="1" t="str">
        <f>IF(AND(Programme_Grunddaten!$A627="Geprüft",Programme_Grunddaten!P627&lt;&gt;""),IF(Programme_Grunddaten!P627="Ja",1,0),"")</f>
        <v/>
      </c>
      <c r="J622" s="1" t="str">
        <f>IF(AND(Programme_Grunddaten!$A627="Geprüft",Programme_Grunddaten!Q627&lt;&gt;""),IF(Programme_Grunddaten!Q627="geschlossenes System",1,0),"")</f>
        <v/>
      </c>
      <c r="K622" s="1" t="str">
        <f>IF(AND(Programme_Grunddaten!$A627="Geprüft",Programme_Grunddaten!R627&lt;&gt;""),IF(Programme_Grunddaten!R627="Ja",1,0),"")</f>
        <v/>
      </c>
      <c r="L622" s="1" t="str">
        <f>IF(AND(Programme_Grunddaten!$A627="Geprüft",Programme_Grunddaten!T627&lt;&gt;""),IF(Programme_Grunddaten!T627="Ja",1,0),"")</f>
        <v/>
      </c>
      <c r="M622" s="1" t="str">
        <f>IF(AND(Programme_Grunddaten!$A627="Geprüft",Programme_Grunddaten!U627&lt;&gt;""),IF(Programme_Grunddaten!U627="Ja",1,0),"")</f>
        <v/>
      </c>
      <c r="N622" s="1" t="str">
        <f>IF(AND(Programme_Grunddaten!$A627="Geprüft",Programme_Grunddaten!V627&lt;&gt;""),IF(Programme_Grunddaten!V627="Ja",1,0),"")</f>
        <v/>
      </c>
      <c r="O622" s="1" t="str">
        <f>IF(AND(Programme_Grunddaten!$A627="Geprüft",Programme_Grunddaten!W627&lt;&gt;""),IF(Programme_Grunddaten!W627="Ja",1,0),"")</f>
        <v/>
      </c>
      <c r="P622" s="1" t="str">
        <f>IF(AND(Programme_Grunddaten!$A627="Geprüft",Programme_Grunddaten!X627&lt;&gt;""),IF(Programme_Grunddaten!X627="Ja",1,0),"")</f>
        <v/>
      </c>
      <c r="Q622" s="1" t="str">
        <f>IF(AND(Programme_Grunddaten!$A627="Geprüft",Programme_Grunddaten!Y627&lt;&gt;""),IF(Programme_Grunddaten!Y627="Ja",1,0),"")</f>
        <v/>
      </c>
      <c r="R622" s="1" t="str">
        <f>IF(AND(Programme_Grunddaten!$A627="Geprüft",Programme_Grunddaten!Z627&lt;&gt;""),IF(Programme_Grunddaten!Z627="Ja",1,0),"")</f>
        <v/>
      </c>
      <c r="S622" s="1" t="str">
        <f>IF(AND(Programme_Grunddaten!$A627="Geprüft",Programme_Grunddaten!AA627&lt;&gt;""),IF(Programme_Grunddaten!AA627="monolithisch",1,0),"")</f>
        <v/>
      </c>
      <c r="T622" s="1" t="str">
        <f>IF(AND(Programme_Grunddaten!$A627="Geprüft",Programme_Grunddaten!AB627&lt;&gt;""),IF(Programme_Grunddaten!AB627="Ja",1,0),"")</f>
        <v/>
      </c>
      <c r="U622" s="1" t="str">
        <f>IF(AND(Programme_Grunddaten!$A627="Geprüft",Programme_Grunddaten!AC627&lt;&gt;""),IF(Programme_Grunddaten!AC627="Ja",1,0),"")</f>
        <v/>
      </c>
      <c r="V622" s="1" t="str">
        <f>IF(AND(Programme_Grunddaten!$A627="Geprüft",Programme_Grunddaten!AD627&lt;&gt;""),IF(Programme_Grunddaten!AD627="Ja",1,0),"")</f>
        <v/>
      </c>
      <c r="W622" s="1" t="str">
        <f>IF(AND(Programme_Grunddaten!$A627="Geprüft",Programme_Grunddaten!AE627&lt;&gt;""),IF(Programme_Grunddaten!AE627="Ja",1,0),"")</f>
        <v/>
      </c>
      <c r="X622" s="1" t="str">
        <f>IF(AND(Programme_Grunddaten!$A627="Geprüft",Programme_Grunddaten!AF627&lt;&gt;""),IF(Programme_Grunddaten!AF627="Ja",1,0),"")</f>
        <v/>
      </c>
      <c r="Y622" s="1" t="str">
        <f>IF(AND(Programme_Grunddaten!$A627="Geprüft",Programme_Grunddaten!AG627&lt;&gt;""),IF(Programme_Grunddaten!AG627="Ja",1,0),"")</f>
        <v/>
      </c>
      <c r="Z622" s="1" t="str">
        <f>IF(AND(Programme_Grunddaten!$A627="Geprüft",Programme_Grunddaten!AH627&lt;&gt;""),IF(Programme_Grunddaten!AH627="Ja",1,0),"")</f>
        <v/>
      </c>
      <c r="AA622" s="1" t="str">
        <f>IF(AND(Programme_Grunddaten!$A627="Geprüft",Programme_Grunddaten!AI627&lt;&gt;""),IF(Programme_Grunddaten!AI627="Ja",1,0),"")</f>
        <v/>
      </c>
      <c r="AB622" s="1" t="str">
        <f>IF(AND(Programme_Grunddaten!$A627="Geprüft",Programme_Grunddaten!AJ627&lt;&gt;""),IF(Programme_Grunddaten!AJ627="individuell programmierbar",1,0),"")</f>
        <v/>
      </c>
      <c r="AC622" s="1" t="str">
        <f>IF(AND(Programme_Grunddaten!$A627="Geprüft",Programme_Grunddaten!AK627&lt;&gt;""),IF(Programme_Grunddaten!AK627="Deutsch",0,IF(Programme_Grunddaten!AK627="Deutsch und Englisch",1,2)),"")</f>
        <v/>
      </c>
      <c r="AD622" s="1" t="str">
        <f>IF(AND(Programme_Grunddaten!$A627="Geprüft",Programme_Grunddaten!AL627&lt;&gt;""),IF(Programme_Grunddaten!AL627="Ja",1,0),"")</f>
        <v/>
      </c>
      <c r="AE622" s="1" t="str">
        <f>IF(AND(Programme_Grunddaten!$A627="Geprüft",Programme_Grunddaten!AM627&lt;&gt;""),IF(Programme_Grunddaten!AM627="Ja",1,0),"")</f>
        <v/>
      </c>
      <c r="AF622" s="1" t="str">
        <f>IF(AND(Programme_Grunddaten!$A627="Geprüft",Programme_Grunddaten!AN627&lt;&gt;""),IF(Programme_Grunddaten!AN627="Ja",1,0),"")</f>
        <v/>
      </c>
      <c r="AG622" s="1" t="str">
        <f>IF(AND(Programme_Grunddaten!$A627="Geprüft",Programme_Grunddaten!AO627&lt;&gt;""),IF(Programme_Grunddaten!AO627="Ja",1,0),"")</f>
        <v/>
      </c>
      <c r="AH622" s="1" t="str">
        <f>IF(AND(Programme_Grunddaten!$A627="Geprüft",Programme_Grunddaten!AP627&lt;&gt;""),IF(Programme_Grunddaten!AP627="Ja",1,0),"")</f>
        <v/>
      </c>
      <c r="AI622" s="1" t="str">
        <f>IF(AND(Programme_Grunddaten!$A627="Geprüft",Programme_Grunddaten!AQ627&lt;&gt;""),IF(Programme_Grunddaten!AQ627="Ja",1,0),"")</f>
        <v/>
      </c>
      <c r="AJ622" s="1" t="str">
        <f>IF(AND(Programme_Grunddaten!$A627="Geprüft",Programme_Grunddaten!AR627&lt;&gt;""),IF(Programme_Grunddaten!AR627="Ja",1,0),"")</f>
        <v/>
      </c>
      <c r="AK622" s="1" t="str">
        <f>IF(AND(Programme_Grunddaten!$A627="Geprüft",Programme_Grunddaten!AS627&lt;&gt;""),IF(Programme_Grunddaten!AS627="Ja",1,0),"")</f>
        <v/>
      </c>
      <c r="AL622" s="1" t="str">
        <f>IF(AND(Programme_Grunddaten!$A627="Geprüft",Programme_Grunddaten!AT627&lt;&gt;""),IF(Programme_Grunddaten!AT627="Ja",1,0),"")</f>
        <v/>
      </c>
      <c r="AM622" s="1" t="str">
        <f>IF(AND(Programme_Grunddaten!$A627="Geprüft",Programme_Grunddaten!AU627&lt;&gt;""),IF(Programme_Grunddaten!AU627="Ja",1,0),"")</f>
        <v/>
      </c>
      <c r="AN622" s="1" t="str">
        <f>IF(AND(Programme_Grunddaten!$A627="Geprüft",Programme_Grunddaten!AV627&lt;&gt;""),IF(Programme_Grunddaten!AV627="Ja",1,0),"")</f>
        <v/>
      </c>
    </row>
    <row r="623" spans="1:40" x14ac:dyDescent="0.3">
      <c r="A623" s="1" t="str">
        <f>IF(AND(Programme_Grunddaten!A628="Geprüft",Programme_Grunddaten!B628&lt;&gt;""),Programme_Grunddaten!B628,"")</f>
        <v/>
      </c>
      <c r="B623" s="1" t="str">
        <f>IF(AND(Programme_Grunddaten!$A628="Geprüft",Programme_Grunddaten!I628&lt;&gt;""),IF(Programme_Grunddaten!I628="Ja",1,0),"")</f>
        <v/>
      </c>
      <c r="C623" s="1" t="str">
        <f>IF(AND(Programme_Grunddaten!$A628="Geprüft",Programme_Grunddaten!J628&lt;&gt;""),IF(Programme_Grunddaten!J628="Ja",1,0),"")</f>
        <v/>
      </c>
      <c r="D623" s="1" t="str">
        <f>IF(AND(Programme_Grunddaten!$A628="Geprüft",Programme_Grunddaten!K628&lt;&gt;""),IF(Programme_Grunddaten!K628="Ja",1,0),"")</f>
        <v/>
      </c>
      <c r="E623" s="1" t="str">
        <f>IF(AND(Programme_Grunddaten!$A628="Geprüft",Programme_Grunddaten!L628&lt;&gt;""),IF(Programme_Grunddaten!L628="Abo / befristete Lizenz",1,0),"")</f>
        <v/>
      </c>
      <c r="F623" s="1" t="str">
        <f>IF(AND(Programme_Grunddaten!$A628="Geprüft",Programme_Grunddaten!M628&lt;&gt;""),IF(Programme_Grunddaten!M628="Ja",1,0),"")</f>
        <v/>
      </c>
      <c r="G623" s="1" t="str">
        <f>IF(AND(Programme_Grunddaten!$A628="Geprüft",Programme_Grunddaten!N628&lt;&gt;""),IF(Programme_Grunddaten!N628="Ja",1,0),"")</f>
        <v/>
      </c>
      <c r="H623" s="1" t="str">
        <f>IF(AND(Programme_Grunddaten!$A628="Geprüft",Programme_Grunddaten!O628&lt;&gt;""),IF(Programme_Grunddaten!O628="Deutschland",0,IF(Programme_Grunddaten!O628="EU",1,2)),"")</f>
        <v/>
      </c>
      <c r="I623" s="1" t="str">
        <f>IF(AND(Programme_Grunddaten!$A628="Geprüft",Programme_Grunddaten!P628&lt;&gt;""),IF(Programme_Grunddaten!P628="Ja",1,0),"")</f>
        <v/>
      </c>
      <c r="J623" s="1" t="str">
        <f>IF(AND(Programme_Grunddaten!$A628="Geprüft",Programme_Grunddaten!Q628&lt;&gt;""),IF(Programme_Grunddaten!Q628="geschlossenes System",1,0),"")</f>
        <v/>
      </c>
      <c r="K623" s="1" t="str">
        <f>IF(AND(Programme_Grunddaten!$A628="Geprüft",Programme_Grunddaten!R628&lt;&gt;""),IF(Programme_Grunddaten!R628="Ja",1,0),"")</f>
        <v/>
      </c>
      <c r="L623" s="1" t="str">
        <f>IF(AND(Programme_Grunddaten!$A628="Geprüft",Programme_Grunddaten!T628&lt;&gt;""),IF(Programme_Grunddaten!T628="Ja",1,0),"")</f>
        <v/>
      </c>
      <c r="M623" s="1" t="str">
        <f>IF(AND(Programme_Grunddaten!$A628="Geprüft",Programme_Grunddaten!U628&lt;&gt;""),IF(Programme_Grunddaten!U628="Ja",1,0),"")</f>
        <v/>
      </c>
      <c r="N623" s="1" t="str">
        <f>IF(AND(Programme_Grunddaten!$A628="Geprüft",Programme_Grunddaten!V628&lt;&gt;""),IF(Programme_Grunddaten!V628="Ja",1,0),"")</f>
        <v/>
      </c>
      <c r="O623" s="1" t="str">
        <f>IF(AND(Programme_Grunddaten!$A628="Geprüft",Programme_Grunddaten!W628&lt;&gt;""),IF(Programme_Grunddaten!W628="Ja",1,0),"")</f>
        <v/>
      </c>
      <c r="P623" s="1" t="str">
        <f>IF(AND(Programme_Grunddaten!$A628="Geprüft",Programme_Grunddaten!X628&lt;&gt;""),IF(Programme_Grunddaten!X628="Ja",1,0),"")</f>
        <v/>
      </c>
      <c r="Q623" s="1" t="str">
        <f>IF(AND(Programme_Grunddaten!$A628="Geprüft",Programme_Grunddaten!Y628&lt;&gt;""),IF(Programme_Grunddaten!Y628="Ja",1,0),"")</f>
        <v/>
      </c>
      <c r="R623" s="1" t="str">
        <f>IF(AND(Programme_Grunddaten!$A628="Geprüft",Programme_Grunddaten!Z628&lt;&gt;""),IF(Programme_Grunddaten!Z628="Ja",1,0),"")</f>
        <v/>
      </c>
      <c r="S623" s="1" t="str">
        <f>IF(AND(Programme_Grunddaten!$A628="Geprüft",Programme_Grunddaten!AA628&lt;&gt;""),IF(Programme_Grunddaten!AA628="monolithisch",1,0),"")</f>
        <v/>
      </c>
      <c r="T623" s="1" t="str">
        <f>IF(AND(Programme_Grunddaten!$A628="Geprüft",Programme_Grunddaten!AB628&lt;&gt;""),IF(Programme_Grunddaten!AB628="Ja",1,0),"")</f>
        <v/>
      </c>
      <c r="U623" s="1" t="str">
        <f>IF(AND(Programme_Grunddaten!$A628="Geprüft",Programme_Grunddaten!AC628&lt;&gt;""),IF(Programme_Grunddaten!AC628="Ja",1,0),"")</f>
        <v/>
      </c>
      <c r="V623" s="1" t="str">
        <f>IF(AND(Programme_Grunddaten!$A628="Geprüft",Programme_Grunddaten!AD628&lt;&gt;""),IF(Programme_Grunddaten!AD628="Ja",1,0),"")</f>
        <v/>
      </c>
      <c r="W623" s="1" t="str">
        <f>IF(AND(Programme_Grunddaten!$A628="Geprüft",Programme_Grunddaten!AE628&lt;&gt;""),IF(Programme_Grunddaten!AE628="Ja",1,0),"")</f>
        <v/>
      </c>
      <c r="X623" s="1" t="str">
        <f>IF(AND(Programme_Grunddaten!$A628="Geprüft",Programme_Grunddaten!AF628&lt;&gt;""),IF(Programme_Grunddaten!AF628="Ja",1,0),"")</f>
        <v/>
      </c>
      <c r="Y623" s="1" t="str">
        <f>IF(AND(Programme_Grunddaten!$A628="Geprüft",Programme_Grunddaten!AG628&lt;&gt;""),IF(Programme_Grunddaten!AG628="Ja",1,0),"")</f>
        <v/>
      </c>
      <c r="Z623" s="1" t="str">
        <f>IF(AND(Programme_Grunddaten!$A628="Geprüft",Programme_Grunddaten!AH628&lt;&gt;""),IF(Programme_Grunddaten!AH628="Ja",1,0),"")</f>
        <v/>
      </c>
      <c r="AA623" s="1" t="str">
        <f>IF(AND(Programme_Grunddaten!$A628="Geprüft",Programme_Grunddaten!AI628&lt;&gt;""),IF(Programme_Grunddaten!AI628="Ja",1,0),"")</f>
        <v/>
      </c>
      <c r="AB623" s="1" t="str">
        <f>IF(AND(Programme_Grunddaten!$A628="Geprüft",Programme_Grunddaten!AJ628&lt;&gt;""),IF(Programme_Grunddaten!AJ628="individuell programmierbar",1,0),"")</f>
        <v/>
      </c>
      <c r="AC623" s="1" t="str">
        <f>IF(AND(Programme_Grunddaten!$A628="Geprüft",Programme_Grunddaten!AK628&lt;&gt;""),IF(Programme_Grunddaten!AK628="Deutsch",0,IF(Programme_Grunddaten!AK628="Deutsch und Englisch",1,2)),"")</f>
        <v/>
      </c>
      <c r="AD623" s="1" t="str">
        <f>IF(AND(Programme_Grunddaten!$A628="Geprüft",Programme_Grunddaten!AL628&lt;&gt;""),IF(Programme_Grunddaten!AL628="Ja",1,0),"")</f>
        <v/>
      </c>
      <c r="AE623" s="1" t="str">
        <f>IF(AND(Programme_Grunddaten!$A628="Geprüft",Programme_Grunddaten!AM628&lt;&gt;""),IF(Programme_Grunddaten!AM628="Ja",1,0),"")</f>
        <v/>
      </c>
      <c r="AF623" s="1" t="str">
        <f>IF(AND(Programme_Grunddaten!$A628="Geprüft",Programme_Grunddaten!AN628&lt;&gt;""),IF(Programme_Grunddaten!AN628="Ja",1,0),"")</f>
        <v/>
      </c>
      <c r="AG623" s="1" t="str">
        <f>IF(AND(Programme_Grunddaten!$A628="Geprüft",Programme_Grunddaten!AO628&lt;&gt;""),IF(Programme_Grunddaten!AO628="Ja",1,0),"")</f>
        <v/>
      </c>
      <c r="AH623" s="1" t="str">
        <f>IF(AND(Programme_Grunddaten!$A628="Geprüft",Programme_Grunddaten!AP628&lt;&gt;""),IF(Programme_Grunddaten!AP628="Ja",1,0),"")</f>
        <v/>
      </c>
      <c r="AI623" s="1" t="str">
        <f>IF(AND(Programme_Grunddaten!$A628="Geprüft",Programme_Grunddaten!AQ628&lt;&gt;""),IF(Programme_Grunddaten!AQ628="Ja",1,0),"")</f>
        <v/>
      </c>
      <c r="AJ623" s="1" t="str">
        <f>IF(AND(Programme_Grunddaten!$A628="Geprüft",Programme_Grunddaten!AR628&lt;&gt;""),IF(Programme_Grunddaten!AR628="Ja",1,0),"")</f>
        <v/>
      </c>
      <c r="AK623" s="1" t="str">
        <f>IF(AND(Programme_Grunddaten!$A628="Geprüft",Programme_Grunddaten!AS628&lt;&gt;""),IF(Programme_Grunddaten!AS628="Ja",1,0),"")</f>
        <v/>
      </c>
      <c r="AL623" s="1" t="str">
        <f>IF(AND(Programme_Grunddaten!$A628="Geprüft",Programme_Grunddaten!AT628&lt;&gt;""),IF(Programme_Grunddaten!AT628="Ja",1,0),"")</f>
        <v/>
      </c>
      <c r="AM623" s="1" t="str">
        <f>IF(AND(Programme_Grunddaten!$A628="Geprüft",Programme_Grunddaten!AU628&lt;&gt;""),IF(Programme_Grunddaten!AU628="Ja",1,0),"")</f>
        <v/>
      </c>
      <c r="AN623" s="1" t="str">
        <f>IF(AND(Programme_Grunddaten!$A628="Geprüft",Programme_Grunddaten!AV628&lt;&gt;""),IF(Programme_Grunddaten!AV628="Ja",1,0),"")</f>
        <v/>
      </c>
    </row>
    <row r="624" spans="1:40" x14ac:dyDescent="0.3">
      <c r="A624" s="1" t="str">
        <f>IF(AND(Programme_Grunddaten!A629="Geprüft",Programme_Grunddaten!B629&lt;&gt;""),Programme_Grunddaten!B629,"")</f>
        <v/>
      </c>
      <c r="B624" s="1" t="str">
        <f>IF(AND(Programme_Grunddaten!$A629="Geprüft",Programme_Grunddaten!I629&lt;&gt;""),IF(Programme_Grunddaten!I629="Ja",1,0),"")</f>
        <v/>
      </c>
      <c r="C624" s="1" t="str">
        <f>IF(AND(Programme_Grunddaten!$A629="Geprüft",Programme_Grunddaten!J629&lt;&gt;""),IF(Programme_Grunddaten!J629="Ja",1,0),"")</f>
        <v/>
      </c>
      <c r="D624" s="1" t="str">
        <f>IF(AND(Programme_Grunddaten!$A629="Geprüft",Programme_Grunddaten!K629&lt;&gt;""),IF(Programme_Grunddaten!K629="Ja",1,0),"")</f>
        <v/>
      </c>
      <c r="E624" s="1" t="str">
        <f>IF(AND(Programme_Grunddaten!$A629="Geprüft",Programme_Grunddaten!L629&lt;&gt;""),IF(Programme_Grunddaten!L629="Abo / befristete Lizenz",1,0),"")</f>
        <v/>
      </c>
      <c r="F624" s="1" t="str">
        <f>IF(AND(Programme_Grunddaten!$A629="Geprüft",Programme_Grunddaten!M629&lt;&gt;""),IF(Programme_Grunddaten!M629="Ja",1,0),"")</f>
        <v/>
      </c>
      <c r="G624" s="1" t="str">
        <f>IF(AND(Programme_Grunddaten!$A629="Geprüft",Programme_Grunddaten!N629&lt;&gt;""),IF(Programme_Grunddaten!N629="Ja",1,0),"")</f>
        <v/>
      </c>
      <c r="H624" s="1" t="str">
        <f>IF(AND(Programme_Grunddaten!$A629="Geprüft",Programme_Grunddaten!O629&lt;&gt;""),IF(Programme_Grunddaten!O629="Deutschland",0,IF(Programme_Grunddaten!O629="EU",1,2)),"")</f>
        <v/>
      </c>
      <c r="I624" s="1" t="str">
        <f>IF(AND(Programme_Grunddaten!$A629="Geprüft",Programme_Grunddaten!P629&lt;&gt;""),IF(Programme_Grunddaten!P629="Ja",1,0),"")</f>
        <v/>
      </c>
      <c r="J624" s="1" t="str">
        <f>IF(AND(Programme_Grunddaten!$A629="Geprüft",Programme_Grunddaten!Q629&lt;&gt;""),IF(Programme_Grunddaten!Q629="geschlossenes System",1,0),"")</f>
        <v/>
      </c>
      <c r="K624" s="1" t="str">
        <f>IF(AND(Programme_Grunddaten!$A629="Geprüft",Programme_Grunddaten!R629&lt;&gt;""),IF(Programme_Grunddaten!R629="Ja",1,0),"")</f>
        <v/>
      </c>
      <c r="L624" s="1" t="str">
        <f>IF(AND(Programme_Grunddaten!$A629="Geprüft",Programme_Grunddaten!T629&lt;&gt;""),IF(Programme_Grunddaten!T629="Ja",1,0),"")</f>
        <v/>
      </c>
      <c r="M624" s="1" t="str">
        <f>IF(AND(Programme_Grunddaten!$A629="Geprüft",Programme_Grunddaten!U629&lt;&gt;""),IF(Programme_Grunddaten!U629="Ja",1,0),"")</f>
        <v/>
      </c>
      <c r="N624" s="1" t="str">
        <f>IF(AND(Programme_Grunddaten!$A629="Geprüft",Programme_Grunddaten!V629&lt;&gt;""),IF(Programme_Grunddaten!V629="Ja",1,0),"")</f>
        <v/>
      </c>
      <c r="O624" s="1" t="str">
        <f>IF(AND(Programme_Grunddaten!$A629="Geprüft",Programme_Grunddaten!W629&lt;&gt;""),IF(Programme_Grunddaten!W629="Ja",1,0),"")</f>
        <v/>
      </c>
      <c r="P624" s="1" t="str">
        <f>IF(AND(Programme_Grunddaten!$A629="Geprüft",Programme_Grunddaten!X629&lt;&gt;""),IF(Programme_Grunddaten!X629="Ja",1,0),"")</f>
        <v/>
      </c>
      <c r="Q624" s="1" t="str">
        <f>IF(AND(Programme_Grunddaten!$A629="Geprüft",Programme_Grunddaten!Y629&lt;&gt;""),IF(Programme_Grunddaten!Y629="Ja",1,0),"")</f>
        <v/>
      </c>
      <c r="R624" s="1" t="str">
        <f>IF(AND(Programme_Grunddaten!$A629="Geprüft",Programme_Grunddaten!Z629&lt;&gt;""),IF(Programme_Grunddaten!Z629="Ja",1,0),"")</f>
        <v/>
      </c>
      <c r="S624" s="1" t="str">
        <f>IF(AND(Programme_Grunddaten!$A629="Geprüft",Programme_Grunddaten!AA629&lt;&gt;""),IF(Programme_Grunddaten!AA629="monolithisch",1,0),"")</f>
        <v/>
      </c>
      <c r="T624" s="1" t="str">
        <f>IF(AND(Programme_Grunddaten!$A629="Geprüft",Programme_Grunddaten!AB629&lt;&gt;""),IF(Programme_Grunddaten!AB629="Ja",1,0),"")</f>
        <v/>
      </c>
      <c r="U624" s="1" t="str">
        <f>IF(AND(Programme_Grunddaten!$A629="Geprüft",Programme_Grunddaten!AC629&lt;&gt;""),IF(Programme_Grunddaten!AC629="Ja",1,0),"")</f>
        <v/>
      </c>
      <c r="V624" s="1" t="str">
        <f>IF(AND(Programme_Grunddaten!$A629="Geprüft",Programme_Grunddaten!AD629&lt;&gt;""),IF(Programme_Grunddaten!AD629="Ja",1,0),"")</f>
        <v/>
      </c>
      <c r="W624" s="1" t="str">
        <f>IF(AND(Programme_Grunddaten!$A629="Geprüft",Programme_Grunddaten!AE629&lt;&gt;""),IF(Programme_Grunddaten!AE629="Ja",1,0),"")</f>
        <v/>
      </c>
      <c r="X624" s="1" t="str">
        <f>IF(AND(Programme_Grunddaten!$A629="Geprüft",Programme_Grunddaten!AF629&lt;&gt;""),IF(Programme_Grunddaten!AF629="Ja",1,0),"")</f>
        <v/>
      </c>
      <c r="Y624" s="1" t="str">
        <f>IF(AND(Programme_Grunddaten!$A629="Geprüft",Programme_Grunddaten!AG629&lt;&gt;""),IF(Programme_Grunddaten!AG629="Ja",1,0),"")</f>
        <v/>
      </c>
      <c r="Z624" s="1" t="str">
        <f>IF(AND(Programme_Grunddaten!$A629="Geprüft",Programme_Grunddaten!AH629&lt;&gt;""),IF(Programme_Grunddaten!AH629="Ja",1,0),"")</f>
        <v/>
      </c>
      <c r="AA624" s="1" t="str">
        <f>IF(AND(Programme_Grunddaten!$A629="Geprüft",Programme_Grunddaten!AI629&lt;&gt;""),IF(Programme_Grunddaten!AI629="Ja",1,0),"")</f>
        <v/>
      </c>
      <c r="AB624" s="1" t="str">
        <f>IF(AND(Programme_Grunddaten!$A629="Geprüft",Programme_Grunddaten!AJ629&lt;&gt;""),IF(Programme_Grunddaten!AJ629="individuell programmierbar",1,0),"")</f>
        <v/>
      </c>
      <c r="AC624" s="1" t="str">
        <f>IF(AND(Programme_Grunddaten!$A629="Geprüft",Programme_Grunddaten!AK629&lt;&gt;""),IF(Programme_Grunddaten!AK629="Deutsch",0,IF(Programme_Grunddaten!AK629="Deutsch und Englisch",1,2)),"")</f>
        <v/>
      </c>
      <c r="AD624" s="1" t="str">
        <f>IF(AND(Programme_Grunddaten!$A629="Geprüft",Programme_Grunddaten!AL629&lt;&gt;""),IF(Programme_Grunddaten!AL629="Ja",1,0),"")</f>
        <v/>
      </c>
      <c r="AE624" s="1" t="str">
        <f>IF(AND(Programme_Grunddaten!$A629="Geprüft",Programme_Grunddaten!AM629&lt;&gt;""),IF(Programme_Grunddaten!AM629="Ja",1,0),"")</f>
        <v/>
      </c>
      <c r="AF624" s="1" t="str">
        <f>IF(AND(Programme_Grunddaten!$A629="Geprüft",Programme_Grunddaten!AN629&lt;&gt;""),IF(Programme_Grunddaten!AN629="Ja",1,0),"")</f>
        <v/>
      </c>
      <c r="AG624" s="1" t="str">
        <f>IF(AND(Programme_Grunddaten!$A629="Geprüft",Programme_Grunddaten!AO629&lt;&gt;""),IF(Programme_Grunddaten!AO629="Ja",1,0),"")</f>
        <v/>
      </c>
      <c r="AH624" s="1" t="str">
        <f>IF(AND(Programme_Grunddaten!$A629="Geprüft",Programme_Grunddaten!AP629&lt;&gt;""),IF(Programme_Grunddaten!AP629="Ja",1,0),"")</f>
        <v/>
      </c>
      <c r="AI624" s="1" t="str">
        <f>IF(AND(Programme_Grunddaten!$A629="Geprüft",Programme_Grunddaten!AQ629&lt;&gt;""),IF(Programme_Grunddaten!AQ629="Ja",1,0),"")</f>
        <v/>
      </c>
      <c r="AJ624" s="1" t="str">
        <f>IF(AND(Programme_Grunddaten!$A629="Geprüft",Programme_Grunddaten!AR629&lt;&gt;""),IF(Programme_Grunddaten!AR629="Ja",1,0),"")</f>
        <v/>
      </c>
      <c r="AK624" s="1" t="str">
        <f>IF(AND(Programme_Grunddaten!$A629="Geprüft",Programme_Grunddaten!AS629&lt;&gt;""),IF(Programme_Grunddaten!AS629="Ja",1,0),"")</f>
        <v/>
      </c>
      <c r="AL624" s="1" t="str">
        <f>IF(AND(Programme_Grunddaten!$A629="Geprüft",Programme_Grunddaten!AT629&lt;&gt;""),IF(Programme_Grunddaten!AT629="Ja",1,0),"")</f>
        <v/>
      </c>
      <c r="AM624" s="1" t="str">
        <f>IF(AND(Programme_Grunddaten!$A629="Geprüft",Programme_Grunddaten!AU629&lt;&gt;""),IF(Programme_Grunddaten!AU629="Ja",1,0),"")</f>
        <v/>
      </c>
      <c r="AN624" s="1" t="str">
        <f>IF(AND(Programme_Grunddaten!$A629="Geprüft",Programme_Grunddaten!AV629&lt;&gt;""),IF(Programme_Grunddaten!AV629="Ja",1,0),"")</f>
        <v/>
      </c>
    </row>
    <row r="625" spans="1:40" x14ac:dyDescent="0.3">
      <c r="A625" s="1" t="str">
        <f>IF(AND(Programme_Grunddaten!A630="Geprüft",Programme_Grunddaten!B630&lt;&gt;""),Programme_Grunddaten!B630,"")</f>
        <v/>
      </c>
      <c r="B625" s="1" t="str">
        <f>IF(AND(Programme_Grunddaten!$A630="Geprüft",Programme_Grunddaten!I630&lt;&gt;""),IF(Programme_Grunddaten!I630="Ja",1,0),"")</f>
        <v/>
      </c>
      <c r="C625" s="1" t="str">
        <f>IF(AND(Programme_Grunddaten!$A630="Geprüft",Programme_Grunddaten!J630&lt;&gt;""),IF(Programme_Grunddaten!J630="Ja",1,0),"")</f>
        <v/>
      </c>
      <c r="D625" s="1" t="str">
        <f>IF(AND(Programme_Grunddaten!$A630="Geprüft",Programme_Grunddaten!K630&lt;&gt;""),IF(Programme_Grunddaten!K630="Ja",1,0),"")</f>
        <v/>
      </c>
      <c r="E625" s="1" t="str">
        <f>IF(AND(Programme_Grunddaten!$A630="Geprüft",Programme_Grunddaten!L630&lt;&gt;""),IF(Programme_Grunddaten!L630="Abo / befristete Lizenz",1,0),"")</f>
        <v/>
      </c>
      <c r="F625" s="1" t="str">
        <f>IF(AND(Programme_Grunddaten!$A630="Geprüft",Programme_Grunddaten!M630&lt;&gt;""),IF(Programme_Grunddaten!M630="Ja",1,0),"")</f>
        <v/>
      </c>
      <c r="G625" s="1" t="str">
        <f>IF(AND(Programme_Grunddaten!$A630="Geprüft",Programme_Grunddaten!N630&lt;&gt;""),IF(Programme_Grunddaten!N630="Ja",1,0),"")</f>
        <v/>
      </c>
      <c r="H625" s="1" t="str">
        <f>IF(AND(Programme_Grunddaten!$A630="Geprüft",Programme_Grunddaten!O630&lt;&gt;""),IF(Programme_Grunddaten!O630="Deutschland",0,IF(Programme_Grunddaten!O630="EU",1,2)),"")</f>
        <v/>
      </c>
      <c r="I625" s="1" t="str">
        <f>IF(AND(Programme_Grunddaten!$A630="Geprüft",Programme_Grunddaten!P630&lt;&gt;""),IF(Programme_Grunddaten!P630="Ja",1,0),"")</f>
        <v/>
      </c>
      <c r="J625" s="1" t="str">
        <f>IF(AND(Programme_Grunddaten!$A630="Geprüft",Programme_Grunddaten!Q630&lt;&gt;""),IF(Programme_Grunddaten!Q630="geschlossenes System",1,0),"")</f>
        <v/>
      </c>
      <c r="K625" s="1" t="str">
        <f>IF(AND(Programme_Grunddaten!$A630="Geprüft",Programme_Grunddaten!R630&lt;&gt;""),IF(Programme_Grunddaten!R630="Ja",1,0),"")</f>
        <v/>
      </c>
      <c r="L625" s="1" t="str">
        <f>IF(AND(Programme_Grunddaten!$A630="Geprüft",Programme_Grunddaten!T630&lt;&gt;""),IF(Programme_Grunddaten!T630="Ja",1,0),"")</f>
        <v/>
      </c>
      <c r="M625" s="1" t="str">
        <f>IF(AND(Programme_Grunddaten!$A630="Geprüft",Programme_Grunddaten!U630&lt;&gt;""),IF(Programme_Grunddaten!U630="Ja",1,0),"")</f>
        <v/>
      </c>
      <c r="N625" s="1" t="str">
        <f>IF(AND(Programme_Grunddaten!$A630="Geprüft",Programme_Grunddaten!V630&lt;&gt;""),IF(Programme_Grunddaten!V630="Ja",1,0),"")</f>
        <v/>
      </c>
      <c r="O625" s="1" t="str">
        <f>IF(AND(Programme_Grunddaten!$A630="Geprüft",Programme_Grunddaten!W630&lt;&gt;""),IF(Programme_Grunddaten!W630="Ja",1,0),"")</f>
        <v/>
      </c>
      <c r="P625" s="1" t="str">
        <f>IF(AND(Programme_Grunddaten!$A630="Geprüft",Programme_Grunddaten!X630&lt;&gt;""),IF(Programme_Grunddaten!X630="Ja",1,0),"")</f>
        <v/>
      </c>
      <c r="Q625" s="1" t="str">
        <f>IF(AND(Programme_Grunddaten!$A630="Geprüft",Programme_Grunddaten!Y630&lt;&gt;""),IF(Programme_Grunddaten!Y630="Ja",1,0),"")</f>
        <v/>
      </c>
      <c r="R625" s="1" t="str">
        <f>IF(AND(Programme_Grunddaten!$A630="Geprüft",Programme_Grunddaten!Z630&lt;&gt;""),IF(Programme_Grunddaten!Z630="Ja",1,0),"")</f>
        <v/>
      </c>
      <c r="S625" s="1" t="str">
        <f>IF(AND(Programme_Grunddaten!$A630="Geprüft",Programme_Grunddaten!AA630&lt;&gt;""),IF(Programme_Grunddaten!AA630="monolithisch",1,0),"")</f>
        <v/>
      </c>
      <c r="T625" s="1" t="str">
        <f>IF(AND(Programme_Grunddaten!$A630="Geprüft",Programme_Grunddaten!AB630&lt;&gt;""),IF(Programme_Grunddaten!AB630="Ja",1,0),"")</f>
        <v/>
      </c>
      <c r="U625" s="1" t="str">
        <f>IF(AND(Programme_Grunddaten!$A630="Geprüft",Programme_Grunddaten!AC630&lt;&gt;""),IF(Programme_Grunddaten!AC630="Ja",1,0),"")</f>
        <v/>
      </c>
      <c r="V625" s="1" t="str">
        <f>IF(AND(Programme_Grunddaten!$A630="Geprüft",Programme_Grunddaten!AD630&lt;&gt;""),IF(Programme_Grunddaten!AD630="Ja",1,0),"")</f>
        <v/>
      </c>
      <c r="W625" s="1" t="str">
        <f>IF(AND(Programme_Grunddaten!$A630="Geprüft",Programme_Grunddaten!AE630&lt;&gt;""),IF(Programme_Grunddaten!AE630="Ja",1,0),"")</f>
        <v/>
      </c>
      <c r="X625" s="1" t="str">
        <f>IF(AND(Programme_Grunddaten!$A630="Geprüft",Programme_Grunddaten!AF630&lt;&gt;""),IF(Programme_Grunddaten!AF630="Ja",1,0),"")</f>
        <v/>
      </c>
      <c r="Y625" s="1" t="str">
        <f>IF(AND(Programme_Grunddaten!$A630="Geprüft",Programme_Grunddaten!AG630&lt;&gt;""),IF(Programme_Grunddaten!AG630="Ja",1,0),"")</f>
        <v/>
      </c>
      <c r="Z625" s="1" t="str">
        <f>IF(AND(Programme_Grunddaten!$A630="Geprüft",Programme_Grunddaten!AH630&lt;&gt;""),IF(Programme_Grunddaten!AH630="Ja",1,0),"")</f>
        <v/>
      </c>
      <c r="AA625" s="1" t="str">
        <f>IF(AND(Programme_Grunddaten!$A630="Geprüft",Programme_Grunddaten!AI630&lt;&gt;""),IF(Programme_Grunddaten!AI630="Ja",1,0),"")</f>
        <v/>
      </c>
      <c r="AB625" s="1" t="str">
        <f>IF(AND(Programme_Grunddaten!$A630="Geprüft",Programme_Grunddaten!AJ630&lt;&gt;""),IF(Programme_Grunddaten!AJ630="individuell programmierbar",1,0),"")</f>
        <v/>
      </c>
      <c r="AC625" s="1" t="str">
        <f>IF(AND(Programme_Grunddaten!$A630="Geprüft",Programme_Grunddaten!AK630&lt;&gt;""),IF(Programme_Grunddaten!AK630="Deutsch",0,IF(Programme_Grunddaten!AK630="Deutsch und Englisch",1,2)),"")</f>
        <v/>
      </c>
      <c r="AD625" s="1" t="str">
        <f>IF(AND(Programme_Grunddaten!$A630="Geprüft",Programme_Grunddaten!AL630&lt;&gt;""),IF(Programme_Grunddaten!AL630="Ja",1,0),"")</f>
        <v/>
      </c>
      <c r="AE625" s="1" t="str">
        <f>IF(AND(Programme_Grunddaten!$A630="Geprüft",Programme_Grunddaten!AM630&lt;&gt;""),IF(Programme_Grunddaten!AM630="Ja",1,0),"")</f>
        <v/>
      </c>
      <c r="AF625" s="1" t="str">
        <f>IF(AND(Programme_Grunddaten!$A630="Geprüft",Programme_Grunddaten!AN630&lt;&gt;""),IF(Programme_Grunddaten!AN630="Ja",1,0),"")</f>
        <v/>
      </c>
      <c r="AG625" s="1" t="str">
        <f>IF(AND(Programme_Grunddaten!$A630="Geprüft",Programme_Grunddaten!AO630&lt;&gt;""),IF(Programme_Grunddaten!AO630="Ja",1,0),"")</f>
        <v/>
      </c>
      <c r="AH625" s="1" t="str">
        <f>IF(AND(Programme_Grunddaten!$A630="Geprüft",Programme_Grunddaten!AP630&lt;&gt;""),IF(Programme_Grunddaten!AP630="Ja",1,0),"")</f>
        <v/>
      </c>
      <c r="AI625" s="1" t="str">
        <f>IF(AND(Programme_Grunddaten!$A630="Geprüft",Programme_Grunddaten!AQ630&lt;&gt;""),IF(Programme_Grunddaten!AQ630="Ja",1,0),"")</f>
        <v/>
      </c>
      <c r="AJ625" s="1" t="str">
        <f>IF(AND(Programme_Grunddaten!$A630="Geprüft",Programme_Grunddaten!AR630&lt;&gt;""),IF(Programme_Grunddaten!AR630="Ja",1,0),"")</f>
        <v/>
      </c>
      <c r="AK625" s="1" t="str">
        <f>IF(AND(Programme_Grunddaten!$A630="Geprüft",Programme_Grunddaten!AS630&lt;&gt;""),IF(Programme_Grunddaten!AS630="Ja",1,0),"")</f>
        <v/>
      </c>
      <c r="AL625" s="1" t="str">
        <f>IF(AND(Programme_Grunddaten!$A630="Geprüft",Programme_Grunddaten!AT630&lt;&gt;""),IF(Programme_Grunddaten!AT630="Ja",1,0),"")</f>
        <v/>
      </c>
      <c r="AM625" s="1" t="str">
        <f>IF(AND(Programme_Grunddaten!$A630="Geprüft",Programme_Grunddaten!AU630&lt;&gt;""),IF(Programme_Grunddaten!AU630="Ja",1,0),"")</f>
        <v/>
      </c>
      <c r="AN625" s="1" t="str">
        <f>IF(AND(Programme_Grunddaten!$A630="Geprüft",Programme_Grunddaten!AV630&lt;&gt;""),IF(Programme_Grunddaten!AV630="Ja",1,0),"")</f>
        <v/>
      </c>
    </row>
    <row r="626" spans="1:40" x14ac:dyDescent="0.3">
      <c r="A626" s="1" t="str">
        <f>IF(AND(Programme_Grunddaten!A631="Geprüft",Programme_Grunddaten!B631&lt;&gt;""),Programme_Grunddaten!B631,"")</f>
        <v/>
      </c>
      <c r="B626" s="1" t="str">
        <f>IF(AND(Programme_Grunddaten!$A631="Geprüft",Programme_Grunddaten!I631&lt;&gt;""),IF(Programme_Grunddaten!I631="Ja",1,0),"")</f>
        <v/>
      </c>
      <c r="C626" s="1" t="str">
        <f>IF(AND(Programme_Grunddaten!$A631="Geprüft",Programme_Grunddaten!J631&lt;&gt;""),IF(Programme_Grunddaten!J631="Ja",1,0),"")</f>
        <v/>
      </c>
      <c r="D626" s="1" t="str">
        <f>IF(AND(Programme_Grunddaten!$A631="Geprüft",Programme_Grunddaten!K631&lt;&gt;""),IF(Programme_Grunddaten!K631="Ja",1,0),"")</f>
        <v/>
      </c>
      <c r="E626" s="1" t="str">
        <f>IF(AND(Programme_Grunddaten!$A631="Geprüft",Programme_Grunddaten!L631&lt;&gt;""),IF(Programme_Grunddaten!L631="Abo / befristete Lizenz",1,0),"")</f>
        <v/>
      </c>
      <c r="F626" s="1" t="str">
        <f>IF(AND(Programme_Grunddaten!$A631="Geprüft",Programme_Grunddaten!M631&lt;&gt;""),IF(Programme_Grunddaten!M631="Ja",1,0),"")</f>
        <v/>
      </c>
      <c r="G626" s="1" t="str">
        <f>IF(AND(Programme_Grunddaten!$A631="Geprüft",Programme_Grunddaten!N631&lt;&gt;""),IF(Programme_Grunddaten!N631="Ja",1,0),"")</f>
        <v/>
      </c>
      <c r="H626" s="1" t="str">
        <f>IF(AND(Programme_Grunddaten!$A631="Geprüft",Programme_Grunddaten!O631&lt;&gt;""),IF(Programme_Grunddaten!O631="Deutschland",0,IF(Programme_Grunddaten!O631="EU",1,2)),"")</f>
        <v/>
      </c>
      <c r="I626" s="1" t="str">
        <f>IF(AND(Programme_Grunddaten!$A631="Geprüft",Programme_Grunddaten!P631&lt;&gt;""),IF(Programme_Grunddaten!P631="Ja",1,0),"")</f>
        <v/>
      </c>
      <c r="J626" s="1" t="str">
        <f>IF(AND(Programme_Grunddaten!$A631="Geprüft",Programme_Grunddaten!Q631&lt;&gt;""),IF(Programme_Grunddaten!Q631="geschlossenes System",1,0),"")</f>
        <v/>
      </c>
      <c r="K626" s="1" t="str">
        <f>IF(AND(Programme_Grunddaten!$A631="Geprüft",Programme_Grunddaten!R631&lt;&gt;""),IF(Programme_Grunddaten!R631="Ja",1,0),"")</f>
        <v/>
      </c>
      <c r="L626" s="1" t="str">
        <f>IF(AND(Programme_Grunddaten!$A631="Geprüft",Programme_Grunddaten!T631&lt;&gt;""),IF(Programme_Grunddaten!T631="Ja",1,0),"")</f>
        <v/>
      </c>
      <c r="M626" s="1" t="str">
        <f>IF(AND(Programme_Grunddaten!$A631="Geprüft",Programme_Grunddaten!U631&lt;&gt;""),IF(Programme_Grunddaten!U631="Ja",1,0),"")</f>
        <v/>
      </c>
      <c r="N626" s="1" t="str">
        <f>IF(AND(Programme_Grunddaten!$A631="Geprüft",Programme_Grunddaten!V631&lt;&gt;""),IF(Programme_Grunddaten!V631="Ja",1,0),"")</f>
        <v/>
      </c>
      <c r="O626" s="1" t="str">
        <f>IF(AND(Programme_Grunddaten!$A631="Geprüft",Programme_Grunddaten!W631&lt;&gt;""),IF(Programme_Grunddaten!W631="Ja",1,0),"")</f>
        <v/>
      </c>
      <c r="P626" s="1" t="str">
        <f>IF(AND(Programme_Grunddaten!$A631="Geprüft",Programme_Grunddaten!X631&lt;&gt;""),IF(Programme_Grunddaten!X631="Ja",1,0),"")</f>
        <v/>
      </c>
      <c r="Q626" s="1" t="str">
        <f>IF(AND(Programme_Grunddaten!$A631="Geprüft",Programme_Grunddaten!Y631&lt;&gt;""),IF(Programme_Grunddaten!Y631="Ja",1,0),"")</f>
        <v/>
      </c>
      <c r="R626" s="1" t="str">
        <f>IF(AND(Programme_Grunddaten!$A631="Geprüft",Programme_Grunddaten!Z631&lt;&gt;""),IF(Programme_Grunddaten!Z631="Ja",1,0),"")</f>
        <v/>
      </c>
      <c r="S626" s="1" t="str">
        <f>IF(AND(Programme_Grunddaten!$A631="Geprüft",Programme_Grunddaten!AA631&lt;&gt;""),IF(Programme_Grunddaten!AA631="monolithisch",1,0),"")</f>
        <v/>
      </c>
      <c r="T626" s="1" t="str">
        <f>IF(AND(Programme_Grunddaten!$A631="Geprüft",Programme_Grunddaten!AB631&lt;&gt;""),IF(Programme_Grunddaten!AB631="Ja",1,0),"")</f>
        <v/>
      </c>
      <c r="U626" s="1" t="str">
        <f>IF(AND(Programme_Grunddaten!$A631="Geprüft",Programme_Grunddaten!AC631&lt;&gt;""),IF(Programme_Grunddaten!AC631="Ja",1,0),"")</f>
        <v/>
      </c>
      <c r="V626" s="1" t="str">
        <f>IF(AND(Programme_Grunddaten!$A631="Geprüft",Programme_Grunddaten!AD631&lt;&gt;""),IF(Programme_Grunddaten!AD631="Ja",1,0),"")</f>
        <v/>
      </c>
      <c r="W626" s="1" t="str">
        <f>IF(AND(Programme_Grunddaten!$A631="Geprüft",Programme_Grunddaten!AE631&lt;&gt;""),IF(Programme_Grunddaten!AE631="Ja",1,0),"")</f>
        <v/>
      </c>
      <c r="X626" s="1" t="str">
        <f>IF(AND(Programme_Grunddaten!$A631="Geprüft",Programme_Grunddaten!AF631&lt;&gt;""),IF(Programme_Grunddaten!AF631="Ja",1,0),"")</f>
        <v/>
      </c>
      <c r="Y626" s="1" t="str">
        <f>IF(AND(Programme_Grunddaten!$A631="Geprüft",Programme_Grunddaten!AG631&lt;&gt;""),IF(Programme_Grunddaten!AG631="Ja",1,0),"")</f>
        <v/>
      </c>
      <c r="Z626" s="1" t="str">
        <f>IF(AND(Programme_Grunddaten!$A631="Geprüft",Programme_Grunddaten!AH631&lt;&gt;""),IF(Programme_Grunddaten!AH631="Ja",1,0),"")</f>
        <v/>
      </c>
      <c r="AA626" s="1" t="str">
        <f>IF(AND(Programme_Grunddaten!$A631="Geprüft",Programme_Grunddaten!AI631&lt;&gt;""),IF(Programme_Grunddaten!AI631="Ja",1,0),"")</f>
        <v/>
      </c>
      <c r="AB626" s="1" t="str">
        <f>IF(AND(Programme_Grunddaten!$A631="Geprüft",Programme_Grunddaten!AJ631&lt;&gt;""),IF(Programme_Grunddaten!AJ631="individuell programmierbar",1,0),"")</f>
        <v/>
      </c>
      <c r="AC626" s="1" t="str">
        <f>IF(AND(Programme_Grunddaten!$A631="Geprüft",Programme_Grunddaten!AK631&lt;&gt;""),IF(Programme_Grunddaten!AK631="Deutsch",0,IF(Programme_Grunddaten!AK631="Deutsch und Englisch",1,2)),"")</f>
        <v/>
      </c>
      <c r="AD626" s="1" t="str">
        <f>IF(AND(Programme_Grunddaten!$A631="Geprüft",Programme_Grunddaten!AL631&lt;&gt;""),IF(Programme_Grunddaten!AL631="Ja",1,0),"")</f>
        <v/>
      </c>
      <c r="AE626" s="1" t="str">
        <f>IF(AND(Programme_Grunddaten!$A631="Geprüft",Programme_Grunddaten!AM631&lt;&gt;""),IF(Programme_Grunddaten!AM631="Ja",1,0),"")</f>
        <v/>
      </c>
      <c r="AF626" s="1" t="str">
        <f>IF(AND(Programme_Grunddaten!$A631="Geprüft",Programme_Grunddaten!AN631&lt;&gt;""),IF(Programme_Grunddaten!AN631="Ja",1,0),"")</f>
        <v/>
      </c>
      <c r="AG626" s="1" t="str">
        <f>IF(AND(Programme_Grunddaten!$A631="Geprüft",Programme_Grunddaten!AO631&lt;&gt;""),IF(Programme_Grunddaten!AO631="Ja",1,0),"")</f>
        <v/>
      </c>
      <c r="AH626" s="1" t="str">
        <f>IF(AND(Programme_Grunddaten!$A631="Geprüft",Programme_Grunddaten!AP631&lt;&gt;""),IF(Programme_Grunddaten!AP631="Ja",1,0),"")</f>
        <v/>
      </c>
      <c r="AI626" s="1" t="str">
        <f>IF(AND(Programme_Grunddaten!$A631="Geprüft",Programme_Grunddaten!AQ631&lt;&gt;""),IF(Programme_Grunddaten!AQ631="Ja",1,0),"")</f>
        <v/>
      </c>
      <c r="AJ626" s="1" t="str">
        <f>IF(AND(Programme_Grunddaten!$A631="Geprüft",Programme_Grunddaten!AR631&lt;&gt;""),IF(Programme_Grunddaten!AR631="Ja",1,0),"")</f>
        <v/>
      </c>
      <c r="AK626" s="1" t="str">
        <f>IF(AND(Programme_Grunddaten!$A631="Geprüft",Programme_Grunddaten!AS631&lt;&gt;""),IF(Programme_Grunddaten!AS631="Ja",1,0),"")</f>
        <v/>
      </c>
      <c r="AL626" s="1" t="str">
        <f>IF(AND(Programme_Grunddaten!$A631="Geprüft",Programme_Grunddaten!AT631&lt;&gt;""),IF(Programme_Grunddaten!AT631="Ja",1,0),"")</f>
        <v/>
      </c>
      <c r="AM626" s="1" t="str">
        <f>IF(AND(Programme_Grunddaten!$A631="Geprüft",Programme_Grunddaten!AU631&lt;&gt;""),IF(Programme_Grunddaten!AU631="Ja",1,0),"")</f>
        <v/>
      </c>
      <c r="AN626" s="1" t="str">
        <f>IF(AND(Programme_Grunddaten!$A631="Geprüft",Programme_Grunddaten!AV631&lt;&gt;""),IF(Programme_Grunddaten!AV631="Ja",1,0),"")</f>
        <v/>
      </c>
    </row>
    <row r="627" spans="1:40" x14ac:dyDescent="0.3">
      <c r="A627" s="1" t="str">
        <f>IF(AND(Programme_Grunddaten!A632="Geprüft",Programme_Grunddaten!B632&lt;&gt;""),Programme_Grunddaten!B632,"")</f>
        <v/>
      </c>
      <c r="B627" s="1" t="str">
        <f>IF(AND(Programme_Grunddaten!$A632="Geprüft",Programme_Grunddaten!I632&lt;&gt;""),IF(Programme_Grunddaten!I632="Ja",1,0),"")</f>
        <v/>
      </c>
      <c r="C627" s="1" t="str">
        <f>IF(AND(Programme_Grunddaten!$A632="Geprüft",Programme_Grunddaten!J632&lt;&gt;""),IF(Programme_Grunddaten!J632="Ja",1,0),"")</f>
        <v/>
      </c>
      <c r="D627" s="1" t="str">
        <f>IF(AND(Programme_Grunddaten!$A632="Geprüft",Programme_Grunddaten!K632&lt;&gt;""),IF(Programme_Grunddaten!K632="Ja",1,0),"")</f>
        <v/>
      </c>
      <c r="E627" s="1" t="str">
        <f>IF(AND(Programme_Grunddaten!$A632="Geprüft",Programme_Grunddaten!L632&lt;&gt;""),IF(Programme_Grunddaten!L632="Abo / befristete Lizenz",1,0),"")</f>
        <v/>
      </c>
      <c r="F627" s="1" t="str">
        <f>IF(AND(Programme_Grunddaten!$A632="Geprüft",Programme_Grunddaten!M632&lt;&gt;""),IF(Programme_Grunddaten!M632="Ja",1,0),"")</f>
        <v/>
      </c>
      <c r="G627" s="1" t="str">
        <f>IF(AND(Programme_Grunddaten!$A632="Geprüft",Programme_Grunddaten!N632&lt;&gt;""),IF(Programme_Grunddaten!N632="Ja",1,0),"")</f>
        <v/>
      </c>
      <c r="H627" s="1" t="str">
        <f>IF(AND(Programme_Grunddaten!$A632="Geprüft",Programme_Grunddaten!O632&lt;&gt;""),IF(Programme_Grunddaten!O632="Deutschland",0,IF(Programme_Grunddaten!O632="EU",1,2)),"")</f>
        <v/>
      </c>
      <c r="I627" s="1" t="str">
        <f>IF(AND(Programme_Grunddaten!$A632="Geprüft",Programme_Grunddaten!P632&lt;&gt;""),IF(Programme_Grunddaten!P632="Ja",1,0),"")</f>
        <v/>
      </c>
      <c r="J627" s="1" t="str">
        <f>IF(AND(Programme_Grunddaten!$A632="Geprüft",Programme_Grunddaten!Q632&lt;&gt;""),IF(Programme_Grunddaten!Q632="geschlossenes System",1,0),"")</f>
        <v/>
      </c>
      <c r="K627" s="1" t="str">
        <f>IF(AND(Programme_Grunddaten!$A632="Geprüft",Programme_Grunddaten!R632&lt;&gt;""),IF(Programme_Grunddaten!R632="Ja",1,0),"")</f>
        <v/>
      </c>
      <c r="L627" s="1" t="str">
        <f>IF(AND(Programme_Grunddaten!$A632="Geprüft",Programme_Grunddaten!T632&lt;&gt;""),IF(Programme_Grunddaten!T632="Ja",1,0),"")</f>
        <v/>
      </c>
      <c r="M627" s="1" t="str">
        <f>IF(AND(Programme_Grunddaten!$A632="Geprüft",Programme_Grunddaten!U632&lt;&gt;""),IF(Programme_Grunddaten!U632="Ja",1,0),"")</f>
        <v/>
      </c>
      <c r="N627" s="1" t="str">
        <f>IF(AND(Programme_Grunddaten!$A632="Geprüft",Programme_Grunddaten!V632&lt;&gt;""),IF(Programme_Grunddaten!V632="Ja",1,0),"")</f>
        <v/>
      </c>
      <c r="O627" s="1" t="str">
        <f>IF(AND(Programme_Grunddaten!$A632="Geprüft",Programme_Grunddaten!W632&lt;&gt;""),IF(Programme_Grunddaten!W632="Ja",1,0),"")</f>
        <v/>
      </c>
      <c r="P627" s="1" t="str">
        <f>IF(AND(Programme_Grunddaten!$A632="Geprüft",Programme_Grunddaten!X632&lt;&gt;""),IF(Programme_Grunddaten!X632="Ja",1,0),"")</f>
        <v/>
      </c>
      <c r="Q627" s="1" t="str">
        <f>IF(AND(Programme_Grunddaten!$A632="Geprüft",Programme_Grunddaten!Y632&lt;&gt;""),IF(Programme_Grunddaten!Y632="Ja",1,0),"")</f>
        <v/>
      </c>
      <c r="R627" s="1" t="str">
        <f>IF(AND(Programme_Grunddaten!$A632="Geprüft",Programme_Grunddaten!Z632&lt;&gt;""),IF(Programme_Grunddaten!Z632="Ja",1,0),"")</f>
        <v/>
      </c>
      <c r="S627" s="1" t="str">
        <f>IF(AND(Programme_Grunddaten!$A632="Geprüft",Programme_Grunddaten!AA632&lt;&gt;""),IF(Programme_Grunddaten!AA632="monolithisch",1,0),"")</f>
        <v/>
      </c>
      <c r="T627" s="1" t="str">
        <f>IF(AND(Programme_Grunddaten!$A632="Geprüft",Programme_Grunddaten!AB632&lt;&gt;""),IF(Programme_Grunddaten!AB632="Ja",1,0),"")</f>
        <v/>
      </c>
      <c r="U627" s="1" t="str">
        <f>IF(AND(Programme_Grunddaten!$A632="Geprüft",Programme_Grunddaten!AC632&lt;&gt;""),IF(Programme_Grunddaten!AC632="Ja",1,0),"")</f>
        <v/>
      </c>
      <c r="V627" s="1" t="str">
        <f>IF(AND(Programme_Grunddaten!$A632="Geprüft",Programme_Grunddaten!AD632&lt;&gt;""),IF(Programme_Grunddaten!AD632="Ja",1,0),"")</f>
        <v/>
      </c>
      <c r="W627" s="1" t="str">
        <f>IF(AND(Programme_Grunddaten!$A632="Geprüft",Programme_Grunddaten!AE632&lt;&gt;""),IF(Programme_Grunddaten!AE632="Ja",1,0),"")</f>
        <v/>
      </c>
      <c r="X627" s="1" t="str">
        <f>IF(AND(Programme_Grunddaten!$A632="Geprüft",Programme_Grunddaten!AF632&lt;&gt;""),IF(Programme_Grunddaten!AF632="Ja",1,0),"")</f>
        <v/>
      </c>
      <c r="Y627" s="1" t="str">
        <f>IF(AND(Programme_Grunddaten!$A632="Geprüft",Programme_Grunddaten!AG632&lt;&gt;""),IF(Programme_Grunddaten!AG632="Ja",1,0),"")</f>
        <v/>
      </c>
      <c r="Z627" s="1" t="str">
        <f>IF(AND(Programme_Grunddaten!$A632="Geprüft",Programme_Grunddaten!AH632&lt;&gt;""),IF(Programme_Grunddaten!AH632="Ja",1,0),"")</f>
        <v/>
      </c>
      <c r="AA627" s="1" t="str">
        <f>IF(AND(Programme_Grunddaten!$A632="Geprüft",Programme_Grunddaten!AI632&lt;&gt;""),IF(Programme_Grunddaten!AI632="Ja",1,0),"")</f>
        <v/>
      </c>
      <c r="AB627" s="1" t="str">
        <f>IF(AND(Programme_Grunddaten!$A632="Geprüft",Programme_Grunddaten!AJ632&lt;&gt;""),IF(Programme_Grunddaten!AJ632="individuell programmierbar",1,0),"")</f>
        <v/>
      </c>
      <c r="AC627" s="1" t="str">
        <f>IF(AND(Programme_Grunddaten!$A632="Geprüft",Programme_Grunddaten!AK632&lt;&gt;""),IF(Programme_Grunddaten!AK632="Deutsch",0,IF(Programme_Grunddaten!AK632="Deutsch und Englisch",1,2)),"")</f>
        <v/>
      </c>
      <c r="AD627" s="1" t="str">
        <f>IF(AND(Programme_Grunddaten!$A632="Geprüft",Programme_Grunddaten!AL632&lt;&gt;""),IF(Programme_Grunddaten!AL632="Ja",1,0),"")</f>
        <v/>
      </c>
      <c r="AE627" s="1" t="str">
        <f>IF(AND(Programme_Grunddaten!$A632="Geprüft",Programme_Grunddaten!AM632&lt;&gt;""),IF(Programme_Grunddaten!AM632="Ja",1,0),"")</f>
        <v/>
      </c>
      <c r="AF627" s="1" t="str">
        <f>IF(AND(Programme_Grunddaten!$A632="Geprüft",Programme_Grunddaten!AN632&lt;&gt;""),IF(Programme_Grunddaten!AN632="Ja",1,0),"")</f>
        <v/>
      </c>
      <c r="AG627" s="1" t="str">
        <f>IF(AND(Programme_Grunddaten!$A632="Geprüft",Programme_Grunddaten!AO632&lt;&gt;""),IF(Programme_Grunddaten!AO632="Ja",1,0),"")</f>
        <v/>
      </c>
      <c r="AH627" s="1" t="str">
        <f>IF(AND(Programme_Grunddaten!$A632="Geprüft",Programme_Grunddaten!AP632&lt;&gt;""),IF(Programme_Grunddaten!AP632="Ja",1,0),"")</f>
        <v/>
      </c>
      <c r="AI627" s="1" t="str">
        <f>IF(AND(Programme_Grunddaten!$A632="Geprüft",Programme_Grunddaten!AQ632&lt;&gt;""),IF(Programme_Grunddaten!AQ632="Ja",1,0),"")</f>
        <v/>
      </c>
      <c r="AJ627" s="1" t="str">
        <f>IF(AND(Programme_Grunddaten!$A632="Geprüft",Programme_Grunddaten!AR632&lt;&gt;""),IF(Programme_Grunddaten!AR632="Ja",1,0),"")</f>
        <v/>
      </c>
      <c r="AK627" s="1" t="str">
        <f>IF(AND(Programme_Grunddaten!$A632="Geprüft",Programme_Grunddaten!AS632&lt;&gt;""),IF(Programme_Grunddaten!AS632="Ja",1,0),"")</f>
        <v/>
      </c>
      <c r="AL627" s="1" t="str">
        <f>IF(AND(Programme_Grunddaten!$A632="Geprüft",Programme_Grunddaten!AT632&lt;&gt;""),IF(Programme_Grunddaten!AT632="Ja",1,0),"")</f>
        <v/>
      </c>
      <c r="AM627" s="1" t="str">
        <f>IF(AND(Programme_Grunddaten!$A632="Geprüft",Programme_Grunddaten!AU632&lt;&gt;""),IF(Programme_Grunddaten!AU632="Ja",1,0),"")</f>
        <v/>
      </c>
      <c r="AN627" s="1" t="str">
        <f>IF(AND(Programme_Grunddaten!$A632="Geprüft",Programme_Grunddaten!AV632&lt;&gt;""),IF(Programme_Grunddaten!AV632="Ja",1,0),"")</f>
        <v/>
      </c>
    </row>
    <row r="628" spans="1:40" x14ac:dyDescent="0.3">
      <c r="A628" s="1" t="str">
        <f>IF(AND(Programme_Grunddaten!A633="Geprüft",Programme_Grunddaten!B633&lt;&gt;""),Programme_Grunddaten!B633,"")</f>
        <v/>
      </c>
      <c r="B628" s="1" t="str">
        <f>IF(AND(Programme_Grunddaten!$A633="Geprüft",Programme_Grunddaten!I633&lt;&gt;""),IF(Programme_Grunddaten!I633="Ja",1,0),"")</f>
        <v/>
      </c>
      <c r="C628" s="1" t="str">
        <f>IF(AND(Programme_Grunddaten!$A633="Geprüft",Programme_Grunddaten!J633&lt;&gt;""),IF(Programme_Grunddaten!J633="Ja",1,0),"")</f>
        <v/>
      </c>
      <c r="D628" s="1" t="str">
        <f>IF(AND(Programme_Grunddaten!$A633="Geprüft",Programme_Grunddaten!K633&lt;&gt;""),IF(Programme_Grunddaten!K633="Ja",1,0),"")</f>
        <v/>
      </c>
      <c r="E628" s="1" t="str">
        <f>IF(AND(Programme_Grunddaten!$A633="Geprüft",Programme_Grunddaten!L633&lt;&gt;""),IF(Programme_Grunddaten!L633="Abo / befristete Lizenz",1,0),"")</f>
        <v/>
      </c>
      <c r="F628" s="1" t="str">
        <f>IF(AND(Programme_Grunddaten!$A633="Geprüft",Programme_Grunddaten!M633&lt;&gt;""),IF(Programme_Grunddaten!M633="Ja",1,0),"")</f>
        <v/>
      </c>
      <c r="G628" s="1" t="str">
        <f>IF(AND(Programme_Grunddaten!$A633="Geprüft",Programme_Grunddaten!N633&lt;&gt;""),IF(Programme_Grunddaten!N633="Ja",1,0),"")</f>
        <v/>
      </c>
      <c r="H628" s="1" t="str">
        <f>IF(AND(Programme_Grunddaten!$A633="Geprüft",Programme_Grunddaten!O633&lt;&gt;""),IF(Programme_Grunddaten!O633="Deutschland",0,IF(Programme_Grunddaten!O633="EU",1,2)),"")</f>
        <v/>
      </c>
      <c r="I628" s="1" t="str">
        <f>IF(AND(Programme_Grunddaten!$A633="Geprüft",Programme_Grunddaten!P633&lt;&gt;""),IF(Programme_Grunddaten!P633="Ja",1,0),"")</f>
        <v/>
      </c>
      <c r="J628" s="1" t="str">
        <f>IF(AND(Programme_Grunddaten!$A633="Geprüft",Programme_Grunddaten!Q633&lt;&gt;""),IF(Programme_Grunddaten!Q633="geschlossenes System",1,0),"")</f>
        <v/>
      </c>
      <c r="K628" s="1" t="str">
        <f>IF(AND(Programme_Grunddaten!$A633="Geprüft",Programme_Grunddaten!R633&lt;&gt;""),IF(Programme_Grunddaten!R633="Ja",1,0),"")</f>
        <v/>
      </c>
      <c r="L628" s="1" t="str">
        <f>IF(AND(Programme_Grunddaten!$A633="Geprüft",Programme_Grunddaten!T633&lt;&gt;""),IF(Programme_Grunddaten!T633="Ja",1,0),"")</f>
        <v/>
      </c>
      <c r="M628" s="1" t="str">
        <f>IF(AND(Programme_Grunddaten!$A633="Geprüft",Programme_Grunddaten!U633&lt;&gt;""),IF(Programme_Grunddaten!U633="Ja",1,0),"")</f>
        <v/>
      </c>
      <c r="N628" s="1" t="str">
        <f>IF(AND(Programme_Grunddaten!$A633="Geprüft",Programme_Grunddaten!V633&lt;&gt;""),IF(Programme_Grunddaten!V633="Ja",1,0),"")</f>
        <v/>
      </c>
      <c r="O628" s="1" t="str">
        <f>IF(AND(Programme_Grunddaten!$A633="Geprüft",Programme_Grunddaten!W633&lt;&gt;""),IF(Programme_Grunddaten!W633="Ja",1,0),"")</f>
        <v/>
      </c>
      <c r="P628" s="1" t="str">
        <f>IF(AND(Programme_Grunddaten!$A633="Geprüft",Programme_Grunddaten!X633&lt;&gt;""),IF(Programme_Grunddaten!X633="Ja",1,0),"")</f>
        <v/>
      </c>
      <c r="Q628" s="1" t="str">
        <f>IF(AND(Programme_Grunddaten!$A633="Geprüft",Programme_Grunddaten!Y633&lt;&gt;""),IF(Programme_Grunddaten!Y633="Ja",1,0),"")</f>
        <v/>
      </c>
      <c r="R628" s="1" t="str">
        <f>IF(AND(Programme_Grunddaten!$A633="Geprüft",Programme_Grunddaten!Z633&lt;&gt;""),IF(Programme_Grunddaten!Z633="Ja",1,0),"")</f>
        <v/>
      </c>
      <c r="S628" s="1" t="str">
        <f>IF(AND(Programme_Grunddaten!$A633="Geprüft",Programme_Grunddaten!AA633&lt;&gt;""),IF(Programme_Grunddaten!AA633="monolithisch",1,0),"")</f>
        <v/>
      </c>
      <c r="T628" s="1" t="str">
        <f>IF(AND(Programme_Grunddaten!$A633="Geprüft",Programme_Grunddaten!AB633&lt;&gt;""),IF(Programme_Grunddaten!AB633="Ja",1,0),"")</f>
        <v/>
      </c>
      <c r="U628" s="1" t="str">
        <f>IF(AND(Programme_Grunddaten!$A633="Geprüft",Programme_Grunddaten!AC633&lt;&gt;""),IF(Programme_Grunddaten!AC633="Ja",1,0),"")</f>
        <v/>
      </c>
      <c r="V628" s="1" t="str">
        <f>IF(AND(Programme_Grunddaten!$A633="Geprüft",Programme_Grunddaten!AD633&lt;&gt;""),IF(Programme_Grunddaten!AD633="Ja",1,0),"")</f>
        <v/>
      </c>
      <c r="W628" s="1" t="str">
        <f>IF(AND(Programme_Grunddaten!$A633="Geprüft",Programme_Grunddaten!AE633&lt;&gt;""),IF(Programme_Grunddaten!AE633="Ja",1,0),"")</f>
        <v/>
      </c>
      <c r="X628" s="1" t="str">
        <f>IF(AND(Programme_Grunddaten!$A633="Geprüft",Programme_Grunddaten!AF633&lt;&gt;""),IF(Programme_Grunddaten!AF633="Ja",1,0),"")</f>
        <v/>
      </c>
      <c r="Y628" s="1" t="str">
        <f>IF(AND(Programme_Grunddaten!$A633="Geprüft",Programme_Grunddaten!AG633&lt;&gt;""),IF(Programme_Grunddaten!AG633="Ja",1,0),"")</f>
        <v/>
      </c>
      <c r="Z628" s="1" t="str">
        <f>IF(AND(Programme_Grunddaten!$A633="Geprüft",Programme_Grunddaten!AH633&lt;&gt;""),IF(Programme_Grunddaten!AH633="Ja",1,0),"")</f>
        <v/>
      </c>
      <c r="AA628" s="1" t="str">
        <f>IF(AND(Programme_Grunddaten!$A633="Geprüft",Programme_Grunddaten!AI633&lt;&gt;""),IF(Programme_Grunddaten!AI633="Ja",1,0),"")</f>
        <v/>
      </c>
      <c r="AB628" s="1" t="str">
        <f>IF(AND(Programme_Grunddaten!$A633="Geprüft",Programme_Grunddaten!AJ633&lt;&gt;""),IF(Programme_Grunddaten!AJ633="individuell programmierbar",1,0),"")</f>
        <v/>
      </c>
      <c r="AC628" s="1" t="str">
        <f>IF(AND(Programme_Grunddaten!$A633="Geprüft",Programme_Grunddaten!AK633&lt;&gt;""),IF(Programme_Grunddaten!AK633="Deutsch",0,IF(Programme_Grunddaten!AK633="Deutsch und Englisch",1,2)),"")</f>
        <v/>
      </c>
      <c r="AD628" s="1" t="str">
        <f>IF(AND(Programme_Grunddaten!$A633="Geprüft",Programme_Grunddaten!AL633&lt;&gt;""),IF(Programme_Grunddaten!AL633="Ja",1,0),"")</f>
        <v/>
      </c>
      <c r="AE628" s="1" t="str">
        <f>IF(AND(Programme_Grunddaten!$A633="Geprüft",Programme_Grunddaten!AM633&lt;&gt;""),IF(Programme_Grunddaten!AM633="Ja",1,0),"")</f>
        <v/>
      </c>
      <c r="AF628" s="1" t="str">
        <f>IF(AND(Programme_Grunddaten!$A633="Geprüft",Programme_Grunddaten!AN633&lt;&gt;""),IF(Programme_Grunddaten!AN633="Ja",1,0),"")</f>
        <v/>
      </c>
      <c r="AG628" s="1" t="str">
        <f>IF(AND(Programme_Grunddaten!$A633="Geprüft",Programme_Grunddaten!AO633&lt;&gt;""),IF(Programme_Grunddaten!AO633="Ja",1,0),"")</f>
        <v/>
      </c>
      <c r="AH628" s="1" t="str">
        <f>IF(AND(Programme_Grunddaten!$A633="Geprüft",Programme_Grunddaten!AP633&lt;&gt;""),IF(Programme_Grunddaten!AP633="Ja",1,0),"")</f>
        <v/>
      </c>
      <c r="AI628" s="1" t="str">
        <f>IF(AND(Programme_Grunddaten!$A633="Geprüft",Programme_Grunddaten!AQ633&lt;&gt;""),IF(Programme_Grunddaten!AQ633="Ja",1,0),"")</f>
        <v/>
      </c>
      <c r="AJ628" s="1" t="str">
        <f>IF(AND(Programme_Grunddaten!$A633="Geprüft",Programme_Grunddaten!AR633&lt;&gt;""),IF(Programme_Grunddaten!AR633="Ja",1,0),"")</f>
        <v/>
      </c>
      <c r="AK628" s="1" t="str">
        <f>IF(AND(Programme_Grunddaten!$A633="Geprüft",Programme_Grunddaten!AS633&lt;&gt;""),IF(Programme_Grunddaten!AS633="Ja",1,0),"")</f>
        <v/>
      </c>
      <c r="AL628" s="1" t="str">
        <f>IF(AND(Programme_Grunddaten!$A633="Geprüft",Programme_Grunddaten!AT633&lt;&gt;""),IF(Programme_Grunddaten!AT633="Ja",1,0),"")</f>
        <v/>
      </c>
      <c r="AM628" s="1" t="str">
        <f>IF(AND(Programme_Grunddaten!$A633="Geprüft",Programme_Grunddaten!AU633&lt;&gt;""),IF(Programme_Grunddaten!AU633="Ja",1,0),"")</f>
        <v/>
      </c>
      <c r="AN628" s="1" t="str">
        <f>IF(AND(Programme_Grunddaten!$A633="Geprüft",Programme_Grunddaten!AV633&lt;&gt;""),IF(Programme_Grunddaten!AV633="Ja",1,0),"")</f>
        <v/>
      </c>
    </row>
    <row r="629" spans="1:40" x14ac:dyDescent="0.3">
      <c r="A629" s="1" t="str">
        <f>IF(AND(Programme_Grunddaten!A634="Geprüft",Programme_Grunddaten!B634&lt;&gt;""),Programme_Grunddaten!B634,"")</f>
        <v/>
      </c>
      <c r="B629" s="1" t="str">
        <f>IF(AND(Programme_Grunddaten!$A634="Geprüft",Programme_Grunddaten!I634&lt;&gt;""),IF(Programme_Grunddaten!I634="Ja",1,0),"")</f>
        <v/>
      </c>
      <c r="C629" s="1" t="str">
        <f>IF(AND(Programme_Grunddaten!$A634="Geprüft",Programme_Grunddaten!J634&lt;&gt;""),IF(Programme_Grunddaten!J634="Ja",1,0),"")</f>
        <v/>
      </c>
      <c r="D629" s="1" t="str">
        <f>IF(AND(Programme_Grunddaten!$A634="Geprüft",Programme_Grunddaten!K634&lt;&gt;""),IF(Programme_Grunddaten!K634="Ja",1,0),"")</f>
        <v/>
      </c>
      <c r="E629" s="1" t="str">
        <f>IF(AND(Programme_Grunddaten!$A634="Geprüft",Programme_Grunddaten!L634&lt;&gt;""),IF(Programme_Grunddaten!L634="Abo / befristete Lizenz",1,0),"")</f>
        <v/>
      </c>
      <c r="F629" s="1" t="str">
        <f>IF(AND(Programme_Grunddaten!$A634="Geprüft",Programme_Grunddaten!M634&lt;&gt;""),IF(Programme_Grunddaten!M634="Ja",1,0),"")</f>
        <v/>
      </c>
      <c r="G629" s="1" t="str">
        <f>IF(AND(Programme_Grunddaten!$A634="Geprüft",Programme_Grunddaten!N634&lt;&gt;""),IF(Programme_Grunddaten!N634="Ja",1,0),"")</f>
        <v/>
      </c>
      <c r="H629" s="1" t="str">
        <f>IF(AND(Programme_Grunddaten!$A634="Geprüft",Programme_Grunddaten!O634&lt;&gt;""),IF(Programme_Grunddaten!O634="Deutschland",0,IF(Programme_Grunddaten!O634="EU",1,2)),"")</f>
        <v/>
      </c>
      <c r="I629" s="1" t="str">
        <f>IF(AND(Programme_Grunddaten!$A634="Geprüft",Programme_Grunddaten!P634&lt;&gt;""),IF(Programme_Grunddaten!P634="Ja",1,0),"")</f>
        <v/>
      </c>
      <c r="J629" s="1" t="str">
        <f>IF(AND(Programme_Grunddaten!$A634="Geprüft",Programme_Grunddaten!Q634&lt;&gt;""),IF(Programme_Grunddaten!Q634="geschlossenes System",1,0),"")</f>
        <v/>
      </c>
      <c r="K629" s="1" t="str">
        <f>IF(AND(Programme_Grunddaten!$A634="Geprüft",Programme_Grunddaten!R634&lt;&gt;""),IF(Programme_Grunddaten!R634="Ja",1,0),"")</f>
        <v/>
      </c>
      <c r="L629" s="1" t="str">
        <f>IF(AND(Programme_Grunddaten!$A634="Geprüft",Programme_Grunddaten!T634&lt;&gt;""),IF(Programme_Grunddaten!T634="Ja",1,0),"")</f>
        <v/>
      </c>
      <c r="M629" s="1" t="str">
        <f>IF(AND(Programme_Grunddaten!$A634="Geprüft",Programme_Grunddaten!U634&lt;&gt;""),IF(Programme_Grunddaten!U634="Ja",1,0),"")</f>
        <v/>
      </c>
      <c r="N629" s="1" t="str">
        <f>IF(AND(Programme_Grunddaten!$A634="Geprüft",Programme_Grunddaten!V634&lt;&gt;""),IF(Programme_Grunddaten!V634="Ja",1,0),"")</f>
        <v/>
      </c>
      <c r="O629" s="1" t="str">
        <f>IF(AND(Programme_Grunddaten!$A634="Geprüft",Programme_Grunddaten!W634&lt;&gt;""),IF(Programme_Grunddaten!W634="Ja",1,0),"")</f>
        <v/>
      </c>
      <c r="P629" s="1" t="str">
        <f>IF(AND(Programme_Grunddaten!$A634="Geprüft",Programme_Grunddaten!X634&lt;&gt;""),IF(Programme_Grunddaten!X634="Ja",1,0),"")</f>
        <v/>
      </c>
      <c r="Q629" s="1" t="str">
        <f>IF(AND(Programme_Grunddaten!$A634="Geprüft",Programme_Grunddaten!Y634&lt;&gt;""),IF(Programme_Grunddaten!Y634="Ja",1,0),"")</f>
        <v/>
      </c>
      <c r="R629" s="1" t="str">
        <f>IF(AND(Programme_Grunddaten!$A634="Geprüft",Programme_Grunddaten!Z634&lt;&gt;""),IF(Programme_Grunddaten!Z634="Ja",1,0),"")</f>
        <v/>
      </c>
      <c r="S629" s="1" t="str">
        <f>IF(AND(Programme_Grunddaten!$A634="Geprüft",Programme_Grunddaten!AA634&lt;&gt;""),IF(Programme_Grunddaten!AA634="monolithisch",1,0),"")</f>
        <v/>
      </c>
      <c r="T629" s="1" t="str">
        <f>IF(AND(Programme_Grunddaten!$A634="Geprüft",Programme_Grunddaten!AB634&lt;&gt;""),IF(Programme_Grunddaten!AB634="Ja",1,0),"")</f>
        <v/>
      </c>
      <c r="U629" s="1" t="str">
        <f>IF(AND(Programme_Grunddaten!$A634="Geprüft",Programme_Grunddaten!AC634&lt;&gt;""),IF(Programme_Grunddaten!AC634="Ja",1,0),"")</f>
        <v/>
      </c>
      <c r="V629" s="1" t="str">
        <f>IF(AND(Programme_Grunddaten!$A634="Geprüft",Programme_Grunddaten!AD634&lt;&gt;""),IF(Programme_Grunddaten!AD634="Ja",1,0),"")</f>
        <v/>
      </c>
      <c r="W629" s="1" t="str">
        <f>IF(AND(Programme_Grunddaten!$A634="Geprüft",Programme_Grunddaten!AE634&lt;&gt;""),IF(Programme_Grunddaten!AE634="Ja",1,0),"")</f>
        <v/>
      </c>
      <c r="X629" s="1" t="str">
        <f>IF(AND(Programme_Grunddaten!$A634="Geprüft",Programme_Grunddaten!AF634&lt;&gt;""),IF(Programme_Grunddaten!AF634="Ja",1,0),"")</f>
        <v/>
      </c>
      <c r="Y629" s="1" t="str">
        <f>IF(AND(Programme_Grunddaten!$A634="Geprüft",Programme_Grunddaten!AG634&lt;&gt;""),IF(Programme_Grunddaten!AG634="Ja",1,0),"")</f>
        <v/>
      </c>
      <c r="Z629" s="1" t="str">
        <f>IF(AND(Programme_Grunddaten!$A634="Geprüft",Programme_Grunddaten!AH634&lt;&gt;""),IF(Programme_Grunddaten!AH634="Ja",1,0),"")</f>
        <v/>
      </c>
      <c r="AA629" s="1" t="str">
        <f>IF(AND(Programme_Grunddaten!$A634="Geprüft",Programme_Grunddaten!AI634&lt;&gt;""),IF(Programme_Grunddaten!AI634="Ja",1,0),"")</f>
        <v/>
      </c>
      <c r="AB629" s="1" t="str">
        <f>IF(AND(Programme_Grunddaten!$A634="Geprüft",Programme_Grunddaten!AJ634&lt;&gt;""),IF(Programme_Grunddaten!AJ634="individuell programmierbar",1,0),"")</f>
        <v/>
      </c>
      <c r="AC629" s="1" t="str">
        <f>IF(AND(Programme_Grunddaten!$A634="Geprüft",Programme_Grunddaten!AK634&lt;&gt;""),IF(Programme_Grunddaten!AK634="Deutsch",0,IF(Programme_Grunddaten!AK634="Deutsch und Englisch",1,2)),"")</f>
        <v/>
      </c>
      <c r="AD629" s="1" t="str">
        <f>IF(AND(Programme_Grunddaten!$A634="Geprüft",Programme_Grunddaten!AL634&lt;&gt;""),IF(Programme_Grunddaten!AL634="Ja",1,0),"")</f>
        <v/>
      </c>
      <c r="AE629" s="1" t="str">
        <f>IF(AND(Programme_Grunddaten!$A634="Geprüft",Programme_Grunddaten!AM634&lt;&gt;""),IF(Programme_Grunddaten!AM634="Ja",1,0),"")</f>
        <v/>
      </c>
      <c r="AF629" s="1" t="str">
        <f>IF(AND(Programme_Grunddaten!$A634="Geprüft",Programme_Grunddaten!AN634&lt;&gt;""),IF(Programme_Grunddaten!AN634="Ja",1,0),"")</f>
        <v/>
      </c>
      <c r="AG629" s="1" t="str">
        <f>IF(AND(Programme_Grunddaten!$A634="Geprüft",Programme_Grunddaten!AO634&lt;&gt;""),IF(Programme_Grunddaten!AO634="Ja",1,0),"")</f>
        <v/>
      </c>
      <c r="AH629" s="1" t="str">
        <f>IF(AND(Programme_Grunddaten!$A634="Geprüft",Programme_Grunddaten!AP634&lt;&gt;""),IF(Programme_Grunddaten!AP634="Ja",1,0),"")</f>
        <v/>
      </c>
      <c r="AI629" s="1" t="str">
        <f>IF(AND(Programme_Grunddaten!$A634="Geprüft",Programme_Grunddaten!AQ634&lt;&gt;""),IF(Programme_Grunddaten!AQ634="Ja",1,0),"")</f>
        <v/>
      </c>
      <c r="AJ629" s="1" t="str">
        <f>IF(AND(Programme_Grunddaten!$A634="Geprüft",Programme_Grunddaten!AR634&lt;&gt;""),IF(Programme_Grunddaten!AR634="Ja",1,0),"")</f>
        <v/>
      </c>
      <c r="AK629" s="1" t="str">
        <f>IF(AND(Programme_Grunddaten!$A634="Geprüft",Programme_Grunddaten!AS634&lt;&gt;""),IF(Programme_Grunddaten!AS634="Ja",1,0),"")</f>
        <v/>
      </c>
      <c r="AL629" s="1" t="str">
        <f>IF(AND(Programme_Grunddaten!$A634="Geprüft",Programme_Grunddaten!AT634&lt;&gt;""),IF(Programme_Grunddaten!AT634="Ja",1,0),"")</f>
        <v/>
      </c>
      <c r="AM629" s="1" t="str">
        <f>IF(AND(Programme_Grunddaten!$A634="Geprüft",Programme_Grunddaten!AU634&lt;&gt;""),IF(Programme_Grunddaten!AU634="Ja",1,0),"")</f>
        <v/>
      </c>
      <c r="AN629" s="1" t="str">
        <f>IF(AND(Programme_Grunddaten!$A634="Geprüft",Programme_Grunddaten!AV634&lt;&gt;""),IF(Programme_Grunddaten!AV634="Ja",1,0),"")</f>
        <v/>
      </c>
    </row>
    <row r="630" spans="1:40" x14ac:dyDescent="0.3">
      <c r="A630" s="1" t="str">
        <f>IF(AND(Programme_Grunddaten!A635="Geprüft",Programme_Grunddaten!B635&lt;&gt;""),Programme_Grunddaten!B635,"")</f>
        <v/>
      </c>
      <c r="B630" s="1" t="str">
        <f>IF(AND(Programme_Grunddaten!$A635="Geprüft",Programme_Grunddaten!I635&lt;&gt;""),IF(Programme_Grunddaten!I635="Ja",1,0),"")</f>
        <v/>
      </c>
      <c r="C630" s="1" t="str">
        <f>IF(AND(Programme_Grunddaten!$A635="Geprüft",Programme_Grunddaten!J635&lt;&gt;""),IF(Programme_Grunddaten!J635="Ja",1,0),"")</f>
        <v/>
      </c>
      <c r="D630" s="1" t="str">
        <f>IF(AND(Programme_Grunddaten!$A635="Geprüft",Programme_Grunddaten!K635&lt;&gt;""),IF(Programme_Grunddaten!K635="Ja",1,0),"")</f>
        <v/>
      </c>
      <c r="E630" s="1" t="str">
        <f>IF(AND(Programme_Grunddaten!$A635="Geprüft",Programme_Grunddaten!L635&lt;&gt;""),IF(Programme_Grunddaten!L635="Abo / befristete Lizenz",1,0),"")</f>
        <v/>
      </c>
      <c r="F630" s="1" t="str">
        <f>IF(AND(Programme_Grunddaten!$A635="Geprüft",Programme_Grunddaten!M635&lt;&gt;""),IF(Programme_Grunddaten!M635="Ja",1,0),"")</f>
        <v/>
      </c>
      <c r="G630" s="1" t="str">
        <f>IF(AND(Programme_Grunddaten!$A635="Geprüft",Programme_Grunddaten!N635&lt;&gt;""),IF(Programme_Grunddaten!N635="Ja",1,0),"")</f>
        <v/>
      </c>
      <c r="H630" s="1" t="str">
        <f>IF(AND(Programme_Grunddaten!$A635="Geprüft",Programme_Grunddaten!O635&lt;&gt;""),IF(Programme_Grunddaten!O635="Deutschland",0,IF(Programme_Grunddaten!O635="EU",1,2)),"")</f>
        <v/>
      </c>
      <c r="I630" s="1" t="str">
        <f>IF(AND(Programme_Grunddaten!$A635="Geprüft",Programme_Grunddaten!P635&lt;&gt;""),IF(Programme_Grunddaten!P635="Ja",1,0),"")</f>
        <v/>
      </c>
      <c r="J630" s="1" t="str">
        <f>IF(AND(Programme_Grunddaten!$A635="Geprüft",Programme_Grunddaten!Q635&lt;&gt;""),IF(Programme_Grunddaten!Q635="geschlossenes System",1,0),"")</f>
        <v/>
      </c>
      <c r="K630" s="1" t="str">
        <f>IF(AND(Programme_Grunddaten!$A635="Geprüft",Programme_Grunddaten!R635&lt;&gt;""),IF(Programme_Grunddaten!R635="Ja",1,0),"")</f>
        <v/>
      </c>
      <c r="L630" s="1" t="str">
        <f>IF(AND(Programme_Grunddaten!$A635="Geprüft",Programme_Grunddaten!T635&lt;&gt;""),IF(Programme_Grunddaten!T635="Ja",1,0),"")</f>
        <v/>
      </c>
      <c r="M630" s="1" t="str">
        <f>IF(AND(Programme_Grunddaten!$A635="Geprüft",Programme_Grunddaten!U635&lt;&gt;""),IF(Programme_Grunddaten!U635="Ja",1,0),"")</f>
        <v/>
      </c>
      <c r="N630" s="1" t="str">
        <f>IF(AND(Programme_Grunddaten!$A635="Geprüft",Programme_Grunddaten!V635&lt;&gt;""),IF(Programme_Grunddaten!V635="Ja",1,0),"")</f>
        <v/>
      </c>
      <c r="O630" s="1" t="str">
        <f>IF(AND(Programme_Grunddaten!$A635="Geprüft",Programme_Grunddaten!W635&lt;&gt;""),IF(Programme_Grunddaten!W635="Ja",1,0),"")</f>
        <v/>
      </c>
      <c r="P630" s="1" t="str">
        <f>IF(AND(Programme_Grunddaten!$A635="Geprüft",Programme_Grunddaten!X635&lt;&gt;""),IF(Programme_Grunddaten!X635="Ja",1,0),"")</f>
        <v/>
      </c>
      <c r="Q630" s="1" t="str">
        <f>IF(AND(Programme_Grunddaten!$A635="Geprüft",Programme_Grunddaten!Y635&lt;&gt;""),IF(Programme_Grunddaten!Y635="Ja",1,0),"")</f>
        <v/>
      </c>
      <c r="R630" s="1" t="str">
        <f>IF(AND(Programme_Grunddaten!$A635="Geprüft",Programme_Grunddaten!Z635&lt;&gt;""),IF(Programme_Grunddaten!Z635="Ja",1,0),"")</f>
        <v/>
      </c>
      <c r="S630" s="1" t="str">
        <f>IF(AND(Programme_Grunddaten!$A635="Geprüft",Programme_Grunddaten!AA635&lt;&gt;""),IF(Programme_Grunddaten!AA635="monolithisch",1,0),"")</f>
        <v/>
      </c>
      <c r="T630" s="1" t="str">
        <f>IF(AND(Programme_Grunddaten!$A635="Geprüft",Programme_Grunddaten!AB635&lt;&gt;""),IF(Programme_Grunddaten!AB635="Ja",1,0),"")</f>
        <v/>
      </c>
      <c r="U630" s="1" t="str">
        <f>IF(AND(Programme_Grunddaten!$A635="Geprüft",Programme_Grunddaten!AC635&lt;&gt;""),IF(Programme_Grunddaten!AC635="Ja",1,0),"")</f>
        <v/>
      </c>
      <c r="V630" s="1" t="str">
        <f>IF(AND(Programme_Grunddaten!$A635="Geprüft",Programme_Grunddaten!AD635&lt;&gt;""),IF(Programme_Grunddaten!AD635="Ja",1,0),"")</f>
        <v/>
      </c>
      <c r="W630" s="1" t="str">
        <f>IF(AND(Programme_Grunddaten!$A635="Geprüft",Programme_Grunddaten!AE635&lt;&gt;""),IF(Programme_Grunddaten!AE635="Ja",1,0),"")</f>
        <v/>
      </c>
      <c r="X630" s="1" t="str">
        <f>IF(AND(Programme_Grunddaten!$A635="Geprüft",Programme_Grunddaten!AF635&lt;&gt;""),IF(Programme_Grunddaten!AF635="Ja",1,0),"")</f>
        <v/>
      </c>
      <c r="Y630" s="1" t="str">
        <f>IF(AND(Programme_Grunddaten!$A635="Geprüft",Programme_Grunddaten!AG635&lt;&gt;""),IF(Programme_Grunddaten!AG635="Ja",1,0),"")</f>
        <v/>
      </c>
      <c r="Z630" s="1" t="str">
        <f>IF(AND(Programme_Grunddaten!$A635="Geprüft",Programme_Grunddaten!AH635&lt;&gt;""),IF(Programme_Grunddaten!AH635="Ja",1,0),"")</f>
        <v/>
      </c>
      <c r="AA630" s="1" t="str">
        <f>IF(AND(Programme_Grunddaten!$A635="Geprüft",Programme_Grunddaten!AI635&lt;&gt;""),IF(Programme_Grunddaten!AI635="Ja",1,0),"")</f>
        <v/>
      </c>
      <c r="AB630" s="1" t="str">
        <f>IF(AND(Programme_Grunddaten!$A635="Geprüft",Programme_Grunddaten!AJ635&lt;&gt;""),IF(Programme_Grunddaten!AJ635="individuell programmierbar",1,0),"")</f>
        <v/>
      </c>
      <c r="AC630" s="1" t="str">
        <f>IF(AND(Programme_Grunddaten!$A635="Geprüft",Programme_Grunddaten!AK635&lt;&gt;""),IF(Programme_Grunddaten!AK635="Deutsch",0,IF(Programme_Grunddaten!AK635="Deutsch und Englisch",1,2)),"")</f>
        <v/>
      </c>
      <c r="AD630" s="1" t="str">
        <f>IF(AND(Programme_Grunddaten!$A635="Geprüft",Programme_Grunddaten!AL635&lt;&gt;""),IF(Programme_Grunddaten!AL635="Ja",1,0),"")</f>
        <v/>
      </c>
      <c r="AE630" s="1" t="str">
        <f>IF(AND(Programme_Grunddaten!$A635="Geprüft",Programme_Grunddaten!AM635&lt;&gt;""),IF(Programme_Grunddaten!AM635="Ja",1,0),"")</f>
        <v/>
      </c>
      <c r="AF630" s="1" t="str">
        <f>IF(AND(Programme_Grunddaten!$A635="Geprüft",Programme_Grunddaten!AN635&lt;&gt;""),IF(Programme_Grunddaten!AN635="Ja",1,0),"")</f>
        <v/>
      </c>
      <c r="AG630" s="1" t="str">
        <f>IF(AND(Programme_Grunddaten!$A635="Geprüft",Programme_Grunddaten!AO635&lt;&gt;""),IF(Programme_Grunddaten!AO635="Ja",1,0),"")</f>
        <v/>
      </c>
      <c r="AH630" s="1" t="str">
        <f>IF(AND(Programme_Grunddaten!$A635="Geprüft",Programme_Grunddaten!AP635&lt;&gt;""),IF(Programme_Grunddaten!AP635="Ja",1,0),"")</f>
        <v/>
      </c>
      <c r="AI630" s="1" t="str">
        <f>IF(AND(Programme_Grunddaten!$A635="Geprüft",Programme_Grunddaten!AQ635&lt;&gt;""),IF(Programme_Grunddaten!AQ635="Ja",1,0),"")</f>
        <v/>
      </c>
      <c r="AJ630" s="1" t="str">
        <f>IF(AND(Programme_Grunddaten!$A635="Geprüft",Programme_Grunddaten!AR635&lt;&gt;""),IF(Programme_Grunddaten!AR635="Ja",1,0),"")</f>
        <v/>
      </c>
      <c r="AK630" s="1" t="str">
        <f>IF(AND(Programme_Grunddaten!$A635="Geprüft",Programme_Grunddaten!AS635&lt;&gt;""),IF(Programme_Grunddaten!AS635="Ja",1,0),"")</f>
        <v/>
      </c>
      <c r="AL630" s="1" t="str">
        <f>IF(AND(Programme_Grunddaten!$A635="Geprüft",Programme_Grunddaten!AT635&lt;&gt;""),IF(Programme_Grunddaten!AT635="Ja",1,0),"")</f>
        <v/>
      </c>
      <c r="AM630" s="1" t="str">
        <f>IF(AND(Programme_Grunddaten!$A635="Geprüft",Programme_Grunddaten!AU635&lt;&gt;""),IF(Programme_Grunddaten!AU635="Ja",1,0),"")</f>
        <v/>
      </c>
      <c r="AN630" s="1" t="str">
        <f>IF(AND(Programme_Grunddaten!$A635="Geprüft",Programme_Grunddaten!AV635&lt;&gt;""),IF(Programme_Grunddaten!AV635="Ja",1,0),"")</f>
        <v/>
      </c>
    </row>
    <row r="631" spans="1:40" x14ac:dyDescent="0.3">
      <c r="A631" s="1" t="str">
        <f>IF(AND(Programme_Grunddaten!A636="Geprüft",Programme_Grunddaten!B636&lt;&gt;""),Programme_Grunddaten!B636,"")</f>
        <v/>
      </c>
      <c r="B631" s="1" t="str">
        <f>IF(AND(Programme_Grunddaten!$A636="Geprüft",Programme_Grunddaten!I636&lt;&gt;""),IF(Programme_Grunddaten!I636="Ja",1,0),"")</f>
        <v/>
      </c>
      <c r="C631" s="1" t="str">
        <f>IF(AND(Programme_Grunddaten!$A636="Geprüft",Programme_Grunddaten!J636&lt;&gt;""),IF(Programme_Grunddaten!J636="Ja",1,0),"")</f>
        <v/>
      </c>
      <c r="D631" s="1" t="str">
        <f>IF(AND(Programme_Grunddaten!$A636="Geprüft",Programme_Grunddaten!K636&lt;&gt;""),IF(Programme_Grunddaten!K636="Ja",1,0),"")</f>
        <v/>
      </c>
      <c r="E631" s="1" t="str">
        <f>IF(AND(Programme_Grunddaten!$A636="Geprüft",Programme_Grunddaten!L636&lt;&gt;""),IF(Programme_Grunddaten!L636="Abo / befristete Lizenz",1,0),"")</f>
        <v/>
      </c>
      <c r="F631" s="1" t="str">
        <f>IF(AND(Programme_Grunddaten!$A636="Geprüft",Programme_Grunddaten!M636&lt;&gt;""),IF(Programme_Grunddaten!M636="Ja",1,0),"")</f>
        <v/>
      </c>
      <c r="G631" s="1" t="str">
        <f>IF(AND(Programme_Grunddaten!$A636="Geprüft",Programme_Grunddaten!N636&lt;&gt;""),IF(Programme_Grunddaten!N636="Ja",1,0),"")</f>
        <v/>
      </c>
      <c r="H631" s="1" t="str">
        <f>IF(AND(Programme_Grunddaten!$A636="Geprüft",Programme_Grunddaten!O636&lt;&gt;""),IF(Programme_Grunddaten!O636="Deutschland",0,IF(Programme_Grunddaten!O636="EU",1,2)),"")</f>
        <v/>
      </c>
      <c r="I631" s="1" t="str">
        <f>IF(AND(Programme_Grunddaten!$A636="Geprüft",Programme_Grunddaten!P636&lt;&gt;""),IF(Programme_Grunddaten!P636="Ja",1,0),"")</f>
        <v/>
      </c>
      <c r="J631" s="1" t="str">
        <f>IF(AND(Programme_Grunddaten!$A636="Geprüft",Programme_Grunddaten!Q636&lt;&gt;""),IF(Programme_Grunddaten!Q636="geschlossenes System",1,0),"")</f>
        <v/>
      </c>
      <c r="K631" s="1" t="str">
        <f>IF(AND(Programme_Grunddaten!$A636="Geprüft",Programme_Grunddaten!R636&lt;&gt;""),IF(Programme_Grunddaten!R636="Ja",1,0),"")</f>
        <v/>
      </c>
      <c r="L631" s="1" t="str">
        <f>IF(AND(Programme_Grunddaten!$A636="Geprüft",Programme_Grunddaten!T636&lt;&gt;""),IF(Programme_Grunddaten!T636="Ja",1,0),"")</f>
        <v/>
      </c>
      <c r="M631" s="1" t="str">
        <f>IF(AND(Programme_Grunddaten!$A636="Geprüft",Programme_Grunddaten!U636&lt;&gt;""),IF(Programme_Grunddaten!U636="Ja",1,0),"")</f>
        <v/>
      </c>
      <c r="N631" s="1" t="str">
        <f>IF(AND(Programme_Grunddaten!$A636="Geprüft",Programme_Grunddaten!V636&lt;&gt;""),IF(Programme_Grunddaten!V636="Ja",1,0),"")</f>
        <v/>
      </c>
      <c r="O631" s="1" t="str">
        <f>IF(AND(Programme_Grunddaten!$A636="Geprüft",Programme_Grunddaten!W636&lt;&gt;""),IF(Programme_Grunddaten!W636="Ja",1,0),"")</f>
        <v/>
      </c>
      <c r="P631" s="1" t="str">
        <f>IF(AND(Programme_Grunddaten!$A636="Geprüft",Programme_Grunddaten!X636&lt;&gt;""),IF(Programme_Grunddaten!X636="Ja",1,0),"")</f>
        <v/>
      </c>
      <c r="Q631" s="1" t="str">
        <f>IF(AND(Programme_Grunddaten!$A636="Geprüft",Programme_Grunddaten!Y636&lt;&gt;""),IF(Programme_Grunddaten!Y636="Ja",1,0),"")</f>
        <v/>
      </c>
      <c r="R631" s="1" t="str">
        <f>IF(AND(Programme_Grunddaten!$A636="Geprüft",Programme_Grunddaten!Z636&lt;&gt;""),IF(Programme_Grunddaten!Z636="Ja",1,0),"")</f>
        <v/>
      </c>
      <c r="S631" s="1" t="str">
        <f>IF(AND(Programme_Grunddaten!$A636="Geprüft",Programme_Grunddaten!AA636&lt;&gt;""),IF(Programme_Grunddaten!AA636="monolithisch",1,0),"")</f>
        <v/>
      </c>
      <c r="T631" s="1" t="str">
        <f>IF(AND(Programme_Grunddaten!$A636="Geprüft",Programme_Grunddaten!AB636&lt;&gt;""),IF(Programme_Grunddaten!AB636="Ja",1,0),"")</f>
        <v/>
      </c>
      <c r="U631" s="1" t="str">
        <f>IF(AND(Programme_Grunddaten!$A636="Geprüft",Programme_Grunddaten!AC636&lt;&gt;""),IF(Programme_Grunddaten!AC636="Ja",1,0),"")</f>
        <v/>
      </c>
      <c r="V631" s="1" t="str">
        <f>IF(AND(Programme_Grunddaten!$A636="Geprüft",Programme_Grunddaten!AD636&lt;&gt;""),IF(Programme_Grunddaten!AD636="Ja",1,0),"")</f>
        <v/>
      </c>
      <c r="W631" s="1" t="str">
        <f>IF(AND(Programme_Grunddaten!$A636="Geprüft",Programme_Grunddaten!AE636&lt;&gt;""),IF(Programme_Grunddaten!AE636="Ja",1,0),"")</f>
        <v/>
      </c>
      <c r="X631" s="1" t="str">
        <f>IF(AND(Programme_Grunddaten!$A636="Geprüft",Programme_Grunddaten!AF636&lt;&gt;""),IF(Programme_Grunddaten!AF636="Ja",1,0),"")</f>
        <v/>
      </c>
      <c r="Y631" s="1" t="str">
        <f>IF(AND(Programme_Grunddaten!$A636="Geprüft",Programme_Grunddaten!AG636&lt;&gt;""),IF(Programme_Grunddaten!AG636="Ja",1,0),"")</f>
        <v/>
      </c>
      <c r="Z631" s="1" t="str">
        <f>IF(AND(Programme_Grunddaten!$A636="Geprüft",Programme_Grunddaten!AH636&lt;&gt;""),IF(Programme_Grunddaten!AH636="Ja",1,0),"")</f>
        <v/>
      </c>
      <c r="AA631" s="1" t="str">
        <f>IF(AND(Programme_Grunddaten!$A636="Geprüft",Programme_Grunddaten!AI636&lt;&gt;""),IF(Programme_Grunddaten!AI636="Ja",1,0),"")</f>
        <v/>
      </c>
      <c r="AB631" s="1" t="str">
        <f>IF(AND(Programme_Grunddaten!$A636="Geprüft",Programme_Grunddaten!AJ636&lt;&gt;""),IF(Programme_Grunddaten!AJ636="individuell programmierbar",1,0),"")</f>
        <v/>
      </c>
      <c r="AC631" s="1" t="str">
        <f>IF(AND(Programme_Grunddaten!$A636="Geprüft",Programme_Grunddaten!AK636&lt;&gt;""),IF(Programme_Grunddaten!AK636="Deutsch",0,IF(Programme_Grunddaten!AK636="Deutsch und Englisch",1,2)),"")</f>
        <v/>
      </c>
      <c r="AD631" s="1" t="str">
        <f>IF(AND(Programme_Grunddaten!$A636="Geprüft",Programme_Grunddaten!AL636&lt;&gt;""),IF(Programme_Grunddaten!AL636="Ja",1,0),"")</f>
        <v/>
      </c>
      <c r="AE631" s="1" t="str">
        <f>IF(AND(Programme_Grunddaten!$A636="Geprüft",Programme_Grunddaten!AM636&lt;&gt;""),IF(Programme_Grunddaten!AM636="Ja",1,0),"")</f>
        <v/>
      </c>
      <c r="AF631" s="1" t="str">
        <f>IF(AND(Programme_Grunddaten!$A636="Geprüft",Programme_Grunddaten!AN636&lt;&gt;""),IF(Programme_Grunddaten!AN636="Ja",1,0),"")</f>
        <v/>
      </c>
      <c r="AG631" s="1" t="str">
        <f>IF(AND(Programme_Grunddaten!$A636="Geprüft",Programme_Grunddaten!AO636&lt;&gt;""),IF(Programme_Grunddaten!AO636="Ja",1,0),"")</f>
        <v/>
      </c>
      <c r="AH631" s="1" t="str">
        <f>IF(AND(Programme_Grunddaten!$A636="Geprüft",Programme_Grunddaten!AP636&lt;&gt;""),IF(Programme_Grunddaten!AP636="Ja",1,0),"")</f>
        <v/>
      </c>
      <c r="AI631" s="1" t="str">
        <f>IF(AND(Programme_Grunddaten!$A636="Geprüft",Programme_Grunddaten!AQ636&lt;&gt;""),IF(Programme_Grunddaten!AQ636="Ja",1,0),"")</f>
        <v/>
      </c>
      <c r="AJ631" s="1" t="str">
        <f>IF(AND(Programme_Grunddaten!$A636="Geprüft",Programme_Grunddaten!AR636&lt;&gt;""),IF(Programme_Grunddaten!AR636="Ja",1,0),"")</f>
        <v/>
      </c>
      <c r="AK631" s="1" t="str">
        <f>IF(AND(Programme_Grunddaten!$A636="Geprüft",Programme_Grunddaten!AS636&lt;&gt;""),IF(Programme_Grunddaten!AS636="Ja",1,0),"")</f>
        <v/>
      </c>
      <c r="AL631" s="1" t="str">
        <f>IF(AND(Programme_Grunddaten!$A636="Geprüft",Programme_Grunddaten!AT636&lt;&gt;""),IF(Programme_Grunddaten!AT636="Ja",1,0),"")</f>
        <v/>
      </c>
      <c r="AM631" s="1" t="str">
        <f>IF(AND(Programme_Grunddaten!$A636="Geprüft",Programme_Grunddaten!AU636&lt;&gt;""),IF(Programme_Grunddaten!AU636="Ja",1,0),"")</f>
        <v/>
      </c>
      <c r="AN631" s="1" t="str">
        <f>IF(AND(Programme_Grunddaten!$A636="Geprüft",Programme_Grunddaten!AV636&lt;&gt;""),IF(Programme_Grunddaten!AV636="Ja",1,0),"")</f>
        <v/>
      </c>
    </row>
    <row r="632" spans="1:40" x14ac:dyDescent="0.3">
      <c r="A632" s="1" t="str">
        <f>IF(AND(Programme_Grunddaten!A637="Geprüft",Programme_Grunddaten!B637&lt;&gt;""),Programme_Grunddaten!B637,"")</f>
        <v/>
      </c>
      <c r="B632" s="1" t="str">
        <f>IF(AND(Programme_Grunddaten!$A637="Geprüft",Programme_Grunddaten!I637&lt;&gt;""),IF(Programme_Grunddaten!I637="Ja",1,0),"")</f>
        <v/>
      </c>
      <c r="C632" s="1" t="str">
        <f>IF(AND(Programme_Grunddaten!$A637="Geprüft",Programme_Grunddaten!J637&lt;&gt;""),IF(Programme_Grunddaten!J637="Ja",1,0),"")</f>
        <v/>
      </c>
      <c r="D632" s="1" t="str">
        <f>IF(AND(Programme_Grunddaten!$A637="Geprüft",Programme_Grunddaten!K637&lt;&gt;""),IF(Programme_Grunddaten!K637="Ja",1,0),"")</f>
        <v/>
      </c>
      <c r="E632" s="1" t="str">
        <f>IF(AND(Programme_Grunddaten!$A637="Geprüft",Programme_Grunddaten!L637&lt;&gt;""),IF(Programme_Grunddaten!L637="Abo / befristete Lizenz",1,0),"")</f>
        <v/>
      </c>
      <c r="F632" s="1" t="str">
        <f>IF(AND(Programme_Grunddaten!$A637="Geprüft",Programme_Grunddaten!M637&lt;&gt;""),IF(Programme_Grunddaten!M637="Ja",1,0),"")</f>
        <v/>
      </c>
      <c r="G632" s="1" t="str">
        <f>IF(AND(Programme_Grunddaten!$A637="Geprüft",Programme_Grunddaten!N637&lt;&gt;""),IF(Programme_Grunddaten!N637="Ja",1,0),"")</f>
        <v/>
      </c>
      <c r="H632" s="1" t="str">
        <f>IF(AND(Programme_Grunddaten!$A637="Geprüft",Programme_Grunddaten!O637&lt;&gt;""),IF(Programme_Grunddaten!O637="Deutschland",0,IF(Programme_Grunddaten!O637="EU",1,2)),"")</f>
        <v/>
      </c>
      <c r="I632" s="1" t="str">
        <f>IF(AND(Programme_Grunddaten!$A637="Geprüft",Programme_Grunddaten!P637&lt;&gt;""),IF(Programme_Grunddaten!P637="Ja",1,0),"")</f>
        <v/>
      </c>
      <c r="J632" s="1" t="str">
        <f>IF(AND(Programme_Grunddaten!$A637="Geprüft",Programme_Grunddaten!Q637&lt;&gt;""),IF(Programme_Grunddaten!Q637="geschlossenes System",1,0),"")</f>
        <v/>
      </c>
      <c r="K632" s="1" t="str">
        <f>IF(AND(Programme_Grunddaten!$A637="Geprüft",Programme_Grunddaten!R637&lt;&gt;""),IF(Programme_Grunddaten!R637="Ja",1,0),"")</f>
        <v/>
      </c>
      <c r="L632" s="1" t="str">
        <f>IF(AND(Programme_Grunddaten!$A637="Geprüft",Programme_Grunddaten!T637&lt;&gt;""),IF(Programme_Grunddaten!T637="Ja",1,0),"")</f>
        <v/>
      </c>
      <c r="M632" s="1" t="str">
        <f>IF(AND(Programme_Grunddaten!$A637="Geprüft",Programme_Grunddaten!U637&lt;&gt;""),IF(Programme_Grunddaten!U637="Ja",1,0),"")</f>
        <v/>
      </c>
      <c r="N632" s="1" t="str">
        <f>IF(AND(Programme_Grunddaten!$A637="Geprüft",Programme_Grunddaten!V637&lt;&gt;""),IF(Programme_Grunddaten!V637="Ja",1,0),"")</f>
        <v/>
      </c>
      <c r="O632" s="1" t="str">
        <f>IF(AND(Programme_Grunddaten!$A637="Geprüft",Programme_Grunddaten!W637&lt;&gt;""),IF(Programme_Grunddaten!W637="Ja",1,0),"")</f>
        <v/>
      </c>
      <c r="P632" s="1" t="str">
        <f>IF(AND(Programme_Grunddaten!$A637="Geprüft",Programme_Grunddaten!X637&lt;&gt;""),IF(Programme_Grunddaten!X637="Ja",1,0),"")</f>
        <v/>
      </c>
      <c r="Q632" s="1" t="str">
        <f>IF(AND(Programme_Grunddaten!$A637="Geprüft",Programme_Grunddaten!Y637&lt;&gt;""),IF(Programme_Grunddaten!Y637="Ja",1,0),"")</f>
        <v/>
      </c>
      <c r="R632" s="1" t="str">
        <f>IF(AND(Programme_Grunddaten!$A637="Geprüft",Programme_Grunddaten!Z637&lt;&gt;""),IF(Programme_Grunddaten!Z637="Ja",1,0),"")</f>
        <v/>
      </c>
      <c r="S632" s="1" t="str">
        <f>IF(AND(Programme_Grunddaten!$A637="Geprüft",Programme_Grunddaten!AA637&lt;&gt;""),IF(Programme_Grunddaten!AA637="monolithisch",1,0),"")</f>
        <v/>
      </c>
      <c r="T632" s="1" t="str">
        <f>IF(AND(Programme_Grunddaten!$A637="Geprüft",Programme_Grunddaten!AB637&lt;&gt;""),IF(Programme_Grunddaten!AB637="Ja",1,0),"")</f>
        <v/>
      </c>
      <c r="U632" s="1" t="str">
        <f>IF(AND(Programme_Grunddaten!$A637="Geprüft",Programme_Grunddaten!AC637&lt;&gt;""),IF(Programme_Grunddaten!AC637="Ja",1,0),"")</f>
        <v/>
      </c>
      <c r="V632" s="1" t="str">
        <f>IF(AND(Programme_Grunddaten!$A637="Geprüft",Programme_Grunddaten!AD637&lt;&gt;""),IF(Programme_Grunddaten!AD637="Ja",1,0),"")</f>
        <v/>
      </c>
      <c r="W632" s="1" t="str">
        <f>IF(AND(Programme_Grunddaten!$A637="Geprüft",Programme_Grunddaten!AE637&lt;&gt;""),IF(Programme_Grunddaten!AE637="Ja",1,0),"")</f>
        <v/>
      </c>
      <c r="X632" s="1" t="str">
        <f>IF(AND(Programme_Grunddaten!$A637="Geprüft",Programme_Grunddaten!AF637&lt;&gt;""),IF(Programme_Grunddaten!AF637="Ja",1,0),"")</f>
        <v/>
      </c>
      <c r="Y632" s="1" t="str">
        <f>IF(AND(Programme_Grunddaten!$A637="Geprüft",Programme_Grunddaten!AG637&lt;&gt;""),IF(Programme_Grunddaten!AG637="Ja",1,0),"")</f>
        <v/>
      </c>
      <c r="Z632" s="1" t="str">
        <f>IF(AND(Programme_Grunddaten!$A637="Geprüft",Programme_Grunddaten!AH637&lt;&gt;""),IF(Programme_Grunddaten!AH637="Ja",1,0),"")</f>
        <v/>
      </c>
      <c r="AA632" s="1" t="str">
        <f>IF(AND(Programme_Grunddaten!$A637="Geprüft",Programme_Grunddaten!AI637&lt;&gt;""),IF(Programme_Grunddaten!AI637="Ja",1,0),"")</f>
        <v/>
      </c>
      <c r="AB632" s="1" t="str">
        <f>IF(AND(Programme_Grunddaten!$A637="Geprüft",Programme_Grunddaten!AJ637&lt;&gt;""),IF(Programme_Grunddaten!AJ637="individuell programmierbar",1,0),"")</f>
        <v/>
      </c>
      <c r="AC632" s="1" t="str">
        <f>IF(AND(Programme_Grunddaten!$A637="Geprüft",Programme_Grunddaten!AK637&lt;&gt;""),IF(Programme_Grunddaten!AK637="Deutsch",0,IF(Programme_Grunddaten!AK637="Deutsch und Englisch",1,2)),"")</f>
        <v/>
      </c>
      <c r="AD632" s="1" t="str">
        <f>IF(AND(Programme_Grunddaten!$A637="Geprüft",Programme_Grunddaten!AL637&lt;&gt;""),IF(Programme_Grunddaten!AL637="Ja",1,0),"")</f>
        <v/>
      </c>
      <c r="AE632" s="1" t="str">
        <f>IF(AND(Programme_Grunddaten!$A637="Geprüft",Programme_Grunddaten!AM637&lt;&gt;""),IF(Programme_Grunddaten!AM637="Ja",1,0),"")</f>
        <v/>
      </c>
      <c r="AF632" s="1" t="str">
        <f>IF(AND(Programme_Grunddaten!$A637="Geprüft",Programme_Grunddaten!AN637&lt;&gt;""),IF(Programme_Grunddaten!AN637="Ja",1,0),"")</f>
        <v/>
      </c>
      <c r="AG632" s="1" t="str">
        <f>IF(AND(Programme_Grunddaten!$A637="Geprüft",Programme_Grunddaten!AO637&lt;&gt;""),IF(Programme_Grunddaten!AO637="Ja",1,0),"")</f>
        <v/>
      </c>
      <c r="AH632" s="1" t="str">
        <f>IF(AND(Programme_Grunddaten!$A637="Geprüft",Programme_Grunddaten!AP637&lt;&gt;""),IF(Programme_Grunddaten!AP637="Ja",1,0),"")</f>
        <v/>
      </c>
      <c r="AI632" s="1" t="str">
        <f>IF(AND(Programme_Grunddaten!$A637="Geprüft",Programme_Grunddaten!AQ637&lt;&gt;""),IF(Programme_Grunddaten!AQ637="Ja",1,0),"")</f>
        <v/>
      </c>
      <c r="AJ632" s="1" t="str">
        <f>IF(AND(Programme_Grunddaten!$A637="Geprüft",Programme_Grunddaten!AR637&lt;&gt;""),IF(Programme_Grunddaten!AR637="Ja",1,0),"")</f>
        <v/>
      </c>
      <c r="AK632" s="1" t="str">
        <f>IF(AND(Programme_Grunddaten!$A637="Geprüft",Programme_Grunddaten!AS637&lt;&gt;""),IF(Programme_Grunddaten!AS637="Ja",1,0),"")</f>
        <v/>
      </c>
      <c r="AL632" s="1" t="str">
        <f>IF(AND(Programme_Grunddaten!$A637="Geprüft",Programme_Grunddaten!AT637&lt;&gt;""),IF(Programme_Grunddaten!AT637="Ja",1,0),"")</f>
        <v/>
      </c>
      <c r="AM632" s="1" t="str">
        <f>IF(AND(Programme_Grunddaten!$A637="Geprüft",Programme_Grunddaten!AU637&lt;&gt;""),IF(Programme_Grunddaten!AU637="Ja",1,0),"")</f>
        <v/>
      </c>
      <c r="AN632" s="1" t="str">
        <f>IF(AND(Programme_Grunddaten!$A637="Geprüft",Programme_Grunddaten!AV637&lt;&gt;""),IF(Programme_Grunddaten!AV637="Ja",1,0),"")</f>
        <v/>
      </c>
    </row>
    <row r="633" spans="1:40" x14ac:dyDescent="0.3">
      <c r="A633" s="1" t="str">
        <f>IF(AND(Programme_Grunddaten!A638="Geprüft",Programme_Grunddaten!B638&lt;&gt;""),Programme_Grunddaten!B638,"")</f>
        <v/>
      </c>
      <c r="B633" s="1" t="str">
        <f>IF(AND(Programme_Grunddaten!$A638="Geprüft",Programme_Grunddaten!I638&lt;&gt;""),IF(Programme_Grunddaten!I638="Ja",1,0),"")</f>
        <v/>
      </c>
      <c r="C633" s="1" t="str">
        <f>IF(AND(Programme_Grunddaten!$A638="Geprüft",Programme_Grunddaten!J638&lt;&gt;""),IF(Programme_Grunddaten!J638="Ja",1,0),"")</f>
        <v/>
      </c>
      <c r="D633" s="1" t="str">
        <f>IF(AND(Programme_Grunddaten!$A638="Geprüft",Programme_Grunddaten!K638&lt;&gt;""),IF(Programme_Grunddaten!K638="Ja",1,0),"")</f>
        <v/>
      </c>
      <c r="E633" s="1" t="str">
        <f>IF(AND(Programme_Grunddaten!$A638="Geprüft",Programme_Grunddaten!L638&lt;&gt;""),IF(Programme_Grunddaten!L638="Abo / befristete Lizenz",1,0),"")</f>
        <v/>
      </c>
      <c r="F633" s="1" t="str">
        <f>IF(AND(Programme_Grunddaten!$A638="Geprüft",Programme_Grunddaten!M638&lt;&gt;""),IF(Programme_Grunddaten!M638="Ja",1,0),"")</f>
        <v/>
      </c>
      <c r="G633" s="1" t="str">
        <f>IF(AND(Programme_Grunddaten!$A638="Geprüft",Programme_Grunddaten!N638&lt;&gt;""),IF(Programme_Grunddaten!N638="Ja",1,0),"")</f>
        <v/>
      </c>
      <c r="H633" s="1" t="str">
        <f>IF(AND(Programme_Grunddaten!$A638="Geprüft",Programme_Grunddaten!O638&lt;&gt;""),IF(Programme_Grunddaten!O638="Deutschland",0,IF(Programme_Grunddaten!O638="EU",1,2)),"")</f>
        <v/>
      </c>
      <c r="I633" s="1" t="str">
        <f>IF(AND(Programme_Grunddaten!$A638="Geprüft",Programme_Grunddaten!P638&lt;&gt;""),IF(Programme_Grunddaten!P638="Ja",1,0),"")</f>
        <v/>
      </c>
      <c r="J633" s="1" t="str">
        <f>IF(AND(Programme_Grunddaten!$A638="Geprüft",Programme_Grunddaten!Q638&lt;&gt;""),IF(Programme_Grunddaten!Q638="geschlossenes System",1,0),"")</f>
        <v/>
      </c>
      <c r="K633" s="1" t="str">
        <f>IF(AND(Programme_Grunddaten!$A638="Geprüft",Programme_Grunddaten!R638&lt;&gt;""),IF(Programme_Grunddaten!R638="Ja",1,0),"")</f>
        <v/>
      </c>
      <c r="L633" s="1" t="str">
        <f>IF(AND(Programme_Grunddaten!$A638="Geprüft",Programme_Grunddaten!T638&lt;&gt;""),IF(Programme_Grunddaten!T638="Ja",1,0),"")</f>
        <v/>
      </c>
      <c r="M633" s="1" t="str">
        <f>IF(AND(Programme_Grunddaten!$A638="Geprüft",Programme_Grunddaten!U638&lt;&gt;""),IF(Programme_Grunddaten!U638="Ja",1,0),"")</f>
        <v/>
      </c>
      <c r="N633" s="1" t="str">
        <f>IF(AND(Programme_Grunddaten!$A638="Geprüft",Programme_Grunddaten!V638&lt;&gt;""),IF(Programme_Grunddaten!V638="Ja",1,0),"")</f>
        <v/>
      </c>
      <c r="O633" s="1" t="str">
        <f>IF(AND(Programme_Grunddaten!$A638="Geprüft",Programme_Grunddaten!W638&lt;&gt;""),IF(Programme_Grunddaten!W638="Ja",1,0),"")</f>
        <v/>
      </c>
      <c r="P633" s="1" t="str">
        <f>IF(AND(Programme_Grunddaten!$A638="Geprüft",Programme_Grunddaten!X638&lt;&gt;""),IF(Programme_Grunddaten!X638="Ja",1,0),"")</f>
        <v/>
      </c>
      <c r="Q633" s="1" t="str">
        <f>IF(AND(Programme_Grunddaten!$A638="Geprüft",Programme_Grunddaten!Y638&lt;&gt;""),IF(Programme_Grunddaten!Y638="Ja",1,0),"")</f>
        <v/>
      </c>
      <c r="R633" s="1" t="str">
        <f>IF(AND(Programme_Grunddaten!$A638="Geprüft",Programme_Grunddaten!Z638&lt;&gt;""),IF(Programme_Grunddaten!Z638="Ja",1,0),"")</f>
        <v/>
      </c>
      <c r="S633" s="1" t="str">
        <f>IF(AND(Programme_Grunddaten!$A638="Geprüft",Programme_Grunddaten!AA638&lt;&gt;""),IF(Programme_Grunddaten!AA638="monolithisch",1,0),"")</f>
        <v/>
      </c>
      <c r="T633" s="1" t="str">
        <f>IF(AND(Programme_Grunddaten!$A638="Geprüft",Programme_Grunddaten!AB638&lt;&gt;""),IF(Programme_Grunddaten!AB638="Ja",1,0),"")</f>
        <v/>
      </c>
      <c r="U633" s="1" t="str">
        <f>IF(AND(Programme_Grunddaten!$A638="Geprüft",Programme_Grunddaten!AC638&lt;&gt;""),IF(Programme_Grunddaten!AC638="Ja",1,0),"")</f>
        <v/>
      </c>
      <c r="V633" s="1" t="str">
        <f>IF(AND(Programme_Grunddaten!$A638="Geprüft",Programme_Grunddaten!AD638&lt;&gt;""),IF(Programme_Grunddaten!AD638="Ja",1,0),"")</f>
        <v/>
      </c>
      <c r="W633" s="1" t="str">
        <f>IF(AND(Programme_Grunddaten!$A638="Geprüft",Programme_Grunddaten!AE638&lt;&gt;""),IF(Programme_Grunddaten!AE638="Ja",1,0),"")</f>
        <v/>
      </c>
      <c r="X633" s="1" t="str">
        <f>IF(AND(Programme_Grunddaten!$A638="Geprüft",Programme_Grunddaten!AF638&lt;&gt;""),IF(Programme_Grunddaten!AF638="Ja",1,0),"")</f>
        <v/>
      </c>
      <c r="Y633" s="1" t="str">
        <f>IF(AND(Programme_Grunddaten!$A638="Geprüft",Programme_Grunddaten!AG638&lt;&gt;""),IF(Programme_Grunddaten!AG638="Ja",1,0),"")</f>
        <v/>
      </c>
      <c r="Z633" s="1" t="str">
        <f>IF(AND(Programme_Grunddaten!$A638="Geprüft",Programme_Grunddaten!AH638&lt;&gt;""),IF(Programme_Grunddaten!AH638="Ja",1,0),"")</f>
        <v/>
      </c>
      <c r="AA633" s="1" t="str">
        <f>IF(AND(Programme_Grunddaten!$A638="Geprüft",Programme_Grunddaten!AI638&lt;&gt;""),IF(Programme_Grunddaten!AI638="Ja",1,0),"")</f>
        <v/>
      </c>
      <c r="AB633" s="1" t="str">
        <f>IF(AND(Programme_Grunddaten!$A638="Geprüft",Programme_Grunddaten!AJ638&lt;&gt;""),IF(Programme_Grunddaten!AJ638="individuell programmierbar",1,0),"")</f>
        <v/>
      </c>
      <c r="AC633" s="1" t="str">
        <f>IF(AND(Programme_Grunddaten!$A638="Geprüft",Programme_Grunddaten!AK638&lt;&gt;""),IF(Programme_Grunddaten!AK638="Deutsch",0,IF(Programme_Grunddaten!AK638="Deutsch und Englisch",1,2)),"")</f>
        <v/>
      </c>
      <c r="AD633" s="1" t="str">
        <f>IF(AND(Programme_Grunddaten!$A638="Geprüft",Programme_Grunddaten!AL638&lt;&gt;""),IF(Programme_Grunddaten!AL638="Ja",1,0),"")</f>
        <v/>
      </c>
      <c r="AE633" s="1" t="str">
        <f>IF(AND(Programme_Grunddaten!$A638="Geprüft",Programme_Grunddaten!AM638&lt;&gt;""),IF(Programme_Grunddaten!AM638="Ja",1,0),"")</f>
        <v/>
      </c>
      <c r="AF633" s="1" t="str">
        <f>IF(AND(Programme_Grunddaten!$A638="Geprüft",Programme_Grunddaten!AN638&lt;&gt;""),IF(Programme_Grunddaten!AN638="Ja",1,0),"")</f>
        <v/>
      </c>
      <c r="AG633" s="1" t="str">
        <f>IF(AND(Programme_Grunddaten!$A638="Geprüft",Programme_Grunddaten!AO638&lt;&gt;""),IF(Programme_Grunddaten!AO638="Ja",1,0),"")</f>
        <v/>
      </c>
      <c r="AH633" s="1" t="str">
        <f>IF(AND(Programme_Grunddaten!$A638="Geprüft",Programme_Grunddaten!AP638&lt;&gt;""),IF(Programme_Grunddaten!AP638="Ja",1,0),"")</f>
        <v/>
      </c>
      <c r="AI633" s="1" t="str">
        <f>IF(AND(Programme_Grunddaten!$A638="Geprüft",Programme_Grunddaten!AQ638&lt;&gt;""),IF(Programme_Grunddaten!AQ638="Ja",1,0),"")</f>
        <v/>
      </c>
      <c r="AJ633" s="1" t="str">
        <f>IF(AND(Programme_Grunddaten!$A638="Geprüft",Programme_Grunddaten!AR638&lt;&gt;""),IF(Programme_Grunddaten!AR638="Ja",1,0),"")</f>
        <v/>
      </c>
      <c r="AK633" s="1" t="str">
        <f>IF(AND(Programme_Grunddaten!$A638="Geprüft",Programme_Grunddaten!AS638&lt;&gt;""),IF(Programme_Grunddaten!AS638="Ja",1,0),"")</f>
        <v/>
      </c>
      <c r="AL633" s="1" t="str">
        <f>IF(AND(Programme_Grunddaten!$A638="Geprüft",Programme_Grunddaten!AT638&lt;&gt;""),IF(Programme_Grunddaten!AT638="Ja",1,0),"")</f>
        <v/>
      </c>
      <c r="AM633" s="1" t="str">
        <f>IF(AND(Programme_Grunddaten!$A638="Geprüft",Programme_Grunddaten!AU638&lt;&gt;""),IF(Programme_Grunddaten!AU638="Ja",1,0),"")</f>
        <v/>
      </c>
      <c r="AN633" s="1" t="str">
        <f>IF(AND(Programme_Grunddaten!$A638="Geprüft",Programme_Grunddaten!AV638&lt;&gt;""),IF(Programme_Grunddaten!AV638="Ja",1,0),"")</f>
        <v/>
      </c>
    </row>
    <row r="634" spans="1:40" x14ac:dyDescent="0.3">
      <c r="A634" s="1" t="str">
        <f>IF(AND(Programme_Grunddaten!A639="Geprüft",Programme_Grunddaten!B639&lt;&gt;""),Programme_Grunddaten!B639,"")</f>
        <v/>
      </c>
      <c r="B634" s="1" t="str">
        <f>IF(AND(Programme_Grunddaten!$A639="Geprüft",Programme_Grunddaten!I639&lt;&gt;""),IF(Programme_Grunddaten!I639="Ja",1,0),"")</f>
        <v/>
      </c>
      <c r="C634" s="1" t="str">
        <f>IF(AND(Programme_Grunddaten!$A639="Geprüft",Programme_Grunddaten!J639&lt;&gt;""),IF(Programme_Grunddaten!J639="Ja",1,0),"")</f>
        <v/>
      </c>
      <c r="D634" s="1" t="str">
        <f>IF(AND(Programme_Grunddaten!$A639="Geprüft",Programme_Grunddaten!K639&lt;&gt;""),IF(Programme_Grunddaten!K639="Ja",1,0),"")</f>
        <v/>
      </c>
      <c r="E634" s="1" t="str">
        <f>IF(AND(Programme_Grunddaten!$A639="Geprüft",Programme_Grunddaten!L639&lt;&gt;""),IF(Programme_Grunddaten!L639="Abo / befristete Lizenz",1,0),"")</f>
        <v/>
      </c>
      <c r="F634" s="1" t="str">
        <f>IF(AND(Programme_Grunddaten!$A639="Geprüft",Programme_Grunddaten!M639&lt;&gt;""),IF(Programme_Grunddaten!M639="Ja",1,0),"")</f>
        <v/>
      </c>
      <c r="G634" s="1" t="str">
        <f>IF(AND(Programme_Grunddaten!$A639="Geprüft",Programme_Grunddaten!N639&lt;&gt;""),IF(Programme_Grunddaten!N639="Ja",1,0),"")</f>
        <v/>
      </c>
      <c r="H634" s="1" t="str">
        <f>IF(AND(Programme_Grunddaten!$A639="Geprüft",Programme_Grunddaten!O639&lt;&gt;""),IF(Programme_Grunddaten!O639="Deutschland",0,IF(Programme_Grunddaten!O639="EU",1,2)),"")</f>
        <v/>
      </c>
      <c r="I634" s="1" t="str">
        <f>IF(AND(Programme_Grunddaten!$A639="Geprüft",Programme_Grunddaten!P639&lt;&gt;""),IF(Programme_Grunddaten!P639="Ja",1,0),"")</f>
        <v/>
      </c>
      <c r="J634" s="1" t="str">
        <f>IF(AND(Programme_Grunddaten!$A639="Geprüft",Programme_Grunddaten!Q639&lt;&gt;""),IF(Programme_Grunddaten!Q639="geschlossenes System",1,0),"")</f>
        <v/>
      </c>
      <c r="K634" s="1" t="str">
        <f>IF(AND(Programme_Grunddaten!$A639="Geprüft",Programme_Grunddaten!R639&lt;&gt;""),IF(Programme_Grunddaten!R639="Ja",1,0),"")</f>
        <v/>
      </c>
      <c r="L634" s="1" t="str">
        <f>IF(AND(Programme_Grunddaten!$A639="Geprüft",Programme_Grunddaten!T639&lt;&gt;""),IF(Programme_Grunddaten!T639="Ja",1,0),"")</f>
        <v/>
      </c>
      <c r="M634" s="1" t="str">
        <f>IF(AND(Programme_Grunddaten!$A639="Geprüft",Programme_Grunddaten!U639&lt;&gt;""),IF(Programme_Grunddaten!U639="Ja",1,0),"")</f>
        <v/>
      </c>
      <c r="N634" s="1" t="str">
        <f>IF(AND(Programme_Grunddaten!$A639="Geprüft",Programme_Grunddaten!V639&lt;&gt;""),IF(Programme_Grunddaten!V639="Ja",1,0),"")</f>
        <v/>
      </c>
      <c r="O634" s="1" t="str">
        <f>IF(AND(Programme_Grunddaten!$A639="Geprüft",Programme_Grunddaten!W639&lt;&gt;""),IF(Programme_Grunddaten!W639="Ja",1,0),"")</f>
        <v/>
      </c>
      <c r="P634" s="1" t="str">
        <f>IF(AND(Programme_Grunddaten!$A639="Geprüft",Programme_Grunddaten!X639&lt;&gt;""),IF(Programme_Grunddaten!X639="Ja",1,0),"")</f>
        <v/>
      </c>
      <c r="Q634" s="1" t="str">
        <f>IF(AND(Programme_Grunddaten!$A639="Geprüft",Programme_Grunddaten!Y639&lt;&gt;""),IF(Programme_Grunddaten!Y639="Ja",1,0),"")</f>
        <v/>
      </c>
      <c r="R634" s="1" t="str">
        <f>IF(AND(Programme_Grunddaten!$A639="Geprüft",Programme_Grunddaten!Z639&lt;&gt;""),IF(Programme_Grunddaten!Z639="Ja",1,0),"")</f>
        <v/>
      </c>
      <c r="S634" s="1" t="str">
        <f>IF(AND(Programme_Grunddaten!$A639="Geprüft",Programme_Grunddaten!AA639&lt;&gt;""),IF(Programme_Grunddaten!AA639="monolithisch",1,0),"")</f>
        <v/>
      </c>
      <c r="T634" s="1" t="str">
        <f>IF(AND(Programme_Grunddaten!$A639="Geprüft",Programme_Grunddaten!AB639&lt;&gt;""),IF(Programme_Grunddaten!AB639="Ja",1,0),"")</f>
        <v/>
      </c>
      <c r="U634" s="1" t="str">
        <f>IF(AND(Programme_Grunddaten!$A639="Geprüft",Programme_Grunddaten!AC639&lt;&gt;""),IF(Programme_Grunddaten!AC639="Ja",1,0),"")</f>
        <v/>
      </c>
      <c r="V634" s="1" t="str">
        <f>IF(AND(Programme_Grunddaten!$A639="Geprüft",Programme_Grunddaten!AD639&lt;&gt;""),IF(Programme_Grunddaten!AD639="Ja",1,0),"")</f>
        <v/>
      </c>
      <c r="W634" s="1" t="str">
        <f>IF(AND(Programme_Grunddaten!$A639="Geprüft",Programme_Grunddaten!AE639&lt;&gt;""),IF(Programme_Grunddaten!AE639="Ja",1,0),"")</f>
        <v/>
      </c>
      <c r="X634" s="1" t="str">
        <f>IF(AND(Programme_Grunddaten!$A639="Geprüft",Programme_Grunddaten!AF639&lt;&gt;""),IF(Programme_Grunddaten!AF639="Ja",1,0),"")</f>
        <v/>
      </c>
      <c r="Y634" s="1" t="str">
        <f>IF(AND(Programme_Grunddaten!$A639="Geprüft",Programme_Grunddaten!AG639&lt;&gt;""),IF(Programme_Grunddaten!AG639="Ja",1,0),"")</f>
        <v/>
      </c>
      <c r="Z634" s="1" t="str">
        <f>IF(AND(Programme_Grunddaten!$A639="Geprüft",Programme_Grunddaten!AH639&lt;&gt;""),IF(Programme_Grunddaten!AH639="Ja",1,0),"")</f>
        <v/>
      </c>
      <c r="AA634" s="1" t="str">
        <f>IF(AND(Programme_Grunddaten!$A639="Geprüft",Programme_Grunddaten!AI639&lt;&gt;""),IF(Programme_Grunddaten!AI639="Ja",1,0),"")</f>
        <v/>
      </c>
      <c r="AB634" s="1" t="str">
        <f>IF(AND(Programme_Grunddaten!$A639="Geprüft",Programme_Grunddaten!AJ639&lt;&gt;""),IF(Programme_Grunddaten!AJ639="individuell programmierbar",1,0),"")</f>
        <v/>
      </c>
      <c r="AC634" s="1" t="str">
        <f>IF(AND(Programme_Grunddaten!$A639="Geprüft",Programme_Grunddaten!AK639&lt;&gt;""),IF(Programme_Grunddaten!AK639="Deutsch",0,IF(Programme_Grunddaten!AK639="Deutsch und Englisch",1,2)),"")</f>
        <v/>
      </c>
      <c r="AD634" s="1" t="str">
        <f>IF(AND(Programme_Grunddaten!$A639="Geprüft",Programme_Grunddaten!AL639&lt;&gt;""),IF(Programme_Grunddaten!AL639="Ja",1,0),"")</f>
        <v/>
      </c>
      <c r="AE634" s="1" t="str">
        <f>IF(AND(Programme_Grunddaten!$A639="Geprüft",Programme_Grunddaten!AM639&lt;&gt;""),IF(Programme_Grunddaten!AM639="Ja",1,0),"")</f>
        <v/>
      </c>
      <c r="AF634" s="1" t="str">
        <f>IF(AND(Programme_Grunddaten!$A639="Geprüft",Programme_Grunddaten!AN639&lt;&gt;""),IF(Programme_Grunddaten!AN639="Ja",1,0),"")</f>
        <v/>
      </c>
      <c r="AG634" s="1" t="str">
        <f>IF(AND(Programme_Grunddaten!$A639="Geprüft",Programme_Grunddaten!AO639&lt;&gt;""),IF(Programme_Grunddaten!AO639="Ja",1,0),"")</f>
        <v/>
      </c>
      <c r="AH634" s="1" t="str">
        <f>IF(AND(Programme_Grunddaten!$A639="Geprüft",Programme_Grunddaten!AP639&lt;&gt;""),IF(Programme_Grunddaten!AP639="Ja",1,0),"")</f>
        <v/>
      </c>
      <c r="AI634" s="1" t="str">
        <f>IF(AND(Programme_Grunddaten!$A639="Geprüft",Programme_Grunddaten!AQ639&lt;&gt;""),IF(Programme_Grunddaten!AQ639="Ja",1,0),"")</f>
        <v/>
      </c>
      <c r="AJ634" s="1" t="str">
        <f>IF(AND(Programme_Grunddaten!$A639="Geprüft",Programme_Grunddaten!AR639&lt;&gt;""),IF(Programme_Grunddaten!AR639="Ja",1,0),"")</f>
        <v/>
      </c>
      <c r="AK634" s="1" t="str">
        <f>IF(AND(Programme_Grunddaten!$A639="Geprüft",Programme_Grunddaten!AS639&lt;&gt;""),IF(Programme_Grunddaten!AS639="Ja",1,0),"")</f>
        <v/>
      </c>
      <c r="AL634" s="1" t="str">
        <f>IF(AND(Programme_Grunddaten!$A639="Geprüft",Programme_Grunddaten!AT639&lt;&gt;""),IF(Programme_Grunddaten!AT639="Ja",1,0),"")</f>
        <v/>
      </c>
      <c r="AM634" s="1" t="str">
        <f>IF(AND(Programme_Grunddaten!$A639="Geprüft",Programme_Grunddaten!AU639&lt;&gt;""),IF(Programme_Grunddaten!AU639="Ja",1,0),"")</f>
        <v/>
      </c>
      <c r="AN634" s="1" t="str">
        <f>IF(AND(Programme_Grunddaten!$A639="Geprüft",Programme_Grunddaten!AV639&lt;&gt;""),IF(Programme_Grunddaten!AV639="Ja",1,0),"")</f>
        <v/>
      </c>
    </row>
    <row r="635" spans="1:40" x14ac:dyDescent="0.3">
      <c r="A635" s="1" t="str">
        <f>IF(AND(Programme_Grunddaten!A640="Geprüft",Programme_Grunddaten!B640&lt;&gt;""),Programme_Grunddaten!B640,"")</f>
        <v/>
      </c>
      <c r="B635" s="1" t="str">
        <f>IF(AND(Programme_Grunddaten!$A640="Geprüft",Programme_Grunddaten!I640&lt;&gt;""),IF(Programme_Grunddaten!I640="Ja",1,0),"")</f>
        <v/>
      </c>
      <c r="C635" s="1" t="str">
        <f>IF(AND(Programme_Grunddaten!$A640="Geprüft",Programme_Grunddaten!J640&lt;&gt;""),IF(Programme_Grunddaten!J640="Ja",1,0),"")</f>
        <v/>
      </c>
      <c r="D635" s="1" t="str">
        <f>IF(AND(Programme_Grunddaten!$A640="Geprüft",Programme_Grunddaten!K640&lt;&gt;""),IF(Programme_Grunddaten!K640="Ja",1,0),"")</f>
        <v/>
      </c>
      <c r="E635" s="1" t="str">
        <f>IF(AND(Programme_Grunddaten!$A640="Geprüft",Programme_Grunddaten!L640&lt;&gt;""),IF(Programme_Grunddaten!L640="Abo / befristete Lizenz",1,0),"")</f>
        <v/>
      </c>
      <c r="F635" s="1" t="str">
        <f>IF(AND(Programme_Grunddaten!$A640="Geprüft",Programme_Grunddaten!M640&lt;&gt;""),IF(Programme_Grunddaten!M640="Ja",1,0),"")</f>
        <v/>
      </c>
      <c r="G635" s="1" t="str">
        <f>IF(AND(Programme_Grunddaten!$A640="Geprüft",Programme_Grunddaten!N640&lt;&gt;""),IF(Programme_Grunddaten!N640="Ja",1,0),"")</f>
        <v/>
      </c>
      <c r="H635" s="1" t="str">
        <f>IF(AND(Programme_Grunddaten!$A640="Geprüft",Programme_Grunddaten!O640&lt;&gt;""),IF(Programme_Grunddaten!O640="Deutschland",0,IF(Programme_Grunddaten!O640="EU",1,2)),"")</f>
        <v/>
      </c>
      <c r="I635" s="1" t="str">
        <f>IF(AND(Programme_Grunddaten!$A640="Geprüft",Programme_Grunddaten!P640&lt;&gt;""),IF(Programme_Grunddaten!P640="Ja",1,0),"")</f>
        <v/>
      </c>
      <c r="J635" s="1" t="str">
        <f>IF(AND(Programme_Grunddaten!$A640="Geprüft",Programme_Grunddaten!Q640&lt;&gt;""),IF(Programme_Grunddaten!Q640="geschlossenes System",1,0),"")</f>
        <v/>
      </c>
      <c r="K635" s="1" t="str">
        <f>IF(AND(Programme_Grunddaten!$A640="Geprüft",Programme_Grunddaten!R640&lt;&gt;""),IF(Programme_Grunddaten!R640="Ja",1,0),"")</f>
        <v/>
      </c>
      <c r="L635" s="1" t="str">
        <f>IF(AND(Programme_Grunddaten!$A640="Geprüft",Programme_Grunddaten!T640&lt;&gt;""),IF(Programme_Grunddaten!T640="Ja",1,0),"")</f>
        <v/>
      </c>
      <c r="M635" s="1" t="str">
        <f>IF(AND(Programme_Grunddaten!$A640="Geprüft",Programme_Grunddaten!U640&lt;&gt;""),IF(Programme_Grunddaten!U640="Ja",1,0),"")</f>
        <v/>
      </c>
      <c r="N635" s="1" t="str">
        <f>IF(AND(Programme_Grunddaten!$A640="Geprüft",Programme_Grunddaten!V640&lt;&gt;""),IF(Programme_Grunddaten!V640="Ja",1,0),"")</f>
        <v/>
      </c>
      <c r="O635" s="1" t="str">
        <f>IF(AND(Programme_Grunddaten!$A640="Geprüft",Programme_Grunddaten!W640&lt;&gt;""),IF(Programme_Grunddaten!W640="Ja",1,0),"")</f>
        <v/>
      </c>
      <c r="P635" s="1" t="str">
        <f>IF(AND(Programme_Grunddaten!$A640="Geprüft",Programme_Grunddaten!X640&lt;&gt;""),IF(Programme_Grunddaten!X640="Ja",1,0),"")</f>
        <v/>
      </c>
      <c r="Q635" s="1" t="str">
        <f>IF(AND(Programme_Grunddaten!$A640="Geprüft",Programme_Grunddaten!Y640&lt;&gt;""),IF(Programme_Grunddaten!Y640="Ja",1,0),"")</f>
        <v/>
      </c>
      <c r="R635" s="1" t="str">
        <f>IF(AND(Programme_Grunddaten!$A640="Geprüft",Programme_Grunddaten!Z640&lt;&gt;""),IF(Programme_Grunddaten!Z640="Ja",1,0),"")</f>
        <v/>
      </c>
      <c r="S635" s="1" t="str">
        <f>IF(AND(Programme_Grunddaten!$A640="Geprüft",Programme_Grunddaten!AA640&lt;&gt;""),IF(Programme_Grunddaten!AA640="monolithisch",1,0),"")</f>
        <v/>
      </c>
      <c r="T635" s="1" t="str">
        <f>IF(AND(Programme_Grunddaten!$A640="Geprüft",Programme_Grunddaten!AB640&lt;&gt;""),IF(Programme_Grunddaten!AB640="Ja",1,0),"")</f>
        <v/>
      </c>
      <c r="U635" s="1" t="str">
        <f>IF(AND(Programme_Grunddaten!$A640="Geprüft",Programme_Grunddaten!AC640&lt;&gt;""),IF(Programme_Grunddaten!AC640="Ja",1,0),"")</f>
        <v/>
      </c>
      <c r="V635" s="1" t="str">
        <f>IF(AND(Programme_Grunddaten!$A640="Geprüft",Programme_Grunddaten!AD640&lt;&gt;""),IF(Programme_Grunddaten!AD640="Ja",1,0),"")</f>
        <v/>
      </c>
      <c r="W635" s="1" t="str">
        <f>IF(AND(Programme_Grunddaten!$A640="Geprüft",Programme_Grunddaten!AE640&lt;&gt;""),IF(Programme_Grunddaten!AE640="Ja",1,0),"")</f>
        <v/>
      </c>
      <c r="X635" s="1" t="str">
        <f>IF(AND(Programme_Grunddaten!$A640="Geprüft",Programme_Grunddaten!AF640&lt;&gt;""),IF(Programme_Grunddaten!AF640="Ja",1,0),"")</f>
        <v/>
      </c>
      <c r="Y635" s="1" t="str">
        <f>IF(AND(Programme_Grunddaten!$A640="Geprüft",Programme_Grunddaten!AG640&lt;&gt;""),IF(Programme_Grunddaten!AG640="Ja",1,0),"")</f>
        <v/>
      </c>
      <c r="Z635" s="1" t="str">
        <f>IF(AND(Programme_Grunddaten!$A640="Geprüft",Programme_Grunddaten!AH640&lt;&gt;""),IF(Programme_Grunddaten!AH640="Ja",1,0),"")</f>
        <v/>
      </c>
      <c r="AA635" s="1" t="str">
        <f>IF(AND(Programme_Grunddaten!$A640="Geprüft",Programme_Grunddaten!AI640&lt;&gt;""),IF(Programme_Grunddaten!AI640="Ja",1,0),"")</f>
        <v/>
      </c>
      <c r="AB635" s="1" t="str">
        <f>IF(AND(Programme_Grunddaten!$A640="Geprüft",Programme_Grunddaten!AJ640&lt;&gt;""),IF(Programme_Grunddaten!AJ640="individuell programmierbar",1,0),"")</f>
        <v/>
      </c>
      <c r="AC635" s="1" t="str">
        <f>IF(AND(Programme_Grunddaten!$A640="Geprüft",Programme_Grunddaten!AK640&lt;&gt;""),IF(Programme_Grunddaten!AK640="Deutsch",0,IF(Programme_Grunddaten!AK640="Deutsch und Englisch",1,2)),"")</f>
        <v/>
      </c>
      <c r="AD635" s="1" t="str">
        <f>IF(AND(Programme_Grunddaten!$A640="Geprüft",Programme_Grunddaten!AL640&lt;&gt;""),IF(Programme_Grunddaten!AL640="Ja",1,0),"")</f>
        <v/>
      </c>
      <c r="AE635" s="1" t="str">
        <f>IF(AND(Programme_Grunddaten!$A640="Geprüft",Programme_Grunddaten!AM640&lt;&gt;""),IF(Programme_Grunddaten!AM640="Ja",1,0),"")</f>
        <v/>
      </c>
      <c r="AF635" s="1" t="str">
        <f>IF(AND(Programme_Grunddaten!$A640="Geprüft",Programme_Grunddaten!AN640&lt;&gt;""),IF(Programme_Grunddaten!AN640="Ja",1,0),"")</f>
        <v/>
      </c>
      <c r="AG635" s="1" t="str">
        <f>IF(AND(Programme_Grunddaten!$A640="Geprüft",Programme_Grunddaten!AO640&lt;&gt;""),IF(Programme_Grunddaten!AO640="Ja",1,0),"")</f>
        <v/>
      </c>
      <c r="AH635" s="1" t="str">
        <f>IF(AND(Programme_Grunddaten!$A640="Geprüft",Programme_Grunddaten!AP640&lt;&gt;""),IF(Programme_Grunddaten!AP640="Ja",1,0),"")</f>
        <v/>
      </c>
      <c r="AI635" s="1" t="str">
        <f>IF(AND(Programme_Grunddaten!$A640="Geprüft",Programme_Grunddaten!AQ640&lt;&gt;""),IF(Programme_Grunddaten!AQ640="Ja",1,0),"")</f>
        <v/>
      </c>
      <c r="AJ635" s="1" t="str">
        <f>IF(AND(Programme_Grunddaten!$A640="Geprüft",Programme_Grunddaten!AR640&lt;&gt;""),IF(Programme_Grunddaten!AR640="Ja",1,0),"")</f>
        <v/>
      </c>
      <c r="AK635" s="1" t="str">
        <f>IF(AND(Programme_Grunddaten!$A640="Geprüft",Programme_Grunddaten!AS640&lt;&gt;""),IF(Programme_Grunddaten!AS640="Ja",1,0),"")</f>
        <v/>
      </c>
      <c r="AL635" s="1" t="str">
        <f>IF(AND(Programme_Grunddaten!$A640="Geprüft",Programme_Grunddaten!AT640&lt;&gt;""),IF(Programme_Grunddaten!AT640="Ja",1,0),"")</f>
        <v/>
      </c>
      <c r="AM635" s="1" t="str">
        <f>IF(AND(Programme_Grunddaten!$A640="Geprüft",Programme_Grunddaten!AU640&lt;&gt;""),IF(Programme_Grunddaten!AU640="Ja",1,0),"")</f>
        <v/>
      </c>
      <c r="AN635" s="1" t="str">
        <f>IF(AND(Programme_Grunddaten!$A640="Geprüft",Programme_Grunddaten!AV640&lt;&gt;""),IF(Programme_Grunddaten!AV640="Ja",1,0),"")</f>
        <v/>
      </c>
    </row>
    <row r="636" spans="1:40" x14ac:dyDescent="0.3">
      <c r="A636" s="1" t="str">
        <f>IF(AND(Programme_Grunddaten!A641="Geprüft",Programme_Grunddaten!B641&lt;&gt;""),Programme_Grunddaten!B641,"")</f>
        <v/>
      </c>
      <c r="B636" s="1" t="str">
        <f>IF(AND(Programme_Grunddaten!$A641="Geprüft",Programme_Grunddaten!I641&lt;&gt;""),IF(Programme_Grunddaten!I641="Ja",1,0),"")</f>
        <v/>
      </c>
      <c r="C636" s="1" t="str">
        <f>IF(AND(Programme_Grunddaten!$A641="Geprüft",Programme_Grunddaten!J641&lt;&gt;""),IF(Programme_Grunddaten!J641="Ja",1,0),"")</f>
        <v/>
      </c>
      <c r="D636" s="1" t="str">
        <f>IF(AND(Programme_Grunddaten!$A641="Geprüft",Programme_Grunddaten!K641&lt;&gt;""),IF(Programme_Grunddaten!K641="Ja",1,0),"")</f>
        <v/>
      </c>
      <c r="E636" s="1" t="str">
        <f>IF(AND(Programme_Grunddaten!$A641="Geprüft",Programme_Grunddaten!L641&lt;&gt;""),IF(Programme_Grunddaten!L641="Abo / befristete Lizenz",1,0),"")</f>
        <v/>
      </c>
      <c r="F636" s="1" t="str">
        <f>IF(AND(Programme_Grunddaten!$A641="Geprüft",Programme_Grunddaten!M641&lt;&gt;""),IF(Programme_Grunddaten!M641="Ja",1,0),"")</f>
        <v/>
      </c>
      <c r="G636" s="1" t="str">
        <f>IF(AND(Programme_Grunddaten!$A641="Geprüft",Programme_Grunddaten!N641&lt;&gt;""),IF(Programme_Grunddaten!N641="Ja",1,0),"")</f>
        <v/>
      </c>
      <c r="H636" s="1" t="str">
        <f>IF(AND(Programme_Grunddaten!$A641="Geprüft",Programme_Grunddaten!O641&lt;&gt;""),IF(Programme_Grunddaten!O641="Deutschland",0,IF(Programme_Grunddaten!O641="EU",1,2)),"")</f>
        <v/>
      </c>
      <c r="I636" s="1" t="str">
        <f>IF(AND(Programme_Grunddaten!$A641="Geprüft",Programme_Grunddaten!P641&lt;&gt;""),IF(Programme_Grunddaten!P641="Ja",1,0),"")</f>
        <v/>
      </c>
      <c r="J636" s="1" t="str">
        <f>IF(AND(Programme_Grunddaten!$A641="Geprüft",Programme_Grunddaten!Q641&lt;&gt;""),IF(Programme_Grunddaten!Q641="geschlossenes System",1,0),"")</f>
        <v/>
      </c>
      <c r="K636" s="1" t="str">
        <f>IF(AND(Programme_Grunddaten!$A641="Geprüft",Programme_Grunddaten!R641&lt;&gt;""),IF(Programme_Grunddaten!R641="Ja",1,0),"")</f>
        <v/>
      </c>
      <c r="L636" s="1" t="str">
        <f>IF(AND(Programme_Grunddaten!$A641="Geprüft",Programme_Grunddaten!T641&lt;&gt;""),IF(Programme_Grunddaten!T641="Ja",1,0),"")</f>
        <v/>
      </c>
      <c r="M636" s="1" t="str">
        <f>IF(AND(Programme_Grunddaten!$A641="Geprüft",Programme_Grunddaten!U641&lt;&gt;""),IF(Programme_Grunddaten!U641="Ja",1,0),"")</f>
        <v/>
      </c>
      <c r="N636" s="1" t="str">
        <f>IF(AND(Programme_Grunddaten!$A641="Geprüft",Programme_Grunddaten!V641&lt;&gt;""),IF(Programme_Grunddaten!V641="Ja",1,0),"")</f>
        <v/>
      </c>
      <c r="O636" s="1" t="str">
        <f>IF(AND(Programme_Grunddaten!$A641="Geprüft",Programme_Grunddaten!W641&lt;&gt;""),IF(Programme_Grunddaten!W641="Ja",1,0),"")</f>
        <v/>
      </c>
      <c r="P636" s="1" t="str">
        <f>IF(AND(Programme_Grunddaten!$A641="Geprüft",Programme_Grunddaten!X641&lt;&gt;""),IF(Programme_Grunddaten!X641="Ja",1,0),"")</f>
        <v/>
      </c>
      <c r="Q636" s="1" t="str">
        <f>IF(AND(Programme_Grunddaten!$A641="Geprüft",Programme_Grunddaten!Y641&lt;&gt;""),IF(Programme_Grunddaten!Y641="Ja",1,0),"")</f>
        <v/>
      </c>
      <c r="R636" s="1" t="str">
        <f>IF(AND(Programme_Grunddaten!$A641="Geprüft",Programme_Grunddaten!Z641&lt;&gt;""),IF(Programme_Grunddaten!Z641="Ja",1,0),"")</f>
        <v/>
      </c>
      <c r="S636" s="1" t="str">
        <f>IF(AND(Programme_Grunddaten!$A641="Geprüft",Programme_Grunddaten!AA641&lt;&gt;""),IF(Programme_Grunddaten!AA641="monolithisch",1,0),"")</f>
        <v/>
      </c>
      <c r="T636" s="1" t="str">
        <f>IF(AND(Programme_Grunddaten!$A641="Geprüft",Programme_Grunddaten!AB641&lt;&gt;""),IF(Programme_Grunddaten!AB641="Ja",1,0),"")</f>
        <v/>
      </c>
      <c r="U636" s="1" t="str">
        <f>IF(AND(Programme_Grunddaten!$A641="Geprüft",Programme_Grunddaten!AC641&lt;&gt;""),IF(Programme_Grunddaten!AC641="Ja",1,0),"")</f>
        <v/>
      </c>
      <c r="V636" s="1" t="str">
        <f>IF(AND(Programme_Grunddaten!$A641="Geprüft",Programme_Grunddaten!AD641&lt;&gt;""),IF(Programme_Grunddaten!AD641="Ja",1,0),"")</f>
        <v/>
      </c>
      <c r="W636" s="1" t="str">
        <f>IF(AND(Programme_Grunddaten!$A641="Geprüft",Programme_Grunddaten!AE641&lt;&gt;""),IF(Programme_Grunddaten!AE641="Ja",1,0),"")</f>
        <v/>
      </c>
      <c r="X636" s="1" t="str">
        <f>IF(AND(Programme_Grunddaten!$A641="Geprüft",Programme_Grunddaten!AF641&lt;&gt;""),IF(Programme_Grunddaten!AF641="Ja",1,0),"")</f>
        <v/>
      </c>
      <c r="Y636" s="1" t="str">
        <f>IF(AND(Programme_Grunddaten!$A641="Geprüft",Programme_Grunddaten!AG641&lt;&gt;""),IF(Programme_Grunddaten!AG641="Ja",1,0),"")</f>
        <v/>
      </c>
      <c r="Z636" s="1" t="str">
        <f>IF(AND(Programme_Grunddaten!$A641="Geprüft",Programme_Grunddaten!AH641&lt;&gt;""),IF(Programme_Grunddaten!AH641="Ja",1,0),"")</f>
        <v/>
      </c>
      <c r="AA636" s="1" t="str">
        <f>IF(AND(Programme_Grunddaten!$A641="Geprüft",Programme_Grunddaten!AI641&lt;&gt;""),IF(Programme_Grunddaten!AI641="Ja",1,0),"")</f>
        <v/>
      </c>
      <c r="AB636" s="1" t="str">
        <f>IF(AND(Programme_Grunddaten!$A641="Geprüft",Programme_Grunddaten!AJ641&lt;&gt;""),IF(Programme_Grunddaten!AJ641="individuell programmierbar",1,0),"")</f>
        <v/>
      </c>
      <c r="AC636" s="1" t="str">
        <f>IF(AND(Programme_Grunddaten!$A641="Geprüft",Programme_Grunddaten!AK641&lt;&gt;""),IF(Programme_Grunddaten!AK641="Deutsch",0,IF(Programme_Grunddaten!AK641="Deutsch und Englisch",1,2)),"")</f>
        <v/>
      </c>
      <c r="AD636" s="1" t="str">
        <f>IF(AND(Programme_Grunddaten!$A641="Geprüft",Programme_Grunddaten!AL641&lt;&gt;""),IF(Programme_Grunddaten!AL641="Ja",1,0),"")</f>
        <v/>
      </c>
      <c r="AE636" s="1" t="str">
        <f>IF(AND(Programme_Grunddaten!$A641="Geprüft",Programme_Grunddaten!AM641&lt;&gt;""),IF(Programme_Grunddaten!AM641="Ja",1,0),"")</f>
        <v/>
      </c>
      <c r="AF636" s="1" t="str">
        <f>IF(AND(Programme_Grunddaten!$A641="Geprüft",Programme_Grunddaten!AN641&lt;&gt;""),IF(Programme_Grunddaten!AN641="Ja",1,0),"")</f>
        <v/>
      </c>
      <c r="AG636" s="1" t="str">
        <f>IF(AND(Programme_Grunddaten!$A641="Geprüft",Programme_Grunddaten!AO641&lt;&gt;""),IF(Programme_Grunddaten!AO641="Ja",1,0),"")</f>
        <v/>
      </c>
      <c r="AH636" s="1" t="str">
        <f>IF(AND(Programme_Grunddaten!$A641="Geprüft",Programme_Grunddaten!AP641&lt;&gt;""),IF(Programme_Grunddaten!AP641="Ja",1,0),"")</f>
        <v/>
      </c>
      <c r="AI636" s="1" t="str">
        <f>IF(AND(Programme_Grunddaten!$A641="Geprüft",Programme_Grunddaten!AQ641&lt;&gt;""),IF(Programme_Grunddaten!AQ641="Ja",1,0),"")</f>
        <v/>
      </c>
      <c r="AJ636" s="1" t="str">
        <f>IF(AND(Programme_Grunddaten!$A641="Geprüft",Programme_Grunddaten!AR641&lt;&gt;""),IF(Programme_Grunddaten!AR641="Ja",1,0),"")</f>
        <v/>
      </c>
      <c r="AK636" s="1" t="str">
        <f>IF(AND(Programme_Grunddaten!$A641="Geprüft",Programme_Grunddaten!AS641&lt;&gt;""),IF(Programme_Grunddaten!AS641="Ja",1,0),"")</f>
        <v/>
      </c>
      <c r="AL636" s="1" t="str">
        <f>IF(AND(Programme_Grunddaten!$A641="Geprüft",Programme_Grunddaten!AT641&lt;&gt;""),IF(Programme_Grunddaten!AT641="Ja",1,0),"")</f>
        <v/>
      </c>
      <c r="AM636" s="1" t="str">
        <f>IF(AND(Programme_Grunddaten!$A641="Geprüft",Programme_Grunddaten!AU641&lt;&gt;""),IF(Programme_Grunddaten!AU641="Ja",1,0),"")</f>
        <v/>
      </c>
      <c r="AN636" s="1" t="str">
        <f>IF(AND(Programme_Grunddaten!$A641="Geprüft",Programme_Grunddaten!AV641&lt;&gt;""),IF(Programme_Grunddaten!AV641="Ja",1,0),"")</f>
        <v/>
      </c>
    </row>
    <row r="637" spans="1:40" x14ac:dyDescent="0.3">
      <c r="A637" s="1" t="str">
        <f>IF(AND(Programme_Grunddaten!A642="Geprüft",Programme_Grunddaten!B642&lt;&gt;""),Programme_Grunddaten!B642,"")</f>
        <v/>
      </c>
      <c r="B637" s="1" t="str">
        <f>IF(AND(Programme_Grunddaten!$A642="Geprüft",Programme_Grunddaten!I642&lt;&gt;""),IF(Programme_Grunddaten!I642="Ja",1,0),"")</f>
        <v/>
      </c>
      <c r="C637" s="1" t="str">
        <f>IF(AND(Programme_Grunddaten!$A642="Geprüft",Programme_Grunddaten!J642&lt;&gt;""),IF(Programme_Grunddaten!J642="Ja",1,0),"")</f>
        <v/>
      </c>
      <c r="D637" s="1" t="str">
        <f>IF(AND(Programme_Grunddaten!$A642="Geprüft",Programme_Grunddaten!K642&lt;&gt;""),IF(Programme_Grunddaten!K642="Ja",1,0),"")</f>
        <v/>
      </c>
      <c r="E637" s="1" t="str">
        <f>IF(AND(Programme_Grunddaten!$A642="Geprüft",Programme_Grunddaten!L642&lt;&gt;""),IF(Programme_Grunddaten!L642="Abo / befristete Lizenz",1,0),"")</f>
        <v/>
      </c>
      <c r="F637" s="1" t="str">
        <f>IF(AND(Programme_Grunddaten!$A642="Geprüft",Programme_Grunddaten!M642&lt;&gt;""),IF(Programme_Grunddaten!M642="Ja",1,0),"")</f>
        <v/>
      </c>
      <c r="G637" s="1" t="str">
        <f>IF(AND(Programme_Grunddaten!$A642="Geprüft",Programme_Grunddaten!N642&lt;&gt;""),IF(Programme_Grunddaten!N642="Ja",1,0),"")</f>
        <v/>
      </c>
      <c r="H637" s="1" t="str">
        <f>IF(AND(Programme_Grunddaten!$A642="Geprüft",Programme_Grunddaten!O642&lt;&gt;""),IF(Programme_Grunddaten!O642="Deutschland",0,IF(Programme_Grunddaten!O642="EU",1,2)),"")</f>
        <v/>
      </c>
      <c r="I637" s="1" t="str">
        <f>IF(AND(Programme_Grunddaten!$A642="Geprüft",Programme_Grunddaten!P642&lt;&gt;""),IF(Programme_Grunddaten!P642="Ja",1,0),"")</f>
        <v/>
      </c>
      <c r="J637" s="1" t="str">
        <f>IF(AND(Programme_Grunddaten!$A642="Geprüft",Programme_Grunddaten!Q642&lt;&gt;""),IF(Programme_Grunddaten!Q642="geschlossenes System",1,0),"")</f>
        <v/>
      </c>
      <c r="K637" s="1" t="str">
        <f>IF(AND(Programme_Grunddaten!$A642="Geprüft",Programme_Grunddaten!R642&lt;&gt;""),IF(Programme_Grunddaten!R642="Ja",1,0),"")</f>
        <v/>
      </c>
      <c r="L637" s="1" t="str">
        <f>IF(AND(Programme_Grunddaten!$A642="Geprüft",Programme_Grunddaten!T642&lt;&gt;""),IF(Programme_Grunddaten!T642="Ja",1,0),"")</f>
        <v/>
      </c>
      <c r="M637" s="1" t="str">
        <f>IF(AND(Programme_Grunddaten!$A642="Geprüft",Programme_Grunddaten!U642&lt;&gt;""),IF(Programme_Grunddaten!U642="Ja",1,0),"")</f>
        <v/>
      </c>
      <c r="N637" s="1" t="str">
        <f>IF(AND(Programme_Grunddaten!$A642="Geprüft",Programme_Grunddaten!V642&lt;&gt;""),IF(Programme_Grunddaten!V642="Ja",1,0),"")</f>
        <v/>
      </c>
      <c r="O637" s="1" t="str">
        <f>IF(AND(Programme_Grunddaten!$A642="Geprüft",Programme_Grunddaten!W642&lt;&gt;""),IF(Programme_Grunddaten!W642="Ja",1,0),"")</f>
        <v/>
      </c>
      <c r="P637" s="1" t="str">
        <f>IF(AND(Programme_Grunddaten!$A642="Geprüft",Programme_Grunddaten!X642&lt;&gt;""),IF(Programme_Grunddaten!X642="Ja",1,0),"")</f>
        <v/>
      </c>
      <c r="Q637" s="1" t="str">
        <f>IF(AND(Programme_Grunddaten!$A642="Geprüft",Programme_Grunddaten!Y642&lt;&gt;""),IF(Programme_Grunddaten!Y642="Ja",1,0),"")</f>
        <v/>
      </c>
      <c r="R637" s="1" t="str">
        <f>IF(AND(Programme_Grunddaten!$A642="Geprüft",Programme_Grunddaten!Z642&lt;&gt;""),IF(Programme_Grunddaten!Z642="Ja",1,0),"")</f>
        <v/>
      </c>
      <c r="S637" s="1" t="str">
        <f>IF(AND(Programme_Grunddaten!$A642="Geprüft",Programme_Grunddaten!AA642&lt;&gt;""),IF(Programme_Grunddaten!AA642="monolithisch",1,0),"")</f>
        <v/>
      </c>
      <c r="T637" s="1" t="str">
        <f>IF(AND(Programme_Grunddaten!$A642="Geprüft",Programme_Grunddaten!AB642&lt;&gt;""),IF(Programme_Grunddaten!AB642="Ja",1,0),"")</f>
        <v/>
      </c>
      <c r="U637" s="1" t="str">
        <f>IF(AND(Programme_Grunddaten!$A642="Geprüft",Programme_Grunddaten!AC642&lt;&gt;""),IF(Programme_Grunddaten!AC642="Ja",1,0),"")</f>
        <v/>
      </c>
      <c r="V637" s="1" t="str">
        <f>IF(AND(Programme_Grunddaten!$A642="Geprüft",Programme_Grunddaten!AD642&lt;&gt;""),IF(Programme_Grunddaten!AD642="Ja",1,0),"")</f>
        <v/>
      </c>
      <c r="W637" s="1" t="str">
        <f>IF(AND(Programme_Grunddaten!$A642="Geprüft",Programme_Grunddaten!AE642&lt;&gt;""),IF(Programme_Grunddaten!AE642="Ja",1,0),"")</f>
        <v/>
      </c>
      <c r="X637" s="1" t="str">
        <f>IF(AND(Programme_Grunddaten!$A642="Geprüft",Programme_Grunddaten!AF642&lt;&gt;""),IF(Programme_Grunddaten!AF642="Ja",1,0),"")</f>
        <v/>
      </c>
      <c r="Y637" s="1" t="str">
        <f>IF(AND(Programme_Grunddaten!$A642="Geprüft",Programme_Grunddaten!AG642&lt;&gt;""),IF(Programme_Grunddaten!AG642="Ja",1,0),"")</f>
        <v/>
      </c>
      <c r="Z637" s="1" t="str">
        <f>IF(AND(Programme_Grunddaten!$A642="Geprüft",Programme_Grunddaten!AH642&lt;&gt;""),IF(Programme_Grunddaten!AH642="Ja",1,0),"")</f>
        <v/>
      </c>
      <c r="AA637" s="1" t="str">
        <f>IF(AND(Programme_Grunddaten!$A642="Geprüft",Programme_Grunddaten!AI642&lt;&gt;""),IF(Programme_Grunddaten!AI642="Ja",1,0),"")</f>
        <v/>
      </c>
      <c r="AB637" s="1" t="str">
        <f>IF(AND(Programme_Grunddaten!$A642="Geprüft",Programme_Grunddaten!AJ642&lt;&gt;""),IF(Programme_Grunddaten!AJ642="individuell programmierbar",1,0),"")</f>
        <v/>
      </c>
      <c r="AC637" s="1" t="str">
        <f>IF(AND(Programme_Grunddaten!$A642="Geprüft",Programme_Grunddaten!AK642&lt;&gt;""),IF(Programme_Grunddaten!AK642="Deutsch",0,IF(Programme_Grunddaten!AK642="Deutsch und Englisch",1,2)),"")</f>
        <v/>
      </c>
      <c r="AD637" s="1" t="str">
        <f>IF(AND(Programme_Grunddaten!$A642="Geprüft",Programme_Grunddaten!AL642&lt;&gt;""),IF(Programme_Grunddaten!AL642="Ja",1,0),"")</f>
        <v/>
      </c>
      <c r="AE637" s="1" t="str">
        <f>IF(AND(Programme_Grunddaten!$A642="Geprüft",Programme_Grunddaten!AM642&lt;&gt;""),IF(Programme_Grunddaten!AM642="Ja",1,0),"")</f>
        <v/>
      </c>
      <c r="AF637" s="1" t="str">
        <f>IF(AND(Programme_Grunddaten!$A642="Geprüft",Programme_Grunddaten!AN642&lt;&gt;""),IF(Programme_Grunddaten!AN642="Ja",1,0),"")</f>
        <v/>
      </c>
      <c r="AG637" s="1" t="str">
        <f>IF(AND(Programme_Grunddaten!$A642="Geprüft",Programme_Grunddaten!AO642&lt;&gt;""),IF(Programme_Grunddaten!AO642="Ja",1,0),"")</f>
        <v/>
      </c>
      <c r="AH637" s="1" t="str">
        <f>IF(AND(Programme_Grunddaten!$A642="Geprüft",Programme_Grunddaten!AP642&lt;&gt;""),IF(Programme_Grunddaten!AP642="Ja",1,0),"")</f>
        <v/>
      </c>
      <c r="AI637" s="1" t="str">
        <f>IF(AND(Programme_Grunddaten!$A642="Geprüft",Programme_Grunddaten!AQ642&lt;&gt;""),IF(Programme_Grunddaten!AQ642="Ja",1,0),"")</f>
        <v/>
      </c>
      <c r="AJ637" s="1" t="str">
        <f>IF(AND(Programme_Grunddaten!$A642="Geprüft",Programme_Grunddaten!AR642&lt;&gt;""),IF(Programme_Grunddaten!AR642="Ja",1,0),"")</f>
        <v/>
      </c>
      <c r="AK637" s="1" t="str">
        <f>IF(AND(Programme_Grunddaten!$A642="Geprüft",Programme_Grunddaten!AS642&lt;&gt;""),IF(Programme_Grunddaten!AS642="Ja",1,0),"")</f>
        <v/>
      </c>
      <c r="AL637" s="1" t="str">
        <f>IF(AND(Programme_Grunddaten!$A642="Geprüft",Programme_Grunddaten!AT642&lt;&gt;""),IF(Programme_Grunddaten!AT642="Ja",1,0),"")</f>
        <v/>
      </c>
      <c r="AM637" s="1" t="str">
        <f>IF(AND(Programme_Grunddaten!$A642="Geprüft",Programme_Grunddaten!AU642&lt;&gt;""),IF(Programme_Grunddaten!AU642="Ja",1,0),"")</f>
        <v/>
      </c>
      <c r="AN637" s="1" t="str">
        <f>IF(AND(Programme_Grunddaten!$A642="Geprüft",Programme_Grunddaten!AV642&lt;&gt;""),IF(Programme_Grunddaten!AV642="Ja",1,0),"")</f>
        <v/>
      </c>
    </row>
    <row r="638" spans="1:40" x14ac:dyDescent="0.3">
      <c r="A638" s="1" t="str">
        <f>IF(AND(Programme_Grunddaten!A643="Geprüft",Programme_Grunddaten!B643&lt;&gt;""),Programme_Grunddaten!B643,"")</f>
        <v/>
      </c>
      <c r="B638" s="1" t="str">
        <f>IF(AND(Programme_Grunddaten!$A643="Geprüft",Programme_Grunddaten!I643&lt;&gt;""),IF(Programme_Grunddaten!I643="Ja",1,0),"")</f>
        <v/>
      </c>
      <c r="C638" s="1" t="str">
        <f>IF(AND(Programme_Grunddaten!$A643="Geprüft",Programme_Grunddaten!J643&lt;&gt;""),IF(Programme_Grunddaten!J643="Ja",1,0),"")</f>
        <v/>
      </c>
      <c r="D638" s="1" t="str">
        <f>IF(AND(Programme_Grunddaten!$A643="Geprüft",Programme_Grunddaten!K643&lt;&gt;""),IF(Programme_Grunddaten!K643="Ja",1,0),"")</f>
        <v/>
      </c>
      <c r="E638" s="1" t="str">
        <f>IF(AND(Programme_Grunddaten!$A643="Geprüft",Programme_Grunddaten!L643&lt;&gt;""),IF(Programme_Grunddaten!L643="Abo / befristete Lizenz",1,0),"")</f>
        <v/>
      </c>
      <c r="F638" s="1" t="str">
        <f>IF(AND(Programme_Grunddaten!$A643="Geprüft",Programme_Grunddaten!M643&lt;&gt;""),IF(Programme_Grunddaten!M643="Ja",1,0),"")</f>
        <v/>
      </c>
      <c r="G638" s="1" t="str">
        <f>IF(AND(Programme_Grunddaten!$A643="Geprüft",Programme_Grunddaten!N643&lt;&gt;""),IF(Programme_Grunddaten!N643="Ja",1,0),"")</f>
        <v/>
      </c>
      <c r="H638" s="1" t="str">
        <f>IF(AND(Programme_Grunddaten!$A643="Geprüft",Programme_Grunddaten!O643&lt;&gt;""),IF(Programme_Grunddaten!O643="Deutschland",0,IF(Programme_Grunddaten!O643="EU",1,2)),"")</f>
        <v/>
      </c>
      <c r="I638" s="1" t="str">
        <f>IF(AND(Programme_Grunddaten!$A643="Geprüft",Programme_Grunddaten!P643&lt;&gt;""),IF(Programme_Grunddaten!P643="Ja",1,0),"")</f>
        <v/>
      </c>
      <c r="J638" s="1" t="str">
        <f>IF(AND(Programme_Grunddaten!$A643="Geprüft",Programme_Grunddaten!Q643&lt;&gt;""),IF(Programme_Grunddaten!Q643="geschlossenes System",1,0),"")</f>
        <v/>
      </c>
      <c r="K638" s="1" t="str">
        <f>IF(AND(Programme_Grunddaten!$A643="Geprüft",Programme_Grunddaten!R643&lt;&gt;""),IF(Programme_Grunddaten!R643="Ja",1,0),"")</f>
        <v/>
      </c>
      <c r="L638" s="1" t="str">
        <f>IF(AND(Programme_Grunddaten!$A643="Geprüft",Programme_Grunddaten!T643&lt;&gt;""),IF(Programme_Grunddaten!T643="Ja",1,0),"")</f>
        <v/>
      </c>
      <c r="M638" s="1" t="str">
        <f>IF(AND(Programme_Grunddaten!$A643="Geprüft",Programme_Grunddaten!U643&lt;&gt;""),IF(Programme_Grunddaten!U643="Ja",1,0),"")</f>
        <v/>
      </c>
      <c r="N638" s="1" t="str">
        <f>IF(AND(Programme_Grunddaten!$A643="Geprüft",Programme_Grunddaten!V643&lt;&gt;""),IF(Programme_Grunddaten!V643="Ja",1,0),"")</f>
        <v/>
      </c>
      <c r="O638" s="1" t="str">
        <f>IF(AND(Programme_Grunddaten!$A643="Geprüft",Programme_Grunddaten!W643&lt;&gt;""),IF(Programme_Grunddaten!W643="Ja",1,0),"")</f>
        <v/>
      </c>
      <c r="P638" s="1" t="str">
        <f>IF(AND(Programme_Grunddaten!$A643="Geprüft",Programme_Grunddaten!X643&lt;&gt;""),IF(Programme_Grunddaten!X643="Ja",1,0),"")</f>
        <v/>
      </c>
      <c r="Q638" s="1" t="str">
        <f>IF(AND(Programme_Grunddaten!$A643="Geprüft",Programme_Grunddaten!Y643&lt;&gt;""),IF(Programme_Grunddaten!Y643="Ja",1,0),"")</f>
        <v/>
      </c>
      <c r="R638" s="1" t="str">
        <f>IF(AND(Programme_Grunddaten!$A643="Geprüft",Programme_Grunddaten!Z643&lt;&gt;""),IF(Programme_Grunddaten!Z643="Ja",1,0),"")</f>
        <v/>
      </c>
      <c r="S638" s="1" t="str">
        <f>IF(AND(Programme_Grunddaten!$A643="Geprüft",Programme_Grunddaten!AA643&lt;&gt;""),IF(Programme_Grunddaten!AA643="monolithisch",1,0),"")</f>
        <v/>
      </c>
      <c r="T638" s="1" t="str">
        <f>IF(AND(Programme_Grunddaten!$A643="Geprüft",Programme_Grunddaten!AB643&lt;&gt;""),IF(Programme_Grunddaten!AB643="Ja",1,0),"")</f>
        <v/>
      </c>
      <c r="U638" s="1" t="str">
        <f>IF(AND(Programme_Grunddaten!$A643="Geprüft",Programme_Grunddaten!AC643&lt;&gt;""),IF(Programme_Grunddaten!AC643="Ja",1,0),"")</f>
        <v/>
      </c>
      <c r="V638" s="1" t="str">
        <f>IF(AND(Programme_Grunddaten!$A643="Geprüft",Programme_Grunddaten!AD643&lt;&gt;""),IF(Programme_Grunddaten!AD643="Ja",1,0),"")</f>
        <v/>
      </c>
      <c r="W638" s="1" t="str">
        <f>IF(AND(Programme_Grunddaten!$A643="Geprüft",Programme_Grunddaten!AE643&lt;&gt;""),IF(Programme_Grunddaten!AE643="Ja",1,0),"")</f>
        <v/>
      </c>
      <c r="X638" s="1" t="str">
        <f>IF(AND(Programme_Grunddaten!$A643="Geprüft",Programme_Grunddaten!AF643&lt;&gt;""),IF(Programme_Grunddaten!AF643="Ja",1,0),"")</f>
        <v/>
      </c>
      <c r="Y638" s="1" t="str">
        <f>IF(AND(Programme_Grunddaten!$A643="Geprüft",Programme_Grunddaten!AG643&lt;&gt;""),IF(Programme_Grunddaten!AG643="Ja",1,0),"")</f>
        <v/>
      </c>
      <c r="Z638" s="1" t="str">
        <f>IF(AND(Programme_Grunddaten!$A643="Geprüft",Programme_Grunddaten!AH643&lt;&gt;""),IF(Programme_Grunddaten!AH643="Ja",1,0),"")</f>
        <v/>
      </c>
      <c r="AA638" s="1" t="str">
        <f>IF(AND(Programme_Grunddaten!$A643="Geprüft",Programme_Grunddaten!AI643&lt;&gt;""),IF(Programme_Grunddaten!AI643="Ja",1,0),"")</f>
        <v/>
      </c>
      <c r="AB638" s="1" t="str">
        <f>IF(AND(Programme_Grunddaten!$A643="Geprüft",Programme_Grunddaten!AJ643&lt;&gt;""),IF(Programme_Grunddaten!AJ643="individuell programmierbar",1,0),"")</f>
        <v/>
      </c>
      <c r="AC638" s="1" t="str">
        <f>IF(AND(Programme_Grunddaten!$A643="Geprüft",Programme_Grunddaten!AK643&lt;&gt;""),IF(Programme_Grunddaten!AK643="Deutsch",0,IF(Programme_Grunddaten!AK643="Deutsch und Englisch",1,2)),"")</f>
        <v/>
      </c>
      <c r="AD638" s="1" t="str">
        <f>IF(AND(Programme_Grunddaten!$A643="Geprüft",Programme_Grunddaten!AL643&lt;&gt;""),IF(Programme_Grunddaten!AL643="Ja",1,0),"")</f>
        <v/>
      </c>
      <c r="AE638" s="1" t="str">
        <f>IF(AND(Programme_Grunddaten!$A643="Geprüft",Programme_Grunddaten!AM643&lt;&gt;""),IF(Programme_Grunddaten!AM643="Ja",1,0),"")</f>
        <v/>
      </c>
      <c r="AF638" s="1" t="str">
        <f>IF(AND(Programme_Grunddaten!$A643="Geprüft",Programme_Grunddaten!AN643&lt;&gt;""),IF(Programme_Grunddaten!AN643="Ja",1,0),"")</f>
        <v/>
      </c>
      <c r="AG638" s="1" t="str">
        <f>IF(AND(Programme_Grunddaten!$A643="Geprüft",Programme_Grunddaten!AO643&lt;&gt;""),IF(Programme_Grunddaten!AO643="Ja",1,0),"")</f>
        <v/>
      </c>
      <c r="AH638" s="1" t="str">
        <f>IF(AND(Programme_Grunddaten!$A643="Geprüft",Programme_Grunddaten!AP643&lt;&gt;""),IF(Programme_Grunddaten!AP643="Ja",1,0),"")</f>
        <v/>
      </c>
      <c r="AI638" s="1" t="str">
        <f>IF(AND(Programme_Grunddaten!$A643="Geprüft",Programme_Grunddaten!AQ643&lt;&gt;""),IF(Programme_Grunddaten!AQ643="Ja",1,0),"")</f>
        <v/>
      </c>
      <c r="AJ638" s="1" t="str">
        <f>IF(AND(Programme_Grunddaten!$A643="Geprüft",Programme_Grunddaten!AR643&lt;&gt;""),IF(Programme_Grunddaten!AR643="Ja",1,0),"")</f>
        <v/>
      </c>
      <c r="AK638" s="1" t="str">
        <f>IF(AND(Programme_Grunddaten!$A643="Geprüft",Programme_Grunddaten!AS643&lt;&gt;""),IF(Programme_Grunddaten!AS643="Ja",1,0),"")</f>
        <v/>
      </c>
      <c r="AL638" s="1" t="str">
        <f>IF(AND(Programme_Grunddaten!$A643="Geprüft",Programme_Grunddaten!AT643&lt;&gt;""),IF(Programme_Grunddaten!AT643="Ja",1,0),"")</f>
        <v/>
      </c>
      <c r="AM638" s="1" t="str">
        <f>IF(AND(Programme_Grunddaten!$A643="Geprüft",Programme_Grunddaten!AU643&lt;&gt;""),IF(Programme_Grunddaten!AU643="Ja",1,0),"")</f>
        <v/>
      </c>
      <c r="AN638" s="1" t="str">
        <f>IF(AND(Programme_Grunddaten!$A643="Geprüft",Programme_Grunddaten!AV643&lt;&gt;""),IF(Programme_Grunddaten!AV643="Ja",1,0),"")</f>
        <v/>
      </c>
    </row>
    <row r="639" spans="1:40" x14ac:dyDescent="0.3">
      <c r="A639" s="1" t="str">
        <f>IF(AND(Programme_Grunddaten!A644="Geprüft",Programme_Grunddaten!B644&lt;&gt;""),Programme_Grunddaten!B644,"")</f>
        <v/>
      </c>
      <c r="B639" s="1" t="str">
        <f>IF(AND(Programme_Grunddaten!$A644="Geprüft",Programme_Grunddaten!I644&lt;&gt;""),IF(Programme_Grunddaten!I644="Ja",1,0),"")</f>
        <v/>
      </c>
      <c r="C639" s="1" t="str">
        <f>IF(AND(Programme_Grunddaten!$A644="Geprüft",Programme_Grunddaten!J644&lt;&gt;""),IF(Programme_Grunddaten!J644="Ja",1,0),"")</f>
        <v/>
      </c>
      <c r="D639" s="1" t="str">
        <f>IF(AND(Programme_Grunddaten!$A644="Geprüft",Programme_Grunddaten!K644&lt;&gt;""),IF(Programme_Grunddaten!K644="Ja",1,0),"")</f>
        <v/>
      </c>
      <c r="E639" s="1" t="str">
        <f>IF(AND(Programme_Grunddaten!$A644="Geprüft",Programme_Grunddaten!L644&lt;&gt;""),IF(Programme_Grunddaten!L644="Abo / befristete Lizenz",1,0),"")</f>
        <v/>
      </c>
      <c r="F639" s="1" t="str">
        <f>IF(AND(Programme_Grunddaten!$A644="Geprüft",Programme_Grunddaten!M644&lt;&gt;""),IF(Programme_Grunddaten!M644="Ja",1,0),"")</f>
        <v/>
      </c>
      <c r="G639" s="1" t="str">
        <f>IF(AND(Programme_Grunddaten!$A644="Geprüft",Programme_Grunddaten!N644&lt;&gt;""),IF(Programme_Grunddaten!N644="Ja",1,0),"")</f>
        <v/>
      </c>
      <c r="H639" s="1" t="str">
        <f>IF(AND(Programme_Grunddaten!$A644="Geprüft",Programme_Grunddaten!O644&lt;&gt;""),IF(Programme_Grunddaten!O644="Deutschland",0,IF(Programme_Grunddaten!O644="EU",1,2)),"")</f>
        <v/>
      </c>
      <c r="I639" s="1" t="str">
        <f>IF(AND(Programme_Grunddaten!$A644="Geprüft",Programme_Grunddaten!P644&lt;&gt;""),IF(Programme_Grunddaten!P644="Ja",1,0),"")</f>
        <v/>
      </c>
      <c r="J639" s="1" t="str">
        <f>IF(AND(Programme_Grunddaten!$A644="Geprüft",Programme_Grunddaten!Q644&lt;&gt;""),IF(Programme_Grunddaten!Q644="geschlossenes System",1,0),"")</f>
        <v/>
      </c>
      <c r="K639" s="1" t="str">
        <f>IF(AND(Programme_Grunddaten!$A644="Geprüft",Programme_Grunddaten!R644&lt;&gt;""),IF(Programme_Grunddaten!R644="Ja",1,0),"")</f>
        <v/>
      </c>
      <c r="L639" s="1" t="str">
        <f>IF(AND(Programme_Grunddaten!$A644="Geprüft",Programme_Grunddaten!T644&lt;&gt;""),IF(Programme_Grunddaten!T644="Ja",1,0),"")</f>
        <v/>
      </c>
      <c r="M639" s="1" t="str">
        <f>IF(AND(Programme_Grunddaten!$A644="Geprüft",Programme_Grunddaten!U644&lt;&gt;""),IF(Programme_Grunddaten!U644="Ja",1,0),"")</f>
        <v/>
      </c>
      <c r="N639" s="1" t="str">
        <f>IF(AND(Programme_Grunddaten!$A644="Geprüft",Programme_Grunddaten!V644&lt;&gt;""),IF(Programme_Grunddaten!V644="Ja",1,0),"")</f>
        <v/>
      </c>
      <c r="O639" s="1" t="str">
        <f>IF(AND(Programme_Grunddaten!$A644="Geprüft",Programme_Grunddaten!W644&lt;&gt;""),IF(Programme_Grunddaten!W644="Ja",1,0),"")</f>
        <v/>
      </c>
      <c r="P639" s="1" t="str">
        <f>IF(AND(Programme_Grunddaten!$A644="Geprüft",Programme_Grunddaten!X644&lt;&gt;""),IF(Programme_Grunddaten!X644="Ja",1,0),"")</f>
        <v/>
      </c>
      <c r="Q639" s="1" t="str">
        <f>IF(AND(Programme_Grunddaten!$A644="Geprüft",Programme_Grunddaten!Y644&lt;&gt;""),IF(Programme_Grunddaten!Y644="Ja",1,0),"")</f>
        <v/>
      </c>
      <c r="R639" s="1" t="str">
        <f>IF(AND(Programme_Grunddaten!$A644="Geprüft",Programme_Grunddaten!Z644&lt;&gt;""),IF(Programme_Grunddaten!Z644="Ja",1,0),"")</f>
        <v/>
      </c>
      <c r="S639" s="1" t="str">
        <f>IF(AND(Programme_Grunddaten!$A644="Geprüft",Programme_Grunddaten!AA644&lt;&gt;""),IF(Programme_Grunddaten!AA644="monolithisch",1,0),"")</f>
        <v/>
      </c>
      <c r="T639" s="1" t="str">
        <f>IF(AND(Programme_Grunddaten!$A644="Geprüft",Programme_Grunddaten!AB644&lt;&gt;""),IF(Programme_Grunddaten!AB644="Ja",1,0),"")</f>
        <v/>
      </c>
      <c r="U639" s="1" t="str">
        <f>IF(AND(Programme_Grunddaten!$A644="Geprüft",Programme_Grunddaten!AC644&lt;&gt;""),IF(Programme_Grunddaten!AC644="Ja",1,0),"")</f>
        <v/>
      </c>
      <c r="V639" s="1" t="str">
        <f>IF(AND(Programme_Grunddaten!$A644="Geprüft",Programme_Grunddaten!AD644&lt;&gt;""),IF(Programme_Grunddaten!AD644="Ja",1,0),"")</f>
        <v/>
      </c>
      <c r="W639" s="1" t="str">
        <f>IF(AND(Programme_Grunddaten!$A644="Geprüft",Programme_Grunddaten!AE644&lt;&gt;""),IF(Programme_Grunddaten!AE644="Ja",1,0),"")</f>
        <v/>
      </c>
      <c r="X639" s="1" t="str">
        <f>IF(AND(Programme_Grunddaten!$A644="Geprüft",Programme_Grunddaten!AF644&lt;&gt;""),IF(Programme_Grunddaten!AF644="Ja",1,0),"")</f>
        <v/>
      </c>
      <c r="Y639" s="1" t="str">
        <f>IF(AND(Programme_Grunddaten!$A644="Geprüft",Programme_Grunddaten!AG644&lt;&gt;""),IF(Programme_Grunddaten!AG644="Ja",1,0),"")</f>
        <v/>
      </c>
      <c r="Z639" s="1" t="str">
        <f>IF(AND(Programme_Grunddaten!$A644="Geprüft",Programme_Grunddaten!AH644&lt;&gt;""),IF(Programme_Grunddaten!AH644="Ja",1,0),"")</f>
        <v/>
      </c>
      <c r="AA639" s="1" t="str">
        <f>IF(AND(Programme_Grunddaten!$A644="Geprüft",Programme_Grunddaten!AI644&lt;&gt;""),IF(Programme_Grunddaten!AI644="Ja",1,0),"")</f>
        <v/>
      </c>
      <c r="AB639" s="1" t="str">
        <f>IF(AND(Programme_Grunddaten!$A644="Geprüft",Programme_Grunddaten!AJ644&lt;&gt;""),IF(Programme_Grunddaten!AJ644="individuell programmierbar",1,0),"")</f>
        <v/>
      </c>
      <c r="AC639" s="1" t="str">
        <f>IF(AND(Programme_Grunddaten!$A644="Geprüft",Programme_Grunddaten!AK644&lt;&gt;""),IF(Programme_Grunddaten!AK644="Deutsch",0,IF(Programme_Grunddaten!AK644="Deutsch und Englisch",1,2)),"")</f>
        <v/>
      </c>
      <c r="AD639" s="1" t="str">
        <f>IF(AND(Programme_Grunddaten!$A644="Geprüft",Programme_Grunddaten!AL644&lt;&gt;""),IF(Programme_Grunddaten!AL644="Ja",1,0),"")</f>
        <v/>
      </c>
      <c r="AE639" s="1" t="str">
        <f>IF(AND(Programme_Grunddaten!$A644="Geprüft",Programme_Grunddaten!AM644&lt;&gt;""),IF(Programme_Grunddaten!AM644="Ja",1,0),"")</f>
        <v/>
      </c>
      <c r="AF639" s="1" t="str">
        <f>IF(AND(Programme_Grunddaten!$A644="Geprüft",Programme_Grunddaten!AN644&lt;&gt;""),IF(Programme_Grunddaten!AN644="Ja",1,0),"")</f>
        <v/>
      </c>
      <c r="AG639" s="1" t="str">
        <f>IF(AND(Programme_Grunddaten!$A644="Geprüft",Programme_Grunddaten!AO644&lt;&gt;""),IF(Programme_Grunddaten!AO644="Ja",1,0),"")</f>
        <v/>
      </c>
      <c r="AH639" s="1" t="str">
        <f>IF(AND(Programme_Grunddaten!$A644="Geprüft",Programme_Grunddaten!AP644&lt;&gt;""),IF(Programme_Grunddaten!AP644="Ja",1,0),"")</f>
        <v/>
      </c>
      <c r="AI639" s="1" t="str">
        <f>IF(AND(Programme_Grunddaten!$A644="Geprüft",Programme_Grunddaten!AQ644&lt;&gt;""),IF(Programme_Grunddaten!AQ644="Ja",1,0),"")</f>
        <v/>
      </c>
      <c r="AJ639" s="1" t="str">
        <f>IF(AND(Programme_Grunddaten!$A644="Geprüft",Programme_Grunddaten!AR644&lt;&gt;""),IF(Programme_Grunddaten!AR644="Ja",1,0),"")</f>
        <v/>
      </c>
      <c r="AK639" s="1" t="str">
        <f>IF(AND(Programme_Grunddaten!$A644="Geprüft",Programme_Grunddaten!AS644&lt;&gt;""),IF(Programme_Grunddaten!AS644="Ja",1,0),"")</f>
        <v/>
      </c>
      <c r="AL639" s="1" t="str">
        <f>IF(AND(Programme_Grunddaten!$A644="Geprüft",Programme_Grunddaten!AT644&lt;&gt;""),IF(Programme_Grunddaten!AT644="Ja",1,0),"")</f>
        <v/>
      </c>
      <c r="AM639" s="1" t="str">
        <f>IF(AND(Programme_Grunddaten!$A644="Geprüft",Programme_Grunddaten!AU644&lt;&gt;""),IF(Programme_Grunddaten!AU644="Ja",1,0),"")</f>
        <v/>
      </c>
      <c r="AN639" s="1" t="str">
        <f>IF(AND(Programme_Grunddaten!$A644="Geprüft",Programme_Grunddaten!AV644&lt;&gt;""),IF(Programme_Grunddaten!AV644="Ja",1,0),"")</f>
        <v/>
      </c>
    </row>
    <row r="640" spans="1:40" x14ac:dyDescent="0.3">
      <c r="A640" s="1" t="str">
        <f>IF(AND(Programme_Grunddaten!A645="Geprüft",Programme_Grunddaten!B645&lt;&gt;""),Programme_Grunddaten!B645,"")</f>
        <v/>
      </c>
      <c r="B640" s="1" t="str">
        <f>IF(AND(Programme_Grunddaten!$A645="Geprüft",Programme_Grunddaten!I645&lt;&gt;""),IF(Programme_Grunddaten!I645="Ja",1,0),"")</f>
        <v/>
      </c>
      <c r="C640" s="1" t="str">
        <f>IF(AND(Programme_Grunddaten!$A645="Geprüft",Programme_Grunddaten!J645&lt;&gt;""),IF(Programme_Grunddaten!J645="Ja",1,0),"")</f>
        <v/>
      </c>
      <c r="D640" s="1" t="str">
        <f>IF(AND(Programme_Grunddaten!$A645="Geprüft",Programme_Grunddaten!K645&lt;&gt;""),IF(Programme_Grunddaten!K645="Ja",1,0),"")</f>
        <v/>
      </c>
      <c r="E640" s="1" t="str">
        <f>IF(AND(Programme_Grunddaten!$A645="Geprüft",Programme_Grunddaten!L645&lt;&gt;""),IF(Programme_Grunddaten!L645="Abo / befristete Lizenz",1,0),"")</f>
        <v/>
      </c>
      <c r="F640" s="1" t="str">
        <f>IF(AND(Programme_Grunddaten!$A645="Geprüft",Programme_Grunddaten!M645&lt;&gt;""),IF(Programme_Grunddaten!M645="Ja",1,0),"")</f>
        <v/>
      </c>
      <c r="G640" s="1" t="str">
        <f>IF(AND(Programme_Grunddaten!$A645="Geprüft",Programme_Grunddaten!N645&lt;&gt;""),IF(Programme_Grunddaten!N645="Ja",1,0),"")</f>
        <v/>
      </c>
      <c r="H640" s="1" t="str">
        <f>IF(AND(Programme_Grunddaten!$A645="Geprüft",Programme_Grunddaten!O645&lt;&gt;""),IF(Programme_Grunddaten!O645="Deutschland",0,IF(Programme_Grunddaten!O645="EU",1,2)),"")</f>
        <v/>
      </c>
      <c r="I640" s="1" t="str">
        <f>IF(AND(Programme_Grunddaten!$A645="Geprüft",Programme_Grunddaten!P645&lt;&gt;""),IF(Programme_Grunddaten!P645="Ja",1,0),"")</f>
        <v/>
      </c>
      <c r="J640" s="1" t="str">
        <f>IF(AND(Programme_Grunddaten!$A645="Geprüft",Programme_Grunddaten!Q645&lt;&gt;""),IF(Programme_Grunddaten!Q645="geschlossenes System",1,0),"")</f>
        <v/>
      </c>
      <c r="K640" s="1" t="str">
        <f>IF(AND(Programme_Grunddaten!$A645="Geprüft",Programme_Grunddaten!R645&lt;&gt;""),IF(Programme_Grunddaten!R645="Ja",1,0),"")</f>
        <v/>
      </c>
      <c r="L640" s="1" t="str">
        <f>IF(AND(Programme_Grunddaten!$A645="Geprüft",Programme_Grunddaten!T645&lt;&gt;""),IF(Programme_Grunddaten!T645="Ja",1,0),"")</f>
        <v/>
      </c>
      <c r="M640" s="1" t="str">
        <f>IF(AND(Programme_Grunddaten!$A645="Geprüft",Programme_Grunddaten!U645&lt;&gt;""),IF(Programme_Grunddaten!U645="Ja",1,0),"")</f>
        <v/>
      </c>
      <c r="N640" s="1" t="str">
        <f>IF(AND(Programme_Grunddaten!$A645="Geprüft",Programme_Grunddaten!V645&lt;&gt;""),IF(Programme_Grunddaten!V645="Ja",1,0),"")</f>
        <v/>
      </c>
      <c r="O640" s="1" t="str">
        <f>IF(AND(Programme_Grunddaten!$A645="Geprüft",Programme_Grunddaten!W645&lt;&gt;""),IF(Programme_Grunddaten!W645="Ja",1,0),"")</f>
        <v/>
      </c>
      <c r="P640" s="1" t="str">
        <f>IF(AND(Programme_Grunddaten!$A645="Geprüft",Programme_Grunddaten!X645&lt;&gt;""),IF(Programme_Grunddaten!X645="Ja",1,0),"")</f>
        <v/>
      </c>
      <c r="Q640" s="1" t="str">
        <f>IF(AND(Programme_Grunddaten!$A645="Geprüft",Programme_Grunddaten!Y645&lt;&gt;""),IF(Programme_Grunddaten!Y645="Ja",1,0),"")</f>
        <v/>
      </c>
      <c r="R640" s="1" t="str">
        <f>IF(AND(Programme_Grunddaten!$A645="Geprüft",Programme_Grunddaten!Z645&lt;&gt;""),IF(Programme_Grunddaten!Z645="Ja",1,0),"")</f>
        <v/>
      </c>
      <c r="S640" s="1" t="str">
        <f>IF(AND(Programme_Grunddaten!$A645="Geprüft",Programme_Grunddaten!AA645&lt;&gt;""),IF(Programme_Grunddaten!AA645="monolithisch",1,0),"")</f>
        <v/>
      </c>
      <c r="T640" s="1" t="str">
        <f>IF(AND(Programme_Grunddaten!$A645="Geprüft",Programme_Grunddaten!AB645&lt;&gt;""),IF(Programme_Grunddaten!AB645="Ja",1,0),"")</f>
        <v/>
      </c>
      <c r="U640" s="1" t="str">
        <f>IF(AND(Programme_Grunddaten!$A645="Geprüft",Programme_Grunddaten!AC645&lt;&gt;""),IF(Programme_Grunddaten!AC645="Ja",1,0),"")</f>
        <v/>
      </c>
      <c r="V640" s="1" t="str">
        <f>IF(AND(Programme_Grunddaten!$A645="Geprüft",Programme_Grunddaten!AD645&lt;&gt;""),IF(Programme_Grunddaten!AD645="Ja",1,0),"")</f>
        <v/>
      </c>
      <c r="W640" s="1" t="str">
        <f>IF(AND(Programme_Grunddaten!$A645="Geprüft",Programme_Grunddaten!AE645&lt;&gt;""),IF(Programme_Grunddaten!AE645="Ja",1,0),"")</f>
        <v/>
      </c>
      <c r="X640" s="1" t="str">
        <f>IF(AND(Programme_Grunddaten!$A645="Geprüft",Programme_Grunddaten!AF645&lt;&gt;""),IF(Programme_Grunddaten!AF645="Ja",1,0),"")</f>
        <v/>
      </c>
      <c r="Y640" s="1" t="str">
        <f>IF(AND(Programme_Grunddaten!$A645="Geprüft",Programme_Grunddaten!AG645&lt;&gt;""),IF(Programme_Grunddaten!AG645="Ja",1,0),"")</f>
        <v/>
      </c>
      <c r="Z640" s="1" t="str">
        <f>IF(AND(Programme_Grunddaten!$A645="Geprüft",Programme_Grunddaten!AH645&lt;&gt;""),IF(Programme_Grunddaten!AH645="Ja",1,0),"")</f>
        <v/>
      </c>
      <c r="AA640" s="1" t="str">
        <f>IF(AND(Programme_Grunddaten!$A645="Geprüft",Programme_Grunddaten!AI645&lt;&gt;""),IF(Programme_Grunddaten!AI645="Ja",1,0),"")</f>
        <v/>
      </c>
      <c r="AB640" s="1" t="str">
        <f>IF(AND(Programme_Grunddaten!$A645="Geprüft",Programme_Grunddaten!AJ645&lt;&gt;""),IF(Programme_Grunddaten!AJ645="individuell programmierbar",1,0),"")</f>
        <v/>
      </c>
      <c r="AC640" s="1" t="str">
        <f>IF(AND(Programme_Grunddaten!$A645="Geprüft",Programme_Grunddaten!AK645&lt;&gt;""),IF(Programme_Grunddaten!AK645="Deutsch",0,IF(Programme_Grunddaten!AK645="Deutsch und Englisch",1,2)),"")</f>
        <v/>
      </c>
      <c r="AD640" s="1" t="str">
        <f>IF(AND(Programme_Grunddaten!$A645="Geprüft",Programme_Grunddaten!AL645&lt;&gt;""),IF(Programme_Grunddaten!AL645="Ja",1,0),"")</f>
        <v/>
      </c>
      <c r="AE640" s="1" t="str">
        <f>IF(AND(Programme_Grunddaten!$A645="Geprüft",Programme_Grunddaten!AM645&lt;&gt;""),IF(Programme_Grunddaten!AM645="Ja",1,0),"")</f>
        <v/>
      </c>
      <c r="AF640" s="1" t="str">
        <f>IF(AND(Programme_Grunddaten!$A645="Geprüft",Programme_Grunddaten!AN645&lt;&gt;""),IF(Programme_Grunddaten!AN645="Ja",1,0),"")</f>
        <v/>
      </c>
      <c r="AG640" s="1" t="str">
        <f>IF(AND(Programme_Grunddaten!$A645="Geprüft",Programme_Grunddaten!AO645&lt;&gt;""),IF(Programme_Grunddaten!AO645="Ja",1,0),"")</f>
        <v/>
      </c>
      <c r="AH640" s="1" t="str">
        <f>IF(AND(Programme_Grunddaten!$A645="Geprüft",Programme_Grunddaten!AP645&lt;&gt;""),IF(Programme_Grunddaten!AP645="Ja",1,0),"")</f>
        <v/>
      </c>
      <c r="AI640" s="1" t="str">
        <f>IF(AND(Programme_Grunddaten!$A645="Geprüft",Programme_Grunddaten!AQ645&lt;&gt;""),IF(Programme_Grunddaten!AQ645="Ja",1,0),"")</f>
        <v/>
      </c>
      <c r="AJ640" s="1" t="str">
        <f>IF(AND(Programme_Grunddaten!$A645="Geprüft",Programme_Grunddaten!AR645&lt;&gt;""),IF(Programme_Grunddaten!AR645="Ja",1,0),"")</f>
        <v/>
      </c>
      <c r="AK640" s="1" t="str">
        <f>IF(AND(Programme_Grunddaten!$A645="Geprüft",Programme_Grunddaten!AS645&lt;&gt;""),IF(Programme_Grunddaten!AS645="Ja",1,0),"")</f>
        <v/>
      </c>
      <c r="AL640" s="1" t="str">
        <f>IF(AND(Programme_Grunddaten!$A645="Geprüft",Programme_Grunddaten!AT645&lt;&gt;""),IF(Programme_Grunddaten!AT645="Ja",1,0),"")</f>
        <v/>
      </c>
      <c r="AM640" s="1" t="str">
        <f>IF(AND(Programme_Grunddaten!$A645="Geprüft",Programme_Grunddaten!AU645&lt;&gt;""),IF(Programme_Grunddaten!AU645="Ja",1,0),"")</f>
        <v/>
      </c>
      <c r="AN640" s="1" t="str">
        <f>IF(AND(Programme_Grunddaten!$A645="Geprüft",Programme_Grunddaten!AV645&lt;&gt;""),IF(Programme_Grunddaten!AV645="Ja",1,0),"")</f>
        <v/>
      </c>
    </row>
    <row r="641" spans="1:40" x14ac:dyDescent="0.3">
      <c r="A641" s="1" t="str">
        <f>IF(AND(Programme_Grunddaten!A646="Geprüft",Programme_Grunddaten!B646&lt;&gt;""),Programme_Grunddaten!B646,"")</f>
        <v/>
      </c>
      <c r="B641" s="1" t="str">
        <f>IF(AND(Programme_Grunddaten!$A646="Geprüft",Programme_Grunddaten!I646&lt;&gt;""),IF(Programme_Grunddaten!I646="Ja",1,0),"")</f>
        <v/>
      </c>
      <c r="C641" s="1" t="str">
        <f>IF(AND(Programme_Grunddaten!$A646="Geprüft",Programme_Grunddaten!J646&lt;&gt;""),IF(Programme_Grunddaten!J646="Ja",1,0),"")</f>
        <v/>
      </c>
      <c r="D641" s="1" t="str">
        <f>IF(AND(Programme_Grunddaten!$A646="Geprüft",Programme_Grunddaten!K646&lt;&gt;""),IF(Programme_Grunddaten!K646="Ja",1,0),"")</f>
        <v/>
      </c>
      <c r="E641" s="1" t="str">
        <f>IF(AND(Programme_Grunddaten!$A646="Geprüft",Programme_Grunddaten!L646&lt;&gt;""),IF(Programme_Grunddaten!L646="Abo / befristete Lizenz",1,0),"")</f>
        <v/>
      </c>
      <c r="F641" s="1" t="str">
        <f>IF(AND(Programme_Grunddaten!$A646="Geprüft",Programme_Grunddaten!M646&lt;&gt;""),IF(Programme_Grunddaten!M646="Ja",1,0),"")</f>
        <v/>
      </c>
      <c r="G641" s="1" t="str">
        <f>IF(AND(Programme_Grunddaten!$A646="Geprüft",Programme_Grunddaten!N646&lt;&gt;""),IF(Programme_Grunddaten!N646="Ja",1,0),"")</f>
        <v/>
      </c>
      <c r="H641" s="1" t="str">
        <f>IF(AND(Programme_Grunddaten!$A646="Geprüft",Programme_Grunddaten!O646&lt;&gt;""),IF(Programme_Grunddaten!O646="Deutschland",0,IF(Programme_Grunddaten!O646="EU",1,2)),"")</f>
        <v/>
      </c>
      <c r="I641" s="1" t="str">
        <f>IF(AND(Programme_Grunddaten!$A646="Geprüft",Programme_Grunddaten!P646&lt;&gt;""),IF(Programme_Grunddaten!P646="Ja",1,0),"")</f>
        <v/>
      </c>
      <c r="J641" s="1" t="str">
        <f>IF(AND(Programme_Grunddaten!$A646="Geprüft",Programme_Grunddaten!Q646&lt;&gt;""),IF(Programme_Grunddaten!Q646="geschlossenes System",1,0),"")</f>
        <v/>
      </c>
      <c r="K641" s="1" t="str">
        <f>IF(AND(Programme_Grunddaten!$A646="Geprüft",Programme_Grunddaten!R646&lt;&gt;""),IF(Programme_Grunddaten!R646="Ja",1,0),"")</f>
        <v/>
      </c>
      <c r="L641" s="1" t="str">
        <f>IF(AND(Programme_Grunddaten!$A646="Geprüft",Programme_Grunddaten!T646&lt;&gt;""),IF(Programme_Grunddaten!T646="Ja",1,0),"")</f>
        <v/>
      </c>
      <c r="M641" s="1" t="str">
        <f>IF(AND(Programme_Grunddaten!$A646="Geprüft",Programme_Grunddaten!U646&lt;&gt;""),IF(Programme_Grunddaten!U646="Ja",1,0),"")</f>
        <v/>
      </c>
      <c r="N641" s="1" t="str">
        <f>IF(AND(Programme_Grunddaten!$A646="Geprüft",Programme_Grunddaten!V646&lt;&gt;""),IF(Programme_Grunddaten!V646="Ja",1,0),"")</f>
        <v/>
      </c>
      <c r="O641" s="1" t="str">
        <f>IF(AND(Programme_Grunddaten!$A646="Geprüft",Programme_Grunddaten!W646&lt;&gt;""),IF(Programme_Grunddaten!W646="Ja",1,0),"")</f>
        <v/>
      </c>
      <c r="P641" s="1" t="str">
        <f>IF(AND(Programme_Grunddaten!$A646="Geprüft",Programme_Grunddaten!X646&lt;&gt;""),IF(Programme_Grunddaten!X646="Ja",1,0),"")</f>
        <v/>
      </c>
      <c r="Q641" s="1" t="str">
        <f>IF(AND(Programme_Grunddaten!$A646="Geprüft",Programme_Grunddaten!Y646&lt;&gt;""),IF(Programme_Grunddaten!Y646="Ja",1,0),"")</f>
        <v/>
      </c>
      <c r="R641" s="1" t="str">
        <f>IF(AND(Programme_Grunddaten!$A646="Geprüft",Programme_Grunddaten!Z646&lt;&gt;""),IF(Programme_Grunddaten!Z646="Ja",1,0),"")</f>
        <v/>
      </c>
      <c r="S641" s="1" t="str">
        <f>IF(AND(Programme_Grunddaten!$A646="Geprüft",Programme_Grunddaten!AA646&lt;&gt;""),IF(Programme_Grunddaten!AA646="monolithisch",1,0),"")</f>
        <v/>
      </c>
      <c r="T641" s="1" t="str">
        <f>IF(AND(Programme_Grunddaten!$A646="Geprüft",Programme_Grunddaten!AB646&lt;&gt;""),IF(Programme_Grunddaten!AB646="Ja",1,0),"")</f>
        <v/>
      </c>
      <c r="U641" s="1" t="str">
        <f>IF(AND(Programme_Grunddaten!$A646="Geprüft",Programme_Grunddaten!AC646&lt;&gt;""),IF(Programme_Grunddaten!AC646="Ja",1,0),"")</f>
        <v/>
      </c>
      <c r="V641" s="1" t="str">
        <f>IF(AND(Programme_Grunddaten!$A646="Geprüft",Programme_Grunddaten!AD646&lt;&gt;""),IF(Programme_Grunddaten!AD646="Ja",1,0),"")</f>
        <v/>
      </c>
      <c r="W641" s="1" t="str">
        <f>IF(AND(Programme_Grunddaten!$A646="Geprüft",Programme_Grunddaten!AE646&lt;&gt;""),IF(Programme_Grunddaten!AE646="Ja",1,0),"")</f>
        <v/>
      </c>
      <c r="X641" s="1" t="str">
        <f>IF(AND(Programme_Grunddaten!$A646="Geprüft",Programme_Grunddaten!AF646&lt;&gt;""),IF(Programme_Grunddaten!AF646="Ja",1,0),"")</f>
        <v/>
      </c>
      <c r="Y641" s="1" t="str">
        <f>IF(AND(Programme_Grunddaten!$A646="Geprüft",Programme_Grunddaten!AG646&lt;&gt;""),IF(Programme_Grunddaten!AG646="Ja",1,0),"")</f>
        <v/>
      </c>
      <c r="Z641" s="1" t="str">
        <f>IF(AND(Programme_Grunddaten!$A646="Geprüft",Programme_Grunddaten!AH646&lt;&gt;""),IF(Programme_Grunddaten!AH646="Ja",1,0),"")</f>
        <v/>
      </c>
      <c r="AA641" s="1" t="str">
        <f>IF(AND(Programme_Grunddaten!$A646="Geprüft",Programme_Grunddaten!AI646&lt;&gt;""),IF(Programme_Grunddaten!AI646="Ja",1,0),"")</f>
        <v/>
      </c>
      <c r="AB641" s="1" t="str">
        <f>IF(AND(Programme_Grunddaten!$A646="Geprüft",Programme_Grunddaten!AJ646&lt;&gt;""),IF(Programme_Grunddaten!AJ646="individuell programmierbar",1,0),"")</f>
        <v/>
      </c>
      <c r="AC641" s="1" t="str">
        <f>IF(AND(Programme_Grunddaten!$A646="Geprüft",Programme_Grunddaten!AK646&lt;&gt;""),IF(Programme_Grunddaten!AK646="Deutsch",0,IF(Programme_Grunddaten!AK646="Deutsch und Englisch",1,2)),"")</f>
        <v/>
      </c>
      <c r="AD641" s="1" t="str">
        <f>IF(AND(Programme_Grunddaten!$A646="Geprüft",Programme_Grunddaten!AL646&lt;&gt;""),IF(Programme_Grunddaten!AL646="Ja",1,0),"")</f>
        <v/>
      </c>
      <c r="AE641" s="1" t="str">
        <f>IF(AND(Programme_Grunddaten!$A646="Geprüft",Programme_Grunddaten!AM646&lt;&gt;""),IF(Programme_Grunddaten!AM646="Ja",1,0),"")</f>
        <v/>
      </c>
      <c r="AF641" s="1" t="str">
        <f>IF(AND(Programme_Grunddaten!$A646="Geprüft",Programme_Grunddaten!AN646&lt;&gt;""),IF(Programme_Grunddaten!AN646="Ja",1,0),"")</f>
        <v/>
      </c>
      <c r="AG641" s="1" t="str">
        <f>IF(AND(Programme_Grunddaten!$A646="Geprüft",Programme_Grunddaten!AO646&lt;&gt;""),IF(Programme_Grunddaten!AO646="Ja",1,0),"")</f>
        <v/>
      </c>
      <c r="AH641" s="1" t="str">
        <f>IF(AND(Programme_Grunddaten!$A646="Geprüft",Programme_Grunddaten!AP646&lt;&gt;""),IF(Programme_Grunddaten!AP646="Ja",1,0),"")</f>
        <v/>
      </c>
      <c r="AI641" s="1" t="str">
        <f>IF(AND(Programme_Grunddaten!$A646="Geprüft",Programme_Grunddaten!AQ646&lt;&gt;""),IF(Programme_Grunddaten!AQ646="Ja",1,0),"")</f>
        <v/>
      </c>
      <c r="AJ641" s="1" t="str">
        <f>IF(AND(Programme_Grunddaten!$A646="Geprüft",Programme_Grunddaten!AR646&lt;&gt;""),IF(Programme_Grunddaten!AR646="Ja",1,0),"")</f>
        <v/>
      </c>
      <c r="AK641" s="1" t="str">
        <f>IF(AND(Programme_Grunddaten!$A646="Geprüft",Programme_Grunddaten!AS646&lt;&gt;""),IF(Programme_Grunddaten!AS646="Ja",1,0),"")</f>
        <v/>
      </c>
      <c r="AL641" s="1" t="str">
        <f>IF(AND(Programme_Grunddaten!$A646="Geprüft",Programme_Grunddaten!AT646&lt;&gt;""),IF(Programme_Grunddaten!AT646="Ja",1,0),"")</f>
        <v/>
      </c>
      <c r="AM641" s="1" t="str">
        <f>IF(AND(Programme_Grunddaten!$A646="Geprüft",Programme_Grunddaten!AU646&lt;&gt;""),IF(Programme_Grunddaten!AU646="Ja",1,0),"")</f>
        <v/>
      </c>
      <c r="AN641" s="1" t="str">
        <f>IF(AND(Programme_Grunddaten!$A646="Geprüft",Programme_Grunddaten!AV646&lt;&gt;""),IF(Programme_Grunddaten!AV646="Ja",1,0),"")</f>
        <v/>
      </c>
    </row>
    <row r="642" spans="1:40" x14ac:dyDescent="0.3">
      <c r="A642" s="1" t="str">
        <f>IF(AND(Programme_Grunddaten!A647="Geprüft",Programme_Grunddaten!B647&lt;&gt;""),Programme_Grunddaten!B647,"")</f>
        <v/>
      </c>
      <c r="B642" s="1" t="str">
        <f>IF(AND(Programme_Grunddaten!$A647="Geprüft",Programme_Grunddaten!I647&lt;&gt;""),IF(Programme_Grunddaten!I647="Ja",1,0),"")</f>
        <v/>
      </c>
      <c r="C642" s="1" t="str">
        <f>IF(AND(Programme_Grunddaten!$A647="Geprüft",Programme_Grunddaten!J647&lt;&gt;""),IF(Programme_Grunddaten!J647="Ja",1,0),"")</f>
        <v/>
      </c>
      <c r="D642" s="1" t="str">
        <f>IF(AND(Programme_Grunddaten!$A647="Geprüft",Programme_Grunddaten!K647&lt;&gt;""),IF(Programme_Grunddaten!K647="Ja",1,0),"")</f>
        <v/>
      </c>
      <c r="E642" s="1" t="str">
        <f>IF(AND(Programme_Grunddaten!$A647="Geprüft",Programme_Grunddaten!L647&lt;&gt;""),IF(Programme_Grunddaten!L647="Abo / befristete Lizenz",1,0),"")</f>
        <v/>
      </c>
      <c r="F642" s="1" t="str">
        <f>IF(AND(Programme_Grunddaten!$A647="Geprüft",Programme_Grunddaten!M647&lt;&gt;""),IF(Programme_Grunddaten!M647="Ja",1,0),"")</f>
        <v/>
      </c>
      <c r="G642" s="1" t="str">
        <f>IF(AND(Programme_Grunddaten!$A647="Geprüft",Programme_Grunddaten!N647&lt;&gt;""),IF(Programme_Grunddaten!N647="Ja",1,0),"")</f>
        <v/>
      </c>
      <c r="H642" s="1" t="str">
        <f>IF(AND(Programme_Grunddaten!$A647="Geprüft",Programme_Grunddaten!O647&lt;&gt;""),IF(Programme_Grunddaten!O647="Deutschland",0,IF(Programme_Grunddaten!O647="EU",1,2)),"")</f>
        <v/>
      </c>
      <c r="I642" s="1" t="str">
        <f>IF(AND(Programme_Grunddaten!$A647="Geprüft",Programme_Grunddaten!P647&lt;&gt;""),IF(Programme_Grunddaten!P647="Ja",1,0),"")</f>
        <v/>
      </c>
      <c r="J642" s="1" t="str">
        <f>IF(AND(Programme_Grunddaten!$A647="Geprüft",Programme_Grunddaten!Q647&lt;&gt;""),IF(Programme_Grunddaten!Q647="geschlossenes System",1,0),"")</f>
        <v/>
      </c>
      <c r="K642" s="1" t="str">
        <f>IF(AND(Programme_Grunddaten!$A647="Geprüft",Programme_Grunddaten!R647&lt;&gt;""),IF(Programme_Grunddaten!R647="Ja",1,0),"")</f>
        <v/>
      </c>
      <c r="L642" s="1" t="str">
        <f>IF(AND(Programme_Grunddaten!$A647="Geprüft",Programme_Grunddaten!T647&lt;&gt;""),IF(Programme_Grunddaten!T647="Ja",1,0),"")</f>
        <v/>
      </c>
      <c r="M642" s="1" t="str">
        <f>IF(AND(Programme_Grunddaten!$A647="Geprüft",Programme_Grunddaten!U647&lt;&gt;""),IF(Programme_Grunddaten!U647="Ja",1,0),"")</f>
        <v/>
      </c>
      <c r="N642" s="1" t="str">
        <f>IF(AND(Programme_Grunddaten!$A647="Geprüft",Programme_Grunddaten!V647&lt;&gt;""),IF(Programme_Grunddaten!V647="Ja",1,0),"")</f>
        <v/>
      </c>
      <c r="O642" s="1" t="str">
        <f>IF(AND(Programme_Grunddaten!$A647="Geprüft",Programme_Grunddaten!W647&lt;&gt;""),IF(Programme_Grunddaten!W647="Ja",1,0),"")</f>
        <v/>
      </c>
      <c r="P642" s="1" t="str">
        <f>IF(AND(Programme_Grunddaten!$A647="Geprüft",Programme_Grunddaten!X647&lt;&gt;""),IF(Programme_Grunddaten!X647="Ja",1,0),"")</f>
        <v/>
      </c>
      <c r="Q642" s="1" t="str">
        <f>IF(AND(Programme_Grunddaten!$A647="Geprüft",Programme_Grunddaten!Y647&lt;&gt;""),IF(Programme_Grunddaten!Y647="Ja",1,0),"")</f>
        <v/>
      </c>
      <c r="R642" s="1" t="str">
        <f>IF(AND(Programme_Grunddaten!$A647="Geprüft",Programme_Grunddaten!Z647&lt;&gt;""),IF(Programme_Grunddaten!Z647="Ja",1,0),"")</f>
        <v/>
      </c>
      <c r="S642" s="1" t="str">
        <f>IF(AND(Programme_Grunddaten!$A647="Geprüft",Programme_Grunddaten!AA647&lt;&gt;""),IF(Programme_Grunddaten!AA647="monolithisch",1,0),"")</f>
        <v/>
      </c>
      <c r="T642" s="1" t="str">
        <f>IF(AND(Programme_Grunddaten!$A647="Geprüft",Programme_Grunddaten!AB647&lt;&gt;""),IF(Programme_Grunddaten!AB647="Ja",1,0),"")</f>
        <v/>
      </c>
      <c r="U642" s="1" t="str">
        <f>IF(AND(Programme_Grunddaten!$A647="Geprüft",Programme_Grunddaten!AC647&lt;&gt;""),IF(Programme_Grunddaten!AC647="Ja",1,0),"")</f>
        <v/>
      </c>
      <c r="V642" s="1" t="str">
        <f>IF(AND(Programme_Grunddaten!$A647="Geprüft",Programme_Grunddaten!AD647&lt;&gt;""),IF(Programme_Grunddaten!AD647="Ja",1,0),"")</f>
        <v/>
      </c>
      <c r="W642" s="1" t="str">
        <f>IF(AND(Programme_Grunddaten!$A647="Geprüft",Programme_Grunddaten!AE647&lt;&gt;""),IF(Programme_Grunddaten!AE647="Ja",1,0),"")</f>
        <v/>
      </c>
      <c r="X642" s="1" t="str">
        <f>IF(AND(Programme_Grunddaten!$A647="Geprüft",Programme_Grunddaten!AF647&lt;&gt;""),IF(Programme_Grunddaten!AF647="Ja",1,0),"")</f>
        <v/>
      </c>
      <c r="Y642" s="1" t="str">
        <f>IF(AND(Programme_Grunddaten!$A647="Geprüft",Programme_Grunddaten!AG647&lt;&gt;""),IF(Programme_Grunddaten!AG647="Ja",1,0),"")</f>
        <v/>
      </c>
      <c r="Z642" s="1" t="str">
        <f>IF(AND(Programme_Grunddaten!$A647="Geprüft",Programme_Grunddaten!AH647&lt;&gt;""),IF(Programme_Grunddaten!AH647="Ja",1,0),"")</f>
        <v/>
      </c>
      <c r="AA642" s="1" t="str">
        <f>IF(AND(Programme_Grunddaten!$A647="Geprüft",Programme_Grunddaten!AI647&lt;&gt;""),IF(Programme_Grunddaten!AI647="Ja",1,0),"")</f>
        <v/>
      </c>
      <c r="AB642" s="1" t="str">
        <f>IF(AND(Programme_Grunddaten!$A647="Geprüft",Programme_Grunddaten!AJ647&lt;&gt;""),IF(Programme_Grunddaten!AJ647="individuell programmierbar",1,0),"")</f>
        <v/>
      </c>
      <c r="AC642" s="1" t="str">
        <f>IF(AND(Programme_Grunddaten!$A647="Geprüft",Programme_Grunddaten!AK647&lt;&gt;""),IF(Programme_Grunddaten!AK647="Deutsch",0,IF(Programme_Grunddaten!AK647="Deutsch und Englisch",1,2)),"")</f>
        <v/>
      </c>
      <c r="AD642" s="1" t="str">
        <f>IF(AND(Programme_Grunddaten!$A647="Geprüft",Programme_Grunddaten!AL647&lt;&gt;""),IF(Programme_Grunddaten!AL647="Ja",1,0),"")</f>
        <v/>
      </c>
      <c r="AE642" s="1" t="str">
        <f>IF(AND(Programme_Grunddaten!$A647="Geprüft",Programme_Grunddaten!AM647&lt;&gt;""),IF(Programme_Grunddaten!AM647="Ja",1,0),"")</f>
        <v/>
      </c>
      <c r="AF642" s="1" t="str">
        <f>IF(AND(Programme_Grunddaten!$A647="Geprüft",Programme_Grunddaten!AN647&lt;&gt;""),IF(Programme_Grunddaten!AN647="Ja",1,0),"")</f>
        <v/>
      </c>
      <c r="AG642" s="1" t="str">
        <f>IF(AND(Programme_Grunddaten!$A647="Geprüft",Programme_Grunddaten!AO647&lt;&gt;""),IF(Programme_Grunddaten!AO647="Ja",1,0),"")</f>
        <v/>
      </c>
      <c r="AH642" s="1" t="str">
        <f>IF(AND(Programme_Grunddaten!$A647="Geprüft",Programme_Grunddaten!AP647&lt;&gt;""),IF(Programme_Grunddaten!AP647="Ja",1,0),"")</f>
        <v/>
      </c>
      <c r="AI642" s="1" t="str">
        <f>IF(AND(Programme_Grunddaten!$A647="Geprüft",Programme_Grunddaten!AQ647&lt;&gt;""),IF(Programme_Grunddaten!AQ647="Ja",1,0),"")</f>
        <v/>
      </c>
      <c r="AJ642" s="1" t="str">
        <f>IF(AND(Programme_Grunddaten!$A647="Geprüft",Programme_Grunddaten!AR647&lt;&gt;""),IF(Programme_Grunddaten!AR647="Ja",1,0),"")</f>
        <v/>
      </c>
      <c r="AK642" s="1" t="str">
        <f>IF(AND(Programme_Grunddaten!$A647="Geprüft",Programme_Grunddaten!AS647&lt;&gt;""),IF(Programme_Grunddaten!AS647="Ja",1,0),"")</f>
        <v/>
      </c>
      <c r="AL642" s="1" t="str">
        <f>IF(AND(Programme_Grunddaten!$A647="Geprüft",Programme_Grunddaten!AT647&lt;&gt;""),IF(Programme_Grunddaten!AT647="Ja",1,0),"")</f>
        <v/>
      </c>
      <c r="AM642" s="1" t="str">
        <f>IF(AND(Programme_Grunddaten!$A647="Geprüft",Programme_Grunddaten!AU647&lt;&gt;""),IF(Programme_Grunddaten!AU647="Ja",1,0),"")</f>
        <v/>
      </c>
      <c r="AN642" s="1" t="str">
        <f>IF(AND(Programme_Grunddaten!$A647="Geprüft",Programme_Grunddaten!AV647&lt;&gt;""),IF(Programme_Grunddaten!AV647="Ja",1,0),"")</f>
        <v/>
      </c>
    </row>
    <row r="643" spans="1:40" x14ac:dyDescent="0.3">
      <c r="A643" s="1" t="str">
        <f>IF(AND(Programme_Grunddaten!A648="Geprüft",Programme_Grunddaten!B648&lt;&gt;""),Programme_Grunddaten!B648,"")</f>
        <v/>
      </c>
      <c r="B643" s="1" t="str">
        <f>IF(AND(Programme_Grunddaten!$A648="Geprüft",Programme_Grunddaten!I648&lt;&gt;""),IF(Programme_Grunddaten!I648="Ja",1,0),"")</f>
        <v/>
      </c>
      <c r="C643" s="1" t="str">
        <f>IF(AND(Programme_Grunddaten!$A648="Geprüft",Programme_Grunddaten!J648&lt;&gt;""),IF(Programme_Grunddaten!J648="Ja",1,0),"")</f>
        <v/>
      </c>
      <c r="D643" s="1" t="str">
        <f>IF(AND(Programme_Grunddaten!$A648="Geprüft",Programme_Grunddaten!K648&lt;&gt;""),IF(Programme_Grunddaten!K648="Ja",1,0),"")</f>
        <v/>
      </c>
      <c r="E643" s="1" t="str">
        <f>IF(AND(Programme_Grunddaten!$A648="Geprüft",Programme_Grunddaten!L648&lt;&gt;""),IF(Programme_Grunddaten!L648="Abo / befristete Lizenz",1,0),"")</f>
        <v/>
      </c>
      <c r="F643" s="1" t="str">
        <f>IF(AND(Programme_Grunddaten!$A648="Geprüft",Programme_Grunddaten!M648&lt;&gt;""),IF(Programme_Grunddaten!M648="Ja",1,0),"")</f>
        <v/>
      </c>
      <c r="G643" s="1" t="str">
        <f>IF(AND(Programme_Grunddaten!$A648="Geprüft",Programme_Grunddaten!N648&lt;&gt;""),IF(Programme_Grunddaten!N648="Ja",1,0),"")</f>
        <v/>
      </c>
      <c r="H643" s="1" t="str">
        <f>IF(AND(Programme_Grunddaten!$A648="Geprüft",Programme_Grunddaten!O648&lt;&gt;""),IF(Programme_Grunddaten!O648="Deutschland",0,IF(Programme_Grunddaten!O648="EU",1,2)),"")</f>
        <v/>
      </c>
      <c r="I643" s="1" t="str">
        <f>IF(AND(Programme_Grunddaten!$A648="Geprüft",Programme_Grunddaten!P648&lt;&gt;""),IF(Programme_Grunddaten!P648="Ja",1,0),"")</f>
        <v/>
      </c>
      <c r="J643" s="1" t="str">
        <f>IF(AND(Programme_Grunddaten!$A648="Geprüft",Programme_Grunddaten!Q648&lt;&gt;""),IF(Programme_Grunddaten!Q648="geschlossenes System",1,0),"")</f>
        <v/>
      </c>
      <c r="K643" s="1" t="str">
        <f>IF(AND(Programme_Grunddaten!$A648="Geprüft",Programme_Grunddaten!R648&lt;&gt;""),IF(Programme_Grunddaten!R648="Ja",1,0),"")</f>
        <v/>
      </c>
      <c r="L643" s="1" t="str">
        <f>IF(AND(Programme_Grunddaten!$A648="Geprüft",Programme_Grunddaten!T648&lt;&gt;""),IF(Programme_Grunddaten!T648="Ja",1,0),"")</f>
        <v/>
      </c>
      <c r="M643" s="1" t="str">
        <f>IF(AND(Programme_Grunddaten!$A648="Geprüft",Programme_Grunddaten!U648&lt;&gt;""),IF(Programme_Grunddaten!U648="Ja",1,0),"")</f>
        <v/>
      </c>
      <c r="N643" s="1" t="str">
        <f>IF(AND(Programme_Grunddaten!$A648="Geprüft",Programme_Grunddaten!V648&lt;&gt;""),IF(Programme_Grunddaten!V648="Ja",1,0),"")</f>
        <v/>
      </c>
      <c r="O643" s="1" t="str">
        <f>IF(AND(Programme_Grunddaten!$A648="Geprüft",Programme_Grunddaten!W648&lt;&gt;""),IF(Programme_Grunddaten!W648="Ja",1,0),"")</f>
        <v/>
      </c>
      <c r="P643" s="1" t="str">
        <f>IF(AND(Programme_Grunddaten!$A648="Geprüft",Programme_Grunddaten!X648&lt;&gt;""),IF(Programme_Grunddaten!X648="Ja",1,0),"")</f>
        <v/>
      </c>
      <c r="Q643" s="1" t="str">
        <f>IF(AND(Programme_Grunddaten!$A648="Geprüft",Programme_Grunddaten!Y648&lt;&gt;""),IF(Programme_Grunddaten!Y648="Ja",1,0),"")</f>
        <v/>
      </c>
      <c r="R643" s="1" t="str">
        <f>IF(AND(Programme_Grunddaten!$A648="Geprüft",Programme_Grunddaten!Z648&lt;&gt;""),IF(Programme_Grunddaten!Z648="Ja",1,0),"")</f>
        <v/>
      </c>
      <c r="S643" s="1" t="str">
        <f>IF(AND(Programme_Grunddaten!$A648="Geprüft",Programme_Grunddaten!AA648&lt;&gt;""),IF(Programme_Grunddaten!AA648="monolithisch",1,0),"")</f>
        <v/>
      </c>
      <c r="T643" s="1" t="str">
        <f>IF(AND(Programme_Grunddaten!$A648="Geprüft",Programme_Grunddaten!AB648&lt;&gt;""),IF(Programme_Grunddaten!AB648="Ja",1,0),"")</f>
        <v/>
      </c>
      <c r="U643" s="1" t="str">
        <f>IF(AND(Programme_Grunddaten!$A648="Geprüft",Programme_Grunddaten!AC648&lt;&gt;""),IF(Programme_Grunddaten!AC648="Ja",1,0),"")</f>
        <v/>
      </c>
      <c r="V643" s="1" t="str">
        <f>IF(AND(Programme_Grunddaten!$A648="Geprüft",Programme_Grunddaten!AD648&lt;&gt;""),IF(Programme_Grunddaten!AD648="Ja",1,0),"")</f>
        <v/>
      </c>
      <c r="W643" s="1" t="str">
        <f>IF(AND(Programme_Grunddaten!$A648="Geprüft",Programme_Grunddaten!AE648&lt;&gt;""),IF(Programme_Grunddaten!AE648="Ja",1,0),"")</f>
        <v/>
      </c>
      <c r="X643" s="1" t="str">
        <f>IF(AND(Programme_Grunddaten!$A648="Geprüft",Programme_Grunddaten!AF648&lt;&gt;""),IF(Programme_Grunddaten!AF648="Ja",1,0),"")</f>
        <v/>
      </c>
      <c r="Y643" s="1" t="str">
        <f>IF(AND(Programme_Grunddaten!$A648="Geprüft",Programme_Grunddaten!AG648&lt;&gt;""),IF(Programme_Grunddaten!AG648="Ja",1,0),"")</f>
        <v/>
      </c>
      <c r="Z643" s="1" t="str">
        <f>IF(AND(Programme_Grunddaten!$A648="Geprüft",Programme_Grunddaten!AH648&lt;&gt;""),IF(Programme_Grunddaten!AH648="Ja",1,0),"")</f>
        <v/>
      </c>
      <c r="AA643" s="1" t="str">
        <f>IF(AND(Programme_Grunddaten!$A648="Geprüft",Programme_Grunddaten!AI648&lt;&gt;""),IF(Programme_Grunddaten!AI648="Ja",1,0),"")</f>
        <v/>
      </c>
      <c r="AB643" s="1" t="str">
        <f>IF(AND(Programme_Grunddaten!$A648="Geprüft",Programme_Grunddaten!AJ648&lt;&gt;""),IF(Programme_Grunddaten!AJ648="individuell programmierbar",1,0),"")</f>
        <v/>
      </c>
      <c r="AC643" s="1" t="str">
        <f>IF(AND(Programme_Grunddaten!$A648="Geprüft",Programme_Grunddaten!AK648&lt;&gt;""),IF(Programme_Grunddaten!AK648="Deutsch",0,IF(Programme_Grunddaten!AK648="Deutsch und Englisch",1,2)),"")</f>
        <v/>
      </c>
      <c r="AD643" s="1" t="str">
        <f>IF(AND(Programme_Grunddaten!$A648="Geprüft",Programme_Grunddaten!AL648&lt;&gt;""),IF(Programme_Grunddaten!AL648="Ja",1,0),"")</f>
        <v/>
      </c>
      <c r="AE643" s="1" t="str">
        <f>IF(AND(Programme_Grunddaten!$A648="Geprüft",Programme_Grunddaten!AM648&lt;&gt;""),IF(Programme_Grunddaten!AM648="Ja",1,0),"")</f>
        <v/>
      </c>
      <c r="AF643" s="1" t="str">
        <f>IF(AND(Programme_Grunddaten!$A648="Geprüft",Programme_Grunddaten!AN648&lt;&gt;""),IF(Programme_Grunddaten!AN648="Ja",1,0),"")</f>
        <v/>
      </c>
      <c r="AG643" s="1" t="str">
        <f>IF(AND(Programme_Grunddaten!$A648="Geprüft",Programme_Grunddaten!AO648&lt;&gt;""),IF(Programme_Grunddaten!AO648="Ja",1,0),"")</f>
        <v/>
      </c>
      <c r="AH643" s="1" t="str">
        <f>IF(AND(Programme_Grunddaten!$A648="Geprüft",Programme_Grunddaten!AP648&lt;&gt;""),IF(Programme_Grunddaten!AP648="Ja",1,0),"")</f>
        <v/>
      </c>
      <c r="AI643" s="1" t="str">
        <f>IF(AND(Programme_Grunddaten!$A648="Geprüft",Programme_Grunddaten!AQ648&lt;&gt;""),IF(Programme_Grunddaten!AQ648="Ja",1,0),"")</f>
        <v/>
      </c>
      <c r="AJ643" s="1" t="str">
        <f>IF(AND(Programme_Grunddaten!$A648="Geprüft",Programme_Grunddaten!AR648&lt;&gt;""),IF(Programme_Grunddaten!AR648="Ja",1,0),"")</f>
        <v/>
      </c>
      <c r="AK643" s="1" t="str">
        <f>IF(AND(Programme_Grunddaten!$A648="Geprüft",Programme_Grunddaten!AS648&lt;&gt;""),IF(Programme_Grunddaten!AS648="Ja",1,0),"")</f>
        <v/>
      </c>
      <c r="AL643" s="1" t="str">
        <f>IF(AND(Programme_Grunddaten!$A648="Geprüft",Programme_Grunddaten!AT648&lt;&gt;""),IF(Programme_Grunddaten!AT648="Ja",1,0),"")</f>
        <v/>
      </c>
      <c r="AM643" s="1" t="str">
        <f>IF(AND(Programme_Grunddaten!$A648="Geprüft",Programme_Grunddaten!AU648&lt;&gt;""),IF(Programme_Grunddaten!AU648="Ja",1,0),"")</f>
        <v/>
      </c>
      <c r="AN643" s="1" t="str">
        <f>IF(AND(Programme_Grunddaten!$A648="Geprüft",Programme_Grunddaten!AV648&lt;&gt;""),IF(Programme_Grunddaten!AV648="Ja",1,0),"")</f>
        <v/>
      </c>
    </row>
    <row r="644" spans="1:40" x14ac:dyDescent="0.3">
      <c r="A644" s="1" t="str">
        <f>IF(AND(Programme_Grunddaten!A649="Geprüft",Programme_Grunddaten!B649&lt;&gt;""),Programme_Grunddaten!B649,"")</f>
        <v/>
      </c>
      <c r="B644" s="1" t="str">
        <f>IF(AND(Programme_Grunddaten!$A649="Geprüft",Programme_Grunddaten!I649&lt;&gt;""),IF(Programme_Grunddaten!I649="Ja",1,0),"")</f>
        <v/>
      </c>
      <c r="C644" s="1" t="str">
        <f>IF(AND(Programme_Grunddaten!$A649="Geprüft",Programme_Grunddaten!J649&lt;&gt;""),IF(Programme_Grunddaten!J649="Ja",1,0),"")</f>
        <v/>
      </c>
      <c r="D644" s="1" t="str">
        <f>IF(AND(Programme_Grunddaten!$A649="Geprüft",Programme_Grunddaten!K649&lt;&gt;""),IF(Programme_Grunddaten!K649="Ja",1,0),"")</f>
        <v/>
      </c>
      <c r="E644" s="1" t="str">
        <f>IF(AND(Programme_Grunddaten!$A649="Geprüft",Programme_Grunddaten!L649&lt;&gt;""),IF(Programme_Grunddaten!L649="Abo / befristete Lizenz",1,0),"")</f>
        <v/>
      </c>
      <c r="F644" s="1" t="str">
        <f>IF(AND(Programme_Grunddaten!$A649="Geprüft",Programme_Grunddaten!M649&lt;&gt;""),IF(Programme_Grunddaten!M649="Ja",1,0),"")</f>
        <v/>
      </c>
      <c r="G644" s="1" t="str">
        <f>IF(AND(Programme_Grunddaten!$A649="Geprüft",Programme_Grunddaten!N649&lt;&gt;""),IF(Programme_Grunddaten!N649="Ja",1,0),"")</f>
        <v/>
      </c>
      <c r="H644" s="1" t="str">
        <f>IF(AND(Programme_Grunddaten!$A649="Geprüft",Programme_Grunddaten!O649&lt;&gt;""),IF(Programme_Grunddaten!O649="Deutschland",0,IF(Programme_Grunddaten!O649="EU",1,2)),"")</f>
        <v/>
      </c>
      <c r="I644" s="1" t="str">
        <f>IF(AND(Programme_Grunddaten!$A649="Geprüft",Programme_Grunddaten!P649&lt;&gt;""),IF(Programme_Grunddaten!P649="Ja",1,0),"")</f>
        <v/>
      </c>
      <c r="J644" s="1" t="str">
        <f>IF(AND(Programme_Grunddaten!$A649="Geprüft",Programme_Grunddaten!Q649&lt;&gt;""),IF(Programme_Grunddaten!Q649="geschlossenes System",1,0),"")</f>
        <v/>
      </c>
      <c r="K644" s="1" t="str">
        <f>IF(AND(Programme_Grunddaten!$A649="Geprüft",Programme_Grunddaten!R649&lt;&gt;""),IF(Programme_Grunddaten!R649="Ja",1,0),"")</f>
        <v/>
      </c>
      <c r="L644" s="1" t="str">
        <f>IF(AND(Programme_Grunddaten!$A649="Geprüft",Programme_Grunddaten!T649&lt;&gt;""),IF(Programme_Grunddaten!T649="Ja",1,0),"")</f>
        <v/>
      </c>
      <c r="M644" s="1" t="str">
        <f>IF(AND(Programme_Grunddaten!$A649="Geprüft",Programme_Grunddaten!U649&lt;&gt;""),IF(Programme_Grunddaten!U649="Ja",1,0),"")</f>
        <v/>
      </c>
      <c r="N644" s="1" t="str">
        <f>IF(AND(Programme_Grunddaten!$A649="Geprüft",Programme_Grunddaten!V649&lt;&gt;""),IF(Programme_Grunddaten!V649="Ja",1,0),"")</f>
        <v/>
      </c>
      <c r="O644" s="1" t="str">
        <f>IF(AND(Programme_Grunddaten!$A649="Geprüft",Programme_Grunddaten!W649&lt;&gt;""),IF(Programme_Grunddaten!W649="Ja",1,0),"")</f>
        <v/>
      </c>
      <c r="P644" s="1" t="str">
        <f>IF(AND(Programme_Grunddaten!$A649="Geprüft",Programme_Grunddaten!X649&lt;&gt;""),IF(Programme_Grunddaten!X649="Ja",1,0),"")</f>
        <v/>
      </c>
      <c r="Q644" s="1" t="str">
        <f>IF(AND(Programme_Grunddaten!$A649="Geprüft",Programme_Grunddaten!Y649&lt;&gt;""),IF(Programme_Grunddaten!Y649="Ja",1,0),"")</f>
        <v/>
      </c>
      <c r="R644" s="1" t="str">
        <f>IF(AND(Programme_Grunddaten!$A649="Geprüft",Programme_Grunddaten!Z649&lt;&gt;""),IF(Programme_Grunddaten!Z649="Ja",1,0),"")</f>
        <v/>
      </c>
      <c r="S644" s="1" t="str">
        <f>IF(AND(Programme_Grunddaten!$A649="Geprüft",Programme_Grunddaten!AA649&lt;&gt;""),IF(Programme_Grunddaten!AA649="monolithisch",1,0),"")</f>
        <v/>
      </c>
      <c r="T644" s="1" t="str">
        <f>IF(AND(Programme_Grunddaten!$A649="Geprüft",Programme_Grunddaten!AB649&lt;&gt;""),IF(Programme_Grunddaten!AB649="Ja",1,0),"")</f>
        <v/>
      </c>
      <c r="U644" s="1" t="str">
        <f>IF(AND(Programme_Grunddaten!$A649="Geprüft",Programme_Grunddaten!AC649&lt;&gt;""),IF(Programme_Grunddaten!AC649="Ja",1,0),"")</f>
        <v/>
      </c>
      <c r="V644" s="1" t="str">
        <f>IF(AND(Programme_Grunddaten!$A649="Geprüft",Programme_Grunddaten!AD649&lt;&gt;""),IF(Programme_Grunddaten!AD649="Ja",1,0),"")</f>
        <v/>
      </c>
      <c r="W644" s="1" t="str">
        <f>IF(AND(Programme_Grunddaten!$A649="Geprüft",Programme_Grunddaten!AE649&lt;&gt;""),IF(Programme_Grunddaten!AE649="Ja",1,0),"")</f>
        <v/>
      </c>
      <c r="X644" s="1" t="str">
        <f>IF(AND(Programme_Grunddaten!$A649="Geprüft",Programme_Grunddaten!AF649&lt;&gt;""),IF(Programme_Grunddaten!AF649="Ja",1,0),"")</f>
        <v/>
      </c>
      <c r="Y644" s="1" t="str">
        <f>IF(AND(Programme_Grunddaten!$A649="Geprüft",Programme_Grunddaten!AG649&lt;&gt;""),IF(Programme_Grunddaten!AG649="Ja",1,0),"")</f>
        <v/>
      </c>
      <c r="Z644" s="1" t="str">
        <f>IF(AND(Programme_Grunddaten!$A649="Geprüft",Programme_Grunddaten!AH649&lt;&gt;""),IF(Programme_Grunddaten!AH649="Ja",1,0),"")</f>
        <v/>
      </c>
      <c r="AA644" s="1" t="str">
        <f>IF(AND(Programme_Grunddaten!$A649="Geprüft",Programme_Grunddaten!AI649&lt;&gt;""),IF(Programme_Grunddaten!AI649="Ja",1,0),"")</f>
        <v/>
      </c>
      <c r="AB644" s="1" t="str">
        <f>IF(AND(Programme_Grunddaten!$A649="Geprüft",Programme_Grunddaten!AJ649&lt;&gt;""),IF(Programme_Grunddaten!AJ649="individuell programmierbar",1,0),"")</f>
        <v/>
      </c>
      <c r="AC644" s="1" t="str">
        <f>IF(AND(Programme_Grunddaten!$A649="Geprüft",Programme_Grunddaten!AK649&lt;&gt;""),IF(Programme_Grunddaten!AK649="Deutsch",0,IF(Programme_Grunddaten!AK649="Deutsch und Englisch",1,2)),"")</f>
        <v/>
      </c>
      <c r="AD644" s="1" t="str">
        <f>IF(AND(Programme_Grunddaten!$A649="Geprüft",Programme_Grunddaten!AL649&lt;&gt;""),IF(Programme_Grunddaten!AL649="Ja",1,0),"")</f>
        <v/>
      </c>
      <c r="AE644" s="1" t="str">
        <f>IF(AND(Programme_Grunddaten!$A649="Geprüft",Programme_Grunddaten!AM649&lt;&gt;""),IF(Programme_Grunddaten!AM649="Ja",1,0),"")</f>
        <v/>
      </c>
      <c r="AF644" s="1" t="str">
        <f>IF(AND(Programme_Grunddaten!$A649="Geprüft",Programme_Grunddaten!AN649&lt;&gt;""),IF(Programme_Grunddaten!AN649="Ja",1,0),"")</f>
        <v/>
      </c>
      <c r="AG644" s="1" t="str">
        <f>IF(AND(Programme_Grunddaten!$A649="Geprüft",Programme_Grunddaten!AO649&lt;&gt;""),IF(Programme_Grunddaten!AO649="Ja",1,0),"")</f>
        <v/>
      </c>
      <c r="AH644" s="1" t="str">
        <f>IF(AND(Programme_Grunddaten!$A649="Geprüft",Programme_Grunddaten!AP649&lt;&gt;""),IF(Programme_Grunddaten!AP649="Ja",1,0),"")</f>
        <v/>
      </c>
      <c r="AI644" s="1" t="str">
        <f>IF(AND(Programme_Grunddaten!$A649="Geprüft",Programme_Grunddaten!AQ649&lt;&gt;""),IF(Programme_Grunddaten!AQ649="Ja",1,0),"")</f>
        <v/>
      </c>
      <c r="AJ644" s="1" t="str">
        <f>IF(AND(Programme_Grunddaten!$A649="Geprüft",Programme_Grunddaten!AR649&lt;&gt;""),IF(Programme_Grunddaten!AR649="Ja",1,0),"")</f>
        <v/>
      </c>
      <c r="AK644" s="1" t="str">
        <f>IF(AND(Programme_Grunddaten!$A649="Geprüft",Programme_Grunddaten!AS649&lt;&gt;""),IF(Programme_Grunddaten!AS649="Ja",1,0),"")</f>
        <v/>
      </c>
      <c r="AL644" s="1" t="str">
        <f>IF(AND(Programme_Grunddaten!$A649="Geprüft",Programme_Grunddaten!AT649&lt;&gt;""),IF(Programme_Grunddaten!AT649="Ja",1,0),"")</f>
        <v/>
      </c>
      <c r="AM644" s="1" t="str">
        <f>IF(AND(Programme_Grunddaten!$A649="Geprüft",Programme_Grunddaten!AU649&lt;&gt;""),IF(Programme_Grunddaten!AU649="Ja",1,0),"")</f>
        <v/>
      </c>
      <c r="AN644" s="1" t="str">
        <f>IF(AND(Programme_Grunddaten!$A649="Geprüft",Programme_Grunddaten!AV649&lt;&gt;""),IF(Programme_Grunddaten!AV649="Ja",1,0),"")</f>
        <v/>
      </c>
    </row>
    <row r="645" spans="1:40" x14ac:dyDescent="0.3">
      <c r="A645" s="1" t="str">
        <f>IF(AND(Programme_Grunddaten!A650="Geprüft",Programme_Grunddaten!B650&lt;&gt;""),Programme_Grunddaten!B650,"")</f>
        <v/>
      </c>
      <c r="B645" s="1" t="str">
        <f>IF(AND(Programme_Grunddaten!$A650="Geprüft",Programme_Grunddaten!I650&lt;&gt;""),IF(Programme_Grunddaten!I650="Ja",1,0),"")</f>
        <v/>
      </c>
      <c r="C645" s="1" t="str">
        <f>IF(AND(Programme_Grunddaten!$A650="Geprüft",Programme_Grunddaten!J650&lt;&gt;""),IF(Programme_Grunddaten!J650="Ja",1,0),"")</f>
        <v/>
      </c>
      <c r="D645" s="1" t="str">
        <f>IF(AND(Programme_Grunddaten!$A650="Geprüft",Programme_Grunddaten!K650&lt;&gt;""),IF(Programme_Grunddaten!K650="Ja",1,0),"")</f>
        <v/>
      </c>
      <c r="E645" s="1" t="str">
        <f>IF(AND(Programme_Grunddaten!$A650="Geprüft",Programme_Grunddaten!L650&lt;&gt;""),IF(Programme_Grunddaten!L650="Abo / befristete Lizenz",1,0),"")</f>
        <v/>
      </c>
      <c r="F645" s="1" t="str">
        <f>IF(AND(Programme_Grunddaten!$A650="Geprüft",Programme_Grunddaten!M650&lt;&gt;""),IF(Programme_Grunddaten!M650="Ja",1,0),"")</f>
        <v/>
      </c>
      <c r="G645" s="1" t="str">
        <f>IF(AND(Programme_Grunddaten!$A650="Geprüft",Programme_Grunddaten!N650&lt;&gt;""),IF(Programme_Grunddaten!N650="Ja",1,0),"")</f>
        <v/>
      </c>
      <c r="H645" s="1" t="str">
        <f>IF(AND(Programme_Grunddaten!$A650="Geprüft",Programme_Grunddaten!O650&lt;&gt;""),IF(Programme_Grunddaten!O650="Deutschland",0,IF(Programme_Grunddaten!O650="EU",1,2)),"")</f>
        <v/>
      </c>
      <c r="I645" s="1" t="str">
        <f>IF(AND(Programme_Grunddaten!$A650="Geprüft",Programme_Grunddaten!P650&lt;&gt;""),IF(Programme_Grunddaten!P650="Ja",1,0),"")</f>
        <v/>
      </c>
      <c r="J645" s="1" t="str">
        <f>IF(AND(Programme_Grunddaten!$A650="Geprüft",Programme_Grunddaten!Q650&lt;&gt;""),IF(Programme_Grunddaten!Q650="geschlossenes System",1,0),"")</f>
        <v/>
      </c>
      <c r="K645" s="1" t="str">
        <f>IF(AND(Programme_Grunddaten!$A650="Geprüft",Programme_Grunddaten!R650&lt;&gt;""),IF(Programme_Grunddaten!R650="Ja",1,0),"")</f>
        <v/>
      </c>
      <c r="L645" s="1" t="str">
        <f>IF(AND(Programme_Grunddaten!$A650="Geprüft",Programme_Grunddaten!T650&lt;&gt;""),IF(Programme_Grunddaten!T650="Ja",1,0),"")</f>
        <v/>
      </c>
      <c r="M645" s="1" t="str">
        <f>IF(AND(Programme_Grunddaten!$A650="Geprüft",Programme_Grunddaten!U650&lt;&gt;""),IF(Programme_Grunddaten!U650="Ja",1,0),"")</f>
        <v/>
      </c>
      <c r="N645" s="1" t="str">
        <f>IF(AND(Programme_Grunddaten!$A650="Geprüft",Programme_Grunddaten!V650&lt;&gt;""),IF(Programme_Grunddaten!V650="Ja",1,0),"")</f>
        <v/>
      </c>
      <c r="O645" s="1" t="str">
        <f>IF(AND(Programme_Grunddaten!$A650="Geprüft",Programme_Grunddaten!W650&lt;&gt;""),IF(Programme_Grunddaten!W650="Ja",1,0),"")</f>
        <v/>
      </c>
      <c r="P645" s="1" t="str">
        <f>IF(AND(Programme_Grunddaten!$A650="Geprüft",Programme_Grunddaten!X650&lt;&gt;""),IF(Programme_Grunddaten!X650="Ja",1,0),"")</f>
        <v/>
      </c>
      <c r="Q645" s="1" t="str">
        <f>IF(AND(Programme_Grunddaten!$A650="Geprüft",Programme_Grunddaten!Y650&lt;&gt;""),IF(Programme_Grunddaten!Y650="Ja",1,0),"")</f>
        <v/>
      </c>
      <c r="R645" s="1" t="str">
        <f>IF(AND(Programme_Grunddaten!$A650="Geprüft",Programme_Grunddaten!Z650&lt;&gt;""),IF(Programme_Grunddaten!Z650="Ja",1,0),"")</f>
        <v/>
      </c>
      <c r="S645" s="1" t="str">
        <f>IF(AND(Programme_Grunddaten!$A650="Geprüft",Programme_Grunddaten!AA650&lt;&gt;""),IF(Programme_Grunddaten!AA650="monolithisch",1,0),"")</f>
        <v/>
      </c>
      <c r="T645" s="1" t="str">
        <f>IF(AND(Programme_Grunddaten!$A650="Geprüft",Programme_Grunddaten!AB650&lt;&gt;""),IF(Programme_Grunddaten!AB650="Ja",1,0),"")</f>
        <v/>
      </c>
      <c r="U645" s="1" t="str">
        <f>IF(AND(Programme_Grunddaten!$A650="Geprüft",Programme_Grunddaten!AC650&lt;&gt;""),IF(Programme_Grunddaten!AC650="Ja",1,0),"")</f>
        <v/>
      </c>
      <c r="V645" s="1" t="str">
        <f>IF(AND(Programme_Grunddaten!$A650="Geprüft",Programme_Grunddaten!AD650&lt;&gt;""),IF(Programme_Grunddaten!AD650="Ja",1,0),"")</f>
        <v/>
      </c>
      <c r="W645" s="1" t="str">
        <f>IF(AND(Programme_Grunddaten!$A650="Geprüft",Programme_Grunddaten!AE650&lt;&gt;""),IF(Programme_Grunddaten!AE650="Ja",1,0),"")</f>
        <v/>
      </c>
      <c r="X645" s="1" t="str">
        <f>IF(AND(Programme_Grunddaten!$A650="Geprüft",Programme_Grunddaten!AF650&lt;&gt;""),IF(Programme_Grunddaten!AF650="Ja",1,0),"")</f>
        <v/>
      </c>
      <c r="Y645" s="1" t="str">
        <f>IF(AND(Programme_Grunddaten!$A650="Geprüft",Programme_Grunddaten!AG650&lt;&gt;""),IF(Programme_Grunddaten!AG650="Ja",1,0),"")</f>
        <v/>
      </c>
      <c r="Z645" s="1" t="str">
        <f>IF(AND(Programme_Grunddaten!$A650="Geprüft",Programme_Grunddaten!AH650&lt;&gt;""),IF(Programme_Grunddaten!AH650="Ja",1,0),"")</f>
        <v/>
      </c>
      <c r="AA645" s="1" t="str">
        <f>IF(AND(Programme_Grunddaten!$A650="Geprüft",Programme_Grunddaten!AI650&lt;&gt;""),IF(Programme_Grunddaten!AI650="Ja",1,0),"")</f>
        <v/>
      </c>
      <c r="AB645" s="1" t="str">
        <f>IF(AND(Programme_Grunddaten!$A650="Geprüft",Programme_Grunddaten!AJ650&lt;&gt;""),IF(Programme_Grunddaten!AJ650="individuell programmierbar",1,0),"")</f>
        <v/>
      </c>
      <c r="AC645" s="1" t="str">
        <f>IF(AND(Programme_Grunddaten!$A650="Geprüft",Programme_Grunddaten!AK650&lt;&gt;""),IF(Programme_Grunddaten!AK650="Deutsch",0,IF(Programme_Grunddaten!AK650="Deutsch und Englisch",1,2)),"")</f>
        <v/>
      </c>
      <c r="AD645" s="1" t="str">
        <f>IF(AND(Programme_Grunddaten!$A650="Geprüft",Programme_Grunddaten!AL650&lt;&gt;""),IF(Programme_Grunddaten!AL650="Ja",1,0),"")</f>
        <v/>
      </c>
      <c r="AE645" s="1" t="str">
        <f>IF(AND(Programme_Grunddaten!$A650="Geprüft",Programme_Grunddaten!AM650&lt;&gt;""),IF(Programme_Grunddaten!AM650="Ja",1,0),"")</f>
        <v/>
      </c>
      <c r="AF645" s="1" t="str">
        <f>IF(AND(Programme_Grunddaten!$A650="Geprüft",Programme_Grunddaten!AN650&lt;&gt;""),IF(Programme_Grunddaten!AN650="Ja",1,0),"")</f>
        <v/>
      </c>
      <c r="AG645" s="1" t="str">
        <f>IF(AND(Programme_Grunddaten!$A650="Geprüft",Programme_Grunddaten!AO650&lt;&gt;""),IF(Programme_Grunddaten!AO650="Ja",1,0),"")</f>
        <v/>
      </c>
      <c r="AH645" s="1" t="str">
        <f>IF(AND(Programme_Grunddaten!$A650="Geprüft",Programme_Grunddaten!AP650&lt;&gt;""),IF(Programme_Grunddaten!AP650="Ja",1,0),"")</f>
        <v/>
      </c>
      <c r="AI645" s="1" t="str">
        <f>IF(AND(Programme_Grunddaten!$A650="Geprüft",Programme_Grunddaten!AQ650&lt;&gt;""),IF(Programme_Grunddaten!AQ650="Ja",1,0),"")</f>
        <v/>
      </c>
      <c r="AJ645" s="1" t="str">
        <f>IF(AND(Programme_Grunddaten!$A650="Geprüft",Programme_Grunddaten!AR650&lt;&gt;""),IF(Programme_Grunddaten!AR650="Ja",1,0),"")</f>
        <v/>
      </c>
      <c r="AK645" s="1" t="str">
        <f>IF(AND(Programme_Grunddaten!$A650="Geprüft",Programme_Grunddaten!AS650&lt;&gt;""),IF(Programme_Grunddaten!AS650="Ja",1,0),"")</f>
        <v/>
      </c>
      <c r="AL645" s="1" t="str">
        <f>IF(AND(Programme_Grunddaten!$A650="Geprüft",Programme_Grunddaten!AT650&lt;&gt;""),IF(Programme_Grunddaten!AT650="Ja",1,0),"")</f>
        <v/>
      </c>
      <c r="AM645" s="1" t="str">
        <f>IF(AND(Programme_Grunddaten!$A650="Geprüft",Programme_Grunddaten!AU650&lt;&gt;""),IF(Programme_Grunddaten!AU650="Ja",1,0),"")</f>
        <v/>
      </c>
      <c r="AN645" s="1" t="str">
        <f>IF(AND(Programme_Grunddaten!$A650="Geprüft",Programme_Grunddaten!AV650&lt;&gt;""),IF(Programme_Grunddaten!AV650="Ja",1,0),"")</f>
        <v/>
      </c>
    </row>
    <row r="646" spans="1:40" x14ac:dyDescent="0.3">
      <c r="A646" s="1" t="str">
        <f>IF(AND(Programme_Grunddaten!A651="Geprüft",Programme_Grunddaten!B651&lt;&gt;""),Programme_Grunddaten!B651,"")</f>
        <v/>
      </c>
      <c r="B646" s="1" t="str">
        <f>IF(AND(Programme_Grunddaten!$A651="Geprüft",Programme_Grunddaten!I651&lt;&gt;""),IF(Programme_Grunddaten!I651="Ja",1,0),"")</f>
        <v/>
      </c>
      <c r="C646" s="1" t="str">
        <f>IF(AND(Programme_Grunddaten!$A651="Geprüft",Programme_Grunddaten!J651&lt;&gt;""),IF(Programme_Grunddaten!J651="Ja",1,0),"")</f>
        <v/>
      </c>
      <c r="D646" s="1" t="str">
        <f>IF(AND(Programme_Grunddaten!$A651="Geprüft",Programme_Grunddaten!K651&lt;&gt;""),IF(Programme_Grunddaten!K651="Ja",1,0),"")</f>
        <v/>
      </c>
      <c r="E646" s="1" t="str">
        <f>IF(AND(Programme_Grunddaten!$A651="Geprüft",Programme_Grunddaten!L651&lt;&gt;""),IF(Programme_Grunddaten!L651="Abo / befristete Lizenz",1,0),"")</f>
        <v/>
      </c>
      <c r="F646" s="1" t="str">
        <f>IF(AND(Programme_Grunddaten!$A651="Geprüft",Programme_Grunddaten!M651&lt;&gt;""),IF(Programme_Grunddaten!M651="Ja",1,0),"")</f>
        <v/>
      </c>
      <c r="G646" s="1" t="str">
        <f>IF(AND(Programme_Grunddaten!$A651="Geprüft",Programme_Grunddaten!N651&lt;&gt;""),IF(Programme_Grunddaten!N651="Ja",1,0),"")</f>
        <v/>
      </c>
      <c r="H646" s="1" t="str">
        <f>IF(AND(Programme_Grunddaten!$A651="Geprüft",Programme_Grunddaten!O651&lt;&gt;""),IF(Programme_Grunddaten!O651="Deutschland",0,IF(Programme_Grunddaten!O651="EU",1,2)),"")</f>
        <v/>
      </c>
      <c r="I646" s="1" t="str">
        <f>IF(AND(Programme_Grunddaten!$A651="Geprüft",Programme_Grunddaten!P651&lt;&gt;""),IF(Programme_Grunddaten!P651="Ja",1,0),"")</f>
        <v/>
      </c>
      <c r="J646" s="1" t="str">
        <f>IF(AND(Programme_Grunddaten!$A651="Geprüft",Programme_Grunddaten!Q651&lt;&gt;""),IF(Programme_Grunddaten!Q651="geschlossenes System",1,0),"")</f>
        <v/>
      </c>
      <c r="K646" s="1" t="str">
        <f>IF(AND(Programme_Grunddaten!$A651="Geprüft",Programme_Grunddaten!R651&lt;&gt;""),IF(Programme_Grunddaten!R651="Ja",1,0),"")</f>
        <v/>
      </c>
      <c r="L646" s="1" t="str">
        <f>IF(AND(Programme_Grunddaten!$A651="Geprüft",Programme_Grunddaten!T651&lt;&gt;""),IF(Programme_Grunddaten!T651="Ja",1,0),"")</f>
        <v/>
      </c>
      <c r="M646" s="1" t="str">
        <f>IF(AND(Programme_Grunddaten!$A651="Geprüft",Programme_Grunddaten!U651&lt;&gt;""),IF(Programme_Grunddaten!U651="Ja",1,0),"")</f>
        <v/>
      </c>
      <c r="N646" s="1" t="str">
        <f>IF(AND(Programme_Grunddaten!$A651="Geprüft",Programme_Grunddaten!V651&lt;&gt;""),IF(Programme_Grunddaten!V651="Ja",1,0),"")</f>
        <v/>
      </c>
      <c r="O646" s="1" t="str">
        <f>IF(AND(Programme_Grunddaten!$A651="Geprüft",Programme_Grunddaten!W651&lt;&gt;""),IF(Programme_Grunddaten!W651="Ja",1,0),"")</f>
        <v/>
      </c>
      <c r="P646" s="1" t="str">
        <f>IF(AND(Programme_Grunddaten!$A651="Geprüft",Programme_Grunddaten!X651&lt;&gt;""),IF(Programme_Grunddaten!X651="Ja",1,0),"")</f>
        <v/>
      </c>
      <c r="Q646" s="1" t="str">
        <f>IF(AND(Programme_Grunddaten!$A651="Geprüft",Programme_Grunddaten!Y651&lt;&gt;""),IF(Programme_Grunddaten!Y651="Ja",1,0),"")</f>
        <v/>
      </c>
      <c r="R646" s="1" t="str">
        <f>IF(AND(Programme_Grunddaten!$A651="Geprüft",Programme_Grunddaten!Z651&lt;&gt;""),IF(Programme_Grunddaten!Z651="Ja",1,0),"")</f>
        <v/>
      </c>
      <c r="S646" s="1" t="str">
        <f>IF(AND(Programme_Grunddaten!$A651="Geprüft",Programme_Grunddaten!AA651&lt;&gt;""),IF(Programme_Grunddaten!AA651="monolithisch",1,0),"")</f>
        <v/>
      </c>
      <c r="T646" s="1" t="str">
        <f>IF(AND(Programme_Grunddaten!$A651="Geprüft",Programme_Grunddaten!AB651&lt;&gt;""),IF(Programme_Grunddaten!AB651="Ja",1,0),"")</f>
        <v/>
      </c>
      <c r="U646" s="1" t="str">
        <f>IF(AND(Programme_Grunddaten!$A651="Geprüft",Programme_Grunddaten!AC651&lt;&gt;""),IF(Programme_Grunddaten!AC651="Ja",1,0),"")</f>
        <v/>
      </c>
      <c r="V646" s="1" t="str">
        <f>IF(AND(Programme_Grunddaten!$A651="Geprüft",Programme_Grunddaten!AD651&lt;&gt;""),IF(Programme_Grunddaten!AD651="Ja",1,0),"")</f>
        <v/>
      </c>
      <c r="W646" s="1" t="str">
        <f>IF(AND(Programme_Grunddaten!$A651="Geprüft",Programme_Grunddaten!AE651&lt;&gt;""),IF(Programme_Grunddaten!AE651="Ja",1,0),"")</f>
        <v/>
      </c>
      <c r="X646" s="1" t="str">
        <f>IF(AND(Programme_Grunddaten!$A651="Geprüft",Programme_Grunddaten!AF651&lt;&gt;""),IF(Programme_Grunddaten!AF651="Ja",1,0),"")</f>
        <v/>
      </c>
      <c r="Y646" s="1" t="str">
        <f>IF(AND(Programme_Grunddaten!$A651="Geprüft",Programme_Grunddaten!AG651&lt;&gt;""),IF(Programme_Grunddaten!AG651="Ja",1,0),"")</f>
        <v/>
      </c>
      <c r="Z646" s="1" t="str">
        <f>IF(AND(Programme_Grunddaten!$A651="Geprüft",Programme_Grunddaten!AH651&lt;&gt;""),IF(Programme_Grunddaten!AH651="Ja",1,0),"")</f>
        <v/>
      </c>
      <c r="AA646" s="1" t="str">
        <f>IF(AND(Programme_Grunddaten!$A651="Geprüft",Programme_Grunddaten!AI651&lt;&gt;""),IF(Programme_Grunddaten!AI651="Ja",1,0),"")</f>
        <v/>
      </c>
      <c r="AB646" s="1" t="str">
        <f>IF(AND(Programme_Grunddaten!$A651="Geprüft",Programme_Grunddaten!AJ651&lt;&gt;""),IF(Programme_Grunddaten!AJ651="individuell programmierbar",1,0),"")</f>
        <v/>
      </c>
      <c r="AC646" s="1" t="str">
        <f>IF(AND(Programme_Grunddaten!$A651="Geprüft",Programme_Grunddaten!AK651&lt;&gt;""),IF(Programme_Grunddaten!AK651="Deutsch",0,IF(Programme_Grunddaten!AK651="Deutsch und Englisch",1,2)),"")</f>
        <v/>
      </c>
      <c r="AD646" s="1" t="str">
        <f>IF(AND(Programme_Grunddaten!$A651="Geprüft",Programme_Grunddaten!AL651&lt;&gt;""),IF(Programme_Grunddaten!AL651="Ja",1,0),"")</f>
        <v/>
      </c>
      <c r="AE646" s="1" t="str">
        <f>IF(AND(Programme_Grunddaten!$A651="Geprüft",Programme_Grunddaten!AM651&lt;&gt;""),IF(Programme_Grunddaten!AM651="Ja",1,0),"")</f>
        <v/>
      </c>
      <c r="AF646" s="1" t="str">
        <f>IF(AND(Programme_Grunddaten!$A651="Geprüft",Programme_Grunddaten!AN651&lt;&gt;""),IF(Programme_Grunddaten!AN651="Ja",1,0),"")</f>
        <v/>
      </c>
      <c r="AG646" s="1" t="str">
        <f>IF(AND(Programme_Grunddaten!$A651="Geprüft",Programme_Grunddaten!AO651&lt;&gt;""),IF(Programme_Grunddaten!AO651="Ja",1,0),"")</f>
        <v/>
      </c>
      <c r="AH646" s="1" t="str">
        <f>IF(AND(Programme_Grunddaten!$A651="Geprüft",Programme_Grunddaten!AP651&lt;&gt;""),IF(Programme_Grunddaten!AP651="Ja",1,0),"")</f>
        <v/>
      </c>
      <c r="AI646" s="1" t="str">
        <f>IF(AND(Programme_Grunddaten!$A651="Geprüft",Programme_Grunddaten!AQ651&lt;&gt;""),IF(Programme_Grunddaten!AQ651="Ja",1,0),"")</f>
        <v/>
      </c>
      <c r="AJ646" s="1" t="str">
        <f>IF(AND(Programme_Grunddaten!$A651="Geprüft",Programme_Grunddaten!AR651&lt;&gt;""),IF(Programme_Grunddaten!AR651="Ja",1,0),"")</f>
        <v/>
      </c>
      <c r="AK646" s="1" t="str">
        <f>IF(AND(Programme_Grunddaten!$A651="Geprüft",Programme_Grunddaten!AS651&lt;&gt;""),IF(Programme_Grunddaten!AS651="Ja",1,0),"")</f>
        <v/>
      </c>
      <c r="AL646" s="1" t="str">
        <f>IF(AND(Programme_Grunddaten!$A651="Geprüft",Programme_Grunddaten!AT651&lt;&gt;""),IF(Programme_Grunddaten!AT651="Ja",1,0),"")</f>
        <v/>
      </c>
      <c r="AM646" s="1" t="str">
        <f>IF(AND(Programme_Grunddaten!$A651="Geprüft",Programme_Grunddaten!AU651&lt;&gt;""),IF(Programme_Grunddaten!AU651="Ja",1,0),"")</f>
        <v/>
      </c>
      <c r="AN646" s="1" t="str">
        <f>IF(AND(Programme_Grunddaten!$A651="Geprüft",Programme_Grunddaten!AV651&lt;&gt;""),IF(Programme_Grunddaten!AV651="Ja",1,0),"")</f>
        <v/>
      </c>
    </row>
    <row r="647" spans="1:40" x14ac:dyDescent="0.3">
      <c r="A647" s="1" t="str">
        <f>IF(AND(Programme_Grunddaten!A652="Geprüft",Programme_Grunddaten!B652&lt;&gt;""),Programme_Grunddaten!B652,"")</f>
        <v/>
      </c>
      <c r="B647" s="1" t="str">
        <f>IF(AND(Programme_Grunddaten!$A652="Geprüft",Programme_Grunddaten!I652&lt;&gt;""),IF(Programme_Grunddaten!I652="Ja",1,0),"")</f>
        <v/>
      </c>
      <c r="C647" s="1" t="str">
        <f>IF(AND(Programme_Grunddaten!$A652="Geprüft",Programme_Grunddaten!J652&lt;&gt;""),IF(Programme_Grunddaten!J652="Ja",1,0),"")</f>
        <v/>
      </c>
      <c r="D647" s="1" t="str">
        <f>IF(AND(Programme_Grunddaten!$A652="Geprüft",Programme_Grunddaten!K652&lt;&gt;""),IF(Programme_Grunddaten!K652="Ja",1,0),"")</f>
        <v/>
      </c>
      <c r="E647" s="1" t="str">
        <f>IF(AND(Programme_Grunddaten!$A652="Geprüft",Programme_Grunddaten!L652&lt;&gt;""),IF(Programme_Grunddaten!L652="Abo / befristete Lizenz",1,0),"")</f>
        <v/>
      </c>
      <c r="F647" s="1" t="str">
        <f>IF(AND(Programme_Grunddaten!$A652="Geprüft",Programme_Grunddaten!M652&lt;&gt;""),IF(Programme_Grunddaten!M652="Ja",1,0),"")</f>
        <v/>
      </c>
      <c r="G647" s="1" t="str">
        <f>IF(AND(Programme_Grunddaten!$A652="Geprüft",Programme_Grunddaten!N652&lt;&gt;""),IF(Programme_Grunddaten!N652="Ja",1,0),"")</f>
        <v/>
      </c>
      <c r="H647" s="1" t="str">
        <f>IF(AND(Programme_Grunddaten!$A652="Geprüft",Programme_Grunddaten!O652&lt;&gt;""),IF(Programme_Grunddaten!O652="Deutschland",0,IF(Programme_Grunddaten!O652="EU",1,2)),"")</f>
        <v/>
      </c>
      <c r="I647" s="1" t="str">
        <f>IF(AND(Programme_Grunddaten!$A652="Geprüft",Programme_Grunddaten!P652&lt;&gt;""),IF(Programme_Grunddaten!P652="Ja",1,0),"")</f>
        <v/>
      </c>
      <c r="J647" s="1" t="str">
        <f>IF(AND(Programme_Grunddaten!$A652="Geprüft",Programme_Grunddaten!Q652&lt;&gt;""),IF(Programme_Grunddaten!Q652="geschlossenes System",1,0),"")</f>
        <v/>
      </c>
      <c r="K647" s="1" t="str">
        <f>IF(AND(Programme_Grunddaten!$A652="Geprüft",Programme_Grunddaten!R652&lt;&gt;""),IF(Programme_Grunddaten!R652="Ja",1,0),"")</f>
        <v/>
      </c>
      <c r="L647" s="1" t="str">
        <f>IF(AND(Programme_Grunddaten!$A652="Geprüft",Programme_Grunddaten!T652&lt;&gt;""),IF(Programme_Grunddaten!T652="Ja",1,0),"")</f>
        <v/>
      </c>
      <c r="M647" s="1" t="str">
        <f>IF(AND(Programme_Grunddaten!$A652="Geprüft",Programme_Grunddaten!U652&lt;&gt;""),IF(Programme_Grunddaten!U652="Ja",1,0),"")</f>
        <v/>
      </c>
      <c r="N647" s="1" t="str">
        <f>IF(AND(Programme_Grunddaten!$A652="Geprüft",Programme_Grunddaten!V652&lt;&gt;""),IF(Programme_Grunddaten!V652="Ja",1,0),"")</f>
        <v/>
      </c>
      <c r="O647" s="1" t="str">
        <f>IF(AND(Programme_Grunddaten!$A652="Geprüft",Programme_Grunddaten!W652&lt;&gt;""),IF(Programme_Grunddaten!W652="Ja",1,0),"")</f>
        <v/>
      </c>
      <c r="P647" s="1" t="str">
        <f>IF(AND(Programme_Grunddaten!$A652="Geprüft",Programme_Grunddaten!X652&lt;&gt;""),IF(Programme_Grunddaten!X652="Ja",1,0),"")</f>
        <v/>
      </c>
      <c r="Q647" s="1" t="str">
        <f>IF(AND(Programme_Grunddaten!$A652="Geprüft",Programme_Grunddaten!Y652&lt;&gt;""),IF(Programme_Grunddaten!Y652="Ja",1,0),"")</f>
        <v/>
      </c>
      <c r="R647" s="1" t="str">
        <f>IF(AND(Programme_Grunddaten!$A652="Geprüft",Programme_Grunddaten!Z652&lt;&gt;""),IF(Programme_Grunddaten!Z652="Ja",1,0),"")</f>
        <v/>
      </c>
      <c r="S647" s="1" t="str">
        <f>IF(AND(Programme_Grunddaten!$A652="Geprüft",Programme_Grunddaten!AA652&lt;&gt;""),IF(Programme_Grunddaten!AA652="monolithisch",1,0),"")</f>
        <v/>
      </c>
      <c r="T647" s="1" t="str">
        <f>IF(AND(Programme_Grunddaten!$A652="Geprüft",Programme_Grunddaten!AB652&lt;&gt;""),IF(Programme_Grunddaten!AB652="Ja",1,0),"")</f>
        <v/>
      </c>
      <c r="U647" s="1" t="str">
        <f>IF(AND(Programme_Grunddaten!$A652="Geprüft",Programme_Grunddaten!AC652&lt;&gt;""),IF(Programme_Grunddaten!AC652="Ja",1,0),"")</f>
        <v/>
      </c>
      <c r="V647" s="1" t="str">
        <f>IF(AND(Programme_Grunddaten!$A652="Geprüft",Programme_Grunddaten!AD652&lt;&gt;""),IF(Programme_Grunddaten!AD652="Ja",1,0),"")</f>
        <v/>
      </c>
      <c r="W647" s="1" t="str">
        <f>IF(AND(Programme_Grunddaten!$A652="Geprüft",Programme_Grunddaten!AE652&lt;&gt;""),IF(Programme_Grunddaten!AE652="Ja",1,0),"")</f>
        <v/>
      </c>
      <c r="X647" s="1" t="str">
        <f>IF(AND(Programme_Grunddaten!$A652="Geprüft",Programme_Grunddaten!AF652&lt;&gt;""),IF(Programme_Grunddaten!AF652="Ja",1,0),"")</f>
        <v/>
      </c>
      <c r="Y647" s="1" t="str">
        <f>IF(AND(Programme_Grunddaten!$A652="Geprüft",Programme_Grunddaten!AG652&lt;&gt;""),IF(Programme_Grunddaten!AG652="Ja",1,0),"")</f>
        <v/>
      </c>
      <c r="Z647" s="1" t="str">
        <f>IF(AND(Programme_Grunddaten!$A652="Geprüft",Programme_Grunddaten!AH652&lt;&gt;""),IF(Programme_Grunddaten!AH652="Ja",1,0),"")</f>
        <v/>
      </c>
      <c r="AA647" s="1" t="str">
        <f>IF(AND(Programme_Grunddaten!$A652="Geprüft",Programme_Grunddaten!AI652&lt;&gt;""),IF(Programme_Grunddaten!AI652="Ja",1,0),"")</f>
        <v/>
      </c>
      <c r="AB647" s="1" t="str">
        <f>IF(AND(Programme_Grunddaten!$A652="Geprüft",Programme_Grunddaten!AJ652&lt;&gt;""),IF(Programme_Grunddaten!AJ652="individuell programmierbar",1,0),"")</f>
        <v/>
      </c>
      <c r="AC647" s="1" t="str">
        <f>IF(AND(Programme_Grunddaten!$A652="Geprüft",Programme_Grunddaten!AK652&lt;&gt;""),IF(Programme_Grunddaten!AK652="Deutsch",0,IF(Programme_Grunddaten!AK652="Deutsch und Englisch",1,2)),"")</f>
        <v/>
      </c>
      <c r="AD647" s="1" t="str">
        <f>IF(AND(Programme_Grunddaten!$A652="Geprüft",Programme_Grunddaten!AL652&lt;&gt;""),IF(Programme_Grunddaten!AL652="Ja",1,0),"")</f>
        <v/>
      </c>
      <c r="AE647" s="1" t="str">
        <f>IF(AND(Programme_Grunddaten!$A652="Geprüft",Programme_Grunddaten!AM652&lt;&gt;""),IF(Programme_Grunddaten!AM652="Ja",1,0),"")</f>
        <v/>
      </c>
      <c r="AF647" s="1" t="str">
        <f>IF(AND(Programme_Grunddaten!$A652="Geprüft",Programme_Grunddaten!AN652&lt;&gt;""),IF(Programme_Grunddaten!AN652="Ja",1,0),"")</f>
        <v/>
      </c>
      <c r="AG647" s="1" t="str">
        <f>IF(AND(Programme_Grunddaten!$A652="Geprüft",Programme_Grunddaten!AO652&lt;&gt;""),IF(Programme_Grunddaten!AO652="Ja",1,0),"")</f>
        <v/>
      </c>
      <c r="AH647" s="1" t="str">
        <f>IF(AND(Programme_Grunddaten!$A652="Geprüft",Programme_Grunddaten!AP652&lt;&gt;""),IF(Programme_Grunddaten!AP652="Ja",1,0),"")</f>
        <v/>
      </c>
      <c r="AI647" s="1" t="str">
        <f>IF(AND(Programme_Grunddaten!$A652="Geprüft",Programme_Grunddaten!AQ652&lt;&gt;""),IF(Programme_Grunddaten!AQ652="Ja",1,0),"")</f>
        <v/>
      </c>
      <c r="AJ647" s="1" t="str">
        <f>IF(AND(Programme_Grunddaten!$A652="Geprüft",Programme_Grunddaten!AR652&lt;&gt;""),IF(Programme_Grunddaten!AR652="Ja",1,0),"")</f>
        <v/>
      </c>
      <c r="AK647" s="1" t="str">
        <f>IF(AND(Programme_Grunddaten!$A652="Geprüft",Programme_Grunddaten!AS652&lt;&gt;""),IF(Programme_Grunddaten!AS652="Ja",1,0),"")</f>
        <v/>
      </c>
      <c r="AL647" s="1" t="str">
        <f>IF(AND(Programme_Grunddaten!$A652="Geprüft",Programme_Grunddaten!AT652&lt;&gt;""),IF(Programme_Grunddaten!AT652="Ja",1,0),"")</f>
        <v/>
      </c>
      <c r="AM647" s="1" t="str">
        <f>IF(AND(Programme_Grunddaten!$A652="Geprüft",Programme_Grunddaten!AU652&lt;&gt;""),IF(Programme_Grunddaten!AU652="Ja",1,0),"")</f>
        <v/>
      </c>
      <c r="AN647" s="1" t="str">
        <f>IF(AND(Programme_Grunddaten!$A652="Geprüft",Programme_Grunddaten!AV652&lt;&gt;""),IF(Programme_Grunddaten!AV652="Ja",1,0),"")</f>
        <v/>
      </c>
    </row>
    <row r="648" spans="1:40" x14ac:dyDescent="0.3">
      <c r="A648" s="1" t="str">
        <f>IF(AND(Programme_Grunddaten!A653="Geprüft",Programme_Grunddaten!B653&lt;&gt;""),Programme_Grunddaten!B653,"")</f>
        <v/>
      </c>
      <c r="B648" s="1" t="str">
        <f>IF(AND(Programme_Grunddaten!$A653="Geprüft",Programme_Grunddaten!I653&lt;&gt;""),IF(Programme_Grunddaten!I653="Ja",1,0),"")</f>
        <v/>
      </c>
      <c r="C648" s="1" t="str">
        <f>IF(AND(Programme_Grunddaten!$A653="Geprüft",Programme_Grunddaten!J653&lt;&gt;""),IF(Programme_Grunddaten!J653="Ja",1,0),"")</f>
        <v/>
      </c>
      <c r="D648" s="1" t="str">
        <f>IF(AND(Programme_Grunddaten!$A653="Geprüft",Programme_Grunddaten!K653&lt;&gt;""),IF(Programme_Grunddaten!K653="Ja",1,0),"")</f>
        <v/>
      </c>
      <c r="E648" s="1" t="str">
        <f>IF(AND(Programme_Grunddaten!$A653="Geprüft",Programme_Grunddaten!L653&lt;&gt;""),IF(Programme_Grunddaten!L653="Abo / befristete Lizenz",1,0),"")</f>
        <v/>
      </c>
      <c r="F648" s="1" t="str">
        <f>IF(AND(Programme_Grunddaten!$A653="Geprüft",Programme_Grunddaten!M653&lt;&gt;""),IF(Programme_Grunddaten!M653="Ja",1,0),"")</f>
        <v/>
      </c>
      <c r="G648" s="1" t="str">
        <f>IF(AND(Programme_Grunddaten!$A653="Geprüft",Programme_Grunddaten!N653&lt;&gt;""),IF(Programme_Grunddaten!N653="Ja",1,0),"")</f>
        <v/>
      </c>
      <c r="H648" s="1" t="str">
        <f>IF(AND(Programme_Grunddaten!$A653="Geprüft",Programme_Grunddaten!O653&lt;&gt;""),IF(Programme_Grunddaten!O653="Deutschland",0,IF(Programme_Grunddaten!O653="EU",1,2)),"")</f>
        <v/>
      </c>
      <c r="I648" s="1" t="str">
        <f>IF(AND(Programme_Grunddaten!$A653="Geprüft",Programme_Grunddaten!P653&lt;&gt;""),IF(Programme_Grunddaten!P653="Ja",1,0),"")</f>
        <v/>
      </c>
      <c r="J648" s="1" t="str">
        <f>IF(AND(Programme_Grunddaten!$A653="Geprüft",Programme_Grunddaten!Q653&lt;&gt;""),IF(Programme_Grunddaten!Q653="geschlossenes System",1,0),"")</f>
        <v/>
      </c>
      <c r="K648" s="1" t="str">
        <f>IF(AND(Programme_Grunddaten!$A653="Geprüft",Programme_Grunddaten!R653&lt;&gt;""),IF(Programme_Grunddaten!R653="Ja",1,0),"")</f>
        <v/>
      </c>
      <c r="L648" s="1" t="str">
        <f>IF(AND(Programme_Grunddaten!$A653="Geprüft",Programme_Grunddaten!T653&lt;&gt;""),IF(Programme_Grunddaten!T653="Ja",1,0),"")</f>
        <v/>
      </c>
      <c r="M648" s="1" t="str">
        <f>IF(AND(Programme_Grunddaten!$A653="Geprüft",Programme_Grunddaten!U653&lt;&gt;""),IF(Programme_Grunddaten!U653="Ja",1,0),"")</f>
        <v/>
      </c>
      <c r="N648" s="1" t="str">
        <f>IF(AND(Programme_Grunddaten!$A653="Geprüft",Programme_Grunddaten!V653&lt;&gt;""),IF(Programme_Grunddaten!V653="Ja",1,0),"")</f>
        <v/>
      </c>
      <c r="O648" s="1" t="str">
        <f>IF(AND(Programme_Grunddaten!$A653="Geprüft",Programme_Grunddaten!W653&lt;&gt;""),IF(Programme_Grunddaten!W653="Ja",1,0),"")</f>
        <v/>
      </c>
      <c r="P648" s="1" t="str">
        <f>IF(AND(Programme_Grunddaten!$A653="Geprüft",Programme_Grunddaten!X653&lt;&gt;""),IF(Programme_Grunddaten!X653="Ja",1,0),"")</f>
        <v/>
      </c>
      <c r="Q648" s="1" t="str">
        <f>IF(AND(Programme_Grunddaten!$A653="Geprüft",Programme_Grunddaten!Y653&lt;&gt;""),IF(Programme_Grunddaten!Y653="Ja",1,0),"")</f>
        <v/>
      </c>
      <c r="R648" s="1" t="str">
        <f>IF(AND(Programme_Grunddaten!$A653="Geprüft",Programme_Grunddaten!Z653&lt;&gt;""),IF(Programme_Grunddaten!Z653="Ja",1,0),"")</f>
        <v/>
      </c>
      <c r="S648" s="1" t="str">
        <f>IF(AND(Programme_Grunddaten!$A653="Geprüft",Programme_Grunddaten!AA653&lt;&gt;""),IF(Programme_Grunddaten!AA653="monolithisch",1,0),"")</f>
        <v/>
      </c>
      <c r="T648" s="1" t="str">
        <f>IF(AND(Programme_Grunddaten!$A653="Geprüft",Programme_Grunddaten!AB653&lt;&gt;""),IF(Programme_Grunddaten!AB653="Ja",1,0),"")</f>
        <v/>
      </c>
      <c r="U648" s="1" t="str">
        <f>IF(AND(Programme_Grunddaten!$A653="Geprüft",Programme_Grunddaten!AC653&lt;&gt;""),IF(Programme_Grunddaten!AC653="Ja",1,0),"")</f>
        <v/>
      </c>
      <c r="V648" s="1" t="str">
        <f>IF(AND(Programme_Grunddaten!$A653="Geprüft",Programme_Grunddaten!AD653&lt;&gt;""),IF(Programme_Grunddaten!AD653="Ja",1,0),"")</f>
        <v/>
      </c>
      <c r="W648" s="1" t="str">
        <f>IF(AND(Programme_Grunddaten!$A653="Geprüft",Programme_Grunddaten!AE653&lt;&gt;""),IF(Programme_Grunddaten!AE653="Ja",1,0),"")</f>
        <v/>
      </c>
      <c r="X648" s="1" t="str">
        <f>IF(AND(Programme_Grunddaten!$A653="Geprüft",Programme_Grunddaten!AF653&lt;&gt;""),IF(Programme_Grunddaten!AF653="Ja",1,0),"")</f>
        <v/>
      </c>
      <c r="Y648" s="1" t="str">
        <f>IF(AND(Programme_Grunddaten!$A653="Geprüft",Programme_Grunddaten!AG653&lt;&gt;""),IF(Programme_Grunddaten!AG653="Ja",1,0),"")</f>
        <v/>
      </c>
      <c r="Z648" s="1" t="str">
        <f>IF(AND(Programme_Grunddaten!$A653="Geprüft",Programme_Grunddaten!AH653&lt;&gt;""),IF(Programme_Grunddaten!AH653="Ja",1,0),"")</f>
        <v/>
      </c>
      <c r="AA648" s="1" t="str">
        <f>IF(AND(Programme_Grunddaten!$A653="Geprüft",Programme_Grunddaten!AI653&lt;&gt;""),IF(Programme_Grunddaten!AI653="Ja",1,0),"")</f>
        <v/>
      </c>
      <c r="AB648" s="1" t="str">
        <f>IF(AND(Programme_Grunddaten!$A653="Geprüft",Programme_Grunddaten!AJ653&lt;&gt;""),IF(Programme_Grunddaten!AJ653="individuell programmierbar",1,0),"")</f>
        <v/>
      </c>
      <c r="AC648" s="1" t="str">
        <f>IF(AND(Programme_Grunddaten!$A653="Geprüft",Programme_Grunddaten!AK653&lt;&gt;""),IF(Programme_Grunddaten!AK653="Deutsch",0,IF(Programme_Grunddaten!AK653="Deutsch und Englisch",1,2)),"")</f>
        <v/>
      </c>
      <c r="AD648" s="1" t="str">
        <f>IF(AND(Programme_Grunddaten!$A653="Geprüft",Programme_Grunddaten!AL653&lt;&gt;""),IF(Programme_Grunddaten!AL653="Ja",1,0),"")</f>
        <v/>
      </c>
      <c r="AE648" s="1" t="str">
        <f>IF(AND(Programme_Grunddaten!$A653="Geprüft",Programme_Grunddaten!AM653&lt;&gt;""),IF(Programme_Grunddaten!AM653="Ja",1,0),"")</f>
        <v/>
      </c>
      <c r="AF648" s="1" t="str">
        <f>IF(AND(Programme_Grunddaten!$A653="Geprüft",Programme_Grunddaten!AN653&lt;&gt;""),IF(Programme_Grunddaten!AN653="Ja",1,0),"")</f>
        <v/>
      </c>
      <c r="AG648" s="1" t="str">
        <f>IF(AND(Programme_Grunddaten!$A653="Geprüft",Programme_Grunddaten!AO653&lt;&gt;""),IF(Programme_Grunddaten!AO653="Ja",1,0),"")</f>
        <v/>
      </c>
      <c r="AH648" s="1" t="str">
        <f>IF(AND(Programme_Grunddaten!$A653="Geprüft",Programme_Grunddaten!AP653&lt;&gt;""),IF(Programme_Grunddaten!AP653="Ja",1,0),"")</f>
        <v/>
      </c>
      <c r="AI648" s="1" t="str">
        <f>IF(AND(Programme_Grunddaten!$A653="Geprüft",Programme_Grunddaten!AQ653&lt;&gt;""),IF(Programme_Grunddaten!AQ653="Ja",1,0),"")</f>
        <v/>
      </c>
      <c r="AJ648" s="1" t="str">
        <f>IF(AND(Programme_Grunddaten!$A653="Geprüft",Programme_Grunddaten!AR653&lt;&gt;""),IF(Programme_Grunddaten!AR653="Ja",1,0),"")</f>
        <v/>
      </c>
      <c r="AK648" s="1" t="str">
        <f>IF(AND(Programme_Grunddaten!$A653="Geprüft",Programme_Grunddaten!AS653&lt;&gt;""),IF(Programme_Grunddaten!AS653="Ja",1,0),"")</f>
        <v/>
      </c>
      <c r="AL648" s="1" t="str">
        <f>IF(AND(Programme_Grunddaten!$A653="Geprüft",Programme_Grunddaten!AT653&lt;&gt;""),IF(Programme_Grunddaten!AT653="Ja",1,0),"")</f>
        <v/>
      </c>
      <c r="AM648" s="1" t="str">
        <f>IF(AND(Programme_Grunddaten!$A653="Geprüft",Programme_Grunddaten!AU653&lt;&gt;""),IF(Programme_Grunddaten!AU653="Ja",1,0),"")</f>
        <v/>
      </c>
      <c r="AN648" s="1" t="str">
        <f>IF(AND(Programme_Grunddaten!$A653="Geprüft",Programme_Grunddaten!AV653&lt;&gt;""),IF(Programme_Grunddaten!AV653="Ja",1,0),"")</f>
        <v/>
      </c>
    </row>
    <row r="649" spans="1:40" x14ac:dyDescent="0.3">
      <c r="A649" s="1" t="str">
        <f>IF(AND(Programme_Grunddaten!A654="Geprüft",Programme_Grunddaten!B654&lt;&gt;""),Programme_Grunddaten!B654,"")</f>
        <v/>
      </c>
      <c r="B649" s="1" t="str">
        <f>IF(AND(Programme_Grunddaten!$A654="Geprüft",Programme_Grunddaten!I654&lt;&gt;""),IF(Programme_Grunddaten!I654="Ja",1,0),"")</f>
        <v/>
      </c>
      <c r="C649" s="1" t="str">
        <f>IF(AND(Programme_Grunddaten!$A654="Geprüft",Programme_Grunddaten!J654&lt;&gt;""),IF(Programme_Grunddaten!J654="Ja",1,0),"")</f>
        <v/>
      </c>
      <c r="D649" s="1" t="str">
        <f>IF(AND(Programme_Grunddaten!$A654="Geprüft",Programme_Grunddaten!K654&lt;&gt;""),IF(Programme_Grunddaten!K654="Ja",1,0),"")</f>
        <v/>
      </c>
      <c r="E649" s="1" t="str">
        <f>IF(AND(Programme_Grunddaten!$A654="Geprüft",Programme_Grunddaten!L654&lt;&gt;""),IF(Programme_Grunddaten!L654="Abo / befristete Lizenz",1,0),"")</f>
        <v/>
      </c>
      <c r="F649" s="1" t="str">
        <f>IF(AND(Programme_Grunddaten!$A654="Geprüft",Programme_Grunddaten!M654&lt;&gt;""),IF(Programme_Grunddaten!M654="Ja",1,0),"")</f>
        <v/>
      </c>
      <c r="G649" s="1" t="str">
        <f>IF(AND(Programme_Grunddaten!$A654="Geprüft",Programme_Grunddaten!N654&lt;&gt;""),IF(Programme_Grunddaten!N654="Ja",1,0),"")</f>
        <v/>
      </c>
      <c r="H649" s="1" t="str">
        <f>IF(AND(Programme_Grunddaten!$A654="Geprüft",Programme_Grunddaten!O654&lt;&gt;""),IF(Programme_Grunddaten!O654="Deutschland",0,IF(Programme_Grunddaten!O654="EU",1,2)),"")</f>
        <v/>
      </c>
      <c r="I649" s="1" t="str">
        <f>IF(AND(Programme_Grunddaten!$A654="Geprüft",Programme_Grunddaten!P654&lt;&gt;""),IF(Programme_Grunddaten!P654="Ja",1,0),"")</f>
        <v/>
      </c>
      <c r="J649" s="1" t="str">
        <f>IF(AND(Programme_Grunddaten!$A654="Geprüft",Programme_Grunddaten!Q654&lt;&gt;""),IF(Programme_Grunddaten!Q654="geschlossenes System",1,0),"")</f>
        <v/>
      </c>
      <c r="K649" s="1" t="str">
        <f>IF(AND(Programme_Grunddaten!$A654="Geprüft",Programme_Grunddaten!R654&lt;&gt;""),IF(Programme_Grunddaten!R654="Ja",1,0),"")</f>
        <v/>
      </c>
      <c r="L649" s="1" t="str">
        <f>IF(AND(Programme_Grunddaten!$A654="Geprüft",Programme_Grunddaten!T654&lt;&gt;""),IF(Programme_Grunddaten!T654="Ja",1,0),"")</f>
        <v/>
      </c>
      <c r="M649" s="1" t="str">
        <f>IF(AND(Programme_Grunddaten!$A654="Geprüft",Programme_Grunddaten!U654&lt;&gt;""),IF(Programme_Grunddaten!U654="Ja",1,0),"")</f>
        <v/>
      </c>
      <c r="N649" s="1" t="str">
        <f>IF(AND(Programme_Grunddaten!$A654="Geprüft",Programme_Grunddaten!V654&lt;&gt;""),IF(Programme_Grunddaten!V654="Ja",1,0),"")</f>
        <v/>
      </c>
      <c r="O649" s="1" t="str">
        <f>IF(AND(Programme_Grunddaten!$A654="Geprüft",Programme_Grunddaten!W654&lt;&gt;""),IF(Programme_Grunddaten!W654="Ja",1,0),"")</f>
        <v/>
      </c>
      <c r="P649" s="1" t="str">
        <f>IF(AND(Programme_Grunddaten!$A654="Geprüft",Programme_Grunddaten!X654&lt;&gt;""),IF(Programme_Grunddaten!X654="Ja",1,0),"")</f>
        <v/>
      </c>
      <c r="Q649" s="1" t="str">
        <f>IF(AND(Programme_Grunddaten!$A654="Geprüft",Programme_Grunddaten!Y654&lt;&gt;""),IF(Programme_Grunddaten!Y654="Ja",1,0),"")</f>
        <v/>
      </c>
      <c r="R649" s="1" t="str">
        <f>IF(AND(Programme_Grunddaten!$A654="Geprüft",Programme_Grunddaten!Z654&lt;&gt;""),IF(Programme_Grunddaten!Z654="Ja",1,0),"")</f>
        <v/>
      </c>
      <c r="S649" s="1" t="str">
        <f>IF(AND(Programme_Grunddaten!$A654="Geprüft",Programme_Grunddaten!AA654&lt;&gt;""),IF(Programme_Grunddaten!AA654="monolithisch",1,0),"")</f>
        <v/>
      </c>
      <c r="T649" s="1" t="str">
        <f>IF(AND(Programme_Grunddaten!$A654="Geprüft",Programme_Grunddaten!AB654&lt;&gt;""),IF(Programme_Grunddaten!AB654="Ja",1,0),"")</f>
        <v/>
      </c>
      <c r="U649" s="1" t="str">
        <f>IF(AND(Programme_Grunddaten!$A654="Geprüft",Programme_Grunddaten!AC654&lt;&gt;""),IF(Programme_Grunddaten!AC654="Ja",1,0),"")</f>
        <v/>
      </c>
      <c r="V649" s="1" t="str">
        <f>IF(AND(Programme_Grunddaten!$A654="Geprüft",Programme_Grunddaten!AD654&lt;&gt;""),IF(Programme_Grunddaten!AD654="Ja",1,0),"")</f>
        <v/>
      </c>
      <c r="W649" s="1" t="str">
        <f>IF(AND(Programme_Grunddaten!$A654="Geprüft",Programme_Grunddaten!AE654&lt;&gt;""),IF(Programme_Grunddaten!AE654="Ja",1,0),"")</f>
        <v/>
      </c>
      <c r="X649" s="1" t="str">
        <f>IF(AND(Programme_Grunddaten!$A654="Geprüft",Programme_Grunddaten!AF654&lt;&gt;""),IF(Programme_Grunddaten!AF654="Ja",1,0),"")</f>
        <v/>
      </c>
      <c r="Y649" s="1" t="str">
        <f>IF(AND(Programme_Grunddaten!$A654="Geprüft",Programme_Grunddaten!AG654&lt;&gt;""),IF(Programme_Grunddaten!AG654="Ja",1,0),"")</f>
        <v/>
      </c>
      <c r="Z649" s="1" t="str">
        <f>IF(AND(Programme_Grunddaten!$A654="Geprüft",Programme_Grunddaten!AH654&lt;&gt;""),IF(Programme_Grunddaten!AH654="Ja",1,0),"")</f>
        <v/>
      </c>
      <c r="AA649" s="1" t="str">
        <f>IF(AND(Programme_Grunddaten!$A654="Geprüft",Programme_Grunddaten!AI654&lt;&gt;""),IF(Programme_Grunddaten!AI654="Ja",1,0),"")</f>
        <v/>
      </c>
      <c r="AB649" s="1" t="str">
        <f>IF(AND(Programme_Grunddaten!$A654="Geprüft",Programme_Grunddaten!AJ654&lt;&gt;""),IF(Programme_Grunddaten!AJ654="individuell programmierbar",1,0),"")</f>
        <v/>
      </c>
      <c r="AC649" s="1" t="str">
        <f>IF(AND(Programme_Grunddaten!$A654="Geprüft",Programme_Grunddaten!AK654&lt;&gt;""),IF(Programme_Grunddaten!AK654="Deutsch",0,IF(Programme_Grunddaten!AK654="Deutsch und Englisch",1,2)),"")</f>
        <v/>
      </c>
      <c r="AD649" s="1" t="str">
        <f>IF(AND(Programme_Grunddaten!$A654="Geprüft",Programme_Grunddaten!AL654&lt;&gt;""),IF(Programme_Grunddaten!AL654="Ja",1,0),"")</f>
        <v/>
      </c>
      <c r="AE649" s="1" t="str">
        <f>IF(AND(Programme_Grunddaten!$A654="Geprüft",Programme_Grunddaten!AM654&lt;&gt;""),IF(Programme_Grunddaten!AM654="Ja",1,0),"")</f>
        <v/>
      </c>
      <c r="AF649" s="1" t="str">
        <f>IF(AND(Programme_Grunddaten!$A654="Geprüft",Programme_Grunddaten!AN654&lt;&gt;""),IF(Programme_Grunddaten!AN654="Ja",1,0),"")</f>
        <v/>
      </c>
      <c r="AG649" s="1" t="str">
        <f>IF(AND(Programme_Grunddaten!$A654="Geprüft",Programme_Grunddaten!AO654&lt;&gt;""),IF(Programme_Grunddaten!AO654="Ja",1,0),"")</f>
        <v/>
      </c>
      <c r="AH649" s="1" t="str">
        <f>IF(AND(Programme_Grunddaten!$A654="Geprüft",Programme_Grunddaten!AP654&lt;&gt;""),IF(Programme_Grunddaten!AP654="Ja",1,0),"")</f>
        <v/>
      </c>
      <c r="AI649" s="1" t="str">
        <f>IF(AND(Programme_Grunddaten!$A654="Geprüft",Programme_Grunddaten!AQ654&lt;&gt;""),IF(Programme_Grunddaten!AQ654="Ja",1,0),"")</f>
        <v/>
      </c>
      <c r="AJ649" s="1" t="str">
        <f>IF(AND(Programme_Grunddaten!$A654="Geprüft",Programme_Grunddaten!AR654&lt;&gt;""),IF(Programme_Grunddaten!AR654="Ja",1,0),"")</f>
        <v/>
      </c>
      <c r="AK649" s="1" t="str">
        <f>IF(AND(Programme_Grunddaten!$A654="Geprüft",Programme_Grunddaten!AS654&lt;&gt;""),IF(Programme_Grunddaten!AS654="Ja",1,0),"")</f>
        <v/>
      </c>
      <c r="AL649" s="1" t="str">
        <f>IF(AND(Programme_Grunddaten!$A654="Geprüft",Programme_Grunddaten!AT654&lt;&gt;""),IF(Programme_Grunddaten!AT654="Ja",1,0),"")</f>
        <v/>
      </c>
      <c r="AM649" s="1" t="str">
        <f>IF(AND(Programme_Grunddaten!$A654="Geprüft",Programme_Grunddaten!AU654&lt;&gt;""),IF(Programme_Grunddaten!AU654="Ja",1,0),"")</f>
        <v/>
      </c>
      <c r="AN649" s="1" t="str">
        <f>IF(AND(Programme_Grunddaten!$A654="Geprüft",Programme_Grunddaten!AV654&lt;&gt;""),IF(Programme_Grunddaten!AV654="Ja",1,0),"")</f>
        <v/>
      </c>
    </row>
    <row r="650" spans="1:40" x14ac:dyDescent="0.3">
      <c r="A650" s="1" t="str">
        <f>IF(AND(Programme_Grunddaten!A655="Geprüft",Programme_Grunddaten!B655&lt;&gt;""),Programme_Grunddaten!B655,"")</f>
        <v/>
      </c>
      <c r="B650" s="1" t="str">
        <f>IF(AND(Programme_Grunddaten!$A655="Geprüft",Programme_Grunddaten!I655&lt;&gt;""),IF(Programme_Grunddaten!I655="Ja",1,0),"")</f>
        <v/>
      </c>
      <c r="C650" s="1" t="str">
        <f>IF(AND(Programme_Grunddaten!$A655="Geprüft",Programme_Grunddaten!J655&lt;&gt;""),IF(Programme_Grunddaten!J655="Ja",1,0),"")</f>
        <v/>
      </c>
      <c r="D650" s="1" t="str">
        <f>IF(AND(Programme_Grunddaten!$A655="Geprüft",Programme_Grunddaten!K655&lt;&gt;""),IF(Programme_Grunddaten!K655="Ja",1,0),"")</f>
        <v/>
      </c>
      <c r="E650" s="1" t="str">
        <f>IF(AND(Programme_Grunddaten!$A655="Geprüft",Programme_Grunddaten!L655&lt;&gt;""),IF(Programme_Grunddaten!L655="Abo / befristete Lizenz",1,0),"")</f>
        <v/>
      </c>
      <c r="F650" s="1" t="str">
        <f>IF(AND(Programme_Grunddaten!$A655="Geprüft",Programme_Grunddaten!M655&lt;&gt;""),IF(Programme_Grunddaten!M655="Ja",1,0),"")</f>
        <v/>
      </c>
      <c r="G650" s="1" t="str">
        <f>IF(AND(Programme_Grunddaten!$A655="Geprüft",Programme_Grunddaten!N655&lt;&gt;""),IF(Programme_Grunddaten!N655="Ja",1,0),"")</f>
        <v/>
      </c>
      <c r="H650" s="1" t="str">
        <f>IF(AND(Programme_Grunddaten!$A655="Geprüft",Programme_Grunddaten!O655&lt;&gt;""),IF(Programme_Grunddaten!O655="Deutschland",0,IF(Programme_Grunddaten!O655="EU",1,2)),"")</f>
        <v/>
      </c>
      <c r="I650" s="1" t="str">
        <f>IF(AND(Programme_Grunddaten!$A655="Geprüft",Programme_Grunddaten!P655&lt;&gt;""),IF(Programme_Grunddaten!P655="Ja",1,0),"")</f>
        <v/>
      </c>
      <c r="J650" s="1" t="str">
        <f>IF(AND(Programme_Grunddaten!$A655="Geprüft",Programme_Grunddaten!Q655&lt;&gt;""),IF(Programme_Grunddaten!Q655="geschlossenes System",1,0),"")</f>
        <v/>
      </c>
      <c r="K650" s="1" t="str">
        <f>IF(AND(Programme_Grunddaten!$A655="Geprüft",Programme_Grunddaten!R655&lt;&gt;""),IF(Programme_Grunddaten!R655="Ja",1,0),"")</f>
        <v/>
      </c>
      <c r="L650" s="1" t="str">
        <f>IF(AND(Programme_Grunddaten!$A655="Geprüft",Programme_Grunddaten!T655&lt;&gt;""),IF(Programme_Grunddaten!T655="Ja",1,0),"")</f>
        <v/>
      </c>
      <c r="M650" s="1" t="str">
        <f>IF(AND(Programme_Grunddaten!$A655="Geprüft",Programme_Grunddaten!U655&lt;&gt;""),IF(Programme_Grunddaten!U655="Ja",1,0),"")</f>
        <v/>
      </c>
      <c r="N650" s="1" t="str">
        <f>IF(AND(Programme_Grunddaten!$A655="Geprüft",Programme_Grunddaten!V655&lt;&gt;""),IF(Programme_Grunddaten!V655="Ja",1,0),"")</f>
        <v/>
      </c>
      <c r="O650" s="1" t="str">
        <f>IF(AND(Programme_Grunddaten!$A655="Geprüft",Programme_Grunddaten!W655&lt;&gt;""),IF(Programme_Grunddaten!W655="Ja",1,0),"")</f>
        <v/>
      </c>
      <c r="P650" s="1" t="str">
        <f>IF(AND(Programme_Grunddaten!$A655="Geprüft",Programme_Grunddaten!X655&lt;&gt;""),IF(Programme_Grunddaten!X655="Ja",1,0),"")</f>
        <v/>
      </c>
      <c r="Q650" s="1" t="str">
        <f>IF(AND(Programme_Grunddaten!$A655="Geprüft",Programme_Grunddaten!Y655&lt;&gt;""),IF(Programme_Grunddaten!Y655="Ja",1,0),"")</f>
        <v/>
      </c>
      <c r="R650" s="1" t="str">
        <f>IF(AND(Programme_Grunddaten!$A655="Geprüft",Programme_Grunddaten!Z655&lt;&gt;""),IF(Programme_Grunddaten!Z655="Ja",1,0),"")</f>
        <v/>
      </c>
      <c r="S650" s="1" t="str">
        <f>IF(AND(Programme_Grunddaten!$A655="Geprüft",Programme_Grunddaten!AA655&lt;&gt;""),IF(Programme_Grunddaten!AA655="monolithisch",1,0),"")</f>
        <v/>
      </c>
      <c r="T650" s="1" t="str">
        <f>IF(AND(Programme_Grunddaten!$A655="Geprüft",Programme_Grunddaten!AB655&lt;&gt;""),IF(Programme_Grunddaten!AB655="Ja",1,0),"")</f>
        <v/>
      </c>
      <c r="U650" s="1" t="str">
        <f>IF(AND(Programme_Grunddaten!$A655="Geprüft",Programme_Grunddaten!AC655&lt;&gt;""),IF(Programme_Grunddaten!AC655="Ja",1,0),"")</f>
        <v/>
      </c>
      <c r="V650" s="1" t="str">
        <f>IF(AND(Programme_Grunddaten!$A655="Geprüft",Programme_Grunddaten!AD655&lt;&gt;""),IF(Programme_Grunddaten!AD655="Ja",1,0),"")</f>
        <v/>
      </c>
      <c r="W650" s="1" t="str">
        <f>IF(AND(Programme_Grunddaten!$A655="Geprüft",Programme_Grunddaten!AE655&lt;&gt;""),IF(Programme_Grunddaten!AE655="Ja",1,0),"")</f>
        <v/>
      </c>
      <c r="X650" s="1" t="str">
        <f>IF(AND(Programme_Grunddaten!$A655="Geprüft",Programme_Grunddaten!AF655&lt;&gt;""),IF(Programme_Grunddaten!AF655="Ja",1,0),"")</f>
        <v/>
      </c>
      <c r="Y650" s="1" t="str">
        <f>IF(AND(Programme_Grunddaten!$A655="Geprüft",Programme_Grunddaten!AG655&lt;&gt;""),IF(Programme_Grunddaten!AG655="Ja",1,0),"")</f>
        <v/>
      </c>
      <c r="Z650" s="1" t="str">
        <f>IF(AND(Programme_Grunddaten!$A655="Geprüft",Programme_Grunddaten!AH655&lt;&gt;""),IF(Programme_Grunddaten!AH655="Ja",1,0),"")</f>
        <v/>
      </c>
      <c r="AA650" s="1" t="str">
        <f>IF(AND(Programme_Grunddaten!$A655="Geprüft",Programme_Grunddaten!AI655&lt;&gt;""),IF(Programme_Grunddaten!AI655="Ja",1,0),"")</f>
        <v/>
      </c>
      <c r="AB650" s="1" t="str">
        <f>IF(AND(Programme_Grunddaten!$A655="Geprüft",Programme_Grunddaten!AJ655&lt;&gt;""),IF(Programme_Grunddaten!AJ655="individuell programmierbar",1,0),"")</f>
        <v/>
      </c>
      <c r="AC650" s="1" t="str">
        <f>IF(AND(Programme_Grunddaten!$A655="Geprüft",Programme_Grunddaten!AK655&lt;&gt;""),IF(Programme_Grunddaten!AK655="Deutsch",0,IF(Programme_Grunddaten!AK655="Deutsch und Englisch",1,2)),"")</f>
        <v/>
      </c>
      <c r="AD650" s="1" t="str">
        <f>IF(AND(Programme_Grunddaten!$A655="Geprüft",Programme_Grunddaten!AL655&lt;&gt;""),IF(Programme_Grunddaten!AL655="Ja",1,0),"")</f>
        <v/>
      </c>
      <c r="AE650" s="1" t="str">
        <f>IF(AND(Programme_Grunddaten!$A655="Geprüft",Programme_Grunddaten!AM655&lt;&gt;""),IF(Programme_Grunddaten!AM655="Ja",1,0),"")</f>
        <v/>
      </c>
      <c r="AF650" s="1" t="str">
        <f>IF(AND(Programme_Grunddaten!$A655="Geprüft",Programme_Grunddaten!AN655&lt;&gt;""),IF(Programme_Grunddaten!AN655="Ja",1,0),"")</f>
        <v/>
      </c>
      <c r="AG650" s="1" t="str">
        <f>IF(AND(Programme_Grunddaten!$A655="Geprüft",Programme_Grunddaten!AO655&lt;&gt;""),IF(Programme_Grunddaten!AO655="Ja",1,0),"")</f>
        <v/>
      </c>
      <c r="AH650" s="1" t="str">
        <f>IF(AND(Programme_Grunddaten!$A655="Geprüft",Programme_Grunddaten!AP655&lt;&gt;""),IF(Programme_Grunddaten!AP655="Ja",1,0),"")</f>
        <v/>
      </c>
      <c r="AI650" s="1" t="str">
        <f>IF(AND(Programme_Grunddaten!$A655="Geprüft",Programme_Grunddaten!AQ655&lt;&gt;""),IF(Programme_Grunddaten!AQ655="Ja",1,0),"")</f>
        <v/>
      </c>
      <c r="AJ650" s="1" t="str">
        <f>IF(AND(Programme_Grunddaten!$A655="Geprüft",Programme_Grunddaten!AR655&lt;&gt;""),IF(Programme_Grunddaten!AR655="Ja",1,0),"")</f>
        <v/>
      </c>
      <c r="AK650" s="1" t="str">
        <f>IF(AND(Programme_Grunddaten!$A655="Geprüft",Programme_Grunddaten!AS655&lt;&gt;""),IF(Programme_Grunddaten!AS655="Ja",1,0),"")</f>
        <v/>
      </c>
      <c r="AL650" s="1" t="str">
        <f>IF(AND(Programme_Grunddaten!$A655="Geprüft",Programme_Grunddaten!AT655&lt;&gt;""),IF(Programme_Grunddaten!AT655="Ja",1,0),"")</f>
        <v/>
      </c>
      <c r="AM650" s="1" t="str">
        <f>IF(AND(Programme_Grunddaten!$A655="Geprüft",Programme_Grunddaten!AU655&lt;&gt;""),IF(Programme_Grunddaten!AU655="Ja",1,0),"")</f>
        <v/>
      </c>
      <c r="AN650" s="1" t="str">
        <f>IF(AND(Programme_Grunddaten!$A655="Geprüft",Programme_Grunddaten!AV655&lt;&gt;""),IF(Programme_Grunddaten!AV655="Ja",1,0),"")</f>
        <v/>
      </c>
    </row>
    <row r="651" spans="1:40" x14ac:dyDescent="0.3">
      <c r="A651" s="1" t="str">
        <f>IF(AND(Programme_Grunddaten!A656="Geprüft",Programme_Grunddaten!B656&lt;&gt;""),Programme_Grunddaten!B656,"")</f>
        <v/>
      </c>
      <c r="B651" s="1" t="str">
        <f>IF(AND(Programme_Grunddaten!$A656="Geprüft",Programme_Grunddaten!I656&lt;&gt;""),IF(Programme_Grunddaten!I656="Ja",1,0),"")</f>
        <v/>
      </c>
      <c r="C651" s="1" t="str">
        <f>IF(AND(Programme_Grunddaten!$A656="Geprüft",Programme_Grunddaten!J656&lt;&gt;""),IF(Programme_Grunddaten!J656="Ja",1,0),"")</f>
        <v/>
      </c>
      <c r="D651" s="1" t="str">
        <f>IF(AND(Programme_Grunddaten!$A656="Geprüft",Programme_Grunddaten!K656&lt;&gt;""),IF(Programme_Grunddaten!K656="Ja",1,0),"")</f>
        <v/>
      </c>
      <c r="E651" s="1" t="str">
        <f>IF(AND(Programme_Grunddaten!$A656="Geprüft",Programme_Grunddaten!L656&lt;&gt;""),IF(Programme_Grunddaten!L656="Abo / befristete Lizenz",1,0),"")</f>
        <v/>
      </c>
      <c r="F651" s="1" t="str">
        <f>IF(AND(Programme_Grunddaten!$A656="Geprüft",Programme_Grunddaten!M656&lt;&gt;""),IF(Programme_Grunddaten!M656="Ja",1,0),"")</f>
        <v/>
      </c>
      <c r="G651" s="1" t="str">
        <f>IF(AND(Programme_Grunddaten!$A656="Geprüft",Programme_Grunddaten!N656&lt;&gt;""),IF(Programme_Grunddaten!N656="Ja",1,0),"")</f>
        <v/>
      </c>
      <c r="H651" s="1" t="str">
        <f>IF(AND(Programme_Grunddaten!$A656="Geprüft",Programme_Grunddaten!O656&lt;&gt;""),IF(Programme_Grunddaten!O656="Deutschland",0,IF(Programme_Grunddaten!O656="EU",1,2)),"")</f>
        <v/>
      </c>
      <c r="I651" s="1" t="str">
        <f>IF(AND(Programme_Grunddaten!$A656="Geprüft",Programme_Grunddaten!P656&lt;&gt;""),IF(Programme_Grunddaten!P656="Ja",1,0),"")</f>
        <v/>
      </c>
      <c r="J651" s="1" t="str">
        <f>IF(AND(Programme_Grunddaten!$A656="Geprüft",Programme_Grunddaten!Q656&lt;&gt;""),IF(Programme_Grunddaten!Q656="geschlossenes System",1,0),"")</f>
        <v/>
      </c>
      <c r="K651" s="1" t="str">
        <f>IF(AND(Programme_Grunddaten!$A656="Geprüft",Programme_Grunddaten!R656&lt;&gt;""),IF(Programme_Grunddaten!R656="Ja",1,0),"")</f>
        <v/>
      </c>
      <c r="L651" s="1" t="str">
        <f>IF(AND(Programme_Grunddaten!$A656="Geprüft",Programme_Grunddaten!T656&lt;&gt;""),IF(Programme_Grunddaten!T656="Ja",1,0),"")</f>
        <v/>
      </c>
      <c r="M651" s="1" t="str">
        <f>IF(AND(Programme_Grunddaten!$A656="Geprüft",Programme_Grunddaten!U656&lt;&gt;""),IF(Programme_Grunddaten!U656="Ja",1,0),"")</f>
        <v/>
      </c>
      <c r="N651" s="1" t="str">
        <f>IF(AND(Programme_Grunddaten!$A656="Geprüft",Programme_Grunddaten!V656&lt;&gt;""),IF(Programme_Grunddaten!V656="Ja",1,0),"")</f>
        <v/>
      </c>
      <c r="O651" s="1" t="str">
        <f>IF(AND(Programme_Grunddaten!$A656="Geprüft",Programme_Grunddaten!W656&lt;&gt;""),IF(Programme_Grunddaten!W656="Ja",1,0),"")</f>
        <v/>
      </c>
      <c r="P651" s="1" t="str">
        <f>IF(AND(Programme_Grunddaten!$A656="Geprüft",Programme_Grunddaten!X656&lt;&gt;""),IF(Programme_Grunddaten!X656="Ja",1,0),"")</f>
        <v/>
      </c>
      <c r="Q651" s="1" t="str">
        <f>IF(AND(Programme_Grunddaten!$A656="Geprüft",Programme_Grunddaten!Y656&lt;&gt;""),IF(Programme_Grunddaten!Y656="Ja",1,0),"")</f>
        <v/>
      </c>
      <c r="R651" s="1" t="str">
        <f>IF(AND(Programme_Grunddaten!$A656="Geprüft",Programme_Grunddaten!Z656&lt;&gt;""),IF(Programme_Grunddaten!Z656="Ja",1,0),"")</f>
        <v/>
      </c>
      <c r="S651" s="1" t="str">
        <f>IF(AND(Programme_Grunddaten!$A656="Geprüft",Programme_Grunddaten!AA656&lt;&gt;""),IF(Programme_Grunddaten!AA656="monolithisch",1,0),"")</f>
        <v/>
      </c>
      <c r="T651" s="1" t="str">
        <f>IF(AND(Programme_Grunddaten!$A656="Geprüft",Programme_Grunddaten!AB656&lt;&gt;""),IF(Programme_Grunddaten!AB656="Ja",1,0),"")</f>
        <v/>
      </c>
      <c r="U651" s="1" t="str">
        <f>IF(AND(Programme_Grunddaten!$A656="Geprüft",Programme_Grunddaten!AC656&lt;&gt;""),IF(Programme_Grunddaten!AC656="Ja",1,0),"")</f>
        <v/>
      </c>
      <c r="V651" s="1" t="str">
        <f>IF(AND(Programme_Grunddaten!$A656="Geprüft",Programme_Grunddaten!AD656&lt;&gt;""),IF(Programme_Grunddaten!AD656="Ja",1,0),"")</f>
        <v/>
      </c>
      <c r="W651" s="1" t="str">
        <f>IF(AND(Programme_Grunddaten!$A656="Geprüft",Programme_Grunddaten!AE656&lt;&gt;""),IF(Programme_Grunddaten!AE656="Ja",1,0),"")</f>
        <v/>
      </c>
      <c r="X651" s="1" t="str">
        <f>IF(AND(Programme_Grunddaten!$A656="Geprüft",Programme_Grunddaten!AF656&lt;&gt;""),IF(Programme_Grunddaten!AF656="Ja",1,0),"")</f>
        <v/>
      </c>
      <c r="Y651" s="1" t="str">
        <f>IF(AND(Programme_Grunddaten!$A656="Geprüft",Programme_Grunddaten!AG656&lt;&gt;""),IF(Programme_Grunddaten!AG656="Ja",1,0),"")</f>
        <v/>
      </c>
      <c r="Z651" s="1" t="str">
        <f>IF(AND(Programme_Grunddaten!$A656="Geprüft",Programme_Grunddaten!AH656&lt;&gt;""),IF(Programme_Grunddaten!AH656="Ja",1,0),"")</f>
        <v/>
      </c>
      <c r="AA651" s="1" t="str">
        <f>IF(AND(Programme_Grunddaten!$A656="Geprüft",Programme_Grunddaten!AI656&lt;&gt;""),IF(Programme_Grunddaten!AI656="Ja",1,0),"")</f>
        <v/>
      </c>
      <c r="AB651" s="1" t="str">
        <f>IF(AND(Programme_Grunddaten!$A656="Geprüft",Programme_Grunddaten!AJ656&lt;&gt;""),IF(Programme_Grunddaten!AJ656="individuell programmierbar",1,0),"")</f>
        <v/>
      </c>
      <c r="AC651" s="1" t="str">
        <f>IF(AND(Programme_Grunddaten!$A656="Geprüft",Programme_Grunddaten!AK656&lt;&gt;""),IF(Programme_Grunddaten!AK656="Deutsch",0,IF(Programme_Grunddaten!AK656="Deutsch und Englisch",1,2)),"")</f>
        <v/>
      </c>
      <c r="AD651" s="1" t="str">
        <f>IF(AND(Programme_Grunddaten!$A656="Geprüft",Programme_Grunddaten!AL656&lt;&gt;""),IF(Programme_Grunddaten!AL656="Ja",1,0),"")</f>
        <v/>
      </c>
      <c r="AE651" s="1" t="str">
        <f>IF(AND(Programme_Grunddaten!$A656="Geprüft",Programme_Grunddaten!AM656&lt;&gt;""),IF(Programme_Grunddaten!AM656="Ja",1,0),"")</f>
        <v/>
      </c>
      <c r="AF651" s="1" t="str">
        <f>IF(AND(Programme_Grunddaten!$A656="Geprüft",Programme_Grunddaten!AN656&lt;&gt;""),IF(Programme_Grunddaten!AN656="Ja",1,0),"")</f>
        <v/>
      </c>
      <c r="AG651" s="1" t="str">
        <f>IF(AND(Programme_Grunddaten!$A656="Geprüft",Programme_Grunddaten!AO656&lt;&gt;""),IF(Programme_Grunddaten!AO656="Ja",1,0),"")</f>
        <v/>
      </c>
      <c r="AH651" s="1" t="str">
        <f>IF(AND(Programme_Grunddaten!$A656="Geprüft",Programme_Grunddaten!AP656&lt;&gt;""),IF(Programme_Grunddaten!AP656="Ja",1,0),"")</f>
        <v/>
      </c>
      <c r="AI651" s="1" t="str">
        <f>IF(AND(Programme_Grunddaten!$A656="Geprüft",Programme_Grunddaten!AQ656&lt;&gt;""),IF(Programme_Grunddaten!AQ656="Ja",1,0),"")</f>
        <v/>
      </c>
      <c r="AJ651" s="1" t="str">
        <f>IF(AND(Programme_Grunddaten!$A656="Geprüft",Programme_Grunddaten!AR656&lt;&gt;""),IF(Programme_Grunddaten!AR656="Ja",1,0),"")</f>
        <v/>
      </c>
      <c r="AK651" s="1" t="str">
        <f>IF(AND(Programme_Grunddaten!$A656="Geprüft",Programme_Grunddaten!AS656&lt;&gt;""),IF(Programme_Grunddaten!AS656="Ja",1,0),"")</f>
        <v/>
      </c>
      <c r="AL651" s="1" t="str">
        <f>IF(AND(Programme_Grunddaten!$A656="Geprüft",Programme_Grunddaten!AT656&lt;&gt;""),IF(Programme_Grunddaten!AT656="Ja",1,0),"")</f>
        <v/>
      </c>
      <c r="AM651" s="1" t="str">
        <f>IF(AND(Programme_Grunddaten!$A656="Geprüft",Programme_Grunddaten!AU656&lt;&gt;""),IF(Programme_Grunddaten!AU656="Ja",1,0),"")</f>
        <v/>
      </c>
      <c r="AN651" s="1" t="str">
        <f>IF(AND(Programme_Grunddaten!$A656="Geprüft",Programme_Grunddaten!AV656&lt;&gt;""),IF(Programme_Grunddaten!AV656="Ja",1,0),"")</f>
        <v/>
      </c>
    </row>
    <row r="652" spans="1:40" x14ac:dyDescent="0.3">
      <c r="A652" s="1" t="str">
        <f>IF(AND(Programme_Grunddaten!A657="Geprüft",Programme_Grunddaten!B657&lt;&gt;""),Programme_Grunddaten!B657,"")</f>
        <v/>
      </c>
      <c r="B652" s="1" t="str">
        <f>IF(AND(Programme_Grunddaten!$A657="Geprüft",Programme_Grunddaten!I657&lt;&gt;""),IF(Programme_Grunddaten!I657="Ja",1,0),"")</f>
        <v/>
      </c>
      <c r="C652" s="1" t="str">
        <f>IF(AND(Programme_Grunddaten!$A657="Geprüft",Programme_Grunddaten!J657&lt;&gt;""),IF(Programme_Grunddaten!J657="Ja",1,0),"")</f>
        <v/>
      </c>
      <c r="D652" s="1" t="str">
        <f>IF(AND(Programme_Grunddaten!$A657="Geprüft",Programme_Grunddaten!K657&lt;&gt;""),IF(Programme_Grunddaten!K657="Ja",1,0),"")</f>
        <v/>
      </c>
      <c r="E652" s="1" t="str">
        <f>IF(AND(Programme_Grunddaten!$A657="Geprüft",Programme_Grunddaten!L657&lt;&gt;""),IF(Programme_Grunddaten!L657="Abo / befristete Lizenz",1,0),"")</f>
        <v/>
      </c>
      <c r="F652" s="1" t="str">
        <f>IF(AND(Programme_Grunddaten!$A657="Geprüft",Programme_Grunddaten!M657&lt;&gt;""),IF(Programme_Grunddaten!M657="Ja",1,0),"")</f>
        <v/>
      </c>
      <c r="G652" s="1" t="str">
        <f>IF(AND(Programme_Grunddaten!$A657="Geprüft",Programme_Grunddaten!N657&lt;&gt;""),IF(Programme_Grunddaten!N657="Ja",1,0),"")</f>
        <v/>
      </c>
      <c r="H652" s="1" t="str">
        <f>IF(AND(Programme_Grunddaten!$A657="Geprüft",Programme_Grunddaten!O657&lt;&gt;""),IF(Programme_Grunddaten!O657="Deutschland",0,IF(Programme_Grunddaten!O657="EU",1,2)),"")</f>
        <v/>
      </c>
      <c r="I652" s="1" t="str">
        <f>IF(AND(Programme_Grunddaten!$A657="Geprüft",Programme_Grunddaten!P657&lt;&gt;""),IF(Programme_Grunddaten!P657="Ja",1,0),"")</f>
        <v/>
      </c>
      <c r="J652" s="1" t="str">
        <f>IF(AND(Programme_Grunddaten!$A657="Geprüft",Programme_Grunddaten!Q657&lt;&gt;""),IF(Programme_Grunddaten!Q657="geschlossenes System",1,0),"")</f>
        <v/>
      </c>
      <c r="K652" s="1" t="str">
        <f>IF(AND(Programme_Grunddaten!$A657="Geprüft",Programme_Grunddaten!R657&lt;&gt;""),IF(Programme_Grunddaten!R657="Ja",1,0),"")</f>
        <v/>
      </c>
      <c r="L652" s="1" t="str">
        <f>IF(AND(Programme_Grunddaten!$A657="Geprüft",Programme_Grunddaten!T657&lt;&gt;""),IF(Programme_Grunddaten!T657="Ja",1,0),"")</f>
        <v/>
      </c>
      <c r="M652" s="1" t="str">
        <f>IF(AND(Programme_Grunddaten!$A657="Geprüft",Programme_Grunddaten!U657&lt;&gt;""),IF(Programme_Grunddaten!U657="Ja",1,0),"")</f>
        <v/>
      </c>
      <c r="N652" s="1" t="str">
        <f>IF(AND(Programme_Grunddaten!$A657="Geprüft",Programme_Grunddaten!V657&lt;&gt;""),IF(Programme_Grunddaten!V657="Ja",1,0),"")</f>
        <v/>
      </c>
      <c r="O652" s="1" t="str">
        <f>IF(AND(Programme_Grunddaten!$A657="Geprüft",Programme_Grunddaten!W657&lt;&gt;""),IF(Programme_Grunddaten!W657="Ja",1,0),"")</f>
        <v/>
      </c>
      <c r="P652" s="1" t="str">
        <f>IF(AND(Programme_Grunddaten!$A657="Geprüft",Programme_Grunddaten!X657&lt;&gt;""),IF(Programme_Grunddaten!X657="Ja",1,0),"")</f>
        <v/>
      </c>
      <c r="Q652" s="1" t="str">
        <f>IF(AND(Programme_Grunddaten!$A657="Geprüft",Programme_Grunddaten!Y657&lt;&gt;""),IF(Programme_Grunddaten!Y657="Ja",1,0),"")</f>
        <v/>
      </c>
      <c r="R652" s="1" t="str">
        <f>IF(AND(Programme_Grunddaten!$A657="Geprüft",Programme_Grunddaten!Z657&lt;&gt;""),IF(Programme_Grunddaten!Z657="Ja",1,0),"")</f>
        <v/>
      </c>
      <c r="S652" s="1" t="str">
        <f>IF(AND(Programme_Grunddaten!$A657="Geprüft",Programme_Grunddaten!AA657&lt;&gt;""),IF(Programme_Grunddaten!AA657="monolithisch",1,0),"")</f>
        <v/>
      </c>
      <c r="T652" s="1" t="str">
        <f>IF(AND(Programme_Grunddaten!$A657="Geprüft",Programme_Grunddaten!AB657&lt;&gt;""),IF(Programme_Grunddaten!AB657="Ja",1,0),"")</f>
        <v/>
      </c>
      <c r="U652" s="1" t="str">
        <f>IF(AND(Programme_Grunddaten!$A657="Geprüft",Programme_Grunddaten!AC657&lt;&gt;""),IF(Programme_Grunddaten!AC657="Ja",1,0),"")</f>
        <v/>
      </c>
      <c r="V652" s="1" t="str">
        <f>IF(AND(Programme_Grunddaten!$A657="Geprüft",Programme_Grunddaten!AD657&lt;&gt;""),IF(Programme_Grunddaten!AD657="Ja",1,0),"")</f>
        <v/>
      </c>
      <c r="W652" s="1" t="str">
        <f>IF(AND(Programme_Grunddaten!$A657="Geprüft",Programme_Grunddaten!AE657&lt;&gt;""),IF(Programme_Grunddaten!AE657="Ja",1,0),"")</f>
        <v/>
      </c>
      <c r="X652" s="1" t="str">
        <f>IF(AND(Programme_Grunddaten!$A657="Geprüft",Programme_Grunddaten!AF657&lt;&gt;""),IF(Programme_Grunddaten!AF657="Ja",1,0),"")</f>
        <v/>
      </c>
      <c r="Y652" s="1" t="str">
        <f>IF(AND(Programme_Grunddaten!$A657="Geprüft",Programme_Grunddaten!AG657&lt;&gt;""),IF(Programme_Grunddaten!AG657="Ja",1,0),"")</f>
        <v/>
      </c>
      <c r="Z652" s="1" t="str">
        <f>IF(AND(Programme_Grunddaten!$A657="Geprüft",Programme_Grunddaten!AH657&lt;&gt;""),IF(Programme_Grunddaten!AH657="Ja",1,0),"")</f>
        <v/>
      </c>
      <c r="AA652" s="1" t="str">
        <f>IF(AND(Programme_Grunddaten!$A657="Geprüft",Programme_Grunddaten!AI657&lt;&gt;""),IF(Programme_Grunddaten!AI657="Ja",1,0),"")</f>
        <v/>
      </c>
      <c r="AB652" s="1" t="str">
        <f>IF(AND(Programme_Grunddaten!$A657="Geprüft",Programme_Grunddaten!AJ657&lt;&gt;""),IF(Programme_Grunddaten!AJ657="individuell programmierbar",1,0),"")</f>
        <v/>
      </c>
      <c r="AC652" s="1" t="str">
        <f>IF(AND(Programme_Grunddaten!$A657="Geprüft",Programme_Grunddaten!AK657&lt;&gt;""),IF(Programme_Grunddaten!AK657="Deutsch",0,IF(Programme_Grunddaten!AK657="Deutsch und Englisch",1,2)),"")</f>
        <v/>
      </c>
      <c r="AD652" s="1" t="str">
        <f>IF(AND(Programme_Grunddaten!$A657="Geprüft",Programme_Grunddaten!AL657&lt;&gt;""),IF(Programme_Grunddaten!AL657="Ja",1,0),"")</f>
        <v/>
      </c>
      <c r="AE652" s="1" t="str">
        <f>IF(AND(Programme_Grunddaten!$A657="Geprüft",Programme_Grunddaten!AM657&lt;&gt;""),IF(Programme_Grunddaten!AM657="Ja",1,0),"")</f>
        <v/>
      </c>
      <c r="AF652" s="1" t="str">
        <f>IF(AND(Programme_Grunddaten!$A657="Geprüft",Programme_Grunddaten!AN657&lt;&gt;""),IF(Programme_Grunddaten!AN657="Ja",1,0),"")</f>
        <v/>
      </c>
      <c r="AG652" s="1" t="str">
        <f>IF(AND(Programme_Grunddaten!$A657="Geprüft",Programme_Grunddaten!AO657&lt;&gt;""),IF(Programme_Grunddaten!AO657="Ja",1,0),"")</f>
        <v/>
      </c>
      <c r="AH652" s="1" t="str">
        <f>IF(AND(Programme_Grunddaten!$A657="Geprüft",Programme_Grunddaten!AP657&lt;&gt;""),IF(Programme_Grunddaten!AP657="Ja",1,0),"")</f>
        <v/>
      </c>
      <c r="AI652" s="1" t="str">
        <f>IF(AND(Programme_Grunddaten!$A657="Geprüft",Programme_Grunddaten!AQ657&lt;&gt;""),IF(Programme_Grunddaten!AQ657="Ja",1,0),"")</f>
        <v/>
      </c>
      <c r="AJ652" s="1" t="str">
        <f>IF(AND(Programme_Grunddaten!$A657="Geprüft",Programme_Grunddaten!AR657&lt;&gt;""),IF(Programme_Grunddaten!AR657="Ja",1,0),"")</f>
        <v/>
      </c>
      <c r="AK652" s="1" t="str">
        <f>IF(AND(Programme_Grunddaten!$A657="Geprüft",Programme_Grunddaten!AS657&lt;&gt;""),IF(Programme_Grunddaten!AS657="Ja",1,0),"")</f>
        <v/>
      </c>
      <c r="AL652" s="1" t="str">
        <f>IF(AND(Programme_Grunddaten!$A657="Geprüft",Programme_Grunddaten!AT657&lt;&gt;""),IF(Programme_Grunddaten!AT657="Ja",1,0),"")</f>
        <v/>
      </c>
      <c r="AM652" s="1" t="str">
        <f>IF(AND(Programme_Grunddaten!$A657="Geprüft",Programme_Grunddaten!AU657&lt;&gt;""),IF(Programme_Grunddaten!AU657="Ja",1,0),"")</f>
        <v/>
      </c>
      <c r="AN652" s="1" t="str">
        <f>IF(AND(Programme_Grunddaten!$A657="Geprüft",Programme_Grunddaten!AV657&lt;&gt;""),IF(Programme_Grunddaten!AV657="Ja",1,0),"")</f>
        <v/>
      </c>
    </row>
    <row r="653" spans="1:40" x14ac:dyDescent="0.3">
      <c r="A653" s="1" t="str">
        <f>IF(AND(Programme_Grunddaten!A658="Geprüft",Programme_Grunddaten!B658&lt;&gt;""),Programme_Grunddaten!B658,"")</f>
        <v/>
      </c>
      <c r="B653" s="1" t="str">
        <f>IF(AND(Programme_Grunddaten!$A658="Geprüft",Programme_Grunddaten!I658&lt;&gt;""),IF(Programme_Grunddaten!I658="Ja",1,0),"")</f>
        <v/>
      </c>
      <c r="C653" s="1" t="str">
        <f>IF(AND(Programme_Grunddaten!$A658="Geprüft",Programme_Grunddaten!J658&lt;&gt;""),IF(Programme_Grunddaten!J658="Ja",1,0),"")</f>
        <v/>
      </c>
      <c r="D653" s="1" t="str">
        <f>IF(AND(Programme_Grunddaten!$A658="Geprüft",Programme_Grunddaten!K658&lt;&gt;""),IF(Programme_Grunddaten!K658="Ja",1,0),"")</f>
        <v/>
      </c>
      <c r="E653" s="1" t="str">
        <f>IF(AND(Programme_Grunddaten!$A658="Geprüft",Programme_Grunddaten!L658&lt;&gt;""),IF(Programme_Grunddaten!L658="Abo / befristete Lizenz",1,0),"")</f>
        <v/>
      </c>
      <c r="F653" s="1" t="str">
        <f>IF(AND(Programme_Grunddaten!$A658="Geprüft",Programme_Grunddaten!M658&lt;&gt;""),IF(Programme_Grunddaten!M658="Ja",1,0),"")</f>
        <v/>
      </c>
      <c r="G653" s="1" t="str">
        <f>IF(AND(Programme_Grunddaten!$A658="Geprüft",Programme_Grunddaten!N658&lt;&gt;""),IF(Programme_Grunddaten!N658="Ja",1,0),"")</f>
        <v/>
      </c>
      <c r="H653" s="1" t="str">
        <f>IF(AND(Programme_Grunddaten!$A658="Geprüft",Programme_Grunddaten!O658&lt;&gt;""),IF(Programme_Grunddaten!O658="Deutschland",0,IF(Programme_Grunddaten!O658="EU",1,2)),"")</f>
        <v/>
      </c>
      <c r="I653" s="1" t="str">
        <f>IF(AND(Programme_Grunddaten!$A658="Geprüft",Programme_Grunddaten!P658&lt;&gt;""),IF(Programme_Grunddaten!P658="Ja",1,0),"")</f>
        <v/>
      </c>
      <c r="J653" s="1" t="str">
        <f>IF(AND(Programme_Grunddaten!$A658="Geprüft",Programme_Grunddaten!Q658&lt;&gt;""),IF(Programme_Grunddaten!Q658="geschlossenes System",1,0),"")</f>
        <v/>
      </c>
      <c r="K653" s="1" t="str">
        <f>IF(AND(Programme_Grunddaten!$A658="Geprüft",Programme_Grunddaten!R658&lt;&gt;""),IF(Programme_Grunddaten!R658="Ja",1,0),"")</f>
        <v/>
      </c>
      <c r="L653" s="1" t="str">
        <f>IF(AND(Programme_Grunddaten!$A658="Geprüft",Programme_Grunddaten!T658&lt;&gt;""),IF(Programme_Grunddaten!T658="Ja",1,0),"")</f>
        <v/>
      </c>
      <c r="M653" s="1" t="str">
        <f>IF(AND(Programme_Grunddaten!$A658="Geprüft",Programme_Grunddaten!U658&lt;&gt;""),IF(Programme_Grunddaten!U658="Ja",1,0),"")</f>
        <v/>
      </c>
      <c r="N653" s="1" t="str">
        <f>IF(AND(Programme_Grunddaten!$A658="Geprüft",Programme_Grunddaten!V658&lt;&gt;""),IF(Programme_Grunddaten!V658="Ja",1,0),"")</f>
        <v/>
      </c>
      <c r="O653" s="1" t="str">
        <f>IF(AND(Programme_Grunddaten!$A658="Geprüft",Programme_Grunddaten!W658&lt;&gt;""),IF(Programme_Grunddaten!W658="Ja",1,0),"")</f>
        <v/>
      </c>
      <c r="P653" s="1" t="str">
        <f>IF(AND(Programme_Grunddaten!$A658="Geprüft",Programme_Grunddaten!X658&lt;&gt;""),IF(Programme_Grunddaten!X658="Ja",1,0),"")</f>
        <v/>
      </c>
      <c r="Q653" s="1" t="str">
        <f>IF(AND(Programme_Grunddaten!$A658="Geprüft",Programme_Grunddaten!Y658&lt;&gt;""),IF(Programme_Grunddaten!Y658="Ja",1,0),"")</f>
        <v/>
      </c>
      <c r="R653" s="1" t="str">
        <f>IF(AND(Programme_Grunddaten!$A658="Geprüft",Programme_Grunddaten!Z658&lt;&gt;""),IF(Programme_Grunddaten!Z658="Ja",1,0),"")</f>
        <v/>
      </c>
      <c r="S653" s="1" t="str">
        <f>IF(AND(Programme_Grunddaten!$A658="Geprüft",Programme_Grunddaten!AA658&lt;&gt;""),IF(Programme_Grunddaten!AA658="monolithisch",1,0),"")</f>
        <v/>
      </c>
      <c r="T653" s="1" t="str">
        <f>IF(AND(Programme_Grunddaten!$A658="Geprüft",Programme_Grunddaten!AB658&lt;&gt;""),IF(Programme_Grunddaten!AB658="Ja",1,0),"")</f>
        <v/>
      </c>
      <c r="U653" s="1" t="str">
        <f>IF(AND(Programme_Grunddaten!$A658="Geprüft",Programme_Grunddaten!AC658&lt;&gt;""),IF(Programme_Grunddaten!AC658="Ja",1,0),"")</f>
        <v/>
      </c>
      <c r="V653" s="1" t="str">
        <f>IF(AND(Programme_Grunddaten!$A658="Geprüft",Programme_Grunddaten!AD658&lt;&gt;""),IF(Programme_Grunddaten!AD658="Ja",1,0),"")</f>
        <v/>
      </c>
      <c r="W653" s="1" t="str">
        <f>IF(AND(Programme_Grunddaten!$A658="Geprüft",Programme_Grunddaten!AE658&lt;&gt;""),IF(Programme_Grunddaten!AE658="Ja",1,0),"")</f>
        <v/>
      </c>
      <c r="X653" s="1" t="str">
        <f>IF(AND(Programme_Grunddaten!$A658="Geprüft",Programme_Grunddaten!AF658&lt;&gt;""),IF(Programme_Grunddaten!AF658="Ja",1,0),"")</f>
        <v/>
      </c>
      <c r="Y653" s="1" t="str">
        <f>IF(AND(Programme_Grunddaten!$A658="Geprüft",Programme_Grunddaten!AG658&lt;&gt;""),IF(Programme_Grunddaten!AG658="Ja",1,0),"")</f>
        <v/>
      </c>
      <c r="Z653" s="1" t="str">
        <f>IF(AND(Programme_Grunddaten!$A658="Geprüft",Programme_Grunddaten!AH658&lt;&gt;""),IF(Programme_Grunddaten!AH658="Ja",1,0),"")</f>
        <v/>
      </c>
      <c r="AA653" s="1" t="str">
        <f>IF(AND(Programme_Grunddaten!$A658="Geprüft",Programme_Grunddaten!AI658&lt;&gt;""),IF(Programme_Grunddaten!AI658="Ja",1,0),"")</f>
        <v/>
      </c>
      <c r="AB653" s="1" t="str">
        <f>IF(AND(Programme_Grunddaten!$A658="Geprüft",Programme_Grunddaten!AJ658&lt;&gt;""),IF(Programme_Grunddaten!AJ658="individuell programmierbar",1,0),"")</f>
        <v/>
      </c>
      <c r="AC653" s="1" t="str">
        <f>IF(AND(Programme_Grunddaten!$A658="Geprüft",Programme_Grunddaten!AK658&lt;&gt;""),IF(Programme_Grunddaten!AK658="Deutsch",0,IF(Programme_Grunddaten!AK658="Deutsch und Englisch",1,2)),"")</f>
        <v/>
      </c>
      <c r="AD653" s="1" t="str">
        <f>IF(AND(Programme_Grunddaten!$A658="Geprüft",Programme_Grunddaten!AL658&lt;&gt;""),IF(Programme_Grunddaten!AL658="Ja",1,0),"")</f>
        <v/>
      </c>
      <c r="AE653" s="1" t="str">
        <f>IF(AND(Programme_Grunddaten!$A658="Geprüft",Programme_Grunddaten!AM658&lt;&gt;""),IF(Programme_Grunddaten!AM658="Ja",1,0),"")</f>
        <v/>
      </c>
      <c r="AF653" s="1" t="str">
        <f>IF(AND(Programme_Grunddaten!$A658="Geprüft",Programme_Grunddaten!AN658&lt;&gt;""),IF(Programme_Grunddaten!AN658="Ja",1,0),"")</f>
        <v/>
      </c>
      <c r="AG653" s="1" t="str">
        <f>IF(AND(Programme_Grunddaten!$A658="Geprüft",Programme_Grunddaten!AO658&lt;&gt;""),IF(Programme_Grunddaten!AO658="Ja",1,0),"")</f>
        <v/>
      </c>
      <c r="AH653" s="1" t="str">
        <f>IF(AND(Programme_Grunddaten!$A658="Geprüft",Programme_Grunddaten!AP658&lt;&gt;""),IF(Programme_Grunddaten!AP658="Ja",1,0),"")</f>
        <v/>
      </c>
      <c r="AI653" s="1" t="str">
        <f>IF(AND(Programme_Grunddaten!$A658="Geprüft",Programme_Grunddaten!AQ658&lt;&gt;""),IF(Programme_Grunddaten!AQ658="Ja",1,0),"")</f>
        <v/>
      </c>
      <c r="AJ653" s="1" t="str">
        <f>IF(AND(Programme_Grunddaten!$A658="Geprüft",Programme_Grunddaten!AR658&lt;&gt;""),IF(Programme_Grunddaten!AR658="Ja",1,0),"")</f>
        <v/>
      </c>
      <c r="AK653" s="1" t="str">
        <f>IF(AND(Programme_Grunddaten!$A658="Geprüft",Programme_Grunddaten!AS658&lt;&gt;""),IF(Programme_Grunddaten!AS658="Ja",1,0),"")</f>
        <v/>
      </c>
      <c r="AL653" s="1" t="str">
        <f>IF(AND(Programme_Grunddaten!$A658="Geprüft",Programme_Grunddaten!AT658&lt;&gt;""),IF(Programme_Grunddaten!AT658="Ja",1,0),"")</f>
        <v/>
      </c>
      <c r="AM653" s="1" t="str">
        <f>IF(AND(Programme_Grunddaten!$A658="Geprüft",Programme_Grunddaten!AU658&lt;&gt;""),IF(Programme_Grunddaten!AU658="Ja",1,0),"")</f>
        <v/>
      </c>
      <c r="AN653" s="1" t="str">
        <f>IF(AND(Programme_Grunddaten!$A658="Geprüft",Programme_Grunddaten!AV658&lt;&gt;""),IF(Programme_Grunddaten!AV658="Ja",1,0),"")</f>
        <v/>
      </c>
    </row>
    <row r="654" spans="1:40" x14ac:dyDescent="0.3">
      <c r="A654" s="1" t="str">
        <f>IF(AND(Programme_Grunddaten!A659="Geprüft",Programme_Grunddaten!B659&lt;&gt;""),Programme_Grunddaten!B659,"")</f>
        <v/>
      </c>
      <c r="B654" s="1" t="str">
        <f>IF(AND(Programme_Grunddaten!$A659="Geprüft",Programme_Grunddaten!I659&lt;&gt;""),IF(Programme_Grunddaten!I659="Ja",1,0),"")</f>
        <v/>
      </c>
      <c r="C654" s="1" t="str">
        <f>IF(AND(Programme_Grunddaten!$A659="Geprüft",Programme_Grunddaten!J659&lt;&gt;""),IF(Programme_Grunddaten!J659="Ja",1,0),"")</f>
        <v/>
      </c>
      <c r="D654" s="1" t="str">
        <f>IF(AND(Programme_Grunddaten!$A659="Geprüft",Programme_Grunddaten!K659&lt;&gt;""),IF(Programme_Grunddaten!K659="Ja",1,0),"")</f>
        <v/>
      </c>
      <c r="E654" s="1" t="str">
        <f>IF(AND(Programme_Grunddaten!$A659="Geprüft",Programme_Grunddaten!L659&lt;&gt;""),IF(Programme_Grunddaten!L659="Abo / befristete Lizenz",1,0),"")</f>
        <v/>
      </c>
      <c r="F654" s="1" t="str">
        <f>IF(AND(Programme_Grunddaten!$A659="Geprüft",Programme_Grunddaten!M659&lt;&gt;""),IF(Programme_Grunddaten!M659="Ja",1,0),"")</f>
        <v/>
      </c>
      <c r="G654" s="1" t="str">
        <f>IF(AND(Programme_Grunddaten!$A659="Geprüft",Programme_Grunddaten!N659&lt;&gt;""),IF(Programme_Grunddaten!N659="Ja",1,0),"")</f>
        <v/>
      </c>
      <c r="H654" s="1" t="str">
        <f>IF(AND(Programme_Grunddaten!$A659="Geprüft",Programme_Grunddaten!O659&lt;&gt;""),IF(Programme_Grunddaten!O659="Deutschland",0,IF(Programme_Grunddaten!O659="EU",1,2)),"")</f>
        <v/>
      </c>
      <c r="I654" s="1" t="str">
        <f>IF(AND(Programme_Grunddaten!$A659="Geprüft",Programme_Grunddaten!P659&lt;&gt;""),IF(Programme_Grunddaten!P659="Ja",1,0),"")</f>
        <v/>
      </c>
      <c r="J654" s="1" t="str">
        <f>IF(AND(Programme_Grunddaten!$A659="Geprüft",Programme_Grunddaten!Q659&lt;&gt;""),IF(Programme_Grunddaten!Q659="geschlossenes System",1,0),"")</f>
        <v/>
      </c>
      <c r="K654" s="1" t="str">
        <f>IF(AND(Programme_Grunddaten!$A659="Geprüft",Programme_Grunddaten!R659&lt;&gt;""),IF(Programme_Grunddaten!R659="Ja",1,0),"")</f>
        <v/>
      </c>
      <c r="L654" s="1" t="str">
        <f>IF(AND(Programme_Grunddaten!$A659="Geprüft",Programme_Grunddaten!T659&lt;&gt;""),IF(Programme_Grunddaten!T659="Ja",1,0),"")</f>
        <v/>
      </c>
      <c r="M654" s="1" t="str">
        <f>IF(AND(Programme_Grunddaten!$A659="Geprüft",Programme_Grunddaten!U659&lt;&gt;""),IF(Programme_Grunddaten!U659="Ja",1,0),"")</f>
        <v/>
      </c>
      <c r="N654" s="1" t="str">
        <f>IF(AND(Programme_Grunddaten!$A659="Geprüft",Programme_Grunddaten!V659&lt;&gt;""),IF(Programme_Grunddaten!V659="Ja",1,0),"")</f>
        <v/>
      </c>
      <c r="O654" s="1" t="str">
        <f>IF(AND(Programme_Grunddaten!$A659="Geprüft",Programme_Grunddaten!W659&lt;&gt;""),IF(Programme_Grunddaten!W659="Ja",1,0),"")</f>
        <v/>
      </c>
      <c r="P654" s="1" t="str">
        <f>IF(AND(Programme_Grunddaten!$A659="Geprüft",Programme_Grunddaten!X659&lt;&gt;""),IF(Programme_Grunddaten!X659="Ja",1,0),"")</f>
        <v/>
      </c>
      <c r="Q654" s="1" t="str">
        <f>IF(AND(Programme_Grunddaten!$A659="Geprüft",Programme_Grunddaten!Y659&lt;&gt;""),IF(Programme_Grunddaten!Y659="Ja",1,0),"")</f>
        <v/>
      </c>
      <c r="R654" s="1" t="str">
        <f>IF(AND(Programme_Grunddaten!$A659="Geprüft",Programme_Grunddaten!Z659&lt;&gt;""),IF(Programme_Grunddaten!Z659="Ja",1,0),"")</f>
        <v/>
      </c>
      <c r="S654" s="1" t="str">
        <f>IF(AND(Programme_Grunddaten!$A659="Geprüft",Programme_Grunddaten!AA659&lt;&gt;""),IF(Programme_Grunddaten!AA659="monolithisch",1,0),"")</f>
        <v/>
      </c>
      <c r="T654" s="1" t="str">
        <f>IF(AND(Programme_Grunddaten!$A659="Geprüft",Programme_Grunddaten!AB659&lt;&gt;""),IF(Programme_Grunddaten!AB659="Ja",1,0),"")</f>
        <v/>
      </c>
      <c r="U654" s="1" t="str">
        <f>IF(AND(Programme_Grunddaten!$A659="Geprüft",Programme_Grunddaten!AC659&lt;&gt;""),IF(Programme_Grunddaten!AC659="Ja",1,0),"")</f>
        <v/>
      </c>
      <c r="V654" s="1" t="str">
        <f>IF(AND(Programme_Grunddaten!$A659="Geprüft",Programme_Grunddaten!AD659&lt;&gt;""),IF(Programme_Grunddaten!AD659="Ja",1,0),"")</f>
        <v/>
      </c>
      <c r="W654" s="1" t="str">
        <f>IF(AND(Programme_Grunddaten!$A659="Geprüft",Programme_Grunddaten!AE659&lt;&gt;""),IF(Programme_Grunddaten!AE659="Ja",1,0),"")</f>
        <v/>
      </c>
      <c r="X654" s="1" t="str">
        <f>IF(AND(Programme_Grunddaten!$A659="Geprüft",Programme_Grunddaten!AF659&lt;&gt;""),IF(Programme_Grunddaten!AF659="Ja",1,0),"")</f>
        <v/>
      </c>
      <c r="Y654" s="1" t="str">
        <f>IF(AND(Programme_Grunddaten!$A659="Geprüft",Programme_Grunddaten!AG659&lt;&gt;""),IF(Programme_Grunddaten!AG659="Ja",1,0),"")</f>
        <v/>
      </c>
      <c r="Z654" s="1" t="str">
        <f>IF(AND(Programme_Grunddaten!$A659="Geprüft",Programme_Grunddaten!AH659&lt;&gt;""),IF(Programme_Grunddaten!AH659="Ja",1,0),"")</f>
        <v/>
      </c>
      <c r="AA654" s="1" t="str">
        <f>IF(AND(Programme_Grunddaten!$A659="Geprüft",Programme_Grunddaten!AI659&lt;&gt;""),IF(Programme_Grunddaten!AI659="Ja",1,0),"")</f>
        <v/>
      </c>
      <c r="AB654" s="1" t="str">
        <f>IF(AND(Programme_Grunddaten!$A659="Geprüft",Programme_Grunddaten!AJ659&lt;&gt;""),IF(Programme_Grunddaten!AJ659="individuell programmierbar",1,0),"")</f>
        <v/>
      </c>
      <c r="AC654" s="1" t="str">
        <f>IF(AND(Programme_Grunddaten!$A659="Geprüft",Programme_Grunddaten!AK659&lt;&gt;""),IF(Programme_Grunddaten!AK659="Deutsch",0,IF(Programme_Grunddaten!AK659="Deutsch und Englisch",1,2)),"")</f>
        <v/>
      </c>
      <c r="AD654" s="1" t="str">
        <f>IF(AND(Programme_Grunddaten!$A659="Geprüft",Programme_Grunddaten!AL659&lt;&gt;""),IF(Programme_Grunddaten!AL659="Ja",1,0),"")</f>
        <v/>
      </c>
      <c r="AE654" s="1" t="str">
        <f>IF(AND(Programme_Grunddaten!$A659="Geprüft",Programme_Grunddaten!AM659&lt;&gt;""),IF(Programme_Grunddaten!AM659="Ja",1,0),"")</f>
        <v/>
      </c>
      <c r="AF654" s="1" t="str">
        <f>IF(AND(Programme_Grunddaten!$A659="Geprüft",Programme_Grunddaten!AN659&lt;&gt;""),IF(Programme_Grunddaten!AN659="Ja",1,0),"")</f>
        <v/>
      </c>
      <c r="AG654" s="1" t="str">
        <f>IF(AND(Programme_Grunddaten!$A659="Geprüft",Programme_Grunddaten!AO659&lt;&gt;""),IF(Programme_Grunddaten!AO659="Ja",1,0),"")</f>
        <v/>
      </c>
      <c r="AH654" s="1" t="str">
        <f>IF(AND(Programme_Grunddaten!$A659="Geprüft",Programme_Grunddaten!AP659&lt;&gt;""),IF(Programme_Grunddaten!AP659="Ja",1,0),"")</f>
        <v/>
      </c>
      <c r="AI654" s="1" t="str">
        <f>IF(AND(Programme_Grunddaten!$A659="Geprüft",Programme_Grunddaten!AQ659&lt;&gt;""),IF(Programme_Grunddaten!AQ659="Ja",1,0),"")</f>
        <v/>
      </c>
      <c r="AJ654" s="1" t="str">
        <f>IF(AND(Programme_Grunddaten!$A659="Geprüft",Programme_Grunddaten!AR659&lt;&gt;""),IF(Programme_Grunddaten!AR659="Ja",1,0),"")</f>
        <v/>
      </c>
      <c r="AK654" s="1" t="str">
        <f>IF(AND(Programme_Grunddaten!$A659="Geprüft",Programme_Grunddaten!AS659&lt;&gt;""),IF(Programme_Grunddaten!AS659="Ja",1,0),"")</f>
        <v/>
      </c>
      <c r="AL654" s="1" t="str">
        <f>IF(AND(Programme_Grunddaten!$A659="Geprüft",Programme_Grunddaten!AT659&lt;&gt;""),IF(Programme_Grunddaten!AT659="Ja",1,0),"")</f>
        <v/>
      </c>
      <c r="AM654" s="1" t="str">
        <f>IF(AND(Programme_Grunddaten!$A659="Geprüft",Programme_Grunddaten!AU659&lt;&gt;""),IF(Programme_Grunddaten!AU659="Ja",1,0),"")</f>
        <v/>
      </c>
      <c r="AN654" s="1" t="str">
        <f>IF(AND(Programme_Grunddaten!$A659="Geprüft",Programme_Grunddaten!AV659&lt;&gt;""),IF(Programme_Grunddaten!AV659="Ja",1,0),"")</f>
        <v/>
      </c>
    </row>
    <row r="655" spans="1:40" x14ac:dyDescent="0.3">
      <c r="A655" s="1" t="str">
        <f>IF(AND(Programme_Grunddaten!A660="Geprüft",Programme_Grunddaten!B660&lt;&gt;""),Programme_Grunddaten!B660,"")</f>
        <v/>
      </c>
      <c r="B655" s="1" t="str">
        <f>IF(AND(Programme_Grunddaten!$A660="Geprüft",Programme_Grunddaten!I660&lt;&gt;""),IF(Programme_Grunddaten!I660="Ja",1,0),"")</f>
        <v/>
      </c>
      <c r="C655" s="1" t="str">
        <f>IF(AND(Programme_Grunddaten!$A660="Geprüft",Programme_Grunddaten!J660&lt;&gt;""),IF(Programme_Grunddaten!J660="Ja",1,0),"")</f>
        <v/>
      </c>
      <c r="D655" s="1" t="str">
        <f>IF(AND(Programme_Grunddaten!$A660="Geprüft",Programme_Grunddaten!K660&lt;&gt;""),IF(Programme_Grunddaten!K660="Ja",1,0),"")</f>
        <v/>
      </c>
      <c r="E655" s="1" t="str">
        <f>IF(AND(Programme_Grunddaten!$A660="Geprüft",Programme_Grunddaten!L660&lt;&gt;""),IF(Programme_Grunddaten!L660="Abo / befristete Lizenz",1,0),"")</f>
        <v/>
      </c>
      <c r="F655" s="1" t="str">
        <f>IF(AND(Programme_Grunddaten!$A660="Geprüft",Programme_Grunddaten!M660&lt;&gt;""),IF(Programme_Grunddaten!M660="Ja",1,0),"")</f>
        <v/>
      </c>
      <c r="G655" s="1" t="str">
        <f>IF(AND(Programme_Grunddaten!$A660="Geprüft",Programme_Grunddaten!N660&lt;&gt;""),IF(Programme_Grunddaten!N660="Ja",1,0),"")</f>
        <v/>
      </c>
      <c r="H655" s="1" t="str">
        <f>IF(AND(Programme_Grunddaten!$A660="Geprüft",Programme_Grunddaten!O660&lt;&gt;""),IF(Programme_Grunddaten!O660="Deutschland",0,IF(Programme_Grunddaten!O660="EU",1,2)),"")</f>
        <v/>
      </c>
      <c r="I655" s="1" t="str">
        <f>IF(AND(Programme_Grunddaten!$A660="Geprüft",Programme_Grunddaten!P660&lt;&gt;""),IF(Programme_Grunddaten!P660="Ja",1,0),"")</f>
        <v/>
      </c>
      <c r="J655" s="1" t="str">
        <f>IF(AND(Programme_Grunddaten!$A660="Geprüft",Programme_Grunddaten!Q660&lt;&gt;""),IF(Programme_Grunddaten!Q660="geschlossenes System",1,0),"")</f>
        <v/>
      </c>
      <c r="K655" s="1" t="str">
        <f>IF(AND(Programme_Grunddaten!$A660="Geprüft",Programme_Grunddaten!R660&lt;&gt;""),IF(Programme_Grunddaten!R660="Ja",1,0),"")</f>
        <v/>
      </c>
      <c r="L655" s="1" t="str">
        <f>IF(AND(Programme_Grunddaten!$A660="Geprüft",Programme_Grunddaten!T660&lt;&gt;""),IF(Programme_Grunddaten!T660="Ja",1,0),"")</f>
        <v/>
      </c>
      <c r="M655" s="1" t="str">
        <f>IF(AND(Programme_Grunddaten!$A660="Geprüft",Programme_Grunddaten!U660&lt;&gt;""),IF(Programme_Grunddaten!U660="Ja",1,0),"")</f>
        <v/>
      </c>
      <c r="N655" s="1" t="str">
        <f>IF(AND(Programme_Grunddaten!$A660="Geprüft",Programme_Grunddaten!V660&lt;&gt;""),IF(Programme_Grunddaten!V660="Ja",1,0),"")</f>
        <v/>
      </c>
      <c r="O655" s="1" t="str">
        <f>IF(AND(Programme_Grunddaten!$A660="Geprüft",Programme_Grunddaten!W660&lt;&gt;""),IF(Programme_Grunddaten!W660="Ja",1,0),"")</f>
        <v/>
      </c>
      <c r="P655" s="1" t="str">
        <f>IF(AND(Programme_Grunddaten!$A660="Geprüft",Programme_Grunddaten!X660&lt;&gt;""),IF(Programme_Grunddaten!X660="Ja",1,0),"")</f>
        <v/>
      </c>
      <c r="Q655" s="1" t="str">
        <f>IF(AND(Programme_Grunddaten!$A660="Geprüft",Programme_Grunddaten!Y660&lt;&gt;""),IF(Programme_Grunddaten!Y660="Ja",1,0),"")</f>
        <v/>
      </c>
      <c r="R655" s="1" t="str">
        <f>IF(AND(Programme_Grunddaten!$A660="Geprüft",Programme_Grunddaten!Z660&lt;&gt;""),IF(Programme_Grunddaten!Z660="Ja",1,0),"")</f>
        <v/>
      </c>
      <c r="S655" s="1" t="str">
        <f>IF(AND(Programme_Grunddaten!$A660="Geprüft",Programme_Grunddaten!AA660&lt;&gt;""),IF(Programme_Grunddaten!AA660="monolithisch",1,0),"")</f>
        <v/>
      </c>
      <c r="T655" s="1" t="str">
        <f>IF(AND(Programme_Grunddaten!$A660="Geprüft",Programme_Grunddaten!AB660&lt;&gt;""),IF(Programme_Grunddaten!AB660="Ja",1,0),"")</f>
        <v/>
      </c>
      <c r="U655" s="1" t="str">
        <f>IF(AND(Programme_Grunddaten!$A660="Geprüft",Programme_Grunddaten!AC660&lt;&gt;""),IF(Programme_Grunddaten!AC660="Ja",1,0),"")</f>
        <v/>
      </c>
      <c r="V655" s="1" t="str">
        <f>IF(AND(Programme_Grunddaten!$A660="Geprüft",Programme_Grunddaten!AD660&lt;&gt;""),IF(Programme_Grunddaten!AD660="Ja",1,0),"")</f>
        <v/>
      </c>
      <c r="W655" s="1" t="str">
        <f>IF(AND(Programme_Grunddaten!$A660="Geprüft",Programme_Grunddaten!AE660&lt;&gt;""),IF(Programme_Grunddaten!AE660="Ja",1,0),"")</f>
        <v/>
      </c>
      <c r="X655" s="1" t="str">
        <f>IF(AND(Programme_Grunddaten!$A660="Geprüft",Programme_Grunddaten!AF660&lt;&gt;""),IF(Programme_Grunddaten!AF660="Ja",1,0),"")</f>
        <v/>
      </c>
      <c r="Y655" s="1" t="str">
        <f>IF(AND(Programme_Grunddaten!$A660="Geprüft",Programme_Grunddaten!AG660&lt;&gt;""),IF(Programme_Grunddaten!AG660="Ja",1,0),"")</f>
        <v/>
      </c>
      <c r="Z655" s="1" t="str">
        <f>IF(AND(Programme_Grunddaten!$A660="Geprüft",Programme_Grunddaten!AH660&lt;&gt;""),IF(Programme_Grunddaten!AH660="Ja",1,0),"")</f>
        <v/>
      </c>
      <c r="AA655" s="1" t="str">
        <f>IF(AND(Programme_Grunddaten!$A660="Geprüft",Programme_Grunddaten!AI660&lt;&gt;""),IF(Programme_Grunddaten!AI660="Ja",1,0),"")</f>
        <v/>
      </c>
      <c r="AB655" s="1" t="str">
        <f>IF(AND(Programme_Grunddaten!$A660="Geprüft",Programme_Grunddaten!AJ660&lt;&gt;""),IF(Programme_Grunddaten!AJ660="individuell programmierbar",1,0),"")</f>
        <v/>
      </c>
      <c r="AC655" s="1" t="str">
        <f>IF(AND(Programme_Grunddaten!$A660="Geprüft",Programme_Grunddaten!AK660&lt;&gt;""),IF(Programme_Grunddaten!AK660="Deutsch",0,IF(Programme_Grunddaten!AK660="Deutsch und Englisch",1,2)),"")</f>
        <v/>
      </c>
      <c r="AD655" s="1" t="str">
        <f>IF(AND(Programme_Grunddaten!$A660="Geprüft",Programme_Grunddaten!AL660&lt;&gt;""),IF(Programme_Grunddaten!AL660="Ja",1,0),"")</f>
        <v/>
      </c>
      <c r="AE655" s="1" t="str">
        <f>IF(AND(Programme_Grunddaten!$A660="Geprüft",Programme_Grunddaten!AM660&lt;&gt;""),IF(Programme_Grunddaten!AM660="Ja",1,0),"")</f>
        <v/>
      </c>
      <c r="AF655" s="1" t="str">
        <f>IF(AND(Programme_Grunddaten!$A660="Geprüft",Programme_Grunddaten!AN660&lt;&gt;""),IF(Programme_Grunddaten!AN660="Ja",1,0),"")</f>
        <v/>
      </c>
      <c r="AG655" s="1" t="str">
        <f>IF(AND(Programme_Grunddaten!$A660="Geprüft",Programme_Grunddaten!AO660&lt;&gt;""),IF(Programme_Grunddaten!AO660="Ja",1,0),"")</f>
        <v/>
      </c>
      <c r="AH655" s="1" t="str">
        <f>IF(AND(Programme_Grunddaten!$A660="Geprüft",Programme_Grunddaten!AP660&lt;&gt;""),IF(Programme_Grunddaten!AP660="Ja",1,0),"")</f>
        <v/>
      </c>
      <c r="AI655" s="1" t="str">
        <f>IF(AND(Programme_Grunddaten!$A660="Geprüft",Programme_Grunddaten!AQ660&lt;&gt;""),IF(Programme_Grunddaten!AQ660="Ja",1,0),"")</f>
        <v/>
      </c>
      <c r="AJ655" s="1" t="str">
        <f>IF(AND(Programme_Grunddaten!$A660="Geprüft",Programme_Grunddaten!AR660&lt;&gt;""),IF(Programme_Grunddaten!AR660="Ja",1,0),"")</f>
        <v/>
      </c>
      <c r="AK655" s="1" t="str">
        <f>IF(AND(Programme_Grunddaten!$A660="Geprüft",Programme_Grunddaten!AS660&lt;&gt;""),IF(Programme_Grunddaten!AS660="Ja",1,0),"")</f>
        <v/>
      </c>
      <c r="AL655" s="1" t="str">
        <f>IF(AND(Programme_Grunddaten!$A660="Geprüft",Programme_Grunddaten!AT660&lt;&gt;""),IF(Programme_Grunddaten!AT660="Ja",1,0),"")</f>
        <v/>
      </c>
      <c r="AM655" s="1" t="str">
        <f>IF(AND(Programme_Grunddaten!$A660="Geprüft",Programme_Grunddaten!AU660&lt;&gt;""),IF(Programme_Grunddaten!AU660="Ja",1,0),"")</f>
        <v/>
      </c>
      <c r="AN655" s="1" t="str">
        <f>IF(AND(Programme_Grunddaten!$A660="Geprüft",Programme_Grunddaten!AV660&lt;&gt;""),IF(Programme_Grunddaten!AV660="Ja",1,0),"")</f>
        <v/>
      </c>
    </row>
    <row r="656" spans="1:40" x14ac:dyDescent="0.3">
      <c r="A656" s="1" t="str">
        <f>IF(AND(Programme_Grunddaten!A661="Geprüft",Programme_Grunddaten!B661&lt;&gt;""),Programme_Grunddaten!B661,"")</f>
        <v/>
      </c>
      <c r="B656" s="1" t="str">
        <f>IF(AND(Programme_Grunddaten!$A661="Geprüft",Programme_Grunddaten!I661&lt;&gt;""),IF(Programme_Grunddaten!I661="Ja",1,0),"")</f>
        <v/>
      </c>
      <c r="C656" s="1" t="str">
        <f>IF(AND(Programme_Grunddaten!$A661="Geprüft",Programme_Grunddaten!J661&lt;&gt;""),IF(Programme_Grunddaten!J661="Ja",1,0),"")</f>
        <v/>
      </c>
      <c r="D656" s="1" t="str">
        <f>IF(AND(Programme_Grunddaten!$A661="Geprüft",Programme_Grunddaten!K661&lt;&gt;""),IF(Programme_Grunddaten!K661="Ja",1,0),"")</f>
        <v/>
      </c>
      <c r="E656" s="1" t="str">
        <f>IF(AND(Programme_Grunddaten!$A661="Geprüft",Programme_Grunddaten!L661&lt;&gt;""),IF(Programme_Grunddaten!L661="Abo / befristete Lizenz",1,0),"")</f>
        <v/>
      </c>
      <c r="F656" s="1" t="str">
        <f>IF(AND(Programme_Grunddaten!$A661="Geprüft",Programme_Grunddaten!M661&lt;&gt;""),IF(Programme_Grunddaten!M661="Ja",1,0),"")</f>
        <v/>
      </c>
      <c r="G656" s="1" t="str">
        <f>IF(AND(Programme_Grunddaten!$A661="Geprüft",Programme_Grunddaten!N661&lt;&gt;""),IF(Programme_Grunddaten!N661="Ja",1,0),"")</f>
        <v/>
      </c>
      <c r="H656" s="1" t="str">
        <f>IF(AND(Programme_Grunddaten!$A661="Geprüft",Programme_Grunddaten!O661&lt;&gt;""),IF(Programme_Grunddaten!O661="Deutschland",0,IF(Programme_Grunddaten!O661="EU",1,2)),"")</f>
        <v/>
      </c>
      <c r="I656" s="1" t="str">
        <f>IF(AND(Programme_Grunddaten!$A661="Geprüft",Programme_Grunddaten!P661&lt;&gt;""),IF(Programme_Grunddaten!P661="Ja",1,0),"")</f>
        <v/>
      </c>
      <c r="J656" s="1" t="str">
        <f>IF(AND(Programme_Grunddaten!$A661="Geprüft",Programme_Grunddaten!Q661&lt;&gt;""),IF(Programme_Grunddaten!Q661="geschlossenes System",1,0),"")</f>
        <v/>
      </c>
      <c r="K656" s="1" t="str">
        <f>IF(AND(Programme_Grunddaten!$A661="Geprüft",Programme_Grunddaten!R661&lt;&gt;""),IF(Programme_Grunddaten!R661="Ja",1,0),"")</f>
        <v/>
      </c>
      <c r="L656" s="1" t="str">
        <f>IF(AND(Programme_Grunddaten!$A661="Geprüft",Programme_Grunddaten!T661&lt;&gt;""),IF(Programme_Grunddaten!T661="Ja",1,0),"")</f>
        <v/>
      </c>
      <c r="M656" s="1" t="str">
        <f>IF(AND(Programme_Grunddaten!$A661="Geprüft",Programme_Grunddaten!U661&lt;&gt;""),IF(Programme_Grunddaten!U661="Ja",1,0),"")</f>
        <v/>
      </c>
      <c r="N656" s="1" t="str">
        <f>IF(AND(Programme_Grunddaten!$A661="Geprüft",Programme_Grunddaten!V661&lt;&gt;""),IF(Programme_Grunddaten!V661="Ja",1,0),"")</f>
        <v/>
      </c>
      <c r="O656" s="1" t="str">
        <f>IF(AND(Programme_Grunddaten!$A661="Geprüft",Programme_Grunddaten!W661&lt;&gt;""),IF(Programme_Grunddaten!W661="Ja",1,0),"")</f>
        <v/>
      </c>
      <c r="P656" s="1" t="str">
        <f>IF(AND(Programme_Grunddaten!$A661="Geprüft",Programme_Grunddaten!X661&lt;&gt;""),IF(Programme_Grunddaten!X661="Ja",1,0),"")</f>
        <v/>
      </c>
      <c r="Q656" s="1" t="str">
        <f>IF(AND(Programme_Grunddaten!$A661="Geprüft",Programme_Grunddaten!Y661&lt;&gt;""),IF(Programme_Grunddaten!Y661="Ja",1,0),"")</f>
        <v/>
      </c>
      <c r="R656" s="1" t="str">
        <f>IF(AND(Programme_Grunddaten!$A661="Geprüft",Programme_Grunddaten!Z661&lt;&gt;""),IF(Programme_Grunddaten!Z661="Ja",1,0),"")</f>
        <v/>
      </c>
      <c r="S656" s="1" t="str">
        <f>IF(AND(Programme_Grunddaten!$A661="Geprüft",Programme_Grunddaten!AA661&lt;&gt;""),IF(Programme_Grunddaten!AA661="monolithisch",1,0),"")</f>
        <v/>
      </c>
      <c r="T656" s="1" t="str">
        <f>IF(AND(Programme_Grunddaten!$A661="Geprüft",Programme_Grunddaten!AB661&lt;&gt;""),IF(Programme_Grunddaten!AB661="Ja",1,0),"")</f>
        <v/>
      </c>
      <c r="U656" s="1" t="str">
        <f>IF(AND(Programme_Grunddaten!$A661="Geprüft",Programme_Grunddaten!AC661&lt;&gt;""),IF(Programme_Grunddaten!AC661="Ja",1,0),"")</f>
        <v/>
      </c>
      <c r="V656" s="1" t="str">
        <f>IF(AND(Programme_Grunddaten!$A661="Geprüft",Programme_Grunddaten!AD661&lt;&gt;""),IF(Programme_Grunddaten!AD661="Ja",1,0),"")</f>
        <v/>
      </c>
      <c r="W656" s="1" t="str">
        <f>IF(AND(Programme_Grunddaten!$A661="Geprüft",Programme_Grunddaten!AE661&lt;&gt;""),IF(Programme_Grunddaten!AE661="Ja",1,0),"")</f>
        <v/>
      </c>
      <c r="X656" s="1" t="str">
        <f>IF(AND(Programme_Grunddaten!$A661="Geprüft",Programme_Grunddaten!AF661&lt;&gt;""),IF(Programme_Grunddaten!AF661="Ja",1,0),"")</f>
        <v/>
      </c>
      <c r="Y656" s="1" t="str">
        <f>IF(AND(Programme_Grunddaten!$A661="Geprüft",Programme_Grunddaten!AG661&lt;&gt;""),IF(Programme_Grunddaten!AG661="Ja",1,0),"")</f>
        <v/>
      </c>
      <c r="Z656" s="1" t="str">
        <f>IF(AND(Programme_Grunddaten!$A661="Geprüft",Programme_Grunddaten!AH661&lt;&gt;""),IF(Programme_Grunddaten!AH661="Ja",1,0),"")</f>
        <v/>
      </c>
      <c r="AA656" s="1" t="str">
        <f>IF(AND(Programme_Grunddaten!$A661="Geprüft",Programme_Grunddaten!AI661&lt;&gt;""),IF(Programme_Grunddaten!AI661="Ja",1,0),"")</f>
        <v/>
      </c>
      <c r="AB656" s="1" t="str">
        <f>IF(AND(Programme_Grunddaten!$A661="Geprüft",Programme_Grunddaten!AJ661&lt;&gt;""),IF(Programme_Grunddaten!AJ661="individuell programmierbar",1,0),"")</f>
        <v/>
      </c>
      <c r="AC656" s="1" t="str">
        <f>IF(AND(Programme_Grunddaten!$A661="Geprüft",Programme_Grunddaten!AK661&lt;&gt;""),IF(Programme_Grunddaten!AK661="Deutsch",0,IF(Programme_Grunddaten!AK661="Deutsch und Englisch",1,2)),"")</f>
        <v/>
      </c>
      <c r="AD656" s="1" t="str">
        <f>IF(AND(Programme_Grunddaten!$A661="Geprüft",Programme_Grunddaten!AL661&lt;&gt;""),IF(Programme_Grunddaten!AL661="Ja",1,0),"")</f>
        <v/>
      </c>
      <c r="AE656" s="1" t="str">
        <f>IF(AND(Programme_Grunddaten!$A661="Geprüft",Programme_Grunddaten!AM661&lt;&gt;""),IF(Programme_Grunddaten!AM661="Ja",1,0),"")</f>
        <v/>
      </c>
      <c r="AF656" s="1" t="str">
        <f>IF(AND(Programme_Grunddaten!$A661="Geprüft",Programme_Grunddaten!AN661&lt;&gt;""),IF(Programme_Grunddaten!AN661="Ja",1,0),"")</f>
        <v/>
      </c>
      <c r="AG656" s="1" t="str">
        <f>IF(AND(Programme_Grunddaten!$A661="Geprüft",Programme_Grunddaten!AO661&lt;&gt;""),IF(Programme_Grunddaten!AO661="Ja",1,0),"")</f>
        <v/>
      </c>
      <c r="AH656" s="1" t="str">
        <f>IF(AND(Programme_Grunddaten!$A661="Geprüft",Programme_Grunddaten!AP661&lt;&gt;""),IF(Programme_Grunddaten!AP661="Ja",1,0),"")</f>
        <v/>
      </c>
      <c r="AI656" s="1" t="str">
        <f>IF(AND(Programme_Grunddaten!$A661="Geprüft",Programme_Grunddaten!AQ661&lt;&gt;""),IF(Programme_Grunddaten!AQ661="Ja",1,0),"")</f>
        <v/>
      </c>
      <c r="AJ656" s="1" t="str">
        <f>IF(AND(Programme_Grunddaten!$A661="Geprüft",Programme_Grunddaten!AR661&lt;&gt;""),IF(Programme_Grunddaten!AR661="Ja",1,0),"")</f>
        <v/>
      </c>
      <c r="AK656" s="1" t="str">
        <f>IF(AND(Programme_Grunddaten!$A661="Geprüft",Programme_Grunddaten!AS661&lt;&gt;""),IF(Programme_Grunddaten!AS661="Ja",1,0),"")</f>
        <v/>
      </c>
      <c r="AL656" s="1" t="str">
        <f>IF(AND(Programme_Grunddaten!$A661="Geprüft",Programme_Grunddaten!AT661&lt;&gt;""),IF(Programme_Grunddaten!AT661="Ja",1,0),"")</f>
        <v/>
      </c>
      <c r="AM656" s="1" t="str">
        <f>IF(AND(Programme_Grunddaten!$A661="Geprüft",Programme_Grunddaten!AU661&lt;&gt;""),IF(Programme_Grunddaten!AU661="Ja",1,0),"")</f>
        <v/>
      </c>
      <c r="AN656" s="1" t="str">
        <f>IF(AND(Programme_Grunddaten!$A661="Geprüft",Programme_Grunddaten!AV661&lt;&gt;""),IF(Programme_Grunddaten!AV661="Ja",1,0),"")</f>
        <v/>
      </c>
    </row>
    <row r="657" spans="1:40" x14ac:dyDescent="0.3">
      <c r="A657" s="1" t="str">
        <f>IF(AND(Programme_Grunddaten!A662="Geprüft",Programme_Grunddaten!B662&lt;&gt;""),Programme_Grunddaten!B662,"")</f>
        <v/>
      </c>
      <c r="B657" s="1" t="str">
        <f>IF(AND(Programme_Grunddaten!$A662="Geprüft",Programme_Grunddaten!I662&lt;&gt;""),IF(Programme_Grunddaten!I662="Ja",1,0),"")</f>
        <v/>
      </c>
      <c r="C657" s="1" t="str">
        <f>IF(AND(Programme_Grunddaten!$A662="Geprüft",Programme_Grunddaten!J662&lt;&gt;""),IF(Programme_Grunddaten!J662="Ja",1,0),"")</f>
        <v/>
      </c>
      <c r="D657" s="1" t="str">
        <f>IF(AND(Programme_Grunddaten!$A662="Geprüft",Programme_Grunddaten!K662&lt;&gt;""),IF(Programme_Grunddaten!K662="Ja",1,0),"")</f>
        <v/>
      </c>
      <c r="E657" s="1" t="str">
        <f>IF(AND(Programme_Grunddaten!$A662="Geprüft",Programme_Grunddaten!L662&lt;&gt;""),IF(Programme_Grunddaten!L662="Abo / befristete Lizenz",1,0),"")</f>
        <v/>
      </c>
      <c r="F657" s="1" t="str">
        <f>IF(AND(Programme_Grunddaten!$A662="Geprüft",Programme_Grunddaten!M662&lt;&gt;""),IF(Programme_Grunddaten!M662="Ja",1,0),"")</f>
        <v/>
      </c>
      <c r="G657" s="1" t="str">
        <f>IF(AND(Programme_Grunddaten!$A662="Geprüft",Programme_Grunddaten!N662&lt;&gt;""),IF(Programme_Grunddaten!N662="Ja",1,0),"")</f>
        <v/>
      </c>
      <c r="H657" s="1" t="str">
        <f>IF(AND(Programme_Grunddaten!$A662="Geprüft",Programme_Grunddaten!O662&lt;&gt;""),IF(Programme_Grunddaten!O662="Deutschland",0,IF(Programme_Grunddaten!O662="EU",1,2)),"")</f>
        <v/>
      </c>
      <c r="I657" s="1" t="str">
        <f>IF(AND(Programme_Grunddaten!$A662="Geprüft",Programme_Grunddaten!P662&lt;&gt;""),IF(Programme_Grunddaten!P662="Ja",1,0),"")</f>
        <v/>
      </c>
      <c r="J657" s="1" t="str">
        <f>IF(AND(Programme_Grunddaten!$A662="Geprüft",Programme_Grunddaten!Q662&lt;&gt;""),IF(Programme_Grunddaten!Q662="geschlossenes System",1,0),"")</f>
        <v/>
      </c>
      <c r="K657" s="1" t="str">
        <f>IF(AND(Programme_Grunddaten!$A662="Geprüft",Programme_Grunddaten!R662&lt;&gt;""),IF(Programme_Grunddaten!R662="Ja",1,0),"")</f>
        <v/>
      </c>
      <c r="L657" s="1" t="str">
        <f>IF(AND(Programme_Grunddaten!$A662="Geprüft",Programme_Grunddaten!T662&lt;&gt;""),IF(Programme_Grunddaten!T662="Ja",1,0),"")</f>
        <v/>
      </c>
      <c r="M657" s="1" t="str">
        <f>IF(AND(Programme_Grunddaten!$A662="Geprüft",Programme_Grunddaten!U662&lt;&gt;""),IF(Programme_Grunddaten!U662="Ja",1,0),"")</f>
        <v/>
      </c>
      <c r="N657" s="1" t="str">
        <f>IF(AND(Programme_Grunddaten!$A662="Geprüft",Programme_Grunddaten!V662&lt;&gt;""),IF(Programme_Grunddaten!V662="Ja",1,0),"")</f>
        <v/>
      </c>
      <c r="O657" s="1" t="str">
        <f>IF(AND(Programme_Grunddaten!$A662="Geprüft",Programme_Grunddaten!W662&lt;&gt;""),IF(Programme_Grunddaten!W662="Ja",1,0),"")</f>
        <v/>
      </c>
      <c r="P657" s="1" t="str">
        <f>IF(AND(Programme_Grunddaten!$A662="Geprüft",Programme_Grunddaten!X662&lt;&gt;""),IF(Programme_Grunddaten!X662="Ja",1,0),"")</f>
        <v/>
      </c>
      <c r="Q657" s="1" t="str">
        <f>IF(AND(Programme_Grunddaten!$A662="Geprüft",Programme_Grunddaten!Y662&lt;&gt;""),IF(Programme_Grunddaten!Y662="Ja",1,0),"")</f>
        <v/>
      </c>
      <c r="R657" s="1" t="str">
        <f>IF(AND(Programme_Grunddaten!$A662="Geprüft",Programme_Grunddaten!Z662&lt;&gt;""),IF(Programme_Grunddaten!Z662="Ja",1,0),"")</f>
        <v/>
      </c>
      <c r="S657" s="1" t="str">
        <f>IF(AND(Programme_Grunddaten!$A662="Geprüft",Programme_Grunddaten!AA662&lt;&gt;""),IF(Programme_Grunddaten!AA662="monolithisch",1,0),"")</f>
        <v/>
      </c>
      <c r="T657" s="1" t="str">
        <f>IF(AND(Programme_Grunddaten!$A662="Geprüft",Programme_Grunddaten!AB662&lt;&gt;""),IF(Programme_Grunddaten!AB662="Ja",1,0),"")</f>
        <v/>
      </c>
      <c r="U657" s="1" t="str">
        <f>IF(AND(Programme_Grunddaten!$A662="Geprüft",Programme_Grunddaten!AC662&lt;&gt;""),IF(Programme_Grunddaten!AC662="Ja",1,0),"")</f>
        <v/>
      </c>
      <c r="V657" s="1" t="str">
        <f>IF(AND(Programme_Grunddaten!$A662="Geprüft",Programme_Grunddaten!AD662&lt;&gt;""),IF(Programme_Grunddaten!AD662="Ja",1,0),"")</f>
        <v/>
      </c>
      <c r="W657" s="1" t="str">
        <f>IF(AND(Programme_Grunddaten!$A662="Geprüft",Programme_Grunddaten!AE662&lt;&gt;""),IF(Programme_Grunddaten!AE662="Ja",1,0),"")</f>
        <v/>
      </c>
      <c r="X657" s="1" t="str">
        <f>IF(AND(Programme_Grunddaten!$A662="Geprüft",Programme_Grunddaten!AF662&lt;&gt;""),IF(Programme_Grunddaten!AF662="Ja",1,0),"")</f>
        <v/>
      </c>
      <c r="Y657" s="1" t="str">
        <f>IF(AND(Programme_Grunddaten!$A662="Geprüft",Programme_Grunddaten!AG662&lt;&gt;""),IF(Programme_Grunddaten!AG662="Ja",1,0),"")</f>
        <v/>
      </c>
      <c r="Z657" s="1" t="str">
        <f>IF(AND(Programme_Grunddaten!$A662="Geprüft",Programme_Grunddaten!AH662&lt;&gt;""),IF(Programme_Grunddaten!AH662="Ja",1,0),"")</f>
        <v/>
      </c>
      <c r="AA657" s="1" t="str">
        <f>IF(AND(Programme_Grunddaten!$A662="Geprüft",Programme_Grunddaten!AI662&lt;&gt;""),IF(Programme_Grunddaten!AI662="Ja",1,0),"")</f>
        <v/>
      </c>
      <c r="AB657" s="1" t="str">
        <f>IF(AND(Programme_Grunddaten!$A662="Geprüft",Programme_Grunddaten!AJ662&lt;&gt;""),IF(Programme_Grunddaten!AJ662="individuell programmierbar",1,0),"")</f>
        <v/>
      </c>
      <c r="AC657" s="1" t="str">
        <f>IF(AND(Programme_Grunddaten!$A662="Geprüft",Programme_Grunddaten!AK662&lt;&gt;""),IF(Programme_Grunddaten!AK662="Deutsch",0,IF(Programme_Grunddaten!AK662="Deutsch und Englisch",1,2)),"")</f>
        <v/>
      </c>
      <c r="AD657" s="1" t="str">
        <f>IF(AND(Programme_Grunddaten!$A662="Geprüft",Programme_Grunddaten!AL662&lt;&gt;""),IF(Programme_Grunddaten!AL662="Ja",1,0),"")</f>
        <v/>
      </c>
      <c r="AE657" s="1" t="str">
        <f>IF(AND(Programme_Grunddaten!$A662="Geprüft",Programme_Grunddaten!AM662&lt;&gt;""),IF(Programme_Grunddaten!AM662="Ja",1,0),"")</f>
        <v/>
      </c>
      <c r="AF657" s="1" t="str">
        <f>IF(AND(Programme_Grunddaten!$A662="Geprüft",Programme_Grunddaten!AN662&lt;&gt;""),IF(Programme_Grunddaten!AN662="Ja",1,0),"")</f>
        <v/>
      </c>
      <c r="AG657" s="1" t="str">
        <f>IF(AND(Programme_Grunddaten!$A662="Geprüft",Programme_Grunddaten!AO662&lt;&gt;""),IF(Programme_Grunddaten!AO662="Ja",1,0),"")</f>
        <v/>
      </c>
      <c r="AH657" s="1" t="str">
        <f>IF(AND(Programme_Grunddaten!$A662="Geprüft",Programme_Grunddaten!AP662&lt;&gt;""),IF(Programme_Grunddaten!AP662="Ja",1,0),"")</f>
        <v/>
      </c>
      <c r="AI657" s="1" t="str">
        <f>IF(AND(Programme_Grunddaten!$A662="Geprüft",Programme_Grunddaten!AQ662&lt;&gt;""),IF(Programme_Grunddaten!AQ662="Ja",1,0),"")</f>
        <v/>
      </c>
      <c r="AJ657" s="1" t="str">
        <f>IF(AND(Programme_Grunddaten!$A662="Geprüft",Programme_Grunddaten!AR662&lt;&gt;""),IF(Programme_Grunddaten!AR662="Ja",1,0),"")</f>
        <v/>
      </c>
      <c r="AK657" s="1" t="str">
        <f>IF(AND(Programme_Grunddaten!$A662="Geprüft",Programme_Grunddaten!AS662&lt;&gt;""),IF(Programme_Grunddaten!AS662="Ja",1,0),"")</f>
        <v/>
      </c>
      <c r="AL657" s="1" t="str">
        <f>IF(AND(Programme_Grunddaten!$A662="Geprüft",Programme_Grunddaten!AT662&lt;&gt;""),IF(Programme_Grunddaten!AT662="Ja",1,0),"")</f>
        <v/>
      </c>
      <c r="AM657" s="1" t="str">
        <f>IF(AND(Programme_Grunddaten!$A662="Geprüft",Programme_Grunddaten!AU662&lt;&gt;""),IF(Programme_Grunddaten!AU662="Ja",1,0),"")</f>
        <v/>
      </c>
      <c r="AN657" s="1" t="str">
        <f>IF(AND(Programme_Grunddaten!$A662="Geprüft",Programme_Grunddaten!AV662&lt;&gt;""),IF(Programme_Grunddaten!AV662="Ja",1,0),"")</f>
        <v/>
      </c>
    </row>
    <row r="658" spans="1:40" x14ac:dyDescent="0.3">
      <c r="A658" s="1" t="str">
        <f>IF(AND(Programme_Grunddaten!A663="Geprüft",Programme_Grunddaten!B663&lt;&gt;""),Programme_Grunddaten!B663,"")</f>
        <v/>
      </c>
      <c r="B658" s="1" t="str">
        <f>IF(AND(Programme_Grunddaten!$A663="Geprüft",Programme_Grunddaten!I663&lt;&gt;""),IF(Programme_Grunddaten!I663="Ja",1,0),"")</f>
        <v/>
      </c>
      <c r="C658" s="1" t="str">
        <f>IF(AND(Programme_Grunddaten!$A663="Geprüft",Programme_Grunddaten!J663&lt;&gt;""),IF(Programme_Grunddaten!J663="Ja",1,0),"")</f>
        <v/>
      </c>
      <c r="D658" s="1" t="str">
        <f>IF(AND(Programme_Grunddaten!$A663="Geprüft",Programme_Grunddaten!K663&lt;&gt;""),IF(Programme_Grunddaten!K663="Ja",1,0),"")</f>
        <v/>
      </c>
      <c r="E658" s="1" t="str">
        <f>IF(AND(Programme_Grunddaten!$A663="Geprüft",Programme_Grunddaten!L663&lt;&gt;""),IF(Programme_Grunddaten!L663="Abo / befristete Lizenz",1,0),"")</f>
        <v/>
      </c>
      <c r="F658" s="1" t="str">
        <f>IF(AND(Programme_Grunddaten!$A663="Geprüft",Programme_Grunddaten!M663&lt;&gt;""),IF(Programme_Grunddaten!M663="Ja",1,0),"")</f>
        <v/>
      </c>
      <c r="G658" s="1" t="str">
        <f>IF(AND(Programme_Grunddaten!$A663="Geprüft",Programme_Grunddaten!N663&lt;&gt;""),IF(Programme_Grunddaten!N663="Ja",1,0),"")</f>
        <v/>
      </c>
      <c r="H658" s="1" t="str">
        <f>IF(AND(Programme_Grunddaten!$A663="Geprüft",Programme_Grunddaten!O663&lt;&gt;""),IF(Programme_Grunddaten!O663="Deutschland",0,IF(Programme_Grunddaten!O663="EU",1,2)),"")</f>
        <v/>
      </c>
      <c r="I658" s="1" t="str">
        <f>IF(AND(Programme_Grunddaten!$A663="Geprüft",Programme_Grunddaten!P663&lt;&gt;""),IF(Programme_Grunddaten!P663="Ja",1,0),"")</f>
        <v/>
      </c>
      <c r="J658" s="1" t="str">
        <f>IF(AND(Programme_Grunddaten!$A663="Geprüft",Programme_Grunddaten!Q663&lt;&gt;""),IF(Programme_Grunddaten!Q663="geschlossenes System",1,0),"")</f>
        <v/>
      </c>
      <c r="K658" s="1" t="str">
        <f>IF(AND(Programme_Grunddaten!$A663="Geprüft",Programme_Grunddaten!R663&lt;&gt;""),IF(Programme_Grunddaten!R663="Ja",1,0),"")</f>
        <v/>
      </c>
      <c r="L658" s="1" t="str">
        <f>IF(AND(Programme_Grunddaten!$A663="Geprüft",Programme_Grunddaten!T663&lt;&gt;""),IF(Programme_Grunddaten!T663="Ja",1,0),"")</f>
        <v/>
      </c>
      <c r="M658" s="1" t="str">
        <f>IF(AND(Programme_Grunddaten!$A663="Geprüft",Programme_Grunddaten!U663&lt;&gt;""),IF(Programme_Grunddaten!U663="Ja",1,0),"")</f>
        <v/>
      </c>
      <c r="N658" s="1" t="str">
        <f>IF(AND(Programme_Grunddaten!$A663="Geprüft",Programme_Grunddaten!V663&lt;&gt;""),IF(Programme_Grunddaten!V663="Ja",1,0),"")</f>
        <v/>
      </c>
      <c r="O658" s="1" t="str">
        <f>IF(AND(Programme_Grunddaten!$A663="Geprüft",Programme_Grunddaten!W663&lt;&gt;""),IF(Programme_Grunddaten!W663="Ja",1,0),"")</f>
        <v/>
      </c>
      <c r="P658" s="1" t="str">
        <f>IF(AND(Programme_Grunddaten!$A663="Geprüft",Programme_Grunddaten!X663&lt;&gt;""),IF(Programme_Grunddaten!X663="Ja",1,0),"")</f>
        <v/>
      </c>
      <c r="Q658" s="1" t="str">
        <f>IF(AND(Programme_Grunddaten!$A663="Geprüft",Programme_Grunddaten!Y663&lt;&gt;""),IF(Programme_Grunddaten!Y663="Ja",1,0),"")</f>
        <v/>
      </c>
      <c r="R658" s="1" t="str">
        <f>IF(AND(Programme_Grunddaten!$A663="Geprüft",Programme_Grunddaten!Z663&lt;&gt;""),IF(Programme_Grunddaten!Z663="Ja",1,0),"")</f>
        <v/>
      </c>
      <c r="S658" s="1" t="str">
        <f>IF(AND(Programme_Grunddaten!$A663="Geprüft",Programme_Grunddaten!AA663&lt;&gt;""),IF(Programme_Grunddaten!AA663="monolithisch",1,0),"")</f>
        <v/>
      </c>
      <c r="T658" s="1" t="str">
        <f>IF(AND(Programme_Grunddaten!$A663="Geprüft",Programme_Grunddaten!AB663&lt;&gt;""),IF(Programme_Grunddaten!AB663="Ja",1,0),"")</f>
        <v/>
      </c>
      <c r="U658" s="1" t="str">
        <f>IF(AND(Programme_Grunddaten!$A663="Geprüft",Programme_Grunddaten!AC663&lt;&gt;""),IF(Programme_Grunddaten!AC663="Ja",1,0),"")</f>
        <v/>
      </c>
      <c r="V658" s="1" t="str">
        <f>IF(AND(Programme_Grunddaten!$A663="Geprüft",Programme_Grunddaten!AD663&lt;&gt;""),IF(Programme_Grunddaten!AD663="Ja",1,0),"")</f>
        <v/>
      </c>
      <c r="W658" s="1" t="str">
        <f>IF(AND(Programme_Grunddaten!$A663="Geprüft",Programme_Grunddaten!AE663&lt;&gt;""),IF(Programme_Grunddaten!AE663="Ja",1,0),"")</f>
        <v/>
      </c>
      <c r="X658" s="1" t="str">
        <f>IF(AND(Programme_Grunddaten!$A663="Geprüft",Programme_Grunddaten!AF663&lt;&gt;""),IF(Programme_Grunddaten!AF663="Ja",1,0),"")</f>
        <v/>
      </c>
      <c r="Y658" s="1" t="str">
        <f>IF(AND(Programme_Grunddaten!$A663="Geprüft",Programme_Grunddaten!AG663&lt;&gt;""),IF(Programme_Grunddaten!AG663="Ja",1,0),"")</f>
        <v/>
      </c>
      <c r="Z658" s="1" t="str">
        <f>IF(AND(Programme_Grunddaten!$A663="Geprüft",Programme_Grunddaten!AH663&lt;&gt;""),IF(Programme_Grunddaten!AH663="Ja",1,0),"")</f>
        <v/>
      </c>
      <c r="AA658" s="1" t="str">
        <f>IF(AND(Programme_Grunddaten!$A663="Geprüft",Programme_Grunddaten!AI663&lt;&gt;""),IF(Programme_Grunddaten!AI663="Ja",1,0),"")</f>
        <v/>
      </c>
      <c r="AB658" s="1" t="str">
        <f>IF(AND(Programme_Grunddaten!$A663="Geprüft",Programme_Grunddaten!AJ663&lt;&gt;""),IF(Programme_Grunddaten!AJ663="individuell programmierbar",1,0),"")</f>
        <v/>
      </c>
      <c r="AC658" s="1" t="str">
        <f>IF(AND(Programme_Grunddaten!$A663="Geprüft",Programme_Grunddaten!AK663&lt;&gt;""),IF(Programme_Grunddaten!AK663="Deutsch",0,IF(Programme_Grunddaten!AK663="Deutsch und Englisch",1,2)),"")</f>
        <v/>
      </c>
      <c r="AD658" s="1" t="str">
        <f>IF(AND(Programme_Grunddaten!$A663="Geprüft",Programme_Grunddaten!AL663&lt;&gt;""),IF(Programme_Grunddaten!AL663="Ja",1,0),"")</f>
        <v/>
      </c>
      <c r="AE658" s="1" t="str">
        <f>IF(AND(Programme_Grunddaten!$A663="Geprüft",Programme_Grunddaten!AM663&lt;&gt;""),IF(Programme_Grunddaten!AM663="Ja",1,0),"")</f>
        <v/>
      </c>
      <c r="AF658" s="1" t="str">
        <f>IF(AND(Programme_Grunddaten!$A663="Geprüft",Programme_Grunddaten!AN663&lt;&gt;""),IF(Programme_Grunddaten!AN663="Ja",1,0),"")</f>
        <v/>
      </c>
      <c r="AG658" s="1" t="str">
        <f>IF(AND(Programme_Grunddaten!$A663="Geprüft",Programme_Grunddaten!AO663&lt;&gt;""),IF(Programme_Grunddaten!AO663="Ja",1,0),"")</f>
        <v/>
      </c>
      <c r="AH658" s="1" t="str">
        <f>IF(AND(Programme_Grunddaten!$A663="Geprüft",Programme_Grunddaten!AP663&lt;&gt;""),IF(Programme_Grunddaten!AP663="Ja",1,0),"")</f>
        <v/>
      </c>
      <c r="AI658" s="1" t="str">
        <f>IF(AND(Programme_Grunddaten!$A663="Geprüft",Programme_Grunddaten!AQ663&lt;&gt;""),IF(Programme_Grunddaten!AQ663="Ja",1,0),"")</f>
        <v/>
      </c>
      <c r="AJ658" s="1" t="str">
        <f>IF(AND(Programme_Grunddaten!$A663="Geprüft",Programme_Grunddaten!AR663&lt;&gt;""),IF(Programme_Grunddaten!AR663="Ja",1,0),"")</f>
        <v/>
      </c>
      <c r="AK658" s="1" t="str">
        <f>IF(AND(Programme_Grunddaten!$A663="Geprüft",Programme_Grunddaten!AS663&lt;&gt;""),IF(Programme_Grunddaten!AS663="Ja",1,0),"")</f>
        <v/>
      </c>
      <c r="AL658" s="1" t="str">
        <f>IF(AND(Programme_Grunddaten!$A663="Geprüft",Programme_Grunddaten!AT663&lt;&gt;""),IF(Programme_Grunddaten!AT663="Ja",1,0),"")</f>
        <v/>
      </c>
      <c r="AM658" s="1" t="str">
        <f>IF(AND(Programme_Grunddaten!$A663="Geprüft",Programme_Grunddaten!AU663&lt;&gt;""),IF(Programme_Grunddaten!AU663="Ja",1,0),"")</f>
        <v/>
      </c>
      <c r="AN658" s="1" t="str">
        <f>IF(AND(Programme_Grunddaten!$A663="Geprüft",Programme_Grunddaten!AV663&lt;&gt;""),IF(Programme_Grunddaten!AV663="Ja",1,0),"")</f>
        <v/>
      </c>
    </row>
    <row r="659" spans="1:40" x14ac:dyDescent="0.3">
      <c r="A659" s="1" t="str">
        <f>IF(AND(Programme_Grunddaten!A664="Geprüft",Programme_Grunddaten!B664&lt;&gt;""),Programme_Grunddaten!B664,"")</f>
        <v/>
      </c>
      <c r="B659" s="1" t="str">
        <f>IF(AND(Programme_Grunddaten!$A664="Geprüft",Programme_Grunddaten!I664&lt;&gt;""),IF(Programme_Grunddaten!I664="Ja",1,0),"")</f>
        <v/>
      </c>
      <c r="C659" s="1" t="str">
        <f>IF(AND(Programme_Grunddaten!$A664="Geprüft",Programme_Grunddaten!J664&lt;&gt;""),IF(Programme_Grunddaten!J664="Ja",1,0),"")</f>
        <v/>
      </c>
      <c r="D659" s="1" t="str">
        <f>IF(AND(Programme_Grunddaten!$A664="Geprüft",Programme_Grunddaten!K664&lt;&gt;""),IF(Programme_Grunddaten!K664="Ja",1,0),"")</f>
        <v/>
      </c>
      <c r="E659" s="1" t="str">
        <f>IF(AND(Programme_Grunddaten!$A664="Geprüft",Programme_Grunddaten!L664&lt;&gt;""),IF(Programme_Grunddaten!L664="Abo / befristete Lizenz",1,0),"")</f>
        <v/>
      </c>
      <c r="F659" s="1" t="str">
        <f>IF(AND(Programme_Grunddaten!$A664="Geprüft",Programme_Grunddaten!M664&lt;&gt;""),IF(Programme_Grunddaten!M664="Ja",1,0),"")</f>
        <v/>
      </c>
      <c r="G659" s="1" t="str">
        <f>IF(AND(Programme_Grunddaten!$A664="Geprüft",Programme_Grunddaten!N664&lt;&gt;""),IF(Programme_Grunddaten!N664="Ja",1,0),"")</f>
        <v/>
      </c>
      <c r="H659" s="1" t="str">
        <f>IF(AND(Programme_Grunddaten!$A664="Geprüft",Programme_Grunddaten!O664&lt;&gt;""),IF(Programme_Grunddaten!O664="Deutschland",0,IF(Programme_Grunddaten!O664="EU",1,2)),"")</f>
        <v/>
      </c>
      <c r="I659" s="1" t="str">
        <f>IF(AND(Programme_Grunddaten!$A664="Geprüft",Programme_Grunddaten!P664&lt;&gt;""),IF(Programme_Grunddaten!P664="Ja",1,0),"")</f>
        <v/>
      </c>
      <c r="J659" s="1" t="str">
        <f>IF(AND(Programme_Grunddaten!$A664="Geprüft",Programme_Grunddaten!Q664&lt;&gt;""),IF(Programme_Grunddaten!Q664="geschlossenes System",1,0),"")</f>
        <v/>
      </c>
      <c r="K659" s="1" t="str">
        <f>IF(AND(Programme_Grunddaten!$A664="Geprüft",Programme_Grunddaten!R664&lt;&gt;""),IF(Programme_Grunddaten!R664="Ja",1,0),"")</f>
        <v/>
      </c>
      <c r="L659" s="1" t="str">
        <f>IF(AND(Programme_Grunddaten!$A664="Geprüft",Programme_Grunddaten!T664&lt;&gt;""),IF(Programme_Grunddaten!T664="Ja",1,0),"")</f>
        <v/>
      </c>
      <c r="M659" s="1" t="str">
        <f>IF(AND(Programme_Grunddaten!$A664="Geprüft",Programme_Grunddaten!U664&lt;&gt;""),IF(Programme_Grunddaten!U664="Ja",1,0),"")</f>
        <v/>
      </c>
      <c r="N659" s="1" t="str">
        <f>IF(AND(Programme_Grunddaten!$A664="Geprüft",Programme_Grunddaten!V664&lt;&gt;""),IF(Programme_Grunddaten!V664="Ja",1,0),"")</f>
        <v/>
      </c>
      <c r="O659" s="1" t="str">
        <f>IF(AND(Programme_Grunddaten!$A664="Geprüft",Programme_Grunddaten!W664&lt;&gt;""),IF(Programme_Grunddaten!W664="Ja",1,0),"")</f>
        <v/>
      </c>
      <c r="P659" s="1" t="str">
        <f>IF(AND(Programme_Grunddaten!$A664="Geprüft",Programme_Grunddaten!X664&lt;&gt;""),IF(Programme_Grunddaten!X664="Ja",1,0),"")</f>
        <v/>
      </c>
      <c r="Q659" s="1" t="str">
        <f>IF(AND(Programme_Grunddaten!$A664="Geprüft",Programme_Grunddaten!Y664&lt;&gt;""),IF(Programme_Grunddaten!Y664="Ja",1,0),"")</f>
        <v/>
      </c>
      <c r="R659" s="1" t="str">
        <f>IF(AND(Programme_Grunddaten!$A664="Geprüft",Programme_Grunddaten!Z664&lt;&gt;""),IF(Programme_Grunddaten!Z664="Ja",1,0),"")</f>
        <v/>
      </c>
      <c r="S659" s="1" t="str">
        <f>IF(AND(Programme_Grunddaten!$A664="Geprüft",Programme_Grunddaten!AA664&lt;&gt;""),IF(Programme_Grunddaten!AA664="monolithisch",1,0),"")</f>
        <v/>
      </c>
      <c r="T659" s="1" t="str">
        <f>IF(AND(Programme_Grunddaten!$A664="Geprüft",Programme_Grunddaten!AB664&lt;&gt;""),IF(Programme_Grunddaten!AB664="Ja",1,0),"")</f>
        <v/>
      </c>
      <c r="U659" s="1" t="str">
        <f>IF(AND(Programme_Grunddaten!$A664="Geprüft",Programme_Grunddaten!AC664&lt;&gt;""),IF(Programme_Grunddaten!AC664="Ja",1,0),"")</f>
        <v/>
      </c>
      <c r="V659" s="1" t="str">
        <f>IF(AND(Programme_Grunddaten!$A664="Geprüft",Programme_Grunddaten!AD664&lt;&gt;""),IF(Programme_Grunddaten!AD664="Ja",1,0),"")</f>
        <v/>
      </c>
      <c r="W659" s="1" t="str">
        <f>IF(AND(Programme_Grunddaten!$A664="Geprüft",Programme_Grunddaten!AE664&lt;&gt;""),IF(Programme_Grunddaten!AE664="Ja",1,0),"")</f>
        <v/>
      </c>
      <c r="X659" s="1" t="str">
        <f>IF(AND(Programme_Grunddaten!$A664="Geprüft",Programme_Grunddaten!AF664&lt;&gt;""),IF(Programme_Grunddaten!AF664="Ja",1,0),"")</f>
        <v/>
      </c>
      <c r="Y659" s="1" t="str">
        <f>IF(AND(Programme_Grunddaten!$A664="Geprüft",Programme_Grunddaten!AG664&lt;&gt;""),IF(Programme_Grunddaten!AG664="Ja",1,0),"")</f>
        <v/>
      </c>
      <c r="Z659" s="1" t="str">
        <f>IF(AND(Programme_Grunddaten!$A664="Geprüft",Programme_Grunddaten!AH664&lt;&gt;""),IF(Programme_Grunddaten!AH664="Ja",1,0),"")</f>
        <v/>
      </c>
      <c r="AA659" s="1" t="str">
        <f>IF(AND(Programme_Grunddaten!$A664="Geprüft",Programme_Grunddaten!AI664&lt;&gt;""),IF(Programme_Grunddaten!AI664="Ja",1,0),"")</f>
        <v/>
      </c>
      <c r="AB659" s="1" t="str">
        <f>IF(AND(Programme_Grunddaten!$A664="Geprüft",Programme_Grunddaten!AJ664&lt;&gt;""),IF(Programme_Grunddaten!AJ664="individuell programmierbar",1,0),"")</f>
        <v/>
      </c>
      <c r="AC659" s="1" t="str">
        <f>IF(AND(Programme_Grunddaten!$A664="Geprüft",Programme_Grunddaten!AK664&lt;&gt;""),IF(Programme_Grunddaten!AK664="Deutsch",0,IF(Programme_Grunddaten!AK664="Deutsch und Englisch",1,2)),"")</f>
        <v/>
      </c>
      <c r="AD659" s="1" t="str">
        <f>IF(AND(Programme_Grunddaten!$A664="Geprüft",Programme_Grunddaten!AL664&lt;&gt;""),IF(Programme_Grunddaten!AL664="Ja",1,0),"")</f>
        <v/>
      </c>
      <c r="AE659" s="1" t="str">
        <f>IF(AND(Programme_Grunddaten!$A664="Geprüft",Programme_Grunddaten!AM664&lt;&gt;""),IF(Programme_Grunddaten!AM664="Ja",1,0),"")</f>
        <v/>
      </c>
      <c r="AF659" s="1" t="str">
        <f>IF(AND(Programme_Grunddaten!$A664="Geprüft",Programme_Grunddaten!AN664&lt;&gt;""),IF(Programme_Grunddaten!AN664="Ja",1,0),"")</f>
        <v/>
      </c>
      <c r="AG659" s="1" t="str">
        <f>IF(AND(Programme_Grunddaten!$A664="Geprüft",Programme_Grunddaten!AO664&lt;&gt;""),IF(Programme_Grunddaten!AO664="Ja",1,0),"")</f>
        <v/>
      </c>
      <c r="AH659" s="1" t="str">
        <f>IF(AND(Programme_Grunddaten!$A664="Geprüft",Programme_Grunddaten!AP664&lt;&gt;""),IF(Programme_Grunddaten!AP664="Ja",1,0),"")</f>
        <v/>
      </c>
      <c r="AI659" s="1" t="str">
        <f>IF(AND(Programme_Grunddaten!$A664="Geprüft",Programme_Grunddaten!AQ664&lt;&gt;""),IF(Programme_Grunddaten!AQ664="Ja",1,0),"")</f>
        <v/>
      </c>
      <c r="AJ659" s="1" t="str">
        <f>IF(AND(Programme_Grunddaten!$A664="Geprüft",Programme_Grunddaten!AR664&lt;&gt;""),IF(Programme_Grunddaten!AR664="Ja",1,0),"")</f>
        <v/>
      </c>
      <c r="AK659" s="1" t="str">
        <f>IF(AND(Programme_Grunddaten!$A664="Geprüft",Programme_Grunddaten!AS664&lt;&gt;""),IF(Programme_Grunddaten!AS664="Ja",1,0),"")</f>
        <v/>
      </c>
      <c r="AL659" s="1" t="str">
        <f>IF(AND(Programme_Grunddaten!$A664="Geprüft",Programme_Grunddaten!AT664&lt;&gt;""),IF(Programme_Grunddaten!AT664="Ja",1,0),"")</f>
        <v/>
      </c>
      <c r="AM659" s="1" t="str">
        <f>IF(AND(Programme_Grunddaten!$A664="Geprüft",Programme_Grunddaten!AU664&lt;&gt;""),IF(Programme_Grunddaten!AU664="Ja",1,0),"")</f>
        <v/>
      </c>
      <c r="AN659" s="1" t="str">
        <f>IF(AND(Programme_Grunddaten!$A664="Geprüft",Programme_Grunddaten!AV664&lt;&gt;""),IF(Programme_Grunddaten!AV664="Ja",1,0),"")</f>
        <v/>
      </c>
    </row>
    <row r="660" spans="1:40" x14ac:dyDescent="0.3">
      <c r="A660" s="1" t="str">
        <f>IF(AND(Programme_Grunddaten!A665="Geprüft",Programme_Grunddaten!B665&lt;&gt;""),Programme_Grunddaten!B665,"")</f>
        <v/>
      </c>
      <c r="B660" s="1" t="str">
        <f>IF(AND(Programme_Grunddaten!$A665="Geprüft",Programme_Grunddaten!I665&lt;&gt;""),IF(Programme_Grunddaten!I665="Ja",1,0),"")</f>
        <v/>
      </c>
      <c r="C660" s="1" t="str">
        <f>IF(AND(Programme_Grunddaten!$A665="Geprüft",Programme_Grunddaten!J665&lt;&gt;""),IF(Programme_Grunddaten!J665="Ja",1,0),"")</f>
        <v/>
      </c>
      <c r="D660" s="1" t="str">
        <f>IF(AND(Programme_Grunddaten!$A665="Geprüft",Programme_Grunddaten!K665&lt;&gt;""),IF(Programme_Grunddaten!K665="Ja",1,0),"")</f>
        <v/>
      </c>
      <c r="E660" s="1" t="str">
        <f>IF(AND(Programme_Grunddaten!$A665="Geprüft",Programme_Grunddaten!L665&lt;&gt;""),IF(Programme_Grunddaten!L665="Abo / befristete Lizenz",1,0),"")</f>
        <v/>
      </c>
      <c r="F660" s="1" t="str">
        <f>IF(AND(Programme_Grunddaten!$A665="Geprüft",Programme_Grunddaten!M665&lt;&gt;""),IF(Programme_Grunddaten!M665="Ja",1,0),"")</f>
        <v/>
      </c>
      <c r="G660" s="1" t="str">
        <f>IF(AND(Programme_Grunddaten!$A665="Geprüft",Programme_Grunddaten!N665&lt;&gt;""),IF(Programme_Grunddaten!N665="Ja",1,0),"")</f>
        <v/>
      </c>
      <c r="H660" s="1" t="str">
        <f>IF(AND(Programme_Grunddaten!$A665="Geprüft",Programme_Grunddaten!O665&lt;&gt;""),IF(Programme_Grunddaten!O665="Deutschland",0,IF(Programme_Grunddaten!O665="EU",1,2)),"")</f>
        <v/>
      </c>
      <c r="I660" s="1" t="str">
        <f>IF(AND(Programme_Grunddaten!$A665="Geprüft",Programme_Grunddaten!P665&lt;&gt;""),IF(Programme_Grunddaten!P665="Ja",1,0),"")</f>
        <v/>
      </c>
      <c r="J660" s="1" t="str">
        <f>IF(AND(Programme_Grunddaten!$A665="Geprüft",Programme_Grunddaten!Q665&lt;&gt;""),IF(Programme_Grunddaten!Q665="geschlossenes System",1,0),"")</f>
        <v/>
      </c>
      <c r="K660" s="1" t="str">
        <f>IF(AND(Programme_Grunddaten!$A665="Geprüft",Programme_Grunddaten!R665&lt;&gt;""),IF(Programme_Grunddaten!R665="Ja",1,0),"")</f>
        <v/>
      </c>
      <c r="L660" s="1" t="str">
        <f>IF(AND(Programme_Grunddaten!$A665="Geprüft",Programme_Grunddaten!T665&lt;&gt;""),IF(Programme_Grunddaten!T665="Ja",1,0),"")</f>
        <v/>
      </c>
      <c r="M660" s="1" t="str">
        <f>IF(AND(Programme_Grunddaten!$A665="Geprüft",Programme_Grunddaten!U665&lt;&gt;""),IF(Programme_Grunddaten!U665="Ja",1,0),"")</f>
        <v/>
      </c>
      <c r="N660" s="1" t="str">
        <f>IF(AND(Programme_Grunddaten!$A665="Geprüft",Programme_Grunddaten!V665&lt;&gt;""),IF(Programme_Grunddaten!V665="Ja",1,0),"")</f>
        <v/>
      </c>
      <c r="O660" s="1" t="str">
        <f>IF(AND(Programme_Grunddaten!$A665="Geprüft",Programme_Grunddaten!W665&lt;&gt;""),IF(Programme_Grunddaten!W665="Ja",1,0),"")</f>
        <v/>
      </c>
      <c r="P660" s="1" t="str">
        <f>IF(AND(Programme_Grunddaten!$A665="Geprüft",Programme_Grunddaten!X665&lt;&gt;""),IF(Programme_Grunddaten!X665="Ja",1,0),"")</f>
        <v/>
      </c>
      <c r="Q660" s="1" t="str">
        <f>IF(AND(Programme_Grunddaten!$A665="Geprüft",Programme_Grunddaten!Y665&lt;&gt;""),IF(Programme_Grunddaten!Y665="Ja",1,0),"")</f>
        <v/>
      </c>
      <c r="R660" s="1" t="str">
        <f>IF(AND(Programme_Grunddaten!$A665="Geprüft",Programme_Grunddaten!Z665&lt;&gt;""),IF(Programme_Grunddaten!Z665="Ja",1,0),"")</f>
        <v/>
      </c>
      <c r="S660" s="1" t="str">
        <f>IF(AND(Programme_Grunddaten!$A665="Geprüft",Programme_Grunddaten!AA665&lt;&gt;""),IF(Programme_Grunddaten!AA665="monolithisch",1,0),"")</f>
        <v/>
      </c>
      <c r="T660" s="1" t="str">
        <f>IF(AND(Programme_Grunddaten!$A665="Geprüft",Programme_Grunddaten!AB665&lt;&gt;""),IF(Programme_Grunddaten!AB665="Ja",1,0),"")</f>
        <v/>
      </c>
      <c r="U660" s="1" t="str">
        <f>IF(AND(Programme_Grunddaten!$A665="Geprüft",Programme_Grunddaten!AC665&lt;&gt;""),IF(Programme_Grunddaten!AC665="Ja",1,0),"")</f>
        <v/>
      </c>
      <c r="V660" s="1" t="str">
        <f>IF(AND(Programme_Grunddaten!$A665="Geprüft",Programme_Grunddaten!AD665&lt;&gt;""),IF(Programme_Grunddaten!AD665="Ja",1,0),"")</f>
        <v/>
      </c>
      <c r="W660" s="1" t="str">
        <f>IF(AND(Programme_Grunddaten!$A665="Geprüft",Programme_Grunddaten!AE665&lt;&gt;""),IF(Programme_Grunddaten!AE665="Ja",1,0),"")</f>
        <v/>
      </c>
      <c r="X660" s="1" t="str">
        <f>IF(AND(Programme_Grunddaten!$A665="Geprüft",Programme_Grunddaten!AF665&lt;&gt;""),IF(Programme_Grunddaten!AF665="Ja",1,0),"")</f>
        <v/>
      </c>
      <c r="Y660" s="1" t="str">
        <f>IF(AND(Programme_Grunddaten!$A665="Geprüft",Programme_Grunddaten!AG665&lt;&gt;""),IF(Programme_Grunddaten!AG665="Ja",1,0),"")</f>
        <v/>
      </c>
      <c r="Z660" s="1" t="str">
        <f>IF(AND(Programme_Grunddaten!$A665="Geprüft",Programme_Grunddaten!AH665&lt;&gt;""),IF(Programme_Grunddaten!AH665="Ja",1,0),"")</f>
        <v/>
      </c>
      <c r="AA660" s="1" t="str">
        <f>IF(AND(Programme_Grunddaten!$A665="Geprüft",Programme_Grunddaten!AI665&lt;&gt;""),IF(Programme_Grunddaten!AI665="Ja",1,0),"")</f>
        <v/>
      </c>
      <c r="AB660" s="1" t="str">
        <f>IF(AND(Programme_Grunddaten!$A665="Geprüft",Programme_Grunddaten!AJ665&lt;&gt;""),IF(Programme_Grunddaten!AJ665="individuell programmierbar",1,0),"")</f>
        <v/>
      </c>
      <c r="AC660" s="1" t="str">
        <f>IF(AND(Programme_Grunddaten!$A665="Geprüft",Programme_Grunddaten!AK665&lt;&gt;""),IF(Programme_Grunddaten!AK665="Deutsch",0,IF(Programme_Grunddaten!AK665="Deutsch und Englisch",1,2)),"")</f>
        <v/>
      </c>
      <c r="AD660" s="1" t="str">
        <f>IF(AND(Programme_Grunddaten!$A665="Geprüft",Programme_Grunddaten!AL665&lt;&gt;""),IF(Programme_Grunddaten!AL665="Ja",1,0),"")</f>
        <v/>
      </c>
      <c r="AE660" s="1" t="str">
        <f>IF(AND(Programme_Grunddaten!$A665="Geprüft",Programme_Grunddaten!AM665&lt;&gt;""),IF(Programme_Grunddaten!AM665="Ja",1,0),"")</f>
        <v/>
      </c>
      <c r="AF660" s="1" t="str">
        <f>IF(AND(Programme_Grunddaten!$A665="Geprüft",Programme_Grunddaten!AN665&lt;&gt;""),IF(Programme_Grunddaten!AN665="Ja",1,0),"")</f>
        <v/>
      </c>
      <c r="AG660" s="1" t="str">
        <f>IF(AND(Programme_Grunddaten!$A665="Geprüft",Programme_Grunddaten!AO665&lt;&gt;""),IF(Programme_Grunddaten!AO665="Ja",1,0),"")</f>
        <v/>
      </c>
      <c r="AH660" s="1" t="str">
        <f>IF(AND(Programme_Grunddaten!$A665="Geprüft",Programme_Grunddaten!AP665&lt;&gt;""),IF(Programme_Grunddaten!AP665="Ja",1,0),"")</f>
        <v/>
      </c>
      <c r="AI660" s="1" t="str">
        <f>IF(AND(Programme_Grunddaten!$A665="Geprüft",Programme_Grunddaten!AQ665&lt;&gt;""),IF(Programme_Grunddaten!AQ665="Ja",1,0),"")</f>
        <v/>
      </c>
      <c r="AJ660" s="1" t="str">
        <f>IF(AND(Programme_Grunddaten!$A665="Geprüft",Programme_Grunddaten!AR665&lt;&gt;""),IF(Programme_Grunddaten!AR665="Ja",1,0),"")</f>
        <v/>
      </c>
      <c r="AK660" s="1" t="str">
        <f>IF(AND(Programme_Grunddaten!$A665="Geprüft",Programme_Grunddaten!AS665&lt;&gt;""),IF(Programme_Grunddaten!AS665="Ja",1,0),"")</f>
        <v/>
      </c>
      <c r="AL660" s="1" t="str">
        <f>IF(AND(Programme_Grunddaten!$A665="Geprüft",Programme_Grunddaten!AT665&lt;&gt;""),IF(Programme_Grunddaten!AT665="Ja",1,0),"")</f>
        <v/>
      </c>
      <c r="AM660" s="1" t="str">
        <f>IF(AND(Programme_Grunddaten!$A665="Geprüft",Programme_Grunddaten!AU665&lt;&gt;""),IF(Programme_Grunddaten!AU665="Ja",1,0),"")</f>
        <v/>
      </c>
      <c r="AN660" s="1" t="str">
        <f>IF(AND(Programme_Grunddaten!$A665="Geprüft",Programme_Grunddaten!AV665&lt;&gt;""),IF(Programme_Grunddaten!AV665="Ja",1,0),"")</f>
        <v/>
      </c>
    </row>
    <row r="661" spans="1:40" x14ac:dyDescent="0.3">
      <c r="A661" s="1" t="str">
        <f>IF(AND(Programme_Grunddaten!A666="Geprüft",Programme_Grunddaten!B666&lt;&gt;""),Programme_Grunddaten!B666,"")</f>
        <v/>
      </c>
      <c r="B661" s="1" t="str">
        <f>IF(AND(Programme_Grunddaten!$A666="Geprüft",Programme_Grunddaten!I666&lt;&gt;""),IF(Programme_Grunddaten!I666="Ja",1,0),"")</f>
        <v/>
      </c>
      <c r="C661" s="1" t="str">
        <f>IF(AND(Programme_Grunddaten!$A666="Geprüft",Programme_Grunddaten!J666&lt;&gt;""),IF(Programme_Grunddaten!J666="Ja",1,0),"")</f>
        <v/>
      </c>
      <c r="D661" s="1" t="str">
        <f>IF(AND(Programme_Grunddaten!$A666="Geprüft",Programme_Grunddaten!K666&lt;&gt;""),IF(Programme_Grunddaten!K666="Ja",1,0),"")</f>
        <v/>
      </c>
      <c r="E661" s="1" t="str">
        <f>IF(AND(Programme_Grunddaten!$A666="Geprüft",Programme_Grunddaten!L666&lt;&gt;""),IF(Programme_Grunddaten!L666="Abo / befristete Lizenz",1,0),"")</f>
        <v/>
      </c>
      <c r="F661" s="1" t="str">
        <f>IF(AND(Programme_Grunddaten!$A666="Geprüft",Programme_Grunddaten!M666&lt;&gt;""),IF(Programme_Grunddaten!M666="Ja",1,0),"")</f>
        <v/>
      </c>
      <c r="G661" s="1" t="str">
        <f>IF(AND(Programme_Grunddaten!$A666="Geprüft",Programme_Grunddaten!N666&lt;&gt;""),IF(Programme_Grunddaten!N666="Ja",1,0),"")</f>
        <v/>
      </c>
      <c r="H661" s="1" t="str">
        <f>IF(AND(Programme_Grunddaten!$A666="Geprüft",Programme_Grunddaten!O666&lt;&gt;""),IF(Programme_Grunddaten!O666="Deutschland",0,IF(Programme_Grunddaten!O666="EU",1,2)),"")</f>
        <v/>
      </c>
      <c r="I661" s="1" t="str">
        <f>IF(AND(Programme_Grunddaten!$A666="Geprüft",Programme_Grunddaten!P666&lt;&gt;""),IF(Programme_Grunddaten!P666="Ja",1,0),"")</f>
        <v/>
      </c>
      <c r="J661" s="1" t="str">
        <f>IF(AND(Programme_Grunddaten!$A666="Geprüft",Programme_Grunddaten!Q666&lt;&gt;""),IF(Programme_Grunddaten!Q666="geschlossenes System",1,0),"")</f>
        <v/>
      </c>
      <c r="K661" s="1" t="str">
        <f>IF(AND(Programme_Grunddaten!$A666="Geprüft",Programme_Grunddaten!R666&lt;&gt;""),IF(Programme_Grunddaten!R666="Ja",1,0),"")</f>
        <v/>
      </c>
      <c r="L661" s="1" t="str">
        <f>IF(AND(Programme_Grunddaten!$A666="Geprüft",Programme_Grunddaten!T666&lt;&gt;""),IF(Programme_Grunddaten!T666="Ja",1,0),"")</f>
        <v/>
      </c>
      <c r="M661" s="1" t="str">
        <f>IF(AND(Programme_Grunddaten!$A666="Geprüft",Programme_Grunddaten!U666&lt;&gt;""),IF(Programme_Grunddaten!U666="Ja",1,0),"")</f>
        <v/>
      </c>
      <c r="N661" s="1" t="str">
        <f>IF(AND(Programme_Grunddaten!$A666="Geprüft",Programme_Grunddaten!V666&lt;&gt;""),IF(Programme_Grunddaten!V666="Ja",1,0),"")</f>
        <v/>
      </c>
      <c r="O661" s="1" t="str">
        <f>IF(AND(Programme_Grunddaten!$A666="Geprüft",Programme_Grunddaten!W666&lt;&gt;""),IF(Programme_Grunddaten!W666="Ja",1,0),"")</f>
        <v/>
      </c>
      <c r="P661" s="1" t="str">
        <f>IF(AND(Programme_Grunddaten!$A666="Geprüft",Programme_Grunddaten!X666&lt;&gt;""),IF(Programme_Grunddaten!X666="Ja",1,0),"")</f>
        <v/>
      </c>
      <c r="Q661" s="1" t="str">
        <f>IF(AND(Programme_Grunddaten!$A666="Geprüft",Programme_Grunddaten!Y666&lt;&gt;""),IF(Programme_Grunddaten!Y666="Ja",1,0),"")</f>
        <v/>
      </c>
      <c r="R661" s="1" t="str">
        <f>IF(AND(Programme_Grunddaten!$A666="Geprüft",Programme_Grunddaten!Z666&lt;&gt;""),IF(Programme_Grunddaten!Z666="Ja",1,0),"")</f>
        <v/>
      </c>
      <c r="S661" s="1" t="str">
        <f>IF(AND(Programme_Grunddaten!$A666="Geprüft",Programme_Grunddaten!AA666&lt;&gt;""),IF(Programme_Grunddaten!AA666="monolithisch",1,0),"")</f>
        <v/>
      </c>
      <c r="T661" s="1" t="str">
        <f>IF(AND(Programme_Grunddaten!$A666="Geprüft",Programme_Grunddaten!AB666&lt;&gt;""),IF(Programme_Grunddaten!AB666="Ja",1,0),"")</f>
        <v/>
      </c>
      <c r="U661" s="1" t="str">
        <f>IF(AND(Programme_Grunddaten!$A666="Geprüft",Programme_Grunddaten!AC666&lt;&gt;""),IF(Programme_Grunddaten!AC666="Ja",1,0),"")</f>
        <v/>
      </c>
      <c r="V661" s="1" t="str">
        <f>IF(AND(Programme_Grunddaten!$A666="Geprüft",Programme_Grunddaten!AD666&lt;&gt;""),IF(Programme_Grunddaten!AD666="Ja",1,0),"")</f>
        <v/>
      </c>
      <c r="W661" s="1" t="str">
        <f>IF(AND(Programme_Grunddaten!$A666="Geprüft",Programme_Grunddaten!AE666&lt;&gt;""),IF(Programme_Grunddaten!AE666="Ja",1,0),"")</f>
        <v/>
      </c>
      <c r="X661" s="1" t="str">
        <f>IF(AND(Programme_Grunddaten!$A666="Geprüft",Programme_Grunddaten!AF666&lt;&gt;""),IF(Programme_Grunddaten!AF666="Ja",1,0),"")</f>
        <v/>
      </c>
      <c r="Y661" s="1" t="str">
        <f>IF(AND(Programme_Grunddaten!$A666="Geprüft",Programme_Grunddaten!AG666&lt;&gt;""),IF(Programme_Grunddaten!AG666="Ja",1,0),"")</f>
        <v/>
      </c>
      <c r="Z661" s="1" t="str">
        <f>IF(AND(Programme_Grunddaten!$A666="Geprüft",Programme_Grunddaten!AH666&lt;&gt;""),IF(Programme_Grunddaten!AH666="Ja",1,0),"")</f>
        <v/>
      </c>
      <c r="AA661" s="1" t="str">
        <f>IF(AND(Programme_Grunddaten!$A666="Geprüft",Programme_Grunddaten!AI666&lt;&gt;""),IF(Programme_Grunddaten!AI666="Ja",1,0),"")</f>
        <v/>
      </c>
      <c r="AB661" s="1" t="str">
        <f>IF(AND(Programme_Grunddaten!$A666="Geprüft",Programme_Grunddaten!AJ666&lt;&gt;""),IF(Programme_Grunddaten!AJ666="individuell programmierbar",1,0),"")</f>
        <v/>
      </c>
      <c r="AC661" s="1" t="str">
        <f>IF(AND(Programme_Grunddaten!$A666="Geprüft",Programme_Grunddaten!AK666&lt;&gt;""),IF(Programme_Grunddaten!AK666="Deutsch",0,IF(Programme_Grunddaten!AK666="Deutsch und Englisch",1,2)),"")</f>
        <v/>
      </c>
      <c r="AD661" s="1" t="str">
        <f>IF(AND(Programme_Grunddaten!$A666="Geprüft",Programme_Grunddaten!AL666&lt;&gt;""),IF(Programme_Grunddaten!AL666="Ja",1,0),"")</f>
        <v/>
      </c>
      <c r="AE661" s="1" t="str">
        <f>IF(AND(Programme_Grunddaten!$A666="Geprüft",Programme_Grunddaten!AM666&lt;&gt;""),IF(Programme_Grunddaten!AM666="Ja",1,0),"")</f>
        <v/>
      </c>
      <c r="AF661" s="1" t="str">
        <f>IF(AND(Programme_Grunddaten!$A666="Geprüft",Programme_Grunddaten!AN666&lt;&gt;""),IF(Programme_Grunddaten!AN666="Ja",1,0),"")</f>
        <v/>
      </c>
      <c r="AG661" s="1" t="str">
        <f>IF(AND(Programme_Grunddaten!$A666="Geprüft",Programme_Grunddaten!AO666&lt;&gt;""),IF(Programme_Grunddaten!AO666="Ja",1,0),"")</f>
        <v/>
      </c>
      <c r="AH661" s="1" t="str">
        <f>IF(AND(Programme_Grunddaten!$A666="Geprüft",Programme_Grunddaten!AP666&lt;&gt;""),IF(Programme_Grunddaten!AP666="Ja",1,0),"")</f>
        <v/>
      </c>
      <c r="AI661" s="1" t="str">
        <f>IF(AND(Programme_Grunddaten!$A666="Geprüft",Programme_Grunddaten!AQ666&lt;&gt;""),IF(Programme_Grunddaten!AQ666="Ja",1,0),"")</f>
        <v/>
      </c>
      <c r="AJ661" s="1" t="str">
        <f>IF(AND(Programme_Grunddaten!$A666="Geprüft",Programme_Grunddaten!AR666&lt;&gt;""),IF(Programme_Grunddaten!AR666="Ja",1,0),"")</f>
        <v/>
      </c>
      <c r="AK661" s="1" t="str">
        <f>IF(AND(Programme_Grunddaten!$A666="Geprüft",Programme_Grunddaten!AS666&lt;&gt;""),IF(Programme_Grunddaten!AS666="Ja",1,0),"")</f>
        <v/>
      </c>
      <c r="AL661" s="1" t="str">
        <f>IF(AND(Programme_Grunddaten!$A666="Geprüft",Programme_Grunddaten!AT666&lt;&gt;""),IF(Programme_Grunddaten!AT666="Ja",1,0),"")</f>
        <v/>
      </c>
      <c r="AM661" s="1" t="str">
        <f>IF(AND(Programme_Grunddaten!$A666="Geprüft",Programme_Grunddaten!AU666&lt;&gt;""),IF(Programme_Grunddaten!AU666="Ja",1,0),"")</f>
        <v/>
      </c>
      <c r="AN661" s="1" t="str">
        <f>IF(AND(Programme_Grunddaten!$A666="Geprüft",Programme_Grunddaten!AV666&lt;&gt;""),IF(Programme_Grunddaten!AV666="Ja",1,0),"")</f>
        <v/>
      </c>
    </row>
    <row r="662" spans="1:40" x14ac:dyDescent="0.3">
      <c r="A662" s="1" t="str">
        <f>IF(AND(Programme_Grunddaten!A667="Geprüft",Programme_Grunddaten!B667&lt;&gt;""),Programme_Grunddaten!B667,"")</f>
        <v/>
      </c>
      <c r="B662" s="1" t="str">
        <f>IF(AND(Programme_Grunddaten!$A667="Geprüft",Programme_Grunddaten!I667&lt;&gt;""),IF(Programme_Grunddaten!I667="Ja",1,0),"")</f>
        <v/>
      </c>
      <c r="C662" s="1" t="str">
        <f>IF(AND(Programme_Grunddaten!$A667="Geprüft",Programme_Grunddaten!J667&lt;&gt;""),IF(Programme_Grunddaten!J667="Ja",1,0),"")</f>
        <v/>
      </c>
      <c r="D662" s="1" t="str">
        <f>IF(AND(Programme_Grunddaten!$A667="Geprüft",Programme_Grunddaten!K667&lt;&gt;""),IF(Programme_Grunddaten!K667="Ja",1,0),"")</f>
        <v/>
      </c>
      <c r="E662" s="1" t="str">
        <f>IF(AND(Programme_Grunddaten!$A667="Geprüft",Programme_Grunddaten!L667&lt;&gt;""),IF(Programme_Grunddaten!L667="Abo / befristete Lizenz",1,0),"")</f>
        <v/>
      </c>
      <c r="F662" s="1" t="str">
        <f>IF(AND(Programme_Grunddaten!$A667="Geprüft",Programme_Grunddaten!M667&lt;&gt;""),IF(Programme_Grunddaten!M667="Ja",1,0),"")</f>
        <v/>
      </c>
      <c r="G662" s="1" t="str">
        <f>IF(AND(Programme_Grunddaten!$A667="Geprüft",Programme_Grunddaten!N667&lt;&gt;""),IF(Programme_Grunddaten!N667="Ja",1,0),"")</f>
        <v/>
      </c>
      <c r="H662" s="1" t="str">
        <f>IF(AND(Programme_Grunddaten!$A667="Geprüft",Programme_Grunddaten!O667&lt;&gt;""),IF(Programme_Grunddaten!O667="Deutschland",0,IF(Programme_Grunddaten!O667="EU",1,2)),"")</f>
        <v/>
      </c>
      <c r="I662" s="1" t="str">
        <f>IF(AND(Programme_Grunddaten!$A667="Geprüft",Programme_Grunddaten!P667&lt;&gt;""),IF(Programme_Grunddaten!P667="Ja",1,0),"")</f>
        <v/>
      </c>
      <c r="J662" s="1" t="str">
        <f>IF(AND(Programme_Grunddaten!$A667="Geprüft",Programme_Grunddaten!Q667&lt;&gt;""),IF(Programme_Grunddaten!Q667="geschlossenes System",1,0),"")</f>
        <v/>
      </c>
      <c r="K662" s="1" t="str">
        <f>IF(AND(Programme_Grunddaten!$A667="Geprüft",Programme_Grunddaten!R667&lt;&gt;""),IF(Programme_Grunddaten!R667="Ja",1,0),"")</f>
        <v/>
      </c>
      <c r="L662" s="1" t="str">
        <f>IF(AND(Programme_Grunddaten!$A667="Geprüft",Programme_Grunddaten!T667&lt;&gt;""),IF(Programme_Grunddaten!T667="Ja",1,0),"")</f>
        <v/>
      </c>
      <c r="M662" s="1" t="str">
        <f>IF(AND(Programme_Grunddaten!$A667="Geprüft",Programme_Grunddaten!U667&lt;&gt;""),IF(Programme_Grunddaten!U667="Ja",1,0),"")</f>
        <v/>
      </c>
      <c r="N662" s="1" t="str">
        <f>IF(AND(Programme_Grunddaten!$A667="Geprüft",Programme_Grunddaten!V667&lt;&gt;""),IF(Programme_Grunddaten!V667="Ja",1,0),"")</f>
        <v/>
      </c>
      <c r="O662" s="1" t="str">
        <f>IF(AND(Programme_Grunddaten!$A667="Geprüft",Programme_Grunddaten!W667&lt;&gt;""),IF(Programme_Grunddaten!W667="Ja",1,0),"")</f>
        <v/>
      </c>
      <c r="P662" s="1" t="str">
        <f>IF(AND(Programme_Grunddaten!$A667="Geprüft",Programme_Grunddaten!X667&lt;&gt;""),IF(Programme_Grunddaten!X667="Ja",1,0),"")</f>
        <v/>
      </c>
      <c r="Q662" s="1" t="str">
        <f>IF(AND(Programme_Grunddaten!$A667="Geprüft",Programme_Grunddaten!Y667&lt;&gt;""),IF(Programme_Grunddaten!Y667="Ja",1,0),"")</f>
        <v/>
      </c>
      <c r="R662" s="1" t="str">
        <f>IF(AND(Programme_Grunddaten!$A667="Geprüft",Programme_Grunddaten!Z667&lt;&gt;""),IF(Programme_Grunddaten!Z667="Ja",1,0),"")</f>
        <v/>
      </c>
      <c r="S662" s="1" t="str">
        <f>IF(AND(Programme_Grunddaten!$A667="Geprüft",Programme_Grunddaten!AA667&lt;&gt;""),IF(Programme_Grunddaten!AA667="monolithisch",1,0),"")</f>
        <v/>
      </c>
      <c r="T662" s="1" t="str">
        <f>IF(AND(Programme_Grunddaten!$A667="Geprüft",Programme_Grunddaten!AB667&lt;&gt;""),IF(Programme_Grunddaten!AB667="Ja",1,0),"")</f>
        <v/>
      </c>
      <c r="U662" s="1" t="str">
        <f>IF(AND(Programme_Grunddaten!$A667="Geprüft",Programme_Grunddaten!AC667&lt;&gt;""),IF(Programme_Grunddaten!AC667="Ja",1,0),"")</f>
        <v/>
      </c>
      <c r="V662" s="1" t="str">
        <f>IF(AND(Programme_Grunddaten!$A667="Geprüft",Programme_Grunddaten!AD667&lt;&gt;""),IF(Programme_Grunddaten!AD667="Ja",1,0),"")</f>
        <v/>
      </c>
      <c r="W662" s="1" t="str">
        <f>IF(AND(Programme_Grunddaten!$A667="Geprüft",Programme_Grunddaten!AE667&lt;&gt;""),IF(Programme_Grunddaten!AE667="Ja",1,0),"")</f>
        <v/>
      </c>
      <c r="X662" s="1" t="str">
        <f>IF(AND(Programme_Grunddaten!$A667="Geprüft",Programme_Grunddaten!AF667&lt;&gt;""),IF(Programme_Grunddaten!AF667="Ja",1,0),"")</f>
        <v/>
      </c>
      <c r="Y662" s="1" t="str">
        <f>IF(AND(Programme_Grunddaten!$A667="Geprüft",Programme_Grunddaten!AG667&lt;&gt;""),IF(Programme_Grunddaten!AG667="Ja",1,0),"")</f>
        <v/>
      </c>
      <c r="Z662" s="1" t="str">
        <f>IF(AND(Programme_Grunddaten!$A667="Geprüft",Programme_Grunddaten!AH667&lt;&gt;""),IF(Programme_Grunddaten!AH667="Ja",1,0),"")</f>
        <v/>
      </c>
      <c r="AA662" s="1" t="str">
        <f>IF(AND(Programme_Grunddaten!$A667="Geprüft",Programme_Grunddaten!AI667&lt;&gt;""),IF(Programme_Grunddaten!AI667="Ja",1,0),"")</f>
        <v/>
      </c>
      <c r="AB662" s="1" t="str">
        <f>IF(AND(Programme_Grunddaten!$A667="Geprüft",Programme_Grunddaten!AJ667&lt;&gt;""),IF(Programme_Grunddaten!AJ667="individuell programmierbar",1,0),"")</f>
        <v/>
      </c>
      <c r="AC662" s="1" t="str">
        <f>IF(AND(Programme_Grunddaten!$A667="Geprüft",Programme_Grunddaten!AK667&lt;&gt;""),IF(Programme_Grunddaten!AK667="Deutsch",0,IF(Programme_Grunddaten!AK667="Deutsch und Englisch",1,2)),"")</f>
        <v/>
      </c>
      <c r="AD662" s="1" t="str">
        <f>IF(AND(Programme_Grunddaten!$A667="Geprüft",Programme_Grunddaten!AL667&lt;&gt;""),IF(Programme_Grunddaten!AL667="Ja",1,0),"")</f>
        <v/>
      </c>
      <c r="AE662" s="1" t="str">
        <f>IF(AND(Programme_Grunddaten!$A667="Geprüft",Programme_Grunddaten!AM667&lt;&gt;""),IF(Programme_Grunddaten!AM667="Ja",1,0),"")</f>
        <v/>
      </c>
      <c r="AF662" s="1" t="str">
        <f>IF(AND(Programme_Grunddaten!$A667="Geprüft",Programme_Grunddaten!AN667&lt;&gt;""),IF(Programme_Grunddaten!AN667="Ja",1,0),"")</f>
        <v/>
      </c>
      <c r="AG662" s="1" t="str">
        <f>IF(AND(Programme_Grunddaten!$A667="Geprüft",Programme_Grunddaten!AO667&lt;&gt;""),IF(Programme_Grunddaten!AO667="Ja",1,0),"")</f>
        <v/>
      </c>
      <c r="AH662" s="1" t="str">
        <f>IF(AND(Programme_Grunddaten!$A667="Geprüft",Programme_Grunddaten!AP667&lt;&gt;""),IF(Programme_Grunddaten!AP667="Ja",1,0),"")</f>
        <v/>
      </c>
      <c r="AI662" s="1" t="str">
        <f>IF(AND(Programme_Grunddaten!$A667="Geprüft",Programme_Grunddaten!AQ667&lt;&gt;""),IF(Programme_Grunddaten!AQ667="Ja",1,0),"")</f>
        <v/>
      </c>
      <c r="AJ662" s="1" t="str">
        <f>IF(AND(Programme_Grunddaten!$A667="Geprüft",Programme_Grunddaten!AR667&lt;&gt;""),IF(Programme_Grunddaten!AR667="Ja",1,0),"")</f>
        <v/>
      </c>
      <c r="AK662" s="1" t="str">
        <f>IF(AND(Programme_Grunddaten!$A667="Geprüft",Programme_Grunddaten!AS667&lt;&gt;""),IF(Programme_Grunddaten!AS667="Ja",1,0),"")</f>
        <v/>
      </c>
      <c r="AL662" s="1" t="str">
        <f>IF(AND(Programme_Grunddaten!$A667="Geprüft",Programme_Grunddaten!AT667&lt;&gt;""),IF(Programme_Grunddaten!AT667="Ja",1,0),"")</f>
        <v/>
      </c>
      <c r="AM662" s="1" t="str">
        <f>IF(AND(Programme_Grunddaten!$A667="Geprüft",Programme_Grunddaten!AU667&lt;&gt;""),IF(Programme_Grunddaten!AU667="Ja",1,0),"")</f>
        <v/>
      </c>
      <c r="AN662" s="1" t="str">
        <f>IF(AND(Programme_Grunddaten!$A667="Geprüft",Programme_Grunddaten!AV667&lt;&gt;""),IF(Programme_Grunddaten!AV667="Ja",1,0),"")</f>
        <v/>
      </c>
    </row>
    <row r="663" spans="1:40" x14ac:dyDescent="0.3">
      <c r="A663" s="1" t="str">
        <f>IF(AND(Programme_Grunddaten!A668="Geprüft",Programme_Grunddaten!B668&lt;&gt;""),Programme_Grunddaten!B668,"")</f>
        <v/>
      </c>
      <c r="B663" s="1" t="str">
        <f>IF(AND(Programme_Grunddaten!$A668="Geprüft",Programme_Grunddaten!I668&lt;&gt;""),IF(Programme_Grunddaten!I668="Ja",1,0),"")</f>
        <v/>
      </c>
      <c r="C663" s="1" t="str">
        <f>IF(AND(Programme_Grunddaten!$A668="Geprüft",Programme_Grunddaten!J668&lt;&gt;""),IF(Programme_Grunddaten!J668="Ja",1,0),"")</f>
        <v/>
      </c>
      <c r="D663" s="1" t="str">
        <f>IF(AND(Programme_Grunddaten!$A668="Geprüft",Programme_Grunddaten!K668&lt;&gt;""),IF(Programme_Grunddaten!K668="Ja",1,0),"")</f>
        <v/>
      </c>
      <c r="E663" s="1" t="str">
        <f>IF(AND(Programme_Grunddaten!$A668="Geprüft",Programme_Grunddaten!L668&lt;&gt;""),IF(Programme_Grunddaten!L668="Abo / befristete Lizenz",1,0),"")</f>
        <v/>
      </c>
      <c r="F663" s="1" t="str">
        <f>IF(AND(Programme_Grunddaten!$A668="Geprüft",Programme_Grunddaten!M668&lt;&gt;""),IF(Programme_Grunddaten!M668="Ja",1,0),"")</f>
        <v/>
      </c>
      <c r="G663" s="1" t="str">
        <f>IF(AND(Programme_Grunddaten!$A668="Geprüft",Programme_Grunddaten!N668&lt;&gt;""),IF(Programme_Grunddaten!N668="Ja",1,0),"")</f>
        <v/>
      </c>
      <c r="H663" s="1" t="str">
        <f>IF(AND(Programme_Grunddaten!$A668="Geprüft",Programme_Grunddaten!O668&lt;&gt;""),IF(Programme_Grunddaten!O668="Deutschland",0,IF(Programme_Grunddaten!O668="EU",1,2)),"")</f>
        <v/>
      </c>
      <c r="I663" s="1" t="str">
        <f>IF(AND(Programme_Grunddaten!$A668="Geprüft",Programme_Grunddaten!P668&lt;&gt;""),IF(Programme_Grunddaten!P668="Ja",1,0),"")</f>
        <v/>
      </c>
      <c r="J663" s="1" t="str">
        <f>IF(AND(Programme_Grunddaten!$A668="Geprüft",Programme_Grunddaten!Q668&lt;&gt;""),IF(Programme_Grunddaten!Q668="geschlossenes System",1,0),"")</f>
        <v/>
      </c>
      <c r="K663" s="1" t="str">
        <f>IF(AND(Programme_Grunddaten!$A668="Geprüft",Programme_Grunddaten!R668&lt;&gt;""),IF(Programme_Grunddaten!R668="Ja",1,0),"")</f>
        <v/>
      </c>
      <c r="L663" s="1" t="str">
        <f>IF(AND(Programme_Grunddaten!$A668="Geprüft",Programme_Grunddaten!T668&lt;&gt;""),IF(Programme_Grunddaten!T668="Ja",1,0),"")</f>
        <v/>
      </c>
      <c r="M663" s="1" t="str">
        <f>IF(AND(Programme_Grunddaten!$A668="Geprüft",Programme_Grunddaten!U668&lt;&gt;""),IF(Programme_Grunddaten!U668="Ja",1,0),"")</f>
        <v/>
      </c>
      <c r="N663" s="1" t="str">
        <f>IF(AND(Programme_Grunddaten!$A668="Geprüft",Programme_Grunddaten!V668&lt;&gt;""),IF(Programme_Grunddaten!V668="Ja",1,0),"")</f>
        <v/>
      </c>
      <c r="O663" s="1" t="str">
        <f>IF(AND(Programme_Grunddaten!$A668="Geprüft",Programme_Grunddaten!W668&lt;&gt;""),IF(Programme_Grunddaten!W668="Ja",1,0),"")</f>
        <v/>
      </c>
      <c r="P663" s="1" t="str">
        <f>IF(AND(Programme_Grunddaten!$A668="Geprüft",Programme_Grunddaten!X668&lt;&gt;""),IF(Programme_Grunddaten!X668="Ja",1,0),"")</f>
        <v/>
      </c>
      <c r="Q663" s="1" t="str">
        <f>IF(AND(Programme_Grunddaten!$A668="Geprüft",Programme_Grunddaten!Y668&lt;&gt;""),IF(Programme_Grunddaten!Y668="Ja",1,0),"")</f>
        <v/>
      </c>
      <c r="R663" s="1" t="str">
        <f>IF(AND(Programme_Grunddaten!$A668="Geprüft",Programme_Grunddaten!Z668&lt;&gt;""),IF(Programme_Grunddaten!Z668="Ja",1,0),"")</f>
        <v/>
      </c>
      <c r="S663" s="1" t="str">
        <f>IF(AND(Programme_Grunddaten!$A668="Geprüft",Programme_Grunddaten!AA668&lt;&gt;""),IF(Programme_Grunddaten!AA668="monolithisch",1,0),"")</f>
        <v/>
      </c>
      <c r="T663" s="1" t="str">
        <f>IF(AND(Programme_Grunddaten!$A668="Geprüft",Programme_Grunddaten!AB668&lt;&gt;""),IF(Programme_Grunddaten!AB668="Ja",1,0),"")</f>
        <v/>
      </c>
      <c r="U663" s="1" t="str">
        <f>IF(AND(Programme_Grunddaten!$A668="Geprüft",Programme_Grunddaten!AC668&lt;&gt;""),IF(Programme_Grunddaten!AC668="Ja",1,0),"")</f>
        <v/>
      </c>
      <c r="V663" s="1" t="str">
        <f>IF(AND(Programme_Grunddaten!$A668="Geprüft",Programme_Grunddaten!AD668&lt;&gt;""),IF(Programme_Grunddaten!AD668="Ja",1,0),"")</f>
        <v/>
      </c>
      <c r="W663" s="1" t="str">
        <f>IF(AND(Programme_Grunddaten!$A668="Geprüft",Programme_Grunddaten!AE668&lt;&gt;""),IF(Programme_Grunddaten!AE668="Ja",1,0),"")</f>
        <v/>
      </c>
      <c r="X663" s="1" t="str">
        <f>IF(AND(Programme_Grunddaten!$A668="Geprüft",Programme_Grunddaten!AF668&lt;&gt;""),IF(Programme_Grunddaten!AF668="Ja",1,0),"")</f>
        <v/>
      </c>
      <c r="Y663" s="1" t="str">
        <f>IF(AND(Programme_Grunddaten!$A668="Geprüft",Programme_Grunddaten!AG668&lt;&gt;""),IF(Programme_Grunddaten!AG668="Ja",1,0),"")</f>
        <v/>
      </c>
      <c r="Z663" s="1" t="str">
        <f>IF(AND(Programme_Grunddaten!$A668="Geprüft",Programme_Grunddaten!AH668&lt;&gt;""),IF(Programme_Grunddaten!AH668="Ja",1,0),"")</f>
        <v/>
      </c>
      <c r="AA663" s="1" t="str">
        <f>IF(AND(Programme_Grunddaten!$A668="Geprüft",Programme_Grunddaten!AI668&lt;&gt;""),IF(Programme_Grunddaten!AI668="Ja",1,0),"")</f>
        <v/>
      </c>
      <c r="AB663" s="1" t="str">
        <f>IF(AND(Programme_Grunddaten!$A668="Geprüft",Programme_Grunddaten!AJ668&lt;&gt;""),IF(Programme_Grunddaten!AJ668="individuell programmierbar",1,0),"")</f>
        <v/>
      </c>
      <c r="AC663" s="1" t="str">
        <f>IF(AND(Programme_Grunddaten!$A668="Geprüft",Programme_Grunddaten!AK668&lt;&gt;""),IF(Programme_Grunddaten!AK668="Deutsch",0,IF(Programme_Grunddaten!AK668="Deutsch und Englisch",1,2)),"")</f>
        <v/>
      </c>
      <c r="AD663" s="1" t="str">
        <f>IF(AND(Programme_Grunddaten!$A668="Geprüft",Programme_Grunddaten!AL668&lt;&gt;""),IF(Programme_Grunddaten!AL668="Ja",1,0),"")</f>
        <v/>
      </c>
      <c r="AE663" s="1" t="str">
        <f>IF(AND(Programme_Grunddaten!$A668="Geprüft",Programme_Grunddaten!AM668&lt;&gt;""),IF(Programme_Grunddaten!AM668="Ja",1,0),"")</f>
        <v/>
      </c>
      <c r="AF663" s="1" t="str">
        <f>IF(AND(Programme_Grunddaten!$A668="Geprüft",Programme_Grunddaten!AN668&lt;&gt;""),IF(Programme_Grunddaten!AN668="Ja",1,0),"")</f>
        <v/>
      </c>
      <c r="AG663" s="1" t="str">
        <f>IF(AND(Programme_Grunddaten!$A668="Geprüft",Programme_Grunddaten!AO668&lt;&gt;""),IF(Programme_Grunddaten!AO668="Ja",1,0),"")</f>
        <v/>
      </c>
      <c r="AH663" s="1" t="str">
        <f>IF(AND(Programme_Grunddaten!$A668="Geprüft",Programme_Grunddaten!AP668&lt;&gt;""),IF(Programme_Grunddaten!AP668="Ja",1,0),"")</f>
        <v/>
      </c>
      <c r="AI663" s="1" t="str">
        <f>IF(AND(Programme_Grunddaten!$A668="Geprüft",Programme_Grunddaten!AQ668&lt;&gt;""),IF(Programme_Grunddaten!AQ668="Ja",1,0),"")</f>
        <v/>
      </c>
      <c r="AJ663" s="1" t="str">
        <f>IF(AND(Programme_Grunddaten!$A668="Geprüft",Programme_Grunddaten!AR668&lt;&gt;""),IF(Programme_Grunddaten!AR668="Ja",1,0),"")</f>
        <v/>
      </c>
      <c r="AK663" s="1" t="str">
        <f>IF(AND(Programme_Grunddaten!$A668="Geprüft",Programme_Grunddaten!AS668&lt;&gt;""),IF(Programme_Grunddaten!AS668="Ja",1,0),"")</f>
        <v/>
      </c>
      <c r="AL663" s="1" t="str">
        <f>IF(AND(Programme_Grunddaten!$A668="Geprüft",Programme_Grunddaten!AT668&lt;&gt;""),IF(Programme_Grunddaten!AT668="Ja",1,0),"")</f>
        <v/>
      </c>
      <c r="AM663" s="1" t="str">
        <f>IF(AND(Programme_Grunddaten!$A668="Geprüft",Programme_Grunddaten!AU668&lt;&gt;""),IF(Programme_Grunddaten!AU668="Ja",1,0),"")</f>
        <v/>
      </c>
      <c r="AN663" s="1" t="str">
        <f>IF(AND(Programme_Grunddaten!$A668="Geprüft",Programme_Grunddaten!AV668&lt;&gt;""),IF(Programme_Grunddaten!AV668="Ja",1,0),"")</f>
        <v/>
      </c>
    </row>
    <row r="664" spans="1:40" x14ac:dyDescent="0.3">
      <c r="A664" s="1" t="str">
        <f>IF(AND(Programme_Grunddaten!A669="Geprüft",Programme_Grunddaten!B669&lt;&gt;""),Programme_Grunddaten!B669,"")</f>
        <v/>
      </c>
      <c r="B664" s="1" t="str">
        <f>IF(AND(Programme_Grunddaten!$A669="Geprüft",Programme_Grunddaten!I669&lt;&gt;""),IF(Programme_Grunddaten!I669="Ja",1,0),"")</f>
        <v/>
      </c>
      <c r="C664" s="1" t="str">
        <f>IF(AND(Programme_Grunddaten!$A669="Geprüft",Programme_Grunddaten!J669&lt;&gt;""),IF(Programme_Grunddaten!J669="Ja",1,0),"")</f>
        <v/>
      </c>
      <c r="D664" s="1" t="str">
        <f>IF(AND(Programme_Grunddaten!$A669="Geprüft",Programme_Grunddaten!K669&lt;&gt;""),IF(Programme_Grunddaten!K669="Ja",1,0),"")</f>
        <v/>
      </c>
      <c r="E664" s="1" t="str">
        <f>IF(AND(Programme_Grunddaten!$A669="Geprüft",Programme_Grunddaten!L669&lt;&gt;""),IF(Programme_Grunddaten!L669="Abo / befristete Lizenz",1,0),"")</f>
        <v/>
      </c>
      <c r="F664" s="1" t="str">
        <f>IF(AND(Programme_Grunddaten!$A669="Geprüft",Programme_Grunddaten!M669&lt;&gt;""),IF(Programme_Grunddaten!M669="Ja",1,0),"")</f>
        <v/>
      </c>
      <c r="G664" s="1" t="str">
        <f>IF(AND(Programme_Grunddaten!$A669="Geprüft",Programme_Grunddaten!N669&lt;&gt;""),IF(Programme_Grunddaten!N669="Ja",1,0),"")</f>
        <v/>
      </c>
      <c r="H664" s="1" t="str">
        <f>IF(AND(Programme_Grunddaten!$A669="Geprüft",Programme_Grunddaten!O669&lt;&gt;""),IF(Programme_Grunddaten!O669="Deutschland",0,IF(Programme_Grunddaten!O669="EU",1,2)),"")</f>
        <v/>
      </c>
      <c r="I664" s="1" t="str">
        <f>IF(AND(Programme_Grunddaten!$A669="Geprüft",Programme_Grunddaten!P669&lt;&gt;""),IF(Programme_Grunddaten!P669="Ja",1,0),"")</f>
        <v/>
      </c>
      <c r="J664" s="1" t="str">
        <f>IF(AND(Programme_Grunddaten!$A669="Geprüft",Programme_Grunddaten!Q669&lt;&gt;""),IF(Programme_Grunddaten!Q669="geschlossenes System",1,0),"")</f>
        <v/>
      </c>
      <c r="K664" s="1" t="str">
        <f>IF(AND(Programme_Grunddaten!$A669="Geprüft",Programme_Grunddaten!R669&lt;&gt;""),IF(Programme_Grunddaten!R669="Ja",1,0),"")</f>
        <v/>
      </c>
      <c r="L664" s="1" t="str">
        <f>IF(AND(Programme_Grunddaten!$A669="Geprüft",Programme_Grunddaten!T669&lt;&gt;""),IF(Programme_Grunddaten!T669="Ja",1,0),"")</f>
        <v/>
      </c>
      <c r="M664" s="1" t="str">
        <f>IF(AND(Programme_Grunddaten!$A669="Geprüft",Programme_Grunddaten!U669&lt;&gt;""),IF(Programme_Grunddaten!U669="Ja",1,0),"")</f>
        <v/>
      </c>
      <c r="N664" s="1" t="str">
        <f>IF(AND(Programme_Grunddaten!$A669="Geprüft",Programme_Grunddaten!V669&lt;&gt;""),IF(Programme_Grunddaten!V669="Ja",1,0),"")</f>
        <v/>
      </c>
      <c r="O664" s="1" t="str">
        <f>IF(AND(Programme_Grunddaten!$A669="Geprüft",Programme_Grunddaten!W669&lt;&gt;""),IF(Programme_Grunddaten!W669="Ja",1,0),"")</f>
        <v/>
      </c>
      <c r="P664" s="1" t="str">
        <f>IF(AND(Programme_Grunddaten!$A669="Geprüft",Programme_Grunddaten!X669&lt;&gt;""),IF(Programme_Grunddaten!X669="Ja",1,0),"")</f>
        <v/>
      </c>
      <c r="Q664" s="1" t="str">
        <f>IF(AND(Programme_Grunddaten!$A669="Geprüft",Programme_Grunddaten!Y669&lt;&gt;""),IF(Programme_Grunddaten!Y669="Ja",1,0),"")</f>
        <v/>
      </c>
      <c r="R664" s="1" t="str">
        <f>IF(AND(Programme_Grunddaten!$A669="Geprüft",Programme_Grunddaten!Z669&lt;&gt;""),IF(Programme_Grunddaten!Z669="Ja",1,0),"")</f>
        <v/>
      </c>
      <c r="S664" s="1" t="str">
        <f>IF(AND(Programme_Grunddaten!$A669="Geprüft",Programme_Grunddaten!AA669&lt;&gt;""),IF(Programme_Grunddaten!AA669="monolithisch",1,0),"")</f>
        <v/>
      </c>
      <c r="T664" s="1" t="str">
        <f>IF(AND(Programme_Grunddaten!$A669="Geprüft",Programme_Grunddaten!AB669&lt;&gt;""),IF(Programme_Grunddaten!AB669="Ja",1,0),"")</f>
        <v/>
      </c>
      <c r="U664" s="1" t="str">
        <f>IF(AND(Programme_Grunddaten!$A669="Geprüft",Programme_Grunddaten!AC669&lt;&gt;""),IF(Programme_Grunddaten!AC669="Ja",1,0),"")</f>
        <v/>
      </c>
      <c r="V664" s="1" t="str">
        <f>IF(AND(Programme_Grunddaten!$A669="Geprüft",Programme_Grunddaten!AD669&lt;&gt;""),IF(Programme_Grunddaten!AD669="Ja",1,0),"")</f>
        <v/>
      </c>
      <c r="W664" s="1" t="str">
        <f>IF(AND(Programme_Grunddaten!$A669="Geprüft",Programme_Grunddaten!AE669&lt;&gt;""),IF(Programme_Grunddaten!AE669="Ja",1,0),"")</f>
        <v/>
      </c>
      <c r="X664" s="1" t="str">
        <f>IF(AND(Programme_Grunddaten!$A669="Geprüft",Programme_Grunddaten!AF669&lt;&gt;""),IF(Programme_Grunddaten!AF669="Ja",1,0),"")</f>
        <v/>
      </c>
      <c r="Y664" s="1" t="str">
        <f>IF(AND(Programme_Grunddaten!$A669="Geprüft",Programme_Grunddaten!AG669&lt;&gt;""),IF(Programme_Grunddaten!AG669="Ja",1,0),"")</f>
        <v/>
      </c>
      <c r="Z664" s="1" t="str">
        <f>IF(AND(Programme_Grunddaten!$A669="Geprüft",Programme_Grunddaten!AH669&lt;&gt;""),IF(Programme_Grunddaten!AH669="Ja",1,0),"")</f>
        <v/>
      </c>
      <c r="AA664" s="1" t="str">
        <f>IF(AND(Programme_Grunddaten!$A669="Geprüft",Programme_Grunddaten!AI669&lt;&gt;""),IF(Programme_Grunddaten!AI669="Ja",1,0),"")</f>
        <v/>
      </c>
      <c r="AB664" s="1" t="str">
        <f>IF(AND(Programme_Grunddaten!$A669="Geprüft",Programme_Grunddaten!AJ669&lt;&gt;""),IF(Programme_Grunddaten!AJ669="individuell programmierbar",1,0),"")</f>
        <v/>
      </c>
      <c r="AC664" s="1" t="str">
        <f>IF(AND(Programme_Grunddaten!$A669="Geprüft",Programme_Grunddaten!AK669&lt;&gt;""),IF(Programme_Grunddaten!AK669="Deutsch",0,IF(Programme_Grunddaten!AK669="Deutsch und Englisch",1,2)),"")</f>
        <v/>
      </c>
      <c r="AD664" s="1" t="str">
        <f>IF(AND(Programme_Grunddaten!$A669="Geprüft",Programme_Grunddaten!AL669&lt;&gt;""),IF(Programme_Grunddaten!AL669="Ja",1,0),"")</f>
        <v/>
      </c>
      <c r="AE664" s="1" t="str">
        <f>IF(AND(Programme_Grunddaten!$A669="Geprüft",Programme_Grunddaten!AM669&lt;&gt;""),IF(Programme_Grunddaten!AM669="Ja",1,0),"")</f>
        <v/>
      </c>
      <c r="AF664" s="1" t="str">
        <f>IF(AND(Programme_Grunddaten!$A669="Geprüft",Programme_Grunddaten!AN669&lt;&gt;""),IF(Programme_Grunddaten!AN669="Ja",1,0),"")</f>
        <v/>
      </c>
      <c r="AG664" s="1" t="str">
        <f>IF(AND(Programme_Grunddaten!$A669="Geprüft",Programme_Grunddaten!AO669&lt;&gt;""),IF(Programme_Grunddaten!AO669="Ja",1,0),"")</f>
        <v/>
      </c>
      <c r="AH664" s="1" t="str">
        <f>IF(AND(Programme_Grunddaten!$A669="Geprüft",Programme_Grunddaten!AP669&lt;&gt;""),IF(Programme_Grunddaten!AP669="Ja",1,0),"")</f>
        <v/>
      </c>
      <c r="AI664" s="1" t="str">
        <f>IF(AND(Programme_Grunddaten!$A669="Geprüft",Programme_Grunddaten!AQ669&lt;&gt;""),IF(Programme_Grunddaten!AQ669="Ja",1,0),"")</f>
        <v/>
      </c>
      <c r="AJ664" s="1" t="str">
        <f>IF(AND(Programme_Grunddaten!$A669="Geprüft",Programme_Grunddaten!AR669&lt;&gt;""),IF(Programme_Grunddaten!AR669="Ja",1,0),"")</f>
        <v/>
      </c>
      <c r="AK664" s="1" t="str">
        <f>IF(AND(Programme_Grunddaten!$A669="Geprüft",Programme_Grunddaten!AS669&lt;&gt;""),IF(Programme_Grunddaten!AS669="Ja",1,0),"")</f>
        <v/>
      </c>
      <c r="AL664" s="1" t="str">
        <f>IF(AND(Programme_Grunddaten!$A669="Geprüft",Programme_Grunddaten!AT669&lt;&gt;""),IF(Programme_Grunddaten!AT669="Ja",1,0),"")</f>
        <v/>
      </c>
      <c r="AM664" s="1" t="str">
        <f>IF(AND(Programme_Grunddaten!$A669="Geprüft",Programme_Grunddaten!AU669&lt;&gt;""),IF(Programme_Grunddaten!AU669="Ja",1,0),"")</f>
        <v/>
      </c>
      <c r="AN664" s="1" t="str">
        <f>IF(AND(Programme_Grunddaten!$A669="Geprüft",Programme_Grunddaten!AV669&lt;&gt;""),IF(Programme_Grunddaten!AV669="Ja",1,0),"")</f>
        <v/>
      </c>
    </row>
    <row r="665" spans="1:40" x14ac:dyDescent="0.3">
      <c r="A665" s="1" t="str">
        <f>IF(AND(Programme_Grunddaten!A670="Geprüft",Programme_Grunddaten!B670&lt;&gt;""),Programme_Grunddaten!B670,"")</f>
        <v/>
      </c>
      <c r="B665" s="1" t="str">
        <f>IF(AND(Programme_Grunddaten!$A670="Geprüft",Programme_Grunddaten!I670&lt;&gt;""),IF(Programme_Grunddaten!I670="Ja",1,0),"")</f>
        <v/>
      </c>
      <c r="C665" s="1" t="str">
        <f>IF(AND(Programme_Grunddaten!$A670="Geprüft",Programme_Grunddaten!J670&lt;&gt;""),IF(Programme_Grunddaten!J670="Ja",1,0),"")</f>
        <v/>
      </c>
      <c r="D665" s="1" t="str">
        <f>IF(AND(Programme_Grunddaten!$A670="Geprüft",Programme_Grunddaten!K670&lt;&gt;""),IF(Programme_Grunddaten!K670="Ja",1,0),"")</f>
        <v/>
      </c>
      <c r="E665" s="1" t="str">
        <f>IF(AND(Programme_Grunddaten!$A670="Geprüft",Programme_Grunddaten!L670&lt;&gt;""),IF(Programme_Grunddaten!L670="Abo / befristete Lizenz",1,0),"")</f>
        <v/>
      </c>
      <c r="F665" s="1" t="str">
        <f>IF(AND(Programme_Grunddaten!$A670="Geprüft",Programme_Grunddaten!M670&lt;&gt;""),IF(Programme_Grunddaten!M670="Ja",1,0),"")</f>
        <v/>
      </c>
      <c r="G665" s="1" t="str">
        <f>IF(AND(Programme_Grunddaten!$A670="Geprüft",Programme_Grunddaten!N670&lt;&gt;""),IF(Programme_Grunddaten!N670="Ja",1,0),"")</f>
        <v/>
      </c>
      <c r="H665" s="1" t="str">
        <f>IF(AND(Programme_Grunddaten!$A670="Geprüft",Programme_Grunddaten!O670&lt;&gt;""),IF(Programme_Grunddaten!O670="Deutschland",0,IF(Programme_Grunddaten!O670="EU",1,2)),"")</f>
        <v/>
      </c>
      <c r="I665" s="1" t="str">
        <f>IF(AND(Programme_Grunddaten!$A670="Geprüft",Programme_Grunddaten!P670&lt;&gt;""),IF(Programme_Grunddaten!P670="Ja",1,0),"")</f>
        <v/>
      </c>
      <c r="J665" s="1" t="str">
        <f>IF(AND(Programme_Grunddaten!$A670="Geprüft",Programme_Grunddaten!Q670&lt;&gt;""),IF(Programme_Grunddaten!Q670="geschlossenes System",1,0),"")</f>
        <v/>
      </c>
      <c r="K665" s="1" t="str">
        <f>IF(AND(Programme_Grunddaten!$A670="Geprüft",Programme_Grunddaten!R670&lt;&gt;""),IF(Programme_Grunddaten!R670="Ja",1,0),"")</f>
        <v/>
      </c>
      <c r="L665" s="1" t="str">
        <f>IF(AND(Programme_Grunddaten!$A670="Geprüft",Programme_Grunddaten!T670&lt;&gt;""),IF(Programme_Grunddaten!T670="Ja",1,0),"")</f>
        <v/>
      </c>
      <c r="M665" s="1" t="str">
        <f>IF(AND(Programme_Grunddaten!$A670="Geprüft",Programme_Grunddaten!U670&lt;&gt;""),IF(Programme_Grunddaten!U670="Ja",1,0),"")</f>
        <v/>
      </c>
      <c r="N665" s="1" t="str">
        <f>IF(AND(Programme_Grunddaten!$A670="Geprüft",Programme_Grunddaten!V670&lt;&gt;""),IF(Programme_Grunddaten!V670="Ja",1,0),"")</f>
        <v/>
      </c>
      <c r="O665" s="1" t="str">
        <f>IF(AND(Programme_Grunddaten!$A670="Geprüft",Programme_Grunddaten!W670&lt;&gt;""),IF(Programme_Grunddaten!W670="Ja",1,0),"")</f>
        <v/>
      </c>
      <c r="P665" s="1" t="str">
        <f>IF(AND(Programme_Grunddaten!$A670="Geprüft",Programme_Grunddaten!X670&lt;&gt;""),IF(Programme_Grunddaten!X670="Ja",1,0),"")</f>
        <v/>
      </c>
      <c r="Q665" s="1" t="str">
        <f>IF(AND(Programme_Grunddaten!$A670="Geprüft",Programme_Grunddaten!Y670&lt;&gt;""),IF(Programme_Grunddaten!Y670="Ja",1,0),"")</f>
        <v/>
      </c>
      <c r="R665" s="1" t="str">
        <f>IF(AND(Programme_Grunddaten!$A670="Geprüft",Programme_Grunddaten!Z670&lt;&gt;""),IF(Programme_Grunddaten!Z670="Ja",1,0),"")</f>
        <v/>
      </c>
      <c r="S665" s="1" t="str">
        <f>IF(AND(Programme_Grunddaten!$A670="Geprüft",Programme_Grunddaten!AA670&lt;&gt;""),IF(Programme_Grunddaten!AA670="monolithisch",1,0),"")</f>
        <v/>
      </c>
      <c r="T665" s="1" t="str">
        <f>IF(AND(Programme_Grunddaten!$A670="Geprüft",Programme_Grunddaten!AB670&lt;&gt;""),IF(Programme_Grunddaten!AB670="Ja",1,0),"")</f>
        <v/>
      </c>
      <c r="U665" s="1" t="str">
        <f>IF(AND(Programme_Grunddaten!$A670="Geprüft",Programme_Grunddaten!AC670&lt;&gt;""),IF(Programme_Grunddaten!AC670="Ja",1,0),"")</f>
        <v/>
      </c>
      <c r="V665" s="1" t="str">
        <f>IF(AND(Programme_Grunddaten!$A670="Geprüft",Programme_Grunddaten!AD670&lt;&gt;""),IF(Programme_Grunddaten!AD670="Ja",1,0),"")</f>
        <v/>
      </c>
      <c r="W665" s="1" t="str">
        <f>IF(AND(Programme_Grunddaten!$A670="Geprüft",Programme_Grunddaten!AE670&lt;&gt;""),IF(Programme_Grunddaten!AE670="Ja",1,0),"")</f>
        <v/>
      </c>
      <c r="X665" s="1" t="str">
        <f>IF(AND(Programme_Grunddaten!$A670="Geprüft",Programme_Grunddaten!AF670&lt;&gt;""),IF(Programme_Grunddaten!AF670="Ja",1,0),"")</f>
        <v/>
      </c>
      <c r="Y665" s="1" t="str">
        <f>IF(AND(Programme_Grunddaten!$A670="Geprüft",Programme_Grunddaten!AG670&lt;&gt;""),IF(Programme_Grunddaten!AG670="Ja",1,0),"")</f>
        <v/>
      </c>
      <c r="Z665" s="1" t="str">
        <f>IF(AND(Programme_Grunddaten!$A670="Geprüft",Programme_Grunddaten!AH670&lt;&gt;""),IF(Programme_Grunddaten!AH670="Ja",1,0),"")</f>
        <v/>
      </c>
      <c r="AA665" s="1" t="str">
        <f>IF(AND(Programme_Grunddaten!$A670="Geprüft",Programme_Grunddaten!AI670&lt;&gt;""),IF(Programme_Grunddaten!AI670="Ja",1,0),"")</f>
        <v/>
      </c>
      <c r="AB665" s="1" t="str">
        <f>IF(AND(Programme_Grunddaten!$A670="Geprüft",Programme_Grunddaten!AJ670&lt;&gt;""),IF(Programme_Grunddaten!AJ670="individuell programmierbar",1,0),"")</f>
        <v/>
      </c>
      <c r="AC665" s="1" t="str">
        <f>IF(AND(Programme_Grunddaten!$A670="Geprüft",Programme_Grunddaten!AK670&lt;&gt;""),IF(Programme_Grunddaten!AK670="Deutsch",0,IF(Programme_Grunddaten!AK670="Deutsch und Englisch",1,2)),"")</f>
        <v/>
      </c>
      <c r="AD665" s="1" t="str">
        <f>IF(AND(Programme_Grunddaten!$A670="Geprüft",Programme_Grunddaten!AL670&lt;&gt;""),IF(Programme_Grunddaten!AL670="Ja",1,0),"")</f>
        <v/>
      </c>
      <c r="AE665" s="1" t="str">
        <f>IF(AND(Programme_Grunddaten!$A670="Geprüft",Programme_Grunddaten!AM670&lt;&gt;""),IF(Programme_Grunddaten!AM670="Ja",1,0),"")</f>
        <v/>
      </c>
      <c r="AF665" s="1" t="str">
        <f>IF(AND(Programme_Grunddaten!$A670="Geprüft",Programme_Grunddaten!AN670&lt;&gt;""),IF(Programme_Grunddaten!AN670="Ja",1,0),"")</f>
        <v/>
      </c>
      <c r="AG665" s="1" t="str">
        <f>IF(AND(Programme_Grunddaten!$A670="Geprüft",Programme_Grunddaten!AO670&lt;&gt;""),IF(Programme_Grunddaten!AO670="Ja",1,0),"")</f>
        <v/>
      </c>
      <c r="AH665" s="1" t="str">
        <f>IF(AND(Programme_Grunddaten!$A670="Geprüft",Programme_Grunddaten!AP670&lt;&gt;""),IF(Programme_Grunddaten!AP670="Ja",1,0),"")</f>
        <v/>
      </c>
      <c r="AI665" s="1" t="str">
        <f>IF(AND(Programme_Grunddaten!$A670="Geprüft",Programme_Grunddaten!AQ670&lt;&gt;""),IF(Programme_Grunddaten!AQ670="Ja",1,0),"")</f>
        <v/>
      </c>
      <c r="AJ665" s="1" t="str">
        <f>IF(AND(Programme_Grunddaten!$A670="Geprüft",Programme_Grunddaten!AR670&lt;&gt;""),IF(Programme_Grunddaten!AR670="Ja",1,0),"")</f>
        <v/>
      </c>
      <c r="AK665" s="1" t="str">
        <f>IF(AND(Programme_Grunddaten!$A670="Geprüft",Programme_Grunddaten!AS670&lt;&gt;""),IF(Programme_Grunddaten!AS670="Ja",1,0),"")</f>
        <v/>
      </c>
      <c r="AL665" s="1" t="str">
        <f>IF(AND(Programme_Grunddaten!$A670="Geprüft",Programme_Grunddaten!AT670&lt;&gt;""),IF(Programme_Grunddaten!AT670="Ja",1,0),"")</f>
        <v/>
      </c>
      <c r="AM665" s="1" t="str">
        <f>IF(AND(Programme_Grunddaten!$A670="Geprüft",Programme_Grunddaten!AU670&lt;&gt;""),IF(Programme_Grunddaten!AU670="Ja",1,0),"")</f>
        <v/>
      </c>
      <c r="AN665" s="1" t="str">
        <f>IF(AND(Programme_Grunddaten!$A670="Geprüft",Programme_Grunddaten!AV670&lt;&gt;""),IF(Programme_Grunddaten!AV670="Ja",1,0),"")</f>
        <v/>
      </c>
    </row>
    <row r="666" spans="1:40" x14ac:dyDescent="0.3">
      <c r="A666" s="1" t="str">
        <f>IF(AND(Programme_Grunddaten!A671="Geprüft",Programme_Grunddaten!B671&lt;&gt;""),Programme_Grunddaten!B671,"")</f>
        <v/>
      </c>
      <c r="B666" s="1" t="str">
        <f>IF(AND(Programme_Grunddaten!$A671="Geprüft",Programme_Grunddaten!I671&lt;&gt;""),IF(Programme_Grunddaten!I671="Ja",1,0),"")</f>
        <v/>
      </c>
      <c r="C666" s="1" t="str">
        <f>IF(AND(Programme_Grunddaten!$A671="Geprüft",Programme_Grunddaten!J671&lt;&gt;""),IF(Programme_Grunddaten!J671="Ja",1,0),"")</f>
        <v/>
      </c>
      <c r="D666" s="1" t="str">
        <f>IF(AND(Programme_Grunddaten!$A671="Geprüft",Programme_Grunddaten!K671&lt;&gt;""),IF(Programme_Grunddaten!K671="Ja",1,0),"")</f>
        <v/>
      </c>
      <c r="E666" s="1" t="str">
        <f>IF(AND(Programme_Grunddaten!$A671="Geprüft",Programme_Grunddaten!L671&lt;&gt;""),IF(Programme_Grunddaten!L671="Abo / befristete Lizenz",1,0),"")</f>
        <v/>
      </c>
      <c r="F666" s="1" t="str">
        <f>IF(AND(Programme_Grunddaten!$A671="Geprüft",Programme_Grunddaten!M671&lt;&gt;""),IF(Programme_Grunddaten!M671="Ja",1,0),"")</f>
        <v/>
      </c>
      <c r="G666" s="1" t="str">
        <f>IF(AND(Programme_Grunddaten!$A671="Geprüft",Programme_Grunddaten!N671&lt;&gt;""),IF(Programme_Grunddaten!N671="Ja",1,0),"")</f>
        <v/>
      </c>
      <c r="H666" s="1" t="str">
        <f>IF(AND(Programme_Grunddaten!$A671="Geprüft",Programme_Grunddaten!O671&lt;&gt;""),IF(Programme_Grunddaten!O671="Deutschland",0,IF(Programme_Grunddaten!O671="EU",1,2)),"")</f>
        <v/>
      </c>
      <c r="I666" s="1" t="str">
        <f>IF(AND(Programme_Grunddaten!$A671="Geprüft",Programme_Grunddaten!P671&lt;&gt;""),IF(Programme_Grunddaten!P671="Ja",1,0),"")</f>
        <v/>
      </c>
      <c r="J666" s="1" t="str">
        <f>IF(AND(Programme_Grunddaten!$A671="Geprüft",Programme_Grunddaten!Q671&lt;&gt;""),IF(Programme_Grunddaten!Q671="geschlossenes System",1,0),"")</f>
        <v/>
      </c>
      <c r="K666" s="1" t="str">
        <f>IF(AND(Programme_Grunddaten!$A671="Geprüft",Programme_Grunddaten!R671&lt;&gt;""),IF(Programme_Grunddaten!R671="Ja",1,0),"")</f>
        <v/>
      </c>
      <c r="L666" s="1" t="str">
        <f>IF(AND(Programme_Grunddaten!$A671="Geprüft",Programme_Grunddaten!T671&lt;&gt;""),IF(Programme_Grunddaten!T671="Ja",1,0),"")</f>
        <v/>
      </c>
      <c r="M666" s="1" t="str">
        <f>IF(AND(Programme_Grunddaten!$A671="Geprüft",Programme_Grunddaten!U671&lt;&gt;""),IF(Programme_Grunddaten!U671="Ja",1,0),"")</f>
        <v/>
      </c>
      <c r="N666" s="1" t="str">
        <f>IF(AND(Programme_Grunddaten!$A671="Geprüft",Programme_Grunddaten!V671&lt;&gt;""),IF(Programme_Grunddaten!V671="Ja",1,0),"")</f>
        <v/>
      </c>
      <c r="O666" s="1" t="str">
        <f>IF(AND(Programme_Grunddaten!$A671="Geprüft",Programme_Grunddaten!W671&lt;&gt;""),IF(Programme_Grunddaten!W671="Ja",1,0),"")</f>
        <v/>
      </c>
      <c r="P666" s="1" t="str">
        <f>IF(AND(Programme_Grunddaten!$A671="Geprüft",Programme_Grunddaten!X671&lt;&gt;""),IF(Programme_Grunddaten!X671="Ja",1,0),"")</f>
        <v/>
      </c>
      <c r="Q666" s="1" t="str">
        <f>IF(AND(Programme_Grunddaten!$A671="Geprüft",Programme_Grunddaten!Y671&lt;&gt;""),IF(Programme_Grunddaten!Y671="Ja",1,0),"")</f>
        <v/>
      </c>
      <c r="R666" s="1" t="str">
        <f>IF(AND(Programme_Grunddaten!$A671="Geprüft",Programme_Grunddaten!Z671&lt;&gt;""),IF(Programme_Grunddaten!Z671="Ja",1,0),"")</f>
        <v/>
      </c>
      <c r="S666" s="1" t="str">
        <f>IF(AND(Programme_Grunddaten!$A671="Geprüft",Programme_Grunddaten!AA671&lt;&gt;""),IF(Programme_Grunddaten!AA671="monolithisch",1,0),"")</f>
        <v/>
      </c>
      <c r="T666" s="1" t="str">
        <f>IF(AND(Programme_Grunddaten!$A671="Geprüft",Programme_Grunddaten!AB671&lt;&gt;""),IF(Programme_Grunddaten!AB671="Ja",1,0),"")</f>
        <v/>
      </c>
      <c r="U666" s="1" t="str">
        <f>IF(AND(Programme_Grunddaten!$A671="Geprüft",Programme_Grunddaten!AC671&lt;&gt;""),IF(Programme_Grunddaten!AC671="Ja",1,0),"")</f>
        <v/>
      </c>
      <c r="V666" s="1" t="str">
        <f>IF(AND(Programme_Grunddaten!$A671="Geprüft",Programme_Grunddaten!AD671&lt;&gt;""),IF(Programme_Grunddaten!AD671="Ja",1,0),"")</f>
        <v/>
      </c>
      <c r="W666" s="1" t="str">
        <f>IF(AND(Programme_Grunddaten!$A671="Geprüft",Programme_Grunddaten!AE671&lt;&gt;""),IF(Programme_Grunddaten!AE671="Ja",1,0),"")</f>
        <v/>
      </c>
      <c r="X666" s="1" t="str">
        <f>IF(AND(Programme_Grunddaten!$A671="Geprüft",Programme_Grunddaten!AF671&lt;&gt;""),IF(Programme_Grunddaten!AF671="Ja",1,0),"")</f>
        <v/>
      </c>
      <c r="Y666" s="1" t="str">
        <f>IF(AND(Programme_Grunddaten!$A671="Geprüft",Programme_Grunddaten!AG671&lt;&gt;""),IF(Programme_Grunddaten!AG671="Ja",1,0),"")</f>
        <v/>
      </c>
      <c r="Z666" s="1" t="str">
        <f>IF(AND(Programme_Grunddaten!$A671="Geprüft",Programme_Grunddaten!AH671&lt;&gt;""),IF(Programme_Grunddaten!AH671="Ja",1,0),"")</f>
        <v/>
      </c>
      <c r="AA666" s="1" t="str">
        <f>IF(AND(Programme_Grunddaten!$A671="Geprüft",Programme_Grunddaten!AI671&lt;&gt;""),IF(Programme_Grunddaten!AI671="Ja",1,0),"")</f>
        <v/>
      </c>
      <c r="AB666" s="1" t="str">
        <f>IF(AND(Programme_Grunddaten!$A671="Geprüft",Programme_Grunddaten!AJ671&lt;&gt;""),IF(Programme_Grunddaten!AJ671="individuell programmierbar",1,0),"")</f>
        <v/>
      </c>
      <c r="AC666" s="1" t="str">
        <f>IF(AND(Programme_Grunddaten!$A671="Geprüft",Programme_Grunddaten!AK671&lt;&gt;""),IF(Programme_Grunddaten!AK671="Deutsch",0,IF(Programme_Grunddaten!AK671="Deutsch und Englisch",1,2)),"")</f>
        <v/>
      </c>
      <c r="AD666" s="1" t="str">
        <f>IF(AND(Programme_Grunddaten!$A671="Geprüft",Programme_Grunddaten!AL671&lt;&gt;""),IF(Programme_Grunddaten!AL671="Ja",1,0),"")</f>
        <v/>
      </c>
      <c r="AE666" s="1" t="str">
        <f>IF(AND(Programme_Grunddaten!$A671="Geprüft",Programme_Grunddaten!AM671&lt;&gt;""),IF(Programme_Grunddaten!AM671="Ja",1,0),"")</f>
        <v/>
      </c>
      <c r="AF666" s="1" t="str">
        <f>IF(AND(Programme_Grunddaten!$A671="Geprüft",Programme_Grunddaten!AN671&lt;&gt;""),IF(Programme_Grunddaten!AN671="Ja",1,0),"")</f>
        <v/>
      </c>
      <c r="AG666" s="1" t="str">
        <f>IF(AND(Programme_Grunddaten!$A671="Geprüft",Programme_Grunddaten!AO671&lt;&gt;""),IF(Programme_Grunddaten!AO671="Ja",1,0),"")</f>
        <v/>
      </c>
      <c r="AH666" s="1" t="str">
        <f>IF(AND(Programme_Grunddaten!$A671="Geprüft",Programme_Grunddaten!AP671&lt;&gt;""),IF(Programme_Grunddaten!AP671="Ja",1,0),"")</f>
        <v/>
      </c>
      <c r="AI666" s="1" t="str">
        <f>IF(AND(Programme_Grunddaten!$A671="Geprüft",Programme_Grunddaten!AQ671&lt;&gt;""),IF(Programme_Grunddaten!AQ671="Ja",1,0),"")</f>
        <v/>
      </c>
      <c r="AJ666" s="1" t="str">
        <f>IF(AND(Programme_Grunddaten!$A671="Geprüft",Programme_Grunddaten!AR671&lt;&gt;""),IF(Programme_Grunddaten!AR671="Ja",1,0),"")</f>
        <v/>
      </c>
      <c r="AK666" s="1" t="str">
        <f>IF(AND(Programme_Grunddaten!$A671="Geprüft",Programme_Grunddaten!AS671&lt;&gt;""),IF(Programme_Grunddaten!AS671="Ja",1,0),"")</f>
        <v/>
      </c>
      <c r="AL666" s="1" t="str">
        <f>IF(AND(Programme_Grunddaten!$A671="Geprüft",Programme_Grunddaten!AT671&lt;&gt;""),IF(Programme_Grunddaten!AT671="Ja",1,0),"")</f>
        <v/>
      </c>
      <c r="AM666" s="1" t="str">
        <f>IF(AND(Programme_Grunddaten!$A671="Geprüft",Programme_Grunddaten!AU671&lt;&gt;""),IF(Programme_Grunddaten!AU671="Ja",1,0),"")</f>
        <v/>
      </c>
      <c r="AN666" s="1" t="str">
        <f>IF(AND(Programme_Grunddaten!$A671="Geprüft",Programme_Grunddaten!AV671&lt;&gt;""),IF(Programme_Grunddaten!AV671="Ja",1,0),"")</f>
        <v/>
      </c>
    </row>
    <row r="667" spans="1:40" x14ac:dyDescent="0.3">
      <c r="A667" s="1" t="str">
        <f>IF(AND(Programme_Grunddaten!A672="Geprüft",Programme_Grunddaten!B672&lt;&gt;""),Programme_Grunddaten!B672,"")</f>
        <v/>
      </c>
      <c r="B667" s="1" t="str">
        <f>IF(AND(Programme_Grunddaten!$A672="Geprüft",Programme_Grunddaten!I672&lt;&gt;""),IF(Programme_Grunddaten!I672="Ja",1,0),"")</f>
        <v/>
      </c>
      <c r="C667" s="1" t="str">
        <f>IF(AND(Programme_Grunddaten!$A672="Geprüft",Programme_Grunddaten!J672&lt;&gt;""),IF(Programme_Grunddaten!J672="Ja",1,0),"")</f>
        <v/>
      </c>
      <c r="D667" s="1" t="str">
        <f>IF(AND(Programme_Grunddaten!$A672="Geprüft",Programme_Grunddaten!K672&lt;&gt;""),IF(Programme_Grunddaten!K672="Ja",1,0),"")</f>
        <v/>
      </c>
      <c r="E667" s="1" t="str">
        <f>IF(AND(Programme_Grunddaten!$A672="Geprüft",Programme_Grunddaten!L672&lt;&gt;""),IF(Programme_Grunddaten!L672="Abo / befristete Lizenz",1,0),"")</f>
        <v/>
      </c>
      <c r="F667" s="1" t="str">
        <f>IF(AND(Programme_Grunddaten!$A672="Geprüft",Programme_Grunddaten!M672&lt;&gt;""),IF(Programme_Grunddaten!M672="Ja",1,0),"")</f>
        <v/>
      </c>
      <c r="G667" s="1" t="str">
        <f>IF(AND(Programme_Grunddaten!$A672="Geprüft",Programme_Grunddaten!N672&lt;&gt;""),IF(Programme_Grunddaten!N672="Ja",1,0),"")</f>
        <v/>
      </c>
      <c r="H667" s="1" t="str">
        <f>IF(AND(Programme_Grunddaten!$A672="Geprüft",Programme_Grunddaten!O672&lt;&gt;""),IF(Programme_Grunddaten!O672="Deutschland",0,IF(Programme_Grunddaten!O672="EU",1,2)),"")</f>
        <v/>
      </c>
      <c r="I667" s="1" t="str">
        <f>IF(AND(Programme_Grunddaten!$A672="Geprüft",Programme_Grunddaten!P672&lt;&gt;""),IF(Programme_Grunddaten!P672="Ja",1,0),"")</f>
        <v/>
      </c>
      <c r="J667" s="1" t="str">
        <f>IF(AND(Programme_Grunddaten!$A672="Geprüft",Programme_Grunddaten!Q672&lt;&gt;""),IF(Programme_Grunddaten!Q672="geschlossenes System",1,0),"")</f>
        <v/>
      </c>
      <c r="K667" s="1" t="str">
        <f>IF(AND(Programme_Grunddaten!$A672="Geprüft",Programme_Grunddaten!R672&lt;&gt;""),IF(Programme_Grunddaten!R672="Ja",1,0),"")</f>
        <v/>
      </c>
      <c r="L667" s="1" t="str">
        <f>IF(AND(Programme_Grunddaten!$A672="Geprüft",Programme_Grunddaten!T672&lt;&gt;""),IF(Programme_Grunddaten!T672="Ja",1,0),"")</f>
        <v/>
      </c>
      <c r="M667" s="1" t="str">
        <f>IF(AND(Programme_Grunddaten!$A672="Geprüft",Programme_Grunddaten!U672&lt;&gt;""),IF(Programme_Grunddaten!U672="Ja",1,0),"")</f>
        <v/>
      </c>
      <c r="N667" s="1" t="str">
        <f>IF(AND(Programme_Grunddaten!$A672="Geprüft",Programme_Grunddaten!V672&lt;&gt;""),IF(Programme_Grunddaten!V672="Ja",1,0),"")</f>
        <v/>
      </c>
      <c r="O667" s="1" t="str">
        <f>IF(AND(Programme_Grunddaten!$A672="Geprüft",Programme_Grunddaten!W672&lt;&gt;""),IF(Programme_Grunddaten!W672="Ja",1,0),"")</f>
        <v/>
      </c>
      <c r="P667" s="1" t="str">
        <f>IF(AND(Programme_Grunddaten!$A672="Geprüft",Programme_Grunddaten!X672&lt;&gt;""),IF(Programme_Grunddaten!X672="Ja",1,0),"")</f>
        <v/>
      </c>
      <c r="Q667" s="1" t="str">
        <f>IF(AND(Programme_Grunddaten!$A672="Geprüft",Programme_Grunddaten!Y672&lt;&gt;""),IF(Programme_Grunddaten!Y672="Ja",1,0),"")</f>
        <v/>
      </c>
      <c r="R667" s="1" t="str">
        <f>IF(AND(Programme_Grunddaten!$A672="Geprüft",Programme_Grunddaten!Z672&lt;&gt;""),IF(Programme_Grunddaten!Z672="Ja",1,0),"")</f>
        <v/>
      </c>
      <c r="S667" s="1" t="str">
        <f>IF(AND(Programme_Grunddaten!$A672="Geprüft",Programme_Grunddaten!AA672&lt;&gt;""),IF(Programme_Grunddaten!AA672="monolithisch",1,0),"")</f>
        <v/>
      </c>
      <c r="T667" s="1" t="str">
        <f>IF(AND(Programme_Grunddaten!$A672="Geprüft",Programme_Grunddaten!AB672&lt;&gt;""),IF(Programme_Grunddaten!AB672="Ja",1,0),"")</f>
        <v/>
      </c>
      <c r="U667" s="1" t="str">
        <f>IF(AND(Programme_Grunddaten!$A672="Geprüft",Programme_Grunddaten!AC672&lt;&gt;""),IF(Programme_Grunddaten!AC672="Ja",1,0),"")</f>
        <v/>
      </c>
      <c r="V667" s="1" t="str">
        <f>IF(AND(Programme_Grunddaten!$A672="Geprüft",Programme_Grunddaten!AD672&lt;&gt;""),IF(Programme_Grunddaten!AD672="Ja",1,0),"")</f>
        <v/>
      </c>
      <c r="W667" s="1" t="str">
        <f>IF(AND(Programme_Grunddaten!$A672="Geprüft",Programme_Grunddaten!AE672&lt;&gt;""),IF(Programme_Grunddaten!AE672="Ja",1,0),"")</f>
        <v/>
      </c>
      <c r="X667" s="1" t="str">
        <f>IF(AND(Programme_Grunddaten!$A672="Geprüft",Programme_Grunddaten!AF672&lt;&gt;""),IF(Programme_Grunddaten!AF672="Ja",1,0),"")</f>
        <v/>
      </c>
      <c r="Y667" s="1" t="str">
        <f>IF(AND(Programme_Grunddaten!$A672="Geprüft",Programme_Grunddaten!AG672&lt;&gt;""),IF(Programme_Grunddaten!AG672="Ja",1,0),"")</f>
        <v/>
      </c>
      <c r="Z667" s="1" t="str">
        <f>IF(AND(Programme_Grunddaten!$A672="Geprüft",Programme_Grunddaten!AH672&lt;&gt;""),IF(Programme_Grunddaten!AH672="Ja",1,0),"")</f>
        <v/>
      </c>
      <c r="AA667" s="1" t="str">
        <f>IF(AND(Programme_Grunddaten!$A672="Geprüft",Programme_Grunddaten!AI672&lt;&gt;""),IF(Programme_Grunddaten!AI672="Ja",1,0),"")</f>
        <v/>
      </c>
      <c r="AB667" s="1" t="str">
        <f>IF(AND(Programme_Grunddaten!$A672="Geprüft",Programme_Grunddaten!AJ672&lt;&gt;""),IF(Programme_Grunddaten!AJ672="individuell programmierbar",1,0),"")</f>
        <v/>
      </c>
      <c r="AC667" s="1" t="str">
        <f>IF(AND(Programme_Grunddaten!$A672="Geprüft",Programme_Grunddaten!AK672&lt;&gt;""),IF(Programme_Grunddaten!AK672="Deutsch",0,IF(Programme_Grunddaten!AK672="Deutsch und Englisch",1,2)),"")</f>
        <v/>
      </c>
      <c r="AD667" s="1" t="str">
        <f>IF(AND(Programme_Grunddaten!$A672="Geprüft",Programme_Grunddaten!AL672&lt;&gt;""),IF(Programme_Grunddaten!AL672="Ja",1,0),"")</f>
        <v/>
      </c>
      <c r="AE667" s="1" t="str">
        <f>IF(AND(Programme_Grunddaten!$A672="Geprüft",Programme_Grunddaten!AM672&lt;&gt;""),IF(Programme_Grunddaten!AM672="Ja",1,0),"")</f>
        <v/>
      </c>
      <c r="AF667" s="1" t="str">
        <f>IF(AND(Programme_Grunddaten!$A672="Geprüft",Programme_Grunddaten!AN672&lt;&gt;""),IF(Programme_Grunddaten!AN672="Ja",1,0),"")</f>
        <v/>
      </c>
      <c r="AG667" s="1" t="str">
        <f>IF(AND(Programme_Grunddaten!$A672="Geprüft",Programme_Grunddaten!AO672&lt;&gt;""),IF(Programme_Grunddaten!AO672="Ja",1,0),"")</f>
        <v/>
      </c>
      <c r="AH667" s="1" t="str">
        <f>IF(AND(Programme_Grunddaten!$A672="Geprüft",Programme_Grunddaten!AP672&lt;&gt;""),IF(Programme_Grunddaten!AP672="Ja",1,0),"")</f>
        <v/>
      </c>
      <c r="AI667" s="1" t="str">
        <f>IF(AND(Programme_Grunddaten!$A672="Geprüft",Programme_Grunddaten!AQ672&lt;&gt;""),IF(Programme_Grunddaten!AQ672="Ja",1,0),"")</f>
        <v/>
      </c>
      <c r="AJ667" s="1" t="str">
        <f>IF(AND(Programme_Grunddaten!$A672="Geprüft",Programme_Grunddaten!AR672&lt;&gt;""),IF(Programme_Grunddaten!AR672="Ja",1,0),"")</f>
        <v/>
      </c>
      <c r="AK667" s="1" t="str">
        <f>IF(AND(Programme_Grunddaten!$A672="Geprüft",Programme_Grunddaten!AS672&lt;&gt;""),IF(Programme_Grunddaten!AS672="Ja",1,0),"")</f>
        <v/>
      </c>
      <c r="AL667" s="1" t="str">
        <f>IF(AND(Programme_Grunddaten!$A672="Geprüft",Programme_Grunddaten!AT672&lt;&gt;""),IF(Programme_Grunddaten!AT672="Ja",1,0),"")</f>
        <v/>
      </c>
      <c r="AM667" s="1" t="str">
        <f>IF(AND(Programme_Grunddaten!$A672="Geprüft",Programme_Grunddaten!AU672&lt;&gt;""),IF(Programme_Grunddaten!AU672="Ja",1,0),"")</f>
        <v/>
      </c>
      <c r="AN667" s="1" t="str">
        <f>IF(AND(Programme_Grunddaten!$A672="Geprüft",Programme_Grunddaten!AV672&lt;&gt;""),IF(Programme_Grunddaten!AV672="Ja",1,0),"")</f>
        <v/>
      </c>
    </row>
    <row r="668" spans="1:40" x14ac:dyDescent="0.3">
      <c r="A668" s="1" t="str">
        <f>IF(AND(Programme_Grunddaten!A673="Geprüft",Programme_Grunddaten!B673&lt;&gt;""),Programme_Grunddaten!B673,"")</f>
        <v/>
      </c>
      <c r="B668" s="1" t="str">
        <f>IF(AND(Programme_Grunddaten!$A673="Geprüft",Programme_Grunddaten!I673&lt;&gt;""),IF(Programme_Grunddaten!I673="Ja",1,0),"")</f>
        <v/>
      </c>
      <c r="C668" s="1" t="str">
        <f>IF(AND(Programme_Grunddaten!$A673="Geprüft",Programme_Grunddaten!J673&lt;&gt;""),IF(Programme_Grunddaten!J673="Ja",1,0),"")</f>
        <v/>
      </c>
      <c r="D668" s="1" t="str">
        <f>IF(AND(Programme_Grunddaten!$A673="Geprüft",Programme_Grunddaten!K673&lt;&gt;""),IF(Programme_Grunddaten!K673="Ja",1,0),"")</f>
        <v/>
      </c>
      <c r="E668" s="1" t="str">
        <f>IF(AND(Programme_Grunddaten!$A673="Geprüft",Programme_Grunddaten!L673&lt;&gt;""),IF(Programme_Grunddaten!L673="Abo / befristete Lizenz",1,0),"")</f>
        <v/>
      </c>
      <c r="F668" s="1" t="str">
        <f>IF(AND(Programme_Grunddaten!$A673="Geprüft",Programme_Grunddaten!M673&lt;&gt;""),IF(Programme_Grunddaten!M673="Ja",1,0),"")</f>
        <v/>
      </c>
      <c r="G668" s="1" t="str">
        <f>IF(AND(Programme_Grunddaten!$A673="Geprüft",Programme_Grunddaten!N673&lt;&gt;""),IF(Programme_Grunddaten!N673="Ja",1,0),"")</f>
        <v/>
      </c>
      <c r="H668" s="1" t="str">
        <f>IF(AND(Programme_Grunddaten!$A673="Geprüft",Programme_Grunddaten!O673&lt;&gt;""),IF(Programme_Grunddaten!O673="Deutschland",0,IF(Programme_Grunddaten!O673="EU",1,2)),"")</f>
        <v/>
      </c>
      <c r="I668" s="1" t="str">
        <f>IF(AND(Programme_Grunddaten!$A673="Geprüft",Programme_Grunddaten!P673&lt;&gt;""),IF(Programme_Grunddaten!P673="Ja",1,0),"")</f>
        <v/>
      </c>
      <c r="J668" s="1" t="str">
        <f>IF(AND(Programme_Grunddaten!$A673="Geprüft",Programme_Grunddaten!Q673&lt;&gt;""),IF(Programme_Grunddaten!Q673="geschlossenes System",1,0),"")</f>
        <v/>
      </c>
      <c r="K668" s="1" t="str">
        <f>IF(AND(Programme_Grunddaten!$A673="Geprüft",Programme_Grunddaten!R673&lt;&gt;""),IF(Programme_Grunddaten!R673="Ja",1,0),"")</f>
        <v/>
      </c>
      <c r="L668" s="1" t="str">
        <f>IF(AND(Programme_Grunddaten!$A673="Geprüft",Programme_Grunddaten!T673&lt;&gt;""),IF(Programme_Grunddaten!T673="Ja",1,0),"")</f>
        <v/>
      </c>
      <c r="M668" s="1" t="str">
        <f>IF(AND(Programme_Grunddaten!$A673="Geprüft",Programme_Grunddaten!U673&lt;&gt;""),IF(Programme_Grunddaten!U673="Ja",1,0),"")</f>
        <v/>
      </c>
      <c r="N668" s="1" t="str">
        <f>IF(AND(Programme_Grunddaten!$A673="Geprüft",Programme_Grunddaten!V673&lt;&gt;""),IF(Programme_Grunddaten!V673="Ja",1,0),"")</f>
        <v/>
      </c>
      <c r="O668" s="1" t="str">
        <f>IF(AND(Programme_Grunddaten!$A673="Geprüft",Programme_Grunddaten!W673&lt;&gt;""),IF(Programme_Grunddaten!W673="Ja",1,0),"")</f>
        <v/>
      </c>
      <c r="P668" s="1" t="str">
        <f>IF(AND(Programme_Grunddaten!$A673="Geprüft",Programme_Grunddaten!X673&lt;&gt;""),IF(Programme_Grunddaten!X673="Ja",1,0),"")</f>
        <v/>
      </c>
      <c r="Q668" s="1" t="str">
        <f>IF(AND(Programme_Grunddaten!$A673="Geprüft",Programme_Grunddaten!Y673&lt;&gt;""),IF(Programme_Grunddaten!Y673="Ja",1,0),"")</f>
        <v/>
      </c>
      <c r="R668" s="1" t="str">
        <f>IF(AND(Programme_Grunddaten!$A673="Geprüft",Programme_Grunddaten!Z673&lt;&gt;""),IF(Programme_Grunddaten!Z673="Ja",1,0),"")</f>
        <v/>
      </c>
      <c r="S668" s="1" t="str">
        <f>IF(AND(Programme_Grunddaten!$A673="Geprüft",Programme_Grunddaten!AA673&lt;&gt;""),IF(Programme_Grunddaten!AA673="monolithisch",1,0),"")</f>
        <v/>
      </c>
      <c r="T668" s="1" t="str">
        <f>IF(AND(Programme_Grunddaten!$A673="Geprüft",Programme_Grunddaten!AB673&lt;&gt;""),IF(Programme_Grunddaten!AB673="Ja",1,0),"")</f>
        <v/>
      </c>
      <c r="U668" s="1" t="str">
        <f>IF(AND(Programme_Grunddaten!$A673="Geprüft",Programme_Grunddaten!AC673&lt;&gt;""),IF(Programme_Grunddaten!AC673="Ja",1,0),"")</f>
        <v/>
      </c>
      <c r="V668" s="1" t="str">
        <f>IF(AND(Programme_Grunddaten!$A673="Geprüft",Programme_Grunddaten!AD673&lt;&gt;""),IF(Programme_Grunddaten!AD673="Ja",1,0),"")</f>
        <v/>
      </c>
      <c r="W668" s="1" t="str">
        <f>IF(AND(Programme_Grunddaten!$A673="Geprüft",Programme_Grunddaten!AE673&lt;&gt;""),IF(Programme_Grunddaten!AE673="Ja",1,0),"")</f>
        <v/>
      </c>
      <c r="X668" s="1" t="str">
        <f>IF(AND(Programme_Grunddaten!$A673="Geprüft",Programme_Grunddaten!AF673&lt;&gt;""),IF(Programme_Grunddaten!AF673="Ja",1,0),"")</f>
        <v/>
      </c>
      <c r="Y668" s="1" t="str">
        <f>IF(AND(Programme_Grunddaten!$A673="Geprüft",Programme_Grunddaten!AG673&lt;&gt;""),IF(Programme_Grunddaten!AG673="Ja",1,0),"")</f>
        <v/>
      </c>
      <c r="Z668" s="1" t="str">
        <f>IF(AND(Programme_Grunddaten!$A673="Geprüft",Programme_Grunddaten!AH673&lt;&gt;""),IF(Programme_Grunddaten!AH673="Ja",1,0),"")</f>
        <v/>
      </c>
      <c r="AA668" s="1" t="str">
        <f>IF(AND(Programme_Grunddaten!$A673="Geprüft",Programme_Grunddaten!AI673&lt;&gt;""),IF(Programme_Grunddaten!AI673="Ja",1,0),"")</f>
        <v/>
      </c>
      <c r="AB668" s="1" t="str">
        <f>IF(AND(Programme_Grunddaten!$A673="Geprüft",Programme_Grunddaten!AJ673&lt;&gt;""),IF(Programme_Grunddaten!AJ673="individuell programmierbar",1,0),"")</f>
        <v/>
      </c>
      <c r="AC668" s="1" t="str">
        <f>IF(AND(Programme_Grunddaten!$A673="Geprüft",Programme_Grunddaten!AK673&lt;&gt;""),IF(Programme_Grunddaten!AK673="Deutsch",0,IF(Programme_Grunddaten!AK673="Deutsch und Englisch",1,2)),"")</f>
        <v/>
      </c>
      <c r="AD668" s="1" t="str">
        <f>IF(AND(Programme_Grunddaten!$A673="Geprüft",Programme_Grunddaten!AL673&lt;&gt;""),IF(Programme_Grunddaten!AL673="Ja",1,0),"")</f>
        <v/>
      </c>
      <c r="AE668" s="1" t="str">
        <f>IF(AND(Programme_Grunddaten!$A673="Geprüft",Programme_Grunddaten!AM673&lt;&gt;""),IF(Programme_Grunddaten!AM673="Ja",1,0),"")</f>
        <v/>
      </c>
      <c r="AF668" s="1" t="str">
        <f>IF(AND(Programme_Grunddaten!$A673="Geprüft",Programme_Grunddaten!AN673&lt;&gt;""),IF(Programme_Grunddaten!AN673="Ja",1,0),"")</f>
        <v/>
      </c>
      <c r="AG668" s="1" t="str">
        <f>IF(AND(Programme_Grunddaten!$A673="Geprüft",Programme_Grunddaten!AO673&lt;&gt;""),IF(Programme_Grunddaten!AO673="Ja",1,0),"")</f>
        <v/>
      </c>
      <c r="AH668" s="1" t="str">
        <f>IF(AND(Programme_Grunddaten!$A673="Geprüft",Programme_Grunddaten!AP673&lt;&gt;""),IF(Programme_Grunddaten!AP673="Ja",1,0),"")</f>
        <v/>
      </c>
      <c r="AI668" s="1" t="str">
        <f>IF(AND(Programme_Grunddaten!$A673="Geprüft",Programme_Grunddaten!AQ673&lt;&gt;""),IF(Programme_Grunddaten!AQ673="Ja",1,0),"")</f>
        <v/>
      </c>
      <c r="AJ668" s="1" t="str">
        <f>IF(AND(Programme_Grunddaten!$A673="Geprüft",Programme_Grunddaten!AR673&lt;&gt;""),IF(Programme_Grunddaten!AR673="Ja",1,0),"")</f>
        <v/>
      </c>
      <c r="AK668" s="1" t="str">
        <f>IF(AND(Programme_Grunddaten!$A673="Geprüft",Programme_Grunddaten!AS673&lt;&gt;""),IF(Programme_Grunddaten!AS673="Ja",1,0),"")</f>
        <v/>
      </c>
      <c r="AL668" s="1" t="str">
        <f>IF(AND(Programme_Grunddaten!$A673="Geprüft",Programme_Grunddaten!AT673&lt;&gt;""),IF(Programme_Grunddaten!AT673="Ja",1,0),"")</f>
        <v/>
      </c>
      <c r="AM668" s="1" t="str">
        <f>IF(AND(Programme_Grunddaten!$A673="Geprüft",Programme_Grunddaten!AU673&lt;&gt;""),IF(Programme_Grunddaten!AU673="Ja",1,0),"")</f>
        <v/>
      </c>
      <c r="AN668" s="1" t="str">
        <f>IF(AND(Programme_Grunddaten!$A673="Geprüft",Programme_Grunddaten!AV673&lt;&gt;""),IF(Programme_Grunddaten!AV673="Ja",1,0),"")</f>
        <v/>
      </c>
    </row>
    <row r="669" spans="1:40" x14ac:dyDescent="0.3">
      <c r="A669" s="1" t="str">
        <f>IF(AND(Programme_Grunddaten!A674="Geprüft",Programme_Grunddaten!B674&lt;&gt;""),Programme_Grunddaten!B674,"")</f>
        <v/>
      </c>
      <c r="B669" s="1" t="str">
        <f>IF(AND(Programme_Grunddaten!$A674="Geprüft",Programme_Grunddaten!I674&lt;&gt;""),IF(Programme_Grunddaten!I674="Ja",1,0),"")</f>
        <v/>
      </c>
      <c r="C669" s="1" t="str">
        <f>IF(AND(Programme_Grunddaten!$A674="Geprüft",Programme_Grunddaten!J674&lt;&gt;""),IF(Programme_Grunddaten!J674="Ja",1,0),"")</f>
        <v/>
      </c>
      <c r="D669" s="1" t="str">
        <f>IF(AND(Programme_Grunddaten!$A674="Geprüft",Programme_Grunddaten!K674&lt;&gt;""),IF(Programme_Grunddaten!K674="Ja",1,0),"")</f>
        <v/>
      </c>
      <c r="E669" s="1" t="str">
        <f>IF(AND(Programme_Grunddaten!$A674="Geprüft",Programme_Grunddaten!L674&lt;&gt;""),IF(Programme_Grunddaten!L674="Abo / befristete Lizenz",1,0),"")</f>
        <v/>
      </c>
      <c r="F669" s="1" t="str">
        <f>IF(AND(Programme_Grunddaten!$A674="Geprüft",Programme_Grunddaten!M674&lt;&gt;""),IF(Programme_Grunddaten!M674="Ja",1,0),"")</f>
        <v/>
      </c>
      <c r="G669" s="1" t="str">
        <f>IF(AND(Programme_Grunddaten!$A674="Geprüft",Programme_Grunddaten!N674&lt;&gt;""),IF(Programme_Grunddaten!N674="Ja",1,0),"")</f>
        <v/>
      </c>
      <c r="H669" s="1" t="str">
        <f>IF(AND(Programme_Grunddaten!$A674="Geprüft",Programme_Grunddaten!O674&lt;&gt;""),IF(Programme_Grunddaten!O674="Deutschland",0,IF(Programme_Grunddaten!O674="EU",1,2)),"")</f>
        <v/>
      </c>
      <c r="I669" s="1" t="str">
        <f>IF(AND(Programme_Grunddaten!$A674="Geprüft",Programme_Grunddaten!P674&lt;&gt;""),IF(Programme_Grunddaten!P674="Ja",1,0),"")</f>
        <v/>
      </c>
      <c r="J669" s="1" t="str">
        <f>IF(AND(Programme_Grunddaten!$A674="Geprüft",Programme_Grunddaten!Q674&lt;&gt;""),IF(Programme_Grunddaten!Q674="geschlossenes System",1,0),"")</f>
        <v/>
      </c>
      <c r="K669" s="1" t="str">
        <f>IF(AND(Programme_Grunddaten!$A674="Geprüft",Programme_Grunddaten!R674&lt;&gt;""),IF(Programme_Grunddaten!R674="Ja",1,0),"")</f>
        <v/>
      </c>
      <c r="L669" s="1" t="str">
        <f>IF(AND(Programme_Grunddaten!$A674="Geprüft",Programme_Grunddaten!T674&lt;&gt;""),IF(Programme_Grunddaten!T674="Ja",1,0),"")</f>
        <v/>
      </c>
      <c r="M669" s="1" t="str">
        <f>IF(AND(Programme_Grunddaten!$A674="Geprüft",Programme_Grunddaten!U674&lt;&gt;""),IF(Programme_Grunddaten!U674="Ja",1,0),"")</f>
        <v/>
      </c>
      <c r="N669" s="1" t="str">
        <f>IF(AND(Programme_Grunddaten!$A674="Geprüft",Programme_Grunddaten!V674&lt;&gt;""),IF(Programme_Grunddaten!V674="Ja",1,0),"")</f>
        <v/>
      </c>
      <c r="O669" s="1" t="str">
        <f>IF(AND(Programme_Grunddaten!$A674="Geprüft",Programme_Grunddaten!W674&lt;&gt;""),IF(Programme_Grunddaten!W674="Ja",1,0),"")</f>
        <v/>
      </c>
      <c r="P669" s="1" t="str">
        <f>IF(AND(Programme_Grunddaten!$A674="Geprüft",Programme_Grunddaten!X674&lt;&gt;""),IF(Programme_Grunddaten!X674="Ja",1,0),"")</f>
        <v/>
      </c>
      <c r="Q669" s="1" t="str">
        <f>IF(AND(Programme_Grunddaten!$A674="Geprüft",Programme_Grunddaten!Y674&lt;&gt;""),IF(Programme_Grunddaten!Y674="Ja",1,0),"")</f>
        <v/>
      </c>
      <c r="R669" s="1" t="str">
        <f>IF(AND(Programme_Grunddaten!$A674="Geprüft",Programme_Grunddaten!Z674&lt;&gt;""),IF(Programme_Grunddaten!Z674="Ja",1,0),"")</f>
        <v/>
      </c>
      <c r="S669" s="1" t="str">
        <f>IF(AND(Programme_Grunddaten!$A674="Geprüft",Programme_Grunddaten!AA674&lt;&gt;""),IF(Programme_Grunddaten!AA674="monolithisch",1,0),"")</f>
        <v/>
      </c>
      <c r="T669" s="1" t="str">
        <f>IF(AND(Programme_Grunddaten!$A674="Geprüft",Programme_Grunddaten!AB674&lt;&gt;""),IF(Programme_Grunddaten!AB674="Ja",1,0),"")</f>
        <v/>
      </c>
      <c r="U669" s="1" t="str">
        <f>IF(AND(Programme_Grunddaten!$A674="Geprüft",Programme_Grunddaten!AC674&lt;&gt;""),IF(Programme_Grunddaten!AC674="Ja",1,0),"")</f>
        <v/>
      </c>
      <c r="V669" s="1" t="str">
        <f>IF(AND(Programme_Grunddaten!$A674="Geprüft",Programme_Grunddaten!AD674&lt;&gt;""),IF(Programme_Grunddaten!AD674="Ja",1,0),"")</f>
        <v/>
      </c>
      <c r="W669" s="1" t="str">
        <f>IF(AND(Programme_Grunddaten!$A674="Geprüft",Programme_Grunddaten!AE674&lt;&gt;""),IF(Programme_Grunddaten!AE674="Ja",1,0),"")</f>
        <v/>
      </c>
      <c r="X669" s="1" t="str">
        <f>IF(AND(Programme_Grunddaten!$A674="Geprüft",Programme_Grunddaten!AF674&lt;&gt;""),IF(Programme_Grunddaten!AF674="Ja",1,0),"")</f>
        <v/>
      </c>
      <c r="Y669" s="1" t="str">
        <f>IF(AND(Programme_Grunddaten!$A674="Geprüft",Programme_Grunddaten!AG674&lt;&gt;""),IF(Programme_Grunddaten!AG674="Ja",1,0),"")</f>
        <v/>
      </c>
      <c r="Z669" s="1" t="str">
        <f>IF(AND(Programme_Grunddaten!$A674="Geprüft",Programme_Grunddaten!AH674&lt;&gt;""),IF(Programme_Grunddaten!AH674="Ja",1,0),"")</f>
        <v/>
      </c>
      <c r="AA669" s="1" t="str">
        <f>IF(AND(Programme_Grunddaten!$A674="Geprüft",Programme_Grunddaten!AI674&lt;&gt;""),IF(Programme_Grunddaten!AI674="Ja",1,0),"")</f>
        <v/>
      </c>
      <c r="AB669" s="1" t="str">
        <f>IF(AND(Programme_Grunddaten!$A674="Geprüft",Programme_Grunddaten!AJ674&lt;&gt;""),IF(Programme_Grunddaten!AJ674="individuell programmierbar",1,0),"")</f>
        <v/>
      </c>
      <c r="AC669" s="1" t="str">
        <f>IF(AND(Programme_Grunddaten!$A674="Geprüft",Programme_Grunddaten!AK674&lt;&gt;""),IF(Programme_Grunddaten!AK674="Deutsch",0,IF(Programme_Grunddaten!AK674="Deutsch und Englisch",1,2)),"")</f>
        <v/>
      </c>
      <c r="AD669" s="1" t="str">
        <f>IF(AND(Programme_Grunddaten!$A674="Geprüft",Programme_Grunddaten!AL674&lt;&gt;""),IF(Programme_Grunddaten!AL674="Ja",1,0),"")</f>
        <v/>
      </c>
      <c r="AE669" s="1" t="str">
        <f>IF(AND(Programme_Grunddaten!$A674="Geprüft",Programme_Grunddaten!AM674&lt;&gt;""),IF(Programme_Grunddaten!AM674="Ja",1,0),"")</f>
        <v/>
      </c>
      <c r="AF669" s="1" t="str">
        <f>IF(AND(Programme_Grunddaten!$A674="Geprüft",Programme_Grunddaten!AN674&lt;&gt;""),IF(Programme_Grunddaten!AN674="Ja",1,0),"")</f>
        <v/>
      </c>
      <c r="AG669" s="1" t="str">
        <f>IF(AND(Programme_Grunddaten!$A674="Geprüft",Programme_Grunddaten!AO674&lt;&gt;""),IF(Programme_Grunddaten!AO674="Ja",1,0),"")</f>
        <v/>
      </c>
      <c r="AH669" s="1" t="str">
        <f>IF(AND(Programme_Grunddaten!$A674="Geprüft",Programme_Grunddaten!AP674&lt;&gt;""),IF(Programme_Grunddaten!AP674="Ja",1,0),"")</f>
        <v/>
      </c>
      <c r="AI669" s="1" t="str">
        <f>IF(AND(Programme_Grunddaten!$A674="Geprüft",Programme_Grunddaten!AQ674&lt;&gt;""),IF(Programme_Grunddaten!AQ674="Ja",1,0),"")</f>
        <v/>
      </c>
      <c r="AJ669" s="1" t="str">
        <f>IF(AND(Programme_Grunddaten!$A674="Geprüft",Programme_Grunddaten!AR674&lt;&gt;""),IF(Programme_Grunddaten!AR674="Ja",1,0),"")</f>
        <v/>
      </c>
      <c r="AK669" s="1" t="str">
        <f>IF(AND(Programme_Grunddaten!$A674="Geprüft",Programme_Grunddaten!AS674&lt;&gt;""),IF(Programme_Grunddaten!AS674="Ja",1,0),"")</f>
        <v/>
      </c>
      <c r="AL669" s="1" t="str">
        <f>IF(AND(Programme_Grunddaten!$A674="Geprüft",Programme_Grunddaten!AT674&lt;&gt;""),IF(Programme_Grunddaten!AT674="Ja",1,0),"")</f>
        <v/>
      </c>
      <c r="AM669" s="1" t="str">
        <f>IF(AND(Programme_Grunddaten!$A674="Geprüft",Programme_Grunddaten!AU674&lt;&gt;""),IF(Programme_Grunddaten!AU674="Ja",1,0),"")</f>
        <v/>
      </c>
      <c r="AN669" s="1" t="str">
        <f>IF(AND(Programme_Grunddaten!$A674="Geprüft",Programme_Grunddaten!AV674&lt;&gt;""),IF(Programme_Grunddaten!AV674="Ja",1,0),"")</f>
        <v/>
      </c>
    </row>
    <row r="670" spans="1:40" x14ac:dyDescent="0.3">
      <c r="A670" s="1" t="str">
        <f>IF(AND(Programme_Grunddaten!A675="Geprüft",Programme_Grunddaten!B675&lt;&gt;""),Programme_Grunddaten!B675,"")</f>
        <v/>
      </c>
      <c r="B670" s="1" t="str">
        <f>IF(AND(Programme_Grunddaten!$A675="Geprüft",Programme_Grunddaten!I675&lt;&gt;""),IF(Programme_Grunddaten!I675="Ja",1,0),"")</f>
        <v/>
      </c>
      <c r="C670" s="1" t="str">
        <f>IF(AND(Programme_Grunddaten!$A675="Geprüft",Programme_Grunddaten!J675&lt;&gt;""),IF(Programme_Grunddaten!J675="Ja",1,0),"")</f>
        <v/>
      </c>
      <c r="D670" s="1" t="str">
        <f>IF(AND(Programme_Grunddaten!$A675="Geprüft",Programme_Grunddaten!K675&lt;&gt;""),IF(Programme_Grunddaten!K675="Ja",1,0),"")</f>
        <v/>
      </c>
      <c r="E670" s="1" t="str">
        <f>IF(AND(Programme_Grunddaten!$A675="Geprüft",Programme_Grunddaten!L675&lt;&gt;""),IF(Programme_Grunddaten!L675="Abo / befristete Lizenz",1,0),"")</f>
        <v/>
      </c>
      <c r="F670" s="1" t="str">
        <f>IF(AND(Programme_Grunddaten!$A675="Geprüft",Programme_Grunddaten!M675&lt;&gt;""),IF(Programme_Grunddaten!M675="Ja",1,0),"")</f>
        <v/>
      </c>
      <c r="G670" s="1" t="str">
        <f>IF(AND(Programme_Grunddaten!$A675="Geprüft",Programme_Grunddaten!N675&lt;&gt;""),IF(Programme_Grunddaten!N675="Ja",1,0),"")</f>
        <v/>
      </c>
      <c r="H670" s="1" t="str">
        <f>IF(AND(Programme_Grunddaten!$A675="Geprüft",Programme_Grunddaten!O675&lt;&gt;""),IF(Programme_Grunddaten!O675="Deutschland",0,IF(Programme_Grunddaten!O675="EU",1,2)),"")</f>
        <v/>
      </c>
      <c r="I670" s="1" t="str">
        <f>IF(AND(Programme_Grunddaten!$A675="Geprüft",Programme_Grunddaten!P675&lt;&gt;""),IF(Programme_Grunddaten!P675="Ja",1,0),"")</f>
        <v/>
      </c>
      <c r="J670" s="1" t="str">
        <f>IF(AND(Programme_Grunddaten!$A675="Geprüft",Programme_Grunddaten!Q675&lt;&gt;""),IF(Programme_Grunddaten!Q675="geschlossenes System",1,0),"")</f>
        <v/>
      </c>
      <c r="K670" s="1" t="str">
        <f>IF(AND(Programme_Grunddaten!$A675="Geprüft",Programme_Grunddaten!R675&lt;&gt;""),IF(Programme_Grunddaten!R675="Ja",1,0),"")</f>
        <v/>
      </c>
      <c r="L670" s="1" t="str">
        <f>IF(AND(Programme_Grunddaten!$A675="Geprüft",Programme_Grunddaten!T675&lt;&gt;""),IF(Programme_Grunddaten!T675="Ja",1,0),"")</f>
        <v/>
      </c>
      <c r="M670" s="1" t="str">
        <f>IF(AND(Programme_Grunddaten!$A675="Geprüft",Programme_Grunddaten!U675&lt;&gt;""),IF(Programme_Grunddaten!U675="Ja",1,0),"")</f>
        <v/>
      </c>
      <c r="N670" s="1" t="str">
        <f>IF(AND(Programme_Grunddaten!$A675="Geprüft",Programme_Grunddaten!V675&lt;&gt;""),IF(Programme_Grunddaten!V675="Ja",1,0),"")</f>
        <v/>
      </c>
      <c r="O670" s="1" t="str">
        <f>IF(AND(Programme_Grunddaten!$A675="Geprüft",Programme_Grunddaten!W675&lt;&gt;""),IF(Programme_Grunddaten!W675="Ja",1,0),"")</f>
        <v/>
      </c>
      <c r="P670" s="1" t="str">
        <f>IF(AND(Programme_Grunddaten!$A675="Geprüft",Programme_Grunddaten!X675&lt;&gt;""),IF(Programme_Grunddaten!X675="Ja",1,0),"")</f>
        <v/>
      </c>
      <c r="Q670" s="1" t="str">
        <f>IF(AND(Programme_Grunddaten!$A675="Geprüft",Programme_Grunddaten!Y675&lt;&gt;""),IF(Programme_Grunddaten!Y675="Ja",1,0),"")</f>
        <v/>
      </c>
      <c r="R670" s="1" t="str">
        <f>IF(AND(Programme_Grunddaten!$A675="Geprüft",Programme_Grunddaten!Z675&lt;&gt;""),IF(Programme_Grunddaten!Z675="Ja",1,0),"")</f>
        <v/>
      </c>
      <c r="S670" s="1" t="str">
        <f>IF(AND(Programme_Grunddaten!$A675="Geprüft",Programme_Grunddaten!AA675&lt;&gt;""),IF(Programme_Grunddaten!AA675="monolithisch",1,0),"")</f>
        <v/>
      </c>
      <c r="T670" s="1" t="str">
        <f>IF(AND(Programme_Grunddaten!$A675="Geprüft",Programme_Grunddaten!AB675&lt;&gt;""),IF(Programme_Grunddaten!AB675="Ja",1,0),"")</f>
        <v/>
      </c>
      <c r="U670" s="1" t="str">
        <f>IF(AND(Programme_Grunddaten!$A675="Geprüft",Programme_Grunddaten!AC675&lt;&gt;""),IF(Programme_Grunddaten!AC675="Ja",1,0),"")</f>
        <v/>
      </c>
      <c r="V670" s="1" t="str">
        <f>IF(AND(Programme_Grunddaten!$A675="Geprüft",Programme_Grunddaten!AD675&lt;&gt;""),IF(Programme_Grunddaten!AD675="Ja",1,0),"")</f>
        <v/>
      </c>
      <c r="W670" s="1" t="str">
        <f>IF(AND(Programme_Grunddaten!$A675="Geprüft",Programme_Grunddaten!AE675&lt;&gt;""),IF(Programme_Grunddaten!AE675="Ja",1,0),"")</f>
        <v/>
      </c>
      <c r="X670" s="1" t="str">
        <f>IF(AND(Programme_Grunddaten!$A675="Geprüft",Programme_Grunddaten!AF675&lt;&gt;""),IF(Programme_Grunddaten!AF675="Ja",1,0),"")</f>
        <v/>
      </c>
      <c r="Y670" s="1" t="str">
        <f>IF(AND(Programme_Grunddaten!$A675="Geprüft",Programme_Grunddaten!AG675&lt;&gt;""),IF(Programme_Grunddaten!AG675="Ja",1,0),"")</f>
        <v/>
      </c>
      <c r="Z670" s="1" t="str">
        <f>IF(AND(Programme_Grunddaten!$A675="Geprüft",Programme_Grunddaten!AH675&lt;&gt;""),IF(Programme_Grunddaten!AH675="Ja",1,0),"")</f>
        <v/>
      </c>
      <c r="AA670" s="1" t="str">
        <f>IF(AND(Programme_Grunddaten!$A675="Geprüft",Programme_Grunddaten!AI675&lt;&gt;""),IF(Programme_Grunddaten!AI675="Ja",1,0),"")</f>
        <v/>
      </c>
      <c r="AB670" s="1" t="str">
        <f>IF(AND(Programme_Grunddaten!$A675="Geprüft",Programme_Grunddaten!AJ675&lt;&gt;""),IF(Programme_Grunddaten!AJ675="individuell programmierbar",1,0),"")</f>
        <v/>
      </c>
      <c r="AC670" s="1" t="str">
        <f>IF(AND(Programme_Grunddaten!$A675="Geprüft",Programme_Grunddaten!AK675&lt;&gt;""),IF(Programme_Grunddaten!AK675="Deutsch",0,IF(Programme_Grunddaten!AK675="Deutsch und Englisch",1,2)),"")</f>
        <v/>
      </c>
      <c r="AD670" s="1" t="str">
        <f>IF(AND(Programme_Grunddaten!$A675="Geprüft",Programme_Grunddaten!AL675&lt;&gt;""),IF(Programme_Grunddaten!AL675="Ja",1,0),"")</f>
        <v/>
      </c>
      <c r="AE670" s="1" t="str">
        <f>IF(AND(Programme_Grunddaten!$A675="Geprüft",Programme_Grunddaten!AM675&lt;&gt;""),IF(Programme_Grunddaten!AM675="Ja",1,0),"")</f>
        <v/>
      </c>
      <c r="AF670" s="1" t="str">
        <f>IF(AND(Programme_Grunddaten!$A675="Geprüft",Programme_Grunddaten!AN675&lt;&gt;""),IF(Programme_Grunddaten!AN675="Ja",1,0),"")</f>
        <v/>
      </c>
      <c r="AG670" s="1" t="str">
        <f>IF(AND(Programme_Grunddaten!$A675="Geprüft",Programme_Grunddaten!AO675&lt;&gt;""),IF(Programme_Grunddaten!AO675="Ja",1,0),"")</f>
        <v/>
      </c>
      <c r="AH670" s="1" t="str">
        <f>IF(AND(Programme_Grunddaten!$A675="Geprüft",Programme_Grunddaten!AP675&lt;&gt;""),IF(Programme_Grunddaten!AP675="Ja",1,0),"")</f>
        <v/>
      </c>
      <c r="AI670" s="1" t="str">
        <f>IF(AND(Programme_Grunddaten!$A675="Geprüft",Programme_Grunddaten!AQ675&lt;&gt;""),IF(Programme_Grunddaten!AQ675="Ja",1,0),"")</f>
        <v/>
      </c>
      <c r="AJ670" s="1" t="str">
        <f>IF(AND(Programme_Grunddaten!$A675="Geprüft",Programme_Grunddaten!AR675&lt;&gt;""),IF(Programme_Grunddaten!AR675="Ja",1,0),"")</f>
        <v/>
      </c>
      <c r="AK670" s="1" t="str">
        <f>IF(AND(Programme_Grunddaten!$A675="Geprüft",Programme_Grunddaten!AS675&lt;&gt;""),IF(Programme_Grunddaten!AS675="Ja",1,0),"")</f>
        <v/>
      </c>
      <c r="AL670" s="1" t="str">
        <f>IF(AND(Programme_Grunddaten!$A675="Geprüft",Programme_Grunddaten!AT675&lt;&gt;""),IF(Programme_Grunddaten!AT675="Ja",1,0),"")</f>
        <v/>
      </c>
      <c r="AM670" s="1" t="str">
        <f>IF(AND(Programme_Grunddaten!$A675="Geprüft",Programme_Grunddaten!AU675&lt;&gt;""),IF(Programme_Grunddaten!AU675="Ja",1,0),"")</f>
        <v/>
      </c>
      <c r="AN670" s="1" t="str">
        <f>IF(AND(Programme_Grunddaten!$A675="Geprüft",Programme_Grunddaten!AV675&lt;&gt;""),IF(Programme_Grunddaten!AV675="Ja",1,0),"")</f>
        <v/>
      </c>
    </row>
    <row r="671" spans="1:40" x14ac:dyDescent="0.3">
      <c r="A671" s="1" t="str">
        <f>IF(AND(Programme_Grunddaten!A676="Geprüft",Programme_Grunddaten!B676&lt;&gt;""),Programme_Grunddaten!B676,"")</f>
        <v/>
      </c>
      <c r="B671" s="1" t="str">
        <f>IF(AND(Programme_Grunddaten!$A676="Geprüft",Programme_Grunddaten!I676&lt;&gt;""),IF(Programme_Grunddaten!I676="Ja",1,0),"")</f>
        <v/>
      </c>
      <c r="C671" s="1" t="str">
        <f>IF(AND(Programme_Grunddaten!$A676="Geprüft",Programme_Grunddaten!J676&lt;&gt;""),IF(Programme_Grunddaten!J676="Ja",1,0),"")</f>
        <v/>
      </c>
      <c r="D671" s="1" t="str">
        <f>IF(AND(Programme_Grunddaten!$A676="Geprüft",Programme_Grunddaten!K676&lt;&gt;""),IF(Programme_Grunddaten!K676="Ja",1,0),"")</f>
        <v/>
      </c>
      <c r="E671" s="1" t="str">
        <f>IF(AND(Programme_Grunddaten!$A676="Geprüft",Programme_Grunddaten!L676&lt;&gt;""),IF(Programme_Grunddaten!L676="Abo / befristete Lizenz",1,0),"")</f>
        <v/>
      </c>
      <c r="F671" s="1" t="str">
        <f>IF(AND(Programme_Grunddaten!$A676="Geprüft",Programme_Grunddaten!M676&lt;&gt;""),IF(Programme_Grunddaten!M676="Ja",1,0),"")</f>
        <v/>
      </c>
      <c r="G671" s="1" t="str">
        <f>IF(AND(Programme_Grunddaten!$A676="Geprüft",Programme_Grunddaten!N676&lt;&gt;""),IF(Programme_Grunddaten!N676="Ja",1,0),"")</f>
        <v/>
      </c>
      <c r="H671" s="1" t="str">
        <f>IF(AND(Programme_Grunddaten!$A676="Geprüft",Programme_Grunddaten!O676&lt;&gt;""),IF(Programme_Grunddaten!O676="Deutschland",0,IF(Programme_Grunddaten!O676="EU",1,2)),"")</f>
        <v/>
      </c>
      <c r="I671" s="1" t="str">
        <f>IF(AND(Programme_Grunddaten!$A676="Geprüft",Programme_Grunddaten!P676&lt;&gt;""),IF(Programme_Grunddaten!P676="Ja",1,0),"")</f>
        <v/>
      </c>
      <c r="J671" s="1" t="str">
        <f>IF(AND(Programme_Grunddaten!$A676="Geprüft",Programme_Grunddaten!Q676&lt;&gt;""),IF(Programme_Grunddaten!Q676="geschlossenes System",1,0),"")</f>
        <v/>
      </c>
      <c r="K671" s="1" t="str">
        <f>IF(AND(Programme_Grunddaten!$A676="Geprüft",Programme_Grunddaten!R676&lt;&gt;""),IF(Programme_Grunddaten!R676="Ja",1,0),"")</f>
        <v/>
      </c>
      <c r="L671" s="1" t="str">
        <f>IF(AND(Programme_Grunddaten!$A676="Geprüft",Programme_Grunddaten!T676&lt;&gt;""),IF(Programme_Grunddaten!T676="Ja",1,0),"")</f>
        <v/>
      </c>
      <c r="M671" s="1" t="str">
        <f>IF(AND(Programme_Grunddaten!$A676="Geprüft",Programme_Grunddaten!U676&lt;&gt;""),IF(Programme_Grunddaten!U676="Ja",1,0),"")</f>
        <v/>
      </c>
      <c r="N671" s="1" t="str">
        <f>IF(AND(Programme_Grunddaten!$A676="Geprüft",Programme_Grunddaten!V676&lt;&gt;""),IF(Programme_Grunddaten!V676="Ja",1,0),"")</f>
        <v/>
      </c>
      <c r="O671" s="1" t="str">
        <f>IF(AND(Programme_Grunddaten!$A676="Geprüft",Programme_Grunddaten!W676&lt;&gt;""),IF(Programme_Grunddaten!W676="Ja",1,0),"")</f>
        <v/>
      </c>
      <c r="P671" s="1" t="str">
        <f>IF(AND(Programme_Grunddaten!$A676="Geprüft",Programme_Grunddaten!X676&lt;&gt;""),IF(Programme_Grunddaten!X676="Ja",1,0),"")</f>
        <v/>
      </c>
      <c r="Q671" s="1" t="str">
        <f>IF(AND(Programme_Grunddaten!$A676="Geprüft",Programme_Grunddaten!Y676&lt;&gt;""),IF(Programme_Grunddaten!Y676="Ja",1,0),"")</f>
        <v/>
      </c>
      <c r="R671" s="1" t="str">
        <f>IF(AND(Programme_Grunddaten!$A676="Geprüft",Programme_Grunddaten!Z676&lt;&gt;""),IF(Programme_Grunddaten!Z676="Ja",1,0),"")</f>
        <v/>
      </c>
      <c r="S671" s="1" t="str">
        <f>IF(AND(Programme_Grunddaten!$A676="Geprüft",Programme_Grunddaten!AA676&lt;&gt;""),IF(Programme_Grunddaten!AA676="monolithisch",1,0),"")</f>
        <v/>
      </c>
      <c r="T671" s="1" t="str">
        <f>IF(AND(Programme_Grunddaten!$A676="Geprüft",Programme_Grunddaten!AB676&lt;&gt;""),IF(Programme_Grunddaten!AB676="Ja",1,0),"")</f>
        <v/>
      </c>
      <c r="U671" s="1" t="str">
        <f>IF(AND(Programme_Grunddaten!$A676="Geprüft",Programme_Grunddaten!AC676&lt;&gt;""),IF(Programme_Grunddaten!AC676="Ja",1,0),"")</f>
        <v/>
      </c>
      <c r="V671" s="1" t="str">
        <f>IF(AND(Programme_Grunddaten!$A676="Geprüft",Programme_Grunddaten!AD676&lt;&gt;""),IF(Programme_Grunddaten!AD676="Ja",1,0),"")</f>
        <v/>
      </c>
      <c r="W671" s="1" t="str">
        <f>IF(AND(Programme_Grunddaten!$A676="Geprüft",Programme_Grunddaten!AE676&lt;&gt;""),IF(Programme_Grunddaten!AE676="Ja",1,0),"")</f>
        <v/>
      </c>
      <c r="X671" s="1" t="str">
        <f>IF(AND(Programme_Grunddaten!$A676="Geprüft",Programme_Grunddaten!AF676&lt;&gt;""),IF(Programme_Grunddaten!AF676="Ja",1,0),"")</f>
        <v/>
      </c>
      <c r="Y671" s="1" t="str">
        <f>IF(AND(Programme_Grunddaten!$A676="Geprüft",Programme_Grunddaten!AG676&lt;&gt;""),IF(Programme_Grunddaten!AG676="Ja",1,0),"")</f>
        <v/>
      </c>
      <c r="Z671" s="1" t="str">
        <f>IF(AND(Programme_Grunddaten!$A676="Geprüft",Programme_Grunddaten!AH676&lt;&gt;""),IF(Programme_Grunddaten!AH676="Ja",1,0),"")</f>
        <v/>
      </c>
      <c r="AA671" s="1" t="str">
        <f>IF(AND(Programme_Grunddaten!$A676="Geprüft",Programme_Grunddaten!AI676&lt;&gt;""),IF(Programme_Grunddaten!AI676="Ja",1,0),"")</f>
        <v/>
      </c>
      <c r="AB671" s="1" t="str">
        <f>IF(AND(Programme_Grunddaten!$A676="Geprüft",Programme_Grunddaten!AJ676&lt;&gt;""),IF(Programme_Grunddaten!AJ676="individuell programmierbar",1,0),"")</f>
        <v/>
      </c>
      <c r="AC671" s="1" t="str">
        <f>IF(AND(Programme_Grunddaten!$A676="Geprüft",Programme_Grunddaten!AK676&lt;&gt;""),IF(Programme_Grunddaten!AK676="Deutsch",0,IF(Programme_Grunddaten!AK676="Deutsch und Englisch",1,2)),"")</f>
        <v/>
      </c>
      <c r="AD671" s="1" t="str">
        <f>IF(AND(Programme_Grunddaten!$A676="Geprüft",Programme_Grunddaten!AL676&lt;&gt;""),IF(Programme_Grunddaten!AL676="Ja",1,0),"")</f>
        <v/>
      </c>
      <c r="AE671" s="1" t="str">
        <f>IF(AND(Programme_Grunddaten!$A676="Geprüft",Programme_Grunddaten!AM676&lt;&gt;""),IF(Programme_Grunddaten!AM676="Ja",1,0),"")</f>
        <v/>
      </c>
      <c r="AF671" s="1" t="str">
        <f>IF(AND(Programme_Grunddaten!$A676="Geprüft",Programme_Grunddaten!AN676&lt;&gt;""),IF(Programme_Grunddaten!AN676="Ja",1,0),"")</f>
        <v/>
      </c>
      <c r="AG671" s="1" t="str">
        <f>IF(AND(Programme_Grunddaten!$A676="Geprüft",Programme_Grunddaten!AO676&lt;&gt;""),IF(Programme_Grunddaten!AO676="Ja",1,0),"")</f>
        <v/>
      </c>
      <c r="AH671" s="1" t="str">
        <f>IF(AND(Programme_Grunddaten!$A676="Geprüft",Programme_Grunddaten!AP676&lt;&gt;""),IF(Programme_Grunddaten!AP676="Ja",1,0),"")</f>
        <v/>
      </c>
      <c r="AI671" s="1" t="str">
        <f>IF(AND(Programme_Grunddaten!$A676="Geprüft",Programme_Grunddaten!AQ676&lt;&gt;""),IF(Programme_Grunddaten!AQ676="Ja",1,0),"")</f>
        <v/>
      </c>
      <c r="AJ671" s="1" t="str">
        <f>IF(AND(Programme_Grunddaten!$A676="Geprüft",Programme_Grunddaten!AR676&lt;&gt;""),IF(Programme_Grunddaten!AR676="Ja",1,0),"")</f>
        <v/>
      </c>
      <c r="AK671" s="1" t="str">
        <f>IF(AND(Programme_Grunddaten!$A676="Geprüft",Programme_Grunddaten!AS676&lt;&gt;""),IF(Programme_Grunddaten!AS676="Ja",1,0),"")</f>
        <v/>
      </c>
      <c r="AL671" s="1" t="str">
        <f>IF(AND(Programme_Grunddaten!$A676="Geprüft",Programme_Grunddaten!AT676&lt;&gt;""),IF(Programme_Grunddaten!AT676="Ja",1,0),"")</f>
        <v/>
      </c>
      <c r="AM671" s="1" t="str">
        <f>IF(AND(Programme_Grunddaten!$A676="Geprüft",Programme_Grunddaten!AU676&lt;&gt;""),IF(Programme_Grunddaten!AU676="Ja",1,0),"")</f>
        <v/>
      </c>
      <c r="AN671" s="1" t="str">
        <f>IF(AND(Programme_Grunddaten!$A676="Geprüft",Programme_Grunddaten!AV676&lt;&gt;""),IF(Programme_Grunddaten!AV676="Ja",1,0),"")</f>
        <v/>
      </c>
    </row>
    <row r="672" spans="1:40" x14ac:dyDescent="0.3">
      <c r="A672" s="1" t="str">
        <f>IF(AND(Programme_Grunddaten!A677="Geprüft",Programme_Grunddaten!B677&lt;&gt;""),Programme_Grunddaten!B677,"")</f>
        <v/>
      </c>
      <c r="B672" s="1" t="str">
        <f>IF(AND(Programme_Grunddaten!$A677="Geprüft",Programme_Grunddaten!I677&lt;&gt;""),IF(Programme_Grunddaten!I677="Ja",1,0),"")</f>
        <v/>
      </c>
      <c r="C672" s="1" t="str">
        <f>IF(AND(Programme_Grunddaten!$A677="Geprüft",Programme_Grunddaten!J677&lt;&gt;""),IF(Programme_Grunddaten!J677="Ja",1,0),"")</f>
        <v/>
      </c>
      <c r="D672" s="1" t="str">
        <f>IF(AND(Programme_Grunddaten!$A677="Geprüft",Programme_Grunddaten!K677&lt;&gt;""),IF(Programme_Grunddaten!K677="Ja",1,0),"")</f>
        <v/>
      </c>
      <c r="E672" s="1" t="str">
        <f>IF(AND(Programme_Grunddaten!$A677="Geprüft",Programme_Grunddaten!L677&lt;&gt;""),IF(Programme_Grunddaten!L677="Abo / befristete Lizenz",1,0),"")</f>
        <v/>
      </c>
      <c r="F672" s="1" t="str">
        <f>IF(AND(Programme_Grunddaten!$A677="Geprüft",Programme_Grunddaten!M677&lt;&gt;""),IF(Programme_Grunddaten!M677="Ja",1,0),"")</f>
        <v/>
      </c>
      <c r="G672" s="1" t="str">
        <f>IF(AND(Programme_Grunddaten!$A677="Geprüft",Programme_Grunddaten!N677&lt;&gt;""),IF(Programme_Grunddaten!N677="Ja",1,0),"")</f>
        <v/>
      </c>
      <c r="H672" s="1" t="str">
        <f>IF(AND(Programme_Grunddaten!$A677="Geprüft",Programme_Grunddaten!O677&lt;&gt;""),IF(Programme_Grunddaten!O677="Deutschland",0,IF(Programme_Grunddaten!O677="EU",1,2)),"")</f>
        <v/>
      </c>
      <c r="I672" s="1" t="str">
        <f>IF(AND(Programme_Grunddaten!$A677="Geprüft",Programme_Grunddaten!P677&lt;&gt;""),IF(Programme_Grunddaten!P677="Ja",1,0),"")</f>
        <v/>
      </c>
      <c r="J672" s="1" t="str">
        <f>IF(AND(Programme_Grunddaten!$A677="Geprüft",Programme_Grunddaten!Q677&lt;&gt;""),IF(Programme_Grunddaten!Q677="geschlossenes System",1,0),"")</f>
        <v/>
      </c>
      <c r="K672" s="1" t="str">
        <f>IF(AND(Programme_Grunddaten!$A677="Geprüft",Programme_Grunddaten!R677&lt;&gt;""),IF(Programme_Grunddaten!R677="Ja",1,0),"")</f>
        <v/>
      </c>
      <c r="L672" s="1" t="str">
        <f>IF(AND(Programme_Grunddaten!$A677="Geprüft",Programme_Grunddaten!T677&lt;&gt;""),IF(Programme_Grunddaten!T677="Ja",1,0),"")</f>
        <v/>
      </c>
      <c r="M672" s="1" t="str">
        <f>IF(AND(Programme_Grunddaten!$A677="Geprüft",Programme_Grunddaten!U677&lt;&gt;""),IF(Programme_Grunddaten!U677="Ja",1,0),"")</f>
        <v/>
      </c>
      <c r="N672" s="1" t="str">
        <f>IF(AND(Programme_Grunddaten!$A677="Geprüft",Programme_Grunddaten!V677&lt;&gt;""),IF(Programme_Grunddaten!V677="Ja",1,0),"")</f>
        <v/>
      </c>
      <c r="O672" s="1" t="str">
        <f>IF(AND(Programme_Grunddaten!$A677="Geprüft",Programme_Grunddaten!W677&lt;&gt;""),IF(Programme_Grunddaten!W677="Ja",1,0),"")</f>
        <v/>
      </c>
      <c r="P672" s="1" t="str">
        <f>IF(AND(Programme_Grunddaten!$A677="Geprüft",Programme_Grunddaten!X677&lt;&gt;""),IF(Programme_Grunddaten!X677="Ja",1,0),"")</f>
        <v/>
      </c>
      <c r="Q672" s="1" t="str">
        <f>IF(AND(Programme_Grunddaten!$A677="Geprüft",Programme_Grunddaten!Y677&lt;&gt;""),IF(Programme_Grunddaten!Y677="Ja",1,0),"")</f>
        <v/>
      </c>
      <c r="R672" s="1" t="str">
        <f>IF(AND(Programme_Grunddaten!$A677="Geprüft",Programme_Grunddaten!Z677&lt;&gt;""),IF(Programme_Grunddaten!Z677="Ja",1,0),"")</f>
        <v/>
      </c>
      <c r="S672" s="1" t="str">
        <f>IF(AND(Programme_Grunddaten!$A677="Geprüft",Programme_Grunddaten!AA677&lt;&gt;""),IF(Programme_Grunddaten!AA677="monolithisch",1,0),"")</f>
        <v/>
      </c>
      <c r="T672" s="1" t="str">
        <f>IF(AND(Programme_Grunddaten!$A677="Geprüft",Programme_Grunddaten!AB677&lt;&gt;""),IF(Programme_Grunddaten!AB677="Ja",1,0),"")</f>
        <v/>
      </c>
      <c r="U672" s="1" t="str">
        <f>IF(AND(Programme_Grunddaten!$A677="Geprüft",Programme_Grunddaten!AC677&lt;&gt;""),IF(Programme_Grunddaten!AC677="Ja",1,0),"")</f>
        <v/>
      </c>
      <c r="V672" s="1" t="str">
        <f>IF(AND(Programme_Grunddaten!$A677="Geprüft",Programme_Grunddaten!AD677&lt;&gt;""),IF(Programme_Grunddaten!AD677="Ja",1,0),"")</f>
        <v/>
      </c>
      <c r="W672" s="1" t="str">
        <f>IF(AND(Programme_Grunddaten!$A677="Geprüft",Programme_Grunddaten!AE677&lt;&gt;""),IF(Programme_Grunddaten!AE677="Ja",1,0),"")</f>
        <v/>
      </c>
      <c r="X672" s="1" t="str">
        <f>IF(AND(Programme_Grunddaten!$A677="Geprüft",Programme_Grunddaten!AF677&lt;&gt;""),IF(Programme_Grunddaten!AF677="Ja",1,0),"")</f>
        <v/>
      </c>
      <c r="Y672" s="1" t="str">
        <f>IF(AND(Programme_Grunddaten!$A677="Geprüft",Programme_Grunddaten!AG677&lt;&gt;""),IF(Programme_Grunddaten!AG677="Ja",1,0),"")</f>
        <v/>
      </c>
      <c r="Z672" s="1" t="str">
        <f>IF(AND(Programme_Grunddaten!$A677="Geprüft",Programme_Grunddaten!AH677&lt;&gt;""),IF(Programme_Grunddaten!AH677="Ja",1,0),"")</f>
        <v/>
      </c>
      <c r="AA672" s="1" t="str">
        <f>IF(AND(Programme_Grunddaten!$A677="Geprüft",Programme_Grunddaten!AI677&lt;&gt;""),IF(Programme_Grunddaten!AI677="Ja",1,0),"")</f>
        <v/>
      </c>
      <c r="AB672" s="1" t="str">
        <f>IF(AND(Programme_Grunddaten!$A677="Geprüft",Programme_Grunddaten!AJ677&lt;&gt;""),IF(Programme_Grunddaten!AJ677="individuell programmierbar",1,0),"")</f>
        <v/>
      </c>
      <c r="AC672" s="1" t="str">
        <f>IF(AND(Programme_Grunddaten!$A677="Geprüft",Programme_Grunddaten!AK677&lt;&gt;""),IF(Programme_Grunddaten!AK677="Deutsch",0,IF(Programme_Grunddaten!AK677="Deutsch und Englisch",1,2)),"")</f>
        <v/>
      </c>
      <c r="AD672" s="1" t="str">
        <f>IF(AND(Programme_Grunddaten!$A677="Geprüft",Programme_Grunddaten!AL677&lt;&gt;""),IF(Programme_Grunddaten!AL677="Ja",1,0),"")</f>
        <v/>
      </c>
      <c r="AE672" s="1" t="str">
        <f>IF(AND(Programme_Grunddaten!$A677="Geprüft",Programme_Grunddaten!AM677&lt;&gt;""),IF(Programme_Grunddaten!AM677="Ja",1,0),"")</f>
        <v/>
      </c>
      <c r="AF672" s="1" t="str">
        <f>IF(AND(Programme_Grunddaten!$A677="Geprüft",Programme_Grunddaten!AN677&lt;&gt;""),IF(Programme_Grunddaten!AN677="Ja",1,0),"")</f>
        <v/>
      </c>
      <c r="AG672" s="1" t="str">
        <f>IF(AND(Programme_Grunddaten!$A677="Geprüft",Programme_Grunddaten!AO677&lt;&gt;""),IF(Programme_Grunddaten!AO677="Ja",1,0),"")</f>
        <v/>
      </c>
      <c r="AH672" s="1" t="str">
        <f>IF(AND(Programme_Grunddaten!$A677="Geprüft",Programme_Grunddaten!AP677&lt;&gt;""),IF(Programme_Grunddaten!AP677="Ja",1,0),"")</f>
        <v/>
      </c>
      <c r="AI672" s="1" t="str">
        <f>IF(AND(Programme_Grunddaten!$A677="Geprüft",Programme_Grunddaten!AQ677&lt;&gt;""),IF(Programme_Grunddaten!AQ677="Ja",1,0),"")</f>
        <v/>
      </c>
      <c r="AJ672" s="1" t="str">
        <f>IF(AND(Programme_Grunddaten!$A677="Geprüft",Programme_Grunddaten!AR677&lt;&gt;""),IF(Programme_Grunddaten!AR677="Ja",1,0),"")</f>
        <v/>
      </c>
      <c r="AK672" s="1" t="str">
        <f>IF(AND(Programme_Grunddaten!$A677="Geprüft",Programme_Grunddaten!AS677&lt;&gt;""),IF(Programme_Grunddaten!AS677="Ja",1,0),"")</f>
        <v/>
      </c>
      <c r="AL672" s="1" t="str">
        <f>IF(AND(Programme_Grunddaten!$A677="Geprüft",Programme_Grunddaten!AT677&lt;&gt;""),IF(Programme_Grunddaten!AT677="Ja",1,0),"")</f>
        <v/>
      </c>
      <c r="AM672" s="1" t="str">
        <f>IF(AND(Programme_Grunddaten!$A677="Geprüft",Programme_Grunddaten!AU677&lt;&gt;""),IF(Programme_Grunddaten!AU677="Ja",1,0),"")</f>
        <v/>
      </c>
      <c r="AN672" s="1" t="str">
        <f>IF(AND(Programme_Grunddaten!$A677="Geprüft",Programme_Grunddaten!AV677&lt;&gt;""),IF(Programme_Grunddaten!AV677="Ja",1,0),"")</f>
        <v/>
      </c>
    </row>
    <row r="673" spans="1:40" x14ac:dyDescent="0.3">
      <c r="A673" s="1" t="str">
        <f>IF(AND(Programme_Grunddaten!A678="Geprüft",Programme_Grunddaten!B678&lt;&gt;""),Programme_Grunddaten!B678,"")</f>
        <v/>
      </c>
      <c r="B673" s="1" t="str">
        <f>IF(AND(Programme_Grunddaten!$A678="Geprüft",Programme_Grunddaten!I678&lt;&gt;""),IF(Programme_Grunddaten!I678="Ja",1,0),"")</f>
        <v/>
      </c>
      <c r="C673" s="1" t="str">
        <f>IF(AND(Programme_Grunddaten!$A678="Geprüft",Programme_Grunddaten!J678&lt;&gt;""),IF(Programme_Grunddaten!J678="Ja",1,0),"")</f>
        <v/>
      </c>
      <c r="D673" s="1" t="str">
        <f>IF(AND(Programme_Grunddaten!$A678="Geprüft",Programme_Grunddaten!K678&lt;&gt;""),IF(Programme_Grunddaten!K678="Ja",1,0),"")</f>
        <v/>
      </c>
      <c r="E673" s="1" t="str">
        <f>IF(AND(Programme_Grunddaten!$A678="Geprüft",Programme_Grunddaten!L678&lt;&gt;""),IF(Programme_Grunddaten!L678="Abo / befristete Lizenz",1,0),"")</f>
        <v/>
      </c>
      <c r="F673" s="1" t="str">
        <f>IF(AND(Programme_Grunddaten!$A678="Geprüft",Programme_Grunddaten!M678&lt;&gt;""),IF(Programme_Grunddaten!M678="Ja",1,0),"")</f>
        <v/>
      </c>
      <c r="G673" s="1" t="str">
        <f>IF(AND(Programme_Grunddaten!$A678="Geprüft",Programme_Grunddaten!N678&lt;&gt;""),IF(Programme_Grunddaten!N678="Ja",1,0),"")</f>
        <v/>
      </c>
      <c r="H673" s="1" t="str">
        <f>IF(AND(Programme_Grunddaten!$A678="Geprüft",Programme_Grunddaten!O678&lt;&gt;""),IF(Programme_Grunddaten!O678="Deutschland",0,IF(Programme_Grunddaten!O678="EU",1,2)),"")</f>
        <v/>
      </c>
      <c r="I673" s="1" t="str">
        <f>IF(AND(Programme_Grunddaten!$A678="Geprüft",Programme_Grunddaten!P678&lt;&gt;""),IF(Programme_Grunddaten!P678="Ja",1,0),"")</f>
        <v/>
      </c>
      <c r="J673" s="1" t="str">
        <f>IF(AND(Programme_Grunddaten!$A678="Geprüft",Programme_Grunddaten!Q678&lt;&gt;""),IF(Programme_Grunddaten!Q678="geschlossenes System",1,0),"")</f>
        <v/>
      </c>
      <c r="K673" s="1" t="str">
        <f>IF(AND(Programme_Grunddaten!$A678="Geprüft",Programme_Grunddaten!R678&lt;&gt;""),IF(Programme_Grunddaten!R678="Ja",1,0),"")</f>
        <v/>
      </c>
      <c r="L673" s="1" t="str">
        <f>IF(AND(Programme_Grunddaten!$A678="Geprüft",Programme_Grunddaten!T678&lt;&gt;""),IF(Programme_Grunddaten!T678="Ja",1,0),"")</f>
        <v/>
      </c>
      <c r="M673" s="1" t="str">
        <f>IF(AND(Programme_Grunddaten!$A678="Geprüft",Programme_Grunddaten!U678&lt;&gt;""),IF(Programme_Grunddaten!U678="Ja",1,0),"")</f>
        <v/>
      </c>
      <c r="N673" s="1" t="str">
        <f>IF(AND(Programme_Grunddaten!$A678="Geprüft",Programme_Grunddaten!V678&lt;&gt;""),IF(Programme_Grunddaten!V678="Ja",1,0),"")</f>
        <v/>
      </c>
      <c r="O673" s="1" t="str">
        <f>IF(AND(Programme_Grunddaten!$A678="Geprüft",Programme_Grunddaten!W678&lt;&gt;""),IF(Programme_Grunddaten!W678="Ja",1,0),"")</f>
        <v/>
      </c>
      <c r="P673" s="1" t="str">
        <f>IF(AND(Programme_Grunddaten!$A678="Geprüft",Programme_Grunddaten!X678&lt;&gt;""),IF(Programme_Grunddaten!X678="Ja",1,0),"")</f>
        <v/>
      </c>
      <c r="Q673" s="1" t="str">
        <f>IF(AND(Programme_Grunddaten!$A678="Geprüft",Programme_Grunddaten!Y678&lt;&gt;""),IF(Programme_Grunddaten!Y678="Ja",1,0),"")</f>
        <v/>
      </c>
      <c r="R673" s="1" t="str">
        <f>IF(AND(Programme_Grunddaten!$A678="Geprüft",Programme_Grunddaten!Z678&lt;&gt;""),IF(Programme_Grunddaten!Z678="Ja",1,0),"")</f>
        <v/>
      </c>
      <c r="S673" s="1" t="str">
        <f>IF(AND(Programme_Grunddaten!$A678="Geprüft",Programme_Grunddaten!AA678&lt;&gt;""),IF(Programme_Grunddaten!AA678="monolithisch",1,0),"")</f>
        <v/>
      </c>
      <c r="T673" s="1" t="str">
        <f>IF(AND(Programme_Grunddaten!$A678="Geprüft",Programme_Grunddaten!AB678&lt;&gt;""),IF(Programme_Grunddaten!AB678="Ja",1,0),"")</f>
        <v/>
      </c>
      <c r="U673" s="1" t="str">
        <f>IF(AND(Programme_Grunddaten!$A678="Geprüft",Programme_Grunddaten!AC678&lt;&gt;""),IF(Programme_Grunddaten!AC678="Ja",1,0),"")</f>
        <v/>
      </c>
      <c r="V673" s="1" t="str">
        <f>IF(AND(Programme_Grunddaten!$A678="Geprüft",Programme_Grunddaten!AD678&lt;&gt;""),IF(Programme_Grunddaten!AD678="Ja",1,0),"")</f>
        <v/>
      </c>
      <c r="W673" s="1" t="str">
        <f>IF(AND(Programme_Grunddaten!$A678="Geprüft",Programme_Grunddaten!AE678&lt;&gt;""),IF(Programme_Grunddaten!AE678="Ja",1,0),"")</f>
        <v/>
      </c>
      <c r="X673" s="1" t="str">
        <f>IF(AND(Programme_Grunddaten!$A678="Geprüft",Programme_Grunddaten!AF678&lt;&gt;""),IF(Programme_Grunddaten!AF678="Ja",1,0),"")</f>
        <v/>
      </c>
      <c r="Y673" s="1" t="str">
        <f>IF(AND(Programme_Grunddaten!$A678="Geprüft",Programme_Grunddaten!AG678&lt;&gt;""),IF(Programme_Grunddaten!AG678="Ja",1,0),"")</f>
        <v/>
      </c>
      <c r="Z673" s="1" t="str">
        <f>IF(AND(Programme_Grunddaten!$A678="Geprüft",Programme_Grunddaten!AH678&lt;&gt;""),IF(Programme_Grunddaten!AH678="Ja",1,0),"")</f>
        <v/>
      </c>
      <c r="AA673" s="1" t="str">
        <f>IF(AND(Programme_Grunddaten!$A678="Geprüft",Programme_Grunddaten!AI678&lt;&gt;""),IF(Programme_Grunddaten!AI678="Ja",1,0),"")</f>
        <v/>
      </c>
      <c r="AB673" s="1" t="str">
        <f>IF(AND(Programme_Grunddaten!$A678="Geprüft",Programme_Grunddaten!AJ678&lt;&gt;""),IF(Programme_Grunddaten!AJ678="individuell programmierbar",1,0),"")</f>
        <v/>
      </c>
      <c r="AC673" s="1" t="str">
        <f>IF(AND(Programme_Grunddaten!$A678="Geprüft",Programme_Grunddaten!AK678&lt;&gt;""),IF(Programme_Grunddaten!AK678="Deutsch",0,IF(Programme_Grunddaten!AK678="Deutsch und Englisch",1,2)),"")</f>
        <v/>
      </c>
      <c r="AD673" s="1" t="str">
        <f>IF(AND(Programme_Grunddaten!$A678="Geprüft",Programme_Grunddaten!AL678&lt;&gt;""),IF(Programme_Grunddaten!AL678="Ja",1,0),"")</f>
        <v/>
      </c>
      <c r="AE673" s="1" t="str">
        <f>IF(AND(Programme_Grunddaten!$A678="Geprüft",Programme_Grunddaten!AM678&lt;&gt;""),IF(Programme_Grunddaten!AM678="Ja",1,0),"")</f>
        <v/>
      </c>
      <c r="AF673" s="1" t="str">
        <f>IF(AND(Programme_Grunddaten!$A678="Geprüft",Programme_Grunddaten!AN678&lt;&gt;""),IF(Programme_Grunddaten!AN678="Ja",1,0),"")</f>
        <v/>
      </c>
      <c r="AG673" s="1" t="str">
        <f>IF(AND(Programme_Grunddaten!$A678="Geprüft",Programme_Grunddaten!AO678&lt;&gt;""),IF(Programme_Grunddaten!AO678="Ja",1,0),"")</f>
        <v/>
      </c>
      <c r="AH673" s="1" t="str">
        <f>IF(AND(Programme_Grunddaten!$A678="Geprüft",Programme_Grunddaten!AP678&lt;&gt;""),IF(Programme_Grunddaten!AP678="Ja",1,0),"")</f>
        <v/>
      </c>
      <c r="AI673" s="1" t="str">
        <f>IF(AND(Programme_Grunddaten!$A678="Geprüft",Programme_Grunddaten!AQ678&lt;&gt;""),IF(Programme_Grunddaten!AQ678="Ja",1,0),"")</f>
        <v/>
      </c>
      <c r="AJ673" s="1" t="str">
        <f>IF(AND(Programme_Grunddaten!$A678="Geprüft",Programme_Grunddaten!AR678&lt;&gt;""),IF(Programme_Grunddaten!AR678="Ja",1,0),"")</f>
        <v/>
      </c>
      <c r="AK673" s="1" t="str">
        <f>IF(AND(Programme_Grunddaten!$A678="Geprüft",Programme_Grunddaten!AS678&lt;&gt;""),IF(Programme_Grunddaten!AS678="Ja",1,0),"")</f>
        <v/>
      </c>
      <c r="AL673" s="1" t="str">
        <f>IF(AND(Programme_Grunddaten!$A678="Geprüft",Programme_Grunddaten!AT678&lt;&gt;""),IF(Programme_Grunddaten!AT678="Ja",1,0),"")</f>
        <v/>
      </c>
      <c r="AM673" s="1" t="str">
        <f>IF(AND(Programme_Grunddaten!$A678="Geprüft",Programme_Grunddaten!AU678&lt;&gt;""),IF(Programme_Grunddaten!AU678="Ja",1,0),"")</f>
        <v/>
      </c>
      <c r="AN673" s="1" t="str">
        <f>IF(AND(Programme_Grunddaten!$A678="Geprüft",Programme_Grunddaten!AV678&lt;&gt;""),IF(Programme_Grunddaten!AV678="Ja",1,0),"")</f>
        <v/>
      </c>
    </row>
    <row r="674" spans="1:40" x14ac:dyDescent="0.3">
      <c r="A674" s="1" t="str">
        <f>IF(AND(Programme_Grunddaten!A679="Geprüft",Programme_Grunddaten!B679&lt;&gt;""),Programme_Grunddaten!B679,"")</f>
        <v/>
      </c>
      <c r="B674" s="1" t="str">
        <f>IF(AND(Programme_Grunddaten!$A679="Geprüft",Programme_Grunddaten!I679&lt;&gt;""),IF(Programme_Grunddaten!I679="Ja",1,0),"")</f>
        <v/>
      </c>
      <c r="C674" s="1" t="str">
        <f>IF(AND(Programme_Grunddaten!$A679="Geprüft",Programme_Grunddaten!J679&lt;&gt;""),IF(Programme_Grunddaten!J679="Ja",1,0),"")</f>
        <v/>
      </c>
      <c r="D674" s="1" t="str">
        <f>IF(AND(Programme_Grunddaten!$A679="Geprüft",Programme_Grunddaten!K679&lt;&gt;""),IF(Programme_Grunddaten!K679="Ja",1,0),"")</f>
        <v/>
      </c>
      <c r="E674" s="1" t="str">
        <f>IF(AND(Programme_Grunddaten!$A679="Geprüft",Programme_Grunddaten!L679&lt;&gt;""),IF(Programme_Grunddaten!L679="Abo / befristete Lizenz",1,0),"")</f>
        <v/>
      </c>
      <c r="F674" s="1" t="str">
        <f>IF(AND(Programme_Grunddaten!$A679="Geprüft",Programme_Grunddaten!M679&lt;&gt;""),IF(Programme_Grunddaten!M679="Ja",1,0),"")</f>
        <v/>
      </c>
      <c r="G674" s="1" t="str">
        <f>IF(AND(Programme_Grunddaten!$A679="Geprüft",Programme_Grunddaten!N679&lt;&gt;""),IF(Programme_Grunddaten!N679="Ja",1,0),"")</f>
        <v/>
      </c>
      <c r="H674" s="1" t="str">
        <f>IF(AND(Programme_Grunddaten!$A679="Geprüft",Programme_Grunddaten!O679&lt;&gt;""),IF(Programme_Grunddaten!O679="Deutschland",0,IF(Programme_Grunddaten!O679="EU",1,2)),"")</f>
        <v/>
      </c>
      <c r="I674" s="1" t="str">
        <f>IF(AND(Programme_Grunddaten!$A679="Geprüft",Programme_Grunddaten!P679&lt;&gt;""),IF(Programme_Grunddaten!P679="Ja",1,0),"")</f>
        <v/>
      </c>
      <c r="J674" s="1" t="str">
        <f>IF(AND(Programme_Grunddaten!$A679="Geprüft",Programme_Grunddaten!Q679&lt;&gt;""),IF(Programme_Grunddaten!Q679="geschlossenes System",1,0),"")</f>
        <v/>
      </c>
      <c r="K674" s="1" t="str">
        <f>IF(AND(Programme_Grunddaten!$A679="Geprüft",Programme_Grunddaten!R679&lt;&gt;""),IF(Programme_Grunddaten!R679="Ja",1,0),"")</f>
        <v/>
      </c>
      <c r="L674" s="1" t="str">
        <f>IF(AND(Programme_Grunddaten!$A679="Geprüft",Programme_Grunddaten!T679&lt;&gt;""),IF(Programme_Grunddaten!T679="Ja",1,0),"")</f>
        <v/>
      </c>
      <c r="M674" s="1" t="str">
        <f>IF(AND(Programme_Grunddaten!$A679="Geprüft",Programme_Grunddaten!U679&lt;&gt;""),IF(Programme_Grunddaten!U679="Ja",1,0),"")</f>
        <v/>
      </c>
      <c r="N674" s="1" t="str">
        <f>IF(AND(Programme_Grunddaten!$A679="Geprüft",Programme_Grunddaten!V679&lt;&gt;""),IF(Programme_Grunddaten!V679="Ja",1,0),"")</f>
        <v/>
      </c>
      <c r="O674" s="1" t="str">
        <f>IF(AND(Programme_Grunddaten!$A679="Geprüft",Programme_Grunddaten!W679&lt;&gt;""),IF(Programme_Grunddaten!W679="Ja",1,0),"")</f>
        <v/>
      </c>
      <c r="P674" s="1" t="str">
        <f>IF(AND(Programme_Grunddaten!$A679="Geprüft",Programme_Grunddaten!X679&lt;&gt;""),IF(Programme_Grunddaten!X679="Ja",1,0),"")</f>
        <v/>
      </c>
      <c r="Q674" s="1" t="str">
        <f>IF(AND(Programme_Grunddaten!$A679="Geprüft",Programme_Grunddaten!Y679&lt;&gt;""),IF(Programme_Grunddaten!Y679="Ja",1,0),"")</f>
        <v/>
      </c>
      <c r="R674" s="1" t="str">
        <f>IF(AND(Programme_Grunddaten!$A679="Geprüft",Programme_Grunddaten!Z679&lt;&gt;""),IF(Programme_Grunddaten!Z679="Ja",1,0),"")</f>
        <v/>
      </c>
      <c r="S674" s="1" t="str">
        <f>IF(AND(Programme_Grunddaten!$A679="Geprüft",Programme_Grunddaten!AA679&lt;&gt;""),IF(Programme_Grunddaten!AA679="monolithisch",1,0),"")</f>
        <v/>
      </c>
      <c r="T674" s="1" t="str">
        <f>IF(AND(Programme_Grunddaten!$A679="Geprüft",Programme_Grunddaten!AB679&lt;&gt;""),IF(Programme_Grunddaten!AB679="Ja",1,0),"")</f>
        <v/>
      </c>
      <c r="U674" s="1" t="str">
        <f>IF(AND(Programme_Grunddaten!$A679="Geprüft",Programme_Grunddaten!AC679&lt;&gt;""),IF(Programme_Grunddaten!AC679="Ja",1,0),"")</f>
        <v/>
      </c>
      <c r="V674" s="1" t="str">
        <f>IF(AND(Programme_Grunddaten!$A679="Geprüft",Programme_Grunddaten!AD679&lt;&gt;""),IF(Programme_Grunddaten!AD679="Ja",1,0),"")</f>
        <v/>
      </c>
      <c r="W674" s="1" t="str">
        <f>IF(AND(Programme_Grunddaten!$A679="Geprüft",Programme_Grunddaten!AE679&lt;&gt;""),IF(Programme_Grunddaten!AE679="Ja",1,0),"")</f>
        <v/>
      </c>
      <c r="X674" s="1" t="str">
        <f>IF(AND(Programme_Grunddaten!$A679="Geprüft",Programme_Grunddaten!AF679&lt;&gt;""),IF(Programme_Grunddaten!AF679="Ja",1,0),"")</f>
        <v/>
      </c>
      <c r="Y674" s="1" t="str">
        <f>IF(AND(Programme_Grunddaten!$A679="Geprüft",Programme_Grunddaten!AG679&lt;&gt;""),IF(Programme_Grunddaten!AG679="Ja",1,0),"")</f>
        <v/>
      </c>
      <c r="Z674" s="1" t="str">
        <f>IF(AND(Programme_Grunddaten!$A679="Geprüft",Programme_Grunddaten!AH679&lt;&gt;""),IF(Programme_Grunddaten!AH679="Ja",1,0),"")</f>
        <v/>
      </c>
      <c r="AA674" s="1" t="str">
        <f>IF(AND(Programme_Grunddaten!$A679="Geprüft",Programme_Grunddaten!AI679&lt;&gt;""),IF(Programme_Grunddaten!AI679="Ja",1,0),"")</f>
        <v/>
      </c>
      <c r="AB674" s="1" t="str">
        <f>IF(AND(Programme_Grunddaten!$A679="Geprüft",Programme_Grunddaten!AJ679&lt;&gt;""),IF(Programme_Grunddaten!AJ679="individuell programmierbar",1,0),"")</f>
        <v/>
      </c>
      <c r="AC674" s="1" t="str">
        <f>IF(AND(Programme_Grunddaten!$A679="Geprüft",Programme_Grunddaten!AK679&lt;&gt;""),IF(Programme_Grunddaten!AK679="Deutsch",0,IF(Programme_Grunddaten!AK679="Deutsch und Englisch",1,2)),"")</f>
        <v/>
      </c>
      <c r="AD674" s="1" t="str">
        <f>IF(AND(Programme_Grunddaten!$A679="Geprüft",Programme_Grunddaten!AL679&lt;&gt;""),IF(Programme_Grunddaten!AL679="Ja",1,0),"")</f>
        <v/>
      </c>
      <c r="AE674" s="1" t="str">
        <f>IF(AND(Programme_Grunddaten!$A679="Geprüft",Programme_Grunddaten!AM679&lt;&gt;""),IF(Programme_Grunddaten!AM679="Ja",1,0),"")</f>
        <v/>
      </c>
      <c r="AF674" s="1" t="str">
        <f>IF(AND(Programme_Grunddaten!$A679="Geprüft",Programme_Grunddaten!AN679&lt;&gt;""),IF(Programme_Grunddaten!AN679="Ja",1,0),"")</f>
        <v/>
      </c>
      <c r="AG674" s="1" t="str">
        <f>IF(AND(Programme_Grunddaten!$A679="Geprüft",Programme_Grunddaten!AO679&lt;&gt;""),IF(Programme_Grunddaten!AO679="Ja",1,0),"")</f>
        <v/>
      </c>
      <c r="AH674" s="1" t="str">
        <f>IF(AND(Programme_Grunddaten!$A679="Geprüft",Programme_Grunddaten!AP679&lt;&gt;""),IF(Programme_Grunddaten!AP679="Ja",1,0),"")</f>
        <v/>
      </c>
      <c r="AI674" s="1" t="str">
        <f>IF(AND(Programme_Grunddaten!$A679="Geprüft",Programme_Grunddaten!AQ679&lt;&gt;""),IF(Programme_Grunddaten!AQ679="Ja",1,0),"")</f>
        <v/>
      </c>
      <c r="AJ674" s="1" t="str">
        <f>IF(AND(Programme_Grunddaten!$A679="Geprüft",Programme_Grunddaten!AR679&lt;&gt;""),IF(Programme_Grunddaten!AR679="Ja",1,0),"")</f>
        <v/>
      </c>
      <c r="AK674" s="1" t="str">
        <f>IF(AND(Programme_Grunddaten!$A679="Geprüft",Programme_Grunddaten!AS679&lt;&gt;""),IF(Programme_Grunddaten!AS679="Ja",1,0),"")</f>
        <v/>
      </c>
      <c r="AL674" s="1" t="str">
        <f>IF(AND(Programme_Grunddaten!$A679="Geprüft",Programme_Grunddaten!AT679&lt;&gt;""),IF(Programme_Grunddaten!AT679="Ja",1,0),"")</f>
        <v/>
      </c>
      <c r="AM674" s="1" t="str">
        <f>IF(AND(Programme_Grunddaten!$A679="Geprüft",Programme_Grunddaten!AU679&lt;&gt;""),IF(Programme_Grunddaten!AU679="Ja",1,0),"")</f>
        <v/>
      </c>
      <c r="AN674" s="1" t="str">
        <f>IF(AND(Programme_Grunddaten!$A679="Geprüft",Programme_Grunddaten!AV679&lt;&gt;""),IF(Programme_Grunddaten!AV679="Ja",1,0),"")</f>
        <v/>
      </c>
    </row>
    <row r="675" spans="1:40" x14ac:dyDescent="0.3">
      <c r="A675" s="1" t="str">
        <f>IF(AND(Programme_Grunddaten!A680="Geprüft",Programme_Grunddaten!B680&lt;&gt;""),Programme_Grunddaten!B680,"")</f>
        <v/>
      </c>
      <c r="B675" s="1" t="str">
        <f>IF(AND(Programme_Grunddaten!$A680="Geprüft",Programme_Grunddaten!I680&lt;&gt;""),IF(Programme_Grunddaten!I680="Ja",1,0),"")</f>
        <v/>
      </c>
      <c r="C675" s="1" t="str">
        <f>IF(AND(Programme_Grunddaten!$A680="Geprüft",Programme_Grunddaten!J680&lt;&gt;""),IF(Programme_Grunddaten!J680="Ja",1,0),"")</f>
        <v/>
      </c>
      <c r="D675" s="1" t="str">
        <f>IF(AND(Programme_Grunddaten!$A680="Geprüft",Programme_Grunddaten!K680&lt;&gt;""),IF(Programme_Grunddaten!K680="Ja",1,0),"")</f>
        <v/>
      </c>
      <c r="E675" s="1" t="str">
        <f>IF(AND(Programme_Grunddaten!$A680="Geprüft",Programme_Grunddaten!L680&lt;&gt;""),IF(Programme_Grunddaten!L680="Abo / befristete Lizenz",1,0),"")</f>
        <v/>
      </c>
      <c r="F675" s="1" t="str">
        <f>IF(AND(Programme_Grunddaten!$A680="Geprüft",Programme_Grunddaten!M680&lt;&gt;""),IF(Programme_Grunddaten!M680="Ja",1,0),"")</f>
        <v/>
      </c>
      <c r="G675" s="1" t="str">
        <f>IF(AND(Programme_Grunddaten!$A680="Geprüft",Programme_Grunddaten!N680&lt;&gt;""),IF(Programme_Grunddaten!N680="Ja",1,0),"")</f>
        <v/>
      </c>
      <c r="H675" s="1" t="str">
        <f>IF(AND(Programme_Grunddaten!$A680="Geprüft",Programme_Grunddaten!O680&lt;&gt;""),IF(Programme_Grunddaten!O680="Deutschland",0,IF(Programme_Grunddaten!O680="EU",1,2)),"")</f>
        <v/>
      </c>
      <c r="I675" s="1" t="str">
        <f>IF(AND(Programme_Grunddaten!$A680="Geprüft",Programme_Grunddaten!P680&lt;&gt;""),IF(Programme_Grunddaten!P680="Ja",1,0),"")</f>
        <v/>
      </c>
      <c r="J675" s="1" t="str">
        <f>IF(AND(Programme_Grunddaten!$A680="Geprüft",Programme_Grunddaten!Q680&lt;&gt;""),IF(Programme_Grunddaten!Q680="geschlossenes System",1,0),"")</f>
        <v/>
      </c>
      <c r="K675" s="1" t="str">
        <f>IF(AND(Programme_Grunddaten!$A680="Geprüft",Programme_Grunddaten!R680&lt;&gt;""),IF(Programme_Grunddaten!R680="Ja",1,0),"")</f>
        <v/>
      </c>
      <c r="L675" s="1" t="str">
        <f>IF(AND(Programme_Grunddaten!$A680="Geprüft",Programme_Grunddaten!T680&lt;&gt;""),IF(Programme_Grunddaten!T680="Ja",1,0),"")</f>
        <v/>
      </c>
      <c r="M675" s="1" t="str">
        <f>IF(AND(Programme_Grunddaten!$A680="Geprüft",Programme_Grunddaten!U680&lt;&gt;""),IF(Programme_Grunddaten!U680="Ja",1,0),"")</f>
        <v/>
      </c>
      <c r="N675" s="1" t="str">
        <f>IF(AND(Programme_Grunddaten!$A680="Geprüft",Programme_Grunddaten!V680&lt;&gt;""),IF(Programme_Grunddaten!V680="Ja",1,0),"")</f>
        <v/>
      </c>
      <c r="O675" s="1" t="str">
        <f>IF(AND(Programme_Grunddaten!$A680="Geprüft",Programme_Grunddaten!W680&lt;&gt;""),IF(Programme_Grunddaten!W680="Ja",1,0),"")</f>
        <v/>
      </c>
      <c r="P675" s="1" t="str">
        <f>IF(AND(Programme_Grunddaten!$A680="Geprüft",Programme_Grunddaten!X680&lt;&gt;""),IF(Programme_Grunddaten!X680="Ja",1,0),"")</f>
        <v/>
      </c>
      <c r="Q675" s="1" t="str">
        <f>IF(AND(Programme_Grunddaten!$A680="Geprüft",Programme_Grunddaten!Y680&lt;&gt;""),IF(Programme_Grunddaten!Y680="Ja",1,0),"")</f>
        <v/>
      </c>
      <c r="R675" s="1" t="str">
        <f>IF(AND(Programme_Grunddaten!$A680="Geprüft",Programme_Grunddaten!Z680&lt;&gt;""),IF(Programme_Grunddaten!Z680="Ja",1,0),"")</f>
        <v/>
      </c>
      <c r="S675" s="1" t="str">
        <f>IF(AND(Programme_Grunddaten!$A680="Geprüft",Programme_Grunddaten!AA680&lt;&gt;""),IF(Programme_Grunddaten!AA680="monolithisch",1,0),"")</f>
        <v/>
      </c>
      <c r="T675" s="1" t="str">
        <f>IF(AND(Programme_Grunddaten!$A680="Geprüft",Programme_Grunddaten!AB680&lt;&gt;""),IF(Programme_Grunddaten!AB680="Ja",1,0),"")</f>
        <v/>
      </c>
      <c r="U675" s="1" t="str">
        <f>IF(AND(Programme_Grunddaten!$A680="Geprüft",Programme_Grunddaten!AC680&lt;&gt;""),IF(Programme_Grunddaten!AC680="Ja",1,0),"")</f>
        <v/>
      </c>
      <c r="V675" s="1" t="str">
        <f>IF(AND(Programme_Grunddaten!$A680="Geprüft",Programme_Grunddaten!AD680&lt;&gt;""),IF(Programme_Grunddaten!AD680="Ja",1,0),"")</f>
        <v/>
      </c>
      <c r="W675" s="1" t="str">
        <f>IF(AND(Programme_Grunddaten!$A680="Geprüft",Programme_Grunddaten!AE680&lt;&gt;""),IF(Programme_Grunddaten!AE680="Ja",1,0),"")</f>
        <v/>
      </c>
      <c r="X675" s="1" t="str">
        <f>IF(AND(Programme_Grunddaten!$A680="Geprüft",Programme_Grunddaten!AF680&lt;&gt;""),IF(Programme_Grunddaten!AF680="Ja",1,0),"")</f>
        <v/>
      </c>
      <c r="Y675" s="1" t="str">
        <f>IF(AND(Programme_Grunddaten!$A680="Geprüft",Programme_Grunddaten!AG680&lt;&gt;""),IF(Programme_Grunddaten!AG680="Ja",1,0),"")</f>
        <v/>
      </c>
      <c r="Z675" s="1" t="str">
        <f>IF(AND(Programme_Grunddaten!$A680="Geprüft",Programme_Grunddaten!AH680&lt;&gt;""),IF(Programme_Grunddaten!AH680="Ja",1,0),"")</f>
        <v/>
      </c>
      <c r="AA675" s="1" t="str">
        <f>IF(AND(Programme_Grunddaten!$A680="Geprüft",Programme_Grunddaten!AI680&lt;&gt;""),IF(Programme_Grunddaten!AI680="Ja",1,0),"")</f>
        <v/>
      </c>
      <c r="AB675" s="1" t="str">
        <f>IF(AND(Programme_Grunddaten!$A680="Geprüft",Programme_Grunddaten!AJ680&lt;&gt;""),IF(Programme_Grunddaten!AJ680="individuell programmierbar",1,0),"")</f>
        <v/>
      </c>
      <c r="AC675" s="1" t="str">
        <f>IF(AND(Programme_Grunddaten!$A680="Geprüft",Programme_Grunddaten!AK680&lt;&gt;""),IF(Programme_Grunddaten!AK680="Deutsch",0,IF(Programme_Grunddaten!AK680="Deutsch und Englisch",1,2)),"")</f>
        <v/>
      </c>
      <c r="AD675" s="1" t="str">
        <f>IF(AND(Programme_Grunddaten!$A680="Geprüft",Programme_Grunddaten!AL680&lt;&gt;""),IF(Programme_Grunddaten!AL680="Ja",1,0),"")</f>
        <v/>
      </c>
      <c r="AE675" s="1" t="str">
        <f>IF(AND(Programme_Grunddaten!$A680="Geprüft",Programme_Grunddaten!AM680&lt;&gt;""),IF(Programme_Grunddaten!AM680="Ja",1,0),"")</f>
        <v/>
      </c>
      <c r="AF675" s="1" t="str">
        <f>IF(AND(Programme_Grunddaten!$A680="Geprüft",Programme_Grunddaten!AN680&lt;&gt;""),IF(Programme_Grunddaten!AN680="Ja",1,0),"")</f>
        <v/>
      </c>
      <c r="AG675" s="1" t="str">
        <f>IF(AND(Programme_Grunddaten!$A680="Geprüft",Programme_Grunddaten!AO680&lt;&gt;""),IF(Programme_Grunddaten!AO680="Ja",1,0),"")</f>
        <v/>
      </c>
      <c r="AH675" s="1" t="str">
        <f>IF(AND(Programme_Grunddaten!$A680="Geprüft",Programme_Grunddaten!AP680&lt;&gt;""),IF(Programme_Grunddaten!AP680="Ja",1,0),"")</f>
        <v/>
      </c>
      <c r="AI675" s="1" t="str">
        <f>IF(AND(Programme_Grunddaten!$A680="Geprüft",Programme_Grunddaten!AQ680&lt;&gt;""),IF(Programme_Grunddaten!AQ680="Ja",1,0),"")</f>
        <v/>
      </c>
      <c r="AJ675" s="1" t="str">
        <f>IF(AND(Programme_Grunddaten!$A680="Geprüft",Programme_Grunddaten!AR680&lt;&gt;""),IF(Programme_Grunddaten!AR680="Ja",1,0),"")</f>
        <v/>
      </c>
      <c r="AK675" s="1" t="str">
        <f>IF(AND(Programme_Grunddaten!$A680="Geprüft",Programme_Grunddaten!AS680&lt;&gt;""),IF(Programme_Grunddaten!AS680="Ja",1,0),"")</f>
        <v/>
      </c>
      <c r="AL675" s="1" t="str">
        <f>IF(AND(Programme_Grunddaten!$A680="Geprüft",Programme_Grunddaten!AT680&lt;&gt;""),IF(Programme_Grunddaten!AT680="Ja",1,0),"")</f>
        <v/>
      </c>
      <c r="AM675" s="1" t="str">
        <f>IF(AND(Programme_Grunddaten!$A680="Geprüft",Programme_Grunddaten!AU680&lt;&gt;""),IF(Programme_Grunddaten!AU680="Ja",1,0),"")</f>
        <v/>
      </c>
      <c r="AN675" s="1" t="str">
        <f>IF(AND(Programme_Grunddaten!$A680="Geprüft",Programme_Grunddaten!AV680&lt;&gt;""),IF(Programme_Grunddaten!AV680="Ja",1,0),"")</f>
        <v/>
      </c>
    </row>
    <row r="676" spans="1:40" x14ac:dyDescent="0.3">
      <c r="A676" s="1" t="str">
        <f>IF(AND(Programme_Grunddaten!A681="Geprüft",Programme_Grunddaten!B681&lt;&gt;""),Programme_Grunddaten!B681,"")</f>
        <v/>
      </c>
      <c r="B676" s="1" t="str">
        <f>IF(AND(Programme_Grunddaten!$A681="Geprüft",Programme_Grunddaten!I681&lt;&gt;""),IF(Programme_Grunddaten!I681="Ja",1,0),"")</f>
        <v/>
      </c>
      <c r="C676" s="1" t="str">
        <f>IF(AND(Programme_Grunddaten!$A681="Geprüft",Programme_Grunddaten!J681&lt;&gt;""),IF(Programme_Grunddaten!J681="Ja",1,0),"")</f>
        <v/>
      </c>
      <c r="D676" s="1" t="str">
        <f>IF(AND(Programme_Grunddaten!$A681="Geprüft",Programme_Grunddaten!K681&lt;&gt;""),IF(Programme_Grunddaten!K681="Ja",1,0),"")</f>
        <v/>
      </c>
      <c r="E676" s="1" t="str">
        <f>IF(AND(Programme_Grunddaten!$A681="Geprüft",Programme_Grunddaten!L681&lt;&gt;""),IF(Programme_Grunddaten!L681="Abo / befristete Lizenz",1,0),"")</f>
        <v/>
      </c>
      <c r="F676" s="1" t="str">
        <f>IF(AND(Programme_Grunddaten!$A681="Geprüft",Programme_Grunddaten!M681&lt;&gt;""),IF(Programme_Grunddaten!M681="Ja",1,0),"")</f>
        <v/>
      </c>
      <c r="G676" s="1" t="str">
        <f>IF(AND(Programme_Grunddaten!$A681="Geprüft",Programme_Grunddaten!N681&lt;&gt;""),IF(Programme_Grunddaten!N681="Ja",1,0),"")</f>
        <v/>
      </c>
      <c r="H676" s="1" t="str">
        <f>IF(AND(Programme_Grunddaten!$A681="Geprüft",Programme_Grunddaten!O681&lt;&gt;""),IF(Programme_Grunddaten!O681="Deutschland",0,IF(Programme_Grunddaten!O681="EU",1,2)),"")</f>
        <v/>
      </c>
      <c r="I676" s="1" t="str">
        <f>IF(AND(Programme_Grunddaten!$A681="Geprüft",Programme_Grunddaten!P681&lt;&gt;""),IF(Programme_Grunddaten!P681="Ja",1,0),"")</f>
        <v/>
      </c>
      <c r="J676" s="1" t="str">
        <f>IF(AND(Programme_Grunddaten!$A681="Geprüft",Programme_Grunddaten!Q681&lt;&gt;""),IF(Programme_Grunddaten!Q681="geschlossenes System",1,0),"")</f>
        <v/>
      </c>
      <c r="K676" s="1" t="str">
        <f>IF(AND(Programme_Grunddaten!$A681="Geprüft",Programme_Grunddaten!R681&lt;&gt;""),IF(Programme_Grunddaten!R681="Ja",1,0),"")</f>
        <v/>
      </c>
      <c r="L676" s="1" t="str">
        <f>IF(AND(Programme_Grunddaten!$A681="Geprüft",Programme_Grunddaten!T681&lt;&gt;""),IF(Programme_Grunddaten!T681="Ja",1,0),"")</f>
        <v/>
      </c>
      <c r="M676" s="1" t="str">
        <f>IF(AND(Programme_Grunddaten!$A681="Geprüft",Programme_Grunddaten!U681&lt;&gt;""),IF(Programme_Grunddaten!U681="Ja",1,0),"")</f>
        <v/>
      </c>
      <c r="N676" s="1" t="str">
        <f>IF(AND(Programme_Grunddaten!$A681="Geprüft",Programme_Grunddaten!V681&lt;&gt;""),IF(Programme_Grunddaten!V681="Ja",1,0),"")</f>
        <v/>
      </c>
      <c r="O676" s="1" t="str">
        <f>IF(AND(Programme_Grunddaten!$A681="Geprüft",Programme_Grunddaten!W681&lt;&gt;""),IF(Programme_Grunddaten!W681="Ja",1,0),"")</f>
        <v/>
      </c>
      <c r="P676" s="1" t="str">
        <f>IF(AND(Programme_Grunddaten!$A681="Geprüft",Programme_Grunddaten!X681&lt;&gt;""),IF(Programme_Grunddaten!X681="Ja",1,0),"")</f>
        <v/>
      </c>
      <c r="Q676" s="1" t="str">
        <f>IF(AND(Programme_Grunddaten!$A681="Geprüft",Programme_Grunddaten!Y681&lt;&gt;""),IF(Programme_Grunddaten!Y681="Ja",1,0),"")</f>
        <v/>
      </c>
      <c r="R676" s="1" t="str">
        <f>IF(AND(Programme_Grunddaten!$A681="Geprüft",Programme_Grunddaten!Z681&lt;&gt;""),IF(Programme_Grunddaten!Z681="Ja",1,0),"")</f>
        <v/>
      </c>
      <c r="S676" s="1" t="str">
        <f>IF(AND(Programme_Grunddaten!$A681="Geprüft",Programme_Grunddaten!AA681&lt;&gt;""),IF(Programme_Grunddaten!AA681="monolithisch",1,0),"")</f>
        <v/>
      </c>
      <c r="T676" s="1" t="str">
        <f>IF(AND(Programme_Grunddaten!$A681="Geprüft",Programme_Grunddaten!AB681&lt;&gt;""),IF(Programme_Grunddaten!AB681="Ja",1,0),"")</f>
        <v/>
      </c>
      <c r="U676" s="1" t="str">
        <f>IF(AND(Programme_Grunddaten!$A681="Geprüft",Programme_Grunddaten!AC681&lt;&gt;""),IF(Programme_Grunddaten!AC681="Ja",1,0),"")</f>
        <v/>
      </c>
      <c r="V676" s="1" t="str">
        <f>IF(AND(Programme_Grunddaten!$A681="Geprüft",Programme_Grunddaten!AD681&lt;&gt;""),IF(Programme_Grunddaten!AD681="Ja",1,0),"")</f>
        <v/>
      </c>
      <c r="W676" s="1" t="str">
        <f>IF(AND(Programme_Grunddaten!$A681="Geprüft",Programme_Grunddaten!AE681&lt;&gt;""),IF(Programme_Grunddaten!AE681="Ja",1,0),"")</f>
        <v/>
      </c>
      <c r="X676" s="1" t="str">
        <f>IF(AND(Programme_Grunddaten!$A681="Geprüft",Programme_Grunddaten!AF681&lt;&gt;""),IF(Programme_Grunddaten!AF681="Ja",1,0),"")</f>
        <v/>
      </c>
      <c r="Y676" s="1" t="str">
        <f>IF(AND(Programme_Grunddaten!$A681="Geprüft",Programme_Grunddaten!AG681&lt;&gt;""),IF(Programme_Grunddaten!AG681="Ja",1,0),"")</f>
        <v/>
      </c>
      <c r="Z676" s="1" t="str">
        <f>IF(AND(Programme_Grunddaten!$A681="Geprüft",Programme_Grunddaten!AH681&lt;&gt;""),IF(Programme_Grunddaten!AH681="Ja",1,0),"")</f>
        <v/>
      </c>
      <c r="AA676" s="1" t="str">
        <f>IF(AND(Programme_Grunddaten!$A681="Geprüft",Programme_Grunddaten!AI681&lt;&gt;""),IF(Programme_Grunddaten!AI681="Ja",1,0),"")</f>
        <v/>
      </c>
      <c r="AB676" s="1" t="str">
        <f>IF(AND(Programme_Grunddaten!$A681="Geprüft",Programme_Grunddaten!AJ681&lt;&gt;""),IF(Programme_Grunddaten!AJ681="individuell programmierbar",1,0),"")</f>
        <v/>
      </c>
      <c r="AC676" s="1" t="str">
        <f>IF(AND(Programme_Grunddaten!$A681="Geprüft",Programme_Grunddaten!AK681&lt;&gt;""),IF(Programme_Grunddaten!AK681="Deutsch",0,IF(Programme_Grunddaten!AK681="Deutsch und Englisch",1,2)),"")</f>
        <v/>
      </c>
      <c r="AD676" s="1" t="str">
        <f>IF(AND(Programme_Grunddaten!$A681="Geprüft",Programme_Grunddaten!AL681&lt;&gt;""),IF(Programme_Grunddaten!AL681="Ja",1,0),"")</f>
        <v/>
      </c>
      <c r="AE676" s="1" t="str">
        <f>IF(AND(Programme_Grunddaten!$A681="Geprüft",Programme_Grunddaten!AM681&lt;&gt;""),IF(Programme_Grunddaten!AM681="Ja",1,0),"")</f>
        <v/>
      </c>
      <c r="AF676" s="1" t="str">
        <f>IF(AND(Programme_Grunddaten!$A681="Geprüft",Programme_Grunddaten!AN681&lt;&gt;""),IF(Programme_Grunddaten!AN681="Ja",1,0),"")</f>
        <v/>
      </c>
      <c r="AG676" s="1" t="str">
        <f>IF(AND(Programme_Grunddaten!$A681="Geprüft",Programme_Grunddaten!AO681&lt;&gt;""),IF(Programme_Grunddaten!AO681="Ja",1,0),"")</f>
        <v/>
      </c>
      <c r="AH676" s="1" t="str">
        <f>IF(AND(Programme_Grunddaten!$A681="Geprüft",Programme_Grunddaten!AP681&lt;&gt;""),IF(Programme_Grunddaten!AP681="Ja",1,0),"")</f>
        <v/>
      </c>
      <c r="AI676" s="1" t="str">
        <f>IF(AND(Programme_Grunddaten!$A681="Geprüft",Programme_Grunddaten!AQ681&lt;&gt;""),IF(Programme_Grunddaten!AQ681="Ja",1,0),"")</f>
        <v/>
      </c>
      <c r="AJ676" s="1" t="str">
        <f>IF(AND(Programme_Grunddaten!$A681="Geprüft",Programme_Grunddaten!AR681&lt;&gt;""),IF(Programme_Grunddaten!AR681="Ja",1,0),"")</f>
        <v/>
      </c>
      <c r="AK676" s="1" t="str">
        <f>IF(AND(Programme_Grunddaten!$A681="Geprüft",Programme_Grunddaten!AS681&lt;&gt;""),IF(Programme_Grunddaten!AS681="Ja",1,0),"")</f>
        <v/>
      </c>
      <c r="AL676" s="1" t="str">
        <f>IF(AND(Programme_Grunddaten!$A681="Geprüft",Programme_Grunddaten!AT681&lt;&gt;""),IF(Programme_Grunddaten!AT681="Ja",1,0),"")</f>
        <v/>
      </c>
      <c r="AM676" s="1" t="str">
        <f>IF(AND(Programme_Grunddaten!$A681="Geprüft",Programme_Grunddaten!AU681&lt;&gt;""),IF(Programme_Grunddaten!AU681="Ja",1,0),"")</f>
        <v/>
      </c>
      <c r="AN676" s="1" t="str">
        <f>IF(AND(Programme_Grunddaten!$A681="Geprüft",Programme_Grunddaten!AV681&lt;&gt;""),IF(Programme_Grunddaten!AV681="Ja",1,0),"")</f>
        <v/>
      </c>
    </row>
    <row r="677" spans="1:40" x14ac:dyDescent="0.3">
      <c r="A677" s="1" t="str">
        <f>IF(AND(Programme_Grunddaten!A682="Geprüft",Programme_Grunddaten!B682&lt;&gt;""),Programme_Grunddaten!B682,"")</f>
        <v/>
      </c>
      <c r="B677" s="1" t="str">
        <f>IF(AND(Programme_Grunddaten!$A682="Geprüft",Programme_Grunddaten!I682&lt;&gt;""),IF(Programme_Grunddaten!I682="Ja",1,0),"")</f>
        <v/>
      </c>
      <c r="C677" s="1" t="str">
        <f>IF(AND(Programme_Grunddaten!$A682="Geprüft",Programme_Grunddaten!J682&lt;&gt;""),IF(Programme_Grunddaten!J682="Ja",1,0),"")</f>
        <v/>
      </c>
      <c r="D677" s="1" t="str">
        <f>IF(AND(Programme_Grunddaten!$A682="Geprüft",Programme_Grunddaten!K682&lt;&gt;""),IF(Programme_Grunddaten!K682="Ja",1,0),"")</f>
        <v/>
      </c>
      <c r="E677" s="1" t="str">
        <f>IF(AND(Programme_Grunddaten!$A682="Geprüft",Programme_Grunddaten!L682&lt;&gt;""),IF(Programme_Grunddaten!L682="Abo / befristete Lizenz",1,0),"")</f>
        <v/>
      </c>
      <c r="F677" s="1" t="str">
        <f>IF(AND(Programme_Grunddaten!$A682="Geprüft",Programme_Grunddaten!M682&lt;&gt;""),IF(Programme_Grunddaten!M682="Ja",1,0),"")</f>
        <v/>
      </c>
      <c r="G677" s="1" t="str">
        <f>IF(AND(Programme_Grunddaten!$A682="Geprüft",Programme_Grunddaten!N682&lt;&gt;""),IF(Programme_Grunddaten!N682="Ja",1,0),"")</f>
        <v/>
      </c>
      <c r="H677" s="1" t="str">
        <f>IF(AND(Programme_Grunddaten!$A682="Geprüft",Programme_Grunddaten!O682&lt;&gt;""),IF(Programme_Grunddaten!O682="Deutschland",0,IF(Programme_Grunddaten!O682="EU",1,2)),"")</f>
        <v/>
      </c>
      <c r="I677" s="1" t="str">
        <f>IF(AND(Programme_Grunddaten!$A682="Geprüft",Programme_Grunddaten!P682&lt;&gt;""),IF(Programme_Grunddaten!P682="Ja",1,0),"")</f>
        <v/>
      </c>
      <c r="J677" s="1" t="str">
        <f>IF(AND(Programme_Grunddaten!$A682="Geprüft",Programme_Grunddaten!Q682&lt;&gt;""),IF(Programme_Grunddaten!Q682="geschlossenes System",1,0),"")</f>
        <v/>
      </c>
      <c r="K677" s="1" t="str">
        <f>IF(AND(Programme_Grunddaten!$A682="Geprüft",Programme_Grunddaten!R682&lt;&gt;""),IF(Programme_Grunddaten!R682="Ja",1,0),"")</f>
        <v/>
      </c>
      <c r="L677" s="1" t="str">
        <f>IF(AND(Programme_Grunddaten!$A682="Geprüft",Programme_Grunddaten!T682&lt;&gt;""),IF(Programme_Grunddaten!T682="Ja",1,0),"")</f>
        <v/>
      </c>
      <c r="M677" s="1" t="str">
        <f>IF(AND(Programme_Grunddaten!$A682="Geprüft",Programme_Grunddaten!U682&lt;&gt;""),IF(Programme_Grunddaten!U682="Ja",1,0),"")</f>
        <v/>
      </c>
      <c r="N677" s="1" t="str">
        <f>IF(AND(Programme_Grunddaten!$A682="Geprüft",Programme_Grunddaten!V682&lt;&gt;""),IF(Programme_Grunddaten!V682="Ja",1,0),"")</f>
        <v/>
      </c>
      <c r="O677" s="1" t="str">
        <f>IF(AND(Programme_Grunddaten!$A682="Geprüft",Programme_Grunddaten!W682&lt;&gt;""),IF(Programme_Grunddaten!W682="Ja",1,0),"")</f>
        <v/>
      </c>
      <c r="P677" s="1" t="str">
        <f>IF(AND(Programme_Grunddaten!$A682="Geprüft",Programme_Grunddaten!X682&lt;&gt;""),IF(Programme_Grunddaten!X682="Ja",1,0),"")</f>
        <v/>
      </c>
      <c r="Q677" s="1" t="str">
        <f>IF(AND(Programme_Grunddaten!$A682="Geprüft",Programme_Grunddaten!Y682&lt;&gt;""),IF(Programme_Grunddaten!Y682="Ja",1,0),"")</f>
        <v/>
      </c>
      <c r="R677" s="1" t="str">
        <f>IF(AND(Programme_Grunddaten!$A682="Geprüft",Programme_Grunddaten!Z682&lt;&gt;""),IF(Programme_Grunddaten!Z682="Ja",1,0),"")</f>
        <v/>
      </c>
      <c r="S677" s="1" t="str">
        <f>IF(AND(Programme_Grunddaten!$A682="Geprüft",Programme_Grunddaten!AA682&lt;&gt;""),IF(Programme_Grunddaten!AA682="monolithisch",1,0),"")</f>
        <v/>
      </c>
      <c r="T677" s="1" t="str">
        <f>IF(AND(Programme_Grunddaten!$A682="Geprüft",Programme_Grunddaten!AB682&lt;&gt;""),IF(Programme_Grunddaten!AB682="Ja",1,0),"")</f>
        <v/>
      </c>
      <c r="U677" s="1" t="str">
        <f>IF(AND(Programme_Grunddaten!$A682="Geprüft",Programme_Grunddaten!AC682&lt;&gt;""),IF(Programme_Grunddaten!AC682="Ja",1,0),"")</f>
        <v/>
      </c>
      <c r="V677" s="1" t="str">
        <f>IF(AND(Programme_Grunddaten!$A682="Geprüft",Programme_Grunddaten!AD682&lt;&gt;""),IF(Programme_Grunddaten!AD682="Ja",1,0),"")</f>
        <v/>
      </c>
      <c r="W677" s="1" t="str">
        <f>IF(AND(Programme_Grunddaten!$A682="Geprüft",Programme_Grunddaten!AE682&lt;&gt;""),IF(Programme_Grunddaten!AE682="Ja",1,0),"")</f>
        <v/>
      </c>
      <c r="X677" s="1" t="str">
        <f>IF(AND(Programme_Grunddaten!$A682="Geprüft",Programme_Grunddaten!AF682&lt;&gt;""),IF(Programme_Grunddaten!AF682="Ja",1,0),"")</f>
        <v/>
      </c>
      <c r="Y677" s="1" t="str">
        <f>IF(AND(Programme_Grunddaten!$A682="Geprüft",Programme_Grunddaten!AG682&lt;&gt;""),IF(Programme_Grunddaten!AG682="Ja",1,0),"")</f>
        <v/>
      </c>
      <c r="Z677" s="1" t="str">
        <f>IF(AND(Programme_Grunddaten!$A682="Geprüft",Programme_Grunddaten!AH682&lt;&gt;""),IF(Programme_Grunddaten!AH682="Ja",1,0),"")</f>
        <v/>
      </c>
      <c r="AA677" s="1" t="str">
        <f>IF(AND(Programme_Grunddaten!$A682="Geprüft",Programme_Grunddaten!AI682&lt;&gt;""),IF(Programme_Grunddaten!AI682="Ja",1,0),"")</f>
        <v/>
      </c>
      <c r="AB677" s="1" t="str">
        <f>IF(AND(Programme_Grunddaten!$A682="Geprüft",Programme_Grunddaten!AJ682&lt;&gt;""),IF(Programme_Grunddaten!AJ682="individuell programmierbar",1,0),"")</f>
        <v/>
      </c>
      <c r="AC677" s="1" t="str">
        <f>IF(AND(Programme_Grunddaten!$A682="Geprüft",Programme_Grunddaten!AK682&lt;&gt;""),IF(Programme_Grunddaten!AK682="Deutsch",0,IF(Programme_Grunddaten!AK682="Deutsch und Englisch",1,2)),"")</f>
        <v/>
      </c>
      <c r="AD677" s="1" t="str">
        <f>IF(AND(Programme_Grunddaten!$A682="Geprüft",Programme_Grunddaten!AL682&lt;&gt;""),IF(Programme_Grunddaten!AL682="Ja",1,0),"")</f>
        <v/>
      </c>
      <c r="AE677" s="1" t="str">
        <f>IF(AND(Programme_Grunddaten!$A682="Geprüft",Programme_Grunddaten!AM682&lt;&gt;""),IF(Programme_Grunddaten!AM682="Ja",1,0),"")</f>
        <v/>
      </c>
      <c r="AF677" s="1" t="str">
        <f>IF(AND(Programme_Grunddaten!$A682="Geprüft",Programme_Grunddaten!AN682&lt;&gt;""),IF(Programme_Grunddaten!AN682="Ja",1,0),"")</f>
        <v/>
      </c>
      <c r="AG677" s="1" t="str">
        <f>IF(AND(Programme_Grunddaten!$A682="Geprüft",Programme_Grunddaten!AO682&lt;&gt;""),IF(Programme_Grunddaten!AO682="Ja",1,0),"")</f>
        <v/>
      </c>
      <c r="AH677" s="1" t="str">
        <f>IF(AND(Programme_Grunddaten!$A682="Geprüft",Programme_Grunddaten!AP682&lt;&gt;""),IF(Programme_Grunddaten!AP682="Ja",1,0),"")</f>
        <v/>
      </c>
      <c r="AI677" s="1" t="str">
        <f>IF(AND(Programme_Grunddaten!$A682="Geprüft",Programme_Grunddaten!AQ682&lt;&gt;""),IF(Programme_Grunddaten!AQ682="Ja",1,0),"")</f>
        <v/>
      </c>
      <c r="AJ677" s="1" t="str">
        <f>IF(AND(Programme_Grunddaten!$A682="Geprüft",Programme_Grunddaten!AR682&lt;&gt;""),IF(Programme_Grunddaten!AR682="Ja",1,0),"")</f>
        <v/>
      </c>
      <c r="AK677" s="1" t="str">
        <f>IF(AND(Programme_Grunddaten!$A682="Geprüft",Programme_Grunddaten!AS682&lt;&gt;""),IF(Programme_Grunddaten!AS682="Ja",1,0),"")</f>
        <v/>
      </c>
      <c r="AL677" s="1" t="str">
        <f>IF(AND(Programme_Grunddaten!$A682="Geprüft",Programme_Grunddaten!AT682&lt;&gt;""),IF(Programme_Grunddaten!AT682="Ja",1,0),"")</f>
        <v/>
      </c>
      <c r="AM677" s="1" t="str">
        <f>IF(AND(Programme_Grunddaten!$A682="Geprüft",Programme_Grunddaten!AU682&lt;&gt;""),IF(Programme_Grunddaten!AU682="Ja",1,0),"")</f>
        <v/>
      </c>
      <c r="AN677" s="1" t="str">
        <f>IF(AND(Programme_Grunddaten!$A682="Geprüft",Programme_Grunddaten!AV682&lt;&gt;""),IF(Programme_Grunddaten!AV682="Ja",1,0),"")</f>
        <v/>
      </c>
    </row>
    <row r="678" spans="1:40" x14ac:dyDescent="0.3">
      <c r="A678" s="1" t="str">
        <f>IF(AND(Programme_Grunddaten!A683="Geprüft",Programme_Grunddaten!B683&lt;&gt;""),Programme_Grunddaten!B683,"")</f>
        <v/>
      </c>
      <c r="B678" s="1" t="str">
        <f>IF(AND(Programme_Grunddaten!$A683="Geprüft",Programme_Grunddaten!I683&lt;&gt;""),IF(Programme_Grunddaten!I683="Ja",1,0),"")</f>
        <v/>
      </c>
      <c r="C678" s="1" t="str">
        <f>IF(AND(Programme_Grunddaten!$A683="Geprüft",Programme_Grunddaten!J683&lt;&gt;""),IF(Programme_Grunddaten!J683="Ja",1,0),"")</f>
        <v/>
      </c>
      <c r="D678" s="1" t="str">
        <f>IF(AND(Programme_Grunddaten!$A683="Geprüft",Programme_Grunddaten!K683&lt;&gt;""),IF(Programme_Grunddaten!K683="Ja",1,0),"")</f>
        <v/>
      </c>
      <c r="E678" s="1" t="str">
        <f>IF(AND(Programme_Grunddaten!$A683="Geprüft",Programme_Grunddaten!L683&lt;&gt;""),IF(Programme_Grunddaten!L683="Abo / befristete Lizenz",1,0),"")</f>
        <v/>
      </c>
      <c r="F678" s="1" t="str">
        <f>IF(AND(Programme_Grunddaten!$A683="Geprüft",Programme_Grunddaten!M683&lt;&gt;""),IF(Programme_Grunddaten!M683="Ja",1,0),"")</f>
        <v/>
      </c>
      <c r="G678" s="1" t="str">
        <f>IF(AND(Programme_Grunddaten!$A683="Geprüft",Programme_Grunddaten!N683&lt;&gt;""),IF(Programme_Grunddaten!N683="Ja",1,0),"")</f>
        <v/>
      </c>
      <c r="H678" s="1" t="str">
        <f>IF(AND(Programme_Grunddaten!$A683="Geprüft",Programme_Grunddaten!O683&lt;&gt;""),IF(Programme_Grunddaten!O683="Deutschland",0,IF(Programme_Grunddaten!O683="EU",1,2)),"")</f>
        <v/>
      </c>
      <c r="I678" s="1" t="str">
        <f>IF(AND(Programme_Grunddaten!$A683="Geprüft",Programme_Grunddaten!P683&lt;&gt;""),IF(Programme_Grunddaten!P683="Ja",1,0),"")</f>
        <v/>
      </c>
      <c r="J678" s="1" t="str">
        <f>IF(AND(Programme_Grunddaten!$A683="Geprüft",Programme_Grunddaten!Q683&lt;&gt;""),IF(Programme_Grunddaten!Q683="geschlossenes System",1,0),"")</f>
        <v/>
      </c>
      <c r="K678" s="1" t="str">
        <f>IF(AND(Programme_Grunddaten!$A683="Geprüft",Programme_Grunddaten!R683&lt;&gt;""),IF(Programme_Grunddaten!R683="Ja",1,0),"")</f>
        <v/>
      </c>
      <c r="L678" s="1" t="str">
        <f>IF(AND(Programme_Grunddaten!$A683="Geprüft",Programme_Grunddaten!T683&lt;&gt;""),IF(Programme_Grunddaten!T683="Ja",1,0),"")</f>
        <v/>
      </c>
      <c r="M678" s="1" t="str">
        <f>IF(AND(Programme_Grunddaten!$A683="Geprüft",Programme_Grunddaten!U683&lt;&gt;""),IF(Programme_Grunddaten!U683="Ja",1,0),"")</f>
        <v/>
      </c>
      <c r="N678" s="1" t="str">
        <f>IF(AND(Programme_Grunddaten!$A683="Geprüft",Programme_Grunddaten!V683&lt;&gt;""),IF(Programme_Grunddaten!V683="Ja",1,0),"")</f>
        <v/>
      </c>
      <c r="O678" s="1" t="str">
        <f>IF(AND(Programme_Grunddaten!$A683="Geprüft",Programme_Grunddaten!W683&lt;&gt;""),IF(Programme_Grunddaten!W683="Ja",1,0),"")</f>
        <v/>
      </c>
      <c r="P678" s="1" t="str">
        <f>IF(AND(Programme_Grunddaten!$A683="Geprüft",Programme_Grunddaten!X683&lt;&gt;""),IF(Programme_Grunddaten!X683="Ja",1,0),"")</f>
        <v/>
      </c>
      <c r="Q678" s="1" t="str">
        <f>IF(AND(Programme_Grunddaten!$A683="Geprüft",Programme_Grunddaten!Y683&lt;&gt;""),IF(Programme_Grunddaten!Y683="Ja",1,0),"")</f>
        <v/>
      </c>
      <c r="R678" s="1" t="str">
        <f>IF(AND(Programme_Grunddaten!$A683="Geprüft",Programme_Grunddaten!Z683&lt;&gt;""),IF(Programme_Grunddaten!Z683="Ja",1,0),"")</f>
        <v/>
      </c>
      <c r="S678" s="1" t="str">
        <f>IF(AND(Programme_Grunddaten!$A683="Geprüft",Programme_Grunddaten!AA683&lt;&gt;""),IF(Programme_Grunddaten!AA683="monolithisch",1,0),"")</f>
        <v/>
      </c>
      <c r="T678" s="1" t="str">
        <f>IF(AND(Programme_Grunddaten!$A683="Geprüft",Programme_Grunddaten!AB683&lt;&gt;""),IF(Programme_Grunddaten!AB683="Ja",1,0),"")</f>
        <v/>
      </c>
      <c r="U678" s="1" t="str">
        <f>IF(AND(Programme_Grunddaten!$A683="Geprüft",Programme_Grunddaten!AC683&lt;&gt;""),IF(Programme_Grunddaten!AC683="Ja",1,0),"")</f>
        <v/>
      </c>
      <c r="V678" s="1" t="str">
        <f>IF(AND(Programme_Grunddaten!$A683="Geprüft",Programme_Grunddaten!AD683&lt;&gt;""),IF(Programme_Grunddaten!AD683="Ja",1,0),"")</f>
        <v/>
      </c>
      <c r="W678" s="1" t="str">
        <f>IF(AND(Programme_Grunddaten!$A683="Geprüft",Programme_Grunddaten!AE683&lt;&gt;""),IF(Programme_Grunddaten!AE683="Ja",1,0),"")</f>
        <v/>
      </c>
      <c r="X678" s="1" t="str">
        <f>IF(AND(Programme_Grunddaten!$A683="Geprüft",Programme_Grunddaten!AF683&lt;&gt;""),IF(Programme_Grunddaten!AF683="Ja",1,0),"")</f>
        <v/>
      </c>
      <c r="Y678" s="1" t="str">
        <f>IF(AND(Programme_Grunddaten!$A683="Geprüft",Programme_Grunddaten!AG683&lt;&gt;""),IF(Programme_Grunddaten!AG683="Ja",1,0),"")</f>
        <v/>
      </c>
      <c r="Z678" s="1" t="str">
        <f>IF(AND(Programme_Grunddaten!$A683="Geprüft",Programme_Grunddaten!AH683&lt;&gt;""),IF(Programme_Grunddaten!AH683="Ja",1,0),"")</f>
        <v/>
      </c>
      <c r="AA678" s="1" t="str">
        <f>IF(AND(Programme_Grunddaten!$A683="Geprüft",Programme_Grunddaten!AI683&lt;&gt;""),IF(Programme_Grunddaten!AI683="Ja",1,0),"")</f>
        <v/>
      </c>
      <c r="AB678" s="1" t="str">
        <f>IF(AND(Programme_Grunddaten!$A683="Geprüft",Programme_Grunddaten!AJ683&lt;&gt;""),IF(Programme_Grunddaten!AJ683="individuell programmierbar",1,0),"")</f>
        <v/>
      </c>
      <c r="AC678" s="1" t="str">
        <f>IF(AND(Programme_Grunddaten!$A683="Geprüft",Programme_Grunddaten!AK683&lt;&gt;""),IF(Programme_Grunddaten!AK683="Deutsch",0,IF(Programme_Grunddaten!AK683="Deutsch und Englisch",1,2)),"")</f>
        <v/>
      </c>
      <c r="AD678" s="1" t="str">
        <f>IF(AND(Programme_Grunddaten!$A683="Geprüft",Programme_Grunddaten!AL683&lt;&gt;""),IF(Programme_Grunddaten!AL683="Ja",1,0),"")</f>
        <v/>
      </c>
      <c r="AE678" s="1" t="str">
        <f>IF(AND(Programme_Grunddaten!$A683="Geprüft",Programme_Grunddaten!AM683&lt;&gt;""),IF(Programme_Grunddaten!AM683="Ja",1,0),"")</f>
        <v/>
      </c>
      <c r="AF678" s="1" t="str">
        <f>IF(AND(Programme_Grunddaten!$A683="Geprüft",Programme_Grunddaten!AN683&lt;&gt;""),IF(Programme_Grunddaten!AN683="Ja",1,0),"")</f>
        <v/>
      </c>
      <c r="AG678" s="1" t="str">
        <f>IF(AND(Programme_Grunddaten!$A683="Geprüft",Programme_Grunddaten!AO683&lt;&gt;""),IF(Programme_Grunddaten!AO683="Ja",1,0),"")</f>
        <v/>
      </c>
      <c r="AH678" s="1" t="str">
        <f>IF(AND(Programme_Grunddaten!$A683="Geprüft",Programme_Grunddaten!AP683&lt;&gt;""),IF(Programme_Grunddaten!AP683="Ja",1,0),"")</f>
        <v/>
      </c>
      <c r="AI678" s="1" t="str">
        <f>IF(AND(Programme_Grunddaten!$A683="Geprüft",Programme_Grunddaten!AQ683&lt;&gt;""),IF(Programme_Grunddaten!AQ683="Ja",1,0),"")</f>
        <v/>
      </c>
      <c r="AJ678" s="1" t="str">
        <f>IF(AND(Programme_Grunddaten!$A683="Geprüft",Programme_Grunddaten!AR683&lt;&gt;""),IF(Programme_Grunddaten!AR683="Ja",1,0),"")</f>
        <v/>
      </c>
      <c r="AK678" s="1" t="str">
        <f>IF(AND(Programme_Grunddaten!$A683="Geprüft",Programme_Grunddaten!AS683&lt;&gt;""),IF(Programme_Grunddaten!AS683="Ja",1,0),"")</f>
        <v/>
      </c>
      <c r="AL678" s="1" t="str">
        <f>IF(AND(Programme_Grunddaten!$A683="Geprüft",Programme_Grunddaten!AT683&lt;&gt;""),IF(Programme_Grunddaten!AT683="Ja",1,0),"")</f>
        <v/>
      </c>
      <c r="AM678" s="1" t="str">
        <f>IF(AND(Programme_Grunddaten!$A683="Geprüft",Programme_Grunddaten!AU683&lt;&gt;""),IF(Programme_Grunddaten!AU683="Ja",1,0),"")</f>
        <v/>
      </c>
      <c r="AN678" s="1" t="str">
        <f>IF(AND(Programme_Grunddaten!$A683="Geprüft",Programme_Grunddaten!AV683&lt;&gt;""),IF(Programme_Grunddaten!AV683="Ja",1,0),"")</f>
        <v/>
      </c>
    </row>
    <row r="679" spans="1:40" x14ac:dyDescent="0.3">
      <c r="A679" s="1" t="str">
        <f>IF(AND(Programme_Grunddaten!A684="Geprüft",Programme_Grunddaten!B684&lt;&gt;""),Programme_Grunddaten!B684,"")</f>
        <v/>
      </c>
      <c r="B679" s="1" t="str">
        <f>IF(AND(Programme_Grunddaten!$A684="Geprüft",Programme_Grunddaten!I684&lt;&gt;""),IF(Programme_Grunddaten!I684="Ja",1,0),"")</f>
        <v/>
      </c>
      <c r="C679" s="1" t="str">
        <f>IF(AND(Programme_Grunddaten!$A684="Geprüft",Programme_Grunddaten!J684&lt;&gt;""),IF(Programme_Grunddaten!J684="Ja",1,0),"")</f>
        <v/>
      </c>
      <c r="D679" s="1" t="str">
        <f>IF(AND(Programme_Grunddaten!$A684="Geprüft",Programme_Grunddaten!K684&lt;&gt;""),IF(Programme_Grunddaten!K684="Ja",1,0),"")</f>
        <v/>
      </c>
      <c r="E679" s="1" t="str">
        <f>IF(AND(Programme_Grunddaten!$A684="Geprüft",Programme_Grunddaten!L684&lt;&gt;""),IF(Programme_Grunddaten!L684="Abo / befristete Lizenz",1,0),"")</f>
        <v/>
      </c>
      <c r="F679" s="1" t="str">
        <f>IF(AND(Programme_Grunddaten!$A684="Geprüft",Programme_Grunddaten!M684&lt;&gt;""),IF(Programme_Grunddaten!M684="Ja",1,0),"")</f>
        <v/>
      </c>
      <c r="G679" s="1" t="str">
        <f>IF(AND(Programme_Grunddaten!$A684="Geprüft",Programme_Grunddaten!N684&lt;&gt;""),IF(Programme_Grunddaten!N684="Ja",1,0),"")</f>
        <v/>
      </c>
      <c r="H679" s="1" t="str">
        <f>IF(AND(Programme_Grunddaten!$A684="Geprüft",Programme_Grunddaten!O684&lt;&gt;""),IF(Programme_Grunddaten!O684="Deutschland",0,IF(Programme_Grunddaten!O684="EU",1,2)),"")</f>
        <v/>
      </c>
      <c r="I679" s="1" t="str">
        <f>IF(AND(Programme_Grunddaten!$A684="Geprüft",Programme_Grunddaten!P684&lt;&gt;""),IF(Programme_Grunddaten!P684="Ja",1,0),"")</f>
        <v/>
      </c>
      <c r="J679" s="1" t="str">
        <f>IF(AND(Programme_Grunddaten!$A684="Geprüft",Programme_Grunddaten!Q684&lt;&gt;""),IF(Programme_Grunddaten!Q684="geschlossenes System",1,0),"")</f>
        <v/>
      </c>
      <c r="K679" s="1" t="str">
        <f>IF(AND(Programme_Grunddaten!$A684="Geprüft",Programme_Grunddaten!R684&lt;&gt;""),IF(Programme_Grunddaten!R684="Ja",1,0),"")</f>
        <v/>
      </c>
      <c r="L679" s="1" t="str">
        <f>IF(AND(Programme_Grunddaten!$A684="Geprüft",Programme_Grunddaten!T684&lt;&gt;""),IF(Programme_Grunddaten!T684="Ja",1,0),"")</f>
        <v/>
      </c>
      <c r="M679" s="1" t="str">
        <f>IF(AND(Programme_Grunddaten!$A684="Geprüft",Programme_Grunddaten!U684&lt;&gt;""),IF(Programme_Grunddaten!U684="Ja",1,0),"")</f>
        <v/>
      </c>
      <c r="N679" s="1" t="str">
        <f>IF(AND(Programme_Grunddaten!$A684="Geprüft",Programme_Grunddaten!V684&lt;&gt;""),IF(Programme_Grunddaten!V684="Ja",1,0),"")</f>
        <v/>
      </c>
      <c r="O679" s="1" t="str">
        <f>IF(AND(Programme_Grunddaten!$A684="Geprüft",Programme_Grunddaten!W684&lt;&gt;""),IF(Programme_Grunddaten!W684="Ja",1,0),"")</f>
        <v/>
      </c>
      <c r="P679" s="1" t="str">
        <f>IF(AND(Programme_Grunddaten!$A684="Geprüft",Programme_Grunddaten!X684&lt;&gt;""),IF(Programme_Grunddaten!X684="Ja",1,0),"")</f>
        <v/>
      </c>
      <c r="Q679" s="1" t="str">
        <f>IF(AND(Programme_Grunddaten!$A684="Geprüft",Programme_Grunddaten!Y684&lt;&gt;""),IF(Programme_Grunddaten!Y684="Ja",1,0),"")</f>
        <v/>
      </c>
      <c r="R679" s="1" t="str">
        <f>IF(AND(Programme_Grunddaten!$A684="Geprüft",Programme_Grunddaten!Z684&lt;&gt;""),IF(Programme_Grunddaten!Z684="Ja",1,0),"")</f>
        <v/>
      </c>
      <c r="S679" s="1" t="str">
        <f>IF(AND(Programme_Grunddaten!$A684="Geprüft",Programme_Grunddaten!AA684&lt;&gt;""),IF(Programme_Grunddaten!AA684="monolithisch",1,0),"")</f>
        <v/>
      </c>
      <c r="T679" s="1" t="str">
        <f>IF(AND(Programme_Grunddaten!$A684="Geprüft",Programme_Grunddaten!AB684&lt;&gt;""),IF(Programme_Grunddaten!AB684="Ja",1,0),"")</f>
        <v/>
      </c>
      <c r="U679" s="1" t="str">
        <f>IF(AND(Programme_Grunddaten!$A684="Geprüft",Programme_Grunddaten!AC684&lt;&gt;""),IF(Programme_Grunddaten!AC684="Ja",1,0),"")</f>
        <v/>
      </c>
      <c r="V679" s="1" t="str">
        <f>IF(AND(Programme_Grunddaten!$A684="Geprüft",Programme_Grunddaten!AD684&lt;&gt;""),IF(Programme_Grunddaten!AD684="Ja",1,0),"")</f>
        <v/>
      </c>
      <c r="W679" s="1" t="str">
        <f>IF(AND(Programme_Grunddaten!$A684="Geprüft",Programme_Grunddaten!AE684&lt;&gt;""),IF(Programme_Grunddaten!AE684="Ja",1,0),"")</f>
        <v/>
      </c>
      <c r="X679" s="1" t="str">
        <f>IF(AND(Programme_Grunddaten!$A684="Geprüft",Programme_Grunddaten!AF684&lt;&gt;""),IF(Programme_Grunddaten!AF684="Ja",1,0),"")</f>
        <v/>
      </c>
      <c r="Y679" s="1" t="str">
        <f>IF(AND(Programme_Grunddaten!$A684="Geprüft",Programme_Grunddaten!AG684&lt;&gt;""),IF(Programme_Grunddaten!AG684="Ja",1,0),"")</f>
        <v/>
      </c>
      <c r="Z679" s="1" t="str">
        <f>IF(AND(Programme_Grunddaten!$A684="Geprüft",Programme_Grunddaten!AH684&lt;&gt;""),IF(Programme_Grunddaten!AH684="Ja",1,0),"")</f>
        <v/>
      </c>
      <c r="AA679" s="1" t="str">
        <f>IF(AND(Programme_Grunddaten!$A684="Geprüft",Programme_Grunddaten!AI684&lt;&gt;""),IF(Programme_Grunddaten!AI684="Ja",1,0),"")</f>
        <v/>
      </c>
      <c r="AB679" s="1" t="str">
        <f>IF(AND(Programme_Grunddaten!$A684="Geprüft",Programme_Grunddaten!AJ684&lt;&gt;""),IF(Programme_Grunddaten!AJ684="individuell programmierbar",1,0),"")</f>
        <v/>
      </c>
      <c r="AC679" s="1" t="str">
        <f>IF(AND(Programme_Grunddaten!$A684="Geprüft",Programme_Grunddaten!AK684&lt;&gt;""),IF(Programme_Grunddaten!AK684="Deutsch",0,IF(Programme_Grunddaten!AK684="Deutsch und Englisch",1,2)),"")</f>
        <v/>
      </c>
      <c r="AD679" s="1" t="str">
        <f>IF(AND(Programme_Grunddaten!$A684="Geprüft",Programme_Grunddaten!AL684&lt;&gt;""),IF(Programme_Grunddaten!AL684="Ja",1,0),"")</f>
        <v/>
      </c>
      <c r="AE679" s="1" t="str">
        <f>IF(AND(Programme_Grunddaten!$A684="Geprüft",Programme_Grunddaten!AM684&lt;&gt;""),IF(Programme_Grunddaten!AM684="Ja",1,0),"")</f>
        <v/>
      </c>
      <c r="AF679" s="1" t="str">
        <f>IF(AND(Programme_Grunddaten!$A684="Geprüft",Programme_Grunddaten!AN684&lt;&gt;""),IF(Programme_Grunddaten!AN684="Ja",1,0),"")</f>
        <v/>
      </c>
      <c r="AG679" s="1" t="str">
        <f>IF(AND(Programme_Grunddaten!$A684="Geprüft",Programme_Grunddaten!AO684&lt;&gt;""),IF(Programme_Grunddaten!AO684="Ja",1,0),"")</f>
        <v/>
      </c>
      <c r="AH679" s="1" t="str">
        <f>IF(AND(Programme_Grunddaten!$A684="Geprüft",Programme_Grunddaten!AP684&lt;&gt;""),IF(Programme_Grunddaten!AP684="Ja",1,0),"")</f>
        <v/>
      </c>
      <c r="AI679" s="1" t="str">
        <f>IF(AND(Programme_Grunddaten!$A684="Geprüft",Programme_Grunddaten!AQ684&lt;&gt;""),IF(Programme_Grunddaten!AQ684="Ja",1,0),"")</f>
        <v/>
      </c>
      <c r="AJ679" s="1" t="str">
        <f>IF(AND(Programme_Grunddaten!$A684="Geprüft",Programme_Grunddaten!AR684&lt;&gt;""),IF(Programme_Grunddaten!AR684="Ja",1,0),"")</f>
        <v/>
      </c>
      <c r="AK679" s="1" t="str">
        <f>IF(AND(Programme_Grunddaten!$A684="Geprüft",Programme_Grunddaten!AS684&lt;&gt;""),IF(Programme_Grunddaten!AS684="Ja",1,0),"")</f>
        <v/>
      </c>
      <c r="AL679" s="1" t="str">
        <f>IF(AND(Programme_Grunddaten!$A684="Geprüft",Programme_Grunddaten!AT684&lt;&gt;""),IF(Programme_Grunddaten!AT684="Ja",1,0),"")</f>
        <v/>
      </c>
      <c r="AM679" s="1" t="str">
        <f>IF(AND(Programme_Grunddaten!$A684="Geprüft",Programme_Grunddaten!AU684&lt;&gt;""),IF(Programme_Grunddaten!AU684="Ja",1,0),"")</f>
        <v/>
      </c>
      <c r="AN679" s="1" t="str">
        <f>IF(AND(Programme_Grunddaten!$A684="Geprüft",Programme_Grunddaten!AV684&lt;&gt;""),IF(Programme_Grunddaten!AV684="Ja",1,0),"")</f>
        <v/>
      </c>
    </row>
    <row r="680" spans="1:40" x14ac:dyDescent="0.3">
      <c r="A680" s="1" t="str">
        <f>IF(AND(Programme_Grunddaten!A685="Geprüft",Programme_Grunddaten!B685&lt;&gt;""),Programme_Grunddaten!B685,"")</f>
        <v/>
      </c>
      <c r="B680" s="1" t="str">
        <f>IF(AND(Programme_Grunddaten!$A685="Geprüft",Programme_Grunddaten!I685&lt;&gt;""),IF(Programme_Grunddaten!I685="Ja",1,0),"")</f>
        <v/>
      </c>
      <c r="C680" s="1" t="str">
        <f>IF(AND(Programme_Grunddaten!$A685="Geprüft",Programme_Grunddaten!J685&lt;&gt;""),IF(Programme_Grunddaten!J685="Ja",1,0),"")</f>
        <v/>
      </c>
      <c r="D680" s="1" t="str">
        <f>IF(AND(Programme_Grunddaten!$A685="Geprüft",Programme_Grunddaten!K685&lt;&gt;""),IF(Programme_Grunddaten!K685="Ja",1,0),"")</f>
        <v/>
      </c>
      <c r="E680" s="1" t="str">
        <f>IF(AND(Programme_Grunddaten!$A685="Geprüft",Programme_Grunddaten!L685&lt;&gt;""),IF(Programme_Grunddaten!L685="Abo / befristete Lizenz",1,0),"")</f>
        <v/>
      </c>
      <c r="F680" s="1" t="str">
        <f>IF(AND(Programme_Grunddaten!$A685="Geprüft",Programme_Grunddaten!M685&lt;&gt;""),IF(Programme_Grunddaten!M685="Ja",1,0),"")</f>
        <v/>
      </c>
      <c r="G680" s="1" t="str">
        <f>IF(AND(Programme_Grunddaten!$A685="Geprüft",Programme_Grunddaten!N685&lt;&gt;""),IF(Programme_Grunddaten!N685="Ja",1,0),"")</f>
        <v/>
      </c>
      <c r="H680" s="1" t="str">
        <f>IF(AND(Programme_Grunddaten!$A685="Geprüft",Programme_Grunddaten!O685&lt;&gt;""),IF(Programme_Grunddaten!O685="Deutschland",0,IF(Programme_Grunddaten!O685="EU",1,2)),"")</f>
        <v/>
      </c>
      <c r="I680" s="1" t="str">
        <f>IF(AND(Programme_Grunddaten!$A685="Geprüft",Programme_Grunddaten!P685&lt;&gt;""),IF(Programme_Grunddaten!P685="Ja",1,0),"")</f>
        <v/>
      </c>
      <c r="J680" s="1" t="str">
        <f>IF(AND(Programme_Grunddaten!$A685="Geprüft",Programme_Grunddaten!Q685&lt;&gt;""),IF(Programme_Grunddaten!Q685="geschlossenes System",1,0),"")</f>
        <v/>
      </c>
      <c r="K680" s="1" t="str">
        <f>IF(AND(Programme_Grunddaten!$A685="Geprüft",Programme_Grunddaten!R685&lt;&gt;""),IF(Programme_Grunddaten!R685="Ja",1,0),"")</f>
        <v/>
      </c>
      <c r="L680" s="1" t="str">
        <f>IF(AND(Programme_Grunddaten!$A685="Geprüft",Programme_Grunddaten!T685&lt;&gt;""),IF(Programme_Grunddaten!T685="Ja",1,0),"")</f>
        <v/>
      </c>
      <c r="M680" s="1" t="str">
        <f>IF(AND(Programme_Grunddaten!$A685="Geprüft",Programme_Grunddaten!U685&lt;&gt;""),IF(Programme_Grunddaten!U685="Ja",1,0),"")</f>
        <v/>
      </c>
      <c r="N680" s="1" t="str">
        <f>IF(AND(Programme_Grunddaten!$A685="Geprüft",Programme_Grunddaten!V685&lt;&gt;""),IF(Programme_Grunddaten!V685="Ja",1,0),"")</f>
        <v/>
      </c>
      <c r="O680" s="1" t="str">
        <f>IF(AND(Programme_Grunddaten!$A685="Geprüft",Programme_Grunddaten!W685&lt;&gt;""),IF(Programme_Grunddaten!W685="Ja",1,0),"")</f>
        <v/>
      </c>
      <c r="P680" s="1" t="str">
        <f>IF(AND(Programme_Grunddaten!$A685="Geprüft",Programme_Grunddaten!X685&lt;&gt;""),IF(Programme_Grunddaten!X685="Ja",1,0),"")</f>
        <v/>
      </c>
      <c r="Q680" s="1" t="str">
        <f>IF(AND(Programme_Grunddaten!$A685="Geprüft",Programme_Grunddaten!Y685&lt;&gt;""),IF(Programme_Grunddaten!Y685="Ja",1,0),"")</f>
        <v/>
      </c>
      <c r="R680" s="1" t="str">
        <f>IF(AND(Programme_Grunddaten!$A685="Geprüft",Programme_Grunddaten!Z685&lt;&gt;""),IF(Programme_Grunddaten!Z685="Ja",1,0),"")</f>
        <v/>
      </c>
      <c r="S680" s="1" t="str">
        <f>IF(AND(Programme_Grunddaten!$A685="Geprüft",Programme_Grunddaten!AA685&lt;&gt;""),IF(Programme_Grunddaten!AA685="monolithisch",1,0),"")</f>
        <v/>
      </c>
      <c r="T680" s="1" t="str">
        <f>IF(AND(Programme_Grunddaten!$A685="Geprüft",Programme_Grunddaten!AB685&lt;&gt;""),IF(Programme_Grunddaten!AB685="Ja",1,0),"")</f>
        <v/>
      </c>
      <c r="U680" s="1" t="str">
        <f>IF(AND(Programme_Grunddaten!$A685="Geprüft",Programme_Grunddaten!AC685&lt;&gt;""),IF(Programme_Grunddaten!AC685="Ja",1,0),"")</f>
        <v/>
      </c>
      <c r="V680" s="1" t="str">
        <f>IF(AND(Programme_Grunddaten!$A685="Geprüft",Programme_Grunddaten!AD685&lt;&gt;""),IF(Programme_Grunddaten!AD685="Ja",1,0),"")</f>
        <v/>
      </c>
      <c r="W680" s="1" t="str">
        <f>IF(AND(Programme_Grunddaten!$A685="Geprüft",Programme_Grunddaten!AE685&lt;&gt;""),IF(Programme_Grunddaten!AE685="Ja",1,0),"")</f>
        <v/>
      </c>
      <c r="X680" s="1" t="str">
        <f>IF(AND(Programme_Grunddaten!$A685="Geprüft",Programme_Grunddaten!AF685&lt;&gt;""),IF(Programme_Grunddaten!AF685="Ja",1,0),"")</f>
        <v/>
      </c>
      <c r="Y680" s="1" t="str">
        <f>IF(AND(Programme_Grunddaten!$A685="Geprüft",Programme_Grunddaten!AG685&lt;&gt;""),IF(Programme_Grunddaten!AG685="Ja",1,0),"")</f>
        <v/>
      </c>
      <c r="Z680" s="1" t="str">
        <f>IF(AND(Programme_Grunddaten!$A685="Geprüft",Programme_Grunddaten!AH685&lt;&gt;""),IF(Programme_Grunddaten!AH685="Ja",1,0),"")</f>
        <v/>
      </c>
      <c r="AA680" s="1" t="str">
        <f>IF(AND(Programme_Grunddaten!$A685="Geprüft",Programme_Grunddaten!AI685&lt;&gt;""),IF(Programme_Grunddaten!AI685="Ja",1,0),"")</f>
        <v/>
      </c>
      <c r="AB680" s="1" t="str">
        <f>IF(AND(Programme_Grunddaten!$A685="Geprüft",Programme_Grunddaten!AJ685&lt;&gt;""),IF(Programme_Grunddaten!AJ685="individuell programmierbar",1,0),"")</f>
        <v/>
      </c>
      <c r="AC680" s="1" t="str">
        <f>IF(AND(Programme_Grunddaten!$A685="Geprüft",Programme_Grunddaten!AK685&lt;&gt;""),IF(Programme_Grunddaten!AK685="Deutsch",0,IF(Programme_Grunddaten!AK685="Deutsch und Englisch",1,2)),"")</f>
        <v/>
      </c>
      <c r="AD680" s="1" t="str">
        <f>IF(AND(Programme_Grunddaten!$A685="Geprüft",Programme_Grunddaten!AL685&lt;&gt;""),IF(Programme_Grunddaten!AL685="Ja",1,0),"")</f>
        <v/>
      </c>
      <c r="AE680" s="1" t="str">
        <f>IF(AND(Programme_Grunddaten!$A685="Geprüft",Programme_Grunddaten!AM685&lt;&gt;""),IF(Programme_Grunddaten!AM685="Ja",1,0),"")</f>
        <v/>
      </c>
      <c r="AF680" s="1" t="str">
        <f>IF(AND(Programme_Grunddaten!$A685="Geprüft",Programme_Grunddaten!AN685&lt;&gt;""),IF(Programme_Grunddaten!AN685="Ja",1,0),"")</f>
        <v/>
      </c>
      <c r="AG680" s="1" t="str">
        <f>IF(AND(Programme_Grunddaten!$A685="Geprüft",Programme_Grunddaten!AO685&lt;&gt;""),IF(Programme_Grunddaten!AO685="Ja",1,0),"")</f>
        <v/>
      </c>
      <c r="AH680" s="1" t="str">
        <f>IF(AND(Programme_Grunddaten!$A685="Geprüft",Programme_Grunddaten!AP685&lt;&gt;""),IF(Programme_Grunddaten!AP685="Ja",1,0),"")</f>
        <v/>
      </c>
      <c r="AI680" s="1" t="str">
        <f>IF(AND(Programme_Grunddaten!$A685="Geprüft",Programme_Grunddaten!AQ685&lt;&gt;""),IF(Programme_Grunddaten!AQ685="Ja",1,0),"")</f>
        <v/>
      </c>
      <c r="AJ680" s="1" t="str">
        <f>IF(AND(Programme_Grunddaten!$A685="Geprüft",Programme_Grunddaten!AR685&lt;&gt;""),IF(Programme_Grunddaten!AR685="Ja",1,0),"")</f>
        <v/>
      </c>
      <c r="AK680" s="1" t="str">
        <f>IF(AND(Programme_Grunddaten!$A685="Geprüft",Programme_Grunddaten!AS685&lt;&gt;""),IF(Programme_Grunddaten!AS685="Ja",1,0),"")</f>
        <v/>
      </c>
      <c r="AL680" s="1" t="str">
        <f>IF(AND(Programme_Grunddaten!$A685="Geprüft",Programme_Grunddaten!AT685&lt;&gt;""),IF(Programme_Grunddaten!AT685="Ja",1,0),"")</f>
        <v/>
      </c>
      <c r="AM680" s="1" t="str">
        <f>IF(AND(Programme_Grunddaten!$A685="Geprüft",Programme_Grunddaten!AU685&lt;&gt;""),IF(Programme_Grunddaten!AU685="Ja",1,0),"")</f>
        <v/>
      </c>
      <c r="AN680" s="1" t="str">
        <f>IF(AND(Programme_Grunddaten!$A685="Geprüft",Programme_Grunddaten!AV685&lt;&gt;""),IF(Programme_Grunddaten!AV685="Ja",1,0),"")</f>
        <v/>
      </c>
    </row>
    <row r="681" spans="1:40" x14ac:dyDescent="0.3">
      <c r="A681" s="1" t="str">
        <f>IF(AND(Programme_Grunddaten!A686="Geprüft",Programme_Grunddaten!B686&lt;&gt;""),Programme_Grunddaten!B686,"")</f>
        <v/>
      </c>
      <c r="B681" s="1" t="str">
        <f>IF(AND(Programme_Grunddaten!$A686="Geprüft",Programme_Grunddaten!I686&lt;&gt;""),IF(Programme_Grunddaten!I686="Ja",1,0),"")</f>
        <v/>
      </c>
      <c r="C681" s="1" t="str">
        <f>IF(AND(Programme_Grunddaten!$A686="Geprüft",Programme_Grunddaten!J686&lt;&gt;""),IF(Programme_Grunddaten!J686="Ja",1,0),"")</f>
        <v/>
      </c>
      <c r="D681" s="1" t="str">
        <f>IF(AND(Programme_Grunddaten!$A686="Geprüft",Programme_Grunddaten!K686&lt;&gt;""),IF(Programme_Grunddaten!K686="Ja",1,0),"")</f>
        <v/>
      </c>
      <c r="E681" s="1" t="str">
        <f>IF(AND(Programme_Grunddaten!$A686="Geprüft",Programme_Grunddaten!L686&lt;&gt;""),IF(Programme_Grunddaten!L686="Abo / befristete Lizenz",1,0),"")</f>
        <v/>
      </c>
      <c r="F681" s="1" t="str">
        <f>IF(AND(Programme_Grunddaten!$A686="Geprüft",Programme_Grunddaten!M686&lt;&gt;""),IF(Programme_Grunddaten!M686="Ja",1,0),"")</f>
        <v/>
      </c>
      <c r="G681" s="1" t="str">
        <f>IF(AND(Programme_Grunddaten!$A686="Geprüft",Programme_Grunddaten!N686&lt;&gt;""),IF(Programme_Grunddaten!N686="Ja",1,0),"")</f>
        <v/>
      </c>
      <c r="H681" s="1" t="str">
        <f>IF(AND(Programme_Grunddaten!$A686="Geprüft",Programme_Grunddaten!O686&lt;&gt;""),IF(Programme_Grunddaten!O686="Deutschland",0,IF(Programme_Grunddaten!O686="EU",1,2)),"")</f>
        <v/>
      </c>
      <c r="I681" s="1" t="str">
        <f>IF(AND(Programme_Grunddaten!$A686="Geprüft",Programme_Grunddaten!P686&lt;&gt;""),IF(Programme_Grunddaten!P686="Ja",1,0),"")</f>
        <v/>
      </c>
      <c r="J681" s="1" t="str">
        <f>IF(AND(Programme_Grunddaten!$A686="Geprüft",Programme_Grunddaten!Q686&lt;&gt;""),IF(Programme_Grunddaten!Q686="geschlossenes System",1,0),"")</f>
        <v/>
      </c>
      <c r="K681" s="1" t="str">
        <f>IF(AND(Programme_Grunddaten!$A686="Geprüft",Programme_Grunddaten!R686&lt;&gt;""),IF(Programme_Grunddaten!R686="Ja",1,0),"")</f>
        <v/>
      </c>
      <c r="L681" s="1" t="str">
        <f>IF(AND(Programme_Grunddaten!$A686="Geprüft",Programme_Grunddaten!T686&lt;&gt;""),IF(Programme_Grunddaten!T686="Ja",1,0),"")</f>
        <v/>
      </c>
      <c r="M681" s="1" t="str">
        <f>IF(AND(Programme_Grunddaten!$A686="Geprüft",Programme_Grunddaten!U686&lt;&gt;""),IF(Programme_Grunddaten!U686="Ja",1,0),"")</f>
        <v/>
      </c>
      <c r="N681" s="1" t="str">
        <f>IF(AND(Programme_Grunddaten!$A686="Geprüft",Programme_Grunddaten!V686&lt;&gt;""),IF(Programme_Grunddaten!V686="Ja",1,0),"")</f>
        <v/>
      </c>
      <c r="O681" s="1" t="str">
        <f>IF(AND(Programme_Grunddaten!$A686="Geprüft",Programme_Grunddaten!W686&lt;&gt;""),IF(Programme_Grunddaten!W686="Ja",1,0),"")</f>
        <v/>
      </c>
      <c r="P681" s="1" t="str">
        <f>IF(AND(Programme_Grunddaten!$A686="Geprüft",Programme_Grunddaten!X686&lt;&gt;""),IF(Programme_Grunddaten!X686="Ja",1,0),"")</f>
        <v/>
      </c>
      <c r="Q681" s="1" t="str">
        <f>IF(AND(Programme_Grunddaten!$A686="Geprüft",Programme_Grunddaten!Y686&lt;&gt;""),IF(Programme_Grunddaten!Y686="Ja",1,0),"")</f>
        <v/>
      </c>
      <c r="R681" s="1" t="str">
        <f>IF(AND(Programme_Grunddaten!$A686="Geprüft",Programme_Grunddaten!Z686&lt;&gt;""),IF(Programme_Grunddaten!Z686="Ja",1,0),"")</f>
        <v/>
      </c>
      <c r="S681" s="1" t="str">
        <f>IF(AND(Programme_Grunddaten!$A686="Geprüft",Programme_Grunddaten!AA686&lt;&gt;""),IF(Programme_Grunddaten!AA686="monolithisch",1,0),"")</f>
        <v/>
      </c>
      <c r="T681" s="1" t="str">
        <f>IF(AND(Programme_Grunddaten!$A686="Geprüft",Programme_Grunddaten!AB686&lt;&gt;""),IF(Programme_Grunddaten!AB686="Ja",1,0),"")</f>
        <v/>
      </c>
      <c r="U681" s="1" t="str">
        <f>IF(AND(Programme_Grunddaten!$A686="Geprüft",Programme_Grunddaten!AC686&lt;&gt;""),IF(Programme_Grunddaten!AC686="Ja",1,0),"")</f>
        <v/>
      </c>
      <c r="V681" s="1" t="str">
        <f>IF(AND(Programme_Grunddaten!$A686="Geprüft",Programme_Grunddaten!AD686&lt;&gt;""),IF(Programme_Grunddaten!AD686="Ja",1,0),"")</f>
        <v/>
      </c>
      <c r="W681" s="1" t="str">
        <f>IF(AND(Programme_Grunddaten!$A686="Geprüft",Programme_Grunddaten!AE686&lt;&gt;""),IF(Programme_Grunddaten!AE686="Ja",1,0),"")</f>
        <v/>
      </c>
      <c r="X681" s="1" t="str">
        <f>IF(AND(Programme_Grunddaten!$A686="Geprüft",Programme_Grunddaten!AF686&lt;&gt;""),IF(Programme_Grunddaten!AF686="Ja",1,0),"")</f>
        <v/>
      </c>
      <c r="Y681" s="1" t="str">
        <f>IF(AND(Programme_Grunddaten!$A686="Geprüft",Programme_Grunddaten!AG686&lt;&gt;""),IF(Programme_Grunddaten!AG686="Ja",1,0),"")</f>
        <v/>
      </c>
      <c r="Z681" s="1" t="str">
        <f>IF(AND(Programme_Grunddaten!$A686="Geprüft",Programme_Grunddaten!AH686&lt;&gt;""),IF(Programme_Grunddaten!AH686="Ja",1,0),"")</f>
        <v/>
      </c>
      <c r="AA681" s="1" t="str">
        <f>IF(AND(Programme_Grunddaten!$A686="Geprüft",Programme_Grunddaten!AI686&lt;&gt;""),IF(Programme_Grunddaten!AI686="Ja",1,0),"")</f>
        <v/>
      </c>
      <c r="AB681" s="1" t="str">
        <f>IF(AND(Programme_Grunddaten!$A686="Geprüft",Programme_Grunddaten!AJ686&lt;&gt;""),IF(Programme_Grunddaten!AJ686="individuell programmierbar",1,0),"")</f>
        <v/>
      </c>
      <c r="AC681" s="1" t="str">
        <f>IF(AND(Programme_Grunddaten!$A686="Geprüft",Programme_Grunddaten!AK686&lt;&gt;""),IF(Programme_Grunddaten!AK686="Deutsch",0,IF(Programme_Grunddaten!AK686="Deutsch und Englisch",1,2)),"")</f>
        <v/>
      </c>
      <c r="AD681" s="1" t="str">
        <f>IF(AND(Programme_Grunddaten!$A686="Geprüft",Programme_Grunddaten!AL686&lt;&gt;""),IF(Programme_Grunddaten!AL686="Ja",1,0),"")</f>
        <v/>
      </c>
      <c r="AE681" s="1" t="str">
        <f>IF(AND(Programme_Grunddaten!$A686="Geprüft",Programme_Grunddaten!AM686&lt;&gt;""),IF(Programme_Grunddaten!AM686="Ja",1,0),"")</f>
        <v/>
      </c>
      <c r="AF681" s="1" t="str">
        <f>IF(AND(Programme_Grunddaten!$A686="Geprüft",Programme_Grunddaten!AN686&lt;&gt;""),IF(Programme_Grunddaten!AN686="Ja",1,0),"")</f>
        <v/>
      </c>
      <c r="AG681" s="1" t="str">
        <f>IF(AND(Programme_Grunddaten!$A686="Geprüft",Programme_Grunddaten!AO686&lt;&gt;""),IF(Programme_Grunddaten!AO686="Ja",1,0),"")</f>
        <v/>
      </c>
      <c r="AH681" s="1" t="str">
        <f>IF(AND(Programme_Grunddaten!$A686="Geprüft",Programme_Grunddaten!AP686&lt;&gt;""),IF(Programme_Grunddaten!AP686="Ja",1,0),"")</f>
        <v/>
      </c>
      <c r="AI681" s="1" t="str">
        <f>IF(AND(Programme_Grunddaten!$A686="Geprüft",Programme_Grunddaten!AQ686&lt;&gt;""),IF(Programme_Grunddaten!AQ686="Ja",1,0),"")</f>
        <v/>
      </c>
      <c r="AJ681" s="1" t="str">
        <f>IF(AND(Programme_Grunddaten!$A686="Geprüft",Programme_Grunddaten!AR686&lt;&gt;""),IF(Programme_Grunddaten!AR686="Ja",1,0),"")</f>
        <v/>
      </c>
      <c r="AK681" s="1" t="str">
        <f>IF(AND(Programme_Grunddaten!$A686="Geprüft",Programme_Grunddaten!AS686&lt;&gt;""),IF(Programme_Grunddaten!AS686="Ja",1,0),"")</f>
        <v/>
      </c>
      <c r="AL681" s="1" t="str">
        <f>IF(AND(Programme_Grunddaten!$A686="Geprüft",Programme_Grunddaten!AT686&lt;&gt;""),IF(Programme_Grunddaten!AT686="Ja",1,0),"")</f>
        <v/>
      </c>
      <c r="AM681" s="1" t="str">
        <f>IF(AND(Programme_Grunddaten!$A686="Geprüft",Programme_Grunddaten!AU686&lt;&gt;""),IF(Programme_Grunddaten!AU686="Ja",1,0),"")</f>
        <v/>
      </c>
      <c r="AN681" s="1" t="str">
        <f>IF(AND(Programme_Grunddaten!$A686="Geprüft",Programme_Grunddaten!AV686&lt;&gt;""),IF(Programme_Grunddaten!AV686="Ja",1,0),"")</f>
        <v/>
      </c>
    </row>
    <row r="682" spans="1:40" x14ac:dyDescent="0.3">
      <c r="A682" s="1" t="str">
        <f>IF(AND(Programme_Grunddaten!A687="Geprüft",Programme_Grunddaten!B687&lt;&gt;""),Programme_Grunddaten!B687,"")</f>
        <v/>
      </c>
      <c r="B682" s="1" t="str">
        <f>IF(AND(Programme_Grunddaten!$A687="Geprüft",Programme_Grunddaten!I687&lt;&gt;""),IF(Programme_Grunddaten!I687="Ja",1,0),"")</f>
        <v/>
      </c>
      <c r="C682" s="1" t="str">
        <f>IF(AND(Programme_Grunddaten!$A687="Geprüft",Programme_Grunddaten!J687&lt;&gt;""),IF(Programme_Grunddaten!J687="Ja",1,0),"")</f>
        <v/>
      </c>
      <c r="D682" s="1" t="str">
        <f>IF(AND(Programme_Grunddaten!$A687="Geprüft",Programme_Grunddaten!K687&lt;&gt;""),IF(Programme_Grunddaten!K687="Ja",1,0),"")</f>
        <v/>
      </c>
      <c r="E682" s="1" t="str">
        <f>IF(AND(Programme_Grunddaten!$A687="Geprüft",Programme_Grunddaten!L687&lt;&gt;""),IF(Programme_Grunddaten!L687="Abo / befristete Lizenz",1,0),"")</f>
        <v/>
      </c>
      <c r="F682" s="1" t="str">
        <f>IF(AND(Programme_Grunddaten!$A687="Geprüft",Programme_Grunddaten!M687&lt;&gt;""),IF(Programme_Grunddaten!M687="Ja",1,0),"")</f>
        <v/>
      </c>
      <c r="G682" s="1" t="str">
        <f>IF(AND(Programme_Grunddaten!$A687="Geprüft",Programme_Grunddaten!N687&lt;&gt;""),IF(Programme_Grunddaten!N687="Ja",1,0),"")</f>
        <v/>
      </c>
      <c r="H682" s="1" t="str">
        <f>IF(AND(Programme_Grunddaten!$A687="Geprüft",Programme_Grunddaten!O687&lt;&gt;""),IF(Programme_Grunddaten!O687="Deutschland",0,IF(Programme_Grunddaten!O687="EU",1,2)),"")</f>
        <v/>
      </c>
      <c r="I682" s="1" t="str">
        <f>IF(AND(Programme_Grunddaten!$A687="Geprüft",Programme_Grunddaten!P687&lt;&gt;""),IF(Programme_Grunddaten!P687="Ja",1,0),"")</f>
        <v/>
      </c>
      <c r="J682" s="1" t="str">
        <f>IF(AND(Programme_Grunddaten!$A687="Geprüft",Programme_Grunddaten!Q687&lt;&gt;""),IF(Programme_Grunddaten!Q687="geschlossenes System",1,0),"")</f>
        <v/>
      </c>
      <c r="K682" s="1" t="str">
        <f>IF(AND(Programme_Grunddaten!$A687="Geprüft",Programme_Grunddaten!R687&lt;&gt;""),IF(Programme_Grunddaten!R687="Ja",1,0),"")</f>
        <v/>
      </c>
      <c r="L682" s="1" t="str">
        <f>IF(AND(Programme_Grunddaten!$A687="Geprüft",Programme_Grunddaten!T687&lt;&gt;""),IF(Programme_Grunddaten!T687="Ja",1,0),"")</f>
        <v/>
      </c>
      <c r="M682" s="1" t="str">
        <f>IF(AND(Programme_Grunddaten!$A687="Geprüft",Programme_Grunddaten!U687&lt;&gt;""),IF(Programme_Grunddaten!U687="Ja",1,0),"")</f>
        <v/>
      </c>
      <c r="N682" s="1" t="str">
        <f>IF(AND(Programme_Grunddaten!$A687="Geprüft",Programme_Grunddaten!V687&lt;&gt;""),IF(Programme_Grunddaten!V687="Ja",1,0),"")</f>
        <v/>
      </c>
      <c r="O682" s="1" t="str">
        <f>IF(AND(Programme_Grunddaten!$A687="Geprüft",Programme_Grunddaten!W687&lt;&gt;""),IF(Programme_Grunddaten!W687="Ja",1,0),"")</f>
        <v/>
      </c>
      <c r="P682" s="1" t="str">
        <f>IF(AND(Programme_Grunddaten!$A687="Geprüft",Programme_Grunddaten!X687&lt;&gt;""),IF(Programme_Grunddaten!X687="Ja",1,0),"")</f>
        <v/>
      </c>
      <c r="Q682" s="1" t="str">
        <f>IF(AND(Programme_Grunddaten!$A687="Geprüft",Programme_Grunddaten!Y687&lt;&gt;""),IF(Programme_Grunddaten!Y687="Ja",1,0),"")</f>
        <v/>
      </c>
      <c r="R682" s="1" t="str">
        <f>IF(AND(Programme_Grunddaten!$A687="Geprüft",Programme_Grunddaten!Z687&lt;&gt;""),IF(Programme_Grunddaten!Z687="Ja",1,0),"")</f>
        <v/>
      </c>
      <c r="S682" s="1" t="str">
        <f>IF(AND(Programme_Grunddaten!$A687="Geprüft",Programme_Grunddaten!AA687&lt;&gt;""),IF(Programme_Grunddaten!AA687="monolithisch",1,0),"")</f>
        <v/>
      </c>
      <c r="T682" s="1" t="str">
        <f>IF(AND(Programme_Grunddaten!$A687="Geprüft",Programme_Grunddaten!AB687&lt;&gt;""),IF(Programme_Grunddaten!AB687="Ja",1,0),"")</f>
        <v/>
      </c>
      <c r="U682" s="1" t="str">
        <f>IF(AND(Programme_Grunddaten!$A687="Geprüft",Programme_Grunddaten!AC687&lt;&gt;""),IF(Programme_Grunddaten!AC687="Ja",1,0),"")</f>
        <v/>
      </c>
      <c r="V682" s="1" t="str">
        <f>IF(AND(Programme_Grunddaten!$A687="Geprüft",Programme_Grunddaten!AD687&lt;&gt;""),IF(Programme_Grunddaten!AD687="Ja",1,0),"")</f>
        <v/>
      </c>
      <c r="W682" s="1" t="str">
        <f>IF(AND(Programme_Grunddaten!$A687="Geprüft",Programme_Grunddaten!AE687&lt;&gt;""),IF(Programme_Grunddaten!AE687="Ja",1,0),"")</f>
        <v/>
      </c>
      <c r="X682" s="1" t="str">
        <f>IF(AND(Programme_Grunddaten!$A687="Geprüft",Programme_Grunddaten!AF687&lt;&gt;""),IF(Programme_Grunddaten!AF687="Ja",1,0),"")</f>
        <v/>
      </c>
      <c r="Y682" s="1" t="str">
        <f>IF(AND(Programme_Grunddaten!$A687="Geprüft",Programme_Grunddaten!AG687&lt;&gt;""),IF(Programme_Grunddaten!AG687="Ja",1,0),"")</f>
        <v/>
      </c>
      <c r="Z682" s="1" t="str">
        <f>IF(AND(Programme_Grunddaten!$A687="Geprüft",Programme_Grunddaten!AH687&lt;&gt;""),IF(Programme_Grunddaten!AH687="Ja",1,0),"")</f>
        <v/>
      </c>
      <c r="AA682" s="1" t="str">
        <f>IF(AND(Programme_Grunddaten!$A687="Geprüft",Programme_Grunddaten!AI687&lt;&gt;""),IF(Programme_Grunddaten!AI687="Ja",1,0),"")</f>
        <v/>
      </c>
      <c r="AB682" s="1" t="str">
        <f>IF(AND(Programme_Grunddaten!$A687="Geprüft",Programme_Grunddaten!AJ687&lt;&gt;""),IF(Programme_Grunddaten!AJ687="individuell programmierbar",1,0),"")</f>
        <v/>
      </c>
      <c r="AC682" s="1" t="str">
        <f>IF(AND(Programme_Grunddaten!$A687="Geprüft",Programme_Grunddaten!AK687&lt;&gt;""),IF(Programme_Grunddaten!AK687="Deutsch",0,IF(Programme_Grunddaten!AK687="Deutsch und Englisch",1,2)),"")</f>
        <v/>
      </c>
      <c r="AD682" s="1" t="str">
        <f>IF(AND(Programme_Grunddaten!$A687="Geprüft",Programme_Grunddaten!AL687&lt;&gt;""),IF(Programme_Grunddaten!AL687="Ja",1,0),"")</f>
        <v/>
      </c>
      <c r="AE682" s="1" t="str">
        <f>IF(AND(Programme_Grunddaten!$A687="Geprüft",Programme_Grunddaten!AM687&lt;&gt;""),IF(Programme_Grunddaten!AM687="Ja",1,0),"")</f>
        <v/>
      </c>
      <c r="AF682" s="1" t="str">
        <f>IF(AND(Programme_Grunddaten!$A687="Geprüft",Programme_Grunddaten!AN687&lt;&gt;""),IF(Programme_Grunddaten!AN687="Ja",1,0),"")</f>
        <v/>
      </c>
      <c r="AG682" s="1" t="str">
        <f>IF(AND(Programme_Grunddaten!$A687="Geprüft",Programme_Grunddaten!AO687&lt;&gt;""),IF(Programme_Grunddaten!AO687="Ja",1,0),"")</f>
        <v/>
      </c>
      <c r="AH682" s="1" t="str">
        <f>IF(AND(Programme_Grunddaten!$A687="Geprüft",Programme_Grunddaten!AP687&lt;&gt;""),IF(Programme_Grunddaten!AP687="Ja",1,0),"")</f>
        <v/>
      </c>
      <c r="AI682" s="1" t="str">
        <f>IF(AND(Programme_Grunddaten!$A687="Geprüft",Programme_Grunddaten!AQ687&lt;&gt;""),IF(Programme_Grunddaten!AQ687="Ja",1,0),"")</f>
        <v/>
      </c>
      <c r="AJ682" s="1" t="str">
        <f>IF(AND(Programme_Grunddaten!$A687="Geprüft",Programme_Grunddaten!AR687&lt;&gt;""),IF(Programme_Grunddaten!AR687="Ja",1,0),"")</f>
        <v/>
      </c>
      <c r="AK682" s="1" t="str">
        <f>IF(AND(Programme_Grunddaten!$A687="Geprüft",Programme_Grunddaten!AS687&lt;&gt;""),IF(Programme_Grunddaten!AS687="Ja",1,0),"")</f>
        <v/>
      </c>
      <c r="AL682" s="1" t="str">
        <f>IF(AND(Programme_Grunddaten!$A687="Geprüft",Programme_Grunddaten!AT687&lt;&gt;""),IF(Programme_Grunddaten!AT687="Ja",1,0),"")</f>
        <v/>
      </c>
      <c r="AM682" s="1" t="str">
        <f>IF(AND(Programme_Grunddaten!$A687="Geprüft",Programme_Grunddaten!AU687&lt;&gt;""),IF(Programme_Grunddaten!AU687="Ja",1,0),"")</f>
        <v/>
      </c>
      <c r="AN682" s="1" t="str">
        <f>IF(AND(Programme_Grunddaten!$A687="Geprüft",Programme_Grunddaten!AV687&lt;&gt;""),IF(Programme_Grunddaten!AV687="Ja",1,0),"")</f>
        <v/>
      </c>
    </row>
    <row r="683" spans="1:40" x14ac:dyDescent="0.3">
      <c r="A683" s="1" t="str">
        <f>IF(AND(Programme_Grunddaten!A688="Geprüft",Programme_Grunddaten!B688&lt;&gt;""),Programme_Grunddaten!B688,"")</f>
        <v/>
      </c>
      <c r="B683" s="1" t="str">
        <f>IF(AND(Programme_Grunddaten!$A688="Geprüft",Programme_Grunddaten!I688&lt;&gt;""),IF(Programme_Grunddaten!I688="Ja",1,0),"")</f>
        <v/>
      </c>
      <c r="C683" s="1" t="str">
        <f>IF(AND(Programme_Grunddaten!$A688="Geprüft",Programme_Grunddaten!J688&lt;&gt;""),IF(Programme_Grunddaten!J688="Ja",1,0),"")</f>
        <v/>
      </c>
      <c r="D683" s="1" t="str">
        <f>IF(AND(Programme_Grunddaten!$A688="Geprüft",Programme_Grunddaten!K688&lt;&gt;""),IF(Programme_Grunddaten!K688="Ja",1,0),"")</f>
        <v/>
      </c>
      <c r="E683" s="1" t="str">
        <f>IF(AND(Programme_Grunddaten!$A688="Geprüft",Programme_Grunddaten!L688&lt;&gt;""),IF(Programme_Grunddaten!L688="Abo / befristete Lizenz",1,0),"")</f>
        <v/>
      </c>
      <c r="F683" s="1" t="str">
        <f>IF(AND(Programme_Grunddaten!$A688="Geprüft",Programme_Grunddaten!M688&lt;&gt;""),IF(Programme_Grunddaten!M688="Ja",1,0),"")</f>
        <v/>
      </c>
      <c r="G683" s="1" t="str">
        <f>IF(AND(Programme_Grunddaten!$A688="Geprüft",Programme_Grunddaten!N688&lt;&gt;""),IF(Programme_Grunddaten!N688="Ja",1,0),"")</f>
        <v/>
      </c>
      <c r="H683" s="1" t="str">
        <f>IF(AND(Programme_Grunddaten!$A688="Geprüft",Programme_Grunddaten!O688&lt;&gt;""),IF(Programme_Grunddaten!O688="Deutschland",0,IF(Programme_Grunddaten!O688="EU",1,2)),"")</f>
        <v/>
      </c>
      <c r="I683" s="1" t="str">
        <f>IF(AND(Programme_Grunddaten!$A688="Geprüft",Programme_Grunddaten!P688&lt;&gt;""),IF(Programme_Grunddaten!P688="Ja",1,0),"")</f>
        <v/>
      </c>
      <c r="J683" s="1" t="str">
        <f>IF(AND(Programme_Grunddaten!$A688="Geprüft",Programme_Grunddaten!Q688&lt;&gt;""),IF(Programme_Grunddaten!Q688="geschlossenes System",1,0),"")</f>
        <v/>
      </c>
      <c r="K683" s="1" t="str">
        <f>IF(AND(Programme_Grunddaten!$A688="Geprüft",Programme_Grunddaten!R688&lt;&gt;""),IF(Programme_Grunddaten!R688="Ja",1,0),"")</f>
        <v/>
      </c>
      <c r="L683" s="1" t="str">
        <f>IF(AND(Programme_Grunddaten!$A688="Geprüft",Programme_Grunddaten!T688&lt;&gt;""),IF(Programme_Grunddaten!T688="Ja",1,0),"")</f>
        <v/>
      </c>
      <c r="M683" s="1" t="str">
        <f>IF(AND(Programme_Grunddaten!$A688="Geprüft",Programme_Grunddaten!U688&lt;&gt;""),IF(Programme_Grunddaten!U688="Ja",1,0),"")</f>
        <v/>
      </c>
      <c r="N683" s="1" t="str">
        <f>IF(AND(Programme_Grunddaten!$A688="Geprüft",Programme_Grunddaten!V688&lt;&gt;""),IF(Programme_Grunddaten!V688="Ja",1,0),"")</f>
        <v/>
      </c>
      <c r="O683" s="1" t="str">
        <f>IF(AND(Programme_Grunddaten!$A688="Geprüft",Programme_Grunddaten!W688&lt;&gt;""),IF(Programme_Grunddaten!W688="Ja",1,0),"")</f>
        <v/>
      </c>
      <c r="P683" s="1" t="str">
        <f>IF(AND(Programme_Grunddaten!$A688="Geprüft",Programme_Grunddaten!X688&lt;&gt;""),IF(Programme_Grunddaten!X688="Ja",1,0),"")</f>
        <v/>
      </c>
      <c r="Q683" s="1" t="str">
        <f>IF(AND(Programme_Grunddaten!$A688="Geprüft",Programme_Grunddaten!Y688&lt;&gt;""),IF(Programme_Grunddaten!Y688="Ja",1,0),"")</f>
        <v/>
      </c>
      <c r="R683" s="1" t="str">
        <f>IF(AND(Programme_Grunddaten!$A688="Geprüft",Programme_Grunddaten!Z688&lt;&gt;""),IF(Programme_Grunddaten!Z688="Ja",1,0),"")</f>
        <v/>
      </c>
      <c r="S683" s="1" t="str">
        <f>IF(AND(Programme_Grunddaten!$A688="Geprüft",Programme_Grunddaten!AA688&lt;&gt;""),IF(Programme_Grunddaten!AA688="monolithisch",1,0),"")</f>
        <v/>
      </c>
      <c r="T683" s="1" t="str">
        <f>IF(AND(Programme_Grunddaten!$A688="Geprüft",Programme_Grunddaten!AB688&lt;&gt;""),IF(Programme_Grunddaten!AB688="Ja",1,0),"")</f>
        <v/>
      </c>
      <c r="U683" s="1" t="str">
        <f>IF(AND(Programme_Grunddaten!$A688="Geprüft",Programme_Grunddaten!AC688&lt;&gt;""),IF(Programme_Grunddaten!AC688="Ja",1,0),"")</f>
        <v/>
      </c>
      <c r="V683" s="1" t="str">
        <f>IF(AND(Programme_Grunddaten!$A688="Geprüft",Programme_Grunddaten!AD688&lt;&gt;""),IF(Programme_Grunddaten!AD688="Ja",1,0),"")</f>
        <v/>
      </c>
      <c r="W683" s="1" t="str">
        <f>IF(AND(Programme_Grunddaten!$A688="Geprüft",Programme_Grunddaten!AE688&lt;&gt;""),IF(Programme_Grunddaten!AE688="Ja",1,0),"")</f>
        <v/>
      </c>
      <c r="X683" s="1" t="str">
        <f>IF(AND(Programme_Grunddaten!$A688="Geprüft",Programme_Grunddaten!AF688&lt;&gt;""),IF(Programme_Grunddaten!AF688="Ja",1,0),"")</f>
        <v/>
      </c>
      <c r="Y683" s="1" t="str">
        <f>IF(AND(Programme_Grunddaten!$A688="Geprüft",Programme_Grunddaten!AG688&lt;&gt;""),IF(Programme_Grunddaten!AG688="Ja",1,0),"")</f>
        <v/>
      </c>
      <c r="Z683" s="1" t="str">
        <f>IF(AND(Programme_Grunddaten!$A688="Geprüft",Programme_Grunddaten!AH688&lt;&gt;""),IF(Programme_Grunddaten!AH688="Ja",1,0),"")</f>
        <v/>
      </c>
      <c r="AA683" s="1" t="str">
        <f>IF(AND(Programme_Grunddaten!$A688="Geprüft",Programme_Grunddaten!AI688&lt;&gt;""),IF(Programme_Grunddaten!AI688="Ja",1,0),"")</f>
        <v/>
      </c>
      <c r="AB683" s="1" t="str">
        <f>IF(AND(Programme_Grunddaten!$A688="Geprüft",Programme_Grunddaten!AJ688&lt;&gt;""),IF(Programme_Grunddaten!AJ688="individuell programmierbar",1,0),"")</f>
        <v/>
      </c>
      <c r="AC683" s="1" t="str">
        <f>IF(AND(Programme_Grunddaten!$A688="Geprüft",Programme_Grunddaten!AK688&lt;&gt;""),IF(Programme_Grunddaten!AK688="Deutsch",0,IF(Programme_Grunddaten!AK688="Deutsch und Englisch",1,2)),"")</f>
        <v/>
      </c>
      <c r="AD683" s="1" t="str">
        <f>IF(AND(Programme_Grunddaten!$A688="Geprüft",Programme_Grunddaten!AL688&lt;&gt;""),IF(Programme_Grunddaten!AL688="Ja",1,0),"")</f>
        <v/>
      </c>
      <c r="AE683" s="1" t="str">
        <f>IF(AND(Programme_Grunddaten!$A688="Geprüft",Programme_Grunddaten!AM688&lt;&gt;""),IF(Programme_Grunddaten!AM688="Ja",1,0),"")</f>
        <v/>
      </c>
      <c r="AF683" s="1" t="str">
        <f>IF(AND(Programme_Grunddaten!$A688="Geprüft",Programme_Grunddaten!AN688&lt;&gt;""),IF(Programme_Grunddaten!AN688="Ja",1,0),"")</f>
        <v/>
      </c>
      <c r="AG683" s="1" t="str">
        <f>IF(AND(Programme_Grunddaten!$A688="Geprüft",Programme_Grunddaten!AO688&lt;&gt;""),IF(Programme_Grunddaten!AO688="Ja",1,0),"")</f>
        <v/>
      </c>
      <c r="AH683" s="1" t="str">
        <f>IF(AND(Programme_Grunddaten!$A688="Geprüft",Programme_Grunddaten!AP688&lt;&gt;""),IF(Programme_Grunddaten!AP688="Ja",1,0),"")</f>
        <v/>
      </c>
      <c r="AI683" s="1" t="str">
        <f>IF(AND(Programme_Grunddaten!$A688="Geprüft",Programme_Grunddaten!AQ688&lt;&gt;""),IF(Programme_Grunddaten!AQ688="Ja",1,0),"")</f>
        <v/>
      </c>
      <c r="AJ683" s="1" t="str">
        <f>IF(AND(Programme_Grunddaten!$A688="Geprüft",Programme_Grunddaten!AR688&lt;&gt;""),IF(Programme_Grunddaten!AR688="Ja",1,0),"")</f>
        <v/>
      </c>
      <c r="AK683" s="1" t="str">
        <f>IF(AND(Programme_Grunddaten!$A688="Geprüft",Programme_Grunddaten!AS688&lt;&gt;""),IF(Programme_Grunddaten!AS688="Ja",1,0),"")</f>
        <v/>
      </c>
      <c r="AL683" s="1" t="str">
        <f>IF(AND(Programme_Grunddaten!$A688="Geprüft",Programme_Grunddaten!AT688&lt;&gt;""),IF(Programme_Grunddaten!AT688="Ja",1,0),"")</f>
        <v/>
      </c>
      <c r="AM683" s="1" t="str">
        <f>IF(AND(Programme_Grunddaten!$A688="Geprüft",Programme_Grunddaten!AU688&lt;&gt;""),IF(Programme_Grunddaten!AU688="Ja",1,0),"")</f>
        <v/>
      </c>
      <c r="AN683" s="1" t="str">
        <f>IF(AND(Programme_Grunddaten!$A688="Geprüft",Programme_Grunddaten!AV688&lt;&gt;""),IF(Programme_Grunddaten!AV688="Ja",1,0),"")</f>
        <v/>
      </c>
    </row>
    <row r="684" spans="1:40" x14ac:dyDescent="0.3">
      <c r="A684" s="1" t="str">
        <f>IF(AND(Programme_Grunddaten!A689="Geprüft",Programme_Grunddaten!B689&lt;&gt;""),Programme_Grunddaten!B689,"")</f>
        <v/>
      </c>
      <c r="B684" s="1" t="str">
        <f>IF(AND(Programme_Grunddaten!$A689="Geprüft",Programme_Grunddaten!I689&lt;&gt;""),IF(Programme_Grunddaten!I689="Ja",1,0),"")</f>
        <v/>
      </c>
      <c r="C684" s="1" t="str">
        <f>IF(AND(Programme_Grunddaten!$A689="Geprüft",Programme_Grunddaten!J689&lt;&gt;""),IF(Programme_Grunddaten!J689="Ja",1,0),"")</f>
        <v/>
      </c>
      <c r="D684" s="1" t="str">
        <f>IF(AND(Programme_Grunddaten!$A689="Geprüft",Programme_Grunddaten!K689&lt;&gt;""),IF(Programme_Grunddaten!K689="Ja",1,0),"")</f>
        <v/>
      </c>
      <c r="E684" s="1" t="str">
        <f>IF(AND(Programme_Grunddaten!$A689="Geprüft",Programme_Grunddaten!L689&lt;&gt;""),IF(Programme_Grunddaten!L689="Abo / befristete Lizenz",1,0),"")</f>
        <v/>
      </c>
      <c r="F684" s="1" t="str">
        <f>IF(AND(Programme_Grunddaten!$A689="Geprüft",Programme_Grunddaten!M689&lt;&gt;""),IF(Programme_Grunddaten!M689="Ja",1,0),"")</f>
        <v/>
      </c>
      <c r="G684" s="1" t="str">
        <f>IF(AND(Programme_Grunddaten!$A689="Geprüft",Programme_Grunddaten!N689&lt;&gt;""),IF(Programme_Grunddaten!N689="Ja",1,0),"")</f>
        <v/>
      </c>
      <c r="H684" s="1" t="str">
        <f>IF(AND(Programme_Grunddaten!$A689="Geprüft",Programme_Grunddaten!O689&lt;&gt;""),IF(Programme_Grunddaten!O689="Deutschland",0,IF(Programme_Grunddaten!O689="EU",1,2)),"")</f>
        <v/>
      </c>
      <c r="I684" s="1" t="str">
        <f>IF(AND(Programme_Grunddaten!$A689="Geprüft",Programme_Grunddaten!P689&lt;&gt;""),IF(Programme_Grunddaten!P689="Ja",1,0),"")</f>
        <v/>
      </c>
      <c r="J684" s="1" t="str">
        <f>IF(AND(Programme_Grunddaten!$A689="Geprüft",Programme_Grunddaten!Q689&lt;&gt;""),IF(Programme_Grunddaten!Q689="geschlossenes System",1,0),"")</f>
        <v/>
      </c>
      <c r="K684" s="1" t="str">
        <f>IF(AND(Programme_Grunddaten!$A689="Geprüft",Programme_Grunddaten!R689&lt;&gt;""),IF(Programme_Grunddaten!R689="Ja",1,0),"")</f>
        <v/>
      </c>
      <c r="L684" s="1" t="str">
        <f>IF(AND(Programme_Grunddaten!$A689="Geprüft",Programme_Grunddaten!T689&lt;&gt;""),IF(Programme_Grunddaten!T689="Ja",1,0),"")</f>
        <v/>
      </c>
      <c r="M684" s="1" t="str">
        <f>IF(AND(Programme_Grunddaten!$A689="Geprüft",Programme_Grunddaten!U689&lt;&gt;""),IF(Programme_Grunddaten!U689="Ja",1,0),"")</f>
        <v/>
      </c>
      <c r="N684" s="1" t="str">
        <f>IF(AND(Programme_Grunddaten!$A689="Geprüft",Programme_Grunddaten!V689&lt;&gt;""),IF(Programme_Grunddaten!V689="Ja",1,0),"")</f>
        <v/>
      </c>
      <c r="O684" s="1" t="str">
        <f>IF(AND(Programme_Grunddaten!$A689="Geprüft",Programme_Grunddaten!W689&lt;&gt;""),IF(Programme_Grunddaten!W689="Ja",1,0),"")</f>
        <v/>
      </c>
      <c r="P684" s="1" t="str">
        <f>IF(AND(Programme_Grunddaten!$A689="Geprüft",Programme_Grunddaten!X689&lt;&gt;""),IF(Programme_Grunddaten!X689="Ja",1,0),"")</f>
        <v/>
      </c>
      <c r="Q684" s="1" t="str">
        <f>IF(AND(Programme_Grunddaten!$A689="Geprüft",Programme_Grunddaten!Y689&lt;&gt;""),IF(Programme_Grunddaten!Y689="Ja",1,0),"")</f>
        <v/>
      </c>
      <c r="R684" s="1" t="str">
        <f>IF(AND(Programme_Grunddaten!$A689="Geprüft",Programme_Grunddaten!Z689&lt;&gt;""),IF(Programme_Grunddaten!Z689="Ja",1,0),"")</f>
        <v/>
      </c>
      <c r="S684" s="1" t="str">
        <f>IF(AND(Programme_Grunddaten!$A689="Geprüft",Programme_Grunddaten!AA689&lt;&gt;""),IF(Programme_Grunddaten!AA689="monolithisch",1,0),"")</f>
        <v/>
      </c>
      <c r="T684" s="1" t="str">
        <f>IF(AND(Programme_Grunddaten!$A689="Geprüft",Programme_Grunddaten!AB689&lt;&gt;""),IF(Programme_Grunddaten!AB689="Ja",1,0),"")</f>
        <v/>
      </c>
      <c r="U684" s="1" t="str">
        <f>IF(AND(Programme_Grunddaten!$A689="Geprüft",Programme_Grunddaten!AC689&lt;&gt;""),IF(Programme_Grunddaten!AC689="Ja",1,0),"")</f>
        <v/>
      </c>
      <c r="V684" s="1" t="str">
        <f>IF(AND(Programme_Grunddaten!$A689="Geprüft",Programme_Grunddaten!AD689&lt;&gt;""),IF(Programme_Grunddaten!AD689="Ja",1,0),"")</f>
        <v/>
      </c>
      <c r="W684" s="1" t="str">
        <f>IF(AND(Programme_Grunddaten!$A689="Geprüft",Programme_Grunddaten!AE689&lt;&gt;""),IF(Programme_Grunddaten!AE689="Ja",1,0),"")</f>
        <v/>
      </c>
      <c r="X684" s="1" t="str">
        <f>IF(AND(Programme_Grunddaten!$A689="Geprüft",Programme_Grunddaten!AF689&lt;&gt;""),IF(Programme_Grunddaten!AF689="Ja",1,0),"")</f>
        <v/>
      </c>
      <c r="Y684" s="1" t="str">
        <f>IF(AND(Programme_Grunddaten!$A689="Geprüft",Programme_Grunddaten!AG689&lt;&gt;""),IF(Programme_Grunddaten!AG689="Ja",1,0),"")</f>
        <v/>
      </c>
      <c r="Z684" s="1" t="str">
        <f>IF(AND(Programme_Grunddaten!$A689="Geprüft",Programme_Grunddaten!AH689&lt;&gt;""),IF(Programme_Grunddaten!AH689="Ja",1,0),"")</f>
        <v/>
      </c>
      <c r="AA684" s="1" t="str">
        <f>IF(AND(Programme_Grunddaten!$A689="Geprüft",Programme_Grunddaten!AI689&lt;&gt;""),IF(Programme_Grunddaten!AI689="Ja",1,0),"")</f>
        <v/>
      </c>
      <c r="AB684" s="1" t="str">
        <f>IF(AND(Programme_Grunddaten!$A689="Geprüft",Programme_Grunddaten!AJ689&lt;&gt;""),IF(Programme_Grunddaten!AJ689="individuell programmierbar",1,0),"")</f>
        <v/>
      </c>
      <c r="AC684" s="1" t="str">
        <f>IF(AND(Programme_Grunddaten!$A689="Geprüft",Programme_Grunddaten!AK689&lt;&gt;""),IF(Programme_Grunddaten!AK689="Deutsch",0,IF(Programme_Grunddaten!AK689="Deutsch und Englisch",1,2)),"")</f>
        <v/>
      </c>
      <c r="AD684" s="1" t="str">
        <f>IF(AND(Programme_Grunddaten!$A689="Geprüft",Programme_Grunddaten!AL689&lt;&gt;""),IF(Programme_Grunddaten!AL689="Ja",1,0),"")</f>
        <v/>
      </c>
      <c r="AE684" s="1" t="str">
        <f>IF(AND(Programme_Grunddaten!$A689="Geprüft",Programme_Grunddaten!AM689&lt;&gt;""),IF(Programme_Grunddaten!AM689="Ja",1,0),"")</f>
        <v/>
      </c>
      <c r="AF684" s="1" t="str">
        <f>IF(AND(Programme_Grunddaten!$A689="Geprüft",Programme_Grunddaten!AN689&lt;&gt;""),IF(Programme_Grunddaten!AN689="Ja",1,0),"")</f>
        <v/>
      </c>
      <c r="AG684" s="1" t="str">
        <f>IF(AND(Programme_Grunddaten!$A689="Geprüft",Programme_Grunddaten!AO689&lt;&gt;""),IF(Programme_Grunddaten!AO689="Ja",1,0),"")</f>
        <v/>
      </c>
      <c r="AH684" s="1" t="str">
        <f>IF(AND(Programme_Grunddaten!$A689="Geprüft",Programme_Grunddaten!AP689&lt;&gt;""),IF(Programme_Grunddaten!AP689="Ja",1,0),"")</f>
        <v/>
      </c>
      <c r="AI684" s="1" t="str">
        <f>IF(AND(Programme_Grunddaten!$A689="Geprüft",Programme_Grunddaten!AQ689&lt;&gt;""),IF(Programme_Grunddaten!AQ689="Ja",1,0),"")</f>
        <v/>
      </c>
      <c r="AJ684" s="1" t="str">
        <f>IF(AND(Programme_Grunddaten!$A689="Geprüft",Programme_Grunddaten!AR689&lt;&gt;""),IF(Programme_Grunddaten!AR689="Ja",1,0),"")</f>
        <v/>
      </c>
      <c r="AK684" s="1" t="str">
        <f>IF(AND(Programme_Grunddaten!$A689="Geprüft",Programme_Grunddaten!AS689&lt;&gt;""),IF(Programme_Grunddaten!AS689="Ja",1,0),"")</f>
        <v/>
      </c>
      <c r="AL684" s="1" t="str">
        <f>IF(AND(Programme_Grunddaten!$A689="Geprüft",Programme_Grunddaten!AT689&lt;&gt;""),IF(Programme_Grunddaten!AT689="Ja",1,0),"")</f>
        <v/>
      </c>
      <c r="AM684" s="1" t="str">
        <f>IF(AND(Programme_Grunddaten!$A689="Geprüft",Programme_Grunddaten!AU689&lt;&gt;""),IF(Programme_Grunddaten!AU689="Ja",1,0),"")</f>
        <v/>
      </c>
      <c r="AN684" s="1" t="str">
        <f>IF(AND(Programme_Grunddaten!$A689="Geprüft",Programme_Grunddaten!AV689&lt;&gt;""),IF(Programme_Grunddaten!AV689="Ja",1,0),"")</f>
        <v/>
      </c>
    </row>
    <row r="685" spans="1:40" x14ac:dyDescent="0.3">
      <c r="A685" s="1" t="str">
        <f>IF(AND(Programme_Grunddaten!A690="Geprüft",Programme_Grunddaten!B690&lt;&gt;""),Programme_Grunddaten!B690,"")</f>
        <v/>
      </c>
      <c r="B685" s="1" t="str">
        <f>IF(AND(Programme_Grunddaten!$A690="Geprüft",Programme_Grunddaten!I690&lt;&gt;""),IF(Programme_Grunddaten!I690="Ja",1,0),"")</f>
        <v/>
      </c>
      <c r="C685" s="1" t="str">
        <f>IF(AND(Programme_Grunddaten!$A690="Geprüft",Programme_Grunddaten!J690&lt;&gt;""),IF(Programme_Grunddaten!J690="Ja",1,0),"")</f>
        <v/>
      </c>
      <c r="D685" s="1" t="str">
        <f>IF(AND(Programme_Grunddaten!$A690="Geprüft",Programme_Grunddaten!K690&lt;&gt;""),IF(Programme_Grunddaten!K690="Ja",1,0),"")</f>
        <v/>
      </c>
      <c r="E685" s="1" t="str">
        <f>IF(AND(Programme_Grunddaten!$A690="Geprüft",Programme_Grunddaten!L690&lt;&gt;""),IF(Programme_Grunddaten!L690="Abo / befristete Lizenz",1,0),"")</f>
        <v/>
      </c>
      <c r="F685" s="1" t="str">
        <f>IF(AND(Programme_Grunddaten!$A690="Geprüft",Programme_Grunddaten!M690&lt;&gt;""),IF(Programme_Grunddaten!M690="Ja",1,0),"")</f>
        <v/>
      </c>
      <c r="G685" s="1" t="str">
        <f>IF(AND(Programme_Grunddaten!$A690="Geprüft",Programme_Grunddaten!N690&lt;&gt;""),IF(Programme_Grunddaten!N690="Ja",1,0),"")</f>
        <v/>
      </c>
      <c r="H685" s="1" t="str">
        <f>IF(AND(Programme_Grunddaten!$A690="Geprüft",Programme_Grunddaten!O690&lt;&gt;""),IF(Programme_Grunddaten!O690="Deutschland",0,IF(Programme_Grunddaten!O690="EU",1,2)),"")</f>
        <v/>
      </c>
      <c r="I685" s="1" t="str">
        <f>IF(AND(Programme_Grunddaten!$A690="Geprüft",Programme_Grunddaten!P690&lt;&gt;""),IF(Programme_Grunddaten!P690="Ja",1,0),"")</f>
        <v/>
      </c>
      <c r="J685" s="1" t="str">
        <f>IF(AND(Programme_Grunddaten!$A690="Geprüft",Programme_Grunddaten!Q690&lt;&gt;""),IF(Programme_Grunddaten!Q690="geschlossenes System",1,0),"")</f>
        <v/>
      </c>
      <c r="K685" s="1" t="str">
        <f>IF(AND(Programme_Grunddaten!$A690="Geprüft",Programme_Grunddaten!R690&lt;&gt;""),IF(Programme_Grunddaten!R690="Ja",1,0),"")</f>
        <v/>
      </c>
      <c r="L685" s="1" t="str">
        <f>IF(AND(Programme_Grunddaten!$A690="Geprüft",Programme_Grunddaten!T690&lt;&gt;""),IF(Programme_Grunddaten!T690="Ja",1,0),"")</f>
        <v/>
      </c>
      <c r="M685" s="1" t="str">
        <f>IF(AND(Programme_Grunddaten!$A690="Geprüft",Programme_Grunddaten!U690&lt;&gt;""),IF(Programme_Grunddaten!U690="Ja",1,0),"")</f>
        <v/>
      </c>
      <c r="N685" s="1" t="str">
        <f>IF(AND(Programme_Grunddaten!$A690="Geprüft",Programme_Grunddaten!V690&lt;&gt;""),IF(Programme_Grunddaten!V690="Ja",1,0),"")</f>
        <v/>
      </c>
      <c r="O685" s="1" t="str">
        <f>IF(AND(Programme_Grunddaten!$A690="Geprüft",Programme_Grunddaten!W690&lt;&gt;""),IF(Programme_Grunddaten!W690="Ja",1,0),"")</f>
        <v/>
      </c>
      <c r="P685" s="1" t="str">
        <f>IF(AND(Programme_Grunddaten!$A690="Geprüft",Programme_Grunddaten!X690&lt;&gt;""),IF(Programme_Grunddaten!X690="Ja",1,0),"")</f>
        <v/>
      </c>
      <c r="Q685" s="1" t="str">
        <f>IF(AND(Programme_Grunddaten!$A690="Geprüft",Programme_Grunddaten!Y690&lt;&gt;""),IF(Programme_Grunddaten!Y690="Ja",1,0),"")</f>
        <v/>
      </c>
      <c r="R685" s="1" t="str">
        <f>IF(AND(Programme_Grunddaten!$A690="Geprüft",Programme_Grunddaten!Z690&lt;&gt;""),IF(Programme_Grunddaten!Z690="Ja",1,0),"")</f>
        <v/>
      </c>
      <c r="S685" s="1" t="str">
        <f>IF(AND(Programme_Grunddaten!$A690="Geprüft",Programme_Grunddaten!AA690&lt;&gt;""),IF(Programme_Grunddaten!AA690="monolithisch",1,0),"")</f>
        <v/>
      </c>
      <c r="T685" s="1" t="str">
        <f>IF(AND(Programme_Grunddaten!$A690="Geprüft",Programme_Grunddaten!AB690&lt;&gt;""),IF(Programme_Grunddaten!AB690="Ja",1,0),"")</f>
        <v/>
      </c>
      <c r="U685" s="1" t="str">
        <f>IF(AND(Programme_Grunddaten!$A690="Geprüft",Programme_Grunddaten!AC690&lt;&gt;""),IF(Programme_Grunddaten!AC690="Ja",1,0),"")</f>
        <v/>
      </c>
      <c r="V685" s="1" t="str">
        <f>IF(AND(Programme_Grunddaten!$A690="Geprüft",Programme_Grunddaten!AD690&lt;&gt;""),IF(Programme_Grunddaten!AD690="Ja",1,0),"")</f>
        <v/>
      </c>
      <c r="W685" s="1" t="str">
        <f>IF(AND(Programme_Grunddaten!$A690="Geprüft",Programme_Grunddaten!AE690&lt;&gt;""),IF(Programme_Grunddaten!AE690="Ja",1,0),"")</f>
        <v/>
      </c>
      <c r="X685" s="1" t="str">
        <f>IF(AND(Programme_Grunddaten!$A690="Geprüft",Programme_Grunddaten!AF690&lt;&gt;""),IF(Programme_Grunddaten!AF690="Ja",1,0),"")</f>
        <v/>
      </c>
      <c r="Y685" s="1" t="str">
        <f>IF(AND(Programme_Grunddaten!$A690="Geprüft",Programme_Grunddaten!AG690&lt;&gt;""),IF(Programme_Grunddaten!AG690="Ja",1,0),"")</f>
        <v/>
      </c>
      <c r="Z685" s="1" t="str">
        <f>IF(AND(Programme_Grunddaten!$A690="Geprüft",Programme_Grunddaten!AH690&lt;&gt;""),IF(Programme_Grunddaten!AH690="Ja",1,0),"")</f>
        <v/>
      </c>
      <c r="AA685" s="1" t="str">
        <f>IF(AND(Programme_Grunddaten!$A690="Geprüft",Programme_Grunddaten!AI690&lt;&gt;""),IF(Programme_Grunddaten!AI690="Ja",1,0),"")</f>
        <v/>
      </c>
      <c r="AB685" s="1" t="str">
        <f>IF(AND(Programme_Grunddaten!$A690="Geprüft",Programme_Grunddaten!AJ690&lt;&gt;""),IF(Programme_Grunddaten!AJ690="individuell programmierbar",1,0),"")</f>
        <v/>
      </c>
      <c r="AC685" s="1" t="str">
        <f>IF(AND(Programme_Grunddaten!$A690="Geprüft",Programme_Grunddaten!AK690&lt;&gt;""),IF(Programme_Grunddaten!AK690="Deutsch",0,IF(Programme_Grunddaten!AK690="Deutsch und Englisch",1,2)),"")</f>
        <v/>
      </c>
      <c r="AD685" s="1" t="str">
        <f>IF(AND(Programme_Grunddaten!$A690="Geprüft",Programme_Grunddaten!AL690&lt;&gt;""),IF(Programme_Grunddaten!AL690="Ja",1,0),"")</f>
        <v/>
      </c>
      <c r="AE685" s="1" t="str">
        <f>IF(AND(Programme_Grunddaten!$A690="Geprüft",Programme_Grunddaten!AM690&lt;&gt;""),IF(Programme_Grunddaten!AM690="Ja",1,0),"")</f>
        <v/>
      </c>
      <c r="AF685" s="1" t="str">
        <f>IF(AND(Programme_Grunddaten!$A690="Geprüft",Programme_Grunddaten!AN690&lt;&gt;""),IF(Programme_Grunddaten!AN690="Ja",1,0),"")</f>
        <v/>
      </c>
      <c r="AG685" s="1" t="str">
        <f>IF(AND(Programme_Grunddaten!$A690="Geprüft",Programme_Grunddaten!AO690&lt;&gt;""),IF(Programme_Grunddaten!AO690="Ja",1,0),"")</f>
        <v/>
      </c>
      <c r="AH685" s="1" t="str">
        <f>IF(AND(Programme_Grunddaten!$A690="Geprüft",Programme_Grunddaten!AP690&lt;&gt;""),IF(Programme_Grunddaten!AP690="Ja",1,0),"")</f>
        <v/>
      </c>
      <c r="AI685" s="1" t="str">
        <f>IF(AND(Programme_Grunddaten!$A690="Geprüft",Programme_Grunddaten!AQ690&lt;&gt;""),IF(Programme_Grunddaten!AQ690="Ja",1,0),"")</f>
        <v/>
      </c>
      <c r="AJ685" s="1" t="str">
        <f>IF(AND(Programme_Grunddaten!$A690="Geprüft",Programme_Grunddaten!AR690&lt;&gt;""),IF(Programme_Grunddaten!AR690="Ja",1,0),"")</f>
        <v/>
      </c>
      <c r="AK685" s="1" t="str">
        <f>IF(AND(Programme_Grunddaten!$A690="Geprüft",Programme_Grunddaten!AS690&lt;&gt;""),IF(Programme_Grunddaten!AS690="Ja",1,0),"")</f>
        <v/>
      </c>
      <c r="AL685" s="1" t="str">
        <f>IF(AND(Programme_Grunddaten!$A690="Geprüft",Programme_Grunddaten!AT690&lt;&gt;""),IF(Programme_Grunddaten!AT690="Ja",1,0),"")</f>
        <v/>
      </c>
      <c r="AM685" s="1" t="str">
        <f>IF(AND(Programme_Grunddaten!$A690="Geprüft",Programme_Grunddaten!AU690&lt;&gt;""),IF(Programme_Grunddaten!AU690="Ja",1,0),"")</f>
        <v/>
      </c>
      <c r="AN685" s="1" t="str">
        <f>IF(AND(Programme_Grunddaten!$A690="Geprüft",Programme_Grunddaten!AV690&lt;&gt;""),IF(Programme_Grunddaten!AV690="Ja",1,0),"")</f>
        <v/>
      </c>
    </row>
    <row r="686" spans="1:40" x14ac:dyDescent="0.3">
      <c r="A686" s="1" t="str">
        <f>IF(AND(Programme_Grunddaten!A691="Geprüft",Programme_Grunddaten!B691&lt;&gt;""),Programme_Grunddaten!B691,"")</f>
        <v/>
      </c>
      <c r="B686" s="1" t="str">
        <f>IF(AND(Programme_Grunddaten!$A691="Geprüft",Programme_Grunddaten!I691&lt;&gt;""),IF(Programme_Grunddaten!I691="Ja",1,0),"")</f>
        <v/>
      </c>
      <c r="C686" s="1" t="str">
        <f>IF(AND(Programme_Grunddaten!$A691="Geprüft",Programme_Grunddaten!J691&lt;&gt;""),IF(Programme_Grunddaten!J691="Ja",1,0),"")</f>
        <v/>
      </c>
      <c r="D686" s="1" t="str">
        <f>IF(AND(Programme_Grunddaten!$A691="Geprüft",Programme_Grunddaten!K691&lt;&gt;""),IF(Programme_Grunddaten!K691="Ja",1,0),"")</f>
        <v/>
      </c>
      <c r="E686" s="1" t="str">
        <f>IF(AND(Programme_Grunddaten!$A691="Geprüft",Programme_Grunddaten!L691&lt;&gt;""),IF(Programme_Grunddaten!L691="Abo / befristete Lizenz",1,0),"")</f>
        <v/>
      </c>
      <c r="F686" s="1" t="str">
        <f>IF(AND(Programme_Grunddaten!$A691="Geprüft",Programme_Grunddaten!M691&lt;&gt;""),IF(Programme_Grunddaten!M691="Ja",1,0),"")</f>
        <v/>
      </c>
      <c r="G686" s="1" t="str">
        <f>IF(AND(Programme_Grunddaten!$A691="Geprüft",Programme_Grunddaten!N691&lt;&gt;""),IF(Programme_Grunddaten!N691="Ja",1,0),"")</f>
        <v/>
      </c>
      <c r="H686" s="1" t="str">
        <f>IF(AND(Programme_Grunddaten!$A691="Geprüft",Programme_Grunddaten!O691&lt;&gt;""),IF(Programme_Grunddaten!O691="Deutschland",0,IF(Programme_Grunddaten!O691="EU",1,2)),"")</f>
        <v/>
      </c>
      <c r="I686" s="1" t="str">
        <f>IF(AND(Programme_Grunddaten!$A691="Geprüft",Programme_Grunddaten!P691&lt;&gt;""),IF(Programme_Grunddaten!P691="Ja",1,0),"")</f>
        <v/>
      </c>
      <c r="J686" s="1" t="str">
        <f>IF(AND(Programme_Grunddaten!$A691="Geprüft",Programme_Grunddaten!Q691&lt;&gt;""),IF(Programme_Grunddaten!Q691="geschlossenes System",1,0),"")</f>
        <v/>
      </c>
      <c r="K686" s="1" t="str">
        <f>IF(AND(Programme_Grunddaten!$A691="Geprüft",Programme_Grunddaten!R691&lt;&gt;""),IF(Programme_Grunddaten!R691="Ja",1,0),"")</f>
        <v/>
      </c>
      <c r="L686" s="1" t="str">
        <f>IF(AND(Programme_Grunddaten!$A691="Geprüft",Programme_Grunddaten!T691&lt;&gt;""),IF(Programme_Grunddaten!T691="Ja",1,0),"")</f>
        <v/>
      </c>
      <c r="M686" s="1" t="str">
        <f>IF(AND(Programme_Grunddaten!$A691="Geprüft",Programme_Grunddaten!U691&lt;&gt;""),IF(Programme_Grunddaten!U691="Ja",1,0),"")</f>
        <v/>
      </c>
      <c r="N686" s="1" t="str">
        <f>IF(AND(Programme_Grunddaten!$A691="Geprüft",Programme_Grunddaten!V691&lt;&gt;""),IF(Programme_Grunddaten!V691="Ja",1,0),"")</f>
        <v/>
      </c>
      <c r="O686" s="1" t="str">
        <f>IF(AND(Programme_Grunddaten!$A691="Geprüft",Programme_Grunddaten!W691&lt;&gt;""),IF(Programme_Grunddaten!W691="Ja",1,0),"")</f>
        <v/>
      </c>
      <c r="P686" s="1" t="str">
        <f>IF(AND(Programme_Grunddaten!$A691="Geprüft",Programme_Grunddaten!X691&lt;&gt;""),IF(Programme_Grunddaten!X691="Ja",1,0),"")</f>
        <v/>
      </c>
      <c r="Q686" s="1" t="str">
        <f>IF(AND(Programme_Grunddaten!$A691="Geprüft",Programme_Grunddaten!Y691&lt;&gt;""),IF(Programme_Grunddaten!Y691="Ja",1,0),"")</f>
        <v/>
      </c>
      <c r="R686" s="1" t="str">
        <f>IF(AND(Programme_Grunddaten!$A691="Geprüft",Programme_Grunddaten!Z691&lt;&gt;""),IF(Programme_Grunddaten!Z691="Ja",1,0),"")</f>
        <v/>
      </c>
      <c r="S686" s="1" t="str">
        <f>IF(AND(Programme_Grunddaten!$A691="Geprüft",Programme_Grunddaten!AA691&lt;&gt;""),IF(Programme_Grunddaten!AA691="monolithisch",1,0),"")</f>
        <v/>
      </c>
      <c r="T686" s="1" t="str">
        <f>IF(AND(Programme_Grunddaten!$A691="Geprüft",Programme_Grunddaten!AB691&lt;&gt;""),IF(Programme_Grunddaten!AB691="Ja",1,0),"")</f>
        <v/>
      </c>
      <c r="U686" s="1" t="str">
        <f>IF(AND(Programme_Grunddaten!$A691="Geprüft",Programme_Grunddaten!AC691&lt;&gt;""),IF(Programme_Grunddaten!AC691="Ja",1,0),"")</f>
        <v/>
      </c>
      <c r="V686" s="1" t="str">
        <f>IF(AND(Programme_Grunddaten!$A691="Geprüft",Programme_Grunddaten!AD691&lt;&gt;""),IF(Programme_Grunddaten!AD691="Ja",1,0),"")</f>
        <v/>
      </c>
      <c r="W686" s="1" t="str">
        <f>IF(AND(Programme_Grunddaten!$A691="Geprüft",Programme_Grunddaten!AE691&lt;&gt;""),IF(Programme_Grunddaten!AE691="Ja",1,0),"")</f>
        <v/>
      </c>
      <c r="X686" s="1" t="str">
        <f>IF(AND(Programme_Grunddaten!$A691="Geprüft",Programme_Grunddaten!AF691&lt;&gt;""),IF(Programme_Grunddaten!AF691="Ja",1,0),"")</f>
        <v/>
      </c>
      <c r="Y686" s="1" t="str">
        <f>IF(AND(Programme_Grunddaten!$A691="Geprüft",Programme_Grunddaten!AG691&lt;&gt;""),IF(Programme_Grunddaten!AG691="Ja",1,0),"")</f>
        <v/>
      </c>
      <c r="Z686" s="1" t="str">
        <f>IF(AND(Programme_Grunddaten!$A691="Geprüft",Programme_Grunddaten!AH691&lt;&gt;""),IF(Programme_Grunddaten!AH691="Ja",1,0),"")</f>
        <v/>
      </c>
      <c r="AA686" s="1" t="str">
        <f>IF(AND(Programme_Grunddaten!$A691="Geprüft",Programme_Grunddaten!AI691&lt;&gt;""),IF(Programme_Grunddaten!AI691="Ja",1,0),"")</f>
        <v/>
      </c>
      <c r="AB686" s="1" t="str">
        <f>IF(AND(Programme_Grunddaten!$A691="Geprüft",Programme_Grunddaten!AJ691&lt;&gt;""),IF(Programme_Grunddaten!AJ691="individuell programmierbar",1,0),"")</f>
        <v/>
      </c>
      <c r="AC686" s="1" t="str">
        <f>IF(AND(Programme_Grunddaten!$A691="Geprüft",Programme_Grunddaten!AK691&lt;&gt;""),IF(Programme_Grunddaten!AK691="Deutsch",0,IF(Programme_Grunddaten!AK691="Deutsch und Englisch",1,2)),"")</f>
        <v/>
      </c>
      <c r="AD686" s="1" t="str">
        <f>IF(AND(Programme_Grunddaten!$A691="Geprüft",Programme_Grunddaten!AL691&lt;&gt;""),IF(Programme_Grunddaten!AL691="Ja",1,0),"")</f>
        <v/>
      </c>
      <c r="AE686" s="1" t="str">
        <f>IF(AND(Programme_Grunddaten!$A691="Geprüft",Programme_Grunddaten!AM691&lt;&gt;""),IF(Programme_Grunddaten!AM691="Ja",1,0),"")</f>
        <v/>
      </c>
      <c r="AF686" s="1" t="str">
        <f>IF(AND(Programme_Grunddaten!$A691="Geprüft",Programme_Grunddaten!AN691&lt;&gt;""),IF(Programme_Grunddaten!AN691="Ja",1,0),"")</f>
        <v/>
      </c>
      <c r="AG686" s="1" t="str">
        <f>IF(AND(Programme_Grunddaten!$A691="Geprüft",Programme_Grunddaten!AO691&lt;&gt;""),IF(Programme_Grunddaten!AO691="Ja",1,0),"")</f>
        <v/>
      </c>
      <c r="AH686" s="1" t="str">
        <f>IF(AND(Programme_Grunddaten!$A691="Geprüft",Programme_Grunddaten!AP691&lt;&gt;""),IF(Programme_Grunddaten!AP691="Ja",1,0),"")</f>
        <v/>
      </c>
      <c r="AI686" s="1" t="str">
        <f>IF(AND(Programme_Grunddaten!$A691="Geprüft",Programme_Grunddaten!AQ691&lt;&gt;""),IF(Programme_Grunddaten!AQ691="Ja",1,0),"")</f>
        <v/>
      </c>
      <c r="AJ686" s="1" t="str">
        <f>IF(AND(Programme_Grunddaten!$A691="Geprüft",Programme_Grunddaten!AR691&lt;&gt;""),IF(Programme_Grunddaten!AR691="Ja",1,0),"")</f>
        <v/>
      </c>
      <c r="AK686" s="1" t="str">
        <f>IF(AND(Programme_Grunddaten!$A691="Geprüft",Programme_Grunddaten!AS691&lt;&gt;""),IF(Programme_Grunddaten!AS691="Ja",1,0),"")</f>
        <v/>
      </c>
      <c r="AL686" s="1" t="str">
        <f>IF(AND(Programme_Grunddaten!$A691="Geprüft",Programme_Grunddaten!AT691&lt;&gt;""),IF(Programme_Grunddaten!AT691="Ja",1,0),"")</f>
        <v/>
      </c>
      <c r="AM686" s="1" t="str">
        <f>IF(AND(Programme_Grunddaten!$A691="Geprüft",Programme_Grunddaten!AU691&lt;&gt;""),IF(Programme_Grunddaten!AU691="Ja",1,0),"")</f>
        <v/>
      </c>
      <c r="AN686" s="1" t="str">
        <f>IF(AND(Programme_Grunddaten!$A691="Geprüft",Programme_Grunddaten!AV691&lt;&gt;""),IF(Programme_Grunddaten!AV691="Ja",1,0),"")</f>
        <v/>
      </c>
    </row>
    <row r="687" spans="1:40" x14ac:dyDescent="0.3">
      <c r="A687" s="1" t="str">
        <f>IF(AND(Programme_Grunddaten!A692="Geprüft",Programme_Grunddaten!B692&lt;&gt;""),Programme_Grunddaten!B692,"")</f>
        <v/>
      </c>
      <c r="B687" s="1" t="str">
        <f>IF(AND(Programme_Grunddaten!$A692="Geprüft",Programme_Grunddaten!I692&lt;&gt;""),IF(Programme_Grunddaten!I692="Ja",1,0),"")</f>
        <v/>
      </c>
      <c r="C687" s="1" t="str">
        <f>IF(AND(Programme_Grunddaten!$A692="Geprüft",Programme_Grunddaten!J692&lt;&gt;""),IF(Programme_Grunddaten!J692="Ja",1,0),"")</f>
        <v/>
      </c>
      <c r="D687" s="1" t="str">
        <f>IF(AND(Programme_Grunddaten!$A692="Geprüft",Programme_Grunddaten!K692&lt;&gt;""),IF(Programme_Grunddaten!K692="Ja",1,0),"")</f>
        <v/>
      </c>
      <c r="E687" s="1" t="str">
        <f>IF(AND(Programme_Grunddaten!$A692="Geprüft",Programme_Grunddaten!L692&lt;&gt;""),IF(Programme_Grunddaten!L692="Abo / befristete Lizenz",1,0),"")</f>
        <v/>
      </c>
      <c r="F687" s="1" t="str">
        <f>IF(AND(Programme_Grunddaten!$A692="Geprüft",Programme_Grunddaten!M692&lt;&gt;""),IF(Programme_Grunddaten!M692="Ja",1,0),"")</f>
        <v/>
      </c>
      <c r="G687" s="1" t="str">
        <f>IF(AND(Programme_Grunddaten!$A692="Geprüft",Programme_Grunddaten!N692&lt;&gt;""),IF(Programme_Grunddaten!N692="Ja",1,0),"")</f>
        <v/>
      </c>
      <c r="H687" s="1" t="str">
        <f>IF(AND(Programme_Grunddaten!$A692="Geprüft",Programme_Grunddaten!O692&lt;&gt;""),IF(Programme_Grunddaten!O692="Deutschland",0,IF(Programme_Grunddaten!O692="EU",1,2)),"")</f>
        <v/>
      </c>
      <c r="I687" s="1" t="str">
        <f>IF(AND(Programme_Grunddaten!$A692="Geprüft",Programme_Grunddaten!P692&lt;&gt;""),IF(Programme_Grunddaten!P692="Ja",1,0),"")</f>
        <v/>
      </c>
      <c r="J687" s="1" t="str">
        <f>IF(AND(Programme_Grunddaten!$A692="Geprüft",Programme_Grunddaten!Q692&lt;&gt;""),IF(Programme_Grunddaten!Q692="geschlossenes System",1,0),"")</f>
        <v/>
      </c>
      <c r="K687" s="1" t="str">
        <f>IF(AND(Programme_Grunddaten!$A692="Geprüft",Programme_Grunddaten!R692&lt;&gt;""),IF(Programme_Grunddaten!R692="Ja",1,0),"")</f>
        <v/>
      </c>
      <c r="L687" s="1" t="str">
        <f>IF(AND(Programme_Grunddaten!$A692="Geprüft",Programme_Grunddaten!T692&lt;&gt;""),IF(Programme_Grunddaten!T692="Ja",1,0),"")</f>
        <v/>
      </c>
      <c r="M687" s="1" t="str">
        <f>IF(AND(Programme_Grunddaten!$A692="Geprüft",Programme_Grunddaten!U692&lt;&gt;""),IF(Programme_Grunddaten!U692="Ja",1,0),"")</f>
        <v/>
      </c>
      <c r="N687" s="1" t="str">
        <f>IF(AND(Programme_Grunddaten!$A692="Geprüft",Programme_Grunddaten!V692&lt;&gt;""),IF(Programme_Grunddaten!V692="Ja",1,0),"")</f>
        <v/>
      </c>
      <c r="O687" s="1" t="str">
        <f>IF(AND(Programme_Grunddaten!$A692="Geprüft",Programme_Grunddaten!W692&lt;&gt;""),IF(Programme_Grunddaten!W692="Ja",1,0),"")</f>
        <v/>
      </c>
      <c r="P687" s="1" t="str">
        <f>IF(AND(Programme_Grunddaten!$A692="Geprüft",Programme_Grunddaten!X692&lt;&gt;""),IF(Programme_Grunddaten!X692="Ja",1,0),"")</f>
        <v/>
      </c>
      <c r="Q687" s="1" t="str">
        <f>IF(AND(Programme_Grunddaten!$A692="Geprüft",Programme_Grunddaten!Y692&lt;&gt;""),IF(Programme_Grunddaten!Y692="Ja",1,0),"")</f>
        <v/>
      </c>
      <c r="R687" s="1" t="str">
        <f>IF(AND(Programme_Grunddaten!$A692="Geprüft",Programme_Grunddaten!Z692&lt;&gt;""),IF(Programme_Grunddaten!Z692="Ja",1,0),"")</f>
        <v/>
      </c>
      <c r="S687" s="1" t="str">
        <f>IF(AND(Programme_Grunddaten!$A692="Geprüft",Programme_Grunddaten!AA692&lt;&gt;""),IF(Programme_Grunddaten!AA692="monolithisch",1,0),"")</f>
        <v/>
      </c>
      <c r="T687" s="1" t="str">
        <f>IF(AND(Programme_Grunddaten!$A692="Geprüft",Programme_Grunddaten!AB692&lt;&gt;""),IF(Programme_Grunddaten!AB692="Ja",1,0),"")</f>
        <v/>
      </c>
      <c r="U687" s="1" t="str">
        <f>IF(AND(Programme_Grunddaten!$A692="Geprüft",Programme_Grunddaten!AC692&lt;&gt;""),IF(Programme_Grunddaten!AC692="Ja",1,0),"")</f>
        <v/>
      </c>
      <c r="V687" s="1" t="str">
        <f>IF(AND(Programme_Grunddaten!$A692="Geprüft",Programme_Grunddaten!AD692&lt;&gt;""),IF(Programme_Grunddaten!AD692="Ja",1,0),"")</f>
        <v/>
      </c>
      <c r="W687" s="1" t="str">
        <f>IF(AND(Programme_Grunddaten!$A692="Geprüft",Programme_Grunddaten!AE692&lt;&gt;""),IF(Programme_Grunddaten!AE692="Ja",1,0),"")</f>
        <v/>
      </c>
      <c r="X687" s="1" t="str">
        <f>IF(AND(Programme_Grunddaten!$A692="Geprüft",Programme_Grunddaten!AF692&lt;&gt;""),IF(Programme_Grunddaten!AF692="Ja",1,0),"")</f>
        <v/>
      </c>
      <c r="Y687" s="1" t="str">
        <f>IF(AND(Programme_Grunddaten!$A692="Geprüft",Programme_Grunddaten!AG692&lt;&gt;""),IF(Programme_Grunddaten!AG692="Ja",1,0),"")</f>
        <v/>
      </c>
      <c r="Z687" s="1" t="str">
        <f>IF(AND(Programme_Grunddaten!$A692="Geprüft",Programme_Grunddaten!AH692&lt;&gt;""),IF(Programme_Grunddaten!AH692="Ja",1,0),"")</f>
        <v/>
      </c>
      <c r="AA687" s="1" t="str">
        <f>IF(AND(Programme_Grunddaten!$A692="Geprüft",Programme_Grunddaten!AI692&lt;&gt;""),IF(Programme_Grunddaten!AI692="Ja",1,0),"")</f>
        <v/>
      </c>
      <c r="AB687" s="1" t="str">
        <f>IF(AND(Programme_Grunddaten!$A692="Geprüft",Programme_Grunddaten!AJ692&lt;&gt;""),IF(Programme_Grunddaten!AJ692="individuell programmierbar",1,0),"")</f>
        <v/>
      </c>
      <c r="AC687" s="1" t="str">
        <f>IF(AND(Programme_Grunddaten!$A692="Geprüft",Programme_Grunddaten!AK692&lt;&gt;""),IF(Programme_Grunddaten!AK692="Deutsch",0,IF(Programme_Grunddaten!AK692="Deutsch und Englisch",1,2)),"")</f>
        <v/>
      </c>
      <c r="AD687" s="1" t="str">
        <f>IF(AND(Programme_Grunddaten!$A692="Geprüft",Programme_Grunddaten!AL692&lt;&gt;""),IF(Programme_Grunddaten!AL692="Ja",1,0),"")</f>
        <v/>
      </c>
      <c r="AE687" s="1" t="str">
        <f>IF(AND(Programme_Grunddaten!$A692="Geprüft",Programme_Grunddaten!AM692&lt;&gt;""),IF(Programme_Grunddaten!AM692="Ja",1,0),"")</f>
        <v/>
      </c>
      <c r="AF687" s="1" t="str">
        <f>IF(AND(Programme_Grunddaten!$A692="Geprüft",Programme_Grunddaten!AN692&lt;&gt;""),IF(Programme_Grunddaten!AN692="Ja",1,0),"")</f>
        <v/>
      </c>
      <c r="AG687" s="1" t="str">
        <f>IF(AND(Programme_Grunddaten!$A692="Geprüft",Programme_Grunddaten!AO692&lt;&gt;""),IF(Programme_Grunddaten!AO692="Ja",1,0),"")</f>
        <v/>
      </c>
      <c r="AH687" s="1" t="str">
        <f>IF(AND(Programme_Grunddaten!$A692="Geprüft",Programme_Grunddaten!AP692&lt;&gt;""),IF(Programme_Grunddaten!AP692="Ja",1,0),"")</f>
        <v/>
      </c>
      <c r="AI687" s="1" t="str">
        <f>IF(AND(Programme_Grunddaten!$A692="Geprüft",Programme_Grunddaten!AQ692&lt;&gt;""),IF(Programme_Grunddaten!AQ692="Ja",1,0),"")</f>
        <v/>
      </c>
      <c r="AJ687" s="1" t="str">
        <f>IF(AND(Programme_Grunddaten!$A692="Geprüft",Programme_Grunddaten!AR692&lt;&gt;""),IF(Programme_Grunddaten!AR692="Ja",1,0),"")</f>
        <v/>
      </c>
      <c r="AK687" s="1" t="str">
        <f>IF(AND(Programme_Grunddaten!$A692="Geprüft",Programme_Grunddaten!AS692&lt;&gt;""),IF(Programme_Grunddaten!AS692="Ja",1,0),"")</f>
        <v/>
      </c>
      <c r="AL687" s="1" t="str">
        <f>IF(AND(Programme_Grunddaten!$A692="Geprüft",Programme_Grunddaten!AT692&lt;&gt;""),IF(Programme_Grunddaten!AT692="Ja",1,0),"")</f>
        <v/>
      </c>
      <c r="AM687" s="1" t="str">
        <f>IF(AND(Programme_Grunddaten!$A692="Geprüft",Programme_Grunddaten!AU692&lt;&gt;""),IF(Programme_Grunddaten!AU692="Ja",1,0),"")</f>
        <v/>
      </c>
      <c r="AN687" s="1" t="str">
        <f>IF(AND(Programme_Grunddaten!$A692="Geprüft",Programme_Grunddaten!AV692&lt;&gt;""),IF(Programme_Grunddaten!AV692="Ja",1,0),"")</f>
        <v/>
      </c>
    </row>
    <row r="688" spans="1:40" x14ac:dyDescent="0.3">
      <c r="A688" s="1" t="str">
        <f>IF(AND(Programme_Grunddaten!A693="Geprüft",Programme_Grunddaten!B693&lt;&gt;""),Programme_Grunddaten!B693,"")</f>
        <v/>
      </c>
      <c r="B688" s="1" t="str">
        <f>IF(AND(Programme_Grunddaten!$A693="Geprüft",Programme_Grunddaten!I693&lt;&gt;""),IF(Programme_Grunddaten!I693="Ja",1,0),"")</f>
        <v/>
      </c>
      <c r="C688" s="1" t="str">
        <f>IF(AND(Programme_Grunddaten!$A693="Geprüft",Programme_Grunddaten!J693&lt;&gt;""),IF(Programme_Grunddaten!J693="Ja",1,0),"")</f>
        <v/>
      </c>
      <c r="D688" s="1" t="str">
        <f>IF(AND(Programme_Grunddaten!$A693="Geprüft",Programme_Grunddaten!K693&lt;&gt;""),IF(Programme_Grunddaten!K693="Ja",1,0),"")</f>
        <v/>
      </c>
      <c r="E688" s="1" t="str">
        <f>IF(AND(Programme_Grunddaten!$A693="Geprüft",Programme_Grunddaten!L693&lt;&gt;""),IF(Programme_Grunddaten!L693="Abo / befristete Lizenz",1,0),"")</f>
        <v/>
      </c>
      <c r="F688" s="1" t="str">
        <f>IF(AND(Programme_Grunddaten!$A693="Geprüft",Programme_Grunddaten!M693&lt;&gt;""),IF(Programme_Grunddaten!M693="Ja",1,0),"")</f>
        <v/>
      </c>
      <c r="G688" s="1" t="str">
        <f>IF(AND(Programme_Grunddaten!$A693="Geprüft",Programme_Grunddaten!N693&lt;&gt;""),IF(Programme_Grunddaten!N693="Ja",1,0),"")</f>
        <v/>
      </c>
      <c r="H688" s="1" t="str">
        <f>IF(AND(Programme_Grunddaten!$A693="Geprüft",Programme_Grunddaten!O693&lt;&gt;""),IF(Programme_Grunddaten!O693="Deutschland",0,IF(Programme_Grunddaten!O693="EU",1,2)),"")</f>
        <v/>
      </c>
      <c r="I688" s="1" t="str">
        <f>IF(AND(Programme_Grunddaten!$A693="Geprüft",Programme_Grunddaten!P693&lt;&gt;""),IF(Programme_Grunddaten!P693="Ja",1,0),"")</f>
        <v/>
      </c>
      <c r="J688" s="1" t="str">
        <f>IF(AND(Programme_Grunddaten!$A693="Geprüft",Programme_Grunddaten!Q693&lt;&gt;""),IF(Programme_Grunddaten!Q693="geschlossenes System",1,0),"")</f>
        <v/>
      </c>
      <c r="K688" s="1" t="str">
        <f>IF(AND(Programme_Grunddaten!$A693="Geprüft",Programme_Grunddaten!R693&lt;&gt;""),IF(Programme_Grunddaten!R693="Ja",1,0),"")</f>
        <v/>
      </c>
      <c r="L688" s="1" t="str">
        <f>IF(AND(Programme_Grunddaten!$A693="Geprüft",Programme_Grunddaten!T693&lt;&gt;""),IF(Programme_Grunddaten!T693="Ja",1,0),"")</f>
        <v/>
      </c>
      <c r="M688" s="1" t="str">
        <f>IF(AND(Programme_Grunddaten!$A693="Geprüft",Programme_Grunddaten!U693&lt;&gt;""),IF(Programme_Grunddaten!U693="Ja",1,0),"")</f>
        <v/>
      </c>
      <c r="N688" s="1" t="str">
        <f>IF(AND(Programme_Grunddaten!$A693="Geprüft",Programme_Grunddaten!V693&lt;&gt;""),IF(Programme_Grunddaten!V693="Ja",1,0),"")</f>
        <v/>
      </c>
      <c r="O688" s="1" t="str">
        <f>IF(AND(Programme_Grunddaten!$A693="Geprüft",Programme_Grunddaten!W693&lt;&gt;""),IF(Programme_Grunddaten!W693="Ja",1,0),"")</f>
        <v/>
      </c>
      <c r="P688" s="1" t="str">
        <f>IF(AND(Programme_Grunddaten!$A693="Geprüft",Programme_Grunddaten!X693&lt;&gt;""),IF(Programme_Grunddaten!X693="Ja",1,0),"")</f>
        <v/>
      </c>
      <c r="Q688" s="1" t="str">
        <f>IF(AND(Programme_Grunddaten!$A693="Geprüft",Programme_Grunddaten!Y693&lt;&gt;""),IF(Programme_Grunddaten!Y693="Ja",1,0),"")</f>
        <v/>
      </c>
      <c r="R688" s="1" t="str">
        <f>IF(AND(Programme_Grunddaten!$A693="Geprüft",Programme_Grunddaten!Z693&lt;&gt;""),IF(Programme_Grunddaten!Z693="Ja",1,0),"")</f>
        <v/>
      </c>
      <c r="S688" s="1" t="str">
        <f>IF(AND(Programme_Grunddaten!$A693="Geprüft",Programme_Grunddaten!AA693&lt;&gt;""),IF(Programme_Grunddaten!AA693="monolithisch",1,0),"")</f>
        <v/>
      </c>
      <c r="T688" s="1" t="str">
        <f>IF(AND(Programme_Grunddaten!$A693="Geprüft",Programme_Grunddaten!AB693&lt;&gt;""),IF(Programme_Grunddaten!AB693="Ja",1,0),"")</f>
        <v/>
      </c>
      <c r="U688" s="1" t="str">
        <f>IF(AND(Programme_Grunddaten!$A693="Geprüft",Programme_Grunddaten!AC693&lt;&gt;""),IF(Programme_Grunddaten!AC693="Ja",1,0),"")</f>
        <v/>
      </c>
      <c r="V688" s="1" t="str">
        <f>IF(AND(Programme_Grunddaten!$A693="Geprüft",Programme_Grunddaten!AD693&lt;&gt;""),IF(Programme_Grunddaten!AD693="Ja",1,0),"")</f>
        <v/>
      </c>
      <c r="W688" s="1" t="str">
        <f>IF(AND(Programme_Grunddaten!$A693="Geprüft",Programme_Grunddaten!AE693&lt;&gt;""),IF(Programme_Grunddaten!AE693="Ja",1,0),"")</f>
        <v/>
      </c>
      <c r="X688" s="1" t="str">
        <f>IF(AND(Programme_Grunddaten!$A693="Geprüft",Programme_Grunddaten!AF693&lt;&gt;""),IF(Programme_Grunddaten!AF693="Ja",1,0),"")</f>
        <v/>
      </c>
      <c r="Y688" s="1" t="str">
        <f>IF(AND(Programme_Grunddaten!$A693="Geprüft",Programme_Grunddaten!AG693&lt;&gt;""),IF(Programme_Grunddaten!AG693="Ja",1,0),"")</f>
        <v/>
      </c>
      <c r="Z688" s="1" t="str">
        <f>IF(AND(Programme_Grunddaten!$A693="Geprüft",Programme_Grunddaten!AH693&lt;&gt;""),IF(Programme_Grunddaten!AH693="Ja",1,0),"")</f>
        <v/>
      </c>
      <c r="AA688" s="1" t="str">
        <f>IF(AND(Programme_Grunddaten!$A693="Geprüft",Programme_Grunddaten!AI693&lt;&gt;""),IF(Programme_Grunddaten!AI693="Ja",1,0),"")</f>
        <v/>
      </c>
      <c r="AB688" s="1" t="str">
        <f>IF(AND(Programme_Grunddaten!$A693="Geprüft",Programme_Grunddaten!AJ693&lt;&gt;""),IF(Programme_Grunddaten!AJ693="individuell programmierbar",1,0),"")</f>
        <v/>
      </c>
      <c r="AC688" s="1" t="str">
        <f>IF(AND(Programme_Grunddaten!$A693="Geprüft",Programme_Grunddaten!AK693&lt;&gt;""),IF(Programme_Grunddaten!AK693="Deutsch",0,IF(Programme_Grunddaten!AK693="Deutsch und Englisch",1,2)),"")</f>
        <v/>
      </c>
      <c r="AD688" s="1" t="str">
        <f>IF(AND(Programme_Grunddaten!$A693="Geprüft",Programme_Grunddaten!AL693&lt;&gt;""),IF(Programme_Grunddaten!AL693="Ja",1,0),"")</f>
        <v/>
      </c>
      <c r="AE688" s="1" t="str">
        <f>IF(AND(Programme_Grunddaten!$A693="Geprüft",Programme_Grunddaten!AM693&lt;&gt;""),IF(Programme_Grunddaten!AM693="Ja",1,0),"")</f>
        <v/>
      </c>
      <c r="AF688" s="1" t="str">
        <f>IF(AND(Programme_Grunddaten!$A693="Geprüft",Programme_Grunddaten!AN693&lt;&gt;""),IF(Programme_Grunddaten!AN693="Ja",1,0),"")</f>
        <v/>
      </c>
      <c r="AG688" s="1" t="str">
        <f>IF(AND(Programme_Grunddaten!$A693="Geprüft",Programme_Grunddaten!AO693&lt;&gt;""),IF(Programme_Grunddaten!AO693="Ja",1,0),"")</f>
        <v/>
      </c>
      <c r="AH688" s="1" t="str">
        <f>IF(AND(Programme_Grunddaten!$A693="Geprüft",Programme_Grunddaten!AP693&lt;&gt;""),IF(Programme_Grunddaten!AP693="Ja",1,0),"")</f>
        <v/>
      </c>
      <c r="AI688" s="1" t="str">
        <f>IF(AND(Programme_Grunddaten!$A693="Geprüft",Programme_Grunddaten!AQ693&lt;&gt;""),IF(Programme_Grunddaten!AQ693="Ja",1,0),"")</f>
        <v/>
      </c>
      <c r="AJ688" s="1" t="str">
        <f>IF(AND(Programme_Grunddaten!$A693="Geprüft",Programme_Grunddaten!AR693&lt;&gt;""),IF(Programme_Grunddaten!AR693="Ja",1,0),"")</f>
        <v/>
      </c>
      <c r="AK688" s="1" t="str">
        <f>IF(AND(Programme_Grunddaten!$A693="Geprüft",Programme_Grunddaten!AS693&lt;&gt;""),IF(Programme_Grunddaten!AS693="Ja",1,0),"")</f>
        <v/>
      </c>
      <c r="AL688" s="1" t="str">
        <f>IF(AND(Programme_Grunddaten!$A693="Geprüft",Programme_Grunddaten!AT693&lt;&gt;""),IF(Programme_Grunddaten!AT693="Ja",1,0),"")</f>
        <v/>
      </c>
      <c r="AM688" s="1" t="str">
        <f>IF(AND(Programme_Grunddaten!$A693="Geprüft",Programme_Grunddaten!AU693&lt;&gt;""),IF(Programme_Grunddaten!AU693="Ja",1,0),"")</f>
        <v/>
      </c>
      <c r="AN688" s="1" t="str">
        <f>IF(AND(Programme_Grunddaten!$A693="Geprüft",Programme_Grunddaten!AV693&lt;&gt;""),IF(Programme_Grunddaten!AV693="Ja",1,0),"")</f>
        <v/>
      </c>
    </row>
    <row r="689" spans="1:40" x14ac:dyDescent="0.3">
      <c r="A689" s="1" t="str">
        <f>IF(AND(Programme_Grunddaten!A694="Geprüft",Programme_Grunddaten!B694&lt;&gt;""),Programme_Grunddaten!B694,"")</f>
        <v/>
      </c>
      <c r="B689" s="1" t="str">
        <f>IF(AND(Programme_Grunddaten!$A694="Geprüft",Programme_Grunddaten!I694&lt;&gt;""),IF(Programme_Grunddaten!I694="Ja",1,0),"")</f>
        <v/>
      </c>
      <c r="C689" s="1" t="str">
        <f>IF(AND(Programme_Grunddaten!$A694="Geprüft",Programme_Grunddaten!J694&lt;&gt;""),IF(Programme_Grunddaten!J694="Ja",1,0),"")</f>
        <v/>
      </c>
      <c r="D689" s="1" t="str">
        <f>IF(AND(Programme_Grunddaten!$A694="Geprüft",Programme_Grunddaten!K694&lt;&gt;""),IF(Programme_Grunddaten!K694="Ja",1,0),"")</f>
        <v/>
      </c>
      <c r="E689" s="1" t="str">
        <f>IF(AND(Programme_Grunddaten!$A694="Geprüft",Programme_Grunddaten!L694&lt;&gt;""),IF(Programme_Grunddaten!L694="Abo / befristete Lizenz",1,0),"")</f>
        <v/>
      </c>
      <c r="F689" s="1" t="str">
        <f>IF(AND(Programme_Grunddaten!$A694="Geprüft",Programme_Grunddaten!M694&lt;&gt;""),IF(Programme_Grunddaten!M694="Ja",1,0),"")</f>
        <v/>
      </c>
      <c r="G689" s="1" t="str">
        <f>IF(AND(Programme_Grunddaten!$A694="Geprüft",Programme_Grunddaten!N694&lt;&gt;""),IF(Programme_Grunddaten!N694="Ja",1,0),"")</f>
        <v/>
      </c>
      <c r="H689" s="1" t="str">
        <f>IF(AND(Programme_Grunddaten!$A694="Geprüft",Programme_Grunddaten!O694&lt;&gt;""),IF(Programme_Grunddaten!O694="Deutschland",0,IF(Programme_Grunddaten!O694="EU",1,2)),"")</f>
        <v/>
      </c>
      <c r="I689" s="1" t="str">
        <f>IF(AND(Programme_Grunddaten!$A694="Geprüft",Programme_Grunddaten!P694&lt;&gt;""),IF(Programme_Grunddaten!P694="Ja",1,0),"")</f>
        <v/>
      </c>
      <c r="J689" s="1" t="str">
        <f>IF(AND(Programme_Grunddaten!$A694="Geprüft",Programme_Grunddaten!Q694&lt;&gt;""),IF(Programme_Grunddaten!Q694="geschlossenes System",1,0),"")</f>
        <v/>
      </c>
      <c r="K689" s="1" t="str">
        <f>IF(AND(Programme_Grunddaten!$A694="Geprüft",Programme_Grunddaten!R694&lt;&gt;""),IF(Programme_Grunddaten!R694="Ja",1,0),"")</f>
        <v/>
      </c>
      <c r="L689" s="1" t="str">
        <f>IF(AND(Programme_Grunddaten!$A694="Geprüft",Programme_Grunddaten!T694&lt;&gt;""),IF(Programme_Grunddaten!T694="Ja",1,0),"")</f>
        <v/>
      </c>
      <c r="M689" s="1" t="str">
        <f>IF(AND(Programme_Grunddaten!$A694="Geprüft",Programme_Grunddaten!U694&lt;&gt;""),IF(Programme_Grunddaten!U694="Ja",1,0),"")</f>
        <v/>
      </c>
      <c r="N689" s="1" t="str">
        <f>IF(AND(Programme_Grunddaten!$A694="Geprüft",Programme_Grunddaten!V694&lt;&gt;""),IF(Programme_Grunddaten!V694="Ja",1,0),"")</f>
        <v/>
      </c>
      <c r="O689" s="1" t="str">
        <f>IF(AND(Programme_Grunddaten!$A694="Geprüft",Programme_Grunddaten!W694&lt;&gt;""),IF(Programme_Grunddaten!W694="Ja",1,0),"")</f>
        <v/>
      </c>
      <c r="P689" s="1" t="str">
        <f>IF(AND(Programme_Grunddaten!$A694="Geprüft",Programme_Grunddaten!X694&lt;&gt;""),IF(Programme_Grunddaten!X694="Ja",1,0),"")</f>
        <v/>
      </c>
      <c r="Q689" s="1" t="str">
        <f>IF(AND(Programme_Grunddaten!$A694="Geprüft",Programme_Grunddaten!Y694&lt;&gt;""),IF(Programme_Grunddaten!Y694="Ja",1,0),"")</f>
        <v/>
      </c>
      <c r="R689" s="1" t="str">
        <f>IF(AND(Programme_Grunddaten!$A694="Geprüft",Programme_Grunddaten!Z694&lt;&gt;""),IF(Programme_Grunddaten!Z694="Ja",1,0),"")</f>
        <v/>
      </c>
      <c r="S689" s="1" t="str">
        <f>IF(AND(Programme_Grunddaten!$A694="Geprüft",Programme_Grunddaten!AA694&lt;&gt;""),IF(Programme_Grunddaten!AA694="monolithisch",1,0),"")</f>
        <v/>
      </c>
      <c r="T689" s="1" t="str">
        <f>IF(AND(Programme_Grunddaten!$A694="Geprüft",Programme_Grunddaten!AB694&lt;&gt;""),IF(Programme_Grunddaten!AB694="Ja",1,0),"")</f>
        <v/>
      </c>
      <c r="U689" s="1" t="str">
        <f>IF(AND(Programme_Grunddaten!$A694="Geprüft",Programme_Grunddaten!AC694&lt;&gt;""),IF(Programme_Grunddaten!AC694="Ja",1,0),"")</f>
        <v/>
      </c>
      <c r="V689" s="1" t="str">
        <f>IF(AND(Programme_Grunddaten!$A694="Geprüft",Programme_Grunddaten!AD694&lt;&gt;""),IF(Programme_Grunddaten!AD694="Ja",1,0),"")</f>
        <v/>
      </c>
      <c r="W689" s="1" t="str">
        <f>IF(AND(Programme_Grunddaten!$A694="Geprüft",Programme_Grunddaten!AE694&lt;&gt;""),IF(Programme_Grunddaten!AE694="Ja",1,0),"")</f>
        <v/>
      </c>
      <c r="X689" s="1" t="str">
        <f>IF(AND(Programme_Grunddaten!$A694="Geprüft",Programme_Grunddaten!AF694&lt;&gt;""),IF(Programme_Grunddaten!AF694="Ja",1,0),"")</f>
        <v/>
      </c>
      <c r="Y689" s="1" t="str">
        <f>IF(AND(Programme_Grunddaten!$A694="Geprüft",Programme_Grunddaten!AG694&lt;&gt;""),IF(Programme_Grunddaten!AG694="Ja",1,0),"")</f>
        <v/>
      </c>
      <c r="Z689" s="1" t="str">
        <f>IF(AND(Programme_Grunddaten!$A694="Geprüft",Programme_Grunddaten!AH694&lt;&gt;""),IF(Programme_Grunddaten!AH694="Ja",1,0),"")</f>
        <v/>
      </c>
      <c r="AA689" s="1" t="str">
        <f>IF(AND(Programme_Grunddaten!$A694="Geprüft",Programme_Grunddaten!AI694&lt;&gt;""),IF(Programme_Grunddaten!AI694="Ja",1,0),"")</f>
        <v/>
      </c>
      <c r="AB689" s="1" t="str">
        <f>IF(AND(Programme_Grunddaten!$A694="Geprüft",Programme_Grunddaten!AJ694&lt;&gt;""),IF(Programme_Grunddaten!AJ694="individuell programmierbar",1,0),"")</f>
        <v/>
      </c>
      <c r="AC689" s="1" t="str">
        <f>IF(AND(Programme_Grunddaten!$A694="Geprüft",Programme_Grunddaten!AK694&lt;&gt;""),IF(Programme_Grunddaten!AK694="Deutsch",0,IF(Programme_Grunddaten!AK694="Deutsch und Englisch",1,2)),"")</f>
        <v/>
      </c>
      <c r="AD689" s="1" t="str">
        <f>IF(AND(Programme_Grunddaten!$A694="Geprüft",Programme_Grunddaten!AL694&lt;&gt;""),IF(Programme_Grunddaten!AL694="Ja",1,0),"")</f>
        <v/>
      </c>
      <c r="AE689" s="1" t="str">
        <f>IF(AND(Programme_Grunddaten!$A694="Geprüft",Programme_Grunddaten!AM694&lt;&gt;""),IF(Programme_Grunddaten!AM694="Ja",1,0),"")</f>
        <v/>
      </c>
      <c r="AF689" s="1" t="str">
        <f>IF(AND(Programme_Grunddaten!$A694="Geprüft",Programme_Grunddaten!AN694&lt;&gt;""),IF(Programme_Grunddaten!AN694="Ja",1,0),"")</f>
        <v/>
      </c>
      <c r="AG689" s="1" t="str">
        <f>IF(AND(Programme_Grunddaten!$A694="Geprüft",Programme_Grunddaten!AO694&lt;&gt;""),IF(Programme_Grunddaten!AO694="Ja",1,0),"")</f>
        <v/>
      </c>
      <c r="AH689" s="1" t="str">
        <f>IF(AND(Programme_Grunddaten!$A694="Geprüft",Programme_Grunddaten!AP694&lt;&gt;""),IF(Programme_Grunddaten!AP694="Ja",1,0),"")</f>
        <v/>
      </c>
      <c r="AI689" s="1" t="str">
        <f>IF(AND(Programme_Grunddaten!$A694="Geprüft",Programme_Grunddaten!AQ694&lt;&gt;""),IF(Programme_Grunddaten!AQ694="Ja",1,0),"")</f>
        <v/>
      </c>
      <c r="AJ689" s="1" t="str">
        <f>IF(AND(Programme_Grunddaten!$A694="Geprüft",Programme_Grunddaten!AR694&lt;&gt;""),IF(Programme_Grunddaten!AR694="Ja",1,0),"")</f>
        <v/>
      </c>
      <c r="AK689" s="1" t="str">
        <f>IF(AND(Programme_Grunddaten!$A694="Geprüft",Programme_Grunddaten!AS694&lt;&gt;""),IF(Programme_Grunddaten!AS694="Ja",1,0),"")</f>
        <v/>
      </c>
      <c r="AL689" s="1" t="str">
        <f>IF(AND(Programme_Grunddaten!$A694="Geprüft",Programme_Grunddaten!AT694&lt;&gt;""),IF(Programme_Grunddaten!AT694="Ja",1,0),"")</f>
        <v/>
      </c>
      <c r="AM689" s="1" t="str">
        <f>IF(AND(Programme_Grunddaten!$A694="Geprüft",Programme_Grunddaten!AU694&lt;&gt;""),IF(Programme_Grunddaten!AU694="Ja",1,0),"")</f>
        <v/>
      </c>
      <c r="AN689" s="1" t="str">
        <f>IF(AND(Programme_Grunddaten!$A694="Geprüft",Programme_Grunddaten!AV694&lt;&gt;""),IF(Programme_Grunddaten!AV694="Ja",1,0),"")</f>
        <v/>
      </c>
    </row>
    <row r="690" spans="1:40" x14ac:dyDescent="0.3">
      <c r="A690" s="1" t="str">
        <f>IF(AND(Programme_Grunddaten!A695="Geprüft",Programme_Grunddaten!B695&lt;&gt;""),Programme_Grunddaten!B695,"")</f>
        <v/>
      </c>
      <c r="B690" s="1" t="str">
        <f>IF(AND(Programme_Grunddaten!$A695="Geprüft",Programme_Grunddaten!I695&lt;&gt;""),IF(Programme_Grunddaten!I695="Ja",1,0),"")</f>
        <v/>
      </c>
      <c r="C690" s="1" t="str">
        <f>IF(AND(Programme_Grunddaten!$A695="Geprüft",Programme_Grunddaten!J695&lt;&gt;""),IF(Programme_Grunddaten!J695="Ja",1,0),"")</f>
        <v/>
      </c>
      <c r="D690" s="1" t="str">
        <f>IF(AND(Programme_Grunddaten!$A695="Geprüft",Programme_Grunddaten!K695&lt;&gt;""),IF(Programme_Grunddaten!K695="Ja",1,0),"")</f>
        <v/>
      </c>
      <c r="E690" s="1" t="str">
        <f>IF(AND(Programme_Grunddaten!$A695="Geprüft",Programme_Grunddaten!L695&lt;&gt;""),IF(Programme_Grunddaten!L695="Abo / befristete Lizenz",1,0),"")</f>
        <v/>
      </c>
      <c r="F690" s="1" t="str">
        <f>IF(AND(Programme_Grunddaten!$A695="Geprüft",Programme_Grunddaten!M695&lt;&gt;""),IF(Programme_Grunddaten!M695="Ja",1,0),"")</f>
        <v/>
      </c>
      <c r="G690" s="1" t="str">
        <f>IF(AND(Programme_Grunddaten!$A695="Geprüft",Programme_Grunddaten!N695&lt;&gt;""),IF(Programme_Grunddaten!N695="Ja",1,0),"")</f>
        <v/>
      </c>
      <c r="H690" s="1" t="str">
        <f>IF(AND(Programme_Grunddaten!$A695="Geprüft",Programme_Grunddaten!O695&lt;&gt;""),IF(Programme_Grunddaten!O695="Deutschland",0,IF(Programme_Grunddaten!O695="EU",1,2)),"")</f>
        <v/>
      </c>
      <c r="I690" s="1" t="str">
        <f>IF(AND(Programme_Grunddaten!$A695="Geprüft",Programme_Grunddaten!P695&lt;&gt;""),IF(Programme_Grunddaten!P695="Ja",1,0),"")</f>
        <v/>
      </c>
      <c r="J690" s="1" t="str">
        <f>IF(AND(Programme_Grunddaten!$A695="Geprüft",Programme_Grunddaten!Q695&lt;&gt;""),IF(Programme_Grunddaten!Q695="geschlossenes System",1,0),"")</f>
        <v/>
      </c>
      <c r="K690" s="1" t="str">
        <f>IF(AND(Programme_Grunddaten!$A695="Geprüft",Programme_Grunddaten!R695&lt;&gt;""),IF(Programme_Grunddaten!R695="Ja",1,0),"")</f>
        <v/>
      </c>
      <c r="L690" s="1" t="str">
        <f>IF(AND(Programme_Grunddaten!$A695="Geprüft",Programme_Grunddaten!T695&lt;&gt;""),IF(Programme_Grunddaten!T695="Ja",1,0),"")</f>
        <v/>
      </c>
      <c r="M690" s="1" t="str">
        <f>IF(AND(Programme_Grunddaten!$A695="Geprüft",Programme_Grunddaten!U695&lt;&gt;""),IF(Programme_Grunddaten!U695="Ja",1,0),"")</f>
        <v/>
      </c>
      <c r="N690" s="1" t="str">
        <f>IF(AND(Programme_Grunddaten!$A695="Geprüft",Programme_Grunddaten!V695&lt;&gt;""),IF(Programme_Grunddaten!V695="Ja",1,0),"")</f>
        <v/>
      </c>
      <c r="O690" s="1" t="str">
        <f>IF(AND(Programme_Grunddaten!$A695="Geprüft",Programme_Grunddaten!W695&lt;&gt;""),IF(Programme_Grunddaten!W695="Ja",1,0),"")</f>
        <v/>
      </c>
      <c r="P690" s="1" t="str">
        <f>IF(AND(Programme_Grunddaten!$A695="Geprüft",Programme_Grunddaten!X695&lt;&gt;""),IF(Programme_Grunddaten!X695="Ja",1,0),"")</f>
        <v/>
      </c>
      <c r="Q690" s="1" t="str">
        <f>IF(AND(Programme_Grunddaten!$A695="Geprüft",Programme_Grunddaten!Y695&lt;&gt;""),IF(Programme_Grunddaten!Y695="Ja",1,0),"")</f>
        <v/>
      </c>
      <c r="R690" s="1" t="str">
        <f>IF(AND(Programme_Grunddaten!$A695="Geprüft",Programme_Grunddaten!Z695&lt;&gt;""),IF(Programme_Grunddaten!Z695="Ja",1,0),"")</f>
        <v/>
      </c>
      <c r="S690" s="1" t="str">
        <f>IF(AND(Programme_Grunddaten!$A695="Geprüft",Programme_Grunddaten!AA695&lt;&gt;""),IF(Programme_Grunddaten!AA695="monolithisch",1,0),"")</f>
        <v/>
      </c>
      <c r="T690" s="1" t="str">
        <f>IF(AND(Programme_Grunddaten!$A695="Geprüft",Programme_Grunddaten!AB695&lt;&gt;""),IF(Programme_Grunddaten!AB695="Ja",1,0),"")</f>
        <v/>
      </c>
      <c r="U690" s="1" t="str">
        <f>IF(AND(Programme_Grunddaten!$A695="Geprüft",Programme_Grunddaten!AC695&lt;&gt;""),IF(Programme_Grunddaten!AC695="Ja",1,0),"")</f>
        <v/>
      </c>
      <c r="V690" s="1" t="str">
        <f>IF(AND(Programme_Grunddaten!$A695="Geprüft",Programme_Grunddaten!AD695&lt;&gt;""),IF(Programme_Grunddaten!AD695="Ja",1,0),"")</f>
        <v/>
      </c>
      <c r="W690" s="1" t="str">
        <f>IF(AND(Programme_Grunddaten!$A695="Geprüft",Programme_Grunddaten!AE695&lt;&gt;""),IF(Programme_Grunddaten!AE695="Ja",1,0),"")</f>
        <v/>
      </c>
      <c r="X690" s="1" t="str">
        <f>IF(AND(Programme_Grunddaten!$A695="Geprüft",Programme_Grunddaten!AF695&lt;&gt;""),IF(Programme_Grunddaten!AF695="Ja",1,0),"")</f>
        <v/>
      </c>
      <c r="Y690" s="1" t="str">
        <f>IF(AND(Programme_Grunddaten!$A695="Geprüft",Programme_Grunddaten!AG695&lt;&gt;""),IF(Programme_Grunddaten!AG695="Ja",1,0),"")</f>
        <v/>
      </c>
      <c r="Z690" s="1" t="str">
        <f>IF(AND(Programme_Grunddaten!$A695="Geprüft",Programme_Grunddaten!AH695&lt;&gt;""),IF(Programme_Grunddaten!AH695="Ja",1,0),"")</f>
        <v/>
      </c>
      <c r="AA690" s="1" t="str">
        <f>IF(AND(Programme_Grunddaten!$A695="Geprüft",Programme_Grunddaten!AI695&lt;&gt;""),IF(Programme_Grunddaten!AI695="Ja",1,0),"")</f>
        <v/>
      </c>
      <c r="AB690" s="1" t="str">
        <f>IF(AND(Programme_Grunddaten!$A695="Geprüft",Programme_Grunddaten!AJ695&lt;&gt;""),IF(Programme_Grunddaten!AJ695="individuell programmierbar",1,0),"")</f>
        <v/>
      </c>
      <c r="AC690" s="1" t="str">
        <f>IF(AND(Programme_Grunddaten!$A695="Geprüft",Programme_Grunddaten!AK695&lt;&gt;""),IF(Programme_Grunddaten!AK695="Deutsch",0,IF(Programme_Grunddaten!AK695="Deutsch und Englisch",1,2)),"")</f>
        <v/>
      </c>
      <c r="AD690" s="1" t="str">
        <f>IF(AND(Programme_Grunddaten!$A695="Geprüft",Programme_Grunddaten!AL695&lt;&gt;""),IF(Programme_Grunddaten!AL695="Ja",1,0),"")</f>
        <v/>
      </c>
      <c r="AE690" s="1" t="str">
        <f>IF(AND(Programme_Grunddaten!$A695="Geprüft",Programme_Grunddaten!AM695&lt;&gt;""),IF(Programme_Grunddaten!AM695="Ja",1,0),"")</f>
        <v/>
      </c>
      <c r="AF690" s="1" t="str">
        <f>IF(AND(Programme_Grunddaten!$A695="Geprüft",Programme_Grunddaten!AN695&lt;&gt;""),IF(Programme_Grunddaten!AN695="Ja",1,0),"")</f>
        <v/>
      </c>
      <c r="AG690" s="1" t="str">
        <f>IF(AND(Programme_Grunddaten!$A695="Geprüft",Programme_Grunddaten!AO695&lt;&gt;""),IF(Programme_Grunddaten!AO695="Ja",1,0),"")</f>
        <v/>
      </c>
      <c r="AH690" s="1" t="str">
        <f>IF(AND(Programme_Grunddaten!$A695="Geprüft",Programme_Grunddaten!AP695&lt;&gt;""),IF(Programme_Grunddaten!AP695="Ja",1,0),"")</f>
        <v/>
      </c>
      <c r="AI690" s="1" t="str">
        <f>IF(AND(Programme_Grunddaten!$A695="Geprüft",Programme_Grunddaten!AQ695&lt;&gt;""),IF(Programme_Grunddaten!AQ695="Ja",1,0),"")</f>
        <v/>
      </c>
      <c r="AJ690" s="1" t="str">
        <f>IF(AND(Programme_Grunddaten!$A695="Geprüft",Programme_Grunddaten!AR695&lt;&gt;""),IF(Programme_Grunddaten!AR695="Ja",1,0),"")</f>
        <v/>
      </c>
      <c r="AK690" s="1" t="str">
        <f>IF(AND(Programme_Grunddaten!$A695="Geprüft",Programme_Grunddaten!AS695&lt;&gt;""),IF(Programme_Grunddaten!AS695="Ja",1,0),"")</f>
        <v/>
      </c>
      <c r="AL690" s="1" t="str">
        <f>IF(AND(Programme_Grunddaten!$A695="Geprüft",Programme_Grunddaten!AT695&lt;&gt;""),IF(Programme_Grunddaten!AT695="Ja",1,0),"")</f>
        <v/>
      </c>
      <c r="AM690" s="1" t="str">
        <f>IF(AND(Programme_Grunddaten!$A695="Geprüft",Programme_Grunddaten!AU695&lt;&gt;""),IF(Programme_Grunddaten!AU695="Ja",1,0),"")</f>
        <v/>
      </c>
      <c r="AN690" s="1" t="str">
        <f>IF(AND(Programme_Grunddaten!$A695="Geprüft",Programme_Grunddaten!AV695&lt;&gt;""),IF(Programme_Grunddaten!AV695="Ja",1,0),"")</f>
        <v/>
      </c>
    </row>
    <row r="691" spans="1:40" x14ac:dyDescent="0.3">
      <c r="A691" s="1" t="str">
        <f>IF(AND(Programme_Grunddaten!A696="Geprüft",Programme_Grunddaten!B696&lt;&gt;""),Programme_Grunddaten!B696,"")</f>
        <v/>
      </c>
      <c r="B691" s="1" t="str">
        <f>IF(AND(Programme_Grunddaten!$A696="Geprüft",Programme_Grunddaten!I696&lt;&gt;""),IF(Programme_Grunddaten!I696="Ja",1,0),"")</f>
        <v/>
      </c>
      <c r="C691" s="1" t="str">
        <f>IF(AND(Programme_Grunddaten!$A696="Geprüft",Programme_Grunddaten!J696&lt;&gt;""),IF(Programme_Grunddaten!J696="Ja",1,0),"")</f>
        <v/>
      </c>
      <c r="D691" s="1" t="str">
        <f>IF(AND(Programme_Grunddaten!$A696="Geprüft",Programme_Grunddaten!K696&lt;&gt;""),IF(Programme_Grunddaten!K696="Ja",1,0),"")</f>
        <v/>
      </c>
      <c r="E691" s="1" t="str">
        <f>IF(AND(Programme_Grunddaten!$A696="Geprüft",Programme_Grunddaten!L696&lt;&gt;""),IF(Programme_Grunddaten!L696="Abo / befristete Lizenz",1,0),"")</f>
        <v/>
      </c>
      <c r="F691" s="1" t="str">
        <f>IF(AND(Programme_Grunddaten!$A696="Geprüft",Programme_Grunddaten!M696&lt;&gt;""),IF(Programme_Grunddaten!M696="Ja",1,0),"")</f>
        <v/>
      </c>
      <c r="G691" s="1" t="str">
        <f>IF(AND(Programme_Grunddaten!$A696="Geprüft",Programme_Grunddaten!N696&lt;&gt;""),IF(Programme_Grunddaten!N696="Ja",1,0),"")</f>
        <v/>
      </c>
      <c r="H691" s="1" t="str">
        <f>IF(AND(Programme_Grunddaten!$A696="Geprüft",Programme_Grunddaten!O696&lt;&gt;""),IF(Programme_Grunddaten!O696="Deutschland",0,IF(Programme_Grunddaten!O696="EU",1,2)),"")</f>
        <v/>
      </c>
      <c r="I691" s="1" t="str">
        <f>IF(AND(Programme_Grunddaten!$A696="Geprüft",Programme_Grunddaten!P696&lt;&gt;""),IF(Programme_Grunddaten!P696="Ja",1,0),"")</f>
        <v/>
      </c>
      <c r="J691" s="1" t="str">
        <f>IF(AND(Programme_Grunddaten!$A696="Geprüft",Programme_Grunddaten!Q696&lt;&gt;""),IF(Programme_Grunddaten!Q696="geschlossenes System",1,0),"")</f>
        <v/>
      </c>
      <c r="K691" s="1" t="str">
        <f>IF(AND(Programme_Grunddaten!$A696="Geprüft",Programme_Grunddaten!R696&lt;&gt;""),IF(Programme_Grunddaten!R696="Ja",1,0),"")</f>
        <v/>
      </c>
      <c r="L691" s="1" t="str">
        <f>IF(AND(Programme_Grunddaten!$A696="Geprüft",Programme_Grunddaten!T696&lt;&gt;""),IF(Programme_Grunddaten!T696="Ja",1,0),"")</f>
        <v/>
      </c>
      <c r="M691" s="1" t="str">
        <f>IF(AND(Programme_Grunddaten!$A696="Geprüft",Programme_Grunddaten!U696&lt;&gt;""),IF(Programme_Grunddaten!U696="Ja",1,0),"")</f>
        <v/>
      </c>
      <c r="N691" s="1" t="str">
        <f>IF(AND(Programme_Grunddaten!$A696="Geprüft",Programme_Grunddaten!V696&lt;&gt;""),IF(Programme_Grunddaten!V696="Ja",1,0),"")</f>
        <v/>
      </c>
      <c r="O691" s="1" t="str">
        <f>IF(AND(Programme_Grunddaten!$A696="Geprüft",Programme_Grunddaten!W696&lt;&gt;""),IF(Programme_Grunddaten!W696="Ja",1,0),"")</f>
        <v/>
      </c>
      <c r="P691" s="1" t="str">
        <f>IF(AND(Programme_Grunddaten!$A696="Geprüft",Programme_Grunddaten!X696&lt;&gt;""),IF(Programme_Grunddaten!X696="Ja",1,0),"")</f>
        <v/>
      </c>
      <c r="Q691" s="1" t="str">
        <f>IF(AND(Programme_Grunddaten!$A696="Geprüft",Programme_Grunddaten!Y696&lt;&gt;""),IF(Programme_Grunddaten!Y696="Ja",1,0),"")</f>
        <v/>
      </c>
      <c r="R691" s="1" t="str">
        <f>IF(AND(Programme_Grunddaten!$A696="Geprüft",Programme_Grunddaten!Z696&lt;&gt;""),IF(Programme_Grunddaten!Z696="Ja",1,0),"")</f>
        <v/>
      </c>
      <c r="S691" s="1" t="str">
        <f>IF(AND(Programme_Grunddaten!$A696="Geprüft",Programme_Grunddaten!AA696&lt;&gt;""),IF(Programme_Grunddaten!AA696="monolithisch",1,0),"")</f>
        <v/>
      </c>
      <c r="T691" s="1" t="str">
        <f>IF(AND(Programme_Grunddaten!$A696="Geprüft",Programme_Grunddaten!AB696&lt;&gt;""),IF(Programme_Grunddaten!AB696="Ja",1,0),"")</f>
        <v/>
      </c>
      <c r="U691" s="1" t="str">
        <f>IF(AND(Programme_Grunddaten!$A696="Geprüft",Programme_Grunddaten!AC696&lt;&gt;""),IF(Programme_Grunddaten!AC696="Ja",1,0),"")</f>
        <v/>
      </c>
      <c r="V691" s="1" t="str">
        <f>IF(AND(Programme_Grunddaten!$A696="Geprüft",Programme_Grunddaten!AD696&lt;&gt;""),IF(Programme_Grunddaten!AD696="Ja",1,0),"")</f>
        <v/>
      </c>
      <c r="W691" s="1" t="str">
        <f>IF(AND(Programme_Grunddaten!$A696="Geprüft",Programme_Grunddaten!AE696&lt;&gt;""),IF(Programme_Grunddaten!AE696="Ja",1,0),"")</f>
        <v/>
      </c>
      <c r="X691" s="1" t="str">
        <f>IF(AND(Programme_Grunddaten!$A696="Geprüft",Programme_Grunddaten!AF696&lt;&gt;""),IF(Programme_Grunddaten!AF696="Ja",1,0),"")</f>
        <v/>
      </c>
      <c r="Y691" s="1" t="str">
        <f>IF(AND(Programme_Grunddaten!$A696="Geprüft",Programme_Grunddaten!AG696&lt;&gt;""),IF(Programme_Grunddaten!AG696="Ja",1,0),"")</f>
        <v/>
      </c>
      <c r="Z691" s="1" t="str">
        <f>IF(AND(Programme_Grunddaten!$A696="Geprüft",Programme_Grunddaten!AH696&lt;&gt;""),IF(Programme_Grunddaten!AH696="Ja",1,0),"")</f>
        <v/>
      </c>
      <c r="AA691" s="1" t="str">
        <f>IF(AND(Programme_Grunddaten!$A696="Geprüft",Programme_Grunddaten!AI696&lt;&gt;""),IF(Programme_Grunddaten!AI696="Ja",1,0),"")</f>
        <v/>
      </c>
      <c r="AB691" s="1" t="str">
        <f>IF(AND(Programme_Grunddaten!$A696="Geprüft",Programme_Grunddaten!AJ696&lt;&gt;""),IF(Programme_Grunddaten!AJ696="individuell programmierbar",1,0),"")</f>
        <v/>
      </c>
      <c r="AC691" s="1" t="str">
        <f>IF(AND(Programme_Grunddaten!$A696="Geprüft",Programme_Grunddaten!AK696&lt;&gt;""),IF(Programme_Grunddaten!AK696="Deutsch",0,IF(Programme_Grunddaten!AK696="Deutsch und Englisch",1,2)),"")</f>
        <v/>
      </c>
      <c r="AD691" s="1" t="str">
        <f>IF(AND(Programme_Grunddaten!$A696="Geprüft",Programme_Grunddaten!AL696&lt;&gt;""),IF(Programme_Grunddaten!AL696="Ja",1,0),"")</f>
        <v/>
      </c>
      <c r="AE691" s="1" t="str">
        <f>IF(AND(Programme_Grunddaten!$A696="Geprüft",Programme_Grunddaten!AM696&lt;&gt;""),IF(Programme_Grunddaten!AM696="Ja",1,0),"")</f>
        <v/>
      </c>
      <c r="AF691" s="1" t="str">
        <f>IF(AND(Programme_Grunddaten!$A696="Geprüft",Programme_Grunddaten!AN696&lt;&gt;""),IF(Programme_Grunddaten!AN696="Ja",1,0),"")</f>
        <v/>
      </c>
      <c r="AG691" s="1" t="str">
        <f>IF(AND(Programme_Grunddaten!$A696="Geprüft",Programme_Grunddaten!AO696&lt;&gt;""),IF(Programme_Grunddaten!AO696="Ja",1,0),"")</f>
        <v/>
      </c>
      <c r="AH691" s="1" t="str">
        <f>IF(AND(Programme_Grunddaten!$A696="Geprüft",Programme_Grunddaten!AP696&lt;&gt;""),IF(Programme_Grunddaten!AP696="Ja",1,0),"")</f>
        <v/>
      </c>
      <c r="AI691" s="1" t="str">
        <f>IF(AND(Programme_Grunddaten!$A696="Geprüft",Programme_Grunddaten!AQ696&lt;&gt;""),IF(Programme_Grunddaten!AQ696="Ja",1,0),"")</f>
        <v/>
      </c>
      <c r="AJ691" s="1" t="str">
        <f>IF(AND(Programme_Grunddaten!$A696="Geprüft",Programme_Grunddaten!AR696&lt;&gt;""),IF(Programme_Grunddaten!AR696="Ja",1,0),"")</f>
        <v/>
      </c>
      <c r="AK691" s="1" t="str">
        <f>IF(AND(Programme_Grunddaten!$A696="Geprüft",Programme_Grunddaten!AS696&lt;&gt;""),IF(Programme_Grunddaten!AS696="Ja",1,0),"")</f>
        <v/>
      </c>
      <c r="AL691" s="1" t="str">
        <f>IF(AND(Programme_Grunddaten!$A696="Geprüft",Programme_Grunddaten!AT696&lt;&gt;""),IF(Programme_Grunddaten!AT696="Ja",1,0),"")</f>
        <v/>
      </c>
      <c r="AM691" s="1" t="str">
        <f>IF(AND(Programme_Grunddaten!$A696="Geprüft",Programme_Grunddaten!AU696&lt;&gt;""),IF(Programme_Grunddaten!AU696="Ja",1,0),"")</f>
        <v/>
      </c>
      <c r="AN691" s="1" t="str">
        <f>IF(AND(Programme_Grunddaten!$A696="Geprüft",Programme_Grunddaten!AV696&lt;&gt;""),IF(Programme_Grunddaten!AV696="Ja",1,0),"")</f>
        <v/>
      </c>
    </row>
    <row r="692" spans="1:40" x14ac:dyDescent="0.3">
      <c r="A692" s="1" t="str">
        <f>IF(AND(Programme_Grunddaten!A697="Geprüft",Programme_Grunddaten!B697&lt;&gt;""),Programme_Grunddaten!B697,"")</f>
        <v/>
      </c>
      <c r="B692" s="1" t="str">
        <f>IF(AND(Programme_Grunddaten!$A697="Geprüft",Programme_Grunddaten!I697&lt;&gt;""),IF(Programme_Grunddaten!I697="Ja",1,0),"")</f>
        <v/>
      </c>
      <c r="C692" s="1" t="str">
        <f>IF(AND(Programme_Grunddaten!$A697="Geprüft",Programme_Grunddaten!J697&lt;&gt;""),IF(Programme_Grunddaten!J697="Ja",1,0),"")</f>
        <v/>
      </c>
      <c r="D692" s="1" t="str">
        <f>IF(AND(Programme_Grunddaten!$A697="Geprüft",Programme_Grunddaten!K697&lt;&gt;""),IF(Programme_Grunddaten!K697="Ja",1,0),"")</f>
        <v/>
      </c>
      <c r="E692" s="1" t="str">
        <f>IF(AND(Programme_Grunddaten!$A697="Geprüft",Programme_Grunddaten!L697&lt;&gt;""),IF(Programme_Grunddaten!L697="Abo / befristete Lizenz",1,0),"")</f>
        <v/>
      </c>
      <c r="F692" s="1" t="str">
        <f>IF(AND(Programme_Grunddaten!$A697="Geprüft",Programme_Grunddaten!M697&lt;&gt;""),IF(Programme_Grunddaten!M697="Ja",1,0),"")</f>
        <v/>
      </c>
      <c r="G692" s="1" t="str">
        <f>IF(AND(Programme_Grunddaten!$A697="Geprüft",Programme_Grunddaten!N697&lt;&gt;""),IF(Programme_Grunddaten!N697="Ja",1,0),"")</f>
        <v/>
      </c>
      <c r="H692" s="1" t="str">
        <f>IF(AND(Programme_Grunddaten!$A697="Geprüft",Programme_Grunddaten!O697&lt;&gt;""),IF(Programme_Grunddaten!O697="Deutschland",0,IF(Programme_Grunddaten!O697="EU",1,2)),"")</f>
        <v/>
      </c>
      <c r="I692" s="1" t="str">
        <f>IF(AND(Programme_Grunddaten!$A697="Geprüft",Programme_Grunddaten!P697&lt;&gt;""),IF(Programme_Grunddaten!P697="Ja",1,0),"")</f>
        <v/>
      </c>
      <c r="J692" s="1" t="str">
        <f>IF(AND(Programme_Grunddaten!$A697="Geprüft",Programme_Grunddaten!Q697&lt;&gt;""),IF(Programme_Grunddaten!Q697="geschlossenes System",1,0),"")</f>
        <v/>
      </c>
      <c r="K692" s="1" t="str">
        <f>IF(AND(Programme_Grunddaten!$A697="Geprüft",Programme_Grunddaten!R697&lt;&gt;""),IF(Programme_Grunddaten!R697="Ja",1,0),"")</f>
        <v/>
      </c>
      <c r="L692" s="1" t="str">
        <f>IF(AND(Programme_Grunddaten!$A697="Geprüft",Programme_Grunddaten!T697&lt;&gt;""),IF(Programme_Grunddaten!T697="Ja",1,0),"")</f>
        <v/>
      </c>
      <c r="M692" s="1" t="str">
        <f>IF(AND(Programme_Grunddaten!$A697="Geprüft",Programme_Grunddaten!U697&lt;&gt;""),IF(Programme_Grunddaten!U697="Ja",1,0),"")</f>
        <v/>
      </c>
      <c r="N692" s="1" t="str">
        <f>IF(AND(Programme_Grunddaten!$A697="Geprüft",Programme_Grunddaten!V697&lt;&gt;""),IF(Programme_Grunddaten!V697="Ja",1,0),"")</f>
        <v/>
      </c>
      <c r="O692" s="1" t="str">
        <f>IF(AND(Programme_Grunddaten!$A697="Geprüft",Programme_Grunddaten!W697&lt;&gt;""),IF(Programme_Grunddaten!W697="Ja",1,0),"")</f>
        <v/>
      </c>
      <c r="P692" s="1" t="str">
        <f>IF(AND(Programme_Grunddaten!$A697="Geprüft",Programme_Grunddaten!X697&lt;&gt;""),IF(Programme_Grunddaten!X697="Ja",1,0),"")</f>
        <v/>
      </c>
      <c r="Q692" s="1" t="str">
        <f>IF(AND(Programme_Grunddaten!$A697="Geprüft",Programme_Grunddaten!Y697&lt;&gt;""),IF(Programme_Grunddaten!Y697="Ja",1,0),"")</f>
        <v/>
      </c>
      <c r="R692" s="1" t="str">
        <f>IF(AND(Programme_Grunddaten!$A697="Geprüft",Programme_Grunddaten!Z697&lt;&gt;""),IF(Programme_Grunddaten!Z697="Ja",1,0),"")</f>
        <v/>
      </c>
      <c r="S692" s="1" t="str">
        <f>IF(AND(Programme_Grunddaten!$A697="Geprüft",Programme_Grunddaten!AA697&lt;&gt;""),IF(Programme_Grunddaten!AA697="monolithisch",1,0),"")</f>
        <v/>
      </c>
      <c r="T692" s="1" t="str">
        <f>IF(AND(Programme_Grunddaten!$A697="Geprüft",Programme_Grunddaten!AB697&lt;&gt;""),IF(Programme_Grunddaten!AB697="Ja",1,0),"")</f>
        <v/>
      </c>
      <c r="U692" s="1" t="str">
        <f>IF(AND(Programme_Grunddaten!$A697="Geprüft",Programme_Grunddaten!AC697&lt;&gt;""),IF(Programme_Grunddaten!AC697="Ja",1,0),"")</f>
        <v/>
      </c>
      <c r="V692" s="1" t="str">
        <f>IF(AND(Programme_Grunddaten!$A697="Geprüft",Programme_Grunddaten!AD697&lt;&gt;""),IF(Programme_Grunddaten!AD697="Ja",1,0),"")</f>
        <v/>
      </c>
      <c r="W692" s="1" t="str">
        <f>IF(AND(Programme_Grunddaten!$A697="Geprüft",Programme_Grunddaten!AE697&lt;&gt;""),IF(Programme_Grunddaten!AE697="Ja",1,0),"")</f>
        <v/>
      </c>
      <c r="X692" s="1" t="str">
        <f>IF(AND(Programme_Grunddaten!$A697="Geprüft",Programme_Grunddaten!AF697&lt;&gt;""),IF(Programme_Grunddaten!AF697="Ja",1,0),"")</f>
        <v/>
      </c>
      <c r="Y692" s="1" t="str">
        <f>IF(AND(Programme_Grunddaten!$A697="Geprüft",Programme_Grunddaten!AG697&lt;&gt;""),IF(Programme_Grunddaten!AG697="Ja",1,0),"")</f>
        <v/>
      </c>
      <c r="Z692" s="1" t="str">
        <f>IF(AND(Programme_Grunddaten!$A697="Geprüft",Programme_Grunddaten!AH697&lt;&gt;""),IF(Programme_Grunddaten!AH697="Ja",1,0),"")</f>
        <v/>
      </c>
      <c r="AA692" s="1" t="str">
        <f>IF(AND(Programme_Grunddaten!$A697="Geprüft",Programme_Grunddaten!AI697&lt;&gt;""),IF(Programme_Grunddaten!AI697="Ja",1,0),"")</f>
        <v/>
      </c>
      <c r="AB692" s="1" t="str">
        <f>IF(AND(Programme_Grunddaten!$A697="Geprüft",Programme_Grunddaten!AJ697&lt;&gt;""),IF(Programme_Grunddaten!AJ697="individuell programmierbar",1,0),"")</f>
        <v/>
      </c>
      <c r="AC692" s="1" t="str">
        <f>IF(AND(Programme_Grunddaten!$A697="Geprüft",Programme_Grunddaten!AK697&lt;&gt;""),IF(Programme_Grunddaten!AK697="Deutsch",0,IF(Programme_Grunddaten!AK697="Deutsch und Englisch",1,2)),"")</f>
        <v/>
      </c>
      <c r="AD692" s="1" t="str">
        <f>IF(AND(Programme_Grunddaten!$A697="Geprüft",Programme_Grunddaten!AL697&lt;&gt;""),IF(Programme_Grunddaten!AL697="Ja",1,0),"")</f>
        <v/>
      </c>
      <c r="AE692" s="1" t="str">
        <f>IF(AND(Programme_Grunddaten!$A697="Geprüft",Programme_Grunddaten!AM697&lt;&gt;""),IF(Programme_Grunddaten!AM697="Ja",1,0),"")</f>
        <v/>
      </c>
      <c r="AF692" s="1" t="str">
        <f>IF(AND(Programme_Grunddaten!$A697="Geprüft",Programme_Grunddaten!AN697&lt;&gt;""),IF(Programme_Grunddaten!AN697="Ja",1,0),"")</f>
        <v/>
      </c>
      <c r="AG692" s="1" t="str">
        <f>IF(AND(Programme_Grunddaten!$A697="Geprüft",Programme_Grunddaten!AO697&lt;&gt;""),IF(Programme_Grunddaten!AO697="Ja",1,0),"")</f>
        <v/>
      </c>
      <c r="AH692" s="1" t="str">
        <f>IF(AND(Programme_Grunddaten!$A697="Geprüft",Programme_Grunddaten!AP697&lt;&gt;""),IF(Programme_Grunddaten!AP697="Ja",1,0),"")</f>
        <v/>
      </c>
      <c r="AI692" s="1" t="str">
        <f>IF(AND(Programme_Grunddaten!$A697="Geprüft",Programme_Grunddaten!AQ697&lt;&gt;""),IF(Programme_Grunddaten!AQ697="Ja",1,0),"")</f>
        <v/>
      </c>
      <c r="AJ692" s="1" t="str">
        <f>IF(AND(Programme_Grunddaten!$A697="Geprüft",Programme_Grunddaten!AR697&lt;&gt;""),IF(Programme_Grunddaten!AR697="Ja",1,0),"")</f>
        <v/>
      </c>
      <c r="AK692" s="1" t="str">
        <f>IF(AND(Programme_Grunddaten!$A697="Geprüft",Programme_Grunddaten!AS697&lt;&gt;""),IF(Programme_Grunddaten!AS697="Ja",1,0),"")</f>
        <v/>
      </c>
      <c r="AL692" s="1" t="str">
        <f>IF(AND(Programme_Grunddaten!$A697="Geprüft",Programme_Grunddaten!AT697&lt;&gt;""),IF(Programme_Grunddaten!AT697="Ja",1,0),"")</f>
        <v/>
      </c>
      <c r="AM692" s="1" t="str">
        <f>IF(AND(Programme_Grunddaten!$A697="Geprüft",Programme_Grunddaten!AU697&lt;&gt;""),IF(Programme_Grunddaten!AU697="Ja",1,0),"")</f>
        <v/>
      </c>
      <c r="AN692" s="1" t="str">
        <f>IF(AND(Programme_Grunddaten!$A697="Geprüft",Programme_Grunddaten!AV697&lt;&gt;""),IF(Programme_Grunddaten!AV697="Ja",1,0),"")</f>
        <v/>
      </c>
    </row>
    <row r="693" spans="1:40" x14ac:dyDescent="0.3">
      <c r="A693" s="1" t="str">
        <f>IF(AND(Programme_Grunddaten!A698="Geprüft",Programme_Grunddaten!B698&lt;&gt;""),Programme_Grunddaten!B698,"")</f>
        <v/>
      </c>
      <c r="B693" s="1" t="str">
        <f>IF(AND(Programme_Grunddaten!$A698="Geprüft",Programme_Grunddaten!I698&lt;&gt;""),IF(Programme_Grunddaten!I698="Ja",1,0),"")</f>
        <v/>
      </c>
      <c r="C693" s="1" t="str">
        <f>IF(AND(Programme_Grunddaten!$A698="Geprüft",Programme_Grunddaten!J698&lt;&gt;""),IF(Programme_Grunddaten!J698="Ja",1,0),"")</f>
        <v/>
      </c>
      <c r="D693" s="1" t="str">
        <f>IF(AND(Programme_Grunddaten!$A698="Geprüft",Programme_Grunddaten!K698&lt;&gt;""),IF(Programme_Grunddaten!K698="Ja",1,0),"")</f>
        <v/>
      </c>
      <c r="E693" s="1" t="str">
        <f>IF(AND(Programme_Grunddaten!$A698="Geprüft",Programme_Grunddaten!L698&lt;&gt;""),IF(Programme_Grunddaten!L698="Abo / befristete Lizenz",1,0),"")</f>
        <v/>
      </c>
      <c r="F693" s="1" t="str">
        <f>IF(AND(Programme_Grunddaten!$A698="Geprüft",Programme_Grunddaten!M698&lt;&gt;""),IF(Programme_Grunddaten!M698="Ja",1,0),"")</f>
        <v/>
      </c>
      <c r="G693" s="1" t="str">
        <f>IF(AND(Programme_Grunddaten!$A698="Geprüft",Programme_Grunddaten!N698&lt;&gt;""),IF(Programme_Grunddaten!N698="Ja",1,0),"")</f>
        <v/>
      </c>
      <c r="H693" s="1" t="str">
        <f>IF(AND(Programme_Grunddaten!$A698="Geprüft",Programme_Grunddaten!O698&lt;&gt;""),IF(Programme_Grunddaten!O698="Deutschland",0,IF(Programme_Grunddaten!O698="EU",1,2)),"")</f>
        <v/>
      </c>
      <c r="I693" s="1" t="str">
        <f>IF(AND(Programme_Grunddaten!$A698="Geprüft",Programme_Grunddaten!P698&lt;&gt;""),IF(Programme_Grunddaten!P698="Ja",1,0),"")</f>
        <v/>
      </c>
      <c r="J693" s="1" t="str">
        <f>IF(AND(Programme_Grunddaten!$A698="Geprüft",Programme_Grunddaten!Q698&lt;&gt;""),IF(Programme_Grunddaten!Q698="geschlossenes System",1,0),"")</f>
        <v/>
      </c>
      <c r="K693" s="1" t="str">
        <f>IF(AND(Programme_Grunddaten!$A698="Geprüft",Programme_Grunddaten!R698&lt;&gt;""),IF(Programme_Grunddaten!R698="Ja",1,0),"")</f>
        <v/>
      </c>
      <c r="L693" s="1" t="str">
        <f>IF(AND(Programme_Grunddaten!$A698="Geprüft",Programme_Grunddaten!T698&lt;&gt;""),IF(Programme_Grunddaten!T698="Ja",1,0),"")</f>
        <v/>
      </c>
      <c r="M693" s="1" t="str">
        <f>IF(AND(Programme_Grunddaten!$A698="Geprüft",Programme_Grunddaten!U698&lt;&gt;""),IF(Programme_Grunddaten!U698="Ja",1,0),"")</f>
        <v/>
      </c>
      <c r="N693" s="1" t="str">
        <f>IF(AND(Programme_Grunddaten!$A698="Geprüft",Programme_Grunddaten!V698&lt;&gt;""),IF(Programme_Grunddaten!V698="Ja",1,0),"")</f>
        <v/>
      </c>
      <c r="O693" s="1" t="str">
        <f>IF(AND(Programme_Grunddaten!$A698="Geprüft",Programme_Grunddaten!W698&lt;&gt;""),IF(Programme_Grunddaten!W698="Ja",1,0),"")</f>
        <v/>
      </c>
      <c r="P693" s="1" t="str">
        <f>IF(AND(Programme_Grunddaten!$A698="Geprüft",Programme_Grunddaten!X698&lt;&gt;""),IF(Programme_Grunddaten!X698="Ja",1,0),"")</f>
        <v/>
      </c>
      <c r="Q693" s="1" t="str">
        <f>IF(AND(Programme_Grunddaten!$A698="Geprüft",Programme_Grunddaten!Y698&lt;&gt;""),IF(Programme_Grunddaten!Y698="Ja",1,0),"")</f>
        <v/>
      </c>
      <c r="R693" s="1" t="str">
        <f>IF(AND(Programme_Grunddaten!$A698="Geprüft",Programme_Grunddaten!Z698&lt;&gt;""),IF(Programme_Grunddaten!Z698="Ja",1,0),"")</f>
        <v/>
      </c>
      <c r="S693" s="1" t="str">
        <f>IF(AND(Programme_Grunddaten!$A698="Geprüft",Programme_Grunddaten!AA698&lt;&gt;""),IF(Programme_Grunddaten!AA698="monolithisch",1,0),"")</f>
        <v/>
      </c>
      <c r="T693" s="1" t="str">
        <f>IF(AND(Programme_Grunddaten!$A698="Geprüft",Programme_Grunddaten!AB698&lt;&gt;""),IF(Programme_Grunddaten!AB698="Ja",1,0),"")</f>
        <v/>
      </c>
      <c r="U693" s="1" t="str">
        <f>IF(AND(Programme_Grunddaten!$A698="Geprüft",Programme_Grunddaten!AC698&lt;&gt;""),IF(Programme_Grunddaten!AC698="Ja",1,0),"")</f>
        <v/>
      </c>
      <c r="V693" s="1" t="str">
        <f>IF(AND(Programme_Grunddaten!$A698="Geprüft",Programme_Grunddaten!AD698&lt;&gt;""),IF(Programme_Grunddaten!AD698="Ja",1,0),"")</f>
        <v/>
      </c>
      <c r="W693" s="1" t="str">
        <f>IF(AND(Programme_Grunddaten!$A698="Geprüft",Programme_Grunddaten!AE698&lt;&gt;""),IF(Programme_Grunddaten!AE698="Ja",1,0),"")</f>
        <v/>
      </c>
      <c r="X693" s="1" t="str">
        <f>IF(AND(Programme_Grunddaten!$A698="Geprüft",Programme_Grunddaten!AF698&lt;&gt;""),IF(Programme_Grunddaten!AF698="Ja",1,0),"")</f>
        <v/>
      </c>
      <c r="Y693" s="1" t="str">
        <f>IF(AND(Programme_Grunddaten!$A698="Geprüft",Programme_Grunddaten!AG698&lt;&gt;""),IF(Programme_Grunddaten!AG698="Ja",1,0),"")</f>
        <v/>
      </c>
      <c r="Z693" s="1" t="str">
        <f>IF(AND(Programme_Grunddaten!$A698="Geprüft",Programme_Grunddaten!AH698&lt;&gt;""),IF(Programme_Grunddaten!AH698="Ja",1,0),"")</f>
        <v/>
      </c>
      <c r="AA693" s="1" t="str">
        <f>IF(AND(Programme_Grunddaten!$A698="Geprüft",Programme_Grunddaten!AI698&lt;&gt;""),IF(Programme_Grunddaten!AI698="Ja",1,0),"")</f>
        <v/>
      </c>
      <c r="AB693" s="1" t="str">
        <f>IF(AND(Programme_Grunddaten!$A698="Geprüft",Programme_Grunddaten!AJ698&lt;&gt;""),IF(Programme_Grunddaten!AJ698="individuell programmierbar",1,0),"")</f>
        <v/>
      </c>
      <c r="AC693" s="1" t="str">
        <f>IF(AND(Programme_Grunddaten!$A698="Geprüft",Programme_Grunddaten!AK698&lt;&gt;""),IF(Programme_Grunddaten!AK698="Deutsch",0,IF(Programme_Grunddaten!AK698="Deutsch und Englisch",1,2)),"")</f>
        <v/>
      </c>
      <c r="AD693" s="1" t="str">
        <f>IF(AND(Programme_Grunddaten!$A698="Geprüft",Programme_Grunddaten!AL698&lt;&gt;""),IF(Programme_Grunddaten!AL698="Ja",1,0),"")</f>
        <v/>
      </c>
      <c r="AE693" s="1" t="str">
        <f>IF(AND(Programme_Grunddaten!$A698="Geprüft",Programme_Grunddaten!AM698&lt;&gt;""),IF(Programme_Grunddaten!AM698="Ja",1,0),"")</f>
        <v/>
      </c>
      <c r="AF693" s="1" t="str">
        <f>IF(AND(Programme_Grunddaten!$A698="Geprüft",Programme_Grunddaten!AN698&lt;&gt;""),IF(Programme_Grunddaten!AN698="Ja",1,0),"")</f>
        <v/>
      </c>
      <c r="AG693" s="1" t="str">
        <f>IF(AND(Programme_Grunddaten!$A698="Geprüft",Programme_Grunddaten!AO698&lt;&gt;""),IF(Programme_Grunddaten!AO698="Ja",1,0),"")</f>
        <v/>
      </c>
      <c r="AH693" s="1" t="str">
        <f>IF(AND(Programme_Grunddaten!$A698="Geprüft",Programme_Grunddaten!AP698&lt;&gt;""),IF(Programme_Grunddaten!AP698="Ja",1,0),"")</f>
        <v/>
      </c>
      <c r="AI693" s="1" t="str">
        <f>IF(AND(Programme_Grunddaten!$A698="Geprüft",Programme_Grunddaten!AQ698&lt;&gt;""),IF(Programme_Grunddaten!AQ698="Ja",1,0),"")</f>
        <v/>
      </c>
      <c r="AJ693" s="1" t="str">
        <f>IF(AND(Programme_Grunddaten!$A698="Geprüft",Programme_Grunddaten!AR698&lt;&gt;""),IF(Programme_Grunddaten!AR698="Ja",1,0),"")</f>
        <v/>
      </c>
      <c r="AK693" s="1" t="str">
        <f>IF(AND(Programme_Grunddaten!$A698="Geprüft",Programme_Grunddaten!AS698&lt;&gt;""),IF(Programme_Grunddaten!AS698="Ja",1,0),"")</f>
        <v/>
      </c>
      <c r="AL693" s="1" t="str">
        <f>IF(AND(Programme_Grunddaten!$A698="Geprüft",Programme_Grunddaten!AT698&lt;&gt;""),IF(Programme_Grunddaten!AT698="Ja",1,0),"")</f>
        <v/>
      </c>
      <c r="AM693" s="1" t="str">
        <f>IF(AND(Programme_Grunddaten!$A698="Geprüft",Programme_Grunddaten!AU698&lt;&gt;""),IF(Programme_Grunddaten!AU698="Ja",1,0),"")</f>
        <v/>
      </c>
      <c r="AN693" s="1" t="str">
        <f>IF(AND(Programme_Grunddaten!$A698="Geprüft",Programme_Grunddaten!AV698&lt;&gt;""),IF(Programme_Grunddaten!AV698="Ja",1,0),"")</f>
        <v/>
      </c>
    </row>
    <row r="694" spans="1:40" x14ac:dyDescent="0.3">
      <c r="A694" s="1" t="str">
        <f>IF(AND(Programme_Grunddaten!A699="Geprüft",Programme_Grunddaten!B699&lt;&gt;""),Programme_Grunddaten!B699,"")</f>
        <v/>
      </c>
      <c r="B694" s="1" t="str">
        <f>IF(AND(Programme_Grunddaten!$A699="Geprüft",Programme_Grunddaten!I699&lt;&gt;""),IF(Programme_Grunddaten!I699="Ja",1,0),"")</f>
        <v/>
      </c>
      <c r="C694" s="1" t="str">
        <f>IF(AND(Programme_Grunddaten!$A699="Geprüft",Programme_Grunddaten!J699&lt;&gt;""),IF(Programme_Grunddaten!J699="Ja",1,0),"")</f>
        <v/>
      </c>
      <c r="D694" s="1" t="str">
        <f>IF(AND(Programme_Grunddaten!$A699="Geprüft",Programme_Grunddaten!K699&lt;&gt;""),IF(Programme_Grunddaten!K699="Ja",1,0),"")</f>
        <v/>
      </c>
      <c r="E694" s="1" t="str">
        <f>IF(AND(Programme_Grunddaten!$A699="Geprüft",Programme_Grunddaten!L699&lt;&gt;""),IF(Programme_Grunddaten!L699="Abo / befristete Lizenz",1,0),"")</f>
        <v/>
      </c>
      <c r="F694" s="1" t="str">
        <f>IF(AND(Programme_Grunddaten!$A699="Geprüft",Programme_Grunddaten!M699&lt;&gt;""),IF(Programme_Grunddaten!M699="Ja",1,0),"")</f>
        <v/>
      </c>
      <c r="G694" s="1" t="str">
        <f>IF(AND(Programme_Grunddaten!$A699="Geprüft",Programme_Grunddaten!N699&lt;&gt;""),IF(Programme_Grunddaten!N699="Ja",1,0),"")</f>
        <v/>
      </c>
      <c r="H694" s="1" t="str">
        <f>IF(AND(Programme_Grunddaten!$A699="Geprüft",Programme_Grunddaten!O699&lt;&gt;""),IF(Programme_Grunddaten!O699="Deutschland",0,IF(Programme_Grunddaten!O699="EU",1,2)),"")</f>
        <v/>
      </c>
      <c r="I694" s="1" t="str">
        <f>IF(AND(Programme_Grunddaten!$A699="Geprüft",Programme_Grunddaten!P699&lt;&gt;""),IF(Programme_Grunddaten!P699="Ja",1,0),"")</f>
        <v/>
      </c>
      <c r="J694" s="1" t="str">
        <f>IF(AND(Programme_Grunddaten!$A699="Geprüft",Programme_Grunddaten!Q699&lt;&gt;""),IF(Programme_Grunddaten!Q699="geschlossenes System",1,0),"")</f>
        <v/>
      </c>
      <c r="K694" s="1" t="str">
        <f>IF(AND(Programme_Grunddaten!$A699="Geprüft",Programme_Grunddaten!R699&lt;&gt;""),IF(Programme_Grunddaten!R699="Ja",1,0),"")</f>
        <v/>
      </c>
      <c r="L694" s="1" t="str">
        <f>IF(AND(Programme_Grunddaten!$A699="Geprüft",Programme_Grunddaten!T699&lt;&gt;""),IF(Programme_Grunddaten!T699="Ja",1,0),"")</f>
        <v/>
      </c>
      <c r="M694" s="1" t="str">
        <f>IF(AND(Programme_Grunddaten!$A699="Geprüft",Programme_Grunddaten!U699&lt;&gt;""),IF(Programme_Grunddaten!U699="Ja",1,0),"")</f>
        <v/>
      </c>
      <c r="N694" s="1" t="str">
        <f>IF(AND(Programme_Grunddaten!$A699="Geprüft",Programme_Grunddaten!V699&lt;&gt;""),IF(Programme_Grunddaten!V699="Ja",1,0),"")</f>
        <v/>
      </c>
      <c r="O694" s="1" t="str">
        <f>IF(AND(Programme_Grunddaten!$A699="Geprüft",Programme_Grunddaten!W699&lt;&gt;""),IF(Programme_Grunddaten!W699="Ja",1,0),"")</f>
        <v/>
      </c>
      <c r="P694" s="1" t="str">
        <f>IF(AND(Programme_Grunddaten!$A699="Geprüft",Programme_Grunddaten!X699&lt;&gt;""),IF(Programme_Grunddaten!X699="Ja",1,0),"")</f>
        <v/>
      </c>
      <c r="Q694" s="1" t="str">
        <f>IF(AND(Programme_Grunddaten!$A699="Geprüft",Programme_Grunddaten!Y699&lt;&gt;""),IF(Programme_Grunddaten!Y699="Ja",1,0),"")</f>
        <v/>
      </c>
      <c r="R694" s="1" t="str">
        <f>IF(AND(Programme_Grunddaten!$A699="Geprüft",Programme_Grunddaten!Z699&lt;&gt;""),IF(Programme_Grunddaten!Z699="Ja",1,0),"")</f>
        <v/>
      </c>
      <c r="S694" s="1" t="str">
        <f>IF(AND(Programme_Grunddaten!$A699="Geprüft",Programme_Grunddaten!AA699&lt;&gt;""),IF(Programme_Grunddaten!AA699="monolithisch",1,0),"")</f>
        <v/>
      </c>
      <c r="T694" s="1" t="str">
        <f>IF(AND(Programme_Grunddaten!$A699="Geprüft",Programme_Grunddaten!AB699&lt;&gt;""),IF(Programme_Grunddaten!AB699="Ja",1,0),"")</f>
        <v/>
      </c>
      <c r="U694" s="1" t="str">
        <f>IF(AND(Programme_Grunddaten!$A699="Geprüft",Programme_Grunddaten!AC699&lt;&gt;""),IF(Programme_Grunddaten!AC699="Ja",1,0),"")</f>
        <v/>
      </c>
      <c r="V694" s="1" t="str">
        <f>IF(AND(Programme_Grunddaten!$A699="Geprüft",Programme_Grunddaten!AD699&lt;&gt;""),IF(Programme_Grunddaten!AD699="Ja",1,0),"")</f>
        <v/>
      </c>
      <c r="W694" s="1" t="str">
        <f>IF(AND(Programme_Grunddaten!$A699="Geprüft",Programme_Grunddaten!AE699&lt;&gt;""),IF(Programme_Grunddaten!AE699="Ja",1,0),"")</f>
        <v/>
      </c>
      <c r="X694" s="1" t="str">
        <f>IF(AND(Programme_Grunddaten!$A699="Geprüft",Programme_Grunddaten!AF699&lt;&gt;""),IF(Programme_Grunddaten!AF699="Ja",1,0),"")</f>
        <v/>
      </c>
      <c r="Y694" s="1" t="str">
        <f>IF(AND(Programme_Grunddaten!$A699="Geprüft",Programme_Grunddaten!AG699&lt;&gt;""),IF(Programme_Grunddaten!AG699="Ja",1,0),"")</f>
        <v/>
      </c>
      <c r="Z694" s="1" t="str">
        <f>IF(AND(Programme_Grunddaten!$A699="Geprüft",Programme_Grunddaten!AH699&lt;&gt;""),IF(Programme_Grunddaten!AH699="Ja",1,0),"")</f>
        <v/>
      </c>
      <c r="AA694" s="1" t="str">
        <f>IF(AND(Programme_Grunddaten!$A699="Geprüft",Programme_Grunddaten!AI699&lt;&gt;""),IF(Programme_Grunddaten!AI699="Ja",1,0),"")</f>
        <v/>
      </c>
      <c r="AB694" s="1" t="str">
        <f>IF(AND(Programme_Grunddaten!$A699="Geprüft",Programme_Grunddaten!AJ699&lt;&gt;""),IF(Programme_Grunddaten!AJ699="individuell programmierbar",1,0),"")</f>
        <v/>
      </c>
      <c r="AC694" s="1" t="str">
        <f>IF(AND(Programme_Grunddaten!$A699="Geprüft",Programme_Grunddaten!AK699&lt;&gt;""),IF(Programme_Grunddaten!AK699="Deutsch",0,IF(Programme_Grunddaten!AK699="Deutsch und Englisch",1,2)),"")</f>
        <v/>
      </c>
      <c r="AD694" s="1" t="str">
        <f>IF(AND(Programme_Grunddaten!$A699="Geprüft",Programme_Grunddaten!AL699&lt;&gt;""),IF(Programme_Grunddaten!AL699="Ja",1,0),"")</f>
        <v/>
      </c>
      <c r="AE694" s="1" t="str">
        <f>IF(AND(Programme_Grunddaten!$A699="Geprüft",Programme_Grunddaten!AM699&lt;&gt;""),IF(Programme_Grunddaten!AM699="Ja",1,0),"")</f>
        <v/>
      </c>
      <c r="AF694" s="1" t="str">
        <f>IF(AND(Programme_Grunddaten!$A699="Geprüft",Programme_Grunddaten!AN699&lt;&gt;""),IF(Programme_Grunddaten!AN699="Ja",1,0),"")</f>
        <v/>
      </c>
      <c r="AG694" s="1" t="str">
        <f>IF(AND(Programme_Grunddaten!$A699="Geprüft",Programme_Grunddaten!AO699&lt;&gt;""),IF(Programme_Grunddaten!AO699="Ja",1,0),"")</f>
        <v/>
      </c>
      <c r="AH694" s="1" t="str">
        <f>IF(AND(Programme_Grunddaten!$A699="Geprüft",Programme_Grunddaten!AP699&lt;&gt;""),IF(Programme_Grunddaten!AP699="Ja",1,0),"")</f>
        <v/>
      </c>
      <c r="AI694" s="1" t="str">
        <f>IF(AND(Programme_Grunddaten!$A699="Geprüft",Programme_Grunddaten!AQ699&lt;&gt;""),IF(Programme_Grunddaten!AQ699="Ja",1,0),"")</f>
        <v/>
      </c>
      <c r="AJ694" s="1" t="str">
        <f>IF(AND(Programme_Grunddaten!$A699="Geprüft",Programme_Grunddaten!AR699&lt;&gt;""),IF(Programme_Grunddaten!AR699="Ja",1,0),"")</f>
        <v/>
      </c>
      <c r="AK694" s="1" t="str">
        <f>IF(AND(Programme_Grunddaten!$A699="Geprüft",Programme_Grunddaten!AS699&lt;&gt;""),IF(Programme_Grunddaten!AS699="Ja",1,0),"")</f>
        <v/>
      </c>
      <c r="AL694" s="1" t="str">
        <f>IF(AND(Programme_Grunddaten!$A699="Geprüft",Programme_Grunddaten!AT699&lt;&gt;""),IF(Programme_Grunddaten!AT699="Ja",1,0),"")</f>
        <v/>
      </c>
      <c r="AM694" s="1" t="str">
        <f>IF(AND(Programme_Grunddaten!$A699="Geprüft",Programme_Grunddaten!AU699&lt;&gt;""),IF(Programme_Grunddaten!AU699="Ja",1,0),"")</f>
        <v/>
      </c>
      <c r="AN694" s="1" t="str">
        <f>IF(AND(Programme_Grunddaten!$A699="Geprüft",Programme_Grunddaten!AV699&lt;&gt;""),IF(Programme_Grunddaten!AV699="Ja",1,0),"")</f>
        <v/>
      </c>
    </row>
    <row r="695" spans="1:40" x14ac:dyDescent="0.3">
      <c r="A695" s="1" t="str">
        <f>IF(AND(Programme_Grunddaten!A700="Geprüft",Programme_Grunddaten!B700&lt;&gt;""),Programme_Grunddaten!B700,"")</f>
        <v/>
      </c>
      <c r="B695" s="1" t="str">
        <f>IF(AND(Programme_Grunddaten!$A700="Geprüft",Programme_Grunddaten!I700&lt;&gt;""),IF(Programme_Grunddaten!I700="Ja",1,0),"")</f>
        <v/>
      </c>
      <c r="C695" s="1" t="str">
        <f>IF(AND(Programme_Grunddaten!$A700="Geprüft",Programme_Grunddaten!J700&lt;&gt;""),IF(Programme_Grunddaten!J700="Ja",1,0),"")</f>
        <v/>
      </c>
      <c r="D695" s="1" t="str">
        <f>IF(AND(Programme_Grunddaten!$A700="Geprüft",Programme_Grunddaten!K700&lt;&gt;""),IF(Programme_Grunddaten!K700="Ja",1,0),"")</f>
        <v/>
      </c>
      <c r="E695" s="1" t="str">
        <f>IF(AND(Programme_Grunddaten!$A700="Geprüft",Programme_Grunddaten!L700&lt;&gt;""),IF(Programme_Grunddaten!L700="Abo / befristete Lizenz",1,0),"")</f>
        <v/>
      </c>
      <c r="F695" s="1" t="str">
        <f>IF(AND(Programme_Grunddaten!$A700="Geprüft",Programme_Grunddaten!M700&lt;&gt;""),IF(Programme_Grunddaten!M700="Ja",1,0),"")</f>
        <v/>
      </c>
      <c r="G695" s="1" t="str">
        <f>IF(AND(Programme_Grunddaten!$A700="Geprüft",Programme_Grunddaten!N700&lt;&gt;""),IF(Programme_Grunddaten!N700="Ja",1,0),"")</f>
        <v/>
      </c>
      <c r="H695" s="1" t="str">
        <f>IF(AND(Programme_Grunddaten!$A700="Geprüft",Programme_Grunddaten!O700&lt;&gt;""),IF(Programme_Grunddaten!O700="Deutschland",0,IF(Programme_Grunddaten!O700="EU",1,2)),"")</f>
        <v/>
      </c>
      <c r="I695" s="1" t="str">
        <f>IF(AND(Programme_Grunddaten!$A700="Geprüft",Programme_Grunddaten!P700&lt;&gt;""),IF(Programme_Grunddaten!P700="Ja",1,0),"")</f>
        <v/>
      </c>
      <c r="J695" s="1" t="str">
        <f>IF(AND(Programme_Grunddaten!$A700="Geprüft",Programme_Grunddaten!Q700&lt;&gt;""),IF(Programme_Grunddaten!Q700="geschlossenes System",1,0),"")</f>
        <v/>
      </c>
      <c r="K695" s="1" t="str">
        <f>IF(AND(Programme_Grunddaten!$A700="Geprüft",Programme_Grunddaten!R700&lt;&gt;""),IF(Programme_Grunddaten!R700="Ja",1,0),"")</f>
        <v/>
      </c>
      <c r="L695" s="1" t="str">
        <f>IF(AND(Programme_Grunddaten!$A700="Geprüft",Programme_Grunddaten!T700&lt;&gt;""),IF(Programme_Grunddaten!T700="Ja",1,0),"")</f>
        <v/>
      </c>
      <c r="M695" s="1" t="str">
        <f>IF(AND(Programme_Grunddaten!$A700="Geprüft",Programme_Grunddaten!U700&lt;&gt;""),IF(Programme_Grunddaten!U700="Ja",1,0),"")</f>
        <v/>
      </c>
      <c r="N695" s="1" t="str">
        <f>IF(AND(Programme_Grunddaten!$A700="Geprüft",Programme_Grunddaten!V700&lt;&gt;""),IF(Programme_Grunddaten!V700="Ja",1,0),"")</f>
        <v/>
      </c>
      <c r="O695" s="1" t="str">
        <f>IF(AND(Programme_Grunddaten!$A700="Geprüft",Programme_Grunddaten!W700&lt;&gt;""),IF(Programme_Grunddaten!W700="Ja",1,0),"")</f>
        <v/>
      </c>
      <c r="P695" s="1" t="str">
        <f>IF(AND(Programme_Grunddaten!$A700="Geprüft",Programme_Grunddaten!X700&lt;&gt;""),IF(Programme_Grunddaten!X700="Ja",1,0),"")</f>
        <v/>
      </c>
      <c r="Q695" s="1" t="str">
        <f>IF(AND(Programme_Grunddaten!$A700="Geprüft",Programme_Grunddaten!Y700&lt;&gt;""),IF(Programme_Grunddaten!Y700="Ja",1,0),"")</f>
        <v/>
      </c>
      <c r="R695" s="1" t="str">
        <f>IF(AND(Programme_Grunddaten!$A700="Geprüft",Programme_Grunddaten!Z700&lt;&gt;""),IF(Programme_Grunddaten!Z700="Ja",1,0),"")</f>
        <v/>
      </c>
      <c r="S695" s="1" t="str">
        <f>IF(AND(Programme_Grunddaten!$A700="Geprüft",Programme_Grunddaten!AA700&lt;&gt;""),IF(Programme_Grunddaten!AA700="monolithisch",1,0),"")</f>
        <v/>
      </c>
      <c r="T695" s="1" t="str">
        <f>IF(AND(Programme_Grunddaten!$A700="Geprüft",Programme_Grunddaten!AB700&lt;&gt;""),IF(Programme_Grunddaten!AB700="Ja",1,0),"")</f>
        <v/>
      </c>
      <c r="U695" s="1" t="str">
        <f>IF(AND(Programme_Grunddaten!$A700="Geprüft",Programme_Grunddaten!AC700&lt;&gt;""),IF(Programme_Grunddaten!AC700="Ja",1,0),"")</f>
        <v/>
      </c>
      <c r="V695" s="1" t="str">
        <f>IF(AND(Programme_Grunddaten!$A700="Geprüft",Programme_Grunddaten!AD700&lt;&gt;""),IF(Programme_Grunddaten!AD700="Ja",1,0),"")</f>
        <v/>
      </c>
      <c r="W695" s="1" t="str">
        <f>IF(AND(Programme_Grunddaten!$A700="Geprüft",Programme_Grunddaten!AE700&lt;&gt;""),IF(Programme_Grunddaten!AE700="Ja",1,0),"")</f>
        <v/>
      </c>
      <c r="X695" s="1" t="str">
        <f>IF(AND(Programme_Grunddaten!$A700="Geprüft",Programme_Grunddaten!AF700&lt;&gt;""),IF(Programme_Grunddaten!AF700="Ja",1,0),"")</f>
        <v/>
      </c>
      <c r="Y695" s="1" t="str">
        <f>IF(AND(Programme_Grunddaten!$A700="Geprüft",Programme_Grunddaten!AG700&lt;&gt;""),IF(Programme_Grunddaten!AG700="Ja",1,0),"")</f>
        <v/>
      </c>
      <c r="Z695" s="1" t="str">
        <f>IF(AND(Programme_Grunddaten!$A700="Geprüft",Programme_Grunddaten!AH700&lt;&gt;""),IF(Programme_Grunddaten!AH700="Ja",1,0),"")</f>
        <v/>
      </c>
      <c r="AA695" s="1" t="str">
        <f>IF(AND(Programme_Grunddaten!$A700="Geprüft",Programme_Grunddaten!AI700&lt;&gt;""),IF(Programme_Grunddaten!AI700="Ja",1,0),"")</f>
        <v/>
      </c>
      <c r="AB695" s="1" t="str">
        <f>IF(AND(Programme_Grunddaten!$A700="Geprüft",Programme_Grunddaten!AJ700&lt;&gt;""),IF(Programme_Grunddaten!AJ700="individuell programmierbar",1,0),"")</f>
        <v/>
      </c>
      <c r="AC695" s="1" t="str">
        <f>IF(AND(Programme_Grunddaten!$A700="Geprüft",Programme_Grunddaten!AK700&lt;&gt;""),IF(Programme_Grunddaten!AK700="Deutsch",0,IF(Programme_Grunddaten!AK700="Deutsch und Englisch",1,2)),"")</f>
        <v/>
      </c>
      <c r="AD695" s="1" t="str">
        <f>IF(AND(Programme_Grunddaten!$A700="Geprüft",Programme_Grunddaten!AL700&lt;&gt;""),IF(Programme_Grunddaten!AL700="Ja",1,0),"")</f>
        <v/>
      </c>
      <c r="AE695" s="1" t="str">
        <f>IF(AND(Programme_Grunddaten!$A700="Geprüft",Programme_Grunddaten!AM700&lt;&gt;""),IF(Programme_Grunddaten!AM700="Ja",1,0),"")</f>
        <v/>
      </c>
      <c r="AF695" s="1" t="str">
        <f>IF(AND(Programme_Grunddaten!$A700="Geprüft",Programme_Grunddaten!AN700&lt;&gt;""),IF(Programme_Grunddaten!AN700="Ja",1,0),"")</f>
        <v/>
      </c>
      <c r="AG695" s="1" t="str">
        <f>IF(AND(Programme_Grunddaten!$A700="Geprüft",Programme_Grunddaten!AO700&lt;&gt;""),IF(Programme_Grunddaten!AO700="Ja",1,0),"")</f>
        <v/>
      </c>
      <c r="AH695" s="1" t="str">
        <f>IF(AND(Programme_Grunddaten!$A700="Geprüft",Programme_Grunddaten!AP700&lt;&gt;""),IF(Programme_Grunddaten!AP700="Ja",1,0),"")</f>
        <v/>
      </c>
      <c r="AI695" s="1" t="str">
        <f>IF(AND(Programme_Grunddaten!$A700="Geprüft",Programme_Grunddaten!AQ700&lt;&gt;""),IF(Programme_Grunddaten!AQ700="Ja",1,0),"")</f>
        <v/>
      </c>
      <c r="AJ695" s="1" t="str">
        <f>IF(AND(Programme_Grunddaten!$A700="Geprüft",Programme_Grunddaten!AR700&lt;&gt;""),IF(Programme_Grunddaten!AR700="Ja",1,0),"")</f>
        <v/>
      </c>
      <c r="AK695" s="1" t="str">
        <f>IF(AND(Programme_Grunddaten!$A700="Geprüft",Programme_Grunddaten!AS700&lt;&gt;""),IF(Programme_Grunddaten!AS700="Ja",1,0),"")</f>
        <v/>
      </c>
      <c r="AL695" s="1" t="str">
        <f>IF(AND(Programme_Grunddaten!$A700="Geprüft",Programme_Grunddaten!AT700&lt;&gt;""),IF(Programme_Grunddaten!AT700="Ja",1,0),"")</f>
        <v/>
      </c>
      <c r="AM695" s="1" t="str">
        <f>IF(AND(Programme_Grunddaten!$A700="Geprüft",Programme_Grunddaten!AU700&lt;&gt;""),IF(Programme_Grunddaten!AU700="Ja",1,0),"")</f>
        <v/>
      </c>
      <c r="AN695" s="1" t="str">
        <f>IF(AND(Programme_Grunddaten!$A700="Geprüft",Programme_Grunddaten!AV700&lt;&gt;""),IF(Programme_Grunddaten!AV700="Ja",1,0),"")</f>
        <v/>
      </c>
    </row>
    <row r="696" spans="1:40" x14ac:dyDescent="0.3">
      <c r="A696" s="1" t="str">
        <f>IF(AND(Programme_Grunddaten!A701="Geprüft",Programme_Grunddaten!B701&lt;&gt;""),Programme_Grunddaten!B701,"")</f>
        <v/>
      </c>
      <c r="B696" s="1" t="str">
        <f>IF(AND(Programme_Grunddaten!$A701="Geprüft",Programme_Grunddaten!I701&lt;&gt;""),IF(Programme_Grunddaten!I701="Ja",1,0),"")</f>
        <v/>
      </c>
      <c r="C696" s="1" t="str">
        <f>IF(AND(Programme_Grunddaten!$A701="Geprüft",Programme_Grunddaten!J701&lt;&gt;""),IF(Programme_Grunddaten!J701="Ja",1,0),"")</f>
        <v/>
      </c>
      <c r="D696" s="1" t="str">
        <f>IF(AND(Programme_Grunddaten!$A701="Geprüft",Programme_Grunddaten!K701&lt;&gt;""),IF(Programme_Grunddaten!K701="Ja",1,0),"")</f>
        <v/>
      </c>
      <c r="E696" s="1" t="str">
        <f>IF(AND(Programme_Grunddaten!$A701="Geprüft",Programme_Grunddaten!L701&lt;&gt;""),IF(Programme_Grunddaten!L701="Abo / befristete Lizenz",1,0),"")</f>
        <v/>
      </c>
      <c r="F696" s="1" t="str">
        <f>IF(AND(Programme_Grunddaten!$A701="Geprüft",Programme_Grunddaten!M701&lt;&gt;""),IF(Programme_Grunddaten!M701="Ja",1,0),"")</f>
        <v/>
      </c>
      <c r="G696" s="1" t="str">
        <f>IF(AND(Programme_Grunddaten!$A701="Geprüft",Programme_Grunddaten!N701&lt;&gt;""),IF(Programme_Grunddaten!N701="Ja",1,0),"")</f>
        <v/>
      </c>
      <c r="H696" s="1" t="str">
        <f>IF(AND(Programme_Grunddaten!$A701="Geprüft",Programme_Grunddaten!O701&lt;&gt;""),IF(Programme_Grunddaten!O701="Deutschland",0,IF(Programme_Grunddaten!O701="EU",1,2)),"")</f>
        <v/>
      </c>
      <c r="I696" s="1" t="str">
        <f>IF(AND(Programme_Grunddaten!$A701="Geprüft",Programme_Grunddaten!P701&lt;&gt;""),IF(Programme_Grunddaten!P701="Ja",1,0),"")</f>
        <v/>
      </c>
      <c r="J696" s="1" t="str">
        <f>IF(AND(Programme_Grunddaten!$A701="Geprüft",Programme_Grunddaten!Q701&lt;&gt;""),IF(Programme_Grunddaten!Q701="geschlossenes System",1,0),"")</f>
        <v/>
      </c>
      <c r="K696" s="1" t="str">
        <f>IF(AND(Programme_Grunddaten!$A701="Geprüft",Programme_Grunddaten!R701&lt;&gt;""),IF(Programme_Grunddaten!R701="Ja",1,0),"")</f>
        <v/>
      </c>
      <c r="L696" s="1" t="str">
        <f>IF(AND(Programme_Grunddaten!$A701="Geprüft",Programme_Grunddaten!T701&lt;&gt;""),IF(Programme_Grunddaten!T701="Ja",1,0),"")</f>
        <v/>
      </c>
      <c r="M696" s="1" t="str">
        <f>IF(AND(Programme_Grunddaten!$A701="Geprüft",Programme_Grunddaten!U701&lt;&gt;""),IF(Programme_Grunddaten!U701="Ja",1,0),"")</f>
        <v/>
      </c>
      <c r="N696" s="1" t="str">
        <f>IF(AND(Programme_Grunddaten!$A701="Geprüft",Programme_Grunddaten!V701&lt;&gt;""),IF(Programme_Grunddaten!V701="Ja",1,0),"")</f>
        <v/>
      </c>
      <c r="O696" s="1" t="str">
        <f>IF(AND(Programme_Grunddaten!$A701="Geprüft",Programme_Grunddaten!W701&lt;&gt;""),IF(Programme_Grunddaten!W701="Ja",1,0),"")</f>
        <v/>
      </c>
      <c r="P696" s="1" t="str">
        <f>IF(AND(Programme_Grunddaten!$A701="Geprüft",Programme_Grunddaten!X701&lt;&gt;""),IF(Programme_Grunddaten!X701="Ja",1,0),"")</f>
        <v/>
      </c>
      <c r="Q696" s="1" t="str">
        <f>IF(AND(Programme_Grunddaten!$A701="Geprüft",Programme_Grunddaten!Y701&lt;&gt;""),IF(Programme_Grunddaten!Y701="Ja",1,0),"")</f>
        <v/>
      </c>
      <c r="R696" s="1" t="str">
        <f>IF(AND(Programme_Grunddaten!$A701="Geprüft",Programme_Grunddaten!Z701&lt;&gt;""),IF(Programme_Grunddaten!Z701="Ja",1,0),"")</f>
        <v/>
      </c>
      <c r="S696" s="1" t="str">
        <f>IF(AND(Programme_Grunddaten!$A701="Geprüft",Programme_Grunddaten!AA701&lt;&gt;""),IF(Programme_Grunddaten!AA701="monolithisch",1,0),"")</f>
        <v/>
      </c>
      <c r="T696" s="1" t="str">
        <f>IF(AND(Programme_Grunddaten!$A701="Geprüft",Programme_Grunddaten!AB701&lt;&gt;""),IF(Programme_Grunddaten!AB701="Ja",1,0),"")</f>
        <v/>
      </c>
      <c r="U696" s="1" t="str">
        <f>IF(AND(Programme_Grunddaten!$A701="Geprüft",Programme_Grunddaten!AC701&lt;&gt;""),IF(Programme_Grunddaten!AC701="Ja",1,0),"")</f>
        <v/>
      </c>
      <c r="V696" s="1" t="str">
        <f>IF(AND(Programme_Grunddaten!$A701="Geprüft",Programme_Grunddaten!AD701&lt;&gt;""),IF(Programme_Grunddaten!AD701="Ja",1,0),"")</f>
        <v/>
      </c>
      <c r="W696" s="1" t="str">
        <f>IF(AND(Programme_Grunddaten!$A701="Geprüft",Programme_Grunddaten!AE701&lt;&gt;""),IF(Programme_Grunddaten!AE701="Ja",1,0),"")</f>
        <v/>
      </c>
      <c r="X696" s="1" t="str">
        <f>IF(AND(Programme_Grunddaten!$A701="Geprüft",Programme_Grunddaten!AF701&lt;&gt;""),IF(Programme_Grunddaten!AF701="Ja",1,0),"")</f>
        <v/>
      </c>
      <c r="Y696" s="1" t="str">
        <f>IF(AND(Programme_Grunddaten!$A701="Geprüft",Programme_Grunddaten!AG701&lt;&gt;""),IF(Programme_Grunddaten!AG701="Ja",1,0),"")</f>
        <v/>
      </c>
      <c r="Z696" s="1" t="str">
        <f>IF(AND(Programme_Grunddaten!$A701="Geprüft",Programme_Grunddaten!AH701&lt;&gt;""),IF(Programme_Grunddaten!AH701="Ja",1,0),"")</f>
        <v/>
      </c>
      <c r="AA696" s="1" t="str">
        <f>IF(AND(Programme_Grunddaten!$A701="Geprüft",Programme_Grunddaten!AI701&lt;&gt;""),IF(Programme_Grunddaten!AI701="Ja",1,0),"")</f>
        <v/>
      </c>
      <c r="AB696" s="1" t="str">
        <f>IF(AND(Programme_Grunddaten!$A701="Geprüft",Programme_Grunddaten!AJ701&lt;&gt;""),IF(Programme_Grunddaten!AJ701="individuell programmierbar",1,0),"")</f>
        <v/>
      </c>
      <c r="AC696" s="1" t="str">
        <f>IF(AND(Programme_Grunddaten!$A701="Geprüft",Programme_Grunddaten!AK701&lt;&gt;""),IF(Programme_Grunddaten!AK701="Deutsch",0,IF(Programme_Grunddaten!AK701="Deutsch und Englisch",1,2)),"")</f>
        <v/>
      </c>
      <c r="AD696" s="1" t="str">
        <f>IF(AND(Programme_Grunddaten!$A701="Geprüft",Programme_Grunddaten!AL701&lt;&gt;""),IF(Programme_Grunddaten!AL701="Ja",1,0),"")</f>
        <v/>
      </c>
      <c r="AE696" s="1" t="str">
        <f>IF(AND(Programme_Grunddaten!$A701="Geprüft",Programme_Grunddaten!AM701&lt;&gt;""),IF(Programme_Grunddaten!AM701="Ja",1,0),"")</f>
        <v/>
      </c>
      <c r="AF696" s="1" t="str">
        <f>IF(AND(Programme_Grunddaten!$A701="Geprüft",Programme_Grunddaten!AN701&lt;&gt;""),IF(Programme_Grunddaten!AN701="Ja",1,0),"")</f>
        <v/>
      </c>
      <c r="AG696" s="1" t="str">
        <f>IF(AND(Programme_Grunddaten!$A701="Geprüft",Programme_Grunddaten!AO701&lt;&gt;""),IF(Programme_Grunddaten!AO701="Ja",1,0),"")</f>
        <v/>
      </c>
      <c r="AH696" s="1" t="str">
        <f>IF(AND(Programme_Grunddaten!$A701="Geprüft",Programme_Grunddaten!AP701&lt;&gt;""),IF(Programme_Grunddaten!AP701="Ja",1,0),"")</f>
        <v/>
      </c>
      <c r="AI696" s="1" t="str">
        <f>IF(AND(Programme_Grunddaten!$A701="Geprüft",Programme_Grunddaten!AQ701&lt;&gt;""),IF(Programme_Grunddaten!AQ701="Ja",1,0),"")</f>
        <v/>
      </c>
      <c r="AJ696" s="1" t="str">
        <f>IF(AND(Programme_Grunddaten!$A701="Geprüft",Programme_Grunddaten!AR701&lt;&gt;""),IF(Programme_Grunddaten!AR701="Ja",1,0),"")</f>
        <v/>
      </c>
      <c r="AK696" s="1" t="str">
        <f>IF(AND(Programme_Grunddaten!$A701="Geprüft",Programme_Grunddaten!AS701&lt;&gt;""),IF(Programme_Grunddaten!AS701="Ja",1,0),"")</f>
        <v/>
      </c>
      <c r="AL696" s="1" t="str">
        <f>IF(AND(Programme_Grunddaten!$A701="Geprüft",Programme_Grunddaten!AT701&lt;&gt;""),IF(Programme_Grunddaten!AT701="Ja",1,0),"")</f>
        <v/>
      </c>
      <c r="AM696" s="1" t="str">
        <f>IF(AND(Programme_Grunddaten!$A701="Geprüft",Programme_Grunddaten!AU701&lt;&gt;""),IF(Programme_Grunddaten!AU701="Ja",1,0),"")</f>
        <v/>
      </c>
      <c r="AN696" s="1" t="str">
        <f>IF(AND(Programme_Grunddaten!$A701="Geprüft",Programme_Grunddaten!AV701&lt;&gt;""),IF(Programme_Grunddaten!AV701="Ja",1,0),"")</f>
        <v/>
      </c>
    </row>
    <row r="697" spans="1:40" x14ac:dyDescent="0.3">
      <c r="A697" s="1" t="str">
        <f>IF(AND(Programme_Grunddaten!A702="Geprüft",Programme_Grunddaten!B702&lt;&gt;""),Programme_Grunddaten!B702,"")</f>
        <v/>
      </c>
      <c r="B697" s="1" t="str">
        <f>IF(AND(Programme_Grunddaten!$A702="Geprüft",Programme_Grunddaten!I702&lt;&gt;""),IF(Programme_Grunddaten!I702="Ja",1,0),"")</f>
        <v/>
      </c>
      <c r="C697" s="1" t="str">
        <f>IF(AND(Programme_Grunddaten!$A702="Geprüft",Programme_Grunddaten!J702&lt;&gt;""),IF(Programme_Grunddaten!J702="Ja",1,0),"")</f>
        <v/>
      </c>
      <c r="D697" s="1" t="str">
        <f>IF(AND(Programme_Grunddaten!$A702="Geprüft",Programme_Grunddaten!K702&lt;&gt;""),IF(Programme_Grunddaten!K702="Ja",1,0),"")</f>
        <v/>
      </c>
      <c r="E697" s="1" t="str">
        <f>IF(AND(Programme_Grunddaten!$A702="Geprüft",Programme_Grunddaten!L702&lt;&gt;""),IF(Programme_Grunddaten!L702="Abo / befristete Lizenz",1,0),"")</f>
        <v/>
      </c>
      <c r="F697" s="1" t="str">
        <f>IF(AND(Programme_Grunddaten!$A702="Geprüft",Programme_Grunddaten!M702&lt;&gt;""),IF(Programme_Grunddaten!M702="Ja",1,0),"")</f>
        <v/>
      </c>
      <c r="G697" s="1" t="str">
        <f>IF(AND(Programme_Grunddaten!$A702="Geprüft",Programme_Grunddaten!N702&lt;&gt;""),IF(Programme_Grunddaten!N702="Ja",1,0),"")</f>
        <v/>
      </c>
      <c r="H697" s="1" t="str">
        <f>IF(AND(Programme_Grunddaten!$A702="Geprüft",Programme_Grunddaten!O702&lt;&gt;""),IF(Programme_Grunddaten!O702="Deutschland",0,IF(Programme_Grunddaten!O702="EU",1,2)),"")</f>
        <v/>
      </c>
      <c r="I697" s="1" t="str">
        <f>IF(AND(Programme_Grunddaten!$A702="Geprüft",Programme_Grunddaten!P702&lt;&gt;""),IF(Programme_Grunddaten!P702="Ja",1,0),"")</f>
        <v/>
      </c>
      <c r="J697" s="1" t="str">
        <f>IF(AND(Programme_Grunddaten!$A702="Geprüft",Programme_Grunddaten!Q702&lt;&gt;""),IF(Programme_Grunddaten!Q702="geschlossenes System",1,0),"")</f>
        <v/>
      </c>
      <c r="K697" s="1" t="str">
        <f>IF(AND(Programme_Grunddaten!$A702="Geprüft",Programme_Grunddaten!R702&lt;&gt;""),IF(Programme_Grunddaten!R702="Ja",1,0),"")</f>
        <v/>
      </c>
      <c r="L697" s="1" t="str">
        <f>IF(AND(Programme_Grunddaten!$A702="Geprüft",Programme_Grunddaten!T702&lt;&gt;""),IF(Programme_Grunddaten!T702="Ja",1,0),"")</f>
        <v/>
      </c>
      <c r="M697" s="1" t="str">
        <f>IF(AND(Programme_Grunddaten!$A702="Geprüft",Programme_Grunddaten!U702&lt;&gt;""),IF(Programme_Grunddaten!U702="Ja",1,0),"")</f>
        <v/>
      </c>
      <c r="N697" s="1" t="str">
        <f>IF(AND(Programme_Grunddaten!$A702="Geprüft",Programme_Grunddaten!V702&lt;&gt;""),IF(Programme_Grunddaten!V702="Ja",1,0),"")</f>
        <v/>
      </c>
      <c r="O697" s="1" t="str">
        <f>IF(AND(Programme_Grunddaten!$A702="Geprüft",Programme_Grunddaten!W702&lt;&gt;""),IF(Programme_Grunddaten!W702="Ja",1,0),"")</f>
        <v/>
      </c>
      <c r="P697" s="1" t="str">
        <f>IF(AND(Programme_Grunddaten!$A702="Geprüft",Programme_Grunddaten!X702&lt;&gt;""),IF(Programme_Grunddaten!X702="Ja",1,0),"")</f>
        <v/>
      </c>
      <c r="Q697" s="1" t="str">
        <f>IF(AND(Programme_Grunddaten!$A702="Geprüft",Programme_Grunddaten!Y702&lt;&gt;""),IF(Programme_Grunddaten!Y702="Ja",1,0),"")</f>
        <v/>
      </c>
      <c r="R697" s="1" t="str">
        <f>IF(AND(Programme_Grunddaten!$A702="Geprüft",Programme_Grunddaten!Z702&lt;&gt;""),IF(Programme_Grunddaten!Z702="Ja",1,0),"")</f>
        <v/>
      </c>
      <c r="S697" s="1" t="str">
        <f>IF(AND(Programme_Grunddaten!$A702="Geprüft",Programme_Grunddaten!AA702&lt;&gt;""),IF(Programme_Grunddaten!AA702="monolithisch",1,0),"")</f>
        <v/>
      </c>
      <c r="T697" s="1" t="str">
        <f>IF(AND(Programme_Grunddaten!$A702="Geprüft",Programme_Grunddaten!AB702&lt;&gt;""),IF(Programme_Grunddaten!AB702="Ja",1,0),"")</f>
        <v/>
      </c>
      <c r="U697" s="1" t="str">
        <f>IF(AND(Programme_Grunddaten!$A702="Geprüft",Programme_Grunddaten!AC702&lt;&gt;""),IF(Programme_Grunddaten!AC702="Ja",1,0),"")</f>
        <v/>
      </c>
      <c r="V697" s="1" t="str">
        <f>IF(AND(Programme_Grunddaten!$A702="Geprüft",Programme_Grunddaten!AD702&lt;&gt;""),IF(Programme_Grunddaten!AD702="Ja",1,0),"")</f>
        <v/>
      </c>
      <c r="W697" s="1" t="str">
        <f>IF(AND(Programme_Grunddaten!$A702="Geprüft",Programme_Grunddaten!AE702&lt;&gt;""),IF(Programme_Grunddaten!AE702="Ja",1,0),"")</f>
        <v/>
      </c>
      <c r="X697" s="1" t="str">
        <f>IF(AND(Programme_Grunddaten!$A702="Geprüft",Programme_Grunddaten!AF702&lt;&gt;""),IF(Programme_Grunddaten!AF702="Ja",1,0),"")</f>
        <v/>
      </c>
      <c r="Y697" s="1" t="str">
        <f>IF(AND(Programme_Grunddaten!$A702="Geprüft",Programme_Grunddaten!AG702&lt;&gt;""),IF(Programme_Grunddaten!AG702="Ja",1,0),"")</f>
        <v/>
      </c>
      <c r="Z697" s="1" t="str">
        <f>IF(AND(Programme_Grunddaten!$A702="Geprüft",Programme_Grunddaten!AH702&lt;&gt;""),IF(Programme_Grunddaten!AH702="Ja",1,0),"")</f>
        <v/>
      </c>
      <c r="AA697" s="1" t="str">
        <f>IF(AND(Programme_Grunddaten!$A702="Geprüft",Programme_Grunddaten!AI702&lt;&gt;""),IF(Programme_Grunddaten!AI702="Ja",1,0),"")</f>
        <v/>
      </c>
      <c r="AB697" s="1" t="str">
        <f>IF(AND(Programme_Grunddaten!$A702="Geprüft",Programme_Grunddaten!AJ702&lt;&gt;""),IF(Programme_Grunddaten!AJ702="individuell programmierbar",1,0),"")</f>
        <v/>
      </c>
      <c r="AC697" s="1" t="str">
        <f>IF(AND(Programme_Grunddaten!$A702="Geprüft",Programme_Grunddaten!AK702&lt;&gt;""),IF(Programme_Grunddaten!AK702="Deutsch",0,IF(Programme_Grunddaten!AK702="Deutsch und Englisch",1,2)),"")</f>
        <v/>
      </c>
      <c r="AD697" s="1" t="str">
        <f>IF(AND(Programme_Grunddaten!$A702="Geprüft",Programme_Grunddaten!AL702&lt;&gt;""),IF(Programme_Grunddaten!AL702="Ja",1,0),"")</f>
        <v/>
      </c>
      <c r="AE697" s="1" t="str">
        <f>IF(AND(Programme_Grunddaten!$A702="Geprüft",Programme_Grunddaten!AM702&lt;&gt;""),IF(Programme_Grunddaten!AM702="Ja",1,0),"")</f>
        <v/>
      </c>
      <c r="AF697" s="1" t="str">
        <f>IF(AND(Programme_Grunddaten!$A702="Geprüft",Programme_Grunddaten!AN702&lt;&gt;""),IF(Programme_Grunddaten!AN702="Ja",1,0),"")</f>
        <v/>
      </c>
      <c r="AG697" s="1" t="str">
        <f>IF(AND(Programme_Grunddaten!$A702="Geprüft",Programme_Grunddaten!AO702&lt;&gt;""),IF(Programme_Grunddaten!AO702="Ja",1,0),"")</f>
        <v/>
      </c>
      <c r="AH697" s="1" t="str">
        <f>IF(AND(Programme_Grunddaten!$A702="Geprüft",Programme_Grunddaten!AP702&lt;&gt;""),IF(Programme_Grunddaten!AP702="Ja",1,0),"")</f>
        <v/>
      </c>
      <c r="AI697" s="1" t="str">
        <f>IF(AND(Programme_Grunddaten!$A702="Geprüft",Programme_Grunddaten!AQ702&lt;&gt;""),IF(Programme_Grunddaten!AQ702="Ja",1,0),"")</f>
        <v/>
      </c>
      <c r="AJ697" s="1" t="str">
        <f>IF(AND(Programme_Grunddaten!$A702="Geprüft",Programme_Grunddaten!AR702&lt;&gt;""),IF(Programme_Grunddaten!AR702="Ja",1,0),"")</f>
        <v/>
      </c>
      <c r="AK697" s="1" t="str">
        <f>IF(AND(Programme_Grunddaten!$A702="Geprüft",Programme_Grunddaten!AS702&lt;&gt;""),IF(Programme_Grunddaten!AS702="Ja",1,0),"")</f>
        <v/>
      </c>
      <c r="AL697" s="1" t="str">
        <f>IF(AND(Programme_Grunddaten!$A702="Geprüft",Programme_Grunddaten!AT702&lt;&gt;""),IF(Programme_Grunddaten!AT702="Ja",1,0),"")</f>
        <v/>
      </c>
      <c r="AM697" s="1" t="str">
        <f>IF(AND(Programme_Grunddaten!$A702="Geprüft",Programme_Grunddaten!AU702&lt;&gt;""),IF(Programme_Grunddaten!AU702="Ja",1,0),"")</f>
        <v/>
      </c>
      <c r="AN697" s="1" t="str">
        <f>IF(AND(Programme_Grunddaten!$A702="Geprüft",Programme_Grunddaten!AV702&lt;&gt;""),IF(Programme_Grunddaten!AV702="Ja",1,0),"")</f>
        <v/>
      </c>
    </row>
    <row r="698" spans="1:40" x14ac:dyDescent="0.3">
      <c r="A698" s="1" t="str">
        <f>IF(AND(Programme_Grunddaten!A703="Geprüft",Programme_Grunddaten!B703&lt;&gt;""),Programme_Grunddaten!B703,"")</f>
        <v/>
      </c>
      <c r="B698" s="1" t="str">
        <f>IF(AND(Programme_Grunddaten!$A703="Geprüft",Programme_Grunddaten!I703&lt;&gt;""),IF(Programme_Grunddaten!I703="Ja",1,0),"")</f>
        <v/>
      </c>
      <c r="C698" s="1" t="str">
        <f>IF(AND(Programme_Grunddaten!$A703="Geprüft",Programme_Grunddaten!J703&lt;&gt;""),IF(Programme_Grunddaten!J703="Ja",1,0),"")</f>
        <v/>
      </c>
      <c r="D698" s="1" t="str">
        <f>IF(AND(Programme_Grunddaten!$A703="Geprüft",Programme_Grunddaten!K703&lt;&gt;""),IF(Programme_Grunddaten!K703="Ja",1,0),"")</f>
        <v/>
      </c>
      <c r="E698" s="1" t="str">
        <f>IF(AND(Programme_Grunddaten!$A703="Geprüft",Programme_Grunddaten!L703&lt;&gt;""),IF(Programme_Grunddaten!L703="Abo / befristete Lizenz",1,0),"")</f>
        <v/>
      </c>
      <c r="F698" s="1" t="str">
        <f>IF(AND(Programme_Grunddaten!$A703="Geprüft",Programme_Grunddaten!M703&lt;&gt;""),IF(Programme_Grunddaten!M703="Ja",1,0),"")</f>
        <v/>
      </c>
      <c r="G698" s="1" t="str">
        <f>IF(AND(Programme_Grunddaten!$A703="Geprüft",Programme_Grunddaten!N703&lt;&gt;""),IF(Programme_Grunddaten!N703="Ja",1,0),"")</f>
        <v/>
      </c>
      <c r="H698" s="1" t="str">
        <f>IF(AND(Programme_Grunddaten!$A703="Geprüft",Programme_Grunddaten!O703&lt;&gt;""),IF(Programme_Grunddaten!O703="Deutschland",0,IF(Programme_Grunddaten!O703="EU",1,2)),"")</f>
        <v/>
      </c>
      <c r="I698" s="1" t="str">
        <f>IF(AND(Programme_Grunddaten!$A703="Geprüft",Programme_Grunddaten!P703&lt;&gt;""),IF(Programme_Grunddaten!P703="Ja",1,0),"")</f>
        <v/>
      </c>
      <c r="J698" s="1" t="str">
        <f>IF(AND(Programme_Grunddaten!$A703="Geprüft",Programme_Grunddaten!Q703&lt;&gt;""),IF(Programme_Grunddaten!Q703="geschlossenes System",1,0),"")</f>
        <v/>
      </c>
      <c r="K698" s="1" t="str">
        <f>IF(AND(Programme_Grunddaten!$A703="Geprüft",Programme_Grunddaten!R703&lt;&gt;""),IF(Programme_Grunddaten!R703="Ja",1,0),"")</f>
        <v/>
      </c>
      <c r="L698" s="1" t="str">
        <f>IF(AND(Programme_Grunddaten!$A703="Geprüft",Programme_Grunddaten!T703&lt;&gt;""),IF(Programme_Grunddaten!T703="Ja",1,0),"")</f>
        <v/>
      </c>
      <c r="M698" s="1" t="str">
        <f>IF(AND(Programme_Grunddaten!$A703="Geprüft",Programme_Grunddaten!U703&lt;&gt;""),IF(Programme_Grunddaten!U703="Ja",1,0),"")</f>
        <v/>
      </c>
      <c r="N698" s="1" t="str">
        <f>IF(AND(Programme_Grunddaten!$A703="Geprüft",Programme_Grunddaten!V703&lt;&gt;""),IF(Programme_Grunddaten!V703="Ja",1,0),"")</f>
        <v/>
      </c>
      <c r="O698" s="1" t="str">
        <f>IF(AND(Programme_Grunddaten!$A703="Geprüft",Programme_Grunddaten!W703&lt;&gt;""),IF(Programme_Grunddaten!W703="Ja",1,0),"")</f>
        <v/>
      </c>
      <c r="P698" s="1" t="str">
        <f>IF(AND(Programme_Grunddaten!$A703="Geprüft",Programme_Grunddaten!X703&lt;&gt;""),IF(Programme_Grunddaten!X703="Ja",1,0),"")</f>
        <v/>
      </c>
      <c r="Q698" s="1" t="str">
        <f>IF(AND(Programme_Grunddaten!$A703="Geprüft",Programme_Grunddaten!Y703&lt;&gt;""),IF(Programme_Grunddaten!Y703="Ja",1,0),"")</f>
        <v/>
      </c>
      <c r="R698" s="1" t="str">
        <f>IF(AND(Programme_Grunddaten!$A703="Geprüft",Programme_Grunddaten!Z703&lt;&gt;""),IF(Programme_Grunddaten!Z703="Ja",1,0),"")</f>
        <v/>
      </c>
      <c r="S698" s="1" t="str">
        <f>IF(AND(Programme_Grunddaten!$A703="Geprüft",Programme_Grunddaten!AA703&lt;&gt;""),IF(Programme_Grunddaten!AA703="monolithisch",1,0),"")</f>
        <v/>
      </c>
      <c r="T698" s="1" t="str">
        <f>IF(AND(Programme_Grunddaten!$A703="Geprüft",Programme_Grunddaten!AB703&lt;&gt;""),IF(Programme_Grunddaten!AB703="Ja",1,0),"")</f>
        <v/>
      </c>
      <c r="U698" s="1" t="str">
        <f>IF(AND(Programme_Grunddaten!$A703="Geprüft",Programme_Grunddaten!AC703&lt;&gt;""),IF(Programme_Grunddaten!AC703="Ja",1,0),"")</f>
        <v/>
      </c>
      <c r="V698" s="1" t="str">
        <f>IF(AND(Programme_Grunddaten!$A703="Geprüft",Programme_Grunddaten!AD703&lt;&gt;""),IF(Programme_Grunddaten!AD703="Ja",1,0),"")</f>
        <v/>
      </c>
      <c r="W698" s="1" t="str">
        <f>IF(AND(Programme_Grunddaten!$A703="Geprüft",Programme_Grunddaten!AE703&lt;&gt;""),IF(Programme_Grunddaten!AE703="Ja",1,0),"")</f>
        <v/>
      </c>
      <c r="X698" s="1" t="str">
        <f>IF(AND(Programme_Grunddaten!$A703="Geprüft",Programme_Grunddaten!AF703&lt;&gt;""),IF(Programme_Grunddaten!AF703="Ja",1,0),"")</f>
        <v/>
      </c>
      <c r="Y698" s="1" t="str">
        <f>IF(AND(Programme_Grunddaten!$A703="Geprüft",Programme_Grunddaten!AG703&lt;&gt;""),IF(Programme_Grunddaten!AG703="Ja",1,0),"")</f>
        <v/>
      </c>
      <c r="Z698" s="1" t="str">
        <f>IF(AND(Programme_Grunddaten!$A703="Geprüft",Programme_Grunddaten!AH703&lt;&gt;""),IF(Programme_Grunddaten!AH703="Ja",1,0),"")</f>
        <v/>
      </c>
      <c r="AA698" s="1" t="str">
        <f>IF(AND(Programme_Grunddaten!$A703="Geprüft",Programme_Grunddaten!AI703&lt;&gt;""),IF(Programme_Grunddaten!AI703="Ja",1,0),"")</f>
        <v/>
      </c>
      <c r="AB698" s="1" t="str">
        <f>IF(AND(Programme_Grunddaten!$A703="Geprüft",Programme_Grunddaten!AJ703&lt;&gt;""),IF(Programme_Grunddaten!AJ703="individuell programmierbar",1,0),"")</f>
        <v/>
      </c>
      <c r="AC698" s="1" t="str">
        <f>IF(AND(Programme_Grunddaten!$A703="Geprüft",Programme_Grunddaten!AK703&lt;&gt;""),IF(Programme_Grunddaten!AK703="Deutsch",0,IF(Programme_Grunddaten!AK703="Deutsch und Englisch",1,2)),"")</f>
        <v/>
      </c>
      <c r="AD698" s="1" t="str">
        <f>IF(AND(Programme_Grunddaten!$A703="Geprüft",Programme_Grunddaten!AL703&lt;&gt;""),IF(Programme_Grunddaten!AL703="Ja",1,0),"")</f>
        <v/>
      </c>
      <c r="AE698" s="1" t="str">
        <f>IF(AND(Programme_Grunddaten!$A703="Geprüft",Programme_Grunddaten!AM703&lt;&gt;""),IF(Programme_Grunddaten!AM703="Ja",1,0),"")</f>
        <v/>
      </c>
      <c r="AF698" s="1" t="str">
        <f>IF(AND(Programme_Grunddaten!$A703="Geprüft",Programme_Grunddaten!AN703&lt;&gt;""),IF(Programme_Grunddaten!AN703="Ja",1,0),"")</f>
        <v/>
      </c>
      <c r="AG698" s="1" t="str">
        <f>IF(AND(Programme_Grunddaten!$A703="Geprüft",Programme_Grunddaten!AO703&lt;&gt;""),IF(Programme_Grunddaten!AO703="Ja",1,0),"")</f>
        <v/>
      </c>
      <c r="AH698" s="1" t="str">
        <f>IF(AND(Programme_Grunddaten!$A703="Geprüft",Programme_Grunddaten!AP703&lt;&gt;""),IF(Programme_Grunddaten!AP703="Ja",1,0),"")</f>
        <v/>
      </c>
      <c r="AI698" s="1" t="str">
        <f>IF(AND(Programme_Grunddaten!$A703="Geprüft",Programme_Grunddaten!AQ703&lt;&gt;""),IF(Programme_Grunddaten!AQ703="Ja",1,0),"")</f>
        <v/>
      </c>
      <c r="AJ698" s="1" t="str">
        <f>IF(AND(Programme_Grunddaten!$A703="Geprüft",Programme_Grunddaten!AR703&lt;&gt;""),IF(Programme_Grunddaten!AR703="Ja",1,0),"")</f>
        <v/>
      </c>
      <c r="AK698" s="1" t="str">
        <f>IF(AND(Programme_Grunddaten!$A703="Geprüft",Programme_Grunddaten!AS703&lt;&gt;""),IF(Programme_Grunddaten!AS703="Ja",1,0),"")</f>
        <v/>
      </c>
      <c r="AL698" s="1" t="str">
        <f>IF(AND(Programme_Grunddaten!$A703="Geprüft",Programme_Grunddaten!AT703&lt;&gt;""),IF(Programme_Grunddaten!AT703="Ja",1,0),"")</f>
        <v/>
      </c>
      <c r="AM698" s="1" t="str">
        <f>IF(AND(Programme_Grunddaten!$A703="Geprüft",Programme_Grunddaten!AU703&lt;&gt;""),IF(Programme_Grunddaten!AU703="Ja",1,0),"")</f>
        <v/>
      </c>
      <c r="AN698" s="1" t="str">
        <f>IF(AND(Programme_Grunddaten!$A703="Geprüft",Programme_Grunddaten!AV703&lt;&gt;""),IF(Programme_Grunddaten!AV703="Ja",1,0),"")</f>
        <v/>
      </c>
    </row>
    <row r="699" spans="1:40" x14ac:dyDescent="0.3">
      <c r="A699" s="1" t="str">
        <f>IF(AND(Programme_Grunddaten!A704="Geprüft",Programme_Grunddaten!B704&lt;&gt;""),Programme_Grunddaten!B704,"")</f>
        <v/>
      </c>
      <c r="B699" s="1" t="str">
        <f>IF(AND(Programme_Grunddaten!$A704="Geprüft",Programme_Grunddaten!I704&lt;&gt;""),IF(Programme_Grunddaten!I704="Ja",1,0),"")</f>
        <v/>
      </c>
      <c r="C699" s="1" t="str">
        <f>IF(AND(Programme_Grunddaten!$A704="Geprüft",Programme_Grunddaten!J704&lt;&gt;""),IF(Programme_Grunddaten!J704="Ja",1,0),"")</f>
        <v/>
      </c>
      <c r="D699" s="1" t="str">
        <f>IF(AND(Programme_Grunddaten!$A704="Geprüft",Programme_Grunddaten!K704&lt;&gt;""),IF(Programme_Grunddaten!K704="Ja",1,0),"")</f>
        <v/>
      </c>
      <c r="E699" s="1" t="str">
        <f>IF(AND(Programme_Grunddaten!$A704="Geprüft",Programme_Grunddaten!L704&lt;&gt;""),IF(Programme_Grunddaten!L704="Abo / befristete Lizenz",1,0),"")</f>
        <v/>
      </c>
      <c r="F699" s="1" t="str">
        <f>IF(AND(Programme_Grunddaten!$A704="Geprüft",Programme_Grunddaten!M704&lt;&gt;""),IF(Programme_Grunddaten!M704="Ja",1,0),"")</f>
        <v/>
      </c>
      <c r="G699" s="1" t="str">
        <f>IF(AND(Programme_Grunddaten!$A704="Geprüft",Programme_Grunddaten!N704&lt;&gt;""),IF(Programme_Grunddaten!N704="Ja",1,0),"")</f>
        <v/>
      </c>
      <c r="H699" s="1" t="str">
        <f>IF(AND(Programme_Grunddaten!$A704="Geprüft",Programme_Grunddaten!O704&lt;&gt;""),IF(Programme_Grunddaten!O704="Deutschland",0,IF(Programme_Grunddaten!O704="EU",1,2)),"")</f>
        <v/>
      </c>
      <c r="I699" s="1" t="str">
        <f>IF(AND(Programme_Grunddaten!$A704="Geprüft",Programme_Grunddaten!P704&lt;&gt;""),IF(Programme_Grunddaten!P704="Ja",1,0),"")</f>
        <v/>
      </c>
      <c r="J699" s="1" t="str">
        <f>IF(AND(Programme_Grunddaten!$A704="Geprüft",Programme_Grunddaten!Q704&lt;&gt;""),IF(Programme_Grunddaten!Q704="geschlossenes System",1,0),"")</f>
        <v/>
      </c>
      <c r="K699" s="1" t="str">
        <f>IF(AND(Programme_Grunddaten!$A704="Geprüft",Programme_Grunddaten!R704&lt;&gt;""),IF(Programme_Grunddaten!R704="Ja",1,0),"")</f>
        <v/>
      </c>
      <c r="L699" s="1" t="str">
        <f>IF(AND(Programme_Grunddaten!$A704="Geprüft",Programme_Grunddaten!T704&lt;&gt;""),IF(Programme_Grunddaten!T704="Ja",1,0),"")</f>
        <v/>
      </c>
      <c r="M699" s="1" t="str">
        <f>IF(AND(Programme_Grunddaten!$A704="Geprüft",Programme_Grunddaten!U704&lt;&gt;""),IF(Programme_Grunddaten!U704="Ja",1,0),"")</f>
        <v/>
      </c>
      <c r="N699" s="1" t="str">
        <f>IF(AND(Programme_Grunddaten!$A704="Geprüft",Programme_Grunddaten!V704&lt;&gt;""),IF(Programme_Grunddaten!V704="Ja",1,0),"")</f>
        <v/>
      </c>
      <c r="O699" s="1" t="str">
        <f>IF(AND(Programme_Grunddaten!$A704="Geprüft",Programme_Grunddaten!W704&lt;&gt;""),IF(Programme_Grunddaten!W704="Ja",1,0),"")</f>
        <v/>
      </c>
      <c r="P699" s="1" t="str">
        <f>IF(AND(Programme_Grunddaten!$A704="Geprüft",Programme_Grunddaten!X704&lt;&gt;""),IF(Programme_Grunddaten!X704="Ja",1,0),"")</f>
        <v/>
      </c>
      <c r="Q699" s="1" t="str">
        <f>IF(AND(Programme_Grunddaten!$A704="Geprüft",Programme_Grunddaten!Y704&lt;&gt;""),IF(Programme_Grunddaten!Y704="Ja",1,0),"")</f>
        <v/>
      </c>
      <c r="R699" s="1" t="str">
        <f>IF(AND(Programme_Grunddaten!$A704="Geprüft",Programme_Grunddaten!Z704&lt;&gt;""),IF(Programme_Grunddaten!Z704="Ja",1,0),"")</f>
        <v/>
      </c>
      <c r="S699" s="1" t="str">
        <f>IF(AND(Programme_Grunddaten!$A704="Geprüft",Programme_Grunddaten!AA704&lt;&gt;""),IF(Programme_Grunddaten!AA704="monolithisch",1,0),"")</f>
        <v/>
      </c>
      <c r="T699" s="1" t="str">
        <f>IF(AND(Programme_Grunddaten!$A704="Geprüft",Programme_Grunddaten!AB704&lt;&gt;""),IF(Programme_Grunddaten!AB704="Ja",1,0),"")</f>
        <v/>
      </c>
      <c r="U699" s="1" t="str">
        <f>IF(AND(Programme_Grunddaten!$A704="Geprüft",Programme_Grunddaten!AC704&lt;&gt;""),IF(Programme_Grunddaten!AC704="Ja",1,0),"")</f>
        <v/>
      </c>
      <c r="V699" s="1" t="str">
        <f>IF(AND(Programme_Grunddaten!$A704="Geprüft",Programme_Grunddaten!AD704&lt;&gt;""),IF(Programme_Grunddaten!AD704="Ja",1,0),"")</f>
        <v/>
      </c>
      <c r="W699" s="1" t="str">
        <f>IF(AND(Programme_Grunddaten!$A704="Geprüft",Programme_Grunddaten!AE704&lt;&gt;""),IF(Programme_Grunddaten!AE704="Ja",1,0),"")</f>
        <v/>
      </c>
      <c r="X699" s="1" t="str">
        <f>IF(AND(Programme_Grunddaten!$A704="Geprüft",Programme_Grunddaten!AF704&lt;&gt;""),IF(Programme_Grunddaten!AF704="Ja",1,0),"")</f>
        <v/>
      </c>
      <c r="Y699" s="1" t="str">
        <f>IF(AND(Programme_Grunddaten!$A704="Geprüft",Programme_Grunddaten!AG704&lt;&gt;""),IF(Programme_Grunddaten!AG704="Ja",1,0),"")</f>
        <v/>
      </c>
      <c r="Z699" s="1" t="str">
        <f>IF(AND(Programme_Grunddaten!$A704="Geprüft",Programme_Grunddaten!AH704&lt;&gt;""),IF(Programme_Grunddaten!AH704="Ja",1,0),"")</f>
        <v/>
      </c>
      <c r="AA699" s="1" t="str">
        <f>IF(AND(Programme_Grunddaten!$A704="Geprüft",Programme_Grunddaten!AI704&lt;&gt;""),IF(Programme_Grunddaten!AI704="Ja",1,0),"")</f>
        <v/>
      </c>
      <c r="AB699" s="1" t="str">
        <f>IF(AND(Programme_Grunddaten!$A704="Geprüft",Programme_Grunddaten!AJ704&lt;&gt;""),IF(Programme_Grunddaten!AJ704="individuell programmierbar",1,0),"")</f>
        <v/>
      </c>
      <c r="AC699" s="1" t="str">
        <f>IF(AND(Programme_Grunddaten!$A704="Geprüft",Programme_Grunddaten!AK704&lt;&gt;""),IF(Programme_Grunddaten!AK704="Deutsch",0,IF(Programme_Grunddaten!AK704="Deutsch und Englisch",1,2)),"")</f>
        <v/>
      </c>
      <c r="AD699" s="1" t="str">
        <f>IF(AND(Programme_Grunddaten!$A704="Geprüft",Programme_Grunddaten!AL704&lt;&gt;""),IF(Programme_Grunddaten!AL704="Ja",1,0),"")</f>
        <v/>
      </c>
      <c r="AE699" s="1" t="str">
        <f>IF(AND(Programme_Grunddaten!$A704="Geprüft",Programme_Grunddaten!AM704&lt;&gt;""),IF(Programme_Grunddaten!AM704="Ja",1,0),"")</f>
        <v/>
      </c>
      <c r="AF699" s="1" t="str">
        <f>IF(AND(Programme_Grunddaten!$A704="Geprüft",Programme_Grunddaten!AN704&lt;&gt;""),IF(Programme_Grunddaten!AN704="Ja",1,0),"")</f>
        <v/>
      </c>
      <c r="AG699" s="1" t="str">
        <f>IF(AND(Programme_Grunddaten!$A704="Geprüft",Programme_Grunddaten!AO704&lt;&gt;""),IF(Programme_Grunddaten!AO704="Ja",1,0),"")</f>
        <v/>
      </c>
      <c r="AH699" s="1" t="str">
        <f>IF(AND(Programme_Grunddaten!$A704="Geprüft",Programme_Grunddaten!AP704&lt;&gt;""),IF(Programme_Grunddaten!AP704="Ja",1,0),"")</f>
        <v/>
      </c>
      <c r="AI699" s="1" t="str">
        <f>IF(AND(Programme_Grunddaten!$A704="Geprüft",Programme_Grunddaten!AQ704&lt;&gt;""),IF(Programme_Grunddaten!AQ704="Ja",1,0),"")</f>
        <v/>
      </c>
      <c r="AJ699" s="1" t="str">
        <f>IF(AND(Programme_Grunddaten!$A704="Geprüft",Programme_Grunddaten!AR704&lt;&gt;""),IF(Programme_Grunddaten!AR704="Ja",1,0),"")</f>
        <v/>
      </c>
      <c r="AK699" s="1" t="str">
        <f>IF(AND(Programme_Grunddaten!$A704="Geprüft",Programme_Grunddaten!AS704&lt;&gt;""),IF(Programme_Grunddaten!AS704="Ja",1,0),"")</f>
        <v/>
      </c>
      <c r="AL699" s="1" t="str">
        <f>IF(AND(Programme_Grunddaten!$A704="Geprüft",Programme_Grunddaten!AT704&lt;&gt;""),IF(Programme_Grunddaten!AT704="Ja",1,0),"")</f>
        <v/>
      </c>
      <c r="AM699" s="1" t="str">
        <f>IF(AND(Programme_Grunddaten!$A704="Geprüft",Programme_Grunddaten!AU704&lt;&gt;""),IF(Programme_Grunddaten!AU704="Ja",1,0),"")</f>
        <v/>
      </c>
      <c r="AN699" s="1" t="str">
        <f>IF(AND(Programme_Grunddaten!$A704="Geprüft",Programme_Grunddaten!AV704&lt;&gt;""),IF(Programme_Grunddaten!AV704="Ja",1,0),"")</f>
        <v/>
      </c>
    </row>
    <row r="700" spans="1:40" x14ac:dyDescent="0.3">
      <c r="A700" s="1" t="str">
        <f>IF(AND(Programme_Grunddaten!A705="Geprüft",Programme_Grunddaten!B705&lt;&gt;""),Programme_Grunddaten!B705,"")</f>
        <v/>
      </c>
      <c r="B700" s="1" t="str">
        <f>IF(AND(Programme_Grunddaten!$A705="Geprüft",Programme_Grunddaten!I705&lt;&gt;""),IF(Programme_Grunddaten!I705="Ja",1,0),"")</f>
        <v/>
      </c>
      <c r="C700" s="1" t="str">
        <f>IF(AND(Programme_Grunddaten!$A705="Geprüft",Programme_Grunddaten!J705&lt;&gt;""),IF(Programme_Grunddaten!J705="Ja",1,0),"")</f>
        <v/>
      </c>
      <c r="D700" s="1" t="str">
        <f>IF(AND(Programme_Grunddaten!$A705="Geprüft",Programme_Grunddaten!K705&lt;&gt;""),IF(Programme_Grunddaten!K705="Ja",1,0),"")</f>
        <v/>
      </c>
      <c r="E700" s="1" t="str">
        <f>IF(AND(Programme_Grunddaten!$A705="Geprüft",Programme_Grunddaten!L705&lt;&gt;""),IF(Programme_Grunddaten!L705="Abo / befristete Lizenz",1,0),"")</f>
        <v/>
      </c>
      <c r="F700" s="1" t="str">
        <f>IF(AND(Programme_Grunddaten!$A705="Geprüft",Programme_Grunddaten!M705&lt;&gt;""),IF(Programme_Grunddaten!M705="Ja",1,0),"")</f>
        <v/>
      </c>
      <c r="G700" s="1" t="str">
        <f>IF(AND(Programme_Grunddaten!$A705="Geprüft",Programme_Grunddaten!N705&lt;&gt;""),IF(Programme_Grunddaten!N705="Ja",1,0),"")</f>
        <v/>
      </c>
      <c r="H700" s="1" t="str">
        <f>IF(AND(Programme_Grunddaten!$A705="Geprüft",Programme_Grunddaten!O705&lt;&gt;""),IF(Programme_Grunddaten!O705="Deutschland",0,IF(Programme_Grunddaten!O705="EU",1,2)),"")</f>
        <v/>
      </c>
      <c r="I700" s="1" t="str">
        <f>IF(AND(Programme_Grunddaten!$A705="Geprüft",Programme_Grunddaten!P705&lt;&gt;""),IF(Programme_Grunddaten!P705="Ja",1,0),"")</f>
        <v/>
      </c>
      <c r="J700" s="1" t="str">
        <f>IF(AND(Programme_Grunddaten!$A705="Geprüft",Programme_Grunddaten!Q705&lt;&gt;""),IF(Programme_Grunddaten!Q705="geschlossenes System",1,0),"")</f>
        <v/>
      </c>
      <c r="K700" s="1" t="str">
        <f>IF(AND(Programme_Grunddaten!$A705="Geprüft",Programme_Grunddaten!R705&lt;&gt;""),IF(Programme_Grunddaten!R705="Ja",1,0),"")</f>
        <v/>
      </c>
      <c r="L700" s="1" t="str">
        <f>IF(AND(Programme_Grunddaten!$A705="Geprüft",Programme_Grunddaten!T705&lt;&gt;""),IF(Programme_Grunddaten!T705="Ja",1,0),"")</f>
        <v/>
      </c>
      <c r="M700" s="1" t="str">
        <f>IF(AND(Programme_Grunddaten!$A705="Geprüft",Programme_Grunddaten!U705&lt;&gt;""),IF(Programme_Grunddaten!U705="Ja",1,0),"")</f>
        <v/>
      </c>
      <c r="N700" s="1" t="str">
        <f>IF(AND(Programme_Grunddaten!$A705="Geprüft",Programme_Grunddaten!V705&lt;&gt;""),IF(Programme_Grunddaten!V705="Ja",1,0),"")</f>
        <v/>
      </c>
      <c r="O700" s="1" t="str">
        <f>IF(AND(Programme_Grunddaten!$A705="Geprüft",Programme_Grunddaten!W705&lt;&gt;""),IF(Programme_Grunddaten!W705="Ja",1,0),"")</f>
        <v/>
      </c>
      <c r="P700" s="1" t="str">
        <f>IF(AND(Programme_Grunddaten!$A705="Geprüft",Programme_Grunddaten!X705&lt;&gt;""),IF(Programme_Grunddaten!X705="Ja",1,0),"")</f>
        <v/>
      </c>
      <c r="Q700" s="1" t="str">
        <f>IF(AND(Programme_Grunddaten!$A705="Geprüft",Programme_Grunddaten!Y705&lt;&gt;""),IF(Programme_Grunddaten!Y705="Ja",1,0),"")</f>
        <v/>
      </c>
      <c r="R700" s="1" t="str">
        <f>IF(AND(Programme_Grunddaten!$A705="Geprüft",Programme_Grunddaten!Z705&lt;&gt;""),IF(Programme_Grunddaten!Z705="Ja",1,0),"")</f>
        <v/>
      </c>
      <c r="S700" s="1" t="str">
        <f>IF(AND(Programme_Grunddaten!$A705="Geprüft",Programme_Grunddaten!AA705&lt;&gt;""),IF(Programme_Grunddaten!AA705="monolithisch",1,0),"")</f>
        <v/>
      </c>
      <c r="T700" s="1" t="str">
        <f>IF(AND(Programme_Grunddaten!$A705="Geprüft",Programme_Grunddaten!AB705&lt;&gt;""),IF(Programme_Grunddaten!AB705="Ja",1,0),"")</f>
        <v/>
      </c>
      <c r="U700" s="1" t="str">
        <f>IF(AND(Programme_Grunddaten!$A705="Geprüft",Programme_Grunddaten!AC705&lt;&gt;""),IF(Programme_Grunddaten!AC705="Ja",1,0),"")</f>
        <v/>
      </c>
      <c r="V700" s="1" t="str">
        <f>IF(AND(Programme_Grunddaten!$A705="Geprüft",Programme_Grunddaten!AD705&lt;&gt;""),IF(Programme_Grunddaten!AD705="Ja",1,0),"")</f>
        <v/>
      </c>
      <c r="W700" s="1" t="str">
        <f>IF(AND(Programme_Grunddaten!$A705="Geprüft",Programme_Grunddaten!AE705&lt;&gt;""),IF(Programme_Grunddaten!AE705="Ja",1,0),"")</f>
        <v/>
      </c>
      <c r="X700" s="1" t="str">
        <f>IF(AND(Programme_Grunddaten!$A705="Geprüft",Programme_Grunddaten!AF705&lt;&gt;""),IF(Programme_Grunddaten!AF705="Ja",1,0),"")</f>
        <v/>
      </c>
      <c r="Y700" s="1" t="str">
        <f>IF(AND(Programme_Grunddaten!$A705="Geprüft",Programme_Grunddaten!AG705&lt;&gt;""),IF(Programme_Grunddaten!AG705="Ja",1,0),"")</f>
        <v/>
      </c>
      <c r="Z700" s="1" t="str">
        <f>IF(AND(Programme_Grunddaten!$A705="Geprüft",Programme_Grunddaten!AH705&lt;&gt;""),IF(Programme_Grunddaten!AH705="Ja",1,0),"")</f>
        <v/>
      </c>
      <c r="AA700" s="1" t="str">
        <f>IF(AND(Programme_Grunddaten!$A705="Geprüft",Programme_Grunddaten!AI705&lt;&gt;""),IF(Programme_Grunddaten!AI705="Ja",1,0),"")</f>
        <v/>
      </c>
      <c r="AB700" s="1" t="str">
        <f>IF(AND(Programme_Grunddaten!$A705="Geprüft",Programme_Grunddaten!AJ705&lt;&gt;""),IF(Programme_Grunddaten!AJ705="individuell programmierbar",1,0),"")</f>
        <v/>
      </c>
      <c r="AC700" s="1" t="str">
        <f>IF(AND(Programme_Grunddaten!$A705="Geprüft",Programme_Grunddaten!AK705&lt;&gt;""),IF(Programme_Grunddaten!AK705="Deutsch",0,IF(Programme_Grunddaten!AK705="Deutsch und Englisch",1,2)),"")</f>
        <v/>
      </c>
      <c r="AD700" s="1" t="str">
        <f>IF(AND(Programme_Grunddaten!$A705="Geprüft",Programme_Grunddaten!AL705&lt;&gt;""),IF(Programme_Grunddaten!AL705="Ja",1,0),"")</f>
        <v/>
      </c>
      <c r="AE700" s="1" t="str">
        <f>IF(AND(Programme_Grunddaten!$A705="Geprüft",Programme_Grunddaten!AM705&lt;&gt;""),IF(Programme_Grunddaten!AM705="Ja",1,0),"")</f>
        <v/>
      </c>
      <c r="AF700" s="1" t="str">
        <f>IF(AND(Programme_Grunddaten!$A705="Geprüft",Programme_Grunddaten!AN705&lt;&gt;""),IF(Programme_Grunddaten!AN705="Ja",1,0),"")</f>
        <v/>
      </c>
      <c r="AG700" s="1" t="str">
        <f>IF(AND(Programme_Grunddaten!$A705="Geprüft",Programme_Grunddaten!AO705&lt;&gt;""),IF(Programme_Grunddaten!AO705="Ja",1,0),"")</f>
        <v/>
      </c>
      <c r="AH700" s="1" t="str">
        <f>IF(AND(Programme_Grunddaten!$A705="Geprüft",Programme_Grunddaten!AP705&lt;&gt;""),IF(Programme_Grunddaten!AP705="Ja",1,0),"")</f>
        <v/>
      </c>
      <c r="AI700" s="1" t="str">
        <f>IF(AND(Programme_Grunddaten!$A705="Geprüft",Programme_Grunddaten!AQ705&lt;&gt;""),IF(Programme_Grunddaten!AQ705="Ja",1,0),"")</f>
        <v/>
      </c>
      <c r="AJ700" s="1" t="str">
        <f>IF(AND(Programme_Grunddaten!$A705="Geprüft",Programme_Grunddaten!AR705&lt;&gt;""),IF(Programme_Grunddaten!AR705="Ja",1,0),"")</f>
        <v/>
      </c>
      <c r="AK700" s="1" t="str">
        <f>IF(AND(Programme_Grunddaten!$A705="Geprüft",Programme_Grunddaten!AS705&lt;&gt;""),IF(Programme_Grunddaten!AS705="Ja",1,0),"")</f>
        <v/>
      </c>
      <c r="AL700" s="1" t="str">
        <f>IF(AND(Programme_Grunddaten!$A705="Geprüft",Programme_Grunddaten!AT705&lt;&gt;""),IF(Programme_Grunddaten!AT705="Ja",1,0),"")</f>
        <v/>
      </c>
      <c r="AM700" s="1" t="str">
        <f>IF(AND(Programme_Grunddaten!$A705="Geprüft",Programme_Grunddaten!AU705&lt;&gt;""),IF(Programme_Grunddaten!AU705="Ja",1,0),"")</f>
        <v/>
      </c>
      <c r="AN700" s="1" t="str">
        <f>IF(AND(Programme_Grunddaten!$A705="Geprüft",Programme_Grunddaten!AV705&lt;&gt;""),IF(Programme_Grunddaten!AV705="Ja",1,0),"")</f>
        <v/>
      </c>
    </row>
    <row r="701" spans="1:40" x14ac:dyDescent="0.3">
      <c r="A701" s="1" t="str">
        <f>IF(AND(Programme_Grunddaten!A706="Geprüft",Programme_Grunddaten!B706&lt;&gt;""),Programme_Grunddaten!B706,"")</f>
        <v/>
      </c>
      <c r="B701" s="1" t="str">
        <f>IF(AND(Programme_Grunddaten!$A706="Geprüft",Programme_Grunddaten!I706&lt;&gt;""),IF(Programme_Grunddaten!I706="Ja",1,0),"")</f>
        <v/>
      </c>
      <c r="C701" s="1" t="str">
        <f>IF(AND(Programme_Grunddaten!$A706="Geprüft",Programme_Grunddaten!J706&lt;&gt;""),IF(Programme_Grunddaten!J706="Ja",1,0),"")</f>
        <v/>
      </c>
      <c r="D701" s="1" t="str">
        <f>IF(AND(Programme_Grunddaten!$A706="Geprüft",Programme_Grunddaten!K706&lt;&gt;""),IF(Programme_Grunddaten!K706="Ja",1,0),"")</f>
        <v/>
      </c>
      <c r="E701" s="1" t="str">
        <f>IF(AND(Programme_Grunddaten!$A706="Geprüft",Programme_Grunddaten!L706&lt;&gt;""),IF(Programme_Grunddaten!L706="Abo / befristete Lizenz",1,0),"")</f>
        <v/>
      </c>
      <c r="F701" s="1" t="str">
        <f>IF(AND(Programme_Grunddaten!$A706="Geprüft",Programme_Grunddaten!M706&lt;&gt;""),IF(Programme_Grunddaten!M706="Ja",1,0),"")</f>
        <v/>
      </c>
      <c r="G701" s="1" t="str">
        <f>IF(AND(Programme_Grunddaten!$A706="Geprüft",Programme_Grunddaten!N706&lt;&gt;""),IF(Programme_Grunddaten!N706="Ja",1,0),"")</f>
        <v/>
      </c>
      <c r="H701" s="1" t="str">
        <f>IF(AND(Programme_Grunddaten!$A706="Geprüft",Programme_Grunddaten!O706&lt;&gt;""),IF(Programme_Grunddaten!O706="Deutschland",0,IF(Programme_Grunddaten!O706="EU",1,2)),"")</f>
        <v/>
      </c>
      <c r="I701" s="1" t="str">
        <f>IF(AND(Programme_Grunddaten!$A706="Geprüft",Programme_Grunddaten!P706&lt;&gt;""),IF(Programme_Grunddaten!P706="Ja",1,0),"")</f>
        <v/>
      </c>
      <c r="J701" s="1" t="str">
        <f>IF(AND(Programme_Grunddaten!$A706="Geprüft",Programme_Grunddaten!Q706&lt;&gt;""),IF(Programme_Grunddaten!Q706="geschlossenes System",1,0),"")</f>
        <v/>
      </c>
      <c r="K701" s="1" t="str">
        <f>IF(AND(Programme_Grunddaten!$A706="Geprüft",Programme_Grunddaten!R706&lt;&gt;""),IF(Programme_Grunddaten!R706="Ja",1,0),"")</f>
        <v/>
      </c>
      <c r="L701" s="1" t="str">
        <f>IF(AND(Programme_Grunddaten!$A706="Geprüft",Programme_Grunddaten!T706&lt;&gt;""),IF(Programme_Grunddaten!T706="Ja",1,0),"")</f>
        <v/>
      </c>
      <c r="M701" s="1" t="str">
        <f>IF(AND(Programme_Grunddaten!$A706="Geprüft",Programme_Grunddaten!U706&lt;&gt;""),IF(Programme_Grunddaten!U706="Ja",1,0),"")</f>
        <v/>
      </c>
      <c r="N701" s="1" t="str">
        <f>IF(AND(Programme_Grunddaten!$A706="Geprüft",Programme_Grunddaten!V706&lt;&gt;""),IF(Programme_Grunddaten!V706="Ja",1,0),"")</f>
        <v/>
      </c>
      <c r="O701" s="1" t="str">
        <f>IF(AND(Programme_Grunddaten!$A706="Geprüft",Programme_Grunddaten!W706&lt;&gt;""),IF(Programme_Grunddaten!W706="Ja",1,0),"")</f>
        <v/>
      </c>
      <c r="P701" s="1" t="str">
        <f>IF(AND(Programme_Grunddaten!$A706="Geprüft",Programme_Grunddaten!X706&lt;&gt;""),IF(Programme_Grunddaten!X706="Ja",1,0),"")</f>
        <v/>
      </c>
      <c r="Q701" s="1" t="str">
        <f>IF(AND(Programme_Grunddaten!$A706="Geprüft",Programme_Grunddaten!Y706&lt;&gt;""),IF(Programme_Grunddaten!Y706="Ja",1,0),"")</f>
        <v/>
      </c>
      <c r="R701" s="1" t="str">
        <f>IF(AND(Programme_Grunddaten!$A706="Geprüft",Programme_Grunddaten!Z706&lt;&gt;""),IF(Programme_Grunddaten!Z706="Ja",1,0),"")</f>
        <v/>
      </c>
      <c r="S701" s="1" t="str">
        <f>IF(AND(Programme_Grunddaten!$A706="Geprüft",Programme_Grunddaten!AA706&lt;&gt;""),IF(Programme_Grunddaten!AA706="monolithisch",1,0),"")</f>
        <v/>
      </c>
      <c r="T701" s="1" t="str">
        <f>IF(AND(Programme_Grunddaten!$A706="Geprüft",Programme_Grunddaten!AB706&lt;&gt;""),IF(Programme_Grunddaten!AB706="Ja",1,0),"")</f>
        <v/>
      </c>
      <c r="U701" s="1" t="str">
        <f>IF(AND(Programme_Grunddaten!$A706="Geprüft",Programme_Grunddaten!AC706&lt;&gt;""),IF(Programme_Grunddaten!AC706="Ja",1,0),"")</f>
        <v/>
      </c>
      <c r="V701" s="1" t="str">
        <f>IF(AND(Programme_Grunddaten!$A706="Geprüft",Programme_Grunddaten!AD706&lt;&gt;""),IF(Programme_Grunddaten!AD706="Ja",1,0),"")</f>
        <v/>
      </c>
      <c r="W701" s="1" t="str">
        <f>IF(AND(Programme_Grunddaten!$A706="Geprüft",Programme_Grunddaten!AE706&lt;&gt;""),IF(Programme_Grunddaten!AE706="Ja",1,0),"")</f>
        <v/>
      </c>
      <c r="X701" s="1" t="str">
        <f>IF(AND(Programme_Grunddaten!$A706="Geprüft",Programme_Grunddaten!AF706&lt;&gt;""),IF(Programme_Grunddaten!AF706="Ja",1,0),"")</f>
        <v/>
      </c>
      <c r="Y701" s="1" t="str">
        <f>IF(AND(Programme_Grunddaten!$A706="Geprüft",Programme_Grunddaten!AG706&lt;&gt;""),IF(Programme_Grunddaten!AG706="Ja",1,0),"")</f>
        <v/>
      </c>
      <c r="Z701" s="1" t="str">
        <f>IF(AND(Programme_Grunddaten!$A706="Geprüft",Programme_Grunddaten!AH706&lt;&gt;""),IF(Programme_Grunddaten!AH706="Ja",1,0),"")</f>
        <v/>
      </c>
      <c r="AA701" s="1" t="str">
        <f>IF(AND(Programme_Grunddaten!$A706="Geprüft",Programme_Grunddaten!AI706&lt;&gt;""),IF(Programme_Grunddaten!AI706="Ja",1,0),"")</f>
        <v/>
      </c>
      <c r="AB701" s="1" t="str">
        <f>IF(AND(Programme_Grunddaten!$A706="Geprüft",Programme_Grunddaten!AJ706&lt;&gt;""),IF(Programme_Grunddaten!AJ706="individuell programmierbar",1,0),"")</f>
        <v/>
      </c>
      <c r="AC701" s="1" t="str">
        <f>IF(AND(Programme_Grunddaten!$A706="Geprüft",Programme_Grunddaten!AK706&lt;&gt;""),IF(Programme_Grunddaten!AK706="Deutsch",0,IF(Programme_Grunddaten!AK706="Deutsch und Englisch",1,2)),"")</f>
        <v/>
      </c>
      <c r="AD701" s="1" t="str">
        <f>IF(AND(Programme_Grunddaten!$A706="Geprüft",Programme_Grunddaten!AL706&lt;&gt;""),IF(Programme_Grunddaten!AL706="Ja",1,0),"")</f>
        <v/>
      </c>
      <c r="AE701" s="1" t="str">
        <f>IF(AND(Programme_Grunddaten!$A706="Geprüft",Programme_Grunddaten!AM706&lt;&gt;""),IF(Programme_Grunddaten!AM706="Ja",1,0),"")</f>
        <v/>
      </c>
      <c r="AF701" s="1" t="str">
        <f>IF(AND(Programme_Grunddaten!$A706="Geprüft",Programme_Grunddaten!AN706&lt;&gt;""),IF(Programme_Grunddaten!AN706="Ja",1,0),"")</f>
        <v/>
      </c>
      <c r="AG701" s="1" t="str">
        <f>IF(AND(Programme_Grunddaten!$A706="Geprüft",Programme_Grunddaten!AO706&lt;&gt;""),IF(Programme_Grunddaten!AO706="Ja",1,0),"")</f>
        <v/>
      </c>
      <c r="AH701" s="1" t="str">
        <f>IF(AND(Programme_Grunddaten!$A706="Geprüft",Programme_Grunddaten!AP706&lt;&gt;""),IF(Programme_Grunddaten!AP706="Ja",1,0),"")</f>
        <v/>
      </c>
      <c r="AI701" s="1" t="str">
        <f>IF(AND(Programme_Grunddaten!$A706="Geprüft",Programme_Grunddaten!AQ706&lt;&gt;""),IF(Programme_Grunddaten!AQ706="Ja",1,0),"")</f>
        <v/>
      </c>
      <c r="AJ701" s="1" t="str">
        <f>IF(AND(Programme_Grunddaten!$A706="Geprüft",Programme_Grunddaten!AR706&lt;&gt;""),IF(Programme_Grunddaten!AR706="Ja",1,0),"")</f>
        <v/>
      </c>
      <c r="AK701" s="1" t="str">
        <f>IF(AND(Programme_Grunddaten!$A706="Geprüft",Programme_Grunddaten!AS706&lt;&gt;""),IF(Programme_Grunddaten!AS706="Ja",1,0),"")</f>
        <v/>
      </c>
      <c r="AL701" s="1" t="str">
        <f>IF(AND(Programme_Grunddaten!$A706="Geprüft",Programme_Grunddaten!AT706&lt;&gt;""),IF(Programme_Grunddaten!AT706="Ja",1,0),"")</f>
        <v/>
      </c>
      <c r="AM701" s="1" t="str">
        <f>IF(AND(Programme_Grunddaten!$A706="Geprüft",Programme_Grunddaten!AU706&lt;&gt;""),IF(Programme_Grunddaten!AU706="Ja",1,0),"")</f>
        <v/>
      </c>
      <c r="AN701" s="1" t="str">
        <f>IF(AND(Programme_Grunddaten!$A706="Geprüft",Programme_Grunddaten!AV706&lt;&gt;""),IF(Programme_Grunddaten!AV706="Ja",1,0),"")</f>
        <v/>
      </c>
    </row>
    <row r="702" spans="1:40" x14ac:dyDescent="0.3">
      <c r="A702" s="1" t="str">
        <f>IF(AND(Programme_Grunddaten!A707="Geprüft",Programme_Grunddaten!B707&lt;&gt;""),Programme_Grunddaten!B707,"")</f>
        <v/>
      </c>
      <c r="B702" s="1" t="str">
        <f>IF(AND(Programme_Grunddaten!$A707="Geprüft",Programme_Grunddaten!I707&lt;&gt;""),IF(Programme_Grunddaten!I707="Ja",1,0),"")</f>
        <v/>
      </c>
      <c r="C702" s="1" t="str">
        <f>IF(AND(Programme_Grunddaten!$A707="Geprüft",Programme_Grunddaten!J707&lt;&gt;""),IF(Programme_Grunddaten!J707="Ja",1,0),"")</f>
        <v/>
      </c>
      <c r="D702" s="1" t="str">
        <f>IF(AND(Programme_Grunddaten!$A707="Geprüft",Programme_Grunddaten!K707&lt;&gt;""),IF(Programme_Grunddaten!K707="Ja",1,0),"")</f>
        <v/>
      </c>
      <c r="E702" s="1" t="str">
        <f>IF(AND(Programme_Grunddaten!$A707="Geprüft",Programme_Grunddaten!L707&lt;&gt;""),IF(Programme_Grunddaten!L707="Abo / befristete Lizenz",1,0),"")</f>
        <v/>
      </c>
      <c r="F702" s="1" t="str">
        <f>IF(AND(Programme_Grunddaten!$A707="Geprüft",Programme_Grunddaten!M707&lt;&gt;""),IF(Programme_Grunddaten!M707="Ja",1,0),"")</f>
        <v/>
      </c>
      <c r="G702" s="1" t="str">
        <f>IF(AND(Programme_Grunddaten!$A707="Geprüft",Programme_Grunddaten!N707&lt;&gt;""),IF(Programme_Grunddaten!N707="Ja",1,0),"")</f>
        <v/>
      </c>
      <c r="H702" s="1" t="str">
        <f>IF(AND(Programme_Grunddaten!$A707="Geprüft",Programme_Grunddaten!O707&lt;&gt;""),IF(Programme_Grunddaten!O707="Deutschland",0,IF(Programme_Grunddaten!O707="EU",1,2)),"")</f>
        <v/>
      </c>
      <c r="I702" s="1" t="str">
        <f>IF(AND(Programme_Grunddaten!$A707="Geprüft",Programme_Grunddaten!P707&lt;&gt;""),IF(Programme_Grunddaten!P707="Ja",1,0),"")</f>
        <v/>
      </c>
      <c r="J702" s="1" t="str">
        <f>IF(AND(Programme_Grunddaten!$A707="Geprüft",Programme_Grunddaten!Q707&lt;&gt;""),IF(Programme_Grunddaten!Q707="geschlossenes System",1,0),"")</f>
        <v/>
      </c>
      <c r="K702" s="1" t="str">
        <f>IF(AND(Programme_Grunddaten!$A707="Geprüft",Programme_Grunddaten!R707&lt;&gt;""),IF(Programme_Grunddaten!R707="Ja",1,0),"")</f>
        <v/>
      </c>
      <c r="L702" s="1" t="str">
        <f>IF(AND(Programme_Grunddaten!$A707="Geprüft",Programme_Grunddaten!T707&lt;&gt;""),IF(Programme_Grunddaten!T707="Ja",1,0),"")</f>
        <v/>
      </c>
      <c r="M702" s="1" t="str">
        <f>IF(AND(Programme_Grunddaten!$A707="Geprüft",Programme_Grunddaten!U707&lt;&gt;""),IF(Programme_Grunddaten!U707="Ja",1,0),"")</f>
        <v/>
      </c>
      <c r="N702" s="1" t="str">
        <f>IF(AND(Programme_Grunddaten!$A707="Geprüft",Programme_Grunddaten!V707&lt;&gt;""),IF(Programme_Grunddaten!V707="Ja",1,0),"")</f>
        <v/>
      </c>
      <c r="O702" s="1" t="str">
        <f>IF(AND(Programme_Grunddaten!$A707="Geprüft",Programme_Grunddaten!W707&lt;&gt;""),IF(Programme_Grunddaten!W707="Ja",1,0),"")</f>
        <v/>
      </c>
      <c r="P702" s="1" t="str">
        <f>IF(AND(Programme_Grunddaten!$A707="Geprüft",Programme_Grunddaten!X707&lt;&gt;""),IF(Programme_Grunddaten!X707="Ja",1,0),"")</f>
        <v/>
      </c>
      <c r="Q702" s="1" t="str">
        <f>IF(AND(Programme_Grunddaten!$A707="Geprüft",Programme_Grunddaten!Y707&lt;&gt;""),IF(Programme_Grunddaten!Y707="Ja",1,0),"")</f>
        <v/>
      </c>
      <c r="R702" s="1" t="str">
        <f>IF(AND(Programme_Grunddaten!$A707="Geprüft",Programme_Grunddaten!Z707&lt;&gt;""),IF(Programme_Grunddaten!Z707="Ja",1,0),"")</f>
        <v/>
      </c>
      <c r="S702" s="1" t="str">
        <f>IF(AND(Programme_Grunddaten!$A707="Geprüft",Programme_Grunddaten!AA707&lt;&gt;""),IF(Programme_Grunddaten!AA707="monolithisch",1,0),"")</f>
        <v/>
      </c>
      <c r="T702" s="1" t="str">
        <f>IF(AND(Programme_Grunddaten!$A707="Geprüft",Programme_Grunddaten!AB707&lt;&gt;""),IF(Programme_Grunddaten!AB707="Ja",1,0),"")</f>
        <v/>
      </c>
      <c r="U702" s="1" t="str">
        <f>IF(AND(Programme_Grunddaten!$A707="Geprüft",Programme_Grunddaten!AC707&lt;&gt;""),IF(Programme_Grunddaten!AC707="Ja",1,0),"")</f>
        <v/>
      </c>
      <c r="V702" s="1" t="str">
        <f>IF(AND(Programme_Grunddaten!$A707="Geprüft",Programme_Grunddaten!AD707&lt;&gt;""),IF(Programme_Grunddaten!AD707="Ja",1,0),"")</f>
        <v/>
      </c>
      <c r="W702" s="1" t="str">
        <f>IF(AND(Programme_Grunddaten!$A707="Geprüft",Programme_Grunddaten!AE707&lt;&gt;""),IF(Programme_Grunddaten!AE707="Ja",1,0),"")</f>
        <v/>
      </c>
      <c r="X702" s="1" t="str">
        <f>IF(AND(Programme_Grunddaten!$A707="Geprüft",Programme_Grunddaten!AF707&lt;&gt;""),IF(Programme_Grunddaten!AF707="Ja",1,0),"")</f>
        <v/>
      </c>
      <c r="Y702" s="1" t="str">
        <f>IF(AND(Programme_Grunddaten!$A707="Geprüft",Programme_Grunddaten!AG707&lt;&gt;""),IF(Programme_Grunddaten!AG707="Ja",1,0),"")</f>
        <v/>
      </c>
      <c r="Z702" s="1" t="str">
        <f>IF(AND(Programme_Grunddaten!$A707="Geprüft",Programme_Grunddaten!AH707&lt;&gt;""),IF(Programme_Grunddaten!AH707="Ja",1,0),"")</f>
        <v/>
      </c>
      <c r="AA702" s="1" t="str">
        <f>IF(AND(Programme_Grunddaten!$A707="Geprüft",Programme_Grunddaten!AI707&lt;&gt;""),IF(Programme_Grunddaten!AI707="Ja",1,0),"")</f>
        <v/>
      </c>
      <c r="AB702" s="1" t="str">
        <f>IF(AND(Programme_Grunddaten!$A707="Geprüft",Programme_Grunddaten!AJ707&lt;&gt;""),IF(Programme_Grunddaten!AJ707="individuell programmierbar",1,0),"")</f>
        <v/>
      </c>
      <c r="AC702" s="1" t="str">
        <f>IF(AND(Programme_Grunddaten!$A707="Geprüft",Programme_Grunddaten!AK707&lt;&gt;""),IF(Programme_Grunddaten!AK707="Deutsch",0,IF(Programme_Grunddaten!AK707="Deutsch und Englisch",1,2)),"")</f>
        <v/>
      </c>
      <c r="AD702" s="1" t="str">
        <f>IF(AND(Programme_Grunddaten!$A707="Geprüft",Programme_Grunddaten!AL707&lt;&gt;""),IF(Programme_Grunddaten!AL707="Ja",1,0),"")</f>
        <v/>
      </c>
      <c r="AE702" s="1" t="str">
        <f>IF(AND(Programme_Grunddaten!$A707="Geprüft",Programme_Grunddaten!AM707&lt;&gt;""),IF(Programme_Grunddaten!AM707="Ja",1,0),"")</f>
        <v/>
      </c>
      <c r="AF702" s="1" t="str">
        <f>IF(AND(Programme_Grunddaten!$A707="Geprüft",Programme_Grunddaten!AN707&lt;&gt;""),IF(Programme_Grunddaten!AN707="Ja",1,0),"")</f>
        <v/>
      </c>
      <c r="AG702" s="1" t="str">
        <f>IF(AND(Programme_Grunddaten!$A707="Geprüft",Programme_Grunddaten!AO707&lt;&gt;""),IF(Programme_Grunddaten!AO707="Ja",1,0),"")</f>
        <v/>
      </c>
      <c r="AH702" s="1" t="str">
        <f>IF(AND(Programme_Grunddaten!$A707="Geprüft",Programme_Grunddaten!AP707&lt;&gt;""),IF(Programme_Grunddaten!AP707="Ja",1,0),"")</f>
        <v/>
      </c>
      <c r="AI702" s="1" t="str">
        <f>IF(AND(Programme_Grunddaten!$A707="Geprüft",Programme_Grunddaten!AQ707&lt;&gt;""),IF(Programme_Grunddaten!AQ707="Ja",1,0),"")</f>
        <v/>
      </c>
      <c r="AJ702" s="1" t="str">
        <f>IF(AND(Programme_Grunddaten!$A707="Geprüft",Programme_Grunddaten!AR707&lt;&gt;""),IF(Programme_Grunddaten!AR707="Ja",1,0),"")</f>
        <v/>
      </c>
      <c r="AK702" s="1" t="str">
        <f>IF(AND(Programme_Grunddaten!$A707="Geprüft",Programme_Grunddaten!AS707&lt;&gt;""),IF(Programme_Grunddaten!AS707="Ja",1,0),"")</f>
        <v/>
      </c>
      <c r="AL702" s="1" t="str">
        <f>IF(AND(Programme_Grunddaten!$A707="Geprüft",Programme_Grunddaten!AT707&lt;&gt;""),IF(Programme_Grunddaten!AT707="Ja",1,0),"")</f>
        <v/>
      </c>
      <c r="AM702" s="1" t="str">
        <f>IF(AND(Programme_Grunddaten!$A707="Geprüft",Programme_Grunddaten!AU707&lt;&gt;""),IF(Programme_Grunddaten!AU707="Ja",1,0),"")</f>
        <v/>
      </c>
      <c r="AN702" s="1" t="str">
        <f>IF(AND(Programme_Grunddaten!$A707="Geprüft",Programme_Grunddaten!AV707&lt;&gt;""),IF(Programme_Grunddaten!AV707="Ja",1,0),"")</f>
        <v/>
      </c>
    </row>
    <row r="703" spans="1:40" x14ac:dyDescent="0.3">
      <c r="A703" s="1" t="str">
        <f>IF(AND(Programme_Grunddaten!A708="Geprüft",Programme_Grunddaten!B708&lt;&gt;""),Programme_Grunddaten!B708,"")</f>
        <v/>
      </c>
      <c r="B703" s="1" t="str">
        <f>IF(AND(Programme_Grunddaten!$A708="Geprüft",Programme_Grunddaten!I708&lt;&gt;""),IF(Programme_Grunddaten!I708="Ja",1,0),"")</f>
        <v/>
      </c>
      <c r="C703" s="1" t="str">
        <f>IF(AND(Programme_Grunddaten!$A708="Geprüft",Programme_Grunddaten!J708&lt;&gt;""),IF(Programme_Grunddaten!J708="Ja",1,0),"")</f>
        <v/>
      </c>
      <c r="D703" s="1" t="str">
        <f>IF(AND(Programme_Grunddaten!$A708="Geprüft",Programme_Grunddaten!K708&lt;&gt;""),IF(Programme_Grunddaten!K708="Ja",1,0),"")</f>
        <v/>
      </c>
      <c r="E703" s="1" t="str">
        <f>IF(AND(Programme_Grunddaten!$A708="Geprüft",Programme_Grunddaten!L708&lt;&gt;""),IF(Programme_Grunddaten!L708="Abo / befristete Lizenz",1,0),"")</f>
        <v/>
      </c>
      <c r="F703" s="1" t="str">
        <f>IF(AND(Programme_Grunddaten!$A708="Geprüft",Programme_Grunddaten!M708&lt;&gt;""),IF(Programme_Grunddaten!M708="Ja",1,0),"")</f>
        <v/>
      </c>
      <c r="G703" s="1" t="str">
        <f>IF(AND(Programme_Grunddaten!$A708="Geprüft",Programme_Grunddaten!N708&lt;&gt;""),IF(Programme_Grunddaten!N708="Ja",1,0),"")</f>
        <v/>
      </c>
      <c r="H703" s="1" t="str">
        <f>IF(AND(Programme_Grunddaten!$A708="Geprüft",Programme_Grunddaten!O708&lt;&gt;""),IF(Programme_Grunddaten!O708="Deutschland",0,IF(Programme_Grunddaten!O708="EU",1,2)),"")</f>
        <v/>
      </c>
      <c r="I703" s="1" t="str">
        <f>IF(AND(Programme_Grunddaten!$A708="Geprüft",Programme_Grunddaten!P708&lt;&gt;""),IF(Programme_Grunddaten!P708="Ja",1,0),"")</f>
        <v/>
      </c>
      <c r="J703" s="1" t="str">
        <f>IF(AND(Programme_Grunddaten!$A708="Geprüft",Programme_Grunddaten!Q708&lt;&gt;""),IF(Programme_Grunddaten!Q708="geschlossenes System",1,0),"")</f>
        <v/>
      </c>
      <c r="K703" s="1" t="str">
        <f>IF(AND(Programme_Grunddaten!$A708="Geprüft",Programme_Grunddaten!R708&lt;&gt;""),IF(Programme_Grunddaten!R708="Ja",1,0),"")</f>
        <v/>
      </c>
      <c r="L703" s="1" t="str">
        <f>IF(AND(Programme_Grunddaten!$A708="Geprüft",Programme_Grunddaten!T708&lt;&gt;""),IF(Programme_Grunddaten!T708="Ja",1,0),"")</f>
        <v/>
      </c>
      <c r="M703" s="1" t="str">
        <f>IF(AND(Programme_Grunddaten!$A708="Geprüft",Programme_Grunddaten!U708&lt;&gt;""),IF(Programme_Grunddaten!U708="Ja",1,0),"")</f>
        <v/>
      </c>
      <c r="N703" s="1" t="str">
        <f>IF(AND(Programme_Grunddaten!$A708="Geprüft",Programme_Grunddaten!V708&lt;&gt;""),IF(Programme_Grunddaten!V708="Ja",1,0),"")</f>
        <v/>
      </c>
      <c r="O703" s="1" t="str">
        <f>IF(AND(Programme_Grunddaten!$A708="Geprüft",Programme_Grunddaten!W708&lt;&gt;""),IF(Programme_Grunddaten!W708="Ja",1,0),"")</f>
        <v/>
      </c>
      <c r="P703" s="1" t="str">
        <f>IF(AND(Programme_Grunddaten!$A708="Geprüft",Programme_Grunddaten!X708&lt;&gt;""),IF(Programme_Grunddaten!X708="Ja",1,0),"")</f>
        <v/>
      </c>
      <c r="Q703" s="1" t="str">
        <f>IF(AND(Programme_Grunddaten!$A708="Geprüft",Programme_Grunddaten!Y708&lt;&gt;""),IF(Programme_Grunddaten!Y708="Ja",1,0),"")</f>
        <v/>
      </c>
      <c r="R703" s="1" t="str">
        <f>IF(AND(Programme_Grunddaten!$A708="Geprüft",Programme_Grunddaten!Z708&lt;&gt;""),IF(Programme_Grunddaten!Z708="Ja",1,0),"")</f>
        <v/>
      </c>
      <c r="S703" s="1" t="str">
        <f>IF(AND(Programme_Grunddaten!$A708="Geprüft",Programme_Grunddaten!AA708&lt;&gt;""),IF(Programme_Grunddaten!AA708="monolithisch",1,0),"")</f>
        <v/>
      </c>
      <c r="T703" s="1" t="str">
        <f>IF(AND(Programme_Grunddaten!$A708="Geprüft",Programme_Grunddaten!AB708&lt;&gt;""),IF(Programme_Grunddaten!AB708="Ja",1,0),"")</f>
        <v/>
      </c>
      <c r="U703" s="1" t="str">
        <f>IF(AND(Programme_Grunddaten!$A708="Geprüft",Programme_Grunddaten!AC708&lt;&gt;""),IF(Programme_Grunddaten!AC708="Ja",1,0),"")</f>
        <v/>
      </c>
      <c r="V703" s="1" t="str">
        <f>IF(AND(Programme_Grunddaten!$A708="Geprüft",Programme_Grunddaten!AD708&lt;&gt;""),IF(Programme_Grunddaten!AD708="Ja",1,0),"")</f>
        <v/>
      </c>
      <c r="W703" s="1" t="str">
        <f>IF(AND(Programme_Grunddaten!$A708="Geprüft",Programme_Grunddaten!AE708&lt;&gt;""),IF(Programme_Grunddaten!AE708="Ja",1,0),"")</f>
        <v/>
      </c>
      <c r="X703" s="1" t="str">
        <f>IF(AND(Programme_Grunddaten!$A708="Geprüft",Programme_Grunddaten!AF708&lt;&gt;""),IF(Programme_Grunddaten!AF708="Ja",1,0),"")</f>
        <v/>
      </c>
      <c r="Y703" s="1" t="str">
        <f>IF(AND(Programme_Grunddaten!$A708="Geprüft",Programme_Grunddaten!AG708&lt;&gt;""),IF(Programme_Grunddaten!AG708="Ja",1,0),"")</f>
        <v/>
      </c>
      <c r="Z703" s="1" t="str">
        <f>IF(AND(Programme_Grunddaten!$A708="Geprüft",Programme_Grunddaten!AH708&lt;&gt;""),IF(Programme_Grunddaten!AH708="Ja",1,0),"")</f>
        <v/>
      </c>
      <c r="AA703" s="1" t="str">
        <f>IF(AND(Programme_Grunddaten!$A708="Geprüft",Programme_Grunddaten!AI708&lt;&gt;""),IF(Programme_Grunddaten!AI708="Ja",1,0),"")</f>
        <v/>
      </c>
      <c r="AB703" s="1" t="str">
        <f>IF(AND(Programme_Grunddaten!$A708="Geprüft",Programme_Grunddaten!AJ708&lt;&gt;""),IF(Programme_Grunddaten!AJ708="individuell programmierbar",1,0),"")</f>
        <v/>
      </c>
      <c r="AC703" s="1" t="str">
        <f>IF(AND(Programme_Grunddaten!$A708="Geprüft",Programme_Grunddaten!AK708&lt;&gt;""),IF(Programme_Grunddaten!AK708="Deutsch",0,IF(Programme_Grunddaten!AK708="Deutsch und Englisch",1,2)),"")</f>
        <v/>
      </c>
      <c r="AD703" s="1" t="str">
        <f>IF(AND(Programme_Grunddaten!$A708="Geprüft",Programme_Grunddaten!AL708&lt;&gt;""),IF(Programme_Grunddaten!AL708="Ja",1,0),"")</f>
        <v/>
      </c>
      <c r="AE703" s="1" t="str">
        <f>IF(AND(Programme_Grunddaten!$A708="Geprüft",Programme_Grunddaten!AM708&lt;&gt;""),IF(Programme_Grunddaten!AM708="Ja",1,0),"")</f>
        <v/>
      </c>
      <c r="AF703" s="1" t="str">
        <f>IF(AND(Programme_Grunddaten!$A708="Geprüft",Programme_Grunddaten!AN708&lt;&gt;""),IF(Programme_Grunddaten!AN708="Ja",1,0),"")</f>
        <v/>
      </c>
      <c r="AG703" s="1" t="str">
        <f>IF(AND(Programme_Grunddaten!$A708="Geprüft",Programme_Grunddaten!AO708&lt;&gt;""),IF(Programme_Grunddaten!AO708="Ja",1,0),"")</f>
        <v/>
      </c>
      <c r="AH703" s="1" t="str">
        <f>IF(AND(Programme_Grunddaten!$A708="Geprüft",Programme_Grunddaten!AP708&lt;&gt;""),IF(Programme_Grunddaten!AP708="Ja",1,0),"")</f>
        <v/>
      </c>
      <c r="AI703" s="1" t="str">
        <f>IF(AND(Programme_Grunddaten!$A708="Geprüft",Programme_Grunddaten!AQ708&lt;&gt;""),IF(Programme_Grunddaten!AQ708="Ja",1,0),"")</f>
        <v/>
      </c>
      <c r="AJ703" s="1" t="str">
        <f>IF(AND(Programme_Grunddaten!$A708="Geprüft",Programme_Grunddaten!AR708&lt;&gt;""),IF(Programme_Grunddaten!AR708="Ja",1,0),"")</f>
        <v/>
      </c>
      <c r="AK703" s="1" t="str">
        <f>IF(AND(Programme_Grunddaten!$A708="Geprüft",Programme_Grunddaten!AS708&lt;&gt;""),IF(Programme_Grunddaten!AS708="Ja",1,0),"")</f>
        <v/>
      </c>
      <c r="AL703" s="1" t="str">
        <f>IF(AND(Programme_Grunddaten!$A708="Geprüft",Programme_Grunddaten!AT708&lt;&gt;""),IF(Programme_Grunddaten!AT708="Ja",1,0),"")</f>
        <v/>
      </c>
      <c r="AM703" s="1" t="str">
        <f>IF(AND(Programme_Grunddaten!$A708="Geprüft",Programme_Grunddaten!AU708&lt;&gt;""),IF(Programme_Grunddaten!AU708="Ja",1,0),"")</f>
        <v/>
      </c>
      <c r="AN703" s="1" t="str">
        <f>IF(AND(Programme_Grunddaten!$A708="Geprüft",Programme_Grunddaten!AV708&lt;&gt;""),IF(Programme_Grunddaten!AV708="Ja",1,0),"")</f>
        <v/>
      </c>
    </row>
    <row r="704" spans="1:40" x14ac:dyDescent="0.3">
      <c r="A704" s="1" t="str">
        <f>IF(AND(Programme_Grunddaten!A709="Geprüft",Programme_Grunddaten!B709&lt;&gt;""),Programme_Grunddaten!B709,"")</f>
        <v/>
      </c>
      <c r="B704" s="1" t="str">
        <f>IF(AND(Programme_Grunddaten!$A709="Geprüft",Programme_Grunddaten!I709&lt;&gt;""),IF(Programme_Grunddaten!I709="Ja",1,0),"")</f>
        <v/>
      </c>
      <c r="C704" s="1" t="str">
        <f>IF(AND(Programme_Grunddaten!$A709="Geprüft",Programme_Grunddaten!J709&lt;&gt;""),IF(Programme_Grunddaten!J709="Ja",1,0),"")</f>
        <v/>
      </c>
      <c r="D704" s="1" t="str">
        <f>IF(AND(Programme_Grunddaten!$A709="Geprüft",Programme_Grunddaten!K709&lt;&gt;""),IF(Programme_Grunddaten!K709="Ja",1,0),"")</f>
        <v/>
      </c>
      <c r="E704" s="1" t="str">
        <f>IF(AND(Programme_Grunddaten!$A709="Geprüft",Programme_Grunddaten!L709&lt;&gt;""),IF(Programme_Grunddaten!L709="Abo / befristete Lizenz",1,0),"")</f>
        <v/>
      </c>
      <c r="F704" s="1" t="str">
        <f>IF(AND(Programme_Grunddaten!$A709="Geprüft",Programme_Grunddaten!M709&lt;&gt;""),IF(Programme_Grunddaten!M709="Ja",1,0),"")</f>
        <v/>
      </c>
      <c r="G704" s="1" t="str">
        <f>IF(AND(Programme_Grunddaten!$A709="Geprüft",Programme_Grunddaten!N709&lt;&gt;""),IF(Programme_Grunddaten!N709="Ja",1,0),"")</f>
        <v/>
      </c>
      <c r="H704" s="1" t="str">
        <f>IF(AND(Programme_Grunddaten!$A709="Geprüft",Programme_Grunddaten!O709&lt;&gt;""),IF(Programme_Grunddaten!O709="Deutschland",0,IF(Programme_Grunddaten!O709="EU",1,2)),"")</f>
        <v/>
      </c>
      <c r="I704" s="1" t="str">
        <f>IF(AND(Programme_Grunddaten!$A709="Geprüft",Programme_Grunddaten!P709&lt;&gt;""),IF(Programme_Grunddaten!P709="Ja",1,0),"")</f>
        <v/>
      </c>
      <c r="J704" s="1" t="str">
        <f>IF(AND(Programme_Grunddaten!$A709="Geprüft",Programme_Grunddaten!Q709&lt;&gt;""),IF(Programme_Grunddaten!Q709="geschlossenes System",1,0),"")</f>
        <v/>
      </c>
      <c r="K704" s="1" t="str">
        <f>IF(AND(Programme_Grunddaten!$A709="Geprüft",Programme_Grunddaten!R709&lt;&gt;""),IF(Programme_Grunddaten!R709="Ja",1,0),"")</f>
        <v/>
      </c>
      <c r="L704" s="1" t="str">
        <f>IF(AND(Programme_Grunddaten!$A709="Geprüft",Programme_Grunddaten!T709&lt;&gt;""),IF(Programme_Grunddaten!T709="Ja",1,0),"")</f>
        <v/>
      </c>
      <c r="M704" s="1" t="str">
        <f>IF(AND(Programme_Grunddaten!$A709="Geprüft",Programme_Grunddaten!U709&lt;&gt;""),IF(Programme_Grunddaten!U709="Ja",1,0),"")</f>
        <v/>
      </c>
      <c r="N704" s="1" t="str">
        <f>IF(AND(Programme_Grunddaten!$A709="Geprüft",Programme_Grunddaten!V709&lt;&gt;""),IF(Programme_Grunddaten!V709="Ja",1,0),"")</f>
        <v/>
      </c>
      <c r="O704" s="1" t="str">
        <f>IF(AND(Programme_Grunddaten!$A709="Geprüft",Programme_Grunddaten!W709&lt;&gt;""),IF(Programme_Grunddaten!W709="Ja",1,0),"")</f>
        <v/>
      </c>
      <c r="P704" s="1" t="str">
        <f>IF(AND(Programme_Grunddaten!$A709="Geprüft",Programme_Grunddaten!X709&lt;&gt;""),IF(Programme_Grunddaten!X709="Ja",1,0),"")</f>
        <v/>
      </c>
      <c r="Q704" s="1" t="str">
        <f>IF(AND(Programme_Grunddaten!$A709="Geprüft",Programme_Grunddaten!Y709&lt;&gt;""),IF(Programme_Grunddaten!Y709="Ja",1,0),"")</f>
        <v/>
      </c>
      <c r="R704" s="1" t="str">
        <f>IF(AND(Programme_Grunddaten!$A709="Geprüft",Programme_Grunddaten!Z709&lt;&gt;""),IF(Programme_Grunddaten!Z709="Ja",1,0),"")</f>
        <v/>
      </c>
      <c r="S704" s="1" t="str">
        <f>IF(AND(Programme_Grunddaten!$A709="Geprüft",Programme_Grunddaten!AA709&lt;&gt;""),IF(Programme_Grunddaten!AA709="monolithisch",1,0),"")</f>
        <v/>
      </c>
      <c r="T704" s="1" t="str">
        <f>IF(AND(Programme_Grunddaten!$A709="Geprüft",Programme_Grunddaten!AB709&lt;&gt;""),IF(Programme_Grunddaten!AB709="Ja",1,0),"")</f>
        <v/>
      </c>
      <c r="U704" s="1" t="str">
        <f>IF(AND(Programme_Grunddaten!$A709="Geprüft",Programme_Grunddaten!AC709&lt;&gt;""),IF(Programme_Grunddaten!AC709="Ja",1,0),"")</f>
        <v/>
      </c>
      <c r="V704" s="1" t="str">
        <f>IF(AND(Programme_Grunddaten!$A709="Geprüft",Programme_Grunddaten!AD709&lt;&gt;""),IF(Programme_Grunddaten!AD709="Ja",1,0),"")</f>
        <v/>
      </c>
      <c r="W704" s="1" t="str">
        <f>IF(AND(Programme_Grunddaten!$A709="Geprüft",Programme_Grunddaten!AE709&lt;&gt;""),IF(Programme_Grunddaten!AE709="Ja",1,0),"")</f>
        <v/>
      </c>
      <c r="X704" s="1" t="str">
        <f>IF(AND(Programme_Grunddaten!$A709="Geprüft",Programme_Grunddaten!AF709&lt;&gt;""),IF(Programme_Grunddaten!AF709="Ja",1,0),"")</f>
        <v/>
      </c>
      <c r="Y704" s="1" t="str">
        <f>IF(AND(Programme_Grunddaten!$A709="Geprüft",Programme_Grunddaten!AG709&lt;&gt;""),IF(Programme_Grunddaten!AG709="Ja",1,0),"")</f>
        <v/>
      </c>
      <c r="Z704" s="1" t="str">
        <f>IF(AND(Programme_Grunddaten!$A709="Geprüft",Programme_Grunddaten!AH709&lt;&gt;""),IF(Programme_Grunddaten!AH709="Ja",1,0),"")</f>
        <v/>
      </c>
      <c r="AA704" s="1" t="str">
        <f>IF(AND(Programme_Grunddaten!$A709="Geprüft",Programme_Grunddaten!AI709&lt;&gt;""),IF(Programme_Grunddaten!AI709="Ja",1,0),"")</f>
        <v/>
      </c>
      <c r="AB704" s="1" t="str">
        <f>IF(AND(Programme_Grunddaten!$A709="Geprüft",Programme_Grunddaten!AJ709&lt;&gt;""),IF(Programme_Grunddaten!AJ709="individuell programmierbar",1,0),"")</f>
        <v/>
      </c>
      <c r="AC704" s="1" t="str">
        <f>IF(AND(Programme_Grunddaten!$A709="Geprüft",Programme_Grunddaten!AK709&lt;&gt;""),IF(Programme_Grunddaten!AK709="Deutsch",0,IF(Programme_Grunddaten!AK709="Deutsch und Englisch",1,2)),"")</f>
        <v/>
      </c>
      <c r="AD704" s="1" t="str">
        <f>IF(AND(Programme_Grunddaten!$A709="Geprüft",Programme_Grunddaten!AL709&lt;&gt;""),IF(Programme_Grunddaten!AL709="Ja",1,0),"")</f>
        <v/>
      </c>
      <c r="AE704" s="1" t="str">
        <f>IF(AND(Programme_Grunddaten!$A709="Geprüft",Programme_Grunddaten!AM709&lt;&gt;""),IF(Programme_Grunddaten!AM709="Ja",1,0),"")</f>
        <v/>
      </c>
      <c r="AF704" s="1" t="str">
        <f>IF(AND(Programme_Grunddaten!$A709="Geprüft",Programme_Grunddaten!AN709&lt;&gt;""),IF(Programme_Grunddaten!AN709="Ja",1,0),"")</f>
        <v/>
      </c>
      <c r="AG704" s="1" t="str">
        <f>IF(AND(Programme_Grunddaten!$A709="Geprüft",Programme_Grunddaten!AO709&lt;&gt;""),IF(Programme_Grunddaten!AO709="Ja",1,0),"")</f>
        <v/>
      </c>
      <c r="AH704" s="1" t="str">
        <f>IF(AND(Programme_Grunddaten!$A709="Geprüft",Programme_Grunddaten!AP709&lt;&gt;""),IF(Programme_Grunddaten!AP709="Ja",1,0),"")</f>
        <v/>
      </c>
      <c r="AI704" s="1" t="str">
        <f>IF(AND(Programme_Grunddaten!$A709="Geprüft",Programme_Grunddaten!AQ709&lt;&gt;""),IF(Programme_Grunddaten!AQ709="Ja",1,0),"")</f>
        <v/>
      </c>
      <c r="AJ704" s="1" t="str">
        <f>IF(AND(Programme_Grunddaten!$A709="Geprüft",Programme_Grunddaten!AR709&lt;&gt;""),IF(Programme_Grunddaten!AR709="Ja",1,0),"")</f>
        <v/>
      </c>
      <c r="AK704" s="1" t="str">
        <f>IF(AND(Programme_Grunddaten!$A709="Geprüft",Programme_Grunddaten!AS709&lt;&gt;""),IF(Programme_Grunddaten!AS709="Ja",1,0),"")</f>
        <v/>
      </c>
      <c r="AL704" s="1" t="str">
        <f>IF(AND(Programme_Grunddaten!$A709="Geprüft",Programme_Grunddaten!AT709&lt;&gt;""),IF(Programme_Grunddaten!AT709="Ja",1,0),"")</f>
        <v/>
      </c>
      <c r="AM704" s="1" t="str">
        <f>IF(AND(Programme_Grunddaten!$A709="Geprüft",Programme_Grunddaten!AU709&lt;&gt;""),IF(Programme_Grunddaten!AU709="Ja",1,0),"")</f>
        <v/>
      </c>
      <c r="AN704" s="1" t="str">
        <f>IF(AND(Programme_Grunddaten!$A709="Geprüft",Programme_Grunddaten!AV709&lt;&gt;""),IF(Programme_Grunddaten!AV709="Ja",1,0),"")</f>
        <v/>
      </c>
    </row>
    <row r="705" spans="1:40" x14ac:dyDescent="0.3">
      <c r="A705" s="1" t="str">
        <f>IF(AND(Programme_Grunddaten!A710="Geprüft",Programme_Grunddaten!B710&lt;&gt;""),Programme_Grunddaten!B710,"")</f>
        <v/>
      </c>
      <c r="B705" s="1" t="str">
        <f>IF(AND(Programme_Grunddaten!$A710="Geprüft",Programme_Grunddaten!I710&lt;&gt;""),IF(Programme_Grunddaten!I710="Ja",1,0),"")</f>
        <v/>
      </c>
      <c r="C705" s="1" t="str">
        <f>IF(AND(Programme_Grunddaten!$A710="Geprüft",Programme_Grunddaten!J710&lt;&gt;""),IF(Programme_Grunddaten!J710="Ja",1,0),"")</f>
        <v/>
      </c>
      <c r="D705" s="1" t="str">
        <f>IF(AND(Programme_Grunddaten!$A710="Geprüft",Programme_Grunddaten!K710&lt;&gt;""),IF(Programme_Grunddaten!K710="Ja",1,0),"")</f>
        <v/>
      </c>
      <c r="E705" s="1" t="str">
        <f>IF(AND(Programme_Grunddaten!$A710="Geprüft",Programme_Grunddaten!L710&lt;&gt;""),IF(Programme_Grunddaten!L710="Abo / befristete Lizenz",1,0),"")</f>
        <v/>
      </c>
      <c r="F705" s="1" t="str">
        <f>IF(AND(Programme_Grunddaten!$A710="Geprüft",Programme_Grunddaten!M710&lt;&gt;""),IF(Programme_Grunddaten!M710="Ja",1,0),"")</f>
        <v/>
      </c>
      <c r="G705" s="1" t="str">
        <f>IF(AND(Programme_Grunddaten!$A710="Geprüft",Programme_Grunddaten!N710&lt;&gt;""),IF(Programme_Grunddaten!N710="Ja",1,0),"")</f>
        <v/>
      </c>
      <c r="H705" s="1" t="str">
        <f>IF(AND(Programme_Grunddaten!$A710="Geprüft",Programme_Grunddaten!O710&lt;&gt;""),IF(Programme_Grunddaten!O710="Deutschland",0,IF(Programme_Grunddaten!O710="EU",1,2)),"")</f>
        <v/>
      </c>
      <c r="I705" s="1" t="str">
        <f>IF(AND(Programme_Grunddaten!$A710="Geprüft",Programme_Grunddaten!P710&lt;&gt;""),IF(Programme_Grunddaten!P710="Ja",1,0),"")</f>
        <v/>
      </c>
      <c r="J705" s="1" t="str">
        <f>IF(AND(Programme_Grunddaten!$A710="Geprüft",Programme_Grunddaten!Q710&lt;&gt;""),IF(Programme_Grunddaten!Q710="geschlossenes System",1,0),"")</f>
        <v/>
      </c>
      <c r="K705" s="1" t="str">
        <f>IF(AND(Programme_Grunddaten!$A710="Geprüft",Programme_Grunddaten!R710&lt;&gt;""),IF(Programme_Grunddaten!R710="Ja",1,0),"")</f>
        <v/>
      </c>
      <c r="L705" s="1" t="str">
        <f>IF(AND(Programme_Grunddaten!$A710="Geprüft",Programme_Grunddaten!T710&lt;&gt;""),IF(Programme_Grunddaten!T710="Ja",1,0),"")</f>
        <v/>
      </c>
      <c r="M705" s="1" t="str">
        <f>IF(AND(Programme_Grunddaten!$A710="Geprüft",Programme_Grunddaten!U710&lt;&gt;""),IF(Programme_Grunddaten!U710="Ja",1,0),"")</f>
        <v/>
      </c>
      <c r="N705" s="1" t="str">
        <f>IF(AND(Programme_Grunddaten!$A710="Geprüft",Programme_Grunddaten!V710&lt;&gt;""),IF(Programme_Grunddaten!V710="Ja",1,0),"")</f>
        <v/>
      </c>
      <c r="O705" s="1" t="str">
        <f>IF(AND(Programme_Grunddaten!$A710="Geprüft",Programme_Grunddaten!W710&lt;&gt;""),IF(Programme_Grunddaten!W710="Ja",1,0),"")</f>
        <v/>
      </c>
      <c r="P705" s="1" t="str">
        <f>IF(AND(Programme_Grunddaten!$A710="Geprüft",Programme_Grunddaten!X710&lt;&gt;""),IF(Programme_Grunddaten!X710="Ja",1,0),"")</f>
        <v/>
      </c>
      <c r="Q705" s="1" t="str">
        <f>IF(AND(Programme_Grunddaten!$A710="Geprüft",Programme_Grunddaten!Y710&lt;&gt;""),IF(Programme_Grunddaten!Y710="Ja",1,0),"")</f>
        <v/>
      </c>
      <c r="R705" s="1" t="str">
        <f>IF(AND(Programme_Grunddaten!$A710="Geprüft",Programme_Grunddaten!Z710&lt;&gt;""),IF(Programme_Grunddaten!Z710="Ja",1,0),"")</f>
        <v/>
      </c>
      <c r="S705" s="1" t="str">
        <f>IF(AND(Programme_Grunddaten!$A710="Geprüft",Programme_Grunddaten!AA710&lt;&gt;""),IF(Programme_Grunddaten!AA710="monolithisch",1,0),"")</f>
        <v/>
      </c>
      <c r="T705" s="1" t="str">
        <f>IF(AND(Programme_Grunddaten!$A710="Geprüft",Programme_Grunddaten!AB710&lt;&gt;""),IF(Programme_Grunddaten!AB710="Ja",1,0),"")</f>
        <v/>
      </c>
      <c r="U705" s="1" t="str">
        <f>IF(AND(Programme_Grunddaten!$A710="Geprüft",Programme_Grunddaten!AC710&lt;&gt;""),IF(Programme_Grunddaten!AC710="Ja",1,0),"")</f>
        <v/>
      </c>
      <c r="V705" s="1" t="str">
        <f>IF(AND(Programme_Grunddaten!$A710="Geprüft",Programme_Grunddaten!AD710&lt;&gt;""),IF(Programme_Grunddaten!AD710="Ja",1,0),"")</f>
        <v/>
      </c>
      <c r="W705" s="1" t="str">
        <f>IF(AND(Programme_Grunddaten!$A710="Geprüft",Programme_Grunddaten!AE710&lt;&gt;""),IF(Programme_Grunddaten!AE710="Ja",1,0),"")</f>
        <v/>
      </c>
      <c r="X705" s="1" t="str">
        <f>IF(AND(Programme_Grunddaten!$A710="Geprüft",Programme_Grunddaten!AF710&lt;&gt;""),IF(Programme_Grunddaten!AF710="Ja",1,0),"")</f>
        <v/>
      </c>
      <c r="Y705" s="1" t="str">
        <f>IF(AND(Programme_Grunddaten!$A710="Geprüft",Programme_Grunddaten!AG710&lt;&gt;""),IF(Programme_Grunddaten!AG710="Ja",1,0),"")</f>
        <v/>
      </c>
      <c r="Z705" s="1" t="str">
        <f>IF(AND(Programme_Grunddaten!$A710="Geprüft",Programme_Grunddaten!AH710&lt;&gt;""),IF(Programme_Grunddaten!AH710="Ja",1,0),"")</f>
        <v/>
      </c>
      <c r="AA705" s="1" t="str">
        <f>IF(AND(Programme_Grunddaten!$A710="Geprüft",Programme_Grunddaten!AI710&lt;&gt;""),IF(Programme_Grunddaten!AI710="Ja",1,0),"")</f>
        <v/>
      </c>
      <c r="AB705" s="1" t="str">
        <f>IF(AND(Programme_Grunddaten!$A710="Geprüft",Programme_Grunddaten!AJ710&lt;&gt;""),IF(Programme_Grunddaten!AJ710="individuell programmierbar",1,0),"")</f>
        <v/>
      </c>
      <c r="AC705" s="1" t="str">
        <f>IF(AND(Programme_Grunddaten!$A710="Geprüft",Programme_Grunddaten!AK710&lt;&gt;""),IF(Programme_Grunddaten!AK710="Deutsch",0,IF(Programme_Grunddaten!AK710="Deutsch und Englisch",1,2)),"")</f>
        <v/>
      </c>
      <c r="AD705" s="1" t="str">
        <f>IF(AND(Programme_Grunddaten!$A710="Geprüft",Programme_Grunddaten!AL710&lt;&gt;""),IF(Programme_Grunddaten!AL710="Ja",1,0),"")</f>
        <v/>
      </c>
      <c r="AE705" s="1" t="str">
        <f>IF(AND(Programme_Grunddaten!$A710="Geprüft",Programme_Grunddaten!AM710&lt;&gt;""),IF(Programme_Grunddaten!AM710="Ja",1,0),"")</f>
        <v/>
      </c>
      <c r="AF705" s="1" t="str">
        <f>IF(AND(Programme_Grunddaten!$A710="Geprüft",Programme_Grunddaten!AN710&lt;&gt;""),IF(Programme_Grunddaten!AN710="Ja",1,0),"")</f>
        <v/>
      </c>
      <c r="AG705" s="1" t="str">
        <f>IF(AND(Programme_Grunddaten!$A710="Geprüft",Programme_Grunddaten!AO710&lt;&gt;""),IF(Programme_Grunddaten!AO710="Ja",1,0),"")</f>
        <v/>
      </c>
      <c r="AH705" s="1" t="str">
        <f>IF(AND(Programme_Grunddaten!$A710="Geprüft",Programme_Grunddaten!AP710&lt;&gt;""),IF(Programme_Grunddaten!AP710="Ja",1,0),"")</f>
        <v/>
      </c>
      <c r="AI705" s="1" t="str">
        <f>IF(AND(Programme_Grunddaten!$A710="Geprüft",Programme_Grunddaten!AQ710&lt;&gt;""),IF(Programme_Grunddaten!AQ710="Ja",1,0),"")</f>
        <v/>
      </c>
      <c r="AJ705" s="1" t="str">
        <f>IF(AND(Programme_Grunddaten!$A710="Geprüft",Programme_Grunddaten!AR710&lt;&gt;""),IF(Programme_Grunddaten!AR710="Ja",1,0),"")</f>
        <v/>
      </c>
      <c r="AK705" s="1" t="str">
        <f>IF(AND(Programme_Grunddaten!$A710="Geprüft",Programme_Grunddaten!AS710&lt;&gt;""),IF(Programme_Grunddaten!AS710="Ja",1,0),"")</f>
        <v/>
      </c>
      <c r="AL705" s="1" t="str">
        <f>IF(AND(Programme_Grunddaten!$A710="Geprüft",Programme_Grunddaten!AT710&lt;&gt;""),IF(Programme_Grunddaten!AT710="Ja",1,0),"")</f>
        <v/>
      </c>
      <c r="AM705" s="1" t="str">
        <f>IF(AND(Programme_Grunddaten!$A710="Geprüft",Programme_Grunddaten!AU710&lt;&gt;""),IF(Programme_Grunddaten!AU710="Ja",1,0),"")</f>
        <v/>
      </c>
      <c r="AN705" s="1" t="str">
        <f>IF(AND(Programme_Grunddaten!$A710="Geprüft",Programme_Grunddaten!AV710&lt;&gt;""),IF(Programme_Grunddaten!AV710="Ja",1,0),"")</f>
        <v/>
      </c>
    </row>
    <row r="706" spans="1:40" x14ac:dyDescent="0.3">
      <c r="A706" s="1" t="str">
        <f>IF(AND(Programme_Grunddaten!A711="Geprüft",Programme_Grunddaten!B711&lt;&gt;""),Programme_Grunddaten!B711,"")</f>
        <v/>
      </c>
      <c r="B706" s="1" t="str">
        <f>IF(AND(Programme_Grunddaten!$A711="Geprüft",Programme_Grunddaten!I711&lt;&gt;""),IF(Programme_Grunddaten!I711="Ja",1,0),"")</f>
        <v/>
      </c>
      <c r="C706" s="1" t="str">
        <f>IF(AND(Programme_Grunddaten!$A711="Geprüft",Programme_Grunddaten!J711&lt;&gt;""),IF(Programme_Grunddaten!J711="Ja",1,0),"")</f>
        <v/>
      </c>
      <c r="D706" s="1" t="str">
        <f>IF(AND(Programme_Grunddaten!$A711="Geprüft",Programme_Grunddaten!K711&lt;&gt;""),IF(Programme_Grunddaten!K711="Ja",1,0),"")</f>
        <v/>
      </c>
      <c r="E706" s="1" t="str">
        <f>IF(AND(Programme_Grunddaten!$A711="Geprüft",Programme_Grunddaten!L711&lt;&gt;""),IF(Programme_Grunddaten!L711="Abo / befristete Lizenz",1,0),"")</f>
        <v/>
      </c>
      <c r="F706" s="1" t="str">
        <f>IF(AND(Programme_Grunddaten!$A711="Geprüft",Programme_Grunddaten!M711&lt;&gt;""),IF(Programme_Grunddaten!M711="Ja",1,0),"")</f>
        <v/>
      </c>
      <c r="G706" s="1" t="str">
        <f>IF(AND(Programme_Grunddaten!$A711="Geprüft",Programme_Grunddaten!N711&lt;&gt;""),IF(Programme_Grunddaten!N711="Ja",1,0),"")</f>
        <v/>
      </c>
      <c r="H706" s="1" t="str">
        <f>IF(AND(Programme_Grunddaten!$A711="Geprüft",Programme_Grunddaten!O711&lt;&gt;""),IF(Programme_Grunddaten!O711="Deutschland",0,IF(Programme_Grunddaten!O711="EU",1,2)),"")</f>
        <v/>
      </c>
      <c r="I706" s="1" t="str">
        <f>IF(AND(Programme_Grunddaten!$A711="Geprüft",Programme_Grunddaten!P711&lt;&gt;""),IF(Programme_Grunddaten!P711="Ja",1,0),"")</f>
        <v/>
      </c>
      <c r="J706" s="1" t="str">
        <f>IF(AND(Programme_Grunddaten!$A711="Geprüft",Programme_Grunddaten!Q711&lt;&gt;""),IF(Programme_Grunddaten!Q711="geschlossenes System",1,0),"")</f>
        <v/>
      </c>
      <c r="K706" s="1" t="str">
        <f>IF(AND(Programme_Grunddaten!$A711="Geprüft",Programme_Grunddaten!R711&lt;&gt;""),IF(Programme_Grunddaten!R711="Ja",1,0),"")</f>
        <v/>
      </c>
      <c r="L706" s="1" t="str">
        <f>IF(AND(Programme_Grunddaten!$A711="Geprüft",Programme_Grunddaten!T711&lt;&gt;""),IF(Programme_Grunddaten!T711="Ja",1,0),"")</f>
        <v/>
      </c>
      <c r="M706" s="1" t="str">
        <f>IF(AND(Programme_Grunddaten!$A711="Geprüft",Programme_Grunddaten!U711&lt;&gt;""),IF(Programme_Grunddaten!U711="Ja",1,0),"")</f>
        <v/>
      </c>
      <c r="N706" s="1" t="str">
        <f>IF(AND(Programme_Grunddaten!$A711="Geprüft",Programme_Grunddaten!V711&lt;&gt;""),IF(Programme_Grunddaten!V711="Ja",1,0),"")</f>
        <v/>
      </c>
      <c r="O706" s="1" t="str">
        <f>IF(AND(Programme_Grunddaten!$A711="Geprüft",Programme_Grunddaten!W711&lt;&gt;""),IF(Programme_Grunddaten!W711="Ja",1,0),"")</f>
        <v/>
      </c>
      <c r="P706" s="1" t="str">
        <f>IF(AND(Programme_Grunddaten!$A711="Geprüft",Programme_Grunddaten!X711&lt;&gt;""),IF(Programme_Grunddaten!X711="Ja",1,0),"")</f>
        <v/>
      </c>
      <c r="Q706" s="1" t="str">
        <f>IF(AND(Programme_Grunddaten!$A711="Geprüft",Programme_Grunddaten!Y711&lt;&gt;""),IF(Programme_Grunddaten!Y711="Ja",1,0),"")</f>
        <v/>
      </c>
      <c r="R706" s="1" t="str">
        <f>IF(AND(Programme_Grunddaten!$A711="Geprüft",Programme_Grunddaten!Z711&lt;&gt;""),IF(Programme_Grunddaten!Z711="Ja",1,0),"")</f>
        <v/>
      </c>
      <c r="S706" s="1" t="str">
        <f>IF(AND(Programme_Grunddaten!$A711="Geprüft",Programme_Grunddaten!AA711&lt;&gt;""),IF(Programme_Grunddaten!AA711="monolithisch",1,0),"")</f>
        <v/>
      </c>
      <c r="T706" s="1" t="str">
        <f>IF(AND(Programme_Grunddaten!$A711="Geprüft",Programme_Grunddaten!AB711&lt;&gt;""),IF(Programme_Grunddaten!AB711="Ja",1,0),"")</f>
        <v/>
      </c>
      <c r="U706" s="1" t="str">
        <f>IF(AND(Programme_Grunddaten!$A711="Geprüft",Programme_Grunddaten!AC711&lt;&gt;""),IF(Programme_Grunddaten!AC711="Ja",1,0),"")</f>
        <v/>
      </c>
      <c r="V706" s="1" t="str">
        <f>IF(AND(Programme_Grunddaten!$A711="Geprüft",Programme_Grunddaten!AD711&lt;&gt;""),IF(Programme_Grunddaten!AD711="Ja",1,0),"")</f>
        <v/>
      </c>
      <c r="W706" s="1" t="str">
        <f>IF(AND(Programme_Grunddaten!$A711="Geprüft",Programme_Grunddaten!AE711&lt;&gt;""),IF(Programme_Grunddaten!AE711="Ja",1,0),"")</f>
        <v/>
      </c>
      <c r="X706" s="1" t="str">
        <f>IF(AND(Programme_Grunddaten!$A711="Geprüft",Programme_Grunddaten!AF711&lt;&gt;""),IF(Programme_Grunddaten!AF711="Ja",1,0),"")</f>
        <v/>
      </c>
      <c r="Y706" s="1" t="str">
        <f>IF(AND(Programme_Grunddaten!$A711="Geprüft",Programme_Grunddaten!AG711&lt;&gt;""),IF(Programme_Grunddaten!AG711="Ja",1,0),"")</f>
        <v/>
      </c>
      <c r="Z706" s="1" t="str">
        <f>IF(AND(Programme_Grunddaten!$A711="Geprüft",Programme_Grunddaten!AH711&lt;&gt;""),IF(Programme_Grunddaten!AH711="Ja",1,0),"")</f>
        <v/>
      </c>
      <c r="AA706" s="1" t="str">
        <f>IF(AND(Programme_Grunddaten!$A711="Geprüft",Programme_Grunddaten!AI711&lt;&gt;""),IF(Programme_Grunddaten!AI711="Ja",1,0),"")</f>
        <v/>
      </c>
      <c r="AB706" s="1" t="str">
        <f>IF(AND(Programme_Grunddaten!$A711="Geprüft",Programme_Grunddaten!AJ711&lt;&gt;""),IF(Programme_Grunddaten!AJ711="individuell programmierbar",1,0),"")</f>
        <v/>
      </c>
      <c r="AC706" s="1" t="str">
        <f>IF(AND(Programme_Grunddaten!$A711="Geprüft",Programme_Grunddaten!AK711&lt;&gt;""),IF(Programme_Grunddaten!AK711="Deutsch",0,IF(Programme_Grunddaten!AK711="Deutsch und Englisch",1,2)),"")</f>
        <v/>
      </c>
      <c r="AD706" s="1" t="str">
        <f>IF(AND(Programme_Grunddaten!$A711="Geprüft",Programme_Grunddaten!AL711&lt;&gt;""),IF(Programme_Grunddaten!AL711="Ja",1,0),"")</f>
        <v/>
      </c>
      <c r="AE706" s="1" t="str">
        <f>IF(AND(Programme_Grunddaten!$A711="Geprüft",Programme_Grunddaten!AM711&lt;&gt;""),IF(Programme_Grunddaten!AM711="Ja",1,0),"")</f>
        <v/>
      </c>
      <c r="AF706" s="1" t="str">
        <f>IF(AND(Programme_Grunddaten!$A711="Geprüft",Programme_Grunddaten!AN711&lt;&gt;""),IF(Programme_Grunddaten!AN711="Ja",1,0),"")</f>
        <v/>
      </c>
      <c r="AG706" s="1" t="str">
        <f>IF(AND(Programme_Grunddaten!$A711="Geprüft",Programme_Grunddaten!AO711&lt;&gt;""),IF(Programme_Grunddaten!AO711="Ja",1,0),"")</f>
        <v/>
      </c>
      <c r="AH706" s="1" t="str">
        <f>IF(AND(Programme_Grunddaten!$A711="Geprüft",Programme_Grunddaten!AP711&lt;&gt;""),IF(Programme_Grunddaten!AP711="Ja",1,0),"")</f>
        <v/>
      </c>
      <c r="AI706" s="1" t="str">
        <f>IF(AND(Programme_Grunddaten!$A711="Geprüft",Programme_Grunddaten!AQ711&lt;&gt;""),IF(Programme_Grunddaten!AQ711="Ja",1,0),"")</f>
        <v/>
      </c>
      <c r="AJ706" s="1" t="str">
        <f>IF(AND(Programme_Grunddaten!$A711="Geprüft",Programme_Grunddaten!AR711&lt;&gt;""),IF(Programme_Grunddaten!AR711="Ja",1,0),"")</f>
        <v/>
      </c>
      <c r="AK706" s="1" t="str">
        <f>IF(AND(Programme_Grunddaten!$A711="Geprüft",Programme_Grunddaten!AS711&lt;&gt;""),IF(Programme_Grunddaten!AS711="Ja",1,0),"")</f>
        <v/>
      </c>
      <c r="AL706" s="1" t="str">
        <f>IF(AND(Programme_Grunddaten!$A711="Geprüft",Programme_Grunddaten!AT711&lt;&gt;""),IF(Programme_Grunddaten!AT711="Ja",1,0),"")</f>
        <v/>
      </c>
      <c r="AM706" s="1" t="str">
        <f>IF(AND(Programme_Grunddaten!$A711="Geprüft",Programme_Grunddaten!AU711&lt;&gt;""),IF(Programme_Grunddaten!AU711="Ja",1,0),"")</f>
        <v/>
      </c>
      <c r="AN706" s="1" t="str">
        <f>IF(AND(Programme_Grunddaten!$A711="Geprüft",Programme_Grunddaten!AV711&lt;&gt;""),IF(Programme_Grunddaten!AV711="Ja",1,0),"")</f>
        <v/>
      </c>
    </row>
    <row r="707" spans="1:40" x14ac:dyDescent="0.3">
      <c r="A707" s="1" t="str">
        <f>IF(AND(Programme_Grunddaten!A712="Geprüft",Programme_Grunddaten!B712&lt;&gt;""),Programme_Grunddaten!B712,"")</f>
        <v/>
      </c>
      <c r="B707" s="1" t="str">
        <f>IF(AND(Programme_Grunddaten!$A712="Geprüft",Programme_Grunddaten!I712&lt;&gt;""),IF(Programme_Grunddaten!I712="Ja",1,0),"")</f>
        <v/>
      </c>
      <c r="C707" s="1" t="str">
        <f>IF(AND(Programme_Grunddaten!$A712="Geprüft",Programme_Grunddaten!J712&lt;&gt;""),IF(Programme_Grunddaten!J712="Ja",1,0),"")</f>
        <v/>
      </c>
      <c r="D707" s="1" t="str">
        <f>IF(AND(Programme_Grunddaten!$A712="Geprüft",Programme_Grunddaten!K712&lt;&gt;""),IF(Programme_Grunddaten!K712="Ja",1,0),"")</f>
        <v/>
      </c>
      <c r="E707" s="1" t="str">
        <f>IF(AND(Programme_Grunddaten!$A712="Geprüft",Programme_Grunddaten!L712&lt;&gt;""),IF(Programme_Grunddaten!L712="Abo / befristete Lizenz",1,0),"")</f>
        <v/>
      </c>
      <c r="F707" s="1" t="str">
        <f>IF(AND(Programme_Grunddaten!$A712="Geprüft",Programme_Grunddaten!M712&lt;&gt;""),IF(Programme_Grunddaten!M712="Ja",1,0),"")</f>
        <v/>
      </c>
      <c r="G707" s="1" t="str">
        <f>IF(AND(Programme_Grunddaten!$A712="Geprüft",Programme_Grunddaten!N712&lt;&gt;""),IF(Programme_Grunddaten!N712="Ja",1,0),"")</f>
        <v/>
      </c>
      <c r="H707" s="1" t="str">
        <f>IF(AND(Programme_Grunddaten!$A712="Geprüft",Programme_Grunddaten!O712&lt;&gt;""),IF(Programme_Grunddaten!O712="Deutschland",0,IF(Programme_Grunddaten!O712="EU",1,2)),"")</f>
        <v/>
      </c>
      <c r="I707" s="1" t="str">
        <f>IF(AND(Programme_Grunddaten!$A712="Geprüft",Programme_Grunddaten!P712&lt;&gt;""),IF(Programme_Grunddaten!P712="Ja",1,0),"")</f>
        <v/>
      </c>
      <c r="J707" s="1" t="str">
        <f>IF(AND(Programme_Grunddaten!$A712="Geprüft",Programme_Grunddaten!Q712&lt;&gt;""),IF(Programme_Grunddaten!Q712="geschlossenes System",1,0),"")</f>
        <v/>
      </c>
      <c r="K707" s="1" t="str">
        <f>IF(AND(Programme_Grunddaten!$A712="Geprüft",Programme_Grunddaten!R712&lt;&gt;""),IF(Programme_Grunddaten!R712="Ja",1,0),"")</f>
        <v/>
      </c>
      <c r="L707" s="1" t="str">
        <f>IF(AND(Programme_Grunddaten!$A712="Geprüft",Programme_Grunddaten!T712&lt;&gt;""),IF(Programme_Grunddaten!T712="Ja",1,0),"")</f>
        <v/>
      </c>
      <c r="M707" s="1" t="str">
        <f>IF(AND(Programme_Grunddaten!$A712="Geprüft",Programme_Grunddaten!U712&lt;&gt;""),IF(Programme_Grunddaten!U712="Ja",1,0),"")</f>
        <v/>
      </c>
      <c r="N707" s="1" t="str">
        <f>IF(AND(Programme_Grunddaten!$A712="Geprüft",Programme_Grunddaten!V712&lt;&gt;""),IF(Programme_Grunddaten!V712="Ja",1,0),"")</f>
        <v/>
      </c>
      <c r="O707" s="1" t="str">
        <f>IF(AND(Programme_Grunddaten!$A712="Geprüft",Programme_Grunddaten!W712&lt;&gt;""),IF(Programme_Grunddaten!W712="Ja",1,0),"")</f>
        <v/>
      </c>
      <c r="P707" s="1" t="str">
        <f>IF(AND(Programme_Grunddaten!$A712="Geprüft",Programme_Grunddaten!X712&lt;&gt;""),IF(Programme_Grunddaten!X712="Ja",1,0),"")</f>
        <v/>
      </c>
      <c r="Q707" s="1" t="str">
        <f>IF(AND(Programme_Grunddaten!$A712="Geprüft",Programme_Grunddaten!Y712&lt;&gt;""),IF(Programme_Grunddaten!Y712="Ja",1,0),"")</f>
        <v/>
      </c>
      <c r="R707" s="1" t="str">
        <f>IF(AND(Programme_Grunddaten!$A712="Geprüft",Programme_Grunddaten!Z712&lt;&gt;""),IF(Programme_Grunddaten!Z712="Ja",1,0),"")</f>
        <v/>
      </c>
      <c r="S707" s="1" t="str">
        <f>IF(AND(Programme_Grunddaten!$A712="Geprüft",Programme_Grunddaten!AA712&lt;&gt;""),IF(Programme_Grunddaten!AA712="monolithisch",1,0),"")</f>
        <v/>
      </c>
      <c r="T707" s="1" t="str">
        <f>IF(AND(Programme_Grunddaten!$A712="Geprüft",Programme_Grunddaten!AB712&lt;&gt;""),IF(Programme_Grunddaten!AB712="Ja",1,0),"")</f>
        <v/>
      </c>
      <c r="U707" s="1" t="str">
        <f>IF(AND(Programme_Grunddaten!$A712="Geprüft",Programme_Grunddaten!AC712&lt;&gt;""),IF(Programme_Grunddaten!AC712="Ja",1,0),"")</f>
        <v/>
      </c>
      <c r="V707" s="1" t="str">
        <f>IF(AND(Programme_Grunddaten!$A712="Geprüft",Programme_Grunddaten!AD712&lt;&gt;""),IF(Programme_Grunddaten!AD712="Ja",1,0),"")</f>
        <v/>
      </c>
      <c r="W707" s="1" t="str">
        <f>IF(AND(Programme_Grunddaten!$A712="Geprüft",Programme_Grunddaten!AE712&lt;&gt;""),IF(Programme_Grunddaten!AE712="Ja",1,0),"")</f>
        <v/>
      </c>
      <c r="X707" s="1" t="str">
        <f>IF(AND(Programme_Grunddaten!$A712="Geprüft",Programme_Grunddaten!AF712&lt;&gt;""),IF(Programme_Grunddaten!AF712="Ja",1,0),"")</f>
        <v/>
      </c>
      <c r="Y707" s="1" t="str">
        <f>IF(AND(Programme_Grunddaten!$A712="Geprüft",Programme_Grunddaten!AG712&lt;&gt;""),IF(Programme_Grunddaten!AG712="Ja",1,0),"")</f>
        <v/>
      </c>
      <c r="Z707" s="1" t="str">
        <f>IF(AND(Programme_Grunddaten!$A712="Geprüft",Programme_Grunddaten!AH712&lt;&gt;""),IF(Programme_Grunddaten!AH712="Ja",1,0),"")</f>
        <v/>
      </c>
      <c r="AA707" s="1" t="str">
        <f>IF(AND(Programme_Grunddaten!$A712="Geprüft",Programme_Grunddaten!AI712&lt;&gt;""),IF(Programme_Grunddaten!AI712="Ja",1,0),"")</f>
        <v/>
      </c>
      <c r="AB707" s="1" t="str">
        <f>IF(AND(Programme_Grunddaten!$A712="Geprüft",Programme_Grunddaten!AJ712&lt;&gt;""),IF(Programme_Grunddaten!AJ712="individuell programmierbar",1,0),"")</f>
        <v/>
      </c>
      <c r="AC707" s="1" t="str">
        <f>IF(AND(Programme_Grunddaten!$A712="Geprüft",Programme_Grunddaten!AK712&lt;&gt;""),IF(Programme_Grunddaten!AK712="Deutsch",0,IF(Programme_Grunddaten!AK712="Deutsch und Englisch",1,2)),"")</f>
        <v/>
      </c>
      <c r="AD707" s="1" t="str">
        <f>IF(AND(Programme_Grunddaten!$A712="Geprüft",Programme_Grunddaten!AL712&lt;&gt;""),IF(Programme_Grunddaten!AL712="Ja",1,0),"")</f>
        <v/>
      </c>
      <c r="AE707" s="1" t="str">
        <f>IF(AND(Programme_Grunddaten!$A712="Geprüft",Programme_Grunddaten!AM712&lt;&gt;""),IF(Programme_Grunddaten!AM712="Ja",1,0),"")</f>
        <v/>
      </c>
      <c r="AF707" s="1" t="str">
        <f>IF(AND(Programme_Grunddaten!$A712="Geprüft",Programme_Grunddaten!AN712&lt;&gt;""),IF(Programme_Grunddaten!AN712="Ja",1,0),"")</f>
        <v/>
      </c>
      <c r="AG707" s="1" t="str">
        <f>IF(AND(Programme_Grunddaten!$A712="Geprüft",Programme_Grunddaten!AO712&lt;&gt;""),IF(Programme_Grunddaten!AO712="Ja",1,0),"")</f>
        <v/>
      </c>
      <c r="AH707" s="1" t="str">
        <f>IF(AND(Programme_Grunddaten!$A712="Geprüft",Programme_Grunddaten!AP712&lt;&gt;""),IF(Programme_Grunddaten!AP712="Ja",1,0),"")</f>
        <v/>
      </c>
      <c r="AI707" s="1" t="str">
        <f>IF(AND(Programme_Grunddaten!$A712="Geprüft",Programme_Grunddaten!AQ712&lt;&gt;""),IF(Programme_Grunddaten!AQ712="Ja",1,0),"")</f>
        <v/>
      </c>
      <c r="AJ707" s="1" t="str">
        <f>IF(AND(Programme_Grunddaten!$A712="Geprüft",Programme_Grunddaten!AR712&lt;&gt;""),IF(Programme_Grunddaten!AR712="Ja",1,0),"")</f>
        <v/>
      </c>
      <c r="AK707" s="1" t="str">
        <f>IF(AND(Programme_Grunddaten!$A712="Geprüft",Programme_Grunddaten!AS712&lt;&gt;""),IF(Programme_Grunddaten!AS712="Ja",1,0),"")</f>
        <v/>
      </c>
      <c r="AL707" s="1" t="str">
        <f>IF(AND(Programme_Grunddaten!$A712="Geprüft",Programme_Grunddaten!AT712&lt;&gt;""),IF(Programme_Grunddaten!AT712="Ja",1,0),"")</f>
        <v/>
      </c>
      <c r="AM707" s="1" t="str">
        <f>IF(AND(Programme_Grunddaten!$A712="Geprüft",Programme_Grunddaten!AU712&lt;&gt;""),IF(Programme_Grunddaten!AU712="Ja",1,0),"")</f>
        <v/>
      </c>
      <c r="AN707" s="1" t="str">
        <f>IF(AND(Programme_Grunddaten!$A712="Geprüft",Programme_Grunddaten!AV712&lt;&gt;""),IF(Programme_Grunddaten!AV712="Ja",1,0),"")</f>
        <v/>
      </c>
    </row>
    <row r="708" spans="1:40" x14ac:dyDescent="0.3">
      <c r="A708" s="1" t="str">
        <f>IF(AND(Programme_Grunddaten!A713="Geprüft",Programme_Grunddaten!B713&lt;&gt;""),Programme_Grunddaten!B713,"")</f>
        <v/>
      </c>
      <c r="B708" s="1" t="str">
        <f>IF(AND(Programme_Grunddaten!$A713="Geprüft",Programme_Grunddaten!I713&lt;&gt;""),IF(Programme_Grunddaten!I713="Ja",1,0),"")</f>
        <v/>
      </c>
      <c r="C708" s="1" t="str">
        <f>IF(AND(Programme_Grunddaten!$A713="Geprüft",Programme_Grunddaten!J713&lt;&gt;""),IF(Programme_Grunddaten!J713="Ja",1,0),"")</f>
        <v/>
      </c>
      <c r="D708" s="1" t="str">
        <f>IF(AND(Programme_Grunddaten!$A713="Geprüft",Programme_Grunddaten!K713&lt;&gt;""),IF(Programme_Grunddaten!K713="Ja",1,0),"")</f>
        <v/>
      </c>
      <c r="E708" s="1" t="str">
        <f>IF(AND(Programme_Grunddaten!$A713="Geprüft",Programme_Grunddaten!L713&lt;&gt;""),IF(Programme_Grunddaten!L713="Abo / befristete Lizenz",1,0),"")</f>
        <v/>
      </c>
      <c r="F708" s="1" t="str">
        <f>IF(AND(Programme_Grunddaten!$A713="Geprüft",Programme_Grunddaten!M713&lt;&gt;""),IF(Programme_Grunddaten!M713="Ja",1,0),"")</f>
        <v/>
      </c>
      <c r="G708" s="1" t="str">
        <f>IF(AND(Programme_Grunddaten!$A713="Geprüft",Programme_Grunddaten!N713&lt;&gt;""),IF(Programme_Grunddaten!N713="Ja",1,0),"")</f>
        <v/>
      </c>
      <c r="H708" s="1" t="str">
        <f>IF(AND(Programme_Grunddaten!$A713="Geprüft",Programme_Grunddaten!O713&lt;&gt;""),IF(Programme_Grunddaten!O713="Deutschland",0,IF(Programme_Grunddaten!O713="EU",1,2)),"")</f>
        <v/>
      </c>
      <c r="I708" s="1" t="str">
        <f>IF(AND(Programme_Grunddaten!$A713="Geprüft",Programme_Grunddaten!P713&lt;&gt;""),IF(Programme_Grunddaten!P713="Ja",1,0),"")</f>
        <v/>
      </c>
      <c r="J708" s="1" t="str">
        <f>IF(AND(Programme_Grunddaten!$A713="Geprüft",Programme_Grunddaten!Q713&lt;&gt;""),IF(Programme_Grunddaten!Q713="geschlossenes System",1,0),"")</f>
        <v/>
      </c>
      <c r="K708" s="1" t="str">
        <f>IF(AND(Programme_Grunddaten!$A713="Geprüft",Programme_Grunddaten!R713&lt;&gt;""),IF(Programme_Grunddaten!R713="Ja",1,0),"")</f>
        <v/>
      </c>
      <c r="L708" s="1" t="str">
        <f>IF(AND(Programme_Grunddaten!$A713="Geprüft",Programme_Grunddaten!T713&lt;&gt;""),IF(Programme_Grunddaten!T713="Ja",1,0),"")</f>
        <v/>
      </c>
      <c r="M708" s="1" t="str">
        <f>IF(AND(Programme_Grunddaten!$A713="Geprüft",Programme_Grunddaten!U713&lt;&gt;""),IF(Programme_Grunddaten!U713="Ja",1,0),"")</f>
        <v/>
      </c>
      <c r="N708" s="1" t="str">
        <f>IF(AND(Programme_Grunddaten!$A713="Geprüft",Programme_Grunddaten!V713&lt;&gt;""),IF(Programme_Grunddaten!V713="Ja",1,0),"")</f>
        <v/>
      </c>
      <c r="O708" s="1" t="str">
        <f>IF(AND(Programme_Grunddaten!$A713="Geprüft",Programme_Grunddaten!W713&lt;&gt;""),IF(Programme_Grunddaten!W713="Ja",1,0),"")</f>
        <v/>
      </c>
      <c r="P708" s="1" t="str">
        <f>IF(AND(Programme_Grunddaten!$A713="Geprüft",Programme_Grunddaten!X713&lt;&gt;""),IF(Programme_Grunddaten!X713="Ja",1,0),"")</f>
        <v/>
      </c>
      <c r="Q708" s="1" t="str">
        <f>IF(AND(Programme_Grunddaten!$A713="Geprüft",Programme_Grunddaten!Y713&lt;&gt;""),IF(Programme_Grunddaten!Y713="Ja",1,0),"")</f>
        <v/>
      </c>
      <c r="R708" s="1" t="str">
        <f>IF(AND(Programme_Grunddaten!$A713="Geprüft",Programme_Grunddaten!Z713&lt;&gt;""),IF(Programme_Grunddaten!Z713="Ja",1,0),"")</f>
        <v/>
      </c>
      <c r="S708" s="1" t="str">
        <f>IF(AND(Programme_Grunddaten!$A713="Geprüft",Programme_Grunddaten!AA713&lt;&gt;""),IF(Programme_Grunddaten!AA713="monolithisch",1,0),"")</f>
        <v/>
      </c>
      <c r="T708" s="1" t="str">
        <f>IF(AND(Programme_Grunddaten!$A713="Geprüft",Programme_Grunddaten!AB713&lt;&gt;""),IF(Programme_Grunddaten!AB713="Ja",1,0),"")</f>
        <v/>
      </c>
      <c r="U708" s="1" t="str">
        <f>IF(AND(Programme_Grunddaten!$A713="Geprüft",Programme_Grunddaten!AC713&lt;&gt;""),IF(Programme_Grunddaten!AC713="Ja",1,0),"")</f>
        <v/>
      </c>
      <c r="V708" s="1" t="str">
        <f>IF(AND(Programme_Grunddaten!$A713="Geprüft",Programme_Grunddaten!AD713&lt;&gt;""),IF(Programme_Grunddaten!AD713="Ja",1,0),"")</f>
        <v/>
      </c>
      <c r="W708" s="1" t="str">
        <f>IF(AND(Programme_Grunddaten!$A713="Geprüft",Programme_Grunddaten!AE713&lt;&gt;""),IF(Programme_Grunddaten!AE713="Ja",1,0),"")</f>
        <v/>
      </c>
      <c r="X708" s="1" t="str">
        <f>IF(AND(Programme_Grunddaten!$A713="Geprüft",Programme_Grunddaten!AF713&lt;&gt;""),IF(Programme_Grunddaten!AF713="Ja",1,0),"")</f>
        <v/>
      </c>
      <c r="Y708" s="1" t="str">
        <f>IF(AND(Programme_Grunddaten!$A713="Geprüft",Programme_Grunddaten!AG713&lt;&gt;""),IF(Programme_Grunddaten!AG713="Ja",1,0),"")</f>
        <v/>
      </c>
      <c r="Z708" s="1" t="str">
        <f>IF(AND(Programme_Grunddaten!$A713="Geprüft",Programme_Grunddaten!AH713&lt;&gt;""),IF(Programme_Grunddaten!AH713="Ja",1,0),"")</f>
        <v/>
      </c>
      <c r="AA708" s="1" t="str">
        <f>IF(AND(Programme_Grunddaten!$A713="Geprüft",Programme_Grunddaten!AI713&lt;&gt;""),IF(Programme_Grunddaten!AI713="Ja",1,0),"")</f>
        <v/>
      </c>
      <c r="AB708" s="1" t="str">
        <f>IF(AND(Programme_Grunddaten!$A713="Geprüft",Programme_Grunddaten!AJ713&lt;&gt;""),IF(Programme_Grunddaten!AJ713="individuell programmierbar",1,0),"")</f>
        <v/>
      </c>
      <c r="AC708" s="1" t="str">
        <f>IF(AND(Programme_Grunddaten!$A713="Geprüft",Programme_Grunddaten!AK713&lt;&gt;""),IF(Programme_Grunddaten!AK713="Deutsch",0,IF(Programme_Grunddaten!AK713="Deutsch und Englisch",1,2)),"")</f>
        <v/>
      </c>
      <c r="AD708" s="1" t="str">
        <f>IF(AND(Programme_Grunddaten!$A713="Geprüft",Programme_Grunddaten!AL713&lt;&gt;""),IF(Programme_Grunddaten!AL713="Ja",1,0),"")</f>
        <v/>
      </c>
      <c r="AE708" s="1" t="str">
        <f>IF(AND(Programme_Grunddaten!$A713="Geprüft",Programme_Grunddaten!AM713&lt;&gt;""),IF(Programme_Grunddaten!AM713="Ja",1,0),"")</f>
        <v/>
      </c>
      <c r="AF708" s="1" t="str">
        <f>IF(AND(Programme_Grunddaten!$A713="Geprüft",Programme_Grunddaten!AN713&lt;&gt;""),IF(Programme_Grunddaten!AN713="Ja",1,0),"")</f>
        <v/>
      </c>
      <c r="AG708" s="1" t="str">
        <f>IF(AND(Programme_Grunddaten!$A713="Geprüft",Programme_Grunddaten!AO713&lt;&gt;""),IF(Programme_Grunddaten!AO713="Ja",1,0),"")</f>
        <v/>
      </c>
      <c r="AH708" s="1" t="str">
        <f>IF(AND(Programme_Grunddaten!$A713="Geprüft",Programme_Grunddaten!AP713&lt;&gt;""),IF(Programme_Grunddaten!AP713="Ja",1,0),"")</f>
        <v/>
      </c>
      <c r="AI708" s="1" t="str">
        <f>IF(AND(Programme_Grunddaten!$A713="Geprüft",Programme_Grunddaten!AQ713&lt;&gt;""),IF(Programme_Grunddaten!AQ713="Ja",1,0),"")</f>
        <v/>
      </c>
      <c r="AJ708" s="1" t="str">
        <f>IF(AND(Programme_Grunddaten!$A713="Geprüft",Programme_Grunddaten!AR713&lt;&gt;""),IF(Programme_Grunddaten!AR713="Ja",1,0),"")</f>
        <v/>
      </c>
      <c r="AK708" s="1" t="str">
        <f>IF(AND(Programme_Grunddaten!$A713="Geprüft",Programme_Grunddaten!AS713&lt;&gt;""),IF(Programme_Grunddaten!AS713="Ja",1,0),"")</f>
        <v/>
      </c>
      <c r="AL708" s="1" t="str">
        <f>IF(AND(Programme_Grunddaten!$A713="Geprüft",Programme_Grunddaten!AT713&lt;&gt;""),IF(Programme_Grunddaten!AT713="Ja",1,0),"")</f>
        <v/>
      </c>
      <c r="AM708" s="1" t="str">
        <f>IF(AND(Programme_Grunddaten!$A713="Geprüft",Programme_Grunddaten!AU713&lt;&gt;""),IF(Programme_Grunddaten!AU713="Ja",1,0),"")</f>
        <v/>
      </c>
      <c r="AN708" s="1" t="str">
        <f>IF(AND(Programme_Grunddaten!$A713="Geprüft",Programme_Grunddaten!AV713&lt;&gt;""),IF(Programme_Grunddaten!AV713="Ja",1,0),"")</f>
        <v/>
      </c>
    </row>
    <row r="709" spans="1:40" x14ac:dyDescent="0.3">
      <c r="A709" s="1" t="str">
        <f>IF(AND(Programme_Grunddaten!A714="Geprüft",Programme_Grunddaten!B714&lt;&gt;""),Programme_Grunddaten!B714,"")</f>
        <v/>
      </c>
      <c r="B709" s="1" t="str">
        <f>IF(AND(Programme_Grunddaten!$A714="Geprüft",Programme_Grunddaten!I714&lt;&gt;""),IF(Programme_Grunddaten!I714="Ja",1,0),"")</f>
        <v/>
      </c>
      <c r="C709" s="1" t="str">
        <f>IF(AND(Programme_Grunddaten!$A714="Geprüft",Programme_Grunddaten!J714&lt;&gt;""),IF(Programme_Grunddaten!J714="Ja",1,0),"")</f>
        <v/>
      </c>
      <c r="D709" s="1" t="str">
        <f>IF(AND(Programme_Grunddaten!$A714="Geprüft",Programme_Grunddaten!K714&lt;&gt;""),IF(Programme_Grunddaten!K714="Ja",1,0),"")</f>
        <v/>
      </c>
      <c r="E709" s="1" t="str">
        <f>IF(AND(Programme_Grunddaten!$A714="Geprüft",Programme_Grunddaten!L714&lt;&gt;""),IF(Programme_Grunddaten!L714="Abo / befristete Lizenz",1,0),"")</f>
        <v/>
      </c>
      <c r="F709" s="1" t="str">
        <f>IF(AND(Programme_Grunddaten!$A714="Geprüft",Programme_Grunddaten!M714&lt;&gt;""),IF(Programme_Grunddaten!M714="Ja",1,0),"")</f>
        <v/>
      </c>
      <c r="G709" s="1" t="str">
        <f>IF(AND(Programme_Grunddaten!$A714="Geprüft",Programme_Grunddaten!N714&lt;&gt;""),IF(Programme_Grunddaten!N714="Ja",1,0),"")</f>
        <v/>
      </c>
      <c r="H709" s="1" t="str">
        <f>IF(AND(Programme_Grunddaten!$A714="Geprüft",Programme_Grunddaten!O714&lt;&gt;""),IF(Programme_Grunddaten!O714="Deutschland",0,IF(Programme_Grunddaten!O714="EU",1,2)),"")</f>
        <v/>
      </c>
      <c r="I709" s="1" t="str">
        <f>IF(AND(Programme_Grunddaten!$A714="Geprüft",Programme_Grunddaten!P714&lt;&gt;""),IF(Programme_Grunddaten!P714="Ja",1,0),"")</f>
        <v/>
      </c>
      <c r="J709" s="1" t="str">
        <f>IF(AND(Programme_Grunddaten!$A714="Geprüft",Programme_Grunddaten!Q714&lt;&gt;""),IF(Programme_Grunddaten!Q714="geschlossenes System",1,0),"")</f>
        <v/>
      </c>
      <c r="K709" s="1" t="str">
        <f>IF(AND(Programme_Grunddaten!$A714="Geprüft",Programme_Grunddaten!R714&lt;&gt;""),IF(Programme_Grunddaten!R714="Ja",1,0),"")</f>
        <v/>
      </c>
      <c r="L709" s="1" t="str">
        <f>IF(AND(Programme_Grunddaten!$A714="Geprüft",Programme_Grunddaten!T714&lt;&gt;""),IF(Programme_Grunddaten!T714="Ja",1,0),"")</f>
        <v/>
      </c>
      <c r="M709" s="1" t="str">
        <f>IF(AND(Programme_Grunddaten!$A714="Geprüft",Programme_Grunddaten!U714&lt;&gt;""),IF(Programme_Grunddaten!U714="Ja",1,0),"")</f>
        <v/>
      </c>
      <c r="N709" s="1" t="str">
        <f>IF(AND(Programme_Grunddaten!$A714="Geprüft",Programme_Grunddaten!V714&lt;&gt;""),IF(Programme_Grunddaten!V714="Ja",1,0),"")</f>
        <v/>
      </c>
      <c r="O709" s="1" t="str">
        <f>IF(AND(Programme_Grunddaten!$A714="Geprüft",Programme_Grunddaten!W714&lt;&gt;""),IF(Programme_Grunddaten!W714="Ja",1,0),"")</f>
        <v/>
      </c>
      <c r="P709" s="1" t="str">
        <f>IF(AND(Programme_Grunddaten!$A714="Geprüft",Programme_Grunddaten!X714&lt;&gt;""),IF(Programme_Grunddaten!X714="Ja",1,0),"")</f>
        <v/>
      </c>
      <c r="Q709" s="1" t="str">
        <f>IF(AND(Programme_Grunddaten!$A714="Geprüft",Programme_Grunddaten!Y714&lt;&gt;""),IF(Programme_Grunddaten!Y714="Ja",1,0),"")</f>
        <v/>
      </c>
      <c r="R709" s="1" t="str">
        <f>IF(AND(Programme_Grunddaten!$A714="Geprüft",Programme_Grunddaten!Z714&lt;&gt;""),IF(Programme_Grunddaten!Z714="Ja",1,0),"")</f>
        <v/>
      </c>
      <c r="S709" s="1" t="str">
        <f>IF(AND(Programme_Grunddaten!$A714="Geprüft",Programme_Grunddaten!AA714&lt;&gt;""),IF(Programme_Grunddaten!AA714="monolithisch",1,0),"")</f>
        <v/>
      </c>
      <c r="T709" s="1" t="str">
        <f>IF(AND(Programme_Grunddaten!$A714="Geprüft",Programme_Grunddaten!AB714&lt;&gt;""),IF(Programme_Grunddaten!AB714="Ja",1,0),"")</f>
        <v/>
      </c>
      <c r="U709" s="1" t="str">
        <f>IF(AND(Programme_Grunddaten!$A714="Geprüft",Programme_Grunddaten!AC714&lt;&gt;""),IF(Programme_Grunddaten!AC714="Ja",1,0),"")</f>
        <v/>
      </c>
      <c r="V709" s="1" t="str">
        <f>IF(AND(Programme_Grunddaten!$A714="Geprüft",Programme_Grunddaten!AD714&lt;&gt;""),IF(Programme_Grunddaten!AD714="Ja",1,0),"")</f>
        <v/>
      </c>
      <c r="W709" s="1" t="str">
        <f>IF(AND(Programme_Grunddaten!$A714="Geprüft",Programme_Grunddaten!AE714&lt;&gt;""),IF(Programme_Grunddaten!AE714="Ja",1,0),"")</f>
        <v/>
      </c>
      <c r="X709" s="1" t="str">
        <f>IF(AND(Programme_Grunddaten!$A714="Geprüft",Programme_Grunddaten!AF714&lt;&gt;""),IF(Programme_Grunddaten!AF714="Ja",1,0),"")</f>
        <v/>
      </c>
      <c r="Y709" s="1" t="str">
        <f>IF(AND(Programme_Grunddaten!$A714="Geprüft",Programme_Grunddaten!AG714&lt;&gt;""),IF(Programme_Grunddaten!AG714="Ja",1,0),"")</f>
        <v/>
      </c>
      <c r="Z709" s="1" t="str">
        <f>IF(AND(Programme_Grunddaten!$A714="Geprüft",Programme_Grunddaten!AH714&lt;&gt;""),IF(Programme_Grunddaten!AH714="Ja",1,0),"")</f>
        <v/>
      </c>
      <c r="AA709" s="1" t="str">
        <f>IF(AND(Programme_Grunddaten!$A714="Geprüft",Programme_Grunddaten!AI714&lt;&gt;""),IF(Programme_Grunddaten!AI714="Ja",1,0),"")</f>
        <v/>
      </c>
      <c r="AB709" s="1" t="str">
        <f>IF(AND(Programme_Grunddaten!$A714="Geprüft",Programme_Grunddaten!AJ714&lt;&gt;""),IF(Programme_Grunddaten!AJ714="individuell programmierbar",1,0),"")</f>
        <v/>
      </c>
      <c r="AC709" s="1" t="str">
        <f>IF(AND(Programme_Grunddaten!$A714="Geprüft",Programme_Grunddaten!AK714&lt;&gt;""),IF(Programme_Grunddaten!AK714="Deutsch",0,IF(Programme_Grunddaten!AK714="Deutsch und Englisch",1,2)),"")</f>
        <v/>
      </c>
      <c r="AD709" s="1" t="str">
        <f>IF(AND(Programme_Grunddaten!$A714="Geprüft",Programme_Grunddaten!AL714&lt;&gt;""),IF(Programme_Grunddaten!AL714="Ja",1,0),"")</f>
        <v/>
      </c>
      <c r="AE709" s="1" t="str">
        <f>IF(AND(Programme_Grunddaten!$A714="Geprüft",Programme_Grunddaten!AM714&lt;&gt;""),IF(Programme_Grunddaten!AM714="Ja",1,0),"")</f>
        <v/>
      </c>
      <c r="AF709" s="1" t="str">
        <f>IF(AND(Programme_Grunddaten!$A714="Geprüft",Programme_Grunddaten!AN714&lt;&gt;""),IF(Programme_Grunddaten!AN714="Ja",1,0),"")</f>
        <v/>
      </c>
      <c r="AG709" s="1" t="str">
        <f>IF(AND(Programme_Grunddaten!$A714="Geprüft",Programme_Grunddaten!AO714&lt;&gt;""),IF(Programme_Grunddaten!AO714="Ja",1,0),"")</f>
        <v/>
      </c>
      <c r="AH709" s="1" t="str">
        <f>IF(AND(Programme_Grunddaten!$A714="Geprüft",Programme_Grunddaten!AP714&lt;&gt;""),IF(Programme_Grunddaten!AP714="Ja",1,0),"")</f>
        <v/>
      </c>
      <c r="AI709" s="1" t="str">
        <f>IF(AND(Programme_Grunddaten!$A714="Geprüft",Programme_Grunddaten!AQ714&lt;&gt;""),IF(Programme_Grunddaten!AQ714="Ja",1,0),"")</f>
        <v/>
      </c>
      <c r="AJ709" s="1" t="str">
        <f>IF(AND(Programme_Grunddaten!$A714="Geprüft",Programme_Grunddaten!AR714&lt;&gt;""),IF(Programme_Grunddaten!AR714="Ja",1,0),"")</f>
        <v/>
      </c>
      <c r="AK709" s="1" t="str">
        <f>IF(AND(Programme_Grunddaten!$A714="Geprüft",Programme_Grunddaten!AS714&lt;&gt;""),IF(Programme_Grunddaten!AS714="Ja",1,0),"")</f>
        <v/>
      </c>
      <c r="AL709" s="1" t="str">
        <f>IF(AND(Programme_Grunddaten!$A714="Geprüft",Programme_Grunddaten!AT714&lt;&gt;""),IF(Programme_Grunddaten!AT714="Ja",1,0),"")</f>
        <v/>
      </c>
      <c r="AM709" s="1" t="str">
        <f>IF(AND(Programme_Grunddaten!$A714="Geprüft",Programme_Grunddaten!AU714&lt;&gt;""),IF(Programme_Grunddaten!AU714="Ja",1,0),"")</f>
        <v/>
      </c>
      <c r="AN709" s="1" t="str">
        <f>IF(AND(Programme_Grunddaten!$A714="Geprüft",Programme_Grunddaten!AV714&lt;&gt;""),IF(Programme_Grunddaten!AV714="Ja",1,0),"")</f>
        <v/>
      </c>
    </row>
    <row r="710" spans="1:40" x14ac:dyDescent="0.3">
      <c r="A710" s="1" t="str">
        <f>IF(AND(Programme_Grunddaten!A715="Geprüft",Programme_Grunddaten!B715&lt;&gt;""),Programme_Grunddaten!B715,"")</f>
        <v/>
      </c>
      <c r="B710" s="1" t="str">
        <f>IF(AND(Programme_Grunddaten!$A715="Geprüft",Programme_Grunddaten!I715&lt;&gt;""),IF(Programme_Grunddaten!I715="Ja",1,0),"")</f>
        <v/>
      </c>
      <c r="C710" s="1" t="str">
        <f>IF(AND(Programme_Grunddaten!$A715="Geprüft",Programme_Grunddaten!J715&lt;&gt;""),IF(Programme_Grunddaten!J715="Ja",1,0),"")</f>
        <v/>
      </c>
      <c r="D710" s="1" t="str">
        <f>IF(AND(Programme_Grunddaten!$A715="Geprüft",Programme_Grunddaten!K715&lt;&gt;""),IF(Programme_Grunddaten!K715="Ja",1,0),"")</f>
        <v/>
      </c>
      <c r="E710" s="1" t="str">
        <f>IF(AND(Programme_Grunddaten!$A715="Geprüft",Programme_Grunddaten!L715&lt;&gt;""),IF(Programme_Grunddaten!L715="Abo / befristete Lizenz",1,0),"")</f>
        <v/>
      </c>
      <c r="F710" s="1" t="str">
        <f>IF(AND(Programme_Grunddaten!$A715="Geprüft",Programme_Grunddaten!M715&lt;&gt;""),IF(Programme_Grunddaten!M715="Ja",1,0),"")</f>
        <v/>
      </c>
      <c r="G710" s="1" t="str">
        <f>IF(AND(Programme_Grunddaten!$A715="Geprüft",Programme_Grunddaten!N715&lt;&gt;""),IF(Programme_Grunddaten!N715="Ja",1,0),"")</f>
        <v/>
      </c>
      <c r="H710" s="1" t="str">
        <f>IF(AND(Programme_Grunddaten!$A715="Geprüft",Programme_Grunddaten!O715&lt;&gt;""),IF(Programme_Grunddaten!O715="Deutschland",0,IF(Programme_Grunddaten!O715="EU",1,2)),"")</f>
        <v/>
      </c>
      <c r="I710" s="1" t="str">
        <f>IF(AND(Programme_Grunddaten!$A715="Geprüft",Programme_Grunddaten!P715&lt;&gt;""),IF(Programme_Grunddaten!P715="Ja",1,0),"")</f>
        <v/>
      </c>
      <c r="J710" s="1" t="str">
        <f>IF(AND(Programme_Grunddaten!$A715="Geprüft",Programme_Grunddaten!Q715&lt;&gt;""),IF(Programme_Grunddaten!Q715="geschlossenes System",1,0),"")</f>
        <v/>
      </c>
      <c r="K710" s="1" t="str">
        <f>IF(AND(Programme_Grunddaten!$A715="Geprüft",Programme_Grunddaten!R715&lt;&gt;""),IF(Programme_Grunddaten!R715="Ja",1,0),"")</f>
        <v/>
      </c>
      <c r="L710" s="1" t="str">
        <f>IF(AND(Programme_Grunddaten!$A715="Geprüft",Programme_Grunddaten!T715&lt;&gt;""),IF(Programme_Grunddaten!T715="Ja",1,0),"")</f>
        <v/>
      </c>
      <c r="M710" s="1" t="str">
        <f>IF(AND(Programme_Grunddaten!$A715="Geprüft",Programme_Grunddaten!U715&lt;&gt;""),IF(Programme_Grunddaten!U715="Ja",1,0),"")</f>
        <v/>
      </c>
      <c r="N710" s="1" t="str">
        <f>IF(AND(Programme_Grunddaten!$A715="Geprüft",Programme_Grunddaten!V715&lt;&gt;""),IF(Programme_Grunddaten!V715="Ja",1,0),"")</f>
        <v/>
      </c>
      <c r="O710" s="1" t="str">
        <f>IF(AND(Programme_Grunddaten!$A715="Geprüft",Programme_Grunddaten!W715&lt;&gt;""),IF(Programme_Grunddaten!W715="Ja",1,0),"")</f>
        <v/>
      </c>
      <c r="P710" s="1" t="str">
        <f>IF(AND(Programme_Grunddaten!$A715="Geprüft",Programme_Grunddaten!X715&lt;&gt;""),IF(Programme_Grunddaten!X715="Ja",1,0),"")</f>
        <v/>
      </c>
      <c r="Q710" s="1" t="str">
        <f>IF(AND(Programme_Grunddaten!$A715="Geprüft",Programme_Grunddaten!Y715&lt;&gt;""),IF(Programme_Grunddaten!Y715="Ja",1,0),"")</f>
        <v/>
      </c>
      <c r="R710" s="1" t="str">
        <f>IF(AND(Programme_Grunddaten!$A715="Geprüft",Programme_Grunddaten!Z715&lt;&gt;""),IF(Programme_Grunddaten!Z715="Ja",1,0),"")</f>
        <v/>
      </c>
      <c r="S710" s="1" t="str">
        <f>IF(AND(Programme_Grunddaten!$A715="Geprüft",Programme_Grunddaten!AA715&lt;&gt;""),IF(Programme_Grunddaten!AA715="monolithisch",1,0),"")</f>
        <v/>
      </c>
      <c r="T710" s="1" t="str">
        <f>IF(AND(Programme_Grunddaten!$A715="Geprüft",Programme_Grunddaten!AB715&lt;&gt;""),IF(Programme_Grunddaten!AB715="Ja",1,0),"")</f>
        <v/>
      </c>
      <c r="U710" s="1" t="str">
        <f>IF(AND(Programme_Grunddaten!$A715="Geprüft",Programme_Grunddaten!AC715&lt;&gt;""),IF(Programme_Grunddaten!AC715="Ja",1,0),"")</f>
        <v/>
      </c>
      <c r="V710" s="1" t="str">
        <f>IF(AND(Programme_Grunddaten!$A715="Geprüft",Programme_Grunddaten!AD715&lt;&gt;""),IF(Programme_Grunddaten!AD715="Ja",1,0),"")</f>
        <v/>
      </c>
      <c r="W710" s="1" t="str">
        <f>IF(AND(Programme_Grunddaten!$A715="Geprüft",Programme_Grunddaten!AE715&lt;&gt;""),IF(Programme_Grunddaten!AE715="Ja",1,0),"")</f>
        <v/>
      </c>
      <c r="X710" s="1" t="str">
        <f>IF(AND(Programme_Grunddaten!$A715="Geprüft",Programme_Grunddaten!AF715&lt;&gt;""),IF(Programme_Grunddaten!AF715="Ja",1,0),"")</f>
        <v/>
      </c>
      <c r="Y710" s="1" t="str">
        <f>IF(AND(Programme_Grunddaten!$A715="Geprüft",Programme_Grunddaten!AG715&lt;&gt;""),IF(Programme_Grunddaten!AG715="Ja",1,0),"")</f>
        <v/>
      </c>
      <c r="Z710" s="1" t="str">
        <f>IF(AND(Programme_Grunddaten!$A715="Geprüft",Programme_Grunddaten!AH715&lt;&gt;""),IF(Programme_Grunddaten!AH715="Ja",1,0),"")</f>
        <v/>
      </c>
      <c r="AA710" s="1" t="str">
        <f>IF(AND(Programme_Grunddaten!$A715="Geprüft",Programme_Grunddaten!AI715&lt;&gt;""),IF(Programme_Grunddaten!AI715="Ja",1,0),"")</f>
        <v/>
      </c>
      <c r="AB710" s="1" t="str">
        <f>IF(AND(Programme_Grunddaten!$A715="Geprüft",Programme_Grunddaten!AJ715&lt;&gt;""),IF(Programme_Grunddaten!AJ715="individuell programmierbar",1,0),"")</f>
        <v/>
      </c>
      <c r="AC710" s="1" t="str">
        <f>IF(AND(Programme_Grunddaten!$A715="Geprüft",Programme_Grunddaten!AK715&lt;&gt;""),IF(Programme_Grunddaten!AK715="Deutsch",0,IF(Programme_Grunddaten!AK715="Deutsch und Englisch",1,2)),"")</f>
        <v/>
      </c>
      <c r="AD710" s="1" t="str">
        <f>IF(AND(Programme_Grunddaten!$A715="Geprüft",Programme_Grunddaten!AL715&lt;&gt;""),IF(Programme_Grunddaten!AL715="Ja",1,0),"")</f>
        <v/>
      </c>
      <c r="AE710" s="1" t="str">
        <f>IF(AND(Programme_Grunddaten!$A715="Geprüft",Programme_Grunddaten!AM715&lt;&gt;""),IF(Programme_Grunddaten!AM715="Ja",1,0),"")</f>
        <v/>
      </c>
      <c r="AF710" s="1" t="str">
        <f>IF(AND(Programme_Grunddaten!$A715="Geprüft",Programme_Grunddaten!AN715&lt;&gt;""),IF(Programme_Grunddaten!AN715="Ja",1,0),"")</f>
        <v/>
      </c>
      <c r="AG710" s="1" t="str">
        <f>IF(AND(Programme_Grunddaten!$A715="Geprüft",Programme_Grunddaten!AO715&lt;&gt;""),IF(Programme_Grunddaten!AO715="Ja",1,0),"")</f>
        <v/>
      </c>
      <c r="AH710" s="1" t="str">
        <f>IF(AND(Programme_Grunddaten!$A715="Geprüft",Programme_Grunddaten!AP715&lt;&gt;""),IF(Programme_Grunddaten!AP715="Ja",1,0),"")</f>
        <v/>
      </c>
      <c r="AI710" s="1" t="str">
        <f>IF(AND(Programme_Grunddaten!$A715="Geprüft",Programme_Grunddaten!AQ715&lt;&gt;""),IF(Programme_Grunddaten!AQ715="Ja",1,0),"")</f>
        <v/>
      </c>
      <c r="AJ710" s="1" t="str">
        <f>IF(AND(Programme_Grunddaten!$A715="Geprüft",Programme_Grunddaten!AR715&lt;&gt;""),IF(Programme_Grunddaten!AR715="Ja",1,0),"")</f>
        <v/>
      </c>
      <c r="AK710" s="1" t="str">
        <f>IF(AND(Programme_Grunddaten!$A715="Geprüft",Programme_Grunddaten!AS715&lt;&gt;""),IF(Programme_Grunddaten!AS715="Ja",1,0),"")</f>
        <v/>
      </c>
      <c r="AL710" s="1" t="str">
        <f>IF(AND(Programme_Grunddaten!$A715="Geprüft",Programme_Grunddaten!AT715&lt;&gt;""),IF(Programme_Grunddaten!AT715="Ja",1,0),"")</f>
        <v/>
      </c>
      <c r="AM710" s="1" t="str">
        <f>IF(AND(Programme_Grunddaten!$A715="Geprüft",Programme_Grunddaten!AU715&lt;&gt;""),IF(Programme_Grunddaten!AU715="Ja",1,0),"")</f>
        <v/>
      </c>
      <c r="AN710" s="1" t="str">
        <f>IF(AND(Programme_Grunddaten!$A715="Geprüft",Programme_Grunddaten!AV715&lt;&gt;""),IF(Programme_Grunddaten!AV715="Ja",1,0),"")</f>
        <v/>
      </c>
    </row>
    <row r="711" spans="1:40" x14ac:dyDescent="0.3">
      <c r="A711" s="1" t="str">
        <f>IF(AND(Programme_Grunddaten!A716="Geprüft",Programme_Grunddaten!B716&lt;&gt;""),Programme_Grunddaten!B716,"")</f>
        <v/>
      </c>
      <c r="B711" s="1" t="str">
        <f>IF(AND(Programme_Grunddaten!$A716="Geprüft",Programme_Grunddaten!I716&lt;&gt;""),IF(Programme_Grunddaten!I716="Ja",1,0),"")</f>
        <v/>
      </c>
      <c r="C711" s="1" t="str">
        <f>IF(AND(Programme_Grunddaten!$A716="Geprüft",Programme_Grunddaten!J716&lt;&gt;""),IF(Programme_Grunddaten!J716="Ja",1,0),"")</f>
        <v/>
      </c>
      <c r="D711" s="1" t="str">
        <f>IF(AND(Programme_Grunddaten!$A716="Geprüft",Programme_Grunddaten!K716&lt;&gt;""),IF(Programme_Grunddaten!K716="Ja",1,0),"")</f>
        <v/>
      </c>
      <c r="E711" s="1" t="str">
        <f>IF(AND(Programme_Grunddaten!$A716="Geprüft",Programme_Grunddaten!L716&lt;&gt;""),IF(Programme_Grunddaten!L716="Abo / befristete Lizenz",1,0),"")</f>
        <v/>
      </c>
      <c r="F711" s="1" t="str">
        <f>IF(AND(Programme_Grunddaten!$A716="Geprüft",Programme_Grunddaten!M716&lt;&gt;""),IF(Programme_Grunddaten!M716="Ja",1,0),"")</f>
        <v/>
      </c>
      <c r="G711" s="1" t="str">
        <f>IF(AND(Programme_Grunddaten!$A716="Geprüft",Programme_Grunddaten!N716&lt;&gt;""),IF(Programme_Grunddaten!N716="Ja",1,0),"")</f>
        <v/>
      </c>
      <c r="H711" s="1" t="str">
        <f>IF(AND(Programme_Grunddaten!$A716="Geprüft",Programme_Grunddaten!O716&lt;&gt;""),IF(Programme_Grunddaten!O716="Deutschland",0,IF(Programme_Grunddaten!O716="EU",1,2)),"")</f>
        <v/>
      </c>
      <c r="I711" s="1" t="str">
        <f>IF(AND(Programme_Grunddaten!$A716="Geprüft",Programme_Grunddaten!P716&lt;&gt;""),IF(Programme_Grunddaten!P716="Ja",1,0),"")</f>
        <v/>
      </c>
      <c r="J711" s="1" t="str">
        <f>IF(AND(Programme_Grunddaten!$A716="Geprüft",Programme_Grunddaten!Q716&lt;&gt;""),IF(Programme_Grunddaten!Q716="geschlossenes System",1,0),"")</f>
        <v/>
      </c>
      <c r="K711" s="1" t="str">
        <f>IF(AND(Programme_Grunddaten!$A716="Geprüft",Programme_Grunddaten!R716&lt;&gt;""),IF(Programme_Grunddaten!R716="Ja",1,0),"")</f>
        <v/>
      </c>
      <c r="L711" s="1" t="str">
        <f>IF(AND(Programme_Grunddaten!$A716="Geprüft",Programme_Grunddaten!T716&lt;&gt;""),IF(Programme_Grunddaten!T716="Ja",1,0),"")</f>
        <v/>
      </c>
      <c r="M711" s="1" t="str">
        <f>IF(AND(Programme_Grunddaten!$A716="Geprüft",Programme_Grunddaten!U716&lt;&gt;""),IF(Programme_Grunddaten!U716="Ja",1,0),"")</f>
        <v/>
      </c>
      <c r="N711" s="1" t="str">
        <f>IF(AND(Programme_Grunddaten!$A716="Geprüft",Programme_Grunddaten!V716&lt;&gt;""),IF(Programme_Grunddaten!V716="Ja",1,0),"")</f>
        <v/>
      </c>
      <c r="O711" s="1" t="str">
        <f>IF(AND(Programme_Grunddaten!$A716="Geprüft",Programme_Grunddaten!W716&lt;&gt;""),IF(Programme_Grunddaten!W716="Ja",1,0),"")</f>
        <v/>
      </c>
      <c r="P711" s="1" t="str">
        <f>IF(AND(Programme_Grunddaten!$A716="Geprüft",Programme_Grunddaten!X716&lt;&gt;""),IF(Programme_Grunddaten!X716="Ja",1,0),"")</f>
        <v/>
      </c>
      <c r="Q711" s="1" t="str">
        <f>IF(AND(Programme_Grunddaten!$A716="Geprüft",Programme_Grunddaten!Y716&lt;&gt;""),IF(Programme_Grunddaten!Y716="Ja",1,0),"")</f>
        <v/>
      </c>
      <c r="R711" s="1" t="str">
        <f>IF(AND(Programme_Grunddaten!$A716="Geprüft",Programme_Grunddaten!Z716&lt;&gt;""),IF(Programme_Grunddaten!Z716="Ja",1,0),"")</f>
        <v/>
      </c>
      <c r="S711" s="1" t="str">
        <f>IF(AND(Programme_Grunddaten!$A716="Geprüft",Programme_Grunddaten!AA716&lt;&gt;""),IF(Programme_Grunddaten!AA716="monolithisch",1,0),"")</f>
        <v/>
      </c>
      <c r="T711" s="1" t="str">
        <f>IF(AND(Programme_Grunddaten!$A716="Geprüft",Programme_Grunddaten!AB716&lt;&gt;""),IF(Programme_Grunddaten!AB716="Ja",1,0),"")</f>
        <v/>
      </c>
      <c r="U711" s="1" t="str">
        <f>IF(AND(Programme_Grunddaten!$A716="Geprüft",Programme_Grunddaten!AC716&lt;&gt;""),IF(Programme_Grunddaten!AC716="Ja",1,0),"")</f>
        <v/>
      </c>
      <c r="V711" s="1" t="str">
        <f>IF(AND(Programme_Grunddaten!$A716="Geprüft",Programme_Grunddaten!AD716&lt;&gt;""),IF(Programme_Grunddaten!AD716="Ja",1,0),"")</f>
        <v/>
      </c>
      <c r="W711" s="1" t="str">
        <f>IF(AND(Programme_Grunddaten!$A716="Geprüft",Programme_Grunddaten!AE716&lt;&gt;""),IF(Programme_Grunddaten!AE716="Ja",1,0),"")</f>
        <v/>
      </c>
      <c r="X711" s="1" t="str">
        <f>IF(AND(Programme_Grunddaten!$A716="Geprüft",Programme_Grunddaten!AF716&lt;&gt;""),IF(Programme_Grunddaten!AF716="Ja",1,0),"")</f>
        <v/>
      </c>
      <c r="Y711" s="1" t="str">
        <f>IF(AND(Programme_Grunddaten!$A716="Geprüft",Programme_Grunddaten!AG716&lt;&gt;""),IF(Programme_Grunddaten!AG716="Ja",1,0),"")</f>
        <v/>
      </c>
      <c r="Z711" s="1" t="str">
        <f>IF(AND(Programme_Grunddaten!$A716="Geprüft",Programme_Grunddaten!AH716&lt;&gt;""),IF(Programme_Grunddaten!AH716="Ja",1,0),"")</f>
        <v/>
      </c>
      <c r="AA711" s="1" t="str">
        <f>IF(AND(Programme_Grunddaten!$A716="Geprüft",Programme_Grunddaten!AI716&lt;&gt;""),IF(Programme_Grunddaten!AI716="Ja",1,0),"")</f>
        <v/>
      </c>
      <c r="AB711" s="1" t="str">
        <f>IF(AND(Programme_Grunddaten!$A716="Geprüft",Programme_Grunddaten!AJ716&lt;&gt;""),IF(Programme_Grunddaten!AJ716="individuell programmierbar",1,0),"")</f>
        <v/>
      </c>
      <c r="AC711" s="1" t="str">
        <f>IF(AND(Programme_Grunddaten!$A716="Geprüft",Programme_Grunddaten!AK716&lt;&gt;""),IF(Programme_Grunddaten!AK716="Deutsch",0,IF(Programme_Grunddaten!AK716="Deutsch und Englisch",1,2)),"")</f>
        <v/>
      </c>
      <c r="AD711" s="1" t="str">
        <f>IF(AND(Programme_Grunddaten!$A716="Geprüft",Programme_Grunddaten!AL716&lt;&gt;""),IF(Programme_Grunddaten!AL716="Ja",1,0),"")</f>
        <v/>
      </c>
      <c r="AE711" s="1" t="str">
        <f>IF(AND(Programme_Grunddaten!$A716="Geprüft",Programme_Grunddaten!AM716&lt;&gt;""),IF(Programme_Grunddaten!AM716="Ja",1,0),"")</f>
        <v/>
      </c>
      <c r="AF711" s="1" t="str">
        <f>IF(AND(Programme_Grunddaten!$A716="Geprüft",Programme_Grunddaten!AN716&lt;&gt;""),IF(Programme_Grunddaten!AN716="Ja",1,0),"")</f>
        <v/>
      </c>
      <c r="AG711" s="1" t="str">
        <f>IF(AND(Programme_Grunddaten!$A716="Geprüft",Programme_Grunddaten!AO716&lt;&gt;""),IF(Programme_Grunddaten!AO716="Ja",1,0),"")</f>
        <v/>
      </c>
      <c r="AH711" s="1" t="str">
        <f>IF(AND(Programme_Grunddaten!$A716="Geprüft",Programme_Grunddaten!AP716&lt;&gt;""),IF(Programme_Grunddaten!AP716="Ja",1,0),"")</f>
        <v/>
      </c>
      <c r="AI711" s="1" t="str">
        <f>IF(AND(Programme_Grunddaten!$A716="Geprüft",Programme_Grunddaten!AQ716&lt;&gt;""),IF(Programme_Grunddaten!AQ716="Ja",1,0),"")</f>
        <v/>
      </c>
      <c r="AJ711" s="1" t="str">
        <f>IF(AND(Programme_Grunddaten!$A716="Geprüft",Programme_Grunddaten!AR716&lt;&gt;""),IF(Programme_Grunddaten!AR716="Ja",1,0),"")</f>
        <v/>
      </c>
      <c r="AK711" s="1" t="str">
        <f>IF(AND(Programme_Grunddaten!$A716="Geprüft",Programme_Grunddaten!AS716&lt;&gt;""),IF(Programme_Grunddaten!AS716="Ja",1,0),"")</f>
        <v/>
      </c>
      <c r="AL711" s="1" t="str">
        <f>IF(AND(Programme_Grunddaten!$A716="Geprüft",Programme_Grunddaten!AT716&lt;&gt;""),IF(Programme_Grunddaten!AT716="Ja",1,0),"")</f>
        <v/>
      </c>
      <c r="AM711" s="1" t="str">
        <f>IF(AND(Programme_Grunddaten!$A716="Geprüft",Programme_Grunddaten!AU716&lt;&gt;""),IF(Programme_Grunddaten!AU716="Ja",1,0),"")</f>
        <v/>
      </c>
      <c r="AN711" s="1" t="str">
        <f>IF(AND(Programme_Grunddaten!$A716="Geprüft",Programme_Grunddaten!AV716&lt;&gt;""),IF(Programme_Grunddaten!AV716="Ja",1,0),"")</f>
        <v/>
      </c>
    </row>
    <row r="712" spans="1:40" x14ac:dyDescent="0.3">
      <c r="A712" s="1" t="str">
        <f>IF(AND(Programme_Grunddaten!A717="Geprüft",Programme_Grunddaten!B717&lt;&gt;""),Programme_Grunddaten!B717,"")</f>
        <v/>
      </c>
      <c r="B712" s="1" t="str">
        <f>IF(AND(Programme_Grunddaten!$A717="Geprüft",Programme_Grunddaten!I717&lt;&gt;""),IF(Programme_Grunddaten!I717="Ja",1,0),"")</f>
        <v/>
      </c>
      <c r="C712" s="1" t="str">
        <f>IF(AND(Programme_Grunddaten!$A717="Geprüft",Programme_Grunddaten!J717&lt;&gt;""),IF(Programme_Grunddaten!J717="Ja",1,0),"")</f>
        <v/>
      </c>
      <c r="D712" s="1" t="str">
        <f>IF(AND(Programme_Grunddaten!$A717="Geprüft",Programme_Grunddaten!K717&lt;&gt;""),IF(Programme_Grunddaten!K717="Ja",1,0),"")</f>
        <v/>
      </c>
      <c r="E712" s="1" t="str">
        <f>IF(AND(Programme_Grunddaten!$A717="Geprüft",Programme_Grunddaten!L717&lt;&gt;""),IF(Programme_Grunddaten!L717="Abo / befristete Lizenz",1,0),"")</f>
        <v/>
      </c>
      <c r="F712" s="1" t="str">
        <f>IF(AND(Programme_Grunddaten!$A717="Geprüft",Programme_Grunddaten!M717&lt;&gt;""),IF(Programme_Grunddaten!M717="Ja",1,0),"")</f>
        <v/>
      </c>
      <c r="G712" s="1" t="str">
        <f>IF(AND(Programme_Grunddaten!$A717="Geprüft",Programme_Grunddaten!N717&lt;&gt;""),IF(Programme_Grunddaten!N717="Ja",1,0),"")</f>
        <v/>
      </c>
      <c r="H712" s="1" t="str">
        <f>IF(AND(Programme_Grunddaten!$A717="Geprüft",Programme_Grunddaten!O717&lt;&gt;""),IF(Programme_Grunddaten!O717="Deutschland",0,IF(Programme_Grunddaten!O717="EU",1,2)),"")</f>
        <v/>
      </c>
      <c r="I712" s="1" t="str">
        <f>IF(AND(Programme_Grunddaten!$A717="Geprüft",Programme_Grunddaten!P717&lt;&gt;""),IF(Programme_Grunddaten!P717="Ja",1,0),"")</f>
        <v/>
      </c>
      <c r="J712" s="1" t="str">
        <f>IF(AND(Programme_Grunddaten!$A717="Geprüft",Programme_Grunddaten!Q717&lt;&gt;""),IF(Programme_Grunddaten!Q717="geschlossenes System",1,0),"")</f>
        <v/>
      </c>
      <c r="K712" s="1" t="str">
        <f>IF(AND(Programme_Grunddaten!$A717="Geprüft",Programme_Grunddaten!R717&lt;&gt;""),IF(Programme_Grunddaten!R717="Ja",1,0),"")</f>
        <v/>
      </c>
      <c r="L712" s="1" t="str">
        <f>IF(AND(Programme_Grunddaten!$A717="Geprüft",Programme_Grunddaten!T717&lt;&gt;""),IF(Programme_Grunddaten!T717="Ja",1,0),"")</f>
        <v/>
      </c>
      <c r="M712" s="1" t="str">
        <f>IF(AND(Programme_Grunddaten!$A717="Geprüft",Programme_Grunddaten!U717&lt;&gt;""),IF(Programme_Grunddaten!U717="Ja",1,0),"")</f>
        <v/>
      </c>
      <c r="N712" s="1" t="str">
        <f>IF(AND(Programme_Grunddaten!$A717="Geprüft",Programme_Grunddaten!V717&lt;&gt;""),IF(Programme_Grunddaten!V717="Ja",1,0),"")</f>
        <v/>
      </c>
      <c r="O712" s="1" t="str">
        <f>IF(AND(Programme_Grunddaten!$A717="Geprüft",Programme_Grunddaten!W717&lt;&gt;""),IF(Programme_Grunddaten!W717="Ja",1,0),"")</f>
        <v/>
      </c>
      <c r="P712" s="1" t="str">
        <f>IF(AND(Programme_Grunddaten!$A717="Geprüft",Programme_Grunddaten!X717&lt;&gt;""),IF(Programme_Grunddaten!X717="Ja",1,0),"")</f>
        <v/>
      </c>
      <c r="Q712" s="1" t="str">
        <f>IF(AND(Programme_Grunddaten!$A717="Geprüft",Programme_Grunddaten!Y717&lt;&gt;""),IF(Programme_Grunddaten!Y717="Ja",1,0),"")</f>
        <v/>
      </c>
      <c r="R712" s="1" t="str">
        <f>IF(AND(Programme_Grunddaten!$A717="Geprüft",Programme_Grunddaten!Z717&lt;&gt;""),IF(Programme_Grunddaten!Z717="Ja",1,0),"")</f>
        <v/>
      </c>
      <c r="S712" s="1" t="str">
        <f>IF(AND(Programme_Grunddaten!$A717="Geprüft",Programme_Grunddaten!AA717&lt;&gt;""),IF(Programme_Grunddaten!AA717="monolithisch",1,0),"")</f>
        <v/>
      </c>
      <c r="T712" s="1" t="str">
        <f>IF(AND(Programme_Grunddaten!$A717="Geprüft",Programme_Grunddaten!AB717&lt;&gt;""),IF(Programme_Grunddaten!AB717="Ja",1,0),"")</f>
        <v/>
      </c>
      <c r="U712" s="1" t="str">
        <f>IF(AND(Programme_Grunddaten!$A717="Geprüft",Programme_Grunddaten!AC717&lt;&gt;""),IF(Programme_Grunddaten!AC717="Ja",1,0),"")</f>
        <v/>
      </c>
      <c r="V712" s="1" t="str">
        <f>IF(AND(Programme_Grunddaten!$A717="Geprüft",Programme_Grunddaten!AD717&lt;&gt;""),IF(Programme_Grunddaten!AD717="Ja",1,0),"")</f>
        <v/>
      </c>
      <c r="W712" s="1" t="str">
        <f>IF(AND(Programme_Grunddaten!$A717="Geprüft",Programme_Grunddaten!AE717&lt;&gt;""),IF(Programme_Grunddaten!AE717="Ja",1,0),"")</f>
        <v/>
      </c>
      <c r="X712" s="1" t="str">
        <f>IF(AND(Programme_Grunddaten!$A717="Geprüft",Programme_Grunddaten!AF717&lt;&gt;""),IF(Programme_Grunddaten!AF717="Ja",1,0),"")</f>
        <v/>
      </c>
      <c r="Y712" s="1" t="str">
        <f>IF(AND(Programme_Grunddaten!$A717="Geprüft",Programme_Grunddaten!AG717&lt;&gt;""),IF(Programme_Grunddaten!AG717="Ja",1,0),"")</f>
        <v/>
      </c>
      <c r="Z712" s="1" t="str">
        <f>IF(AND(Programme_Grunddaten!$A717="Geprüft",Programme_Grunddaten!AH717&lt;&gt;""),IF(Programme_Grunddaten!AH717="Ja",1,0),"")</f>
        <v/>
      </c>
      <c r="AA712" s="1" t="str">
        <f>IF(AND(Programme_Grunddaten!$A717="Geprüft",Programme_Grunddaten!AI717&lt;&gt;""),IF(Programme_Grunddaten!AI717="Ja",1,0),"")</f>
        <v/>
      </c>
      <c r="AB712" s="1" t="str">
        <f>IF(AND(Programme_Grunddaten!$A717="Geprüft",Programme_Grunddaten!AJ717&lt;&gt;""),IF(Programme_Grunddaten!AJ717="individuell programmierbar",1,0),"")</f>
        <v/>
      </c>
      <c r="AC712" s="1" t="str">
        <f>IF(AND(Programme_Grunddaten!$A717="Geprüft",Programme_Grunddaten!AK717&lt;&gt;""),IF(Programme_Grunddaten!AK717="Deutsch",0,IF(Programme_Grunddaten!AK717="Deutsch und Englisch",1,2)),"")</f>
        <v/>
      </c>
      <c r="AD712" s="1" t="str">
        <f>IF(AND(Programme_Grunddaten!$A717="Geprüft",Programme_Grunddaten!AL717&lt;&gt;""),IF(Programme_Grunddaten!AL717="Ja",1,0),"")</f>
        <v/>
      </c>
      <c r="AE712" s="1" t="str">
        <f>IF(AND(Programme_Grunddaten!$A717="Geprüft",Programme_Grunddaten!AM717&lt;&gt;""),IF(Programme_Grunddaten!AM717="Ja",1,0),"")</f>
        <v/>
      </c>
      <c r="AF712" s="1" t="str">
        <f>IF(AND(Programme_Grunddaten!$A717="Geprüft",Programme_Grunddaten!AN717&lt;&gt;""),IF(Programme_Grunddaten!AN717="Ja",1,0),"")</f>
        <v/>
      </c>
      <c r="AG712" s="1" t="str">
        <f>IF(AND(Programme_Grunddaten!$A717="Geprüft",Programme_Grunddaten!AO717&lt;&gt;""),IF(Programme_Grunddaten!AO717="Ja",1,0),"")</f>
        <v/>
      </c>
      <c r="AH712" s="1" t="str">
        <f>IF(AND(Programme_Grunddaten!$A717="Geprüft",Programme_Grunddaten!AP717&lt;&gt;""),IF(Programme_Grunddaten!AP717="Ja",1,0),"")</f>
        <v/>
      </c>
      <c r="AI712" s="1" t="str">
        <f>IF(AND(Programme_Grunddaten!$A717="Geprüft",Programme_Grunddaten!AQ717&lt;&gt;""),IF(Programme_Grunddaten!AQ717="Ja",1,0),"")</f>
        <v/>
      </c>
      <c r="AJ712" s="1" t="str">
        <f>IF(AND(Programme_Grunddaten!$A717="Geprüft",Programme_Grunddaten!AR717&lt;&gt;""),IF(Programme_Grunddaten!AR717="Ja",1,0),"")</f>
        <v/>
      </c>
      <c r="AK712" s="1" t="str">
        <f>IF(AND(Programme_Grunddaten!$A717="Geprüft",Programme_Grunddaten!AS717&lt;&gt;""),IF(Programme_Grunddaten!AS717="Ja",1,0),"")</f>
        <v/>
      </c>
      <c r="AL712" s="1" t="str">
        <f>IF(AND(Programme_Grunddaten!$A717="Geprüft",Programme_Grunddaten!AT717&lt;&gt;""),IF(Programme_Grunddaten!AT717="Ja",1,0),"")</f>
        <v/>
      </c>
      <c r="AM712" s="1" t="str">
        <f>IF(AND(Programme_Grunddaten!$A717="Geprüft",Programme_Grunddaten!AU717&lt;&gt;""),IF(Programme_Grunddaten!AU717="Ja",1,0),"")</f>
        <v/>
      </c>
      <c r="AN712" s="1" t="str">
        <f>IF(AND(Programme_Grunddaten!$A717="Geprüft",Programme_Grunddaten!AV717&lt;&gt;""),IF(Programme_Grunddaten!AV717="Ja",1,0),"")</f>
        <v/>
      </c>
    </row>
    <row r="713" spans="1:40" x14ac:dyDescent="0.3">
      <c r="A713" s="1" t="str">
        <f>IF(AND(Programme_Grunddaten!A718="Geprüft",Programme_Grunddaten!B718&lt;&gt;""),Programme_Grunddaten!B718,"")</f>
        <v/>
      </c>
      <c r="B713" s="1" t="str">
        <f>IF(AND(Programme_Grunddaten!$A718="Geprüft",Programme_Grunddaten!I718&lt;&gt;""),IF(Programme_Grunddaten!I718="Ja",1,0),"")</f>
        <v/>
      </c>
      <c r="C713" s="1" t="str">
        <f>IF(AND(Programme_Grunddaten!$A718="Geprüft",Programme_Grunddaten!J718&lt;&gt;""),IF(Programme_Grunddaten!J718="Ja",1,0),"")</f>
        <v/>
      </c>
      <c r="D713" s="1" t="str">
        <f>IF(AND(Programme_Grunddaten!$A718="Geprüft",Programme_Grunddaten!K718&lt;&gt;""),IF(Programme_Grunddaten!K718="Ja",1,0),"")</f>
        <v/>
      </c>
      <c r="E713" s="1" t="str">
        <f>IF(AND(Programme_Grunddaten!$A718="Geprüft",Programme_Grunddaten!L718&lt;&gt;""),IF(Programme_Grunddaten!L718="Abo / befristete Lizenz",1,0),"")</f>
        <v/>
      </c>
      <c r="F713" s="1" t="str">
        <f>IF(AND(Programme_Grunddaten!$A718="Geprüft",Programme_Grunddaten!M718&lt;&gt;""),IF(Programme_Grunddaten!M718="Ja",1,0),"")</f>
        <v/>
      </c>
      <c r="G713" s="1" t="str">
        <f>IF(AND(Programme_Grunddaten!$A718="Geprüft",Programme_Grunddaten!N718&lt;&gt;""),IF(Programme_Grunddaten!N718="Ja",1,0),"")</f>
        <v/>
      </c>
      <c r="H713" s="1" t="str">
        <f>IF(AND(Programme_Grunddaten!$A718="Geprüft",Programme_Grunddaten!O718&lt;&gt;""),IF(Programme_Grunddaten!O718="Deutschland",0,IF(Programme_Grunddaten!O718="EU",1,2)),"")</f>
        <v/>
      </c>
      <c r="I713" s="1" t="str">
        <f>IF(AND(Programme_Grunddaten!$A718="Geprüft",Programme_Grunddaten!P718&lt;&gt;""),IF(Programme_Grunddaten!P718="Ja",1,0),"")</f>
        <v/>
      </c>
      <c r="J713" s="1" t="str">
        <f>IF(AND(Programme_Grunddaten!$A718="Geprüft",Programme_Grunddaten!Q718&lt;&gt;""),IF(Programme_Grunddaten!Q718="geschlossenes System",1,0),"")</f>
        <v/>
      </c>
      <c r="K713" s="1" t="str">
        <f>IF(AND(Programme_Grunddaten!$A718="Geprüft",Programme_Grunddaten!R718&lt;&gt;""),IF(Programme_Grunddaten!R718="Ja",1,0),"")</f>
        <v/>
      </c>
      <c r="L713" s="1" t="str">
        <f>IF(AND(Programme_Grunddaten!$A718="Geprüft",Programme_Grunddaten!T718&lt;&gt;""),IF(Programme_Grunddaten!T718="Ja",1,0),"")</f>
        <v/>
      </c>
      <c r="M713" s="1" t="str">
        <f>IF(AND(Programme_Grunddaten!$A718="Geprüft",Programme_Grunddaten!U718&lt;&gt;""),IF(Programme_Grunddaten!U718="Ja",1,0),"")</f>
        <v/>
      </c>
      <c r="N713" s="1" t="str">
        <f>IF(AND(Programme_Grunddaten!$A718="Geprüft",Programme_Grunddaten!V718&lt;&gt;""),IF(Programme_Grunddaten!V718="Ja",1,0),"")</f>
        <v/>
      </c>
      <c r="O713" s="1" t="str">
        <f>IF(AND(Programme_Grunddaten!$A718="Geprüft",Programme_Grunddaten!W718&lt;&gt;""),IF(Programme_Grunddaten!W718="Ja",1,0),"")</f>
        <v/>
      </c>
      <c r="P713" s="1" t="str">
        <f>IF(AND(Programme_Grunddaten!$A718="Geprüft",Programme_Grunddaten!X718&lt;&gt;""),IF(Programme_Grunddaten!X718="Ja",1,0),"")</f>
        <v/>
      </c>
      <c r="Q713" s="1" t="str">
        <f>IF(AND(Programme_Grunddaten!$A718="Geprüft",Programme_Grunddaten!Y718&lt;&gt;""),IF(Programme_Grunddaten!Y718="Ja",1,0),"")</f>
        <v/>
      </c>
      <c r="R713" s="1" t="str">
        <f>IF(AND(Programme_Grunddaten!$A718="Geprüft",Programme_Grunddaten!Z718&lt;&gt;""),IF(Programme_Grunddaten!Z718="Ja",1,0),"")</f>
        <v/>
      </c>
      <c r="S713" s="1" t="str">
        <f>IF(AND(Programme_Grunddaten!$A718="Geprüft",Programme_Grunddaten!AA718&lt;&gt;""),IF(Programme_Grunddaten!AA718="monolithisch",1,0),"")</f>
        <v/>
      </c>
      <c r="T713" s="1" t="str">
        <f>IF(AND(Programme_Grunddaten!$A718="Geprüft",Programme_Grunddaten!AB718&lt;&gt;""),IF(Programme_Grunddaten!AB718="Ja",1,0),"")</f>
        <v/>
      </c>
      <c r="U713" s="1" t="str">
        <f>IF(AND(Programme_Grunddaten!$A718="Geprüft",Programme_Grunddaten!AC718&lt;&gt;""),IF(Programme_Grunddaten!AC718="Ja",1,0),"")</f>
        <v/>
      </c>
      <c r="V713" s="1" t="str">
        <f>IF(AND(Programme_Grunddaten!$A718="Geprüft",Programme_Grunddaten!AD718&lt;&gt;""),IF(Programme_Grunddaten!AD718="Ja",1,0),"")</f>
        <v/>
      </c>
      <c r="W713" s="1" t="str">
        <f>IF(AND(Programme_Grunddaten!$A718="Geprüft",Programme_Grunddaten!AE718&lt;&gt;""),IF(Programme_Grunddaten!AE718="Ja",1,0),"")</f>
        <v/>
      </c>
      <c r="X713" s="1" t="str">
        <f>IF(AND(Programme_Grunddaten!$A718="Geprüft",Programme_Grunddaten!AF718&lt;&gt;""),IF(Programme_Grunddaten!AF718="Ja",1,0),"")</f>
        <v/>
      </c>
      <c r="Y713" s="1" t="str">
        <f>IF(AND(Programme_Grunddaten!$A718="Geprüft",Programme_Grunddaten!AG718&lt;&gt;""),IF(Programme_Grunddaten!AG718="Ja",1,0),"")</f>
        <v/>
      </c>
      <c r="Z713" s="1" t="str">
        <f>IF(AND(Programme_Grunddaten!$A718="Geprüft",Programme_Grunddaten!AH718&lt;&gt;""),IF(Programme_Grunddaten!AH718="Ja",1,0),"")</f>
        <v/>
      </c>
      <c r="AA713" s="1" t="str">
        <f>IF(AND(Programme_Grunddaten!$A718="Geprüft",Programme_Grunddaten!AI718&lt;&gt;""),IF(Programme_Grunddaten!AI718="Ja",1,0),"")</f>
        <v/>
      </c>
      <c r="AB713" s="1" t="str">
        <f>IF(AND(Programme_Grunddaten!$A718="Geprüft",Programme_Grunddaten!AJ718&lt;&gt;""),IF(Programme_Grunddaten!AJ718="individuell programmierbar",1,0),"")</f>
        <v/>
      </c>
      <c r="AC713" s="1" t="str">
        <f>IF(AND(Programme_Grunddaten!$A718="Geprüft",Programme_Grunddaten!AK718&lt;&gt;""),IF(Programme_Grunddaten!AK718="Deutsch",0,IF(Programme_Grunddaten!AK718="Deutsch und Englisch",1,2)),"")</f>
        <v/>
      </c>
      <c r="AD713" s="1" t="str">
        <f>IF(AND(Programme_Grunddaten!$A718="Geprüft",Programme_Grunddaten!AL718&lt;&gt;""),IF(Programme_Grunddaten!AL718="Ja",1,0),"")</f>
        <v/>
      </c>
      <c r="AE713" s="1" t="str">
        <f>IF(AND(Programme_Grunddaten!$A718="Geprüft",Programme_Grunddaten!AM718&lt;&gt;""),IF(Programme_Grunddaten!AM718="Ja",1,0),"")</f>
        <v/>
      </c>
      <c r="AF713" s="1" t="str">
        <f>IF(AND(Programme_Grunddaten!$A718="Geprüft",Programme_Grunddaten!AN718&lt;&gt;""),IF(Programme_Grunddaten!AN718="Ja",1,0),"")</f>
        <v/>
      </c>
      <c r="AG713" s="1" t="str">
        <f>IF(AND(Programme_Grunddaten!$A718="Geprüft",Programme_Grunddaten!AO718&lt;&gt;""),IF(Programme_Grunddaten!AO718="Ja",1,0),"")</f>
        <v/>
      </c>
      <c r="AH713" s="1" t="str">
        <f>IF(AND(Programme_Grunddaten!$A718="Geprüft",Programme_Grunddaten!AP718&lt;&gt;""),IF(Programme_Grunddaten!AP718="Ja",1,0),"")</f>
        <v/>
      </c>
      <c r="AI713" s="1" t="str">
        <f>IF(AND(Programme_Grunddaten!$A718="Geprüft",Programme_Grunddaten!AQ718&lt;&gt;""),IF(Programme_Grunddaten!AQ718="Ja",1,0),"")</f>
        <v/>
      </c>
      <c r="AJ713" s="1" t="str">
        <f>IF(AND(Programme_Grunddaten!$A718="Geprüft",Programme_Grunddaten!AR718&lt;&gt;""),IF(Programme_Grunddaten!AR718="Ja",1,0),"")</f>
        <v/>
      </c>
      <c r="AK713" s="1" t="str">
        <f>IF(AND(Programme_Grunddaten!$A718="Geprüft",Programme_Grunddaten!AS718&lt;&gt;""),IF(Programme_Grunddaten!AS718="Ja",1,0),"")</f>
        <v/>
      </c>
      <c r="AL713" s="1" t="str">
        <f>IF(AND(Programme_Grunddaten!$A718="Geprüft",Programme_Grunddaten!AT718&lt;&gt;""),IF(Programme_Grunddaten!AT718="Ja",1,0),"")</f>
        <v/>
      </c>
      <c r="AM713" s="1" t="str">
        <f>IF(AND(Programme_Grunddaten!$A718="Geprüft",Programme_Grunddaten!AU718&lt;&gt;""),IF(Programme_Grunddaten!AU718="Ja",1,0),"")</f>
        <v/>
      </c>
      <c r="AN713" s="1" t="str">
        <f>IF(AND(Programme_Grunddaten!$A718="Geprüft",Programme_Grunddaten!AV718&lt;&gt;""),IF(Programme_Grunddaten!AV718="Ja",1,0),"")</f>
        <v/>
      </c>
    </row>
    <row r="714" spans="1:40" x14ac:dyDescent="0.3">
      <c r="A714" s="1" t="str">
        <f>IF(AND(Programme_Grunddaten!A719="Geprüft",Programme_Grunddaten!B719&lt;&gt;""),Programme_Grunddaten!B719,"")</f>
        <v/>
      </c>
      <c r="B714" s="1" t="str">
        <f>IF(AND(Programme_Grunddaten!$A719="Geprüft",Programme_Grunddaten!I719&lt;&gt;""),IF(Programme_Grunddaten!I719="Ja",1,0),"")</f>
        <v/>
      </c>
      <c r="C714" s="1" t="str">
        <f>IF(AND(Programme_Grunddaten!$A719="Geprüft",Programme_Grunddaten!J719&lt;&gt;""),IF(Programme_Grunddaten!J719="Ja",1,0),"")</f>
        <v/>
      </c>
      <c r="D714" s="1" t="str">
        <f>IF(AND(Programme_Grunddaten!$A719="Geprüft",Programme_Grunddaten!K719&lt;&gt;""),IF(Programme_Grunddaten!K719="Ja",1,0),"")</f>
        <v/>
      </c>
      <c r="E714" s="1" t="str">
        <f>IF(AND(Programme_Grunddaten!$A719="Geprüft",Programme_Grunddaten!L719&lt;&gt;""),IF(Programme_Grunddaten!L719="Abo / befristete Lizenz",1,0),"")</f>
        <v/>
      </c>
      <c r="F714" s="1" t="str">
        <f>IF(AND(Programme_Grunddaten!$A719="Geprüft",Programme_Grunddaten!M719&lt;&gt;""),IF(Programme_Grunddaten!M719="Ja",1,0),"")</f>
        <v/>
      </c>
      <c r="G714" s="1" t="str">
        <f>IF(AND(Programme_Grunddaten!$A719="Geprüft",Programme_Grunddaten!N719&lt;&gt;""),IF(Programme_Grunddaten!N719="Ja",1,0),"")</f>
        <v/>
      </c>
      <c r="H714" s="1" t="str">
        <f>IF(AND(Programme_Grunddaten!$A719="Geprüft",Programme_Grunddaten!O719&lt;&gt;""),IF(Programme_Grunddaten!O719="Deutschland",0,IF(Programme_Grunddaten!O719="EU",1,2)),"")</f>
        <v/>
      </c>
      <c r="I714" s="1" t="str">
        <f>IF(AND(Programme_Grunddaten!$A719="Geprüft",Programme_Grunddaten!P719&lt;&gt;""),IF(Programme_Grunddaten!P719="Ja",1,0),"")</f>
        <v/>
      </c>
      <c r="J714" s="1" t="str">
        <f>IF(AND(Programme_Grunddaten!$A719="Geprüft",Programme_Grunddaten!Q719&lt;&gt;""),IF(Programme_Grunddaten!Q719="geschlossenes System",1,0),"")</f>
        <v/>
      </c>
      <c r="K714" s="1" t="str">
        <f>IF(AND(Programme_Grunddaten!$A719="Geprüft",Programme_Grunddaten!R719&lt;&gt;""),IF(Programme_Grunddaten!R719="Ja",1,0),"")</f>
        <v/>
      </c>
      <c r="L714" s="1" t="str">
        <f>IF(AND(Programme_Grunddaten!$A719="Geprüft",Programme_Grunddaten!T719&lt;&gt;""),IF(Programme_Grunddaten!T719="Ja",1,0),"")</f>
        <v/>
      </c>
      <c r="M714" s="1" t="str">
        <f>IF(AND(Programme_Grunddaten!$A719="Geprüft",Programme_Grunddaten!U719&lt;&gt;""),IF(Programme_Grunddaten!U719="Ja",1,0),"")</f>
        <v/>
      </c>
      <c r="N714" s="1" t="str">
        <f>IF(AND(Programme_Grunddaten!$A719="Geprüft",Programme_Grunddaten!V719&lt;&gt;""),IF(Programme_Grunddaten!V719="Ja",1,0),"")</f>
        <v/>
      </c>
      <c r="O714" s="1" t="str">
        <f>IF(AND(Programme_Grunddaten!$A719="Geprüft",Programme_Grunddaten!W719&lt;&gt;""),IF(Programme_Grunddaten!W719="Ja",1,0),"")</f>
        <v/>
      </c>
      <c r="P714" s="1" t="str">
        <f>IF(AND(Programme_Grunddaten!$A719="Geprüft",Programme_Grunddaten!X719&lt;&gt;""),IF(Programme_Grunddaten!X719="Ja",1,0),"")</f>
        <v/>
      </c>
      <c r="Q714" s="1" t="str">
        <f>IF(AND(Programme_Grunddaten!$A719="Geprüft",Programme_Grunddaten!Y719&lt;&gt;""),IF(Programme_Grunddaten!Y719="Ja",1,0),"")</f>
        <v/>
      </c>
      <c r="R714" s="1" t="str">
        <f>IF(AND(Programme_Grunddaten!$A719="Geprüft",Programme_Grunddaten!Z719&lt;&gt;""),IF(Programme_Grunddaten!Z719="Ja",1,0),"")</f>
        <v/>
      </c>
      <c r="S714" s="1" t="str">
        <f>IF(AND(Programme_Grunddaten!$A719="Geprüft",Programme_Grunddaten!AA719&lt;&gt;""),IF(Programme_Grunddaten!AA719="monolithisch",1,0),"")</f>
        <v/>
      </c>
      <c r="T714" s="1" t="str">
        <f>IF(AND(Programme_Grunddaten!$A719="Geprüft",Programme_Grunddaten!AB719&lt;&gt;""),IF(Programme_Grunddaten!AB719="Ja",1,0),"")</f>
        <v/>
      </c>
      <c r="U714" s="1" t="str">
        <f>IF(AND(Programme_Grunddaten!$A719="Geprüft",Programme_Grunddaten!AC719&lt;&gt;""),IF(Programme_Grunddaten!AC719="Ja",1,0),"")</f>
        <v/>
      </c>
      <c r="V714" s="1" t="str">
        <f>IF(AND(Programme_Grunddaten!$A719="Geprüft",Programme_Grunddaten!AD719&lt;&gt;""),IF(Programme_Grunddaten!AD719="Ja",1,0),"")</f>
        <v/>
      </c>
      <c r="W714" s="1" t="str">
        <f>IF(AND(Programme_Grunddaten!$A719="Geprüft",Programme_Grunddaten!AE719&lt;&gt;""),IF(Programme_Grunddaten!AE719="Ja",1,0),"")</f>
        <v/>
      </c>
      <c r="X714" s="1" t="str">
        <f>IF(AND(Programme_Grunddaten!$A719="Geprüft",Programme_Grunddaten!AF719&lt;&gt;""),IF(Programme_Grunddaten!AF719="Ja",1,0),"")</f>
        <v/>
      </c>
      <c r="Y714" s="1" t="str">
        <f>IF(AND(Programme_Grunddaten!$A719="Geprüft",Programme_Grunddaten!AG719&lt;&gt;""),IF(Programme_Grunddaten!AG719="Ja",1,0),"")</f>
        <v/>
      </c>
      <c r="Z714" s="1" t="str">
        <f>IF(AND(Programme_Grunddaten!$A719="Geprüft",Programme_Grunddaten!AH719&lt;&gt;""),IF(Programme_Grunddaten!AH719="Ja",1,0),"")</f>
        <v/>
      </c>
      <c r="AA714" s="1" t="str">
        <f>IF(AND(Programme_Grunddaten!$A719="Geprüft",Programme_Grunddaten!AI719&lt;&gt;""),IF(Programme_Grunddaten!AI719="Ja",1,0),"")</f>
        <v/>
      </c>
      <c r="AB714" s="1" t="str">
        <f>IF(AND(Programme_Grunddaten!$A719="Geprüft",Programme_Grunddaten!AJ719&lt;&gt;""),IF(Programme_Grunddaten!AJ719="individuell programmierbar",1,0),"")</f>
        <v/>
      </c>
      <c r="AC714" s="1" t="str">
        <f>IF(AND(Programme_Grunddaten!$A719="Geprüft",Programme_Grunddaten!AK719&lt;&gt;""),IF(Programme_Grunddaten!AK719="Deutsch",0,IF(Programme_Grunddaten!AK719="Deutsch und Englisch",1,2)),"")</f>
        <v/>
      </c>
      <c r="AD714" s="1" t="str">
        <f>IF(AND(Programme_Grunddaten!$A719="Geprüft",Programme_Grunddaten!AL719&lt;&gt;""),IF(Programme_Grunddaten!AL719="Ja",1,0),"")</f>
        <v/>
      </c>
      <c r="AE714" s="1" t="str">
        <f>IF(AND(Programme_Grunddaten!$A719="Geprüft",Programme_Grunddaten!AM719&lt;&gt;""),IF(Programme_Grunddaten!AM719="Ja",1,0),"")</f>
        <v/>
      </c>
      <c r="AF714" s="1" t="str">
        <f>IF(AND(Programme_Grunddaten!$A719="Geprüft",Programme_Grunddaten!AN719&lt;&gt;""),IF(Programme_Grunddaten!AN719="Ja",1,0),"")</f>
        <v/>
      </c>
      <c r="AG714" s="1" t="str">
        <f>IF(AND(Programme_Grunddaten!$A719="Geprüft",Programme_Grunddaten!AO719&lt;&gt;""),IF(Programme_Grunddaten!AO719="Ja",1,0),"")</f>
        <v/>
      </c>
      <c r="AH714" s="1" t="str">
        <f>IF(AND(Programme_Grunddaten!$A719="Geprüft",Programme_Grunddaten!AP719&lt;&gt;""),IF(Programme_Grunddaten!AP719="Ja",1,0),"")</f>
        <v/>
      </c>
      <c r="AI714" s="1" t="str">
        <f>IF(AND(Programme_Grunddaten!$A719="Geprüft",Programme_Grunddaten!AQ719&lt;&gt;""),IF(Programme_Grunddaten!AQ719="Ja",1,0),"")</f>
        <v/>
      </c>
      <c r="AJ714" s="1" t="str">
        <f>IF(AND(Programme_Grunddaten!$A719="Geprüft",Programme_Grunddaten!AR719&lt;&gt;""),IF(Programme_Grunddaten!AR719="Ja",1,0),"")</f>
        <v/>
      </c>
      <c r="AK714" s="1" t="str">
        <f>IF(AND(Programme_Grunddaten!$A719="Geprüft",Programme_Grunddaten!AS719&lt;&gt;""),IF(Programme_Grunddaten!AS719="Ja",1,0),"")</f>
        <v/>
      </c>
      <c r="AL714" s="1" t="str">
        <f>IF(AND(Programme_Grunddaten!$A719="Geprüft",Programme_Grunddaten!AT719&lt;&gt;""),IF(Programme_Grunddaten!AT719="Ja",1,0),"")</f>
        <v/>
      </c>
      <c r="AM714" s="1" t="str">
        <f>IF(AND(Programme_Grunddaten!$A719="Geprüft",Programme_Grunddaten!AU719&lt;&gt;""),IF(Programme_Grunddaten!AU719="Ja",1,0),"")</f>
        <v/>
      </c>
      <c r="AN714" s="1" t="str">
        <f>IF(AND(Programme_Grunddaten!$A719="Geprüft",Programme_Grunddaten!AV719&lt;&gt;""),IF(Programme_Grunddaten!AV719="Ja",1,0),"")</f>
        <v/>
      </c>
    </row>
    <row r="715" spans="1:40" x14ac:dyDescent="0.3">
      <c r="A715" s="1" t="str">
        <f>IF(AND(Programme_Grunddaten!A720="Geprüft",Programme_Grunddaten!B720&lt;&gt;""),Programme_Grunddaten!B720,"")</f>
        <v/>
      </c>
      <c r="B715" s="1" t="str">
        <f>IF(AND(Programme_Grunddaten!$A720="Geprüft",Programme_Grunddaten!I720&lt;&gt;""),IF(Programme_Grunddaten!I720="Ja",1,0),"")</f>
        <v/>
      </c>
      <c r="C715" s="1" t="str">
        <f>IF(AND(Programme_Grunddaten!$A720="Geprüft",Programme_Grunddaten!J720&lt;&gt;""),IF(Programme_Grunddaten!J720="Ja",1,0),"")</f>
        <v/>
      </c>
      <c r="D715" s="1" t="str">
        <f>IF(AND(Programme_Grunddaten!$A720="Geprüft",Programme_Grunddaten!K720&lt;&gt;""),IF(Programme_Grunddaten!K720="Ja",1,0),"")</f>
        <v/>
      </c>
      <c r="E715" s="1" t="str">
        <f>IF(AND(Programme_Grunddaten!$A720="Geprüft",Programme_Grunddaten!L720&lt;&gt;""),IF(Programme_Grunddaten!L720="Abo / befristete Lizenz",1,0),"")</f>
        <v/>
      </c>
      <c r="F715" s="1" t="str">
        <f>IF(AND(Programme_Grunddaten!$A720="Geprüft",Programme_Grunddaten!M720&lt;&gt;""),IF(Programme_Grunddaten!M720="Ja",1,0),"")</f>
        <v/>
      </c>
      <c r="G715" s="1" t="str">
        <f>IF(AND(Programme_Grunddaten!$A720="Geprüft",Programme_Grunddaten!N720&lt;&gt;""),IF(Programme_Grunddaten!N720="Ja",1,0),"")</f>
        <v/>
      </c>
      <c r="H715" s="1" t="str">
        <f>IF(AND(Programme_Grunddaten!$A720="Geprüft",Programme_Grunddaten!O720&lt;&gt;""),IF(Programme_Grunddaten!O720="Deutschland",0,IF(Programme_Grunddaten!O720="EU",1,2)),"")</f>
        <v/>
      </c>
      <c r="I715" s="1" t="str">
        <f>IF(AND(Programme_Grunddaten!$A720="Geprüft",Programme_Grunddaten!P720&lt;&gt;""),IF(Programme_Grunddaten!P720="Ja",1,0),"")</f>
        <v/>
      </c>
      <c r="J715" s="1" t="str">
        <f>IF(AND(Programme_Grunddaten!$A720="Geprüft",Programme_Grunddaten!Q720&lt;&gt;""),IF(Programme_Grunddaten!Q720="geschlossenes System",1,0),"")</f>
        <v/>
      </c>
      <c r="K715" s="1" t="str">
        <f>IF(AND(Programme_Grunddaten!$A720="Geprüft",Programme_Grunddaten!R720&lt;&gt;""),IF(Programme_Grunddaten!R720="Ja",1,0),"")</f>
        <v/>
      </c>
      <c r="L715" s="1" t="str">
        <f>IF(AND(Programme_Grunddaten!$A720="Geprüft",Programme_Grunddaten!T720&lt;&gt;""),IF(Programme_Grunddaten!T720="Ja",1,0),"")</f>
        <v/>
      </c>
      <c r="M715" s="1" t="str">
        <f>IF(AND(Programme_Grunddaten!$A720="Geprüft",Programme_Grunddaten!U720&lt;&gt;""),IF(Programme_Grunddaten!U720="Ja",1,0),"")</f>
        <v/>
      </c>
      <c r="N715" s="1" t="str">
        <f>IF(AND(Programme_Grunddaten!$A720="Geprüft",Programme_Grunddaten!V720&lt;&gt;""),IF(Programme_Grunddaten!V720="Ja",1,0),"")</f>
        <v/>
      </c>
      <c r="O715" s="1" t="str">
        <f>IF(AND(Programme_Grunddaten!$A720="Geprüft",Programme_Grunddaten!W720&lt;&gt;""),IF(Programme_Grunddaten!W720="Ja",1,0),"")</f>
        <v/>
      </c>
      <c r="P715" s="1" t="str">
        <f>IF(AND(Programme_Grunddaten!$A720="Geprüft",Programme_Grunddaten!X720&lt;&gt;""),IF(Programme_Grunddaten!X720="Ja",1,0),"")</f>
        <v/>
      </c>
      <c r="Q715" s="1" t="str">
        <f>IF(AND(Programme_Grunddaten!$A720="Geprüft",Programme_Grunddaten!Y720&lt;&gt;""),IF(Programme_Grunddaten!Y720="Ja",1,0),"")</f>
        <v/>
      </c>
      <c r="R715" s="1" t="str">
        <f>IF(AND(Programme_Grunddaten!$A720="Geprüft",Programme_Grunddaten!Z720&lt;&gt;""),IF(Programme_Grunddaten!Z720="Ja",1,0),"")</f>
        <v/>
      </c>
      <c r="S715" s="1" t="str">
        <f>IF(AND(Programme_Grunddaten!$A720="Geprüft",Programme_Grunddaten!AA720&lt;&gt;""),IF(Programme_Grunddaten!AA720="monolithisch",1,0),"")</f>
        <v/>
      </c>
      <c r="T715" s="1" t="str">
        <f>IF(AND(Programme_Grunddaten!$A720="Geprüft",Programme_Grunddaten!AB720&lt;&gt;""),IF(Programme_Grunddaten!AB720="Ja",1,0),"")</f>
        <v/>
      </c>
      <c r="U715" s="1" t="str">
        <f>IF(AND(Programme_Grunddaten!$A720="Geprüft",Programme_Grunddaten!AC720&lt;&gt;""),IF(Programme_Grunddaten!AC720="Ja",1,0),"")</f>
        <v/>
      </c>
      <c r="V715" s="1" t="str">
        <f>IF(AND(Programme_Grunddaten!$A720="Geprüft",Programme_Grunddaten!AD720&lt;&gt;""),IF(Programme_Grunddaten!AD720="Ja",1,0),"")</f>
        <v/>
      </c>
      <c r="W715" s="1" t="str">
        <f>IF(AND(Programme_Grunddaten!$A720="Geprüft",Programme_Grunddaten!AE720&lt;&gt;""),IF(Programme_Grunddaten!AE720="Ja",1,0),"")</f>
        <v/>
      </c>
      <c r="X715" s="1" t="str">
        <f>IF(AND(Programme_Grunddaten!$A720="Geprüft",Programme_Grunddaten!AF720&lt;&gt;""),IF(Programme_Grunddaten!AF720="Ja",1,0),"")</f>
        <v/>
      </c>
      <c r="Y715" s="1" t="str">
        <f>IF(AND(Programme_Grunddaten!$A720="Geprüft",Programme_Grunddaten!AG720&lt;&gt;""),IF(Programme_Grunddaten!AG720="Ja",1,0),"")</f>
        <v/>
      </c>
      <c r="Z715" s="1" t="str">
        <f>IF(AND(Programme_Grunddaten!$A720="Geprüft",Programme_Grunddaten!AH720&lt;&gt;""),IF(Programme_Grunddaten!AH720="Ja",1,0),"")</f>
        <v/>
      </c>
      <c r="AA715" s="1" t="str">
        <f>IF(AND(Programme_Grunddaten!$A720="Geprüft",Programme_Grunddaten!AI720&lt;&gt;""),IF(Programme_Grunddaten!AI720="Ja",1,0),"")</f>
        <v/>
      </c>
      <c r="AB715" s="1" t="str">
        <f>IF(AND(Programme_Grunddaten!$A720="Geprüft",Programme_Grunddaten!AJ720&lt;&gt;""),IF(Programme_Grunddaten!AJ720="individuell programmierbar",1,0),"")</f>
        <v/>
      </c>
      <c r="AC715" s="1" t="str">
        <f>IF(AND(Programme_Grunddaten!$A720="Geprüft",Programme_Grunddaten!AK720&lt;&gt;""),IF(Programme_Grunddaten!AK720="Deutsch",0,IF(Programme_Grunddaten!AK720="Deutsch und Englisch",1,2)),"")</f>
        <v/>
      </c>
      <c r="AD715" s="1" t="str">
        <f>IF(AND(Programme_Grunddaten!$A720="Geprüft",Programme_Grunddaten!AL720&lt;&gt;""),IF(Programme_Grunddaten!AL720="Ja",1,0),"")</f>
        <v/>
      </c>
      <c r="AE715" s="1" t="str">
        <f>IF(AND(Programme_Grunddaten!$A720="Geprüft",Programme_Grunddaten!AM720&lt;&gt;""),IF(Programme_Grunddaten!AM720="Ja",1,0),"")</f>
        <v/>
      </c>
      <c r="AF715" s="1" t="str">
        <f>IF(AND(Programme_Grunddaten!$A720="Geprüft",Programme_Grunddaten!AN720&lt;&gt;""),IF(Programme_Grunddaten!AN720="Ja",1,0),"")</f>
        <v/>
      </c>
      <c r="AG715" s="1" t="str">
        <f>IF(AND(Programme_Grunddaten!$A720="Geprüft",Programme_Grunddaten!AO720&lt;&gt;""),IF(Programme_Grunddaten!AO720="Ja",1,0),"")</f>
        <v/>
      </c>
      <c r="AH715" s="1" t="str">
        <f>IF(AND(Programme_Grunddaten!$A720="Geprüft",Programme_Grunddaten!AP720&lt;&gt;""),IF(Programme_Grunddaten!AP720="Ja",1,0),"")</f>
        <v/>
      </c>
      <c r="AI715" s="1" t="str">
        <f>IF(AND(Programme_Grunddaten!$A720="Geprüft",Programme_Grunddaten!AQ720&lt;&gt;""),IF(Programme_Grunddaten!AQ720="Ja",1,0),"")</f>
        <v/>
      </c>
      <c r="AJ715" s="1" t="str">
        <f>IF(AND(Programme_Grunddaten!$A720="Geprüft",Programme_Grunddaten!AR720&lt;&gt;""),IF(Programme_Grunddaten!AR720="Ja",1,0),"")</f>
        <v/>
      </c>
      <c r="AK715" s="1" t="str">
        <f>IF(AND(Programme_Grunddaten!$A720="Geprüft",Programme_Grunddaten!AS720&lt;&gt;""),IF(Programme_Grunddaten!AS720="Ja",1,0),"")</f>
        <v/>
      </c>
      <c r="AL715" s="1" t="str">
        <f>IF(AND(Programme_Grunddaten!$A720="Geprüft",Programme_Grunddaten!AT720&lt;&gt;""),IF(Programme_Grunddaten!AT720="Ja",1,0),"")</f>
        <v/>
      </c>
      <c r="AM715" s="1" t="str">
        <f>IF(AND(Programme_Grunddaten!$A720="Geprüft",Programme_Grunddaten!AU720&lt;&gt;""),IF(Programme_Grunddaten!AU720="Ja",1,0),"")</f>
        <v/>
      </c>
      <c r="AN715" s="1" t="str">
        <f>IF(AND(Programme_Grunddaten!$A720="Geprüft",Programme_Grunddaten!AV720&lt;&gt;""),IF(Programme_Grunddaten!AV720="Ja",1,0),"")</f>
        <v/>
      </c>
    </row>
    <row r="716" spans="1:40" x14ac:dyDescent="0.3">
      <c r="A716" s="1" t="str">
        <f>IF(AND(Programme_Grunddaten!A721="Geprüft",Programme_Grunddaten!B721&lt;&gt;""),Programme_Grunddaten!B721,"")</f>
        <v/>
      </c>
      <c r="B716" s="1" t="str">
        <f>IF(AND(Programme_Grunddaten!$A721="Geprüft",Programme_Grunddaten!I721&lt;&gt;""),IF(Programme_Grunddaten!I721="Ja",1,0),"")</f>
        <v/>
      </c>
      <c r="C716" s="1" t="str">
        <f>IF(AND(Programme_Grunddaten!$A721="Geprüft",Programme_Grunddaten!J721&lt;&gt;""),IF(Programme_Grunddaten!J721="Ja",1,0),"")</f>
        <v/>
      </c>
      <c r="D716" s="1" t="str">
        <f>IF(AND(Programme_Grunddaten!$A721="Geprüft",Programme_Grunddaten!K721&lt;&gt;""),IF(Programme_Grunddaten!K721="Ja",1,0),"")</f>
        <v/>
      </c>
      <c r="E716" s="1" t="str">
        <f>IF(AND(Programme_Grunddaten!$A721="Geprüft",Programme_Grunddaten!L721&lt;&gt;""),IF(Programme_Grunddaten!L721="Abo / befristete Lizenz",1,0),"")</f>
        <v/>
      </c>
      <c r="F716" s="1" t="str">
        <f>IF(AND(Programme_Grunddaten!$A721="Geprüft",Programme_Grunddaten!M721&lt;&gt;""),IF(Programme_Grunddaten!M721="Ja",1,0),"")</f>
        <v/>
      </c>
      <c r="G716" s="1" t="str">
        <f>IF(AND(Programme_Grunddaten!$A721="Geprüft",Programme_Grunddaten!N721&lt;&gt;""),IF(Programme_Grunddaten!N721="Ja",1,0),"")</f>
        <v/>
      </c>
      <c r="H716" s="1" t="str">
        <f>IF(AND(Programme_Grunddaten!$A721="Geprüft",Programme_Grunddaten!O721&lt;&gt;""),IF(Programme_Grunddaten!O721="Deutschland",0,IF(Programme_Grunddaten!O721="EU",1,2)),"")</f>
        <v/>
      </c>
      <c r="I716" s="1" t="str">
        <f>IF(AND(Programme_Grunddaten!$A721="Geprüft",Programme_Grunddaten!P721&lt;&gt;""),IF(Programme_Grunddaten!P721="Ja",1,0),"")</f>
        <v/>
      </c>
      <c r="J716" s="1" t="str">
        <f>IF(AND(Programme_Grunddaten!$A721="Geprüft",Programme_Grunddaten!Q721&lt;&gt;""),IF(Programme_Grunddaten!Q721="geschlossenes System",1,0),"")</f>
        <v/>
      </c>
      <c r="K716" s="1" t="str">
        <f>IF(AND(Programme_Grunddaten!$A721="Geprüft",Programme_Grunddaten!R721&lt;&gt;""),IF(Programme_Grunddaten!R721="Ja",1,0),"")</f>
        <v/>
      </c>
      <c r="L716" s="1" t="str">
        <f>IF(AND(Programme_Grunddaten!$A721="Geprüft",Programme_Grunddaten!T721&lt;&gt;""),IF(Programme_Grunddaten!T721="Ja",1,0),"")</f>
        <v/>
      </c>
      <c r="M716" s="1" t="str">
        <f>IF(AND(Programme_Grunddaten!$A721="Geprüft",Programme_Grunddaten!U721&lt;&gt;""),IF(Programme_Grunddaten!U721="Ja",1,0),"")</f>
        <v/>
      </c>
      <c r="N716" s="1" t="str">
        <f>IF(AND(Programme_Grunddaten!$A721="Geprüft",Programme_Grunddaten!V721&lt;&gt;""),IF(Programme_Grunddaten!V721="Ja",1,0),"")</f>
        <v/>
      </c>
      <c r="O716" s="1" t="str">
        <f>IF(AND(Programme_Grunddaten!$A721="Geprüft",Programme_Grunddaten!W721&lt;&gt;""),IF(Programme_Grunddaten!W721="Ja",1,0),"")</f>
        <v/>
      </c>
      <c r="P716" s="1" t="str">
        <f>IF(AND(Programme_Grunddaten!$A721="Geprüft",Programme_Grunddaten!X721&lt;&gt;""),IF(Programme_Grunddaten!X721="Ja",1,0),"")</f>
        <v/>
      </c>
      <c r="Q716" s="1" t="str">
        <f>IF(AND(Programme_Grunddaten!$A721="Geprüft",Programme_Grunddaten!Y721&lt;&gt;""),IF(Programme_Grunddaten!Y721="Ja",1,0),"")</f>
        <v/>
      </c>
      <c r="R716" s="1" t="str">
        <f>IF(AND(Programme_Grunddaten!$A721="Geprüft",Programme_Grunddaten!Z721&lt;&gt;""),IF(Programme_Grunddaten!Z721="Ja",1,0),"")</f>
        <v/>
      </c>
      <c r="S716" s="1" t="str">
        <f>IF(AND(Programme_Grunddaten!$A721="Geprüft",Programme_Grunddaten!AA721&lt;&gt;""),IF(Programme_Grunddaten!AA721="monolithisch",1,0),"")</f>
        <v/>
      </c>
      <c r="T716" s="1" t="str">
        <f>IF(AND(Programme_Grunddaten!$A721="Geprüft",Programme_Grunddaten!AB721&lt;&gt;""),IF(Programme_Grunddaten!AB721="Ja",1,0),"")</f>
        <v/>
      </c>
      <c r="U716" s="1" t="str">
        <f>IF(AND(Programme_Grunddaten!$A721="Geprüft",Programme_Grunddaten!AC721&lt;&gt;""),IF(Programme_Grunddaten!AC721="Ja",1,0),"")</f>
        <v/>
      </c>
      <c r="V716" s="1" t="str">
        <f>IF(AND(Programme_Grunddaten!$A721="Geprüft",Programme_Grunddaten!AD721&lt;&gt;""),IF(Programme_Grunddaten!AD721="Ja",1,0),"")</f>
        <v/>
      </c>
      <c r="W716" s="1" t="str">
        <f>IF(AND(Programme_Grunddaten!$A721="Geprüft",Programme_Grunddaten!AE721&lt;&gt;""),IF(Programme_Grunddaten!AE721="Ja",1,0),"")</f>
        <v/>
      </c>
      <c r="X716" s="1" t="str">
        <f>IF(AND(Programme_Grunddaten!$A721="Geprüft",Programme_Grunddaten!AF721&lt;&gt;""),IF(Programme_Grunddaten!AF721="Ja",1,0),"")</f>
        <v/>
      </c>
      <c r="Y716" s="1" t="str">
        <f>IF(AND(Programme_Grunddaten!$A721="Geprüft",Programme_Grunddaten!AG721&lt;&gt;""),IF(Programme_Grunddaten!AG721="Ja",1,0),"")</f>
        <v/>
      </c>
      <c r="Z716" s="1" t="str">
        <f>IF(AND(Programme_Grunddaten!$A721="Geprüft",Programme_Grunddaten!AH721&lt;&gt;""),IF(Programme_Grunddaten!AH721="Ja",1,0),"")</f>
        <v/>
      </c>
      <c r="AA716" s="1" t="str">
        <f>IF(AND(Programme_Grunddaten!$A721="Geprüft",Programme_Grunddaten!AI721&lt;&gt;""),IF(Programme_Grunddaten!AI721="Ja",1,0),"")</f>
        <v/>
      </c>
      <c r="AB716" s="1" t="str">
        <f>IF(AND(Programme_Grunddaten!$A721="Geprüft",Programme_Grunddaten!AJ721&lt;&gt;""),IF(Programme_Grunddaten!AJ721="individuell programmierbar",1,0),"")</f>
        <v/>
      </c>
      <c r="AC716" s="1" t="str">
        <f>IF(AND(Programme_Grunddaten!$A721="Geprüft",Programme_Grunddaten!AK721&lt;&gt;""),IF(Programme_Grunddaten!AK721="Deutsch",0,IF(Programme_Grunddaten!AK721="Deutsch und Englisch",1,2)),"")</f>
        <v/>
      </c>
      <c r="AD716" s="1" t="str">
        <f>IF(AND(Programme_Grunddaten!$A721="Geprüft",Programme_Grunddaten!AL721&lt;&gt;""),IF(Programme_Grunddaten!AL721="Ja",1,0),"")</f>
        <v/>
      </c>
      <c r="AE716" s="1" t="str">
        <f>IF(AND(Programme_Grunddaten!$A721="Geprüft",Programme_Grunddaten!AM721&lt;&gt;""),IF(Programme_Grunddaten!AM721="Ja",1,0),"")</f>
        <v/>
      </c>
      <c r="AF716" s="1" t="str">
        <f>IF(AND(Programme_Grunddaten!$A721="Geprüft",Programme_Grunddaten!AN721&lt;&gt;""),IF(Programme_Grunddaten!AN721="Ja",1,0),"")</f>
        <v/>
      </c>
      <c r="AG716" s="1" t="str">
        <f>IF(AND(Programme_Grunddaten!$A721="Geprüft",Programme_Grunddaten!AO721&lt;&gt;""),IF(Programme_Grunddaten!AO721="Ja",1,0),"")</f>
        <v/>
      </c>
      <c r="AH716" s="1" t="str">
        <f>IF(AND(Programme_Grunddaten!$A721="Geprüft",Programme_Grunddaten!AP721&lt;&gt;""),IF(Programme_Grunddaten!AP721="Ja",1,0),"")</f>
        <v/>
      </c>
      <c r="AI716" s="1" t="str">
        <f>IF(AND(Programme_Grunddaten!$A721="Geprüft",Programme_Grunddaten!AQ721&lt;&gt;""),IF(Programme_Grunddaten!AQ721="Ja",1,0),"")</f>
        <v/>
      </c>
      <c r="AJ716" s="1" t="str">
        <f>IF(AND(Programme_Grunddaten!$A721="Geprüft",Programme_Grunddaten!AR721&lt;&gt;""),IF(Programme_Grunddaten!AR721="Ja",1,0),"")</f>
        <v/>
      </c>
      <c r="AK716" s="1" t="str">
        <f>IF(AND(Programme_Grunddaten!$A721="Geprüft",Programme_Grunddaten!AS721&lt;&gt;""),IF(Programme_Grunddaten!AS721="Ja",1,0),"")</f>
        <v/>
      </c>
      <c r="AL716" s="1" t="str">
        <f>IF(AND(Programme_Grunddaten!$A721="Geprüft",Programme_Grunddaten!AT721&lt;&gt;""),IF(Programme_Grunddaten!AT721="Ja",1,0),"")</f>
        <v/>
      </c>
      <c r="AM716" s="1" t="str">
        <f>IF(AND(Programme_Grunddaten!$A721="Geprüft",Programme_Grunddaten!AU721&lt;&gt;""),IF(Programme_Grunddaten!AU721="Ja",1,0),"")</f>
        <v/>
      </c>
      <c r="AN716" s="1" t="str">
        <f>IF(AND(Programme_Grunddaten!$A721="Geprüft",Programme_Grunddaten!AV721&lt;&gt;""),IF(Programme_Grunddaten!AV721="Ja",1,0),"")</f>
        <v/>
      </c>
    </row>
    <row r="717" spans="1:40" x14ac:dyDescent="0.3">
      <c r="A717" s="1" t="str">
        <f>IF(AND(Programme_Grunddaten!A722="Geprüft",Programme_Grunddaten!B722&lt;&gt;""),Programme_Grunddaten!B722,"")</f>
        <v/>
      </c>
      <c r="B717" s="1" t="str">
        <f>IF(AND(Programme_Grunddaten!$A722="Geprüft",Programme_Grunddaten!I722&lt;&gt;""),IF(Programme_Grunddaten!I722="Ja",1,0),"")</f>
        <v/>
      </c>
      <c r="C717" s="1" t="str">
        <f>IF(AND(Programme_Grunddaten!$A722="Geprüft",Programme_Grunddaten!J722&lt;&gt;""),IF(Programme_Grunddaten!J722="Ja",1,0),"")</f>
        <v/>
      </c>
      <c r="D717" s="1" t="str">
        <f>IF(AND(Programme_Grunddaten!$A722="Geprüft",Programme_Grunddaten!K722&lt;&gt;""),IF(Programme_Grunddaten!K722="Ja",1,0),"")</f>
        <v/>
      </c>
      <c r="E717" s="1" t="str">
        <f>IF(AND(Programme_Grunddaten!$A722="Geprüft",Programme_Grunddaten!L722&lt;&gt;""),IF(Programme_Grunddaten!L722="Abo / befristete Lizenz",1,0),"")</f>
        <v/>
      </c>
      <c r="F717" s="1" t="str">
        <f>IF(AND(Programme_Grunddaten!$A722="Geprüft",Programme_Grunddaten!M722&lt;&gt;""),IF(Programme_Grunddaten!M722="Ja",1,0),"")</f>
        <v/>
      </c>
      <c r="G717" s="1" t="str">
        <f>IF(AND(Programme_Grunddaten!$A722="Geprüft",Programme_Grunddaten!N722&lt;&gt;""),IF(Programme_Grunddaten!N722="Ja",1,0),"")</f>
        <v/>
      </c>
      <c r="H717" s="1" t="str">
        <f>IF(AND(Programme_Grunddaten!$A722="Geprüft",Programme_Grunddaten!O722&lt;&gt;""),IF(Programme_Grunddaten!O722="Deutschland",0,IF(Programme_Grunddaten!O722="EU",1,2)),"")</f>
        <v/>
      </c>
      <c r="I717" s="1" t="str">
        <f>IF(AND(Programme_Grunddaten!$A722="Geprüft",Programme_Grunddaten!P722&lt;&gt;""),IF(Programme_Grunddaten!P722="Ja",1,0),"")</f>
        <v/>
      </c>
      <c r="J717" s="1" t="str">
        <f>IF(AND(Programme_Grunddaten!$A722="Geprüft",Programme_Grunddaten!Q722&lt;&gt;""),IF(Programme_Grunddaten!Q722="geschlossenes System",1,0),"")</f>
        <v/>
      </c>
      <c r="K717" s="1" t="str">
        <f>IF(AND(Programme_Grunddaten!$A722="Geprüft",Programme_Grunddaten!R722&lt;&gt;""),IF(Programme_Grunddaten!R722="Ja",1,0),"")</f>
        <v/>
      </c>
      <c r="L717" s="1" t="str">
        <f>IF(AND(Programme_Grunddaten!$A722="Geprüft",Programme_Grunddaten!T722&lt;&gt;""),IF(Programme_Grunddaten!T722="Ja",1,0),"")</f>
        <v/>
      </c>
      <c r="M717" s="1" t="str">
        <f>IF(AND(Programme_Grunddaten!$A722="Geprüft",Programme_Grunddaten!U722&lt;&gt;""),IF(Programme_Grunddaten!U722="Ja",1,0),"")</f>
        <v/>
      </c>
      <c r="N717" s="1" t="str">
        <f>IF(AND(Programme_Grunddaten!$A722="Geprüft",Programme_Grunddaten!V722&lt;&gt;""),IF(Programme_Grunddaten!V722="Ja",1,0),"")</f>
        <v/>
      </c>
      <c r="O717" s="1" t="str">
        <f>IF(AND(Programme_Grunddaten!$A722="Geprüft",Programme_Grunddaten!W722&lt;&gt;""),IF(Programme_Grunddaten!W722="Ja",1,0),"")</f>
        <v/>
      </c>
      <c r="P717" s="1" t="str">
        <f>IF(AND(Programme_Grunddaten!$A722="Geprüft",Programme_Grunddaten!X722&lt;&gt;""),IF(Programme_Grunddaten!X722="Ja",1,0),"")</f>
        <v/>
      </c>
      <c r="Q717" s="1" t="str">
        <f>IF(AND(Programme_Grunddaten!$A722="Geprüft",Programme_Grunddaten!Y722&lt;&gt;""),IF(Programme_Grunddaten!Y722="Ja",1,0),"")</f>
        <v/>
      </c>
      <c r="R717" s="1" t="str">
        <f>IF(AND(Programme_Grunddaten!$A722="Geprüft",Programme_Grunddaten!Z722&lt;&gt;""),IF(Programme_Grunddaten!Z722="Ja",1,0),"")</f>
        <v/>
      </c>
      <c r="S717" s="1" t="str">
        <f>IF(AND(Programme_Grunddaten!$A722="Geprüft",Programme_Grunddaten!AA722&lt;&gt;""),IF(Programme_Grunddaten!AA722="monolithisch",1,0),"")</f>
        <v/>
      </c>
      <c r="T717" s="1" t="str">
        <f>IF(AND(Programme_Grunddaten!$A722="Geprüft",Programme_Grunddaten!AB722&lt;&gt;""),IF(Programme_Grunddaten!AB722="Ja",1,0),"")</f>
        <v/>
      </c>
      <c r="U717" s="1" t="str">
        <f>IF(AND(Programme_Grunddaten!$A722="Geprüft",Programme_Grunddaten!AC722&lt;&gt;""),IF(Programme_Grunddaten!AC722="Ja",1,0),"")</f>
        <v/>
      </c>
      <c r="V717" s="1" t="str">
        <f>IF(AND(Programme_Grunddaten!$A722="Geprüft",Programme_Grunddaten!AD722&lt;&gt;""),IF(Programme_Grunddaten!AD722="Ja",1,0),"")</f>
        <v/>
      </c>
      <c r="W717" s="1" t="str">
        <f>IF(AND(Programme_Grunddaten!$A722="Geprüft",Programme_Grunddaten!AE722&lt;&gt;""),IF(Programme_Grunddaten!AE722="Ja",1,0),"")</f>
        <v/>
      </c>
      <c r="X717" s="1" t="str">
        <f>IF(AND(Programme_Grunddaten!$A722="Geprüft",Programme_Grunddaten!AF722&lt;&gt;""),IF(Programme_Grunddaten!AF722="Ja",1,0),"")</f>
        <v/>
      </c>
      <c r="Y717" s="1" t="str">
        <f>IF(AND(Programme_Grunddaten!$A722="Geprüft",Programme_Grunddaten!AG722&lt;&gt;""),IF(Programme_Grunddaten!AG722="Ja",1,0),"")</f>
        <v/>
      </c>
      <c r="Z717" s="1" t="str">
        <f>IF(AND(Programme_Grunddaten!$A722="Geprüft",Programme_Grunddaten!AH722&lt;&gt;""),IF(Programme_Grunddaten!AH722="Ja",1,0),"")</f>
        <v/>
      </c>
      <c r="AA717" s="1" t="str">
        <f>IF(AND(Programme_Grunddaten!$A722="Geprüft",Programme_Grunddaten!AI722&lt;&gt;""),IF(Programme_Grunddaten!AI722="Ja",1,0),"")</f>
        <v/>
      </c>
      <c r="AB717" s="1" t="str">
        <f>IF(AND(Programme_Grunddaten!$A722="Geprüft",Programme_Grunddaten!AJ722&lt;&gt;""),IF(Programme_Grunddaten!AJ722="individuell programmierbar",1,0),"")</f>
        <v/>
      </c>
      <c r="AC717" s="1" t="str">
        <f>IF(AND(Programme_Grunddaten!$A722="Geprüft",Programme_Grunddaten!AK722&lt;&gt;""),IF(Programme_Grunddaten!AK722="Deutsch",0,IF(Programme_Grunddaten!AK722="Deutsch und Englisch",1,2)),"")</f>
        <v/>
      </c>
      <c r="AD717" s="1" t="str">
        <f>IF(AND(Programme_Grunddaten!$A722="Geprüft",Programme_Grunddaten!AL722&lt;&gt;""),IF(Programme_Grunddaten!AL722="Ja",1,0),"")</f>
        <v/>
      </c>
      <c r="AE717" s="1" t="str">
        <f>IF(AND(Programme_Grunddaten!$A722="Geprüft",Programme_Grunddaten!AM722&lt;&gt;""),IF(Programme_Grunddaten!AM722="Ja",1,0),"")</f>
        <v/>
      </c>
      <c r="AF717" s="1" t="str">
        <f>IF(AND(Programme_Grunddaten!$A722="Geprüft",Programme_Grunddaten!AN722&lt;&gt;""),IF(Programme_Grunddaten!AN722="Ja",1,0),"")</f>
        <v/>
      </c>
      <c r="AG717" s="1" t="str">
        <f>IF(AND(Programme_Grunddaten!$A722="Geprüft",Programme_Grunddaten!AO722&lt;&gt;""),IF(Programme_Grunddaten!AO722="Ja",1,0),"")</f>
        <v/>
      </c>
      <c r="AH717" s="1" t="str">
        <f>IF(AND(Programme_Grunddaten!$A722="Geprüft",Programme_Grunddaten!AP722&lt;&gt;""),IF(Programme_Grunddaten!AP722="Ja",1,0),"")</f>
        <v/>
      </c>
      <c r="AI717" s="1" t="str">
        <f>IF(AND(Programme_Grunddaten!$A722="Geprüft",Programme_Grunddaten!AQ722&lt;&gt;""),IF(Programme_Grunddaten!AQ722="Ja",1,0),"")</f>
        <v/>
      </c>
      <c r="AJ717" s="1" t="str">
        <f>IF(AND(Programme_Grunddaten!$A722="Geprüft",Programme_Grunddaten!AR722&lt;&gt;""),IF(Programme_Grunddaten!AR722="Ja",1,0),"")</f>
        <v/>
      </c>
      <c r="AK717" s="1" t="str">
        <f>IF(AND(Programme_Grunddaten!$A722="Geprüft",Programme_Grunddaten!AS722&lt;&gt;""),IF(Programme_Grunddaten!AS722="Ja",1,0),"")</f>
        <v/>
      </c>
      <c r="AL717" s="1" t="str">
        <f>IF(AND(Programme_Grunddaten!$A722="Geprüft",Programme_Grunddaten!AT722&lt;&gt;""),IF(Programme_Grunddaten!AT722="Ja",1,0),"")</f>
        <v/>
      </c>
      <c r="AM717" s="1" t="str">
        <f>IF(AND(Programme_Grunddaten!$A722="Geprüft",Programme_Grunddaten!AU722&lt;&gt;""),IF(Programme_Grunddaten!AU722="Ja",1,0),"")</f>
        <v/>
      </c>
      <c r="AN717" s="1" t="str">
        <f>IF(AND(Programme_Grunddaten!$A722="Geprüft",Programme_Grunddaten!AV722&lt;&gt;""),IF(Programme_Grunddaten!AV722="Ja",1,0),"")</f>
        <v/>
      </c>
    </row>
    <row r="718" spans="1:40" x14ac:dyDescent="0.3">
      <c r="A718" s="1" t="str">
        <f>IF(AND(Programme_Grunddaten!A723="Geprüft",Programme_Grunddaten!B723&lt;&gt;""),Programme_Grunddaten!B723,"")</f>
        <v/>
      </c>
      <c r="B718" s="1" t="str">
        <f>IF(AND(Programme_Grunddaten!$A723="Geprüft",Programme_Grunddaten!I723&lt;&gt;""),IF(Programme_Grunddaten!I723="Ja",1,0),"")</f>
        <v/>
      </c>
      <c r="C718" s="1" t="str">
        <f>IF(AND(Programme_Grunddaten!$A723="Geprüft",Programme_Grunddaten!J723&lt;&gt;""),IF(Programme_Grunddaten!J723="Ja",1,0),"")</f>
        <v/>
      </c>
      <c r="D718" s="1" t="str">
        <f>IF(AND(Programme_Grunddaten!$A723="Geprüft",Programme_Grunddaten!K723&lt;&gt;""),IF(Programme_Grunddaten!K723="Ja",1,0),"")</f>
        <v/>
      </c>
      <c r="E718" s="1" t="str">
        <f>IF(AND(Programme_Grunddaten!$A723="Geprüft",Programme_Grunddaten!L723&lt;&gt;""),IF(Programme_Grunddaten!L723="Abo / befristete Lizenz",1,0),"")</f>
        <v/>
      </c>
      <c r="F718" s="1" t="str">
        <f>IF(AND(Programme_Grunddaten!$A723="Geprüft",Programme_Grunddaten!M723&lt;&gt;""),IF(Programme_Grunddaten!M723="Ja",1,0),"")</f>
        <v/>
      </c>
      <c r="G718" s="1" t="str">
        <f>IF(AND(Programme_Grunddaten!$A723="Geprüft",Programme_Grunddaten!N723&lt;&gt;""),IF(Programme_Grunddaten!N723="Ja",1,0),"")</f>
        <v/>
      </c>
      <c r="H718" s="1" t="str">
        <f>IF(AND(Programme_Grunddaten!$A723="Geprüft",Programme_Grunddaten!O723&lt;&gt;""),IF(Programme_Grunddaten!O723="Deutschland",0,IF(Programme_Grunddaten!O723="EU",1,2)),"")</f>
        <v/>
      </c>
      <c r="I718" s="1" t="str">
        <f>IF(AND(Programme_Grunddaten!$A723="Geprüft",Programme_Grunddaten!P723&lt;&gt;""),IF(Programme_Grunddaten!P723="Ja",1,0),"")</f>
        <v/>
      </c>
      <c r="J718" s="1" t="str">
        <f>IF(AND(Programme_Grunddaten!$A723="Geprüft",Programme_Grunddaten!Q723&lt;&gt;""),IF(Programme_Grunddaten!Q723="geschlossenes System",1,0),"")</f>
        <v/>
      </c>
      <c r="K718" s="1" t="str">
        <f>IF(AND(Programme_Grunddaten!$A723="Geprüft",Programme_Grunddaten!R723&lt;&gt;""),IF(Programme_Grunddaten!R723="Ja",1,0),"")</f>
        <v/>
      </c>
      <c r="L718" s="1" t="str">
        <f>IF(AND(Programme_Grunddaten!$A723="Geprüft",Programme_Grunddaten!T723&lt;&gt;""),IF(Programme_Grunddaten!T723="Ja",1,0),"")</f>
        <v/>
      </c>
      <c r="M718" s="1" t="str">
        <f>IF(AND(Programme_Grunddaten!$A723="Geprüft",Programme_Grunddaten!U723&lt;&gt;""),IF(Programme_Grunddaten!U723="Ja",1,0),"")</f>
        <v/>
      </c>
      <c r="N718" s="1" t="str">
        <f>IF(AND(Programme_Grunddaten!$A723="Geprüft",Programme_Grunddaten!V723&lt;&gt;""),IF(Programme_Grunddaten!V723="Ja",1,0),"")</f>
        <v/>
      </c>
      <c r="O718" s="1" t="str">
        <f>IF(AND(Programme_Grunddaten!$A723="Geprüft",Programme_Grunddaten!W723&lt;&gt;""),IF(Programme_Grunddaten!W723="Ja",1,0),"")</f>
        <v/>
      </c>
      <c r="P718" s="1" t="str">
        <f>IF(AND(Programme_Grunddaten!$A723="Geprüft",Programme_Grunddaten!X723&lt;&gt;""),IF(Programme_Grunddaten!X723="Ja",1,0),"")</f>
        <v/>
      </c>
      <c r="Q718" s="1" t="str">
        <f>IF(AND(Programme_Grunddaten!$A723="Geprüft",Programme_Grunddaten!Y723&lt;&gt;""),IF(Programme_Grunddaten!Y723="Ja",1,0),"")</f>
        <v/>
      </c>
      <c r="R718" s="1" t="str">
        <f>IF(AND(Programme_Grunddaten!$A723="Geprüft",Programme_Grunddaten!Z723&lt;&gt;""),IF(Programme_Grunddaten!Z723="Ja",1,0),"")</f>
        <v/>
      </c>
      <c r="S718" s="1" t="str">
        <f>IF(AND(Programme_Grunddaten!$A723="Geprüft",Programme_Grunddaten!AA723&lt;&gt;""),IF(Programme_Grunddaten!AA723="monolithisch",1,0),"")</f>
        <v/>
      </c>
      <c r="T718" s="1" t="str">
        <f>IF(AND(Programme_Grunddaten!$A723="Geprüft",Programme_Grunddaten!AB723&lt;&gt;""),IF(Programme_Grunddaten!AB723="Ja",1,0),"")</f>
        <v/>
      </c>
      <c r="U718" s="1" t="str">
        <f>IF(AND(Programme_Grunddaten!$A723="Geprüft",Programme_Grunddaten!AC723&lt;&gt;""),IF(Programme_Grunddaten!AC723="Ja",1,0),"")</f>
        <v/>
      </c>
      <c r="V718" s="1" t="str">
        <f>IF(AND(Programme_Grunddaten!$A723="Geprüft",Programme_Grunddaten!AD723&lt;&gt;""),IF(Programme_Grunddaten!AD723="Ja",1,0),"")</f>
        <v/>
      </c>
      <c r="W718" s="1" t="str">
        <f>IF(AND(Programme_Grunddaten!$A723="Geprüft",Programme_Grunddaten!AE723&lt;&gt;""),IF(Programme_Grunddaten!AE723="Ja",1,0),"")</f>
        <v/>
      </c>
      <c r="X718" s="1" t="str">
        <f>IF(AND(Programme_Grunddaten!$A723="Geprüft",Programme_Grunddaten!AF723&lt;&gt;""),IF(Programme_Grunddaten!AF723="Ja",1,0),"")</f>
        <v/>
      </c>
      <c r="Y718" s="1" t="str">
        <f>IF(AND(Programme_Grunddaten!$A723="Geprüft",Programme_Grunddaten!AG723&lt;&gt;""),IF(Programme_Grunddaten!AG723="Ja",1,0),"")</f>
        <v/>
      </c>
      <c r="Z718" s="1" t="str">
        <f>IF(AND(Programme_Grunddaten!$A723="Geprüft",Programme_Grunddaten!AH723&lt;&gt;""),IF(Programme_Grunddaten!AH723="Ja",1,0),"")</f>
        <v/>
      </c>
      <c r="AA718" s="1" t="str">
        <f>IF(AND(Programme_Grunddaten!$A723="Geprüft",Programme_Grunddaten!AI723&lt;&gt;""),IF(Programme_Grunddaten!AI723="Ja",1,0),"")</f>
        <v/>
      </c>
      <c r="AB718" s="1" t="str">
        <f>IF(AND(Programme_Grunddaten!$A723="Geprüft",Programme_Grunddaten!AJ723&lt;&gt;""),IF(Programme_Grunddaten!AJ723="individuell programmierbar",1,0),"")</f>
        <v/>
      </c>
      <c r="AC718" s="1" t="str">
        <f>IF(AND(Programme_Grunddaten!$A723="Geprüft",Programme_Grunddaten!AK723&lt;&gt;""),IF(Programme_Grunddaten!AK723="Deutsch",0,IF(Programme_Grunddaten!AK723="Deutsch und Englisch",1,2)),"")</f>
        <v/>
      </c>
      <c r="AD718" s="1" t="str">
        <f>IF(AND(Programme_Grunddaten!$A723="Geprüft",Programme_Grunddaten!AL723&lt;&gt;""),IF(Programme_Grunddaten!AL723="Ja",1,0),"")</f>
        <v/>
      </c>
      <c r="AE718" s="1" t="str">
        <f>IF(AND(Programme_Grunddaten!$A723="Geprüft",Programme_Grunddaten!AM723&lt;&gt;""),IF(Programme_Grunddaten!AM723="Ja",1,0),"")</f>
        <v/>
      </c>
      <c r="AF718" s="1" t="str">
        <f>IF(AND(Programme_Grunddaten!$A723="Geprüft",Programme_Grunddaten!AN723&lt;&gt;""),IF(Programme_Grunddaten!AN723="Ja",1,0),"")</f>
        <v/>
      </c>
      <c r="AG718" s="1" t="str">
        <f>IF(AND(Programme_Grunddaten!$A723="Geprüft",Programme_Grunddaten!AO723&lt;&gt;""),IF(Programme_Grunddaten!AO723="Ja",1,0),"")</f>
        <v/>
      </c>
      <c r="AH718" s="1" t="str">
        <f>IF(AND(Programme_Grunddaten!$A723="Geprüft",Programme_Grunddaten!AP723&lt;&gt;""),IF(Programme_Grunddaten!AP723="Ja",1,0),"")</f>
        <v/>
      </c>
      <c r="AI718" s="1" t="str">
        <f>IF(AND(Programme_Grunddaten!$A723="Geprüft",Programme_Grunddaten!AQ723&lt;&gt;""),IF(Programme_Grunddaten!AQ723="Ja",1,0),"")</f>
        <v/>
      </c>
      <c r="AJ718" s="1" t="str">
        <f>IF(AND(Programme_Grunddaten!$A723="Geprüft",Programme_Grunddaten!AR723&lt;&gt;""),IF(Programme_Grunddaten!AR723="Ja",1,0),"")</f>
        <v/>
      </c>
      <c r="AK718" s="1" t="str">
        <f>IF(AND(Programme_Grunddaten!$A723="Geprüft",Programme_Grunddaten!AS723&lt;&gt;""),IF(Programme_Grunddaten!AS723="Ja",1,0),"")</f>
        <v/>
      </c>
      <c r="AL718" s="1" t="str">
        <f>IF(AND(Programme_Grunddaten!$A723="Geprüft",Programme_Grunddaten!AT723&lt;&gt;""),IF(Programme_Grunddaten!AT723="Ja",1,0),"")</f>
        <v/>
      </c>
      <c r="AM718" s="1" t="str">
        <f>IF(AND(Programme_Grunddaten!$A723="Geprüft",Programme_Grunddaten!AU723&lt;&gt;""),IF(Programme_Grunddaten!AU723="Ja",1,0),"")</f>
        <v/>
      </c>
      <c r="AN718" s="1" t="str">
        <f>IF(AND(Programme_Grunddaten!$A723="Geprüft",Programme_Grunddaten!AV723&lt;&gt;""),IF(Programme_Grunddaten!AV723="Ja",1,0),"")</f>
        <v/>
      </c>
    </row>
    <row r="719" spans="1:40" x14ac:dyDescent="0.3">
      <c r="A719" s="1" t="str">
        <f>IF(AND(Programme_Grunddaten!A724="Geprüft",Programme_Grunddaten!B724&lt;&gt;""),Programme_Grunddaten!B724,"")</f>
        <v/>
      </c>
      <c r="B719" s="1" t="str">
        <f>IF(AND(Programme_Grunddaten!$A724="Geprüft",Programme_Grunddaten!I724&lt;&gt;""),IF(Programme_Grunddaten!I724="Ja",1,0),"")</f>
        <v/>
      </c>
      <c r="C719" s="1" t="str">
        <f>IF(AND(Programme_Grunddaten!$A724="Geprüft",Programme_Grunddaten!J724&lt;&gt;""),IF(Programme_Grunddaten!J724="Ja",1,0),"")</f>
        <v/>
      </c>
      <c r="D719" s="1" t="str">
        <f>IF(AND(Programme_Grunddaten!$A724="Geprüft",Programme_Grunddaten!K724&lt;&gt;""),IF(Programme_Grunddaten!K724="Ja",1,0),"")</f>
        <v/>
      </c>
      <c r="E719" s="1" t="str">
        <f>IF(AND(Programme_Grunddaten!$A724="Geprüft",Programme_Grunddaten!L724&lt;&gt;""),IF(Programme_Grunddaten!L724="Abo / befristete Lizenz",1,0),"")</f>
        <v/>
      </c>
      <c r="F719" s="1" t="str">
        <f>IF(AND(Programme_Grunddaten!$A724="Geprüft",Programme_Grunddaten!M724&lt;&gt;""),IF(Programme_Grunddaten!M724="Ja",1,0),"")</f>
        <v/>
      </c>
      <c r="G719" s="1" t="str">
        <f>IF(AND(Programme_Grunddaten!$A724="Geprüft",Programme_Grunddaten!N724&lt;&gt;""),IF(Programme_Grunddaten!N724="Ja",1,0),"")</f>
        <v/>
      </c>
      <c r="H719" s="1" t="str">
        <f>IF(AND(Programme_Grunddaten!$A724="Geprüft",Programme_Grunddaten!O724&lt;&gt;""),IF(Programme_Grunddaten!O724="Deutschland",0,IF(Programme_Grunddaten!O724="EU",1,2)),"")</f>
        <v/>
      </c>
      <c r="I719" s="1" t="str">
        <f>IF(AND(Programme_Grunddaten!$A724="Geprüft",Programme_Grunddaten!P724&lt;&gt;""),IF(Programme_Grunddaten!P724="Ja",1,0),"")</f>
        <v/>
      </c>
      <c r="J719" s="1" t="str">
        <f>IF(AND(Programme_Grunddaten!$A724="Geprüft",Programme_Grunddaten!Q724&lt;&gt;""),IF(Programme_Grunddaten!Q724="geschlossenes System",1,0),"")</f>
        <v/>
      </c>
      <c r="K719" s="1" t="str">
        <f>IF(AND(Programme_Grunddaten!$A724="Geprüft",Programme_Grunddaten!R724&lt;&gt;""),IF(Programme_Grunddaten!R724="Ja",1,0),"")</f>
        <v/>
      </c>
      <c r="L719" s="1" t="str">
        <f>IF(AND(Programme_Grunddaten!$A724="Geprüft",Programme_Grunddaten!T724&lt;&gt;""),IF(Programme_Grunddaten!T724="Ja",1,0),"")</f>
        <v/>
      </c>
      <c r="M719" s="1" t="str">
        <f>IF(AND(Programme_Grunddaten!$A724="Geprüft",Programme_Grunddaten!U724&lt;&gt;""),IF(Programme_Grunddaten!U724="Ja",1,0),"")</f>
        <v/>
      </c>
      <c r="N719" s="1" t="str">
        <f>IF(AND(Programme_Grunddaten!$A724="Geprüft",Programme_Grunddaten!V724&lt;&gt;""),IF(Programme_Grunddaten!V724="Ja",1,0),"")</f>
        <v/>
      </c>
      <c r="O719" s="1" t="str">
        <f>IF(AND(Programme_Grunddaten!$A724="Geprüft",Programme_Grunddaten!W724&lt;&gt;""),IF(Programme_Grunddaten!W724="Ja",1,0),"")</f>
        <v/>
      </c>
      <c r="P719" s="1" t="str">
        <f>IF(AND(Programme_Grunddaten!$A724="Geprüft",Programme_Grunddaten!X724&lt;&gt;""),IF(Programme_Grunddaten!X724="Ja",1,0),"")</f>
        <v/>
      </c>
      <c r="Q719" s="1" t="str">
        <f>IF(AND(Programme_Grunddaten!$A724="Geprüft",Programme_Grunddaten!Y724&lt;&gt;""),IF(Programme_Grunddaten!Y724="Ja",1,0),"")</f>
        <v/>
      </c>
      <c r="R719" s="1" t="str">
        <f>IF(AND(Programme_Grunddaten!$A724="Geprüft",Programme_Grunddaten!Z724&lt;&gt;""),IF(Programme_Grunddaten!Z724="Ja",1,0),"")</f>
        <v/>
      </c>
      <c r="S719" s="1" t="str">
        <f>IF(AND(Programme_Grunddaten!$A724="Geprüft",Programme_Grunddaten!AA724&lt;&gt;""),IF(Programme_Grunddaten!AA724="monolithisch",1,0),"")</f>
        <v/>
      </c>
      <c r="T719" s="1" t="str">
        <f>IF(AND(Programme_Grunddaten!$A724="Geprüft",Programme_Grunddaten!AB724&lt;&gt;""),IF(Programme_Grunddaten!AB724="Ja",1,0),"")</f>
        <v/>
      </c>
      <c r="U719" s="1" t="str">
        <f>IF(AND(Programme_Grunddaten!$A724="Geprüft",Programme_Grunddaten!AC724&lt;&gt;""),IF(Programme_Grunddaten!AC724="Ja",1,0),"")</f>
        <v/>
      </c>
      <c r="V719" s="1" t="str">
        <f>IF(AND(Programme_Grunddaten!$A724="Geprüft",Programme_Grunddaten!AD724&lt;&gt;""),IF(Programme_Grunddaten!AD724="Ja",1,0),"")</f>
        <v/>
      </c>
      <c r="W719" s="1" t="str">
        <f>IF(AND(Programme_Grunddaten!$A724="Geprüft",Programme_Grunddaten!AE724&lt;&gt;""),IF(Programme_Grunddaten!AE724="Ja",1,0),"")</f>
        <v/>
      </c>
      <c r="X719" s="1" t="str">
        <f>IF(AND(Programme_Grunddaten!$A724="Geprüft",Programme_Grunddaten!AF724&lt;&gt;""),IF(Programme_Grunddaten!AF724="Ja",1,0),"")</f>
        <v/>
      </c>
      <c r="Y719" s="1" t="str">
        <f>IF(AND(Programme_Grunddaten!$A724="Geprüft",Programme_Grunddaten!AG724&lt;&gt;""),IF(Programme_Grunddaten!AG724="Ja",1,0),"")</f>
        <v/>
      </c>
      <c r="Z719" s="1" t="str">
        <f>IF(AND(Programme_Grunddaten!$A724="Geprüft",Programme_Grunddaten!AH724&lt;&gt;""),IF(Programme_Grunddaten!AH724="Ja",1,0),"")</f>
        <v/>
      </c>
      <c r="AA719" s="1" t="str">
        <f>IF(AND(Programme_Grunddaten!$A724="Geprüft",Programme_Grunddaten!AI724&lt;&gt;""),IF(Programme_Grunddaten!AI724="Ja",1,0),"")</f>
        <v/>
      </c>
      <c r="AB719" s="1" t="str">
        <f>IF(AND(Programme_Grunddaten!$A724="Geprüft",Programme_Grunddaten!AJ724&lt;&gt;""),IF(Programme_Grunddaten!AJ724="individuell programmierbar",1,0),"")</f>
        <v/>
      </c>
      <c r="AC719" s="1" t="str">
        <f>IF(AND(Programme_Grunddaten!$A724="Geprüft",Programme_Grunddaten!AK724&lt;&gt;""),IF(Programme_Grunddaten!AK724="Deutsch",0,IF(Programme_Grunddaten!AK724="Deutsch und Englisch",1,2)),"")</f>
        <v/>
      </c>
      <c r="AD719" s="1" t="str">
        <f>IF(AND(Programme_Grunddaten!$A724="Geprüft",Programme_Grunddaten!AL724&lt;&gt;""),IF(Programme_Grunddaten!AL724="Ja",1,0),"")</f>
        <v/>
      </c>
      <c r="AE719" s="1" t="str">
        <f>IF(AND(Programme_Grunddaten!$A724="Geprüft",Programme_Grunddaten!AM724&lt;&gt;""),IF(Programme_Grunddaten!AM724="Ja",1,0),"")</f>
        <v/>
      </c>
      <c r="AF719" s="1" t="str">
        <f>IF(AND(Programme_Grunddaten!$A724="Geprüft",Programme_Grunddaten!AN724&lt;&gt;""),IF(Programme_Grunddaten!AN724="Ja",1,0),"")</f>
        <v/>
      </c>
      <c r="AG719" s="1" t="str">
        <f>IF(AND(Programme_Grunddaten!$A724="Geprüft",Programme_Grunddaten!AO724&lt;&gt;""),IF(Programme_Grunddaten!AO724="Ja",1,0),"")</f>
        <v/>
      </c>
      <c r="AH719" s="1" t="str">
        <f>IF(AND(Programme_Grunddaten!$A724="Geprüft",Programme_Grunddaten!AP724&lt;&gt;""),IF(Programme_Grunddaten!AP724="Ja",1,0),"")</f>
        <v/>
      </c>
      <c r="AI719" s="1" t="str">
        <f>IF(AND(Programme_Grunddaten!$A724="Geprüft",Programme_Grunddaten!AQ724&lt;&gt;""),IF(Programme_Grunddaten!AQ724="Ja",1,0),"")</f>
        <v/>
      </c>
      <c r="AJ719" s="1" t="str">
        <f>IF(AND(Programme_Grunddaten!$A724="Geprüft",Programme_Grunddaten!AR724&lt;&gt;""),IF(Programme_Grunddaten!AR724="Ja",1,0),"")</f>
        <v/>
      </c>
      <c r="AK719" s="1" t="str">
        <f>IF(AND(Programme_Grunddaten!$A724="Geprüft",Programme_Grunddaten!AS724&lt;&gt;""),IF(Programme_Grunddaten!AS724="Ja",1,0),"")</f>
        <v/>
      </c>
      <c r="AL719" s="1" t="str">
        <f>IF(AND(Programme_Grunddaten!$A724="Geprüft",Programme_Grunddaten!AT724&lt;&gt;""),IF(Programme_Grunddaten!AT724="Ja",1,0),"")</f>
        <v/>
      </c>
      <c r="AM719" s="1" t="str">
        <f>IF(AND(Programme_Grunddaten!$A724="Geprüft",Programme_Grunddaten!AU724&lt;&gt;""),IF(Programme_Grunddaten!AU724="Ja",1,0),"")</f>
        <v/>
      </c>
      <c r="AN719" s="1" t="str">
        <f>IF(AND(Programme_Grunddaten!$A724="Geprüft",Programme_Grunddaten!AV724&lt;&gt;""),IF(Programme_Grunddaten!AV724="Ja",1,0),"")</f>
        <v/>
      </c>
    </row>
    <row r="720" spans="1:40" x14ac:dyDescent="0.3">
      <c r="A720" s="1" t="str">
        <f>IF(AND(Programme_Grunddaten!A725="Geprüft",Programme_Grunddaten!B725&lt;&gt;""),Programme_Grunddaten!B725,"")</f>
        <v/>
      </c>
      <c r="B720" s="1" t="str">
        <f>IF(AND(Programme_Grunddaten!$A725="Geprüft",Programme_Grunddaten!I725&lt;&gt;""),IF(Programme_Grunddaten!I725="Ja",1,0),"")</f>
        <v/>
      </c>
      <c r="C720" s="1" t="str">
        <f>IF(AND(Programme_Grunddaten!$A725="Geprüft",Programme_Grunddaten!J725&lt;&gt;""),IF(Programme_Grunddaten!J725="Ja",1,0),"")</f>
        <v/>
      </c>
      <c r="D720" s="1" t="str">
        <f>IF(AND(Programme_Grunddaten!$A725="Geprüft",Programme_Grunddaten!K725&lt;&gt;""),IF(Programme_Grunddaten!K725="Ja",1,0),"")</f>
        <v/>
      </c>
      <c r="E720" s="1" t="str">
        <f>IF(AND(Programme_Grunddaten!$A725="Geprüft",Programme_Grunddaten!L725&lt;&gt;""),IF(Programme_Grunddaten!L725="Abo / befristete Lizenz",1,0),"")</f>
        <v/>
      </c>
      <c r="F720" s="1" t="str">
        <f>IF(AND(Programme_Grunddaten!$A725="Geprüft",Programme_Grunddaten!M725&lt;&gt;""),IF(Programme_Grunddaten!M725="Ja",1,0),"")</f>
        <v/>
      </c>
      <c r="G720" s="1" t="str">
        <f>IF(AND(Programme_Grunddaten!$A725="Geprüft",Programme_Grunddaten!N725&lt;&gt;""),IF(Programme_Grunddaten!N725="Ja",1,0),"")</f>
        <v/>
      </c>
      <c r="H720" s="1" t="str">
        <f>IF(AND(Programme_Grunddaten!$A725="Geprüft",Programme_Grunddaten!O725&lt;&gt;""),IF(Programme_Grunddaten!O725="Deutschland",0,IF(Programme_Grunddaten!O725="EU",1,2)),"")</f>
        <v/>
      </c>
      <c r="I720" s="1" t="str">
        <f>IF(AND(Programme_Grunddaten!$A725="Geprüft",Programme_Grunddaten!P725&lt;&gt;""),IF(Programme_Grunddaten!P725="Ja",1,0),"")</f>
        <v/>
      </c>
      <c r="J720" s="1" t="str">
        <f>IF(AND(Programme_Grunddaten!$A725="Geprüft",Programme_Grunddaten!Q725&lt;&gt;""),IF(Programme_Grunddaten!Q725="geschlossenes System",1,0),"")</f>
        <v/>
      </c>
      <c r="K720" s="1" t="str">
        <f>IF(AND(Programme_Grunddaten!$A725="Geprüft",Programme_Grunddaten!R725&lt;&gt;""),IF(Programme_Grunddaten!R725="Ja",1,0),"")</f>
        <v/>
      </c>
      <c r="L720" s="1" t="str">
        <f>IF(AND(Programme_Grunddaten!$A725="Geprüft",Programme_Grunddaten!T725&lt;&gt;""),IF(Programme_Grunddaten!T725="Ja",1,0),"")</f>
        <v/>
      </c>
      <c r="M720" s="1" t="str">
        <f>IF(AND(Programme_Grunddaten!$A725="Geprüft",Programme_Grunddaten!U725&lt;&gt;""),IF(Programme_Grunddaten!U725="Ja",1,0),"")</f>
        <v/>
      </c>
      <c r="N720" s="1" t="str">
        <f>IF(AND(Programme_Grunddaten!$A725="Geprüft",Programme_Grunddaten!V725&lt;&gt;""),IF(Programme_Grunddaten!V725="Ja",1,0),"")</f>
        <v/>
      </c>
      <c r="O720" s="1" t="str">
        <f>IF(AND(Programme_Grunddaten!$A725="Geprüft",Programme_Grunddaten!W725&lt;&gt;""),IF(Programme_Grunddaten!W725="Ja",1,0),"")</f>
        <v/>
      </c>
      <c r="P720" s="1" t="str">
        <f>IF(AND(Programme_Grunddaten!$A725="Geprüft",Programme_Grunddaten!X725&lt;&gt;""),IF(Programme_Grunddaten!X725="Ja",1,0),"")</f>
        <v/>
      </c>
      <c r="Q720" s="1" t="str">
        <f>IF(AND(Programme_Grunddaten!$A725="Geprüft",Programme_Grunddaten!Y725&lt;&gt;""),IF(Programme_Grunddaten!Y725="Ja",1,0),"")</f>
        <v/>
      </c>
      <c r="R720" s="1" t="str">
        <f>IF(AND(Programme_Grunddaten!$A725="Geprüft",Programme_Grunddaten!Z725&lt;&gt;""),IF(Programme_Grunddaten!Z725="Ja",1,0),"")</f>
        <v/>
      </c>
      <c r="S720" s="1" t="str">
        <f>IF(AND(Programme_Grunddaten!$A725="Geprüft",Programme_Grunddaten!AA725&lt;&gt;""),IF(Programme_Grunddaten!AA725="monolithisch",1,0),"")</f>
        <v/>
      </c>
      <c r="T720" s="1" t="str">
        <f>IF(AND(Programme_Grunddaten!$A725="Geprüft",Programme_Grunddaten!AB725&lt;&gt;""),IF(Programme_Grunddaten!AB725="Ja",1,0),"")</f>
        <v/>
      </c>
      <c r="U720" s="1" t="str">
        <f>IF(AND(Programme_Grunddaten!$A725="Geprüft",Programme_Grunddaten!AC725&lt;&gt;""),IF(Programme_Grunddaten!AC725="Ja",1,0),"")</f>
        <v/>
      </c>
      <c r="V720" s="1" t="str">
        <f>IF(AND(Programme_Grunddaten!$A725="Geprüft",Programme_Grunddaten!AD725&lt;&gt;""),IF(Programme_Grunddaten!AD725="Ja",1,0),"")</f>
        <v/>
      </c>
      <c r="W720" s="1" t="str">
        <f>IF(AND(Programme_Grunddaten!$A725="Geprüft",Programme_Grunddaten!AE725&lt;&gt;""),IF(Programme_Grunddaten!AE725="Ja",1,0),"")</f>
        <v/>
      </c>
      <c r="X720" s="1" t="str">
        <f>IF(AND(Programme_Grunddaten!$A725="Geprüft",Programme_Grunddaten!AF725&lt;&gt;""),IF(Programme_Grunddaten!AF725="Ja",1,0),"")</f>
        <v/>
      </c>
      <c r="Y720" s="1" t="str">
        <f>IF(AND(Programme_Grunddaten!$A725="Geprüft",Programme_Grunddaten!AG725&lt;&gt;""),IF(Programme_Grunddaten!AG725="Ja",1,0),"")</f>
        <v/>
      </c>
      <c r="Z720" s="1" t="str">
        <f>IF(AND(Programme_Grunddaten!$A725="Geprüft",Programme_Grunddaten!AH725&lt;&gt;""),IF(Programme_Grunddaten!AH725="Ja",1,0),"")</f>
        <v/>
      </c>
      <c r="AA720" s="1" t="str">
        <f>IF(AND(Programme_Grunddaten!$A725="Geprüft",Programme_Grunddaten!AI725&lt;&gt;""),IF(Programme_Grunddaten!AI725="Ja",1,0),"")</f>
        <v/>
      </c>
      <c r="AB720" s="1" t="str">
        <f>IF(AND(Programme_Grunddaten!$A725="Geprüft",Programme_Grunddaten!AJ725&lt;&gt;""),IF(Programme_Grunddaten!AJ725="individuell programmierbar",1,0),"")</f>
        <v/>
      </c>
      <c r="AC720" s="1" t="str">
        <f>IF(AND(Programme_Grunddaten!$A725="Geprüft",Programme_Grunddaten!AK725&lt;&gt;""),IF(Programme_Grunddaten!AK725="Deutsch",0,IF(Programme_Grunddaten!AK725="Deutsch und Englisch",1,2)),"")</f>
        <v/>
      </c>
      <c r="AD720" s="1" t="str">
        <f>IF(AND(Programme_Grunddaten!$A725="Geprüft",Programme_Grunddaten!AL725&lt;&gt;""),IF(Programme_Grunddaten!AL725="Ja",1,0),"")</f>
        <v/>
      </c>
      <c r="AE720" s="1" t="str">
        <f>IF(AND(Programme_Grunddaten!$A725="Geprüft",Programme_Grunddaten!AM725&lt;&gt;""),IF(Programme_Grunddaten!AM725="Ja",1,0),"")</f>
        <v/>
      </c>
      <c r="AF720" s="1" t="str">
        <f>IF(AND(Programme_Grunddaten!$A725="Geprüft",Programme_Grunddaten!AN725&lt;&gt;""),IF(Programme_Grunddaten!AN725="Ja",1,0),"")</f>
        <v/>
      </c>
      <c r="AG720" s="1" t="str">
        <f>IF(AND(Programme_Grunddaten!$A725="Geprüft",Programme_Grunddaten!AO725&lt;&gt;""),IF(Programme_Grunddaten!AO725="Ja",1,0),"")</f>
        <v/>
      </c>
      <c r="AH720" s="1" t="str">
        <f>IF(AND(Programme_Grunddaten!$A725="Geprüft",Programme_Grunddaten!AP725&lt;&gt;""),IF(Programme_Grunddaten!AP725="Ja",1,0),"")</f>
        <v/>
      </c>
      <c r="AI720" s="1" t="str">
        <f>IF(AND(Programme_Grunddaten!$A725="Geprüft",Programme_Grunddaten!AQ725&lt;&gt;""),IF(Programme_Grunddaten!AQ725="Ja",1,0),"")</f>
        <v/>
      </c>
      <c r="AJ720" s="1" t="str">
        <f>IF(AND(Programme_Grunddaten!$A725="Geprüft",Programme_Grunddaten!AR725&lt;&gt;""),IF(Programme_Grunddaten!AR725="Ja",1,0),"")</f>
        <v/>
      </c>
      <c r="AK720" s="1" t="str">
        <f>IF(AND(Programme_Grunddaten!$A725="Geprüft",Programme_Grunddaten!AS725&lt;&gt;""),IF(Programme_Grunddaten!AS725="Ja",1,0),"")</f>
        <v/>
      </c>
      <c r="AL720" s="1" t="str">
        <f>IF(AND(Programme_Grunddaten!$A725="Geprüft",Programme_Grunddaten!AT725&lt;&gt;""),IF(Programme_Grunddaten!AT725="Ja",1,0),"")</f>
        <v/>
      </c>
      <c r="AM720" s="1" t="str">
        <f>IF(AND(Programme_Grunddaten!$A725="Geprüft",Programme_Grunddaten!AU725&lt;&gt;""),IF(Programme_Grunddaten!AU725="Ja",1,0),"")</f>
        <v/>
      </c>
      <c r="AN720" s="1" t="str">
        <f>IF(AND(Programme_Grunddaten!$A725="Geprüft",Programme_Grunddaten!AV725&lt;&gt;""),IF(Programme_Grunddaten!AV725="Ja",1,0),"")</f>
        <v/>
      </c>
    </row>
    <row r="721" spans="1:40" x14ac:dyDescent="0.3">
      <c r="A721" s="1" t="str">
        <f>IF(AND(Programme_Grunddaten!A726="Geprüft",Programme_Grunddaten!B726&lt;&gt;""),Programme_Grunddaten!B726,"")</f>
        <v/>
      </c>
      <c r="B721" s="1" t="str">
        <f>IF(AND(Programme_Grunddaten!$A726="Geprüft",Programme_Grunddaten!I726&lt;&gt;""),IF(Programme_Grunddaten!I726="Ja",1,0),"")</f>
        <v/>
      </c>
      <c r="C721" s="1" t="str">
        <f>IF(AND(Programme_Grunddaten!$A726="Geprüft",Programme_Grunddaten!J726&lt;&gt;""),IF(Programme_Grunddaten!J726="Ja",1,0),"")</f>
        <v/>
      </c>
      <c r="D721" s="1" t="str">
        <f>IF(AND(Programme_Grunddaten!$A726="Geprüft",Programme_Grunddaten!K726&lt;&gt;""),IF(Programme_Grunddaten!K726="Ja",1,0),"")</f>
        <v/>
      </c>
      <c r="E721" s="1" t="str">
        <f>IF(AND(Programme_Grunddaten!$A726="Geprüft",Programme_Grunddaten!L726&lt;&gt;""),IF(Programme_Grunddaten!L726="Abo / befristete Lizenz",1,0),"")</f>
        <v/>
      </c>
      <c r="F721" s="1" t="str">
        <f>IF(AND(Programme_Grunddaten!$A726="Geprüft",Programme_Grunddaten!M726&lt;&gt;""),IF(Programme_Grunddaten!M726="Ja",1,0),"")</f>
        <v/>
      </c>
      <c r="G721" s="1" t="str">
        <f>IF(AND(Programme_Grunddaten!$A726="Geprüft",Programme_Grunddaten!N726&lt;&gt;""),IF(Programme_Grunddaten!N726="Ja",1,0),"")</f>
        <v/>
      </c>
      <c r="H721" s="1" t="str">
        <f>IF(AND(Programme_Grunddaten!$A726="Geprüft",Programme_Grunddaten!O726&lt;&gt;""),IF(Programme_Grunddaten!O726="Deutschland",0,IF(Programme_Grunddaten!O726="EU",1,2)),"")</f>
        <v/>
      </c>
      <c r="I721" s="1" t="str">
        <f>IF(AND(Programme_Grunddaten!$A726="Geprüft",Programme_Grunddaten!P726&lt;&gt;""),IF(Programme_Grunddaten!P726="Ja",1,0),"")</f>
        <v/>
      </c>
      <c r="J721" s="1" t="str">
        <f>IF(AND(Programme_Grunddaten!$A726="Geprüft",Programme_Grunddaten!Q726&lt;&gt;""),IF(Programme_Grunddaten!Q726="geschlossenes System",1,0),"")</f>
        <v/>
      </c>
      <c r="K721" s="1" t="str">
        <f>IF(AND(Programme_Grunddaten!$A726="Geprüft",Programme_Grunddaten!R726&lt;&gt;""),IF(Programme_Grunddaten!R726="Ja",1,0),"")</f>
        <v/>
      </c>
      <c r="L721" s="1" t="str">
        <f>IF(AND(Programme_Grunddaten!$A726="Geprüft",Programme_Grunddaten!T726&lt;&gt;""),IF(Programme_Grunddaten!T726="Ja",1,0),"")</f>
        <v/>
      </c>
      <c r="M721" s="1" t="str">
        <f>IF(AND(Programme_Grunddaten!$A726="Geprüft",Programme_Grunddaten!U726&lt;&gt;""),IF(Programme_Grunddaten!U726="Ja",1,0),"")</f>
        <v/>
      </c>
      <c r="N721" s="1" t="str">
        <f>IF(AND(Programme_Grunddaten!$A726="Geprüft",Programme_Grunddaten!V726&lt;&gt;""),IF(Programme_Grunddaten!V726="Ja",1,0),"")</f>
        <v/>
      </c>
      <c r="O721" s="1" t="str">
        <f>IF(AND(Programme_Grunddaten!$A726="Geprüft",Programme_Grunddaten!W726&lt;&gt;""),IF(Programme_Grunddaten!W726="Ja",1,0),"")</f>
        <v/>
      </c>
      <c r="P721" s="1" t="str">
        <f>IF(AND(Programme_Grunddaten!$A726="Geprüft",Programme_Grunddaten!X726&lt;&gt;""),IF(Programme_Grunddaten!X726="Ja",1,0),"")</f>
        <v/>
      </c>
      <c r="Q721" s="1" t="str">
        <f>IF(AND(Programme_Grunddaten!$A726="Geprüft",Programme_Grunddaten!Y726&lt;&gt;""),IF(Programme_Grunddaten!Y726="Ja",1,0),"")</f>
        <v/>
      </c>
      <c r="R721" s="1" t="str">
        <f>IF(AND(Programme_Grunddaten!$A726="Geprüft",Programme_Grunddaten!Z726&lt;&gt;""),IF(Programme_Grunddaten!Z726="Ja",1,0),"")</f>
        <v/>
      </c>
      <c r="S721" s="1" t="str">
        <f>IF(AND(Programme_Grunddaten!$A726="Geprüft",Programme_Grunddaten!AA726&lt;&gt;""),IF(Programme_Grunddaten!AA726="monolithisch",1,0),"")</f>
        <v/>
      </c>
      <c r="T721" s="1" t="str">
        <f>IF(AND(Programme_Grunddaten!$A726="Geprüft",Programme_Grunddaten!AB726&lt;&gt;""),IF(Programme_Grunddaten!AB726="Ja",1,0),"")</f>
        <v/>
      </c>
      <c r="U721" s="1" t="str">
        <f>IF(AND(Programme_Grunddaten!$A726="Geprüft",Programme_Grunddaten!AC726&lt;&gt;""),IF(Programme_Grunddaten!AC726="Ja",1,0),"")</f>
        <v/>
      </c>
      <c r="V721" s="1" t="str">
        <f>IF(AND(Programme_Grunddaten!$A726="Geprüft",Programme_Grunddaten!AD726&lt;&gt;""),IF(Programme_Grunddaten!AD726="Ja",1,0),"")</f>
        <v/>
      </c>
      <c r="W721" s="1" t="str">
        <f>IF(AND(Programme_Grunddaten!$A726="Geprüft",Programme_Grunddaten!AE726&lt;&gt;""),IF(Programme_Grunddaten!AE726="Ja",1,0),"")</f>
        <v/>
      </c>
      <c r="X721" s="1" t="str">
        <f>IF(AND(Programme_Grunddaten!$A726="Geprüft",Programme_Grunddaten!AF726&lt;&gt;""),IF(Programme_Grunddaten!AF726="Ja",1,0),"")</f>
        <v/>
      </c>
      <c r="Y721" s="1" t="str">
        <f>IF(AND(Programme_Grunddaten!$A726="Geprüft",Programme_Grunddaten!AG726&lt;&gt;""),IF(Programme_Grunddaten!AG726="Ja",1,0),"")</f>
        <v/>
      </c>
      <c r="Z721" s="1" t="str">
        <f>IF(AND(Programme_Grunddaten!$A726="Geprüft",Programme_Grunddaten!AH726&lt;&gt;""),IF(Programme_Grunddaten!AH726="Ja",1,0),"")</f>
        <v/>
      </c>
      <c r="AA721" s="1" t="str">
        <f>IF(AND(Programme_Grunddaten!$A726="Geprüft",Programme_Grunddaten!AI726&lt;&gt;""),IF(Programme_Grunddaten!AI726="Ja",1,0),"")</f>
        <v/>
      </c>
      <c r="AB721" s="1" t="str">
        <f>IF(AND(Programme_Grunddaten!$A726="Geprüft",Programme_Grunddaten!AJ726&lt;&gt;""),IF(Programme_Grunddaten!AJ726="individuell programmierbar",1,0),"")</f>
        <v/>
      </c>
      <c r="AC721" s="1" t="str">
        <f>IF(AND(Programme_Grunddaten!$A726="Geprüft",Programme_Grunddaten!AK726&lt;&gt;""),IF(Programme_Grunddaten!AK726="Deutsch",0,IF(Programme_Grunddaten!AK726="Deutsch und Englisch",1,2)),"")</f>
        <v/>
      </c>
      <c r="AD721" s="1" t="str">
        <f>IF(AND(Programme_Grunddaten!$A726="Geprüft",Programme_Grunddaten!AL726&lt;&gt;""),IF(Programme_Grunddaten!AL726="Ja",1,0),"")</f>
        <v/>
      </c>
      <c r="AE721" s="1" t="str">
        <f>IF(AND(Programme_Grunddaten!$A726="Geprüft",Programme_Grunddaten!AM726&lt;&gt;""),IF(Programme_Grunddaten!AM726="Ja",1,0),"")</f>
        <v/>
      </c>
      <c r="AF721" s="1" t="str">
        <f>IF(AND(Programme_Grunddaten!$A726="Geprüft",Programme_Grunddaten!AN726&lt;&gt;""),IF(Programme_Grunddaten!AN726="Ja",1,0),"")</f>
        <v/>
      </c>
      <c r="AG721" s="1" t="str">
        <f>IF(AND(Programme_Grunddaten!$A726="Geprüft",Programme_Grunddaten!AO726&lt;&gt;""),IF(Programme_Grunddaten!AO726="Ja",1,0),"")</f>
        <v/>
      </c>
      <c r="AH721" s="1" t="str">
        <f>IF(AND(Programme_Grunddaten!$A726="Geprüft",Programme_Grunddaten!AP726&lt;&gt;""),IF(Programme_Grunddaten!AP726="Ja",1,0),"")</f>
        <v/>
      </c>
      <c r="AI721" s="1" t="str">
        <f>IF(AND(Programme_Grunddaten!$A726="Geprüft",Programme_Grunddaten!AQ726&lt;&gt;""),IF(Programme_Grunddaten!AQ726="Ja",1,0),"")</f>
        <v/>
      </c>
      <c r="AJ721" s="1" t="str">
        <f>IF(AND(Programme_Grunddaten!$A726="Geprüft",Programme_Grunddaten!AR726&lt;&gt;""),IF(Programme_Grunddaten!AR726="Ja",1,0),"")</f>
        <v/>
      </c>
      <c r="AK721" s="1" t="str">
        <f>IF(AND(Programme_Grunddaten!$A726="Geprüft",Programme_Grunddaten!AS726&lt;&gt;""),IF(Programme_Grunddaten!AS726="Ja",1,0),"")</f>
        <v/>
      </c>
      <c r="AL721" s="1" t="str">
        <f>IF(AND(Programme_Grunddaten!$A726="Geprüft",Programme_Grunddaten!AT726&lt;&gt;""),IF(Programme_Grunddaten!AT726="Ja",1,0),"")</f>
        <v/>
      </c>
      <c r="AM721" s="1" t="str">
        <f>IF(AND(Programme_Grunddaten!$A726="Geprüft",Programme_Grunddaten!AU726&lt;&gt;""),IF(Programme_Grunddaten!AU726="Ja",1,0),"")</f>
        <v/>
      </c>
      <c r="AN721" s="1" t="str">
        <f>IF(AND(Programme_Grunddaten!$A726="Geprüft",Programme_Grunddaten!AV726&lt;&gt;""),IF(Programme_Grunddaten!AV726="Ja",1,0),"")</f>
        <v/>
      </c>
    </row>
    <row r="722" spans="1:40" x14ac:dyDescent="0.3">
      <c r="A722" s="1" t="str">
        <f>IF(AND(Programme_Grunddaten!A727="Geprüft",Programme_Grunddaten!B727&lt;&gt;""),Programme_Grunddaten!B727,"")</f>
        <v/>
      </c>
      <c r="B722" s="1" t="str">
        <f>IF(AND(Programme_Grunddaten!$A727="Geprüft",Programme_Grunddaten!I727&lt;&gt;""),IF(Programme_Grunddaten!I727="Ja",1,0),"")</f>
        <v/>
      </c>
      <c r="C722" s="1" t="str">
        <f>IF(AND(Programme_Grunddaten!$A727="Geprüft",Programme_Grunddaten!J727&lt;&gt;""),IF(Programme_Grunddaten!J727="Ja",1,0),"")</f>
        <v/>
      </c>
      <c r="D722" s="1" t="str">
        <f>IF(AND(Programme_Grunddaten!$A727="Geprüft",Programme_Grunddaten!K727&lt;&gt;""),IF(Programme_Grunddaten!K727="Ja",1,0),"")</f>
        <v/>
      </c>
      <c r="E722" s="1" t="str">
        <f>IF(AND(Programme_Grunddaten!$A727="Geprüft",Programme_Grunddaten!L727&lt;&gt;""),IF(Programme_Grunddaten!L727="Abo / befristete Lizenz",1,0),"")</f>
        <v/>
      </c>
      <c r="F722" s="1" t="str">
        <f>IF(AND(Programme_Grunddaten!$A727="Geprüft",Programme_Grunddaten!M727&lt;&gt;""),IF(Programme_Grunddaten!M727="Ja",1,0),"")</f>
        <v/>
      </c>
      <c r="G722" s="1" t="str">
        <f>IF(AND(Programme_Grunddaten!$A727="Geprüft",Programme_Grunddaten!N727&lt;&gt;""),IF(Programme_Grunddaten!N727="Ja",1,0),"")</f>
        <v/>
      </c>
      <c r="H722" s="1" t="str">
        <f>IF(AND(Programme_Grunddaten!$A727="Geprüft",Programme_Grunddaten!O727&lt;&gt;""),IF(Programme_Grunddaten!O727="Deutschland",0,IF(Programme_Grunddaten!O727="EU",1,2)),"")</f>
        <v/>
      </c>
      <c r="I722" s="1" t="str">
        <f>IF(AND(Programme_Grunddaten!$A727="Geprüft",Programme_Grunddaten!P727&lt;&gt;""),IF(Programme_Grunddaten!P727="Ja",1,0),"")</f>
        <v/>
      </c>
      <c r="J722" s="1" t="str">
        <f>IF(AND(Programme_Grunddaten!$A727="Geprüft",Programme_Grunddaten!Q727&lt;&gt;""),IF(Programme_Grunddaten!Q727="geschlossenes System",1,0),"")</f>
        <v/>
      </c>
      <c r="K722" s="1" t="str">
        <f>IF(AND(Programme_Grunddaten!$A727="Geprüft",Programme_Grunddaten!R727&lt;&gt;""),IF(Programme_Grunddaten!R727="Ja",1,0),"")</f>
        <v/>
      </c>
      <c r="L722" s="1" t="str">
        <f>IF(AND(Programme_Grunddaten!$A727="Geprüft",Programme_Grunddaten!T727&lt;&gt;""),IF(Programme_Grunddaten!T727="Ja",1,0),"")</f>
        <v/>
      </c>
      <c r="M722" s="1" t="str">
        <f>IF(AND(Programme_Grunddaten!$A727="Geprüft",Programme_Grunddaten!U727&lt;&gt;""),IF(Programme_Grunddaten!U727="Ja",1,0),"")</f>
        <v/>
      </c>
      <c r="N722" s="1" t="str">
        <f>IF(AND(Programme_Grunddaten!$A727="Geprüft",Programme_Grunddaten!V727&lt;&gt;""),IF(Programme_Grunddaten!V727="Ja",1,0),"")</f>
        <v/>
      </c>
      <c r="O722" s="1" t="str">
        <f>IF(AND(Programme_Grunddaten!$A727="Geprüft",Programme_Grunddaten!W727&lt;&gt;""),IF(Programme_Grunddaten!W727="Ja",1,0),"")</f>
        <v/>
      </c>
      <c r="P722" s="1" t="str">
        <f>IF(AND(Programme_Grunddaten!$A727="Geprüft",Programme_Grunddaten!X727&lt;&gt;""),IF(Programme_Grunddaten!X727="Ja",1,0),"")</f>
        <v/>
      </c>
      <c r="Q722" s="1" t="str">
        <f>IF(AND(Programme_Grunddaten!$A727="Geprüft",Programme_Grunddaten!Y727&lt;&gt;""),IF(Programme_Grunddaten!Y727="Ja",1,0),"")</f>
        <v/>
      </c>
      <c r="R722" s="1" t="str">
        <f>IF(AND(Programme_Grunddaten!$A727="Geprüft",Programme_Grunddaten!Z727&lt;&gt;""),IF(Programme_Grunddaten!Z727="Ja",1,0),"")</f>
        <v/>
      </c>
      <c r="S722" s="1" t="str">
        <f>IF(AND(Programme_Grunddaten!$A727="Geprüft",Programme_Grunddaten!AA727&lt;&gt;""),IF(Programme_Grunddaten!AA727="monolithisch",1,0),"")</f>
        <v/>
      </c>
      <c r="T722" s="1" t="str">
        <f>IF(AND(Programme_Grunddaten!$A727="Geprüft",Programme_Grunddaten!AB727&lt;&gt;""),IF(Programme_Grunddaten!AB727="Ja",1,0),"")</f>
        <v/>
      </c>
      <c r="U722" s="1" t="str">
        <f>IF(AND(Programme_Grunddaten!$A727="Geprüft",Programme_Grunddaten!AC727&lt;&gt;""),IF(Programme_Grunddaten!AC727="Ja",1,0),"")</f>
        <v/>
      </c>
      <c r="V722" s="1" t="str">
        <f>IF(AND(Programme_Grunddaten!$A727="Geprüft",Programme_Grunddaten!AD727&lt;&gt;""),IF(Programme_Grunddaten!AD727="Ja",1,0),"")</f>
        <v/>
      </c>
      <c r="W722" s="1" t="str">
        <f>IF(AND(Programme_Grunddaten!$A727="Geprüft",Programme_Grunddaten!AE727&lt;&gt;""),IF(Programme_Grunddaten!AE727="Ja",1,0),"")</f>
        <v/>
      </c>
      <c r="X722" s="1" t="str">
        <f>IF(AND(Programme_Grunddaten!$A727="Geprüft",Programme_Grunddaten!AF727&lt;&gt;""),IF(Programme_Grunddaten!AF727="Ja",1,0),"")</f>
        <v/>
      </c>
      <c r="Y722" s="1" t="str">
        <f>IF(AND(Programme_Grunddaten!$A727="Geprüft",Programme_Grunddaten!AG727&lt;&gt;""),IF(Programme_Grunddaten!AG727="Ja",1,0),"")</f>
        <v/>
      </c>
      <c r="Z722" s="1" t="str">
        <f>IF(AND(Programme_Grunddaten!$A727="Geprüft",Programme_Grunddaten!AH727&lt;&gt;""),IF(Programme_Grunddaten!AH727="Ja",1,0),"")</f>
        <v/>
      </c>
      <c r="AA722" s="1" t="str">
        <f>IF(AND(Programme_Grunddaten!$A727="Geprüft",Programme_Grunddaten!AI727&lt;&gt;""),IF(Programme_Grunddaten!AI727="Ja",1,0),"")</f>
        <v/>
      </c>
      <c r="AB722" s="1" t="str">
        <f>IF(AND(Programme_Grunddaten!$A727="Geprüft",Programme_Grunddaten!AJ727&lt;&gt;""),IF(Programme_Grunddaten!AJ727="individuell programmierbar",1,0),"")</f>
        <v/>
      </c>
      <c r="AC722" s="1" t="str">
        <f>IF(AND(Programme_Grunddaten!$A727="Geprüft",Programme_Grunddaten!AK727&lt;&gt;""),IF(Programme_Grunddaten!AK727="Deutsch",0,IF(Programme_Grunddaten!AK727="Deutsch und Englisch",1,2)),"")</f>
        <v/>
      </c>
      <c r="AD722" s="1" t="str">
        <f>IF(AND(Programme_Grunddaten!$A727="Geprüft",Programme_Grunddaten!AL727&lt;&gt;""),IF(Programme_Grunddaten!AL727="Ja",1,0),"")</f>
        <v/>
      </c>
      <c r="AE722" s="1" t="str">
        <f>IF(AND(Programme_Grunddaten!$A727="Geprüft",Programme_Grunddaten!AM727&lt;&gt;""),IF(Programme_Grunddaten!AM727="Ja",1,0),"")</f>
        <v/>
      </c>
      <c r="AF722" s="1" t="str">
        <f>IF(AND(Programme_Grunddaten!$A727="Geprüft",Programme_Grunddaten!AN727&lt;&gt;""),IF(Programme_Grunddaten!AN727="Ja",1,0),"")</f>
        <v/>
      </c>
      <c r="AG722" s="1" t="str">
        <f>IF(AND(Programme_Grunddaten!$A727="Geprüft",Programme_Grunddaten!AO727&lt;&gt;""),IF(Programme_Grunddaten!AO727="Ja",1,0),"")</f>
        <v/>
      </c>
      <c r="AH722" s="1" t="str">
        <f>IF(AND(Programme_Grunddaten!$A727="Geprüft",Programme_Grunddaten!AP727&lt;&gt;""),IF(Programme_Grunddaten!AP727="Ja",1,0),"")</f>
        <v/>
      </c>
      <c r="AI722" s="1" t="str">
        <f>IF(AND(Programme_Grunddaten!$A727="Geprüft",Programme_Grunddaten!AQ727&lt;&gt;""),IF(Programme_Grunddaten!AQ727="Ja",1,0),"")</f>
        <v/>
      </c>
      <c r="AJ722" s="1" t="str">
        <f>IF(AND(Programme_Grunddaten!$A727="Geprüft",Programme_Grunddaten!AR727&lt;&gt;""),IF(Programme_Grunddaten!AR727="Ja",1,0),"")</f>
        <v/>
      </c>
      <c r="AK722" s="1" t="str">
        <f>IF(AND(Programme_Grunddaten!$A727="Geprüft",Programme_Grunddaten!AS727&lt;&gt;""),IF(Programme_Grunddaten!AS727="Ja",1,0),"")</f>
        <v/>
      </c>
      <c r="AL722" s="1" t="str">
        <f>IF(AND(Programme_Grunddaten!$A727="Geprüft",Programme_Grunddaten!AT727&lt;&gt;""),IF(Programme_Grunddaten!AT727="Ja",1,0),"")</f>
        <v/>
      </c>
      <c r="AM722" s="1" t="str">
        <f>IF(AND(Programme_Grunddaten!$A727="Geprüft",Programme_Grunddaten!AU727&lt;&gt;""),IF(Programme_Grunddaten!AU727="Ja",1,0),"")</f>
        <v/>
      </c>
      <c r="AN722" s="1" t="str">
        <f>IF(AND(Programme_Grunddaten!$A727="Geprüft",Programme_Grunddaten!AV727&lt;&gt;""),IF(Programme_Grunddaten!AV727="Ja",1,0),"")</f>
        <v/>
      </c>
    </row>
    <row r="723" spans="1:40" x14ac:dyDescent="0.3">
      <c r="A723" s="1" t="str">
        <f>IF(AND(Programme_Grunddaten!A728="Geprüft",Programme_Grunddaten!B728&lt;&gt;""),Programme_Grunddaten!B728,"")</f>
        <v/>
      </c>
      <c r="B723" s="1" t="str">
        <f>IF(AND(Programme_Grunddaten!$A728="Geprüft",Programme_Grunddaten!I728&lt;&gt;""),IF(Programme_Grunddaten!I728="Ja",1,0),"")</f>
        <v/>
      </c>
      <c r="C723" s="1" t="str">
        <f>IF(AND(Programme_Grunddaten!$A728="Geprüft",Programme_Grunddaten!J728&lt;&gt;""),IF(Programme_Grunddaten!J728="Ja",1,0),"")</f>
        <v/>
      </c>
      <c r="D723" s="1" t="str">
        <f>IF(AND(Programme_Grunddaten!$A728="Geprüft",Programme_Grunddaten!K728&lt;&gt;""),IF(Programme_Grunddaten!K728="Ja",1,0),"")</f>
        <v/>
      </c>
      <c r="E723" s="1" t="str">
        <f>IF(AND(Programme_Grunddaten!$A728="Geprüft",Programme_Grunddaten!L728&lt;&gt;""),IF(Programme_Grunddaten!L728="Abo / befristete Lizenz",1,0),"")</f>
        <v/>
      </c>
      <c r="F723" s="1" t="str">
        <f>IF(AND(Programme_Grunddaten!$A728="Geprüft",Programme_Grunddaten!M728&lt;&gt;""),IF(Programme_Grunddaten!M728="Ja",1,0),"")</f>
        <v/>
      </c>
      <c r="G723" s="1" t="str">
        <f>IF(AND(Programme_Grunddaten!$A728="Geprüft",Programme_Grunddaten!N728&lt;&gt;""),IF(Programme_Grunddaten!N728="Ja",1,0),"")</f>
        <v/>
      </c>
      <c r="H723" s="1" t="str">
        <f>IF(AND(Programme_Grunddaten!$A728="Geprüft",Programme_Grunddaten!O728&lt;&gt;""),IF(Programme_Grunddaten!O728="Deutschland",0,IF(Programme_Grunddaten!O728="EU",1,2)),"")</f>
        <v/>
      </c>
      <c r="I723" s="1" t="str">
        <f>IF(AND(Programme_Grunddaten!$A728="Geprüft",Programme_Grunddaten!P728&lt;&gt;""),IF(Programme_Grunddaten!P728="Ja",1,0),"")</f>
        <v/>
      </c>
      <c r="J723" s="1" t="str">
        <f>IF(AND(Programme_Grunddaten!$A728="Geprüft",Programme_Grunddaten!Q728&lt;&gt;""),IF(Programme_Grunddaten!Q728="geschlossenes System",1,0),"")</f>
        <v/>
      </c>
      <c r="K723" s="1" t="str">
        <f>IF(AND(Programme_Grunddaten!$A728="Geprüft",Programme_Grunddaten!R728&lt;&gt;""),IF(Programme_Grunddaten!R728="Ja",1,0),"")</f>
        <v/>
      </c>
      <c r="L723" s="1" t="str">
        <f>IF(AND(Programme_Grunddaten!$A728="Geprüft",Programme_Grunddaten!T728&lt;&gt;""),IF(Programme_Grunddaten!T728="Ja",1,0),"")</f>
        <v/>
      </c>
      <c r="M723" s="1" t="str">
        <f>IF(AND(Programme_Grunddaten!$A728="Geprüft",Programme_Grunddaten!U728&lt;&gt;""),IF(Programme_Grunddaten!U728="Ja",1,0),"")</f>
        <v/>
      </c>
      <c r="N723" s="1" t="str">
        <f>IF(AND(Programme_Grunddaten!$A728="Geprüft",Programme_Grunddaten!V728&lt;&gt;""),IF(Programme_Grunddaten!V728="Ja",1,0),"")</f>
        <v/>
      </c>
      <c r="O723" s="1" t="str">
        <f>IF(AND(Programme_Grunddaten!$A728="Geprüft",Programme_Grunddaten!W728&lt;&gt;""),IF(Programme_Grunddaten!W728="Ja",1,0),"")</f>
        <v/>
      </c>
      <c r="P723" s="1" t="str">
        <f>IF(AND(Programme_Grunddaten!$A728="Geprüft",Programme_Grunddaten!X728&lt;&gt;""),IF(Programme_Grunddaten!X728="Ja",1,0),"")</f>
        <v/>
      </c>
      <c r="Q723" s="1" t="str">
        <f>IF(AND(Programme_Grunddaten!$A728="Geprüft",Programme_Grunddaten!Y728&lt;&gt;""),IF(Programme_Grunddaten!Y728="Ja",1,0),"")</f>
        <v/>
      </c>
      <c r="R723" s="1" t="str">
        <f>IF(AND(Programme_Grunddaten!$A728="Geprüft",Programme_Grunddaten!Z728&lt;&gt;""),IF(Programme_Grunddaten!Z728="Ja",1,0),"")</f>
        <v/>
      </c>
      <c r="S723" s="1" t="str">
        <f>IF(AND(Programme_Grunddaten!$A728="Geprüft",Programme_Grunddaten!AA728&lt;&gt;""),IF(Programme_Grunddaten!AA728="monolithisch",1,0),"")</f>
        <v/>
      </c>
      <c r="T723" s="1" t="str">
        <f>IF(AND(Programme_Grunddaten!$A728="Geprüft",Programme_Grunddaten!AB728&lt;&gt;""),IF(Programme_Grunddaten!AB728="Ja",1,0),"")</f>
        <v/>
      </c>
      <c r="U723" s="1" t="str">
        <f>IF(AND(Programme_Grunddaten!$A728="Geprüft",Programme_Grunddaten!AC728&lt;&gt;""),IF(Programme_Grunddaten!AC728="Ja",1,0),"")</f>
        <v/>
      </c>
      <c r="V723" s="1" t="str">
        <f>IF(AND(Programme_Grunddaten!$A728="Geprüft",Programme_Grunddaten!AD728&lt;&gt;""),IF(Programme_Grunddaten!AD728="Ja",1,0),"")</f>
        <v/>
      </c>
      <c r="W723" s="1" t="str">
        <f>IF(AND(Programme_Grunddaten!$A728="Geprüft",Programme_Grunddaten!AE728&lt;&gt;""),IF(Programme_Grunddaten!AE728="Ja",1,0),"")</f>
        <v/>
      </c>
      <c r="X723" s="1" t="str">
        <f>IF(AND(Programme_Grunddaten!$A728="Geprüft",Programme_Grunddaten!AF728&lt;&gt;""),IF(Programme_Grunddaten!AF728="Ja",1,0),"")</f>
        <v/>
      </c>
      <c r="Y723" s="1" t="str">
        <f>IF(AND(Programme_Grunddaten!$A728="Geprüft",Programme_Grunddaten!AG728&lt;&gt;""),IF(Programme_Grunddaten!AG728="Ja",1,0),"")</f>
        <v/>
      </c>
      <c r="Z723" s="1" t="str">
        <f>IF(AND(Programme_Grunddaten!$A728="Geprüft",Programme_Grunddaten!AH728&lt;&gt;""),IF(Programme_Grunddaten!AH728="Ja",1,0),"")</f>
        <v/>
      </c>
      <c r="AA723" s="1" t="str">
        <f>IF(AND(Programme_Grunddaten!$A728="Geprüft",Programme_Grunddaten!AI728&lt;&gt;""),IF(Programme_Grunddaten!AI728="Ja",1,0),"")</f>
        <v/>
      </c>
      <c r="AB723" s="1" t="str">
        <f>IF(AND(Programme_Grunddaten!$A728="Geprüft",Programme_Grunddaten!AJ728&lt;&gt;""),IF(Programme_Grunddaten!AJ728="individuell programmierbar",1,0),"")</f>
        <v/>
      </c>
      <c r="AC723" s="1" t="str">
        <f>IF(AND(Programme_Grunddaten!$A728="Geprüft",Programme_Grunddaten!AK728&lt;&gt;""),IF(Programme_Grunddaten!AK728="Deutsch",0,IF(Programme_Grunddaten!AK728="Deutsch und Englisch",1,2)),"")</f>
        <v/>
      </c>
      <c r="AD723" s="1" t="str">
        <f>IF(AND(Programme_Grunddaten!$A728="Geprüft",Programme_Grunddaten!AL728&lt;&gt;""),IF(Programme_Grunddaten!AL728="Ja",1,0),"")</f>
        <v/>
      </c>
      <c r="AE723" s="1" t="str">
        <f>IF(AND(Programme_Grunddaten!$A728="Geprüft",Programme_Grunddaten!AM728&lt;&gt;""),IF(Programme_Grunddaten!AM728="Ja",1,0),"")</f>
        <v/>
      </c>
      <c r="AF723" s="1" t="str">
        <f>IF(AND(Programme_Grunddaten!$A728="Geprüft",Programme_Grunddaten!AN728&lt;&gt;""),IF(Programme_Grunddaten!AN728="Ja",1,0),"")</f>
        <v/>
      </c>
      <c r="AG723" s="1" t="str">
        <f>IF(AND(Programme_Grunddaten!$A728="Geprüft",Programme_Grunddaten!AO728&lt;&gt;""),IF(Programme_Grunddaten!AO728="Ja",1,0),"")</f>
        <v/>
      </c>
      <c r="AH723" s="1" t="str">
        <f>IF(AND(Programme_Grunddaten!$A728="Geprüft",Programme_Grunddaten!AP728&lt;&gt;""),IF(Programme_Grunddaten!AP728="Ja",1,0),"")</f>
        <v/>
      </c>
      <c r="AI723" s="1" t="str">
        <f>IF(AND(Programme_Grunddaten!$A728="Geprüft",Programme_Grunddaten!AQ728&lt;&gt;""),IF(Programme_Grunddaten!AQ728="Ja",1,0),"")</f>
        <v/>
      </c>
      <c r="AJ723" s="1" t="str">
        <f>IF(AND(Programme_Grunddaten!$A728="Geprüft",Programme_Grunddaten!AR728&lt;&gt;""),IF(Programme_Grunddaten!AR728="Ja",1,0),"")</f>
        <v/>
      </c>
      <c r="AK723" s="1" t="str">
        <f>IF(AND(Programme_Grunddaten!$A728="Geprüft",Programme_Grunddaten!AS728&lt;&gt;""),IF(Programme_Grunddaten!AS728="Ja",1,0),"")</f>
        <v/>
      </c>
      <c r="AL723" s="1" t="str">
        <f>IF(AND(Programme_Grunddaten!$A728="Geprüft",Programme_Grunddaten!AT728&lt;&gt;""),IF(Programme_Grunddaten!AT728="Ja",1,0),"")</f>
        <v/>
      </c>
      <c r="AM723" s="1" t="str">
        <f>IF(AND(Programme_Grunddaten!$A728="Geprüft",Programme_Grunddaten!AU728&lt;&gt;""),IF(Programme_Grunddaten!AU728="Ja",1,0),"")</f>
        <v/>
      </c>
      <c r="AN723" s="1" t="str">
        <f>IF(AND(Programme_Grunddaten!$A728="Geprüft",Programme_Grunddaten!AV728&lt;&gt;""),IF(Programme_Grunddaten!AV728="Ja",1,0),"")</f>
        <v/>
      </c>
    </row>
    <row r="724" spans="1:40" x14ac:dyDescent="0.3">
      <c r="A724" s="1" t="str">
        <f>IF(AND(Programme_Grunddaten!A729="Geprüft",Programme_Grunddaten!B729&lt;&gt;""),Programme_Grunddaten!B729,"")</f>
        <v/>
      </c>
      <c r="B724" s="1" t="str">
        <f>IF(AND(Programme_Grunddaten!$A729="Geprüft",Programme_Grunddaten!I729&lt;&gt;""),IF(Programme_Grunddaten!I729="Ja",1,0),"")</f>
        <v/>
      </c>
      <c r="C724" s="1" t="str">
        <f>IF(AND(Programme_Grunddaten!$A729="Geprüft",Programme_Grunddaten!J729&lt;&gt;""),IF(Programme_Grunddaten!J729="Ja",1,0),"")</f>
        <v/>
      </c>
      <c r="D724" s="1" t="str">
        <f>IF(AND(Programme_Grunddaten!$A729="Geprüft",Programme_Grunddaten!K729&lt;&gt;""),IF(Programme_Grunddaten!K729="Ja",1,0),"")</f>
        <v/>
      </c>
      <c r="E724" s="1" t="str">
        <f>IF(AND(Programme_Grunddaten!$A729="Geprüft",Programme_Grunddaten!L729&lt;&gt;""),IF(Programme_Grunddaten!L729="Abo / befristete Lizenz",1,0),"")</f>
        <v/>
      </c>
      <c r="F724" s="1" t="str">
        <f>IF(AND(Programme_Grunddaten!$A729="Geprüft",Programme_Grunddaten!M729&lt;&gt;""),IF(Programme_Grunddaten!M729="Ja",1,0),"")</f>
        <v/>
      </c>
      <c r="G724" s="1" t="str">
        <f>IF(AND(Programme_Grunddaten!$A729="Geprüft",Programme_Grunddaten!N729&lt;&gt;""),IF(Programme_Grunddaten!N729="Ja",1,0),"")</f>
        <v/>
      </c>
      <c r="H724" s="1" t="str">
        <f>IF(AND(Programme_Grunddaten!$A729="Geprüft",Programme_Grunddaten!O729&lt;&gt;""),IF(Programme_Grunddaten!O729="Deutschland",0,IF(Programme_Grunddaten!O729="EU",1,2)),"")</f>
        <v/>
      </c>
      <c r="I724" s="1" t="str">
        <f>IF(AND(Programme_Grunddaten!$A729="Geprüft",Programme_Grunddaten!P729&lt;&gt;""),IF(Programme_Grunddaten!P729="Ja",1,0),"")</f>
        <v/>
      </c>
      <c r="J724" s="1" t="str">
        <f>IF(AND(Programme_Grunddaten!$A729="Geprüft",Programme_Grunddaten!Q729&lt;&gt;""),IF(Programme_Grunddaten!Q729="geschlossenes System",1,0),"")</f>
        <v/>
      </c>
      <c r="K724" s="1" t="str">
        <f>IF(AND(Programme_Grunddaten!$A729="Geprüft",Programme_Grunddaten!R729&lt;&gt;""),IF(Programme_Grunddaten!R729="Ja",1,0),"")</f>
        <v/>
      </c>
      <c r="L724" s="1" t="str">
        <f>IF(AND(Programme_Grunddaten!$A729="Geprüft",Programme_Grunddaten!T729&lt;&gt;""),IF(Programme_Grunddaten!T729="Ja",1,0),"")</f>
        <v/>
      </c>
      <c r="M724" s="1" t="str">
        <f>IF(AND(Programme_Grunddaten!$A729="Geprüft",Programme_Grunddaten!U729&lt;&gt;""),IF(Programme_Grunddaten!U729="Ja",1,0),"")</f>
        <v/>
      </c>
      <c r="N724" s="1" t="str">
        <f>IF(AND(Programme_Grunddaten!$A729="Geprüft",Programme_Grunddaten!V729&lt;&gt;""),IF(Programme_Grunddaten!V729="Ja",1,0),"")</f>
        <v/>
      </c>
      <c r="O724" s="1" t="str">
        <f>IF(AND(Programme_Grunddaten!$A729="Geprüft",Programme_Grunddaten!W729&lt;&gt;""),IF(Programme_Grunddaten!W729="Ja",1,0),"")</f>
        <v/>
      </c>
      <c r="P724" s="1" t="str">
        <f>IF(AND(Programme_Grunddaten!$A729="Geprüft",Programme_Grunddaten!X729&lt;&gt;""),IF(Programme_Grunddaten!X729="Ja",1,0),"")</f>
        <v/>
      </c>
      <c r="Q724" s="1" t="str">
        <f>IF(AND(Programme_Grunddaten!$A729="Geprüft",Programme_Grunddaten!Y729&lt;&gt;""),IF(Programme_Grunddaten!Y729="Ja",1,0),"")</f>
        <v/>
      </c>
      <c r="R724" s="1" t="str">
        <f>IF(AND(Programme_Grunddaten!$A729="Geprüft",Programme_Grunddaten!Z729&lt;&gt;""),IF(Programme_Grunddaten!Z729="Ja",1,0),"")</f>
        <v/>
      </c>
      <c r="S724" s="1" t="str">
        <f>IF(AND(Programme_Grunddaten!$A729="Geprüft",Programme_Grunddaten!AA729&lt;&gt;""),IF(Programme_Grunddaten!AA729="monolithisch",1,0),"")</f>
        <v/>
      </c>
      <c r="T724" s="1" t="str">
        <f>IF(AND(Programme_Grunddaten!$A729="Geprüft",Programme_Grunddaten!AB729&lt;&gt;""),IF(Programme_Grunddaten!AB729="Ja",1,0),"")</f>
        <v/>
      </c>
      <c r="U724" s="1" t="str">
        <f>IF(AND(Programme_Grunddaten!$A729="Geprüft",Programme_Grunddaten!AC729&lt;&gt;""),IF(Programme_Grunddaten!AC729="Ja",1,0),"")</f>
        <v/>
      </c>
      <c r="V724" s="1" t="str">
        <f>IF(AND(Programme_Grunddaten!$A729="Geprüft",Programme_Grunddaten!AD729&lt;&gt;""),IF(Programme_Grunddaten!AD729="Ja",1,0),"")</f>
        <v/>
      </c>
      <c r="W724" s="1" t="str">
        <f>IF(AND(Programme_Grunddaten!$A729="Geprüft",Programme_Grunddaten!AE729&lt;&gt;""),IF(Programme_Grunddaten!AE729="Ja",1,0),"")</f>
        <v/>
      </c>
      <c r="X724" s="1" t="str">
        <f>IF(AND(Programme_Grunddaten!$A729="Geprüft",Programme_Grunddaten!AF729&lt;&gt;""),IF(Programme_Grunddaten!AF729="Ja",1,0),"")</f>
        <v/>
      </c>
      <c r="Y724" s="1" t="str">
        <f>IF(AND(Programme_Grunddaten!$A729="Geprüft",Programme_Grunddaten!AG729&lt;&gt;""),IF(Programme_Grunddaten!AG729="Ja",1,0),"")</f>
        <v/>
      </c>
      <c r="Z724" s="1" t="str">
        <f>IF(AND(Programme_Grunddaten!$A729="Geprüft",Programme_Grunddaten!AH729&lt;&gt;""),IF(Programme_Grunddaten!AH729="Ja",1,0),"")</f>
        <v/>
      </c>
      <c r="AA724" s="1" t="str">
        <f>IF(AND(Programme_Grunddaten!$A729="Geprüft",Programme_Grunddaten!AI729&lt;&gt;""),IF(Programme_Grunddaten!AI729="Ja",1,0),"")</f>
        <v/>
      </c>
      <c r="AB724" s="1" t="str">
        <f>IF(AND(Programme_Grunddaten!$A729="Geprüft",Programme_Grunddaten!AJ729&lt;&gt;""),IF(Programme_Grunddaten!AJ729="individuell programmierbar",1,0),"")</f>
        <v/>
      </c>
      <c r="AC724" s="1" t="str">
        <f>IF(AND(Programme_Grunddaten!$A729="Geprüft",Programme_Grunddaten!AK729&lt;&gt;""),IF(Programme_Grunddaten!AK729="Deutsch",0,IF(Programme_Grunddaten!AK729="Deutsch und Englisch",1,2)),"")</f>
        <v/>
      </c>
      <c r="AD724" s="1" t="str">
        <f>IF(AND(Programme_Grunddaten!$A729="Geprüft",Programme_Grunddaten!AL729&lt;&gt;""),IF(Programme_Grunddaten!AL729="Ja",1,0),"")</f>
        <v/>
      </c>
      <c r="AE724" s="1" t="str">
        <f>IF(AND(Programme_Grunddaten!$A729="Geprüft",Programme_Grunddaten!AM729&lt;&gt;""),IF(Programme_Grunddaten!AM729="Ja",1,0),"")</f>
        <v/>
      </c>
      <c r="AF724" s="1" t="str">
        <f>IF(AND(Programme_Grunddaten!$A729="Geprüft",Programme_Grunddaten!AN729&lt;&gt;""),IF(Programme_Grunddaten!AN729="Ja",1,0),"")</f>
        <v/>
      </c>
      <c r="AG724" s="1" t="str">
        <f>IF(AND(Programme_Grunddaten!$A729="Geprüft",Programme_Grunddaten!AO729&lt;&gt;""),IF(Programme_Grunddaten!AO729="Ja",1,0),"")</f>
        <v/>
      </c>
      <c r="AH724" s="1" t="str">
        <f>IF(AND(Programme_Grunddaten!$A729="Geprüft",Programme_Grunddaten!AP729&lt;&gt;""),IF(Programme_Grunddaten!AP729="Ja",1,0),"")</f>
        <v/>
      </c>
      <c r="AI724" s="1" t="str">
        <f>IF(AND(Programme_Grunddaten!$A729="Geprüft",Programme_Grunddaten!AQ729&lt;&gt;""),IF(Programme_Grunddaten!AQ729="Ja",1,0),"")</f>
        <v/>
      </c>
      <c r="AJ724" s="1" t="str">
        <f>IF(AND(Programme_Grunddaten!$A729="Geprüft",Programme_Grunddaten!AR729&lt;&gt;""),IF(Programme_Grunddaten!AR729="Ja",1,0),"")</f>
        <v/>
      </c>
      <c r="AK724" s="1" t="str">
        <f>IF(AND(Programme_Grunddaten!$A729="Geprüft",Programme_Grunddaten!AS729&lt;&gt;""),IF(Programme_Grunddaten!AS729="Ja",1,0),"")</f>
        <v/>
      </c>
      <c r="AL724" s="1" t="str">
        <f>IF(AND(Programme_Grunddaten!$A729="Geprüft",Programme_Grunddaten!AT729&lt;&gt;""),IF(Programme_Grunddaten!AT729="Ja",1,0),"")</f>
        <v/>
      </c>
      <c r="AM724" s="1" t="str">
        <f>IF(AND(Programme_Grunddaten!$A729="Geprüft",Programme_Grunddaten!AU729&lt;&gt;""),IF(Programme_Grunddaten!AU729="Ja",1,0),"")</f>
        <v/>
      </c>
      <c r="AN724" s="1" t="str">
        <f>IF(AND(Programme_Grunddaten!$A729="Geprüft",Programme_Grunddaten!AV729&lt;&gt;""),IF(Programme_Grunddaten!AV729="Ja",1,0),"")</f>
        <v/>
      </c>
    </row>
    <row r="725" spans="1:40" x14ac:dyDescent="0.3">
      <c r="A725" s="1" t="str">
        <f>IF(AND(Programme_Grunddaten!A730="Geprüft",Programme_Grunddaten!B730&lt;&gt;""),Programme_Grunddaten!B730,"")</f>
        <v/>
      </c>
      <c r="B725" s="1" t="str">
        <f>IF(AND(Programme_Grunddaten!$A730="Geprüft",Programme_Grunddaten!I730&lt;&gt;""),IF(Programme_Grunddaten!I730="Ja",1,0),"")</f>
        <v/>
      </c>
      <c r="C725" s="1" t="str">
        <f>IF(AND(Programme_Grunddaten!$A730="Geprüft",Programme_Grunddaten!J730&lt;&gt;""),IF(Programme_Grunddaten!J730="Ja",1,0),"")</f>
        <v/>
      </c>
      <c r="D725" s="1" t="str">
        <f>IF(AND(Programme_Grunddaten!$A730="Geprüft",Programme_Grunddaten!K730&lt;&gt;""),IF(Programme_Grunddaten!K730="Ja",1,0),"")</f>
        <v/>
      </c>
      <c r="E725" s="1" t="str">
        <f>IF(AND(Programme_Grunddaten!$A730="Geprüft",Programme_Grunddaten!L730&lt;&gt;""),IF(Programme_Grunddaten!L730="Abo / befristete Lizenz",1,0),"")</f>
        <v/>
      </c>
      <c r="F725" s="1" t="str">
        <f>IF(AND(Programme_Grunddaten!$A730="Geprüft",Programme_Grunddaten!M730&lt;&gt;""),IF(Programme_Grunddaten!M730="Ja",1,0),"")</f>
        <v/>
      </c>
      <c r="G725" s="1" t="str">
        <f>IF(AND(Programme_Grunddaten!$A730="Geprüft",Programme_Grunddaten!N730&lt;&gt;""),IF(Programme_Grunddaten!N730="Ja",1,0),"")</f>
        <v/>
      </c>
      <c r="H725" s="1" t="str">
        <f>IF(AND(Programme_Grunddaten!$A730="Geprüft",Programme_Grunddaten!O730&lt;&gt;""),IF(Programme_Grunddaten!O730="Deutschland",0,IF(Programme_Grunddaten!O730="EU",1,2)),"")</f>
        <v/>
      </c>
      <c r="I725" s="1" t="str">
        <f>IF(AND(Programme_Grunddaten!$A730="Geprüft",Programme_Grunddaten!P730&lt;&gt;""),IF(Programme_Grunddaten!P730="Ja",1,0),"")</f>
        <v/>
      </c>
      <c r="J725" s="1" t="str">
        <f>IF(AND(Programme_Grunddaten!$A730="Geprüft",Programme_Grunddaten!Q730&lt;&gt;""),IF(Programme_Grunddaten!Q730="geschlossenes System",1,0),"")</f>
        <v/>
      </c>
      <c r="K725" s="1" t="str">
        <f>IF(AND(Programme_Grunddaten!$A730="Geprüft",Programme_Grunddaten!R730&lt;&gt;""),IF(Programme_Grunddaten!R730="Ja",1,0),"")</f>
        <v/>
      </c>
      <c r="L725" s="1" t="str">
        <f>IF(AND(Programme_Grunddaten!$A730="Geprüft",Programme_Grunddaten!T730&lt;&gt;""),IF(Programme_Grunddaten!T730="Ja",1,0),"")</f>
        <v/>
      </c>
      <c r="M725" s="1" t="str">
        <f>IF(AND(Programme_Grunddaten!$A730="Geprüft",Programme_Grunddaten!U730&lt;&gt;""),IF(Programme_Grunddaten!U730="Ja",1,0),"")</f>
        <v/>
      </c>
      <c r="N725" s="1" t="str">
        <f>IF(AND(Programme_Grunddaten!$A730="Geprüft",Programme_Grunddaten!V730&lt;&gt;""),IF(Programme_Grunddaten!V730="Ja",1,0),"")</f>
        <v/>
      </c>
      <c r="O725" s="1" t="str">
        <f>IF(AND(Programme_Grunddaten!$A730="Geprüft",Programme_Grunddaten!W730&lt;&gt;""),IF(Programme_Grunddaten!W730="Ja",1,0),"")</f>
        <v/>
      </c>
      <c r="P725" s="1" t="str">
        <f>IF(AND(Programme_Grunddaten!$A730="Geprüft",Programme_Grunddaten!X730&lt;&gt;""),IF(Programme_Grunddaten!X730="Ja",1,0),"")</f>
        <v/>
      </c>
      <c r="Q725" s="1" t="str">
        <f>IF(AND(Programme_Grunddaten!$A730="Geprüft",Programme_Grunddaten!Y730&lt;&gt;""),IF(Programme_Grunddaten!Y730="Ja",1,0),"")</f>
        <v/>
      </c>
      <c r="R725" s="1" t="str">
        <f>IF(AND(Programme_Grunddaten!$A730="Geprüft",Programme_Grunddaten!Z730&lt;&gt;""),IF(Programme_Grunddaten!Z730="Ja",1,0),"")</f>
        <v/>
      </c>
      <c r="S725" s="1" t="str">
        <f>IF(AND(Programme_Grunddaten!$A730="Geprüft",Programme_Grunddaten!AA730&lt;&gt;""),IF(Programme_Grunddaten!AA730="monolithisch",1,0),"")</f>
        <v/>
      </c>
      <c r="T725" s="1" t="str">
        <f>IF(AND(Programme_Grunddaten!$A730="Geprüft",Programme_Grunddaten!AB730&lt;&gt;""),IF(Programme_Grunddaten!AB730="Ja",1,0),"")</f>
        <v/>
      </c>
      <c r="U725" s="1" t="str">
        <f>IF(AND(Programme_Grunddaten!$A730="Geprüft",Programme_Grunddaten!AC730&lt;&gt;""),IF(Programme_Grunddaten!AC730="Ja",1,0),"")</f>
        <v/>
      </c>
      <c r="V725" s="1" t="str">
        <f>IF(AND(Programme_Grunddaten!$A730="Geprüft",Programme_Grunddaten!AD730&lt;&gt;""),IF(Programme_Grunddaten!AD730="Ja",1,0),"")</f>
        <v/>
      </c>
      <c r="W725" s="1" t="str">
        <f>IF(AND(Programme_Grunddaten!$A730="Geprüft",Programme_Grunddaten!AE730&lt;&gt;""),IF(Programme_Grunddaten!AE730="Ja",1,0),"")</f>
        <v/>
      </c>
      <c r="X725" s="1" t="str">
        <f>IF(AND(Programme_Grunddaten!$A730="Geprüft",Programme_Grunddaten!AF730&lt;&gt;""),IF(Programme_Grunddaten!AF730="Ja",1,0),"")</f>
        <v/>
      </c>
      <c r="Y725" s="1" t="str">
        <f>IF(AND(Programme_Grunddaten!$A730="Geprüft",Programme_Grunddaten!AG730&lt;&gt;""),IF(Programme_Grunddaten!AG730="Ja",1,0),"")</f>
        <v/>
      </c>
      <c r="Z725" s="1" t="str">
        <f>IF(AND(Programme_Grunddaten!$A730="Geprüft",Programme_Grunddaten!AH730&lt;&gt;""),IF(Programme_Grunddaten!AH730="Ja",1,0),"")</f>
        <v/>
      </c>
      <c r="AA725" s="1" t="str">
        <f>IF(AND(Programme_Grunddaten!$A730="Geprüft",Programme_Grunddaten!AI730&lt;&gt;""),IF(Programme_Grunddaten!AI730="Ja",1,0),"")</f>
        <v/>
      </c>
      <c r="AB725" s="1" t="str">
        <f>IF(AND(Programme_Grunddaten!$A730="Geprüft",Programme_Grunddaten!AJ730&lt;&gt;""),IF(Programme_Grunddaten!AJ730="individuell programmierbar",1,0),"")</f>
        <v/>
      </c>
      <c r="AC725" s="1" t="str">
        <f>IF(AND(Programme_Grunddaten!$A730="Geprüft",Programme_Grunddaten!AK730&lt;&gt;""),IF(Programme_Grunddaten!AK730="Deutsch",0,IF(Programme_Grunddaten!AK730="Deutsch und Englisch",1,2)),"")</f>
        <v/>
      </c>
      <c r="AD725" s="1" t="str">
        <f>IF(AND(Programme_Grunddaten!$A730="Geprüft",Programme_Grunddaten!AL730&lt;&gt;""),IF(Programme_Grunddaten!AL730="Ja",1,0),"")</f>
        <v/>
      </c>
      <c r="AE725" s="1" t="str">
        <f>IF(AND(Programme_Grunddaten!$A730="Geprüft",Programme_Grunddaten!AM730&lt;&gt;""),IF(Programme_Grunddaten!AM730="Ja",1,0),"")</f>
        <v/>
      </c>
      <c r="AF725" s="1" t="str">
        <f>IF(AND(Programme_Grunddaten!$A730="Geprüft",Programme_Grunddaten!AN730&lt;&gt;""),IF(Programme_Grunddaten!AN730="Ja",1,0),"")</f>
        <v/>
      </c>
      <c r="AG725" s="1" t="str">
        <f>IF(AND(Programme_Grunddaten!$A730="Geprüft",Programme_Grunddaten!AO730&lt;&gt;""),IF(Programme_Grunddaten!AO730="Ja",1,0),"")</f>
        <v/>
      </c>
      <c r="AH725" s="1" t="str">
        <f>IF(AND(Programme_Grunddaten!$A730="Geprüft",Programme_Grunddaten!AP730&lt;&gt;""),IF(Programme_Grunddaten!AP730="Ja",1,0),"")</f>
        <v/>
      </c>
      <c r="AI725" s="1" t="str">
        <f>IF(AND(Programme_Grunddaten!$A730="Geprüft",Programme_Grunddaten!AQ730&lt;&gt;""),IF(Programme_Grunddaten!AQ730="Ja",1,0),"")</f>
        <v/>
      </c>
      <c r="AJ725" s="1" t="str">
        <f>IF(AND(Programme_Grunddaten!$A730="Geprüft",Programme_Grunddaten!AR730&lt;&gt;""),IF(Programme_Grunddaten!AR730="Ja",1,0),"")</f>
        <v/>
      </c>
      <c r="AK725" s="1" t="str">
        <f>IF(AND(Programme_Grunddaten!$A730="Geprüft",Programme_Grunddaten!AS730&lt;&gt;""),IF(Programme_Grunddaten!AS730="Ja",1,0),"")</f>
        <v/>
      </c>
      <c r="AL725" s="1" t="str">
        <f>IF(AND(Programme_Grunddaten!$A730="Geprüft",Programme_Grunddaten!AT730&lt;&gt;""),IF(Programme_Grunddaten!AT730="Ja",1,0),"")</f>
        <v/>
      </c>
      <c r="AM725" s="1" t="str">
        <f>IF(AND(Programme_Grunddaten!$A730="Geprüft",Programme_Grunddaten!AU730&lt;&gt;""),IF(Programme_Grunddaten!AU730="Ja",1,0),"")</f>
        <v/>
      </c>
      <c r="AN725" s="1" t="str">
        <f>IF(AND(Programme_Grunddaten!$A730="Geprüft",Programme_Grunddaten!AV730&lt;&gt;""),IF(Programme_Grunddaten!AV730="Ja",1,0),"")</f>
        <v/>
      </c>
    </row>
    <row r="726" spans="1:40" x14ac:dyDescent="0.3">
      <c r="A726" s="1" t="str">
        <f>IF(AND(Programme_Grunddaten!A731="Geprüft",Programme_Grunddaten!B731&lt;&gt;""),Programme_Grunddaten!B731,"")</f>
        <v/>
      </c>
      <c r="B726" s="1" t="str">
        <f>IF(AND(Programme_Grunddaten!$A731="Geprüft",Programme_Grunddaten!I731&lt;&gt;""),IF(Programme_Grunddaten!I731="Ja",1,0),"")</f>
        <v/>
      </c>
      <c r="C726" s="1" t="str">
        <f>IF(AND(Programme_Grunddaten!$A731="Geprüft",Programme_Grunddaten!J731&lt;&gt;""),IF(Programme_Grunddaten!J731="Ja",1,0),"")</f>
        <v/>
      </c>
      <c r="D726" s="1" t="str">
        <f>IF(AND(Programme_Grunddaten!$A731="Geprüft",Programme_Grunddaten!K731&lt;&gt;""),IF(Programme_Grunddaten!K731="Ja",1,0),"")</f>
        <v/>
      </c>
      <c r="E726" s="1" t="str">
        <f>IF(AND(Programme_Grunddaten!$A731="Geprüft",Programme_Grunddaten!L731&lt;&gt;""),IF(Programme_Grunddaten!L731="Abo / befristete Lizenz",1,0),"")</f>
        <v/>
      </c>
      <c r="F726" s="1" t="str">
        <f>IF(AND(Programme_Grunddaten!$A731="Geprüft",Programme_Grunddaten!M731&lt;&gt;""),IF(Programme_Grunddaten!M731="Ja",1,0),"")</f>
        <v/>
      </c>
      <c r="G726" s="1" t="str">
        <f>IF(AND(Programme_Grunddaten!$A731="Geprüft",Programme_Grunddaten!N731&lt;&gt;""),IF(Programme_Grunddaten!N731="Ja",1,0),"")</f>
        <v/>
      </c>
      <c r="H726" s="1" t="str">
        <f>IF(AND(Programme_Grunddaten!$A731="Geprüft",Programme_Grunddaten!O731&lt;&gt;""),IF(Programme_Grunddaten!O731="Deutschland",0,IF(Programme_Grunddaten!O731="EU",1,2)),"")</f>
        <v/>
      </c>
      <c r="I726" s="1" t="str">
        <f>IF(AND(Programme_Grunddaten!$A731="Geprüft",Programme_Grunddaten!P731&lt;&gt;""),IF(Programme_Grunddaten!P731="Ja",1,0),"")</f>
        <v/>
      </c>
      <c r="J726" s="1" t="str">
        <f>IF(AND(Programme_Grunddaten!$A731="Geprüft",Programme_Grunddaten!Q731&lt;&gt;""),IF(Programme_Grunddaten!Q731="geschlossenes System",1,0),"")</f>
        <v/>
      </c>
      <c r="K726" s="1" t="str">
        <f>IF(AND(Programme_Grunddaten!$A731="Geprüft",Programme_Grunddaten!R731&lt;&gt;""),IF(Programme_Grunddaten!R731="Ja",1,0),"")</f>
        <v/>
      </c>
      <c r="L726" s="1" t="str">
        <f>IF(AND(Programme_Grunddaten!$A731="Geprüft",Programme_Grunddaten!T731&lt;&gt;""),IF(Programme_Grunddaten!T731="Ja",1,0),"")</f>
        <v/>
      </c>
      <c r="M726" s="1" t="str">
        <f>IF(AND(Programme_Grunddaten!$A731="Geprüft",Programme_Grunddaten!U731&lt;&gt;""),IF(Programme_Grunddaten!U731="Ja",1,0),"")</f>
        <v/>
      </c>
      <c r="N726" s="1" t="str">
        <f>IF(AND(Programme_Grunddaten!$A731="Geprüft",Programme_Grunddaten!V731&lt;&gt;""),IF(Programme_Grunddaten!V731="Ja",1,0),"")</f>
        <v/>
      </c>
      <c r="O726" s="1" t="str">
        <f>IF(AND(Programme_Grunddaten!$A731="Geprüft",Programme_Grunddaten!W731&lt;&gt;""),IF(Programme_Grunddaten!W731="Ja",1,0),"")</f>
        <v/>
      </c>
      <c r="P726" s="1" t="str">
        <f>IF(AND(Programme_Grunddaten!$A731="Geprüft",Programme_Grunddaten!X731&lt;&gt;""),IF(Programme_Grunddaten!X731="Ja",1,0),"")</f>
        <v/>
      </c>
      <c r="Q726" s="1" t="str">
        <f>IF(AND(Programme_Grunddaten!$A731="Geprüft",Programme_Grunddaten!Y731&lt;&gt;""),IF(Programme_Grunddaten!Y731="Ja",1,0),"")</f>
        <v/>
      </c>
      <c r="R726" s="1" t="str">
        <f>IF(AND(Programme_Grunddaten!$A731="Geprüft",Programme_Grunddaten!Z731&lt;&gt;""),IF(Programme_Grunddaten!Z731="Ja",1,0),"")</f>
        <v/>
      </c>
      <c r="S726" s="1" t="str">
        <f>IF(AND(Programme_Grunddaten!$A731="Geprüft",Programme_Grunddaten!AA731&lt;&gt;""),IF(Programme_Grunddaten!AA731="monolithisch",1,0),"")</f>
        <v/>
      </c>
      <c r="T726" s="1" t="str">
        <f>IF(AND(Programme_Grunddaten!$A731="Geprüft",Programme_Grunddaten!AB731&lt;&gt;""),IF(Programme_Grunddaten!AB731="Ja",1,0),"")</f>
        <v/>
      </c>
      <c r="U726" s="1" t="str">
        <f>IF(AND(Programme_Grunddaten!$A731="Geprüft",Programme_Grunddaten!AC731&lt;&gt;""),IF(Programme_Grunddaten!AC731="Ja",1,0),"")</f>
        <v/>
      </c>
      <c r="V726" s="1" t="str">
        <f>IF(AND(Programme_Grunddaten!$A731="Geprüft",Programme_Grunddaten!AD731&lt;&gt;""),IF(Programme_Grunddaten!AD731="Ja",1,0),"")</f>
        <v/>
      </c>
      <c r="W726" s="1" t="str">
        <f>IF(AND(Programme_Grunddaten!$A731="Geprüft",Programme_Grunddaten!AE731&lt;&gt;""),IF(Programme_Grunddaten!AE731="Ja",1,0),"")</f>
        <v/>
      </c>
      <c r="X726" s="1" t="str">
        <f>IF(AND(Programme_Grunddaten!$A731="Geprüft",Programme_Grunddaten!AF731&lt;&gt;""),IF(Programme_Grunddaten!AF731="Ja",1,0),"")</f>
        <v/>
      </c>
      <c r="Y726" s="1" t="str">
        <f>IF(AND(Programme_Grunddaten!$A731="Geprüft",Programme_Grunddaten!AG731&lt;&gt;""),IF(Programme_Grunddaten!AG731="Ja",1,0),"")</f>
        <v/>
      </c>
      <c r="Z726" s="1" t="str">
        <f>IF(AND(Programme_Grunddaten!$A731="Geprüft",Programme_Grunddaten!AH731&lt;&gt;""),IF(Programme_Grunddaten!AH731="Ja",1,0),"")</f>
        <v/>
      </c>
      <c r="AA726" s="1" t="str">
        <f>IF(AND(Programme_Grunddaten!$A731="Geprüft",Programme_Grunddaten!AI731&lt;&gt;""),IF(Programme_Grunddaten!AI731="Ja",1,0),"")</f>
        <v/>
      </c>
      <c r="AB726" s="1" t="str">
        <f>IF(AND(Programme_Grunddaten!$A731="Geprüft",Programme_Grunddaten!AJ731&lt;&gt;""),IF(Programme_Grunddaten!AJ731="individuell programmierbar",1,0),"")</f>
        <v/>
      </c>
      <c r="AC726" s="1" t="str">
        <f>IF(AND(Programme_Grunddaten!$A731="Geprüft",Programme_Grunddaten!AK731&lt;&gt;""),IF(Programme_Grunddaten!AK731="Deutsch",0,IF(Programme_Grunddaten!AK731="Deutsch und Englisch",1,2)),"")</f>
        <v/>
      </c>
      <c r="AD726" s="1" t="str">
        <f>IF(AND(Programme_Grunddaten!$A731="Geprüft",Programme_Grunddaten!AL731&lt;&gt;""),IF(Programme_Grunddaten!AL731="Ja",1,0),"")</f>
        <v/>
      </c>
      <c r="AE726" s="1" t="str">
        <f>IF(AND(Programme_Grunddaten!$A731="Geprüft",Programme_Grunddaten!AM731&lt;&gt;""),IF(Programme_Grunddaten!AM731="Ja",1,0),"")</f>
        <v/>
      </c>
      <c r="AF726" s="1" t="str">
        <f>IF(AND(Programme_Grunddaten!$A731="Geprüft",Programme_Grunddaten!AN731&lt;&gt;""),IF(Programme_Grunddaten!AN731="Ja",1,0),"")</f>
        <v/>
      </c>
      <c r="AG726" s="1" t="str">
        <f>IF(AND(Programme_Grunddaten!$A731="Geprüft",Programme_Grunddaten!AO731&lt;&gt;""),IF(Programme_Grunddaten!AO731="Ja",1,0),"")</f>
        <v/>
      </c>
      <c r="AH726" s="1" t="str">
        <f>IF(AND(Programme_Grunddaten!$A731="Geprüft",Programme_Grunddaten!AP731&lt;&gt;""),IF(Programme_Grunddaten!AP731="Ja",1,0),"")</f>
        <v/>
      </c>
      <c r="AI726" s="1" t="str">
        <f>IF(AND(Programme_Grunddaten!$A731="Geprüft",Programme_Grunddaten!AQ731&lt;&gt;""),IF(Programme_Grunddaten!AQ731="Ja",1,0),"")</f>
        <v/>
      </c>
      <c r="AJ726" s="1" t="str">
        <f>IF(AND(Programme_Grunddaten!$A731="Geprüft",Programme_Grunddaten!AR731&lt;&gt;""),IF(Programme_Grunddaten!AR731="Ja",1,0),"")</f>
        <v/>
      </c>
      <c r="AK726" s="1" t="str">
        <f>IF(AND(Programme_Grunddaten!$A731="Geprüft",Programme_Grunddaten!AS731&lt;&gt;""),IF(Programme_Grunddaten!AS731="Ja",1,0),"")</f>
        <v/>
      </c>
      <c r="AL726" s="1" t="str">
        <f>IF(AND(Programme_Grunddaten!$A731="Geprüft",Programme_Grunddaten!AT731&lt;&gt;""),IF(Programme_Grunddaten!AT731="Ja",1,0),"")</f>
        <v/>
      </c>
      <c r="AM726" s="1" t="str">
        <f>IF(AND(Programme_Grunddaten!$A731="Geprüft",Programme_Grunddaten!AU731&lt;&gt;""),IF(Programme_Grunddaten!AU731="Ja",1,0),"")</f>
        <v/>
      </c>
      <c r="AN726" s="1" t="str">
        <f>IF(AND(Programme_Grunddaten!$A731="Geprüft",Programme_Grunddaten!AV731&lt;&gt;""),IF(Programme_Grunddaten!AV731="Ja",1,0),"")</f>
        <v/>
      </c>
    </row>
    <row r="727" spans="1:40" x14ac:dyDescent="0.3">
      <c r="A727" s="1" t="str">
        <f>IF(AND(Programme_Grunddaten!A732="Geprüft",Programme_Grunddaten!B732&lt;&gt;""),Programme_Grunddaten!B732,"")</f>
        <v/>
      </c>
      <c r="B727" s="1" t="str">
        <f>IF(AND(Programme_Grunddaten!$A732="Geprüft",Programme_Grunddaten!I732&lt;&gt;""),IF(Programme_Grunddaten!I732="Ja",1,0),"")</f>
        <v/>
      </c>
      <c r="C727" s="1" t="str">
        <f>IF(AND(Programme_Grunddaten!$A732="Geprüft",Programme_Grunddaten!J732&lt;&gt;""),IF(Programme_Grunddaten!J732="Ja",1,0),"")</f>
        <v/>
      </c>
      <c r="D727" s="1" t="str">
        <f>IF(AND(Programme_Grunddaten!$A732="Geprüft",Programme_Grunddaten!K732&lt;&gt;""),IF(Programme_Grunddaten!K732="Ja",1,0),"")</f>
        <v/>
      </c>
      <c r="E727" s="1" t="str">
        <f>IF(AND(Programme_Grunddaten!$A732="Geprüft",Programme_Grunddaten!L732&lt;&gt;""),IF(Programme_Grunddaten!L732="Abo / befristete Lizenz",1,0),"")</f>
        <v/>
      </c>
      <c r="F727" s="1" t="str">
        <f>IF(AND(Programme_Grunddaten!$A732="Geprüft",Programme_Grunddaten!M732&lt;&gt;""),IF(Programme_Grunddaten!M732="Ja",1,0),"")</f>
        <v/>
      </c>
      <c r="G727" s="1" t="str">
        <f>IF(AND(Programme_Grunddaten!$A732="Geprüft",Programme_Grunddaten!N732&lt;&gt;""),IF(Programme_Grunddaten!N732="Ja",1,0),"")</f>
        <v/>
      </c>
      <c r="H727" s="1" t="str">
        <f>IF(AND(Programme_Grunddaten!$A732="Geprüft",Programme_Grunddaten!O732&lt;&gt;""),IF(Programme_Grunddaten!O732="Deutschland",0,IF(Programme_Grunddaten!O732="EU",1,2)),"")</f>
        <v/>
      </c>
      <c r="I727" s="1" t="str">
        <f>IF(AND(Programme_Grunddaten!$A732="Geprüft",Programme_Grunddaten!P732&lt;&gt;""),IF(Programme_Grunddaten!P732="Ja",1,0),"")</f>
        <v/>
      </c>
      <c r="J727" s="1" t="str">
        <f>IF(AND(Programme_Grunddaten!$A732="Geprüft",Programme_Grunddaten!Q732&lt;&gt;""),IF(Programme_Grunddaten!Q732="geschlossenes System",1,0),"")</f>
        <v/>
      </c>
      <c r="K727" s="1" t="str">
        <f>IF(AND(Programme_Grunddaten!$A732="Geprüft",Programme_Grunddaten!R732&lt;&gt;""),IF(Programme_Grunddaten!R732="Ja",1,0),"")</f>
        <v/>
      </c>
      <c r="L727" s="1" t="str">
        <f>IF(AND(Programme_Grunddaten!$A732="Geprüft",Programme_Grunddaten!T732&lt;&gt;""),IF(Programme_Grunddaten!T732="Ja",1,0),"")</f>
        <v/>
      </c>
      <c r="M727" s="1" t="str">
        <f>IF(AND(Programme_Grunddaten!$A732="Geprüft",Programme_Grunddaten!U732&lt;&gt;""),IF(Programme_Grunddaten!U732="Ja",1,0),"")</f>
        <v/>
      </c>
      <c r="N727" s="1" t="str">
        <f>IF(AND(Programme_Grunddaten!$A732="Geprüft",Programme_Grunddaten!V732&lt;&gt;""),IF(Programme_Grunddaten!V732="Ja",1,0),"")</f>
        <v/>
      </c>
      <c r="O727" s="1" t="str">
        <f>IF(AND(Programme_Grunddaten!$A732="Geprüft",Programme_Grunddaten!W732&lt;&gt;""),IF(Programme_Grunddaten!W732="Ja",1,0),"")</f>
        <v/>
      </c>
      <c r="P727" s="1" t="str">
        <f>IF(AND(Programme_Grunddaten!$A732="Geprüft",Programme_Grunddaten!X732&lt;&gt;""),IF(Programme_Grunddaten!X732="Ja",1,0),"")</f>
        <v/>
      </c>
      <c r="Q727" s="1" t="str">
        <f>IF(AND(Programme_Grunddaten!$A732="Geprüft",Programme_Grunddaten!Y732&lt;&gt;""),IF(Programme_Grunddaten!Y732="Ja",1,0),"")</f>
        <v/>
      </c>
      <c r="R727" s="1" t="str">
        <f>IF(AND(Programme_Grunddaten!$A732="Geprüft",Programme_Grunddaten!Z732&lt;&gt;""),IF(Programme_Grunddaten!Z732="Ja",1,0),"")</f>
        <v/>
      </c>
      <c r="S727" s="1" t="str">
        <f>IF(AND(Programme_Grunddaten!$A732="Geprüft",Programme_Grunddaten!AA732&lt;&gt;""),IF(Programme_Grunddaten!AA732="monolithisch",1,0),"")</f>
        <v/>
      </c>
      <c r="T727" s="1" t="str">
        <f>IF(AND(Programme_Grunddaten!$A732="Geprüft",Programme_Grunddaten!AB732&lt;&gt;""),IF(Programme_Grunddaten!AB732="Ja",1,0),"")</f>
        <v/>
      </c>
      <c r="U727" s="1" t="str">
        <f>IF(AND(Programme_Grunddaten!$A732="Geprüft",Programme_Grunddaten!AC732&lt;&gt;""),IF(Programme_Grunddaten!AC732="Ja",1,0),"")</f>
        <v/>
      </c>
      <c r="V727" s="1" t="str">
        <f>IF(AND(Programme_Grunddaten!$A732="Geprüft",Programme_Grunddaten!AD732&lt;&gt;""),IF(Programme_Grunddaten!AD732="Ja",1,0),"")</f>
        <v/>
      </c>
      <c r="W727" s="1" t="str">
        <f>IF(AND(Programme_Grunddaten!$A732="Geprüft",Programme_Grunddaten!AE732&lt;&gt;""),IF(Programme_Grunddaten!AE732="Ja",1,0),"")</f>
        <v/>
      </c>
      <c r="X727" s="1" t="str">
        <f>IF(AND(Programme_Grunddaten!$A732="Geprüft",Programme_Grunddaten!AF732&lt;&gt;""),IF(Programme_Grunddaten!AF732="Ja",1,0),"")</f>
        <v/>
      </c>
      <c r="Y727" s="1" t="str">
        <f>IF(AND(Programme_Grunddaten!$A732="Geprüft",Programme_Grunddaten!AG732&lt;&gt;""),IF(Programme_Grunddaten!AG732="Ja",1,0),"")</f>
        <v/>
      </c>
      <c r="Z727" s="1" t="str">
        <f>IF(AND(Programme_Grunddaten!$A732="Geprüft",Programme_Grunddaten!AH732&lt;&gt;""),IF(Programme_Grunddaten!AH732="Ja",1,0),"")</f>
        <v/>
      </c>
      <c r="AA727" s="1" t="str">
        <f>IF(AND(Programme_Grunddaten!$A732="Geprüft",Programme_Grunddaten!AI732&lt;&gt;""),IF(Programme_Grunddaten!AI732="Ja",1,0),"")</f>
        <v/>
      </c>
      <c r="AB727" s="1" t="str">
        <f>IF(AND(Programme_Grunddaten!$A732="Geprüft",Programme_Grunddaten!AJ732&lt;&gt;""),IF(Programme_Grunddaten!AJ732="individuell programmierbar",1,0),"")</f>
        <v/>
      </c>
      <c r="AC727" s="1" t="str">
        <f>IF(AND(Programme_Grunddaten!$A732="Geprüft",Programme_Grunddaten!AK732&lt;&gt;""),IF(Programme_Grunddaten!AK732="Deutsch",0,IF(Programme_Grunddaten!AK732="Deutsch und Englisch",1,2)),"")</f>
        <v/>
      </c>
      <c r="AD727" s="1" t="str">
        <f>IF(AND(Programme_Grunddaten!$A732="Geprüft",Programme_Grunddaten!AL732&lt;&gt;""),IF(Programme_Grunddaten!AL732="Ja",1,0),"")</f>
        <v/>
      </c>
      <c r="AE727" s="1" t="str">
        <f>IF(AND(Programme_Grunddaten!$A732="Geprüft",Programme_Grunddaten!AM732&lt;&gt;""),IF(Programme_Grunddaten!AM732="Ja",1,0),"")</f>
        <v/>
      </c>
      <c r="AF727" s="1" t="str">
        <f>IF(AND(Programme_Grunddaten!$A732="Geprüft",Programme_Grunddaten!AN732&lt;&gt;""),IF(Programme_Grunddaten!AN732="Ja",1,0),"")</f>
        <v/>
      </c>
      <c r="AG727" s="1" t="str">
        <f>IF(AND(Programme_Grunddaten!$A732="Geprüft",Programme_Grunddaten!AO732&lt;&gt;""),IF(Programme_Grunddaten!AO732="Ja",1,0),"")</f>
        <v/>
      </c>
      <c r="AH727" s="1" t="str">
        <f>IF(AND(Programme_Grunddaten!$A732="Geprüft",Programme_Grunddaten!AP732&lt;&gt;""),IF(Programme_Grunddaten!AP732="Ja",1,0),"")</f>
        <v/>
      </c>
      <c r="AI727" s="1" t="str">
        <f>IF(AND(Programme_Grunddaten!$A732="Geprüft",Programme_Grunddaten!AQ732&lt;&gt;""),IF(Programme_Grunddaten!AQ732="Ja",1,0),"")</f>
        <v/>
      </c>
      <c r="AJ727" s="1" t="str">
        <f>IF(AND(Programme_Grunddaten!$A732="Geprüft",Programme_Grunddaten!AR732&lt;&gt;""),IF(Programme_Grunddaten!AR732="Ja",1,0),"")</f>
        <v/>
      </c>
      <c r="AK727" s="1" t="str">
        <f>IF(AND(Programme_Grunddaten!$A732="Geprüft",Programme_Grunddaten!AS732&lt;&gt;""),IF(Programme_Grunddaten!AS732="Ja",1,0),"")</f>
        <v/>
      </c>
      <c r="AL727" s="1" t="str">
        <f>IF(AND(Programme_Grunddaten!$A732="Geprüft",Programme_Grunddaten!AT732&lt;&gt;""),IF(Programme_Grunddaten!AT732="Ja",1,0),"")</f>
        <v/>
      </c>
      <c r="AM727" s="1" t="str">
        <f>IF(AND(Programme_Grunddaten!$A732="Geprüft",Programme_Grunddaten!AU732&lt;&gt;""),IF(Programme_Grunddaten!AU732="Ja",1,0),"")</f>
        <v/>
      </c>
      <c r="AN727" s="1" t="str">
        <f>IF(AND(Programme_Grunddaten!$A732="Geprüft",Programme_Grunddaten!AV732&lt;&gt;""),IF(Programme_Grunddaten!AV732="Ja",1,0),"")</f>
        <v/>
      </c>
    </row>
    <row r="728" spans="1:40" x14ac:dyDescent="0.3">
      <c r="A728" s="1" t="str">
        <f>IF(AND(Programme_Grunddaten!A733="Geprüft",Programme_Grunddaten!B733&lt;&gt;""),Programme_Grunddaten!B733,"")</f>
        <v/>
      </c>
      <c r="B728" s="1" t="str">
        <f>IF(AND(Programme_Grunddaten!$A733="Geprüft",Programme_Grunddaten!I733&lt;&gt;""),IF(Programme_Grunddaten!I733="Ja",1,0),"")</f>
        <v/>
      </c>
      <c r="C728" s="1" t="str">
        <f>IF(AND(Programme_Grunddaten!$A733="Geprüft",Programme_Grunddaten!J733&lt;&gt;""),IF(Programme_Grunddaten!J733="Ja",1,0),"")</f>
        <v/>
      </c>
      <c r="D728" s="1" t="str">
        <f>IF(AND(Programme_Grunddaten!$A733="Geprüft",Programme_Grunddaten!K733&lt;&gt;""),IF(Programme_Grunddaten!K733="Ja",1,0),"")</f>
        <v/>
      </c>
      <c r="E728" s="1" t="str">
        <f>IF(AND(Programme_Grunddaten!$A733="Geprüft",Programme_Grunddaten!L733&lt;&gt;""),IF(Programme_Grunddaten!L733="Abo / befristete Lizenz",1,0),"")</f>
        <v/>
      </c>
      <c r="F728" s="1" t="str">
        <f>IF(AND(Programme_Grunddaten!$A733="Geprüft",Programme_Grunddaten!M733&lt;&gt;""),IF(Programme_Grunddaten!M733="Ja",1,0),"")</f>
        <v/>
      </c>
      <c r="G728" s="1" t="str">
        <f>IF(AND(Programme_Grunddaten!$A733="Geprüft",Programme_Grunddaten!N733&lt;&gt;""),IF(Programme_Grunddaten!N733="Ja",1,0),"")</f>
        <v/>
      </c>
      <c r="H728" s="1" t="str">
        <f>IF(AND(Programme_Grunddaten!$A733="Geprüft",Programme_Grunddaten!O733&lt;&gt;""),IF(Programme_Grunddaten!O733="Deutschland",0,IF(Programme_Grunddaten!O733="EU",1,2)),"")</f>
        <v/>
      </c>
      <c r="I728" s="1" t="str">
        <f>IF(AND(Programme_Grunddaten!$A733="Geprüft",Programme_Grunddaten!P733&lt;&gt;""),IF(Programme_Grunddaten!P733="Ja",1,0),"")</f>
        <v/>
      </c>
      <c r="J728" s="1" t="str">
        <f>IF(AND(Programme_Grunddaten!$A733="Geprüft",Programme_Grunddaten!Q733&lt;&gt;""),IF(Programme_Grunddaten!Q733="geschlossenes System",1,0),"")</f>
        <v/>
      </c>
      <c r="K728" s="1" t="str">
        <f>IF(AND(Programme_Grunddaten!$A733="Geprüft",Programme_Grunddaten!R733&lt;&gt;""),IF(Programme_Grunddaten!R733="Ja",1,0),"")</f>
        <v/>
      </c>
      <c r="L728" s="1" t="str">
        <f>IF(AND(Programme_Grunddaten!$A733="Geprüft",Programme_Grunddaten!T733&lt;&gt;""),IF(Programme_Grunddaten!T733="Ja",1,0),"")</f>
        <v/>
      </c>
      <c r="M728" s="1" t="str">
        <f>IF(AND(Programme_Grunddaten!$A733="Geprüft",Programme_Grunddaten!U733&lt;&gt;""),IF(Programme_Grunddaten!U733="Ja",1,0),"")</f>
        <v/>
      </c>
      <c r="N728" s="1" t="str">
        <f>IF(AND(Programme_Grunddaten!$A733="Geprüft",Programme_Grunddaten!V733&lt;&gt;""),IF(Programme_Grunddaten!V733="Ja",1,0),"")</f>
        <v/>
      </c>
      <c r="O728" s="1" t="str">
        <f>IF(AND(Programme_Grunddaten!$A733="Geprüft",Programme_Grunddaten!W733&lt;&gt;""),IF(Programme_Grunddaten!W733="Ja",1,0),"")</f>
        <v/>
      </c>
      <c r="P728" s="1" t="str">
        <f>IF(AND(Programme_Grunddaten!$A733="Geprüft",Programme_Grunddaten!X733&lt;&gt;""),IF(Programme_Grunddaten!X733="Ja",1,0),"")</f>
        <v/>
      </c>
      <c r="Q728" s="1" t="str">
        <f>IF(AND(Programme_Grunddaten!$A733="Geprüft",Programme_Grunddaten!Y733&lt;&gt;""),IF(Programme_Grunddaten!Y733="Ja",1,0),"")</f>
        <v/>
      </c>
      <c r="R728" s="1" t="str">
        <f>IF(AND(Programme_Grunddaten!$A733="Geprüft",Programme_Grunddaten!Z733&lt;&gt;""),IF(Programme_Grunddaten!Z733="Ja",1,0),"")</f>
        <v/>
      </c>
      <c r="S728" s="1" t="str">
        <f>IF(AND(Programme_Grunddaten!$A733="Geprüft",Programme_Grunddaten!AA733&lt;&gt;""),IF(Programme_Grunddaten!AA733="monolithisch",1,0),"")</f>
        <v/>
      </c>
      <c r="T728" s="1" t="str">
        <f>IF(AND(Programme_Grunddaten!$A733="Geprüft",Programme_Grunddaten!AB733&lt;&gt;""),IF(Programme_Grunddaten!AB733="Ja",1,0),"")</f>
        <v/>
      </c>
      <c r="U728" s="1" t="str">
        <f>IF(AND(Programme_Grunddaten!$A733="Geprüft",Programme_Grunddaten!AC733&lt;&gt;""),IF(Programme_Grunddaten!AC733="Ja",1,0),"")</f>
        <v/>
      </c>
      <c r="V728" s="1" t="str">
        <f>IF(AND(Programme_Grunddaten!$A733="Geprüft",Programme_Grunddaten!AD733&lt;&gt;""),IF(Programme_Grunddaten!AD733="Ja",1,0),"")</f>
        <v/>
      </c>
      <c r="W728" s="1" t="str">
        <f>IF(AND(Programme_Grunddaten!$A733="Geprüft",Programme_Grunddaten!AE733&lt;&gt;""),IF(Programme_Grunddaten!AE733="Ja",1,0),"")</f>
        <v/>
      </c>
      <c r="X728" s="1" t="str">
        <f>IF(AND(Programme_Grunddaten!$A733="Geprüft",Programme_Grunddaten!AF733&lt;&gt;""),IF(Programme_Grunddaten!AF733="Ja",1,0),"")</f>
        <v/>
      </c>
      <c r="Y728" s="1" t="str">
        <f>IF(AND(Programme_Grunddaten!$A733="Geprüft",Programme_Grunddaten!AG733&lt;&gt;""),IF(Programme_Grunddaten!AG733="Ja",1,0),"")</f>
        <v/>
      </c>
      <c r="Z728" s="1" t="str">
        <f>IF(AND(Programme_Grunddaten!$A733="Geprüft",Programme_Grunddaten!AH733&lt;&gt;""),IF(Programme_Grunddaten!AH733="Ja",1,0),"")</f>
        <v/>
      </c>
      <c r="AA728" s="1" t="str">
        <f>IF(AND(Programme_Grunddaten!$A733="Geprüft",Programme_Grunddaten!AI733&lt;&gt;""),IF(Programme_Grunddaten!AI733="Ja",1,0),"")</f>
        <v/>
      </c>
      <c r="AB728" s="1" t="str">
        <f>IF(AND(Programme_Grunddaten!$A733="Geprüft",Programme_Grunddaten!AJ733&lt;&gt;""),IF(Programme_Grunddaten!AJ733="individuell programmierbar",1,0),"")</f>
        <v/>
      </c>
      <c r="AC728" s="1" t="str">
        <f>IF(AND(Programme_Grunddaten!$A733="Geprüft",Programme_Grunddaten!AK733&lt;&gt;""),IF(Programme_Grunddaten!AK733="Deutsch",0,IF(Programme_Grunddaten!AK733="Deutsch und Englisch",1,2)),"")</f>
        <v/>
      </c>
      <c r="AD728" s="1" t="str">
        <f>IF(AND(Programme_Grunddaten!$A733="Geprüft",Programme_Grunddaten!AL733&lt;&gt;""),IF(Programme_Grunddaten!AL733="Ja",1,0),"")</f>
        <v/>
      </c>
      <c r="AE728" s="1" t="str">
        <f>IF(AND(Programme_Grunddaten!$A733="Geprüft",Programme_Grunddaten!AM733&lt;&gt;""),IF(Programme_Grunddaten!AM733="Ja",1,0),"")</f>
        <v/>
      </c>
      <c r="AF728" s="1" t="str">
        <f>IF(AND(Programme_Grunddaten!$A733="Geprüft",Programme_Grunddaten!AN733&lt;&gt;""),IF(Programme_Grunddaten!AN733="Ja",1,0),"")</f>
        <v/>
      </c>
      <c r="AG728" s="1" t="str">
        <f>IF(AND(Programme_Grunddaten!$A733="Geprüft",Programme_Grunddaten!AO733&lt;&gt;""),IF(Programme_Grunddaten!AO733="Ja",1,0),"")</f>
        <v/>
      </c>
      <c r="AH728" s="1" t="str">
        <f>IF(AND(Programme_Grunddaten!$A733="Geprüft",Programme_Grunddaten!AP733&lt;&gt;""),IF(Programme_Grunddaten!AP733="Ja",1,0),"")</f>
        <v/>
      </c>
      <c r="AI728" s="1" t="str">
        <f>IF(AND(Programme_Grunddaten!$A733="Geprüft",Programme_Grunddaten!AQ733&lt;&gt;""),IF(Programme_Grunddaten!AQ733="Ja",1,0),"")</f>
        <v/>
      </c>
      <c r="AJ728" s="1" t="str">
        <f>IF(AND(Programme_Grunddaten!$A733="Geprüft",Programme_Grunddaten!AR733&lt;&gt;""),IF(Programme_Grunddaten!AR733="Ja",1,0),"")</f>
        <v/>
      </c>
      <c r="AK728" s="1" t="str">
        <f>IF(AND(Programme_Grunddaten!$A733="Geprüft",Programme_Grunddaten!AS733&lt;&gt;""),IF(Programme_Grunddaten!AS733="Ja",1,0),"")</f>
        <v/>
      </c>
      <c r="AL728" s="1" t="str">
        <f>IF(AND(Programme_Grunddaten!$A733="Geprüft",Programme_Grunddaten!AT733&lt;&gt;""),IF(Programme_Grunddaten!AT733="Ja",1,0),"")</f>
        <v/>
      </c>
      <c r="AM728" s="1" t="str">
        <f>IF(AND(Programme_Grunddaten!$A733="Geprüft",Programme_Grunddaten!AU733&lt;&gt;""),IF(Programme_Grunddaten!AU733="Ja",1,0),"")</f>
        <v/>
      </c>
      <c r="AN728" s="1" t="str">
        <f>IF(AND(Programme_Grunddaten!$A733="Geprüft",Programme_Grunddaten!AV733&lt;&gt;""),IF(Programme_Grunddaten!AV733="Ja",1,0),"")</f>
        <v/>
      </c>
    </row>
    <row r="729" spans="1:40" x14ac:dyDescent="0.3">
      <c r="A729" s="1" t="str">
        <f>IF(AND(Programme_Grunddaten!A734="Geprüft",Programme_Grunddaten!B734&lt;&gt;""),Programme_Grunddaten!B734,"")</f>
        <v/>
      </c>
      <c r="B729" s="1" t="str">
        <f>IF(AND(Programme_Grunddaten!$A734="Geprüft",Programme_Grunddaten!I734&lt;&gt;""),IF(Programme_Grunddaten!I734="Ja",1,0),"")</f>
        <v/>
      </c>
      <c r="C729" s="1" t="str">
        <f>IF(AND(Programme_Grunddaten!$A734="Geprüft",Programme_Grunddaten!J734&lt;&gt;""),IF(Programme_Grunddaten!J734="Ja",1,0),"")</f>
        <v/>
      </c>
      <c r="D729" s="1" t="str">
        <f>IF(AND(Programme_Grunddaten!$A734="Geprüft",Programme_Grunddaten!K734&lt;&gt;""),IF(Programme_Grunddaten!K734="Ja",1,0),"")</f>
        <v/>
      </c>
      <c r="E729" s="1" t="str">
        <f>IF(AND(Programme_Grunddaten!$A734="Geprüft",Programme_Grunddaten!L734&lt;&gt;""),IF(Programme_Grunddaten!L734="Abo / befristete Lizenz",1,0),"")</f>
        <v/>
      </c>
      <c r="F729" s="1" t="str">
        <f>IF(AND(Programme_Grunddaten!$A734="Geprüft",Programme_Grunddaten!M734&lt;&gt;""),IF(Programme_Grunddaten!M734="Ja",1,0),"")</f>
        <v/>
      </c>
      <c r="G729" s="1" t="str">
        <f>IF(AND(Programme_Grunddaten!$A734="Geprüft",Programme_Grunddaten!N734&lt;&gt;""),IF(Programme_Grunddaten!N734="Ja",1,0),"")</f>
        <v/>
      </c>
      <c r="H729" s="1" t="str">
        <f>IF(AND(Programme_Grunddaten!$A734="Geprüft",Programme_Grunddaten!O734&lt;&gt;""),IF(Programme_Grunddaten!O734="Deutschland",0,IF(Programme_Grunddaten!O734="EU",1,2)),"")</f>
        <v/>
      </c>
      <c r="I729" s="1" t="str">
        <f>IF(AND(Programme_Grunddaten!$A734="Geprüft",Programme_Grunddaten!P734&lt;&gt;""),IF(Programme_Grunddaten!P734="Ja",1,0),"")</f>
        <v/>
      </c>
      <c r="J729" s="1" t="str">
        <f>IF(AND(Programme_Grunddaten!$A734="Geprüft",Programme_Grunddaten!Q734&lt;&gt;""),IF(Programme_Grunddaten!Q734="geschlossenes System",1,0),"")</f>
        <v/>
      </c>
      <c r="K729" s="1" t="str">
        <f>IF(AND(Programme_Grunddaten!$A734="Geprüft",Programme_Grunddaten!R734&lt;&gt;""),IF(Programme_Grunddaten!R734="Ja",1,0),"")</f>
        <v/>
      </c>
      <c r="L729" s="1" t="str">
        <f>IF(AND(Programme_Grunddaten!$A734="Geprüft",Programme_Grunddaten!T734&lt;&gt;""),IF(Programme_Grunddaten!T734="Ja",1,0),"")</f>
        <v/>
      </c>
      <c r="M729" s="1" t="str">
        <f>IF(AND(Programme_Grunddaten!$A734="Geprüft",Programme_Grunddaten!U734&lt;&gt;""),IF(Programme_Grunddaten!U734="Ja",1,0),"")</f>
        <v/>
      </c>
      <c r="N729" s="1" t="str">
        <f>IF(AND(Programme_Grunddaten!$A734="Geprüft",Programme_Grunddaten!V734&lt;&gt;""),IF(Programme_Grunddaten!V734="Ja",1,0),"")</f>
        <v/>
      </c>
      <c r="O729" s="1" t="str">
        <f>IF(AND(Programme_Grunddaten!$A734="Geprüft",Programme_Grunddaten!W734&lt;&gt;""),IF(Programme_Grunddaten!W734="Ja",1,0),"")</f>
        <v/>
      </c>
      <c r="P729" s="1" t="str">
        <f>IF(AND(Programme_Grunddaten!$A734="Geprüft",Programme_Grunddaten!X734&lt;&gt;""),IF(Programme_Grunddaten!X734="Ja",1,0),"")</f>
        <v/>
      </c>
      <c r="Q729" s="1" t="str">
        <f>IF(AND(Programme_Grunddaten!$A734="Geprüft",Programme_Grunddaten!Y734&lt;&gt;""),IF(Programme_Grunddaten!Y734="Ja",1,0),"")</f>
        <v/>
      </c>
      <c r="R729" s="1" t="str">
        <f>IF(AND(Programme_Grunddaten!$A734="Geprüft",Programme_Grunddaten!Z734&lt;&gt;""),IF(Programme_Grunddaten!Z734="Ja",1,0),"")</f>
        <v/>
      </c>
      <c r="S729" s="1" t="str">
        <f>IF(AND(Programme_Grunddaten!$A734="Geprüft",Programme_Grunddaten!AA734&lt;&gt;""),IF(Programme_Grunddaten!AA734="monolithisch",1,0),"")</f>
        <v/>
      </c>
      <c r="T729" s="1" t="str">
        <f>IF(AND(Programme_Grunddaten!$A734="Geprüft",Programme_Grunddaten!AB734&lt;&gt;""),IF(Programme_Grunddaten!AB734="Ja",1,0),"")</f>
        <v/>
      </c>
      <c r="U729" s="1" t="str">
        <f>IF(AND(Programme_Grunddaten!$A734="Geprüft",Programme_Grunddaten!AC734&lt;&gt;""),IF(Programme_Grunddaten!AC734="Ja",1,0),"")</f>
        <v/>
      </c>
      <c r="V729" s="1" t="str">
        <f>IF(AND(Programme_Grunddaten!$A734="Geprüft",Programme_Grunddaten!AD734&lt;&gt;""),IF(Programme_Grunddaten!AD734="Ja",1,0),"")</f>
        <v/>
      </c>
      <c r="W729" s="1" t="str">
        <f>IF(AND(Programme_Grunddaten!$A734="Geprüft",Programme_Grunddaten!AE734&lt;&gt;""),IF(Programme_Grunddaten!AE734="Ja",1,0),"")</f>
        <v/>
      </c>
      <c r="X729" s="1" t="str">
        <f>IF(AND(Programme_Grunddaten!$A734="Geprüft",Programme_Grunddaten!AF734&lt;&gt;""),IF(Programme_Grunddaten!AF734="Ja",1,0),"")</f>
        <v/>
      </c>
      <c r="Y729" s="1" t="str">
        <f>IF(AND(Programme_Grunddaten!$A734="Geprüft",Programme_Grunddaten!AG734&lt;&gt;""),IF(Programme_Grunddaten!AG734="Ja",1,0),"")</f>
        <v/>
      </c>
      <c r="Z729" s="1" t="str">
        <f>IF(AND(Programme_Grunddaten!$A734="Geprüft",Programme_Grunddaten!AH734&lt;&gt;""),IF(Programme_Grunddaten!AH734="Ja",1,0),"")</f>
        <v/>
      </c>
      <c r="AA729" s="1" t="str">
        <f>IF(AND(Programme_Grunddaten!$A734="Geprüft",Programme_Grunddaten!AI734&lt;&gt;""),IF(Programme_Grunddaten!AI734="Ja",1,0),"")</f>
        <v/>
      </c>
      <c r="AB729" s="1" t="str">
        <f>IF(AND(Programme_Grunddaten!$A734="Geprüft",Programme_Grunddaten!AJ734&lt;&gt;""),IF(Programme_Grunddaten!AJ734="individuell programmierbar",1,0),"")</f>
        <v/>
      </c>
      <c r="AC729" s="1" t="str">
        <f>IF(AND(Programme_Grunddaten!$A734="Geprüft",Programme_Grunddaten!AK734&lt;&gt;""),IF(Programme_Grunddaten!AK734="Deutsch",0,IF(Programme_Grunddaten!AK734="Deutsch und Englisch",1,2)),"")</f>
        <v/>
      </c>
      <c r="AD729" s="1" t="str">
        <f>IF(AND(Programme_Grunddaten!$A734="Geprüft",Programme_Grunddaten!AL734&lt;&gt;""),IF(Programme_Grunddaten!AL734="Ja",1,0),"")</f>
        <v/>
      </c>
      <c r="AE729" s="1" t="str">
        <f>IF(AND(Programme_Grunddaten!$A734="Geprüft",Programme_Grunddaten!AM734&lt;&gt;""),IF(Programme_Grunddaten!AM734="Ja",1,0),"")</f>
        <v/>
      </c>
      <c r="AF729" s="1" t="str">
        <f>IF(AND(Programme_Grunddaten!$A734="Geprüft",Programme_Grunddaten!AN734&lt;&gt;""),IF(Programme_Grunddaten!AN734="Ja",1,0),"")</f>
        <v/>
      </c>
      <c r="AG729" s="1" t="str">
        <f>IF(AND(Programme_Grunddaten!$A734="Geprüft",Programme_Grunddaten!AO734&lt;&gt;""),IF(Programme_Grunddaten!AO734="Ja",1,0),"")</f>
        <v/>
      </c>
      <c r="AH729" s="1" t="str">
        <f>IF(AND(Programme_Grunddaten!$A734="Geprüft",Programme_Grunddaten!AP734&lt;&gt;""),IF(Programme_Grunddaten!AP734="Ja",1,0),"")</f>
        <v/>
      </c>
      <c r="AI729" s="1" t="str">
        <f>IF(AND(Programme_Grunddaten!$A734="Geprüft",Programme_Grunddaten!AQ734&lt;&gt;""),IF(Programme_Grunddaten!AQ734="Ja",1,0),"")</f>
        <v/>
      </c>
      <c r="AJ729" s="1" t="str">
        <f>IF(AND(Programme_Grunddaten!$A734="Geprüft",Programme_Grunddaten!AR734&lt;&gt;""),IF(Programme_Grunddaten!AR734="Ja",1,0),"")</f>
        <v/>
      </c>
      <c r="AK729" s="1" t="str">
        <f>IF(AND(Programme_Grunddaten!$A734="Geprüft",Programme_Grunddaten!AS734&lt;&gt;""),IF(Programme_Grunddaten!AS734="Ja",1,0),"")</f>
        <v/>
      </c>
      <c r="AL729" s="1" t="str">
        <f>IF(AND(Programme_Grunddaten!$A734="Geprüft",Programme_Grunddaten!AT734&lt;&gt;""),IF(Programme_Grunddaten!AT734="Ja",1,0),"")</f>
        <v/>
      </c>
      <c r="AM729" s="1" t="str">
        <f>IF(AND(Programme_Grunddaten!$A734="Geprüft",Programme_Grunddaten!AU734&lt;&gt;""),IF(Programme_Grunddaten!AU734="Ja",1,0),"")</f>
        <v/>
      </c>
      <c r="AN729" s="1" t="str">
        <f>IF(AND(Programme_Grunddaten!$A734="Geprüft",Programme_Grunddaten!AV734&lt;&gt;""),IF(Programme_Grunddaten!AV734="Ja",1,0),"")</f>
        <v/>
      </c>
    </row>
    <row r="730" spans="1:40" x14ac:dyDescent="0.3">
      <c r="A730" s="1" t="str">
        <f>IF(AND(Programme_Grunddaten!A735="Geprüft",Programme_Grunddaten!B735&lt;&gt;""),Programme_Grunddaten!B735,"")</f>
        <v/>
      </c>
      <c r="B730" s="1" t="str">
        <f>IF(AND(Programme_Grunddaten!$A735="Geprüft",Programme_Grunddaten!I735&lt;&gt;""),IF(Programme_Grunddaten!I735="Ja",1,0),"")</f>
        <v/>
      </c>
      <c r="C730" s="1" t="str">
        <f>IF(AND(Programme_Grunddaten!$A735="Geprüft",Programme_Grunddaten!J735&lt;&gt;""),IF(Programme_Grunddaten!J735="Ja",1,0),"")</f>
        <v/>
      </c>
      <c r="D730" s="1" t="str">
        <f>IF(AND(Programme_Grunddaten!$A735="Geprüft",Programme_Grunddaten!K735&lt;&gt;""),IF(Programme_Grunddaten!K735="Ja",1,0),"")</f>
        <v/>
      </c>
      <c r="E730" s="1" t="str">
        <f>IF(AND(Programme_Grunddaten!$A735="Geprüft",Programme_Grunddaten!L735&lt;&gt;""),IF(Programme_Grunddaten!L735="Abo / befristete Lizenz",1,0),"")</f>
        <v/>
      </c>
      <c r="F730" s="1" t="str">
        <f>IF(AND(Programme_Grunddaten!$A735="Geprüft",Programme_Grunddaten!M735&lt;&gt;""),IF(Programme_Grunddaten!M735="Ja",1,0),"")</f>
        <v/>
      </c>
      <c r="G730" s="1" t="str">
        <f>IF(AND(Programme_Grunddaten!$A735="Geprüft",Programme_Grunddaten!N735&lt;&gt;""),IF(Programme_Grunddaten!N735="Ja",1,0),"")</f>
        <v/>
      </c>
      <c r="H730" s="1" t="str">
        <f>IF(AND(Programme_Grunddaten!$A735="Geprüft",Programme_Grunddaten!O735&lt;&gt;""),IF(Programme_Grunddaten!O735="Deutschland",0,IF(Programme_Grunddaten!O735="EU",1,2)),"")</f>
        <v/>
      </c>
      <c r="I730" s="1" t="str">
        <f>IF(AND(Programme_Grunddaten!$A735="Geprüft",Programme_Grunddaten!P735&lt;&gt;""),IF(Programme_Grunddaten!P735="Ja",1,0),"")</f>
        <v/>
      </c>
      <c r="J730" s="1" t="str">
        <f>IF(AND(Programme_Grunddaten!$A735="Geprüft",Programme_Grunddaten!Q735&lt;&gt;""),IF(Programme_Grunddaten!Q735="geschlossenes System",1,0),"")</f>
        <v/>
      </c>
      <c r="K730" s="1" t="str">
        <f>IF(AND(Programme_Grunddaten!$A735="Geprüft",Programme_Grunddaten!R735&lt;&gt;""),IF(Programme_Grunddaten!R735="Ja",1,0),"")</f>
        <v/>
      </c>
      <c r="L730" s="1" t="str">
        <f>IF(AND(Programme_Grunddaten!$A735="Geprüft",Programme_Grunddaten!T735&lt;&gt;""),IF(Programme_Grunddaten!T735="Ja",1,0),"")</f>
        <v/>
      </c>
      <c r="M730" s="1" t="str">
        <f>IF(AND(Programme_Grunddaten!$A735="Geprüft",Programme_Grunddaten!U735&lt;&gt;""),IF(Programme_Grunddaten!U735="Ja",1,0),"")</f>
        <v/>
      </c>
      <c r="N730" s="1" t="str">
        <f>IF(AND(Programme_Grunddaten!$A735="Geprüft",Programme_Grunddaten!V735&lt;&gt;""),IF(Programme_Grunddaten!V735="Ja",1,0),"")</f>
        <v/>
      </c>
      <c r="O730" s="1" t="str">
        <f>IF(AND(Programme_Grunddaten!$A735="Geprüft",Programme_Grunddaten!W735&lt;&gt;""),IF(Programme_Grunddaten!W735="Ja",1,0),"")</f>
        <v/>
      </c>
      <c r="P730" s="1" t="str">
        <f>IF(AND(Programme_Grunddaten!$A735="Geprüft",Programme_Grunddaten!X735&lt;&gt;""),IF(Programme_Grunddaten!X735="Ja",1,0),"")</f>
        <v/>
      </c>
      <c r="Q730" s="1" t="str">
        <f>IF(AND(Programme_Grunddaten!$A735="Geprüft",Programme_Grunddaten!Y735&lt;&gt;""),IF(Programme_Grunddaten!Y735="Ja",1,0),"")</f>
        <v/>
      </c>
      <c r="R730" s="1" t="str">
        <f>IF(AND(Programme_Grunddaten!$A735="Geprüft",Programme_Grunddaten!Z735&lt;&gt;""),IF(Programme_Grunddaten!Z735="Ja",1,0),"")</f>
        <v/>
      </c>
      <c r="S730" s="1" t="str">
        <f>IF(AND(Programme_Grunddaten!$A735="Geprüft",Programme_Grunddaten!AA735&lt;&gt;""),IF(Programme_Grunddaten!AA735="monolithisch",1,0),"")</f>
        <v/>
      </c>
      <c r="T730" s="1" t="str">
        <f>IF(AND(Programme_Grunddaten!$A735="Geprüft",Programme_Grunddaten!AB735&lt;&gt;""),IF(Programme_Grunddaten!AB735="Ja",1,0),"")</f>
        <v/>
      </c>
      <c r="U730" s="1" t="str">
        <f>IF(AND(Programme_Grunddaten!$A735="Geprüft",Programme_Grunddaten!AC735&lt;&gt;""),IF(Programme_Grunddaten!AC735="Ja",1,0),"")</f>
        <v/>
      </c>
      <c r="V730" s="1" t="str">
        <f>IF(AND(Programme_Grunddaten!$A735="Geprüft",Programme_Grunddaten!AD735&lt;&gt;""),IF(Programme_Grunddaten!AD735="Ja",1,0),"")</f>
        <v/>
      </c>
      <c r="W730" s="1" t="str">
        <f>IF(AND(Programme_Grunddaten!$A735="Geprüft",Programme_Grunddaten!AE735&lt;&gt;""),IF(Programme_Grunddaten!AE735="Ja",1,0),"")</f>
        <v/>
      </c>
      <c r="X730" s="1" t="str">
        <f>IF(AND(Programme_Grunddaten!$A735="Geprüft",Programme_Grunddaten!AF735&lt;&gt;""),IF(Programme_Grunddaten!AF735="Ja",1,0),"")</f>
        <v/>
      </c>
      <c r="Y730" s="1" t="str">
        <f>IF(AND(Programme_Grunddaten!$A735="Geprüft",Programme_Grunddaten!AG735&lt;&gt;""),IF(Programme_Grunddaten!AG735="Ja",1,0),"")</f>
        <v/>
      </c>
      <c r="Z730" s="1" t="str">
        <f>IF(AND(Programme_Grunddaten!$A735="Geprüft",Programme_Grunddaten!AH735&lt;&gt;""),IF(Programme_Grunddaten!AH735="Ja",1,0),"")</f>
        <v/>
      </c>
      <c r="AA730" s="1" t="str">
        <f>IF(AND(Programme_Grunddaten!$A735="Geprüft",Programme_Grunddaten!AI735&lt;&gt;""),IF(Programme_Grunddaten!AI735="Ja",1,0),"")</f>
        <v/>
      </c>
      <c r="AB730" s="1" t="str">
        <f>IF(AND(Programme_Grunddaten!$A735="Geprüft",Programme_Grunddaten!AJ735&lt;&gt;""),IF(Programme_Grunddaten!AJ735="individuell programmierbar",1,0),"")</f>
        <v/>
      </c>
      <c r="AC730" s="1" t="str">
        <f>IF(AND(Programme_Grunddaten!$A735="Geprüft",Programme_Grunddaten!AK735&lt;&gt;""),IF(Programme_Grunddaten!AK735="Deutsch",0,IF(Programme_Grunddaten!AK735="Deutsch und Englisch",1,2)),"")</f>
        <v/>
      </c>
      <c r="AD730" s="1" t="str">
        <f>IF(AND(Programme_Grunddaten!$A735="Geprüft",Programme_Grunddaten!AL735&lt;&gt;""),IF(Programme_Grunddaten!AL735="Ja",1,0),"")</f>
        <v/>
      </c>
      <c r="AE730" s="1" t="str">
        <f>IF(AND(Programme_Grunddaten!$A735="Geprüft",Programme_Grunddaten!AM735&lt;&gt;""),IF(Programme_Grunddaten!AM735="Ja",1,0),"")</f>
        <v/>
      </c>
      <c r="AF730" s="1" t="str">
        <f>IF(AND(Programme_Grunddaten!$A735="Geprüft",Programme_Grunddaten!AN735&lt;&gt;""),IF(Programme_Grunddaten!AN735="Ja",1,0),"")</f>
        <v/>
      </c>
      <c r="AG730" s="1" t="str">
        <f>IF(AND(Programme_Grunddaten!$A735="Geprüft",Programme_Grunddaten!AO735&lt;&gt;""),IF(Programme_Grunddaten!AO735="Ja",1,0),"")</f>
        <v/>
      </c>
      <c r="AH730" s="1" t="str">
        <f>IF(AND(Programme_Grunddaten!$A735="Geprüft",Programme_Grunddaten!AP735&lt;&gt;""),IF(Programme_Grunddaten!AP735="Ja",1,0),"")</f>
        <v/>
      </c>
      <c r="AI730" s="1" t="str">
        <f>IF(AND(Programme_Grunddaten!$A735="Geprüft",Programme_Grunddaten!AQ735&lt;&gt;""),IF(Programme_Grunddaten!AQ735="Ja",1,0),"")</f>
        <v/>
      </c>
      <c r="AJ730" s="1" t="str">
        <f>IF(AND(Programme_Grunddaten!$A735="Geprüft",Programme_Grunddaten!AR735&lt;&gt;""),IF(Programme_Grunddaten!AR735="Ja",1,0),"")</f>
        <v/>
      </c>
      <c r="AK730" s="1" t="str">
        <f>IF(AND(Programme_Grunddaten!$A735="Geprüft",Programme_Grunddaten!AS735&lt;&gt;""),IF(Programme_Grunddaten!AS735="Ja",1,0),"")</f>
        <v/>
      </c>
      <c r="AL730" s="1" t="str">
        <f>IF(AND(Programme_Grunddaten!$A735="Geprüft",Programme_Grunddaten!AT735&lt;&gt;""),IF(Programme_Grunddaten!AT735="Ja",1,0),"")</f>
        <v/>
      </c>
      <c r="AM730" s="1" t="str">
        <f>IF(AND(Programme_Grunddaten!$A735="Geprüft",Programme_Grunddaten!AU735&lt;&gt;""),IF(Programme_Grunddaten!AU735="Ja",1,0),"")</f>
        <v/>
      </c>
      <c r="AN730" s="1" t="str">
        <f>IF(AND(Programme_Grunddaten!$A735="Geprüft",Programme_Grunddaten!AV735&lt;&gt;""),IF(Programme_Grunddaten!AV735="Ja",1,0),"")</f>
        <v/>
      </c>
    </row>
    <row r="731" spans="1:40" x14ac:dyDescent="0.3">
      <c r="A731" s="1" t="str">
        <f>IF(AND(Programme_Grunddaten!A736="Geprüft",Programme_Grunddaten!B736&lt;&gt;""),Programme_Grunddaten!B736,"")</f>
        <v/>
      </c>
      <c r="B731" s="1" t="str">
        <f>IF(AND(Programme_Grunddaten!$A736="Geprüft",Programme_Grunddaten!I736&lt;&gt;""),IF(Programme_Grunddaten!I736="Ja",1,0),"")</f>
        <v/>
      </c>
      <c r="C731" s="1" t="str">
        <f>IF(AND(Programme_Grunddaten!$A736="Geprüft",Programme_Grunddaten!J736&lt;&gt;""),IF(Programme_Grunddaten!J736="Ja",1,0),"")</f>
        <v/>
      </c>
      <c r="D731" s="1" t="str">
        <f>IF(AND(Programme_Grunddaten!$A736="Geprüft",Programme_Grunddaten!K736&lt;&gt;""),IF(Programme_Grunddaten!K736="Ja",1,0),"")</f>
        <v/>
      </c>
      <c r="E731" s="1" t="str">
        <f>IF(AND(Programme_Grunddaten!$A736="Geprüft",Programme_Grunddaten!L736&lt;&gt;""),IF(Programme_Grunddaten!L736="Abo / befristete Lizenz",1,0),"")</f>
        <v/>
      </c>
      <c r="F731" s="1" t="str">
        <f>IF(AND(Programme_Grunddaten!$A736="Geprüft",Programme_Grunddaten!M736&lt;&gt;""),IF(Programme_Grunddaten!M736="Ja",1,0),"")</f>
        <v/>
      </c>
      <c r="G731" s="1" t="str">
        <f>IF(AND(Programme_Grunddaten!$A736="Geprüft",Programme_Grunddaten!N736&lt;&gt;""),IF(Programme_Grunddaten!N736="Ja",1,0),"")</f>
        <v/>
      </c>
      <c r="H731" s="1" t="str">
        <f>IF(AND(Programme_Grunddaten!$A736="Geprüft",Programme_Grunddaten!O736&lt;&gt;""),IF(Programme_Grunddaten!O736="Deutschland",0,IF(Programme_Grunddaten!O736="EU",1,2)),"")</f>
        <v/>
      </c>
      <c r="I731" s="1" t="str">
        <f>IF(AND(Programme_Grunddaten!$A736="Geprüft",Programme_Grunddaten!P736&lt;&gt;""),IF(Programme_Grunddaten!P736="Ja",1,0),"")</f>
        <v/>
      </c>
      <c r="J731" s="1" t="str">
        <f>IF(AND(Programme_Grunddaten!$A736="Geprüft",Programme_Grunddaten!Q736&lt;&gt;""),IF(Programme_Grunddaten!Q736="geschlossenes System",1,0),"")</f>
        <v/>
      </c>
      <c r="K731" s="1" t="str">
        <f>IF(AND(Programme_Grunddaten!$A736="Geprüft",Programme_Grunddaten!R736&lt;&gt;""),IF(Programme_Grunddaten!R736="Ja",1,0),"")</f>
        <v/>
      </c>
      <c r="L731" s="1" t="str">
        <f>IF(AND(Programme_Grunddaten!$A736="Geprüft",Programme_Grunddaten!T736&lt;&gt;""),IF(Programme_Grunddaten!T736="Ja",1,0),"")</f>
        <v/>
      </c>
      <c r="M731" s="1" t="str">
        <f>IF(AND(Programme_Grunddaten!$A736="Geprüft",Programme_Grunddaten!U736&lt;&gt;""),IF(Programme_Grunddaten!U736="Ja",1,0),"")</f>
        <v/>
      </c>
      <c r="N731" s="1" t="str">
        <f>IF(AND(Programme_Grunddaten!$A736="Geprüft",Programme_Grunddaten!V736&lt;&gt;""),IF(Programme_Grunddaten!V736="Ja",1,0),"")</f>
        <v/>
      </c>
      <c r="O731" s="1" t="str">
        <f>IF(AND(Programme_Grunddaten!$A736="Geprüft",Programme_Grunddaten!W736&lt;&gt;""),IF(Programme_Grunddaten!W736="Ja",1,0),"")</f>
        <v/>
      </c>
      <c r="P731" s="1" t="str">
        <f>IF(AND(Programme_Grunddaten!$A736="Geprüft",Programme_Grunddaten!X736&lt;&gt;""),IF(Programme_Grunddaten!X736="Ja",1,0),"")</f>
        <v/>
      </c>
      <c r="Q731" s="1" t="str">
        <f>IF(AND(Programme_Grunddaten!$A736="Geprüft",Programme_Grunddaten!Y736&lt;&gt;""),IF(Programme_Grunddaten!Y736="Ja",1,0),"")</f>
        <v/>
      </c>
      <c r="R731" s="1" t="str">
        <f>IF(AND(Programme_Grunddaten!$A736="Geprüft",Programme_Grunddaten!Z736&lt;&gt;""),IF(Programme_Grunddaten!Z736="Ja",1,0),"")</f>
        <v/>
      </c>
      <c r="S731" s="1" t="str">
        <f>IF(AND(Programme_Grunddaten!$A736="Geprüft",Programme_Grunddaten!AA736&lt;&gt;""),IF(Programme_Grunddaten!AA736="monolithisch",1,0),"")</f>
        <v/>
      </c>
      <c r="T731" s="1" t="str">
        <f>IF(AND(Programme_Grunddaten!$A736="Geprüft",Programme_Grunddaten!AB736&lt;&gt;""),IF(Programme_Grunddaten!AB736="Ja",1,0),"")</f>
        <v/>
      </c>
      <c r="U731" s="1" t="str">
        <f>IF(AND(Programme_Grunddaten!$A736="Geprüft",Programme_Grunddaten!AC736&lt;&gt;""),IF(Programme_Grunddaten!AC736="Ja",1,0),"")</f>
        <v/>
      </c>
      <c r="V731" s="1" t="str">
        <f>IF(AND(Programme_Grunddaten!$A736="Geprüft",Programme_Grunddaten!AD736&lt;&gt;""),IF(Programme_Grunddaten!AD736="Ja",1,0),"")</f>
        <v/>
      </c>
      <c r="W731" s="1" t="str">
        <f>IF(AND(Programme_Grunddaten!$A736="Geprüft",Programme_Grunddaten!AE736&lt;&gt;""),IF(Programme_Grunddaten!AE736="Ja",1,0),"")</f>
        <v/>
      </c>
      <c r="X731" s="1" t="str">
        <f>IF(AND(Programme_Grunddaten!$A736="Geprüft",Programme_Grunddaten!AF736&lt;&gt;""),IF(Programme_Grunddaten!AF736="Ja",1,0),"")</f>
        <v/>
      </c>
      <c r="Y731" s="1" t="str">
        <f>IF(AND(Programme_Grunddaten!$A736="Geprüft",Programme_Grunddaten!AG736&lt;&gt;""),IF(Programme_Grunddaten!AG736="Ja",1,0),"")</f>
        <v/>
      </c>
      <c r="Z731" s="1" t="str">
        <f>IF(AND(Programme_Grunddaten!$A736="Geprüft",Programme_Grunddaten!AH736&lt;&gt;""),IF(Programme_Grunddaten!AH736="Ja",1,0),"")</f>
        <v/>
      </c>
      <c r="AA731" s="1" t="str">
        <f>IF(AND(Programme_Grunddaten!$A736="Geprüft",Programme_Grunddaten!AI736&lt;&gt;""),IF(Programme_Grunddaten!AI736="Ja",1,0),"")</f>
        <v/>
      </c>
      <c r="AB731" s="1" t="str">
        <f>IF(AND(Programme_Grunddaten!$A736="Geprüft",Programme_Grunddaten!AJ736&lt;&gt;""),IF(Programme_Grunddaten!AJ736="individuell programmierbar",1,0),"")</f>
        <v/>
      </c>
      <c r="AC731" s="1" t="str">
        <f>IF(AND(Programme_Grunddaten!$A736="Geprüft",Programme_Grunddaten!AK736&lt;&gt;""),IF(Programme_Grunddaten!AK736="Deutsch",0,IF(Programme_Grunddaten!AK736="Deutsch und Englisch",1,2)),"")</f>
        <v/>
      </c>
      <c r="AD731" s="1" t="str">
        <f>IF(AND(Programme_Grunddaten!$A736="Geprüft",Programme_Grunddaten!AL736&lt;&gt;""),IF(Programme_Grunddaten!AL736="Ja",1,0),"")</f>
        <v/>
      </c>
      <c r="AE731" s="1" t="str">
        <f>IF(AND(Programme_Grunddaten!$A736="Geprüft",Programme_Grunddaten!AM736&lt;&gt;""),IF(Programme_Grunddaten!AM736="Ja",1,0),"")</f>
        <v/>
      </c>
      <c r="AF731" s="1" t="str">
        <f>IF(AND(Programme_Grunddaten!$A736="Geprüft",Programme_Grunddaten!AN736&lt;&gt;""),IF(Programme_Grunddaten!AN736="Ja",1,0),"")</f>
        <v/>
      </c>
      <c r="AG731" s="1" t="str">
        <f>IF(AND(Programme_Grunddaten!$A736="Geprüft",Programme_Grunddaten!AO736&lt;&gt;""),IF(Programme_Grunddaten!AO736="Ja",1,0),"")</f>
        <v/>
      </c>
      <c r="AH731" s="1" t="str">
        <f>IF(AND(Programme_Grunddaten!$A736="Geprüft",Programme_Grunddaten!AP736&lt;&gt;""),IF(Programme_Grunddaten!AP736="Ja",1,0),"")</f>
        <v/>
      </c>
      <c r="AI731" s="1" t="str">
        <f>IF(AND(Programme_Grunddaten!$A736="Geprüft",Programme_Grunddaten!AQ736&lt;&gt;""),IF(Programme_Grunddaten!AQ736="Ja",1,0),"")</f>
        <v/>
      </c>
      <c r="AJ731" s="1" t="str">
        <f>IF(AND(Programme_Grunddaten!$A736="Geprüft",Programme_Grunddaten!AR736&lt;&gt;""),IF(Programme_Grunddaten!AR736="Ja",1,0),"")</f>
        <v/>
      </c>
      <c r="AK731" s="1" t="str">
        <f>IF(AND(Programme_Grunddaten!$A736="Geprüft",Programme_Grunddaten!AS736&lt;&gt;""),IF(Programme_Grunddaten!AS736="Ja",1,0),"")</f>
        <v/>
      </c>
      <c r="AL731" s="1" t="str">
        <f>IF(AND(Programme_Grunddaten!$A736="Geprüft",Programme_Grunddaten!AT736&lt;&gt;""),IF(Programme_Grunddaten!AT736="Ja",1,0),"")</f>
        <v/>
      </c>
      <c r="AM731" s="1" t="str">
        <f>IF(AND(Programme_Grunddaten!$A736="Geprüft",Programme_Grunddaten!AU736&lt;&gt;""),IF(Programme_Grunddaten!AU736="Ja",1,0),"")</f>
        <v/>
      </c>
      <c r="AN731" s="1" t="str">
        <f>IF(AND(Programme_Grunddaten!$A736="Geprüft",Programme_Grunddaten!AV736&lt;&gt;""),IF(Programme_Grunddaten!AV736="Ja",1,0),"")</f>
        <v/>
      </c>
    </row>
    <row r="732" spans="1:40" x14ac:dyDescent="0.3">
      <c r="A732" s="1" t="str">
        <f>IF(AND(Programme_Grunddaten!A737="Geprüft",Programme_Grunddaten!B737&lt;&gt;""),Programme_Grunddaten!B737,"")</f>
        <v/>
      </c>
      <c r="B732" s="1" t="str">
        <f>IF(AND(Programme_Grunddaten!$A737="Geprüft",Programme_Grunddaten!I737&lt;&gt;""),IF(Programme_Grunddaten!I737="Ja",1,0),"")</f>
        <v/>
      </c>
      <c r="C732" s="1" t="str">
        <f>IF(AND(Programme_Grunddaten!$A737="Geprüft",Programme_Grunddaten!J737&lt;&gt;""),IF(Programme_Grunddaten!J737="Ja",1,0),"")</f>
        <v/>
      </c>
      <c r="D732" s="1" t="str">
        <f>IF(AND(Programme_Grunddaten!$A737="Geprüft",Programme_Grunddaten!K737&lt;&gt;""),IF(Programme_Grunddaten!K737="Ja",1,0),"")</f>
        <v/>
      </c>
      <c r="E732" s="1" t="str">
        <f>IF(AND(Programme_Grunddaten!$A737="Geprüft",Programme_Grunddaten!L737&lt;&gt;""),IF(Programme_Grunddaten!L737="Abo / befristete Lizenz",1,0),"")</f>
        <v/>
      </c>
      <c r="F732" s="1" t="str">
        <f>IF(AND(Programme_Grunddaten!$A737="Geprüft",Programme_Grunddaten!M737&lt;&gt;""),IF(Programme_Grunddaten!M737="Ja",1,0),"")</f>
        <v/>
      </c>
      <c r="G732" s="1" t="str">
        <f>IF(AND(Programme_Grunddaten!$A737="Geprüft",Programme_Grunddaten!N737&lt;&gt;""),IF(Programme_Grunddaten!N737="Ja",1,0),"")</f>
        <v/>
      </c>
      <c r="H732" s="1" t="str">
        <f>IF(AND(Programme_Grunddaten!$A737="Geprüft",Programme_Grunddaten!O737&lt;&gt;""),IF(Programme_Grunddaten!O737="Deutschland",0,IF(Programme_Grunddaten!O737="EU",1,2)),"")</f>
        <v/>
      </c>
      <c r="I732" s="1" t="str">
        <f>IF(AND(Programme_Grunddaten!$A737="Geprüft",Programme_Grunddaten!P737&lt;&gt;""),IF(Programme_Grunddaten!P737="Ja",1,0),"")</f>
        <v/>
      </c>
      <c r="J732" s="1" t="str">
        <f>IF(AND(Programme_Grunddaten!$A737="Geprüft",Programme_Grunddaten!Q737&lt;&gt;""),IF(Programme_Grunddaten!Q737="geschlossenes System",1,0),"")</f>
        <v/>
      </c>
      <c r="K732" s="1" t="str">
        <f>IF(AND(Programme_Grunddaten!$A737="Geprüft",Programme_Grunddaten!R737&lt;&gt;""),IF(Programme_Grunddaten!R737="Ja",1,0),"")</f>
        <v/>
      </c>
      <c r="L732" s="1" t="str">
        <f>IF(AND(Programme_Grunddaten!$A737="Geprüft",Programme_Grunddaten!T737&lt;&gt;""),IF(Programme_Grunddaten!T737="Ja",1,0),"")</f>
        <v/>
      </c>
      <c r="M732" s="1" t="str">
        <f>IF(AND(Programme_Grunddaten!$A737="Geprüft",Programme_Grunddaten!U737&lt;&gt;""),IF(Programme_Grunddaten!U737="Ja",1,0),"")</f>
        <v/>
      </c>
      <c r="N732" s="1" t="str">
        <f>IF(AND(Programme_Grunddaten!$A737="Geprüft",Programme_Grunddaten!V737&lt;&gt;""),IF(Programme_Grunddaten!V737="Ja",1,0),"")</f>
        <v/>
      </c>
      <c r="O732" s="1" t="str">
        <f>IF(AND(Programme_Grunddaten!$A737="Geprüft",Programme_Grunddaten!W737&lt;&gt;""),IF(Programme_Grunddaten!W737="Ja",1,0),"")</f>
        <v/>
      </c>
      <c r="P732" s="1" t="str">
        <f>IF(AND(Programme_Grunddaten!$A737="Geprüft",Programme_Grunddaten!X737&lt;&gt;""),IF(Programme_Grunddaten!X737="Ja",1,0),"")</f>
        <v/>
      </c>
      <c r="Q732" s="1" t="str">
        <f>IF(AND(Programme_Grunddaten!$A737="Geprüft",Programme_Grunddaten!Y737&lt;&gt;""),IF(Programme_Grunddaten!Y737="Ja",1,0),"")</f>
        <v/>
      </c>
      <c r="R732" s="1" t="str">
        <f>IF(AND(Programme_Grunddaten!$A737="Geprüft",Programme_Grunddaten!Z737&lt;&gt;""),IF(Programme_Grunddaten!Z737="Ja",1,0),"")</f>
        <v/>
      </c>
      <c r="S732" s="1" t="str">
        <f>IF(AND(Programme_Grunddaten!$A737="Geprüft",Programme_Grunddaten!AA737&lt;&gt;""),IF(Programme_Grunddaten!AA737="monolithisch",1,0),"")</f>
        <v/>
      </c>
      <c r="T732" s="1" t="str">
        <f>IF(AND(Programme_Grunddaten!$A737="Geprüft",Programme_Grunddaten!AB737&lt;&gt;""),IF(Programme_Grunddaten!AB737="Ja",1,0),"")</f>
        <v/>
      </c>
      <c r="U732" s="1" t="str">
        <f>IF(AND(Programme_Grunddaten!$A737="Geprüft",Programme_Grunddaten!AC737&lt;&gt;""),IF(Programme_Grunddaten!AC737="Ja",1,0),"")</f>
        <v/>
      </c>
      <c r="V732" s="1" t="str">
        <f>IF(AND(Programme_Grunddaten!$A737="Geprüft",Programme_Grunddaten!AD737&lt;&gt;""),IF(Programme_Grunddaten!AD737="Ja",1,0),"")</f>
        <v/>
      </c>
      <c r="W732" s="1" t="str">
        <f>IF(AND(Programme_Grunddaten!$A737="Geprüft",Programme_Grunddaten!AE737&lt;&gt;""),IF(Programme_Grunddaten!AE737="Ja",1,0),"")</f>
        <v/>
      </c>
      <c r="X732" s="1" t="str">
        <f>IF(AND(Programme_Grunddaten!$A737="Geprüft",Programme_Grunddaten!AF737&lt;&gt;""),IF(Programme_Grunddaten!AF737="Ja",1,0),"")</f>
        <v/>
      </c>
      <c r="Y732" s="1" t="str">
        <f>IF(AND(Programme_Grunddaten!$A737="Geprüft",Programme_Grunddaten!AG737&lt;&gt;""),IF(Programme_Grunddaten!AG737="Ja",1,0),"")</f>
        <v/>
      </c>
      <c r="Z732" s="1" t="str">
        <f>IF(AND(Programme_Grunddaten!$A737="Geprüft",Programme_Grunddaten!AH737&lt;&gt;""),IF(Programme_Grunddaten!AH737="Ja",1,0),"")</f>
        <v/>
      </c>
      <c r="AA732" s="1" t="str">
        <f>IF(AND(Programme_Grunddaten!$A737="Geprüft",Programme_Grunddaten!AI737&lt;&gt;""),IF(Programme_Grunddaten!AI737="Ja",1,0),"")</f>
        <v/>
      </c>
      <c r="AB732" s="1" t="str">
        <f>IF(AND(Programme_Grunddaten!$A737="Geprüft",Programme_Grunddaten!AJ737&lt;&gt;""),IF(Programme_Grunddaten!AJ737="individuell programmierbar",1,0),"")</f>
        <v/>
      </c>
      <c r="AC732" s="1" t="str">
        <f>IF(AND(Programme_Grunddaten!$A737="Geprüft",Programme_Grunddaten!AK737&lt;&gt;""),IF(Programme_Grunddaten!AK737="Deutsch",0,IF(Programme_Grunddaten!AK737="Deutsch und Englisch",1,2)),"")</f>
        <v/>
      </c>
      <c r="AD732" s="1" t="str">
        <f>IF(AND(Programme_Grunddaten!$A737="Geprüft",Programme_Grunddaten!AL737&lt;&gt;""),IF(Programme_Grunddaten!AL737="Ja",1,0),"")</f>
        <v/>
      </c>
      <c r="AE732" s="1" t="str">
        <f>IF(AND(Programme_Grunddaten!$A737="Geprüft",Programme_Grunddaten!AM737&lt;&gt;""),IF(Programme_Grunddaten!AM737="Ja",1,0),"")</f>
        <v/>
      </c>
      <c r="AF732" s="1" t="str">
        <f>IF(AND(Programme_Grunddaten!$A737="Geprüft",Programme_Grunddaten!AN737&lt;&gt;""),IF(Programme_Grunddaten!AN737="Ja",1,0),"")</f>
        <v/>
      </c>
      <c r="AG732" s="1" t="str">
        <f>IF(AND(Programme_Grunddaten!$A737="Geprüft",Programme_Grunddaten!AO737&lt;&gt;""),IF(Programme_Grunddaten!AO737="Ja",1,0),"")</f>
        <v/>
      </c>
      <c r="AH732" s="1" t="str">
        <f>IF(AND(Programme_Grunddaten!$A737="Geprüft",Programme_Grunddaten!AP737&lt;&gt;""),IF(Programme_Grunddaten!AP737="Ja",1,0),"")</f>
        <v/>
      </c>
      <c r="AI732" s="1" t="str">
        <f>IF(AND(Programme_Grunddaten!$A737="Geprüft",Programme_Grunddaten!AQ737&lt;&gt;""),IF(Programme_Grunddaten!AQ737="Ja",1,0),"")</f>
        <v/>
      </c>
      <c r="AJ732" s="1" t="str">
        <f>IF(AND(Programme_Grunddaten!$A737="Geprüft",Programme_Grunddaten!AR737&lt;&gt;""),IF(Programme_Grunddaten!AR737="Ja",1,0),"")</f>
        <v/>
      </c>
      <c r="AK732" s="1" t="str">
        <f>IF(AND(Programme_Grunddaten!$A737="Geprüft",Programme_Grunddaten!AS737&lt;&gt;""),IF(Programme_Grunddaten!AS737="Ja",1,0),"")</f>
        <v/>
      </c>
      <c r="AL732" s="1" t="str">
        <f>IF(AND(Programme_Grunddaten!$A737="Geprüft",Programme_Grunddaten!AT737&lt;&gt;""),IF(Programme_Grunddaten!AT737="Ja",1,0),"")</f>
        <v/>
      </c>
      <c r="AM732" s="1" t="str">
        <f>IF(AND(Programme_Grunddaten!$A737="Geprüft",Programme_Grunddaten!AU737&lt;&gt;""),IF(Programme_Grunddaten!AU737="Ja",1,0),"")</f>
        <v/>
      </c>
      <c r="AN732" s="1" t="str">
        <f>IF(AND(Programme_Grunddaten!$A737="Geprüft",Programme_Grunddaten!AV737&lt;&gt;""),IF(Programme_Grunddaten!AV737="Ja",1,0),"")</f>
        <v/>
      </c>
    </row>
    <row r="733" spans="1:40" x14ac:dyDescent="0.3">
      <c r="A733" s="1" t="str">
        <f>IF(AND(Programme_Grunddaten!A738="Geprüft",Programme_Grunddaten!B738&lt;&gt;""),Programme_Grunddaten!B738,"")</f>
        <v/>
      </c>
      <c r="B733" s="1" t="str">
        <f>IF(AND(Programme_Grunddaten!$A738="Geprüft",Programme_Grunddaten!I738&lt;&gt;""),IF(Programme_Grunddaten!I738="Ja",1,0),"")</f>
        <v/>
      </c>
      <c r="C733" s="1" t="str">
        <f>IF(AND(Programme_Grunddaten!$A738="Geprüft",Programme_Grunddaten!J738&lt;&gt;""),IF(Programme_Grunddaten!J738="Ja",1,0),"")</f>
        <v/>
      </c>
      <c r="D733" s="1" t="str">
        <f>IF(AND(Programme_Grunddaten!$A738="Geprüft",Programme_Grunddaten!K738&lt;&gt;""),IF(Programme_Grunddaten!K738="Ja",1,0),"")</f>
        <v/>
      </c>
      <c r="E733" s="1" t="str">
        <f>IF(AND(Programme_Grunddaten!$A738="Geprüft",Programme_Grunddaten!L738&lt;&gt;""),IF(Programme_Grunddaten!L738="Abo / befristete Lizenz",1,0),"")</f>
        <v/>
      </c>
      <c r="F733" s="1" t="str">
        <f>IF(AND(Programme_Grunddaten!$A738="Geprüft",Programme_Grunddaten!M738&lt;&gt;""),IF(Programme_Grunddaten!M738="Ja",1,0),"")</f>
        <v/>
      </c>
      <c r="G733" s="1" t="str">
        <f>IF(AND(Programme_Grunddaten!$A738="Geprüft",Programme_Grunddaten!N738&lt;&gt;""),IF(Programme_Grunddaten!N738="Ja",1,0),"")</f>
        <v/>
      </c>
      <c r="H733" s="1" t="str">
        <f>IF(AND(Programme_Grunddaten!$A738="Geprüft",Programme_Grunddaten!O738&lt;&gt;""),IF(Programme_Grunddaten!O738="Deutschland",0,IF(Programme_Grunddaten!O738="EU",1,2)),"")</f>
        <v/>
      </c>
      <c r="I733" s="1" t="str">
        <f>IF(AND(Programme_Grunddaten!$A738="Geprüft",Programme_Grunddaten!P738&lt;&gt;""),IF(Programme_Grunddaten!P738="Ja",1,0),"")</f>
        <v/>
      </c>
      <c r="J733" s="1" t="str">
        <f>IF(AND(Programme_Grunddaten!$A738="Geprüft",Programme_Grunddaten!Q738&lt;&gt;""),IF(Programme_Grunddaten!Q738="geschlossenes System",1,0),"")</f>
        <v/>
      </c>
      <c r="K733" s="1" t="str">
        <f>IF(AND(Programme_Grunddaten!$A738="Geprüft",Programme_Grunddaten!R738&lt;&gt;""),IF(Programme_Grunddaten!R738="Ja",1,0),"")</f>
        <v/>
      </c>
      <c r="L733" s="1" t="str">
        <f>IF(AND(Programme_Grunddaten!$A738="Geprüft",Programme_Grunddaten!T738&lt;&gt;""),IF(Programme_Grunddaten!T738="Ja",1,0),"")</f>
        <v/>
      </c>
      <c r="M733" s="1" t="str">
        <f>IF(AND(Programme_Grunddaten!$A738="Geprüft",Programme_Grunddaten!U738&lt;&gt;""),IF(Programme_Grunddaten!U738="Ja",1,0),"")</f>
        <v/>
      </c>
      <c r="N733" s="1" t="str">
        <f>IF(AND(Programme_Grunddaten!$A738="Geprüft",Programme_Grunddaten!V738&lt;&gt;""),IF(Programme_Grunddaten!V738="Ja",1,0),"")</f>
        <v/>
      </c>
      <c r="O733" s="1" t="str">
        <f>IF(AND(Programme_Grunddaten!$A738="Geprüft",Programme_Grunddaten!W738&lt;&gt;""),IF(Programme_Grunddaten!W738="Ja",1,0),"")</f>
        <v/>
      </c>
      <c r="P733" s="1" t="str">
        <f>IF(AND(Programme_Grunddaten!$A738="Geprüft",Programme_Grunddaten!X738&lt;&gt;""),IF(Programme_Grunddaten!X738="Ja",1,0),"")</f>
        <v/>
      </c>
      <c r="Q733" s="1" t="str">
        <f>IF(AND(Programme_Grunddaten!$A738="Geprüft",Programme_Grunddaten!Y738&lt;&gt;""),IF(Programme_Grunddaten!Y738="Ja",1,0),"")</f>
        <v/>
      </c>
      <c r="R733" s="1" t="str">
        <f>IF(AND(Programme_Grunddaten!$A738="Geprüft",Programme_Grunddaten!Z738&lt;&gt;""),IF(Programme_Grunddaten!Z738="Ja",1,0),"")</f>
        <v/>
      </c>
      <c r="S733" s="1" t="str">
        <f>IF(AND(Programme_Grunddaten!$A738="Geprüft",Programme_Grunddaten!AA738&lt;&gt;""),IF(Programme_Grunddaten!AA738="monolithisch",1,0),"")</f>
        <v/>
      </c>
      <c r="T733" s="1" t="str">
        <f>IF(AND(Programme_Grunddaten!$A738="Geprüft",Programme_Grunddaten!AB738&lt;&gt;""),IF(Programme_Grunddaten!AB738="Ja",1,0),"")</f>
        <v/>
      </c>
      <c r="U733" s="1" t="str">
        <f>IF(AND(Programme_Grunddaten!$A738="Geprüft",Programme_Grunddaten!AC738&lt;&gt;""),IF(Programme_Grunddaten!AC738="Ja",1,0),"")</f>
        <v/>
      </c>
      <c r="V733" s="1" t="str">
        <f>IF(AND(Programme_Grunddaten!$A738="Geprüft",Programme_Grunddaten!AD738&lt;&gt;""),IF(Programme_Grunddaten!AD738="Ja",1,0),"")</f>
        <v/>
      </c>
      <c r="W733" s="1" t="str">
        <f>IF(AND(Programme_Grunddaten!$A738="Geprüft",Programme_Grunddaten!AE738&lt;&gt;""),IF(Programme_Grunddaten!AE738="Ja",1,0),"")</f>
        <v/>
      </c>
      <c r="X733" s="1" t="str">
        <f>IF(AND(Programme_Grunddaten!$A738="Geprüft",Programme_Grunddaten!AF738&lt;&gt;""),IF(Programme_Grunddaten!AF738="Ja",1,0),"")</f>
        <v/>
      </c>
      <c r="Y733" s="1" t="str">
        <f>IF(AND(Programme_Grunddaten!$A738="Geprüft",Programme_Grunddaten!AG738&lt;&gt;""),IF(Programme_Grunddaten!AG738="Ja",1,0),"")</f>
        <v/>
      </c>
      <c r="Z733" s="1" t="str">
        <f>IF(AND(Programme_Grunddaten!$A738="Geprüft",Programme_Grunddaten!AH738&lt;&gt;""),IF(Programme_Grunddaten!AH738="Ja",1,0),"")</f>
        <v/>
      </c>
      <c r="AA733" s="1" t="str">
        <f>IF(AND(Programme_Grunddaten!$A738="Geprüft",Programme_Grunddaten!AI738&lt;&gt;""),IF(Programme_Grunddaten!AI738="Ja",1,0),"")</f>
        <v/>
      </c>
      <c r="AB733" s="1" t="str">
        <f>IF(AND(Programme_Grunddaten!$A738="Geprüft",Programme_Grunddaten!AJ738&lt;&gt;""),IF(Programme_Grunddaten!AJ738="individuell programmierbar",1,0),"")</f>
        <v/>
      </c>
      <c r="AC733" s="1" t="str">
        <f>IF(AND(Programme_Grunddaten!$A738="Geprüft",Programme_Grunddaten!AK738&lt;&gt;""),IF(Programme_Grunddaten!AK738="Deutsch",0,IF(Programme_Grunddaten!AK738="Deutsch und Englisch",1,2)),"")</f>
        <v/>
      </c>
      <c r="AD733" s="1" t="str">
        <f>IF(AND(Programme_Grunddaten!$A738="Geprüft",Programme_Grunddaten!AL738&lt;&gt;""),IF(Programme_Grunddaten!AL738="Ja",1,0),"")</f>
        <v/>
      </c>
      <c r="AE733" s="1" t="str">
        <f>IF(AND(Programme_Grunddaten!$A738="Geprüft",Programme_Grunddaten!AM738&lt;&gt;""),IF(Programme_Grunddaten!AM738="Ja",1,0),"")</f>
        <v/>
      </c>
      <c r="AF733" s="1" t="str">
        <f>IF(AND(Programme_Grunddaten!$A738="Geprüft",Programme_Grunddaten!AN738&lt;&gt;""),IF(Programme_Grunddaten!AN738="Ja",1,0),"")</f>
        <v/>
      </c>
      <c r="AG733" s="1" t="str">
        <f>IF(AND(Programme_Grunddaten!$A738="Geprüft",Programme_Grunddaten!AO738&lt;&gt;""),IF(Programme_Grunddaten!AO738="Ja",1,0),"")</f>
        <v/>
      </c>
      <c r="AH733" s="1" t="str">
        <f>IF(AND(Programme_Grunddaten!$A738="Geprüft",Programme_Grunddaten!AP738&lt;&gt;""),IF(Programme_Grunddaten!AP738="Ja",1,0),"")</f>
        <v/>
      </c>
      <c r="AI733" s="1" t="str">
        <f>IF(AND(Programme_Grunddaten!$A738="Geprüft",Programme_Grunddaten!AQ738&lt;&gt;""),IF(Programme_Grunddaten!AQ738="Ja",1,0),"")</f>
        <v/>
      </c>
      <c r="AJ733" s="1" t="str">
        <f>IF(AND(Programme_Grunddaten!$A738="Geprüft",Programme_Grunddaten!AR738&lt;&gt;""),IF(Programme_Grunddaten!AR738="Ja",1,0),"")</f>
        <v/>
      </c>
      <c r="AK733" s="1" t="str">
        <f>IF(AND(Programme_Grunddaten!$A738="Geprüft",Programme_Grunddaten!AS738&lt;&gt;""),IF(Programme_Grunddaten!AS738="Ja",1,0),"")</f>
        <v/>
      </c>
      <c r="AL733" s="1" t="str">
        <f>IF(AND(Programme_Grunddaten!$A738="Geprüft",Programme_Grunddaten!AT738&lt;&gt;""),IF(Programme_Grunddaten!AT738="Ja",1,0),"")</f>
        <v/>
      </c>
      <c r="AM733" s="1" t="str">
        <f>IF(AND(Programme_Grunddaten!$A738="Geprüft",Programme_Grunddaten!AU738&lt;&gt;""),IF(Programme_Grunddaten!AU738="Ja",1,0),"")</f>
        <v/>
      </c>
      <c r="AN733" s="1" t="str">
        <f>IF(AND(Programme_Grunddaten!$A738="Geprüft",Programme_Grunddaten!AV738&lt;&gt;""),IF(Programme_Grunddaten!AV738="Ja",1,0),"")</f>
        <v/>
      </c>
    </row>
    <row r="734" spans="1:40" x14ac:dyDescent="0.3">
      <c r="A734" s="1" t="str">
        <f>IF(AND(Programme_Grunddaten!A739="Geprüft",Programme_Grunddaten!B739&lt;&gt;""),Programme_Grunddaten!B739,"")</f>
        <v/>
      </c>
      <c r="B734" s="1" t="str">
        <f>IF(AND(Programme_Grunddaten!$A739="Geprüft",Programme_Grunddaten!I739&lt;&gt;""),IF(Programme_Grunddaten!I739="Ja",1,0),"")</f>
        <v/>
      </c>
      <c r="C734" s="1" t="str">
        <f>IF(AND(Programme_Grunddaten!$A739="Geprüft",Programme_Grunddaten!J739&lt;&gt;""),IF(Programme_Grunddaten!J739="Ja",1,0),"")</f>
        <v/>
      </c>
      <c r="D734" s="1" t="str">
        <f>IF(AND(Programme_Grunddaten!$A739="Geprüft",Programme_Grunddaten!K739&lt;&gt;""),IF(Programme_Grunddaten!K739="Ja",1,0),"")</f>
        <v/>
      </c>
      <c r="E734" s="1" t="str">
        <f>IF(AND(Programme_Grunddaten!$A739="Geprüft",Programme_Grunddaten!L739&lt;&gt;""),IF(Programme_Grunddaten!L739="Abo / befristete Lizenz",1,0),"")</f>
        <v/>
      </c>
      <c r="F734" s="1" t="str">
        <f>IF(AND(Programme_Grunddaten!$A739="Geprüft",Programme_Grunddaten!M739&lt;&gt;""),IF(Programme_Grunddaten!M739="Ja",1,0),"")</f>
        <v/>
      </c>
      <c r="G734" s="1" t="str">
        <f>IF(AND(Programme_Grunddaten!$A739="Geprüft",Programme_Grunddaten!N739&lt;&gt;""),IF(Programme_Grunddaten!N739="Ja",1,0),"")</f>
        <v/>
      </c>
      <c r="H734" s="1" t="str">
        <f>IF(AND(Programme_Grunddaten!$A739="Geprüft",Programme_Grunddaten!O739&lt;&gt;""),IF(Programme_Grunddaten!O739="Deutschland",0,IF(Programme_Grunddaten!O739="EU",1,2)),"")</f>
        <v/>
      </c>
      <c r="I734" s="1" t="str">
        <f>IF(AND(Programme_Grunddaten!$A739="Geprüft",Programme_Grunddaten!P739&lt;&gt;""),IF(Programme_Grunddaten!P739="Ja",1,0),"")</f>
        <v/>
      </c>
      <c r="J734" s="1" t="str">
        <f>IF(AND(Programme_Grunddaten!$A739="Geprüft",Programme_Grunddaten!Q739&lt;&gt;""),IF(Programme_Grunddaten!Q739="geschlossenes System",1,0),"")</f>
        <v/>
      </c>
      <c r="K734" s="1" t="str">
        <f>IF(AND(Programme_Grunddaten!$A739="Geprüft",Programme_Grunddaten!R739&lt;&gt;""),IF(Programme_Grunddaten!R739="Ja",1,0),"")</f>
        <v/>
      </c>
      <c r="L734" s="1" t="str">
        <f>IF(AND(Programme_Grunddaten!$A739="Geprüft",Programme_Grunddaten!T739&lt;&gt;""),IF(Programme_Grunddaten!T739="Ja",1,0),"")</f>
        <v/>
      </c>
      <c r="M734" s="1" t="str">
        <f>IF(AND(Programme_Grunddaten!$A739="Geprüft",Programme_Grunddaten!U739&lt;&gt;""),IF(Programme_Grunddaten!U739="Ja",1,0),"")</f>
        <v/>
      </c>
      <c r="N734" s="1" t="str">
        <f>IF(AND(Programme_Grunddaten!$A739="Geprüft",Programme_Grunddaten!V739&lt;&gt;""),IF(Programme_Grunddaten!V739="Ja",1,0),"")</f>
        <v/>
      </c>
      <c r="O734" s="1" t="str">
        <f>IF(AND(Programme_Grunddaten!$A739="Geprüft",Programme_Grunddaten!W739&lt;&gt;""),IF(Programme_Grunddaten!W739="Ja",1,0),"")</f>
        <v/>
      </c>
      <c r="P734" s="1" t="str">
        <f>IF(AND(Programme_Grunddaten!$A739="Geprüft",Programme_Grunddaten!X739&lt;&gt;""),IF(Programme_Grunddaten!X739="Ja",1,0),"")</f>
        <v/>
      </c>
      <c r="Q734" s="1" t="str">
        <f>IF(AND(Programme_Grunddaten!$A739="Geprüft",Programme_Grunddaten!Y739&lt;&gt;""),IF(Programme_Grunddaten!Y739="Ja",1,0),"")</f>
        <v/>
      </c>
      <c r="R734" s="1" t="str">
        <f>IF(AND(Programme_Grunddaten!$A739="Geprüft",Programme_Grunddaten!Z739&lt;&gt;""),IF(Programme_Grunddaten!Z739="Ja",1,0),"")</f>
        <v/>
      </c>
      <c r="S734" s="1" t="str">
        <f>IF(AND(Programme_Grunddaten!$A739="Geprüft",Programme_Grunddaten!AA739&lt;&gt;""),IF(Programme_Grunddaten!AA739="monolithisch",1,0),"")</f>
        <v/>
      </c>
      <c r="T734" s="1" t="str">
        <f>IF(AND(Programme_Grunddaten!$A739="Geprüft",Programme_Grunddaten!AB739&lt;&gt;""),IF(Programme_Grunddaten!AB739="Ja",1,0),"")</f>
        <v/>
      </c>
      <c r="U734" s="1" t="str">
        <f>IF(AND(Programme_Grunddaten!$A739="Geprüft",Programme_Grunddaten!AC739&lt;&gt;""),IF(Programme_Grunddaten!AC739="Ja",1,0),"")</f>
        <v/>
      </c>
      <c r="V734" s="1" t="str">
        <f>IF(AND(Programme_Grunddaten!$A739="Geprüft",Programme_Grunddaten!AD739&lt;&gt;""),IF(Programme_Grunddaten!AD739="Ja",1,0),"")</f>
        <v/>
      </c>
      <c r="W734" s="1" t="str">
        <f>IF(AND(Programme_Grunddaten!$A739="Geprüft",Programme_Grunddaten!AE739&lt;&gt;""),IF(Programme_Grunddaten!AE739="Ja",1,0),"")</f>
        <v/>
      </c>
      <c r="X734" s="1" t="str">
        <f>IF(AND(Programme_Grunddaten!$A739="Geprüft",Programme_Grunddaten!AF739&lt;&gt;""),IF(Programme_Grunddaten!AF739="Ja",1,0),"")</f>
        <v/>
      </c>
      <c r="Y734" s="1" t="str">
        <f>IF(AND(Programme_Grunddaten!$A739="Geprüft",Programme_Grunddaten!AG739&lt;&gt;""),IF(Programme_Grunddaten!AG739="Ja",1,0),"")</f>
        <v/>
      </c>
      <c r="Z734" s="1" t="str">
        <f>IF(AND(Programme_Grunddaten!$A739="Geprüft",Programme_Grunddaten!AH739&lt;&gt;""),IF(Programme_Grunddaten!AH739="Ja",1,0),"")</f>
        <v/>
      </c>
      <c r="AA734" s="1" t="str">
        <f>IF(AND(Programme_Grunddaten!$A739="Geprüft",Programme_Grunddaten!AI739&lt;&gt;""),IF(Programme_Grunddaten!AI739="Ja",1,0),"")</f>
        <v/>
      </c>
      <c r="AB734" s="1" t="str">
        <f>IF(AND(Programme_Grunddaten!$A739="Geprüft",Programme_Grunddaten!AJ739&lt;&gt;""),IF(Programme_Grunddaten!AJ739="individuell programmierbar",1,0),"")</f>
        <v/>
      </c>
      <c r="AC734" s="1" t="str">
        <f>IF(AND(Programme_Grunddaten!$A739="Geprüft",Programme_Grunddaten!AK739&lt;&gt;""),IF(Programme_Grunddaten!AK739="Deutsch",0,IF(Programme_Grunddaten!AK739="Deutsch und Englisch",1,2)),"")</f>
        <v/>
      </c>
      <c r="AD734" s="1" t="str">
        <f>IF(AND(Programme_Grunddaten!$A739="Geprüft",Programme_Grunddaten!AL739&lt;&gt;""),IF(Programme_Grunddaten!AL739="Ja",1,0),"")</f>
        <v/>
      </c>
      <c r="AE734" s="1" t="str">
        <f>IF(AND(Programme_Grunddaten!$A739="Geprüft",Programme_Grunddaten!AM739&lt;&gt;""),IF(Programme_Grunddaten!AM739="Ja",1,0),"")</f>
        <v/>
      </c>
      <c r="AF734" s="1" t="str">
        <f>IF(AND(Programme_Grunddaten!$A739="Geprüft",Programme_Grunddaten!AN739&lt;&gt;""),IF(Programme_Grunddaten!AN739="Ja",1,0),"")</f>
        <v/>
      </c>
      <c r="AG734" s="1" t="str">
        <f>IF(AND(Programme_Grunddaten!$A739="Geprüft",Programme_Grunddaten!AO739&lt;&gt;""),IF(Programme_Grunddaten!AO739="Ja",1,0),"")</f>
        <v/>
      </c>
      <c r="AH734" s="1" t="str">
        <f>IF(AND(Programme_Grunddaten!$A739="Geprüft",Programme_Grunddaten!AP739&lt;&gt;""),IF(Programme_Grunddaten!AP739="Ja",1,0),"")</f>
        <v/>
      </c>
      <c r="AI734" s="1" t="str">
        <f>IF(AND(Programme_Grunddaten!$A739="Geprüft",Programme_Grunddaten!AQ739&lt;&gt;""),IF(Programme_Grunddaten!AQ739="Ja",1,0),"")</f>
        <v/>
      </c>
      <c r="AJ734" s="1" t="str">
        <f>IF(AND(Programme_Grunddaten!$A739="Geprüft",Programme_Grunddaten!AR739&lt;&gt;""),IF(Programme_Grunddaten!AR739="Ja",1,0),"")</f>
        <v/>
      </c>
      <c r="AK734" s="1" t="str">
        <f>IF(AND(Programme_Grunddaten!$A739="Geprüft",Programme_Grunddaten!AS739&lt;&gt;""),IF(Programme_Grunddaten!AS739="Ja",1,0),"")</f>
        <v/>
      </c>
      <c r="AL734" s="1" t="str">
        <f>IF(AND(Programme_Grunddaten!$A739="Geprüft",Programme_Grunddaten!AT739&lt;&gt;""),IF(Programme_Grunddaten!AT739="Ja",1,0),"")</f>
        <v/>
      </c>
      <c r="AM734" s="1" t="str">
        <f>IF(AND(Programme_Grunddaten!$A739="Geprüft",Programme_Grunddaten!AU739&lt;&gt;""),IF(Programme_Grunddaten!AU739="Ja",1,0),"")</f>
        <v/>
      </c>
      <c r="AN734" s="1" t="str">
        <f>IF(AND(Programme_Grunddaten!$A739="Geprüft",Programme_Grunddaten!AV739&lt;&gt;""),IF(Programme_Grunddaten!AV739="Ja",1,0),"")</f>
        <v/>
      </c>
    </row>
    <row r="735" spans="1:40" x14ac:dyDescent="0.3">
      <c r="A735" s="1" t="str">
        <f>IF(AND(Programme_Grunddaten!A740="Geprüft",Programme_Grunddaten!B740&lt;&gt;""),Programme_Grunddaten!B740,"")</f>
        <v/>
      </c>
      <c r="B735" s="1" t="str">
        <f>IF(AND(Programme_Grunddaten!$A740="Geprüft",Programme_Grunddaten!I740&lt;&gt;""),IF(Programme_Grunddaten!I740="Ja",1,0),"")</f>
        <v/>
      </c>
      <c r="C735" s="1" t="str">
        <f>IF(AND(Programme_Grunddaten!$A740="Geprüft",Programme_Grunddaten!J740&lt;&gt;""),IF(Programme_Grunddaten!J740="Ja",1,0),"")</f>
        <v/>
      </c>
      <c r="D735" s="1" t="str">
        <f>IF(AND(Programme_Grunddaten!$A740="Geprüft",Programme_Grunddaten!K740&lt;&gt;""),IF(Programme_Grunddaten!K740="Ja",1,0),"")</f>
        <v/>
      </c>
      <c r="E735" s="1" t="str">
        <f>IF(AND(Programme_Grunddaten!$A740="Geprüft",Programme_Grunddaten!L740&lt;&gt;""),IF(Programme_Grunddaten!L740="Abo / befristete Lizenz",1,0),"")</f>
        <v/>
      </c>
      <c r="F735" s="1" t="str">
        <f>IF(AND(Programme_Grunddaten!$A740="Geprüft",Programme_Grunddaten!M740&lt;&gt;""),IF(Programme_Grunddaten!M740="Ja",1,0),"")</f>
        <v/>
      </c>
      <c r="G735" s="1" t="str">
        <f>IF(AND(Programme_Grunddaten!$A740="Geprüft",Programme_Grunddaten!N740&lt;&gt;""),IF(Programme_Grunddaten!N740="Ja",1,0),"")</f>
        <v/>
      </c>
      <c r="H735" s="1" t="str">
        <f>IF(AND(Programme_Grunddaten!$A740="Geprüft",Programme_Grunddaten!O740&lt;&gt;""),IF(Programme_Grunddaten!O740="Deutschland",0,IF(Programme_Grunddaten!O740="EU",1,2)),"")</f>
        <v/>
      </c>
      <c r="I735" s="1" t="str">
        <f>IF(AND(Programme_Grunddaten!$A740="Geprüft",Programme_Grunddaten!P740&lt;&gt;""),IF(Programme_Grunddaten!P740="Ja",1,0),"")</f>
        <v/>
      </c>
      <c r="J735" s="1" t="str">
        <f>IF(AND(Programme_Grunddaten!$A740="Geprüft",Programme_Grunddaten!Q740&lt;&gt;""),IF(Programme_Grunddaten!Q740="geschlossenes System",1,0),"")</f>
        <v/>
      </c>
      <c r="K735" s="1" t="str">
        <f>IF(AND(Programme_Grunddaten!$A740="Geprüft",Programme_Grunddaten!R740&lt;&gt;""),IF(Programme_Grunddaten!R740="Ja",1,0),"")</f>
        <v/>
      </c>
      <c r="L735" s="1" t="str">
        <f>IF(AND(Programme_Grunddaten!$A740="Geprüft",Programme_Grunddaten!T740&lt;&gt;""),IF(Programme_Grunddaten!T740="Ja",1,0),"")</f>
        <v/>
      </c>
      <c r="M735" s="1" t="str">
        <f>IF(AND(Programme_Grunddaten!$A740="Geprüft",Programme_Grunddaten!U740&lt;&gt;""),IF(Programme_Grunddaten!U740="Ja",1,0),"")</f>
        <v/>
      </c>
      <c r="N735" s="1" t="str">
        <f>IF(AND(Programme_Grunddaten!$A740="Geprüft",Programme_Grunddaten!V740&lt;&gt;""),IF(Programme_Grunddaten!V740="Ja",1,0),"")</f>
        <v/>
      </c>
      <c r="O735" s="1" t="str">
        <f>IF(AND(Programme_Grunddaten!$A740="Geprüft",Programme_Grunddaten!W740&lt;&gt;""),IF(Programme_Grunddaten!W740="Ja",1,0),"")</f>
        <v/>
      </c>
      <c r="P735" s="1" t="str">
        <f>IF(AND(Programme_Grunddaten!$A740="Geprüft",Programme_Grunddaten!X740&lt;&gt;""),IF(Programme_Grunddaten!X740="Ja",1,0),"")</f>
        <v/>
      </c>
      <c r="Q735" s="1" t="str">
        <f>IF(AND(Programme_Grunddaten!$A740="Geprüft",Programme_Grunddaten!Y740&lt;&gt;""),IF(Programme_Grunddaten!Y740="Ja",1,0),"")</f>
        <v/>
      </c>
      <c r="R735" s="1" t="str">
        <f>IF(AND(Programme_Grunddaten!$A740="Geprüft",Programme_Grunddaten!Z740&lt;&gt;""),IF(Programme_Grunddaten!Z740="Ja",1,0),"")</f>
        <v/>
      </c>
      <c r="S735" s="1" t="str">
        <f>IF(AND(Programme_Grunddaten!$A740="Geprüft",Programme_Grunddaten!AA740&lt;&gt;""),IF(Programme_Grunddaten!AA740="monolithisch",1,0),"")</f>
        <v/>
      </c>
      <c r="T735" s="1" t="str">
        <f>IF(AND(Programme_Grunddaten!$A740="Geprüft",Programme_Grunddaten!AB740&lt;&gt;""),IF(Programme_Grunddaten!AB740="Ja",1,0),"")</f>
        <v/>
      </c>
      <c r="U735" s="1" t="str">
        <f>IF(AND(Programme_Grunddaten!$A740="Geprüft",Programme_Grunddaten!AC740&lt;&gt;""),IF(Programme_Grunddaten!AC740="Ja",1,0),"")</f>
        <v/>
      </c>
      <c r="V735" s="1" t="str">
        <f>IF(AND(Programme_Grunddaten!$A740="Geprüft",Programme_Grunddaten!AD740&lt;&gt;""),IF(Programme_Grunddaten!AD740="Ja",1,0),"")</f>
        <v/>
      </c>
      <c r="W735" s="1" t="str">
        <f>IF(AND(Programme_Grunddaten!$A740="Geprüft",Programme_Grunddaten!AE740&lt;&gt;""),IF(Programme_Grunddaten!AE740="Ja",1,0),"")</f>
        <v/>
      </c>
      <c r="X735" s="1" t="str">
        <f>IF(AND(Programme_Grunddaten!$A740="Geprüft",Programme_Grunddaten!AF740&lt;&gt;""),IF(Programme_Grunddaten!AF740="Ja",1,0),"")</f>
        <v/>
      </c>
      <c r="Y735" s="1" t="str">
        <f>IF(AND(Programme_Grunddaten!$A740="Geprüft",Programme_Grunddaten!AG740&lt;&gt;""),IF(Programme_Grunddaten!AG740="Ja",1,0),"")</f>
        <v/>
      </c>
      <c r="Z735" s="1" t="str">
        <f>IF(AND(Programme_Grunddaten!$A740="Geprüft",Programme_Grunddaten!AH740&lt;&gt;""),IF(Programme_Grunddaten!AH740="Ja",1,0),"")</f>
        <v/>
      </c>
      <c r="AA735" s="1" t="str">
        <f>IF(AND(Programme_Grunddaten!$A740="Geprüft",Programme_Grunddaten!AI740&lt;&gt;""),IF(Programme_Grunddaten!AI740="Ja",1,0),"")</f>
        <v/>
      </c>
      <c r="AB735" s="1" t="str">
        <f>IF(AND(Programme_Grunddaten!$A740="Geprüft",Programme_Grunddaten!AJ740&lt;&gt;""),IF(Programme_Grunddaten!AJ740="individuell programmierbar",1,0),"")</f>
        <v/>
      </c>
      <c r="AC735" s="1" t="str">
        <f>IF(AND(Programme_Grunddaten!$A740="Geprüft",Programme_Grunddaten!AK740&lt;&gt;""),IF(Programme_Grunddaten!AK740="Deutsch",0,IF(Programme_Grunddaten!AK740="Deutsch und Englisch",1,2)),"")</f>
        <v/>
      </c>
      <c r="AD735" s="1" t="str">
        <f>IF(AND(Programme_Grunddaten!$A740="Geprüft",Programme_Grunddaten!AL740&lt;&gt;""),IF(Programme_Grunddaten!AL740="Ja",1,0),"")</f>
        <v/>
      </c>
      <c r="AE735" s="1" t="str">
        <f>IF(AND(Programme_Grunddaten!$A740="Geprüft",Programme_Grunddaten!AM740&lt;&gt;""),IF(Programme_Grunddaten!AM740="Ja",1,0),"")</f>
        <v/>
      </c>
      <c r="AF735" s="1" t="str">
        <f>IF(AND(Programme_Grunddaten!$A740="Geprüft",Programme_Grunddaten!AN740&lt;&gt;""),IF(Programme_Grunddaten!AN740="Ja",1,0),"")</f>
        <v/>
      </c>
      <c r="AG735" s="1" t="str">
        <f>IF(AND(Programme_Grunddaten!$A740="Geprüft",Programme_Grunddaten!AO740&lt;&gt;""),IF(Programme_Grunddaten!AO740="Ja",1,0),"")</f>
        <v/>
      </c>
      <c r="AH735" s="1" t="str">
        <f>IF(AND(Programme_Grunddaten!$A740="Geprüft",Programme_Grunddaten!AP740&lt;&gt;""),IF(Programme_Grunddaten!AP740="Ja",1,0),"")</f>
        <v/>
      </c>
      <c r="AI735" s="1" t="str">
        <f>IF(AND(Programme_Grunddaten!$A740="Geprüft",Programme_Grunddaten!AQ740&lt;&gt;""),IF(Programme_Grunddaten!AQ740="Ja",1,0),"")</f>
        <v/>
      </c>
      <c r="AJ735" s="1" t="str">
        <f>IF(AND(Programme_Grunddaten!$A740="Geprüft",Programme_Grunddaten!AR740&lt;&gt;""),IF(Programme_Grunddaten!AR740="Ja",1,0),"")</f>
        <v/>
      </c>
      <c r="AK735" s="1" t="str">
        <f>IF(AND(Programme_Grunddaten!$A740="Geprüft",Programme_Grunddaten!AS740&lt;&gt;""),IF(Programme_Grunddaten!AS740="Ja",1,0),"")</f>
        <v/>
      </c>
      <c r="AL735" s="1" t="str">
        <f>IF(AND(Programme_Grunddaten!$A740="Geprüft",Programme_Grunddaten!AT740&lt;&gt;""),IF(Programme_Grunddaten!AT740="Ja",1,0),"")</f>
        <v/>
      </c>
      <c r="AM735" s="1" t="str">
        <f>IF(AND(Programme_Grunddaten!$A740="Geprüft",Programme_Grunddaten!AU740&lt;&gt;""),IF(Programme_Grunddaten!AU740="Ja",1,0),"")</f>
        <v/>
      </c>
      <c r="AN735" s="1" t="str">
        <f>IF(AND(Programme_Grunddaten!$A740="Geprüft",Programme_Grunddaten!AV740&lt;&gt;""),IF(Programme_Grunddaten!AV740="Ja",1,0),"")</f>
        <v/>
      </c>
    </row>
    <row r="736" spans="1:40" x14ac:dyDescent="0.3">
      <c r="A736" s="1" t="str">
        <f>IF(AND(Programme_Grunddaten!A741="Geprüft",Programme_Grunddaten!B741&lt;&gt;""),Programme_Grunddaten!B741,"")</f>
        <v/>
      </c>
      <c r="B736" s="1" t="str">
        <f>IF(AND(Programme_Grunddaten!$A741="Geprüft",Programme_Grunddaten!I741&lt;&gt;""),IF(Programme_Grunddaten!I741="Ja",1,0),"")</f>
        <v/>
      </c>
      <c r="C736" s="1" t="str">
        <f>IF(AND(Programme_Grunddaten!$A741="Geprüft",Programme_Grunddaten!J741&lt;&gt;""),IF(Programme_Grunddaten!J741="Ja",1,0),"")</f>
        <v/>
      </c>
      <c r="D736" s="1" t="str">
        <f>IF(AND(Programme_Grunddaten!$A741="Geprüft",Programme_Grunddaten!K741&lt;&gt;""),IF(Programme_Grunddaten!K741="Ja",1,0),"")</f>
        <v/>
      </c>
      <c r="E736" s="1" t="str">
        <f>IF(AND(Programme_Grunddaten!$A741="Geprüft",Programme_Grunddaten!L741&lt;&gt;""),IF(Programme_Grunddaten!L741="Abo / befristete Lizenz",1,0),"")</f>
        <v/>
      </c>
      <c r="F736" s="1" t="str">
        <f>IF(AND(Programme_Grunddaten!$A741="Geprüft",Programme_Grunddaten!M741&lt;&gt;""),IF(Programme_Grunddaten!M741="Ja",1,0),"")</f>
        <v/>
      </c>
      <c r="G736" s="1" t="str">
        <f>IF(AND(Programme_Grunddaten!$A741="Geprüft",Programme_Grunddaten!N741&lt;&gt;""),IF(Programme_Grunddaten!N741="Ja",1,0),"")</f>
        <v/>
      </c>
      <c r="H736" s="1" t="str">
        <f>IF(AND(Programme_Grunddaten!$A741="Geprüft",Programme_Grunddaten!O741&lt;&gt;""),IF(Programme_Grunddaten!O741="Deutschland",0,IF(Programme_Grunddaten!O741="EU",1,2)),"")</f>
        <v/>
      </c>
      <c r="I736" s="1" t="str">
        <f>IF(AND(Programme_Grunddaten!$A741="Geprüft",Programme_Grunddaten!P741&lt;&gt;""),IF(Programme_Grunddaten!P741="Ja",1,0),"")</f>
        <v/>
      </c>
      <c r="J736" s="1" t="str">
        <f>IF(AND(Programme_Grunddaten!$A741="Geprüft",Programme_Grunddaten!Q741&lt;&gt;""),IF(Programme_Grunddaten!Q741="geschlossenes System",1,0),"")</f>
        <v/>
      </c>
      <c r="K736" s="1" t="str">
        <f>IF(AND(Programme_Grunddaten!$A741="Geprüft",Programme_Grunddaten!R741&lt;&gt;""),IF(Programme_Grunddaten!R741="Ja",1,0),"")</f>
        <v/>
      </c>
      <c r="L736" s="1" t="str">
        <f>IF(AND(Programme_Grunddaten!$A741="Geprüft",Programme_Grunddaten!T741&lt;&gt;""),IF(Programme_Grunddaten!T741="Ja",1,0),"")</f>
        <v/>
      </c>
      <c r="M736" s="1" t="str">
        <f>IF(AND(Programme_Grunddaten!$A741="Geprüft",Programme_Grunddaten!U741&lt;&gt;""),IF(Programme_Grunddaten!U741="Ja",1,0),"")</f>
        <v/>
      </c>
      <c r="N736" s="1" t="str">
        <f>IF(AND(Programme_Grunddaten!$A741="Geprüft",Programme_Grunddaten!V741&lt;&gt;""),IF(Programme_Grunddaten!V741="Ja",1,0),"")</f>
        <v/>
      </c>
      <c r="O736" s="1" t="str">
        <f>IF(AND(Programme_Grunddaten!$A741="Geprüft",Programme_Grunddaten!W741&lt;&gt;""),IF(Programme_Grunddaten!W741="Ja",1,0),"")</f>
        <v/>
      </c>
      <c r="P736" s="1" t="str">
        <f>IF(AND(Programme_Grunddaten!$A741="Geprüft",Programme_Grunddaten!X741&lt;&gt;""),IF(Programme_Grunddaten!X741="Ja",1,0),"")</f>
        <v/>
      </c>
      <c r="Q736" s="1" t="str">
        <f>IF(AND(Programme_Grunddaten!$A741="Geprüft",Programme_Grunddaten!Y741&lt;&gt;""),IF(Programme_Grunddaten!Y741="Ja",1,0),"")</f>
        <v/>
      </c>
      <c r="R736" s="1" t="str">
        <f>IF(AND(Programme_Grunddaten!$A741="Geprüft",Programme_Grunddaten!Z741&lt;&gt;""),IF(Programme_Grunddaten!Z741="Ja",1,0),"")</f>
        <v/>
      </c>
      <c r="S736" s="1" t="str">
        <f>IF(AND(Programme_Grunddaten!$A741="Geprüft",Programme_Grunddaten!AA741&lt;&gt;""),IF(Programme_Grunddaten!AA741="monolithisch",1,0),"")</f>
        <v/>
      </c>
      <c r="T736" s="1" t="str">
        <f>IF(AND(Programme_Grunddaten!$A741="Geprüft",Programme_Grunddaten!AB741&lt;&gt;""),IF(Programme_Grunddaten!AB741="Ja",1,0),"")</f>
        <v/>
      </c>
      <c r="U736" s="1" t="str">
        <f>IF(AND(Programme_Grunddaten!$A741="Geprüft",Programme_Grunddaten!AC741&lt;&gt;""),IF(Programme_Grunddaten!AC741="Ja",1,0),"")</f>
        <v/>
      </c>
      <c r="V736" s="1" t="str">
        <f>IF(AND(Programme_Grunddaten!$A741="Geprüft",Programme_Grunddaten!AD741&lt;&gt;""),IF(Programme_Grunddaten!AD741="Ja",1,0),"")</f>
        <v/>
      </c>
      <c r="W736" s="1" t="str">
        <f>IF(AND(Programme_Grunddaten!$A741="Geprüft",Programme_Grunddaten!AE741&lt;&gt;""),IF(Programme_Grunddaten!AE741="Ja",1,0),"")</f>
        <v/>
      </c>
      <c r="X736" s="1" t="str">
        <f>IF(AND(Programme_Grunddaten!$A741="Geprüft",Programme_Grunddaten!AF741&lt;&gt;""),IF(Programme_Grunddaten!AF741="Ja",1,0),"")</f>
        <v/>
      </c>
      <c r="Y736" s="1" t="str">
        <f>IF(AND(Programme_Grunddaten!$A741="Geprüft",Programme_Grunddaten!AG741&lt;&gt;""),IF(Programme_Grunddaten!AG741="Ja",1,0),"")</f>
        <v/>
      </c>
      <c r="Z736" s="1" t="str">
        <f>IF(AND(Programme_Grunddaten!$A741="Geprüft",Programme_Grunddaten!AH741&lt;&gt;""),IF(Programme_Grunddaten!AH741="Ja",1,0),"")</f>
        <v/>
      </c>
      <c r="AA736" s="1" t="str">
        <f>IF(AND(Programme_Grunddaten!$A741="Geprüft",Programme_Grunddaten!AI741&lt;&gt;""),IF(Programme_Grunddaten!AI741="Ja",1,0),"")</f>
        <v/>
      </c>
      <c r="AB736" s="1" t="str">
        <f>IF(AND(Programme_Grunddaten!$A741="Geprüft",Programme_Grunddaten!AJ741&lt;&gt;""),IF(Programme_Grunddaten!AJ741="individuell programmierbar",1,0),"")</f>
        <v/>
      </c>
      <c r="AC736" s="1" t="str">
        <f>IF(AND(Programme_Grunddaten!$A741="Geprüft",Programme_Grunddaten!AK741&lt;&gt;""),IF(Programme_Grunddaten!AK741="Deutsch",0,IF(Programme_Grunddaten!AK741="Deutsch und Englisch",1,2)),"")</f>
        <v/>
      </c>
      <c r="AD736" s="1" t="str">
        <f>IF(AND(Programme_Grunddaten!$A741="Geprüft",Programme_Grunddaten!AL741&lt;&gt;""),IF(Programme_Grunddaten!AL741="Ja",1,0),"")</f>
        <v/>
      </c>
      <c r="AE736" s="1" t="str">
        <f>IF(AND(Programme_Grunddaten!$A741="Geprüft",Programme_Grunddaten!AM741&lt;&gt;""),IF(Programme_Grunddaten!AM741="Ja",1,0),"")</f>
        <v/>
      </c>
      <c r="AF736" s="1" t="str">
        <f>IF(AND(Programme_Grunddaten!$A741="Geprüft",Programme_Grunddaten!AN741&lt;&gt;""),IF(Programme_Grunddaten!AN741="Ja",1,0),"")</f>
        <v/>
      </c>
      <c r="AG736" s="1" t="str">
        <f>IF(AND(Programme_Grunddaten!$A741="Geprüft",Programme_Grunddaten!AO741&lt;&gt;""),IF(Programme_Grunddaten!AO741="Ja",1,0),"")</f>
        <v/>
      </c>
      <c r="AH736" s="1" t="str">
        <f>IF(AND(Programme_Grunddaten!$A741="Geprüft",Programme_Grunddaten!AP741&lt;&gt;""),IF(Programme_Grunddaten!AP741="Ja",1,0),"")</f>
        <v/>
      </c>
      <c r="AI736" s="1" t="str">
        <f>IF(AND(Programme_Grunddaten!$A741="Geprüft",Programme_Grunddaten!AQ741&lt;&gt;""),IF(Programme_Grunddaten!AQ741="Ja",1,0),"")</f>
        <v/>
      </c>
      <c r="AJ736" s="1" t="str">
        <f>IF(AND(Programme_Grunddaten!$A741="Geprüft",Programme_Grunddaten!AR741&lt;&gt;""),IF(Programme_Grunddaten!AR741="Ja",1,0),"")</f>
        <v/>
      </c>
      <c r="AK736" s="1" t="str">
        <f>IF(AND(Programme_Grunddaten!$A741="Geprüft",Programme_Grunddaten!AS741&lt;&gt;""),IF(Programme_Grunddaten!AS741="Ja",1,0),"")</f>
        <v/>
      </c>
      <c r="AL736" s="1" t="str">
        <f>IF(AND(Programme_Grunddaten!$A741="Geprüft",Programme_Grunddaten!AT741&lt;&gt;""),IF(Programme_Grunddaten!AT741="Ja",1,0),"")</f>
        <v/>
      </c>
      <c r="AM736" s="1" t="str">
        <f>IF(AND(Programme_Grunddaten!$A741="Geprüft",Programme_Grunddaten!AU741&lt;&gt;""),IF(Programme_Grunddaten!AU741="Ja",1,0),"")</f>
        <v/>
      </c>
      <c r="AN736" s="1" t="str">
        <f>IF(AND(Programme_Grunddaten!$A741="Geprüft",Programme_Grunddaten!AV741&lt;&gt;""),IF(Programme_Grunddaten!AV741="Ja",1,0),"")</f>
        <v/>
      </c>
    </row>
    <row r="737" spans="1:40" x14ac:dyDescent="0.3">
      <c r="A737" s="1" t="str">
        <f>IF(AND(Programme_Grunddaten!A742="Geprüft",Programme_Grunddaten!B742&lt;&gt;""),Programme_Grunddaten!B742,"")</f>
        <v/>
      </c>
      <c r="B737" s="1" t="str">
        <f>IF(AND(Programme_Grunddaten!$A742="Geprüft",Programme_Grunddaten!I742&lt;&gt;""),IF(Programme_Grunddaten!I742="Ja",1,0),"")</f>
        <v/>
      </c>
      <c r="C737" s="1" t="str">
        <f>IF(AND(Programme_Grunddaten!$A742="Geprüft",Programme_Grunddaten!J742&lt;&gt;""),IF(Programme_Grunddaten!J742="Ja",1,0),"")</f>
        <v/>
      </c>
      <c r="D737" s="1" t="str">
        <f>IF(AND(Programme_Grunddaten!$A742="Geprüft",Programme_Grunddaten!K742&lt;&gt;""),IF(Programme_Grunddaten!K742="Ja",1,0),"")</f>
        <v/>
      </c>
      <c r="E737" s="1" t="str">
        <f>IF(AND(Programme_Grunddaten!$A742="Geprüft",Programme_Grunddaten!L742&lt;&gt;""),IF(Programme_Grunddaten!L742="Abo / befristete Lizenz",1,0),"")</f>
        <v/>
      </c>
      <c r="F737" s="1" t="str">
        <f>IF(AND(Programme_Grunddaten!$A742="Geprüft",Programme_Grunddaten!M742&lt;&gt;""),IF(Programme_Grunddaten!M742="Ja",1,0),"")</f>
        <v/>
      </c>
      <c r="G737" s="1" t="str">
        <f>IF(AND(Programme_Grunddaten!$A742="Geprüft",Programme_Grunddaten!N742&lt;&gt;""),IF(Programme_Grunddaten!N742="Ja",1,0),"")</f>
        <v/>
      </c>
      <c r="H737" s="1" t="str">
        <f>IF(AND(Programme_Grunddaten!$A742="Geprüft",Programme_Grunddaten!O742&lt;&gt;""),IF(Programme_Grunddaten!O742="Deutschland",0,IF(Programme_Grunddaten!O742="EU",1,2)),"")</f>
        <v/>
      </c>
      <c r="I737" s="1" t="str">
        <f>IF(AND(Programme_Grunddaten!$A742="Geprüft",Programme_Grunddaten!P742&lt;&gt;""),IF(Programme_Grunddaten!P742="Ja",1,0),"")</f>
        <v/>
      </c>
      <c r="J737" s="1" t="str">
        <f>IF(AND(Programme_Grunddaten!$A742="Geprüft",Programme_Grunddaten!Q742&lt;&gt;""),IF(Programme_Grunddaten!Q742="geschlossenes System",1,0),"")</f>
        <v/>
      </c>
      <c r="K737" s="1" t="str">
        <f>IF(AND(Programme_Grunddaten!$A742="Geprüft",Programme_Grunddaten!R742&lt;&gt;""),IF(Programme_Grunddaten!R742="Ja",1,0),"")</f>
        <v/>
      </c>
      <c r="L737" s="1" t="str">
        <f>IF(AND(Programme_Grunddaten!$A742="Geprüft",Programme_Grunddaten!T742&lt;&gt;""),IF(Programme_Grunddaten!T742="Ja",1,0),"")</f>
        <v/>
      </c>
      <c r="M737" s="1" t="str">
        <f>IF(AND(Programme_Grunddaten!$A742="Geprüft",Programme_Grunddaten!U742&lt;&gt;""),IF(Programme_Grunddaten!U742="Ja",1,0),"")</f>
        <v/>
      </c>
      <c r="N737" s="1" t="str">
        <f>IF(AND(Programme_Grunddaten!$A742="Geprüft",Programme_Grunddaten!V742&lt;&gt;""),IF(Programme_Grunddaten!V742="Ja",1,0),"")</f>
        <v/>
      </c>
      <c r="O737" s="1" t="str">
        <f>IF(AND(Programme_Grunddaten!$A742="Geprüft",Programme_Grunddaten!W742&lt;&gt;""),IF(Programme_Grunddaten!W742="Ja",1,0),"")</f>
        <v/>
      </c>
      <c r="P737" s="1" t="str">
        <f>IF(AND(Programme_Grunddaten!$A742="Geprüft",Programme_Grunddaten!X742&lt;&gt;""),IF(Programme_Grunddaten!X742="Ja",1,0),"")</f>
        <v/>
      </c>
      <c r="Q737" s="1" t="str">
        <f>IF(AND(Programme_Grunddaten!$A742="Geprüft",Programme_Grunddaten!Y742&lt;&gt;""),IF(Programme_Grunddaten!Y742="Ja",1,0),"")</f>
        <v/>
      </c>
      <c r="R737" s="1" t="str">
        <f>IF(AND(Programme_Grunddaten!$A742="Geprüft",Programme_Grunddaten!Z742&lt;&gt;""),IF(Programme_Grunddaten!Z742="Ja",1,0),"")</f>
        <v/>
      </c>
      <c r="S737" s="1" t="str">
        <f>IF(AND(Programme_Grunddaten!$A742="Geprüft",Programme_Grunddaten!AA742&lt;&gt;""),IF(Programme_Grunddaten!AA742="monolithisch",1,0),"")</f>
        <v/>
      </c>
      <c r="T737" s="1" t="str">
        <f>IF(AND(Programme_Grunddaten!$A742="Geprüft",Programme_Grunddaten!AB742&lt;&gt;""),IF(Programme_Grunddaten!AB742="Ja",1,0),"")</f>
        <v/>
      </c>
      <c r="U737" s="1" t="str">
        <f>IF(AND(Programme_Grunddaten!$A742="Geprüft",Programme_Grunddaten!AC742&lt;&gt;""),IF(Programme_Grunddaten!AC742="Ja",1,0),"")</f>
        <v/>
      </c>
      <c r="V737" s="1" t="str">
        <f>IF(AND(Programme_Grunddaten!$A742="Geprüft",Programme_Grunddaten!AD742&lt;&gt;""),IF(Programme_Grunddaten!AD742="Ja",1,0),"")</f>
        <v/>
      </c>
      <c r="W737" s="1" t="str">
        <f>IF(AND(Programme_Grunddaten!$A742="Geprüft",Programme_Grunddaten!AE742&lt;&gt;""),IF(Programme_Grunddaten!AE742="Ja",1,0),"")</f>
        <v/>
      </c>
      <c r="X737" s="1" t="str">
        <f>IF(AND(Programme_Grunddaten!$A742="Geprüft",Programme_Grunddaten!AF742&lt;&gt;""),IF(Programme_Grunddaten!AF742="Ja",1,0),"")</f>
        <v/>
      </c>
      <c r="Y737" s="1" t="str">
        <f>IF(AND(Programme_Grunddaten!$A742="Geprüft",Programme_Grunddaten!AG742&lt;&gt;""),IF(Programme_Grunddaten!AG742="Ja",1,0),"")</f>
        <v/>
      </c>
      <c r="Z737" s="1" t="str">
        <f>IF(AND(Programme_Grunddaten!$A742="Geprüft",Programme_Grunddaten!AH742&lt;&gt;""),IF(Programme_Grunddaten!AH742="Ja",1,0),"")</f>
        <v/>
      </c>
      <c r="AA737" s="1" t="str">
        <f>IF(AND(Programme_Grunddaten!$A742="Geprüft",Programme_Grunddaten!AI742&lt;&gt;""),IF(Programme_Grunddaten!AI742="Ja",1,0),"")</f>
        <v/>
      </c>
      <c r="AB737" s="1" t="str">
        <f>IF(AND(Programme_Grunddaten!$A742="Geprüft",Programme_Grunddaten!AJ742&lt;&gt;""),IF(Programme_Grunddaten!AJ742="individuell programmierbar",1,0),"")</f>
        <v/>
      </c>
      <c r="AC737" s="1" t="str">
        <f>IF(AND(Programme_Grunddaten!$A742="Geprüft",Programme_Grunddaten!AK742&lt;&gt;""),IF(Programme_Grunddaten!AK742="Deutsch",0,IF(Programme_Grunddaten!AK742="Deutsch und Englisch",1,2)),"")</f>
        <v/>
      </c>
      <c r="AD737" s="1" t="str">
        <f>IF(AND(Programme_Grunddaten!$A742="Geprüft",Programme_Grunddaten!AL742&lt;&gt;""),IF(Programme_Grunddaten!AL742="Ja",1,0),"")</f>
        <v/>
      </c>
      <c r="AE737" s="1" t="str">
        <f>IF(AND(Programme_Grunddaten!$A742="Geprüft",Programme_Grunddaten!AM742&lt;&gt;""),IF(Programme_Grunddaten!AM742="Ja",1,0),"")</f>
        <v/>
      </c>
      <c r="AF737" s="1" t="str">
        <f>IF(AND(Programme_Grunddaten!$A742="Geprüft",Programme_Grunddaten!AN742&lt;&gt;""),IF(Programme_Grunddaten!AN742="Ja",1,0),"")</f>
        <v/>
      </c>
      <c r="AG737" s="1" t="str">
        <f>IF(AND(Programme_Grunddaten!$A742="Geprüft",Programme_Grunddaten!AO742&lt;&gt;""),IF(Programme_Grunddaten!AO742="Ja",1,0),"")</f>
        <v/>
      </c>
      <c r="AH737" s="1" t="str">
        <f>IF(AND(Programme_Grunddaten!$A742="Geprüft",Programme_Grunddaten!AP742&lt;&gt;""),IF(Programme_Grunddaten!AP742="Ja",1,0),"")</f>
        <v/>
      </c>
      <c r="AI737" s="1" t="str">
        <f>IF(AND(Programme_Grunddaten!$A742="Geprüft",Programme_Grunddaten!AQ742&lt;&gt;""),IF(Programme_Grunddaten!AQ742="Ja",1,0),"")</f>
        <v/>
      </c>
      <c r="AJ737" s="1" t="str">
        <f>IF(AND(Programme_Grunddaten!$A742="Geprüft",Programme_Grunddaten!AR742&lt;&gt;""),IF(Programme_Grunddaten!AR742="Ja",1,0),"")</f>
        <v/>
      </c>
      <c r="AK737" s="1" t="str">
        <f>IF(AND(Programme_Grunddaten!$A742="Geprüft",Programme_Grunddaten!AS742&lt;&gt;""),IF(Programme_Grunddaten!AS742="Ja",1,0),"")</f>
        <v/>
      </c>
      <c r="AL737" s="1" t="str">
        <f>IF(AND(Programme_Grunddaten!$A742="Geprüft",Programme_Grunddaten!AT742&lt;&gt;""),IF(Programme_Grunddaten!AT742="Ja",1,0),"")</f>
        <v/>
      </c>
      <c r="AM737" s="1" t="str">
        <f>IF(AND(Programme_Grunddaten!$A742="Geprüft",Programme_Grunddaten!AU742&lt;&gt;""),IF(Programme_Grunddaten!AU742="Ja",1,0),"")</f>
        <v/>
      </c>
      <c r="AN737" s="1" t="str">
        <f>IF(AND(Programme_Grunddaten!$A742="Geprüft",Programme_Grunddaten!AV742&lt;&gt;""),IF(Programme_Grunddaten!AV742="Ja",1,0),"")</f>
        <v/>
      </c>
    </row>
    <row r="738" spans="1:40" x14ac:dyDescent="0.3">
      <c r="A738" s="1" t="str">
        <f>IF(AND(Programme_Grunddaten!A743="Geprüft",Programme_Grunddaten!B743&lt;&gt;""),Programme_Grunddaten!B743,"")</f>
        <v/>
      </c>
      <c r="B738" s="1" t="str">
        <f>IF(AND(Programme_Grunddaten!$A743="Geprüft",Programme_Grunddaten!I743&lt;&gt;""),IF(Programme_Grunddaten!I743="Ja",1,0),"")</f>
        <v/>
      </c>
      <c r="C738" s="1" t="str">
        <f>IF(AND(Programme_Grunddaten!$A743="Geprüft",Programme_Grunddaten!J743&lt;&gt;""),IF(Programme_Grunddaten!J743="Ja",1,0),"")</f>
        <v/>
      </c>
      <c r="D738" s="1" t="str">
        <f>IF(AND(Programme_Grunddaten!$A743="Geprüft",Programme_Grunddaten!K743&lt;&gt;""),IF(Programme_Grunddaten!K743="Ja",1,0),"")</f>
        <v/>
      </c>
      <c r="E738" s="1" t="str">
        <f>IF(AND(Programme_Grunddaten!$A743="Geprüft",Programme_Grunddaten!L743&lt;&gt;""),IF(Programme_Grunddaten!L743="Abo / befristete Lizenz",1,0),"")</f>
        <v/>
      </c>
      <c r="F738" s="1" t="str">
        <f>IF(AND(Programme_Grunddaten!$A743="Geprüft",Programme_Grunddaten!M743&lt;&gt;""),IF(Programme_Grunddaten!M743="Ja",1,0),"")</f>
        <v/>
      </c>
      <c r="G738" s="1" t="str">
        <f>IF(AND(Programme_Grunddaten!$A743="Geprüft",Programme_Grunddaten!N743&lt;&gt;""),IF(Programme_Grunddaten!N743="Ja",1,0),"")</f>
        <v/>
      </c>
      <c r="H738" s="1" t="str">
        <f>IF(AND(Programme_Grunddaten!$A743="Geprüft",Programme_Grunddaten!O743&lt;&gt;""),IF(Programme_Grunddaten!O743="Deutschland",0,IF(Programme_Grunddaten!O743="EU",1,2)),"")</f>
        <v/>
      </c>
      <c r="I738" s="1" t="str">
        <f>IF(AND(Programme_Grunddaten!$A743="Geprüft",Programme_Grunddaten!P743&lt;&gt;""),IF(Programme_Grunddaten!P743="Ja",1,0),"")</f>
        <v/>
      </c>
      <c r="J738" s="1" t="str">
        <f>IF(AND(Programme_Grunddaten!$A743="Geprüft",Programme_Grunddaten!Q743&lt;&gt;""),IF(Programme_Grunddaten!Q743="geschlossenes System",1,0),"")</f>
        <v/>
      </c>
      <c r="K738" s="1" t="str">
        <f>IF(AND(Programme_Grunddaten!$A743="Geprüft",Programme_Grunddaten!R743&lt;&gt;""),IF(Programme_Grunddaten!R743="Ja",1,0),"")</f>
        <v/>
      </c>
      <c r="L738" s="1" t="str">
        <f>IF(AND(Programme_Grunddaten!$A743="Geprüft",Programme_Grunddaten!T743&lt;&gt;""),IF(Programme_Grunddaten!T743="Ja",1,0),"")</f>
        <v/>
      </c>
      <c r="M738" s="1" t="str">
        <f>IF(AND(Programme_Grunddaten!$A743="Geprüft",Programme_Grunddaten!U743&lt;&gt;""),IF(Programme_Grunddaten!U743="Ja",1,0),"")</f>
        <v/>
      </c>
      <c r="N738" s="1" t="str">
        <f>IF(AND(Programme_Grunddaten!$A743="Geprüft",Programme_Grunddaten!V743&lt;&gt;""),IF(Programme_Grunddaten!V743="Ja",1,0),"")</f>
        <v/>
      </c>
      <c r="O738" s="1" t="str">
        <f>IF(AND(Programme_Grunddaten!$A743="Geprüft",Programme_Grunddaten!W743&lt;&gt;""),IF(Programme_Grunddaten!W743="Ja",1,0),"")</f>
        <v/>
      </c>
      <c r="P738" s="1" t="str">
        <f>IF(AND(Programme_Grunddaten!$A743="Geprüft",Programme_Grunddaten!X743&lt;&gt;""),IF(Programme_Grunddaten!X743="Ja",1,0),"")</f>
        <v/>
      </c>
      <c r="Q738" s="1" t="str">
        <f>IF(AND(Programme_Grunddaten!$A743="Geprüft",Programme_Grunddaten!Y743&lt;&gt;""),IF(Programme_Grunddaten!Y743="Ja",1,0),"")</f>
        <v/>
      </c>
      <c r="R738" s="1" t="str">
        <f>IF(AND(Programme_Grunddaten!$A743="Geprüft",Programme_Grunddaten!Z743&lt;&gt;""),IF(Programme_Grunddaten!Z743="Ja",1,0),"")</f>
        <v/>
      </c>
      <c r="S738" s="1" t="str">
        <f>IF(AND(Programme_Grunddaten!$A743="Geprüft",Programme_Grunddaten!AA743&lt;&gt;""),IF(Programme_Grunddaten!AA743="monolithisch",1,0),"")</f>
        <v/>
      </c>
      <c r="T738" s="1" t="str">
        <f>IF(AND(Programme_Grunddaten!$A743="Geprüft",Programme_Grunddaten!AB743&lt;&gt;""),IF(Programme_Grunddaten!AB743="Ja",1,0),"")</f>
        <v/>
      </c>
      <c r="U738" s="1" t="str">
        <f>IF(AND(Programme_Grunddaten!$A743="Geprüft",Programme_Grunddaten!AC743&lt;&gt;""),IF(Programme_Grunddaten!AC743="Ja",1,0),"")</f>
        <v/>
      </c>
      <c r="V738" s="1" t="str">
        <f>IF(AND(Programme_Grunddaten!$A743="Geprüft",Programme_Grunddaten!AD743&lt;&gt;""),IF(Programme_Grunddaten!AD743="Ja",1,0),"")</f>
        <v/>
      </c>
      <c r="W738" s="1" t="str">
        <f>IF(AND(Programme_Grunddaten!$A743="Geprüft",Programme_Grunddaten!AE743&lt;&gt;""),IF(Programme_Grunddaten!AE743="Ja",1,0),"")</f>
        <v/>
      </c>
      <c r="X738" s="1" t="str">
        <f>IF(AND(Programme_Grunddaten!$A743="Geprüft",Programme_Grunddaten!AF743&lt;&gt;""),IF(Programme_Grunddaten!AF743="Ja",1,0),"")</f>
        <v/>
      </c>
      <c r="Y738" s="1" t="str">
        <f>IF(AND(Programme_Grunddaten!$A743="Geprüft",Programme_Grunddaten!AG743&lt;&gt;""),IF(Programme_Grunddaten!AG743="Ja",1,0),"")</f>
        <v/>
      </c>
      <c r="Z738" s="1" t="str">
        <f>IF(AND(Programme_Grunddaten!$A743="Geprüft",Programme_Grunddaten!AH743&lt;&gt;""),IF(Programme_Grunddaten!AH743="Ja",1,0),"")</f>
        <v/>
      </c>
      <c r="AA738" s="1" t="str">
        <f>IF(AND(Programme_Grunddaten!$A743="Geprüft",Programme_Grunddaten!AI743&lt;&gt;""),IF(Programme_Grunddaten!AI743="Ja",1,0),"")</f>
        <v/>
      </c>
      <c r="AB738" s="1" t="str">
        <f>IF(AND(Programme_Grunddaten!$A743="Geprüft",Programme_Grunddaten!AJ743&lt;&gt;""),IF(Programme_Grunddaten!AJ743="individuell programmierbar",1,0),"")</f>
        <v/>
      </c>
      <c r="AC738" s="1" t="str">
        <f>IF(AND(Programme_Grunddaten!$A743="Geprüft",Programme_Grunddaten!AK743&lt;&gt;""),IF(Programme_Grunddaten!AK743="Deutsch",0,IF(Programme_Grunddaten!AK743="Deutsch und Englisch",1,2)),"")</f>
        <v/>
      </c>
      <c r="AD738" s="1" t="str">
        <f>IF(AND(Programme_Grunddaten!$A743="Geprüft",Programme_Grunddaten!AL743&lt;&gt;""),IF(Programme_Grunddaten!AL743="Ja",1,0),"")</f>
        <v/>
      </c>
      <c r="AE738" s="1" t="str">
        <f>IF(AND(Programme_Grunddaten!$A743="Geprüft",Programme_Grunddaten!AM743&lt;&gt;""),IF(Programme_Grunddaten!AM743="Ja",1,0),"")</f>
        <v/>
      </c>
      <c r="AF738" s="1" t="str">
        <f>IF(AND(Programme_Grunddaten!$A743="Geprüft",Programme_Grunddaten!AN743&lt;&gt;""),IF(Programme_Grunddaten!AN743="Ja",1,0),"")</f>
        <v/>
      </c>
      <c r="AG738" s="1" t="str">
        <f>IF(AND(Programme_Grunddaten!$A743="Geprüft",Programme_Grunddaten!AO743&lt;&gt;""),IF(Programme_Grunddaten!AO743="Ja",1,0),"")</f>
        <v/>
      </c>
      <c r="AH738" s="1" t="str">
        <f>IF(AND(Programme_Grunddaten!$A743="Geprüft",Programme_Grunddaten!AP743&lt;&gt;""),IF(Programme_Grunddaten!AP743="Ja",1,0),"")</f>
        <v/>
      </c>
      <c r="AI738" s="1" t="str">
        <f>IF(AND(Programme_Grunddaten!$A743="Geprüft",Programme_Grunddaten!AQ743&lt;&gt;""),IF(Programme_Grunddaten!AQ743="Ja",1,0),"")</f>
        <v/>
      </c>
      <c r="AJ738" s="1" t="str">
        <f>IF(AND(Programme_Grunddaten!$A743="Geprüft",Programme_Grunddaten!AR743&lt;&gt;""),IF(Programme_Grunddaten!AR743="Ja",1,0),"")</f>
        <v/>
      </c>
      <c r="AK738" s="1" t="str">
        <f>IF(AND(Programme_Grunddaten!$A743="Geprüft",Programme_Grunddaten!AS743&lt;&gt;""),IF(Programme_Grunddaten!AS743="Ja",1,0),"")</f>
        <v/>
      </c>
      <c r="AL738" s="1" t="str">
        <f>IF(AND(Programme_Grunddaten!$A743="Geprüft",Programme_Grunddaten!AT743&lt;&gt;""),IF(Programme_Grunddaten!AT743="Ja",1,0),"")</f>
        <v/>
      </c>
      <c r="AM738" s="1" t="str">
        <f>IF(AND(Programme_Grunddaten!$A743="Geprüft",Programme_Grunddaten!AU743&lt;&gt;""),IF(Programme_Grunddaten!AU743="Ja",1,0),"")</f>
        <v/>
      </c>
      <c r="AN738" s="1" t="str">
        <f>IF(AND(Programme_Grunddaten!$A743="Geprüft",Programme_Grunddaten!AV743&lt;&gt;""),IF(Programme_Grunddaten!AV743="Ja",1,0),"")</f>
        <v/>
      </c>
    </row>
    <row r="739" spans="1:40" x14ac:dyDescent="0.3">
      <c r="A739" s="1" t="str">
        <f>IF(AND(Programme_Grunddaten!A744="Geprüft",Programme_Grunddaten!B744&lt;&gt;""),Programme_Grunddaten!B744,"")</f>
        <v/>
      </c>
      <c r="B739" s="1" t="str">
        <f>IF(AND(Programme_Grunddaten!$A744="Geprüft",Programme_Grunddaten!I744&lt;&gt;""),IF(Programme_Grunddaten!I744="Ja",1,0),"")</f>
        <v/>
      </c>
      <c r="C739" s="1" t="str">
        <f>IF(AND(Programme_Grunddaten!$A744="Geprüft",Programme_Grunddaten!J744&lt;&gt;""),IF(Programme_Grunddaten!J744="Ja",1,0),"")</f>
        <v/>
      </c>
      <c r="D739" s="1" t="str">
        <f>IF(AND(Programme_Grunddaten!$A744="Geprüft",Programme_Grunddaten!K744&lt;&gt;""),IF(Programme_Grunddaten!K744="Ja",1,0),"")</f>
        <v/>
      </c>
      <c r="E739" s="1" t="str">
        <f>IF(AND(Programme_Grunddaten!$A744="Geprüft",Programme_Grunddaten!L744&lt;&gt;""),IF(Programme_Grunddaten!L744="Abo / befristete Lizenz",1,0),"")</f>
        <v/>
      </c>
      <c r="F739" s="1" t="str">
        <f>IF(AND(Programme_Grunddaten!$A744="Geprüft",Programme_Grunddaten!M744&lt;&gt;""),IF(Programme_Grunddaten!M744="Ja",1,0),"")</f>
        <v/>
      </c>
      <c r="G739" s="1" t="str">
        <f>IF(AND(Programme_Grunddaten!$A744="Geprüft",Programme_Grunddaten!N744&lt;&gt;""),IF(Programme_Grunddaten!N744="Ja",1,0),"")</f>
        <v/>
      </c>
      <c r="H739" s="1" t="str">
        <f>IF(AND(Programme_Grunddaten!$A744="Geprüft",Programme_Grunddaten!O744&lt;&gt;""),IF(Programme_Grunddaten!O744="Deutschland",0,IF(Programme_Grunddaten!O744="EU",1,2)),"")</f>
        <v/>
      </c>
      <c r="I739" s="1" t="str">
        <f>IF(AND(Programme_Grunddaten!$A744="Geprüft",Programme_Grunddaten!P744&lt;&gt;""),IF(Programme_Grunddaten!P744="Ja",1,0),"")</f>
        <v/>
      </c>
      <c r="J739" s="1" t="str">
        <f>IF(AND(Programme_Grunddaten!$A744="Geprüft",Programme_Grunddaten!Q744&lt;&gt;""),IF(Programme_Grunddaten!Q744="geschlossenes System",1,0),"")</f>
        <v/>
      </c>
      <c r="K739" s="1" t="str">
        <f>IF(AND(Programme_Grunddaten!$A744="Geprüft",Programme_Grunddaten!R744&lt;&gt;""),IF(Programme_Grunddaten!R744="Ja",1,0),"")</f>
        <v/>
      </c>
      <c r="L739" s="1" t="str">
        <f>IF(AND(Programme_Grunddaten!$A744="Geprüft",Programme_Grunddaten!T744&lt;&gt;""),IF(Programme_Grunddaten!T744="Ja",1,0),"")</f>
        <v/>
      </c>
      <c r="M739" s="1" t="str">
        <f>IF(AND(Programme_Grunddaten!$A744="Geprüft",Programme_Grunddaten!U744&lt;&gt;""),IF(Programme_Grunddaten!U744="Ja",1,0),"")</f>
        <v/>
      </c>
      <c r="N739" s="1" t="str">
        <f>IF(AND(Programme_Grunddaten!$A744="Geprüft",Programme_Grunddaten!V744&lt;&gt;""),IF(Programme_Grunddaten!V744="Ja",1,0),"")</f>
        <v/>
      </c>
      <c r="O739" s="1" t="str">
        <f>IF(AND(Programme_Grunddaten!$A744="Geprüft",Programme_Grunddaten!W744&lt;&gt;""),IF(Programme_Grunddaten!W744="Ja",1,0),"")</f>
        <v/>
      </c>
      <c r="P739" s="1" t="str">
        <f>IF(AND(Programme_Grunddaten!$A744="Geprüft",Programme_Grunddaten!X744&lt;&gt;""),IF(Programme_Grunddaten!X744="Ja",1,0),"")</f>
        <v/>
      </c>
      <c r="Q739" s="1" t="str">
        <f>IF(AND(Programme_Grunddaten!$A744="Geprüft",Programme_Grunddaten!Y744&lt;&gt;""),IF(Programme_Grunddaten!Y744="Ja",1,0),"")</f>
        <v/>
      </c>
      <c r="R739" s="1" t="str">
        <f>IF(AND(Programme_Grunddaten!$A744="Geprüft",Programme_Grunddaten!Z744&lt;&gt;""),IF(Programme_Grunddaten!Z744="Ja",1,0),"")</f>
        <v/>
      </c>
      <c r="S739" s="1" t="str">
        <f>IF(AND(Programme_Grunddaten!$A744="Geprüft",Programme_Grunddaten!AA744&lt;&gt;""),IF(Programme_Grunddaten!AA744="monolithisch",1,0),"")</f>
        <v/>
      </c>
      <c r="T739" s="1" t="str">
        <f>IF(AND(Programme_Grunddaten!$A744="Geprüft",Programme_Grunddaten!AB744&lt;&gt;""),IF(Programme_Grunddaten!AB744="Ja",1,0),"")</f>
        <v/>
      </c>
      <c r="U739" s="1" t="str">
        <f>IF(AND(Programme_Grunddaten!$A744="Geprüft",Programme_Grunddaten!AC744&lt;&gt;""),IF(Programme_Grunddaten!AC744="Ja",1,0),"")</f>
        <v/>
      </c>
      <c r="V739" s="1" t="str">
        <f>IF(AND(Programme_Grunddaten!$A744="Geprüft",Programme_Grunddaten!AD744&lt;&gt;""),IF(Programme_Grunddaten!AD744="Ja",1,0),"")</f>
        <v/>
      </c>
      <c r="W739" s="1" t="str">
        <f>IF(AND(Programme_Grunddaten!$A744="Geprüft",Programme_Grunddaten!AE744&lt;&gt;""),IF(Programme_Grunddaten!AE744="Ja",1,0),"")</f>
        <v/>
      </c>
      <c r="X739" s="1" t="str">
        <f>IF(AND(Programme_Grunddaten!$A744="Geprüft",Programme_Grunddaten!AF744&lt;&gt;""),IF(Programme_Grunddaten!AF744="Ja",1,0),"")</f>
        <v/>
      </c>
      <c r="Y739" s="1" t="str">
        <f>IF(AND(Programme_Grunddaten!$A744="Geprüft",Programme_Grunddaten!AG744&lt;&gt;""),IF(Programme_Grunddaten!AG744="Ja",1,0),"")</f>
        <v/>
      </c>
      <c r="Z739" s="1" t="str">
        <f>IF(AND(Programme_Grunddaten!$A744="Geprüft",Programme_Grunddaten!AH744&lt;&gt;""),IF(Programme_Grunddaten!AH744="Ja",1,0),"")</f>
        <v/>
      </c>
      <c r="AA739" s="1" t="str">
        <f>IF(AND(Programme_Grunddaten!$A744="Geprüft",Programme_Grunddaten!AI744&lt;&gt;""),IF(Programme_Grunddaten!AI744="Ja",1,0),"")</f>
        <v/>
      </c>
      <c r="AB739" s="1" t="str">
        <f>IF(AND(Programme_Grunddaten!$A744="Geprüft",Programme_Grunddaten!AJ744&lt;&gt;""),IF(Programme_Grunddaten!AJ744="individuell programmierbar",1,0),"")</f>
        <v/>
      </c>
      <c r="AC739" s="1" t="str">
        <f>IF(AND(Programme_Grunddaten!$A744="Geprüft",Programme_Grunddaten!AK744&lt;&gt;""),IF(Programme_Grunddaten!AK744="Deutsch",0,IF(Programme_Grunddaten!AK744="Deutsch und Englisch",1,2)),"")</f>
        <v/>
      </c>
      <c r="AD739" s="1" t="str">
        <f>IF(AND(Programme_Grunddaten!$A744="Geprüft",Programme_Grunddaten!AL744&lt;&gt;""),IF(Programme_Grunddaten!AL744="Ja",1,0),"")</f>
        <v/>
      </c>
      <c r="AE739" s="1" t="str">
        <f>IF(AND(Programme_Grunddaten!$A744="Geprüft",Programme_Grunddaten!AM744&lt;&gt;""),IF(Programme_Grunddaten!AM744="Ja",1,0),"")</f>
        <v/>
      </c>
      <c r="AF739" s="1" t="str">
        <f>IF(AND(Programme_Grunddaten!$A744="Geprüft",Programme_Grunddaten!AN744&lt;&gt;""),IF(Programme_Grunddaten!AN744="Ja",1,0),"")</f>
        <v/>
      </c>
      <c r="AG739" s="1" t="str">
        <f>IF(AND(Programme_Grunddaten!$A744="Geprüft",Programme_Grunddaten!AO744&lt;&gt;""),IF(Programme_Grunddaten!AO744="Ja",1,0),"")</f>
        <v/>
      </c>
      <c r="AH739" s="1" t="str">
        <f>IF(AND(Programme_Grunddaten!$A744="Geprüft",Programme_Grunddaten!AP744&lt;&gt;""),IF(Programme_Grunddaten!AP744="Ja",1,0),"")</f>
        <v/>
      </c>
      <c r="AI739" s="1" t="str">
        <f>IF(AND(Programme_Grunddaten!$A744="Geprüft",Programme_Grunddaten!AQ744&lt;&gt;""),IF(Programme_Grunddaten!AQ744="Ja",1,0),"")</f>
        <v/>
      </c>
      <c r="AJ739" s="1" t="str">
        <f>IF(AND(Programme_Grunddaten!$A744="Geprüft",Programme_Grunddaten!AR744&lt;&gt;""),IF(Programme_Grunddaten!AR744="Ja",1,0),"")</f>
        <v/>
      </c>
      <c r="AK739" s="1" t="str">
        <f>IF(AND(Programme_Grunddaten!$A744="Geprüft",Programme_Grunddaten!AS744&lt;&gt;""),IF(Programme_Grunddaten!AS744="Ja",1,0),"")</f>
        <v/>
      </c>
      <c r="AL739" s="1" t="str">
        <f>IF(AND(Programme_Grunddaten!$A744="Geprüft",Programme_Grunddaten!AT744&lt;&gt;""),IF(Programme_Grunddaten!AT744="Ja",1,0),"")</f>
        <v/>
      </c>
      <c r="AM739" s="1" t="str">
        <f>IF(AND(Programme_Grunddaten!$A744="Geprüft",Programme_Grunddaten!AU744&lt;&gt;""),IF(Programme_Grunddaten!AU744="Ja",1,0),"")</f>
        <v/>
      </c>
      <c r="AN739" s="1" t="str">
        <f>IF(AND(Programme_Grunddaten!$A744="Geprüft",Programme_Grunddaten!AV744&lt;&gt;""),IF(Programme_Grunddaten!AV744="Ja",1,0),"")</f>
        <v/>
      </c>
    </row>
    <row r="740" spans="1:40" x14ac:dyDescent="0.3">
      <c r="A740" s="1" t="str">
        <f>IF(AND(Programme_Grunddaten!A745="Geprüft",Programme_Grunddaten!B745&lt;&gt;""),Programme_Grunddaten!B745,"")</f>
        <v/>
      </c>
      <c r="B740" s="1" t="str">
        <f>IF(AND(Programme_Grunddaten!$A745="Geprüft",Programme_Grunddaten!I745&lt;&gt;""),IF(Programme_Grunddaten!I745="Ja",1,0),"")</f>
        <v/>
      </c>
      <c r="C740" s="1" t="str">
        <f>IF(AND(Programme_Grunddaten!$A745="Geprüft",Programme_Grunddaten!J745&lt;&gt;""),IF(Programme_Grunddaten!J745="Ja",1,0),"")</f>
        <v/>
      </c>
      <c r="D740" s="1" t="str">
        <f>IF(AND(Programme_Grunddaten!$A745="Geprüft",Programme_Grunddaten!K745&lt;&gt;""),IF(Programme_Grunddaten!K745="Ja",1,0),"")</f>
        <v/>
      </c>
      <c r="E740" s="1" t="str">
        <f>IF(AND(Programme_Grunddaten!$A745="Geprüft",Programme_Grunddaten!L745&lt;&gt;""),IF(Programme_Grunddaten!L745="Abo / befristete Lizenz",1,0),"")</f>
        <v/>
      </c>
      <c r="F740" s="1" t="str">
        <f>IF(AND(Programme_Grunddaten!$A745="Geprüft",Programme_Grunddaten!M745&lt;&gt;""),IF(Programme_Grunddaten!M745="Ja",1,0),"")</f>
        <v/>
      </c>
      <c r="G740" s="1" t="str">
        <f>IF(AND(Programme_Grunddaten!$A745="Geprüft",Programme_Grunddaten!N745&lt;&gt;""),IF(Programme_Grunddaten!N745="Ja",1,0),"")</f>
        <v/>
      </c>
      <c r="H740" s="1" t="str">
        <f>IF(AND(Programme_Grunddaten!$A745="Geprüft",Programme_Grunddaten!O745&lt;&gt;""),IF(Programme_Grunddaten!O745="Deutschland",0,IF(Programme_Grunddaten!O745="EU",1,2)),"")</f>
        <v/>
      </c>
      <c r="I740" s="1" t="str">
        <f>IF(AND(Programme_Grunddaten!$A745="Geprüft",Programme_Grunddaten!P745&lt;&gt;""),IF(Programme_Grunddaten!P745="Ja",1,0),"")</f>
        <v/>
      </c>
      <c r="J740" s="1" t="str">
        <f>IF(AND(Programme_Grunddaten!$A745="Geprüft",Programme_Grunddaten!Q745&lt;&gt;""),IF(Programme_Grunddaten!Q745="geschlossenes System",1,0),"")</f>
        <v/>
      </c>
      <c r="K740" s="1" t="str">
        <f>IF(AND(Programme_Grunddaten!$A745="Geprüft",Programme_Grunddaten!R745&lt;&gt;""),IF(Programme_Grunddaten!R745="Ja",1,0),"")</f>
        <v/>
      </c>
      <c r="L740" s="1" t="str">
        <f>IF(AND(Programme_Grunddaten!$A745="Geprüft",Programme_Grunddaten!T745&lt;&gt;""),IF(Programme_Grunddaten!T745="Ja",1,0),"")</f>
        <v/>
      </c>
      <c r="M740" s="1" t="str">
        <f>IF(AND(Programme_Grunddaten!$A745="Geprüft",Programme_Grunddaten!U745&lt;&gt;""),IF(Programme_Grunddaten!U745="Ja",1,0),"")</f>
        <v/>
      </c>
      <c r="N740" s="1" t="str">
        <f>IF(AND(Programme_Grunddaten!$A745="Geprüft",Programme_Grunddaten!V745&lt;&gt;""),IF(Programme_Grunddaten!V745="Ja",1,0),"")</f>
        <v/>
      </c>
      <c r="O740" s="1" t="str">
        <f>IF(AND(Programme_Grunddaten!$A745="Geprüft",Programme_Grunddaten!W745&lt;&gt;""),IF(Programme_Grunddaten!W745="Ja",1,0),"")</f>
        <v/>
      </c>
      <c r="P740" s="1" t="str">
        <f>IF(AND(Programme_Grunddaten!$A745="Geprüft",Programme_Grunddaten!X745&lt;&gt;""),IF(Programme_Grunddaten!X745="Ja",1,0),"")</f>
        <v/>
      </c>
      <c r="Q740" s="1" t="str">
        <f>IF(AND(Programme_Grunddaten!$A745="Geprüft",Programme_Grunddaten!Y745&lt;&gt;""),IF(Programme_Grunddaten!Y745="Ja",1,0),"")</f>
        <v/>
      </c>
      <c r="R740" s="1" t="str">
        <f>IF(AND(Programme_Grunddaten!$A745="Geprüft",Programme_Grunddaten!Z745&lt;&gt;""),IF(Programme_Grunddaten!Z745="Ja",1,0),"")</f>
        <v/>
      </c>
      <c r="S740" s="1" t="str">
        <f>IF(AND(Programme_Grunddaten!$A745="Geprüft",Programme_Grunddaten!AA745&lt;&gt;""),IF(Programme_Grunddaten!AA745="monolithisch",1,0),"")</f>
        <v/>
      </c>
      <c r="T740" s="1" t="str">
        <f>IF(AND(Programme_Grunddaten!$A745="Geprüft",Programme_Grunddaten!AB745&lt;&gt;""),IF(Programme_Grunddaten!AB745="Ja",1,0),"")</f>
        <v/>
      </c>
      <c r="U740" s="1" t="str">
        <f>IF(AND(Programme_Grunddaten!$A745="Geprüft",Programme_Grunddaten!AC745&lt;&gt;""),IF(Programme_Grunddaten!AC745="Ja",1,0),"")</f>
        <v/>
      </c>
      <c r="V740" s="1" t="str">
        <f>IF(AND(Programme_Grunddaten!$A745="Geprüft",Programme_Grunddaten!AD745&lt;&gt;""),IF(Programme_Grunddaten!AD745="Ja",1,0),"")</f>
        <v/>
      </c>
      <c r="W740" s="1" t="str">
        <f>IF(AND(Programme_Grunddaten!$A745="Geprüft",Programme_Grunddaten!AE745&lt;&gt;""),IF(Programme_Grunddaten!AE745="Ja",1,0),"")</f>
        <v/>
      </c>
      <c r="X740" s="1" t="str">
        <f>IF(AND(Programme_Grunddaten!$A745="Geprüft",Programme_Grunddaten!AF745&lt;&gt;""),IF(Programme_Grunddaten!AF745="Ja",1,0),"")</f>
        <v/>
      </c>
      <c r="Y740" s="1" t="str">
        <f>IF(AND(Programme_Grunddaten!$A745="Geprüft",Programme_Grunddaten!AG745&lt;&gt;""),IF(Programme_Grunddaten!AG745="Ja",1,0),"")</f>
        <v/>
      </c>
      <c r="Z740" s="1" t="str">
        <f>IF(AND(Programme_Grunddaten!$A745="Geprüft",Programme_Grunddaten!AH745&lt;&gt;""),IF(Programme_Grunddaten!AH745="Ja",1,0),"")</f>
        <v/>
      </c>
      <c r="AA740" s="1" t="str">
        <f>IF(AND(Programme_Grunddaten!$A745="Geprüft",Programme_Grunddaten!AI745&lt;&gt;""),IF(Programme_Grunddaten!AI745="Ja",1,0),"")</f>
        <v/>
      </c>
      <c r="AB740" s="1" t="str">
        <f>IF(AND(Programme_Grunddaten!$A745="Geprüft",Programme_Grunddaten!AJ745&lt;&gt;""),IF(Programme_Grunddaten!AJ745="individuell programmierbar",1,0),"")</f>
        <v/>
      </c>
      <c r="AC740" s="1" t="str">
        <f>IF(AND(Programme_Grunddaten!$A745="Geprüft",Programme_Grunddaten!AK745&lt;&gt;""),IF(Programme_Grunddaten!AK745="Deutsch",0,IF(Programme_Grunddaten!AK745="Deutsch und Englisch",1,2)),"")</f>
        <v/>
      </c>
      <c r="AD740" s="1" t="str">
        <f>IF(AND(Programme_Grunddaten!$A745="Geprüft",Programme_Grunddaten!AL745&lt;&gt;""),IF(Programme_Grunddaten!AL745="Ja",1,0),"")</f>
        <v/>
      </c>
      <c r="AE740" s="1" t="str">
        <f>IF(AND(Programme_Grunddaten!$A745="Geprüft",Programme_Grunddaten!AM745&lt;&gt;""),IF(Programme_Grunddaten!AM745="Ja",1,0),"")</f>
        <v/>
      </c>
      <c r="AF740" s="1" t="str">
        <f>IF(AND(Programme_Grunddaten!$A745="Geprüft",Programme_Grunddaten!AN745&lt;&gt;""),IF(Programme_Grunddaten!AN745="Ja",1,0),"")</f>
        <v/>
      </c>
      <c r="AG740" s="1" t="str">
        <f>IF(AND(Programme_Grunddaten!$A745="Geprüft",Programme_Grunddaten!AO745&lt;&gt;""),IF(Programme_Grunddaten!AO745="Ja",1,0),"")</f>
        <v/>
      </c>
      <c r="AH740" s="1" t="str">
        <f>IF(AND(Programme_Grunddaten!$A745="Geprüft",Programme_Grunddaten!AP745&lt;&gt;""),IF(Programme_Grunddaten!AP745="Ja",1,0),"")</f>
        <v/>
      </c>
      <c r="AI740" s="1" t="str">
        <f>IF(AND(Programme_Grunddaten!$A745="Geprüft",Programme_Grunddaten!AQ745&lt;&gt;""),IF(Programme_Grunddaten!AQ745="Ja",1,0),"")</f>
        <v/>
      </c>
      <c r="AJ740" s="1" t="str">
        <f>IF(AND(Programme_Grunddaten!$A745="Geprüft",Programme_Grunddaten!AR745&lt;&gt;""),IF(Programme_Grunddaten!AR745="Ja",1,0),"")</f>
        <v/>
      </c>
      <c r="AK740" s="1" t="str">
        <f>IF(AND(Programme_Grunddaten!$A745="Geprüft",Programme_Grunddaten!AS745&lt;&gt;""),IF(Programme_Grunddaten!AS745="Ja",1,0),"")</f>
        <v/>
      </c>
      <c r="AL740" s="1" t="str">
        <f>IF(AND(Programme_Grunddaten!$A745="Geprüft",Programme_Grunddaten!AT745&lt;&gt;""),IF(Programme_Grunddaten!AT745="Ja",1,0),"")</f>
        <v/>
      </c>
      <c r="AM740" s="1" t="str">
        <f>IF(AND(Programme_Grunddaten!$A745="Geprüft",Programme_Grunddaten!AU745&lt;&gt;""),IF(Programme_Grunddaten!AU745="Ja",1,0),"")</f>
        <v/>
      </c>
      <c r="AN740" s="1" t="str">
        <f>IF(AND(Programme_Grunddaten!$A745="Geprüft",Programme_Grunddaten!AV745&lt;&gt;""),IF(Programme_Grunddaten!AV745="Ja",1,0),"")</f>
        <v/>
      </c>
    </row>
    <row r="741" spans="1:40" x14ac:dyDescent="0.3">
      <c r="A741" s="1" t="str">
        <f>IF(AND(Programme_Grunddaten!A746="Geprüft",Programme_Grunddaten!B746&lt;&gt;""),Programme_Grunddaten!B746,"")</f>
        <v/>
      </c>
      <c r="B741" s="1" t="str">
        <f>IF(AND(Programme_Grunddaten!$A746="Geprüft",Programme_Grunddaten!I746&lt;&gt;""),IF(Programme_Grunddaten!I746="Ja",1,0),"")</f>
        <v/>
      </c>
      <c r="C741" s="1" t="str">
        <f>IF(AND(Programme_Grunddaten!$A746="Geprüft",Programme_Grunddaten!J746&lt;&gt;""),IF(Programme_Grunddaten!J746="Ja",1,0),"")</f>
        <v/>
      </c>
      <c r="D741" s="1" t="str">
        <f>IF(AND(Programme_Grunddaten!$A746="Geprüft",Programme_Grunddaten!K746&lt;&gt;""),IF(Programme_Grunddaten!K746="Ja",1,0),"")</f>
        <v/>
      </c>
      <c r="E741" s="1" t="str">
        <f>IF(AND(Programme_Grunddaten!$A746="Geprüft",Programme_Grunddaten!L746&lt;&gt;""),IF(Programme_Grunddaten!L746="Abo / befristete Lizenz",1,0),"")</f>
        <v/>
      </c>
      <c r="F741" s="1" t="str">
        <f>IF(AND(Programme_Grunddaten!$A746="Geprüft",Programme_Grunddaten!M746&lt;&gt;""),IF(Programme_Grunddaten!M746="Ja",1,0),"")</f>
        <v/>
      </c>
      <c r="G741" s="1" t="str">
        <f>IF(AND(Programme_Grunddaten!$A746="Geprüft",Programme_Grunddaten!N746&lt;&gt;""),IF(Programme_Grunddaten!N746="Ja",1,0),"")</f>
        <v/>
      </c>
      <c r="H741" s="1" t="str">
        <f>IF(AND(Programme_Grunddaten!$A746="Geprüft",Programme_Grunddaten!O746&lt;&gt;""),IF(Programme_Grunddaten!O746="Deutschland",0,IF(Programme_Grunddaten!O746="EU",1,2)),"")</f>
        <v/>
      </c>
      <c r="I741" s="1" t="str">
        <f>IF(AND(Programme_Grunddaten!$A746="Geprüft",Programme_Grunddaten!P746&lt;&gt;""),IF(Programme_Grunddaten!P746="Ja",1,0),"")</f>
        <v/>
      </c>
      <c r="J741" s="1" t="str">
        <f>IF(AND(Programme_Grunddaten!$A746="Geprüft",Programme_Grunddaten!Q746&lt;&gt;""),IF(Programme_Grunddaten!Q746="geschlossenes System",1,0),"")</f>
        <v/>
      </c>
      <c r="K741" s="1" t="str">
        <f>IF(AND(Programme_Grunddaten!$A746="Geprüft",Programme_Grunddaten!R746&lt;&gt;""),IF(Programme_Grunddaten!R746="Ja",1,0),"")</f>
        <v/>
      </c>
      <c r="L741" s="1" t="str">
        <f>IF(AND(Programme_Grunddaten!$A746="Geprüft",Programme_Grunddaten!T746&lt;&gt;""),IF(Programme_Grunddaten!T746="Ja",1,0),"")</f>
        <v/>
      </c>
      <c r="M741" s="1" t="str">
        <f>IF(AND(Programme_Grunddaten!$A746="Geprüft",Programme_Grunddaten!U746&lt;&gt;""),IF(Programme_Grunddaten!U746="Ja",1,0),"")</f>
        <v/>
      </c>
      <c r="N741" s="1" t="str">
        <f>IF(AND(Programme_Grunddaten!$A746="Geprüft",Programme_Grunddaten!V746&lt;&gt;""),IF(Programme_Grunddaten!V746="Ja",1,0),"")</f>
        <v/>
      </c>
      <c r="O741" s="1" t="str">
        <f>IF(AND(Programme_Grunddaten!$A746="Geprüft",Programme_Grunddaten!W746&lt;&gt;""),IF(Programme_Grunddaten!W746="Ja",1,0),"")</f>
        <v/>
      </c>
      <c r="P741" s="1" t="str">
        <f>IF(AND(Programme_Grunddaten!$A746="Geprüft",Programme_Grunddaten!X746&lt;&gt;""),IF(Programme_Grunddaten!X746="Ja",1,0),"")</f>
        <v/>
      </c>
      <c r="Q741" s="1" t="str">
        <f>IF(AND(Programme_Grunddaten!$A746="Geprüft",Programme_Grunddaten!Y746&lt;&gt;""),IF(Programme_Grunddaten!Y746="Ja",1,0),"")</f>
        <v/>
      </c>
      <c r="R741" s="1" t="str">
        <f>IF(AND(Programme_Grunddaten!$A746="Geprüft",Programme_Grunddaten!Z746&lt;&gt;""),IF(Programme_Grunddaten!Z746="Ja",1,0),"")</f>
        <v/>
      </c>
      <c r="S741" s="1" t="str">
        <f>IF(AND(Programme_Grunddaten!$A746="Geprüft",Programme_Grunddaten!AA746&lt;&gt;""),IF(Programme_Grunddaten!AA746="monolithisch",1,0),"")</f>
        <v/>
      </c>
      <c r="T741" s="1" t="str">
        <f>IF(AND(Programme_Grunddaten!$A746="Geprüft",Programme_Grunddaten!AB746&lt;&gt;""),IF(Programme_Grunddaten!AB746="Ja",1,0),"")</f>
        <v/>
      </c>
      <c r="U741" s="1" t="str">
        <f>IF(AND(Programme_Grunddaten!$A746="Geprüft",Programme_Grunddaten!AC746&lt;&gt;""),IF(Programme_Grunddaten!AC746="Ja",1,0),"")</f>
        <v/>
      </c>
      <c r="V741" s="1" t="str">
        <f>IF(AND(Programme_Grunddaten!$A746="Geprüft",Programme_Grunddaten!AD746&lt;&gt;""),IF(Programme_Grunddaten!AD746="Ja",1,0),"")</f>
        <v/>
      </c>
      <c r="W741" s="1" t="str">
        <f>IF(AND(Programme_Grunddaten!$A746="Geprüft",Programme_Grunddaten!AE746&lt;&gt;""),IF(Programme_Grunddaten!AE746="Ja",1,0),"")</f>
        <v/>
      </c>
      <c r="X741" s="1" t="str">
        <f>IF(AND(Programme_Grunddaten!$A746="Geprüft",Programme_Grunddaten!AF746&lt;&gt;""),IF(Programme_Grunddaten!AF746="Ja",1,0),"")</f>
        <v/>
      </c>
      <c r="Y741" s="1" t="str">
        <f>IF(AND(Programme_Grunddaten!$A746="Geprüft",Programme_Grunddaten!AG746&lt;&gt;""),IF(Programme_Grunddaten!AG746="Ja",1,0),"")</f>
        <v/>
      </c>
      <c r="Z741" s="1" t="str">
        <f>IF(AND(Programme_Grunddaten!$A746="Geprüft",Programme_Grunddaten!AH746&lt;&gt;""),IF(Programme_Grunddaten!AH746="Ja",1,0),"")</f>
        <v/>
      </c>
      <c r="AA741" s="1" t="str">
        <f>IF(AND(Programme_Grunddaten!$A746="Geprüft",Programme_Grunddaten!AI746&lt;&gt;""),IF(Programme_Grunddaten!AI746="Ja",1,0),"")</f>
        <v/>
      </c>
      <c r="AB741" s="1" t="str">
        <f>IF(AND(Programme_Grunddaten!$A746="Geprüft",Programme_Grunddaten!AJ746&lt;&gt;""),IF(Programme_Grunddaten!AJ746="individuell programmierbar",1,0),"")</f>
        <v/>
      </c>
      <c r="AC741" s="1" t="str">
        <f>IF(AND(Programme_Grunddaten!$A746="Geprüft",Programme_Grunddaten!AK746&lt;&gt;""),IF(Programme_Grunddaten!AK746="Deutsch",0,IF(Programme_Grunddaten!AK746="Deutsch und Englisch",1,2)),"")</f>
        <v/>
      </c>
      <c r="AD741" s="1" t="str">
        <f>IF(AND(Programme_Grunddaten!$A746="Geprüft",Programme_Grunddaten!AL746&lt;&gt;""),IF(Programme_Grunddaten!AL746="Ja",1,0),"")</f>
        <v/>
      </c>
      <c r="AE741" s="1" t="str">
        <f>IF(AND(Programme_Grunddaten!$A746="Geprüft",Programme_Grunddaten!AM746&lt;&gt;""),IF(Programme_Grunddaten!AM746="Ja",1,0),"")</f>
        <v/>
      </c>
      <c r="AF741" s="1" t="str">
        <f>IF(AND(Programme_Grunddaten!$A746="Geprüft",Programme_Grunddaten!AN746&lt;&gt;""),IF(Programme_Grunddaten!AN746="Ja",1,0),"")</f>
        <v/>
      </c>
      <c r="AG741" s="1" t="str">
        <f>IF(AND(Programme_Grunddaten!$A746="Geprüft",Programme_Grunddaten!AO746&lt;&gt;""),IF(Programme_Grunddaten!AO746="Ja",1,0),"")</f>
        <v/>
      </c>
      <c r="AH741" s="1" t="str">
        <f>IF(AND(Programme_Grunddaten!$A746="Geprüft",Programme_Grunddaten!AP746&lt;&gt;""),IF(Programme_Grunddaten!AP746="Ja",1,0),"")</f>
        <v/>
      </c>
      <c r="AI741" s="1" t="str">
        <f>IF(AND(Programme_Grunddaten!$A746="Geprüft",Programme_Grunddaten!AQ746&lt;&gt;""),IF(Programme_Grunddaten!AQ746="Ja",1,0),"")</f>
        <v/>
      </c>
      <c r="AJ741" s="1" t="str">
        <f>IF(AND(Programme_Grunddaten!$A746="Geprüft",Programme_Grunddaten!AR746&lt;&gt;""),IF(Programme_Grunddaten!AR746="Ja",1,0),"")</f>
        <v/>
      </c>
      <c r="AK741" s="1" t="str">
        <f>IF(AND(Programme_Grunddaten!$A746="Geprüft",Programme_Grunddaten!AS746&lt;&gt;""),IF(Programme_Grunddaten!AS746="Ja",1,0),"")</f>
        <v/>
      </c>
      <c r="AL741" s="1" t="str">
        <f>IF(AND(Programme_Grunddaten!$A746="Geprüft",Programme_Grunddaten!AT746&lt;&gt;""),IF(Programme_Grunddaten!AT746="Ja",1,0),"")</f>
        <v/>
      </c>
      <c r="AM741" s="1" t="str">
        <f>IF(AND(Programme_Grunddaten!$A746="Geprüft",Programme_Grunddaten!AU746&lt;&gt;""),IF(Programme_Grunddaten!AU746="Ja",1,0),"")</f>
        <v/>
      </c>
      <c r="AN741" s="1" t="str">
        <f>IF(AND(Programme_Grunddaten!$A746="Geprüft",Programme_Grunddaten!AV746&lt;&gt;""),IF(Programme_Grunddaten!AV746="Ja",1,0),"")</f>
        <v/>
      </c>
    </row>
    <row r="742" spans="1:40" x14ac:dyDescent="0.3">
      <c r="A742" s="1" t="str">
        <f>IF(AND(Programme_Grunddaten!A747="Geprüft",Programme_Grunddaten!B747&lt;&gt;""),Programme_Grunddaten!B747,"")</f>
        <v/>
      </c>
      <c r="B742" s="1" t="str">
        <f>IF(AND(Programme_Grunddaten!$A747="Geprüft",Programme_Grunddaten!I747&lt;&gt;""),IF(Programme_Grunddaten!I747="Ja",1,0),"")</f>
        <v/>
      </c>
      <c r="C742" s="1" t="str">
        <f>IF(AND(Programme_Grunddaten!$A747="Geprüft",Programme_Grunddaten!J747&lt;&gt;""),IF(Programme_Grunddaten!J747="Ja",1,0),"")</f>
        <v/>
      </c>
      <c r="D742" s="1" t="str">
        <f>IF(AND(Programme_Grunddaten!$A747="Geprüft",Programme_Grunddaten!K747&lt;&gt;""),IF(Programme_Grunddaten!K747="Ja",1,0),"")</f>
        <v/>
      </c>
      <c r="E742" s="1" t="str">
        <f>IF(AND(Programme_Grunddaten!$A747="Geprüft",Programme_Grunddaten!L747&lt;&gt;""),IF(Programme_Grunddaten!L747="Abo / befristete Lizenz",1,0),"")</f>
        <v/>
      </c>
      <c r="F742" s="1" t="str">
        <f>IF(AND(Programme_Grunddaten!$A747="Geprüft",Programme_Grunddaten!M747&lt;&gt;""),IF(Programme_Grunddaten!M747="Ja",1,0),"")</f>
        <v/>
      </c>
      <c r="G742" s="1" t="str">
        <f>IF(AND(Programme_Grunddaten!$A747="Geprüft",Programme_Grunddaten!N747&lt;&gt;""),IF(Programme_Grunddaten!N747="Ja",1,0),"")</f>
        <v/>
      </c>
      <c r="H742" s="1" t="str">
        <f>IF(AND(Programme_Grunddaten!$A747="Geprüft",Programme_Grunddaten!O747&lt;&gt;""),IF(Programme_Grunddaten!O747="Deutschland",0,IF(Programme_Grunddaten!O747="EU",1,2)),"")</f>
        <v/>
      </c>
      <c r="I742" s="1" t="str">
        <f>IF(AND(Programme_Grunddaten!$A747="Geprüft",Programme_Grunddaten!P747&lt;&gt;""),IF(Programme_Grunddaten!P747="Ja",1,0),"")</f>
        <v/>
      </c>
      <c r="J742" s="1" t="str">
        <f>IF(AND(Programme_Grunddaten!$A747="Geprüft",Programme_Grunddaten!Q747&lt;&gt;""),IF(Programme_Grunddaten!Q747="geschlossenes System",1,0),"")</f>
        <v/>
      </c>
      <c r="K742" s="1" t="str">
        <f>IF(AND(Programme_Grunddaten!$A747="Geprüft",Programme_Grunddaten!R747&lt;&gt;""),IF(Programme_Grunddaten!R747="Ja",1,0),"")</f>
        <v/>
      </c>
      <c r="L742" s="1" t="str">
        <f>IF(AND(Programme_Grunddaten!$A747="Geprüft",Programme_Grunddaten!T747&lt;&gt;""),IF(Programme_Grunddaten!T747="Ja",1,0),"")</f>
        <v/>
      </c>
      <c r="M742" s="1" t="str">
        <f>IF(AND(Programme_Grunddaten!$A747="Geprüft",Programme_Grunddaten!U747&lt;&gt;""),IF(Programme_Grunddaten!U747="Ja",1,0),"")</f>
        <v/>
      </c>
      <c r="N742" s="1" t="str">
        <f>IF(AND(Programme_Grunddaten!$A747="Geprüft",Programme_Grunddaten!V747&lt;&gt;""),IF(Programme_Grunddaten!V747="Ja",1,0),"")</f>
        <v/>
      </c>
      <c r="O742" s="1" t="str">
        <f>IF(AND(Programme_Grunddaten!$A747="Geprüft",Programme_Grunddaten!W747&lt;&gt;""),IF(Programme_Grunddaten!W747="Ja",1,0),"")</f>
        <v/>
      </c>
      <c r="P742" s="1" t="str">
        <f>IF(AND(Programme_Grunddaten!$A747="Geprüft",Programme_Grunddaten!X747&lt;&gt;""),IF(Programme_Grunddaten!X747="Ja",1,0),"")</f>
        <v/>
      </c>
      <c r="Q742" s="1" t="str">
        <f>IF(AND(Programme_Grunddaten!$A747="Geprüft",Programme_Grunddaten!Y747&lt;&gt;""),IF(Programme_Grunddaten!Y747="Ja",1,0),"")</f>
        <v/>
      </c>
      <c r="R742" s="1" t="str">
        <f>IF(AND(Programme_Grunddaten!$A747="Geprüft",Programme_Grunddaten!Z747&lt;&gt;""),IF(Programme_Grunddaten!Z747="Ja",1,0),"")</f>
        <v/>
      </c>
      <c r="S742" s="1" t="str">
        <f>IF(AND(Programme_Grunddaten!$A747="Geprüft",Programme_Grunddaten!AA747&lt;&gt;""),IF(Programme_Grunddaten!AA747="monolithisch",1,0),"")</f>
        <v/>
      </c>
      <c r="T742" s="1" t="str">
        <f>IF(AND(Programme_Grunddaten!$A747="Geprüft",Programme_Grunddaten!AB747&lt;&gt;""),IF(Programme_Grunddaten!AB747="Ja",1,0),"")</f>
        <v/>
      </c>
      <c r="U742" s="1" t="str">
        <f>IF(AND(Programme_Grunddaten!$A747="Geprüft",Programme_Grunddaten!AC747&lt;&gt;""),IF(Programme_Grunddaten!AC747="Ja",1,0),"")</f>
        <v/>
      </c>
      <c r="V742" s="1" t="str">
        <f>IF(AND(Programme_Grunddaten!$A747="Geprüft",Programme_Grunddaten!AD747&lt;&gt;""),IF(Programme_Grunddaten!AD747="Ja",1,0),"")</f>
        <v/>
      </c>
      <c r="W742" s="1" t="str">
        <f>IF(AND(Programme_Grunddaten!$A747="Geprüft",Programme_Grunddaten!AE747&lt;&gt;""),IF(Programme_Grunddaten!AE747="Ja",1,0),"")</f>
        <v/>
      </c>
      <c r="X742" s="1" t="str">
        <f>IF(AND(Programme_Grunddaten!$A747="Geprüft",Programme_Grunddaten!AF747&lt;&gt;""),IF(Programme_Grunddaten!AF747="Ja",1,0),"")</f>
        <v/>
      </c>
      <c r="Y742" s="1" t="str">
        <f>IF(AND(Programme_Grunddaten!$A747="Geprüft",Programme_Grunddaten!AG747&lt;&gt;""),IF(Programme_Grunddaten!AG747="Ja",1,0),"")</f>
        <v/>
      </c>
      <c r="Z742" s="1" t="str">
        <f>IF(AND(Programme_Grunddaten!$A747="Geprüft",Programme_Grunddaten!AH747&lt;&gt;""),IF(Programme_Grunddaten!AH747="Ja",1,0),"")</f>
        <v/>
      </c>
      <c r="AA742" s="1" t="str">
        <f>IF(AND(Programme_Grunddaten!$A747="Geprüft",Programme_Grunddaten!AI747&lt;&gt;""),IF(Programme_Grunddaten!AI747="Ja",1,0),"")</f>
        <v/>
      </c>
      <c r="AB742" s="1" t="str">
        <f>IF(AND(Programme_Grunddaten!$A747="Geprüft",Programme_Grunddaten!AJ747&lt;&gt;""),IF(Programme_Grunddaten!AJ747="individuell programmierbar",1,0),"")</f>
        <v/>
      </c>
      <c r="AC742" s="1" t="str">
        <f>IF(AND(Programme_Grunddaten!$A747="Geprüft",Programme_Grunddaten!AK747&lt;&gt;""),IF(Programme_Grunddaten!AK747="Deutsch",0,IF(Programme_Grunddaten!AK747="Deutsch und Englisch",1,2)),"")</f>
        <v/>
      </c>
      <c r="AD742" s="1" t="str">
        <f>IF(AND(Programme_Grunddaten!$A747="Geprüft",Programme_Grunddaten!AL747&lt;&gt;""),IF(Programme_Grunddaten!AL747="Ja",1,0),"")</f>
        <v/>
      </c>
      <c r="AE742" s="1" t="str">
        <f>IF(AND(Programme_Grunddaten!$A747="Geprüft",Programme_Grunddaten!AM747&lt;&gt;""),IF(Programme_Grunddaten!AM747="Ja",1,0),"")</f>
        <v/>
      </c>
      <c r="AF742" s="1" t="str">
        <f>IF(AND(Programme_Grunddaten!$A747="Geprüft",Programme_Grunddaten!AN747&lt;&gt;""),IF(Programme_Grunddaten!AN747="Ja",1,0),"")</f>
        <v/>
      </c>
      <c r="AG742" s="1" t="str">
        <f>IF(AND(Programme_Grunddaten!$A747="Geprüft",Programme_Grunddaten!AO747&lt;&gt;""),IF(Programme_Grunddaten!AO747="Ja",1,0),"")</f>
        <v/>
      </c>
      <c r="AH742" s="1" t="str">
        <f>IF(AND(Programme_Grunddaten!$A747="Geprüft",Programme_Grunddaten!AP747&lt;&gt;""),IF(Programme_Grunddaten!AP747="Ja",1,0),"")</f>
        <v/>
      </c>
      <c r="AI742" s="1" t="str">
        <f>IF(AND(Programme_Grunddaten!$A747="Geprüft",Programme_Grunddaten!AQ747&lt;&gt;""),IF(Programme_Grunddaten!AQ747="Ja",1,0),"")</f>
        <v/>
      </c>
      <c r="AJ742" s="1" t="str">
        <f>IF(AND(Programme_Grunddaten!$A747="Geprüft",Programme_Grunddaten!AR747&lt;&gt;""),IF(Programme_Grunddaten!AR747="Ja",1,0),"")</f>
        <v/>
      </c>
      <c r="AK742" s="1" t="str">
        <f>IF(AND(Programme_Grunddaten!$A747="Geprüft",Programme_Grunddaten!AS747&lt;&gt;""),IF(Programme_Grunddaten!AS747="Ja",1,0),"")</f>
        <v/>
      </c>
      <c r="AL742" s="1" t="str">
        <f>IF(AND(Programme_Grunddaten!$A747="Geprüft",Programme_Grunddaten!AT747&lt;&gt;""),IF(Programme_Grunddaten!AT747="Ja",1,0),"")</f>
        <v/>
      </c>
      <c r="AM742" s="1" t="str">
        <f>IF(AND(Programme_Grunddaten!$A747="Geprüft",Programme_Grunddaten!AU747&lt;&gt;""),IF(Programme_Grunddaten!AU747="Ja",1,0),"")</f>
        <v/>
      </c>
      <c r="AN742" s="1" t="str">
        <f>IF(AND(Programme_Grunddaten!$A747="Geprüft",Programme_Grunddaten!AV747&lt;&gt;""),IF(Programme_Grunddaten!AV747="Ja",1,0),"")</f>
        <v/>
      </c>
    </row>
    <row r="743" spans="1:40" x14ac:dyDescent="0.3">
      <c r="A743" s="1" t="str">
        <f>IF(AND(Programme_Grunddaten!A748="Geprüft",Programme_Grunddaten!B748&lt;&gt;""),Programme_Grunddaten!B748,"")</f>
        <v/>
      </c>
      <c r="B743" s="1" t="str">
        <f>IF(AND(Programme_Grunddaten!$A748="Geprüft",Programme_Grunddaten!I748&lt;&gt;""),IF(Programme_Grunddaten!I748="Ja",1,0),"")</f>
        <v/>
      </c>
      <c r="C743" s="1" t="str">
        <f>IF(AND(Programme_Grunddaten!$A748="Geprüft",Programme_Grunddaten!J748&lt;&gt;""),IF(Programme_Grunddaten!J748="Ja",1,0),"")</f>
        <v/>
      </c>
      <c r="D743" s="1" t="str">
        <f>IF(AND(Programme_Grunddaten!$A748="Geprüft",Programme_Grunddaten!K748&lt;&gt;""),IF(Programme_Grunddaten!K748="Ja",1,0),"")</f>
        <v/>
      </c>
      <c r="E743" s="1" t="str">
        <f>IF(AND(Programme_Grunddaten!$A748="Geprüft",Programme_Grunddaten!L748&lt;&gt;""),IF(Programme_Grunddaten!L748="Abo / befristete Lizenz",1,0),"")</f>
        <v/>
      </c>
      <c r="F743" s="1" t="str">
        <f>IF(AND(Programme_Grunddaten!$A748="Geprüft",Programme_Grunddaten!M748&lt;&gt;""),IF(Programme_Grunddaten!M748="Ja",1,0),"")</f>
        <v/>
      </c>
      <c r="G743" s="1" t="str">
        <f>IF(AND(Programme_Grunddaten!$A748="Geprüft",Programme_Grunddaten!N748&lt;&gt;""),IF(Programme_Grunddaten!N748="Ja",1,0),"")</f>
        <v/>
      </c>
      <c r="H743" s="1" t="str">
        <f>IF(AND(Programme_Grunddaten!$A748="Geprüft",Programme_Grunddaten!O748&lt;&gt;""),IF(Programme_Grunddaten!O748="Deutschland",0,IF(Programme_Grunddaten!O748="EU",1,2)),"")</f>
        <v/>
      </c>
      <c r="I743" s="1" t="str">
        <f>IF(AND(Programme_Grunddaten!$A748="Geprüft",Programme_Grunddaten!P748&lt;&gt;""),IF(Programme_Grunddaten!P748="Ja",1,0),"")</f>
        <v/>
      </c>
      <c r="J743" s="1" t="str">
        <f>IF(AND(Programme_Grunddaten!$A748="Geprüft",Programme_Grunddaten!Q748&lt;&gt;""),IF(Programme_Grunddaten!Q748="geschlossenes System",1,0),"")</f>
        <v/>
      </c>
      <c r="K743" s="1" t="str">
        <f>IF(AND(Programme_Grunddaten!$A748="Geprüft",Programme_Grunddaten!R748&lt;&gt;""),IF(Programme_Grunddaten!R748="Ja",1,0),"")</f>
        <v/>
      </c>
      <c r="L743" s="1" t="str">
        <f>IF(AND(Programme_Grunddaten!$A748="Geprüft",Programme_Grunddaten!T748&lt;&gt;""),IF(Programme_Grunddaten!T748="Ja",1,0),"")</f>
        <v/>
      </c>
      <c r="M743" s="1" t="str">
        <f>IF(AND(Programme_Grunddaten!$A748="Geprüft",Programme_Grunddaten!U748&lt;&gt;""),IF(Programme_Grunddaten!U748="Ja",1,0),"")</f>
        <v/>
      </c>
      <c r="N743" s="1" t="str">
        <f>IF(AND(Programme_Grunddaten!$A748="Geprüft",Programme_Grunddaten!V748&lt;&gt;""),IF(Programme_Grunddaten!V748="Ja",1,0),"")</f>
        <v/>
      </c>
      <c r="O743" s="1" t="str">
        <f>IF(AND(Programme_Grunddaten!$A748="Geprüft",Programme_Grunddaten!W748&lt;&gt;""),IF(Programme_Grunddaten!W748="Ja",1,0),"")</f>
        <v/>
      </c>
      <c r="P743" s="1" t="str">
        <f>IF(AND(Programme_Grunddaten!$A748="Geprüft",Programme_Grunddaten!X748&lt;&gt;""),IF(Programme_Grunddaten!X748="Ja",1,0),"")</f>
        <v/>
      </c>
      <c r="Q743" s="1" t="str">
        <f>IF(AND(Programme_Grunddaten!$A748="Geprüft",Programme_Grunddaten!Y748&lt;&gt;""),IF(Programme_Grunddaten!Y748="Ja",1,0),"")</f>
        <v/>
      </c>
      <c r="R743" s="1" t="str">
        <f>IF(AND(Programme_Grunddaten!$A748="Geprüft",Programme_Grunddaten!Z748&lt;&gt;""),IF(Programme_Grunddaten!Z748="Ja",1,0),"")</f>
        <v/>
      </c>
      <c r="S743" s="1" t="str">
        <f>IF(AND(Programme_Grunddaten!$A748="Geprüft",Programme_Grunddaten!AA748&lt;&gt;""),IF(Programme_Grunddaten!AA748="monolithisch",1,0),"")</f>
        <v/>
      </c>
      <c r="T743" s="1" t="str">
        <f>IF(AND(Programme_Grunddaten!$A748="Geprüft",Programme_Grunddaten!AB748&lt;&gt;""),IF(Programme_Grunddaten!AB748="Ja",1,0),"")</f>
        <v/>
      </c>
      <c r="U743" s="1" t="str">
        <f>IF(AND(Programme_Grunddaten!$A748="Geprüft",Programme_Grunddaten!AC748&lt;&gt;""),IF(Programme_Grunddaten!AC748="Ja",1,0),"")</f>
        <v/>
      </c>
      <c r="V743" s="1" t="str">
        <f>IF(AND(Programme_Grunddaten!$A748="Geprüft",Programme_Grunddaten!AD748&lt;&gt;""),IF(Programme_Grunddaten!AD748="Ja",1,0),"")</f>
        <v/>
      </c>
      <c r="W743" s="1" t="str">
        <f>IF(AND(Programme_Grunddaten!$A748="Geprüft",Programme_Grunddaten!AE748&lt;&gt;""),IF(Programme_Grunddaten!AE748="Ja",1,0),"")</f>
        <v/>
      </c>
      <c r="X743" s="1" t="str">
        <f>IF(AND(Programme_Grunddaten!$A748="Geprüft",Programme_Grunddaten!AF748&lt;&gt;""),IF(Programme_Grunddaten!AF748="Ja",1,0),"")</f>
        <v/>
      </c>
      <c r="Y743" s="1" t="str">
        <f>IF(AND(Programme_Grunddaten!$A748="Geprüft",Programme_Grunddaten!AG748&lt;&gt;""),IF(Programme_Grunddaten!AG748="Ja",1,0),"")</f>
        <v/>
      </c>
      <c r="Z743" s="1" t="str">
        <f>IF(AND(Programme_Grunddaten!$A748="Geprüft",Programme_Grunddaten!AH748&lt;&gt;""),IF(Programme_Grunddaten!AH748="Ja",1,0),"")</f>
        <v/>
      </c>
      <c r="AA743" s="1" t="str">
        <f>IF(AND(Programme_Grunddaten!$A748="Geprüft",Programme_Grunddaten!AI748&lt;&gt;""),IF(Programme_Grunddaten!AI748="Ja",1,0),"")</f>
        <v/>
      </c>
      <c r="AB743" s="1" t="str">
        <f>IF(AND(Programme_Grunddaten!$A748="Geprüft",Programme_Grunddaten!AJ748&lt;&gt;""),IF(Programme_Grunddaten!AJ748="individuell programmierbar",1,0),"")</f>
        <v/>
      </c>
      <c r="AC743" s="1" t="str">
        <f>IF(AND(Programme_Grunddaten!$A748="Geprüft",Programme_Grunddaten!AK748&lt;&gt;""),IF(Programme_Grunddaten!AK748="Deutsch",0,IF(Programme_Grunddaten!AK748="Deutsch und Englisch",1,2)),"")</f>
        <v/>
      </c>
      <c r="AD743" s="1" t="str">
        <f>IF(AND(Programme_Grunddaten!$A748="Geprüft",Programme_Grunddaten!AL748&lt;&gt;""),IF(Programme_Grunddaten!AL748="Ja",1,0),"")</f>
        <v/>
      </c>
      <c r="AE743" s="1" t="str">
        <f>IF(AND(Programme_Grunddaten!$A748="Geprüft",Programme_Grunddaten!AM748&lt;&gt;""),IF(Programme_Grunddaten!AM748="Ja",1,0),"")</f>
        <v/>
      </c>
      <c r="AF743" s="1" t="str">
        <f>IF(AND(Programme_Grunddaten!$A748="Geprüft",Programme_Grunddaten!AN748&lt;&gt;""),IF(Programme_Grunddaten!AN748="Ja",1,0),"")</f>
        <v/>
      </c>
      <c r="AG743" s="1" t="str">
        <f>IF(AND(Programme_Grunddaten!$A748="Geprüft",Programme_Grunddaten!AO748&lt;&gt;""),IF(Programme_Grunddaten!AO748="Ja",1,0),"")</f>
        <v/>
      </c>
      <c r="AH743" s="1" t="str">
        <f>IF(AND(Programme_Grunddaten!$A748="Geprüft",Programme_Grunddaten!AP748&lt;&gt;""),IF(Programme_Grunddaten!AP748="Ja",1,0),"")</f>
        <v/>
      </c>
      <c r="AI743" s="1" t="str">
        <f>IF(AND(Programme_Grunddaten!$A748="Geprüft",Programme_Grunddaten!AQ748&lt;&gt;""),IF(Programme_Grunddaten!AQ748="Ja",1,0),"")</f>
        <v/>
      </c>
      <c r="AJ743" s="1" t="str">
        <f>IF(AND(Programme_Grunddaten!$A748="Geprüft",Programme_Grunddaten!AR748&lt;&gt;""),IF(Programme_Grunddaten!AR748="Ja",1,0),"")</f>
        <v/>
      </c>
      <c r="AK743" s="1" t="str">
        <f>IF(AND(Programme_Grunddaten!$A748="Geprüft",Programme_Grunddaten!AS748&lt;&gt;""),IF(Programme_Grunddaten!AS748="Ja",1,0),"")</f>
        <v/>
      </c>
      <c r="AL743" s="1" t="str">
        <f>IF(AND(Programme_Grunddaten!$A748="Geprüft",Programme_Grunddaten!AT748&lt;&gt;""),IF(Programme_Grunddaten!AT748="Ja",1,0),"")</f>
        <v/>
      </c>
      <c r="AM743" s="1" t="str">
        <f>IF(AND(Programme_Grunddaten!$A748="Geprüft",Programme_Grunddaten!AU748&lt;&gt;""),IF(Programme_Grunddaten!AU748="Ja",1,0),"")</f>
        <v/>
      </c>
      <c r="AN743" s="1" t="str">
        <f>IF(AND(Programme_Grunddaten!$A748="Geprüft",Programme_Grunddaten!AV748&lt;&gt;""),IF(Programme_Grunddaten!AV748="Ja",1,0),"")</f>
        <v/>
      </c>
    </row>
    <row r="744" spans="1:40" x14ac:dyDescent="0.3">
      <c r="A744" s="1" t="str">
        <f>IF(AND(Programme_Grunddaten!A749="Geprüft",Programme_Grunddaten!B749&lt;&gt;""),Programme_Grunddaten!B749,"")</f>
        <v/>
      </c>
      <c r="B744" s="1" t="str">
        <f>IF(AND(Programme_Grunddaten!$A749="Geprüft",Programme_Grunddaten!I749&lt;&gt;""),IF(Programme_Grunddaten!I749="Ja",1,0),"")</f>
        <v/>
      </c>
      <c r="C744" s="1" t="str">
        <f>IF(AND(Programme_Grunddaten!$A749="Geprüft",Programme_Grunddaten!J749&lt;&gt;""),IF(Programme_Grunddaten!J749="Ja",1,0),"")</f>
        <v/>
      </c>
      <c r="D744" s="1" t="str">
        <f>IF(AND(Programme_Grunddaten!$A749="Geprüft",Programme_Grunddaten!K749&lt;&gt;""),IF(Programme_Grunddaten!K749="Ja",1,0),"")</f>
        <v/>
      </c>
      <c r="E744" s="1" t="str">
        <f>IF(AND(Programme_Grunddaten!$A749="Geprüft",Programme_Grunddaten!L749&lt;&gt;""),IF(Programme_Grunddaten!L749="Abo / befristete Lizenz",1,0),"")</f>
        <v/>
      </c>
      <c r="F744" s="1" t="str">
        <f>IF(AND(Programme_Grunddaten!$A749="Geprüft",Programme_Grunddaten!M749&lt;&gt;""),IF(Programme_Grunddaten!M749="Ja",1,0),"")</f>
        <v/>
      </c>
      <c r="G744" s="1" t="str">
        <f>IF(AND(Programme_Grunddaten!$A749="Geprüft",Programme_Grunddaten!N749&lt;&gt;""),IF(Programme_Grunddaten!N749="Ja",1,0),"")</f>
        <v/>
      </c>
      <c r="H744" s="1" t="str">
        <f>IF(AND(Programme_Grunddaten!$A749="Geprüft",Programme_Grunddaten!O749&lt;&gt;""),IF(Programme_Grunddaten!O749="Deutschland",0,IF(Programme_Grunddaten!O749="EU",1,2)),"")</f>
        <v/>
      </c>
      <c r="I744" s="1" t="str">
        <f>IF(AND(Programme_Grunddaten!$A749="Geprüft",Programme_Grunddaten!P749&lt;&gt;""),IF(Programme_Grunddaten!P749="Ja",1,0),"")</f>
        <v/>
      </c>
      <c r="J744" s="1" t="str">
        <f>IF(AND(Programme_Grunddaten!$A749="Geprüft",Programme_Grunddaten!Q749&lt;&gt;""),IF(Programme_Grunddaten!Q749="geschlossenes System",1,0),"")</f>
        <v/>
      </c>
      <c r="K744" s="1" t="str">
        <f>IF(AND(Programme_Grunddaten!$A749="Geprüft",Programme_Grunddaten!R749&lt;&gt;""),IF(Programme_Grunddaten!R749="Ja",1,0),"")</f>
        <v/>
      </c>
      <c r="L744" s="1" t="str">
        <f>IF(AND(Programme_Grunddaten!$A749="Geprüft",Programme_Grunddaten!T749&lt;&gt;""),IF(Programme_Grunddaten!T749="Ja",1,0),"")</f>
        <v/>
      </c>
      <c r="M744" s="1" t="str">
        <f>IF(AND(Programme_Grunddaten!$A749="Geprüft",Programme_Grunddaten!U749&lt;&gt;""),IF(Programme_Grunddaten!U749="Ja",1,0),"")</f>
        <v/>
      </c>
      <c r="N744" s="1" t="str">
        <f>IF(AND(Programme_Grunddaten!$A749="Geprüft",Programme_Grunddaten!V749&lt;&gt;""),IF(Programme_Grunddaten!V749="Ja",1,0),"")</f>
        <v/>
      </c>
      <c r="O744" s="1" t="str">
        <f>IF(AND(Programme_Grunddaten!$A749="Geprüft",Programme_Grunddaten!W749&lt;&gt;""),IF(Programme_Grunddaten!W749="Ja",1,0),"")</f>
        <v/>
      </c>
      <c r="P744" s="1" t="str">
        <f>IF(AND(Programme_Grunddaten!$A749="Geprüft",Programme_Grunddaten!X749&lt;&gt;""),IF(Programme_Grunddaten!X749="Ja",1,0),"")</f>
        <v/>
      </c>
      <c r="Q744" s="1" t="str">
        <f>IF(AND(Programme_Grunddaten!$A749="Geprüft",Programme_Grunddaten!Y749&lt;&gt;""),IF(Programme_Grunddaten!Y749="Ja",1,0),"")</f>
        <v/>
      </c>
      <c r="R744" s="1" t="str">
        <f>IF(AND(Programme_Grunddaten!$A749="Geprüft",Programme_Grunddaten!Z749&lt;&gt;""),IF(Programme_Grunddaten!Z749="Ja",1,0),"")</f>
        <v/>
      </c>
      <c r="S744" s="1" t="str">
        <f>IF(AND(Programme_Grunddaten!$A749="Geprüft",Programme_Grunddaten!AA749&lt;&gt;""),IF(Programme_Grunddaten!AA749="monolithisch",1,0),"")</f>
        <v/>
      </c>
      <c r="T744" s="1" t="str">
        <f>IF(AND(Programme_Grunddaten!$A749="Geprüft",Programme_Grunddaten!AB749&lt;&gt;""),IF(Programme_Grunddaten!AB749="Ja",1,0),"")</f>
        <v/>
      </c>
      <c r="U744" s="1" t="str">
        <f>IF(AND(Programme_Grunddaten!$A749="Geprüft",Programme_Grunddaten!AC749&lt;&gt;""),IF(Programme_Grunddaten!AC749="Ja",1,0),"")</f>
        <v/>
      </c>
      <c r="V744" s="1" t="str">
        <f>IF(AND(Programme_Grunddaten!$A749="Geprüft",Programme_Grunddaten!AD749&lt;&gt;""),IF(Programme_Grunddaten!AD749="Ja",1,0),"")</f>
        <v/>
      </c>
      <c r="W744" s="1" t="str">
        <f>IF(AND(Programme_Grunddaten!$A749="Geprüft",Programme_Grunddaten!AE749&lt;&gt;""),IF(Programme_Grunddaten!AE749="Ja",1,0),"")</f>
        <v/>
      </c>
      <c r="X744" s="1" t="str">
        <f>IF(AND(Programme_Grunddaten!$A749="Geprüft",Programme_Grunddaten!AF749&lt;&gt;""),IF(Programme_Grunddaten!AF749="Ja",1,0),"")</f>
        <v/>
      </c>
      <c r="Y744" s="1" t="str">
        <f>IF(AND(Programme_Grunddaten!$A749="Geprüft",Programme_Grunddaten!AG749&lt;&gt;""),IF(Programme_Grunddaten!AG749="Ja",1,0),"")</f>
        <v/>
      </c>
      <c r="Z744" s="1" t="str">
        <f>IF(AND(Programme_Grunddaten!$A749="Geprüft",Programme_Grunddaten!AH749&lt;&gt;""),IF(Programme_Grunddaten!AH749="Ja",1,0),"")</f>
        <v/>
      </c>
      <c r="AA744" s="1" t="str">
        <f>IF(AND(Programme_Grunddaten!$A749="Geprüft",Programme_Grunddaten!AI749&lt;&gt;""),IF(Programme_Grunddaten!AI749="Ja",1,0),"")</f>
        <v/>
      </c>
      <c r="AB744" s="1" t="str">
        <f>IF(AND(Programme_Grunddaten!$A749="Geprüft",Programme_Grunddaten!AJ749&lt;&gt;""),IF(Programme_Grunddaten!AJ749="individuell programmierbar",1,0),"")</f>
        <v/>
      </c>
      <c r="AC744" s="1" t="str">
        <f>IF(AND(Programme_Grunddaten!$A749="Geprüft",Programme_Grunddaten!AK749&lt;&gt;""),IF(Programme_Grunddaten!AK749="Deutsch",0,IF(Programme_Grunddaten!AK749="Deutsch und Englisch",1,2)),"")</f>
        <v/>
      </c>
      <c r="AD744" s="1" t="str">
        <f>IF(AND(Programme_Grunddaten!$A749="Geprüft",Programme_Grunddaten!AL749&lt;&gt;""),IF(Programme_Grunddaten!AL749="Ja",1,0),"")</f>
        <v/>
      </c>
      <c r="AE744" s="1" t="str">
        <f>IF(AND(Programme_Grunddaten!$A749="Geprüft",Programme_Grunddaten!AM749&lt;&gt;""),IF(Programme_Grunddaten!AM749="Ja",1,0),"")</f>
        <v/>
      </c>
      <c r="AF744" s="1" t="str">
        <f>IF(AND(Programme_Grunddaten!$A749="Geprüft",Programme_Grunddaten!AN749&lt;&gt;""),IF(Programme_Grunddaten!AN749="Ja",1,0),"")</f>
        <v/>
      </c>
      <c r="AG744" s="1" t="str">
        <f>IF(AND(Programme_Grunddaten!$A749="Geprüft",Programme_Grunddaten!AO749&lt;&gt;""),IF(Programme_Grunddaten!AO749="Ja",1,0),"")</f>
        <v/>
      </c>
      <c r="AH744" s="1" t="str">
        <f>IF(AND(Programme_Grunddaten!$A749="Geprüft",Programme_Grunddaten!AP749&lt;&gt;""),IF(Programme_Grunddaten!AP749="Ja",1,0),"")</f>
        <v/>
      </c>
      <c r="AI744" s="1" t="str">
        <f>IF(AND(Programme_Grunddaten!$A749="Geprüft",Programme_Grunddaten!AQ749&lt;&gt;""),IF(Programme_Grunddaten!AQ749="Ja",1,0),"")</f>
        <v/>
      </c>
      <c r="AJ744" s="1" t="str">
        <f>IF(AND(Programme_Grunddaten!$A749="Geprüft",Programme_Grunddaten!AR749&lt;&gt;""),IF(Programme_Grunddaten!AR749="Ja",1,0),"")</f>
        <v/>
      </c>
      <c r="AK744" s="1" t="str">
        <f>IF(AND(Programme_Grunddaten!$A749="Geprüft",Programme_Grunddaten!AS749&lt;&gt;""),IF(Programme_Grunddaten!AS749="Ja",1,0),"")</f>
        <v/>
      </c>
      <c r="AL744" s="1" t="str">
        <f>IF(AND(Programme_Grunddaten!$A749="Geprüft",Programme_Grunddaten!AT749&lt;&gt;""),IF(Programme_Grunddaten!AT749="Ja",1,0),"")</f>
        <v/>
      </c>
      <c r="AM744" s="1" t="str">
        <f>IF(AND(Programme_Grunddaten!$A749="Geprüft",Programme_Grunddaten!AU749&lt;&gt;""),IF(Programme_Grunddaten!AU749="Ja",1,0),"")</f>
        <v/>
      </c>
      <c r="AN744" s="1" t="str">
        <f>IF(AND(Programme_Grunddaten!$A749="Geprüft",Programme_Grunddaten!AV749&lt;&gt;""),IF(Programme_Grunddaten!AV749="Ja",1,0),"")</f>
        <v/>
      </c>
    </row>
    <row r="745" spans="1:40" x14ac:dyDescent="0.3">
      <c r="A745" s="1" t="str">
        <f>IF(AND(Programme_Grunddaten!A750="Geprüft",Programme_Grunddaten!B750&lt;&gt;""),Programme_Grunddaten!B750,"")</f>
        <v/>
      </c>
      <c r="B745" s="1" t="str">
        <f>IF(AND(Programme_Grunddaten!$A750="Geprüft",Programme_Grunddaten!I750&lt;&gt;""),IF(Programme_Grunddaten!I750="Ja",1,0),"")</f>
        <v/>
      </c>
      <c r="C745" s="1" t="str">
        <f>IF(AND(Programme_Grunddaten!$A750="Geprüft",Programme_Grunddaten!J750&lt;&gt;""),IF(Programme_Grunddaten!J750="Ja",1,0),"")</f>
        <v/>
      </c>
      <c r="D745" s="1" t="str">
        <f>IF(AND(Programme_Grunddaten!$A750="Geprüft",Programme_Grunddaten!K750&lt;&gt;""),IF(Programme_Grunddaten!K750="Ja",1,0),"")</f>
        <v/>
      </c>
      <c r="E745" s="1" t="str">
        <f>IF(AND(Programme_Grunddaten!$A750="Geprüft",Programme_Grunddaten!L750&lt;&gt;""),IF(Programme_Grunddaten!L750="Abo / befristete Lizenz",1,0),"")</f>
        <v/>
      </c>
      <c r="F745" s="1" t="str">
        <f>IF(AND(Programme_Grunddaten!$A750="Geprüft",Programme_Grunddaten!M750&lt;&gt;""),IF(Programme_Grunddaten!M750="Ja",1,0),"")</f>
        <v/>
      </c>
      <c r="G745" s="1" t="str">
        <f>IF(AND(Programme_Grunddaten!$A750="Geprüft",Programme_Grunddaten!N750&lt;&gt;""),IF(Programme_Grunddaten!N750="Ja",1,0),"")</f>
        <v/>
      </c>
      <c r="H745" s="1" t="str">
        <f>IF(AND(Programme_Grunddaten!$A750="Geprüft",Programme_Grunddaten!O750&lt;&gt;""),IF(Programme_Grunddaten!O750="Deutschland",0,IF(Programme_Grunddaten!O750="EU",1,2)),"")</f>
        <v/>
      </c>
      <c r="I745" s="1" t="str">
        <f>IF(AND(Programme_Grunddaten!$A750="Geprüft",Programme_Grunddaten!P750&lt;&gt;""),IF(Programme_Grunddaten!P750="Ja",1,0),"")</f>
        <v/>
      </c>
      <c r="J745" s="1" t="str">
        <f>IF(AND(Programme_Grunddaten!$A750="Geprüft",Programme_Grunddaten!Q750&lt;&gt;""),IF(Programme_Grunddaten!Q750="geschlossenes System",1,0),"")</f>
        <v/>
      </c>
      <c r="K745" s="1" t="str">
        <f>IF(AND(Programme_Grunddaten!$A750="Geprüft",Programme_Grunddaten!R750&lt;&gt;""),IF(Programme_Grunddaten!R750="Ja",1,0),"")</f>
        <v/>
      </c>
      <c r="L745" s="1" t="str">
        <f>IF(AND(Programme_Grunddaten!$A750="Geprüft",Programme_Grunddaten!T750&lt;&gt;""),IF(Programme_Grunddaten!T750="Ja",1,0),"")</f>
        <v/>
      </c>
      <c r="M745" s="1" t="str">
        <f>IF(AND(Programme_Grunddaten!$A750="Geprüft",Programme_Grunddaten!U750&lt;&gt;""),IF(Programme_Grunddaten!U750="Ja",1,0),"")</f>
        <v/>
      </c>
      <c r="N745" s="1" t="str">
        <f>IF(AND(Programme_Grunddaten!$A750="Geprüft",Programme_Grunddaten!V750&lt;&gt;""),IF(Programme_Grunddaten!V750="Ja",1,0),"")</f>
        <v/>
      </c>
      <c r="O745" s="1" t="str">
        <f>IF(AND(Programme_Grunddaten!$A750="Geprüft",Programme_Grunddaten!W750&lt;&gt;""),IF(Programme_Grunddaten!W750="Ja",1,0),"")</f>
        <v/>
      </c>
      <c r="P745" s="1" t="str">
        <f>IF(AND(Programme_Grunddaten!$A750="Geprüft",Programme_Grunddaten!X750&lt;&gt;""),IF(Programme_Grunddaten!X750="Ja",1,0),"")</f>
        <v/>
      </c>
      <c r="Q745" s="1" t="str">
        <f>IF(AND(Programme_Grunddaten!$A750="Geprüft",Programme_Grunddaten!Y750&lt;&gt;""),IF(Programme_Grunddaten!Y750="Ja",1,0),"")</f>
        <v/>
      </c>
      <c r="R745" s="1" t="str">
        <f>IF(AND(Programme_Grunddaten!$A750="Geprüft",Programme_Grunddaten!Z750&lt;&gt;""),IF(Programme_Grunddaten!Z750="Ja",1,0),"")</f>
        <v/>
      </c>
      <c r="S745" s="1" t="str">
        <f>IF(AND(Programme_Grunddaten!$A750="Geprüft",Programme_Grunddaten!AA750&lt;&gt;""),IF(Programme_Grunddaten!AA750="monolithisch",1,0),"")</f>
        <v/>
      </c>
      <c r="T745" s="1" t="str">
        <f>IF(AND(Programme_Grunddaten!$A750="Geprüft",Programme_Grunddaten!AB750&lt;&gt;""),IF(Programme_Grunddaten!AB750="Ja",1,0),"")</f>
        <v/>
      </c>
      <c r="U745" s="1" t="str">
        <f>IF(AND(Programme_Grunddaten!$A750="Geprüft",Programme_Grunddaten!AC750&lt;&gt;""),IF(Programme_Grunddaten!AC750="Ja",1,0),"")</f>
        <v/>
      </c>
      <c r="V745" s="1" t="str">
        <f>IF(AND(Programme_Grunddaten!$A750="Geprüft",Programme_Grunddaten!AD750&lt;&gt;""),IF(Programme_Grunddaten!AD750="Ja",1,0),"")</f>
        <v/>
      </c>
      <c r="W745" s="1" t="str">
        <f>IF(AND(Programme_Grunddaten!$A750="Geprüft",Programme_Grunddaten!AE750&lt;&gt;""),IF(Programme_Grunddaten!AE750="Ja",1,0),"")</f>
        <v/>
      </c>
      <c r="X745" s="1" t="str">
        <f>IF(AND(Programme_Grunddaten!$A750="Geprüft",Programme_Grunddaten!AF750&lt;&gt;""),IF(Programme_Grunddaten!AF750="Ja",1,0),"")</f>
        <v/>
      </c>
      <c r="Y745" s="1" t="str">
        <f>IF(AND(Programme_Grunddaten!$A750="Geprüft",Programme_Grunddaten!AG750&lt;&gt;""),IF(Programme_Grunddaten!AG750="Ja",1,0),"")</f>
        <v/>
      </c>
      <c r="Z745" s="1" t="str">
        <f>IF(AND(Programme_Grunddaten!$A750="Geprüft",Programme_Grunddaten!AH750&lt;&gt;""),IF(Programme_Grunddaten!AH750="Ja",1,0),"")</f>
        <v/>
      </c>
      <c r="AA745" s="1" t="str">
        <f>IF(AND(Programme_Grunddaten!$A750="Geprüft",Programme_Grunddaten!AI750&lt;&gt;""),IF(Programme_Grunddaten!AI750="Ja",1,0),"")</f>
        <v/>
      </c>
      <c r="AB745" s="1" t="str">
        <f>IF(AND(Programme_Grunddaten!$A750="Geprüft",Programme_Grunddaten!AJ750&lt;&gt;""),IF(Programme_Grunddaten!AJ750="individuell programmierbar",1,0),"")</f>
        <v/>
      </c>
      <c r="AC745" s="1" t="str">
        <f>IF(AND(Programme_Grunddaten!$A750="Geprüft",Programme_Grunddaten!AK750&lt;&gt;""),IF(Programme_Grunddaten!AK750="Deutsch",0,IF(Programme_Grunddaten!AK750="Deutsch und Englisch",1,2)),"")</f>
        <v/>
      </c>
      <c r="AD745" s="1" t="str">
        <f>IF(AND(Programme_Grunddaten!$A750="Geprüft",Programme_Grunddaten!AL750&lt;&gt;""),IF(Programme_Grunddaten!AL750="Ja",1,0),"")</f>
        <v/>
      </c>
      <c r="AE745" s="1" t="str">
        <f>IF(AND(Programme_Grunddaten!$A750="Geprüft",Programme_Grunddaten!AM750&lt;&gt;""),IF(Programme_Grunddaten!AM750="Ja",1,0),"")</f>
        <v/>
      </c>
      <c r="AF745" s="1" t="str">
        <f>IF(AND(Programme_Grunddaten!$A750="Geprüft",Programme_Grunddaten!AN750&lt;&gt;""),IF(Programme_Grunddaten!AN750="Ja",1,0),"")</f>
        <v/>
      </c>
      <c r="AG745" s="1" t="str">
        <f>IF(AND(Programme_Grunddaten!$A750="Geprüft",Programme_Grunddaten!AO750&lt;&gt;""),IF(Programme_Grunddaten!AO750="Ja",1,0),"")</f>
        <v/>
      </c>
      <c r="AH745" s="1" t="str">
        <f>IF(AND(Programme_Grunddaten!$A750="Geprüft",Programme_Grunddaten!AP750&lt;&gt;""),IF(Programme_Grunddaten!AP750="Ja",1,0),"")</f>
        <v/>
      </c>
      <c r="AI745" s="1" t="str">
        <f>IF(AND(Programme_Grunddaten!$A750="Geprüft",Programme_Grunddaten!AQ750&lt;&gt;""),IF(Programme_Grunddaten!AQ750="Ja",1,0),"")</f>
        <v/>
      </c>
      <c r="AJ745" s="1" t="str">
        <f>IF(AND(Programme_Grunddaten!$A750="Geprüft",Programme_Grunddaten!AR750&lt;&gt;""),IF(Programme_Grunddaten!AR750="Ja",1,0),"")</f>
        <v/>
      </c>
      <c r="AK745" s="1" t="str">
        <f>IF(AND(Programme_Grunddaten!$A750="Geprüft",Programme_Grunddaten!AS750&lt;&gt;""),IF(Programme_Grunddaten!AS750="Ja",1,0),"")</f>
        <v/>
      </c>
      <c r="AL745" s="1" t="str">
        <f>IF(AND(Programme_Grunddaten!$A750="Geprüft",Programme_Grunddaten!AT750&lt;&gt;""),IF(Programme_Grunddaten!AT750="Ja",1,0),"")</f>
        <v/>
      </c>
      <c r="AM745" s="1" t="str">
        <f>IF(AND(Programme_Grunddaten!$A750="Geprüft",Programme_Grunddaten!AU750&lt;&gt;""),IF(Programme_Grunddaten!AU750="Ja",1,0),"")</f>
        <v/>
      </c>
      <c r="AN745" s="1" t="str">
        <f>IF(AND(Programme_Grunddaten!$A750="Geprüft",Programme_Grunddaten!AV750&lt;&gt;""),IF(Programme_Grunddaten!AV750="Ja",1,0),"")</f>
        <v/>
      </c>
    </row>
    <row r="746" spans="1:40" x14ac:dyDescent="0.3">
      <c r="A746" s="1" t="str">
        <f>IF(AND(Programme_Grunddaten!A751="Geprüft",Programme_Grunddaten!B751&lt;&gt;""),Programme_Grunddaten!B751,"")</f>
        <v/>
      </c>
      <c r="B746" s="1" t="str">
        <f>IF(AND(Programme_Grunddaten!$A751="Geprüft",Programme_Grunddaten!I751&lt;&gt;""),IF(Programme_Grunddaten!I751="Ja",1,0),"")</f>
        <v/>
      </c>
      <c r="C746" s="1" t="str">
        <f>IF(AND(Programme_Grunddaten!$A751="Geprüft",Programme_Grunddaten!J751&lt;&gt;""),IF(Programme_Grunddaten!J751="Ja",1,0),"")</f>
        <v/>
      </c>
      <c r="D746" s="1" t="str">
        <f>IF(AND(Programme_Grunddaten!$A751="Geprüft",Programme_Grunddaten!K751&lt;&gt;""),IF(Programme_Grunddaten!K751="Ja",1,0),"")</f>
        <v/>
      </c>
      <c r="E746" s="1" t="str">
        <f>IF(AND(Programme_Grunddaten!$A751="Geprüft",Programme_Grunddaten!L751&lt;&gt;""),IF(Programme_Grunddaten!L751="Abo / befristete Lizenz",1,0),"")</f>
        <v/>
      </c>
      <c r="F746" s="1" t="str">
        <f>IF(AND(Programme_Grunddaten!$A751="Geprüft",Programme_Grunddaten!M751&lt;&gt;""),IF(Programme_Grunddaten!M751="Ja",1,0),"")</f>
        <v/>
      </c>
      <c r="G746" s="1" t="str">
        <f>IF(AND(Programme_Grunddaten!$A751="Geprüft",Programme_Grunddaten!N751&lt;&gt;""),IF(Programme_Grunddaten!N751="Ja",1,0),"")</f>
        <v/>
      </c>
      <c r="H746" s="1" t="str">
        <f>IF(AND(Programme_Grunddaten!$A751="Geprüft",Programme_Grunddaten!O751&lt;&gt;""),IF(Programme_Grunddaten!O751="Deutschland",0,IF(Programme_Grunddaten!O751="EU",1,2)),"")</f>
        <v/>
      </c>
      <c r="I746" s="1" t="str">
        <f>IF(AND(Programme_Grunddaten!$A751="Geprüft",Programme_Grunddaten!P751&lt;&gt;""),IF(Programme_Grunddaten!P751="Ja",1,0),"")</f>
        <v/>
      </c>
      <c r="J746" s="1" t="str">
        <f>IF(AND(Programme_Grunddaten!$A751="Geprüft",Programme_Grunddaten!Q751&lt;&gt;""),IF(Programme_Grunddaten!Q751="geschlossenes System",1,0),"")</f>
        <v/>
      </c>
      <c r="K746" s="1" t="str">
        <f>IF(AND(Programme_Grunddaten!$A751="Geprüft",Programme_Grunddaten!R751&lt;&gt;""),IF(Programme_Grunddaten!R751="Ja",1,0),"")</f>
        <v/>
      </c>
      <c r="L746" s="1" t="str">
        <f>IF(AND(Programme_Grunddaten!$A751="Geprüft",Programme_Grunddaten!T751&lt;&gt;""),IF(Programme_Grunddaten!T751="Ja",1,0),"")</f>
        <v/>
      </c>
      <c r="M746" s="1" t="str">
        <f>IF(AND(Programme_Grunddaten!$A751="Geprüft",Programme_Grunddaten!U751&lt;&gt;""),IF(Programme_Grunddaten!U751="Ja",1,0),"")</f>
        <v/>
      </c>
      <c r="N746" s="1" t="str">
        <f>IF(AND(Programme_Grunddaten!$A751="Geprüft",Programme_Grunddaten!V751&lt;&gt;""),IF(Programme_Grunddaten!V751="Ja",1,0),"")</f>
        <v/>
      </c>
      <c r="O746" s="1" t="str">
        <f>IF(AND(Programme_Grunddaten!$A751="Geprüft",Programme_Grunddaten!W751&lt;&gt;""),IF(Programme_Grunddaten!W751="Ja",1,0),"")</f>
        <v/>
      </c>
      <c r="P746" s="1" t="str">
        <f>IF(AND(Programme_Grunddaten!$A751="Geprüft",Programme_Grunddaten!X751&lt;&gt;""),IF(Programme_Grunddaten!X751="Ja",1,0),"")</f>
        <v/>
      </c>
      <c r="Q746" s="1" t="str">
        <f>IF(AND(Programme_Grunddaten!$A751="Geprüft",Programme_Grunddaten!Y751&lt;&gt;""),IF(Programme_Grunddaten!Y751="Ja",1,0),"")</f>
        <v/>
      </c>
      <c r="R746" s="1" t="str">
        <f>IF(AND(Programme_Grunddaten!$A751="Geprüft",Programme_Grunddaten!Z751&lt;&gt;""),IF(Programme_Grunddaten!Z751="Ja",1,0),"")</f>
        <v/>
      </c>
      <c r="S746" s="1" t="str">
        <f>IF(AND(Programme_Grunddaten!$A751="Geprüft",Programme_Grunddaten!AA751&lt;&gt;""),IF(Programme_Grunddaten!AA751="monolithisch",1,0),"")</f>
        <v/>
      </c>
      <c r="T746" s="1" t="str">
        <f>IF(AND(Programme_Grunddaten!$A751="Geprüft",Programme_Grunddaten!AB751&lt;&gt;""),IF(Programme_Grunddaten!AB751="Ja",1,0),"")</f>
        <v/>
      </c>
      <c r="U746" s="1" t="str">
        <f>IF(AND(Programme_Grunddaten!$A751="Geprüft",Programme_Grunddaten!AC751&lt;&gt;""),IF(Programme_Grunddaten!AC751="Ja",1,0),"")</f>
        <v/>
      </c>
      <c r="V746" s="1" t="str">
        <f>IF(AND(Programme_Grunddaten!$A751="Geprüft",Programme_Grunddaten!AD751&lt;&gt;""),IF(Programme_Grunddaten!AD751="Ja",1,0),"")</f>
        <v/>
      </c>
      <c r="W746" s="1" t="str">
        <f>IF(AND(Programme_Grunddaten!$A751="Geprüft",Programme_Grunddaten!AE751&lt;&gt;""),IF(Programme_Grunddaten!AE751="Ja",1,0),"")</f>
        <v/>
      </c>
      <c r="X746" s="1" t="str">
        <f>IF(AND(Programme_Grunddaten!$A751="Geprüft",Programme_Grunddaten!AF751&lt;&gt;""),IF(Programme_Grunddaten!AF751="Ja",1,0),"")</f>
        <v/>
      </c>
      <c r="Y746" s="1" t="str">
        <f>IF(AND(Programme_Grunddaten!$A751="Geprüft",Programme_Grunddaten!AG751&lt;&gt;""),IF(Programme_Grunddaten!AG751="Ja",1,0),"")</f>
        <v/>
      </c>
      <c r="Z746" s="1" t="str">
        <f>IF(AND(Programme_Grunddaten!$A751="Geprüft",Programme_Grunddaten!AH751&lt;&gt;""),IF(Programme_Grunddaten!AH751="Ja",1,0),"")</f>
        <v/>
      </c>
      <c r="AA746" s="1" t="str">
        <f>IF(AND(Programme_Grunddaten!$A751="Geprüft",Programme_Grunddaten!AI751&lt;&gt;""),IF(Programme_Grunddaten!AI751="Ja",1,0),"")</f>
        <v/>
      </c>
      <c r="AB746" s="1" t="str">
        <f>IF(AND(Programme_Grunddaten!$A751="Geprüft",Programme_Grunddaten!AJ751&lt;&gt;""),IF(Programme_Grunddaten!AJ751="individuell programmierbar",1,0),"")</f>
        <v/>
      </c>
      <c r="AC746" s="1" t="str">
        <f>IF(AND(Programme_Grunddaten!$A751="Geprüft",Programme_Grunddaten!AK751&lt;&gt;""),IF(Programme_Grunddaten!AK751="Deutsch",0,IF(Programme_Grunddaten!AK751="Deutsch und Englisch",1,2)),"")</f>
        <v/>
      </c>
      <c r="AD746" s="1" t="str">
        <f>IF(AND(Programme_Grunddaten!$A751="Geprüft",Programme_Grunddaten!AL751&lt;&gt;""),IF(Programme_Grunddaten!AL751="Ja",1,0),"")</f>
        <v/>
      </c>
      <c r="AE746" s="1" t="str">
        <f>IF(AND(Programme_Grunddaten!$A751="Geprüft",Programme_Grunddaten!AM751&lt;&gt;""),IF(Programme_Grunddaten!AM751="Ja",1,0),"")</f>
        <v/>
      </c>
      <c r="AF746" s="1" t="str">
        <f>IF(AND(Programme_Grunddaten!$A751="Geprüft",Programme_Grunddaten!AN751&lt;&gt;""),IF(Programme_Grunddaten!AN751="Ja",1,0),"")</f>
        <v/>
      </c>
      <c r="AG746" s="1" t="str">
        <f>IF(AND(Programme_Grunddaten!$A751="Geprüft",Programme_Grunddaten!AO751&lt;&gt;""),IF(Programme_Grunddaten!AO751="Ja",1,0),"")</f>
        <v/>
      </c>
      <c r="AH746" s="1" t="str">
        <f>IF(AND(Programme_Grunddaten!$A751="Geprüft",Programme_Grunddaten!AP751&lt;&gt;""),IF(Programme_Grunddaten!AP751="Ja",1,0),"")</f>
        <v/>
      </c>
      <c r="AI746" s="1" t="str">
        <f>IF(AND(Programme_Grunddaten!$A751="Geprüft",Programme_Grunddaten!AQ751&lt;&gt;""),IF(Programme_Grunddaten!AQ751="Ja",1,0),"")</f>
        <v/>
      </c>
      <c r="AJ746" s="1" t="str">
        <f>IF(AND(Programme_Grunddaten!$A751="Geprüft",Programme_Grunddaten!AR751&lt;&gt;""),IF(Programme_Grunddaten!AR751="Ja",1,0),"")</f>
        <v/>
      </c>
      <c r="AK746" s="1" t="str">
        <f>IF(AND(Programme_Grunddaten!$A751="Geprüft",Programme_Grunddaten!AS751&lt;&gt;""),IF(Programme_Grunddaten!AS751="Ja",1,0),"")</f>
        <v/>
      </c>
      <c r="AL746" s="1" t="str">
        <f>IF(AND(Programme_Grunddaten!$A751="Geprüft",Programme_Grunddaten!AT751&lt;&gt;""),IF(Programme_Grunddaten!AT751="Ja",1,0),"")</f>
        <v/>
      </c>
      <c r="AM746" s="1" t="str">
        <f>IF(AND(Programme_Grunddaten!$A751="Geprüft",Programme_Grunddaten!AU751&lt;&gt;""),IF(Programme_Grunddaten!AU751="Ja",1,0),"")</f>
        <v/>
      </c>
      <c r="AN746" s="1" t="str">
        <f>IF(AND(Programme_Grunddaten!$A751="Geprüft",Programme_Grunddaten!AV751&lt;&gt;""),IF(Programme_Grunddaten!AV751="Ja",1,0),"")</f>
        <v/>
      </c>
    </row>
    <row r="747" spans="1:40" x14ac:dyDescent="0.3">
      <c r="A747" s="1" t="str">
        <f>IF(AND(Programme_Grunddaten!A752="Geprüft",Programme_Grunddaten!B752&lt;&gt;""),Programme_Grunddaten!B752,"")</f>
        <v/>
      </c>
      <c r="B747" s="1" t="str">
        <f>IF(AND(Programme_Grunddaten!$A752="Geprüft",Programme_Grunddaten!I752&lt;&gt;""),IF(Programme_Grunddaten!I752="Ja",1,0),"")</f>
        <v/>
      </c>
      <c r="C747" s="1" t="str">
        <f>IF(AND(Programme_Grunddaten!$A752="Geprüft",Programme_Grunddaten!J752&lt;&gt;""),IF(Programme_Grunddaten!J752="Ja",1,0),"")</f>
        <v/>
      </c>
      <c r="D747" s="1" t="str">
        <f>IF(AND(Programme_Grunddaten!$A752="Geprüft",Programme_Grunddaten!K752&lt;&gt;""),IF(Programme_Grunddaten!K752="Ja",1,0),"")</f>
        <v/>
      </c>
      <c r="E747" s="1" t="str">
        <f>IF(AND(Programme_Grunddaten!$A752="Geprüft",Programme_Grunddaten!L752&lt;&gt;""),IF(Programme_Grunddaten!L752="Abo / befristete Lizenz",1,0),"")</f>
        <v/>
      </c>
      <c r="F747" s="1" t="str">
        <f>IF(AND(Programme_Grunddaten!$A752="Geprüft",Programme_Grunddaten!M752&lt;&gt;""),IF(Programme_Grunddaten!M752="Ja",1,0),"")</f>
        <v/>
      </c>
      <c r="G747" s="1" t="str">
        <f>IF(AND(Programme_Grunddaten!$A752="Geprüft",Programme_Grunddaten!N752&lt;&gt;""),IF(Programme_Grunddaten!N752="Ja",1,0),"")</f>
        <v/>
      </c>
      <c r="H747" s="1" t="str">
        <f>IF(AND(Programme_Grunddaten!$A752="Geprüft",Programme_Grunddaten!O752&lt;&gt;""),IF(Programme_Grunddaten!O752="Deutschland",0,IF(Programme_Grunddaten!O752="EU",1,2)),"")</f>
        <v/>
      </c>
      <c r="I747" s="1" t="str">
        <f>IF(AND(Programme_Grunddaten!$A752="Geprüft",Programme_Grunddaten!P752&lt;&gt;""),IF(Programme_Grunddaten!P752="Ja",1,0),"")</f>
        <v/>
      </c>
      <c r="J747" s="1" t="str">
        <f>IF(AND(Programme_Grunddaten!$A752="Geprüft",Programme_Grunddaten!Q752&lt;&gt;""),IF(Programme_Grunddaten!Q752="geschlossenes System",1,0),"")</f>
        <v/>
      </c>
      <c r="K747" s="1" t="str">
        <f>IF(AND(Programme_Grunddaten!$A752="Geprüft",Programme_Grunddaten!R752&lt;&gt;""),IF(Programme_Grunddaten!R752="Ja",1,0),"")</f>
        <v/>
      </c>
      <c r="L747" s="1" t="str">
        <f>IF(AND(Programme_Grunddaten!$A752="Geprüft",Programme_Grunddaten!T752&lt;&gt;""),IF(Programme_Grunddaten!T752="Ja",1,0),"")</f>
        <v/>
      </c>
      <c r="M747" s="1" t="str">
        <f>IF(AND(Programme_Grunddaten!$A752="Geprüft",Programme_Grunddaten!U752&lt;&gt;""),IF(Programme_Grunddaten!U752="Ja",1,0),"")</f>
        <v/>
      </c>
      <c r="N747" s="1" t="str">
        <f>IF(AND(Programme_Grunddaten!$A752="Geprüft",Programme_Grunddaten!V752&lt;&gt;""),IF(Programme_Grunddaten!V752="Ja",1,0),"")</f>
        <v/>
      </c>
      <c r="O747" s="1" t="str">
        <f>IF(AND(Programme_Grunddaten!$A752="Geprüft",Programme_Grunddaten!W752&lt;&gt;""),IF(Programme_Grunddaten!W752="Ja",1,0),"")</f>
        <v/>
      </c>
      <c r="P747" s="1" t="str">
        <f>IF(AND(Programme_Grunddaten!$A752="Geprüft",Programme_Grunddaten!X752&lt;&gt;""),IF(Programme_Grunddaten!X752="Ja",1,0),"")</f>
        <v/>
      </c>
      <c r="Q747" s="1" t="str">
        <f>IF(AND(Programme_Grunddaten!$A752="Geprüft",Programme_Grunddaten!Y752&lt;&gt;""),IF(Programme_Grunddaten!Y752="Ja",1,0),"")</f>
        <v/>
      </c>
      <c r="R747" s="1" t="str">
        <f>IF(AND(Programme_Grunddaten!$A752="Geprüft",Programme_Grunddaten!Z752&lt;&gt;""),IF(Programme_Grunddaten!Z752="Ja",1,0),"")</f>
        <v/>
      </c>
      <c r="S747" s="1" t="str">
        <f>IF(AND(Programme_Grunddaten!$A752="Geprüft",Programme_Grunddaten!AA752&lt;&gt;""),IF(Programme_Grunddaten!AA752="monolithisch",1,0),"")</f>
        <v/>
      </c>
      <c r="T747" s="1" t="str">
        <f>IF(AND(Programme_Grunddaten!$A752="Geprüft",Programme_Grunddaten!AB752&lt;&gt;""),IF(Programme_Grunddaten!AB752="Ja",1,0),"")</f>
        <v/>
      </c>
      <c r="U747" s="1" t="str">
        <f>IF(AND(Programme_Grunddaten!$A752="Geprüft",Programme_Grunddaten!AC752&lt;&gt;""),IF(Programme_Grunddaten!AC752="Ja",1,0),"")</f>
        <v/>
      </c>
      <c r="V747" s="1" t="str">
        <f>IF(AND(Programme_Grunddaten!$A752="Geprüft",Programme_Grunddaten!AD752&lt;&gt;""),IF(Programme_Grunddaten!AD752="Ja",1,0),"")</f>
        <v/>
      </c>
      <c r="W747" s="1" t="str">
        <f>IF(AND(Programme_Grunddaten!$A752="Geprüft",Programme_Grunddaten!AE752&lt;&gt;""),IF(Programme_Grunddaten!AE752="Ja",1,0),"")</f>
        <v/>
      </c>
      <c r="X747" s="1" t="str">
        <f>IF(AND(Programme_Grunddaten!$A752="Geprüft",Programme_Grunddaten!AF752&lt;&gt;""),IF(Programme_Grunddaten!AF752="Ja",1,0),"")</f>
        <v/>
      </c>
      <c r="Y747" s="1" t="str">
        <f>IF(AND(Programme_Grunddaten!$A752="Geprüft",Programme_Grunddaten!AG752&lt;&gt;""),IF(Programme_Grunddaten!AG752="Ja",1,0),"")</f>
        <v/>
      </c>
      <c r="Z747" s="1" t="str">
        <f>IF(AND(Programme_Grunddaten!$A752="Geprüft",Programme_Grunddaten!AH752&lt;&gt;""),IF(Programme_Grunddaten!AH752="Ja",1,0),"")</f>
        <v/>
      </c>
      <c r="AA747" s="1" t="str">
        <f>IF(AND(Programme_Grunddaten!$A752="Geprüft",Programme_Grunddaten!AI752&lt;&gt;""),IF(Programme_Grunddaten!AI752="Ja",1,0),"")</f>
        <v/>
      </c>
      <c r="AB747" s="1" t="str">
        <f>IF(AND(Programme_Grunddaten!$A752="Geprüft",Programme_Grunddaten!AJ752&lt;&gt;""),IF(Programme_Grunddaten!AJ752="individuell programmierbar",1,0),"")</f>
        <v/>
      </c>
      <c r="AC747" s="1" t="str">
        <f>IF(AND(Programme_Grunddaten!$A752="Geprüft",Programme_Grunddaten!AK752&lt;&gt;""),IF(Programme_Grunddaten!AK752="Deutsch",0,IF(Programme_Grunddaten!AK752="Deutsch und Englisch",1,2)),"")</f>
        <v/>
      </c>
      <c r="AD747" s="1" t="str">
        <f>IF(AND(Programme_Grunddaten!$A752="Geprüft",Programme_Grunddaten!AL752&lt;&gt;""),IF(Programme_Grunddaten!AL752="Ja",1,0),"")</f>
        <v/>
      </c>
      <c r="AE747" s="1" t="str">
        <f>IF(AND(Programme_Grunddaten!$A752="Geprüft",Programme_Grunddaten!AM752&lt;&gt;""),IF(Programme_Grunddaten!AM752="Ja",1,0),"")</f>
        <v/>
      </c>
      <c r="AF747" s="1" t="str">
        <f>IF(AND(Programme_Grunddaten!$A752="Geprüft",Programme_Grunddaten!AN752&lt;&gt;""),IF(Programme_Grunddaten!AN752="Ja",1,0),"")</f>
        <v/>
      </c>
      <c r="AG747" s="1" t="str">
        <f>IF(AND(Programme_Grunddaten!$A752="Geprüft",Programme_Grunddaten!AO752&lt;&gt;""),IF(Programme_Grunddaten!AO752="Ja",1,0),"")</f>
        <v/>
      </c>
      <c r="AH747" s="1" t="str">
        <f>IF(AND(Programme_Grunddaten!$A752="Geprüft",Programme_Grunddaten!AP752&lt;&gt;""),IF(Programme_Grunddaten!AP752="Ja",1,0),"")</f>
        <v/>
      </c>
      <c r="AI747" s="1" t="str">
        <f>IF(AND(Programme_Grunddaten!$A752="Geprüft",Programme_Grunddaten!AQ752&lt;&gt;""),IF(Programme_Grunddaten!AQ752="Ja",1,0),"")</f>
        <v/>
      </c>
      <c r="AJ747" s="1" t="str">
        <f>IF(AND(Programme_Grunddaten!$A752="Geprüft",Programme_Grunddaten!AR752&lt;&gt;""),IF(Programme_Grunddaten!AR752="Ja",1,0),"")</f>
        <v/>
      </c>
      <c r="AK747" s="1" t="str">
        <f>IF(AND(Programme_Grunddaten!$A752="Geprüft",Programme_Grunddaten!AS752&lt;&gt;""),IF(Programme_Grunddaten!AS752="Ja",1,0),"")</f>
        <v/>
      </c>
      <c r="AL747" s="1" t="str">
        <f>IF(AND(Programme_Grunddaten!$A752="Geprüft",Programme_Grunddaten!AT752&lt;&gt;""),IF(Programme_Grunddaten!AT752="Ja",1,0),"")</f>
        <v/>
      </c>
      <c r="AM747" s="1" t="str">
        <f>IF(AND(Programme_Grunddaten!$A752="Geprüft",Programme_Grunddaten!AU752&lt;&gt;""),IF(Programme_Grunddaten!AU752="Ja",1,0),"")</f>
        <v/>
      </c>
      <c r="AN747" s="1" t="str">
        <f>IF(AND(Programme_Grunddaten!$A752="Geprüft",Programme_Grunddaten!AV752&lt;&gt;""),IF(Programme_Grunddaten!AV752="Ja",1,0),"")</f>
        <v/>
      </c>
    </row>
    <row r="748" spans="1:40" x14ac:dyDescent="0.3">
      <c r="A748" s="1" t="str">
        <f>IF(AND(Programme_Grunddaten!A753="Geprüft",Programme_Grunddaten!B753&lt;&gt;""),Programme_Grunddaten!B753,"")</f>
        <v/>
      </c>
      <c r="B748" s="1" t="str">
        <f>IF(AND(Programme_Grunddaten!$A753="Geprüft",Programme_Grunddaten!I753&lt;&gt;""),IF(Programme_Grunddaten!I753="Ja",1,0),"")</f>
        <v/>
      </c>
      <c r="C748" s="1" t="str">
        <f>IF(AND(Programme_Grunddaten!$A753="Geprüft",Programme_Grunddaten!J753&lt;&gt;""),IF(Programme_Grunddaten!J753="Ja",1,0),"")</f>
        <v/>
      </c>
      <c r="D748" s="1" t="str">
        <f>IF(AND(Programme_Grunddaten!$A753="Geprüft",Programme_Grunddaten!K753&lt;&gt;""),IF(Programme_Grunddaten!K753="Ja",1,0),"")</f>
        <v/>
      </c>
      <c r="E748" s="1" t="str">
        <f>IF(AND(Programme_Grunddaten!$A753="Geprüft",Programme_Grunddaten!L753&lt;&gt;""),IF(Programme_Grunddaten!L753="Abo / befristete Lizenz",1,0),"")</f>
        <v/>
      </c>
      <c r="F748" s="1" t="str">
        <f>IF(AND(Programme_Grunddaten!$A753="Geprüft",Programme_Grunddaten!M753&lt;&gt;""),IF(Programme_Grunddaten!M753="Ja",1,0),"")</f>
        <v/>
      </c>
      <c r="G748" s="1" t="str">
        <f>IF(AND(Programme_Grunddaten!$A753="Geprüft",Programme_Grunddaten!N753&lt;&gt;""),IF(Programme_Grunddaten!N753="Ja",1,0),"")</f>
        <v/>
      </c>
      <c r="H748" s="1" t="str">
        <f>IF(AND(Programme_Grunddaten!$A753="Geprüft",Programme_Grunddaten!O753&lt;&gt;""),IF(Programme_Grunddaten!O753="Deutschland",0,IF(Programme_Grunddaten!O753="EU",1,2)),"")</f>
        <v/>
      </c>
      <c r="I748" s="1" t="str">
        <f>IF(AND(Programme_Grunddaten!$A753="Geprüft",Programme_Grunddaten!P753&lt;&gt;""),IF(Programme_Grunddaten!P753="Ja",1,0),"")</f>
        <v/>
      </c>
      <c r="J748" s="1" t="str">
        <f>IF(AND(Programme_Grunddaten!$A753="Geprüft",Programme_Grunddaten!Q753&lt;&gt;""),IF(Programme_Grunddaten!Q753="geschlossenes System",1,0),"")</f>
        <v/>
      </c>
      <c r="K748" s="1" t="str">
        <f>IF(AND(Programme_Grunddaten!$A753="Geprüft",Programme_Grunddaten!R753&lt;&gt;""),IF(Programme_Grunddaten!R753="Ja",1,0),"")</f>
        <v/>
      </c>
      <c r="L748" s="1" t="str">
        <f>IF(AND(Programme_Grunddaten!$A753="Geprüft",Programme_Grunddaten!T753&lt;&gt;""),IF(Programme_Grunddaten!T753="Ja",1,0),"")</f>
        <v/>
      </c>
      <c r="M748" s="1" t="str">
        <f>IF(AND(Programme_Grunddaten!$A753="Geprüft",Programme_Grunddaten!U753&lt;&gt;""),IF(Programme_Grunddaten!U753="Ja",1,0),"")</f>
        <v/>
      </c>
      <c r="N748" s="1" t="str">
        <f>IF(AND(Programme_Grunddaten!$A753="Geprüft",Programme_Grunddaten!V753&lt;&gt;""),IF(Programme_Grunddaten!V753="Ja",1,0),"")</f>
        <v/>
      </c>
      <c r="O748" s="1" t="str">
        <f>IF(AND(Programme_Grunddaten!$A753="Geprüft",Programme_Grunddaten!W753&lt;&gt;""),IF(Programme_Grunddaten!W753="Ja",1,0),"")</f>
        <v/>
      </c>
      <c r="P748" s="1" t="str">
        <f>IF(AND(Programme_Grunddaten!$A753="Geprüft",Programme_Grunddaten!X753&lt;&gt;""),IF(Programme_Grunddaten!X753="Ja",1,0),"")</f>
        <v/>
      </c>
      <c r="Q748" s="1" t="str">
        <f>IF(AND(Programme_Grunddaten!$A753="Geprüft",Programme_Grunddaten!Y753&lt;&gt;""),IF(Programme_Grunddaten!Y753="Ja",1,0),"")</f>
        <v/>
      </c>
      <c r="R748" s="1" t="str">
        <f>IF(AND(Programme_Grunddaten!$A753="Geprüft",Programme_Grunddaten!Z753&lt;&gt;""),IF(Programme_Grunddaten!Z753="Ja",1,0),"")</f>
        <v/>
      </c>
      <c r="S748" s="1" t="str">
        <f>IF(AND(Programme_Grunddaten!$A753="Geprüft",Programme_Grunddaten!AA753&lt;&gt;""),IF(Programme_Grunddaten!AA753="monolithisch",1,0),"")</f>
        <v/>
      </c>
      <c r="T748" s="1" t="str">
        <f>IF(AND(Programme_Grunddaten!$A753="Geprüft",Programme_Grunddaten!AB753&lt;&gt;""),IF(Programme_Grunddaten!AB753="Ja",1,0),"")</f>
        <v/>
      </c>
      <c r="U748" s="1" t="str">
        <f>IF(AND(Programme_Grunddaten!$A753="Geprüft",Programme_Grunddaten!AC753&lt;&gt;""),IF(Programme_Grunddaten!AC753="Ja",1,0),"")</f>
        <v/>
      </c>
      <c r="V748" s="1" t="str">
        <f>IF(AND(Programme_Grunddaten!$A753="Geprüft",Programme_Grunddaten!AD753&lt;&gt;""),IF(Programme_Grunddaten!AD753="Ja",1,0),"")</f>
        <v/>
      </c>
      <c r="W748" s="1" t="str">
        <f>IF(AND(Programme_Grunddaten!$A753="Geprüft",Programme_Grunddaten!AE753&lt;&gt;""),IF(Programme_Grunddaten!AE753="Ja",1,0),"")</f>
        <v/>
      </c>
      <c r="X748" s="1" t="str">
        <f>IF(AND(Programme_Grunddaten!$A753="Geprüft",Programme_Grunddaten!AF753&lt;&gt;""),IF(Programme_Grunddaten!AF753="Ja",1,0),"")</f>
        <v/>
      </c>
      <c r="Y748" s="1" t="str">
        <f>IF(AND(Programme_Grunddaten!$A753="Geprüft",Programme_Grunddaten!AG753&lt;&gt;""),IF(Programme_Grunddaten!AG753="Ja",1,0),"")</f>
        <v/>
      </c>
      <c r="Z748" s="1" t="str">
        <f>IF(AND(Programme_Grunddaten!$A753="Geprüft",Programme_Grunddaten!AH753&lt;&gt;""),IF(Programme_Grunddaten!AH753="Ja",1,0),"")</f>
        <v/>
      </c>
      <c r="AA748" s="1" t="str">
        <f>IF(AND(Programme_Grunddaten!$A753="Geprüft",Programme_Grunddaten!AI753&lt;&gt;""),IF(Programme_Grunddaten!AI753="Ja",1,0),"")</f>
        <v/>
      </c>
      <c r="AB748" s="1" t="str">
        <f>IF(AND(Programme_Grunddaten!$A753="Geprüft",Programme_Grunddaten!AJ753&lt;&gt;""),IF(Programme_Grunddaten!AJ753="individuell programmierbar",1,0),"")</f>
        <v/>
      </c>
      <c r="AC748" s="1" t="str">
        <f>IF(AND(Programme_Grunddaten!$A753="Geprüft",Programme_Grunddaten!AK753&lt;&gt;""),IF(Programme_Grunddaten!AK753="Deutsch",0,IF(Programme_Grunddaten!AK753="Deutsch und Englisch",1,2)),"")</f>
        <v/>
      </c>
      <c r="AD748" s="1" t="str">
        <f>IF(AND(Programme_Grunddaten!$A753="Geprüft",Programme_Grunddaten!AL753&lt;&gt;""),IF(Programme_Grunddaten!AL753="Ja",1,0),"")</f>
        <v/>
      </c>
      <c r="AE748" s="1" t="str">
        <f>IF(AND(Programme_Grunddaten!$A753="Geprüft",Programme_Grunddaten!AM753&lt;&gt;""),IF(Programme_Grunddaten!AM753="Ja",1,0),"")</f>
        <v/>
      </c>
      <c r="AF748" s="1" t="str">
        <f>IF(AND(Programme_Grunddaten!$A753="Geprüft",Programme_Grunddaten!AN753&lt;&gt;""),IF(Programme_Grunddaten!AN753="Ja",1,0),"")</f>
        <v/>
      </c>
      <c r="AG748" s="1" t="str">
        <f>IF(AND(Programme_Grunddaten!$A753="Geprüft",Programme_Grunddaten!AO753&lt;&gt;""),IF(Programme_Grunddaten!AO753="Ja",1,0),"")</f>
        <v/>
      </c>
      <c r="AH748" s="1" t="str">
        <f>IF(AND(Programme_Grunddaten!$A753="Geprüft",Programme_Grunddaten!AP753&lt;&gt;""),IF(Programme_Grunddaten!AP753="Ja",1,0),"")</f>
        <v/>
      </c>
      <c r="AI748" s="1" t="str">
        <f>IF(AND(Programme_Grunddaten!$A753="Geprüft",Programme_Grunddaten!AQ753&lt;&gt;""),IF(Programme_Grunddaten!AQ753="Ja",1,0),"")</f>
        <v/>
      </c>
      <c r="AJ748" s="1" t="str">
        <f>IF(AND(Programme_Grunddaten!$A753="Geprüft",Programme_Grunddaten!AR753&lt;&gt;""),IF(Programme_Grunddaten!AR753="Ja",1,0),"")</f>
        <v/>
      </c>
      <c r="AK748" s="1" t="str">
        <f>IF(AND(Programme_Grunddaten!$A753="Geprüft",Programme_Grunddaten!AS753&lt;&gt;""),IF(Programme_Grunddaten!AS753="Ja",1,0),"")</f>
        <v/>
      </c>
      <c r="AL748" s="1" t="str">
        <f>IF(AND(Programme_Grunddaten!$A753="Geprüft",Programme_Grunddaten!AT753&lt;&gt;""),IF(Programme_Grunddaten!AT753="Ja",1,0),"")</f>
        <v/>
      </c>
      <c r="AM748" s="1" t="str">
        <f>IF(AND(Programme_Grunddaten!$A753="Geprüft",Programme_Grunddaten!AU753&lt;&gt;""),IF(Programme_Grunddaten!AU753="Ja",1,0),"")</f>
        <v/>
      </c>
      <c r="AN748" s="1" t="str">
        <f>IF(AND(Programme_Grunddaten!$A753="Geprüft",Programme_Grunddaten!AV753&lt;&gt;""),IF(Programme_Grunddaten!AV753="Ja",1,0),"")</f>
        <v/>
      </c>
    </row>
    <row r="749" spans="1:40" x14ac:dyDescent="0.3">
      <c r="A749" s="1" t="str">
        <f>IF(AND(Programme_Grunddaten!A754="Geprüft",Programme_Grunddaten!B754&lt;&gt;""),Programme_Grunddaten!B754,"")</f>
        <v/>
      </c>
      <c r="B749" s="1" t="str">
        <f>IF(AND(Programme_Grunddaten!$A754="Geprüft",Programme_Grunddaten!I754&lt;&gt;""),IF(Programme_Grunddaten!I754="Ja",1,0),"")</f>
        <v/>
      </c>
      <c r="C749" s="1" t="str">
        <f>IF(AND(Programme_Grunddaten!$A754="Geprüft",Programme_Grunddaten!J754&lt;&gt;""),IF(Programme_Grunddaten!J754="Ja",1,0),"")</f>
        <v/>
      </c>
      <c r="D749" s="1" t="str">
        <f>IF(AND(Programme_Grunddaten!$A754="Geprüft",Programme_Grunddaten!K754&lt;&gt;""),IF(Programme_Grunddaten!K754="Ja",1,0),"")</f>
        <v/>
      </c>
      <c r="E749" s="1" t="str">
        <f>IF(AND(Programme_Grunddaten!$A754="Geprüft",Programme_Grunddaten!L754&lt;&gt;""),IF(Programme_Grunddaten!L754="Abo / befristete Lizenz",1,0),"")</f>
        <v/>
      </c>
      <c r="F749" s="1" t="str">
        <f>IF(AND(Programme_Grunddaten!$A754="Geprüft",Programme_Grunddaten!M754&lt;&gt;""),IF(Programme_Grunddaten!M754="Ja",1,0),"")</f>
        <v/>
      </c>
      <c r="G749" s="1" t="str">
        <f>IF(AND(Programme_Grunddaten!$A754="Geprüft",Programme_Grunddaten!N754&lt;&gt;""),IF(Programme_Grunddaten!N754="Ja",1,0),"")</f>
        <v/>
      </c>
      <c r="H749" s="1" t="str">
        <f>IF(AND(Programme_Grunddaten!$A754="Geprüft",Programme_Grunddaten!O754&lt;&gt;""),IF(Programme_Grunddaten!O754="Deutschland",0,IF(Programme_Grunddaten!O754="EU",1,2)),"")</f>
        <v/>
      </c>
      <c r="I749" s="1" t="str">
        <f>IF(AND(Programme_Grunddaten!$A754="Geprüft",Programme_Grunddaten!P754&lt;&gt;""),IF(Programme_Grunddaten!P754="Ja",1,0),"")</f>
        <v/>
      </c>
      <c r="J749" s="1" t="str">
        <f>IF(AND(Programme_Grunddaten!$A754="Geprüft",Programme_Grunddaten!Q754&lt;&gt;""),IF(Programme_Grunddaten!Q754="geschlossenes System",1,0),"")</f>
        <v/>
      </c>
      <c r="K749" s="1" t="str">
        <f>IF(AND(Programme_Grunddaten!$A754="Geprüft",Programme_Grunddaten!R754&lt;&gt;""),IF(Programme_Grunddaten!R754="Ja",1,0),"")</f>
        <v/>
      </c>
      <c r="L749" s="1" t="str">
        <f>IF(AND(Programme_Grunddaten!$A754="Geprüft",Programme_Grunddaten!T754&lt;&gt;""),IF(Programme_Grunddaten!T754="Ja",1,0),"")</f>
        <v/>
      </c>
      <c r="M749" s="1" t="str">
        <f>IF(AND(Programme_Grunddaten!$A754="Geprüft",Programme_Grunddaten!U754&lt;&gt;""),IF(Programme_Grunddaten!U754="Ja",1,0),"")</f>
        <v/>
      </c>
      <c r="N749" s="1" t="str">
        <f>IF(AND(Programme_Grunddaten!$A754="Geprüft",Programme_Grunddaten!V754&lt;&gt;""),IF(Programme_Grunddaten!V754="Ja",1,0),"")</f>
        <v/>
      </c>
      <c r="O749" s="1" t="str">
        <f>IF(AND(Programme_Grunddaten!$A754="Geprüft",Programme_Grunddaten!W754&lt;&gt;""),IF(Programme_Grunddaten!W754="Ja",1,0),"")</f>
        <v/>
      </c>
      <c r="P749" s="1" t="str">
        <f>IF(AND(Programme_Grunddaten!$A754="Geprüft",Programme_Grunddaten!X754&lt;&gt;""),IF(Programme_Grunddaten!X754="Ja",1,0),"")</f>
        <v/>
      </c>
      <c r="Q749" s="1" t="str">
        <f>IF(AND(Programme_Grunddaten!$A754="Geprüft",Programme_Grunddaten!Y754&lt;&gt;""),IF(Programme_Grunddaten!Y754="Ja",1,0),"")</f>
        <v/>
      </c>
      <c r="R749" s="1" t="str">
        <f>IF(AND(Programme_Grunddaten!$A754="Geprüft",Programme_Grunddaten!Z754&lt;&gt;""),IF(Programme_Grunddaten!Z754="Ja",1,0),"")</f>
        <v/>
      </c>
      <c r="S749" s="1" t="str">
        <f>IF(AND(Programme_Grunddaten!$A754="Geprüft",Programme_Grunddaten!AA754&lt;&gt;""),IF(Programme_Grunddaten!AA754="monolithisch",1,0),"")</f>
        <v/>
      </c>
      <c r="T749" s="1" t="str">
        <f>IF(AND(Programme_Grunddaten!$A754="Geprüft",Programme_Grunddaten!AB754&lt;&gt;""),IF(Programme_Grunddaten!AB754="Ja",1,0),"")</f>
        <v/>
      </c>
      <c r="U749" s="1" t="str">
        <f>IF(AND(Programme_Grunddaten!$A754="Geprüft",Programme_Grunddaten!AC754&lt;&gt;""),IF(Programme_Grunddaten!AC754="Ja",1,0),"")</f>
        <v/>
      </c>
      <c r="V749" s="1" t="str">
        <f>IF(AND(Programme_Grunddaten!$A754="Geprüft",Programme_Grunddaten!AD754&lt;&gt;""),IF(Programme_Grunddaten!AD754="Ja",1,0),"")</f>
        <v/>
      </c>
      <c r="W749" s="1" t="str">
        <f>IF(AND(Programme_Grunddaten!$A754="Geprüft",Programme_Grunddaten!AE754&lt;&gt;""),IF(Programme_Grunddaten!AE754="Ja",1,0),"")</f>
        <v/>
      </c>
      <c r="X749" s="1" t="str">
        <f>IF(AND(Programme_Grunddaten!$A754="Geprüft",Programme_Grunddaten!AF754&lt;&gt;""),IF(Programme_Grunddaten!AF754="Ja",1,0),"")</f>
        <v/>
      </c>
      <c r="Y749" s="1" t="str">
        <f>IF(AND(Programme_Grunddaten!$A754="Geprüft",Programme_Grunddaten!AG754&lt;&gt;""),IF(Programme_Grunddaten!AG754="Ja",1,0),"")</f>
        <v/>
      </c>
      <c r="Z749" s="1" t="str">
        <f>IF(AND(Programme_Grunddaten!$A754="Geprüft",Programme_Grunddaten!AH754&lt;&gt;""),IF(Programme_Grunddaten!AH754="Ja",1,0),"")</f>
        <v/>
      </c>
      <c r="AA749" s="1" t="str">
        <f>IF(AND(Programme_Grunddaten!$A754="Geprüft",Programme_Grunddaten!AI754&lt;&gt;""),IF(Programme_Grunddaten!AI754="Ja",1,0),"")</f>
        <v/>
      </c>
      <c r="AB749" s="1" t="str">
        <f>IF(AND(Programme_Grunddaten!$A754="Geprüft",Programme_Grunddaten!AJ754&lt;&gt;""),IF(Programme_Grunddaten!AJ754="individuell programmierbar",1,0),"")</f>
        <v/>
      </c>
      <c r="AC749" s="1" t="str">
        <f>IF(AND(Programme_Grunddaten!$A754="Geprüft",Programme_Grunddaten!AK754&lt;&gt;""),IF(Programme_Grunddaten!AK754="Deutsch",0,IF(Programme_Grunddaten!AK754="Deutsch und Englisch",1,2)),"")</f>
        <v/>
      </c>
      <c r="AD749" s="1" t="str">
        <f>IF(AND(Programme_Grunddaten!$A754="Geprüft",Programme_Grunddaten!AL754&lt;&gt;""),IF(Programme_Grunddaten!AL754="Ja",1,0),"")</f>
        <v/>
      </c>
      <c r="AE749" s="1" t="str">
        <f>IF(AND(Programme_Grunddaten!$A754="Geprüft",Programme_Grunddaten!AM754&lt;&gt;""),IF(Programme_Grunddaten!AM754="Ja",1,0),"")</f>
        <v/>
      </c>
      <c r="AF749" s="1" t="str">
        <f>IF(AND(Programme_Grunddaten!$A754="Geprüft",Programme_Grunddaten!AN754&lt;&gt;""),IF(Programme_Grunddaten!AN754="Ja",1,0),"")</f>
        <v/>
      </c>
      <c r="AG749" s="1" t="str">
        <f>IF(AND(Programme_Grunddaten!$A754="Geprüft",Programme_Grunddaten!AO754&lt;&gt;""),IF(Programme_Grunddaten!AO754="Ja",1,0),"")</f>
        <v/>
      </c>
      <c r="AH749" s="1" t="str">
        <f>IF(AND(Programme_Grunddaten!$A754="Geprüft",Programme_Grunddaten!AP754&lt;&gt;""),IF(Programme_Grunddaten!AP754="Ja",1,0),"")</f>
        <v/>
      </c>
      <c r="AI749" s="1" t="str">
        <f>IF(AND(Programme_Grunddaten!$A754="Geprüft",Programme_Grunddaten!AQ754&lt;&gt;""),IF(Programme_Grunddaten!AQ754="Ja",1,0),"")</f>
        <v/>
      </c>
      <c r="AJ749" s="1" t="str">
        <f>IF(AND(Programme_Grunddaten!$A754="Geprüft",Programme_Grunddaten!AR754&lt;&gt;""),IF(Programme_Grunddaten!AR754="Ja",1,0),"")</f>
        <v/>
      </c>
      <c r="AK749" s="1" t="str">
        <f>IF(AND(Programme_Grunddaten!$A754="Geprüft",Programme_Grunddaten!AS754&lt;&gt;""),IF(Programme_Grunddaten!AS754="Ja",1,0),"")</f>
        <v/>
      </c>
      <c r="AL749" s="1" t="str">
        <f>IF(AND(Programme_Grunddaten!$A754="Geprüft",Programme_Grunddaten!AT754&lt;&gt;""),IF(Programme_Grunddaten!AT754="Ja",1,0),"")</f>
        <v/>
      </c>
      <c r="AM749" s="1" t="str">
        <f>IF(AND(Programme_Grunddaten!$A754="Geprüft",Programme_Grunddaten!AU754&lt;&gt;""),IF(Programme_Grunddaten!AU754="Ja",1,0),"")</f>
        <v/>
      </c>
      <c r="AN749" s="1" t="str">
        <f>IF(AND(Programme_Grunddaten!$A754="Geprüft",Programme_Grunddaten!AV754&lt;&gt;""),IF(Programme_Grunddaten!AV754="Ja",1,0),"")</f>
        <v/>
      </c>
    </row>
    <row r="750" spans="1:40" x14ac:dyDescent="0.3">
      <c r="A750" s="1" t="str">
        <f>IF(AND(Programme_Grunddaten!A755="Geprüft",Programme_Grunddaten!B755&lt;&gt;""),Programme_Grunddaten!B755,"")</f>
        <v/>
      </c>
      <c r="B750" s="1" t="str">
        <f>IF(AND(Programme_Grunddaten!$A755="Geprüft",Programme_Grunddaten!I755&lt;&gt;""),IF(Programme_Grunddaten!I755="Ja",1,0),"")</f>
        <v/>
      </c>
      <c r="C750" s="1" t="str">
        <f>IF(AND(Programme_Grunddaten!$A755="Geprüft",Programme_Grunddaten!J755&lt;&gt;""),IF(Programme_Grunddaten!J755="Ja",1,0),"")</f>
        <v/>
      </c>
      <c r="D750" s="1" t="str">
        <f>IF(AND(Programme_Grunddaten!$A755="Geprüft",Programme_Grunddaten!K755&lt;&gt;""),IF(Programme_Grunddaten!K755="Ja",1,0),"")</f>
        <v/>
      </c>
      <c r="E750" s="1" t="str">
        <f>IF(AND(Programme_Grunddaten!$A755="Geprüft",Programme_Grunddaten!L755&lt;&gt;""),IF(Programme_Grunddaten!L755="Abo / befristete Lizenz",1,0),"")</f>
        <v/>
      </c>
      <c r="F750" s="1" t="str">
        <f>IF(AND(Programme_Grunddaten!$A755="Geprüft",Programme_Grunddaten!M755&lt;&gt;""),IF(Programme_Grunddaten!M755="Ja",1,0),"")</f>
        <v/>
      </c>
      <c r="G750" s="1" t="str">
        <f>IF(AND(Programme_Grunddaten!$A755="Geprüft",Programme_Grunddaten!N755&lt;&gt;""),IF(Programme_Grunddaten!N755="Ja",1,0),"")</f>
        <v/>
      </c>
      <c r="H750" s="1" t="str">
        <f>IF(AND(Programme_Grunddaten!$A755="Geprüft",Programme_Grunddaten!O755&lt;&gt;""),IF(Programme_Grunddaten!O755="Deutschland",0,IF(Programme_Grunddaten!O755="EU",1,2)),"")</f>
        <v/>
      </c>
      <c r="I750" s="1" t="str">
        <f>IF(AND(Programme_Grunddaten!$A755="Geprüft",Programme_Grunddaten!P755&lt;&gt;""),IF(Programme_Grunddaten!P755="Ja",1,0),"")</f>
        <v/>
      </c>
      <c r="J750" s="1" t="str">
        <f>IF(AND(Programme_Grunddaten!$A755="Geprüft",Programme_Grunddaten!Q755&lt;&gt;""),IF(Programme_Grunddaten!Q755="geschlossenes System",1,0),"")</f>
        <v/>
      </c>
      <c r="K750" s="1" t="str">
        <f>IF(AND(Programme_Grunddaten!$A755="Geprüft",Programme_Grunddaten!R755&lt;&gt;""),IF(Programme_Grunddaten!R755="Ja",1,0),"")</f>
        <v/>
      </c>
      <c r="L750" s="1" t="str">
        <f>IF(AND(Programme_Grunddaten!$A755="Geprüft",Programme_Grunddaten!T755&lt;&gt;""),IF(Programme_Grunddaten!T755="Ja",1,0),"")</f>
        <v/>
      </c>
      <c r="M750" s="1" t="str">
        <f>IF(AND(Programme_Grunddaten!$A755="Geprüft",Programme_Grunddaten!U755&lt;&gt;""),IF(Programme_Grunddaten!U755="Ja",1,0),"")</f>
        <v/>
      </c>
      <c r="N750" s="1" t="str">
        <f>IF(AND(Programme_Grunddaten!$A755="Geprüft",Programme_Grunddaten!V755&lt;&gt;""),IF(Programme_Grunddaten!V755="Ja",1,0),"")</f>
        <v/>
      </c>
      <c r="O750" s="1" t="str">
        <f>IF(AND(Programme_Grunddaten!$A755="Geprüft",Programme_Grunddaten!W755&lt;&gt;""),IF(Programme_Grunddaten!W755="Ja",1,0),"")</f>
        <v/>
      </c>
      <c r="P750" s="1" t="str">
        <f>IF(AND(Programme_Grunddaten!$A755="Geprüft",Programme_Grunddaten!X755&lt;&gt;""),IF(Programme_Grunddaten!X755="Ja",1,0),"")</f>
        <v/>
      </c>
      <c r="Q750" s="1" t="str">
        <f>IF(AND(Programme_Grunddaten!$A755="Geprüft",Programme_Grunddaten!Y755&lt;&gt;""),IF(Programme_Grunddaten!Y755="Ja",1,0),"")</f>
        <v/>
      </c>
      <c r="R750" s="1" t="str">
        <f>IF(AND(Programme_Grunddaten!$A755="Geprüft",Programme_Grunddaten!Z755&lt;&gt;""),IF(Programme_Grunddaten!Z755="Ja",1,0),"")</f>
        <v/>
      </c>
      <c r="S750" s="1" t="str">
        <f>IF(AND(Programme_Grunddaten!$A755="Geprüft",Programme_Grunddaten!AA755&lt;&gt;""),IF(Programme_Grunddaten!AA755="monolithisch",1,0),"")</f>
        <v/>
      </c>
      <c r="T750" s="1" t="str">
        <f>IF(AND(Programme_Grunddaten!$A755="Geprüft",Programme_Grunddaten!AB755&lt;&gt;""),IF(Programme_Grunddaten!AB755="Ja",1,0),"")</f>
        <v/>
      </c>
      <c r="U750" s="1" t="str">
        <f>IF(AND(Programme_Grunddaten!$A755="Geprüft",Programme_Grunddaten!AC755&lt;&gt;""),IF(Programme_Grunddaten!AC755="Ja",1,0),"")</f>
        <v/>
      </c>
      <c r="V750" s="1" t="str">
        <f>IF(AND(Programme_Grunddaten!$A755="Geprüft",Programme_Grunddaten!AD755&lt;&gt;""),IF(Programme_Grunddaten!AD755="Ja",1,0),"")</f>
        <v/>
      </c>
      <c r="W750" s="1" t="str">
        <f>IF(AND(Programme_Grunddaten!$A755="Geprüft",Programme_Grunddaten!AE755&lt;&gt;""),IF(Programme_Grunddaten!AE755="Ja",1,0),"")</f>
        <v/>
      </c>
      <c r="X750" s="1" t="str">
        <f>IF(AND(Programme_Grunddaten!$A755="Geprüft",Programme_Grunddaten!AF755&lt;&gt;""),IF(Programme_Grunddaten!AF755="Ja",1,0),"")</f>
        <v/>
      </c>
      <c r="Y750" s="1" t="str">
        <f>IF(AND(Programme_Grunddaten!$A755="Geprüft",Programme_Grunddaten!AG755&lt;&gt;""),IF(Programme_Grunddaten!AG755="Ja",1,0),"")</f>
        <v/>
      </c>
      <c r="Z750" s="1" t="str">
        <f>IF(AND(Programme_Grunddaten!$A755="Geprüft",Programme_Grunddaten!AH755&lt;&gt;""),IF(Programme_Grunddaten!AH755="Ja",1,0),"")</f>
        <v/>
      </c>
      <c r="AA750" s="1" t="str">
        <f>IF(AND(Programme_Grunddaten!$A755="Geprüft",Programme_Grunddaten!AI755&lt;&gt;""),IF(Programme_Grunddaten!AI755="Ja",1,0),"")</f>
        <v/>
      </c>
      <c r="AB750" s="1" t="str">
        <f>IF(AND(Programme_Grunddaten!$A755="Geprüft",Programme_Grunddaten!AJ755&lt;&gt;""),IF(Programme_Grunddaten!AJ755="individuell programmierbar",1,0),"")</f>
        <v/>
      </c>
      <c r="AC750" s="1" t="str">
        <f>IF(AND(Programme_Grunddaten!$A755="Geprüft",Programme_Grunddaten!AK755&lt;&gt;""),IF(Programme_Grunddaten!AK755="Deutsch",0,IF(Programme_Grunddaten!AK755="Deutsch und Englisch",1,2)),"")</f>
        <v/>
      </c>
      <c r="AD750" s="1" t="str">
        <f>IF(AND(Programme_Grunddaten!$A755="Geprüft",Programme_Grunddaten!AL755&lt;&gt;""),IF(Programme_Grunddaten!AL755="Ja",1,0),"")</f>
        <v/>
      </c>
      <c r="AE750" s="1" t="str">
        <f>IF(AND(Programme_Grunddaten!$A755="Geprüft",Programme_Grunddaten!AM755&lt;&gt;""),IF(Programme_Grunddaten!AM755="Ja",1,0),"")</f>
        <v/>
      </c>
      <c r="AF750" s="1" t="str">
        <f>IF(AND(Programme_Grunddaten!$A755="Geprüft",Programme_Grunddaten!AN755&lt;&gt;""),IF(Programme_Grunddaten!AN755="Ja",1,0),"")</f>
        <v/>
      </c>
      <c r="AG750" s="1" t="str">
        <f>IF(AND(Programme_Grunddaten!$A755="Geprüft",Programme_Grunddaten!AO755&lt;&gt;""),IF(Programme_Grunddaten!AO755="Ja",1,0),"")</f>
        <v/>
      </c>
      <c r="AH750" s="1" t="str">
        <f>IF(AND(Programme_Grunddaten!$A755="Geprüft",Programme_Grunddaten!AP755&lt;&gt;""),IF(Programme_Grunddaten!AP755="Ja",1,0),"")</f>
        <v/>
      </c>
      <c r="AI750" s="1" t="str">
        <f>IF(AND(Programme_Grunddaten!$A755="Geprüft",Programme_Grunddaten!AQ755&lt;&gt;""),IF(Programme_Grunddaten!AQ755="Ja",1,0),"")</f>
        <v/>
      </c>
      <c r="AJ750" s="1" t="str">
        <f>IF(AND(Programme_Grunddaten!$A755="Geprüft",Programme_Grunddaten!AR755&lt;&gt;""),IF(Programme_Grunddaten!AR755="Ja",1,0),"")</f>
        <v/>
      </c>
      <c r="AK750" s="1" t="str">
        <f>IF(AND(Programme_Grunddaten!$A755="Geprüft",Programme_Grunddaten!AS755&lt;&gt;""),IF(Programme_Grunddaten!AS755="Ja",1,0),"")</f>
        <v/>
      </c>
      <c r="AL750" s="1" t="str">
        <f>IF(AND(Programme_Grunddaten!$A755="Geprüft",Programme_Grunddaten!AT755&lt;&gt;""),IF(Programme_Grunddaten!AT755="Ja",1,0),"")</f>
        <v/>
      </c>
      <c r="AM750" s="1" t="str">
        <f>IF(AND(Programme_Grunddaten!$A755="Geprüft",Programme_Grunddaten!AU755&lt;&gt;""),IF(Programme_Grunddaten!AU755="Ja",1,0),"")</f>
        <v/>
      </c>
      <c r="AN750" s="1" t="str">
        <f>IF(AND(Programme_Grunddaten!$A755="Geprüft",Programme_Grunddaten!AV755&lt;&gt;""),IF(Programme_Grunddaten!AV755="Ja",1,0),"")</f>
        <v/>
      </c>
    </row>
    <row r="751" spans="1:40" x14ac:dyDescent="0.3">
      <c r="A751" s="1" t="str">
        <f>IF(AND(Programme_Grunddaten!A756="Geprüft",Programme_Grunddaten!B756&lt;&gt;""),Programme_Grunddaten!B756,"")</f>
        <v/>
      </c>
      <c r="B751" s="1" t="str">
        <f>IF(AND(Programme_Grunddaten!$A756="Geprüft",Programme_Grunddaten!I756&lt;&gt;""),IF(Programme_Grunddaten!I756="Ja",1,0),"")</f>
        <v/>
      </c>
      <c r="C751" s="1" t="str">
        <f>IF(AND(Programme_Grunddaten!$A756="Geprüft",Programme_Grunddaten!J756&lt;&gt;""),IF(Programme_Grunddaten!J756="Ja",1,0),"")</f>
        <v/>
      </c>
      <c r="D751" s="1" t="str">
        <f>IF(AND(Programme_Grunddaten!$A756="Geprüft",Programme_Grunddaten!K756&lt;&gt;""),IF(Programme_Grunddaten!K756="Ja",1,0),"")</f>
        <v/>
      </c>
      <c r="E751" s="1" t="str">
        <f>IF(AND(Programme_Grunddaten!$A756="Geprüft",Programme_Grunddaten!L756&lt;&gt;""),IF(Programme_Grunddaten!L756="Abo / befristete Lizenz",1,0),"")</f>
        <v/>
      </c>
      <c r="F751" s="1" t="str">
        <f>IF(AND(Programme_Grunddaten!$A756="Geprüft",Programme_Grunddaten!M756&lt;&gt;""),IF(Programme_Grunddaten!M756="Ja",1,0),"")</f>
        <v/>
      </c>
      <c r="G751" s="1" t="str">
        <f>IF(AND(Programme_Grunddaten!$A756="Geprüft",Programme_Grunddaten!N756&lt;&gt;""),IF(Programme_Grunddaten!N756="Ja",1,0),"")</f>
        <v/>
      </c>
      <c r="H751" s="1" t="str">
        <f>IF(AND(Programme_Grunddaten!$A756="Geprüft",Programme_Grunddaten!O756&lt;&gt;""),IF(Programme_Grunddaten!O756="Deutschland",0,IF(Programme_Grunddaten!O756="EU",1,2)),"")</f>
        <v/>
      </c>
      <c r="I751" s="1" t="str">
        <f>IF(AND(Programme_Grunddaten!$A756="Geprüft",Programme_Grunddaten!P756&lt;&gt;""),IF(Programme_Grunddaten!P756="Ja",1,0),"")</f>
        <v/>
      </c>
      <c r="J751" s="1" t="str">
        <f>IF(AND(Programme_Grunddaten!$A756="Geprüft",Programme_Grunddaten!Q756&lt;&gt;""),IF(Programme_Grunddaten!Q756="geschlossenes System",1,0),"")</f>
        <v/>
      </c>
      <c r="K751" s="1" t="str">
        <f>IF(AND(Programme_Grunddaten!$A756="Geprüft",Programme_Grunddaten!R756&lt;&gt;""),IF(Programme_Grunddaten!R756="Ja",1,0),"")</f>
        <v/>
      </c>
      <c r="L751" s="1" t="str">
        <f>IF(AND(Programme_Grunddaten!$A756="Geprüft",Programme_Grunddaten!T756&lt;&gt;""),IF(Programme_Grunddaten!T756="Ja",1,0),"")</f>
        <v/>
      </c>
      <c r="M751" s="1" t="str">
        <f>IF(AND(Programme_Grunddaten!$A756="Geprüft",Programme_Grunddaten!U756&lt;&gt;""),IF(Programme_Grunddaten!U756="Ja",1,0),"")</f>
        <v/>
      </c>
      <c r="N751" s="1" t="str">
        <f>IF(AND(Programme_Grunddaten!$A756="Geprüft",Programme_Grunddaten!V756&lt;&gt;""),IF(Programme_Grunddaten!V756="Ja",1,0),"")</f>
        <v/>
      </c>
      <c r="O751" s="1" t="str">
        <f>IF(AND(Programme_Grunddaten!$A756="Geprüft",Programme_Grunddaten!W756&lt;&gt;""),IF(Programme_Grunddaten!W756="Ja",1,0),"")</f>
        <v/>
      </c>
      <c r="P751" s="1" t="str">
        <f>IF(AND(Programme_Grunddaten!$A756="Geprüft",Programme_Grunddaten!X756&lt;&gt;""),IF(Programme_Grunddaten!X756="Ja",1,0),"")</f>
        <v/>
      </c>
      <c r="Q751" s="1" t="str">
        <f>IF(AND(Programme_Grunddaten!$A756="Geprüft",Programme_Grunddaten!Y756&lt;&gt;""),IF(Programme_Grunddaten!Y756="Ja",1,0),"")</f>
        <v/>
      </c>
      <c r="R751" s="1" t="str">
        <f>IF(AND(Programme_Grunddaten!$A756="Geprüft",Programme_Grunddaten!Z756&lt;&gt;""),IF(Programme_Grunddaten!Z756="Ja",1,0),"")</f>
        <v/>
      </c>
      <c r="S751" s="1" t="str">
        <f>IF(AND(Programme_Grunddaten!$A756="Geprüft",Programme_Grunddaten!AA756&lt;&gt;""),IF(Programme_Grunddaten!AA756="monolithisch",1,0),"")</f>
        <v/>
      </c>
      <c r="T751" s="1" t="str">
        <f>IF(AND(Programme_Grunddaten!$A756="Geprüft",Programme_Grunddaten!AB756&lt;&gt;""),IF(Programme_Grunddaten!AB756="Ja",1,0),"")</f>
        <v/>
      </c>
      <c r="U751" s="1" t="str">
        <f>IF(AND(Programme_Grunddaten!$A756="Geprüft",Programme_Grunddaten!AC756&lt;&gt;""),IF(Programme_Grunddaten!AC756="Ja",1,0),"")</f>
        <v/>
      </c>
      <c r="V751" s="1" t="str">
        <f>IF(AND(Programme_Grunddaten!$A756="Geprüft",Programme_Grunddaten!AD756&lt;&gt;""),IF(Programme_Grunddaten!AD756="Ja",1,0),"")</f>
        <v/>
      </c>
      <c r="W751" s="1" t="str">
        <f>IF(AND(Programme_Grunddaten!$A756="Geprüft",Programme_Grunddaten!AE756&lt;&gt;""),IF(Programme_Grunddaten!AE756="Ja",1,0),"")</f>
        <v/>
      </c>
      <c r="X751" s="1" t="str">
        <f>IF(AND(Programme_Grunddaten!$A756="Geprüft",Programme_Grunddaten!AF756&lt;&gt;""),IF(Programme_Grunddaten!AF756="Ja",1,0),"")</f>
        <v/>
      </c>
      <c r="Y751" s="1" t="str">
        <f>IF(AND(Programme_Grunddaten!$A756="Geprüft",Programme_Grunddaten!AG756&lt;&gt;""),IF(Programme_Grunddaten!AG756="Ja",1,0),"")</f>
        <v/>
      </c>
      <c r="Z751" s="1" t="str">
        <f>IF(AND(Programme_Grunddaten!$A756="Geprüft",Programme_Grunddaten!AH756&lt;&gt;""),IF(Programme_Grunddaten!AH756="Ja",1,0),"")</f>
        <v/>
      </c>
      <c r="AA751" s="1" t="str">
        <f>IF(AND(Programme_Grunddaten!$A756="Geprüft",Programme_Grunddaten!AI756&lt;&gt;""),IF(Programme_Grunddaten!AI756="Ja",1,0),"")</f>
        <v/>
      </c>
      <c r="AB751" s="1" t="str">
        <f>IF(AND(Programme_Grunddaten!$A756="Geprüft",Programme_Grunddaten!AJ756&lt;&gt;""),IF(Programme_Grunddaten!AJ756="individuell programmierbar",1,0),"")</f>
        <v/>
      </c>
      <c r="AC751" s="1" t="str">
        <f>IF(AND(Programme_Grunddaten!$A756="Geprüft",Programme_Grunddaten!AK756&lt;&gt;""),IF(Programme_Grunddaten!AK756="Deutsch",0,IF(Programme_Grunddaten!AK756="Deutsch und Englisch",1,2)),"")</f>
        <v/>
      </c>
      <c r="AD751" s="1" t="str">
        <f>IF(AND(Programme_Grunddaten!$A756="Geprüft",Programme_Grunddaten!AL756&lt;&gt;""),IF(Programme_Grunddaten!AL756="Ja",1,0),"")</f>
        <v/>
      </c>
      <c r="AE751" s="1" t="str">
        <f>IF(AND(Programme_Grunddaten!$A756="Geprüft",Programme_Grunddaten!AM756&lt;&gt;""),IF(Programme_Grunddaten!AM756="Ja",1,0),"")</f>
        <v/>
      </c>
      <c r="AF751" s="1" t="str">
        <f>IF(AND(Programme_Grunddaten!$A756="Geprüft",Programme_Grunddaten!AN756&lt;&gt;""),IF(Programme_Grunddaten!AN756="Ja",1,0),"")</f>
        <v/>
      </c>
      <c r="AG751" s="1" t="str">
        <f>IF(AND(Programme_Grunddaten!$A756="Geprüft",Programme_Grunddaten!AO756&lt;&gt;""),IF(Programme_Grunddaten!AO756="Ja",1,0),"")</f>
        <v/>
      </c>
      <c r="AH751" s="1" t="str">
        <f>IF(AND(Programme_Grunddaten!$A756="Geprüft",Programme_Grunddaten!AP756&lt;&gt;""),IF(Programme_Grunddaten!AP756="Ja",1,0),"")</f>
        <v/>
      </c>
      <c r="AI751" s="1" t="str">
        <f>IF(AND(Programme_Grunddaten!$A756="Geprüft",Programme_Grunddaten!AQ756&lt;&gt;""),IF(Programme_Grunddaten!AQ756="Ja",1,0),"")</f>
        <v/>
      </c>
      <c r="AJ751" s="1" t="str">
        <f>IF(AND(Programme_Grunddaten!$A756="Geprüft",Programme_Grunddaten!AR756&lt;&gt;""),IF(Programme_Grunddaten!AR756="Ja",1,0),"")</f>
        <v/>
      </c>
      <c r="AK751" s="1" t="str">
        <f>IF(AND(Programme_Grunddaten!$A756="Geprüft",Programme_Grunddaten!AS756&lt;&gt;""),IF(Programme_Grunddaten!AS756="Ja",1,0),"")</f>
        <v/>
      </c>
      <c r="AL751" s="1" t="str">
        <f>IF(AND(Programme_Grunddaten!$A756="Geprüft",Programme_Grunddaten!AT756&lt;&gt;""),IF(Programme_Grunddaten!AT756="Ja",1,0),"")</f>
        <v/>
      </c>
      <c r="AM751" s="1" t="str">
        <f>IF(AND(Programme_Grunddaten!$A756="Geprüft",Programme_Grunddaten!AU756&lt;&gt;""),IF(Programme_Grunddaten!AU756="Ja",1,0),"")</f>
        <v/>
      </c>
      <c r="AN751" s="1" t="str">
        <f>IF(AND(Programme_Grunddaten!$A756="Geprüft",Programme_Grunddaten!AV756&lt;&gt;""),IF(Programme_Grunddaten!AV756="Ja",1,0),"")</f>
        <v/>
      </c>
    </row>
    <row r="752" spans="1:40" x14ac:dyDescent="0.3">
      <c r="A752" s="1" t="str">
        <f>IF(AND(Programme_Grunddaten!A757="Geprüft",Programme_Grunddaten!B757&lt;&gt;""),Programme_Grunddaten!B757,"")</f>
        <v/>
      </c>
      <c r="B752" s="1" t="str">
        <f>IF(AND(Programme_Grunddaten!$A757="Geprüft",Programme_Grunddaten!I757&lt;&gt;""),IF(Programme_Grunddaten!I757="Ja",1,0),"")</f>
        <v/>
      </c>
      <c r="C752" s="1" t="str">
        <f>IF(AND(Programme_Grunddaten!$A757="Geprüft",Programme_Grunddaten!J757&lt;&gt;""),IF(Programme_Grunddaten!J757="Ja",1,0),"")</f>
        <v/>
      </c>
      <c r="D752" s="1" t="str">
        <f>IF(AND(Programme_Grunddaten!$A757="Geprüft",Programme_Grunddaten!K757&lt;&gt;""),IF(Programme_Grunddaten!K757="Ja",1,0),"")</f>
        <v/>
      </c>
      <c r="E752" s="1" t="str">
        <f>IF(AND(Programme_Grunddaten!$A757="Geprüft",Programme_Grunddaten!L757&lt;&gt;""),IF(Programme_Grunddaten!L757="Abo / befristete Lizenz",1,0),"")</f>
        <v/>
      </c>
      <c r="F752" s="1" t="str">
        <f>IF(AND(Programme_Grunddaten!$A757="Geprüft",Programme_Grunddaten!M757&lt;&gt;""),IF(Programme_Grunddaten!M757="Ja",1,0),"")</f>
        <v/>
      </c>
      <c r="G752" s="1" t="str">
        <f>IF(AND(Programme_Grunddaten!$A757="Geprüft",Programme_Grunddaten!N757&lt;&gt;""),IF(Programme_Grunddaten!N757="Ja",1,0),"")</f>
        <v/>
      </c>
      <c r="H752" s="1" t="str">
        <f>IF(AND(Programme_Grunddaten!$A757="Geprüft",Programme_Grunddaten!O757&lt;&gt;""),IF(Programme_Grunddaten!O757="Deutschland",0,IF(Programme_Grunddaten!O757="EU",1,2)),"")</f>
        <v/>
      </c>
      <c r="I752" s="1" t="str">
        <f>IF(AND(Programme_Grunddaten!$A757="Geprüft",Programme_Grunddaten!P757&lt;&gt;""),IF(Programme_Grunddaten!P757="Ja",1,0),"")</f>
        <v/>
      </c>
      <c r="J752" s="1" t="str">
        <f>IF(AND(Programme_Grunddaten!$A757="Geprüft",Programme_Grunddaten!Q757&lt;&gt;""),IF(Programme_Grunddaten!Q757="geschlossenes System",1,0),"")</f>
        <v/>
      </c>
      <c r="K752" s="1" t="str">
        <f>IF(AND(Programme_Grunddaten!$A757="Geprüft",Programme_Grunddaten!R757&lt;&gt;""),IF(Programme_Grunddaten!R757="Ja",1,0),"")</f>
        <v/>
      </c>
      <c r="L752" s="1" t="str">
        <f>IF(AND(Programme_Grunddaten!$A757="Geprüft",Programme_Grunddaten!T757&lt;&gt;""),IF(Programme_Grunddaten!T757="Ja",1,0),"")</f>
        <v/>
      </c>
      <c r="M752" s="1" t="str">
        <f>IF(AND(Programme_Grunddaten!$A757="Geprüft",Programme_Grunddaten!U757&lt;&gt;""),IF(Programme_Grunddaten!U757="Ja",1,0),"")</f>
        <v/>
      </c>
      <c r="N752" s="1" t="str">
        <f>IF(AND(Programme_Grunddaten!$A757="Geprüft",Programme_Grunddaten!V757&lt;&gt;""),IF(Programme_Grunddaten!V757="Ja",1,0),"")</f>
        <v/>
      </c>
      <c r="O752" s="1" t="str">
        <f>IF(AND(Programme_Grunddaten!$A757="Geprüft",Programme_Grunddaten!W757&lt;&gt;""),IF(Programme_Grunddaten!W757="Ja",1,0),"")</f>
        <v/>
      </c>
      <c r="P752" s="1" t="str">
        <f>IF(AND(Programme_Grunddaten!$A757="Geprüft",Programme_Grunddaten!X757&lt;&gt;""),IF(Programme_Grunddaten!X757="Ja",1,0),"")</f>
        <v/>
      </c>
      <c r="Q752" s="1" t="str">
        <f>IF(AND(Programme_Grunddaten!$A757="Geprüft",Programme_Grunddaten!Y757&lt;&gt;""),IF(Programme_Grunddaten!Y757="Ja",1,0),"")</f>
        <v/>
      </c>
      <c r="R752" s="1" t="str">
        <f>IF(AND(Programme_Grunddaten!$A757="Geprüft",Programme_Grunddaten!Z757&lt;&gt;""),IF(Programme_Grunddaten!Z757="Ja",1,0),"")</f>
        <v/>
      </c>
      <c r="S752" s="1" t="str">
        <f>IF(AND(Programme_Grunddaten!$A757="Geprüft",Programme_Grunddaten!AA757&lt;&gt;""),IF(Programme_Grunddaten!AA757="monolithisch",1,0),"")</f>
        <v/>
      </c>
      <c r="T752" s="1" t="str">
        <f>IF(AND(Programme_Grunddaten!$A757="Geprüft",Programme_Grunddaten!AB757&lt;&gt;""),IF(Programme_Grunddaten!AB757="Ja",1,0),"")</f>
        <v/>
      </c>
      <c r="U752" s="1" t="str">
        <f>IF(AND(Programme_Grunddaten!$A757="Geprüft",Programme_Grunddaten!AC757&lt;&gt;""),IF(Programme_Grunddaten!AC757="Ja",1,0),"")</f>
        <v/>
      </c>
      <c r="V752" s="1" t="str">
        <f>IF(AND(Programme_Grunddaten!$A757="Geprüft",Programme_Grunddaten!AD757&lt;&gt;""),IF(Programme_Grunddaten!AD757="Ja",1,0),"")</f>
        <v/>
      </c>
      <c r="W752" s="1" t="str">
        <f>IF(AND(Programme_Grunddaten!$A757="Geprüft",Programme_Grunddaten!AE757&lt;&gt;""),IF(Programme_Grunddaten!AE757="Ja",1,0),"")</f>
        <v/>
      </c>
      <c r="X752" s="1" t="str">
        <f>IF(AND(Programme_Grunddaten!$A757="Geprüft",Programme_Grunddaten!AF757&lt;&gt;""),IF(Programme_Grunddaten!AF757="Ja",1,0),"")</f>
        <v/>
      </c>
      <c r="Y752" s="1" t="str">
        <f>IF(AND(Programme_Grunddaten!$A757="Geprüft",Programme_Grunddaten!AG757&lt;&gt;""),IF(Programme_Grunddaten!AG757="Ja",1,0),"")</f>
        <v/>
      </c>
      <c r="Z752" s="1" t="str">
        <f>IF(AND(Programme_Grunddaten!$A757="Geprüft",Programme_Grunddaten!AH757&lt;&gt;""),IF(Programme_Grunddaten!AH757="Ja",1,0),"")</f>
        <v/>
      </c>
      <c r="AA752" s="1" t="str">
        <f>IF(AND(Programme_Grunddaten!$A757="Geprüft",Programme_Grunddaten!AI757&lt;&gt;""),IF(Programme_Grunddaten!AI757="Ja",1,0),"")</f>
        <v/>
      </c>
      <c r="AB752" s="1" t="str">
        <f>IF(AND(Programme_Grunddaten!$A757="Geprüft",Programme_Grunddaten!AJ757&lt;&gt;""),IF(Programme_Grunddaten!AJ757="individuell programmierbar",1,0),"")</f>
        <v/>
      </c>
      <c r="AC752" s="1" t="str">
        <f>IF(AND(Programme_Grunddaten!$A757="Geprüft",Programme_Grunddaten!AK757&lt;&gt;""),IF(Programme_Grunddaten!AK757="Deutsch",0,IF(Programme_Grunddaten!AK757="Deutsch und Englisch",1,2)),"")</f>
        <v/>
      </c>
      <c r="AD752" s="1" t="str">
        <f>IF(AND(Programme_Grunddaten!$A757="Geprüft",Programme_Grunddaten!AL757&lt;&gt;""),IF(Programme_Grunddaten!AL757="Ja",1,0),"")</f>
        <v/>
      </c>
      <c r="AE752" s="1" t="str">
        <f>IF(AND(Programme_Grunddaten!$A757="Geprüft",Programme_Grunddaten!AM757&lt;&gt;""),IF(Programme_Grunddaten!AM757="Ja",1,0),"")</f>
        <v/>
      </c>
      <c r="AF752" s="1" t="str">
        <f>IF(AND(Programme_Grunddaten!$A757="Geprüft",Programme_Grunddaten!AN757&lt;&gt;""),IF(Programme_Grunddaten!AN757="Ja",1,0),"")</f>
        <v/>
      </c>
      <c r="AG752" s="1" t="str">
        <f>IF(AND(Programme_Grunddaten!$A757="Geprüft",Programme_Grunddaten!AO757&lt;&gt;""),IF(Programme_Grunddaten!AO757="Ja",1,0),"")</f>
        <v/>
      </c>
      <c r="AH752" s="1" t="str">
        <f>IF(AND(Programme_Grunddaten!$A757="Geprüft",Programme_Grunddaten!AP757&lt;&gt;""),IF(Programme_Grunddaten!AP757="Ja",1,0),"")</f>
        <v/>
      </c>
      <c r="AI752" s="1" t="str">
        <f>IF(AND(Programme_Grunddaten!$A757="Geprüft",Programme_Grunddaten!AQ757&lt;&gt;""),IF(Programme_Grunddaten!AQ757="Ja",1,0),"")</f>
        <v/>
      </c>
      <c r="AJ752" s="1" t="str">
        <f>IF(AND(Programme_Grunddaten!$A757="Geprüft",Programme_Grunddaten!AR757&lt;&gt;""),IF(Programme_Grunddaten!AR757="Ja",1,0),"")</f>
        <v/>
      </c>
      <c r="AK752" s="1" t="str">
        <f>IF(AND(Programme_Grunddaten!$A757="Geprüft",Programme_Grunddaten!AS757&lt;&gt;""),IF(Programme_Grunddaten!AS757="Ja",1,0),"")</f>
        <v/>
      </c>
      <c r="AL752" s="1" t="str">
        <f>IF(AND(Programme_Grunddaten!$A757="Geprüft",Programme_Grunddaten!AT757&lt;&gt;""),IF(Programme_Grunddaten!AT757="Ja",1,0),"")</f>
        <v/>
      </c>
      <c r="AM752" s="1" t="str">
        <f>IF(AND(Programme_Grunddaten!$A757="Geprüft",Programme_Grunddaten!AU757&lt;&gt;""),IF(Programme_Grunddaten!AU757="Ja",1,0),"")</f>
        <v/>
      </c>
      <c r="AN752" s="1" t="str">
        <f>IF(AND(Programme_Grunddaten!$A757="Geprüft",Programme_Grunddaten!AV757&lt;&gt;""),IF(Programme_Grunddaten!AV757="Ja",1,0),"")</f>
        <v/>
      </c>
    </row>
    <row r="753" spans="1:40" x14ac:dyDescent="0.3">
      <c r="A753" s="1" t="str">
        <f>IF(AND(Programme_Grunddaten!A758="Geprüft",Programme_Grunddaten!B758&lt;&gt;""),Programme_Grunddaten!B758,"")</f>
        <v/>
      </c>
      <c r="B753" s="1" t="str">
        <f>IF(AND(Programme_Grunddaten!$A758="Geprüft",Programme_Grunddaten!I758&lt;&gt;""),IF(Programme_Grunddaten!I758="Ja",1,0),"")</f>
        <v/>
      </c>
      <c r="C753" s="1" t="str">
        <f>IF(AND(Programme_Grunddaten!$A758="Geprüft",Programme_Grunddaten!J758&lt;&gt;""),IF(Programme_Grunddaten!J758="Ja",1,0),"")</f>
        <v/>
      </c>
      <c r="D753" s="1" t="str">
        <f>IF(AND(Programme_Grunddaten!$A758="Geprüft",Programme_Grunddaten!K758&lt;&gt;""),IF(Programme_Grunddaten!K758="Ja",1,0),"")</f>
        <v/>
      </c>
      <c r="E753" s="1" t="str">
        <f>IF(AND(Programme_Grunddaten!$A758="Geprüft",Programme_Grunddaten!L758&lt;&gt;""),IF(Programme_Grunddaten!L758="Abo / befristete Lizenz",1,0),"")</f>
        <v/>
      </c>
      <c r="F753" s="1" t="str">
        <f>IF(AND(Programme_Grunddaten!$A758="Geprüft",Programme_Grunddaten!M758&lt;&gt;""),IF(Programme_Grunddaten!M758="Ja",1,0),"")</f>
        <v/>
      </c>
      <c r="G753" s="1" t="str">
        <f>IF(AND(Programme_Grunddaten!$A758="Geprüft",Programme_Grunddaten!N758&lt;&gt;""),IF(Programme_Grunddaten!N758="Ja",1,0),"")</f>
        <v/>
      </c>
      <c r="H753" s="1" t="str">
        <f>IF(AND(Programme_Grunddaten!$A758="Geprüft",Programme_Grunddaten!O758&lt;&gt;""),IF(Programme_Grunddaten!O758="Deutschland",0,IF(Programme_Grunddaten!O758="EU",1,2)),"")</f>
        <v/>
      </c>
      <c r="I753" s="1" t="str">
        <f>IF(AND(Programme_Grunddaten!$A758="Geprüft",Programme_Grunddaten!P758&lt;&gt;""),IF(Programme_Grunddaten!P758="Ja",1,0),"")</f>
        <v/>
      </c>
      <c r="J753" s="1" t="str">
        <f>IF(AND(Programme_Grunddaten!$A758="Geprüft",Programme_Grunddaten!Q758&lt;&gt;""),IF(Programme_Grunddaten!Q758="geschlossenes System",1,0),"")</f>
        <v/>
      </c>
      <c r="K753" s="1" t="str">
        <f>IF(AND(Programme_Grunddaten!$A758="Geprüft",Programme_Grunddaten!R758&lt;&gt;""),IF(Programme_Grunddaten!R758="Ja",1,0),"")</f>
        <v/>
      </c>
      <c r="L753" s="1" t="str">
        <f>IF(AND(Programme_Grunddaten!$A758="Geprüft",Programme_Grunddaten!T758&lt;&gt;""),IF(Programme_Grunddaten!T758="Ja",1,0),"")</f>
        <v/>
      </c>
      <c r="M753" s="1" t="str">
        <f>IF(AND(Programme_Grunddaten!$A758="Geprüft",Programme_Grunddaten!U758&lt;&gt;""),IF(Programme_Grunddaten!U758="Ja",1,0),"")</f>
        <v/>
      </c>
      <c r="N753" s="1" t="str">
        <f>IF(AND(Programme_Grunddaten!$A758="Geprüft",Programme_Grunddaten!V758&lt;&gt;""),IF(Programme_Grunddaten!V758="Ja",1,0),"")</f>
        <v/>
      </c>
      <c r="O753" s="1" t="str">
        <f>IF(AND(Programme_Grunddaten!$A758="Geprüft",Programme_Grunddaten!W758&lt;&gt;""),IF(Programme_Grunddaten!W758="Ja",1,0),"")</f>
        <v/>
      </c>
      <c r="P753" s="1" t="str">
        <f>IF(AND(Programme_Grunddaten!$A758="Geprüft",Programme_Grunddaten!X758&lt;&gt;""),IF(Programme_Grunddaten!X758="Ja",1,0),"")</f>
        <v/>
      </c>
      <c r="Q753" s="1" t="str">
        <f>IF(AND(Programme_Grunddaten!$A758="Geprüft",Programme_Grunddaten!Y758&lt;&gt;""),IF(Programme_Grunddaten!Y758="Ja",1,0),"")</f>
        <v/>
      </c>
      <c r="R753" s="1" t="str">
        <f>IF(AND(Programme_Grunddaten!$A758="Geprüft",Programme_Grunddaten!Z758&lt;&gt;""),IF(Programme_Grunddaten!Z758="Ja",1,0),"")</f>
        <v/>
      </c>
      <c r="S753" s="1" t="str">
        <f>IF(AND(Programme_Grunddaten!$A758="Geprüft",Programme_Grunddaten!AA758&lt;&gt;""),IF(Programme_Grunddaten!AA758="monolithisch",1,0),"")</f>
        <v/>
      </c>
      <c r="T753" s="1" t="str">
        <f>IF(AND(Programme_Grunddaten!$A758="Geprüft",Programme_Grunddaten!AB758&lt;&gt;""),IF(Programme_Grunddaten!AB758="Ja",1,0),"")</f>
        <v/>
      </c>
      <c r="U753" s="1" t="str">
        <f>IF(AND(Programme_Grunddaten!$A758="Geprüft",Programme_Grunddaten!AC758&lt;&gt;""),IF(Programme_Grunddaten!AC758="Ja",1,0),"")</f>
        <v/>
      </c>
      <c r="V753" s="1" t="str">
        <f>IF(AND(Programme_Grunddaten!$A758="Geprüft",Programme_Grunddaten!AD758&lt;&gt;""),IF(Programme_Grunddaten!AD758="Ja",1,0),"")</f>
        <v/>
      </c>
      <c r="W753" s="1" t="str">
        <f>IF(AND(Programme_Grunddaten!$A758="Geprüft",Programme_Grunddaten!AE758&lt;&gt;""),IF(Programme_Grunddaten!AE758="Ja",1,0),"")</f>
        <v/>
      </c>
      <c r="X753" s="1" t="str">
        <f>IF(AND(Programme_Grunddaten!$A758="Geprüft",Programme_Grunddaten!AF758&lt;&gt;""),IF(Programme_Grunddaten!AF758="Ja",1,0),"")</f>
        <v/>
      </c>
      <c r="Y753" s="1" t="str">
        <f>IF(AND(Programme_Grunddaten!$A758="Geprüft",Programme_Grunddaten!AG758&lt;&gt;""),IF(Programme_Grunddaten!AG758="Ja",1,0),"")</f>
        <v/>
      </c>
      <c r="Z753" s="1" t="str">
        <f>IF(AND(Programme_Grunddaten!$A758="Geprüft",Programme_Grunddaten!AH758&lt;&gt;""),IF(Programme_Grunddaten!AH758="Ja",1,0),"")</f>
        <v/>
      </c>
      <c r="AA753" s="1" t="str">
        <f>IF(AND(Programme_Grunddaten!$A758="Geprüft",Programme_Grunddaten!AI758&lt;&gt;""),IF(Programme_Grunddaten!AI758="Ja",1,0),"")</f>
        <v/>
      </c>
      <c r="AB753" s="1" t="str">
        <f>IF(AND(Programme_Grunddaten!$A758="Geprüft",Programme_Grunddaten!AJ758&lt;&gt;""),IF(Programme_Grunddaten!AJ758="individuell programmierbar",1,0),"")</f>
        <v/>
      </c>
      <c r="AC753" s="1" t="str">
        <f>IF(AND(Programme_Grunddaten!$A758="Geprüft",Programme_Grunddaten!AK758&lt;&gt;""),IF(Programme_Grunddaten!AK758="Deutsch",0,IF(Programme_Grunddaten!AK758="Deutsch und Englisch",1,2)),"")</f>
        <v/>
      </c>
      <c r="AD753" s="1" t="str">
        <f>IF(AND(Programme_Grunddaten!$A758="Geprüft",Programme_Grunddaten!AL758&lt;&gt;""),IF(Programme_Grunddaten!AL758="Ja",1,0),"")</f>
        <v/>
      </c>
      <c r="AE753" s="1" t="str">
        <f>IF(AND(Programme_Grunddaten!$A758="Geprüft",Programme_Grunddaten!AM758&lt;&gt;""),IF(Programme_Grunddaten!AM758="Ja",1,0),"")</f>
        <v/>
      </c>
      <c r="AF753" s="1" t="str">
        <f>IF(AND(Programme_Grunddaten!$A758="Geprüft",Programme_Grunddaten!AN758&lt;&gt;""),IF(Programme_Grunddaten!AN758="Ja",1,0),"")</f>
        <v/>
      </c>
      <c r="AG753" s="1" t="str">
        <f>IF(AND(Programme_Grunddaten!$A758="Geprüft",Programme_Grunddaten!AO758&lt;&gt;""),IF(Programme_Grunddaten!AO758="Ja",1,0),"")</f>
        <v/>
      </c>
      <c r="AH753" s="1" t="str">
        <f>IF(AND(Programme_Grunddaten!$A758="Geprüft",Programme_Grunddaten!AP758&lt;&gt;""),IF(Programme_Grunddaten!AP758="Ja",1,0),"")</f>
        <v/>
      </c>
      <c r="AI753" s="1" t="str">
        <f>IF(AND(Programme_Grunddaten!$A758="Geprüft",Programme_Grunddaten!AQ758&lt;&gt;""),IF(Programme_Grunddaten!AQ758="Ja",1,0),"")</f>
        <v/>
      </c>
      <c r="AJ753" s="1" t="str">
        <f>IF(AND(Programme_Grunddaten!$A758="Geprüft",Programme_Grunddaten!AR758&lt;&gt;""),IF(Programme_Grunddaten!AR758="Ja",1,0),"")</f>
        <v/>
      </c>
      <c r="AK753" s="1" t="str">
        <f>IF(AND(Programme_Grunddaten!$A758="Geprüft",Programme_Grunddaten!AS758&lt;&gt;""),IF(Programme_Grunddaten!AS758="Ja",1,0),"")</f>
        <v/>
      </c>
      <c r="AL753" s="1" t="str">
        <f>IF(AND(Programme_Grunddaten!$A758="Geprüft",Programme_Grunddaten!AT758&lt;&gt;""),IF(Programme_Grunddaten!AT758="Ja",1,0),"")</f>
        <v/>
      </c>
      <c r="AM753" s="1" t="str">
        <f>IF(AND(Programme_Grunddaten!$A758="Geprüft",Programme_Grunddaten!AU758&lt;&gt;""),IF(Programme_Grunddaten!AU758="Ja",1,0),"")</f>
        <v/>
      </c>
      <c r="AN753" s="1" t="str">
        <f>IF(AND(Programme_Grunddaten!$A758="Geprüft",Programme_Grunddaten!AV758&lt;&gt;""),IF(Programme_Grunddaten!AV758="Ja",1,0),"")</f>
        <v/>
      </c>
    </row>
    <row r="754" spans="1:40" x14ac:dyDescent="0.3">
      <c r="A754" s="1" t="str">
        <f>IF(AND(Programme_Grunddaten!A759="Geprüft",Programme_Grunddaten!B759&lt;&gt;""),Programme_Grunddaten!B759,"")</f>
        <v/>
      </c>
      <c r="B754" s="1" t="str">
        <f>IF(AND(Programme_Grunddaten!$A759="Geprüft",Programme_Grunddaten!I759&lt;&gt;""),IF(Programme_Grunddaten!I759="Ja",1,0),"")</f>
        <v/>
      </c>
      <c r="C754" s="1" t="str">
        <f>IF(AND(Programme_Grunddaten!$A759="Geprüft",Programme_Grunddaten!J759&lt;&gt;""),IF(Programme_Grunddaten!J759="Ja",1,0),"")</f>
        <v/>
      </c>
      <c r="D754" s="1" t="str">
        <f>IF(AND(Programme_Grunddaten!$A759="Geprüft",Programme_Grunddaten!K759&lt;&gt;""),IF(Programme_Grunddaten!K759="Ja",1,0),"")</f>
        <v/>
      </c>
      <c r="E754" s="1" t="str">
        <f>IF(AND(Programme_Grunddaten!$A759="Geprüft",Programme_Grunddaten!L759&lt;&gt;""),IF(Programme_Grunddaten!L759="Abo / befristete Lizenz",1,0),"")</f>
        <v/>
      </c>
      <c r="F754" s="1" t="str">
        <f>IF(AND(Programme_Grunddaten!$A759="Geprüft",Programme_Grunddaten!M759&lt;&gt;""),IF(Programme_Grunddaten!M759="Ja",1,0),"")</f>
        <v/>
      </c>
      <c r="G754" s="1" t="str">
        <f>IF(AND(Programme_Grunddaten!$A759="Geprüft",Programme_Grunddaten!N759&lt;&gt;""),IF(Programme_Grunddaten!N759="Ja",1,0),"")</f>
        <v/>
      </c>
      <c r="H754" s="1" t="str">
        <f>IF(AND(Programme_Grunddaten!$A759="Geprüft",Programme_Grunddaten!O759&lt;&gt;""),IF(Programme_Grunddaten!O759="Deutschland",0,IF(Programme_Grunddaten!O759="EU",1,2)),"")</f>
        <v/>
      </c>
      <c r="I754" s="1" t="str">
        <f>IF(AND(Programme_Grunddaten!$A759="Geprüft",Programme_Grunddaten!P759&lt;&gt;""),IF(Programme_Grunddaten!P759="Ja",1,0),"")</f>
        <v/>
      </c>
      <c r="J754" s="1" t="str">
        <f>IF(AND(Programme_Grunddaten!$A759="Geprüft",Programme_Grunddaten!Q759&lt;&gt;""),IF(Programme_Grunddaten!Q759="geschlossenes System",1,0),"")</f>
        <v/>
      </c>
      <c r="K754" s="1" t="str">
        <f>IF(AND(Programme_Grunddaten!$A759="Geprüft",Programme_Grunddaten!R759&lt;&gt;""),IF(Programme_Grunddaten!R759="Ja",1,0),"")</f>
        <v/>
      </c>
      <c r="L754" s="1" t="str">
        <f>IF(AND(Programme_Grunddaten!$A759="Geprüft",Programme_Grunddaten!T759&lt;&gt;""),IF(Programme_Grunddaten!T759="Ja",1,0),"")</f>
        <v/>
      </c>
      <c r="M754" s="1" t="str">
        <f>IF(AND(Programme_Grunddaten!$A759="Geprüft",Programme_Grunddaten!U759&lt;&gt;""),IF(Programme_Grunddaten!U759="Ja",1,0),"")</f>
        <v/>
      </c>
      <c r="N754" s="1" t="str">
        <f>IF(AND(Programme_Grunddaten!$A759="Geprüft",Programme_Grunddaten!V759&lt;&gt;""),IF(Programme_Grunddaten!V759="Ja",1,0),"")</f>
        <v/>
      </c>
      <c r="O754" s="1" t="str">
        <f>IF(AND(Programme_Grunddaten!$A759="Geprüft",Programme_Grunddaten!W759&lt;&gt;""),IF(Programme_Grunddaten!W759="Ja",1,0),"")</f>
        <v/>
      </c>
      <c r="P754" s="1" t="str">
        <f>IF(AND(Programme_Grunddaten!$A759="Geprüft",Programme_Grunddaten!X759&lt;&gt;""),IF(Programme_Grunddaten!X759="Ja",1,0),"")</f>
        <v/>
      </c>
      <c r="Q754" s="1" t="str">
        <f>IF(AND(Programme_Grunddaten!$A759="Geprüft",Programme_Grunddaten!Y759&lt;&gt;""),IF(Programme_Grunddaten!Y759="Ja",1,0),"")</f>
        <v/>
      </c>
      <c r="R754" s="1" t="str">
        <f>IF(AND(Programme_Grunddaten!$A759="Geprüft",Programme_Grunddaten!Z759&lt;&gt;""),IF(Programme_Grunddaten!Z759="Ja",1,0),"")</f>
        <v/>
      </c>
      <c r="S754" s="1" t="str">
        <f>IF(AND(Programme_Grunddaten!$A759="Geprüft",Programme_Grunddaten!AA759&lt;&gt;""),IF(Programme_Grunddaten!AA759="monolithisch",1,0),"")</f>
        <v/>
      </c>
      <c r="T754" s="1" t="str">
        <f>IF(AND(Programme_Grunddaten!$A759="Geprüft",Programme_Grunddaten!AB759&lt;&gt;""),IF(Programme_Grunddaten!AB759="Ja",1,0),"")</f>
        <v/>
      </c>
      <c r="U754" s="1" t="str">
        <f>IF(AND(Programme_Grunddaten!$A759="Geprüft",Programme_Grunddaten!AC759&lt;&gt;""),IF(Programme_Grunddaten!AC759="Ja",1,0),"")</f>
        <v/>
      </c>
      <c r="V754" s="1" t="str">
        <f>IF(AND(Programme_Grunddaten!$A759="Geprüft",Programme_Grunddaten!AD759&lt;&gt;""),IF(Programme_Grunddaten!AD759="Ja",1,0),"")</f>
        <v/>
      </c>
      <c r="W754" s="1" t="str">
        <f>IF(AND(Programme_Grunddaten!$A759="Geprüft",Programme_Grunddaten!AE759&lt;&gt;""),IF(Programme_Grunddaten!AE759="Ja",1,0),"")</f>
        <v/>
      </c>
      <c r="X754" s="1" t="str">
        <f>IF(AND(Programme_Grunddaten!$A759="Geprüft",Programme_Grunddaten!AF759&lt;&gt;""),IF(Programme_Grunddaten!AF759="Ja",1,0),"")</f>
        <v/>
      </c>
      <c r="Y754" s="1" t="str">
        <f>IF(AND(Programme_Grunddaten!$A759="Geprüft",Programme_Grunddaten!AG759&lt;&gt;""),IF(Programme_Grunddaten!AG759="Ja",1,0),"")</f>
        <v/>
      </c>
      <c r="Z754" s="1" t="str">
        <f>IF(AND(Programme_Grunddaten!$A759="Geprüft",Programme_Grunddaten!AH759&lt;&gt;""),IF(Programme_Grunddaten!AH759="Ja",1,0),"")</f>
        <v/>
      </c>
      <c r="AA754" s="1" t="str">
        <f>IF(AND(Programme_Grunddaten!$A759="Geprüft",Programme_Grunddaten!AI759&lt;&gt;""),IF(Programme_Grunddaten!AI759="Ja",1,0),"")</f>
        <v/>
      </c>
      <c r="AB754" s="1" t="str">
        <f>IF(AND(Programme_Grunddaten!$A759="Geprüft",Programme_Grunddaten!AJ759&lt;&gt;""),IF(Programme_Grunddaten!AJ759="individuell programmierbar",1,0),"")</f>
        <v/>
      </c>
      <c r="AC754" s="1" t="str">
        <f>IF(AND(Programme_Grunddaten!$A759="Geprüft",Programme_Grunddaten!AK759&lt;&gt;""),IF(Programme_Grunddaten!AK759="Deutsch",0,IF(Programme_Grunddaten!AK759="Deutsch und Englisch",1,2)),"")</f>
        <v/>
      </c>
      <c r="AD754" s="1" t="str">
        <f>IF(AND(Programme_Grunddaten!$A759="Geprüft",Programme_Grunddaten!AL759&lt;&gt;""),IF(Programme_Grunddaten!AL759="Ja",1,0),"")</f>
        <v/>
      </c>
      <c r="AE754" s="1" t="str">
        <f>IF(AND(Programme_Grunddaten!$A759="Geprüft",Programme_Grunddaten!AM759&lt;&gt;""),IF(Programme_Grunddaten!AM759="Ja",1,0),"")</f>
        <v/>
      </c>
      <c r="AF754" s="1" t="str">
        <f>IF(AND(Programme_Grunddaten!$A759="Geprüft",Programme_Grunddaten!AN759&lt;&gt;""),IF(Programme_Grunddaten!AN759="Ja",1,0),"")</f>
        <v/>
      </c>
      <c r="AG754" s="1" t="str">
        <f>IF(AND(Programme_Grunddaten!$A759="Geprüft",Programme_Grunddaten!AO759&lt;&gt;""),IF(Programme_Grunddaten!AO759="Ja",1,0),"")</f>
        <v/>
      </c>
      <c r="AH754" s="1" t="str">
        <f>IF(AND(Programme_Grunddaten!$A759="Geprüft",Programme_Grunddaten!AP759&lt;&gt;""),IF(Programme_Grunddaten!AP759="Ja",1,0),"")</f>
        <v/>
      </c>
      <c r="AI754" s="1" t="str">
        <f>IF(AND(Programme_Grunddaten!$A759="Geprüft",Programme_Grunddaten!AQ759&lt;&gt;""),IF(Programme_Grunddaten!AQ759="Ja",1,0),"")</f>
        <v/>
      </c>
      <c r="AJ754" s="1" t="str">
        <f>IF(AND(Programme_Grunddaten!$A759="Geprüft",Programme_Grunddaten!AR759&lt;&gt;""),IF(Programme_Grunddaten!AR759="Ja",1,0),"")</f>
        <v/>
      </c>
      <c r="AK754" s="1" t="str">
        <f>IF(AND(Programme_Grunddaten!$A759="Geprüft",Programme_Grunddaten!AS759&lt;&gt;""),IF(Programme_Grunddaten!AS759="Ja",1,0),"")</f>
        <v/>
      </c>
      <c r="AL754" s="1" t="str">
        <f>IF(AND(Programme_Grunddaten!$A759="Geprüft",Programme_Grunddaten!AT759&lt;&gt;""),IF(Programme_Grunddaten!AT759="Ja",1,0),"")</f>
        <v/>
      </c>
      <c r="AM754" s="1" t="str">
        <f>IF(AND(Programme_Grunddaten!$A759="Geprüft",Programme_Grunddaten!AU759&lt;&gt;""),IF(Programme_Grunddaten!AU759="Ja",1,0),"")</f>
        <v/>
      </c>
      <c r="AN754" s="1" t="str">
        <f>IF(AND(Programme_Grunddaten!$A759="Geprüft",Programme_Grunddaten!AV759&lt;&gt;""),IF(Programme_Grunddaten!AV759="Ja",1,0),"")</f>
        <v/>
      </c>
    </row>
    <row r="755" spans="1:40" x14ac:dyDescent="0.3">
      <c r="A755" s="1" t="str">
        <f>IF(AND(Programme_Grunddaten!A760="Geprüft",Programme_Grunddaten!B760&lt;&gt;""),Programme_Grunddaten!B760,"")</f>
        <v/>
      </c>
      <c r="B755" s="1" t="str">
        <f>IF(AND(Programme_Grunddaten!$A760="Geprüft",Programme_Grunddaten!I760&lt;&gt;""),IF(Programme_Grunddaten!I760="Ja",1,0),"")</f>
        <v/>
      </c>
      <c r="C755" s="1" t="str">
        <f>IF(AND(Programme_Grunddaten!$A760="Geprüft",Programme_Grunddaten!J760&lt;&gt;""),IF(Programme_Grunddaten!J760="Ja",1,0),"")</f>
        <v/>
      </c>
      <c r="D755" s="1" t="str">
        <f>IF(AND(Programme_Grunddaten!$A760="Geprüft",Programme_Grunddaten!K760&lt;&gt;""),IF(Programme_Grunddaten!K760="Ja",1,0),"")</f>
        <v/>
      </c>
      <c r="E755" s="1" t="str">
        <f>IF(AND(Programme_Grunddaten!$A760="Geprüft",Programme_Grunddaten!L760&lt;&gt;""),IF(Programme_Grunddaten!L760="Abo / befristete Lizenz",1,0),"")</f>
        <v/>
      </c>
      <c r="F755" s="1" t="str">
        <f>IF(AND(Programme_Grunddaten!$A760="Geprüft",Programme_Grunddaten!M760&lt;&gt;""),IF(Programme_Grunddaten!M760="Ja",1,0),"")</f>
        <v/>
      </c>
      <c r="G755" s="1" t="str">
        <f>IF(AND(Programme_Grunddaten!$A760="Geprüft",Programme_Grunddaten!N760&lt;&gt;""),IF(Programme_Grunddaten!N760="Ja",1,0),"")</f>
        <v/>
      </c>
      <c r="H755" s="1" t="str">
        <f>IF(AND(Programme_Grunddaten!$A760="Geprüft",Programme_Grunddaten!O760&lt;&gt;""),IF(Programme_Grunddaten!O760="Deutschland",0,IF(Programme_Grunddaten!O760="EU",1,2)),"")</f>
        <v/>
      </c>
      <c r="I755" s="1" t="str">
        <f>IF(AND(Programme_Grunddaten!$A760="Geprüft",Programme_Grunddaten!P760&lt;&gt;""),IF(Programme_Grunddaten!P760="Ja",1,0),"")</f>
        <v/>
      </c>
      <c r="J755" s="1" t="str">
        <f>IF(AND(Programme_Grunddaten!$A760="Geprüft",Programme_Grunddaten!Q760&lt;&gt;""),IF(Programme_Grunddaten!Q760="geschlossenes System",1,0),"")</f>
        <v/>
      </c>
      <c r="K755" s="1" t="str">
        <f>IF(AND(Programme_Grunddaten!$A760="Geprüft",Programme_Grunddaten!R760&lt;&gt;""),IF(Programme_Grunddaten!R760="Ja",1,0),"")</f>
        <v/>
      </c>
      <c r="L755" s="1" t="str">
        <f>IF(AND(Programme_Grunddaten!$A760="Geprüft",Programme_Grunddaten!T760&lt;&gt;""),IF(Programme_Grunddaten!T760="Ja",1,0),"")</f>
        <v/>
      </c>
      <c r="M755" s="1" t="str">
        <f>IF(AND(Programme_Grunddaten!$A760="Geprüft",Programme_Grunddaten!U760&lt;&gt;""),IF(Programme_Grunddaten!U760="Ja",1,0),"")</f>
        <v/>
      </c>
      <c r="N755" s="1" t="str">
        <f>IF(AND(Programme_Grunddaten!$A760="Geprüft",Programme_Grunddaten!V760&lt;&gt;""),IF(Programme_Grunddaten!V760="Ja",1,0),"")</f>
        <v/>
      </c>
      <c r="O755" s="1" t="str">
        <f>IF(AND(Programme_Grunddaten!$A760="Geprüft",Programme_Grunddaten!W760&lt;&gt;""),IF(Programme_Grunddaten!W760="Ja",1,0),"")</f>
        <v/>
      </c>
      <c r="P755" s="1" t="str">
        <f>IF(AND(Programme_Grunddaten!$A760="Geprüft",Programme_Grunddaten!X760&lt;&gt;""),IF(Programme_Grunddaten!X760="Ja",1,0),"")</f>
        <v/>
      </c>
      <c r="Q755" s="1" t="str">
        <f>IF(AND(Programme_Grunddaten!$A760="Geprüft",Programme_Grunddaten!Y760&lt;&gt;""),IF(Programme_Grunddaten!Y760="Ja",1,0),"")</f>
        <v/>
      </c>
      <c r="R755" s="1" t="str">
        <f>IF(AND(Programme_Grunddaten!$A760="Geprüft",Programme_Grunddaten!Z760&lt;&gt;""),IF(Programme_Grunddaten!Z760="Ja",1,0),"")</f>
        <v/>
      </c>
      <c r="S755" s="1" t="str">
        <f>IF(AND(Programme_Grunddaten!$A760="Geprüft",Programme_Grunddaten!AA760&lt;&gt;""),IF(Programme_Grunddaten!AA760="monolithisch",1,0),"")</f>
        <v/>
      </c>
      <c r="T755" s="1" t="str">
        <f>IF(AND(Programme_Grunddaten!$A760="Geprüft",Programme_Grunddaten!AB760&lt;&gt;""),IF(Programme_Grunddaten!AB760="Ja",1,0),"")</f>
        <v/>
      </c>
      <c r="U755" s="1" t="str">
        <f>IF(AND(Programme_Grunddaten!$A760="Geprüft",Programme_Grunddaten!AC760&lt;&gt;""),IF(Programme_Grunddaten!AC760="Ja",1,0),"")</f>
        <v/>
      </c>
      <c r="V755" s="1" t="str">
        <f>IF(AND(Programme_Grunddaten!$A760="Geprüft",Programme_Grunddaten!AD760&lt;&gt;""),IF(Programme_Grunddaten!AD760="Ja",1,0),"")</f>
        <v/>
      </c>
      <c r="W755" s="1" t="str">
        <f>IF(AND(Programme_Grunddaten!$A760="Geprüft",Programme_Grunddaten!AE760&lt;&gt;""),IF(Programme_Grunddaten!AE760="Ja",1,0),"")</f>
        <v/>
      </c>
      <c r="X755" s="1" t="str">
        <f>IF(AND(Programme_Grunddaten!$A760="Geprüft",Programme_Grunddaten!AF760&lt;&gt;""),IF(Programme_Grunddaten!AF760="Ja",1,0),"")</f>
        <v/>
      </c>
      <c r="Y755" s="1" t="str">
        <f>IF(AND(Programme_Grunddaten!$A760="Geprüft",Programme_Grunddaten!AG760&lt;&gt;""),IF(Programme_Grunddaten!AG760="Ja",1,0),"")</f>
        <v/>
      </c>
      <c r="Z755" s="1" t="str">
        <f>IF(AND(Programme_Grunddaten!$A760="Geprüft",Programme_Grunddaten!AH760&lt;&gt;""),IF(Programme_Grunddaten!AH760="Ja",1,0),"")</f>
        <v/>
      </c>
      <c r="AA755" s="1" t="str">
        <f>IF(AND(Programme_Grunddaten!$A760="Geprüft",Programme_Grunddaten!AI760&lt;&gt;""),IF(Programme_Grunddaten!AI760="Ja",1,0),"")</f>
        <v/>
      </c>
      <c r="AB755" s="1" t="str">
        <f>IF(AND(Programme_Grunddaten!$A760="Geprüft",Programme_Grunddaten!AJ760&lt;&gt;""),IF(Programme_Grunddaten!AJ760="individuell programmierbar",1,0),"")</f>
        <v/>
      </c>
      <c r="AC755" s="1" t="str">
        <f>IF(AND(Programme_Grunddaten!$A760="Geprüft",Programme_Grunddaten!AK760&lt;&gt;""),IF(Programme_Grunddaten!AK760="Deutsch",0,IF(Programme_Grunddaten!AK760="Deutsch und Englisch",1,2)),"")</f>
        <v/>
      </c>
      <c r="AD755" s="1" t="str">
        <f>IF(AND(Programme_Grunddaten!$A760="Geprüft",Programme_Grunddaten!AL760&lt;&gt;""),IF(Programme_Grunddaten!AL760="Ja",1,0),"")</f>
        <v/>
      </c>
      <c r="AE755" s="1" t="str">
        <f>IF(AND(Programme_Grunddaten!$A760="Geprüft",Programme_Grunddaten!AM760&lt;&gt;""),IF(Programme_Grunddaten!AM760="Ja",1,0),"")</f>
        <v/>
      </c>
      <c r="AF755" s="1" t="str">
        <f>IF(AND(Programme_Grunddaten!$A760="Geprüft",Programme_Grunddaten!AN760&lt;&gt;""),IF(Programme_Grunddaten!AN760="Ja",1,0),"")</f>
        <v/>
      </c>
      <c r="AG755" s="1" t="str">
        <f>IF(AND(Programme_Grunddaten!$A760="Geprüft",Programme_Grunddaten!AO760&lt;&gt;""),IF(Programme_Grunddaten!AO760="Ja",1,0),"")</f>
        <v/>
      </c>
      <c r="AH755" s="1" t="str">
        <f>IF(AND(Programme_Grunddaten!$A760="Geprüft",Programme_Grunddaten!AP760&lt;&gt;""),IF(Programme_Grunddaten!AP760="Ja",1,0),"")</f>
        <v/>
      </c>
      <c r="AI755" s="1" t="str">
        <f>IF(AND(Programme_Grunddaten!$A760="Geprüft",Programme_Grunddaten!AQ760&lt;&gt;""),IF(Programme_Grunddaten!AQ760="Ja",1,0),"")</f>
        <v/>
      </c>
      <c r="AJ755" s="1" t="str">
        <f>IF(AND(Programme_Grunddaten!$A760="Geprüft",Programme_Grunddaten!AR760&lt;&gt;""),IF(Programme_Grunddaten!AR760="Ja",1,0),"")</f>
        <v/>
      </c>
      <c r="AK755" s="1" t="str">
        <f>IF(AND(Programme_Grunddaten!$A760="Geprüft",Programme_Grunddaten!AS760&lt;&gt;""),IF(Programme_Grunddaten!AS760="Ja",1,0),"")</f>
        <v/>
      </c>
      <c r="AL755" s="1" t="str">
        <f>IF(AND(Programme_Grunddaten!$A760="Geprüft",Programme_Grunddaten!AT760&lt;&gt;""),IF(Programme_Grunddaten!AT760="Ja",1,0),"")</f>
        <v/>
      </c>
      <c r="AM755" s="1" t="str">
        <f>IF(AND(Programme_Grunddaten!$A760="Geprüft",Programme_Grunddaten!AU760&lt;&gt;""),IF(Programme_Grunddaten!AU760="Ja",1,0),"")</f>
        <v/>
      </c>
      <c r="AN755" s="1" t="str">
        <f>IF(AND(Programme_Grunddaten!$A760="Geprüft",Programme_Grunddaten!AV760&lt;&gt;""),IF(Programme_Grunddaten!AV760="Ja",1,0),"")</f>
        <v/>
      </c>
    </row>
    <row r="756" spans="1:40" x14ac:dyDescent="0.3">
      <c r="A756" s="1" t="str">
        <f>IF(AND(Programme_Grunddaten!A761="Geprüft",Programme_Grunddaten!B761&lt;&gt;""),Programme_Grunddaten!B761,"")</f>
        <v/>
      </c>
      <c r="B756" s="1" t="str">
        <f>IF(AND(Programme_Grunddaten!$A761="Geprüft",Programme_Grunddaten!I761&lt;&gt;""),IF(Programme_Grunddaten!I761="Ja",1,0),"")</f>
        <v/>
      </c>
      <c r="C756" s="1" t="str">
        <f>IF(AND(Programme_Grunddaten!$A761="Geprüft",Programme_Grunddaten!J761&lt;&gt;""),IF(Programme_Grunddaten!J761="Ja",1,0),"")</f>
        <v/>
      </c>
      <c r="D756" s="1" t="str">
        <f>IF(AND(Programme_Grunddaten!$A761="Geprüft",Programme_Grunddaten!K761&lt;&gt;""),IF(Programme_Grunddaten!K761="Ja",1,0),"")</f>
        <v/>
      </c>
      <c r="E756" s="1" t="str">
        <f>IF(AND(Programme_Grunddaten!$A761="Geprüft",Programme_Grunddaten!L761&lt;&gt;""),IF(Programme_Grunddaten!L761="Abo / befristete Lizenz",1,0),"")</f>
        <v/>
      </c>
      <c r="F756" s="1" t="str">
        <f>IF(AND(Programme_Grunddaten!$A761="Geprüft",Programme_Grunddaten!M761&lt;&gt;""),IF(Programme_Grunddaten!M761="Ja",1,0),"")</f>
        <v/>
      </c>
      <c r="G756" s="1" t="str">
        <f>IF(AND(Programme_Grunddaten!$A761="Geprüft",Programme_Grunddaten!N761&lt;&gt;""),IF(Programme_Grunddaten!N761="Ja",1,0),"")</f>
        <v/>
      </c>
      <c r="H756" s="1" t="str">
        <f>IF(AND(Programme_Grunddaten!$A761="Geprüft",Programme_Grunddaten!O761&lt;&gt;""),IF(Programme_Grunddaten!O761="Deutschland",0,IF(Programme_Grunddaten!O761="EU",1,2)),"")</f>
        <v/>
      </c>
      <c r="I756" s="1" t="str">
        <f>IF(AND(Programme_Grunddaten!$A761="Geprüft",Programme_Grunddaten!P761&lt;&gt;""),IF(Programme_Grunddaten!P761="Ja",1,0),"")</f>
        <v/>
      </c>
      <c r="J756" s="1" t="str">
        <f>IF(AND(Programme_Grunddaten!$A761="Geprüft",Programme_Grunddaten!Q761&lt;&gt;""),IF(Programme_Grunddaten!Q761="geschlossenes System",1,0),"")</f>
        <v/>
      </c>
      <c r="K756" s="1" t="str">
        <f>IF(AND(Programme_Grunddaten!$A761="Geprüft",Programme_Grunddaten!R761&lt;&gt;""),IF(Programme_Grunddaten!R761="Ja",1,0),"")</f>
        <v/>
      </c>
      <c r="L756" s="1" t="str">
        <f>IF(AND(Programme_Grunddaten!$A761="Geprüft",Programme_Grunddaten!T761&lt;&gt;""),IF(Programme_Grunddaten!T761="Ja",1,0),"")</f>
        <v/>
      </c>
      <c r="M756" s="1" t="str">
        <f>IF(AND(Programme_Grunddaten!$A761="Geprüft",Programme_Grunddaten!U761&lt;&gt;""),IF(Programme_Grunddaten!U761="Ja",1,0),"")</f>
        <v/>
      </c>
      <c r="N756" s="1" t="str">
        <f>IF(AND(Programme_Grunddaten!$A761="Geprüft",Programme_Grunddaten!V761&lt;&gt;""),IF(Programme_Grunddaten!V761="Ja",1,0),"")</f>
        <v/>
      </c>
      <c r="O756" s="1" t="str">
        <f>IF(AND(Programme_Grunddaten!$A761="Geprüft",Programme_Grunddaten!W761&lt;&gt;""),IF(Programme_Grunddaten!W761="Ja",1,0),"")</f>
        <v/>
      </c>
      <c r="P756" s="1" t="str">
        <f>IF(AND(Programme_Grunddaten!$A761="Geprüft",Programme_Grunddaten!X761&lt;&gt;""),IF(Programme_Grunddaten!X761="Ja",1,0),"")</f>
        <v/>
      </c>
      <c r="Q756" s="1" t="str">
        <f>IF(AND(Programme_Grunddaten!$A761="Geprüft",Programme_Grunddaten!Y761&lt;&gt;""),IF(Programme_Grunddaten!Y761="Ja",1,0),"")</f>
        <v/>
      </c>
      <c r="R756" s="1" t="str">
        <f>IF(AND(Programme_Grunddaten!$A761="Geprüft",Programme_Grunddaten!Z761&lt;&gt;""),IF(Programme_Grunddaten!Z761="Ja",1,0),"")</f>
        <v/>
      </c>
      <c r="S756" s="1" t="str">
        <f>IF(AND(Programme_Grunddaten!$A761="Geprüft",Programme_Grunddaten!AA761&lt;&gt;""),IF(Programme_Grunddaten!AA761="monolithisch",1,0),"")</f>
        <v/>
      </c>
      <c r="T756" s="1" t="str">
        <f>IF(AND(Programme_Grunddaten!$A761="Geprüft",Programme_Grunddaten!AB761&lt;&gt;""),IF(Programme_Grunddaten!AB761="Ja",1,0),"")</f>
        <v/>
      </c>
      <c r="U756" s="1" t="str">
        <f>IF(AND(Programme_Grunddaten!$A761="Geprüft",Programme_Grunddaten!AC761&lt;&gt;""),IF(Programme_Grunddaten!AC761="Ja",1,0),"")</f>
        <v/>
      </c>
      <c r="V756" s="1" t="str">
        <f>IF(AND(Programme_Grunddaten!$A761="Geprüft",Programme_Grunddaten!AD761&lt;&gt;""),IF(Programme_Grunddaten!AD761="Ja",1,0),"")</f>
        <v/>
      </c>
      <c r="W756" s="1" t="str">
        <f>IF(AND(Programme_Grunddaten!$A761="Geprüft",Programme_Grunddaten!AE761&lt;&gt;""),IF(Programme_Grunddaten!AE761="Ja",1,0),"")</f>
        <v/>
      </c>
      <c r="X756" s="1" t="str">
        <f>IF(AND(Programme_Grunddaten!$A761="Geprüft",Programme_Grunddaten!AF761&lt;&gt;""),IF(Programme_Grunddaten!AF761="Ja",1,0),"")</f>
        <v/>
      </c>
      <c r="Y756" s="1" t="str">
        <f>IF(AND(Programme_Grunddaten!$A761="Geprüft",Programme_Grunddaten!AG761&lt;&gt;""),IF(Programme_Grunddaten!AG761="Ja",1,0),"")</f>
        <v/>
      </c>
      <c r="Z756" s="1" t="str">
        <f>IF(AND(Programme_Grunddaten!$A761="Geprüft",Programme_Grunddaten!AH761&lt;&gt;""),IF(Programme_Grunddaten!AH761="Ja",1,0),"")</f>
        <v/>
      </c>
      <c r="AA756" s="1" t="str">
        <f>IF(AND(Programme_Grunddaten!$A761="Geprüft",Programme_Grunddaten!AI761&lt;&gt;""),IF(Programme_Grunddaten!AI761="Ja",1,0),"")</f>
        <v/>
      </c>
      <c r="AB756" s="1" t="str">
        <f>IF(AND(Programme_Grunddaten!$A761="Geprüft",Programme_Grunddaten!AJ761&lt;&gt;""),IF(Programme_Grunddaten!AJ761="individuell programmierbar",1,0),"")</f>
        <v/>
      </c>
      <c r="AC756" s="1" t="str">
        <f>IF(AND(Programme_Grunddaten!$A761="Geprüft",Programme_Grunddaten!AK761&lt;&gt;""),IF(Programme_Grunddaten!AK761="Deutsch",0,IF(Programme_Grunddaten!AK761="Deutsch und Englisch",1,2)),"")</f>
        <v/>
      </c>
      <c r="AD756" s="1" t="str">
        <f>IF(AND(Programme_Grunddaten!$A761="Geprüft",Programme_Grunddaten!AL761&lt;&gt;""),IF(Programme_Grunddaten!AL761="Ja",1,0),"")</f>
        <v/>
      </c>
      <c r="AE756" s="1" t="str">
        <f>IF(AND(Programme_Grunddaten!$A761="Geprüft",Programme_Grunddaten!AM761&lt;&gt;""),IF(Programme_Grunddaten!AM761="Ja",1,0),"")</f>
        <v/>
      </c>
      <c r="AF756" s="1" t="str">
        <f>IF(AND(Programme_Grunddaten!$A761="Geprüft",Programme_Grunddaten!AN761&lt;&gt;""),IF(Programme_Grunddaten!AN761="Ja",1,0),"")</f>
        <v/>
      </c>
      <c r="AG756" s="1" t="str">
        <f>IF(AND(Programme_Grunddaten!$A761="Geprüft",Programme_Grunddaten!AO761&lt;&gt;""),IF(Programme_Grunddaten!AO761="Ja",1,0),"")</f>
        <v/>
      </c>
      <c r="AH756" s="1" t="str">
        <f>IF(AND(Programme_Grunddaten!$A761="Geprüft",Programme_Grunddaten!AP761&lt;&gt;""),IF(Programme_Grunddaten!AP761="Ja",1,0),"")</f>
        <v/>
      </c>
      <c r="AI756" s="1" t="str">
        <f>IF(AND(Programme_Grunddaten!$A761="Geprüft",Programme_Grunddaten!AQ761&lt;&gt;""),IF(Programme_Grunddaten!AQ761="Ja",1,0),"")</f>
        <v/>
      </c>
      <c r="AJ756" s="1" t="str">
        <f>IF(AND(Programme_Grunddaten!$A761="Geprüft",Programme_Grunddaten!AR761&lt;&gt;""),IF(Programme_Grunddaten!AR761="Ja",1,0),"")</f>
        <v/>
      </c>
      <c r="AK756" s="1" t="str">
        <f>IF(AND(Programme_Grunddaten!$A761="Geprüft",Programme_Grunddaten!AS761&lt;&gt;""),IF(Programme_Grunddaten!AS761="Ja",1,0),"")</f>
        <v/>
      </c>
      <c r="AL756" s="1" t="str">
        <f>IF(AND(Programme_Grunddaten!$A761="Geprüft",Programme_Grunddaten!AT761&lt;&gt;""),IF(Programme_Grunddaten!AT761="Ja",1,0),"")</f>
        <v/>
      </c>
      <c r="AM756" s="1" t="str">
        <f>IF(AND(Programme_Grunddaten!$A761="Geprüft",Programme_Grunddaten!AU761&lt;&gt;""),IF(Programme_Grunddaten!AU761="Ja",1,0),"")</f>
        <v/>
      </c>
      <c r="AN756" s="1" t="str">
        <f>IF(AND(Programme_Grunddaten!$A761="Geprüft",Programme_Grunddaten!AV761&lt;&gt;""),IF(Programme_Grunddaten!AV761="Ja",1,0),"")</f>
        <v/>
      </c>
    </row>
    <row r="757" spans="1:40" x14ac:dyDescent="0.3">
      <c r="A757" s="1" t="str">
        <f>IF(AND(Programme_Grunddaten!A762="Geprüft",Programme_Grunddaten!B762&lt;&gt;""),Programme_Grunddaten!B762,"")</f>
        <v/>
      </c>
      <c r="B757" s="1" t="str">
        <f>IF(AND(Programme_Grunddaten!$A762="Geprüft",Programme_Grunddaten!I762&lt;&gt;""),IF(Programme_Grunddaten!I762="Ja",1,0),"")</f>
        <v/>
      </c>
      <c r="C757" s="1" t="str">
        <f>IF(AND(Programme_Grunddaten!$A762="Geprüft",Programme_Grunddaten!J762&lt;&gt;""),IF(Programme_Grunddaten!J762="Ja",1,0),"")</f>
        <v/>
      </c>
      <c r="D757" s="1" t="str">
        <f>IF(AND(Programme_Grunddaten!$A762="Geprüft",Programme_Grunddaten!K762&lt;&gt;""),IF(Programme_Grunddaten!K762="Ja",1,0),"")</f>
        <v/>
      </c>
      <c r="E757" s="1" t="str">
        <f>IF(AND(Programme_Grunddaten!$A762="Geprüft",Programme_Grunddaten!L762&lt;&gt;""),IF(Programme_Grunddaten!L762="Abo / befristete Lizenz",1,0),"")</f>
        <v/>
      </c>
      <c r="F757" s="1" t="str">
        <f>IF(AND(Programme_Grunddaten!$A762="Geprüft",Programme_Grunddaten!M762&lt;&gt;""),IF(Programme_Grunddaten!M762="Ja",1,0),"")</f>
        <v/>
      </c>
      <c r="G757" s="1" t="str">
        <f>IF(AND(Programme_Grunddaten!$A762="Geprüft",Programme_Grunddaten!N762&lt;&gt;""),IF(Programme_Grunddaten!N762="Ja",1,0),"")</f>
        <v/>
      </c>
      <c r="H757" s="1" t="str">
        <f>IF(AND(Programme_Grunddaten!$A762="Geprüft",Programme_Grunddaten!O762&lt;&gt;""),IF(Programme_Grunddaten!O762="Deutschland",0,IF(Programme_Grunddaten!O762="EU",1,2)),"")</f>
        <v/>
      </c>
      <c r="I757" s="1" t="str">
        <f>IF(AND(Programme_Grunddaten!$A762="Geprüft",Programme_Grunddaten!P762&lt;&gt;""),IF(Programme_Grunddaten!P762="Ja",1,0),"")</f>
        <v/>
      </c>
      <c r="J757" s="1" t="str">
        <f>IF(AND(Programme_Grunddaten!$A762="Geprüft",Programme_Grunddaten!Q762&lt;&gt;""),IF(Programme_Grunddaten!Q762="geschlossenes System",1,0),"")</f>
        <v/>
      </c>
      <c r="K757" s="1" t="str">
        <f>IF(AND(Programme_Grunddaten!$A762="Geprüft",Programme_Grunddaten!R762&lt;&gt;""),IF(Programme_Grunddaten!R762="Ja",1,0),"")</f>
        <v/>
      </c>
      <c r="L757" s="1" t="str">
        <f>IF(AND(Programme_Grunddaten!$A762="Geprüft",Programme_Grunddaten!T762&lt;&gt;""),IF(Programme_Grunddaten!T762="Ja",1,0),"")</f>
        <v/>
      </c>
      <c r="M757" s="1" t="str">
        <f>IF(AND(Programme_Grunddaten!$A762="Geprüft",Programme_Grunddaten!U762&lt;&gt;""),IF(Programme_Grunddaten!U762="Ja",1,0),"")</f>
        <v/>
      </c>
      <c r="N757" s="1" t="str">
        <f>IF(AND(Programme_Grunddaten!$A762="Geprüft",Programme_Grunddaten!V762&lt;&gt;""),IF(Programme_Grunddaten!V762="Ja",1,0),"")</f>
        <v/>
      </c>
      <c r="O757" s="1" t="str">
        <f>IF(AND(Programme_Grunddaten!$A762="Geprüft",Programme_Grunddaten!W762&lt;&gt;""),IF(Programme_Grunddaten!W762="Ja",1,0),"")</f>
        <v/>
      </c>
      <c r="P757" s="1" t="str">
        <f>IF(AND(Programme_Grunddaten!$A762="Geprüft",Programme_Grunddaten!X762&lt;&gt;""),IF(Programme_Grunddaten!X762="Ja",1,0),"")</f>
        <v/>
      </c>
      <c r="Q757" s="1" t="str">
        <f>IF(AND(Programme_Grunddaten!$A762="Geprüft",Programme_Grunddaten!Y762&lt;&gt;""),IF(Programme_Grunddaten!Y762="Ja",1,0),"")</f>
        <v/>
      </c>
      <c r="R757" s="1" t="str">
        <f>IF(AND(Programme_Grunddaten!$A762="Geprüft",Programme_Grunddaten!Z762&lt;&gt;""),IF(Programme_Grunddaten!Z762="Ja",1,0),"")</f>
        <v/>
      </c>
      <c r="S757" s="1" t="str">
        <f>IF(AND(Programme_Grunddaten!$A762="Geprüft",Programme_Grunddaten!AA762&lt;&gt;""),IF(Programme_Grunddaten!AA762="monolithisch",1,0),"")</f>
        <v/>
      </c>
      <c r="T757" s="1" t="str">
        <f>IF(AND(Programme_Grunddaten!$A762="Geprüft",Programme_Grunddaten!AB762&lt;&gt;""),IF(Programme_Grunddaten!AB762="Ja",1,0),"")</f>
        <v/>
      </c>
      <c r="U757" s="1" t="str">
        <f>IF(AND(Programme_Grunddaten!$A762="Geprüft",Programme_Grunddaten!AC762&lt;&gt;""),IF(Programme_Grunddaten!AC762="Ja",1,0),"")</f>
        <v/>
      </c>
      <c r="V757" s="1" t="str">
        <f>IF(AND(Programme_Grunddaten!$A762="Geprüft",Programme_Grunddaten!AD762&lt;&gt;""),IF(Programme_Grunddaten!AD762="Ja",1,0),"")</f>
        <v/>
      </c>
      <c r="W757" s="1" t="str">
        <f>IF(AND(Programme_Grunddaten!$A762="Geprüft",Programme_Grunddaten!AE762&lt;&gt;""),IF(Programme_Grunddaten!AE762="Ja",1,0),"")</f>
        <v/>
      </c>
      <c r="X757" s="1" t="str">
        <f>IF(AND(Programme_Grunddaten!$A762="Geprüft",Programme_Grunddaten!AF762&lt;&gt;""),IF(Programme_Grunddaten!AF762="Ja",1,0),"")</f>
        <v/>
      </c>
      <c r="Y757" s="1" t="str">
        <f>IF(AND(Programme_Grunddaten!$A762="Geprüft",Programme_Grunddaten!AG762&lt;&gt;""),IF(Programme_Grunddaten!AG762="Ja",1,0),"")</f>
        <v/>
      </c>
      <c r="Z757" s="1" t="str">
        <f>IF(AND(Programme_Grunddaten!$A762="Geprüft",Programme_Grunddaten!AH762&lt;&gt;""),IF(Programme_Grunddaten!AH762="Ja",1,0),"")</f>
        <v/>
      </c>
      <c r="AA757" s="1" t="str">
        <f>IF(AND(Programme_Grunddaten!$A762="Geprüft",Programme_Grunddaten!AI762&lt;&gt;""),IF(Programme_Grunddaten!AI762="Ja",1,0),"")</f>
        <v/>
      </c>
      <c r="AB757" s="1" t="str">
        <f>IF(AND(Programme_Grunddaten!$A762="Geprüft",Programme_Grunddaten!AJ762&lt;&gt;""),IF(Programme_Grunddaten!AJ762="individuell programmierbar",1,0),"")</f>
        <v/>
      </c>
      <c r="AC757" s="1" t="str">
        <f>IF(AND(Programme_Grunddaten!$A762="Geprüft",Programme_Grunddaten!AK762&lt;&gt;""),IF(Programme_Grunddaten!AK762="Deutsch",0,IF(Programme_Grunddaten!AK762="Deutsch und Englisch",1,2)),"")</f>
        <v/>
      </c>
      <c r="AD757" s="1" t="str">
        <f>IF(AND(Programme_Grunddaten!$A762="Geprüft",Programme_Grunddaten!AL762&lt;&gt;""),IF(Programme_Grunddaten!AL762="Ja",1,0),"")</f>
        <v/>
      </c>
      <c r="AE757" s="1" t="str">
        <f>IF(AND(Programme_Grunddaten!$A762="Geprüft",Programme_Grunddaten!AM762&lt;&gt;""),IF(Programme_Grunddaten!AM762="Ja",1,0),"")</f>
        <v/>
      </c>
      <c r="AF757" s="1" t="str">
        <f>IF(AND(Programme_Grunddaten!$A762="Geprüft",Programme_Grunddaten!AN762&lt;&gt;""),IF(Programme_Grunddaten!AN762="Ja",1,0),"")</f>
        <v/>
      </c>
      <c r="AG757" s="1" t="str">
        <f>IF(AND(Programme_Grunddaten!$A762="Geprüft",Programme_Grunddaten!AO762&lt;&gt;""),IF(Programme_Grunddaten!AO762="Ja",1,0),"")</f>
        <v/>
      </c>
      <c r="AH757" s="1" t="str">
        <f>IF(AND(Programme_Grunddaten!$A762="Geprüft",Programme_Grunddaten!AP762&lt;&gt;""),IF(Programme_Grunddaten!AP762="Ja",1,0),"")</f>
        <v/>
      </c>
      <c r="AI757" s="1" t="str">
        <f>IF(AND(Programme_Grunddaten!$A762="Geprüft",Programme_Grunddaten!AQ762&lt;&gt;""),IF(Programme_Grunddaten!AQ762="Ja",1,0),"")</f>
        <v/>
      </c>
      <c r="AJ757" s="1" t="str">
        <f>IF(AND(Programme_Grunddaten!$A762="Geprüft",Programme_Grunddaten!AR762&lt;&gt;""),IF(Programme_Grunddaten!AR762="Ja",1,0),"")</f>
        <v/>
      </c>
      <c r="AK757" s="1" t="str">
        <f>IF(AND(Programme_Grunddaten!$A762="Geprüft",Programme_Grunddaten!AS762&lt;&gt;""),IF(Programme_Grunddaten!AS762="Ja",1,0),"")</f>
        <v/>
      </c>
      <c r="AL757" s="1" t="str">
        <f>IF(AND(Programme_Grunddaten!$A762="Geprüft",Programme_Grunddaten!AT762&lt;&gt;""),IF(Programme_Grunddaten!AT762="Ja",1,0),"")</f>
        <v/>
      </c>
      <c r="AM757" s="1" t="str">
        <f>IF(AND(Programme_Grunddaten!$A762="Geprüft",Programme_Grunddaten!AU762&lt;&gt;""),IF(Programme_Grunddaten!AU762="Ja",1,0),"")</f>
        <v/>
      </c>
      <c r="AN757" s="1" t="str">
        <f>IF(AND(Programme_Grunddaten!$A762="Geprüft",Programme_Grunddaten!AV762&lt;&gt;""),IF(Programme_Grunddaten!AV762="Ja",1,0),"")</f>
        <v/>
      </c>
    </row>
    <row r="758" spans="1:40" x14ac:dyDescent="0.3">
      <c r="A758" s="1" t="str">
        <f>IF(AND(Programme_Grunddaten!A763="Geprüft",Programme_Grunddaten!B763&lt;&gt;""),Programme_Grunddaten!B763,"")</f>
        <v/>
      </c>
      <c r="B758" s="1" t="str">
        <f>IF(AND(Programme_Grunddaten!$A763="Geprüft",Programme_Grunddaten!I763&lt;&gt;""),IF(Programme_Grunddaten!I763="Ja",1,0),"")</f>
        <v/>
      </c>
      <c r="C758" s="1" t="str">
        <f>IF(AND(Programme_Grunddaten!$A763="Geprüft",Programme_Grunddaten!J763&lt;&gt;""),IF(Programme_Grunddaten!J763="Ja",1,0),"")</f>
        <v/>
      </c>
      <c r="D758" s="1" t="str">
        <f>IF(AND(Programme_Grunddaten!$A763="Geprüft",Programme_Grunddaten!K763&lt;&gt;""),IF(Programme_Grunddaten!K763="Ja",1,0),"")</f>
        <v/>
      </c>
      <c r="E758" s="1" t="str">
        <f>IF(AND(Programme_Grunddaten!$A763="Geprüft",Programme_Grunddaten!L763&lt;&gt;""),IF(Programme_Grunddaten!L763="Abo / befristete Lizenz",1,0),"")</f>
        <v/>
      </c>
      <c r="F758" s="1" t="str">
        <f>IF(AND(Programme_Grunddaten!$A763="Geprüft",Programme_Grunddaten!M763&lt;&gt;""),IF(Programme_Grunddaten!M763="Ja",1,0),"")</f>
        <v/>
      </c>
      <c r="G758" s="1" t="str">
        <f>IF(AND(Programme_Grunddaten!$A763="Geprüft",Programme_Grunddaten!N763&lt;&gt;""),IF(Programme_Grunddaten!N763="Ja",1,0),"")</f>
        <v/>
      </c>
      <c r="H758" s="1" t="str">
        <f>IF(AND(Programme_Grunddaten!$A763="Geprüft",Programme_Grunddaten!O763&lt;&gt;""),IF(Programme_Grunddaten!O763="Deutschland",0,IF(Programme_Grunddaten!O763="EU",1,2)),"")</f>
        <v/>
      </c>
      <c r="I758" s="1" t="str">
        <f>IF(AND(Programme_Grunddaten!$A763="Geprüft",Programme_Grunddaten!P763&lt;&gt;""),IF(Programme_Grunddaten!P763="Ja",1,0),"")</f>
        <v/>
      </c>
      <c r="J758" s="1" t="str">
        <f>IF(AND(Programme_Grunddaten!$A763="Geprüft",Programme_Grunddaten!Q763&lt;&gt;""),IF(Programme_Grunddaten!Q763="geschlossenes System",1,0),"")</f>
        <v/>
      </c>
      <c r="K758" s="1" t="str">
        <f>IF(AND(Programme_Grunddaten!$A763="Geprüft",Programme_Grunddaten!R763&lt;&gt;""),IF(Programme_Grunddaten!R763="Ja",1,0),"")</f>
        <v/>
      </c>
      <c r="L758" s="1" t="str">
        <f>IF(AND(Programme_Grunddaten!$A763="Geprüft",Programme_Grunddaten!T763&lt;&gt;""),IF(Programme_Grunddaten!T763="Ja",1,0),"")</f>
        <v/>
      </c>
      <c r="M758" s="1" t="str">
        <f>IF(AND(Programme_Grunddaten!$A763="Geprüft",Programme_Grunddaten!U763&lt;&gt;""),IF(Programme_Grunddaten!U763="Ja",1,0),"")</f>
        <v/>
      </c>
      <c r="N758" s="1" t="str">
        <f>IF(AND(Programme_Grunddaten!$A763="Geprüft",Programme_Grunddaten!V763&lt;&gt;""),IF(Programme_Grunddaten!V763="Ja",1,0),"")</f>
        <v/>
      </c>
      <c r="O758" s="1" t="str">
        <f>IF(AND(Programme_Grunddaten!$A763="Geprüft",Programme_Grunddaten!W763&lt;&gt;""),IF(Programme_Grunddaten!W763="Ja",1,0),"")</f>
        <v/>
      </c>
      <c r="P758" s="1" t="str">
        <f>IF(AND(Programme_Grunddaten!$A763="Geprüft",Programme_Grunddaten!X763&lt;&gt;""),IF(Programme_Grunddaten!X763="Ja",1,0),"")</f>
        <v/>
      </c>
      <c r="Q758" s="1" t="str">
        <f>IF(AND(Programme_Grunddaten!$A763="Geprüft",Programme_Grunddaten!Y763&lt;&gt;""),IF(Programme_Grunddaten!Y763="Ja",1,0),"")</f>
        <v/>
      </c>
      <c r="R758" s="1" t="str">
        <f>IF(AND(Programme_Grunddaten!$A763="Geprüft",Programme_Grunddaten!Z763&lt;&gt;""),IF(Programme_Grunddaten!Z763="Ja",1,0),"")</f>
        <v/>
      </c>
      <c r="S758" s="1" t="str">
        <f>IF(AND(Programme_Grunddaten!$A763="Geprüft",Programme_Grunddaten!AA763&lt;&gt;""),IF(Programme_Grunddaten!AA763="monolithisch",1,0),"")</f>
        <v/>
      </c>
      <c r="T758" s="1" t="str">
        <f>IF(AND(Programme_Grunddaten!$A763="Geprüft",Programme_Grunddaten!AB763&lt;&gt;""),IF(Programme_Grunddaten!AB763="Ja",1,0),"")</f>
        <v/>
      </c>
      <c r="U758" s="1" t="str">
        <f>IF(AND(Programme_Grunddaten!$A763="Geprüft",Programme_Grunddaten!AC763&lt;&gt;""),IF(Programme_Grunddaten!AC763="Ja",1,0),"")</f>
        <v/>
      </c>
      <c r="V758" s="1" t="str">
        <f>IF(AND(Programme_Grunddaten!$A763="Geprüft",Programme_Grunddaten!AD763&lt;&gt;""),IF(Programme_Grunddaten!AD763="Ja",1,0),"")</f>
        <v/>
      </c>
      <c r="W758" s="1" t="str">
        <f>IF(AND(Programme_Grunddaten!$A763="Geprüft",Programme_Grunddaten!AE763&lt;&gt;""),IF(Programme_Grunddaten!AE763="Ja",1,0),"")</f>
        <v/>
      </c>
      <c r="X758" s="1" t="str">
        <f>IF(AND(Programme_Grunddaten!$A763="Geprüft",Programme_Grunddaten!AF763&lt;&gt;""),IF(Programme_Grunddaten!AF763="Ja",1,0),"")</f>
        <v/>
      </c>
      <c r="Y758" s="1" t="str">
        <f>IF(AND(Programme_Grunddaten!$A763="Geprüft",Programme_Grunddaten!AG763&lt;&gt;""),IF(Programme_Grunddaten!AG763="Ja",1,0),"")</f>
        <v/>
      </c>
      <c r="Z758" s="1" t="str">
        <f>IF(AND(Programme_Grunddaten!$A763="Geprüft",Programme_Grunddaten!AH763&lt;&gt;""),IF(Programme_Grunddaten!AH763="Ja",1,0),"")</f>
        <v/>
      </c>
      <c r="AA758" s="1" t="str">
        <f>IF(AND(Programme_Grunddaten!$A763="Geprüft",Programme_Grunddaten!AI763&lt;&gt;""),IF(Programme_Grunddaten!AI763="Ja",1,0),"")</f>
        <v/>
      </c>
      <c r="AB758" s="1" t="str">
        <f>IF(AND(Programme_Grunddaten!$A763="Geprüft",Programme_Grunddaten!AJ763&lt;&gt;""),IF(Programme_Grunddaten!AJ763="individuell programmierbar",1,0),"")</f>
        <v/>
      </c>
      <c r="AC758" s="1" t="str">
        <f>IF(AND(Programme_Grunddaten!$A763="Geprüft",Programme_Grunddaten!AK763&lt;&gt;""),IF(Programme_Grunddaten!AK763="Deutsch",0,IF(Programme_Grunddaten!AK763="Deutsch und Englisch",1,2)),"")</f>
        <v/>
      </c>
      <c r="AD758" s="1" t="str">
        <f>IF(AND(Programme_Grunddaten!$A763="Geprüft",Programme_Grunddaten!AL763&lt;&gt;""),IF(Programme_Grunddaten!AL763="Ja",1,0),"")</f>
        <v/>
      </c>
      <c r="AE758" s="1" t="str">
        <f>IF(AND(Programme_Grunddaten!$A763="Geprüft",Programme_Grunddaten!AM763&lt;&gt;""),IF(Programme_Grunddaten!AM763="Ja",1,0),"")</f>
        <v/>
      </c>
      <c r="AF758" s="1" t="str">
        <f>IF(AND(Programme_Grunddaten!$A763="Geprüft",Programme_Grunddaten!AN763&lt;&gt;""),IF(Programme_Grunddaten!AN763="Ja",1,0),"")</f>
        <v/>
      </c>
      <c r="AG758" s="1" t="str">
        <f>IF(AND(Programme_Grunddaten!$A763="Geprüft",Programme_Grunddaten!AO763&lt;&gt;""),IF(Programme_Grunddaten!AO763="Ja",1,0),"")</f>
        <v/>
      </c>
      <c r="AH758" s="1" t="str">
        <f>IF(AND(Programme_Grunddaten!$A763="Geprüft",Programme_Grunddaten!AP763&lt;&gt;""),IF(Programme_Grunddaten!AP763="Ja",1,0),"")</f>
        <v/>
      </c>
      <c r="AI758" s="1" t="str">
        <f>IF(AND(Programme_Grunddaten!$A763="Geprüft",Programme_Grunddaten!AQ763&lt;&gt;""),IF(Programme_Grunddaten!AQ763="Ja",1,0),"")</f>
        <v/>
      </c>
      <c r="AJ758" s="1" t="str">
        <f>IF(AND(Programme_Grunddaten!$A763="Geprüft",Programme_Grunddaten!AR763&lt;&gt;""),IF(Programme_Grunddaten!AR763="Ja",1,0),"")</f>
        <v/>
      </c>
      <c r="AK758" s="1" t="str">
        <f>IF(AND(Programme_Grunddaten!$A763="Geprüft",Programme_Grunddaten!AS763&lt;&gt;""),IF(Programme_Grunddaten!AS763="Ja",1,0),"")</f>
        <v/>
      </c>
      <c r="AL758" s="1" t="str">
        <f>IF(AND(Programme_Grunddaten!$A763="Geprüft",Programme_Grunddaten!AT763&lt;&gt;""),IF(Programme_Grunddaten!AT763="Ja",1,0),"")</f>
        <v/>
      </c>
      <c r="AM758" s="1" t="str">
        <f>IF(AND(Programme_Grunddaten!$A763="Geprüft",Programme_Grunddaten!AU763&lt;&gt;""),IF(Programme_Grunddaten!AU763="Ja",1,0),"")</f>
        <v/>
      </c>
      <c r="AN758" s="1" t="str">
        <f>IF(AND(Programme_Grunddaten!$A763="Geprüft",Programme_Grunddaten!AV763&lt;&gt;""),IF(Programme_Grunddaten!AV763="Ja",1,0),"")</f>
        <v/>
      </c>
    </row>
    <row r="759" spans="1:40" x14ac:dyDescent="0.3">
      <c r="A759" s="1" t="str">
        <f>IF(AND(Programme_Grunddaten!A764="Geprüft",Programme_Grunddaten!B764&lt;&gt;""),Programme_Grunddaten!B764,"")</f>
        <v/>
      </c>
      <c r="B759" s="1" t="str">
        <f>IF(AND(Programme_Grunddaten!$A764="Geprüft",Programme_Grunddaten!I764&lt;&gt;""),IF(Programme_Grunddaten!I764="Ja",1,0),"")</f>
        <v/>
      </c>
      <c r="C759" s="1" t="str">
        <f>IF(AND(Programme_Grunddaten!$A764="Geprüft",Programme_Grunddaten!J764&lt;&gt;""),IF(Programme_Grunddaten!J764="Ja",1,0),"")</f>
        <v/>
      </c>
      <c r="D759" s="1" t="str">
        <f>IF(AND(Programme_Grunddaten!$A764="Geprüft",Programme_Grunddaten!K764&lt;&gt;""),IF(Programme_Grunddaten!K764="Ja",1,0),"")</f>
        <v/>
      </c>
      <c r="E759" s="1" t="str">
        <f>IF(AND(Programme_Grunddaten!$A764="Geprüft",Programme_Grunddaten!L764&lt;&gt;""),IF(Programme_Grunddaten!L764="Abo / befristete Lizenz",1,0),"")</f>
        <v/>
      </c>
      <c r="F759" s="1" t="str">
        <f>IF(AND(Programme_Grunddaten!$A764="Geprüft",Programme_Grunddaten!M764&lt;&gt;""),IF(Programme_Grunddaten!M764="Ja",1,0),"")</f>
        <v/>
      </c>
      <c r="G759" s="1" t="str">
        <f>IF(AND(Programme_Grunddaten!$A764="Geprüft",Programme_Grunddaten!N764&lt;&gt;""),IF(Programme_Grunddaten!N764="Ja",1,0),"")</f>
        <v/>
      </c>
      <c r="H759" s="1" t="str">
        <f>IF(AND(Programme_Grunddaten!$A764="Geprüft",Programme_Grunddaten!O764&lt;&gt;""),IF(Programme_Grunddaten!O764="Deutschland",0,IF(Programme_Grunddaten!O764="EU",1,2)),"")</f>
        <v/>
      </c>
      <c r="I759" s="1" t="str">
        <f>IF(AND(Programme_Grunddaten!$A764="Geprüft",Programme_Grunddaten!P764&lt;&gt;""),IF(Programme_Grunddaten!P764="Ja",1,0),"")</f>
        <v/>
      </c>
      <c r="J759" s="1" t="str">
        <f>IF(AND(Programme_Grunddaten!$A764="Geprüft",Programme_Grunddaten!Q764&lt;&gt;""),IF(Programme_Grunddaten!Q764="geschlossenes System",1,0),"")</f>
        <v/>
      </c>
      <c r="K759" s="1" t="str">
        <f>IF(AND(Programme_Grunddaten!$A764="Geprüft",Programme_Grunddaten!R764&lt;&gt;""),IF(Programme_Grunddaten!R764="Ja",1,0),"")</f>
        <v/>
      </c>
      <c r="L759" s="1" t="str">
        <f>IF(AND(Programme_Grunddaten!$A764="Geprüft",Programme_Grunddaten!T764&lt;&gt;""),IF(Programme_Grunddaten!T764="Ja",1,0),"")</f>
        <v/>
      </c>
      <c r="M759" s="1" t="str">
        <f>IF(AND(Programme_Grunddaten!$A764="Geprüft",Programme_Grunddaten!U764&lt;&gt;""),IF(Programme_Grunddaten!U764="Ja",1,0),"")</f>
        <v/>
      </c>
      <c r="N759" s="1" t="str">
        <f>IF(AND(Programme_Grunddaten!$A764="Geprüft",Programme_Grunddaten!V764&lt;&gt;""),IF(Programme_Grunddaten!V764="Ja",1,0),"")</f>
        <v/>
      </c>
      <c r="O759" s="1" t="str">
        <f>IF(AND(Programme_Grunddaten!$A764="Geprüft",Programme_Grunddaten!W764&lt;&gt;""),IF(Programme_Grunddaten!W764="Ja",1,0),"")</f>
        <v/>
      </c>
      <c r="P759" s="1" t="str">
        <f>IF(AND(Programme_Grunddaten!$A764="Geprüft",Programme_Grunddaten!X764&lt;&gt;""),IF(Programme_Grunddaten!X764="Ja",1,0),"")</f>
        <v/>
      </c>
      <c r="Q759" s="1" t="str">
        <f>IF(AND(Programme_Grunddaten!$A764="Geprüft",Programme_Grunddaten!Y764&lt;&gt;""),IF(Programme_Grunddaten!Y764="Ja",1,0),"")</f>
        <v/>
      </c>
      <c r="R759" s="1" t="str">
        <f>IF(AND(Programme_Grunddaten!$A764="Geprüft",Programme_Grunddaten!Z764&lt;&gt;""),IF(Programme_Grunddaten!Z764="Ja",1,0),"")</f>
        <v/>
      </c>
      <c r="S759" s="1" t="str">
        <f>IF(AND(Programme_Grunddaten!$A764="Geprüft",Programme_Grunddaten!AA764&lt;&gt;""),IF(Programme_Grunddaten!AA764="monolithisch",1,0),"")</f>
        <v/>
      </c>
      <c r="T759" s="1" t="str">
        <f>IF(AND(Programme_Grunddaten!$A764="Geprüft",Programme_Grunddaten!AB764&lt;&gt;""),IF(Programme_Grunddaten!AB764="Ja",1,0),"")</f>
        <v/>
      </c>
      <c r="U759" s="1" t="str">
        <f>IF(AND(Programme_Grunddaten!$A764="Geprüft",Programme_Grunddaten!AC764&lt;&gt;""),IF(Programme_Grunddaten!AC764="Ja",1,0),"")</f>
        <v/>
      </c>
      <c r="V759" s="1" t="str">
        <f>IF(AND(Programme_Grunddaten!$A764="Geprüft",Programme_Grunddaten!AD764&lt;&gt;""),IF(Programme_Grunddaten!AD764="Ja",1,0),"")</f>
        <v/>
      </c>
      <c r="W759" s="1" t="str">
        <f>IF(AND(Programme_Grunddaten!$A764="Geprüft",Programme_Grunddaten!AE764&lt;&gt;""),IF(Programme_Grunddaten!AE764="Ja",1,0),"")</f>
        <v/>
      </c>
      <c r="X759" s="1" t="str">
        <f>IF(AND(Programme_Grunddaten!$A764="Geprüft",Programme_Grunddaten!AF764&lt;&gt;""),IF(Programme_Grunddaten!AF764="Ja",1,0),"")</f>
        <v/>
      </c>
      <c r="Y759" s="1" t="str">
        <f>IF(AND(Programme_Grunddaten!$A764="Geprüft",Programme_Grunddaten!AG764&lt;&gt;""),IF(Programme_Grunddaten!AG764="Ja",1,0),"")</f>
        <v/>
      </c>
      <c r="Z759" s="1" t="str">
        <f>IF(AND(Programme_Grunddaten!$A764="Geprüft",Programme_Grunddaten!AH764&lt;&gt;""),IF(Programme_Grunddaten!AH764="Ja",1,0),"")</f>
        <v/>
      </c>
      <c r="AA759" s="1" t="str">
        <f>IF(AND(Programme_Grunddaten!$A764="Geprüft",Programme_Grunddaten!AI764&lt;&gt;""),IF(Programme_Grunddaten!AI764="Ja",1,0),"")</f>
        <v/>
      </c>
      <c r="AB759" s="1" t="str">
        <f>IF(AND(Programme_Grunddaten!$A764="Geprüft",Programme_Grunddaten!AJ764&lt;&gt;""),IF(Programme_Grunddaten!AJ764="individuell programmierbar",1,0),"")</f>
        <v/>
      </c>
      <c r="AC759" s="1" t="str">
        <f>IF(AND(Programme_Grunddaten!$A764="Geprüft",Programme_Grunddaten!AK764&lt;&gt;""),IF(Programme_Grunddaten!AK764="Deutsch",0,IF(Programme_Grunddaten!AK764="Deutsch und Englisch",1,2)),"")</f>
        <v/>
      </c>
      <c r="AD759" s="1" t="str">
        <f>IF(AND(Programme_Grunddaten!$A764="Geprüft",Programme_Grunddaten!AL764&lt;&gt;""),IF(Programme_Grunddaten!AL764="Ja",1,0),"")</f>
        <v/>
      </c>
      <c r="AE759" s="1" t="str">
        <f>IF(AND(Programme_Grunddaten!$A764="Geprüft",Programme_Grunddaten!AM764&lt;&gt;""),IF(Programme_Grunddaten!AM764="Ja",1,0),"")</f>
        <v/>
      </c>
      <c r="AF759" s="1" t="str">
        <f>IF(AND(Programme_Grunddaten!$A764="Geprüft",Programme_Grunddaten!AN764&lt;&gt;""),IF(Programme_Grunddaten!AN764="Ja",1,0),"")</f>
        <v/>
      </c>
      <c r="AG759" s="1" t="str">
        <f>IF(AND(Programme_Grunddaten!$A764="Geprüft",Programme_Grunddaten!AO764&lt;&gt;""),IF(Programme_Grunddaten!AO764="Ja",1,0),"")</f>
        <v/>
      </c>
      <c r="AH759" s="1" t="str">
        <f>IF(AND(Programme_Grunddaten!$A764="Geprüft",Programme_Grunddaten!AP764&lt;&gt;""),IF(Programme_Grunddaten!AP764="Ja",1,0),"")</f>
        <v/>
      </c>
      <c r="AI759" s="1" t="str">
        <f>IF(AND(Programme_Grunddaten!$A764="Geprüft",Programme_Grunddaten!AQ764&lt;&gt;""),IF(Programme_Grunddaten!AQ764="Ja",1,0),"")</f>
        <v/>
      </c>
      <c r="AJ759" s="1" t="str">
        <f>IF(AND(Programme_Grunddaten!$A764="Geprüft",Programme_Grunddaten!AR764&lt;&gt;""),IF(Programme_Grunddaten!AR764="Ja",1,0),"")</f>
        <v/>
      </c>
      <c r="AK759" s="1" t="str">
        <f>IF(AND(Programme_Grunddaten!$A764="Geprüft",Programme_Grunddaten!AS764&lt;&gt;""),IF(Programme_Grunddaten!AS764="Ja",1,0),"")</f>
        <v/>
      </c>
      <c r="AL759" s="1" t="str">
        <f>IF(AND(Programme_Grunddaten!$A764="Geprüft",Programme_Grunddaten!AT764&lt;&gt;""),IF(Programme_Grunddaten!AT764="Ja",1,0),"")</f>
        <v/>
      </c>
      <c r="AM759" s="1" t="str">
        <f>IF(AND(Programme_Grunddaten!$A764="Geprüft",Programme_Grunddaten!AU764&lt;&gt;""),IF(Programme_Grunddaten!AU764="Ja",1,0),"")</f>
        <v/>
      </c>
      <c r="AN759" s="1" t="str">
        <f>IF(AND(Programme_Grunddaten!$A764="Geprüft",Programme_Grunddaten!AV764&lt;&gt;""),IF(Programme_Grunddaten!AV764="Ja",1,0),"")</f>
        <v/>
      </c>
    </row>
    <row r="760" spans="1:40" x14ac:dyDescent="0.3">
      <c r="A760" s="1" t="str">
        <f>IF(AND(Programme_Grunddaten!A765="Geprüft",Programme_Grunddaten!B765&lt;&gt;""),Programme_Grunddaten!B765,"")</f>
        <v/>
      </c>
      <c r="B760" s="1" t="str">
        <f>IF(AND(Programme_Grunddaten!$A765="Geprüft",Programme_Grunddaten!I765&lt;&gt;""),IF(Programme_Grunddaten!I765="Ja",1,0),"")</f>
        <v/>
      </c>
      <c r="C760" s="1" t="str">
        <f>IF(AND(Programme_Grunddaten!$A765="Geprüft",Programme_Grunddaten!J765&lt;&gt;""),IF(Programme_Grunddaten!J765="Ja",1,0),"")</f>
        <v/>
      </c>
      <c r="D760" s="1" t="str">
        <f>IF(AND(Programme_Grunddaten!$A765="Geprüft",Programme_Grunddaten!K765&lt;&gt;""),IF(Programme_Grunddaten!K765="Ja",1,0),"")</f>
        <v/>
      </c>
      <c r="E760" s="1" t="str">
        <f>IF(AND(Programme_Grunddaten!$A765="Geprüft",Programme_Grunddaten!L765&lt;&gt;""),IF(Programme_Grunddaten!L765="Abo / befristete Lizenz",1,0),"")</f>
        <v/>
      </c>
      <c r="F760" s="1" t="str">
        <f>IF(AND(Programme_Grunddaten!$A765="Geprüft",Programme_Grunddaten!M765&lt;&gt;""),IF(Programme_Grunddaten!M765="Ja",1,0),"")</f>
        <v/>
      </c>
      <c r="G760" s="1" t="str">
        <f>IF(AND(Programme_Grunddaten!$A765="Geprüft",Programme_Grunddaten!N765&lt;&gt;""),IF(Programme_Grunddaten!N765="Ja",1,0),"")</f>
        <v/>
      </c>
      <c r="H760" s="1" t="str">
        <f>IF(AND(Programme_Grunddaten!$A765="Geprüft",Programme_Grunddaten!O765&lt;&gt;""),IF(Programme_Grunddaten!O765="Deutschland",0,IF(Programme_Grunddaten!O765="EU",1,2)),"")</f>
        <v/>
      </c>
      <c r="I760" s="1" t="str">
        <f>IF(AND(Programme_Grunddaten!$A765="Geprüft",Programme_Grunddaten!P765&lt;&gt;""),IF(Programme_Grunddaten!P765="Ja",1,0),"")</f>
        <v/>
      </c>
      <c r="J760" s="1" t="str">
        <f>IF(AND(Programme_Grunddaten!$A765="Geprüft",Programme_Grunddaten!Q765&lt;&gt;""),IF(Programme_Grunddaten!Q765="geschlossenes System",1,0),"")</f>
        <v/>
      </c>
      <c r="K760" s="1" t="str">
        <f>IF(AND(Programme_Grunddaten!$A765="Geprüft",Programme_Grunddaten!R765&lt;&gt;""),IF(Programme_Grunddaten!R765="Ja",1,0),"")</f>
        <v/>
      </c>
      <c r="L760" s="1" t="str">
        <f>IF(AND(Programme_Grunddaten!$A765="Geprüft",Programme_Grunddaten!T765&lt;&gt;""),IF(Programme_Grunddaten!T765="Ja",1,0),"")</f>
        <v/>
      </c>
      <c r="M760" s="1" t="str">
        <f>IF(AND(Programme_Grunddaten!$A765="Geprüft",Programme_Grunddaten!U765&lt;&gt;""),IF(Programme_Grunddaten!U765="Ja",1,0),"")</f>
        <v/>
      </c>
      <c r="N760" s="1" t="str">
        <f>IF(AND(Programme_Grunddaten!$A765="Geprüft",Programme_Grunddaten!V765&lt;&gt;""),IF(Programme_Grunddaten!V765="Ja",1,0),"")</f>
        <v/>
      </c>
      <c r="O760" s="1" t="str">
        <f>IF(AND(Programme_Grunddaten!$A765="Geprüft",Programme_Grunddaten!W765&lt;&gt;""),IF(Programme_Grunddaten!W765="Ja",1,0),"")</f>
        <v/>
      </c>
      <c r="P760" s="1" t="str">
        <f>IF(AND(Programme_Grunddaten!$A765="Geprüft",Programme_Grunddaten!X765&lt;&gt;""),IF(Programme_Grunddaten!X765="Ja",1,0),"")</f>
        <v/>
      </c>
      <c r="Q760" s="1" t="str">
        <f>IF(AND(Programme_Grunddaten!$A765="Geprüft",Programme_Grunddaten!Y765&lt;&gt;""),IF(Programme_Grunddaten!Y765="Ja",1,0),"")</f>
        <v/>
      </c>
      <c r="R760" s="1" t="str">
        <f>IF(AND(Programme_Grunddaten!$A765="Geprüft",Programme_Grunddaten!Z765&lt;&gt;""),IF(Programme_Grunddaten!Z765="Ja",1,0),"")</f>
        <v/>
      </c>
      <c r="S760" s="1" t="str">
        <f>IF(AND(Programme_Grunddaten!$A765="Geprüft",Programme_Grunddaten!AA765&lt;&gt;""),IF(Programme_Grunddaten!AA765="monolithisch",1,0),"")</f>
        <v/>
      </c>
      <c r="T760" s="1" t="str">
        <f>IF(AND(Programme_Grunddaten!$A765="Geprüft",Programme_Grunddaten!AB765&lt;&gt;""),IF(Programme_Grunddaten!AB765="Ja",1,0),"")</f>
        <v/>
      </c>
      <c r="U760" s="1" t="str">
        <f>IF(AND(Programme_Grunddaten!$A765="Geprüft",Programme_Grunddaten!AC765&lt;&gt;""),IF(Programme_Grunddaten!AC765="Ja",1,0),"")</f>
        <v/>
      </c>
      <c r="V760" s="1" t="str">
        <f>IF(AND(Programme_Grunddaten!$A765="Geprüft",Programme_Grunddaten!AD765&lt;&gt;""),IF(Programme_Grunddaten!AD765="Ja",1,0),"")</f>
        <v/>
      </c>
      <c r="W760" s="1" t="str">
        <f>IF(AND(Programme_Grunddaten!$A765="Geprüft",Programme_Grunddaten!AE765&lt;&gt;""),IF(Programme_Grunddaten!AE765="Ja",1,0),"")</f>
        <v/>
      </c>
      <c r="X760" s="1" t="str">
        <f>IF(AND(Programme_Grunddaten!$A765="Geprüft",Programme_Grunddaten!AF765&lt;&gt;""),IF(Programme_Grunddaten!AF765="Ja",1,0),"")</f>
        <v/>
      </c>
      <c r="Y760" s="1" t="str">
        <f>IF(AND(Programme_Grunddaten!$A765="Geprüft",Programme_Grunddaten!AG765&lt;&gt;""),IF(Programme_Grunddaten!AG765="Ja",1,0),"")</f>
        <v/>
      </c>
      <c r="Z760" s="1" t="str">
        <f>IF(AND(Programme_Grunddaten!$A765="Geprüft",Programme_Grunddaten!AH765&lt;&gt;""),IF(Programme_Grunddaten!AH765="Ja",1,0),"")</f>
        <v/>
      </c>
      <c r="AA760" s="1" t="str">
        <f>IF(AND(Programme_Grunddaten!$A765="Geprüft",Programme_Grunddaten!AI765&lt;&gt;""),IF(Programme_Grunddaten!AI765="Ja",1,0),"")</f>
        <v/>
      </c>
      <c r="AB760" s="1" t="str">
        <f>IF(AND(Programme_Grunddaten!$A765="Geprüft",Programme_Grunddaten!AJ765&lt;&gt;""),IF(Programme_Grunddaten!AJ765="individuell programmierbar",1,0),"")</f>
        <v/>
      </c>
      <c r="AC760" s="1" t="str">
        <f>IF(AND(Programme_Grunddaten!$A765="Geprüft",Programme_Grunddaten!AK765&lt;&gt;""),IF(Programme_Grunddaten!AK765="Deutsch",0,IF(Programme_Grunddaten!AK765="Deutsch und Englisch",1,2)),"")</f>
        <v/>
      </c>
      <c r="AD760" s="1" t="str">
        <f>IF(AND(Programme_Grunddaten!$A765="Geprüft",Programme_Grunddaten!AL765&lt;&gt;""),IF(Programme_Grunddaten!AL765="Ja",1,0),"")</f>
        <v/>
      </c>
      <c r="AE760" s="1" t="str">
        <f>IF(AND(Programme_Grunddaten!$A765="Geprüft",Programme_Grunddaten!AM765&lt;&gt;""),IF(Programme_Grunddaten!AM765="Ja",1,0),"")</f>
        <v/>
      </c>
      <c r="AF760" s="1" t="str">
        <f>IF(AND(Programme_Grunddaten!$A765="Geprüft",Programme_Grunddaten!AN765&lt;&gt;""),IF(Programme_Grunddaten!AN765="Ja",1,0),"")</f>
        <v/>
      </c>
      <c r="AG760" s="1" t="str">
        <f>IF(AND(Programme_Grunddaten!$A765="Geprüft",Programme_Grunddaten!AO765&lt;&gt;""),IF(Programme_Grunddaten!AO765="Ja",1,0),"")</f>
        <v/>
      </c>
      <c r="AH760" s="1" t="str">
        <f>IF(AND(Programme_Grunddaten!$A765="Geprüft",Programme_Grunddaten!AP765&lt;&gt;""),IF(Programme_Grunddaten!AP765="Ja",1,0),"")</f>
        <v/>
      </c>
      <c r="AI760" s="1" t="str">
        <f>IF(AND(Programme_Grunddaten!$A765="Geprüft",Programme_Grunddaten!AQ765&lt;&gt;""),IF(Programme_Grunddaten!AQ765="Ja",1,0),"")</f>
        <v/>
      </c>
      <c r="AJ760" s="1" t="str">
        <f>IF(AND(Programme_Grunddaten!$A765="Geprüft",Programme_Grunddaten!AR765&lt;&gt;""),IF(Programme_Grunddaten!AR765="Ja",1,0),"")</f>
        <v/>
      </c>
      <c r="AK760" s="1" t="str">
        <f>IF(AND(Programme_Grunddaten!$A765="Geprüft",Programme_Grunddaten!AS765&lt;&gt;""),IF(Programme_Grunddaten!AS765="Ja",1,0),"")</f>
        <v/>
      </c>
      <c r="AL760" s="1" t="str">
        <f>IF(AND(Programme_Grunddaten!$A765="Geprüft",Programme_Grunddaten!AT765&lt;&gt;""),IF(Programme_Grunddaten!AT765="Ja",1,0),"")</f>
        <v/>
      </c>
      <c r="AM760" s="1" t="str">
        <f>IF(AND(Programme_Grunddaten!$A765="Geprüft",Programme_Grunddaten!AU765&lt;&gt;""),IF(Programme_Grunddaten!AU765="Ja",1,0),"")</f>
        <v/>
      </c>
      <c r="AN760" s="1" t="str">
        <f>IF(AND(Programme_Grunddaten!$A765="Geprüft",Programme_Grunddaten!AV765&lt;&gt;""),IF(Programme_Grunddaten!AV765="Ja",1,0),"")</f>
        <v/>
      </c>
    </row>
    <row r="761" spans="1:40" x14ac:dyDescent="0.3">
      <c r="A761" s="1" t="str">
        <f>IF(AND(Programme_Grunddaten!A766="Geprüft",Programme_Grunddaten!B766&lt;&gt;""),Programme_Grunddaten!B766,"")</f>
        <v/>
      </c>
      <c r="B761" s="1" t="str">
        <f>IF(AND(Programme_Grunddaten!$A766="Geprüft",Programme_Grunddaten!I766&lt;&gt;""),IF(Programme_Grunddaten!I766="Ja",1,0),"")</f>
        <v/>
      </c>
      <c r="C761" s="1" t="str">
        <f>IF(AND(Programme_Grunddaten!$A766="Geprüft",Programme_Grunddaten!J766&lt;&gt;""),IF(Programme_Grunddaten!J766="Ja",1,0),"")</f>
        <v/>
      </c>
      <c r="D761" s="1" t="str">
        <f>IF(AND(Programme_Grunddaten!$A766="Geprüft",Programme_Grunddaten!K766&lt;&gt;""),IF(Programme_Grunddaten!K766="Ja",1,0),"")</f>
        <v/>
      </c>
      <c r="E761" s="1" t="str">
        <f>IF(AND(Programme_Grunddaten!$A766="Geprüft",Programme_Grunddaten!L766&lt;&gt;""),IF(Programme_Grunddaten!L766="Abo / befristete Lizenz",1,0),"")</f>
        <v/>
      </c>
      <c r="F761" s="1" t="str">
        <f>IF(AND(Programme_Grunddaten!$A766="Geprüft",Programme_Grunddaten!M766&lt;&gt;""),IF(Programme_Grunddaten!M766="Ja",1,0),"")</f>
        <v/>
      </c>
      <c r="G761" s="1" t="str">
        <f>IF(AND(Programme_Grunddaten!$A766="Geprüft",Programme_Grunddaten!N766&lt;&gt;""),IF(Programme_Grunddaten!N766="Ja",1,0),"")</f>
        <v/>
      </c>
      <c r="H761" s="1" t="str">
        <f>IF(AND(Programme_Grunddaten!$A766="Geprüft",Programme_Grunddaten!O766&lt;&gt;""),IF(Programme_Grunddaten!O766="Deutschland",0,IF(Programme_Grunddaten!O766="EU",1,2)),"")</f>
        <v/>
      </c>
      <c r="I761" s="1" t="str">
        <f>IF(AND(Programme_Grunddaten!$A766="Geprüft",Programme_Grunddaten!P766&lt;&gt;""),IF(Programme_Grunddaten!P766="Ja",1,0),"")</f>
        <v/>
      </c>
      <c r="J761" s="1" t="str">
        <f>IF(AND(Programme_Grunddaten!$A766="Geprüft",Programme_Grunddaten!Q766&lt;&gt;""),IF(Programme_Grunddaten!Q766="geschlossenes System",1,0),"")</f>
        <v/>
      </c>
      <c r="K761" s="1" t="str">
        <f>IF(AND(Programme_Grunddaten!$A766="Geprüft",Programme_Grunddaten!R766&lt;&gt;""),IF(Programme_Grunddaten!R766="Ja",1,0),"")</f>
        <v/>
      </c>
      <c r="L761" s="1" t="str">
        <f>IF(AND(Programme_Grunddaten!$A766="Geprüft",Programme_Grunddaten!T766&lt;&gt;""),IF(Programme_Grunddaten!T766="Ja",1,0),"")</f>
        <v/>
      </c>
      <c r="M761" s="1" t="str">
        <f>IF(AND(Programme_Grunddaten!$A766="Geprüft",Programme_Grunddaten!U766&lt;&gt;""),IF(Programme_Grunddaten!U766="Ja",1,0),"")</f>
        <v/>
      </c>
      <c r="N761" s="1" t="str">
        <f>IF(AND(Programme_Grunddaten!$A766="Geprüft",Programme_Grunddaten!V766&lt;&gt;""),IF(Programme_Grunddaten!V766="Ja",1,0),"")</f>
        <v/>
      </c>
      <c r="O761" s="1" t="str">
        <f>IF(AND(Programme_Grunddaten!$A766="Geprüft",Programme_Grunddaten!W766&lt;&gt;""),IF(Programme_Grunddaten!W766="Ja",1,0),"")</f>
        <v/>
      </c>
      <c r="P761" s="1" t="str">
        <f>IF(AND(Programme_Grunddaten!$A766="Geprüft",Programme_Grunddaten!X766&lt;&gt;""),IF(Programme_Grunddaten!X766="Ja",1,0),"")</f>
        <v/>
      </c>
      <c r="Q761" s="1" t="str">
        <f>IF(AND(Programme_Grunddaten!$A766="Geprüft",Programme_Grunddaten!Y766&lt;&gt;""),IF(Programme_Grunddaten!Y766="Ja",1,0),"")</f>
        <v/>
      </c>
      <c r="R761" s="1" t="str">
        <f>IF(AND(Programme_Grunddaten!$A766="Geprüft",Programme_Grunddaten!Z766&lt;&gt;""),IF(Programme_Grunddaten!Z766="Ja",1,0),"")</f>
        <v/>
      </c>
      <c r="S761" s="1" t="str">
        <f>IF(AND(Programme_Grunddaten!$A766="Geprüft",Programme_Grunddaten!AA766&lt;&gt;""),IF(Programme_Grunddaten!AA766="monolithisch",1,0),"")</f>
        <v/>
      </c>
      <c r="T761" s="1" t="str">
        <f>IF(AND(Programme_Grunddaten!$A766="Geprüft",Programme_Grunddaten!AB766&lt;&gt;""),IF(Programme_Grunddaten!AB766="Ja",1,0),"")</f>
        <v/>
      </c>
      <c r="U761" s="1" t="str">
        <f>IF(AND(Programme_Grunddaten!$A766="Geprüft",Programme_Grunddaten!AC766&lt;&gt;""),IF(Programme_Grunddaten!AC766="Ja",1,0),"")</f>
        <v/>
      </c>
      <c r="V761" s="1" t="str">
        <f>IF(AND(Programme_Grunddaten!$A766="Geprüft",Programme_Grunddaten!AD766&lt;&gt;""),IF(Programme_Grunddaten!AD766="Ja",1,0),"")</f>
        <v/>
      </c>
      <c r="W761" s="1" t="str">
        <f>IF(AND(Programme_Grunddaten!$A766="Geprüft",Programme_Grunddaten!AE766&lt;&gt;""),IF(Programme_Grunddaten!AE766="Ja",1,0),"")</f>
        <v/>
      </c>
      <c r="X761" s="1" t="str">
        <f>IF(AND(Programme_Grunddaten!$A766="Geprüft",Programme_Grunddaten!AF766&lt;&gt;""),IF(Programme_Grunddaten!AF766="Ja",1,0),"")</f>
        <v/>
      </c>
      <c r="Y761" s="1" t="str">
        <f>IF(AND(Programme_Grunddaten!$A766="Geprüft",Programme_Grunddaten!AG766&lt;&gt;""),IF(Programme_Grunddaten!AG766="Ja",1,0),"")</f>
        <v/>
      </c>
      <c r="Z761" s="1" t="str">
        <f>IF(AND(Programme_Grunddaten!$A766="Geprüft",Programme_Grunddaten!AH766&lt;&gt;""),IF(Programme_Grunddaten!AH766="Ja",1,0),"")</f>
        <v/>
      </c>
      <c r="AA761" s="1" t="str">
        <f>IF(AND(Programme_Grunddaten!$A766="Geprüft",Programme_Grunddaten!AI766&lt;&gt;""),IF(Programme_Grunddaten!AI766="Ja",1,0),"")</f>
        <v/>
      </c>
      <c r="AB761" s="1" t="str">
        <f>IF(AND(Programme_Grunddaten!$A766="Geprüft",Programme_Grunddaten!AJ766&lt;&gt;""),IF(Programme_Grunddaten!AJ766="individuell programmierbar",1,0),"")</f>
        <v/>
      </c>
      <c r="AC761" s="1" t="str">
        <f>IF(AND(Programme_Grunddaten!$A766="Geprüft",Programme_Grunddaten!AK766&lt;&gt;""),IF(Programme_Grunddaten!AK766="Deutsch",0,IF(Programme_Grunddaten!AK766="Deutsch und Englisch",1,2)),"")</f>
        <v/>
      </c>
      <c r="AD761" s="1" t="str">
        <f>IF(AND(Programme_Grunddaten!$A766="Geprüft",Programme_Grunddaten!AL766&lt;&gt;""),IF(Programme_Grunddaten!AL766="Ja",1,0),"")</f>
        <v/>
      </c>
      <c r="AE761" s="1" t="str">
        <f>IF(AND(Programme_Grunddaten!$A766="Geprüft",Programme_Grunddaten!AM766&lt;&gt;""),IF(Programme_Grunddaten!AM766="Ja",1,0),"")</f>
        <v/>
      </c>
      <c r="AF761" s="1" t="str">
        <f>IF(AND(Programme_Grunddaten!$A766="Geprüft",Programme_Grunddaten!AN766&lt;&gt;""),IF(Programme_Grunddaten!AN766="Ja",1,0),"")</f>
        <v/>
      </c>
      <c r="AG761" s="1" t="str">
        <f>IF(AND(Programme_Grunddaten!$A766="Geprüft",Programme_Grunddaten!AO766&lt;&gt;""),IF(Programme_Grunddaten!AO766="Ja",1,0),"")</f>
        <v/>
      </c>
      <c r="AH761" s="1" t="str">
        <f>IF(AND(Programme_Grunddaten!$A766="Geprüft",Programme_Grunddaten!AP766&lt;&gt;""),IF(Programme_Grunddaten!AP766="Ja",1,0),"")</f>
        <v/>
      </c>
      <c r="AI761" s="1" t="str">
        <f>IF(AND(Programme_Grunddaten!$A766="Geprüft",Programme_Grunddaten!AQ766&lt;&gt;""),IF(Programme_Grunddaten!AQ766="Ja",1,0),"")</f>
        <v/>
      </c>
      <c r="AJ761" s="1" t="str">
        <f>IF(AND(Programme_Grunddaten!$A766="Geprüft",Programme_Grunddaten!AR766&lt;&gt;""),IF(Programme_Grunddaten!AR766="Ja",1,0),"")</f>
        <v/>
      </c>
      <c r="AK761" s="1" t="str">
        <f>IF(AND(Programme_Grunddaten!$A766="Geprüft",Programme_Grunddaten!AS766&lt;&gt;""),IF(Programme_Grunddaten!AS766="Ja",1,0),"")</f>
        <v/>
      </c>
      <c r="AL761" s="1" t="str">
        <f>IF(AND(Programme_Grunddaten!$A766="Geprüft",Programme_Grunddaten!AT766&lt;&gt;""),IF(Programme_Grunddaten!AT766="Ja",1,0),"")</f>
        <v/>
      </c>
      <c r="AM761" s="1" t="str">
        <f>IF(AND(Programme_Grunddaten!$A766="Geprüft",Programme_Grunddaten!AU766&lt;&gt;""),IF(Programme_Grunddaten!AU766="Ja",1,0),"")</f>
        <v/>
      </c>
      <c r="AN761" s="1" t="str">
        <f>IF(AND(Programme_Grunddaten!$A766="Geprüft",Programme_Grunddaten!AV766&lt;&gt;""),IF(Programme_Grunddaten!AV766="Ja",1,0),"")</f>
        <v/>
      </c>
    </row>
    <row r="762" spans="1:40" x14ac:dyDescent="0.3">
      <c r="A762" s="1" t="str">
        <f>IF(AND(Programme_Grunddaten!A767="Geprüft",Programme_Grunddaten!B767&lt;&gt;""),Programme_Grunddaten!B767,"")</f>
        <v/>
      </c>
      <c r="B762" s="1" t="str">
        <f>IF(AND(Programme_Grunddaten!$A767="Geprüft",Programme_Grunddaten!I767&lt;&gt;""),IF(Programme_Grunddaten!I767="Ja",1,0),"")</f>
        <v/>
      </c>
      <c r="C762" s="1" t="str">
        <f>IF(AND(Programme_Grunddaten!$A767="Geprüft",Programme_Grunddaten!J767&lt;&gt;""),IF(Programme_Grunddaten!J767="Ja",1,0),"")</f>
        <v/>
      </c>
      <c r="D762" s="1" t="str">
        <f>IF(AND(Programme_Grunddaten!$A767="Geprüft",Programme_Grunddaten!K767&lt;&gt;""),IF(Programme_Grunddaten!K767="Ja",1,0),"")</f>
        <v/>
      </c>
      <c r="E762" s="1" t="str">
        <f>IF(AND(Programme_Grunddaten!$A767="Geprüft",Programme_Grunddaten!L767&lt;&gt;""),IF(Programme_Grunddaten!L767="Abo / befristete Lizenz",1,0),"")</f>
        <v/>
      </c>
      <c r="F762" s="1" t="str">
        <f>IF(AND(Programme_Grunddaten!$A767="Geprüft",Programme_Grunddaten!M767&lt;&gt;""),IF(Programme_Grunddaten!M767="Ja",1,0),"")</f>
        <v/>
      </c>
      <c r="G762" s="1" t="str">
        <f>IF(AND(Programme_Grunddaten!$A767="Geprüft",Programme_Grunddaten!N767&lt;&gt;""),IF(Programme_Grunddaten!N767="Ja",1,0),"")</f>
        <v/>
      </c>
      <c r="H762" s="1" t="str">
        <f>IF(AND(Programme_Grunddaten!$A767="Geprüft",Programme_Grunddaten!O767&lt;&gt;""),IF(Programme_Grunddaten!O767="Deutschland",0,IF(Programme_Grunddaten!O767="EU",1,2)),"")</f>
        <v/>
      </c>
      <c r="I762" s="1" t="str">
        <f>IF(AND(Programme_Grunddaten!$A767="Geprüft",Programme_Grunddaten!P767&lt;&gt;""),IF(Programme_Grunddaten!P767="Ja",1,0),"")</f>
        <v/>
      </c>
      <c r="J762" s="1" t="str">
        <f>IF(AND(Programme_Grunddaten!$A767="Geprüft",Programme_Grunddaten!Q767&lt;&gt;""),IF(Programme_Grunddaten!Q767="geschlossenes System",1,0),"")</f>
        <v/>
      </c>
      <c r="K762" s="1" t="str">
        <f>IF(AND(Programme_Grunddaten!$A767="Geprüft",Programme_Grunddaten!R767&lt;&gt;""),IF(Programme_Grunddaten!R767="Ja",1,0),"")</f>
        <v/>
      </c>
      <c r="L762" s="1" t="str">
        <f>IF(AND(Programme_Grunddaten!$A767="Geprüft",Programme_Grunddaten!T767&lt;&gt;""),IF(Programme_Grunddaten!T767="Ja",1,0),"")</f>
        <v/>
      </c>
      <c r="M762" s="1" t="str">
        <f>IF(AND(Programme_Grunddaten!$A767="Geprüft",Programme_Grunddaten!U767&lt;&gt;""),IF(Programme_Grunddaten!U767="Ja",1,0),"")</f>
        <v/>
      </c>
      <c r="N762" s="1" t="str">
        <f>IF(AND(Programme_Grunddaten!$A767="Geprüft",Programme_Grunddaten!V767&lt;&gt;""),IF(Programme_Grunddaten!V767="Ja",1,0),"")</f>
        <v/>
      </c>
      <c r="O762" s="1" t="str">
        <f>IF(AND(Programme_Grunddaten!$A767="Geprüft",Programme_Grunddaten!W767&lt;&gt;""),IF(Programme_Grunddaten!W767="Ja",1,0),"")</f>
        <v/>
      </c>
      <c r="P762" s="1" t="str">
        <f>IF(AND(Programme_Grunddaten!$A767="Geprüft",Programme_Grunddaten!X767&lt;&gt;""),IF(Programme_Grunddaten!X767="Ja",1,0),"")</f>
        <v/>
      </c>
      <c r="Q762" s="1" t="str">
        <f>IF(AND(Programme_Grunddaten!$A767="Geprüft",Programme_Grunddaten!Y767&lt;&gt;""),IF(Programme_Grunddaten!Y767="Ja",1,0),"")</f>
        <v/>
      </c>
      <c r="R762" s="1" t="str">
        <f>IF(AND(Programme_Grunddaten!$A767="Geprüft",Programme_Grunddaten!Z767&lt;&gt;""),IF(Programme_Grunddaten!Z767="Ja",1,0),"")</f>
        <v/>
      </c>
      <c r="S762" s="1" t="str">
        <f>IF(AND(Programme_Grunddaten!$A767="Geprüft",Programme_Grunddaten!AA767&lt;&gt;""),IF(Programme_Grunddaten!AA767="monolithisch",1,0),"")</f>
        <v/>
      </c>
      <c r="T762" s="1" t="str">
        <f>IF(AND(Programme_Grunddaten!$A767="Geprüft",Programme_Grunddaten!AB767&lt;&gt;""),IF(Programme_Grunddaten!AB767="Ja",1,0),"")</f>
        <v/>
      </c>
      <c r="U762" s="1" t="str">
        <f>IF(AND(Programme_Grunddaten!$A767="Geprüft",Programme_Grunddaten!AC767&lt;&gt;""),IF(Programme_Grunddaten!AC767="Ja",1,0),"")</f>
        <v/>
      </c>
      <c r="V762" s="1" t="str">
        <f>IF(AND(Programme_Grunddaten!$A767="Geprüft",Programme_Grunddaten!AD767&lt;&gt;""),IF(Programme_Grunddaten!AD767="Ja",1,0),"")</f>
        <v/>
      </c>
      <c r="W762" s="1" t="str">
        <f>IF(AND(Programme_Grunddaten!$A767="Geprüft",Programme_Grunddaten!AE767&lt;&gt;""),IF(Programme_Grunddaten!AE767="Ja",1,0),"")</f>
        <v/>
      </c>
      <c r="X762" s="1" t="str">
        <f>IF(AND(Programme_Grunddaten!$A767="Geprüft",Programme_Grunddaten!AF767&lt;&gt;""),IF(Programme_Grunddaten!AF767="Ja",1,0),"")</f>
        <v/>
      </c>
      <c r="Y762" s="1" t="str">
        <f>IF(AND(Programme_Grunddaten!$A767="Geprüft",Programme_Grunddaten!AG767&lt;&gt;""),IF(Programme_Grunddaten!AG767="Ja",1,0),"")</f>
        <v/>
      </c>
      <c r="Z762" s="1" t="str">
        <f>IF(AND(Programme_Grunddaten!$A767="Geprüft",Programme_Grunddaten!AH767&lt;&gt;""),IF(Programme_Grunddaten!AH767="Ja",1,0),"")</f>
        <v/>
      </c>
      <c r="AA762" s="1" t="str">
        <f>IF(AND(Programme_Grunddaten!$A767="Geprüft",Programme_Grunddaten!AI767&lt;&gt;""),IF(Programme_Grunddaten!AI767="Ja",1,0),"")</f>
        <v/>
      </c>
      <c r="AB762" s="1" t="str">
        <f>IF(AND(Programme_Grunddaten!$A767="Geprüft",Programme_Grunddaten!AJ767&lt;&gt;""),IF(Programme_Grunddaten!AJ767="individuell programmierbar",1,0),"")</f>
        <v/>
      </c>
      <c r="AC762" s="1" t="str">
        <f>IF(AND(Programme_Grunddaten!$A767="Geprüft",Programme_Grunddaten!AK767&lt;&gt;""),IF(Programme_Grunddaten!AK767="Deutsch",0,IF(Programme_Grunddaten!AK767="Deutsch und Englisch",1,2)),"")</f>
        <v/>
      </c>
      <c r="AD762" s="1" t="str">
        <f>IF(AND(Programme_Grunddaten!$A767="Geprüft",Programme_Grunddaten!AL767&lt;&gt;""),IF(Programme_Grunddaten!AL767="Ja",1,0),"")</f>
        <v/>
      </c>
      <c r="AE762" s="1" t="str">
        <f>IF(AND(Programme_Grunddaten!$A767="Geprüft",Programme_Grunddaten!AM767&lt;&gt;""),IF(Programme_Grunddaten!AM767="Ja",1,0),"")</f>
        <v/>
      </c>
      <c r="AF762" s="1" t="str">
        <f>IF(AND(Programme_Grunddaten!$A767="Geprüft",Programme_Grunddaten!AN767&lt;&gt;""),IF(Programme_Grunddaten!AN767="Ja",1,0),"")</f>
        <v/>
      </c>
      <c r="AG762" s="1" t="str">
        <f>IF(AND(Programme_Grunddaten!$A767="Geprüft",Programme_Grunddaten!AO767&lt;&gt;""),IF(Programme_Grunddaten!AO767="Ja",1,0),"")</f>
        <v/>
      </c>
      <c r="AH762" s="1" t="str">
        <f>IF(AND(Programme_Grunddaten!$A767="Geprüft",Programme_Grunddaten!AP767&lt;&gt;""),IF(Programme_Grunddaten!AP767="Ja",1,0),"")</f>
        <v/>
      </c>
      <c r="AI762" s="1" t="str">
        <f>IF(AND(Programme_Grunddaten!$A767="Geprüft",Programme_Grunddaten!AQ767&lt;&gt;""),IF(Programme_Grunddaten!AQ767="Ja",1,0),"")</f>
        <v/>
      </c>
      <c r="AJ762" s="1" t="str">
        <f>IF(AND(Programme_Grunddaten!$A767="Geprüft",Programme_Grunddaten!AR767&lt;&gt;""),IF(Programme_Grunddaten!AR767="Ja",1,0),"")</f>
        <v/>
      </c>
      <c r="AK762" s="1" t="str">
        <f>IF(AND(Programme_Grunddaten!$A767="Geprüft",Programme_Grunddaten!AS767&lt;&gt;""),IF(Programme_Grunddaten!AS767="Ja",1,0),"")</f>
        <v/>
      </c>
      <c r="AL762" s="1" t="str">
        <f>IF(AND(Programme_Grunddaten!$A767="Geprüft",Programme_Grunddaten!AT767&lt;&gt;""),IF(Programme_Grunddaten!AT767="Ja",1,0),"")</f>
        <v/>
      </c>
      <c r="AM762" s="1" t="str">
        <f>IF(AND(Programme_Grunddaten!$A767="Geprüft",Programme_Grunddaten!AU767&lt;&gt;""),IF(Programme_Grunddaten!AU767="Ja",1,0),"")</f>
        <v/>
      </c>
      <c r="AN762" s="1" t="str">
        <f>IF(AND(Programme_Grunddaten!$A767="Geprüft",Programme_Grunddaten!AV767&lt;&gt;""),IF(Programme_Grunddaten!AV767="Ja",1,0),"")</f>
        <v/>
      </c>
    </row>
    <row r="763" spans="1:40" x14ac:dyDescent="0.3">
      <c r="A763" s="1" t="str">
        <f>IF(AND(Programme_Grunddaten!A768="Geprüft",Programme_Grunddaten!B768&lt;&gt;""),Programme_Grunddaten!B768,"")</f>
        <v/>
      </c>
      <c r="B763" s="1" t="str">
        <f>IF(AND(Programme_Grunddaten!$A768="Geprüft",Programme_Grunddaten!I768&lt;&gt;""),IF(Programme_Grunddaten!I768="Ja",1,0),"")</f>
        <v/>
      </c>
      <c r="C763" s="1" t="str">
        <f>IF(AND(Programme_Grunddaten!$A768="Geprüft",Programme_Grunddaten!J768&lt;&gt;""),IF(Programme_Grunddaten!J768="Ja",1,0),"")</f>
        <v/>
      </c>
      <c r="D763" s="1" t="str">
        <f>IF(AND(Programme_Grunddaten!$A768="Geprüft",Programme_Grunddaten!K768&lt;&gt;""),IF(Programme_Grunddaten!K768="Ja",1,0),"")</f>
        <v/>
      </c>
      <c r="E763" s="1" t="str">
        <f>IF(AND(Programme_Grunddaten!$A768="Geprüft",Programme_Grunddaten!L768&lt;&gt;""),IF(Programme_Grunddaten!L768="Abo / befristete Lizenz",1,0),"")</f>
        <v/>
      </c>
      <c r="F763" s="1" t="str">
        <f>IF(AND(Programme_Grunddaten!$A768="Geprüft",Programme_Grunddaten!M768&lt;&gt;""),IF(Programme_Grunddaten!M768="Ja",1,0),"")</f>
        <v/>
      </c>
      <c r="G763" s="1" t="str">
        <f>IF(AND(Programme_Grunddaten!$A768="Geprüft",Programme_Grunddaten!N768&lt;&gt;""),IF(Programme_Grunddaten!N768="Ja",1,0),"")</f>
        <v/>
      </c>
      <c r="H763" s="1" t="str">
        <f>IF(AND(Programme_Grunddaten!$A768="Geprüft",Programme_Grunddaten!O768&lt;&gt;""),IF(Programme_Grunddaten!O768="Deutschland",0,IF(Programme_Grunddaten!O768="EU",1,2)),"")</f>
        <v/>
      </c>
      <c r="I763" s="1" t="str">
        <f>IF(AND(Programme_Grunddaten!$A768="Geprüft",Programme_Grunddaten!P768&lt;&gt;""),IF(Programme_Grunddaten!P768="Ja",1,0),"")</f>
        <v/>
      </c>
      <c r="J763" s="1" t="str">
        <f>IF(AND(Programme_Grunddaten!$A768="Geprüft",Programme_Grunddaten!Q768&lt;&gt;""),IF(Programme_Grunddaten!Q768="geschlossenes System",1,0),"")</f>
        <v/>
      </c>
      <c r="K763" s="1" t="str">
        <f>IF(AND(Programme_Grunddaten!$A768="Geprüft",Programme_Grunddaten!R768&lt;&gt;""),IF(Programme_Grunddaten!R768="Ja",1,0),"")</f>
        <v/>
      </c>
      <c r="L763" s="1" t="str">
        <f>IF(AND(Programme_Grunddaten!$A768="Geprüft",Programme_Grunddaten!T768&lt;&gt;""),IF(Programme_Grunddaten!T768="Ja",1,0),"")</f>
        <v/>
      </c>
      <c r="M763" s="1" t="str">
        <f>IF(AND(Programme_Grunddaten!$A768="Geprüft",Programme_Grunddaten!U768&lt;&gt;""),IF(Programme_Grunddaten!U768="Ja",1,0),"")</f>
        <v/>
      </c>
      <c r="N763" s="1" t="str">
        <f>IF(AND(Programme_Grunddaten!$A768="Geprüft",Programme_Grunddaten!V768&lt;&gt;""),IF(Programme_Grunddaten!V768="Ja",1,0),"")</f>
        <v/>
      </c>
      <c r="O763" s="1" t="str">
        <f>IF(AND(Programme_Grunddaten!$A768="Geprüft",Programme_Grunddaten!W768&lt;&gt;""),IF(Programme_Grunddaten!W768="Ja",1,0),"")</f>
        <v/>
      </c>
      <c r="P763" s="1" t="str">
        <f>IF(AND(Programme_Grunddaten!$A768="Geprüft",Programme_Grunddaten!X768&lt;&gt;""),IF(Programme_Grunddaten!X768="Ja",1,0),"")</f>
        <v/>
      </c>
      <c r="Q763" s="1" t="str">
        <f>IF(AND(Programme_Grunddaten!$A768="Geprüft",Programme_Grunddaten!Y768&lt;&gt;""),IF(Programme_Grunddaten!Y768="Ja",1,0),"")</f>
        <v/>
      </c>
      <c r="R763" s="1" t="str">
        <f>IF(AND(Programme_Grunddaten!$A768="Geprüft",Programme_Grunddaten!Z768&lt;&gt;""),IF(Programme_Grunddaten!Z768="Ja",1,0),"")</f>
        <v/>
      </c>
      <c r="S763" s="1" t="str">
        <f>IF(AND(Programme_Grunddaten!$A768="Geprüft",Programme_Grunddaten!AA768&lt;&gt;""),IF(Programme_Grunddaten!AA768="monolithisch",1,0),"")</f>
        <v/>
      </c>
      <c r="T763" s="1" t="str">
        <f>IF(AND(Programme_Grunddaten!$A768="Geprüft",Programme_Grunddaten!AB768&lt;&gt;""),IF(Programme_Grunddaten!AB768="Ja",1,0),"")</f>
        <v/>
      </c>
      <c r="U763" s="1" t="str">
        <f>IF(AND(Programme_Grunddaten!$A768="Geprüft",Programme_Grunddaten!AC768&lt;&gt;""),IF(Programme_Grunddaten!AC768="Ja",1,0),"")</f>
        <v/>
      </c>
      <c r="V763" s="1" t="str">
        <f>IF(AND(Programme_Grunddaten!$A768="Geprüft",Programme_Grunddaten!AD768&lt;&gt;""),IF(Programme_Grunddaten!AD768="Ja",1,0),"")</f>
        <v/>
      </c>
      <c r="W763" s="1" t="str">
        <f>IF(AND(Programme_Grunddaten!$A768="Geprüft",Programme_Grunddaten!AE768&lt;&gt;""),IF(Programme_Grunddaten!AE768="Ja",1,0),"")</f>
        <v/>
      </c>
      <c r="X763" s="1" t="str">
        <f>IF(AND(Programme_Grunddaten!$A768="Geprüft",Programme_Grunddaten!AF768&lt;&gt;""),IF(Programme_Grunddaten!AF768="Ja",1,0),"")</f>
        <v/>
      </c>
      <c r="Y763" s="1" t="str">
        <f>IF(AND(Programme_Grunddaten!$A768="Geprüft",Programme_Grunddaten!AG768&lt;&gt;""),IF(Programme_Grunddaten!AG768="Ja",1,0),"")</f>
        <v/>
      </c>
      <c r="Z763" s="1" t="str">
        <f>IF(AND(Programme_Grunddaten!$A768="Geprüft",Programme_Grunddaten!AH768&lt;&gt;""),IF(Programme_Grunddaten!AH768="Ja",1,0),"")</f>
        <v/>
      </c>
      <c r="AA763" s="1" t="str">
        <f>IF(AND(Programme_Grunddaten!$A768="Geprüft",Programme_Grunddaten!AI768&lt;&gt;""),IF(Programme_Grunddaten!AI768="Ja",1,0),"")</f>
        <v/>
      </c>
      <c r="AB763" s="1" t="str">
        <f>IF(AND(Programme_Grunddaten!$A768="Geprüft",Programme_Grunddaten!AJ768&lt;&gt;""),IF(Programme_Grunddaten!AJ768="individuell programmierbar",1,0),"")</f>
        <v/>
      </c>
      <c r="AC763" s="1" t="str">
        <f>IF(AND(Programme_Grunddaten!$A768="Geprüft",Programme_Grunddaten!AK768&lt;&gt;""),IF(Programme_Grunddaten!AK768="Deutsch",0,IF(Programme_Grunddaten!AK768="Deutsch und Englisch",1,2)),"")</f>
        <v/>
      </c>
      <c r="AD763" s="1" t="str">
        <f>IF(AND(Programme_Grunddaten!$A768="Geprüft",Programme_Grunddaten!AL768&lt;&gt;""),IF(Programme_Grunddaten!AL768="Ja",1,0),"")</f>
        <v/>
      </c>
      <c r="AE763" s="1" t="str">
        <f>IF(AND(Programme_Grunddaten!$A768="Geprüft",Programme_Grunddaten!AM768&lt;&gt;""),IF(Programme_Grunddaten!AM768="Ja",1,0),"")</f>
        <v/>
      </c>
      <c r="AF763" s="1" t="str">
        <f>IF(AND(Programme_Grunddaten!$A768="Geprüft",Programme_Grunddaten!AN768&lt;&gt;""),IF(Programme_Grunddaten!AN768="Ja",1,0),"")</f>
        <v/>
      </c>
      <c r="AG763" s="1" t="str">
        <f>IF(AND(Programme_Grunddaten!$A768="Geprüft",Programme_Grunddaten!AO768&lt;&gt;""),IF(Programme_Grunddaten!AO768="Ja",1,0),"")</f>
        <v/>
      </c>
      <c r="AH763" s="1" t="str">
        <f>IF(AND(Programme_Grunddaten!$A768="Geprüft",Programme_Grunddaten!AP768&lt;&gt;""),IF(Programme_Grunddaten!AP768="Ja",1,0),"")</f>
        <v/>
      </c>
      <c r="AI763" s="1" t="str">
        <f>IF(AND(Programme_Grunddaten!$A768="Geprüft",Programme_Grunddaten!AQ768&lt;&gt;""),IF(Programme_Grunddaten!AQ768="Ja",1,0),"")</f>
        <v/>
      </c>
      <c r="AJ763" s="1" t="str">
        <f>IF(AND(Programme_Grunddaten!$A768="Geprüft",Programme_Grunddaten!AR768&lt;&gt;""),IF(Programme_Grunddaten!AR768="Ja",1,0),"")</f>
        <v/>
      </c>
      <c r="AK763" s="1" t="str">
        <f>IF(AND(Programme_Grunddaten!$A768="Geprüft",Programme_Grunddaten!AS768&lt;&gt;""),IF(Programme_Grunddaten!AS768="Ja",1,0),"")</f>
        <v/>
      </c>
      <c r="AL763" s="1" t="str">
        <f>IF(AND(Programme_Grunddaten!$A768="Geprüft",Programme_Grunddaten!AT768&lt;&gt;""),IF(Programme_Grunddaten!AT768="Ja",1,0),"")</f>
        <v/>
      </c>
      <c r="AM763" s="1" t="str">
        <f>IF(AND(Programme_Grunddaten!$A768="Geprüft",Programme_Grunddaten!AU768&lt;&gt;""),IF(Programme_Grunddaten!AU768="Ja",1,0),"")</f>
        <v/>
      </c>
      <c r="AN763" s="1" t="str">
        <f>IF(AND(Programme_Grunddaten!$A768="Geprüft",Programme_Grunddaten!AV768&lt;&gt;""),IF(Programme_Grunddaten!AV768="Ja",1,0),"")</f>
        <v/>
      </c>
    </row>
    <row r="764" spans="1:40" x14ac:dyDescent="0.3">
      <c r="A764" s="1" t="str">
        <f>IF(AND(Programme_Grunddaten!A769="Geprüft",Programme_Grunddaten!B769&lt;&gt;""),Programme_Grunddaten!B769,"")</f>
        <v/>
      </c>
      <c r="B764" s="1" t="str">
        <f>IF(AND(Programme_Grunddaten!$A769="Geprüft",Programme_Grunddaten!I769&lt;&gt;""),IF(Programme_Grunddaten!I769="Ja",1,0),"")</f>
        <v/>
      </c>
      <c r="C764" s="1" t="str">
        <f>IF(AND(Programme_Grunddaten!$A769="Geprüft",Programme_Grunddaten!J769&lt;&gt;""),IF(Programme_Grunddaten!J769="Ja",1,0),"")</f>
        <v/>
      </c>
      <c r="D764" s="1" t="str">
        <f>IF(AND(Programme_Grunddaten!$A769="Geprüft",Programme_Grunddaten!K769&lt;&gt;""),IF(Programme_Grunddaten!K769="Ja",1,0),"")</f>
        <v/>
      </c>
      <c r="E764" s="1" t="str">
        <f>IF(AND(Programme_Grunddaten!$A769="Geprüft",Programme_Grunddaten!L769&lt;&gt;""),IF(Programme_Grunddaten!L769="Abo / befristete Lizenz",1,0),"")</f>
        <v/>
      </c>
      <c r="F764" s="1" t="str">
        <f>IF(AND(Programme_Grunddaten!$A769="Geprüft",Programme_Grunddaten!M769&lt;&gt;""),IF(Programme_Grunddaten!M769="Ja",1,0),"")</f>
        <v/>
      </c>
      <c r="G764" s="1" t="str">
        <f>IF(AND(Programme_Grunddaten!$A769="Geprüft",Programme_Grunddaten!N769&lt;&gt;""),IF(Programme_Grunddaten!N769="Ja",1,0),"")</f>
        <v/>
      </c>
      <c r="H764" s="1" t="str">
        <f>IF(AND(Programme_Grunddaten!$A769="Geprüft",Programme_Grunddaten!O769&lt;&gt;""),IF(Programme_Grunddaten!O769="Deutschland",0,IF(Programme_Grunddaten!O769="EU",1,2)),"")</f>
        <v/>
      </c>
      <c r="I764" s="1" t="str">
        <f>IF(AND(Programme_Grunddaten!$A769="Geprüft",Programme_Grunddaten!P769&lt;&gt;""),IF(Programme_Grunddaten!P769="Ja",1,0),"")</f>
        <v/>
      </c>
      <c r="J764" s="1" t="str">
        <f>IF(AND(Programme_Grunddaten!$A769="Geprüft",Programme_Grunddaten!Q769&lt;&gt;""),IF(Programme_Grunddaten!Q769="geschlossenes System",1,0),"")</f>
        <v/>
      </c>
      <c r="K764" s="1" t="str">
        <f>IF(AND(Programme_Grunddaten!$A769="Geprüft",Programme_Grunddaten!R769&lt;&gt;""),IF(Programme_Grunddaten!R769="Ja",1,0),"")</f>
        <v/>
      </c>
      <c r="L764" s="1" t="str">
        <f>IF(AND(Programme_Grunddaten!$A769="Geprüft",Programme_Grunddaten!T769&lt;&gt;""),IF(Programme_Grunddaten!T769="Ja",1,0),"")</f>
        <v/>
      </c>
      <c r="M764" s="1" t="str">
        <f>IF(AND(Programme_Grunddaten!$A769="Geprüft",Programme_Grunddaten!U769&lt;&gt;""),IF(Programme_Grunddaten!U769="Ja",1,0),"")</f>
        <v/>
      </c>
      <c r="N764" s="1" t="str">
        <f>IF(AND(Programme_Grunddaten!$A769="Geprüft",Programme_Grunddaten!V769&lt;&gt;""),IF(Programme_Grunddaten!V769="Ja",1,0),"")</f>
        <v/>
      </c>
      <c r="O764" s="1" t="str">
        <f>IF(AND(Programme_Grunddaten!$A769="Geprüft",Programme_Grunddaten!W769&lt;&gt;""),IF(Programme_Grunddaten!W769="Ja",1,0),"")</f>
        <v/>
      </c>
      <c r="P764" s="1" t="str">
        <f>IF(AND(Programme_Grunddaten!$A769="Geprüft",Programme_Grunddaten!X769&lt;&gt;""),IF(Programme_Grunddaten!X769="Ja",1,0),"")</f>
        <v/>
      </c>
      <c r="Q764" s="1" t="str">
        <f>IF(AND(Programme_Grunddaten!$A769="Geprüft",Programme_Grunddaten!Y769&lt;&gt;""),IF(Programme_Grunddaten!Y769="Ja",1,0),"")</f>
        <v/>
      </c>
      <c r="R764" s="1" t="str">
        <f>IF(AND(Programme_Grunddaten!$A769="Geprüft",Programme_Grunddaten!Z769&lt;&gt;""),IF(Programme_Grunddaten!Z769="Ja",1,0),"")</f>
        <v/>
      </c>
      <c r="S764" s="1" t="str">
        <f>IF(AND(Programme_Grunddaten!$A769="Geprüft",Programme_Grunddaten!AA769&lt;&gt;""),IF(Programme_Grunddaten!AA769="monolithisch",1,0),"")</f>
        <v/>
      </c>
      <c r="T764" s="1" t="str">
        <f>IF(AND(Programme_Grunddaten!$A769="Geprüft",Programme_Grunddaten!AB769&lt;&gt;""),IF(Programme_Grunddaten!AB769="Ja",1,0),"")</f>
        <v/>
      </c>
      <c r="U764" s="1" t="str">
        <f>IF(AND(Programme_Grunddaten!$A769="Geprüft",Programme_Grunddaten!AC769&lt;&gt;""),IF(Programme_Grunddaten!AC769="Ja",1,0),"")</f>
        <v/>
      </c>
      <c r="V764" s="1" t="str">
        <f>IF(AND(Programme_Grunddaten!$A769="Geprüft",Programme_Grunddaten!AD769&lt;&gt;""),IF(Programme_Grunddaten!AD769="Ja",1,0),"")</f>
        <v/>
      </c>
      <c r="W764" s="1" t="str">
        <f>IF(AND(Programme_Grunddaten!$A769="Geprüft",Programme_Grunddaten!AE769&lt;&gt;""),IF(Programme_Grunddaten!AE769="Ja",1,0),"")</f>
        <v/>
      </c>
      <c r="X764" s="1" t="str">
        <f>IF(AND(Programme_Grunddaten!$A769="Geprüft",Programme_Grunddaten!AF769&lt;&gt;""),IF(Programme_Grunddaten!AF769="Ja",1,0),"")</f>
        <v/>
      </c>
      <c r="Y764" s="1" t="str">
        <f>IF(AND(Programme_Grunddaten!$A769="Geprüft",Programme_Grunddaten!AG769&lt;&gt;""),IF(Programme_Grunddaten!AG769="Ja",1,0),"")</f>
        <v/>
      </c>
      <c r="Z764" s="1" t="str">
        <f>IF(AND(Programme_Grunddaten!$A769="Geprüft",Programme_Grunddaten!AH769&lt;&gt;""),IF(Programme_Grunddaten!AH769="Ja",1,0),"")</f>
        <v/>
      </c>
      <c r="AA764" s="1" t="str">
        <f>IF(AND(Programme_Grunddaten!$A769="Geprüft",Programme_Grunddaten!AI769&lt;&gt;""),IF(Programme_Grunddaten!AI769="Ja",1,0),"")</f>
        <v/>
      </c>
      <c r="AB764" s="1" t="str">
        <f>IF(AND(Programme_Grunddaten!$A769="Geprüft",Programme_Grunddaten!AJ769&lt;&gt;""),IF(Programme_Grunddaten!AJ769="individuell programmierbar",1,0),"")</f>
        <v/>
      </c>
      <c r="AC764" s="1" t="str">
        <f>IF(AND(Programme_Grunddaten!$A769="Geprüft",Programme_Grunddaten!AK769&lt;&gt;""),IF(Programme_Grunddaten!AK769="Deutsch",0,IF(Programme_Grunddaten!AK769="Deutsch und Englisch",1,2)),"")</f>
        <v/>
      </c>
      <c r="AD764" s="1" t="str">
        <f>IF(AND(Programme_Grunddaten!$A769="Geprüft",Programme_Grunddaten!AL769&lt;&gt;""),IF(Programme_Grunddaten!AL769="Ja",1,0),"")</f>
        <v/>
      </c>
      <c r="AE764" s="1" t="str">
        <f>IF(AND(Programme_Grunddaten!$A769="Geprüft",Programme_Grunddaten!AM769&lt;&gt;""),IF(Programme_Grunddaten!AM769="Ja",1,0),"")</f>
        <v/>
      </c>
      <c r="AF764" s="1" t="str">
        <f>IF(AND(Programme_Grunddaten!$A769="Geprüft",Programme_Grunddaten!AN769&lt;&gt;""),IF(Programme_Grunddaten!AN769="Ja",1,0),"")</f>
        <v/>
      </c>
      <c r="AG764" s="1" t="str">
        <f>IF(AND(Programme_Grunddaten!$A769="Geprüft",Programme_Grunddaten!AO769&lt;&gt;""),IF(Programme_Grunddaten!AO769="Ja",1,0),"")</f>
        <v/>
      </c>
      <c r="AH764" s="1" t="str">
        <f>IF(AND(Programme_Grunddaten!$A769="Geprüft",Programme_Grunddaten!AP769&lt;&gt;""),IF(Programme_Grunddaten!AP769="Ja",1,0),"")</f>
        <v/>
      </c>
      <c r="AI764" s="1" t="str">
        <f>IF(AND(Programme_Grunddaten!$A769="Geprüft",Programme_Grunddaten!AQ769&lt;&gt;""),IF(Programme_Grunddaten!AQ769="Ja",1,0),"")</f>
        <v/>
      </c>
      <c r="AJ764" s="1" t="str">
        <f>IF(AND(Programme_Grunddaten!$A769="Geprüft",Programme_Grunddaten!AR769&lt;&gt;""),IF(Programme_Grunddaten!AR769="Ja",1,0),"")</f>
        <v/>
      </c>
      <c r="AK764" s="1" t="str">
        <f>IF(AND(Programme_Grunddaten!$A769="Geprüft",Programme_Grunddaten!AS769&lt;&gt;""),IF(Programme_Grunddaten!AS769="Ja",1,0),"")</f>
        <v/>
      </c>
      <c r="AL764" s="1" t="str">
        <f>IF(AND(Programme_Grunddaten!$A769="Geprüft",Programme_Grunddaten!AT769&lt;&gt;""),IF(Programme_Grunddaten!AT769="Ja",1,0),"")</f>
        <v/>
      </c>
      <c r="AM764" s="1" t="str">
        <f>IF(AND(Programme_Grunddaten!$A769="Geprüft",Programme_Grunddaten!AU769&lt;&gt;""),IF(Programme_Grunddaten!AU769="Ja",1,0),"")</f>
        <v/>
      </c>
      <c r="AN764" s="1" t="str">
        <f>IF(AND(Programme_Grunddaten!$A769="Geprüft",Programme_Grunddaten!AV769&lt;&gt;""),IF(Programme_Grunddaten!AV769="Ja",1,0),"")</f>
        <v/>
      </c>
    </row>
    <row r="765" spans="1:40" x14ac:dyDescent="0.3">
      <c r="A765" s="1" t="str">
        <f>IF(AND(Programme_Grunddaten!A770="Geprüft",Programme_Grunddaten!B770&lt;&gt;""),Programme_Grunddaten!B770,"")</f>
        <v/>
      </c>
      <c r="B765" s="1" t="str">
        <f>IF(AND(Programme_Grunddaten!$A770="Geprüft",Programme_Grunddaten!I770&lt;&gt;""),IF(Programme_Grunddaten!I770="Ja",1,0),"")</f>
        <v/>
      </c>
      <c r="C765" s="1" t="str">
        <f>IF(AND(Programme_Grunddaten!$A770="Geprüft",Programme_Grunddaten!J770&lt;&gt;""),IF(Programme_Grunddaten!J770="Ja",1,0),"")</f>
        <v/>
      </c>
      <c r="D765" s="1" t="str">
        <f>IF(AND(Programme_Grunddaten!$A770="Geprüft",Programme_Grunddaten!K770&lt;&gt;""),IF(Programme_Grunddaten!K770="Ja",1,0),"")</f>
        <v/>
      </c>
      <c r="E765" s="1" t="str">
        <f>IF(AND(Programme_Grunddaten!$A770="Geprüft",Programme_Grunddaten!L770&lt;&gt;""),IF(Programme_Grunddaten!L770="Abo / befristete Lizenz",1,0),"")</f>
        <v/>
      </c>
      <c r="F765" s="1" t="str">
        <f>IF(AND(Programme_Grunddaten!$A770="Geprüft",Programme_Grunddaten!M770&lt;&gt;""),IF(Programme_Grunddaten!M770="Ja",1,0),"")</f>
        <v/>
      </c>
      <c r="G765" s="1" t="str">
        <f>IF(AND(Programme_Grunddaten!$A770="Geprüft",Programme_Grunddaten!N770&lt;&gt;""),IF(Programme_Grunddaten!N770="Ja",1,0),"")</f>
        <v/>
      </c>
      <c r="H765" s="1" t="str">
        <f>IF(AND(Programme_Grunddaten!$A770="Geprüft",Programme_Grunddaten!O770&lt;&gt;""),IF(Programme_Grunddaten!O770="Deutschland",0,IF(Programme_Grunddaten!O770="EU",1,2)),"")</f>
        <v/>
      </c>
      <c r="I765" s="1" t="str">
        <f>IF(AND(Programme_Grunddaten!$A770="Geprüft",Programme_Grunddaten!P770&lt;&gt;""),IF(Programme_Grunddaten!P770="Ja",1,0),"")</f>
        <v/>
      </c>
      <c r="J765" s="1" t="str">
        <f>IF(AND(Programme_Grunddaten!$A770="Geprüft",Programme_Grunddaten!Q770&lt;&gt;""),IF(Programme_Grunddaten!Q770="geschlossenes System",1,0),"")</f>
        <v/>
      </c>
      <c r="K765" s="1" t="str">
        <f>IF(AND(Programme_Grunddaten!$A770="Geprüft",Programme_Grunddaten!R770&lt;&gt;""),IF(Programme_Grunddaten!R770="Ja",1,0),"")</f>
        <v/>
      </c>
      <c r="L765" s="1" t="str">
        <f>IF(AND(Programme_Grunddaten!$A770="Geprüft",Programme_Grunddaten!T770&lt;&gt;""),IF(Programme_Grunddaten!T770="Ja",1,0),"")</f>
        <v/>
      </c>
      <c r="M765" s="1" t="str">
        <f>IF(AND(Programme_Grunddaten!$A770="Geprüft",Programme_Grunddaten!U770&lt;&gt;""),IF(Programme_Grunddaten!U770="Ja",1,0),"")</f>
        <v/>
      </c>
      <c r="N765" s="1" t="str">
        <f>IF(AND(Programme_Grunddaten!$A770="Geprüft",Programme_Grunddaten!V770&lt;&gt;""),IF(Programme_Grunddaten!V770="Ja",1,0),"")</f>
        <v/>
      </c>
      <c r="O765" s="1" t="str">
        <f>IF(AND(Programme_Grunddaten!$A770="Geprüft",Programme_Grunddaten!W770&lt;&gt;""),IF(Programme_Grunddaten!W770="Ja",1,0),"")</f>
        <v/>
      </c>
      <c r="P765" s="1" t="str">
        <f>IF(AND(Programme_Grunddaten!$A770="Geprüft",Programme_Grunddaten!X770&lt;&gt;""),IF(Programme_Grunddaten!X770="Ja",1,0),"")</f>
        <v/>
      </c>
      <c r="Q765" s="1" t="str">
        <f>IF(AND(Programme_Grunddaten!$A770="Geprüft",Programme_Grunddaten!Y770&lt;&gt;""),IF(Programme_Grunddaten!Y770="Ja",1,0),"")</f>
        <v/>
      </c>
      <c r="R765" s="1" t="str">
        <f>IF(AND(Programme_Grunddaten!$A770="Geprüft",Programme_Grunddaten!Z770&lt;&gt;""),IF(Programme_Grunddaten!Z770="Ja",1,0),"")</f>
        <v/>
      </c>
      <c r="S765" s="1" t="str">
        <f>IF(AND(Programme_Grunddaten!$A770="Geprüft",Programme_Grunddaten!AA770&lt;&gt;""),IF(Programme_Grunddaten!AA770="monolithisch",1,0),"")</f>
        <v/>
      </c>
      <c r="T765" s="1" t="str">
        <f>IF(AND(Programme_Grunddaten!$A770="Geprüft",Programme_Grunddaten!AB770&lt;&gt;""),IF(Programme_Grunddaten!AB770="Ja",1,0),"")</f>
        <v/>
      </c>
      <c r="U765" s="1" t="str">
        <f>IF(AND(Programme_Grunddaten!$A770="Geprüft",Programme_Grunddaten!AC770&lt;&gt;""),IF(Programme_Grunddaten!AC770="Ja",1,0),"")</f>
        <v/>
      </c>
      <c r="V765" s="1" t="str">
        <f>IF(AND(Programme_Grunddaten!$A770="Geprüft",Programme_Grunddaten!AD770&lt;&gt;""),IF(Programme_Grunddaten!AD770="Ja",1,0),"")</f>
        <v/>
      </c>
      <c r="W765" s="1" t="str">
        <f>IF(AND(Programme_Grunddaten!$A770="Geprüft",Programme_Grunddaten!AE770&lt;&gt;""),IF(Programme_Grunddaten!AE770="Ja",1,0),"")</f>
        <v/>
      </c>
      <c r="X765" s="1" t="str">
        <f>IF(AND(Programme_Grunddaten!$A770="Geprüft",Programme_Grunddaten!AF770&lt;&gt;""),IF(Programme_Grunddaten!AF770="Ja",1,0),"")</f>
        <v/>
      </c>
      <c r="Y765" s="1" t="str">
        <f>IF(AND(Programme_Grunddaten!$A770="Geprüft",Programme_Grunddaten!AG770&lt;&gt;""),IF(Programme_Grunddaten!AG770="Ja",1,0),"")</f>
        <v/>
      </c>
      <c r="Z765" s="1" t="str">
        <f>IF(AND(Programme_Grunddaten!$A770="Geprüft",Programme_Grunddaten!AH770&lt;&gt;""),IF(Programme_Grunddaten!AH770="Ja",1,0),"")</f>
        <v/>
      </c>
      <c r="AA765" s="1" t="str">
        <f>IF(AND(Programme_Grunddaten!$A770="Geprüft",Programme_Grunddaten!AI770&lt;&gt;""),IF(Programme_Grunddaten!AI770="Ja",1,0),"")</f>
        <v/>
      </c>
      <c r="AB765" s="1" t="str">
        <f>IF(AND(Programme_Grunddaten!$A770="Geprüft",Programme_Grunddaten!AJ770&lt;&gt;""),IF(Programme_Grunddaten!AJ770="individuell programmierbar",1,0),"")</f>
        <v/>
      </c>
      <c r="AC765" s="1" t="str">
        <f>IF(AND(Programme_Grunddaten!$A770="Geprüft",Programme_Grunddaten!AK770&lt;&gt;""),IF(Programme_Grunddaten!AK770="Deutsch",0,IF(Programme_Grunddaten!AK770="Deutsch und Englisch",1,2)),"")</f>
        <v/>
      </c>
      <c r="AD765" s="1" t="str">
        <f>IF(AND(Programme_Grunddaten!$A770="Geprüft",Programme_Grunddaten!AL770&lt;&gt;""),IF(Programme_Grunddaten!AL770="Ja",1,0),"")</f>
        <v/>
      </c>
      <c r="AE765" s="1" t="str">
        <f>IF(AND(Programme_Grunddaten!$A770="Geprüft",Programme_Grunddaten!AM770&lt;&gt;""),IF(Programme_Grunddaten!AM770="Ja",1,0),"")</f>
        <v/>
      </c>
      <c r="AF765" s="1" t="str">
        <f>IF(AND(Programme_Grunddaten!$A770="Geprüft",Programme_Grunddaten!AN770&lt;&gt;""),IF(Programme_Grunddaten!AN770="Ja",1,0),"")</f>
        <v/>
      </c>
      <c r="AG765" s="1" t="str">
        <f>IF(AND(Programme_Grunddaten!$A770="Geprüft",Programme_Grunddaten!AO770&lt;&gt;""),IF(Programme_Grunddaten!AO770="Ja",1,0),"")</f>
        <v/>
      </c>
      <c r="AH765" s="1" t="str">
        <f>IF(AND(Programme_Grunddaten!$A770="Geprüft",Programme_Grunddaten!AP770&lt;&gt;""),IF(Programme_Grunddaten!AP770="Ja",1,0),"")</f>
        <v/>
      </c>
      <c r="AI765" s="1" t="str">
        <f>IF(AND(Programme_Grunddaten!$A770="Geprüft",Programme_Grunddaten!AQ770&lt;&gt;""),IF(Programme_Grunddaten!AQ770="Ja",1,0),"")</f>
        <v/>
      </c>
      <c r="AJ765" s="1" t="str">
        <f>IF(AND(Programme_Grunddaten!$A770="Geprüft",Programme_Grunddaten!AR770&lt;&gt;""),IF(Programme_Grunddaten!AR770="Ja",1,0),"")</f>
        <v/>
      </c>
      <c r="AK765" s="1" t="str">
        <f>IF(AND(Programme_Grunddaten!$A770="Geprüft",Programme_Grunddaten!AS770&lt;&gt;""),IF(Programme_Grunddaten!AS770="Ja",1,0),"")</f>
        <v/>
      </c>
      <c r="AL765" s="1" t="str">
        <f>IF(AND(Programme_Grunddaten!$A770="Geprüft",Programme_Grunddaten!AT770&lt;&gt;""),IF(Programme_Grunddaten!AT770="Ja",1,0),"")</f>
        <v/>
      </c>
      <c r="AM765" s="1" t="str">
        <f>IF(AND(Programme_Grunddaten!$A770="Geprüft",Programme_Grunddaten!AU770&lt;&gt;""),IF(Programme_Grunddaten!AU770="Ja",1,0),"")</f>
        <v/>
      </c>
      <c r="AN765" s="1" t="str">
        <f>IF(AND(Programme_Grunddaten!$A770="Geprüft",Programme_Grunddaten!AV770&lt;&gt;""),IF(Programme_Grunddaten!AV770="Ja",1,0),"")</f>
        <v/>
      </c>
    </row>
    <row r="766" spans="1:40" x14ac:dyDescent="0.3">
      <c r="A766" s="1" t="str">
        <f>IF(AND(Programme_Grunddaten!A771="Geprüft",Programme_Grunddaten!B771&lt;&gt;""),Programme_Grunddaten!B771,"")</f>
        <v/>
      </c>
      <c r="B766" s="1" t="str">
        <f>IF(AND(Programme_Grunddaten!$A771="Geprüft",Programme_Grunddaten!I771&lt;&gt;""),IF(Programme_Grunddaten!I771="Ja",1,0),"")</f>
        <v/>
      </c>
      <c r="C766" s="1" t="str">
        <f>IF(AND(Programme_Grunddaten!$A771="Geprüft",Programme_Grunddaten!J771&lt;&gt;""),IF(Programme_Grunddaten!J771="Ja",1,0),"")</f>
        <v/>
      </c>
      <c r="D766" s="1" t="str">
        <f>IF(AND(Programme_Grunddaten!$A771="Geprüft",Programme_Grunddaten!K771&lt;&gt;""),IF(Programme_Grunddaten!K771="Ja",1,0),"")</f>
        <v/>
      </c>
      <c r="E766" s="1" t="str">
        <f>IF(AND(Programme_Grunddaten!$A771="Geprüft",Programme_Grunddaten!L771&lt;&gt;""),IF(Programme_Grunddaten!L771="Abo / befristete Lizenz",1,0),"")</f>
        <v/>
      </c>
      <c r="F766" s="1" t="str">
        <f>IF(AND(Programme_Grunddaten!$A771="Geprüft",Programme_Grunddaten!M771&lt;&gt;""),IF(Programme_Grunddaten!M771="Ja",1,0),"")</f>
        <v/>
      </c>
      <c r="G766" s="1" t="str">
        <f>IF(AND(Programme_Grunddaten!$A771="Geprüft",Programme_Grunddaten!N771&lt;&gt;""),IF(Programme_Grunddaten!N771="Ja",1,0),"")</f>
        <v/>
      </c>
      <c r="H766" s="1" t="str">
        <f>IF(AND(Programme_Grunddaten!$A771="Geprüft",Programme_Grunddaten!O771&lt;&gt;""),IF(Programme_Grunddaten!O771="Deutschland",0,IF(Programme_Grunddaten!O771="EU",1,2)),"")</f>
        <v/>
      </c>
      <c r="I766" s="1" t="str">
        <f>IF(AND(Programme_Grunddaten!$A771="Geprüft",Programme_Grunddaten!P771&lt;&gt;""),IF(Programme_Grunddaten!P771="Ja",1,0),"")</f>
        <v/>
      </c>
      <c r="J766" s="1" t="str">
        <f>IF(AND(Programme_Grunddaten!$A771="Geprüft",Programme_Grunddaten!Q771&lt;&gt;""),IF(Programme_Grunddaten!Q771="geschlossenes System",1,0),"")</f>
        <v/>
      </c>
      <c r="K766" s="1" t="str">
        <f>IF(AND(Programme_Grunddaten!$A771="Geprüft",Programme_Grunddaten!R771&lt;&gt;""),IF(Programme_Grunddaten!R771="Ja",1,0),"")</f>
        <v/>
      </c>
      <c r="L766" s="1" t="str">
        <f>IF(AND(Programme_Grunddaten!$A771="Geprüft",Programme_Grunddaten!T771&lt;&gt;""),IF(Programme_Grunddaten!T771="Ja",1,0),"")</f>
        <v/>
      </c>
      <c r="M766" s="1" t="str">
        <f>IF(AND(Programme_Grunddaten!$A771="Geprüft",Programme_Grunddaten!U771&lt;&gt;""),IF(Programme_Grunddaten!U771="Ja",1,0),"")</f>
        <v/>
      </c>
      <c r="N766" s="1" t="str">
        <f>IF(AND(Programme_Grunddaten!$A771="Geprüft",Programme_Grunddaten!V771&lt;&gt;""),IF(Programme_Grunddaten!V771="Ja",1,0),"")</f>
        <v/>
      </c>
      <c r="O766" s="1" t="str">
        <f>IF(AND(Programme_Grunddaten!$A771="Geprüft",Programme_Grunddaten!W771&lt;&gt;""),IF(Programme_Grunddaten!W771="Ja",1,0),"")</f>
        <v/>
      </c>
      <c r="P766" s="1" t="str">
        <f>IF(AND(Programme_Grunddaten!$A771="Geprüft",Programme_Grunddaten!X771&lt;&gt;""),IF(Programme_Grunddaten!X771="Ja",1,0),"")</f>
        <v/>
      </c>
      <c r="Q766" s="1" t="str">
        <f>IF(AND(Programme_Grunddaten!$A771="Geprüft",Programme_Grunddaten!Y771&lt;&gt;""),IF(Programme_Grunddaten!Y771="Ja",1,0),"")</f>
        <v/>
      </c>
      <c r="R766" s="1" t="str">
        <f>IF(AND(Programme_Grunddaten!$A771="Geprüft",Programme_Grunddaten!Z771&lt;&gt;""),IF(Programme_Grunddaten!Z771="Ja",1,0),"")</f>
        <v/>
      </c>
      <c r="S766" s="1" t="str">
        <f>IF(AND(Programme_Grunddaten!$A771="Geprüft",Programme_Grunddaten!AA771&lt;&gt;""),IF(Programme_Grunddaten!AA771="monolithisch",1,0),"")</f>
        <v/>
      </c>
      <c r="T766" s="1" t="str">
        <f>IF(AND(Programme_Grunddaten!$A771="Geprüft",Programme_Grunddaten!AB771&lt;&gt;""),IF(Programme_Grunddaten!AB771="Ja",1,0),"")</f>
        <v/>
      </c>
      <c r="U766" s="1" t="str">
        <f>IF(AND(Programme_Grunddaten!$A771="Geprüft",Programme_Grunddaten!AC771&lt;&gt;""),IF(Programme_Grunddaten!AC771="Ja",1,0),"")</f>
        <v/>
      </c>
      <c r="V766" s="1" t="str">
        <f>IF(AND(Programme_Grunddaten!$A771="Geprüft",Programme_Grunddaten!AD771&lt;&gt;""),IF(Programme_Grunddaten!AD771="Ja",1,0),"")</f>
        <v/>
      </c>
      <c r="W766" s="1" t="str">
        <f>IF(AND(Programme_Grunddaten!$A771="Geprüft",Programme_Grunddaten!AE771&lt;&gt;""),IF(Programme_Grunddaten!AE771="Ja",1,0),"")</f>
        <v/>
      </c>
      <c r="X766" s="1" t="str">
        <f>IF(AND(Programme_Grunddaten!$A771="Geprüft",Programme_Grunddaten!AF771&lt;&gt;""),IF(Programme_Grunddaten!AF771="Ja",1,0),"")</f>
        <v/>
      </c>
      <c r="Y766" s="1" t="str">
        <f>IF(AND(Programme_Grunddaten!$A771="Geprüft",Programme_Grunddaten!AG771&lt;&gt;""),IF(Programme_Grunddaten!AG771="Ja",1,0),"")</f>
        <v/>
      </c>
      <c r="Z766" s="1" t="str">
        <f>IF(AND(Programme_Grunddaten!$A771="Geprüft",Programme_Grunddaten!AH771&lt;&gt;""),IF(Programme_Grunddaten!AH771="Ja",1,0),"")</f>
        <v/>
      </c>
      <c r="AA766" s="1" t="str">
        <f>IF(AND(Programme_Grunddaten!$A771="Geprüft",Programme_Grunddaten!AI771&lt;&gt;""),IF(Programme_Grunddaten!AI771="Ja",1,0),"")</f>
        <v/>
      </c>
      <c r="AB766" s="1" t="str">
        <f>IF(AND(Programme_Grunddaten!$A771="Geprüft",Programme_Grunddaten!AJ771&lt;&gt;""),IF(Programme_Grunddaten!AJ771="individuell programmierbar",1,0),"")</f>
        <v/>
      </c>
      <c r="AC766" s="1" t="str">
        <f>IF(AND(Programme_Grunddaten!$A771="Geprüft",Programme_Grunddaten!AK771&lt;&gt;""),IF(Programme_Grunddaten!AK771="Deutsch",0,IF(Programme_Grunddaten!AK771="Deutsch und Englisch",1,2)),"")</f>
        <v/>
      </c>
      <c r="AD766" s="1" t="str">
        <f>IF(AND(Programme_Grunddaten!$A771="Geprüft",Programme_Grunddaten!AL771&lt;&gt;""),IF(Programme_Grunddaten!AL771="Ja",1,0),"")</f>
        <v/>
      </c>
      <c r="AE766" s="1" t="str">
        <f>IF(AND(Programme_Grunddaten!$A771="Geprüft",Programme_Grunddaten!AM771&lt;&gt;""),IF(Programme_Grunddaten!AM771="Ja",1,0),"")</f>
        <v/>
      </c>
      <c r="AF766" s="1" t="str">
        <f>IF(AND(Programme_Grunddaten!$A771="Geprüft",Programme_Grunddaten!AN771&lt;&gt;""),IF(Programme_Grunddaten!AN771="Ja",1,0),"")</f>
        <v/>
      </c>
      <c r="AG766" s="1" t="str">
        <f>IF(AND(Programme_Grunddaten!$A771="Geprüft",Programme_Grunddaten!AO771&lt;&gt;""),IF(Programme_Grunddaten!AO771="Ja",1,0),"")</f>
        <v/>
      </c>
      <c r="AH766" s="1" t="str">
        <f>IF(AND(Programme_Grunddaten!$A771="Geprüft",Programme_Grunddaten!AP771&lt;&gt;""),IF(Programme_Grunddaten!AP771="Ja",1,0),"")</f>
        <v/>
      </c>
      <c r="AI766" s="1" t="str">
        <f>IF(AND(Programme_Grunddaten!$A771="Geprüft",Programme_Grunddaten!AQ771&lt;&gt;""),IF(Programme_Grunddaten!AQ771="Ja",1,0),"")</f>
        <v/>
      </c>
      <c r="AJ766" s="1" t="str">
        <f>IF(AND(Programme_Grunddaten!$A771="Geprüft",Programme_Grunddaten!AR771&lt;&gt;""),IF(Programme_Grunddaten!AR771="Ja",1,0),"")</f>
        <v/>
      </c>
      <c r="AK766" s="1" t="str">
        <f>IF(AND(Programme_Grunddaten!$A771="Geprüft",Programme_Grunddaten!AS771&lt;&gt;""),IF(Programme_Grunddaten!AS771="Ja",1,0),"")</f>
        <v/>
      </c>
      <c r="AL766" s="1" t="str">
        <f>IF(AND(Programme_Grunddaten!$A771="Geprüft",Programme_Grunddaten!AT771&lt;&gt;""),IF(Programme_Grunddaten!AT771="Ja",1,0),"")</f>
        <v/>
      </c>
      <c r="AM766" s="1" t="str">
        <f>IF(AND(Programme_Grunddaten!$A771="Geprüft",Programme_Grunddaten!AU771&lt;&gt;""),IF(Programme_Grunddaten!AU771="Ja",1,0),"")</f>
        <v/>
      </c>
      <c r="AN766" s="1" t="str">
        <f>IF(AND(Programme_Grunddaten!$A771="Geprüft",Programme_Grunddaten!AV771&lt;&gt;""),IF(Programme_Grunddaten!AV771="Ja",1,0),"")</f>
        <v/>
      </c>
    </row>
    <row r="767" spans="1:40" x14ac:dyDescent="0.3">
      <c r="A767" s="1" t="str">
        <f>IF(AND(Programme_Grunddaten!A772="Geprüft",Programme_Grunddaten!B772&lt;&gt;""),Programme_Grunddaten!B772,"")</f>
        <v/>
      </c>
      <c r="B767" s="1" t="str">
        <f>IF(AND(Programme_Grunddaten!$A772="Geprüft",Programme_Grunddaten!I772&lt;&gt;""),IF(Programme_Grunddaten!I772="Ja",1,0),"")</f>
        <v/>
      </c>
      <c r="C767" s="1" t="str">
        <f>IF(AND(Programme_Grunddaten!$A772="Geprüft",Programme_Grunddaten!J772&lt;&gt;""),IF(Programme_Grunddaten!J772="Ja",1,0),"")</f>
        <v/>
      </c>
      <c r="D767" s="1" t="str">
        <f>IF(AND(Programme_Grunddaten!$A772="Geprüft",Programme_Grunddaten!K772&lt;&gt;""),IF(Programme_Grunddaten!K772="Ja",1,0),"")</f>
        <v/>
      </c>
      <c r="E767" s="1" t="str">
        <f>IF(AND(Programme_Grunddaten!$A772="Geprüft",Programme_Grunddaten!L772&lt;&gt;""),IF(Programme_Grunddaten!L772="Abo / befristete Lizenz",1,0),"")</f>
        <v/>
      </c>
      <c r="F767" s="1" t="str">
        <f>IF(AND(Programme_Grunddaten!$A772="Geprüft",Programme_Grunddaten!M772&lt;&gt;""),IF(Programme_Grunddaten!M772="Ja",1,0),"")</f>
        <v/>
      </c>
      <c r="G767" s="1" t="str">
        <f>IF(AND(Programme_Grunddaten!$A772="Geprüft",Programme_Grunddaten!N772&lt;&gt;""),IF(Programme_Grunddaten!N772="Ja",1,0),"")</f>
        <v/>
      </c>
      <c r="H767" s="1" t="str">
        <f>IF(AND(Programme_Grunddaten!$A772="Geprüft",Programme_Grunddaten!O772&lt;&gt;""),IF(Programme_Grunddaten!O772="Deutschland",0,IF(Programme_Grunddaten!O772="EU",1,2)),"")</f>
        <v/>
      </c>
      <c r="I767" s="1" t="str">
        <f>IF(AND(Programme_Grunddaten!$A772="Geprüft",Programme_Grunddaten!P772&lt;&gt;""),IF(Programme_Grunddaten!P772="Ja",1,0),"")</f>
        <v/>
      </c>
      <c r="J767" s="1" t="str">
        <f>IF(AND(Programme_Grunddaten!$A772="Geprüft",Programme_Grunddaten!Q772&lt;&gt;""),IF(Programme_Grunddaten!Q772="geschlossenes System",1,0),"")</f>
        <v/>
      </c>
      <c r="K767" s="1" t="str">
        <f>IF(AND(Programme_Grunddaten!$A772="Geprüft",Programme_Grunddaten!R772&lt;&gt;""),IF(Programme_Grunddaten!R772="Ja",1,0),"")</f>
        <v/>
      </c>
      <c r="L767" s="1" t="str">
        <f>IF(AND(Programme_Grunddaten!$A772="Geprüft",Programme_Grunddaten!T772&lt;&gt;""),IF(Programme_Grunddaten!T772="Ja",1,0),"")</f>
        <v/>
      </c>
      <c r="M767" s="1" t="str">
        <f>IF(AND(Programme_Grunddaten!$A772="Geprüft",Programme_Grunddaten!U772&lt;&gt;""),IF(Programme_Grunddaten!U772="Ja",1,0),"")</f>
        <v/>
      </c>
      <c r="N767" s="1" t="str">
        <f>IF(AND(Programme_Grunddaten!$A772="Geprüft",Programme_Grunddaten!V772&lt;&gt;""),IF(Programme_Grunddaten!V772="Ja",1,0),"")</f>
        <v/>
      </c>
      <c r="O767" s="1" t="str">
        <f>IF(AND(Programme_Grunddaten!$A772="Geprüft",Programme_Grunddaten!W772&lt;&gt;""),IF(Programme_Grunddaten!W772="Ja",1,0),"")</f>
        <v/>
      </c>
      <c r="P767" s="1" t="str">
        <f>IF(AND(Programme_Grunddaten!$A772="Geprüft",Programme_Grunddaten!X772&lt;&gt;""),IF(Programme_Grunddaten!X772="Ja",1,0),"")</f>
        <v/>
      </c>
      <c r="Q767" s="1" t="str">
        <f>IF(AND(Programme_Grunddaten!$A772="Geprüft",Programme_Grunddaten!Y772&lt;&gt;""),IF(Programme_Grunddaten!Y772="Ja",1,0),"")</f>
        <v/>
      </c>
      <c r="R767" s="1" t="str">
        <f>IF(AND(Programme_Grunddaten!$A772="Geprüft",Programme_Grunddaten!Z772&lt;&gt;""),IF(Programme_Grunddaten!Z772="Ja",1,0),"")</f>
        <v/>
      </c>
      <c r="S767" s="1" t="str">
        <f>IF(AND(Programme_Grunddaten!$A772="Geprüft",Programme_Grunddaten!AA772&lt;&gt;""),IF(Programme_Grunddaten!AA772="monolithisch",1,0),"")</f>
        <v/>
      </c>
      <c r="T767" s="1" t="str">
        <f>IF(AND(Programme_Grunddaten!$A772="Geprüft",Programme_Grunddaten!AB772&lt;&gt;""),IF(Programme_Grunddaten!AB772="Ja",1,0),"")</f>
        <v/>
      </c>
      <c r="U767" s="1" t="str">
        <f>IF(AND(Programme_Grunddaten!$A772="Geprüft",Programme_Grunddaten!AC772&lt;&gt;""),IF(Programme_Grunddaten!AC772="Ja",1,0),"")</f>
        <v/>
      </c>
      <c r="V767" s="1" t="str">
        <f>IF(AND(Programme_Grunddaten!$A772="Geprüft",Programme_Grunddaten!AD772&lt;&gt;""),IF(Programme_Grunddaten!AD772="Ja",1,0),"")</f>
        <v/>
      </c>
      <c r="W767" s="1" t="str">
        <f>IF(AND(Programme_Grunddaten!$A772="Geprüft",Programme_Grunddaten!AE772&lt;&gt;""),IF(Programme_Grunddaten!AE772="Ja",1,0),"")</f>
        <v/>
      </c>
      <c r="X767" s="1" t="str">
        <f>IF(AND(Programme_Grunddaten!$A772="Geprüft",Programme_Grunddaten!AF772&lt;&gt;""),IF(Programme_Grunddaten!AF772="Ja",1,0),"")</f>
        <v/>
      </c>
      <c r="Y767" s="1" t="str">
        <f>IF(AND(Programme_Grunddaten!$A772="Geprüft",Programme_Grunddaten!AG772&lt;&gt;""),IF(Programme_Grunddaten!AG772="Ja",1,0),"")</f>
        <v/>
      </c>
      <c r="Z767" s="1" t="str">
        <f>IF(AND(Programme_Grunddaten!$A772="Geprüft",Programme_Grunddaten!AH772&lt;&gt;""),IF(Programme_Grunddaten!AH772="Ja",1,0),"")</f>
        <v/>
      </c>
      <c r="AA767" s="1" t="str">
        <f>IF(AND(Programme_Grunddaten!$A772="Geprüft",Programme_Grunddaten!AI772&lt;&gt;""),IF(Programme_Grunddaten!AI772="Ja",1,0),"")</f>
        <v/>
      </c>
      <c r="AB767" s="1" t="str">
        <f>IF(AND(Programme_Grunddaten!$A772="Geprüft",Programme_Grunddaten!AJ772&lt;&gt;""),IF(Programme_Grunddaten!AJ772="individuell programmierbar",1,0),"")</f>
        <v/>
      </c>
      <c r="AC767" s="1" t="str">
        <f>IF(AND(Programme_Grunddaten!$A772="Geprüft",Programme_Grunddaten!AK772&lt;&gt;""),IF(Programme_Grunddaten!AK772="Deutsch",0,IF(Programme_Grunddaten!AK772="Deutsch und Englisch",1,2)),"")</f>
        <v/>
      </c>
      <c r="AD767" s="1" t="str">
        <f>IF(AND(Programme_Grunddaten!$A772="Geprüft",Programme_Grunddaten!AL772&lt;&gt;""),IF(Programme_Grunddaten!AL772="Ja",1,0),"")</f>
        <v/>
      </c>
      <c r="AE767" s="1" t="str">
        <f>IF(AND(Programme_Grunddaten!$A772="Geprüft",Programme_Grunddaten!AM772&lt;&gt;""),IF(Programme_Grunddaten!AM772="Ja",1,0),"")</f>
        <v/>
      </c>
      <c r="AF767" s="1" t="str">
        <f>IF(AND(Programme_Grunddaten!$A772="Geprüft",Programme_Grunddaten!AN772&lt;&gt;""),IF(Programme_Grunddaten!AN772="Ja",1,0),"")</f>
        <v/>
      </c>
      <c r="AG767" s="1" t="str">
        <f>IF(AND(Programme_Grunddaten!$A772="Geprüft",Programme_Grunddaten!AO772&lt;&gt;""),IF(Programme_Grunddaten!AO772="Ja",1,0),"")</f>
        <v/>
      </c>
      <c r="AH767" s="1" t="str">
        <f>IF(AND(Programme_Grunddaten!$A772="Geprüft",Programme_Grunddaten!AP772&lt;&gt;""),IF(Programme_Grunddaten!AP772="Ja",1,0),"")</f>
        <v/>
      </c>
      <c r="AI767" s="1" t="str">
        <f>IF(AND(Programme_Grunddaten!$A772="Geprüft",Programme_Grunddaten!AQ772&lt;&gt;""),IF(Programme_Grunddaten!AQ772="Ja",1,0),"")</f>
        <v/>
      </c>
      <c r="AJ767" s="1" t="str">
        <f>IF(AND(Programme_Grunddaten!$A772="Geprüft",Programme_Grunddaten!AR772&lt;&gt;""),IF(Programme_Grunddaten!AR772="Ja",1,0),"")</f>
        <v/>
      </c>
      <c r="AK767" s="1" t="str">
        <f>IF(AND(Programme_Grunddaten!$A772="Geprüft",Programme_Grunddaten!AS772&lt;&gt;""),IF(Programme_Grunddaten!AS772="Ja",1,0),"")</f>
        <v/>
      </c>
      <c r="AL767" s="1" t="str">
        <f>IF(AND(Programme_Grunddaten!$A772="Geprüft",Programme_Grunddaten!AT772&lt;&gt;""),IF(Programme_Grunddaten!AT772="Ja",1,0),"")</f>
        <v/>
      </c>
      <c r="AM767" s="1" t="str">
        <f>IF(AND(Programme_Grunddaten!$A772="Geprüft",Programme_Grunddaten!AU772&lt;&gt;""),IF(Programme_Grunddaten!AU772="Ja",1,0),"")</f>
        <v/>
      </c>
      <c r="AN767" s="1" t="str">
        <f>IF(AND(Programme_Grunddaten!$A772="Geprüft",Programme_Grunddaten!AV772&lt;&gt;""),IF(Programme_Grunddaten!AV772="Ja",1,0),"")</f>
        <v/>
      </c>
    </row>
    <row r="768" spans="1:40" x14ac:dyDescent="0.3">
      <c r="A768" s="1" t="str">
        <f>IF(AND(Programme_Grunddaten!A773="Geprüft",Programme_Grunddaten!B773&lt;&gt;""),Programme_Grunddaten!B773,"")</f>
        <v/>
      </c>
      <c r="B768" s="1" t="str">
        <f>IF(AND(Programme_Grunddaten!$A773="Geprüft",Programme_Grunddaten!I773&lt;&gt;""),IF(Programme_Grunddaten!I773="Ja",1,0),"")</f>
        <v/>
      </c>
      <c r="C768" s="1" t="str">
        <f>IF(AND(Programme_Grunddaten!$A773="Geprüft",Programme_Grunddaten!J773&lt;&gt;""),IF(Programme_Grunddaten!J773="Ja",1,0),"")</f>
        <v/>
      </c>
      <c r="D768" s="1" t="str">
        <f>IF(AND(Programme_Grunddaten!$A773="Geprüft",Programme_Grunddaten!K773&lt;&gt;""),IF(Programme_Grunddaten!K773="Ja",1,0),"")</f>
        <v/>
      </c>
      <c r="E768" s="1" t="str">
        <f>IF(AND(Programme_Grunddaten!$A773="Geprüft",Programme_Grunddaten!L773&lt;&gt;""),IF(Programme_Grunddaten!L773="Abo / befristete Lizenz",1,0),"")</f>
        <v/>
      </c>
      <c r="F768" s="1" t="str">
        <f>IF(AND(Programme_Grunddaten!$A773="Geprüft",Programme_Grunddaten!M773&lt;&gt;""),IF(Programme_Grunddaten!M773="Ja",1,0),"")</f>
        <v/>
      </c>
      <c r="G768" s="1" t="str">
        <f>IF(AND(Programme_Grunddaten!$A773="Geprüft",Programme_Grunddaten!N773&lt;&gt;""),IF(Programme_Grunddaten!N773="Ja",1,0),"")</f>
        <v/>
      </c>
      <c r="H768" s="1" t="str">
        <f>IF(AND(Programme_Grunddaten!$A773="Geprüft",Programme_Grunddaten!O773&lt;&gt;""),IF(Programme_Grunddaten!O773="Deutschland",0,IF(Programme_Grunddaten!O773="EU",1,2)),"")</f>
        <v/>
      </c>
      <c r="I768" s="1" t="str">
        <f>IF(AND(Programme_Grunddaten!$A773="Geprüft",Programme_Grunddaten!P773&lt;&gt;""),IF(Programme_Grunddaten!P773="Ja",1,0),"")</f>
        <v/>
      </c>
      <c r="J768" s="1" t="str">
        <f>IF(AND(Programme_Grunddaten!$A773="Geprüft",Programme_Grunddaten!Q773&lt;&gt;""),IF(Programme_Grunddaten!Q773="geschlossenes System",1,0),"")</f>
        <v/>
      </c>
      <c r="K768" s="1" t="str">
        <f>IF(AND(Programme_Grunddaten!$A773="Geprüft",Programme_Grunddaten!R773&lt;&gt;""),IF(Programme_Grunddaten!R773="Ja",1,0),"")</f>
        <v/>
      </c>
      <c r="L768" s="1" t="str">
        <f>IF(AND(Programme_Grunddaten!$A773="Geprüft",Programme_Grunddaten!T773&lt;&gt;""),IF(Programme_Grunddaten!T773="Ja",1,0),"")</f>
        <v/>
      </c>
      <c r="M768" s="1" t="str">
        <f>IF(AND(Programme_Grunddaten!$A773="Geprüft",Programme_Grunddaten!U773&lt;&gt;""),IF(Programme_Grunddaten!U773="Ja",1,0),"")</f>
        <v/>
      </c>
      <c r="N768" s="1" t="str">
        <f>IF(AND(Programme_Grunddaten!$A773="Geprüft",Programme_Grunddaten!V773&lt;&gt;""),IF(Programme_Grunddaten!V773="Ja",1,0),"")</f>
        <v/>
      </c>
      <c r="O768" s="1" t="str">
        <f>IF(AND(Programme_Grunddaten!$A773="Geprüft",Programme_Grunddaten!W773&lt;&gt;""),IF(Programme_Grunddaten!W773="Ja",1,0),"")</f>
        <v/>
      </c>
      <c r="P768" s="1" t="str">
        <f>IF(AND(Programme_Grunddaten!$A773="Geprüft",Programme_Grunddaten!X773&lt;&gt;""),IF(Programme_Grunddaten!X773="Ja",1,0),"")</f>
        <v/>
      </c>
      <c r="Q768" s="1" t="str">
        <f>IF(AND(Programme_Grunddaten!$A773="Geprüft",Programme_Grunddaten!Y773&lt;&gt;""),IF(Programme_Grunddaten!Y773="Ja",1,0),"")</f>
        <v/>
      </c>
      <c r="R768" s="1" t="str">
        <f>IF(AND(Programme_Grunddaten!$A773="Geprüft",Programme_Grunddaten!Z773&lt;&gt;""),IF(Programme_Grunddaten!Z773="Ja",1,0),"")</f>
        <v/>
      </c>
      <c r="S768" s="1" t="str">
        <f>IF(AND(Programme_Grunddaten!$A773="Geprüft",Programme_Grunddaten!AA773&lt;&gt;""),IF(Programme_Grunddaten!AA773="monolithisch",1,0),"")</f>
        <v/>
      </c>
      <c r="T768" s="1" t="str">
        <f>IF(AND(Programme_Grunddaten!$A773="Geprüft",Programme_Grunddaten!AB773&lt;&gt;""),IF(Programme_Grunddaten!AB773="Ja",1,0),"")</f>
        <v/>
      </c>
      <c r="U768" s="1" t="str">
        <f>IF(AND(Programme_Grunddaten!$A773="Geprüft",Programme_Grunddaten!AC773&lt;&gt;""),IF(Programme_Grunddaten!AC773="Ja",1,0),"")</f>
        <v/>
      </c>
      <c r="V768" s="1" t="str">
        <f>IF(AND(Programme_Grunddaten!$A773="Geprüft",Programme_Grunddaten!AD773&lt;&gt;""),IF(Programme_Grunddaten!AD773="Ja",1,0),"")</f>
        <v/>
      </c>
      <c r="W768" s="1" t="str">
        <f>IF(AND(Programme_Grunddaten!$A773="Geprüft",Programme_Grunddaten!AE773&lt;&gt;""),IF(Programme_Grunddaten!AE773="Ja",1,0),"")</f>
        <v/>
      </c>
      <c r="X768" s="1" t="str">
        <f>IF(AND(Programme_Grunddaten!$A773="Geprüft",Programme_Grunddaten!AF773&lt;&gt;""),IF(Programme_Grunddaten!AF773="Ja",1,0),"")</f>
        <v/>
      </c>
      <c r="Y768" s="1" t="str">
        <f>IF(AND(Programme_Grunddaten!$A773="Geprüft",Programme_Grunddaten!AG773&lt;&gt;""),IF(Programme_Grunddaten!AG773="Ja",1,0),"")</f>
        <v/>
      </c>
      <c r="Z768" s="1" t="str">
        <f>IF(AND(Programme_Grunddaten!$A773="Geprüft",Programme_Grunddaten!AH773&lt;&gt;""),IF(Programme_Grunddaten!AH773="Ja",1,0),"")</f>
        <v/>
      </c>
      <c r="AA768" s="1" t="str">
        <f>IF(AND(Programme_Grunddaten!$A773="Geprüft",Programme_Grunddaten!AI773&lt;&gt;""),IF(Programme_Grunddaten!AI773="Ja",1,0),"")</f>
        <v/>
      </c>
      <c r="AB768" s="1" t="str">
        <f>IF(AND(Programme_Grunddaten!$A773="Geprüft",Programme_Grunddaten!AJ773&lt;&gt;""),IF(Programme_Grunddaten!AJ773="individuell programmierbar",1,0),"")</f>
        <v/>
      </c>
      <c r="AC768" s="1" t="str">
        <f>IF(AND(Programme_Grunddaten!$A773="Geprüft",Programme_Grunddaten!AK773&lt;&gt;""),IF(Programme_Grunddaten!AK773="Deutsch",0,IF(Programme_Grunddaten!AK773="Deutsch und Englisch",1,2)),"")</f>
        <v/>
      </c>
      <c r="AD768" s="1" t="str">
        <f>IF(AND(Programme_Grunddaten!$A773="Geprüft",Programme_Grunddaten!AL773&lt;&gt;""),IF(Programme_Grunddaten!AL773="Ja",1,0),"")</f>
        <v/>
      </c>
      <c r="AE768" s="1" t="str">
        <f>IF(AND(Programme_Grunddaten!$A773="Geprüft",Programme_Grunddaten!AM773&lt;&gt;""),IF(Programme_Grunddaten!AM773="Ja",1,0),"")</f>
        <v/>
      </c>
      <c r="AF768" s="1" t="str">
        <f>IF(AND(Programme_Grunddaten!$A773="Geprüft",Programme_Grunddaten!AN773&lt;&gt;""),IF(Programme_Grunddaten!AN773="Ja",1,0),"")</f>
        <v/>
      </c>
      <c r="AG768" s="1" t="str">
        <f>IF(AND(Programme_Grunddaten!$A773="Geprüft",Programme_Grunddaten!AO773&lt;&gt;""),IF(Programme_Grunddaten!AO773="Ja",1,0),"")</f>
        <v/>
      </c>
      <c r="AH768" s="1" t="str">
        <f>IF(AND(Programme_Grunddaten!$A773="Geprüft",Programme_Grunddaten!AP773&lt;&gt;""),IF(Programme_Grunddaten!AP773="Ja",1,0),"")</f>
        <v/>
      </c>
      <c r="AI768" s="1" t="str">
        <f>IF(AND(Programme_Grunddaten!$A773="Geprüft",Programme_Grunddaten!AQ773&lt;&gt;""),IF(Programme_Grunddaten!AQ773="Ja",1,0),"")</f>
        <v/>
      </c>
      <c r="AJ768" s="1" t="str">
        <f>IF(AND(Programme_Grunddaten!$A773="Geprüft",Programme_Grunddaten!AR773&lt;&gt;""),IF(Programme_Grunddaten!AR773="Ja",1,0),"")</f>
        <v/>
      </c>
      <c r="AK768" s="1" t="str">
        <f>IF(AND(Programme_Grunddaten!$A773="Geprüft",Programme_Grunddaten!AS773&lt;&gt;""),IF(Programme_Grunddaten!AS773="Ja",1,0),"")</f>
        <v/>
      </c>
      <c r="AL768" s="1" t="str">
        <f>IF(AND(Programme_Grunddaten!$A773="Geprüft",Programme_Grunddaten!AT773&lt;&gt;""),IF(Programme_Grunddaten!AT773="Ja",1,0),"")</f>
        <v/>
      </c>
      <c r="AM768" s="1" t="str">
        <f>IF(AND(Programme_Grunddaten!$A773="Geprüft",Programme_Grunddaten!AU773&lt;&gt;""),IF(Programme_Grunddaten!AU773="Ja",1,0),"")</f>
        <v/>
      </c>
      <c r="AN768" s="1" t="str">
        <f>IF(AND(Programme_Grunddaten!$A773="Geprüft",Programme_Grunddaten!AV773&lt;&gt;""),IF(Programme_Grunddaten!AV773="Ja",1,0),"")</f>
        <v/>
      </c>
    </row>
    <row r="769" spans="1:40" x14ac:dyDescent="0.3">
      <c r="A769" s="1" t="str">
        <f>IF(AND(Programme_Grunddaten!A774="Geprüft",Programme_Grunddaten!B774&lt;&gt;""),Programme_Grunddaten!B774,"")</f>
        <v/>
      </c>
      <c r="B769" s="1" t="str">
        <f>IF(AND(Programme_Grunddaten!$A774="Geprüft",Programme_Grunddaten!I774&lt;&gt;""),IF(Programme_Grunddaten!I774="Ja",1,0),"")</f>
        <v/>
      </c>
      <c r="C769" s="1" t="str">
        <f>IF(AND(Programme_Grunddaten!$A774="Geprüft",Programme_Grunddaten!J774&lt;&gt;""),IF(Programme_Grunddaten!J774="Ja",1,0),"")</f>
        <v/>
      </c>
      <c r="D769" s="1" t="str">
        <f>IF(AND(Programme_Grunddaten!$A774="Geprüft",Programme_Grunddaten!K774&lt;&gt;""),IF(Programme_Grunddaten!K774="Ja",1,0),"")</f>
        <v/>
      </c>
      <c r="E769" s="1" t="str">
        <f>IF(AND(Programme_Grunddaten!$A774="Geprüft",Programme_Grunddaten!L774&lt;&gt;""),IF(Programme_Grunddaten!L774="Abo / befristete Lizenz",1,0),"")</f>
        <v/>
      </c>
      <c r="F769" s="1" t="str">
        <f>IF(AND(Programme_Grunddaten!$A774="Geprüft",Programme_Grunddaten!M774&lt;&gt;""),IF(Programme_Grunddaten!M774="Ja",1,0),"")</f>
        <v/>
      </c>
      <c r="G769" s="1" t="str">
        <f>IF(AND(Programme_Grunddaten!$A774="Geprüft",Programme_Grunddaten!N774&lt;&gt;""),IF(Programme_Grunddaten!N774="Ja",1,0),"")</f>
        <v/>
      </c>
      <c r="H769" s="1" t="str">
        <f>IF(AND(Programme_Grunddaten!$A774="Geprüft",Programme_Grunddaten!O774&lt;&gt;""),IF(Programme_Grunddaten!O774="Deutschland",0,IF(Programme_Grunddaten!O774="EU",1,2)),"")</f>
        <v/>
      </c>
      <c r="I769" s="1" t="str">
        <f>IF(AND(Programme_Grunddaten!$A774="Geprüft",Programme_Grunddaten!P774&lt;&gt;""),IF(Programme_Grunddaten!P774="Ja",1,0),"")</f>
        <v/>
      </c>
      <c r="J769" s="1" t="str">
        <f>IF(AND(Programme_Grunddaten!$A774="Geprüft",Programme_Grunddaten!Q774&lt;&gt;""),IF(Programme_Grunddaten!Q774="geschlossenes System",1,0),"")</f>
        <v/>
      </c>
      <c r="K769" s="1" t="str">
        <f>IF(AND(Programme_Grunddaten!$A774="Geprüft",Programme_Grunddaten!R774&lt;&gt;""),IF(Programme_Grunddaten!R774="Ja",1,0),"")</f>
        <v/>
      </c>
      <c r="L769" s="1" t="str">
        <f>IF(AND(Programme_Grunddaten!$A774="Geprüft",Programme_Grunddaten!T774&lt;&gt;""),IF(Programme_Grunddaten!T774="Ja",1,0),"")</f>
        <v/>
      </c>
      <c r="M769" s="1" t="str">
        <f>IF(AND(Programme_Grunddaten!$A774="Geprüft",Programme_Grunddaten!U774&lt;&gt;""),IF(Programme_Grunddaten!U774="Ja",1,0),"")</f>
        <v/>
      </c>
      <c r="N769" s="1" t="str">
        <f>IF(AND(Programme_Grunddaten!$A774="Geprüft",Programme_Grunddaten!V774&lt;&gt;""),IF(Programme_Grunddaten!V774="Ja",1,0),"")</f>
        <v/>
      </c>
      <c r="O769" s="1" t="str">
        <f>IF(AND(Programme_Grunddaten!$A774="Geprüft",Programme_Grunddaten!W774&lt;&gt;""),IF(Programme_Grunddaten!W774="Ja",1,0),"")</f>
        <v/>
      </c>
      <c r="P769" s="1" t="str">
        <f>IF(AND(Programme_Grunddaten!$A774="Geprüft",Programme_Grunddaten!X774&lt;&gt;""),IF(Programme_Grunddaten!X774="Ja",1,0),"")</f>
        <v/>
      </c>
      <c r="Q769" s="1" t="str">
        <f>IF(AND(Programme_Grunddaten!$A774="Geprüft",Programme_Grunddaten!Y774&lt;&gt;""),IF(Programme_Grunddaten!Y774="Ja",1,0),"")</f>
        <v/>
      </c>
      <c r="R769" s="1" t="str">
        <f>IF(AND(Programme_Grunddaten!$A774="Geprüft",Programme_Grunddaten!Z774&lt;&gt;""),IF(Programme_Grunddaten!Z774="Ja",1,0),"")</f>
        <v/>
      </c>
      <c r="S769" s="1" t="str">
        <f>IF(AND(Programme_Grunddaten!$A774="Geprüft",Programme_Grunddaten!AA774&lt;&gt;""),IF(Programme_Grunddaten!AA774="monolithisch",1,0),"")</f>
        <v/>
      </c>
      <c r="T769" s="1" t="str">
        <f>IF(AND(Programme_Grunddaten!$A774="Geprüft",Programme_Grunddaten!AB774&lt;&gt;""),IF(Programme_Grunddaten!AB774="Ja",1,0),"")</f>
        <v/>
      </c>
      <c r="U769" s="1" t="str">
        <f>IF(AND(Programme_Grunddaten!$A774="Geprüft",Programme_Grunddaten!AC774&lt;&gt;""),IF(Programme_Grunddaten!AC774="Ja",1,0),"")</f>
        <v/>
      </c>
      <c r="V769" s="1" t="str">
        <f>IF(AND(Programme_Grunddaten!$A774="Geprüft",Programme_Grunddaten!AD774&lt;&gt;""),IF(Programme_Grunddaten!AD774="Ja",1,0),"")</f>
        <v/>
      </c>
      <c r="W769" s="1" t="str">
        <f>IF(AND(Programme_Grunddaten!$A774="Geprüft",Programme_Grunddaten!AE774&lt;&gt;""),IF(Programme_Grunddaten!AE774="Ja",1,0),"")</f>
        <v/>
      </c>
      <c r="X769" s="1" t="str">
        <f>IF(AND(Programme_Grunddaten!$A774="Geprüft",Programme_Grunddaten!AF774&lt;&gt;""),IF(Programme_Grunddaten!AF774="Ja",1,0),"")</f>
        <v/>
      </c>
      <c r="Y769" s="1" t="str">
        <f>IF(AND(Programme_Grunddaten!$A774="Geprüft",Programme_Grunddaten!AG774&lt;&gt;""),IF(Programme_Grunddaten!AG774="Ja",1,0),"")</f>
        <v/>
      </c>
      <c r="Z769" s="1" t="str">
        <f>IF(AND(Programme_Grunddaten!$A774="Geprüft",Programme_Grunddaten!AH774&lt;&gt;""),IF(Programme_Grunddaten!AH774="Ja",1,0),"")</f>
        <v/>
      </c>
      <c r="AA769" s="1" t="str">
        <f>IF(AND(Programme_Grunddaten!$A774="Geprüft",Programme_Grunddaten!AI774&lt;&gt;""),IF(Programme_Grunddaten!AI774="Ja",1,0),"")</f>
        <v/>
      </c>
      <c r="AB769" s="1" t="str">
        <f>IF(AND(Programme_Grunddaten!$A774="Geprüft",Programme_Grunddaten!AJ774&lt;&gt;""),IF(Programme_Grunddaten!AJ774="individuell programmierbar",1,0),"")</f>
        <v/>
      </c>
      <c r="AC769" s="1" t="str">
        <f>IF(AND(Programme_Grunddaten!$A774="Geprüft",Programme_Grunddaten!AK774&lt;&gt;""),IF(Programme_Grunddaten!AK774="Deutsch",0,IF(Programme_Grunddaten!AK774="Deutsch und Englisch",1,2)),"")</f>
        <v/>
      </c>
      <c r="AD769" s="1" t="str">
        <f>IF(AND(Programme_Grunddaten!$A774="Geprüft",Programme_Grunddaten!AL774&lt;&gt;""),IF(Programme_Grunddaten!AL774="Ja",1,0),"")</f>
        <v/>
      </c>
      <c r="AE769" s="1" t="str">
        <f>IF(AND(Programme_Grunddaten!$A774="Geprüft",Programme_Grunddaten!AM774&lt;&gt;""),IF(Programme_Grunddaten!AM774="Ja",1,0),"")</f>
        <v/>
      </c>
      <c r="AF769" s="1" t="str">
        <f>IF(AND(Programme_Grunddaten!$A774="Geprüft",Programme_Grunddaten!AN774&lt;&gt;""),IF(Programme_Grunddaten!AN774="Ja",1,0),"")</f>
        <v/>
      </c>
      <c r="AG769" s="1" t="str">
        <f>IF(AND(Programme_Grunddaten!$A774="Geprüft",Programme_Grunddaten!AO774&lt;&gt;""),IF(Programme_Grunddaten!AO774="Ja",1,0),"")</f>
        <v/>
      </c>
      <c r="AH769" s="1" t="str">
        <f>IF(AND(Programme_Grunddaten!$A774="Geprüft",Programme_Grunddaten!AP774&lt;&gt;""),IF(Programme_Grunddaten!AP774="Ja",1,0),"")</f>
        <v/>
      </c>
      <c r="AI769" s="1" t="str">
        <f>IF(AND(Programme_Grunddaten!$A774="Geprüft",Programme_Grunddaten!AQ774&lt;&gt;""),IF(Programme_Grunddaten!AQ774="Ja",1,0),"")</f>
        <v/>
      </c>
      <c r="AJ769" s="1" t="str">
        <f>IF(AND(Programme_Grunddaten!$A774="Geprüft",Programme_Grunddaten!AR774&lt;&gt;""),IF(Programme_Grunddaten!AR774="Ja",1,0),"")</f>
        <v/>
      </c>
      <c r="AK769" s="1" t="str">
        <f>IF(AND(Programme_Grunddaten!$A774="Geprüft",Programme_Grunddaten!AS774&lt;&gt;""),IF(Programme_Grunddaten!AS774="Ja",1,0),"")</f>
        <v/>
      </c>
      <c r="AL769" s="1" t="str">
        <f>IF(AND(Programme_Grunddaten!$A774="Geprüft",Programme_Grunddaten!AT774&lt;&gt;""),IF(Programme_Grunddaten!AT774="Ja",1,0),"")</f>
        <v/>
      </c>
      <c r="AM769" s="1" t="str">
        <f>IF(AND(Programme_Grunddaten!$A774="Geprüft",Programme_Grunddaten!AU774&lt;&gt;""),IF(Programme_Grunddaten!AU774="Ja",1,0),"")</f>
        <v/>
      </c>
      <c r="AN769" s="1" t="str">
        <f>IF(AND(Programme_Grunddaten!$A774="Geprüft",Programme_Grunddaten!AV774&lt;&gt;""),IF(Programme_Grunddaten!AV774="Ja",1,0),"")</f>
        <v/>
      </c>
    </row>
    <row r="770" spans="1:40" x14ac:dyDescent="0.3">
      <c r="A770" s="1" t="str">
        <f>IF(AND(Programme_Grunddaten!A775="Geprüft",Programme_Grunddaten!B775&lt;&gt;""),Programme_Grunddaten!B775,"")</f>
        <v/>
      </c>
      <c r="B770" s="1" t="str">
        <f>IF(AND(Programme_Grunddaten!$A775="Geprüft",Programme_Grunddaten!I775&lt;&gt;""),IF(Programme_Grunddaten!I775="Ja",1,0),"")</f>
        <v/>
      </c>
      <c r="C770" s="1" t="str">
        <f>IF(AND(Programme_Grunddaten!$A775="Geprüft",Programme_Grunddaten!J775&lt;&gt;""),IF(Programme_Grunddaten!J775="Ja",1,0),"")</f>
        <v/>
      </c>
      <c r="D770" s="1" t="str">
        <f>IF(AND(Programme_Grunddaten!$A775="Geprüft",Programme_Grunddaten!K775&lt;&gt;""),IF(Programme_Grunddaten!K775="Ja",1,0),"")</f>
        <v/>
      </c>
      <c r="E770" s="1" t="str">
        <f>IF(AND(Programme_Grunddaten!$A775="Geprüft",Programme_Grunddaten!L775&lt;&gt;""),IF(Programme_Grunddaten!L775="Abo / befristete Lizenz",1,0),"")</f>
        <v/>
      </c>
      <c r="F770" s="1" t="str">
        <f>IF(AND(Programme_Grunddaten!$A775="Geprüft",Programme_Grunddaten!M775&lt;&gt;""),IF(Programme_Grunddaten!M775="Ja",1,0),"")</f>
        <v/>
      </c>
      <c r="G770" s="1" t="str">
        <f>IF(AND(Programme_Grunddaten!$A775="Geprüft",Programme_Grunddaten!N775&lt;&gt;""),IF(Programme_Grunddaten!N775="Ja",1,0),"")</f>
        <v/>
      </c>
      <c r="H770" s="1" t="str">
        <f>IF(AND(Programme_Grunddaten!$A775="Geprüft",Programme_Grunddaten!O775&lt;&gt;""),IF(Programme_Grunddaten!O775="Deutschland",0,IF(Programme_Grunddaten!O775="EU",1,2)),"")</f>
        <v/>
      </c>
      <c r="I770" s="1" t="str">
        <f>IF(AND(Programme_Grunddaten!$A775="Geprüft",Programme_Grunddaten!P775&lt;&gt;""),IF(Programme_Grunddaten!P775="Ja",1,0),"")</f>
        <v/>
      </c>
      <c r="J770" s="1" t="str">
        <f>IF(AND(Programme_Grunddaten!$A775="Geprüft",Programme_Grunddaten!Q775&lt;&gt;""),IF(Programme_Grunddaten!Q775="geschlossenes System",1,0),"")</f>
        <v/>
      </c>
      <c r="K770" s="1" t="str">
        <f>IF(AND(Programme_Grunddaten!$A775="Geprüft",Programme_Grunddaten!R775&lt;&gt;""),IF(Programme_Grunddaten!R775="Ja",1,0),"")</f>
        <v/>
      </c>
      <c r="L770" s="1" t="str">
        <f>IF(AND(Programme_Grunddaten!$A775="Geprüft",Programme_Grunddaten!T775&lt;&gt;""),IF(Programme_Grunddaten!T775="Ja",1,0),"")</f>
        <v/>
      </c>
      <c r="M770" s="1" t="str">
        <f>IF(AND(Programme_Grunddaten!$A775="Geprüft",Programme_Grunddaten!U775&lt;&gt;""),IF(Programme_Grunddaten!U775="Ja",1,0),"")</f>
        <v/>
      </c>
      <c r="N770" s="1" t="str">
        <f>IF(AND(Programme_Grunddaten!$A775="Geprüft",Programme_Grunddaten!V775&lt;&gt;""),IF(Programme_Grunddaten!V775="Ja",1,0),"")</f>
        <v/>
      </c>
      <c r="O770" s="1" t="str">
        <f>IF(AND(Programme_Grunddaten!$A775="Geprüft",Programme_Grunddaten!W775&lt;&gt;""),IF(Programme_Grunddaten!W775="Ja",1,0),"")</f>
        <v/>
      </c>
      <c r="P770" s="1" t="str">
        <f>IF(AND(Programme_Grunddaten!$A775="Geprüft",Programme_Grunddaten!X775&lt;&gt;""),IF(Programme_Grunddaten!X775="Ja",1,0),"")</f>
        <v/>
      </c>
      <c r="Q770" s="1" t="str">
        <f>IF(AND(Programme_Grunddaten!$A775="Geprüft",Programme_Grunddaten!Y775&lt;&gt;""),IF(Programme_Grunddaten!Y775="Ja",1,0),"")</f>
        <v/>
      </c>
      <c r="R770" s="1" t="str">
        <f>IF(AND(Programme_Grunddaten!$A775="Geprüft",Programme_Grunddaten!Z775&lt;&gt;""),IF(Programme_Grunddaten!Z775="Ja",1,0),"")</f>
        <v/>
      </c>
      <c r="S770" s="1" t="str">
        <f>IF(AND(Programme_Grunddaten!$A775="Geprüft",Programme_Grunddaten!AA775&lt;&gt;""),IF(Programme_Grunddaten!AA775="monolithisch",1,0),"")</f>
        <v/>
      </c>
      <c r="T770" s="1" t="str">
        <f>IF(AND(Programme_Grunddaten!$A775="Geprüft",Programme_Grunddaten!AB775&lt;&gt;""),IF(Programme_Grunddaten!AB775="Ja",1,0),"")</f>
        <v/>
      </c>
      <c r="U770" s="1" t="str">
        <f>IF(AND(Programme_Grunddaten!$A775="Geprüft",Programme_Grunddaten!AC775&lt;&gt;""),IF(Programme_Grunddaten!AC775="Ja",1,0),"")</f>
        <v/>
      </c>
      <c r="V770" s="1" t="str">
        <f>IF(AND(Programme_Grunddaten!$A775="Geprüft",Programme_Grunddaten!AD775&lt;&gt;""),IF(Programme_Grunddaten!AD775="Ja",1,0),"")</f>
        <v/>
      </c>
      <c r="W770" s="1" t="str">
        <f>IF(AND(Programme_Grunddaten!$A775="Geprüft",Programme_Grunddaten!AE775&lt;&gt;""),IF(Programme_Grunddaten!AE775="Ja",1,0),"")</f>
        <v/>
      </c>
      <c r="X770" s="1" t="str">
        <f>IF(AND(Programme_Grunddaten!$A775="Geprüft",Programme_Grunddaten!AF775&lt;&gt;""),IF(Programme_Grunddaten!AF775="Ja",1,0),"")</f>
        <v/>
      </c>
      <c r="Y770" s="1" t="str">
        <f>IF(AND(Programme_Grunddaten!$A775="Geprüft",Programme_Grunddaten!AG775&lt;&gt;""),IF(Programme_Grunddaten!AG775="Ja",1,0),"")</f>
        <v/>
      </c>
      <c r="Z770" s="1" t="str">
        <f>IF(AND(Programme_Grunddaten!$A775="Geprüft",Programme_Grunddaten!AH775&lt;&gt;""),IF(Programme_Grunddaten!AH775="Ja",1,0),"")</f>
        <v/>
      </c>
      <c r="AA770" s="1" t="str">
        <f>IF(AND(Programme_Grunddaten!$A775="Geprüft",Programme_Grunddaten!AI775&lt;&gt;""),IF(Programme_Grunddaten!AI775="Ja",1,0),"")</f>
        <v/>
      </c>
      <c r="AB770" s="1" t="str">
        <f>IF(AND(Programme_Grunddaten!$A775="Geprüft",Programme_Grunddaten!AJ775&lt;&gt;""),IF(Programme_Grunddaten!AJ775="individuell programmierbar",1,0),"")</f>
        <v/>
      </c>
      <c r="AC770" s="1" t="str">
        <f>IF(AND(Programme_Grunddaten!$A775="Geprüft",Programme_Grunddaten!AK775&lt;&gt;""),IF(Programme_Grunddaten!AK775="Deutsch",0,IF(Programme_Grunddaten!AK775="Deutsch und Englisch",1,2)),"")</f>
        <v/>
      </c>
      <c r="AD770" s="1" t="str">
        <f>IF(AND(Programme_Grunddaten!$A775="Geprüft",Programme_Grunddaten!AL775&lt;&gt;""),IF(Programme_Grunddaten!AL775="Ja",1,0),"")</f>
        <v/>
      </c>
      <c r="AE770" s="1" t="str">
        <f>IF(AND(Programme_Grunddaten!$A775="Geprüft",Programme_Grunddaten!AM775&lt;&gt;""),IF(Programme_Grunddaten!AM775="Ja",1,0),"")</f>
        <v/>
      </c>
      <c r="AF770" s="1" t="str">
        <f>IF(AND(Programme_Grunddaten!$A775="Geprüft",Programme_Grunddaten!AN775&lt;&gt;""),IF(Programme_Grunddaten!AN775="Ja",1,0),"")</f>
        <v/>
      </c>
      <c r="AG770" s="1" t="str">
        <f>IF(AND(Programme_Grunddaten!$A775="Geprüft",Programme_Grunddaten!AO775&lt;&gt;""),IF(Programme_Grunddaten!AO775="Ja",1,0),"")</f>
        <v/>
      </c>
      <c r="AH770" s="1" t="str">
        <f>IF(AND(Programme_Grunddaten!$A775="Geprüft",Programme_Grunddaten!AP775&lt;&gt;""),IF(Programme_Grunddaten!AP775="Ja",1,0),"")</f>
        <v/>
      </c>
      <c r="AI770" s="1" t="str">
        <f>IF(AND(Programme_Grunddaten!$A775="Geprüft",Programme_Grunddaten!AQ775&lt;&gt;""),IF(Programme_Grunddaten!AQ775="Ja",1,0),"")</f>
        <v/>
      </c>
      <c r="AJ770" s="1" t="str">
        <f>IF(AND(Programme_Grunddaten!$A775="Geprüft",Programme_Grunddaten!AR775&lt;&gt;""),IF(Programme_Grunddaten!AR775="Ja",1,0),"")</f>
        <v/>
      </c>
      <c r="AK770" s="1" t="str">
        <f>IF(AND(Programme_Grunddaten!$A775="Geprüft",Programme_Grunddaten!AS775&lt;&gt;""),IF(Programme_Grunddaten!AS775="Ja",1,0),"")</f>
        <v/>
      </c>
      <c r="AL770" s="1" t="str">
        <f>IF(AND(Programme_Grunddaten!$A775="Geprüft",Programme_Grunddaten!AT775&lt;&gt;""),IF(Programme_Grunddaten!AT775="Ja",1,0),"")</f>
        <v/>
      </c>
      <c r="AM770" s="1" t="str">
        <f>IF(AND(Programme_Grunddaten!$A775="Geprüft",Programme_Grunddaten!AU775&lt;&gt;""),IF(Programme_Grunddaten!AU775="Ja",1,0),"")</f>
        <v/>
      </c>
      <c r="AN770" s="1" t="str">
        <f>IF(AND(Programme_Grunddaten!$A775="Geprüft",Programme_Grunddaten!AV775&lt;&gt;""),IF(Programme_Grunddaten!AV775="Ja",1,0),"")</f>
        <v/>
      </c>
    </row>
    <row r="771" spans="1:40" x14ac:dyDescent="0.3">
      <c r="A771" s="1" t="str">
        <f>IF(AND(Programme_Grunddaten!A776="Geprüft",Programme_Grunddaten!B776&lt;&gt;""),Programme_Grunddaten!B776,"")</f>
        <v/>
      </c>
      <c r="B771" s="1" t="str">
        <f>IF(AND(Programme_Grunddaten!$A776="Geprüft",Programme_Grunddaten!I776&lt;&gt;""),IF(Programme_Grunddaten!I776="Ja",1,0),"")</f>
        <v/>
      </c>
      <c r="C771" s="1" t="str">
        <f>IF(AND(Programme_Grunddaten!$A776="Geprüft",Programme_Grunddaten!J776&lt;&gt;""),IF(Programme_Grunddaten!J776="Ja",1,0),"")</f>
        <v/>
      </c>
      <c r="D771" s="1" t="str">
        <f>IF(AND(Programme_Grunddaten!$A776="Geprüft",Programme_Grunddaten!K776&lt;&gt;""),IF(Programme_Grunddaten!K776="Ja",1,0),"")</f>
        <v/>
      </c>
      <c r="E771" s="1" t="str">
        <f>IF(AND(Programme_Grunddaten!$A776="Geprüft",Programme_Grunddaten!L776&lt;&gt;""),IF(Programme_Grunddaten!L776="Abo / befristete Lizenz",1,0),"")</f>
        <v/>
      </c>
      <c r="F771" s="1" t="str">
        <f>IF(AND(Programme_Grunddaten!$A776="Geprüft",Programme_Grunddaten!M776&lt;&gt;""),IF(Programme_Grunddaten!M776="Ja",1,0),"")</f>
        <v/>
      </c>
      <c r="G771" s="1" t="str">
        <f>IF(AND(Programme_Grunddaten!$A776="Geprüft",Programme_Grunddaten!N776&lt;&gt;""),IF(Programme_Grunddaten!N776="Ja",1,0),"")</f>
        <v/>
      </c>
      <c r="H771" s="1" t="str">
        <f>IF(AND(Programme_Grunddaten!$A776="Geprüft",Programme_Grunddaten!O776&lt;&gt;""),IF(Programme_Grunddaten!O776="Deutschland",0,IF(Programme_Grunddaten!O776="EU",1,2)),"")</f>
        <v/>
      </c>
      <c r="I771" s="1" t="str">
        <f>IF(AND(Programme_Grunddaten!$A776="Geprüft",Programme_Grunddaten!P776&lt;&gt;""),IF(Programme_Grunddaten!P776="Ja",1,0),"")</f>
        <v/>
      </c>
      <c r="J771" s="1" t="str">
        <f>IF(AND(Programme_Grunddaten!$A776="Geprüft",Programme_Grunddaten!Q776&lt;&gt;""),IF(Programme_Grunddaten!Q776="geschlossenes System",1,0),"")</f>
        <v/>
      </c>
      <c r="K771" s="1" t="str">
        <f>IF(AND(Programme_Grunddaten!$A776="Geprüft",Programme_Grunddaten!R776&lt;&gt;""),IF(Programme_Grunddaten!R776="Ja",1,0),"")</f>
        <v/>
      </c>
      <c r="L771" s="1" t="str">
        <f>IF(AND(Programme_Grunddaten!$A776="Geprüft",Programme_Grunddaten!T776&lt;&gt;""),IF(Programme_Grunddaten!T776="Ja",1,0),"")</f>
        <v/>
      </c>
      <c r="M771" s="1" t="str">
        <f>IF(AND(Programme_Grunddaten!$A776="Geprüft",Programme_Grunddaten!U776&lt;&gt;""),IF(Programme_Grunddaten!U776="Ja",1,0),"")</f>
        <v/>
      </c>
      <c r="N771" s="1" t="str">
        <f>IF(AND(Programme_Grunddaten!$A776="Geprüft",Programme_Grunddaten!V776&lt;&gt;""),IF(Programme_Grunddaten!V776="Ja",1,0),"")</f>
        <v/>
      </c>
      <c r="O771" s="1" t="str">
        <f>IF(AND(Programme_Grunddaten!$A776="Geprüft",Programme_Grunddaten!W776&lt;&gt;""),IF(Programme_Grunddaten!W776="Ja",1,0),"")</f>
        <v/>
      </c>
      <c r="P771" s="1" t="str">
        <f>IF(AND(Programme_Grunddaten!$A776="Geprüft",Programme_Grunddaten!X776&lt;&gt;""),IF(Programme_Grunddaten!X776="Ja",1,0),"")</f>
        <v/>
      </c>
      <c r="Q771" s="1" t="str">
        <f>IF(AND(Programme_Grunddaten!$A776="Geprüft",Programme_Grunddaten!Y776&lt;&gt;""),IF(Programme_Grunddaten!Y776="Ja",1,0),"")</f>
        <v/>
      </c>
      <c r="R771" s="1" t="str">
        <f>IF(AND(Programme_Grunddaten!$A776="Geprüft",Programme_Grunddaten!Z776&lt;&gt;""),IF(Programme_Grunddaten!Z776="Ja",1,0),"")</f>
        <v/>
      </c>
      <c r="S771" s="1" t="str">
        <f>IF(AND(Programme_Grunddaten!$A776="Geprüft",Programme_Grunddaten!AA776&lt;&gt;""),IF(Programme_Grunddaten!AA776="monolithisch",1,0),"")</f>
        <v/>
      </c>
      <c r="T771" s="1" t="str">
        <f>IF(AND(Programme_Grunddaten!$A776="Geprüft",Programme_Grunddaten!AB776&lt;&gt;""),IF(Programme_Grunddaten!AB776="Ja",1,0),"")</f>
        <v/>
      </c>
      <c r="U771" s="1" t="str">
        <f>IF(AND(Programme_Grunddaten!$A776="Geprüft",Programme_Grunddaten!AC776&lt;&gt;""),IF(Programme_Grunddaten!AC776="Ja",1,0),"")</f>
        <v/>
      </c>
      <c r="V771" s="1" t="str">
        <f>IF(AND(Programme_Grunddaten!$A776="Geprüft",Programme_Grunddaten!AD776&lt;&gt;""),IF(Programme_Grunddaten!AD776="Ja",1,0),"")</f>
        <v/>
      </c>
      <c r="W771" s="1" t="str">
        <f>IF(AND(Programme_Grunddaten!$A776="Geprüft",Programme_Grunddaten!AE776&lt;&gt;""),IF(Programme_Grunddaten!AE776="Ja",1,0),"")</f>
        <v/>
      </c>
      <c r="X771" s="1" t="str">
        <f>IF(AND(Programme_Grunddaten!$A776="Geprüft",Programme_Grunddaten!AF776&lt;&gt;""),IF(Programme_Grunddaten!AF776="Ja",1,0),"")</f>
        <v/>
      </c>
      <c r="Y771" s="1" t="str">
        <f>IF(AND(Programme_Grunddaten!$A776="Geprüft",Programme_Grunddaten!AG776&lt;&gt;""),IF(Programme_Grunddaten!AG776="Ja",1,0),"")</f>
        <v/>
      </c>
      <c r="Z771" s="1" t="str">
        <f>IF(AND(Programme_Grunddaten!$A776="Geprüft",Programme_Grunddaten!AH776&lt;&gt;""),IF(Programme_Grunddaten!AH776="Ja",1,0),"")</f>
        <v/>
      </c>
      <c r="AA771" s="1" t="str">
        <f>IF(AND(Programme_Grunddaten!$A776="Geprüft",Programme_Grunddaten!AI776&lt;&gt;""),IF(Programme_Grunddaten!AI776="Ja",1,0),"")</f>
        <v/>
      </c>
      <c r="AB771" s="1" t="str">
        <f>IF(AND(Programme_Grunddaten!$A776="Geprüft",Programme_Grunddaten!AJ776&lt;&gt;""),IF(Programme_Grunddaten!AJ776="individuell programmierbar",1,0),"")</f>
        <v/>
      </c>
      <c r="AC771" s="1" t="str">
        <f>IF(AND(Programme_Grunddaten!$A776="Geprüft",Programme_Grunddaten!AK776&lt;&gt;""),IF(Programme_Grunddaten!AK776="Deutsch",0,IF(Programme_Grunddaten!AK776="Deutsch und Englisch",1,2)),"")</f>
        <v/>
      </c>
      <c r="AD771" s="1" t="str">
        <f>IF(AND(Programme_Grunddaten!$A776="Geprüft",Programme_Grunddaten!AL776&lt;&gt;""),IF(Programme_Grunddaten!AL776="Ja",1,0),"")</f>
        <v/>
      </c>
      <c r="AE771" s="1" t="str">
        <f>IF(AND(Programme_Grunddaten!$A776="Geprüft",Programme_Grunddaten!AM776&lt;&gt;""),IF(Programme_Grunddaten!AM776="Ja",1,0),"")</f>
        <v/>
      </c>
      <c r="AF771" s="1" t="str">
        <f>IF(AND(Programme_Grunddaten!$A776="Geprüft",Programme_Grunddaten!AN776&lt;&gt;""),IF(Programme_Grunddaten!AN776="Ja",1,0),"")</f>
        <v/>
      </c>
      <c r="AG771" s="1" t="str">
        <f>IF(AND(Programme_Grunddaten!$A776="Geprüft",Programme_Grunddaten!AO776&lt;&gt;""),IF(Programme_Grunddaten!AO776="Ja",1,0),"")</f>
        <v/>
      </c>
      <c r="AH771" s="1" t="str">
        <f>IF(AND(Programme_Grunddaten!$A776="Geprüft",Programme_Grunddaten!AP776&lt;&gt;""),IF(Programme_Grunddaten!AP776="Ja",1,0),"")</f>
        <v/>
      </c>
      <c r="AI771" s="1" t="str">
        <f>IF(AND(Programme_Grunddaten!$A776="Geprüft",Programme_Grunddaten!AQ776&lt;&gt;""),IF(Programme_Grunddaten!AQ776="Ja",1,0),"")</f>
        <v/>
      </c>
      <c r="AJ771" s="1" t="str">
        <f>IF(AND(Programme_Grunddaten!$A776="Geprüft",Programme_Grunddaten!AR776&lt;&gt;""),IF(Programme_Grunddaten!AR776="Ja",1,0),"")</f>
        <v/>
      </c>
      <c r="AK771" s="1" t="str">
        <f>IF(AND(Programme_Grunddaten!$A776="Geprüft",Programme_Grunddaten!AS776&lt;&gt;""),IF(Programme_Grunddaten!AS776="Ja",1,0),"")</f>
        <v/>
      </c>
      <c r="AL771" s="1" t="str">
        <f>IF(AND(Programme_Grunddaten!$A776="Geprüft",Programme_Grunddaten!AT776&lt;&gt;""),IF(Programme_Grunddaten!AT776="Ja",1,0),"")</f>
        <v/>
      </c>
      <c r="AM771" s="1" t="str">
        <f>IF(AND(Programme_Grunddaten!$A776="Geprüft",Programme_Grunddaten!AU776&lt;&gt;""),IF(Programme_Grunddaten!AU776="Ja",1,0),"")</f>
        <v/>
      </c>
      <c r="AN771" s="1" t="str">
        <f>IF(AND(Programme_Grunddaten!$A776="Geprüft",Programme_Grunddaten!AV776&lt;&gt;""),IF(Programme_Grunddaten!AV776="Ja",1,0),"")</f>
        <v/>
      </c>
    </row>
    <row r="772" spans="1:40" x14ac:dyDescent="0.3">
      <c r="A772" s="1" t="str">
        <f>IF(AND(Programme_Grunddaten!A777="Geprüft",Programme_Grunddaten!B777&lt;&gt;""),Programme_Grunddaten!B777,"")</f>
        <v/>
      </c>
      <c r="B772" s="1" t="str">
        <f>IF(AND(Programme_Grunddaten!$A777="Geprüft",Programme_Grunddaten!I777&lt;&gt;""),IF(Programme_Grunddaten!I777="Ja",1,0),"")</f>
        <v/>
      </c>
      <c r="C772" s="1" t="str">
        <f>IF(AND(Programme_Grunddaten!$A777="Geprüft",Programme_Grunddaten!J777&lt;&gt;""),IF(Programme_Grunddaten!J777="Ja",1,0),"")</f>
        <v/>
      </c>
      <c r="D772" s="1" t="str">
        <f>IF(AND(Programme_Grunddaten!$A777="Geprüft",Programme_Grunddaten!K777&lt;&gt;""),IF(Programme_Grunddaten!K777="Ja",1,0),"")</f>
        <v/>
      </c>
      <c r="E772" s="1" t="str">
        <f>IF(AND(Programme_Grunddaten!$A777="Geprüft",Programme_Grunddaten!L777&lt;&gt;""),IF(Programme_Grunddaten!L777="Abo / befristete Lizenz",1,0),"")</f>
        <v/>
      </c>
      <c r="F772" s="1" t="str">
        <f>IF(AND(Programme_Grunddaten!$A777="Geprüft",Programme_Grunddaten!M777&lt;&gt;""),IF(Programme_Grunddaten!M777="Ja",1,0),"")</f>
        <v/>
      </c>
      <c r="G772" s="1" t="str">
        <f>IF(AND(Programme_Grunddaten!$A777="Geprüft",Programme_Grunddaten!N777&lt;&gt;""),IF(Programme_Grunddaten!N777="Ja",1,0),"")</f>
        <v/>
      </c>
      <c r="H772" s="1" t="str">
        <f>IF(AND(Programme_Grunddaten!$A777="Geprüft",Programme_Grunddaten!O777&lt;&gt;""),IF(Programme_Grunddaten!O777="Deutschland",0,IF(Programme_Grunddaten!O777="EU",1,2)),"")</f>
        <v/>
      </c>
      <c r="I772" s="1" t="str">
        <f>IF(AND(Programme_Grunddaten!$A777="Geprüft",Programme_Grunddaten!P777&lt;&gt;""),IF(Programme_Grunddaten!P777="Ja",1,0),"")</f>
        <v/>
      </c>
      <c r="J772" s="1" t="str">
        <f>IF(AND(Programme_Grunddaten!$A777="Geprüft",Programme_Grunddaten!Q777&lt;&gt;""),IF(Programme_Grunddaten!Q777="geschlossenes System",1,0),"")</f>
        <v/>
      </c>
      <c r="K772" s="1" t="str">
        <f>IF(AND(Programme_Grunddaten!$A777="Geprüft",Programme_Grunddaten!R777&lt;&gt;""),IF(Programme_Grunddaten!R777="Ja",1,0),"")</f>
        <v/>
      </c>
      <c r="L772" s="1" t="str">
        <f>IF(AND(Programme_Grunddaten!$A777="Geprüft",Programme_Grunddaten!T777&lt;&gt;""),IF(Programme_Grunddaten!T777="Ja",1,0),"")</f>
        <v/>
      </c>
      <c r="M772" s="1" t="str">
        <f>IF(AND(Programme_Grunddaten!$A777="Geprüft",Programme_Grunddaten!U777&lt;&gt;""),IF(Programme_Grunddaten!U777="Ja",1,0),"")</f>
        <v/>
      </c>
      <c r="N772" s="1" t="str">
        <f>IF(AND(Programme_Grunddaten!$A777="Geprüft",Programme_Grunddaten!V777&lt;&gt;""),IF(Programme_Grunddaten!V777="Ja",1,0),"")</f>
        <v/>
      </c>
      <c r="O772" s="1" t="str">
        <f>IF(AND(Programme_Grunddaten!$A777="Geprüft",Programme_Grunddaten!W777&lt;&gt;""),IF(Programme_Grunddaten!W777="Ja",1,0),"")</f>
        <v/>
      </c>
      <c r="P772" s="1" t="str">
        <f>IF(AND(Programme_Grunddaten!$A777="Geprüft",Programme_Grunddaten!X777&lt;&gt;""),IF(Programme_Grunddaten!X777="Ja",1,0),"")</f>
        <v/>
      </c>
      <c r="Q772" s="1" t="str">
        <f>IF(AND(Programme_Grunddaten!$A777="Geprüft",Programme_Grunddaten!Y777&lt;&gt;""),IF(Programme_Grunddaten!Y777="Ja",1,0),"")</f>
        <v/>
      </c>
      <c r="R772" s="1" t="str">
        <f>IF(AND(Programme_Grunddaten!$A777="Geprüft",Programme_Grunddaten!Z777&lt;&gt;""),IF(Programme_Grunddaten!Z777="Ja",1,0),"")</f>
        <v/>
      </c>
      <c r="S772" s="1" t="str">
        <f>IF(AND(Programme_Grunddaten!$A777="Geprüft",Programme_Grunddaten!AA777&lt;&gt;""),IF(Programme_Grunddaten!AA777="monolithisch",1,0),"")</f>
        <v/>
      </c>
      <c r="T772" s="1" t="str">
        <f>IF(AND(Programme_Grunddaten!$A777="Geprüft",Programme_Grunddaten!AB777&lt;&gt;""),IF(Programme_Grunddaten!AB777="Ja",1,0),"")</f>
        <v/>
      </c>
      <c r="U772" s="1" t="str">
        <f>IF(AND(Programme_Grunddaten!$A777="Geprüft",Programme_Grunddaten!AC777&lt;&gt;""),IF(Programme_Grunddaten!AC777="Ja",1,0),"")</f>
        <v/>
      </c>
      <c r="V772" s="1" t="str">
        <f>IF(AND(Programme_Grunddaten!$A777="Geprüft",Programme_Grunddaten!AD777&lt;&gt;""),IF(Programme_Grunddaten!AD777="Ja",1,0),"")</f>
        <v/>
      </c>
      <c r="W772" s="1" t="str">
        <f>IF(AND(Programme_Grunddaten!$A777="Geprüft",Programme_Grunddaten!AE777&lt;&gt;""),IF(Programme_Grunddaten!AE777="Ja",1,0),"")</f>
        <v/>
      </c>
      <c r="X772" s="1" t="str">
        <f>IF(AND(Programme_Grunddaten!$A777="Geprüft",Programme_Grunddaten!AF777&lt;&gt;""),IF(Programme_Grunddaten!AF777="Ja",1,0),"")</f>
        <v/>
      </c>
      <c r="Y772" s="1" t="str">
        <f>IF(AND(Programme_Grunddaten!$A777="Geprüft",Programme_Grunddaten!AG777&lt;&gt;""),IF(Programme_Grunddaten!AG777="Ja",1,0),"")</f>
        <v/>
      </c>
      <c r="Z772" s="1" t="str">
        <f>IF(AND(Programme_Grunddaten!$A777="Geprüft",Programme_Grunddaten!AH777&lt;&gt;""),IF(Programme_Grunddaten!AH777="Ja",1,0),"")</f>
        <v/>
      </c>
      <c r="AA772" s="1" t="str">
        <f>IF(AND(Programme_Grunddaten!$A777="Geprüft",Programme_Grunddaten!AI777&lt;&gt;""),IF(Programme_Grunddaten!AI777="Ja",1,0),"")</f>
        <v/>
      </c>
      <c r="AB772" s="1" t="str">
        <f>IF(AND(Programme_Grunddaten!$A777="Geprüft",Programme_Grunddaten!AJ777&lt;&gt;""),IF(Programme_Grunddaten!AJ777="individuell programmierbar",1,0),"")</f>
        <v/>
      </c>
      <c r="AC772" s="1" t="str">
        <f>IF(AND(Programme_Grunddaten!$A777="Geprüft",Programme_Grunddaten!AK777&lt;&gt;""),IF(Programme_Grunddaten!AK777="Deutsch",0,IF(Programme_Grunddaten!AK777="Deutsch und Englisch",1,2)),"")</f>
        <v/>
      </c>
      <c r="AD772" s="1" t="str">
        <f>IF(AND(Programme_Grunddaten!$A777="Geprüft",Programme_Grunddaten!AL777&lt;&gt;""),IF(Programme_Grunddaten!AL777="Ja",1,0),"")</f>
        <v/>
      </c>
      <c r="AE772" s="1" t="str">
        <f>IF(AND(Programme_Grunddaten!$A777="Geprüft",Programme_Grunddaten!AM777&lt;&gt;""),IF(Programme_Grunddaten!AM777="Ja",1,0),"")</f>
        <v/>
      </c>
      <c r="AF772" s="1" t="str">
        <f>IF(AND(Programme_Grunddaten!$A777="Geprüft",Programme_Grunddaten!AN777&lt;&gt;""),IF(Programme_Grunddaten!AN777="Ja",1,0),"")</f>
        <v/>
      </c>
      <c r="AG772" s="1" t="str">
        <f>IF(AND(Programme_Grunddaten!$A777="Geprüft",Programme_Grunddaten!AO777&lt;&gt;""),IF(Programme_Grunddaten!AO777="Ja",1,0),"")</f>
        <v/>
      </c>
      <c r="AH772" s="1" t="str">
        <f>IF(AND(Programme_Grunddaten!$A777="Geprüft",Programme_Grunddaten!AP777&lt;&gt;""),IF(Programme_Grunddaten!AP777="Ja",1,0),"")</f>
        <v/>
      </c>
      <c r="AI772" s="1" t="str">
        <f>IF(AND(Programme_Grunddaten!$A777="Geprüft",Programme_Grunddaten!AQ777&lt;&gt;""),IF(Programme_Grunddaten!AQ777="Ja",1,0),"")</f>
        <v/>
      </c>
      <c r="AJ772" s="1" t="str">
        <f>IF(AND(Programme_Grunddaten!$A777="Geprüft",Programme_Grunddaten!AR777&lt;&gt;""),IF(Programme_Grunddaten!AR777="Ja",1,0),"")</f>
        <v/>
      </c>
      <c r="AK772" s="1" t="str">
        <f>IF(AND(Programme_Grunddaten!$A777="Geprüft",Programme_Grunddaten!AS777&lt;&gt;""),IF(Programme_Grunddaten!AS777="Ja",1,0),"")</f>
        <v/>
      </c>
      <c r="AL772" s="1" t="str">
        <f>IF(AND(Programme_Grunddaten!$A777="Geprüft",Programme_Grunddaten!AT777&lt;&gt;""),IF(Programme_Grunddaten!AT777="Ja",1,0),"")</f>
        <v/>
      </c>
      <c r="AM772" s="1" t="str">
        <f>IF(AND(Programme_Grunddaten!$A777="Geprüft",Programme_Grunddaten!AU777&lt;&gt;""),IF(Programme_Grunddaten!AU777="Ja",1,0),"")</f>
        <v/>
      </c>
      <c r="AN772" s="1" t="str">
        <f>IF(AND(Programme_Grunddaten!$A777="Geprüft",Programme_Grunddaten!AV777&lt;&gt;""),IF(Programme_Grunddaten!AV777="Ja",1,0),"")</f>
        <v/>
      </c>
    </row>
    <row r="773" spans="1:40" x14ac:dyDescent="0.3">
      <c r="A773" s="1" t="str">
        <f>IF(AND(Programme_Grunddaten!A778="Geprüft",Programme_Grunddaten!B778&lt;&gt;""),Programme_Grunddaten!B778,"")</f>
        <v/>
      </c>
      <c r="B773" s="1" t="str">
        <f>IF(AND(Programme_Grunddaten!$A778="Geprüft",Programme_Grunddaten!I778&lt;&gt;""),IF(Programme_Grunddaten!I778="Ja",1,0),"")</f>
        <v/>
      </c>
      <c r="C773" s="1" t="str">
        <f>IF(AND(Programme_Grunddaten!$A778="Geprüft",Programme_Grunddaten!J778&lt;&gt;""),IF(Programme_Grunddaten!J778="Ja",1,0),"")</f>
        <v/>
      </c>
      <c r="D773" s="1" t="str">
        <f>IF(AND(Programme_Grunddaten!$A778="Geprüft",Programme_Grunddaten!K778&lt;&gt;""),IF(Programme_Grunddaten!K778="Ja",1,0),"")</f>
        <v/>
      </c>
      <c r="E773" s="1" t="str">
        <f>IF(AND(Programme_Grunddaten!$A778="Geprüft",Programme_Grunddaten!L778&lt;&gt;""),IF(Programme_Grunddaten!L778="Abo / befristete Lizenz",1,0),"")</f>
        <v/>
      </c>
      <c r="F773" s="1" t="str">
        <f>IF(AND(Programme_Grunddaten!$A778="Geprüft",Programme_Grunddaten!M778&lt;&gt;""),IF(Programme_Grunddaten!M778="Ja",1,0),"")</f>
        <v/>
      </c>
      <c r="G773" s="1" t="str">
        <f>IF(AND(Programme_Grunddaten!$A778="Geprüft",Programme_Grunddaten!N778&lt;&gt;""),IF(Programme_Grunddaten!N778="Ja",1,0),"")</f>
        <v/>
      </c>
      <c r="H773" s="1" t="str">
        <f>IF(AND(Programme_Grunddaten!$A778="Geprüft",Programme_Grunddaten!O778&lt;&gt;""),IF(Programme_Grunddaten!O778="Deutschland",0,IF(Programme_Grunddaten!O778="EU",1,2)),"")</f>
        <v/>
      </c>
      <c r="I773" s="1" t="str">
        <f>IF(AND(Programme_Grunddaten!$A778="Geprüft",Programme_Grunddaten!P778&lt;&gt;""),IF(Programme_Grunddaten!P778="Ja",1,0),"")</f>
        <v/>
      </c>
      <c r="J773" s="1" t="str">
        <f>IF(AND(Programme_Grunddaten!$A778="Geprüft",Programme_Grunddaten!Q778&lt;&gt;""),IF(Programme_Grunddaten!Q778="geschlossenes System",1,0),"")</f>
        <v/>
      </c>
      <c r="K773" s="1" t="str">
        <f>IF(AND(Programme_Grunddaten!$A778="Geprüft",Programme_Grunddaten!R778&lt;&gt;""),IF(Programme_Grunddaten!R778="Ja",1,0),"")</f>
        <v/>
      </c>
      <c r="L773" s="1" t="str">
        <f>IF(AND(Programme_Grunddaten!$A778="Geprüft",Programme_Grunddaten!T778&lt;&gt;""),IF(Programme_Grunddaten!T778="Ja",1,0),"")</f>
        <v/>
      </c>
      <c r="M773" s="1" t="str">
        <f>IF(AND(Programme_Grunddaten!$A778="Geprüft",Programme_Grunddaten!U778&lt;&gt;""),IF(Programme_Grunddaten!U778="Ja",1,0),"")</f>
        <v/>
      </c>
      <c r="N773" s="1" t="str">
        <f>IF(AND(Programme_Grunddaten!$A778="Geprüft",Programme_Grunddaten!V778&lt;&gt;""),IF(Programme_Grunddaten!V778="Ja",1,0),"")</f>
        <v/>
      </c>
      <c r="O773" s="1" t="str">
        <f>IF(AND(Programme_Grunddaten!$A778="Geprüft",Programme_Grunddaten!W778&lt;&gt;""),IF(Programme_Grunddaten!W778="Ja",1,0),"")</f>
        <v/>
      </c>
      <c r="P773" s="1" t="str">
        <f>IF(AND(Programme_Grunddaten!$A778="Geprüft",Programme_Grunddaten!X778&lt;&gt;""),IF(Programme_Grunddaten!X778="Ja",1,0),"")</f>
        <v/>
      </c>
      <c r="Q773" s="1" t="str">
        <f>IF(AND(Programme_Grunddaten!$A778="Geprüft",Programme_Grunddaten!Y778&lt;&gt;""),IF(Programme_Grunddaten!Y778="Ja",1,0),"")</f>
        <v/>
      </c>
      <c r="R773" s="1" t="str">
        <f>IF(AND(Programme_Grunddaten!$A778="Geprüft",Programme_Grunddaten!Z778&lt;&gt;""),IF(Programme_Grunddaten!Z778="Ja",1,0),"")</f>
        <v/>
      </c>
      <c r="S773" s="1" t="str">
        <f>IF(AND(Programme_Grunddaten!$A778="Geprüft",Programme_Grunddaten!AA778&lt;&gt;""),IF(Programme_Grunddaten!AA778="monolithisch",1,0),"")</f>
        <v/>
      </c>
      <c r="T773" s="1" t="str">
        <f>IF(AND(Programme_Grunddaten!$A778="Geprüft",Programme_Grunddaten!AB778&lt;&gt;""),IF(Programme_Grunddaten!AB778="Ja",1,0),"")</f>
        <v/>
      </c>
      <c r="U773" s="1" t="str">
        <f>IF(AND(Programme_Grunddaten!$A778="Geprüft",Programme_Grunddaten!AC778&lt;&gt;""),IF(Programme_Grunddaten!AC778="Ja",1,0),"")</f>
        <v/>
      </c>
      <c r="V773" s="1" t="str">
        <f>IF(AND(Programme_Grunddaten!$A778="Geprüft",Programme_Grunddaten!AD778&lt;&gt;""),IF(Programme_Grunddaten!AD778="Ja",1,0),"")</f>
        <v/>
      </c>
      <c r="W773" s="1" t="str">
        <f>IF(AND(Programme_Grunddaten!$A778="Geprüft",Programme_Grunddaten!AE778&lt;&gt;""),IF(Programme_Grunddaten!AE778="Ja",1,0),"")</f>
        <v/>
      </c>
      <c r="X773" s="1" t="str">
        <f>IF(AND(Programme_Grunddaten!$A778="Geprüft",Programme_Grunddaten!AF778&lt;&gt;""),IF(Programme_Grunddaten!AF778="Ja",1,0),"")</f>
        <v/>
      </c>
      <c r="Y773" s="1" t="str">
        <f>IF(AND(Programme_Grunddaten!$A778="Geprüft",Programme_Grunddaten!AG778&lt;&gt;""),IF(Programme_Grunddaten!AG778="Ja",1,0),"")</f>
        <v/>
      </c>
      <c r="Z773" s="1" t="str">
        <f>IF(AND(Programme_Grunddaten!$A778="Geprüft",Programme_Grunddaten!AH778&lt;&gt;""),IF(Programme_Grunddaten!AH778="Ja",1,0),"")</f>
        <v/>
      </c>
      <c r="AA773" s="1" t="str">
        <f>IF(AND(Programme_Grunddaten!$A778="Geprüft",Programme_Grunddaten!AI778&lt;&gt;""),IF(Programme_Grunddaten!AI778="Ja",1,0),"")</f>
        <v/>
      </c>
      <c r="AB773" s="1" t="str">
        <f>IF(AND(Programme_Grunddaten!$A778="Geprüft",Programme_Grunddaten!AJ778&lt;&gt;""),IF(Programme_Grunddaten!AJ778="individuell programmierbar",1,0),"")</f>
        <v/>
      </c>
      <c r="AC773" s="1" t="str">
        <f>IF(AND(Programme_Grunddaten!$A778="Geprüft",Programme_Grunddaten!AK778&lt;&gt;""),IF(Programme_Grunddaten!AK778="Deutsch",0,IF(Programme_Grunddaten!AK778="Deutsch und Englisch",1,2)),"")</f>
        <v/>
      </c>
      <c r="AD773" s="1" t="str">
        <f>IF(AND(Programme_Grunddaten!$A778="Geprüft",Programme_Grunddaten!AL778&lt;&gt;""),IF(Programme_Grunddaten!AL778="Ja",1,0),"")</f>
        <v/>
      </c>
      <c r="AE773" s="1" t="str">
        <f>IF(AND(Programme_Grunddaten!$A778="Geprüft",Programme_Grunddaten!AM778&lt;&gt;""),IF(Programme_Grunddaten!AM778="Ja",1,0),"")</f>
        <v/>
      </c>
      <c r="AF773" s="1" t="str">
        <f>IF(AND(Programme_Grunddaten!$A778="Geprüft",Programme_Grunddaten!AN778&lt;&gt;""),IF(Programme_Grunddaten!AN778="Ja",1,0),"")</f>
        <v/>
      </c>
      <c r="AG773" s="1" t="str">
        <f>IF(AND(Programme_Grunddaten!$A778="Geprüft",Programme_Grunddaten!AO778&lt;&gt;""),IF(Programme_Grunddaten!AO778="Ja",1,0),"")</f>
        <v/>
      </c>
      <c r="AH773" s="1" t="str">
        <f>IF(AND(Programme_Grunddaten!$A778="Geprüft",Programme_Grunddaten!AP778&lt;&gt;""),IF(Programme_Grunddaten!AP778="Ja",1,0),"")</f>
        <v/>
      </c>
      <c r="AI773" s="1" t="str">
        <f>IF(AND(Programme_Grunddaten!$A778="Geprüft",Programme_Grunddaten!AQ778&lt;&gt;""),IF(Programme_Grunddaten!AQ778="Ja",1,0),"")</f>
        <v/>
      </c>
      <c r="AJ773" s="1" t="str">
        <f>IF(AND(Programme_Grunddaten!$A778="Geprüft",Programme_Grunddaten!AR778&lt;&gt;""),IF(Programme_Grunddaten!AR778="Ja",1,0),"")</f>
        <v/>
      </c>
      <c r="AK773" s="1" t="str">
        <f>IF(AND(Programme_Grunddaten!$A778="Geprüft",Programme_Grunddaten!AS778&lt;&gt;""),IF(Programme_Grunddaten!AS778="Ja",1,0),"")</f>
        <v/>
      </c>
      <c r="AL773" s="1" t="str">
        <f>IF(AND(Programme_Grunddaten!$A778="Geprüft",Programme_Grunddaten!AT778&lt;&gt;""),IF(Programme_Grunddaten!AT778="Ja",1,0),"")</f>
        <v/>
      </c>
      <c r="AM773" s="1" t="str">
        <f>IF(AND(Programme_Grunddaten!$A778="Geprüft",Programme_Grunddaten!AU778&lt;&gt;""),IF(Programme_Grunddaten!AU778="Ja",1,0),"")</f>
        <v/>
      </c>
      <c r="AN773" s="1" t="str">
        <f>IF(AND(Programme_Grunddaten!$A778="Geprüft",Programme_Grunddaten!AV778&lt;&gt;""),IF(Programme_Grunddaten!AV778="Ja",1,0),"")</f>
        <v/>
      </c>
    </row>
    <row r="774" spans="1:40" x14ac:dyDescent="0.3">
      <c r="A774" s="1" t="str">
        <f>IF(AND(Programme_Grunddaten!A779="Geprüft",Programme_Grunddaten!B779&lt;&gt;""),Programme_Grunddaten!B779,"")</f>
        <v/>
      </c>
      <c r="B774" s="1" t="str">
        <f>IF(AND(Programme_Grunddaten!$A779="Geprüft",Programme_Grunddaten!I779&lt;&gt;""),IF(Programme_Grunddaten!I779="Ja",1,0),"")</f>
        <v/>
      </c>
      <c r="C774" s="1" t="str">
        <f>IF(AND(Programme_Grunddaten!$A779="Geprüft",Programme_Grunddaten!J779&lt;&gt;""),IF(Programme_Grunddaten!J779="Ja",1,0),"")</f>
        <v/>
      </c>
      <c r="D774" s="1" t="str">
        <f>IF(AND(Programme_Grunddaten!$A779="Geprüft",Programme_Grunddaten!K779&lt;&gt;""),IF(Programme_Grunddaten!K779="Ja",1,0),"")</f>
        <v/>
      </c>
      <c r="E774" s="1" t="str">
        <f>IF(AND(Programme_Grunddaten!$A779="Geprüft",Programme_Grunddaten!L779&lt;&gt;""),IF(Programme_Grunddaten!L779="Abo / befristete Lizenz",1,0),"")</f>
        <v/>
      </c>
      <c r="F774" s="1" t="str">
        <f>IF(AND(Programme_Grunddaten!$A779="Geprüft",Programme_Grunddaten!M779&lt;&gt;""),IF(Programme_Grunddaten!M779="Ja",1,0),"")</f>
        <v/>
      </c>
      <c r="G774" s="1" t="str">
        <f>IF(AND(Programme_Grunddaten!$A779="Geprüft",Programme_Grunddaten!N779&lt;&gt;""),IF(Programme_Grunddaten!N779="Ja",1,0),"")</f>
        <v/>
      </c>
      <c r="H774" s="1" t="str">
        <f>IF(AND(Programme_Grunddaten!$A779="Geprüft",Programme_Grunddaten!O779&lt;&gt;""),IF(Programme_Grunddaten!O779="Deutschland",0,IF(Programme_Grunddaten!O779="EU",1,2)),"")</f>
        <v/>
      </c>
      <c r="I774" s="1" t="str">
        <f>IF(AND(Programme_Grunddaten!$A779="Geprüft",Programme_Grunddaten!P779&lt;&gt;""),IF(Programme_Grunddaten!P779="Ja",1,0),"")</f>
        <v/>
      </c>
      <c r="J774" s="1" t="str">
        <f>IF(AND(Programme_Grunddaten!$A779="Geprüft",Programme_Grunddaten!Q779&lt;&gt;""),IF(Programme_Grunddaten!Q779="geschlossenes System",1,0),"")</f>
        <v/>
      </c>
      <c r="K774" s="1" t="str">
        <f>IF(AND(Programme_Grunddaten!$A779="Geprüft",Programme_Grunddaten!R779&lt;&gt;""),IF(Programme_Grunddaten!R779="Ja",1,0),"")</f>
        <v/>
      </c>
      <c r="L774" s="1" t="str">
        <f>IF(AND(Programme_Grunddaten!$A779="Geprüft",Programme_Grunddaten!T779&lt;&gt;""),IF(Programme_Grunddaten!T779="Ja",1,0),"")</f>
        <v/>
      </c>
      <c r="M774" s="1" t="str">
        <f>IF(AND(Programme_Grunddaten!$A779="Geprüft",Programme_Grunddaten!U779&lt;&gt;""),IF(Programme_Grunddaten!U779="Ja",1,0),"")</f>
        <v/>
      </c>
      <c r="N774" s="1" t="str">
        <f>IF(AND(Programme_Grunddaten!$A779="Geprüft",Programme_Grunddaten!V779&lt;&gt;""),IF(Programme_Grunddaten!V779="Ja",1,0),"")</f>
        <v/>
      </c>
      <c r="O774" s="1" t="str">
        <f>IF(AND(Programme_Grunddaten!$A779="Geprüft",Programme_Grunddaten!W779&lt;&gt;""),IF(Programme_Grunddaten!W779="Ja",1,0),"")</f>
        <v/>
      </c>
      <c r="P774" s="1" t="str">
        <f>IF(AND(Programme_Grunddaten!$A779="Geprüft",Programme_Grunddaten!X779&lt;&gt;""),IF(Programme_Grunddaten!X779="Ja",1,0),"")</f>
        <v/>
      </c>
      <c r="Q774" s="1" t="str">
        <f>IF(AND(Programme_Grunddaten!$A779="Geprüft",Programme_Grunddaten!Y779&lt;&gt;""),IF(Programme_Grunddaten!Y779="Ja",1,0),"")</f>
        <v/>
      </c>
      <c r="R774" s="1" t="str">
        <f>IF(AND(Programme_Grunddaten!$A779="Geprüft",Programme_Grunddaten!Z779&lt;&gt;""),IF(Programme_Grunddaten!Z779="Ja",1,0),"")</f>
        <v/>
      </c>
      <c r="S774" s="1" t="str">
        <f>IF(AND(Programme_Grunddaten!$A779="Geprüft",Programme_Grunddaten!AA779&lt;&gt;""),IF(Programme_Grunddaten!AA779="monolithisch",1,0),"")</f>
        <v/>
      </c>
      <c r="T774" s="1" t="str">
        <f>IF(AND(Programme_Grunddaten!$A779="Geprüft",Programme_Grunddaten!AB779&lt;&gt;""),IF(Programme_Grunddaten!AB779="Ja",1,0),"")</f>
        <v/>
      </c>
      <c r="U774" s="1" t="str">
        <f>IF(AND(Programme_Grunddaten!$A779="Geprüft",Programme_Grunddaten!AC779&lt;&gt;""),IF(Programme_Grunddaten!AC779="Ja",1,0),"")</f>
        <v/>
      </c>
      <c r="V774" s="1" t="str">
        <f>IF(AND(Programme_Grunddaten!$A779="Geprüft",Programme_Grunddaten!AD779&lt;&gt;""),IF(Programme_Grunddaten!AD779="Ja",1,0),"")</f>
        <v/>
      </c>
      <c r="W774" s="1" t="str">
        <f>IF(AND(Programme_Grunddaten!$A779="Geprüft",Programme_Grunddaten!AE779&lt;&gt;""),IF(Programme_Grunddaten!AE779="Ja",1,0),"")</f>
        <v/>
      </c>
      <c r="X774" s="1" t="str">
        <f>IF(AND(Programme_Grunddaten!$A779="Geprüft",Programme_Grunddaten!AF779&lt;&gt;""),IF(Programme_Grunddaten!AF779="Ja",1,0),"")</f>
        <v/>
      </c>
      <c r="Y774" s="1" t="str">
        <f>IF(AND(Programme_Grunddaten!$A779="Geprüft",Programme_Grunddaten!AG779&lt;&gt;""),IF(Programme_Grunddaten!AG779="Ja",1,0),"")</f>
        <v/>
      </c>
      <c r="Z774" s="1" t="str">
        <f>IF(AND(Programme_Grunddaten!$A779="Geprüft",Programme_Grunddaten!AH779&lt;&gt;""),IF(Programme_Grunddaten!AH779="Ja",1,0),"")</f>
        <v/>
      </c>
      <c r="AA774" s="1" t="str">
        <f>IF(AND(Programme_Grunddaten!$A779="Geprüft",Programme_Grunddaten!AI779&lt;&gt;""),IF(Programme_Grunddaten!AI779="Ja",1,0),"")</f>
        <v/>
      </c>
      <c r="AB774" s="1" t="str">
        <f>IF(AND(Programme_Grunddaten!$A779="Geprüft",Programme_Grunddaten!AJ779&lt;&gt;""),IF(Programme_Grunddaten!AJ779="individuell programmierbar",1,0),"")</f>
        <v/>
      </c>
      <c r="AC774" s="1" t="str">
        <f>IF(AND(Programme_Grunddaten!$A779="Geprüft",Programme_Grunddaten!AK779&lt;&gt;""),IF(Programme_Grunddaten!AK779="Deutsch",0,IF(Programme_Grunddaten!AK779="Deutsch und Englisch",1,2)),"")</f>
        <v/>
      </c>
      <c r="AD774" s="1" t="str">
        <f>IF(AND(Programme_Grunddaten!$A779="Geprüft",Programme_Grunddaten!AL779&lt;&gt;""),IF(Programme_Grunddaten!AL779="Ja",1,0),"")</f>
        <v/>
      </c>
      <c r="AE774" s="1" t="str">
        <f>IF(AND(Programme_Grunddaten!$A779="Geprüft",Programme_Grunddaten!AM779&lt;&gt;""),IF(Programme_Grunddaten!AM779="Ja",1,0),"")</f>
        <v/>
      </c>
      <c r="AF774" s="1" t="str">
        <f>IF(AND(Programme_Grunddaten!$A779="Geprüft",Programme_Grunddaten!AN779&lt;&gt;""),IF(Programme_Grunddaten!AN779="Ja",1,0),"")</f>
        <v/>
      </c>
      <c r="AG774" s="1" t="str">
        <f>IF(AND(Programme_Grunddaten!$A779="Geprüft",Programme_Grunddaten!AO779&lt;&gt;""),IF(Programme_Grunddaten!AO779="Ja",1,0),"")</f>
        <v/>
      </c>
      <c r="AH774" s="1" t="str">
        <f>IF(AND(Programme_Grunddaten!$A779="Geprüft",Programme_Grunddaten!AP779&lt;&gt;""),IF(Programme_Grunddaten!AP779="Ja",1,0),"")</f>
        <v/>
      </c>
      <c r="AI774" s="1" t="str">
        <f>IF(AND(Programme_Grunddaten!$A779="Geprüft",Programme_Grunddaten!AQ779&lt;&gt;""),IF(Programme_Grunddaten!AQ779="Ja",1,0),"")</f>
        <v/>
      </c>
      <c r="AJ774" s="1" t="str">
        <f>IF(AND(Programme_Grunddaten!$A779="Geprüft",Programme_Grunddaten!AR779&lt;&gt;""),IF(Programme_Grunddaten!AR779="Ja",1,0),"")</f>
        <v/>
      </c>
      <c r="AK774" s="1" t="str">
        <f>IF(AND(Programme_Grunddaten!$A779="Geprüft",Programme_Grunddaten!AS779&lt;&gt;""),IF(Programme_Grunddaten!AS779="Ja",1,0),"")</f>
        <v/>
      </c>
      <c r="AL774" s="1" t="str">
        <f>IF(AND(Programme_Grunddaten!$A779="Geprüft",Programme_Grunddaten!AT779&lt;&gt;""),IF(Programme_Grunddaten!AT779="Ja",1,0),"")</f>
        <v/>
      </c>
      <c r="AM774" s="1" t="str">
        <f>IF(AND(Programme_Grunddaten!$A779="Geprüft",Programme_Grunddaten!AU779&lt;&gt;""),IF(Programme_Grunddaten!AU779="Ja",1,0),"")</f>
        <v/>
      </c>
      <c r="AN774" s="1" t="str">
        <f>IF(AND(Programme_Grunddaten!$A779="Geprüft",Programme_Grunddaten!AV779&lt;&gt;""),IF(Programme_Grunddaten!AV779="Ja",1,0),"")</f>
        <v/>
      </c>
    </row>
    <row r="775" spans="1:40" x14ac:dyDescent="0.3">
      <c r="A775" s="1" t="str">
        <f>IF(AND(Programme_Grunddaten!A780="Geprüft",Programme_Grunddaten!B780&lt;&gt;""),Programme_Grunddaten!B780,"")</f>
        <v/>
      </c>
      <c r="B775" s="1" t="str">
        <f>IF(AND(Programme_Grunddaten!$A780="Geprüft",Programme_Grunddaten!I780&lt;&gt;""),IF(Programme_Grunddaten!I780="Ja",1,0),"")</f>
        <v/>
      </c>
      <c r="C775" s="1" t="str">
        <f>IF(AND(Programme_Grunddaten!$A780="Geprüft",Programme_Grunddaten!J780&lt;&gt;""),IF(Programme_Grunddaten!J780="Ja",1,0),"")</f>
        <v/>
      </c>
      <c r="D775" s="1" t="str">
        <f>IF(AND(Programme_Grunddaten!$A780="Geprüft",Programme_Grunddaten!K780&lt;&gt;""),IF(Programme_Grunddaten!K780="Ja",1,0),"")</f>
        <v/>
      </c>
      <c r="E775" s="1" t="str">
        <f>IF(AND(Programme_Grunddaten!$A780="Geprüft",Programme_Grunddaten!L780&lt;&gt;""),IF(Programme_Grunddaten!L780="Abo / befristete Lizenz",1,0),"")</f>
        <v/>
      </c>
      <c r="F775" s="1" t="str">
        <f>IF(AND(Programme_Grunddaten!$A780="Geprüft",Programme_Grunddaten!M780&lt;&gt;""),IF(Programme_Grunddaten!M780="Ja",1,0),"")</f>
        <v/>
      </c>
      <c r="G775" s="1" t="str">
        <f>IF(AND(Programme_Grunddaten!$A780="Geprüft",Programme_Grunddaten!N780&lt;&gt;""),IF(Programme_Grunddaten!N780="Ja",1,0),"")</f>
        <v/>
      </c>
      <c r="H775" s="1" t="str">
        <f>IF(AND(Programme_Grunddaten!$A780="Geprüft",Programme_Grunddaten!O780&lt;&gt;""),IF(Programme_Grunddaten!O780="Deutschland",0,IF(Programme_Grunddaten!O780="EU",1,2)),"")</f>
        <v/>
      </c>
      <c r="I775" s="1" t="str">
        <f>IF(AND(Programme_Grunddaten!$A780="Geprüft",Programme_Grunddaten!P780&lt;&gt;""),IF(Programme_Grunddaten!P780="Ja",1,0),"")</f>
        <v/>
      </c>
      <c r="J775" s="1" t="str">
        <f>IF(AND(Programme_Grunddaten!$A780="Geprüft",Programme_Grunddaten!Q780&lt;&gt;""),IF(Programme_Grunddaten!Q780="geschlossenes System",1,0),"")</f>
        <v/>
      </c>
      <c r="K775" s="1" t="str">
        <f>IF(AND(Programme_Grunddaten!$A780="Geprüft",Programme_Grunddaten!R780&lt;&gt;""),IF(Programme_Grunddaten!R780="Ja",1,0),"")</f>
        <v/>
      </c>
      <c r="L775" s="1" t="str">
        <f>IF(AND(Programme_Grunddaten!$A780="Geprüft",Programme_Grunddaten!T780&lt;&gt;""),IF(Programme_Grunddaten!T780="Ja",1,0),"")</f>
        <v/>
      </c>
      <c r="M775" s="1" t="str">
        <f>IF(AND(Programme_Grunddaten!$A780="Geprüft",Programme_Grunddaten!U780&lt;&gt;""),IF(Programme_Grunddaten!U780="Ja",1,0),"")</f>
        <v/>
      </c>
      <c r="N775" s="1" t="str">
        <f>IF(AND(Programme_Grunddaten!$A780="Geprüft",Programme_Grunddaten!V780&lt;&gt;""),IF(Programme_Grunddaten!V780="Ja",1,0),"")</f>
        <v/>
      </c>
      <c r="O775" s="1" t="str">
        <f>IF(AND(Programme_Grunddaten!$A780="Geprüft",Programme_Grunddaten!W780&lt;&gt;""),IF(Programme_Grunddaten!W780="Ja",1,0),"")</f>
        <v/>
      </c>
      <c r="P775" s="1" t="str">
        <f>IF(AND(Programme_Grunddaten!$A780="Geprüft",Programme_Grunddaten!X780&lt;&gt;""),IF(Programme_Grunddaten!X780="Ja",1,0),"")</f>
        <v/>
      </c>
      <c r="Q775" s="1" t="str">
        <f>IF(AND(Programme_Grunddaten!$A780="Geprüft",Programme_Grunddaten!Y780&lt;&gt;""),IF(Programme_Grunddaten!Y780="Ja",1,0),"")</f>
        <v/>
      </c>
      <c r="R775" s="1" t="str">
        <f>IF(AND(Programme_Grunddaten!$A780="Geprüft",Programme_Grunddaten!Z780&lt;&gt;""),IF(Programme_Grunddaten!Z780="Ja",1,0),"")</f>
        <v/>
      </c>
      <c r="S775" s="1" t="str">
        <f>IF(AND(Programme_Grunddaten!$A780="Geprüft",Programme_Grunddaten!AA780&lt;&gt;""),IF(Programme_Grunddaten!AA780="monolithisch",1,0),"")</f>
        <v/>
      </c>
      <c r="T775" s="1" t="str">
        <f>IF(AND(Programme_Grunddaten!$A780="Geprüft",Programme_Grunddaten!AB780&lt;&gt;""),IF(Programme_Grunddaten!AB780="Ja",1,0),"")</f>
        <v/>
      </c>
      <c r="U775" s="1" t="str">
        <f>IF(AND(Programme_Grunddaten!$A780="Geprüft",Programme_Grunddaten!AC780&lt;&gt;""),IF(Programme_Grunddaten!AC780="Ja",1,0),"")</f>
        <v/>
      </c>
      <c r="V775" s="1" t="str">
        <f>IF(AND(Programme_Grunddaten!$A780="Geprüft",Programme_Grunddaten!AD780&lt;&gt;""),IF(Programme_Grunddaten!AD780="Ja",1,0),"")</f>
        <v/>
      </c>
      <c r="W775" s="1" t="str">
        <f>IF(AND(Programme_Grunddaten!$A780="Geprüft",Programme_Grunddaten!AE780&lt;&gt;""),IF(Programme_Grunddaten!AE780="Ja",1,0),"")</f>
        <v/>
      </c>
      <c r="X775" s="1" t="str">
        <f>IF(AND(Programme_Grunddaten!$A780="Geprüft",Programme_Grunddaten!AF780&lt;&gt;""),IF(Programme_Grunddaten!AF780="Ja",1,0),"")</f>
        <v/>
      </c>
      <c r="Y775" s="1" t="str">
        <f>IF(AND(Programme_Grunddaten!$A780="Geprüft",Programme_Grunddaten!AG780&lt;&gt;""),IF(Programme_Grunddaten!AG780="Ja",1,0),"")</f>
        <v/>
      </c>
      <c r="Z775" s="1" t="str">
        <f>IF(AND(Programme_Grunddaten!$A780="Geprüft",Programme_Grunddaten!AH780&lt;&gt;""),IF(Programme_Grunddaten!AH780="Ja",1,0),"")</f>
        <v/>
      </c>
      <c r="AA775" s="1" t="str">
        <f>IF(AND(Programme_Grunddaten!$A780="Geprüft",Programme_Grunddaten!AI780&lt;&gt;""),IF(Programme_Grunddaten!AI780="Ja",1,0),"")</f>
        <v/>
      </c>
      <c r="AB775" s="1" t="str">
        <f>IF(AND(Programme_Grunddaten!$A780="Geprüft",Programme_Grunddaten!AJ780&lt;&gt;""),IF(Programme_Grunddaten!AJ780="individuell programmierbar",1,0),"")</f>
        <v/>
      </c>
      <c r="AC775" s="1" t="str">
        <f>IF(AND(Programme_Grunddaten!$A780="Geprüft",Programme_Grunddaten!AK780&lt;&gt;""),IF(Programme_Grunddaten!AK780="Deutsch",0,IF(Programme_Grunddaten!AK780="Deutsch und Englisch",1,2)),"")</f>
        <v/>
      </c>
      <c r="AD775" s="1" t="str">
        <f>IF(AND(Programme_Grunddaten!$A780="Geprüft",Programme_Grunddaten!AL780&lt;&gt;""),IF(Programme_Grunddaten!AL780="Ja",1,0),"")</f>
        <v/>
      </c>
      <c r="AE775" s="1" t="str">
        <f>IF(AND(Programme_Grunddaten!$A780="Geprüft",Programme_Grunddaten!AM780&lt;&gt;""),IF(Programme_Grunddaten!AM780="Ja",1,0),"")</f>
        <v/>
      </c>
      <c r="AF775" s="1" t="str">
        <f>IF(AND(Programme_Grunddaten!$A780="Geprüft",Programme_Grunddaten!AN780&lt;&gt;""),IF(Programme_Grunddaten!AN780="Ja",1,0),"")</f>
        <v/>
      </c>
      <c r="AG775" s="1" t="str">
        <f>IF(AND(Programme_Grunddaten!$A780="Geprüft",Programme_Grunddaten!AO780&lt;&gt;""),IF(Programme_Grunddaten!AO780="Ja",1,0),"")</f>
        <v/>
      </c>
      <c r="AH775" s="1" t="str">
        <f>IF(AND(Programme_Grunddaten!$A780="Geprüft",Programme_Grunddaten!AP780&lt;&gt;""),IF(Programme_Grunddaten!AP780="Ja",1,0),"")</f>
        <v/>
      </c>
      <c r="AI775" s="1" t="str">
        <f>IF(AND(Programme_Grunddaten!$A780="Geprüft",Programme_Grunddaten!AQ780&lt;&gt;""),IF(Programme_Grunddaten!AQ780="Ja",1,0),"")</f>
        <v/>
      </c>
      <c r="AJ775" s="1" t="str">
        <f>IF(AND(Programme_Grunddaten!$A780="Geprüft",Programme_Grunddaten!AR780&lt;&gt;""),IF(Programme_Grunddaten!AR780="Ja",1,0),"")</f>
        <v/>
      </c>
      <c r="AK775" s="1" t="str">
        <f>IF(AND(Programme_Grunddaten!$A780="Geprüft",Programme_Grunddaten!AS780&lt;&gt;""),IF(Programme_Grunddaten!AS780="Ja",1,0),"")</f>
        <v/>
      </c>
      <c r="AL775" s="1" t="str">
        <f>IF(AND(Programme_Grunddaten!$A780="Geprüft",Programme_Grunddaten!AT780&lt;&gt;""),IF(Programme_Grunddaten!AT780="Ja",1,0),"")</f>
        <v/>
      </c>
      <c r="AM775" s="1" t="str">
        <f>IF(AND(Programme_Grunddaten!$A780="Geprüft",Programme_Grunddaten!AU780&lt;&gt;""),IF(Programme_Grunddaten!AU780="Ja",1,0),"")</f>
        <v/>
      </c>
      <c r="AN775" s="1" t="str">
        <f>IF(AND(Programme_Grunddaten!$A780="Geprüft",Programme_Grunddaten!AV780&lt;&gt;""),IF(Programme_Grunddaten!AV780="Ja",1,0),"")</f>
        <v/>
      </c>
    </row>
    <row r="776" spans="1:40" x14ac:dyDescent="0.3">
      <c r="A776" s="1" t="str">
        <f>IF(AND(Programme_Grunddaten!A781="Geprüft",Programme_Grunddaten!B781&lt;&gt;""),Programme_Grunddaten!B781,"")</f>
        <v/>
      </c>
      <c r="B776" s="1" t="str">
        <f>IF(AND(Programme_Grunddaten!$A781="Geprüft",Programme_Grunddaten!I781&lt;&gt;""),IF(Programme_Grunddaten!I781="Ja",1,0),"")</f>
        <v/>
      </c>
      <c r="C776" s="1" t="str">
        <f>IF(AND(Programme_Grunddaten!$A781="Geprüft",Programme_Grunddaten!J781&lt;&gt;""),IF(Programme_Grunddaten!J781="Ja",1,0),"")</f>
        <v/>
      </c>
      <c r="D776" s="1" t="str">
        <f>IF(AND(Programme_Grunddaten!$A781="Geprüft",Programme_Grunddaten!K781&lt;&gt;""),IF(Programme_Grunddaten!K781="Ja",1,0),"")</f>
        <v/>
      </c>
      <c r="E776" s="1" t="str">
        <f>IF(AND(Programme_Grunddaten!$A781="Geprüft",Programme_Grunddaten!L781&lt;&gt;""),IF(Programme_Grunddaten!L781="Abo / befristete Lizenz",1,0),"")</f>
        <v/>
      </c>
      <c r="F776" s="1" t="str">
        <f>IF(AND(Programme_Grunddaten!$A781="Geprüft",Programme_Grunddaten!M781&lt;&gt;""),IF(Programme_Grunddaten!M781="Ja",1,0),"")</f>
        <v/>
      </c>
      <c r="G776" s="1" t="str">
        <f>IF(AND(Programme_Grunddaten!$A781="Geprüft",Programme_Grunddaten!N781&lt;&gt;""),IF(Programme_Grunddaten!N781="Ja",1,0),"")</f>
        <v/>
      </c>
      <c r="H776" s="1" t="str">
        <f>IF(AND(Programme_Grunddaten!$A781="Geprüft",Programme_Grunddaten!O781&lt;&gt;""),IF(Programme_Grunddaten!O781="Deutschland",0,IF(Programme_Grunddaten!O781="EU",1,2)),"")</f>
        <v/>
      </c>
      <c r="I776" s="1" t="str">
        <f>IF(AND(Programme_Grunddaten!$A781="Geprüft",Programme_Grunddaten!P781&lt;&gt;""),IF(Programme_Grunddaten!P781="Ja",1,0),"")</f>
        <v/>
      </c>
      <c r="J776" s="1" t="str">
        <f>IF(AND(Programme_Grunddaten!$A781="Geprüft",Programme_Grunddaten!Q781&lt;&gt;""),IF(Programme_Grunddaten!Q781="geschlossenes System",1,0),"")</f>
        <v/>
      </c>
      <c r="K776" s="1" t="str">
        <f>IF(AND(Programme_Grunddaten!$A781="Geprüft",Programme_Grunddaten!R781&lt;&gt;""),IF(Programme_Grunddaten!R781="Ja",1,0),"")</f>
        <v/>
      </c>
      <c r="L776" s="1" t="str">
        <f>IF(AND(Programme_Grunddaten!$A781="Geprüft",Programme_Grunddaten!T781&lt;&gt;""),IF(Programme_Grunddaten!T781="Ja",1,0),"")</f>
        <v/>
      </c>
      <c r="M776" s="1" t="str">
        <f>IF(AND(Programme_Grunddaten!$A781="Geprüft",Programme_Grunddaten!U781&lt;&gt;""),IF(Programme_Grunddaten!U781="Ja",1,0),"")</f>
        <v/>
      </c>
      <c r="N776" s="1" t="str">
        <f>IF(AND(Programme_Grunddaten!$A781="Geprüft",Programme_Grunddaten!V781&lt;&gt;""),IF(Programme_Grunddaten!V781="Ja",1,0),"")</f>
        <v/>
      </c>
      <c r="O776" s="1" t="str">
        <f>IF(AND(Programme_Grunddaten!$A781="Geprüft",Programme_Grunddaten!W781&lt;&gt;""),IF(Programme_Grunddaten!W781="Ja",1,0),"")</f>
        <v/>
      </c>
      <c r="P776" s="1" t="str">
        <f>IF(AND(Programme_Grunddaten!$A781="Geprüft",Programme_Grunddaten!X781&lt;&gt;""),IF(Programme_Grunddaten!X781="Ja",1,0),"")</f>
        <v/>
      </c>
      <c r="Q776" s="1" t="str">
        <f>IF(AND(Programme_Grunddaten!$A781="Geprüft",Programme_Grunddaten!Y781&lt;&gt;""),IF(Programme_Grunddaten!Y781="Ja",1,0),"")</f>
        <v/>
      </c>
      <c r="R776" s="1" t="str">
        <f>IF(AND(Programme_Grunddaten!$A781="Geprüft",Programme_Grunddaten!Z781&lt;&gt;""),IF(Programme_Grunddaten!Z781="Ja",1,0),"")</f>
        <v/>
      </c>
      <c r="S776" s="1" t="str">
        <f>IF(AND(Programme_Grunddaten!$A781="Geprüft",Programme_Grunddaten!AA781&lt;&gt;""),IF(Programme_Grunddaten!AA781="monolithisch",1,0),"")</f>
        <v/>
      </c>
      <c r="T776" s="1" t="str">
        <f>IF(AND(Programme_Grunddaten!$A781="Geprüft",Programme_Grunddaten!AB781&lt;&gt;""),IF(Programme_Grunddaten!AB781="Ja",1,0),"")</f>
        <v/>
      </c>
      <c r="U776" s="1" t="str">
        <f>IF(AND(Programme_Grunddaten!$A781="Geprüft",Programme_Grunddaten!AC781&lt;&gt;""),IF(Programme_Grunddaten!AC781="Ja",1,0),"")</f>
        <v/>
      </c>
      <c r="V776" s="1" t="str">
        <f>IF(AND(Programme_Grunddaten!$A781="Geprüft",Programme_Grunddaten!AD781&lt;&gt;""),IF(Programme_Grunddaten!AD781="Ja",1,0),"")</f>
        <v/>
      </c>
      <c r="W776" s="1" t="str">
        <f>IF(AND(Programme_Grunddaten!$A781="Geprüft",Programme_Grunddaten!AE781&lt;&gt;""),IF(Programme_Grunddaten!AE781="Ja",1,0),"")</f>
        <v/>
      </c>
      <c r="X776" s="1" t="str">
        <f>IF(AND(Programme_Grunddaten!$A781="Geprüft",Programme_Grunddaten!AF781&lt;&gt;""),IF(Programme_Grunddaten!AF781="Ja",1,0),"")</f>
        <v/>
      </c>
      <c r="Y776" s="1" t="str">
        <f>IF(AND(Programme_Grunddaten!$A781="Geprüft",Programme_Grunddaten!AG781&lt;&gt;""),IF(Programme_Grunddaten!AG781="Ja",1,0),"")</f>
        <v/>
      </c>
      <c r="Z776" s="1" t="str">
        <f>IF(AND(Programme_Grunddaten!$A781="Geprüft",Programme_Grunddaten!AH781&lt;&gt;""),IF(Programme_Grunddaten!AH781="Ja",1,0),"")</f>
        <v/>
      </c>
      <c r="AA776" s="1" t="str">
        <f>IF(AND(Programme_Grunddaten!$A781="Geprüft",Programme_Grunddaten!AI781&lt;&gt;""),IF(Programme_Grunddaten!AI781="Ja",1,0),"")</f>
        <v/>
      </c>
      <c r="AB776" s="1" t="str">
        <f>IF(AND(Programme_Grunddaten!$A781="Geprüft",Programme_Grunddaten!AJ781&lt;&gt;""),IF(Programme_Grunddaten!AJ781="individuell programmierbar",1,0),"")</f>
        <v/>
      </c>
      <c r="AC776" s="1" t="str">
        <f>IF(AND(Programme_Grunddaten!$A781="Geprüft",Programme_Grunddaten!AK781&lt;&gt;""),IF(Programme_Grunddaten!AK781="Deutsch",0,IF(Programme_Grunddaten!AK781="Deutsch und Englisch",1,2)),"")</f>
        <v/>
      </c>
      <c r="AD776" s="1" t="str">
        <f>IF(AND(Programme_Grunddaten!$A781="Geprüft",Programme_Grunddaten!AL781&lt;&gt;""),IF(Programme_Grunddaten!AL781="Ja",1,0),"")</f>
        <v/>
      </c>
      <c r="AE776" s="1" t="str">
        <f>IF(AND(Programme_Grunddaten!$A781="Geprüft",Programme_Grunddaten!AM781&lt;&gt;""),IF(Programme_Grunddaten!AM781="Ja",1,0),"")</f>
        <v/>
      </c>
      <c r="AF776" s="1" t="str">
        <f>IF(AND(Programme_Grunddaten!$A781="Geprüft",Programme_Grunddaten!AN781&lt;&gt;""),IF(Programme_Grunddaten!AN781="Ja",1,0),"")</f>
        <v/>
      </c>
      <c r="AG776" s="1" t="str">
        <f>IF(AND(Programme_Grunddaten!$A781="Geprüft",Programme_Grunddaten!AO781&lt;&gt;""),IF(Programme_Grunddaten!AO781="Ja",1,0),"")</f>
        <v/>
      </c>
      <c r="AH776" s="1" t="str">
        <f>IF(AND(Programme_Grunddaten!$A781="Geprüft",Programme_Grunddaten!AP781&lt;&gt;""),IF(Programme_Grunddaten!AP781="Ja",1,0),"")</f>
        <v/>
      </c>
      <c r="AI776" s="1" t="str">
        <f>IF(AND(Programme_Grunddaten!$A781="Geprüft",Programme_Grunddaten!AQ781&lt;&gt;""),IF(Programme_Grunddaten!AQ781="Ja",1,0),"")</f>
        <v/>
      </c>
      <c r="AJ776" s="1" t="str">
        <f>IF(AND(Programme_Grunddaten!$A781="Geprüft",Programme_Grunddaten!AR781&lt;&gt;""),IF(Programme_Grunddaten!AR781="Ja",1,0),"")</f>
        <v/>
      </c>
      <c r="AK776" s="1" t="str">
        <f>IF(AND(Programme_Grunddaten!$A781="Geprüft",Programme_Grunddaten!AS781&lt;&gt;""),IF(Programme_Grunddaten!AS781="Ja",1,0),"")</f>
        <v/>
      </c>
      <c r="AL776" s="1" t="str">
        <f>IF(AND(Programme_Grunddaten!$A781="Geprüft",Programme_Grunddaten!AT781&lt;&gt;""),IF(Programme_Grunddaten!AT781="Ja",1,0),"")</f>
        <v/>
      </c>
      <c r="AM776" s="1" t="str">
        <f>IF(AND(Programme_Grunddaten!$A781="Geprüft",Programme_Grunddaten!AU781&lt;&gt;""),IF(Programme_Grunddaten!AU781="Ja",1,0),"")</f>
        <v/>
      </c>
      <c r="AN776" s="1" t="str">
        <f>IF(AND(Programme_Grunddaten!$A781="Geprüft",Programme_Grunddaten!AV781&lt;&gt;""),IF(Programme_Grunddaten!AV781="Ja",1,0),"")</f>
        <v/>
      </c>
    </row>
    <row r="777" spans="1:40" x14ac:dyDescent="0.3">
      <c r="A777" s="1" t="str">
        <f>IF(AND(Programme_Grunddaten!A782="Geprüft",Programme_Grunddaten!B782&lt;&gt;""),Programme_Grunddaten!B782,"")</f>
        <v/>
      </c>
      <c r="B777" s="1" t="str">
        <f>IF(AND(Programme_Grunddaten!$A782="Geprüft",Programme_Grunddaten!I782&lt;&gt;""),IF(Programme_Grunddaten!I782="Ja",1,0),"")</f>
        <v/>
      </c>
      <c r="C777" s="1" t="str">
        <f>IF(AND(Programme_Grunddaten!$A782="Geprüft",Programme_Grunddaten!J782&lt;&gt;""),IF(Programme_Grunddaten!J782="Ja",1,0),"")</f>
        <v/>
      </c>
      <c r="D777" s="1" t="str">
        <f>IF(AND(Programme_Grunddaten!$A782="Geprüft",Programme_Grunddaten!K782&lt;&gt;""),IF(Programme_Grunddaten!K782="Ja",1,0),"")</f>
        <v/>
      </c>
      <c r="E777" s="1" t="str">
        <f>IF(AND(Programme_Grunddaten!$A782="Geprüft",Programme_Grunddaten!L782&lt;&gt;""),IF(Programme_Grunddaten!L782="Abo / befristete Lizenz",1,0),"")</f>
        <v/>
      </c>
      <c r="F777" s="1" t="str">
        <f>IF(AND(Programme_Grunddaten!$A782="Geprüft",Programme_Grunddaten!M782&lt;&gt;""),IF(Programme_Grunddaten!M782="Ja",1,0),"")</f>
        <v/>
      </c>
      <c r="G777" s="1" t="str">
        <f>IF(AND(Programme_Grunddaten!$A782="Geprüft",Programme_Grunddaten!N782&lt;&gt;""),IF(Programme_Grunddaten!N782="Ja",1,0),"")</f>
        <v/>
      </c>
      <c r="H777" s="1" t="str">
        <f>IF(AND(Programme_Grunddaten!$A782="Geprüft",Programme_Grunddaten!O782&lt;&gt;""),IF(Programme_Grunddaten!O782="Deutschland",0,IF(Programme_Grunddaten!O782="EU",1,2)),"")</f>
        <v/>
      </c>
      <c r="I777" s="1" t="str">
        <f>IF(AND(Programme_Grunddaten!$A782="Geprüft",Programme_Grunddaten!P782&lt;&gt;""),IF(Programme_Grunddaten!P782="Ja",1,0),"")</f>
        <v/>
      </c>
      <c r="J777" s="1" t="str">
        <f>IF(AND(Programme_Grunddaten!$A782="Geprüft",Programme_Grunddaten!Q782&lt;&gt;""),IF(Programme_Grunddaten!Q782="geschlossenes System",1,0),"")</f>
        <v/>
      </c>
      <c r="K777" s="1" t="str">
        <f>IF(AND(Programme_Grunddaten!$A782="Geprüft",Programme_Grunddaten!R782&lt;&gt;""),IF(Programme_Grunddaten!R782="Ja",1,0),"")</f>
        <v/>
      </c>
      <c r="L777" s="1" t="str">
        <f>IF(AND(Programme_Grunddaten!$A782="Geprüft",Programme_Grunddaten!T782&lt;&gt;""),IF(Programme_Grunddaten!T782="Ja",1,0),"")</f>
        <v/>
      </c>
      <c r="M777" s="1" t="str">
        <f>IF(AND(Programme_Grunddaten!$A782="Geprüft",Programme_Grunddaten!U782&lt;&gt;""),IF(Programme_Grunddaten!U782="Ja",1,0),"")</f>
        <v/>
      </c>
      <c r="N777" s="1" t="str">
        <f>IF(AND(Programme_Grunddaten!$A782="Geprüft",Programme_Grunddaten!V782&lt;&gt;""),IF(Programme_Grunddaten!V782="Ja",1,0),"")</f>
        <v/>
      </c>
      <c r="O777" s="1" t="str">
        <f>IF(AND(Programme_Grunddaten!$A782="Geprüft",Programme_Grunddaten!W782&lt;&gt;""),IF(Programme_Grunddaten!W782="Ja",1,0),"")</f>
        <v/>
      </c>
      <c r="P777" s="1" t="str">
        <f>IF(AND(Programme_Grunddaten!$A782="Geprüft",Programme_Grunddaten!X782&lt;&gt;""),IF(Programme_Grunddaten!X782="Ja",1,0),"")</f>
        <v/>
      </c>
      <c r="Q777" s="1" t="str">
        <f>IF(AND(Programme_Grunddaten!$A782="Geprüft",Programme_Grunddaten!Y782&lt;&gt;""),IF(Programme_Grunddaten!Y782="Ja",1,0),"")</f>
        <v/>
      </c>
      <c r="R777" s="1" t="str">
        <f>IF(AND(Programme_Grunddaten!$A782="Geprüft",Programme_Grunddaten!Z782&lt;&gt;""),IF(Programme_Grunddaten!Z782="Ja",1,0),"")</f>
        <v/>
      </c>
      <c r="S777" s="1" t="str">
        <f>IF(AND(Programme_Grunddaten!$A782="Geprüft",Programme_Grunddaten!AA782&lt;&gt;""),IF(Programme_Grunddaten!AA782="monolithisch",1,0),"")</f>
        <v/>
      </c>
      <c r="T777" s="1" t="str">
        <f>IF(AND(Programme_Grunddaten!$A782="Geprüft",Programme_Grunddaten!AB782&lt;&gt;""),IF(Programme_Grunddaten!AB782="Ja",1,0),"")</f>
        <v/>
      </c>
      <c r="U777" s="1" t="str">
        <f>IF(AND(Programme_Grunddaten!$A782="Geprüft",Programme_Grunddaten!AC782&lt;&gt;""),IF(Programme_Grunddaten!AC782="Ja",1,0),"")</f>
        <v/>
      </c>
      <c r="V777" s="1" t="str">
        <f>IF(AND(Programme_Grunddaten!$A782="Geprüft",Programme_Grunddaten!AD782&lt;&gt;""),IF(Programme_Grunddaten!AD782="Ja",1,0),"")</f>
        <v/>
      </c>
      <c r="W777" s="1" t="str">
        <f>IF(AND(Programme_Grunddaten!$A782="Geprüft",Programme_Grunddaten!AE782&lt;&gt;""),IF(Programme_Grunddaten!AE782="Ja",1,0),"")</f>
        <v/>
      </c>
      <c r="X777" s="1" t="str">
        <f>IF(AND(Programme_Grunddaten!$A782="Geprüft",Programme_Grunddaten!AF782&lt;&gt;""),IF(Programme_Grunddaten!AF782="Ja",1,0),"")</f>
        <v/>
      </c>
      <c r="Y777" s="1" t="str">
        <f>IF(AND(Programme_Grunddaten!$A782="Geprüft",Programme_Grunddaten!AG782&lt;&gt;""),IF(Programme_Grunddaten!AG782="Ja",1,0),"")</f>
        <v/>
      </c>
      <c r="Z777" s="1" t="str">
        <f>IF(AND(Programme_Grunddaten!$A782="Geprüft",Programme_Grunddaten!AH782&lt;&gt;""),IF(Programme_Grunddaten!AH782="Ja",1,0),"")</f>
        <v/>
      </c>
      <c r="AA777" s="1" t="str">
        <f>IF(AND(Programme_Grunddaten!$A782="Geprüft",Programme_Grunddaten!AI782&lt;&gt;""),IF(Programme_Grunddaten!AI782="Ja",1,0),"")</f>
        <v/>
      </c>
      <c r="AB777" s="1" t="str">
        <f>IF(AND(Programme_Grunddaten!$A782="Geprüft",Programme_Grunddaten!AJ782&lt;&gt;""),IF(Programme_Grunddaten!AJ782="individuell programmierbar",1,0),"")</f>
        <v/>
      </c>
      <c r="AC777" s="1" t="str">
        <f>IF(AND(Programme_Grunddaten!$A782="Geprüft",Programme_Grunddaten!AK782&lt;&gt;""),IF(Programme_Grunddaten!AK782="Deutsch",0,IF(Programme_Grunddaten!AK782="Deutsch und Englisch",1,2)),"")</f>
        <v/>
      </c>
      <c r="AD777" s="1" t="str">
        <f>IF(AND(Programme_Grunddaten!$A782="Geprüft",Programme_Grunddaten!AL782&lt;&gt;""),IF(Programme_Grunddaten!AL782="Ja",1,0),"")</f>
        <v/>
      </c>
      <c r="AE777" s="1" t="str">
        <f>IF(AND(Programme_Grunddaten!$A782="Geprüft",Programme_Grunddaten!AM782&lt;&gt;""),IF(Programme_Grunddaten!AM782="Ja",1,0),"")</f>
        <v/>
      </c>
      <c r="AF777" s="1" t="str">
        <f>IF(AND(Programme_Grunddaten!$A782="Geprüft",Programme_Grunddaten!AN782&lt;&gt;""),IF(Programme_Grunddaten!AN782="Ja",1,0),"")</f>
        <v/>
      </c>
      <c r="AG777" s="1" t="str">
        <f>IF(AND(Programme_Grunddaten!$A782="Geprüft",Programme_Grunddaten!AO782&lt;&gt;""),IF(Programme_Grunddaten!AO782="Ja",1,0),"")</f>
        <v/>
      </c>
      <c r="AH777" s="1" t="str">
        <f>IF(AND(Programme_Grunddaten!$A782="Geprüft",Programme_Grunddaten!AP782&lt;&gt;""),IF(Programme_Grunddaten!AP782="Ja",1,0),"")</f>
        <v/>
      </c>
      <c r="AI777" s="1" t="str">
        <f>IF(AND(Programme_Grunddaten!$A782="Geprüft",Programme_Grunddaten!AQ782&lt;&gt;""),IF(Programme_Grunddaten!AQ782="Ja",1,0),"")</f>
        <v/>
      </c>
      <c r="AJ777" s="1" t="str">
        <f>IF(AND(Programme_Grunddaten!$A782="Geprüft",Programme_Grunddaten!AR782&lt;&gt;""),IF(Programme_Grunddaten!AR782="Ja",1,0),"")</f>
        <v/>
      </c>
      <c r="AK777" s="1" t="str">
        <f>IF(AND(Programme_Grunddaten!$A782="Geprüft",Programme_Grunddaten!AS782&lt;&gt;""),IF(Programme_Grunddaten!AS782="Ja",1,0),"")</f>
        <v/>
      </c>
      <c r="AL777" s="1" t="str">
        <f>IF(AND(Programme_Grunddaten!$A782="Geprüft",Programme_Grunddaten!AT782&lt;&gt;""),IF(Programme_Grunddaten!AT782="Ja",1,0),"")</f>
        <v/>
      </c>
      <c r="AM777" s="1" t="str">
        <f>IF(AND(Programme_Grunddaten!$A782="Geprüft",Programme_Grunddaten!AU782&lt;&gt;""),IF(Programme_Grunddaten!AU782="Ja",1,0),"")</f>
        <v/>
      </c>
      <c r="AN777" s="1" t="str">
        <f>IF(AND(Programme_Grunddaten!$A782="Geprüft",Programme_Grunddaten!AV782&lt;&gt;""),IF(Programme_Grunddaten!AV782="Ja",1,0),"")</f>
        <v/>
      </c>
    </row>
    <row r="778" spans="1:40" x14ac:dyDescent="0.3">
      <c r="A778" s="1" t="str">
        <f>IF(AND(Programme_Grunddaten!A783="Geprüft",Programme_Grunddaten!B783&lt;&gt;""),Programme_Grunddaten!B783,"")</f>
        <v/>
      </c>
      <c r="B778" s="1" t="str">
        <f>IF(AND(Programme_Grunddaten!$A783="Geprüft",Programme_Grunddaten!I783&lt;&gt;""),IF(Programme_Grunddaten!I783="Ja",1,0),"")</f>
        <v/>
      </c>
      <c r="C778" s="1" t="str">
        <f>IF(AND(Programme_Grunddaten!$A783="Geprüft",Programme_Grunddaten!J783&lt;&gt;""),IF(Programme_Grunddaten!J783="Ja",1,0),"")</f>
        <v/>
      </c>
      <c r="D778" s="1" t="str">
        <f>IF(AND(Programme_Grunddaten!$A783="Geprüft",Programme_Grunddaten!K783&lt;&gt;""),IF(Programme_Grunddaten!K783="Ja",1,0),"")</f>
        <v/>
      </c>
      <c r="E778" s="1" t="str">
        <f>IF(AND(Programme_Grunddaten!$A783="Geprüft",Programme_Grunddaten!L783&lt;&gt;""),IF(Programme_Grunddaten!L783="Abo / befristete Lizenz",1,0),"")</f>
        <v/>
      </c>
      <c r="F778" s="1" t="str">
        <f>IF(AND(Programme_Grunddaten!$A783="Geprüft",Programme_Grunddaten!M783&lt;&gt;""),IF(Programme_Grunddaten!M783="Ja",1,0),"")</f>
        <v/>
      </c>
      <c r="G778" s="1" t="str">
        <f>IF(AND(Programme_Grunddaten!$A783="Geprüft",Programme_Grunddaten!N783&lt;&gt;""),IF(Programme_Grunddaten!N783="Ja",1,0),"")</f>
        <v/>
      </c>
      <c r="H778" s="1" t="str">
        <f>IF(AND(Programme_Grunddaten!$A783="Geprüft",Programme_Grunddaten!O783&lt;&gt;""),IF(Programme_Grunddaten!O783="Deutschland",0,IF(Programme_Grunddaten!O783="EU",1,2)),"")</f>
        <v/>
      </c>
      <c r="I778" s="1" t="str">
        <f>IF(AND(Programme_Grunddaten!$A783="Geprüft",Programme_Grunddaten!P783&lt;&gt;""),IF(Programme_Grunddaten!P783="Ja",1,0),"")</f>
        <v/>
      </c>
      <c r="J778" s="1" t="str">
        <f>IF(AND(Programme_Grunddaten!$A783="Geprüft",Programme_Grunddaten!Q783&lt;&gt;""),IF(Programme_Grunddaten!Q783="geschlossenes System",1,0),"")</f>
        <v/>
      </c>
      <c r="K778" s="1" t="str">
        <f>IF(AND(Programme_Grunddaten!$A783="Geprüft",Programme_Grunddaten!R783&lt;&gt;""),IF(Programme_Grunddaten!R783="Ja",1,0),"")</f>
        <v/>
      </c>
      <c r="L778" s="1" t="str">
        <f>IF(AND(Programme_Grunddaten!$A783="Geprüft",Programme_Grunddaten!T783&lt;&gt;""),IF(Programme_Grunddaten!T783="Ja",1,0),"")</f>
        <v/>
      </c>
      <c r="M778" s="1" t="str">
        <f>IF(AND(Programme_Grunddaten!$A783="Geprüft",Programme_Grunddaten!U783&lt;&gt;""),IF(Programme_Grunddaten!U783="Ja",1,0),"")</f>
        <v/>
      </c>
      <c r="N778" s="1" t="str">
        <f>IF(AND(Programme_Grunddaten!$A783="Geprüft",Programme_Grunddaten!V783&lt;&gt;""),IF(Programme_Grunddaten!V783="Ja",1,0),"")</f>
        <v/>
      </c>
      <c r="O778" s="1" t="str">
        <f>IF(AND(Programme_Grunddaten!$A783="Geprüft",Programme_Grunddaten!W783&lt;&gt;""),IF(Programme_Grunddaten!W783="Ja",1,0),"")</f>
        <v/>
      </c>
      <c r="P778" s="1" t="str">
        <f>IF(AND(Programme_Grunddaten!$A783="Geprüft",Programme_Grunddaten!X783&lt;&gt;""),IF(Programme_Grunddaten!X783="Ja",1,0),"")</f>
        <v/>
      </c>
      <c r="Q778" s="1" t="str">
        <f>IF(AND(Programme_Grunddaten!$A783="Geprüft",Programme_Grunddaten!Y783&lt;&gt;""),IF(Programme_Grunddaten!Y783="Ja",1,0),"")</f>
        <v/>
      </c>
      <c r="R778" s="1" t="str">
        <f>IF(AND(Programme_Grunddaten!$A783="Geprüft",Programme_Grunddaten!Z783&lt;&gt;""),IF(Programme_Grunddaten!Z783="Ja",1,0),"")</f>
        <v/>
      </c>
      <c r="S778" s="1" t="str">
        <f>IF(AND(Programme_Grunddaten!$A783="Geprüft",Programme_Grunddaten!AA783&lt;&gt;""),IF(Programme_Grunddaten!AA783="monolithisch",1,0),"")</f>
        <v/>
      </c>
      <c r="T778" s="1" t="str">
        <f>IF(AND(Programme_Grunddaten!$A783="Geprüft",Programme_Grunddaten!AB783&lt;&gt;""),IF(Programme_Grunddaten!AB783="Ja",1,0),"")</f>
        <v/>
      </c>
      <c r="U778" s="1" t="str">
        <f>IF(AND(Programme_Grunddaten!$A783="Geprüft",Programme_Grunddaten!AC783&lt;&gt;""),IF(Programme_Grunddaten!AC783="Ja",1,0),"")</f>
        <v/>
      </c>
      <c r="V778" s="1" t="str">
        <f>IF(AND(Programme_Grunddaten!$A783="Geprüft",Programme_Grunddaten!AD783&lt;&gt;""),IF(Programme_Grunddaten!AD783="Ja",1,0),"")</f>
        <v/>
      </c>
      <c r="W778" s="1" t="str">
        <f>IF(AND(Programme_Grunddaten!$A783="Geprüft",Programme_Grunddaten!AE783&lt;&gt;""),IF(Programme_Grunddaten!AE783="Ja",1,0),"")</f>
        <v/>
      </c>
      <c r="X778" s="1" t="str">
        <f>IF(AND(Programme_Grunddaten!$A783="Geprüft",Programme_Grunddaten!AF783&lt;&gt;""),IF(Programme_Grunddaten!AF783="Ja",1,0),"")</f>
        <v/>
      </c>
      <c r="Y778" s="1" t="str">
        <f>IF(AND(Programme_Grunddaten!$A783="Geprüft",Programme_Grunddaten!AG783&lt;&gt;""),IF(Programme_Grunddaten!AG783="Ja",1,0),"")</f>
        <v/>
      </c>
      <c r="Z778" s="1" t="str">
        <f>IF(AND(Programme_Grunddaten!$A783="Geprüft",Programme_Grunddaten!AH783&lt;&gt;""),IF(Programme_Grunddaten!AH783="Ja",1,0),"")</f>
        <v/>
      </c>
      <c r="AA778" s="1" t="str">
        <f>IF(AND(Programme_Grunddaten!$A783="Geprüft",Programme_Grunddaten!AI783&lt;&gt;""),IF(Programme_Grunddaten!AI783="Ja",1,0),"")</f>
        <v/>
      </c>
      <c r="AB778" s="1" t="str">
        <f>IF(AND(Programme_Grunddaten!$A783="Geprüft",Programme_Grunddaten!AJ783&lt;&gt;""),IF(Programme_Grunddaten!AJ783="individuell programmierbar",1,0),"")</f>
        <v/>
      </c>
      <c r="AC778" s="1" t="str">
        <f>IF(AND(Programme_Grunddaten!$A783="Geprüft",Programme_Grunddaten!AK783&lt;&gt;""),IF(Programme_Grunddaten!AK783="Deutsch",0,IF(Programme_Grunddaten!AK783="Deutsch und Englisch",1,2)),"")</f>
        <v/>
      </c>
      <c r="AD778" s="1" t="str">
        <f>IF(AND(Programme_Grunddaten!$A783="Geprüft",Programme_Grunddaten!AL783&lt;&gt;""),IF(Programme_Grunddaten!AL783="Ja",1,0),"")</f>
        <v/>
      </c>
      <c r="AE778" s="1" t="str">
        <f>IF(AND(Programme_Grunddaten!$A783="Geprüft",Programme_Grunddaten!AM783&lt;&gt;""),IF(Programme_Grunddaten!AM783="Ja",1,0),"")</f>
        <v/>
      </c>
      <c r="AF778" s="1" t="str">
        <f>IF(AND(Programme_Grunddaten!$A783="Geprüft",Programme_Grunddaten!AN783&lt;&gt;""),IF(Programme_Grunddaten!AN783="Ja",1,0),"")</f>
        <v/>
      </c>
      <c r="AG778" s="1" t="str">
        <f>IF(AND(Programme_Grunddaten!$A783="Geprüft",Programme_Grunddaten!AO783&lt;&gt;""),IF(Programme_Grunddaten!AO783="Ja",1,0),"")</f>
        <v/>
      </c>
      <c r="AH778" s="1" t="str">
        <f>IF(AND(Programme_Grunddaten!$A783="Geprüft",Programme_Grunddaten!AP783&lt;&gt;""),IF(Programme_Grunddaten!AP783="Ja",1,0),"")</f>
        <v/>
      </c>
      <c r="AI778" s="1" t="str">
        <f>IF(AND(Programme_Grunddaten!$A783="Geprüft",Programme_Grunddaten!AQ783&lt;&gt;""),IF(Programme_Grunddaten!AQ783="Ja",1,0),"")</f>
        <v/>
      </c>
      <c r="AJ778" s="1" t="str">
        <f>IF(AND(Programme_Grunddaten!$A783="Geprüft",Programme_Grunddaten!AR783&lt;&gt;""),IF(Programme_Grunddaten!AR783="Ja",1,0),"")</f>
        <v/>
      </c>
      <c r="AK778" s="1" t="str">
        <f>IF(AND(Programme_Grunddaten!$A783="Geprüft",Programme_Grunddaten!AS783&lt;&gt;""),IF(Programme_Grunddaten!AS783="Ja",1,0),"")</f>
        <v/>
      </c>
      <c r="AL778" s="1" t="str">
        <f>IF(AND(Programme_Grunddaten!$A783="Geprüft",Programme_Grunddaten!AT783&lt;&gt;""),IF(Programme_Grunddaten!AT783="Ja",1,0),"")</f>
        <v/>
      </c>
      <c r="AM778" s="1" t="str">
        <f>IF(AND(Programme_Grunddaten!$A783="Geprüft",Programme_Grunddaten!AU783&lt;&gt;""),IF(Programme_Grunddaten!AU783="Ja",1,0),"")</f>
        <v/>
      </c>
      <c r="AN778" s="1" t="str">
        <f>IF(AND(Programme_Grunddaten!$A783="Geprüft",Programme_Grunddaten!AV783&lt;&gt;""),IF(Programme_Grunddaten!AV783="Ja",1,0),"")</f>
        <v/>
      </c>
    </row>
    <row r="779" spans="1:40" x14ac:dyDescent="0.3">
      <c r="A779" s="1" t="str">
        <f>IF(AND(Programme_Grunddaten!A784="Geprüft",Programme_Grunddaten!B784&lt;&gt;""),Programme_Grunddaten!B784,"")</f>
        <v/>
      </c>
      <c r="B779" s="1" t="str">
        <f>IF(AND(Programme_Grunddaten!$A784="Geprüft",Programme_Grunddaten!I784&lt;&gt;""),IF(Programme_Grunddaten!I784="Ja",1,0),"")</f>
        <v/>
      </c>
      <c r="C779" s="1" t="str">
        <f>IF(AND(Programme_Grunddaten!$A784="Geprüft",Programme_Grunddaten!J784&lt;&gt;""),IF(Programme_Grunddaten!J784="Ja",1,0),"")</f>
        <v/>
      </c>
      <c r="D779" s="1" t="str">
        <f>IF(AND(Programme_Grunddaten!$A784="Geprüft",Programme_Grunddaten!K784&lt;&gt;""),IF(Programme_Grunddaten!K784="Ja",1,0),"")</f>
        <v/>
      </c>
      <c r="E779" s="1" t="str">
        <f>IF(AND(Programme_Grunddaten!$A784="Geprüft",Programme_Grunddaten!L784&lt;&gt;""),IF(Programme_Grunddaten!L784="Abo / befristete Lizenz",1,0),"")</f>
        <v/>
      </c>
      <c r="F779" s="1" t="str">
        <f>IF(AND(Programme_Grunddaten!$A784="Geprüft",Programme_Grunddaten!M784&lt;&gt;""),IF(Programme_Grunddaten!M784="Ja",1,0),"")</f>
        <v/>
      </c>
      <c r="G779" s="1" t="str">
        <f>IF(AND(Programme_Grunddaten!$A784="Geprüft",Programme_Grunddaten!N784&lt;&gt;""),IF(Programme_Grunddaten!N784="Ja",1,0),"")</f>
        <v/>
      </c>
      <c r="H779" s="1" t="str">
        <f>IF(AND(Programme_Grunddaten!$A784="Geprüft",Programme_Grunddaten!O784&lt;&gt;""),IF(Programme_Grunddaten!O784="Deutschland",0,IF(Programme_Grunddaten!O784="EU",1,2)),"")</f>
        <v/>
      </c>
      <c r="I779" s="1" t="str">
        <f>IF(AND(Programme_Grunddaten!$A784="Geprüft",Programme_Grunddaten!P784&lt;&gt;""),IF(Programme_Grunddaten!P784="Ja",1,0),"")</f>
        <v/>
      </c>
      <c r="J779" s="1" t="str">
        <f>IF(AND(Programme_Grunddaten!$A784="Geprüft",Programme_Grunddaten!Q784&lt;&gt;""),IF(Programme_Grunddaten!Q784="geschlossenes System",1,0),"")</f>
        <v/>
      </c>
      <c r="K779" s="1" t="str">
        <f>IF(AND(Programme_Grunddaten!$A784="Geprüft",Programme_Grunddaten!R784&lt;&gt;""),IF(Programme_Grunddaten!R784="Ja",1,0),"")</f>
        <v/>
      </c>
      <c r="L779" s="1" t="str">
        <f>IF(AND(Programme_Grunddaten!$A784="Geprüft",Programme_Grunddaten!T784&lt;&gt;""),IF(Programme_Grunddaten!T784="Ja",1,0),"")</f>
        <v/>
      </c>
      <c r="M779" s="1" t="str">
        <f>IF(AND(Programme_Grunddaten!$A784="Geprüft",Programme_Grunddaten!U784&lt;&gt;""),IF(Programme_Grunddaten!U784="Ja",1,0),"")</f>
        <v/>
      </c>
      <c r="N779" s="1" t="str">
        <f>IF(AND(Programme_Grunddaten!$A784="Geprüft",Programme_Grunddaten!V784&lt;&gt;""),IF(Programme_Grunddaten!V784="Ja",1,0),"")</f>
        <v/>
      </c>
      <c r="O779" s="1" t="str">
        <f>IF(AND(Programme_Grunddaten!$A784="Geprüft",Programme_Grunddaten!W784&lt;&gt;""),IF(Programme_Grunddaten!W784="Ja",1,0),"")</f>
        <v/>
      </c>
      <c r="P779" s="1" t="str">
        <f>IF(AND(Programme_Grunddaten!$A784="Geprüft",Programme_Grunddaten!X784&lt;&gt;""),IF(Programme_Grunddaten!X784="Ja",1,0),"")</f>
        <v/>
      </c>
      <c r="Q779" s="1" t="str">
        <f>IF(AND(Programme_Grunddaten!$A784="Geprüft",Programme_Grunddaten!Y784&lt;&gt;""),IF(Programme_Grunddaten!Y784="Ja",1,0),"")</f>
        <v/>
      </c>
      <c r="R779" s="1" t="str">
        <f>IF(AND(Programme_Grunddaten!$A784="Geprüft",Programme_Grunddaten!Z784&lt;&gt;""),IF(Programme_Grunddaten!Z784="Ja",1,0),"")</f>
        <v/>
      </c>
      <c r="S779" s="1" t="str">
        <f>IF(AND(Programme_Grunddaten!$A784="Geprüft",Programme_Grunddaten!AA784&lt;&gt;""),IF(Programme_Grunddaten!AA784="monolithisch",1,0),"")</f>
        <v/>
      </c>
      <c r="T779" s="1" t="str">
        <f>IF(AND(Programme_Grunddaten!$A784="Geprüft",Programme_Grunddaten!AB784&lt;&gt;""),IF(Programme_Grunddaten!AB784="Ja",1,0),"")</f>
        <v/>
      </c>
      <c r="U779" s="1" t="str">
        <f>IF(AND(Programme_Grunddaten!$A784="Geprüft",Programme_Grunddaten!AC784&lt;&gt;""),IF(Programme_Grunddaten!AC784="Ja",1,0),"")</f>
        <v/>
      </c>
      <c r="V779" s="1" t="str">
        <f>IF(AND(Programme_Grunddaten!$A784="Geprüft",Programme_Grunddaten!AD784&lt;&gt;""),IF(Programme_Grunddaten!AD784="Ja",1,0),"")</f>
        <v/>
      </c>
      <c r="W779" s="1" t="str">
        <f>IF(AND(Programme_Grunddaten!$A784="Geprüft",Programme_Grunddaten!AE784&lt;&gt;""),IF(Programme_Grunddaten!AE784="Ja",1,0),"")</f>
        <v/>
      </c>
      <c r="X779" s="1" t="str">
        <f>IF(AND(Programme_Grunddaten!$A784="Geprüft",Programme_Grunddaten!AF784&lt;&gt;""),IF(Programme_Grunddaten!AF784="Ja",1,0),"")</f>
        <v/>
      </c>
      <c r="Y779" s="1" t="str">
        <f>IF(AND(Programme_Grunddaten!$A784="Geprüft",Programme_Grunddaten!AG784&lt;&gt;""),IF(Programme_Grunddaten!AG784="Ja",1,0),"")</f>
        <v/>
      </c>
      <c r="Z779" s="1" t="str">
        <f>IF(AND(Programme_Grunddaten!$A784="Geprüft",Programme_Grunddaten!AH784&lt;&gt;""),IF(Programme_Grunddaten!AH784="Ja",1,0),"")</f>
        <v/>
      </c>
      <c r="AA779" s="1" t="str">
        <f>IF(AND(Programme_Grunddaten!$A784="Geprüft",Programme_Grunddaten!AI784&lt;&gt;""),IF(Programme_Grunddaten!AI784="Ja",1,0),"")</f>
        <v/>
      </c>
      <c r="AB779" s="1" t="str">
        <f>IF(AND(Programme_Grunddaten!$A784="Geprüft",Programme_Grunddaten!AJ784&lt;&gt;""),IF(Programme_Grunddaten!AJ784="individuell programmierbar",1,0),"")</f>
        <v/>
      </c>
      <c r="AC779" s="1" t="str">
        <f>IF(AND(Programme_Grunddaten!$A784="Geprüft",Programme_Grunddaten!AK784&lt;&gt;""),IF(Programme_Grunddaten!AK784="Deutsch",0,IF(Programme_Grunddaten!AK784="Deutsch und Englisch",1,2)),"")</f>
        <v/>
      </c>
      <c r="AD779" s="1" t="str">
        <f>IF(AND(Programme_Grunddaten!$A784="Geprüft",Programme_Grunddaten!AL784&lt;&gt;""),IF(Programme_Grunddaten!AL784="Ja",1,0),"")</f>
        <v/>
      </c>
      <c r="AE779" s="1" t="str">
        <f>IF(AND(Programme_Grunddaten!$A784="Geprüft",Programme_Grunddaten!AM784&lt;&gt;""),IF(Programme_Grunddaten!AM784="Ja",1,0),"")</f>
        <v/>
      </c>
      <c r="AF779" s="1" t="str">
        <f>IF(AND(Programme_Grunddaten!$A784="Geprüft",Programme_Grunddaten!AN784&lt;&gt;""),IF(Programme_Grunddaten!AN784="Ja",1,0),"")</f>
        <v/>
      </c>
      <c r="AG779" s="1" t="str">
        <f>IF(AND(Programme_Grunddaten!$A784="Geprüft",Programme_Grunddaten!AO784&lt;&gt;""),IF(Programme_Grunddaten!AO784="Ja",1,0),"")</f>
        <v/>
      </c>
      <c r="AH779" s="1" t="str">
        <f>IF(AND(Programme_Grunddaten!$A784="Geprüft",Programme_Grunddaten!AP784&lt;&gt;""),IF(Programme_Grunddaten!AP784="Ja",1,0),"")</f>
        <v/>
      </c>
      <c r="AI779" s="1" t="str">
        <f>IF(AND(Programme_Grunddaten!$A784="Geprüft",Programme_Grunddaten!AQ784&lt;&gt;""),IF(Programme_Grunddaten!AQ784="Ja",1,0),"")</f>
        <v/>
      </c>
      <c r="AJ779" s="1" t="str">
        <f>IF(AND(Programme_Grunddaten!$A784="Geprüft",Programme_Grunddaten!AR784&lt;&gt;""),IF(Programme_Grunddaten!AR784="Ja",1,0),"")</f>
        <v/>
      </c>
      <c r="AK779" s="1" t="str">
        <f>IF(AND(Programme_Grunddaten!$A784="Geprüft",Programme_Grunddaten!AS784&lt;&gt;""),IF(Programme_Grunddaten!AS784="Ja",1,0),"")</f>
        <v/>
      </c>
      <c r="AL779" s="1" t="str">
        <f>IF(AND(Programme_Grunddaten!$A784="Geprüft",Programme_Grunddaten!AT784&lt;&gt;""),IF(Programme_Grunddaten!AT784="Ja",1,0),"")</f>
        <v/>
      </c>
      <c r="AM779" s="1" t="str">
        <f>IF(AND(Programme_Grunddaten!$A784="Geprüft",Programme_Grunddaten!AU784&lt;&gt;""),IF(Programme_Grunddaten!AU784="Ja",1,0),"")</f>
        <v/>
      </c>
      <c r="AN779" s="1" t="str">
        <f>IF(AND(Programme_Grunddaten!$A784="Geprüft",Programme_Grunddaten!AV784&lt;&gt;""),IF(Programme_Grunddaten!AV784="Ja",1,0),"")</f>
        <v/>
      </c>
    </row>
    <row r="780" spans="1:40" x14ac:dyDescent="0.3">
      <c r="A780" s="1" t="str">
        <f>IF(AND(Programme_Grunddaten!A785="Geprüft",Programme_Grunddaten!B785&lt;&gt;""),Programme_Grunddaten!B785,"")</f>
        <v/>
      </c>
      <c r="B780" s="1" t="str">
        <f>IF(AND(Programme_Grunddaten!$A785="Geprüft",Programme_Grunddaten!I785&lt;&gt;""),IF(Programme_Grunddaten!I785="Ja",1,0),"")</f>
        <v/>
      </c>
      <c r="C780" s="1" t="str">
        <f>IF(AND(Programme_Grunddaten!$A785="Geprüft",Programme_Grunddaten!J785&lt;&gt;""),IF(Programme_Grunddaten!J785="Ja",1,0),"")</f>
        <v/>
      </c>
      <c r="D780" s="1" t="str">
        <f>IF(AND(Programme_Grunddaten!$A785="Geprüft",Programme_Grunddaten!K785&lt;&gt;""),IF(Programme_Grunddaten!K785="Ja",1,0),"")</f>
        <v/>
      </c>
      <c r="E780" s="1" t="str">
        <f>IF(AND(Programme_Grunddaten!$A785="Geprüft",Programme_Grunddaten!L785&lt;&gt;""),IF(Programme_Grunddaten!L785="Abo / befristete Lizenz",1,0),"")</f>
        <v/>
      </c>
      <c r="F780" s="1" t="str">
        <f>IF(AND(Programme_Grunddaten!$A785="Geprüft",Programme_Grunddaten!M785&lt;&gt;""),IF(Programme_Grunddaten!M785="Ja",1,0),"")</f>
        <v/>
      </c>
      <c r="G780" s="1" t="str">
        <f>IF(AND(Programme_Grunddaten!$A785="Geprüft",Programme_Grunddaten!N785&lt;&gt;""),IF(Programme_Grunddaten!N785="Ja",1,0),"")</f>
        <v/>
      </c>
      <c r="H780" s="1" t="str">
        <f>IF(AND(Programme_Grunddaten!$A785="Geprüft",Programme_Grunddaten!O785&lt;&gt;""),IF(Programme_Grunddaten!O785="Deutschland",0,IF(Programme_Grunddaten!O785="EU",1,2)),"")</f>
        <v/>
      </c>
      <c r="I780" s="1" t="str">
        <f>IF(AND(Programme_Grunddaten!$A785="Geprüft",Programme_Grunddaten!P785&lt;&gt;""),IF(Programme_Grunddaten!P785="Ja",1,0),"")</f>
        <v/>
      </c>
      <c r="J780" s="1" t="str">
        <f>IF(AND(Programme_Grunddaten!$A785="Geprüft",Programme_Grunddaten!Q785&lt;&gt;""),IF(Programme_Grunddaten!Q785="geschlossenes System",1,0),"")</f>
        <v/>
      </c>
      <c r="K780" s="1" t="str">
        <f>IF(AND(Programme_Grunddaten!$A785="Geprüft",Programme_Grunddaten!R785&lt;&gt;""),IF(Programme_Grunddaten!R785="Ja",1,0),"")</f>
        <v/>
      </c>
      <c r="L780" s="1" t="str">
        <f>IF(AND(Programme_Grunddaten!$A785="Geprüft",Programme_Grunddaten!T785&lt;&gt;""),IF(Programme_Grunddaten!T785="Ja",1,0),"")</f>
        <v/>
      </c>
      <c r="M780" s="1" t="str">
        <f>IF(AND(Programme_Grunddaten!$A785="Geprüft",Programme_Grunddaten!U785&lt;&gt;""),IF(Programme_Grunddaten!U785="Ja",1,0),"")</f>
        <v/>
      </c>
      <c r="N780" s="1" t="str">
        <f>IF(AND(Programme_Grunddaten!$A785="Geprüft",Programme_Grunddaten!V785&lt;&gt;""),IF(Programme_Grunddaten!V785="Ja",1,0),"")</f>
        <v/>
      </c>
      <c r="O780" s="1" t="str">
        <f>IF(AND(Programme_Grunddaten!$A785="Geprüft",Programme_Grunddaten!W785&lt;&gt;""),IF(Programme_Grunddaten!W785="Ja",1,0),"")</f>
        <v/>
      </c>
      <c r="P780" s="1" t="str">
        <f>IF(AND(Programme_Grunddaten!$A785="Geprüft",Programme_Grunddaten!X785&lt;&gt;""),IF(Programme_Grunddaten!X785="Ja",1,0),"")</f>
        <v/>
      </c>
      <c r="Q780" s="1" t="str">
        <f>IF(AND(Programme_Grunddaten!$A785="Geprüft",Programme_Grunddaten!Y785&lt;&gt;""),IF(Programme_Grunddaten!Y785="Ja",1,0),"")</f>
        <v/>
      </c>
      <c r="R780" s="1" t="str">
        <f>IF(AND(Programme_Grunddaten!$A785="Geprüft",Programme_Grunddaten!Z785&lt;&gt;""),IF(Programme_Grunddaten!Z785="Ja",1,0),"")</f>
        <v/>
      </c>
      <c r="S780" s="1" t="str">
        <f>IF(AND(Programme_Grunddaten!$A785="Geprüft",Programme_Grunddaten!AA785&lt;&gt;""),IF(Programme_Grunddaten!AA785="monolithisch",1,0),"")</f>
        <v/>
      </c>
      <c r="T780" s="1" t="str">
        <f>IF(AND(Programme_Grunddaten!$A785="Geprüft",Programme_Grunddaten!AB785&lt;&gt;""),IF(Programme_Grunddaten!AB785="Ja",1,0),"")</f>
        <v/>
      </c>
      <c r="U780" s="1" t="str">
        <f>IF(AND(Programme_Grunddaten!$A785="Geprüft",Programme_Grunddaten!AC785&lt;&gt;""),IF(Programme_Grunddaten!AC785="Ja",1,0),"")</f>
        <v/>
      </c>
      <c r="V780" s="1" t="str">
        <f>IF(AND(Programme_Grunddaten!$A785="Geprüft",Programme_Grunddaten!AD785&lt;&gt;""),IF(Programme_Grunddaten!AD785="Ja",1,0),"")</f>
        <v/>
      </c>
      <c r="W780" s="1" t="str">
        <f>IF(AND(Programme_Grunddaten!$A785="Geprüft",Programme_Grunddaten!AE785&lt;&gt;""),IF(Programme_Grunddaten!AE785="Ja",1,0),"")</f>
        <v/>
      </c>
      <c r="X780" s="1" t="str">
        <f>IF(AND(Programme_Grunddaten!$A785="Geprüft",Programme_Grunddaten!AF785&lt;&gt;""),IF(Programme_Grunddaten!AF785="Ja",1,0),"")</f>
        <v/>
      </c>
      <c r="Y780" s="1" t="str">
        <f>IF(AND(Programme_Grunddaten!$A785="Geprüft",Programme_Grunddaten!AG785&lt;&gt;""),IF(Programme_Grunddaten!AG785="Ja",1,0),"")</f>
        <v/>
      </c>
      <c r="Z780" s="1" t="str">
        <f>IF(AND(Programme_Grunddaten!$A785="Geprüft",Programme_Grunddaten!AH785&lt;&gt;""),IF(Programme_Grunddaten!AH785="Ja",1,0),"")</f>
        <v/>
      </c>
      <c r="AA780" s="1" t="str">
        <f>IF(AND(Programme_Grunddaten!$A785="Geprüft",Programme_Grunddaten!AI785&lt;&gt;""),IF(Programme_Grunddaten!AI785="Ja",1,0),"")</f>
        <v/>
      </c>
      <c r="AB780" s="1" t="str">
        <f>IF(AND(Programme_Grunddaten!$A785="Geprüft",Programme_Grunddaten!AJ785&lt;&gt;""),IF(Programme_Grunddaten!AJ785="individuell programmierbar",1,0),"")</f>
        <v/>
      </c>
      <c r="AC780" s="1" t="str">
        <f>IF(AND(Programme_Grunddaten!$A785="Geprüft",Programme_Grunddaten!AK785&lt;&gt;""),IF(Programme_Grunddaten!AK785="Deutsch",0,IF(Programme_Grunddaten!AK785="Deutsch und Englisch",1,2)),"")</f>
        <v/>
      </c>
      <c r="AD780" s="1" t="str">
        <f>IF(AND(Programme_Grunddaten!$A785="Geprüft",Programme_Grunddaten!AL785&lt;&gt;""),IF(Programme_Grunddaten!AL785="Ja",1,0),"")</f>
        <v/>
      </c>
      <c r="AE780" s="1" t="str">
        <f>IF(AND(Programme_Grunddaten!$A785="Geprüft",Programme_Grunddaten!AM785&lt;&gt;""),IF(Programme_Grunddaten!AM785="Ja",1,0),"")</f>
        <v/>
      </c>
      <c r="AF780" s="1" t="str">
        <f>IF(AND(Programme_Grunddaten!$A785="Geprüft",Programme_Grunddaten!AN785&lt;&gt;""),IF(Programme_Grunddaten!AN785="Ja",1,0),"")</f>
        <v/>
      </c>
      <c r="AG780" s="1" t="str">
        <f>IF(AND(Programme_Grunddaten!$A785="Geprüft",Programme_Grunddaten!AO785&lt;&gt;""),IF(Programme_Grunddaten!AO785="Ja",1,0),"")</f>
        <v/>
      </c>
      <c r="AH780" s="1" t="str">
        <f>IF(AND(Programme_Grunddaten!$A785="Geprüft",Programme_Grunddaten!AP785&lt;&gt;""),IF(Programme_Grunddaten!AP785="Ja",1,0),"")</f>
        <v/>
      </c>
      <c r="AI780" s="1" t="str">
        <f>IF(AND(Programme_Grunddaten!$A785="Geprüft",Programme_Grunddaten!AQ785&lt;&gt;""),IF(Programme_Grunddaten!AQ785="Ja",1,0),"")</f>
        <v/>
      </c>
      <c r="AJ780" s="1" t="str">
        <f>IF(AND(Programme_Grunddaten!$A785="Geprüft",Programme_Grunddaten!AR785&lt;&gt;""),IF(Programme_Grunddaten!AR785="Ja",1,0),"")</f>
        <v/>
      </c>
      <c r="AK780" s="1" t="str">
        <f>IF(AND(Programme_Grunddaten!$A785="Geprüft",Programme_Grunddaten!AS785&lt;&gt;""),IF(Programme_Grunddaten!AS785="Ja",1,0),"")</f>
        <v/>
      </c>
      <c r="AL780" s="1" t="str">
        <f>IF(AND(Programme_Grunddaten!$A785="Geprüft",Programme_Grunddaten!AT785&lt;&gt;""),IF(Programme_Grunddaten!AT785="Ja",1,0),"")</f>
        <v/>
      </c>
      <c r="AM780" s="1" t="str">
        <f>IF(AND(Programme_Grunddaten!$A785="Geprüft",Programme_Grunddaten!AU785&lt;&gt;""),IF(Programme_Grunddaten!AU785="Ja",1,0),"")</f>
        <v/>
      </c>
      <c r="AN780" s="1" t="str">
        <f>IF(AND(Programme_Grunddaten!$A785="Geprüft",Programme_Grunddaten!AV785&lt;&gt;""),IF(Programme_Grunddaten!AV785="Ja",1,0),"")</f>
        <v/>
      </c>
    </row>
    <row r="781" spans="1:40" x14ac:dyDescent="0.3">
      <c r="A781" s="1" t="str">
        <f>IF(AND(Programme_Grunddaten!A786="Geprüft",Programme_Grunddaten!B786&lt;&gt;""),Programme_Grunddaten!B786,"")</f>
        <v/>
      </c>
      <c r="B781" s="1" t="str">
        <f>IF(AND(Programme_Grunddaten!$A786="Geprüft",Programme_Grunddaten!I786&lt;&gt;""),IF(Programme_Grunddaten!I786="Ja",1,0),"")</f>
        <v/>
      </c>
      <c r="C781" s="1" t="str">
        <f>IF(AND(Programme_Grunddaten!$A786="Geprüft",Programme_Grunddaten!J786&lt;&gt;""),IF(Programme_Grunddaten!J786="Ja",1,0),"")</f>
        <v/>
      </c>
      <c r="D781" s="1" t="str">
        <f>IF(AND(Programme_Grunddaten!$A786="Geprüft",Programme_Grunddaten!K786&lt;&gt;""),IF(Programme_Grunddaten!K786="Ja",1,0),"")</f>
        <v/>
      </c>
      <c r="E781" s="1" t="str">
        <f>IF(AND(Programme_Grunddaten!$A786="Geprüft",Programme_Grunddaten!L786&lt;&gt;""),IF(Programme_Grunddaten!L786="Abo / befristete Lizenz",1,0),"")</f>
        <v/>
      </c>
      <c r="F781" s="1" t="str">
        <f>IF(AND(Programme_Grunddaten!$A786="Geprüft",Programme_Grunddaten!M786&lt;&gt;""),IF(Programme_Grunddaten!M786="Ja",1,0),"")</f>
        <v/>
      </c>
      <c r="G781" s="1" t="str">
        <f>IF(AND(Programme_Grunddaten!$A786="Geprüft",Programme_Grunddaten!N786&lt;&gt;""),IF(Programme_Grunddaten!N786="Ja",1,0),"")</f>
        <v/>
      </c>
      <c r="H781" s="1" t="str">
        <f>IF(AND(Programme_Grunddaten!$A786="Geprüft",Programme_Grunddaten!O786&lt;&gt;""),IF(Programme_Grunddaten!O786="Deutschland",0,IF(Programme_Grunddaten!O786="EU",1,2)),"")</f>
        <v/>
      </c>
      <c r="I781" s="1" t="str">
        <f>IF(AND(Programme_Grunddaten!$A786="Geprüft",Programme_Grunddaten!P786&lt;&gt;""),IF(Programme_Grunddaten!P786="Ja",1,0),"")</f>
        <v/>
      </c>
      <c r="J781" s="1" t="str">
        <f>IF(AND(Programme_Grunddaten!$A786="Geprüft",Programme_Grunddaten!Q786&lt;&gt;""),IF(Programme_Grunddaten!Q786="geschlossenes System",1,0),"")</f>
        <v/>
      </c>
      <c r="K781" s="1" t="str">
        <f>IF(AND(Programme_Grunddaten!$A786="Geprüft",Programme_Grunddaten!R786&lt;&gt;""),IF(Programme_Grunddaten!R786="Ja",1,0),"")</f>
        <v/>
      </c>
      <c r="L781" s="1" t="str">
        <f>IF(AND(Programme_Grunddaten!$A786="Geprüft",Programme_Grunddaten!T786&lt;&gt;""),IF(Programme_Grunddaten!T786="Ja",1,0),"")</f>
        <v/>
      </c>
      <c r="M781" s="1" t="str">
        <f>IF(AND(Programme_Grunddaten!$A786="Geprüft",Programme_Grunddaten!U786&lt;&gt;""),IF(Programme_Grunddaten!U786="Ja",1,0),"")</f>
        <v/>
      </c>
      <c r="N781" s="1" t="str">
        <f>IF(AND(Programme_Grunddaten!$A786="Geprüft",Programme_Grunddaten!V786&lt;&gt;""),IF(Programme_Grunddaten!V786="Ja",1,0),"")</f>
        <v/>
      </c>
      <c r="O781" s="1" t="str">
        <f>IF(AND(Programme_Grunddaten!$A786="Geprüft",Programme_Grunddaten!W786&lt;&gt;""),IF(Programme_Grunddaten!W786="Ja",1,0),"")</f>
        <v/>
      </c>
      <c r="P781" s="1" t="str">
        <f>IF(AND(Programme_Grunddaten!$A786="Geprüft",Programme_Grunddaten!X786&lt;&gt;""),IF(Programme_Grunddaten!X786="Ja",1,0),"")</f>
        <v/>
      </c>
      <c r="Q781" s="1" t="str">
        <f>IF(AND(Programme_Grunddaten!$A786="Geprüft",Programme_Grunddaten!Y786&lt;&gt;""),IF(Programme_Grunddaten!Y786="Ja",1,0),"")</f>
        <v/>
      </c>
      <c r="R781" s="1" t="str">
        <f>IF(AND(Programme_Grunddaten!$A786="Geprüft",Programme_Grunddaten!Z786&lt;&gt;""),IF(Programme_Grunddaten!Z786="Ja",1,0),"")</f>
        <v/>
      </c>
      <c r="S781" s="1" t="str">
        <f>IF(AND(Programme_Grunddaten!$A786="Geprüft",Programme_Grunddaten!AA786&lt;&gt;""),IF(Programme_Grunddaten!AA786="monolithisch",1,0),"")</f>
        <v/>
      </c>
      <c r="T781" s="1" t="str">
        <f>IF(AND(Programme_Grunddaten!$A786="Geprüft",Programme_Grunddaten!AB786&lt;&gt;""),IF(Programme_Grunddaten!AB786="Ja",1,0),"")</f>
        <v/>
      </c>
      <c r="U781" s="1" t="str">
        <f>IF(AND(Programme_Grunddaten!$A786="Geprüft",Programme_Grunddaten!AC786&lt;&gt;""),IF(Programme_Grunddaten!AC786="Ja",1,0),"")</f>
        <v/>
      </c>
      <c r="V781" s="1" t="str">
        <f>IF(AND(Programme_Grunddaten!$A786="Geprüft",Programme_Grunddaten!AD786&lt;&gt;""),IF(Programme_Grunddaten!AD786="Ja",1,0),"")</f>
        <v/>
      </c>
      <c r="W781" s="1" t="str">
        <f>IF(AND(Programme_Grunddaten!$A786="Geprüft",Programme_Grunddaten!AE786&lt;&gt;""),IF(Programme_Grunddaten!AE786="Ja",1,0),"")</f>
        <v/>
      </c>
      <c r="X781" s="1" t="str">
        <f>IF(AND(Programme_Grunddaten!$A786="Geprüft",Programme_Grunddaten!AF786&lt;&gt;""),IF(Programme_Grunddaten!AF786="Ja",1,0),"")</f>
        <v/>
      </c>
      <c r="Y781" s="1" t="str">
        <f>IF(AND(Programme_Grunddaten!$A786="Geprüft",Programme_Grunddaten!AG786&lt;&gt;""),IF(Programme_Grunddaten!AG786="Ja",1,0),"")</f>
        <v/>
      </c>
      <c r="Z781" s="1" t="str">
        <f>IF(AND(Programme_Grunddaten!$A786="Geprüft",Programme_Grunddaten!AH786&lt;&gt;""),IF(Programme_Grunddaten!AH786="Ja",1,0),"")</f>
        <v/>
      </c>
      <c r="AA781" s="1" t="str">
        <f>IF(AND(Programme_Grunddaten!$A786="Geprüft",Programme_Grunddaten!AI786&lt;&gt;""),IF(Programme_Grunddaten!AI786="Ja",1,0),"")</f>
        <v/>
      </c>
      <c r="AB781" s="1" t="str">
        <f>IF(AND(Programme_Grunddaten!$A786="Geprüft",Programme_Grunddaten!AJ786&lt;&gt;""),IF(Programme_Grunddaten!AJ786="individuell programmierbar",1,0),"")</f>
        <v/>
      </c>
      <c r="AC781" s="1" t="str">
        <f>IF(AND(Programme_Grunddaten!$A786="Geprüft",Programme_Grunddaten!AK786&lt;&gt;""),IF(Programme_Grunddaten!AK786="Deutsch",0,IF(Programme_Grunddaten!AK786="Deutsch und Englisch",1,2)),"")</f>
        <v/>
      </c>
      <c r="AD781" s="1" t="str">
        <f>IF(AND(Programme_Grunddaten!$A786="Geprüft",Programme_Grunddaten!AL786&lt;&gt;""),IF(Programme_Grunddaten!AL786="Ja",1,0),"")</f>
        <v/>
      </c>
      <c r="AE781" s="1" t="str">
        <f>IF(AND(Programme_Grunddaten!$A786="Geprüft",Programme_Grunddaten!AM786&lt;&gt;""),IF(Programme_Grunddaten!AM786="Ja",1,0),"")</f>
        <v/>
      </c>
      <c r="AF781" s="1" t="str">
        <f>IF(AND(Programme_Grunddaten!$A786="Geprüft",Programme_Grunddaten!AN786&lt;&gt;""),IF(Programme_Grunddaten!AN786="Ja",1,0),"")</f>
        <v/>
      </c>
      <c r="AG781" s="1" t="str">
        <f>IF(AND(Programme_Grunddaten!$A786="Geprüft",Programme_Grunddaten!AO786&lt;&gt;""),IF(Programme_Grunddaten!AO786="Ja",1,0),"")</f>
        <v/>
      </c>
      <c r="AH781" s="1" t="str">
        <f>IF(AND(Programme_Grunddaten!$A786="Geprüft",Programme_Grunddaten!AP786&lt;&gt;""),IF(Programme_Grunddaten!AP786="Ja",1,0),"")</f>
        <v/>
      </c>
      <c r="AI781" s="1" t="str">
        <f>IF(AND(Programme_Grunddaten!$A786="Geprüft",Programme_Grunddaten!AQ786&lt;&gt;""),IF(Programme_Grunddaten!AQ786="Ja",1,0),"")</f>
        <v/>
      </c>
      <c r="AJ781" s="1" t="str">
        <f>IF(AND(Programme_Grunddaten!$A786="Geprüft",Programme_Grunddaten!AR786&lt;&gt;""),IF(Programme_Grunddaten!AR786="Ja",1,0),"")</f>
        <v/>
      </c>
      <c r="AK781" s="1" t="str">
        <f>IF(AND(Programme_Grunddaten!$A786="Geprüft",Programme_Grunddaten!AS786&lt;&gt;""),IF(Programme_Grunddaten!AS786="Ja",1,0),"")</f>
        <v/>
      </c>
      <c r="AL781" s="1" t="str">
        <f>IF(AND(Programme_Grunddaten!$A786="Geprüft",Programme_Grunddaten!AT786&lt;&gt;""),IF(Programme_Grunddaten!AT786="Ja",1,0),"")</f>
        <v/>
      </c>
      <c r="AM781" s="1" t="str">
        <f>IF(AND(Programme_Grunddaten!$A786="Geprüft",Programme_Grunddaten!AU786&lt;&gt;""),IF(Programme_Grunddaten!AU786="Ja",1,0),"")</f>
        <v/>
      </c>
      <c r="AN781" s="1" t="str">
        <f>IF(AND(Programme_Grunddaten!$A786="Geprüft",Programme_Grunddaten!AV786&lt;&gt;""),IF(Programme_Grunddaten!AV786="Ja",1,0),"")</f>
        <v/>
      </c>
    </row>
    <row r="782" spans="1:40" x14ac:dyDescent="0.3">
      <c r="A782" s="1" t="str">
        <f>IF(AND(Programme_Grunddaten!A787="Geprüft",Programme_Grunddaten!B787&lt;&gt;""),Programme_Grunddaten!B787,"")</f>
        <v/>
      </c>
      <c r="B782" s="1" t="str">
        <f>IF(AND(Programme_Grunddaten!$A787="Geprüft",Programme_Grunddaten!I787&lt;&gt;""),IF(Programme_Grunddaten!I787="Ja",1,0),"")</f>
        <v/>
      </c>
      <c r="C782" s="1" t="str">
        <f>IF(AND(Programme_Grunddaten!$A787="Geprüft",Programme_Grunddaten!J787&lt;&gt;""),IF(Programme_Grunddaten!J787="Ja",1,0),"")</f>
        <v/>
      </c>
      <c r="D782" s="1" t="str">
        <f>IF(AND(Programme_Grunddaten!$A787="Geprüft",Programme_Grunddaten!K787&lt;&gt;""),IF(Programme_Grunddaten!K787="Ja",1,0),"")</f>
        <v/>
      </c>
      <c r="E782" s="1" t="str">
        <f>IF(AND(Programme_Grunddaten!$A787="Geprüft",Programme_Grunddaten!L787&lt;&gt;""),IF(Programme_Grunddaten!L787="Abo / befristete Lizenz",1,0),"")</f>
        <v/>
      </c>
      <c r="F782" s="1" t="str">
        <f>IF(AND(Programme_Grunddaten!$A787="Geprüft",Programme_Grunddaten!M787&lt;&gt;""),IF(Programme_Grunddaten!M787="Ja",1,0),"")</f>
        <v/>
      </c>
      <c r="G782" s="1" t="str">
        <f>IF(AND(Programme_Grunddaten!$A787="Geprüft",Programme_Grunddaten!N787&lt;&gt;""),IF(Programme_Grunddaten!N787="Ja",1,0),"")</f>
        <v/>
      </c>
      <c r="H782" s="1" t="str">
        <f>IF(AND(Programme_Grunddaten!$A787="Geprüft",Programme_Grunddaten!O787&lt;&gt;""),IF(Programme_Grunddaten!O787="Deutschland",0,IF(Programme_Grunddaten!O787="EU",1,2)),"")</f>
        <v/>
      </c>
      <c r="I782" s="1" t="str">
        <f>IF(AND(Programme_Grunddaten!$A787="Geprüft",Programme_Grunddaten!P787&lt;&gt;""),IF(Programme_Grunddaten!P787="Ja",1,0),"")</f>
        <v/>
      </c>
      <c r="J782" s="1" t="str">
        <f>IF(AND(Programme_Grunddaten!$A787="Geprüft",Programme_Grunddaten!Q787&lt;&gt;""),IF(Programme_Grunddaten!Q787="geschlossenes System",1,0),"")</f>
        <v/>
      </c>
      <c r="K782" s="1" t="str">
        <f>IF(AND(Programme_Grunddaten!$A787="Geprüft",Programme_Grunddaten!R787&lt;&gt;""),IF(Programme_Grunddaten!R787="Ja",1,0),"")</f>
        <v/>
      </c>
      <c r="L782" s="1" t="str">
        <f>IF(AND(Programme_Grunddaten!$A787="Geprüft",Programme_Grunddaten!T787&lt;&gt;""),IF(Programme_Grunddaten!T787="Ja",1,0),"")</f>
        <v/>
      </c>
      <c r="M782" s="1" t="str">
        <f>IF(AND(Programme_Grunddaten!$A787="Geprüft",Programme_Grunddaten!U787&lt;&gt;""),IF(Programme_Grunddaten!U787="Ja",1,0),"")</f>
        <v/>
      </c>
      <c r="N782" s="1" t="str">
        <f>IF(AND(Programme_Grunddaten!$A787="Geprüft",Programme_Grunddaten!V787&lt;&gt;""),IF(Programme_Grunddaten!V787="Ja",1,0),"")</f>
        <v/>
      </c>
      <c r="O782" s="1" t="str">
        <f>IF(AND(Programme_Grunddaten!$A787="Geprüft",Programme_Grunddaten!W787&lt;&gt;""),IF(Programme_Grunddaten!W787="Ja",1,0),"")</f>
        <v/>
      </c>
      <c r="P782" s="1" t="str">
        <f>IF(AND(Programme_Grunddaten!$A787="Geprüft",Programme_Grunddaten!X787&lt;&gt;""),IF(Programme_Grunddaten!X787="Ja",1,0),"")</f>
        <v/>
      </c>
      <c r="Q782" s="1" t="str">
        <f>IF(AND(Programme_Grunddaten!$A787="Geprüft",Programme_Grunddaten!Y787&lt;&gt;""),IF(Programme_Grunddaten!Y787="Ja",1,0),"")</f>
        <v/>
      </c>
      <c r="R782" s="1" t="str">
        <f>IF(AND(Programme_Grunddaten!$A787="Geprüft",Programme_Grunddaten!Z787&lt;&gt;""),IF(Programme_Grunddaten!Z787="Ja",1,0),"")</f>
        <v/>
      </c>
      <c r="S782" s="1" t="str">
        <f>IF(AND(Programme_Grunddaten!$A787="Geprüft",Programme_Grunddaten!AA787&lt;&gt;""),IF(Programme_Grunddaten!AA787="monolithisch",1,0),"")</f>
        <v/>
      </c>
      <c r="T782" s="1" t="str">
        <f>IF(AND(Programme_Grunddaten!$A787="Geprüft",Programme_Grunddaten!AB787&lt;&gt;""),IF(Programme_Grunddaten!AB787="Ja",1,0),"")</f>
        <v/>
      </c>
      <c r="U782" s="1" t="str">
        <f>IF(AND(Programme_Grunddaten!$A787="Geprüft",Programme_Grunddaten!AC787&lt;&gt;""),IF(Programme_Grunddaten!AC787="Ja",1,0),"")</f>
        <v/>
      </c>
      <c r="V782" s="1" t="str">
        <f>IF(AND(Programme_Grunddaten!$A787="Geprüft",Programme_Grunddaten!AD787&lt;&gt;""),IF(Programme_Grunddaten!AD787="Ja",1,0),"")</f>
        <v/>
      </c>
      <c r="W782" s="1" t="str">
        <f>IF(AND(Programme_Grunddaten!$A787="Geprüft",Programme_Grunddaten!AE787&lt;&gt;""),IF(Programme_Grunddaten!AE787="Ja",1,0),"")</f>
        <v/>
      </c>
      <c r="X782" s="1" t="str">
        <f>IF(AND(Programme_Grunddaten!$A787="Geprüft",Programme_Grunddaten!AF787&lt;&gt;""),IF(Programme_Grunddaten!AF787="Ja",1,0),"")</f>
        <v/>
      </c>
      <c r="Y782" s="1" t="str">
        <f>IF(AND(Programme_Grunddaten!$A787="Geprüft",Programme_Grunddaten!AG787&lt;&gt;""),IF(Programme_Grunddaten!AG787="Ja",1,0),"")</f>
        <v/>
      </c>
      <c r="Z782" s="1" t="str">
        <f>IF(AND(Programme_Grunddaten!$A787="Geprüft",Programme_Grunddaten!AH787&lt;&gt;""),IF(Programme_Grunddaten!AH787="Ja",1,0),"")</f>
        <v/>
      </c>
      <c r="AA782" s="1" t="str">
        <f>IF(AND(Programme_Grunddaten!$A787="Geprüft",Programme_Grunddaten!AI787&lt;&gt;""),IF(Programme_Grunddaten!AI787="Ja",1,0),"")</f>
        <v/>
      </c>
      <c r="AB782" s="1" t="str">
        <f>IF(AND(Programme_Grunddaten!$A787="Geprüft",Programme_Grunddaten!AJ787&lt;&gt;""),IF(Programme_Grunddaten!AJ787="individuell programmierbar",1,0),"")</f>
        <v/>
      </c>
      <c r="AC782" s="1" t="str">
        <f>IF(AND(Programme_Grunddaten!$A787="Geprüft",Programme_Grunddaten!AK787&lt;&gt;""),IF(Programme_Grunddaten!AK787="Deutsch",0,IF(Programme_Grunddaten!AK787="Deutsch und Englisch",1,2)),"")</f>
        <v/>
      </c>
      <c r="AD782" s="1" t="str">
        <f>IF(AND(Programme_Grunddaten!$A787="Geprüft",Programme_Grunddaten!AL787&lt;&gt;""),IF(Programme_Grunddaten!AL787="Ja",1,0),"")</f>
        <v/>
      </c>
      <c r="AE782" s="1" t="str">
        <f>IF(AND(Programme_Grunddaten!$A787="Geprüft",Programme_Grunddaten!AM787&lt;&gt;""),IF(Programme_Grunddaten!AM787="Ja",1,0),"")</f>
        <v/>
      </c>
      <c r="AF782" s="1" t="str">
        <f>IF(AND(Programme_Grunddaten!$A787="Geprüft",Programme_Grunddaten!AN787&lt;&gt;""),IF(Programme_Grunddaten!AN787="Ja",1,0),"")</f>
        <v/>
      </c>
      <c r="AG782" s="1" t="str">
        <f>IF(AND(Programme_Grunddaten!$A787="Geprüft",Programme_Grunddaten!AO787&lt;&gt;""),IF(Programme_Grunddaten!AO787="Ja",1,0),"")</f>
        <v/>
      </c>
      <c r="AH782" s="1" t="str">
        <f>IF(AND(Programme_Grunddaten!$A787="Geprüft",Programme_Grunddaten!AP787&lt;&gt;""),IF(Programme_Grunddaten!AP787="Ja",1,0),"")</f>
        <v/>
      </c>
      <c r="AI782" s="1" t="str">
        <f>IF(AND(Programme_Grunddaten!$A787="Geprüft",Programme_Grunddaten!AQ787&lt;&gt;""),IF(Programme_Grunddaten!AQ787="Ja",1,0),"")</f>
        <v/>
      </c>
      <c r="AJ782" s="1" t="str">
        <f>IF(AND(Programme_Grunddaten!$A787="Geprüft",Programme_Grunddaten!AR787&lt;&gt;""),IF(Programme_Grunddaten!AR787="Ja",1,0),"")</f>
        <v/>
      </c>
      <c r="AK782" s="1" t="str">
        <f>IF(AND(Programme_Grunddaten!$A787="Geprüft",Programme_Grunddaten!AS787&lt;&gt;""),IF(Programme_Grunddaten!AS787="Ja",1,0),"")</f>
        <v/>
      </c>
      <c r="AL782" s="1" t="str">
        <f>IF(AND(Programme_Grunddaten!$A787="Geprüft",Programme_Grunddaten!AT787&lt;&gt;""),IF(Programme_Grunddaten!AT787="Ja",1,0),"")</f>
        <v/>
      </c>
      <c r="AM782" s="1" t="str">
        <f>IF(AND(Programme_Grunddaten!$A787="Geprüft",Programme_Grunddaten!AU787&lt;&gt;""),IF(Programme_Grunddaten!AU787="Ja",1,0),"")</f>
        <v/>
      </c>
      <c r="AN782" s="1" t="str">
        <f>IF(AND(Programme_Grunddaten!$A787="Geprüft",Programme_Grunddaten!AV787&lt;&gt;""),IF(Programme_Grunddaten!AV787="Ja",1,0),"")</f>
        <v/>
      </c>
    </row>
    <row r="783" spans="1:40" x14ac:dyDescent="0.3">
      <c r="A783" s="1" t="str">
        <f>IF(AND(Programme_Grunddaten!A788="Geprüft",Programme_Grunddaten!B788&lt;&gt;""),Programme_Grunddaten!B788,"")</f>
        <v/>
      </c>
      <c r="B783" s="1" t="str">
        <f>IF(AND(Programme_Grunddaten!$A788="Geprüft",Programme_Grunddaten!I788&lt;&gt;""),IF(Programme_Grunddaten!I788="Ja",1,0),"")</f>
        <v/>
      </c>
      <c r="C783" s="1" t="str">
        <f>IF(AND(Programme_Grunddaten!$A788="Geprüft",Programme_Grunddaten!J788&lt;&gt;""),IF(Programme_Grunddaten!J788="Ja",1,0),"")</f>
        <v/>
      </c>
      <c r="D783" s="1" t="str">
        <f>IF(AND(Programme_Grunddaten!$A788="Geprüft",Programme_Grunddaten!K788&lt;&gt;""),IF(Programme_Grunddaten!K788="Ja",1,0),"")</f>
        <v/>
      </c>
      <c r="E783" s="1" t="str">
        <f>IF(AND(Programme_Grunddaten!$A788="Geprüft",Programme_Grunddaten!L788&lt;&gt;""),IF(Programme_Grunddaten!L788="Abo / befristete Lizenz",1,0),"")</f>
        <v/>
      </c>
      <c r="F783" s="1" t="str">
        <f>IF(AND(Programme_Grunddaten!$A788="Geprüft",Programme_Grunddaten!M788&lt;&gt;""),IF(Programme_Grunddaten!M788="Ja",1,0),"")</f>
        <v/>
      </c>
      <c r="G783" s="1" t="str">
        <f>IF(AND(Programme_Grunddaten!$A788="Geprüft",Programme_Grunddaten!N788&lt;&gt;""),IF(Programme_Grunddaten!N788="Ja",1,0),"")</f>
        <v/>
      </c>
      <c r="H783" s="1" t="str">
        <f>IF(AND(Programme_Grunddaten!$A788="Geprüft",Programme_Grunddaten!O788&lt;&gt;""),IF(Programme_Grunddaten!O788="Deutschland",0,IF(Programme_Grunddaten!O788="EU",1,2)),"")</f>
        <v/>
      </c>
      <c r="I783" s="1" t="str">
        <f>IF(AND(Programme_Grunddaten!$A788="Geprüft",Programme_Grunddaten!P788&lt;&gt;""),IF(Programme_Grunddaten!P788="Ja",1,0),"")</f>
        <v/>
      </c>
      <c r="J783" s="1" t="str">
        <f>IF(AND(Programme_Grunddaten!$A788="Geprüft",Programme_Grunddaten!Q788&lt;&gt;""),IF(Programme_Grunddaten!Q788="geschlossenes System",1,0),"")</f>
        <v/>
      </c>
      <c r="K783" s="1" t="str">
        <f>IF(AND(Programme_Grunddaten!$A788="Geprüft",Programme_Grunddaten!R788&lt;&gt;""),IF(Programme_Grunddaten!R788="Ja",1,0),"")</f>
        <v/>
      </c>
      <c r="L783" s="1" t="str">
        <f>IF(AND(Programme_Grunddaten!$A788="Geprüft",Programme_Grunddaten!T788&lt;&gt;""),IF(Programme_Grunddaten!T788="Ja",1,0),"")</f>
        <v/>
      </c>
      <c r="M783" s="1" t="str">
        <f>IF(AND(Programme_Grunddaten!$A788="Geprüft",Programme_Grunddaten!U788&lt;&gt;""),IF(Programme_Grunddaten!U788="Ja",1,0),"")</f>
        <v/>
      </c>
      <c r="N783" s="1" t="str">
        <f>IF(AND(Programme_Grunddaten!$A788="Geprüft",Programme_Grunddaten!V788&lt;&gt;""),IF(Programme_Grunddaten!V788="Ja",1,0),"")</f>
        <v/>
      </c>
      <c r="O783" s="1" t="str">
        <f>IF(AND(Programme_Grunddaten!$A788="Geprüft",Programme_Grunddaten!W788&lt;&gt;""),IF(Programme_Grunddaten!W788="Ja",1,0),"")</f>
        <v/>
      </c>
      <c r="P783" s="1" t="str">
        <f>IF(AND(Programme_Grunddaten!$A788="Geprüft",Programme_Grunddaten!X788&lt;&gt;""),IF(Programme_Grunddaten!X788="Ja",1,0),"")</f>
        <v/>
      </c>
      <c r="Q783" s="1" t="str">
        <f>IF(AND(Programme_Grunddaten!$A788="Geprüft",Programme_Grunddaten!Y788&lt;&gt;""),IF(Programme_Grunddaten!Y788="Ja",1,0),"")</f>
        <v/>
      </c>
      <c r="R783" s="1" t="str">
        <f>IF(AND(Programme_Grunddaten!$A788="Geprüft",Programme_Grunddaten!Z788&lt;&gt;""),IF(Programme_Grunddaten!Z788="Ja",1,0),"")</f>
        <v/>
      </c>
      <c r="S783" s="1" t="str">
        <f>IF(AND(Programme_Grunddaten!$A788="Geprüft",Programme_Grunddaten!AA788&lt;&gt;""),IF(Programme_Grunddaten!AA788="monolithisch",1,0),"")</f>
        <v/>
      </c>
      <c r="T783" s="1" t="str">
        <f>IF(AND(Programme_Grunddaten!$A788="Geprüft",Programme_Grunddaten!AB788&lt;&gt;""),IF(Programme_Grunddaten!AB788="Ja",1,0),"")</f>
        <v/>
      </c>
      <c r="U783" s="1" t="str">
        <f>IF(AND(Programme_Grunddaten!$A788="Geprüft",Programme_Grunddaten!AC788&lt;&gt;""),IF(Programme_Grunddaten!AC788="Ja",1,0),"")</f>
        <v/>
      </c>
      <c r="V783" s="1" t="str">
        <f>IF(AND(Programme_Grunddaten!$A788="Geprüft",Programme_Grunddaten!AD788&lt;&gt;""),IF(Programme_Grunddaten!AD788="Ja",1,0),"")</f>
        <v/>
      </c>
      <c r="W783" s="1" t="str">
        <f>IF(AND(Programme_Grunddaten!$A788="Geprüft",Programme_Grunddaten!AE788&lt;&gt;""),IF(Programme_Grunddaten!AE788="Ja",1,0),"")</f>
        <v/>
      </c>
      <c r="X783" s="1" t="str">
        <f>IF(AND(Programme_Grunddaten!$A788="Geprüft",Programme_Grunddaten!AF788&lt;&gt;""),IF(Programme_Grunddaten!AF788="Ja",1,0),"")</f>
        <v/>
      </c>
      <c r="Y783" s="1" t="str">
        <f>IF(AND(Programme_Grunddaten!$A788="Geprüft",Programme_Grunddaten!AG788&lt;&gt;""),IF(Programme_Grunddaten!AG788="Ja",1,0),"")</f>
        <v/>
      </c>
      <c r="Z783" s="1" t="str">
        <f>IF(AND(Programme_Grunddaten!$A788="Geprüft",Programme_Grunddaten!AH788&lt;&gt;""),IF(Programme_Grunddaten!AH788="Ja",1,0),"")</f>
        <v/>
      </c>
      <c r="AA783" s="1" t="str">
        <f>IF(AND(Programme_Grunddaten!$A788="Geprüft",Programme_Grunddaten!AI788&lt;&gt;""),IF(Programme_Grunddaten!AI788="Ja",1,0),"")</f>
        <v/>
      </c>
      <c r="AB783" s="1" t="str">
        <f>IF(AND(Programme_Grunddaten!$A788="Geprüft",Programme_Grunddaten!AJ788&lt;&gt;""),IF(Programme_Grunddaten!AJ788="individuell programmierbar",1,0),"")</f>
        <v/>
      </c>
      <c r="AC783" s="1" t="str">
        <f>IF(AND(Programme_Grunddaten!$A788="Geprüft",Programme_Grunddaten!AK788&lt;&gt;""),IF(Programme_Grunddaten!AK788="Deutsch",0,IF(Programme_Grunddaten!AK788="Deutsch und Englisch",1,2)),"")</f>
        <v/>
      </c>
      <c r="AD783" s="1" t="str">
        <f>IF(AND(Programme_Grunddaten!$A788="Geprüft",Programme_Grunddaten!AL788&lt;&gt;""),IF(Programme_Grunddaten!AL788="Ja",1,0),"")</f>
        <v/>
      </c>
      <c r="AE783" s="1" t="str">
        <f>IF(AND(Programme_Grunddaten!$A788="Geprüft",Programme_Grunddaten!AM788&lt;&gt;""),IF(Programme_Grunddaten!AM788="Ja",1,0),"")</f>
        <v/>
      </c>
      <c r="AF783" s="1" t="str">
        <f>IF(AND(Programme_Grunddaten!$A788="Geprüft",Programme_Grunddaten!AN788&lt;&gt;""),IF(Programme_Grunddaten!AN788="Ja",1,0),"")</f>
        <v/>
      </c>
      <c r="AG783" s="1" t="str">
        <f>IF(AND(Programme_Grunddaten!$A788="Geprüft",Programme_Grunddaten!AO788&lt;&gt;""),IF(Programme_Grunddaten!AO788="Ja",1,0),"")</f>
        <v/>
      </c>
      <c r="AH783" s="1" t="str">
        <f>IF(AND(Programme_Grunddaten!$A788="Geprüft",Programme_Grunddaten!AP788&lt;&gt;""),IF(Programme_Grunddaten!AP788="Ja",1,0),"")</f>
        <v/>
      </c>
      <c r="AI783" s="1" t="str">
        <f>IF(AND(Programme_Grunddaten!$A788="Geprüft",Programme_Grunddaten!AQ788&lt;&gt;""),IF(Programme_Grunddaten!AQ788="Ja",1,0),"")</f>
        <v/>
      </c>
      <c r="AJ783" s="1" t="str">
        <f>IF(AND(Programme_Grunddaten!$A788="Geprüft",Programme_Grunddaten!AR788&lt;&gt;""),IF(Programme_Grunddaten!AR788="Ja",1,0),"")</f>
        <v/>
      </c>
      <c r="AK783" s="1" t="str">
        <f>IF(AND(Programme_Grunddaten!$A788="Geprüft",Programme_Grunddaten!AS788&lt;&gt;""),IF(Programme_Grunddaten!AS788="Ja",1,0),"")</f>
        <v/>
      </c>
      <c r="AL783" s="1" t="str">
        <f>IF(AND(Programme_Grunddaten!$A788="Geprüft",Programme_Grunddaten!AT788&lt;&gt;""),IF(Programme_Grunddaten!AT788="Ja",1,0),"")</f>
        <v/>
      </c>
      <c r="AM783" s="1" t="str">
        <f>IF(AND(Programme_Grunddaten!$A788="Geprüft",Programme_Grunddaten!AU788&lt;&gt;""),IF(Programme_Grunddaten!AU788="Ja",1,0),"")</f>
        <v/>
      </c>
      <c r="AN783" s="1" t="str">
        <f>IF(AND(Programme_Grunddaten!$A788="Geprüft",Programme_Grunddaten!AV788&lt;&gt;""),IF(Programme_Grunddaten!AV788="Ja",1,0),"")</f>
        <v/>
      </c>
    </row>
    <row r="784" spans="1:40" x14ac:dyDescent="0.3">
      <c r="A784" s="1" t="str">
        <f>IF(AND(Programme_Grunddaten!A789="Geprüft",Programme_Grunddaten!B789&lt;&gt;""),Programme_Grunddaten!B789,"")</f>
        <v/>
      </c>
      <c r="B784" s="1" t="str">
        <f>IF(AND(Programme_Grunddaten!$A789="Geprüft",Programme_Grunddaten!I789&lt;&gt;""),IF(Programme_Grunddaten!I789="Ja",1,0),"")</f>
        <v/>
      </c>
      <c r="C784" s="1" t="str">
        <f>IF(AND(Programme_Grunddaten!$A789="Geprüft",Programme_Grunddaten!J789&lt;&gt;""),IF(Programme_Grunddaten!J789="Ja",1,0),"")</f>
        <v/>
      </c>
      <c r="D784" s="1" t="str">
        <f>IF(AND(Programme_Grunddaten!$A789="Geprüft",Programme_Grunddaten!K789&lt;&gt;""),IF(Programme_Grunddaten!K789="Ja",1,0),"")</f>
        <v/>
      </c>
      <c r="E784" s="1" t="str">
        <f>IF(AND(Programme_Grunddaten!$A789="Geprüft",Programme_Grunddaten!L789&lt;&gt;""),IF(Programme_Grunddaten!L789="Abo / befristete Lizenz",1,0),"")</f>
        <v/>
      </c>
      <c r="F784" s="1" t="str">
        <f>IF(AND(Programme_Grunddaten!$A789="Geprüft",Programme_Grunddaten!M789&lt;&gt;""),IF(Programme_Grunddaten!M789="Ja",1,0),"")</f>
        <v/>
      </c>
      <c r="G784" s="1" t="str">
        <f>IF(AND(Programme_Grunddaten!$A789="Geprüft",Programme_Grunddaten!N789&lt;&gt;""),IF(Programme_Grunddaten!N789="Ja",1,0),"")</f>
        <v/>
      </c>
      <c r="H784" s="1" t="str">
        <f>IF(AND(Programme_Grunddaten!$A789="Geprüft",Programme_Grunddaten!O789&lt;&gt;""),IF(Programme_Grunddaten!O789="Deutschland",0,IF(Programme_Grunddaten!O789="EU",1,2)),"")</f>
        <v/>
      </c>
      <c r="I784" s="1" t="str">
        <f>IF(AND(Programme_Grunddaten!$A789="Geprüft",Programme_Grunddaten!P789&lt;&gt;""),IF(Programme_Grunddaten!P789="Ja",1,0),"")</f>
        <v/>
      </c>
      <c r="J784" s="1" t="str">
        <f>IF(AND(Programme_Grunddaten!$A789="Geprüft",Programme_Grunddaten!Q789&lt;&gt;""),IF(Programme_Grunddaten!Q789="geschlossenes System",1,0),"")</f>
        <v/>
      </c>
      <c r="K784" s="1" t="str">
        <f>IF(AND(Programme_Grunddaten!$A789="Geprüft",Programme_Grunddaten!R789&lt;&gt;""),IF(Programme_Grunddaten!R789="Ja",1,0),"")</f>
        <v/>
      </c>
      <c r="L784" s="1" t="str">
        <f>IF(AND(Programme_Grunddaten!$A789="Geprüft",Programme_Grunddaten!T789&lt;&gt;""),IF(Programme_Grunddaten!T789="Ja",1,0),"")</f>
        <v/>
      </c>
      <c r="M784" s="1" t="str">
        <f>IF(AND(Programme_Grunddaten!$A789="Geprüft",Programme_Grunddaten!U789&lt;&gt;""),IF(Programme_Grunddaten!U789="Ja",1,0),"")</f>
        <v/>
      </c>
      <c r="N784" s="1" t="str">
        <f>IF(AND(Programme_Grunddaten!$A789="Geprüft",Programme_Grunddaten!V789&lt;&gt;""),IF(Programme_Grunddaten!V789="Ja",1,0),"")</f>
        <v/>
      </c>
      <c r="O784" s="1" t="str">
        <f>IF(AND(Programme_Grunddaten!$A789="Geprüft",Programme_Grunddaten!W789&lt;&gt;""),IF(Programme_Grunddaten!W789="Ja",1,0),"")</f>
        <v/>
      </c>
      <c r="P784" s="1" t="str">
        <f>IF(AND(Programme_Grunddaten!$A789="Geprüft",Programme_Grunddaten!X789&lt;&gt;""),IF(Programme_Grunddaten!X789="Ja",1,0),"")</f>
        <v/>
      </c>
      <c r="Q784" s="1" t="str">
        <f>IF(AND(Programme_Grunddaten!$A789="Geprüft",Programme_Grunddaten!Y789&lt;&gt;""),IF(Programme_Grunddaten!Y789="Ja",1,0),"")</f>
        <v/>
      </c>
      <c r="R784" s="1" t="str">
        <f>IF(AND(Programme_Grunddaten!$A789="Geprüft",Programme_Grunddaten!Z789&lt;&gt;""),IF(Programme_Grunddaten!Z789="Ja",1,0),"")</f>
        <v/>
      </c>
      <c r="S784" s="1" t="str">
        <f>IF(AND(Programme_Grunddaten!$A789="Geprüft",Programme_Grunddaten!AA789&lt;&gt;""),IF(Programme_Grunddaten!AA789="monolithisch",1,0),"")</f>
        <v/>
      </c>
      <c r="T784" s="1" t="str">
        <f>IF(AND(Programme_Grunddaten!$A789="Geprüft",Programme_Grunddaten!AB789&lt;&gt;""),IF(Programme_Grunddaten!AB789="Ja",1,0),"")</f>
        <v/>
      </c>
      <c r="U784" s="1" t="str">
        <f>IF(AND(Programme_Grunddaten!$A789="Geprüft",Programme_Grunddaten!AC789&lt;&gt;""),IF(Programme_Grunddaten!AC789="Ja",1,0),"")</f>
        <v/>
      </c>
      <c r="V784" s="1" t="str">
        <f>IF(AND(Programme_Grunddaten!$A789="Geprüft",Programme_Grunddaten!AD789&lt;&gt;""),IF(Programme_Grunddaten!AD789="Ja",1,0),"")</f>
        <v/>
      </c>
      <c r="W784" s="1" t="str">
        <f>IF(AND(Programme_Grunddaten!$A789="Geprüft",Programme_Grunddaten!AE789&lt;&gt;""),IF(Programme_Grunddaten!AE789="Ja",1,0),"")</f>
        <v/>
      </c>
      <c r="X784" s="1" t="str">
        <f>IF(AND(Programme_Grunddaten!$A789="Geprüft",Programme_Grunddaten!AF789&lt;&gt;""),IF(Programme_Grunddaten!AF789="Ja",1,0),"")</f>
        <v/>
      </c>
      <c r="Y784" s="1" t="str">
        <f>IF(AND(Programme_Grunddaten!$A789="Geprüft",Programme_Grunddaten!AG789&lt;&gt;""),IF(Programme_Grunddaten!AG789="Ja",1,0),"")</f>
        <v/>
      </c>
      <c r="Z784" s="1" t="str">
        <f>IF(AND(Programme_Grunddaten!$A789="Geprüft",Programme_Grunddaten!AH789&lt;&gt;""),IF(Programme_Grunddaten!AH789="Ja",1,0),"")</f>
        <v/>
      </c>
      <c r="AA784" s="1" t="str">
        <f>IF(AND(Programme_Grunddaten!$A789="Geprüft",Programme_Grunddaten!AI789&lt;&gt;""),IF(Programme_Grunddaten!AI789="Ja",1,0),"")</f>
        <v/>
      </c>
      <c r="AB784" s="1" t="str">
        <f>IF(AND(Programme_Grunddaten!$A789="Geprüft",Programme_Grunddaten!AJ789&lt;&gt;""),IF(Programme_Grunddaten!AJ789="individuell programmierbar",1,0),"")</f>
        <v/>
      </c>
      <c r="AC784" s="1" t="str">
        <f>IF(AND(Programme_Grunddaten!$A789="Geprüft",Programme_Grunddaten!AK789&lt;&gt;""),IF(Programme_Grunddaten!AK789="Deutsch",0,IF(Programme_Grunddaten!AK789="Deutsch und Englisch",1,2)),"")</f>
        <v/>
      </c>
      <c r="AD784" s="1" t="str">
        <f>IF(AND(Programme_Grunddaten!$A789="Geprüft",Programme_Grunddaten!AL789&lt;&gt;""),IF(Programme_Grunddaten!AL789="Ja",1,0),"")</f>
        <v/>
      </c>
      <c r="AE784" s="1" t="str">
        <f>IF(AND(Programme_Grunddaten!$A789="Geprüft",Programme_Grunddaten!AM789&lt;&gt;""),IF(Programme_Grunddaten!AM789="Ja",1,0),"")</f>
        <v/>
      </c>
      <c r="AF784" s="1" t="str">
        <f>IF(AND(Programme_Grunddaten!$A789="Geprüft",Programme_Grunddaten!AN789&lt;&gt;""),IF(Programme_Grunddaten!AN789="Ja",1,0),"")</f>
        <v/>
      </c>
      <c r="AG784" s="1" t="str">
        <f>IF(AND(Programme_Grunddaten!$A789="Geprüft",Programme_Grunddaten!AO789&lt;&gt;""),IF(Programme_Grunddaten!AO789="Ja",1,0),"")</f>
        <v/>
      </c>
      <c r="AH784" s="1" t="str">
        <f>IF(AND(Programme_Grunddaten!$A789="Geprüft",Programme_Grunddaten!AP789&lt;&gt;""),IF(Programme_Grunddaten!AP789="Ja",1,0),"")</f>
        <v/>
      </c>
      <c r="AI784" s="1" t="str">
        <f>IF(AND(Programme_Grunddaten!$A789="Geprüft",Programme_Grunddaten!AQ789&lt;&gt;""),IF(Programme_Grunddaten!AQ789="Ja",1,0),"")</f>
        <v/>
      </c>
      <c r="AJ784" s="1" t="str">
        <f>IF(AND(Programme_Grunddaten!$A789="Geprüft",Programme_Grunddaten!AR789&lt;&gt;""),IF(Programme_Grunddaten!AR789="Ja",1,0),"")</f>
        <v/>
      </c>
      <c r="AK784" s="1" t="str">
        <f>IF(AND(Programme_Grunddaten!$A789="Geprüft",Programme_Grunddaten!AS789&lt;&gt;""),IF(Programme_Grunddaten!AS789="Ja",1,0),"")</f>
        <v/>
      </c>
      <c r="AL784" s="1" t="str">
        <f>IF(AND(Programme_Grunddaten!$A789="Geprüft",Programme_Grunddaten!AT789&lt;&gt;""),IF(Programme_Grunddaten!AT789="Ja",1,0),"")</f>
        <v/>
      </c>
      <c r="AM784" s="1" t="str">
        <f>IF(AND(Programme_Grunddaten!$A789="Geprüft",Programme_Grunddaten!AU789&lt;&gt;""),IF(Programme_Grunddaten!AU789="Ja",1,0),"")</f>
        <v/>
      </c>
      <c r="AN784" s="1" t="str">
        <f>IF(AND(Programme_Grunddaten!$A789="Geprüft",Programme_Grunddaten!AV789&lt;&gt;""),IF(Programme_Grunddaten!AV789="Ja",1,0),"")</f>
        <v/>
      </c>
    </row>
    <row r="785" spans="1:40" x14ac:dyDescent="0.3">
      <c r="A785" s="1" t="str">
        <f>IF(AND(Programme_Grunddaten!A790="Geprüft",Programme_Grunddaten!B790&lt;&gt;""),Programme_Grunddaten!B790,"")</f>
        <v/>
      </c>
      <c r="B785" s="1" t="str">
        <f>IF(AND(Programme_Grunddaten!$A790="Geprüft",Programme_Grunddaten!I790&lt;&gt;""),IF(Programme_Grunddaten!I790="Ja",1,0),"")</f>
        <v/>
      </c>
      <c r="C785" s="1" t="str">
        <f>IF(AND(Programme_Grunddaten!$A790="Geprüft",Programme_Grunddaten!J790&lt;&gt;""),IF(Programme_Grunddaten!J790="Ja",1,0),"")</f>
        <v/>
      </c>
      <c r="D785" s="1" t="str">
        <f>IF(AND(Programme_Grunddaten!$A790="Geprüft",Programme_Grunddaten!K790&lt;&gt;""),IF(Programme_Grunddaten!K790="Ja",1,0),"")</f>
        <v/>
      </c>
      <c r="E785" s="1" t="str">
        <f>IF(AND(Programme_Grunddaten!$A790="Geprüft",Programme_Grunddaten!L790&lt;&gt;""),IF(Programme_Grunddaten!L790="Abo / befristete Lizenz",1,0),"")</f>
        <v/>
      </c>
      <c r="F785" s="1" t="str">
        <f>IF(AND(Programme_Grunddaten!$A790="Geprüft",Programme_Grunddaten!M790&lt;&gt;""),IF(Programme_Grunddaten!M790="Ja",1,0),"")</f>
        <v/>
      </c>
      <c r="G785" s="1" t="str">
        <f>IF(AND(Programme_Grunddaten!$A790="Geprüft",Programme_Grunddaten!N790&lt;&gt;""),IF(Programme_Grunddaten!N790="Ja",1,0),"")</f>
        <v/>
      </c>
      <c r="H785" s="1" t="str">
        <f>IF(AND(Programme_Grunddaten!$A790="Geprüft",Programme_Grunddaten!O790&lt;&gt;""),IF(Programme_Grunddaten!O790="Deutschland",0,IF(Programme_Grunddaten!O790="EU",1,2)),"")</f>
        <v/>
      </c>
      <c r="I785" s="1" t="str">
        <f>IF(AND(Programme_Grunddaten!$A790="Geprüft",Programme_Grunddaten!P790&lt;&gt;""),IF(Programme_Grunddaten!P790="Ja",1,0),"")</f>
        <v/>
      </c>
      <c r="J785" s="1" t="str">
        <f>IF(AND(Programme_Grunddaten!$A790="Geprüft",Programme_Grunddaten!Q790&lt;&gt;""),IF(Programme_Grunddaten!Q790="geschlossenes System",1,0),"")</f>
        <v/>
      </c>
      <c r="K785" s="1" t="str">
        <f>IF(AND(Programme_Grunddaten!$A790="Geprüft",Programme_Grunddaten!R790&lt;&gt;""),IF(Programme_Grunddaten!R790="Ja",1,0),"")</f>
        <v/>
      </c>
      <c r="L785" s="1" t="str">
        <f>IF(AND(Programme_Grunddaten!$A790="Geprüft",Programme_Grunddaten!T790&lt;&gt;""),IF(Programme_Grunddaten!T790="Ja",1,0),"")</f>
        <v/>
      </c>
      <c r="M785" s="1" t="str">
        <f>IF(AND(Programme_Grunddaten!$A790="Geprüft",Programme_Grunddaten!U790&lt;&gt;""),IF(Programme_Grunddaten!U790="Ja",1,0),"")</f>
        <v/>
      </c>
      <c r="N785" s="1" t="str">
        <f>IF(AND(Programme_Grunddaten!$A790="Geprüft",Programme_Grunddaten!V790&lt;&gt;""),IF(Programme_Grunddaten!V790="Ja",1,0),"")</f>
        <v/>
      </c>
      <c r="O785" s="1" t="str">
        <f>IF(AND(Programme_Grunddaten!$A790="Geprüft",Programme_Grunddaten!W790&lt;&gt;""),IF(Programme_Grunddaten!W790="Ja",1,0),"")</f>
        <v/>
      </c>
      <c r="P785" s="1" t="str">
        <f>IF(AND(Programme_Grunddaten!$A790="Geprüft",Programme_Grunddaten!X790&lt;&gt;""),IF(Programme_Grunddaten!X790="Ja",1,0),"")</f>
        <v/>
      </c>
      <c r="Q785" s="1" t="str">
        <f>IF(AND(Programme_Grunddaten!$A790="Geprüft",Programme_Grunddaten!Y790&lt;&gt;""),IF(Programme_Grunddaten!Y790="Ja",1,0),"")</f>
        <v/>
      </c>
      <c r="R785" s="1" t="str">
        <f>IF(AND(Programme_Grunddaten!$A790="Geprüft",Programme_Grunddaten!Z790&lt;&gt;""),IF(Programme_Grunddaten!Z790="Ja",1,0),"")</f>
        <v/>
      </c>
      <c r="S785" s="1" t="str">
        <f>IF(AND(Programme_Grunddaten!$A790="Geprüft",Programme_Grunddaten!AA790&lt;&gt;""),IF(Programme_Grunddaten!AA790="monolithisch",1,0),"")</f>
        <v/>
      </c>
      <c r="T785" s="1" t="str">
        <f>IF(AND(Programme_Grunddaten!$A790="Geprüft",Programme_Grunddaten!AB790&lt;&gt;""),IF(Programme_Grunddaten!AB790="Ja",1,0),"")</f>
        <v/>
      </c>
      <c r="U785" s="1" t="str">
        <f>IF(AND(Programme_Grunddaten!$A790="Geprüft",Programme_Grunddaten!AC790&lt;&gt;""),IF(Programme_Grunddaten!AC790="Ja",1,0),"")</f>
        <v/>
      </c>
      <c r="V785" s="1" t="str">
        <f>IF(AND(Programme_Grunddaten!$A790="Geprüft",Programme_Grunddaten!AD790&lt;&gt;""),IF(Programme_Grunddaten!AD790="Ja",1,0),"")</f>
        <v/>
      </c>
      <c r="W785" s="1" t="str">
        <f>IF(AND(Programme_Grunddaten!$A790="Geprüft",Programme_Grunddaten!AE790&lt;&gt;""),IF(Programme_Grunddaten!AE790="Ja",1,0),"")</f>
        <v/>
      </c>
      <c r="X785" s="1" t="str">
        <f>IF(AND(Programme_Grunddaten!$A790="Geprüft",Programme_Grunddaten!AF790&lt;&gt;""),IF(Programme_Grunddaten!AF790="Ja",1,0),"")</f>
        <v/>
      </c>
      <c r="Y785" s="1" t="str">
        <f>IF(AND(Programme_Grunddaten!$A790="Geprüft",Programme_Grunddaten!AG790&lt;&gt;""),IF(Programme_Grunddaten!AG790="Ja",1,0),"")</f>
        <v/>
      </c>
      <c r="Z785" s="1" t="str">
        <f>IF(AND(Programme_Grunddaten!$A790="Geprüft",Programme_Grunddaten!AH790&lt;&gt;""),IF(Programme_Grunddaten!AH790="Ja",1,0),"")</f>
        <v/>
      </c>
      <c r="AA785" s="1" t="str">
        <f>IF(AND(Programme_Grunddaten!$A790="Geprüft",Programme_Grunddaten!AI790&lt;&gt;""),IF(Programme_Grunddaten!AI790="Ja",1,0),"")</f>
        <v/>
      </c>
      <c r="AB785" s="1" t="str">
        <f>IF(AND(Programme_Grunddaten!$A790="Geprüft",Programme_Grunddaten!AJ790&lt;&gt;""),IF(Programme_Grunddaten!AJ790="individuell programmierbar",1,0),"")</f>
        <v/>
      </c>
      <c r="AC785" s="1" t="str">
        <f>IF(AND(Programme_Grunddaten!$A790="Geprüft",Programme_Grunddaten!AK790&lt;&gt;""),IF(Programme_Grunddaten!AK790="Deutsch",0,IF(Programme_Grunddaten!AK790="Deutsch und Englisch",1,2)),"")</f>
        <v/>
      </c>
      <c r="AD785" s="1" t="str">
        <f>IF(AND(Programme_Grunddaten!$A790="Geprüft",Programme_Grunddaten!AL790&lt;&gt;""),IF(Programme_Grunddaten!AL790="Ja",1,0),"")</f>
        <v/>
      </c>
      <c r="AE785" s="1" t="str">
        <f>IF(AND(Programme_Grunddaten!$A790="Geprüft",Programme_Grunddaten!AM790&lt;&gt;""),IF(Programme_Grunddaten!AM790="Ja",1,0),"")</f>
        <v/>
      </c>
      <c r="AF785" s="1" t="str">
        <f>IF(AND(Programme_Grunddaten!$A790="Geprüft",Programme_Grunddaten!AN790&lt;&gt;""),IF(Programme_Grunddaten!AN790="Ja",1,0),"")</f>
        <v/>
      </c>
      <c r="AG785" s="1" t="str">
        <f>IF(AND(Programme_Grunddaten!$A790="Geprüft",Programme_Grunddaten!AO790&lt;&gt;""),IF(Programme_Grunddaten!AO790="Ja",1,0),"")</f>
        <v/>
      </c>
      <c r="AH785" s="1" t="str">
        <f>IF(AND(Programme_Grunddaten!$A790="Geprüft",Programme_Grunddaten!AP790&lt;&gt;""),IF(Programme_Grunddaten!AP790="Ja",1,0),"")</f>
        <v/>
      </c>
      <c r="AI785" s="1" t="str">
        <f>IF(AND(Programme_Grunddaten!$A790="Geprüft",Programme_Grunddaten!AQ790&lt;&gt;""),IF(Programme_Grunddaten!AQ790="Ja",1,0),"")</f>
        <v/>
      </c>
      <c r="AJ785" s="1" t="str">
        <f>IF(AND(Programme_Grunddaten!$A790="Geprüft",Programme_Grunddaten!AR790&lt;&gt;""),IF(Programme_Grunddaten!AR790="Ja",1,0),"")</f>
        <v/>
      </c>
      <c r="AK785" s="1" t="str">
        <f>IF(AND(Programme_Grunddaten!$A790="Geprüft",Programme_Grunddaten!AS790&lt;&gt;""),IF(Programme_Grunddaten!AS790="Ja",1,0),"")</f>
        <v/>
      </c>
      <c r="AL785" s="1" t="str">
        <f>IF(AND(Programme_Grunddaten!$A790="Geprüft",Programme_Grunddaten!AT790&lt;&gt;""),IF(Programme_Grunddaten!AT790="Ja",1,0),"")</f>
        <v/>
      </c>
      <c r="AM785" s="1" t="str">
        <f>IF(AND(Programme_Grunddaten!$A790="Geprüft",Programme_Grunddaten!AU790&lt;&gt;""),IF(Programme_Grunddaten!AU790="Ja",1,0),"")</f>
        <v/>
      </c>
      <c r="AN785" s="1" t="str">
        <f>IF(AND(Programme_Grunddaten!$A790="Geprüft",Programme_Grunddaten!AV790&lt;&gt;""),IF(Programme_Grunddaten!AV790="Ja",1,0),"")</f>
        <v/>
      </c>
    </row>
    <row r="786" spans="1:40" x14ac:dyDescent="0.3">
      <c r="A786" s="1" t="str">
        <f>IF(AND(Programme_Grunddaten!A791="Geprüft",Programme_Grunddaten!B791&lt;&gt;""),Programme_Grunddaten!B791,"")</f>
        <v/>
      </c>
      <c r="B786" s="1" t="str">
        <f>IF(AND(Programme_Grunddaten!$A791="Geprüft",Programme_Grunddaten!I791&lt;&gt;""),IF(Programme_Grunddaten!I791="Ja",1,0),"")</f>
        <v/>
      </c>
      <c r="C786" s="1" t="str">
        <f>IF(AND(Programme_Grunddaten!$A791="Geprüft",Programme_Grunddaten!J791&lt;&gt;""),IF(Programme_Grunddaten!J791="Ja",1,0),"")</f>
        <v/>
      </c>
      <c r="D786" s="1" t="str">
        <f>IF(AND(Programme_Grunddaten!$A791="Geprüft",Programme_Grunddaten!K791&lt;&gt;""),IF(Programme_Grunddaten!K791="Ja",1,0),"")</f>
        <v/>
      </c>
      <c r="E786" s="1" t="str">
        <f>IF(AND(Programme_Grunddaten!$A791="Geprüft",Programme_Grunddaten!L791&lt;&gt;""),IF(Programme_Grunddaten!L791="Abo / befristete Lizenz",1,0),"")</f>
        <v/>
      </c>
      <c r="F786" s="1" t="str">
        <f>IF(AND(Programme_Grunddaten!$A791="Geprüft",Programme_Grunddaten!M791&lt;&gt;""),IF(Programme_Grunddaten!M791="Ja",1,0),"")</f>
        <v/>
      </c>
      <c r="G786" s="1" t="str">
        <f>IF(AND(Programme_Grunddaten!$A791="Geprüft",Programme_Grunddaten!N791&lt;&gt;""),IF(Programme_Grunddaten!N791="Ja",1,0),"")</f>
        <v/>
      </c>
      <c r="H786" s="1" t="str">
        <f>IF(AND(Programme_Grunddaten!$A791="Geprüft",Programme_Grunddaten!O791&lt;&gt;""),IF(Programme_Grunddaten!O791="Deutschland",0,IF(Programme_Grunddaten!O791="EU",1,2)),"")</f>
        <v/>
      </c>
      <c r="I786" s="1" t="str">
        <f>IF(AND(Programme_Grunddaten!$A791="Geprüft",Programme_Grunddaten!P791&lt;&gt;""),IF(Programme_Grunddaten!P791="Ja",1,0),"")</f>
        <v/>
      </c>
      <c r="J786" s="1" t="str">
        <f>IF(AND(Programme_Grunddaten!$A791="Geprüft",Programme_Grunddaten!Q791&lt;&gt;""),IF(Programme_Grunddaten!Q791="geschlossenes System",1,0),"")</f>
        <v/>
      </c>
      <c r="K786" s="1" t="str">
        <f>IF(AND(Programme_Grunddaten!$A791="Geprüft",Programme_Grunddaten!R791&lt;&gt;""),IF(Programme_Grunddaten!R791="Ja",1,0),"")</f>
        <v/>
      </c>
      <c r="L786" s="1" t="str">
        <f>IF(AND(Programme_Grunddaten!$A791="Geprüft",Programme_Grunddaten!T791&lt;&gt;""),IF(Programme_Grunddaten!T791="Ja",1,0),"")</f>
        <v/>
      </c>
      <c r="M786" s="1" t="str">
        <f>IF(AND(Programme_Grunddaten!$A791="Geprüft",Programme_Grunddaten!U791&lt;&gt;""),IF(Programme_Grunddaten!U791="Ja",1,0),"")</f>
        <v/>
      </c>
      <c r="N786" s="1" t="str">
        <f>IF(AND(Programme_Grunddaten!$A791="Geprüft",Programme_Grunddaten!V791&lt;&gt;""),IF(Programme_Grunddaten!V791="Ja",1,0),"")</f>
        <v/>
      </c>
      <c r="O786" s="1" t="str">
        <f>IF(AND(Programme_Grunddaten!$A791="Geprüft",Programme_Grunddaten!W791&lt;&gt;""),IF(Programme_Grunddaten!W791="Ja",1,0),"")</f>
        <v/>
      </c>
      <c r="P786" s="1" t="str">
        <f>IF(AND(Programme_Grunddaten!$A791="Geprüft",Programme_Grunddaten!X791&lt;&gt;""),IF(Programme_Grunddaten!X791="Ja",1,0),"")</f>
        <v/>
      </c>
      <c r="Q786" s="1" t="str">
        <f>IF(AND(Programme_Grunddaten!$A791="Geprüft",Programme_Grunddaten!Y791&lt;&gt;""),IF(Programme_Grunddaten!Y791="Ja",1,0),"")</f>
        <v/>
      </c>
      <c r="R786" s="1" t="str">
        <f>IF(AND(Programme_Grunddaten!$A791="Geprüft",Programme_Grunddaten!Z791&lt;&gt;""),IF(Programme_Grunddaten!Z791="Ja",1,0),"")</f>
        <v/>
      </c>
      <c r="S786" s="1" t="str">
        <f>IF(AND(Programme_Grunddaten!$A791="Geprüft",Programme_Grunddaten!AA791&lt;&gt;""),IF(Programme_Grunddaten!AA791="monolithisch",1,0),"")</f>
        <v/>
      </c>
      <c r="T786" s="1" t="str">
        <f>IF(AND(Programme_Grunddaten!$A791="Geprüft",Programme_Grunddaten!AB791&lt;&gt;""),IF(Programme_Grunddaten!AB791="Ja",1,0),"")</f>
        <v/>
      </c>
      <c r="U786" s="1" t="str">
        <f>IF(AND(Programme_Grunddaten!$A791="Geprüft",Programme_Grunddaten!AC791&lt;&gt;""),IF(Programme_Grunddaten!AC791="Ja",1,0),"")</f>
        <v/>
      </c>
      <c r="V786" s="1" t="str">
        <f>IF(AND(Programme_Grunddaten!$A791="Geprüft",Programme_Grunddaten!AD791&lt;&gt;""),IF(Programme_Grunddaten!AD791="Ja",1,0),"")</f>
        <v/>
      </c>
      <c r="W786" s="1" t="str">
        <f>IF(AND(Programme_Grunddaten!$A791="Geprüft",Programme_Grunddaten!AE791&lt;&gt;""),IF(Programme_Grunddaten!AE791="Ja",1,0),"")</f>
        <v/>
      </c>
      <c r="X786" s="1" t="str">
        <f>IF(AND(Programme_Grunddaten!$A791="Geprüft",Programme_Grunddaten!AF791&lt;&gt;""),IF(Programme_Grunddaten!AF791="Ja",1,0),"")</f>
        <v/>
      </c>
      <c r="Y786" s="1" t="str">
        <f>IF(AND(Programme_Grunddaten!$A791="Geprüft",Programme_Grunddaten!AG791&lt;&gt;""),IF(Programme_Grunddaten!AG791="Ja",1,0),"")</f>
        <v/>
      </c>
      <c r="Z786" s="1" t="str">
        <f>IF(AND(Programme_Grunddaten!$A791="Geprüft",Programme_Grunddaten!AH791&lt;&gt;""),IF(Programme_Grunddaten!AH791="Ja",1,0),"")</f>
        <v/>
      </c>
      <c r="AA786" s="1" t="str">
        <f>IF(AND(Programme_Grunddaten!$A791="Geprüft",Programme_Grunddaten!AI791&lt;&gt;""),IF(Programme_Grunddaten!AI791="Ja",1,0),"")</f>
        <v/>
      </c>
      <c r="AB786" s="1" t="str">
        <f>IF(AND(Programme_Grunddaten!$A791="Geprüft",Programme_Grunddaten!AJ791&lt;&gt;""),IF(Programme_Grunddaten!AJ791="individuell programmierbar",1,0),"")</f>
        <v/>
      </c>
      <c r="AC786" s="1" t="str">
        <f>IF(AND(Programme_Grunddaten!$A791="Geprüft",Programme_Grunddaten!AK791&lt;&gt;""),IF(Programme_Grunddaten!AK791="Deutsch",0,IF(Programme_Grunddaten!AK791="Deutsch und Englisch",1,2)),"")</f>
        <v/>
      </c>
      <c r="AD786" s="1" t="str">
        <f>IF(AND(Programme_Grunddaten!$A791="Geprüft",Programme_Grunddaten!AL791&lt;&gt;""),IF(Programme_Grunddaten!AL791="Ja",1,0),"")</f>
        <v/>
      </c>
      <c r="AE786" s="1" t="str">
        <f>IF(AND(Programme_Grunddaten!$A791="Geprüft",Programme_Grunddaten!AM791&lt;&gt;""),IF(Programme_Grunddaten!AM791="Ja",1,0),"")</f>
        <v/>
      </c>
      <c r="AF786" s="1" t="str">
        <f>IF(AND(Programme_Grunddaten!$A791="Geprüft",Programme_Grunddaten!AN791&lt;&gt;""),IF(Programme_Grunddaten!AN791="Ja",1,0),"")</f>
        <v/>
      </c>
      <c r="AG786" s="1" t="str">
        <f>IF(AND(Programme_Grunddaten!$A791="Geprüft",Programme_Grunddaten!AO791&lt;&gt;""),IF(Programme_Grunddaten!AO791="Ja",1,0),"")</f>
        <v/>
      </c>
      <c r="AH786" s="1" t="str">
        <f>IF(AND(Programme_Grunddaten!$A791="Geprüft",Programme_Grunddaten!AP791&lt;&gt;""),IF(Programme_Grunddaten!AP791="Ja",1,0),"")</f>
        <v/>
      </c>
      <c r="AI786" s="1" t="str">
        <f>IF(AND(Programme_Grunddaten!$A791="Geprüft",Programme_Grunddaten!AQ791&lt;&gt;""),IF(Programme_Grunddaten!AQ791="Ja",1,0),"")</f>
        <v/>
      </c>
      <c r="AJ786" s="1" t="str">
        <f>IF(AND(Programme_Grunddaten!$A791="Geprüft",Programme_Grunddaten!AR791&lt;&gt;""),IF(Programme_Grunddaten!AR791="Ja",1,0),"")</f>
        <v/>
      </c>
      <c r="AK786" s="1" t="str">
        <f>IF(AND(Programme_Grunddaten!$A791="Geprüft",Programme_Grunddaten!AS791&lt;&gt;""),IF(Programme_Grunddaten!AS791="Ja",1,0),"")</f>
        <v/>
      </c>
      <c r="AL786" s="1" t="str">
        <f>IF(AND(Programme_Grunddaten!$A791="Geprüft",Programme_Grunddaten!AT791&lt;&gt;""),IF(Programme_Grunddaten!AT791="Ja",1,0),"")</f>
        <v/>
      </c>
      <c r="AM786" s="1" t="str">
        <f>IF(AND(Programme_Grunddaten!$A791="Geprüft",Programme_Grunddaten!AU791&lt;&gt;""),IF(Programme_Grunddaten!AU791="Ja",1,0),"")</f>
        <v/>
      </c>
      <c r="AN786" s="1" t="str">
        <f>IF(AND(Programme_Grunddaten!$A791="Geprüft",Programme_Grunddaten!AV791&lt;&gt;""),IF(Programme_Grunddaten!AV791="Ja",1,0),"")</f>
        <v/>
      </c>
    </row>
    <row r="787" spans="1:40" x14ac:dyDescent="0.3">
      <c r="A787" s="1" t="str">
        <f>IF(AND(Programme_Grunddaten!A792="Geprüft",Programme_Grunddaten!B792&lt;&gt;""),Programme_Grunddaten!B792,"")</f>
        <v/>
      </c>
      <c r="B787" s="1" t="str">
        <f>IF(AND(Programme_Grunddaten!$A792="Geprüft",Programme_Grunddaten!I792&lt;&gt;""),IF(Programme_Grunddaten!I792="Ja",1,0),"")</f>
        <v/>
      </c>
      <c r="C787" s="1" t="str">
        <f>IF(AND(Programme_Grunddaten!$A792="Geprüft",Programme_Grunddaten!J792&lt;&gt;""),IF(Programme_Grunddaten!J792="Ja",1,0),"")</f>
        <v/>
      </c>
      <c r="D787" s="1" t="str">
        <f>IF(AND(Programme_Grunddaten!$A792="Geprüft",Programme_Grunddaten!K792&lt;&gt;""),IF(Programme_Grunddaten!K792="Ja",1,0),"")</f>
        <v/>
      </c>
      <c r="E787" s="1" t="str">
        <f>IF(AND(Programme_Grunddaten!$A792="Geprüft",Programme_Grunddaten!L792&lt;&gt;""),IF(Programme_Grunddaten!L792="Abo / befristete Lizenz",1,0),"")</f>
        <v/>
      </c>
      <c r="F787" s="1" t="str">
        <f>IF(AND(Programme_Grunddaten!$A792="Geprüft",Programme_Grunddaten!M792&lt;&gt;""),IF(Programme_Grunddaten!M792="Ja",1,0),"")</f>
        <v/>
      </c>
      <c r="G787" s="1" t="str">
        <f>IF(AND(Programme_Grunddaten!$A792="Geprüft",Programme_Grunddaten!N792&lt;&gt;""),IF(Programme_Grunddaten!N792="Ja",1,0),"")</f>
        <v/>
      </c>
      <c r="H787" s="1" t="str">
        <f>IF(AND(Programme_Grunddaten!$A792="Geprüft",Programme_Grunddaten!O792&lt;&gt;""),IF(Programme_Grunddaten!O792="Deutschland",0,IF(Programme_Grunddaten!O792="EU",1,2)),"")</f>
        <v/>
      </c>
      <c r="I787" s="1" t="str">
        <f>IF(AND(Programme_Grunddaten!$A792="Geprüft",Programme_Grunddaten!P792&lt;&gt;""),IF(Programme_Grunddaten!P792="Ja",1,0),"")</f>
        <v/>
      </c>
      <c r="J787" s="1" t="str">
        <f>IF(AND(Programme_Grunddaten!$A792="Geprüft",Programme_Grunddaten!Q792&lt;&gt;""),IF(Programme_Grunddaten!Q792="geschlossenes System",1,0),"")</f>
        <v/>
      </c>
      <c r="K787" s="1" t="str">
        <f>IF(AND(Programme_Grunddaten!$A792="Geprüft",Programme_Grunddaten!R792&lt;&gt;""),IF(Programme_Grunddaten!R792="Ja",1,0),"")</f>
        <v/>
      </c>
      <c r="L787" s="1" t="str">
        <f>IF(AND(Programme_Grunddaten!$A792="Geprüft",Programme_Grunddaten!T792&lt;&gt;""),IF(Programme_Grunddaten!T792="Ja",1,0),"")</f>
        <v/>
      </c>
      <c r="M787" s="1" t="str">
        <f>IF(AND(Programme_Grunddaten!$A792="Geprüft",Programme_Grunddaten!U792&lt;&gt;""),IF(Programme_Grunddaten!U792="Ja",1,0),"")</f>
        <v/>
      </c>
      <c r="N787" s="1" t="str">
        <f>IF(AND(Programme_Grunddaten!$A792="Geprüft",Programme_Grunddaten!V792&lt;&gt;""),IF(Programme_Grunddaten!V792="Ja",1,0),"")</f>
        <v/>
      </c>
      <c r="O787" s="1" t="str">
        <f>IF(AND(Programme_Grunddaten!$A792="Geprüft",Programme_Grunddaten!W792&lt;&gt;""),IF(Programme_Grunddaten!W792="Ja",1,0),"")</f>
        <v/>
      </c>
      <c r="P787" s="1" t="str">
        <f>IF(AND(Programme_Grunddaten!$A792="Geprüft",Programme_Grunddaten!X792&lt;&gt;""),IF(Programme_Grunddaten!X792="Ja",1,0),"")</f>
        <v/>
      </c>
      <c r="Q787" s="1" t="str">
        <f>IF(AND(Programme_Grunddaten!$A792="Geprüft",Programme_Grunddaten!Y792&lt;&gt;""),IF(Programme_Grunddaten!Y792="Ja",1,0),"")</f>
        <v/>
      </c>
      <c r="R787" s="1" t="str">
        <f>IF(AND(Programme_Grunddaten!$A792="Geprüft",Programme_Grunddaten!Z792&lt;&gt;""),IF(Programme_Grunddaten!Z792="Ja",1,0),"")</f>
        <v/>
      </c>
      <c r="S787" s="1" t="str">
        <f>IF(AND(Programme_Grunddaten!$A792="Geprüft",Programme_Grunddaten!AA792&lt;&gt;""),IF(Programme_Grunddaten!AA792="monolithisch",1,0),"")</f>
        <v/>
      </c>
      <c r="T787" s="1" t="str">
        <f>IF(AND(Programme_Grunddaten!$A792="Geprüft",Programme_Grunddaten!AB792&lt;&gt;""),IF(Programme_Grunddaten!AB792="Ja",1,0),"")</f>
        <v/>
      </c>
      <c r="U787" s="1" t="str">
        <f>IF(AND(Programme_Grunddaten!$A792="Geprüft",Programme_Grunddaten!AC792&lt;&gt;""),IF(Programme_Grunddaten!AC792="Ja",1,0),"")</f>
        <v/>
      </c>
      <c r="V787" s="1" t="str">
        <f>IF(AND(Programme_Grunddaten!$A792="Geprüft",Programme_Grunddaten!AD792&lt;&gt;""),IF(Programme_Grunddaten!AD792="Ja",1,0),"")</f>
        <v/>
      </c>
      <c r="W787" s="1" t="str">
        <f>IF(AND(Programme_Grunddaten!$A792="Geprüft",Programme_Grunddaten!AE792&lt;&gt;""),IF(Programme_Grunddaten!AE792="Ja",1,0),"")</f>
        <v/>
      </c>
      <c r="X787" s="1" t="str">
        <f>IF(AND(Programme_Grunddaten!$A792="Geprüft",Programme_Grunddaten!AF792&lt;&gt;""),IF(Programme_Grunddaten!AF792="Ja",1,0),"")</f>
        <v/>
      </c>
      <c r="Y787" s="1" t="str">
        <f>IF(AND(Programme_Grunddaten!$A792="Geprüft",Programme_Grunddaten!AG792&lt;&gt;""),IF(Programme_Grunddaten!AG792="Ja",1,0),"")</f>
        <v/>
      </c>
      <c r="Z787" s="1" t="str">
        <f>IF(AND(Programme_Grunddaten!$A792="Geprüft",Programme_Grunddaten!AH792&lt;&gt;""),IF(Programme_Grunddaten!AH792="Ja",1,0),"")</f>
        <v/>
      </c>
      <c r="AA787" s="1" t="str">
        <f>IF(AND(Programme_Grunddaten!$A792="Geprüft",Programme_Grunddaten!AI792&lt;&gt;""),IF(Programme_Grunddaten!AI792="Ja",1,0),"")</f>
        <v/>
      </c>
      <c r="AB787" s="1" t="str">
        <f>IF(AND(Programme_Grunddaten!$A792="Geprüft",Programme_Grunddaten!AJ792&lt;&gt;""),IF(Programme_Grunddaten!AJ792="individuell programmierbar",1,0),"")</f>
        <v/>
      </c>
      <c r="AC787" s="1" t="str">
        <f>IF(AND(Programme_Grunddaten!$A792="Geprüft",Programme_Grunddaten!AK792&lt;&gt;""),IF(Programme_Grunddaten!AK792="Deutsch",0,IF(Programme_Grunddaten!AK792="Deutsch und Englisch",1,2)),"")</f>
        <v/>
      </c>
      <c r="AD787" s="1" t="str">
        <f>IF(AND(Programme_Grunddaten!$A792="Geprüft",Programme_Grunddaten!AL792&lt;&gt;""),IF(Programme_Grunddaten!AL792="Ja",1,0),"")</f>
        <v/>
      </c>
      <c r="AE787" s="1" t="str">
        <f>IF(AND(Programme_Grunddaten!$A792="Geprüft",Programme_Grunddaten!AM792&lt;&gt;""),IF(Programme_Grunddaten!AM792="Ja",1,0),"")</f>
        <v/>
      </c>
      <c r="AF787" s="1" t="str">
        <f>IF(AND(Programme_Grunddaten!$A792="Geprüft",Programme_Grunddaten!AN792&lt;&gt;""),IF(Programme_Grunddaten!AN792="Ja",1,0),"")</f>
        <v/>
      </c>
      <c r="AG787" s="1" t="str">
        <f>IF(AND(Programme_Grunddaten!$A792="Geprüft",Programme_Grunddaten!AO792&lt;&gt;""),IF(Programme_Grunddaten!AO792="Ja",1,0),"")</f>
        <v/>
      </c>
      <c r="AH787" s="1" t="str">
        <f>IF(AND(Programme_Grunddaten!$A792="Geprüft",Programme_Grunddaten!AP792&lt;&gt;""),IF(Programme_Grunddaten!AP792="Ja",1,0),"")</f>
        <v/>
      </c>
      <c r="AI787" s="1" t="str">
        <f>IF(AND(Programme_Grunddaten!$A792="Geprüft",Programme_Grunddaten!AQ792&lt;&gt;""),IF(Programme_Grunddaten!AQ792="Ja",1,0),"")</f>
        <v/>
      </c>
      <c r="AJ787" s="1" t="str">
        <f>IF(AND(Programme_Grunddaten!$A792="Geprüft",Programme_Grunddaten!AR792&lt;&gt;""),IF(Programme_Grunddaten!AR792="Ja",1,0),"")</f>
        <v/>
      </c>
      <c r="AK787" s="1" t="str">
        <f>IF(AND(Programme_Grunddaten!$A792="Geprüft",Programme_Grunddaten!AS792&lt;&gt;""),IF(Programme_Grunddaten!AS792="Ja",1,0),"")</f>
        <v/>
      </c>
      <c r="AL787" s="1" t="str">
        <f>IF(AND(Programme_Grunddaten!$A792="Geprüft",Programme_Grunddaten!AT792&lt;&gt;""),IF(Programme_Grunddaten!AT792="Ja",1,0),"")</f>
        <v/>
      </c>
      <c r="AM787" s="1" t="str">
        <f>IF(AND(Programme_Grunddaten!$A792="Geprüft",Programme_Grunddaten!AU792&lt;&gt;""),IF(Programme_Grunddaten!AU792="Ja",1,0),"")</f>
        <v/>
      </c>
      <c r="AN787" s="1" t="str">
        <f>IF(AND(Programme_Grunddaten!$A792="Geprüft",Programme_Grunddaten!AV792&lt;&gt;""),IF(Programme_Grunddaten!AV792="Ja",1,0),"")</f>
        <v/>
      </c>
    </row>
    <row r="788" spans="1:40" x14ac:dyDescent="0.3">
      <c r="A788" s="1" t="str">
        <f>IF(AND(Programme_Grunddaten!A793="Geprüft",Programme_Grunddaten!B793&lt;&gt;""),Programme_Grunddaten!B793,"")</f>
        <v/>
      </c>
      <c r="B788" s="1" t="str">
        <f>IF(AND(Programme_Grunddaten!$A793="Geprüft",Programme_Grunddaten!I793&lt;&gt;""),IF(Programme_Grunddaten!I793="Ja",1,0),"")</f>
        <v/>
      </c>
      <c r="C788" s="1" t="str">
        <f>IF(AND(Programme_Grunddaten!$A793="Geprüft",Programme_Grunddaten!J793&lt;&gt;""),IF(Programme_Grunddaten!J793="Ja",1,0),"")</f>
        <v/>
      </c>
      <c r="D788" s="1" t="str">
        <f>IF(AND(Programme_Grunddaten!$A793="Geprüft",Programme_Grunddaten!K793&lt;&gt;""),IF(Programme_Grunddaten!K793="Ja",1,0),"")</f>
        <v/>
      </c>
      <c r="E788" s="1" t="str">
        <f>IF(AND(Programme_Grunddaten!$A793="Geprüft",Programme_Grunddaten!L793&lt;&gt;""),IF(Programme_Grunddaten!L793="Abo / befristete Lizenz",1,0),"")</f>
        <v/>
      </c>
      <c r="F788" s="1" t="str">
        <f>IF(AND(Programme_Grunddaten!$A793="Geprüft",Programme_Grunddaten!M793&lt;&gt;""),IF(Programme_Grunddaten!M793="Ja",1,0),"")</f>
        <v/>
      </c>
      <c r="G788" s="1" t="str">
        <f>IF(AND(Programme_Grunddaten!$A793="Geprüft",Programme_Grunddaten!N793&lt;&gt;""),IF(Programme_Grunddaten!N793="Ja",1,0),"")</f>
        <v/>
      </c>
      <c r="H788" s="1" t="str">
        <f>IF(AND(Programme_Grunddaten!$A793="Geprüft",Programme_Grunddaten!O793&lt;&gt;""),IF(Programme_Grunddaten!O793="Deutschland",0,IF(Programme_Grunddaten!O793="EU",1,2)),"")</f>
        <v/>
      </c>
      <c r="I788" s="1" t="str">
        <f>IF(AND(Programme_Grunddaten!$A793="Geprüft",Programme_Grunddaten!P793&lt;&gt;""),IF(Programme_Grunddaten!P793="Ja",1,0),"")</f>
        <v/>
      </c>
      <c r="J788" s="1" t="str">
        <f>IF(AND(Programme_Grunddaten!$A793="Geprüft",Programme_Grunddaten!Q793&lt;&gt;""),IF(Programme_Grunddaten!Q793="geschlossenes System",1,0),"")</f>
        <v/>
      </c>
      <c r="K788" s="1" t="str">
        <f>IF(AND(Programme_Grunddaten!$A793="Geprüft",Programme_Grunddaten!R793&lt;&gt;""),IF(Programme_Grunddaten!R793="Ja",1,0),"")</f>
        <v/>
      </c>
      <c r="L788" s="1" t="str">
        <f>IF(AND(Programme_Grunddaten!$A793="Geprüft",Programme_Grunddaten!T793&lt;&gt;""),IF(Programme_Grunddaten!T793="Ja",1,0),"")</f>
        <v/>
      </c>
      <c r="M788" s="1" t="str">
        <f>IF(AND(Programme_Grunddaten!$A793="Geprüft",Programme_Grunddaten!U793&lt;&gt;""),IF(Programme_Grunddaten!U793="Ja",1,0),"")</f>
        <v/>
      </c>
      <c r="N788" s="1" t="str">
        <f>IF(AND(Programme_Grunddaten!$A793="Geprüft",Programme_Grunddaten!V793&lt;&gt;""),IF(Programme_Grunddaten!V793="Ja",1,0),"")</f>
        <v/>
      </c>
      <c r="O788" s="1" t="str">
        <f>IF(AND(Programme_Grunddaten!$A793="Geprüft",Programme_Grunddaten!W793&lt;&gt;""),IF(Programme_Grunddaten!W793="Ja",1,0),"")</f>
        <v/>
      </c>
      <c r="P788" s="1" t="str">
        <f>IF(AND(Programme_Grunddaten!$A793="Geprüft",Programme_Grunddaten!X793&lt;&gt;""),IF(Programme_Grunddaten!X793="Ja",1,0),"")</f>
        <v/>
      </c>
      <c r="Q788" s="1" t="str">
        <f>IF(AND(Programme_Grunddaten!$A793="Geprüft",Programme_Grunddaten!Y793&lt;&gt;""),IF(Programme_Grunddaten!Y793="Ja",1,0),"")</f>
        <v/>
      </c>
      <c r="R788" s="1" t="str">
        <f>IF(AND(Programme_Grunddaten!$A793="Geprüft",Programme_Grunddaten!Z793&lt;&gt;""),IF(Programme_Grunddaten!Z793="Ja",1,0),"")</f>
        <v/>
      </c>
      <c r="S788" s="1" t="str">
        <f>IF(AND(Programme_Grunddaten!$A793="Geprüft",Programme_Grunddaten!AA793&lt;&gt;""),IF(Programme_Grunddaten!AA793="monolithisch",1,0),"")</f>
        <v/>
      </c>
      <c r="T788" s="1" t="str">
        <f>IF(AND(Programme_Grunddaten!$A793="Geprüft",Programme_Grunddaten!AB793&lt;&gt;""),IF(Programme_Grunddaten!AB793="Ja",1,0),"")</f>
        <v/>
      </c>
      <c r="U788" s="1" t="str">
        <f>IF(AND(Programme_Grunddaten!$A793="Geprüft",Programme_Grunddaten!AC793&lt;&gt;""),IF(Programme_Grunddaten!AC793="Ja",1,0),"")</f>
        <v/>
      </c>
      <c r="V788" s="1" t="str">
        <f>IF(AND(Programme_Grunddaten!$A793="Geprüft",Programme_Grunddaten!AD793&lt;&gt;""),IF(Programme_Grunddaten!AD793="Ja",1,0),"")</f>
        <v/>
      </c>
      <c r="W788" s="1" t="str">
        <f>IF(AND(Programme_Grunddaten!$A793="Geprüft",Programme_Grunddaten!AE793&lt;&gt;""),IF(Programme_Grunddaten!AE793="Ja",1,0),"")</f>
        <v/>
      </c>
      <c r="X788" s="1" t="str">
        <f>IF(AND(Programme_Grunddaten!$A793="Geprüft",Programme_Grunddaten!AF793&lt;&gt;""),IF(Programme_Grunddaten!AF793="Ja",1,0),"")</f>
        <v/>
      </c>
      <c r="Y788" s="1" t="str">
        <f>IF(AND(Programme_Grunddaten!$A793="Geprüft",Programme_Grunddaten!AG793&lt;&gt;""),IF(Programme_Grunddaten!AG793="Ja",1,0),"")</f>
        <v/>
      </c>
      <c r="Z788" s="1" t="str">
        <f>IF(AND(Programme_Grunddaten!$A793="Geprüft",Programme_Grunddaten!AH793&lt;&gt;""),IF(Programme_Grunddaten!AH793="Ja",1,0),"")</f>
        <v/>
      </c>
      <c r="AA788" s="1" t="str">
        <f>IF(AND(Programme_Grunddaten!$A793="Geprüft",Programme_Grunddaten!AI793&lt;&gt;""),IF(Programme_Grunddaten!AI793="Ja",1,0),"")</f>
        <v/>
      </c>
      <c r="AB788" s="1" t="str">
        <f>IF(AND(Programme_Grunddaten!$A793="Geprüft",Programme_Grunddaten!AJ793&lt;&gt;""),IF(Programme_Grunddaten!AJ793="individuell programmierbar",1,0),"")</f>
        <v/>
      </c>
      <c r="AC788" s="1" t="str">
        <f>IF(AND(Programme_Grunddaten!$A793="Geprüft",Programme_Grunddaten!AK793&lt;&gt;""),IF(Programme_Grunddaten!AK793="Deutsch",0,IF(Programme_Grunddaten!AK793="Deutsch und Englisch",1,2)),"")</f>
        <v/>
      </c>
      <c r="AD788" s="1" t="str">
        <f>IF(AND(Programme_Grunddaten!$A793="Geprüft",Programme_Grunddaten!AL793&lt;&gt;""),IF(Programme_Grunddaten!AL793="Ja",1,0),"")</f>
        <v/>
      </c>
      <c r="AE788" s="1" t="str">
        <f>IF(AND(Programme_Grunddaten!$A793="Geprüft",Programme_Grunddaten!AM793&lt;&gt;""),IF(Programme_Grunddaten!AM793="Ja",1,0),"")</f>
        <v/>
      </c>
      <c r="AF788" s="1" t="str">
        <f>IF(AND(Programme_Grunddaten!$A793="Geprüft",Programme_Grunddaten!AN793&lt;&gt;""),IF(Programme_Grunddaten!AN793="Ja",1,0),"")</f>
        <v/>
      </c>
      <c r="AG788" s="1" t="str">
        <f>IF(AND(Programme_Grunddaten!$A793="Geprüft",Programme_Grunddaten!AO793&lt;&gt;""),IF(Programme_Grunddaten!AO793="Ja",1,0),"")</f>
        <v/>
      </c>
      <c r="AH788" s="1" t="str">
        <f>IF(AND(Programme_Grunddaten!$A793="Geprüft",Programme_Grunddaten!AP793&lt;&gt;""),IF(Programme_Grunddaten!AP793="Ja",1,0),"")</f>
        <v/>
      </c>
      <c r="AI788" s="1" t="str">
        <f>IF(AND(Programme_Grunddaten!$A793="Geprüft",Programme_Grunddaten!AQ793&lt;&gt;""),IF(Programme_Grunddaten!AQ793="Ja",1,0),"")</f>
        <v/>
      </c>
      <c r="AJ788" s="1" t="str">
        <f>IF(AND(Programme_Grunddaten!$A793="Geprüft",Programme_Grunddaten!AR793&lt;&gt;""),IF(Programme_Grunddaten!AR793="Ja",1,0),"")</f>
        <v/>
      </c>
      <c r="AK788" s="1" t="str">
        <f>IF(AND(Programme_Grunddaten!$A793="Geprüft",Programme_Grunddaten!AS793&lt;&gt;""),IF(Programme_Grunddaten!AS793="Ja",1,0),"")</f>
        <v/>
      </c>
      <c r="AL788" s="1" t="str">
        <f>IF(AND(Programme_Grunddaten!$A793="Geprüft",Programme_Grunddaten!AT793&lt;&gt;""),IF(Programme_Grunddaten!AT793="Ja",1,0),"")</f>
        <v/>
      </c>
      <c r="AM788" s="1" t="str">
        <f>IF(AND(Programme_Grunddaten!$A793="Geprüft",Programme_Grunddaten!AU793&lt;&gt;""),IF(Programme_Grunddaten!AU793="Ja",1,0),"")</f>
        <v/>
      </c>
      <c r="AN788" s="1" t="str">
        <f>IF(AND(Programme_Grunddaten!$A793="Geprüft",Programme_Grunddaten!AV793&lt;&gt;""),IF(Programme_Grunddaten!AV793="Ja",1,0),"")</f>
        <v/>
      </c>
    </row>
    <row r="789" spans="1:40" x14ac:dyDescent="0.3">
      <c r="A789" s="1" t="str">
        <f>IF(AND(Programme_Grunddaten!A794="Geprüft",Programme_Grunddaten!B794&lt;&gt;""),Programme_Grunddaten!B794,"")</f>
        <v/>
      </c>
      <c r="B789" s="1" t="str">
        <f>IF(AND(Programme_Grunddaten!$A794="Geprüft",Programme_Grunddaten!I794&lt;&gt;""),IF(Programme_Grunddaten!I794="Ja",1,0),"")</f>
        <v/>
      </c>
      <c r="C789" s="1" t="str">
        <f>IF(AND(Programme_Grunddaten!$A794="Geprüft",Programme_Grunddaten!J794&lt;&gt;""),IF(Programme_Grunddaten!J794="Ja",1,0),"")</f>
        <v/>
      </c>
      <c r="D789" s="1" t="str">
        <f>IF(AND(Programme_Grunddaten!$A794="Geprüft",Programme_Grunddaten!K794&lt;&gt;""),IF(Programme_Grunddaten!K794="Ja",1,0),"")</f>
        <v/>
      </c>
      <c r="E789" s="1" t="str">
        <f>IF(AND(Programme_Grunddaten!$A794="Geprüft",Programme_Grunddaten!L794&lt;&gt;""),IF(Programme_Grunddaten!L794="Abo / befristete Lizenz",1,0),"")</f>
        <v/>
      </c>
      <c r="F789" s="1" t="str">
        <f>IF(AND(Programme_Grunddaten!$A794="Geprüft",Programme_Grunddaten!M794&lt;&gt;""),IF(Programme_Grunddaten!M794="Ja",1,0),"")</f>
        <v/>
      </c>
      <c r="G789" s="1" t="str">
        <f>IF(AND(Programme_Grunddaten!$A794="Geprüft",Programme_Grunddaten!N794&lt;&gt;""),IF(Programme_Grunddaten!N794="Ja",1,0),"")</f>
        <v/>
      </c>
      <c r="H789" s="1" t="str">
        <f>IF(AND(Programme_Grunddaten!$A794="Geprüft",Programme_Grunddaten!O794&lt;&gt;""),IF(Programme_Grunddaten!O794="Deutschland",0,IF(Programme_Grunddaten!O794="EU",1,2)),"")</f>
        <v/>
      </c>
      <c r="I789" s="1" t="str">
        <f>IF(AND(Programme_Grunddaten!$A794="Geprüft",Programme_Grunddaten!P794&lt;&gt;""),IF(Programme_Grunddaten!P794="Ja",1,0),"")</f>
        <v/>
      </c>
      <c r="J789" s="1" t="str">
        <f>IF(AND(Programme_Grunddaten!$A794="Geprüft",Programme_Grunddaten!Q794&lt;&gt;""),IF(Programme_Grunddaten!Q794="geschlossenes System",1,0),"")</f>
        <v/>
      </c>
      <c r="K789" s="1" t="str">
        <f>IF(AND(Programme_Grunddaten!$A794="Geprüft",Programme_Grunddaten!R794&lt;&gt;""),IF(Programme_Grunddaten!R794="Ja",1,0),"")</f>
        <v/>
      </c>
      <c r="L789" s="1" t="str">
        <f>IF(AND(Programme_Grunddaten!$A794="Geprüft",Programme_Grunddaten!T794&lt;&gt;""),IF(Programme_Grunddaten!T794="Ja",1,0),"")</f>
        <v/>
      </c>
      <c r="M789" s="1" t="str">
        <f>IF(AND(Programme_Grunddaten!$A794="Geprüft",Programme_Grunddaten!U794&lt;&gt;""),IF(Programme_Grunddaten!U794="Ja",1,0),"")</f>
        <v/>
      </c>
      <c r="N789" s="1" t="str">
        <f>IF(AND(Programme_Grunddaten!$A794="Geprüft",Programme_Grunddaten!V794&lt;&gt;""),IF(Programme_Grunddaten!V794="Ja",1,0),"")</f>
        <v/>
      </c>
      <c r="O789" s="1" t="str">
        <f>IF(AND(Programme_Grunddaten!$A794="Geprüft",Programme_Grunddaten!W794&lt;&gt;""),IF(Programme_Grunddaten!W794="Ja",1,0),"")</f>
        <v/>
      </c>
      <c r="P789" s="1" t="str">
        <f>IF(AND(Programme_Grunddaten!$A794="Geprüft",Programme_Grunddaten!X794&lt;&gt;""),IF(Programme_Grunddaten!X794="Ja",1,0),"")</f>
        <v/>
      </c>
      <c r="Q789" s="1" t="str">
        <f>IF(AND(Programme_Grunddaten!$A794="Geprüft",Programme_Grunddaten!Y794&lt;&gt;""),IF(Programme_Grunddaten!Y794="Ja",1,0),"")</f>
        <v/>
      </c>
      <c r="R789" s="1" t="str">
        <f>IF(AND(Programme_Grunddaten!$A794="Geprüft",Programme_Grunddaten!Z794&lt;&gt;""),IF(Programme_Grunddaten!Z794="Ja",1,0),"")</f>
        <v/>
      </c>
      <c r="S789" s="1" t="str">
        <f>IF(AND(Programme_Grunddaten!$A794="Geprüft",Programme_Grunddaten!AA794&lt;&gt;""),IF(Programme_Grunddaten!AA794="monolithisch",1,0),"")</f>
        <v/>
      </c>
      <c r="T789" s="1" t="str">
        <f>IF(AND(Programme_Grunddaten!$A794="Geprüft",Programme_Grunddaten!AB794&lt;&gt;""),IF(Programme_Grunddaten!AB794="Ja",1,0),"")</f>
        <v/>
      </c>
      <c r="U789" s="1" t="str">
        <f>IF(AND(Programme_Grunddaten!$A794="Geprüft",Programme_Grunddaten!AC794&lt;&gt;""),IF(Programme_Grunddaten!AC794="Ja",1,0),"")</f>
        <v/>
      </c>
      <c r="V789" s="1" t="str">
        <f>IF(AND(Programme_Grunddaten!$A794="Geprüft",Programme_Grunddaten!AD794&lt;&gt;""),IF(Programme_Grunddaten!AD794="Ja",1,0),"")</f>
        <v/>
      </c>
      <c r="W789" s="1" t="str">
        <f>IF(AND(Programme_Grunddaten!$A794="Geprüft",Programme_Grunddaten!AE794&lt;&gt;""),IF(Programme_Grunddaten!AE794="Ja",1,0),"")</f>
        <v/>
      </c>
      <c r="X789" s="1" t="str">
        <f>IF(AND(Programme_Grunddaten!$A794="Geprüft",Programme_Grunddaten!AF794&lt;&gt;""),IF(Programme_Grunddaten!AF794="Ja",1,0),"")</f>
        <v/>
      </c>
      <c r="Y789" s="1" t="str">
        <f>IF(AND(Programme_Grunddaten!$A794="Geprüft",Programme_Grunddaten!AG794&lt;&gt;""),IF(Programme_Grunddaten!AG794="Ja",1,0),"")</f>
        <v/>
      </c>
      <c r="Z789" s="1" t="str">
        <f>IF(AND(Programme_Grunddaten!$A794="Geprüft",Programme_Grunddaten!AH794&lt;&gt;""),IF(Programme_Grunddaten!AH794="Ja",1,0),"")</f>
        <v/>
      </c>
      <c r="AA789" s="1" t="str">
        <f>IF(AND(Programme_Grunddaten!$A794="Geprüft",Programme_Grunddaten!AI794&lt;&gt;""),IF(Programme_Grunddaten!AI794="Ja",1,0),"")</f>
        <v/>
      </c>
      <c r="AB789" s="1" t="str">
        <f>IF(AND(Programme_Grunddaten!$A794="Geprüft",Programme_Grunddaten!AJ794&lt;&gt;""),IF(Programme_Grunddaten!AJ794="individuell programmierbar",1,0),"")</f>
        <v/>
      </c>
      <c r="AC789" s="1" t="str">
        <f>IF(AND(Programme_Grunddaten!$A794="Geprüft",Programme_Grunddaten!AK794&lt;&gt;""),IF(Programme_Grunddaten!AK794="Deutsch",0,IF(Programme_Grunddaten!AK794="Deutsch und Englisch",1,2)),"")</f>
        <v/>
      </c>
      <c r="AD789" s="1" t="str">
        <f>IF(AND(Programme_Grunddaten!$A794="Geprüft",Programme_Grunddaten!AL794&lt;&gt;""),IF(Programme_Grunddaten!AL794="Ja",1,0),"")</f>
        <v/>
      </c>
      <c r="AE789" s="1" t="str">
        <f>IF(AND(Programme_Grunddaten!$A794="Geprüft",Programme_Grunddaten!AM794&lt;&gt;""),IF(Programme_Grunddaten!AM794="Ja",1,0),"")</f>
        <v/>
      </c>
      <c r="AF789" s="1" t="str">
        <f>IF(AND(Programme_Grunddaten!$A794="Geprüft",Programme_Grunddaten!AN794&lt;&gt;""),IF(Programme_Grunddaten!AN794="Ja",1,0),"")</f>
        <v/>
      </c>
      <c r="AG789" s="1" t="str">
        <f>IF(AND(Programme_Grunddaten!$A794="Geprüft",Programme_Grunddaten!AO794&lt;&gt;""),IF(Programme_Grunddaten!AO794="Ja",1,0),"")</f>
        <v/>
      </c>
      <c r="AH789" s="1" t="str">
        <f>IF(AND(Programme_Grunddaten!$A794="Geprüft",Programme_Grunddaten!AP794&lt;&gt;""),IF(Programme_Grunddaten!AP794="Ja",1,0),"")</f>
        <v/>
      </c>
      <c r="AI789" s="1" t="str">
        <f>IF(AND(Programme_Grunddaten!$A794="Geprüft",Programme_Grunddaten!AQ794&lt;&gt;""),IF(Programme_Grunddaten!AQ794="Ja",1,0),"")</f>
        <v/>
      </c>
      <c r="AJ789" s="1" t="str">
        <f>IF(AND(Programme_Grunddaten!$A794="Geprüft",Programme_Grunddaten!AR794&lt;&gt;""),IF(Programme_Grunddaten!AR794="Ja",1,0),"")</f>
        <v/>
      </c>
      <c r="AK789" s="1" t="str">
        <f>IF(AND(Programme_Grunddaten!$A794="Geprüft",Programme_Grunddaten!AS794&lt;&gt;""),IF(Programme_Grunddaten!AS794="Ja",1,0),"")</f>
        <v/>
      </c>
      <c r="AL789" s="1" t="str">
        <f>IF(AND(Programme_Grunddaten!$A794="Geprüft",Programme_Grunddaten!AT794&lt;&gt;""),IF(Programme_Grunddaten!AT794="Ja",1,0),"")</f>
        <v/>
      </c>
      <c r="AM789" s="1" t="str">
        <f>IF(AND(Programme_Grunddaten!$A794="Geprüft",Programme_Grunddaten!AU794&lt;&gt;""),IF(Programme_Grunddaten!AU794="Ja",1,0),"")</f>
        <v/>
      </c>
      <c r="AN789" s="1" t="str">
        <f>IF(AND(Programme_Grunddaten!$A794="Geprüft",Programme_Grunddaten!AV794&lt;&gt;""),IF(Programme_Grunddaten!AV794="Ja",1,0),"")</f>
        <v/>
      </c>
    </row>
    <row r="790" spans="1:40" x14ac:dyDescent="0.3">
      <c r="A790" s="1" t="str">
        <f>IF(AND(Programme_Grunddaten!A795="Geprüft",Programme_Grunddaten!B795&lt;&gt;""),Programme_Grunddaten!B795,"")</f>
        <v/>
      </c>
      <c r="B790" s="1" t="str">
        <f>IF(AND(Programme_Grunddaten!$A795="Geprüft",Programme_Grunddaten!I795&lt;&gt;""),IF(Programme_Grunddaten!I795="Ja",1,0),"")</f>
        <v/>
      </c>
      <c r="C790" s="1" t="str">
        <f>IF(AND(Programme_Grunddaten!$A795="Geprüft",Programme_Grunddaten!J795&lt;&gt;""),IF(Programme_Grunddaten!J795="Ja",1,0),"")</f>
        <v/>
      </c>
      <c r="D790" s="1" t="str">
        <f>IF(AND(Programme_Grunddaten!$A795="Geprüft",Programme_Grunddaten!K795&lt;&gt;""),IF(Programme_Grunddaten!K795="Ja",1,0),"")</f>
        <v/>
      </c>
      <c r="E790" s="1" t="str">
        <f>IF(AND(Programme_Grunddaten!$A795="Geprüft",Programme_Grunddaten!L795&lt;&gt;""),IF(Programme_Grunddaten!L795="Abo / befristete Lizenz",1,0),"")</f>
        <v/>
      </c>
      <c r="F790" s="1" t="str">
        <f>IF(AND(Programme_Grunddaten!$A795="Geprüft",Programme_Grunddaten!M795&lt;&gt;""),IF(Programme_Grunddaten!M795="Ja",1,0),"")</f>
        <v/>
      </c>
      <c r="G790" s="1" t="str">
        <f>IF(AND(Programme_Grunddaten!$A795="Geprüft",Programme_Grunddaten!N795&lt;&gt;""),IF(Programme_Grunddaten!N795="Ja",1,0),"")</f>
        <v/>
      </c>
      <c r="H790" s="1" t="str">
        <f>IF(AND(Programme_Grunddaten!$A795="Geprüft",Programme_Grunddaten!O795&lt;&gt;""),IF(Programme_Grunddaten!O795="Deutschland",0,IF(Programme_Grunddaten!O795="EU",1,2)),"")</f>
        <v/>
      </c>
      <c r="I790" s="1" t="str">
        <f>IF(AND(Programme_Grunddaten!$A795="Geprüft",Programme_Grunddaten!P795&lt;&gt;""),IF(Programme_Grunddaten!P795="Ja",1,0),"")</f>
        <v/>
      </c>
      <c r="J790" s="1" t="str">
        <f>IF(AND(Programme_Grunddaten!$A795="Geprüft",Programme_Grunddaten!Q795&lt;&gt;""),IF(Programme_Grunddaten!Q795="geschlossenes System",1,0),"")</f>
        <v/>
      </c>
      <c r="K790" s="1" t="str">
        <f>IF(AND(Programme_Grunddaten!$A795="Geprüft",Programme_Grunddaten!R795&lt;&gt;""),IF(Programme_Grunddaten!R795="Ja",1,0),"")</f>
        <v/>
      </c>
      <c r="L790" s="1" t="str">
        <f>IF(AND(Programme_Grunddaten!$A795="Geprüft",Programme_Grunddaten!T795&lt;&gt;""),IF(Programme_Grunddaten!T795="Ja",1,0),"")</f>
        <v/>
      </c>
      <c r="M790" s="1" t="str">
        <f>IF(AND(Programme_Grunddaten!$A795="Geprüft",Programme_Grunddaten!U795&lt;&gt;""),IF(Programme_Grunddaten!U795="Ja",1,0),"")</f>
        <v/>
      </c>
      <c r="N790" s="1" t="str">
        <f>IF(AND(Programme_Grunddaten!$A795="Geprüft",Programme_Grunddaten!V795&lt;&gt;""),IF(Programme_Grunddaten!V795="Ja",1,0),"")</f>
        <v/>
      </c>
      <c r="O790" s="1" t="str">
        <f>IF(AND(Programme_Grunddaten!$A795="Geprüft",Programme_Grunddaten!W795&lt;&gt;""),IF(Programme_Grunddaten!W795="Ja",1,0),"")</f>
        <v/>
      </c>
      <c r="P790" s="1" t="str">
        <f>IF(AND(Programme_Grunddaten!$A795="Geprüft",Programme_Grunddaten!X795&lt;&gt;""),IF(Programme_Grunddaten!X795="Ja",1,0),"")</f>
        <v/>
      </c>
      <c r="Q790" s="1" t="str">
        <f>IF(AND(Programme_Grunddaten!$A795="Geprüft",Programme_Grunddaten!Y795&lt;&gt;""),IF(Programme_Grunddaten!Y795="Ja",1,0),"")</f>
        <v/>
      </c>
      <c r="R790" s="1" t="str">
        <f>IF(AND(Programme_Grunddaten!$A795="Geprüft",Programme_Grunddaten!Z795&lt;&gt;""),IF(Programme_Grunddaten!Z795="Ja",1,0),"")</f>
        <v/>
      </c>
      <c r="S790" s="1" t="str">
        <f>IF(AND(Programme_Grunddaten!$A795="Geprüft",Programme_Grunddaten!AA795&lt;&gt;""),IF(Programme_Grunddaten!AA795="monolithisch",1,0),"")</f>
        <v/>
      </c>
      <c r="T790" s="1" t="str">
        <f>IF(AND(Programme_Grunddaten!$A795="Geprüft",Programme_Grunddaten!AB795&lt;&gt;""),IF(Programme_Grunddaten!AB795="Ja",1,0),"")</f>
        <v/>
      </c>
      <c r="U790" s="1" t="str">
        <f>IF(AND(Programme_Grunddaten!$A795="Geprüft",Programme_Grunddaten!AC795&lt;&gt;""),IF(Programme_Grunddaten!AC795="Ja",1,0),"")</f>
        <v/>
      </c>
      <c r="V790" s="1" t="str">
        <f>IF(AND(Programme_Grunddaten!$A795="Geprüft",Programme_Grunddaten!AD795&lt;&gt;""),IF(Programme_Grunddaten!AD795="Ja",1,0),"")</f>
        <v/>
      </c>
      <c r="W790" s="1" t="str">
        <f>IF(AND(Programme_Grunddaten!$A795="Geprüft",Programme_Grunddaten!AE795&lt;&gt;""),IF(Programme_Grunddaten!AE795="Ja",1,0),"")</f>
        <v/>
      </c>
      <c r="X790" s="1" t="str">
        <f>IF(AND(Programme_Grunddaten!$A795="Geprüft",Programme_Grunddaten!AF795&lt;&gt;""),IF(Programme_Grunddaten!AF795="Ja",1,0),"")</f>
        <v/>
      </c>
      <c r="Y790" s="1" t="str">
        <f>IF(AND(Programme_Grunddaten!$A795="Geprüft",Programme_Grunddaten!AG795&lt;&gt;""),IF(Programme_Grunddaten!AG795="Ja",1,0),"")</f>
        <v/>
      </c>
      <c r="Z790" s="1" t="str">
        <f>IF(AND(Programme_Grunddaten!$A795="Geprüft",Programme_Grunddaten!AH795&lt;&gt;""),IF(Programme_Grunddaten!AH795="Ja",1,0),"")</f>
        <v/>
      </c>
      <c r="AA790" s="1" t="str">
        <f>IF(AND(Programme_Grunddaten!$A795="Geprüft",Programme_Grunddaten!AI795&lt;&gt;""),IF(Programme_Grunddaten!AI795="Ja",1,0),"")</f>
        <v/>
      </c>
      <c r="AB790" s="1" t="str">
        <f>IF(AND(Programme_Grunddaten!$A795="Geprüft",Programme_Grunddaten!AJ795&lt;&gt;""),IF(Programme_Grunddaten!AJ795="individuell programmierbar",1,0),"")</f>
        <v/>
      </c>
      <c r="AC790" s="1" t="str">
        <f>IF(AND(Programme_Grunddaten!$A795="Geprüft",Programme_Grunddaten!AK795&lt;&gt;""),IF(Programme_Grunddaten!AK795="Deutsch",0,IF(Programme_Grunddaten!AK795="Deutsch und Englisch",1,2)),"")</f>
        <v/>
      </c>
      <c r="AD790" s="1" t="str">
        <f>IF(AND(Programme_Grunddaten!$A795="Geprüft",Programme_Grunddaten!AL795&lt;&gt;""),IF(Programme_Grunddaten!AL795="Ja",1,0),"")</f>
        <v/>
      </c>
      <c r="AE790" s="1" t="str">
        <f>IF(AND(Programme_Grunddaten!$A795="Geprüft",Programme_Grunddaten!AM795&lt;&gt;""),IF(Programme_Grunddaten!AM795="Ja",1,0),"")</f>
        <v/>
      </c>
      <c r="AF790" s="1" t="str">
        <f>IF(AND(Programme_Grunddaten!$A795="Geprüft",Programme_Grunddaten!AN795&lt;&gt;""),IF(Programme_Grunddaten!AN795="Ja",1,0),"")</f>
        <v/>
      </c>
      <c r="AG790" s="1" t="str">
        <f>IF(AND(Programme_Grunddaten!$A795="Geprüft",Programme_Grunddaten!AO795&lt;&gt;""),IF(Programme_Grunddaten!AO795="Ja",1,0),"")</f>
        <v/>
      </c>
      <c r="AH790" s="1" t="str">
        <f>IF(AND(Programme_Grunddaten!$A795="Geprüft",Programme_Grunddaten!AP795&lt;&gt;""),IF(Programme_Grunddaten!AP795="Ja",1,0),"")</f>
        <v/>
      </c>
      <c r="AI790" s="1" t="str">
        <f>IF(AND(Programme_Grunddaten!$A795="Geprüft",Programme_Grunddaten!AQ795&lt;&gt;""),IF(Programme_Grunddaten!AQ795="Ja",1,0),"")</f>
        <v/>
      </c>
      <c r="AJ790" s="1" t="str">
        <f>IF(AND(Programme_Grunddaten!$A795="Geprüft",Programme_Grunddaten!AR795&lt;&gt;""),IF(Programme_Grunddaten!AR795="Ja",1,0),"")</f>
        <v/>
      </c>
      <c r="AK790" s="1" t="str">
        <f>IF(AND(Programme_Grunddaten!$A795="Geprüft",Programme_Grunddaten!AS795&lt;&gt;""),IF(Programme_Grunddaten!AS795="Ja",1,0),"")</f>
        <v/>
      </c>
      <c r="AL790" s="1" t="str">
        <f>IF(AND(Programme_Grunddaten!$A795="Geprüft",Programme_Grunddaten!AT795&lt;&gt;""),IF(Programme_Grunddaten!AT795="Ja",1,0),"")</f>
        <v/>
      </c>
      <c r="AM790" s="1" t="str">
        <f>IF(AND(Programme_Grunddaten!$A795="Geprüft",Programme_Grunddaten!AU795&lt;&gt;""),IF(Programme_Grunddaten!AU795="Ja",1,0),"")</f>
        <v/>
      </c>
      <c r="AN790" s="1" t="str">
        <f>IF(AND(Programme_Grunddaten!$A795="Geprüft",Programme_Grunddaten!AV795&lt;&gt;""),IF(Programme_Grunddaten!AV795="Ja",1,0),"")</f>
        <v/>
      </c>
    </row>
    <row r="791" spans="1:40" x14ac:dyDescent="0.3">
      <c r="A791" s="1" t="str">
        <f>IF(AND(Programme_Grunddaten!A796="Geprüft",Programme_Grunddaten!B796&lt;&gt;""),Programme_Grunddaten!B796,"")</f>
        <v/>
      </c>
      <c r="B791" s="1" t="str">
        <f>IF(AND(Programme_Grunddaten!$A796="Geprüft",Programme_Grunddaten!I796&lt;&gt;""),IF(Programme_Grunddaten!I796="Ja",1,0),"")</f>
        <v/>
      </c>
      <c r="C791" s="1" t="str">
        <f>IF(AND(Programme_Grunddaten!$A796="Geprüft",Programme_Grunddaten!J796&lt;&gt;""),IF(Programme_Grunddaten!J796="Ja",1,0),"")</f>
        <v/>
      </c>
      <c r="D791" s="1" t="str">
        <f>IF(AND(Programme_Grunddaten!$A796="Geprüft",Programme_Grunddaten!K796&lt;&gt;""),IF(Programme_Grunddaten!K796="Ja",1,0),"")</f>
        <v/>
      </c>
      <c r="E791" s="1" t="str">
        <f>IF(AND(Programme_Grunddaten!$A796="Geprüft",Programme_Grunddaten!L796&lt;&gt;""),IF(Programme_Grunddaten!L796="Abo / befristete Lizenz",1,0),"")</f>
        <v/>
      </c>
      <c r="F791" s="1" t="str">
        <f>IF(AND(Programme_Grunddaten!$A796="Geprüft",Programme_Grunddaten!M796&lt;&gt;""),IF(Programme_Grunddaten!M796="Ja",1,0),"")</f>
        <v/>
      </c>
      <c r="G791" s="1" t="str">
        <f>IF(AND(Programme_Grunddaten!$A796="Geprüft",Programme_Grunddaten!N796&lt;&gt;""),IF(Programme_Grunddaten!N796="Ja",1,0),"")</f>
        <v/>
      </c>
      <c r="H791" s="1" t="str">
        <f>IF(AND(Programme_Grunddaten!$A796="Geprüft",Programme_Grunddaten!O796&lt;&gt;""),IF(Programme_Grunddaten!O796="Deutschland",0,IF(Programme_Grunddaten!O796="EU",1,2)),"")</f>
        <v/>
      </c>
      <c r="I791" s="1" t="str">
        <f>IF(AND(Programme_Grunddaten!$A796="Geprüft",Programme_Grunddaten!P796&lt;&gt;""),IF(Programme_Grunddaten!P796="Ja",1,0),"")</f>
        <v/>
      </c>
      <c r="J791" s="1" t="str">
        <f>IF(AND(Programme_Grunddaten!$A796="Geprüft",Programme_Grunddaten!Q796&lt;&gt;""),IF(Programme_Grunddaten!Q796="geschlossenes System",1,0),"")</f>
        <v/>
      </c>
      <c r="K791" s="1" t="str">
        <f>IF(AND(Programme_Grunddaten!$A796="Geprüft",Programme_Grunddaten!R796&lt;&gt;""),IF(Programme_Grunddaten!R796="Ja",1,0),"")</f>
        <v/>
      </c>
      <c r="L791" s="1" t="str">
        <f>IF(AND(Programme_Grunddaten!$A796="Geprüft",Programme_Grunddaten!T796&lt;&gt;""),IF(Programme_Grunddaten!T796="Ja",1,0),"")</f>
        <v/>
      </c>
      <c r="M791" s="1" t="str">
        <f>IF(AND(Programme_Grunddaten!$A796="Geprüft",Programme_Grunddaten!U796&lt;&gt;""),IF(Programme_Grunddaten!U796="Ja",1,0),"")</f>
        <v/>
      </c>
      <c r="N791" s="1" t="str">
        <f>IF(AND(Programme_Grunddaten!$A796="Geprüft",Programme_Grunddaten!V796&lt;&gt;""),IF(Programme_Grunddaten!V796="Ja",1,0),"")</f>
        <v/>
      </c>
      <c r="O791" s="1" t="str">
        <f>IF(AND(Programme_Grunddaten!$A796="Geprüft",Programme_Grunddaten!W796&lt;&gt;""),IF(Programme_Grunddaten!W796="Ja",1,0),"")</f>
        <v/>
      </c>
      <c r="P791" s="1" t="str">
        <f>IF(AND(Programme_Grunddaten!$A796="Geprüft",Programme_Grunddaten!X796&lt;&gt;""),IF(Programme_Grunddaten!X796="Ja",1,0),"")</f>
        <v/>
      </c>
      <c r="Q791" s="1" t="str">
        <f>IF(AND(Programme_Grunddaten!$A796="Geprüft",Programme_Grunddaten!Y796&lt;&gt;""),IF(Programme_Grunddaten!Y796="Ja",1,0),"")</f>
        <v/>
      </c>
      <c r="R791" s="1" t="str">
        <f>IF(AND(Programme_Grunddaten!$A796="Geprüft",Programme_Grunddaten!Z796&lt;&gt;""),IF(Programme_Grunddaten!Z796="Ja",1,0),"")</f>
        <v/>
      </c>
      <c r="S791" s="1" t="str">
        <f>IF(AND(Programme_Grunddaten!$A796="Geprüft",Programme_Grunddaten!AA796&lt;&gt;""),IF(Programme_Grunddaten!AA796="monolithisch",1,0),"")</f>
        <v/>
      </c>
      <c r="T791" s="1" t="str">
        <f>IF(AND(Programme_Grunddaten!$A796="Geprüft",Programme_Grunddaten!AB796&lt;&gt;""),IF(Programme_Grunddaten!AB796="Ja",1,0),"")</f>
        <v/>
      </c>
      <c r="U791" s="1" t="str">
        <f>IF(AND(Programme_Grunddaten!$A796="Geprüft",Programme_Grunddaten!AC796&lt;&gt;""),IF(Programme_Grunddaten!AC796="Ja",1,0),"")</f>
        <v/>
      </c>
      <c r="V791" s="1" t="str">
        <f>IF(AND(Programme_Grunddaten!$A796="Geprüft",Programme_Grunddaten!AD796&lt;&gt;""),IF(Programme_Grunddaten!AD796="Ja",1,0),"")</f>
        <v/>
      </c>
      <c r="W791" s="1" t="str">
        <f>IF(AND(Programme_Grunddaten!$A796="Geprüft",Programme_Grunddaten!AE796&lt;&gt;""),IF(Programme_Grunddaten!AE796="Ja",1,0),"")</f>
        <v/>
      </c>
      <c r="X791" s="1" t="str">
        <f>IF(AND(Programme_Grunddaten!$A796="Geprüft",Programme_Grunddaten!AF796&lt;&gt;""),IF(Programme_Grunddaten!AF796="Ja",1,0),"")</f>
        <v/>
      </c>
      <c r="Y791" s="1" t="str">
        <f>IF(AND(Programme_Grunddaten!$A796="Geprüft",Programme_Grunddaten!AG796&lt;&gt;""),IF(Programme_Grunddaten!AG796="Ja",1,0),"")</f>
        <v/>
      </c>
      <c r="Z791" s="1" t="str">
        <f>IF(AND(Programme_Grunddaten!$A796="Geprüft",Programme_Grunddaten!AH796&lt;&gt;""),IF(Programme_Grunddaten!AH796="Ja",1,0),"")</f>
        <v/>
      </c>
      <c r="AA791" s="1" t="str">
        <f>IF(AND(Programme_Grunddaten!$A796="Geprüft",Programme_Grunddaten!AI796&lt;&gt;""),IF(Programme_Grunddaten!AI796="Ja",1,0),"")</f>
        <v/>
      </c>
      <c r="AB791" s="1" t="str">
        <f>IF(AND(Programme_Grunddaten!$A796="Geprüft",Programme_Grunddaten!AJ796&lt;&gt;""),IF(Programme_Grunddaten!AJ796="individuell programmierbar",1,0),"")</f>
        <v/>
      </c>
      <c r="AC791" s="1" t="str">
        <f>IF(AND(Programme_Grunddaten!$A796="Geprüft",Programme_Grunddaten!AK796&lt;&gt;""),IF(Programme_Grunddaten!AK796="Deutsch",0,IF(Programme_Grunddaten!AK796="Deutsch und Englisch",1,2)),"")</f>
        <v/>
      </c>
      <c r="AD791" s="1" t="str">
        <f>IF(AND(Programme_Grunddaten!$A796="Geprüft",Programme_Grunddaten!AL796&lt;&gt;""),IF(Programme_Grunddaten!AL796="Ja",1,0),"")</f>
        <v/>
      </c>
      <c r="AE791" s="1" t="str">
        <f>IF(AND(Programme_Grunddaten!$A796="Geprüft",Programme_Grunddaten!AM796&lt;&gt;""),IF(Programme_Grunddaten!AM796="Ja",1,0),"")</f>
        <v/>
      </c>
      <c r="AF791" s="1" t="str">
        <f>IF(AND(Programme_Grunddaten!$A796="Geprüft",Programme_Grunddaten!AN796&lt;&gt;""),IF(Programme_Grunddaten!AN796="Ja",1,0),"")</f>
        <v/>
      </c>
      <c r="AG791" s="1" t="str">
        <f>IF(AND(Programme_Grunddaten!$A796="Geprüft",Programme_Grunddaten!AO796&lt;&gt;""),IF(Programme_Grunddaten!AO796="Ja",1,0),"")</f>
        <v/>
      </c>
      <c r="AH791" s="1" t="str">
        <f>IF(AND(Programme_Grunddaten!$A796="Geprüft",Programme_Grunddaten!AP796&lt;&gt;""),IF(Programme_Grunddaten!AP796="Ja",1,0),"")</f>
        <v/>
      </c>
      <c r="AI791" s="1" t="str">
        <f>IF(AND(Programme_Grunddaten!$A796="Geprüft",Programme_Grunddaten!AQ796&lt;&gt;""),IF(Programme_Grunddaten!AQ796="Ja",1,0),"")</f>
        <v/>
      </c>
      <c r="AJ791" s="1" t="str">
        <f>IF(AND(Programme_Grunddaten!$A796="Geprüft",Programme_Grunddaten!AR796&lt;&gt;""),IF(Programme_Grunddaten!AR796="Ja",1,0),"")</f>
        <v/>
      </c>
      <c r="AK791" s="1" t="str">
        <f>IF(AND(Programme_Grunddaten!$A796="Geprüft",Programme_Grunddaten!AS796&lt;&gt;""),IF(Programme_Grunddaten!AS796="Ja",1,0),"")</f>
        <v/>
      </c>
      <c r="AL791" s="1" t="str">
        <f>IF(AND(Programme_Grunddaten!$A796="Geprüft",Programme_Grunddaten!AT796&lt;&gt;""),IF(Programme_Grunddaten!AT796="Ja",1,0),"")</f>
        <v/>
      </c>
      <c r="AM791" s="1" t="str">
        <f>IF(AND(Programme_Grunddaten!$A796="Geprüft",Programme_Grunddaten!AU796&lt;&gt;""),IF(Programme_Grunddaten!AU796="Ja",1,0),"")</f>
        <v/>
      </c>
      <c r="AN791" s="1" t="str">
        <f>IF(AND(Programme_Grunddaten!$A796="Geprüft",Programme_Grunddaten!AV796&lt;&gt;""),IF(Programme_Grunddaten!AV796="Ja",1,0),"")</f>
        <v/>
      </c>
    </row>
    <row r="792" spans="1:40" x14ac:dyDescent="0.3">
      <c r="A792" s="1" t="str">
        <f>IF(AND(Programme_Grunddaten!A797="Geprüft",Programme_Grunddaten!B797&lt;&gt;""),Programme_Grunddaten!B797,"")</f>
        <v/>
      </c>
      <c r="B792" s="1" t="str">
        <f>IF(AND(Programme_Grunddaten!$A797="Geprüft",Programme_Grunddaten!I797&lt;&gt;""),IF(Programme_Grunddaten!I797="Ja",1,0),"")</f>
        <v/>
      </c>
      <c r="C792" s="1" t="str">
        <f>IF(AND(Programme_Grunddaten!$A797="Geprüft",Programme_Grunddaten!J797&lt;&gt;""),IF(Programme_Grunddaten!J797="Ja",1,0),"")</f>
        <v/>
      </c>
      <c r="D792" s="1" t="str">
        <f>IF(AND(Programme_Grunddaten!$A797="Geprüft",Programme_Grunddaten!K797&lt;&gt;""),IF(Programme_Grunddaten!K797="Ja",1,0),"")</f>
        <v/>
      </c>
      <c r="E792" s="1" t="str">
        <f>IF(AND(Programme_Grunddaten!$A797="Geprüft",Programme_Grunddaten!L797&lt;&gt;""),IF(Programme_Grunddaten!L797="Abo / befristete Lizenz",1,0),"")</f>
        <v/>
      </c>
      <c r="F792" s="1" t="str">
        <f>IF(AND(Programme_Grunddaten!$A797="Geprüft",Programme_Grunddaten!M797&lt;&gt;""),IF(Programme_Grunddaten!M797="Ja",1,0),"")</f>
        <v/>
      </c>
      <c r="G792" s="1" t="str">
        <f>IF(AND(Programme_Grunddaten!$A797="Geprüft",Programme_Grunddaten!N797&lt;&gt;""),IF(Programme_Grunddaten!N797="Ja",1,0),"")</f>
        <v/>
      </c>
      <c r="H792" s="1" t="str">
        <f>IF(AND(Programme_Grunddaten!$A797="Geprüft",Programme_Grunddaten!O797&lt;&gt;""),IF(Programme_Grunddaten!O797="Deutschland",0,IF(Programme_Grunddaten!O797="EU",1,2)),"")</f>
        <v/>
      </c>
      <c r="I792" s="1" t="str">
        <f>IF(AND(Programme_Grunddaten!$A797="Geprüft",Programme_Grunddaten!P797&lt;&gt;""),IF(Programme_Grunddaten!P797="Ja",1,0),"")</f>
        <v/>
      </c>
      <c r="J792" s="1" t="str">
        <f>IF(AND(Programme_Grunddaten!$A797="Geprüft",Programme_Grunddaten!Q797&lt;&gt;""),IF(Programme_Grunddaten!Q797="geschlossenes System",1,0),"")</f>
        <v/>
      </c>
      <c r="K792" s="1" t="str">
        <f>IF(AND(Programme_Grunddaten!$A797="Geprüft",Programme_Grunddaten!R797&lt;&gt;""),IF(Programme_Grunddaten!R797="Ja",1,0),"")</f>
        <v/>
      </c>
      <c r="L792" s="1" t="str">
        <f>IF(AND(Programme_Grunddaten!$A797="Geprüft",Programme_Grunddaten!T797&lt;&gt;""),IF(Programme_Grunddaten!T797="Ja",1,0),"")</f>
        <v/>
      </c>
      <c r="M792" s="1" t="str">
        <f>IF(AND(Programme_Grunddaten!$A797="Geprüft",Programme_Grunddaten!U797&lt;&gt;""),IF(Programme_Grunddaten!U797="Ja",1,0),"")</f>
        <v/>
      </c>
      <c r="N792" s="1" t="str">
        <f>IF(AND(Programme_Grunddaten!$A797="Geprüft",Programme_Grunddaten!V797&lt;&gt;""),IF(Programme_Grunddaten!V797="Ja",1,0),"")</f>
        <v/>
      </c>
      <c r="O792" s="1" t="str">
        <f>IF(AND(Programme_Grunddaten!$A797="Geprüft",Programme_Grunddaten!W797&lt;&gt;""),IF(Programme_Grunddaten!W797="Ja",1,0),"")</f>
        <v/>
      </c>
      <c r="P792" s="1" t="str">
        <f>IF(AND(Programme_Grunddaten!$A797="Geprüft",Programme_Grunddaten!X797&lt;&gt;""),IF(Programme_Grunddaten!X797="Ja",1,0),"")</f>
        <v/>
      </c>
      <c r="Q792" s="1" t="str">
        <f>IF(AND(Programme_Grunddaten!$A797="Geprüft",Programme_Grunddaten!Y797&lt;&gt;""),IF(Programme_Grunddaten!Y797="Ja",1,0),"")</f>
        <v/>
      </c>
      <c r="R792" s="1" t="str">
        <f>IF(AND(Programme_Grunddaten!$A797="Geprüft",Programme_Grunddaten!Z797&lt;&gt;""),IF(Programme_Grunddaten!Z797="Ja",1,0),"")</f>
        <v/>
      </c>
      <c r="S792" s="1" t="str">
        <f>IF(AND(Programme_Grunddaten!$A797="Geprüft",Programme_Grunddaten!AA797&lt;&gt;""),IF(Programme_Grunddaten!AA797="monolithisch",1,0),"")</f>
        <v/>
      </c>
      <c r="T792" s="1" t="str">
        <f>IF(AND(Programme_Grunddaten!$A797="Geprüft",Programme_Grunddaten!AB797&lt;&gt;""),IF(Programme_Grunddaten!AB797="Ja",1,0),"")</f>
        <v/>
      </c>
      <c r="U792" s="1" t="str">
        <f>IF(AND(Programme_Grunddaten!$A797="Geprüft",Programme_Grunddaten!AC797&lt;&gt;""),IF(Programme_Grunddaten!AC797="Ja",1,0),"")</f>
        <v/>
      </c>
      <c r="V792" s="1" t="str">
        <f>IF(AND(Programme_Grunddaten!$A797="Geprüft",Programme_Grunddaten!AD797&lt;&gt;""),IF(Programme_Grunddaten!AD797="Ja",1,0),"")</f>
        <v/>
      </c>
      <c r="W792" s="1" t="str">
        <f>IF(AND(Programme_Grunddaten!$A797="Geprüft",Programme_Grunddaten!AE797&lt;&gt;""),IF(Programme_Grunddaten!AE797="Ja",1,0),"")</f>
        <v/>
      </c>
      <c r="X792" s="1" t="str">
        <f>IF(AND(Programme_Grunddaten!$A797="Geprüft",Programme_Grunddaten!AF797&lt;&gt;""),IF(Programme_Grunddaten!AF797="Ja",1,0),"")</f>
        <v/>
      </c>
      <c r="Y792" s="1" t="str">
        <f>IF(AND(Programme_Grunddaten!$A797="Geprüft",Programme_Grunddaten!AG797&lt;&gt;""),IF(Programme_Grunddaten!AG797="Ja",1,0),"")</f>
        <v/>
      </c>
      <c r="Z792" s="1" t="str">
        <f>IF(AND(Programme_Grunddaten!$A797="Geprüft",Programme_Grunddaten!AH797&lt;&gt;""),IF(Programme_Grunddaten!AH797="Ja",1,0),"")</f>
        <v/>
      </c>
      <c r="AA792" s="1" t="str">
        <f>IF(AND(Programme_Grunddaten!$A797="Geprüft",Programme_Grunddaten!AI797&lt;&gt;""),IF(Programme_Grunddaten!AI797="Ja",1,0),"")</f>
        <v/>
      </c>
      <c r="AB792" s="1" t="str">
        <f>IF(AND(Programme_Grunddaten!$A797="Geprüft",Programme_Grunddaten!AJ797&lt;&gt;""),IF(Programme_Grunddaten!AJ797="individuell programmierbar",1,0),"")</f>
        <v/>
      </c>
      <c r="AC792" s="1" t="str">
        <f>IF(AND(Programme_Grunddaten!$A797="Geprüft",Programme_Grunddaten!AK797&lt;&gt;""),IF(Programme_Grunddaten!AK797="Deutsch",0,IF(Programme_Grunddaten!AK797="Deutsch und Englisch",1,2)),"")</f>
        <v/>
      </c>
      <c r="AD792" s="1" t="str">
        <f>IF(AND(Programme_Grunddaten!$A797="Geprüft",Programme_Grunddaten!AL797&lt;&gt;""),IF(Programme_Grunddaten!AL797="Ja",1,0),"")</f>
        <v/>
      </c>
      <c r="AE792" s="1" t="str">
        <f>IF(AND(Programme_Grunddaten!$A797="Geprüft",Programme_Grunddaten!AM797&lt;&gt;""),IF(Programme_Grunddaten!AM797="Ja",1,0),"")</f>
        <v/>
      </c>
      <c r="AF792" s="1" t="str">
        <f>IF(AND(Programme_Grunddaten!$A797="Geprüft",Programme_Grunddaten!AN797&lt;&gt;""),IF(Programme_Grunddaten!AN797="Ja",1,0),"")</f>
        <v/>
      </c>
      <c r="AG792" s="1" t="str">
        <f>IF(AND(Programme_Grunddaten!$A797="Geprüft",Programme_Grunddaten!AO797&lt;&gt;""),IF(Programme_Grunddaten!AO797="Ja",1,0),"")</f>
        <v/>
      </c>
      <c r="AH792" s="1" t="str">
        <f>IF(AND(Programme_Grunddaten!$A797="Geprüft",Programme_Grunddaten!AP797&lt;&gt;""),IF(Programme_Grunddaten!AP797="Ja",1,0),"")</f>
        <v/>
      </c>
      <c r="AI792" s="1" t="str">
        <f>IF(AND(Programme_Grunddaten!$A797="Geprüft",Programme_Grunddaten!AQ797&lt;&gt;""),IF(Programme_Grunddaten!AQ797="Ja",1,0),"")</f>
        <v/>
      </c>
      <c r="AJ792" s="1" t="str">
        <f>IF(AND(Programme_Grunddaten!$A797="Geprüft",Programme_Grunddaten!AR797&lt;&gt;""),IF(Programme_Grunddaten!AR797="Ja",1,0),"")</f>
        <v/>
      </c>
      <c r="AK792" s="1" t="str">
        <f>IF(AND(Programme_Grunddaten!$A797="Geprüft",Programme_Grunddaten!AS797&lt;&gt;""),IF(Programme_Grunddaten!AS797="Ja",1,0),"")</f>
        <v/>
      </c>
      <c r="AL792" s="1" t="str">
        <f>IF(AND(Programme_Grunddaten!$A797="Geprüft",Programme_Grunddaten!AT797&lt;&gt;""),IF(Programme_Grunddaten!AT797="Ja",1,0),"")</f>
        <v/>
      </c>
      <c r="AM792" s="1" t="str">
        <f>IF(AND(Programme_Grunddaten!$A797="Geprüft",Programme_Grunddaten!AU797&lt;&gt;""),IF(Programme_Grunddaten!AU797="Ja",1,0),"")</f>
        <v/>
      </c>
      <c r="AN792" s="1" t="str">
        <f>IF(AND(Programme_Grunddaten!$A797="Geprüft",Programme_Grunddaten!AV797&lt;&gt;""),IF(Programme_Grunddaten!AV797="Ja",1,0),"")</f>
        <v/>
      </c>
    </row>
    <row r="793" spans="1:40" x14ac:dyDescent="0.3">
      <c r="A793" s="1" t="str">
        <f>IF(AND(Programme_Grunddaten!A798="Geprüft",Programme_Grunddaten!B798&lt;&gt;""),Programme_Grunddaten!B798,"")</f>
        <v/>
      </c>
      <c r="B793" s="1" t="str">
        <f>IF(AND(Programme_Grunddaten!$A798="Geprüft",Programme_Grunddaten!I798&lt;&gt;""),IF(Programme_Grunddaten!I798="Ja",1,0),"")</f>
        <v/>
      </c>
      <c r="C793" s="1" t="str">
        <f>IF(AND(Programme_Grunddaten!$A798="Geprüft",Programme_Grunddaten!J798&lt;&gt;""),IF(Programme_Grunddaten!J798="Ja",1,0),"")</f>
        <v/>
      </c>
      <c r="D793" s="1" t="str">
        <f>IF(AND(Programme_Grunddaten!$A798="Geprüft",Programme_Grunddaten!K798&lt;&gt;""),IF(Programme_Grunddaten!K798="Ja",1,0),"")</f>
        <v/>
      </c>
      <c r="E793" s="1" t="str">
        <f>IF(AND(Programme_Grunddaten!$A798="Geprüft",Programme_Grunddaten!L798&lt;&gt;""),IF(Programme_Grunddaten!L798="Abo / befristete Lizenz",1,0),"")</f>
        <v/>
      </c>
      <c r="F793" s="1" t="str">
        <f>IF(AND(Programme_Grunddaten!$A798="Geprüft",Programme_Grunddaten!M798&lt;&gt;""),IF(Programme_Grunddaten!M798="Ja",1,0),"")</f>
        <v/>
      </c>
      <c r="G793" s="1" t="str">
        <f>IF(AND(Programme_Grunddaten!$A798="Geprüft",Programme_Grunddaten!N798&lt;&gt;""),IF(Programme_Grunddaten!N798="Ja",1,0),"")</f>
        <v/>
      </c>
      <c r="H793" s="1" t="str">
        <f>IF(AND(Programme_Grunddaten!$A798="Geprüft",Programme_Grunddaten!O798&lt;&gt;""),IF(Programme_Grunddaten!O798="Deutschland",0,IF(Programme_Grunddaten!O798="EU",1,2)),"")</f>
        <v/>
      </c>
      <c r="I793" s="1" t="str">
        <f>IF(AND(Programme_Grunddaten!$A798="Geprüft",Programme_Grunddaten!P798&lt;&gt;""),IF(Programme_Grunddaten!P798="Ja",1,0),"")</f>
        <v/>
      </c>
      <c r="J793" s="1" t="str">
        <f>IF(AND(Programme_Grunddaten!$A798="Geprüft",Programme_Grunddaten!Q798&lt;&gt;""),IF(Programme_Grunddaten!Q798="geschlossenes System",1,0),"")</f>
        <v/>
      </c>
      <c r="K793" s="1" t="str">
        <f>IF(AND(Programme_Grunddaten!$A798="Geprüft",Programme_Grunddaten!R798&lt;&gt;""),IF(Programme_Grunddaten!R798="Ja",1,0),"")</f>
        <v/>
      </c>
      <c r="L793" s="1" t="str">
        <f>IF(AND(Programme_Grunddaten!$A798="Geprüft",Programme_Grunddaten!T798&lt;&gt;""),IF(Programme_Grunddaten!T798="Ja",1,0),"")</f>
        <v/>
      </c>
      <c r="M793" s="1" t="str">
        <f>IF(AND(Programme_Grunddaten!$A798="Geprüft",Programme_Grunddaten!U798&lt;&gt;""),IF(Programme_Grunddaten!U798="Ja",1,0),"")</f>
        <v/>
      </c>
      <c r="N793" s="1" t="str">
        <f>IF(AND(Programme_Grunddaten!$A798="Geprüft",Programme_Grunddaten!V798&lt;&gt;""),IF(Programme_Grunddaten!V798="Ja",1,0),"")</f>
        <v/>
      </c>
      <c r="O793" s="1" t="str">
        <f>IF(AND(Programme_Grunddaten!$A798="Geprüft",Programme_Grunddaten!W798&lt;&gt;""),IF(Programme_Grunddaten!W798="Ja",1,0),"")</f>
        <v/>
      </c>
      <c r="P793" s="1" t="str">
        <f>IF(AND(Programme_Grunddaten!$A798="Geprüft",Programme_Grunddaten!X798&lt;&gt;""),IF(Programme_Grunddaten!X798="Ja",1,0),"")</f>
        <v/>
      </c>
      <c r="Q793" s="1" t="str">
        <f>IF(AND(Programme_Grunddaten!$A798="Geprüft",Programme_Grunddaten!Y798&lt;&gt;""),IF(Programme_Grunddaten!Y798="Ja",1,0),"")</f>
        <v/>
      </c>
      <c r="R793" s="1" t="str">
        <f>IF(AND(Programme_Grunddaten!$A798="Geprüft",Programme_Grunddaten!Z798&lt;&gt;""),IF(Programme_Grunddaten!Z798="Ja",1,0),"")</f>
        <v/>
      </c>
      <c r="S793" s="1" t="str">
        <f>IF(AND(Programme_Grunddaten!$A798="Geprüft",Programme_Grunddaten!AA798&lt;&gt;""),IF(Programme_Grunddaten!AA798="monolithisch",1,0),"")</f>
        <v/>
      </c>
      <c r="T793" s="1" t="str">
        <f>IF(AND(Programme_Grunddaten!$A798="Geprüft",Programme_Grunddaten!AB798&lt;&gt;""),IF(Programme_Grunddaten!AB798="Ja",1,0),"")</f>
        <v/>
      </c>
      <c r="U793" s="1" t="str">
        <f>IF(AND(Programme_Grunddaten!$A798="Geprüft",Programme_Grunddaten!AC798&lt;&gt;""),IF(Programme_Grunddaten!AC798="Ja",1,0),"")</f>
        <v/>
      </c>
      <c r="V793" s="1" t="str">
        <f>IF(AND(Programme_Grunddaten!$A798="Geprüft",Programme_Grunddaten!AD798&lt;&gt;""),IF(Programme_Grunddaten!AD798="Ja",1,0),"")</f>
        <v/>
      </c>
      <c r="W793" s="1" t="str">
        <f>IF(AND(Programme_Grunddaten!$A798="Geprüft",Programme_Grunddaten!AE798&lt;&gt;""),IF(Programme_Grunddaten!AE798="Ja",1,0),"")</f>
        <v/>
      </c>
      <c r="X793" s="1" t="str">
        <f>IF(AND(Programme_Grunddaten!$A798="Geprüft",Programme_Grunddaten!AF798&lt;&gt;""),IF(Programme_Grunddaten!AF798="Ja",1,0),"")</f>
        <v/>
      </c>
      <c r="Y793" s="1" t="str">
        <f>IF(AND(Programme_Grunddaten!$A798="Geprüft",Programme_Grunddaten!AG798&lt;&gt;""),IF(Programme_Grunddaten!AG798="Ja",1,0),"")</f>
        <v/>
      </c>
      <c r="Z793" s="1" t="str">
        <f>IF(AND(Programme_Grunddaten!$A798="Geprüft",Programme_Grunddaten!AH798&lt;&gt;""),IF(Programme_Grunddaten!AH798="Ja",1,0),"")</f>
        <v/>
      </c>
      <c r="AA793" s="1" t="str">
        <f>IF(AND(Programme_Grunddaten!$A798="Geprüft",Programme_Grunddaten!AI798&lt;&gt;""),IF(Programme_Grunddaten!AI798="Ja",1,0),"")</f>
        <v/>
      </c>
      <c r="AB793" s="1" t="str">
        <f>IF(AND(Programme_Grunddaten!$A798="Geprüft",Programme_Grunddaten!AJ798&lt;&gt;""),IF(Programme_Grunddaten!AJ798="individuell programmierbar",1,0),"")</f>
        <v/>
      </c>
      <c r="AC793" s="1" t="str">
        <f>IF(AND(Programme_Grunddaten!$A798="Geprüft",Programme_Grunddaten!AK798&lt;&gt;""),IF(Programme_Grunddaten!AK798="Deutsch",0,IF(Programme_Grunddaten!AK798="Deutsch und Englisch",1,2)),"")</f>
        <v/>
      </c>
      <c r="AD793" s="1" t="str">
        <f>IF(AND(Programme_Grunddaten!$A798="Geprüft",Programme_Grunddaten!AL798&lt;&gt;""),IF(Programme_Grunddaten!AL798="Ja",1,0),"")</f>
        <v/>
      </c>
      <c r="AE793" s="1" t="str">
        <f>IF(AND(Programme_Grunddaten!$A798="Geprüft",Programme_Grunddaten!AM798&lt;&gt;""),IF(Programme_Grunddaten!AM798="Ja",1,0),"")</f>
        <v/>
      </c>
      <c r="AF793" s="1" t="str">
        <f>IF(AND(Programme_Grunddaten!$A798="Geprüft",Programme_Grunddaten!AN798&lt;&gt;""),IF(Programme_Grunddaten!AN798="Ja",1,0),"")</f>
        <v/>
      </c>
      <c r="AG793" s="1" t="str">
        <f>IF(AND(Programme_Grunddaten!$A798="Geprüft",Programme_Grunddaten!AO798&lt;&gt;""),IF(Programme_Grunddaten!AO798="Ja",1,0),"")</f>
        <v/>
      </c>
      <c r="AH793" s="1" t="str">
        <f>IF(AND(Programme_Grunddaten!$A798="Geprüft",Programme_Grunddaten!AP798&lt;&gt;""),IF(Programme_Grunddaten!AP798="Ja",1,0),"")</f>
        <v/>
      </c>
      <c r="AI793" s="1" t="str">
        <f>IF(AND(Programme_Grunddaten!$A798="Geprüft",Programme_Grunddaten!AQ798&lt;&gt;""),IF(Programme_Grunddaten!AQ798="Ja",1,0),"")</f>
        <v/>
      </c>
      <c r="AJ793" s="1" t="str">
        <f>IF(AND(Programme_Grunddaten!$A798="Geprüft",Programme_Grunddaten!AR798&lt;&gt;""),IF(Programme_Grunddaten!AR798="Ja",1,0),"")</f>
        <v/>
      </c>
      <c r="AK793" s="1" t="str">
        <f>IF(AND(Programme_Grunddaten!$A798="Geprüft",Programme_Grunddaten!AS798&lt;&gt;""),IF(Programme_Grunddaten!AS798="Ja",1,0),"")</f>
        <v/>
      </c>
      <c r="AL793" s="1" t="str">
        <f>IF(AND(Programme_Grunddaten!$A798="Geprüft",Programme_Grunddaten!AT798&lt;&gt;""),IF(Programme_Grunddaten!AT798="Ja",1,0),"")</f>
        <v/>
      </c>
      <c r="AM793" s="1" t="str">
        <f>IF(AND(Programme_Grunddaten!$A798="Geprüft",Programme_Grunddaten!AU798&lt;&gt;""),IF(Programme_Grunddaten!AU798="Ja",1,0),"")</f>
        <v/>
      </c>
      <c r="AN793" s="1" t="str">
        <f>IF(AND(Programme_Grunddaten!$A798="Geprüft",Programme_Grunddaten!AV798&lt;&gt;""),IF(Programme_Grunddaten!AV798="Ja",1,0),"")</f>
        <v/>
      </c>
    </row>
    <row r="794" spans="1:40" x14ac:dyDescent="0.3">
      <c r="A794" s="1" t="str">
        <f>IF(AND(Programme_Grunddaten!A799="Geprüft",Programme_Grunddaten!B799&lt;&gt;""),Programme_Grunddaten!B799,"")</f>
        <v/>
      </c>
      <c r="B794" s="1" t="str">
        <f>IF(AND(Programme_Grunddaten!$A799="Geprüft",Programme_Grunddaten!I799&lt;&gt;""),IF(Programme_Grunddaten!I799="Ja",1,0),"")</f>
        <v/>
      </c>
      <c r="C794" s="1" t="str">
        <f>IF(AND(Programme_Grunddaten!$A799="Geprüft",Programme_Grunddaten!J799&lt;&gt;""),IF(Programme_Grunddaten!J799="Ja",1,0),"")</f>
        <v/>
      </c>
      <c r="D794" s="1" t="str">
        <f>IF(AND(Programme_Grunddaten!$A799="Geprüft",Programme_Grunddaten!K799&lt;&gt;""),IF(Programme_Grunddaten!K799="Ja",1,0),"")</f>
        <v/>
      </c>
      <c r="E794" s="1" t="str">
        <f>IF(AND(Programme_Grunddaten!$A799="Geprüft",Programme_Grunddaten!L799&lt;&gt;""),IF(Programme_Grunddaten!L799="Abo / befristete Lizenz",1,0),"")</f>
        <v/>
      </c>
      <c r="F794" s="1" t="str">
        <f>IF(AND(Programme_Grunddaten!$A799="Geprüft",Programme_Grunddaten!M799&lt;&gt;""),IF(Programme_Grunddaten!M799="Ja",1,0),"")</f>
        <v/>
      </c>
      <c r="G794" s="1" t="str">
        <f>IF(AND(Programme_Grunddaten!$A799="Geprüft",Programme_Grunddaten!N799&lt;&gt;""),IF(Programme_Grunddaten!N799="Ja",1,0),"")</f>
        <v/>
      </c>
      <c r="H794" s="1" t="str">
        <f>IF(AND(Programme_Grunddaten!$A799="Geprüft",Programme_Grunddaten!O799&lt;&gt;""),IF(Programme_Grunddaten!O799="Deutschland",0,IF(Programme_Grunddaten!O799="EU",1,2)),"")</f>
        <v/>
      </c>
      <c r="I794" s="1" t="str">
        <f>IF(AND(Programme_Grunddaten!$A799="Geprüft",Programme_Grunddaten!P799&lt;&gt;""),IF(Programme_Grunddaten!P799="Ja",1,0),"")</f>
        <v/>
      </c>
      <c r="J794" s="1" t="str">
        <f>IF(AND(Programme_Grunddaten!$A799="Geprüft",Programme_Grunddaten!Q799&lt;&gt;""),IF(Programme_Grunddaten!Q799="geschlossenes System",1,0),"")</f>
        <v/>
      </c>
      <c r="K794" s="1" t="str">
        <f>IF(AND(Programme_Grunddaten!$A799="Geprüft",Programme_Grunddaten!R799&lt;&gt;""),IF(Programme_Grunddaten!R799="Ja",1,0),"")</f>
        <v/>
      </c>
      <c r="L794" s="1" t="str">
        <f>IF(AND(Programme_Grunddaten!$A799="Geprüft",Programme_Grunddaten!T799&lt;&gt;""),IF(Programme_Grunddaten!T799="Ja",1,0),"")</f>
        <v/>
      </c>
      <c r="M794" s="1" t="str">
        <f>IF(AND(Programme_Grunddaten!$A799="Geprüft",Programme_Grunddaten!U799&lt;&gt;""),IF(Programme_Grunddaten!U799="Ja",1,0),"")</f>
        <v/>
      </c>
      <c r="N794" s="1" t="str">
        <f>IF(AND(Programme_Grunddaten!$A799="Geprüft",Programme_Grunddaten!V799&lt;&gt;""),IF(Programme_Grunddaten!V799="Ja",1,0),"")</f>
        <v/>
      </c>
      <c r="O794" s="1" t="str">
        <f>IF(AND(Programme_Grunddaten!$A799="Geprüft",Programme_Grunddaten!W799&lt;&gt;""),IF(Programme_Grunddaten!W799="Ja",1,0),"")</f>
        <v/>
      </c>
      <c r="P794" s="1" t="str">
        <f>IF(AND(Programme_Grunddaten!$A799="Geprüft",Programme_Grunddaten!X799&lt;&gt;""),IF(Programme_Grunddaten!X799="Ja",1,0),"")</f>
        <v/>
      </c>
      <c r="Q794" s="1" t="str">
        <f>IF(AND(Programme_Grunddaten!$A799="Geprüft",Programme_Grunddaten!Y799&lt;&gt;""),IF(Programme_Grunddaten!Y799="Ja",1,0),"")</f>
        <v/>
      </c>
      <c r="R794" s="1" t="str">
        <f>IF(AND(Programme_Grunddaten!$A799="Geprüft",Programme_Grunddaten!Z799&lt;&gt;""),IF(Programme_Grunddaten!Z799="Ja",1,0),"")</f>
        <v/>
      </c>
      <c r="S794" s="1" t="str">
        <f>IF(AND(Programme_Grunddaten!$A799="Geprüft",Programme_Grunddaten!AA799&lt;&gt;""),IF(Programme_Grunddaten!AA799="monolithisch",1,0),"")</f>
        <v/>
      </c>
      <c r="T794" s="1" t="str">
        <f>IF(AND(Programme_Grunddaten!$A799="Geprüft",Programme_Grunddaten!AB799&lt;&gt;""),IF(Programme_Grunddaten!AB799="Ja",1,0),"")</f>
        <v/>
      </c>
      <c r="U794" s="1" t="str">
        <f>IF(AND(Programme_Grunddaten!$A799="Geprüft",Programme_Grunddaten!AC799&lt;&gt;""),IF(Programme_Grunddaten!AC799="Ja",1,0),"")</f>
        <v/>
      </c>
      <c r="V794" s="1" t="str">
        <f>IF(AND(Programme_Grunddaten!$A799="Geprüft",Programme_Grunddaten!AD799&lt;&gt;""),IF(Programme_Grunddaten!AD799="Ja",1,0),"")</f>
        <v/>
      </c>
      <c r="W794" s="1" t="str">
        <f>IF(AND(Programme_Grunddaten!$A799="Geprüft",Programme_Grunddaten!AE799&lt;&gt;""),IF(Programme_Grunddaten!AE799="Ja",1,0),"")</f>
        <v/>
      </c>
      <c r="X794" s="1" t="str">
        <f>IF(AND(Programme_Grunddaten!$A799="Geprüft",Programme_Grunddaten!AF799&lt;&gt;""),IF(Programme_Grunddaten!AF799="Ja",1,0),"")</f>
        <v/>
      </c>
      <c r="Y794" s="1" t="str">
        <f>IF(AND(Programme_Grunddaten!$A799="Geprüft",Programme_Grunddaten!AG799&lt;&gt;""),IF(Programme_Grunddaten!AG799="Ja",1,0),"")</f>
        <v/>
      </c>
      <c r="Z794" s="1" t="str">
        <f>IF(AND(Programme_Grunddaten!$A799="Geprüft",Programme_Grunddaten!AH799&lt;&gt;""),IF(Programme_Grunddaten!AH799="Ja",1,0),"")</f>
        <v/>
      </c>
      <c r="AA794" s="1" t="str">
        <f>IF(AND(Programme_Grunddaten!$A799="Geprüft",Programme_Grunddaten!AI799&lt;&gt;""),IF(Programme_Grunddaten!AI799="Ja",1,0),"")</f>
        <v/>
      </c>
      <c r="AB794" s="1" t="str">
        <f>IF(AND(Programme_Grunddaten!$A799="Geprüft",Programme_Grunddaten!AJ799&lt;&gt;""),IF(Programme_Grunddaten!AJ799="individuell programmierbar",1,0),"")</f>
        <v/>
      </c>
      <c r="AC794" s="1" t="str">
        <f>IF(AND(Programme_Grunddaten!$A799="Geprüft",Programme_Grunddaten!AK799&lt;&gt;""),IF(Programme_Grunddaten!AK799="Deutsch",0,IF(Programme_Grunddaten!AK799="Deutsch und Englisch",1,2)),"")</f>
        <v/>
      </c>
      <c r="AD794" s="1" t="str">
        <f>IF(AND(Programme_Grunddaten!$A799="Geprüft",Programme_Grunddaten!AL799&lt;&gt;""),IF(Programme_Grunddaten!AL799="Ja",1,0),"")</f>
        <v/>
      </c>
      <c r="AE794" s="1" t="str">
        <f>IF(AND(Programme_Grunddaten!$A799="Geprüft",Programme_Grunddaten!AM799&lt;&gt;""),IF(Programme_Grunddaten!AM799="Ja",1,0),"")</f>
        <v/>
      </c>
      <c r="AF794" s="1" t="str">
        <f>IF(AND(Programme_Grunddaten!$A799="Geprüft",Programme_Grunddaten!AN799&lt;&gt;""),IF(Programme_Grunddaten!AN799="Ja",1,0),"")</f>
        <v/>
      </c>
      <c r="AG794" s="1" t="str">
        <f>IF(AND(Programme_Grunddaten!$A799="Geprüft",Programme_Grunddaten!AO799&lt;&gt;""),IF(Programme_Grunddaten!AO799="Ja",1,0),"")</f>
        <v/>
      </c>
      <c r="AH794" s="1" t="str">
        <f>IF(AND(Programme_Grunddaten!$A799="Geprüft",Programme_Grunddaten!AP799&lt;&gt;""),IF(Programme_Grunddaten!AP799="Ja",1,0),"")</f>
        <v/>
      </c>
      <c r="AI794" s="1" t="str">
        <f>IF(AND(Programme_Grunddaten!$A799="Geprüft",Programme_Grunddaten!AQ799&lt;&gt;""),IF(Programme_Grunddaten!AQ799="Ja",1,0),"")</f>
        <v/>
      </c>
      <c r="AJ794" s="1" t="str">
        <f>IF(AND(Programme_Grunddaten!$A799="Geprüft",Programme_Grunddaten!AR799&lt;&gt;""),IF(Programme_Grunddaten!AR799="Ja",1,0),"")</f>
        <v/>
      </c>
      <c r="AK794" s="1" t="str">
        <f>IF(AND(Programme_Grunddaten!$A799="Geprüft",Programme_Grunddaten!AS799&lt;&gt;""),IF(Programme_Grunddaten!AS799="Ja",1,0),"")</f>
        <v/>
      </c>
      <c r="AL794" s="1" t="str">
        <f>IF(AND(Programme_Grunddaten!$A799="Geprüft",Programme_Grunddaten!AT799&lt;&gt;""),IF(Programme_Grunddaten!AT799="Ja",1,0),"")</f>
        <v/>
      </c>
      <c r="AM794" s="1" t="str">
        <f>IF(AND(Programme_Grunddaten!$A799="Geprüft",Programme_Grunddaten!AU799&lt;&gt;""),IF(Programme_Grunddaten!AU799="Ja",1,0),"")</f>
        <v/>
      </c>
      <c r="AN794" s="1" t="str">
        <f>IF(AND(Programme_Grunddaten!$A799="Geprüft",Programme_Grunddaten!AV799&lt;&gt;""),IF(Programme_Grunddaten!AV799="Ja",1,0),"")</f>
        <v/>
      </c>
    </row>
    <row r="795" spans="1:40" x14ac:dyDescent="0.3">
      <c r="A795" s="1" t="str">
        <f>IF(AND(Programme_Grunddaten!A800="Geprüft",Programme_Grunddaten!B800&lt;&gt;""),Programme_Grunddaten!B800,"")</f>
        <v/>
      </c>
      <c r="B795" s="1" t="str">
        <f>IF(AND(Programme_Grunddaten!$A800="Geprüft",Programme_Grunddaten!I800&lt;&gt;""),IF(Programme_Grunddaten!I800="Ja",1,0),"")</f>
        <v/>
      </c>
      <c r="C795" s="1" t="str">
        <f>IF(AND(Programme_Grunddaten!$A800="Geprüft",Programme_Grunddaten!J800&lt;&gt;""),IF(Programme_Grunddaten!J800="Ja",1,0),"")</f>
        <v/>
      </c>
      <c r="D795" s="1" t="str">
        <f>IF(AND(Programme_Grunddaten!$A800="Geprüft",Programme_Grunddaten!K800&lt;&gt;""),IF(Programme_Grunddaten!K800="Ja",1,0),"")</f>
        <v/>
      </c>
      <c r="E795" s="1" t="str">
        <f>IF(AND(Programme_Grunddaten!$A800="Geprüft",Programme_Grunddaten!L800&lt;&gt;""),IF(Programme_Grunddaten!L800="Abo / befristete Lizenz",1,0),"")</f>
        <v/>
      </c>
      <c r="F795" s="1" t="str">
        <f>IF(AND(Programme_Grunddaten!$A800="Geprüft",Programme_Grunddaten!M800&lt;&gt;""),IF(Programme_Grunddaten!M800="Ja",1,0),"")</f>
        <v/>
      </c>
      <c r="G795" s="1" t="str">
        <f>IF(AND(Programme_Grunddaten!$A800="Geprüft",Programme_Grunddaten!N800&lt;&gt;""),IF(Programme_Grunddaten!N800="Ja",1,0),"")</f>
        <v/>
      </c>
      <c r="H795" s="1" t="str">
        <f>IF(AND(Programme_Grunddaten!$A800="Geprüft",Programme_Grunddaten!O800&lt;&gt;""),IF(Programme_Grunddaten!O800="Deutschland",0,IF(Programme_Grunddaten!O800="EU",1,2)),"")</f>
        <v/>
      </c>
      <c r="I795" s="1" t="str">
        <f>IF(AND(Programme_Grunddaten!$A800="Geprüft",Programme_Grunddaten!P800&lt;&gt;""),IF(Programme_Grunddaten!P800="Ja",1,0),"")</f>
        <v/>
      </c>
      <c r="J795" s="1" t="str">
        <f>IF(AND(Programme_Grunddaten!$A800="Geprüft",Programme_Grunddaten!Q800&lt;&gt;""),IF(Programme_Grunddaten!Q800="geschlossenes System",1,0),"")</f>
        <v/>
      </c>
      <c r="K795" s="1" t="str">
        <f>IF(AND(Programme_Grunddaten!$A800="Geprüft",Programme_Grunddaten!R800&lt;&gt;""),IF(Programme_Grunddaten!R800="Ja",1,0),"")</f>
        <v/>
      </c>
      <c r="L795" s="1" t="str">
        <f>IF(AND(Programme_Grunddaten!$A800="Geprüft",Programme_Grunddaten!T800&lt;&gt;""),IF(Programme_Grunddaten!T800="Ja",1,0),"")</f>
        <v/>
      </c>
      <c r="M795" s="1" t="str">
        <f>IF(AND(Programme_Grunddaten!$A800="Geprüft",Programme_Grunddaten!U800&lt;&gt;""),IF(Programme_Grunddaten!U800="Ja",1,0),"")</f>
        <v/>
      </c>
      <c r="N795" s="1" t="str">
        <f>IF(AND(Programme_Grunddaten!$A800="Geprüft",Programme_Grunddaten!V800&lt;&gt;""),IF(Programme_Grunddaten!V800="Ja",1,0),"")</f>
        <v/>
      </c>
      <c r="O795" s="1" t="str">
        <f>IF(AND(Programme_Grunddaten!$A800="Geprüft",Programme_Grunddaten!W800&lt;&gt;""),IF(Programme_Grunddaten!W800="Ja",1,0),"")</f>
        <v/>
      </c>
      <c r="P795" s="1" t="str">
        <f>IF(AND(Programme_Grunddaten!$A800="Geprüft",Programme_Grunddaten!X800&lt;&gt;""),IF(Programme_Grunddaten!X800="Ja",1,0),"")</f>
        <v/>
      </c>
      <c r="Q795" s="1" t="str">
        <f>IF(AND(Programme_Grunddaten!$A800="Geprüft",Programme_Grunddaten!Y800&lt;&gt;""),IF(Programme_Grunddaten!Y800="Ja",1,0),"")</f>
        <v/>
      </c>
      <c r="R795" s="1" t="str">
        <f>IF(AND(Programme_Grunddaten!$A800="Geprüft",Programme_Grunddaten!Z800&lt;&gt;""),IF(Programme_Grunddaten!Z800="Ja",1,0),"")</f>
        <v/>
      </c>
      <c r="S795" s="1" t="str">
        <f>IF(AND(Programme_Grunddaten!$A800="Geprüft",Programme_Grunddaten!AA800&lt;&gt;""),IF(Programme_Grunddaten!AA800="monolithisch",1,0),"")</f>
        <v/>
      </c>
      <c r="T795" s="1" t="str">
        <f>IF(AND(Programme_Grunddaten!$A800="Geprüft",Programme_Grunddaten!AB800&lt;&gt;""),IF(Programme_Grunddaten!AB800="Ja",1,0),"")</f>
        <v/>
      </c>
      <c r="U795" s="1" t="str">
        <f>IF(AND(Programme_Grunddaten!$A800="Geprüft",Programme_Grunddaten!AC800&lt;&gt;""),IF(Programme_Grunddaten!AC800="Ja",1,0),"")</f>
        <v/>
      </c>
      <c r="V795" s="1" t="str">
        <f>IF(AND(Programme_Grunddaten!$A800="Geprüft",Programme_Grunddaten!AD800&lt;&gt;""),IF(Programme_Grunddaten!AD800="Ja",1,0),"")</f>
        <v/>
      </c>
      <c r="W795" s="1" t="str">
        <f>IF(AND(Programme_Grunddaten!$A800="Geprüft",Programme_Grunddaten!AE800&lt;&gt;""),IF(Programme_Grunddaten!AE800="Ja",1,0),"")</f>
        <v/>
      </c>
      <c r="X795" s="1" t="str">
        <f>IF(AND(Programme_Grunddaten!$A800="Geprüft",Programme_Grunddaten!AF800&lt;&gt;""),IF(Programme_Grunddaten!AF800="Ja",1,0),"")</f>
        <v/>
      </c>
      <c r="Y795" s="1" t="str">
        <f>IF(AND(Programme_Grunddaten!$A800="Geprüft",Programme_Grunddaten!AG800&lt;&gt;""),IF(Programme_Grunddaten!AG800="Ja",1,0),"")</f>
        <v/>
      </c>
      <c r="Z795" s="1" t="str">
        <f>IF(AND(Programme_Grunddaten!$A800="Geprüft",Programme_Grunddaten!AH800&lt;&gt;""),IF(Programme_Grunddaten!AH800="Ja",1,0),"")</f>
        <v/>
      </c>
      <c r="AA795" s="1" t="str">
        <f>IF(AND(Programme_Grunddaten!$A800="Geprüft",Programme_Grunddaten!AI800&lt;&gt;""),IF(Programme_Grunddaten!AI800="Ja",1,0),"")</f>
        <v/>
      </c>
      <c r="AB795" s="1" t="str">
        <f>IF(AND(Programme_Grunddaten!$A800="Geprüft",Programme_Grunddaten!AJ800&lt;&gt;""),IF(Programme_Grunddaten!AJ800="individuell programmierbar",1,0),"")</f>
        <v/>
      </c>
      <c r="AC795" s="1" t="str">
        <f>IF(AND(Programme_Grunddaten!$A800="Geprüft",Programme_Grunddaten!AK800&lt;&gt;""),IF(Programme_Grunddaten!AK800="Deutsch",0,IF(Programme_Grunddaten!AK800="Deutsch und Englisch",1,2)),"")</f>
        <v/>
      </c>
      <c r="AD795" s="1" t="str">
        <f>IF(AND(Programme_Grunddaten!$A800="Geprüft",Programme_Grunddaten!AL800&lt;&gt;""),IF(Programme_Grunddaten!AL800="Ja",1,0),"")</f>
        <v/>
      </c>
      <c r="AE795" s="1" t="str">
        <f>IF(AND(Programme_Grunddaten!$A800="Geprüft",Programme_Grunddaten!AM800&lt;&gt;""),IF(Programme_Grunddaten!AM800="Ja",1,0),"")</f>
        <v/>
      </c>
      <c r="AF795" s="1" t="str">
        <f>IF(AND(Programme_Grunddaten!$A800="Geprüft",Programme_Grunddaten!AN800&lt;&gt;""),IF(Programme_Grunddaten!AN800="Ja",1,0),"")</f>
        <v/>
      </c>
      <c r="AG795" s="1" t="str">
        <f>IF(AND(Programme_Grunddaten!$A800="Geprüft",Programme_Grunddaten!AO800&lt;&gt;""),IF(Programme_Grunddaten!AO800="Ja",1,0),"")</f>
        <v/>
      </c>
      <c r="AH795" s="1" t="str">
        <f>IF(AND(Programme_Grunddaten!$A800="Geprüft",Programme_Grunddaten!AP800&lt;&gt;""),IF(Programme_Grunddaten!AP800="Ja",1,0),"")</f>
        <v/>
      </c>
      <c r="AI795" s="1" t="str">
        <f>IF(AND(Programme_Grunddaten!$A800="Geprüft",Programme_Grunddaten!AQ800&lt;&gt;""),IF(Programme_Grunddaten!AQ800="Ja",1,0),"")</f>
        <v/>
      </c>
      <c r="AJ795" s="1" t="str">
        <f>IF(AND(Programme_Grunddaten!$A800="Geprüft",Programme_Grunddaten!AR800&lt;&gt;""),IF(Programme_Grunddaten!AR800="Ja",1,0),"")</f>
        <v/>
      </c>
      <c r="AK795" s="1" t="str">
        <f>IF(AND(Programme_Grunddaten!$A800="Geprüft",Programme_Grunddaten!AS800&lt;&gt;""),IF(Programme_Grunddaten!AS800="Ja",1,0),"")</f>
        <v/>
      </c>
      <c r="AL795" s="1" t="str">
        <f>IF(AND(Programme_Grunddaten!$A800="Geprüft",Programme_Grunddaten!AT800&lt;&gt;""),IF(Programme_Grunddaten!AT800="Ja",1,0),"")</f>
        <v/>
      </c>
      <c r="AM795" s="1" t="str">
        <f>IF(AND(Programme_Grunddaten!$A800="Geprüft",Programme_Grunddaten!AU800&lt;&gt;""),IF(Programme_Grunddaten!AU800="Ja",1,0),"")</f>
        <v/>
      </c>
      <c r="AN795" s="1" t="str">
        <f>IF(AND(Programme_Grunddaten!$A800="Geprüft",Programme_Grunddaten!AV800&lt;&gt;""),IF(Programme_Grunddaten!AV800="Ja",1,0),"")</f>
        <v/>
      </c>
    </row>
    <row r="796" spans="1:40" x14ac:dyDescent="0.3">
      <c r="A796" s="1" t="str">
        <f>IF(AND(Programme_Grunddaten!A801="Geprüft",Programme_Grunddaten!B801&lt;&gt;""),Programme_Grunddaten!B801,"")</f>
        <v/>
      </c>
      <c r="B796" s="1" t="str">
        <f>IF(AND(Programme_Grunddaten!$A801="Geprüft",Programme_Grunddaten!I801&lt;&gt;""),IF(Programme_Grunddaten!I801="Ja",1,0),"")</f>
        <v/>
      </c>
      <c r="C796" s="1" t="str">
        <f>IF(AND(Programme_Grunddaten!$A801="Geprüft",Programme_Grunddaten!J801&lt;&gt;""),IF(Programme_Grunddaten!J801="Ja",1,0),"")</f>
        <v/>
      </c>
      <c r="D796" s="1" t="str">
        <f>IF(AND(Programme_Grunddaten!$A801="Geprüft",Programme_Grunddaten!K801&lt;&gt;""),IF(Programme_Grunddaten!K801="Ja",1,0),"")</f>
        <v/>
      </c>
      <c r="E796" s="1" t="str">
        <f>IF(AND(Programme_Grunddaten!$A801="Geprüft",Programme_Grunddaten!L801&lt;&gt;""),IF(Programme_Grunddaten!L801="Abo / befristete Lizenz",1,0),"")</f>
        <v/>
      </c>
      <c r="F796" s="1" t="str">
        <f>IF(AND(Programme_Grunddaten!$A801="Geprüft",Programme_Grunddaten!M801&lt;&gt;""),IF(Programme_Grunddaten!M801="Ja",1,0),"")</f>
        <v/>
      </c>
      <c r="G796" s="1" t="str">
        <f>IF(AND(Programme_Grunddaten!$A801="Geprüft",Programme_Grunddaten!N801&lt;&gt;""),IF(Programme_Grunddaten!N801="Ja",1,0),"")</f>
        <v/>
      </c>
      <c r="H796" s="1" t="str">
        <f>IF(AND(Programme_Grunddaten!$A801="Geprüft",Programme_Grunddaten!O801&lt;&gt;""),IF(Programme_Grunddaten!O801="Deutschland",0,IF(Programme_Grunddaten!O801="EU",1,2)),"")</f>
        <v/>
      </c>
      <c r="I796" s="1" t="str">
        <f>IF(AND(Programme_Grunddaten!$A801="Geprüft",Programme_Grunddaten!P801&lt;&gt;""),IF(Programme_Grunddaten!P801="Ja",1,0),"")</f>
        <v/>
      </c>
      <c r="J796" s="1" t="str">
        <f>IF(AND(Programme_Grunddaten!$A801="Geprüft",Programme_Grunddaten!Q801&lt;&gt;""),IF(Programme_Grunddaten!Q801="geschlossenes System",1,0),"")</f>
        <v/>
      </c>
      <c r="K796" s="1" t="str">
        <f>IF(AND(Programme_Grunddaten!$A801="Geprüft",Programme_Grunddaten!R801&lt;&gt;""),IF(Programme_Grunddaten!R801="Ja",1,0),"")</f>
        <v/>
      </c>
      <c r="L796" s="1" t="str">
        <f>IF(AND(Programme_Grunddaten!$A801="Geprüft",Programme_Grunddaten!T801&lt;&gt;""),IF(Programme_Grunddaten!T801="Ja",1,0),"")</f>
        <v/>
      </c>
      <c r="M796" s="1" t="str">
        <f>IF(AND(Programme_Grunddaten!$A801="Geprüft",Programme_Grunddaten!U801&lt;&gt;""),IF(Programme_Grunddaten!U801="Ja",1,0),"")</f>
        <v/>
      </c>
      <c r="N796" s="1" t="str">
        <f>IF(AND(Programme_Grunddaten!$A801="Geprüft",Programme_Grunddaten!V801&lt;&gt;""),IF(Programme_Grunddaten!V801="Ja",1,0),"")</f>
        <v/>
      </c>
      <c r="O796" s="1" t="str">
        <f>IF(AND(Programme_Grunddaten!$A801="Geprüft",Programme_Grunddaten!W801&lt;&gt;""),IF(Programme_Grunddaten!W801="Ja",1,0),"")</f>
        <v/>
      </c>
      <c r="P796" s="1" t="str">
        <f>IF(AND(Programme_Grunddaten!$A801="Geprüft",Programme_Grunddaten!X801&lt;&gt;""),IF(Programme_Grunddaten!X801="Ja",1,0),"")</f>
        <v/>
      </c>
      <c r="Q796" s="1" t="str">
        <f>IF(AND(Programme_Grunddaten!$A801="Geprüft",Programme_Grunddaten!Y801&lt;&gt;""),IF(Programme_Grunddaten!Y801="Ja",1,0),"")</f>
        <v/>
      </c>
      <c r="R796" s="1" t="str">
        <f>IF(AND(Programme_Grunddaten!$A801="Geprüft",Programme_Grunddaten!Z801&lt;&gt;""),IF(Programme_Grunddaten!Z801="Ja",1,0),"")</f>
        <v/>
      </c>
      <c r="S796" s="1" t="str">
        <f>IF(AND(Programme_Grunddaten!$A801="Geprüft",Programme_Grunddaten!AA801&lt;&gt;""),IF(Programme_Grunddaten!AA801="monolithisch",1,0),"")</f>
        <v/>
      </c>
      <c r="T796" s="1" t="str">
        <f>IF(AND(Programme_Grunddaten!$A801="Geprüft",Programme_Grunddaten!AB801&lt;&gt;""),IF(Programme_Grunddaten!AB801="Ja",1,0),"")</f>
        <v/>
      </c>
      <c r="U796" s="1" t="str">
        <f>IF(AND(Programme_Grunddaten!$A801="Geprüft",Programme_Grunddaten!AC801&lt;&gt;""),IF(Programme_Grunddaten!AC801="Ja",1,0),"")</f>
        <v/>
      </c>
      <c r="V796" s="1" t="str">
        <f>IF(AND(Programme_Grunddaten!$A801="Geprüft",Programme_Grunddaten!AD801&lt;&gt;""),IF(Programme_Grunddaten!AD801="Ja",1,0),"")</f>
        <v/>
      </c>
      <c r="W796" s="1" t="str">
        <f>IF(AND(Programme_Grunddaten!$A801="Geprüft",Programme_Grunddaten!AE801&lt;&gt;""),IF(Programme_Grunddaten!AE801="Ja",1,0),"")</f>
        <v/>
      </c>
      <c r="X796" s="1" t="str">
        <f>IF(AND(Programme_Grunddaten!$A801="Geprüft",Programme_Grunddaten!AF801&lt;&gt;""),IF(Programme_Grunddaten!AF801="Ja",1,0),"")</f>
        <v/>
      </c>
      <c r="Y796" s="1" t="str">
        <f>IF(AND(Programme_Grunddaten!$A801="Geprüft",Programme_Grunddaten!AG801&lt;&gt;""),IF(Programme_Grunddaten!AG801="Ja",1,0),"")</f>
        <v/>
      </c>
      <c r="Z796" s="1" t="str">
        <f>IF(AND(Programme_Grunddaten!$A801="Geprüft",Programme_Grunddaten!AH801&lt;&gt;""),IF(Programme_Grunddaten!AH801="Ja",1,0),"")</f>
        <v/>
      </c>
      <c r="AA796" s="1" t="str">
        <f>IF(AND(Programme_Grunddaten!$A801="Geprüft",Programme_Grunddaten!AI801&lt;&gt;""),IF(Programme_Grunddaten!AI801="Ja",1,0),"")</f>
        <v/>
      </c>
      <c r="AB796" s="1" t="str">
        <f>IF(AND(Programme_Grunddaten!$A801="Geprüft",Programme_Grunddaten!AJ801&lt;&gt;""),IF(Programme_Grunddaten!AJ801="individuell programmierbar",1,0),"")</f>
        <v/>
      </c>
      <c r="AC796" s="1" t="str">
        <f>IF(AND(Programme_Grunddaten!$A801="Geprüft",Programme_Grunddaten!AK801&lt;&gt;""),IF(Programme_Grunddaten!AK801="Deutsch",0,IF(Programme_Grunddaten!AK801="Deutsch und Englisch",1,2)),"")</f>
        <v/>
      </c>
      <c r="AD796" s="1" t="str">
        <f>IF(AND(Programme_Grunddaten!$A801="Geprüft",Programme_Grunddaten!AL801&lt;&gt;""),IF(Programme_Grunddaten!AL801="Ja",1,0),"")</f>
        <v/>
      </c>
      <c r="AE796" s="1" t="str">
        <f>IF(AND(Programme_Grunddaten!$A801="Geprüft",Programme_Grunddaten!AM801&lt;&gt;""),IF(Programme_Grunddaten!AM801="Ja",1,0),"")</f>
        <v/>
      </c>
      <c r="AF796" s="1" t="str">
        <f>IF(AND(Programme_Grunddaten!$A801="Geprüft",Programme_Grunddaten!AN801&lt;&gt;""),IF(Programme_Grunddaten!AN801="Ja",1,0),"")</f>
        <v/>
      </c>
      <c r="AG796" s="1" t="str">
        <f>IF(AND(Programme_Grunddaten!$A801="Geprüft",Programme_Grunddaten!AO801&lt;&gt;""),IF(Programme_Grunddaten!AO801="Ja",1,0),"")</f>
        <v/>
      </c>
      <c r="AH796" s="1" t="str">
        <f>IF(AND(Programme_Grunddaten!$A801="Geprüft",Programme_Grunddaten!AP801&lt;&gt;""),IF(Programme_Grunddaten!AP801="Ja",1,0),"")</f>
        <v/>
      </c>
      <c r="AI796" s="1" t="str">
        <f>IF(AND(Programme_Grunddaten!$A801="Geprüft",Programme_Grunddaten!AQ801&lt;&gt;""),IF(Programme_Grunddaten!AQ801="Ja",1,0),"")</f>
        <v/>
      </c>
      <c r="AJ796" s="1" t="str">
        <f>IF(AND(Programme_Grunddaten!$A801="Geprüft",Programme_Grunddaten!AR801&lt;&gt;""),IF(Programme_Grunddaten!AR801="Ja",1,0),"")</f>
        <v/>
      </c>
      <c r="AK796" s="1" t="str">
        <f>IF(AND(Programme_Grunddaten!$A801="Geprüft",Programme_Grunddaten!AS801&lt;&gt;""),IF(Programme_Grunddaten!AS801="Ja",1,0),"")</f>
        <v/>
      </c>
      <c r="AL796" s="1" t="str">
        <f>IF(AND(Programme_Grunddaten!$A801="Geprüft",Programme_Grunddaten!AT801&lt;&gt;""),IF(Programme_Grunddaten!AT801="Ja",1,0),"")</f>
        <v/>
      </c>
      <c r="AM796" s="1" t="str">
        <f>IF(AND(Programme_Grunddaten!$A801="Geprüft",Programme_Grunddaten!AU801&lt;&gt;""),IF(Programme_Grunddaten!AU801="Ja",1,0),"")</f>
        <v/>
      </c>
      <c r="AN796" s="1" t="str">
        <f>IF(AND(Programme_Grunddaten!$A801="Geprüft",Programme_Grunddaten!AV801&lt;&gt;""),IF(Programme_Grunddaten!AV801="Ja",1,0),"")</f>
        <v/>
      </c>
    </row>
    <row r="797" spans="1:40" x14ac:dyDescent="0.3">
      <c r="A797" s="1" t="str">
        <f>IF(AND(Programme_Grunddaten!A802="Geprüft",Programme_Grunddaten!B802&lt;&gt;""),Programme_Grunddaten!B802,"")</f>
        <v/>
      </c>
      <c r="B797" s="1" t="str">
        <f>IF(AND(Programme_Grunddaten!$A802="Geprüft",Programme_Grunddaten!I802&lt;&gt;""),IF(Programme_Grunddaten!I802="Ja",1,0),"")</f>
        <v/>
      </c>
      <c r="C797" s="1" t="str">
        <f>IF(AND(Programme_Grunddaten!$A802="Geprüft",Programme_Grunddaten!J802&lt;&gt;""),IF(Programme_Grunddaten!J802="Ja",1,0),"")</f>
        <v/>
      </c>
      <c r="D797" s="1" t="str">
        <f>IF(AND(Programme_Grunddaten!$A802="Geprüft",Programme_Grunddaten!K802&lt;&gt;""),IF(Programme_Grunddaten!K802="Ja",1,0),"")</f>
        <v/>
      </c>
      <c r="E797" s="1" t="str">
        <f>IF(AND(Programme_Grunddaten!$A802="Geprüft",Programme_Grunddaten!L802&lt;&gt;""),IF(Programme_Grunddaten!L802="Abo / befristete Lizenz",1,0),"")</f>
        <v/>
      </c>
      <c r="F797" s="1" t="str">
        <f>IF(AND(Programme_Grunddaten!$A802="Geprüft",Programme_Grunddaten!M802&lt;&gt;""),IF(Programme_Grunddaten!M802="Ja",1,0),"")</f>
        <v/>
      </c>
      <c r="G797" s="1" t="str">
        <f>IF(AND(Programme_Grunddaten!$A802="Geprüft",Programme_Grunddaten!N802&lt;&gt;""),IF(Programme_Grunddaten!N802="Ja",1,0),"")</f>
        <v/>
      </c>
      <c r="H797" s="1" t="str">
        <f>IF(AND(Programme_Grunddaten!$A802="Geprüft",Programme_Grunddaten!O802&lt;&gt;""),IF(Programme_Grunddaten!O802="Deutschland",0,IF(Programme_Grunddaten!O802="EU",1,2)),"")</f>
        <v/>
      </c>
      <c r="I797" s="1" t="str">
        <f>IF(AND(Programme_Grunddaten!$A802="Geprüft",Programme_Grunddaten!P802&lt;&gt;""),IF(Programme_Grunddaten!P802="Ja",1,0),"")</f>
        <v/>
      </c>
      <c r="J797" s="1" t="str">
        <f>IF(AND(Programme_Grunddaten!$A802="Geprüft",Programme_Grunddaten!Q802&lt;&gt;""),IF(Programme_Grunddaten!Q802="geschlossenes System",1,0),"")</f>
        <v/>
      </c>
      <c r="K797" s="1" t="str">
        <f>IF(AND(Programme_Grunddaten!$A802="Geprüft",Programme_Grunddaten!R802&lt;&gt;""),IF(Programme_Grunddaten!R802="Ja",1,0),"")</f>
        <v/>
      </c>
      <c r="L797" s="1" t="str">
        <f>IF(AND(Programme_Grunddaten!$A802="Geprüft",Programme_Grunddaten!T802&lt;&gt;""),IF(Programme_Grunddaten!T802="Ja",1,0),"")</f>
        <v/>
      </c>
      <c r="M797" s="1" t="str">
        <f>IF(AND(Programme_Grunddaten!$A802="Geprüft",Programme_Grunddaten!U802&lt;&gt;""),IF(Programme_Grunddaten!U802="Ja",1,0),"")</f>
        <v/>
      </c>
      <c r="N797" s="1" t="str">
        <f>IF(AND(Programme_Grunddaten!$A802="Geprüft",Programme_Grunddaten!V802&lt;&gt;""),IF(Programme_Grunddaten!V802="Ja",1,0),"")</f>
        <v/>
      </c>
      <c r="O797" s="1" t="str">
        <f>IF(AND(Programme_Grunddaten!$A802="Geprüft",Programme_Grunddaten!W802&lt;&gt;""),IF(Programme_Grunddaten!W802="Ja",1,0),"")</f>
        <v/>
      </c>
      <c r="P797" s="1" t="str">
        <f>IF(AND(Programme_Grunddaten!$A802="Geprüft",Programme_Grunddaten!X802&lt;&gt;""),IF(Programme_Grunddaten!X802="Ja",1,0),"")</f>
        <v/>
      </c>
      <c r="Q797" s="1" t="str">
        <f>IF(AND(Programme_Grunddaten!$A802="Geprüft",Programme_Grunddaten!Y802&lt;&gt;""),IF(Programme_Grunddaten!Y802="Ja",1,0),"")</f>
        <v/>
      </c>
      <c r="R797" s="1" t="str">
        <f>IF(AND(Programme_Grunddaten!$A802="Geprüft",Programme_Grunddaten!Z802&lt;&gt;""),IF(Programme_Grunddaten!Z802="Ja",1,0),"")</f>
        <v/>
      </c>
      <c r="S797" s="1" t="str">
        <f>IF(AND(Programme_Grunddaten!$A802="Geprüft",Programme_Grunddaten!AA802&lt;&gt;""),IF(Programme_Grunddaten!AA802="monolithisch",1,0),"")</f>
        <v/>
      </c>
      <c r="T797" s="1" t="str">
        <f>IF(AND(Programme_Grunddaten!$A802="Geprüft",Programme_Grunddaten!AB802&lt;&gt;""),IF(Programme_Grunddaten!AB802="Ja",1,0),"")</f>
        <v/>
      </c>
      <c r="U797" s="1" t="str">
        <f>IF(AND(Programme_Grunddaten!$A802="Geprüft",Programme_Grunddaten!AC802&lt;&gt;""),IF(Programme_Grunddaten!AC802="Ja",1,0),"")</f>
        <v/>
      </c>
      <c r="V797" s="1" t="str">
        <f>IF(AND(Programme_Grunddaten!$A802="Geprüft",Programme_Grunddaten!AD802&lt;&gt;""),IF(Programme_Grunddaten!AD802="Ja",1,0),"")</f>
        <v/>
      </c>
      <c r="W797" s="1" t="str">
        <f>IF(AND(Programme_Grunddaten!$A802="Geprüft",Programme_Grunddaten!AE802&lt;&gt;""),IF(Programme_Grunddaten!AE802="Ja",1,0),"")</f>
        <v/>
      </c>
      <c r="X797" s="1" t="str">
        <f>IF(AND(Programme_Grunddaten!$A802="Geprüft",Programme_Grunddaten!AF802&lt;&gt;""),IF(Programme_Grunddaten!AF802="Ja",1,0),"")</f>
        <v/>
      </c>
      <c r="Y797" s="1" t="str">
        <f>IF(AND(Programme_Grunddaten!$A802="Geprüft",Programme_Grunddaten!AG802&lt;&gt;""),IF(Programme_Grunddaten!AG802="Ja",1,0),"")</f>
        <v/>
      </c>
      <c r="Z797" s="1" t="str">
        <f>IF(AND(Programme_Grunddaten!$A802="Geprüft",Programme_Grunddaten!AH802&lt;&gt;""),IF(Programme_Grunddaten!AH802="Ja",1,0),"")</f>
        <v/>
      </c>
      <c r="AA797" s="1" t="str">
        <f>IF(AND(Programme_Grunddaten!$A802="Geprüft",Programme_Grunddaten!AI802&lt;&gt;""),IF(Programme_Grunddaten!AI802="Ja",1,0),"")</f>
        <v/>
      </c>
      <c r="AB797" s="1" t="str">
        <f>IF(AND(Programme_Grunddaten!$A802="Geprüft",Programme_Grunddaten!AJ802&lt;&gt;""),IF(Programme_Grunddaten!AJ802="individuell programmierbar",1,0),"")</f>
        <v/>
      </c>
      <c r="AC797" s="1" t="str">
        <f>IF(AND(Programme_Grunddaten!$A802="Geprüft",Programme_Grunddaten!AK802&lt;&gt;""),IF(Programme_Grunddaten!AK802="Deutsch",0,IF(Programme_Grunddaten!AK802="Deutsch und Englisch",1,2)),"")</f>
        <v/>
      </c>
      <c r="AD797" s="1" t="str">
        <f>IF(AND(Programme_Grunddaten!$A802="Geprüft",Programme_Grunddaten!AL802&lt;&gt;""),IF(Programme_Grunddaten!AL802="Ja",1,0),"")</f>
        <v/>
      </c>
      <c r="AE797" s="1" t="str">
        <f>IF(AND(Programme_Grunddaten!$A802="Geprüft",Programme_Grunddaten!AM802&lt;&gt;""),IF(Programme_Grunddaten!AM802="Ja",1,0),"")</f>
        <v/>
      </c>
      <c r="AF797" s="1" t="str">
        <f>IF(AND(Programme_Grunddaten!$A802="Geprüft",Programme_Grunddaten!AN802&lt;&gt;""),IF(Programme_Grunddaten!AN802="Ja",1,0),"")</f>
        <v/>
      </c>
      <c r="AG797" s="1" t="str">
        <f>IF(AND(Programme_Grunddaten!$A802="Geprüft",Programme_Grunddaten!AO802&lt;&gt;""),IF(Programme_Grunddaten!AO802="Ja",1,0),"")</f>
        <v/>
      </c>
      <c r="AH797" s="1" t="str">
        <f>IF(AND(Programme_Grunddaten!$A802="Geprüft",Programme_Grunddaten!AP802&lt;&gt;""),IF(Programme_Grunddaten!AP802="Ja",1,0),"")</f>
        <v/>
      </c>
      <c r="AI797" s="1" t="str">
        <f>IF(AND(Programme_Grunddaten!$A802="Geprüft",Programme_Grunddaten!AQ802&lt;&gt;""),IF(Programme_Grunddaten!AQ802="Ja",1,0),"")</f>
        <v/>
      </c>
      <c r="AJ797" s="1" t="str">
        <f>IF(AND(Programme_Grunddaten!$A802="Geprüft",Programme_Grunddaten!AR802&lt;&gt;""),IF(Programme_Grunddaten!AR802="Ja",1,0),"")</f>
        <v/>
      </c>
      <c r="AK797" s="1" t="str">
        <f>IF(AND(Programme_Grunddaten!$A802="Geprüft",Programme_Grunddaten!AS802&lt;&gt;""),IF(Programme_Grunddaten!AS802="Ja",1,0),"")</f>
        <v/>
      </c>
      <c r="AL797" s="1" t="str">
        <f>IF(AND(Programme_Grunddaten!$A802="Geprüft",Programme_Grunddaten!AT802&lt;&gt;""),IF(Programme_Grunddaten!AT802="Ja",1,0),"")</f>
        <v/>
      </c>
      <c r="AM797" s="1" t="str">
        <f>IF(AND(Programme_Grunddaten!$A802="Geprüft",Programme_Grunddaten!AU802&lt;&gt;""),IF(Programme_Grunddaten!AU802="Ja",1,0),"")</f>
        <v/>
      </c>
      <c r="AN797" s="1" t="str">
        <f>IF(AND(Programme_Grunddaten!$A802="Geprüft",Programme_Grunddaten!AV802&lt;&gt;""),IF(Programme_Grunddaten!AV802="Ja",1,0),"")</f>
        <v/>
      </c>
    </row>
    <row r="798" spans="1:40" x14ac:dyDescent="0.3">
      <c r="A798" s="1" t="str">
        <f>IF(AND(Programme_Grunddaten!A803="Geprüft",Programme_Grunddaten!B803&lt;&gt;""),Programme_Grunddaten!B803,"")</f>
        <v/>
      </c>
      <c r="B798" s="1" t="str">
        <f>IF(AND(Programme_Grunddaten!$A803="Geprüft",Programme_Grunddaten!I803&lt;&gt;""),IF(Programme_Grunddaten!I803="Ja",1,0),"")</f>
        <v/>
      </c>
      <c r="C798" s="1" t="str">
        <f>IF(AND(Programme_Grunddaten!$A803="Geprüft",Programme_Grunddaten!J803&lt;&gt;""),IF(Programme_Grunddaten!J803="Ja",1,0),"")</f>
        <v/>
      </c>
      <c r="D798" s="1" t="str">
        <f>IF(AND(Programme_Grunddaten!$A803="Geprüft",Programme_Grunddaten!K803&lt;&gt;""),IF(Programme_Grunddaten!K803="Ja",1,0),"")</f>
        <v/>
      </c>
      <c r="E798" s="1" t="str">
        <f>IF(AND(Programme_Grunddaten!$A803="Geprüft",Programme_Grunddaten!L803&lt;&gt;""),IF(Programme_Grunddaten!L803="Abo / befristete Lizenz",1,0),"")</f>
        <v/>
      </c>
      <c r="F798" s="1" t="str">
        <f>IF(AND(Programme_Grunddaten!$A803="Geprüft",Programme_Grunddaten!M803&lt;&gt;""),IF(Programme_Grunddaten!M803="Ja",1,0),"")</f>
        <v/>
      </c>
      <c r="G798" s="1" t="str">
        <f>IF(AND(Programme_Grunddaten!$A803="Geprüft",Programme_Grunddaten!N803&lt;&gt;""),IF(Programme_Grunddaten!N803="Ja",1,0),"")</f>
        <v/>
      </c>
      <c r="H798" s="1" t="str">
        <f>IF(AND(Programme_Grunddaten!$A803="Geprüft",Programme_Grunddaten!O803&lt;&gt;""),IF(Programme_Grunddaten!O803="Deutschland",0,IF(Programme_Grunddaten!O803="EU",1,2)),"")</f>
        <v/>
      </c>
      <c r="I798" s="1" t="str">
        <f>IF(AND(Programme_Grunddaten!$A803="Geprüft",Programme_Grunddaten!P803&lt;&gt;""),IF(Programme_Grunddaten!P803="Ja",1,0),"")</f>
        <v/>
      </c>
      <c r="J798" s="1" t="str">
        <f>IF(AND(Programme_Grunddaten!$A803="Geprüft",Programme_Grunddaten!Q803&lt;&gt;""),IF(Programme_Grunddaten!Q803="geschlossenes System",1,0),"")</f>
        <v/>
      </c>
      <c r="K798" s="1" t="str">
        <f>IF(AND(Programme_Grunddaten!$A803="Geprüft",Programme_Grunddaten!R803&lt;&gt;""),IF(Programme_Grunddaten!R803="Ja",1,0),"")</f>
        <v/>
      </c>
      <c r="L798" s="1" t="str">
        <f>IF(AND(Programme_Grunddaten!$A803="Geprüft",Programme_Grunddaten!T803&lt;&gt;""),IF(Programme_Grunddaten!T803="Ja",1,0),"")</f>
        <v/>
      </c>
      <c r="M798" s="1" t="str">
        <f>IF(AND(Programme_Grunddaten!$A803="Geprüft",Programme_Grunddaten!U803&lt;&gt;""),IF(Programme_Grunddaten!U803="Ja",1,0),"")</f>
        <v/>
      </c>
      <c r="N798" s="1" t="str">
        <f>IF(AND(Programme_Grunddaten!$A803="Geprüft",Programme_Grunddaten!V803&lt;&gt;""),IF(Programme_Grunddaten!V803="Ja",1,0),"")</f>
        <v/>
      </c>
      <c r="O798" s="1" t="str">
        <f>IF(AND(Programme_Grunddaten!$A803="Geprüft",Programme_Grunddaten!W803&lt;&gt;""),IF(Programme_Grunddaten!W803="Ja",1,0),"")</f>
        <v/>
      </c>
      <c r="P798" s="1" t="str">
        <f>IF(AND(Programme_Grunddaten!$A803="Geprüft",Programme_Grunddaten!X803&lt;&gt;""),IF(Programme_Grunddaten!X803="Ja",1,0),"")</f>
        <v/>
      </c>
      <c r="Q798" s="1" t="str">
        <f>IF(AND(Programme_Grunddaten!$A803="Geprüft",Programme_Grunddaten!Y803&lt;&gt;""),IF(Programme_Grunddaten!Y803="Ja",1,0),"")</f>
        <v/>
      </c>
      <c r="R798" s="1" t="str">
        <f>IF(AND(Programme_Grunddaten!$A803="Geprüft",Programme_Grunddaten!Z803&lt;&gt;""),IF(Programme_Grunddaten!Z803="Ja",1,0),"")</f>
        <v/>
      </c>
      <c r="S798" s="1" t="str">
        <f>IF(AND(Programme_Grunddaten!$A803="Geprüft",Programme_Grunddaten!AA803&lt;&gt;""),IF(Programme_Grunddaten!AA803="monolithisch",1,0),"")</f>
        <v/>
      </c>
      <c r="T798" s="1" t="str">
        <f>IF(AND(Programme_Grunddaten!$A803="Geprüft",Programme_Grunddaten!AB803&lt;&gt;""),IF(Programme_Grunddaten!AB803="Ja",1,0),"")</f>
        <v/>
      </c>
      <c r="U798" s="1" t="str">
        <f>IF(AND(Programme_Grunddaten!$A803="Geprüft",Programme_Grunddaten!AC803&lt;&gt;""),IF(Programme_Grunddaten!AC803="Ja",1,0),"")</f>
        <v/>
      </c>
      <c r="V798" s="1" t="str">
        <f>IF(AND(Programme_Grunddaten!$A803="Geprüft",Programme_Grunddaten!AD803&lt;&gt;""),IF(Programme_Grunddaten!AD803="Ja",1,0),"")</f>
        <v/>
      </c>
      <c r="W798" s="1" t="str">
        <f>IF(AND(Programme_Grunddaten!$A803="Geprüft",Programme_Grunddaten!AE803&lt;&gt;""),IF(Programme_Grunddaten!AE803="Ja",1,0),"")</f>
        <v/>
      </c>
      <c r="X798" s="1" t="str">
        <f>IF(AND(Programme_Grunddaten!$A803="Geprüft",Programme_Grunddaten!AF803&lt;&gt;""),IF(Programme_Grunddaten!AF803="Ja",1,0),"")</f>
        <v/>
      </c>
      <c r="Y798" s="1" t="str">
        <f>IF(AND(Programme_Grunddaten!$A803="Geprüft",Programme_Grunddaten!AG803&lt;&gt;""),IF(Programme_Grunddaten!AG803="Ja",1,0),"")</f>
        <v/>
      </c>
      <c r="Z798" s="1" t="str">
        <f>IF(AND(Programme_Grunddaten!$A803="Geprüft",Programme_Grunddaten!AH803&lt;&gt;""),IF(Programme_Grunddaten!AH803="Ja",1,0),"")</f>
        <v/>
      </c>
      <c r="AA798" s="1" t="str">
        <f>IF(AND(Programme_Grunddaten!$A803="Geprüft",Programme_Grunddaten!AI803&lt;&gt;""),IF(Programme_Grunddaten!AI803="Ja",1,0),"")</f>
        <v/>
      </c>
      <c r="AB798" s="1" t="str">
        <f>IF(AND(Programme_Grunddaten!$A803="Geprüft",Programme_Grunddaten!AJ803&lt;&gt;""),IF(Programme_Grunddaten!AJ803="individuell programmierbar",1,0),"")</f>
        <v/>
      </c>
      <c r="AC798" s="1" t="str">
        <f>IF(AND(Programme_Grunddaten!$A803="Geprüft",Programme_Grunddaten!AK803&lt;&gt;""),IF(Programme_Grunddaten!AK803="Deutsch",0,IF(Programme_Grunddaten!AK803="Deutsch und Englisch",1,2)),"")</f>
        <v/>
      </c>
      <c r="AD798" s="1" t="str">
        <f>IF(AND(Programme_Grunddaten!$A803="Geprüft",Programme_Grunddaten!AL803&lt;&gt;""),IF(Programme_Grunddaten!AL803="Ja",1,0),"")</f>
        <v/>
      </c>
      <c r="AE798" s="1" t="str">
        <f>IF(AND(Programme_Grunddaten!$A803="Geprüft",Programme_Grunddaten!AM803&lt;&gt;""),IF(Programme_Grunddaten!AM803="Ja",1,0),"")</f>
        <v/>
      </c>
      <c r="AF798" s="1" t="str">
        <f>IF(AND(Programme_Grunddaten!$A803="Geprüft",Programme_Grunddaten!AN803&lt;&gt;""),IF(Programme_Grunddaten!AN803="Ja",1,0),"")</f>
        <v/>
      </c>
      <c r="AG798" s="1" t="str">
        <f>IF(AND(Programme_Grunddaten!$A803="Geprüft",Programme_Grunddaten!AO803&lt;&gt;""),IF(Programme_Grunddaten!AO803="Ja",1,0),"")</f>
        <v/>
      </c>
      <c r="AH798" s="1" t="str">
        <f>IF(AND(Programme_Grunddaten!$A803="Geprüft",Programme_Grunddaten!AP803&lt;&gt;""),IF(Programme_Grunddaten!AP803="Ja",1,0),"")</f>
        <v/>
      </c>
      <c r="AI798" s="1" t="str">
        <f>IF(AND(Programme_Grunddaten!$A803="Geprüft",Programme_Grunddaten!AQ803&lt;&gt;""),IF(Programme_Grunddaten!AQ803="Ja",1,0),"")</f>
        <v/>
      </c>
      <c r="AJ798" s="1" t="str">
        <f>IF(AND(Programme_Grunddaten!$A803="Geprüft",Programme_Grunddaten!AR803&lt;&gt;""),IF(Programme_Grunddaten!AR803="Ja",1,0),"")</f>
        <v/>
      </c>
      <c r="AK798" s="1" t="str">
        <f>IF(AND(Programme_Grunddaten!$A803="Geprüft",Programme_Grunddaten!AS803&lt;&gt;""),IF(Programme_Grunddaten!AS803="Ja",1,0),"")</f>
        <v/>
      </c>
      <c r="AL798" s="1" t="str">
        <f>IF(AND(Programme_Grunddaten!$A803="Geprüft",Programme_Grunddaten!AT803&lt;&gt;""),IF(Programme_Grunddaten!AT803="Ja",1,0),"")</f>
        <v/>
      </c>
      <c r="AM798" s="1" t="str">
        <f>IF(AND(Programme_Grunddaten!$A803="Geprüft",Programme_Grunddaten!AU803&lt;&gt;""),IF(Programme_Grunddaten!AU803="Ja",1,0),"")</f>
        <v/>
      </c>
      <c r="AN798" s="1" t="str">
        <f>IF(AND(Programme_Grunddaten!$A803="Geprüft",Programme_Grunddaten!AV803&lt;&gt;""),IF(Programme_Grunddaten!AV803="Ja",1,0),"")</f>
        <v/>
      </c>
    </row>
    <row r="799" spans="1:40" x14ac:dyDescent="0.3">
      <c r="A799" s="1" t="str">
        <f>IF(AND(Programme_Grunddaten!A804="Geprüft",Programme_Grunddaten!B804&lt;&gt;""),Programme_Grunddaten!B804,"")</f>
        <v/>
      </c>
      <c r="B799" s="1" t="str">
        <f>IF(AND(Programme_Grunddaten!$A804="Geprüft",Programme_Grunddaten!I804&lt;&gt;""),IF(Programme_Grunddaten!I804="Ja",1,0),"")</f>
        <v/>
      </c>
      <c r="C799" s="1" t="str">
        <f>IF(AND(Programme_Grunddaten!$A804="Geprüft",Programme_Grunddaten!J804&lt;&gt;""),IF(Programme_Grunddaten!J804="Ja",1,0),"")</f>
        <v/>
      </c>
      <c r="D799" s="1" t="str">
        <f>IF(AND(Programme_Grunddaten!$A804="Geprüft",Programme_Grunddaten!K804&lt;&gt;""),IF(Programme_Grunddaten!K804="Ja",1,0),"")</f>
        <v/>
      </c>
      <c r="E799" s="1" t="str">
        <f>IF(AND(Programme_Grunddaten!$A804="Geprüft",Programme_Grunddaten!L804&lt;&gt;""),IF(Programme_Grunddaten!L804="Abo / befristete Lizenz",1,0),"")</f>
        <v/>
      </c>
      <c r="F799" s="1" t="str">
        <f>IF(AND(Programme_Grunddaten!$A804="Geprüft",Programme_Grunddaten!M804&lt;&gt;""),IF(Programme_Grunddaten!M804="Ja",1,0),"")</f>
        <v/>
      </c>
      <c r="G799" s="1" t="str">
        <f>IF(AND(Programme_Grunddaten!$A804="Geprüft",Programme_Grunddaten!N804&lt;&gt;""),IF(Programme_Grunddaten!N804="Ja",1,0),"")</f>
        <v/>
      </c>
      <c r="H799" s="1" t="str">
        <f>IF(AND(Programme_Grunddaten!$A804="Geprüft",Programme_Grunddaten!O804&lt;&gt;""),IF(Programme_Grunddaten!O804="Deutschland",0,IF(Programme_Grunddaten!O804="EU",1,2)),"")</f>
        <v/>
      </c>
      <c r="I799" s="1" t="str">
        <f>IF(AND(Programme_Grunddaten!$A804="Geprüft",Programme_Grunddaten!P804&lt;&gt;""),IF(Programme_Grunddaten!P804="Ja",1,0),"")</f>
        <v/>
      </c>
      <c r="J799" s="1" t="str">
        <f>IF(AND(Programme_Grunddaten!$A804="Geprüft",Programme_Grunddaten!Q804&lt;&gt;""),IF(Programme_Grunddaten!Q804="geschlossenes System",1,0),"")</f>
        <v/>
      </c>
      <c r="K799" s="1" t="str">
        <f>IF(AND(Programme_Grunddaten!$A804="Geprüft",Programme_Grunddaten!R804&lt;&gt;""),IF(Programme_Grunddaten!R804="Ja",1,0),"")</f>
        <v/>
      </c>
      <c r="L799" s="1" t="str">
        <f>IF(AND(Programme_Grunddaten!$A804="Geprüft",Programme_Grunddaten!T804&lt;&gt;""),IF(Programme_Grunddaten!T804="Ja",1,0),"")</f>
        <v/>
      </c>
      <c r="M799" s="1" t="str">
        <f>IF(AND(Programme_Grunddaten!$A804="Geprüft",Programme_Grunddaten!U804&lt;&gt;""),IF(Programme_Grunddaten!U804="Ja",1,0),"")</f>
        <v/>
      </c>
      <c r="N799" s="1" t="str">
        <f>IF(AND(Programme_Grunddaten!$A804="Geprüft",Programme_Grunddaten!V804&lt;&gt;""),IF(Programme_Grunddaten!V804="Ja",1,0),"")</f>
        <v/>
      </c>
      <c r="O799" s="1" t="str">
        <f>IF(AND(Programme_Grunddaten!$A804="Geprüft",Programme_Grunddaten!W804&lt;&gt;""),IF(Programme_Grunddaten!W804="Ja",1,0),"")</f>
        <v/>
      </c>
      <c r="P799" s="1" t="str">
        <f>IF(AND(Programme_Grunddaten!$A804="Geprüft",Programme_Grunddaten!X804&lt;&gt;""),IF(Programme_Grunddaten!X804="Ja",1,0),"")</f>
        <v/>
      </c>
      <c r="Q799" s="1" t="str">
        <f>IF(AND(Programme_Grunddaten!$A804="Geprüft",Programme_Grunddaten!Y804&lt;&gt;""),IF(Programme_Grunddaten!Y804="Ja",1,0),"")</f>
        <v/>
      </c>
      <c r="R799" s="1" t="str">
        <f>IF(AND(Programme_Grunddaten!$A804="Geprüft",Programme_Grunddaten!Z804&lt;&gt;""),IF(Programme_Grunddaten!Z804="Ja",1,0),"")</f>
        <v/>
      </c>
      <c r="S799" s="1" t="str">
        <f>IF(AND(Programme_Grunddaten!$A804="Geprüft",Programme_Grunddaten!AA804&lt;&gt;""),IF(Programme_Grunddaten!AA804="monolithisch",1,0),"")</f>
        <v/>
      </c>
      <c r="T799" s="1" t="str">
        <f>IF(AND(Programme_Grunddaten!$A804="Geprüft",Programme_Grunddaten!AB804&lt;&gt;""),IF(Programme_Grunddaten!AB804="Ja",1,0),"")</f>
        <v/>
      </c>
      <c r="U799" s="1" t="str">
        <f>IF(AND(Programme_Grunddaten!$A804="Geprüft",Programme_Grunddaten!AC804&lt;&gt;""),IF(Programme_Grunddaten!AC804="Ja",1,0),"")</f>
        <v/>
      </c>
      <c r="V799" s="1" t="str">
        <f>IF(AND(Programme_Grunddaten!$A804="Geprüft",Programme_Grunddaten!AD804&lt;&gt;""),IF(Programme_Grunddaten!AD804="Ja",1,0),"")</f>
        <v/>
      </c>
      <c r="W799" s="1" t="str">
        <f>IF(AND(Programme_Grunddaten!$A804="Geprüft",Programme_Grunddaten!AE804&lt;&gt;""),IF(Programme_Grunddaten!AE804="Ja",1,0),"")</f>
        <v/>
      </c>
      <c r="X799" s="1" t="str">
        <f>IF(AND(Programme_Grunddaten!$A804="Geprüft",Programme_Grunddaten!AF804&lt;&gt;""),IF(Programme_Grunddaten!AF804="Ja",1,0),"")</f>
        <v/>
      </c>
      <c r="Y799" s="1" t="str">
        <f>IF(AND(Programme_Grunddaten!$A804="Geprüft",Programme_Grunddaten!AG804&lt;&gt;""),IF(Programme_Grunddaten!AG804="Ja",1,0),"")</f>
        <v/>
      </c>
      <c r="Z799" s="1" t="str">
        <f>IF(AND(Programme_Grunddaten!$A804="Geprüft",Programme_Grunddaten!AH804&lt;&gt;""),IF(Programme_Grunddaten!AH804="Ja",1,0),"")</f>
        <v/>
      </c>
      <c r="AA799" s="1" t="str">
        <f>IF(AND(Programme_Grunddaten!$A804="Geprüft",Programme_Grunddaten!AI804&lt;&gt;""),IF(Programme_Grunddaten!AI804="Ja",1,0),"")</f>
        <v/>
      </c>
      <c r="AB799" s="1" t="str">
        <f>IF(AND(Programme_Grunddaten!$A804="Geprüft",Programme_Grunddaten!AJ804&lt;&gt;""),IF(Programme_Grunddaten!AJ804="individuell programmierbar",1,0),"")</f>
        <v/>
      </c>
      <c r="AC799" s="1" t="str">
        <f>IF(AND(Programme_Grunddaten!$A804="Geprüft",Programme_Grunddaten!AK804&lt;&gt;""),IF(Programme_Grunddaten!AK804="Deutsch",0,IF(Programme_Grunddaten!AK804="Deutsch und Englisch",1,2)),"")</f>
        <v/>
      </c>
      <c r="AD799" s="1" t="str">
        <f>IF(AND(Programme_Grunddaten!$A804="Geprüft",Programme_Grunddaten!AL804&lt;&gt;""),IF(Programme_Grunddaten!AL804="Ja",1,0),"")</f>
        <v/>
      </c>
      <c r="AE799" s="1" t="str">
        <f>IF(AND(Programme_Grunddaten!$A804="Geprüft",Programme_Grunddaten!AM804&lt;&gt;""),IF(Programme_Grunddaten!AM804="Ja",1,0),"")</f>
        <v/>
      </c>
      <c r="AF799" s="1" t="str">
        <f>IF(AND(Programme_Grunddaten!$A804="Geprüft",Programme_Grunddaten!AN804&lt;&gt;""),IF(Programme_Grunddaten!AN804="Ja",1,0),"")</f>
        <v/>
      </c>
      <c r="AG799" s="1" t="str">
        <f>IF(AND(Programme_Grunddaten!$A804="Geprüft",Programme_Grunddaten!AO804&lt;&gt;""),IF(Programme_Grunddaten!AO804="Ja",1,0),"")</f>
        <v/>
      </c>
      <c r="AH799" s="1" t="str">
        <f>IF(AND(Programme_Grunddaten!$A804="Geprüft",Programme_Grunddaten!AP804&lt;&gt;""),IF(Programme_Grunddaten!AP804="Ja",1,0),"")</f>
        <v/>
      </c>
      <c r="AI799" s="1" t="str">
        <f>IF(AND(Programme_Grunddaten!$A804="Geprüft",Programme_Grunddaten!AQ804&lt;&gt;""),IF(Programme_Grunddaten!AQ804="Ja",1,0),"")</f>
        <v/>
      </c>
      <c r="AJ799" s="1" t="str">
        <f>IF(AND(Programme_Grunddaten!$A804="Geprüft",Programme_Grunddaten!AR804&lt;&gt;""),IF(Programme_Grunddaten!AR804="Ja",1,0),"")</f>
        <v/>
      </c>
      <c r="AK799" s="1" t="str">
        <f>IF(AND(Programme_Grunddaten!$A804="Geprüft",Programme_Grunddaten!AS804&lt;&gt;""),IF(Programme_Grunddaten!AS804="Ja",1,0),"")</f>
        <v/>
      </c>
      <c r="AL799" s="1" t="str">
        <f>IF(AND(Programme_Grunddaten!$A804="Geprüft",Programme_Grunddaten!AT804&lt;&gt;""),IF(Programme_Grunddaten!AT804="Ja",1,0),"")</f>
        <v/>
      </c>
      <c r="AM799" s="1" t="str">
        <f>IF(AND(Programme_Grunddaten!$A804="Geprüft",Programme_Grunddaten!AU804&lt;&gt;""),IF(Programme_Grunddaten!AU804="Ja",1,0),"")</f>
        <v/>
      </c>
      <c r="AN799" s="1" t="str">
        <f>IF(AND(Programme_Grunddaten!$A804="Geprüft",Programme_Grunddaten!AV804&lt;&gt;""),IF(Programme_Grunddaten!AV804="Ja",1,0),"")</f>
        <v/>
      </c>
    </row>
    <row r="800" spans="1:40" x14ac:dyDescent="0.3">
      <c r="A800" s="1" t="str">
        <f>IF(AND(Programme_Grunddaten!A805="Geprüft",Programme_Grunddaten!B805&lt;&gt;""),Programme_Grunddaten!B805,"")</f>
        <v/>
      </c>
      <c r="B800" s="1" t="str">
        <f>IF(AND(Programme_Grunddaten!$A805="Geprüft",Programme_Grunddaten!I805&lt;&gt;""),IF(Programme_Grunddaten!I805="Ja",1,0),"")</f>
        <v/>
      </c>
      <c r="C800" s="1" t="str">
        <f>IF(AND(Programme_Grunddaten!$A805="Geprüft",Programme_Grunddaten!J805&lt;&gt;""),IF(Programme_Grunddaten!J805="Ja",1,0),"")</f>
        <v/>
      </c>
      <c r="D800" s="1" t="str">
        <f>IF(AND(Programme_Grunddaten!$A805="Geprüft",Programme_Grunddaten!K805&lt;&gt;""),IF(Programme_Grunddaten!K805="Ja",1,0),"")</f>
        <v/>
      </c>
      <c r="E800" s="1" t="str">
        <f>IF(AND(Programme_Grunddaten!$A805="Geprüft",Programme_Grunddaten!L805&lt;&gt;""),IF(Programme_Grunddaten!L805="Abo / befristete Lizenz",1,0),"")</f>
        <v/>
      </c>
      <c r="F800" s="1" t="str">
        <f>IF(AND(Programme_Grunddaten!$A805="Geprüft",Programme_Grunddaten!M805&lt;&gt;""),IF(Programme_Grunddaten!M805="Ja",1,0),"")</f>
        <v/>
      </c>
      <c r="G800" s="1" t="str">
        <f>IF(AND(Programme_Grunddaten!$A805="Geprüft",Programme_Grunddaten!N805&lt;&gt;""),IF(Programme_Grunddaten!N805="Ja",1,0),"")</f>
        <v/>
      </c>
      <c r="H800" s="1" t="str">
        <f>IF(AND(Programme_Grunddaten!$A805="Geprüft",Programme_Grunddaten!O805&lt;&gt;""),IF(Programme_Grunddaten!O805="Deutschland",0,IF(Programme_Grunddaten!O805="EU",1,2)),"")</f>
        <v/>
      </c>
      <c r="I800" s="1" t="str">
        <f>IF(AND(Programme_Grunddaten!$A805="Geprüft",Programme_Grunddaten!P805&lt;&gt;""),IF(Programme_Grunddaten!P805="Ja",1,0),"")</f>
        <v/>
      </c>
      <c r="J800" s="1" t="str">
        <f>IF(AND(Programme_Grunddaten!$A805="Geprüft",Programme_Grunddaten!Q805&lt;&gt;""),IF(Programme_Grunddaten!Q805="geschlossenes System",1,0),"")</f>
        <v/>
      </c>
      <c r="K800" s="1" t="str">
        <f>IF(AND(Programme_Grunddaten!$A805="Geprüft",Programme_Grunddaten!R805&lt;&gt;""),IF(Programme_Grunddaten!R805="Ja",1,0),"")</f>
        <v/>
      </c>
      <c r="L800" s="1" t="str">
        <f>IF(AND(Programme_Grunddaten!$A805="Geprüft",Programme_Grunddaten!T805&lt;&gt;""),IF(Programme_Grunddaten!T805="Ja",1,0),"")</f>
        <v/>
      </c>
      <c r="M800" s="1" t="str">
        <f>IF(AND(Programme_Grunddaten!$A805="Geprüft",Programme_Grunddaten!U805&lt;&gt;""),IF(Programme_Grunddaten!U805="Ja",1,0),"")</f>
        <v/>
      </c>
      <c r="N800" s="1" t="str">
        <f>IF(AND(Programme_Grunddaten!$A805="Geprüft",Programme_Grunddaten!V805&lt;&gt;""),IF(Programme_Grunddaten!V805="Ja",1,0),"")</f>
        <v/>
      </c>
      <c r="O800" s="1" t="str">
        <f>IF(AND(Programme_Grunddaten!$A805="Geprüft",Programme_Grunddaten!W805&lt;&gt;""),IF(Programme_Grunddaten!W805="Ja",1,0),"")</f>
        <v/>
      </c>
      <c r="P800" s="1" t="str">
        <f>IF(AND(Programme_Grunddaten!$A805="Geprüft",Programme_Grunddaten!X805&lt;&gt;""),IF(Programme_Grunddaten!X805="Ja",1,0),"")</f>
        <v/>
      </c>
      <c r="Q800" s="1" t="str">
        <f>IF(AND(Programme_Grunddaten!$A805="Geprüft",Programme_Grunddaten!Y805&lt;&gt;""),IF(Programme_Grunddaten!Y805="Ja",1,0),"")</f>
        <v/>
      </c>
      <c r="R800" s="1" t="str">
        <f>IF(AND(Programme_Grunddaten!$A805="Geprüft",Programme_Grunddaten!Z805&lt;&gt;""),IF(Programme_Grunddaten!Z805="Ja",1,0),"")</f>
        <v/>
      </c>
      <c r="S800" s="1" t="str">
        <f>IF(AND(Programme_Grunddaten!$A805="Geprüft",Programme_Grunddaten!AA805&lt;&gt;""),IF(Programme_Grunddaten!AA805="monolithisch",1,0),"")</f>
        <v/>
      </c>
      <c r="T800" s="1" t="str">
        <f>IF(AND(Programme_Grunddaten!$A805="Geprüft",Programme_Grunddaten!AB805&lt;&gt;""),IF(Programme_Grunddaten!AB805="Ja",1,0),"")</f>
        <v/>
      </c>
      <c r="U800" s="1" t="str">
        <f>IF(AND(Programme_Grunddaten!$A805="Geprüft",Programme_Grunddaten!AC805&lt;&gt;""),IF(Programme_Grunddaten!AC805="Ja",1,0),"")</f>
        <v/>
      </c>
      <c r="V800" s="1" t="str">
        <f>IF(AND(Programme_Grunddaten!$A805="Geprüft",Programme_Grunddaten!AD805&lt;&gt;""),IF(Programme_Grunddaten!AD805="Ja",1,0),"")</f>
        <v/>
      </c>
      <c r="W800" s="1" t="str">
        <f>IF(AND(Programme_Grunddaten!$A805="Geprüft",Programme_Grunddaten!AE805&lt;&gt;""),IF(Programme_Grunddaten!AE805="Ja",1,0),"")</f>
        <v/>
      </c>
      <c r="X800" s="1" t="str">
        <f>IF(AND(Programme_Grunddaten!$A805="Geprüft",Programme_Grunddaten!AF805&lt;&gt;""),IF(Programme_Grunddaten!AF805="Ja",1,0),"")</f>
        <v/>
      </c>
      <c r="Y800" s="1" t="str">
        <f>IF(AND(Programme_Grunddaten!$A805="Geprüft",Programme_Grunddaten!AG805&lt;&gt;""),IF(Programme_Grunddaten!AG805="Ja",1,0),"")</f>
        <v/>
      </c>
      <c r="Z800" s="1" t="str">
        <f>IF(AND(Programme_Grunddaten!$A805="Geprüft",Programme_Grunddaten!AH805&lt;&gt;""),IF(Programme_Grunddaten!AH805="Ja",1,0),"")</f>
        <v/>
      </c>
      <c r="AA800" s="1" t="str">
        <f>IF(AND(Programme_Grunddaten!$A805="Geprüft",Programme_Grunddaten!AI805&lt;&gt;""),IF(Programme_Grunddaten!AI805="Ja",1,0),"")</f>
        <v/>
      </c>
      <c r="AB800" s="1" t="str">
        <f>IF(AND(Programme_Grunddaten!$A805="Geprüft",Programme_Grunddaten!AJ805&lt;&gt;""),IF(Programme_Grunddaten!AJ805="individuell programmierbar",1,0),"")</f>
        <v/>
      </c>
      <c r="AC800" s="1" t="str">
        <f>IF(AND(Programme_Grunddaten!$A805="Geprüft",Programme_Grunddaten!AK805&lt;&gt;""),IF(Programme_Grunddaten!AK805="Deutsch",0,IF(Programme_Grunddaten!AK805="Deutsch und Englisch",1,2)),"")</f>
        <v/>
      </c>
      <c r="AD800" s="1" t="str">
        <f>IF(AND(Programme_Grunddaten!$A805="Geprüft",Programme_Grunddaten!AL805&lt;&gt;""),IF(Programme_Grunddaten!AL805="Ja",1,0),"")</f>
        <v/>
      </c>
      <c r="AE800" s="1" t="str">
        <f>IF(AND(Programme_Grunddaten!$A805="Geprüft",Programme_Grunddaten!AM805&lt;&gt;""),IF(Programme_Grunddaten!AM805="Ja",1,0),"")</f>
        <v/>
      </c>
      <c r="AF800" s="1" t="str">
        <f>IF(AND(Programme_Grunddaten!$A805="Geprüft",Programme_Grunddaten!AN805&lt;&gt;""),IF(Programme_Grunddaten!AN805="Ja",1,0),"")</f>
        <v/>
      </c>
      <c r="AG800" s="1" t="str">
        <f>IF(AND(Programme_Grunddaten!$A805="Geprüft",Programme_Grunddaten!AO805&lt;&gt;""),IF(Programme_Grunddaten!AO805="Ja",1,0),"")</f>
        <v/>
      </c>
      <c r="AH800" s="1" t="str">
        <f>IF(AND(Programme_Grunddaten!$A805="Geprüft",Programme_Grunddaten!AP805&lt;&gt;""),IF(Programme_Grunddaten!AP805="Ja",1,0),"")</f>
        <v/>
      </c>
      <c r="AI800" s="1" t="str">
        <f>IF(AND(Programme_Grunddaten!$A805="Geprüft",Programme_Grunddaten!AQ805&lt;&gt;""),IF(Programme_Grunddaten!AQ805="Ja",1,0),"")</f>
        <v/>
      </c>
      <c r="AJ800" s="1" t="str">
        <f>IF(AND(Programme_Grunddaten!$A805="Geprüft",Programme_Grunddaten!AR805&lt;&gt;""),IF(Programme_Grunddaten!AR805="Ja",1,0),"")</f>
        <v/>
      </c>
      <c r="AK800" s="1" t="str">
        <f>IF(AND(Programme_Grunddaten!$A805="Geprüft",Programme_Grunddaten!AS805&lt;&gt;""),IF(Programme_Grunddaten!AS805="Ja",1,0),"")</f>
        <v/>
      </c>
      <c r="AL800" s="1" t="str">
        <f>IF(AND(Programme_Grunddaten!$A805="Geprüft",Programme_Grunddaten!AT805&lt;&gt;""),IF(Programme_Grunddaten!AT805="Ja",1,0),"")</f>
        <v/>
      </c>
      <c r="AM800" s="1" t="str">
        <f>IF(AND(Programme_Grunddaten!$A805="Geprüft",Programme_Grunddaten!AU805&lt;&gt;""),IF(Programme_Grunddaten!AU805="Ja",1,0),"")</f>
        <v/>
      </c>
      <c r="AN800" s="1" t="str">
        <f>IF(AND(Programme_Grunddaten!$A805="Geprüft",Programme_Grunddaten!AV805&lt;&gt;""),IF(Programme_Grunddaten!AV805="Ja",1,0),"")</f>
        <v/>
      </c>
    </row>
    <row r="801" spans="1:40" x14ac:dyDescent="0.3">
      <c r="A801" s="1" t="str">
        <f>IF(AND(Programme_Grunddaten!A806="Geprüft",Programme_Grunddaten!B806&lt;&gt;""),Programme_Grunddaten!B806,"")</f>
        <v/>
      </c>
      <c r="B801" s="1" t="str">
        <f>IF(AND(Programme_Grunddaten!$A806="Geprüft",Programme_Grunddaten!I806&lt;&gt;""),IF(Programme_Grunddaten!I806="Ja",1,0),"")</f>
        <v/>
      </c>
      <c r="C801" s="1" t="str">
        <f>IF(AND(Programme_Grunddaten!$A806="Geprüft",Programme_Grunddaten!J806&lt;&gt;""),IF(Programme_Grunddaten!J806="Ja",1,0),"")</f>
        <v/>
      </c>
      <c r="D801" s="1" t="str">
        <f>IF(AND(Programme_Grunddaten!$A806="Geprüft",Programme_Grunddaten!K806&lt;&gt;""),IF(Programme_Grunddaten!K806="Ja",1,0),"")</f>
        <v/>
      </c>
      <c r="E801" s="1" t="str">
        <f>IF(AND(Programme_Grunddaten!$A806="Geprüft",Programme_Grunddaten!L806&lt;&gt;""),IF(Programme_Grunddaten!L806="Abo / befristete Lizenz",1,0),"")</f>
        <v/>
      </c>
      <c r="F801" s="1" t="str">
        <f>IF(AND(Programme_Grunddaten!$A806="Geprüft",Programme_Grunddaten!M806&lt;&gt;""),IF(Programme_Grunddaten!M806="Ja",1,0),"")</f>
        <v/>
      </c>
      <c r="G801" s="1" t="str">
        <f>IF(AND(Programme_Grunddaten!$A806="Geprüft",Programme_Grunddaten!N806&lt;&gt;""),IF(Programme_Grunddaten!N806="Ja",1,0),"")</f>
        <v/>
      </c>
      <c r="H801" s="1" t="str">
        <f>IF(AND(Programme_Grunddaten!$A806="Geprüft",Programme_Grunddaten!O806&lt;&gt;""),IF(Programme_Grunddaten!O806="Deutschland",0,IF(Programme_Grunddaten!O806="EU",1,2)),"")</f>
        <v/>
      </c>
      <c r="I801" s="1" t="str">
        <f>IF(AND(Programme_Grunddaten!$A806="Geprüft",Programme_Grunddaten!P806&lt;&gt;""),IF(Programme_Grunddaten!P806="Ja",1,0),"")</f>
        <v/>
      </c>
      <c r="J801" s="1" t="str">
        <f>IF(AND(Programme_Grunddaten!$A806="Geprüft",Programme_Grunddaten!Q806&lt;&gt;""),IF(Programme_Grunddaten!Q806="geschlossenes System",1,0),"")</f>
        <v/>
      </c>
      <c r="K801" s="1" t="str">
        <f>IF(AND(Programme_Grunddaten!$A806="Geprüft",Programme_Grunddaten!R806&lt;&gt;""),IF(Programme_Grunddaten!R806="Ja",1,0),"")</f>
        <v/>
      </c>
      <c r="L801" s="1" t="str">
        <f>IF(AND(Programme_Grunddaten!$A806="Geprüft",Programme_Grunddaten!T806&lt;&gt;""),IF(Programme_Grunddaten!T806="Ja",1,0),"")</f>
        <v/>
      </c>
      <c r="M801" s="1" t="str">
        <f>IF(AND(Programme_Grunddaten!$A806="Geprüft",Programme_Grunddaten!U806&lt;&gt;""),IF(Programme_Grunddaten!U806="Ja",1,0),"")</f>
        <v/>
      </c>
      <c r="N801" s="1" t="str">
        <f>IF(AND(Programme_Grunddaten!$A806="Geprüft",Programme_Grunddaten!V806&lt;&gt;""),IF(Programme_Grunddaten!V806="Ja",1,0),"")</f>
        <v/>
      </c>
      <c r="O801" s="1" t="str">
        <f>IF(AND(Programme_Grunddaten!$A806="Geprüft",Programme_Grunddaten!W806&lt;&gt;""),IF(Programme_Grunddaten!W806="Ja",1,0),"")</f>
        <v/>
      </c>
      <c r="P801" s="1" t="str">
        <f>IF(AND(Programme_Grunddaten!$A806="Geprüft",Programme_Grunddaten!X806&lt;&gt;""),IF(Programme_Grunddaten!X806="Ja",1,0),"")</f>
        <v/>
      </c>
      <c r="Q801" s="1" t="str">
        <f>IF(AND(Programme_Grunddaten!$A806="Geprüft",Programme_Grunddaten!Y806&lt;&gt;""),IF(Programme_Grunddaten!Y806="Ja",1,0),"")</f>
        <v/>
      </c>
      <c r="R801" s="1" t="str">
        <f>IF(AND(Programme_Grunddaten!$A806="Geprüft",Programme_Grunddaten!Z806&lt;&gt;""),IF(Programme_Grunddaten!Z806="Ja",1,0),"")</f>
        <v/>
      </c>
      <c r="S801" s="1" t="str">
        <f>IF(AND(Programme_Grunddaten!$A806="Geprüft",Programme_Grunddaten!AA806&lt;&gt;""),IF(Programme_Grunddaten!AA806="monolithisch",1,0),"")</f>
        <v/>
      </c>
      <c r="T801" s="1" t="str">
        <f>IF(AND(Programme_Grunddaten!$A806="Geprüft",Programme_Grunddaten!AB806&lt;&gt;""),IF(Programme_Grunddaten!AB806="Ja",1,0),"")</f>
        <v/>
      </c>
      <c r="U801" s="1" t="str">
        <f>IF(AND(Programme_Grunddaten!$A806="Geprüft",Programme_Grunddaten!AC806&lt;&gt;""),IF(Programme_Grunddaten!AC806="Ja",1,0),"")</f>
        <v/>
      </c>
      <c r="V801" s="1" t="str">
        <f>IF(AND(Programme_Grunddaten!$A806="Geprüft",Programme_Grunddaten!AD806&lt;&gt;""),IF(Programme_Grunddaten!AD806="Ja",1,0),"")</f>
        <v/>
      </c>
      <c r="W801" s="1" t="str">
        <f>IF(AND(Programme_Grunddaten!$A806="Geprüft",Programme_Grunddaten!AE806&lt;&gt;""),IF(Programme_Grunddaten!AE806="Ja",1,0),"")</f>
        <v/>
      </c>
      <c r="X801" s="1" t="str">
        <f>IF(AND(Programme_Grunddaten!$A806="Geprüft",Programme_Grunddaten!AF806&lt;&gt;""),IF(Programme_Grunddaten!AF806="Ja",1,0),"")</f>
        <v/>
      </c>
      <c r="Y801" s="1" t="str">
        <f>IF(AND(Programme_Grunddaten!$A806="Geprüft",Programme_Grunddaten!AG806&lt;&gt;""),IF(Programme_Grunddaten!AG806="Ja",1,0),"")</f>
        <v/>
      </c>
      <c r="Z801" s="1" t="str">
        <f>IF(AND(Programme_Grunddaten!$A806="Geprüft",Programme_Grunddaten!AH806&lt;&gt;""),IF(Programme_Grunddaten!AH806="Ja",1,0),"")</f>
        <v/>
      </c>
      <c r="AA801" s="1" t="str">
        <f>IF(AND(Programme_Grunddaten!$A806="Geprüft",Programme_Grunddaten!AI806&lt;&gt;""),IF(Programme_Grunddaten!AI806="Ja",1,0),"")</f>
        <v/>
      </c>
      <c r="AB801" s="1" t="str">
        <f>IF(AND(Programme_Grunddaten!$A806="Geprüft",Programme_Grunddaten!AJ806&lt;&gt;""),IF(Programme_Grunddaten!AJ806="individuell programmierbar",1,0),"")</f>
        <v/>
      </c>
      <c r="AC801" s="1" t="str">
        <f>IF(AND(Programme_Grunddaten!$A806="Geprüft",Programme_Grunddaten!AK806&lt;&gt;""),IF(Programme_Grunddaten!AK806="Deutsch",0,IF(Programme_Grunddaten!AK806="Deutsch und Englisch",1,2)),"")</f>
        <v/>
      </c>
      <c r="AD801" s="1" t="str">
        <f>IF(AND(Programme_Grunddaten!$A806="Geprüft",Programme_Grunddaten!AL806&lt;&gt;""),IF(Programme_Grunddaten!AL806="Ja",1,0),"")</f>
        <v/>
      </c>
      <c r="AE801" s="1" t="str">
        <f>IF(AND(Programme_Grunddaten!$A806="Geprüft",Programme_Grunddaten!AM806&lt;&gt;""),IF(Programme_Grunddaten!AM806="Ja",1,0),"")</f>
        <v/>
      </c>
      <c r="AF801" s="1" t="str">
        <f>IF(AND(Programme_Grunddaten!$A806="Geprüft",Programme_Grunddaten!AN806&lt;&gt;""),IF(Programme_Grunddaten!AN806="Ja",1,0),"")</f>
        <v/>
      </c>
      <c r="AG801" s="1" t="str">
        <f>IF(AND(Programme_Grunddaten!$A806="Geprüft",Programme_Grunddaten!AO806&lt;&gt;""),IF(Programme_Grunddaten!AO806="Ja",1,0),"")</f>
        <v/>
      </c>
      <c r="AH801" s="1" t="str">
        <f>IF(AND(Programme_Grunddaten!$A806="Geprüft",Programme_Grunddaten!AP806&lt;&gt;""),IF(Programme_Grunddaten!AP806="Ja",1,0),"")</f>
        <v/>
      </c>
      <c r="AI801" s="1" t="str">
        <f>IF(AND(Programme_Grunddaten!$A806="Geprüft",Programme_Grunddaten!AQ806&lt;&gt;""),IF(Programme_Grunddaten!AQ806="Ja",1,0),"")</f>
        <v/>
      </c>
      <c r="AJ801" s="1" t="str">
        <f>IF(AND(Programme_Grunddaten!$A806="Geprüft",Programme_Grunddaten!AR806&lt;&gt;""),IF(Programme_Grunddaten!AR806="Ja",1,0),"")</f>
        <v/>
      </c>
      <c r="AK801" s="1" t="str">
        <f>IF(AND(Programme_Grunddaten!$A806="Geprüft",Programme_Grunddaten!AS806&lt;&gt;""),IF(Programme_Grunddaten!AS806="Ja",1,0),"")</f>
        <v/>
      </c>
      <c r="AL801" s="1" t="str">
        <f>IF(AND(Programme_Grunddaten!$A806="Geprüft",Programme_Grunddaten!AT806&lt;&gt;""),IF(Programme_Grunddaten!AT806="Ja",1,0),"")</f>
        <v/>
      </c>
      <c r="AM801" s="1" t="str">
        <f>IF(AND(Programme_Grunddaten!$A806="Geprüft",Programme_Grunddaten!AU806&lt;&gt;""),IF(Programme_Grunddaten!AU806="Ja",1,0),"")</f>
        <v/>
      </c>
      <c r="AN801" s="1" t="str">
        <f>IF(AND(Programme_Grunddaten!$A806="Geprüft",Programme_Grunddaten!AV806&lt;&gt;""),IF(Programme_Grunddaten!AV806="Ja",1,0),"")</f>
        <v/>
      </c>
    </row>
    <row r="802" spans="1:40" x14ac:dyDescent="0.3">
      <c r="A802" s="1" t="str">
        <f>IF(AND(Programme_Grunddaten!A807="Geprüft",Programme_Grunddaten!B807&lt;&gt;""),Programme_Grunddaten!B807,"")</f>
        <v/>
      </c>
      <c r="B802" s="1" t="str">
        <f>IF(AND(Programme_Grunddaten!$A807="Geprüft",Programme_Grunddaten!I807&lt;&gt;""),IF(Programme_Grunddaten!I807="Ja",1,0),"")</f>
        <v/>
      </c>
      <c r="C802" s="1" t="str">
        <f>IF(AND(Programme_Grunddaten!$A807="Geprüft",Programme_Grunddaten!J807&lt;&gt;""),IF(Programme_Grunddaten!J807="Ja",1,0),"")</f>
        <v/>
      </c>
      <c r="D802" s="1" t="str">
        <f>IF(AND(Programme_Grunddaten!$A807="Geprüft",Programme_Grunddaten!K807&lt;&gt;""),IF(Programme_Grunddaten!K807="Ja",1,0),"")</f>
        <v/>
      </c>
      <c r="E802" s="1" t="str">
        <f>IF(AND(Programme_Grunddaten!$A807="Geprüft",Programme_Grunddaten!L807&lt;&gt;""),IF(Programme_Grunddaten!L807="Abo / befristete Lizenz",1,0),"")</f>
        <v/>
      </c>
      <c r="F802" s="1" t="str">
        <f>IF(AND(Programme_Grunddaten!$A807="Geprüft",Programme_Grunddaten!M807&lt;&gt;""),IF(Programme_Grunddaten!M807="Ja",1,0),"")</f>
        <v/>
      </c>
      <c r="G802" s="1" t="str">
        <f>IF(AND(Programme_Grunddaten!$A807="Geprüft",Programme_Grunddaten!N807&lt;&gt;""),IF(Programme_Grunddaten!N807="Ja",1,0),"")</f>
        <v/>
      </c>
      <c r="H802" s="1" t="str">
        <f>IF(AND(Programme_Grunddaten!$A807="Geprüft",Programme_Grunddaten!O807&lt;&gt;""),IF(Programme_Grunddaten!O807="Deutschland",0,IF(Programme_Grunddaten!O807="EU",1,2)),"")</f>
        <v/>
      </c>
      <c r="I802" s="1" t="str">
        <f>IF(AND(Programme_Grunddaten!$A807="Geprüft",Programme_Grunddaten!P807&lt;&gt;""),IF(Programme_Grunddaten!P807="Ja",1,0),"")</f>
        <v/>
      </c>
      <c r="J802" s="1" t="str">
        <f>IF(AND(Programme_Grunddaten!$A807="Geprüft",Programme_Grunddaten!Q807&lt;&gt;""),IF(Programme_Grunddaten!Q807="geschlossenes System",1,0),"")</f>
        <v/>
      </c>
      <c r="K802" s="1" t="str">
        <f>IF(AND(Programme_Grunddaten!$A807="Geprüft",Programme_Grunddaten!R807&lt;&gt;""),IF(Programme_Grunddaten!R807="Ja",1,0),"")</f>
        <v/>
      </c>
      <c r="L802" s="1" t="str">
        <f>IF(AND(Programme_Grunddaten!$A807="Geprüft",Programme_Grunddaten!T807&lt;&gt;""),IF(Programme_Grunddaten!T807="Ja",1,0),"")</f>
        <v/>
      </c>
      <c r="M802" s="1" t="str">
        <f>IF(AND(Programme_Grunddaten!$A807="Geprüft",Programme_Grunddaten!U807&lt;&gt;""),IF(Programme_Grunddaten!U807="Ja",1,0),"")</f>
        <v/>
      </c>
      <c r="N802" s="1" t="str">
        <f>IF(AND(Programme_Grunddaten!$A807="Geprüft",Programme_Grunddaten!V807&lt;&gt;""),IF(Programme_Grunddaten!V807="Ja",1,0),"")</f>
        <v/>
      </c>
      <c r="O802" s="1" t="str">
        <f>IF(AND(Programme_Grunddaten!$A807="Geprüft",Programme_Grunddaten!W807&lt;&gt;""),IF(Programme_Grunddaten!W807="Ja",1,0),"")</f>
        <v/>
      </c>
      <c r="P802" s="1" t="str">
        <f>IF(AND(Programme_Grunddaten!$A807="Geprüft",Programme_Grunddaten!X807&lt;&gt;""),IF(Programme_Grunddaten!X807="Ja",1,0),"")</f>
        <v/>
      </c>
      <c r="Q802" s="1" t="str">
        <f>IF(AND(Programme_Grunddaten!$A807="Geprüft",Programme_Grunddaten!Y807&lt;&gt;""),IF(Programme_Grunddaten!Y807="Ja",1,0),"")</f>
        <v/>
      </c>
      <c r="R802" s="1" t="str">
        <f>IF(AND(Programme_Grunddaten!$A807="Geprüft",Programme_Grunddaten!Z807&lt;&gt;""),IF(Programme_Grunddaten!Z807="Ja",1,0),"")</f>
        <v/>
      </c>
      <c r="S802" s="1" t="str">
        <f>IF(AND(Programme_Grunddaten!$A807="Geprüft",Programme_Grunddaten!AA807&lt;&gt;""),IF(Programme_Grunddaten!AA807="monolithisch",1,0),"")</f>
        <v/>
      </c>
      <c r="T802" s="1" t="str">
        <f>IF(AND(Programme_Grunddaten!$A807="Geprüft",Programme_Grunddaten!AB807&lt;&gt;""),IF(Programme_Grunddaten!AB807="Ja",1,0),"")</f>
        <v/>
      </c>
      <c r="U802" s="1" t="str">
        <f>IF(AND(Programme_Grunddaten!$A807="Geprüft",Programme_Grunddaten!AC807&lt;&gt;""),IF(Programme_Grunddaten!AC807="Ja",1,0),"")</f>
        <v/>
      </c>
      <c r="V802" s="1" t="str">
        <f>IF(AND(Programme_Grunddaten!$A807="Geprüft",Programme_Grunddaten!AD807&lt;&gt;""),IF(Programme_Grunddaten!AD807="Ja",1,0),"")</f>
        <v/>
      </c>
      <c r="W802" s="1" t="str">
        <f>IF(AND(Programme_Grunddaten!$A807="Geprüft",Programme_Grunddaten!AE807&lt;&gt;""),IF(Programme_Grunddaten!AE807="Ja",1,0),"")</f>
        <v/>
      </c>
      <c r="X802" s="1" t="str">
        <f>IF(AND(Programme_Grunddaten!$A807="Geprüft",Programme_Grunddaten!AF807&lt;&gt;""),IF(Programme_Grunddaten!AF807="Ja",1,0),"")</f>
        <v/>
      </c>
      <c r="Y802" s="1" t="str">
        <f>IF(AND(Programme_Grunddaten!$A807="Geprüft",Programme_Grunddaten!AG807&lt;&gt;""),IF(Programme_Grunddaten!AG807="Ja",1,0),"")</f>
        <v/>
      </c>
      <c r="Z802" s="1" t="str">
        <f>IF(AND(Programme_Grunddaten!$A807="Geprüft",Programme_Grunddaten!AH807&lt;&gt;""),IF(Programme_Grunddaten!AH807="Ja",1,0),"")</f>
        <v/>
      </c>
      <c r="AA802" s="1" t="str">
        <f>IF(AND(Programme_Grunddaten!$A807="Geprüft",Programme_Grunddaten!AI807&lt;&gt;""),IF(Programme_Grunddaten!AI807="Ja",1,0),"")</f>
        <v/>
      </c>
      <c r="AB802" s="1" t="str">
        <f>IF(AND(Programme_Grunddaten!$A807="Geprüft",Programme_Grunddaten!AJ807&lt;&gt;""),IF(Programme_Grunddaten!AJ807="individuell programmierbar",1,0),"")</f>
        <v/>
      </c>
      <c r="AC802" s="1" t="str">
        <f>IF(AND(Programme_Grunddaten!$A807="Geprüft",Programme_Grunddaten!AK807&lt;&gt;""),IF(Programme_Grunddaten!AK807="Deutsch",0,IF(Programme_Grunddaten!AK807="Deutsch und Englisch",1,2)),"")</f>
        <v/>
      </c>
      <c r="AD802" s="1" t="str">
        <f>IF(AND(Programme_Grunddaten!$A807="Geprüft",Programme_Grunddaten!AL807&lt;&gt;""),IF(Programme_Grunddaten!AL807="Ja",1,0),"")</f>
        <v/>
      </c>
      <c r="AE802" s="1" t="str">
        <f>IF(AND(Programme_Grunddaten!$A807="Geprüft",Programme_Grunddaten!AM807&lt;&gt;""),IF(Programme_Grunddaten!AM807="Ja",1,0),"")</f>
        <v/>
      </c>
      <c r="AF802" s="1" t="str">
        <f>IF(AND(Programme_Grunddaten!$A807="Geprüft",Programme_Grunddaten!AN807&lt;&gt;""),IF(Programme_Grunddaten!AN807="Ja",1,0),"")</f>
        <v/>
      </c>
      <c r="AG802" s="1" t="str">
        <f>IF(AND(Programme_Grunddaten!$A807="Geprüft",Programme_Grunddaten!AO807&lt;&gt;""),IF(Programme_Grunddaten!AO807="Ja",1,0),"")</f>
        <v/>
      </c>
      <c r="AH802" s="1" t="str">
        <f>IF(AND(Programme_Grunddaten!$A807="Geprüft",Programme_Grunddaten!AP807&lt;&gt;""),IF(Programme_Grunddaten!AP807="Ja",1,0),"")</f>
        <v/>
      </c>
      <c r="AI802" s="1" t="str">
        <f>IF(AND(Programme_Grunddaten!$A807="Geprüft",Programme_Grunddaten!AQ807&lt;&gt;""),IF(Programme_Grunddaten!AQ807="Ja",1,0),"")</f>
        <v/>
      </c>
      <c r="AJ802" s="1" t="str">
        <f>IF(AND(Programme_Grunddaten!$A807="Geprüft",Programme_Grunddaten!AR807&lt;&gt;""),IF(Programme_Grunddaten!AR807="Ja",1,0),"")</f>
        <v/>
      </c>
      <c r="AK802" s="1" t="str">
        <f>IF(AND(Programme_Grunddaten!$A807="Geprüft",Programme_Grunddaten!AS807&lt;&gt;""),IF(Programme_Grunddaten!AS807="Ja",1,0),"")</f>
        <v/>
      </c>
      <c r="AL802" s="1" t="str">
        <f>IF(AND(Programme_Grunddaten!$A807="Geprüft",Programme_Grunddaten!AT807&lt;&gt;""),IF(Programme_Grunddaten!AT807="Ja",1,0),"")</f>
        <v/>
      </c>
      <c r="AM802" s="1" t="str">
        <f>IF(AND(Programme_Grunddaten!$A807="Geprüft",Programme_Grunddaten!AU807&lt;&gt;""),IF(Programme_Grunddaten!AU807="Ja",1,0),"")</f>
        <v/>
      </c>
      <c r="AN802" s="1" t="str">
        <f>IF(AND(Programme_Grunddaten!$A807="Geprüft",Programme_Grunddaten!AV807&lt;&gt;""),IF(Programme_Grunddaten!AV807="Ja",1,0),"")</f>
        <v/>
      </c>
    </row>
    <row r="803" spans="1:40" x14ac:dyDescent="0.3">
      <c r="A803" s="1" t="str">
        <f>IF(AND(Programme_Grunddaten!A808="Geprüft",Programme_Grunddaten!B808&lt;&gt;""),Programme_Grunddaten!B808,"")</f>
        <v/>
      </c>
      <c r="B803" s="1" t="str">
        <f>IF(AND(Programme_Grunddaten!$A808="Geprüft",Programme_Grunddaten!I808&lt;&gt;""),IF(Programme_Grunddaten!I808="Ja",1,0),"")</f>
        <v/>
      </c>
      <c r="C803" s="1" t="str">
        <f>IF(AND(Programme_Grunddaten!$A808="Geprüft",Programme_Grunddaten!J808&lt;&gt;""),IF(Programme_Grunddaten!J808="Ja",1,0),"")</f>
        <v/>
      </c>
      <c r="D803" s="1" t="str">
        <f>IF(AND(Programme_Grunddaten!$A808="Geprüft",Programme_Grunddaten!K808&lt;&gt;""),IF(Programme_Grunddaten!K808="Ja",1,0),"")</f>
        <v/>
      </c>
      <c r="E803" s="1" t="str">
        <f>IF(AND(Programme_Grunddaten!$A808="Geprüft",Programme_Grunddaten!L808&lt;&gt;""),IF(Programme_Grunddaten!L808="Abo / befristete Lizenz",1,0),"")</f>
        <v/>
      </c>
      <c r="F803" s="1" t="str">
        <f>IF(AND(Programme_Grunddaten!$A808="Geprüft",Programme_Grunddaten!M808&lt;&gt;""),IF(Programme_Grunddaten!M808="Ja",1,0),"")</f>
        <v/>
      </c>
      <c r="G803" s="1" t="str">
        <f>IF(AND(Programme_Grunddaten!$A808="Geprüft",Programme_Grunddaten!N808&lt;&gt;""),IF(Programme_Grunddaten!N808="Ja",1,0),"")</f>
        <v/>
      </c>
      <c r="H803" s="1" t="str">
        <f>IF(AND(Programme_Grunddaten!$A808="Geprüft",Programme_Grunddaten!O808&lt;&gt;""),IF(Programme_Grunddaten!O808="Deutschland",0,IF(Programme_Grunddaten!O808="EU",1,2)),"")</f>
        <v/>
      </c>
      <c r="I803" s="1" t="str">
        <f>IF(AND(Programme_Grunddaten!$A808="Geprüft",Programme_Grunddaten!P808&lt;&gt;""),IF(Programme_Grunddaten!P808="Ja",1,0),"")</f>
        <v/>
      </c>
      <c r="J803" s="1" t="str">
        <f>IF(AND(Programme_Grunddaten!$A808="Geprüft",Programme_Grunddaten!Q808&lt;&gt;""),IF(Programme_Grunddaten!Q808="geschlossenes System",1,0),"")</f>
        <v/>
      </c>
      <c r="K803" s="1" t="str">
        <f>IF(AND(Programme_Grunddaten!$A808="Geprüft",Programme_Grunddaten!R808&lt;&gt;""),IF(Programme_Grunddaten!R808="Ja",1,0),"")</f>
        <v/>
      </c>
      <c r="L803" s="1" t="str">
        <f>IF(AND(Programme_Grunddaten!$A808="Geprüft",Programme_Grunddaten!T808&lt;&gt;""),IF(Programme_Grunddaten!T808="Ja",1,0),"")</f>
        <v/>
      </c>
      <c r="M803" s="1" t="str">
        <f>IF(AND(Programme_Grunddaten!$A808="Geprüft",Programme_Grunddaten!U808&lt;&gt;""),IF(Programme_Grunddaten!U808="Ja",1,0),"")</f>
        <v/>
      </c>
      <c r="N803" s="1" t="str">
        <f>IF(AND(Programme_Grunddaten!$A808="Geprüft",Programme_Grunddaten!V808&lt;&gt;""),IF(Programme_Grunddaten!V808="Ja",1,0),"")</f>
        <v/>
      </c>
      <c r="O803" s="1" t="str">
        <f>IF(AND(Programme_Grunddaten!$A808="Geprüft",Programme_Grunddaten!W808&lt;&gt;""),IF(Programme_Grunddaten!W808="Ja",1,0),"")</f>
        <v/>
      </c>
      <c r="P803" s="1" t="str">
        <f>IF(AND(Programme_Grunddaten!$A808="Geprüft",Programme_Grunddaten!X808&lt;&gt;""),IF(Programme_Grunddaten!X808="Ja",1,0),"")</f>
        <v/>
      </c>
      <c r="Q803" s="1" t="str">
        <f>IF(AND(Programme_Grunddaten!$A808="Geprüft",Programme_Grunddaten!Y808&lt;&gt;""),IF(Programme_Grunddaten!Y808="Ja",1,0),"")</f>
        <v/>
      </c>
      <c r="R803" s="1" t="str">
        <f>IF(AND(Programme_Grunddaten!$A808="Geprüft",Programme_Grunddaten!Z808&lt;&gt;""),IF(Programme_Grunddaten!Z808="Ja",1,0),"")</f>
        <v/>
      </c>
      <c r="S803" s="1" t="str">
        <f>IF(AND(Programme_Grunddaten!$A808="Geprüft",Programme_Grunddaten!AA808&lt;&gt;""),IF(Programme_Grunddaten!AA808="monolithisch",1,0),"")</f>
        <v/>
      </c>
      <c r="T803" s="1" t="str">
        <f>IF(AND(Programme_Grunddaten!$A808="Geprüft",Programme_Grunddaten!AB808&lt;&gt;""),IF(Programme_Grunddaten!AB808="Ja",1,0),"")</f>
        <v/>
      </c>
      <c r="U803" s="1" t="str">
        <f>IF(AND(Programme_Grunddaten!$A808="Geprüft",Programme_Grunddaten!AC808&lt;&gt;""),IF(Programme_Grunddaten!AC808="Ja",1,0),"")</f>
        <v/>
      </c>
      <c r="V803" s="1" t="str">
        <f>IF(AND(Programme_Grunddaten!$A808="Geprüft",Programme_Grunddaten!AD808&lt;&gt;""),IF(Programme_Grunddaten!AD808="Ja",1,0),"")</f>
        <v/>
      </c>
      <c r="W803" s="1" t="str">
        <f>IF(AND(Programme_Grunddaten!$A808="Geprüft",Programme_Grunddaten!AE808&lt;&gt;""),IF(Programme_Grunddaten!AE808="Ja",1,0),"")</f>
        <v/>
      </c>
      <c r="X803" s="1" t="str">
        <f>IF(AND(Programme_Grunddaten!$A808="Geprüft",Programme_Grunddaten!AF808&lt;&gt;""),IF(Programme_Grunddaten!AF808="Ja",1,0),"")</f>
        <v/>
      </c>
      <c r="Y803" s="1" t="str">
        <f>IF(AND(Programme_Grunddaten!$A808="Geprüft",Programme_Grunddaten!AG808&lt;&gt;""),IF(Programme_Grunddaten!AG808="Ja",1,0),"")</f>
        <v/>
      </c>
      <c r="Z803" s="1" t="str">
        <f>IF(AND(Programme_Grunddaten!$A808="Geprüft",Programme_Grunddaten!AH808&lt;&gt;""),IF(Programme_Grunddaten!AH808="Ja",1,0),"")</f>
        <v/>
      </c>
      <c r="AA803" s="1" t="str">
        <f>IF(AND(Programme_Grunddaten!$A808="Geprüft",Programme_Grunddaten!AI808&lt;&gt;""),IF(Programme_Grunddaten!AI808="Ja",1,0),"")</f>
        <v/>
      </c>
      <c r="AB803" s="1" t="str">
        <f>IF(AND(Programme_Grunddaten!$A808="Geprüft",Programme_Grunddaten!AJ808&lt;&gt;""),IF(Programme_Grunddaten!AJ808="individuell programmierbar",1,0),"")</f>
        <v/>
      </c>
      <c r="AC803" s="1" t="str">
        <f>IF(AND(Programme_Grunddaten!$A808="Geprüft",Programme_Grunddaten!AK808&lt;&gt;""),IF(Programme_Grunddaten!AK808="Deutsch",0,IF(Programme_Grunddaten!AK808="Deutsch und Englisch",1,2)),"")</f>
        <v/>
      </c>
      <c r="AD803" s="1" t="str">
        <f>IF(AND(Programme_Grunddaten!$A808="Geprüft",Programme_Grunddaten!AL808&lt;&gt;""),IF(Programme_Grunddaten!AL808="Ja",1,0),"")</f>
        <v/>
      </c>
      <c r="AE803" s="1" t="str">
        <f>IF(AND(Programme_Grunddaten!$A808="Geprüft",Programme_Grunddaten!AM808&lt;&gt;""),IF(Programme_Grunddaten!AM808="Ja",1,0),"")</f>
        <v/>
      </c>
      <c r="AF803" s="1" t="str">
        <f>IF(AND(Programme_Grunddaten!$A808="Geprüft",Programme_Grunddaten!AN808&lt;&gt;""),IF(Programme_Grunddaten!AN808="Ja",1,0),"")</f>
        <v/>
      </c>
      <c r="AG803" s="1" t="str">
        <f>IF(AND(Programme_Grunddaten!$A808="Geprüft",Programme_Grunddaten!AO808&lt;&gt;""),IF(Programme_Grunddaten!AO808="Ja",1,0),"")</f>
        <v/>
      </c>
      <c r="AH803" s="1" t="str">
        <f>IF(AND(Programme_Grunddaten!$A808="Geprüft",Programme_Grunddaten!AP808&lt;&gt;""),IF(Programme_Grunddaten!AP808="Ja",1,0),"")</f>
        <v/>
      </c>
      <c r="AI803" s="1" t="str">
        <f>IF(AND(Programme_Grunddaten!$A808="Geprüft",Programme_Grunddaten!AQ808&lt;&gt;""),IF(Programme_Grunddaten!AQ808="Ja",1,0),"")</f>
        <v/>
      </c>
      <c r="AJ803" s="1" t="str">
        <f>IF(AND(Programme_Grunddaten!$A808="Geprüft",Programme_Grunddaten!AR808&lt;&gt;""),IF(Programme_Grunddaten!AR808="Ja",1,0),"")</f>
        <v/>
      </c>
      <c r="AK803" s="1" t="str">
        <f>IF(AND(Programme_Grunddaten!$A808="Geprüft",Programme_Grunddaten!AS808&lt;&gt;""),IF(Programme_Grunddaten!AS808="Ja",1,0),"")</f>
        <v/>
      </c>
      <c r="AL803" s="1" t="str">
        <f>IF(AND(Programme_Grunddaten!$A808="Geprüft",Programme_Grunddaten!AT808&lt;&gt;""),IF(Programme_Grunddaten!AT808="Ja",1,0),"")</f>
        <v/>
      </c>
      <c r="AM803" s="1" t="str">
        <f>IF(AND(Programme_Grunddaten!$A808="Geprüft",Programme_Grunddaten!AU808&lt;&gt;""),IF(Programme_Grunddaten!AU808="Ja",1,0),"")</f>
        <v/>
      </c>
      <c r="AN803" s="1" t="str">
        <f>IF(AND(Programme_Grunddaten!$A808="Geprüft",Programme_Grunddaten!AV808&lt;&gt;""),IF(Programme_Grunddaten!AV808="Ja",1,0),"")</f>
        <v/>
      </c>
    </row>
    <row r="804" spans="1:40" x14ac:dyDescent="0.3">
      <c r="A804" s="1" t="str">
        <f>IF(AND(Programme_Grunddaten!A809="Geprüft",Programme_Grunddaten!B809&lt;&gt;""),Programme_Grunddaten!B809,"")</f>
        <v/>
      </c>
      <c r="B804" s="1" t="str">
        <f>IF(AND(Programme_Grunddaten!$A809="Geprüft",Programme_Grunddaten!I809&lt;&gt;""),IF(Programme_Grunddaten!I809="Ja",1,0),"")</f>
        <v/>
      </c>
      <c r="C804" s="1" t="str">
        <f>IF(AND(Programme_Grunddaten!$A809="Geprüft",Programme_Grunddaten!J809&lt;&gt;""),IF(Programme_Grunddaten!J809="Ja",1,0),"")</f>
        <v/>
      </c>
      <c r="D804" s="1" t="str">
        <f>IF(AND(Programme_Grunddaten!$A809="Geprüft",Programme_Grunddaten!K809&lt;&gt;""),IF(Programme_Grunddaten!K809="Ja",1,0),"")</f>
        <v/>
      </c>
      <c r="E804" s="1" t="str">
        <f>IF(AND(Programme_Grunddaten!$A809="Geprüft",Programme_Grunddaten!L809&lt;&gt;""),IF(Programme_Grunddaten!L809="Abo / befristete Lizenz",1,0),"")</f>
        <v/>
      </c>
      <c r="F804" s="1" t="str">
        <f>IF(AND(Programme_Grunddaten!$A809="Geprüft",Programme_Grunddaten!M809&lt;&gt;""),IF(Programme_Grunddaten!M809="Ja",1,0),"")</f>
        <v/>
      </c>
      <c r="G804" s="1" t="str">
        <f>IF(AND(Programme_Grunddaten!$A809="Geprüft",Programme_Grunddaten!N809&lt;&gt;""),IF(Programme_Grunddaten!N809="Ja",1,0),"")</f>
        <v/>
      </c>
      <c r="H804" s="1" t="str">
        <f>IF(AND(Programme_Grunddaten!$A809="Geprüft",Programme_Grunddaten!O809&lt;&gt;""),IF(Programme_Grunddaten!O809="Deutschland",0,IF(Programme_Grunddaten!O809="EU",1,2)),"")</f>
        <v/>
      </c>
      <c r="I804" s="1" t="str">
        <f>IF(AND(Programme_Grunddaten!$A809="Geprüft",Programme_Grunddaten!P809&lt;&gt;""),IF(Programme_Grunddaten!P809="Ja",1,0),"")</f>
        <v/>
      </c>
      <c r="J804" s="1" t="str">
        <f>IF(AND(Programme_Grunddaten!$A809="Geprüft",Programme_Grunddaten!Q809&lt;&gt;""),IF(Programme_Grunddaten!Q809="geschlossenes System",1,0),"")</f>
        <v/>
      </c>
      <c r="K804" s="1" t="str">
        <f>IF(AND(Programme_Grunddaten!$A809="Geprüft",Programme_Grunddaten!R809&lt;&gt;""),IF(Programme_Grunddaten!R809="Ja",1,0),"")</f>
        <v/>
      </c>
      <c r="L804" s="1" t="str">
        <f>IF(AND(Programme_Grunddaten!$A809="Geprüft",Programme_Grunddaten!T809&lt;&gt;""),IF(Programme_Grunddaten!T809="Ja",1,0),"")</f>
        <v/>
      </c>
      <c r="M804" s="1" t="str">
        <f>IF(AND(Programme_Grunddaten!$A809="Geprüft",Programme_Grunddaten!U809&lt;&gt;""),IF(Programme_Grunddaten!U809="Ja",1,0),"")</f>
        <v/>
      </c>
      <c r="N804" s="1" t="str">
        <f>IF(AND(Programme_Grunddaten!$A809="Geprüft",Programme_Grunddaten!V809&lt;&gt;""),IF(Programme_Grunddaten!V809="Ja",1,0),"")</f>
        <v/>
      </c>
      <c r="O804" s="1" t="str">
        <f>IF(AND(Programme_Grunddaten!$A809="Geprüft",Programme_Grunddaten!W809&lt;&gt;""),IF(Programme_Grunddaten!W809="Ja",1,0),"")</f>
        <v/>
      </c>
      <c r="P804" s="1" t="str">
        <f>IF(AND(Programme_Grunddaten!$A809="Geprüft",Programme_Grunddaten!X809&lt;&gt;""),IF(Programme_Grunddaten!X809="Ja",1,0),"")</f>
        <v/>
      </c>
      <c r="Q804" s="1" t="str">
        <f>IF(AND(Programme_Grunddaten!$A809="Geprüft",Programme_Grunddaten!Y809&lt;&gt;""),IF(Programme_Grunddaten!Y809="Ja",1,0),"")</f>
        <v/>
      </c>
      <c r="R804" s="1" t="str">
        <f>IF(AND(Programme_Grunddaten!$A809="Geprüft",Programme_Grunddaten!Z809&lt;&gt;""),IF(Programme_Grunddaten!Z809="Ja",1,0),"")</f>
        <v/>
      </c>
      <c r="S804" s="1" t="str">
        <f>IF(AND(Programme_Grunddaten!$A809="Geprüft",Programme_Grunddaten!AA809&lt;&gt;""),IF(Programme_Grunddaten!AA809="monolithisch",1,0),"")</f>
        <v/>
      </c>
      <c r="T804" s="1" t="str">
        <f>IF(AND(Programme_Grunddaten!$A809="Geprüft",Programme_Grunddaten!AB809&lt;&gt;""),IF(Programme_Grunddaten!AB809="Ja",1,0),"")</f>
        <v/>
      </c>
      <c r="U804" s="1" t="str">
        <f>IF(AND(Programme_Grunddaten!$A809="Geprüft",Programme_Grunddaten!AC809&lt;&gt;""),IF(Programme_Grunddaten!AC809="Ja",1,0),"")</f>
        <v/>
      </c>
      <c r="V804" s="1" t="str">
        <f>IF(AND(Programme_Grunddaten!$A809="Geprüft",Programme_Grunddaten!AD809&lt;&gt;""),IF(Programme_Grunddaten!AD809="Ja",1,0),"")</f>
        <v/>
      </c>
      <c r="W804" s="1" t="str">
        <f>IF(AND(Programme_Grunddaten!$A809="Geprüft",Programme_Grunddaten!AE809&lt;&gt;""),IF(Programme_Grunddaten!AE809="Ja",1,0),"")</f>
        <v/>
      </c>
      <c r="X804" s="1" t="str">
        <f>IF(AND(Programme_Grunddaten!$A809="Geprüft",Programme_Grunddaten!AF809&lt;&gt;""),IF(Programme_Grunddaten!AF809="Ja",1,0),"")</f>
        <v/>
      </c>
      <c r="Y804" s="1" t="str">
        <f>IF(AND(Programme_Grunddaten!$A809="Geprüft",Programme_Grunddaten!AG809&lt;&gt;""),IF(Programme_Grunddaten!AG809="Ja",1,0),"")</f>
        <v/>
      </c>
      <c r="Z804" s="1" t="str">
        <f>IF(AND(Programme_Grunddaten!$A809="Geprüft",Programme_Grunddaten!AH809&lt;&gt;""),IF(Programme_Grunddaten!AH809="Ja",1,0),"")</f>
        <v/>
      </c>
      <c r="AA804" s="1" t="str">
        <f>IF(AND(Programme_Grunddaten!$A809="Geprüft",Programme_Grunddaten!AI809&lt;&gt;""),IF(Programme_Grunddaten!AI809="Ja",1,0),"")</f>
        <v/>
      </c>
      <c r="AB804" s="1" t="str">
        <f>IF(AND(Programme_Grunddaten!$A809="Geprüft",Programme_Grunddaten!AJ809&lt;&gt;""),IF(Programme_Grunddaten!AJ809="individuell programmierbar",1,0),"")</f>
        <v/>
      </c>
      <c r="AC804" s="1" t="str">
        <f>IF(AND(Programme_Grunddaten!$A809="Geprüft",Programme_Grunddaten!AK809&lt;&gt;""),IF(Programme_Grunddaten!AK809="Deutsch",0,IF(Programme_Grunddaten!AK809="Deutsch und Englisch",1,2)),"")</f>
        <v/>
      </c>
      <c r="AD804" s="1" t="str">
        <f>IF(AND(Programme_Grunddaten!$A809="Geprüft",Programme_Grunddaten!AL809&lt;&gt;""),IF(Programme_Grunddaten!AL809="Ja",1,0),"")</f>
        <v/>
      </c>
      <c r="AE804" s="1" t="str">
        <f>IF(AND(Programme_Grunddaten!$A809="Geprüft",Programme_Grunddaten!AM809&lt;&gt;""),IF(Programme_Grunddaten!AM809="Ja",1,0),"")</f>
        <v/>
      </c>
      <c r="AF804" s="1" t="str">
        <f>IF(AND(Programme_Grunddaten!$A809="Geprüft",Programme_Grunddaten!AN809&lt;&gt;""),IF(Programme_Grunddaten!AN809="Ja",1,0),"")</f>
        <v/>
      </c>
      <c r="AG804" s="1" t="str">
        <f>IF(AND(Programme_Grunddaten!$A809="Geprüft",Programme_Grunddaten!AO809&lt;&gt;""),IF(Programme_Grunddaten!AO809="Ja",1,0),"")</f>
        <v/>
      </c>
      <c r="AH804" s="1" t="str">
        <f>IF(AND(Programme_Grunddaten!$A809="Geprüft",Programme_Grunddaten!AP809&lt;&gt;""),IF(Programme_Grunddaten!AP809="Ja",1,0),"")</f>
        <v/>
      </c>
      <c r="AI804" s="1" t="str">
        <f>IF(AND(Programme_Grunddaten!$A809="Geprüft",Programme_Grunddaten!AQ809&lt;&gt;""),IF(Programme_Grunddaten!AQ809="Ja",1,0),"")</f>
        <v/>
      </c>
      <c r="AJ804" s="1" t="str">
        <f>IF(AND(Programme_Grunddaten!$A809="Geprüft",Programme_Grunddaten!AR809&lt;&gt;""),IF(Programme_Grunddaten!AR809="Ja",1,0),"")</f>
        <v/>
      </c>
      <c r="AK804" s="1" t="str">
        <f>IF(AND(Programme_Grunddaten!$A809="Geprüft",Programme_Grunddaten!AS809&lt;&gt;""),IF(Programme_Grunddaten!AS809="Ja",1,0),"")</f>
        <v/>
      </c>
      <c r="AL804" s="1" t="str">
        <f>IF(AND(Programme_Grunddaten!$A809="Geprüft",Programme_Grunddaten!AT809&lt;&gt;""),IF(Programme_Grunddaten!AT809="Ja",1,0),"")</f>
        <v/>
      </c>
      <c r="AM804" s="1" t="str">
        <f>IF(AND(Programme_Grunddaten!$A809="Geprüft",Programme_Grunddaten!AU809&lt;&gt;""),IF(Programme_Grunddaten!AU809="Ja",1,0),"")</f>
        <v/>
      </c>
      <c r="AN804" s="1" t="str">
        <f>IF(AND(Programme_Grunddaten!$A809="Geprüft",Programme_Grunddaten!AV809&lt;&gt;""),IF(Programme_Grunddaten!AV809="Ja",1,0),"")</f>
        <v/>
      </c>
    </row>
    <row r="805" spans="1:40" x14ac:dyDescent="0.3">
      <c r="A805" s="1" t="str">
        <f>IF(AND(Programme_Grunddaten!A810="Geprüft",Programme_Grunddaten!B810&lt;&gt;""),Programme_Grunddaten!B810,"")</f>
        <v/>
      </c>
      <c r="B805" s="1" t="str">
        <f>IF(AND(Programme_Grunddaten!$A810="Geprüft",Programme_Grunddaten!I810&lt;&gt;""),IF(Programme_Grunddaten!I810="Ja",1,0),"")</f>
        <v/>
      </c>
      <c r="C805" s="1" t="str">
        <f>IF(AND(Programme_Grunddaten!$A810="Geprüft",Programme_Grunddaten!J810&lt;&gt;""),IF(Programme_Grunddaten!J810="Ja",1,0),"")</f>
        <v/>
      </c>
      <c r="D805" s="1" t="str">
        <f>IF(AND(Programme_Grunddaten!$A810="Geprüft",Programme_Grunddaten!K810&lt;&gt;""),IF(Programme_Grunddaten!K810="Ja",1,0),"")</f>
        <v/>
      </c>
      <c r="E805" s="1" t="str">
        <f>IF(AND(Programme_Grunddaten!$A810="Geprüft",Programme_Grunddaten!L810&lt;&gt;""),IF(Programme_Grunddaten!L810="Abo / befristete Lizenz",1,0),"")</f>
        <v/>
      </c>
      <c r="F805" s="1" t="str">
        <f>IF(AND(Programme_Grunddaten!$A810="Geprüft",Programme_Grunddaten!M810&lt;&gt;""),IF(Programme_Grunddaten!M810="Ja",1,0),"")</f>
        <v/>
      </c>
      <c r="G805" s="1" t="str">
        <f>IF(AND(Programme_Grunddaten!$A810="Geprüft",Programme_Grunddaten!N810&lt;&gt;""),IF(Programme_Grunddaten!N810="Ja",1,0),"")</f>
        <v/>
      </c>
      <c r="H805" s="1" t="str">
        <f>IF(AND(Programme_Grunddaten!$A810="Geprüft",Programme_Grunddaten!O810&lt;&gt;""),IF(Programme_Grunddaten!O810="Deutschland",0,IF(Programme_Grunddaten!O810="EU",1,2)),"")</f>
        <v/>
      </c>
      <c r="I805" s="1" t="str">
        <f>IF(AND(Programme_Grunddaten!$A810="Geprüft",Programme_Grunddaten!P810&lt;&gt;""),IF(Programme_Grunddaten!P810="Ja",1,0),"")</f>
        <v/>
      </c>
      <c r="J805" s="1" t="str">
        <f>IF(AND(Programme_Grunddaten!$A810="Geprüft",Programme_Grunddaten!Q810&lt;&gt;""),IF(Programme_Grunddaten!Q810="geschlossenes System",1,0),"")</f>
        <v/>
      </c>
      <c r="K805" s="1" t="str">
        <f>IF(AND(Programme_Grunddaten!$A810="Geprüft",Programme_Grunddaten!R810&lt;&gt;""),IF(Programme_Grunddaten!R810="Ja",1,0),"")</f>
        <v/>
      </c>
      <c r="L805" s="1" t="str">
        <f>IF(AND(Programme_Grunddaten!$A810="Geprüft",Programme_Grunddaten!T810&lt;&gt;""),IF(Programme_Grunddaten!T810="Ja",1,0),"")</f>
        <v/>
      </c>
      <c r="M805" s="1" t="str">
        <f>IF(AND(Programme_Grunddaten!$A810="Geprüft",Programme_Grunddaten!U810&lt;&gt;""),IF(Programme_Grunddaten!U810="Ja",1,0),"")</f>
        <v/>
      </c>
      <c r="N805" s="1" t="str">
        <f>IF(AND(Programme_Grunddaten!$A810="Geprüft",Programme_Grunddaten!V810&lt;&gt;""),IF(Programme_Grunddaten!V810="Ja",1,0),"")</f>
        <v/>
      </c>
      <c r="O805" s="1" t="str">
        <f>IF(AND(Programme_Grunddaten!$A810="Geprüft",Programme_Grunddaten!W810&lt;&gt;""),IF(Programme_Grunddaten!W810="Ja",1,0),"")</f>
        <v/>
      </c>
      <c r="P805" s="1" t="str">
        <f>IF(AND(Programme_Grunddaten!$A810="Geprüft",Programme_Grunddaten!X810&lt;&gt;""),IF(Programme_Grunddaten!X810="Ja",1,0),"")</f>
        <v/>
      </c>
      <c r="Q805" s="1" t="str">
        <f>IF(AND(Programme_Grunddaten!$A810="Geprüft",Programme_Grunddaten!Y810&lt;&gt;""),IF(Programme_Grunddaten!Y810="Ja",1,0),"")</f>
        <v/>
      </c>
      <c r="R805" s="1" t="str">
        <f>IF(AND(Programme_Grunddaten!$A810="Geprüft",Programme_Grunddaten!Z810&lt;&gt;""),IF(Programme_Grunddaten!Z810="Ja",1,0),"")</f>
        <v/>
      </c>
      <c r="S805" s="1" t="str">
        <f>IF(AND(Programme_Grunddaten!$A810="Geprüft",Programme_Grunddaten!AA810&lt;&gt;""),IF(Programme_Grunddaten!AA810="monolithisch",1,0),"")</f>
        <v/>
      </c>
      <c r="T805" s="1" t="str">
        <f>IF(AND(Programme_Grunddaten!$A810="Geprüft",Programme_Grunddaten!AB810&lt;&gt;""),IF(Programme_Grunddaten!AB810="Ja",1,0),"")</f>
        <v/>
      </c>
      <c r="U805" s="1" t="str">
        <f>IF(AND(Programme_Grunddaten!$A810="Geprüft",Programme_Grunddaten!AC810&lt;&gt;""),IF(Programme_Grunddaten!AC810="Ja",1,0),"")</f>
        <v/>
      </c>
      <c r="V805" s="1" t="str">
        <f>IF(AND(Programme_Grunddaten!$A810="Geprüft",Programme_Grunddaten!AD810&lt;&gt;""),IF(Programme_Grunddaten!AD810="Ja",1,0),"")</f>
        <v/>
      </c>
      <c r="W805" s="1" t="str">
        <f>IF(AND(Programme_Grunddaten!$A810="Geprüft",Programme_Grunddaten!AE810&lt;&gt;""),IF(Programme_Grunddaten!AE810="Ja",1,0),"")</f>
        <v/>
      </c>
      <c r="X805" s="1" t="str">
        <f>IF(AND(Programme_Grunddaten!$A810="Geprüft",Programme_Grunddaten!AF810&lt;&gt;""),IF(Programme_Grunddaten!AF810="Ja",1,0),"")</f>
        <v/>
      </c>
      <c r="Y805" s="1" t="str">
        <f>IF(AND(Programme_Grunddaten!$A810="Geprüft",Programme_Grunddaten!AG810&lt;&gt;""),IF(Programme_Grunddaten!AG810="Ja",1,0),"")</f>
        <v/>
      </c>
      <c r="Z805" s="1" t="str">
        <f>IF(AND(Programme_Grunddaten!$A810="Geprüft",Programme_Grunddaten!AH810&lt;&gt;""),IF(Programme_Grunddaten!AH810="Ja",1,0),"")</f>
        <v/>
      </c>
      <c r="AA805" s="1" t="str">
        <f>IF(AND(Programme_Grunddaten!$A810="Geprüft",Programme_Grunddaten!AI810&lt;&gt;""),IF(Programme_Grunddaten!AI810="Ja",1,0),"")</f>
        <v/>
      </c>
      <c r="AB805" s="1" t="str">
        <f>IF(AND(Programme_Grunddaten!$A810="Geprüft",Programme_Grunddaten!AJ810&lt;&gt;""),IF(Programme_Grunddaten!AJ810="individuell programmierbar",1,0),"")</f>
        <v/>
      </c>
      <c r="AC805" s="1" t="str">
        <f>IF(AND(Programme_Grunddaten!$A810="Geprüft",Programme_Grunddaten!AK810&lt;&gt;""),IF(Programme_Grunddaten!AK810="Deutsch",0,IF(Programme_Grunddaten!AK810="Deutsch und Englisch",1,2)),"")</f>
        <v/>
      </c>
      <c r="AD805" s="1" t="str">
        <f>IF(AND(Programme_Grunddaten!$A810="Geprüft",Programme_Grunddaten!AL810&lt;&gt;""),IF(Programme_Grunddaten!AL810="Ja",1,0),"")</f>
        <v/>
      </c>
      <c r="AE805" s="1" t="str">
        <f>IF(AND(Programme_Grunddaten!$A810="Geprüft",Programme_Grunddaten!AM810&lt;&gt;""),IF(Programme_Grunddaten!AM810="Ja",1,0),"")</f>
        <v/>
      </c>
      <c r="AF805" s="1" t="str">
        <f>IF(AND(Programme_Grunddaten!$A810="Geprüft",Programme_Grunddaten!AN810&lt;&gt;""),IF(Programme_Grunddaten!AN810="Ja",1,0),"")</f>
        <v/>
      </c>
      <c r="AG805" s="1" t="str">
        <f>IF(AND(Programme_Grunddaten!$A810="Geprüft",Programme_Grunddaten!AO810&lt;&gt;""),IF(Programme_Grunddaten!AO810="Ja",1,0),"")</f>
        <v/>
      </c>
      <c r="AH805" s="1" t="str">
        <f>IF(AND(Programme_Grunddaten!$A810="Geprüft",Programme_Grunddaten!AP810&lt;&gt;""),IF(Programme_Grunddaten!AP810="Ja",1,0),"")</f>
        <v/>
      </c>
      <c r="AI805" s="1" t="str">
        <f>IF(AND(Programme_Grunddaten!$A810="Geprüft",Programme_Grunddaten!AQ810&lt;&gt;""),IF(Programme_Grunddaten!AQ810="Ja",1,0),"")</f>
        <v/>
      </c>
      <c r="AJ805" s="1" t="str">
        <f>IF(AND(Programme_Grunddaten!$A810="Geprüft",Programme_Grunddaten!AR810&lt;&gt;""),IF(Programme_Grunddaten!AR810="Ja",1,0),"")</f>
        <v/>
      </c>
      <c r="AK805" s="1" t="str">
        <f>IF(AND(Programme_Grunddaten!$A810="Geprüft",Programme_Grunddaten!AS810&lt;&gt;""),IF(Programme_Grunddaten!AS810="Ja",1,0),"")</f>
        <v/>
      </c>
      <c r="AL805" s="1" t="str">
        <f>IF(AND(Programme_Grunddaten!$A810="Geprüft",Programme_Grunddaten!AT810&lt;&gt;""),IF(Programme_Grunddaten!AT810="Ja",1,0),"")</f>
        <v/>
      </c>
      <c r="AM805" s="1" t="str">
        <f>IF(AND(Programme_Grunddaten!$A810="Geprüft",Programme_Grunddaten!AU810&lt;&gt;""),IF(Programme_Grunddaten!AU810="Ja",1,0),"")</f>
        <v/>
      </c>
      <c r="AN805" s="1" t="str">
        <f>IF(AND(Programme_Grunddaten!$A810="Geprüft",Programme_Grunddaten!AV810&lt;&gt;""),IF(Programme_Grunddaten!AV810="Ja",1,0),"")</f>
        <v/>
      </c>
    </row>
    <row r="806" spans="1:40" x14ac:dyDescent="0.3">
      <c r="A806" s="1" t="str">
        <f>IF(AND(Programme_Grunddaten!A811="Geprüft",Programme_Grunddaten!B811&lt;&gt;""),Programme_Grunddaten!B811,"")</f>
        <v/>
      </c>
      <c r="B806" s="1" t="str">
        <f>IF(AND(Programme_Grunddaten!$A811="Geprüft",Programme_Grunddaten!I811&lt;&gt;""),IF(Programme_Grunddaten!I811="Ja",1,0),"")</f>
        <v/>
      </c>
      <c r="C806" s="1" t="str">
        <f>IF(AND(Programme_Grunddaten!$A811="Geprüft",Programme_Grunddaten!J811&lt;&gt;""),IF(Programme_Grunddaten!J811="Ja",1,0),"")</f>
        <v/>
      </c>
      <c r="D806" s="1" t="str">
        <f>IF(AND(Programme_Grunddaten!$A811="Geprüft",Programme_Grunddaten!K811&lt;&gt;""),IF(Programme_Grunddaten!K811="Ja",1,0),"")</f>
        <v/>
      </c>
      <c r="E806" s="1" t="str">
        <f>IF(AND(Programme_Grunddaten!$A811="Geprüft",Programme_Grunddaten!L811&lt;&gt;""),IF(Programme_Grunddaten!L811="Abo / befristete Lizenz",1,0),"")</f>
        <v/>
      </c>
      <c r="F806" s="1" t="str">
        <f>IF(AND(Programme_Grunddaten!$A811="Geprüft",Programme_Grunddaten!M811&lt;&gt;""),IF(Programme_Grunddaten!M811="Ja",1,0),"")</f>
        <v/>
      </c>
      <c r="G806" s="1" t="str">
        <f>IF(AND(Programme_Grunddaten!$A811="Geprüft",Programme_Grunddaten!N811&lt;&gt;""),IF(Programme_Grunddaten!N811="Ja",1,0),"")</f>
        <v/>
      </c>
      <c r="H806" s="1" t="str">
        <f>IF(AND(Programme_Grunddaten!$A811="Geprüft",Programme_Grunddaten!O811&lt;&gt;""),IF(Programme_Grunddaten!O811="Deutschland",0,IF(Programme_Grunddaten!O811="EU",1,2)),"")</f>
        <v/>
      </c>
      <c r="I806" s="1" t="str">
        <f>IF(AND(Programme_Grunddaten!$A811="Geprüft",Programme_Grunddaten!P811&lt;&gt;""),IF(Programme_Grunddaten!P811="Ja",1,0),"")</f>
        <v/>
      </c>
      <c r="J806" s="1" t="str">
        <f>IF(AND(Programme_Grunddaten!$A811="Geprüft",Programme_Grunddaten!Q811&lt;&gt;""),IF(Programme_Grunddaten!Q811="geschlossenes System",1,0),"")</f>
        <v/>
      </c>
      <c r="K806" s="1" t="str">
        <f>IF(AND(Programme_Grunddaten!$A811="Geprüft",Programme_Grunddaten!R811&lt;&gt;""),IF(Programme_Grunddaten!R811="Ja",1,0),"")</f>
        <v/>
      </c>
      <c r="L806" s="1" t="str">
        <f>IF(AND(Programme_Grunddaten!$A811="Geprüft",Programme_Grunddaten!T811&lt;&gt;""),IF(Programme_Grunddaten!T811="Ja",1,0),"")</f>
        <v/>
      </c>
      <c r="M806" s="1" t="str">
        <f>IF(AND(Programme_Grunddaten!$A811="Geprüft",Programme_Grunddaten!U811&lt;&gt;""),IF(Programme_Grunddaten!U811="Ja",1,0),"")</f>
        <v/>
      </c>
      <c r="N806" s="1" t="str">
        <f>IF(AND(Programme_Grunddaten!$A811="Geprüft",Programme_Grunddaten!V811&lt;&gt;""),IF(Programme_Grunddaten!V811="Ja",1,0),"")</f>
        <v/>
      </c>
      <c r="O806" s="1" t="str">
        <f>IF(AND(Programme_Grunddaten!$A811="Geprüft",Programme_Grunddaten!W811&lt;&gt;""),IF(Programme_Grunddaten!W811="Ja",1,0),"")</f>
        <v/>
      </c>
      <c r="P806" s="1" t="str">
        <f>IF(AND(Programme_Grunddaten!$A811="Geprüft",Programme_Grunddaten!X811&lt;&gt;""),IF(Programme_Grunddaten!X811="Ja",1,0),"")</f>
        <v/>
      </c>
      <c r="Q806" s="1" t="str">
        <f>IF(AND(Programme_Grunddaten!$A811="Geprüft",Programme_Grunddaten!Y811&lt;&gt;""),IF(Programme_Grunddaten!Y811="Ja",1,0),"")</f>
        <v/>
      </c>
      <c r="R806" s="1" t="str">
        <f>IF(AND(Programme_Grunddaten!$A811="Geprüft",Programme_Grunddaten!Z811&lt;&gt;""),IF(Programme_Grunddaten!Z811="Ja",1,0),"")</f>
        <v/>
      </c>
      <c r="S806" s="1" t="str">
        <f>IF(AND(Programme_Grunddaten!$A811="Geprüft",Programme_Grunddaten!AA811&lt;&gt;""),IF(Programme_Grunddaten!AA811="monolithisch",1,0),"")</f>
        <v/>
      </c>
      <c r="T806" s="1" t="str">
        <f>IF(AND(Programme_Grunddaten!$A811="Geprüft",Programme_Grunddaten!AB811&lt;&gt;""),IF(Programme_Grunddaten!AB811="Ja",1,0),"")</f>
        <v/>
      </c>
      <c r="U806" s="1" t="str">
        <f>IF(AND(Programme_Grunddaten!$A811="Geprüft",Programme_Grunddaten!AC811&lt;&gt;""),IF(Programme_Grunddaten!AC811="Ja",1,0),"")</f>
        <v/>
      </c>
      <c r="V806" s="1" t="str">
        <f>IF(AND(Programme_Grunddaten!$A811="Geprüft",Programme_Grunddaten!AD811&lt;&gt;""),IF(Programme_Grunddaten!AD811="Ja",1,0),"")</f>
        <v/>
      </c>
      <c r="W806" s="1" t="str">
        <f>IF(AND(Programme_Grunddaten!$A811="Geprüft",Programme_Grunddaten!AE811&lt;&gt;""),IF(Programme_Grunddaten!AE811="Ja",1,0),"")</f>
        <v/>
      </c>
      <c r="X806" s="1" t="str">
        <f>IF(AND(Programme_Grunddaten!$A811="Geprüft",Programme_Grunddaten!AF811&lt;&gt;""),IF(Programme_Grunddaten!AF811="Ja",1,0),"")</f>
        <v/>
      </c>
      <c r="Y806" s="1" t="str">
        <f>IF(AND(Programme_Grunddaten!$A811="Geprüft",Programme_Grunddaten!AG811&lt;&gt;""),IF(Programme_Grunddaten!AG811="Ja",1,0),"")</f>
        <v/>
      </c>
      <c r="Z806" s="1" t="str">
        <f>IF(AND(Programme_Grunddaten!$A811="Geprüft",Programme_Grunddaten!AH811&lt;&gt;""),IF(Programme_Grunddaten!AH811="Ja",1,0),"")</f>
        <v/>
      </c>
      <c r="AA806" s="1" t="str">
        <f>IF(AND(Programme_Grunddaten!$A811="Geprüft",Programme_Grunddaten!AI811&lt;&gt;""),IF(Programme_Grunddaten!AI811="Ja",1,0),"")</f>
        <v/>
      </c>
      <c r="AB806" s="1" t="str">
        <f>IF(AND(Programme_Grunddaten!$A811="Geprüft",Programme_Grunddaten!AJ811&lt;&gt;""),IF(Programme_Grunddaten!AJ811="individuell programmierbar",1,0),"")</f>
        <v/>
      </c>
      <c r="AC806" s="1" t="str">
        <f>IF(AND(Programme_Grunddaten!$A811="Geprüft",Programme_Grunddaten!AK811&lt;&gt;""),IF(Programme_Grunddaten!AK811="Deutsch",0,IF(Programme_Grunddaten!AK811="Deutsch und Englisch",1,2)),"")</f>
        <v/>
      </c>
      <c r="AD806" s="1" t="str">
        <f>IF(AND(Programme_Grunddaten!$A811="Geprüft",Programme_Grunddaten!AL811&lt;&gt;""),IF(Programme_Grunddaten!AL811="Ja",1,0),"")</f>
        <v/>
      </c>
      <c r="AE806" s="1" t="str">
        <f>IF(AND(Programme_Grunddaten!$A811="Geprüft",Programme_Grunddaten!AM811&lt;&gt;""),IF(Programme_Grunddaten!AM811="Ja",1,0),"")</f>
        <v/>
      </c>
      <c r="AF806" s="1" t="str">
        <f>IF(AND(Programme_Grunddaten!$A811="Geprüft",Programme_Grunddaten!AN811&lt;&gt;""),IF(Programme_Grunddaten!AN811="Ja",1,0),"")</f>
        <v/>
      </c>
      <c r="AG806" s="1" t="str">
        <f>IF(AND(Programme_Grunddaten!$A811="Geprüft",Programme_Grunddaten!AO811&lt;&gt;""),IF(Programme_Grunddaten!AO811="Ja",1,0),"")</f>
        <v/>
      </c>
      <c r="AH806" s="1" t="str">
        <f>IF(AND(Programme_Grunddaten!$A811="Geprüft",Programme_Grunddaten!AP811&lt;&gt;""),IF(Programme_Grunddaten!AP811="Ja",1,0),"")</f>
        <v/>
      </c>
      <c r="AI806" s="1" t="str">
        <f>IF(AND(Programme_Grunddaten!$A811="Geprüft",Programme_Grunddaten!AQ811&lt;&gt;""),IF(Programme_Grunddaten!AQ811="Ja",1,0),"")</f>
        <v/>
      </c>
      <c r="AJ806" s="1" t="str">
        <f>IF(AND(Programme_Grunddaten!$A811="Geprüft",Programme_Grunddaten!AR811&lt;&gt;""),IF(Programme_Grunddaten!AR811="Ja",1,0),"")</f>
        <v/>
      </c>
      <c r="AK806" s="1" t="str">
        <f>IF(AND(Programme_Grunddaten!$A811="Geprüft",Programme_Grunddaten!AS811&lt;&gt;""),IF(Programme_Grunddaten!AS811="Ja",1,0),"")</f>
        <v/>
      </c>
      <c r="AL806" s="1" t="str">
        <f>IF(AND(Programme_Grunddaten!$A811="Geprüft",Programme_Grunddaten!AT811&lt;&gt;""),IF(Programme_Grunddaten!AT811="Ja",1,0),"")</f>
        <v/>
      </c>
      <c r="AM806" s="1" t="str">
        <f>IF(AND(Programme_Grunddaten!$A811="Geprüft",Programme_Grunddaten!AU811&lt;&gt;""),IF(Programme_Grunddaten!AU811="Ja",1,0),"")</f>
        <v/>
      </c>
      <c r="AN806" s="1" t="str">
        <f>IF(AND(Programme_Grunddaten!$A811="Geprüft",Programme_Grunddaten!AV811&lt;&gt;""),IF(Programme_Grunddaten!AV811="Ja",1,0),"")</f>
        <v/>
      </c>
    </row>
    <row r="807" spans="1:40" x14ac:dyDescent="0.3">
      <c r="A807" s="1" t="str">
        <f>IF(AND(Programme_Grunddaten!A812="Geprüft",Programme_Grunddaten!B812&lt;&gt;""),Programme_Grunddaten!B812,"")</f>
        <v/>
      </c>
      <c r="B807" s="1" t="str">
        <f>IF(AND(Programme_Grunddaten!$A812="Geprüft",Programme_Grunddaten!I812&lt;&gt;""),IF(Programme_Grunddaten!I812="Ja",1,0),"")</f>
        <v/>
      </c>
      <c r="C807" s="1" t="str">
        <f>IF(AND(Programme_Grunddaten!$A812="Geprüft",Programme_Grunddaten!J812&lt;&gt;""),IF(Programme_Grunddaten!J812="Ja",1,0),"")</f>
        <v/>
      </c>
      <c r="D807" s="1" t="str">
        <f>IF(AND(Programme_Grunddaten!$A812="Geprüft",Programme_Grunddaten!K812&lt;&gt;""),IF(Programme_Grunddaten!K812="Ja",1,0),"")</f>
        <v/>
      </c>
      <c r="E807" s="1" t="str">
        <f>IF(AND(Programme_Grunddaten!$A812="Geprüft",Programme_Grunddaten!L812&lt;&gt;""),IF(Programme_Grunddaten!L812="Abo / befristete Lizenz",1,0),"")</f>
        <v/>
      </c>
      <c r="F807" s="1" t="str">
        <f>IF(AND(Programme_Grunddaten!$A812="Geprüft",Programme_Grunddaten!M812&lt;&gt;""),IF(Programme_Grunddaten!M812="Ja",1,0),"")</f>
        <v/>
      </c>
      <c r="G807" s="1" t="str">
        <f>IF(AND(Programme_Grunddaten!$A812="Geprüft",Programme_Grunddaten!N812&lt;&gt;""),IF(Programme_Grunddaten!N812="Ja",1,0),"")</f>
        <v/>
      </c>
      <c r="H807" s="1" t="str">
        <f>IF(AND(Programme_Grunddaten!$A812="Geprüft",Programme_Grunddaten!O812&lt;&gt;""),IF(Programme_Grunddaten!O812="Deutschland",0,IF(Programme_Grunddaten!O812="EU",1,2)),"")</f>
        <v/>
      </c>
      <c r="I807" s="1" t="str">
        <f>IF(AND(Programme_Grunddaten!$A812="Geprüft",Programme_Grunddaten!P812&lt;&gt;""),IF(Programme_Grunddaten!P812="Ja",1,0),"")</f>
        <v/>
      </c>
      <c r="J807" s="1" t="str">
        <f>IF(AND(Programme_Grunddaten!$A812="Geprüft",Programme_Grunddaten!Q812&lt;&gt;""),IF(Programme_Grunddaten!Q812="geschlossenes System",1,0),"")</f>
        <v/>
      </c>
      <c r="K807" s="1" t="str">
        <f>IF(AND(Programme_Grunddaten!$A812="Geprüft",Programme_Grunddaten!R812&lt;&gt;""),IF(Programme_Grunddaten!R812="Ja",1,0),"")</f>
        <v/>
      </c>
      <c r="L807" s="1" t="str">
        <f>IF(AND(Programme_Grunddaten!$A812="Geprüft",Programme_Grunddaten!T812&lt;&gt;""),IF(Programme_Grunddaten!T812="Ja",1,0),"")</f>
        <v/>
      </c>
      <c r="M807" s="1" t="str">
        <f>IF(AND(Programme_Grunddaten!$A812="Geprüft",Programme_Grunddaten!U812&lt;&gt;""),IF(Programme_Grunddaten!U812="Ja",1,0),"")</f>
        <v/>
      </c>
      <c r="N807" s="1" t="str">
        <f>IF(AND(Programme_Grunddaten!$A812="Geprüft",Programme_Grunddaten!V812&lt;&gt;""),IF(Programme_Grunddaten!V812="Ja",1,0),"")</f>
        <v/>
      </c>
      <c r="O807" s="1" t="str">
        <f>IF(AND(Programme_Grunddaten!$A812="Geprüft",Programme_Grunddaten!W812&lt;&gt;""),IF(Programme_Grunddaten!W812="Ja",1,0),"")</f>
        <v/>
      </c>
      <c r="P807" s="1" t="str">
        <f>IF(AND(Programme_Grunddaten!$A812="Geprüft",Programme_Grunddaten!X812&lt;&gt;""),IF(Programme_Grunddaten!X812="Ja",1,0),"")</f>
        <v/>
      </c>
      <c r="Q807" s="1" t="str">
        <f>IF(AND(Programme_Grunddaten!$A812="Geprüft",Programme_Grunddaten!Y812&lt;&gt;""),IF(Programme_Grunddaten!Y812="Ja",1,0),"")</f>
        <v/>
      </c>
      <c r="R807" s="1" t="str">
        <f>IF(AND(Programme_Grunddaten!$A812="Geprüft",Programme_Grunddaten!Z812&lt;&gt;""),IF(Programme_Grunddaten!Z812="Ja",1,0),"")</f>
        <v/>
      </c>
      <c r="S807" s="1" t="str">
        <f>IF(AND(Programme_Grunddaten!$A812="Geprüft",Programme_Grunddaten!AA812&lt;&gt;""),IF(Programme_Grunddaten!AA812="monolithisch",1,0),"")</f>
        <v/>
      </c>
      <c r="T807" s="1" t="str">
        <f>IF(AND(Programme_Grunddaten!$A812="Geprüft",Programme_Grunddaten!AB812&lt;&gt;""),IF(Programme_Grunddaten!AB812="Ja",1,0),"")</f>
        <v/>
      </c>
      <c r="U807" s="1" t="str">
        <f>IF(AND(Programme_Grunddaten!$A812="Geprüft",Programme_Grunddaten!AC812&lt;&gt;""),IF(Programme_Grunddaten!AC812="Ja",1,0),"")</f>
        <v/>
      </c>
      <c r="V807" s="1" t="str">
        <f>IF(AND(Programme_Grunddaten!$A812="Geprüft",Programme_Grunddaten!AD812&lt;&gt;""),IF(Programme_Grunddaten!AD812="Ja",1,0),"")</f>
        <v/>
      </c>
      <c r="W807" s="1" t="str">
        <f>IF(AND(Programme_Grunddaten!$A812="Geprüft",Programme_Grunddaten!AE812&lt;&gt;""),IF(Programme_Grunddaten!AE812="Ja",1,0),"")</f>
        <v/>
      </c>
      <c r="X807" s="1" t="str">
        <f>IF(AND(Programme_Grunddaten!$A812="Geprüft",Programme_Grunddaten!AF812&lt;&gt;""),IF(Programme_Grunddaten!AF812="Ja",1,0),"")</f>
        <v/>
      </c>
      <c r="Y807" s="1" t="str">
        <f>IF(AND(Programme_Grunddaten!$A812="Geprüft",Programme_Grunddaten!AG812&lt;&gt;""),IF(Programme_Grunddaten!AG812="Ja",1,0),"")</f>
        <v/>
      </c>
      <c r="Z807" s="1" t="str">
        <f>IF(AND(Programme_Grunddaten!$A812="Geprüft",Programme_Grunddaten!AH812&lt;&gt;""),IF(Programme_Grunddaten!AH812="Ja",1,0),"")</f>
        <v/>
      </c>
      <c r="AA807" s="1" t="str">
        <f>IF(AND(Programme_Grunddaten!$A812="Geprüft",Programme_Grunddaten!AI812&lt;&gt;""),IF(Programme_Grunddaten!AI812="Ja",1,0),"")</f>
        <v/>
      </c>
      <c r="AB807" s="1" t="str">
        <f>IF(AND(Programme_Grunddaten!$A812="Geprüft",Programme_Grunddaten!AJ812&lt;&gt;""),IF(Programme_Grunddaten!AJ812="individuell programmierbar",1,0),"")</f>
        <v/>
      </c>
      <c r="AC807" s="1" t="str">
        <f>IF(AND(Programme_Grunddaten!$A812="Geprüft",Programme_Grunddaten!AK812&lt;&gt;""),IF(Programme_Grunddaten!AK812="Deutsch",0,IF(Programme_Grunddaten!AK812="Deutsch und Englisch",1,2)),"")</f>
        <v/>
      </c>
      <c r="AD807" s="1" t="str">
        <f>IF(AND(Programme_Grunddaten!$A812="Geprüft",Programme_Grunddaten!AL812&lt;&gt;""),IF(Programme_Grunddaten!AL812="Ja",1,0),"")</f>
        <v/>
      </c>
      <c r="AE807" s="1" t="str">
        <f>IF(AND(Programme_Grunddaten!$A812="Geprüft",Programme_Grunddaten!AM812&lt;&gt;""),IF(Programme_Grunddaten!AM812="Ja",1,0),"")</f>
        <v/>
      </c>
      <c r="AF807" s="1" t="str">
        <f>IF(AND(Programme_Grunddaten!$A812="Geprüft",Programme_Grunddaten!AN812&lt;&gt;""),IF(Programme_Grunddaten!AN812="Ja",1,0),"")</f>
        <v/>
      </c>
      <c r="AG807" s="1" t="str">
        <f>IF(AND(Programme_Grunddaten!$A812="Geprüft",Programme_Grunddaten!AO812&lt;&gt;""),IF(Programme_Grunddaten!AO812="Ja",1,0),"")</f>
        <v/>
      </c>
      <c r="AH807" s="1" t="str">
        <f>IF(AND(Programme_Grunddaten!$A812="Geprüft",Programme_Grunddaten!AP812&lt;&gt;""),IF(Programme_Grunddaten!AP812="Ja",1,0),"")</f>
        <v/>
      </c>
      <c r="AI807" s="1" t="str">
        <f>IF(AND(Programme_Grunddaten!$A812="Geprüft",Programme_Grunddaten!AQ812&lt;&gt;""),IF(Programme_Grunddaten!AQ812="Ja",1,0),"")</f>
        <v/>
      </c>
      <c r="AJ807" s="1" t="str">
        <f>IF(AND(Programme_Grunddaten!$A812="Geprüft",Programme_Grunddaten!AR812&lt;&gt;""),IF(Programme_Grunddaten!AR812="Ja",1,0),"")</f>
        <v/>
      </c>
      <c r="AK807" s="1" t="str">
        <f>IF(AND(Programme_Grunddaten!$A812="Geprüft",Programme_Grunddaten!AS812&lt;&gt;""),IF(Programme_Grunddaten!AS812="Ja",1,0),"")</f>
        <v/>
      </c>
      <c r="AL807" s="1" t="str">
        <f>IF(AND(Programme_Grunddaten!$A812="Geprüft",Programme_Grunddaten!AT812&lt;&gt;""),IF(Programme_Grunddaten!AT812="Ja",1,0),"")</f>
        <v/>
      </c>
      <c r="AM807" s="1" t="str">
        <f>IF(AND(Programme_Grunddaten!$A812="Geprüft",Programme_Grunddaten!AU812&lt;&gt;""),IF(Programme_Grunddaten!AU812="Ja",1,0),"")</f>
        <v/>
      </c>
      <c r="AN807" s="1" t="str">
        <f>IF(AND(Programme_Grunddaten!$A812="Geprüft",Programme_Grunddaten!AV812&lt;&gt;""),IF(Programme_Grunddaten!AV812="Ja",1,0),"")</f>
        <v/>
      </c>
    </row>
    <row r="808" spans="1:40" x14ac:dyDescent="0.3">
      <c r="A808" s="1" t="str">
        <f>IF(AND(Programme_Grunddaten!A813="Geprüft",Programme_Grunddaten!B813&lt;&gt;""),Programme_Grunddaten!B813,"")</f>
        <v/>
      </c>
      <c r="B808" s="1" t="str">
        <f>IF(AND(Programme_Grunddaten!$A813="Geprüft",Programme_Grunddaten!I813&lt;&gt;""),IF(Programme_Grunddaten!I813="Ja",1,0),"")</f>
        <v/>
      </c>
      <c r="C808" s="1" t="str">
        <f>IF(AND(Programme_Grunddaten!$A813="Geprüft",Programme_Grunddaten!J813&lt;&gt;""),IF(Programme_Grunddaten!J813="Ja",1,0),"")</f>
        <v/>
      </c>
      <c r="D808" s="1" t="str">
        <f>IF(AND(Programme_Grunddaten!$A813="Geprüft",Programme_Grunddaten!K813&lt;&gt;""),IF(Programme_Grunddaten!K813="Ja",1,0),"")</f>
        <v/>
      </c>
      <c r="E808" s="1" t="str">
        <f>IF(AND(Programme_Grunddaten!$A813="Geprüft",Programme_Grunddaten!L813&lt;&gt;""),IF(Programme_Grunddaten!L813="Abo / befristete Lizenz",1,0),"")</f>
        <v/>
      </c>
      <c r="F808" s="1" t="str">
        <f>IF(AND(Programme_Grunddaten!$A813="Geprüft",Programme_Grunddaten!M813&lt;&gt;""),IF(Programme_Grunddaten!M813="Ja",1,0),"")</f>
        <v/>
      </c>
      <c r="G808" s="1" t="str">
        <f>IF(AND(Programme_Grunddaten!$A813="Geprüft",Programme_Grunddaten!N813&lt;&gt;""),IF(Programme_Grunddaten!N813="Ja",1,0),"")</f>
        <v/>
      </c>
      <c r="H808" s="1" t="str">
        <f>IF(AND(Programme_Grunddaten!$A813="Geprüft",Programme_Grunddaten!O813&lt;&gt;""),IF(Programme_Grunddaten!O813="Deutschland",0,IF(Programme_Grunddaten!O813="EU",1,2)),"")</f>
        <v/>
      </c>
      <c r="I808" s="1" t="str">
        <f>IF(AND(Programme_Grunddaten!$A813="Geprüft",Programme_Grunddaten!P813&lt;&gt;""),IF(Programme_Grunddaten!P813="Ja",1,0),"")</f>
        <v/>
      </c>
      <c r="J808" s="1" t="str">
        <f>IF(AND(Programme_Grunddaten!$A813="Geprüft",Programme_Grunddaten!Q813&lt;&gt;""),IF(Programme_Grunddaten!Q813="geschlossenes System",1,0),"")</f>
        <v/>
      </c>
      <c r="K808" s="1" t="str">
        <f>IF(AND(Programme_Grunddaten!$A813="Geprüft",Programme_Grunddaten!R813&lt;&gt;""),IF(Programme_Grunddaten!R813="Ja",1,0),"")</f>
        <v/>
      </c>
      <c r="L808" s="1" t="str">
        <f>IF(AND(Programme_Grunddaten!$A813="Geprüft",Programme_Grunddaten!T813&lt;&gt;""),IF(Programme_Grunddaten!T813="Ja",1,0),"")</f>
        <v/>
      </c>
      <c r="M808" s="1" t="str">
        <f>IF(AND(Programme_Grunddaten!$A813="Geprüft",Programme_Grunddaten!U813&lt;&gt;""),IF(Programme_Grunddaten!U813="Ja",1,0),"")</f>
        <v/>
      </c>
      <c r="N808" s="1" t="str">
        <f>IF(AND(Programme_Grunddaten!$A813="Geprüft",Programme_Grunddaten!V813&lt;&gt;""),IF(Programme_Grunddaten!V813="Ja",1,0),"")</f>
        <v/>
      </c>
      <c r="O808" s="1" t="str">
        <f>IF(AND(Programme_Grunddaten!$A813="Geprüft",Programme_Grunddaten!W813&lt;&gt;""),IF(Programme_Grunddaten!W813="Ja",1,0),"")</f>
        <v/>
      </c>
      <c r="P808" s="1" t="str">
        <f>IF(AND(Programme_Grunddaten!$A813="Geprüft",Programme_Grunddaten!X813&lt;&gt;""),IF(Programme_Grunddaten!X813="Ja",1,0),"")</f>
        <v/>
      </c>
      <c r="Q808" s="1" t="str">
        <f>IF(AND(Programme_Grunddaten!$A813="Geprüft",Programme_Grunddaten!Y813&lt;&gt;""),IF(Programme_Grunddaten!Y813="Ja",1,0),"")</f>
        <v/>
      </c>
      <c r="R808" s="1" t="str">
        <f>IF(AND(Programme_Grunddaten!$A813="Geprüft",Programme_Grunddaten!Z813&lt;&gt;""),IF(Programme_Grunddaten!Z813="Ja",1,0),"")</f>
        <v/>
      </c>
      <c r="S808" s="1" t="str">
        <f>IF(AND(Programme_Grunddaten!$A813="Geprüft",Programme_Grunddaten!AA813&lt;&gt;""),IF(Programme_Grunddaten!AA813="monolithisch",1,0),"")</f>
        <v/>
      </c>
      <c r="T808" s="1" t="str">
        <f>IF(AND(Programme_Grunddaten!$A813="Geprüft",Programme_Grunddaten!AB813&lt;&gt;""),IF(Programme_Grunddaten!AB813="Ja",1,0),"")</f>
        <v/>
      </c>
      <c r="U808" s="1" t="str">
        <f>IF(AND(Programme_Grunddaten!$A813="Geprüft",Programme_Grunddaten!AC813&lt;&gt;""),IF(Programme_Grunddaten!AC813="Ja",1,0),"")</f>
        <v/>
      </c>
      <c r="V808" s="1" t="str">
        <f>IF(AND(Programme_Grunddaten!$A813="Geprüft",Programme_Grunddaten!AD813&lt;&gt;""),IF(Programme_Grunddaten!AD813="Ja",1,0),"")</f>
        <v/>
      </c>
      <c r="W808" s="1" t="str">
        <f>IF(AND(Programme_Grunddaten!$A813="Geprüft",Programme_Grunddaten!AE813&lt;&gt;""),IF(Programme_Grunddaten!AE813="Ja",1,0),"")</f>
        <v/>
      </c>
      <c r="X808" s="1" t="str">
        <f>IF(AND(Programme_Grunddaten!$A813="Geprüft",Programme_Grunddaten!AF813&lt;&gt;""),IF(Programme_Grunddaten!AF813="Ja",1,0),"")</f>
        <v/>
      </c>
      <c r="Y808" s="1" t="str">
        <f>IF(AND(Programme_Grunddaten!$A813="Geprüft",Programme_Grunddaten!AG813&lt;&gt;""),IF(Programme_Grunddaten!AG813="Ja",1,0),"")</f>
        <v/>
      </c>
      <c r="Z808" s="1" t="str">
        <f>IF(AND(Programme_Grunddaten!$A813="Geprüft",Programme_Grunddaten!AH813&lt;&gt;""),IF(Programme_Grunddaten!AH813="Ja",1,0),"")</f>
        <v/>
      </c>
      <c r="AA808" s="1" t="str">
        <f>IF(AND(Programme_Grunddaten!$A813="Geprüft",Programme_Grunddaten!AI813&lt;&gt;""),IF(Programme_Grunddaten!AI813="Ja",1,0),"")</f>
        <v/>
      </c>
      <c r="AB808" s="1" t="str">
        <f>IF(AND(Programme_Grunddaten!$A813="Geprüft",Programme_Grunddaten!AJ813&lt;&gt;""),IF(Programme_Grunddaten!AJ813="individuell programmierbar",1,0),"")</f>
        <v/>
      </c>
      <c r="AC808" s="1" t="str">
        <f>IF(AND(Programme_Grunddaten!$A813="Geprüft",Programme_Grunddaten!AK813&lt;&gt;""),IF(Programme_Grunddaten!AK813="Deutsch",0,IF(Programme_Grunddaten!AK813="Deutsch und Englisch",1,2)),"")</f>
        <v/>
      </c>
      <c r="AD808" s="1" t="str">
        <f>IF(AND(Programme_Grunddaten!$A813="Geprüft",Programme_Grunddaten!AL813&lt;&gt;""),IF(Programme_Grunddaten!AL813="Ja",1,0),"")</f>
        <v/>
      </c>
      <c r="AE808" s="1" t="str">
        <f>IF(AND(Programme_Grunddaten!$A813="Geprüft",Programme_Grunddaten!AM813&lt;&gt;""),IF(Programme_Grunddaten!AM813="Ja",1,0),"")</f>
        <v/>
      </c>
      <c r="AF808" s="1" t="str">
        <f>IF(AND(Programme_Grunddaten!$A813="Geprüft",Programme_Grunddaten!AN813&lt;&gt;""),IF(Programme_Grunddaten!AN813="Ja",1,0),"")</f>
        <v/>
      </c>
      <c r="AG808" s="1" t="str">
        <f>IF(AND(Programme_Grunddaten!$A813="Geprüft",Programme_Grunddaten!AO813&lt;&gt;""),IF(Programme_Grunddaten!AO813="Ja",1,0),"")</f>
        <v/>
      </c>
      <c r="AH808" s="1" t="str">
        <f>IF(AND(Programme_Grunddaten!$A813="Geprüft",Programme_Grunddaten!AP813&lt;&gt;""),IF(Programme_Grunddaten!AP813="Ja",1,0),"")</f>
        <v/>
      </c>
      <c r="AI808" s="1" t="str">
        <f>IF(AND(Programme_Grunddaten!$A813="Geprüft",Programme_Grunddaten!AQ813&lt;&gt;""),IF(Programme_Grunddaten!AQ813="Ja",1,0),"")</f>
        <v/>
      </c>
      <c r="AJ808" s="1" t="str">
        <f>IF(AND(Programme_Grunddaten!$A813="Geprüft",Programme_Grunddaten!AR813&lt;&gt;""),IF(Programme_Grunddaten!AR813="Ja",1,0),"")</f>
        <v/>
      </c>
      <c r="AK808" s="1" t="str">
        <f>IF(AND(Programme_Grunddaten!$A813="Geprüft",Programme_Grunddaten!AS813&lt;&gt;""),IF(Programme_Grunddaten!AS813="Ja",1,0),"")</f>
        <v/>
      </c>
      <c r="AL808" s="1" t="str">
        <f>IF(AND(Programme_Grunddaten!$A813="Geprüft",Programme_Grunddaten!AT813&lt;&gt;""),IF(Programme_Grunddaten!AT813="Ja",1,0),"")</f>
        <v/>
      </c>
      <c r="AM808" s="1" t="str">
        <f>IF(AND(Programme_Grunddaten!$A813="Geprüft",Programme_Grunddaten!AU813&lt;&gt;""),IF(Programme_Grunddaten!AU813="Ja",1,0),"")</f>
        <v/>
      </c>
      <c r="AN808" s="1" t="str">
        <f>IF(AND(Programme_Grunddaten!$A813="Geprüft",Programme_Grunddaten!AV813&lt;&gt;""),IF(Programme_Grunddaten!AV813="Ja",1,0),"")</f>
        <v/>
      </c>
    </row>
    <row r="809" spans="1:40" x14ac:dyDescent="0.3">
      <c r="A809" s="1" t="str">
        <f>IF(AND(Programme_Grunddaten!A814="Geprüft",Programme_Grunddaten!B814&lt;&gt;""),Programme_Grunddaten!B814,"")</f>
        <v/>
      </c>
      <c r="B809" s="1" t="str">
        <f>IF(AND(Programme_Grunddaten!$A814="Geprüft",Programme_Grunddaten!I814&lt;&gt;""),IF(Programme_Grunddaten!I814="Ja",1,0),"")</f>
        <v/>
      </c>
      <c r="C809" s="1" t="str">
        <f>IF(AND(Programme_Grunddaten!$A814="Geprüft",Programme_Grunddaten!J814&lt;&gt;""),IF(Programme_Grunddaten!J814="Ja",1,0),"")</f>
        <v/>
      </c>
      <c r="D809" s="1" t="str">
        <f>IF(AND(Programme_Grunddaten!$A814="Geprüft",Programme_Grunddaten!K814&lt;&gt;""),IF(Programme_Grunddaten!K814="Ja",1,0),"")</f>
        <v/>
      </c>
      <c r="E809" s="1" t="str">
        <f>IF(AND(Programme_Grunddaten!$A814="Geprüft",Programme_Grunddaten!L814&lt;&gt;""),IF(Programme_Grunddaten!L814="Abo / befristete Lizenz",1,0),"")</f>
        <v/>
      </c>
      <c r="F809" s="1" t="str">
        <f>IF(AND(Programme_Grunddaten!$A814="Geprüft",Programme_Grunddaten!M814&lt;&gt;""),IF(Programme_Grunddaten!M814="Ja",1,0),"")</f>
        <v/>
      </c>
      <c r="G809" s="1" t="str">
        <f>IF(AND(Programme_Grunddaten!$A814="Geprüft",Programme_Grunddaten!N814&lt;&gt;""),IF(Programme_Grunddaten!N814="Ja",1,0),"")</f>
        <v/>
      </c>
      <c r="H809" s="1" t="str">
        <f>IF(AND(Programme_Grunddaten!$A814="Geprüft",Programme_Grunddaten!O814&lt;&gt;""),IF(Programme_Grunddaten!O814="Deutschland",0,IF(Programme_Grunddaten!O814="EU",1,2)),"")</f>
        <v/>
      </c>
      <c r="I809" s="1" t="str">
        <f>IF(AND(Programme_Grunddaten!$A814="Geprüft",Programme_Grunddaten!P814&lt;&gt;""),IF(Programme_Grunddaten!P814="Ja",1,0),"")</f>
        <v/>
      </c>
      <c r="J809" s="1" t="str">
        <f>IF(AND(Programme_Grunddaten!$A814="Geprüft",Programme_Grunddaten!Q814&lt;&gt;""),IF(Programme_Grunddaten!Q814="geschlossenes System",1,0),"")</f>
        <v/>
      </c>
      <c r="K809" s="1" t="str">
        <f>IF(AND(Programme_Grunddaten!$A814="Geprüft",Programme_Grunddaten!R814&lt;&gt;""),IF(Programme_Grunddaten!R814="Ja",1,0),"")</f>
        <v/>
      </c>
      <c r="L809" s="1" t="str">
        <f>IF(AND(Programme_Grunddaten!$A814="Geprüft",Programme_Grunddaten!T814&lt;&gt;""),IF(Programme_Grunddaten!T814="Ja",1,0),"")</f>
        <v/>
      </c>
      <c r="M809" s="1" t="str">
        <f>IF(AND(Programme_Grunddaten!$A814="Geprüft",Programme_Grunddaten!U814&lt;&gt;""),IF(Programme_Grunddaten!U814="Ja",1,0),"")</f>
        <v/>
      </c>
      <c r="N809" s="1" t="str">
        <f>IF(AND(Programme_Grunddaten!$A814="Geprüft",Programme_Grunddaten!V814&lt;&gt;""),IF(Programme_Grunddaten!V814="Ja",1,0),"")</f>
        <v/>
      </c>
      <c r="O809" s="1" t="str">
        <f>IF(AND(Programme_Grunddaten!$A814="Geprüft",Programme_Grunddaten!W814&lt;&gt;""),IF(Programme_Grunddaten!W814="Ja",1,0),"")</f>
        <v/>
      </c>
      <c r="P809" s="1" t="str">
        <f>IF(AND(Programme_Grunddaten!$A814="Geprüft",Programme_Grunddaten!X814&lt;&gt;""),IF(Programme_Grunddaten!X814="Ja",1,0),"")</f>
        <v/>
      </c>
      <c r="Q809" s="1" t="str">
        <f>IF(AND(Programme_Grunddaten!$A814="Geprüft",Programme_Grunddaten!Y814&lt;&gt;""),IF(Programme_Grunddaten!Y814="Ja",1,0),"")</f>
        <v/>
      </c>
      <c r="R809" s="1" t="str">
        <f>IF(AND(Programme_Grunddaten!$A814="Geprüft",Programme_Grunddaten!Z814&lt;&gt;""),IF(Programme_Grunddaten!Z814="Ja",1,0),"")</f>
        <v/>
      </c>
      <c r="S809" s="1" t="str">
        <f>IF(AND(Programme_Grunddaten!$A814="Geprüft",Programme_Grunddaten!AA814&lt;&gt;""),IF(Programme_Grunddaten!AA814="monolithisch",1,0),"")</f>
        <v/>
      </c>
      <c r="T809" s="1" t="str">
        <f>IF(AND(Programme_Grunddaten!$A814="Geprüft",Programme_Grunddaten!AB814&lt;&gt;""),IF(Programme_Grunddaten!AB814="Ja",1,0),"")</f>
        <v/>
      </c>
      <c r="U809" s="1" t="str">
        <f>IF(AND(Programme_Grunddaten!$A814="Geprüft",Programme_Grunddaten!AC814&lt;&gt;""),IF(Programme_Grunddaten!AC814="Ja",1,0),"")</f>
        <v/>
      </c>
      <c r="V809" s="1" t="str">
        <f>IF(AND(Programme_Grunddaten!$A814="Geprüft",Programme_Grunddaten!AD814&lt;&gt;""),IF(Programme_Grunddaten!AD814="Ja",1,0),"")</f>
        <v/>
      </c>
      <c r="W809" s="1" t="str">
        <f>IF(AND(Programme_Grunddaten!$A814="Geprüft",Programme_Grunddaten!AE814&lt;&gt;""),IF(Programme_Grunddaten!AE814="Ja",1,0),"")</f>
        <v/>
      </c>
      <c r="X809" s="1" t="str">
        <f>IF(AND(Programme_Grunddaten!$A814="Geprüft",Programme_Grunddaten!AF814&lt;&gt;""),IF(Programme_Grunddaten!AF814="Ja",1,0),"")</f>
        <v/>
      </c>
      <c r="Y809" s="1" t="str">
        <f>IF(AND(Programme_Grunddaten!$A814="Geprüft",Programme_Grunddaten!AG814&lt;&gt;""),IF(Programme_Grunddaten!AG814="Ja",1,0),"")</f>
        <v/>
      </c>
      <c r="Z809" s="1" t="str">
        <f>IF(AND(Programme_Grunddaten!$A814="Geprüft",Programme_Grunddaten!AH814&lt;&gt;""),IF(Programme_Grunddaten!AH814="Ja",1,0),"")</f>
        <v/>
      </c>
      <c r="AA809" s="1" t="str">
        <f>IF(AND(Programme_Grunddaten!$A814="Geprüft",Programme_Grunddaten!AI814&lt;&gt;""),IF(Programme_Grunddaten!AI814="Ja",1,0),"")</f>
        <v/>
      </c>
      <c r="AB809" s="1" t="str">
        <f>IF(AND(Programme_Grunddaten!$A814="Geprüft",Programme_Grunddaten!AJ814&lt;&gt;""),IF(Programme_Grunddaten!AJ814="individuell programmierbar",1,0),"")</f>
        <v/>
      </c>
      <c r="AC809" s="1" t="str">
        <f>IF(AND(Programme_Grunddaten!$A814="Geprüft",Programme_Grunddaten!AK814&lt;&gt;""),IF(Programme_Grunddaten!AK814="Deutsch",0,IF(Programme_Grunddaten!AK814="Deutsch und Englisch",1,2)),"")</f>
        <v/>
      </c>
      <c r="AD809" s="1" t="str">
        <f>IF(AND(Programme_Grunddaten!$A814="Geprüft",Programme_Grunddaten!AL814&lt;&gt;""),IF(Programme_Grunddaten!AL814="Ja",1,0),"")</f>
        <v/>
      </c>
      <c r="AE809" s="1" t="str">
        <f>IF(AND(Programme_Grunddaten!$A814="Geprüft",Programme_Grunddaten!AM814&lt;&gt;""),IF(Programme_Grunddaten!AM814="Ja",1,0),"")</f>
        <v/>
      </c>
      <c r="AF809" s="1" t="str">
        <f>IF(AND(Programme_Grunddaten!$A814="Geprüft",Programme_Grunddaten!AN814&lt;&gt;""),IF(Programme_Grunddaten!AN814="Ja",1,0),"")</f>
        <v/>
      </c>
      <c r="AG809" s="1" t="str">
        <f>IF(AND(Programme_Grunddaten!$A814="Geprüft",Programme_Grunddaten!AO814&lt;&gt;""),IF(Programme_Grunddaten!AO814="Ja",1,0),"")</f>
        <v/>
      </c>
      <c r="AH809" s="1" t="str">
        <f>IF(AND(Programme_Grunddaten!$A814="Geprüft",Programme_Grunddaten!AP814&lt;&gt;""),IF(Programme_Grunddaten!AP814="Ja",1,0),"")</f>
        <v/>
      </c>
      <c r="AI809" s="1" t="str">
        <f>IF(AND(Programme_Grunddaten!$A814="Geprüft",Programme_Grunddaten!AQ814&lt;&gt;""),IF(Programme_Grunddaten!AQ814="Ja",1,0),"")</f>
        <v/>
      </c>
      <c r="AJ809" s="1" t="str">
        <f>IF(AND(Programme_Grunddaten!$A814="Geprüft",Programme_Grunddaten!AR814&lt;&gt;""),IF(Programme_Grunddaten!AR814="Ja",1,0),"")</f>
        <v/>
      </c>
      <c r="AK809" s="1" t="str">
        <f>IF(AND(Programme_Grunddaten!$A814="Geprüft",Programme_Grunddaten!AS814&lt;&gt;""),IF(Programme_Grunddaten!AS814="Ja",1,0),"")</f>
        <v/>
      </c>
      <c r="AL809" s="1" t="str">
        <f>IF(AND(Programme_Grunddaten!$A814="Geprüft",Programme_Grunddaten!AT814&lt;&gt;""),IF(Programme_Grunddaten!AT814="Ja",1,0),"")</f>
        <v/>
      </c>
      <c r="AM809" s="1" t="str">
        <f>IF(AND(Programme_Grunddaten!$A814="Geprüft",Programme_Grunddaten!AU814&lt;&gt;""),IF(Programme_Grunddaten!AU814="Ja",1,0),"")</f>
        <v/>
      </c>
      <c r="AN809" s="1" t="str">
        <f>IF(AND(Programme_Grunddaten!$A814="Geprüft",Programme_Grunddaten!AV814&lt;&gt;""),IF(Programme_Grunddaten!AV814="Ja",1,0),"")</f>
        <v/>
      </c>
    </row>
    <row r="810" spans="1:40" x14ac:dyDescent="0.3">
      <c r="A810" s="1" t="str">
        <f>IF(AND(Programme_Grunddaten!A815="Geprüft",Programme_Grunddaten!B815&lt;&gt;""),Programme_Grunddaten!B815,"")</f>
        <v/>
      </c>
      <c r="B810" s="1" t="str">
        <f>IF(AND(Programme_Grunddaten!$A815="Geprüft",Programme_Grunddaten!I815&lt;&gt;""),IF(Programme_Grunddaten!I815="Ja",1,0),"")</f>
        <v/>
      </c>
      <c r="C810" s="1" t="str">
        <f>IF(AND(Programme_Grunddaten!$A815="Geprüft",Programme_Grunddaten!J815&lt;&gt;""),IF(Programme_Grunddaten!J815="Ja",1,0),"")</f>
        <v/>
      </c>
      <c r="D810" s="1" t="str">
        <f>IF(AND(Programme_Grunddaten!$A815="Geprüft",Programme_Grunddaten!K815&lt;&gt;""),IF(Programme_Grunddaten!K815="Ja",1,0),"")</f>
        <v/>
      </c>
      <c r="E810" s="1" t="str">
        <f>IF(AND(Programme_Grunddaten!$A815="Geprüft",Programme_Grunddaten!L815&lt;&gt;""),IF(Programme_Grunddaten!L815="Abo / befristete Lizenz",1,0),"")</f>
        <v/>
      </c>
      <c r="F810" s="1" t="str">
        <f>IF(AND(Programme_Grunddaten!$A815="Geprüft",Programme_Grunddaten!M815&lt;&gt;""),IF(Programme_Grunddaten!M815="Ja",1,0),"")</f>
        <v/>
      </c>
      <c r="G810" s="1" t="str">
        <f>IF(AND(Programme_Grunddaten!$A815="Geprüft",Programme_Grunddaten!N815&lt;&gt;""),IF(Programme_Grunddaten!N815="Ja",1,0),"")</f>
        <v/>
      </c>
      <c r="H810" s="1" t="str">
        <f>IF(AND(Programme_Grunddaten!$A815="Geprüft",Programme_Grunddaten!O815&lt;&gt;""),IF(Programme_Grunddaten!O815="Deutschland",0,IF(Programme_Grunddaten!O815="EU",1,2)),"")</f>
        <v/>
      </c>
      <c r="I810" s="1" t="str">
        <f>IF(AND(Programme_Grunddaten!$A815="Geprüft",Programme_Grunddaten!P815&lt;&gt;""),IF(Programme_Grunddaten!P815="Ja",1,0),"")</f>
        <v/>
      </c>
      <c r="J810" s="1" t="str">
        <f>IF(AND(Programme_Grunddaten!$A815="Geprüft",Programme_Grunddaten!Q815&lt;&gt;""),IF(Programme_Grunddaten!Q815="geschlossenes System",1,0),"")</f>
        <v/>
      </c>
      <c r="K810" s="1" t="str">
        <f>IF(AND(Programme_Grunddaten!$A815="Geprüft",Programme_Grunddaten!R815&lt;&gt;""),IF(Programme_Grunddaten!R815="Ja",1,0),"")</f>
        <v/>
      </c>
      <c r="L810" s="1" t="str">
        <f>IF(AND(Programme_Grunddaten!$A815="Geprüft",Programme_Grunddaten!T815&lt;&gt;""),IF(Programme_Grunddaten!T815="Ja",1,0),"")</f>
        <v/>
      </c>
      <c r="M810" s="1" t="str">
        <f>IF(AND(Programme_Grunddaten!$A815="Geprüft",Programme_Grunddaten!U815&lt;&gt;""),IF(Programme_Grunddaten!U815="Ja",1,0),"")</f>
        <v/>
      </c>
      <c r="N810" s="1" t="str">
        <f>IF(AND(Programme_Grunddaten!$A815="Geprüft",Programme_Grunddaten!V815&lt;&gt;""),IF(Programme_Grunddaten!V815="Ja",1,0),"")</f>
        <v/>
      </c>
      <c r="O810" s="1" t="str">
        <f>IF(AND(Programme_Grunddaten!$A815="Geprüft",Programme_Grunddaten!W815&lt;&gt;""),IF(Programme_Grunddaten!W815="Ja",1,0),"")</f>
        <v/>
      </c>
      <c r="P810" s="1" t="str">
        <f>IF(AND(Programme_Grunddaten!$A815="Geprüft",Programme_Grunddaten!X815&lt;&gt;""),IF(Programme_Grunddaten!X815="Ja",1,0),"")</f>
        <v/>
      </c>
      <c r="Q810" s="1" t="str">
        <f>IF(AND(Programme_Grunddaten!$A815="Geprüft",Programme_Grunddaten!Y815&lt;&gt;""),IF(Programme_Grunddaten!Y815="Ja",1,0),"")</f>
        <v/>
      </c>
      <c r="R810" s="1" t="str">
        <f>IF(AND(Programme_Grunddaten!$A815="Geprüft",Programme_Grunddaten!Z815&lt;&gt;""),IF(Programme_Grunddaten!Z815="Ja",1,0),"")</f>
        <v/>
      </c>
      <c r="S810" s="1" t="str">
        <f>IF(AND(Programme_Grunddaten!$A815="Geprüft",Programme_Grunddaten!AA815&lt;&gt;""),IF(Programme_Grunddaten!AA815="monolithisch",1,0),"")</f>
        <v/>
      </c>
      <c r="T810" s="1" t="str">
        <f>IF(AND(Programme_Grunddaten!$A815="Geprüft",Programme_Grunddaten!AB815&lt;&gt;""),IF(Programme_Grunddaten!AB815="Ja",1,0),"")</f>
        <v/>
      </c>
      <c r="U810" s="1" t="str">
        <f>IF(AND(Programme_Grunddaten!$A815="Geprüft",Programme_Grunddaten!AC815&lt;&gt;""),IF(Programme_Grunddaten!AC815="Ja",1,0),"")</f>
        <v/>
      </c>
      <c r="V810" s="1" t="str">
        <f>IF(AND(Programme_Grunddaten!$A815="Geprüft",Programme_Grunddaten!AD815&lt;&gt;""),IF(Programme_Grunddaten!AD815="Ja",1,0),"")</f>
        <v/>
      </c>
      <c r="W810" s="1" t="str">
        <f>IF(AND(Programme_Grunddaten!$A815="Geprüft",Programme_Grunddaten!AE815&lt;&gt;""),IF(Programme_Grunddaten!AE815="Ja",1,0),"")</f>
        <v/>
      </c>
      <c r="X810" s="1" t="str">
        <f>IF(AND(Programme_Grunddaten!$A815="Geprüft",Programme_Grunddaten!AF815&lt;&gt;""),IF(Programme_Grunddaten!AF815="Ja",1,0),"")</f>
        <v/>
      </c>
      <c r="Y810" s="1" t="str">
        <f>IF(AND(Programme_Grunddaten!$A815="Geprüft",Programme_Grunddaten!AG815&lt;&gt;""),IF(Programme_Grunddaten!AG815="Ja",1,0),"")</f>
        <v/>
      </c>
      <c r="Z810" s="1" t="str">
        <f>IF(AND(Programme_Grunddaten!$A815="Geprüft",Programme_Grunddaten!AH815&lt;&gt;""),IF(Programme_Grunddaten!AH815="Ja",1,0),"")</f>
        <v/>
      </c>
      <c r="AA810" s="1" t="str">
        <f>IF(AND(Programme_Grunddaten!$A815="Geprüft",Programme_Grunddaten!AI815&lt;&gt;""),IF(Programme_Grunddaten!AI815="Ja",1,0),"")</f>
        <v/>
      </c>
      <c r="AB810" s="1" t="str">
        <f>IF(AND(Programme_Grunddaten!$A815="Geprüft",Programme_Grunddaten!AJ815&lt;&gt;""),IF(Programme_Grunddaten!AJ815="individuell programmierbar",1,0),"")</f>
        <v/>
      </c>
      <c r="AC810" s="1" t="str">
        <f>IF(AND(Programme_Grunddaten!$A815="Geprüft",Programme_Grunddaten!AK815&lt;&gt;""),IF(Programme_Grunddaten!AK815="Deutsch",0,IF(Programme_Grunddaten!AK815="Deutsch und Englisch",1,2)),"")</f>
        <v/>
      </c>
      <c r="AD810" s="1" t="str">
        <f>IF(AND(Programme_Grunddaten!$A815="Geprüft",Programme_Grunddaten!AL815&lt;&gt;""),IF(Programme_Grunddaten!AL815="Ja",1,0),"")</f>
        <v/>
      </c>
      <c r="AE810" s="1" t="str">
        <f>IF(AND(Programme_Grunddaten!$A815="Geprüft",Programme_Grunddaten!AM815&lt;&gt;""),IF(Programme_Grunddaten!AM815="Ja",1,0),"")</f>
        <v/>
      </c>
      <c r="AF810" s="1" t="str">
        <f>IF(AND(Programme_Grunddaten!$A815="Geprüft",Programme_Grunddaten!AN815&lt;&gt;""),IF(Programme_Grunddaten!AN815="Ja",1,0),"")</f>
        <v/>
      </c>
      <c r="AG810" s="1" t="str">
        <f>IF(AND(Programme_Grunddaten!$A815="Geprüft",Programme_Grunddaten!AO815&lt;&gt;""),IF(Programme_Grunddaten!AO815="Ja",1,0),"")</f>
        <v/>
      </c>
      <c r="AH810" s="1" t="str">
        <f>IF(AND(Programme_Grunddaten!$A815="Geprüft",Programme_Grunddaten!AP815&lt;&gt;""),IF(Programme_Grunddaten!AP815="Ja",1,0),"")</f>
        <v/>
      </c>
      <c r="AI810" s="1" t="str">
        <f>IF(AND(Programme_Grunddaten!$A815="Geprüft",Programme_Grunddaten!AQ815&lt;&gt;""),IF(Programme_Grunddaten!AQ815="Ja",1,0),"")</f>
        <v/>
      </c>
      <c r="AJ810" s="1" t="str">
        <f>IF(AND(Programme_Grunddaten!$A815="Geprüft",Programme_Grunddaten!AR815&lt;&gt;""),IF(Programme_Grunddaten!AR815="Ja",1,0),"")</f>
        <v/>
      </c>
      <c r="AK810" s="1" t="str">
        <f>IF(AND(Programme_Grunddaten!$A815="Geprüft",Programme_Grunddaten!AS815&lt;&gt;""),IF(Programme_Grunddaten!AS815="Ja",1,0),"")</f>
        <v/>
      </c>
      <c r="AL810" s="1" t="str">
        <f>IF(AND(Programme_Grunddaten!$A815="Geprüft",Programme_Grunddaten!AT815&lt;&gt;""),IF(Programme_Grunddaten!AT815="Ja",1,0),"")</f>
        <v/>
      </c>
      <c r="AM810" s="1" t="str">
        <f>IF(AND(Programme_Grunddaten!$A815="Geprüft",Programme_Grunddaten!AU815&lt;&gt;""),IF(Programme_Grunddaten!AU815="Ja",1,0),"")</f>
        <v/>
      </c>
      <c r="AN810" s="1" t="str">
        <f>IF(AND(Programme_Grunddaten!$A815="Geprüft",Programme_Grunddaten!AV815&lt;&gt;""),IF(Programme_Grunddaten!AV815="Ja",1,0),"")</f>
        <v/>
      </c>
    </row>
    <row r="811" spans="1:40" x14ac:dyDescent="0.3">
      <c r="A811" s="1" t="str">
        <f>IF(AND(Programme_Grunddaten!A816="Geprüft",Programme_Grunddaten!B816&lt;&gt;""),Programme_Grunddaten!B816,"")</f>
        <v/>
      </c>
      <c r="B811" s="1" t="str">
        <f>IF(AND(Programme_Grunddaten!$A816="Geprüft",Programme_Grunddaten!I816&lt;&gt;""),IF(Programme_Grunddaten!I816="Ja",1,0),"")</f>
        <v/>
      </c>
      <c r="C811" s="1" t="str">
        <f>IF(AND(Programme_Grunddaten!$A816="Geprüft",Programme_Grunddaten!J816&lt;&gt;""),IF(Programme_Grunddaten!J816="Ja",1,0),"")</f>
        <v/>
      </c>
      <c r="D811" s="1" t="str">
        <f>IF(AND(Programme_Grunddaten!$A816="Geprüft",Programme_Grunddaten!K816&lt;&gt;""),IF(Programme_Grunddaten!K816="Ja",1,0),"")</f>
        <v/>
      </c>
      <c r="E811" s="1" t="str">
        <f>IF(AND(Programme_Grunddaten!$A816="Geprüft",Programme_Grunddaten!L816&lt;&gt;""),IF(Programme_Grunddaten!L816="Abo / befristete Lizenz",1,0),"")</f>
        <v/>
      </c>
      <c r="F811" s="1" t="str">
        <f>IF(AND(Programme_Grunddaten!$A816="Geprüft",Programme_Grunddaten!M816&lt;&gt;""),IF(Programme_Grunddaten!M816="Ja",1,0),"")</f>
        <v/>
      </c>
      <c r="G811" s="1" t="str">
        <f>IF(AND(Programme_Grunddaten!$A816="Geprüft",Programme_Grunddaten!N816&lt;&gt;""),IF(Programme_Grunddaten!N816="Ja",1,0),"")</f>
        <v/>
      </c>
      <c r="H811" s="1" t="str">
        <f>IF(AND(Programme_Grunddaten!$A816="Geprüft",Programme_Grunddaten!O816&lt;&gt;""),IF(Programme_Grunddaten!O816="Deutschland",0,IF(Programme_Grunddaten!O816="EU",1,2)),"")</f>
        <v/>
      </c>
      <c r="I811" s="1" t="str">
        <f>IF(AND(Programme_Grunddaten!$A816="Geprüft",Programme_Grunddaten!P816&lt;&gt;""),IF(Programme_Grunddaten!P816="Ja",1,0),"")</f>
        <v/>
      </c>
      <c r="J811" s="1" t="str">
        <f>IF(AND(Programme_Grunddaten!$A816="Geprüft",Programme_Grunddaten!Q816&lt;&gt;""),IF(Programme_Grunddaten!Q816="geschlossenes System",1,0),"")</f>
        <v/>
      </c>
      <c r="K811" s="1" t="str">
        <f>IF(AND(Programme_Grunddaten!$A816="Geprüft",Programme_Grunddaten!R816&lt;&gt;""),IF(Programme_Grunddaten!R816="Ja",1,0),"")</f>
        <v/>
      </c>
      <c r="L811" s="1" t="str">
        <f>IF(AND(Programme_Grunddaten!$A816="Geprüft",Programme_Grunddaten!T816&lt;&gt;""),IF(Programme_Grunddaten!T816="Ja",1,0),"")</f>
        <v/>
      </c>
      <c r="M811" s="1" t="str">
        <f>IF(AND(Programme_Grunddaten!$A816="Geprüft",Programme_Grunddaten!U816&lt;&gt;""),IF(Programme_Grunddaten!U816="Ja",1,0),"")</f>
        <v/>
      </c>
      <c r="N811" s="1" t="str">
        <f>IF(AND(Programme_Grunddaten!$A816="Geprüft",Programme_Grunddaten!V816&lt;&gt;""),IF(Programme_Grunddaten!V816="Ja",1,0),"")</f>
        <v/>
      </c>
      <c r="O811" s="1" t="str">
        <f>IF(AND(Programme_Grunddaten!$A816="Geprüft",Programme_Grunddaten!W816&lt;&gt;""),IF(Programme_Grunddaten!W816="Ja",1,0),"")</f>
        <v/>
      </c>
      <c r="P811" s="1" t="str">
        <f>IF(AND(Programme_Grunddaten!$A816="Geprüft",Programme_Grunddaten!X816&lt;&gt;""),IF(Programme_Grunddaten!X816="Ja",1,0),"")</f>
        <v/>
      </c>
      <c r="Q811" s="1" t="str">
        <f>IF(AND(Programme_Grunddaten!$A816="Geprüft",Programme_Grunddaten!Y816&lt;&gt;""),IF(Programme_Grunddaten!Y816="Ja",1,0),"")</f>
        <v/>
      </c>
      <c r="R811" s="1" t="str">
        <f>IF(AND(Programme_Grunddaten!$A816="Geprüft",Programme_Grunddaten!Z816&lt;&gt;""),IF(Programme_Grunddaten!Z816="Ja",1,0),"")</f>
        <v/>
      </c>
      <c r="S811" s="1" t="str">
        <f>IF(AND(Programme_Grunddaten!$A816="Geprüft",Programme_Grunddaten!AA816&lt;&gt;""),IF(Programme_Grunddaten!AA816="monolithisch",1,0),"")</f>
        <v/>
      </c>
      <c r="T811" s="1" t="str">
        <f>IF(AND(Programme_Grunddaten!$A816="Geprüft",Programme_Grunddaten!AB816&lt;&gt;""),IF(Programme_Grunddaten!AB816="Ja",1,0),"")</f>
        <v/>
      </c>
      <c r="U811" s="1" t="str">
        <f>IF(AND(Programme_Grunddaten!$A816="Geprüft",Programme_Grunddaten!AC816&lt;&gt;""),IF(Programme_Grunddaten!AC816="Ja",1,0),"")</f>
        <v/>
      </c>
      <c r="V811" s="1" t="str">
        <f>IF(AND(Programme_Grunddaten!$A816="Geprüft",Programme_Grunddaten!AD816&lt;&gt;""),IF(Programme_Grunddaten!AD816="Ja",1,0),"")</f>
        <v/>
      </c>
      <c r="W811" s="1" t="str">
        <f>IF(AND(Programme_Grunddaten!$A816="Geprüft",Programme_Grunddaten!AE816&lt;&gt;""),IF(Programme_Grunddaten!AE816="Ja",1,0),"")</f>
        <v/>
      </c>
      <c r="X811" s="1" t="str">
        <f>IF(AND(Programme_Grunddaten!$A816="Geprüft",Programme_Grunddaten!AF816&lt;&gt;""),IF(Programme_Grunddaten!AF816="Ja",1,0),"")</f>
        <v/>
      </c>
      <c r="Y811" s="1" t="str">
        <f>IF(AND(Programme_Grunddaten!$A816="Geprüft",Programme_Grunddaten!AG816&lt;&gt;""),IF(Programme_Grunddaten!AG816="Ja",1,0),"")</f>
        <v/>
      </c>
      <c r="Z811" s="1" t="str">
        <f>IF(AND(Programme_Grunddaten!$A816="Geprüft",Programme_Grunddaten!AH816&lt;&gt;""),IF(Programme_Grunddaten!AH816="Ja",1,0),"")</f>
        <v/>
      </c>
      <c r="AA811" s="1" t="str">
        <f>IF(AND(Programme_Grunddaten!$A816="Geprüft",Programme_Grunddaten!AI816&lt;&gt;""),IF(Programme_Grunddaten!AI816="Ja",1,0),"")</f>
        <v/>
      </c>
      <c r="AB811" s="1" t="str">
        <f>IF(AND(Programme_Grunddaten!$A816="Geprüft",Programme_Grunddaten!AJ816&lt;&gt;""),IF(Programme_Grunddaten!AJ816="individuell programmierbar",1,0),"")</f>
        <v/>
      </c>
      <c r="AC811" s="1" t="str">
        <f>IF(AND(Programme_Grunddaten!$A816="Geprüft",Programme_Grunddaten!AK816&lt;&gt;""),IF(Programme_Grunddaten!AK816="Deutsch",0,IF(Programme_Grunddaten!AK816="Deutsch und Englisch",1,2)),"")</f>
        <v/>
      </c>
      <c r="AD811" s="1" t="str">
        <f>IF(AND(Programme_Grunddaten!$A816="Geprüft",Programme_Grunddaten!AL816&lt;&gt;""),IF(Programme_Grunddaten!AL816="Ja",1,0),"")</f>
        <v/>
      </c>
      <c r="AE811" s="1" t="str">
        <f>IF(AND(Programme_Grunddaten!$A816="Geprüft",Programme_Grunddaten!AM816&lt;&gt;""),IF(Programme_Grunddaten!AM816="Ja",1,0),"")</f>
        <v/>
      </c>
      <c r="AF811" s="1" t="str">
        <f>IF(AND(Programme_Grunddaten!$A816="Geprüft",Programme_Grunddaten!AN816&lt;&gt;""),IF(Programme_Grunddaten!AN816="Ja",1,0),"")</f>
        <v/>
      </c>
      <c r="AG811" s="1" t="str">
        <f>IF(AND(Programme_Grunddaten!$A816="Geprüft",Programme_Grunddaten!AO816&lt;&gt;""),IF(Programme_Grunddaten!AO816="Ja",1,0),"")</f>
        <v/>
      </c>
      <c r="AH811" s="1" t="str">
        <f>IF(AND(Programme_Grunddaten!$A816="Geprüft",Programme_Grunddaten!AP816&lt;&gt;""),IF(Programme_Grunddaten!AP816="Ja",1,0),"")</f>
        <v/>
      </c>
      <c r="AI811" s="1" t="str">
        <f>IF(AND(Programme_Grunddaten!$A816="Geprüft",Programme_Grunddaten!AQ816&lt;&gt;""),IF(Programme_Grunddaten!AQ816="Ja",1,0),"")</f>
        <v/>
      </c>
      <c r="AJ811" s="1" t="str">
        <f>IF(AND(Programme_Grunddaten!$A816="Geprüft",Programme_Grunddaten!AR816&lt;&gt;""),IF(Programme_Grunddaten!AR816="Ja",1,0),"")</f>
        <v/>
      </c>
      <c r="AK811" s="1" t="str">
        <f>IF(AND(Programme_Grunddaten!$A816="Geprüft",Programme_Grunddaten!AS816&lt;&gt;""),IF(Programme_Grunddaten!AS816="Ja",1,0),"")</f>
        <v/>
      </c>
      <c r="AL811" s="1" t="str">
        <f>IF(AND(Programme_Grunddaten!$A816="Geprüft",Programme_Grunddaten!AT816&lt;&gt;""),IF(Programme_Grunddaten!AT816="Ja",1,0),"")</f>
        <v/>
      </c>
      <c r="AM811" s="1" t="str">
        <f>IF(AND(Programme_Grunddaten!$A816="Geprüft",Programme_Grunddaten!AU816&lt;&gt;""),IF(Programme_Grunddaten!AU816="Ja",1,0),"")</f>
        <v/>
      </c>
      <c r="AN811" s="1" t="str">
        <f>IF(AND(Programme_Grunddaten!$A816="Geprüft",Programme_Grunddaten!AV816&lt;&gt;""),IF(Programme_Grunddaten!AV816="Ja",1,0),"")</f>
        <v/>
      </c>
    </row>
    <row r="812" spans="1:40" x14ac:dyDescent="0.3">
      <c r="A812" s="1" t="str">
        <f>IF(AND(Programme_Grunddaten!A817="Geprüft",Programme_Grunddaten!B817&lt;&gt;""),Programme_Grunddaten!B817,"")</f>
        <v/>
      </c>
      <c r="B812" s="1" t="str">
        <f>IF(AND(Programme_Grunddaten!$A817="Geprüft",Programme_Grunddaten!I817&lt;&gt;""),IF(Programme_Grunddaten!I817="Ja",1,0),"")</f>
        <v/>
      </c>
      <c r="C812" s="1" t="str">
        <f>IF(AND(Programme_Grunddaten!$A817="Geprüft",Programme_Grunddaten!J817&lt;&gt;""),IF(Programme_Grunddaten!J817="Ja",1,0),"")</f>
        <v/>
      </c>
      <c r="D812" s="1" t="str">
        <f>IF(AND(Programme_Grunddaten!$A817="Geprüft",Programme_Grunddaten!K817&lt;&gt;""),IF(Programme_Grunddaten!K817="Ja",1,0),"")</f>
        <v/>
      </c>
      <c r="E812" s="1" t="str">
        <f>IF(AND(Programme_Grunddaten!$A817="Geprüft",Programme_Grunddaten!L817&lt;&gt;""),IF(Programme_Grunddaten!L817="Abo / befristete Lizenz",1,0),"")</f>
        <v/>
      </c>
      <c r="F812" s="1" t="str">
        <f>IF(AND(Programme_Grunddaten!$A817="Geprüft",Programme_Grunddaten!M817&lt;&gt;""),IF(Programme_Grunddaten!M817="Ja",1,0),"")</f>
        <v/>
      </c>
      <c r="G812" s="1" t="str">
        <f>IF(AND(Programme_Grunddaten!$A817="Geprüft",Programme_Grunddaten!N817&lt;&gt;""),IF(Programme_Grunddaten!N817="Ja",1,0),"")</f>
        <v/>
      </c>
      <c r="H812" s="1" t="str">
        <f>IF(AND(Programme_Grunddaten!$A817="Geprüft",Programme_Grunddaten!O817&lt;&gt;""),IF(Programme_Grunddaten!O817="Deutschland",0,IF(Programme_Grunddaten!O817="EU",1,2)),"")</f>
        <v/>
      </c>
      <c r="I812" s="1" t="str">
        <f>IF(AND(Programme_Grunddaten!$A817="Geprüft",Programme_Grunddaten!P817&lt;&gt;""),IF(Programme_Grunddaten!P817="Ja",1,0),"")</f>
        <v/>
      </c>
      <c r="J812" s="1" t="str">
        <f>IF(AND(Programme_Grunddaten!$A817="Geprüft",Programme_Grunddaten!Q817&lt;&gt;""),IF(Programme_Grunddaten!Q817="geschlossenes System",1,0),"")</f>
        <v/>
      </c>
      <c r="K812" s="1" t="str">
        <f>IF(AND(Programme_Grunddaten!$A817="Geprüft",Programme_Grunddaten!R817&lt;&gt;""),IF(Programme_Grunddaten!R817="Ja",1,0),"")</f>
        <v/>
      </c>
      <c r="L812" s="1" t="str">
        <f>IF(AND(Programme_Grunddaten!$A817="Geprüft",Programme_Grunddaten!T817&lt;&gt;""),IF(Programme_Grunddaten!T817="Ja",1,0),"")</f>
        <v/>
      </c>
      <c r="M812" s="1" t="str">
        <f>IF(AND(Programme_Grunddaten!$A817="Geprüft",Programme_Grunddaten!U817&lt;&gt;""),IF(Programme_Grunddaten!U817="Ja",1,0),"")</f>
        <v/>
      </c>
      <c r="N812" s="1" t="str">
        <f>IF(AND(Programme_Grunddaten!$A817="Geprüft",Programme_Grunddaten!V817&lt;&gt;""),IF(Programme_Grunddaten!V817="Ja",1,0),"")</f>
        <v/>
      </c>
      <c r="O812" s="1" t="str">
        <f>IF(AND(Programme_Grunddaten!$A817="Geprüft",Programme_Grunddaten!W817&lt;&gt;""),IF(Programme_Grunddaten!W817="Ja",1,0),"")</f>
        <v/>
      </c>
      <c r="P812" s="1" t="str">
        <f>IF(AND(Programme_Grunddaten!$A817="Geprüft",Programme_Grunddaten!X817&lt;&gt;""),IF(Programme_Grunddaten!X817="Ja",1,0),"")</f>
        <v/>
      </c>
      <c r="Q812" s="1" t="str">
        <f>IF(AND(Programme_Grunddaten!$A817="Geprüft",Programme_Grunddaten!Y817&lt;&gt;""),IF(Programme_Grunddaten!Y817="Ja",1,0),"")</f>
        <v/>
      </c>
      <c r="R812" s="1" t="str">
        <f>IF(AND(Programme_Grunddaten!$A817="Geprüft",Programme_Grunddaten!Z817&lt;&gt;""),IF(Programme_Grunddaten!Z817="Ja",1,0),"")</f>
        <v/>
      </c>
      <c r="S812" s="1" t="str">
        <f>IF(AND(Programme_Grunddaten!$A817="Geprüft",Programme_Grunddaten!AA817&lt;&gt;""),IF(Programme_Grunddaten!AA817="monolithisch",1,0),"")</f>
        <v/>
      </c>
      <c r="T812" s="1" t="str">
        <f>IF(AND(Programme_Grunddaten!$A817="Geprüft",Programme_Grunddaten!AB817&lt;&gt;""),IF(Programme_Grunddaten!AB817="Ja",1,0),"")</f>
        <v/>
      </c>
      <c r="U812" s="1" t="str">
        <f>IF(AND(Programme_Grunddaten!$A817="Geprüft",Programme_Grunddaten!AC817&lt;&gt;""),IF(Programme_Grunddaten!AC817="Ja",1,0),"")</f>
        <v/>
      </c>
      <c r="V812" s="1" t="str">
        <f>IF(AND(Programme_Grunddaten!$A817="Geprüft",Programme_Grunddaten!AD817&lt;&gt;""),IF(Programme_Grunddaten!AD817="Ja",1,0),"")</f>
        <v/>
      </c>
      <c r="W812" s="1" t="str">
        <f>IF(AND(Programme_Grunddaten!$A817="Geprüft",Programme_Grunddaten!AE817&lt;&gt;""),IF(Programme_Grunddaten!AE817="Ja",1,0),"")</f>
        <v/>
      </c>
      <c r="X812" s="1" t="str">
        <f>IF(AND(Programme_Grunddaten!$A817="Geprüft",Programme_Grunddaten!AF817&lt;&gt;""),IF(Programme_Grunddaten!AF817="Ja",1,0),"")</f>
        <v/>
      </c>
      <c r="Y812" s="1" t="str">
        <f>IF(AND(Programme_Grunddaten!$A817="Geprüft",Programme_Grunddaten!AG817&lt;&gt;""),IF(Programme_Grunddaten!AG817="Ja",1,0),"")</f>
        <v/>
      </c>
      <c r="Z812" s="1" t="str">
        <f>IF(AND(Programme_Grunddaten!$A817="Geprüft",Programme_Grunddaten!AH817&lt;&gt;""),IF(Programme_Grunddaten!AH817="Ja",1,0),"")</f>
        <v/>
      </c>
      <c r="AA812" s="1" t="str">
        <f>IF(AND(Programme_Grunddaten!$A817="Geprüft",Programme_Grunddaten!AI817&lt;&gt;""),IF(Programme_Grunddaten!AI817="Ja",1,0),"")</f>
        <v/>
      </c>
      <c r="AB812" s="1" t="str">
        <f>IF(AND(Programme_Grunddaten!$A817="Geprüft",Programme_Grunddaten!AJ817&lt;&gt;""),IF(Programme_Grunddaten!AJ817="individuell programmierbar",1,0),"")</f>
        <v/>
      </c>
      <c r="AC812" s="1" t="str">
        <f>IF(AND(Programme_Grunddaten!$A817="Geprüft",Programme_Grunddaten!AK817&lt;&gt;""),IF(Programme_Grunddaten!AK817="Deutsch",0,IF(Programme_Grunddaten!AK817="Deutsch und Englisch",1,2)),"")</f>
        <v/>
      </c>
      <c r="AD812" s="1" t="str">
        <f>IF(AND(Programme_Grunddaten!$A817="Geprüft",Programme_Grunddaten!AL817&lt;&gt;""),IF(Programme_Grunddaten!AL817="Ja",1,0),"")</f>
        <v/>
      </c>
      <c r="AE812" s="1" t="str">
        <f>IF(AND(Programme_Grunddaten!$A817="Geprüft",Programme_Grunddaten!AM817&lt;&gt;""),IF(Programme_Grunddaten!AM817="Ja",1,0),"")</f>
        <v/>
      </c>
      <c r="AF812" s="1" t="str">
        <f>IF(AND(Programme_Grunddaten!$A817="Geprüft",Programme_Grunddaten!AN817&lt;&gt;""),IF(Programme_Grunddaten!AN817="Ja",1,0),"")</f>
        <v/>
      </c>
      <c r="AG812" s="1" t="str">
        <f>IF(AND(Programme_Grunddaten!$A817="Geprüft",Programme_Grunddaten!AO817&lt;&gt;""),IF(Programme_Grunddaten!AO817="Ja",1,0),"")</f>
        <v/>
      </c>
      <c r="AH812" s="1" t="str">
        <f>IF(AND(Programme_Grunddaten!$A817="Geprüft",Programme_Grunddaten!AP817&lt;&gt;""),IF(Programme_Grunddaten!AP817="Ja",1,0),"")</f>
        <v/>
      </c>
      <c r="AI812" s="1" t="str">
        <f>IF(AND(Programme_Grunddaten!$A817="Geprüft",Programme_Grunddaten!AQ817&lt;&gt;""),IF(Programme_Grunddaten!AQ817="Ja",1,0),"")</f>
        <v/>
      </c>
      <c r="AJ812" s="1" t="str">
        <f>IF(AND(Programme_Grunddaten!$A817="Geprüft",Programme_Grunddaten!AR817&lt;&gt;""),IF(Programme_Grunddaten!AR817="Ja",1,0),"")</f>
        <v/>
      </c>
      <c r="AK812" s="1" t="str">
        <f>IF(AND(Programme_Grunddaten!$A817="Geprüft",Programme_Grunddaten!AS817&lt;&gt;""),IF(Programme_Grunddaten!AS817="Ja",1,0),"")</f>
        <v/>
      </c>
      <c r="AL812" s="1" t="str">
        <f>IF(AND(Programme_Grunddaten!$A817="Geprüft",Programme_Grunddaten!AT817&lt;&gt;""),IF(Programme_Grunddaten!AT817="Ja",1,0),"")</f>
        <v/>
      </c>
      <c r="AM812" s="1" t="str">
        <f>IF(AND(Programme_Grunddaten!$A817="Geprüft",Programme_Grunddaten!AU817&lt;&gt;""),IF(Programme_Grunddaten!AU817="Ja",1,0),"")</f>
        <v/>
      </c>
      <c r="AN812" s="1" t="str">
        <f>IF(AND(Programme_Grunddaten!$A817="Geprüft",Programme_Grunddaten!AV817&lt;&gt;""),IF(Programme_Grunddaten!AV817="Ja",1,0),"")</f>
        <v/>
      </c>
    </row>
    <row r="813" spans="1:40" x14ac:dyDescent="0.3">
      <c r="A813" s="1" t="str">
        <f>IF(AND(Programme_Grunddaten!A818="Geprüft",Programme_Grunddaten!B818&lt;&gt;""),Programme_Grunddaten!B818,"")</f>
        <v/>
      </c>
      <c r="B813" s="1" t="str">
        <f>IF(AND(Programme_Grunddaten!$A818="Geprüft",Programme_Grunddaten!I818&lt;&gt;""),IF(Programme_Grunddaten!I818="Ja",1,0),"")</f>
        <v/>
      </c>
      <c r="C813" s="1" t="str">
        <f>IF(AND(Programme_Grunddaten!$A818="Geprüft",Programme_Grunddaten!J818&lt;&gt;""),IF(Programme_Grunddaten!J818="Ja",1,0),"")</f>
        <v/>
      </c>
      <c r="D813" s="1" t="str">
        <f>IF(AND(Programme_Grunddaten!$A818="Geprüft",Programme_Grunddaten!K818&lt;&gt;""),IF(Programme_Grunddaten!K818="Ja",1,0),"")</f>
        <v/>
      </c>
      <c r="E813" s="1" t="str">
        <f>IF(AND(Programme_Grunddaten!$A818="Geprüft",Programme_Grunddaten!L818&lt;&gt;""),IF(Programme_Grunddaten!L818="Abo / befristete Lizenz",1,0),"")</f>
        <v/>
      </c>
      <c r="F813" s="1" t="str">
        <f>IF(AND(Programme_Grunddaten!$A818="Geprüft",Programme_Grunddaten!M818&lt;&gt;""),IF(Programme_Grunddaten!M818="Ja",1,0),"")</f>
        <v/>
      </c>
      <c r="G813" s="1" t="str">
        <f>IF(AND(Programme_Grunddaten!$A818="Geprüft",Programme_Grunddaten!N818&lt;&gt;""),IF(Programme_Grunddaten!N818="Ja",1,0),"")</f>
        <v/>
      </c>
      <c r="H813" s="1" t="str">
        <f>IF(AND(Programme_Grunddaten!$A818="Geprüft",Programme_Grunddaten!O818&lt;&gt;""),IF(Programme_Grunddaten!O818="Deutschland",0,IF(Programme_Grunddaten!O818="EU",1,2)),"")</f>
        <v/>
      </c>
      <c r="I813" s="1" t="str">
        <f>IF(AND(Programme_Grunddaten!$A818="Geprüft",Programme_Grunddaten!P818&lt;&gt;""),IF(Programme_Grunddaten!P818="Ja",1,0),"")</f>
        <v/>
      </c>
      <c r="J813" s="1" t="str">
        <f>IF(AND(Programme_Grunddaten!$A818="Geprüft",Programme_Grunddaten!Q818&lt;&gt;""),IF(Programme_Grunddaten!Q818="geschlossenes System",1,0),"")</f>
        <v/>
      </c>
      <c r="K813" s="1" t="str">
        <f>IF(AND(Programme_Grunddaten!$A818="Geprüft",Programme_Grunddaten!R818&lt;&gt;""),IF(Programme_Grunddaten!R818="Ja",1,0),"")</f>
        <v/>
      </c>
      <c r="L813" s="1" t="str">
        <f>IF(AND(Programme_Grunddaten!$A818="Geprüft",Programme_Grunddaten!T818&lt;&gt;""),IF(Programme_Grunddaten!T818="Ja",1,0),"")</f>
        <v/>
      </c>
      <c r="M813" s="1" t="str">
        <f>IF(AND(Programme_Grunddaten!$A818="Geprüft",Programme_Grunddaten!U818&lt;&gt;""),IF(Programme_Grunddaten!U818="Ja",1,0),"")</f>
        <v/>
      </c>
      <c r="N813" s="1" t="str">
        <f>IF(AND(Programme_Grunddaten!$A818="Geprüft",Programme_Grunddaten!V818&lt;&gt;""),IF(Programme_Grunddaten!V818="Ja",1,0),"")</f>
        <v/>
      </c>
      <c r="O813" s="1" t="str">
        <f>IF(AND(Programme_Grunddaten!$A818="Geprüft",Programme_Grunddaten!W818&lt;&gt;""),IF(Programme_Grunddaten!W818="Ja",1,0),"")</f>
        <v/>
      </c>
      <c r="P813" s="1" t="str">
        <f>IF(AND(Programme_Grunddaten!$A818="Geprüft",Programme_Grunddaten!X818&lt;&gt;""),IF(Programme_Grunddaten!X818="Ja",1,0),"")</f>
        <v/>
      </c>
      <c r="Q813" s="1" t="str">
        <f>IF(AND(Programme_Grunddaten!$A818="Geprüft",Programme_Grunddaten!Y818&lt;&gt;""),IF(Programme_Grunddaten!Y818="Ja",1,0),"")</f>
        <v/>
      </c>
      <c r="R813" s="1" t="str">
        <f>IF(AND(Programme_Grunddaten!$A818="Geprüft",Programme_Grunddaten!Z818&lt;&gt;""),IF(Programme_Grunddaten!Z818="Ja",1,0),"")</f>
        <v/>
      </c>
      <c r="S813" s="1" t="str">
        <f>IF(AND(Programme_Grunddaten!$A818="Geprüft",Programme_Grunddaten!AA818&lt;&gt;""),IF(Programme_Grunddaten!AA818="monolithisch",1,0),"")</f>
        <v/>
      </c>
      <c r="T813" s="1" t="str">
        <f>IF(AND(Programme_Grunddaten!$A818="Geprüft",Programme_Grunddaten!AB818&lt;&gt;""),IF(Programme_Grunddaten!AB818="Ja",1,0),"")</f>
        <v/>
      </c>
      <c r="U813" s="1" t="str">
        <f>IF(AND(Programme_Grunddaten!$A818="Geprüft",Programme_Grunddaten!AC818&lt;&gt;""),IF(Programme_Grunddaten!AC818="Ja",1,0),"")</f>
        <v/>
      </c>
      <c r="V813" s="1" t="str">
        <f>IF(AND(Programme_Grunddaten!$A818="Geprüft",Programme_Grunddaten!AD818&lt;&gt;""),IF(Programme_Grunddaten!AD818="Ja",1,0),"")</f>
        <v/>
      </c>
      <c r="W813" s="1" t="str">
        <f>IF(AND(Programme_Grunddaten!$A818="Geprüft",Programme_Grunddaten!AE818&lt;&gt;""),IF(Programme_Grunddaten!AE818="Ja",1,0),"")</f>
        <v/>
      </c>
      <c r="X813" s="1" t="str">
        <f>IF(AND(Programme_Grunddaten!$A818="Geprüft",Programme_Grunddaten!AF818&lt;&gt;""),IF(Programme_Grunddaten!AF818="Ja",1,0),"")</f>
        <v/>
      </c>
      <c r="Y813" s="1" t="str">
        <f>IF(AND(Programme_Grunddaten!$A818="Geprüft",Programme_Grunddaten!AG818&lt;&gt;""),IF(Programme_Grunddaten!AG818="Ja",1,0),"")</f>
        <v/>
      </c>
      <c r="Z813" s="1" t="str">
        <f>IF(AND(Programme_Grunddaten!$A818="Geprüft",Programme_Grunddaten!AH818&lt;&gt;""),IF(Programme_Grunddaten!AH818="Ja",1,0),"")</f>
        <v/>
      </c>
      <c r="AA813" s="1" t="str">
        <f>IF(AND(Programme_Grunddaten!$A818="Geprüft",Programme_Grunddaten!AI818&lt;&gt;""),IF(Programme_Grunddaten!AI818="Ja",1,0),"")</f>
        <v/>
      </c>
      <c r="AB813" s="1" t="str">
        <f>IF(AND(Programme_Grunddaten!$A818="Geprüft",Programme_Grunddaten!AJ818&lt;&gt;""),IF(Programme_Grunddaten!AJ818="individuell programmierbar",1,0),"")</f>
        <v/>
      </c>
      <c r="AC813" s="1" t="str">
        <f>IF(AND(Programme_Grunddaten!$A818="Geprüft",Programme_Grunddaten!AK818&lt;&gt;""),IF(Programme_Grunddaten!AK818="Deutsch",0,IF(Programme_Grunddaten!AK818="Deutsch und Englisch",1,2)),"")</f>
        <v/>
      </c>
      <c r="AD813" s="1" t="str">
        <f>IF(AND(Programme_Grunddaten!$A818="Geprüft",Programme_Grunddaten!AL818&lt;&gt;""),IF(Programme_Grunddaten!AL818="Ja",1,0),"")</f>
        <v/>
      </c>
      <c r="AE813" s="1" t="str">
        <f>IF(AND(Programme_Grunddaten!$A818="Geprüft",Programme_Grunddaten!AM818&lt;&gt;""),IF(Programme_Grunddaten!AM818="Ja",1,0),"")</f>
        <v/>
      </c>
      <c r="AF813" s="1" t="str">
        <f>IF(AND(Programme_Grunddaten!$A818="Geprüft",Programme_Grunddaten!AN818&lt;&gt;""),IF(Programme_Grunddaten!AN818="Ja",1,0),"")</f>
        <v/>
      </c>
      <c r="AG813" s="1" t="str">
        <f>IF(AND(Programme_Grunddaten!$A818="Geprüft",Programme_Grunddaten!AO818&lt;&gt;""),IF(Programme_Grunddaten!AO818="Ja",1,0),"")</f>
        <v/>
      </c>
      <c r="AH813" s="1" t="str">
        <f>IF(AND(Programme_Grunddaten!$A818="Geprüft",Programme_Grunddaten!AP818&lt;&gt;""),IF(Programme_Grunddaten!AP818="Ja",1,0),"")</f>
        <v/>
      </c>
      <c r="AI813" s="1" t="str">
        <f>IF(AND(Programme_Grunddaten!$A818="Geprüft",Programme_Grunddaten!AQ818&lt;&gt;""),IF(Programme_Grunddaten!AQ818="Ja",1,0),"")</f>
        <v/>
      </c>
      <c r="AJ813" s="1" t="str">
        <f>IF(AND(Programme_Grunddaten!$A818="Geprüft",Programme_Grunddaten!AR818&lt;&gt;""),IF(Programme_Grunddaten!AR818="Ja",1,0),"")</f>
        <v/>
      </c>
      <c r="AK813" s="1" t="str">
        <f>IF(AND(Programme_Grunddaten!$A818="Geprüft",Programme_Grunddaten!AS818&lt;&gt;""),IF(Programme_Grunddaten!AS818="Ja",1,0),"")</f>
        <v/>
      </c>
      <c r="AL813" s="1" t="str">
        <f>IF(AND(Programme_Grunddaten!$A818="Geprüft",Programme_Grunddaten!AT818&lt;&gt;""),IF(Programme_Grunddaten!AT818="Ja",1,0),"")</f>
        <v/>
      </c>
      <c r="AM813" s="1" t="str">
        <f>IF(AND(Programme_Grunddaten!$A818="Geprüft",Programme_Grunddaten!AU818&lt;&gt;""),IF(Programme_Grunddaten!AU818="Ja",1,0),"")</f>
        <v/>
      </c>
      <c r="AN813" s="1" t="str">
        <f>IF(AND(Programme_Grunddaten!$A818="Geprüft",Programme_Grunddaten!AV818&lt;&gt;""),IF(Programme_Grunddaten!AV818="Ja",1,0),"")</f>
        <v/>
      </c>
    </row>
    <row r="814" spans="1:40" x14ac:dyDescent="0.3">
      <c r="A814" s="1" t="str">
        <f>IF(AND(Programme_Grunddaten!A819="Geprüft",Programme_Grunddaten!B819&lt;&gt;""),Programme_Grunddaten!B819,"")</f>
        <v/>
      </c>
      <c r="B814" s="1" t="str">
        <f>IF(AND(Programme_Grunddaten!$A819="Geprüft",Programme_Grunddaten!I819&lt;&gt;""),IF(Programme_Grunddaten!I819="Ja",1,0),"")</f>
        <v/>
      </c>
      <c r="C814" s="1" t="str">
        <f>IF(AND(Programme_Grunddaten!$A819="Geprüft",Programme_Grunddaten!J819&lt;&gt;""),IF(Programme_Grunddaten!J819="Ja",1,0),"")</f>
        <v/>
      </c>
      <c r="D814" s="1" t="str">
        <f>IF(AND(Programme_Grunddaten!$A819="Geprüft",Programme_Grunddaten!K819&lt;&gt;""),IF(Programme_Grunddaten!K819="Ja",1,0),"")</f>
        <v/>
      </c>
      <c r="E814" s="1" t="str">
        <f>IF(AND(Programme_Grunddaten!$A819="Geprüft",Programme_Grunddaten!L819&lt;&gt;""),IF(Programme_Grunddaten!L819="Abo / befristete Lizenz",1,0),"")</f>
        <v/>
      </c>
      <c r="F814" s="1" t="str">
        <f>IF(AND(Programme_Grunddaten!$A819="Geprüft",Programme_Grunddaten!M819&lt;&gt;""),IF(Programme_Grunddaten!M819="Ja",1,0),"")</f>
        <v/>
      </c>
      <c r="G814" s="1" t="str">
        <f>IF(AND(Programme_Grunddaten!$A819="Geprüft",Programme_Grunddaten!N819&lt;&gt;""),IF(Programme_Grunddaten!N819="Ja",1,0),"")</f>
        <v/>
      </c>
      <c r="H814" s="1" t="str">
        <f>IF(AND(Programme_Grunddaten!$A819="Geprüft",Programme_Grunddaten!O819&lt;&gt;""),IF(Programme_Grunddaten!O819="Deutschland",0,IF(Programme_Grunddaten!O819="EU",1,2)),"")</f>
        <v/>
      </c>
      <c r="I814" s="1" t="str">
        <f>IF(AND(Programme_Grunddaten!$A819="Geprüft",Programme_Grunddaten!P819&lt;&gt;""),IF(Programme_Grunddaten!P819="Ja",1,0),"")</f>
        <v/>
      </c>
      <c r="J814" s="1" t="str">
        <f>IF(AND(Programme_Grunddaten!$A819="Geprüft",Programme_Grunddaten!Q819&lt;&gt;""),IF(Programme_Grunddaten!Q819="geschlossenes System",1,0),"")</f>
        <v/>
      </c>
      <c r="K814" s="1" t="str">
        <f>IF(AND(Programme_Grunddaten!$A819="Geprüft",Programme_Grunddaten!R819&lt;&gt;""),IF(Programme_Grunddaten!R819="Ja",1,0),"")</f>
        <v/>
      </c>
      <c r="L814" s="1" t="str">
        <f>IF(AND(Programme_Grunddaten!$A819="Geprüft",Programme_Grunddaten!T819&lt;&gt;""),IF(Programme_Grunddaten!T819="Ja",1,0),"")</f>
        <v/>
      </c>
      <c r="M814" s="1" t="str">
        <f>IF(AND(Programme_Grunddaten!$A819="Geprüft",Programme_Grunddaten!U819&lt;&gt;""),IF(Programme_Grunddaten!U819="Ja",1,0),"")</f>
        <v/>
      </c>
      <c r="N814" s="1" t="str">
        <f>IF(AND(Programme_Grunddaten!$A819="Geprüft",Programme_Grunddaten!V819&lt;&gt;""),IF(Programme_Grunddaten!V819="Ja",1,0),"")</f>
        <v/>
      </c>
      <c r="O814" s="1" t="str">
        <f>IF(AND(Programme_Grunddaten!$A819="Geprüft",Programme_Grunddaten!W819&lt;&gt;""),IF(Programme_Grunddaten!W819="Ja",1,0),"")</f>
        <v/>
      </c>
      <c r="P814" s="1" t="str">
        <f>IF(AND(Programme_Grunddaten!$A819="Geprüft",Programme_Grunddaten!X819&lt;&gt;""),IF(Programme_Grunddaten!X819="Ja",1,0),"")</f>
        <v/>
      </c>
      <c r="Q814" s="1" t="str">
        <f>IF(AND(Programme_Grunddaten!$A819="Geprüft",Programme_Grunddaten!Y819&lt;&gt;""),IF(Programme_Grunddaten!Y819="Ja",1,0),"")</f>
        <v/>
      </c>
      <c r="R814" s="1" t="str">
        <f>IF(AND(Programme_Grunddaten!$A819="Geprüft",Programme_Grunddaten!Z819&lt;&gt;""),IF(Programme_Grunddaten!Z819="Ja",1,0),"")</f>
        <v/>
      </c>
      <c r="S814" s="1" t="str">
        <f>IF(AND(Programme_Grunddaten!$A819="Geprüft",Programme_Grunddaten!AA819&lt;&gt;""),IF(Programme_Grunddaten!AA819="monolithisch",1,0),"")</f>
        <v/>
      </c>
      <c r="T814" s="1" t="str">
        <f>IF(AND(Programme_Grunddaten!$A819="Geprüft",Programme_Grunddaten!AB819&lt;&gt;""),IF(Programme_Grunddaten!AB819="Ja",1,0),"")</f>
        <v/>
      </c>
      <c r="U814" s="1" t="str">
        <f>IF(AND(Programme_Grunddaten!$A819="Geprüft",Programme_Grunddaten!AC819&lt;&gt;""),IF(Programme_Grunddaten!AC819="Ja",1,0),"")</f>
        <v/>
      </c>
      <c r="V814" s="1" t="str">
        <f>IF(AND(Programme_Grunddaten!$A819="Geprüft",Programme_Grunddaten!AD819&lt;&gt;""),IF(Programme_Grunddaten!AD819="Ja",1,0),"")</f>
        <v/>
      </c>
      <c r="W814" s="1" t="str">
        <f>IF(AND(Programme_Grunddaten!$A819="Geprüft",Programme_Grunddaten!AE819&lt;&gt;""),IF(Programme_Grunddaten!AE819="Ja",1,0),"")</f>
        <v/>
      </c>
      <c r="X814" s="1" t="str">
        <f>IF(AND(Programme_Grunddaten!$A819="Geprüft",Programme_Grunddaten!AF819&lt;&gt;""),IF(Programme_Grunddaten!AF819="Ja",1,0),"")</f>
        <v/>
      </c>
      <c r="Y814" s="1" t="str">
        <f>IF(AND(Programme_Grunddaten!$A819="Geprüft",Programme_Grunddaten!AG819&lt;&gt;""),IF(Programme_Grunddaten!AG819="Ja",1,0),"")</f>
        <v/>
      </c>
      <c r="Z814" s="1" t="str">
        <f>IF(AND(Programme_Grunddaten!$A819="Geprüft",Programme_Grunddaten!AH819&lt;&gt;""),IF(Programme_Grunddaten!AH819="Ja",1,0),"")</f>
        <v/>
      </c>
      <c r="AA814" s="1" t="str">
        <f>IF(AND(Programme_Grunddaten!$A819="Geprüft",Programme_Grunddaten!AI819&lt;&gt;""),IF(Programme_Grunddaten!AI819="Ja",1,0),"")</f>
        <v/>
      </c>
      <c r="AB814" s="1" t="str">
        <f>IF(AND(Programme_Grunddaten!$A819="Geprüft",Programme_Grunddaten!AJ819&lt;&gt;""),IF(Programme_Grunddaten!AJ819="individuell programmierbar",1,0),"")</f>
        <v/>
      </c>
      <c r="AC814" s="1" t="str">
        <f>IF(AND(Programme_Grunddaten!$A819="Geprüft",Programme_Grunddaten!AK819&lt;&gt;""),IF(Programme_Grunddaten!AK819="Deutsch",0,IF(Programme_Grunddaten!AK819="Deutsch und Englisch",1,2)),"")</f>
        <v/>
      </c>
      <c r="AD814" s="1" t="str">
        <f>IF(AND(Programme_Grunddaten!$A819="Geprüft",Programme_Grunddaten!AL819&lt;&gt;""),IF(Programme_Grunddaten!AL819="Ja",1,0),"")</f>
        <v/>
      </c>
      <c r="AE814" s="1" t="str">
        <f>IF(AND(Programme_Grunddaten!$A819="Geprüft",Programme_Grunddaten!AM819&lt;&gt;""),IF(Programme_Grunddaten!AM819="Ja",1,0),"")</f>
        <v/>
      </c>
      <c r="AF814" s="1" t="str">
        <f>IF(AND(Programme_Grunddaten!$A819="Geprüft",Programme_Grunddaten!AN819&lt;&gt;""),IF(Programme_Grunddaten!AN819="Ja",1,0),"")</f>
        <v/>
      </c>
      <c r="AG814" s="1" t="str">
        <f>IF(AND(Programme_Grunddaten!$A819="Geprüft",Programme_Grunddaten!AO819&lt;&gt;""),IF(Programme_Grunddaten!AO819="Ja",1,0),"")</f>
        <v/>
      </c>
      <c r="AH814" s="1" t="str">
        <f>IF(AND(Programme_Grunddaten!$A819="Geprüft",Programme_Grunddaten!AP819&lt;&gt;""),IF(Programme_Grunddaten!AP819="Ja",1,0),"")</f>
        <v/>
      </c>
      <c r="AI814" s="1" t="str">
        <f>IF(AND(Programme_Grunddaten!$A819="Geprüft",Programme_Grunddaten!AQ819&lt;&gt;""),IF(Programme_Grunddaten!AQ819="Ja",1,0),"")</f>
        <v/>
      </c>
      <c r="AJ814" s="1" t="str">
        <f>IF(AND(Programme_Grunddaten!$A819="Geprüft",Programme_Grunddaten!AR819&lt;&gt;""),IF(Programme_Grunddaten!AR819="Ja",1,0),"")</f>
        <v/>
      </c>
      <c r="AK814" s="1" t="str">
        <f>IF(AND(Programme_Grunddaten!$A819="Geprüft",Programme_Grunddaten!AS819&lt;&gt;""),IF(Programme_Grunddaten!AS819="Ja",1,0),"")</f>
        <v/>
      </c>
      <c r="AL814" s="1" t="str">
        <f>IF(AND(Programme_Grunddaten!$A819="Geprüft",Programme_Grunddaten!AT819&lt;&gt;""),IF(Programme_Grunddaten!AT819="Ja",1,0),"")</f>
        <v/>
      </c>
      <c r="AM814" s="1" t="str">
        <f>IF(AND(Programme_Grunddaten!$A819="Geprüft",Programme_Grunddaten!AU819&lt;&gt;""),IF(Programme_Grunddaten!AU819="Ja",1,0),"")</f>
        <v/>
      </c>
      <c r="AN814" s="1" t="str">
        <f>IF(AND(Programme_Grunddaten!$A819="Geprüft",Programme_Grunddaten!AV819&lt;&gt;""),IF(Programme_Grunddaten!AV819="Ja",1,0),"")</f>
        <v/>
      </c>
    </row>
    <row r="815" spans="1:40" x14ac:dyDescent="0.3">
      <c r="A815" s="1" t="str">
        <f>IF(AND(Programme_Grunddaten!A820="Geprüft",Programme_Grunddaten!B820&lt;&gt;""),Programme_Grunddaten!B820,"")</f>
        <v/>
      </c>
      <c r="B815" s="1" t="str">
        <f>IF(AND(Programme_Grunddaten!$A820="Geprüft",Programme_Grunddaten!I820&lt;&gt;""),IF(Programme_Grunddaten!I820="Ja",1,0),"")</f>
        <v/>
      </c>
      <c r="C815" s="1" t="str">
        <f>IF(AND(Programme_Grunddaten!$A820="Geprüft",Programme_Grunddaten!J820&lt;&gt;""),IF(Programme_Grunddaten!J820="Ja",1,0),"")</f>
        <v/>
      </c>
      <c r="D815" s="1" t="str">
        <f>IF(AND(Programme_Grunddaten!$A820="Geprüft",Programme_Grunddaten!K820&lt;&gt;""),IF(Programme_Grunddaten!K820="Ja",1,0),"")</f>
        <v/>
      </c>
      <c r="E815" s="1" t="str">
        <f>IF(AND(Programme_Grunddaten!$A820="Geprüft",Programme_Grunddaten!L820&lt;&gt;""),IF(Programme_Grunddaten!L820="Abo / befristete Lizenz",1,0),"")</f>
        <v/>
      </c>
      <c r="F815" s="1" t="str">
        <f>IF(AND(Programme_Grunddaten!$A820="Geprüft",Programme_Grunddaten!M820&lt;&gt;""),IF(Programme_Grunddaten!M820="Ja",1,0),"")</f>
        <v/>
      </c>
      <c r="G815" s="1" t="str">
        <f>IF(AND(Programme_Grunddaten!$A820="Geprüft",Programme_Grunddaten!N820&lt;&gt;""),IF(Programme_Grunddaten!N820="Ja",1,0),"")</f>
        <v/>
      </c>
      <c r="H815" s="1" t="str">
        <f>IF(AND(Programme_Grunddaten!$A820="Geprüft",Programme_Grunddaten!O820&lt;&gt;""),IF(Programme_Grunddaten!O820="Deutschland",0,IF(Programme_Grunddaten!O820="EU",1,2)),"")</f>
        <v/>
      </c>
      <c r="I815" s="1" t="str">
        <f>IF(AND(Programme_Grunddaten!$A820="Geprüft",Programme_Grunddaten!P820&lt;&gt;""),IF(Programme_Grunddaten!P820="Ja",1,0),"")</f>
        <v/>
      </c>
      <c r="J815" s="1" t="str">
        <f>IF(AND(Programme_Grunddaten!$A820="Geprüft",Programme_Grunddaten!Q820&lt;&gt;""),IF(Programme_Grunddaten!Q820="geschlossenes System",1,0),"")</f>
        <v/>
      </c>
      <c r="K815" s="1" t="str">
        <f>IF(AND(Programme_Grunddaten!$A820="Geprüft",Programme_Grunddaten!R820&lt;&gt;""),IF(Programme_Grunddaten!R820="Ja",1,0),"")</f>
        <v/>
      </c>
      <c r="L815" s="1" t="str">
        <f>IF(AND(Programme_Grunddaten!$A820="Geprüft",Programme_Grunddaten!T820&lt;&gt;""),IF(Programme_Grunddaten!T820="Ja",1,0),"")</f>
        <v/>
      </c>
      <c r="M815" s="1" t="str">
        <f>IF(AND(Programme_Grunddaten!$A820="Geprüft",Programme_Grunddaten!U820&lt;&gt;""),IF(Programme_Grunddaten!U820="Ja",1,0),"")</f>
        <v/>
      </c>
      <c r="N815" s="1" t="str">
        <f>IF(AND(Programme_Grunddaten!$A820="Geprüft",Programme_Grunddaten!V820&lt;&gt;""),IF(Programme_Grunddaten!V820="Ja",1,0),"")</f>
        <v/>
      </c>
      <c r="O815" s="1" t="str">
        <f>IF(AND(Programme_Grunddaten!$A820="Geprüft",Programme_Grunddaten!W820&lt;&gt;""),IF(Programme_Grunddaten!W820="Ja",1,0),"")</f>
        <v/>
      </c>
      <c r="P815" s="1" t="str">
        <f>IF(AND(Programme_Grunddaten!$A820="Geprüft",Programme_Grunddaten!X820&lt;&gt;""),IF(Programme_Grunddaten!X820="Ja",1,0),"")</f>
        <v/>
      </c>
      <c r="Q815" s="1" t="str">
        <f>IF(AND(Programme_Grunddaten!$A820="Geprüft",Programme_Grunddaten!Y820&lt;&gt;""),IF(Programme_Grunddaten!Y820="Ja",1,0),"")</f>
        <v/>
      </c>
      <c r="R815" s="1" t="str">
        <f>IF(AND(Programme_Grunddaten!$A820="Geprüft",Programme_Grunddaten!Z820&lt;&gt;""),IF(Programme_Grunddaten!Z820="Ja",1,0),"")</f>
        <v/>
      </c>
      <c r="S815" s="1" t="str">
        <f>IF(AND(Programme_Grunddaten!$A820="Geprüft",Programme_Grunddaten!AA820&lt;&gt;""),IF(Programme_Grunddaten!AA820="monolithisch",1,0),"")</f>
        <v/>
      </c>
      <c r="T815" s="1" t="str">
        <f>IF(AND(Programme_Grunddaten!$A820="Geprüft",Programme_Grunddaten!AB820&lt;&gt;""),IF(Programme_Grunddaten!AB820="Ja",1,0),"")</f>
        <v/>
      </c>
      <c r="U815" s="1" t="str">
        <f>IF(AND(Programme_Grunddaten!$A820="Geprüft",Programme_Grunddaten!AC820&lt;&gt;""),IF(Programme_Grunddaten!AC820="Ja",1,0),"")</f>
        <v/>
      </c>
      <c r="V815" s="1" t="str">
        <f>IF(AND(Programme_Grunddaten!$A820="Geprüft",Programme_Grunddaten!AD820&lt;&gt;""),IF(Programme_Grunddaten!AD820="Ja",1,0),"")</f>
        <v/>
      </c>
      <c r="W815" s="1" t="str">
        <f>IF(AND(Programme_Grunddaten!$A820="Geprüft",Programme_Grunddaten!AE820&lt;&gt;""),IF(Programme_Grunddaten!AE820="Ja",1,0),"")</f>
        <v/>
      </c>
      <c r="X815" s="1" t="str">
        <f>IF(AND(Programme_Grunddaten!$A820="Geprüft",Programme_Grunddaten!AF820&lt;&gt;""),IF(Programme_Grunddaten!AF820="Ja",1,0),"")</f>
        <v/>
      </c>
      <c r="Y815" s="1" t="str">
        <f>IF(AND(Programme_Grunddaten!$A820="Geprüft",Programme_Grunddaten!AG820&lt;&gt;""),IF(Programme_Grunddaten!AG820="Ja",1,0),"")</f>
        <v/>
      </c>
      <c r="Z815" s="1" t="str">
        <f>IF(AND(Programme_Grunddaten!$A820="Geprüft",Programme_Grunddaten!AH820&lt;&gt;""),IF(Programme_Grunddaten!AH820="Ja",1,0),"")</f>
        <v/>
      </c>
      <c r="AA815" s="1" t="str">
        <f>IF(AND(Programme_Grunddaten!$A820="Geprüft",Programme_Grunddaten!AI820&lt;&gt;""),IF(Programme_Grunddaten!AI820="Ja",1,0),"")</f>
        <v/>
      </c>
      <c r="AB815" s="1" t="str">
        <f>IF(AND(Programme_Grunddaten!$A820="Geprüft",Programme_Grunddaten!AJ820&lt;&gt;""),IF(Programme_Grunddaten!AJ820="individuell programmierbar",1,0),"")</f>
        <v/>
      </c>
      <c r="AC815" s="1" t="str">
        <f>IF(AND(Programme_Grunddaten!$A820="Geprüft",Programme_Grunddaten!AK820&lt;&gt;""),IF(Programme_Grunddaten!AK820="Deutsch",0,IF(Programme_Grunddaten!AK820="Deutsch und Englisch",1,2)),"")</f>
        <v/>
      </c>
      <c r="AD815" s="1" t="str">
        <f>IF(AND(Programme_Grunddaten!$A820="Geprüft",Programme_Grunddaten!AL820&lt;&gt;""),IF(Programme_Grunddaten!AL820="Ja",1,0),"")</f>
        <v/>
      </c>
      <c r="AE815" s="1" t="str">
        <f>IF(AND(Programme_Grunddaten!$A820="Geprüft",Programme_Grunddaten!AM820&lt;&gt;""),IF(Programme_Grunddaten!AM820="Ja",1,0),"")</f>
        <v/>
      </c>
      <c r="AF815" s="1" t="str">
        <f>IF(AND(Programme_Grunddaten!$A820="Geprüft",Programme_Grunddaten!AN820&lt;&gt;""),IF(Programme_Grunddaten!AN820="Ja",1,0),"")</f>
        <v/>
      </c>
      <c r="AG815" s="1" t="str">
        <f>IF(AND(Programme_Grunddaten!$A820="Geprüft",Programme_Grunddaten!AO820&lt;&gt;""),IF(Programme_Grunddaten!AO820="Ja",1,0),"")</f>
        <v/>
      </c>
      <c r="AH815" s="1" t="str">
        <f>IF(AND(Programme_Grunddaten!$A820="Geprüft",Programme_Grunddaten!AP820&lt;&gt;""),IF(Programme_Grunddaten!AP820="Ja",1,0),"")</f>
        <v/>
      </c>
      <c r="AI815" s="1" t="str">
        <f>IF(AND(Programme_Grunddaten!$A820="Geprüft",Programme_Grunddaten!AQ820&lt;&gt;""),IF(Programme_Grunddaten!AQ820="Ja",1,0),"")</f>
        <v/>
      </c>
      <c r="AJ815" s="1" t="str">
        <f>IF(AND(Programme_Grunddaten!$A820="Geprüft",Programme_Grunddaten!AR820&lt;&gt;""),IF(Programme_Grunddaten!AR820="Ja",1,0),"")</f>
        <v/>
      </c>
      <c r="AK815" s="1" t="str">
        <f>IF(AND(Programme_Grunddaten!$A820="Geprüft",Programme_Grunddaten!AS820&lt;&gt;""),IF(Programme_Grunddaten!AS820="Ja",1,0),"")</f>
        <v/>
      </c>
      <c r="AL815" s="1" t="str">
        <f>IF(AND(Programme_Grunddaten!$A820="Geprüft",Programme_Grunddaten!AT820&lt;&gt;""),IF(Programme_Grunddaten!AT820="Ja",1,0),"")</f>
        <v/>
      </c>
      <c r="AM815" s="1" t="str">
        <f>IF(AND(Programme_Grunddaten!$A820="Geprüft",Programme_Grunddaten!AU820&lt;&gt;""),IF(Programme_Grunddaten!AU820="Ja",1,0),"")</f>
        <v/>
      </c>
      <c r="AN815" s="1" t="str">
        <f>IF(AND(Programme_Grunddaten!$A820="Geprüft",Programme_Grunddaten!AV820&lt;&gt;""),IF(Programme_Grunddaten!AV820="Ja",1,0),"")</f>
        <v/>
      </c>
    </row>
    <row r="816" spans="1:40" x14ac:dyDescent="0.3">
      <c r="A816" s="1" t="str">
        <f>IF(AND(Programme_Grunddaten!A821="Geprüft",Programme_Grunddaten!B821&lt;&gt;""),Programme_Grunddaten!B821,"")</f>
        <v/>
      </c>
      <c r="B816" s="1" t="str">
        <f>IF(AND(Programme_Grunddaten!$A821="Geprüft",Programme_Grunddaten!I821&lt;&gt;""),IF(Programme_Grunddaten!I821="Ja",1,0),"")</f>
        <v/>
      </c>
      <c r="C816" s="1" t="str">
        <f>IF(AND(Programme_Grunddaten!$A821="Geprüft",Programme_Grunddaten!J821&lt;&gt;""),IF(Programme_Grunddaten!J821="Ja",1,0),"")</f>
        <v/>
      </c>
      <c r="D816" s="1" t="str">
        <f>IF(AND(Programme_Grunddaten!$A821="Geprüft",Programme_Grunddaten!K821&lt;&gt;""),IF(Programme_Grunddaten!K821="Ja",1,0),"")</f>
        <v/>
      </c>
      <c r="E816" s="1" t="str">
        <f>IF(AND(Programme_Grunddaten!$A821="Geprüft",Programme_Grunddaten!L821&lt;&gt;""),IF(Programme_Grunddaten!L821="Abo / befristete Lizenz",1,0),"")</f>
        <v/>
      </c>
      <c r="F816" s="1" t="str">
        <f>IF(AND(Programme_Grunddaten!$A821="Geprüft",Programme_Grunddaten!M821&lt;&gt;""),IF(Programme_Grunddaten!M821="Ja",1,0),"")</f>
        <v/>
      </c>
      <c r="G816" s="1" t="str">
        <f>IF(AND(Programme_Grunddaten!$A821="Geprüft",Programme_Grunddaten!N821&lt;&gt;""),IF(Programme_Grunddaten!N821="Ja",1,0),"")</f>
        <v/>
      </c>
      <c r="H816" s="1" t="str">
        <f>IF(AND(Programme_Grunddaten!$A821="Geprüft",Programme_Grunddaten!O821&lt;&gt;""),IF(Programme_Grunddaten!O821="Deutschland",0,IF(Programme_Grunddaten!O821="EU",1,2)),"")</f>
        <v/>
      </c>
      <c r="I816" s="1" t="str">
        <f>IF(AND(Programme_Grunddaten!$A821="Geprüft",Programme_Grunddaten!P821&lt;&gt;""),IF(Programme_Grunddaten!P821="Ja",1,0),"")</f>
        <v/>
      </c>
      <c r="J816" s="1" t="str">
        <f>IF(AND(Programme_Grunddaten!$A821="Geprüft",Programme_Grunddaten!Q821&lt;&gt;""),IF(Programme_Grunddaten!Q821="geschlossenes System",1,0),"")</f>
        <v/>
      </c>
      <c r="K816" s="1" t="str">
        <f>IF(AND(Programme_Grunddaten!$A821="Geprüft",Programme_Grunddaten!R821&lt;&gt;""),IF(Programme_Grunddaten!R821="Ja",1,0),"")</f>
        <v/>
      </c>
      <c r="L816" s="1" t="str">
        <f>IF(AND(Programme_Grunddaten!$A821="Geprüft",Programme_Grunddaten!T821&lt;&gt;""),IF(Programme_Grunddaten!T821="Ja",1,0),"")</f>
        <v/>
      </c>
      <c r="M816" s="1" t="str">
        <f>IF(AND(Programme_Grunddaten!$A821="Geprüft",Programme_Grunddaten!U821&lt;&gt;""),IF(Programme_Grunddaten!U821="Ja",1,0),"")</f>
        <v/>
      </c>
      <c r="N816" s="1" t="str">
        <f>IF(AND(Programme_Grunddaten!$A821="Geprüft",Programme_Grunddaten!V821&lt;&gt;""),IF(Programme_Grunddaten!V821="Ja",1,0),"")</f>
        <v/>
      </c>
      <c r="O816" s="1" t="str">
        <f>IF(AND(Programme_Grunddaten!$A821="Geprüft",Programme_Grunddaten!W821&lt;&gt;""),IF(Programme_Grunddaten!W821="Ja",1,0),"")</f>
        <v/>
      </c>
      <c r="P816" s="1" t="str">
        <f>IF(AND(Programme_Grunddaten!$A821="Geprüft",Programme_Grunddaten!X821&lt;&gt;""),IF(Programme_Grunddaten!X821="Ja",1,0),"")</f>
        <v/>
      </c>
      <c r="Q816" s="1" t="str">
        <f>IF(AND(Programme_Grunddaten!$A821="Geprüft",Programme_Grunddaten!Y821&lt;&gt;""),IF(Programme_Grunddaten!Y821="Ja",1,0),"")</f>
        <v/>
      </c>
      <c r="R816" s="1" t="str">
        <f>IF(AND(Programme_Grunddaten!$A821="Geprüft",Programme_Grunddaten!Z821&lt;&gt;""),IF(Programme_Grunddaten!Z821="Ja",1,0),"")</f>
        <v/>
      </c>
      <c r="S816" s="1" t="str">
        <f>IF(AND(Programme_Grunddaten!$A821="Geprüft",Programme_Grunddaten!AA821&lt;&gt;""),IF(Programme_Grunddaten!AA821="monolithisch",1,0),"")</f>
        <v/>
      </c>
      <c r="T816" s="1" t="str">
        <f>IF(AND(Programme_Grunddaten!$A821="Geprüft",Programme_Grunddaten!AB821&lt;&gt;""),IF(Programme_Grunddaten!AB821="Ja",1,0),"")</f>
        <v/>
      </c>
      <c r="U816" s="1" t="str">
        <f>IF(AND(Programme_Grunddaten!$A821="Geprüft",Programme_Grunddaten!AC821&lt;&gt;""),IF(Programme_Grunddaten!AC821="Ja",1,0),"")</f>
        <v/>
      </c>
      <c r="V816" s="1" t="str">
        <f>IF(AND(Programme_Grunddaten!$A821="Geprüft",Programme_Grunddaten!AD821&lt;&gt;""),IF(Programme_Grunddaten!AD821="Ja",1,0),"")</f>
        <v/>
      </c>
      <c r="W816" s="1" t="str">
        <f>IF(AND(Programme_Grunddaten!$A821="Geprüft",Programme_Grunddaten!AE821&lt;&gt;""),IF(Programme_Grunddaten!AE821="Ja",1,0),"")</f>
        <v/>
      </c>
      <c r="X816" s="1" t="str">
        <f>IF(AND(Programme_Grunddaten!$A821="Geprüft",Programme_Grunddaten!AF821&lt;&gt;""),IF(Programme_Grunddaten!AF821="Ja",1,0),"")</f>
        <v/>
      </c>
      <c r="Y816" s="1" t="str">
        <f>IF(AND(Programme_Grunddaten!$A821="Geprüft",Programme_Grunddaten!AG821&lt;&gt;""),IF(Programme_Grunddaten!AG821="Ja",1,0),"")</f>
        <v/>
      </c>
      <c r="Z816" s="1" t="str">
        <f>IF(AND(Programme_Grunddaten!$A821="Geprüft",Programme_Grunddaten!AH821&lt;&gt;""),IF(Programme_Grunddaten!AH821="Ja",1,0),"")</f>
        <v/>
      </c>
      <c r="AA816" s="1" t="str">
        <f>IF(AND(Programme_Grunddaten!$A821="Geprüft",Programme_Grunddaten!AI821&lt;&gt;""),IF(Programme_Grunddaten!AI821="Ja",1,0),"")</f>
        <v/>
      </c>
      <c r="AB816" s="1" t="str">
        <f>IF(AND(Programme_Grunddaten!$A821="Geprüft",Programme_Grunddaten!AJ821&lt;&gt;""),IF(Programme_Grunddaten!AJ821="individuell programmierbar",1,0),"")</f>
        <v/>
      </c>
      <c r="AC816" s="1" t="str">
        <f>IF(AND(Programme_Grunddaten!$A821="Geprüft",Programme_Grunddaten!AK821&lt;&gt;""),IF(Programme_Grunddaten!AK821="Deutsch",0,IF(Programme_Grunddaten!AK821="Deutsch und Englisch",1,2)),"")</f>
        <v/>
      </c>
      <c r="AD816" s="1" t="str">
        <f>IF(AND(Programme_Grunddaten!$A821="Geprüft",Programme_Grunddaten!AL821&lt;&gt;""),IF(Programme_Grunddaten!AL821="Ja",1,0),"")</f>
        <v/>
      </c>
      <c r="AE816" s="1" t="str">
        <f>IF(AND(Programme_Grunddaten!$A821="Geprüft",Programme_Grunddaten!AM821&lt;&gt;""),IF(Programme_Grunddaten!AM821="Ja",1,0),"")</f>
        <v/>
      </c>
      <c r="AF816" s="1" t="str">
        <f>IF(AND(Programme_Grunddaten!$A821="Geprüft",Programme_Grunddaten!AN821&lt;&gt;""),IF(Programme_Grunddaten!AN821="Ja",1,0),"")</f>
        <v/>
      </c>
      <c r="AG816" s="1" t="str">
        <f>IF(AND(Programme_Grunddaten!$A821="Geprüft",Programme_Grunddaten!AO821&lt;&gt;""),IF(Programme_Grunddaten!AO821="Ja",1,0),"")</f>
        <v/>
      </c>
      <c r="AH816" s="1" t="str">
        <f>IF(AND(Programme_Grunddaten!$A821="Geprüft",Programme_Grunddaten!AP821&lt;&gt;""),IF(Programme_Grunddaten!AP821="Ja",1,0),"")</f>
        <v/>
      </c>
      <c r="AI816" s="1" t="str">
        <f>IF(AND(Programme_Grunddaten!$A821="Geprüft",Programme_Grunddaten!AQ821&lt;&gt;""),IF(Programme_Grunddaten!AQ821="Ja",1,0),"")</f>
        <v/>
      </c>
      <c r="AJ816" s="1" t="str">
        <f>IF(AND(Programme_Grunddaten!$A821="Geprüft",Programme_Grunddaten!AR821&lt;&gt;""),IF(Programme_Grunddaten!AR821="Ja",1,0),"")</f>
        <v/>
      </c>
      <c r="AK816" s="1" t="str">
        <f>IF(AND(Programme_Grunddaten!$A821="Geprüft",Programme_Grunddaten!AS821&lt;&gt;""),IF(Programme_Grunddaten!AS821="Ja",1,0),"")</f>
        <v/>
      </c>
      <c r="AL816" s="1" t="str">
        <f>IF(AND(Programme_Grunddaten!$A821="Geprüft",Programme_Grunddaten!AT821&lt;&gt;""),IF(Programme_Grunddaten!AT821="Ja",1,0),"")</f>
        <v/>
      </c>
      <c r="AM816" s="1" t="str">
        <f>IF(AND(Programme_Grunddaten!$A821="Geprüft",Programme_Grunddaten!AU821&lt;&gt;""),IF(Programme_Grunddaten!AU821="Ja",1,0),"")</f>
        <v/>
      </c>
      <c r="AN816" s="1" t="str">
        <f>IF(AND(Programme_Grunddaten!$A821="Geprüft",Programme_Grunddaten!AV821&lt;&gt;""),IF(Programme_Grunddaten!AV821="Ja",1,0),"")</f>
        <v/>
      </c>
    </row>
    <row r="817" spans="1:40" x14ac:dyDescent="0.3">
      <c r="A817" s="1" t="str">
        <f>IF(AND(Programme_Grunddaten!A822="Geprüft",Programme_Grunddaten!B822&lt;&gt;""),Programme_Grunddaten!B822,"")</f>
        <v/>
      </c>
      <c r="B817" s="1" t="str">
        <f>IF(AND(Programme_Grunddaten!$A822="Geprüft",Programme_Grunddaten!I822&lt;&gt;""),IF(Programme_Grunddaten!I822="Ja",1,0),"")</f>
        <v/>
      </c>
      <c r="C817" s="1" t="str">
        <f>IF(AND(Programme_Grunddaten!$A822="Geprüft",Programme_Grunddaten!J822&lt;&gt;""),IF(Programme_Grunddaten!J822="Ja",1,0),"")</f>
        <v/>
      </c>
      <c r="D817" s="1" t="str">
        <f>IF(AND(Programme_Grunddaten!$A822="Geprüft",Programme_Grunddaten!K822&lt;&gt;""),IF(Programme_Grunddaten!K822="Ja",1,0),"")</f>
        <v/>
      </c>
      <c r="E817" s="1" t="str">
        <f>IF(AND(Programme_Grunddaten!$A822="Geprüft",Programme_Grunddaten!L822&lt;&gt;""),IF(Programme_Grunddaten!L822="Abo / befristete Lizenz",1,0),"")</f>
        <v/>
      </c>
      <c r="F817" s="1" t="str">
        <f>IF(AND(Programme_Grunddaten!$A822="Geprüft",Programme_Grunddaten!M822&lt;&gt;""),IF(Programme_Grunddaten!M822="Ja",1,0),"")</f>
        <v/>
      </c>
      <c r="G817" s="1" t="str">
        <f>IF(AND(Programme_Grunddaten!$A822="Geprüft",Programme_Grunddaten!N822&lt;&gt;""),IF(Programme_Grunddaten!N822="Ja",1,0),"")</f>
        <v/>
      </c>
      <c r="H817" s="1" t="str">
        <f>IF(AND(Programme_Grunddaten!$A822="Geprüft",Programme_Grunddaten!O822&lt;&gt;""),IF(Programme_Grunddaten!O822="Deutschland",0,IF(Programme_Grunddaten!O822="EU",1,2)),"")</f>
        <v/>
      </c>
      <c r="I817" s="1" t="str">
        <f>IF(AND(Programme_Grunddaten!$A822="Geprüft",Programme_Grunddaten!P822&lt;&gt;""),IF(Programme_Grunddaten!P822="Ja",1,0),"")</f>
        <v/>
      </c>
      <c r="J817" s="1" t="str">
        <f>IF(AND(Programme_Grunddaten!$A822="Geprüft",Programme_Grunddaten!Q822&lt;&gt;""),IF(Programme_Grunddaten!Q822="geschlossenes System",1,0),"")</f>
        <v/>
      </c>
      <c r="K817" s="1" t="str">
        <f>IF(AND(Programme_Grunddaten!$A822="Geprüft",Programme_Grunddaten!R822&lt;&gt;""),IF(Programme_Grunddaten!R822="Ja",1,0),"")</f>
        <v/>
      </c>
      <c r="L817" s="1" t="str">
        <f>IF(AND(Programme_Grunddaten!$A822="Geprüft",Programme_Grunddaten!T822&lt;&gt;""),IF(Programme_Grunddaten!T822="Ja",1,0),"")</f>
        <v/>
      </c>
      <c r="M817" s="1" t="str">
        <f>IF(AND(Programme_Grunddaten!$A822="Geprüft",Programme_Grunddaten!U822&lt;&gt;""),IF(Programme_Grunddaten!U822="Ja",1,0),"")</f>
        <v/>
      </c>
      <c r="N817" s="1" t="str">
        <f>IF(AND(Programme_Grunddaten!$A822="Geprüft",Programme_Grunddaten!V822&lt;&gt;""),IF(Programme_Grunddaten!V822="Ja",1,0),"")</f>
        <v/>
      </c>
      <c r="O817" s="1" t="str">
        <f>IF(AND(Programme_Grunddaten!$A822="Geprüft",Programme_Grunddaten!W822&lt;&gt;""),IF(Programme_Grunddaten!W822="Ja",1,0),"")</f>
        <v/>
      </c>
      <c r="P817" s="1" t="str">
        <f>IF(AND(Programme_Grunddaten!$A822="Geprüft",Programme_Grunddaten!X822&lt;&gt;""),IF(Programme_Grunddaten!X822="Ja",1,0),"")</f>
        <v/>
      </c>
      <c r="Q817" s="1" t="str">
        <f>IF(AND(Programme_Grunddaten!$A822="Geprüft",Programme_Grunddaten!Y822&lt;&gt;""),IF(Programme_Grunddaten!Y822="Ja",1,0),"")</f>
        <v/>
      </c>
      <c r="R817" s="1" t="str">
        <f>IF(AND(Programme_Grunddaten!$A822="Geprüft",Programme_Grunddaten!Z822&lt;&gt;""),IF(Programme_Grunddaten!Z822="Ja",1,0),"")</f>
        <v/>
      </c>
      <c r="S817" s="1" t="str">
        <f>IF(AND(Programme_Grunddaten!$A822="Geprüft",Programme_Grunddaten!AA822&lt;&gt;""),IF(Programme_Grunddaten!AA822="monolithisch",1,0),"")</f>
        <v/>
      </c>
      <c r="T817" s="1" t="str">
        <f>IF(AND(Programme_Grunddaten!$A822="Geprüft",Programme_Grunddaten!AB822&lt;&gt;""),IF(Programme_Grunddaten!AB822="Ja",1,0),"")</f>
        <v/>
      </c>
      <c r="U817" s="1" t="str">
        <f>IF(AND(Programme_Grunddaten!$A822="Geprüft",Programme_Grunddaten!AC822&lt;&gt;""),IF(Programme_Grunddaten!AC822="Ja",1,0),"")</f>
        <v/>
      </c>
      <c r="V817" s="1" t="str">
        <f>IF(AND(Programme_Grunddaten!$A822="Geprüft",Programme_Grunddaten!AD822&lt;&gt;""),IF(Programme_Grunddaten!AD822="Ja",1,0),"")</f>
        <v/>
      </c>
      <c r="W817" s="1" t="str">
        <f>IF(AND(Programme_Grunddaten!$A822="Geprüft",Programme_Grunddaten!AE822&lt;&gt;""),IF(Programme_Grunddaten!AE822="Ja",1,0),"")</f>
        <v/>
      </c>
      <c r="X817" s="1" t="str">
        <f>IF(AND(Programme_Grunddaten!$A822="Geprüft",Programme_Grunddaten!AF822&lt;&gt;""),IF(Programme_Grunddaten!AF822="Ja",1,0),"")</f>
        <v/>
      </c>
      <c r="Y817" s="1" t="str">
        <f>IF(AND(Programme_Grunddaten!$A822="Geprüft",Programme_Grunddaten!AG822&lt;&gt;""),IF(Programme_Grunddaten!AG822="Ja",1,0),"")</f>
        <v/>
      </c>
      <c r="Z817" s="1" t="str">
        <f>IF(AND(Programme_Grunddaten!$A822="Geprüft",Programme_Grunddaten!AH822&lt;&gt;""),IF(Programme_Grunddaten!AH822="Ja",1,0),"")</f>
        <v/>
      </c>
      <c r="AA817" s="1" t="str">
        <f>IF(AND(Programme_Grunddaten!$A822="Geprüft",Programme_Grunddaten!AI822&lt;&gt;""),IF(Programme_Grunddaten!AI822="Ja",1,0),"")</f>
        <v/>
      </c>
      <c r="AB817" s="1" t="str">
        <f>IF(AND(Programme_Grunddaten!$A822="Geprüft",Programme_Grunddaten!AJ822&lt;&gt;""),IF(Programme_Grunddaten!AJ822="individuell programmierbar",1,0),"")</f>
        <v/>
      </c>
      <c r="AC817" s="1" t="str">
        <f>IF(AND(Programme_Grunddaten!$A822="Geprüft",Programme_Grunddaten!AK822&lt;&gt;""),IF(Programme_Grunddaten!AK822="Deutsch",0,IF(Programme_Grunddaten!AK822="Deutsch und Englisch",1,2)),"")</f>
        <v/>
      </c>
      <c r="AD817" s="1" t="str">
        <f>IF(AND(Programme_Grunddaten!$A822="Geprüft",Programme_Grunddaten!AL822&lt;&gt;""),IF(Programme_Grunddaten!AL822="Ja",1,0),"")</f>
        <v/>
      </c>
      <c r="AE817" s="1" t="str">
        <f>IF(AND(Programme_Grunddaten!$A822="Geprüft",Programme_Grunddaten!AM822&lt;&gt;""),IF(Programme_Grunddaten!AM822="Ja",1,0),"")</f>
        <v/>
      </c>
      <c r="AF817" s="1" t="str">
        <f>IF(AND(Programme_Grunddaten!$A822="Geprüft",Programme_Grunddaten!AN822&lt;&gt;""),IF(Programme_Grunddaten!AN822="Ja",1,0),"")</f>
        <v/>
      </c>
      <c r="AG817" s="1" t="str">
        <f>IF(AND(Programme_Grunddaten!$A822="Geprüft",Programme_Grunddaten!AO822&lt;&gt;""),IF(Programme_Grunddaten!AO822="Ja",1,0),"")</f>
        <v/>
      </c>
      <c r="AH817" s="1" t="str">
        <f>IF(AND(Programme_Grunddaten!$A822="Geprüft",Programme_Grunddaten!AP822&lt;&gt;""),IF(Programme_Grunddaten!AP822="Ja",1,0),"")</f>
        <v/>
      </c>
      <c r="AI817" s="1" t="str">
        <f>IF(AND(Programme_Grunddaten!$A822="Geprüft",Programme_Grunddaten!AQ822&lt;&gt;""),IF(Programme_Grunddaten!AQ822="Ja",1,0),"")</f>
        <v/>
      </c>
      <c r="AJ817" s="1" t="str">
        <f>IF(AND(Programme_Grunddaten!$A822="Geprüft",Programme_Grunddaten!AR822&lt;&gt;""),IF(Programme_Grunddaten!AR822="Ja",1,0),"")</f>
        <v/>
      </c>
      <c r="AK817" s="1" t="str">
        <f>IF(AND(Programme_Grunddaten!$A822="Geprüft",Programme_Grunddaten!AS822&lt;&gt;""),IF(Programme_Grunddaten!AS822="Ja",1,0),"")</f>
        <v/>
      </c>
      <c r="AL817" s="1" t="str">
        <f>IF(AND(Programme_Grunddaten!$A822="Geprüft",Programme_Grunddaten!AT822&lt;&gt;""),IF(Programme_Grunddaten!AT822="Ja",1,0),"")</f>
        <v/>
      </c>
      <c r="AM817" s="1" t="str">
        <f>IF(AND(Programme_Grunddaten!$A822="Geprüft",Programme_Grunddaten!AU822&lt;&gt;""),IF(Programme_Grunddaten!AU822="Ja",1,0),"")</f>
        <v/>
      </c>
      <c r="AN817" s="1" t="str">
        <f>IF(AND(Programme_Grunddaten!$A822="Geprüft",Programme_Grunddaten!AV822&lt;&gt;""),IF(Programme_Grunddaten!AV822="Ja",1,0),"")</f>
        <v/>
      </c>
    </row>
    <row r="818" spans="1:40" x14ac:dyDescent="0.3">
      <c r="A818" s="1" t="str">
        <f>IF(AND(Programme_Grunddaten!A823="Geprüft",Programme_Grunddaten!B823&lt;&gt;""),Programme_Grunddaten!B823,"")</f>
        <v/>
      </c>
      <c r="B818" s="1" t="str">
        <f>IF(AND(Programme_Grunddaten!$A823="Geprüft",Programme_Grunddaten!I823&lt;&gt;""),IF(Programme_Grunddaten!I823="Ja",1,0),"")</f>
        <v/>
      </c>
      <c r="C818" s="1" t="str">
        <f>IF(AND(Programme_Grunddaten!$A823="Geprüft",Programme_Grunddaten!J823&lt;&gt;""),IF(Programme_Grunddaten!J823="Ja",1,0),"")</f>
        <v/>
      </c>
      <c r="D818" s="1" t="str">
        <f>IF(AND(Programme_Grunddaten!$A823="Geprüft",Programme_Grunddaten!K823&lt;&gt;""),IF(Programme_Grunddaten!K823="Ja",1,0),"")</f>
        <v/>
      </c>
      <c r="E818" s="1" t="str">
        <f>IF(AND(Programme_Grunddaten!$A823="Geprüft",Programme_Grunddaten!L823&lt;&gt;""),IF(Programme_Grunddaten!L823="Abo / befristete Lizenz",1,0),"")</f>
        <v/>
      </c>
      <c r="F818" s="1" t="str">
        <f>IF(AND(Programme_Grunddaten!$A823="Geprüft",Programme_Grunddaten!M823&lt;&gt;""),IF(Programme_Grunddaten!M823="Ja",1,0),"")</f>
        <v/>
      </c>
      <c r="G818" s="1" t="str">
        <f>IF(AND(Programme_Grunddaten!$A823="Geprüft",Programme_Grunddaten!N823&lt;&gt;""),IF(Programme_Grunddaten!N823="Ja",1,0),"")</f>
        <v/>
      </c>
      <c r="H818" s="1" t="str">
        <f>IF(AND(Programme_Grunddaten!$A823="Geprüft",Programme_Grunddaten!O823&lt;&gt;""),IF(Programme_Grunddaten!O823="Deutschland",0,IF(Programme_Grunddaten!O823="EU",1,2)),"")</f>
        <v/>
      </c>
      <c r="I818" s="1" t="str">
        <f>IF(AND(Programme_Grunddaten!$A823="Geprüft",Programme_Grunddaten!P823&lt;&gt;""),IF(Programme_Grunddaten!P823="Ja",1,0),"")</f>
        <v/>
      </c>
      <c r="J818" s="1" t="str">
        <f>IF(AND(Programme_Grunddaten!$A823="Geprüft",Programme_Grunddaten!Q823&lt;&gt;""),IF(Programme_Grunddaten!Q823="geschlossenes System",1,0),"")</f>
        <v/>
      </c>
      <c r="K818" s="1" t="str">
        <f>IF(AND(Programme_Grunddaten!$A823="Geprüft",Programme_Grunddaten!R823&lt;&gt;""),IF(Programme_Grunddaten!R823="Ja",1,0),"")</f>
        <v/>
      </c>
      <c r="L818" s="1" t="str">
        <f>IF(AND(Programme_Grunddaten!$A823="Geprüft",Programme_Grunddaten!T823&lt;&gt;""),IF(Programme_Grunddaten!T823="Ja",1,0),"")</f>
        <v/>
      </c>
      <c r="M818" s="1" t="str">
        <f>IF(AND(Programme_Grunddaten!$A823="Geprüft",Programme_Grunddaten!U823&lt;&gt;""),IF(Programme_Grunddaten!U823="Ja",1,0),"")</f>
        <v/>
      </c>
      <c r="N818" s="1" t="str">
        <f>IF(AND(Programme_Grunddaten!$A823="Geprüft",Programme_Grunddaten!V823&lt;&gt;""),IF(Programme_Grunddaten!V823="Ja",1,0),"")</f>
        <v/>
      </c>
      <c r="O818" s="1" t="str">
        <f>IF(AND(Programme_Grunddaten!$A823="Geprüft",Programme_Grunddaten!W823&lt;&gt;""),IF(Programme_Grunddaten!W823="Ja",1,0),"")</f>
        <v/>
      </c>
      <c r="P818" s="1" t="str">
        <f>IF(AND(Programme_Grunddaten!$A823="Geprüft",Programme_Grunddaten!X823&lt;&gt;""),IF(Programme_Grunddaten!X823="Ja",1,0),"")</f>
        <v/>
      </c>
      <c r="Q818" s="1" t="str">
        <f>IF(AND(Programme_Grunddaten!$A823="Geprüft",Programme_Grunddaten!Y823&lt;&gt;""),IF(Programme_Grunddaten!Y823="Ja",1,0),"")</f>
        <v/>
      </c>
      <c r="R818" s="1" t="str">
        <f>IF(AND(Programme_Grunddaten!$A823="Geprüft",Programme_Grunddaten!Z823&lt;&gt;""),IF(Programme_Grunddaten!Z823="Ja",1,0),"")</f>
        <v/>
      </c>
      <c r="S818" s="1" t="str">
        <f>IF(AND(Programme_Grunddaten!$A823="Geprüft",Programme_Grunddaten!AA823&lt;&gt;""),IF(Programme_Grunddaten!AA823="monolithisch",1,0),"")</f>
        <v/>
      </c>
      <c r="T818" s="1" t="str">
        <f>IF(AND(Programme_Grunddaten!$A823="Geprüft",Programme_Grunddaten!AB823&lt;&gt;""),IF(Programme_Grunddaten!AB823="Ja",1,0),"")</f>
        <v/>
      </c>
      <c r="U818" s="1" t="str">
        <f>IF(AND(Programme_Grunddaten!$A823="Geprüft",Programme_Grunddaten!AC823&lt;&gt;""),IF(Programme_Grunddaten!AC823="Ja",1,0),"")</f>
        <v/>
      </c>
      <c r="V818" s="1" t="str">
        <f>IF(AND(Programme_Grunddaten!$A823="Geprüft",Programme_Grunddaten!AD823&lt;&gt;""),IF(Programme_Grunddaten!AD823="Ja",1,0),"")</f>
        <v/>
      </c>
      <c r="W818" s="1" t="str">
        <f>IF(AND(Programme_Grunddaten!$A823="Geprüft",Programme_Grunddaten!AE823&lt;&gt;""),IF(Programme_Grunddaten!AE823="Ja",1,0),"")</f>
        <v/>
      </c>
      <c r="X818" s="1" t="str">
        <f>IF(AND(Programme_Grunddaten!$A823="Geprüft",Programme_Grunddaten!AF823&lt;&gt;""),IF(Programme_Grunddaten!AF823="Ja",1,0),"")</f>
        <v/>
      </c>
      <c r="Y818" s="1" t="str">
        <f>IF(AND(Programme_Grunddaten!$A823="Geprüft",Programme_Grunddaten!AG823&lt;&gt;""),IF(Programme_Grunddaten!AG823="Ja",1,0),"")</f>
        <v/>
      </c>
      <c r="Z818" s="1" t="str">
        <f>IF(AND(Programme_Grunddaten!$A823="Geprüft",Programme_Grunddaten!AH823&lt;&gt;""),IF(Programme_Grunddaten!AH823="Ja",1,0),"")</f>
        <v/>
      </c>
      <c r="AA818" s="1" t="str">
        <f>IF(AND(Programme_Grunddaten!$A823="Geprüft",Programme_Grunddaten!AI823&lt;&gt;""),IF(Programme_Grunddaten!AI823="Ja",1,0),"")</f>
        <v/>
      </c>
      <c r="AB818" s="1" t="str">
        <f>IF(AND(Programme_Grunddaten!$A823="Geprüft",Programme_Grunddaten!AJ823&lt;&gt;""),IF(Programme_Grunddaten!AJ823="individuell programmierbar",1,0),"")</f>
        <v/>
      </c>
      <c r="AC818" s="1" t="str">
        <f>IF(AND(Programme_Grunddaten!$A823="Geprüft",Programme_Grunddaten!AK823&lt;&gt;""),IF(Programme_Grunddaten!AK823="Deutsch",0,IF(Programme_Grunddaten!AK823="Deutsch und Englisch",1,2)),"")</f>
        <v/>
      </c>
      <c r="AD818" s="1" t="str">
        <f>IF(AND(Programme_Grunddaten!$A823="Geprüft",Programme_Grunddaten!AL823&lt;&gt;""),IF(Programme_Grunddaten!AL823="Ja",1,0),"")</f>
        <v/>
      </c>
      <c r="AE818" s="1" t="str">
        <f>IF(AND(Programme_Grunddaten!$A823="Geprüft",Programme_Grunddaten!AM823&lt;&gt;""),IF(Programme_Grunddaten!AM823="Ja",1,0),"")</f>
        <v/>
      </c>
      <c r="AF818" s="1" t="str">
        <f>IF(AND(Programme_Grunddaten!$A823="Geprüft",Programme_Grunddaten!AN823&lt;&gt;""),IF(Programme_Grunddaten!AN823="Ja",1,0),"")</f>
        <v/>
      </c>
      <c r="AG818" s="1" t="str">
        <f>IF(AND(Programme_Grunddaten!$A823="Geprüft",Programme_Grunddaten!AO823&lt;&gt;""),IF(Programme_Grunddaten!AO823="Ja",1,0),"")</f>
        <v/>
      </c>
      <c r="AH818" s="1" t="str">
        <f>IF(AND(Programme_Grunddaten!$A823="Geprüft",Programme_Grunddaten!AP823&lt;&gt;""),IF(Programme_Grunddaten!AP823="Ja",1,0),"")</f>
        <v/>
      </c>
      <c r="AI818" s="1" t="str">
        <f>IF(AND(Programme_Grunddaten!$A823="Geprüft",Programme_Grunddaten!AQ823&lt;&gt;""),IF(Programme_Grunddaten!AQ823="Ja",1,0),"")</f>
        <v/>
      </c>
      <c r="AJ818" s="1" t="str">
        <f>IF(AND(Programme_Grunddaten!$A823="Geprüft",Programme_Grunddaten!AR823&lt;&gt;""),IF(Programme_Grunddaten!AR823="Ja",1,0),"")</f>
        <v/>
      </c>
      <c r="AK818" s="1" t="str">
        <f>IF(AND(Programme_Grunddaten!$A823="Geprüft",Programme_Grunddaten!AS823&lt;&gt;""),IF(Programme_Grunddaten!AS823="Ja",1,0),"")</f>
        <v/>
      </c>
      <c r="AL818" s="1" t="str">
        <f>IF(AND(Programme_Grunddaten!$A823="Geprüft",Programme_Grunddaten!AT823&lt;&gt;""),IF(Programme_Grunddaten!AT823="Ja",1,0),"")</f>
        <v/>
      </c>
      <c r="AM818" s="1" t="str">
        <f>IF(AND(Programme_Grunddaten!$A823="Geprüft",Programme_Grunddaten!AU823&lt;&gt;""),IF(Programme_Grunddaten!AU823="Ja",1,0),"")</f>
        <v/>
      </c>
      <c r="AN818" s="1" t="str">
        <f>IF(AND(Programme_Grunddaten!$A823="Geprüft",Programme_Grunddaten!AV823&lt;&gt;""),IF(Programme_Grunddaten!AV823="Ja",1,0),"")</f>
        <v/>
      </c>
    </row>
    <row r="819" spans="1:40" x14ac:dyDescent="0.3">
      <c r="A819" s="1" t="str">
        <f>IF(AND(Programme_Grunddaten!A824="Geprüft",Programme_Grunddaten!B824&lt;&gt;""),Programme_Grunddaten!B824,"")</f>
        <v/>
      </c>
      <c r="B819" s="1" t="str">
        <f>IF(AND(Programme_Grunddaten!$A824="Geprüft",Programme_Grunddaten!I824&lt;&gt;""),IF(Programme_Grunddaten!I824="Ja",1,0),"")</f>
        <v/>
      </c>
      <c r="C819" s="1" t="str">
        <f>IF(AND(Programme_Grunddaten!$A824="Geprüft",Programme_Grunddaten!J824&lt;&gt;""),IF(Programme_Grunddaten!J824="Ja",1,0),"")</f>
        <v/>
      </c>
      <c r="D819" s="1" t="str">
        <f>IF(AND(Programme_Grunddaten!$A824="Geprüft",Programme_Grunddaten!K824&lt;&gt;""),IF(Programme_Grunddaten!K824="Ja",1,0),"")</f>
        <v/>
      </c>
      <c r="E819" s="1" t="str">
        <f>IF(AND(Programme_Grunddaten!$A824="Geprüft",Programme_Grunddaten!L824&lt;&gt;""),IF(Programme_Grunddaten!L824="Abo / befristete Lizenz",1,0),"")</f>
        <v/>
      </c>
      <c r="F819" s="1" t="str">
        <f>IF(AND(Programme_Grunddaten!$A824="Geprüft",Programme_Grunddaten!M824&lt;&gt;""),IF(Programme_Grunddaten!M824="Ja",1,0),"")</f>
        <v/>
      </c>
      <c r="G819" s="1" t="str">
        <f>IF(AND(Programme_Grunddaten!$A824="Geprüft",Programme_Grunddaten!N824&lt;&gt;""),IF(Programme_Grunddaten!N824="Ja",1,0),"")</f>
        <v/>
      </c>
      <c r="H819" s="1" t="str">
        <f>IF(AND(Programme_Grunddaten!$A824="Geprüft",Programme_Grunddaten!O824&lt;&gt;""),IF(Programme_Grunddaten!O824="Deutschland",0,IF(Programme_Grunddaten!O824="EU",1,2)),"")</f>
        <v/>
      </c>
      <c r="I819" s="1" t="str">
        <f>IF(AND(Programme_Grunddaten!$A824="Geprüft",Programme_Grunddaten!P824&lt;&gt;""),IF(Programme_Grunddaten!P824="Ja",1,0),"")</f>
        <v/>
      </c>
      <c r="J819" s="1" t="str">
        <f>IF(AND(Programme_Grunddaten!$A824="Geprüft",Programme_Grunddaten!Q824&lt;&gt;""),IF(Programme_Grunddaten!Q824="geschlossenes System",1,0),"")</f>
        <v/>
      </c>
      <c r="K819" s="1" t="str">
        <f>IF(AND(Programme_Grunddaten!$A824="Geprüft",Programme_Grunddaten!R824&lt;&gt;""),IF(Programme_Grunddaten!R824="Ja",1,0),"")</f>
        <v/>
      </c>
      <c r="L819" s="1" t="str">
        <f>IF(AND(Programme_Grunddaten!$A824="Geprüft",Programme_Grunddaten!T824&lt;&gt;""),IF(Programme_Grunddaten!T824="Ja",1,0),"")</f>
        <v/>
      </c>
      <c r="M819" s="1" t="str">
        <f>IF(AND(Programme_Grunddaten!$A824="Geprüft",Programme_Grunddaten!U824&lt;&gt;""),IF(Programme_Grunddaten!U824="Ja",1,0),"")</f>
        <v/>
      </c>
      <c r="N819" s="1" t="str">
        <f>IF(AND(Programme_Grunddaten!$A824="Geprüft",Programme_Grunddaten!V824&lt;&gt;""),IF(Programme_Grunddaten!V824="Ja",1,0),"")</f>
        <v/>
      </c>
      <c r="O819" s="1" t="str">
        <f>IF(AND(Programme_Grunddaten!$A824="Geprüft",Programme_Grunddaten!W824&lt;&gt;""),IF(Programme_Grunddaten!W824="Ja",1,0),"")</f>
        <v/>
      </c>
      <c r="P819" s="1" t="str">
        <f>IF(AND(Programme_Grunddaten!$A824="Geprüft",Programme_Grunddaten!X824&lt;&gt;""),IF(Programme_Grunddaten!X824="Ja",1,0),"")</f>
        <v/>
      </c>
      <c r="Q819" s="1" t="str">
        <f>IF(AND(Programme_Grunddaten!$A824="Geprüft",Programme_Grunddaten!Y824&lt;&gt;""),IF(Programme_Grunddaten!Y824="Ja",1,0),"")</f>
        <v/>
      </c>
      <c r="R819" s="1" t="str">
        <f>IF(AND(Programme_Grunddaten!$A824="Geprüft",Programme_Grunddaten!Z824&lt;&gt;""),IF(Programme_Grunddaten!Z824="Ja",1,0),"")</f>
        <v/>
      </c>
      <c r="S819" s="1" t="str">
        <f>IF(AND(Programme_Grunddaten!$A824="Geprüft",Programme_Grunddaten!AA824&lt;&gt;""),IF(Programme_Grunddaten!AA824="monolithisch",1,0),"")</f>
        <v/>
      </c>
      <c r="T819" s="1" t="str">
        <f>IF(AND(Programme_Grunddaten!$A824="Geprüft",Programme_Grunddaten!AB824&lt;&gt;""),IF(Programme_Grunddaten!AB824="Ja",1,0),"")</f>
        <v/>
      </c>
      <c r="U819" s="1" t="str">
        <f>IF(AND(Programme_Grunddaten!$A824="Geprüft",Programme_Grunddaten!AC824&lt;&gt;""),IF(Programme_Grunddaten!AC824="Ja",1,0),"")</f>
        <v/>
      </c>
      <c r="V819" s="1" t="str">
        <f>IF(AND(Programme_Grunddaten!$A824="Geprüft",Programme_Grunddaten!AD824&lt;&gt;""),IF(Programme_Grunddaten!AD824="Ja",1,0),"")</f>
        <v/>
      </c>
      <c r="W819" s="1" t="str">
        <f>IF(AND(Programme_Grunddaten!$A824="Geprüft",Programme_Grunddaten!AE824&lt;&gt;""),IF(Programme_Grunddaten!AE824="Ja",1,0),"")</f>
        <v/>
      </c>
      <c r="X819" s="1" t="str">
        <f>IF(AND(Programme_Grunddaten!$A824="Geprüft",Programme_Grunddaten!AF824&lt;&gt;""),IF(Programme_Grunddaten!AF824="Ja",1,0),"")</f>
        <v/>
      </c>
      <c r="Y819" s="1" t="str">
        <f>IF(AND(Programme_Grunddaten!$A824="Geprüft",Programme_Grunddaten!AG824&lt;&gt;""),IF(Programme_Grunddaten!AG824="Ja",1,0),"")</f>
        <v/>
      </c>
      <c r="Z819" s="1" t="str">
        <f>IF(AND(Programme_Grunddaten!$A824="Geprüft",Programme_Grunddaten!AH824&lt;&gt;""),IF(Programme_Grunddaten!AH824="Ja",1,0),"")</f>
        <v/>
      </c>
      <c r="AA819" s="1" t="str">
        <f>IF(AND(Programme_Grunddaten!$A824="Geprüft",Programme_Grunddaten!AI824&lt;&gt;""),IF(Programme_Grunddaten!AI824="Ja",1,0),"")</f>
        <v/>
      </c>
      <c r="AB819" s="1" t="str">
        <f>IF(AND(Programme_Grunddaten!$A824="Geprüft",Programme_Grunddaten!AJ824&lt;&gt;""),IF(Programme_Grunddaten!AJ824="individuell programmierbar",1,0),"")</f>
        <v/>
      </c>
      <c r="AC819" s="1" t="str">
        <f>IF(AND(Programme_Grunddaten!$A824="Geprüft",Programme_Grunddaten!AK824&lt;&gt;""),IF(Programme_Grunddaten!AK824="Deutsch",0,IF(Programme_Grunddaten!AK824="Deutsch und Englisch",1,2)),"")</f>
        <v/>
      </c>
      <c r="AD819" s="1" t="str">
        <f>IF(AND(Programme_Grunddaten!$A824="Geprüft",Programme_Grunddaten!AL824&lt;&gt;""),IF(Programme_Grunddaten!AL824="Ja",1,0),"")</f>
        <v/>
      </c>
      <c r="AE819" s="1" t="str">
        <f>IF(AND(Programme_Grunddaten!$A824="Geprüft",Programme_Grunddaten!AM824&lt;&gt;""),IF(Programme_Grunddaten!AM824="Ja",1,0),"")</f>
        <v/>
      </c>
      <c r="AF819" s="1" t="str">
        <f>IF(AND(Programme_Grunddaten!$A824="Geprüft",Programme_Grunddaten!AN824&lt;&gt;""),IF(Programme_Grunddaten!AN824="Ja",1,0),"")</f>
        <v/>
      </c>
      <c r="AG819" s="1" t="str">
        <f>IF(AND(Programme_Grunddaten!$A824="Geprüft",Programme_Grunddaten!AO824&lt;&gt;""),IF(Programme_Grunddaten!AO824="Ja",1,0),"")</f>
        <v/>
      </c>
      <c r="AH819" s="1" t="str">
        <f>IF(AND(Programme_Grunddaten!$A824="Geprüft",Programme_Grunddaten!AP824&lt;&gt;""),IF(Programme_Grunddaten!AP824="Ja",1,0),"")</f>
        <v/>
      </c>
      <c r="AI819" s="1" t="str">
        <f>IF(AND(Programme_Grunddaten!$A824="Geprüft",Programme_Grunddaten!AQ824&lt;&gt;""),IF(Programme_Grunddaten!AQ824="Ja",1,0),"")</f>
        <v/>
      </c>
      <c r="AJ819" s="1" t="str">
        <f>IF(AND(Programme_Grunddaten!$A824="Geprüft",Programme_Grunddaten!AR824&lt;&gt;""),IF(Programme_Grunddaten!AR824="Ja",1,0),"")</f>
        <v/>
      </c>
      <c r="AK819" s="1" t="str">
        <f>IF(AND(Programme_Grunddaten!$A824="Geprüft",Programme_Grunddaten!AS824&lt;&gt;""),IF(Programme_Grunddaten!AS824="Ja",1,0),"")</f>
        <v/>
      </c>
      <c r="AL819" s="1" t="str">
        <f>IF(AND(Programme_Grunddaten!$A824="Geprüft",Programme_Grunddaten!AT824&lt;&gt;""),IF(Programme_Grunddaten!AT824="Ja",1,0),"")</f>
        <v/>
      </c>
      <c r="AM819" s="1" t="str">
        <f>IF(AND(Programme_Grunddaten!$A824="Geprüft",Programme_Grunddaten!AU824&lt;&gt;""),IF(Programme_Grunddaten!AU824="Ja",1,0),"")</f>
        <v/>
      </c>
      <c r="AN819" s="1" t="str">
        <f>IF(AND(Programme_Grunddaten!$A824="Geprüft",Programme_Grunddaten!AV824&lt;&gt;""),IF(Programme_Grunddaten!AV824="Ja",1,0),"")</f>
        <v/>
      </c>
    </row>
    <row r="820" spans="1:40" x14ac:dyDescent="0.3">
      <c r="A820" s="1" t="str">
        <f>IF(AND(Programme_Grunddaten!A825="Geprüft",Programme_Grunddaten!B825&lt;&gt;""),Programme_Grunddaten!B825,"")</f>
        <v/>
      </c>
      <c r="B820" s="1" t="str">
        <f>IF(AND(Programme_Grunddaten!$A825="Geprüft",Programme_Grunddaten!I825&lt;&gt;""),IF(Programme_Grunddaten!I825="Ja",1,0),"")</f>
        <v/>
      </c>
      <c r="C820" s="1" t="str">
        <f>IF(AND(Programme_Grunddaten!$A825="Geprüft",Programme_Grunddaten!J825&lt;&gt;""),IF(Programme_Grunddaten!J825="Ja",1,0),"")</f>
        <v/>
      </c>
      <c r="D820" s="1" t="str">
        <f>IF(AND(Programme_Grunddaten!$A825="Geprüft",Programme_Grunddaten!K825&lt;&gt;""),IF(Programme_Grunddaten!K825="Ja",1,0),"")</f>
        <v/>
      </c>
      <c r="E820" s="1" t="str">
        <f>IF(AND(Programme_Grunddaten!$A825="Geprüft",Programme_Grunddaten!L825&lt;&gt;""),IF(Programme_Grunddaten!L825="Abo / befristete Lizenz",1,0),"")</f>
        <v/>
      </c>
      <c r="F820" s="1" t="str">
        <f>IF(AND(Programme_Grunddaten!$A825="Geprüft",Programme_Grunddaten!M825&lt;&gt;""),IF(Programme_Grunddaten!M825="Ja",1,0),"")</f>
        <v/>
      </c>
      <c r="G820" s="1" t="str">
        <f>IF(AND(Programme_Grunddaten!$A825="Geprüft",Programme_Grunddaten!N825&lt;&gt;""),IF(Programme_Grunddaten!N825="Ja",1,0),"")</f>
        <v/>
      </c>
      <c r="H820" s="1" t="str">
        <f>IF(AND(Programme_Grunddaten!$A825="Geprüft",Programme_Grunddaten!O825&lt;&gt;""),IF(Programme_Grunddaten!O825="Deutschland",0,IF(Programme_Grunddaten!O825="EU",1,2)),"")</f>
        <v/>
      </c>
      <c r="I820" s="1" t="str">
        <f>IF(AND(Programme_Grunddaten!$A825="Geprüft",Programme_Grunddaten!P825&lt;&gt;""),IF(Programme_Grunddaten!P825="Ja",1,0),"")</f>
        <v/>
      </c>
      <c r="J820" s="1" t="str">
        <f>IF(AND(Programme_Grunddaten!$A825="Geprüft",Programme_Grunddaten!Q825&lt;&gt;""),IF(Programme_Grunddaten!Q825="geschlossenes System",1,0),"")</f>
        <v/>
      </c>
      <c r="K820" s="1" t="str">
        <f>IF(AND(Programme_Grunddaten!$A825="Geprüft",Programme_Grunddaten!R825&lt;&gt;""),IF(Programme_Grunddaten!R825="Ja",1,0),"")</f>
        <v/>
      </c>
      <c r="L820" s="1" t="str">
        <f>IF(AND(Programme_Grunddaten!$A825="Geprüft",Programme_Grunddaten!T825&lt;&gt;""),IF(Programme_Grunddaten!T825="Ja",1,0),"")</f>
        <v/>
      </c>
      <c r="M820" s="1" t="str">
        <f>IF(AND(Programme_Grunddaten!$A825="Geprüft",Programme_Grunddaten!U825&lt;&gt;""),IF(Programme_Grunddaten!U825="Ja",1,0),"")</f>
        <v/>
      </c>
      <c r="N820" s="1" t="str">
        <f>IF(AND(Programme_Grunddaten!$A825="Geprüft",Programme_Grunddaten!V825&lt;&gt;""),IF(Programme_Grunddaten!V825="Ja",1,0),"")</f>
        <v/>
      </c>
      <c r="O820" s="1" t="str">
        <f>IF(AND(Programme_Grunddaten!$A825="Geprüft",Programme_Grunddaten!W825&lt;&gt;""),IF(Programme_Grunddaten!W825="Ja",1,0),"")</f>
        <v/>
      </c>
      <c r="P820" s="1" t="str">
        <f>IF(AND(Programme_Grunddaten!$A825="Geprüft",Programme_Grunddaten!X825&lt;&gt;""),IF(Programme_Grunddaten!X825="Ja",1,0),"")</f>
        <v/>
      </c>
      <c r="Q820" s="1" t="str">
        <f>IF(AND(Programme_Grunddaten!$A825="Geprüft",Programme_Grunddaten!Y825&lt;&gt;""),IF(Programme_Grunddaten!Y825="Ja",1,0),"")</f>
        <v/>
      </c>
      <c r="R820" s="1" t="str">
        <f>IF(AND(Programme_Grunddaten!$A825="Geprüft",Programme_Grunddaten!Z825&lt;&gt;""),IF(Programme_Grunddaten!Z825="Ja",1,0),"")</f>
        <v/>
      </c>
      <c r="S820" s="1" t="str">
        <f>IF(AND(Programme_Grunddaten!$A825="Geprüft",Programme_Grunddaten!AA825&lt;&gt;""),IF(Programme_Grunddaten!AA825="monolithisch",1,0),"")</f>
        <v/>
      </c>
      <c r="T820" s="1" t="str">
        <f>IF(AND(Programme_Grunddaten!$A825="Geprüft",Programme_Grunddaten!AB825&lt;&gt;""),IF(Programme_Grunddaten!AB825="Ja",1,0),"")</f>
        <v/>
      </c>
      <c r="U820" s="1" t="str">
        <f>IF(AND(Programme_Grunddaten!$A825="Geprüft",Programme_Grunddaten!AC825&lt;&gt;""),IF(Programme_Grunddaten!AC825="Ja",1,0),"")</f>
        <v/>
      </c>
      <c r="V820" s="1" t="str">
        <f>IF(AND(Programme_Grunddaten!$A825="Geprüft",Programme_Grunddaten!AD825&lt;&gt;""),IF(Programme_Grunddaten!AD825="Ja",1,0),"")</f>
        <v/>
      </c>
      <c r="W820" s="1" t="str">
        <f>IF(AND(Programme_Grunddaten!$A825="Geprüft",Programme_Grunddaten!AE825&lt;&gt;""),IF(Programme_Grunddaten!AE825="Ja",1,0),"")</f>
        <v/>
      </c>
      <c r="X820" s="1" t="str">
        <f>IF(AND(Programme_Grunddaten!$A825="Geprüft",Programme_Grunddaten!AF825&lt;&gt;""),IF(Programme_Grunddaten!AF825="Ja",1,0),"")</f>
        <v/>
      </c>
      <c r="Y820" s="1" t="str">
        <f>IF(AND(Programme_Grunddaten!$A825="Geprüft",Programme_Grunddaten!AG825&lt;&gt;""),IF(Programme_Grunddaten!AG825="Ja",1,0),"")</f>
        <v/>
      </c>
      <c r="Z820" s="1" t="str">
        <f>IF(AND(Programme_Grunddaten!$A825="Geprüft",Programme_Grunddaten!AH825&lt;&gt;""),IF(Programme_Grunddaten!AH825="Ja",1,0),"")</f>
        <v/>
      </c>
      <c r="AA820" s="1" t="str">
        <f>IF(AND(Programme_Grunddaten!$A825="Geprüft",Programme_Grunddaten!AI825&lt;&gt;""),IF(Programme_Grunddaten!AI825="Ja",1,0),"")</f>
        <v/>
      </c>
      <c r="AB820" s="1" t="str">
        <f>IF(AND(Programme_Grunddaten!$A825="Geprüft",Programme_Grunddaten!AJ825&lt;&gt;""),IF(Programme_Grunddaten!AJ825="individuell programmierbar",1,0),"")</f>
        <v/>
      </c>
      <c r="AC820" s="1" t="str">
        <f>IF(AND(Programme_Grunddaten!$A825="Geprüft",Programme_Grunddaten!AK825&lt;&gt;""),IF(Programme_Grunddaten!AK825="Deutsch",0,IF(Programme_Grunddaten!AK825="Deutsch und Englisch",1,2)),"")</f>
        <v/>
      </c>
      <c r="AD820" s="1" t="str">
        <f>IF(AND(Programme_Grunddaten!$A825="Geprüft",Programme_Grunddaten!AL825&lt;&gt;""),IF(Programme_Grunddaten!AL825="Ja",1,0),"")</f>
        <v/>
      </c>
      <c r="AE820" s="1" t="str">
        <f>IF(AND(Programme_Grunddaten!$A825="Geprüft",Programme_Grunddaten!AM825&lt;&gt;""),IF(Programme_Grunddaten!AM825="Ja",1,0),"")</f>
        <v/>
      </c>
      <c r="AF820" s="1" t="str">
        <f>IF(AND(Programme_Grunddaten!$A825="Geprüft",Programme_Grunddaten!AN825&lt;&gt;""),IF(Programme_Grunddaten!AN825="Ja",1,0),"")</f>
        <v/>
      </c>
      <c r="AG820" s="1" t="str">
        <f>IF(AND(Programme_Grunddaten!$A825="Geprüft",Programme_Grunddaten!AO825&lt;&gt;""),IF(Programme_Grunddaten!AO825="Ja",1,0),"")</f>
        <v/>
      </c>
      <c r="AH820" s="1" t="str">
        <f>IF(AND(Programme_Grunddaten!$A825="Geprüft",Programme_Grunddaten!AP825&lt;&gt;""),IF(Programme_Grunddaten!AP825="Ja",1,0),"")</f>
        <v/>
      </c>
      <c r="AI820" s="1" t="str">
        <f>IF(AND(Programme_Grunddaten!$A825="Geprüft",Programme_Grunddaten!AQ825&lt;&gt;""),IF(Programme_Grunddaten!AQ825="Ja",1,0),"")</f>
        <v/>
      </c>
      <c r="AJ820" s="1" t="str">
        <f>IF(AND(Programme_Grunddaten!$A825="Geprüft",Programme_Grunddaten!AR825&lt;&gt;""),IF(Programme_Grunddaten!AR825="Ja",1,0),"")</f>
        <v/>
      </c>
      <c r="AK820" s="1" t="str">
        <f>IF(AND(Programme_Grunddaten!$A825="Geprüft",Programme_Grunddaten!AS825&lt;&gt;""),IF(Programme_Grunddaten!AS825="Ja",1,0),"")</f>
        <v/>
      </c>
      <c r="AL820" s="1" t="str">
        <f>IF(AND(Programme_Grunddaten!$A825="Geprüft",Programme_Grunddaten!AT825&lt;&gt;""),IF(Programme_Grunddaten!AT825="Ja",1,0),"")</f>
        <v/>
      </c>
      <c r="AM820" s="1" t="str">
        <f>IF(AND(Programme_Grunddaten!$A825="Geprüft",Programme_Grunddaten!AU825&lt;&gt;""),IF(Programme_Grunddaten!AU825="Ja",1,0),"")</f>
        <v/>
      </c>
      <c r="AN820" s="1" t="str">
        <f>IF(AND(Programme_Grunddaten!$A825="Geprüft",Programme_Grunddaten!AV825&lt;&gt;""),IF(Programme_Grunddaten!AV825="Ja",1,0),"")</f>
        <v/>
      </c>
    </row>
    <row r="821" spans="1:40" x14ac:dyDescent="0.3">
      <c r="A821" s="1" t="str">
        <f>IF(AND(Programme_Grunddaten!A826="Geprüft",Programme_Grunddaten!B826&lt;&gt;""),Programme_Grunddaten!B826,"")</f>
        <v/>
      </c>
      <c r="B821" s="1" t="str">
        <f>IF(AND(Programme_Grunddaten!$A826="Geprüft",Programme_Grunddaten!I826&lt;&gt;""),IF(Programme_Grunddaten!I826="Ja",1,0),"")</f>
        <v/>
      </c>
      <c r="C821" s="1" t="str">
        <f>IF(AND(Programme_Grunddaten!$A826="Geprüft",Programme_Grunddaten!J826&lt;&gt;""),IF(Programme_Grunddaten!J826="Ja",1,0),"")</f>
        <v/>
      </c>
      <c r="D821" s="1" t="str">
        <f>IF(AND(Programme_Grunddaten!$A826="Geprüft",Programme_Grunddaten!K826&lt;&gt;""),IF(Programme_Grunddaten!K826="Ja",1,0),"")</f>
        <v/>
      </c>
      <c r="E821" s="1" t="str">
        <f>IF(AND(Programme_Grunddaten!$A826="Geprüft",Programme_Grunddaten!L826&lt;&gt;""),IF(Programme_Grunddaten!L826="Abo / befristete Lizenz",1,0),"")</f>
        <v/>
      </c>
      <c r="F821" s="1" t="str">
        <f>IF(AND(Programme_Grunddaten!$A826="Geprüft",Programme_Grunddaten!M826&lt;&gt;""),IF(Programme_Grunddaten!M826="Ja",1,0),"")</f>
        <v/>
      </c>
      <c r="G821" s="1" t="str">
        <f>IF(AND(Programme_Grunddaten!$A826="Geprüft",Programme_Grunddaten!N826&lt;&gt;""),IF(Programme_Grunddaten!N826="Ja",1,0),"")</f>
        <v/>
      </c>
      <c r="H821" s="1" t="str">
        <f>IF(AND(Programme_Grunddaten!$A826="Geprüft",Programme_Grunddaten!O826&lt;&gt;""),IF(Programme_Grunddaten!O826="Deutschland",0,IF(Programme_Grunddaten!O826="EU",1,2)),"")</f>
        <v/>
      </c>
      <c r="I821" s="1" t="str">
        <f>IF(AND(Programme_Grunddaten!$A826="Geprüft",Programme_Grunddaten!P826&lt;&gt;""),IF(Programme_Grunddaten!P826="Ja",1,0),"")</f>
        <v/>
      </c>
      <c r="J821" s="1" t="str">
        <f>IF(AND(Programme_Grunddaten!$A826="Geprüft",Programme_Grunddaten!Q826&lt;&gt;""),IF(Programme_Grunddaten!Q826="geschlossenes System",1,0),"")</f>
        <v/>
      </c>
      <c r="K821" s="1" t="str">
        <f>IF(AND(Programme_Grunddaten!$A826="Geprüft",Programme_Grunddaten!R826&lt;&gt;""),IF(Programme_Grunddaten!R826="Ja",1,0),"")</f>
        <v/>
      </c>
      <c r="L821" s="1" t="str">
        <f>IF(AND(Programme_Grunddaten!$A826="Geprüft",Programme_Grunddaten!T826&lt;&gt;""),IF(Programme_Grunddaten!T826="Ja",1,0),"")</f>
        <v/>
      </c>
      <c r="M821" s="1" t="str">
        <f>IF(AND(Programme_Grunddaten!$A826="Geprüft",Programme_Grunddaten!U826&lt;&gt;""),IF(Programme_Grunddaten!U826="Ja",1,0),"")</f>
        <v/>
      </c>
      <c r="N821" s="1" t="str">
        <f>IF(AND(Programme_Grunddaten!$A826="Geprüft",Programme_Grunddaten!V826&lt;&gt;""),IF(Programme_Grunddaten!V826="Ja",1,0),"")</f>
        <v/>
      </c>
      <c r="O821" s="1" t="str">
        <f>IF(AND(Programme_Grunddaten!$A826="Geprüft",Programme_Grunddaten!W826&lt;&gt;""),IF(Programme_Grunddaten!W826="Ja",1,0),"")</f>
        <v/>
      </c>
      <c r="P821" s="1" t="str">
        <f>IF(AND(Programme_Grunddaten!$A826="Geprüft",Programme_Grunddaten!X826&lt;&gt;""),IF(Programme_Grunddaten!X826="Ja",1,0),"")</f>
        <v/>
      </c>
      <c r="Q821" s="1" t="str">
        <f>IF(AND(Programme_Grunddaten!$A826="Geprüft",Programme_Grunddaten!Y826&lt;&gt;""),IF(Programme_Grunddaten!Y826="Ja",1,0),"")</f>
        <v/>
      </c>
      <c r="R821" s="1" t="str">
        <f>IF(AND(Programme_Grunddaten!$A826="Geprüft",Programme_Grunddaten!Z826&lt;&gt;""),IF(Programme_Grunddaten!Z826="Ja",1,0),"")</f>
        <v/>
      </c>
      <c r="S821" s="1" t="str">
        <f>IF(AND(Programme_Grunddaten!$A826="Geprüft",Programme_Grunddaten!AA826&lt;&gt;""),IF(Programme_Grunddaten!AA826="monolithisch",1,0),"")</f>
        <v/>
      </c>
      <c r="T821" s="1" t="str">
        <f>IF(AND(Programme_Grunddaten!$A826="Geprüft",Programme_Grunddaten!AB826&lt;&gt;""),IF(Programme_Grunddaten!AB826="Ja",1,0),"")</f>
        <v/>
      </c>
      <c r="U821" s="1" t="str">
        <f>IF(AND(Programme_Grunddaten!$A826="Geprüft",Programme_Grunddaten!AC826&lt;&gt;""),IF(Programme_Grunddaten!AC826="Ja",1,0),"")</f>
        <v/>
      </c>
      <c r="V821" s="1" t="str">
        <f>IF(AND(Programme_Grunddaten!$A826="Geprüft",Programme_Grunddaten!AD826&lt;&gt;""),IF(Programme_Grunddaten!AD826="Ja",1,0),"")</f>
        <v/>
      </c>
      <c r="W821" s="1" t="str">
        <f>IF(AND(Programme_Grunddaten!$A826="Geprüft",Programme_Grunddaten!AE826&lt;&gt;""),IF(Programme_Grunddaten!AE826="Ja",1,0),"")</f>
        <v/>
      </c>
      <c r="X821" s="1" t="str">
        <f>IF(AND(Programme_Grunddaten!$A826="Geprüft",Programme_Grunddaten!AF826&lt;&gt;""),IF(Programme_Grunddaten!AF826="Ja",1,0),"")</f>
        <v/>
      </c>
      <c r="Y821" s="1" t="str">
        <f>IF(AND(Programme_Grunddaten!$A826="Geprüft",Programme_Grunddaten!AG826&lt;&gt;""),IF(Programme_Grunddaten!AG826="Ja",1,0),"")</f>
        <v/>
      </c>
      <c r="Z821" s="1" t="str">
        <f>IF(AND(Programme_Grunddaten!$A826="Geprüft",Programme_Grunddaten!AH826&lt;&gt;""),IF(Programme_Grunddaten!AH826="Ja",1,0),"")</f>
        <v/>
      </c>
      <c r="AA821" s="1" t="str">
        <f>IF(AND(Programme_Grunddaten!$A826="Geprüft",Programme_Grunddaten!AI826&lt;&gt;""),IF(Programme_Grunddaten!AI826="Ja",1,0),"")</f>
        <v/>
      </c>
      <c r="AB821" s="1" t="str">
        <f>IF(AND(Programme_Grunddaten!$A826="Geprüft",Programme_Grunddaten!AJ826&lt;&gt;""),IF(Programme_Grunddaten!AJ826="individuell programmierbar",1,0),"")</f>
        <v/>
      </c>
      <c r="AC821" s="1" t="str">
        <f>IF(AND(Programme_Grunddaten!$A826="Geprüft",Programme_Grunddaten!AK826&lt;&gt;""),IF(Programme_Grunddaten!AK826="Deutsch",0,IF(Programme_Grunddaten!AK826="Deutsch und Englisch",1,2)),"")</f>
        <v/>
      </c>
      <c r="AD821" s="1" t="str">
        <f>IF(AND(Programme_Grunddaten!$A826="Geprüft",Programme_Grunddaten!AL826&lt;&gt;""),IF(Programme_Grunddaten!AL826="Ja",1,0),"")</f>
        <v/>
      </c>
      <c r="AE821" s="1" t="str">
        <f>IF(AND(Programme_Grunddaten!$A826="Geprüft",Programme_Grunddaten!AM826&lt;&gt;""),IF(Programme_Grunddaten!AM826="Ja",1,0),"")</f>
        <v/>
      </c>
      <c r="AF821" s="1" t="str">
        <f>IF(AND(Programme_Grunddaten!$A826="Geprüft",Programme_Grunddaten!AN826&lt;&gt;""),IF(Programme_Grunddaten!AN826="Ja",1,0),"")</f>
        <v/>
      </c>
      <c r="AG821" s="1" t="str">
        <f>IF(AND(Programme_Grunddaten!$A826="Geprüft",Programme_Grunddaten!AO826&lt;&gt;""),IF(Programme_Grunddaten!AO826="Ja",1,0),"")</f>
        <v/>
      </c>
      <c r="AH821" s="1" t="str">
        <f>IF(AND(Programme_Grunddaten!$A826="Geprüft",Programme_Grunddaten!AP826&lt;&gt;""),IF(Programme_Grunddaten!AP826="Ja",1,0),"")</f>
        <v/>
      </c>
      <c r="AI821" s="1" t="str">
        <f>IF(AND(Programme_Grunddaten!$A826="Geprüft",Programme_Grunddaten!AQ826&lt;&gt;""),IF(Programme_Grunddaten!AQ826="Ja",1,0),"")</f>
        <v/>
      </c>
      <c r="AJ821" s="1" t="str">
        <f>IF(AND(Programme_Grunddaten!$A826="Geprüft",Programme_Grunddaten!AR826&lt;&gt;""),IF(Programme_Grunddaten!AR826="Ja",1,0),"")</f>
        <v/>
      </c>
      <c r="AK821" s="1" t="str">
        <f>IF(AND(Programme_Grunddaten!$A826="Geprüft",Programme_Grunddaten!AS826&lt;&gt;""),IF(Programme_Grunddaten!AS826="Ja",1,0),"")</f>
        <v/>
      </c>
      <c r="AL821" s="1" t="str">
        <f>IF(AND(Programme_Grunddaten!$A826="Geprüft",Programme_Grunddaten!AT826&lt;&gt;""),IF(Programme_Grunddaten!AT826="Ja",1,0),"")</f>
        <v/>
      </c>
      <c r="AM821" s="1" t="str">
        <f>IF(AND(Programme_Grunddaten!$A826="Geprüft",Programme_Grunddaten!AU826&lt;&gt;""),IF(Programme_Grunddaten!AU826="Ja",1,0),"")</f>
        <v/>
      </c>
      <c r="AN821" s="1" t="str">
        <f>IF(AND(Programme_Grunddaten!$A826="Geprüft",Programme_Grunddaten!AV826&lt;&gt;""),IF(Programme_Grunddaten!AV826="Ja",1,0),"")</f>
        <v/>
      </c>
    </row>
    <row r="822" spans="1:40" x14ac:dyDescent="0.3">
      <c r="A822" s="1" t="str">
        <f>IF(AND(Programme_Grunddaten!A827="Geprüft",Programme_Grunddaten!B827&lt;&gt;""),Programme_Grunddaten!B827,"")</f>
        <v/>
      </c>
      <c r="B822" s="1" t="str">
        <f>IF(AND(Programme_Grunddaten!$A827="Geprüft",Programme_Grunddaten!I827&lt;&gt;""),IF(Programme_Grunddaten!I827="Ja",1,0),"")</f>
        <v/>
      </c>
      <c r="C822" s="1" t="str">
        <f>IF(AND(Programme_Grunddaten!$A827="Geprüft",Programme_Grunddaten!J827&lt;&gt;""),IF(Programme_Grunddaten!J827="Ja",1,0),"")</f>
        <v/>
      </c>
      <c r="D822" s="1" t="str">
        <f>IF(AND(Programme_Grunddaten!$A827="Geprüft",Programme_Grunddaten!K827&lt;&gt;""),IF(Programme_Grunddaten!K827="Ja",1,0),"")</f>
        <v/>
      </c>
      <c r="E822" s="1" t="str">
        <f>IF(AND(Programme_Grunddaten!$A827="Geprüft",Programme_Grunddaten!L827&lt;&gt;""),IF(Programme_Grunddaten!L827="Abo / befristete Lizenz",1,0),"")</f>
        <v/>
      </c>
      <c r="F822" s="1" t="str">
        <f>IF(AND(Programme_Grunddaten!$A827="Geprüft",Programme_Grunddaten!M827&lt;&gt;""),IF(Programme_Grunddaten!M827="Ja",1,0),"")</f>
        <v/>
      </c>
      <c r="G822" s="1" t="str">
        <f>IF(AND(Programme_Grunddaten!$A827="Geprüft",Programme_Grunddaten!N827&lt;&gt;""),IF(Programme_Grunddaten!N827="Ja",1,0),"")</f>
        <v/>
      </c>
      <c r="H822" s="1" t="str">
        <f>IF(AND(Programme_Grunddaten!$A827="Geprüft",Programme_Grunddaten!O827&lt;&gt;""),IF(Programme_Grunddaten!O827="Deutschland",0,IF(Programme_Grunddaten!O827="EU",1,2)),"")</f>
        <v/>
      </c>
      <c r="I822" s="1" t="str">
        <f>IF(AND(Programme_Grunddaten!$A827="Geprüft",Programme_Grunddaten!P827&lt;&gt;""),IF(Programme_Grunddaten!P827="Ja",1,0),"")</f>
        <v/>
      </c>
      <c r="J822" s="1" t="str">
        <f>IF(AND(Programme_Grunddaten!$A827="Geprüft",Programme_Grunddaten!Q827&lt;&gt;""),IF(Programme_Grunddaten!Q827="geschlossenes System",1,0),"")</f>
        <v/>
      </c>
      <c r="K822" s="1" t="str">
        <f>IF(AND(Programme_Grunddaten!$A827="Geprüft",Programme_Grunddaten!R827&lt;&gt;""),IF(Programme_Grunddaten!R827="Ja",1,0),"")</f>
        <v/>
      </c>
      <c r="L822" s="1" t="str">
        <f>IF(AND(Programme_Grunddaten!$A827="Geprüft",Programme_Grunddaten!T827&lt;&gt;""),IF(Programme_Grunddaten!T827="Ja",1,0),"")</f>
        <v/>
      </c>
      <c r="M822" s="1" t="str">
        <f>IF(AND(Programme_Grunddaten!$A827="Geprüft",Programme_Grunddaten!U827&lt;&gt;""),IF(Programme_Grunddaten!U827="Ja",1,0),"")</f>
        <v/>
      </c>
      <c r="N822" s="1" t="str">
        <f>IF(AND(Programme_Grunddaten!$A827="Geprüft",Programme_Grunddaten!V827&lt;&gt;""),IF(Programme_Grunddaten!V827="Ja",1,0),"")</f>
        <v/>
      </c>
      <c r="O822" s="1" t="str">
        <f>IF(AND(Programme_Grunddaten!$A827="Geprüft",Programme_Grunddaten!W827&lt;&gt;""),IF(Programme_Grunddaten!W827="Ja",1,0),"")</f>
        <v/>
      </c>
      <c r="P822" s="1" t="str">
        <f>IF(AND(Programme_Grunddaten!$A827="Geprüft",Programme_Grunddaten!X827&lt;&gt;""),IF(Programme_Grunddaten!X827="Ja",1,0),"")</f>
        <v/>
      </c>
      <c r="Q822" s="1" t="str">
        <f>IF(AND(Programme_Grunddaten!$A827="Geprüft",Programme_Grunddaten!Y827&lt;&gt;""),IF(Programme_Grunddaten!Y827="Ja",1,0),"")</f>
        <v/>
      </c>
      <c r="R822" s="1" t="str">
        <f>IF(AND(Programme_Grunddaten!$A827="Geprüft",Programme_Grunddaten!Z827&lt;&gt;""),IF(Programme_Grunddaten!Z827="Ja",1,0),"")</f>
        <v/>
      </c>
      <c r="S822" s="1" t="str">
        <f>IF(AND(Programme_Grunddaten!$A827="Geprüft",Programme_Grunddaten!AA827&lt;&gt;""),IF(Programme_Grunddaten!AA827="monolithisch",1,0),"")</f>
        <v/>
      </c>
      <c r="T822" s="1" t="str">
        <f>IF(AND(Programme_Grunddaten!$A827="Geprüft",Programme_Grunddaten!AB827&lt;&gt;""),IF(Programme_Grunddaten!AB827="Ja",1,0),"")</f>
        <v/>
      </c>
      <c r="U822" s="1" t="str">
        <f>IF(AND(Programme_Grunddaten!$A827="Geprüft",Programme_Grunddaten!AC827&lt;&gt;""),IF(Programme_Grunddaten!AC827="Ja",1,0),"")</f>
        <v/>
      </c>
      <c r="V822" s="1" t="str">
        <f>IF(AND(Programme_Grunddaten!$A827="Geprüft",Programme_Grunddaten!AD827&lt;&gt;""),IF(Programme_Grunddaten!AD827="Ja",1,0),"")</f>
        <v/>
      </c>
      <c r="W822" s="1" t="str">
        <f>IF(AND(Programme_Grunddaten!$A827="Geprüft",Programme_Grunddaten!AE827&lt;&gt;""),IF(Programme_Grunddaten!AE827="Ja",1,0),"")</f>
        <v/>
      </c>
      <c r="X822" s="1" t="str">
        <f>IF(AND(Programme_Grunddaten!$A827="Geprüft",Programme_Grunddaten!AF827&lt;&gt;""),IF(Programme_Grunddaten!AF827="Ja",1,0),"")</f>
        <v/>
      </c>
      <c r="Y822" s="1" t="str">
        <f>IF(AND(Programme_Grunddaten!$A827="Geprüft",Programme_Grunddaten!AG827&lt;&gt;""),IF(Programme_Grunddaten!AG827="Ja",1,0),"")</f>
        <v/>
      </c>
      <c r="Z822" s="1" t="str">
        <f>IF(AND(Programme_Grunddaten!$A827="Geprüft",Programme_Grunddaten!AH827&lt;&gt;""),IF(Programme_Grunddaten!AH827="Ja",1,0),"")</f>
        <v/>
      </c>
      <c r="AA822" s="1" t="str">
        <f>IF(AND(Programme_Grunddaten!$A827="Geprüft",Programme_Grunddaten!AI827&lt;&gt;""),IF(Programme_Grunddaten!AI827="Ja",1,0),"")</f>
        <v/>
      </c>
      <c r="AB822" s="1" t="str">
        <f>IF(AND(Programme_Grunddaten!$A827="Geprüft",Programme_Grunddaten!AJ827&lt;&gt;""),IF(Programme_Grunddaten!AJ827="individuell programmierbar",1,0),"")</f>
        <v/>
      </c>
      <c r="AC822" s="1" t="str">
        <f>IF(AND(Programme_Grunddaten!$A827="Geprüft",Programme_Grunddaten!AK827&lt;&gt;""),IF(Programme_Grunddaten!AK827="Deutsch",0,IF(Programme_Grunddaten!AK827="Deutsch und Englisch",1,2)),"")</f>
        <v/>
      </c>
      <c r="AD822" s="1" t="str">
        <f>IF(AND(Programme_Grunddaten!$A827="Geprüft",Programme_Grunddaten!AL827&lt;&gt;""),IF(Programme_Grunddaten!AL827="Ja",1,0),"")</f>
        <v/>
      </c>
      <c r="AE822" s="1" t="str">
        <f>IF(AND(Programme_Grunddaten!$A827="Geprüft",Programme_Grunddaten!AM827&lt;&gt;""),IF(Programme_Grunddaten!AM827="Ja",1,0),"")</f>
        <v/>
      </c>
      <c r="AF822" s="1" t="str">
        <f>IF(AND(Programme_Grunddaten!$A827="Geprüft",Programme_Grunddaten!AN827&lt;&gt;""),IF(Programme_Grunddaten!AN827="Ja",1,0),"")</f>
        <v/>
      </c>
      <c r="AG822" s="1" t="str">
        <f>IF(AND(Programme_Grunddaten!$A827="Geprüft",Programme_Grunddaten!AO827&lt;&gt;""),IF(Programme_Grunddaten!AO827="Ja",1,0),"")</f>
        <v/>
      </c>
      <c r="AH822" s="1" t="str">
        <f>IF(AND(Programme_Grunddaten!$A827="Geprüft",Programme_Grunddaten!AP827&lt;&gt;""),IF(Programme_Grunddaten!AP827="Ja",1,0),"")</f>
        <v/>
      </c>
      <c r="AI822" s="1" t="str">
        <f>IF(AND(Programme_Grunddaten!$A827="Geprüft",Programme_Grunddaten!AQ827&lt;&gt;""),IF(Programme_Grunddaten!AQ827="Ja",1,0),"")</f>
        <v/>
      </c>
      <c r="AJ822" s="1" t="str">
        <f>IF(AND(Programme_Grunddaten!$A827="Geprüft",Programme_Grunddaten!AR827&lt;&gt;""),IF(Programme_Grunddaten!AR827="Ja",1,0),"")</f>
        <v/>
      </c>
      <c r="AK822" s="1" t="str">
        <f>IF(AND(Programme_Grunddaten!$A827="Geprüft",Programme_Grunddaten!AS827&lt;&gt;""),IF(Programme_Grunddaten!AS827="Ja",1,0),"")</f>
        <v/>
      </c>
      <c r="AL822" s="1" t="str">
        <f>IF(AND(Programme_Grunddaten!$A827="Geprüft",Programme_Grunddaten!AT827&lt;&gt;""),IF(Programme_Grunddaten!AT827="Ja",1,0),"")</f>
        <v/>
      </c>
      <c r="AM822" s="1" t="str">
        <f>IF(AND(Programme_Grunddaten!$A827="Geprüft",Programme_Grunddaten!AU827&lt;&gt;""),IF(Programme_Grunddaten!AU827="Ja",1,0),"")</f>
        <v/>
      </c>
      <c r="AN822" s="1" t="str">
        <f>IF(AND(Programme_Grunddaten!$A827="Geprüft",Programme_Grunddaten!AV827&lt;&gt;""),IF(Programme_Grunddaten!AV827="Ja",1,0),"")</f>
        <v/>
      </c>
    </row>
    <row r="823" spans="1:40" x14ac:dyDescent="0.3">
      <c r="A823" s="1" t="str">
        <f>IF(AND(Programme_Grunddaten!A828="Geprüft",Programme_Grunddaten!B828&lt;&gt;""),Programme_Grunddaten!B828,"")</f>
        <v/>
      </c>
      <c r="B823" s="1" t="str">
        <f>IF(AND(Programme_Grunddaten!$A828="Geprüft",Programme_Grunddaten!I828&lt;&gt;""),IF(Programme_Grunddaten!I828="Ja",1,0),"")</f>
        <v/>
      </c>
      <c r="C823" s="1" t="str">
        <f>IF(AND(Programme_Grunddaten!$A828="Geprüft",Programme_Grunddaten!J828&lt;&gt;""),IF(Programme_Grunddaten!J828="Ja",1,0),"")</f>
        <v/>
      </c>
      <c r="D823" s="1" t="str">
        <f>IF(AND(Programme_Grunddaten!$A828="Geprüft",Programme_Grunddaten!K828&lt;&gt;""),IF(Programme_Grunddaten!K828="Ja",1,0),"")</f>
        <v/>
      </c>
      <c r="E823" s="1" t="str">
        <f>IF(AND(Programme_Grunddaten!$A828="Geprüft",Programme_Grunddaten!L828&lt;&gt;""),IF(Programme_Grunddaten!L828="Abo / befristete Lizenz",1,0),"")</f>
        <v/>
      </c>
      <c r="F823" s="1" t="str">
        <f>IF(AND(Programme_Grunddaten!$A828="Geprüft",Programme_Grunddaten!M828&lt;&gt;""),IF(Programme_Grunddaten!M828="Ja",1,0),"")</f>
        <v/>
      </c>
      <c r="G823" s="1" t="str">
        <f>IF(AND(Programme_Grunddaten!$A828="Geprüft",Programme_Grunddaten!N828&lt;&gt;""),IF(Programme_Grunddaten!N828="Ja",1,0),"")</f>
        <v/>
      </c>
      <c r="H823" s="1" t="str">
        <f>IF(AND(Programme_Grunddaten!$A828="Geprüft",Programme_Grunddaten!O828&lt;&gt;""),IF(Programme_Grunddaten!O828="Deutschland",0,IF(Programme_Grunddaten!O828="EU",1,2)),"")</f>
        <v/>
      </c>
      <c r="I823" s="1" t="str">
        <f>IF(AND(Programme_Grunddaten!$A828="Geprüft",Programme_Grunddaten!P828&lt;&gt;""),IF(Programme_Grunddaten!P828="Ja",1,0),"")</f>
        <v/>
      </c>
      <c r="J823" s="1" t="str">
        <f>IF(AND(Programme_Grunddaten!$A828="Geprüft",Programme_Grunddaten!Q828&lt;&gt;""),IF(Programme_Grunddaten!Q828="geschlossenes System",1,0),"")</f>
        <v/>
      </c>
      <c r="K823" s="1" t="str">
        <f>IF(AND(Programme_Grunddaten!$A828="Geprüft",Programme_Grunddaten!R828&lt;&gt;""),IF(Programme_Grunddaten!R828="Ja",1,0),"")</f>
        <v/>
      </c>
      <c r="L823" s="1" t="str">
        <f>IF(AND(Programme_Grunddaten!$A828="Geprüft",Programme_Grunddaten!T828&lt;&gt;""),IF(Programme_Grunddaten!T828="Ja",1,0),"")</f>
        <v/>
      </c>
      <c r="M823" s="1" t="str">
        <f>IF(AND(Programme_Grunddaten!$A828="Geprüft",Programme_Grunddaten!U828&lt;&gt;""),IF(Programme_Grunddaten!U828="Ja",1,0),"")</f>
        <v/>
      </c>
      <c r="N823" s="1" t="str">
        <f>IF(AND(Programme_Grunddaten!$A828="Geprüft",Programme_Grunddaten!V828&lt;&gt;""),IF(Programme_Grunddaten!V828="Ja",1,0),"")</f>
        <v/>
      </c>
      <c r="O823" s="1" t="str">
        <f>IF(AND(Programme_Grunddaten!$A828="Geprüft",Programme_Grunddaten!W828&lt;&gt;""),IF(Programme_Grunddaten!W828="Ja",1,0),"")</f>
        <v/>
      </c>
      <c r="P823" s="1" t="str">
        <f>IF(AND(Programme_Grunddaten!$A828="Geprüft",Programme_Grunddaten!X828&lt;&gt;""),IF(Programme_Grunddaten!X828="Ja",1,0),"")</f>
        <v/>
      </c>
      <c r="Q823" s="1" t="str">
        <f>IF(AND(Programme_Grunddaten!$A828="Geprüft",Programme_Grunddaten!Y828&lt;&gt;""),IF(Programme_Grunddaten!Y828="Ja",1,0),"")</f>
        <v/>
      </c>
      <c r="R823" s="1" t="str">
        <f>IF(AND(Programme_Grunddaten!$A828="Geprüft",Programme_Grunddaten!Z828&lt;&gt;""),IF(Programme_Grunddaten!Z828="Ja",1,0),"")</f>
        <v/>
      </c>
      <c r="S823" s="1" t="str">
        <f>IF(AND(Programme_Grunddaten!$A828="Geprüft",Programme_Grunddaten!AA828&lt;&gt;""),IF(Programme_Grunddaten!AA828="monolithisch",1,0),"")</f>
        <v/>
      </c>
      <c r="T823" s="1" t="str">
        <f>IF(AND(Programme_Grunddaten!$A828="Geprüft",Programme_Grunddaten!AB828&lt;&gt;""),IF(Programme_Grunddaten!AB828="Ja",1,0),"")</f>
        <v/>
      </c>
      <c r="U823" s="1" t="str">
        <f>IF(AND(Programme_Grunddaten!$A828="Geprüft",Programme_Grunddaten!AC828&lt;&gt;""),IF(Programme_Grunddaten!AC828="Ja",1,0),"")</f>
        <v/>
      </c>
      <c r="V823" s="1" t="str">
        <f>IF(AND(Programme_Grunddaten!$A828="Geprüft",Programme_Grunddaten!AD828&lt;&gt;""),IF(Programme_Grunddaten!AD828="Ja",1,0),"")</f>
        <v/>
      </c>
      <c r="W823" s="1" t="str">
        <f>IF(AND(Programme_Grunddaten!$A828="Geprüft",Programme_Grunddaten!AE828&lt;&gt;""),IF(Programme_Grunddaten!AE828="Ja",1,0),"")</f>
        <v/>
      </c>
      <c r="X823" s="1" t="str">
        <f>IF(AND(Programme_Grunddaten!$A828="Geprüft",Programme_Grunddaten!AF828&lt;&gt;""),IF(Programme_Grunddaten!AF828="Ja",1,0),"")</f>
        <v/>
      </c>
      <c r="Y823" s="1" t="str">
        <f>IF(AND(Programme_Grunddaten!$A828="Geprüft",Programme_Grunddaten!AG828&lt;&gt;""),IF(Programme_Grunddaten!AG828="Ja",1,0),"")</f>
        <v/>
      </c>
      <c r="Z823" s="1" t="str">
        <f>IF(AND(Programme_Grunddaten!$A828="Geprüft",Programme_Grunddaten!AH828&lt;&gt;""),IF(Programme_Grunddaten!AH828="Ja",1,0),"")</f>
        <v/>
      </c>
      <c r="AA823" s="1" t="str">
        <f>IF(AND(Programme_Grunddaten!$A828="Geprüft",Programme_Grunddaten!AI828&lt;&gt;""),IF(Programme_Grunddaten!AI828="Ja",1,0),"")</f>
        <v/>
      </c>
      <c r="AB823" s="1" t="str">
        <f>IF(AND(Programme_Grunddaten!$A828="Geprüft",Programme_Grunddaten!AJ828&lt;&gt;""),IF(Programme_Grunddaten!AJ828="individuell programmierbar",1,0),"")</f>
        <v/>
      </c>
      <c r="AC823" s="1" t="str">
        <f>IF(AND(Programme_Grunddaten!$A828="Geprüft",Programme_Grunddaten!AK828&lt;&gt;""),IF(Programme_Grunddaten!AK828="Deutsch",0,IF(Programme_Grunddaten!AK828="Deutsch und Englisch",1,2)),"")</f>
        <v/>
      </c>
      <c r="AD823" s="1" t="str">
        <f>IF(AND(Programme_Grunddaten!$A828="Geprüft",Programme_Grunddaten!AL828&lt;&gt;""),IF(Programme_Grunddaten!AL828="Ja",1,0),"")</f>
        <v/>
      </c>
      <c r="AE823" s="1" t="str">
        <f>IF(AND(Programme_Grunddaten!$A828="Geprüft",Programme_Grunddaten!AM828&lt;&gt;""),IF(Programme_Grunddaten!AM828="Ja",1,0),"")</f>
        <v/>
      </c>
      <c r="AF823" s="1" t="str">
        <f>IF(AND(Programme_Grunddaten!$A828="Geprüft",Programme_Grunddaten!AN828&lt;&gt;""),IF(Programme_Grunddaten!AN828="Ja",1,0),"")</f>
        <v/>
      </c>
      <c r="AG823" s="1" t="str">
        <f>IF(AND(Programme_Grunddaten!$A828="Geprüft",Programme_Grunddaten!AO828&lt;&gt;""),IF(Programme_Grunddaten!AO828="Ja",1,0),"")</f>
        <v/>
      </c>
      <c r="AH823" s="1" t="str">
        <f>IF(AND(Programme_Grunddaten!$A828="Geprüft",Programme_Grunddaten!AP828&lt;&gt;""),IF(Programme_Grunddaten!AP828="Ja",1,0),"")</f>
        <v/>
      </c>
      <c r="AI823" s="1" t="str">
        <f>IF(AND(Programme_Grunddaten!$A828="Geprüft",Programme_Grunddaten!AQ828&lt;&gt;""),IF(Programme_Grunddaten!AQ828="Ja",1,0),"")</f>
        <v/>
      </c>
      <c r="AJ823" s="1" t="str">
        <f>IF(AND(Programme_Grunddaten!$A828="Geprüft",Programme_Grunddaten!AR828&lt;&gt;""),IF(Programme_Grunddaten!AR828="Ja",1,0),"")</f>
        <v/>
      </c>
      <c r="AK823" s="1" t="str">
        <f>IF(AND(Programme_Grunddaten!$A828="Geprüft",Programme_Grunddaten!AS828&lt;&gt;""),IF(Programme_Grunddaten!AS828="Ja",1,0),"")</f>
        <v/>
      </c>
      <c r="AL823" s="1" t="str">
        <f>IF(AND(Programme_Grunddaten!$A828="Geprüft",Programme_Grunddaten!AT828&lt;&gt;""),IF(Programme_Grunddaten!AT828="Ja",1,0),"")</f>
        <v/>
      </c>
      <c r="AM823" s="1" t="str">
        <f>IF(AND(Programme_Grunddaten!$A828="Geprüft",Programme_Grunddaten!AU828&lt;&gt;""),IF(Programme_Grunddaten!AU828="Ja",1,0),"")</f>
        <v/>
      </c>
      <c r="AN823" s="1" t="str">
        <f>IF(AND(Programme_Grunddaten!$A828="Geprüft",Programme_Grunddaten!AV828&lt;&gt;""),IF(Programme_Grunddaten!AV828="Ja",1,0),"")</f>
        <v/>
      </c>
    </row>
    <row r="824" spans="1:40" x14ac:dyDescent="0.3">
      <c r="A824" s="1" t="str">
        <f>IF(AND(Programme_Grunddaten!A829="Geprüft",Programme_Grunddaten!B829&lt;&gt;""),Programme_Grunddaten!B829,"")</f>
        <v/>
      </c>
      <c r="B824" s="1" t="str">
        <f>IF(AND(Programme_Grunddaten!$A829="Geprüft",Programme_Grunddaten!I829&lt;&gt;""),IF(Programme_Grunddaten!I829="Ja",1,0),"")</f>
        <v/>
      </c>
      <c r="C824" s="1" t="str">
        <f>IF(AND(Programme_Grunddaten!$A829="Geprüft",Programme_Grunddaten!J829&lt;&gt;""),IF(Programme_Grunddaten!J829="Ja",1,0),"")</f>
        <v/>
      </c>
      <c r="D824" s="1" t="str">
        <f>IF(AND(Programme_Grunddaten!$A829="Geprüft",Programme_Grunddaten!K829&lt;&gt;""),IF(Programme_Grunddaten!K829="Ja",1,0),"")</f>
        <v/>
      </c>
      <c r="E824" s="1" t="str">
        <f>IF(AND(Programme_Grunddaten!$A829="Geprüft",Programme_Grunddaten!L829&lt;&gt;""),IF(Programme_Grunddaten!L829="Abo / befristete Lizenz",1,0),"")</f>
        <v/>
      </c>
      <c r="F824" s="1" t="str">
        <f>IF(AND(Programme_Grunddaten!$A829="Geprüft",Programme_Grunddaten!M829&lt;&gt;""),IF(Programme_Grunddaten!M829="Ja",1,0),"")</f>
        <v/>
      </c>
      <c r="G824" s="1" t="str">
        <f>IF(AND(Programme_Grunddaten!$A829="Geprüft",Programme_Grunddaten!N829&lt;&gt;""),IF(Programme_Grunddaten!N829="Ja",1,0),"")</f>
        <v/>
      </c>
      <c r="H824" s="1" t="str">
        <f>IF(AND(Programme_Grunddaten!$A829="Geprüft",Programme_Grunddaten!O829&lt;&gt;""),IF(Programme_Grunddaten!O829="Deutschland",0,IF(Programme_Grunddaten!O829="EU",1,2)),"")</f>
        <v/>
      </c>
      <c r="I824" s="1" t="str">
        <f>IF(AND(Programme_Grunddaten!$A829="Geprüft",Programme_Grunddaten!P829&lt;&gt;""),IF(Programme_Grunddaten!P829="Ja",1,0),"")</f>
        <v/>
      </c>
      <c r="J824" s="1" t="str">
        <f>IF(AND(Programme_Grunddaten!$A829="Geprüft",Programme_Grunddaten!Q829&lt;&gt;""),IF(Programme_Grunddaten!Q829="geschlossenes System",1,0),"")</f>
        <v/>
      </c>
      <c r="K824" s="1" t="str">
        <f>IF(AND(Programme_Grunddaten!$A829="Geprüft",Programme_Grunddaten!R829&lt;&gt;""),IF(Programme_Grunddaten!R829="Ja",1,0),"")</f>
        <v/>
      </c>
      <c r="L824" s="1" t="str">
        <f>IF(AND(Programme_Grunddaten!$A829="Geprüft",Programme_Grunddaten!T829&lt;&gt;""),IF(Programme_Grunddaten!T829="Ja",1,0),"")</f>
        <v/>
      </c>
      <c r="M824" s="1" t="str">
        <f>IF(AND(Programme_Grunddaten!$A829="Geprüft",Programme_Grunddaten!U829&lt;&gt;""),IF(Programme_Grunddaten!U829="Ja",1,0),"")</f>
        <v/>
      </c>
      <c r="N824" s="1" t="str">
        <f>IF(AND(Programme_Grunddaten!$A829="Geprüft",Programme_Grunddaten!V829&lt;&gt;""),IF(Programme_Grunddaten!V829="Ja",1,0),"")</f>
        <v/>
      </c>
      <c r="O824" s="1" t="str">
        <f>IF(AND(Programme_Grunddaten!$A829="Geprüft",Programme_Grunddaten!W829&lt;&gt;""),IF(Programme_Grunddaten!W829="Ja",1,0),"")</f>
        <v/>
      </c>
      <c r="P824" s="1" t="str">
        <f>IF(AND(Programme_Grunddaten!$A829="Geprüft",Programme_Grunddaten!X829&lt;&gt;""),IF(Programme_Grunddaten!X829="Ja",1,0),"")</f>
        <v/>
      </c>
      <c r="Q824" s="1" t="str">
        <f>IF(AND(Programme_Grunddaten!$A829="Geprüft",Programme_Grunddaten!Y829&lt;&gt;""),IF(Programme_Grunddaten!Y829="Ja",1,0),"")</f>
        <v/>
      </c>
      <c r="R824" s="1" t="str">
        <f>IF(AND(Programme_Grunddaten!$A829="Geprüft",Programme_Grunddaten!Z829&lt;&gt;""),IF(Programme_Grunddaten!Z829="Ja",1,0),"")</f>
        <v/>
      </c>
      <c r="S824" s="1" t="str">
        <f>IF(AND(Programme_Grunddaten!$A829="Geprüft",Programme_Grunddaten!AA829&lt;&gt;""),IF(Programme_Grunddaten!AA829="monolithisch",1,0),"")</f>
        <v/>
      </c>
      <c r="T824" s="1" t="str">
        <f>IF(AND(Programme_Grunddaten!$A829="Geprüft",Programme_Grunddaten!AB829&lt;&gt;""),IF(Programme_Grunddaten!AB829="Ja",1,0),"")</f>
        <v/>
      </c>
      <c r="U824" s="1" t="str">
        <f>IF(AND(Programme_Grunddaten!$A829="Geprüft",Programme_Grunddaten!AC829&lt;&gt;""),IF(Programme_Grunddaten!AC829="Ja",1,0),"")</f>
        <v/>
      </c>
      <c r="V824" s="1" t="str">
        <f>IF(AND(Programme_Grunddaten!$A829="Geprüft",Programme_Grunddaten!AD829&lt;&gt;""),IF(Programme_Grunddaten!AD829="Ja",1,0),"")</f>
        <v/>
      </c>
      <c r="W824" s="1" t="str">
        <f>IF(AND(Programme_Grunddaten!$A829="Geprüft",Programme_Grunddaten!AE829&lt;&gt;""),IF(Programme_Grunddaten!AE829="Ja",1,0),"")</f>
        <v/>
      </c>
      <c r="X824" s="1" t="str">
        <f>IF(AND(Programme_Grunddaten!$A829="Geprüft",Programme_Grunddaten!AF829&lt;&gt;""),IF(Programme_Grunddaten!AF829="Ja",1,0),"")</f>
        <v/>
      </c>
      <c r="Y824" s="1" t="str">
        <f>IF(AND(Programme_Grunddaten!$A829="Geprüft",Programme_Grunddaten!AG829&lt;&gt;""),IF(Programme_Grunddaten!AG829="Ja",1,0),"")</f>
        <v/>
      </c>
      <c r="Z824" s="1" t="str">
        <f>IF(AND(Programme_Grunddaten!$A829="Geprüft",Programme_Grunddaten!AH829&lt;&gt;""),IF(Programme_Grunddaten!AH829="Ja",1,0),"")</f>
        <v/>
      </c>
      <c r="AA824" s="1" t="str">
        <f>IF(AND(Programme_Grunddaten!$A829="Geprüft",Programme_Grunddaten!AI829&lt;&gt;""),IF(Programme_Grunddaten!AI829="Ja",1,0),"")</f>
        <v/>
      </c>
      <c r="AB824" s="1" t="str">
        <f>IF(AND(Programme_Grunddaten!$A829="Geprüft",Programme_Grunddaten!AJ829&lt;&gt;""),IF(Programme_Grunddaten!AJ829="individuell programmierbar",1,0),"")</f>
        <v/>
      </c>
      <c r="AC824" s="1" t="str">
        <f>IF(AND(Programme_Grunddaten!$A829="Geprüft",Programme_Grunddaten!AK829&lt;&gt;""),IF(Programme_Grunddaten!AK829="Deutsch",0,IF(Programme_Grunddaten!AK829="Deutsch und Englisch",1,2)),"")</f>
        <v/>
      </c>
      <c r="AD824" s="1" t="str">
        <f>IF(AND(Programme_Grunddaten!$A829="Geprüft",Programme_Grunddaten!AL829&lt;&gt;""),IF(Programme_Grunddaten!AL829="Ja",1,0),"")</f>
        <v/>
      </c>
      <c r="AE824" s="1" t="str">
        <f>IF(AND(Programme_Grunddaten!$A829="Geprüft",Programme_Grunddaten!AM829&lt;&gt;""),IF(Programme_Grunddaten!AM829="Ja",1,0),"")</f>
        <v/>
      </c>
      <c r="AF824" s="1" t="str">
        <f>IF(AND(Programme_Grunddaten!$A829="Geprüft",Programme_Grunddaten!AN829&lt;&gt;""),IF(Programme_Grunddaten!AN829="Ja",1,0),"")</f>
        <v/>
      </c>
      <c r="AG824" s="1" t="str">
        <f>IF(AND(Programme_Grunddaten!$A829="Geprüft",Programme_Grunddaten!AO829&lt;&gt;""),IF(Programme_Grunddaten!AO829="Ja",1,0),"")</f>
        <v/>
      </c>
      <c r="AH824" s="1" t="str">
        <f>IF(AND(Programme_Grunddaten!$A829="Geprüft",Programme_Grunddaten!AP829&lt;&gt;""),IF(Programme_Grunddaten!AP829="Ja",1,0),"")</f>
        <v/>
      </c>
      <c r="AI824" s="1" t="str">
        <f>IF(AND(Programme_Grunddaten!$A829="Geprüft",Programme_Grunddaten!AQ829&lt;&gt;""),IF(Programme_Grunddaten!AQ829="Ja",1,0),"")</f>
        <v/>
      </c>
      <c r="AJ824" s="1" t="str">
        <f>IF(AND(Programme_Grunddaten!$A829="Geprüft",Programme_Grunddaten!AR829&lt;&gt;""),IF(Programme_Grunddaten!AR829="Ja",1,0),"")</f>
        <v/>
      </c>
      <c r="AK824" s="1" t="str">
        <f>IF(AND(Programme_Grunddaten!$A829="Geprüft",Programme_Grunddaten!AS829&lt;&gt;""),IF(Programme_Grunddaten!AS829="Ja",1,0),"")</f>
        <v/>
      </c>
      <c r="AL824" s="1" t="str">
        <f>IF(AND(Programme_Grunddaten!$A829="Geprüft",Programme_Grunddaten!AT829&lt;&gt;""),IF(Programme_Grunddaten!AT829="Ja",1,0),"")</f>
        <v/>
      </c>
      <c r="AM824" s="1" t="str">
        <f>IF(AND(Programme_Grunddaten!$A829="Geprüft",Programme_Grunddaten!AU829&lt;&gt;""),IF(Programme_Grunddaten!AU829="Ja",1,0),"")</f>
        <v/>
      </c>
      <c r="AN824" s="1" t="str">
        <f>IF(AND(Programme_Grunddaten!$A829="Geprüft",Programme_Grunddaten!AV829&lt;&gt;""),IF(Programme_Grunddaten!AV829="Ja",1,0),"")</f>
        <v/>
      </c>
    </row>
    <row r="825" spans="1:40" x14ac:dyDescent="0.3">
      <c r="A825" s="1" t="str">
        <f>IF(AND(Programme_Grunddaten!A830="Geprüft",Programme_Grunddaten!B830&lt;&gt;""),Programme_Grunddaten!B830,"")</f>
        <v/>
      </c>
      <c r="B825" s="1" t="str">
        <f>IF(AND(Programme_Grunddaten!$A830="Geprüft",Programme_Grunddaten!I830&lt;&gt;""),IF(Programme_Grunddaten!I830="Ja",1,0),"")</f>
        <v/>
      </c>
      <c r="C825" s="1" t="str">
        <f>IF(AND(Programme_Grunddaten!$A830="Geprüft",Programme_Grunddaten!J830&lt;&gt;""),IF(Programme_Grunddaten!J830="Ja",1,0),"")</f>
        <v/>
      </c>
      <c r="D825" s="1" t="str">
        <f>IF(AND(Programme_Grunddaten!$A830="Geprüft",Programme_Grunddaten!K830&lt;&gt;""),IF(Programme_Grunddaten!K830="Ja",1,0),"")</f>
        <v/>
      </c>
      <c r="E825" s="1" t="str">
        <f>IF(AND(Programme_Grunddaten!$A830="Geprüft",Programme_Grunddaten!L830&lt;&gt;""),IF(Programme_Grunddaten!L830="Abo / befristete Lizenz",1,0),"")</f>
        <v/>
      </c>
      <c r="F825" s="1" t="str">
        <f>IF(AND(Programme_Grunddaten!$A830="Geprüft",Programme_Grunddaten!M830&lt;&gt;""),IF(Programme_Grunddaten!M830="Ja",1,0),"")</f>
        <v/>
      </c>
      <c r="G825" s="1" t="str">
        <f>IF(AND(Programme_Grunddaten!$A830="Geprüft",Programme_Grunddaten!N830&lt;&gt;""),IF(Programme_Grunddaten!N830="Ja",1,0),"")</f>
        <v/>
      </c>
      <c r="H825" s="1" t="str">
        <f>IF(AND(Programme_Grunddaten!$A830="Geprüft",Programme_Grunddaten!O830&lt;&gt;""),IF(Programme_Grunddaten!O830="Deutschland",0,IF(Programme_Grunddaten!O830="EU",1,2)),"")</f>
        <v/>
      </c>
      <c r="I825" s="1" t="str">
        <f>IF(AND(Programme_Grunddaten!$A830="Geprüft",Programme_Grunddaten!P830&lt;&gt;""),IF(Programme_Grunddaten!P830="Ja",1,0),"")</f>
        <v/>
      </c>
      <c r="J825" s="1" t="str">
        <f>IF(AND(Programme_Grunddaten!$A830="Geprüft",Programme_Grunddaten!Q830&lt;&gt;""),IF(Programme_Grunddaten!Q830="geschlossenes System",1,0),"")</f>
        <v/>
      </c>
      <c r="K825" s="1" t="str">
        <f>IF(AND(Programme_Grunddaten!$A830="Geprüft",Programme_Grunddaten!R830&lt;&gt;""),IF(Programme_Grunddaten!R830="Ja",1,0),"")</f>
        <v/>
      </c>
      <c r="L825" s="1" t="str">
        <f>IF(AND(Programme_Grunddaten!$A830="Geprüft",Programme_Grunddaten!T830&lt;&gt;""),IF(Programme_Grunddaten!T830="Ja",1,0),"")</f>
        <v/>
      </c>
      <c r="M825" s="1" t="str">
        <f>IF(AND(Programme_Grunddaten!$A830="Geprüft",Programme_Grunddaten!U830&lt;&gt;""),IF(Programme_Grunddaten!U830="Ja",1,0),"")</f>
        <v/>
      </c>
      <c r="N825" s="1" t="str">
        <f>IF(AND(Programme_Grunddaten!$A830="Geprüft",Programme_Grunddaten!V830&lt;&gt;""),IF(Programme_Grunddaten!V830="Ja",1,0),"")</f>
        <v/>
      </c>
      <c r="O825" s="1" t="str">
        <f>IF(AND(Programme_Grunddaten!$A830="Geprüft",Programme_Grunddaten!W830&lt;&gt;""),IF(Programme_Grunddaten!W830="Ja",1,0),"")</f>
        <v/>
      </c>
      <c r="P825" s="1" t="str">
        <f>IF(AND(Programme_Grunddaten!$A830="Geprüft",Programme_Grunddaten!X830&lt;&gt;""),IF(Programme_Grunddaten!X830="Ja",1,0),"")</f>
        <v/>
      </c>
      <c r="Q825" s="1" t="str">
        <f>IF(AND(Programme_Grunddaten!$A830="Geprüft",Programme_Grunddaten!Y830&lt;&gt;""),IF(Programme_Grunddaten!Y830="Ja",1,0),"")</f>
        <v/>
      </c>
      <c r="R825" s="1" t="str">
        <f>IF(AND(Programme_Grunddaten!$A830="Geprüft",Programme_Grunddaten!Z830&lt;&gt;""),IF(Programme_Grunddaten!Z830="Ja",1,0),"")</f>
        <v/>
      </c>
      <c r="S825" s="1" t="str">
        <f>IF(AND(Programme_Grunddaten!$A830="Geprüft",Programme_Grunddaten!AA830&lt;&gt;""),IF(Programme_Grunddaten!AA830="monolithisch",1,0),"")</f>
        <v/>
      </c>
      <c r="T825" s="1" t="str">
        <f>IF(AND(Programme_Grunddaten!$A830="Geprüft",Programme_Grunddaten!AB830&lt;&gt;""),IF(Programme_Grunddaten!AB830="Ja",1,0),"")</f>
        <v/>
      </c>
      <c r="U825" s="1" t="str">
        <f>IF(AND(Programme_Grunddaten!$A830="Geprüft",Programme_Grunddaten!AC830&lt;&gt;""),IF(Programme_Grunddaten!AC830="Ja",1,0),"")</f>
        <v/>
      </c>
      <c r="V825" s="1" t="str">
        <f>IF(AND(Programme_Grunddaten!$A830="Geprüft",Programme_Grunddaten!AD830&lt;&gt;""),IF(Programme_Grunddaten!AD830="Ja",1,0),"")</f>
        <v/>
      </c>
      <c r="W825" s="1" t="str">
        <f>IF(AND(Programme_Grunddaten!$A830="Geprüft",Programme_Grunddaten!AE830&lt;&gt;""),IF(Programme_Grunddaten!AE830="Ja",1,0),"")</f>
        <v/>
      </c>
      <c r="X825" s="1" t="str">
        <f>IF(AND(Programme_Grunddaten!$A830="Geprüft",Programme_Grunddaten!AF830&lt;&gt;""),IF(Programme_Grunddaten!AF830="Ja",1,0),"")</f>
        <v/>
      </c>
      <c r="Y825" s="1" t="str">
        <f>IF(AND(Programme_Grunddaten!$A830="Geprüft",Programme_Grunddaten!AG830&lt;&gt;""),IF(Programme_Grunddaten!AG830="Ja",1,0),"")</f>
        <v/>
      </c>
      <c r="Z825" s="1" t="str">
        <f>IF(AND(Programme_Grunddaten!$A830="Geprüft",Programme_Grunddaten!AH830&lt;&gt;""),IF(Programme_Grunddaten!AH830="Ja",1,0),"")</f>
        <v/>
      </c>
      <c r="AA825" s="1" t="str">
        <f>IF(AND(Programme_Grunddaten!$A830="Geprüft",Programme_Grunddaten!AI830&lt;&gt;""),IF(Programme_Grunddaten!AI830="Ja",1,0),"")</f>
        <v/>
      </c>
      <c r="AB825" s="1" t="str">
        <f>IF(AND(Programme_Grunddaten!$A830="Geprüft",Programme_Grunddaten!AJ830&lt;&gt;""),IF(Programme_Grunddaten!AJ830="individuell programmierbar",1,0),"")</f>
        <v/>
      </c>
      <c r="AC825" s="1" t="str">
        <f>IF(AND(Programme_Grunddaten!$A830="Geprüft",Programme_Grunddaten!AK830&lt;&gt;""),IF(Programme_Grunddaten!AK830="Deutsch",0,IF(Programme_Grunddaten!AK830="Deutsch und Englisch",1,2)),"")</f>
        <v/>
      </c>
      <c r="AD825" s="1" t="str">
        <f>IF(AND(Programme_Grunddaten!$A830="Geprüft",Programme_Grunddaten!AL830&lt;&gt;""),IF(Programme_Grunddaten!AL830="Ja",1,0),"")</f>
        <v/>
      </c>
      <c r="AE825" s="1" t="str">
        <f>IF(AND(Programme_Grunddaten!$A830="Geprüft",Programme_Grunddaten!AM830&lt;&gt;""),IF(Programme_Grunddaten!AM830="Ja",1,0),"")</f>
        <v/>
      </c>
      <c r="AF825" s="1" t="str">
        <f>IF(AND(Programme_Grunddaten!$A830="Geprüft",Programme_Grunddaten!AN830&lt;&gt;""),IF(Programme_Grunddaten!AN830="Ja",1,0),"")</f>
        <v/>
      </c>
      <c r="AG825" s="1" t="str">
        <f>IF(AND(Programme_Grunddaten!$A830="Geprüft",Programme_Grunddaten!AO830&lt;&gt;""),IF(Programme_Grunddaten!AO830="Ja",1,0),"")</f>
        <v/>
      </c>
      <c r="AH825" s="1" t="str">
        <f>IF(AND(Programme_Grunddaten!$A830="Geprüft",Programme_Grunddaten!AP830&lt;&gt;""),IF(Programme_Grunddaten!AP830="Ja",1,0),"")</f>
        <v/>
      </c>
      <c r="AI825" s="1" t="str">
        <f>IF(AND(Programme_Grunddaten!$A830="Geprüft",Programme_Grunddaten!AQ830&lt;&gt;""),IF(Programme_Grunddaten!AQ830="Ja",1,0),"")</f>
        <v/>
      </c>
      <c r="AJ825" s="1" t="str">
        <f>IF(AND(Programme_Grunddaten!$A830="Geprüft",Programme_Grunddaten!AR830&lt;&gt;""),IF(Programme_Grunddaten!AR830="Ja",1,0),"")</f>
        <v/>
      </c>
      <c r="AK825" s="1" t="str">
        <f>IF(AND(Programme_Grunddaten!$A830="Geprüft",Programme_Grunddaten!AS830&lt;&gt;""),IF(Programme_Grunddaten!AS830="Ja",1,0),"")</f>
        <v/>
      </c>
      <c r="AL825" s="1" t="str">
        <f>IF(AND(Programme_Grunddaten!$A830="Geprüft",Programme_Grunddaten!AT830&lt;&gt;""),IF(Programme_Grunddaten!AT830="Ja",1,0),"")</f>
        <v/>
      </c>
      <c r="AM825" s="1" t="str">
        <f>IF(AND(Programme_Grunddaten!$A830="Geprüft",Programme_Grunddaten!AU830&lt;&gt;""),IF(Programme_Grunddaten!AU830="Ja",1,0),"")</f>
        <v/>
      </c>
      <c r="AN825" s="1" t="str">
        <f>IF(AND(Programme_Grunddaten!$A830="Geprüft",Programme_Grunddaten!AV830&lt;&gt;""),IF(Programme_Grunddaten!AV830="Ja",1,0),"")</f>
        <v/>
      </c>
    </row>
    <row r="826" spans="1:40" x14ac:dyDescent="0.3">
      <c r="A826" s="1" t="str">
        <f>IF(AND(Programme_Grunddaten!A831="Geprüft",Programme_Grunddaten!B831&lt;&gt;""),Programme_Grunddaten!B831,"")</f>
        <v/>
      </c>
      <c r="B826" s="1" t="str">
        <f>IF(AND(Programme_Grunddaten!$A831="Geprüft",Programme_Grunddaten!I831&lt;&gt;""),IF(Programme_Grunddaten!I831="Ja",1,0),"")</f>
        <v/>
      </c>
      <c r="C826" s="1" t="str">
        <f>IF(AND(Programme_Grunddaten!$A831="Geprüft",Programme_Grunddaten!J831&lt;&gt;""),IF(Programme_Grunddaten!J831="Ja",1,0),"")</f>
        <v/>
      </c>
      <c r="D826" s="1" t="str">
        <f>IF(AND(Programme_Grunddaten!$A831="Geprüft",Programme_Grunddaten!K831&lt;&gt;""),IF(Programme_Grunddaten!K831="Ja",1,0),"")</f>
        <v/>
      </c>
      <c r="E826" s="1" t="str">
        <f>IF(AND(Programme_Grunddaten!$A831="Geprüft",Programme_Grunddaten!L831&lt;&gt;""),IF(Programme_Grunddaten!L831="Abo / befristete Lizenz",1,0),"")</f>
        <v/>
      </c>
      <c r="F826" s="1" t="str">
        <f>IF(AND(Programme_Grunddaten!$A831="Geprüft",Programme_Grunddaten!M831&lt;&gt;""),IF(Programme_Grunddaten!M831="Ja",1,0),"")</f>
        <v/>
      </c>
      <c r="G826" s="1" t="str">
        <f>IF(AND(Programme_Grunddaten!$A831="Geprüft",Programme_Grunddaten!N831&lt;&gt;""),IF(Programme_Grunddaten!N831="Ja",1,0),"")</f>
        <v/>
      </c>
      <c r="H826" s="1" t="str">
        <f>IF(AND(Programme_Grunddaten!$A831="Geprüft",Programme_Grunddaten!O831&lt;&gt;""),IF(Programme_Grunddaten!O831="Deutschland",0,IF(Programme_Grunddaten!O831="EU",1,2)),"")</f>
        <v/>
      </c>
      <c r="I826" s="1" t="str">
        <f>IF(AND(Programme_Grunddaten!$A831="Geprüft",Programme_Grunddaten!P831&lt;&gt;""),IF(Programme_Grunddaten!P831="Ja",1,0),"")</f>
        <v/>
      </c>
      <c r="J826" s="1" t="str">
        <f>IF(AND(Programme_Grunddaten!$A831="Geprüft",Programme_Grunddaten!Q831&lt;&gt;""),IF(Programme_Grunddaten!Q831="geschlossenes System",1,0),"")</f>
        <v/>
      </c>
      <c r="K826" s="1" t="str">
        <f>IF(AND(Programme_Grunddaten!$A831="Geprüft",Programme_Grunddaten!R831&lt;&gt;""),IF(Programme_Grunddaten!R831="Ja",1,0),"")</f>
        <v/>
      </c>
      <c r="L826" s="1" t="str">
        <f>IF(AND(Programme_Grunddaten!$A831="Geprüft",Programme_Grunddaten!T831&lt;&gt;""),IF(Programme_Grunddaten!T831="Ja",1,0),"")</f>
        <v/>
      </c>
      <c r="M826" s="1" t="str">
        <f>IF(AND(Programme_Grunddaten!$A831="Geprüft",Programme_Grunddaten!U831&lt;&gt;""),IF(Programme_Grunddaten!U831="Ja",1,0),"")</f>
        <v/>
      </c>
      <c r="N826" s="1" t="str">
        <f>IF(AND(Programme_Grunddaten!$A831="Geprüft",Programme_Grunddaten!V831&lt;&gt;""),IF(Programme_Grunddaten!V831="Ja",1,0),"")</f>
        <v/>
      </c>
      <c r="O826" s="1" t="str">
        <f>IF(AND(Programme_Grunddaten!$A831="Geprüft",Programme_Grunddaten!W831&lt;&gt;""),IF(Programme_Grunddaten!W831="Ja",1,0),"")</f>
        <v/>
      </c>
      <c r="P826" s="1" t="str">
        <f>IF(AND(Programme_Grunddaten!$A831="Geprüft",Programme_Grunddaten!X831&lt;&gt;""),IF(Programme_Grunddaten!X831="Ja",1,0),"")</f>
        <v/>
      </c>
      <c r="Q826" s="1" t="str">
        <f>IF(AND(Programme_Grunddaten!$A831="Geprüft",Programme_Grunddaten!Y831&lt;&gt;""),IF(Programme_Grunddaten!Y831="Ja",1,0),"")</f>
        <v/>
      </c>
      <c r="R826" s="1" t="str">
        <f>IF(AND(Programme_Grunddaten!$A831="Geprüft",Programme_Grunddaten!Z831&lt;&gt;""),IF(Programme_Grunddaten!Z831="Ja",1,0),"")</f>
        <v/>
      </c>
      <c r="S826" s="1" t="str">
        <f>IF(AND(Programme_Grunddaten!$A831="Geprüft",Programme_Grunddaten!AA831&lt;&gt;""),IF(Programme_Grunddaten!AA831="monolithisch",1,0),"")</f>
        <v/>
      </c>
      <c r="T826" s="1" t="str">
        <f>IF(AND(Programme_Grunddaten!$A831="Geprüft",Programme_Grunddaten!AB831&lt;&gt;""),IF(Programme_Grunddaten!AB831="Ja",1,0),"")</f>
        <v/>
      </c>
      <c r="U826" s="1" t="str">
        <f>IF(AND(Programme_Grunddaten!$A831="Geprüft",Programme_Grunddaten!AC831&lt;&gt;""),IF(Programme_Grunddaten!AC831="Ja",1,0),"")</f>
        <v/>
      </c>
      <c r="V826" s="1" t="str">
        <f>IF(AND(Programme_Grunddaten!$A831="Geprüft",Programme_Grunddaten!AD831&lt;&gt;""),IF(Programme_Grunddaten!AD831="Ja",1,0),"")</f>
        <v/>
      </c>
      <c r="W826" s="1" t="str">
        <f>IF(AND(Programme_Grunddaten!$A831="Geprüft",Programme_Grunddaten!AE831&lt;&gt;""),IF(Programme_Grunddaten!AE831="Ja",1,0),"")</f>
        <v/>
      </c>
      <c r="X826" s="1" t="str">
        <f>IF(AND(Programme_Grunddaten!$A831="Geprüft",Programme_Grunddaten!AF831&lt;&gt;""),IF(Programme_Grunddaten!AF831="Ja",1,0),"")</f>
        <v/>
      </c>
      <c r="Y826" s="1" t="str">
        <f>IF(AND(Programme_Grunddaten!$A831="Geprüft",Programme_Grunddaten!AG831&lt;&gt;""),IF(Programme_Grunddaten!AG831="Ja",1,0),"")</f>
        <v/>
      </c>
      <c r="Z826" s="1" t="str">
        <f>IF(AND(Programme_Grunddaten!$A831="Geprüft",Programme_Grunddaten!AH831&lt;&gt;""),IF(Programme_Grunddaten!AH831="Ja",1,0),"")</f>
        <v/>
      </c>
      <c r="AA826" s="1" t="str">
        <f>IF(AND(Programme_Grunddaten!$A831="Geprüft",Programme_Grunddaten!AI831&lt;&gt;""),IF(Programme_Grunddaten!AI831="Ja",1,0),"")</f>
        <v/>
      </c>
      <c r="AB826" s="1" t="str">
        <f>IF(AND(Programme_Grunddaten!$A831="Geprüft",Programme_Grunddaten!AJ831&lt;&gt;""),IF(Programme_Grunddaten!AJ831="individuell programmierbar",1,0),"")</f>
        <v/>
      </c>
      <c r="AC826" s="1" t="str">
        <f>IF(AND(Programme_Grunddaten!$A831="Geprüft",Programme_Grunddaten!AK831&lt;&gt;""),IF(Programme_Grunddaten!AK831="Deutsch",0,IF(Programme_Grunddaten!AK831="Deutsch und Englisch",1,2)),"")</f>
        <v/>
      </c>
      <c r="AD826" s="1" t="str">
        <f>IF(AND(Programme_Grunddaten!$A831="Geprüft",Programme_Grunddaten!AL831&lt;&gt;""),IF(Programme_Grunddaten!AL831="Ja",1,0),"")</f>
        <v/>
      </c>
      <c r="AE826" s="1" t="str">
        <f>IF(AND(Programme_Grunddaten!$A831="Geprüft",Programme_Grunddaten!AM831&lt;&gt;""),IF(Programme_Grunddaten!AM831="Ja",1,0),"")</f>
        <v/>
      </c>
      <c r="AF826" s="1" t="str">
        <f>IF(AND(Programme_Grunddaten!$A831="Geprüft",Programme_Grunddaten!AN831&lt;&gt;""),IF(Programme_Grunddaten!AN831="Ja",1,0),"")</f>
        <v/>
      </c>
      <c r="AG826" s="1" t="str">
        <f>IF(AND(Programme_Grunddaten!$A831="Geprüft",Programme_Grunddaten!AO831&lt;&gt;""),IF(Programme_Grunddaten!AO831="Ja",1,0),"")</f>
        <v/>
      </c>
      <c r="AH826" s="1" t="str">
        <f>IF(AND(Programme_Grunddaten!$A831="Geprüft",Programme_Grunddaten!AP831&lt;&gt;""),IF(Programme_Grunddaten!AP831="Ja",1,0),"")</f>
        <v/>
      </c>
      <c r="AI826" s="1" t="str">
        <f>IF(AND(Programme_Grunddaten!$A831="Geprüft",Programme_Grunddaten!AQ831&lt;&gt;""),IF(Programme_Grunddaten!AQ831="Ja",1,0),"")</f>
        <v/>
      </c>
      <c r="AJ826" s="1" t="str">
        <f>IF(AND(Programme_Grunddaten!$A831="Geprüft",Programme_Grunddaten!AR831&lt;&gt;""),IF(Programme_Grunddaten!AR831="Ja",1,0),"")</f>
        <v/>
      </c>
      <c r="AK826" s="1" t="str">
        <f>IF(AND(Programme_Grunddaten!$A831="Geprüft",Programme_Grunddaten!AS831&lt;&gt;""),IF(Programme_Grunddaten!AS831="Ja",1,0),"")</f>
        <v/>
      </c>
      <c r="AL826" s="1" t="str">
        <f>IF(AND(Programme_Grunddaten!$A831="Geprüft",Programme_Grunddaten!AT831&lt;&gt;""),IF(Programme_Grunddaten!AT831="Ja",1,0),"")</f>
        <v/>
      </c>
      <c r="AM826" s="1" t="str">
        <f>IF(AND(Programme_Grunddaten!$A831="Geprüft",Programme_Grunddaten!AU831&lt;&gt;""),IF(Programme_Grunddaten!AU831="Ja",1,0),"")</f>
        <v/>
      </c>
      <c r="AN826" s="1" t="str">
        <f>IF(AND(Programme_Grunddaten!$A831="Geprüft",Programme_Grunddaten!AV831&lt;&gt;""),IF(Programme_Grunddaten!AV831="Ja",1,0),"")</f>
        <v/>
      </c>
    </row>
    <row r="827" spans="1:40" x14ac:dyDescent="0.3">
      <c r="A827" s="1" t="str">
        <f>IF(AND(Programme_Grunddaten!A832="Geprüft",Programme_Grunddaten!B832&lt;&gt;""),Programme_Grunddaten!B832,"")</f>
        <v/>
      </c>
      <c r="B827" s="1" t="str">
        <f>IF(AND(Programme_Grunddaten!$A832="Geprüft",Programme_Grunddaten!I832&lt;&gt;""),IF(Programme_Grunddaten!I832="Ja",1,0),"")</f>
        <v/>
      </c>
      <c r="C827" s="1" t="str">
        <f>IF(AND(Programme_Grunddaten!$A832="Geprüft",Programme_Grunddaten!J832&lt;&gt;""),IF(Programme_Grunddaten!J832="Ja",1,0),"")</f>
        <v/>
      </c>
      <c r="D827" s="1" t="str">
        <f>IF(AND(Programme_Grunddaten!$A832="Geprüft",Programme_Grunddaten!K832&lt;&gt;""),IF(Programme_Grunddaten!K832="Ja",1,0),"")</f>
        <v/>
      </c>
      <c r="E827" s="1" t="str">
        <f>IF(AND(Programme_Grunddaten!$A832="Geprüft",Programme_Grunddaten!L832&lt;&gt;""),IF(Programme_Grunddaten!L832="Abo / befristete Lizenz",1,0),"")</f>
        <v/>
      </c>
      <c r="F827" s="1" t="str">
        <f>IF(AND(Programme_Grunddaten!$A832="Geprüft",Programme_Grunddaten!M832&lt;&gt;""),IF(Programme_Grunddaten!M832="Ja",1,0),"")</f>
        <v/>
      </c>
      <c r="G827" s="1" t="str">
        <f>IF(AND(Programme_Grunddaten!$A832="Geprüft",Programme_Grunddaten!N832&lt;&gt;""),IF(Programme_Grunddaten!N832="Ja",1,0),"")</f>
        <v/>
      </c>
      <c r="H827" s="1" t="str">
        <f>IF(AND(Programme_Grunddaten!$A832="Geprüft",Programme_Grunddaten!O832&lt;&gt;""),IF(Programme_Grunddaten!O832="Deutschland",0,IF(Programme_Grunddaten!O832="EU",1,2)),"")</f>
        <v/>
      </c>
      <c r="I827" s="1" t="str">
        <f>IF(AND(Programme_Grunddaten!$A832="Geprüft",Programme_Grunddaten!P832&lt;&gt;""),IF(Programme_Grunddaten!P832="Ja",1,0),"")</f>
        <v/>
      </c>
      <c r="J827" s="1" t="str">
        <f>IF(AND(Programme_Grunddaten!$A832="Geprüft",Programme_Grunddaten!Q832&lt;&gt;""),IF(Programme_Grunddaten!Q832="geschlossenes System",1,0),"")</f>
        <v/>
      </c>
      <c r="K827" s="1" t="str">
        <f>IF(AND(Programme_Grunddaten!$A832="Geprüft",Programme_Grunddaten!R832&lt;&gt;""),IF(Programme_Grunddaten!R832="Ja",1,0),"")</f>
        <v/>
      </c>
      <c r="L827" s="1" t="str">
        <f>IF(AND(Programme_Grunddaten!$A832="Geprüft",Programme_Grunddaten!T832&lt;&gt;""),IF(Programme_Grunddaten!T832="Ja",1,0),"")</f>
        <v/>
      </c>
      <c r="M827" s="1" t="str">
        <f>IF(AND(Programme_Grunddaten!$A832="Geprüft",Programme_Grunddaten!U832&lt;&gt;""),IF(Programme_Grunddaten!U832="Ja",1,0),"")</f>
        <v/>
      </c>
      <c r="N827" s="1" t="str">
        <f>IF(AND(Programme_Grunddaten!$A832="Geprüft",Programme_Grunddaten!V832&lt;&gt;""),IF(Programme_Grunddaten!V832="Ja",1,0),"")</f>
        <v/>
      </c>
      <c r="O827" s="1" t="str">
        <f>IF(AND(Programme_Grunddaten!$A832="Geprüft",Programme_Grunddaten!W832&lt;&gt;""),IF(Programme_Grunddaten!W832="Ja",1,0),"")</f>
        <v/>
      </c>
      <c r="P827" s="1" t="str">
        <f>IF(AND(Programme_Grunddaten!$A832="Geprüft",Programme_Grunddaten!X832&lt;&gt;""),IF(Programme_Grunddaten!X832="Ja",1,0),"")</f>
        <v/>
      </c>
      <c r="Q827" s="1" t="str">
        <f>IF(AND(Programme_Grunddaten!$A832="Geprüft",Programme_Grunddaten!Y832&lt;&gt;""),IF(Programme_Grunddaten!Y832="Ja",1,0),"")</f>
        <v/>
      </c>
      <c r="R827" s="1" t="str">
        <f>IF(AND(Programme_Grunddaten!$A832="Geprüft",Programme_Grunddaten!Z832&lt;&gt;""),IF(Programme_Grunddaten!Z832="Ja",1,0),"")</f>
        <v/>
      </c>
      <c r="S827" s="1" t="str">
        <f>IF(AND(Programme_Grunddaten!$A832="Geprüft",Programme_Grunddaten!AA832&lt;&gt;""),IF(Programme_Grunddaten!AA832="monolithisch",1,0),"")</f>
        <v/>
      </c>
      <c r="T827" s="1" t="str">
        <f>IF(AND(Programme_Grunddaten!$A832="Geprüft",Programme_Grunddaten!AB832&lt;&gt;""),IF(Programme_Grunddaten!AB832="Ja",1,0),"")</f>
        <v/>
      </c>
      <c r="U827" s="1" t="str">
        <f>IF(AND(Programme_Grunddaten!$A832="Geprüft",Programme_Grunddaten!AC832&lt;&gt;""),IF(Programme_Grunddaten!AC832="Ja",1,0),"")</f>
        <v/>
      </c>
      <c r="V827" s="1" t="str">
        <f>IF(AND(Programme_Grunddaten!$A832="Geprüft",Programme_Grunddaten!AD832&lt;&gt;""),IF(Programme_Grunddaten!AD832="Ja",1,0),"")</f>
        <v/>
      </c>
      <c r="W827" s="1" t="str">
        <f>IF(AND(Programme_Grunddaten!$A832="Geprüft",Programme_Grunddaten!AE832&lt;&gt;""),IF(Programme_Grunddaten!AE832="Ja",1,0),"")</f>
        <v/>
      </c>
      <c r="X827" s="1" t="str">
        <f>IF(AND(Programme_Grunddaten!$A832="Geprüft",Programme_Grunddaten!AF832&lt;&gt;""),IF(Programme_Grunddaten!AF832="Ja",1,0),"")</f>
        <v/>
      </c>
      <c r="Y827" s="1" t="str">
        <f>IF(AND(Programme_Grunddaten!$A832="Geprüft",Programme_Grunddaten!AG832&lt;&gt;""),IF(Programme_Grunddaten!AG832="Ja",1,0),"")</f>
        <v/>
      </c>
      <c r="Z827" s="1" t="str">
        <f>IF(AND(Programme_Grunddaten!$A832="Geprüft",Programme_Grunddaten!AH832&lt;&gt;""),IF(Programme_Grunddaten!AH832="Ja",1,0),"")</f>
        <v/>
      </c>
      <c r="AA827" s="1" t="str">
        <f>IF(AND(Programme_Grunddaten!$A832="Geprüft",Programme_Grunddaten!AI832&lt;&gt;""),IF(Programme_Grunddaten!AI832="Ja",1,0),"")</f>
        <v/>
      </c>
      <c r="AB827" s="1" t="str">
        <f>IF(AND(Programme_Grunddaten!$A832="Geprüft",Programme_Grunddaten!AJ832&lt;&gt;""),IF(Programme_Grunddaten!AJ832="individuell programmierbar",1,0),"")</f>
        <v/>
      </c>
      <c r="AC827" s="1" t="str">
        <f>IF(AND(Programme_Grunddaten!$A832="Geprüft",Programme_Grunddaten!AK832&lt;&gt;""),IF(Programme_Grunddaten!AK832="Deutsch",0,IF(Programme_Grunddaten!AK832="Deutsch und Englisch",1,2)),"")</f>
        <v/>
      </c>
      <c r="AD827" s="1" t="str">
        <f>IF(AND(Programme_Grunddaten!$A832="Geprüft",Programme_Grunddaten!AL832&lt;&gt;""),IF(Programme_Grunddaten!AL832="Ja",1,0),"")</f>
        <v/>
      </c>
      <c r="AE827" s="1" t="str">
        <f>IF(AND(Programme_Grunddaten!$A832="Geprüft",Programme_Grunddaten!AM832&lt;&gt;""),IF(Programme_Grunddaten!AM832="Ja",1,0),"")</f>
        <v/>
      </c>
      <c r="AF827" s="1" t="str">
        <f>IF(AND(Programme_Grunddaten!$A832="Geprüft",Programme_Grunddaten!AN832&lt;&gt;""),IF(Programme_Grunddaten!AN832="Ja",1,0),"")</f>
        <v/>
      </c>
      <c r="AG827" s="1" t="str">
        <f>IF(AND(Programme_Grunddaten!$A832="Geprüft",Programme_Grunddaten!AO832&lt;&gt;""),IF(Programme_Grunddaten!AO832="Ja",1,0),"")</f>
        <v/>
      </c>
      <c r="AH827" s="1" t="str">
        <f>IF(AND(Programme_Grunddaten!$A832="Geprüft",Programme_Grunddaten!AP832&lt;&gt;""),IF(Programme_Grunddaten!AP832="Ja",1,0),"")</f>
        <v/>
      </c>
      <c r="AI827" s="1" t="str">
        <f>IF(AND(Programme_Grunddaten!$A832="Geprüft",Programme_Grunddaten!AQ832&lt;&gt;""),IF(Programme_Grunddaten!AQ832="Ja",1,0),"")</f>
        <v/>
      </c>
      <c r="AJ827" s="1" t="str">
        <f>IF(AND(Programme_Grunddaten!$A832="Geprüft",Programme_Grunddaten!AR832&lt;&gt;""),IF(Programme_Grunddaten!AR832="Ja",1,0),"")</f>
        <v/>
      </c>
      <c r="AK827" s="1" t="str">
        <f>IF(AND(Programme_Grunddaten!$A832="Geprüft",Programme_Grunddaten!AS832&lt;&gt;""),IF(Programme_Grunddaten!AS832="Ja",1,0),"")</f>
        <v/>
      </c>
      <c r="AL827" s="1" t="str">
        <f>IF(AND(Programme_Grunddaten!$A832="Geprüft",Programme_Grunddaten!AT832&lt;&gt;""),IF(Programme_Grunddaten!AT832="Ja",1,0),"")</f>
        <v/>
      </c>
      <c r="AM827" s="1" t="str">
        <f>IF(AND(Programme_Grunddaten!$A832="Geprüft",Programme_Grunddaten!AU832&lt;&gt;""),IF(Programme_Grunddaten!AU832="Ja",1,0),"")</f>
        <v/>
      </c>
      <c r="AN827" s="1" t="str">
        <f>IF(AND(Programme_Grunddaten!$A832="Geprüft",Programme_Grunddaten!AV832&lt;&gt;""),IF(Programme_Grunddaten!AV832="Ja",1,0),"")</f>
        <v/>
      </c>
    </row>
    <row r="828" spans="1:40" x14ac:dyDescent="0.3">
      <c r="A828" s="1" t="str">
        <f>IF(AND(Programme_Grunddaten!A833="Geprüft",Programme_Grunddaten!B833&lt;&gt;""),Programme_Grunddaten!B833,"")</f>
        <v/>
      </c>
      <c r="B828" s="1" t="str">
        <f>IF(AND(Programme_Grunddaten!$A833="Geprüft",Programme_Grunddaten!I833&lt;&gt;""),IF(Programme_Grunddaten!I833="Ja",1,0),"")</f>
        <v/>
      </c>
      <c r="C828" s="1" t="str">
        <f>IF(AND(Programme_Grunddaten!$A833="Geprüft",Programme_Grunddaten!J833&lt;&gt;""),IF(Programme_Grunddaten!J833="Ja",1,0),"")</f>
        <v/>
      </c>
      <c r="D828" s="1" t="str">
        <f>IF(AND(Programme_Grunddaten!$A833="Geprüft",Programme_Grunddaten!K833&lt;&gt;""),IF(Programme_Grunddaten!K833="Ja",1,0),"")</f>
        <v/>
      </c>
      <c r="E828" s="1" t="str">
        <f>IF(AND(Programme_Grunddaten!$A833="Geprüft",Programme_Grunddaten!L833&lt;&gt;""),IF(Programme_Grunddaten!L833="Abo / befristete Lizenz",1,0),"")</f>
        <v/>
      </c>
      <c r="F828" s="1" t="str">
        <f>IF(AND(Programme_Grunddaten!$A833="Geprüft",Programme_Grunddaten!M833&lt;&gt;""),IF(Programme_Grunddaten!M833="Ja",1,0),"")</f>
        <v/>
      </c>
      <c r="G828" s="1" t="str">
        <f>IF(AND(Programme_Grunddaten!$A833="Geprüft",Programme_Grunddaten!N833&lt;&gt;""),IF(Programme_Grunddaten!N833="Ja",1,0),"")</f>
        <v/>
      </c>
      <c r="H828" s="1" t="str">
        <f>IF(AND(Programme_Grunddaten!$A833="Geprüft",Programme_Grunddaten!O833&lt;&gt;""),IF(Programme_Grunddaten!O833="Deutschland",0,IF(Programme_Grunddaten!O833="EU",1,2)),"")</f>
        <v/>
      </c>
      <c r="I828" s="1" t="str">
        <f>IF(AND(Programme_Grunddaten!$A833="Geprüft",Programme_Grunddaten!P833&lt;&gt;""),IF(Programme_Grunddaten!P833="Ja",1,0),"")</f>
        <v/>
      </c>
      <c r="J828" s="1" t="str">
        <f>IF(AND(Programme_Grunddaten!$A833="Geprüft",Programme_Grunddaten!Q833&lt;&gt;""),IF(Programme_Grunddaten!Q833="geschlossenes System",1,0),"")</f>
        <v/>
      </c>
      <c r="K828" s="1" t="str">
        <f>IF(AND(Programme_Grunddaten!$A833="Geprüft",Programme_Grunddaten!R833&lt;&gt;""),IF(Programme_Grunddaten!R833="Ja",1,0),"")</f>
        <v/>
      </c>
      <c r="L828" s="1" t="str">
        <f>IF(AND(Programme_Grunddaten!$A833="Geprüft",Programme_Grunddaten!T833&lt;&gt;""),IF(Programme_Grunddaten!T833="Ja",1,0),"")</f>
        <v/>
      </c>
      <c r="M828" s="1" t="str">
        <f>IF(AND(Programme_Grunddaten!$A833="Geprüft",Programme_Grunddaten!U833&lt;&gt;""),IF(Programme_Grunddaten!U833="Ja",1,0),"")</f>
        <v/>
      </c>
      <c r="N828" s="1" t="str">
        <f>IF(AND(Programme_Grunddaten!$A833="Geprüft",Programme_Grunddaten!V833&lt;&gt;""),IF(Programme_Grunddaten!V833="Ja",1,0),"")</f>
        <v/>
      </c>
      <c r="O828" s="1" t="str">
        <f>IF(AND(Programme_Grunddaten!$A833="Geprüft",Programme_Grunddaten!W833&lt;&gt;""),IF(Programme_Grunddaten!W833="Ja",1,0),"")</f>
        <v/>
      </c>
      <c r="P828" s="1" t="str">
        <f>IF(AND(Programme_Grunddaten!$A833="Geprüft",Programme_Grunddaten!X833&lt;&gt;""),IF(Programme_Grunddaten!X833="Ja",1,0),"")</f>
        <v/>
      </c>
      <c r="Q828" s="1" t="str">
        <f>IF(AND(Programme_Grunddaten!$A833="Geprüft",Programme_Grunddaten!Y833&lt;&gt;""),IF(Programme_Grunddaten!Y833="Ja",1,0),"")</f>
        <v/>
      </c>
      <c r="R828" s="1" t="str">
        <f>IF(AND(Programme_Grunddaten!$A833="Geprüft",Programme_Grunddaten!Z833&lt;&gt;""),IF(Programme_Grunddaten!Z833="Ja",1,0),"")</f>
        <v/>
      </c>
      <c r="S828" s="1" t="str">
        <f>IF(AND(Programme_Grunddaten!$A833="Geprüft",Programme_Grunddaten!AA833&lt;&gt;""),IF(Programme_Grunddaten!AA833="monolithisch",1,0),"")</f>
        <v/>
      </c>
      <c r="T828" s="1" t="str">
        <f>IF(AND(Programme_Grunddaten!$A833="Geprüft",Programme_Grunddaten!AB833&lt;&gt;""),IF(Programme_Grunddaten!AB833="Ja",1,0),"")</f>
        <v/>
      </c>
      <c r="U828" s="1" t="str">
        <f>IF(AND(Programme_Grunddaten!$A833="Geprüft",Programme_Grunddaten!AC833&lt;&gt;""),IF(Programme_Grunddaten!AC833="Ja",1,0),"")</f>
        <v/>
      </c>
      <c r="V828" s="1" t="str">
        <f>IF(AND(Programme_Grunddaten!$A833="Geprüft",Programme_Grunddaten!AD833&lt;&gt;""),IF(Programme_Grunddaten!AD833="Ja",1,0),"")</f>
        <v/>
      </c>
      <c r="W828" s="1" t="str">
        <f>IF(AND(Programme_Grunddaten!$A833="Geprüft",Programme_Grunddaten!AE833&lt;&gt;""),IF(Programme_Grunddaten!AE833="Ja",1,0),"")</f>
        <v/>
      </c>
      <c r="X828" s="1" t="str">
        <f>IF(AND(Programme_Grunddaten!$A833="Geprüft",Programme_Grunddaten!AF833&lt;&gt;""),IF(Programme_Grunddaten!AF833="Ja",1,0),"")</f>
        <v/>
      </c>
      <c r="Y828" s="1" t="str">
        <f>IF(AND(Programme_Grunddaten!$A833="Geprüft",Programme_Grunddaten!AG833&lt;&gt;""),IF(Programme_Grunddaten!AG833="Ja",1,0),"")</f>
        <v/>
      </c>
      <c r="Z828" s="1" t="str">
        <f>IF(AND(Programme_Grunddaten!$A833="Geprüft",Programme_Grunddaten!AH833&lt;&gt;""),IF(Programme_Grunddaten!AH833="Ja",1,0),"")</f>
        <v/>
      </c>
      <c r="AA828" s="1" t="str">
        <f>IF(AND(Programme_Grunddaten!$A833="Geprüft",Programme_Grunddaten!AI833&lt;&gt;""),IF(Programme_Grunddaten!AI833="Ja",1,0),"")</f>
        <v/>
      </c>
      <c r="AB828" s="1" t="str">
        <f>IF(AND(Programme_Grunddaten!$A833="Geprüft",Programme_Grunddaten!AJ833&lt;&gt;""),IF(Programme_Grunddaten!AJ833="individuell programmierbar",1,0),"")</f>
        <v/>
      </c>
      <c r="AC828" s="1" t="str">
        <f>IF(AND(Programme_Grunddaten!$A833="Geprüft",Programme_Grunddaten!AK833&lt;&gt;""),IF(Programme_Grunddaten!AK833="Deutsch",0,IF(Programme_Grunddaten!AK833="Deutsch und Englisch",1,2)),"")</f>
        <v/>
      </c>
      <c r="AD828" s="1" t="str">
        <f>IF(AND(Programme_Grunddaten!$A833="Geprüft",Programme_Grunddaten!AL833&lt;&gt;""),IF(Programme_Grunddaten!AL833="Ja",1,0),"")</f>
        <v/>
      </c>
      <c r="AE828" s="1" t="str">
        <f>IF(AND(Programme_Grunddaten!$A833="Geprüft",Programme_Grunddaten!AM833&lt;&gt;""),IF(Programme_Grunddaten!AM833="Ja",1,0),"")</f>
        <v/>
      </c>
      <c r="AF828" s="1" t="str">
        <f>IF(AND(Programme_Grunddaten!$A833="Geprüft",Programme_Grunddaten!AN833&lt;&gt;""),IF(Programme_Grunddaten!AN833="Ja",1,0),"")</f>
        <v/>
      </c>
      <c r="AG828" s="1" t="str">
        <f>IF(AND(Programme_Grunddaten!$A833="Geprüft",Programme_Grunddaten!AO833&lt;&gt;""),IF(Programme_Grunddaten!AO833="Ja",1,0),"")</f>
        <v/>
      </c>
      <c r="AH828" s="1" t="str">
        <f>IF(AND(Programme_Grunddaten!$A833="Geprüft",Programme_Grunddaten!AP833&lt;&gt;""),IF(Programme_Grunddaten!AP833="Ja",1,0),"")</f>
        <v/>
      </c>
      <c r="AI828" s="1" t="str">
        <f>IF(AND(Programme_Grunddaten!$A833="Geprüft",Programme_Grunddaten!AQ833&lt;&gt;""),IF(Programme_Grunddaten!AQ833="Ja",1,0),"")</f>
        <v/>
      </c>
      <c r="AJ828" s="1" t="str">
        <f>IF(AND(Programme_Grunddaten!$A833="Geprüft",Programme_Grunddaten!AR833&lt;&gt;""),IF(Programme_Grunddaten!AR833="Ja",1,0),"")</f>
        <v/>
      </c>
      <c r="AK828" s="1" t="str">
        <f>IF(AND(Programme_Grunddaten!$A833="Geprüft",Programme_Grunddaten!AS833&lt;&gt;""),IF(Programme_Grunddaten!AS833="Ja",1,0),"")</f>
        <v/>
      </c>
      <c r="AL828" s="1" t="str">
        <f>IF(AND(Programme_Grunddaten!$A833="Geprüft",Programme_Grunddaten!AT833&lt;&gt;""),IF(Programme_Grunddaten!AT833="Ja",1,0),"")</f>
        <v/>
      </c>
      <c r="AM828" s="1" t="str">
        <f>IF(AND(Programme_Grunddaten!$A833="Geprüft",Programme_Grunddaten!AU833&lt;&gt;""),IF(Programme_Grunddaten!AU833="Ja",1,0),"")</f>
        <v/>
      </c>
      <c r="AN828" s="1" t="str">
        <f>IF(AND(Programme_Grunddaten!$A833="Geprüft",Programme_Grunddaten!AV833&lt;&gt;""),IF(Programme_Grunddaten!AV833="Ja",1,0),"")</f>
        <v/>
      </c>
    </row>
    <row r="829" spans="1:40" x14ac:dyDescent="0.3">
      <c r="A829" s="1" t="str">
        <f>IF(AND(Programme_Grunddaten!A834="Geprüft",Programme_Grunddaten!B834&lt;&gt;""),Programme_Grunddaten!B834,"")</f>
        <v/>
      </c>
      <c r="B829" s="1" t="str">
        <f>IF(AND(Programme_Grunddaten!$A834="Geprüft",Programme_Grunddaten!I834&lt;&gt;""),IF(Programme_Grunddaten!I834="Ja",1,0),"")</f>
        <v/>
      </c>
      <c r="C829" s="1" t="str">
        <f>IF(AND(Programme_Grunddaten!$A834="Geprüft",Programme_Grunddaten!J834&lt;&gt;""),IF(Programme_Grunddaten!J834="Ja",1,0),"")</f>
        <v/>
      </c>
      <c r="D829" s="1" t="str">
        <f>IF(AND(Programme_Grunddaten!$A834="Geprüft",Programme_Grunddaten!K834&lt;&gt;""),IF(Programme_Grunddaten!K834="Ja",1,0),"")</f>
        <v/>
      </c>
      <c r="E829" s="1" t="str">
        <f>IF(AND(Programme_Grunddaten!$A834="Geprüft",Programme_Grunddaten!L834&lt;&gt;""),IF(Programme_Grunddaten!L834="Abo / befristete Lizenz",1,0),"")</f>
        <v/>
      </c>
      <c r="F829" s="1" t="str">
        <f>IF(AND(Programme_Grunddaten!$A834="Geprüft",Programme_Grunddaten!M834&lt;&gt;""),IF(Programme_Grunddaten!M834="Ja",1,0),"")</f>
        <v/>
      </c>
      <c r="G829" s="1" t="str">
        <f>IF(AND(Programme_Grunddaten!$A834="Geprüft",Programme_Grunddaten!N834&lt;&gt;""),IF(Programme_Grunddaten!N834="Ja",1,0),"")</f>
        <v/>
      </c>
      <c r="H829" s="1" t="str">
        <f>IF(AND(Programme_Grunddaten!$A834="Geprüft",Programme_Grunddaten!O834&lt;&gt;""),IF(Programme_Grunddaten!O834="Deutschland",0,IF(Programme_Grunddaten!O834="EU",1,2)),"")</f>
        <v/>
      </c>
      <c r="I829" s="1" t="str">
        <f>IF(AND(Programme_Grunddaten!$A834="Geprüft",Programme_Grunddaten!P834&lt;&gt;""),IF(Programme_Grunddaten!P834="Ja",1,0),"")</f>
        <v/>
      </c>
      <c r="J829" s="1" t="str">
        <f>IF(AND(Programme_Grunddaten!$A834="Geprüft",Programme_Grunddaten!Q834&lt;&gt;""),IF(Programme_Grunddaten!Q834="geschlossenes System",1,0),"")</f>
        <v/>
      </c>
      <c r="K829" s="1" t="str">
        <f>IF(AND(Programme_Grunddaten!$A834="Geprüft",Programme_Grunddaten!R834&lt;&gt;""),IF(Programme_Grunddaten!R834="Ja",1,0),"")</f>
        <v/>
      </c>
      <c r="L829" s="1" t="str">
        <f>IF(AND(Programme_Grunddaten!$A834="Geprüft",Programme_Grunddaten!T834&lt;&gt;""),IF(Programme_Grunddaten!T834="Ja",1,0),"")</f>
        <v/>
      </c>
      <c r="M829" s="1" t="str">
        <f>IF(AND(Programme_Grunddaten!$A834="Geprüft",Programme_Grunddaten!U834&lt;&gt;""),IF(Programme_Grunddaten!U834="Ja",1,0),"")</f>
        <v/>
      </c>
      <c r="N829" s="1" t="str">
        <f>IF(AND(Programme_Grunddaten!$A834="Geprüft",Programme_Grunddaten!V834&lt;&gt;""),IF(Programme_Grunddaten!V834="Ja",1,0),"")</f>
        <v/>
      </c>
      <c r="O829" s="1" t="str">
        <f>IF(AND(Programme_Grunddaten!$A834="Geprüft",Programme_Grunddaten!W834&lt;&gt;""),IF(Programme_Grunddaten!W834="Ja",1,0),"")</f>
        <v/>
      </c>
      <c r="P829" s="1" t="str">
        <f>IF(AND(Programme_Grunddaten!$A834="Geprüft",Programme_Grunddaten!X834&lt;&gt;""),IF(Programme_Grunddaten!X834="Ja",1,0),"")</f>
        <v/>
      </c>
      <c r="Q829" s="1" t="str">
        <f>IF(AND(Programme_Grunddaten!$A834="Geprüft",Programme_Grunddaten!Y834&lt;&gt;""),IF(Programme_Grunddaten!Y834="Ja",1,0),"")</f>
        <v/>
      </c>
      <c r="R829" s="1" t="str">
        <f>IF(AND(Programme_Grunddaten!$A834="Geprüft",Programme_Grunddaten!Z834&lt;&gt;""),IF(Programme_Grunddaten!Z834="Ja",1,0),"")</f>
        <v/>
      </c>
      <c r="S829" s="1" t="str">
        <f>IF(AND(Programme_Grunddaten!$A834="Geprüft",Programme_Grunddaten!AA834&lt;&gt;""),IF(Programme_Grunddaten!AA834="monolithisch",1,0),"")</f>
        <v/>
      </c>
      <c r="T829" s="1" t="str">
        <f>IF(AND(Programme_Grunddaten!$A834="Geprüft",Programme_Grunddaten!AB834&lt;&gt;""),IF(Programme_Grunddaten!AB834="Ja",1,0),"")</f>
        <v/>
      </c>
      <c r="U829" s="1" t="str">
        <f>IF(AND(Programme_Grunddaten!$A834="Geprüft",Programme_Grunddaten!AC834&lt;&gt;""),IF(Programme_Grunddaten!AC834="Ja",1,0),"")</f>
        <v/>
      </c>
      <c r="V829" s="1" t="str">
        <f>IF(AND(Programme_Grunddaten!$A834="Geprüft",Programme_Grunddaten!AD834&lt;&gt;""),IF(Programme_Grunddaten!AD834="Ja",1,0),"")</f>
        <v/>
      </c>
      <c r="W829" s="1" t="str">
        <f>IF(AND(Programme_Grunddaten!$A834="Geprüft",Programme_Grunddaten!AE834&lt;&gt;""),IF(Programme_Grunddaten!AE834="Ja",1,0),"")</f>
        <v/>
      </c>
      <c r="X829" s="1" t="str">
        <f>IF(AND(Programme_Grunddaten!$A834="Geprüft",Programme_Grunddaten!AF834&lt;&gt;""),IF(Programme_Grunddaten!AF834="Ja",1,0),"")</f>
        <v/>
      </c>
      <c r="Y829" s="1" t="str">
        <f>IF(AND(Programme_Grunddaten!$A834="Geprüft",Programme_Grunddaten!AG834&lt;&gt;""),IF(Programme_Grunddaten!AG834="Ja",1,0),"")</f>
        <v/>
      </c>
      <c r="Z829" s="1" t="str">
        <f>IF(AND(Programme_Grunddaten!$A834="Geprüft",Programme_Grunddaten!AH834&lt;&gt;""),IF(Programme_Grunddaten!AH834="Ja",1,0),"")</f>
        <v/>
      </c>
      <c r="AA829" s="1" t="str">
        <f>IF(AND(Programme_Grunddaten!$A834="Geprüft",Programme_Grunddaten!AI834&lt;&gt;""),IF(Programme_Grunddaten!AI834="Ja",1,0),"")</f>
        <v/>
      </c>
      <c r="AB829" s="1" t="str">
        <f>IF(AND(Programme_Grunddaten!$A834="Geprüft",Programme_Grunddaten!AJ834&lt;&gt;""),IF(Programme_Grunddaten!AJ834="individuell programmierbar",1,0),"")</f>
        <v/>
      </c>
      <c r="AC829" s="1" t="str">
        <f>IF(AND(Programme_Grunddaten!$A834="Geprüft",Programme_Grunddaten!AK834&lt;&gt;""),IF(Programme_Grunddaten!AK834="Deutsch",0,IF(Programme_Grunddaten!AK834="Deutsch und Englisch",1,2)),"")</f>
        <v/>
      </c>
      <c r="AD829" s="1" t="str">
        <f>IF(AND(Programme_Grunddaten!$A834="Geprüft",Programme_Grunddaten!AL834&lt;&gt;""),IF(Programme_Grunddaten!AL834="Ja",1,0),"")</f>
        <v/>
      </c>
      <c r="AE829" s="1" t="str">
        <f>IF(AND(Programme_Grunddaten!$A834="Geprüft",Programme_Grunddaten!AM834&lt;&gt;""),IF(Programme_Grunddaten!AM834="Ja",1,0),"")</f>
        <v/>
      </c>
      <c r="AF829" s="1" t="str">
        <f>IF(AND(Programme_Grunddaten!$A834="Geprüft",Programme_Grunddaten!AN834&lt;&gt;""),IF(Programme_Grunddaten!AN834="Ja",1,0),"")</f>
        <v/>
      </c>
      <c r="AG829" s="1" t="str">
        <f>IF(AND(Programme_Grunddaten!$A834="Geprüft",Programme_Grunddaten!AO834&lt;&gt;""),IF(Programme_Grunddaten!AO834="Ja",1,0),"")</f>
        <v/>
      </c>
      <c r="AH829" s="1" t="str">
        <f>IF(AND(Programme_Grunddaten!$A834="Geprüft",Programme_Grunddaten!AP834&lt;&gt;""),IF(Programme_Grunddaten!AP834="Ja",1,0),"")</f>
        <v/>
      </c>
      <c r="AI829" s="1" t="str">
        <f>IF(AND(Programme_Grunddaten!$A834="Geprüft",Programme_Grunddaten!AQ834&lt;&gt;""),IF(Programme_Grunddaten!AQ834="Ja",1,0),"")</f>
        <v/>
      </c>
      <c r="AJ829" s="1" t="str">
        <f>IF(AND(Programme_Grunddaten!$A834="Geprüft",Programme_Grunddaten!AR834&lt;&gt;""),IF(Programme_Grunddaten!AR834="Ja",1,0),"")</f>
        <v/>
      </c>
      <c r="AK829" s="1" t="str">
        <f>IF(AND(Programme_Grunddaten!$A834="Geprüft",Programme_Grunddaten!AS834&lt;&gt;""),IF(Programme_Grunddaten!AS834="Ja",1,0),"")</f>
        <v/>
      </c>
      <c r="AL829" s="1" t="str">
        <f>IF(AND(Programme_Grunddaten!$A834="Geprüft",Programme_Grunddaten!AT834&lt;&gt;""),IF(Programme_Grunddaten!AT834="Ja",1,0),"")</f>
        <v/>
      </c>
      <c r="AM829" s="1" t="str">
        <f>IF(AND(Programme_Grunddaten!$A834="Geprüft",Programme_Grunddaten!AU834&lt;&gt;""),IF(Programme_Grunddaten!AU834="Ja",1,0),"")</f>
        <v/>
      </c>
      <c r="AN829" s="1" t="str">
        <f>IF(AND(Programme_Grunddaten!$A834="Geprüft",Programme_Grunddaten!AV834&lt;&gt;""),IF(Programme_Grunddaten!AV834="Ja",1,0),"")</f>
        <v/>
      </c>
    </row>
    <row r="830" spans="1:40" x14ac:dyDescent="0.3">
      <c r="A830" s="1" t="str">
        <f>IF(AND(Programme_Grunddaten!A835="Geprüft",Programme_Grunddaten!B835&lt;&gt;""),Programme_Grunddaten!B835,"")</f>
        <v/>
      </c>
      <c r="B830" s="1" t="str">
        <f>IF(AND(Programme_Grunddaten!$A835="Geprüft",Programme_Grunddaten!I835&lt;&gt;""),IF(Programme_Grunddaten!I835="Ja",1,0),"")</f>
        <v/>
      </c>
      <c r="C830" s="1" t="str">
        <f>IF(AND(Programme_Grunddaten!$A835="Geprüft",Programme_Grunddaten!J835&lt;&gt;""),IF(Programme_Grunddaten!J835="Ja",1,0),"")</f>
        <v/>
      </c>
      <c r="D830" s="1" t="str">
        <f>IF(AND(Programme_Grunddaten!$A835="Geprüft",Programme_Grunddaten!K835&lt;&gt;""),IF(Programme_Grunddaten!K835="Ja",1,0),"")</f>
        <v/>
      </c>
      <c r="E830" s="1" t="str">
        <f>IF(AND(Programme_Grunddaten!$A835="Geprüft",Programme_Grunddaten!L835&lt;&gt;""),IF(Programme_Grunddaten!L835="Abo / befristete Lizenz",1,0),"")</f>
        <v/>
      </c>
      <c r="F830" s="1" t="str">
        <f>IF(AND(Programme_Grunddaten!$A835="Geprüft",Programme_Grunddaten!M835&lt;&gt;""),IF(Programme_Grunddaten!M835="Ja",1,0),"")</f>
        <v/>
      </c>
      <c r="G830" s="1" t="str">
        <f>IF(AND(Programme_Grunddaten!$A835="Geprüft",Programme_Grunddaten!N835&lt;&gt;""),IF(Programme_Grunddaten!N835="Ja",1,0),"")</f>
        <v/>
      </c>
      <c r="H830" s="1" t="str">
        <f>IF(AND(Programme_Grunddaten!$A835="Geprüft",Programme_Grunddaten!O835&lt;&gt;""),IF(Programme_Grunddaten!O835="Deutschland",0,IF(Programme_Grunddaten!O835="EU",1,2)),"")</f>
        <v/>
      </c>
      <c r="I830" s="1" t="str">
        <f>IF(AND(Programme_Grunddaten!$A835="Geprüft",Programme_Grunddaten!P835&lt;&gt;""),IF(Programme_Grunddaten!P835="Ja",1,0),"")</f>
        <v/>
      </c>
      <c r="J830" s="1" t="str">
        <f>IF(AND(Programme_Grunddaten!$A835="Geprüft",Programme_Grunddaten!Q835&lt;&gt;""),IF(Programme_Grunddaten!Q835="geschlossenes System",1,0),"")</f>
        <v/>
      </c>
      <c r="K830" s="1" t="str">
        <f>IF(AND(Programme_Grunddaten!$A835="Geprüft",Programme_Grunddaten!R835&lt;&gt;""),IF(Programme_Grunddaten!R835="Ja",1,0),"")</f>
        <v/>
      </c>
      <c r="L830" s="1" t="str">
        <f>IF(AND(Programme_Grunddaten!$A835="Geprüft",Programme_Grunddaten!T835&lt;&gt;""),IF(Programme_Grunddaten!T835="Ja",1,0),"")</f>
        <v/>
      </c>
      <c r="M830" s="1" t="str">
        <f>IF(AND(Programme_Grunddaten!$A835="Geprüft",Programme_Grunddaten!U835&lt;&gt;""),IF(Programme_Grunddaten!U835="Ja",1,0),"")</f>
        <v/>
      </c>
      <c r="N830" s="1" t="str">
        <f>IF(AND(Programme_Grunddaten!$A835="Geprüft",Programme_Grunddaten!V835&lt;&gt;""),IF(Programme_Grunddaten!V835="Ja",1,0),"")</f>
        <v/>
      </c>
      <c r="O830" s="1" t="str">
        <f>IF(AND(Programme_Grunddaten!$A835="Geprüft",Programme_Grunddaten!W835&lt;&gt;""),IF(Programme_Grunddaten!W835="Ja",1,0),"")</f>
        <v/>
      </c>
      <c r="P830" s="1" t="str">
        <f>IF(AND(Programme_Grunddaten!$A835="Geprüft",Programme_Grunddaten!X835&lt;&gt;""),IF(Programme_Grunddaten!X835="Ja",1,0),"")</f>
        <v/>
      </c>
      <c r="Q830" s="1" t="str">
        <f>IF(AND(Programme_Grunddaten!$A835="Geprüft",Programme_Grunddaten!Y835&lt;&gt;""),IF(Programme_Grunddaten!Y835="Ja",1,0),"")</f>
        <v/>
      </c>
      <c r="R830" s="1" t="str">
        <f>IF(AND(Programme_Grunddaten!$A835="Geprüft",Programme_Grunddaten!Z835&lt;&gt;""),IF(Programme_Grunddaten!Z835="Ja",1,0),"")</f>
        <v/>
      </c>
      <c r="S830" s="1" t="str">
        <f>IF(AND(Programme_Grunddaten!$A835="Geprüft",Programme_Grunddaten!AA835&lt;&gt;""),IF(Programme_Grunddaten!AA835="monolithisch",1,0),"")</f>
        <v/>
      </c>
      <c r="T830" s="1" t="str">
        <f>IF(AND(Programme_Grunddaten!$A835="Geprüft",Programme_Grunddaten!AB835&lt;&gt;""),IF(Programme_Grunddaten!AB835="Ja",1,0),"")</f>
        <v/>
      </c>
      <c r="U830" s="1" t="str">
        <f>IF(AND(Programme_Grunddaten!$A835="Geprüft",Programme_Grunddaten!AC835&lt;&gt;""),IF(Programme_Grunddaten!AC835="Ja",1,0),"")</f>
        <v/>
      </c>
      <c r="V830" s="1" t="str">
        <f>IF(AND(Programme_Grunddaten!$A835="Geprüft",Programme_Grunddaten!AD835&lt;&gt;""),IF(Programme_Grunddaten!AD835="Ja",1,0),"")</f>
        <v/>
      </c>
      <c r="W830" s="1" t="str">
        <f>IF(AND(Programme_Grunddaten!$A835="Geprüft",Programme_Grunddaten!AE835&lt;&gt;""),IF(Programme_Grunddaten!AE835="Ja",1,0),"")</f>
        <v/>
      </c>
      <c r="X830" s="1" t="str">
        <f>IF(AND(Programme_Grunddaten!$A835="Geprüft",Programme_Grunddaten!AF835&lt;&gt;""),IF(Programme_Grunddaten!AF835="Ja",1,0),"")</f>
        <v/>
      </c>
      <c r="Y830" s="1" t="str">
        <f>IF(AND(Programme_Grunddaten!$A835="Geprüft",Programme_Grunddaten!AG835&lt;&gt;""),IF(Programme_Grunddaten!AG835="Ja",1,0),"")</f>
        <v/>
      </c>
      <c r="Z830" s="1" t="str">
        <f>IF(AND(Programme_Grunddaten!$A835="Geprüft",Programme_Grunddaten!AH835&lt;&gt;""),IF(Programme_Grunddaten!AH835="Ja",1,0),"")</f>
        <v/>
      </c>
      <c r="AA830" s="1" t="str">
        <f>IF(AND(Programme_Grunddaten!$A835="Geprüft",Programme_Grunddaten!AI835&lt;&gt;""),IF(Programme_Grunddaten!AI835="Ja",1,0),"")</f>
        <v/>
      </c>
      <c r="AB830" s="1" t="str">
        <f>IF(AND(Programme_Grunddaten!$A835="Geprüft",Programme_Grunddaten!AJ835&lt;&gt;""),IF(Programme_Grunddaten!AJ835="individuell programmierbar",1,0),"")</f>
        <v/>
      </c>
      <c r="AC830" s="1" t="str">
        <f>IF(AND(Programme_Grunddaten!$A835="Geprüft",Programme_Grunddaten!AK835&lt;&gt;""),IF(Programme_Grunddaten!AK835="Deutsch",0,IF(Programme_Grunddaten!AK835="Deutsch und Englisch",1,2)),"")</f>
        <v/>
      </c>
      <c r="AD830" s="1" t="str">
        <f>IF(AND(Programme_Grunddaten!$A835="Geprüft",Programme_Grunddaten!AL835&lt;&gt;""),IF(Programme_Grunddaten!AL835="Ja",1,0),"")</f>
        <v/>
      </c>
      <c r="AE830" s="1" t="str">
        <f>IF(AND(Programme_Grunddaten!$A835="Geprüft",Programme_Grunddaten!AM835&lt;&gt;""),IF(Programme_Grunddaten!AM835="Ja",1,0),"")</f>
        <v/>
      </c>
      <c r="AF830" s="1" t="str">
        <f>IF(AND(Programme_Grunddaten!$A835="Geprüft",Programme_Grunddaten!AN835&lt;&gt;""),IF(Programme_Grunddaten!AN835="Ja",1,0),"")</f>
        <v/>
      </c>
      <c r="AG830" s="1" t="str">
        <f>IF(AND(Programme_Grunddaten!$A835="Geprüft",Programme_Grunddaten!AO835&lt;&gt;""),IF(Programme_Grunddaten!AO835="Ja",1,0),"")</f>
        <v/>
      </c>
      <c r="AH830" s="1" t="str">
        <f>IF(AND(Programme_Grunddaten!$A835="Geprüft",Programme_Grunddaten!AP835&lt;&gt;""),IF(Programme_Grunddaten!AP835="Ja",1,0),"")</f>
        <v/>
      </c>
      <c r="AI830" s="1" t="str">
        <f>IF(AND(Programme_Grunddaten!$A835="Geprüft",Programme_Grunddaten!AQ835&lt;&gt;""),IF(Programme_Grunddaten!AQ835="Ja",1,0),"")</f>
        <v/>
      </c>
      <c r="AJ830" s="1" t="str">
        <f>IF(AND(Programme_Grunddaten!$A835="Geprüft",Programme_Grunddaten!AR835&lt;&gt;""),IF(Programme_Grunddaten!AR835="Ja",1,0),"")</f>
        <v/>
      </c>
      <c r="AK830" s="1" t="str">
        <f>IF(AND(Programme_Grunddaten!$A835="Geprüft",Programme_Grunddaten!AS835&lt;&gt;""),IF(Programme_Grunddaten!AS835="Ja",1,0),"")</f>
        <v/>
      </c>
      <c r="AL830" s="1" t="str">
        <f>IF(AND(Programme_Grunddaten!$A835="Geprüft",Programme_Grunddaten!AT835&lt;&gt;""),IF(Programme_Grunddaten!AT835="Ja",1,0),"")</f>
        <v/>
      </c>
      <c r="AM830" s="1" t="str">
        <f>IF(AND(Programme_Grunddaten!$A835="Geprüft",Programme_Grunddaten!AU835&lt;&gt;""),IF(Programme_Grunddaten!AU835="Ja",1,0),"")</f>
        <v/>
      </c>
      <c r="AN830" s="1" t="str">
        <f>IF(AND(Programme_Grunddaten!$A835="Geprüft",Programme_Grunddaten!AV835&lt;&gt;""),IF(Programme_Grunddaten!AV835="Ja",1,0),"")</f>
        <v/>
      </c>
    </row>
    <row r="831" spans="1:40" x14ac:dyDescent="0.3">
      <c r="A831" s="1" t="str">
        <f>IF(AND(Programme_Grunddaten!A836="Geprüft",Programme_Grunddaten!B836&lt;&gt;""),Programme_Grunddaten!B836,"")</f>
        <v/>
      </c>
      <c r="B831" s="1" t="str">
        <f>IF(AND(Programme_Grunddaten!$A836="Geprüft",Programme_Grunddaten!I836&lt;&gt;""),IF(Programme_Grunddaten!I836="Ja",1,0),"")</f>
        <v/>
      </c>
      <c r="C831" s="1" t="str">
        <f>IF(AND(Programme_Grunddaten!$A836="Geprüft",Programme_Grunddaten!J836&lt;&gt;""),IF(Programme_Grunddaten!J836="Ja",1,0),"")</f>
        <v/>
      </c>
      <c r="D831" s="1" t="str">
        <f>IF(AND(Programme_Grunddaten!$A836="Geprüft",Programme_Grunddaten!K836&lt;&gt;""),IF(Programme_Grunddaten!K836="Ja",1,0),"")</f>
        <v/>
      </c>
      <c r="E831" s="1" t="str">
        <f>IF(AND(Programme_Grunddaten!$A836="Geprüft",Programme_Grunddaten!L836&lt;&gt;""),IF(Programme_Grunddaten!L836="Abo / befristete Lizenz",1,0),"")</f>
        <v/>
      </c>
      <c r="F831" s="1" t="str">
        <f>IF(AND(Programme_Grunddaten!$A836="Geprüft",Programme_Grunddaten!M836&lt;&gt;""),IF(Programme_Grunddaten!M836="Ja",1,0),"")</f>
        <v/>
      </c>
      <c r="G831" s="1" t="str">
        <f>IF(AND(Programme_Grunddaten!$A836="Geprüft",Programme_Grunddaten!N836&lt;&gt;""),IF(Programme_Grunddaten!N836="Ja",1,0),"")</f>
        <v/>
      </c>
      <c r="H831" s="1" t="str">
        <f>IF(AND(Programme_Grunddaten!$A836="Geprüft",Programme_Grunddaten!O836&lt;&gt;""),IF(Programme_Grunddaten!O836="Deutschland",0,IF(Programme_Grunddaten!O836="EU",1,2)),"")</f>
        <v/>
      </c>
      <c r="I831" s="1" t="str">
        <f>IF(AND(Programme_Grunddaten!$A836="Geprüft",Programme_Grunddaten!P836&lt;&gt;""),IF(Programme_Grunddaten!P836="Ja",1,0),"")</f>
        <v/>
      </c>
      <c r="J831" s="1" t="str">
        <f>IF(AND(Programme_Grunddaten!$A836="Geprüft",Programme_Grunddaten!Q836&lt;&gt;""),IF(Programme_Grunddaten!Q836="geschlossenes System",1,0),"")</f>
        <v/>
      </c>
      <c r="K831" s="1" t="str">
        <f>IF(AND(Programme_Grunddaten!$A836="Geprüft",Programme_Grunddaten!R836&lt;&gt;""),IF(Programme_Grunddaten!R836="Ja",1,0),"")</f>
        <v/>
      </c>
      <c r="L831" s="1" t="str">
        <f>IF(AND(Programme_Grunddaten!$A836="Geprüft",Programme_Grunddaten!T836&lt;&gt;""),IF(Programme_Grunddaten!T836="Ja",1,0),"")</f>
        <v/>
      </c>
      <c r="M831" s="1" t="str">
        <f>IF(AND(Programme_Grunddaten!$A836="Geprüft",Programme_Grunddaten!U836&lt;&gt;""),IF(Programme_Grunddaten!U836="Ja",1,0),"")</f>
        <v/>
      </c>
      <c r="N831" s="1" t="str">
        <f>IF(AND(Programme_Grunddaten!$A836="Geprüft",Programme_Grunddaten!V836&lt;&gt;""),IF(Programme_Grunddaten!V836="Ja",1,0),"")</f>
        <v/>
      </c>
      <c r="O831" s="1" t="str">
        <f>IF(AND(Programme_Grunddaten!$A836="Geprüft",Programme_Grunddaten!W836&lt;&gt;""),IF(Programme_Grunddaten!W836="Ja",1,0),"")</f>
        <v/>
      </c>
      <c r="P831" s="1" t="str">
        <f>IF(AND(Programme_Grunddaten!$A836="Geprüft",Programme_Grunddaten!X836&lt;&gt;""),IF(Programme_Grunddaten!X836="Ja",1,0),"")</f>
        <v/>
      </c>
      <c r="Q831" s="1" t="str">
        <f>IF(AND(Programme_Grunddaten!$A836="Geprüft",Programme_Grunddaten!Y836&lt;&gt;""),IF(Programme_Grunddaten!Y836="Ja",1,0),"")</f>
        <v/>
      </c>
      <c r="R831" s="1" t="str">
        <f>IF(AND(Programme_Grunddaten!$A836="Geprüft",Programme_Grunddaten!Z836&lt;&gt;""),IF(Programme_Grunddaten!Z836="Ja",1,0),"")</f>
        <v/>
      </c>
      <c r="S831" s="1" t="str">
        <f>IF(AND(Programme_Grunddaten!$A836="Geprüft",Programme_Grunddaten!AA836&lt;&gt;""),IF(Programme_Grunddaten!AA836="monolithisch",1,0),"")</f>
        <v/>
      </c>
      <c r="T831" s="1" t="str">
        <f>IF(AND(Programme_Grunddaten!$A836="Geprüft",Programme_Grunddaten!AB836&lt;&gt;""),IF(Programme_Grunddaten!AB836="Ja",1,0),"")</f>
        <v/>
      </c>
      <c r="U831" s="1" t="str">
        <f>IF(AND(Programme_Grunddaten!$A836="Geprüft",Programme_Grunddaten!AC836&lt;&gt;""),IF(Programme_Grunddaten!AC836="Ja",1,0),"")</f>
        <v/>
      </c>
      <c r="V831" s="1" t="str">
        <f>IF(AND(Programme_Grunddaten!$A836="Geprüft",Programme_Grunddaten!AD836&lt;&gt;""),IF(Programme_Grunddaten!AD836="Ja",1,0),"")</f>
        <v/>
      </c>
      <c r="W831" s="1" t="str">
        <f>IF(AND(Programme_Grunddaten!$A836="Geprüft",Programme_Grunddaten!AE836&lt;&gt;""),IF(Programme_Grunddaten!AE836="Ja",1,0),"")</f>
        <v/>
      </c>
      <c r="X831" s="1" t="str">
        <f>IF(AND(Programme_Grunddaten!$A836="Geprüft",Programme_Grunddaten!AF836&lt;&gt;""),IF(Programme_Grunddaten!AF836="Ja",1,0),"")</f>
        <v/>
      </c>
      <c r="Y831" s="1" t="str">
        <f>IF(AND(Programme_Grunddaten!$A836="Geprüft",Programme_Grunddaten!AG836&lt;&gt;""),IF(Programme_Grunddaten!AG836="Ja",1,0),"")</f>
        <v/>
      </c>
      <c r="Z831" s="1" t="str">
        <f>IF(AND(Programme_Grunddaten!$A836="Geprüft",Programme_Grunddaten!AH836&lt;&gt;""),IF(Programme_Grunddaten!AH836="Ja",1,0),"")</f>
        <v/>
      </c>
      <c r="AA831" s="1" t="str">
        <f>IF(AND(Programme_Grunddaten!$A836="Geprüft",Programme_Grunddaten!AI836&lt;&gt;""),IF(Programme_Grunddaten!AI836="Ja",1,0),"")</f>
        <v/>
      </c>
      <c r="AB831" s="1" t="str">
        <f>IF(AND(Programme_Grunddaten!$A836="Geprüft",Programme_Grunddaten!AJ836&lt;&gt;""),IF(Programme_Grunddaten!AJ836="individuell programmierbar",1,0),"")</f>
        <v/>
      </c>
      <c r="AC831" s="1" t="str">
        <f>IF(AND(Programme_Grunddaten!$A836="Geprüft",Programme_Grunddaten!AK836&lt;&gt;""),IF(Programme_Grunddaten!AK836="Deutsch",0,IF(Programme_Grunddaten!AK836="Deutsch und Englisch",1,2)),"")</f>
        <v/>
      </c>
      <c r="AD831" s="1" t="str">
        <f>IF(AND(Programme_Grunddaten!$A836="Geprüft",Programme_Grunddaten!AL836&lt;&gt;""),IF(Programme_Grunddaten!AL836="Ja",1,0),"")</f>
        <v/>
      </c>
      <c r="AE831" s="1" t="str">
        <f>IF(AND(Programme_Grunddaten!$A836="Geprüft",Programme_Grunddaten!AM836&lt;&gt;""),IF(Programme_Grunddaten!AM836="Ja",1,0),"")</f>
        <v/>
      </c>
      <c r="AF831" s="1" t="str">
        <f>IF(AND(Programme_Grunddaten!$A836="Geprüft",Programme_Grunddaten!AN836&lt;&gt;""),IF(Programme_Grunddaten!AN836="Ja",1,0),"")</f>
        <v/>
      </c>
      <c r="AG831" s="1" t="str">
        <f>IF(AND(Programme_Grunddaten!$A836="Geprüft",Programme_Grunddaten!AO836&lt;&gt;""),IF(Programme_Grunddaten!AO836="Ja",1,0),"")</f>
        <v/>
      </c>
      <c r="AH831" s="1" t="str">
        <f>IF(AND(Programme_Grunddaten!$A836="Geprüft",Programme_Grunddaten!AP836&lt;&gt;""),IF(Programme_Grunddaten!AP836="Ja",1,0),"")</f>
        <v/>
      </c>
      <c r="AI831" s="1" t="str">
        <f>IF(AND(Programme_Grunddaten!$A836="Geprüft",Programme_Grunddaten!AQ836&lt;&gt;""),IF(Programme_Grunddaten!AQ836="Ja",1,0),"")</f>
        <v/>
      </c>
      <c r="AJ831" s="1" t="str">
        <f>IF(AND(Programme_Grunddaten!$A836="Geprüft",Programme_Grunddaten!AR836&lt;&gt;""),IF(Programme_Grunddaten!AR836="Ja",1,0),"")</f>
        <v/>
      </c>
      <c r="AK831" s="1" t="str">
        <f>IF(AND(Programme_Grunddaten!$A836="Geprüft",Programme_Grunddaten!AS836&lt;&gt;""),IF(Programme_Grunddaten!AS836="Ja",1,0),"")</f>
        <v/>
      </c>
      <c r="AL831" s="1" t="str">
        <f>IF(AND(Programme_Grunddaten!$A836="Geprüft",Programme_Grunddaten!AT836&lt;&gt;""),IF(Programme_Grunddaten!AT836="Ja",1,0),"")</f>
        <v/>
      </c>
      <c r="AM831" s="1" t="str">
        <f>IF(AND(Programme_Grunddaten!$A836="Geprüft",Programme_Grunddaten!AU836&lt;&gt;""),IF(Programme_Grunddaten!AU836="Ja",1,0),"")</f>
        <v/>
      </c>
      <c r="AN831" s="1" t="str">
        <f>IF(AND(Programme_Grunddaten!$A836="Geprüft",Programme_Grunddaten!AV836&lt;&gt;""),IF(Programme_Grunddaten!AV836="Ja",1,0),"")</f>
        <v/>
      </c>
    </row>
    <row r="832" spans="1:40" x14ac:dyDescent="0.3">
      <c r="A832" s="1" t="str">
        <f>IF(AND(Programme_Grunddaten!A837="Geprüft",Programme_Grunddaten!B837&lt;&gt;""),Programme_Grunddaten!B837,"")</f>
        <v/>
      </c>
      <c r="B832" s="1" t="str">
        <f>IF(AND(Programme_Grunddaten!$A837="Geprüft",Programme_Grunddaten!I837&lt;&gt;""),IF(Programme_Grunddaten!I837="Ja",1,0),"")</f>
        <v/>
      </c>
      <c r="C832" s="1" t="str">
        <f>IF(AND(Programme_Grunddaten!$A837="Geprüft",Programme_Grunddaten!J837&lt;&gt;""),IF(Programme_Grunddaten!J837="Ja",1,0),"")</f>
        <v/>
      </c>
      <c r="D832" s="1" t="str">
        <f>IF(AND(Programme_Grunddaten!$A837="Geprüft",Programme_Grunddaten!K837&lt;&gt;""),IF(Programme_Grunddaten!K837="Ja",1,0),"")</f>
        <v/>
      </c>
      <c r="E832" s="1" t="str">
        <f>IF(AND(Programme_Grunddaten!$A837="Geprüft",Programme_Grunddaten!L837&lt;&gt;""),IF(Programme_Grunddaten!L837="Abo / befristete Lizenz",1,0),"")</f>
        <v/>
      </c>
      <c r="F832" s="1" t="str">
        <f>IF(AND(Programme_Grunddaten!$A837="Geprüft",Programme_Grunddaten!M837&lt;&gt;""),IF(Programme_Grunddaten!M837="Ja",1,0),"")</f>
        <v/>
      </c>
      <c r="G832" s="1" t="str">
        <f>IF(AND(Programme_Grunddaten!$A837="Geprüft",Programme_Grunddaten!N837&lt;&gt;""),IF(Programme_Grunddaten!N837="Ja",1,0),"")</f>
        <v/>
      </c>
      <c r="H832" s="1" t="str">
        <f>IF(AND(Programme_Grunddaten!$A837="Geprüft",Programme_Grunddaten!O837&lt;&gt;""),IF(Programme_Grunddaten!O837="Deutschland",0,IF(Programme_Grunddaten!O837="EU",1,2)),"")</f>
        <v/>
      </c>
      <c r="I832" s="1" t="str">
        <f>IF(AND(Programme_Grunddaten!$A837="Geprüft",Programme_Grunddaten!P837&lt;&gt;""),IF(Programme_Grunddaten!P837="Ja",1,0),"")</f>
        <v/>
      </c>
      <c r="J832" s="1" t="str">
        <f>IF(AND(Programme_Grunddaten!$A837="Geprüft",Programme_Grunddaten!Q837&lt;&gt;""),IF(Programme_Grunddaten!Q837="geschlossenes System",1,0),"")</f>
        <v/>
      </c>
      <c r="K832" s="1" t="str">
        <f>IF(AND(Programme_Grunddaten!$A837="Geprüft",Programme_Grunddaten!R837&lt;&gt;""),IF(Programme_Grunddaten!R837="Ja",1,0),"")</f>
        <v/>
      </c>
      <c r="L832" s="1" t="str">
        <f>IF(AND(Programme_Grunddaten!$A837="Geprüft",Programme_Grunddaten!T837&lt;&gt;""),IF(Programme_Grunddaten!T837="Ja",1,0),"")</f>
        <v/>
      </c>
      <c r="M832" s="1" t="str">
        <f>IF(AND(Programme_Grunddaten!$A837="Geprüft",Programme_Grunddaten!U837&lt;&gt;""),IF(Programme_Grunddaten!U837="Ja",1,0),"")</f>
        <v/>
      </c>
      <c r="N832" s="1" t="str">
        <f>IF(AND(Programme_Grunddaten!$A837="Geprüft",Programme_Grunddaten!V837&lt;&gt;""),IF(Programme_Grunddaten!V837="Ja",1,0),"")</f>
        <v/>
      </c>
      <c r="O832" s="1" t="str">
        <f>IF(AND(Programme_Grunddaten!$A837="Geprüft",Programme_Grunddaten!W837&lt;&gt;""),IF(Programme_Grunddaten!W837="Ja",1,0),"")</f>
        <v/>
      </c>
      <c r="P832" s="1" t="str">
        <f>IF(AND(Programme_Grunddaten!$A837="Geprüft",Programme_Grunddaten!X837&lt;&gt;""),IF(Programme_Grunddaten!X837="Ja",1,0),"")</f>
        <v/>
      </c>
      <c r="Q832" s="1" t="str">
        <f>IF(AND(Programme_Grunddaten!$A837="Geprüft",Programme_Grunddaten!Y837&lt;&gt;""),IF(Programme_Grunddaten!Y837="Ja",1,0),"")</f>
        <v/>
      </c>
      <c r="R832" s="1" t="str">
        <f>IF(AND(Programme_Grunddaten!$A837="Geprüft",Programme_Grunddaten!Z837&lt;&gt;""),IF(Programme_Grunddaten!Z837="Ja",1,0),"")</f>
        <v/>
      </c>
      <c r="S832" s="1" t="str">
        <f>IF(AND(Programme_Grunddaten!$A837="Geprüft",Programme_Grunddaten!AA837&lt;&gt;""),IF(Programme_Grunddaten!AA837="monolithisch",1,0),"")</f>
        <v/>
      </c>
      <c r="T832" s="1" t="str">
        <f>IF(AND(Programme_Grunddaten!$A837="Geprüft",Programme_Grunddaten!AB837&lt;&gt;""),IF(Programme_Grunddaten!AB837="Ja",1,0),"")</f>
        <v/>
      </c>
      <c r="U832" s="1" t="str">
        <f>IF(AND(Programme_Grunddaten!$A837="Geprüft",Programme_Grunddaten!AC837&lt;&gt;""),IF(Programme_Grunddaten!AC837="Ja",1,0),"")</f>
        <v/>
      </c>
      <c r="V832" s="1" t="str">
        <f>IF(AND(Programme_Grunddaten!$A837="Geprüft",Programme_Grunddaten!AD837&lt;&gt;""),IF(Programme_Grunddaten!AD837="Ja",1,0),"")</f>
        <v/>
      </c>
      <c r="W832" s="1" t="str">
        <f>IF(AND(Programme_Grunddaten!$A837="Geprüft",Programme_Grunddaten!AE837&lt;&gt;""),IF(Programme_Grunddaten!AE837="Ja",1,0),"")</f>
        <v/>
      </c>
      <c r="X832" s="1" t="str">
        <f>IF(AND(Programme_Grunddaten!$A837="Geprüft",Programme_Grunddaten!AF837&lt;&gt;""),IF(Programme_Grunddaten!AF837="Ja",1,0),"")</f>
        <v/>
      </c>
      <c r="Y832" s="1" t="str">
        <f>IF(AND(Programme_Grunddaten!$A837="Geprüft",Programme_Grunddaten!AG837&lt;&gt;""),IF(Programme_Grunddaten!AG837="Ja",1,0),"")</f>
        <v/>
      </c>
      <c r="Z832" s="1" t="str">
        <f>IF(AND(Programme_Grunddaten!$A837="Geprüft",Programme_Grunddaten!AH837&lt;&gt;""),IF(Programme_Grunddaten!AH837="Ja",1,0),"")</f>
        <v/>
      </c>
      <c r="AA832" s="1" t="str">
        <f>IF(AND(Programme_Grunddaten!$A837="Geprüft",Programme_Grunddaten!AI837&lt;&gt;""),IF(Programme_Grunddaten!AI837="Ja",1,0),"")</f>
        <v/>
      </c>
      <c r="AB832" s="1" t="str">
        <f>IF(AND(Programme_Grunddaten!$A837="Geprüft",Programme_Grunddaten!AJ837&lt;&gt;""),IF(Programme_Grunddaten!AJ837="individuell programmierbar",1,0),"")</f>
        <v/>
      </c>
      <c r="AC832" s="1" t="str">
        <f>IF(AND(Programme_Grunddaten!$A837="Geprüft",Programme_Grunddaten!AK837&lt;&gt;""),IF(Programme_Grunddaten!AK837="Deutsch",0,IF(Programme_Grunddaten!AK837="Deutsch und Englisch",1,2)),"")</f>
        <v/>
      </c>
      <c r="AD832" s="1" t="str">
        <f>IF(AND(Programme_Grunddaten!$A837="Geprüft",Programme_Grunddaten!AL837&lt;&gt;""),IF(Programme_Grunddaten!AL837="Ja",1,0),"")</f>
        <v/>
      </c>
      <c r="AE832" s="1" t="str">
        <f>IF(AND(Programme_Grunddaten!$A837="Geprüft",Programme_Grunddaten!AM837&lt;&gt;""),IF(Programme_Grunddaten!AM837="Ja",1,0),"")</f>
        <v/>
      </c>
      <c r="AF832" s="1" t="str">
        <f>IF(AND(Programme_Grunddaten!$A837="Geprüft",Programme_Grunddaten!AN837&lt;&gt;""),IF(Programme_Grunddaten!AN837="Ja",1,0),"")</f>
        <v/>
      </c>
      <c r="AG832" s="1" t="str">
        <f>IF(AND(Programme_Grunddaten!$A837="Geprüft",Programme_Grunddaten!AO837&lt;&gt;""),IF(Programme_Grunddaten!AO837="Ja",1,0),"")</f>
        <v/>
      </c>
      <c r="AH832" s="1" t="str">
        <f>IF(AND(Programme_Grunddaten!$A837="Geprüft",Programme_Grunddaten!AP837&lt;&gt;""),IF(Programme_Grunddaten!AP837="Ja",1,0),"")</f>
        <v/>
      </c>
      <c r="AI832" s="1" t="str">
        <f>IF(AND(Programme_Grunddaten!$A837="Geprüft",Programme_Grunddaten!AQ837&lt;&gt;""),IF(Programme_Grunddaten!AQ837="Ja",1,0),"")</f>
        <v/>
      </c>
      <c r="AJ832" s="1" t="str">
        <f>IF(AND(Programme_Grunddaten!$A837="Geprüft",Programme_Grunddaten!AR837&lt;&gt;""),IF(Programme_Grunddaten!AR837="Ja",1,0),"")</f>
        <v/>
      </c>
      <c r="AK832" s="1" t="str">
        <f>IF(AND(Programme_Grunddaten!$A837="Geprüft",Programme_Grunddaten!AS837&lt;&gt;""),IF(Programme_Grunddaten!AS837="Ja",1,0),"")</f>
        <v/>
      </c>
      <c r="AL832" s="1" t="str">
        <f>IF(AND(Programme_Grunddaten!$A837="Geprüft",Programme_Grunddaten!AT837&lt;&gt;""),IF(Programme_Grunddaten!AT837="Ja",1,0),"")</f>
        <v/>
      </c>
      <c r="AM832" s="1" t="str">
        <f>IF(AND(Programme_Grunddaten!$A837="Geprüft",Programme_Grunddaten!AU837&lt;&gt;""),IF(Programme_Grunddaten!AU837="Ja",1,0),"")</f>
        <v/>
      </c>
      <c r="AN832" s="1" t="str">
        <f>IF(AND(Programme_Grunddaten!$A837="Geprüft",Programme_Grunddaten!AV837&lt;&gt;""),IF(Programme_Grunddaten!AV837="Ja",1,0),"")</f>
        <v/>
      </c>
    </row>
    <row r="833" spans="1:40" x14ac:dyDescent="0.3">
      <c r="A833" s="1" t="str">
        <f>IF(AND(Programme_Grunddaten!A838="Geprüft",Programme_Grunddaten!B838&lt;&gt;""),Programme_Grunddaten!B838,"")</f>
        <v/>
      </c>
      <c r="B833" s="1" t="str">
        <f>IF(AND(Programme_Grunddaten!$A838="Geprüft",Programme_Grunddaten!I838&lt;&gt;""),IF(Programme_Grunddaten!I838="Ja",1,0),"")</f>
        <v/>
      </c>
      <c r="C833" s="1" t="str">
        <f>IF(AND(Programme_Grunddaten!$A838="Geprüft",Programme_Grunddaten!J838&lt;&gt;""),IF(Programme_Grunddaten!J838="Ja",1,0),"")</f>
        <v/>
      </c>
      <c r="D833" s="1" t="str">
        <f>IF(AND(Programme_Grunddaten!$A838="Geprüft",Programme_Grunddaten!K838&lt;&gt;""),IF(Programme_Grunddaten!K838="Ja",1,0),"")</f>
        <v/>
      </c>
      <c r="E833" s="1" t="str">
        <f>IF(AND(Programme_Grunddaten!$A838="Geprüft",Programme_Grunddaten!L838&lt;&gt;""),IF(Programme_Grunddaten!L838="Abo / befristete Lizenz",1,0),"")</f>
        <v/>
      </c>
      <c r="F833" s="1" t="str">
        <f>IF(AND(Programme_Grunddaten!$A838="Geprüft",Programme_Grunddaten!M838&lt;&gt;""),IF(Programme_Grunddaten!M838="Ja",1,0),"")</f>
        <v/>
      </c>
      <c r="G833" s="1" t="str">
        <f>IF(AND(Programme_Grunddaten!$A838="Geprüft",Programme_Grunddaten!N838&lt;&gt;""),IF(Programme_Grunddaten!N838="Ja",1,0),"")</f>
        <v/>
      </c>
      <c r="H833" s="1" t="str">
        <f>IF(AND(Programme_Grunddaten!$A838="Geprüft",Programme_Grunddaten!O838&lt;&gt;""),IF(Programme_Grunddaten!O838="Deutschland",0,IF(Programme_Grunddaten!O838="EU",1,2)),"")</f>
        <v/>
      </c>
      <c r="I833" s="1" t="str">
        <f>IF(AND(Programme_Grunddaten!$A838="Geprüft",Programme_Grunddaten!P838&lt;&gt;""),IF(Programme_Grunddaten!P838="Ja",1,0),"")</f>
        <v/>
      </c>
      <c r="J833" s="1" t="str">
        <f>IF(AND(Programme_Grunddaten!$A838="Geprüft",Programme_Grunddaten!Q838&lt;&gt;""),IF(Programme_Grunddaten!Q838="geschlossenes System",1,0),"")</f>
        <v/>
      </c>
      <c r="K833" s="1" t="str">
        <f>IF(AND(Programme_Grunddaten!$A838="Geprüft",Programme_Grunddaten!R838&lt;&gt;""),IF(Programme_Grunddaten!R838="Ja",1,0),"")</f>
        <v/>
      </c>
      <c r="L833" s="1" t="str">
        <f>IF(AND(Programme_Grunddaten!$A838="Geprüft",Programme_Grunddaten!T838&lt;&gt;""),IF(Programme_Grunddaten!T838="Ja",1,0),"")</f>
        <v/>
      </c>
      <c r="M833" s="1" t="str">
        <f>IF(AND(Programme_Grunddaten!$A838="Geprüft",Programme_Grunddaten!U838&lt;&gt;""),IF(Programme_Grunddaten!U838="Ja",1,0),"")</f>
        <v/>
      </c>
      <c r="N833" s="1" t="str">
        <f>IF(AND(Programme_Grunddaten!$A838="Geprüft",Programme_Grunddaten!V838&lt;&gt;""),IF(Programme_Grunddaten!V838="Ja",1,0),"")</f>
        <v/>
      </c>
      <c r="O833" s="1" t="str">
        <f>IF(AND(Programme_Grunddaten!$A838="Geprüft",Programme_Grunddaten!W838&lt;&gt;""),IF(Programme_Grunddaten!W838="Ja",1,0),"")</f>
        <v/>
      </c>
      <c r="P833" s="1" t="str">
        <f>IF(AND(Programme_Grunddaten!$A838="Geprüft",Programme_Grunddaten!X838&lt;&gt;""),IF(Programme_Grunddaten!X838="Ja",1,0),"")</f>
        <v/>
      </c>
      <c r="Q833" s="1" t="str">
        <f>IF(AND(Programme_Grunddaten!$A838="Geprüft",Programme_Grunddaten!Y838&lt;&gt;""),IF(Programme_Grunddaten!Y838="Ja",1,0),"")</f>
        <v/>
      </c>
      <c r="R833" s="1" t="str">
        <f>IF(AND(Programme_Grunddaten!$A838="Geprüft",Programme_Grunddaten!Z838&lt;&gt;""),IF(Programme_Grunddaten!Z838="Ja",1,0),"")</f>
        <v/>
      </c>
      <c r="S833" s="1" t="str">
        <f>IF(AND(Programme_Grunddaten!$A838="Geprüft",Programme_Grunddaten!AA838&lt;&gt;""),IF(Programme_Grunddaten!AA838="monolithisch",1,0),"")</f>
        <v/>
      </c>
      <c r="T833" s="1" t="str">
        <f>IF(AND(Programme_Grunddaten!$A838="Geprüft",Programme_Grunddaten!AB838&lt;&gt;""),IF(Programme_Grunddaten!AB838="Ja",1,0),"")</f>
        <v/>
      </c>
      <c r="U833" s="1" t="str">
        <f>IF(AND(Programme_Grunddaten!$A838="Geprüft",Programme_Grunddaten!AC838&lt;&gt;""),IF(Programme_Grunddaten!AC838="Ja",1,0),"")</f>
        <v/>
      </c>
      <c r="V833" s="1" t="str">
        <f>IF(AND(Programme_Grunddaten!$A838="Geprüft",Programme_Grunddaten!AD838&lt;&gt;""),IF(Programme_Grunddaten!AD838="Ja",1,0),"")</f>
        <v/>
      </c>
      <c r="W833" s="1" t="str">
        <f>IF(AND(Programme_Grunddaten!$A838="Geprüft",Programme_Grunddaten!AE838&lt;&gt;""),IF(Programme_Grunddaten!AE838="Ja",1,0),"")</f>
        <v/>
      </c>
      <c r="X833" s="1" t="str">
        <f>IF(AND(Programme_Grunddaten!$A838="Geprüft",Programme_Grunddaten!AF838&lt;&gt;""),IF(Programme_Grunddaten!AF838="Ja",1,0),"")</f>
        <v/>
      </c>
      <c r="Y833" s="1" t="str">
        <f>IF(AND(Programme_Grunddaten!$A838="Geprüft",Programme_Grunddaten!AG838&lt;&gt;""),IF(Programme_Grunddaten!AG838="Ja",1,0),"")</f>
        <v/>
      </c>
      <c r="Z833" s="1" t="str">
        <f>IF(AND(Programme_Grunddaten!$A838="Geprüft",Programme_Grunddaten!AH838&lt;&gt;""),IF(Programme_Grunddaten!AH838="Ja",1,0),"")</f>
        <v/>
      </c>
      <c r="AA833" s="1" t="str">
        <f>IF(AND(Programme_Grunddaten!$A838="Geprüft",Programme_Grunddaten!AI838&lt;&gt;""),IF(Programme_Grunddaten!AI838="Ja",1,0),"")</f>
        <v/>
      </c>
      <c r="AB833" s="1" t="str">
        <f>IF(AND(Programme_Grunddaten!$A838="Geprüft",Programme_Grunddaten!AJ838&lt;&gt;""),IF(Programme_Grunddaten!AJ838="individuell programmierbar",1,0),"")</f>
        <v/>
      </c>
      <c r="AC833" s="1" t="str">
        <f>IF(AND(Programme_Grunddaten!$A838="Geprüft",Programme_Grunddaten!AK838&lt;&gt;""),IF(Programme_Grunddaten!AK838="Deutsch",0,IF(Programme_Grunddaten!AK838="Deutsch und Englisch",1,2)),"")</f>
        <v/>
      </c>
      <c r="AD833" s="1" t="str">
        <f>IF(AND(Programme_Grunddaten!$A838="Geprüft",Programme_Grunddaten!AL838&lt;&gt;""),IF(Programme_Grunddaten!AL838="Ja",1,0),"")</f>
        <v/>
      </c>
      <c r="AE833" s="1" t="str">
        <f>IF(AND(Programme_Grunddaten!$A838="Geprüft",Programme_Grunddaten!AM838&lt;&gt;""),IF(Programme_Grunddaten!AM838="Ja",1,0),"")</f>
        <v/>
      </c>
      <c r="AF833" s="1" t="str">
        <f>IF(AND(Programme_Grunddaten!$A838="Geprüft",Programme_Grunddaten!AN838&lt;&gt;""),IF(Programme_Grunddaten!AN838="Ja",1,0),"")</f>
        <v/>
      </c>
      <c r="AG833" s="1" t="str">
        <f>IF(AND(Programme_Grunddaten!$A838="Geprüft",Programme_Grunddaten!AO838&lt;&gt;""),IF(Programme_Grunddaten!AO838="Ja",1,0),"")</f>
        <v/>
      </c>
      <c r="AH833" s="1" t="str">
        <f>IF(AND(Programme_Grunddaten!$A838="Geprüft",Programme_Grunddaten!AP838&lt;&gt;""),IF(Programme_Grunddaten!AP838="Ja",1,0),"")</f>
        <v/>
      </c>
      <c r="AI833" s="1" t="str">
        <f>IF(AND(Programme_Grunddaten!$A838="Geprüft",Programme_Grunddaten!AQ838&lt;&gt;""),IF(Programme_Grunddaten!AQ838="Ja",1,0),"")</f>
        <v/>
      </c>
      <c r="AJ833" s="1" t="str">
        <f>IF(AND(Programme_Grunddaten!$A838="Geprüft",Programme_Grunddaten!AR838&lt;&gt;""),IF(Programme_Grunddaten!AR838="Ja",1,0),"")</f>
        <v/>
      </c>
      <c r="AK833" s="1" t="str">
        <f>IF(AND(Programme_Grunddaten!$A838="Geprüft",Programme_Grunddaten!AS838&lt;&gt;""),IF(Programme_Grunddaten!AS838="Ja",1,0),"")</f>
        <v/>
      </c>
      <c r="AL833" s="1" t="str">
        <f>IF(AND(Programme_Grunddaten!$A838="Geprüft",Programme_Grunddaten!AT838&lt;&gt;""),IF(Programme_Grunddaten!AT838="Ja",1,0),"")</f>
        <v/>
      </c>
      <c r="AM833" s="1" t="str">
        <f>IF(AND(Programme_Grunddaten!$A838="Geprüft",Programme_Grunddaten!AU838&lt;&gt;""),IF(Programme_Grunddaten!AU838="Ja",1,0),"")</f>
        <v/>
      </c>
      <c r="AN833" s="1" t="str">
        <f>IF(AND(Programme_Grunddaten!$A838="Geprüft",Programme_Grunddaten!AV838&lt;&gt;""),IF(Programme_Grunddaten!AV838="Ja",1,0),"")</f>
        <v/>
      </c>
    </row>
    <row r="834" spans="1:40" x14ac:dyDescent="0.3">
      <c r="A834" s="1" t="str">
        <f>IF(AND(Programme_Grunddaten!A839="Geprüft",Programme_Grunddaten!B839&lt;&gt;""),Programme_Grunddaten!B839,"")</f>
        <v/>
      </c>
      <c r="B834" s="1" t="str">
        <f>IF(AND(Programme_Grunddaten!$A839="Geprüft",Programme_Grunddaten!I839&lt;&gt;""),IF(Programme_Grunddaten!I839="Ja",1,0),"")</f>
        <v/>
      </c>
      <c r="C834" s="1" t="str">
        <f>IF(AND(Programme_Grunddaten!$A839="Geprüft",Programme_Grunddaten!J839&lt;&gt;""),IF(Programme_Grunddaten!J839="Ja",1,0),"")</f>
        <v/>
      </c>
      <c r="D834" s="1" t="str">
        <f>IF(AND(Programme_Grunddaten!$A839="Geprüft",Programme_Grunddaten!K839&lt;&gt;""),IF(Programme_Grunddaten!K839="Ja",1,0),"")</f>
        <v/>
      </c>
      <c r="E834" s="1" t="str">
        <f>IF(AND(Programme_Grunddaten!$A839="Geprüft",Programme_Grunddaten!L839&lt;&gt;""),IF(Programme_Grunddaten!L839="Abo / befristete Lizenz",1,0),"")</f>
        <v/>
      </c>
      <c r="F834" s="1" t="str">
        <f>IF(AND(Programme_Grunddaten!$A839="Geprüft",Programme_Grunddaten!M839&lt;&gt;""),IF(Programme_Grunddaten!M839="Ja",1,0),"")</f>
        <v/>
      </c>
      <c r="G834" s="1" t="str">
        <f>IF(AND(Programme_Grunddaten!$A839="Geprüft",Programme_Grunddaten!N839&lt;&gt;""),IF(Programme_Grunddaten!N839="Ja",1,0),"")</f>
        <v/>
      </c>
      <c r="H834" s="1" t="str">
        <f>IF(AND(Programme_Grunddaten!$A839="Geprüft",Programme_Grunddaten!O839&lt;&gt;""),IF(Programme_Grunddaten!O839="Deutschland",0,IF(Programme_Grunddaten!O839="EU",1,2)),"")</f>
        <v/>
      </c>
      <c r="I834" s="1" t="str">
        <f>IF(AND(Programme_Grunddaten!$A839="Geprüft",Programme_Grunddaten!P839&lt;&gt;""),IF(Programme_Grunddaten!P839="Ja",1,0),"")</f>
        <v/>
      </c>
      <c r="J834" s="1" t="str">
        <f>IF(AND(Programme_Grunddaten!$A839="Geprüft",Programme_Grunddaten!Q839&lt;&gt;""),IF(Programme_Grunddaten!Q839="geschlossenes System",1,0),"")</f>
        <v/>
      </c>
      <c r="K834" s="1" t="str">
        <f>IF(AND(Programme_Grunddaten!$A839="Geprüft",Programme_Grunddaten!R839&lt;&gt;""),IF(Programme_Grunddaten!R839="Ja",1,0),"")</f>
        <v/>
      </c>
      <c r="L834" s="1" t="str">
        <f>IF(AND(Programme_Grunddaten!$A839="Geprüft",Programme_Grunddaten!T839&lt;&gt;""),IF(Programme_Grunddaten!T839="Ja",1,0),"")</f>
        <v/>
      </c>
      <c r="M834" s="1" t="str">
        <f>IF(AND(Programme_Grunddaten!$A839="Geprüft",Programme_Grunddaten!U839&lt;&gt;""),IF(Programme_Grunddaten!U839="Ja",1,0),"")</f>
        <v/>
      </c>
      <c r="N834" s="1" t="str">
        <f>IF(AND(Programme_Grunddaten!$A839="Geprüft",Programme_Grunddaten!V839&lt;&gt;""),IF(Programme_Grunddaten!V839="Ja",1,0),"")</f>
        <v/>
      </c>
      <c r="O834" s="1" t="str">
        <f>IF(AND(Programme_Grunddaten!$A839="Geprüft",Programme_Grunddaten!W839&lt;&gt;""),IF(Programme_Grunddaten!W839="Ja",1,0),"")</f>
        <v/>
      </c>
      <c r="P834" s="1" t="str">
        <f>IF(AND(Programme_Grunddaten!$A839="Geprüft",Programme_Grunddaten!X839&lt;&gt;""),IF(Programme_Grunddaten!X839="Ja",1,0),"")</f>
        <v/>
      </c>
      <c r="Q834" s="1" t="str">
        <f>IF(AND(Programme_Grunddaten!$A839="Geprüft",Programme_Grunddaten!Y839&lt;&gt;""),IF(Programme_Grunddaten!Y839="Ja",1,0),"")</f>
        <v/>
      </c>
      <c r="R834" s="1" t="str">
        <f>IF(AND(Programme_Grunddaten!$A839="Geprüft",Programme_Grunddaten!Z839&lt;&gt;""),IF(Programme_Grunddaten!Z839="Ja",1,0),"")</f>
        <v/>
      </c>
      <c r="S834" s="1" t="str">
        <f>IF(AND(Programme_Grunddaten!$A839="Geprüft",Programme_Grunddaten!AA839&lt;&gt;""),IF(Programme_Grunddaten!AA839="monolithisch",1,0),"")</f>
        <v/>
      </c>
      <c r="T834" s="1" t="str">
        <f>IF(AND(Programme_Grunddaten!$A839="Geprüft",Programme_Grunddaten!AB839&lt;&gt;""),IF(Programme_Grunddaten!AB839="Ja",1,0),"")</f>
        <v/>
      </c>
      <c r="U834" s="1" t="str">
        <f>IF(AND(Programme_Grunddaten!$A839="Geprüft",Programme_Grunddaten!AC839&lt;&gt;""),IF(Programme_Grunddaten!AC839="Ja",1,0),"")</f>
        <v/>
      </c>
      <c r="V834" s="1" t="str">
        <f>IF(AND(Programme_Grunddaten!$A839="Geprüft",Programme_Grunddaten!AD839&lt;&gt;""),IF(Programme_Grunddaten!AD839="Ja",1,0),"")</f>
        <v/>
      </c>
      <c r="W834" s="1" t="str">
        <f>IF(AND(Programme_Grunddaten!$A839="Geprüft",Programme_Grunddaten!AE839&lt;&gt;""),IF(Programme_Grunddaten!AE839="Ja",1,0),"")</f>
        <v/>
      </c>
      <c r="X834" s="1" t="str">
        <f>IF(AND(Programme_Grunddaten!$A839="Geprüft",Programme_Grunddaten!AF839&lt;&gt;""),IF(Programme_Grunddaten!AF839="Ja",1,0),"")</f>
        <v/>
      </c>
      <c r="Y834" s="1" t="str">
        <f>IF(AND(Programme_Grunddaten!$A839="Geprüft",Programme_Grunddaten!AG839&lt;&gt;""),IF(Programme_Grunddaten!AG839="Ja",1,0),"")</f>
        <v/>
      </c>
      <c r="Z834" s="1" t="str">
        <f>IF(AND(Programme_Grunddaten!$A839="Geprüft",Programme_Grunddaten!AH839&lt;&gt;""),IF(Programme_Grunddaten!AH839="Ja",1,0),"")</f>
        <v/>
      </c>
      <c r="AA834" s="1" t="str">
        <f>IF(AND(Programme_Grunddaten!$A839="Geprüft",Programme_Grunddaten!AI839&lt;&gt;""),IF(Programme_Grunddaten!AI839="Ja",1,0),"")</f>
        <v/>
      </c>
      <c r="AB834" s="1" t="str">
        <f>IF(AND(Programme_Grunddaten!$A839="Geprüft",Programme_Grunddaten!AJ839&lt;&gt;""),IF(Programme_Grunddaten!AJ839="individuell programmierbar",1,0),"")</f>
        <v/>
      </c>
      <c r="AC834" s="1" t="str">
        <f>IF(AND(Programme_Grunddaten!$A839="Geprüft",Programme_Grunddaten!AK839&lt;&gt;""),IF(Programme_Grunddaten!AK839="Deutsch",0,IF(Programme_Grunddaten!AK839="Deutsch und Englisch",1,2)),"")</f>
        <v/>
      </c>
      <c r="AD834" s="1" t="str">
        <f>IF(AND(Programme_Grunddaten!$A839="Geprüft",Programme_Grunddaten!AL839&lt;&gt;""),IF(Programme_Grunddaten!AL839="Ja",1,0),"")</f>
        <v/>
      </c>
      <c r="AE834" s="1" t="str">
        <f>IF(AND(Programme_Grunddaten!$A839="Geprüft",Programme_Grunddaten!AM839&lt;&gt;""),IF(Programme_Grunddaten!AM839="Ja",1,0),"")</f>
        <v/>
      </c>
      <c r="AF834" s="1" t="str">
        <f>IF(AND(Programme_Grunddaten!$A839="Geprüft",Programme_Grunddaten!AN839&lt;&gt;""),IF(Programme_Grunddaten!AN839="Ja",1,0),"")</f>
        <v/>
      </c>
      <c r="AG834" s="1" t="str">
        <f>IF(AND(Programme_Grunddaten!$A839="Geprüft",Programme_Grunddaten!AO839&lt;&gt;""),IF(Programme_Grunddaten!AO839="Ja",1,0),"")</f>
        <v/>
      </c>
      <c r="AH834" s="1" t="str">
        <f>IF(AND(Programme_Grunddaten!$A839="Geprüft",Programme_Grunddaten!AP839&lt;&gt;""),IF(Programme_Grunddaten!AP839="Ja",1,0),"")</f>
        <v/>
      </c>
      <c r="AI834" s="1" t="str">
        <f>IF(AND(Programme_Grunddaten!$A839="Geprüft",Programme_Grunddaten!AQ839&lt;&gt;""),IF(Programme_Grunddaten!AQ839="Ja",1,0),"")</f>
        <v/>
      </c>
      <c r="AJ834" s="1" t="str">
        <f>IF(AND(Programme_Grunddaten!$A839="Geprüft",Programme_Grunddaten!AR839&lt;&gt;""),IF(Programme_Grunddaten!AR839="Ja",1,0),"")</f>
        <v/>
      </c>
      <c r="AK834" s="1" t="str">
        <f>IF(AND(Programme_Grunddaten!$A839="Geprüft",Programme_Grunddaten!AS839&lt;&gt;""),IF(Programme_Grunddaten!AS839="Ja",1,0),"")</f>
        <v/>
      </c>
      <c r="AL834" s="1" t="str">
        <f>IF(AND(Programme_Grunddaten!$A839="Geprüft",Programme_Grunddaten!AT839&lt;&gt;""),IF(Programme_Grunddaten!AT839="Ja",1,0),"")</f>
        <v/>
      </c>
      <c r="AM834" s="1" t="str">
        <f>IF(AND(Programme_Grunddaten!$A839="Geprüft",Programme_Grunddaten!AU839&lt;&gt;""),IF(Programme_Grunddaten!AU839="Ja",1,0),"")</f>
        <v/>
      </c>
      <c r="AN834" s="1" t="str">
        <f>IF(AND(Programme_Grunddaten!$A839="Geprüft",Programme_Grunddaten!AV839&lt;&gt;""),IF(Programme_Grunddaten!AV839="Ja",1,0),"")</f>
        <v/>
      </c>
    </row>
    <row r="835" spans="1:40" x14ac:dyDescent="0.3">
      <c r="A835" s="1" t="str">
        <f>IF(AND(Programme_Grunddaten!A840="Geprüft",Programme_Grunddaten!B840&lt;&gt;""),Programme_Grunddaten!B840,"")</f>
        <v/>
      </c>
      <c r="B835" s="1" t="str">
        <f>IF(AND(Programme_Grunddaten!$A840="Geprüft",Programme_Grunddaten!I840&lt;&gt;""),IF(Programme_Grunddaten!I840="Ja",1,0),"")</f>
        <v/>
      </c>
      <c r="C835" s="1" t="str">
        <f>IF(AND(Programme_Grunddaten!$A840="Geprüft",Programme_Grunddaten!J840&lt;&gt;""),IF(Programme_Grunddaten!J840="Ja",1,0),"")</f>
        <v/>
      </c>
      <c r="D835" s="1" t="str">
        <f>IF(AND(Programme_Grunddaten!$A840="Geprüft",Programme_Grunddaten!K840&lt;&gt;""),IF(Programme_Grunddaten!K840="Ja",1,0),"")</f>
        <v/>
      </c>
      <c r="E835" s="1" t="str">
        <f>IF(AND(Programme_Grunddaten!$A840="Geprüft",Programme_Grunddaten!L840&lt;&gt;""),IF(Programme_Grunddaten!L840="Abo / befristete Lizenz",1,0),"")</f>
        <v/>
      </c>
      <c r="F835" s="1" t="str">
        <f>IF(AND(Programme_Grunddaten!$A840="Geprüft",Programme_Grunddaten!M840&lt;&gt;""),IF(Programme_Grunddaten!M840="Ja",1,0),"")</f>
        <v/>
      </c>
      <c r="G835" s="1" t="str">
        <f>IF(AND(Programme_Grunddaten!$A840="Geprüft",Programme_Grunddaten!N840&lt;&gt;""),IF(Programme_Grunddaten!N840="Ja",1,0),"")</f>
        <v/>
      </c>
      <c r="H835" s="1" t="str">
        <f>IF(AND(Programme_Grunddaten!$A840="Geprüft",Programme_Grunddaten!O840&lt;&gt;""),IF(Programme_Grunddaten!O840="Deutschland",0,IF(Programme_Grunddaten!O840="EU",1,2)),"")</f>
        <v/>
      </c>
      <c r="I835" s="1" t="str">
        <f>IF(AND(Programme_Grunddaten!$A840="Geprüft",Programme_Grunddaten!P840&lt;&gt;""),IF(Programme_Grunddaten!P840="Ja",1,0),"")</f>
        <v/>
      </c>
      <c r="J835" s="1" t="str">
        <f>IF(AND(Programme_Grunddaten!$A840="Geprüft",Programme_Grunddaten!Q840&lt;&gt;""),IF(Programme_Grunddaten!Q840="geschlossenes System",1,0),"")</f>
        <v/>
      </c>
      <c r="K835" s="1" t="str">
        <f>IF(AND(Programme_Grunddaten!$A840="Geprüft",Programme_Grunddaten!R840&lt;&gt;""),IF(Programme_Grunddaten!R840="Ja",1,0),"")</f>
        <v/>
      </c>
      <c r="L835" s="1" t="str">
        <f>IF(AND(Programme_Grunddaten!$A840="Geprüft",Programme_Grunddaten!T840&lt;&gt;""),IF(Programme_Grunddaten!T840="Ja",1,0),"")</f>
        <v/>
      </c>
      <c r="M835" s="1" t="str">
        <f>IF(AND(Programme_Grunddaten!$A840="Geprüft",Programme_Grunddaten!U840&lt;&gt;""),IF(Programme_Grunddaten!U840="Ja",1,0),"")</f>
        <v/>
      </c>
      <c r="N835" s="1" t="str">
        <f>IF(AND(Programme_Grunddaten!$A840="Geprüft",Programme_Grunddaten!V840&lt;&gt;""),IF(Programme_Grunddaten!V840="Ja",1,0),"")</f>
        <v/>
      </c>
      <c r="O835" s="1" t="str">
        <f>IF(AND(Programme_Grunddaten!$A840="Geprüft",Programme_Grunddaten!W840&lt;&gt;""),IF(Programme_Grunddaten!W840="Ja",1,0),"")</f>
        <v/>
      </c>
      <c r="P835" s="1" t="str">
        <f>IF(AND(Programme_Grunddaten!$A840="Geprüft",Programme_Grunddaten!X840&lt;&gt;""),IF(Programme_Grunddaten!X840="Ja",1,0),"")</f>
        <v/>
      </c>
      <c r="Q835" s="1" t="str">
        <f>IF(AND(Programme_Grunddaten!$A840="Geprüft",Programme_Grunddaten!Y840&lt;&gt;""),IF(Programme_Grunddaten!Y840="Ja",1,0),"")</f>
        <v/>
      </c>
      <c r="R835" s="1" t="str">
        <f>IF(AND(Programme_Grunddaten!$A840="Geprüft",Programme_Grunddaten!Z840&lt;&gt;""),IF(Programme_Grunddaten!Z840="Ja",1,0),"")</f>
        <v/>
      </c>
      <c r="S835" s="1" t="str">
        <f>IF(AND(Programme_Grunddaten!$A840="Geprüft",Programme_Grunddaten!AA840&lt;&gt;""),IF(Programme_Grunddaten!AA840="monolithisch",1,0),"")</f>
        <v/>
      </c>
      <c r="T835" s="1" t="str">
        <f>IF(AND(Programme_Grunddaten!$A840="Geprüft",Programme_Grunddaten!AB840&lt;&gt;""),IF(Programme_Grunddaten!AB840="Ja",1,0),"")</f>
        <v/>
      </c>
      <c r="U835" s="1" t="str">
        <f>IF(AND(Programme_Grunddaten!$A840="Geprüft",Programme_Grunddaten!AC840&lt;&gt;""),IF(Programme_Grunddaten!AC840="Ja",1,0),"")</f>
        <v/>
      </c>
      <c r="V835" s="1" t="str">
        <f>IF(AND(Programme_Grunddaten!$A840="Geprüft",Programme_Grunddaten!AD840&lt;&gt;""),IF(Programme_Grunddaten!AD840="Ja",1,0),"")</f>
        <v/>
      </c>
      <c r="W835" s="1" t="str">
        <f>IF(AND(Programme_Grunddaten!$A840="Geprüft",Programme_Grunddaten!AE840&lt;&gt;""),IF(Programme_Grunddaten!AE840="Ja",1,0),"")</f>
        <v/>
      </c>
      <c r="X835" s="1" t="str">
        <f>IF(AND(Programme_Grunddaten!$A840="Geprüft",Programme_Grunddaten!AF840&lt;&gt;""),IF(Programme_Grunddaten!AF840="Ja",1,0),"")</f>
        <v/>
      </c>
      <c r="Y835" s="1" t="str">
        <f>IF(AND(Programme_Grunddaten!$A840="Geprüft",Programme_Grunddaten!AG840&lt;&gt;""),IF(Programme_Grunddaten!AG840="Ja",1,0),"")</f>
        <v/>
      </c>
      <c r="Z835" s="1" t="str">
        <f>IF(AND(Programme_Grunddaten!$A840="Geprüft",Programme_Grunddaten!AH840&lt;&gt;""),IF(Programme_Grunddaten!AH840="Ja",1,0),"")</f>
        <v/>
      </c>
      <c r="AA835" s="1" t="str">
        <f>IF(AND(Programme_Grunddaten!$A840="Geprüft",Programme_Grunddaten!AI840&lt;&gt;""),IF(Programme_Grunddaten!AI840="Ja",1,0),"")</f>
        <v/>
      </c>
      <c r="AB835" s="1" t="str">
        <f>IF(AND(Programme_Grunddaten!$A840="Geprüft",Programme_Grunddaten!AJ840&lt;&gt;""),IF(Programme_Grunddaten!AJ840="individuell programmierbar",1,0),"")</f>
        <v/>
      </c>
      <c r="AC835" s="1" t="str">
        <f>IF(AND(Programme_Grunddaten!$A840="Geprüft",Programme_Grunddaten!AK840&lt;&gt;""),IF(Programme_Grunddaten!AK840="Deutsch",0,IF(Programme_Grunddaten!AK840="Deutsch und Englisch",1,2)),"")</f>
        <v/>
      </c>
      <c r="AD835" s="1" t="str">
        <f>IF(AND(Programme_Grunddaten!$A840="Geprüft",Programme_Grunddaten!AL840&lt;&gt;""),IF(Programme_Grunddaten!AL840="Ja",1,0),"")</f>
        <v/>
      </c>
      <c r="AE835" s="1" t="str">
        <f>IF(AND(Programme_Grunddaten!$A840="Geprüft",Programme_Grunddaten!AM840&lt;&gt;""),IF(Programme_Grunddaten!AM840="Ja",1,0),"")</f>
        <v/>
      </c>
      <c r="AF835" s="1" t="str">
        <f>IF(AND(Programme_Grunddaten!$A840="Geprüft",Programme_Grunddaten!AN840&lt;&gt;""),IF(Programme_Grunddaten!AN840="Ja",1,0),"")</f>
        <v/>
      </c>
      <c r="AG835" s="1" t="str">
        <f>IF(AND(Programme_Grunddaten!$A840="Geprüft",Programme_Grunddaten!AO840&lt;&gt;""),IF(Programme_Grunddaten!AO840="Ja",1,0),"")</f>
        <v/>
      </c>
      <c r="AH835" s="1" t="str">
        <f>IF(AND(Programme_Grunddaten!$A840="Geprüft",Programme_Grunddaten!AP840&lt;&gt;""),IF(Programme_Grunddaten!AP840="Ja",1,0),"")</f>
        <v/>
      </c>
      <c r="AI835" s="1" t="str">
        <f>IF(AND(Programme_Grunddaten!$A840="Geprüft",Programme_Grunddaten!AQ840&lt;&gt;""),IF(Programme_Grunddaten!AQ840="Ja",1,0),"")</f>
        <v/>
      </c>
      <c r="AJ835" s="1" t="str">
        <f>IF(AND(Programme_Grunddaten!$A840="Geprüft",Programme_Grunddaten!AR840&lt;&gt;""),IF(Programme_Grunddaten!AR840="Ja",1,0),"")</f>
        <v/>
      </c>
      <c r="AK835" s="1" t="str">
        <f>IF(AND(Programme_Grunddaten!$A840="Geprüft",Programme_Grunddaten!AS840&lt;&gt;""),IF(Programme_Grunddaten!AS840="Ja",1,0),"")</f>
        <v/>
      </c>
      <c r="AL835" s="1" t="str">
        <f>IF(AND(Programme_Grunddaten!$A840="Geprüft",Programme_Grunddaten!AT840&lt;&gt;""),IF(Programme_Grunddaten!AT840="Ja",1,0),"")</f>
        <v/>
      </c>
      <c r="AM835" s="1" t="str">
        <f>IF(AND(Programme_Grunddaten!$A840="Geprüft",Programme_Grunddaten!AU840&lt;&gt;""),IF(Programme_Grunddaten!AU840="Ja",1,0),"")</f>
        <v/>
      </c>
      <c r="AN835" s="1" t="str">
        <f>IF(AND(Programme_Grunddaten!$A840="Geprüft",Programme_Grunddaten!AV840&lt;&gt;""),IF(Programme_Grunddaten!AV840="Ja",1,0),"")</f>
        <v/>
      </c>
    </row>
    <row r="836" spans="1:40" x14ac:dyDescent="0.3">
      <c r="A836" s="1" t="str">
        <f>IF(AND(Programme_Grunddaten!A841="Geprüft",Programme_Grunddaten!B841&lt;&gt;""),Programme_Grunddaten!B841,"")</f>
        <v/>
      </c>
      <c r="B836" s="1" t="str">
        <f>IF(AND(Programme_Grunddaten!$A841="Geprüft",Programme_Grunddaten!I841&lt;&gt;""),IF(Programme_Grunddaten!I841="Ja",1,0),"")</f>
        <v/>
      </c>
      <c r="C836" s="1" t="str">
        <f>IF(AND(Programme_Grunddaten!$A841="Geprüft",Programme_Grunddaten!J841&lt;&gt;""),IF(Programme_Grunddaten!J841="Ja",1,0),"")</f>
        <v/>
      </c>
      <c r="D836" s="1" t="str">
        <f>IF(AND(Programme_Grunddaten!$A841="Geprüft",Programme_Grunddaten!K841&lt;&gt;""),IF(Programme_Grunddaten!K841="Ja",1,0),"")</f>
        <v/>
      </c>
      <c r="E836" s="1" t="str">
        <f>IF(AND(Programme_Grunddaten!$A841="Geprüft",Programme_Grunddaten!L841&lt;&gt;""),IF(Programme_Grunddaten!L841="Abo / befristete Lizenz",1,0),"")</f>
        <v/>
      </c>
      <c r="F836" s="1" t="str">
        <f>IF(AND(Programme_Grunddaten!$A841="Geprüft",Programme_Grunddaten!M841&lt;&gt;""),IF(Programme_Grunddaten!M841="Ja",1,0),"")</f>
        <v/>
      </c>
      <c r="G836" s="1" t="str">
        <f>IF(AND(Programme_Grunddaten!$A841="Geprüft",Programme_Grunddaten!N841&lt;&gt;""),IF(Programme_Grunddaten!N841="Ja",1,0),"")</f>
        <v/>
      </c>
      <c r="H836" s="1" t="str">
        <f>IF(AND(Programme_Grunddaten!$A841="Geprüft",Programme_Grunddaten!O841&lt;&gt;""),IF(Programme_Grunddaten!O841="Deutschland",0,IF(Programme_Grunddaten!O841="EU",1,2)),"")</f>
        <v/>
      </c>
      <c r="I836" s="1" t="str">
        <f>IF(AND(Programme_Grunddaten!$A841="Geprüft",Programme_Grunddaten!P841&lt;&gt;""),IF(Programme_Grunddaten!P841="Ja",1,0),"")</f>
        <v/>
      </c>
      <c r="J836" s="1" t="str">
        <f>IF(AND(Programme_Grunddaten!$A841="Geprüft",Programme_Grunddaten!Q841&lt;&gt;""),IF(Programme_Grunddaten!Q841="geschlossenes System",1,0),"")</f>
        <v/>
      </c>
      <c r="K836" s="1" t="str">
        <f>IF(AND(Programme_Grunddaten!$A841="Geprüft",Programme_Grunddaten!R841&lt;&gt;""),IF(Programme_Grunddaten!R841="Ja",1,0),"")</f>
        <v/>
      </c>
      <c r="L836" s="1" t="str">
        <f>IF(AND(Programme_Grunddaten!$A841="Geprüft",Programme_Grunddaten!T841&lt;&gt;""),IF(Programme_Grunddaten!T841="Ja",1,0),"")</f>
        <v/>
      </c>
      <c r="M836" s="1" t="str">
        <f>IF(AND(Programme_Grunddaten!$A841="Geprüft",Programme_Grunddaten!U841&lt;&gt;""),IF(Programme_Grunddaten!U841="Ja",1,0),"")</f>
        <v/>
      </c>
      <c r="N836" s="1" t="str">
        <f>IF(AND(Programme_Grunddaten!$A841="Geprüft",Programme_Grunddaten!V841&lt;&gt;""),IF(Programme_Grunddaten!V841="Ja",1,0),"")</f>
        <v/>
      </c>
      <c r="O836" s="1" t="str">
        <f>IF(AND(Programme_Grunddaten!$A841="Geprüft",Programme_Grunddaten!W841&lt;&gt;""),IF(Programme_Grunddaten!W841="Ja",1,0),"")</f>
        <v/>
      </c>
      <c r="P836" s="1" t="str">
        <f>IF(AND(Programme_Grunddaten!$A841="Geprüft",Programme_Grunddaten!X841&lt;&gt;""),IF(Programme_Grunddaten!X841="Ja",1,0),"")</f>
        <v/>
      </c>
      <c r="Q836" s="1" t="str">
        <f>IF(AND(Programme_Grunddaten!$A841="Geprüft",Programme_Grunddaten!Y841&lt;&gt;""),IF(Programme_Grunddaten!Y841="Ja",1,0),"")</f>
        <v/>
      </c>
      <c r="R836" s="1" t="str">
        <f>IF(AND(Programme_Grunddaten!$A841="Geprüft",Programme_Grunddaten!Z841&lt;&gt;""),IF(Programme_Grunddaten!Z841="Ja",1,0),"")</f>
        <v/>
      </c>
      <c r="S836" s="1" t="str">
        <f>IF(AND(Programme_Grunddaten!$A841="Geprüft",Programme_Grunddaten!AA841&lt;&gt;""),IF(Programme_Grunddaten!AA841="monolithisch",1,0),"")</f>
        <v/>
      </c>
      <c r="T836" s="1" t="str">
        <f>IF(AND(Programme_Grunddaten!$A841="Geprüft",Programme_Grunddaten!AB841&lt;&gt;""),IF(Programme_Grunddaten!AB841="Ja",1,0),"")</f>
        <v/>
      </c>
      <c r="U836" s="1" t="str">
        <f>IF(AND(Programme_Grunddaten!$A841="Geprüft",Programme_Grunddaten!AC841&lt;&gt;""),IF(Programme_Grunddaten!AC841="Ja",1,0),"")</f>
        <v/>
      </c>
      <c r="V836" s="1" t="str">
        <f>IF(AND(Programme_Grunddaten!$A841="Geprüft",Programme_Grunddaten!AD841&lt;&gt;""),IF(Programme_Grunddaten!AD841="Ja",1,0),"")</f>
        <v/>
      </c>
      <c r="W836" s="1" t="str">
        <f>IF(AND(Programme_Grunddaten!$A841="Geprüft",Programme_Grunddaten!AE841&lt;&gt;""),IF(Programme_Grunddaten!AE841="Ja",1,0),"")</f>
        <v/>
      </c>
      <c r="X836" s="1" t="str">
        <f>IF(AND(Programme_Grunddaten!$A841="Geprüft",Programme_Grunddaten!AF841&lt;&gt;""),IF(Programme_Grunddaten!AF841="Ja",1,0),"")</f>
        <v/>
      </c>
      <c r="Y836" s="1" t="str">
        <f>IF(AND(Programme_Grunddaten!$A841="Geprüft",Programme_Grunddaten!AG841&lt;&gt;""),IF(Programme_Grunddaten!AG841="Ja",1,0),"")</f>
        <v/>
      </c>
      <c r="Z836" s="1" t="str">
        <f>IF(AND(Programme_Grunddaten!$A841="Geprüft",Programme_Grunddaten!AH841&lt;&gt;""),IF(Programme_Grunddaten!AH841="Ja",1,0),"")</f>
        <v/>
      </c>
      <c r="AA836" s="1" t="str">
        <f>IF(AND(Programme_Grunddaten!$A841="Geprüft",Programme_Grunddaten!AI841&lt;&gt;""),IF(Programme_Grunddaten!AI841="Ja",1,0),"")</f>
        <v/>
      </c>
      <c r="AB836" s="1" t="str">
        <f>IF(AND(Programme_Grunddaten!$A841="Geprüft",Programme_Grunddaten!AJ841&lt;&gt;""),IF(Programme_Grunddaten!AJ841="individuell programmierbar",1,0),"")</f>
        <v/>
      </c>
      <c r="AC836" s="1" t="str">
        <f>IF(AND(Programme_Grunddaten!$A841="Geprüft",Programme_Grunddaten!AK841&lt;&gt;""),IF(Programme_Grunddaten!AK841="Deutsch",0,IF(Programme_Grunddaten!AK841="Deutsch und Englisch",1,2)),"")</f>
        <v/>
      </c>
      <c r="AD836" s="1" t="str">
        <f>IF(AND(Programme_Grunddaten!$A841="Geprüft",Programme_Grunddaten!AL841&lt;&gt;""),IF(Programme_Grunddaten!AL841="Ja",1,0),"")</f>
        <v/>
      </c>
      <c r="AE836" s="1" t="str">
        <f>IF(AND(Programme_Grunddaten!$A841="Geprüft",Programme_Grunddaten!AM841&lt;&gt;""),IF(Programme_Grunddaten!AM841="Ja",1,0),"")</f>
        <v/>
      </c>
      <c r="AF836" s="1" t="str">
        <f>IF(AND(Programme_Grunddaten!$A841="Geprüft",Programme_Grunddaten!AN841&lt;&gt;""),IF(Programme_Grunddaten!AN841="Ja",1,0),"")</f>
        <v/>
      </c>
      <c r="AG836" s="1" t="str">
        <f>IF(AND(Programme_Grunddaten!$A841="Geprüft",Programme_Grunddaten!AO841&lt;&gt;""),IF(Programme_Grunddaten!AO841="Ja",1,0),"")</f>
        <v/>
      </c>
      <c r="AH836" s="1" t="str">
        <f>IF(AND(Programme_Grunddaten!$A841="Geprüft",Programme_Grunddaten!AP841&lt;&gt;""),IF(Programme_Grunddaten!AP841="Ja",1,0),"")</f>
        <v/>
      </c>
      <c r="AI836" s="1" t="str">
        <f>IF(AND(Programme_Grunddaten!$A841="Geprüft",Programme_Grunddaten!AQ841&lt;&gt;""),IF(Programme_Grunddaten!AQ841="Ja",1,0),"")</f>
        <v/>
      </c>
      <c r="AJ836" s="1" t="str">
        <f>IF(AND(Programme_Grunddaten!$A841="Geprüft",Programme_Grunddaten!AR841&lt;&gt;""),IF(Programme_Grunddaten!AR841="Ja",1,0),"")</f>
        <v/>
      </c>
      <c r="AK836" s="1" t="str">
        <f>IF(AND(Programme_Grunddaten!$A841="Geprüft",Programme_Grunddaten!AS841&lt;&gt;""),IF(Programme_Grunddaten!AS841="Ja",1,0),"")</f>
        <v/>
      </c>
      <c r="AL836" s="1" t="str">
        <f>IF(AND(Programme_Grunddaten!$A841="Geprüft",Programme_Grunddaten!AT841&lt;&gt;""),IF(Programme_Grunddaten!AT841="Ja",1,0),"")</f>
        <v/>
      </c>
      <c r="AM836" s="1" t="str">
        <f>IF(AND(Programme_Grunddaten!$A841="Geprüft",Programme_Grunddaten!AU841&lt;&gt;""),IF(Programme_Grunddaten!AU841="Ja",1,0),"")</f>
        <v/>
      </c>
      <c r="AN836" s="1" t="str">
        <f>IF(AND(Programme_Grunddaten!$A841="Geprüft",Programme_Grunddaten!AV841&lt;&gt;""),IF(Programme_Grunddaten!AV841="Ja",1,0),"")</f>
        <v/>
      </c>
    </row>
    <row r="837" spans="1:40" x14ac:dyDescent="0.3">
      <c r="A837" s="1" t="str">
        <f>IF(AND(Programme_Grunddaten!A842="Geprüft",Programme_Grunddaten!B842&lt;&gt;""),Programme_Grunddaten!B842,"")</f>
        <v/>
      </c>
      <c r="B837" s="1" t="str">
        <f>IF(AND(Programme_Grunddaten!$A842="Geprüft",Programme_Grunddaten!I842&lt;&gt;""),IF(Programme_Grunddaten!I842="Ja",1,0),"")</f>
        <v/>
      </c>
      <c r="C837" s="1" t="str">
        <f>IF(AND(Programme_Grunddaten!$A842="Geprüft",Programme_Grunddaten!J842&lt;&gt;""),IF(Programme_Grunddaten!J842="Ja",1,0),"")</f>
        <v/>
      </c>
      <c r="D837" s="1" t="str">
        <f>IF(AND(Programme_Grunddaten!$A842="Geprüft",Programme_Grunddaten!K842&lt;&gt;""),IF(Programme_Grunddaten!K842="Ja",1,0),"")</f>
        <v/>
      </c>
      <c r="E837" s="1" t="str">
        <f>IF(AND(Programme_Grunddaten!$A842="Geprüft",Programme_Grunddaten!L842&lt;&gt;""),IF(Programme_Grunddaten!L842="Abo / befristete Lizenz",1,0),"")</f>
        <v/>
      </c>
      <c r="F837" s="1" t="str">
        <f>IF(AND(Programme_Grunddaten!$A842="Geprüft",Programme_Grunddaten!M842&lt;&gt;""),IF(Programme_Grunddaten!M842="Ja",1,0),"")</f>
        <v/>
      </c>
      <c r="G837" s="1" t="str">
        <f>IF(AND(Programme_Grunddaten!$A842="Geprüft",Programme_Grunddaten!N842&lt;&gt;""),IF(Programme_Grunddaten!N842="Ja",1,0),"")</f>
        <v/>
      </c>
      <c r="H837" s="1" t="str">
        <f>IF(AND(Programme_Grunddaten!$A842="Geprüft",Programme_Grunddaten!O842&lt;&gt;""),IF(Programme_Grunddaten!O842="Deutschland",0,IF(Programme_Grunddaten!O842="EU",1,2)),"")</f>
        <v/>
      </c>
      <c r="I837" s="1" t="str">
        <f>IF(AND(Programme_Grunddaten!$A842="Geprüft",Programme_Grunddaten!P842&lt;&gt;""),IF(Programme_Grunddaten!P842="Ja",1,0),"")</f>
        <v/>
      </c>
      <c r="J837" s="1" t="str">
        <f>IF(AND(Programme_Grunddaten!$A842="Geprüft",Programme_Grunddaten!Q842&lt;&gt;""),IF(Programme_Grunddaten!Q842="geschlossenes System",1,0),"")</f>
        <v/>
      </c>
      <c r="K837" s="1" t="str">
        <f>IF(AND(Programme_Grunddaten!$A842="Geprüft",Programme_Grunddaten!R842&lt;&gt;""),IF(Programme_Grunddaten!R842="Ja",1,0),"")</f>
        <v/>
      </c>
      <c r="L837" s="1" t="str">
        <f>IF(AND(Programme_Grunddaten!$A842="Geprüft",Programme_Grunddaten!T842&lt;&gt;""),IF(Programme_Grunddaten!T842="Ja",1,0),"")</f>
        <v/>
      </c>
      <c r="M837" s="1" t="str">
        <f>IF(AND(Programme_Grunddaten!$A842="Geprüft",Programme_Grunddaten!U842&lt;&gt;""),IF(Programme_Grunddaten!U842="Ja",1,0),"")</f>
        <v/>
      </c>
      <c r="N837" s="1" t="str">
        <f>IF(AND(Programme_Grunddaten!$A842="Geprüft",Programme_Grunddaten!V842&lt;&gt;""),IF(Programme_Grunddaten!V842="Ja",1,0),"")</f>
        <v/>
      </c>
      <c r="O837" s="1" t="str">
        <f>IF(AND(Programme_Grunddaten!$A842="Geprüft",Programme_Grunddaten!W842&lt;&gt;""),IF(Programme_Grunddaten!W842="Ja",1,0),"")</f>
        <v/>
      </c>
      <c r="P837" s="1" t="str">
        <f>IF(AND(Programme_Grunddaten!$A842="Geprüft",Programme_Grunddaten!X842&lt;&gt;""),IF(Programme_Grunddaten!X842="Ja",1,0),"")</f>
        <v/>
      </c>
      <c r="Q837" s="1" t="str">
        <f>IF(AND(Programme_Grunddaten!$A842="Geprüft",Programme_Grunddaten!Y842&lt;&gt;""),IF(Programme_Grunddaten!Y842="Ja",1,0),"")</f>
        <v/>
      </c>
      <c r="R837" s="1" t="str">
        <f>IF(AND(Programme_Grunddaten!$A842="Geprüft",Programme_Grunddaten!Z842&lt;&gt;""),IF(Programme_Grunddaten!Z842="Ja",1,0),"")</f>
        <v/>
      </c>
      <c r="S837" s="1" t="str">
        <f>IF(AND(Programme_Grunddaten!$A842="Geprüft",Programme_Grunddaten!AA842&lt;&gt;""),IF(Programme_Grunddaten!AA842="monolithisch",1,0),"")</f>
        <v/>
      </c>
      <c r="T837" s="1" t="str">
        <f>IF(AND(Programme_Grunddaten!$A842="Geprüft",Programme_Grunddaten!AB842&lt;&gt;""),IF(Programme_Grunddaten!AB842="Ja",1,0),"")</f>
        <v/>
      </c>
      <c r="U837" s="1" t="str">
        <f>IF(AND(Programme_Grunddaten!$A842="Geprüft",Programme_Grunddaten!AC842&lt;&gt;""),IF(Programme_Grunddaten!AC842="Ja",1,0),"")</f>
        <v/>
      </c>
      <c r="V837" s="1" t="str">
        <f>IF(AND(Programme_Grunddaten!$A842="Geprüft",Programme_Grunddaten!AD842&lt;&gt;""),IF(Programme_Grunddaten!AD842="Ja",1,0),"")</f>
        <v/>
      </c>
      <c r="W837" s="1" t="str">
        <f>IF(AND(Programme_Grunddaten!$A842="Geprüft",Programme_Grunddaten!AE842&lt;&gt;""),IF(Programme_Grunddaten!AE842="Ja",1,0),"")</f>
        <v/>
      </c>
      <c r="X837" s="1" t="str">
        <f>IF(AND(Programme_Grunddaten!$A842="Geprüft",Programme_Grunddaten!AF842&lt;&gt;""),IF(Programme_Grunddaten!AF842="Ja",1,0),"")</f>
        <v/>
      </c>
      <c r="Y837" s="1" t="str">
        <f>IF(AND(Programme_Grunddaten!$A842="Geprüft",Programme_Grunddaten!AG842&lt;&gt;""),IF(Programme_Grunddaten!AG842="Ja",1,0),"")</f>
        <v/>
      </c>
      <c r="Z837" s="1" t="str">
        <f>IF(AND(Programme_Grunddaten!$A842="Geprüft",Programme_Grunddaten!AH842&lt;&gt;""),IF(Programme_Grunddaten!AH842="Ja",1,0),"")</f>
        <v/>
      </c>
      <c r="AA837" s="1" t="str">
        <f>IF(AND(Programme_Grunddaten!$A842="Geprüft",Programme_Grunddaten!AI842&lt;&gt;""),IF(Programme_Grunddaten!AI842="Ja",1,0),"")</f>
        <v/>
      </c>
      <c r="AB837" s="1" t="str">
        <f>IF(AND(Programme_Grunddaten!$A842="Geprüft",Programme_Grunddaten!AJ842&lt;&gt;""),IF(Programme_Grunddaten!AJ842="individuell programmierbar",1,0),"")</f>
        <v/>
      </c>
      <c r="AC837" s="1" t="str">
        <f>IF(AND(Programme_Grunddaten!$A842="Geprüft",Programme_Grunddaten!AK842&lt;&gt;""),IF(Programme_Grunddaten!AK842="Deutsch",0,IF(Programme_Grunddaten!AK842="Deutsch und Englisch",1,2)),"")</f>
        <v/>
      </c>
      <c r="AD837" s="1" t="str">
        <f>IF(AND(Programme_Grunddaten!$A842="Geprüft",Programme_Grunddaten!AL842&lt;&gt;""),IF(Programme_Grunddaten!AL842="Ja",1,0),"")</f>
        <v/>
      </c>
      <c r="AE837" s="1" t="str">
        <f>IF(AND(Programme_Grunddaten!$A842="Geprüft",Programme_Grunddaten!AM842&lt;&gt;""),IF(Programme_Grunddaten!AM842="Ja",1,0),"")</f>
        <v/>
      </c>
      <c r="AF837" s="1" t="str">
        <f>IF(AND(Programme_Grunddaten!$A842="Geprüft",Programme_Grunddaten!AN842&lt;&gt;""),IF(Programme_Grunddaten!AN842="Ja",1,0),"")</f>
        <v/>
      </c>
      <c r="AG837" s="1" t="str">
        <f>IF(AND(Programme_Grunddaten!$A842="Geprüft",Programme_Grunddaten!AO842&lt;&gt;""),IF(Programme_Grunddaten!AO842="Ja",1,0),"")</f>
        <v/>
      </c>
      <c r="AH837" s="1" t="str">
        <f>IF(AND(Programme_Grunddaten!$A842="Geprüft",Programme_Grunddaten!AP842&lt;&gt;""),IF(Programme_Grunddaten!AP842="Ja",1,0),"")</f>
        <v/>
      </c>
      <c r="AI837" s="1" t="str">
        <f>IF(AND(Programme_Grunddaten!$A842="Geprüft",Programme_Grunddaten!AQ842&lt;&gt;""),IF(Programme_Grunddaten!AQ842="Ja",1,0),"")</f>
        <v/>
      </c>
      <c r="AJ837" s="1" t="str">
        <f>IF(AND(Programme_Grunddaten!$A842="Geprüft",Programme_Grunddaten!AR842&lt;&gt;""),IF(Programme_Grunddaten!AR842="Ja",1,0),"")</f>
        <v/>
      </c>
      <c r="AK837" s="1" t="str">
        <f>IF(AND(Programme_Grunddaten!$A842="Geprüft",Programme_Grunddaten!AS842&lt;&gt;""),IF(Programme_Grunddaten!AS842="Ja",1,0),"")</f>
        <v/>
      </c>
      <c r="AL837" s="1" t="str">
        <f>IF(AND(Programme_Grunddaten!$A842="Geprüft",Programme_Grunddaten!AT842&lt;&gt;""),IF(Programme_Grunddaten!AT842="Ja",1,0),"")</f>
        <v/>
      </c>
      <c r="AM837" s="1" t="str">
        <f>IF(AND(Programme_Grunddaten!$A842="Geprüft",Programme_Grunddaten!AU842&lt;&gt;""),IF(Programme_Grunddaten!AU842="Ja",1,0),"")</f>
        <v/>
      </c>
      <c r="AN837" s="1" t="str">
        <f>IF(AND(Programme_Grunddaten!$A842="Geprüft",Programme_Grunddaten!AV842&lt;&gt;""),IF(Programme_Grunddaten!AV842="Ja",1,0),"")</f>
        <v/>
      </c>
    </row>
    <row r="838" spans="1:40" x14ac:dyDescent="0.3">
      <c r="A838" s="1" t="str">
        <f>IF(AND(Programme_Grunddaten!A843="Geprüft",Programme_Grunddaten!B843&lt;&gt;""),Programme_Grunddaten!B843,"")</f>
        <v/>
      </c>
      <c r="B838" s="1" t="str">
        <f>IF(AND(Programme_Grunddaten!$A843="Geprüft",Programme_Grunddaten!I843&lt;&gt;""),IF(Programme_Grunddaten!I843="Ja",1,0),"")</f>
        <v/>
      </c>
      <c r="C838" s="1" t="str">
        <f>IF(AND(Programme_Grunddaten!$A843="Geprüft",Programme_Grunddaten!J843&lt;&gt;""),IF(Programme_Grunddaten!J843="Ja",1,0),"")</f>
        <v/>
      </c>
      <c r="D838" s="1" t="str">
        <f>IF(AND(Programme_Grunddaten!$A843="Geprüft",Programme_Grunddaten!K843&lt;&gt;""),IF(Programme_Grunddaten!K843="Ja",1,0),"")</f>
        <v/>
      </c>
      <c r="E838" s="1" t="str">
        <f>IF(AND(Programme_Grunddaten!$A843="Geprüft",Programme_Grunddaten!L843&lt;&gt;""),IF(Programme_Grunddaten!L843="Abo / befristete Lizenz",1,0),"")</f>
        <v/>
      </c>
      <c r="F838" s="1" t="str">
        <f>IF(AND(Programme_Grunddaten!$A843="Geprüft",Programme_Grunddaten!M843&lt;&gt;""),IF(Programme_Grunddaten!M843="Ja",1,0),"")</f>
        <v/>
      </c>
      <c r="G838" s="1" t="str">
        <f>IF(AND(Programme_Grunddaten!$A843="Geprüft",Programme_Grunddaten!N843&lt;&gt;""),IF(Programme_Grunddaten!N843="Ja",1,0),"")</f>
        <v/>
      </c>
      <c r="H838" s="1" t="str">
        <f>IF(AND(Programme_Grunddaten!$A843="Geprüft",Programme_Grunddaten!O843&lt;&gt;""),IF(Programme_Grunddaten!O843="Deutschland",0,IF(Programme_Grunddaten!O843="EU",1,2)),"")</f>
        <v/>
      </c>
      <c r="I838" s="1" t="str">
        <f>IF(AND(Programme_Grunddaten!$A843="Geprüft",Programme_Grunddaten!P843&lt;&gt;""),IF(Programme_Grunddaten!P843="Ja",1,0),"")</f>
        <v/>
      </c>
      <c r="J838" s="1" t="str">
        <f>IF(AND(Programme_Grunddaten!$A843="Geprüft",Programme_Grunddaten!Q843&lt;&gt;""),IF(Programme_Grunddaten!Q843="geschlossenes System",1,0),"")</f>
        <v/>
      </c>
      <c r="K838" s="1" t="str">
        <f>IF(AND(Programme_Grunddaten!$A843="Geprüft",Programme_Grunddaten!R843&lt;&gt;""),IF(Programme_Grunddaten!R843="Ja",1,0),"")</f>
        <v/>
      </c>
      <c r="L838" s="1" t="str">
        <f>IF(AND(Programme_Grunddaten!$A843="Geprüft",Programme_Grunddaten!T843&lt;&gt;""),IF(Programme_Grunddaten!T843="Ja",1,0),"")</f>
        <v/>
      </c>
      <c r="M838" s="1" t="str">
        <f>IF(AND(Programme_Grunddaten!$A843="Geprüft",Programme_Grunddaten!U843&lt;&gt;""),IF(Programme_Grunddaten!U843="Ja",1,0),"")</f>
        <v/>
      </c>
      <c r="N838" s="1" t="str">
        <f>IF(AND(Programme_Grunddaten!$A843="Geprüft",Programme_Grunddaten!V843&lt;&gt;""),IF(Programme_Grunddaten!V843="Ja",1,0),"")</f>
        <v/>
      </c>
      <c r="O838" s="1" t="str">
        <f>IF(AND(Programme_Grunddaten!$A843="Geprüft",Programme_Grunddaten!W843&lt;&gt;""),IF(Programme_Grunddaten!W843="Ja",1,0),"")</f>
        <v/>
      </c>
      <c r="P838" s="1" t="str">
        <f>IF(AND(Programme_Grunddaten!$A843="Geprüft",Programme_Grunddaten!X843&lt;&gt;""),IF(Programme_Grunddaten!X843="Ja",1,0),"")</f>
        <v/>
      </c>
      <c r="Q838" s="1" t="str">
        <f>IF(AND(Programme_Grunddaten!$A843="Geprüft",Programme_Grunddaten!Y843&lt;&gt;""),IF(Programme_Grunddaten!Y843="Ja",1,0),"")</f>
        <v/>
      </c>
      <c r="R838" s="1" t="str">
        <f>IF(AND(Programme_Grunddaten!$A843="Geprüft",Programme_Grunddaten!Z843&lt;&gt;""),IF(Programme_Grunddaten!Z843="Ja",1,0),"")</f>
        <v/>
      </c>
      <c r="S838" s="1" t="str">
        <f>IF(AND(Programme_Grunddaten!$A843="Geprüft",Programme_Grunddaten!AA843&lt;&gt;""),IF(Programme_Grunddaten!AA843="monolithisch",1,0),"")</f>
        <v/>
      </c>
      <c r="T838" s="1" t="str">
        <f>IF(AND(Programme_Grunddaten!$A843="Geprüft",Programme_Grunddaten!AB843&lt;&gt;""),IF(Programme_Grunddaten!AB843="Ja",1,0),"")</f>
        <v/>
      </c>
      <c r="U838" s="1" t="str">
        <f>IF(AND(Programme_Grunddaten!$A843="Geprüft",Programme_Grunddaten!AC843&lt;&gt;""),IF(Programme_Grunddaten!AC843="Ja",1,0),"")</f>
        <v/>
      </c>
      <c r="V838" s="1" t="str">
        <f>IF(AND(Programme_Grunddaten!$A843="Geprüft",Programme_Grunddaten!AD843&lt;&gt;""),IF(Programme_Grunddaten!AD843="Ja",1,0),"")</f>
        <v/>
      </c>
      <c r="W838" s="1" t="str">
        <f>IF(AND(Programme_Grunddaten!$A843="Geprüft",Programme_Grunddaten!AE843&lt;&gt;""),IF(Programme_Grunddaten!AE843="Ja",1,0),"")</f>
        <v/>
      </c>
      <c r="X838" s="1" t="str">
        <f>IF(AND(Programme_Grunddaten!$A843="Geprüft",Programme_Grunddaten!AF843&lt;&gt;""),IF(Programme_Grunddaten!AF843="Ja",1,0),"")</f>
        <v/>
      </c>
      <c r="Y838" s="1" t="str">
        <f>IF(AND(Programme_Grunddaten!$A843="Geprüft",Programme_Grunddaten!AG843&lt;&gt;""),IF(Programme_Grunddaten!AG843="Ja",1,0),"")</f>
        <v/>
      </c>
      <c r="Z838" s="1" t="str">
        <f>IF(AND(Programme_Grunddaten!$A843="Geprüft",Programme_Grunddaten!AH843&lt;&gt;""),IF(Programme_Grunddaten!AH843="Ja",1,0),"")</f>
        <v/>
      </c>
      <c r="AA838" s="1" t="str">
        <f>IF(AND(Programme_Grunddaten!$A843="Geprüft",Programme_Grunddaten!AI843&lt;&gt;""),IF(Programme_Grunddaten!AI843="Ja",1,0),"")</f>
        <v/>
      </c>
      <c r="AB838" s="1" t="str">
        <f>IF(AND(Programme_Grunddaten!$A843="Geprüft",Programme_Grunddaten!AJ843&lt;&gt;""),IF(Programme_Grunddaten!AJ843="individuell programmierbar",1,0),"")</f>
        <v/>
      </c>
      <c r="AC838" s="1" t="str">
        <f>IF(AND(Programme_Grunddaten!$A843="Geprüft",Programme_Grunddaten!AK843&lt;&gt;""),IF(Programme_Grunddaten!AK843="Deutsch",0,IF(Programme_Grunddaten!AK843="Deutsch und Englisch",1,2)),"")</f>
        <v/>
      </c>
      <c r="AD838" s="1" t="str">
        <f>IF(AND(Programme_Grunddaten!$A843="Geprüft",Programme_Grunddaten!AL843&lt;&gt;""),IF(Programme_Grunddaten!AL843="Ja",1,0),"")</f>
        <v/>
      </c>
      <c r="AE838" s="1" t="str">
        <f>IF(AND(Programme_Grunddaten!$A843="Geprüft",Programme_Grunddaten!AM843&lt;&gt;""),IF(Programme_Grunddaten!AM843="Ja",1,0),"")</f>
        <v/>
      </c>
      <c r="AF838" s="1" t="str">
        <f>IF(AND(Programme_Grunddaten!$A843="Geprüft",Programme_Grunddaten!AN843&lt;&gt;""),IF(Programme_Grunddaten!AN843="Ja",1,0),"")</f>
        <v/>
      </c>
      <c r="AG838" s="1" t="str">
        <f>IF(AND(Programme_Grunddaten!$A843="Geprüft",Programme_Grunddaten!AO843&lt;&gt;""),IF(Programme_Grunddaten!AO843="Ja",1,0),"")</f>
        <v/>
      </c>
      <c r="AH838" s="1" t="str">
        <f>IF(AND(Programme_Grunddaten!$A843="Geprüft",Programme_Grunddaten!AP843&lt;&gt;""),IF(Programme_Grunddaten!AP843="Ja",1,0),"")</f>
        <v/>
      </c>
      <c r="AI838" s="1" t="str">
        <f>IF(AND(Programme_Grunddaten!$A843="Geprüft",Programme_Grunddaten!AQ843&lt;&gt;""),IF(Programme_Grunddaten!AQ843="Ja",1,0),"")</f>
        <v/>
      </c>
      <c r="AJ838" s="1" t="str">
        <f>IF(AND(Programme_Grunddaten!$A843="Geprüft",Programme_Grunddaten!AR843&lt;&gt;""),IF(Programme_Grunddaten!AR843="Ja",1,0),"")</f>
        <v/>
      </c>
      <c r="AK838" s="1" t="str">
        <f>IF(AND(Programme_Grunddaten!$A843="Geprüft",Programme_Grunddaten!AS843&lt;&gt;""),IF(Programme_Grunddaten!AS843="Ja",1,0),"")</f>
        <v/>
      </c>
      <c r="AL838" s="1" t="str">
        <f>IF(AND(Programme_Grunddaten!$A843="Geprüft",Programme_Grunddaten!AT843&lt;&gt;""),IF(Programme_Grunddaten!AT843="Ja",1,0),"")</f>
        <v/>
      </c>
      <c r="AM838" s="1" t="str">
        <f>IF(AND(Programme_Grunddaten!$A843="Geprüft",Programme_Grunddaten!AU843&lt;&gt;""),IF(Programme_Grunddaten!AU843="Ja",1,0),"")</f>
        <v/>
      </c>
      <c r="AN838" s="1" t="str">
        <f>IF(AND(Programme_Grunddaten!$A843="Geprüft",Programme_Grunddaten!AV843&lt;&gt;""),IF(Programme_Grunddaten!AV843="Ja",1,0),"")</f>
        <v/>
      </c>
    </row>
    <row r="839" spans="1:40" x14ac:dyDescent="0.3">
      <c r="A839" s="1" t="str">
        <f>IF(AND(Programme_Grunddaten!A844="Geprüft",Programme_Grunddaten!B844&lt;&gt;""),Programme_Grunddaten!B844,"")</f>
        <v/>
      </c>
      <c r="B839" s="1" t="str">
        <f>IF(AND(Programme_Grunddaten!$A844="Geprüft",Programme_Grunddaten!I844&lt;&gt;""),IF(Programme_Grunddaten!I844="Ja",1,0),"")</f>
        <v/>
      </c>
      <c r="C839" s="1" t="str">
        <f>IF(AND(Programme_Grunddaten!$A844="Geprüft",Programme_Grunddaten!J844&lt;&gt;""),IF(Programme_Grunddaten!J844="Ja",1,0),"")</f>
        <v/>
      </c>
      <c r="D839" s="1" t="str">
        <f>IF(AND(Programme_Grunddaten!$A844="Geprüft",Programme_Grunddaten!K844&lt;&gt;""),IF(Programme_Grunddaten!K844="Ja",1,0),"")</f>
        <v/>
      </c>
      <c r="E839" s="1" t="str">
        <f>IF(AND(Programme_Grunddaten!$A844="Geprüft",Programme_Grunddaten!L844&lt;&gt;""),IF(Programme_Grunddaten!L844="Abo / befristete Lizenz",1,0),"")</f>
        <v/>
      </c>
      <c r="F839" s="1" t="str">
        <f>IF(AND(Programme_Grunddaten!$A844="Geprüft",Programme_Grunddaten!M844&lt;&gt;""),IF(Programme_Grunddaten!M844="Ja",1,0),"")</f>
        <v/>
      </c>
      <c r="G839" s="1" t="str">
        <f>IF(AND(Programme_Grunddaten!$A844="Geprüft",Programme_Grunddaten!N844&lt;&gt;""),IF(Programme_Grunddaten!N844="Ja",1,0),"")</f>
        <v/>
      </c>
      <c r="H839" s="1" t="str">
        <f>IF(AND(Programme_Grunddaten!$A844="Geprüft",Programme_Grunddaten!O844&lt;&gt;""),IF(Programme_Grunddaten!O844="Deutschland",0,IF(Programme_Grunddaten!O844="EU",1,2)),"")</f>
        <v/>
      </c>
      <c r="I839" s="1" t="str">
        <f>IF(AND(Programme_Grunddaten!$A844="Geprüft",Programme_Grunddaten!P844&lt;&gt;""),IF(Programme_Grunddaten!P844="Ja",1,0),"")</f>
        <v/>
      </c>
      <c r="J839" s="1" t="str">
        <f>IF(AND(Programme_Grunddaten!$A844="Geprüft",Programme_Grunddaten!Q844&lt;&gt;""),IF(Programme_Grunddaten!Q844="geschlossenes System",1,0),"")</f>
        <v/>
      </c>
      <c r="K839" s="1" t="str">
        <f>IF(AND(Programme_Grunddaten!$A844="Geprüft",Programme_Grunddaten!R844&lt;&gt;""),IF(Programme_Grunddaten!R844="Ja",1,0),"")</f>
        <v/>
      </c>
      <c r="L839" s="1" t="str">
        <f>IF(AND(Programme_Grunddaten!$A844="Geprüft",Programme_Grunddaten!T844&lt;&gt;""),IF(Programme_Grunddaten!T844="Ja",1,0),"")</f>
        <v/>
      </c>
      <c r="M839" s="1" t="str">
        <f>IF(AND(Programme_Grunddaten!$A844="Geprüft",Programme_Grunddaten!U844&lt;&gt;""),IF(Programme_Grunddaten!U844="Ja",1,0),"")</f>
        <v/>
      </c>
      <c r="N839" s="1" t="str">
        <f>IF(AND(Programme_Grunddaten!$A844="Geprüft",Programme_Grunddaten!V844&lt;&gt;""),IF(Programme_Grunddaten!V844="Ja",1,0),"")</f>
        <v/>
      </c>
      <c r="O839" s="1" t="str">
        <f>IF(AND(Programme_Grunddaten!$A844="Geprüft",Programme_Grunddaten!W844&lt;&gt;""),IF(Programme_Grunddaten!W844="Ja",1,0),"")</f>
        <v/>
      </c>
      <c r="P839" s="1" t="str">
        <f>IF(AND(Programme_Grunddaten!$A844="Geprüft",Programme_Grunddaten!X844&lt;&gt;""),IF(Programme_Grunddaten!X844="Ja",1,0),"")</f>
        <v/>
      </c>
      <c r="Q839" s="1" t="str">
        <f>IF(AND(Programme_Grunddaten!$A844="Geprüft",Programme_Grunddaten!Y844&lt;&gt;""),IF(Programme_Grunddaten!Y844="Ja",1,0),"")</f>
        <v/>
      </c>
      <c r="R839" s="1" t="str">
        <f>IF(AND(Programme_Grunddaten!$A844="Geprüft",Programme_Grunddaten!Z844&lt;&gt;""),IF(Programme_Grunddaten!Z844="Ja",1,0),"")</f>
        <v/>
      </c>
      <c r="S839" s="1" t="str">
        <f>IF(AND(Programme_Grunddaten!$A844="Geprüft",Programme_Grunddaten!AA844&lt;&gt;""),IF(Programme_Grunddaten!AA844="monolithisch",1,0),"")</f>
        <v/>
      </c>
      <c r="T839" s="1" t="str">
        <f>IF(AND(Programme_Grunddaten!$A844="Geprüft",Programme_Grunddaten!AB844&lt;&gt;""),IF(Programme_Grunddaten!AB844="Ja",1,0),"")</f>
        <v/>
      </c>
      <c r="U839" s="1" t="str">
        <f>IF(AND(Programme_Grunddaten!$A844="Geprüft",Programme_Grunddaten!AC844&lt;&gt;""),IF(Programme_Grunddaten!AC844="Ja",1,0),"")</f>
        <v/>
      </c>
      <c r="V839" s="1" t="str">
        <f>IF(AND(Programme_Grunddaten!$A844="Geprüft",Programme_Grunddaten!AD844&lt;&gt;""),IF(Programme_Grunddaten!AD844="Ja",1,0),"")</f>
        <v/>
      </c>
      <c r="W839" s="1" t="str">
        <f>IF(AND(Programme_Grunddaten!$A844="Geprüft",Programme_Grunddaten!AE844&lt;&gt;""),IF(Programme_Grunddaten!AE844="Ja",1,0),"")</f>
        <v/>
      </c>
      <c r="X839" s="1" t="str">
        <f>IF(AND(Programme_Grunddaten!$A844="Geprüft",Programme_Grunddaten!AF844&lt;&gt;""),IF(Programme_Grunddaten!AF844="Ja",1,0),"")</f>
        <v/>
      </c>
      <c r="Y839" s="1" t="str">
        <f>IF(AND(Programme_Grunddaten!$A844="Geprüft",Programme_Grunddaten!AG844&lt;&gt;""),IF(Programme_Grunddaten!AG844="Ja",1,0),"")</f>
        <v/>
      </c>
      <c r="Z839" s="1" t="str">
        <f>IF(AND(Programme_Grunddaten!$A844="Geprüft",Programme_Grunddaten!AH844&lt;&gt;""),IF(Programme_Grunddaten!AH844="Ja",1,0),"")</f>
        <v/>
      </c>
      <c r="AA839" s="1" t="str">
        <f>IF(AND(Programme_Grunddaten!$A844="Geprüft",Programme_Grunddaten!AI844&lt;&gt;""),IF(Programme_Grunddaten!AI844="Ja",1,0),"")</f>
        <v/>
      </c>
      <c r="AB839" s="1" t="str">
        <f>IF(AND(Programme_Grunddaten!$A844="Geprüft",Programme_Grunddaten!AJ844&lt;&gt;""),IF(Programme_Grunddaten!AJ844="individuell programmierbar",1,0),"")</f>
        <v/>
      </c>
      <c r="AC839" s="1" t="str">
        <f>IF(AND(Programme_Grunddaten!$A844="Geprüft",Programme_Grunddaten!AK844&lt;&gt;""),IF(Programme_Grunddaten!AK844="Deutsch",0,IF(Programme_Grunddaten!AK844="Deutsch und Englisch",1,2)),"")</f>
        <v/>
      </c>
      <c r="AD839" s="1" t="str">
        <f>IF(AND(Programme_Grunddaten!$A844="Geprüft",Programme_Grunddaten!AL844&lt;&gt;""),IF(Programme_Grunddaten!AL844="Ja",1,0),"")</f>
        <v/>
      </c>
      <c r="AE839" s="1" t="str">
        <f>IF(AND(Programme_Grunddaten!$A844="Geprüft",Programme_Grunddaten!AM844&lt;&gt;""),IF(Programme_Grunddaten!AM844="Ja",1,0),"")</f>
        <v/>
      </c>
      <c r="AF839" s="1" t="str">
        <f>IF(AND(Programme_Grunddaten!$A844="Geprüft",Programme_Grunddaten!AN844&lt;&gt;""),IF(Programme_Grunddaten!AN844="Ja",1,0),"")</f>
        <v/>
      </c>
      <c r="AG839" s="1" t="str">
        <f>IF(AND(Programme_Grunddaten!$A844="Geprüft",Programme_Grunddaten!AO844&lt;&gt;""),IF(Programme_Grunddaten!AO844="Ja",1,0),"")</f>
        <v/>
      </c>
      <c r="AH839" s="1" t="str">
        <f>IF(AND(Programme_Grunddaten!$A844="Geprüft",Programme_Grunddaten!AP844&lt;&gt;""),IF(Programme_Grunddaten!AP844="Ja",1,0),"")</f>
        <v/>
      </c>
      <c r="AI839" s="1" t="str">
        <f>IF(AND(Programme_Grunddaten!$A844="Geprüft",Programme_Grunddaten!AQ844&lt;&gt;""),IF(Programme_Grunddaten!AQ844="Ja",1,0),"")</f>
        <v/>
      </c>
      <c r="AJ839" s="1" t="str">
        <f>IF(AND(Programme_Grunddaten!$A844="Geprüft",Programme_Grunddaten!AR844&lt;&gt;""),IF(Programme_Grunddaten!AR844="Ja",1,0),"")</f>
        <v/>
      </c>
      <c r="AK839" s="1" t="str">
        <f>IF(AND(Programme_Grunddaten!$A844="Geprüft",Programme_Grunddaten!AS844&lt;&gt;""),IF(Programme_Grunddaten!AS844="Ja",1,0),"")</f>
        <v/>
      </c>
      <c r="AL839" s="1" t="str">
        <f>IF(AND(Programme_Grunddaten!$A844="Geprüft",Programme_Grunddaten!AT844&lt;&gt;""),IF(Programme_Grunddaten!AT844="Ja",1,0),"")</f>
        <v/>
      </c>
      <c r="AM839" s="1" t="str">
        <f>IF(AND(Programme_Grunddaten!$A844="Geprüft",Programme_Grunddaten!AU844&lt;&gt;""),IF(Programme_Grunddaten!AU844="Ja",1,0),"")</f>
        <v/>
      </c>
      <c r="AN839" s="1" t="str">
        <f>IF(AND(Programme_Grunddaten!$A844="Geprüft",Programme_Grunddaten!AV844&lt;&gt;""),IF(Programme_Grunddaten!AV844="Ja",1,0),"")</f>
        <v/>
      </c>
    </row>
    <row r="840" spans="1:40" x14ac:dyDescent="0.3">
      <c r="A840" s="1" t="str">
        <f>IF(AND(Programme_Grunddaten!A845="Geprüft",Programme_Grunddaten!B845&lt;&gt;""),Programme_Grunddaten!B845,"")</f>
        <v/>
      </c>
      <c r="B840" s="1" t="str">
        <f>IF(AND(Programme_Grunddaten!$A845="Geprüft",Programme_Grunddaten!I845&lt;&gt;""),IF(Programme_Grunddaten!I845="Ja",1,0),"")</f>
        <v/>
      </c>
      <c r="C840" s="1" t="str">
        <f>IF(AND(Programme_Grunddaten!$A845="Geprüft",Programme_Grunddaten!J845&lt;&gt;""),IF(Programme_Grunddaten!J845="Ja",1,0),"")</f>
        <v/>
      </c>
      <c r="D840" s="1" t="str">
        <f>IF(AND(Programme_Grunddaten!$A845="Geprüft",Programme_Grunddaten!K845&lt;&gt;""),IF(Programme_Grunddaten!K845="Ja",1,0),"")</f>
        <v/>
      </c>
      <c r="E840" s="1" t="str">
        <f>IF(AND(Programme_Grunddaten!$A845="Geprüft",Programme_Grunddaten!L845&lt;&gt;""),IF(Programme_Grunddaten!L845="Abo / befristete Lizenz",1,0),"")</f>
        <v/>
      </c>
      <c r="F840" s="1" t="str">
        <f>IF(AND(Programme_Grunddaten!$A845="Geprüft",Programme_Grunddaten!M845&lt;&gt;""),IF(Programme_Grunddaten!M845="Ja",1,0),"")</f>
        <v/>
      </c>
      <c r="G840" s="1" t="str">
        <f>IF(AND(Programme_Grunddaten!$A845="Geprüft",Programme_Grunddaten!N845&lt;&gt;""),IF(Programme_Grunddaten!N845="Ja",1,0),"")</f>
        <v/>
      </c>
      <c r="H840" s="1" t="str">
        <f>IF(AND(Programme_Grunddaten!$A845="Geprüft",Programme_Grunddaten!O845&lt;&gt;""),IF(Programme_Grunddaten!O845="Deutschland",0,IF(Programme_Grunddaten!O845="EU",1,2)),"")</f>
        <v/>
      </c>
      <c r="I840" s="1" t="str">
        <f>IF(AND(Programme_Grunddaten!$A845="Geprüft",Programme_Grunddaten!P845&lt;&gt;""),IF(Programme_Grunddaten!P845="Ja",1,0),"")</f>
        <v/>
      </c>
      <c r="J840" s="1" t="str">
        <f>IF(AND(Programme_Grunddaten!$A845="Geprüft",Programme_Grunddaten!Q845&lt;&gt;""),IF(Programme_Grunddaten!Q845="geschlossenes System",1,0),"")</f>
        <v/>
      </c>
      <c r="K840" s="1" t="str">
        <f>IF(AND(Programme_Grunddaten!$A845="Geprüft",Programme_Grunddaten!R845&lt;&gt;""),IF(Programme_Grunddaten!R845="Ja",1,0),"")</f>
        <v/>
      </c>
      <c r="L840" s="1" t="str">
        <f>IF(AND(Programme_Grunddaten!$A845="Geprüft",Programme_Grunddaten!T845&lt;&gt;""),IF(Programme_Grunddaten!T845="Ja",1,0),"")</f>
        <v/>
      </c>
      <c r="M840" s="1" t="str">
        <f>IF(AND(Programme_Grunddaten!$A845="Geprüft",Programme_Grunddaten!U845&lt;&gt;""),IF(Programme_Grunddaten!U845="Ja",1,0),"")</f>
        <v/>
      </c>
      <c r="N840" s="1" t="str">
        <f>IF(AND(Programme_Grunddaten!$A845="Geprüft",Programme_Grunddaten!V845&lt;&gt;""),IF(Programme_Grunddaten!V845="Ja",1,0),"")</f>
        <v/>
      </c>
      <c r="O840" s="1" t="str">
        <f>IF(AND(Programme_Grunddaten!$A845="Geprüft",Programme_Grunddaten!W845&lt;&gt;""),IF(Programme_Grunddaten!W845="Ja",1,0),"")</f>
        <v/>
      </c>
      <c r="P840" s="1" t="str">
        <f>IF(AND(Programme_Grunddaten!$A845="Geprüft",Programme_Grunddaten!X845&lt;&gt;""),IF(Programme_Grunddaten!X845="Ja",1,0),"")</f>
        <v/>
      </c>
      <c r="Q840" s="1" t="str">
        <f>IF(AND(Programme_Grunddaten!$A845="Geprüft",Programme_Grunddaten!Y845&lt;&gt;""),IF(Programme_Grunddaten!Y845="Ja",1,0),"")</f>
        <v/>
      </c>
      <c r="R840" s="1" t="str">
        <f>IF(AND(Programme_Grunddaten!$A845="Geprüft",Programme_Grunddaten!Z845&lt;&gt;""),IF(Programme_Grunddaten!Z845="Ja",1,0),"")</f>
        <v/>
      </c>
      <c r="S840" s="1" t="str">
        <f>IF(AND(Programme_Grunddaten!$A845="Geprüft",Programme_Grunddaten!AA845&lt;&gt;""),IF(Programme_Grunddaten!AA845="monolithisch",1,0),"")</f>
        <v/>
      </c>
      <c r="T840" s="1" t="str">
        <f>IF(AND(Programme_Grunddaten!$A845="Geprüft",Programme_Grunddaten!AB845&lt;&gt;""),IF(Programme_Grunddaten!AB845="Ja",1,0),"")</f>
        <v/>
      </c>
      <c r="U840" s="1" t="str">
        <f>IF(AND(Programme_Grunddaten!$A845="Geprüft",Programme_Grunddaten!AC845&lt;&gt;""),IF(Programme_Grunddaten!AC845="Ja",1,0),"")</f>
        <v/>
      </c>
      <c r="V840" s="1" t="str">
        <f>IF(AND(Programme_Grunddaten!$A845="Geprüft",Programme_Grunddaten!AD845&lt;&gt;""),IF(Programme_Grunddaten!AD845="Ja",1,0),"")</f>
        <v/>
      </c>
      <c r="W840" s="1" t="str">
        <f>IF(AND(Programme_Grunddaten!$A845="Geprüft",Programme_Grunddaten!AE845&lt;&gt;""),IF(Programme_Grunddaten!AE845="Ja",1,0),"")</f>
        <v/>
      </c>
      <c r="X840" s="1" t="str">
        <f>IF(AND(Programme_Grunddaten!$A845="Geprüft",Programme_Grunddaten!AF845&lt;&gt;""),IF(Programme_Grunddaten!AF845="Ja",1,0),"")</f>
        <v/>
      </c>
      <c r="Y840" s="1" t="str">
        <f>IF(AND(Programme_Grunddaten!$A845="Geprüft",Programme_Grunddaten!AG845&lt;&gt;""),IF(Programme_Grunddaten!AG845="Ja",1,0),"")</f>
        <v/>
      </c>
      <c r="Z840" s="1" t="str">
        <f>IF(AND(Programme_Grunddaten!$A845="Geprüft",Programme_Grunddaten!AH845&lt;&gt;""),IF(Programme_Grunddaten!AH845="Ja",1,0),"")</f>
        <v/>
      </c>
      <c r="AA840" s="1" t="str">
        <f>IF(AND(Programme_Grunddaten!$A845="Geprüft",Programme_Grunddaten!AI845&lt;&gt;""),IF(Programme_Grunddaten!AI845="Ja",1,0),"")</f>
        <v/>
      </c>
      <c r="AB840" s="1" t="str">
        <f>IF(AND(Programme_Grunddaten!$A845="Geprüft",Programme_Grunddaten!AJ845&lt;&gt;""),IF(Programme_Grunddaten!AJ845="individuell programmierbar",1,0),"")</f>
        <v/>
      </c>
      <c r="AC840" s="1" t="str">
        <f>IF(AND(Programme_Grunddaten!$A845="Geprüft",Programme_Grunddaten!AK845&lt;&gt;""),IF(Programme_Grunddaten!AK845="Deutsch",0,IF(Programme_Grunddaten!AK845="Deutsch und Englisch",1,2)),"")</f>
        <v/>
      </c>
      <c r="AD840" s="1" t="str">
        <f>IF(AND(Programme_Grunddaten!$A845="Geprüft",Programme_Grunddaten!AL845&lt;&gt;""),IF(Programme_Grunddaten!AL845="Ja",1,0),"")</f>
        <v/>
      </c>
      <c r="AE840" s="1" t="str">
        <f>IF(AND(Programme_Grunddaten!$A845="Geprüft",Programme_Grunddaten!AM845&lt;&gt;""),IF(Programme_Grunddaten!AM845="Ja",1,0),"")</f>
        <v/>
      </c>
      <c r="AF840" s="1" t="str">
        <f>IF(AND(Programme_Grunddaten!$A845="Geprüft",Programme_Grunddaten!AN845&lt;&gt;""),IF(Programme_Grunddaten!AN845="Ja",1,0),"")</f>
        <v/>
      </c>
      <c r="AG840" s="1" t="str">
        <f>IF(AND(Programme_Grunddaten!$A845="Geprüft",Programme_Grunddaten!AO845&lt;&gt;""),IF(Programme_Grunddaten!AO845="Ja",1,0),"")</f>
        <v/>
      </c>
      <c r="AH840" s="1" t="str">
        <f>IF(AND(Programme_Grunddaten!$A845="Geprüft",Programme_Grunddaten!AP845&lt;&gt;""),IF(Programme_Grunddaten!AP845="Ja",1,0),"")</f>
        <v/>
      </c>
      <c r="AI840" s="1" t="str">
        <f>IF(AND(Programme_Grunddaten!$A845="Geprüft",Programme_Grunddaten!AQ845&lt;&gt;""),IF(Programme_Grunddaten!AQ845="Ja",1,0),"")</f>
        <v/>
      </c>
      <c r="AJ840" s="1" t="str">
        <f>IF(AND(Programme_Grunddaten!$A845="Geprüft",Programme_Grunddaten!AR845&lt;&gt;""),IF(Programme_Grunddaten!AR845="Ja",1,0),"")</f>
        <v/>
      </c>
      <c r="AK840" s="1" t="str">
        <f>IF(AND(Programme_Grunddaten!$A845="Geprüft",Programme_Grunddaten!AS845&lt;&gt;""),IF(Programme_Grunddaten!AS845="Ja",1,0),"")</f>
        <v/>
      </c>
      <c r="AL840" s="1" t="str">
        <f>IF(AND(Programme_Grunddaten!$A845="Geprüft",Programme_Grunddaten!AT845&lt;&gt;""),IF(Programme_Grunddaten!AT845="Ja",1,0),"")</f>
        <v/>
      </c>
      <c r="AM840" s="1" t="str">
        <f>IF(AND(Programme_Grunddaten!$A845="Geprüft",Programme_Grunddaten!AU845&lt;&gt;""),IF(Programme_Grunddaten!AU845="Ja",1,0),"")</f>
        <v/>
      </c>
      <c r="AN840" s="1" t="str">
        <f>IF(AND(Programme_Grunddaten!$A845="Geprüft",Programme_Grunddaten!AV845&lt;&gt;""),IF(Programme_Grunddaten!AV845="Ja",1,0),"")</f>
        <v/>
      </c>
    </row>
    <row r="841" spans="1:40" x14ac:dyDescent="0.3">
      <c r="A841" s="1" t="str">
        <f>IF(AND(Programme_Grunddaten!A846="Geprüft",Programme_Grunddaten!B846&lt;&gt;""),Programme_Grunddaten!B846,"")</f>
        <v/>
      </c>
      <c r="B841" s="1" t="str">
        <f>IF(AND(Programme_Grunddaten!$A846="Geprüft",Programme_Grunddaten!I846&lt;&gt;""),IF(Programme_Grunddaten!I846="Ja",1,0),"")</f>
        <v/>
      </c>
      <c r="C841" s="1" t="str">
        <f>IF(AND(Programme_Grunddaten!$A846="Geprüft",Programme_Grunddaten!J846&lt;&gt;""),IF(Programme_Grunddaten!J846="Ja",1,0),"")</f>
        <v/>
      </c>
      <c r="D841" s="1" t="str">
        <f>IF(AND(Programme_Grunddaten!$A846="Geprüft",Programme_Grunddaten!K846&lt;&gt;""),IF(Programme_Grunddaten!K846="Ja",1,0),"")</f>
        <v/>
      </c>
      <c r="E841" s="1" t="str">
        <f>IF(AND(Programme_Grunddaten!$A846="Geprüft",Programme_Grunddaten!L846&lt;&gt;""),IF(Programme_Grunddaten!L846="Abo / befristete Lizenz",1,0),"")</f>
        <v/>
      </c>
      <c r="F841" s="1" t="str">
        <f>IF(AND(Programme_Grunddaten!$A846="Geprüft",Programme_Grunddaten!M846&lt;&gt;""),IF(Programme_Grunddaten!M846="Ja",1,0),"")</f>
        <v/>
      </c>
      <c r="G841" s="1" t="str">
        <f>IF(AND(Programme_Grunddaten!$A846="Geprüft",Programme_Grunddaten!N846&lt;&gt;""),IF(Programme_Grunddaten!N846="Ja",1,0),"")</f>
        <v/>
      </c>
      <c r="H841" s="1" t="str">
        <f>IF(AND(Programme_Grunddaten!$A846="Geprüft",Programme_Grunddaten!O846&lt;&gt;""),IF(Programme_Grunddaten!O846="Deutschland",0,IF(Programme_Grunddaten!O846="EU",1,2)),"")</f>
        <v/>
      </c>
      <c r="I841" s="1" t="str">
        <f>IF(AND(Programme_Grunddaten!$A846="Geprüft",Programme_Grunddaten!P846&lt;&gt;""),IF(Programme_Grunddaten!P846="Ja",1,0),"")</f>
        <v/>
      </c>
      <c r="J841" s="1" t="str">
        <f>IF(AND(Programme_Grunddaten!$A846="Geprüft",Programme_Grunddaten!Q846&lt;&gt;""),IF(Programme_Grunddaten!Q846="geschlossenes System",1,0),"")</f>
        <v/>
      </c>
      <c r="K841" s="1" t="str">
        <f>IF(AND(Programme_Grunddaten!$A846="Geprüft",Programme_Grunddaten!R846&lt;&gt;""),IF(Programme_Grunddaten!R846="Ja",1,0),"")</f>
        <v/>
      </c>
      <c r="L841" s="1" t="str">
        <f>IF(AND(Programme_Grunddaten!$A846="Geprüft",Programme_Grunddaten!T846&lt;&gt;""),IF(Programme_Grunddaten!T846="Ja",1,0),"")</f>
        <v/>
      </c>
      <c r="M841" s="1" t="str">
        <f>IF(AND(Programme_Grunddaten!$A846="Geprüft",Programme_Grunddaten!U846&lt;&gt;""),IF(Programme_Grunddaten!U846="Ja",1,0),"")</f>
        <v/>
      </c>
      <c r="N841" s="1" t="str">
        <f>IF(AND(Programme_Grunddaten!$A846="Geprüft",Programme_Grunddaten!V846&lt;&gt;""),IF(Programme_Grunddaten!V846="Ja",1,0),"")</f>
        <v/>
      </c>
      <c r="O841" s="1" t="str">
        <f>IF(AND(Programme_Grunddaten!$A846="Geprüft",Programme_Grunddaten!W846&lt;&gt;""),IF(Programme_Grunddaten!W846="Ja",1,0),"")</f>
        <v/>
      </c>
      <c r="P841" s="1" t="str">
        <f>IF(AND(Programme_Grunddaten!$A846="Geprüft",Programme_Grunddaten!X846&lt;&gt;""),IF(Programme_Grunddaten!X846="Ja",1,0),"")</f>
        <v/>
      </c>
      <c r="Q841" s="1" t="str">
        <f>IF(AND(Programme_Grunddaten!$A846="Geprüft",Programme_Grunddaten!Y846&lt;&gt;""),IF(Programme_Grunddaten!Y846="Ja",1,0),"")</f>
        <v/>
      </c>
      <c r="R841" s="1" t="str">
        <f>IF(AND(Programme_Grunddaten!$A846="Geprüft",Programme_Grunddaten!Z846&lt;&gt;""),IF(Programme_Grunddaten!Z846="Ja",1,0),"")</f>
        <v/>
      </c>
      <c r="S841" s="1" t="str">
        <f>IF(AND(Programme_Grunddaten!$A846="Geprüft",Programme_Grunddaten!AA846&lt;&gt;""),IF(Programme_Grunddaten!AA846="monolithisch",1,0),"")</f>
        <v/>
      </c>
      <c r="T841" s="1" t="str">
        <f>IF(AND(Programme_Grunddaten!$A846="Geprüft",Programme_Grunddaten!AB846&lt;&gt;""),IF(Programme_Grunddaten!AB846="Ja",1,0),"")</f>
        <v/>
      </c>
      <c r="U841" s="1" t="str">
        <f>IF(AND(Programme_Grunddaten!$A846="Geprüft",Programme_Grunddaten!AC846&lt;&gt;""),IF(Programme_Grunddaten!AC846="Ja",1,0),"")</f>
        <v/>
      </c>
      <c r="V841" s="1" t="str">
        <f>IF(AND(Programme_Grunddaten!$A846="Geprüft",Programme_Grunddaten!AD846&lt;&gt;""),IF(Programme_Grunddaten!AD846="Ja",1,0),"")</f>
        <v/>
      </c>
      <c r="W841" s="1" t="str">
        <f>IF(AND(Programme_Grunddaten!$A846="Geprüft",Programme_Grunddaten!AE846&lt;&gt;""),IF(Programme_Grunddaten!AE846="Ja",1,0),"")</f>
        <v/>
      </c>
      <c r="X841" s="1" t="str">
        <f>IF(AND(Programme_Grunddaten!$A846="Geprüft",Programme_Grunddaten!AF846&lt;&gt;""),IF(Programme_Grunddaten!AF846="Ja",1,0),"")</f>
        <v/>
      </c>
      <c r="Y841" s="1" t="str">
        <f>IF(AND(Programme_Grunddaten!$A846="Geprüft",Programme_Grunddaten!AG846&lt;&gt;""),IF(Programme_Grunddaten!AG846="Ja",1,0),"")</f>
        <v/>
      </c>
      <c r="Z841" s="1" t="str">
        <f>IF(AND(Programme_Grunddaten!$A846="Geprüft",Programme_Grunddaten!AH846&lt;&gt;""),IF(Programme_Grunddaten!AH846="Ja",1,0),"")</f>
        <v/>
      </c>
      <c r="AA841" s="1" t="str">
        <f>IF(AND(Programme_Grunddaten!$A846="Geprüft",Programme_Grunddaten!AI846&lt;&gt;""),IF(Programme_Grunddaten!AI846="Ja",1,0),"")</f>
        <v/>
      </c>
      <c r="AB841" s="1" t="str">
        <f>IF(AND(Programme_Grunddaten!$A846="Geprüft",Programme_Grunddaten!AJ846&lt;&gt;""),IF(Programme_Grunddaten!AJ846="individuell programmierbar",1,0),"")</f>
        <v/>
      </c>
      <c r="AC841" s="1" t="str">
        <f>IF(AND(Programme_Grunddaten!$A846="Geprüft",Programme_Grunddaten!AK846&lt;&gt;""),IF(Programme_Grunddaten!AK846="Deutsch",0,IF(Programme_Grunddaten!AK846="Deutsch und Englisch",1,2)),"")</f>
        <v/>
      </c>
      <c r="AD841" s="1" t="str">
        <f>IF(AND(Programme_Grunddaten!$A846="Geprüft",Programme_Grunddaten!AL846&lt;&gt;""),IF(Programme_Grunddaten!AL846="Ja",1,0),"")</f>
        <v/>
      </c>
      <c r="AE841" s="1" t="str">
        <f>IF(AND(Programme_Grunddaten!$A846="Geprüft",Programme_Grunddaten!AM846&lt;&gt;""),IF(Programme_Grunddaten!AM846="Ja",1,0),"")</f>
        <v/>
      </c>
      <c r="AF841" s="1" t="str">
        <f>IF(AND(Programme_Grunddaten!$A846="Geprüft",Programme_Grunddaten!AN846&lt;&gt;""),IF(Programme_Grunddaten!AN846="Ja",1,0),"")</f>
        <v/>
      </c>
      <c r="AG841" s="1" t="str">
        <f>IF(AND(Programme_Grunddaten!$A846="Geprüft",Programme_Grunddaten!AO846&lt;&gt;""),IF(Programme_Grunddaten!AO846="Ja",1,0),"")</f>
        <v/>
      </c>
      <c r="AH841" s="1" t="str">
        <f>IF(AND(Programme_Grunddaten!$A846="Geprüft",Programme_Grunddaten!AP846&lt;&gt;""),IF(Programme_Grunddaten!AP846="Ja",1,0),"")</f>
        <v/>
      </c>
      <c r="AI841" s="1" t="str">
        <f>IF(AND(Programme_Grunddaten!$A846="Geprüft",Programme_Grunddaten!AQ846&lt;&gt;""),IF(Programme_Grunddaten!AQ846="Ja",1,0),"")</f>
        <v/>
      </c>
      <c r="AJ841" s="1" t="str">
        <f>IF(AND(Programme_Grunddaten!$A846="Geprüft",Programme_Grunddaten!AR846&lt;&gt;""),IF(Programme_Grunddaten!AR846="Ja",1,0),"")</f>
        <v/>
      </c>
      <c r="AK841" s="1" t="str">
        <f>IF(AND(Programme_Grunddaten!$A846="Geprüft",Programme_Grunddaten!AS846&lt;&gt;""),IF(Programme_Grunddaten!AS846="Ja",1,0),"")</f>
        <v/>
      </c>
      <c r="AL841" s="1" t="str">
        <f>IF(AND(Programme_Grunddaten!$A846="Geprüft",Programme_Grunddaten!AT846&lt;&gt;""),IF(Programme_Grunddaten!AT846="Ja",1,0),"")</f>
        <v/>
      </c>
      <c r="AM841" s="1" t="str">
        <f>IF(AND(Programme_Grunddaten!$A846="Geprüft",Programme_Grunddaten!AU846&lt;&gt;""),IF(Programme_Grunddaten!AU846="Ja",1,0),"")</f>
        <v/>
      </c>
      <c r="AN841" s="1" t="str">
        <f>IF(AND(Programme_Grunddaten!$A846="Geprüft",Programme_Grunddaten!AV846&lt;&gt;""),IF(Programme_Grunddaten!AV846="Ja",1,0),"")</f>
        <v/>
      </c>
    </row>
    <row r="842" spans="1:40" x14ac:dyDescent="0.3">
      <c r="A842" s="1" t="str">
        <f>IF(AND(Programme_Grunddaten!A847="Geprüft",Programme_Grunddaten!B847&lt;&gt;""),Programme_Grunddaten!B847,"")</f>
        <v/>
      </c>
      <c r="B842" s="1" t="str">
        <f>IF(AND(Programme_Grunddaten!$A847="Geprüft",Programme_Grunddaten!I847&lt;&gt;""),IF(Programme_Grunddaten!I847="Ja",1,0),"")</f>
        <v/>
      </c>
      <c r="C842" s="1" t="str">
        <f>IF(AND(Programme_Grunddaten!$A847="Geprüft",Programme_Grunddaten!J847&lt;&gt;""),IF(Programme_Grunddaten!J847="Ja",1,0),"")</f>
        <v/>
      </c>
      <c r="D842" s="1" t="str">
        <f>IF(AND(Programme_Grunddaten!$A847="Geprüft",Programme_Grunddaten!K847&lt;&gt;""),IF(Programme_Grunddaten!K847="Ja",1,0),"")</f>
        <v/>
      </c>
      <c r="E842" s="1" t="str">
        <f>IF(AND(Programme_Grunddaten!$A847="Geprüft",Programme_Grunddaten!L847&lt;&gt;""),IF(Programme_Grunddaten!L847="Abo / befristete Lizenz",1,0),"")</f>
        <v/>
      </c>
      <c r="F842" s="1" t="str">
        <f>IF(AND(Programme_Grunddaten!$A847="Geprüft",Programme_Grunddaten!M847&lt;&gt;""),IF(Programme_Grunddaten!M847="Ja",1,0),"")</f>
        <v/>
      </c>
      <c r="G842" s="1" t="str">
        <f>IF(AND(Programme_Grunddaten!$A847="Geprüft",Programme_Grunddaten!N847&lt;&gt;""),IF(Programme_Grunddaten!N847="Ja",1,0),"")</f>
        <v/>
      </c>
      <c r="H842" s="1" t="str">
        <f>IF(AND(Programme_Grunddaten!$A847="Geprüft",Programme_Grunddaten!O847&lt;&gt;""),IF(Programme_Grunddaten!O847="Deutschland",0,IF(Programme_Grunddaten!O847="EU",1,2)),"")</f>
        <v/>
      </c>
      <c r="I842" s="1" t="str">
        <f>IF(AND(Programme_Grunddaten!$A847="Geprüft",Programme_Grunddaten!P847&lt;&gt;""),IF(Programme_Grunddaten!P847="Ja",1,0),"")</f>
        <v/>
      </c>
      <c r="J842" s="1" t="str">
        <f>IF(AND(Programme_Grunddaten!$A847="Geprüft",Programme_Grunddaten!Q847&lt;&gt;""),IF(Programme_Grunddaten!Q847="geschlossenes System",1,0),"")</f>
        <v/>
      </c>
      <c r="K842" s="1" t="str">
        <f>IF(AND(Programme_Grunddaten!$A847="Geprüft",Programme_Grunddaten!R847&lt;&gt;""),IF(Programme_Grunddaten!R847="Ja",1,0),"")</f>
        <v/>
      </c>
      <c r="L842" s="1" t="str">
        <f>IF(AND(Programme_Grunddaten!$A847="Geprüft",Programme_Grunddaten!T847&lt;&gt;""),IF(Programme_Grunddaten!T847="Ja",1,0),"")</f>
        <v/>
      </c>
      <c r="M842" s="1" t="str">
        <f>IF(AND(Programme_Grunddaten!$A847="Geprüft",Programme_Grunddaten!U847&lt;&gt;""),IF(Programme_Grunddaten!U847="Ja",1,0),"")</f>
        <v/>
      </c>
      <c r="N842" s="1" t="str">
        <f>IF(AND(Programme_Grunddaten!$A847="Geprüft",Programme_Grunddaten!V847&lt;&gt;""),IF(Programme_Grunddaten!V847="Ja",1,0),"")</f>
        <v/>
      </c>
      <c r="O842" s="1" t="str">
        <f>IF(AND(Programme_Grunddaten!$A847="Geprüft",Programme_Grunddaten!W847&lt;&gt;""),IF(Programme_Grunddaten!W847="Ja",1,0),"")</f>
        <v/>
      </c>
      <c r="P842" s="1" t="str">
        <f>IF(AND(Programme_Grunddaten!$A847="Geprüft",Programme_Grunddaten!X847&lt;&gt;""),IF(Programme_Grunddaten!X847="Ja",1,0),"")</f>
        <v/>
      </c>
      <c r="Q842" s="1" t="str">
        <f>IF(AND(Programme_Grunddaten!$A847="Geprüft",Programme_Grunddaten!Y847&lt;&gt;""),IF(Programme_Grunddaten!Y847="Ja",1,0),"")</f>
        <v/>
      </c>
      <c r="R842" s="1" t="str">
        <f>IF(AND(Programme_Grunddaten!$A847="Geprüft",Programme_Grunddaten!Z847&lt;&gt;""),IF(Programme_Grunddaten!Z847="Ja",1,0),"")</f>
        <v/>
      </c>
      <c r="S842" s="1" t="str">
        <f>IF(AND(Programme_Grunddaten!$A847="Geprüft",Programme_Grunddaten!AA847&lt;&gt;""),IF(Programme_Grunddaten!AA847="monolithisch",1,0),"")</f>
        <v/>
      </c>
      <c r="T842" s="1" t="str">
        <f>IF(AND(Programme_Grunddaten!$A847="Geprüft",Programme_Grunddaten!AB847&lt;&gt;""),IF(Programme_Grunddaten!AB847="Ja",1,0),"")</f>
        <v/>
      </c>
      <c r="U842" s="1" t="str">
        <f>IF(AND(Programme_Grunddaten!$A847="Geprüft",Programme_Grunddaten!AC847&lt;&gt;""),IF(Programme_Grunddaten!AC847="Ja",1,0),"")</f>
        <v/>
      </c>
      <c r="V842" s="1" t="str">
        <f>IF(AND(Programme_Grunddaten!$A847="Geprüft",Programme_Grunddaten!AD847&lt;&gt;""),IF(Programme_Grunddaten!AD847="Ja",1,0),"")</f>
        <v/>
      </c>
      <c r="W842" s="1" t="str">
        <f>IF(AND(Programme_Grunddaten!$A847="Geprüft",Programme_Grunddaten!AE847&lt;&gt;""),IF(Programme_Grunddaten!AE847="Ja",1,0),"")</f>
        <v/>
      </c>
      <c r="X842" s="1" t="str">
        <f>IF(AND(Programme_Grunddaten!$A847="Geprüft",Programme_Grunddaten!AF847&lt;&gt;""),IF(Programme_Grunddaten!AF847="Ja",1,0),"")</f>
        <v/>
      </c>
      <c r="Y842" s="1" t="str">
        <f>IF(AND(Programme_Grunddaten!$A847="Geprüft",Programme_Grunddaten!AG847&lt;&gt;""),IF(Programme_Grunddaten!AG847="Ja",1,0),"")</f>
        <v/>
      </c>
      <c r="Z842" s="1" t="str">
        <f>IF(AND(Programme_Grunddaten!$A847="Geprüft",Programme_Grunddaten!AH847&lt;&gt;""),IF(Programme_Grunddaten!AH847="Ja",1,0),"")</f>
        <v/>
      </c>
      <c r="AA842" s="1" t="str">
        <f>IF(AND(Programme_Grunddaten!$A847="Geprüft",Programme_Grunddaten!AI847&lt;&gt;""),IF(Programme_Grunddaten!AI847="Ja",1,0),"")</f>
        <v/>
      </c>
      <c r="AB842" s="1" t="str">
        <f>IF(AND(Programme_Grunddaten!$A847="Geprüft",Programme_Grunddaten!AJ847&lt;&gt;""),IF(Programme_Grunddaten!AJ847="individuell programmierbar",1,0),"")</f>
        <v/>
      </c>
      <c r="AC842" s="1" t="str">
        <f>IF(AND(Programme_Grunddaten!$A847="Geprüft",Programme_Grunddaten!AK847&lt;&gt;""),IF(Programme_Grunddaten!AK847="Deutsch",0,IF(Programme_Grunddaten!AK847="Deutsch und Englisch",1,2)),"")</f>
        <v/>
      </c>
      <c r="AD842" s="1" t="str">
        <f>IF(AND(Programme_Grunddaten!$A847="Geprüft",Programme_Grunddaten!AL847&lt;&gt;""),IF(Programme_Grunddaten!AL847="Ja",1,0),"")</f>
        <v/>
      </c>
      <c r="AE842" s="1" t="str">
        <f>IF(AND(Programme_Grunddaten!$A847="Geprüft",Programme_Grunddaten!AM847&lt;&gt;""),IF(Programme_Grunddaten!AM847="Ja",1,0),"")</f>
        <v/>
      </c>
      <c r="AF842" s="1" t="str">
        <f>IF(AND(Programme_Grunddaten!$A847="Geprüft",Programme_Grunddaten!AN847&lt;&gt;""),IF(Programme_Grunddaten!AN847="Ja",1,0),"")</f>
        <v/>
      </c>
      <c r="AG842" s="1" t="str">
        <f>IF(AND(Programme_Grunddaten!$A847="Geprüft",Programme_Grunddaten!AO847&lt;&gt;""),IF(Programme_Grunddaten!AO847="Ja",1,0),"")</f>
        <v/>
      </c>
      <c r="AH842" s="1" t="str">
        <f>IF(AND(Programme_Grunddaten!$A847="Geprüft",Programme_Grunddaten!AP847&lt;&gt;""),IF(Programme_Grunddaten!AP847="Ja",1,0),"")</f>
        <v/>
      </c>
      <c r="AI842" s="1" t="str">
        <f>IF(AND(Programme_Grunddaten!$A847="Geprüft",Programme_Grunddaten!AQ847&lt;&gt;""),IF(Programme_Grunddaten!AQ847="Ja",1,0),"")</f>
        <v/>
      </c>
      <c r="AJ842" s="1" t="str">
        <f>IF(AND(Programme_Grunddaten!$A847="Geprüft",Programme_Grunddaten!AR847&lt;&gt;""),IF(Programme_Grunddaten!AR847="Ja",1,0),"")</f>
        <v/>
      </c>
      <c r="AK842" s="1" t="str">
        <f>IF(AND(Programme_Grunddaten!$A847="Geprüft",Programme_Grunddaten!AS847&lt;&gt;""),IF(Programme_Grunddaten!AS847="Ja",1,0),"")</f>
        <v/>
      </c>
      <c r="AL842" s="1" t="str">
        <f>IF(AND(Programme_Grunddaten!$A847="Geprüft",Programme_Grunddaten!AT847&lt;&gt;""),IF(Programme_Grunddaten!AT847="Ja",1,0),"")</f>
        <v/>
      </c>
      <c r="AM842" s="1" t="str">
        <f>IF(AND(Programme_Grunddaten!$A847="Geprüft",Programme_Grunddaten!AU847&lt;&gt;""),IF(Programme_Grunddaten!AU847="Ja",1,0),"")</f>
        <v/>
      </c>
      <c r="AN842" s="1" t="str">
        <f>IF(AND(Programme_Grunddaten!$A847="Geprüft",Programme_Grunddaten!AV847&lt;&gt;""),IF(Programme_Grunddaten!AV847="Ja",1,0),"")</f>
        <v/>
      </c>
    </row>
    <row r="843" spans="1:40" x14ac:dyDescent="0.3">
      <c r="A843" s="1" t="str">
        <f>IF(AND(Programme_Grunddaten!A848="Geprüft",Programme_Grunddaten!B848&lt;&gt;""),Programme_Grunddaten!B848,"")</f>
        <v/>
      </c>
      <c r="B843" s="1" t="str">
        <f>IF(AND(Programme_Grunddaten!$A848="Geprüft",Programme_Grunddaten!I848&lt;&gt;""),IF(Programme_Grunddaten!I848="Ja",1,0),"")</f>
        <v/>
      </c>
      <c r="C843" s="1" t="str">
        <f>IF(AND(Programme_Grunddaten!$A848="Geprüft",Programme_Grunddaten!J848&lt;&gt;""),IF(Programme_Grunddaten!J848="Ja",1,0),"")</f>
        <v/>
      </c>
      <c r="D843" s="1" t="str">
        <f>IF(AND(Programme_Grunddaten!$A848="Geprüft",Programme_Grunddaten!K848&lt;&gt;""),IF(Programme_Grunddaten!K848="Ja",1,0),"")</f>
        <v/>
      </c>
      <c r="E843" s="1" t="str">
        <f>IF(AND(Programme_Grunddaten!$A848="Geprüft",Programme_Grunddaten!L848&lt;&gt;""),IF(Programme_Grunddaten!L848="Abo / befristete Lizenz",1,0),"")</f>
        <v/>
      </c>
      <c r="F843" s="1" t="str">
        <f>IF(AND(Programme_Grunddaten!$A848="Geprüft",Programme_Grunddaten!M848&lt;&gt;""),IF(Programme_Grunddaten!M848="Ja",1,0),"")</f>
        <v/>
      </c>
      <c r="G843" s="1" t="str">
        <f>IF(AND(Programme_Grunddaten!$A848="Geprüft",Programme_Grunddaten!N848&lt;&gt;""),IF(Programme_Grunddaten!N848="Ja",1,0),"")</f>
        <v/>
      </c>
      <c r="H843" s="1" t="str">
        <f>IF(AND(Programme_Grunddaten!$A848="Geprüft",Programme_Grunddaten!O848&lt;&gt;""),IF(Programme_Grunddaten!O848="Deutschland",0,IF(Programme_Grunddaten!O848="EU",1,2)),"")</f>
        <v/>
      </c>
      <c r="I843" s="1" t="str">
        <f>IF(AND(Programme_Grunddaten!$A848="Geprüft",Programme_Grunddaten!P848&lt;&gt;""),IF(Programme_Grunddaten!P848="Ja",1,0),"")</f>
        <v/>
      </c>
      <c r="J843" s="1" t="str">
        <f>IF(AND(Programme_Grunddaten!$A848="Geprüft",Programme_Grunddaten!Q848&lt;&gt;""),IF(Programme_Grunddaten!Q848="geschlossenes System",1,0),"")</f>
        <v/>
      </c>
      <c r="K843" s="1" t="str">
        <f>IF(AND(Programme_Grunddaten!$A848="Geprüft",Programme_Grunddaten!R848&lt;&gt;""),IF(Programme_Grunddaten!R848="Ja",1,0),"")</f>
        <v/>
      </c>
      <c r="L843" s="1" t="str">
        <f>IF(AND(Programme_Grunddaten!$A848="Geprüft",Programme_Grunddaten!T848&lt;&gt;""),IF(Programme_Grunddaten!T848="Ja",1,0),"")</f>
        <v/>
      </c>
      <c r="M843" s="1" t="str">
        <f>IF(AND(Programme_Grunddaten!$A848="Geprüft",Programme_Grunddaten!U848&lt;&gt;""),IF(Programme_Grunddaten!U848="Ja",1,0),"")</f>
        <v/>
      </c>
      <c r="N843" s="1" t="str">
        <f>IF(AND(Programme_Grunddaten!$A848="Geprüft",Programme_Grunddaten!V848&lt;&gt;""),IF(Programme_Grunddaten!V848="Ja",1,0),"")</f>
        <v/>
      </c>
      <c r="O843" s="1" t="str">
        <f>IF(AND(Programme_Grunddaten!$A848="Geprüft",Programme_Grunddaten!W848&lt;&gt;""),IF(Programme_Grunddaten!W848="Ja",1,0),"")</f>
        <v/>
      </c>
      <c r="P843" s="1" t="str">
        <f>IF(AND(Programme_Grunddaten!$A848="Geprüft",Programme_Grunddaten!X848&lt;&gt;""),IF(Programme_Grunddaten!X848="Ja",1,0),"")</f>
        <v/>
      </c>
      <c r="Q843" s="1" t="str">
        <f>IF(AND(Programme_Grunddaten!$A848="Geprüft",Programme_Grunddaten!Y848&lt;&gt;""),IF(Programme_Grunddaten!Y848="Ja",1,0),"")</f>
        <v/>
      </c>
      <c r="R843" s="1" t="str">
        <f>IF(AND(Programme_Grunddaten!$A848="Geprüft",Programme_Grunddaten!Z848&lt;&gt;""),IF(Programme_Grunddaten!Z848="Ja",1,0),"")</f>
        <v/>
      </c>
      <c r="S843" s="1" t="str">
        <f>IF(AND(Programme_Grunddaten!$A848="Geprüft",Programme_Grunddaten!AA848&lt;&gt;""),IF(Programme_Grunddaten!AA848="monolithisch",1,0),"")</f>
        <v/>
      </c>
      <c r="T843" s="1" t="str">
        <f>IF(AND(Programme_Grunddaten!$A848="Geprüft",Programme_Grunddaten!AB848&lt;&gt;""),IF(Programme_Grunddaten!AB848="Ja",1,0),"")</f>
        <v/>
      </c>
      <c r="U843" s="1" t="str">
        <f>IF(AND(Programme_Grunddaten!$A848="Geprüft",Programme_Grunddaten!AC848&lt;&gt;""),IF(Programme_Grunddaten!AC848="Ja",1,0),"")</f>
        <v/>
      </c>
      <c r="V843" s="1" t="str">
        <f>IF(AND(Programme_Grunddaten!$A848="Geprüft",Programme_Grunddaten!AD848&lt;&gt;""),IF(Programme_Grunddaten!AD848="Ja",1,0),"")</f>
        <v/>
      </c>
      <c r="W843" s="1" t="str">
        <f>IF(AND(Programme_Grunddaten!$A848="Geprüft",Programme_Grunddaten!AE848&lt;&gt;""),IF(Programme_Grunddaten!AE848="Ja",1,0),"")</f>
        <v/>
      </c>
      <c r="X843" s="1" t="str">
        <f>IF(AND(Programme_Grunddaten!$A848="Geprüft",Programme_Grunddaten!AF848&lt;&gt;""),IF(Programme_Grunddaten!AF848="Ja",1,0),"")</f>
        <v/>
      </c>
      <c r="Y843" s="1" t="str">
        <f>IF(AND(Programme_Grunddaten!$A848="Geprüft",Programme_Grunddaten!AG848&lt;&gt;""),IF(Programme_Grunddaten!AG848="Ja",1,0),"")</f>
        <v/>
      </c>
      <c r="Z843" s="1" t="str">
        <f>IF(AND(Programme_Grunddaten!$A848="Geprüft",Programme_Grunddaten!AH848&lt;&gt;""),IF(Programme_Grunddaten!AH848="Ja",1,0),"")</f>
        <v/>
      </c>
      <c r="AA843" s="1" t="str">
        <f>IF(AND(Programme_Grunddaten!$A848="Geprüft",Programme_Grunddaten!AI848&lt;&gt;""),IF(Programme_Grunddaten!AI848="Ja",1,0),"")</f>
        <v/>
      </c>
      <c r="AB843" s="1" t="str">
        <f>IF(AND(Programme_Grunddaten!$A848="Geprüft",Programme_Grunddaten!AJ848&lt;&gt;""),IF(Programme_Grunddaten!AJ848="individuell programmierbar",1,0),"")</f>
        <v/>
      </c>
      <c r="AC843" s="1" t="str">
        <f>IF(AND(Programme_Grunddaten!$A848="Geprüft",Programme_Grunddaten!AK848&lt;&gt;""),IF(Programme_Grunddaten!AK848="Deutsch",0,IF(Programme_Grunddaten!AK848="Deutsch und Englisch",1,2)),"")</f>
        <v/>
      </c>
      <c r="AD843" s="1" t="str">
        <f>IF(AND(Programme_Grunddaten!$A848="Geprüft",Programme_Grunddaten!AL848&lt;&gt;""),IF(Programme_Grunddaten!AL848="Ja",1,0),"")</f>
        <v/>
      </c>
      <c r="AE843" s="1" t="str">
        <f>IF(AND(Programme_Grunddaten!$A848="Geprüft",Programme_Grunddaten!AM848&lt;&gt;""),IF(Programme_Grunddaten!AM848="Ja",1,0),"")</f>
        <v/>
      </c>
      <c r="AF843" s="1" t="str">
        <f>IF(AND(Programme_Grunddaten!$A848="Geprüft",Programme_Grunddaten!AN848&lt;&gt;""),IF(Programme_Grunddaten!AN848="Ja",1,0),"")</f>
        <v/>
      </c>
      <c r="AG843" s="1" t="str">
        <f>IF(AND(Programme_Grunddaten!$A848="Geprüft",Programme_Grunddaten!AO848&lt;&gt;""),IF(Programme_Grunddaten!AO848="Ja",1,0),"")</f>
        <v/>
      </c>
      <c r="AH843" s="1" t="str">
        <f>IF(AND(Programme_Grunddaten!$A848="Geprüft",Programme_Grunddaten!AP848&lt;&gt;""),IF(Programme_Grunddaten!AP848="Ja",1,0),"")</f>
        <v/>
      </c>
      <c r="AI843" s="1" t="str">
        <f>IF(AND(Programme_Grunddaten!$A848="Geprüft",Programme_Grunddaten!AQ848&lt;&gt;""),IF(Programme_Grunddaten!AQ848="Ja",1,0),"")</f>
        <v/>
      </c>
      <c r="AJ843" s="1" t="str">
        <f>IF(AND(Programme_Grunddaten!$A848="Geprüft",Programme_Grunddaten!AR848&lt;&gt;""),IF(Programme_Grunddaten!AR848="Ja",1,0),"")</f>
        <v/>
      </c>
      <c r="AK843" s="1" t="str">
        <f>IF(AND(Programme_Grunddaten!$A848="Geprüft",Programme_Grunddaten!AS848&lt;&gt;""),IF(Programme_Grunddaten!AS848="Ja",1,0),"")</f>
        <v/>
      </c>
      <c r="AL843" s="1" t="str">
        <f>IF(AND(Programme_Grunddaten!$A848="Geprüft",Programme_Grunddaten!AT848&lt;&gt;""),IF(Programme_Grunddaten!AT848="Ja",1,0),"")</f>
        <v/>
      </c>
      <c r="AM843" s="1" t="str">
        <f>IF(AND(Programme_Grunddaten!$A848="Geprüft",Programme_Grunddaten!AU848&lt;&gt;""),IF(Programme_Grunddaten!AU848="Ja",1,0),"")</f>
        <v/>
      </c>
      <c r="AN843" s="1" t="str">
        <f>IF(AND(Programme_Grunddaten!$A848="Geprüft",Programme_Grunddaten!AV848&lt;&gt;""),IF(Programme_Grunddaten!AV848="Ja",1,0),"")</f>
        <v/>
      </c>
    </row>
    <row r="844" spans="1:40" x14ac:dyDescent="0.3">
      <c r="A844" s="1" t="str">
        <f>IF(AND(Programme_Grunddaten!A849="Geprüft",Programme_Grunddaten!B849&lt;&gt;""),Programme_Grunddaten!B849,"")</f>
        <v/>
      </c>
      <c r="B844" s="1" t="str">
        <f>IF(AND(Programme_Grunddaten!$A849="Geprüft",Programme_Grunddaten!I849&lt;&gt;""),IF(Programme_Grunddaten!I849="Ja",1,0),"")</f>
        <v/>
      </c>
      <c r="C844" s="1" t="str">
        <f>IF(AND(Programme_Grunddaten!$A849="Geprüft",Programme_Grunddaten!J849&lt;&gt;""),IF(Programme_Grunddaten!J849="Ja",1,0),"")</f>
        <v/>
      </c>
      <c r="D844" s="1" t="str">
        <f>IF(AND(Programme_Grunddaten!$A849="Geprüft",Programme_Grunddaten!K849&lt;&gt;""),IF(Programme_Grunddaten!K849="Ja",1,0),"")</f>
        <v/>
      </c>
      <c r="E844" s="1" t="str">
        <f>IF(AND(Programme_Grunddaten!$A849="Geprüft",Programme_Grunddaten!L849&lt;&gt;""),IF(Programme_Grunddaten!L849="Abo / befristete Lizenz",1,0),"")</f>
        <v/>
      </c>
      <c r="F844" s="1" t="str">
        <f>IF(AND(Programme_Grunddaten!$A849="Geprüft",Programme_Grunddaten!M849&lt;&gt;""),IF(Programme_Grunddaten!M849="Ja",1,0),"")</f>
        <v/>
      </c>
      <c r="G844" s="1" t="str">
        <f>IF(AND(Programme_Grunddaten!$A849="Geprüft",Programme_Grunddaten!N849&lt;&gt;""),IF(Programme_Grunddaten!N849="Ja",1,0),"")</f>
        <v/>
      </c>
      <c r="H844" s="1" t="str">
        <f>IF(AND(Programme_Grunddaten!$A849="Geprüft",Programme_Grunddaten!O849&lt;&gt;""),IF(Programme_Grunddaten!O849="Deutschland",0,IF(Programme_Grunddaten!O849="EU",1,2)),"")</f>
        <v/>
      </c>
      <c r="I844" s="1" t="str">
        <f>IF(AND(Programme_Grunddaten!$A849="Geprüft",Programme_Grunddaten!P849&lt;&gt;""),IF(Programme_Grunddaten!P849="Ja",1,0),"")</f>
        <v/>
      </c>
      <c r="J844" s="1" t="str">
        <f>IF(AND(Programme_Grunddaten!$A849="Geprüft",Programme_Grunddaten!Q849&lt;&gt;""),IF(Programme_Grunddaten!Q849="geschlossenes System",1,0),"")</f>
        <v/>
      </c>
      <c r="K844" s="1" t="str">
        <f>IF(AND(Programme_Grunddaten!$A849="Geprüft",Programme_Grunddaten!R849&lt;&gt;""),IF(Programme_Grunddaten!R849="Ja",1,0),"")</f>
        <v/>
      </c>
      <c r="L844" s="1" t="str">
        <f>IF(AND(Programme_Grunddaten!$A849="Geprüft",Programme_Grunddaten!T849&lt;&gt;""),IF(Programme_Grunddaten!T849="Ja",1,0),"")</f>
        <v/>
      </c>
      <c r="M844" s="1" t="str">
        <f>IF(AND(Programme_Grunddaten!$A849="Geprüft",Programme_Grunddaten!U849&lt;&gt;""),IF(Programme_Grunddaten!U849="Ja",1,0),"")</f>
        <v/>
      </c>
      <c r="N844" s="1" t="str">
        <f>IF(AND(Programme_Grunddaten!$A849="Geprüft",Programme_Grunddaten!V849&lt;&gt;""),IF(Programme_Grunddaten!V849="Ja",1,0),"")</f>
        <v/>
      </c>
      <c r="O844" s="1" t="str">
        <f>IF(AND(Programme_Grunddaten!$A849="Geprüft",Programme_Grunddaten!W849&lt;&gt;""),IF(Programme_Grunddaten!W849="Ja",1,0),"")</f>
        <v/>
      </c>
      <c r="P844" s="1" t="str">
        <f>IF(AND(Programme_Grunddaten!$A849="Geprüft",Programme_Grunddaten!X849&lt;&gt;""),IF(Programme_Grunddaten!X849="Ja",1,0),"")</f>
        <v/>
      </c>
      <c r="Q844" s="1" t="str">
        <f>IF(AND(Programme_Grunddaten!$A849="Geprüft",Programme_Grunddaten!Y849&lt;&gt;""),IF(Programme_Grunddaten!Y849="Ja",1,0),"")</f>
        <v/>
      </c>
      <c r="R844" s="1" t="str">
        <f>IF(AND(Programme_Grunddaten!$A849="Geprüft",Programme_Grunddaten!Z849&lt;&gt;""),IF(Programme_Grunddaten!Z849="Ja",1,0),"")</f>
        <v/>
      </c>
      <c r="S844" s="1" t="str">
        <f>IF(AND(Programme_Grunddaten!$A849="Geprüft",Programme_Grunddaten!AA849&lt;&gt;""),IF(Programme_Grunddaten!AA849="monolithisch",1,0),"")</f>
        <v/>
      </c>
      <c r="T844" s="1" t="str">
        <f>IF(AND(Programme_Grunddaten!$A849="Geprüft",Programme_Grunddaten!AB849&lt;&gt;""),IF(Programme_Grunddaten!AB849="Ja",1,0),"")</f>
        <v/>
      </c>
      <c r="U844" s="1" t="str">
        <f>IF(AND(Programme_Grunddaten!$A849="Geprüft",Programme_Grunddaten!AC849&lt;&gt;""),IF(Programme_Grunddaten!AC849="Ja",1,0),"")</f>
        <v/>
      </c>
      <c r="V844" s="1" t="str">
        <f>IF(AND(Programme_Grunddaten!$A849="Geprüft",Programme_Grunddaten!AD849&lt;&gt;""),IF(Programme_Grunddaten!AD849="Ja",1,0),"")</f>
        <v/>
      </c>
      <c r="W844" s="1" t="str">
        <f>IF(AND(Programme_Grunddaten!$A849="Geprüft",Programme_Grunddaten!AE849&lt;&gt;""),IF(Programme_Grunddaten!AE849="Ja",1,0),"")</f>
        <v/>
      </c>
      <c r="X844" s="1" t="str">
        <f>IF(AND(Programme_Grunddaten!$A849="Geprüft",Programme_Grunddaten!AF849&lt;&gt;""),IF(Programme_Grunddaten!AF849="Ja",1,0),"")</f>
        <v/>
      </c>
      <c r="Y844" s="1" t="str">
        <f>IF(AND(Programme_Grunddaten!$A849="Geprüft",Programme_Grunddaten!AG849&lt;&gt;""),IF(Programme_Grunddaten!AG849="Ja",1,0),"")</f>
        <v/>
      </c>
      <c r="Z844" s="1" t="str">
        <f>IF(AND(Programme_Grunddaten!$A849="Geprüft",Programme_Grunddaten!AH849&lt;&gt;""),IF(Programme_Grunddaten!AH849="Ja",1,0),"")</f>
        <v/>
      </c>
      <c r="AA844" s="1" t="str">
        <f>IF(AND(Programme_Grunddaten!$A849="Geprüft",Programme_Grunddaten!AI849&lt;&gt;""),IF(Programme_Grunddaten!AI849="Ja",1,0),"")</f>
        <v/>
      </c>
      <c r="AB844" s="1" t="str">
        <f>IF(AND(Programme_Grunddaten!$A849="Geprüft",Programme_Grunddaten!AJ849&lt;&gt;""),IF(Programme_Grunddaten!AJ849="individuell programmierbar",1,0),"")</f>
        <v/>
      </c>
      <c r="AC844" s="1" t="str">
        <f>IF(AND(Programme_Grunddaten!$A849="Geprüft",Programme_Grunddaten!AK849&lt;&gt;""),IF(Programme_Grunddaten!AK849="Deutsch",0,IF(Programme_Grunddaten!AK849="Deutsch und Englisch",1,2)),"")</f>
        <v/>
      </c>
      <c r="AD844" s="1" t="str">
        <f>IF(AND(Programme_Grunddaten!$A849="Geprüft",Programme_Grunddaten!AL849&lt;&gt;""),IF(Programme_Grunddaten!AL849="Ja",1,0),"")</f>
        <v/>
      </c>
      <c r="AE844" s="1" t="str">
        <f>IF(AND(Programme_Grunddaten!$A849="Geprüft",Programme_Grunddaten!AM849&lt;&gt;""),IF(Programme_Grunddaten!AM849="Ja",1,0),"")</f>
        <v/>
      </c>
      <c r="AF844" s="1" t="str">
        <f>IF(AND(Programme_Grunddaten!$A849="Geprüft",Programme_Grunddaten!AN849&lt;&gt;""),IF(Programme_Grunddaten!AN849="Ja",1,0),"")</f>
        <v/>
      </c>
      <c r="AG844" s="1" t="str">
        <f>IF(AND(Programme_Grunddaten!$A849="Geprüft",Programme_Grunddaten!AO849&lt;&gt;""),IF(Programme_Grunddaten!AO849="Ja",1,0),"")</f>
        <v/>
      </c>
      <c r="AH844" s="1" t="str">
        <f>IF(AND(Programme_Grunddaten!$A849="Geprüft",Programme_Grunddaten!AP849&lt;&gt;""),IF(Programme_Grunddaten!AP849="Ja",1,0),"")</f>
        <v/>
      </c>
      <c r="AI844" s="1" t="str">
        <f>IF(AND(Programme_Grunddaten!$A849="Geprüft",Programme_Grunddaten!AQ849&lt;&gt;""),IF(Programme_Grunddaten!AQ849="Ja",1,0),"")</f>
        <v/>
      </c>
      <c r="AJ844" s="1" t="str">
        <f>IF(AND(Programme_Grunddaten!$A849="Geprüft",Programme_Grunddaten!AR849&lt;&gt;""),IF(Programme_Grunddaten!AR849="Ja",1,0),"")</f>
        <v/>
      </c>
      <c r="AK844" s="1" t="str">
        <f>IF(AND(Programme_Grunddaten!$A849="Geprüft",Programme_Grunddaten!AS849&lt;&gt;""),IF(Programme_Grunddaten!AS849="Ja",1,0),"")</f>
        <v/>
      </c>
      <c r="AL844" s="1" t="str">
        <f>IF(AND(Programme_Grunddaten!$A849="Geprüft",Programme_Grunddaten!AT849&lt;&gt;""),IF(Programme_Grunddaten!AT849="Ja",1,0),"")</f>
        <v/>
      </c>
      <c r="AM844" s="1" t="str">
        <f>IF(AND(Programme_Grunddaten!$A849="Geprüft",Programme_Grunddaten!AU849&lt;&gt;""),IF(Programme_Grunddaten!AU849="Ja",1,0),"")</f>
        <v/>
      </c>
      <c r="AN844" s="1" t="str">
        <f>IF(AND(Programme_Grunddaten!$A849="Geprüft",Programme_Grunddaten!AV849&lt;&gt;""),IF(Programme_Grunddaten!AV849="Ja",1,0),"")</f>
        <v/>
      </c>
    </row>
    <row r="845" spans="1:40" x14ac:dyDescent="0.3">
      <c r="A845" s="1" t="str">
        <f>IF(AND(Programme_Grunddaten!A850="Geprüft",Programme_Grunddaten!B850&lt;&gt;""),Programme_Grunddaten!B850,"")</f>
        <v/>
      </c>
      <c r="B845" s="1" t="str">
        <f>IF(AND(Programme_Grunddaten!$A850="Geprüft",Programme_Grunddaten!I850&lt;&gt;""),IF(Programme_Grunddaten!I850="Ja",1,0),"")</f>
        <v/>
      </c>
      <c r="C845" s="1" t="str">
        <f>IF(AND(Programme_Grunddaten!$A850="Geprüft",Programme_Grunddaten!J850&lt;&gt;""),IF(Programme_Grunddaten!J850="Ja",1,0),"")</f>
        <v/>
      </c>
      <c r="D845" s="1" t="str">
        <f>IF(AND(Programme_Grunddaten!$A850="Geprüft",Programme_Grunddaten!K850&lt;&gt;""),IF(Programme_Grunddaten!K850="Ja",1,0),"")</f>
        <v/>
      </c>
      <c r="E845" s="1" t="str">
        <f>IF(AND(Programme_Grunddaten!$A850="Geprüft",Programme_Grunddaten!L850&lt;&gt;""),IF(Programme_Grunddaten!L850="Abo / befristete Lizenz",1,0),"")</f>
        <v/>
      </c>
      <c r="F845" s="1" t="str">
        <f>IF(AND(Programme_Grunddaten!$A850="Geprüft",Programme_Grunddaten!M850&lt;&gt;""),IF(Programme_Grunddaten!M850="Ja",1,0),"")</f>
        <v/>
      </c>
      <c r="G845" s="1" t="str">
        <f>IF(AND(Programme_Grunddaten!$A850="Geprüft",Programme_Grunddaten!N850&lt;&gt;""),IF(Programme_Grunddaten!N850="Ja",1,0),"")</f>
        <v/>
      </c>
      <c r="H845" s="1" t="str">
        <f>IF(AND(Programme_Grunddaten!$A850="Geprüft",Programme_Grunddaten!O850&lt;&gt;""),IF(Programme_Grunddaten!O850="Deutschland",0,IF(Programme_Grunddaten!O850="EU",1,2)),"")</f>
        <v/>
      </c>
      <c r="I845" s="1" t="str">
        <f>IF(AND(Programme_Grunddaten!$A850="Geprüft",Programme_Grunddaten!P850&lt;&gt;""),IF(Programme_Grunddaten!P850="Ja",1,0),"")</f>
        <v/>
      </c>
      <c r="J845" s="1" t="str">
        <f>IF(AND(Programme_Grunddaten!$A850="Geprüft",Programme_Grunddaten!Q850&lt;&gt;""),IF(Programme_Grunddaten!Q850="geschlossenes System",1,0),"")</f>
        <v/>
      </c>
      <c r="K845" s="1" t="str">
        <f>IF(AND(Programme_Grunddaten!$A850="Geprüft",Programme_Grunddaten!R850&lt;&gt;""),IF(Programme_Grunddaten!R850="Ja",1,0),"")</f>
        <v/>
      </c>
      <c r="L845" s="1" t="str">
        <f>IF(AND(Programme_Grunddaten!$A850="Geprüft",Programme_Grunddaten!T850&lt;&gt;""),IF(Programme_Grunddaten!T850="Ja",1,0),"")</f>
        <v/>
      </c>
      <c r="M845" s="1" t="str">
        <f>IF(AND(Programme_Grunddaten!$A850="Geprüft",Programme_Grunddaten!U850&lt;&gt;""),IF(Programme_Grunddaten!U850="Ja",1,0),"")</f>
        <v/>
      </c>
      <c r="N845" s="1" t="str">
        <f>IF(AND(Programme_Grunddaten!$A850="Geprüft",Programme_Grunddaten!V850&lt;&gt;""),IF(Programme_Grunddaten!V850="Ja",1,0),"")</f>
        <v/>
      </c>
      <c r="O845" s="1" t="str">
        <f>IF(AND(Programme_Grunddaten!$A850="Geprüft",Programme_Grunddaten!W850&lt;&gt;""),IF(Programme_Grunddaten!W850="Ja",1,0),"")</f>
        <v/>
      </c>
      <c r="P845" s="1" t="str">
        <f>IF(AND(Programme_Grunddaten!$A850="Geprüft",Programme_Grunddaten!X850&lt;&gt;""),IF(Programme_Grunddaten!X850="Ja",1,0),"")</f>
        <v/>
      </c>
      <c r="Q845" s="1" t="str">
        <f>IF(AND(Programme_Grunddaten!$A850="Geprüft",Programme_Grunddaten!Y850&lt;&gt;""),IF(Programme_Grunddaten!Y850="Ja",1,0),"")</f>
        <v/>
      </c>
      <c r="R845" s="1" t="str">
        <f>IF(AND(Programme_Grunddaten!$A850="Geprüft",Programme_Grunddaten!Z850&lt;&gt;""),IF(Programme_Grunddaten!Z850="Ja",1,0),"")</f>
        <v/>
      </c>
      <c r="S845" s="1" t="str">
        <f>IF(AND(Programme_Grunddaten!$A850="Geprüft",Programme_Grunddaten!AA850&lt;&gt;""),IF(Programme_Grunddaten!AA850="monolithisch",1,0),"")</f>
        <v/>
      </c>
      <c r="T845" s="1" t="str">
        <f>IF(AND(Programme_Grunddaten!$A850="Geprüft",Programme_Grunddaten!AB850&lt;&gt;""),IF(Programme_Grunddaten!AB850="Ja",1,0),"")</f>
        <v/>
      </c>
      <c r="U845" s="1" t="str">
        <f>IF(AND(Programme_Grunddaten!$A850="Geprüft",Programme_Grunddaten!AC850&lt;&gt;""),IF(Programme_Grunddaten!AC850="Ja",1,0),"")</f>
        <v/>
      </c>
      <c r="V845" s="1" t="str">
        <f>IF(AND(Programme_Grunddaten!$A850="Geprüft",Programme_Grunddaten!AD850&lt;&gt;""),IF(Programme_Grunddaten!AD850="Ja",1,0),"")</f>
        <v/>
      </c>
      <c r="W845" s="1" t="str">
        <f>IF(AND(Programme_Grunddaten!$A850="Geprüft",Programme_Grunddaten!AE850&lt;&gt;""),IF(Programme_Grunddaten!AE850="Ja",1,0),"")</f>
        <v/>
      </c>
      <c r="X845" s="1" t="str">
        <f>IF(AND(Programme_Grunddaten!$A850="Geprüft",Programme_Grunddaten!AF850&lt;&gt;""),IF(Programme_Grunddaten!AF850="Ja",1,0),"")</f>
        <v/>
      </c>
      <c r="Y845" s="1" t="str">
        <f>IF(AND(Programme_Grunddaten!$A850="Geprüft",Programme_Grunddaten!AG850&lt;&gt;""),IF(Programme_Grunddaten!AG850="Ja",1,0),"")</f>
        <v/>
      </c>
      <c r="Z845" s="1" t="str">
        <f>IF(AND(Programme_Grunddaten!$A850="Geprüft",Programme_Grunddaten!AH850&lt;&gt;""),IF(Programme_Grunddaten!AH850="Ja",1,0),"")</f>
        <v/>
      </c>
      <c r="AA845" s="1" t="str">
        <f>IF(AND(Programme_Grunddaten!$A850="Geprüft",Programme_Grunddaten!AI850&lt;&gt;""),IF(Programme_Grunddaten!AI850="Ja",1,0),"")</f>
        <v/>
      </c>
      <c r="AB845" s="1" t="str">
        <f>IF(AND(Programme_Grunddaten!$A850="Geprüft",Programme_Grunddaten!AJ850&lt;&gt;""),IF(Programme_Grunddaten!AJ850="individuell programmierbar",1,0),"")</f>
        <v/>
      </c>
      <c r="AC845" s="1" t="str">
        <f>IF(AND(Programme_Grunddaten!$A850="Geprüft",Programme_Grunddaten!AK850&lt;&gt;""),IF(Programme_Grunddaten!AK850="Deutsch",0,IF(Programme_Grunddaten!AK850="Deutsch und Englisch",1,2)),"")</f>
        <v/>
      </c>
      <c r="AD845" s="1" t="str">
        <f>IF(AND(Programme_Grunddaten!$A850="Geprüft",Programme_Grunddaten!AL850&lt;&gt;""),IF(Programme_Grunddaten!AL850="Ja",1,0),"")</f>
        <v/>
      </c>
      <c r="AE845" s="1" t="str">
        <f>IF(AND(Programme_Grunddaten!$A850="Geprüft",Programme_Grunddaten!AM850&lt;&gt;""),IF(Programme_Grunddaten!AM850="Ja",1,0),"")</f>
        <v/>
      </c>
      <c r="AF845" s="1" t="str">
        <f>IF(AND(Programme_Grunddaten!$A850="Geprüft",Programme_Grunddaten!AN850&lt;&gt;""),IF(Programme_Grunddaten!AN850="Ja",1,0),"")</f>
        <v/>
      </c>
      <c r="AG845" s="1" t="str">
        <f>IF(AND(Programme_Grunddaten!$A850="Geprüft",Programme_Grunddaten!AO850&lt;&gt;""),IF(Programme_Grunddaten!AO850="Ja",1,0),"")</f>
        <v/>
      </c>
      <c r="AH845" s="1" t="str">
        <f>IF(AND(Programme_Grunddaten!$A850="Geprüft",Programme_Grunddaten!AP850&lt;&gt;""),IF(Programme_Grunddaten!AP850="Ja",1,0),"")</f>
        <v/>
      </c>
      <c r="AI845" s="1" t="str">
        <f>IF(AND(Programme_Grunddaten!$A850="Geprüft",Programme_Grunddaten!AQ850&lt;&gt;""),IF(Programme_Grunddaten!AQ850="Ja",1,0),"")</f>
        <v/>
      </c>
      <c r="AJ845" s="1" t="str">
        <f>IF(AND(Programme_Grunddaten!$A850="Geprüft",Programme_Grunddaten!AR850&lt;&gt;""),IF(Programme_Grunddaten!AR850="Ja",1,0),"")</f>
        <v/>
      </c>
      <c r="AK845" s="1" t="str">
        <f>IF(AND(Programme_Grunddaten!$A850="Geprüft",Programme_Grunddaten!AS850&lt;&gt;""),IF(Programme_Grunddaten!AS850="Ja",1,0),"")</f>
        <v/>
      </c>
      <c r="AL845" s="1" t="str">
        <f>IF(AND(Programme_Grunddaten!$A850="Geprüft",Programme_Grunddaten!AT850&lt;&gt;""),IF(Programme_Grunddaten!AT850="Ja",1,0),"")</f>
        <v/>
      </c>
      <c r="AM845" s="1" t="str">
        <f>IF(AND(Programme_Grunddaten!$A850="Geprüft",Programme_Grunddaten!AU850&lt;&gt;""),IF(Programme_Grunddaten!AU850="Ja",1,0),"")</f>
        <v/>
      </c>
      <c r="AN845" s="1" t="str">
        <f>IF(AND(Programme_Grunddaten!$A850="Geprüft",Programme_Grunddaten!AV850&lt;&gt;""),IF(Programme_Grunddaten!AV850="Ja",1,0),"")</f>
        <v/>
      </c>
    </row>
    <row r="846" spans="1:40" x14ac:dyDescent="0.3">
      <c r="A846" s="1" t="str">
        <f>IF(AND(Programme_Grunddaten!A851="Geprüft",Programme_Grunddaten!B851&lt;&gt;""),Programme_Grunddaten!B851,"")</f>
        <v/>
      </c>
      <c r="B846" s="1" t="str">
        <f>IF(AND(Programme_Grunddaten!$A851="Geprüft",Programme_Grunddaten!I851&lt;&gt;""),IF(Programme_Grunddaten!I851="Ja",1,0),"")</f>
        <v/>
      </c>
      <c r="C846" s="1" t="str">
        <f>IF(AND(Programme_Grunddaten!$A851="Geprüft",Programme_Grunddaten!J851&lt;&gt;""),IF(Programme_Grunddaten!J851="Ja",1,0),"")</f>
        <v/>
      </c>
      <c r="D846" s="1" t="str">
        <f>IF(AND(Programme_Grunddaten!$A851="Geprüft",Programme_Grunddaten!K851&lt;&gt;""),IF(Programme_Grunddaten!K851="Ja",1,0),"")</f>
        <v/>
      </c>
      <c r="E846" s="1" t="str">
        <f>IF(AND(Programme_Grunddaten!$A851="Geprüft",Programme_Grunddaten!L851&lt;&gt;""),IF(Programme_Grunddaten!L851="Abo / befristete Lizenz",1,0),"")</f>
        <v/>
      </c>
      <c r="F846" s="1" t="str">
        <f>IF(AND(Programme_Grunddaten!$A851="Geprüft",Programme_Grunddaten!M851&lt;&gt;""),IF(Programme_Grunddaten!M851="Ja",1,0),"")</f>
        <v/>
      </c>
      <c r="G846" s="1" t="str">
        <f>IF(AND(Programme_Grunddaten!$A851="Geprüft",Programme_Grunddaten!N851&lt;&gt;""),IF(Programme_Grunddaten!N851="Ja",1,0),"")</f>
        <v/>
      </c>
      <c r="H846" s="1" t="str">
        <f>IF(AND(Programme_Grunddaten!$A851="Geprüft",Programme_Grunddaten!O851&lt;&gt;""),IF(Programme_Grunddaten!O851="Deutschland",0,IF(Programme_Grunddaten!O851="EU",1,2)),"")</f>
        <v/>
      </c>
      <c r="I846" s="1" t="str">
        <f>IF(AND(Programme_Grunddaten!$A851="Geprüft",Programme_Grunddaten!P851&lt;&gt;""),IF(Programme_Grunddaten!P851="Ja",1,0),"")</f>
        <v/>
      </c>
      <c r="J846" s="1" t="str">
        <f>IF(AND(Programme_Grunddaten!$A851="Geprüft",Programme_Grunddaten!Q851&lt;&gt;""),IF(Programme_Grunddaten!Q851="geschlossenes System",1,0),"")</f>
        <v/>
      </c>
      <c r="K846" s="1" t="str">
        <f>IF(AND(Programme_Grunddaten!$A851="Geprüft",Programme_Grunddaten!R851&lt;&gt;""),IF(Programme_Grunddaten!R851="Ja",1,0),"")</f>
        <v/>
      </c>
      <c r="L846" s="1" t="str">
        <f>IF(AND(Programme_Grunddaten!$A851="Geprüft",Programme_Grunddaten!T851&lt;&gt;""),IF(Programme_Grunddaten!T851="Ja",1,0),"")</f>
        <v/>
      </c>
      <c r="M846" s="1" t="str">
        <f>IF(AND(Programme_Grunddaten!$A851="Geprüft",Programme_Grunddaten!U851&lt;&gt;""),IF(Programme_Grunddaten!U851="Ja",1,0),"")</f>
        <v/>
      </c>
      <c r="N846" s="1" t="str">
        <f>IF(AND(Programme_Grunddaten!$A851="Geprüft",Programme_Grunddaten!V851&lt;&gt;""),IF(Programme_Grunddaten!V851="Ja",1,0),"")</f>
        <v/>
      </c>
      <c r="O846" s="1" t="str">
        <f>IF(AND(Programme_Grunddaten!$A851="Geprüft",Programme_Grunddaten!W851&lt;&gt;""),IF(Programme_Grunddaten!W851="Ja",1,0),"")</f>
        <v/>
      </c>
      <c r="P846" s="1" t="str">
        <f>IF(AND(Programme_Grunddaten!$A851="Geprüft",Programme_Grunddaten!X851&lt;&gt;""),IF(Programme_Grunddaten!X851="Ja",1,0),"")</f>
        <v/>
      </c>
      <c r="Q846" s="1" t="str">
        <f>IF(AND(Programme_Grunddaten!$A851="Geprüft",Programme_Grunddaten!Y851&lt;&gt;""),IF(Programme_Grunddaten!Y851="Ja",1,0),"")</f>
        <v/>
      </c>
      <c r="R846" s="1" t="str">
        <f>IF(AND(Programme_Grunddaten!$A851="Geprüft",Programme_Grunddaten!Z851&lt;&gt;""),IF(Programme_Grunddaten!Z851="Ja",1,0),"")</f>
        <v/>
      </c>
      <c r="S846" s="1" t="str">
        <f>IF(AND(Programme_Grunddaten!$A851="Geprüft",Programme_Grunddaten!AA851&lt;&gt;""),IF(Programme_Grunddaten!AA851="monolithisch",1,0),"")</f>
        <v/>
      </c>
      <c r="T846" s="1" t="str">
        <f>IF(AND(Programme_Grunddaten!$A851="Geprüft",Programme_Grunddaten!AB851&lt;&gt;""),IF(Programme_Grunddaten!AB851="Ja",1,0),"")</f>
        <v/>
      </c>
      <c r="U846" s="1" t="str">
        <f>IF(AND(Programme_Grunddaten!$A851="Geprüft",Programme_Grunddaten!AC851&lt;&gt;""),IF(Programme_Grunddaten!AC851="Ja",1,0),"")</f>
        <v/>
      </c>
      <c r="V846" s="1" t="str">
        <f>IF(AND(Programme_Grunddaten!$A851="Geprüft",Programme_Grunddaten!AD851&lt;&gt;""),IF(Programme_Grunddaten!AD851="Ja",1,0),"")</f>
        <v/>
      </c>
      <c r="W846" s="1" t="str">
        <f>IF(AND(Programme_Grunddaten!$A851="Geprüft",Programme_Grunddaten!AE851&lt;&gt;""),IF(Programme_Grunddaten!AE851="Ja",1,0),"")</f>
        <v/>
      </c>
      <c r="X846" s="1" t="str">
        <f>IF(AND(Programme_Grunddaten!$A851="Geprüft",Programme_Grunddaten!AF851&lt;&gt;""),IF(Programme_Grunddaten!AF851="Ja",1,0),"")</f>
        <v/>
      </c>
      <c r="Y846" s="1" t="str">
        <f>IF(AND(Programme_Grunddaten!$A851="Geprüft",Programme_Grunddaten!AG851&lt;&gt;""),IF(Programme_Grunddaten!AG851="Ja",1,0),"")</f>
        <v/>
      </c>
      <c r="Z846" s="1" t="str">
        <f>IF(AND(Programme_Grunddaten!$A851="Geprüft",Programme_Grunddaten!AH851&lt;&gt;""),IF(Programme_Grunddaten!AH851="Ja",1,0),"")</f>
        <v/>
      </c>
      <c r="AA846" s="1" t="str">
        <f>IF(AND(Programme_Grunddaten!$A851="Geprüft",Programme_Grunddaten!AI851&lt;&gt;""),IF(Programme_Grunddaten!AI851="Ja",1,0),"")</f>
        <v/>
      </c>
      <c r="AB846" s="1" t="str">
        <f>IF(AND(Programme_Grunddaten!$A851="Geprüft",Programme_Grunddaten!AJ851&lt;&gt;""),IF(Programme_Grunddaten!AJ851="individuell programmierbar",1,0),"")</f>
        <v/>
      </c>
      <c r="AC846" s="1" t="str">
        <f>IF(AND(Programme_Grunddaten!$A851="Geprüft",Programme_Grunddaten!AK851&lt;&gt;""),IF(Programme_Grunddaten!AK851="Deutsch",0,IF(Programme_Grunddaten!AK851="Deutsch und Englisch",1,2)),"")</f>
        <v/>
      </c>
      <c r="AD846" s="1" t="str">
        <f>IF(AND(Programme_Grunddaten!$A851="Geprüft",Programme_Grunddaten!AL851&lt;&gt;""),IF(Programme_Grunddaten!AL851="Ja",1,0),"")</f>
        <v/>
      </c>
      <c r="AE846" s="1" t="str">
        <f>IF(AND(Programme_Grunddaten!$A851="Geprüft",Programme_Grunddaten!AM851&lt;&gt;""),IF(Programme_Grunddaten!AM851="Ja",1,0),"")</f>
        <v/>
      </c>
      <c r="AF846" s="1" t="str">
        <f>IF(AND(Programme_Grunddaten!$A851="Geprüft",Programme_Grunddaten!AN851&lt;&gt;""),IF(Programme_Grunddaten!AN851="Ja",1,0),"")</f>
        <v/>
      </c>
      <c r="AG846" s="1" t="str">
        <f>IF(AND(Programme_Grunddaten!$A851="Geprüft",Programme_Grunddaten!AO851&lt;&gt;""),IF(Programme_Grunddaten!AO851="Ja",1,0),"")</f>
        <v/>
      </c>
      <c r="AH846" s="1" t="str">
        <f>IF(AND(Programme_Grunddaten!$A851="Geprüft",Programme_Grunddaten!AP851&lt;&gt;""),IF(Programme_Grunddaten!AP851="Ja",1,0),"")</f>
        <v/>
      </c>
      <c r="AI846" s="1" t="str">
        <f>IF(AND(Programme_Grunddaten!$A851="Geprüft",Programme_Grunddaten!AQ851&lt;&gt;""),IF(Programme_Grunddaten!AQ851="Ja",1,0),"")</f>
        <v/>
      </c>
      <c r="AJ846" s="1" t="str">
        <f>IF(AND(Programme_Grunddaten!$A851="Geprüft",Programme_Grunddaten!AR851&lt;&gt;""),IF(Programme_Grunddaten!AR851="Ja",1,0),"")</f>
        <v/>
      </c>
      <c r="AK846" s="1" t="str">
        <f>IF(AND(Programme_Grunddaten!$A851="Geprüft",Programme_Grunddaten!AS851&lt;&gt;""),IF(Programme_Grunddaten!AS851="Ja",1,0),"")</f>
        <v/>
      </c>
      <c r="AL846" s="1" t="str">
        <f>IF(AND(Programme_Grunddaten!$A851="Geprüft",Programme_Grunddaten!AT851&lt;&gt;""),IF(Programme_Grunddaten!AT851="Ja",1,0),"")</f>
        <v/>
      </c>
      <c r="AM846" s="1" t="str">
        <f>IF(AND(Programme_Grunddaten!$A851="Geprüft",Programme_Grunddaten!AU851&lt;&gt;""),IF(Programme_Grunddaten!AU851="Ja",1,0),"")</f>
        <v/>
      </c>
      <c r="AN846" s="1" t="str">
        <f>IF(AND(Programme_Grunddaten!$A851="Geprüft",Programme_Grunddaten!AV851&lt;&gt;""),IF(Programme_Grunddaten!AV851="Ja",1,0),"")</f>
        <v/>
      </c>
    </row>
    <row r="847" spans="1:40" x14ac:dyDescent="0.3">
      <c r="A847" s="1" t="str">
        <f>IF(AND(Programme_Grunddaten!A852="Geprüft",Programme_Grunddaten!B852&lt;&gt;""),Programme_Grunddaten!B852,"")</f>
        <v/>
      </c>
      <c r="B847" s="1" t="str">
        <f>IF(AND(Programme_Grunddaten!$A852="Geprüft",Programme_Grunddaten!I852&lt;&gt;""),IF(Programme_Grunddaten!I852="Ja",1,0),"")</f>
        <v/>
      </c>
      <c r="C847" s="1" t="str">
        <f>IF(AND(Programme_Grunddaten!$A852="Geprüft",Programme_Grunddaten!J852&lt;&gt;""),IF(Programme_Grunddaten!J852="Ja",1,0),"")</f>
        <v/>
      </c>
      <c r="D847" s="1" t="str">
        <f>IF(AND(Programme_Grunddaten!$A852="Geprüft",Programme_Grunddaten!K852&lt;&gt;""),IF(Programme_Grunddaten!K852="Ja",1,0),"")</f>
        <v/>
      </c>
      <c r="E847" s="1" t="str">
        <f>IF(AND(Programme_Grunddaten!$A852="Geprüft",Programme_Grunddaten!L852&lt;&gt;""),IF(Programme_Grunddaten!L852="Abo / befristete Lizenz",1,0),"")</f>
        <v/>
      </c>
      <c r="F847" s="1" t="str">
        <f>IF(AND(Programme_Grunddaten!$A852="Geprüft",Programme_Grunddaten!M852&lt;&gt;""),IF(Programme_Grunddaten!M852="Ja",1,0),"")</f>
        <v/>
      </c>
      <c r="G847" s="1" t="str">
        <f>IF(AND(Programme_Grunddaten!$A852="Geprüft",Programme_Grunddaten!N852&lt;&gt;""),IF(Programme_Grunddaten!N852="Ja",1,0),"")</f>
        <v/>
      </c>
      <c r="H847" s="1" t="str">
        <f>IF(AND(Programme_Grunddaten!$A852="Geprüft",Programme_Grunddaten!O852&lt;&gt;""),IF(Programme_Grunddaten!O852="Deutschland",0,IF(Programme_Grunddaten!O852="EU",1,2)),"")</f>
        <v/>
      </c>
      <c r="I847" s="1" t="str">
        <f>IF(AND(Programme_Grunddaten!$A852="Geprüft",Programme_Grunddaten!P852&lt;&gt;""),IF(Programme_Grunddaten!P852="Ja",1,0),"")</f>
        <v/>
      </c>
      <c r="J847" s="1" t="str">
        <f>IF(AND(Programme_Grunddaten!$A852="Geprüft",Programme_Grunddaten!Q852&lt;&gt;""),IF(Programme_Grunddaten!Q852="geschlossenes System",1,0),"")</f>
        <v/>
      </c>
      <c r="K847" s="1" t="str">
        <f>IF(AND(Programme_Grunddaten!$A852="Geprüft",Programme_Grunddaten!R852&lt;&gt;""),IF(Programme_Grunddaten!R852="Ja",1,0),"")</f>
        <v/>
      </c>
      <c r="L847" s="1" t="str">
        <f>IF(AND(Programme_Grunddaten!$A852="Geprüft",Programme_Grunddaten!T852&lt;&gt;""),IF(Programme_Grunddaten!T852="Ja",1,0),"")</f>
        <v/>
      </c>
      <c r="M847" s="1" t="str">
        <f>IF(AND(Programme_Grunddaten!$A852="Geprüft",Programme_Grunddaten!U852&lt;&gt;""),IF(Programme_Grunddaten!U852="Ja",1,0),"")</f>
        <v/>
      </c>
      <c r="N847" s="1" t="str">
        <f>IF(AND(Programme_Grunddaten!$A852="Geprüft",Programme_Grunddaten!V852&lt;&gt;""),IF(Programme_Grunddaten!V852="Ja",1,0),"")</f>
        <v/>
      </c>
      <c r="O847" s="1" t="str">
        <f>IF(AND(Programme_Grunddaten!$A852="Geprüft",Programme_Grunddaten!W852&lt;&gt;""),IF(Programme_Grunddaten!W852="Ja",1,0),"")</f>
        <v/>
      </c>
      <c r="P847" s="1" t="str">
        <f>IF(AND(Programme_Grunddaten!$A852="Geprüft",Programme_Grunddaten!X852&lt;&gt;""),IF(Programme_Grunddaten!X852="Ja",1,0),"")</f>
        <v/>
      </c>
      <c r="Q847" s="1" t="str">
        <f>IF(AND(Programme_Grunddaten!$A852="Geprüft",Programme_Grunddaten!Y852&lt;&gt;""),IF(Programme_Grunddaten!Y852="Ja",1,0),"")</f>
        <v/>
      </c>
      <c r="R847" s="1" t="str">
        <f>IF(AND(Programme_Grunddaten!$A852="Geprüft",Programme_Grunddaten!Z852&lt;&gt;""),IF(Programme_Grunddaten!Z852="Ja",1,0),"")</f>
        <v/>
      </c>
      <c r="S847" s="1" t="str">
        <f>IF(AND(Programme_Grunddaten!$A852="Geprüft",Programme_Grunddaten!AA852&lt;&gt;""),IF(Programme_Grunddaten!AA852="monolithisch",1,0),"")</f>
        <v/>
      </c>
      <c r="T847" s="1" t="str">
        <f>IF(AND(Programme_Grunddaten!$A852="Geprüft",Programme_Grunddaten!AB852&lt;&gt;""),IF(Programme_Grunddaten!AB852="Ja",1,0),"")</f>
        <v/>
      </c>
      <c r="U847" s="1" t="str">
        <f>IF(AND(Programme_Grunddaten!$A852="Geprüft",Programme_Grunddaten!AC852&lt;&gt;""),IF(Programme_Grunddaten!AC852="Ja",1,0),"")</f>
        <v/>
      </c>
      <c r="V847" s="1" t="str">
        <f>IF(AND(Programme_Grunddaten!$A852="Geprüft",Programme_Grunddaten!AD852&lt;&gt;""),IF(Programme_Grunddaten!AD852="Ja",1,0),"")</f>
        <v/>
      </c>
      <c r="W847" s="1" t="str">
        <f>IF(AND(Programme_Grunddaten!$A852="Geprüft",Programme_Grunddaten!AE852&lt;&gt;""),IF(Programme_Grunddaten!AE852="Ja",1,0),"")</f>
        <v/>
      </c>
      <c r="X847" s="1" t="str">
        <f>IF(AND(Programme_Grunddaten!$A852="Geprüft",Programme_Grunddaten!AF852&lt;&gt;""),IF(Programme_Grunddaten!AF852="Ja",1,0),"")</f>
        <v/>
      </c>
      <c r="Y847" s="1" t="str">
        <f>IF(AND(Programme_Grunddaten!$A852="Geprüft",Programme_Grunddaten!AG852&lt;&gt;""),IF(Programme_Grunddaten!AG852="Ja",1,0),"")</f>
        <v/>
      </c>
      <c r="Z847" s="1" t="str">
        <f>IF(AND(Programme_Grunddaten!$A852="Geprüft",Programme_Grunddaten!AH852&lt;&gt;""),IF(Programme_Grunddaten!AH852="Ja",1,0),"")</f>
        <v/>
      </c>
      <c r="AA847" s="1" t="str">
        <f>IF(AND(Programme_Grunddaten!$A852="Geprüft",Programme_Grunddaten!AI852&lt;&gt;""),IF(Programme_Grunddaten!AI852="Ja",1,0),"")</f>
        <v/>
      </c>
      <c r="AB847" s="1" t="str">
        <f>IF(AND(Programme_Grunddaten!$A852="Geprüft",Programme_Grunddaten!AJ852&lt;&gt;""),IF(Programme_Grunddaten!AJ852="individuell programmierbar",1,0),"")</f>
        <v/>
      </c>
      <c r="AC847" s="1" t="str">
        <f>IF(AND(Programme_Grunddaten!$A852="Geprüft",Programme_Grunddaten!AK852&lt;&gt;""),IF(Programme_Grunddaten!AK852="Deutsch",0,IF(Programme_Grunddaten!AK852="Deutsch und Englisch",1,2)),"")</f>
        <v/>
      </c>
      <c r="AD847" s="1" t="str">
        <f>IF(AND(Programme_Grunddaten!$A852="Geprüft",Programme_Grunddaten!AL852&lt;&gt;""),IF(Programme_Grunddaten!AL852="Ja",1,0),"")</f>
        <v/>
      </c>
      <c r="AE847" s="1" t="str">
        <f>IF(AND(Programme_Grunddaten!$A852="Geprüft",Programme_Grunddaten!AM852&lt;&gt;""),IF(Programme_Grunddaten!AM852="Ja",1,0),"")</f>
        <v/>
      </c>
      <c r="AF847" s="1" t="str">
        <f>IF(AND(Programme_Grunddaten!$A852="Geprüft",Programme_Grunddaten!AN852&lt;&gt;""),IF(Programme_Grunddaten!AN852="Ja",1,0),"")</f>
        <v/>
      </c>
      <c r="AG847" s="1" t="str">
        <f>IF(AND(Programme_Grunddaten!$A852="Geprüft",Programme_Grunddaten!AO852&lt;&gt;""),IF(Programme_Grunddaten!AO852="Ja",1,0),"")</f>
        <v/>
      </c>
      <c r="AH847" s="1" t="str">
        <f>IF(AND(Programme_Grunddaten!$A852="Geprüft",Programme_Grunddaten!AP852&lt;&gt;""),IF(Programme_Grunddaten!AP852="Ja",1,0),"")</f>
        <v/>
      </c>
      <c r="AI847" s="1" t="str">
        <f>IF(AND(Programme_Grunddaten!$A852="Geprüft",Programme_Grunddaten!AQ852&lt;&gt;""),IF(Programme_Grunddaten!AQ852="Ja",1,0),"")</f>
        <v/>
      </c>
      <c r="AJ847" s="1" t="str">
        <f>IF(AND(Programme_Grunddaten!$A852="Geprüft",Programme_Grunddaten!AR852&lt;&gt;""),IF(Programme_Grunddaten!AR852="Ja",1,0),"")</f>
        <v/>
      </c>
      <c r="AK847" s="1" t="str">
        <f>IF(AND(Programme_Grunddaten!$A852="Geprüft",Programme_Grunddaten!AS852&lt;&gt;""),IF(Programme_Grunddaten!AS852="Ja",1,0),"")</f>
        <v/>
      </c>
      <c r="AL847" s="1" t="str">
        <f>IF(AND(Programme_Grunddaten!$A852="Geprüft",Programme_Grunddaten!AT852&lt;&gt;""),IF(Programme_Grunddaten!AT852="Ja",1,0),"")</f>
        <v/>
      </c>
      <c r="AM847" s="1" t="str">
        <f>IF(AND(Programme_Grunddaten!$A852="Geprüft",Programme_Grunddaten!AU852&lt;&gt;""),IF(Programme_Grunddaten!AU852="Ja",1,0),"")</f>
        <v/>
      </c>
      <c r="AN847" s="1" t="str">
        <f>IF(AND(Programme_Grunddaten!$A852="Geprüft",Programme_Grunddaten!AV852&lt;&gt;""),IF(Programme_Grunddaten!AV852="Ja",1,0),"")</f>
        <v/>
      </c>
    </row>
    <row r="848" spans="1:40" x14ac:dyDescent="0.3">
      <c r="A848" s="1" t="str">
        <f>IF(AND(Programme_Grunddaten!A853="Geprüft",Programme_Grunddaten!B853&lt;&gt;""),Programme_Grunddaten!B853,"")</f>
        <v/>
      </c>
      <c r="B848" s="1" t="str">
        <f>IF(AND(Programme_Grunddaten!$A853="Geprüft",Programme_Grunddaten!I853&lt;&gt;""),IF(Programme_Grunddaten!I853="Ja",1,0),"")</f>
        <v/>
      </c>
      <c r="C848" s="1" t="str">
        <f>IF(AND(Programme_Grunddaten!$A853="Geprüft",Programme_Grunddaten!J853&lt;&gt;""),IF(Programme_Grunddaten!J853="Ja",1,0),"")</f>
        <v/>
      </c>
      <c r="D848" s="1" t="str">
        <f>IF(AND(Programme_Grunddaten!$A853="Geprüft",Programme_Grunddaten!K853&lt;&gt;""),IF(Programme_Grunddaten!K853="Ja",1,0),"")</f>
        <v/>
      </c>
      <c r="E848" s="1" t="str">
        <f>IF(AND(Programme_Grunddaten!$A853="Geprüft",Programme_Grunddaten!L853&lt;&gt;""),IF(Programme_Grunddaten!L853="Abo / befristete Lizenz",1,0),"")</f>
        <v/>
      </c>
      <c r="F848" s="1" t="str">
        <f>IF(AND(Programme_Grunddaten!$A853="Geprüft",Programme_Grunddaten!M853&lt;&gt;""),IF(Programme_Grunddaten!M853="Ja",1,0),"")</f>
        <v/>
      </c>
      <c r="G848" s="1" t="str">
        <f>IF(AND(Programme_Grunddaten!$A853="Geprüft",Programme_Grunddaten!N853&lt;&gt;""),IF(Programme_Grunddaten!N853="Ja",1,0),"")</f>
        <v/>
      </c>
      <c r="H848" s="1" t="str">
        <f>IF(AND(Programme_Grunddaten!$A853="Geprüft",Programme_Grunddaten!O853&lt;&gt;""),IF(Programme_Grunddaten!O853="Deutschland",0,IF(Programme_Grunddaten!O853="EU",1,2)),"")</f>
        <v/>
      </c>
      <c r="I848" s="1" t="str">
        <f>IF(AND(Programme_Grunddaten!$A853="Geprüft",Programme_Grunddaten!P853&lt;&gt;""),IF(Programme_Grunddaten!P853="Ja",1,0),"")</f>
        <v/>
      </c>
      <c r="J848" s="1" t="str">
        <f>IF(AND(Programme_Grunddaten!$A853="Geprüft",Programme_Grunddaten!Q853&lt;&gt;""),IF(Programme_Grunddaten!Q853="geschlossenes System",1,0),"")</f>
        <v/>
      </c>
      <c r="K848" s="1" t="str">
        <f>IF(AND(Programme_Grunddaten!$A853="Geprüft",Programme_Grunddaten!R853&lt;&gt;""),IF(Programme_Grunddaten!R853="Ja",1,0),"")</f>
        <v/>
      </c>
      <c r="L848" s="1" t="str">
        <f>IF(AND(Programme_Grunddaten!$A853="Geprüft",Programme_Grunddaten!T853&lt;&gt;""),IF(Programme_Grunddaten!T853="Ja",1,0),"")</f>
        <v/>
      </c>
      <c r="M848" s="1" t="str">
        <f>IF(AND(Programme_Grunddaten!$A853="Geprüft",Programme_Grunddaten!U853&lt;&gt;""),IF(Programme_Grunddaten!U853="Ja",1,0),"")</f>
        <v/>
      </c>
      <c r="N848" s="1" t="str">
        <f>IF(AND(Programme_Grunddaten!$A853="Geprüft",Programme_Grunddaten!V853&lt;&gt;""),IF(Programme_Grunddaten!V853="Ja",1,0),"")</f>
        <v/>
      </c>
      <c r="O848" s="1" t="str">
        <f>IF(AND(Programme_Grunddaten!$A853="Geprüft",Programme_Grunddaten!W853&lt;&gt;""),IF(Programme_Grunddaten!W853="Ja",1,0),"")</f>
        <v/>
      </c>
      <c r="P848" s="1" t="str">
        <f>IF(AND(Programme_Grunddaten!$A853="Geprüft",Programme_Grunddaten!X853&lt;&gt;""),IF(Programme_Grunddaten!X853="Ja",1,0),"")</f>
        <v/>
      </c>
      <c r="Q848" s="1" t="str">
        <f>IF(AND(Programme_Grunddaten!$A853="Geprüft",Programme_Grunddaten!Y853&lt;&gt;""),IF(Programme_Grunddaten!Y853="Ja",1,0),"")</f>
        <v/>
      </c>
      <c r="R848" s="1" t="str">
        <f>IF(AND(Programme_Grunddaten!$A853="Geprüft",Programme_Grunddaten!Z853&lt;&gt;""),IF(Programme_Grunddaten!Z853="Ja",1,0),"")</f>
        <v/>
      </c>
      <c r="S848" s="1" t="str">
        <f>IF(AND(Programme_Grunddaten!$A853="Geprüft",Programme_Grunddaten!AA853&lt;&gt;""),IF(Programme_Grunddaten!AA853="monolithisch",1,0),"")</f>
        <v/>
      </c>
      <c r="T848" s="1" t="str">
        <f>IF(AND(Programme_Grunddaten!$A853="Geprüft",Programme_Grunddaten!AB853&lt;&gt;""),IF(Programme_Grunddaten!AB853="Ja",1,0),"")</f>
        <v/>
      </c>
      <c r="U848" s="1" t="str">
        <f>IF(AND(Programme_Grunddaten!$A853="Geprüft",Programme_Grunddaten!AC853&lt;&gt;""),IF(Programme_Grunddaten!AC853="Ja",1,0),"")</f>
        <v/>
      </c>
      <c r="V848" s="1" t="str">
        <f>IF(AND(Programme_Grunddaten!$A853="Geprüft",Programme_Grunddaten!AD853&lt;&gt;""),IF(Programme_Grunddaten!AD853="Ja",1,0),"")</f>
        <v/>
      </c>
      <c r="W848" s="1" t="str">
        <f>IF(AND(Programme_Grunddaten!$A853="Geprüft",Programme_Grunddaten!AE853&lt;&gt;""),IF(Programme_Grunddaten!AE853="Ja",1,0),"")</f>
        <v/>
      </c>
      <c r="X848" s="1" t="str">
        <f>IF(AND(Programme_Grunddaten!$A853="Geprüft",Programme_Grunddaten!AF853&lt;&gt;""),IF(Programme_Grunddaten!AF853="Ja",1,0),"")</f>
        <v/>
      </c>
      <c r="Y848" s="1" t="str">
        <f>IF(AND(Programme_Grunddaten!$A853="Geprüft",Programme_Grunddaten!AG853&lt;&gt;""),IF(Programme_Grunddaten!AG853="Ja",1,0),"")</f>
        <v/>
      </c>
      <c r="Z848" s="1" t="str">
        <f>IF(AND(Programme_Grunddaten!$A853="Geprüft",Programme_Grunddaten!AH853&lt;&gt;""),IF(Programme_Grunddaten!AH853="Ja",1,0),"")</f>
        <v/>
      </c>
      <c r="AA848" s="1" t="str">
        <f>IF(AND(Programme_Grunddaten!$A853="Geprüft",Programme_Grunddaten!AI853&lt;&gt;""),IF(Programme_Grunddaten!AI853="Ja",1,0),"")</f>
        <v/>
      </c>
      <c r="AB848" s="1" t="str">
        <f>IF(AND(Programme_Grunddaten!$A853="Geprüft",Programme_Grunddaten!AJ853&lt;&gt;""),IF(Programme_Grunddaten!AJ853="individuell programmierbar",1,0),"")</f>
        <v/>
      </c>
      <c r="AC848" s="1" t="str">
        <f>IF(AND(Programme_Grunddaten!$A853="Geprüft",Programme_Grunddaten!AK853&lt;&gt;""),IF(Programme_Grunddaten!AK853="Deutsch",0,IF(Programme_Grunddaten!AK853="Deutsch und Englisch",1,2)),"")</f>
        <v/>
      </c>
      <c r="AD848" s="1" t="str">
        <f>IF(AND(Programme_Grunddaten!$A853="Geprüft",Programme_Grunddaten!AL853&lt;&gt;""),IF(Programme_Grunddaten!AL853="Ja",1,0),"")</f>
        <v/>
      </c>
      <c r="AE848" s="1" t="str">
        <f>IF(AND(Programme_Grunddaten!$A853="Geprüft",Programme_Grunddaten!AM853&lt;&gt;""),IF(Programme_Grunddaten!AM853="Ja",1,0),"")</f>
        <v/>
      </c>
      <c r="AF848" s="1" t="str">
        <f>IF(AND(Programme_Grunddaten!$A853="Geprüft",Programme_Grunddaten!AN853&lt;&gt;""),IF(Programme_Grunddaten!AN853="Ja",1,0),"")</f>
        <v/>
      </c>
      <c r="AG848" s="1" t="str">
        <f>IF(AND(Programme_Grunddaten!$A853="Geprüft",Programme_Grunddaten!AO853&lt;&gt;""),IF(Programme_Grunddaten!AO853="Ja",1,0),"")</f>
        <v/>
      </c>
      <c r="AH848" s="1" t="str">
        <f>IF(AND(Programme_Grunddaten!$A853="Geprüft",Programme_Grunddaten!AP853&lt;&gt;""),IF(Programme_Grunddaten!AP853="Ja",1,0),"")</f>
        <v/>
      </c>
      <c r="AI848" s="1" t="str">
        <f>IF(AND(Programme_Grunddaten!$A853="Geprüft",Programme_Grunddaten!AQ853&lt;&gt;""),IF(Programme_Grunddaten!AQ853="Ja",1,0),"")</f>
        <v/>
      </c>
      <c r="AJ848" s="1" t="str">
        <f>IF(AND(Programme_Grunddaten!$A853="Geprüft",Programme_Grunddaten!AR853&lt;&gt;""),IF(Programme_Grunddaten!AR853="Ja",1,0),"")</f>
        <v/>
      </c>
      <c r="AK848" s="1" t="str">
        <f>IF(AND(Programme_Grunddaten!$A853="Geprüft",Programme_Grunddaten!AS853&lt;&gt;""),IF(Programme_Grunddaten!AS853="Ja",1,0),"")</f>
        <v/>
      </c>
      <c r="AL848" s="1" t="str">
        <f>IF(AND(Programme_Grunddaten!$A853="Geprüft",Programme_Grunddaten!AT853&lt;&gt;""),IF(Programme_Grunddaten!AT853="Ja",1,0),"")</f>
        <v/>
      </c>
      <c r="AM848" s="1" t="str">
        <f>IF(AND(Programme_Grunddaten!$A853="Geprüft",Programme_Grunddaten!AU853&lt;&gt;""),IF(Programme_Grunddaten!AU853="Ja",1,0),"")</f>
        <v/>
      </c>
      <c r="AN848" s="1" t="str">
        <f>IF(AND(Programme_Grunddaten!$A853="Geprüft",Programme_Grunddaten!AV853&lt;&gt;""),IF(Programme_Grunddaten!AV853="Ja",1,0),"")</f>
        <v/>
      </c>
    </row>
    <row r="849" spans="1:40" x14ac:dyDescent="0.3">
      <c r="A849" s="1" t="str">
        <f>IF(AND(Programme_Grunddaten!A854="Geprüft",Programme_Grunddaten!B854&lt;&gt;""),Programme_Grunddaten!B854,"")</f>
        <v/>
      </c>
      <c r="B849" s="1" t="str">
        <f>IF(AND(Programme_Grunddaten!$A854="Geprüft",Programme_Grunddaten!I854&lt;&gt;""),IF(Programme_Grunddaten!I854="Ja",1,0),"")</f>
        <v/>
      </c>
      <c r="C849" s="1" t="str">
        <f>IF(AND(Programme_Grunddaten!$A854="Geprüft",Programme_Grunddaten!J854&lt;&gt;""),IF(Programme_Grunddaten!J854="Ja",1,0),"")</f>
        <v/>
      </c>
      <c r="D849" s="1" t="str">
        <f>IF(AND(Programme_Grunddaten!$A854="Geprüft",Programme_Grunddaten!K854&lt;&gt;""),IF(Programme_Grunddaten!K854="Ja",1,0),"")</f>
        <v/>
      </c>
      <c r="E849" s="1" t="str">
        <f>IF(AND(Programme_Grunddaten!$A854="Geprüft",Programme_Grunddaten!L854&lt;&gt;""),IF(Programme_Grunddaten!L854="Abo / befristete Lizenz",1,0),"")</f>
        <v/>
      </c>
      <c r="F849" s="1" t="str">
        <f>IF(AND(Programme_Grunddaten!$A854="Geprüft",Programme_Grunddaten!M854&lt;&gt;""),IF(Programme_Grunddaten!M854="Ja",1,0),"")</f>
        <v/>
      </c>
      <c r="G849" s="1" t="str">
        <f>IF(AND(Programme_Grunddaten!$A854="Geprüft",Programme_Grunddaten!N854&lt;&gt;""),IF(Programme_Grunddaten!N854="Ja",1,0),"")</f>
        <v/>
      </c>
      <c r="H849" s="1" t="str">
        <f>IF(AND(Programme_Grunddaten!$A854="Geprüft",Programme_Grunddaten!O854&lt;&gt;""),IF(Programme_Grunddaten!O854="Deutschland",0,IF(Programme_Grunddaten!O854="EU",1,2)),"")</f>
        <v/>
      </c>
      <c r="I849" s="1" t="str">
        <f>IF(AND(Programme_Grunddaten!$A854="Geprüft",Programme_Grunddaten!P854&lt;&gt;""),IF(Programme_Grunddaten!P854="Ja",1,0),"")</f>
        <v/>
      </c>
      <c r="J849" s="1" t="str">
        <f>IF(AND(Programme_Grunddaten!$A854="Geprüft",Programme_Grunddaten!Q854&lt;&gt;""),IF(Programme_Grunddaten!Q854="geschlossenes System",1,0),"")</f>
        <v/>
      </c>
      <c r="K849" s="1" t="str">
        <f>IF(AND(Programme_Grunddaten!$A854="Geprüft",Programme_Grunddaten!R854&lt;&gt;""),IF(Programme_Grunddaten!R854="Ja",1,0),"")</f>
        <v/>
      </c>
      <c r="L849" s="1" t="str">
        <f>IF(AND(Programme_Grunddaten!$A854="Geprüft",Programme_Grunddaten!T854&lt;&gt;""),IF(Programme_Grunddaten!T854="Ja",1,0),"")</f>
        <v/>
      </c>
      <c r="M849" s="1" t="str">
        <f>IF(AND(Programme_Grunddaten!$A854="Geprüft",Programme_Grunddaten!U854&lt;&gt;""),IF(Programme_Grunddaten!U854="Ja",1,0),"")</f>
        <v/>
      </c>
      <c r="N849" s="1" t="str">
        <f>IF(AND(Programme_Grunddaten!$A854="Geprüft",Programme_Grunddaten!V854&lt;&gt;""),IF(Programme_Grunddaten!V854="Ja",1,0),"")</f>
        <v/>
      </c>
      <c r="O849" s="1" t="str">
        <f>IF(AND(Programme_Grunddaten!$A854="Geprüft",Programme_Grunddaten!W854&lt;&gt;""),IF(Programme_Grunddaten!W854="Ja",1,0),"")</f>
        <v/>
      </c>
      <c r="P849" s="1" t="str">
        <f>IF(AND(Programme_Grunddaten!$A854="Geprüft",Programme_Grunddaten!X854&lt;&gt;""),IF(Programme_Grunddaten!X854="Ja",1,0),"")</f>
        <v/>
      </c>
      <c r="Q849" s="1" t="str">
        <f>IF(AND(Programme_Grunddaten!$A854="Geprüft",Programme_Grunddaten!Y854&lt;&gt;""),IF(Programme_Grunddaten!Y854="Ja",1,0),"")</f>
        <v/>
      </c>
      <c r="R849" s="1" t="str">
        <f>IF(AND(Programme_Grunddaten!$A854="Geprüft",Programme_Grunddaten!Z854&lt;&gt;""),IF(Programme_Grunddaten!Z854="Ja",1,0),"")</f>
        <v/>
      </c>
      <c r="S849" s="1" t="str">
        <f>IF(AND(Programme_Grunddaten!$A854="Geprüft",Programme_Grunddaten!AA854&lt;&gt;""),IF(Programme_Grunddaten!AA854="monolithisch",1,0),"")</f>
        <v/>
      </c>
      <c r="T849" s="1" t="str">
        <f>IF(AND(Programme_Grunddaten!$A854="Geprüft",Programme_Grunddaten!AB854&lt;&gt;""),IF(Programme_Grunddaten!AB854="Ja",1,0),"")</f>
        <v/>
      </c>
      <c r="U849" s="1" t="str">
        <f>IF(AND(Programme_Grunddaten!$A854="Geprüft",Programme_Grunddaten!AC854&lt;&gt;""),IF(Programme_Grunddaten!AC854="Ja",1,0),"")</f>
        <v/>
      </c>
      <c r="V849" s="1" t="str">
        <f>IF(AND(Programme_Grunddaten!$A854="Geprüft",Programme_Grunddaten!AD854&lt;&gt;""),IF(Programme_Grunddaten!AD854="Ja",1,0),"")</f>
        <v/>
      </c>
      <c r="W849" s="1" t="str">
        <f>IF(AND(Programme_Grunddaten!$A854="Geprüft",Programme_Grunddaten!AE854&lt;&gt;""),IF(Programme_Grunddaten!AE854="Ja",1,0),"")</f>
        <v/>
      </c>
      <c r="X849" s="1" t="str">
        <f>IF(AND(Programme_Grunddaten!$A854="Geprüft",Programme_Grunddaten!AF854&lt;&gt;""),IF(Programme_Grunddaten!AF854="Ja",1,0),"")</f>
        <v/>
      </c>
      <c r="Y849" s="1" t="str">
        <f>IF(AND(Programme_Grunddaten!$A854="Geprüft",Programme_Grunddaten!AG854&lt;&gt;""),IF(Programme_Grunddaten!AG854="Ja",1,0),"")</f>
        <v/>
      </c>
      <c r="Z849" s="1" t="str">
        <f>IF(AND(Programme_Grunddaten!$A854="Geprüft",Programme_Grunddaten!AH854&lt;&gt;""),IF(Programme_Grunddaten!AH854="Ja",1,0),"")</f>
        <v/>
      </c>
      <c r="AA849" s="1" t="str">
        <f>IF(AND(Programme_Grunddaten!$A854="Geprüft",Programme_Grunddaten!AI854&lt;&gt;""),IF(Programme_Grunddaten!AI854="Ja",1,0),"")</f>
        <v/>
      </c>
      <c r="AB849" s="1" t="str">
        <f>IF(AND(Programme_Grunddaten!$A854="Geprüft",Programme_Grunddaten!AJ854&lt;&gt;""),IF(Programme_Grunddaten!AJ854="individuell programmierbar",1,0),"")</f>
        <v/>
      </c>
      <c r="AC849" s="1" t="str">
        <f>IF(AND(Programme_Grunddaten!$A854="Geprüft",Programme_Grunddaten!AK854&lt;&gt;""),IF(Programme_Grunddaten!AK854="Deutsch",0,IF(Programme_Grunddaten!AK854="Deutsch und Englisch",1,2)),"")</f>
        <v/>
      </c>
      <c r="AD849" s="1" t="str">
        <f>IF(AND(Programme_Grunddaten!$A854="Geprüft",Programme_Grunddaten!AL854&lt;&gt;""),IF(Programme_Grunddaten!AL854="Ja",1,0),"")</f>
        <v/>
      </c>
      <c r="AE849" s="1" t="str">
        <f>IF(AND(Programme_Grunddaten!$A854="Geprüft",Programme_Grunddaten!AM854&lt;&gt;""),IF(Programme_Grunddaten!AM854="Ja",1,0),"")</f>
        <v/>
      </c>
      <c r="AF849" s="1" t="str">
        <f>IF(AND(Programme_Grunddaten!$A854="Geprüft",Programme_Grunddaten!AN854&lt;&gt;""),IF(Programme_Grunddaten!AN854="Ja",1,0),"")</f>
        <v/>
      </c>
      <c r="AG849" s="1" t="str">
        <f>IF(AND(Programme_Grunddaten!$A854="Geprüft",Programme_Grunddaten!AO854&lt;&gt;""),IF(Programme_Grunddaten!AO854="Ja",1,0),"")</f>
        <v/>
      </c>
      <c r="AH849" s="1" t="str">
        <f>IF(AND(Programme_Grunddaten!$A854="Geprüft",Programme_Grunddaten!AP854&lt;&gt;""),IF(Programme_Grunddaten!AP854="Ja",1,0),"")</f>
        <v/>
      </c>
      <c r="AI849" s="1" t="str">
        <f>IF(AND(Programme_Grunddaten!$A854="Geprüft",Programme_Grunddaten!AQ854&lt;&gt;""),IF(Programme_Grunddaten!AQ854="Ja",1,0),"")</f>
        <v/>
      </c>
      <c r="AJ849" s="1" t="str">
        <f>IF(AND(Programme_Grunddaten!$A854="Geprüft",Programme_Grunddaten!AR854&lt;&gt;""),IF(Programme_Grunddaten!AR854="Ja",1,0),"")</f>
        <v/>
      </c>
      <c r="AK849" s="1" t="str">
        <f>IF(AND(Programme_Grunddaten!$A854="Geprüft",Programme_Grunddaten!AS854&lt;&gt;""),IF(Programme_Grunddaten!AS854="Ja",1,0),"")</f>
        <v/>
      </c>
      <c r="AL849" s="1" t="str">
        <f>IF(AND(Programme_Grunddaten!$A854="Geprüft",Programme_Grunddaten!AT854&lt;&gt;""),IF(Programme_Grunddaten!AT854="Ja",1,0),"")</f>
        <v/>
      </c>
      <c r="AM849" s="1" t="str">
        <f>IF(AND(Programme_Grunddaten!$A854="Geprüft",Programme_Grunddaten!AU854&lt;&gt;""),IF(Programme_Grunddaten!AU854="Ja",1,0),"")</f>
        <v/>
      </c>
      <c r="AN849" s="1" t="str">
        <f>IF(AND(Programme_Grunddaten!$A854="Geprüft",Programme_Grunddaten!AV854&lt;&gt;""),IF(Programme_Grunddaten!AV854="Ja",1,0),"")</f>
        <v/>
      </c>
    </row>
    <row r="850" spans="1:40" x14ac:dyDescent="0.3">
      <c r="A850" s="1" t="str">
        <f>IF(AND(Programme_Grunddaten!A855="Geprüft",Programme_Grunddaten!B855&lt;&gt;""),Programme_Grunddaten!B855,"")</f>
        <v/>
      </c>
      <c r="B850" s="1" t="str">
        <f>IF(AND(Programme_Grunddaten!$A855="Geprüft",Programme_Grunddaten!I855&lt;&gt;""),IF(Programme_Grunddaten!I855="Ja",1,0),"")</f>
        <v/>
      </c>
      <c r="C850" s="1" t="str">
        <f>IF(AND(Programme_Grunddaten!$A855="Geprüft",Programme_Grunddaten!J855&lt;&gt;""),IF(Programme_Grunddaten!J855="Ja",1,0),"")</f>
        <v/>
      </c>
      <c r="D850" s="1" t="str">
        <f>IF(AND(Programme_Grunddaten!$A855="Geprüft",Programme_Grunddaten!K855&lt;&gt;""),IF(Programme_Grunddaten!K855="Ja",1,0),"")</f>
        <v/>
      </c>
      <c r="E850" s="1" t="str">
        <f>IF(AND(Programme_Grunddaten!$A855="Geprüft",Programme_Grunddaten!L855&lt;&gt;""),IF(Programme_Grunddaten!L855="Abo / befristete Lizenz",1,0),"")</f>
        <v/>
      </c>
      <c r="F850" s="1" t="str">
        <f>IF(AND(Programme_Grunddaten!$A855="Geprüft",Programme_Grunddaten!M855&lt;&gt;""),IF(Programme_Grunddaten!M855="Ja",1,0),"")</f>
        <v/>
      </c>
      <c r="G850" s="1" t="str">
        <f>IF(AND(Programme_Grunddaten!$A855="Geprüft",Programme_Grunddaten!N855&lt;&gt;""),IF(Programme_Grunddaten!N855="Ja",1,0),"")</f>
        <v/>
      </c>
      <c r="H850" s="1" t="str">
        <f>IF(AND(Programme_Grunddaten!$A855="Geprüft",Programme_Grunddaten!O855&lt;&gt;""),IF(Programme_Grunddaten!O855="Deutschland",0,IF(Programme_Grunddaten!O855="EU",1,2)),"")</f>
        <v/>
      </c>
      <c r="I850" s="1" t="str">
        <f>IF(AND(Programme_Grunddaten!$A855="Geprüft",Programme_Grunddaten!P855&lt;&gt;""),IF(Programme_Grunddaten!P855="Ja",1,0),"")</f>
        <v/>
      </c>
      <c r="J850" s="1" t="str">
        <f>IF(AND(Programme_Grunddaten!$A855="Geprüft",Programme_Grunddaten!Q855&lt;&gt;""),IF(Programme_Grunddaten!Q855="geschlossenes System",1,0),"")</f>
        <v/>
      </c>
      <c r="K850" s="1" t="str">
        <f>IF(AND(Programme_Grunddaten!$A855="Geprüft",Programme_Grunddaten!R855&lt;&gt;""),IF(Programme_Grunddaten!R855="Ja",1,0),"")</f>
        <v/>
      </c>
      <c r="L850" s="1" t="str">
        <f>IF(AND(Programme_Grunddaten!$A855="Geprüft",Programme_Grunddaten!T855&lt;&gt;""),IF(Programme_Grunddaten!T855="Ja",1,0),"")</f>
        <v/>
      </c>
      <c r="M850" s="1" t="str">
        <f>IF(AND(Programme_Grunddaten!$A855="Geprüft",Programme_Grunddaten!U855&lt;&gt;""),IF(Programme_Grunddaten!U855="Ja",1,0),"")</f>
        <v/>
      </c>
      <c r="N850" s="1" t="str">
        <f>IF(AND(Programme_Grunddaten!$A855="Geprüft",Programme_Grunddaten!V855&lt;&gt;""),IF(Programme_Grunddaten!V855="Ja",1,0),"")</f>
        <v/>
      </c>
      <c r="O850" s="1" t="str">
        <f>IF(AND(Programme_Grunddaten!$A855="Geprüft",Programme_Grunddaten!W855&lt;&gt;""),IF(Programme_Grunddaten!W855="Ja",1,0),"")</f>
        <v/>
      </c>
      <c r="P850" s="1" t="str">
        <f>IF(AND(Programme_Grunddaten!$A855="Geprüft",Programme_Grunddaten!X855&lt;&gt;""),IF(Programme_Grunddaten!X855="Ja",1,0),"")</f>
        <v/>
      </c>
      <c r="Q850" s="1" t="str">
        <f>IF(AND(Programme_Grunddaten!$A855="Geprüft",Programme_Grunddaten!Y855&lt;&gt;""),IF(Programme_Grunddaten!Y855="Ja",1,0),"")</f>
        <v/>
      </c>
      <c r="R850" s="1" t="str">
        <f>IF(AND(Programme_Grunddaten!$A855="Geprüft",Programme_Grunddaten!Z855&lt;&gt;""),IF(Programme_Grunddaten!Z855="Ja",1,0),"")</f>
        <v/>
      </c>
      <c r="S850" s="1" t="str">
        <f>IF(AND(Programme_Grunddaten!$A855="Geprüft",Programme_Grunddaten!AA855&lt;&gt;""),IF(Programme_Grunddaten!AA855="monolithisch",1,0),"")</f>
        <v/>
      </c>
      <c r="T850" s="1" t="str">
        <f>IF(AND(Programme_Grunddaten!$A855="Geprüft",Programme_Grunddaten!AB855&lt;&gt;""),IF(Programme_Grunddaten!AB855="Ja",1,0),"")</f>
        <v/>
      </c>
      <c r="U850" s="1" t="str">
        <f>IF(AND(Programme_Grunddaten!$A855="Geprüft",Programme_Grunddaten!AC855&lt;&gt;""),IF(Programme_Grunddaten!AC855="Ja",1,0),"")</f>
        <v/>
      </c>
      <c r="V850" s="1" t="str">
        <f>IF(AND(Programme_Grunddaten!$A855="Geprüft",Programme_Grunddaten!AD855&lt;&gt;""),IF(Programme_Grunddaten!AD855="Ja",1,0),"")</f>
        <v/>
      </c>
      <c r="W850" s="1" t="str">
        <f>IF(AND(Programme_Grunddaten!$A855="Geprüft",Programme_Grunddaten!AE855&lt;&gt;""),IF(Programme_Grunddaten!AE855="Ja",1,0),"")</f>
        <v/>
      </c>
      <c r="X850" s="1" t="str">
        <f>IF(AND(Programme_Grunddaten!$A855="Geprüft",Programme_Grunddaten!AF855&lt;&gt;""),IF(Programme_Grunddaten!AF855="Ja",1,0),"")</f>
        <v/>
      </c>
      <c r="Y850" s="1" t="str">
        <f>IF(AND(Programme_Grunddaten!$A855="Geprüft",Programme_Grunddaten!AG855&lt;&gt;""),IF(Programme_Grunddaten!AG855="Ja",1,0),"")</f>
        <v/>
      </c>
      <c r="Z850" s="1" t="str">
        <f>IF(AND(Programme_Grunddaten!$A855="Geprüft",Programme_Grunddaten!AH855&lt;&gt;""),IF(Programme_Grunddaten!AH855="Ja",1,0),"")</f>
        <v/>
      </c>
      <c r="AA850" s="1" t="str">
        <f>IF(AND(Programme_Grunddaten!$A855="Geprüft",Programme_Grunddaten!AI855&lt;&gt;""),IF(Programme_Grunddaten!AI855="Ja",1,0),"")</f>
        <v/>
      </c>
      <c r="AB850" s="1" t="str">
        <f>IF(AND(Programme_Grunddaten!$A855="Geprüft",Programme_Grunddaten!AJ855&lt;&gt;""),IF(Programme_Grunddaten!AJ855="individuell programmierbar",1,0),"")</f>
        <v/>
      </c>
      <c r="AC850" s="1" t="str">
        <f>IF(AND(Programme_Grunddaten!$A855="Geprüft",Programme_Grunddaten!AK855&lt;&gt;""),IF(Programme_Grunddaten!AK855="Deutsch",0,IF(Programme_Grunddaten!AK855="Deutsch und Englisch",1,2)),"")</f>
        <v/>
      </c>
      <c r="AD850" s="1" t="str">
        <f>IF(AND(Programme_Grunddaten!$A855="Geprüft",Programme_Grunddaten!AL855&lt;&gt;""),IF(Programme_Grunddaten!AL855="Ja",1,0),"")</f>
        <v/>
      </c>
      <c r="AE850" s="1" t="str">
        <f>IF(AND(Programme_Grunddaten!$A855="Geprüft",Programme_Grunddaten!AM855&lt;&gt;""),IF(Programme_Grunddaten!AM855="Ja",1,0),"")</f>
        <v/>
      </c>
      <c r="AF850" s="1" t="str">
        <f>IF(AND(Programme_Grunddaten!$A855="Geprüft",Programme_Grunddaten!AN855&lt;&gt;""),IF(Programme_Grunddaten!AN855="Ja",1,0),"")</f>
        <v/>
      </c>
      <c r="AG850" s="1" t="str">
        <f>IF(AND(Programme_Grunddaten!$A855="Geprüft",Programme_Grunddaten!AO855&lt;&gt;""),IF(Programme_Grunddaten!AO855="Ja",1,0),"")</f>
        <v/>
      </c>
      <c r="AH850" s="1" t="str">
        <f>IF(AND(Programme_Grunddaten!$A855="Geprüft",Programme_Grunddaten!AP855&lt;&gt;""),IF(Programme_Grunddaten!AP855="Ja",1,0),"")</f>
        <v/>
      </c>
      <c r="AI850" s="1" t="str">
        <f>IF(AND(Programme_Grunddaten!$A855="Geprüft",Programme_Grunddaten!AQ855&lt;&gt;""),IF(Programme_Grunddaten!AQ855="Ja",1,0),"")</f>
        <v/>
      </c>
      <c r="AJ850" s="1" t="str">
        <f>IF(AND(Programme_Grunddaten!$A855="Geprüft",Programme_Grunddaten!AR855&lt;&gt;""),IF(Programme_Grunddaten!AR855="Ja",1,0),"")</f>
        <v/>
      </c>
      <c r="AK850" s="1" t="str">
        <f>IF(AND(Programme_Grunddaten!$A855="Geprüft",Programme_Grunddaten!AS855&lt;&gt;""),IF(Programme_Grunddaten!AS855="Ja",1,0),"")</f>
        <v/>
      </c>
      <c r="AL850" s="1" t="str">
        <f>IF(AND(Programme_Grunddaten!$A855="Geprüft",Programme_Grunddaten!AT855&lt;&gt;""),IF(Programme_Grunddaten!AT855="Ja",1,0),"")</f>
        <v/>
      </c>
      <c r="AM850" s="1" t="str">
        <f>IF(AND(Programme_Grunddaten!$A855="Geprüft",Programme_Grunddaten!AU855&lt;&gt;""),IF(Programme_Grunddaten!AU855="Ja",1,0),"")</f>
        <v/>
      </c>
      <c r="AN850" s="1" t="str">
        <f>IF(AND(Programme_Grunddaten!$A855="Geprüft",Programme_Grunddaten!AV855&lt;&gt;""),IF(Programme_Grunddaten!AV855="Ja",1,0),"")</f>
        <v/>
      </c>
    </row>
    <row r="851" spans="1:40" x14ac:dyDescent="0.3">
      <c r="A851" s="1" t="str">
        <f>IF(AND(Programme_Grunddaten!A856="Geprüft",Programme_Grunddaten!B856&lt;&gt;""),Programme_Grunddaten!B856,"")</f>
        <v/>
      </c>
      <c r="B851" s="1" t="str">
        <f>IF(AND(Programme_Grunddaten!$A856="Geprüft",Programme_Grunddaten!I856&lt;&gt;""),IF(Programme_Grunddaten!I856="Ja",1,0),"")</f>
        <v/>
      </c>
      <c r="C851" s="1" t="str">
        <f>IF(AND(Programme_Grunddaten!$A856="Geprüft",Programme_Grunddaten!J856&lt;&gt;""),IF(Programme_Grunddaten!J856="Ja",1,0),"")</f>
        <v/>
      </c>
      <c r="D851" s="1" t="str">
        <f>IF(AND(Programme_Grunddaten!$A856="Geprüft",Programme_Grunddaten!K856&lt;&gt;""),IF(Programme_Grunddaten!K856="Ja",1,0),"")</f>
        <v/>
      </c>
      <c r="E851" s="1" t="str">
        <f>IF(AND(Programme_Grunddaten!$A856="Geprüft",Programme_Grunddaten!L856&lt;&gt;""),IF(Programme_Grunddaten!L856="Abo / befristete Lizenz",1,0),"")</f>
        <v/>
      </c>
      <c r="F851" s="1" t="str">
        <f>IF(AND(Programme_Grunddaten!$A856="Geprüft",Programme_Grunddaten!M856&lt;&gt;""),IF(Programme_Grunddaten!M856="Ja",1,0),"")</f>
        <v/>
      </c>
      <c r="G851" s="1" t="str">
        <f>IF(AND(Programme_Grunddaten!$A856="Geprüft",Programme_Grunddaten!N856&lt;&gt;""),IF(Programme_Grunddaten!N856="Ja",1,0),"")</f>
        <v/>
      </c>
      <c r="H851" s="1" t="str">
        <f>IF(AND(Programme_Grunddaten!$A856="Geprüft",Programme_Grunddaten!O856&lt;&gt;""),IF(Programme_Grunddaten!O856="Deutschland",0,IF(Programme_Grunddaten!O856="EU",1,2)),"")</f>
        <v/>
      </c>
      <c r="I851" s="1" t="str">
        <f>IF(AND(Programme_Grunddaten!$A856="Geprüft",Programme_Grunddaten!P856&lt;&gt;""),IF(Programme_Grunddaten!P856="Ja",1,0),"")</f>
        <v/>
      </c>
      <c r="J851" s="1" t="str">
        <f>IF(AND(Programme_Grunddaten!$A856="Geprüft",Programme_Grunddaten!Q856&lt;&gt;""),IF(Programme_Grunddaten!Q856="geschlossenes System",1,0),"")</f>
        <v/>
      </c>
      <c r="K851" s="1" t="str">
        <f>IF(AND(Programme_Grunddaten!$A856="Geprüft",Programme_Grunddaten!R856&lt;&gt;""),IF(Programme_Grunddaten!R856="Ja",1,0),"")</f>
        <v/>
      </c>
      <c r="L851" s="1" t="str">
        <f>IF(AND(Programme_Grunddaten!$A856="Geprüft",Programme_Grunddaten!T856&lt;&gt;""),IF(Programme_Grunddaten!T856="Ja",1,0),"")</f>
        <v/>
      </c>
      <c r="M851" s="1" t="str">
        <f>IF(AND(Programme_Grunddaten!$A856="Geprüft",Programme_Grunddaten!U856&lt;&gt;""),IF(Programme_Grunddaten!U856="Ja",1,0),"")</f>
        <v/>
      </c>
      <c r="N851" s="1" t="str">
        <f>IF(AND(Programme_Grunddaten!$A856="Geprüft",Programme_Grunddaten!V856&lt;&gt;""),IF(Programme_Grunddaten!V856="Ja",1,0),"")</f>
        <v/>
      </c>
      <c r="O851" s="1" t="str">
        <f>IF(AND(Programme_Grunddaten!$A856="Geprüft",Programme_Grunddaten!W856&lt;&gt;""),IF(Programme_Grunddaten!W856="Ja",1,0),"")</f>
        <v/>
      </c>
      <c r="P851" s="1" t="str">
        <f>IF(AND(Programme_Grunddaten!$A856="Geprüft",Programme_Grunddaten!X856&lt;&gt;""),IF(Programme_Grunddaten!X856="Ja",1,0),"")</f>
        <v/>
      </c>
      <c r="Q851" s="1" t="str">
        <f>IF(AND(Programme_Grunddaten!$A856="Geprüft",Programme_Grunddaten!Y856&lt;&gt;""),IF(Programme_Grunddaten!Y856="Ja",1,0),"")</f>
        <v/>
      </c>
      <c r="R851" s="1" t="str">
        <f>IF(AND(Programme_Grunddaten!$A856="Geprüft",Programme_Grunddaten!Z856&lt;&gt;""),IF(Programme_Grunddaten!Z856="Ja",1,0),"")</f>
        <v/>
      </c>
      <c r="S851" s="1" t="str">
        <f>IF(AND(Programme_Grunddaten!$A856="Geprüft",Programme_Grunddaten!AA856&lt;&gt;""),IF(Programme_Grunddaten!AA856="monolithisch",1,0),"")</f>
        <v/>
      </c>
      <c r="T851" s="1" t="str">
        <f>IF(AND(Programme_Grunddaten!$A856="Geprüft",Programme_Grunddaten!AB856&lt;&gt;""),IF(Programme_Grunddaten!AB856="Ja",1,0),"")</f>
        <v/>
      </c>
      <c r="U851" s="1" t="str">
        <f>IF(AND(Programme_Grunddaten!$A856="Geprüft",Programme_Grunddaten!AC856&lt;&gt;""),IF(Programme_Grunddaten!AC856="Ja",1,0),"")</f>
        <v/>
      </c>
      <c r="V851" s="1" t="str">
        <f>IF(AND(Programme_Grunddaten!$A856="Geprüft",Programme_Grunddaten!AD856&lt;&gt;""),IF(Programme_Grunddaten!AD856="Ja",1,0),"")</f>
        <v/>
      </c>
      <c r="W851" s="1" t="str">
        <f>IF(AND(Programme_Grunddaten!$A856="Geprüft",Programme_Grunddaten!AE856&lt;&gt;""),IF(Programme_Grunddaten!AE856="Ja",1,0),"")</f>
        <v/>
      </c>
      <c r="X851" s="1" t="str">
        <f>IF(AND(Programme_Grunddaten!$A856="Geprüft",Programme_Grunddaten!AF856&lt;&gt;""),IF(Programme_Grunddaten!AF856="Ja",1,0),"")</f>
        <v/>
      </c>
      <c r="Y851" s="1" t="str">
        <f>IF(AND(Programme_Grunddaten!$A856="Geprüft",Programme_Grunddaten!AG856&lt;&gt;""),IF(Programme_Grunddaten!AG856="Ja",1,0),"")</f>
        <v/>
      </c>
      <c r="Z851" s="1" t="str">
        <f>IF(AND(Programme_Grunddaten!$A856="Geprüft",Programme_Grunddaten!AH856&lt;&gt;""),IF(Programme_Grunddaten!AH856="Ja",1,0),"")</f>
        <v/>
      </c>
      <c r="AA851" s="1" t="str">
        <f>IF(AND(Programme_Grunddaten!$A856="Geprüft",Programme_Grunddaten!AI856&lt;&gt;""),IF(Programme_Grunddaten!AI856="Ja",1,0),"")</f>
        <v/>
      </c>
      <c r="AB851" s="1" t="str">
        <f>IF(AND(Programme_Grunddaten!$A856="Geprüft",Programme_Grunddaten!AJ856&lt;&gt;""),IF(Programme_Grunddaten!AJ856="individuell programmierbar",1,0),"")</f>
        <v/>
      </c>
      <c r="AC851" s="1" t="str">
        <f>IF(AND(Programme_Grunddaten!$A856="Geprüft",Programme_Grunddaten!AK856&lt;&gt;""),IF(Programme_Grunddaten!AK856="Deutsch",0,IF(Programme_Grunddaten!AK856="Deutsch und Englisch",1,2)),"")</f>
        <v/>
      </c>
      <c r="AD851" s="1" t="str">
        <f>IF(AND(Programme_Grunddaten!$A856="Geprüft",Programme_Grunddaten!AL856&lt;&gt;""),IF(Programme_Grunddaten!AL856="Ja",1,0),"")</f>
        <v/>
      </c>
      <c r="AE851" s="1" t="str">
        <f>IF(AND(Programme_Grunddaten!$A856="Geprüft",Programme_Grunddaten!AM856&lt;&gt;""),IF(Programme_Grunddaten!AM856="Ja",1,0),"")</f>
        <v/>
      </c>
      <c r="AF851" s="1" t="str">
        <f>IF(AND(Programme_Grunddaten!$A856="Geprüft",Programme_Grunddaten!AN856&lt;&gt;""),IF(Programme_Grunddaten!AN856="Ja",1,0),"")</f>
        <v/>
      </c>
      <c r="AG851" s="1" t="str">
        <f>IF(AND(Programme_Grunddaten!$A856="Geprüft",Programme_Grunddaten!AO856&lt;&gt;""),IF(Programme_Grunddaten!AO856="Ja",1,0),"")</f>
        <v/>
      </c>
      <c r="AH851" s="1" t="str">
        <f>IF(AND(Programme_Grunddaten!$A856="Geprüft",Programme_Grunddaten!AP856&lt;&gt;""),IF(Programme_Grunddaten!AP856="Ja",1,0),"")</f>
        <v/>
      </c>
      <c r="AI851" s="1" t="str">
        <f>IF(AND(Programme_Grunddaten!$A856="Geprüft",Programme_Grunddaten!AQ856&lt;&gt;""),IF(Programme_Grunddaten!AQ856="Ja",1,0),"")</f>
        <v/>
      </c>
      <c r="AJ851" s="1" t="str">
        <f>IF(AND(Programme_Grunddaten!$A856="Geprüft",Programme_Grunddaten!AR856&lt;&gt;""),IF(Programme_Grunddaten!AR856="Ja",1,0),"")</f>
        <v/>
      </c>
      <c r="AK851" s="1" t="str">
        <f>IF(AND(Programme_Grunddaten!$A856="Geprüft",Programme_Grunddaten!AS856&lt;&gt;""),IF(Programme_Grunddaten!AS856="Ja",1,0),"")</f>
        <v/>
      </c>
      <c r="AL851" s="1" t="str">
        <f>IF(AND(Programme_Grunddaten!$A856="Geprüft",Programme_Grunddaten!AT856&lt;&gt;""),IF(Programme_Grunddaten!AT856="Ja",1,0),"")</f>
        <v/>
      </c>
      <c r="AM851" s="1" t="str">
        <f>IF(AND(Programme_Grunddaten!$A856="Geprüft",Programme_Grunddaten!AU856&lt;&gt;""),IF(Programme_Grunddaten!AU856="Ja",1,0),"")</f>
        <v/>
      </c>
      <c r="AN851" s="1" t="str">
        <f>IF(AND(Programme_Grunddaten!$A856="Geprüft",Programme_Grunddaten!AV856&lt;&gt;""),IF(Programme_Grunddaten!AV856="Ja",1,0),"")</f>
        <v/>
      </c>
    </row>
    <row r="852" spans="1:40" x14ac:dyDescent="0.3">
      <c r="A852" s="1" t="str">
        <f>IF(AND(Programme_Grunddaten!A857="Geprüft",Programme_Grunddaten!B857&lt;&gt;""),Programme_Grunddaten!B857,"")</f>
        <v/>
      </c>
      <c r="B852" s="1" t="str">
        <f>IF(AND(Programme_Grunddaten!$A857="Geprüft",Programme_Grunddaten!I857&lt;&gt;""),IF(Programme_Grunddaten!I857="Ja",1,0),"")</f>
        <v/>
      </c>
      <c r="C852" s="1" t="str">
        <f>IF(AND(Programme_Grunddaten!$A857="Geprüft",Programme_Grunddaten!J857&lt;&gt;""),IF(Programme_Grunddaten!J857="Ja",1,0),"")</f>
        <v/>
      </c>
      <c r="D852" s="1" t="str">
        <f>IF(AND(Programme_Grunddaten!$A857="Geprüft",Programme_Grunddaten!K857&lt;&gt;""),IF(Programme_Grunddaten!K857="Ja",1,0),"")</f>
        <v/>
      </c>
      <c r="E852" s="1" t="str">
        <f>IF(AND(Programme_Grunddaten!$A857="Geprüft",Programme_Grunddaten!L857&lt;&gt;""),IF(Programme_Grunddaten!L857="Abo / befristete Lizenz",1,0),"")</f>
        <v/>
      </c>
      <c r="F852" s="1" t="str">
        <f>IF(AND(Programme_Grunddaten!$A857="Geprüft",Programme_Grunddaten!M857&lt;&gt;""),IF(Programme_Grunddaten!M857="Ja",1,0),"")</f>
        <v/>
      </c>
      <c r="G852" s="1" t="str">
        <f>IF(AND(Programme_Grunddaten!$A857="Geprüft",Programme_Grunddaten!N857&lt;&gt;""),IF(Programme_Grunddaten!N857="Ja",1,0),"")</f>
        <v/>
      </c>
      <c r="H852" s="1" t="str">
        <f>IF(AND(Programme_Grunddaten!$A857="Geprüft",Programme_Grunddaten!O857&lt;&gt;""),IF(Programme_Grunddaten!O857="Deutschland",0,IF(Programme_Grunddaten!O857="EU",1,2)),"")</f>
        <v/>
      </c>
      <c r="I852" s="1" t="str">
        <f>IF(AND(Programme_Grunddaten!$A857="Geprüft",Programme_Grunddaten!P857&lt;&gt;""),IF(Programme_Grunddaten!P857="Ja",1,0),"")</f>
        <v/>
      </c>
      <c r="J852" s="1" t="str">
        <f>IF(AND(Programme_Grunddaten!$A857="Geprüft",Programme_Grunddaten!Q857&lt;&gt;""),IF(Programme_Grunddaten!Q857="geschlossenes System",1,0),"")</f>
        <v/>
      </c>
      <c r="K852" s="1" t="str">
        <f>IF(AND(Programme_Grunddaten!$A857="Geprüft",Programme_Grunddaten!R857&lt;&gt;""),IF(Programme_Grunddaten!R857="Ja",1,0),"")</f>
        <v/>
      </c>
      <c r="L852" s="1" t="str">
        <f>IF(AND(Programme_Grunddaten!$A857="Geprüft",Programme_Grunddaten!T857&lt;&gt;""),IF(Programme_Grunddaten!T857="Ja",1,0),"")</f>
        <v/>
      </c>
      <c r="M852" s="1" t="str">
        <f>IF(AND(Programme_Grunddaten!$A857="Geprüft",Programme_Grunddaten!U857&lt;&gt;""),IF(Programme_Grunddaten!U857="Ja",1,0),"")</f>
        <v/>
      </c>
      <c r="N852" s="1" t="str">
        <f>IF(AND(Programme_Grunddaten!$A857="Geprüft",Programme_Grunddaten!V857&lt;&gt;""),IF(Programme_Grunddaten!V857="Ja",1,0),"")</f>
        <v/>
      </c>
      <c r="O852" s="1" t="str">
        <f>IF(AND(Programme_Grunddaten!$A857="Geprüft",Programme_Grunddaten!W857&lt;&gt;""),IF(Programme_Grunddaten!W857="Ja",1,0),"")</f>
        <v/>
      </c>
      <c r="P852" s="1" t="str">
        <f>IF(AND(Programme_Grunddaten!$A857="Geprüft",Programme_Grunddaten!X857&lt;&gt;""),IF(Programme_Grunddaten!X857="Ja",1,0),"")</f>
        <v/>
      </c>
      <c r="Q852" s="1" t="str">
        <f>IF(AND(Programme_Grunddaten!$A857="Geprüft",Programme_Grunddaten!Y857&lt;&gt;""),IF(Programme_Grunddaten!Y857="Ja",1,0),"")</f>
        <v/>
      </c>
      <c r="R852" s="1" t="str">
        <f>IF(AND(Programme_Grunddaten!$A857="Geprüft",Programme_Grunddaten!Z857&lt;&gt;""),IF(Programme_Grunddaten!Z857="Ja",1,0),"")</f>
        <v/>
      </c>
      <c r="S852" s="1" t="str">
        <f>IF(AND(Programme_Grunddaten!$A857="Geprüft",Programme_Grunddaten!AA857&lt;&gt;""),IF(Programme_Grunddaten!AA857="monolithisch",1,0),"")</f>
        <v/>
      </c>
      <c r="T852" s="1" t="str">
        <f>IF(AND(Programme_Grunddaten!$A857="Geprüft",Programme_Grunddaten!AB857&lt;&gt;""),IF(Programme_Grunddaten!AB857="Ja",1,0),"")</f>
        <v/>
      </c>
      <c r="U852" s="1" t="str">
        <f>IF(AND(Programme_Grunddaten!$A857="Geprüft",Programme_Grunddaten!AC857&lt;&gt;""),IF(Programme_Grunddaten!AC857="Ja",1,0),"")</f>
        <v/>
      </c>
      <c r="V852" s="1" t="str">
        <f>IF(AND(Programme_Grunddaten!$A857="Geprüft",Programme_Grunddaten!AD857&lt;&gt;""),IF(Programme_Grunddaten!AD857="Ja",1,0),"")</f>
        <v/>
      </c>
      <c r="W852" s="1" t="str">
        <f>IF(AND(Programme_Grunddaten!$A857="Geprüft",Programme_Grunddaten!AE857&lt;&gt;""),IF(Programme_Grunddaten!AE857="Ja",1,0),"")</f>
        <v/>
      </c>
      <c r="X852" s="1" t="str">
        <f>IF(AND(Programme_Grunddaten!$A857="Geprüft",Programme_Grunddaten!AF857&lt;&gt;""),IF(Programme_Grunddaten!AF857="Ja",1,0),"")</f>
        <v/>
      </c>
      <c r="Y852" s="1" t="str">
        <f>IF(AND(Programme_Grunddaten!$A857="Geprüft",Programme_Grunddaten!AG857&lt;&gt;""),IF(Programme_Grunddaten!AG857="Ja",1,0),"")</f>
        <v/>
      </c>
      <c r="Z852" s="1" t="str">
        <f>IF(AND(Programme_Grunddaten!$A857="Geprüft",Programme_Grunddaten!AH857&lt;&gt;""),IF(Programme_Grunddaten!AH857="Ja",1,0),"")</f>
        <v/>
      </c>
      <c r="AA852" s="1" t="str">
        <f>IF(AND(Programme_Grunddaten!$A857="Geprüft",Programme_Grunddaten!AI857&lt;&gt;""),IF(Programme_Grunddaten!AI857="Ja",1,0),"")</f>
        <v/>
      </c>
      <c r="AB852" s="1" t="str">
        <f>IF(AND(Programme_Grunddaten!$A857="Geprüft",Programme_Grunddaten!AJ857&lt;&gt;""),IF(Programme_Grunddaten!AJ857="individuell programmierbar",1,0),"")</f>
        <v/>
      </c>
      <c r="AC852" s="1" t="str">
        <f>IF(AND(Programme_Grunddaten!$A857="Geprüft",Programme_Grunddaten!AK857&lt;&gt;""),IF(Programme_Grunddaten!AK857="Deutsch",0,IF(Programme_Grunddaten!AK857="Deutsch und Englisch",1,2)),"")</f>
        <v/>
      </c>
      <c r="AD852" s="1" t="str">
        <f>IF(AND(Programme_Grunddaten!$A857="Geprüft",Programme_Grunddaten!AL857&lt;&gt;""),IF(Programme_Grunddaten!AL857="Ja",1,0),"")</f>
        <v/>
      </c>
      <c r="AE852" s="1" t="str">
        <f>IF(AND(Programme_Grunddaten!$A857="Geprüft",Programme_Grunddaten!AM857&lt;&gt;""),IF(Programme_Grunddaten!AM857="Ja",1,0),"")</f>
        <v/>
      </c>
      <c r="AF852" s="1" t="str">
        <f>IF(AND(Programme_Grunddaten!$A857="Geprüft",Programme_Grunddaten!AN857&lt;&gt;""),IF(Programme_Grunddaten!AN857="Ja",1,0),"")</f>
        <v/>
      </c>
      <c r="AG852" s="1" t="str">
        <f>IF(AND(Programme_Grunddaten!$A857="Geprüft",Programme_Grunddaten!AO857&lt;&gt;""),IF(Programme_Grunddaten!AO857="Ja",1,0),"")</f>
        <v/>
      </c>
      <c r="AH852" s="1" t="str">
        <f>IF(AND(Programme_Grunddaten!$A857="Geprüft",Programme_Grunddaten!AP857&lt;&gt;""),IF(Programme_Grunddaten!AP857="Ja",1,0),"")</f>
        <v/>
      </c>
      <c r="AI852" s="1" t="str">
        <f>IF(AND(Programme_Grunddaten!$A857="Geprüft",Programme_Grunddaten!AQ857&lt;&gt;""),IF(Programme_Grunddaten!AQ857="Ja",1,0),"")</f>
        <v/>
      </c>
      <c r="AJ852" s="1" t="str">
        <f>IF(AND(Programme_Grunddaten!$A857="Geprüft",Programme_Grunddaten!AR857&lt;&gt;""),IF(Programme_Grunddaten!AR857="Ja",1,0),"")</f>
        <v/>
      </c>
      <c r="AK852" s="1" t="str">
        <f>IF(AND(Programme_Grunddaten!$A857="Geprüft",Programme_Grunddaten!AS857&lt;&gt;""),IF(Programme_Grunddaten!AS857="Ja",1,0),"")</f>
        <v/>
      </c>
      <c r="AL852" s="1" t="str">
        <f>IF(AND(Programme_Grunddaten!$A857="Geprüft",Programme_Grunddaten!AT857&lt;&gt;""),IF(Programme_Grunddaten!AT857="Ja",1,0),"")</f>
        <v/>
      </c>
      <c r="AM852" s="1" t="str">
        <f>IF(AND(Programme_Grunddaten!$A857="Geprüft",Programme_Grunddaten!AU857&lt;&gt;""),IF(Programme_Grunddaten!AU857="Ja",1,0),"")</f>
        <v/>
      </c>
      <c r="AN852" s="1" t="str">
        <f>IF(AND(Programme_Grunddaten!$A857="Geprüft",Programme_Grunddaten!AV857&lt;&gt;""),IF(Programme_Grunddaten!AV857="Ja",1,0),"")</f>
        <v/>
      </c>
    </row>
    <row r="853" spans="1:40" x14ac:dyDescent="0.3">
      <c r="A853" s="1" t="str">
        <f>IF(AND(Programme_Grunddaten!A858="Geprüft",Programme_Grunddaten!B858&lt;&gt;""),Programme_Grunddaten!B858,"")</f>
        <v/>
      </c>
      <c r="B853" s="1" t="str">
        <f>IF(AND(Programme_Grunddaten!$A858="Geprüft",Programme_Grunddaten!I858&lt;&gt;""),IF(Programme_Grunddaten!I858="Ja",1,0),"")</f>
        <v/>
      </c>
      <c r="C853" s="1" t="str">
        <f>IF(AND(Programme_Grunddaten!$A858="Geprüft",Programme_Grunddaten!J858&lt;&gt;""),IF(Programme_Grunddaten!J858="Ja",1,0),"")</f>
        <v/>
      </c>
      <c r="D853" s="1" t="str">
        <f>IF(AND(Programme_Grunddaten!$A858="Geprüft",Programme_Grunddaten!K858&lt;&gt;""),IF(Programme_Grunddaten!K858="Ja",1,0),"")</f>
        <v/>
      </c>
      <c r="E853" s="1" t="str">
        <f>IF(AND(Programme_Grunddaten!$A858="Geprüft",Programme_Grunddaten!L858&lt;&gt;""),IF(Programme_Grunddaten!L858="Abo / befristete Lizenz",1,0),"")</f>
        <v/>
      </c>
      <c r="F853" s="1" t="str">
        <f>IF(AND(Programme_Grunddaten!$A858="Geprüft",Programme_Grunddaten!M858&lt;&gt;""),IF(Programme_Grunddaten!M858="Ja",1,0),"")</f>
        <v/>
      </c>
      <c r="G853" s="1" t="str">
        <f>IF(AND(Programme_Grunddaten!$A858="Geprüft",Programme_Grunddaten!N858&lt;&gt;""),IF(Programme_Grunddaten!N858="Ja",1,0),"")</f>
        <v/>
      </c>
      <c r="H853" s="1" t="str">
        <f>IF(AND(Programme_Grunddaten!$A858="Geprüft",Programme_Grunddaten!O858&lt;&gt;""),IF(Programme_Grunddaten!O858="Deutschland",0,IF(Programme_Grunddaten!O858="EU",1,2)),"")</f>
        <v/>
      </c>
      <c r="I853" s="1" t="str">
        <f>IF(AND(Programme_Grunddaten!$A858="Geprüft",Programme_Grunddaten!P858&lt;&gt;""),IF(Programme_Grunddaten!P858="Ja",1,0),"")</f>
        <v/>
      </c>
      <c r="J853" s="1" t="str">
        <f>IF(AND(Programme_Grunddaten!$A858="Geprüft",Programme_Grunddaten!Q858&lt;&gt;""),IF(Programme_Grunddaten!Q858="geschlossenes System",1,0),"")</f>
        <v/>
      </c>
      <c r="K853" s="1" t="str">
        <f>IF(AND(Programme_Grunddaten!$A858="Geprüft",Programme_Grunddaten!R858&lt;&gt;""),IF(Programme_Grunddaten!R858="Ja",1,0),"")</f>
        <v/>
      </c>
      <c r="L853" s="1" t="str">
        <f>IF(AND(Programme_Grunddaten!$A858="Geprüft",Programme_Grunddaten!T858&lt;&gt;""),IF(Programme_Grunddaten!T858="Ja",1,0),"")</f>
        <v/>
      </c>
      <c r="M853" s="1" t="str">
        <f>IF(AND(Programme_Grunddaten!$A858="Geprüft",Programme_Grunddaten!U858&lt;&gt;""),IF(Programme_Grunddaten!U858="Ja",1,0),"")</f>
        <v/>
      </c>
      <c r="N853" s="1" t="str">
        <f>IF(AND(Programme_Grunddaten!$A858="Geprüft",Programme_Grunddaten!V858&lt;&gt;""),IF(Programme_Grunddaten!V858="Ja",1,0),"")</f>
        <v/>
      </c>
      <c r="O853" s="1" t="str">
        <f>IF(AND(Programme_Grunddaten!$A858="Geprüft",Programme_Grunddaten!W858&lt;&gt;""),IF(Programme_Grunddaten!W858="Ja",1,0),"")</f>
        <v/>
      </c>
      <c r="P853" s="1" t="str">
        <f>IF(AND(Programme_Grunddaten!$A858="Geprüft",Programme_Grunddaten!X858&lt;&gt;""),IF(Programme_Grunddaten!X858="Ja",1,0),"")</f>
        <v/>
      </c>
      <c r="Q853" s="1" t="str">
        <f>IF(AND(Programme_Grunddaten!$A858="Geprüft",Programme_Grunddaten!Y858&lt;&gt;""),IF(Programme_Grunddaten!Y858="Ja",1,0),"")</f>
        <v/>
      </c>
      <c r="R853" s="1" t="str">
        <f>IF(AND(Programme_Grunddaten!$A858="Geprüft",Programme_Grunddaten!Z858&lt;&gt;""),IF(Programme_Grunddaten!Z858="Ja",1,0),"")</f>
        <v/>
      </c>
      <c r="S853" s="1" t="str">
        <f>IF(AND(Programme_Grunddaten!$A858="Geprüft",Programme_Grunddaten!AA858&lt;&gt;""),IF(Programme_Grunddaten!AA858="monolithisch",1,0),"")</f>
        <v/>
      </c>
      <c r="T853" s="1" t="str">
        <f>IF(AND(Programme_Grunddaten!$A858="Geprüft",Programme_Grunddaten!AB858&lt;&gt;""),IF(Programme_Grunddaten!AB858="Ja",1,0),"")</f>
        <v/>
      </c>
      <c r="U853" s="1" t="str">
        <f>IF(AND(Programme_Grunddaten!$A858="Geprüft",Programme_Grunddaten!AC858&lt;&gt;""),IF(Programme_Grunddaten!AC858="Ja",1,0),"")</f>
        <v/>
      </c>
      <c r="V853" s="1" t="str">
        <f>IF(AND(Programme_Grunddaten!$A858="Geprüft",Programme_Grunddaten!AD858&lt;&gt;""),IF(Programme_Grunddaten!AD858="Ja",1,0),"")</f>
        <v/>
      </c>
      <c r="W853" s="1" t="str">
        <f>IF(AND(Programme_Grunddaten!$A858="Geprüft",Programme_Grunddaten!AE858&lt;&gt;""),IF(Programme_Grunddaten!AE858="Ja",1,0),"")</f>
        <v/>
      </c>
      <c r="X853" s="1" t="str">
        <f>IF(AND(Programme_Grunddaten!$A858="Geprüft",Programme_Grunddaten!AF858&lt;&gt;""),IF(Programme_Grunddaten!AF858="Ja",1,0),"")</f>
        <v/>
      </c>
      <c r="Y853" s="1" t="str">
        <f>IF(AND(Programme_Grunddaten!$A858="Geprüft",Programme_Grunddaten!AG858&lt;&gt;""),IF(Programme_Grunddaten!AG858="Ja",1,0),"")</f>
        <v/>
      </c>
      <c r="Z853" s="1" t="str">
        <f>IF(AND(Programme_Grunddaten!$A858="Geprüft",Programme_Grunddaten!AH858&lt;&gt;""),IF(Programme_Grunddaten!AH858="Ja",1,0),"")</f>
        <v/>
      </c>
      <c r="AA853" s="1" t="str">
        <f>IF(AND(Programme_Grunddaten!$A858="Geprüft",Programme_Grunddaten!AI858&lt;&gt;""),IF(Programme_Grunddaten!AI858="Ja",1,0),"")</f>
        <v/>
      </c>
      <c r="AB853" s="1" t="str">
        <f>IF(AND(Programme_Grunddaten!$A858="Geprüft",Programme_Grunddaten!AJ858&lt;&gt;""),IF(Programme_Grunddaten!AJ858="individuell programmierbar",1,0),"")</f>
        <v/>
      </c>
      <c r="AC853" s="1" t="str">
        <f>IF(AND(Programme_Grunddaten!$A858="Geprüft",Programme_Grunddaten!AK858&lt;&gt;""),IF(Programme_Grunddaten!AK858="Deutsch",0,IF(Programme_Grunddaten!AK858="Deutsch und Englisch",1,2)),"")</f>
        <v/>
      </c>
      <c r="AD853" s="1" t="str">
        <f>IF(AND(Programme_Grunddaten!$A858="Geprüft",Programme_Grunddaten!AL858&lt;&gt;""),IF(Programme_Grunddaten!AL858="Ja",1,0),"")</f>
        <v/>
      </c>
      <c r="AE853" s="1" t="str">
        <f>IF(AND(Programme_Grunddaten!$A858="Geprüft",Programme_Grunddaten!AM858&lt;&gt;""),IF(Programme_Grunddaten!AM858="Ja",1,0),"")</f>
        <v/>
      </c>
      <c r="AF853" s="1" t="str">
        <f>IF(AND(Programme_Grunddaten!$A858="Geprüft",Programme_Grunddaten!AN858&lt;&gt;""),IF(Programme_Grunddaten!AN858="Ja",1,0),"")</f>
        <v/>
      </c>
      <c r="AG853" s="1" t="str">
        <f>IF(AND(Programme_Grunddaten!$A858="Geprüft",Programme_Grunddaten!AO858&lt;&gt;""),IF(Programme_Grunddaten!AO858="Ja",1,0),"")</f>
        <v/>
      </c>
      <c r="AH853" s="1" t="str">
        <f>IF(AND(Programme_Grunddaten!$A858="Geprüft",Programme_Grunddaten!AP858&lt;&gt;""),IF(Programme_Grunddaten!AP858="Ja",1,0),"")</f>
        <v/>
      </c>
      <c r="AI853" s="1" t="str">
        <f>IF(AND(Programme_Grunddaten!$A858="Geprüft",Programme_Grunddaten!AQ858&lt;&gt;""),IF(Programme_Grunddaten!AQ858="Ja",1,0),"")</f>
        <v/>
      </c>
      <c r="AJ853" s="1" t="str">
        <f>IF(AND(Programme_Grunddaten!$A858="Geprüft",Programme_Grunddaten!AR858&lt;&gt;""),IF(Programme_Grunddaten!AR858="Ja",1,0),"")</f>
        <v/>
      </c>
      <c r="AK853" s="1" t="str">
        <f>IF(AND(Programme_Grunddaten!$A858="Geprüft",Programme_Grunddaten!AS858&lt;&gt;""),IF(Programme_Grunddaten!AS858="Ja",1,0),"")</f>
        <v/>
      </c>
      <c r="AL853" s="1" t="str">
        <f>IF(AND(Programme_Grunddaten!$A858="Geprüft",Programme_Grunddaten!AT858&lt;&gt;""),IF(Programme_Grunddaten!AT858="Ja",1,0),"")</f>
        <v/>
      </c>
      <c r="AM853" s="1" t="str">
        <f>IF(AND(Programme_Grunddaten!$A858="Geprüft",Programme_Grunddaten!AU858&lt;&gt;""),IF(Programme_Grunddaten!AU858="Ja",1,0),"")</f>
        <v/>
      </c>
      <c r="AN853" s="1" t="str">
        <f>IF(AND(Programme_Grunddaten!$A858="Geprüft",Programme_Grunddaten!AV858&lt;&gt;""),IF(Programme_Grunddaten!AV858="Ja",1,0),"")</f>
        <v/>
      </c>
    </row>
    <row r="854" spans="1:40" x14ac:dyDescent="0.3">
      <c r="A854" s="1" t="str">
        <f>IF(AND(Programme_Grunddaten!A859="Geprüft",Programme_Grunddaten!B859&lt;&gt;""),Programme_Grunddaten!B859,"")</f>
        <v/>
      </c>
      <c r="B854" s="1" t="str">
        <f>IF(AND(Programme_Grunddaten!$A859="Geprüft",Programme_Grunddaten!I859&lt;&gt;""),IF(Programme_Grunddaten!I859="Ja",1,0),"")</f>
        <v/>
      </c>
      <c r="C854" s="1" t="str">
        <f>IF(AND(Programme_Grunddaten!$A859="Geprüft",Programme_Grunddaten!J859&lt;&gt;""),IF(Programme_Grunddaten!J859="Ja",1,0),"")</f>
        <v/>
      </c>
      <c r="D854" s="1" t="str">
        <f>IF(AND(Programme_Grunddaten!$A859="Geprüft",Programme_Grunddaten!K859&lt;&gt;""),IF(Programme_Grunddaten!K859="Ja",1,0),"")</f>
        <v/>
      </c>
      <c r="E854" s="1" t="str">
        <f>IF(AND(Programme_Grunddaten!$A859="Geprüft",Programme_Grunddaten!L859&lt;&gt;""),IF(Programme_Grunddaten!L859="Abo / befristete Lizenz",1,0),"")</f>
        <v/>
      </c>
      <c r="F854" s="1" t="str">
        <f>IF(AND(Programme_Grunddaten!$A859="Geprüft",Programme_Grunddaten!M859&lt;&gt;""),IF(Programme_Grunddaten!M859="Ja",1,0),"")</f>
        <v/>
      </c>
      <c r="G854" s="1" t="str">
        <f>IF(AND(Programme_Grunddaten!$A859="Geprüft",Programme_Grunddaten!N859&lt;&gt;""),IF(Programme_Grunddaten!N859="Ja",1,0),"")</f>
        <v/>
      </c>
      <c r="H854" s="1" t="str">
        <f>IF(AND(Programme_Grunddaten!$A859="Geprüft",Programme_Grunddaten!O859&lt;&gt;""),IF(Programme_Grunddaten!O859="Deutschland",0,IF(Programme_Grunddaten!O859="EU",1,2)),"")</f>
        <v/>
      </c>
      <c r="I854" s="1" t="str">
        <f>IF(AND(Programme_Grunddaten!$A859="Geprüft",Programme_Grunddaten!P859&lt;&gt;""),IF(Programme_Grunddaten!P859="Ja",1,0),"")</f>
        <v/>
      </c>
      <c r="J854" s="1" t="str">
        <f>IF(AND(Programme_Grunddaten!$A859="Geprüft",Programme_Grunddaten!Q859&lt;&gt;""),IF(Programme_Grunddaten!Q859="geschlossenes System",1,0),"")</f>
        <v/>
      </c>
      <c r="K854" s="1" t="str">
        <f>IF(AND(Programme_Grunddaten!$A859="Geprüft",Programme_Grunddaten!R859&lt;&gt;""),IF(Programme_Grunddaten!R859="Ja",1,0),"")</f>
        <v/>
      </c>
      <c r="L854" s="1" t="str">
        <f>IF(AND(Programme_Grunddaten!$A859="Geprüft",Programme_Grunddaten!T859&lt;&gt;""),IF(Programme_Grunddaten!T859="Ja",1,0),"")</f>
        <v/>
      </c>
      <c r="M854" s="1" t="str">
        <f>IF(AND(Programme_Grunddaten!$A859="Geprüft",Programme_Grunddaten!U859&lt;&gt;""),IF(Programme_Grunddaten!U859="Ja",1,0),"")</f>
        <v/>
      </c>
      <c r="N854" s="1" t="str">
        <f>IF(AND(Programme_Grunddaten!$A859="Geprüft",Programme_Grunddaten!V859&lt;&gt;""),IF(Programme_Grunddaten!V859="Ja",1,0),"")</f>
        <v/>
      </c>
      <c r="O854" s="1" t="str">
        <f>IF(AND(Programme_Grunddaten!$A859="Geprüft",Programme_Grunddaten!W859&lt;&gt;""),IF(Programme_Grunddaten!W859="Ja",1,0),"")</f>
        <v/>
      </c>
      <c r="P854" s="1" t="str">
        <f>IF(AND(Programme_Grunddaten!$A859="Geprüft",Programme_Grunddaten!X859&lt;&gt;""),IF(Programme_Grunddaten!X859="Ja",1,0),"")</f>
        <v/>
      </c>
      <c r="Q854" s="1" t="str">
        <f>IF(AND(Programme_Grunddaten!$A859="Geprüft",Programme_Grunddaten!Y859&lt;&gt;""),IF(Programme_Grunddaten!Y859="Ja",1,0),"")</f>
        <v/>
      </c>
      <c r="R854" s="1" t="str">
        <f>IF(AND(Programme_Grunddaten!$A859="Geprüft",Programme_Grunddaten!Z859&lt;&gt;""),IF(Programme_Grunddaten!Z859="Ja",1,0),"")</f>
        <v/>
      </c>
      <c r="S854" s="1" t="str">
        <f>IF(AND(Programme_Grunddaten!$A859="Geprüft",Programme_Grunddaten!AA859&lt;&gt;""),IF(Programme_Grunddaten!AA859="monolithisch",1,0),"")</f>
        <v/>
      </c>
      <c r="T854" s="1" t="str">
        <f>IF(AND(Programme_Grunddaten!$A859="Geprüft",Programme_Grunddaten!AB859&lt;&gt;""),IF(Programme_Grunddaten!AB859="Ja",1,0),"")</f>
        <v/>
      </c>
      <c r="U854" s="1" t="str">
        <f>IF(AND(Programme_Grunddaten!$A859="Geprüft",Programme_Grunddaten!AC859&lt;&gt;""),IF(Programme_Grunddaten!AC859="Ja",1,0),"")</f>
        <v/>
      </c>
      <c r="V854" s="1" t="str">
        <f>IF(AND(Programme_Grunddaten!$A859="Geprüft",Programme_Grunddaten!AD859&lt;&gt;""),IF(Programme_Grunddaten!AD859="Ja",1,0),"")</f>
        <v/>
      </c>
      <c r="W854" s="1" t="str">
        <f>IF(AND(Programme_Grunddaten!$A859="Geprüft",Programme_Grunddaten!AE859&lt;&gt;""),IF(Programme_Grunddaten!AE859="Ja",1,0),"")</f>
        <v/>
      </c>
      <c r="X854" s="1" t="str">
        <f>IF(AND(Programme_Grunddaten!$A859="Geprüft",Programme_Grunddaten!AF859&lt;&gt;""),IF(Programme_Grunddaten!AF859="Ja",1,0),"")</f>
        <v/>
      </c>
      <c r="Y854" s="1" t="str">
        <f>IF(AND(Programme_Grunddaten!$A859="Geprüft",Programme_Grunddaten!AG859&lt;&gt;""),IF(Programme_Grunddaten!AG859="Ja",1,0),"")</f>
        <v/>
      </c>
      <c r="Z854" s="1" t="str">
        <f>IF(AND(Programme_Grunddaten!$A859="Geprüft",Programme_Grunddaten!AH859&lt;&gt;""),IF(Programme_Grunddaten!AH859="Ja",1,0),"")</f>
        <v/>
      </c>
      <c r="AA854" s="1" t="str">
        <f>IF(AND(Programme_Grunddaten!$A859="Geprüft",Programme_Grunddaten!AI859&lt;&gt;""),IF(Programme_Grunddaten!AI859="Ja",1,0),"")</f>
        <v/>
      </c>
      <c r="AB854" s="1" t="str">
        <f>IF(AND(Programme_Grunddaten!$A859="Geprüft",Programme_Grunddaten!AJ859&lt;&gt;""),IF(Programme_Grunddaten!AJ859="individuell programmierbar",1,0),"")</f>
        <v/>
      </c>
      <c r="AC854" s="1" t="str">
        <f>IF(AND(Programme_Grunddaten!$A859="Geprüft",Programme_Grunddaten!AK859&lt;&gt;""),IF(Programme_Grunddaten!AK859="Deutsch",0,IF(Programme_Grunddaten!AK859="Deutsch und Englisch",1,2)),"")</f>
        <v/>
      </c>
      <c r="AD854" s="1" t="str">
        <f>IF(AND(Programme_Grunddaten!$A859="Geprüft",Programme_Grunddaten!AL859&lt;&gt;""),IF(Programme_Grunddaten!AL859="Ja",1,0),"")</f>
        <v/>
      </c>
      <c r="AE854" s="1" t="str">
        <f>IF(AND(Programme_Grunddaten!$A859="Geprüft",Programme_Grunddaten!AM859&lt;&gt;""),IF(Programme_Grunddaten!AM859="Ja",1,0),"")</f>
        <v/>
      </c>
      <c r="AF854" s="1" t="str">
        <f>IF(AND(Programme_Grunddaten!$A859="Geprüft",Programme_Grunddaten!AN859&lt;&gt;""),IF(Programme_Grunddaten!AN859="Ja",1,0),"")</f>
        <v/>
      </c>
      <c r="AG854" s="1" t="str">
        <f>IF(AND(Programme_Grunddaten!$A859="Geprüft",Programme_Grunddaten!AO859&lt;&gt;""),IF(Programme_Grunddaten!AO859="Ja",1,0),"")</f>
        <v/>
      </c>
      <c r="AH854" s="1" t="str">
        <f>IF(AND(Programme_Grunddaten!$A859="Geprüft",Programme_Grunddaten!AP859&lt;&gt;""),IF(Programme_Grunddaten!AP859="Ja",1,0),"")</f>
        <v/>
      </c>
      <c r="AI854" s="1" t="str">
        <f>IF(AND(Programme_Grunddaten!$A859="Geprüft",Programme_Grunddaten!AQ859&lt;&gt;""),IF(Programme_Grunddaten!AQ859="Ja",1,0),"")</f>
        <v/>
      </c>
      <c r="AJ854" s="1" t="str">
        <f>IF(AND(Programme_Grunddaten!$A859="Geprüft",Programme_Grunddaten!AR859&lt;&gt;""),IF(Programme_Grunddaten!AR859="Ja",1,0),"")</f>
        <v/>
      </c>
      <c r="AK854" s="1" t="str">
        <f>IF(AND(Programme_Grunddaten!$A859="Geprüft",Programme_Grunddaten!AS859&lt;&gt;""),IF(Programme_Grunddaten!AS859="Ja",1,0),"")</f>
        <v/>
      </c>
      <c r="AL854" s="1" t="str">
        <f>IF(AND(Programme_Grunddaten!$A859="Geprüft",Programme_Grunddaten!AT859&lt;&gt;""),IF(Programme_Grunddaten!AT859="Ja",1,0),"")</f>
        <v/>
      </c>
      <c r="AM854" s="1" t="str">
        <f>IF(AND(Programme_Grunddaten!$A859="Geprüft",Programme_Grunddaten!AU859&lt;&gt;""),IF(Programme_Grunddaten!AU859="Ja",1,0),"")</f>
        <v/>
      </c>
      <c r="AN854" s="1" t="str">
        <f>IF(AND(Programme_Grunddaten!$A859="Geprüft",Programme_Grunddaten!AV859&lt;&gt;""),IF(Programme_Grunddaten!AV859="Ja",1,0),"")</f>
        <v/>
      </c>
    </row>
    <row r="855" spans="1:40" x14ac:dyDescent="0.3">
      <c r="A855" s="1" t="str">
        <f>IF(AND(Programme_Grunddaten!A860="Geprüft",Programme_Grunddaten!B860&lt;&gt;""),Programme_Grunddaten!B860,"")</f>
        <v/>
      </c>
      <c r="B855" s="1" t="str">
        <f>IF(AND(Programme_Grunddaten!$A860="Geprüft",Programme_Grunddaten!I860&lt;&gt;""),IF(Programme_Grunddaten!I860="Ja",1,0),"")</f>
        <v/>
      </c>
      <c r="C855" s="1" t="str">
        <f>IF(AND(Programme_Grunddaten!$A860="Geprüft",Programme_Grunddaten!J860&lt;&gt;""),IF(Programme_Grunddaten!J860="Ja",1,0),"")</f>
        <v/>
      </c>
      <c r="D855" s="1" t="str">
        <f>IF(AND(Programme_Grunddaten!$A860="Geprüft",Programme_Grunddaten!K860&lt;&gt;""),IF(Programme_Grunddaten!K860="Ja",1,0),"")</f>
        <v/>
      </c>
      <c r="E855" s="1" t="str">
        <f>IF(AND(Programme_Grunddaten!$A860="Geprüft",Programme_Grunddaten!L860&lt;&gt;""),IF(Programme_Grunddaten!L860="Abo / befristete Lizenz",1,0),"")</f>
        <v/>
      </c>
      <c r="F855" s="1" t="str">
        <f>IF(AND(Programme_Grunddaten!$A860="Geprüft",Programme_Grunddaten!M860&lt;&gt;""),IF(Programme_Grunddaten!M860="Ja",1,0),"")</f>
        <v/>
      </c>
      <c r="G855" s="1" t="str">
        <f>IF(AND(Programme_Grunddaten!$A860="Geprüft",Programme_Grunddaten!N860&lt;&gt;""),IF(Programme_Grunddaten!N860="Ja",1,0),"")</f>
        <v/>
      </c>
      <c r="H855" s="1" t="str">
        <f>IF(AND(Programme_Grunddaten!$A860="Geprüft",Programme_Grunddaten!O860&lt;&gt;""),IF(Programme_Grunddaten!O860="Deutschland",0,IF(Programme_Grunddaten!O860="EU",1,2)),"")</f>
        <v/>
      </c>
      <c r="I855" s="1" t="str">
        <f>IF(AND(Programme_Grunddaten!$A860="Geprüft",Programme_Grunddaten!P860&lt;&gt;""),IF(Programme_Grunddaten!P860="Ja",1,0),"")</f>
        <v/>
      </c>
      <c r="J855" s="1" t="str">
        <f>IF(AND(Programme_Grunddaten!$A860="Geprüft",Programme_Grunddaten!Q860&lt;&gt;""),IF(Programme_Grunddaten!Q860="geschlossenes System",1,0),"")</f>
        <v/>
      </c>
      <c r="K855" s="1" t="str">
        <f>IF(AND(Programme_Grunddaten!$A860="Geprüft",Programme_Grunddaten!R860&lt;&gt;""),IF(Programme_Grunddaten!R860="Ja",1,0),"")</f>
        <v/>
      </c>
      <c r="L855" s="1" t="str">
        <f>IF(AND(Programme_Grunddaten!$A860="Geprüft",Programme_Grunddaten!T860&lt;&gt;""),IF(Programme_Grunddaten!T860="Ja",1,0),"")</f>
        <v/>
      </c>
      <c r="M855" s="1" t="str">
        <f>IF(AND(Programme_Grunddaten!$A860="Geprüft",Programme_Grunddaten!U860&lt;&gt;""),IF(Programme_Grunddaten!U860="Ja",1,0),"")</f>
        <v/>
      </c>
      <c r="N855" s="1" t="str">
        <f>IF(AND(Programme_Grunddaten!$A860="Geprüft",Programme_Grunddaten!V860&lt;&gt;""),IF(Programme_Grunddaten!V860="Ja",1,0),"")</f>
        <v/>
      </c>
      <c r="O855" s="1" t="str">
        <f>IF(AND(Programme_Grunddaten!$A860="Geprüft",Programme_Grunddaten!W860&lt;&gt;""),IF(Programme_Grunddaten!W860="Ja",1,0),"")</f>
        <v/>
      </c>
      <c r="P855" s="1" t="str">
        <f>IF(AND(Programme_Grunddaten!$A860="Geprüft",Programme_Grunddaten!X860&lt;&gt;""),IF(Programme_Grunddaten!X860="Ja",1,0),"")</f>
        <v/>
      </c>
      <c r="Q855" s="1" t="str">
        <f>IF(AND(Programme_Grunddaten!$A860="Geprüft",Programme_Grunddaten!Y860&lt;&gt;""),IF(Programme_Grunddaten!Y860="Ja",1,0),"")</f>
        <v/>
      </c>
      <c r="R855" s="1" t="str">
        <f>IF(AND(Programme_Grunddaten!$A860="Geprüft",Programme_Grunddaten!Z860&lt;&gt;""),IF(Programme_Grunddaten!Z860="Ja",1,0),"")</f>
        <v/>
      </c>
      <c r="S855" s="1" t="str">
        <f>IF(AND(Programme_Grunddaten!$A860="Geprüft",Programme_Grunddaten!AA860&lt;&gt;""),IF(Programme_Grunddaten!AA860="monolithisch",1,0),"")</f>
        <v/>
      </c>
      <c r="T855" s="1" t="str">
        <f>IF(AND(Programme_Grunddaten!$A860="Geprüft",Programme_Grunddaten!AB860&lt;&gt;""),IF(Programme_Grunddaten!AB860="Ja",1,0),"")</f>
        <v/>
      </c>
      <c r="U855" s="1" t="str">
        <f>IF(AND(Programme_Grunddaten!$A860="Geprüft",Programme_Grunddaten!AC860&lt;&gt;""),IF(Programme_Grunddaten!AC860="Ja",1,0),"")</f>
        <v/>
      </c>
      <c r="V855" s="1" t="str">
        <f>IF(AND(Programme_Grunddaten!$A860="Geprüft",Programme_Grunddaten!AD860&lt;&gt;""),IF(Programme_Grunddaten!AD860="Ja",1,0),"")</f>
        <v/>
      </c>
      <c r="W855" s="1" t="str">
        <f>IF(AND(Programme_Grunddaten!$A860="Geprüft",Programme_Grunddaten!AE860&lt;&gt;""),IF(Programme_Grunddaten!AE860="Ja",1,0),"")</f>
        <v/>
      </c>
      <c r="X855" s="1" t="str">
        <f>IF(AND(Programme_Grunddaten!$A860="Geprüft",Programme_Grunddaten!AF860&lt;&gt;""),IF(Programme_Grunddaten!AF860="Ja",1,0),"")</f>
        <v/>
      </c>
      <c r="Y855" s="1" t="str">
        <f>IF(AND(Programme_Grunddaten!$A860="Geprüft",Programme_Grunddaten!AG860&lt;&gt;""),IF(Programme_Grunddaten!AG860="Ja",1,0),"")</f>
        <v/>
      </c>
      <c r="Z855" s="1" t="str">
        <f>IF(AND(Programme_Grunddaten!$A860="Geprüft",Programme_Grunddaten!AH860&lt;&gt;""),IF(Programme_Grunddaten!AH860="Ja",1,0),"")</f>
        <v/>
      </c>
      <c r="AA855" s="1" t="str">
        <f>IF(AND(Programme_Grunddaten!$A860="Geprüft",Programme_Grunddaten!AI860&lt;&gt;""),IF(Programme_Grunddaten!AI860="Ja",1,0),"")</f>
        <v/>
      </c>
      <c r="AB855" s="1" t="str">
        <f>IF(AND(Programme_Grunddaten!$A860="Geprüft",Programme_Grunddaten!AJ860&lt;&gt;""),IF(Programme_Grunddaten!AJ860="individuell programmierbar",1,0),"")</f>
        <v/>
      </c>
      <c r="AC855" s="1" t="str">
        <f>IF(AND(Programme_Grunddaten!$A860="Geprüft",Programme_Grunddaten!AK860&lt;&gt;""),IF(Programme_Grunddaten!AK860="Deutsch",0,IF(Programme_Grunddaten!AK860="Deutsch und Englisch",1,2)),"")</f>
        <v/>
      </c>
      <c r="AD855" s="1" t="str">
        <f>IF(AND(Programme_Grunddaten!$A860="Geprüft",Programme_Grunddaten!AL860&lt;&gt;""),IF(Programme_Grunddaten!AL860="Ja",1,0),"")</f>
        <v/>
      </c>
      <c r="AE855" s="1" t="str">
        <f>IF(AND(Programme_Grunddaten!$A860="Geprüft",Programme_Grunddaten!AM860&lt;&gt;""),IF(Programme_Grunddaten!AM860="Ja",1,0),"")</f>
        <v/>
      </c>
      <c r="AF855" s="1" t="str">
        <f>IF(AND(Programme_Grunddaten!$A860="Geprüft",Programme_Grunddaten!AN860&lt;&gt;""),IF(Programme_Grunddaten!AN860="Ja",1,0),"")</f>
        <v/>
      </c>
      <c r="AG855" s="1" t="str">
        <f>IF(AND(Programme_Grunddaten!$A860="Geprüft",Programme_Grunddaten!AO860&lt;&gt;""),IF(Programme_Grunddaten!AO860="Ja",1,0),"")</f>
        <v/>
      </c>
      <c r="AH855" s="1" t="str">
        <f>IF(AND(Programme_Grunddaten!$A860="Geprüft",Programme_Grunddaten!AP860&lt;&gt;""),IF(Programme_Grunddaten!AP860="Ja",1,0),"")</f>
        <v/>
      </c>
      <c r="AI855" s="1" t="str">
        <f>IF(AND(Programme_Grunddaten!$A860="Geprüft",Programme_Grunddaten!AQ860&lt;&gt;""),IF(Programme_Grunddaten!AQ860="Ja",1,0),"")</f>
        <v/>
      </c>
      <c r="AJ855" s="1" t="str">
        <f>IF(AND(Programme_Grunddaten!$A860="Geprüft",Programme_Grunddaten!AR860&lt;&gt;""),IF(Programme_Grunddaten!AR860="Ja",1,0),"")</f>
        <v/>
      </c>
      <c r="AK855" s="1" t="str">
        <f>IF(AND(Programme_Grunddaten!$A860="Geprüft",Programme_Grunddaten!AS860&lt;&gt;""),IF(Programme_Grunddaten!AS860="Ja",1,0),"")</f>
        <v/>
      </c>
      <c r="AL855" s="1" t="str">
        <f>IF(AND(Programme_Grunddaten!$A860="Geprüft",Programme_Grunddaten!AT860&lt;&gt;""),IF(Programme_Grunddaten!AT860="Ja",1,0),"")</f>
        <v/>
      </c>
      <c r="AM855" s="1" t="str">
        <f>IF(AND(Programme_Grunddaten!$A860="Geprüft",Programme_Grunddaten!AU860&lt;&gt;""),IF(Programme_Grunddaten!AU860="Ja",1,0),"")</f>
        <v/>
      </c>
      <c r="AN855" s="1" t="str">
        <f>IF(AND(Programme_Grunddaten!$A860="Geprüft",Programme_Grunddaten!AV860&lt;&gt;""),IF(Programme_Grunddaten!AV860="Ja",1,0),"")</f>
        <v/>
      </c>
    </row>
    <row r="856" spans="1:40" x14ac:dyDescent="0.3">
      <c r="A856" s="1" t="str">
        <f>IF(AND(Programme_Grunddaten!A861="Geprüft",Programme_Grunddaten!B861&lt;&gt;""),Programme_Grunddaten!B861,"")</f>
        <v/>
      </c>
      <c r="B856" s="1" t="str">
        <f>IF(AND(Programme_Grunddaten!$A861="Geprüft",Programme_Grunddaten!I861&lt;&gt;""),IF(Programme_Grunddaten!I861="Ja",1,0),"")</f>
        <v/>
      </c>
      <c r="C856" s="1" t="str">
        <f>IF(AND(Programme_Grunddaten!$A861="Geprüft",Programme_Grunddaten!J861&lt;&gt;""),IF(Programme_Grunddaten!J861="Ja",1,0),"")</f>
        <v/>
      </c>
      <c r="D856" s="1" t="str">
        <f>IF(AND(Programme_Grunddaten!$A861="Geprüft",Programme_Grunddaten!K861&lt;&gt;""),IF(Programme_Grunddaten!K861="Ja",1,0),"")</f>
        <v/>
      </c>
      <c r="E856" s="1" t="str">
        <f>IF(AND(Programme_Grunddaten!$A861="Geprüft",Programme_Grunddaten!L861&lt;&gt;""),IF(Programme_Grunddaten!L861="Abo / befristete Lizenz",1,0),"")</f>
        <v/>
      </c>
      <c r="F856" s="1" t="str">
        <f>IF(AND(Programme_Grunddaten!$A861="Geprüft",Programme_Grunddaten!M861&lt;&gt;""),IF(Programme_Grunddaten!M861="Ja",1,0),"")</f>
        <v/>
      </c>
      <c r="G856" s="1" t="str">
        <f>IF(AND(Programme_Grunddaten!$A861="Geprüft",Programme_Grunddaten!N861&lt;&gt;""),IF(Programme_Grunddaten!N861="Ja",1,0),"")</f>
        <v/>
      </c>
      <c r="H856" s="1" t="str">
        <f>IF(AND(Programme_Grunddaten!$A861="Geprüft",Programme_Grunddaten!O861&lt;&gt;""),IF(Programme_Grunddaten!O861="Deutschland",0,IF(Programme_Grunddaten!O861="EU",1,2)),"")</f>
        <v/>
      </c>
      <c r="I856" s="1" t="str">
        <f>IF(AND(Programme_Grunddaten!$A861="Geprüft",Programme_Grunddaten!P861&lt;&gt;""),IF(Programme_Grunddaten!P861="Ja",1,0),"")</f>
        <v/>
      </c>
      <c r="J856" s="1" t="str">
        <f>IF(AND(Programme_Grunddaten!$A861="Geprüft",Programme_Grunddaten!Q861&lt;&gt;""),IF(Programme_Grunddaten!Q861="geschlossenes System",1,0),"")</f>
        <v/>
      </c>
      <c r="K856" s="1" t="str">
        <f>IF(AND(Programme_Grunddaten!$A861="Geprüft",Programme_Grunddaten!R861&lt;&gt;""),IF(Programme_Grunddaten!R861="Ja",1,0),"")</f>
        <v/>
      </c>
      <c r="L856" s="1" t="str">
        <f>IF(AND(Programme_Grunddaten!$A861="Geprüft",Programme_Grunddaten!T861&lt;&gt;""),IF(Programme_Grunddaten!T861="Ja",1,0),"")</f>
        <v/>
      </c>
      <c r="M856" s="1" t="str">
        <f>IF(AND(Programme_Grunddaten!$A861="Geprüft",Programme_Grunddaten!U861&lt;&gt;""),IF(Programme_Grunddaten!U861="Ja",1,0),"")</f>
        <v/>
      </c>
      <c r="N856" s="1" t="str">
        <f>IF(AND(Programme_Grunddaten!$A861="Geprüft",Programme_Grunddaten!V861&lt;&gt;""),IF(Programme_Grunddaten!V861="Ja",1,0),"")</f>
        <v/>
      </c>
      <c r="O856" s="1" t="str">
        <f>IF(AND(Programme_Grunddaten!$A861="Geprüft",Programme_Grunddaten!W861&lt;&gt;""),IF(Programme_Grunddaten!W861="Ja",1,0),"")</f>
        <v/>
      </c>
      <c r="P856" s="1" t="str">
        <f>IF(AND(Programme_Grunddaten!$A861="Geprüft",Programme_Grunddaten!X861&lt;&gt;""),IF(Programme_Grunddaten!X861="Ja",1,0),"")</f>
        <v/>
      </c>
      <c r="Q856" s="1" t="str">
        <f>IF(AND(Programme_Grunddaten!$A861="Geprüft",Programme_Grunddaten!Y861&lt;&gt;""),IF(Programme_Grunddaten!Y861="Ja",1,0),"")</f>
        <v/>
      </c>
      <c r="R856" s="1" t="str">
        <f>IF(AND(Programme_Grunddaten!$A861="Geprüft",Programme_Grunddaten!Z861&lt;&gt;""),IF(Programme_Grunddaten!Z861="Ja",1,0),"")</f>
        <v/>
      </c>
      <c r="S856" s="1" t="str">
        <f>IF(AND(Programme_Grunddaten!$A861="Geprüft",Programme_Grunddaten!AA861&lt;&gt;""),IF(Programme_Grunddaten!AA861="monolithisch",1,0),"")</f>
        <v/>
      </c>
      <c r="T856" s="1" t="str">
        <f>IF(AND(Programme_Grunddaten!$A861="Geprüft",Programme_Grunddaten!AB861&lt;&gt;""),IF(Programme_Grunddaten!AB861="Ja",1,0),"")</f>
        <v/>
      </c>
      <c r="U856" s="1" t="str">
        <f>IF(AND(Programme_Grunddaten!$A861="Geprüft",Programme_Grunddaten!AC861&lt;&gt;""),IF(Programme_Grunddaten!AC861="Ja",1,0),"")</f>
        <v/>
      </c>
      <c r="V856" s="1" t="str">
        <f>IF(AND(Programme_Grunddaten!$A861="Geprüft",Programme_Grunddaten!AD861&lt;&gt;""),IF(Programme_Grunddaten!AD861="Ja",1,0),"")</f>
        <v/>
      </c>
      <c r="W856" s="1" t="str">
        <f>IF(AND(Programme_Grunddaten!$A861="Geprüft",Programme_Grunddaten!AE861&lt;&gt;""),IF(Programme_Grunddaten!AE861="Ja",1,0),"")</f>
        <v/>
      </c>
      <c r="X856" s="1" t="str">
        <f>IF(AND(Programme_Grunddaten!$A861="Geprüft",Programme_Grunddaten!AF861&lt;&gt;""),IF(Programme_Grunddaten!AF861="Ja",1,0),"")</f>
        <v/>
      </c>
      <c r="Y856" s="1" t="str">
        <f>IF(AND(Programme_Grunddaten!$A861="Geprüft",Programme_Grunddaten!AG861&lt;&gt;""),IF(Programme_Grunddaten!AG861="Ja",1,0),"")</f>
        <v/>
      </c>
      <c r="Z856" s="1" t="str">
        <f>IF(AND(Programme_Grunddaten!$A861="Geprüft",Programme_Grunddaten!AH861&lt;&gt;""),IF(Programme_Grunddaten!AH861="Ja",1,0),"")</f>
        <v/>
      </c>
      <c r="AA856" s="1" t="str">
        <f>IF(AND(Programme_Grunddaten!$A861="Geprüft",Programme_Grunddaten!AI861&lt;&gt;""),IF(Programme_Grunddaten!AI861="Ja",1,0),"")</f>
        <v/>
      </c>
      <c r="AB856" s="1" t="str">
        <f>IF(AND(Programme_Grunddaten!$A861="Geprüft",Programme_Grunddaten!AJ861&lt;&gt;""),IF(Programme_Grunddaten!AJ861="individuell programmierbar",1,0),"")</f>
        <v/>
      </c>
      <c r="AC856" s="1" t="str">
        <f>IF(AND(Programme_Grunddaten!$A861="Geprüft",Programme_Grunddaten!AK861&lt;&gt;""),IF(Programme_Grunddaten!AK861="Deutsch",0,IF(Programme_Grunddaten!AK861="Deutsch und Englisch",1,2)),"")</f>
        <v/>
      </c>
      <c r="AD856" s="1" t="str">
        <f>IF(AND(Programme_Grunddaten!$A861="Geprüft",Programme_Grunddaten!AL861&lt;&gt;""),IF(Programme_Grunddaten!AL861="Ja",1,0),"")</f>
        <v/>
      </c>
      <c r="AE856" s="1" t="str">
        <f>IF(AND(Programme_Grunddaten!$A861="Geprüft",Programme_Grunddaten!AM861&lt;&gt;""),IF(Programme_Grunddaten!AM861="Ja",1,0),"")</f>
        <v/>
      </c>
      <c r="AF856" s="1" t="str">
        <f>IF(AND(Programme_Grunddaten!$A861="Geprüft",Programme_Grunddaten!AN861&lt;&gt;""),IF(Programme_Grunddaten!AN861="Ja",1,0),"")</f>
        <v/>
      </c>
      <c r="AG856" s="1" t="str">
        <f>IF(AND(Programme_Grunddaten!$A861="Geprüft",Programme_Grunddaten!AO861&lt;&gt;""),IF(Programme_Grunddaten!AO861="Ja",1,0),"")</f>
        <v/>
      </c>
      <c r="AH856" s="1" t="str">
        <f>IF(AND(Programme_Grunddaten!$A861="Geprüft",Programme_Grunddaten!AP861&lt;&gt;""),IF(Programme_Grunddaten!AP861="Ja",1,0),"")</f>
        <v/>
      </c>
      <c r="AI856" s="1" t="str">
        <f>IF(AND(Programme_Grunddaten!$A861="Geprüft",Programme_Grunddaten!AQ861&lt;&gt;""),IF(Programme_Grunddaten!AQ861="Ja",1,0),"")</f>
        <v/>
      </c>
      <c r="AJ856" s="1" t="str">
        <f>IF(AND(Programme_Grunddaten!$A861="Geprüft",Programme_Grunddaten!AR861&lt;&gt;""),IF(Programme_Grunddaten!AR861="Ja",1,0),"")</f>
        <v/>
      </c>
      <c r="AK856" s="1" t="str">
        <f>IF(AND(Programme_Grunddaten!$A861="Geprüft",Programme_Grunddaten!AS861&lt;&gt;""),IF(Programme_Grunddaten!AS861="Ja",1,0),"")</f>
        <v/>
      </c>
      <c r="AL856" s="1" t="str">
        <f>IF(AND(Programme_Grunddaten!$A861="Geprüft",Programme_Grunddaten!AT861&lt;&gt;""),IF(Programme_Grunddaten!AT861="Ja",1,0),"")</f>
        <v/>
      </c>
      <c r="AM856" s="1" t="str">
        <f>IF(AND(Programme_Grunddaten!$A861="Geprüft",Programme_Grunddaten!AU861&lt;&gt;""),IF(Programme_Grunddaten!AU861="Ja",1,0),"")</f>
        <v/>
      </c>
      <c r="AN856" s="1" t="str">
        <f>IF(AND(Programme_Grunddaten!$A861="Geprüft",Programme_Grunddaten!AV861&lt;&gt;""),IF(Programme_Grunddaten!AV861="Ja",1,0),"")</f>
        <v/>
      </c>
    </row>
    <row r="857" spans="1:40" x14ac:dyDescent="0.3">
      <c r="A857" s="1" t="str">
        <f>IF(AND(Programme_Grunddaten!A862="Geprüft",Programme_Grunddaten!B862&lt;&gt;""),Programme_Grunddaten!B862,"")</f>
        <v/>
      </c>
      <c r="B857" s="1" t="str">
        <f>IF(AND(Programme_Grunddaten!$A862="Geprüft",Programme_Grunddaten!I862&lt;&gt;""),IF(Programme_Grunddaten!I862="Ja",1,0),"")</f>
        <v/>
      </c>
      <c r="C857" s="1" t="str">
        <f>IF(AND(Programme_Grunddaten!$A862="Geprüft",Programme_Grunddaten!J862&lt;&gt;""),IF(Programme_Grunddaten!J862="Ja",1,0),"")</f>
        <v/>
      </c>
      <c r="D857" s="1" t="str">
        <f>IF(AND(Programme_Grunddaten!$A862="Geprüft",Programme_Grunddaten!K862&lt;&gt;""),IF(Programme_Grunddaten!K862="Ja",1,0),"")</f>
        <v/>
      </c>
      <c r="E857" s="1" t="str">
        <f>IF(AND(Programme_Grunddaten!$A862="Geprüft",Programme_Grunddaten!L862&lt;&gt;""),IF(Programme_Grunddaten!L862="Abo / befristete Lizenz",1,0),"")</f>
        <v/>
      </c>
      <c r="F857" s="1" t="str">
        <f>IF(AND(Programme_Grunddaten!$A862="Geprüft",Programme_Grunddaten!M862&lt;&gt;""),IF(Programme_Grunddaten!M862="Ja",1,0),"")</f>
        <v/>
      </c>
      <c r="G857" s="1" t="str">
        <f>IF(AND(Programme_Grunddaten!$A862="Geprüft",Programme_Grunddaten!N862&lt;&gt;""),IF(Programme_Grunddaten!N862="Ja",1,0),"")</f>
        <v/>
      </c>
      <c r="H857" s="1" t="str">
        <f>IF(AND(Programme_Grunddaten!$A862="Geprüft",Programme_Grunddaten!O862&lt;&gt;""),IF(Programme_Grunddaten!O862="Deutschland",0,IF(Programme_Grunddaten!O862="EU",1,2)),"")</f>
        <v/>
      </c>
      <c r="I857" s="1" t="str">
        <f>IF(AND(Programme_Grunddaten!$A862="Geprüft",Programme_Grunddaten!P862&lt;&gt;""),IF(Programme_Grunddaten!P862="Ja",1,0),"")</f>
        <v/>
      </c>
      <c r="J857" s="1" t="str">
        <f>IF(AND(Programme_Grunddaten!$A862="Geprüft",Programme_Grunddaten!Q862&lt;&gt;""),IF(Programme_Grunddaten!Q862="geschlossenes System",1,0),"")</f>
        <v/>
      </c>
      <c r="K857" s="1" t="str">
        <f>IF(AND(Programme_Grunddaten!$A862="Geprüft",Programme_Grunddaten!R862&lt;&gt;""),IF(Programme_Grunddaten!R862="Ja",1,0),"")</f>
        <v/>
      </c>
      <c r="L857" s="1" t="str">
        <f>IF(AND(Programme_Grunddaten!$A862="Geprüft",Programme_Grunddaten!T862&lt;&gt;""),IF(Programme_Grunddaten!T862="Ja",1,0),"")</f>
        <v/>
      </c>
      <c r="M857" s="1" t="str">
        <f>IF(AND(Programme_Grunddaten!$A862="Geprüft",Programme_Grunddaten!U862&lt;&gt;""),IF(Programme_Grunddaten!U862="Ja",1,0),"")</f>
        <v/>
      </c>
      <c r="N857" s="1" t="str">
        <f>IF(AND(Programme_Grunddaten!$A862="Geprüft",Programme_Grunddaten!V862&lt;&gt;""),IF(Programme_Grunddaten!V862="Ja",1,0),"")</f>
        <v/>
      </c>
      <c r="O857" s="1" t="str">
        <f>IF(AND(Programme_Grunddaten!$A862="Geprüft",Programme_Grunddaten!W862&lt;&gt;""),IF(Programme_Grunddaten!W862="Ja",1,0),"")</f>
        <v/>
      </c>
      <c r="P857" s="1" t="str">
        <f>IF(AND(Programme_Grunddaten!$A862="Geprüft",Programme_Grunddaten!X862&lt;&gt;""),IF(Programme_Grunddaten!X862="Ja",1,0),"")</f>
        <v/>
      </c>
      <c r="Q857" s="1" t="str">
        <f>IF(AND(Programme_Grunddaten!$A862="Geprüft",Programme_Grunddaten!Y862&lt;&gt;""),IF(Programme_Grunddaten!Y862="Ja",1,0),"")</f>
        <v/>
      </c>
      <c r="R857" s="1" t="str">
        <f>IF(AND(Programme_Grunddaten!$A862="Geprüft",Programme_Grunddaten!Z862&lt;&gt;""),IF(Programme_Grunddaten!Z862="Ja",1,0),"")</f>
        <v/>
      </c>
      <c r="S857" s="1" t="str">
        <f>IF(AND(Programme_Grunddaten!$A862="Geprüft",Programme_Grunddaten!AA862&lt;&gt;""),IF(Programme_Grunddaten!AA862="monolithisch",1,0),"")</f>
        <v/>
      </c>
      <c r="T857" s="1" t="str">
        <f>IF(AND(Programme_Grunddaten!$A862="Geprüft",Programme_Grunddaten!AB862&lt;&gt;""),IF(Programme_Grunddaten!AB862="Ja",1,0),"")</f>
        <v/>
      </c>
      <c r="U857" s="1" t="str">
        <f>IF(AND(Programme_Grunddaten!$A862="Geprüft",Programme_Grunddaten!AC862&lt;&gt;""),IF(Programme_Grunddaten!AC862="Ja",1,0),"")</f>
        <v/>
      </c>
      <c r="V857" s="1" t="str">
        <f>IF(AND(Programme_Grunddaten!$A862="Geprüft",Programme_Grunddaten!AD862&lt;&gt;""),IF(Programme_Grunddaten!AD862="Ja",1,0),"")</f>
        <v/>
      </c>
      <c r="W857" s="1" t="str">
        <f>IF(AND(Programme_Grunddaten!$A862="Geprüft",Programme_Grunddaten!AE862&lt;&gt;""),IF(Programme_Grunddaten!AE862="Ja",1,0),"")</f>
        <v/>
      </c>
      <c r="X857" s="1" t="str">
        <f>IF(AND(Programme_Grunddaten!$A862="Geprüft",Programme_Grunddaten!AF862&lt;&gt;""),IF(Programme_Grunddaten!AF862="Ja",1,0),"")</f>
        <v/>
      </c>
      <c r="Y857" s="1" t="str">
        <f>IF(AND(Programme_Grunddaten!$A862="Geprüft",Programme_Grunddaten!AG862&lt;&gt;""),IF(Programme_Grunddaten!AG862="Ja",1,0),"")</f>
        <v/>
      </c>
      <c r="Z857" s="1" t="str">
        <f>IF(AND(Programme_Grunddaten!$A862="Geprüft",Programme_Grunddaten!AH862&lt;&gt;""),IF(Programme_Grunddaten!AH862="Ja",1,0),"")</f>
        <v/>
      </c>
      <c r="AA857" s="1" t="str">
        <f>IF(AND(Programme_Grunddaten!$A862="Geprüft",Programme_Grunddaten!AI862&lt;&gt;""),IF(Programme_Grunddaten!AI862="Ja",1,0),"")</f>
        <v/>
      </c>
      <c r="AB857" s="1" t="str">
        <f>IF(AND(Programme_Grunddaten!$A862="Geprüft",Programme_Grunddaten!AJ862&lt;&gt;""),IF(Programme_Grunddaten!AJ862="individuell programmierbar",1,0),"")</f>
        <v/>
      </c>
      <c r="AC857" s="1" t="str">
        <f>IF(AND(Programme_Grunddaten!$A862="Geprüft",Programme_Grunddaten!AK862&lt;&gt;""),IF(Programme_Grunddaten!AK862="Deutsch",0,IF(Programme_Grunddaten!AK862="Deutsch und Englisch",1,2)),"")</f>
        <v/>
      </c>
      <c r="AD857" s="1" t="str">
        <f>IF(AND(Programme_Grunddaten!$A862="Geprüft",Programme_Grunddaten!AL862&lt;&gt;""),IF(Programme_Grunddaten!AL862="Ja",1,0),"")</f>
        <v/>
      </c>
      <c r="AE857" s="1" t="str">
        <f>IF(AND(Programme_Grunddaten!$A862="Geprüft",Programme_Grunddaten!AM862&lt;&gt;""),IF(Programme_Grunddaten!AM862="Ja",1,0),"")</f>
        <v/>
      </c>
      <c r="AF857" s="1" t="str">
        <f>IF(AND(Programme_Grunddaten!$A862="Geprüft",Programme_Grunddaten!AN862&lt;&gt;""),IF(Programme_Grunddaten!AN862="Ja",1,0),"")</f>
        <v/>
      </c>
      <c r="AG857" s="1" t="str">
        <f>IF(AND(Programme_Grunddaten!$A862="Geprüft",Programme_Grunddaten!AO862&lt;&gt;""),IF(Programme_Grunddaten!AO862="Ja",1,0),"")</f>
        <v/>
      </c>
      <c r="AH857" s="1" t="str">
        <f>IF(AND(Programme_Grunddaten!$A862="Geprüft",Programme_Grunddaten!AP862&lt;&gt;""),IF(Programme_Grunddaten!AP862="Ja",1,0),"")</f>
        <v/>
      </c>
      <c r="AI857" s="1" t="str">
        <f>IF(AND(Programme_Grunddaten!$A862="Geprüft",Programme_Grunddaten!AQ862&lt;&gt;""),IF(Programme_Grunddaten!AQ862="Ja",1,0),"")</f>
        <v/>
      </c>
      <c r="AJ857" s="1" t="str">
        <f>IF(AND(Programme_Grunddaten!$A862="Geprüft",Programme_Grunddaten!AR862&lt;&gt;""),IF(Programme_Grunddaten!AR862="Ja",1,0),"")</f>
        <v/>
      </c>
      <c r="AK857" s="1" t="str">
        <f>IF(AND(Programme_Grunddaten!$A862="Geprüft",Programme_Grunddaten!AS862&lt;&gt;""),IF(Programme_Grunddaten!AS862="Ja",1,0),"")</f>
        <v/>
      </c>
      <c r="AL857" s="1" t="str">
        <f>IF(AND(Programme_Grunddaten!$A862="Geprüft",Programme_Grunddaten!AT862&lt;&gt;""),IF(Programme_Grunddaten!AT862="Ja",1,0),"")</f>
        <v/>
      </c>
      <c r="AM857" s="1" t="str">
        <f>IF(AND(Programme_Grunddaten!$A862="Geprüft",Programme_Grunddaten!AU862&lt;&gt;""),IF(Programme_Grunddaten!AU862="Ja",1,0),"")</f>
        <v/>
      </c>
      <c r="AN857" s="1" t="str">
        <f>IF(AND(Programme_Grunddaten!$A862="Geprüft",Programme_Grunddaten!AV862&lt;&gt;""),IF(Programme_Grunddaten!AV862="Ja",1,0),"")</f>
        <v/>
      </c>
    </row>
    <row r="858" spans="1:40" x14ac:dyDescent="0.3">
      <c r="A858" s="1" t="str">
        <f>IF(AND(Programme_Grunddaten!A863="Geprüft",Programme_Grunddaten!B863&lt;&gt;""),Programme_Grunddaten!B863,"")</f>
        <v/>
      </c>
      <c r="B858" s="1" t="str">
        <f>IF(AND(Programme_Grunddaten!$A863="Geprüft",Programme_Grunddaten!I863&lt;&gt;""),IF(Programme_Grunddaten!I863="Ja",1,0),"")</f>
        <v/>
      </c>
      <c r="C858" s="1" t="str">
        <f>IF(AND(Programme_Grunddaten!$A863="Geprüft",Programme_Grunddaten!J863&lt;&gt;""),IF(Programme_Grunddaten!J863="Ja",1,0),"")</f>
        <v/>
      </c>
      <c r="D858" s="1" t="str">
        <f>IF(AND(Programme_Grunddaten!$A863="Geprüft",Programme_Grunddaten!K863&lt;&gt;""),IF(Programme_Grunddaten!K863="Ja",1,0),"")</f>
        <v/>
      </c>
      <c r="E858" s="1" t="str">
        <f>IF(AND(Programme_Grunddaten!$A863="Geprüft",Programme_Grunddaten!L863&lt;&gt;""),IF(Programme_Grunddaten!L863="Abo / befristete Lizenz",1,0),"")</f>
        <v/>
      </c>
      <c r="F858" s="1" t="str">
        <f>IF(AND(Programme_Grunddaten!$A863="Geprüft",Programme_Grunddaten!M863&lt;&gt;""),IF(Programme_Grunddaten!M863="Ja",1,0),"")</f>
        <v/>
      </c>
      <c r="G858" s="1" t="str">
        <f>IF(AND(Programme_Grunddaten!$A863="Geprüft",Programme_Grunddaten!N863&lt;&gt;""),IF(Programme_Grunddaten!N863="Ja",1,0),"")</f>
        <v/>
      </c>
      <c r="H858" s="1" t="str">
        <f>IF(AND(Programme_Grunddaten!$A863="Geprüft",Programme_Grunddaten!O863&lt;&gt;""),IF(Programme_Grunddaten!O863="Deutschland",0,IF(Programme_Grunddaten!O863="EU",1,2)),"")</f>
        <v/>
      </c>
      <c r="I858" s="1" t="str">
        <f>IF(AND(Programme_Grunddaten!$A863="Geprüft",Programme_Grunddaten!P863&lt;&gt;""),IF(Programme_Grunddaten!P863="Ja",1,0),"")</f>
        <v/>
      </c>
      <c r="J858" s="1" t="str">
        <f>IF(AND(Programme_Grunddaten!$A863="Geprüft",Programme_Grunddaten!Q863&lt;&gt;""),IF(Programme_Grunddaten!Q863="geschlossenes System",1,0),"")</f>
        <v/>
      </c>
      <c r="K858" s="1" t="str">
        <f>IF(AND(Programme_Grunddaten!$A863="Geprüft",Programme_Grunddaten!R863&lt;&gt;""),IF(Programme_Grunddaten!R863="Ja",1,0),"")</f>
        <v/>
      </c>
      <c r="L858" s="1" t="str">
        <f>IF(AND(Programme_Grunddaten!$A863="Geprüft",Programme_Grunddaten!T863&lt;&gt;""),IF(Programme_Grunddaten!T863="Ja",1,0),"")</f>
        <v/>
      </c>
      <c r="M858" s="1" t="str">
        <f>IF(AND(Programme_Grunddaten!$A863="Geprüft",Programme_Grunddaten!U863&lt;&gt;""),IF(Programme_Grunddaten!U863="Ja",1,0),"")</f>
        <v/>
      </c>
      <c r="N858" s="1" t="str">
        <f>IF(AND(Programme_Grunddaten!$A863="Geprüft",Programme_Grunddaten!V863&lt;&gt;""),IF(Programme_Grunddaten!V863="Ja",1,0),"")</f>
        <v/>
      </c>
      <c r="O858" s="1" t="str">
        <f>IF(AND(Programme_Grunddaten!$A863="Geprüft",Programme_Grunddaten!W863&lt;&gt;""),IF(Programme_Grunddaten!W863="Ja",1,0),"")</f>
        <v/>
      </c>
      <c r="P858" s="1" t="str">
        <f>IF(AND(Programme_Grunddaten!$A863="Geprüft",Programme_Grunddaten!X863&lt;&gt;""),IF(Programme_Grunddaten!X863="Ja",1,0),"")</f>
        <v/>
      </c>
      <c r="Q858" s="1" t="str">
        <f>IF(AND(Programme_Grunddaten!$A863="Geprüft",Programme_Grunddaten!Y863&lt;&gt;""),IF(Programme_Grunddaten!Y863="Ja",1,0),"")</f>
        <v/>
      </c>
      <c r="R858" s="1" t="str">
        <f>IF(AND(Programme_Grunddaten!$A863="Geprüft",Programme_Grunddaten!Z863&lt;&gt;""),IF(Programme_Grunddaten!Z863="Ja",1,0),"")</f>
        <v/>
      </c>
      <c r="S858" s="1" t="str">
        <f>IF(AND(Programme_Grunddaten!$A863="Geprüft",Programme_Grunddaten!AA863&lt;&gt;""),IF(Programme_Grunddaten!AA863="monolithisch",1,0),"")</f>
        <v/>
      </c>
      <c r="T858" s="1" t="str">
        <f>IF(AND(Programme_Grunddaten!$A863="Geprüft",Programme_Grunddaten!AB863&lt;&gt;""),IF(Programme_Grunddaten!AB863="Ja",1,0),"")</f>
        <v/>
      </c>
      <c r="U858" s="1" t="str">
        <f>IF(AND(Programme_Grunddaten!$A863="Geprüft",Programme_Grunddaten!AC863&lt;&gt;""),IF(Programme_Grunddaten!AC863="Ja",1,0),"")</f>
        <v/>
      </c>
      <c r="V858" s="1" t="str">
        <f>IF(AND(Programme_Grunddaten!$A863="Geprüft",Programme_Grunddaten!AD863&lt;&gt;""),IF(Programme_Grunddaten!AD863="Ja",1,0),"")</f>
        <v/>
      </c>
      <c r="W858" s="1" t="str">
        <f>IF(AND(Programme_Grunddaten!$A863="Geprüft",Programme_Grunddaten!AE863&lt;&gt;""),IF(Programme_Grunddaten!AE863="Ja",1,0),"")</f>
        <v/>
      </c>
      <c r="X858" s="1" t="str">
        <f>IF(AND(Programme_Grunddaten!$A863="Geprüft",Programme_Grunddaten!AF863&lt;&gt;""),IF(Programme_Grunddaten!AF863="Ja",1,0),"")</f>
        <v/>
      </c>
      <c r="Y858" s="1" t="str">
        <f>IF(AND(Programme_Grunddaten!$A863="Geprüft",Programme_Grunddaten!AG863&lt;&gt;""),IF(Programme_Grunddaten!AG863="Ja",1,0),"")</f>
        <v/>
      </c>
      <c r="Z858" s="1" t="str">
        <f>IF(AND(Programme_Grunddaten!$A863="Geprüft",Programme_Grunddaten!AH863&lt;&gt;""),IF(Programme_Grunddaten!AH863="Ja",1,0),"")</f>
        <v/>
      </c>
      <c r="AA858" s="1" t="str">
        <f>IF(AND(Programme_Grunddaten!$A863="Geprüft",Programme_Grunddaten!AI863&lt;&gt;""),IF(Programme_Grunddaten!AI863="Ja",1,0),"")</f>
        <v/>
      </c>
      <c r="AB858" s="1" t="str">
        <f>IF(AND(Programme_Grunddaten!$A863="Geprüft",Programme_Grunddaten!AJ863&lt;&gt;""),IF(Programme_Grunddaten!AJ863="individuell programmierbar",1,0),"")</f>
        <v/>
      </c>
      <c r="AC858" s="1" t="str">
        <f>IF(AND(Programme_Grunddaten!$A863="Geprüft",Programme_Grunddaten!AK863&lt;&gt;""),IF(Programme_Grunddaten!AK863="Deutsch",0,IF(Programme_Grunddaten!AK863="Deutsch und Englisch",1,2)),"")</f>
        <v/>
      </c>
      <c r="AD858" s="1" t="str">
        <f>IF(AND(Programme_Grunddaten!$A863="Geprüft",Programme_Grunddaten!AL863&lt;&gt;""),IF(Programme_Grunddaten!AL863="Ja",1,0),"")</f>
        <v/>
      </c>
      <c r="AE858" s="1" t="str">
        <f>IF(AND(Programme_Grunddaten!$A863="Geprüft",Programme_Grunddaten!AM863&lt;&gt;""),IF(Programme_Grunddaten!AM863="Ja",1,0),"")</f>
        <v/>
      </c>
      <c r="AF858" s="1" t="str">
        <f>IF(AND(Programme_Grunddaten!$A863="Geprüft",Programme_Grunddaten!AN863&lt;&gt;""),IF(Programme_Grunddaten!AN863="Ja",1,0),"")</f>
        <v/>
      </c>
      <c r="AG858" s="1" t="str">
        <f>IF(AND(Programme_Grunddaten!$A863="Geprüft",Programme_Grunddaten!AO863&lt;&gt;""),IF(Programme_Grunddaten!AO863="Ja",1,0),"")</f>
        <v/>
      </c>
      <c r="AH858" s="1" t="str">
        <f>IF(AND(Programme_Grunddaten!$A863="Geprüft",Programme_Grunddaten!AP863&lt;&gt;""),IF(Programme_Grunddaten!AP863="Ja",1,0),"")</f>
        <v/>
      </c>
      <c r="AI858" s="1" t="str">
        <f>IF(AND(Programme_Grunddaten!$A863="Geprüft",Programme_Grunddaten!AQ863&lt;&gt;""),IF(Programme_Grunddaten!AQ863="Ja",1,0),"")</f>
        <v/>
      </c>
      <c r="AJ858" s="1" t="str">
        <f>IF(AND(Programme_Grunddaten!$A863="Geprüft",Programme_Grunddaten!AR863&lt;&gt;""),IF(Programme_Grunddaten!AR863="Ja",1,0),"")</f>
        <v/>
      </c>
      <c r="AK858" s="1" t="str">
        <f>IF(AND(Programme_Grunddaten!$A863="Geprüft",Programme_Grunddaten!AS863&lt;&gt;""),IF(Programme_Grunddaten!AS863="Ja",1,0),"")</f>
        <v/>
      </c>
      <c r="AL858" s="1" t="str">
        <f>IF(AND(Programme_Grunddaten!$A863="Geprüft",Programme_Grunddaten!AT863&lt;&gt;""),IF(Programme_Grunddaten!AT863="Ja",1,0),"")</f>
        <v/>
      </c>
      <c r="AM858" s="1" t="str">
        <f>IF(AND(Programme_Grunddaten!$A863="Geprüft",Programme_Grunddaten!AU863&lt;&gt;""),IF(Programme_Grunddaten!AU863="Ja",1,0),"")</f>
        <v/>
      </c>
      <c r="AN858" s="1" t="str">
        <f>IF(AND(Programme_Grunddaten!$A863="Geprüft",Programme_Grunddaten!AV863&lt;&gt;""),IF(Programme_Grunddaten!AV863="Ja",1,0),"")</f>
        <v/>
      </c>
    </row>
    <row r="859" spans="1:40" x14ac:dyDescent="0.3">
      <c r="A859" s="1" t="str">
        <f>IF(AND(Programme_Grunddaten!A864="Geprüft",Programme_Grunddaten!B864&lt;&gt;""),Programme_Grunddaten!B864,"")</f>
        <v/>
      </c>
      <c r="B859" s="1" t="str">
        <f>IF(AND(Programme_Grunddaten!$A864="Geprüft",Programme_Grunddaten!I864&lt;&gt;""),IF(Programme_Grunddaten!I864="Ja",1,0),"")</f>
        <v/>
      </c>
      <c r="C859" s="1" t="str">
        <f>IF(AND(Programme_Grunddaten!$A864="Geprüft",Programme_Grunddaten!J864&lt;&gt;""),IF(Programme_Grunddaten!J864="Ja",1,0),"")</f>
        <v/>
      </c>
      <c r="D859" s="1" t="str">
        <f>IF(AND(Programme_Grunddaten!$A864="Geprüft",Programme_Grunddaten!K864&lt;&gt;""),IF(Programme_Grunddaten!K864="Ja",1,0),"")</f>
        <v/>
      </c>
      <c r="E859" s="1" t="str">
        <f>IF(AND(Programme_Grunddaten!$A864="Geprüft",Programme_Grunddaten!L864&lt;&gt;""),IF(Programme_Grunddaten!L864="Abo / befristete Lizenz",1,0),"")</f>
        <v/>
      </c>
      <c r="F859" s="1" t="str">
        <f>IF(AND(Programme_Grunddaten!$A864="Geprüft",Programme_Grunddaten!M864&lt;&gt;""),IF(Programme_Grunddaten!M864="Ja",1,0),"")</f>
        <v/>
      </c>
      <c r="G859" s="1" t="str">
        <f>IF(AND(Programme_Grunddaten!$A864="Geprüft",Programme_Grunddaten!N864&lt;&gt;""),IF(Programme_Grunddaten!N864="Ja",1,0),"")</f>
        <v/>
      </c>
      <c r="H859" s="1" t="str">
        <f>IF(AND(Programme_Grunddaten!$A864="Geprüft",Programme_Grunddaten!O864&lt;&gt;""),IF(Programme_Grunddaten!O864="Deutschland",0,IF(Programme_Grunddaten!O864="EU",1,2)),"")</f>
        <v/>
      </c>
      <c r="I859" s="1" t="str">
        <f>IF(AND(Programme_Grunddaten!$A864="Geprüft",Programme_Grunddaten!P864&lt;&gt;""),IF(Programme_Grunddaten!P864="Ja",1,0),"")</f>
        <v/>
      </c>
      <c r="J859" s="1" t="str">
        <f>IF(AND(Programme_Grunddaten!$A864="Geprüft",Programme_Grunddaten!Q864&lt;&gt;""),IF(Programme_Grunddaten!Q864="geschlossenes System",1,0),"")</f>
        <v/>
      </c>
      <c r="K859" s="1" t="str">
        <f>IF(AND(Programme_Grunddaten!$A864="Geprüft",Programme_Grunddaten!R864&lt;&gt;""),IF(Programme_Grunddaten!R864="Ja",1,0),"")</f>
        <v/>
      </c>
      <c r="L859" s="1" t="str">
        <f>IF(AND(Programme_Grunddaten!$A864="Geprüft",Programme_Grunddaten!T864&lt;&gt;""),IF(Programme_Grunddaten!T864="Ja",1,0),"")</f>
        <v/>
      </c>
      <c r="M859" s="1" t="str">
        <f>IF(AND(Programme_Grunddaten!$A864="Geprüft",Programme_Grunddaten!U864&lt;&gt;""),IF(Programme_Grunddaten!U864="Ja",1,0),"")</f>
        <v/>
      </c>
      <c r="N859" s="1" t="str">
        <f>IF(AND(Programme_Grunddaten!$A864="Geprüft",Programme_Grunddaten!V864&lt;&gt;""),IF(Programme_Grunddaten!V864="Ja",1,0),"")</f>
        <v/>
      </c>
      <c r="O859" s="1" t="str">
        <f>IF(AND(Programme_Grunddaten!$A864="Geprüft",Programme_Grunddaten!W864&lt;&gt;""),IF(Programme_Grunddaten!W864="Ja",1,0),"")</f>
        <v/>
      </c>
      <c r="P859" s="1" t="str">
        <f>IF(AND(Programme_Grunddaten!$A864="Geprüft",Programme_Grunddaten!X864&lt;&gt;""),IF(Programme_Grunddaten!X864="Ja",1,0),"")</f>
        <v/>
      </c>
      <c r="Q859" s="1" t="str">
        <f>IF(AND(Programme_Grunddaten!$A864="Geprüft",Programme_Grunddaten!Y864&lt;&gt;""),IF(Programme_Grunddaten!Y864="Ja",1,0),"")</f>
        <v/>
      </c>
      <c r="R859" s="1" t="str">
        <f>IF(AND(Programme_Grunddaten!$A864="Geprüft",Programme_Grunddaten!Z864&lt;&gt;""),IF(Programme_Grunddaten!Z864="Ja",1,0),"")</f>
        <v/>
      </c>
      <c r="S859" s="1" t="str">
        <f>IF(AND(Programme_Grunddaten!$A864="Geprüft",Programme_Grunddaten!AA864&lt;&gt;""),IF(Programme_Grunddaten!AA864="monolithisch",1,0),"")</f>
        <v/>
      </c>
      <c r="T859" s="1" t="str">
        <f>IF(AND(Programme_Grunddaten!$A864="Geprüft",Programme_Grunddaten!AB864&lt;&gt;""),IF(Programme_Grunddaten!AB864="Ja",1,0),"")</f>
        <v/>
      </c>
      <c r="U859" s="1" t="str">
        <f>IF(AND(Programme_Grunddaten!$A864="Geprüft",Programme_Grunddaten!AC864&lt;&gt;""),IF(Programme_Grunddaten!AC864="Ja",1,0),"")</f>
        <v/>
      </c>
      <c r="V859" s="1" t="str">
        <f>IF(AND(Programme_Grunddaten!$A864="Geprüft",Programme_Grunddaten!AD864&lt;&gt;""),IF(Programme_Grunddaten!AD864="Ja",1,0),"")</f>
        <v/>
      </c>
      <c r="W859" s="1" t="str">
        <f>IF(AND(Programme_Grunddaten!$A864="Geprüft",Programme_Grunddaten!AE864&lt;&gt;""),IF(Programme_Grunddaten!AE864="Ja",1,0),"")</f>
        <v/>
      </c>
      <c r="X859" s="1" t="str">
        <f>IF(AND(Programme_Grunddaten!$A864="Geprüft",Programme_Grunddaten!AF864&lt;&gt;""),IF(Programme_Grunddaten!AF864="Ja",1,0),"")</f>
        <v/>
      </c>
      <c r="Y859" s="1" t="str">
        <f>IF(AND(Programme_Grunddaten!$A864="Geprüft",Programme_Grunddaten!AG864&lt;&gt;""),IF(Programme_Grunddaten!AG864="Ja",1,0),"")</f>
        <v/>
      </c>
      <c r="Z859" s="1" t="str">
        <f>IF(AND(Programme_Grunddaten!$A864="Geprüft",Programme_Grunddaten!AH864&lt;&gt;""),IF(Programme_Grunddaten!AH864="Ja",1,0),"")</f>
        <v/>
      </c>
      <c r="AA859" s="1" t="str">
        <f>IF(AND(Programme_Grunddaten!$A864="Geprüft",Programme_Grunddaten!AI864&lt;&gt;""),IF(Programme_Grunddaten!AI864="Ja",1,0),"")</f>
        <v/>
      </c>
      <c r="AB859" s="1" t="str">
        <f>IF(AND(Programme_Grunddaten!$A864="Geprüft",Programme_Grunddaten!AJ864&lt;&gt;""),IF(Programme_Grunddaten!AJ864="individuell programmierbar",1,0),"")</f>
        <v/>
      </c>
      <c r="AC859" s="1" t="str">
        <f>IF(AND(Programme_Grunddaten!$A864="Geprüft",Programme_Grunddaten!AK864&lt;&gt;""),IF(Programme_Grunddaten!AK864="Deutsch",0,IF(Programme_Grunddaten!AK864="Deutsch und Englisch",1,2)),"")</f>
        <v/>
      </c>
      <c r="AD859" s="1" t="str">
        <f>IF(AND(Programme_Grunddaten!$A864="Geprüft",Programme_Grunddaten!AL864&lt;&gt;""),IF(Programme_Grunddaten!AL864="Ja",1,0),"")</f>
        <v/>
      </c>
      <c r="AE859" s="1" t="str">
        <f>IF(AND(Programme_Grunddaten!$A864="Geprüft",Programme_Grunddaten!AM864&lt;&gt;""),IF(Programme_Grunddaten!AM864="Ja",1,0),"")</f>
        <v/>
      </c>
      <c r="AF859" s="1" t="str">
        <f>IF(AND(Programme_Grunddaten!$A864="Geprüft",Programme_Grunddaten!AN864&lt;&gt;""),IF(Programme_Grunddaten!AN864="Ja",1,0),"")</f>
        <v/>
      </c>
      <c r="AG859" s="1" t="str">
        <f>IF(AND(Programme_Grunddaten!$A864="Geprüft",Programme_Grunddaten!AO864&lt;&gt;""),IF(Programme_Grunddaten!AO864="Ja",1,0),"")</f>
        <v/>
      </c>
      <c r="AH859" s="1" t="str">
        <f>IF(AND(Programme_Grunddaten!$A864="Geprüft",Programme_Grunddaten!AP864&lt;&gt;""),IF(Programme_Grunddaten!AP864="Ja",1,0),"")</f>
        <v/>
      </c>
      <c r="AI859" s="1" t="str">
        <f>IF(AND(Programme_Grunddaten!$A864="Geprüft",Programme_Grunddaten!AQ864&lt;&gt;""),IF(Programme_Grunddaten!AQ864="Ja",1,0),"")</f>
        <v/>
      </c>
      <c r="AJ859" s="1" t="str">
        <f>IF(AND(Programme_Grunddaten!$A864="Geprüft",Programme_Grunddaten!AR864&lt;&gt;""),IF(Programme_Grunddaten!AR864="Ja",1,0),"")</f>
        <v/>
      </c>
      <c r="AK859" s="1" t="str">
        <f>IF(AND(Programme_Grunddaten!$A864="Geprüft",Programme_Grunddaten!AS864&lt;&gt;""),IF(Programme_Grunddaten!AS864="Ja",1,0),"")</f>
        <v/>
      </c>
      <c r="AL859" s="1" t="str">
        <f>IF(AND(Programme_Grunddaten!$A864="Geprüft",Programme_Grunddaten!AT864&lt;&gt;""),IF(Programme_Grunddaten!AT864="Ja",1,0),"")</f>
        <v/>
      </c>
      <c r="AM859" s="1" t="str">
        <f>IF(AND(Programme_Grunddaten!$A864="Geprüft",Programme_Grunddaten!AU864&lt;&gt;""),IF(Programme_Grunddaten!AU864="Ja",1,0),"")</f>
        <v/>
      </c>
      <c r="AN859" s="1" t="str">
        <f>IF(AND(Programme_Grunddaten!$A864="Geprüft",Programme_Grunddaten!AV864&lt;&gt;""),IF(Programme_Grunddaten!AV864="Ja",1,0),"")</f>
        <v/>
      </c>
    </row>
    <row r="860" spans="1:40" x14ac:dyDescent="0.3">
      <c r="A860" s="1" t="str">
        <f>IF(AND(Programme_Grunddaten!A865="Geprüft",Programme_Grunddaten!B865&lt;&gt;""),Programme_Grunddaten!B865,"")</f>
        <v/>
      </c>
      <c r="B860" s="1" t="str">
        <f>IF(AND(Programme_Grunddaten!$A865="Geprüft",Programme_Grunddaten!I865&lt;&gt;""),IF(Programme_Grunddaten!I865="Ja",1,0),"")</f>
        <v/>
      </c>
      <c r="C860" s="1" t="str">
        <f>IF(AND(Programme_Grunddaten!$A865="Geprüft",Programme_Grunddaten!J865&lt;&gt;""),IF(Programme_Grunddaten!J865="Ja",1,0),"")</f>
        <v/>
      </c>
      <c r="D860" s="1" t="str">
        <f>IF(AND(Programme_Grunddaten!$A865="Geprüft",Programme_Grunddaten!K865&lt;&gt;""),IF(Programme_Grunddaten!K865="Ja",1,0),"")</f>
        <v/>
      </c>
      <c r="E860" s="1" t="str">
        <f>IF(AND(Programme_Grunddaten!$A865="Geprüft",Programme_Grunddaten!L865&lt;&gt;""),IF(Programme_Grunddaten!L865="Abo / befristete Lizenz",1,0),"")</f>
        <v/>
      </c>
      <c r="F860" s="1" t="str">
        <f>IF(AND(Programme_Grunddaten!$A865="Geprüft",Programme_Grunddaten!M865&lt;&gt;""),IF(Programme_Grunddaten!M865="Ja",1,0),"")</f>
        <v/>
      </c>
      <c r="G860" s="1" t="str">
        <f>IF(AND(Programme_Grunddaten!$A865="Geprüft",Programme_Grunddaten!N865&lt;&gt;""),IF(Programme_Grunddaten!N865="Ja",1,0),"")</f>
        <v/>
      </c>
      <c r="H860" s="1" t="str">
        <f>IF(AND(Programme_Grunddaten!$A865="Geprüft",Programme_Grunddaten!O865&lt;&gt;""),IF(Programme_Grunddaten!O865="Deutschland",0,IF(Programme_Grunddaten!O865="EU",1,2)),"")</f>
        <v/>
      </c>
      <c r="I860" s="1" t="str">
        <f>IF(AND(Programme_Grunddaten!$A865="Geprüft",Programme_Grunddaten!P865&lt;&gt;""),IF(Programme_Grunddaten!P865="Ja",1,0),"")</f>
        <v/>
      </c>
      <c r="J860" s="1" t="str">
        <f>IF(AND(Programme_Grunddaten!$A865="Geprüft",Programme_Grunddaten!Q865&lt;&gt;""),IF(Programme_Grunddaten!Q865="geschlossenes System",1,0),"")</f>
        <v/>
      </c>
      <c r="K860" s="1" t="str">
        <f>IF(AND(Programme_Grunddaten!$A865="Geprüft",Programme_Grunddaten!R865&lt;&gt;""),IF(Programme_Grunddaten!R865="Ja",1,0),"")</f>
        <v/>
      </c>
      <c r="L860" s="1" t="str">
        <f>IF(AND(Programme_Grunddaten!$A865="Geprüft",Programme_Grunddaten!T865&lt;&gt;""),IF(Programme_Grunddaten!T865="Ja",1,0),"")</f>
        <v/>
      </c>
      <c r="M860" s="1" t="str">
        <f>IF(AND(Programme_Grunddaten!$A865="Geprüft",Programme_Grunddaten!U865&lt;&gt;""),IF(Programme_Grunddaten!U865="Ja",1,0),"")</f>
        <v/>
      </c>
      <c r="N860" s="1" t="str">
        <f>IF(AND(Programme_Grunddaten!$A865="Geprüft",Programme_Grunddaten!V865&lt;&gt;""),IF(Programme_Grunddaten!V865="Ja",1,0),"")</f>
        <v/>
      </c>
      <c r="O860" s="1" t="str">
        <f>IF(AND(Programme_Grunddaten!$A865="Geprüft",Programme_Grunddaten!W865&lt;&gt;""),IF(Programme_Grunddaten!W865="Ja",1,0),"")</f>
        <v/>
      </c>
      <c r="P860" s="1" t="str">
        <f>IF(AND(Programme_Grunddaten!$A865="Geprüft",Programme_Grunddaten!X865&lt;&gt;""),IF(Programme_Grunddaten!X865="Ja",1,0),"")</f>
        <v/>
      </c>
      <c r="Q860" s="1" t="str">
        <f>IF(AND(Programme_Grunddaten!$A865="Geprüft",Programme_Grunddaten!Y865&lt;&gt;""),IF(Programme_Grunddaten!Y865="Ja",1,0),"")</f>
        <v/>
      </c>
      <c r="R860" s="1" t="str">
        <f>IF(AND(Programme_Grunddaten!$A865="Geprüft",Programme_Grunddaten!Z865&lt;&gt;""),IF(Programme_Grunddaten!Z865="Ja",1,0),"")</f>
        <v/>
      </c>
      <c r="S860" s="1" t="str">
        <f>IF(AND(Programme_Grunddaten!$A865="Geprüft",Programme_Grunddaten!AA865&lt;&gt;""),IF(Programme_Grunddaten!AA865="monolithisch",1,0),"")</f>
        <v/>
      </c>
      <c r="T860" s="1" t="str">
        <f>IF(AND(Programme_Grunddaten!$A865="Geprüft",Programme_Grunddaten!AB865&lt;&gt;""),IF(Programme_Grunddaten!AB865="Ja",1,0),"")</f>
        <v/>
      </c>
      <c r="U860" s="1" t="str">
        <f>IF(AND(Programme_Grunddaten!$A865="Geprüft",Programme_Grunddaten!AC865&lt;&gt;""),IF(Programme_Grunddaten!AC865="Ja",1,0),"")</f>
        <v/>
      </c>
      <c r="V860" s="1" t="str">
        <f>IF(AND(Programme_Grunddaten!$A865="Geprüft",Programme_Grunddaten!AD865&lt;&gt;""),IF(Programme_Grunddaten!AD865="Ja",1,0),"")</f>
        <v/>
      </c>
      <c r="W860" s="1" t="str">
        <f>IF(AND(Programme_Grunddaten!$A865="Geprüft",Programme_Grunddaten!AE865&lt;&gt;""),IF(Programme_Grunddaten!AE865="Ja",1,0),"")</f>
        <v/>
      </c>
      <c r="X860" s="1" t="str">
        <f>IF(AND(Programme_Grunddaten!$A865="Geprüft",Programme_Grunddaten!AF865&lt;&gt;""),IF(Programme_Grunddaten!AF865="Ja",1,0),"")</f>
        <v/>
      </c>
      <c r="Y860" s="1" t="str">
        <f>IF(AND(Programme_Grunddaten!$A865="Geprüft",Programme_Grunddaten!AG865&lt;&gt;""),IF(Programme_Grunddaten!AG865="Ja",1,0),"")</f>
        <v/>
      </c>
      <c r="Z860" s="1" t="str">
        <f>IF(AND(Programme_Grunddaten!$A865="Geprüft",Programme_Grunddaten!AH865&lt;&gt;""),IF(Programme_Grunddaten!AH865="Ja",1,0),"")</f>
        <v/>
      </c>
      <c r="AA860" s="1" t="str">
        <f>IF(AND(Programme_Grunddaten!$A865="Geprüft",Programme_Grunddaten!AI865&lt;&gt;""),IF(Programme_Grunddaten!AI865="Ja",1,0),"")</f>
        <v/>
      </c>
      <c r="AB860" s="1" t="str">
        <f>IF(AND(Programme_Grunddaten!$A865="Geprüft",Programme_Grunddaten!AJ865&lt;&gt;""),IF(Programme_Grunddaten!AJ865="individuell programmierbar",1,0),"")</f>
        <v/>
      </c>
      <c r="AC860" s="1" t="str">
        <f>IF(AND(Programme_Grunddaten!$A865="Geprüft",Programme_Grunddaten!AK865&lt;&gt;""),IF(Programme_Grunddaten!AK865="Deutsch",0,IF(Programme_Grunddaten!AK865="Deutsch und Englisch",1,2)),"")</f>
        <v/>
      </c>
      <c r="AD860" s="1" t="str">
        <f>IF(AND(Programme_Grunddaten!$A865="Geprüft",Programme_Grunddaten!AL865&lt;&gt;""),IF(Programme_Grunddaten!AL865="Ja",1,0),"")</f>
        <v/>
      </c>
      <c r="AE860" s="1" t="str">
        <f>IF(AND(Programme_Grunddaten!$A865="Geprüft",Programme_Grunddaten!AM865&lt;&gt;""),IF(Programme_Grunddaten!AM865="Ja",1,0),"")</f>
        <v/>
      </c>
      <c r="AF860" s="1" t="str">
        <f>IF(AND(Programme_Grunddaten!$A865="Geprüft",Programme_Grunddaten!AN865&lt;&gt;""),IF(Programme_Grunddaten!AN865="Ja",1,0),"")</f>
        <v/>
      </c>
      <c r="AG860" s="1" t="str">
        <f>IF(AND(Programme_Grunddaten!$A865="Geprüft",Programme_Grunddaten!AO865&lt;&gt;""),IF(Programme_Grunddaten!AO865="Ja",1,0),"")</f>
        <v/>
      </c>
      <c r="AH860" s="1" t="str">
        <f>IF(AND(Programme_Grunddaten!$A865="Geprüft",Programme_Grunddaten!AP865&lt;&gt;""),IF(Programme_Grunddaten!AP865="Ja",1,0),"")</f>
        <v/>
      </c>
      <c r="AI860" s="1" t="str">
        <f>IF(AND(Programme_Grunddaten!$A865="Geprüft",Programme_Grunddaten!AQ865&lt;&gt;""),IF(Programme_Grunddaten!AQ865="Ja",1,0),"")</f>
        <v/>
      </c>
      <c r="AJ860" s="1" t="str">
        <f>IF(AND(Programme_Grunddaten!$A865="Geprüft",Programme_Grunddaten!AR865&lt;&gt;""),IF(Programme_Grunddaten!AR865="Ja",1,0),"")</f>
        <v/>
      </c>
      <c r="AK860" s="1" t="str">
        <f>IF(AND(Programme_Grunddaten!$A865="Geprüft",Programme_Grunddaten!AS865&lt;&gt;""),IF(Programme_Grunddaten!AS865="Ja",1,0),"")</f>
        <v/>
      </c>
      <c r="AL860" s="1" t="str">
        <f>IF(AND(Programme_Grunddaten!$A865="Geprüft",Programme_Grunddaten!AT865&lt;&gt;""),IF(Programme_Grunddaten!AT865="Ja",1,0),"")</f>
        <v/>
      </c>
      <c r="AM860" s="1" t="str">
        <f>IF(AND(Programme_Grunddaten!$A865="Geprüft",Programme_Grunddaten!AU865&lt;&gt;""),IF(Programme_Grunddaten!AU865="Ja",1,0),"")</f>
        <v/>
      </c>
      <c r="AN860" s="1" t="str">
        <f>IF(AND(Programme_Grunddaten!$A865="Geprüft",Programme_Grunddaten!AV865&lt;&gt;""),IF(Programme_Grunddaten!AV865="Ja",1,0),"")</f>
        <v/>
      </c>
    </row>
    <row r="861" spans="1:40" x14ac:dyDescent="0.3">
      <c r="A861" s="1" t="str">
        <f>IF(AND(Programme_Grunddaten!A866="Geprüft",Programme_Grunddaten!B866&lt;&gt;""),Programme_Grunddaten!B866,"")</f>
        <v/>
      </c>
      <c r="B861" s="1" t="str">
        <f>IF(AND(Programme_Grunddaten!$A866="Geprüft",Programme_Grunddaten!I866&lt;&gt;""),IF(Programme_Grunddaten!I866="Ja",1,0),"")</f>
        <v/>
      </c>
      <c r="C861" s="1" t="str">
        <f>IF(AND(Programme_Grunddaten!$A866="Geprüft",Programme_Grunddaten!J866&lt;&gt;""),IF(Programme_Grunddaten!J866="Ja",1,0),"")</f>
        <v/>
      </c>
      <c r="D861" s="1" t="str">
        <f>IF(AND(Programme_Grunddaten!$A866="Geprüft",Programme_Grunddaten!K866&lt;&gt;""),IF(Programme_Grunddaten!K866="Ja",1,0),"")</f>
        <v/>
      </c>
      <c r="E861" s="1" t="str">
        <f>IF(AND(Programme_Grunddaten!$A866="Geprüft",Programme_Grunddaten!L866&lt;&gt;""),IF(Programme_Grunddaten!L866="Abo / befristete Lizenz",1,0),"")</f>
        <v/>
      </c>
      <c r="F861" s="1" t="str">
        <f>IF(AND(Programme_Grunddaten!$A866="Geprüft",Programme_Grunddaten!M866&lt;&gt;""),IF(Programme_Grunddaten!M866="Ja",1,0),"")</f>
        <v/>
      </c>
      <c r="G861" s="1" t="str">
        <f>IF(AND(Programme_Grunddaten!$A866="Geprüft",Programme_Grunddaten!N866&lt;&gt;""),IF(Programme_Grunddaten!N866="Ja",1,0),"")</f>
        <v/>
      </c>
      <c r="H861" s="1" t="str">
        <f>IF(AND(Programme_Grunddaten!$A866="Geprüft",Programme_Grunddaten!O866&lt;&gt;""),IF(Programme_Grunddaten!O866="Deutschland",0,IF(Programme_Grunddaten!O866="EU",1,2)),"")</f>
        <v/>
      </c>
      <c r="I861" s="1" t="str">
        <f>IF(AND(Programme_Grunddaten!$A866="Geprüft",Programme_Grunddaten!P866&lt;&gt;""),IF(Programme_Grunddaten!P866="Ja",1,0),"")</f>
        <v/>
      </c>
      <c r="J861" s="1" t="str">
        <f>IF(AND(Programme_Grunddaten!$A866="Geprüft",Programme_Grunddaten!Q866&lt;&gt;""),IF(Programme_Grunddaten!Q866="geschlossenes System",1,0),"")</f>
        <v/>
      </c>
      <c r="K861" s="1" t="str">
        <f>IF(AND(Programme_Grunddaten!$A866="Geprüft",Programme_Grunddaten!R866&lt;&gt;""),IF(Programme_Grunddaten!R866="Ja",1,0),"")</f>
        <v/>
      </c>
      <c r="L861" s="1" t="str">
        <f>IF(AND(Programme_Grunddaten!$A866="Geprüft",Programme_Grunddaten!T866&lt;&gt;""),IF(Programme_Grunddaten!T866="Ja",1,0),"")</f>
        <v/>
      </c>
      <c r="M861" s="1" t="str">
        <f>IF(AND(Programme_Grunddaten!$A866="Geprüft",Programme_Grunddaten!U866&lt;&gt;""),IF(Programme_Grunddaten!U866="Ja",1,0),"")</f>
        <v/>
      </c>
      <c r="N861" s="1" t="str">
        <f>IF(AND(Programme_Grunddaten!$A866="Geprüft",Programme_Grunddaten!V866&lt;&gt;""),IF(Programme_Grunddaten!V866="Ja",1,0),"")</f>
        <v/>
      </c>
      <c r="O861" s="1" t="str">
        <f>IF(AND(Programme_Grunddaten!$A866="Geprüft",Programme_Grunddaten!W866&lt;&gt;""),IF(Programme_Grunddaten!W866="Ja",1,0),"")</f>
        <v/>
      </c>
      <c r="P861" s="1" t="str">
        <f>IF(AND(Programme_Grunddaten!$A866="Geprüft",Programme_Grunddaten!X866&lt;&gt;""),IF(Programme_Grunddaten!X866="Ja",1,0),"")</f>
        <v/>
      </c>
      <c r="Q861" s="1" t="str">
        <f>IF(AND(Programme_Grunddaten!$A866="Geprüft",Programme_Grunddaten!Y866&lt;&gt;""),IF(Programme_Grunddaten!Y866="Ja",1,0),"")</f>
        <v/>
      </c>
      <c r="R861" s="1" t="str">
        <f>IF(AND(Programme_Grunddaten!$A866="Geprüft",Programme_Grunddaten!Z866&lt;&gt;""),IF(Programme_Grunddaten!Z866="Ja",1,0),"")</f>
        <v/>
      </c>
      <c r="S861" s="1" t="str">
        <f>IF(AND(Programme_Grunddaten!$A866="Geprüft",Programme_Grunddaten!AA866&lt;&gt;""),IF(Programme_Grunddaten!AA866="monolithisch",1,0),"")</f>
        <v/>
      </c>
      <c r="T861" s="1" t="str">
        <f>IF(AND(Programme_Grunddaten!$A866="Geprüft",Programme_Grunddaten!AB866&lt;&gt;""),IF(Programme_Grunddaten!AB866="Ja",1,0),"")</f>
        <v/>
      </c>
      <c r="U861" s="1" t="str">
        <f>IF(AND(Programme_Grunddaten!$A866="Geprüft",Programme_Grunddaten!AC866&lt;&gt;""),IF(Programme_Grunddaten!AC866="Ja",1,0),"")</f>
        <v/>
      </c>
      <c r="V861" s="1" t="str">
        <f>IF(AND(Programme_Grunddaten!$A866="Geprüft",Programme_Grunddaten!AD866&lt;&gt;""),IF(Programme_Grunddaten!AD866="Ja",1,0),"")</f>
        <v/>
      </c>
      <c r="W861" s="1" t="str">
        <f>IF(AND(Programme_Grunddaten!$A866="Geprüft",Programme_Grunddaten!AE866&lt;&gt;""),IF(Programme_Grunddaten!AE866="Ja",1,0),"")</f>
        <v/>
      </c>
      <c r="X861" s="1" t="str">
        <f>IF(AND(Programme_Grunddaten!$A866="Geprüft",Programme_Grunddaten!AF866&lt;&gt;""),IF(Programme_Grunddaten!AF866="Ja",1,0),"")</f>
        <v/>
      </c>
      <c r="Y861" s="1" t="str">
        <f>IF(AND(Programme_Grunddaten!$A866="Geprüft",Programme_Grunddaten!AG866&lt;&gt;""),IF(Programme_Grunddaten!AG866="Ja",1,0),"")</f>
        <v/>
      </c>
      <c r="Z861" s="1" t="str">
        <f>IF(AND(Programme_Grunddaten!$A866="Geprüft",Programme_Grunddaten!AH866&lt;&gt;""),IF(Programme_Grunddaten!AH866="Ja",1,0),"")</f>
        <v/>
      </c>
      <c r="AA861" s="1" t="str">
        <f>IF(AND(Programme_Grunddaten!$A866="Geprüft",Programme_Grunddaten!AI866&lt;&gt;""),IF(Programme_Grunddaten!AI866="Ja",1,0),"")</f>
        <v/>
      </c>
      <c r="AB861" s="1" t="str">
        <f>IF(AND(Programme_Grunddaten!$A866="Geprüft",Programme_Grunddaten!AJ866&lt;&gt;""),IF(Programme_Grunddaten!AJ866="individuell programmierbar",1,0),"")</f>
        <v/>
      </c>
      <c r="AC861" s="1" t="str">
        <f>IF(AND(Programme_Grunddaten!$A866="Geprüft",Programme_Grunddaten!AK866&lt;&gt;""),IF(Programme_Grunddaten!AK866="Deutsch",0,IF(Programme_Grunddaten!AK866="Deutsch und Englisch",1,2)),"")</f>
        <v/>
      </c>
      <c r="AD861" s="1" t="str">
        <f>IF(AND(Programme_Grunddaten!$A866="Geprüft",Programme_Grunddaten!AL866&lt;&gt;""),IF(Programme_Grunddaten!AL866="Ja",1,0),"")</f>
        <v/>
      </c>
      <c r="AE861" s="1" t="str">
        <f>IF(AND(Programme_Grunddaten!$A866="Geprüft",Programme_Grunddaten!AM866&lt;&gt;""),IF(Programme_Grunddaten!AM866="Ja",1,0),"")</f>
        <v/>
      </c>
      <c r="AF861" s="1" t="str">
        <f>IF(AND(Programme_Grunddaten!$A866="Geprüft",Programme_Grunddaten!AN866&lt;&gt;""),IF(Programme_Grunddaten!AN866="Ja",1,0),"")</f>
        <v/>
      </c>
      <c r="AG861" s="1" t="str">
        <f>IF(AND(Programme_Grunddaten!$A866="Geprüft",Programme_Grunddaten!AO866&lt;&gt;""),IF(Programme_Grunddaten!AO866="Ja",1,0),"")</f>
        <v/>
      </c>
      <c r="AH861" s="1" t="str">
        <f>IF(AND(Programme_Grunddaten!$A866="Geprüft",Programme_Grunddaten!AP866&lt;&gt;""),IF(Programme_Grunddaten!AP866="Ja",1,0),"")</f>
        <v/>
      </c>
      <c r="AI861" s="1" t="str">
        <f>IF(AND(Programme_Grunddaten!$A866="Geprüft",Programme_Grunddaten!AQ866&lt;&gt;""),IF(Programme_Grunddaten!AQ866="Ja",1,0),"")</f>
        <v/>
      </c>
      <c r="AJ861" s="1" t="str">
        <f>IF(AND(Programme_Grunddaten!$A866="Geprüft",Programme_Grunddaten!AR866&lt;&gt;""),IF(Programme_Grunddaten!AR866="Ja",1,0),"")</f>
        <v/>
      </c>
      <c r="AK861" s="1" t="str">
        <f>IF(AND(Programme_Grunddaten!$A866="Geprüft",Programme_Grunddaten!AS866&lt;&gt;""),IF(Programme_Grunddaten!AS866="Ja",1,0),"")</f>
        <v/>
      </c>
      <c r="AL861" s="1" t="str">
        <f>IF(AND(Programme_Grunddaten!$A866="Geprüft",Programme_Grunddaten!AT866&lt;&gt;""),IF(Programme_Grunddaten!AT866="Ja",1,0),"")</f>
        <v/>
      </c>
      <c r="AM861" s="1" t="str">
        <f>IF(AND(Programme_Grunddaten!$A866="Geprüft",Programme_Grunddaten!AU866&lt;&gt;""),IF(Programme_Grunddaten!AU866="Ja",1,0),"")</f>
        <v/>
      </c>
      <c r="AN861" s="1" t="str">
        <f>IF(AND(Programme_Grunddaten!$A866="Geprüft",Programme_Grunddaten!AV866&lt;&gt;""),IF(Programme_Grunddaten!AV866="Ja",1,0),"")</f>
        <v/>
      </c>
    </row>
    <row r="862" spans="1:40" x14ac:dyDescent="0.3">
      <c r="A862" s="1" t="str">
        <f>IF(AND(Programme_Grunddaten!A867="Geprüft",Programme_Grunddaten!B867&lt;&gt;""),Programme_Grunddaten!B867,"")</f>
        <v/>
      </c>
      <c r="B862" s="1" t="str">
        <f>IF(AND(Programme_Grunddaten!$A867="Geprüft",Programme_Grunddaten!I867&lt;&gt;""),IF(Programme_Grunddaten!I867="Ja",1,0),"")</f>
        <v/>
      </c>
      <c r="C862" s="1" t="str">
        <f>IF(AND(Programme_Grunddaten!$A867="Geprüft",Programme_Grunddaten!J867&lt;&gt;""),IF(Programme_Grunddaten!J867="Ja",1,0),"")</f>
        <v/>
      </c>
      <c r="D862" s="1" t="str">
        <f>IF(AND(Programme_Grunddaten!$A867="Geprüft",Programme_Grunddaten!K867&lt;&gt;""),IF(Programme_Grunddaten!K867="Ja",1,0),"")</f>
        <v/>
      </c>
      <c r="E862" s="1" t="str">
        <f>IF(AND(Programme_Grunddaten!$A867="Geprüft",Programme_Grunddaten!L867&lt;&gt;""),IF(Programme_Grunddaten!L867="Abo / befristete Lizenz",1,0),"")</f>
        <v/>
      </c>
      <c r="F862" s="1" t="str">
        <f>IF(AND(Programme_Grunddaten!$A867="Geprüft",Programme_Grunddaten!M867&lt;&gt;""),IF(Programme_Grunddaten!M867="Ja",1,0),"")</f>
        <v/>
      </c>
      <c r="G862" s="1" t="str">
        <f>IF(AND(Programme_Grunddaten!$A867="Geprüft",Programme_Grunddaten!N867&lt;&gt;""),IF(Programme_Grunddaten!N867="Ja",1,0),"")</f>
        <v/>
      </c>
      <c r="H862" s="1" t="str">
        <f>IF(AND(Programme_Grunddaten!$A867="Geprüft",Programme_Grunddaten!O867&lt;&gt;""),IF(Programme_Grunddaten!O867="Deutschland",0,IF(Programme_Grunddaten!O867="EU",1,2)),"")</f>
        <v/>
      </c>
      <c r="I862" s="1" t="str">
        <f>IF(AND(Programme_Grunddaten!$A867="Geprüft",Programme_Grunddaten!P867&lt;&gt;""),IF(Programme_Grunddaten!P867="Ja",1,0),"")</f>
        <v/>
      </c>
      <c r="J862" s="1" t="str">
        <f>IF(AND(Programme_Grunddaten!$A867="Geprüft",Programme_Grunddaten!Q867&lt;&gt;""),IF(Programme_Grunddaten!Q867="geschlossenes System",1,0),"")</f>
        <v/>
      </c>
      <c r="K862" s="1" t="str">
        <f>IF(AND(Programme_Grunddaten!$A867="Geprüft",Programme_Grunddaten!R867&lt;&gt;""),IF(Programme_Grunddaten!R867="Ja",1,0),"")</f>
        <v/>
      </c>
      <c r="L862" s="1" t="str">
        <f>IF(AND(Programme_Grunddaten!$A867="Geprüft",Programme_Grunddaten!T867&lt;&gt;""),IF(Programme_Grunddaten!T867="Ja",1,0),"")</f>
        <v/>
      </c>
      <c r="M862" s="1" t="str">
        <f>IF(AND(Programme_Grunddaten!$A867="Geprüft",Programme_Grunddaten!U867&lt;&gt;""),IF(Programme_Grunddaten!U867="Ja",1,0),"")</f>
        <v/>
      </c>
      <c r="N862" s="1" t="str">
        <f>IF(AND(Programme_Grunddaten!$A867="Geprüft",Programme_Grunddaten!V867&lt;&gt;""),IF(Programme_Grunddaten!V867="Ja",1,0),"")</f>
        <v/>
      </c>
      <c r="O862" s="1" t="str">
        <f>IF(AND(Programme_Grunddaten!$A867="Geprüft",Programme_Grunddaten!W867&lt;&gt;""),IF(Programme_Grunddaten!W867="Ja",1,0),"")</f>
        <v/>
      </c>
      <c r="P862" s="1" t="str">
        <f>IF(AND(Programme_Grunddaten!$A867="Geprüft",Programme_Grunddaten!X867&lt;&gt;""),IF(Programme_Grunddaten!X867="Ja",1,0),"")</f>
        <v/>
      </c>
      <c r="Q862" s="1" t="str">
        <f>IF(AND(Programme_Grunddaten!$A867="Geprüft",Programme_Grunddaten!Y867&lt;&gt;""),IF(Programme_Grunddaten!Y867="Ja",1,0),"")</f>
        <v/>
      </c>
      <c r="R862" s="1" t="str">
        <f>IF(AND(Programme_Grunddaten!$A867="Geprüft",Programme_Grunddaten!Z867&lt;&gt;""),IF(Programme_Grunddaten!Z867="Ja",1,0),"")</f>
        <v/>
      </c>
      <c r="S862" s="1" t="str">
        <f>IF(AND(Programme_Grunddaten!$A867="Geprüft",Programme_Grunddaten!AA867&lt;&gt;""),IF(Programme_Grunddaten!AA867="monolithisch",1,0),"")</f>
        <v/>
      </c>
      <c r="T862" s="1" t="str">
        <f>IF(AND(Programme_Grunddaten!$A867="Geprüft",Programme_Grunddaten!AB867&lt;&gt;""),IF(Programme_Grunddaten!AB867="Ja",1,0),"")</f>
        <v/>
      </c>
      <c r="U862" s="1" t="str">
        <f>IF(AND(Programme_Grunddaten!$A867="Geprüft",Programme_Grunddaten!AC867&lt;&gt;""),IF(Programme_Grunddaten!AC867="Ja",1,0),"")</f>
        <v/>
      </c>
      <c r="V862" s="1" t="str">
        <f>IF(AND(Programme_Grunddaten!$A867="Geprüft",Programme_Grunddaten!AD867&lt;&gt;""),IF(Programme_Grunddaten!AD867="Ja",1,0),"")</f>
        <v/>
      </c>
      <c r="W862" s="1" t="str">
        <f>IF(AND(Programme_Grunddaten!$A867="Geprüft",Programme_Grunddaten!AE867&lt;&gt;""),IF(Programme_Grunddaten!AE867="Ja",1,0),"")</f>
        <v/>
      </c>
      <c r="X862" s="1" t="str">
        <f>IF(AND(Programme_Grunddaten!$A867="Geprüft",Programme_Grunddaten!AF867&lt;&gt;""),IF(Programme_Grunddaten!AF867="Ja",1,0),"")</f>
        <v/>
      </c>
      <c r="Y862" s="1" t="str">
        <f>IF(AND(Programme_Grunddaten!$A867="Geprüft",Programme_Grunddaten!AG867&lt;&gt;""),IF(Programme_Grunddaten!AG867="Ja",1,0),"")</f>
        <v/>
      </c>
      <c r="Z862" s="1" t="str">
        <f>IF(AND(Programme_Grunddaten!$A867="Geprüft",Programme_Grunddaten!AH867&lt;&gt;""),IF(Programme_Grunddaten!AH867="Ja",1,0),"")</f>
        <v/>
      </c>
      <c r="AA862" s="1" t="str">
        <f>IF(AND(Programme_Grunddaten!$A867="Geprüft",Programme_Grunddaten!AI867&lt;&gt;""),IF(Programme_Grunddaten!AI867="Ja",1,0),"")</f>
        <v/>
      </c>
      <c r="AB862" s="1" t="str">
        <f>IF(AND(Programme_Grunddaten!$A867="Geprüft",Programme_Grunddaten!AJ867&lt;&gt;""),IF(Programme_Grunddaten!AJ867="individuell programmierbar",1,0),"")</f>
        <v/>
      </c>
      <c r="AC862" s="1" t="str">
        <f>IF(AND(Programme_Grunddaten!$A867="Geprüft",Programme_Grunddaten!AK867&lt;&gt;""),IF(Programme_Grunddaten!AK867="Deutsch",0,IF(Programme_Grunddaten!AK867="Deutsch und Englisch",1,2)),"")</f>
        <v/>
      </c>
      <c r="AD862" s="1" t="str">
        <f>IF(AND(Programme_Grunddaten!$A867="Geprüft",Programme_Grunddaten!AL867&lt;&gt;""),IF(Programme_Grunddaten!AL867="Ja",1,0),"")</f>
        <v/>
      </c>
      <c r="AE862" s="1" t="str">
        <f>IF(AND(Programme_Grunddaten!$A867="Geprüft",Programme_Grunddaten!AM867&lt;&gt;""),IF(Programme_Grunddaten!AM867="Ja",1,0),"")</f>
        <v/>
      </c>
      <c r="AF862" s="1" t="str">
        <f>IF(AND(Programme_Grunddaten!$A867="Geprüft",Programme_Grunddaten!AN867&lt;&gt;""),IF(Programme_Grunddaten!AN867="Ja",1,0),"")</f>
        <v/>
      </c>
      <c r="AG862" s="1" t="str">
        <f>IF(AND(Programme_Grunddaten!$A867="Geprüft",Programme_Grunddaten!AO867&lt;&gt;""),IF(Programme_Grunddaten!AO867="Ja",1,0),"")</f>
        <v/>
      </c>
      <c r="AH862" s="1" t="str">
        <f>IF(AND(Programme_Grunddaten!$A867="Geprüft",Programme_Grunddaten!AP867&lt;&gt;""),IF(Programme_Grunddaten!AP867="Ja",1,0),"")</f>
        <v/>
      </c>
      <c r="AI862" s="1" t="str">
        <f>IF(AND(Programme_Grunddaten!$A867="Geprüft",Programme_Grunddaten!AQ867&lt;&gt;""),IF(Programme_Grunddaten!AQ867="Ja",1,0),"")</f>
        <v/>
      </c>
      <c r="AJ862" s="1" t="str">
        <f>IF(AND(Programme_Grunddaten!$A867="Geprüft",Programme_Grunddaten!AR867&lt;&gt;""),IF(Programme_Grunddaten!AR867="Ja",1,0),"")</f>
        <v/>
      </c>
      <c r="AK862" s="1" t="str">
        <f>IF(AND(Programme_Grunddaten!$A867="Geprüft",Programme_Grunddaten!AS867&lt;&gt;""),IF(Programme_Grunddaten!AS867="Ja",1,0),"")</f>
        <v/>
      </c>
      <c r="AL862" s="1" t="str">
        <f>IF(AND(Programme_Grunddaten!$A867="Geprüft",Programme_Grunddaten!AT867&lt;&gt;""),IF(Programme_Grunddaten!AT867="Ja",1,0),"")</f>
        <v/>
      </c>
      <c r="AM862" s="1" t="str">
        <f>IF(AND(Programme_Grunddaten!$A867="Geprüft",Programme_Grunddaten!AU867&lt;&gt;""),IF(Programme_Grunddaten!AU867="Ja",1,0),"")</f>
        <v/>
      </c>
      <c r="AN862" s="1" t="str">
        <f>IF(AND(Programme_Grunddaten!$A867="Geprüft",Programme_Grunddaten!AV867&lt;&gt;""),IF(Programme_Grunddaten!AV867="Ja",1,0),"")</f>
        <v/>
      </c>
    </row>
    <row r="863" spans="1:40" x14ac:dyDescent="0.3">
      <c r="A863" s="1" t="str">
        <f>IF(AND(Programme_Grunddaten!A868="Geprüft",Programme_Grunddaten!B868&lt;&gt;""),Programme_Grunddaten!B868,"")</f>
        <v/>
      </c>
      <c r="B863" s="1" t="str">
        <f>IF(AND(Programme_Grunddaten!$A868="Geprüft",Programme_Grunddaten!I868&lt;&gt;""),IF(Programme_Grunddaten!I868="Ja",1,0),"")</f>
        <v/>
      </c>
      <c r="C863" s="1" t="str">
        <f>IF(AND(Programme_Grunddaten!$A868="Geprüft",Programme_Grunddaten!J868&lt;&gt;""),IF(Programme_Grunddaten!J868="Ja",1,0),"")</f>
        <v/>
      </c>
      <c r="D863" s="1" t="str">
        <f>IF(AND(Programme_Grunddaten!$A868="Geprüft",Programme_Grunddaten!K868&lt;&gt;""),IF(Programme_Grunddaten!K868="Ja",1,0),"")</f>
        <v/>
      </c>
      <c r="E863" s="1" t="str">
        <f>IF(AND(Programme_Grunddaten!$A868="Geprüft",Programme_Grunddaten!L868&lt;&gt;""),IF(Programme_Grunddaten!L868="Abo / befristete Lizenz",1,0),"")</f>
        <v/>
      </c>
      <c r="F863" s="1" t="str">
        <f>IF(AND(Programme_Grunddaten!$A868="Geprüft",Programme_Grunddaten!M868&lt;&gt;""),IF(Programme_Grunddaten!M868="Ja",1,0),"")</f>
        <v/>
      </c>
      <c r="G863" s="1" t="str">
        <f>IF(AND(Programme_Grunddaten!$A868="Geprüft",Programme_Grunddaten!N868&lt;&gt;""),IF(Programme_Grunddaten!N868="Ja",1,0),"")</f>
        <v/>
      </c>
      <c r="H863" s="1" t="str">
        <f>IF(AND(Programme_Grunddaten!$A868="Geprüft",Programme_Grunddaten!O868&lt;&gt;""),IF(Programme_Grunddaten!O868="Deutschland",0,IF(Programme_Grunddaten!O868="EU",1,2)),"")</f>
        <v/>
      </c>
      <c r="I863" s="1" t="str">
        <f>IF(AND(Programme_Grunddaten!$A868="Geprüft",Programme_Grunddaten!P868&lt;&gt;""),IF(Programme_Grunddaten!P868="Ja",1,0),"")</f>
        <v/>
      </c>
      <c r="J863" s="1" t="str">
        <f>IF(AND(Programme_Grunddaten!$A868="Geprüft",Programme_Grunddaten!Q868&lt;&gt;""),IF(Programme_Grunddaten!Q868="geschlossenes System",1,0),"")</f>
        <v/>
      </c>
      <c r="K863" s="1" t="str">
        <f>IF(AND(Programme_Grunddaten!$A868="Geprüft",Programme_Grunddaten!R868&lt;&gt;""),IF(Programme_Grunddaten!R868="Ja",1,0),"")</f>
        <v/>
      </c>
      <c r="L863" s="1" t="str">
        <f>IF(AND(Programme_Grunddaten!$A868="Geprüft",Programme_Grunddaten!T868&lt;&gt;""),IF(Programme_Grunddaten!T868="Ja",1,0),"")</f>
        <v/>
      </c>
      <c r="M863" s="1" t="str">
        <f>IF(AND(Programme_Grunddaten!$A868="Geprüft",Programme_Grunddaten!U868&lt;&gt;""),IF(Programme_Grunddaten!U868="Ja",1,0),"")</f>
        <v/>
      </c>
      <c r="N863" s="1" t="str">
        <f>IF(AND(Programme_Grunddaten!$A868="Geprüft",Programme_Grunddaten!V868&lt;&gt;""),IF(Programme_Grunddaten!V868="Ja",1,0),"")</f>
        <v/>
      </c>
      <c r="O863" s="1" t="str">
        <f>IF(AND(Programme_Grunddaten!$A868="Geprüft",Programme_Grunddaten!W868&lt;&gt;""),IF(Programme_Grunddaten!W868="Ja",1,0),"")</f>
        <v/>
      </c>
      <c r="P863" s="1" t="str">
        <f>IF(AND(Programme_Grunddaten!$A868="Geprüft",Programme_Grunddaten!X868&lt;&gt;""),IF(Programme_Grunddaten!X868="Ja",1,0),"")</f>
        <v/>
      </c>
      <c r="Q863" s="1" t="str">
        <f>IF(AND(Programme_Grunddaten!$A868="Geprüft",Programme_Grunddaten!Y868&lt;&gt;""),IF(Programme_Grunddaten!Y868="Ja",1,0),"")</f>
        <v/>
      </c>
      <c r="R863" s="1" t="str">
        <f>IF(AND(Programme_Grunddaten!$A868="Geprüft",Programme_Grunddaten!Z868&lt;&gt;""),IF(Programme_Grunddaten!Z868="Ja",1,0),"")</f>
        <v/>
      </c>
      <c r="S863" s="1" t="str">
        <f>IF(AND(Programme_Grunddaten!$A868="Geprüft",Programme_Grunddaten!AA868&lt;&gt;""),IF(Programme_Grunddaten!AA868="monolithisch",1,0),"")</f>
        <v/>
      </c>
      <c r="T863" s="1" t="str">
        <f>IF(AND(Programme_Grunddaten!$A868="Geprüft",Programme_Grunddaten!AB868&lt;&gt;""),IF(Programme_Grunddaten!AB868="Ja",1,0),"")</f>
        <v/>
      </c>
      <c r="U863" s="1" t="str">
        <f>IF(AND(Programme_Grunddaten!$A868="Geprüft",Programme_Grunddaten!AC868&lt;&gt;""),IF(Programme_Grunddaten!AC868="Ja",1,0),"")</f>
        <v/>
      </c>
      <c r="V863" s="1" t="str">
        <f>IF(AND(Programme_Grunddaten!$A868="Geprüft",Programme_Grunddaten!AD868&lt;&gt;""),IF(Programme_Grunddaten!AD868="Ja",1,0),"")</f>
        <v/>
      </c>
      <c r="W863" s="1" t="str">
        <f>IF(AND(Programme_Grunddaten!$A868="Geprüft",Programme_Grunddaten!AE868&lt;&gt;""),IF(Programme_Grunddaten!AE868="Ja",1,0),"")</f>
        <v/>
      </c>
      <c r="X863" s="1" t="str">
        <f>IF(AND(Programme_Grunddaten!$A868="Geprüft",Programme_Grunddaten!AF868&lt;&gt;""),IF(Programme_Grunddaten!AF868="Ja",1,0),"")</f>
        <v/>
      </c>
      <c r="Y863" s="1" t="str">
        <f>IF(AND(Programme_Grunddaten!$A868="Geprüft",Programme_Grunddaten!AG868&lt;&gt;""),IF(Programme_Grunddaten!AG868="Ja",1,0),"")</f>
        <v/>
      </c>
      <c r="Z863" s="1" t="str">
        <f>IF(AND(Programme_Grunddaten!$A868="Geprüft",Programme_Grunddaten!AH868&lt;&gt;""),IF(Programme_Grunddaten!AH868="Ja",1,0),"")</f>
        <v/>
      </c>
      <c r="AA863" s="1" t="str">
        <f>IF(AND(Programme_Grunddaten!$A868="Geprüft",Programme_Grunddaten!AI868&lt;&gt;""),IF(Programme_Grunddaten!AI868="Ja",1,0),"")</f>
        <v/>
      </c>
      <c r="AB863" s="1" t="str">
        <f>IF(AND(Programme_Grunddaten!$A868="Geprüft",Programme_Grunddaten!AJ868&lt;&gt;""),IF(Programme_Grunddaten!AJ868="individuell programmierbar",1,0),"")</f>
        <v/>
      </c>
      <c r="AC863" s="1" t="str">
        <f>IF(AND(Programme_Grunddaten!$A868="Geprüft",Programme_Grunddaten!AK868&lt;&gt;""),IF(Programme_Grunddaten!AK868="Deutsch",0,IF(Programme_Grunddaten!AK868="Deutsch und Englisch",1,2)),"")</f>
        <v/>
      </c>
      <c r="AD863" s="1" t="str">
        <f>IF(AND(Programme_Grunddaten!$A868="Geprüft",Programme_Grunddaten!AL868&lt;&gt;""),IF(Programme_Grunddaten!AL868="Ja",1,0),"")</f>
        <v/>
      </c>
      <c r="AE863" s="1" t="str">
        <f>IF(AND(Programme_Grunddaten!$A868="Geprüft",Programme_Grunddaten!AM868&lt;&gt;""),IF(Programme_Grunddaten!AM868="Ja",1,0),"")</f>
        <v/>
      </c>
      <c r="AF863" s="1" t="str">
        <f>IF(AND(Programme_Grunddaten!$A868="Geprüft",Programme_Grunddaten!AN868&lt;&gt;""),IF(Programme_Grunddaten!AN868="Ja",1,0),"")</f>
        <v/>
      </c>
      <c r="AG863" s="1" t="str">
        <f>IF(AND(Programme_Grunddaten!$A868="Geprüft",Programme_Grunddaten!AO868&lt;&gt;""),IF(Programme_Grunddaten!AO868="Ja",1,0),"")</f>
        <v/>
      </c>
      <c r="AH863" s="1" t="str">
        <f>IF(AND(Programme_Grunddaten!$A868="Geprüft",Programme_Grunddaten!AP868&lt;&gt;""),IF(Programme_Grunddaten!AP868="Ja",1,0),"")</f>
        <v/>
      </c>
      <c r="AI863" s="1" t="str">
        <f>IF(AND(Programme_Grunddaten!$A868="Geprüft",Programme_Grunddaten!AQ868&lt;&gt;""),IF(Programme_Grunddaten!AQ868="Ja",1,0),"")</f>
        <v/>
      </c>
      <c r="AJ863" s="1" t="str">
        <f>IF(AND(Programme_Grunddaten!$A868="Geprüft",Programme_Grunddaten!AR868&lt;&gt;""),IF(Programme_Grunddaten!AR868="Ja",1,0),"")</f>
        <v/>
      </c>
      <c r="AK863" s="1" t="str">
        <f>IF(AND(Programme_Grunddaten!$A868="Geprüft",Programme_Grunddaten!AS868&lt;&gt;""),IF(Programme_Grunddaten!AS868="Ja",1,0),"")</f>
        <v/>
      </c>
      <c r="AL863" s="1" t="str">
        <f>IF(AND(Programme_Grunddaten!$A868="Geprüft",Programme_Grunddaten!AT868&lt;&gt;""),IF(Programme_Grunddaten!AT868="Ja",1,0),"")</f>
        <v/>
      </c>
      <c r="AM863" s="1" t="str">
        <f>IF(AND(Programme_Grunddaten!$A868="Geprüft",Programme_Grunddaten!AU868&lt;&gt;""),IF(Programme_Grunddaten!AU868="Ja",1,0),"")</f>
        <v/>
      </c>
      <c r="AN863" s="1" t="str">
        <f>IF(AND(Programme_Grunddaten!$A868="Geprüft",Programme_Grunddaten!AV868&lt;&gt;""),IF(Programme_Grunddaten!AV868="Ja",1,0),"")</f>
        <v/>
      </c>
    </row>
    <row r="864" spans="1:40" x14ac:dyDescent="0.3">
      <c r="A864" s="1" t="str">
        <f>IF(AND(Programme_Grunddaten!A869="Geprüft",Programme_Grunddaten!B869&lt;&gt;""),Programme_Grunddaten!B869,"")</f>
        <v/>
      </c>
      <c r="B864" s="1" t="str">
        <f>IF(AND(Programme_Grunddaten!$A869="Geprüft",Programme_Grunddaten!I869&lt;&gt;""),IF(Programme_Grunddaten!I869="Ja",1,0),"")</f>
        <v/>
      </c>
      <c r="C864" s="1" t="str">
        <f>IF(AND(Programme_Grunddaten!$A869="Geprüft",Programme_Grunddaten!J869&lt;&gt;""),IF(Programme_Grunddaten!J869="Ja",1,0),"")</f>
        <v/>
      </c>
      <c r="D864" s="1" t="str">
        <f>IF(AND(Programme_Grunddaten!$A869="Geprüft",Programme_Grunddaten!K869&lt;&gt;""),IF(Programme_Grunddaten!K869="Ja",1,0),"")</f>
        <v/>
      </c>
      <c r="E864" s="1" t="str">
        <f>IF(AND(Programme_Grunddaten!$A869="Geprüft",Programme_Grunddaten!L869&lt;&gt;""),IF(Programme_Grunddaten!L869="Abo / befristete Lizenz",1,0),"")</f>
        <v/>
      </c>
      <c r="F864" s="1" t="str">
        <f>IF(AND(Programme_Grunddaten!$A869="Geprüft",Programme_Grunddaten!M869&lt;&gt;""),IF(Programme_Grunddaten!M869="Ja",1,0),"")</f>
        <v/>
      </c>
      <c r="G864" s="1" t="str">
        <f>IF(AND(Programme_Grunddaten!$A869="Geprüft",Programme_Grunddaten!N869&lt;&gt;""),IF(Programme_Grunddaten!N869="Ja",1,0),"")</f>
        <v/>
      </c>
      <c r="H864" s="1" t="str">
        <f>IF(AND(Programme_Grunddaten!$A869="Geprüft",Programme_Grunddaten!O869&lt;&gt;""),IF(Programme_Grunddaten!O869="Deutschland",0,IF(Programme_Grunddaten!O869="EU",1,2)),"")</f>
        <v/>
      </c>
      <c r="I864" s="1" t="str">
        <f>IF(AND(Programme_Grunddaten!$A869="Geprüft",Programme_Grunddaten!P869&lt;&gt;""),IF(Programme_Grunddaten!P869="Ja",1,0),"")</f>
        <v/>
      </c>
      <c r="J864" s="1" t="str">
        <f>IF(AND(Programme_Grunddaten!$A869="Geprüft",Programme_Grunddaten!Q869&lt;&gt;""),IF(Programme_Grunddaten!Q869="geschlossenes System",1,0),"")</f>
        <v/>
      </c>
      <c r="K864" s="1" t="str">
        <f>IF(AND(Programme_Grunddaten!$A869="Geprüft",Programme_Grunddaten!R869&lt;&gt;""),IF(Programme_Grunddaten!R869="Ja",1,0),"")</f>
        <v/>
      </c>
      <c r="L864" s="1" t="str">
        <f>IF(AND(Programme_Grunddaten!$A869="Geprüft",Programme_Grunddaten!T869&lt;&gt;""),IF(Programme_Grunddaten!T869="Ja",1,0),"")</f>
        <v/>
      </c>
      <c r="M864" s="1" t="str">
        <f>IF(AND(Programme_Grunddaten!$A869="Geprüft",Programme_Grunddaten!U869&lt;&gt;""),IF(Programme_Grunddaten!U869="Ja",1,0),"")</f>
        <v/>
      </c>
      <c r="N864" s="1" t="str">
        <f>IF(AND(Programme_Grunddaten!$A869="Geprüft",Programme_Grunddaten!V869&lt;&gt;""),IF(Programme_Grunddaten!V869="Ja",1,0),"")</f>
        <v/>
      </c>
      <c r="O864" s="1" t="str">
        <f>IF(AND(Programme_Grunddaten!$A869="Geprüft",Programme_Grunddaten!W869&lt;&gt;""),IF(Programme_Grunddaten!W869="Ja",1,0),"")</f>
        <v/>
      </c>
      <c r="P864" s="1" t="str">
        <f>IF(AND(Programme_Grunddaten!$A869="Geprüft",Programme_Grunddaten!X869&lt;&gt;""),IF(Programme_Grunddaten!X869="Ja",1,0),"")</f>
        <v/>
      </c>
      <c r="Q864" s="1" t="str">
        <f>IF(AND(Programme_Grunddaten!$A869="Geprüft",Programme_Grunddaten!Y869&lt;&gt;""),IF(Programme_Grunddaten!Y869="Ja",1,0),"")</f>
        <v/>
      </c>
      <c r="R864" s="1" t="str">
        <f>IF(AND(Programme_Grunddaten!$A869="Geprüft",Programme_Grunddaten!Z869&lt;&gt;""),IF(Programme_Grunddaten!Z869="Ja",1,0),"")</f>
        <v/>
      </c>
      <c r="S864" s="1" t="str">
        <f>IF(AND(Programme_Grunddaten!$A869="Geprüft",Programme_Grunddaten!AA869&lt;&gt;""),IF(Programme_Grunddaten!AA869="monolithisch",1,0),"")</f>
        <v/>
      </c>
      <c r="T864" s="1" t="str">
        <f>IF(AND(Programme_Grunddaten!$A869="Geprüft",Programme_Grunddaten!AB869&lt;&gt;""),IF(Programme_Grunddaten!AB869="Ja",1,0),"")</f>
        <v/>
      </c>
      <c r="U864" s="1" t="str">
        <f>IF(AND(Programme_Grunddaten!$A869="Geprüft",Programme_Grunddaten!AC869&lt;&gt;""),IF(Programme_Grunddaten!AC869="Ja",1,0),"")</f>
        <v/>
      </c>
      <c r="V864" s="1" t="str">
        <f>IF(AND(Programme_Grunddaten!$A869="Geprüft",Programme_Grunddaten!AD869&lt;&gt;""),IF(Programme_Grunddaten!AD869="Ja",1,0),"")</f>
        <v/>
      </c>
      <c r="W864" s="1" t="str">
        <f>IF(AND(Programme_Grunddaten!$A869="Geprüft",Programme_Grunddaten!AE869&lt;&gt;""),IF(Programme_Grunddaten!AE869="Ja",1,0),"")</f>
        <v/>
      </c>
      <c r="X864" s="1" t="str">
        <f>IF(AND(Programme_Grunddaten!$A869="Geprüft",Programme_Grunddaten!AF869&lt;&gt;""),IF(Programme_Grunddaten!AF869="Ja",1,0),"")</f>
        <v/>
      </c>
      <c r="Y864" s="1" t="str">
        <f>IF(AND(Programme_Grunddaten!$A869="Geprüft",Programme_Grunddaten!AG869&lt;&gt;""),IF(Programme_Grunddaten!AG869="Ja",1,0),"")</f>
        <v/>
      </c>
      <c r="Z864" s="1" t="str">
        <f>IF(AND(Programme_Grunddaten!$A869="Geprüft",Programme_Grunddaten!AH869&lt;&gt;""),IF(Programme_Grunddaten!AH869="Ja",1,0),"")</f>
        <v/>
      </c>
      <c r="AA864" s="1" t="str">
        <f>IF(AND(Programme_Grunddaten!$A869="Geprüft",Programme_Grunddaten!AI869&lt;&gt;""),IF(Programme_Grunddaten!AI869="Ja",1,0),"")</f>
        <v/>
      </c>
      <c r="AB864" s="1" t="str">
        <f>IF(AND(Programme_Grunddaten!$A869="Geprüft",Programme_Grunddaten!AJ869&lt;&gt;""),IF(Programme_Grunddaten!AJ869="individuell programmierbar",1,0),"")</f>
        <v/>
      </c>
      <c r="AC864" s="1" t="str">
        <f>IF(AND(Programme_Grunddaten!$A869="Geprüft",Programme_Grunddaten!AK869&lt;&gt;""),IF(Programme_Grunddaten!AK869="Deutsch",0,IF(Programme_Grunddaten!AK869="Deutsch und Englisch",1,2)),"")</f>
        <v/>
      </c>
      <c r="AD864" s="1" t="str">
        <f>IF(AND(Programme_Grunddaten!$A869="Geprüft",Programme_Grunddaten!AL869&lt;&gt;""),IF(Programme_Grunddaten!AL869="Ja",1,0),"")</f>
        <v/>
      </c>
      <c r="AE864" s="1" t="str">
        <f>IF(AND(Programme_Grunddaten!$A869="Geprüft",Programme_Grunddaten!AM869&lt;&gt;""),IF(Programme_Grunddaten!AM869="Ja",1,0),"")</f>
        <v/>
      </c>
      <c r="AF864" s="1" t="str">
        <f>IF(AND(Programme_Grunddaten!$A869="Geprüft",Programme_Grunddaten!AN869&lt;&gt;""),IF(Programme_Grunddaten!AN869="Ja",1,0),"")</f>
        <v/>
      </c>
      <c r="AG864" s="1" t="str">
        <f>IF(AND(Programme_Grunddaten!$A869="Geprüft",Programme_Grunddaten!AO869&lt;&gt;""),IF(Programme_Grunddaten!AO869="Ja",1,0),"")</f>
        <v/>
      </c>
      <c r="AH864" s="1" t="str">
        <f>IF(AND(Programme_Grunddaten!$A869="Geprüft",Programme_Grunddaten!AP869&lt;&gt;""),IF(Programme_Grunddaten!AP869="Ja",1,0),"")</f>
        <v/>
      </c>
      <c r="AI864" s="1" t="str">
        <f>IF(AND(Programme_Grunddaten!$A869="Geprüft",Programme_Grunddaten!AQ869&lt;&gt;""),IF(Programme_Grunddaten!AQ869="Ja",1,0),"")</f>
        <v/>
      </c>
      <c r="AJ864" s="1" t="str">
        <f>IF(AND(Programme_Grunddaten!$A869="Geprüft",Programme_Grunddaten!AR869&lt;&gt;""),IF(Programme_Grunddaten!AR869="Ja",1,0),"")</f>
        <v/>
      </c>
      <c r="AK864" s="1" t="str">
        <f>IF(AND(Programme_Grunddaten!$A869="Geprüft",Programme_Grunddaten!AS869&lt;&gt;""),IF(Programme_Grunddaten!AS869="Ja",1,0),"")</f>
        <v/>
      </c>
      <c r="AL864" s="1" t="str">
        <f>IF(AND(Programme_Grunddaten!$A869="Geprüft",Programme_Grunddaten!AT869&lt;&gt;""),IF(Programme_Grunddaten!AT869="Ja",1,0),"")</f>
        <v/>
      </c>
      <c r="AM864" s="1" t="str">
        <f>IF(AND(Programme_Grunddaten!$A869="Geprüft",Programme_Grunddaten!AU869&lt;&gt;""),IF(Programme_Grunddaten!AU869="Ja",1,0),"")</f>
        <v/>
      </c>
      <c r="AN864" s="1" t="str">
        <f>IF(AND(Programme_Grunddaten!$A869="Geprüft",Programme_Grunddaten!AV869&lt;&gt;""),IF(Programme_Grunddaten!AV869="Ja",1,0),"")</f>
        <v/>
      </c>
    </row>
    <row r="865" spans="1:40" x14ac:dyDescent="0.3">
      <c r="A865" s="1" t="str">
        <f>IF(AND(Programme_Grunddaten!A870="Geprüft",Programme_Grunddaten!B870&lt;&gt;""),Programme_Grunddaten!B870,"")</f>
        <v/>
      </c>
      <c r="B865" s="1" t="str">
        <f>IF(AND(Programme_Grunddaten!$A870="Geprüft",Programme_Grunddaten!I870&lt;&gt;""),IF(Programme_Grunddaten!I870="Ja",1,0),"")</f>
        <v/>
      </c>
      <c r="C865" s="1" t="str">
        <f>IF(AND(Programme_Grunddaten!$A870="Geprüft",Programme_Grunddaten!J870&lt;&gt;""),IF(Programme_Grunddaten!J870="Ja",1,0),"")</f>
        <v/>
      </c>
      <c r="D865" s="1" t="str">
        <f>IF(AND(Programme_Grunddaten!$A870="Geprüft",Programme_Grunddaten!K870&lt;&gt;""),IF(Programme_Grunddaten!K870="Ja",1,0),"")</f>
        <v/>
      </c>
      <c r="E865" s="1" t="str">
        <f>IF(AND(Programme_Grunddaten!$A870="Geprüft",Programme_Grunddaten!L870&lt;&gt;""),IF(Programme_Grunddaten!L870="Abo / befristete Lizenz",1,0),"")</f>
        <v/>
      </c>
      <c r="F865" s="1" t="str">
        <f>IF(AND(Programme_Grunddaten!$A870="Geprüft",Programme_Grunddaten!M870&lt;&gt;""),IF(Programme_Grunddaten!M870="Ja",1,0),"")</f>
        <v/>
      </c>
      <c r="G865" s="1" t="str">
        <f>IF(AND(Programme_Grunddaten!$A870="Geprüft",Programme_Grunddaten!N870&lt;&gt;""),IF(Programme_Grunddaten!N870="Ja",1,0),"")</f>
        <v/>
      </c>
      <c r="H865" s="1" t="str">
        <f>IF(AND(Programme_Grunddaten!$A870="Geprüft",Programme_Grunddaten!O870&lt;&gt;""),IF(Programme_Grunddaten!O870="Deutschland",0,IF(Programme_Grunddaten!O870="EU",1,2)),"")</f>
        <v/>
      </c>
      <c r="I865" s="1" t="str">
        <f>IF(AND(Programme_Grunddaten!$A870="Geprüft",Programme_Grunddaten!P870&lt;&gt;""),IF(Programme_Grunddaten!P870="Ja",1,0),"")</f>
        <v/>
      </c>
      <c r="J865" s="1" t="str">
        <f>IF(AND(Programme_Grunddaten!$A870="Geprüft",Programme_Grunddaten!Q870&lt;&gt;""),IF(Programme_Grunddaten!Q870="geschlossenes System",1,0),"")</f>
        <v/>
      </c>
      <c r="K865" s="1" t="str">
        <f>IF(AND(Programme_Grunddaten!$A870="Geprüft",Programme_Grunddaten!R870&lt;&gt;""),IF(Programme_Grunddaten!R870="Ja",1,0),"")</f>
        <v/>
      </c>
      <c r="L865" s="1" t="str">
        <f>IF(AND(Programme_Grunddaten!$A870="Geprüft",Programme_Grunddaten!T870&lt;&gt;""),IF(Programme_Grunddaten!T870="Ja",1,0),"")</f>
        <v/>
      </c>
      <c r="M865" s="1" t="str">
        <f>IF(AND(Programme_Grunddaten!$A870="Geprüft",Programme_Grunddaten!U870&lt;&gt;""),IF(Programme_Grunddaten!U870="Ja",1,0),"")</f>
        <v/>
      </c>
      <c r="N865" s="1" t="str">
        <f>IF(AND(Programme_Grunddaten!$A870="Geprüft",Programme_Grunddaten!V870&lt;&gt;""),IF(Programme_Grunddaten!V870="Ja",1,0),"")</f>
        <v/>
      </c>
      <c r="O865" s="1" t="str">
        <f>IF(AND(Programme_Grunddaten!$A870="Geprüft",Programme_Grunddaten!W870&lt;&gt;""),IF(Programme_Grunddaten!W870="Ja",1,0),"")</f>
        <v/>
      </c>
      <c r="P865" s="1" t="str">
        <f>IF(AND(Programme_Grunddaten!$A870="Geprüft",Programme_Grunddaten!X870&lt;&gt;""),IF(Programme_Grunddaten!X870="Ja",1,0),"")</f>
        <v/>
      </c>
      <c r="Q865" s="1" t="str">
        <f>IF(AND(Programme_Grunddaten!$A870="Geprüft",Programme_Grunddaten!Y870&lt;&gt;""),IF(Programme_Grunddaten!Y870="Ja",1,0),"")</f>
        <v/>
      </c>
      <c r="R865" s="1" t="str">
        <f>IF(AND(Programme_Grunddaten!$A870="Geprüft",Programme_Grunddaten!Z870&lt;&gt;""),IF(Programme_Grunddaten!Z870="Ja",1,0),"")</f>
        <v/>
      </c>
      <c r="S865" s="1" t="str">
        <f>IF(AND(Programme_Grunddaten!$A870="Geprüft",Programme_Grunddaten!AA870&lt;&gt;""),IF(Programme_Grunddaten!AA870="monolithisch",1,0),"")</f>
        <v/>
      </c>
      <c r="T865" s="1" t="str">
        <f>IF(AND(Programme_Grunddaten!$A870="Geprüft",Programme_Grunddaten!AB870&lt;&gt;""),IF(Programme_Grunddaten!AB870="Ja",1,0),"")</f>
        <v/>
      </c>
      <c r="U865" s="1" t="str">
        <f>IF(AND(Programme_Grunddaten!$A870="Geprüft",Programme_Grunddaten!AC870&lt;&gt;""),IF(Programme_Grunddaten!AC870="Ja",1,0),"")</f>
        <v/>
      </c>
      <c r="V865" s="1" t="str">
        <f>IF(AND(Programme_Grunddaten!$A870="Geprüft",Programme_Grunddaten!AD870&lt;&gt;""),IF(Programme_Grunddaten!AD870="Ja",1,0),"")</f>
        <v/>
      </c>
      <c r="W865" s="1" t="str">
        <f>IF(AND(Programme_Grunddaten!$A870="Geprüft",Programme_Grunddaten!AE870&lt;&gt;""),IF(Programme_Grunddaten!AE870="Ja",1,0),"")</f>
        <v/>
      </c>
      <c r="X865" s="1" t="str">
        <f>IF(AND(Programme_Grunddaten!$A870="Geprüft",Programme_Grunddaten!AF870&lt;&gt;""),IF(Programme_Grunddaten!AF870="Ja",1,0),"")</f>
        <v/>
      </c>
      <c r="Y865" s="1" t="str">
        <f>IF(AND(Programme_Grunddaten!$A870="Geprüft",Programme_Grunddaten!AG870&lt;&gt;""),IF(Programme_Grunddaten!AG870="Ja",1,0),"")</f>
        <v/>
      </c>
      <c r="Z865" s="1" t="str">
        <f>IF(AND(Programme_Grunddaten!$A870="Geprüft",Programme_Grunddaten!AH870&lt;&gt;""),IF(Programme_Grunddaten!AH870="Ja",1,0),"")</f>
        <v/>
      </c>
      <c r="AA865" s="1" t="str">
        <f>IF(AND(Programme_Grunddaten!$A870="Geprüft",Programme_Grunddaten!AI870&lt;&gt;""),IF(Programme_Grunddaten!AI870="Ja",1,0),"")</f>
        <v/>
      </c>
      <c r="AB865" s="1" t="str">
        <f>IF(AND(Programme_Grunddaten!$A870="Geprüft",Programme_Grunddaten!AJ870&lt;&gt;""),IF(Programme_Grunddaten!AJ870="individuell programmierbar",1,0),"")</f>
        <v/>
      </c>
      <c r="AC865" s="1" t="str">
        <f>IF(AND(Programme_Grunddaten!$A870="Geprüft",Programme_Grunddaten!AK870&lt;&gt;""),IF(Programme_Grunddaten!AK870="Deutsch",0,IF(Programme_Grunddaten!AK870="Deutsch und Englisch",1,2)),"")</f>
        <v/>
      </c>
      <c r="AD865" s="1" t="str">
        <f>IF(AND(Programme_Grunddaten!$A870="Geprüft",Programme_Grunddaten!AL870&lt;&gt;""),IF(Programme_Grunddaten!AL870="Ja",1,0),"")</f>
        <v/>
      </c>
      <c r="AE865" s="1" t="str">
        <f>IF(AND(Programme_Grunddaten!$A870="Geprüft",Programme_Grunddaten!AM870&lt;&gt;""),IF(Programme_Grunddaten!AM870="Ja",1,0),"")</f>
        <v/>
      </c>
      <c r="AF865" s="1" t="str">
        <f>IF(AND(Programme_Grunddaten!$A870="Geprüft",Programme_Grunddaten!AN870&lt;&gt;""),IF(Programme_Grunddaten!AN870="Ja",1,0),"")</f>
        <v/>
      </c>
      <c r="AG865" s="1" t="str">
        <f>IF(AND(Programme_Grunddaten!$A870="Geprüft",Programme_Grunddaten!AO870&lt;&gt;""),IF(Programme_Grunddaten!AO870="Ja",1,0),"")</f>
        <v/>
      </c>
      <c r="AH865" s="1" t="str">
        <f>IF(AND(Programme_Grunddaten!$A870="Geprüft",Programme_Grunddaten!AP870&lt;&gt;""),IF(Programme_Grunddaten!AP870="Ja",1,0),"")</f>
        <v/>
      </c>
      <c r="AI865" s="1" t="str">
        <f>IF(AND(Programme_Grunddaten!$A870="Geprüft",Programme_Grunddaten!AQ870&lt;&gt;""),IF(Programme_Grunddaten!AQ870="Ja",1,0),"")</f>
        <v/>
      </c>
      <c r="AJ865" s="1" t="str">
        <f>IF(AND(Programme_Grunddaten!$A870="Geprüft",Programme_Grunddaten!AR870&lt;&gt;""),IF(Programme_Grunddaten!AR870="Ja",1,0),"")</f>
        <v/>
      </c>
      <c r="AK865" s="1" t="str">
        <f>IF(AND(Programme_Grunddaten!$A870="Geprüft",Programme_Grunddaten!AS870&lt;&gt;""),IF(Programme_Grunddaten!AS870="Ja",1,0),"")</f>
        <v/>
      </c>
      <c r="AL865" s="1" t="str">
        <f>IF(AND(Programme_Grunddaten!$A870="Geprüft",Programme_Grunddaten!AT870&lt;&gt;""),IF(Programme_Grunddaten!AT870="Ja",1,0),"")</f>
        <v/>
      </c>
      <c r="AM865" s="1" t="str">
        <f>IF(AND(Programme_Grunddaten!$A870="Geprüft",Programme_Grunddaten!AU870&lt;&gt;""),IF(Programme_Grunddaten!AU870="Ja",1,0),"")</f>
        <v/>
      </c>
      <c r="AN865" s="1" t="str">
        <f>IF(AND(Programme_Grunddaten!$A870="Geprüft",Programme_Grunddaten!AV870&lt;&gt;""),IF(Programme_Grunddaten!AV870="Ja",1,0),"")</f>
        <v/>
      </c>
    </row>
    <row r="866" spans="1:40" x14ac:dyDescent="0.3">
      <c r="A866" s="1" t="str">
        <f>IF(AND(Programme_Grunddaten!A871="Geprüft",Programme_Grunddaten!B871&lt;&gt;""),Programme_Grunddaten!B871,"")</f>
        <v/>
      </c>
      <c r="B866" s="1" t="str">
        <f>IF(AND(Programme_Grunddaten!$A871="Geprüft",Programme_Grunddaten!I871&lt;&gt;""),IF(Programme_Grunddaten!I871="Ja",1,0),"")</f>
        <v/>
      </c>
      <c r="C866" s="1" t="str">
        <f>IF(AND(Programme_Grunddaten!$A871="Geprüft",Programme_Grunddaten!J871&lt;&gt;""),IF(Programme_Grunddaten!J871="Ja",1,0),"")</f>
        <v/>
      </c>
      <c r="D866" s="1" t="str">
        <f>IF(AND(Programme_Grunddaten!$A871="Geprüft",Programme_Grunddaten!K871&lt;&gt;""),IF(Programme_Grunddaten!K871="Ja",1,0),"")</f>
        <v/>
      </c>
      <c r="E866" s="1" t="str">
        <f>IF(AND(Programme_Grunddaten!$A871="Geprüft",Programme_Grunddaten!L871&lt;&gt;""),IF(Programme_Grunddaten!L871="Abo / befristete Lizenz",1,0),"")</f>
        <v/>
      </c>
      <c r="F866" s="1" t="str">
        <f>IF(AND(Programme_Grunddaten!$A871="Geprüft",Programme_Grunddaten!M871&lt;&gt;""),IF(Programme_Grunddaten!M871="Ja",1,0),"")</f>
        <v/>
      </c>
      <c r="G866" s="1" t="str">
        <f>IF(AND(Programme_Grunddaten!$A871="Geprüft",Programme_Grunddaten!N871&lt;&gt;""),IF(Programme_Grunddaten!N871="Ja",1,0),"")</f>
        <v/>
      </c>
      <c r="H866" s="1" t="str">
        <f>IF(AND(Programme_Grunddaten!$A871="Geprüft",Programme_Grunddaten!O871&lt;&gt;""),IF(Programme_Grunddaten!O871="Deutschland",0,IF(Programme_Grunddaten!O871="EU",1,2)),"")</f>
        <v/>
      </c>
      <c r="I866" s="1" t="str">
        <f>IF(AND(Programme_Grunddaten!$A871="Geprüft",Programme_Grunddaten!P871&lt;&gt;""),IF(Programme_Grunddaten!P871="Ja",1,0),"")</f>
        <v/>
      </c>
      <c r="J866" s="1" t="str">
        <f>IF(AND(Programme_Grunddaten!$A871="Geprüft",Programme_Grunddaten!Q871&lt;&gt;""),IF(Programme_Grunddaten!Q871="geschlossenes System",1,0),"")</f>
        <v/>
      </c>
      <c r="K866" s="1" t="str">
        <f>IF(AND(Programme_Grunddaten!$A871="Geprüft",Programme_Grunddaten!R871&lt;&gt;""),IF(Programme_Grunddaten!R871="Ja",1,0),"")</f>
        <v/>
      </c>
      <c r="L866" s="1" t="str">
        <f>IF(AND(Programme_Grunddaten!$A871="Geprüft",Programme_Grunddaten!T871&lt;&gt;""),IF(Programme_Grunddaten!T871="Ja",1,0),"")</f>
        <v/>
      </c>
      <c r="M866" s="1" t="str">
        <f>IF(AND(Programme_Grunddaten!$A871="Geprüft",Programme_Grunddaten!U871&lt;&gt;""),IF(Programme_Grunddaten!U871="Ja",1,0),"")</f>
        <v/>
      </c>
      <c r="N866" s="1" t="str">
        <f>IF(AND(Programme_Grunddaten!$A871="Geprüft",Programme_Grunddaten!V871&lt;&gt;""),IF(Programme_Grunddaten!V871="Ja",1,0),"")</f>
        <v/>
      </c>
      <c r="O866" s="1" t="str">
        <f>IF(AND(Programme_Grunddaten!$A871="Geprüft",Programme_Grunddaten!W871&lt;&gt;""),IF(Programme_Grunddaten!W871="Ja",1,0),"")</f>
        <v/>
      </c>
      <c r="P866" s="1" t="str">
        <f>IF(AND(Programme_Grunddaten!$A871="Geprüft",Programme_Grunddaten!X871&lt;&gt;""),IF(Programme_Grunddaten!X871="Ja",1,0),"")</f>
        <v/>
      </c>
      <c r="Q866" s="1" t="str">
        <f>IF(AND(Programme_Grunddaten!$A871="Geprüft",Programme_Grunddaten!Y871&lt;&gt;""),IF(Programme_Grunddaten!Y871="Ja",1,0),"")</f>
        <v/>
      </c>
      <c r="R866" s="1" t="str">
        <f>IF(AND(Programme_Grunddaten!$A871="Geprüft",Programme_Grunddaten!Z871&lt;&gt;""),IF(Programme_Grunddaten!Z871="Ja",1,0),"")</f>
        <v/>
      </c>
      <c r="S866" s="1" t="str">
        <f>IF(AND(Programme_Grunddaten!$A871="Geprüft",Programme_Grunddaten!AA871&lt;&gt;""),IF(Programme_Grunddaten!AA871="monolithisch",1,0),"")</f>
        <v/>
      </c>
      <c r="T866" s="1" t="str">
        <f>IF(AND(Programme_Grunddaten!$A871="Geprüft",Programme_Grunddaten!AB871&lt;&gt;""),IF(Programme_Grunddaten!AB871="Ja",1,0),"")</f>
        <v/>
      </c>
      <c r="U866" s="1" t="str">
        <f>IF(AND(Programme_Grunddaten!$A871="Geprüft",Programme_Grunddaten!AC871&lt;&gt;""),IF(Programme_Grunddaten!AC871="Ja",1,0),"")</f>
        <v/>
      </c>
      <c r="V866" s="1" t="str">
        <f>IF(AND(Programme_Grunddaten!$A871="Geprüft",Programme_Grunddaten!AD871&lt;&gt;""),IF(Programme_Grunddaten!AD871="Ja",1,0),"")</f>
        <v/>
      </c>
      <c r="W866" s="1" t="str">
        <f>IF(AND(Programme_Grunddaten!$A871="Geprüft",Programme_Grunddaten!AE871&lt;&gt;""),IF(Programme_Grunddaten!AE871="Ja",1,0),"")</f>
        <v/>
      </c>
      <c r="X866" s="1" t="str">
        <f>IF(AND(Programme_Grunddaten!$A871="Geprüft",Programme_Grunddaten!AF871&lt;&gt;""),IF(Programme_Grunddaten!AF871="Ja",1,0),"")</f>
        <v/>
      </c>
      <c r="Y866" s="1" t="str">
        <f>IF(AND(Programme_Grunddaten!$A871="Geprüft",Programme_Grunddaten!AG871&lt;&gt;""),IF(Programme_Grunddaten!AG871="Ja",1,0),"")</f>
        <v/>
      </c>
      <c r="Z866" s="1" t="str">
        <f>IF(AND(Programme_Grunddaten!$A871="Geprüft",Programme_Grunddaten!AH871&lt;&gt;""),IF(Programme_Grunddaten!AH871="Ja",1,0),"")</f>
        <v/>
      </c>
      <c r="AA866" s="1" t="str">
        <f>IF(AND(Programme_Grunddaten!$A871="Geprüft",Programme_Grunddaten!AI871&lt;&gt;""),IF(Programme_Grunddaten!AI871="Ja",1,0),"")</f>
        <v/>
      </c>
      <c r="AB866" s="1" t="str">
        <f>IF(AND(Programme_Grunddaten!$A871="Geprüft",Programme_Grunddaten!AJ871&lt;&gt;""),IF(Programme_Grunddaten!AJ871="individuell programmierbar",1,0),"")</f>
        <v/>
      </c>
      <c r="AC866" s="1" t="str">
        <f>IF(AND(Programme_Grunddaten!$A871="Geprüft",Programme_Grunddaten!AK871&lt;&gt;""),IF(Programme_Grunddaten!AK871="Deutsch",0,IF(Programme_Grunddaten!AK871="Deutsch und Englisch",1,2)),"")</f>
        <v/>
      </c>
      <c r="AD866" s="1" t="str">
        <f>IF(AND(Programme_Grunddaten!$A871="Geprüft",Programme_Grunddaten!AL871&lt;&gt;""),IF(Programme_Grunddaten!AL871="Ja",1,0),"")</f>
        <v/>
      </c>
      <c r="AE866" s="1" t="str">
        <f>IF(AND(Programme_Grunddaten!$A871="Geprüft",Programme_Grunddaten!AM871&lt;&gt;""),IF(Programme_Grunddaten!AM871="Ja",1,0),"")</f>
        <v/>
      </c>
      <c r="AF866" s="1" t="str">
        <f>IF(AND(Programme_Grunddaten!$A871="Geprüft",Programme_Grunddaten!AN871&lt;&gt;""),IF(Programme_Grunddaten!AN871="Ja",1,0),"")</f>
        <v/>
      </c>
      <c r="AG866" s="1" t="str">
        <f>IF(AND(Programme_Grunddaten!$A871="Geprüft",Programme_Grunddaten!AO871&lt;&gt;""),IF(Programme_Grunddaten!AO871="Ja",1,0),"")</f>
        <v/>
      </c>
      <c r="AH866" s="1" t="str">
        <f>IF(AND(Programme_Grunddaten!$A871="Geprüft",Programme_Grunddaten!AP871&lt;&gt;""),IF(Programme_Grunddaten!AP871="Ja",1,0),"")</f>
        <v/>
      </c>
      <c r="AI866" s="1" t="str">
        <f>IF(AND(Programme_Grunddaten!$A871="Geprüft",Programme_Grunddaten!AQ871&lt;&gt;""),IF(Programme_Grunddaten!AQ871="Ja",1,0),"")</f>
        <v/>
      </c>
      <c r="AJ866" s="1" t="str">
        <f>IF(AND(Programme_Grunddaten!$A871="Geprüft",Programme_Grunddaten!AR871&lt;&gt;""),IF(Programme_Grunddaten!AR871="Ja",1,0),"")</f>
        <v/>
      </c>
      <c r="AK866" s="1" t="str">
        <f>IF(AND(Programme_Grunddaten!$A871="Geprüft",Programme_Grunddaten!AS871&lt;&gt;""),IF(Programme_Grunddaten!AS871="Ja",1,0),"")</f>
        <v/>
      </c>
      <c r="AL866" s="1" t="str">
        <f>IF(AND(Programme_Grunddaten!$A871="Geprüft",Programme_Grunddaten!AT871&lt;&gt;""),IF(Programme_Grunddaten!AT871="Ja",1,0),"")</f>
        <v/>
      </c>
      <c r="AM866" s="1" t="str">
        <f>IF(AND(Programme_Grunddaten!$A871="Geprüft",Programme_Grunddaten!AU871&lt;&gt;""),IF(Programme_Grunddaten!AU871="Ja",1,0),"")</f>
        <v/>
      </c>
      <c r="AN866" s="1" t="str">
        <f>IF(AND(Programme_Grunddaten!$A871="Geprüft",Programme_Grunddaten!AV871&lt;&gt;""),IF(Programme_Grunddaten!AV871="Ja",1,0),"")</f>
        <v/>
      </c>
    </row>
    <row r="867" spans="1:40" x14ac:dyDescent="0.3">
      <c r="A867" s="1" t="str">
        <f>IF(AND(Programme_Grunddaten!A872="Geprüft",Programme_Grunddaten!B872&lt;&gt;""),Programme_Grunddaten!B872,"")</f>
        <v/>
      </c>
      <c r="B867" s="1" t="str">
        <f>IF(AND(Programme_Grunddaten!$A872="Geprüft",Programme_Grunddaten!I872&lt;&gt;""),IF(Programme_Grunddaten!I872="Ja",1,0),"")</f>
        <v/>
      </c>
      <c r="C867" s="1" t="str">
        <f>IF(AND(Programme_Grunddaten!$A872="Geprüft",Programme_Grunddaten!J872&lt;&gt;""),IF(Programme_Grunddaten!J872="Ja",1,0),"")</f>
        <v/>
      </c>
      <c r="D867" s="1" t="str">
        <f>IF(AND(Programme_Grunddaten!$A872="Geprüft",Programme_Grunddaten!K872&lt;&gt;""),IF(Programme_Grunddaten!K872="Ja",1,0),"")</f>
        <v/>
      </c>
      <c r="E867" s="1" t="str">
        <f>IF(AND(Programme_Grunddaten!$A872="Geprüft",Programme_Grunddaten!L872&lt;&gt;""),IF(Programme_Grunddaten!L872="Abo / befristete Lizenz",1,0),"")</f>
        <v/>
      </c>
      <c r="F867" s="1" t="str">
        <f>IF(AND(Programme_Grunddaten!$A872="Geprüft",Programme_Grunddaten!M872&lt;&gt;""),IF(Programme_Grunddaten!M872="Ja",1,0),"")</f>
        <v/>
      </c>
      <c r="G867" s="1" t="str">
        <f>IF(AND(Programme_Grunddaten!$A872="Geprüft",Programme_Grunddaten!N872&lt;&gt;""),IF(Programme_Grunddaten!N872="Ja",1,0),"")</f>
        <v/>
      </c>
      <c r="H867" s="1" t="str">
        <f>IF(AND(Programme_Grunddaten!$A872="Geprüft",Programme_Grunddaten!O872&lt;&gt;""),IF(Programme_Grunddaten!O872="Deutschland",0,IF(Programme_Grunddaten!O872="EU",1,2)),"")</f>
        <v/>
      </c>
      <c r="I867" s="1" t="str">
        <f>IF(AND(Programme_Grunddaten!$A872="Geprüft",Programme_Grunddaten!P872&lt;&gt;""),IF(Programme_Grunddaten!P872="Ja",1,0),"")</f>
        <v/>
      </c>
      <c r="J867" s="1" t="str">
        <f>IF(AND(Programme_Grunddaten!$A872="Geprüft",Programme_Grunddaten!Q872&lt;&gt;""),IF(Programme_Grunddaten!Q872="geschlossenes System",1,0),"")</f>
        <v/>
      </c>
      <c r="K867" s="1" t="str">
        <f>IF(AND(Programme_Grunddaten!$A872="Geprüft",Programme_Grunddaten!R872&lt;&gt;""),IF(Programme_Grunddaten!R872="Ja",1,0),"")</f>
        <v/>
      </c>
      <c r="L867" s="1" t="str">
        <f>IF(AND(Programme_Grunddaten!$A872="Geprüft",Programme_Grunddaten!T872&lt;&gt;""),IF(Programme_Grunddaten!T872="Ja",1,0),"")</f>
        <v/>
      </c>
      <c r="M867" s="1" t="str">
        <f>IF(AND(Programme_Grunddaten!$A872="Geprüft",Programme_Grunddaten!U872&lt;&gt;""),IF(Programme_Grunddaten!U872="Ja",1,0),"")</f>
        <v/>
      </c>
      <c r="N867" s="1" t="str">
        <f>IF(AND(Programme_Grunddaten!$A872="Geprüft",Programme_Grunddaten!V872&lt;&gt;""),IF(Programme_Grunddaten!V872="Ja",1,0),"")</f>
        <v/>
      </c>
      <c r="O867" s="1" t="str">
        <f>IF(AND(Programme_Grunddaten!$A872="Geprüft",Programme_Grunddaten!W872&lt;&gt;""),IF(Programme_Grunddaten!W872="Ja",1,0),"")</f>
        <v/>
      </c>
      <c r="P867" s="1" t="str">
        <f>IF(AND(Programme_Grunddaten!$A872="Geprüft",Programme_Grunddaten!X872&lt;&gt;""),IF(Programme_Grunddaten!X872="Ja",1,0),"")</f>
        <v/>
      </c>
      <c r="Q867" s="1" t="str">
        <f>IF(AND(Programme_Grunddaten!$A872="Geprüft",Programme_Grunddaten!Y872&lt;&gt;""),IF(Programme_Grunddaten!Y872="Ja",1,0),"")</f>
        <v/>
      </c>
      <c r="R867" s="1" t="str">
        <f>IF(AND(Programme_Grunddaten!$A872="Geprüft",Programme_Grunddaten!Z872&lt;&gt;""),IF(Programme_Grunddaten!Z872="Ja",1,0),"")</f>
        <v/>
      </c>
      <c r="S867" s="1" t="str">
        <f>IF(AND(Programme_Grunddaten!$A872="Geprüft",Programme_Grunddaten!AA872&lt;&gt;""),IF(Programme_Grunddaten!AA872="monolithisch",1,0),"")</f>
        <v/>
      </c>
      <c r="T867" s="1" t="str">
        <f>IF(AND(Programme_Grunddaten!$A872="Geprüft",Programme_Grunddaten!AB872&lt;&gt;""),IF(Programme_Grunddaten!AB872="Ja",1,0),"")</f>
        <v/>
      </c>
      <c r="U867" s="1" t="str">
        <f>IF(AND(Programme_Grunddaten!$A872="Geprüft",Programme_Grunddaten!AC872&lt;&gt;""),IF(Programme_Grunddaten!AC872="Ja",1,0),"")</f>
        <v/>
      </c>
      <c r="V867" s="1" t="str">
        <f>IF(AND(Programme_Grunddaten!$A872="Geprüft",Programme_Grunddaten!AD872&lt;&gt;""),IF(Programme_Grunddaten!AD872="Ja",1,0),"")</f>
        <v/>
      </c>
      <c r="W867" s="1" t="str">
        <f>IF(AND(Programme_Grunddaten!$A872="Geprüft",Programme_Grunddaten!AE872&lt;&gt;""),IF(Programme_Grunddaten!AE872="Ja",1,0),"")</f>
        <v/>
      </c>
      <c r="X867" s="1" t="str">
        <f>IF(AND(Programme_Grunddaten!$A872="Geprüft",Programme_Grunddaten!AF872&lt;&gt;""),IF(Programme_Grunddaten!AF872="Ja",1,0),"")</f>
        <v/>
      </c>
      <c r="Y867" s="1" t="str">
        <f>IF(AND(Programme_Grunddaten!$A872="Geprüft",Programme_Grunddaten!AG872&lt;&gt;""),IF(Programme_Grunddaten!AG872="Ja",1,0),"")</f>
        <v/>
      </c>
      <c r="Z867" s="1" t="str">
        <f>IF(AND(Programme_Grunddaten!$A872="Geprüft",Programme_Grunddaten!AH872&lt;&gt;""),IF(Programme_Grunddaten!AH872="Ja",1,0),"")</f>
        <v/>
      </c>
      <c r="AA867" s="1" t="str">
        <f>IF(AND(Programme_Grunddaten!$A872="Geprüft",Programme_Grunddaten!AI872&lt;&gt;""),IF(Programme_Grunddaten!AI872="Ja",1,0),"")</f>
        <v/>
      </c>
      <c r="AB867" s="1" t="str">
        <f>IF(AND(Programme_Grunddaten!$A872="Geprüft",Programme_Grunddaten!AJ872&lt;&gt;""),IF(Programme_Grunddaten!AJ872="individuell programmierbar",1,0),"")</f>
        <v/>
      </c>
      <c r="AC867" s="1" t="str">
        <f>IF(AND(Programme_Grunddaten!$A872="Geprüft",Programme_Grunddaten!AK872&lt;&gt;""),IF(Programme_Grunddaten!AK872="Deutsch",0,IF(Programme_Grunddaten!AK872="Deutsch und Englisch",1,2)),"")</f>
        <v/>
      </c>
      <c r="AD867" s="1" t="str">
        <f>IF(AND(Programme_Grunddaten!$A872="Geprüft",Programme_Grunddaten!AL872&lt;&gt;""),IF(Programme_Grunddaten!AL872="Ja",1,0),"")</f>
        <v/>
      </c>
      <c r="AE867" s="1" t="str">
        <f>IF(AND(Programme_Grunddaten!$A872="Geprüft",Programme_Grunddaten!AM872&lt;&gt;""),IF(Programme_Grunddaten!AM872="Ja",1,0),"")</f>
        <v/>
      </c>
      <c r="AF867" s="1" t="str">
        <f>IF(AND(Programme_Grunddaten!$A872="Geprüft",Programme_Grunddaten!AN872&lt;&gt;""),IF(Programme_Grunddaten!AN872="Ja",1,0),"")</f>
        <v/>
      </c>
      <c r="AG867" s="1" t="str">
        <f>IF(AND(Programme_Grunddaten!$A872="Geprüft",Programme_Grunddaten!AO872&lt;&gt;""),IF(Programme_Grunddaten!AO872="Ja",1,0),"")</f>
        <v/>
      </c>
      <c r="AH867" s="1" t="str">
        <f>IF(AND(Programme_Grunddaten!$A872="Geprüft",Programme_Grunddaten!AP872&lt;&gt;""),IF(Programme_Grunddaten!AP872="Ja",1,0),"")</f>
        <v/>
      </c>
      <c r="AI867" s="1" t="str">
        <f>IF(AND(Programme_Grunddaten!$A872="Geprüft",Programme_Grunddaten!AQ872&lt;&gt;""),IF(Programme_Grunddaten!AQ872="Ja",1,0),"")</f>
        <v/>
      </c>
      <c r="AJ867" s="1" t="str">
        <f>IF(AND(Programme_Grunddaten!$A872="Geprüft",Programme_Grunddaten!AR872&lt;&gt;""),IF(Programme_Grunddaten!AR872="Ja",1,0),"")</f>
        <v/>
      </c>
      <c r="AK867" s="1" t="str">
        <f>IF(AND(Programme_Grunddaten!$A872="Geprüft",Programme_Grunddaten!AS872&lt;&gt;""),IF(Programme_Grunddaten!AS872="Ja",1,0),"")</f>
        <v/>
      </c>
      <c r="AL867" s="1" t="str">
        <f>IF(AND(Programme_Grunddaten!$A872="Geprüft",Programme_Grunddaten!AT872&lt;&gt;""),IF(Programme_Grunddaten!AT872="Ja",1,0),"")</f>
        <v/>
      </c>
      <c r="AM867" s="1" t="str">
        <f>IF(AND(Programme_Grunddaten!$A872="Geprüft",Programme_Grunddaten!AU872&lt;&gt;""),IF(Programme_Grunddaten!AU872="Ja",1,0),"")</f>
        <v/>
      </c>
      <c r="AN867" s="1" t="str">
        <f>IF(AND(Programme_Grunddaten!$A872="Geprüft",Programme_Grunddaten!AV872&lt;&gt;""),IF(Programme_Grunddaten!AV872="Ja",1,0),"")</f>
        <v/>
      </c>
    </row>
    <row r="868" spans="1:40" x14ac:dyDescent="0.3">
      <c r="A868" s="1" t="str">
        <f>IF(AND(Programme_Grunddaten!A873="Geprüft",Programme_Grunddaten!B873&lt;&gt;""),Programme_Grunddaten!B873,"")</f>
        <v/>
      </c>
      <c r="B868" s="1" t="str">
        <f>IF(AND(Programme_Grunddaten!$A873="Geprüft",Programme_Grunddaten!I873&lt;&gt;""),IF(Programme_Grunddaten!I873="Ja",1,0),"")</f>
        <v/>
      </c>
      <c r="C868" s="1" t="str">
        <f>IF(AND(Programme_Grunddaten!$A873="Geprüft",Programme_Grunddaten!J873&lt;&gt;""),IF(Programme_Grunddaten!J873="Ja",1,0),"")</f>
        <v/>
      </c>
      <c r="D868" s="1" t="str">
        <f>IF(AND(Programme_Grunddaten!$A873="Geprüft",Programme_Grunddaten!K873&lt;&gt;""),IF(Programme_Grunddaten!K873="Ja",1,0),"")</f>
        <v/>
      </c>
      <c r="E868" s="1" t="str">
        <f>IF(AND(Programme_Grunddaten!$A873="Geprüft",Programme_Grunddaten!L873&lt;&gt;""),IF(Programme_Grunddaten!L873="Abo / befristete Lizenz",1,0),"")</f>
        <v/>
      </c>
      <c r="F868" s="1" t="str">
        <f>IF(AND(Programme_Grunddaten!$A873="Geprüft",Programme_Grunddaten!M873&lt;&gt;""),IF(Programme_Grunddaten!M873="Ja",1,0),"")</f>
        <v/>
      </c>
      <c r="G868" s="1" t="str">
        <f>IF(AND(Programme_Grunddaten!$A873="Geprüft",Programme_Grunddaten!N873&lt;&gt;""),IF(Programme_Grunddaten!N873="Ja",1,0),"")</f>
        <v/>
      </c>
      <c r="H868" s="1" t="str">
        <f>IF(AND(Programme_Grunddaten!$A873="Geprüft",Programme_Grunddaten!O873&lt;&gt;""),IF(Programme_Grunddaten!O873="Deutschland",0,IF(Programme_Grunddaten!O873="EU",1,2)),"")</f>
        <v/>
      </c>
      <c r="I868" s="1" t="str">
        <f>IF(AND(Programme_Grunddaten!$A873="Geprüft",Programme_Grunddaten!P873&lt;&gt;""),IF(Programme_Grunddaten!P873="Ja",1,0),"")</f>
        <v/>
      </c>
      <c r="J868" s="1" t="str">
        <f>IF(AND(Programme_Grunddaten!$A873="Geprüft",Programme_Grunddaten!Q873&lt;&gt;""),IF(Programme_Grunddaten!Q873="geschlossenes System",1,0),"")</f>
        <v/>
      </c>
      <c r="K868" s="1" t="str">
        <f>IF(AND(Programme_Grunddaten!$A873="Geprüft",Programme_Grunddaten!R873&lt;&gt;""),IF(Programme_Grunddaten!R873="Ja",1,0),"")</f>
        <v/>
      </c>
      <c r="L868" s="1" t="str">
        <f>IF(AND(Programme_Grunddaten!$A873="Geprüft",Programme_Grunddaten!T873&lt;&gt;""),IF(Programme_Grunddaten!T873="Ja",1,0),"")</f>
        <v/>
      </c>
      <c r="M868" s="1" t="str">
        <f>IF(AND(Programme_Grunddaten!$A873="Geprüft",Programme_Grunddaten!U873&lt;&gt;""),IF(Programme_Grunddaten!U873="Ja",1,0),"")</f>
        <v/>
      </c>
      <c r="N868" s="1" t="str">
        <f>IF(AND(Programme_Grunddaten!$A873="Geprüft",Programme_Grunddaten!V873&lt;&gt;""),IF(Programme_Grunddaten!V873="Ja",1,0),"")</f>
        <v/>
      </c>
      <c r="O868" s="1" t="str">
        <f>IF(AND(Programme_Grunddaten!$A873="Geprüft",Programme_Grunddaten!W873&lt;&gt;""),IF(Programme_Grunddaten!W873="Ja",1,0),"")</f>
        <v/>
      </c>
      <c r="P868" s="1" t="str">
        <f>IF(AND(Programme_Grunddaten!$A873="Geprüft",Programme_Grunddaten!X873&lt;&gt;""),IF(Programme_Grunddaten!X873="Ja",1,0),"")</f>
        <v/>
      </c>
      <c r="Q868" s="1" t="str">
        <f>IF(AND(Programme_Grunddaten!$A873="Geprüft",Programme_Grunddaten!Y873&lt;&gt;""),IF(Programme_Grunddaten!Y873="Ja",1,0),"")</f>
        <v/>
      </c>
      <c r="R868" s="1" t="str">
        <f>IF(AND(Programme_Grunddaten!$A873="Geprüft",Programme_Grunddaten!Z873&lt;&gt;""),IF(Programme_Grunddaten!Z873="Ja",1,0),"")</f>
        <v/>
      </c>
      <c r="S868" s="1" t="str">
        <f>IF(AND(Programme_Grunddaten!$A873="Geprüft",Programme_Grunddaten!AA873&lt;&gt;""),IF(Programme_Grunddaten!AA873="monolithisch",1,0),"")</f>
        <v/>
      </c>
      <c r="T868" s="1" t="str">
        <f>IF(AND(Programme_Grunddaten!$A873="Geprüft",Programme_Grunddaten!AB873&lt;&gt;""),IF(Programme_Grunddaten!AB873="Ja",1,0),"")</f>
        <v/>
      </c>
      <c r="U868" s="1" t="str">
        <f>IF(AND(Programme_Grunddaten!$A873="Geprüft",Programme_Grunddaten!AC873&lt;&gt;""),IF(Programme_Grunddaten!AC873="Ja",1,0),"")</f>
        <v/>
      </c>
      <c r="V868" s="1" t="str">
        <f>IF(AND(Programme_Grunddaten!$A873="Geprüft",Programme_Grunddaten!AD873&lt;&gt;""),IF(Programme_Grunddaten!AD873="Ja",1,0),"")</f>
        <v/>
      </c>
      <c r="W868" s="1" t="str">
        <f>IF(AND(Programme_Grunddaten!$A873="Geprüft",Programme_Grunddaten!AE873&lt;&gt;""),IF(Programme_Grunddaten!AE873="Ja",1,0),"")</f>
        <v/>
      </c>
      <c r="X868" s="1" t="str">
        <f>IF(AND(Programme_Grunddaten!$A873="Geprüft",Programme_Grunddaten!AF873&lt;&gt;""),IF(Programme_Grunddaten!AF873="Ja",1,0),"")</f>
        <v/>
      </c>
      <c r="Y868" s="1" t="str">
        <f>IF(AND(Programme_Grunddaten!$A873="Geprüft",Programme_Grunddaten!AG873&lt;&gt;""),IF(Programme_Grunddaten!AG873="Ja",1,0),"")</f>
        <v/>
      </c>
      <c r="Z868" s="1" t="str">
        <f>IF(AND(Programme_Grunddaten!$A873="Geprüft",Programme_Grunddaten!AH873&lt;&gt;""),IF(Programme_Grunddaten!AH873="Ja",1,0),"")</f>
        <v/>
      </c>
      <c r="AA868" s="1" t="str">
        <f>IF(AND(Programme_Grunddaten!$A873="Geprüft",Programme_Grunddaten!AI873&lt;&gt;""),IF(Programme_Grunddaten!AI873="Ja",1,0),"")</f>
        <v/>
      </c>
      <c r="AB868" s="1" t="str">
        <f>IF(AND(Programme_Grunddaten!$A873="Geprüft",Programme_Grunddaten!AJ873&lt;&gt;""),IF(Programme_Grunddaten!AJ873="individuell programmierbar",1,0),"")</f>
        <v/>
      </c>
      <c r="AC868" s="1" t="str">
        <f>IF(AND(Programme_Grunddaten!$A873="Geprüft",Programme_Grunddaten!AK873&lt;&gt;""),IF(Programme_Grunddaten!AK873="Deutsch",0,IF(Programme_Grunddaten!AK873="Deutsch und Englisch",1,2)),"")</f>
        <v/>
      </c>
      <c r="AD868" s="1" t="str">
        <f>IF(AND(Programme_Grunddaten!$A873="Geprüft",Programme_Grunddaten!AL873&lt;&gt;""),IF(Programme_Grunddaten!AL873="Ja",1,0),"")</f>
        <v/>
      </c>
      <c r="AE868" s="1" t="str">
        <f>IF(AND(Programme_Grunddaten!$A873="Geprüft",Programme_Grunddaten!AM873&lt;&gt;""),IF(Programme_Grunddaten!AM873="Ja",1,0),"")</f>
        <v/>
      </c>
      <c r="AF868" s="1" t="str">
        <f>IF(AND(Programme_Grunddaten!$A873="Geprüft",Programme_Grunddaten!AN873&lt;&gt;""),IF(Programme_Grunddaten!AN873="Ja",1,0),"")</f>
        <v/>
      </c>
      <c r="AG868" s="1" t="str">
        <f>IF(AND(Programme_Grunddaten!$A873="Geprüft",Programme_Grunddaten!AO873&lt;&gt;""),IF(Programme_Grunddaten!AO873="Ja",1,0),"")</f>
        <v/>
      </c>
      <c r="AH868" s="1" t="str">
        <f>IF(AND(Programme_Grunddaten!$A873="Geprüft",Programme_Grunddaten!AP873&lt;&gt;""),IF(Programme_Grunddaten!AP873="Ja",1,0),"")</f>
        <v/>
      </c>
      <c r="AI868" s="1" t="str">
        <f>IF(AND(Programme_Grunddaten!$A873="Geprüft",Programme_Grunddaten!AQ873&lt;&gt;""),IF(Programme_Grunddaten!AQ873="Ja",1,0),"")</f>
        <v/>
      </c>
      <c r="AJ868" s="1" t="str">
        <f>IF(AND(Programme_Grunddaten!$A873="Geprüft",Programme_Grunddaten!AR873&lt;&gt;""),IF(Programme_Grunddaten!AR873="Ja",1,0),"")</f>
        <v/>
      </c>
      <c r="AK868" s="1" t="str">
        <f>IF(AND(Programme_Grunddaten!$A873="Geprüft",Programme_Grunddaten!AS873&lt;&gt;""),IF(Programme_Grunddaten!AS873="Ja",1,0),"")</f>
        <v/>
      </c>
      <c r="AL868" s="1" t="str">
        <f>IF(AND(Programme_Grunddaten!$A873="Geprüft",Programme_Grunddaten!AT873&lt;&gt;""),IF(Programme_Grunddaten!AT873="Ja",1,0),"")</f>
        <v/>
      </c>
      <c r="AM868" s="1" t="str">
        <f>IF(AND(Programme_Grunddaten!$A873="Geprüft",Programme_Grunddaten!AU873&lt;&gt;""),IF(Programme_Grunddaten!AU873="Ja",1,0),"")</f>
        <v/>
      </c>
      <c r="AN868" s="1" t="str">
        <f>IF(AND(Programme_Grunddaten!$A873="Geprüft",Programme_Grunddaten!AV873&lt;&gt;""),IF(Programme_Grunddaten!AV873="Ja",1,0),"")</f>
        <v/>
      </c>
    </row>
    <row r="869" spans="1:40" x14ac:dyDescent="0.3">
      <c r="A869" s="1" t="str">
        <f>IF(AND(Programme_Grunddaten!A874="Geprüft",Programme_Grunddaten!B874&lt;&gt;""),Programme_Grunddaten!B874,"")</f>
        <v/>
      </c>
      <c r="B869" s="1" t="str">
        <f>IF(AND(Programme_Grunddaten!$A874="Geprüft",Programme_Grunddaten!I874&lt;&gt;""),IF(Programme_Grunddaten!I874="Ja",1,0),"")</f>
        <v/>
      </c>
      <c r="C869" s="1" t="str">
        <f>IF(AND(Programme_Grunddaten!$A874="Geprüft",Programme_Grunddaten!J874&lt;&gt;""),IF(Programme_Grunddaten!J874="Ja",1,0),"")</f>
        <v/>
      </c>
      <c r="D869" s="1" t="str">
        <f>IF(AND(Programme_Grunddaten!$A874="Geprüft",Programme_Grunddaten!K874&lt;&gt;""),IF(Programme_Grunddaten!K874="Ja",1,0),"")</f>
        <v/>
      </c>
      <c r="E869" s="1" t="str">
        <f>IF(AND(Programme_Grunddaten!$A874="Geprüft",Programme_Grunddaten!L874&lt;&gt;""),IF(Programme_Grunddaten!L874="Abo / befristete Lizenz",1,0),"")</f>
        <v/>
      </c>
      <c r="F869" s="1" t="str">
        <f>IF(AND(Programme_Grunddaten!$A874="Geprüft",Programme_Grunddaten!M874&lt;&gt;""),IF(Programme_Grunddaten!M874="Ja",1,0),"")</f>
        <v/>
      </c>
      <c r="G869" s="1" t="str">
        <f>IF(AND(Programme_Grunddaten!$A874="Geprüft",Programme_Grunddaten!N874&lt;&gt;""),IF(Programme_Grunddaten!N874="Ja",1,0),"")</f>
        <v/>
      </c>
      <c r="H869" s="1" t="str">
        <f>IF(AND(Programme_Grunddaten!$A874="Geprüft",Programme_Grunddaten!O874&lt;&gt;""),IF(Programme_Grunddaten!O874="Deutschland",0,IF(Programme_Grunddaten!O874="EU",1,2)),"")</f>
        <v/>
      </c>
      <c r="I869" s="1" t="str">
        <f>IF(AND(Programme_Grunddaten!$A874="Geprüft",Programme_Grunddaten!P874&lt;&gt;""),IF(Programme_Grunddaten!P874="Ja",1,0),"")</f>
        <v/>
      </c>
      <c r="J869" s="1" t="str">
        <f>IF(AND(Programme_Grunddaten!$A874="Geprüft",Programme_Grunddaten!Q874&lt;&gt;""),IF(Programme_Grunddaten!Q874="geschlossenes System",1,0),"")</f>
        <v/>
      </c>
      <c r="K869" s="1" t="str">
        <f>IF(AND(Programme_Grunddaten!$A874="Geprüft",Programme_Grunddaten!R874&lt;&gt;""),IF(Programme_Grunddaten!R874="Ja",1,0),"")</f>
        <v/>
      </c>
      <c r="L869" s="1" t="str">
        <f>IF(AND(Programme_Grunddaten!$A874="Geprüft",Programme_Grunddaten!T874&lt;&gt;""),IF(Programme_Grunddaten!T874="Ja",1,0),"")</f>
        <v/>
      </c>
      <c r="M869" s="1" t="str">
        <f>IF(AND(Programme_Grunddaten!$A874="Geprüft",Programme_Grunddaten!U874&lt;&gt;""),IF(Programme_Grunddaten!U874="Ja",1,0),"")</f>
        <v/>
      </c>
      <c r="N869" s="1" t="str">
        <f>IF(AND(Programme_Grunddaten!$A874="Geprüft",Programme_Grunddaten!V874&lt;&gt;""),IF(Programme_Grunddaten!V874="Ja",1,0),"")</f>
        <v/>
      </c>
      <c r="O869" s="1" t="str">
        <f>IF(AND(Programme_Grunddaten!$A874="Geprüft",Programme_Grunddaten!W874&lt;&gt;""),IF(Programme_Grunddaten!W874="Ja",1,0),"")</f>
        <v/>
      </c>
      <c r="P869" s="1" t="str">
        <f>IF(AND(Programme_Grunddaten!$A874="Geprüft",Programme_Grunddaten!X874&lt;&gt;""),IF(Programme_Grunddaten!X874="Ja",1,0),"")</f>
        <v/>
      </c>
      <c r="Q869" s="1" t="str">
        <f>IF(AND(Programme_Grunddaten!$A874="Geprüft",Programme_Grunddaten!Y874&lt;&gt;""),IF(Programme_Grunddaten!Y874="Ja",1,0),"")</f>
        <v/>
      </c>
      <c r="R869" s="1" t="str">
        <f>IF(AND(Programme_Grunddaten!$A874="Geprüft",Programme_Grunddaten!Z874&lt;&gt;""),IF(Programme_Grunddaten!Z874="Ja",1,0),"")</f>
        <v/>
      </c>
      <c r="S869" s="1" t="str">
        <f>IF(AND(Programme_Grunddaten!$A874="Geprüft",Programme_Grunddaten!AA874&lt;&gt;""),IF(Programme_Grunddaten!AA874="monolithisch",1,0),"")</f>
        <v/>
      </c>
      <c r="T869" s="1" t="str">
        <f>IF(AND(Programme_Grunddaten!$A874="Geprüft",Programme_Grunddaten!AB874&lt;&gt;""),IF(Programme_Grunddaten!AB874="Ja",1,0),"")</f>
        <v/>
      </c>
      <c r="U869" s="1" t="str">
        <f>IF(AND(Programme_Grunddaten!$A874="Geprüft",Programme_Grunddaten!AC874&lt;&gt;""),IF(Programme_Grunddaten!AC874="Ja",1,0),"")</f>
        <v/>
      </c>
      <c r="V869" s="1" t="str">
        <f>IF(AND(Programme_Grunddaten!$A874="Geprüft",Programme_Grunddaten!AD874&lt;&gt;""),IF(Programme_Grunddaten!AD874="Ja",1,0),"")</f>
        <v/>
      </c>
      <c r="W869" s="1" t="str">
        <f>IF(AND(Programme_Grunddaten!$A874="Geprüft",Programme_Grunddaten!AE874&lt;&gt;""),IF(Programme_Grunddaten!AE874="Ja",1,0),"")</f>
        <v/>
      </c>
      <c r="X869" s="1" t="str">
        <f>IF(AND(Programme_Grunddaten!$A874="Geprüft",Programme_Grunddaten!AF874&lt;&gt;""),IF(Programme_Grunddaten!AF874="Ja",1,0),"")</f>
        <v/>
      </c>
      <c r="Y869" s="1" t="str">
        <f>IF(AND(Programme_Grunddaten!$A874="Geprüft",Programme_Grunddaten!AG874&lt;&gt;""),IF(Programme_Grunddaten!AG874="Ja",1,0),"")</f>
        <v/>
      </c>
      <c r="Z869" s="1" t="str">
        <f>IF(AND(Programme_Grunddaten!$A874="Geprüft",Programme_Grunddaten!AH874&lt;&gt;""),IF(Programme_Grunddaten!AH874="Ja",1,0),"")</f>
        <v/>
      </c>
      <c r="AA869" s="1" t="str">
        <f>IF(AND(Programme_Grunddaten!$A874="Geprüft",Programme_Grunddaten!AI874&lt;&gt;""),IF(Programme_Grunddaten!AI874="Ja",1,0),"")</f>
        <v/>
      </c>
      <c r="AB869" s="1" t="str">
        <f>IF(AND(Programme_Grunddaten!$A874="Geprüft",Programme_Grunddaten!AJ874&lt;&gt;""),IF(Programme_Grunddaten!AJ874="individuell programmierbar",1,0),"")</f>
        <v/>
      </c>
      <c r="AC869" s="1" t="str">
        <f>IF(AND(Programme_Grunddaten!$A874="Geprüft",Programme_Grunddaten!AK874&lt;&gt;""),IF(Programme_Grunddaten!AK874="Deutsch",0,IF(Programme_Grunddaten!AK874="Deutsch und Englisch",1,2)),"")</f>
        <v/>
      </c>
      <c r="AD869" s="1" t="str">
        <f>IF(AND(Programme_Grunddaten!$A874="Geprüft",Programme_Grunddaten!AL874&lt;&gt;""),IF(Programme_Grunddaten!AL874="Ja",1,0),"")</f>
        <v/>
      </c>
      <c r="AE869" s="1" t="str">
        <f>IF(AND(Programme_Grunddaten!$A874="Geprüft",Programme_Grunddaten!AM874&lt;&gt;""),IF(Programme_Grunddaten!AM874="Ja",1,0),"")</f>
        <v/>
      </c>
      <c r="AF869" s="1" t="str">
        <f>IF(AND(Programme_Grunddaten!$A874="Geprüft",Programme_Grunddaten!AN874&lt;&gt;""),IF(Programme_Grunddaten!AN874="Ja",1,0),"")</f>
        <v/>
      </c>
      <c r="AG869" s="1" t="str">
        <f>IF(AND(Programme_Grunddaten!$A874="Geprüft",Programme_Grunddaten!AO874&lt;&gt;""),IF(Programme_Grunddaten!AO874="Ja",1,0),"")</f>
        <v/>
      </c>
      <c r="AH869" s="1" t="str">
        <f>IF(AND(Programme_Grunddaten!$A874="Geprüft",Programme_Grunddaten!AP874&lt;&gt;""),IF(Programme_Grunddaten!AP874="Ja",1,0),"")</f>
        <v/>
      </c>
      <c r="AI869" s="1" t="str">
        <f>IF(AND(Programme_Grunddaten!$A874="Geprüft",Programme_Grunddaten!AQ874&lt;&gt;""),IF(Programme_Grunddaten!AQ874="Ja",1,0),"")</f>
        <v/>
      </c>
      <c r="AJ869" s="1" t="str">
        <f>IF(AND(Programme_Grunddaten!$A874="Geprüft",Programme_Grunddaten!AR874&lt;&gt;""),IF(Programme_Grunddaten!AR874="Ja",1,0),"")</f>
        <v/>
      </c>
      <c r="AK869" s="1" t="str">
        <f>IF(AND(Programme_Grunddaten!$A874="Geprüft",Programme_Grunddaten!AS874&lt;&gt;""),IF(Programme_Grunddaten!AS874="Ja",1,0),"")</f>
        <v/>
      </c>
      <c r="AL869" s="1" t="str">
        <f>IF(AND(Programme_Grunddaten!$A874="Geprüft",Programme_Grunddaten!AT874&lt;&gt;""),IF(Programme_Grunddaten!AT874="Ja",1,0),"")</f>
        <v/>
      </c>
      <c r="AM869" s="1" t="str">
        <f>IF(AND(Programme_Grunddaten!$A874="Geprüft",Programme_Grunddaten!AU874&lt;&gt;""),IF(Programme_Grunddaten!AU874="Ja",1,0),"")</f>
        <v/>
      </c>
      <c r="AN869" s="1" t="str">
        <f>IF(AND(Programme_Grunddaten!$A874="Geprüft",Programme_Grunddaten!AV874&lt;&gt;""),IF(Programme_Grunddaten!AV874="Ja",1,0),"")</f>
        <v/>
      </c>
    </row>
    <row r="870" spans="1:40" x14ac:dyDescent="0.3">
      <c r="A870" s="1" t="str">
        <f>IF(AND(Programme_Grunddaten!A875="Geprüft",Programme_Grunddaten!B875&lt;&gt;""),Programme_Grunddaten!B875,"")</f>
        <v/>
      </c>
      <c r="B870" s="1" t="str">
        <f>IF(AND(Programme_Grunddaten!$A875="Geprüft",Programme_Grunddaten!I875&lt;&gt;""),IF(Programme_Grunddaten!I875="Ja",1,0),"")</f>
        <v/>
      </c>
      <c r="C870" s="1" t="str">
        <f>IF(AND(Programme_Grunddaten!$A875="Geprüft",Programme_Grunddaten!J875&lt;&gt;""),IF(Programme_Grunddaten!J875="Ja",1,0),"")</f>
        <v/>
      </c>
      <c r="D870" s="1" t="str">
        <f>IF(AND(Programme_Grunddaten!$A875="Geprüft",Programme_Grunddaten!K875&lt;&gt;""),IF(Programme_Grunddaten!K875="Ja",1,0),"")</f>
        <v/>
      </c>
      <c r="E870" s="1" t="str">
        <f>IF(AND(Programme_Grunddaten!$A875="Geprüft",Programme_Grunddaten!L875&lt;&gt;""),IF(Programme_Grunddaten!L875="Abo / befristete Lizenz",1,0),"")</f>
        <v/>
      </c>
      <c r="F870" s="1" t="str">
        <f>IF(AND(Programme_Grunddaten!$A875="Geprüft",Programme_Grunddaten!M875&lt;&gt;""),IF(Programme_Grunddaten!M875="Ja",1,0),"")</f>
        <v/>
      </c>
      <c r="G870" s="1" t="str">
        <f>IF(AND(Programme_Grunddaten!$A875="Geprüft",Programme_Grunddaten!N875&lt;&gt;""),IF(Programme_Grunddaten!N875="Ja",1,0),"")</f>
        <v/>
      </c>
      <c r="H870" s="1" t="str">
        <f>IF(AND(Programme_Grunddaten!$A875="Geprüft",Programme_Grunddaten!O875&lt;&gt;""),IF(Programme_Grunddaten!O875="Deutschland",0,IF(Programme_Grunddaten!O875="EU",1,2)),"")</f>
        <v/>
      </c>
      <c r="I870" s="1" t="str">
        <f>IF(AND(Programme_Grunddaten!$A875="Geprüft",Programme_Grunddaten!P875&lt;&gt;""),IF(Programme_Grunddaten!P875="Ja",1,0),"")</f>
        <v/>
      </c>
      <c r="J870" s="1" t="str">
        <f>IF(AND(Programme_Grunddaten!$A875="Geprüft",Programme_Grunddaten!Q875&lt;&gt;""),IF(Programme_Grunddaten!Q875="geschlossenes System",1,0),"")</f>
        <v/>
      </c>
      <c r="K870" s="1" t="str">
        <f>IF(AND(Programme_Grunddaten!$A875="Geprüft",Programme_Grunddaten!R875&lt;&gt;""),IF(Programme_Grunddaten!R875="Ja",1,0),"")</f>
        <v/>
      </c>
      <c r="L870" s="1" t="str">
        <f>IF(AND(Programme_Grunddaten!$A875="Geprüft",Programme_Grunddaten!T875&lt;&gt;""),IF(Programme_Grunddaten!T875="Ja",1,0),"")</f>
        <v/>
      </c>
      <c r="M870" s="1" t="str">
        <f>IF(AND(Programme_Grunddaten!$A875="Geprüft",Programme_Grunddaten!U875&lt;&gt;""),IF(Programme_Grunddaten!U875="Ja",1,0),"")</f>
        <v/>
      </c>
      <c r="N870" s="1" t="str">
        <f>IF(AND(Programme_Grunddaten!$A875="Geprüft",Programme_Grunddaten!V875&lt;&gt;""),IF(Programme_Grunddaten!V875="Ja",1,0),"")</f>
        <v/>
      </c>
      <c r="O870" s="1" t="str">
        <f>IF(AND(Programme_Grunddaten!$A875="Geprüft",Programme_Grunddaten!W875&lt;&gt;""),IF(Programme_Grunddaten!W875="Ja",1,0),"")</f>
        <v/>
      </c>
      <c r="P870" s="1" t="str">
        <f>IF(AND(Programme_Grunddaten!$A875="Geprüft",Programme_Grunddaten!X875&lt;&gt;""),IF(Programme_Grunddaten!X875="Ja",1,0),"")</f>
        <v/>
      </c>
      <c r="Q870" s="1" t="str">
        <f>IF(AND(Programme_Grunddaten!$A875="Geprüft",Programme_Grunddaten!Y875&lt;&gt;""),IF(Programme_Grunddaten!Y875="Ja",1,0),"")</f>
        <v/>
      </c>
      <c r="R870" s="1" t="str">
        <f>IF(AND(Programme_Grunddaten!$A875="Geprüft",Programme_Grunddaten!Z875&lt;&gt;""),IF(Programme_Grunddaten!Z875="Ja",1,0),"")</f>
        <v/>
      </c>
      <c r="S870" s="1" t="str">
        <f>IF(AND(Programme_Grunddaten!$A875="Geprüft",Programme_Grunddaten!AA875&lt;&gt;""),IF(Programme_Grunddaten!AA875="monolithisch",1,0),"")</f>
        <v/>
      </c>
      <c r="T870" s="1" t="str">
        <f>IF(AND(Programme_Grunddaten!$A875="Geprüft",Programme_Grunddaten!AB875&lt;&gt;""),IF(Programme_Grunddaten!AB875="Ja",1,0),"")</f>
        <v/>
      </c>
      <c r="U870" s="1" t="str">
        <f>IF(AND(Programme_Grunddaten!$A875="Geprüft",Programme_Grunddaten!AC875&lt;&gt;""),IF(Programme_Grunddaten!AC875="Ja",1,0),"")</f>
        <v/>
      </c>
      <c r="V870" s="1" t="str">
        <f>IF(AND(Programme_Grunddaten!$A875="Geprüft",Programme_Grunddaten!AD875&lt;&gt;""),IF(Programme_Grunddaten!AD875="Ja",1,0),"")</f>
        <v/>
      </c>
      <c r="W870" s="1" t="str">
        <f>IF(AND(Programme_Grunddaten!$A875="Geprüft",Programme_Grunddaten!AE875&lt;&gt;""),IF(Programme_Grunddaten!AE875="Ja",1,0),"")</f>
        <v/>
      </c>
      <c r="X870" s="1" t="str">
        <f>IF(AND(Programme_Grunddaten!$A875="Geprüft",Programme_Grunddaten!AF875&lt;&gt;""),IF(Programme_Grunddaten!AF875="Ja",1,0),"")</f>
        <v/>
      </c>
      <c r="Y870" s="1" t="str">
        <f>IF(AND(Programme_Grunddaten!$A875="Geprüft",Programme_Grunddaten!AG875&lt;&gt;""),IF(Programme_Grunddaten!AG875="Ja",1,0),"")</f>
        <v/>
      </c>
      <c r="Z870" s="1" t="str">
        <f>IF(AND(Programme_Grunddaten!$A875="Geprüft",Programme_Grunddaten!AH875&lt;&gt;""),IF(Programme_Grunddaten!AH875="Ja",1,0),"")</f>
        <v/>
      </c>
      <c r="AA870" s="1" t="str">
        <f>IF(AND(Programme_Grunddaten!$A875="Geprüft",Programme_Grunddaten!AI875&lt;&gt;""),IF(Programme_Grunddaten!AI875="Ja",1,0),"")</f>
        <v/>
      </c>
      <c r="AB870" s="1" t="str">
        <f>IF(AND(Programme_Grunddaten!$A875="Geprüft",Programme_Grunddaten!AJ875&lt;&gt;""),IF(Programme_Grunddaten!AJ875="individuell programmierbar",1,0),"")</f>
        <v/>
      </c>
      <c r="AC870" s="1" t="str">
        <f>IF(AND(Programme_Grunddaten!$A875="Geprüft",Programme_Grunddaten!AK875&lt;&gt;""),IF(Programme_Grunddaten!AK875="Deutsch",0,IF(Programme_Grunddaten!AK875="Deutsch und Englisch",1,2)),"")</f>
        <v/>
      </c>
      <c r="AD870" s="1" t="str">
        <f>IF(AND(Programme_Grunddaten!$A875="Geprüft",Programme_Grunddaten!AL875&lt;&gt;""),IF(Programme_Grunddaten!AL875="Ja",1,0),"")</f>
        <v/>
      </c>
      <c r="AE870" s="1" t="str">
        <f>IF(AND(Programme_Grunddaten!$A875="Geprüft",Programme_Grunddaten!AM875&lt;&gt;""),IF(Programme_Grunddaten!AM875="Ja",1,0),"")</f>
        <v/>
      </c>
      <c r="AF870" s="1" t="str">
        <f>IF(AND(Programme_Grunddaten!$A875="Geprüft",Programme_Grunddaten!AN875&lt;&gt;""),IF(Programme_Grunddaten!AN875="Ja",1,0),"")</f>
        <v/>
      </c>
      <c r="AG870" s="1" t="str">
        <f>IF(AND(Programme_Grunddaten!$A875="Geprüft",Programme_Grunddaten!AO875&lt;&gt;""),IF(Programme_Grunddaten!AO875="Ja",1,0),"")</f>
        <v/>
      </c>
      <c r="AH870" s="1" t="str">
        <f>IF(AND(Programme_Grunddaten!$A875="Geprüft",Programme_Grunddaten!AP875&lt;&gt;""),IF(Programme_Grunddaten!AP875="Ja",1,0),"")</f>
        <v/>
      </c>
      <c r="AI870" s="1" t="str">
        <f>IF(AND(Programme_Grunddaten!$A875="Geprüft",Programme_Grunddaten!AQ875&lt;&gt;""),IF(Programme_Grunddaten!AQ875="Ja",1,0),"")</f>
        <v/>
      </c>
      <c r="AJ870" s="1" t="str">
        <f>IF(AND(Programme_Grunddaten!$A875="Geprüft",Programme_Grunddaten!AR875&lt;&gt;""),IF(Programme_Grunddaten!AR875="Ja",1,0),"")</f>
        <v/>
      </c>
      <c r="AK870" s="1" t="str">
        <f>IF(AND(Programme_Grunddaten!$A875="Geprüft",Programme_Grunddaten!AS875&lt;&gt;""),IF(Programme_Grunddaten!AS875="Ja",1,0),"")</f>
        <v/>
      </c>
      <c r="AL870" s="1" t="str">
        <f>IF(AND(Programme_Grunddaten!$A875="Geprüft",Programme_Grunddaten!AT875&lt;&gt;""),IF(Programme_Grunddaten!AT875="Ja",1,0),"")</f>
        <v/>
      </c>
      <c r="AM870" s="1" t="str">
        <f>IF(AND(Programme_Grunddaten!$A875="Geprüft",Programme_Grunddaten!AU875&lt;&gt;""),IF(Programme_Grunddaten!AU875="Ja",1,0),"")</f>
        <v/>
      </c>
      <c r="AN870" s="1" t="str">
        <f>IF(AND(Programme_Grunddaten!$A875="Geprüft",Programme_Grunddaten!AV875&lt;&gt;""),IF(Programme_Grunddaten!AV875="Ja",1,0),"")</f>
        <v/>
      </c>
    </row>
    <row r="871" spans="1:40" x14ac:dyDescent="0.3">
      <c r="A871" s="1" t="str">
        <f>IF(AND(Programme_Grunddaten!A876="Geprüft",Programme_Grunddaten!B876&lt;&gt;""),Programme_Grunddaten!B876,"")</f>
        <v/>
      </c>
      <c r="B871" s="1" t="str">
        <f>IF(AND(Programme_Grunddaten!$A876="Geprüft",Programme_Grunddaten!I876&lt;&gt;""),IF(Programme_Grunddaten!I876="Ja",1,0),"")</f>
        <v/>
      </c>
      <c r="C871" s="1" t="str">
        <f>IF(AND(Programme_Grunddaten!$A876="Geprüft",Programme_Grunddaten!J876&lt;&gt;""),IF(Programme_Grunddaten!J876="Ja",1,0),"")</f>
        <v/>
      </c>
      <c r="D871" s="1" t="str">
        <f>IF(AND(Programme_Grunddaten!$A876="Geprüft",Programme_Grunddaten!K876&lt;&gt;""),IF(Programme_Grunddaten!K876="Ja",1,0),"")</f>
        <v/>
      </c>
      <c r="E871" s="1" t="str">
        <f>IF(AND(Programme_Grunddaten!$A876="Geprüft",Programme_Grunddaten!L876&lt;&gt;""),IF(Programme_Grunddaten!L876="Abo / befristete Lizenz",1,0),"")</f>
        <v/>
      </c>
      <c r="F871" s="1" t="str">
        <f>IF(AND(Programme_Grunddaten!$A876="Geprüft",Programme_Grunddaten!M876&lt;&gt;""),IF(Programme_Grunddaten!M876="Ja",1,0),"")</f>
        <v/>
      </c>
      <c r="G871" s="1" t="str">
        <f>IF(AND(Programme_Grunddaten!$A876="Geprüft",Programme_Grunddaten!N876&lt;&gt;""),IF(Programme_Grunddaten!N876="Ja",1,0),"")</f>
        <v/>
      </c>
      <c r="H871" s="1" t="str">
        <f>IF(AND(Programme_Grunddaten!$A876="Geprüft",Programme_Grunddaten!O876&lt;&gt;""),IF(Programme_Grunddaten!O876="Deutschland",0,IF(Programme_Grunddaten!O876="EU",1,2)),"")</f>
        <v/>
      </c>
      <c r="I871" s="1" t="str">
        <f>IF(AND(Programme_Grunddaten!$A876="Geprüft",Programme_Grunddaten!P876&lt;&gt;""),IF(Programme_Grunddaten!P876="Ja",1,0),"")</f>
        <v/>
      </c>
      <c r="J871" s="1" t="str">
        <f>IF(AND(Programme_Grunddaten!$A876="Geprüft",Programme_Grunddaten!Q876&lt;&gt;""),IF(Programme_Grunddaten!Q876="geschlossenes System",1,0),"")</f>
        <v/>
      </c>
      <c r="K871" s="1" t="str">
        <f>IF(AND(Programme_Grunddaten!$A876="Geprüft",Programme_Grunddaten!R876&lt;&gt;""),IF(Programme_Grunddaten!R876="Ja",1,0),"")</f>
        <v/>
      </c>
      <c r="L871" s="1" t="str">
        <f>IF(AND(Programme_Grunddaten!$A876="Geprüft",Programme_Grunddaten!T876&lt;&gt;""),IF(Programme_Grunddaten!T876="Ja",1,0),"")</f>
        <v/>
      </c>
      <c r="M871" s="1" t="str">
        <f>IF(AND(Programme_Grunddaten!$A876="Geprüft",Programme_Grunddaten!U876&lt;&gt;""),IF(Programme_Grunddaten!U876="Ja",1,0),"")</f>
        <v/>
      </c>
      <c r="N871" s="1" t="str">
        <f>IF(AND(Programme_Grunddaten!$A876="Geprüft",Programme_Grunddaten!V876&lt;&gt;""),IF(Programme_Grunddaten!V876="Ja",1,0),"")</f>
        <v/>
      </c>
      <c r="O871" s="1" t="str">
        <f>IF(AND(Programme_Grunddaten!$A876="Geprüft",Programme_Grunddaten!W876&lt;&gt;""),IF(Programme_Grunddaten!W876="Ja",1,0),"")</f>
        <v/>
      </c>
      <c r="P871" s="1" t="str">
        <f>IF(AND(Programme_Grunddaten!$A876="Geprüft",Programme_Grunddaten!X876&lt;&gt;""),IF(Programme_Grunddaten!X876="Ja",1,0),"")</f>
        <v/>
      </c>
      <c r="Q871" s="1" t="str">
        <f>IF(AND(Programme_Grunddaten!$A876="Geprüft",Programme_Grunddaten!Y876&lt;&gt;""),IF(Programme_Grunddaten!Y876="Ja",1,0),"")</f>
        <v/>
      </c>
      <c r="R871" s="1" t="str">
        <f>IF(AND(Programme_Grunddaten!$A876="Geprüft",Programme_Grunddaten!Z876&lt;&gt;""),IF(Programme_Grunddaten!Z876="Ja",1,0),"")</f>
        <v/>
      </c>
      <c r="S871" s="1" t="str">
        <f>IF(AND(Programme_Grunddaten!$A876="Geprüft",Programme_Grunddaten!AA876&lt;&gt;""),IF(Programme_Grunddaten!AA876="monolithisch",1,0),"")</f>
        <v/>
      </c>
      <c r="T871" s="1" t="str">
        <f>IF(AND(Programme_Grunddaten!$A876="Geprüft",Programme_Grunddaten!AB876&lt;&gt;""),IF(Programme_Grunddaten!AB876="Ja",1,0),"")</f>
        <v/>
      </c>
      <c r="U871" s="1" t="str">
        <f>IF(AND(Programme_Grunddaten!$A876="Geprüft",Programme_Grunddaten!AC876&lt;&gt;""),IF(Programme_Grunddaten!AC876="Ja",1,0),"")</f>
        <v/>
      </c>
      <c r="V871" s="1" t="str">
        <f>IF(AND(Programme_Grunddaten!$A876="Geprüft",Programme_Grunddaten!AD876&lt;&gt;""),IF(Programme_Grunddaten!AD876="Ja",1,0),"")</f>
        <v/>
      </c>
      <c r="W871" s="1" t="str">
        <f>IF(AND(Programme_Grunddaten!$A876="Geprüft",Programme_Grunddaten!AE876&lt;&gt;""),IF(Programme_Grunddaten!AE876="Ja",1,0),"")</f>
        <v/>
      </c>
      <c r="X871" s="1" t="str">
        <f>IF(AND(Programme_Grunddaten!$A876="Geprüft",Programme_Grunddaten!AF876&lt;&gt;""),IF(Programme_Grunddaten!AF876="Ja",1,0),"")</f>
        <v/>
      </c>
      <c r="Y871" s="1" t="str">
        <f>IF(AND(Programme_Grunddaten!$A876="Geprüft",Programme_Grunddaten!AG876&lt;&gt;""),IF(Programme_Grunddaten!AG876="Ja",1,0),"")</f>
        <v/>
      </c>
      <c r="Z871" s="1" t="str">
        <f>IF(AND(Programme_Grunddaten!$A876="Geprüft",Programme_Grunddaten!AH876&lt;&gt;""),IF(Programme_Grunddaten!AH876="Ja",1,0),"")</f>
        <v/>
      </c>
      <c r="AA871" s="1" t="str">
        <f>IF(AND(Programme_Grunddaten!$A876="Geprüft",Programme_Grunddaten!AI876&lt;&gt;""),IF(Programme_Grunddaten!AI876="Ja",1,0),"")</f>
        <v/>
      </c>
      <c r="AB871" s="1" t="str">
        <f>IF(AND(Programme_Grunddaten!$A876="Geprüft",Programme_Grunddaten!AJ876&lt;&gt;""),IF(Programme_Grunddaten!AJ876="individuell programmierbar",1,0),"")</f>
        <v/>
      </c>
      <c r="AC871" s="1" t="str">
        <f>IF(AND(Programme_Grunddaten!$A876="Geprüft",Programme_Grunddaten!AK876&lt;&gt;""),IF(Programme_Grunddaten!AK876="Deutsch",0,IF(Programme_Grunddaten!AK876="Deutsch und Englisch",1,2)),"")</f>
        <v/>
      </c>
      <c r="AD871" s="1" t="str">
        <f>IF(AND(Programme_Grunddaten!$A876="Geprüft",Programme_Grunddaten!AL876&lt;&gt;""),IF(Programme_Grunddaten!AL876="Ja",1,0),"")</f>
        <v/>
      </c>
      <c r="AE871" s="1" t="str">
        <f>IF(AND(Programme_Grunddaten!$A876="Geprüft",Programme_Grunddaten!AM876&lt;&gt;""),IF(Programme_Grunddaten!AM876="Ja",1,0),"")</f>
        <v/>
      </c>
      <c r="AF871" s="1" t="str">
        <f>IF(AND(Programme_Grunddaten!$A876="Geprüft",Programme_Grunddaten!AN876&lt;&gt;""),IF(Programme_Grunddaten!AN876="Ja",1,0),"")</f>
        <v/>
      </c>
      <c r="AG871" s="1" t="str">
        <f>IF(AND(Programme_Grunddaten!$A876="Geprüft",Programme_Grunddaten!AO876&lt;&gt;""),IF(Programme_Grunddaten!AO876="Ja",1,0),"")</f>
        <v/>
      </c>
      <c r="AH871" s="1" t="str">
        <f>IF(AND(Programme_Grunddaten!$A876="Geprüft",Programme_Grunddaten!AP876&lt;&gt;""),IF(Programme_Grunddaten!AP876="Ja",1,0),"")</f>
        <v/>
      </c>
      <c r="AI871" s="1" t="str">
        <f>IF(AND(Programme_Grunddaten!$A876="Geprüft",Programme_Grunddaten!AQ876&lt;&gt;""),IF(Programme_Grunddaten!AQ876="Ja",1,0),"")</f>
        <v/>
      </c>
      <c r="AJ871" s="1" t="str">
        <f>IF(AND(Programme_Grunddaten!$A876="Geprüft",Programme_Grunddaten!AR876&lt;&gt;""),IF(Programme_Grunddaten!AR876="Ja",1,0),"")</f>
        <v/>
      </c>
      <c r="AK871" s="1" t="str">
        <f>IF(AND(Programme_Grunddaten!$A876="Geprüft",Programme_Grunddaten!AS876&lt;&gt;""),IF(Programme_Grunddaten!AS876="Ja",1,0),"")</f>
        <v/>
      </c>
      <c r="AL871" s="1" t="str">
        <f>IF(AND(Programme_Grunddaten!$A876="Geprüft",Programme_Grunddaten!AT876&lt;&gt;""),IF(Programme_Grunddaten!AT876="Ja",1,0),"")</f>
        <v/>
      </c>
      <c r="AM871" s="1" t="str">
        <f>IF(AND(Programme_Grunddaten!$A876="Geprüft",Programme_Grunddaten!AU876&lt;&gt;""),IF(Programme_Grunddaten!AU876="Ja",1,0),"")</f>
        <v/>
      </c>
      <c r="AN871" s="1" t="str">
        <f>IF(AND(Programme_Grunddaten!$A876="Geprüft",Programme_Grunddaten!AV876&lt;&gt;""),IF(Programme_Grunddaten!AV876="Ja",1,0),"")</f>
        <v/>
      </c>
    </row>
    <row r="872" spans="1:40" x14ac:dyDescent="0.3">
      <c r="A872" s="1" t="str">
        <f>IF(AND(Programme_Grunddaten!A877="Geprüft",Programme_Grunddaten!B877&lt;&gt;""),Programme_Grunddaten!B877,"")</f>
        <v/>
      </c>
      <c r="B872" s="1" t="str">
        <f>IF(AND(Programme_Grunddaten!$A877="Geprüft",Programme_Grunddaten!I877&lt;&gt;""),IF(Programme_Grunddaten!I877="Ja",1,0),"")</f>
        <v/>
      </c>
      <c r="C872" s="1" t="str">
        <f>IF(AND(Programme_Grunddaten!$A877="Geprüft",Programme_Grunddaten!J877&lt;&gt;""),IF(Programme_Grunddaten!J877="Ja",1,0),"")</f>
        <v/>
      </c>
      <c r="D872" s="1" t="str">
        <f>IF(AND(Programme_Grunddaten!$A877="Geprüft",Programme_Grunddaten!K877&lt;&gt;""),IF(Programme_Grunddaten!K877="Ja",1,0),"")</f>
        <v/>
      </c>
      <c r="E872" s="1" t="str">
        <f>IF(AND(Programme_Grunddaten!$A877="Geprüft",Programme_Grunddaten!L877&lt;&gt;""),IF(Programme_Grunddaten!L877="Abo / befristete Lizenz",1,0),"")</f>
        <v/>
      </c>
      <c r="F872" s="1" t="str">
        <f>IF(AND(Programme_Grunddaten!$A877="Geprüft",Programme_Grunddaten!M877&lt;&gt;""),IF(Programme_Grunddaten!M877="Ja",1,0),"")</f>
        <v/>
      </c>
      <c r="G872" s="1" t="str">
        <f>IF(AND(Programme_Grunddaten!$A877="Geprüft",Programme_Grunddaten!N877&lt;&gt;""),IF(Programme_Grunddaten!N877="Ja",1,0),"")</f>
        <v/>
      </c>
      <c r="H872" s="1" t="str">
        <f>IF(AND(Programme_Grunddaten!$A877="Geprüft",Programme_Grunddaten!O877&lt;&gt;""),IF(Programme_Grunddaten!O877="Deutschland",0,IF(Programme_Grunddaten!O877="EU",1,2)),"")</f>
        <v/>
      </c>
      <c r="I872" s="1" t="str">
        <f>IF(AND(Programme_Grunddaten!$A877="Geprüft",Programme_Grunddaten!P877&lt;&gt;""),IF(Programme_Grunddaten!P877="Ja",1,0),"")</f>
        <v/>
      </c>
      <c r="J872" s="1" t="str">
        <f>IF(AND(Programme_Grunddaten!$A877="Geprüft",Programme_Grunddaten!Q877&lt;&gt;""),IF(Programme_Grunddaten!Q877="geschlossenes System",1,0),"")</f>
        <v/>
      </c>
      <c r="K872" s="1" t="str">
        <f>IF(AND(Programme_Grunddaten!$A877="Geprüft",Programme_Grunddaten!R877&lt;&gt;""),IF(Programme_Grunddaten!R877="Ja",1,0),"")</f>
        <v/>
      </c>
      <c r="L872" s="1" t="str">
        <f>IF(AND(Programme_Grunddaten!$A877="Geprüft",Programme_Grunddaten!T877&lt;&gt;""),IF(Programme_Grunddaten!T877="Ja",1,0),"")</f>
        <v/>
      </c>
      <c r="M872" s="1" t="str">
        <f>IF(AND(Programme_Grunddaten!$A877="Geprüft",Programme_Grunddaten!U877&lt;&gt;""),IF(Programme_Grunddaten!U877="Ja",1,0),"")</f>
        <v/>
      </c>
      <c r="N872" s="1" t="str">
        <f>IF(AND(Programme_Grunddaten!$A877="Geprüft",Programme_Grunddaten!V877&lt;&gt;""),IF(Programme_Grunddaten!V877="Ja",1,0),"")</f>
        <v/>
      </c>
      <c r="O872" s="1" t="str">
        <f>IF(AND(Programme_Grunddaten!$A877="Geprüft",Programme_Grunddaten!W877&lt;&gt;""),IF(Programme_Grunddaten!W877="Ja",1,0),"")</f>
        <v/>
      </c>
      <c r="P872" s="1" t="str">
        <f>IF(AND(Programme_Grunddaten!$A877="Geprüft",Programme_Grunddaten!X877&lt;&gt;""),IF(Programme_Grunddaten!X877="Ja",1,0),"")</f>
        <v/>
      </c>
      <c r="Q872" s="1" t="str">
        <f>IF(AND(Programme_Grunddaten!$A877="Geprüft",Programme_Grunddaten!Y877&lt;&gt;""),IF(Programme_Grunddaten!Y877="Ja",1,0),"")</f>
        <v/>
      </c>
      <c r="R872" s="1" t="str">
        <f>IF(AND(Programme_Grunddaten!$A877="Geprüft",Programme_Grunddaten!Z877&lt;&gt;""),IF(Programme_Grunddaten!Z877="Ja",1,0),"")</f>
        <v/>
      </c>
      <c r="S872" s="1" t="str">
        <f>IF(AND(Programme_Grunddaten!$A877="Geprüft",Programme_Grunddaten!AA877&lt;&gt;""),IF(Programme_Grunddaten!AA877="monolithisch",1,0),"")</f>
        <v/>
      </c>
      <c r="T872" s="1" t="str">
        <f>IF(AND(Programme_Grunddaten!$A877="Geprüft",Programme_Grunddaten!AB877&lt;&gt;""),IF(Programme_Grunddaten!AB877="Ja",1,0),"")</f>
        <v/>
      </c>
      <c r="U872" s="1" t="str">
        <f>IF(AND(Programme_Grunddaten!$A877="Geprüft",Programme_Grunddaten!AC877&lt;&gt;""),IF(Programme_Grunddaten!AC877="Ja",1,0),"")</f>
        <v/>
      </c>
      <c r="V872" s="1" t="str">
        <f>IF(AND(Programme_Grunddaten!$A877="Geprüft",Programme_Grunddaten!AD877&lt;&gt;""),IF(Programme_Grunddaten!AD877="Ja",1,0),"")</f>
        <v/>
      </c>
      <c r="W872" s="1" t="str">
        <f>IF(AND(Programme_Grunddaten!$A877="Geprüft",Programme_Grunddaten!AE877&lt;&gt;""),IF(Programme_Grunddaten!AE877="Ja",1,0),"")</f>
        <v/>
      </c>
      <c r="X872" s="1" t="str">
        <f>IF(AND(Programme_Grunddaten!$A877="Geprüft",Programme_Grunddaten!AF877&lt;&gt;""),IF(Programme_Grunddaten!AF877="Ja",1,0),"")</f>
        <v/>
      </c>
      <c r="Y872" s="1" t="str">
        <f>IF(AND(Programme_Grunddaten!$A877="Geprüft",Programme_Grunddaten!AG877&lt;&gt;""),IF(Programme_Grunddaten!AG877="Ja",1,0),"")</f>
        <v/>
      </c>
      <c r="Z872" s="1" t="str">
        <f>IF(AND(Programme_Grunddaten!$A877="Geprüft",Programme_Grunddaten!AH877&lt;&gt;""),IF(Programme_Grunddaten!AH877="Ja",1,0),"")</f>
        <v/>
      </c>
      <c r="AA872" s="1" t="str">
        <f>IF(AND(Programme_Grunddaten!$A877="Geprüft",Programme_Grunddaten!AI877&lt;&gt;""),IF(Programme_Grunddaten!AI877="Ja",1,0),"")</f>
        <v/>
      </c>
      <c r="AB872" s="1" t="str">
        <f>IF(AND(Programme_Grunddaten!$A877="Geprüft",Programme_Grunddaten!AJ877&lt;&gt;""),IF(Programme_Grunddaten!AJ877="individuell programmierbar",1,0),"")</f>
        <v/>
      </c>
      <c r="AC872" s="1" t="str">
        <f>IF(AND(Programme_Grunddaten!$A877="Geprüft",Programme_Grunddaten!AK877&lt;&gt;""),IF(Programme_Grunddaten!AK877="Deutsch",0,IF(Programme_Grunddaten!AK877="Deutsch und Englisch",1,2)),"")</f>
        <v/>
      </c>
      <c r="AD872" s="1" t="str">
        <f>IF(AND(Programme_Grunddaten!$A877="Geprüft",Programme_Grunddaten!AL877&lt;&gt;""),IF(Programme_Grunddaten!AL877="Ja",1,0),"")</f>
        <v/>
      </c>
      <c r="AE872" s="1" t="str">
        <f>IF(AND(Programme_Grunddaten!$A877="Geprüft",Programme_Grunddaten!AM877&lt;&gt;""),IF(Programme_Grunddaten!AM877="Ja",1,0),"")</f>
        <v/>
      </c>
      <c r="AF872" s="1" t="str">
        <f>IF(AND(Programme_Grunddaten!$A877="Geprüft",Programme_Grunddaten!AN877&lt;&gt;""),IF(Programme_Grunddaten!AN877="Ja",1,0),"")</f>
        <v/>
      </c>
      <c r="AG872" s="1" t="str">
        <f>IF(AND(Programme_Grunddaten!$A877="Geprüft",Programme_Grunddaten!AO877&lt;&gt;""),IF(Programme_Grunddaten!AO877="Ja",1,0),"")</f>
        <v/>
      </c>
      <c r="AH872" s="1" t="str">
        <f>IF(AND(Programme_Grunddaten!$A877="Geprüft",Programme_Grunddaten!AP877&lt;&gt;""),IF(Programme_Grunddaten!AP877="Ja",1,0),"")</f>
        <v/>
      </c>
      <c r="AI872" s="1" t="str">
        <f>IF(AND(Programme_Grunddaten!$A877="Geprüft",Programme_Grunddaten!AQ877&lt;&gt;""),IF(Programme_Grunddaten!AQ877="Ja",1,0),"")</f>
        <v/>
      </c>
      <c r="AJ872" s="1" t="str">
        <f>IF(AND(Programme_Grunddaten!$A877="Geprüft",Programme_Grunddaten!AR877&lt;&gt;""),IF(Programme_Grunddaten!AR877="Ja",1,0),"")</f>
        <v/>
      </c>
      <c r="AK872" s="1" t="str">
        <f>IF(AND(Programme_Grunddaten!$A877="Geprüft",Programme_Grunddaten!AS877&lt;&gt;""),IF(Programme_Grunddaten!AS877="Ja",1,0),"")</f>
        <v/>
      </c>
      <c r="AL872" s="1" t="str">
        <f>IF(AND(Programme_Grunddaten!$A877="Geprüft",Programme_Grunddaten!AT877&lt;&gt;""),IF(Programme_Grunddaten!AT877="Ja",1,0),"")</f>
        <v/>
      </c>
      <c r="AM872" s="1" t="str">
        <f>IF(AND(Programme_Grunddaten!$A877="Geprüft",Programme_Grunddaten!AU877&lt;&gt;""),IF(Programme_Grunddaten!AU877="Ja",1,0),"")</f>
        <v/>
      </c>
      <c r="AN872" s="1" t="str">
        <f>IF(AND(Programme_Grunddaten!$A877="Geprüft",Programme_Grunddaten!AV877&lt;&gt;""),IF(Programme_Grunddaten!AV877="Ja",1,0),"")</f>
        <v/>
      </c>
    </row>
    <row r="873" spans="1:40" x14ac:dyDescent="0.3">
      <c r="A873" s="1" t="str">
        <f>IF(AND(Programme_Grunddaten!A878="Geprüft",Programme_Grunddaten!B878&lt;&gt;""),Programme_Grunddaten!B878,"")</f>
        <v/>
      </c>
      <c r="B873" s="1" t="str">
        <f>IF(AND(Programme_Grunddaten!$A878="Geprüft",Programme_Grunddaten!I878&lt;&gt;""),IF(Programme_Grunddaten!I878="Ja",1,0),"")</f>
        <v/>
      </c>
      <c r="C873" s="1" t="str">
        <f>IF(AND(Programme_Grunddaten!$A878="Geprüft",Programme_Grunddaten!J878&lt;&gt;""),IF(Programme_Grunddaten!J878="Ja",1,0),"")</f>
        <v/>
      </c>
      <c r="D873" s="1" t="str">
        <f>IF(AND(Programme_Grunddaten!$A878="Geprüft",Programme_Grunddaten!K878&lt;&gt;""),IF(Programme_Grunddaten!K878="Ja",1,0),"")</f>
        <v/>
      </c>
      <c r="E873" s="1" t="str">
        <f>IF(AND(Programme_Grunddaten!$A878="Geprüft",Programme_Grunddaten!L878&lt;&gt;""),IF(Programme_Grunddaten!L878="Abo / befristete Lizenz",1,0),"")</f>
        <v/>
      </c>
      <c r="F873" s="1" t="str">
        <f>IF(AND(Programme_Grunddaten!$A878="Geprüft",Programme_Grunddaten!M878&lt;&gt;""),IF(Programme_Grunddaten!M878="Ja",1,0),"")</f>
        <v/>
      </c>
      <c r="G873" s="1" t="str">
        <f>IF(AND(Programme_Grunddaten!$A878="Geprüft",Programme_Grunddaten!N878&lt;&gt;""),IF(Programme_Grunddaten!N878="Ja",1,0),"")</f>
        <v/>
      </c>
      <c r="H873" s="1" t="str">
        <f>IF(AND(Programme_Grunddaten!$A878="Geprüft",Programme_Grunddaten!O878&lt;&gt;""),IF(Programme_Grunddaten!O878="Deutschland",0,IF(Programme_Grunddaten!O878="EU",1,2)),"")</f>
        <v/>
      </c>
      <c r="I873" s="1" t="str">
        <f>IF(AND(Programme_Grunddaten!$A878="Geprüft",Programme_Grunddaten!P878&lt;&gt;""),IF(Programme_Grunddaten!P878="Ja",1,0),"")</f>
        <v/>
      </c>
      <c r="J873" s="1" t="str">
        <f>IF(AND(Programme_Grunddaten!$A878="Geprüft",Programme_Grunddaten!Q878&lt;&gt;""),IF(Programme_Grunddaten!Q878="geschlossenes System",1,0),"")</f>
        <v/>
      </c>
      <c r="K873" s="1" t="str">
        <f>IF(AND(Programme_Grunddaten!$A878="Geprüft",Programme_Grunddaten!R878&lt;&gt;""),IF(Programme_Grunddaten!R878="Ja",1,0),"")</f>
        <v/>
      </c>
      <c r="L873" s="1" t="str">
        <f>IF(AND(Programme_Grunddaten!$A878="Geprüft",Programme_Grunddaten!T878&lt;&gt;""),IF(Programme_Grunddaten!T878="Ja",1,0),"")</f>
        <v/>
      </c>
      <c r="M873" s="1" t="str">
        <f>IF(AND(Programme_Grunddaten!$A878="Geprüft",Programme_Grunddaten!U878&lt;&gt;""),IF(Programme_Grunddaten!U878="Ja",1,0),"")</f>
        <v/>
      </c>
      <c r="N873" s="1" t="str">
        <f>IF(AND(Programme_Grunddaten!$A878="Geprüft",Programme_Grunddaten!V878&lt;&gt;""),IF(Programme_Grunddaten!V878="Ja",1,0),"")</f>
        <v/>
      </c>
      <c r="O873" s="1" t="str">
        <f>IF(AND(Programme_Grunddaten!$A878="Geprüft",Programme_Grunddaten!W878&lt;&gt;""),IF(Programme_Grunddaten!W878="Ja",1,0),"")</f>
        <v/>
      </c>
      <c r="P873" s="1" t="str">
        <f>IF(AND(Programme_Grunddaten!$A878="Geprüft",Programme_Grunddaten!X878&lt;&gt;""),IF(Programme_Grunddaten!X878="Ja",1,0),"")</f>
        <v/>
      </c>
      <c r="Q873" s="1" t="str">
        <f>IF(AND(Programme_Grunddaten!$A878="Geprüft",Programme_Grunddaten!Y878&lt;&gt;""),IF(Programme_Grunddaten!Y878="Ja",1,0),"")</f>
        <v/>
      </c>
      <c r="R873" s="1" t="str">
        <f>IF(AND(Programme_Grunddaten!$A878="Geprüft",Programme_Grunddaten!Z878&lt;&gt;""),IF(Programme_Grunddaten!Z878="Ja",1,0),"")</f>
        <v/>
      </c>
      <c r="S873" s="1" t="str">
        <f>IF(AND(Programme_Grunddaten!$A878="Geprüft",Programme_Grunddaten!AA878&lt;&gt;""),IF(Programme_Grunddaten!AA878="monolithisch",1,0),"")</f>
        <v/>
      </c>
      <c r="T873" s="1" t="str">
        <f>IF(AND(Programme_Grunddaten!$A878="Geprüft",Programme_Grunddaten!AB878&lt;&gt;""),IF(Programme_Grunddaten!AB878="Ja",1,0),"")</f>
        <v/>
      </c>
      <c r="U873" s="1" t="str">
        <f>IF(AND(Programme_Grunddaten!$A878="Geprüft",Programme_Grunddaten!AC878&lt;&gt;""),IF(Programme_Grunddaten!AC878="Ja",1,0),"")</f>
        <v/>
      </c>
      <c r="V873" s="1" t="str">
        <f>IF(AND(Programme_Grunddaten!$A878="Geprüft",Programme_Grunddaten!AD878&lt;&gt;""),IF(Programme_Grunddaten!AD878="Ja",1,0),"")</f>
        <v/>
      </c>
      <c r="W873" s="1" t="str">
        <f>IF(AND(Programme_Grunddaten!$A878="Geprüft",Programme_Grunddaten!AE878&lt;&gt;""),IF(Programme_Grunddaten!AE878="Ja",1,0),"")</f>
        <v/>
      </c>
      <c r="X873" s="1" t="str">
        <f>IF(AND(Programme_Grunddaten!$A878="Geprüft",Programme_Grunddaten!AF878&lt;&gt;""),IF(Programme_Grunddaten!AF878="Ja",1,0),"")</f>
        <v/>
      </c>
      <c r="Y873" s="1" t="str">
        <f>IF(AND(Programme_Grunddaten!$A878="Geprüft",Programme_Grunddaten!AG878&lt;&gt;""),IF(Programme_Grunddaten!AG878="Ja",1,0),"")</f>
        <v/>
      </c>
      <c r="Z873" s="1" t="str">
        <f>IF(AND(Programme_Grunddaten!$A878="Geprüft",Programme_Grunddaten!AH878&lt;&gt;""),IF(Programme_Grunddaten!AH878="Ja",1,0),"")</f>
        <v/>
      </c>
      <c r="AA873" s="1" t="str">
        <f>IF(AND(Programme_Grunddaten!$A878="Geprüft",Programme_Grunddaten!AI878&lt;&gt;""),IF(Programme_Grunddaten!AI878="Ja",1,0),"")</f>
        <v/>
      </c>
      <c r="AB873" s="1" t="str">
        <f>IF(AND(Programme_Grunddaten!$A878="Geprüft",Programme_Grunddaten!AJ878&lt;&gt;""),IF(Programme_Grunddaten!AJ878="individuell programmierbar",1,0),"")</f>
        <v/>
      </c>
      <c r="AC873" s="1" t="str">
        <f>IF(AND(Programme_Grunddaten!$A878="Geprüft",Programme_Grunddaten!AK878&lt;&gt;""),IF(Programme_Grunddaten!AK878="Deutsch",0,IF(Programme_Grunddaten!AK878="Deutsch und Englisch",1,2)),"")</f>
        <v/>
      </c>
      <c r="AD873" s="1" t="str">
        <f>IF(AND(Programme_Grunddaten!$A878="Geprüft",Programme_Grunddaten!AL878&lt;&gt;""),IF(Programme_Grunddaten!AL878="Ja",1,0),"")</f>
        <v/>
      </c>
      <c r="AE873" s="1" t="str">
        <f>IF(AND(Programme_Grunddaten!$A878="Geprüft",Programme_Grunddaten!AM878&lt;&gt;""),IF(Programme_Grunddaten!AM878="Ja",1,0),"")</f>
        <v/>
      </c>
      <c r="AF873" s="1" t="str">
        <f>IF(AND(Programme_Grunddaten!$A878="Geprüft",Programme_Grunddaten!AN878&lt;&gt;""),IF(Programme_Grunddaten!AN878="Ja",1,0),"")</f>
        <v/>
      </c>
      <c r="AG873" s="1" t="str">
        <f>IF(AND(Programme_Grunddaten!$A878="Geprüft",Programme_Grunddaten!AO878&lt;&gt;""),IF(Programme_Grunddaten!AO878="Ja",1,0),"")</f>
        <v/>
      </c>
      <c r="AH873" s="1" t="str">
        <f>IF(AND(Programme_Grunddaten!$A878="Geprüft",Programme_Grunddaten!AP878&lt;&gt;""),IF(Programme_Grunddaten!AP878="Ja",1,0),"")</f>
        <v/>
      </c>
      <c r="AI873" s="1" t="str">
        <f>IF(AND(Programme_Grunddaten!$A878="Geprüft",Programme_Grunddaten!AQ878&lt;&gt;""),IF(Programme_Grunddaten!AQ878="Ja",1,0),"")</f>
        <v/>
      </c>
      <c r="AJ873" s="1" t="str">
        <f>IF(AND(Programme_Grunddaten!$A878="Geprüft",Programme_Grunddaten!AR878&lt;&gt;""),IF(Programme_Grunddaten!AR878="Ja",1,0),"")</f>
        <v/>
      </c>
      <c r="AK873" s="1" t="str">
        <f>IF(AND(Programme_Grunddaten!$A878="Geprüft",Programme_Grunddaten!AS878&lt;&gt;""),IF(Programme_Grunddaten!AS878="Ja",1,0),"")</f>
        <v/>
      </c>
      <c r="AL873" s="1" t="str">
        <f>IF(AND(Programme_Grunddaten!$A878="Geprüft",Programme_Grunddaten!AT878&lt;&gt;""),IF(Programme_Grunddaten!AT878="Ja",1,0),"")</f>
        <v/>
      </c>
      <c r="AM873" s="1" t="str">
        <f>IF(AND(Programme_Grunddaten!$A878="Geprüft",Programme_Grunddaten!AU878&lt;&gt;""),IF(Programme_Grunddaten!AU878="Ja",1,0),"")</f>
        <v/>
      </c>
      <c r="AN873" s="1" t="str">
        <f>IF(AND(Programme_Grunddaten!$A878="Geprüft",Programme_Grunddaten!AV878&lt;&gt;""),IF(Programme_Grunddaten!AV878="Ja",1,0),"")</f>
        <v/>
      </c>
    </row>
    <row r="874" spans="1:40" x14ac:dyDescent="0.3">
      <c r="A874" s="1" t="str">
        <f>IF(AND(Programme_Grunddaten!A879="Geprüft",Programme_Grunddaten!B879&lt;&gt;""),Programme_Grunddaten!B879,"")</f>
        <v/>
      </c>
      <c r="B874" s="1" t="str">
        <f>IF(AND(Programme_Grunddaten!$A879="Geprüft",Programme_Grunddaten!I879&lt;&gt;""),IF(Programme_Grunddaten!I879="Ja",1,0),"")</f>
        <v/>
      </c>
      <c r="C874" s="1" t="str">
        <f>IF(AND(Programme_Grunddaten!$A879="Geprüft",Programme_Grunddaten!J879&lt;&gt;""),IF(Programme_Grunddaten!J879="Ja",1,0),"")</f>
        <v/>
      </c>
      <c r="D874" s="1" t="str">
        <f>IF(AND(Programme_Grunddaten!$A879="Geprüft",Programme_Grunddaten!K879&lt;&gt;""),IF(Programme_Grunddaten!K879="Ja",1,0),"")</f>
        <v/>
      </c>
      <c r="E874" s="1" t="str">
        <f>IF(AND(Programme_Grunddaten!$A879="Geprüft",Programme_Grunddaten!L879&lt;&gt;""),IF(Programme_Grunddaten!L879="Abo / befristete Lizenz",1,0),"")</f>
        <v/>
      </c>
      <c r="F874" s="1" t="str">
        <f>IF(AND(Programme_Grunddaten!$A879="Geprüft",Programme_Grunddaten!M879&lt;&gt;""),IF(Programme_Grunddaten!M879="Ja",1,0),"")</f>
        <v/>
      </c>
      <c r="G874" s="1" t="str">
        <f>IF(AND(Programme_Grunddaten!$A879="Geprüft",Programme_Grunddaten!N879&lt;&gt;""),IF(Programme_Grunddaten!N879="Ja",1,0),"")</f>
        <v/>
      </c>
      <c r="H874" s="1" t="str">
        <f>IF(AND(Programme_Grunddaten!$A879="Geprüft",Programme_Grunddaten!O879&lt;&gt;""),IF(Programme_Grunddaten!O879="Deutschland",0,IF(Programme_Grunddaten!O879="EU",1,2)),"")</f>
        <v/>
      </c>
      <c r="I874" s="1" t="str">
        <f>IF(AND(Programme_Grunddaten!$A879="Geprüft",Programme_Grunddaten!P879&lt;&gt;""),IF(Programme_Grunddaten!P879="Ja",1,0),"")</f>
        <v/>
      </c>
      <c r="J874" s="1" t="str">
        <f>IF(AND(Programme_Grunddaten!$A879="Geprüft",Programme_Grunddaten!Q879&lt;&gt;""),IF(Programme_Grunddaten!Q879="geschlossenes System",1,0),"")</f>
        <v/>
      </c>
      <c r="K874" s="1" t="str">
        <f>IF(AND(Programme_Grunddaten!$A879="Geprüft",Programme_Grunddaten!R879&lt;&gt;""),IF(Programme_Grunddaten!R879="Ja",1,0),"")</f>
        <v/>
      </c>
      <c r="L874" s="1" t="str">
        <f>IF(AND(Programme_Grunddaten!$A879="Geprüft",Programme_Grunddaten!T879&lt;&gt;""),IF(Programme_Grunddaten!T879="Ja",1,0),"")</f>
        <v/>
      </c>
      <c r="M874" s="1" t="str">
        <f>IF(AND(Programme_Grunddaten!$A879="Geprüft",Programme_Grunddaten!U879&lt;&gt;""),IF(Programme_Grunddaten!U879="Ja",1,0),"")</f>
        <v/>
      </c>
      <c r="N874" s="1" t="str">
        <f>IF(AND(Programme_Grunddaten!$A879="Geprüft",Programme_Grunddaten!V879&lt;&gt;""),IF(Programme_Grunddaten!V879="Ja",1,0),"")</f>
        <v/>
      </c>
      <c r="O874" s="1" t="str">
        <f>IF(AND(Programme_Grunddaten!$A879="Geprüft",Programme_Grunddaten!W879&lt;&gt;""),IF(Programme_Grunddaten!W879="Ja",1,0),"")</f>
        <v/>
      </c>
      <c r="P874" s="1" t="str">
        <f>IF(AND(Programme_Grunddaten!$A879="Geprüft",Programme_Grunddaten!X879&lt;&gt;""),IF(Programme_Grunddaten!X879="Ja",1,0),"")</f>
        <v/>
      </c>
      <c r="Q874" s="1" t="str">
        <f>IF(AND(Programme_Grunddaten!$A879="Geprüft",Programme_Grunddaten!Y879&lt;&gt;""),IF(Programme_Grunddaten!Y879="Ja",1,0),"")</f>
        <v/>
      </c>
      <c r="R874" s="1" t="str">
        <f>IF(AND(Programme_Grunddaten!$A879="Geprüft",Programme_Grunddaten!Z879&lt;&gt;""),IF(Programme_Grunddaten!Z879="Ja",1,0),"")</f>
        <v/>
      </c>
      <c r="S874" s="1" t="str">
        <f>IF(AND(Programme_Grunddaten!$A879="Geprüft",Programme_Grunddaten!AA879&lt;&gt;""),IF(Programme_Grunddaten!AA879="monolithisch",1,0),"")</f>
        <v/>
      </c>
      <c r="T874" s="1" t="str">
        <f>IF(AND(Programme_Grunddaten!$A879="Geprüft",Programme_Grunddaten!AB879&lt;&gt;""),IF(Programme_Grunddaten!AB879="Ja",1,0),"")</f>
        <v/>
      </c>
      <c r="U874" s="1" t="str">
        <f>IF(AND(Programme_Grunddaten!$A879="Geprüft",Programme_Grunddaten!AC879&lt;&gt;""),IF(Programme_Grunddaten!AC879="Ja",1,0),"")</f>
        <v/>
      </c>
      <c r="V874" s="1" t="str">
        <f>IF(AND(Programme_Grunddaten!$A879="Geprüft",Programme_Grunddaten!AD879&lt;&gt;""),IF(Programme_Grunddaten!AD879="Ja",1,0),"")</f>
        <v/>
      </c>
      <c r="W874" s="1" t="str">
        <f>IF(AND(Programme_Grunddaten!$A879="Geprüft",Programme_Grunddaten!AE879&lt;&gt;""),IF(Programme_Grunddaten!AE879="Ja",1,0),"")</f>
        <v/>
      </c>
      <c r="X874" s="1" t="str">
        <f>IF(AND(Programme_Grunddaten!$A879="Geprüft",Programme_Grunddaten!AF879&lt;&gt;""),IF(Programme_Grunddaten!AF879="Ja",1,0),"")</f>
        <v/>
      </c>
      <c r="Y874" s="1" t="str">
        <f>IF(AND(Programme_Grunddaten!$A879="Geprüft",Programme_Grunddaten!AG879&lt;&gt;""),IF(Programme_Grunddaten!AG879="Ja",1,0),"")</f>
        <v/>
      </c>
      <c r="Z874" s="1" t="str">
        <f>IF(AND(Programme_Grunddaten!$A879="Geprüft",Programme_Grunddaten!AH879&lt;&gt;""),IF(Programme_Grunddaten!AH879="Ja",1,0),"")</f>
        <v/>
      </c>
      <c r="AA874" s="1" t="str">
        <f>IF(AND(Programme_Grunddaten!$A879="Geprüft",Programme_Grunddaten!AI879&lt;&gt;""),IF(Programme_Grunddaten!AI879="Ja",1,0),"")</f>
        <v/>
      </c>
      <c r="AB874" s="1" t="str">
        <f>IF(AND(Programme_Grunddaten!$A879="Geprüft",Programme_Grunddaten!AJ879&lt;&gt;""),IF(Programme_Grunddaten!AJ879="individuell programmierbar",1,0),"")</f>
        <v/>
      </c>
      <c r="AC874" s="1" t="str">
        <f>IF(AND(Programme_Grunddaten!$A879="Geprüft",Programme_Grunddaten!AK879&lt;&gt;""),IF(Programme_Grunddaten!AK879="Deutsch",0,IF(Programme_Grunddaten!AK879="Deutsch und Englisch",1,2)),"")</f>
        <v/>
      </c>
      <c r="AD874" s="1" t="str">
        <f>IF(AND(Programme_Grunddaten!$A879="Geprüft",Programme_Grunddaten!AL879&lt;&gt;""),IF(Programme_Grunddaten!AL879="Ja",1,0),"")</f>
        <v/>
      </c>
      <c r="AE874" s="1" t="str">
        <f>IF(AND(Programme_Grunddaten!$A879="Geprüft",Programme_Grunddaten!AM879&lt;&gt;""),IF(Programme_Grunddaten!AM879="Ja",1,0),"")</f>
        <v/>
      </c>
      <c r="AF874" s="1" t="str">
        <f>IF(AND(Programme_Grunddaten!$A879="Geprüft",Programme_Grunddaten!AN879&lt;&gt;""),IF(Programme_Grunddaten!AN879="Ja",1,0),"")</f>
        <v/>
      </c>
      <c r="AG874" s="1" t="str">
        <f>IF(AND(Programme_Grunddaten!$A879="Geprüft",Programme_Grunddaten!AO879&lt;&gt;""),IF(Programme_Grunddaten!AO879="Ja",1,0),"")</f>
        <v/>
      </c>
      <c r="AH874" s="1" t="str">
        <f>IF(AND(Programme_Grunddaten!$A879="Geprüft",Programme_Grunddaten!AP879&lt;&gt;""),IF(Programme_Grunddaten!AP879="Ja",1,0),"")</f>
        <v/>
      </c>
      <c r="AI874" s="1" t="str">
        <f>IF(AND(Programme_Grunddaten!$A879="Geprüft",Programme_Grunddaten!AQ879&lt;&gt;""),IF(Programme_Grunddaten!AQ879="Ja",1,0),"")</f>
        <v/>
      </c>
      <c r="AJ874" s="1" t="str">
        <f>IF(AND(Programme_Grunddaten!$A879="Geprüft",Programme_Grunddaten!AR879&lt;&gt;""),IF(Programme_Grunddaten!AR879="Ja",1,0),"")</f>
        <v/>
      </c>
      <c r="AK874" s="1" t="str">
        <f>IF(AND(Programme_Grunddaten!$A879="Geprüft",Programme_Grunddaten!AS879&lt;&gt;""),IF(Programme_Grunddaten!AS879="Ja",1,0),"")</f>
        <v/>
      </c>
      <c r="AL874" s="1" t="str">
        <f>IF(AND(Programme_Grunddaten!$A879="Geprüft",Programme_Grunddaten!AT879&lt;&gt;""),IF(Programme_Grunddaten!AT879="Ja",1,0),"")</f>
        <v/>
      </c>
      <c r="AM874" s="1" t="str">
        <f>IF(AND(Programme_Grunddaten!$A879="Geprüft",Programme_Grunddaten!AU879&lt;&gt;""),IF(Programme_Grunddaten!AU879="Ja",1,0),"")</f>
        <v/>
      </c>
      <c r="AN874" s="1" t="str">
        <f>IF(AND(Programme_Grunddaten!$A879="Geprüft",Programme_Grunddaten!AV879&lt;&gt;""),IF(Programme_Grunddaten!AV879="Ja",1,0),"")</f>
        <v/>
      </c>
    </row>
    <row r="875" spans="1:40" x14ac:dyDescent="0.3">
      <c r="A875" s="1" t="str">
        <f>IF(AND(Programme_Grunddaten!A880="Geprüft",Programme_Grunddaten!B880&lt;&gt;""),Programme_Grunddaten!B880,"")</f>
        <v/>
      </c>
      <c r="B875" s="1" t="str">
        <f>IF(AND(Programme_Grunddaten!$A880="Geprüft",Programme_Grunddaten!I880&lt;&gt;""),IF(Programme_Grunddaten!I880="Ja",1,0),"")</f>
        <v/>
      </c>
      <c r="C875" s="1" t="str">
        <f>IF(AND(Programme_Grunddaten!$A880="Geprüft",Programme_Grunddaten!J880&lt;&gt;""),IF(Programme_Grunddaten!J880="Ja",1,0),"")</f>
        <v/>
      </c>
      <c r="D875" s="1" t="str">
        <f>IF(AND(Programme_Grunddaten!$A880="Geprüft",Programme_Grunddaten!K880&lt;&gt;""),IF(Programme_Grunddaten!K880="Ja",1,0),"")</f>
        <v/>
      </c>
      <c r="E875" s="1" t="str">
        <f>IF(AND(Programme_Grunddaten!$A880="Geprüft",Programme_Grunddaten!L880&lt;&gt;""),IF(Programme_Grunddaten!L880="Abo / befristete Lizenz",1,0),"")</f>
        <v/>
      </c>
      <c r="F875" s="1" t="str">
        <f>IF(AND(Programme_Grunddaten!$A880="Geprüft",Programme_Grunddaten!M880&lt;&gt;""),IF(Programme_Grunddaten!M880="Ja",1,0),"")</f>
        <v/>
      </c>
      <c r="G875" s="1" t="str">
        <f>IF(AND(Programme_Grunddaten!$A880="Geprüft",Programme_Grunddaten!N880&lt;&gt;""),IF(Programme_Grunddaten!N880="Ja",1,0),"")</f>
        <v/>
      </c>
      <c r="H875" s="1" t="str">
        <f>IF(AND(Programme_Grunddaten!$A880="Geprüft",Programme_Grunddaten!O880&lt;&gt;""),IF(Programme_Grunddaten!O880="Deutschland",0,IF(Programme_Grunddaten!O880="EU",1,2)),"")</f>
        <v/>
      </c>
      <c r="I875" s="1" t="str">
        <f>IF(AND(Programme_Grunddaten!$A880="Geprüft",Programme_Grunddaten!P880&lt;&gt;""),IF(Programme_Grunddaten!P880="Ja",1,0),"")</f>
        <v/>
      </c>
      <c r="J875" s="1" t="str">
        <f>IF(AND(Programme_Grunddaten!$A880="Geprüft",Programme_Grunddaten!Q880&lt;&gt;""),IF(Programme_Grunddaten!Q880="geschlossenes System",1,0),"")</f>
        <v/>
      </c>
      <c r="K875" s="1" t="str">
        <f>IF(AND(Programme_Grunddaten!$A880="Geprüft",Programme_Grunddaten!R880&lt;&gt;""),IF(Programme_Grunddaten!R880="Ja",1,0),"")</f>
        <v/>
      </c>
      <c r="L875" s="1" t="str">
        <f>IF(AND(Programme_Grunddaten!$A880="Geprüft",Programme_Grunddaten!T880&lt;&gt;""),IF(Programme_Grunddaten!T880="Ja",1,0),"")</f>
        <v/>
      </c>
      <c r="M875" s="1" t="str">
        <f>IF(AND(Programme_Grunddaten!$A880="Geprüft",Programme_Grunddaten!U880&lt;&gt;""),IF(Programme_Grunddaten!U880="Ja",1,0),"")</f>
        <v/>
      </c>
      <c r="N875" s="1" t="str">
        <f>IF(AND(Programme_Grunddaten!$A880="Geprüft",Programme_Grunddaten!V880&lt;&gt;""),IF(Programme_Grunddaten!V880="Ja",1,0),"")</f>
        <v/>
      </c>
      <c r="O875" s="1" t="str">
        <f>IF(AND(Programme_Grunddaten!$A880="Geprüft",Programme_Grunddaten!W880&lt;&gt;""),IF(Programme_Grunddaten!W880="Ja",1,0),"")</f>
        <v/>
      </c>
      <c r="P875" s="1" t="str">
        <f>IF(AND(Programme_Grunddaten!$A880="Geprüft",Programme_Grunddaten!X880&lt;&gt;""),IF(Programme_Grunddaten!X880="Ja",1,0),"")</f>
        <v/>
      </c>
      <c r="Q875" s="1" t="str">
        <f>IF(AND(Programme_Grunddaten!$A880="Geprüft",Programme_Grunddaten!Y880&lt;&gt;""),IF(Programme_Grunddaten!Y880="Ja",1,0),"")</f>
        <v/>
      </c>
      <c r="R875" s="1" t="str">
        <f>IF(AND(Programme_Grunddaten!$A880="Geprüft",Programme_Grunddaten!Z880&lt;&gt;""),IF(Programme_Grunddaten!Z880="Ja",1,0),"")</f>
        <v/>
      </c>
      <c r="S875" s="1" t="str">
        <f>IF(AND(Programme_Grunddaten!$A880="Geprüft",Programme_Grunddaten!AA880&lt;&gt;""),IF(Programme_Grunddaten!AA880="monolithisch",1,0),"")</f>
        <v/>
      </c>
      <c r="T875" s="1" t="str">
        <f>IF(AND(Programme_Grunddaten!$A880="Geprüft",Programme_Grunddaten!AB880&lt;&gt;""),IF(Programme_Grunddaten!AB880="Ja",1,0),"")</f>
        <v/>
      </c>
      <c r="U875" s="1" t="str">
        <f>IF(AND(Programme_Grunddaten!$A880="Geprüft",Programme_Grunddaten!AC880&lt;&gt;""),IF(Programme_Grunddaten!AC880="Ja",1,0),"")</f>
        <v/>
      </c>
      <c r="V875" s="1" t="str">
        <f>IF(AND(Programme_Grunddaten!$A880="Geprüft",Programme_Grunddaten!AD880&lt;&gt;""),IF(Programme_Grunddaten!AD880="Ja",1,0),"")</f>
        <v/>
      </c>
      <c r="W875" s="1" t="str">
        <f>IF(AND(Programme_Grunddaten!$A880="Geprüft",Programme_Grunddaten!AE880&lt;&gt;""),IF(Programme_Grunddaten!AE880="Ja",1,0),"")</f>
        <v/>
      </c>
      <c r="X875" s="1" t="str">
        <f>IF(AND(Programme_Grunddaten!$A880="Geprüft",Programme_Grunddaten!AF880&lt;&gt;""),IF(Programme_Grunddaten!AF880="Ja",1,0),"")</f>
        <v/>
      </c>
      <c r="Y875" s="1" t="str">
        <f>IF(AND(Programme_Grunddaten!$A880="Geprüft",Programme_Grunddaten!AG880&lt;&gt;""),IF(Programme_Grunddaten!AG880="Ja",1,0),"")</f>
        <v/>
      </c>
      <c r="Z875" s="1" t="str">
        <f>IF(AND(Programme_Grunddaten!$A880="Geprüft",Programme_Grunddaten!AH880&lt;&gt;""),IF(Programme_Grunddaten!AH880="Ja",1,0),"")</f>
        <v/>
      </c>
      <c r="AA875" s="1" t="str">
        <f>IF(AND(Programme_Grunddaten!$A880="Geprüft",Programme_Grunddaten!AI880&lt;&gt;""),IF(Programme_Grunddaten!AI880="Ja",1,0),"")</f>
        <v/>
      </c>
      <c r="AB875" s="1" t="str">
        <f>IF(AND(Programme_Grunddaten!$A880="Geprüft",Programme_Grunddaten!AJ880&lt;&gt;""),IF(Programme_Grunddaten!AJ880="individuell programmierbar",1,0),"")</f>
        <v/>
      </c>
      <c r="AC875" s="1" t="str">
        <f>IF(AND(Programme_Grunddaten!$A880="Geprüft",Programme_Grunddaten!AK880&lt;&gt;""),IF(Programme_Grunddaten!AK880="Deutsch",0,IF(Programme_Grunddaten!AK880="Deutsch und Englisch",1,2)),"")</f>
        <v/>
      </c>
      <c r="AD875" s="1" t="str">
        <f>IF(AND(Programme_Grunddaten!$A880="Geprüft",Programme_Grunddaten!AL880&lt;&gt;""),IF(Programme_Grunddaten!AL880="Ja",1,0),"")</f>
        <v/>
      </c>
      <c r="AE875" s="1" t="str">
        <f>IF(AND(Programme_Grunddaten!$A880="Geprüft",Programme_Grunddaten!AM880&lt;&gt;""),IF(Programme_Grunddaten!AM880="Ja",1,0),"")</f>
        <v/>
      </c>
      <c r="AF875" s="1" t="str">
        <f>IF(AND(Programme_Grunddaten!$A880="Geprüft",Programme_Grunddaten!AN880&lt;&gt;""),IF(Programme_Grunddaten!AN880="Ja",1,0),"")</f>
        <v/>
      </c>
      <c r="AG875" s="1" t="str">
        <f>IF(AND(Programme_Grunddaten!$A880="Geprüft",Programme_Grunddaten!AO880&lt;&gt;""),IF(Programme_Grunddaten!AO880="Ja",1,0),"")</f>
        <v/>
      </c>
      <c r="AH875" s="1" t="str">
        <f>IF(AND(Programme_Grunddaten!$A880="Geprüft",Programme_Grunddaten!AP880&lt;&gt;""),IF(Programme_Grunddaten!AP880="Ja",1,0),"")</f>
        <v/>
      </c>
      <c r="AI875" s="1" t="str">
        <f>IF(AND(Programme_Grunddaten!$A880="Geprüft",Programme_Grunddaten!AQ880&lt;&gt;""),IF(Programme_Grunddaten!AQ880="Ja",1,0),"")</f>
        <v/>
      </c>
      <c r="AJ875" s="1" t="str">
        <f>IF(AND(Programme_Grunddaten!$A880="Geprüft",Programme_Grunddaten!AR880&lt;&gt;""),IF(Programme_Grunddaten!AR880="Ja",1,0),"")</f>
        <v/>
      </c>
      <c r="AK875" s="1" t="str">
        <f>IF(AND(Programme_Grunddaten!$A880="Geprüft",Programme_Grunddaten!AS880&lt;&gt;""),IF(Programme_Grunddaten!AS880="Ja",1,0),"")</f>
        <v/>
      </c>
      <c r="AL875" s="1" t="str">
        <f>IF(AND(Programme_Grunddaten!$A880="Geprüft",Programme_Grunddaten!AT880&lt;&gt;""),IF(Programme_Grunddaten!AT880="Ja",1,0),"")</f>
        <v/>
      </c>
      <c r="AM875" s="1" t="str">
        <f>IF(AND(Programme_Grunddaten!$A880="Geprüft",Programme_Grunddaten!AU880&lt;&gt;""),IF(Programme_Grunddaten!AU880="Ja",1,0),"")</f>
        <v/>
      </c>
      <c r="AN875" s="1" t="str">
        <f>IF(AND(Programme_Grunddaten!$A880="Geprüft",Programme_Grunddaten!AV880&lt;&gt;""),IF(Programme_Grunddaten!AV880="Ja",1,0),"")</f>
        <v/>
      </c>
    </row>
    <row r="876" spans="1:40" x14ac:dyDescent="0.3">
      <c r="A876" s="1" t="str">
        <f>IF(AND(Programme_Grunddaten!A881="Geprüft",Programme_Grunddaten!B881&lt;&gt;""),Programme_Grunddaten!B881,"")</f>
        <v/>
      </c>
      <c r="B876" s="1" t="str">
        <f>IF(AND(Programme_Grunddaten!$A881="Geprüft",Programme_Grunddaten!I881&lt;&gt;""),IF(Programme_Grunddaten!I881="Ja",1,0),"")</f>
        <v/>
      </c>
      <c r="C876" s="1" t="str">
        <f>IF(AND(Programme_Grunddaten!$A881="Geprüft",Programme_Grunddaten!J881&lt;&gt;""),IF(Programme_Grunddaten!J881="Ja",1,0),"")</f>
        <v/>
      </c>
      <c r="D876" s="1" t="str">
        <f>IF(AND(Programme_Grunddaten!$A881="Geprüft",Programme_Grunddaten!K881&lt;&gt;""),IF(Programme_Grunddaten!K881="Ja",1,0),"")</f>
        <v/>
      </c>
      <c r="E876" s="1" t="str">
        <f>IF(AND(Programme_Grunddaten!$A881="Geprüft",Programme_Grunddaten!L881&lt;&gt;""),IF(Programme_Grunddaten!L881="Abo / befristete Lizenz",1,0),"")</f>
        <v/>
      </c>
      <c r="F876" s="1" t="str">
        <f>IF(AND(Programme_Grunddaten!$A881="Geprüft",Programme_Grunddaten!M881&lt;&gt;""),IF(Programme_Grunddaten!M881="Ja",1,0),"")</f>
        <v/>
      </c>
      <c r="G876" s="1" t="str">
        <f>IF(AND(Programme_Grunddaten!$A881="Geprüft",Programme_Grunddaten!N881&lt;&gt;""),IF(Programme_Grunddaten!N881="Ja",1,0),"")</f>
        <v/>
      </c>
      <c r="H876" s="1" t="str">
        <f>IF(AND(Programme_Grunddaten!$A881="Geprüft",Programme_Grunddaten!O881&lt;&gt;""),IF(Programme_Grunddaten!O881="Deutschland",0,IF(Programme_Grunddaten!O881="EU",1,2)),"")</f>
        <v/>
      </c>
      <c r="I876" s="1" t="str">
        <f>IF(AND(Programme_Grunddaten!$A881="Geprüft",Programme_Grunddaten!P881&lt;&gt;""),IF(Programme_Grunddaten!P881="Ja",1,0),"")</f>
        <v/>
      </c>
      <c r="J876" s="1" t="str">
        <f>IF(AND(Programme_Grunddaten!$A881="Geprüft",Programme_Grunddaten!Q881&lt;&gt;""),IF(Programme_Grunddaten!Q881="geschlossenes System",1,0),"")</f>
        <v/>
      </c>
      <c r="K876" s="1" t="str">
        <f>IF(AND(Programme_Grunddaten!$A881="Geprüft",Programme_Grunddaten!R881&lt;&gt;""),IF(Programme_Grunddaten!R881="Ja",1,0),"")</f>
        <v/>
      </c>
      <c r="L876" s="1" t="str">
        <f>IF(AND(Programme_Grunddaten!$A881="Geprüft",Programme_Grunddaten!T881&lt;&gt;""),IF(Programme_Grunddaten!T881="Ja",1,0),"")</f>
        <v/>
      </c>
      <c r="M876" s="1" t="str">
        <f>IF(AND(Programme_Grunddaten!$A881="Geprüft",Programme_Grunddaten!U881&lt;&gt;""),IF(Programme_Grunddaten!U881="Ja",1,0),"")</f>
        <v/>
      </c>
      <c r="N876" s="1" t="str">
        <f>IF(AND(Programme_Grunddaten!$A881="Geprüft",Programme_Grunddaten!V881&lt;&gt;""),IF(Programme_Grunddaten!V881="Ja",1,0),"")</f>
        <v/>
      </c>
      <c r="O876" s="1" t="str">
        <f>IF(AND(Programme_Grunddaten!$A881="Geprüft",Programme_Grunddaten!W881&lt;&gt;""),IF(Programme_Grunddaten!W881="Ja",1,0),"")</f>
        <v/>
      </c>
      <c r="P876" s="1" t="str">
        <f>IF(AND(Programme_Grunddaten!$A881="Geprüft",Programme_Grunddaten!X881&lt;&gt;""),IF(Programme_Grunddaten!X881="Ja",1,0),"")</f>
        <v/>
      </c>
      <c r="Q876" s="1" t="str">
        <f>IF(AND(Programme_Grunddaten!$A881="Geprüft",Programme_Grunddaten!Y881&lt;&gt;""),IF(Programme_Grunddaten!Y881="Ja",1,0),"")</f>
        <v/>
      </c>
      <c r="R876" s="1" t="str">
        <f>IF(AND(Programme_Grunddaten!$A881="Geprüft",Programme_Grunddaten!Z881&lt;&gt;""),IF(Programme_Grunddaten!Z881="Ja",1,0),"")</f>
        <v/>
      </c>
      <c r="S876" s="1" t="str">
        <f>IF(AND(Programme_Grunddaten!$A881="Geprüft",Programme_Grunddaten!AA881&lt;&gt;""),IF(Programme_Grunddaten!AA881="monolithisch",1,0),"")</f>
        <v/>
      </c>
      <c r="T876" s="1" t="str">
        <f>IF(AND(Programme_Grunddaten!$A881="Geprüft",Programme_Grunddaten!AB881&lt;&gt;""),IF(Programme_Grunddaten!AB881="Ja",1,0),"")</f>
        <v/>
      </c>
      <c r="U876" s="1" t="str">
        <f>IF(AND(Programme_Grunddaten!$A881="Geprüft",Programme_Grunddaten!AC881&lt;&gt;""),IF(Programme_Grunddaten!AC881="Ja",1,0),"")</f>
        <v/>
      </c>
      <c r="V876" s="1" t="str">
        <f>IF(AND(Programme_Grunddaten!$A881="Geprüft",Programme_Grunddaten!AD881&lt;&gt;""),IF(Programme_Grunddaten!AD881="Ja",1,0),"")</f>
        <v/>
      </c>
      <c r="W876" s="1" t="str">
        <f>IF(AND(Programme_Grunddaten!$A881="Geprüft",Programme_Grunddaten!AE881&lt;&gt;""),IF(Programme_Grunddaten!AE881="Ja",1,0),"")</f>
        <v/>
      </c>
      <c r="X876" s="1" t="str">
        <f>IF(AND(Programme_Grunddaten!$A881="Geprüft",Programme_Grunddaten!AF881&lt;&gt;""),IF(Programme_Grunddaten!AF881="Ja",1,0),"")</f>
        <v/>
      </c>
      <c r="Y876" s="1" t="str">
        <f>IF(AND(Programme_Grunddaten!$A881="Geprüft",Programme_Grunddaten!AG881&lt;&gt;""),IF(Programme_Grunddaten!AG881="Ja",1,0),"")</f>
        <v/>
      </c>
      <c r="Z876" s="1" t="str">
        <f>IF(AND(Programme_Grunddaten!$A881="Geprüft",Programme_Grunddaten!AH881&lt;&gt;""),IF(Programme_Grunddaten!AH881="Ja",1,0),"")</f>
        <v/>
      </c>
      <c r="AA876" s="1" t="str">
        <f>IF(AND(Programme_Grunddaten!$A881="Geprüft",Programme_Grunddaten!AI881&lt;&gt;""),IF(Programme_Grunddaten!AI881="Ja",1,0),"")</f>
        <v/>
      </c>
      <c r="AB876" s="1" t="str">
        <f>IF(AND(Programme_Grunddaten!$A881="Geprüft",Programme_Grunddaten!AJ881&lt;&gt;""),IF(Programme_Grunddaten!AJ881="individuell programmierbar",1,0),"")</f>
        <v/>
      </c>
      <c r="AC876" s="1" t="str">
        <f>IF(AND(Programme_Grunddaten!$A881="Geprüft",Programme_Grunddaten!AK881&lt;&gt;""),IF(Programme_Grunddaten!AK881="Deutsch",0,IF(Programme_Grunddaten!AK881="Deutsch und Englisch",1,2)),"")</f>
        <v/>
      </c>
      <c r="AD876" s="1" t="str">
        <f>IF(AND(Programme_Grunddaten!$A881="Geprüft",Programme_Grunddaten!AL881&lt;&gt;""),IF(Programme_Grunddaten!AL881="Ja",1,0),"")</f>
        <v/>
      </c>
      <c r="AE876" s="1" t="str">
        <f>IF(AND(Programme_Grunddaten!$A881="Geprüft",Programme_Grunddaten!AM881&lt;&gt;""),IF(Programme_Grunddaten!AM881="Ja",1,0),"")</f>
        <v/>
      </c>
      <c r="AF876" s="1" t="str">
        <f>IF(AND(Programme_Grunddaten!$A881="Geprüft",Programme_Grunddaten!AN881&lt;&gt;""),IF(Programme_Grunddaten!AN881="Ja",1,0),"")</f>
        <v/>
      </c>
      <c r="AG876" s="1" t="str">
        <f>IF(AND(Programme_Grunddaten!$A881="Geprüft",Programme_Grunddaten!AO881&lt;&gt;""),IF(Programme_Grunddaten!AO881="Ja",1,0),"")</f>
        <v/>
      </c>
      <c r="AH876" s="1" t="str">
        <f>IF(AND(Programme_Grunddaten!$A881="Geprüft",Programme_Grunddaten!AP881&lt;&gt;""),IF(Programme_Grunddaten!AP881="Ja",1,0),"")</f>
        <v/>
      </c>
      <c r="AI876" s="1" t="str">
        <f>IF(AND(Programme_Grunddaten!$A881="Geprüft",Programme_Grunddaten!AQ881&lt;&gt;""),IF(Programme_Grunddaten!AQ881="Ja",1,0),"")</f>
        <v/>
      </c>
      <c r="AJ876" s="1" t="str">
        <f>IF(AND(Programme_Grunddaten!$A881="Geprüft",Programme_Grunddaten!AR881&lt;&gt;""),IF(Programme_Grunddaten!AR881="Ja",1,0),"")</f>
        <v/>
      </c>
      <c r="AK876" s="1" t="str">
        <f>IF(AND(Programme_Grunddaten!$A881="Geprüft",Programme_Grunddaten!AS881&lt;&gt;""),IF(Programme_Grunddaten!AS881="Ja",1,0),"")</f>
        <v/>
      </c>
      <c r="AL876" s="1" t="str">
        <f>IF(AND(Programme_Grunddaten!$A881="Geprüft",Programme_Grunddaten!AT881&lt;&gt;""),IF(Programme_Grunddaten!AT881="Ja",1,0),"")</f>
        <v/>
      </c>
      <c r="AM876" s="1" t="str">
        <f>IF(AND(Programme_Grunddaten!$A881="Geprüft",Programme_Grunddaten!AU881&lt;&gt;""),IF(Programme_Grunddaten!AU881="Ja",1,0),"")</f>
        <v/>
      </c>
      <c r="AN876" s="1" t="str">
        <f>IF(AND(Programme_Grunddaten!$A881="Geprüft",Programme_Grunddaten!AV881&lt;&gt;""),IF(Programme_Grunddaten!AV881="Ja",1,0),"")</f>
        <v/>
      </c>
    </row>
    <row r="877" spans="1:40" x14ac:dyDescent="0.3">
      <c r="A877" s="1" t="str">
        <f>IF(AND(Programme_Grunddaten!A882="Geprüft",Programme_Grunddaten!B882&lt;&gt;""),Programme_Grunddaten!B882,"")</f>
        <v/>
      </c>
      <c r="B877" s="1" t="str">
        <f>IF(AND(Programme_Grunddaten!$A882="Geprüft",Programme_Grunddaten!I882&lt;&gt;""),IF(Programme_Grunddaten!I882="Ja",1,0),"")</f>
        <v/>
      </c>
      <c r="C877" s="1" t="str">
        <f>IF(AND(Programme_Grunddaten!$A882="Geprüft",Programme_Grunddaten!J882&lt;&gt;""),IF(Programme_Grunddaten!J882="Ja",1,0),"")</f>
        <v/>
      </c>
      <c r="D877" s="1" t="str">
        <f>IF(AND(Programme_Grunddaten!$A882="Geprüft",Programme_Grunddaten!K882&lt;&gt;""),IF(Programme_Grunddaten!K882="Ja",1,0),"")</f>
        <v/>
      </c>
      <c r="E877" s="1" t="str">
        <f>IF(AND(Programme_Grunddaten!$A882="Geprüft",Programme_Grunddaten!L882&lt;&gt;""),IF(Programme_Grunddaten!L882="Abo / befristete Lizenz",1,0),"")</f>
        <v/>
      </c>
      <c r="F877" s="1" t="str">
        <f>IF(AND(Programme_Grunddaten!$A882="Geprüft",Programme_Grunddaten!M882&lt;&gt;""),IF(Programme_Grunddaten!M882="Ja",1,0),"")</f>
        <v/>
      </c>
      <c r="G877" s="1" t="str">
        <f>IF(AND(Programme_Grunddaten!$A882="Geprüft",Programme_Grunddaten!N882&lt;&gt;""),IF(Programme_Grunddaten!N882="Ja",1,0),"")</f>
        <v/>
      </c>
      <c r="H877" s="1" t="str">
        <f>IF(AND(Programme_Grunddaten!$A882="Geprüft",Programme_Grunddaten!O882&lt;&gt;""),IF(Programme_Grunddaten!O882="Deutschland",0,IF(Programme_Grunddaten!O882="EU",1,2)),"")</f>
        <v/>
      </c>
      <c r="I877" s="1" t="str">
        <f>IF(AND(Programme_Grunddaten!$A882="Geprüft",Programme_Grunddaten!P882&lt;&gt;""),IF(Programme_Grunddaten!P882="Ja",1,0),"")</f>
        <v/>
      </c>
      <c r="J877" s="1" t="str">
        <f>IF(AND(Programme_Grunddaten!$A882="Geprüft",Programme_Grunddaten!Q882&lt;&gt;""),IF(Programme_Grunddaten!Q882="geschlossenes System",1,0),"")</f>
        <v/>
      </c>
      <c r="K877" s="1" t="str">
        <f>IF(AND(Programme_Grunddaten!$A882="Geprüft",Programme_Grunddaten!R882&lt;&gt;""),IF(Programme_Grunddaten!R882="Ja",1,0),"")</f>
        <v/>
      </c>
      <c r="L877" s="1" t="str">
        <f>IF(AND(Programme_Grunddaten!$A882="Geprüft",Programme_Grunddaten!T882&lt;&gt;""),IF(Programme_Grunddaten!T882="Ja",1,0),"")</f>
        <v/>
      </c>
      <c r="M877" s="1" t="str">
        <f>IF(AND(Programme_Grunddaten!$A882="Geprüft",Programme_Grunddaten!U882&lt;&gt;""),IF(Programme_Grunddaten!U882="Ja",1,0),"")</f>
        <v/>
      </c>
      <c r="N877" s="1" t="str">
        <f>IF(AND(Programme_Grunddaten!$A882="Geprüft",Programme_Grunddaten!V882&lt;&gt;""),IF(Programme_Grunddaten!V882="Ja",1,0),"")</f>
        <v/>
      </c>
      <c r="O877" s="1" t="str">
        <f>IF(AND(Programme_Grunddaten!$A882="Geprüft",Programme_Grunddaten!W882&lt;&gt;""),IF(Programme_Grunddaten!W882="Ja",1,0),"")</f>
        <v/>
      </c>
      <c r="P877" s="1" t="str">
        <f>IF(AND(Programme_Grunddaten!$A882="Geprüft",Programme_Grunddaten!X882&lt;&gt;""),IF(Programme_Grunddaten!X882="Ja",1,0),"")</f>
        <v/>
      </c>
      <c r="Q877" s="1" t="str">
        <f>IF(AND(Programme_Grunddaten!$A882="Geprüft",Programme_Grunddaten!Y882&lt;&gt;""),IF(Programme_Grunddaten!Y882="Ja",1,0),"")</f>
        <v/>
      </c>
      <c r="R877" s="1" t="str">
        <f>IF(AND(Programme_Grunddaten!$A882="Geprüft",Programme_Grunddaten!Z882&lt;&gt;""),IF(Programme_Grunddaten!Z882="Ja",1,0),"")</f>
        <v/>
      </c>
      <c r="S877" s="1" t="str">
        <f>IF(AND(Programme_Grunddaten!$A882="Geprüft",Programme_Grunddaten!AA882&lt;&gt;""),IF(Programme_Grunddaten!AA882="monolithisch",1,0),"")</f>
        <v/>
      </c>
      <c r="T877" s="1" t="str">
        <f>IF(AND(Programme_Grunddaten!$A882="Geprüft",Programme_Grunddaten!AB882&lt;&gt;""),IF(Programme_Grunddaten!AB882="Ja",1,0),"")</f>
        <v/>
      </c>
      <c r="U877" s="1" t="str">
        <f>IF(AND(Programme_Grunddaten!$A882="Geprüft",Programme_Grunddaten!AC882&lt;&gt;""),IF(Programme_Grunddaten!AC882="Ja",1,0),"")</f>
        <v/>
      </c>
      <c r="V877" s="1" t="str">
        <f>IF(AND(Programme_Grunddaten!$A882="Geprüft",Programme_Grunddaten!AD882&lt;&gt;""),IF(Programme_Grunddaten!AD882="Ja",1,0),"")</f>
        <v/>
      </c>
      <c r="W877" s="1" t="str">
        <f>IF(AND(Programme_Grunddaten!$A882="Geprüft",Programme_Grunddaten!AE882&lt;&gt;""),IF(Programme_Grunddaten!AE882="Ja",1,0),"")</f>
        <v/>
      </c>
      <c r="X877" s="1" t="str">
        <f>IF(AND(Programme_Grunddaten!$A882="Geprüft",Programme_Grunddaten!AF882&lt;&gt;""),IF(Programme_Grunddaten!AF882="Ja",1,0),"")</f>
        <v/>
      </c>
      <c r="Y877" s="1" t="str">
        <f>IF(AND(Programme_Grunddaten!$A882="Geprüft",Programme_Grunddaten!AG882&lt;&gt;""),IF(Programme_Grunddaten!AG882="Ja",1,0),"")</f>
        <v/>
      </c>
      <c r="Z877" s="1" t="str">
        <f>IF(AND(Programme_Grunddaten!$A882="Geprüft",Programme_Grunddaten!AH882&lt;&gt;""),IF(Programme_Grunddaten!AH882="Ja",1,0),"")</f>
        <v/>
      </c>
      <c r="AA877" s="1" t="str">
        <f>IF(AND(Programme_Grunddaten!$A882="Geprüft",Programme_Grunddaten!AI882&lt;&gt;""),IF(Programme_Grunddaten!AI882="Ja",1,0),"")</f>
        <v/>
      </c>
      <c r="AB877" s="1" t="str">
        <f>IF(AND(Programme_Grunddaten!$A882="Geprüft",Programme_Grunddaten!AJ882&lt;&gt;""),IF(Programme_Grunddaten!AJ882="individuell programmierbar",1,0),"")</f>
        <v/>
      </c>
      <c r="AC877" s="1" t="str">
        <f>IF(AND(Programme_Grunddaten!$A882="Geprüft",Programme_Grunddaten!AK882&lt;&gt;""),IF(Programme_Grunddaten!AK882="Deutsch",0,IF(Programme_Grunddaten!AK882="Deutsch und Englisch",1,2)),"")</f>
        <v/>
      </c>
      <c r="AD877" s="1" t="str">
        <f>IF(AND(Programme_Grunddaten!$A882="Geprüft",Programme_Grunddaten!AL882&lt;&gt;""),IF(Programme_Grunddaten!AL882="Ja",1,0),"")</f>
        <v/>
      </c>
      <c r="AE877" s="1" t="str">
        <f>IF(AND(Programme_Grunddaten!$A882="Geprüft",Programme_Grunddaten!AM882&lt;&gt;""),IF(Programme_Grunddaten!AM882="Ja",1,0),"")</f>
        <v/>
      </c>
      <c r="AF877" s="1" t="str">
        <f>IF(AND(Programme_Grunddaten!$A882="Geprüft",Programme_Grunddaten!AN882&lt;&gt;""),IF(Programme_Grunddaten!AN882="Ja",1,0),"")</f>
        <v/>
      </c>
      <c r="AG877" s="1" t="str">
        <f>IF(AND(Programme_Grunddaten!$A882="Geprüft",Programme_Grunddaten!AO882&lt;&gt;""),IF(Programme_Grunddaten!AO882="Ja",1,0),"")</f>
        <v/>
      </c>
      <c r="AH877" s="1" t="str">
        <f>IF(AND(Programme_Grunddaten!$A882="Geprüft",Programme_Grunddaten!AP882&lt;&gt;""),IF(Programme_Grunddaten!AP882="Ja",1,0),"")</f>
        <v/>
      </c>
      <c r="AI877" s="1" t="str">
        <f>IF(AND(Programme_Grunddaten!$A882="Geprüft",Programme_Grunddaten!AQ882&lt;&gt;""),IF(Programme_Grunddaten!AQ882="Ja",1,0),"")</f>
        <v/>
      </c>
      <c r="AJ877" s="1" t="str">
        <f>IF(AND(Programme_Grunddaten!$A882="Geprüft",Programme_Grunddaten!AR882&lt;&gt;""),IF(Programme_Grunddaten!AR882="Ja",1,0),"")</f>
        <v/>
      </c>
      <c r="AK877" s="1" t="str">
        <f>IF(AND(Programme_Grunddaten!$A882="Geprüft",Programme_Grunddaten!AS882&lt;&gt;""),IF(Programme_Grunddaten!AS882="Ja",1,0),"")</f>
        <v/>
      </c>
      <c r="AL877" s="1" t="str">
        <f>IF(AND(Programme_Grunddaten!$A882="Geprüft",Programme_Grunddaten!AT882&lt;&gt;""),IF(Programme_Grunddaten!AT882="Ja",1,0),"")</f>
        <v/>
      </c>
      <c r="AM877" s="1" t="str">
        <f>IF(AND(Programme_Grunddaten!$A882="Geprüft",Programme_Grunddaten!AU882&lt;&gt;""),IF(Programme_Grunddaten!AU882="Ja",1,0),"")</f>
        <v/>
      </c>
      <c r="AN877" s="1" t="str">
        <f>IF(AND(Programme_Grunddaten!$A882="Geprüft",Programme_Grunddaten!AV882&lt;&gt;""),IF(Programme_Grunddaten!AV882="Ja",1,0),"")</f>
        <v/>
      </c>
    </row>
    <row r="878" spans="1:40" x14ac:dyDescent="0.3">
      <c r="A878" s="1" t="str">
        <f>IF(AND(Programme_Grunddaten!A883="Geprüft",Programme_Grunddaten!B883&lt;&gt;""),Programme_Grunddaten!B883,"")</f>
        <v/>
      </c>
      <c r="B878" s="1" t="str">
        <f>IF(AND(Programme_Grunddaten!$A883="Geprüft",Programme_Grunddaten!I883&lt;&gt;""),IF(Programme_Grunddaten!I883="Ja",1,0),"")</f>
        <v/>
      </c>
      <c r="C878" s="1" t="str">
        <f>IF(AND(Programme_Grunddaten!$A883="Geprüft",Programme_Grunddaten!J883&lt;&gt;""),IF(Programme_Grunddaten!J883="Ja",1,0),"")</f>
        <v/>
      </c>
      <c r="D878" s="1" t="str">
        <f>IF(AND(Programme_Grunddaten!$A883="Geprüft",Programme_Grunddaten!K883&lt;&gt;""),IF(Programme_Grunddaten!K883="Ja",1,0),"")</f>
        <v/>
      </c>
      <c r="E878" s="1" t="str">
        <f>IF(AND(Programme_Grunddaten!$A883="Geprüft",Programme_Grunddaten!L883&lt;&gt;""),IF(Programme_Grunddaten!L883="Abo / befristete Lizenz",1,0),"")</f>
        <v/>
      </c>
      <c r="F878" s="1" t="str">
        <f>IF(AND(Programme_Grunddaten!$A883="Geprüft",Programme_Grunddaten!M883&lt;&gt;""),IF(Programme_Grunddaten!M883="Ja",1,0),"")</f>
        <v/>
      </c>
      <c r="G878" s="1" t="str">
        <f>IF(AND(Programme_Grunddaten!$A883="Geprüft",Programme_Grunddaten!N883&lt;&gt;""),IF(Programme_Grunddaten!N883="Ja",1,0),"")</f>
        <v/>
      </c>
      <c r="H878" s="1" t="str">
        <f>IF(AND(Programme_Grunddaten!$A883="Geprüft",Programme_Grunddaten!O883&lt;&gt;""),IF(Programme_Grunddaten!O883="Deutschland",0,IF(Programme_Grunddaten!O883="EU",1,2)),"")</f>
        <v/>
      </c>
      <c r="I878" s="1" t="str">
        <f>IF(AND(Programme_Grunddaten!$A883="Geprüft",Programme_Grunddaten!P883&lt;&gt;""),IF(Programme_Grunddaten!P883="Ja",1,0),"")</f>
        <v/>
      </c>
      <c r="J878" s="1" t="str">
        <f>IF(AND(Programme_Grunddaten!$A883="Geprüft",Programme_Grunddaten!Q883&lt;&gt;""),IF(Programme_Grunddaten!Q883="geschlossenes System",1,0),"")</f>
        <v/>
      </c>
      <c r="K878" s="1" t="str">
        <f>IF(AND(Programme_Grunddaten!$A883="Geprüft",Programme_Grunddaten!R883&lt;&gt;""),IF(Programme_Grunddaten!R883="Ja",1,0),"")</f>
        <v/>
      </c>
      <c r="L878" s="1" t="str">
        <f>IF(AND(Programme_Grunddaten!$A883="Geprüft",Programme_Grunddaten!T883&lt;&gt;""),IF(Programme_Grunddaten!T883="Ja",1,0),"")</f>
        <v/>
      </c>
      <c r="M878" s="1" t="str">
        <f>IF(AND(Programme_Grunddaten!$A883="Geprüft",Programme_Grunddaten!U883&lt;&gt;""),IF(Programme_Grunddaten!U883="Ja",1,0),"")</f>
        <v/>
      </c>
      <c r="N878" s="1" t="str">
        <f>IF(AND(Programme_Grunddaten!$A883="Geprüft",Programme_Grunddaten!V883&lt;&gt;""),IF(Programme_Grunddaten!V883="Ja",1,0),"")</f>
        <v/>
      </c>
      <c r="O878" s="1" t="str">
        <f>IF(AND(Programme_Grunddaten!$A883="Geprüft",Programme_Grunddaten!W883&lt;&gt;""),IF(Programme_Grunddaten!W883="Ja",1,0),"")</f>
        <v/>
      </c>
      <c r="P878" s="1" t="str">
        <f>IF(AND(Programme_Grunddaten!$A883="Geprüft",Programme_Grunddaten!X883&lt;&gt;""),IF(Programme_Grunddaten!X883="Ja",1,0),"")</f>
        <v/>
      </c>
      <c r="Q878" s="1" t="str">
        <f>IF(AND(Programme_Grunddaten!$A883="Geprüft",Programme_Grunddaten!Y883&lt;&gt;""),IF(Programme_Grunddaten!Y883="Ja",1,0),"")</f>
        <v/>
      </c>
      <c r="R878" s="1" t="str">
        <f>IF(AND(Programme_Grunddaten!$A883="Geprüft",Programme_Grunddaten!Z883&lt;&gt;""),IF(Programme_Grunddaten!Z883="Ja",1,0),"")</f>
        <v/>
      </c>
      <c r="S878" s="1" t="str">
        <f>IF(AND(Programme_Grunddaten!$A883="Geprüft",Programme_Grunddaten!AA883&lt;&gt;""),IF(Programme_Grunddaten!AA883="monolithisch",1,0),"")</f>
        <v/>
      </c>
      <c r="T878" s="1" t="str">
        <f>IF(AND(Programme_Grunddaten!$A883="Geprüft",Programme_Grunddaten!AB883&lt;&gt;""),IF(Programme_Grunddaten!AB883="Ja",1,0),"")</f>
        <v/>
      </c>
      <c r="U878" s="1" t="str">
        <f>IF(AND(Programme_Grunddaten!$A883="Geprüft",Programme_Grunddaten!AC883&lt;&gt;""),IF(Programme_Grunddaten!AC883="Ja",1,0),"")</f>
        <v/>
      </c>
      <c r="V878" s="1" t="str">
        <f>IF(AND(Programme_Grunddaten!$A883="Geprüft",Programme_Grunddaten!AD883&lt;&gt;""),IF(Programme_Grunddaten!AD883="Ja",1,0),"")</f>
        <v/>
      </c>
      <c r="W878" s="1" t="str">
        <f>IF(AND(Programme_Grunddaten!$A883="Geprüft",Programme_Grunddaten!AE883&lt;&gt;""),IF(Programme_Grunddaten!AE883="Ja",1,0),"")</f>
        <v/>
      </c>
      <c r="X878" s="1" t="str">
        <f>IF(AND(Programme_Grunddaten!$A883="Geprüft",Programme_Grunddaten!AF883&lt;&gt;""),IF(Programme_Grunddaten!AF883="Ja",1,0),"")</f>
        <v/>
      </c>
      <c r="Y878" s="1" t="str">
        <f>IF(AND(Programme_Grunddaten!$A883="Geprüft",Programme_Grunddaten!AG883&lt;&gt;""),IF(Programme_Grunddaten!AG883="Ja",1,0),"")</f>
        <v/>
      </c>
      <c r="Z878" s="1" t="str">
        <f>IF(AND(Programme_Grunddaten!$A883="Geprüft",Programme_Grunddaten!AH883&lt;&gt;""),IF(Programme_Grunddaten!AH883="Ja",1,0),"")</f>
        <v/>
      </c>
      <c r="AA878" s="1" t="str">
        <f>IF(AND(Programme_Grunddaten!$A883="Geprüft",Programme_Grunddaten!AI883&lt;&gt;""),IF(Programme_Grunddaten!AI883="Ja",1,0),"")</f>
        <v/>
      </c>
      <c r="AB878" s="1" t="str">
        <f>IF(AND(Programme_Grunddaten!$A883="Geprüft",Programme_Grunddaten!AJ883&lt;&gt;""),IF(Programme_Grunddaten!AJ883="individuell programmierbar",1,0),"")</f>
        <v/>
      </c>
      <c r="AC878" s="1" t="str">
        <f>IF(AND(Programme_Grunddaten!$A883="Geprüft",Programme_Grunddaten!AK883&lt;&gt;""),IF(Programme_Grunddaten!AK883="Deutsch",0,IF(Programme_Grunddaten!AK883="Deutsch und Englisch",1,2)),"")</f>
        <v/>
      </c>
      <c r="AD878" s="1" t="str">
        <f>IF(AND(Programme_Grunddaten!$A883="Geprüft",Programme_Grunddaten!AL883&lt;&gt;""),IF(Programme_Grunddaten!AL883="Ja",1,0),"")</f>
        <v/>
      </c>
      <c r="AE878" s="1" t="str">
        <f>IF(AND(Programme_Grunddaten!$A883="Geprüft",Programme_Grunddaten!AM883&lt;&gt;""),IF(Programme_Grunddaten!AM883="Ja",1,0),"")</f>
        <v/>
      </c>
      <c r="AF878" s="1" t="str">
        <f>IF(AND(Programme_Grunddaten!$A883="Geprüft",Programme_Grunddaten!AN883&lt;&gt;""),IF(Programme_Grunddaten!AN883="Ja",1,0),"")</f>
        <v/>
      </c>
      <c r="AG878" s="1" t="str">
        <f>IF(AND(Programme_Grunddaten!$A883="Geprüft",Programme_Grunddaten!AO883&lt;&gt;""),IF(Programme_Grunddaten!AO883="Ja",1,0),"")</f>
        <v/>
      </c>
      <c r="AH878" s="1" t="str">
        <f>IF(AND(Programme_Grunddaten!$A883="Geprüft",Programme_Grunddaten!AP883&lt;&gt;""),IF(Programme_Grunddaten!AP883="Ja",1,0),"")</f>
        <v/>
      </c>
      <c r="AI878" s="1" t="str">
        <f>IF(AND(Programme_Grunddaten!$A883="Geprüft",Programme_Grunddaten!AQ883&lt;&gt;""),IF(Programme_Grunddaten!AQ883="Ja",1,0),"")</f>
        <v/>
      </c>
      <c r="AJ878" s="1" t="str">
        <f>IF(AND(Programme_Grunddaten!$A883="Geprüft",Programme_Grunddaten!AR883&lt;&gt;""),IF(Programme_Grunddaten!AR883="Ja",1,0),"")</f>
        <v/>
      </c>
      <c r="AK878" s="1" t="str">
        <f>IF(AND(Programme_Grunddaten!$A883="Geprüft",Programme_Grunddaten!AS883&lt;&gt;""),IF(Programme_Grunddaten!AS883="Ja",1,0),"")</f>
        <v/>
      </c>
      <c r="AL878" s="1" t="str">
        <f>IF(AND(Programme_Grunddaten!$A883="Geprüft",Programme_Grunddaten!AT883&lt;&gt;""),IF(Programme_Grunddaten!AT883="Ja",1,0),"")</f>
        <v/>
      </c>
      <c r="AM878" s="1" t="str">
        <f>IF(AND(Programme_Grunddaten!$A883="Geprüft",Programme_Grunddaten!AU883&lt;&gt;""),IF(Programme_Grunddaten!AU883="Ja",1,0),"")</f>
        <v/>
      </c>
      <c r="AN878" s="1" t="str">
        <f>IF(AND(Programme_Grunddaten!$A883="Geprüft",Programme_Grunddaten!AV883&lt;&gt;""),IF(Programme_Grunddaten!AV883="Ja",1,0),"")</f>
        <v/>
      </c>
    </row>
    <row r="879" spans="1:40" x14ac:dyDescent="0.3">
      <c r="A879" s="1" t="str">
        <f>IF(AND(Programme_Grunddaten!A884="Geprüft",Programme_Grunddaten!B884&lt;&gt;""),Programme_Grunddaten!B884,"")</f>
        <v/>
      </c>
      <c r="B879" s="1" t="str">
        <f>IF(AND(Programme_Grunddaten!$A884="Geprüft",Programme_Grunddaten!I884&lt;&gt;""),IF(Programme_Grunddaten!I884="Ja",1,0),"")</f>
        <v/>
      </c>
      <c r="C879" s="1" t="str">
        <f>IF(AND(Programme_Grunddaten!$A884="Geprüft",Programme_Grunddaten!J884&lt;&gt;""),IF(Programme_Grunddaten!J884="Ja",1,0),"")</f>
        <v/>
      </c>
      <c r="D879" s="1" t="str">
        <f>IF(AND(Programme_Grunddaten!$A884="Geprüft",Programme_Grunddaten!K884&lt;&gt;""),IF(Programme_Grunddaten!K884="Ja",1,0),"")</f>
        <v/>
      </c>
      <c r="E879" s="1" t="str">
        <f>IF(AND(Programme_Grunddaten!$A884="Geprüft",Programme_Grunddaten!L884&lt;&gt;""),IF(Programme_Grunddaten!L884="Abo / befristete Lizenz",1,0),"")</f>
        <v/>
      </c>
      <c r="F879" s="1" t="str">
        <f>IF(AND(Programme_Grunddaten!$A884="Geprüft",Programme_Grunddaten!M884&lt;&gt;""),IF(Programme_Grunddaten!M884="Ja",1,0),"")</f>
        <v/>
      </c>
      <c r="G879" s="1" t="str">
        <f>IF(AND(Programme_Grunddaten!$A884="Geprüft",Programme_Grunddaten!N884&lt;&gt;""),IF(Programme_Grunddaten!N884="Ja",1,0),"")</f>
        <v/>
      </c>
      <c r="H879" s="1" t="str">
        <f>IF(AND(Programme_Grunddaten!$A884="Geprüft",Programme_Grunddaten!O884&lt;&gt;""),IF(Programme_Grunddaten!O884="Deutschland",0,IF(Programme_Grunddaten!O884="EU",1,2)),"")</f>
        <v/>
      </c>
      <c r="I879" s="1" t="str">
        <f>IF(AND(Programme_Grunddaten!$A884="Geprüft",Programme_Grunddaten!P884&lt;&gt;""),IF(Programme_Grunddaten!P884="Ja",1,0),"")</f>
        <v/>
      </c>
      <c r="J879" s="1" t="str">
        <f>IF(AND(Programme_Grunddaten!$A884="Geprüft",Programme_Grunddaten!Q884&lt;&gt;""),IF(Programme_Grunddaten!Q884="geschlossenes System",1,0),"")</f>
        <v/>
      </c>
      <c r="K879" s="1" t="str">
        <f>IF(AND(Programme_Grunddaten!$A884="Geprüft",Programme_Grunddaten!R884&lt;&gt;""),IF(Programme_Grunddaten!R884="Ja",1,0),"")</f>
        <v/>
      </c>
      <c r="L879" s="1" t="str">
        <f>IF(AND(Programme_Grunddaten!$A884="Geprüft",Programme_Grunddaten!T884&lt;&gt;""),IF(Programme_Grunddaten!T884="Ja",1,0),"")</f>
        <v/>
      </c>
      <c r="M879" s="1" t="str">
        <f>IF(AND(Programme_Grunddaten!$A884="Geprüft",Programme_Grunddaten!U884&lt;&gt;""),IF(Programme_Grunddaten!U884="Ja",1,0),"")</f>
        <v/>
      </c>
      <c r="N879" s="1" t="str">
        <f>IF(AND(Programme_Grunddaten!$A884="Geprüft",Programme_Grunddaten!V884&lt;&gt;""),IF(Programme_Grunddaten!V884="Ja",1,0),"")</f>
        <v/>
      </c>
      <c r="O879" s="1" t="str">
        <f>IF(AND(Programme_Grunddaten!$A884="Geprüft",Programme_Grunddaten!W884&lt;&gt;""),IF(Programme_Grunddaten!W884="Ja",1,0),"")</f>
        <v/>
      </c>
      <c r="P879" s="1" t="str">
        <f>IF(AND(Programme_Grunddaten!$A884="Geprüft",Programme_Grunddaten!X884&lt;&gt;""),IF(Programme_Grunddaten!X884="Ja",1,0),"")</f>
        <v/>
      </c>
      <c r="Q879" s="1" t="str">
        <f>IF(AND(Programme_Grunddaten!$A884="Geprüft",Programme_Grunddaten!Y884&lt;&gt;""),IF(Programme_Grunddaten!Y884="Ja",1,0),"")</f>
        <v/>
      </c>
      <c r="R879" s="1" t="str">
        <f>IF(AND(Programme_Grunddaten!$A884="Geprüft",Programme_Grunddaten!Z884&lt;&gt;""),IF(Programme_Grunddaten!Z884="Ja",1,0),"")</f>
        <v/>
      </c>
      <c r="S879" s="1" t="str">
        <f>IF(AND(Programme_Grunddaten!$A884="Geprüft",Programme_Grunddaten!AA884&lt;&gt;""),IF(Programme_Grunddaten!AA884="monolithisch",1,0),"")</f>
        <v/>
      </c>
      <c r="T879" s="1" t="str">
        <f>IF(AND(Programme_Grunddaten!$A884="Geprüft",Programme_Grunddaten!AB884&lt;&gt;""),IF(Programme_Grunddaten!AB884="Ja",1,0),"")</f>
        <v/>
      </c>
      <c r="U879" s="1" t="str">
        <f>IF(AND(Programme_Grunddaten!$A884="Geprüft",Programme_Grunddaten!AC884&lt;&gt;""),IF(Programme_Grunddaten!AC884="Ja",1,0),"")</f>
        <v/>
      </c>
      <c r="V879" s="1" t="str">
        <f>IF(AND(Programme_Grunddaten!$A884="Geprüft",Programme_Grunddaten!AD884&lt;&gt;""),IF(Programme_Grunddaten!AD884="Ja",1,0),"")</f>
        <v/>
      </c>
      <c r="W879" s="1" t="str">
        <f>IF(AND(Programme_Grunddaten!$A884="Geprüft",Programme_Grunddaten!AE884&lt;&gt;""),IF(Programme_Grunddaten!AE884="Ja",1,0),"")</f>
        <v/>
      </c>
      <c r="X879" s="1" t="str">
        <f>IF(AND(Programme_Grunddaten!$A884="Geprüft",Programme_Grunddaten!AF884&lt;&gt;""),IF(Programme_Grunddaten!AF884="Ja",1,0),"")</f>
        <v/>
      </c>
      <c r="Y879" s="1" t="str">
        <f>IF(AND(Programme_Grunddaten!$A884="Geprüft",Programme_Grunddaten!AG884&lt;&gt;""),IF(Programme_Grunddaten!AG884="Ja",1,0),"")</f>
        <v/>
      </c>
      <c r="Z879" s="1" t="str">
        <f>IF(AND(Programme_Grunddaten!$A884="Geprüft",Programme_Grunddaten!AH884&lt;&gt;""),IF(Programme_Grunddaten!AH884="Ja",1,0),"")</f>
        <v/>
      </c>
      <c r="AA879" s="1" t="str">
        <f>IF(AND(Programme_Grunddaten!$A884="Geprüft",Programme_Grunddaten!AI884&lt;&gt;""),IF(Programme_Grunddaten!AI884="Ja",1,0),"")</f>
        <v/>
      </c>
      <c r="AB879" s="1" t="str">
        <f>IF(AND(Programme_Grunddaten!$A884="Geprüft",Programme_Grunddaten!AJ884&lt;&gt;""),IF(Programme_Grunddaten!AJ884="individuell programmierbar",1,0),"")</f>
        <v/>
      </c>
      <c r="AC879" s="1" t="str">
        <f>IF(AND(Programme_Grunddaten!$A884="Geprüft",Programme_Grunddaten!AK884&lt;&gt;""),IF(Programme_Grunddaten!AK884="Deutsch",0,IF(Programme_Grunddaten!AK884="Deutsch und Englisch",1,2)),"")</f>
        <v/>
      </c>
      <c r="AD879" s="1" t="str">
        <f>IF(AND(Programme_Grunddaten!$A884="Geprüft",Programme_Grunddaten!AL884&lt;&gt;""),IF(Programme_Grunddaten!AL884="Ja",1,0),"")</f>
        <v/>
      </c>
      <c r="AE879" s="1" t="str">
        <f>IF(AND(Programme_Grunddaten!$A884="Geprüft",Programme_Grunddaten!AM884&lt;&gt;""),IF(Programme_Grunddaten!AM884="Ja",1,0),"")</f>
        <v/>
      </c>
      <c r="AF879" s="1" t="str">
        <f>IF(AND(Programme_Grunddaten!$A884="Geprüft",Programme_Grunddaten!AN884&lt;&gt;""),IF(Programme_Grunddaten!AN884="Ja",1,0),"")</f>
        <v/>
      </c>
      <c r="AG879" s="1" t="str">
        <f>IF(AND(Programme_Grunddaten!$A884="Geprüft",Programme_Grunddaten!AO884&lt;&gt;""),IF(Programme_Grunddaten!AO884="Ja",1,0),"")</f>
        <v/>
      </c>
      <c r="AH879" s="1" t="str">
        <f>IF(AND(Programme_Grunddaten!$A884="Geprüft",Programme_Grunddaten!AP884&lt;&gt;""),IF(Programme_Grunddaten!AP884="Ja",1,0),"")</f>
        <v/>
      </c>
      <c r="AI879" s="1" t="str">
        <f>IF(AND(Programme_Grunddaten!$A884="Geprüft",Programme_Grunddaten!AQ884&lt;&gt;""),IF(Programme_Grunddaten!AQ884="Ja",1,0),"")</f>
        <v/>
      </c>
      <c r="AJ879" s="1" t="str">
        <f>IF(AND(Programme_Grunddaten!$A884="Geprüft",Programme_Grunddaten!AR884&lt;&gt;""),IF(Programme_Grunddaten!AR884="Ja",1,0),"")</f>
        <v/>
      </c>
      <c r="AK879" s="1" t="str">
        <f>IF(AND(Programme_Grunddaten!$A884="Geprüft",Programme_Grunddaten!AS884&lt;&gt;""),IF(Programme_Grunddaten!AS884="Ja",1,0),"")</f>
        <v/>
      </c>
      <c r="AL879" s="1" t="str">
        <f>IF(AND(Programme_Grunddaten!$A884="Geprüft",Programme_Grunddaten!AT884&lt;&gt;""),IF(Programme_Grunddaten!AT884="Ja",1,0),"")</f>
        <v/>
      </c>
      <c r="AM879" s="1" t="str">
        <f>IF(AND(Programme_Grunddaten!$A884="Geprüft",Programme_Grunddaten!AU884&lt;&gt;""),IF(Programme_Grunddaten!AU884="Ja",1,0),"")</f>
        <v/>
      </c>
      <c r="AN879" s="1" t="str">
        <f>IF(AND(Programme_Grunddaten!$A884="Geprüft",Programme_Grunddaten!AV884&lt;&gt;""),IF(Programme_Grunddaten!AV884="Ja",1,0),"")</f>
        <v/>
      </c>
    </row>
    <row r="880" spans="1:40" x14ac:dyDescent="0.3">
      <c r="A880" s="1" t="str">
        <f>IF(AND(Programme_Grunddaten!A885="Geprüft",Programme_Grunddaten!B885&lt;&gt;""),Programme_Grunddaten!B885,"")</f>
        <v/>
      </c>
      <c r="B880" s="1" t="str">
        <f>IF(AND(Programme_Grunddaten!$A885="Geprüft",Programme_Grunddaten!I885&lt;&gt;""),IF(Programme_Grunddaten!I885="Ja",1,0),"")</f>
        <v/>
      </c>
      <c r="C880" s="1" t="str">
        <f>IF(AND(Programme_Grunddaten!$A885="Geprüft",Programme_Grunddaten!J885&lt;&gt;""),IF(Programme_Grunddaten!J885="Ja",1,0),"")</f>
        <v/>
      </c>
      <c r="D880" s="1" t="str">
        <f>IF(AND(Programme_Grunddaten!$A885="Geprüft",Programme_Grunddaten!K885&lt;&gt;""),IF(Programme_Grunddaten!K885="Ja",1,0),"")</f>
        <v/>
      </c>
      <c r="E880" s="1" t="str">
        <f>IF(AND(Programme_Grunddaten!$A885="Geprüft",Programme_Grunddaten!L885&lt;&gt;""),IF(Programme_Grunddaten!L885="Abo / befristete Lizenz",1,0),"")</f>
        <v/>
      </c>
      <c r="F880" s="1" t="str">
        <f>IF(AND(Programme_Grunddaten!$A885="Geprüft",Programme_Grunddaten!M885&lt;&gt;""),IF(Programme_Grunddaten!M885="Ja",1,0),"")</f>
        <v/>
      </c>
      <c r="G880" s="1" t="str">
        <f>IF(AND(Programme_Grunddaten!$A885="Geprüft",Programme_Grunddaten!N885&lt;&gt;""),IF(Programme_Grunddaten!N885="Ja",1,0),"")</f>
        <v/>
      </c>
      <c r="H880" s="1" t="str">
        <f>IF(AND(Programme_Grunddaten!$A885="Geprüft",Programme_Grunddaten!O885&lt;&gt;""),IF(Programme_Grunddaten!O885="Deutschland",0,IF(Programme_Grunddaten!O885="EU",1,2)),"")</f>
        <v/>
      </c>
      <c r="I880" s="1" t="str">
        <f>IF(AND(Programme_Grunddaten!$A885="Geprüft",Programme_Grunddaten!P885&lt;&gt;""),IF(Programme_Grunddaten!P885="Ja",1,0),"")</f>
        <v/>
      </c>
      <c r="J880" s="1" t="str">
        <f>IF(AND(Programme_Grunddaten!$A885="Geprüft",Programme_Grunddaten!Q885&lt;&gt;""),IF(Programme_Grunddaten!Q885="geschlossenes System",1,0),"")</f>
        <v/>
      </c>
      <c r="K880" s="1" t="str">
        <f>IF(AND(Programme_Grunddaten!$A885="Geprüft",Programme_Grunddaten!R885&lt;&gt;""),IF(Programme_Grunddaten!R885="Ja",1,0),"")</f>
        <v/>
      </c>
      <c r="L880" s="1" t="str">
        <f>IF(AND(Programme_Grunddaten!$A885="Geprüft",Programme_Grunddaten!T885&lt;&gt;""),IF(Programme_Grunddaten!T885="Ja",1,0),"")</f>
        <v/>
      </c>
      <c r="M880" s="1" t="str">
        <f>IF(AND(Programme_Grunddaten!$A885="Geprüft",Programme_Grunddaten!U885&lt;&gt;""),IF(Programme_Grunddaten!U885="Ja",1,0),"")</f>
        <v/>
      </c>
      <c r="N880" s="1" t="str">
        <f>IF(AND(Programme_Grunddaten!$A885="Geprüft",Programme_Grunddaten!V885&lt;&gt;""),IF(Programme_Grunddaten!V885="Ja",1,0),"")</f>
        <v/>
      </c>
      <c r="O880" s="1" t="str">
        <f>IF(AND(Programme_Grunddaten!$A885="Geprüft",Programme_Grunddaten!W885&lt;&gt;""),IF(Programme_Grunddaten!W885="Ja",1,0),"")</f>
        <v/>
      </c>
      <c r="P880" s="1" t="str">
        <f>IF(AND(Programme_Grunddaten!$A885="Geprüft",Programme_Grunddaten!X885&lt;&gt;""),IF(Programme_Grunddaten!X885="Ja",1,0),"")</f>
        <v/>
      </c>
      <c r="Q880" s="1" t="str">
        <f>IF(AND(Programme_Grunddaten!$A885="Geprüft",Programme_Grunddaten!Y885&lt;&gt;""),IF(Programme_Grunddaten!Y885="Ja",1,0),"")</f>
        <v/>
      </c>
      <c r="R880" s="1" t="str">
        <f>IF(AND(Programme_Grunddaten!$A885="Geprüft",Programme_Grunddaten!Z885&lt;&gt;""),IF(Programme_Grunddaten!Z885="Ja",1,0),"")</f>
        <v/>
      </c>
      <c r="S880" s="1" t="str">
        <f>IF(AND(Programme_Grunddaten!$A885="Geprüft",Programme_Grunddaten!AA885&lt;&gt;""),IF(Programme_Grunddaten!AA885="monolithisch",1,0),"")</f>
        <v/>
      </c>
      <c r="T880" s="1" t="str">
        <f>IF(AND(Programme_Grunddaten!$A885="Geprüft",Programme_Grunddaten!AB885&lt;&gt;""),IF(Programme_Grunddaten!AB885="Ja",1,0),"")</f>
        <v/>
      </c>
      <c r="U880" s="1" t="str">
        <f>IF(AND(Programme_Grunddaten!$A885="Geprüft",Programme_Grunddaten!AC885&lt;&gt;""),IF(Programme_Grunddaten!AC885="Ja",1,0),"")</f>
        <v/>
      </c>
      <c r="V880" s="1" t="str">
        <f>IF(AND(Programme_Grunddaten!$A885="Geprüft",Programme_Grunddaten!AD885&lt;&gt;""),IF(Programme_Grunddaten!AD885="Ja",1,0),"")</f>
        <v/>
      </c>
      <c r="W880" s="1" t="str">
        <f>IF(AND(Programme_Grunddaten!$A885="Geprüft",Programme_Grunddaten!AE885&lt;&gt;""),IF(Programme_Grunddaten!AE885="Ja",1,0),"")</f>
        <v/>
      </c>
      <c r="X880" s="1" t="str">
        <f>IF(AND(Programme_Grunddaten!$A885="Geprüft",Programme_Grunddaten!AF885&lt;&gt;""),IF(Programme_Grunddaten!AF885="Ja",1,0),"")</f>
        <v/>
      </c>
      <c r="Y880" s="1" t="str">
        <f>IF(AND(Programme_Grunddaten!$A885="Geprüft",Programme_Grunddaten!AG885&lt;&gt;""),IF(Programme_Grunddaten!AG885="Ja",1,0),"")</f>
        <v/>
      </c>
      <c r="Z880" s="1" t="str">
        <f>IF(AND(Programme_Grunddaten!$A885="Geprüft",Programme_Grunddaten!AH885&lt;&gt;""),IF(Programme_Grunddaten!AH885="Ja",1,0),"")</f>
        <v/>
      </c>
      <c r="AA880" s="1" t="str">
        <f>IF(AND(Programme_Grunddaten!$A885="Geprüft",Programme_Grunddaten!AI885&lt;&gt;""),IF(Programme_Grunddaten!AI885="Ja",1,0),"")</f>
        <v/>
      </c>
      <c r="AB880" s="1" t="str">
        <f>IF(AND(Programme_Grunddaten!$A885="Geprüft",Programme_Grunddaten!AJ885&lt;&gt;""),IF(Programme_Grunddaten!AJ885="individuell programmierbar",1,0),"")</f>
        <v/>
      </c>
      <c r="AC880" s="1" t="str">
        <f>IF(AND(Programme_Grunddaten!$A885="Geprüft",Programme_Grunddaten!AK885&lt;&gt;""),IF(Programme_Grunddaten!AK885="Deutsch",0,IF(Programme_Grunddaten!AK885="Deutsch und Englisch",1,2)),"")</f>
        <v/>
      </c>
      <c r="AD880" s="1" t="str">
        <f>IF(AND(Programme_Grunddaten!$A885="Geprüft",Programme_Grunddaten!AL885&lt;&gt;""),IF(Programme_Grunddaten!AL885="Ja",1,0),"")</f>
        <v/>
      </c>
      <c r="AE880" s="1" t="str">
        <f>IF(AND(Programme_Grunddaten!$A885="Geprüft",Programme_Grunddaten!AM885&lt;&gt;""),IF(Programme_Grunddaten!AM885="Ja",1,0),"")</f>
        <v/>
      </c>
      <c r="AF880" s="1" t="str">
        <f>IF(AND(Programme_Grunddaten!$A885="Geprüft",Programme_Grunddaten!AN885&lt;&gt;""),IF(Programme_Grunddaten!AN885="Ja",1,0),"")</f>
        <v/>
      </c>
      <c r="AG880" s="1" t="str">
        <f>IF(AND(Programme_Grunddaten!$A885="Geprüft",Programme_Grunddaten!AO885&lt;&gt;""),IF(Programme_Grunddaten!AO885="Ja",1,0),"")</f>
        <v/>
      </c>
      <c r="AH880" s="1" t="str">
        <f>IF(AND(Programme_Grunddaten!$A885="Geprüft",Programme_Grunddaten!AP885&lt;&gt;""),IF(Programme_Grunddaten!AP885="Ja",1,0),"")</f>
        <v/>
      </c>
      <c r="AI880" s="1" t="str">
        <f>IF(AND(Programme_Grunddaten!$A885="Geprüft",Programme_Grunddaten!AQ885&lt;&gt;""),IF(Programme_Grunddaten!AQ885="Ja",1,0),"")</f>
        <v/>
      </c>
      <c r="AJ880" s="1" t="str">
        <f>IF(AND(Programme_Grunddaten!$A885="Geprüft",Programme_Grunddaten!AR885&lt;&gt;""),IF(Programme_Grunddaten!AR885="Ja",1,0),"")</f>
        <v/>
      </c>
      <c r="AK880" s="1" t="str">
        <f>IF(AND(Programme_Grunddaten!$A885="Geprüft",Programme_Grunddaten!AS885&lt;&gt;""),IF(Programme_Grunddaten!AS885="Ja",1,0),"")</f>
        <v/>
      </c>
      <c r="AL880" s="1" t="str">
        <f>IF(AND(Programme_Grunddaten!$A885="Geprüft",Programme_Grunddaten!AT885&lt;&gt;""),IF(Programme_Grunddaten!AT885="Ja",1,0),"")</f>
        <v/>
      </c>
      <c r="AM880" s="1" t="str">
        <f>IF(AND(Programme_Grunddaten!$A885="Geprüft",Programme_Grunddaten!AU885&lt;&gt;""),IF(Programme_Grunddaten!AU885="Ja",1,0),"")</f>
        <v/>
      </c>
      <c r="AN880" s="1" t="str">
        <f>IF(AND(Programme_Grunddaten!$A885="Geprüft",Programme_Grunddaten!AV885&lt;&gt;""),IF(Programme_Grunddaten!AV885="Ja",1,0),"")</f>
        <v/>
      </c>
    </row>
    <row r="881" spans="1:40" x14ac:dyDescent="0.3">
      <c r="A881" s="1" t="str">
        <f>IF(AND(Programme_Grunddaten!A886="Geprüft",Programme_Grunddaten!B886&lt;&gt;""),Programme_Grunddaten!B886,"")</f>
        <v/>
      </c>
      <c r="B881" s="1" t="str">
        <f>IF(AND(Programme_Grunddaten!$A886="Geprüft",Programme_Grunddaten!I886&lt;&gt;""),IF(Programme_Grunddaten!I886="Ja",1,0),"")</f>
        <v/>
      </c>
      <c r="C881" s="1" t="str">
        <f>IF(AND(Programme_Grunddaten!$A886="Geprüft",Programme_Grunddaten!J886&lt;&gt;""),IF(Programme_Grunddaten!J886="Ja",1,0),"")</f>
        <v/>
      </c>
      <c r="D881" s="1" t="str">
        <f>IF(AND(Programme_Grunddaten!$A886="Geprüft",Programme_Grunddaten!K886&lt;&gt;""),IF(Programme_Grunddaten!K886="Ja",1,0),"")</f>
        <v/>
      </c>
      <c r="E881" s="1" t="str">
        <f>IF(AND(Programme_Grunddaten!$A886="Geprüft",Programme_Grunddaten!L886&lt;&gt;""),IF(Programme_Grunddaten!L886="Abo / befristete Lizenz",1,0),"")</f>
        <v/>
      </c>
      <c r="F881" s="1" t="str">
        <f>IF(AND(Programme_Grunddaten!$A886="Geprüft",Programme_Grunddaten!M886&lt;&gt;""),IF(Programme_Grunddaten!M886="Ja",1,0),"")</f>
        <v/>
      </c>
      <c r="G881" s="1" t="str">
        <f>IF(AND(Programme_Grunddaten!$A886="Geprüft",Programme_Grunddaten!N886&lt;&gt;""),IF(Programme_Grunddaten!N886="Ja",1,0),"")</f>
        <v/>
      </c>
      <c r="H881" s="1" t="str">
        <f>IF(AND(Programme_Grunddaten!$A886="Geprüft",Programme_Grunddaten!O886&lt;&gt;""),IF(Programme_Grunddaten!O886="Deutschland",0,IF(Programme_Grunddaten!O886="EU",1,2)),"")</f>
        <v/>
      </c>
      <c r="I881" s="1" t="str">
        <f>IF(AND(Programme_Grunddaten!$A886="Geprüft",Programme_Grunddaten!P886&lt;&gt;""),IF(Programme_Grunddaten!P886="Ja",1,0),"")</f>
        <v/>
      </c>
      <c r="J881" s="1" t="str">
        <f>IF(AND(Programme_Grunddaten!$A886="Geprüft",Programme_Grunddaten!Q886&lt;&gt;""),IF(Programme_Grunddaten!Q886="geschlossenes System",1,0),"")</f>
        <v/>
      </c>
      <c r="K881" s="1" t="str">
        <f>IF(AND(Programme_Grunddaten!$A886="Geprüft",Programme_Grunddaten!R886&lt;&gt;""),IF(Programme_Grunddaten!R886="Ja",1,0),"")</f>
        <v/>
      </c>
      <c r="L881" s="1" t="str">
        <f>IF(AND(Programme_Grunddaten!$A886="Geprüft",Programme_Grunddaten!T886&lt;&gt;""),IF(Programme_Grunddaten!T886="Ja",1,0),"")</f>
        <v/>
      </c>
      <c r="M881" s="1" t="str">
        <f>IF(AND(Programme_Grunddaten!$A886="Geprüft",Programme_Grunddaten!U886&lt;&gt;""),IF(Programme_Grunddaten!U886="Ja",1,0),"")</f>
        <v/>
      </c>
      <c r="N881" s="1" t="str">
        <f>IF(AND(Programme_Grunddaten!$A886="Geprüft",Programme_Grunddaten!V886&lt;&gt;""),IF(Programme_Grunddaten!V886="Ja",1,0),"")</f>
        <v/>
      </c>
      <c r="O881" s="1" t="str">
        <f>IF(AND(Programme_Grunddaten!$A886="Geprüft",Programme_Grunddaten!W886&lt;&gt;""),IF(Programme_Grunddaten!W886="Ja",1,0),"")</f>
        <v/>
      </c>
      <c r="P881" s="1" t="str">
        <f>IF(AND(Programme_Grunddaten!$A886="Geprüft",Programme_Grunddaten!X886&lt;&gt;""),IF(Programme_Grunddaten!X886="Ja",1,0),"")</f>
        <v/>
      </c>
      <c r="Q881" s="1" t="str">
        <f>IF(AND(Programme_Grunddaten!$A886="Geprüft",Programme_Grunddaten!Y886&lt;&gt;""),IF(Programme_Grunddaten!Y886="Ja",1,0),"")</f>
        <v/>
      </c>
      <c r="R881" s="1" t="str">
        <f>IF(AND(Programme_Grunddaten!$A886="Geprüft",Programme_Grunddaten!Z886&lt;&gt;""),IF(Programme_Grunddaten!Z886="Ja",1,0),"")</f>
        <v/>
      </c>
      <c r="S881" s="1" t="str">
        <f>IF(AND(Programme_Grunddaten!$A886="Geprüft",Programme_Grunddaten!AA886&lt;&gt;""),IF(Programme_Grunddaten!AA886="monolithisch",1,0),"")</f>
        <v/>
      </c>
      <c r="T881" s="1" t="str">
        <f>IF(AND(Programme_Grunddaten!$A886="Geprüft",Programme_Grunddaten!AB886&lt;&gt;""),IF(Programme_Grunddaten!AB886="Ja",1,0),"")</f>
        <v/>
      </c>
      <c r="U881" s="1" t="str">
        <f>IF(AND(Programme_Grunddaten!$A886="Geprüft",Programme_Grunddaten!AC886&lt;&gt;""),IF(Programme_Grunddaten!AC886="Ja",1,0),"")</f>
        <v/>
      </c>
      <c r="V881" s="1" t="str">
        <f>IF(AND(Programme_Grunddaten!$A886="Geprüft",Programme_Grunddaten!AD886&lt;&gt;""),IF(Programme_Grunddaten!AD886="Ja",1,0),"")</f>
        <v/>
      </c>
      <c r="W881" s="1" t="str">
        <f>IF(AND(Programme_Grunddaten!$A886="Geprüft",Programme_Grunddaten!AE886&lt;&gt;""),IF(Programme_Grunddaten!AE886="Ja",1,0),"")</f>
        <v/>
      </c>
      <c r="X881" s="1" t="str">
        <f>IF(AND(Programme_Grunddaten!$A886="Geprüft",Programme_Grunddaten!AF886&lt;&gt;""),IF(Programme_Grunddaten!AF886="Ja",1,0),"")</f>
        <v/>
      </c>
      <c r="Y881" s="1" t="str">
        <f>IF(AND(Programme_Grunddaten!$A886="Geprüft",Programme_Grunddaten!AG886&lt;&gt;""),IF(Programme_Grunddaten!AG886="Ja",1,0),"")</f>
        <v/>
      </c>
      <c r="Z881" s="1" t="str">
        <f>IF(AND(Programme_Grunddaten!$A886="Geprüft",Programme_Grunddaten!AH886&lt;&gt;""),IF(Programme_Grunddaten!AH886="Ja",1,0),"")</f>
        <v/>
      </c>
      <c r="AA881" s="1" t="str">
        <f>IF(AND(Programme_Grunddaten!$A886="Geprüft",Programme_Grunddaten!AI886&lt;&gt;""),IF(Programme_Grunddaten!AI886="Ja",1,0),"")</f>
        <v/>
      </c>
      <c r="AB881" s="1" t="str">
        <f>IF(AND(Programme_Grunddaten!$A886="Geprüft",Programme_Grunddaten!AJ886&lt;&gt;""),IF(Programme_Grunddaten!AJ886="individuell programmierbar",1,0),"")</f>
        <v/>
      </c>
      <c r="AC881" s="1" t="str">
        <f>IF(AND(Programme_Grunddaten!$A886="Geprüft",Programme_Grunddaten!AK886&lt;&gt;""),IF(Programme_Grunddaten!AK886="Deutsch",0,IF(Programme_Grunddaten!AK886="Deutsch und Englisch",1,2)),"")</f>
        <v/>
      </c>
      <c r="AD881" s="1" t="str">
        <f>IF(AND(Programme_Grunddaten!$A886="Geprüft",Programme_Grunddaten!AL886&lt;&gt;""),IF(Programme_Grunddaten!AL886="Ja",1,0),"")</f>
        <v/>
      </c>
      <c r="AE881" s="1" t="str">
        <f>IF(AND(Programme_Grunddaten!$A886="Geprüft",Programme_Grunddaten!AM886&lt;&gt;""),IF(Programme_Grunddaten!AM886="Ja",1,0),"")</f>
        <v/>
      </c>
      <c r="AF881" s="1" t="str">
        <f>IF(AND(Programme_Grunddaten!$A886="Geprüft",Programme_Grunddaten!AN886&lt;&gt;""),IF(Programme_Grunddaten!AN886="Ja",1,0),"")</f>
        <v/>
      </c>
      <c r="AG881" s="1" t="str">
        <f>IF(AND(Programme_Grunddaten!$A886="Geprüft",Programme_Grunddaten!AO886&lt;&gt;""),IF(Programme_Grunddaten!AO886="Ja",1,0),"")</f>
        <v/>
      </c>
      <c r="AH881" s="1" t="str">
        <f>IF(AND(Programme_Grunddaten!$A886="Geprüft",Programme_Grunddaten!AP886&lt;&gt;""),IF(Programme_Grunddaten!AP886="Ja",1,0),"")</f>
        <v/>
      </c>
      <c r="AI881" s="1" t="str">
        <f>IF(AND(Programme_Grunddaten!$A886="Geprüft",Programme_Grunddaten!AQ886&lt;&gt;""),IF(Programme_Grunddaten!AQ886="Ja",1,0),"")</f>
        <v/>
      </c>
      <c r="AJ881" s="1" t="str">
        <f>IF(AND(Programme_Grunddaten!$A886="Geprüft",Programme_Grunddaten!AR886&lt;&gt;""),IF(Programme_Grunddaten!AR886="Ja",1,0),"")</f>
        <v/>
      </c>
      <c r="AK881" s="1" t="str">
        <f>IF(AND(Programme_Grunddaten!$A886="Geprüft",Programme_Grunddaten!AS886&lt;&gt;""),IF(Programme_Grunddaten!AS886="Ja",1,0),"")</f>
        <v/>
      </c>
      <c r="AL881" s="1" t="str">
        <f>IF(AND(Programme_Grunddaten!$A886="Geprüft",Programme_Grunddaten!AT886&lt;&gt;""),IF(Programme_Grunddaten!AT886="Ja",1,0),"")</f>
        <v/>
      </c>
      <c r="AM881" s="1" t="str">
        <f>IF(AND(Programme_Grunddaten!$A886="Geprüft",Programme_Grunddaten!AU886&lt;&gt;""),IF(Programme_Grunddaten!AU886="Ja",1,0),"")</f>
        <v/>
      </c>
      <c r="AN881" s="1" t="str">
        <f>IF(AND(Programme_Grunddaten!$A886="Geprüft",Programme_Grunddaten!AV886&lt;&gt;""),IF(Programme_Grunddaten!AV886="Ja",1,0),"")</f>
        <v/>
      </c>
    </row>
    <row r="882" spans="1:40" x14ac:dyDescent="0.3">
      <c r="A882" s="1" t="str">
        <f>IF(AND(Programme_Grunddaten!A887="Geprüft",Programme_Grunddaten!B887&lt;&gt;""),Programme_Grunddaten!B887,"")</f>
        <v/>
      </c>
      <c r="B882" s="1" t="str">
        <f>IF(AND(Programme_Grunddaten!$A887="Geprüft",Programme_Grunddaten!I887&lt;&gt;""),IF(Programme_Grunddaten!I887="Ja",1,0),"")</f>
        <v/>
      </c>
      <c r="C882" s="1" t="str">
        <f>IF(AND(Programme_Grunddaten!$A887="Geprüft",Programme_Grunddaten!J887&lt;&gt;""),IF(Programme_Grunddaten!J887="Ja",1,0),"")</f>
        <v/>
      </c>
      <c r="D882" s="1" t="str">
        <f>IF(AND(Programme_Grunddaten!$A887="Geprüft",Programme_Grunddaten!K887&lt;&gt;""),IF(Programme_Grunddaten!K887="Ja",1,0),"")</f>
        <v/>
      </c>
      <c r="E882" s="1" t="str">
        <f>IF(AND(Programme_Grunddaten!$A887="Geprüft",Programme_Grunddaten!L887&lt;&gt;""),IF(Programme_Grunddaten!L887="Abo / befristete Lizenz",1,0),"")</f>
        <v/>
      </c>
      <c r="F882" s="1" t="str">
        <f>IF(AND(Programme_Grunddaten!$A887="Geprüft",Programme_Grunddaten!M887&lt;&gt;""),IF(Programme_Grunddaten!M887="Ja",1,0),"")</f>
        <v/>
      </c>
      <c r="G882" s="1" t="str">
        <f>IF(AND(Programme_Grunddaten!$A887="Geprüft",Programme_Grunddaten!N887&lt;&gt;""),IF(Programme_Grunddaten!N887="Ja",1,0),"")</f>
        <v/>
      </c>
      <c r="H882" s="1" t="str">
        <f>IF(AND(Programme_Grunddaten!$A887="Geprüft",Programme_Grunddaten!O887&lt;&gt;""),IF(Programme_Grunddaten!O887="Deutschland",0,IF(Programme_Grunddaten!O887="EU",1,2)),"")</f>
        <v/>
      </c>
      <c r="I882" s="1" t="str">
        <f>IF(AND(Programme_Grunddaten!$A887="Geprüft",Programme_Grunddaten!P887&lt;&gt;""),IF(Programme_Grunddaten!P887="Ja",1,0),"")</f>
        <v/>
      </c>
      <c r="J882" s="1" t="str">
        <f>IF(AND(Programme_Grunddaten!$A887="Geprüft",Programme_Grunddaten!Q887&lt;&gt;""),IF(Programme_Grunddaten!Q887="geschlossenes System",1,0),"")</f>
        <v/>
      </c>
      <c r="K882" s="1" t="str">
        <f>IF(AND(Programme_Grunddaten!$A887="Geprüft",Programme_Grunddaten!R887&lt;&gt;""),IF(Programme_Grunddaten!R887="Ja",1,0),"")</f>
        <v/>
      </c>
      <c r="L882" s="1" t="str">
        <f>IF(AND(Programme_Grunddaten!$A887="Geprüft",Programme_Grunddaten!T887&lt;&gt;""),IF(Programme_Grunddaten!T887="Ja",1,0),"")</f>
        <v/>
      </c>
      <c r="M882" s="1" t="str">
        <f>IF(AND(Programme_Grunddaten!$A887="Geprüft",Programme_Grunddaten!U887&lt;&gt;""),IF(Programme_Grunddaten!U887="Ja",1,0),"")</f>
        <v/>
      </c>
      <c r="N882" s="1" t="str">
        <f>IF(AND(Programme_Grunddaten!$A887="Geprüft",Programme_Grunddaten!V887&lt;&gt;""),IF(Programme_Grunddaten!V887="Ja",1,0),"")</f>
        <v/>
      </c>
      <c r="O882" s="1" t="str">
        <f>IF(AND(Programme_Grunddaten!$A887="Geprüft",Programme_Grunddaten!W887&lt;&gt;""),IF(Programme_Grunddaten!W887="Ja",1,0),"")</f>
        <v/>
      </c>
      <c r="P882" s="1" t="str">
        <f>IF(AND(Programme_Grunddaten!$A887="Geprüft",Programme_Grunddaten!X887&lt;&gt;""),IF(Programme_Grunddaten!X887="Ja",1,0),"")</f>
        <v/>
      </c>
      <c r="Q882" s="1" t="str">
        <f>IF(AND(Programme_Grunddaten!$A887="Geprüft",Programme_Grunddaten!Y887&lt;&gt;""),IF(Programme_Grunddaten!Y887="Ja",1,0),"")</f>
        <v/>
      </c>
      <c r="R882" s="1" t="str">
        <f>IF(AND(Programme_Grunddaten!$A887="Geprüft",Programme_Grunddaten!Z887&lt;&gt;""),IF(Programme_Grunddaten!Z887="Ja",1,0),"")</f>
        <v/>
      </c>
      <c r="S882" s="1" t="str">
        <f>IF(AND(Programme_Grunddaten!$A887="Geprüft",Programme_Grunddaten!AA887&lt;&gt;""),IF(Programme_Grunddaten!AA887="monolithisch",1,0),"")</f>
        <v/>
      </c>
      <c r="T882" s="1" t="str">
        <f>IF(AND(Programme_Grunddaten!$A887="Geprüft",Programme_Grunddaten!AB887&lt;&gt;""),IF(Programme_Grunddaten!AB887="Ja",1,0),"")</f>
        <v/>
      </c>
      <c r="U882" s="1" t="str">
        <f>IF(AND(Programme_Grunddaten!$A887="Geprüft",Programme_Grunddaten!AC887&lt;&gt;""),IF(Programme_Grunddaten!AC887="Ja",1,0),"")</f>
        <v/>
      </c>
      <c r="V882" s="1" t="str">
        <f>IF(AND(Programme_Grunddaten!$A887="Geprüft",Programme_Grunddaten!AD887&lt;&gt;""),IF(Programme_Grunddaten!AD887="Ja",1,0),"")</f>
        <v/>
      </c>
      <c r="W882" s="1" t="str">
        <f>IF(AND(Programme_Grunddaten!$A887="Geprüft",Programme_Grunddaten!AE887&lt;&gt;""),IF(Programme_Grunddaten!AE887="Ja",1,0),"")</f>
        <v/>
      </c>
      <c r="X882" s="1" t="str">
        <f>IF(AND(Programme_Grunddaten!$A887="Geprüft",Programme_Grunddaten!AF887&lt;&gt;""),IF(Programme_Grunddaten!AF887="Ja",1,0),"")</f>
        <v/>
      </c>
      <c r="Y882" s="1" t="str">
        <f>IF(AND(Programme_Grunddaten!$A887="Geprüft",Programme_Grunddaten!AG887&lt;&gt;""),IF(Programme_Grunddaten!AG887="Ja",1,0),"")</f>
        <v/>
      </c>
      <c r="Z882" s="1" t="str">
        <f>IF(AND(Programme_Grunddaten!$A887="Geprüft",Programme_Grunddaten!AH887&lt;&gt;""),IF(Programme_Grunddaten!AH887="Ja",1,0),"")</f>
        <v/>
      </c>
      <c r="AA882" s="1" t="str">
        <f>IF(AND(Programme_Grunddaten!$A887="Geprüft",Programme_Grunddaten!AI887&lt;&gt;""),IF(Programme_Grunddaten!AI887="Ja",1,0),"")</f>
        <v/>
      </c>
      <c r="AB882" s="1" t="str">
        <f>IF(AND(Programme_Grunddaten!$A887="Geprüft",Programme_Grunddaten!AJ887&lt;&gt;""),IF(Programme_Grunddaten!AJ887="individuell programmierbar",1,0),"")</f>
        <v/>
      </c>
      <c r="AC882" s="1" t="str">
        <f>IF(AND(Programme_Grunddaten!$A887="Geprüft",Programme_Grunddaten!AK887&lt;&gt;""),IF(Programme_Grunddaten!AK887="Deutsch",0,IF(Programme_Grunddaten!AK887="Deutsch und Englisch",1,2)),"")</f>
        <v/>
      </c>
      <c r="AD882" s="1" t="str">
        <f>IF(AND(Programme_Grunddaten!$A887="Geprüft",Programme_Grunddaten!AL887&lt;&gt;""),IF(Programme_Grunddaten!AL887="Ja",1,0),"")</f>
        <v/>
      </c>
      <c r="AE882" s="1" t="str">
        <f>IF(AND(Programme_Grunddaten!$A887="Geprüft",Programme_Grunddaten!AM887&lt;&gt;""),IF(Programme_Grunddaten!AM887="Ja",1,0),"")</f>
        <v/>
      </c>
      <c r="AF882" s="1" t="str">
        <f>IF(AND(Programme_Grunddaten!$A887="Geprüft",Programme_Grunddaten!AN887&lt;&gt;""),IF(Programme_Grunddaten!AN887="Ja",1,0),"")</f>
        <v/>
      </c>
      <c r="AG882" s="1" t="str">
        <f>IF(AND(Programme_Grunddaten!$A887="Geprüft",Programme_Grunddaten!AO887&lt;&gt;""),IF(Programme_Grunddaten!AO887="Ja",1,0),"")</f>
        <v/>
      </c>
      <c r="AH882" s="1" t="str">
        <f>IF(AND(Programme_Grunddaten!$A887="Geprüft",Programme_Grunddaten!AP887&lt;&gt;""),IF(Programme_Grunddaten!AP887="Ja",1,0),"")</f>
        <v/>
      </c>
      <c r="AI882" s="1" t="str">
        <f>IF(AND(Programme_Grunddaten!$A887="Geprüft",Programme_Grunddaten!AQ887&lt;&gt;""),IF(Programme_Grunddaten!AQ887="Ja",1,0),"")</f>
        <v/>
      </c>
      <c r="AJ882" s="1" t="str">
        <f>IF(AND(Programme_Grunddaten!$A887="Geprüft",Programme_Grunddaten!AR887&lt;&gt;""),IF(Programme_Grunddaten!AR887="Ja",1,0),"")</f>
        <v/>
      </c>
      <c r="AK882" s="1" t="str">
        <f>IF(AND(Programme_Grunddaten!$A887="Geprüft",Programme_Grunddaten!AS887&lt;&gt;""),IF(Programme_Grunddaten!AS887="Ja",1,0),"")</f>
        <v/>
      </c>
      <c r="AL882" s="1" t="str">
        <f>IF(AND(Programme_Grunddaten!$A887="Geprüft",Programme_Grunddaten!AT887&lt;&gt;""),IF(Programme_Grunddaten!AT887="Ja",1,0),"")</f>
        <v/>
      </c>
      <c r="AM882" s="1" t="str">
        <f>IF(AND(Programme_Grunddaten!$A887="Geprüft",Programme_Grunddaten!AU887&lt;&gt;""),IF(Programme_Grunddaten!AU887="Ja",1,0),"")</f>
        <v/>
      </c>
      <c r="AN882" s="1" t="str">
        <f>IF(AND(Programme_Grunddaten!$A887="Geprüft",Programme_Grunddaten!AV887&lt;&gt;""),IF(Programme_Grunddaten!AV887="Ja",1,0),"")</f>
        <v/>
      </c>
    </row>
    <row r="883" spans="1:40" x14ac:dyDescent="0.3">
      <c r="A883" s="1" t="str">
        <f>IF(AND(Programme_Grunddaten!A888="Geprüft",Programme_Grunddaten!B888&lt;&gt;""),Programme_Grunddaten!B888,"")</f>
        <v/>
      </c>
      <c r="B883" s="1" t="str">
        <f>IF(AND(Programme_Grunddaten!$A888="Geprüft",Programme_Grunddaten!I888&lt;&gt;""),IF(Programme_Grunddaten!I888="Ja",1,0),"")</f>
        <v/>
      </c>
      <c r="C883" s="1" t="str">
        <f>IF(AND(Programme_Grunddaten!$A888="Geprüft",Programme_Grunddaten!J888&lt;&gt;""),IF(Programme_Grunddaten!J888="Ja",1,0),"")</f>
        <v/>
      </c>
      <c r="D883" s="1" t="str">
        <f>IF(AND(Programme_Grunddaten!$A888="Geprüft",Programme_Grunddaten!K888&lt;&gt;""),IF(Programme_Grunddaten!K888="Ja",1,0),"")</f>
        <v/>
      </c>
      <c r="E883" s="1" t="str">
        <f>IF(AND(Programme_Grunddaten!$A888="Geprüft",Programme_Grunddaten!L888&lt;&gt;""),IF(Programme_Grunddaten!L888="Abo / befristete Lizenz",1,0),"")</f>
        <v/>
      </c>
      <c r="F883" s="1" t="str">
        <f>IF(AND(Programme_Grunddaten!$A888="Geprüft",Programme_Grunddaten!M888&lt;&gt;""),IF(Programme_Grunddaten!M888="Ja",1,0),"")</f>
        <v/>
      </c>
      <c r="G883" s="1" t="str">
        <f>IF(AND(Programme_Grunddaten!$A888="Geprüft",Programme_Grunddaten!N888&lt;&gt;""),IF(Programme_Grunddaten!N888="Ja",1,0),"")</f>
        <v/>
      </c>
      <c r="H883" s="1" t="str">
        <f>IF(AND(Programme_Grunddaten!$A888="Geprüft",Programme_Grunddaten!O888&lt;&gt;""),IF(Programme_Grunddaten!O888="Deutschland",0,IF(Programme_Grunddaten!O888="EU",1,2)),"")</f>
        <v/>
      </c>
      <c r="I883" s="1" t="str">
        <f>IF(AND(Programme_Grunddaten!$A888="Geprüft",Programme_Grunddaten!P888&lt;&gt;""),IF(Programme_Grunddaten!P888="Ja",1,0),"")</f>
        <v/>
      </c>
      <c r="J883" s="1" t="str">
        <f>IF(AND(Programme_Grunddaten!$A888="Geprüft",Programme_Grunddaten!Q888&lt;&gt;""),IF(Programme_Grunddaten!Q888="geschlossenes System",1,0),"")</f>
        <v/>
      </c>
      <c r="K883" s="1" t="str">
        <f>IF(AND(Programme_Grunddaten!$A888="Geprüft",Programme_Grunddaten!R888&lt;&gt;""),IF(Programme_Grunddaten!R888="Ja",1,0),"")</f>
        <v/>
      </c>
      <c r="L883" s="1" t="str">
        <f>IF(AND(Programme_Grunddaten!$A888="Geprüft",Programme_Grunddaten!T888&lt;&gt;""),IF(Programme_Grunddaten!T888="Ja",1,0),"")</f>
        <v/>
      </c>
      <c r="M883" s="1" t="str">
        <f>IF(AND(Programme_Grunddaten!$A888="Geprüft",Programme_Grunddaten!U888&lt;&gt;""),IF(Programme_Grunddaten!U888="Ja",1,0),"")</f>
        <v/>
      </c>
      <c r="N883" s="1" t="str">
        <f>IF(AND(Programme_Grunddaten!$A888="Geprüft",Programme_Grunddaten!V888&lt;&gt;""),IF(Programme_Grunddaten!V888="Ja",1,0),"")</f>
        <v/>
      </c>
      <c r="O883" s="1" t="str">
        <f>IF(AND(Programme_Grunddaten!$A888="Geprüft",Programme_Grunddaten!W888&lt;&gt;""),IF(Programme_Grunddaten!W888="Ja",1,0),"")</f>
        <v/>
      </c>
      <c r="P883" s="1" t="str">
        <f>IF(AND(Programme_Grunddaten!$A888="Geprüft",Programme_Grunddaten!X888&lt;&gt;""),IF(Programme_Grunddaten!X888="Ja",1,0),"")</f>
        <v/>
      </c>
      <c r="Q883" s="1" t="str">
        <f>IF(AND(Programme_Grunddaten!$A888="Geprüft",Programme_Grunddaten!Y888&lt;&gt;""),IF(Programme_Grunddaten!Y888="Ja",1,0),"")</f>
        <v/>
      </c>
      <c r="R883" s="1" t="str">
        <f>IF(AND(Programme_Grunddaten!$A888="Geprüft",Programme_Grunddaten!Z888&lt;&gt;""),IF(Programme_Grunddaten!Z888="Ja",1,0),"")</f>
        <v/>
      </c>
      <c r="S883" s="1" t="str">
        <f>IF(AND(Programme_Grunddaten!$A888="Geprüft",Programme_Grunddaten!AA888&lt;&gt;""),IF(Programme_Grunddaten!AA888="monolithisch",1,0),"")</f>
        <v/>
      </c>
      <c r="T883" s="1" t="str">
        <f>IF(AND(Programme_Grunddaten!$A888="Geprüft",Programme_Grunddaten!AB888&lt;&gt;""),IF(Programme_Grunddaten!AB888="Ja",1,0),"")</f>
        <v/>
      </c>
      <c r="U883" s="1" t="str">
        <f>IF(AND(Programme_Grunddaten!$A888="Geprüft",Programme_Grunddaten!AC888&lt;&gt;""),IF(Programme_Grunddaten!AC888="Ja",1,0),"")</f>
        <v/>
      </c>
      <c r="V883" s="1" t="str">
        <f>IF(AND(Programme_Grunddaten!$A888="Geprüft",Programme_Grunddaten!AD888&lt;&gt;""),IF(Programme_Grunddaten!AD888="Ja",1,0),"")</f>
        <v/>
      </c>
      <c r="W883" s="1" t="str">
        <f>IF(AND(Programme_Grunddaten!$A888="Geprüft",Programme_Grunddaten!AE888&lt;&gt;""),IF(Programme_Grunddaten!AE888="Ja",1,0),"")</f>
        <v/>
      </c>
      <c r="X883" s="1" t="str">
        <f>IF(AND(Programme_Grunddaten!$A888="Geprüft",Programme_Grunddaten!AF888&lt;&gt;""),IF(Programme_Grunddaten!AF888="Ja",1,0),"")</f>
        <v/>
      </c>
      <c r="Y883" s="1" t="str">
        <f>IF(AND(Programme_Grunddaten!$A888="Geprüft",Programme_Grunddaten!AG888&lt;&gt;""),IF(Programme_Grunddaten!AG888="Ja",1,0),"")</f>
        <v/>
      </c>
      <c r="Z883" s="1" t="str">
        <f>IF(AND(Programme_Grunddaten!$A888="Geprüft",Programme_Grunddaten!AH888&lt;&gt;""),IF(Programme_Grunddaten!AH888="Ja",1,0),"")</f>
        <v/>
      </c>
      <c r="AA883" s="1" t="str">
        <f>IF(AND(Programme_Grunddaten!$A888="Geprüft",Programme_Grunddaten!AI888&lt;&gt;""),IF(Programme_Grunddaten!AI888="Ja",1,0),"")</f>
        <v/>
      </c>
      <c r="AB883" s="1" t="str">
        <f>IF(AND(Programme_Grunddaten!$A888="Geprüft",Programme_Grunddaten!AJ888&lt;&gt;""),IF(Programme_Grunddaten!AJ888="individuell programmierbar",1,0),"")</f>
        <v/>
      </c>
      <c r="AC883" s="1" t="str">
        <f>IF(AND(Programme_Grunddaten!$A888="Geprüft",Programme_Grunddaten!AK888&lt;&gt;""),IF(Programme_Grunddaten!AK888="Deutsch",0,IF(Programme_Grunddaten!AK888="Deutsch und Englisch",1,2)),"")</f>
        <v/>
      </c>
      <c r="AD883" s="1" t="str">
        <f>IF(AND(Programme_Grunddaten!$A888="Geprüft",Programme_Grunddaten!AL888&lt;&gt;""),IF(Programme_Grunddaten!AL888="Ja",1,0),"")</f>
        <v/>
      </c>
      <c r="AE883" s="1" t="str">
        <f>IF(AND(Programme_Grunddaten!$A888="Geprüft",Programme_Grunddaten!AM888&lt;&gt;""),IF(Programme_Grunddaten!AM888="Ja",1,0),"")</f>
        <v/>
      </c>
      <c r="AF883" s="1" t="str">
        <f>IF(AND(Programme_Grunddaten!$A888="Geprüft",Programme_Grunddaten!AN888&lt;&gt;""),IF(Programme_Grunddaten!AN888="Ja",1,0),"")</f>
        <v/>
      </c>
      <c r="AG883" s="1" t="str">
        <f>IF(AND(Programme_Grunddaten!$A888="Geprüft",Programme_Grunddaten!AO888&lt;&gt;""),IF(Programme_Grunddaten!AO888="Ja",1,0),"")</f>
        <v/>
      </c>
      <c r="AH883" s="1" t="str">
        <f>IF(AND(Programme_Grunddaten!$A888="Geprüft",Programme_Grunddaten!AP888&lt;&gt;""),IF(Programme_Grunddaten!AP888="Ja",1,0),"")</f>
        <v/>
      </c>
      <c r="AI883" s="1" t="str">
        <f>IF(AND(Programme_Grunddaten!$A888="Geprüft",Programme_Grunddaten!AQ888&lt;&gt;""),IF(Programme_Grunddaten!AQ888="Ja",1,0),"")</f>
        <v/>
      </c>
      <c r="AJ883" s="1" t="str">
        <f>IF(AND(Programme_Grunddaten!$A888="Geprüft",Programme_Grunddaten!AR888&lt;&gt;""),IF(Programme_Grunddaten!AR888="Ja",1,0),"")</f>
        <v/>
      </c>
      <c r="AK883" s="1" t="str">
        <f>IF(AND(Programme_Grunddaten!$A888="Geprüft",Programme_Grunddaten!AS888&lt;&gt;""),IF(Programme_Grunddaten!AS888="Ja",1,0),"")</f>
        <v/>
      </c>
      <c r="AL883" s="1" t="str">
        <f>IF(AND(Programme_Grunddaten!$A888="Geprüft",Programme_Grunddaten!AT888&lt;&gt;""),IF(Programme_Grunddaten!AT888="Ja",1,0),"")</f>
        <v/>
      </c>
      <c r="AM883" s="1" t="str">
        <f>IF(AND(Programme_Grunddaten!$A888="Geprüft",Programme_Grunddaten!AU888&lt;&gt;""),IF(Programme_Grunddaten!AU888="Ja",1,0),"")</f>
        <v/>
      </c>
      <c r="AN883" s="1" t="str">
        <f>IF(AND(Programme_Grunddaten!$A888="Geprüft",Programme_Grunddaten!AV888&lt;&gt;""),IF(Programme_Grunddaten!AV888="Ja",1,0),"")</f>
        <v/>
      </c>
    </row>
    <row r="884" spans="1:40" x14ac:dyDescent="0.3">
      <c r="A884" s="1" t="str">
        <f>IF(AND(Programme_Grunddaten!A889="Geprüft",Programme_Grunddaten!B889&lt;&gt;""),Programme_Grunddaten!B889,"")</f>
        <v/>
      </c>
      <c r="B884" s="1" t="str">
        <f>IF(AND(Programme_Grunddaten!$A889="Geprüft",Programme_Grunddaten!I889&lt;&gt;""),IF(Programme_Grunddaten!I889="Ja",1,0),"")</f>
        <v/>
      </c>
      <c r="C884" s="1" t="str">
        <f>IF(AND(Programme_Grunddaten!$A889="Geprüft",Programme_Grunddaten!J889&lt;&gt;""),IF(Programme_Grunddaten!J889="Ja",1,0),"")</f>
        <v/>
      </c>
      <c r="D884" s="1" t="str">
        <f>IF(AND(Programme_Grunddaten!$A889="Geprüft",Programme_Grunddaten!K889&lt;&gt;""),IF(Programme_Grunddaten!K889="Ja",1,0),"")</f>
        <v/>
      </c>
      <c r="E884" s="1" t="str">
        <f>IF(AND(Programme_Grunddaten!$A889="Geprüft",Programme_Grunddaten!L889&lt;&gt;""),IF(Programme_Grunddaten!L889="Abo / befristete Lizenz",1,0),"")</f>
        <v/>
      </c>
      <c r="F884" s="1" t="str">
        <f>IF(AND(Programme_Grunddaten!$A889="Geprüft",Programme_Grunddaten!M889&lt;&gt;""),IF(Programme_Grunddaten!M889="Ja",1,0),"")</f>
        <v/>
      </c>
      <c r="G884" s="1" t="str">
        <f>IF(AND(Programme_Grunddaten!$A889="Geprüft",Programme_Grunddaten!N889&lt;&gt;""),IF(Programme_Grunddaten!N889="Ja",1,0),"")</f>
        <v/>
      </c>
      <c r="H884" s="1" t="str">
        <f>IF(AND(Programme_Grunddaten!$A889="Geprüft",Programme_Grunddaten!O889&lt;&gt;""),IF(Programme_Grunddaten!O889="Deutschland",0,IF(Programme_Grunddaten!O889="EU",1,2)),"")</f>
        <v/>
      </c>
      <c r="I884" s="1" t="str">
        <f>IF(AND(Programme_Grunddaten!$A889="Geprüft",Programme_Grunddaten!P889&lt;&gt;""),IF(Programme_Grunddaten!P889="Ja",1,0),"")</f>
        <v/>
      </c>
      <c r="J884" s="1" t="str">
        <f>IF(AND(Programme_Grunddaten!$A889="Geprüft",Programme_Grunddaten!Q889&lt;&gt;""),IF(Programme_Grunddaten!Q889="geschlossenes System",1,0),"")</f>
        <v/>
      </c>
      <c r="K884" s="1" t="str">
        <f>IF(AND(Programme_Grunddaten!$A889="Geprüft",Programme_Grunddaten!R889&lt;&gt;""),IF(Programme_Grunddaten!R889="Ja",1,0),"")</f>
        <v/>
      </c>
      <c r="L884" s="1" t="str">
        <f>IF(AND(Programme_Grunddaten!$A889="Geprüft",Programme_Grunddaten!T889&lt;&gt;""),IF(Programme_Grunddaten!T889="Ja",1,0),"")</f>
        <v/>
      </c>
      <c r="M884" s="1" t="str">
        <f>IF(AND(Programme_Grunddaten!$A889="Geprüft",Programme_Grunddaten!U889&lt;&gt;""),IF(Programme_Grunddaten!U889="Ja",1,0),"")</f>
        <v/>
      </c>
      <c r="N884" s="1" t="str">
        <f>IF(AND(Programme_Grunddaten!$A889="Geprüft",Programme_Grunddaten!V889&lt;&gt;""),IF(Programme_Grunddaten!V889="Ja",1,0),"")</f>
        <v/>
      </c>
      <c r="O884" s="1" t="str">
        <f>IF(AND(Programme_Grunddaten!$A889="Geprüft",Programme_Grunddaten!W889&lt;&gt;""),IF(Programme_Grunddaten!W889="Ja",1,0),"")</f>
        <v/>
      </c>
      <c r="P884" s="1" t="str">
        <f>IF(AND(Programme_Grunddaten!$A889="Geprüft",Programme_Grunddaten!X889&lt;&gt;""),IF(Programme_Grunddaten!X889="Ja",1,0),"")</f>
        <v/>
      </c>
      <c r="Q884" s="1" t="str">
        <f>IF(AND(Programme_Grunddaten!$A889="Geprüft",Programme_Grunddaten!Y889&lt;&gt;""),IF(Programme_Grunddaten!Y889="Ja",1,0),"")</f>
        <v/>
      </c>
      <c r="R884" s="1" t="str">
        <f>IF(AND(Programme_Grunddaten!$A889="Geprüft",Programme_Grunddaten!Z889&lt;&gt;""),IF(Programme_Grunddaten!Z889="Ja",1,0),"")</f>
        <v/>
      </c>
      <c r="S884" s="1" t="str">
        <f>IF(AND(Programme_Grunddaten!$A889="Geprüft",Programme_Grunddaten!AA889&lt;&gt;""),IF(Programme_Grunddaten!AA889="monolithisch",1,0),"")</f>
        <v/>
      </c>
      <c r="T884" s="1" t="str">
        <f>IF(AND(Programme_Grunddaten!$A889="Geprüft",Programme_Grunddaten!AB889&lt;&gt;""),IF(Programme_Grunddaten!AB889="Ja",1,0),"")</f>
        <v/>
      </c>
      <c r="U884" s="1" t="str">
        <f>IF(AND(Programme_Grunddaten!$A889="Geprüft",Programme_Grunddaten!AC889&lt;&gt;""),IF(Programme_Grunddaten!AC889="Ja",1,0),"")</f>
        <v/>
      </c>
      <c r="V884" s="1" t="str">
        <f>IF(AND(Programme_Grunddaten!$A889="Geprüft",Programme_Grunddaten!AD889&lt;&gt;""),IF(Programme_Grunddaten!AD889="Ja",1,0),"")</f>
        <v/>
      </c>
      <c r="W884" s="1" t="str">
        <f>IF(AND(Programme_Grunddaten!$A889="Geprüft",Programme_Grunddaten!AE889&lt;&gt;""),IF(Programme_Grunddaten!AE889="Ja",1,0),"")</f>
        <v/>
      </c>
      <c r="X884" s="1" t="str">
        <f>IF(AND(Programme_Grunddaten!$A889="Geprüft",Programme_Grunddaten!AF889&lt;&gt;""),IF(Programme_Grunddaten!AF889="Ja",1,0),"")</f>
        <v/>
      </c>
      <c r="Y884" s="1" t="str">
        <f>IF(AND(Programme_Grunddaten!$A889="Geprüft",Programme_Grunddaten!AG889&lt;&gt;""),IF(Programme_Grunddaten!AG889="Ja",1,0),"")</f>
        <v/>
      </c>
      <c r="Z884" s="1" t="str">
        <f>IF(AND(Programme_Grunddaten!$A889="Geprüft",Programme_Grunddaten!AH889&lt;&gt;""),IF(Programme_Grunddaten!AH889="Ja",1,0),"")</f>
        <v/>
      </c>
      <c r="AA884" s="1" t="str">
        <f>IF(AND(Programme_Grunddaten!$A889="Geprüft",Programme_Grunddaten!AI889&lt;&gt;""),IF(Programme_Grunddaten!AI889="Ja",1,0),"")</f>
        <v/>
      </c>
      <c r="AB884" s="1" t="str">
        <f>IF(AND(Programme_Grunddaten!$A889="Geprüft",Programme_Grunddaten!AJ889&lt;&gt;""),IF(Programme_Grunddaten!AJ889="individuell programmierbar",1,0),"")</f>
        <v/>
      </c>
      <c r="AC884" s="1" t="str">
        <f>IF(AND(Programme_Grunddaten!$A889="Geprüft",Programme_Grunddaten!AK889&lt;&gt;""),IF(Programme_Grunddaten!AK889="Deutsch",0,IF(Programme_Grunddaten!AK889="Deutsch und Englisch",1,2)),"")</f>
        <v/>
      </c>
      <c r="AD884" s="1" t="str">
        <f>IF(AND(Programme_Grunddaten!$A889="Geprüft",Programme_Grunddaten!AL889&lt;&gt;""),IF(Programme_Grunddaten!AL889="Ja",1,0),"")</f>
        <v/>
      </c>
      <c r="AE884" s="1" t="str">
        <f>IF(AND(Programme_Grunddaten!$A889="Geprüft",Programme_Grunddaten!AM889&lt;&gt;""),IF(Programme_Grunddaten!AM889="Ja",1,0),"")</f>
        <v/>
      </c>
      <c r="AF884" s="1" t="str">
        <f>IF(AND(Programme_Grunddaten!$A889="Geprüft",Programme_Grunddaten!AN889&lt;&gt;""),IF(Programme_Grunddaten!AN889="Ja",1,0),"")</f>
        <v/>
      </c>
      <c r="AG884" s="1" t="str">
        <f>IF(AND(Programme_Grunddaten!$A889="Geprüft",Programme_Grunddaten!AO889&lt;&gt;""),IF(Programme_Grunddaten!AO889="Ja",1,0),"")</f>
        <v/>
      </c>
      <c r="AH884" s="1" t="str">
        <f>IF(AND(Programme_Grunddaten!$A889="Geprüft",Programme_Grunddaten!AP889&lt;&gt;""),IF(Programme_Grunddaten!AP889="Ja",1,0),"")</f>
        <v/>
      </c>
      <c r="AI884" s="1" t="str">
        <f>IF(AND(Programme_Grunddaten!$A889="Geprüft",Programme_Grunddaten!AQ889&lt;&gt;""),IF(Programme_Grunddaten!AQ889="Ja",1,0),"")</f>
        <v/>
      </c>
      <c r="AJ884" s="1" t="str">
        <f>IF(AND(Programme_Grunddaten!$A889="Geprüft",Programme_Grunddaten!AR889&lt;&gt;""),IF(Programme_Grunddaten!AR889="Ja",1,0),"")</f>
        <v/>
      </c>
      <c r="AK884" s="1" t="str">
        <f>IF(AND(Programme_Grunddaten!$A889="Geprüft",Programme_Grunddaten!AS889&lt;&gt;""),IF(Programme_Grunddaten!AS889="Ja",1,0),"")</f>
        <v/>
      </c>
      <c r="AL884" s="1" t="str">
        <f>IF(AND(Programme_Grunddaten!$A889="Geprüft",Programme_Grunddaten!AT889&lt;&gt;""),IF(Programme_Grunddaten!AT889="Ja",1,0),"")</f>
        <v/>
      </c>
      <c r="AM884" s="1" t="str">
        <f>IF(AND(Programme_Grunddaten!$A889="Geprüft",Programme_Grunddaten!AU889&lt;&gt;""),IF(Programme_Grunddaten!AU889="Ja",1,0),"")</f>
        <v/>
      </c>
      <c r="AN884" s="1" t="str">
        <f>IF(AND(Programme_Grunddaten!$A889="Geprüft",Programme_Grunddaten!AV889&lt;&gt;""),IF(Programme_Grunddaten!AV889="Ja",1,0),"")</f>
        <v/>
      </c>
    </row>
    <row r="885" spans="1:40" x14ac:dyDescent="0.3">
      <c r="A885" s="1" t="str">
        <f>IF(AND(Programme_Grunddaten!A890="Geprüft",Programme_Grunddaten!B890&lt;&gt;""),Programme_Grunddaten!B890,"")</f>
        <v/>
      </c>
      <c r="B885" s="1" t="str">
        <f>IF(AND(Programme_Grunddaten!$A890="Geprüft",Programme_Grunddaten!I890&lt;&gt;""),IF(Programme_Grunddaten!I890="Ja",1,0),"")</f>
        <v/>
      </c>
      <c r="C885" s="1" t="str">
        <f>IF(AND(Programme_Grunddaten!$A890="Geprüft",Programme_Grunddaten!J890&lt;&gt;""),IF(Programme_Grunddaten!J890="Ja",1,0),"")</f>
        <v/>
      </c>
      <c r="D885" s="1" t="str">
        <f>IF(AND(Programme_Grunddaten!$A890="Geprüft",Programme_Grunddaten!K890&lt;&gt;""),IF(Programme_Grunddaten!K890="Ja",1,0),"")</f>
        <v/>
      </c>
      <c r="E885" s="1" t="str">
        <f>IF(AND(Programme_Grunddaten!$A890="Geprüft",Programme_Grunddaten!L890&lt;&gt;""),IF(Programme_Grunddaten!L890="Abo / befristete Lizenz",1,0),"")</f>
        <v/>
      </c>
      <c r="F885" s="1" t="str">
        <f>IF(AND(Programme_Grunddaten!$A890="Geprüft",Programme_Grunddaten!M890&lt;&gt;""),IF(Programme_Grunddaten!M890="Ja",1,0),"")</f>
        <v/>
      </c>
      <c r="G885" s="1" t="str">
        <f>IF(AND(Programme_Grunddaten!$A890="Geprüft",Programme_Grunddaten!N890&lt;&gt;""),IF(Programme_Grunddaten!N890="Ja",1,0),"")</f>
        <v/>
      </c>
      <c r="H885" s="1" t="str">
        <f>IF(AND(Programme_Grunddaten!$A890="Geprüft",Programme_Grunddaten!O890&lt;&gt;""),IF(Programme_Grunddaten!O890="Deutschland",0,IF(Programme_Grunddaten!O890="EU",1,2)),"")</f>
        <v/>
      </c>
      <c r="I885" s="1" t="str">
        <f>IF(AND(Programme_Grunddaten!$A890="Geprüft",Programme_Grunddaten!P890&lt;&gt;""),IF(Programme_Grunddaten!P890="Ja",1,0),"")</f>
        <v/>
      </c>
      <c r="J885" s="1" t="str">
        <f>IF(AND(Programme_Grunddaten!$A890="Geprüft",Programme_Grunddaten!Q890&lt;&gt;""),IF(Programme_Grunddaten!Q890="geschlossenes System",1,0),"")</f>
        <v/>
      </c>
      <c r="K885" s="1" t="str">
        <f>IF(AND(Programme_Grunddaten!$A890="Geprüft",Programme_Grunddaten!R890&lt;&gt;""),IF(Programme_Grunddaten!R890="Ja",1,0),"")</f>
        <v/>
      </c>
      <c r="L885" s="1" t="str">
        <f>IF(AND(Programme_Grunddaten!$A890="Geprüft",Programme_Grunddaten!T890&lt;&gt;""),IF(Programme_Grunddaten!T890="Ja",1,0),"")</f>
        <v/>
      </c>
      <c r="M885" s="1" t="str">
        <f>IF(AND(Programme_Grunddaten!$A890="Geprüft",Programme_Grunddaten!U890&lt;&gt;""),IF(Programme_Grunddaten!U890="Ja",1,0),"")</f>
        <v/>
      </c>
      <c r="N885" s="1" t="str">
        <f>IF(AND(Programme_Grunddaten!$A890="Geprüft",Programme_Grunddaten!V890&lt;&gt;""),IF(Programme_Grunddaten!V890="Ja",1,0),"")</f>
        <v/>
      </c>
      <c r="O885" s="1" t="str">
        <f>IF(AND(Programme_Grunddaten!$A890="Geprüft",Programme_Grunddaten!W890&lt;&gt;""),IF(Programme_Grunddaten!W890="Ja",1,0),"")</f>
        <v/>
      </c>
      <c r="P885" s="1" t="str">
        <f>IF(AND(Programme_Grunddaten!$A890="Geprüft",Programme_Grunddaten!X890&lt;&gt;""),IF(Programme_Grunddaten!X890="Ja",1,0),"")</f>
        <v/>
      </c>
      <c r="Q885" s="1" t="str">
        <f>IF(AND(Programme_Grunddaten!$A890="Geprüft",Programme_Grunddaten!Y890&lt;&gt;""),IF(Programme_Grunddaten!Y890="Ja",1,0),"")</f>
        <v/>
      </c>
      <c r="R885" s="1" t="str">
        <f>IF(AND(Programme_Grunddaten!$A890="Geprüft",Programme_Grunddaten!Z890&lt;&gt;""),IF(Programme_Grunddaten!Z890="Ja",1,0),"")</f>
        <v/>
      </c>
      <c r="S885" s="1" t="str">
        <f>IF(AND(Programme_Grunddaten!$A890="Geprüft",Programme_Grunddaten!AA890&lt;&gt;""),IF(Programme_Grunddaten!AA890="monolithisch",1,0),"")</f>
        <v/>
      </c>
      <c r="T885" s="1" t="str">
        <f>IF(AND(Programme_Grunddaten!$A890="Geprüft",Programme_Grunddaten!AB890&lt;&gt;""),IF(Programme_Grunddaten!AB890="Ja",1,0),"")</f>
        <v/>
      </c>
      <c r="U885" s="1" t="str">
        <f>IF(AND(Programme_Grunddaten!$A890="Geprüft",Programme_Grunddaten!AC890&lt;&gt;""),IF(Programme_Grunddaten!AC890="Ja",1,0),"")</f>
        <v/>
      </c>
      <c r="V885" s="1" t="str">
        <f>IF(AND(Programme_Grunddaten!$A890="Geprüft",Programme_Grunddaten!AD890&lt;&gt;""),IF(Programme_Grunddaten!AD890="Ja",1,0),"")</f>
        <v/>
      </c>
      <c r="W885" s="1" t="str">
        <f>IF(AND(Programme_Grunddaten!$A890="Geprüft",Programme_Grunddaten!AE890&lt;&gt;""),IF(Programme_Grunddaten!AE890="Ja",1,0),"")</f>
        <v/>
      </c>
      <c r="X885" s="1" t="str">
        <f>IF(AND(Programme_Grunddaten!$A890="Geprüft",Programme_Grunddaten!AF890&lt;&gt;""),IF(Programme_Grunddaten!AF890="Ja",1,0),"")</f>
        <v/>
      </c>
      <c r="Y885" s="1" t="str">
        <f>IF(AND(Programme_Grunddaten!$A890="Geprüft",Programme_Grunddaten!AG890&lt;&gt;""),IF(Programme_Grunddaten!AG890="Ja",1,0),"")</f>
        <v/>
      </c>
      <c r="Z885" s="1" t="str">
        <f>IF(AND(Programme_Grunddaten!$A890="Geprüft",Programme_Grunddaten!AH890&lt;&gt;""),IF(Programme_Grunddaten!AH890="Ja",1,0),"")</f>
        <v/>
      </c>
      <c r="AA885" s="1" t="str">
        <f>IF(AND(Programme_Grunddaten!$A890="Geprüft",Programme_Grunddaten!AI890&lt;&gt;""),IF(Programme_Grunddaten!AI890="Ja",1,0),"")</f>
        <v/>
      </c>
      <c r="AB885" s="1" t="str">
        <f>IF(AND(Programme_Grunddaten!$A890="Geprüft",Programme_Grunddaten!AJ890&lt;&gt;""),IF(Programme_Grunddaten!AJ890="individuell programmierbar",1,0),"")</f>
        <v/>
      </c>
      <c r="AC885" s="1" t="str">
        <f>IF(AND(Programme_Grunddaten!$A890="Geprüft",Programme_Grunddaten!AK890&lt;&gt;""),IF(Programme_Grunddaten!AK890="Deutsch",0,IF(Programme_Grunddaten!AK890="Deutsch und Englisch",1,2)),"")</f>
        <v/>
      </c>
      <c r="AD885" s="1" t="str">
        <f>IF(AND(Programme_Grunddaten!$A890="Geprüft",Programme_Grunddaten!AL890&lt;&gt;""),IF(Programme_Grunddaten!AL890="Ja",1,0),"")</f>
        <v/>
      </c>
      <c r="AE885" s="1" t="str">
        <f>IF(AND(Programme_Grunddaten!$A890="Geprüft",Programme_Grunddaten!AM890&lt;&gt;""),IF(Programme_Grunddaten!AM890="Ja",1,0),"")</f>
        <v/>
      </c>
      <c r="AF885" s="1" t="str">
        <f>IF(AND(Programme_Grunddaten!$A890="Geprüft",Programme_Grunddaten!AN890&lt;&gt;""),IF(Programme_Grunddaten!AN890="Ja",1,0),"")</f>
        <v/>
      </c>
      <c r="AG885" s="1" t="str">
        <f>IF(AND(Programme_Grunddaten!$A890="Geprüft",Programme_Grunddaten!AO890&lt;&gt;""),IF(Programme_Grunddaten!AO890="Ja",1,0),"")</f>
        <v/>
      </c>
      <c r="AH885" s="1" t="str">
        <f>IF(AND(Programme_Grunddaten!$A890="Geprüft",Programme_Grunddaten!AP890&lt;&gt;""),IF(Programme_Grunddaten!AP890="Ja",1,0),"")</f>
        <v/>
      </c>
      <c r="AI885" s="1" t="str">
        <f>IF(AND(Programme_Grunddaten!$A890="Geprüft",Programme_Grunddaten!AQ890&lt;&gt;""),IF(Programme_Grunddaten!AQ890="Ja",1,0),"")</f>
        <v/>
      </c>
      <c r="AJ885" s="1" t="str">
        <f>IF(AND(Programme_Grunddaten!$A890="Geprüft",Programme_Grunddaten!AR890&lt;&gt;""),IF(Programme_Grunddaten!AR890="Ja",1,0),"")</f>
        <v/>
      </c>
      <c r="AK885" s="1" t="str">
        <f>IF(AND(Programme_Grunddaten!$A890="Geprüft",Programme_Grunddaten!AS890&lt;&gt;""),IF(Programme_Grunddaten!AS890="Ja",1,0),"")</f>
        <v/>
      </c>
      <c r="AL885" s="1" t="str">
        <f>IF(AND(Programme_Grunddaten!$A890="Geprüft",Programme_Grunddaten!AT890&lt;&gt;""),IF(Programme_Grunddaten!AT890="Ja",1,0),"")</f>
        <v/>
      </c>
      <c r="AM885" s="1" t="str">
        <f>IF(AND(Programme_Grunddaten!$A890="Geprüft",Programme_Grunddaten!AU890&lt;&gt;""),IF(Programme_Grunddaten!AU890="Ja",1,0),"")</f>
        <v/>
      </c>
      <c r="AN885" s="1" t="str">
        <f>IF(AND(Programme_Grunddaten!$A890="Geprüft",Programme_Grunddaten!AV890&lt;&gt;""),IF(Programme_Grunddaten!AV890="Ja",1,0),"")</f>
        <v/>
      </c>
    </row>
    <row r="886" spans="1:40" x14ac:dyDescent="0.3">
      <c r="A886" s="1" t="str">
        <f>IF(AND(Programme_Grunddaten!A891="Geprüft",Programme_Grunddaten!B891&lt;&gt;""),Programme_Grunddaten!B891,"")</f>
        <v/>
      </c>
      <c r="B886" s="1" t="str">
        <f>IF(AND(Programme_Grunddaten!$A891="Geprüft",Programme_Grunddaten!I891&lt;&gt;""),IF(Programme_Grunddaten!I891="Ja",1,0),"")</f>
        <v/>
      </c>
      <c r="C886" s="1" t="str">
        <f>IF(AND(Programme_Grunddaten!$A891="Geprüft",Programme_Grunddaten!J891&lt;&gt;""),IF(Programme_Grunddaten!J891="Ja",1,0),"")</f>
        <v/>
      </c>
      <c r="D886" s="1" t="str">
        <f>IF(AND(Programme_Grunddaten!$A891="Geprüft",Programme_Grunddaten!K891&lt;&gt;""),IF(Programme_Grunddaten!K891="Ja",1,0),"")</f>
        <v/>
      </c>
      <c r="E886" s="1" t="str">
        <f>IF(AND(Programme_Grunddaten!$A891="Geprüft",Programme_Grunddaten!L891&lt;&gt;""),IF(Programme_Grunddaten!L891="Abo / befristete Lizenz",1,0),"")</f>
        <v/>
      </c>
      <c r="F886" s="1" t="str">
        <f>IF(AND(Programme_Grunddaten!$A891="Geprüft",Programme_Grunddaten!M891&lt;&gt;""),IF(Programme_Grunddaten!M891="Ja",1,0),"")</f>
        <v/>
      </c>
      <c r="G886" s="1" t="str">
        <f>IF(AND(Programme_Grunddaten!$A891="Geprüft",Programme_Grunddaten!N891&lt;&gt;""),IF(Programme_Grunddaten!N891="Ja",1,0),"")</f>
        <v/>
      </c>
      <c r="H886" s="1" t="str">
        <f>IF(AND(Programme_Grunddaten!$A891="Geprüft",Programme_Grunddaten!O891&lt;&gt;""),IF(Programme_Grunddaten!O891="Deutschland",0,IF(Programme_Grunddaten!O891="EU",1,2)),"")</f>
        <v/>
      </c>
      <c r="I886" s="1" t="str">
        <f>IF(AND(Programme_Grunddaten!$A891="Geprüft",Programme_Grunddaten!P891&lt;&gt;""),IF(Programme_Grunddaten!P891="Ja",1,0),"")</f>
        <v/>
      </c>
      <c r="J886" s="1" t="str">
        <f>IF(AND(Programme_Grunddaten!$A891="Geprüft",Programme_Grunddaten!Q891&lt;&gt;""),IF(Programme_Grunddaten!Q891="geschlossenes System",1,0),"")</f>
        <v/>
      </c>
      <c r="K886" s="1" t="str">
        <f>IF(AND(Programme_Grunddaten!$A891="Geprüft",Programme_Grunddaten!R891&lt;&gt;""),IF(Programme_Grunddaten!R891="Ja",1,0),"")</f>
        <v/>
      </c>
      <c r="L886" s="1" t="str">
        <f>IF(AND(Programme_Grunddaten!$A891="Geprüft",Programme_Grunddaten!T891&lt;&gt;""),IF(Programme_Grunddaten!T891="Ja",1,0),"")</f>
        <v/>
      </c>
      <c r="M886" s="1" t="str">
        <f>IF(AND(Programme_Grunddaten!$A891="Geprüft",Programme_Grunddaten!U891&lt;&gt;""),IF(Programme_Grunddaten!U891="Ja",1,0),"")</f>
        <v/>
      </c>
      <c r="N886" s="1" t="str">
        <f>IF(AND(Programme_Grunddaten!$A891="Geprüft",Programme_Grunddaten!V891&lt;&gt;""),IF(Programme_Grunddaten!V891="Ja",1,0),"")</f>
        <v/>
      </c>
      <c r="O886" s="1" t="str">
        <f>IF(AND(Programme_Grunddaten!$A891="Geprüft",Programme_Grunddaten!W891&lt;&gt;""),IF(Programme_Grunddaten!W891="Ja",1,0),"")</f>
        <v/>
      </c>
      <c r="P886" s="1" t="str">
        <f>IF(AND(Programme_Grunddaten!$A891="Geprüft",Programme_Grunddaten!X891&lt;&gt;""),IF(Programme_Grunddaten!X891="Ja",1,0),"")</f>
        <v/>
      </c>
      <c r="Q886" s="1" t="str">
        <f>IF(AND(Programme_Grunddaten!$A891="Geprüft",Programme_Grunddaten!Y891&lt;&gt;""),IF(Programme_Grunddaten!Y891="Ja",1,0),"")</f>
        <v/>
      </c>
      <c r="R886" s="1" t="str">
        <f>IF(AND(Programme_Grunddaten!$A891="Geprüft",Programme_Grunddaten!Z891&lt;&gt;""),IF(Programme_Grunddaten!Z891="Ja",1,0),"")</f>
        <v/>
      </c>
      <c r="S886" s="1" t="str">
        <f>IF(AND(Programme_Grunddaten!$A891="Geprüft",Programme_Grunddaten!AA891&lt;&gt;""),IF(Programme_Grunddaten!AA891="monolithisch",1,0),"")</f>
        <v/>
      </c>
      <c r="T886" s="1" t="str">
        <f>IF(AND(Programme_Grunddaten!$A891="Geprüft",Programme_Grunddaten!AB891&lt;&gt;""),IF(Programme_Grunddaten!AB891="Ja",1,0),"")</f>
        <v/>
      </c>
      <c r="U886" s="1" t="str">
        <f>IF(AND(Programme_Grunddaten!$A891="Geprüft",Programme_Grunddaten!AC891&lt;&gt;""),IF(Programme_Grunddaten!AC891="Ja",1,0),"")</f>
        <v/>
      </c>
      <c r="V886" s="1" t="str">
        <f>IF(AND(Programme_Grunddaten!$A891="Geprüft",Programme_Grunddaten!AD891&lt;&gt;""),IF(Programme_Grunddaten!AD891="Ja",1,0),"")</f>
        <v/>
      </c>
      <c r="W886" s="1" t="str">
        <f>IF(AND(Programme_Grunddaten!$A891="Geprüft",Programme_Grunddaten!AE891&lt;&gt;""),IF(Programme_Grunddaten!AE891="Ja",1,0),"")</f>
        <v/>
      </c>
      <c r="X886" s="1" t="str">
        <f>IF(AND(Programme_Grunddaten!$A891="Geprüft",Programme_Grunddaten!AF891&lt;&gt;""),IF(Programme_Grunddaten!AF891="Ja",1,0),"")</f>
        <v/>
      </c>
      <c r="Y886" s="1" t="str">
        <f>IF(AND(Programme_Grunddaten!$A891="Geprüft",Programme_Grunddaten!AG891&lt;&gt;""),IF(Programme_Grunddaten!AG891="Ja",1,0),"")</f>
        <v/>
      </c>
      <c r="Z886" s="1" t="str">
        <f>IF(AND(Programme_Grunddaten!$A891="Geprüft",Programme_Grunddaten!AH891&lt;&gt;""),IF(Programme_Grunddaten!AH891="Ja",1,0),"")</f>
        <v/>
      </c>
      <c r="AA886" s="1" t="str">
        <f>IF(AND(Programme_Grunddaten!$A891="Geprüft",Programme_Grunddaten!AI891&lt;&gt;""),IF(Programme_Grunddaten!AI891="Ja",1,0),"")</f>
        <v/>
      </c>
      <c r="AB886" s="1" t="str">
        <f>IF(AND(Programme_Grunddaten!$A891="Geprüft",Programme_Grunddaten!AJ891&lt;&gt;""),IF(Programme_Grunddaten!AJ891="individuell programmierbar",1,0),"")</f>
        <v/>
      </c>
      <c r="AC886" s="1" t="str">
        <f>IF(AND(Programme_Grunddaten!$A891="Geprüft",Programme_Grunddaten!AK891&lt;&gt;""),IF(Programme_Grunddaten!AK891="Deutsch",0,IF(Programme_Grunddaten!AK891="Deutsch und Englisch",1,2)),"")</f>
        <v/>
      </c>
      <c r="AD886" s="1" t="str">
        <f>IF(AND(Programme_Grunddaten!$A891="Geprüft",Programme_Grunddaten!AL891&lt;&gt;""),IF(Programme_Grunddaten!AL891="Ja",1,0),"")</f>
        <v/>
      </c>
      <c r="AE886" s="1" t="str">
        <f>IF(AND(Programme_Grunddaten!$A891="Geprüft",Programme_Grunddaten!AM891&lt;&gt;""),IF(Programme_Grunddaten!AM891="Ja",1,0),"")</f>
        <v/>
      </c>
      <c r="AF886" s="1" t="str">
        <f>IF(AND(Programme_Grunddaten!$A891="Geprüft",Programme_Grunddaten!AN891&lt;&gt;""),IF(Programme_Grunddaten!AN891="Ja",1,0),"")</f>
        <v/>
      </c>
      <c r="AG886" s="1" t="str">
        <f>IF(AND(Programme_Grunddaten!$A891="Geprüft",Programme_Grunddaten!AO891&lt;&gt;""),IF(Programme_Grunddaten!AO891="Ja",1,0),"")</f>
        <v/>
      </c>
      <c r="AH886" s="1" t="str">
        <f>IF(AND(Programme_Grunddaten!$A891="Geprüft",Programme_Grunddaten!AP891&lt;&gt;""),IF(Programme_Grunddaten!AP891="Ja",1,0),"")</f>
        <v/>
      </c>
      <c r="AI886" s="1" t="str">
        <f>IF(AND(Programme_Grunddaten!$A891="Geprüft",Programme_Grunddaten!AQ891&lt;&gt;""),IF(Programme_Grunddaten!AQ891="Ja",1,0),"")</f>
        <v/>
      </c>
      <c r="AJ886" s="1" t="str">
        <f>IF(AND(Programme_Grunddaten!$A891="Geprüft",Programme_Grunddaten!AR891&lt;&gt;""),IF(Programme_Grunddaten!AR891="Ja",1,0),"")</f>
        <v/>
      </c>
      <c r="AK886" s="1" t="str">
        <f>IF(AND(Programme_Grunddaten!$A891="Geprüft",Programme_Grunddaten!AS891&lt;&gt;""),IF(Programme_Grunddaten!AS891="Ja",1,0),"")</f>
        <v/>
      </c>
      <c r="AL886" s="1" t="str">
        <f>IF(AND(Programme_Grunddaten!$A891="Geprüft",Programme_Grunddaten!AT891&lt;&gt;""),IF(Programme_Grunddaten!AT891="Ja",1,0),"")</f>
        <v/>
      </c>
      <c r="AM886" s="1" t="str">
        <f>IF(AND(Programme_Grunddaten!$A891="Geprüft",Programme_Grunddaten!AU891&lt;&gt;""),IF(Programme_Grunddaten!AU891="Ja",1,0),"")</f>
        <v/>
      </c>
      <c r="AN886" s="1" t="str">
        <f>IF(AND(Programme_Grunddaten!$A891="Geprüft",Programme_Grunddaten!AV891&lt;&gt;""),IF(Programme_Grunddaten!AV891="Ja",1,0),"")</f>
        <v/>
      </c>
    </row>
    <row r="887" spans="1:40" x14ac:dyDescent="0.3">
      <c r="A887" s="1" t="str">
        <f>IF(AND(Programme_Grunddaten!A892="Geprüft",Programme_Grunddaten!B892&lt;&gt;""),Programme_Grunddaten!B892,"")</f>
        <v/>
      </c>
      <c r="B887" s="1" t="str">
        <f>IF(AND(Programme_Grunddaten!$A892="Geprüft",Programme_Grunddaten!I892&lt;&gt;""),IF(Programme_Grunddaten!I892="Ja",1,0),"")</f>
        <v/>
      </c>
      <c r="C887" s="1" t="str">
        <f>IF(AND(Programme_Grunddaten!$A892="Geprüft",Programme_Grunddaten!J892&lt;&gt;""),IF(Programme_Grunddaten!J892="Ja",1,0),"")</f>
        <v/>
      </c>
      <c r="D887" s="1" t="str">
        <f>IF(AND(Programme_Grunddaten!$A892="Geprüft",Programme_Grunddaten!K892&lt;&gt;""),IF(Programme_Grunddaten!K892="Ja",1,0),"")</f>
        <v/>
      </c>
      <c r="E887" s="1" t="str">
        <f>IF(AND(Programme_Grunddaten!$A892="Geprüft",Programme_Grunddaten!L892&lt;&gt;""),IF(Programme_Grunddaten!L892="Abo / befristete Lizenz",1,0),"")</f>
        <v/>
      </c>
      <c r="F887" s="1" t="str">
        <f>IF(AND(Programme_Grunddaten!$A892="Geprüft",Programme_Grunddaten!M892&lt;&gt;""),IF(Programme_Grunddaten!M892="Ja",1,0),"")</f>
        <v/>
      </c>
      <c r="G887" s="1" t="str">
        <f>IF(AND(Programme_Grunddaten!$A892="Geprüft",Programme_Grunddaten!N892&lt;&gt;""),IF(Programme_Grunddaten!N892="Ja",1,0),"")</f>
        <v/>
      </c>
      <c r="H887" s="1" t="str">
        <f>IF(AND(Programme_Grunddaten!$A892="Geprüft",Programme_Grunddaten!O892&lt;&gt;""),IF(Programme_Grunddaten!O892="Deutschland",0,IF(Programme_Grunddaten!O892="EU",1,2)),"")</f>
        <v/>
      </c>
      <c r="I887" s="1" t="str">
        <f>IF(AND(Programme_Grunddaten!$A892="Geprüft",Programme_Grunddaten!P892&lt;&gt;""),IF(Programme_Grunddaten!P892="Ja",1,0),"")</f>
        <v/>
      </c>
      <c r="J887" s="1" t="str">
        <f>IF(AND(Programme_Grunddaten!$A892="Geprüft",Programme_Grunddaten!Q892&lt;&gt;""),IF(Programme_Grunddaten!Q892="geschlossenes System",1,0),"")</f>
        <v/>
      </c>
      <c r="K887" s="1" t="str">
        <f>IF(AND(Programme_Grunddaten!$A892="Geprüft",Programme_Grunddaten!R892&lt;&gt;""),IF(Programme_Grunddaten!R892="Ja",1,0),"")</f>
        <v/>
      </c>
      <c r="L887" s="1" t="str">
        <f>IF(AND(Programme_Grunddaten!$A892="Geprüft",Programme_Grunddaten!T892&lt;&gt;""),IF(Programme_Grunddaten!T892="Ja",1,0),"")</f>
        <v/>
      </c>
      <c r="M887" s="1" t="str">
        <f>IF(AND(Programme_Grunddaten!$A892="Geprüft",Programme_Grunddaten!U892&lt;&gt;""),IF(Programme_Grunddaten!U892="Ja",1,0),"")</f>
        <v/>
      </c>
      <c r="N887" s="1" t="str">
        <f>IF(AND(Programme_Grunddaten!$A892="Geprüft",Programme_Grunddaten!V892&lt;&gt;""),IF(Programme_Grunddaten!V892="Ja",1,0),"")</f>
        <v/>
      </c>
      <c r="O887" s="1" t="str">
        <f>IF(AND(Programme_Grunddaten!$A892="Geprüft",Programme_Grunddaten!W892&lt;&gt;""),IF(Programme_Grunddaten!W892="Ja",1,0),"")</f>
        <v/>
      </c>
      <c r="P887" s="1" t="str">
        <f>IF(AND(Programme_Grunddaten!$A892="Geprüft",Programme_Grunddaten!X892&lt;&gt;""),IF(Programme_Grunddaten!X892="Ja",1,0),"")</f>
        <v/>
      </c>
      <c r="Q887" s="1" t="str">
        <f>IF(AND(Programme_Grunddaten!$A892="Geprüft",Programme_Grunddaten!Y892&lt;&gt;""),IF(Programme_Grunddaten!Y892="Ja",1,0),"")</f>
        <v/>
      </c>
      <c r="R887" s="1" t="str">
        <f>IF(AND(Programme_Grunddaten!$A892="Geprüft",Programme_Grunddaten!Z892&lt;&gt;""),IF(Programme_Grunddaten!Z892="Ja",1,0),"")</f>
        <v/>
      </c>
      <c r="S887" s="1" t="str">
        <f>IF(AND(Programme_Grunddaten!$A892="Geprüft",Programme_Grunddaten!AA892&lt;&gt;""),IF(Programme_Grunddaten!AA892="monolithisch",1,0),"")</f>
        <v/>
      </c>
      <c r="T887" s="1" t="str">
        <f>IF(AND(Programme_Grunddaten!$A892="Geprüft",Programme_Grunddaten!AB892&lt;&gt;""),IF(Programme_Grunddaten!AB892="Ja",1,0),"")</f>
        <v/>
      </c>
      <c r="U887" s="1" t="str">
        <f>IF(AND(Programme_Grunddaten!$A892="Geprüft",Programme_Grunddaten!AC892&lt;&gt;""),IF(Programme_Grunddaten!AC892="Ja",1,0),"")</f>
        <v/>
      </c>
      <c r="V887" s="1" t="str">
        <f>IF(AND(Programme_Grunddaten!$A892="Geprüft",Programme_Grunddaten!AD892&lt;&gt;""),IF(Programme_Grunddaten!AD892="Ja",1,0),"")</f>
        <v/>
      </c>
      <c r="W887" s="1" t="str">
        <f>IF(AND(Programme_Grunddaten!$A892="Geprüft",Programme_Grunddaten!AE892&lt;&gt;""),IF(Programme_Grunddaten!AE892="Ja",1,0),"")</f>
        <v/>
      </c>
      <c r="X887" s="1" t="str">
        <f>IF(AND(Programme_Grunddaten!$A892="Geprüft",Programme_Grunddaten!AF892&lt;&gt;""),IF(Programme_Grunddaten!AF892="Ja",1,0),"")</f>
        <v/>
      </c>
      <c r="Y887" s="1" t="str">
        <f>IF(AND(Programme_Grunddaten!$A892="Geprüft",Programme_Grunddaten!AG892&lt;&gt;""),IF(Programme_Grunddaten!AG892="Ja",1,0),"")</f>
        <v/>
      </c>
      <c r="Z887" s="1" t="str">
        <f>IF(AND(Programme_Grunddaten!$A892="Geprüft",Programme_Grunddaten!AH892&lt;&gt;""),IF(Programme_Grunddaten!AH892="Ja",1,0),"")</f>
        <v/>
      </c>
      <c r="AA887" s="1" t="str">
        <f>IF(AND(Programme_Grunddaten!$A892="Geprüft",Programme_Grunddaten!AI892&lt;&gt;""),IF(Programme_Grunddaten!AI892="Ja",1,0),"")</f>
        <v/>
      </c>
      <c r="AB887" s="1" t="str">
        <f>IF(AND(Programme_Grunddaten!$A892="Geprüft",Programme_Grunddaten!AJ892&lt;&gt;""),IF(Programme_Grunddaten!AJ892="individuell programmierbar",1,0),"")</f>
        <v/>
      </c>
      <c r="AC887" s="1" t="str">
        <f>IF(AND(Programme_Grunddaten!$A892="Geprüft",Programme_Grunddaten!AK892&lt;&gt;""),IF(Programme_Grunddaten!AK892="Deutsch",0,IF(Programme_Grunddaten!AK892="Deutsch und Englisch",1,2)),"")</f>
        <v/>
      </c>
      <c r="AD887" s="1" t="str">
        <f>IF(AND(Programme_Grunddaten!$A892="Geprüft",Programme_Grunddaten!AL892&lt;&gt;""),IF(Programme_Grunddaten!AL892="Ja",1,0),"")</f>
        <v/>
      </c>
      <c r="AE887" s="1" t="str">
        <f>IF(AND(Programme_Grunddaten!$A892="Geprüft",Programme_Grunddaten!AM892&lt;&gt;""),IF(Programme_Grunddaten!AM892="Ja",1,0),"")</f>
        <v/>
      </c>
      <c r="AF887" s="1" t="str">
        <f>IF(AND(Programme_Grunddaten!$A892="Geprüft",Programme_Grunddaten!AN892&lt;&gt;""),IF(Programme_Grunddaten!AN892="Ja",1,0),"")</f>
        <v/>
      </c>
      <c r="AG887" s="1" t="str">
        <f>IF(AND(Programme_Grunddaten!$A892="Geprüft",Programme_Grunddaten!AO892&lt;&gt;""),IF(Programme_Grunddaten!AO892="Ja",1,0),"")</f>
        <v/>
      </c>
      <c r="AH887" s="1" t="str">
        <f>IF(AND(Programme_Grunddaten!$A892="Geprüft",Programme_Grunddaten!AP892&lt;&gt;""),IF(Programme_Grunddaten!AP892="Ja",1,0),"")</f>
        <v/>
      </c>
      <c r="AI887" s="1" t="str">
        <f>IF(AND(Programme_Grunddaten!$A892="Geprüft",Programme_Grunddaten!AQ892&lt;&gt;""),IF(Programme_Grunddaten!AQ892="Ja",1,0),"")</f>
        <v/>
      </c>
      <c r="AJ887" s="1" t="str">
        <f>IF(AND(Programme_Grunddaten!$A892="Geprüft",Programme_Grunddaten!AR892&lt;&gt;""),IF(Programme_Grunddaten!AR892="Ja",1,0),"")</f>
        <v/>
      </c>
      <c r="AK887" s="1" t="str">
        <f>IF(AND(Programme_Grunddaten!$A892="Geprüft",Programme_Grunddaten!AS892&lt;&gt;""),IF(Programme_Grunddaten!AS892="Ja",1,0),"")</f>
        <v/>
      </c>
      <c r="AL887" s="1" t="str">
        <f>IF(AND(Programme_Grunddaten!$A892="Geprüft",Programme_Grunddaten!AT892&lt;&gt;""),IF(Programme_Grunddaten!AT892="Ja",1,0),"")</f>
        <v/>
      </c>
      <c r="AM887" s="1" t="str">
        <f>IF(AND(Programme_Grunddaten!$A892="Geprüft",Programme_Grunddaten!AU892&lt;&gt;""),IF(Programme_Grunddaten!AU892="Ja",1,0),"")</f>
        <v/>
      </c>
      <c r="AN887" s="1" t="str">
        <f>IF(AND(Programme_Grunddaten!$A892="Geprüft",Programme_Grunddaten!AV892&lt;&gt;""),IF(Programme_Grunddaten!AV892="Ja",1,0),"")</f>
        <v/>
      </c>
    </row>
    <row r="888" spans="1:40" x14ac:dyDescent="0.3">
      <c r="A888" s="1" t="str">
        <f>IF(AND(Programme_Grunddaten!A893="Geprüft",Programme_Grunddaten!B893&lt;&gt;""),Programme_Grunddaten!B893,"")</f>
        <v/>
      </c>
      <c r="B888" s="1" t="str">
        <f>IF(AND(Programme_Grunddaten!$A893="Geprüft",Programme_Grunddaten!I893&lt;&gt;""),IF(Programme_Grunddaten!I893="Ja",1,0),"")</f>
        <v/>
      </c>
      <c r="C888" s="1" t="str">
        <f>IF(AND(Programme_Grunddaten!$A893="Geprüft",Programme_Grunddaten!J893&lt;&gt;""),IF(Programme_Grunddaten!J893="Ja",1,0),"")</f>
        <v/>
      </c>
      <c r="D888" s="1" t="str">
        <f>IF(AND(Programme_Grunddaten!$A893="Geprüft",Programme_Grunddaten!K893&lt;&gt;""),IF(Programme_Grunddaten!K893="Ja",1,0),"")</f>
        <v/>
      </c>
      <c r="E888" s="1" t="str">
        <f>IF(AND(Programme_Grunddaten!$A893="Geprüft",Programme_Grunddaten!L893&lt;&gt;""),IF(Programme_Grunddaten!L893="Abo / befristete Lizenz",1,0),"")</f>
        <v/>
      </c>
      <c r="F888" s="1" t="str">
        <f>IF(AND(Programme_Grunddaten!$A893="Geprüft",Programme_Grunddaten!M893&lt;&gt;""),IF(Programme_Grunddaten!M893="Ja",1,0),"")</f>
        <v/>
      </c>
      <c r="G888" s="1" t="str">
        <f>IF(AND(Programme_Grunddaten!$A893="Geprüft",Programme_Grunddaten!N893&lt;&gt;""),IF(Programme_Grunddaten!N893="Ja",1,0),"")</f>
        <v/>
      </c>
      <c r="H888" s="1" t="str">
        <f>IF(AND(Programme_Grunddaten!$A893="Geprüft",Programme_Grunddaten!O893&lt;&gt;""),IF(Programme_Grunddaten!O893="Deutschland",0,IF(Programme_Grunddaten!O893="EU",1,2)),"")</f>
        <v/>
      </c>
      <c r="I888" s="1" t="str">
        <f>IF(AND(Programme_Grunddaten!$A893="Geprüft",Programme_Grunddaten!P893&lt;&gt;""),IF(Programme_Grunddaten!P893="Ja",1,0),"")</f>
        <v/>
      </c>
      <c r="J888" s="1" t="str">
        <f>IF(AND(Programme_Grunddaten!$A893="Geprüft",Programme_Grunddaten!Q893&lt;&gt;""),IF(Programme_Grunddaten!Q893="geschlossenes System",1,0),"")</f>
        <v/>
      </c>
      <c r="K888" s="1" t="str">
        <f>IF(AND(Programme_Grunddaten!$A893="Geprüft",Programme_Grunddaten!R893&lt;&gt;""),IF(Programme_Grunddaten!R893="Ja",1,0),"")</f>
        <v/>
      </c>
      <c r="L888" s="1" t="str">
        <f>IF(AND(Programme_Grunddaten!$A893="Geprüft",Programme_Grunddaten!T893&lt;&gt;""),IF(Programme_Grunddaten!T893="Ja",1,0),"")</f>
        <v/>
      </c>
      <c r="M888" s="1" t="str">
        <f>IF(AND(Programme_Grunddaten!$A893="Geprüft",Programme_Grunddaten!U893&lt;&gt;""),IF(Programme_Grunddaten!U893="Ja",1,0),"")</f>
        <v/>
      </c>
      <c r="N888" s="1" t="str">
        <f>IF(AND(Programme_Grunddaten!$A893="Geprüft",Programme_Grunddaten!V893&lt;&gt;""),IF(Programme_Grunddaten!V893="Ja",1,0),"")</f>
        <v/>
      </c>
      <c r="O888" s="1" t="str">
        <f>IF(AND(Programme_Grunddaten!$A893="Geprüft",Programme_Grunddaten!W893&lt;&gt;""),IF(Programme_Grunddaten!W893="Ja",1,0),"")</f>
        <v/>
      </c>
      <c r="P888" s="1" t="str">
        <f>IF(AND(Programme_Grunddaten!$A893="Geprüft",Programme_Grunddaten!X893&lt;&gt;""),IF(Programme_Grunddaten!X893="Ja",1,0),"")</f>
        <v/>
      </c>
      <c r="Q888" s="1" t="str">
        <f>IF(AND(Programme_Grunddaten!$A893="Geprüft",Programme_Grunddaten!Y893&lt;&gt;""),IF(Programme_Grunddaten!Y893="Ja",1,0),"")</f>
        <v/>
      </c>
      <c r="R888" s="1" t="str">
        <f>IF(AND(Programme_Grunddaten!$A893="Geprüft",Programme_Grunddaten!Z893&lt;&gt;""),IF(Programme_Grunddaten!Z893="Ja",1,0),"")</f>
        <v/>
      </c>
      <c r="S888" s="1" t="str">
        <f>IF(AND(Programme_Grunddaten!$A893="Geprüft",Programme_Grunddaten!AA893&lt;&gt;""),IF(Programme_Grunddaten!AA893="monolithisch",1,0),"")</f>
        <v/>
      </c>
      <c r="T888" s="1" t="str">
        <f>IF(AND(Programme_Grunddaten!$A893="Geprüft",Programme_Grunddaten!AB893&lt;&gt;""),IF(Programme_Grunddaten!AB893="Ja",1,0),"")</f>
        <v/>
      </c>
      <c r="U888" s="1" t="str">
        <f>IF(AND(Programme_Grunddaten!$A893="Geprüft",Programme_Grunddaten!AC893&lt;&gt;""),IF(Programme_Grunddaten!AC893="Ja",1,0),"")</f>
        <v/>
      </c>
      <c r="V888" s="1" t="str">
        <f>IF(AND(Programme_Grunddaten!$A893="Geprüft",Programme_Grunddaten!AD893&lt;&gt;""),IF(Programme_Grunddaten!AD893="Ja",1,0),"")</f>
        <v/>
      </c>
      <c r="W888" s="1" t="str">
        <f>IF(AND(Programme_Grunddaten!$A893="Geprüft",Programme_Grunddaten!AE893&lt;&gt;""),IF(Programme_Grunddaten!AE893="Ja",1,0),"")</f>
        <v/>
      </c>
      <c r="X888" s="1" t="str">
        <f>IF(AND(Programme_Grunddaten!$A893="Geprüft",Programme_Grunddaten!AF893&lt;&gt;""),IF(Programme_Grunddaten!AF893="Ja",1,0),"")</f>
        <v/>
      </c>
      <c r="Y888" s="1" t="str">
        <f>IF(AND(Programme_Grunddaten!$A893="Geprüft",Programme_Grunddaten!AG893&lt;&gt;""),IF(Programme_Grunddaten!AG893="Ja",1,0),"")</f>
        <v/>
      </c>
      <c r="Z888" s="1" t="str">
        <f>IF(AND(Programme_Grunddaten!$A893="Geprüft",Programme_Grunddaten!AH893&lt;&gt;""),IF(Programme_Grunddaten!AH893="Ja",1,0),"")</f>
        <v/>
      </c>
      <c r="AA888" s="1" t="str">
        <f>IF(AND(Programme_Grunddaten!$A893="Geprüft",Programme_Grunddaten!AI893&lt;&gt;""),IF(Programme_Grunddaten!AI893="Ja",1,0),"")</f>
        <v/>
      </c>
      <c r="AB888" s="1" t="str">
        <f>IF(AND(Programme_Grunddaten!$A893="Geprüft",Programme_Grunddaten!AJ893&lt;&gt;""),IF(Programme_Grunddaten!AJ893="individuell programmierbar",1,0),"")</f>
        <v/>
      </c>
      <c r="AC888" s="1" t="str">
        <f>IF(AND(Programme_Grunddaten!$A893="Geprüft",Programme_Grunddaten!AK893&lt;&gt;""),IF(Programme_Grunddaten!AK893="Deutsch",0,IF(Programme_Grunddaten!AK893="Deutsch und Englisch",1,2)),"")</f>
        <v/>
      </c>
      <c r="AD888" s="1" t="str">
        <f>IF(AND(Programme_Grunddaten!$A893="Geprüft",Programme_Grunddaten!AL893&lt;&gt;""),IF(Programme_Grunddaten!AL893="Ja",1,0),"")</f>
        <v/>
      </c>
      <c r="AE888" s="1" t="str">
        <f>IF(AND(Programme_Grunddaten!$A893="Geprüft",Programme_Grunddaten!AM893&lt;&gt;""),IF(Programme_Grunddaten!AM893="Ja",1,0),"")</f>
        <v/>
      </c>
      <c r="AF888" s="1" t="str">
        <f>IF(AND(Programme_Grunddaten!$A893="Geprüft",Programme_Grunddaten!AN893&lt;&gt;""),IF(Programme_Grunddaten!AN893="Ja",1,0),"")</f>
        <v/>
      </c>
      <c r="AG888" s="1" t="str">
        <f>IF(AND(Programme_Grunddaten!$A893="Geprüft",Programme_Grunddaten!AO893&lt;&gt;""),IF(Programme_Grunddaten!AO893="Ja",1,0),"")</f>
        <v/>
      </c>
      <c r="AH888" s="1" t="str">
        <f>IF(AND(Programme_Grunddaten!$A893="Geprüft",Programme_Grunddaten!AP893&lt;&gt;""),IF(Programme_Grunddaten!AP893="Ja",1,0),"")</f>
        <v/>
      </c>
      <c r="AI888" s="1" t="str">
        <f>IF(AND(Programme_Grunddaten!$A893="Geprüft",Programme_Grunddaten!AQ893&lt;&gt;""),IF(Programme_Grunddaten!AQ893="Ja",1,0),"")</f>
        <v/>
      </c>
      <c r="AJ888" s="1" t="str">
        <f>IF(AND(Programme_Grunddaten!$A893="Geprüft",Programme_Grunddaten!AR893&lt;&gt;""),IF(Programme_Grunddaten!AR893="Ja",1,0),"")</f>
        <v/>
      </c>
      <c r="AK888" s="1" t="str">
        <f>IF(AND(Programme_Grunddaten!$A893="Geprüft",Programme_Grunddaten!AS893&lt;&gt;""),IF(Programme_Grunddaten!AS893="Ja",1,0),"")</f>
        <v/>
      </c>
      <c r="AL888" s="1" t="str">
        <f>IF(AND(Programme_Grunddaten!$A893="Geprüft",Programme_Grunddaten!AT893&lt;&gt;""),IF(Programme_Grunddaten!AT893="Ja",1,0),"")</f>
        <v/>
      </c>
      <c r="AM888" s="1" t="str">
        <f>IF(AND(Programme_Grunddaten!$A893="Geprüft",Programme_Grunddaten!AU893&lt;&gt;""),IF(Programme_Grunddaten!AU893="Ja",1,0),"")</f>
        <v/>
      </c>
      <c r="AN888" s="1" t="str">
        <f>IF(AND(Programme_Grunddaten!$A893="Geprüft",Programme_Grunddaten!AV893&lt;&gt;""),IF(Programme_Grunddaten!AV893="Ja",1,0),"")</f>
        <v/>
      </c>
    </row>
    <row r="889" spans="1:40" x14ac:dyDescent="0.3">
      <c r="A889" s="1" t="str">
        <f>IF(AND(Programme_Grunddaten!A894="Geprüft",Programme_Grunddaten!B894&lt;&gt;""),Programme_Grunddaten!B894,"")</f>
        <v/>
      </c>
      <c r="B889" s="1" t="str">
        <f>IF(AND(Programme_Grunddaten!$A894="Geprüft",Programme_Grunddaten!I894&lt;&gt;""),IF(Programme_Grunddaten!I894="Ja",1,0),"")</f>
        <v/>
      </c>
      <c r="C889" s="1" t="str">
        <f>IF(AND(Programme_Grunddaten!$A894="Geprüft",Programme_Grunddaten!J894&lt;&gt;""),IF(Programme_Grunddaten!J894="Ja",1,0),"")</f>
        <v/>
      </c>
      <c r="D889" s="1" t="str">
        <f>IF(AND(Programme_Grunddaten!$A894="Geprüft",Programme_Grunddaten!K894&lt;&gt;""),IF(Programme_Grunddaten!K894="Ja",1,0),"")</f>
        <v/>
      </c>
      <c r="E889" s="1" t="str">
        <f>IF(AND(Programme_Grunddaten!$A894="Geprüft",Programme_Grunddaten!L894&lt;&gt;""),IF(Programme_Grunddaten!L894="Abo / befristete Lizenz",1,0),"")</f>
        <v/>
      </c>
      <c r="F889" s="1" t="str">
        <f>IF(AND(Programme_Grunddaten!$A894="Geprüft",Programme_Grunddaten!M894&lt;&gt;""),IF(Programme_Grunddaten!M894="Ja",1,0),"")</f>
        <v/>
      </c>
      <c r="G889" s="1" t="str">
        <f>IF(AND(Programme_Grunddaten!$A894="Geprüft",Programme_Grunddaten!N894&lt;&gt;""),IF(Programme_Grunddaten!N894="Ja",1,0),"")</f>
        <v/>
      </c>
      <c r="H889" s="1" t="str">
        <f>IF(AND(Programme_Grunddaten!$A894="Geprüft",Programme_Grunddaten!O894&lt;&gt;""),IF(Programme_Grunddaten!O894="Deutschland",0,IF(Programme_Grunddaten!O894="EU",1,2)),"")</f>
        <v/>
      </c>
      <c r="I889" s="1" t="str">
        <f>IF(AND(Programme_Grunddaten!$A894="Geprüft",Programme_Grunddaten!P894&lt;&gt;""),IF(Programme_Grunddaten!P894="Ja",1,0),"")</f>
        <v/>
      </c>
      <c r="J889" s="1" t="str">
        <f>IF(AND(Programme_Grunddaten!$A894="Geprüft",Programme_Grunddaten!Q894&lt;&gt;""),IF(Programme_Grunddaten!Q894="geschlossenes System",1,0),"")</f>
        <v/>
      </c>
      <c r="K889" s="1" t="str">
        <f>IF(AND(Programme_Grunddaten!$A894="Geprüft",Programme_Grunddaten!R894&lt;&gt;""),IF(Programme_Grunddaten!R894="Ja",1,0),"")</f>
        <v/>
      </c>
      <c r="L889" s="1" t="str">
        <f>IF(AND(Programme_Grunddaten!$A894="Geprüft",Programme_Grunddaten!T894&lt;&gt;""),IF(Programme_Grunddaten!T894="Ja",1,0),"")</f>
        <v/>
      </c>
      <c r="M889" s="1" t="str">
        <f>IF(AND(Programme_Grunddaten!$A894="Geprüft",Programme_Grunddaten!U894&lt;&gt;""),IF(Programme_Grunddaten!U894="Ja",1,0),"")</f>
        <v/>
      </c>
      <c r="N889" s="1" t="str">
        <f>IF(AND(Programme_Grunddaten!$A894="Geprüft",Programme_Grunddaten!V894&lt;&gt;""),IF(Programme_Grunddaten!V894="Ja",1,0),"")</f>
        <v/>
      </c>
      <c r="O889" s="1" t="str">
        <f>IF(AND(Programme_Grunddaten!$A894="Geprüft",Programme_Grunddaten!W894&lt;&gt;""),IF(Programme_Grunddaten!W894="Ja",1,0),"")</f>
        <v/>
      </c>
      <c r="P889" s="1" t="str">
        <f>IF(AND(Programme_Grunddaten!$A894="Geprüft",Programme_Grunddaten!X894&lt;&gt;""),IF(Programme_Grunddaten!X894="Ja",1,0),"")</f>
        <v/>
      </c>
      <c r="Q889" s="1" t="str">
        <f>IF(AND(Programme_Grunddaten!$A894="Geprüft",Programme_Grunddaten!Y894&lt;&gt;""),IF(Programme_Grunddaten!Y894="Ja",1,0),"")</f>
        <v/>
      </c>
      <c r="R889" s="1" t="str">
        <f>IF(AND(Programme_Grunddaten!$A894="Geprüft",Programme_Grunddaten!Z894&lt;&gt;""),IF(Programme_Grunddaten!Z894="Ja",1,0),"")</f>
        <v/>
      </c>
      <c r="S889" s="1" t="str">
        <f>IF(AND(Programme_Grunddaten!$A894="Geprüft",Programme_Grunddaten!AA894&lt;&gt;""),IF(Programme_Grunddaten!AA894="monolithisch",1,0),"")</f>
        <v/>
      </c>
      <c r="T889" s="1" t="str">
        <f>IF(AND(Programme_Grunddaten!$A894="Geprüft",Programme_Grunddaten!AB894&lt;&gt;""),IF(Programme_Grunddaten!AB894="Ja",1,0),"")</f>
        <v/>
      </c>
      <c r="U889" s="1" t="str">
        <f>IF(AND(Programme_Grunddaten!$A894="Geprüft",Programme_Grunddaten!AC894&lt;&gt;""),IF(Programme_Grunddaten!AC894="Ja",1,0),"")</f>
        <v/>
      </c>
      <c r="V889" s="1" t="str">
        <f>IF(AND(Programme_Grunddaten!$A894="Geprüft",Programme_Grunddaten!AD894&lt;&gt;""),IF(Programme_Grunddaten!AD894="Ja",1,0),"")</f>
        <v/>
      </c>
      <c r="W889" s="1" t="str">
        <f>IF(AND(Programme_Grunddaten!$A894="Geprüft",Programme_Grunddaten!AE894&lt;&gt;""),IF(Programme_Grunddaten!AE894="Ja",1,0),"")</f>
        <v/>
      </c>
      <c r="X889" s="1" t="str">
        <f>IF(AND(Programme_Grunddaten!$A894="Geprüft",Programme_Grunddaten!AF894&lt;&gt;""),IF(Programme_Grunddaten!AF894="Ja",1,0),"")</f>
        <v/>
      </c>
      <c r="Y889" s="1" t="str">
        <f>IF(AND(Programme_Grunddaten!$A894="Geprüft",Programme_Grunddaten!AG894&lt;&gt;""),IF(Programme_Grunddaten!AG894="Ja",1,0),"")</f>
        <v/>
      </c>
      <c r="Z889" s="1" t="str">
        <f>IF(AND(Programme_Grunddaten!$A894="Geprüft",Programme_Grunddaten!AH894&lt;&gt;""),IF(Programme_Grunddaten!AH894="Ja",1,0),"")</f>
        <v/>
      </c>
      <c r="AA889" s="1" t="str">
        <f>IF(AND(Programme_Grunddaten!$A894="Geprüft",Programme_Grunddaten!AI894&lt;&gt;""),IF(Programme_Grunddaten!AI894="Ja",1,0),"")</f>
        <v/>
      </c>
      <c r="AB889" s="1" t="str">
        <f>IF(AND(Programme_Grunddaten!$A894="Geprüft",Programme_Grunddaten!AJ894&lt;&gt;""),IF(Programme_Grunddaten!AJ894="individuell programmierbar",1,0),"")</f>
        <v/>
      </c>
      <c r="AC889" s="1" t="str">
        <f>IF(AND(Programme_Grunddaten!$A894="Geprüft",Programme_Grunddaten!AK894&lt;&gt;""),IF(Programme_Grunddaten!AK894="Deutsch",0,IF(Programme_Grunddaten!AK894="Deutsch und Englisch",1,2)),"")</f>
        <v/>
      </c>
      <c r="AD889" s="1" t="str">
        <f>IF(AND(Programme_Grunddaten!$A894="Geprüft",Programme_Grunddaten!AL894&lt;&gt;""),IF(Programme_Grunddaten!AL894="Ja",1,0),"")</f>
        <v/>
      </c>
      <c r="AE889" s="1" t="str">
        <f>IF(AND(Programme_Grunddaten!$A894="Geprüft",Programme_Grunddaten!AM894&lt;&gt;""),IF(Programme_Grunddaten!AM894="Ja",1,0),"")</f>
        <v/>
      </c>
      <c r="AF889" s="1" t="str">
        <f>IF(AND(Programme_Grunddaten!$A894="Geprüft",Programme_Grunddaten!AN894&lt;&gt;""),IF(Programme_Grunddaten!AN894="Ja",1,0),"")</f>
        <v/>
      </c>
      <c r="AG889" s="1" t="str">
        <f>IF(AND(Programme_Grunddaten!$A894="Geprüft",Programme_Grunddaten!AO894&lt;&gt;""),IF(Programme_Grunddaten!AO894="Ja",1,0),"")</f>
        <v/>
      </c>
      <c r="AH889" s="1" t="str">
        <f>IF(AND(Programme_Grunddaten!$A894="Geprüft",Programme_Grunddaten!AP894&lt;&gt;""),IF(Programme_Grunddaten!AP894="Ja",1,0),"")</f>
        <v/>
      </c>
      <c r="AI889" s="1" t="str">
        <f>IF(AND(Programme_Grunddaten!$A894="Geprüft",Programme_Grunddaten!AQ894&lt;&gt;""),IF(Programme_Grunddaten!AQ894="Ja",1,0),"")</f>
        <v/>
      </c>
      <c r="AJ889" s="1" t="str">
        <f>IF(AND(Programme_Grunddaten!$A894="Geprüft",Programme_Grunddaten!AR894&lt;&gt;""),IF(Programme_Grunddaten!AR894="Ja",1,0),"")</f>
        <v/>
      </c>
      <c r="AK889" s="1" t="str">
        <f>IF(AND(Programme_Grunddaten!$A894="Geprüft",Programme_Grunddaten!AS894&lt;&gt;""),IF(Programme_Grunddaten!AS894="Ja",1,0),"")</f>
        <v/>
      </c>
      <c r="AL889" s="1" t="str">
        <f>IF(AND(Programme_Grunddaten!$A894="Geprüft",Programme_Grunddaten!AT894&lt;&gt;""),IF(Programme_Grunddaten!AT894="Ja",1,0),"")</f>
        <v/>
      </c>
      <c r="AM889" s="1" t="str">
        <f>IF(AND(Programme_Grunddaten!$A894="Geprüft",Programme_Grunddaten!AU894&lt;&gt;""),IF(Programme_Grunddaten!AU894="Ja",1,0),"")</f>
        <v/>
      </c>
      <c r="AN889" s="1" t="str">
        <f>IF(AND(Programme_Grunddaten!$A894="Geprüft",Programme_Grunddaten!AV894&lt;&gt;""),IF(Programme_Grunddaten!AV894="Ja",1,0),"")</f>
        <v/>
      </c>
    </row>
    <row r="890" spans="1:40" x14ac:dyDescent="0.3">
      <c r="A890" s="1" t="str">
        <f>IF(AND(Programme_Grunddaten!A895="Geprüft",Programme_Grunddaten!B895&lt;&gt;""),Programme_Grunddaten!B895,"")</f>
        <v/>
      </c>
      <c r="B890" s="1" t="str">
        <f>IF(AND(Programme_Grunddaten!$A895="Geprüft",Programme_Grunddaten!I895&lt;&gt;""),IF(Programme_Grunddaten!I895="Ja",1,0),"")</f>
        <v/>
      </c>
      <c r="C890" s="1" t="str">
        <f>IF(AND(Programme_Grunddaten!$A895="Geprüft",Programme_Grunddaten!J895&lt;&gt;""),IF(Programme_Grunddaten!J895="Ja",1,0),"")</f>
        <v/>
      </c>
      <c r="D890" s="1" t="str">
        <f>IF(AND(Programme_Grunddaten!$A895="Geprüft",Programme_Grunddaten!K895&lt;&gt;""),IF(Programme_Grunddaten!K895="Ja",1,0),"")</f>
        <v/>
      </c>
      <c r="E890" s="1" t="str">
        <f>IF(AND(Programme_Grunddaten!$A895="Geprüft",Programme_Grunddaten!L895&lt;&gt;""),IF(Programme_Grunddaten!L895="Abo / befristete Lizenz",1,0),"")</f>
        <v/>
      </c>
      <c r="F890" s="1" t="str">
        <f>IF(AND(Programme_Grunddaten!$A895="Geprüft",Programme_Grunddaten!M895&lt;&gt;""),IF(Programme_Grunddaten!M895="Ja",1,0),"")</f>
        <v/>
      </c>
      <c r="G890" s="1" t="str">
        <f>IF(AND(Programme_Grunddaten!$A895="Geprüft",Programme_Grunddaten!N895&lt;&gt;""),IF(Programme_Grunddaten!N895="Ja",1,0),"")</f>
        <v/>
      </c>
      <c r="H890" s="1" t="str">
        <f>IF(AND(Programme_Grunddaten!$A895="Geprüft",Programme_Grunddaten!O895&lt;&gt;""),IF(Programme_Grunddaten!O895="Deutschland",0,IF(Programme_Grunddaten!O895="EU",1,2)),"")</f>
        <v/>
      </c>
      <c r="I890" s="1" t="str">
        <f>IF(AND(Programme_Grunddaten!$A895="Geprüft",Programme_Grunddaten!P895&lt;&gt;""),IF(Programme_Grunddaten!P895="Ja",1,0),"")</f>
        <v/>
      </c>
      <c r="J890" s="1" t="str">
        <f>IF(AND(Programme_Grunddaten!$A895="Geprüft",Programme_Grunddaten!Q895&lt;&gt;""),IF(Programme_Grunddaten!Q895="geschlossenes System",1,0),"")</f>
        <v/>
      </c>
      <c r="K890" s="1" t="str">
        <f>IF(AND(Programme_Grunddaten!$A895="Geprüft",Programme_Grunddaten!R895&lt;&gt;""),IF(Programme_Grunddaten!R895="Ja",1,0),"")</f>
        <v/>
      </c>
      <c r="L890" s="1" t="str">
        <f>IF(AND(Programme_Grunddaten!$A895="Geprüft",Programme_Grunddaten!T895&lt;&gt;""),IF(Programme_Grunddaten!T895="Ja",1,0),"")</f>
        <v/>
      </c>
      <c r="M890" s="1" t="str">
        <f>IF(AND(Programme_Grunddaten!$A895="Geprüft",Programme_Grunddaten!U895&lt;&gt;""),IF(Programme_Grunddaten!U895="Ja",1,0),"")</f>
        <v/>
      </c>
      <c r="N890" s="1" t="str">
        <f>IF(AND(Programme_Grunddaten!$A895="Geprüft",Programme_Grunddaten!V895&lt;&gt;""),IF(Programme_Grunddaten!V895="Ja",1,0),"")</f>
        <v/>
      </c>
      <c r="O890" s="1" t="str">
        <f>IF(AND(Programme_Grunddaten!$A895="Geprüft",Programme_Grunddaten!W895&lt;&gt;""),IF(Programme_Grunddaten!W895="Ja",1,0),"")</f>
        <v/>
      </c>
      <c r="P890" s="1" t="str">
        <f>IF(AND(Programme_Grunddaten!$A895="Geprüft",Programme_Grunddaten!X895&lt;&gt;""),IF(Programme_Grunddaten!X895="Ja",1,0),"")</f>
        <v/>
      </c>
      <c r="Q890" s="1" t="str">
        <f>IF(AND(Programme_Grunddaten!$A895="Geprüft",Programme_Grunddaten!Y895&lt;&gt;""),IF(Programme_Grunddaten!Y895="Ja",1,0),"")</f>
        <v/>
      </c>
      <c r="R890" s="1" t="str">
        <f>IF(AND(Programme_Grunddaten!$A895="Geprüft",Programme_Grunddaten!Z895&lt;&gt;""),IF(Programme_Grunddaten!Z895="Ja",1,0),"")</f>
        <v/>
      </c>
      <c r="S890" s="1" t="str">
        <f>IF(AND(Programme_Grunddaten!$A895="Geprüft",Programme_Grunddaten!AA895&lt;&gt;""),IF(Programme_Grunddaten!AA895="monolithisch",1,0),"")</f>
        <v/>
      </c>
      <c r="T890" s="1" t="str">
        <f>IF(AND(Programme_Grunddaten!$A895="Geprüft",Programme_Grunddaten!AB895&lt;&gt;""),IF(Programme_Grunddaten!AB895="Ja",1,0),"")</f>
        <v/>
      </c>
      <c r="U890" s="1" t="str">
        <f>IF(AND(Programme_Grunddaten!$A895="Geprüft",Programme_Grunddaten!AC895&lt;&gt;""),IF(Programme_Grunddaten!AC895="Ja",1,0),"")</f>
        <v/>
      </c>
      <c r="V890" s="1" t="str">
        <f>IF(AND(Programme_Grunddaten!$A895="Geprüft",Programme_Grunddaten!AD895&lt;&gt;""),IF(Programme_Grunddaten!AD895="Ja",1,0),"")</f>
        <v/>
      </c>
      <c r="W890" s="1" t="str">
        <f>IF(AND(Programme_Grunddaten!$A895="Geprüft",Programme_Grunddaten!AE895&lt;&gt;""),IF(Programme_Grunddaten!AE895="Ja",1,0),"")</f>
        <v/>
      </c>
      <c r="X890" s="1" t="str">
        <f>IF(AND(Programme_Grunddaten!$A895="Geprüft",Programme_Grunddaten!AF895&lt;&gt;""),IF(Programme_Grunddaten!AF895="Ja",1,0),"")</f>
        <v/>
      </c>
      <c r="Y890" s="1" t="str">
        <f>IF(AND(Programme_Grunddaten!$A895="Geprüft",Programme_Grunddaten!AG895&lt;&gt;""),IF(Programme_Grunddaten!AG895="Ja",1,0),"")</f>
        <v/>
      </c>
      <c r="Z890" s="1" t="str">
        <f>IF(AND(Programme_Grunddaten!$A895="Geprüft",Programme_Grunddaten!AH895&lt;&gt;""),IF(Programme_Grunddaten!AH895="Ja",1,0),"")</f>
        <v/>
      </c>
      <c r="AA890" s="1" t="str">
        <f>IF(AND(Programme_Grunddaten!$A895="Geprüft",Programme_Grunddaten!AI895&lt;&gt;""),IF(Programme_Grunddaten!AI895="Ja",1,0),"")</f>
        <v/>
      </c>
      <c r="AB890" s="1" t="str">
        <f>IF(AND(Programme_Grunddaten!$A895="Geprüft",Programme_Grunddaten!AJ895&lt;&gt;""),IF(Programme_Grunddaten!AJ895="individuell programmierbar",1,0),"")</f>
        <v/>
      </c>
      <c r="AC890" s="1" t="str">
        <f>IF(AND(Programme_Grunddaten!$A895="Geprüft",Programme_Grunddaten!AK895&lt;&gt;""),IF(Programme_Grunddaten!AK895="Deutsch",0,IF(Programme_Grunddaten!AK895="Deutsch und Englisch",1,2)),"")</f>
        <v/>
      </c>
      <c r="AD890" s="1" t="str">
        <f>IF(AND(Programme_Grunddaten!$A895="Geprüft",Programme_Grunddaten!AL895&lt;&gt;""),IF(Programme_Grunddaten!AL895="Ja",1,0),"")</f>
        <v/>
      </c>
      <c r="AE890" s="1" t="str">
        <f>IF(AND(Programme_Grunddaten!$A895="Geprüft",Programme_Grunddaten!AM895&lt;&gt;""),IF(Programme_Grunddaten!AM895="Ja",1,0),"")</f>
        <v/>
      </c>
      <c r="AF890" s="1" t="str">
        <f>IF(AND(Programme_Grunddaten!$A895="Geprüft",Programme_Grunddaten!AN895&lt;&gt;""),IF(Programme_Grunddaten!AN895="Ja",1,0),"")</f>
        <v/>
      </c>
      <c r="AG890" s="1" t="str">
        <f>IF(AND(Programme_Grunddaten!$A895="Geprüft",Programme_Grunddaten!AO895&lt;&gt;""),IF(Programme_Grunddaten!AO895="Ja",1,0),"")</f>
        <v/>
      </c>
      <c r="AH890" s="1" t="str">
        <f>IF(AND(Programme_Grunddaten!$A895="Geprüft",Programme_Grunddaten!AP895&lt;&gt;""),IF(Programme_Grunddaten!AP895="Ja",1,0),"")</f>
        <v/>
      </c>
      <c r="AI890" s="1" t="str">
        <f>IF(AND(Programme_Grunddaten!$A895="Geprüft",Programme_Grunddaten!AQ895&lt;&gt;""),IF(Programme_Grunddaten!AQ895="Ja",1,0),"")</f>
        <v/>
      </c>
      <c r="AJ890" s="1" t="str">
        <f>IF(AND(Programme_Grunddaten!$A895="Geprüft",Programme_Grunddaten!AR895&lt;&gt;""),IF(Programme_Grunddaten!AR895="Ja",1,0),"")</f>
        <v/>
      </c>
      <c r="AK890" s="1" t="str">
        <f>IF(AND(Programme_Grunddaten!$A895="Geprüft",Programme_Grunddaten!AS895&lt;&gt;""),IF(Programme_Grunddaten!AS895="Ja",1,0),"")</f>
        <v/>
      </c>
      <c r="AL890" s="1" t="str">
        <f>IF(AND(Programme_Grunddaten!$A895="Geprüft",Programme_Grunddaten!AT895&lt;&gt;""),IF(Programme_Grunddaten!AT895="Ja",1,0),"")</f>
        <v/>
      </c>
      <c r="AM890" s="1" t="str">
        <f>IF(AND(Programme_Grunddaten!$A895="Geprüft",Programme_Grunddaten!AU895&lt;&gt;""),IF(Programme_Grunddaten!AU895="Ja",1,0),"")</f>
        <v/>
      </c>
      <c r="AN890" s="1" t="str">
        <f>IF(AND(Programme_Grunddaten!$A895="Geprüft",Programme_Grunddaten!AV895&lt;&gt;""),IF(Programme_Grunddaten!AV895="Ja",1,0),"")</f>
        <v/>
      </c>
    </row>
    <row r="891" spans="1:40" x14ac:dyDescent="0.3">
      <c r="A891" s="1" t="str">
        <f>IF(AND(Programme_Grunddaten!A896="Geprüft",Programme_Grunddaten!B896&lt;&gt;""),Programme_Grunddaten!B896,"")</f>
        <v/>
      </c>
      <c r="B891" s="1" t="str">
        <f>IF(AND(Programme_Grunddaten!$A896="Geprüft",Programme_Grunddaten!I896&lt;&gt;""),IF(Programme_Grunddaten!I896="Ja",1,0),"")</f>
        <v/>
      </c>
      <c r="C891" s="1" t="str">
        <f>IF(AND(Programme_Grunddaten!$A896="Geprüft",Programme_Grunddaten!J896&lt;&gt;""),IF(Programme_Grunddaten!J896="Ja",1,0),"")</f>
        <v/>
      </c>
      <c r="D891" s="1" t="str">
        <f>IF(AND(Programme_Grunddaten!$A896="Geprüft",Programme_Grunddaten!K896&lt;&gt;""),IF(Programme_Grunddaten!K896="Ja",1,0),"")</f>
        <v/>
      </c>
      <c r="E891" s="1" t="str">
        <f>IF(AND(Programme_Grunddaten!$A896="Geprüft",Programme_Grunddaten!L896&lt;&gt;""),IF(Programme_Grunddaten!L896="Abo / befristete Lizenz",1,0),"")</f>
        <v/>
      </c>
      <c r="F891" s="1" t="str">
        <f>IF(AND(Programme_Grunddaten!$A896="Geprüft",Programme_Grunddaten!M896&lt;&gt;""),IF(Programme_Grunddaten!M896="Ja",1,0),"")</f>
        <v/>
      </c>
      <c r="G891" s="1" t="str">
        <f>IF(AND(Programme_Grunddaten!$A896="Geprüft",Programme_Grunddaten!N896&lt;&gt;""),IF(Programme_Grunddaten!N896="Ja",1,0),"")</f>
        <v/>
      </c>
      <c r="H891" s="1" t="str">
        <f>IF(AND(Programme_Grunddaten!$A896="Geprüft",Programme_Grunddaten!O896&lt;&gt;""),IF(Programme_Grunddaten!O896="Deutschland",0,IF(Programme_Grunddaten!O896="EU",1,2)),"")</f>
        <v/>
      </c>
      <c r="I891" s="1" t="str">
        <f>IF(AND(Programme_Grunddaten!$A896="Geprüft",Programme_Grunddaten!P896&lt;&gt;""),IF(Programme_Grunddaten!P896="Ja",1,0),"")</f>
        <v/>
      </c>
      <c r="J891" s="1" t="str">
        <f>IF(AND(Programme_Grunddaten!$A896="Geprüft",Programme_Grunddaten!Q896&lt;&gt;""),IF(Programme_Grunddaten!Q896="geschlossenes System",1,0),"")</f>
        <v/>
      </c>
      <c r="K891" s="1" t="str">
        <f>IF(AND(Programme_Grunddaten!$A896="Geprüft",Programme_Grunddaten!R896&lt;&gt;""),IF(Programme_Grunddaten!R896="Ja",1,0),"")</f>
        <v/>
      </c>
      <c r="L891" s="1" t="str">
        <f>IF(AND(Programme_Grunddaten!$A896="Geprüft",Programme_Grunddaten!T896&lt;&gt;""),IF(Programme_Grunddaten!T896="Ja",1,0),"")</f>
        <v/>
      </c>
      <c r="M891" s="1" t="str">
        <f>IF(AND(Programme_Grunddaten!$A896="Geprüft",Programme_Grunddaten!U896&lt;&gt;""),IF(Programme_Grunddaten!U896="Ja",1,0),"")</f>
        <v/>
      </c>
      <c r="N891" s="1" t="str">
        <f>IF(AND(Programme_Grunddaten!$A896="Geprüft",Programme_Grunddaten!V896&lt;&gt;""),IF(Programme_Grunddaten!V896="Ja",1,0),"")</f>
        <v/>
      </c>
      <c r="O891" s="1" t="str">
        <f>IF(AND(Programme_Grunddaten!$A896="Geprüft",Programme_Grunddaten!W896&lt;&gt;""),IF(Programme_Grunddaten!W896="Ja",1,0),"")</f>
        <v/>
      </c>
      <c r="P891" s="1" t="str">
        <f>IF(AND(Programme_Grunddaten!$A896="Geprüft",Programme_Grunddaten!X896&lt;&gt;""),IF(Programme_Grunddaten!X896="Ja",1,0),"")</f>
        <v/>
      </c>
      <c r="Q891" s="1" t="str">
        <f>IF(AND(Programme_Grunddaten!$A896="Geprüft",Programme_Grunddaten!Y896&lt;&gt;""),IF(Programme_Grunddaten!Y896="Ja",1,0),"")</f>
        <v/>
      </c>
      <c r="R891" s="1" t="str">
        <f>IF(AND(Programme_Grunddaten!$A896="Geprüft",Programme_Grunddaten!Z896&lt;&gt;""),IF(Programme_Grunddaten!Z896="Ja",1,0),"")</f>
        <v/>
      </c>
      <c r="S891" s="1" t="str">
        <f>IF(AND(Programme_Grunddaten!$A896="Geprüft",Programme_Grunddaten!AA896&lt;&gt;""),IF(Programme_Grunddaten!AA896="monolithisch",1,0),"")</f>
        <v/>
      </c>
      <c r="T891" s="1" t="str">
        <f>IF(AND(Programme_Grunddaten!$A896="Geprüft",Programme_Grunddaten!AB896&lt;&gt;""),IF(Programme_Grunddaten!AB896="Ja",1,0),"")</f>
        <v/>
      </c>
      <c r="U891" s="1" t="str">
        <f>IF(AND(Programme_Grunddaten!$A896="Geprüft",Programme_Grunddaten!AC896&lt;&gt;""),IF(Programme_Grunddaten!AC896="Ja",1,0),"")</f>
        <v/>
      </c>
      <c r="V891" s="1" t="str">
        <f>IF(AND(Programme_Grunddaten!$A896="Geprüft",Programme_Grunddaten!AD896&lt;&gt;""),IF(Programme_Grunddaten!AD896="Ja",1,0),"")</f>
        <v/>
      </c>
      <c r="W891" s="1" t="str">
        <f>IF(AND(Programme_Grunddaten!$A896="Geprüft",Programme_Grunddaten!AE896&lt;&gt;""),IF(Programme_Grunddaten!AE896="Ja",1,0),"")</f>
        <v/>
      </c>
      <c r="X891" s="1" t="str">
        <f>IF(AND(Programme_Grunddaten!$A896="Geprüft",Programme_Grunddaten!AF896&lt;&gt;""),IF(Programme_Grunddaten!AF896="Ja",1,0),"")</f>
        <v/>
      </c>
      <c r="Y891" s="1" t="str">
        <f>IF(AND(Programme_Grunddaten!$A896="Geprüft",Programme_Grunddaten!AG896&lt;&gt;""),IF(Programme_Grunddaten!AG896="Ja",1,0),"")</f>
        <v/>
      </c>
      <c r="Z891" s="1" t="str">
        <f>IF(AND(Programme_Grunddaten!$A896="Geprüft",Programme_Grunddaten!AH896&lt;&gt;""),IF(Programme_Grunddaten!AH896="Ja",1,0),"")</f>
        <v/>
      </c>
      <c r="AA891" s="1" t="str">
        <f>IF(AND(Programme_Grunddaten!$A896="Geprüft",Programme_Grunddaten!AI896&lt;&gt;""),IF(Programme_Grunddaten!AI896="Ja",1,0),"")</f>
        <v/>
      </c>
      <c r="AB891" s="1" t="str">
        <f>IF(AND(Programme_Grunddaten!$A896="Geprüft",Programme_Grunddaten!AJ896&lt;&gt;""),IF(Programme_Grunddaten!AJ896="individuell programmierbar",1,0),"")</f>
        <v/>
      </c>
      <c r="AC891" s="1" t="str">
        <f>IF(AND(Programme_Grunddaten!$A896="Geprüft",Programme_Grunddaten!AK896&lt;&gt;""),IF(Programme_Grunddaten!AK896="Deutsch",0,IF(Programme_Grunddaten!AK896="Deutsch und Englisch",1,2)),"")</f>
        <v/>
      </c>
      <c r="AD891" s="1" t="str">
        <f>IF(AND(Programme_Grunddaten!$A896="Geprüft",Programme_Grunddaten!AL896&lt;&gt;""),IF(Programme_Grunddaten!AL896="Ja",1,0),"")</f>
        <v/>
      </c>
      <c r="AE891" s="1" t="str">
        <f>IF(AND(Programme_Grunddaten!$A896="Geprüft",Programme_Grunddaten!AM896&lt;&gt;""),IF(Programme_Grunddaten!AM896="Ja",1,0),"")</f>
        <v/>
      </c>
      <c r="AF891" s="1" t="str">
        <f>IF(AND(Programme_Grunddaten!$A896="Geprüft",Programme_Grunddaten!AN896&lt;&gt;""),IF(Programme_Grunddaten!AN896="Ja",1,0),"")</f>
        <v/>
      </c>
      <c r="AG891" s="1" t="str">
        <f>IF(AND(Programme_Grunddaten!$A896="Geprüft",Programme_Grunddaten!AO896&lt;&gt;""),IF(Programme_Grunddaten!AO896="Ja",1,0),"")</f>
        <v/>
      </c>
      <c r="AH891" s="1" t="str">
        <f>IF(AND(Programme_Grunddaten!$A896="Geprüft",Programme_Grunddaten!AP896&lt;&gt;""),IF(Programme_Grunddaten!AP896="Ja",1,0),"")</f>
        <v/>
      </c>
      <c r="AI891" s="1" t="str">
        <f>IF(AND(Programme_Grunddaten!$A896="Geprüft",Programme_Grunddaten!AQ896&lt;&gt;""),IF(Programme_Grunddaten!AQ896="Ja",1,0),"")</f>
        <v/>
      </c>
      <c r="AJ891" s="1" t="str">
        <f>IF(AND(Programme_Grunddaten!$A896="Geprüft",Programme_Grunddaten!AR896&lt;&gt;""),IF(Programme_Grunddaten!AR896="Ja",1,0),"")</f>
        <v/>
      </c>
      <c r="AK891" s="1" t="str">
        <f>IF(AND(Programme_Grunddaten!$A896="Geprüft",Programme_Grunddaten!AS896&lt;&gt;""),IF(Programme_Grunddaten!AS896="Ja",1,0),"")</f>
        <v/>
      </c>
      <c r="AL891" s="1" t="str">
        <f>IF(AND(Programme_Grunddaten!$A896="Geprüft",Programme_Grunddaten!AT896&lt;&gt;""),IF(Programme_Grunddaten!AT896="Ja",1,0),"")</f>
        <v/>
      </c>
      <c r="AM891" s="1" t="str">
        <f>IF(AND(Programme_Grunddaten!$A896="Geprüft",Programme_Grunddaten!AU896&lt;&gt;""),IF(Programme_Grunddaten!AU896="Ja",1,0),"")</f>
        <v/>
      </c>
      <c r="AN891" s="1" t="str">
        <f>IF(AND(Programme_Grunddaten!$A896="Geprüft",Programme_Grunddaten!AV896&lt;&gt;""),IF(Programme_Grunddaten!AV896="Ja",1,0),"")</f>
        <v/>
      </c>
    </row>
    <row r="892" spans="1:40" x14ac:dyDescent="0.3">
      <c r="A892" s="1" t="str">
        <f>IF(AND(Programme_Grunddaten!A897="Geprüft",Programme_Grunddaten!B897&lt;&gt;""),Programme_Grunddaten!B897,"")</f>
        <v/>
      </c>
      <c r="B892" s="1" t="str">
        <f>IF(AND(Programme_Grunddaten!$A897="Geprüft",Programme_Grunddaten!I897&lt;&gt;""),IF(Programme_Grunddaten!I897="Ja",1,0),"")</f>
        <v/>
      </c>
      <c r="C892" s="1" t="str">
        <f>IF(AND(Programme_Grunddaten!$A897="Geprüft",Programme_Grunddaten!J897&lt;&gt;""),IF(Programme_Grunddaten!J897="Ja",1,0),"")</f>
        <v/>
      </c>
      <c r="D892" s="1" t="str">
        <f>IF(AND(Programme_Grunddaten!$A897="Geprüft",Programme_Grunddaten!K897&lt;&gt;""),IF(Programme_Grunddaten!K897="Ja",1,0),"")</f>
        <v/>
      </c>
      <c r="E892" s="1" t="str">
        <f>IF(AND(Programme_Grunddaten!$A897="Geprüft",Programme_Grunddaten!L897&lt;&gt;""),IF(Programme_Grunddaten!L897="Abo / befristete Lizenz",1,0),"")</f>
        <v/>
      </c>
      <c r="F892" s="1" t="str">
        <f>IF(AND(Programme_Grunddaten!$A897="Geprüft",Programme_Grunddaten!M897&lt;&gt;""),IF(Programme_Grunddaten!M897="Ja",1,0),"")</f>
        <v/>
      </c>
      <c r="G892" s="1" t="str">
        <f>IF(AND(Programme_Grunddaten!$A897="Geprüft",Programme_Grunddaten!N897&lt;&gt;""),IF(Programme_Grunddaten!N897="Ja",1,0),"")</f>
        <v/>
      </c>
      <c r="H892" s="1" t="str">
        <f>IF(AND(Programme_Grunddaten!$A897="Geprüft",Programme_Grunddaten!O897&lt;&gt;""),IF(Programme_Grunddaten!O897="Deutschland",0,IF(Programme_Grunddaten!O897="EU",1,2)),"")</f>
        <v/>
      </c>
      <c r="I892" s="1" t="str">
        <f>IF(AND(Programme_Grunddaten!$A897="Geprüft",Programme_Grunddaten!P897&lt;&gt;""),IF(Programme_Grunddaten!P897="Ja",1,0),"")</f>
        <v/>
      </c>
      <c r="J892" s="1" t="str">
        <f>IF(AND(Programme_Grunddaten!$A897="Geprüft",Programme_Grunddaten!Q897&lt;&gt;""),IF(Programme_Grunddaten!Q897="geschlossenes System",1,0),"")</f>
        <v/>
      </c>
      <c r="K892" s="1" t="str">
        <f>IF(AND(Programme_Grunddaten!$A897="Geprüft",Programme_Grunddaten!R897&lt;&gt;""),IF(Programme_Grunddaten!R897="Ja",1,0),"")</f>
        <v/>
      </c>
      <c r="L892" s="1" t="str">
        <f>IF(AND(Programme_Grunddaten!$A897="Geprüft",Programme_Grunddaten!T897&lt;&gt;""),IF(Programme_Grunddaten!T897="Ja",1,0),"")</f>
        <v/>
      </c>
      <c r="M892" s="1" t="str">
        <f>IF(AND(Programme_Grunddaten!$A897="Geprüft",Programme_Grunddaten!U897&lt;&gt;""),IF(Programme_Grunddaten!U897="Ja",1,0),"")</f>
        <v/>
      </c>
      <c r="N892" s="1" t="str">
        <f>IF(AND(Programme_Grunddaten!$A897="Geprüft",Programme_Grunddaten!V897&lt;&gt;""),IF(Programme_Grunddaten!V897="Ja",1,0),"")</f>
        <v/>
      </c>
      <c r="O892" s="1" t="str">
        <f>IF(AND(Programme_Grunddaten!$A897="Geprüft",Programme_Grunddaten!W897&lt;&gt;""),IF(Programme_Grunddaten!W897="Ja",1,0),"")</f>
        <v/>
      </c>
      <c r="P892" s="1" t="str">
        <f>IF(AND(Programme_Grunddaten!$A897="Geprüft",Programme_Grunddaten!X897&lt;&gt;""),IF(Programme_Grunddaten!X897="Ja",1,0),"")</f>
        <v/>
      </c>
      <c r="Q892" s="1" t="str">
        <f>IF(AND(Programme_Grunddaten!$A897="Geprüft",Programme_Grunddaten!Y897&lt;&gt;""),IF(Programme_Grunddaten!Y897="Ja",1,0),"")</f>
        <v/>
      </c>
      <c r="R892" s="1" t="str">
        <f>IF(AND(Programme_Grunddaten!$A897="Geprüft",Programme_Grunddaten!Z897&lt;&gt;""),IF(Programme_Grunddaten!Z897="Ja",1,0),"")</f>
        <v/>
      </c>
      <c r="S892" s="1" t="str">
        <f>IF(AND(Programme_Grunddaten!$A897="Geprüft",Programme_Grunddaten!AA897&lt;&gt;""),IF(Programme_Grunddaten!AA897="monolithisch",1,0),"")</f>
        <v/>
      </c>
      <c r="T892" s="1" t="str">
        <f>IF(AND(Programme_Grunddaten!$A897="Geprüft",Programme_Grunddaten!AB897&lt;&gt;""),IF(Programme_Grunddaten!AB897="Ja",1,0),"")</f>
        <v/>
      </c>
      <c r="U892" s="1" t="str">
        <f>IF(AND(Programme_Grunddaten!$A897="Geprüft",Programme_Grunddaten!AC897&lt;&gt;""),IF(Programme_Grunddaten!AC897="Ja",1,0),"")</f>
        <v/>
      </c>
      <c r="V892" s="1" t="str">
        <f>IF(AND(Programme_Grunddaten!$A897="Geprüft",Programme_Grunddaten!AD897&lt;&gt;""),IF(Programme_Grunddaten!AD897="Ja",1,0),"")</f>
        <v/>
      </c>
      <c r="W892" s="1" t="str">
        <f>IF(AND(Programme_Grunddaten!$A897="Geprüft",Programme_Grunddaten!AE897&lt;&gt;""),IF(Programme_Grunddaten!AE897="Ja",1,0),"")</f>
        <v/>
      </c>
      <c r="X892" s="1" t="str">
        <f>IF(AND(Programme_Grunddaten!$A897="Geprüft",Programme_Grunddaten!AF897&lt;&gt;""),IF(Programme_Grunddaten!AF897="Ja",1,0),"")</f>
        <v/>
      </c>
      <c r="Y892" s="1" t="str">
        <f>IF(AND(Programme_Grunddaten!$A897="Geprüft",Programme_Grunddaten!AG897&lt;&gt;""),IF(Programme_Grunddaten!AG897="Ja",1,0),"")</f>
        <v/>
      </c>
      <c r="Z892" s="1" t="str">
        <f>IF(AND(Programme_Grunddaten!$A897="Geprüft",Programme_Grunddaten!AH897&lt;&gt;""),IF(Programme_Grunddaten!AH897="Ja",1,0),"")</f>
        <v/>
      </c>
      <c r="AA892" s="1" t="str">
        <f>IF(AND(Programme_Grunddaten!$A897="Geprüft",Programme_Grunddaten!AI897&lt;&gt;""),IF(Programme_Grunddaten!AI897="Ja",1,0),"")</f>
        <v/>
      </c>
      <c r="AB892" s="1" t="str">
        <f>IF(AND(Programme_Grunddaten!$A897="Geprüft",Programme_Grunddaten!AJ897&lt;&gt;""),IF(Programme_Grunddaten!AJ897="individuell programmierbar",1,0),"")</f>
        <v/>
      </c>
      <c r="AC892" s="1" t="str">
        <f>IF(AND(Programme_Grunddaten!$A897="Geprüft",Programme_Grunddaten!AK897&lt;&gt;""),IF(Programme_Grunddaten!AK897="Deutsch",0,IF(Programme_Grunddaten!AK897="Deutsch und Englisch",1,2)),"")</f>
        <v/>
      </c>
      <c r="AD892" s="1" t="str">
        <f>IF(AND(Programme_Grunddaten!$A897="Geprüft",Programme_Grunddaten!AL897&lt;&gt;""),IF(Programme_Grunddaten!AL897="Ja",1,0),"")</f>
        <v/>
      </c>
      <c r="AE892" s="1" t="str">
        <f>IF(AND(Programme_Grunddaten!$A897="Geprüft",Programme_Grunddaten!AM897&lt;&gt;""),IF(Programme_Grunddaten!AM897="Ja",1,0),"")</f>
        <v/>
      </c>
      <c r="AF892" s="1" t="str">
        <f>IF(AND(Programme_Grunddaten!$A897="Geprüft",Programme_Grunddaten!AN897&lt;&gt;""),IF(Programme_Grunddaten!AN897="Ja",1,0),"")</f>
        <v/>
      </c>
      <c r="AG892" s="1" t="str">
        <f>IF(AND(Programme_Grunddaten!$A897="Geprüft",Programme_Grunddaten!AO897&lt;&gt;""),IF(Programme_Grunddaten!AO897="Ja",1,0),"")</f>
        <v/>
      </c>
      <c r="AH892" s="1" t="str">
        <f>IF(AND(Programme_Grunddaten!$A897="Geprüft",Programme_Grunddaten!AP897&lt;&gt;""),IF(Programme_Grunddaten!AP897="Ja",1,0),"")</f>
        <v/>
      </c>
      <c r="AI892" s="1" t="str">
        <f>IF(AND(Programme_Grunddaten!$A897="Geprüft",Programme_Grunddaten!AQ897&lt;&gt;""),IF(Programme_Grunddaten!AQ897="Ja",1,0),"")</f>
        <v/>
      </c>
      <c r="AJ892" s="1" t="str">
        <f>IF(AND(Programme_Grunddaten!$A897="Geprüft",Programme_Grunddaten!AR897&lt;&gt;""),IF(Programme_Grunddaten!AR897="Ja",1,0),"")</f>
        <v/>
      </c>
      <c r="AK892" s="1" t="str">
        <f>IF(AND(Programme_Grunddaten!$A897="Geprüft",Programme_Grunddaten!AS897&lt;&gt;""),IF(Programme_Grunddaten!AS897="Ja",1,0),"")</f>
        <v/>
      </c>
      <c r="AL892" s="1" t="str">
        <f>IF(AND(Programme_Grunddaten!$A897="Geprüft",Programme_Grunddaten!AT897&lt;&gt;""),IF(Programme_Grunddaten!AT897="Ja",1,0),"")</f>
        <v/>
      </c>
      <c r="AM892" s="1" t="str">
        <f>IF(AND(Programme_Grunddaten!$A897="Geprüft",Programme_Grunddaten!AU897&lt;&gt;""),IF(Programme_Grunddaten!AU897="Ja",1,0),"")</f>
        <v/>
      </c>
      <c r="AN892" s="1" t="str">
        <f>IF(AND(Programme_Grunddaten!$A897="Geprüft",Programme_Grunddaten!AV897&lt;&gt;""),IF(Programme_Grunddaten!AV897="Ja",1,0),"")</f>
        <v/>
      </c>
    </row>
    <row r="893" spans="1:40" x14ac:dyDescent="0.3">
      <c r="A893" s="1" t="str">
        <f>IF(AND(Programme_Grunddaten!A898="Geprüft",Programme_Grunddaten!B898&lt;&gt;""),Programme_Grunddaten!B898,"")</f>
        <v/>
      </c>
      <c r="B893" s="1" t="str">
        <f>IF(AND(Programme_Grunddaten!$A898="Geprüft",Programme_Grunddaten!I898&lt;&gt;""),IF(Programme_Grunddaten!I898="Ja",1,0),"")</f>
        <v/>
      </c>
      <c r="C893" s="1" t="str">
        <f>IF(AND(Programme_Grunddaten!$A898="Geprüft",Programme_Grunddaten!J898&lt;&gt;""),IF(Programme_Grunddaten!J898="Ja",1,0),"")</f>
        <v/>
      </c>
      <c r="D893" s="1" t="str">
        <f>IF(AND(Programme_Grunddaten!$A898="Geprüft",Programme_Grunddaten!K898&lt;&gt;""),IF(Programme_Grunddaten!K898="Ja",1,0),"")</f>
        <v/>
      </c>
      <c r="E893" s="1" t="str">
        <f>IF(AND(Programme_Grunddaten!$A898="Geprüft",Programme_Grunddaten!L898&lt;&gt;""),IF(Programme_Grunddaten!L898="Abo / befristete Lizenz",1,0),"")</f>
        <v/>
      </c>
      <c r="F893" s="1" t="str">
        <f>IF(AND(Programme_Grunddaten!$A898="Geprüft",Programme_Grunddaten!M898&lt;&gt;""),IF(Programme_Grunddaten!M898="Ja",1,0),"")</f>
        <v/>
      </c>
      <c r="G893" s="1" t="str">
        <f>IF(AND(Programme_Grunddaten!$A898="Geprüft",Programme_Grunddaten!N898&lt;&gt;""),IF(Programme_Grunddaten!N898="Ja",1,0),"")</f>
        <v/>
      </c>
      <c r="H893" s="1" t="str">
        <f>IF(AND(Programme_Grunddaten!$A898="Geprüft",Programme_Grunddaten!O898&lt;&gt;""),IF(Programme_Grunddaten!O898="Deutschland",0,IF(Programme_Grunddaten!O898="EU",1,2)),"")</f>
        <v/>
      </c>
      <c r="I893" s="1" t="str">
        <f>IF(AND(Programme_Grunddaten!$A898="Geprüft",Programme_Grunddaten!P898&lt;&gt;""),IF(Programme_Grunddaten!P898="Ja",1,0),"")</f>
        <v/>
      </c>
      <c r="J893" s="1" t="str">
        <f>IF(AND(Programme_Grunddaten!$A898="Geprüft",Programme_Grunddaten!Q898&lt;&gt;""),IF(Programme_Grunddaten!Q898="geschlossenes System",1,0),"")</f>
        <v/>
      </c>
      <c r="K893" s="1" t="str">
        <f>IF(AND(Programme_Grunddaten!$A898="Geprüft",Programme_Grunddaten!R898&lt;&gt;""),IF(Programme_Grunddaten!R898="Ja",1,0),"")</f>
        <v/>
      </c>
      <c r="L893" s="1" t="str">
        <f>IF(AND(Programme_Grunddaten!$A898="Geprüft",Programme_Grunddaten!T898&lt;&gt;""),IF(Programme_Grunddaten!T898="Ja",1,0),"")</f>
        <v/>
      </c>
      <c r="M893" s="1" t="str">
        <f>IF(AND(Programme_Grunddaten!$A898="Geprüft",Programme_Grunddaten!U898&lt;&gt;""),IF(Programme_Grunddaten!U898="Ja",1,0),"")</f>
        <v/>
      </c>
      <c r="N893" s="1" t="str">
        <f>IF(AND(Programme_Grunddaten!$A898="Geprüft",Programme_Grunddaten!V898&lt;&gt;""),IF(Programme_Grunddaten!V898="Ja",1,0),"")</f>
        <v/>
      </c>
      <c r="O893" s="1" t="str">
        <f>IF(AND(Programme_Grunddaten!$A898="Geprüft",Programme_Grunddaten!W898&lt;&gt;""),IF(Programme_Grunddaten!W898="Ja",1,0),"")</f>
        <v/>
      </c>
      <c r="P893" s="1" t="str">
        <f>IF(AND(Programme_Grunddaten!$A898="Geprüft",Programme_Grunddaten!X898&lt;&gt;""),IF(Programme_Grunddaten!X898="Ja",1,0),"")</f>
        <v/>
      </c>
      <c r="Q893" s="1" t="str">
        <f>IF(AND(Programme_Grunddaten!$A898="Geprüft",Programme_Grunddaten!Y898&lt;&gt;""),IF(Programme_Grunddaten!Y898="Ja",1,0),"")</f>
        <v/>
      </c>
      <c r="R893" s="1" t="str">
        <f>IF(AND(Programme_Grunddaten!$A898="Geprüft",Programme_Grunddaten!Z898&lt;&gt;""),IF(Programme_Grunddaten!Z898="Ja",1,0),"")</f>
        <v/>
      </c>
      <c r="S893" s="1" t="str">
        <f>IF(AND(Programme_Grunddaten!$A898="Geprüft",Programme_Grunddaten!AA898&lt;&gt;""),IF(Programme_Grunddaten!AA898="monolithisch",1,0),"")</f>
        <v/>
      </c>
      <c r="T893" s="1" t="str">
        <f>IF(AND(Programme_Grunddaten!$A898="Geprüft",Programme_Grunddaten!AB898&lt;&gt;""),IF(Programme_Grunddaten!AB898="Ja",1,0),"")</f>
        <v/>
      </c>
      <c r="U893" s="1" t="str">
        <f>IF(AND(Programme_Grunddaten!$A898="Geprüft",Programme_Grunddaten!AC898&lt;&gt;""),IF(Programme_Grunddaten!AC898="Ja",1,0),"")</f>
        <v/>
      </c>
      <c r="V893" s="1" t="str">
        <f>IF(AND(Programme_Grunddaten!$A898="Geprüft",Programme_Grunddaten!AD898&lt;&gt;""),IF(Programme_Grunddaten!AD898="Ja",1,0),"")</f>
        <v/>
      </c>
      <c r="W893" s="1" t="str">
        <f>IF(AND(Programme_Grunddaten!$A898="Geprüft",Programme_Grunddaten!AE898&lt;&gt;""),IF(Programme_Grunddaten!AE898="Ja",1,0),"")</f>
        <v/>
      </c>
      <c r="X893" s="1" t="str">
        <f>IF(AND(Programme_Grunddaten!$A898="Geprüft",Programme_Grunddaten!AF898&lt;&gt;""),IF(Programme_Grunddaten!AF898="Ja",1,0),"")</f>
        <v/>
      </c>
      <c r="Y893" s="1" t="str">
        <f>IF(AND(Programme_Grunddaten!$A898="Geprüft",Programme_Grunddaten!AG898&lt;&gt;""),IF(Programme_Grunddaten!AG898="Ja",1,0),"")</f>
        <v/>
      </c>
      <c r="Z893" s="1" t="str">
        <f>IF(AND(Programme_Grunddaten!$A898="Geprüft",Programme_Grunddaten!AH898&lt;&gt;""),IF(Programme_Grunddaten!AH898="Ja",1,0),"")</f>
        <v/>
      </c>
      <c r="AA893" s="1" t="str">
        <f>IF(AND(Programme_Grunddaten!$A898="Geprüft",Programme_Grunddaten!AI898&lt;&gt;""),IF(Programme_Grunddaten!AI898="Ja",1,0),"")</f>
        <v/>
      </c>
      <c r="AB893" s="1" t="str">
        <f>IF(AND(Programme_Grunddaten!$A898="Geprüft",Programme_Grunddaten!AJ898&lt;&gt;""),IF(Programme_Grunddaten!AJ898="individuell programmierbar",1,0),"")</f>
        <v/>
      </c>
      <c r="AC893" s="1" t="str">
        <f>IF(AND(Programme_Grunddaten!$A898="Geprüft",Programme_Grunddaten!AK898&lt;&gt;""),IF(Programme_Grunddaten!AK898="Deutsch",0,IF(Programme_Grunddaten!AK898="Deutsch und Englisch",1,2)),"")</f>
        <v/>
      </c>
      <c r="AD893" s="1" t="str">
        <f>IF(AND(Programme_Grunddaten!$A898="Geprüft",Programme_Grunddaten!AL898&lt;&gt;""),IF(Programme_Grunddaten!AL898="Ja",1,0),"")</f>
        <v/>
      </c>
      <c r="AE893" s="1" t="str">
        <f>IF(AND(Programme_Grunddaten!$A898="Geprüft",Programme_Grunddaten!AM898&lt;&gt;""),IF(Programme_Grunddaten!AM898="Ja",1,0),"")</f>
        <v/>
      </c>
      <c r="AF893" s="1" t="str">
        <f>IF(AND(Programme_Grunddaten!$A898="Geprüft",Programme_Grunddaten!AN898&lt;&gt;""),IF(Programme_Grunddaten!AN898="Ja",1,0),"")</f>
        <v/>
      </c>
      <c r="AG893" s="1" t="str">
        <f>IF(AND(Programme_Grunddaten!$A898="Geprüft",Programme_Grunddaten!AO898&lt;&gt;""),IF(Programme_Grunddaten!AO898="Ja",1,0),"")</f>
        <v/>
      </c>
      <c r="AH893" s="1" t="str">
        <f>IF(AND(Programme_Grunddaten!$A898="Geprüft",Programme_Grunddaten!AP898&lt;&gt;""),IF(Programme_Grunddaten!AP898="Ja",1,0),"")</f>
        <v/>
      </c>
      <c r="AI893" s="1" t="str">
        <f>IF(AND(Programme_Grunddaten!$A898="Geprüft",Programme_Grunddaten!AQ898&lt;&gt;""),IF(Programme_Grunddaten!AQ898="Ja",1,0),"")</f>
        <v/>
      </c>
      <c r="AJ893" s="1" t="str">
        <f>IF(AND(Programme_Grunddaten!$A898="Geprüft",Programme_Grunddaten!AR898&lt;&gt;""),IF(Programme_Grunddaten!AR898="Ja",1,0),"")</f>
        <v/>
      </c>
      <c r="AK893" s="1" t="str">
        <f>IF(AND(Programme_Grunddaten!$A898="Geprüft",Programme_Grunddaten!AS898&lt;&gt;""),IF(Programme_Grunddaten!AS898="Ja",1,0),"")</f>
        <v/>
      </c>
      <c r="AL893" s="1" t="str">
        <f>IF(AND(Programme_Grunddaten!$A898="Geprüft",Programme_Grunddaten!AT898&lt;&gt;""),IF(Programme_Grunddaten!AT898="Ja",1,0),"")</f>
        <v/>
      </c>
      <c r="AM893" s="1" t="str">
        <f>IF(AND(Programme_Grunddaten!$A898="Geprüft",Programme_Grunddaten!AU898&lt;&gt;""),IF(Programme_Grunddaten!AU898="Ja",1,0),"")</f>
        <v/>
      </c>
      <c r="AN893" s="1" t="str">
        <f>IF(AND(Programme_Grunddaten!$A898="Geprüft",Programme_Grunddaten!AV898&lt;&gt;""),IF(Programme_Grunddaten!AV898="Ja",1,0),"")</f>
        <v/>
      </c>
    </row>
    <row r="894" spans="1:40" x14ac:dyDescent="0.3">
      <c r="A894" s="1" t="str">
        <f>IF(AND(Programme_Grunddaten!A899="Geprüft",Programme_Grunddaten!B899&lt;&gt;""),Programme_Grunddaten!B899,"")</f>
        <v/>
      </c>
      <c r="B894" s="1" t="str">
        <f>IF(AND(Programme_Grunddaten!$A899="Geprüft",Programme_Grunddaten!I899&lt;&gt;""),IF(Programme_Grunddaten!I899="Ja",1,0),"")</f>
        <v/>
      </c>
      <c r="C894" s="1" t="str">
        <f>IF(AND(Programme_Grunddaten!$A899="Geprüft",Programme_Grunddaten!J899&lt;&gt;""),IF(Programme_Grunddaten!J899="Ja",1,0),"")</f>
        <v/>
      </c>
      <c r="D894" s="1" t="str">
        <f>IF(AND(Programme_Grunddaten!$A899="Geprüft",Programme_Grunddaten!K899&lt;&gt;""),IF(Programme_Grunddaten!K899="Ja",1,0),"")</f>
        <v/>
      </c>
      <c r="E894" s="1" t="str">
        <f>IF(AND(Programme_Grunddaten!$A899="Geprüft",Programme_Grunddaten!L899&lt;&gt;""),IF(Programme_Grunddaten!L899="Abo / befristete Lizenz",1,0),"")</f>
        <v/>
      </c>
      <c r="F894" s="1" t="str">
        <f>IF(AND(Programme_Grunddaten!$A899="Geprüft",Programme_Grunddaten!M899&lt;&gt;""),IF(Programme_Grunddaten!M899="Ja",1,0),"")</f>
        <v/>
      </c>
      <c r="G894" s="1" t="str">
        <f>IF(AND(Programme_Grunddaten!$A899="Geprüft",Programme_Grunddaten!N899&lt;&gt;""),IF(Programme_Grunddaten!N899="Ja",1,0),"")</f>
        <v/>
      </c>
      <c r="H894" s="1" t="str">
        <f>IF(AND(Programme_Grunddaten!$A899="Geprüft",Programme_Grunddaten!O899&lt;&gt;""),IF(Programme_Grunddaten!O899="Deutschland",0,IF(Programme_Grunddaten!O899="EU",1,2)),"")</f>
        <v/>
      </c>
      <c r="I894" s="1" t="str">
        <f>IF(AND(Programme_Grunddaten!$A899="Geprüft",Programme_Grunddaten!P899&lt;&gt;""),IF(Programme_Grunddaten!P899="Ja",1,0),"")</f>
        <v/>
      </c>
      <c r="J894" s="1" t="str">
        <f>IF(AND(Programme_Grunddaten!$A899="Geprüft",Programme_Grunddaten!Q899&lt;&gt;""),IF(Programme_Grunddaten!Q899="geschlossenes System",1,0),"")</f>
        <v/>
      </c>
      <c r="K894" s="1" t="str">
        <f>IF(AND(Programme_Grunddaten!$A899="Geprüft",Programme_Grunddaten!R899&lt;&gt;""),IF(Programme_Grunddaten!R899="Ja",1,0),"")</f>
        <v/>
      </c>
      <c r="L894" s="1" t="str">
        <f>IF(AND(Programme_Grunddaten!$A899="Geprüft",Programme_Grunddaten!T899&lt;&gt;""),IF(Programme_Grunddaten!T899="Ja",1,0),"")</f>
        <v/>
      </c>
      <c r="M894" s="1" t="str">
        <f>IF(AND(Programme_Grunddaten!$A899="Geprüft",Programme_Grunddaten!U899&lt;&gt;""),IF(Programme_Grunddaten!U899="Ja",1,0),"")</f>
        <v/>
      </c>
      <c r="N894" s="1" t="str">
        <f>IF(AND(Programme_Grunddaten!$A899="Geprüft",Programme_Grunddaten!V899&lt;&gt;""),IF(Programme_Grunddaten!V899="Ja",1,0),"")</f>
        <v/>
      </c>
      <c r="O894" s="1" t="str">
        <f>IF(AND(Programme_Grunddaten!$A899="Geprüft",Programme_Grunddaten!W899&lt;&gt;""),IF(Programme_Grunddaten!W899="Ja",1,0),"")</f>
        <v/>
      </c>
      <c r="P894" s="1" t="str">
        <f>IF(AND(Programme_Grunddaten!$A899="Geprüft",Programme_Grunddaten!X899&lt;&gt;""),IF(Programme_Grunddaten!X899="Ja",1,0),"")</f>
        <v/>
      </c>
      <c r="Q894" s="1" t="str">
        <f>IF(AND(Programme_Grunddaten!$A899="Geprüft",Programme_Grunddaten!Y899&lt;&gt;""),IF(Programme_Grunddaten!Y899="Ja",1,0),"")</f>
        <v/>
      </c>
      <c r="R894" s="1" t="str">
        <f>IF(AND(Programme_Grunddaten!$A899="Geprüft",Programme_Grunddaten!Z899&lt;&gt;""),IF(Programme_Grunddaten!Z899="Ja",1,0),"")</f>
        <v/>
      </c>
      <c r="S894" s="1" t="str">
        <f>IF(AND(Programme_Grunddaten!$A899="Geprüft",Programme_Grunddaten!AA899&lt;&gt;""),IF(Programme_Grunddaten!AA899="monolithisch",1,0),"")</f>
        <v/>
      </c>
      <c r="T894" s="1" t="str">
        <f>IF(AND(Programme_Grunddaten!$A899="Geprüft",Programme_Grunddaten!AB899&lt;&gt;""),IF(Programme_Grunddaten!AB899="Ja",1,0),"")</f>
        <v/>
      </c>
      <c r="U894" s="1" t="str">
        <f>IF(AND(Programme_Grunddaten!$A899="Geprüft",Programme_Grunddaten!AC899&lt;&gt;""),IF(Programme_Grunddaten!AC899="Ja",1,0),"")</f>
        <v/>
      </c>
      <c r="V894" s="1" t="str">
        <f>IF(AND(Programme_Grunddaten!$A899="Geprüft",Programme_Grunddaten!AD899&lt;&gt;""),IF(Programme_Grunddaten!AD899="Ja",1,0),"")</f>
        <v/>
      </c>
      <c r="W894" s="1" t="str">
        <f>IF(AND(Programme_Grunddaten!$A899="Geprüft",Programme_Grunddaten!AE899&lt;&gt;""),IF(Programme_Grunddaten!AE899="Ja",1,0),"")</f>
        <v/>
      </c>
      <c r="X894" s="1" t="str">
        <f>IF(AND(Programme_Grunddaten!$A899="Geprüft",Programme_Grunddaten!AF899&lt;&gt;""),IF(Programme_Grunddaten!AF899="Ja",1,0),"")</f>
        <v/>
      </c>
      <c r="Y894" s="1" t="str">
        <f>IF(AND(Programme_Grunddaten!$A899="Geprüft",Programme_Grunddaten!AG899&lt;&gt;""),IF(Programme_Grunddaten!AG899="Ja",1,0),"")</f>
        <v/>
      </c>
      <c r="Z894" s="1" t="str">
        <f>IF(AND(Programme_Grunddaten!$A899="Geprüft",Programme_Grunddaten!AH899&lt;&gt;""),IF(Programme_Grunddaten!AH899="Ja",1,0),"")</f>
        <v/>
      </c>
      <c r="AA894" s="1" t="str">
        <f>IF(AND(Programme_Grunddaten!$A899="Geprüft",Programme_Grunddaten!AI899&lt;&gt;""),IF(Programme_Grunddaten!AI899="Ja",1,0),"")</f>
        <v/>
      </c>
      <c r="AB894" s="1" t="str">
        <f>IF(AND(Programme_Grunddaten!$A899="Geprüft",Programme_Grunddaten!AJ899&lt;&gt;""),IF(Programme_Grunddaten!AJ899="individuell programmierbar",1,0),"")</f>
        <v/>
      </c>
      <c r="AC894" s="1" t="str">
        <f>IF(AND(Programme_Grunddaten!$A899="Geprüft",Programme_Grunddaten!AK899&lt;&gt;""),IF(Programme_Grunddaten!AK899="Deutsch",0,IF(Programme_Grunddaten!AK899="Deutsch und Englisch",1,2)),"")</f>
        <v/>
      </c>
      <c r="AD894" s="1" t="str">
        <f>IF(AND(Programme_Grunddaten!$A899="Geprüft",Programme_Grunddaten!AL899&lt;&gt;""),IF(Programme_Grunddaten!AL899="Ja",1,0),"")</f>
        <v/>
      </c>
      <c r="AE894" s="1" t="str">
        <f>IF(AND(Programme_Grunddaten!$A899="Geprüft",Programme_Grunddaten!AM899&lt;&gt;""),IF(Programme_Grunddaten!AM899="Ja",1,0),"")</f>
        <v/>
      </c>
      <c r="AF894" s="1" t="str">
        <f>IF(AND(Programme_Grunddaten!$A899="Geprüft",Programme_Grunddaten!AN899&lt;&gt;""),IF(Programme_Grunddaten!AN899="Ja",1,0),"")</f>
        <v/>
      </c>
      <c r="AG894" s="1" t="str">
        <f>IF(AND(Programme_Grunddaten!$A899="Geprüft",Programme_Grunddaten!AO899&lt;&gt;""),IF(Programme_Grunddaten!AO899="Ja",1,0),"")</f>
        <v/>
      </c>
      <c r="AH894" s="1" t="str">
        <f>IF(AND(Programme_Grunddaten!$A899="Geprüft",Programme_Grunddaten!AP899&lt;&gt;""),IF(Programme_Grunddaten!AP899="Ja",1,0),"")</f>
        <v/>
      </c>
      <c r="AI894" s="1" t="str">
        <f>IF(AND(Programme_Grunddaten!$A899="Geprüft",Programme_Grunddaten!AQ899&lt;&gt;""),IF(Programme_Grunddaten!AQ899="Ja",1,0),"")</f>
        <v/>
      </c>
      <c r="AJ894" s="1" t="str">
        <f>IF(AND(Programme_Grunddaten!$A899="Geprüft",Programme_Grunddaten!AR899&lt;&gt;""),IF(Programme_Grunddaten!AR899="Ja",1,0),"")</f>
        <v/>
      </c>
      <c r="AK894" s="1" t="str">
        <f>IF(AND(Programme_Grunddaten!$A899="Geprüft",Programme_Grunddaten!AS899&lt;&gt;""),IF(Programme_Grunddaten!AS899="Ja",1,0),"")</f>
        <v/>
      </c>
      <c r="AL894" s="1" t="str">
        <f>IF(AND(Programme_Grunddaten!$A899="Geprüft",Programme_Grunddaten!AT899&lt;&gt;""),IF(Programme_Grunddaten!AT899="Ja",1,0),"")</f>
        <v/>
      </c>
      <c r="AM894" s="1" t="str">
        <f>IF(AND(Programme_Grunddaten!$A899="Geprüft",Programme_Grunddaten!AU899&lt;&gt;""),IF(Programme_Grunddaten!AU899="Ja",1,0),"")</f>
        <v/>
      </c>
      <c r="AN894" s="1" t="str">
        <f>IF(AND(Programme_Grunddaten!$A899="Geprüft",Programme_Grunddaten!AV899&lt;&gt;""),IF(Programme_Grunddaten!AV899="Ja",1,0),"")</f>
        <v/>
      </c>
    </row>
    <row r="895" spans="1:40" x14ac:dyDescent="0.3">
      <c r="A895" s="1" t="str">
        <f>IF(AND(Programme_Grunddaten!A900="Geprüft",Programme_Grunddaten!B900&lt;&gt;""),Programme_Grunddaten!B900,"")</f>
        <v/>
      </c>
      <c r="B895" s="1" t="str">
        <f>IF(AND(Programme_Grunddaten!$A900="Geprüft",Programme_Grunddaten!I900&lt;&gt;""),IF(Programme_Grunddaten!I900="Ja",1,0),"")</f>
        <v/>
      </c>
      <c r="C895" s="1" t="str">
        <f>IF(AND(Programme_Grunddaten!$A900="Geprüft",Programme_Grunddaten!J900&lt;&gt;""),IF(Programme_Grunddaten!J900="Ja",1,0),"")</f>
        <v/>
      </c>
      <c r="D895" s="1" t="str">
        <f>IF(AND(Programme_Grunddaten!$A900="Geprüft",Programme_Grunddaten!K900&lt;&gt;""),IF(Programme_Grunddaten!K900="Ja",1,0),"")</f>
        <v/>
      </c>
      <c r="E895" s="1" t="str">
        <f>IF(AND(Programme_Grunddaten!$A900="Geprüft",Programme_Grunddaten!L900&lt;&gt;""),IF(Programme_Grunddaten!L900="Abo / befristete Lizenz",1,0),"")</f>
        <v/>
      </c>
      <c r="F895" s="1" t="str">
        <f>IF(AND(Programme_Grunddaten!$A900="Geprüft",Programme_Grunddaten!M900&lt;&gt;""),IF(Programme_Grunddaten!M900="Ja",1,0),"")</f>
        <v/>
      </c>
      <c r="G895" s="1" t="str">
        <f>IF(AND(Programme_Grunddaten!$A900="Geprüft",Programme_Grunddaten!N900&lt;&gt;""),IF(Programme_Grunddaten!N900="Ja",1,0),"")</f>
        <v/>
      </c>
      <c r="H895" s="1" t="str">
        <f>IF(AND(Programme_Grunddaten!$A900="Geprüft",Programme_Grunddaten!O900&lt;&gt;""),IF(Programme_Grunddaten!O900="Deutschland",0,IF(Programme_Grunddaten!O900="EU",1,2)),"")</f>
        <v/>
      </c>
      <c r="I895" s="1" t="str">
        <f>IF(AND(Programme_Grunddaten!$A900="Geprüft",Programme_Grunddaten!P900&lt;&gt;""),IF(Programme_Grunddaten!P900="Ja",1,0),"")</f>
        <v/>
      </c>
      <c r="J895" s="1" t="str">
        <f>IF(AND(Programme_Grunddaten!$A900="Geprüft",Programme_Grunddaten!Q900&lt;&gt;""),IF(Programme_Grunddaten!Q900="geschlossenes System",1,0),"")</f>
        <v/>
      </c>
      <c r="K895" s="1" t="str">
        <f>IF(AND(Programme_Grunddaten!$A900="Geprüft",Programme_Grunddaten!R900&lt;&gt;""),IF(Programme_Grunddaten!R900="Ja",1,0),"")</f>
        <v/>
      </c>
      <c r="L895" s="1" t="str">
        <f>IF(AND(Programme_Grunddaten!$A900="Geprüft",Programme_Grunddaten!T900&lt;&gt;""),IF(Programme_Grunddaten!T900="Ja",1,0),"")</f>
        <v/>
      </c>
      <c r="M895" s="1" t="str">
        <f>IF(AND(Programme_Grunddaten!$A900="Geprüft",Programme_Grunddaten!U900&lt;&gt;""),IF(Programme_Grunddaten!U900="Ja",1,0),"")</f>
        <v/>
      </c>
      <c r="N895" s="1" t="str">
        <f>IF(AND(Programme_Grunddaten!$A900="Geprüft",Programme_Grunddaten!V900&lt;&gt;""),IF(Programme_Grunddaten!V900="Ja",1,0),"")</f>
        <v/>
      </c>
      <c r="O895" s="1" t="str">
        <f>IF(AND(Programme_Grunddaten!$A900="Geprüft",Programme_Grunddaten!W900&lt;&gt;""),IF(Programme_Grunddaten!W900="Ja",1,0),"")</f>
        <v/>
      </c>
      <c r="P895" s="1" t="str">
        <f>IF(AND(Programme_Grunddaten!$A900="Geprüft",Programme_Grunddaten!X900&lt;&gt;""),IF(Programme_Grunddaten!X900="Ja",1,0),"")</f>
        <v/>
      </c>
      <c r="Q895" s="1" t="str">
        <f>IF(AND(Programme_Grunddaten!$A900="Geprüft",Programme_Grunddaten!Y900&lt;&gt;""),IF(Programme_Grunddaten!Y900="Ja",1,0),"")</f>
        <v/>
      </c>
      <c r="R895" s="1" t="str">
        <f>IF(AND(Programme_Grunddaten!$A900="Geprüft",Programme_Grunddaten!Z900&lt;&gt;""),IF(Programme_Grunddaten!Z900="Ja",1,0),"")</f>
        <v/>
      </c>
      <c r="S895" s="1" t="str">
        <f>IF(AND(Programme_Grunddaten!$A900="Geprüft",Programme_Grunddaten!AA900&lt;&gt;""),IF(Programme_Grunddaten!AA900="monolithisch",1,0),"")</f>
        <v/>
      </c>
      <c r="T895" s="1" t="str">
        <f>IF(AND(Programme_Grunddaten!$A900="Geprüft",Programme_Grunddaten!AB900&lt;&gt;""),IF(Programme_Grunddaten!AB900="Ja",1,0),"")</f>
        <v/>
      </c>
      <c r="U895" s="1" t="str">
        <f>IF(AND(Programme_Grunddaten!$A900="Geprüft",Programme_Grunddaten!AC900&lt;&gt;""),IF(Programme_Grunddaten!AC900="Ja",1,0),"")</f>
        <v/>
      </c>
      <c r="V895" s="1" t="str">
        <f>IF(AND(Programme_Grunddaten!$A900="Geprüft",Programme_Grunddaten!AD900&lt;&gt;""),IF(Programme_Grunddaten!AD900="Ja",1,0),"")</f>
        <v/>
      </c>
      <c r="W895" s="1" t="str">
        <f>IF(AND(Programme_Grunddaten!$A900="Geprüft",Programme_Grunddaten!AE900&lt;&gt;""),IF(Programme_Grunddaten!AE900="Ja",1,0),"")</f>
        <v/>
      </c>
      <c r="X895" s="1" t="str">
        <f>IF(AND(Programme_Grunddaten!$A900="Geprüft",Programme_Grunddaten!AF900&lt;&gt;""),IF(Programme_Grunddaten!AF900="Ja",1,0),"")</f>
        <v/>
      </c>
      <c r="Y895" s="1" t="str">
        <f>IF(AND(Programme_Grunddaten!$A900="Geprüft",Programme_Grunddaten!AG900&lt;&gt;""),IF(Programme_Grunddaten!AG900="Ja",1,0),"")</f>
        <v/>
      </c>
      <c r="Z895" s="1" t="str">
        <f>IF(AND(Programme_Grunddaten!$A900="Geprüft",Programme_Grunddaten!AH900&lt;&gt;""),IF(Programme_Grunddaten!AH900="Ja",1,0),"")</f>
        <v/>
      </c>
      <c r="AA895" s="1" t="str">
        <f>IF(AND(Programme_Grunddaten!$A900="Geprüft",Programme_Grunddaten!AI900&lt;&gt;""),IF(Programme_Grunddaten!AI900="Ja",1,0),"")</f>
        <v/>
      </c>
      <c r="AB895" s="1" t="str">
        <f>IF(AND(Programme_Grunddaten!$A900="Geprüft",Programme_Grunddaten!AJ900&lt;&gt;""),IF(Programme_Grunddaten!AJ900="individuell programmierbar",1,0),"")</f>
        <v/>
      </c>
      <c r="AC895" s="1" t="str">
        <f>IF(AND(Programme_Grunddaten!$A900="Geprüft",Programme_Grunddaten!AK900&lt;&gt;""),IF(Programme_Grunddaten!AK900="Deutsch",0,IF(Programme_Grunddaten!AK900="Deutsch und Englisch",1,2)),"")</f>
        <v/>
      </c>
      <c r="AD895" s="1" t="str">
        <f>IF(AND(Programme_Grunddaten!$A900="Geprüft",Programme_Grunddaten!AL900&lt;&gt;""),IF(Programme_Grunddaten!AL900="Ja",1,0),"")</f>
        <v/>
      </c>
      <c r="AE895" s="1" t="str">
        <f>IF(AND(Programme_Grunddaten!$A900="Geprüft",Programme_Grunddaten!AM900&lt;&gt;""),IF(Programme_Grunddaten!AM900="Ja",1,0),"")</f>
        <v/>
      </c>
      <c r="AF895" s="1" t="str">
        <f>IF(AND(Programme_Grunddaten!$A900="Geprüft",Programme_Grunddaten!AN900&lt;&gt;""),IF(Programme_Grunddaten!AN900="Ja",1,0),"")</f>
        <v/>
      </c>
      <c r="AG895" s="1" t="str">
        <f>IF(AND(Programme_Grunddaten!$A900="Geprüft",Programme_Grunddaten!AO900&lt;&gt;""),IF(Programme_Grunddaten!AO900="Ja",1,0),"")</f>
        <v/>
      </c>
      <c r="AH895" s="1" t="str">
        <f>IF(AND(Programme_Grunddaten!$A900="Geprüft",Programme_Grunddaten!AP900&lt;&gt;""),IF(Programme_Grunddaten!AP900="Ja",1,0),"")</f>
        <v/>
      </c>
      <c r="AI895" s="1" t="str">
        <f>IF(AND(Programme_Grunddaten!$A900="Geprüft",Programme_Grunddaten!AQ900&lt;&gt;""),IF(Programme_Grunddaten!AQ900="Ja",1,0),"")</f>
        <v/>
      </c>
      <c r="AJ895" s="1" t="str">
        <f>IF(AND(Programme_Grunddaten!$A900="Geprüft",Programme_Grunddaten!AR900&lt;&gt;""),IF(Programme_Grunddaten!AR900="Ja",1,0),"")</f>
        <v/>
      </c>
      <c r="AK895" s="1" t="str">
        <f>IF(AND(Programme_Grunddaten!$A900="Geprüft",Programme_Grunddaten!AS900&lt;&gt;""),IF(Programme_Grunddaten!AS900="Ja",1,0),"")</f>
        <v/>
      </c>
      <c r="AL895" s="1" t="str">
        <f>IF(AND(Programme_Grunddaten!$A900="Geprüft",Programme_Grunddaten!AT900&lt;&gt;""),IF(Programme_Grunddaten!AT900="Ja",1,0),"")</f>
        <v/>
      </c>
      <c r="AM895" s="1" t="str">
        <f>IF(AND(Programme_Grunddaten!$A900="Geprüft",Programme_Grunddaten!AU900&lt;&gt;""),IF(Programme_Grunddaten!AU900="Ja",1,0),"")</f>
        <v/>
      </c>
      <c r="AN895" s="1" t="str">
        <f>IF(AND(Programme_Grunddaten!$A900="Geprüft",Programme_Grunddaten!AV900&lt;&gt;""),IF(Programme_Grunddaten!AV900="Ja",1,0),"")</f>
        <v/>
      </c>
    </row>
    <row r="896" spans="1:40" x14ac:dyDescent="0.3">
      <c r="A896" s="1" t="str">
        <f>IF(AND(Programme_Grunddaten!A901="Geprüft",Programme_Grunddaten!B901&lt;&gt;""),Programme_Grunddaten!B901,"")</f>
        <v/>
      </c>
      <c r="B896" s="1" t="str">
        <f>IF(AND(Programme_Grunddaten!$A901="Geprüft",Programme_Grunddaten!I901&lt;&gt;""),IF(Programme_Grunddaten!I901="Ja",1,0),"")</f>
        <v/>
      </c>
      <c r="C896" s="1" t="str">
        <f>IF(AND(Programme_Grunddaten!$A901="Geprüft",Programme_Grunddaten!J901&lt;&gt;""),IF(Programme_Grunddaten!J901="Ja",1,0),"")</f>
        <v/>
      </c>
      <c r="D896" s="1" t="str">
        <f>IF(AND(Programme_Grunddaten!$A901="Geprüft",Programme_Grunddaten!K901&lt;&gt;""),IF(Programme_Grunddaten!K901="Ja",1,0),"")</f>
        <v/>
      </c>
      <c r="E896" s="1" t="str">
        <f>IF(AND(Programme_Grunddaten!$A901="Geprüft",Programme_Grunddaten!L901&lt;&gt;""),IF(Programme_Grunddaten!L901="Abo / befristete Lizenz",1,0),"")</f>
        <v/>
      </c>
      <c r="F896" s="1" t="str">
        <f>IF(AND(Programme_Grunddaten!$A901="Geprüft",Programme_Grunddaten!M901&lt;&gt;""),IF(Programme_Grunddaten!M901="Ja",1,0),"")</f>
        <v/>
      </c>
      <c r="G896" s="1" t="str">
        <f>IF(AND(Programme_Grunddaten!$A901="Geprüft",Programme_Grunddaten!N901&lt;&gt;""),IF(Programme_Grunddaten!N901="Ja",1,0),"")</f>
        <v/>
      </c>
      <c r="H896" s="1" t="str">
        <f>IF(AND(Programme_Grunddaten!$A901="Geprüft",Programme_Grunddaten!O901&lt;&gt;""),IF(Programme_Grunddaten!O901="Deutschland",0,IF(Programme_Grunddaten!O901="EU",1,2)),"")</f>
        <v/>
      </c>
      <c r="I896" s="1" t="str">
        <f>IF(AND(Programme_Grunddaten!$A901="Geprüft",Programme_Grunddaten!P901&lt;&gt;""),IF(Programme_Grunddaten!P901="Ja",1,0),"")</f>
        <v/>
      </c>
      <c r="J896" s="1" t="str">
        <f>IF(AND(Programme_Grunddaten!$A901="Geprüft",Programme_Grunddaten!Q901&lt;&gt;""),IF(Programme_Grunddaten!Q901="geschlossenes System",1,0),"")</f>
        <v/>
      </c>
      <c r="K896" s="1" t="str">
        <f>IF(AND(Programme_Grunddaten!$A901="Geprüft",Programme_Grunddaten!R901&lt;&gt;""),IF(Programme_Grunddaten!R901="Ja",1,0),"")</f>
        <v/>
      </c>
      <c r="L896" s="1" t="str">
        <f>IF(AND(Programme_Grunddaten!$A901="Geprüft",Programme_Grunddaten!T901&lt;&gt;""),IF(Programme_Grunddaten!T901="Ja",1,0),"")</f>
        <v/>
      </c>
      <c r="M896" s="1" t="str">
        <f>IF(AND(Programme_Grunddaten!$A901="Geprüft",Programme_Grunddaten!U901&lt;&gt;""),IF(Programme_Grunddaten!U901="Ja",1,0),"")</f>
        <v/>
      </c>
      <c r="N896" s="1" t="str">
        <f>IF(AND(Programme_Grunddaten!$A901="Geprüft",Programme_Grunddaten!V901&lt;&gt;""),IF(Programme_Grunddaten!V901="Ja",1,0),"")</f>
        <v/>
      </c>
      <c r="O896" s="1" t="str">
        <f>IF(AND(Programme_Grunddaten!$A901="Geprüft",Programme_Grunddaten!W901&lt;&gt;""),IF(Programme_Grunddaten!W901="Ja",1,0),"")</f>
        <v/>
      </c>
      <c r="P896" s="1" t="str">
        <f>IF(AND(Programme_Grunddaten!$A901="Geprüft",Programme_Grunddaten!X901&lt;&gt;""),IF(Programme_Grunddaten!X901="Ja",1,0),"")</f>
        <v/>
      </c>
      <c r="Q896" s="1" t="str">
        <f>IF(AND(Programme_Grunddaten!$A901="Geprüft",Programme_Grunddaten!Y901&lt;&gt;""),IF(Programme_Grunddaten!Y901="Ja",1,0),"")</f>
        <v/>
      </c>
      <c r="R896" s="1" t="str">
        <f>IF(AND(Programme_Grunddaten!$A901="Geprüft",Programme_Grunddaten!Z901&lt;&gt;""),IF(Programme_Grunddaten!Z901="Ja",1,0),"")</f>
        <v/>
      </c>
      <c r="S896" s="1" t="str">
        <f>IF(AND(Programme_Grunddaten!$A901="Geprüft",Programme_Grunddaten!AA901&lt;&gt;""),IF(Programme_Grunddaten!AA901="monolithisch",1,0),"")</f>
        <v/>
      </c>
      <c r="T896" s="1" t="str">
        <f>IF(AND(Programme_Grunddaten!$A901="Geprüft",Programme_Grunddaten!AB901&lt;&gt;""),IF(Programme_Grunddaten!AB901="Ja",1,0),"")</f>
        <v/>
      </c>
      <c r="U896" s="1" t="str">
        <f>IF(AND(Programme_Grunddaten!$A901="Geprüft",Programme_Grunddaten!AC901&lt;&gt;""),IF(Programme_Grunddaten!AC901="Ja",1,0),"")</f>
        <v/>
      </c>
      <c r="V896" s="1" t="str">
        <f>IF(AND(Programme_Grunddaten!$A901="Geprüft",Programme_Grunddaten!AD901&lt;&gt;""),IF(Programme_Grunddaten!AD901="Ja",1,0),"")</f>
        <v/>
      </c>
      <c r="W896" s="1" t="str">
        <f>IF(AND(Programme_Grunddaten!$A901="Geprüft",Programme_Grunddaten!AE901&lt;&gt;""),IF(Programme_Grunddaten!AE901="Ja",1,0),"")</f>
        <v/>
      </c>
      <c r="X896" s="1" t="str">
        <f>IF(AND(Programme_Grunddaten!$A901="Geprüft",Programme_Grunddaten!AF901&lt;&gt;""),IF(Programme_Grunddaten!AF901="Ja",1,0),"")</f>
        <v/>
      </c>
      <c r="Y896" s="1" t="str">
        <f>IF(AND(Programme_Grunddaten!$A901="Geprüft",Programme_Grunddaten!AG901&lt;&gt;""),IF(Programme_Grunddaten!AG901="Ja",1,0),"")</f>
        <v/>
      </c>
      <c r="Z896" s="1" t="str">
        <f>IF(AND(Programme_Grunddaten!$A901="Geprüft",Programme_Grunddaten!AH901&lt;&gt;""),IF(Programme_Grunddaten!AH901="Ja",1,0),"")</f>
        <v/>
      </c>
      <c r="AA896" s="1" t="str">
        <f>IF(AND(Programme_Grunddaten!$A901="Geprüft",Programme_Grunddaten!AI901&lt;&gt;""),IF(Programme_Grunddaten!AI901="Ja",1,0),"")</f>
        <v/>
      </c>
      <c r="AB896" s="1" t="str">
        <f>IF(AND(Programme_Grunddaten!$A901="Geprüft",Programme_Grunddaten!AJ901&lt;&gt;""),IF(Programme_Grunddaten!AJ901="individuell programmierbar",1,0),"")</f>
        <v/>
      </c>
      <c r="AC896" s="1" t="str">
        <f>IF(AND(Programme_Grunddaten!$A901="Geprüft",Programme_Grunddaten!AK901&lt;&gt;""),IF(Programme_Grunddaten!AK901="Deutsch",0,IF(Programme_Grunddaten!AK901="Deutsch und Englisch",1,2)),"")</f>
        <v/>
      </c>
      <c r="AD896" s="1" t="str">
        <f>IF(AND(Programme_Grunddaten!$A901="Geprüft",Programme_Grunddaten!AL901&lt;&gt;""),IF(Programme_Grunddaten!AL901="Ja",1,0),"")</f>
        <v/>
      </c>
      <c r="AE896" s="1" t="str">
        <f>IF(AND(Programme_Grunddaten!$A901="Geprüft",Programme_Grunddaten!AM901&lt;&gt;""),IF(Programme_Grunddaten!AM901="Ja",1,0),"")</f>
        <v/>
      </c>
      <c r="AF896" s="1" t="str">
        <f>IF(AND(Programme_Grunddaten!$A901="Geprüft",Programme_Grunddaten!AN901&lt;&gt;""),IF(Programme_Grunddaten!AN901="Ja",1,0),"")</f>
        <v/>
      </c>
      <c r="AG896" s="1" t="str">
        <f>IF(AND(Programme_Grunddaten!$A901="Geprüft",Programme_Grunddaten!AO901&lt;&gt;""),IF(Programme_Grunddaten!AO901="Ja",1,0),"")</f>
        <v/>
      </c>
      <c r="AH896" s="1" t="str">
        <f>IF(AND(Programme_Grunddaten!$A901="Geprüft",Programme_Grunddaten!AP901&lt;&gt;""),IF(Programme_Grunddaten!AP901="Ja",1,0),"")</f>
        <v/>
      </c>
      <c r="AI896" s="1" t="str">
        <f>IF(AND(Programme_Grunddaten!$A901="Geprüft",Programme_Grunddaten!AQ901&lt;&gt;""),IF(Programme_Grunddaten!AQ901="Ja",1,0),"")</f>
        <v/>
      </c>
      <c r="AJ896" s="1" t="str">
        <f>IF(AND(Programme_Grunddaten!$A901="Geprüft",Programme_Grunddaten!AR901&lt;&gt;""),IF(Programme_Grunddaten!AR901="Ja",1,0),"")</f>
        <v/>
      </c>
      <c r="AK896" s="1" t="str">
        <f>IF(AND(Programme_Grunddaten!$A901="Geprüft",Programme_Grunddaten!AS901&lt;&gt;""),IF(Programme_Grunddaten!AS901="Ja",1,0),"")</f>
        <v/>
      </c>
      <c r="AL896" s="1" t="str">
        <f>IF(AND(Programme_Grunddaten!$A901="Geprüft",Programme_Grunddaten!AT901&lt;&gt;""),IF(Programme_Grunddaten!AT901="Ja",1,0),"")</f>
        <v/>
      </c>
      <c r="AM896" s="1" t="str">
        <f>IF(AND(Programme_Grunddaten!$A901="Geprüft",Programme_Grunddaten!AU901&lt;&gt;""),IF(Programme_Grunddaten!AU901="Ja",1,0),"")</f>
        <v/>
      </c>
      <c r="AN896" s="1" t="str">
        <f>IF(AND(Programme_Grunddaten!$A901="Geprüft",Programme_Grunddaten!AV901&lt;&gt;""),IF(Programme_Grunddaten!AV901="Ja",1,0),"")</f>
        <v/>
      </c>
    </row>
    <row r="897" spans="1:40" x14ac:dyDescent="0.3">
      <c r="A897" s="1" t="str">
        <f>IF(AND(Programme_Grunddaten!A902="Geprüft",Programme_Grunddaten!B902&lt;&gt;""),Programme_Grunddaten!B902,"")</f>
        <v/>
      </c>
      <c r="B897" s="1" t="str">
        <f>IF(AND(Programme_Grunddaten!$A902="Geprüft",Programme_Grunddaten!I902&lt;&gt;""),IF(Programme_Grunddaten!I902="Ja",1,0),"")</f>
        <v/>
      </c>
      <c r="C897" s="1" t="str">
        <f>IF(AND(Programme_Grunddaten!$A902="Geprüft",Programme_Grunddaten!J902&lt;&gt;""),IF(Programme_Grunddaten!J902="Ja",1,0),"")</f>
        <v/>
      </c>
      <c r="D897" s="1" t="str">
        <f>IF(AND(Programme_Grunddaten!$A902="Geprüft",Programme_Grunddaten!K902&lt;&gt;""),IF(Programme_Grunddaten!K902="Ja",1,0),"")</f>
        <v/>
      </c>
      <c r="E897" s="1" t="str">
        <f>IF(AND(Programme_Grunddaten!$A902="Geprüft",Programme_Grunddaten!L902&lt;&gt;""),IF(Programme_Grunddaten!L902="Abo / befristete Lizenz",1,0),"")</f>
        <v/>
      </c>
      <c r="F897" s="1" t="str">
        <f>IF(AND(Programme_Grunddaten!$A902="Geprüft",Programme_Grunddaten!M902&lt;&gt;""),IF(Programme_Grunddaten!M902="Ja",1,0),"")</f>
        <v/>
      </c>
      <c r="G897" s="1" t="str">
        <f>IF(AND(Programme_Grunddaten!$A902="Geprüft",Programme_Grunddaten!N902&lt;&gt;""),IF(Programme_Grunddaten!N902="Ja",1,0),"")</f>
        <v/>
      </c>
      <c r="H897" s="1" t="str">
        <f>IF(AND(Programme_Grunddaten!$A902="Geprüft",Programme_Grunddaten!O902&lt;&gt;""),IF(Programme_Grunddaten!O902="Deutschland",0,IF(Programme_Grunddaten!O902="EU",1,2)),"")</f>
        <v/>
      </c>
      <c r="I897" s="1" t="str">
        <f>IF(AND(Programme_Grunddaten!$A902="Geprüft",Programme_Grunddaten!P902&lt;&gt;""),IF(Programme_Grunddaten!P902="Ja",1,0),"")</f>
        <v/>
      </c>
      <c r="J897" s="1" t="str">
        <f>IF(AND(Programme_Grunddaten!$A902="Geprüft",Programme_Grunddaten!Q902&lt;&gt;""),IF(Programme_Grunddaten!Q902="geschlossenes System",1,0),"")</f>
        <v/>
      </c>
      <c r="K897" s="1" t="str">
        <f>IF(AND(Programme_Grunddaten!$A902="Geprüft",Programme_Grunddaten!R902&lt;&gt;""),IF(Programme_Grunddaten!R902="Ja",1,0),"")</f>
        <v/>
      </c>
      <c r="L897" s="1" t="str">
        <f>IF(AND(Programme_Grunddaten!$A902="Geprüft",Programme_Grunddaten!T902&lt;&gt;""),IF(Programme_Grunddaten!T902="Ja",1,0),"")</f>
        <v/>
      </c>
      <c r="M897" s="1" t="str">
        <f>IF(AND(Programme_Grunddaten!$A902="Geprüft",Programme_Grunddaten!U902&lt;&gt;""),IF(Programme_Grunddaten!U902="Ja",1,0),"")</f>
        <v/>
      </c>
      <c r="N897" s="1" t="str">
        <f>IF(AND(Programme_Grunddaten!$A902="Geprüft",Programme_Grunddaten!V902&lt;&gt;""),IF(Programme_Grunddaten!V902="Ja",1,0),"")</f>
        <v/>
      </c>
      <c r="O897" s="1" t="str">
        <f>IF(AND(Programme_Grunddaten!$A902="Geprüft",Programme_Grunddaten!W902&lt;&gt;""),IF(Programme_Grunddaten!W902="Ja",1,0),"")</f>
        <v/>
      </c>
      <c r="P897" s="1" t="str">
        <f>IF(AND(Programme_Grunddaten!$A902="Geprüft",Programme_Grunddaten!X902&lt;&gt;""),IF(Programme_Grunddaten!X902="Ja",1,0),"")</f>
        <v/>
      </c>
      <c r="Q897" s="1" t="str">
        <f>IF(AND(Programme_Grunddaten!$A902="Geprüft",Programme_Grunddaten!Y902&lt;&gt;""),IF(Programme_Grunddaten!Y902="Ja",1,0),"")</f>
        <v/>
      </c>
      <c r="R897" s="1" t="str">
        <f>IF(AND(Programme_Grunddaten!$A902="Geprüft",Programme_Grunddaten!Z902&lt;&gt;""),IF(Programme_Grunddaten!Z902="Ja",1,0),"")</f>
        <v/>
      </c>
      <c r="S897" s="1" t="str">
        <f>IF(AND(Programme_Grunddaten!$A902="Geprüft",Programme_Grunddaten!AA902&lt;&gt;""),IF(Programme_Grunddaten!AA902="monolithisch",1,0),"")</f>
        <v/>
      </c>
      <c r="T897" s="1" t="str">
        <f>IF(AND(Programme_Grunddaten!$A902="Geprüft",Programme_Grunddaten!AB902&lt;&gt;""),IF(Programme_Grunddaten!AB902="Ja",1,0),"")</f>
        <v/>
      </c>
      <c r="U897" s="1" t="str">
        <f>IF(AND(Programme_Grunddaten!$A902="Geprüft",Programme_Grunddaten!AC902&lt;&gt;""),IF(Programme_Grunddaten!AC902="Ja",1,0),"")</f>
        <v/>
      </c>
      <c r="V897" s="1" t="str">
        <f>IF(AND(Programme_Grunddaten!$A902="Geprüft",Programme_Grunddaten!AD902&lt;&gt;""),IF(Programme_Grunddaten!AD902="Ja",1,0),"")</f>
        <v/>
      </c>
      <c r="W897" s="1" t="str">
        <f>IF(AND(Programme_Grunddaten!$A902="Geprüft",Programme_Grunddaten!AE902&lt;&gt;""),IF(Programme_Grunddaten!AE902="Ja",1,0),"")</f>
        <v/>
      </c>
      <c r="X897" s="1" t="str">
        <f>IF(AND(Programme_Grunddaten!$A902="Geprüft",Programme_Grunddaten!AF902&lt;&gt;""),IF(Programme_Grunddaten!AF902="Ja",1,0),"")</f>
        <v/>
      </c>
      <c r="Y897" s="1" t="str">
        <f>IF(AND(Programme_Grunddaten!$A902="Geprüft",Programme_Grunddaten!AG902&lt;&gt;""),IF(Programme_Grunddaten!AG902="Ja",1,0),"")</f>
        <v/>
      </c>
      <c r="Z897" s="1" t="str">
        <f>IF(AND(Programme_Grunddaten!$A902="Geprüft",Programme_Grunddaten!AH902&lt;&gt;""),IF(Programme_Grunddaten!AH902="Ja",1,0),"")</f>
        <v/>
      </c>
      <c r="AA897" s="1" t="str">
        <f>IF(AND(Programme_Grunddaten!$A902="Geprüft",Programme_Grunddaten!AI902&lt;&gt;""),IF(Programme_Grunddaten!AI902="Ja",1,0),"")</f>
        <v/>
      </c>
      <c r="AB897" s="1" t="str">
        <f>IF(AND(Programme_Grunddaten!$A902="Geprüft",Programme_Grunddaten!AJ902&lt;&gt;""),IF(Programme_Grunddaten!AJ902="individuell programmierbar",1,0),"")</f>
        <v/>
      </c>
      <c r="AC897" s="1" t="str">
        <f>IF(AND(Programme_Grunddaten!$A902="Geprüft",Programme_Grunddaten!AK902&lt;&gt;""),IF(Programme_Grunddaten!AK902="Deutsch",0,IF(Programme_Grunddaten!AK902="Deutsch und Englisch",1,2)),"")</f>
        <v/>
      </c>
      <c r="AD897" s="1" t="str">
        <f>IF(AND(Programme_Grunddaten!$A902="Geprüft",Programme_Grunddaten!AL902&lt;&gt;""),IF(Programme_Grunddaten!AL902="Ja",1,0),"")</f>
        <v/>
      </c>
      <c r="AE897" s="1" t="str">
        <f>IF(AND(Programme_Grunddaten!$A902="Geprüft",Programme_Grunddaten!AM902&lt;&gt;""),IF(Programme_Grunddaten!AM902="Ja",1,0),"")</f>
        <v/>
      </c>
      <c r="AF897" s="1" t="str">
        <f>IF(AND(Programme_Grunddaten!$A902="Geprüft",Programme_Grunddaten!AN902&lt;&gt;""),IF(Programme_Grunddaten!AN902="Ja",1,0),"")</f>
        <v/>
      </c>
      <c r="AG897" s="1" t="str">
        <f>IF(AND(Programme_Grunddaten!$A902="Geprüft",Programme_Grunddaten!AO902&lt;&gt;""),IF(Programme_Grunddaten!AO902="Ja",1,0),"")</f>
        <v/>
      </c>
      <c r="AH897" s="1" t="str">
        <f>IF(AND(Programme_Grunddaten!$A902="Geprüft",Programme_Grunddaten!AP902&lt;&gt;""),IF(Programme_Grunddaten!AP902="Ja",1,0),"")</f>
        <v/>
      </c>
      <c r="AI897" s="1" t="str">
        <f>IF(AND(Programme_Grunddaten!$A902="Geprüft",Programme_Grunddaten!AQ902&lt;&gt;""),IF(Programme_Grunddaten!AQ902="Ja",1,0),"")</f>
        <v/>
      </c>
      <c r="AJ897" s="1" t="str">
        <f>IF(AND(Programme_Grunddaten!$A902="Geprüft",Programme_Grunddaten!AR902&lt;&gt;""),IF(Programme_Grunddaten!AR902="Ja",1,0),"")</f>
        <v/>
      </c>
      <c r="AK897" s="1" t="str">
        <f>IF(AND(Programme_Grunddaten!$A902="Geprüft",Programme_Grunddaten!AS902&lt;&gt;""),IF(Programme_Grunddaten!AS902="Ja",1,0),"")</f>
        <v/>
      </c>
      <c r="AL897" s="1" t="str">
        <f>IF(AND(Programme_Grunddaten!$A902="Geprüft",Programme_Grunddaten!AT902&lt;&gt;""),IF(Programme_Grunddaten!AT902="Ja",1,0),"")</f>
        <v/>
      </c>
      <c r="AM897" s="1" t="str">
        <f>IF(AND(Programme_Grunddaten!$A902="Geprüft",Programme_Grunddaten!AU902&lt;&gt;""),IF(Programme_Grunddaten!AU902="Ja",1,0),"")</f>
        <v/>
      </c>
      <c r="AN897" s="1" t="str">
        <f>IF(AND(Programme_Grunddaten!$A902="Geprüft",Programme_Grunddaten!AV902&lt;&gt;""),IF(Programme_Grunddaten!AV902="Ja",1,0),"")</f>
        <v/>
      </c>
    </row>
    <row r="898" spans="1:40" x14ac:dyDescent="0.3">
      <c r="A898" s="1" t="str">
        <f>IF(AND(Programme_Grunddaten!A903="Geprüft",Programme_Grunddaten!B903&lt;&gt;""),Programme_Grunddaten!B903,"")</f>
        <v/>
      </c>
      <c r="B898" s="1" t="str">
        <f>IF(AND(Programme_Grunddaten!$A903="Geprüft",Programme_Grunddaten!I903&lt;&gt;""),IF(Programme_Grunddaten!I903="Ja",1,0),"")</f>
        <v/>
      </c>
      <c r="C898" s="1" t="str">
        <f>IF(AND(Programme_Grunddaten!$A903="Geprüft",Programme_Grunddaten!J903&lt;&gt;""),IF(Programme_Grunddaten!J903="Ja",1,0),"")</f>
        <v/>
      </c>
      <c r="D898" s="1" t="str">
        <f>IF(AND(Programme_Grunddaten!$A903="Geprüft",Programme_Grunddaten!K903&lt;&gt;""),IF(Programme_Grunddaten!K903="Ja",1,0),"")</f>
        <v/>
      </c>
      <c r="E898" s="1" t="str">
        <f>IF(AND(Programme_Grunddaten!$A903="Geprüft",Programme_Grunddaten!L903&lt;&gt;""),IF(Programme_Grunddaten!L903="Abo / befristete Lizenz",1,0),"")</f>
        <v/>
      </c>
      <c r="F898" s="1" t="str">
        <f>IF(AND(Programme_Grunddaten!$A903="Geprüft",Programme_Grunddaten!M903&lt;&gt;""),IF(Programme_Grunddaten!M903="Ja",1,0),"")</f>
        <v/>
      </c>
      <c r="G898" s="1" t="str">
        <f>IF(AND(Programme_Grunddaten!$A903="Geprüft",Programme_Grunddaten!N903&lt;&gt;""),IF(Programme_Grunddaten!N903="Ja",1,0),"")</f>
        <v/>
      </c>
      <c r="H898" s="1" t="str">
        <f>IF(AND(Programme_Grunddaten!$A903="Geprüft",Programme_Grunddaten!O903&lt;&gt;""),IF(Programme_Grunddaten!O903="Deutschland",0,IF(Programme_Grunddaten!O903="EU",1,2)),"")</f>
        <v/>
      </c>
      <c r="I898" s="1" t="str">
        <f>IF(AND(Programme_Grunddaten!$A903="Geprüft",Programme_Grunddaten!P903&lt;&gt;""),IF(Programme_Grunddaten!P903="Ja",1,0),"")</f>
        <v/>
      </c>
      <c r="J898" s="1" t="str">
        <f>IF(AND(Programme_Grunddaten!$A903="Geprüft",Programme_Grunddaten!Q903&lt;&gt;""),IF(Programme_Grunddaten!Q903="geschlossenes System",1,0),"")</f>
        <v/>
      </c>
      <c r="K898" s="1" t="str">
        <f>IF(AND(Programme_Grunddaten!$A903="Geprüft",Programme_Grunddaten!R903&lt;&gt;""),IF(Programme_Grunddaten!R903="Ja",1,0),"")</f>
        <v/>
      </c>
      <c r="L898" s="1" t="str">
        <f>IF(AND(Programme_Grunddaten!$A903="Geprüft",Programme_Grunddaten!T903&lt;&gt;""),IF(Programme_Grunddaten!T903="Ja",1,0),"")</f>
        <v/>
      </c>
      <c r="M898" s="1" t="str">
        <f>IF(AND(Programme_Grunddaten!$A903="Geprüft",Programme_Grunddaten!U903&lt;&gt;""),IF(Programme_Grunddaten!U903="Ja",1,0),"")</f>
        <v/>
      </c>
      <c r="N898" s="1" t="str">
        <f>IF(AND(Programme_Grunddaten!$A903="Geprüft",Programme_Grunddaten!V903&lt;&gt;""),IF(Programme_Grunddaten!V903="Ja",1,0),"")</f>
        <v/>
      </c>
      <c r="O898" s="1" t="str">
        <f>IF(AND(Programme_Grunddaten!$A903="Geprüft",Programme_Grunddaten!W903&lt;&gt;""),IF(Programme_Grunddaten!W903="Ja",1,0),"")</f>
        <v/>
      </c>
      <c r="P898" s="1" t="str">
        <f>IF(AND(Programme_Grunddaten!$A903="Geprüft",Programme_Grunddaten!X903&lt;&gt;""),IF(Programme_Grunddaten!X903="Ja",1,0),"")</f>
        <v/>
      </c>
      <c r="Q898" s="1" t="str">
        <f>IF(AND(Programme_Grunddaten!$A903="Geprüft",Programme_Grunddaten!Y903&lt;&gt;""),IF(Programme_Grunddaten!Y903="Ja",1,0),"")</f>
        <v/>
      </c>
      <c r="R898" s="1" t="str">
        <f>IF(AND(Programme_Grunddaten!$A903="Geprüft",Programme_Grunddaten!Z903&lt;&gt;""),IF(Programme_Grunddaten!Z903="Ja",1,0),"")</f>
        <v/>
      </c>
      <c r="S898" s="1" t="str">
        <f>IF(AND(Programme_Grunddaten!$A903="Geprüft",Programme_Grunddaten!AA903&lt;&gt;""),IF(Programme_Grunddaten!AA903="monolithisch",1,0),"")</f>
        <v/>
      </c>
      <c r="T898" s="1" t="str">
        <f>IF(AND(Programme_Grunddaten!$A903="Geprüft",Programme_Grunddaten!AB903&lt;&gt;""),IF(Programme_Grunddaten!AB903="Ja",1,0),"")</f>
        <v/>
      </c>
      <c r="U898" s="1" t="str">
        <f>IF(AND(Programme_Grunddaten!$A903="Geprüft",Programme_Grunddaten!AC903&lt;&gt;""),IF(Programme_Grunddaten!AC903="Ja",1,0),"")</f>
        <v/>
      </c>
      <c r="V898" s="1" t="str">
        <f>IF(AND(Programme_Grunddaten!$A903="Geprüft",Programme_Grunddaten!AD903&lt;&gt;""),IF(Programme_Grunddaten!AD903="Ja",1,0),"")</f>
        <v/>
      </c>
      <c r="W898" s="1" t="str">
        <f>IF(AND(Programme_Grunddaten!$A903="Geprüft",Programme_Grunddaten!AE903&lt;&gt;""),IF(Programme_Grunddaten!AE903="Ja",1,0),"")</f>
        <v/>
      </c>
      <c r="X898" s="1" t="str">
        <f>IF(AND(Programme_Grunddaten!$A903="Geprüft",Programme_Grunddaten!AF903&lt;&gt;""),IF(Programme_Grunddaten!AF903="Ja",1,0),"")</f>
        <v/>
      </c>
      <c r="Y898" s="1" t="str">
        <f>IF(AND(Programme_Grunddaten!$A903="Geprüft",Programme_Grunddaten!AG903&lt;&gt;""),IF(Programme_Grunddaten!AG903="Ja",1,0),"")</f>
        <v/>
      </c>
      <c r="Z898" s="1" t="str">
        <f>IF(AND(Programme_Grunddaten!$A903="Geprüft",Programme_Grunddaten!AH903&lt;&gt;""),IF(Programme_Grunddaten!AH903="Ja",1,0),"")</f>
        <v/>
      </c>
      <c r="AA898" s="1" t="str">
        <f>IF(AND(Programme_Grunddaten!$A903="Geprüft",Programme_Grunddaten!AI903&lt;&gt;""),IF(Programme_Grunddaten!AI903="Ja",1,0),"")</f>
        <v/>
      </c>
      <c r="AB898" s="1" t="str">
        <f>IF(AND(Programme_Grunddaten!$A903="Geprüft",Programme_Grunddaten!AJ903&lt;&gt;""),IF(Programme_Grunddaten!AJ903="individuell programmierbar",1,0),"")</f>
        <v/>
      </c>
      <c r="AC898" s="1" t="str">
        <f>IF(AND(Programme_Grunddaten!$A903="Geprüft",Programme_Grunddaten!AK903&lt;&gt;""),IF(Programme_Grunddaten!AK903="Deutsch",0,IF(Programme_Grunddaten!AK903="Deutsch und Englisch",1,2)),"")</f>
        <v/>
      </c>
      <c r="AD898" s="1" t="str">
        <f>IF(AND(Programme_Grunddaten!$A903="Geprüft",Programme_Grunddaten!AL903&lt;&gt;""),IF(Programme_Grunddaten!AL903="Ja",1,0),"")</f>
        <v/>
      </c>
      <c r="AE898" s="1" t="str">
        <f>IF(AND(Programme_Grunddaten!$A903="Geprüft",Programme_Grunddaten!AM903&lt;&gt;""),IF(Programme_Grunddaten!AM903="Ja",1,0),"")</f>
        <v/>
      </c>
      <c r="AF898" s="1" t="str">
        <f>IF(AND(Programme_Grunddaten!$A903="Geprüft",Programme_Grunddaten!AN903&lt;&gt;""),IF(Programme_Grunddaten!AN903="Ja",1,0),"")</f>
        <v/>
      </c>
      <c r="AG898" s="1" t="str">
        <f>IF(AND(Programme_Grunddaten!$A903="Geprüft",Programme_Grunddaten!AO903&lt;&gt;""),IF(Programme_Grunddaten!AO903="Ja",1,0),"")</f>
        <v/>
      </c>
      <c r="AH898" s="1" t="str">
        <f>IF(AND(Programme_Grunddaten!$A903="Geprüft",Programme_Grunddaten!AP903&lt;&gt;""),IF(Programme_Grunddaten!AP903="Ja",1,0),"")</f>
        <v/>
      </c>
      <c r="AI898" s="1" t="str">
        <f>IF(AND(Programme_Grunddaten!$A903="Geprüft",Programme_Grunddaten!AQ903&lt;&gt;""),IF(Programme_Grunddaten!AQ903="Ja",1,0),"")</f>
        <v/>
      </c>
      <c r="AJ898" s="1" t="str">
        <f>IF(AND(Programme_Grunddaten!$A903="Geprüft",Programme_Grunddaten!AR903&lt;&gt;""),IF(Programme_Grunddaten!AR903="Ja",1,0),"")</f>
        <v/>
      </c>
      <c r="AK898" s="1" t="str">
        <f>IF(AND(Programme_Grunddaten!$A903="Geprüft",Programme_Grunddaten!AS903&lt;&gt;""),IF(Programme_Grunddaten!AS903="Ja",1,0),"")</f>
        <v/>
      </c>
      <c r="AL898" s="1" t="str">
        <f>IF(AND(Programme_Grunddaten!$A903="Geprüft",Programme_Grunddaten!AT903&lt;&gt;""),IF(Programme_Grunddaten!AT903="Ja",1,0),"")</f>
        <v/>
      </c>
      <c r="AM898" s="1" t="str">
        <f>IF(AND(Programme_Grunddaten!$A903="Geprüft",Programme_Grunddaten!AU903&lt;&gt;""),IF(Programme_Grunddaten!AU903="Ja",1,0),"")</f>
        <v/>
      </c>
      <c r="AN898" s="1" t="str">
        <f>IF(AND(Programme_Grunddaten!$A903="Geprüft",Programme_Grunddaten!AV903&lt;&gt;""),IF(Programme_Grunddaten!AV903="Ja",1,0),"")</f>
        <v/>
      </c>
    </row>
    <row r="899" spans="1:40" x14ac:dyDescent="0.3">
      <c r="A899" s="1" t="str">
        <f>IF(AND(Programme_Grunddaten!A904="Geprüft",Programme_Grunddaten!B904&lt;&gt;""),Programme_Grunddaten!B904,"")</f>
        <v/>
      </c>
      <c r="B899" s="1" t="str">
        <f>IF(AND(Programme_Grunddaten!$A904="Geprüft",Programme_Grunddaten!I904&lt;&gt;""),IF(Programme_Grunddaten!I904="Ja",1,0),"")</f>
        <v/>
      </c>
      <c r="C899" s="1" t="str">
        <f>IF(AND(Programme_Grunddaten!$A904="Geprüft",Programme_Grunddaten!J904&lt;&gt;""),IF(Programme_Grunddaten!J904="Ja",1,0),"")</f>
        <v/>
      </c>
      <c r="D899" s="1" t="str">
        <f>IF(AND(Programme_Grunddaten!$A904="Geprüft",Programme_Grunddaten!K904&lt;&gt;""),IF(Programme_Grunddaten!K904="Ja",1,0),"")</f>
        <v/>
      </c>
      <c r="E899" s="1" t="str">
        <f>IF(AND(Programme_Grunddaten!$A904="Geprüft",Programme_Grunddaten!L904&lt;&gt;""),IF(Programme_Grunddaten!L904="Abo / befristete Lizenz",1,0),"")</f>
        <v/>
      </c>
      <c r="F899" s="1" t="str">
        <f>IF(AND(Programme_Grunddaten!$A904="Geprüft",Programme_Grunddaten!M904&lt;&gt;""),IF(Programme_Grunddaten!M904="Ja",1,0),"")</f>
        <v/>
      </c>
      <c r="G899" s="1" t="str">
        <f>IF(AND(Programme_Grunddaten!$A904="Geprüft",Programme_Grunddaten!N904&lt;&gt;""),IF(Programme_Grunddaten!N904="Ja",1,0),"")</f>
        <v/>
      </c>
      <c r="H899" s="1" t="str">
        <f>IF(AND(Programme_Grunddaten!$A904="Geprüft",Programme_Grunddaten!O904&lt;&gt;""),IF(Programme_Grunddaten!O904="Deutschland",0,IF(Programme_Grunddaten!O904="EU",1,2)),"")</f>
        <v/>
      </c>
      <c r="I899" s="1" t="str">
        <f>IF(AND(Programme_Grunddaten!$A904="Geprüft",Programme_Grunddaten!P904&lt;&gt;""),IF(Programme_Grunddaten!P904="Ja",1,0),"")</f>
        <v/>
      </c>
      <c r="J899" s="1" t="str">
        <f>IF(AND(Programme_Grunddaten!$A904="Geprüft",Programme_Grunddaten!Q904&lt;&gt;""),IF(Programme_Grunddaten!Q904="geschlossenes System",1,0),"")</f>
        <v/>
      </c>
      <c r="K899" s="1" t="str">
        <f>IF(AND(Programme_Grunddaten!$A904="Geprüft",Programme_Grunddaten!R904&lt;&gt;""),IF(Programme_Grunddaten!R904="Ja",1,0),"")</f>
        <v/>
      </c>
      <c r="L899" s="1" t="str">
        <f>IF(AND(Programme_Grunddaten!$A904="Geprüft",Programme_Grunddaten!T904&lt;&gt;""),IF(Programme_Grunddaten!T904="Ja",1,0),"")</f>
        <v/>
      </c>
      <c r="M899" s="1" t="str">
        <f>IF(AND(Programme_Grunddaten!$A904="Geprüft",Programme_Grunddaten!U904&lt;&gt;""),IF(Programme_Grunddaten!U904="Ja",1,0),"")</f>
        <v/>
      </c>
      <c r="N899" s="1" t="str">
        <f>IF(AND(Programme_Grunddaten!$A904="Geprüft",Programme_Grunddaten!V904&lt;&gt;""),IF(Programme_Grunddaten!V904="Ja",1,0),"")</f>
        <v/>
      </c>
      <c r="O899" s="1" t="str">
        <f>IF(AND(Programme_Grunddaten!$A904="Geprüft",Programme_Grunddaten!W904&lt;&gt;""),IF(Programme_Grunddaten!W904="Ja",1,0),"")</f>
        <v/>
      </c>
      <c r="P899" s="1" t="str">
        <f>IF(AND(Programme_Grunddaten!$A904="Geprüft",Programme_Grunddaten!X904&lt;&gt;""),IF(Programme_Grunddaten!X904="Ja",1,0),"")</f>
        <v/>
      </c>
      <c r="Q899" s="1" t="str">
        <f>IF(AND(Programme_Grunddaten!$A904="Geprüft",Programme_Grunddaten!Y904&lt;&gt;""),IF(Programme_Grunddaten!Y904="Ja",1,0),"")</f>
        <v/>
      </c>
      <c r="R899" s="1" t="str">
        <f>IF(AND(Programme_Grunddaten!$A904="Geprüft",Programme_Grunddaten!Z904&lt;&gt;""),IF(Programme_Grunddaten!Z904="Ja",1,0),"")</f>
        <v/>
      </c>
      <c r="S899" s="1" t="str">
        <f>IF(AND(Programme_Grunddaten!$A904="Geprüft",Programme_Grunddaten!AA904&lt;&gt;""),IF(Programme_Grunddaten!AA904="monolithisch",1,0),"")</f>
        <v/>
      </c>
      <c r="T899" s="1" t="str">
        <f>IF(AND(Programme_Grunddaten!$A904="Geprüft",Programme_Grunddaten!AB904&lt;&gt;""),IF(Programme_Grunddaten!AB904="Ja",1,0),"")</f>
        <v/>
      </c>
      <c r="U899" s="1" t="str">
        <f>IF(AND(Programme_Grunddaten!$A904="Geprüft",Programme_Grunddaten!AC904&lt;&gt;""),IF(Programme_Grunddaten!AC904="Ja",1,0),"")</f>
        <v/>
      </c>
      <c r="V899" s="1" t="str">
        <f>IF(AND(Programme_Grunddaten!$A904="Geprüft",Programme_Grunddaten!AD904&lt;&gt;""),IF(Programme_Grunddaten!AD904="Ja",1,0),"")</f>
        <v/>
      </c>
      <c r="W899" s="1" t="str">
        <f>IF(AND(Programme_Grunddaten!$A904="Geprüft",Programme_Grunddaten!AE904&lt;&gt;""),IF(Programme_Grunddaten!AE904="Ja",1,0),"")</f>
        <v/>
      </c>
      <c r="X899" s="1" t="str">
        <f>IF(AND(Programme_Grunddaten!$A904="Geprüft",Programme_Grunddaten!AF904&lt;&gt;""),IF(Programme_Grunddaten!AF904="Ja",1,0),"")</f>
        <v/>
      </c>
      <c r="Y899" s="1" t="str">
        <f>IF(AND(Programme_Grunddaten!$A904="Geprüft",Programme_Grunddaten!AG904&lt;&gt;""),IF(Programme_Grunddaten!AG904="Ja",1,0),"")</f>
        <v/>
      </c>
      <c r="Z899" s="1" t="str">
        <f>IF(AND(Programme_Grunddaten!$A904="Geprüft",Programme_Grunddaten!AH904&lt;&gt;""),IF(Programme_Grunddaten!AH904="Ja",1,0),"")</f>
        <v/>
      </c>
      <c r="AA899" s="1" t="str">
        <f>IF(AND(Programme_Grunddaten!$A904="Geprüft",Programme_Grunddaten!AI904&lt;&gt;""),IF(Programme_Grunddaten!AI904="Ja",1,0),"")</f>
        <v/>
      </c>
      <c r="AB899" s="1" t="str">
        <f>IF(AND(Programme_Grunddaten!$A904="Geprüft",Programme_Grunddaten!AJ904&lt;&gt;""),IF(Programme_Grunddaten!AJ904="individuell programmierbar",1,0),"")</f>
        <v/>
      </c>
      <c r="AC899" s="1" t="str">
        <f>IF(AND(Programme_Grunddaten!$A904="Geprüft",Programme_Grunddaten!AK904&lt;&gt;""),IF(Programme_Grunddaten!AK904="Deutsch",0,IF(Programme_Grunddaten!AK904="Deutsch und Englisch",1,2)),"")</f>
        <v/>
      </c>
      <c r="AD899" s="1" t="str">
        <f>IF(AND(Programme_Grunddaten!$A904="Geprüft",Programme_Grunddaten!AL904&lt;&gt;""),IF(Programme_Grunddaten!AL904="Ja",1,0),"")</f>
        <v/>
      </c>
      <c r="AE899" s="1" t="str">
        <f>IF(AND(Programme_Grunddaten!$A904="Geprüft",Programme_Grunddaten!AM904&lt;&gt;""),IF(Programme_Grunddaten!AM904="Ja",1,0),"")</f>
        <v/>
      </c>
      <c r="AF899" s="1" t="str">
        <f>IF(AND(Programme_Grunddaten!$A904="Geprüft",Programme_Grunddaten!AN904&lt;&gt;""),IF(Programme_Grunddaten!AN904="Ja",1,0),"")</f>
        <v/>
      </c>
      <c r="AG899" s="1" t="str">
        <f>IF(AND(Programme_Grunddaten!$A904="Geprüft",Programme_Grunddaten!AO904&lt;&gt;""),IF(Programme_Grunddaten!AO904="Ja",1,0),"")</f>
        <v/>
      </c>
      <c r="AH899" s="1" t="str">
        <f>IF(AND(Programme_Grunddaten!$A904="Geprüft",Programme_Grunddaten!AP904&lt;&gt;""),IF(Programme_Grunddaten!AP904="Ja",1,0),"")</f>
        <v/>
      </c>
      <c r="AI899" s="1" t="str">
        <f>IF(AND(Programme_Grunddaten!$A904="Geprüft",Programme_Grunddaten!AQ904&lt;&gt;""),IF(Programme_Grunddaten!AQ904="Ja",1,0),"")</f>
        <v/>
      </c>
      <c r="AJ899" s="1" t="str">
        <f>IF(AND(Programme_Grunddaten!$A904="Geprüft",Programme_Grunddaten!AR904&lt;&gt;""),IF(Programme_Grunddaten!AR904="Ja",1,0),"")</f>
        <v/>
      </c>
      <c r="AK899" s="1" t="str">
        <f>IF(AND(Programme_Grunddaten!$A904="Geprüft",Programme_Grunddaten!AS904&lt;&gt;""),IF(Programme_Grunddaten!AS904="Ja",1,0),"")</f>
        <v/>
      </c>
      <c r="AL899" s="1" t="str">
        <f>IF(AND(Programme_Grunddaten!$A904="Geprüft",Programme_Grunddaten!AT904&lt;&gt;""),IF(Programme_Grunddaten!AT904="Ja",1,0),"")</f>
        <v/>
      </c>
      <c r="AM899" s="1" t="str">
        <f>IF(AND(Programme_Grunddaten!$A904="Geprüft",Programme_Grunddaten!AU904&lt;&gt;""),IF(Programme_Grunddaten!AU904="Ja",1,0),"")</f>
        <v/>
      </c>
      <c r="AN899" s="1" t="str">
        <f>IF(AND(Programme_Grunddaten!$A904="Geprüft",Programme_Grunddaten!AV904&lt;&gt;""),IF(Programme_Grunddaten!AV904="Ja",1,0),"")</f>
        <v/>
      </c>
    </row>
    <row r="900" spans="1:40" x14ac:dyDescent="0.3">
      <c r="A900" s="1" t="str">
        <f>IF(AND(Programme_Grunddaten!A905="Geprüft",Programme_Grunddaten!B905&lt;&gt;""),Programme_Grunddaten!B905,"")</f>
        <v/>
      </c>
      <c r="B900" s="1" t="str">
        <f>IF(AND(Programme_Grunddaten!$A905="Geprüft",Programme_Grunddaten!I905&lt;&gt;""),IF(Programme_Grunddaten!I905="Ja",1,0),"")</f>
        <v/>
      </c>
      <c r="C900" s="1" t="str">
        <f>IF(AND(Programme_Grunddaten!$A905="Geprüft",Programme_Grunddaten!J905&lt;&gt;""),IF(Programme_Grunddaten!J905="Ja",1,0),"")</f>
        <v/>
      </c>
      <c r="D900" s="1" t="str">
        <f>IF(AND(Programme_Grunddaten!$A905="Geprüft",Programme_Grunddaten!K905&lt;&gt;""),IF(Programme_Grunddaten!K905="Ja",1,0),"")</f>
        <v/>
      </c>
      <c r="E900" s="1" t="str">
        <f>IF(AND(Programme_Grunddaten!$A905="Geprüft",Programme_Grunddaten!L905&lt;&gt;""),IF(Programme_Grunddaten!L905="Abo / befristete Lizenz",1,0),"")</f>
        <v/>
      </c>
      <c r="F900" s="1" t="str">
        <f>IF(AND(Programme_Grunddaten!$A905="Geprüft",Programme_Grunddaten!M905&lt;&gt;""),IF(Programme_Grunddaten!M905="Ja",1,0),"")</f>
        <v/>
      </c>
      <c r="G900" s="1" t="str">
        <f>IF(AND(Programme_Grunddaten!$A905="Geprüft",Programme_Grunddaten!N905&lt;&gt;""),IF(Programme_Grunddaten!N905="Ja",1,0),"")</f>
        <v/>
      </c>
      <c r="H900" s="1" t="str">
        <f>IF(AND(Programme_Grunddaten!$A905="Geprüft",Programme_Grunddaten!O905&lt;&gt;""),IF(Programme_Grunddaten!O905="Deutschland",0,IF(Programme_Grunddaten!O905="EU",1,2)),"")</f>
        <v/>
      </c>
      <c r="I900" s="1" t="str">
        <f>IF(AND(Programme_Grunddaten!$A905="Geprüft",Programme_Grunddaten!P905&lt;&gt;""),IF(Programme_Grunddaten!P905="Ja",1,0),"")</f>
        <v/>
      </c>
      <c r="J900" s="1" t="str">
        <f>IF(AND(Programme_Grunddaten!$A905="Geprüft",Programme_Grunddaten!Q905&lt;&gt;""),IF(Programme_Grunddaten!Q905="geschlossenes System",1,0),"")</f>
        <v/>
      </c>
      <c r="K900" s="1" t="str">
        <f>IF(AND(Programme_Grunddaten!$A905="Geprüft",Programme_Grunddaten!R905&lt;&gt;""),IF(Programme_Grunddaten!R905="Ja",1,0),"")</f>
        <v/>
      </c>
      <c r="L900" s="1" t="str">
        <f>IF(AND(Programme_Grunddaten!$A905="Geprüft",Programme_Grunddaten!T905&lt;&gt;""),IF(Programme_Grunddaten!T905="Ja",1,0),"")</f>
        <v/>
      </c>
      <c r="M900" s="1" t="str">
        <f>IF(AND(Programme_Grunddaten!$A905="Geprüft",Programme_Grunddaten!U905&lt;&gt;""),IF(Programme_Grunddaten!U905="Ja",1,0),"")</f>
        <v/>
      </c>
      <c r="N900" s="1" t="str">
        <f>IF(AND(Programme_Grunddaten!$A905="Geprüft",Programme_Grunddaten!V905&lt;&gt;""),IF(Programme_Grunddaten!V905="Ja",1,0),"")</f>
        <v/>
      </c>
      <c r="O900" s="1" t="str">
        <f>IF(AND(Programme_Grunddaten!$A905="Geprüft",Programme_Grunddaten!W905&lt;&gt;""),IF(Programme_Grunddaten!W905="Ja",1,0),"")</f>
        <v/>
      </c>
      <c r="P900" s="1" t="str">
        <f>IF(AND(Programme_Grunddaten!$A905="Geprüft",Programme_Grunddaten!X905&lt;&gt;""),IF(Programme_Grunddaten!X905="Ja",1,0),"")</f>
        <v/>
      </c>
      <c r="Q900" s="1" t="str">
        <f>IF(AND(Programme_Grunddaten!$A905="Geprüft",Programme_Grunddaten!Y905&lt;&gt;""),IF(Programme_Grunddaten!Y905="Ja",1,0),"")</f>
        <v/>
      </c>
      <c r="R900" s="1" t="str">
        <f>IF(AND(Programme_Grunddaten!$A905="Geprüft",Programme_Grunddaten!Z905&lt;&gt;""),IF(Programme_Grunddaten!Z905="Ja",1,0),"")</f>
        <v/>
      </c>
      <c r="S900" s="1" t="str">
        <f>IF(AND(Programme_Grunddaten!$A905="Geprüft",Programme_Grunddaten!AA905&lt;&gt;""),IF(Programme_Grunddaten!AA905="monolithisch",1,0),"")</f>
        <v/>
      </c>
      <c r="T900" s="1" t="str">
        <f>IF(AND(Programme_Grunddaten!$A905="Geprüft",Programme_Grunddaten!AB905&lt;&gt;""),IF(Programme_Grunddaten!AB905="Ja",1,0),"")</f>
        <v/>
      </c>
      <c r="U900" s="1" t="str">
        <f>IF(AND(Programme_Grunddaten!$A905="Geprüft",Programme_Grunddaten!AC905&lt;&gt;""),IF(Programme_Grunddaten!AC905="Ja",1,0),"")</f>
        <v/>
      </c>
      <c r="V900" s="1" t="str">
        <f>IF(AND(Programme_Grunddaten!$A905="Geprüft",Programme_Grunddaten!AD905&lt;&gt;""),IF(Programme_Grunddaten!AD905="Ja",1,0),"")</f>
        <v/>
      </c>
      <c r="W900" s="1" t="str">
        <f>IF(AND(Programme_Grunddaten!$A905="Geprüft",Programme_Grunddaten!AE905&lt;&gt;""),IF(Programme_Grunddaten!AE905="Ja",1,0),"")</f>
        <v/>
      </c>
      <c r="X900" s="1" t="str">
        <f>IF(AND(Programme_Grunddaten!$A905="Geprüft",Programme_Grunddaten!AF905&lt;&gt;""),IF(Programme_Grunddaten!AF905="Ja",1,0),"")</f>
        <v/>
      </c>
      <c r="Y900" s="1" t="str">
        <f>IF(AND(Programme_Grunddaten!$A905="Geprüft",Programme_Grunddaten!AG905&lt;&gt;""),IF(Programme_Grunddaten!AG905="Ja",1,0),"")</f>
        <v/>
      </c>
      <c r="Z900" s="1" t="str">
        <f>IF(AND(Programme_Grunddaten!$A905="Geprüft",Programme_Grunddaten!AH905&lt;&gt;""),IF(Programme_Grunddaten!AH905="Ja",1,0),"")</f>
        <v/>
      </c>
      <c r="AA900" s="1" t="str">
        <f>IF(AND(Programme_Grunddaten!$A905="Geprüft",Programme_Grunddaten!AI905&lt;&gt;""),IF(Programme_Grunddaten!AI905="Ja",1,0),"")</f>
        <v/>
      </c>
      <c r="AB900" s="1" t="str">
        <f>IF(AND(Programme_Grunddaten!$A905="Geprüft",Programme_Grunddaten!AJ905&lt;&gt;""),IF(Programme_Grunddaten!AJ905="individuell programmierbar",1,0),"")</f>
        <v/>
      </c>
      <c r="AC900" s="1" t="str">
        <f>IF(AND(Programme_Grunddaten!$A905="Geprüft",Programme_Grunddaten!AK905&lt;&gt;""),IF(Programme_Grunddaten!AK905="Deutsch",0,IF(Programme_Grunddaten!AK905="Deutsch und Englisch",1,2)),"")</f>
        <v/>
      </c>
      <c r="AD900" s="1" t="str">
        <f>IF(AND(Programme_Grunddaten!$A905="Geprüft",Programme_Grunddaten!AL905&lt;&gt;""),IF(Programme_Grunddaten!AL905="Ja",1,0),"")</f>
        <v/>
      </c>
      <c r="AE900" s="1" t="str">
        <f>IF(AND(Programme_Grunddaten!$A905="Geprüft",Programme_Grunddaten!AM905&lt;&gt;""),IF(Programme_Grunddaten!AM905="Ja",1,0),"")</f>
        <v/>
      </c>
      <c r="AF900" s="1" t="str">
        <f>IF(AND(Programme_Grunddaten!$A905="Geprüft",Programme_Grunddaten!AN905&lt;&gt;""),IF(Programme_Grunddaten!AN905="Ja",1,0),"")</f>
        <v/>
      </c>
      <c r="AG900" s="1" t="str">
        <f>IF(AND(Programme_Grunddaten!$A905="Geprüft",Programme_Grunddaten!AO905&lt;&gt;""),IF(Programme_Grunddaten!AO905="Ja",1,0),"")</f>
        <v/>
      </c>
      <c r="AH900" s="1" t="str">
        <f>IF(AND(Programme_Grunddaten!$A905="Geprüft",Programme_Grunddaten!AP905&lt;&gt;""),IF(Programme_Grunddaten!AP905="Ja",1,0),"")</f>
        <v/>
      </c>
      <c r="AI900" s="1" t="str">
        <f>IF(AND(Programme_Grunddaten!$A905="Geprüft",Programme_Grunddaten!AQ905&lt;&gt;""),IF(Programme_Grunddaten!AQ905="Ja",1,0),"")</f>
        <v/>
      </c>
      <c r="AJ900" s="1" t="str">
        <f>IF(AND(Programme_Grunddaten!$A905="Geprüft",Programme_Grunddaten!AR905&lt;&gt;""),IF(Programme_Grunddaten!AR905="Ja",1,0),"")</f>
        <v/>
      </c>
      <c r="AK900" s="1" t="str">
        <f>IF(AND(Programme_Grunddaten!$A905="Geprüft",Programme_Grunddaten!AS905&lt;&gt;""),IF(Programme_Grunddaten!AS905="Ja",1,0),"")</f>
        <v/>
      </c>
      <c r="AL900" s="1" t="str">
        <f>IF(AND(Programme_Grunddaten!$A905="Geprüft",Programme_Grunddaten!AT905&lt;&gt;""),IF(Programme_Grunddaten!AT905="Ja",1,0),"")</f>
        <v/>
      </c>
      <c r="AM900" s="1" t="str">
        <f>IF(AND(Programme_Grunddaten!$A905="Geprüft",Programme_Grunddaten!AU905&lt;&gt;""),IF(Programme_Grunddaten!AU905="Ja",1,0),"")</f>
        <v/>
      </c>
      <c r="AN900" s="1" t="str">
        <f>IF(AND(Programme_Grunddaten!$A905="Geprüft",Programme_Grunddaten!AV905&lt;&gt;""),IF(Programme_Grunddaten!AV905="Ja",1,0),"")</f>
        <v/>
      </c>
    </row>
    <row r="901" spans="1:40" x14ac:dyDescent="0.3">
      <c r="A901" s="1" t="str">
        <f>IF(AND(Programme_Grunddaten!A906="Geprüft",Programme_Grunddaten!B906&lt;&gt;""),Programme_Grunddaten!B906,"")</f>
        <v/>
      </c>
      <c r="B901" s="1" t="str">
        <f>IF(AND(Programme_Grunddaten!$A906="Geprüft",Programme_Grunddaten!I906&lt;&gt;""),IF(Programme_Grunddaten!I906="Ja",1,0),"")</f>
        <v/>
      </c>
      <c r="C901" s="1" t="str">
        <f>IF(AND(Programme_Grunddaten!$A906="Geprüft",Programme_Grunddaten!J906&lt;&gt;""),IF(Programme_Grunddaten!J906="Ja",1,0),"")</f>
        <v/>
      </c>
      <c r="D901" s="1" t="str">
        <f>IF(AND(Programme_Grunddaten!$A906="Geprüft",Programme_Grunddaten!K906&lt;&gt;""),IF(Programme_Grunddaten!K906="Ja",1,0),"")</f>
        <v/>
      </c>
      <c r="E901" s="1" t="str">
        <f>IF(AND(Programme_Grunddaten!$A906="Geprüft",Programme_Grunddaten!L906&lt;&gt;""),IF(Programme_Grunddaten!L906="Abo / befristete Lizenz",1,0),"")</f>
        <v/>
      </c>
      <c r="F901" s="1" t="str">
        <f>IF(AND(Programme_Grunddaten!$A906="Geprüft",Programme_Grunddaten!M906&lt;&gt;""),IF(Programme_Grunddaten!M906="Ja",1,0),"")</f>
        <v/>
      </c>
      <c r="G901" s="1" t="str">
        <f>IF(AND(Programme_Grunddaten!$A906="Geprüft",Programme_Grunddaten!N906&lt;&gt;""),IF(Programme_Grunddaten!N906="Ja",1,0),"")</f>
        <v/>
      </c>
      <c r="H901" s="1" t="str">
        <f>IF(AND(Programme_Grunddaten!$A906="Geprüft",Programme_Grunddaten!O906&lt;&gt;""),IF(Programme_Grunddaten!O906="Deutschland",0,IF(Programme_Grunddaten!O906="EU",1,2)),"")</f>
        <v/>
      </c>
      <c r="I901" s="1" t="str">
        <f>IF(AND(Programme_Grunddaten!$A906="Geprüft",Programme_Grunddaten!P906&lt;&gt;""),IF(Programme_Grunddaten!P906="Ja",1,0),"")</f>
        <v/>
      </c>
      <c r="J901" s="1" t="str">
        <f>IF(AND(Programme_Grunddaten!$A906="Geprüft",Programme_Grunddaten!Q906&lt;&gt;""),IF(Programme_Grunddaten!Q906="geschlossenes System",1,0),"")</f>
        <v/>
      </c>
      <c r="K901" s="1" t="str">
        <f>IF(AND(Programme_Grunddaten!$A906="Geprüft",Programme_Grunddaten!R906&lt;&gt;""),IF(Programme_Grunddaten!R906="Ja",1,0),"")</f>
        <v/>
      </c>
      <c r="L901" s="1" t="str">
        <f>IF(AND(Programme_Grunddaten!$A906="Geprüft",Programme_Grunddaten!T906&lt;&gt;""),IF(Programme_Grunddaten!T906="Ja",1,0),"")</f>
        <v/>
      </c>
      <c r="M901" s="1" t="str">
        <f>IF(AND(Programme_Grunddaten!$A906="Geprüft",Programme_Grunddaten!U906&lt;&gt;""),IF(Programme_Grunddaten!U906="Ja",1,0),"")</f>
        <v/>
      </c>
      <c r="N901" s="1" t="str">
        <f>IF(AND(Programme_Grunddaten!$A906="Geprüft",Programme_Grunddaten!V906&lt;&gt;""),IF(Programme_Grunddaten!V906="Ja",1,0),"")</f>
        <v/>
      </c>
      <c r="O901" s="1" t="str">
        <f>IF(AND(Programme_Grunddaten!$A906="Geprüft",Programme_Grunddaten!W906&lt;&gt;""),IF(Programme_Grunddaten!W906="Ja",1,0),"")</f>
        <v/>
      </c>
      <c r="P901" s="1" t="str">
        <f>IF(AND(Programme_Grunddaten!$A906="Geprüft",Programme_Grunddaten!X906&lt;&gt;""),IF(Programme_Grunddaten!X906="Ja",1,0),"")</f>
        <v/>
      </c>
      <c r="Q901" s="1" t="str">
        <f>IF(AND(Programme_Grunddaten!$A906="Geprüft",Programme_Grunddaten!Y906&lt;&gt;""),IF(Programme_Grunddaten!Y906="Ja",1,0),"")</f>
        <v/>
      </c>
      <c r="R901" s="1" t="str">
        <f>IF(AND(Programme_Grunddaten!$A906="Geprüft",Programme_Grunddaten!Z906&lt;&gt;""),IF(Programme_Grunddaten!Z906="Ja",1,0),"")</f>
        <v/>
      </c>
      <c r="S901" s="1" t="str">
        <f>IF(AND(Programme_Grunddaten!$A906="Geprüft",Programme_Grunddaten!AA906&lt;&gt;""),IF(Programme_Grunddaten!AA906="monolithisch",1,0),"")</f>
        <v/>
      </c>
      <c r="T901" s="1" t="str">
        <f>IF(AND(Programme_Grunddaten!$A906="Geprüft",Programme_Grunddaten!AB906&lt;&gt;""),IF(Programme_Grunddaten!AB906="Ja",1,0),"")</f>
        <v/>
      </c>
      <c r="U901" s="1" t="str">
        <f>IF(AND(Programme_Grunddaten!$A906="Geprüft",Programme_Grunddaten!AC906&lt;&gt;""),IF(Programme_Grunddaten!AC906="Ja",1,0),"")</f>
        <v/>
      </c>
      <c r="V901" s="1" t="str">
        <f>IF(AND(Programme_Grunddaten!$A906="Geprüft",Programme_Grunddaten!AD906&lt;&gt;""),IF(Programme_Grunddaten!AD906="Ja",1,0),"")</f>
        <v/>
      </c>
      <c r="W901" s="1" t="str">
        <f>IF(AND(Programme_Grunddaten!$A906="Geprüft",Programme_Grunddaten!AE906&lt;&gt;""),IF(Programme_Grunddaten!AE906="Ja",1,0),"")</f>
        <v/>
      </c>
      <c r="X901" s="1" t="str">
        <f>IF(AND(Programme_Grunddaten!$A906="Geprüft",Programme_Grunddaten!AF906&lt;&gt;""),IF(Programme_Grunddaten!AF906="Ja",1,0),"")</f>
        <v/>
      </c>
      <c r="Y901" s="1" t="str">
        <f>IF(AND(Programme_Grunddaten!$A906="Geprüft",Programme_Grunddaten!AG906&lt;&gt;""),IF(Programme_Grunddaten!AG906="Ja",1,0),"")</f>
        <v/>
      </c>
      <c r="Z901" s="1" t="str">
        <f>IF(AND(Programme_Grunddaten!$A906="Geprüft",Programme_Grunddaten!AH906&lt;&gt;""),IF(Programme_Grunddaten!AH906="Ja",1,0),"")</f>
        <v/>
      </c>
      <c r="AA901" s="1" t="str">
        <f>IF(AND(Programme_Grunddaten!$A906="Geprüft",Programme_Grunddaten!AI906&lt;&gt;""),IF(Programme_Grunddaten!AI906="Ja",1,0),"")</f>
        <v/>
      </c>
      <c r="AB901" s="1" t="str">
        <f>IF(AND(Programme_Grunddaten!$A906="Geprüft",Programme_Grunddaten!AJ906&lt;&gt;""),IF(Programme_Grunddaten!AJ906="individuell programmierbar",1,0),"")</f>
        <v/>
      </c>
      <c r="AC901" s="1" t="str">
        <f>IF(AND(Programme_Grunddaten!$A906="Geprüft",Programme_Grunddaten!AK906&lt;&gt;""),IF(Programme_Grunddaten!AK906="Deutsch",0,IF(Programme_Grunddaten!AK906="Deutsch und Englisch",1,2)),"")</f>
        <v/>
      </c>
      <c r="AD901" s="1" t="str">
        <f>IF(AND(Programme_Grunddaten!$A906="Geprüft",Programme_Grunddaten!AL906&lt;&gt;""),IF(Programme_Grunddaten!AL906="Ja",1,0),"")</f>
        <v/>
      </c>
      <c r="AE901" s="1" t="str">
        <f>IF(AND(Programme_Grunddaten!$A906="Geprüft",Programme_Grunddaten!AM906&lt;&gt;""),IF(Programme_Grunddaten!AM906="Ja",1,0),"")</f>
        <v/>
      </c>
      <c r="AF901" s="1" t="str">
        <f>IF(AND(Programme_Grunddaten!$A906="Geprüft",Programme_Grunddaten!AN906&lt;&gt;""),IF(Programme_Grunddaten!AN906="Ja",1,0),"")</f>
        <v/>
      </c>
      <c r="AG901" s="1" t="str">
        <f>IF(AND(Programme_Grunddaten!$A906="Geprüft",Programme_Grunddaten!AO906&lt;&gt;""),IF(Programme_Grunddaten!AO906="Ja",1,0),"")</f>
        <v/>
      </c>
      <c r="AH901" s="1" t="str">
        <f>IF(AND(Programme_Grunddaten!$A906="Geprüft",Programme_Grunddaten!AP906&lt;&gt;""),IF(Programme_Grunddaten!AP906="Ja",1,0),"")</f>
        <v/>
      </c>
      <c r="AI901" s="1" t="str">
        <f>IF(AND(Programme_Grunddaten!$A906="Geprüft",Programme_Grunddaten!AQ906&lt;&gt;""),IF(Programme_Grunddaten!AQ906="Ja",1,0),"")</f>
        <v/>
      </c>
      <c r="AJ901" s="1" t="str">
        <f>IF(AND(Programme_Grunddaten!$A906="Geprüft",Programme_Grunddaten!AR906&lt;&gt;""),IF(Programme_Grunddaten!AR906="Ja",1,0),"")</f>
        <v/>
      </c>
      <c r="AK901" s="1" t="str">
        <f>IF(AND(Programme_Grunddaten!$A906="Geprüft",Programme_Grunddaten!AS906&lt;&gt;""),IF(Programme_Grunddaten!AS906="Ja",1,0),"")</f>
        <v/>
      </c>
      <c r="AL901" s="1" t="str">
        <f>IF(AND(Programme_Grunddaten!$A906="Geprüft",Programme_Grunddaten!AT906&lt;&gt;""),IF(Programme_Grunddaten!AT906="Ja",1,0),"")</f>
        <v/>
      </c>
      <c r="AM901" s="1" t="str">
        <f>IF(AND(Programme_Grunddaten!$A906="Geprüft",Programme_Grunddaten!AU906&lt;&gt;""),IF(Programme_Grunddaten!AU906="Ja",1,0),"")</f>
        <v/>
      </c>
      <c r="AN901" s="1" t="str">
        <f>IF(AND(Programme_Grunddaten!$A906="Geprüft",Programme_Grunddaten!AV906&lt;&gt;""),IF(Programme_Grunddaten!AV906="Ja",1,0),"")</f>
        <v/>
      </c>
    </row>
    <row r="902" spans="1:40" x14ac:dyDescent="0.3">
      <c r="A902" s="1" t="str">
        <f>IF(AND(Programme_Grunddaten!A907="Geprüft",Programme_Grunddaten!B907&lt;&gt;""),Programme_Grunddaten!B907,"")</f>
        <v/>
      </c>
      <c r="B902" s="1" t="str">
        <f>IF(AND(Programme_Grunddaten!$A907="Geprüft",Programme_Grunddaten!I907&lt;&gt;""),IF(Programme_Grunddaten!I907="Ja",1,0),"")</f>
        <v/>
      </c>
      <c r="C902" s="1" t="str">
        <f>IF(AND(Programme_Grunddaten!$A907="Geprüft",Programme_Grunddaten!J907&lt;&gt;""),IF(Programme_Grunddaten!J907="Ja",1,0),"")</f>
        <v/>
      </c>
      <c r="D902" s="1" t="str">
        <f>IF(AND(Programme_Grunddaten!$A907="Geprüft",Programme_Grunddaten!K907&lt;&gt;""),IF(Programme_Grunddaten!K907="Ja",1,0),"")</f>
        <v/>
      </c>
      <c r="E902" s="1" t="str">
        <f>IF(AND(Programme_Grunddaten!$A907="Geprüft",Programme_Grunddaten!L907&lt;&gt;""),IF(Programme_Grunddaten!L907="Abo / befristete Lizenz",1,0),"")</f>
        <v/>
      </c>
      <c r="F902" s="1" t="str">
        <f>IF(AND(Programme_Grunddaten!$A907="Geprüft",Programme_Grunddaten!M907&lt;&gt;""),IF(Programme_Grunddaten!M907="Ja",1,0),"")</f>
        <v/>
      </c>
      <c r="G902" s="1" t="str">
        <f>IF(AND(Programme_Grunddaten!$A907="Geprüft",Programme_Grunddaten!N907&lt;&gt;""),IF(Programme_Grunddaten!N907="Ja",1,0),"")</f>
        <v/>
      </c>
      <c r="H902" s="1" t="str">
        <f>IF(AND(Programme_Grunddaten!$A907="Geprüft",Programme_Grunddaten!O907&lt;&gt;""),IF(Programme_Grunddaten!O907="Deutschland",0,IF(Programme_Grunddaten!O907="EU",1,2)),"")</f>
        <v/>
      </c>
      <c r="I902" s="1" t="str">
        <f>IF(AND(Programme_Grunddaten!$A907="Geprüft",Programme_Grunddaten!P907&lt;&gt;""),IF(Programme_Grunddaten!P907="Ja",1,0),"")</f>
        <v/>
      </c>
      <c r="J902" s="1" t="str">
        <f>IF(AND(Programme_Grunddaten!$A907="Geprüft",Programme_Grunddaten!Q907&lt;&gt;""),IF(Programme_Grunddaten!Q907="geschlossenes System",1,0),"")</f>
        <v/>
      </c>
      <c r="K902" s="1" t="str">
        <f>IF(AND(Programme_Grunddaten!$A907="Geprüft",Programme_Grunddaten!R907&lt;&gt;""),IF(Programme_Grunddaten!R907="Ja",1,0),"")</f>
        <v/>
      </c>
      <c r="L902" s="1" t="str">
        <f>IF(AND(Programme_Grunddaten!$A907="Geprüft",Programme_Grunddaten!T907&lt;&gt;""),IF(Programme_Grunddaten!T907="Ja",1,0),"")</f>
        <v/>
      </c>
      <c r="M902" s="1" t="str">
        <f>IF(AND(Programme_Grunddaten!$A907="Geprüft",Programme_Grunddaten!U907&lt;&gt;""),IF(Programme_Grunddaten!U907="Ja",1,0),"")</f>
        <v/>
      </c>
      <c r="N902" s="1" t="str">
        <f>IF(AND(Programme_Grunddaten!$A907="Geprüft",Programme_Grunddaten!V907&lt;&gt;""),IF(Programme_Grunddaten!V907="Ja",1,0),"")</f>
        <v/>
      </c>
      <c r="O902" s="1" t="str">
        <f>IF(AND(Programme_Grunddaten!$A907="Geprüft",Programme_Grunddaten!W907&lt;&gt;""),IF(Programme_Grunddaten!W907="Ja",1,0),"")</f>
        <v/>
      </c>
      <c r="P902" s="1" t="str">
        <f>IF(AND(Programme_Grunddaten!$A907="Geprüft",Programme_Grunddaten!X907&lt;&gt;""),IF(Programme_Grunddaten!X907="Ja",1,0),"")</f>
        <v/>
      </c>
      <c r="Q902" s="1" t="str">
        <f>IF(AND(Programme_Grunddaten!$A907="Geprüft",Programme_Grunddaten!Y907&lt;&gt;""),IF(Programme_Grunddaten!Y907="Ja",1,0),"")</f>
        <v/>
      </c>
      <c r="R902" s="1" t="str">
        <f>IF(AND(Programme_Grunddaten!$A907="Geprüft",Programme_Grunddaten!Z907&lt;&gt;""),IF(Programme_Grunddaten!Z907="Ja",1,0),"")</f>
        <v/>
      </c>
      <c r="S902" s="1" t="str">
        <f>IF(AND(Programme_Grunddaten!$A907="Geprüft",Programme_Grunddaten!AA907&lt;&gt;""),IF(Programme_Grunddaten!AA907="monolithisch",1,0),"")</f>
        <v/>
      </c>
      <c r="T902" s="1" t="str">
        <f>IF(AND(Programme_Grunddaten!$A907="Geprüft",Programme_Grunddaten!AB907&lt;&gt;""),IF(Programme_Grunddaten!AB907="Ja",1,0),"")</f>
        <v/>
      </c>
      <c r="U902" s="1" t="str">
        <f>IF(AND(Programme_Grunddaten!$A907="Geprüft",Programme_Grunddaten!AC907&lt;&gt;""),IF(Programme_Grunddaten!AC907="Ja",1,0),"")</f>
        <v/>
      </c>
      <c r="V902" s="1" t="str">
        <f>IF(AND(Programme_Grunddaten!$A907="Geprüft",Programme_Grunddaten!AD907&lt;&gt;""),IF(Programme_Grunddaten!AD907="Ja",1,0),"")</f>
        <v/>
      </c>
      <c r="W902" s="1" t="str">
        <f>IF(AND(Programme_Grunddaten!$A907="Geprüft",Programme_Grunddaten!AE907&lt;&gt;""),IF(Programme_Grunddaten!AE907="Ja",1,0),"")</f>
        <v/>
      </c>
      <c r="X902" s="1" t="str">
        <f>IF(AND(Programme_Grunddaten!$A907="Geprüft",Programme_Grunddaten!AF907&lt;&gt;""),IF(Programme_Grunddaten!AF907="Ja",1,0),"")</f>
        <v/>
      </c>
      <c r="Y902" s="1" t="str">
        <f>IF(AND(Programme_Grunddaten!$A907="Geprüft",Programme_Grunddaten!AG907&lt;&gt;""),IF(Programme_Grunddaten!AG907="Ja",1,0),"")</f>
        <v/>
      </c>
      <c r="Z902" s="1" t="str">
        <f>IF(AND(Programme_Grunddaten!$A907="Geprüft",Programme_Grunddaten!AH907&lt;&gt;""),IF(Programme_Grunddaten!AH907="Ja",1,0),"")</f>
        <v/>
      </c>
      <c r="AA902" s="1" t="str">
        <f>IF(AND(Programme_Grunddaten!$A907="Geprüft",Programme_Grunddaten!AI907&lt;&gt;""),IF(Programme_Grunddaten!AI907="Ja",1,0),"")</f>
        <v/>
      </c>
      <c r="AB902" s="1" t="str">
        <f>IF(AND(Programme_Grunddaten!$A907="Geprüft",Programme_Grunddaten!AJ907&lt;&gt;""),IF(Programme_Grunddaten!AJ907="individuell programmierbar",1,0),"")</f>
        <v/>
      </c>
      <c r="AC902" s="1" t="str">
        <f>IF(AND(Programme_Grunddaten!$A907="Geprüft",Programme_Grunddaten!AK907&lt;&gt;""),IF(Programme_Grunddaten!AK907="Deutsch",0,IF(Programme_Grunddaten!AK907="Deutsch und Englisch",1,2)),"")</f>
        <v/>
      </c>
      <c r="AD902" s="1" t="str">
        <f>IF(AND(Programme_Grunddaten!$A907="Geprüft",Programme_Grunddaten!AL907&lt;&gt;""),IF(Programme_Grunddaten!AL907="Ja",1,0),"")</f>
        <v/>
      </c>
      <c r="AE902" s="1" t="str">
        <f>IF(AND(Programme_Grunddaten!$A907="Geprüft",Programme_Grunddaten!AM907&lt;&gt;""),IF(Programme_Grunddaten!AM907="Ja",1,0),"")</f>
        <v/>
      </c>
      <c r="AF902" s="1" t="str">
        <f>IF(AND(Programme_Grunddaten!$A907="Geprüft",Programme_Grunddaten!AN907&lt;&gt;""),IF(Programme_Grunddaten!AN907="Ja",1,0),"")</f>
        <v/>
      </c>
      <c r="AG902" s="1" t="str">
        <f>IF(AND(Programme_Grunddaten!$A907="Geprüft",Programme_Grunddaten!AO907&lt;&gt;""),IF(Programme_Grunddaten!AO907="Ja",1,0),"")</f>
        <v/>
      </c>
      <c r="AH902" s="1" t="str">
        <f>IF(AND(Programme_Grunddaten!$A907="Geprüft",Programme_Grunddaten!AP907&lt;&gt;""),IF(Programme_Grunddaten!AP907="Ja",1,0),"")</f>
        <v/>
      </c>
      <c r="AI902" s="1" t="str">
        <f>IF(AND(Programme_Grunddaten!$A907="Geprüft",Programme_Grunddaten!AQ907&lt;&gt;""),IF(Programme_Grunddaten!AQ907="Ja",1,0),"")</f>
        <v/>
      </c>
      <c r="AJ902" s="1" t="str">
        <f>IF(AND(Programme_Grunddaten!$A907="Geprüft",Programme_Grunddaten!AR907&lt;&gt;""),IF(Programme_Grunddaten!AR907="Ja",1,0),"")</f>
        <v/>
      </c>
      <c r="AK902" s="1" t="str">
        <f>IF(AND(Programme_Grunddaten!$A907="Geprüft",Programme_Grunddaten!AS907&lt;&gt;""),IF(Programme_Grunddaten!AS907="Ja",1,0),"")</f>
        <v/>
      </c>
      <c r="AL902" s="1" t="str">
        <f>IF(AND(Programme_Grunddaten!$A907="Geprüft",Programme_Grunddaten!AT907&lt;&gt;""),IF(Programme_Grunddaten!AT907="Ja",1,0),"")</f>
        <v/>
      </c>
      <c r="AM902" s="1" t="str">
        <f>IF(AND(Programme_Grunddaten!$A907="Geprüft",Programme_Grunddaten!AU907&lt;&gt;""),IF(Programme_Grunddaten!AU907="Ja",1,0),"")</f>
        <v/>
      </c>
      <c r="AN902" s="1" t="str">
        <f>IF(AND(Programme_Grunddaten!$A907="Geprüft",Programme_Grunddaten!AV907&lt;&gt;""),IF(Programme_Grunddaten!AV907="Ja",1,0),"")</f>
        <v/>
      </c>
    </row>
    <row r="903" spans="1:40" x14ac:dyDescent="0.3">
      <c r="A903" s="1" t="str">
        <f>IF(AND(Programme_Grunddaten!A908="Geprüft",Programme_Grunddaten!B908&lt;&gt;""),Programme_Grunddaten!B908,"")</f>
        <v/>
      </c>
      <c r="B903" s="1" t="str">
        <f>IF(AND(Programme_Grunddaten!$A908="Geprüft",Programme_Grunddaten!I908&lt;&gt;""),IF(Programme_Grunddaten!I908="Ja",1,0),"")</f>
        <v/>
      </c>
      <c r="C903" s="1" t="str">
        <f>IF(AND(Programme_Grunddaten!$A908="Geprüft",Programme_Grunddaten!J908&lt;&gt;""),IF(Programme_Grunddaten!J908="Ja",1,0),"")</f>
        <v/>
      </c>
      <c r="D903" s="1" t="str">
        <f>IF(AND(Programme_Grunddaten!$A908="Geprüft",Programme_Grunddaten!K908&lt;&gt;""),IF(Programme_Grunddaten!K908="Ja",1,0),"")</f>
        <v/>
      </c>
      <c r="E903" s="1" t="str">
        <f>IF(AND(Programme_Grunddaten!$A908="Geprüft",Programme_Grunddaten!L908&lt;&gt;""),IF(Programme_Grunddaten!L908="Abo / befristete Lizenz",1,0),"")</f>
        <v/>
      </c>
      <c r="F903" s="1" t="str">
        <f>IF(AND(Programme_Grunddaten!$A908="Geprüft",Programme_Grunddaten!M908&lt;&gt;""),IF(Programme_Grunddaten!M908="Ja",1,0),"")</f>
        <v/>
      </c>
      <c r="G903" s="1" t="str">
        <f>IF(AND(Programme_Grunddaten!$A908="Geprüft",Programme_Grunddaten!N908&lt;&gt;""),IF(Programme_Grunddaten!N908="Ja",1,0),"")</f>
        <v/>
      </c>
      <c r="H903" s="1" t="str">
        <f>IF(AND(Programme_Grunddaten!$A908="Geprüft",Programme_Grunddaten!O908&lt;&gt;""),IF(Programme_Grunddaten!O908="Deutschland",0,IF(Programme_Grunddaten!O908="EU",1,2)),"")</f>
        <v/>
      </c>
      <c r="I903" s="1" t="str">
        <f>IF(AND(Programme_Grunddaten!$A908="Geprüft",Programme_Grunddaten!P908&lt;&gt;""),IF(Programme_Grunddaten!P908="Ja",1,0),"")</f>
        <v/>
      </c>
      <c r="J903" s="1" t="str">
        <f>IF(AND(Programme_Grunddaten!$A908="Geprüft",Programme_Grunddaten!Q908&lt;&gt;""),IF(Programme_Grunddaten!Q908="geschlossenes System",1,0),"")</f>
        <v/>
      </c>
      <c r="K903" s="1" t="str">
        <f>IF(AND(Programme_Grunddaten!$A908="Geprüft",Programme_Grunddaten!R908&lt;&gt;""),IF(Programme_Grunddaten!R908="Ja",1,0),"")</f>
        <v/>
      </c>
      <c r="L903" s="1" t="str">
        <f>IF(AND(Programme_Grunddaten!$A908="Geprüft",Programme_Grunddaten!T908&lt;&gt;""),IF(Programme_Grunddaten!T908="Ja",1,0),"")</f>
        <v/>
      </c>
      <c r="M903" s="1" t="str">
        <f>IF(AND(Programme_Grunddaten!$A908="Geprüft",Programme_Grunddaten!U908&lt;&gt;""),IF(Programme_Grunddaten!U908="Ja",1,0),"")</f>
        <v/>
      </c>
      <c r="N903" s="1" t="str">
        <f>IF(AND(Programme_Grunddaten!$A908="Geprüft",Programme_Grunddaten!V908&lt;&gt;""),IF(Programme_Grunddaten!V908="Ja",1,0),"")</f>
        <v/>
      </c>
      <c r="O903" s="1" t="str">
        <f>IF(AND(Programme_Grunddaten!$A908="Geprüft",Programme_Grunddaten!W908&lt;&gt;""),IF(Programme_Grunddaten!W908="Ja",1,0),"")</f>
        <v/>
      </c>
      <c r="P903" s="1" t="str">
        <f>IF(AND(Programme_Grunddaten!$A908="Geprüft",Programme_Grunddaten!X908&lt;&gt;""),IF(Programme_Grunddaten!X908="Ja",1,0),"")</f>
        <v/>
      </c>
      <c r="Q903" s="1" t="str">
        <f>IF(AND(Programme_Grunddaten!$A908="Geprüft",Programme_Grunddaten!Y908&lt;&gt;""),IF(Programme_Grunddaten!Y908="Ja",1,0),"")</f>
        <v/>
      </c>
      <c r="R903" s="1" t="str">
        <f>IF(AND(Programme_Grunddaten!$A908="Geprüft",Programme_Grunddaten!Z908&lt;&gt;""),IF(Programme_Grunddaten!Z908="Ja",1,0),"")</f>
        <v/>
      </c>
      <c r="S903" s="1" t="str">
        <f>IF(AND(Programme_Grunddaten!$A908="Geprüft",Programme_Grunddaten!AA908&lt;&gt;""),IF(Programme_Grunddaten!AA908="monolithisch",1,0),"")</f>
        <v/>
      </c>
      <c r="T903" s="1" t="str">
        <f>IF(AND(Programme_Grunddaten!$A908="Geprüft",Programme_Grunddaten!AB908&lt;&gt;""),IF(Programme_Grunddaten!AB908="Ja",1,0),"")</f>
        <v/>
      </c>
      <c r="U903" s="1" t="str">
        <f>IF(AND(Programme_Grunddaten!$A908="Geprüft",Programme_Grunddaten!AC908&lt;&gt;""),IF(Programme_Grunddaten!AC908="Ja",1,0),"")</f>
        <v/>
      </c>
      <c r="V903" s="1" t="str">
        <f>IF(AND(Programme_Grunddaten!$A908="Geprüft",Programme_Grunddaten!AD908&lt;&gt;""),IF(Programme_Grunddaten!AD908="Ja",1,0),"")</f>
        <v/>
      </c>
      <c r="W903" s="1" t="str">
        <f>IF(AND(Programme_Grunddaten!$A908="Geprüft",Programme_Grunddaten!AE908&lt;&gt;""),IF(Programme_Grunddaten!AE908="Ja",1,0),"")</f>
        <v/>
      </c>
      <c r="X903" s="1" t="str">
        <f>IF(AND(Programme_Grunddaten!$A908="Geprüft",Programme_Grunddaten!AF908&lt;&gt;""),IF(Programme_Grunddaten!AF908="Ja",1,0),"")</f>
        <v/>
      </c>
      <c r="Y903" s="1" t="str">
        <f>IF(AND(Programme_Grunddaten!$A908="Geprüft",Programme_Grunddaten!AG908&lt;&gt;""),IF(Programme_Grunddaten!AG908="Ja",1,0),"")</f>
        <v/>
      </c>
      <c r="Z903" s="1" t="str">
        <f>IF(AND(Programme_Grunddaten!$A908="Geprüft",Programme_Grunddaten!AH908&lt;&gt;""),IF(Programme_Grunddaten!AH908="Ja",1,0),"")</f>
        <v/>
      </c>
      <c r="AA903" s="1" t="str">
        <f>IF(AND(Programme_Grunddaten!$A908="Geprüft",Programme_Grunddaten!AI908&lt;&gt;""),IF(Programme_Grunddaten!AI908="Ja",1,0),"")</f>
        <v/>
      </c>
      <c r="AB903" s="1" t="str">
        <f>IF(AND(Programme_Grunddaten!$A908="Geprüft",Programme_Grunddaten!AJ908&lt;&gt;""),IF(Programme_Grunddaten!AJ908="individuell programmierbar",1,0),"")</f>
        <v/>
      </c>
      <c r="AC903" s="1" t="str">
        <f>IF(AND(Programme_Grunddaten!$A908="Geprüft",Programme_Grunddaten!AK908&lt;&gt;""),IF(Programme_Grunddaten!AK908="Deutsch",0,IF(Programme_Grunddaten!AK908="Deutsch und Englisch",1,2)),"")</f>
        <v/>
      </c>
      <c r="AD903" s="1" t="str">
        <f>IF(AND(Programme_Grunddaten!$A908="Geprüft",Programme_Grunddaten!AL908&lt;&gt;""),IF(Programme_Grunddaten!AL908="Ja",1,0),"")</f>
        <v/>
      </c>
      <c r="AE903" s="1" t="str">
        <f>IF(AND(Programme_Grunddaten!$A908="Geprüft",Programme_Grunddaten!AM908&lt;&gt;""),IF(Programme_Grunddaten!AM908="Ja",1,0),"")</f>
        <v/>
      </c>
      <c r="AF903" s="1" t="str">
        <f>IF(AND(Programme_Grunddaten!$A908="Geprüft",Programme_Grunddaten!AN908&lt;&gt;""),IF(Programme_Grunddaten!AN908="Ja",1,0),"")</f>
        <v/>
      </c>
      <c r="AG903" s="1" t="str">
        <f>IF(AND(Programme_Grunddaten!$A908="Geprüft",Programme_Grunddaten!AO908&lt;&gt;""),IF(Programme_Grunddaten!AO908="Ja",1,0),"")</f>
        <v/>
      </c>
      <c r="AH903" s="1" t="str">
        <f>IF(AND(Programme_Grunddaten!$A908="Geprüft",Programme_Grunddaten!AP908&lt;&gt;""),IF(Programme_Grunddaten!AP908="Ja",1,0),"")</f>
        <v/>
      </c>
      <c r="AI903" s="1" t="str">
        <f>IF(AND(Programme_Grunddaten!$A908="Geprüft",Programme_Grunddaten!AQ908&lt;&gt;""),IF(Programme_Grunddaten!AQ908="Ja",1,0),"")</f>
        <v/>
      </c>
      <c r="AJ903" s="1" t="str">
        <f>IF(AND(Programme_Grunddaten!$A908="Geprüft",Programme_Grunddaten!AR908&lt;&gt;""),IF(Programme_Grunddaten!AR908="Ja",1,0),"")</f>
        <v/>
      </c>
      <c r="AK903" s="1" t="str">
        <f>IF(AND(Programme_Grunddaten!$A908="Geprüft",Programme_Grunddaten!AS908&lt;&gt;""),IF(Programme_Grunddaten!AS908="Ja",1,0),"")</f>
        <v/>
      </c>
      <c r="AL903" s="1" t="str">
        <f>IF(AND(Programme_Grunddaten!$A908="Geprüft",Programme_Grunddaten!AT908&lt;&gt;""),IF(Programme_Grunddaten!AT908="Ja",1,0),"")</f>
        <v/>
      </c>
      <c r="AM903" s="1" t="str">
        <f>IF(AND(Programme_Grunddaten!$A908="Geprüft",Programme_Grunddaten!AU908&lt;&gt;""),IF(Programme_Grunddaten!AU908="Ja",1,0),"")</f>
        <v/>
      </c>
      <c r="AN903" s="1" t="str">
        <f>IF(AND(Programme_Grunddaten!$A908="Geprüft",Programme_Grunddaten!AV908&lt;&gt;""),IF(Programme_Grunddaten!AV908="Ja",1,0),"")</f>
        <v/>
      </c>
    </row>
    <row r="904" spans="1:40" x14ac:dyDescent="0.3">
      <c r="A904" s="1" t="str">
        <f>IF(AND(Programme_Grunddaten!A909="Geprüft",Programme_Grunddaten!B909&lt;&gt;""),Programme_Grunddaten!B909,"")</f>
        <v/>
      </c>
      <c r="B904" s="1" t="str">
        <f>IF(AND(Programme_Grunddaten!$A909="Geprüft",Programme_Grunddaten!I909&lt;&gt;""),IF(Programme_Grunddaten!I909="Ja",1,0),"")</f>
        <v/>
      </c>
      <c r="C904" s="1" t="str">
        <f>IF(AND(Programme_Grunddaten!$A909="Geprüft",Programme_Grunddaten!J909&lt;&gt;""),IF(Programme_Grunddaten!J909="Ja",1,0),"")</f>
        <v/>
      </c>
      <c r="D904" s="1" t="str">
        <f>IF(AND(Programme_Grunddaten!$A909="Geprüft",Programme_Grunddaten!K909&lt;&gt;""),IF(Programme_Grunddaten!K909="Ja",1,0),"")</f>
        <v/>
      </c>
      <c r="E904" s="1" t="str">
        <f>IF(AND(Programme_Grunddaten!$A909="Geprüft",Programme_Grunddaten!L909&lt;&gt;""),IF(Programme_Grunddaten!L909="Abo / befristete Lizenz",1,0),"")</f>
        <v/>
      </c>
      <c r="F904" s="1" t="str">
        <f>IF(AND(Programme_Grunddaten!$A909="Geprüft",Programme_Grunddaten!M909&lt;&gt;""),IF(Programme_Grunddaten!M909="Ja",1,0),"")</f>
        <v/>
      </c>
      <c r="G904" s="1" t="str">
        <f>IF(AND(Programme_Grunddaten!$A909="Geprüft",Programme_Grunddaten!N909&lt;&gt;""),IF(Programme_Grunddaten!N909="Ja",1,0),"")</f>
        <v/>
      </c>
      <c r="H904" s="1" t="str">
        <f>IF(AND(Programme_Grunddaten!$A909="Geprüft",Programme_Grunddaten!O909&lt;&gt;""),IF(Programme_Grunddaten!O909="Deutschland",0,IF(Programme_Grunddaten!O909="EU",1,2)),"")</f>
        <v/>
      </c>
      <c r="I904" s="1" t="str">
        <f>IF(AND(Programme_Grunddaten!$A909="Geprüft",Programme_Grunddaten!P909&lt;&gt;""),IF(Programme_Grunddaten!P909="Ja",1,0),"")</f>
        <v/>
      </c>
      <c r="J904" s="1" t="str">
        <f>IF(AND(Programme_Grunddaten!$A909="Geprüft",Programme_Grunddaten!Q909&lt;&gt;""),IF(Programme_Grunddaten!Q909="geschlossenes System",1,0),"")</f>
        <v/>
      </c>
      <c r="K904" s="1" t="str">
        <f>IF(AND(Programme_Grunddaten!$A909="Geprüft",Programme_Grunddaten!R909&lt;&gt;""),IF(Programme_Grunddaten!R909="Ja",1,0),"")</f>
        <v/>
      </c>
      <c r="L904" s="1" t="str">
        <f>IF(AND(Programme_Grunddaten!$A909="Geprüft",Programme_Grunddaten!T909&lt;&gt;""),IF(Programme_Grunddaten!T909="Ja",1,0),"")</f>
        <v/>
      </c>
      <c r="M904" s="1" t="str">
        <f>IF(AND(Programme_Grunddaten!$A909="Geprüft",Programme_Grunddaten!U909&lt;&gt;""),IF(Programme_Grunddaten!U909="Ja",1,0),"")</f>
        <v/>
      </c>
      <c r="N904" s="1" t="str">
        <f>IF(AND(Programme_Grunddaten!$A909="Geprüft",Programme_Grunddaten!V909&lt;&gt;""),IF(Programme_Grunddaten!V909="Ja",1,0),"")</f>
        <v/>
      </c>
      <c r="O904" s="1" t="str">
        <f>IF(AND(Programme_Grunddaten!$A909="Geprüft",Programme_Grunddaten!W909&lt;&gt;""),IF(Programme_Grunddaten!W909="Ja",1,0),"")</f>
        <v/>
      </c>
      <c r="P904" s="1" t="str">
        <f>IF(AND(Programme_Grunddaten!$A909="Geprüft",Programme_Grunddaten!X909&lt;&gt;""),IF(Programme_Grunddaten!X909="Ja",1,0),"")</f>
        <v/>
      </c>
      <c r="Q904" s="1" t="str">
        <f>IF(AND(Programme_Grunddaten!$A909="Geprüft",Programme_Grunddaten!Y909&lt;&gt;""),IF(Programme_Grunddaten!Y909="Ja",1,0),"")</f>
        <v/>
      </c>
      <c r="R904" s="1" t="str">
        <f>IF(AND(Programme_Grunddaten!$A909="Geprüft",Programme_Grunddaten!Z909&lt;&gt;""),IF(Programme_Grunddaten!Z909="Ja",1,0),"")</f>
        <v/>
      </c>
      <c r="S904" s="1" t="str">
        <f>IF(AND(Programme_Grunddaten!$A909="Geprüft",Programme_Grunddaten!AA909&lt;&gt;""),IF(Programme_Grunddaten!AA909="monolithisch",1,0),"")</f>
        <v/>
      </c>
      <c r="T904" s="1" t="str">
        <f>IF(AND(Programme_Grunddaten!$A909="Geprüft",Programme_Grunddaten!AB909&lt;&gt;""),IF(Programme_Grunddaten!AB909="Ja",1,0),"")</f>
        <v/>
      </c>
      <c r="U904" s="1" t="str">
        <f>IF(AND(Programme_Grunddaten!$A909="Geprüft",Programme_Grunddaten!AC909&lt;&gt;""),IF(Programme_Grunddaten!AC909="Ja",1,0),"")</f>
        <v/>
      </c>
      <c r="V904" s="1" t="str">
        <f>IF(AND(Programme_Grunddaten!$A909="Geprüft",Programme_Grunddaten!AD909&lt;&gt;""),IF(Programme_Grunddaten!AD909="Ja",1,0),"")</f>
        <v/>
      </c>
      <c r="W904" s="1" t="str">
        <f>IF(AND(Programme_Grunddaten!$A909="Geprüft",Programme_Grunddaten!AE909&lt;&gt;""),IF(Programme_Grunddaten!AE909="Ja",1,0),"")</f>
        <v/>
      </c>
      <c r="X904" s="1" t="str">
        <f>IF(AND(Programme_Grunddaten!$A909="Geprüft",Programme_Grunddaten!AF909&lt;&gt;""),IF(Programme_Grunddaten!AF909="Ja",1,0),"")</f>
        <v/>
      </c>
      <c r="Y904" s="1" t="str">
        <f>IF(AND(Programme_Grunddaten!$A909="Geprüft",Programme_Grunddaten!AG909&lt;&gt;""),IF(Programme_Grunddaten!AG909="Ja",1,0),"")</f>
        <v/>
      </c>
      <c r="Z904" s="1" t="str">
        <f>IF(AND(Programme_Grunddaten!$A909="Geprüft",Programme_Grunddaten!AH909&lt;&gt;""),IF(Programme_Grunddaten!AH909="Ja",1,0),"")</f>
        <v/>
      </c>
      <c r="AA904" s="1" t="str">
        <f>IF(AND(Programme_Grunddaten!$A909="Geprüft",Programme_Grunddaten!AI909&lt;&gt;""),IF(Programme_Grunddaten!AI909="Ja",1,0),"")</f>
        <v/>
      </c>
      <c r="AB904" s="1" t="str">
        <f>IF(AND(Programme_Grunddaten!$A909="Geprüft",Programme_Grunddaten!AJ909&lt;&gt;""),IF(Programme_Grunddaten!AJ909="individuell programmierbar",1,0),"")</f>
        <v/>
      </c>
      <c r="AC904" s="1" t="str">
        <f>IF(AND(Programme_Grunddaten!$A909="Geprüft",Programme_Grunddaten!AK909&lt;&gt;""),IF(Programme_Grunddaten!AK909="Deutsch",0,IF(Programme_Grunddaten!AK909="Deutsch und Englisch",1,2)),"")</f>
        <v/>
      </c>
      <c r="AD904" s="1" t="str">
        <f>IF(AND(Programme_Grunddaten!$A909="Geprüft",Programme_Grunddaten!AL909&lt;&gt;""),IF(Programme_Grunddaten!AL909="Ja",1,0),"")</f>
        <v/>
      </c>
      <c r="AE904" s="1" t="str">
        <f>IF(AND(Programme_Grunddaten!$A909="Geprüft",Programme_Grunddaten!AM909&lt;&gt;""),IF(Programme_Grunddaten!AM909="Ja",1,0),"")</f>
        <v/>
      </c>
      <c r="AF904" s="1" t="str">
        <f>IF(AND(Programme_Grunddaten!$A909="Geprüft",Programme_Grunddaten!AN909&lt;&gt;""),IF(Programme_Grunddaten!AN909="Ja",1,0),"")</f>
        <v/>
      </c>
      <c r="AG904" s="1" t="str">
        <f>IF(AND(Programme_Grunddaten!$A909="Geprüft",Programme_Grunddaten!AO909&lt;&gt;""),IF(Programme_Grunddaten!AO909="Ja",1,0),"")</f>
        <v/>
      </c>
      <c r="AH904" s="1" t="str">
        <f>IF(AND(Programme_Grunddaten!$A909="Geprüft",Programme_Grunddaten!AP909&lt;&gt;""),IF(Programme_Grunddaten!AP909="Ja",1,0),"")</f>
        <v/>
      </c>
      <c r="AI904" s="1" t="str">
        <f>IF(AND(Programme_Grunddaten!$A909="Geprüft",Programme_Grunddaten!AQ909&lt;&gt;""),IF(Programme_Grunddaten!AQ909="Ja",1,0),"")</f>
        <v/>
      </c>
      <c r="AJ904" s="1" t="str">
        <f>IF(AND(Programme_Grunddaten!$A909="Geprüft",Programme_Grunddaten!AR909&lt;&gt;""),IF(Programme_Grunddaten!AR909="Ja",1,0),"")</f>
        <v/>
      </c>
      <c r="AK904" s="1" t="str">
        <f>IF(AND(Programme_Grunddaten!$A909="Geprüft",Programme_Grunddaten!AS909&lt;&gt;""),IF(Programme_Grunddaten!AS909="Ja",1,0),"")</f>
        <v/>
      </c>
      <c r="AL904" s="1" t="str">
        <f>IF(AND(Programme_Grunddaten!$A909="Geprüft",Programme_Grunddaten!AT909&lt;&gt;""),IF(Programme_Grunddaten!AT909="Ja",1,0),"")</f>
        <v/>
      </c>
      <c r="AM904" s="1" t="str">
        <f>IF(AND(Programme_Grunddaten!$A909="Geprüft",Programme_Grunddaten!AU909&lt;&gt;""),IF(Programme_Grunddaten!AU909="Ja",1,0),"")</f>
        <v/>
      </c>
      <c r="AN904" s="1" t="str">
        <f>IF(AND(Programme_Grunddaten!$A909="Geprüft",Programme_Grunddaten!AV909&lt;&gt;""),IF(Programme_Grunddaten!AV909="Ja",1,0),"")</f>
        <v/>
      </c>
    </row>
    <row r="905" spans="1:40" x14ac:dyDescent="0.3">
      <c r="A905" s="1" t="str">
        <f>IF(AND(Programme_Grunddaten!A910="Geprüft",Programme_Grunddaten!B910&lt;&gt;""),Programme_Grunddaten!B910,"")</f>
        <v/>
      </c>
      <c r="B905" s="1" t="str">
        <f>IF(AND(Programme_Grunddaten!$A910="Geprüft",Programme_Grunddaten!I910&lt;&gt;""),IF(Programme_Grunddaten!I910="Ja",1,0),"")</f>
        <v/>
      </c>
      <c r="C905" s="1" t="str">
        <f>IF(AND(Programme_Grunddaten!$A910="Geprüft",Programme_Grunddaten!J910&lt;&gt;""),IF(Programme_Grunddaten!J910="Ja",1,0),"")</f>
        <v/>
      </c>
      <c r="D905" s="1" t="str">
        <f>IF(AND(Programme_Grunddaten!$A910="Geprüft",Programme_Grunddaten!K910&lt;&gt;""),IF(Programme_Grunddaten!K910="Ja",1,0),"")</f>
        <v/>
      </c>
      <c r="E905" s="1" t="str">
        <f>IF(AND(Programme_Grunddaten!$A910="Geprüft",Programme_Grunddaten!L910&lt;&gt;""),IF(Programme_Grunddaten!L910="Abo / befristete Lizenz",1,0),"")</f>
        <v/>
      </c>
      <c r="F905" s="1" t="str">
        <f>IF(AND(Programme_Grunddaten!$A910="Geprüft",Programme_Grunddaten!M910&lt;&gt;""),IF(Programme_Grunddaten!M910="Ja",1,0),"")</f>
        <v/>
      </c>
      <c r="G905" s="1" t="str">
        <f>IF(AND(Programme_Grunddaten!$A910="Geprüft",Programme_Grunddaten!N910&lt;&gt;""),IF(Programme_Grunddaten!N910="Ja",1,0),"")</f>
        <v/>
      </c>
      <c r="H905" s="1" t="str">
        <f>IF(AND(Programme_Grunddaten!$A910="Geprüft",Programme_Grunddaten!O910&lt;&gt;""),IF(Programme_Grunddaten!O910="Deutschland",0,IF(Programme_Grunddaten!O910="EU",1,2)),"")</f>
        <v/>
      </c>
      <c r="I905" s="1" t="str">
        <f>IF(AND(Programme_Grunddaten!$A910="Geprüft",Programme_Grunddaten!P910&lt;&gt;""),IF(Programme_Grunddaten!P910="Ja",1,0),"")</f>
        <v/>
      </c>
      <c r="J905" s="1" t="str">
        <f>IF(AND(Programme_Grunddaten!$A910="Geprüft",Programme_Grunddaten!Q910&lt;&gt;""),IF(Programme_Grunddaten!Q910="geschlossenes System",1,0),"")</f>
        <v/>
      </c>
      <c r="K905" s="1" t="str">
        <f>IF(AND(Programme_Grunddaten!$A910="Geprüft",Programme_Grunddaten!R910&lt;&gt;""),IF(Programme_Grunddaten!R910="Ja",1,0),"")</f>
        <v/>
      </c>
      <c r="L905" s="1" t="str">
        <f>IF(AND(Programme_Grunddaten!$A910="Geprüft",Programme_Grunddaten!T910&lt;&gt;""),IF(Programme_Grunddaten!T910="Ja",1,0),"")</f>
        <v/>
      </c>
      <c r="M905" s="1" t="str">
        <f>IF(AND(Programme_Grunddaten!$A910="Geprüft",Programme_Grunddaten!U910&lt;&gt;""),IF(Programme_Grunddaten!U910="Ja",1,0),"")</f>
        <v/>
      </c>
      <c r="N905" s="1" t="str">
        <f>IF(AND(Programme_Grunddaten!$A910="Geprüft",Programme_Grunddaten!V910&lt;&gt;""),IF(Programme_Grunddaten!V910="Ja",1,0),"")</f>
        <v/>
      </c>
      <c r="O905" s="1" t="str">
        <f>IF(AND(Programme_Grunddaten!$A910="Geprüft",Programme_Grunddaten!W910&lt;&gt;""),IF(Programme_Grunddaten!W910="Ja",1,0),"")</f>
        <v/>
      </c>
      <c r="P905" s="1" t="str">
        <f>IF(AND(Programme_Grunddaten!$A910="Geprüft",Programme_Grunddaten!X910&lt;&gt;""),IF(Programme_Grunddaten!X910="Ja",1,0),"")</f>
        <v/>
      </c>
      <c r="Q905" s="1" t="str">
        <f>IF(AND(Programme_Grunddaten!$A910="Geprüft",Programme_Grunddaten!Y910&lt;&gt;""),IF(Programme_Grunddaten!Y910="Ja",1,0),"")</f>
        <v/>
      </c>
      <c r="R905" s="1" t="str">
        <f>IF(AND(Programme_Grunddaten!$A910="Geprüft",Programme_Grunddaten!Z910&lt;&gt;""),IF(Programme_Grunddaten!Z910="Ja",1,0),"")</f>
        <v/>
      </c>
      <c r="S905" s="1" t="str">
        <f>IF(AND(Programme_Grunddaten!$A910="Geprüft",Programme_Grunddaten!AA910&lt;&gt;""),IF(Programme_Grunddaten!AA910="monolithisch",1,0),"")</f>
        <v/>
      </c>
      <c r="T905" s="1" t="str">
        <f>IF(AND(Programme_Grunddaten!$A910="Geprüft",Programme_Grunddaten!AB910&lt;&gt;""),IF(Programme_Grunddaten!AB910="Ja",1,0),"")</f>
        <v/>
      </c>
      <c r="U905" s="1" t="str">
        <f>IF(AND(Programme_Grunddaten!$A910="Geprüft",Programme_Grunddaten!AC910&lt;&gt;""),IF(Programme_Grunddaten!AC910="Ja",1,0),"")</f>
        <v/>
      </c>
      <c r="V905" s="1" t="str">
        <f>IF(AND(Programme_Grunddaten!$A910="Geprüft",Programme_Grunddaten!AD910&lt;&gt;""),IF(Programme_Grunddaten!AD910="Ja",1,0),"")</f>
        <v/>
      </c>
      <c r="W905" s="1" t="str">
        <f>IF(AND(Programme_Grunddaten!$A910="Geprüft",Programme_Grunddaten!AE910&lt;&gt;""),IF(Programme_Grunddaten!AE910="Ja",1,0),"")</f>
        <v/>
      </c>
      <c r="X905" s="1" t="str">
        <f>IF(AND(Programme_Grunddaten!$A910="Geprüft",Programme_Grunddaten!AF910&lt;&gt;""),IF(Programme_Grunddaten!AF910="Ja",1,0),"")</f>
        <v/>
      </c>
      <c r="Y905" s="1" t="str">
        <f>IF(AND(Programme_Grunddaten!$A910="Geprüft",Programme_Grunddaten!AG910&lt;&gt;""),IF(Programme_Grunddaten!AG910="Ja",1,0),"")</f>
        <v/>
      </c>
      <c r="Z905" s="1" t="str">
        <f>IF(AND(Programme_Grunddaten!$A910="Geprüft",Programme_Grunddaten!AH910&lt;&gt;""),IF(Programme_Grunddaten!AH910="Ja",1,0),"")</f>
        <v/>
      </c>
      <c r="AA905" s="1" t="str">
        <f>IF(AND(Programme_Grunddaten!$A910="Geprüft",Programme_Grunddaten!AI910&lt;&gt;""),IF(Programme_Grunddaten!AI910="Ja",1,0),"")</f>
        <v/>
      </c>
      <c r="AB905" s="1" t="str">
        <f>IF(AND(Programme_Grunddaten!$A910="Geprüft",Programme_Grunddaten!AJ910&lt;&gt;""),IF(Programme_Grunddaten!AJ910="individuell programmierbar",1,0),"")</f>
        <v/>
      </c>
      <c r="AC905" s="1" t="str">
        <f>IF(AND(Programme_Grunddaten!$A910="Geprüft",Programme_Grunddaten!AK910&lt;&gt;""),IF(Programme_Grunddaten!AK910="Deutsch",0,IF(Programme_Grunddaten!AK910="Deutsch und Englisch",1,2)),"")</f>
        <v/>
      </c>
      <c r="AD905" s="1" t="str">
        <f>IF(AND(Programme_Grunddaten!$A910="Geprüft",Programme_Grunddaten!AL910&lt;&gt;""),IF(Programme_Grunddaten!AL910="Ja",1,0),"")</f>
        <v/>
      </c>
      <c r="AE905" s="1" t="str">
        <f>IF(AND(Programme_Grunddaten!$A910="Geprüft",Programme_Grunddaten!AM910&lt;&gt;""),IF(Programme_Grunddaten!AM910="Ja",1,0),"")</f>
        <v/>
      </c>
      <c r="AF905" s="1" t="str">
        <f>IF(AND(Programme_Grunddaten!$A910="Geprüft",Programme_Grunddaten!AN910&lt;&gt;""),IF(Programme_Grunddaten!AN910="Ja",1,0),"")</f>
        <v/>
      </c>
      <c r="AG905" s="1" t="str">
        <f>IF(AND(Programme_Grunddaten!$A910="Geprüft",Programme_Grunddaten!AO910&lt;&gt;""),IF(Programme_Grunddaten!AO910="Ja",1,0),"")</f>
        <v/>
      </c>
      <c r="AH905" s="1" t="str">
        <f>IF(AND(Programme_Grunddaten!$A910="Geprüft",Programme_Grunddaten!AP910&lt;&gt;""),IF(Programme_Grunddaten!AP910="Ja",1,0),"")</f>
        <v/>
      </c>
      <c r="AI905" s="1" t="str">
        <f>IF(AND(Programme_Grunddaten!$A910="Geprüft",Programme_Grunddaten!AQ910&lt;&gt;""),IF(Programme_Grunddaten!AQ910="Ja",1,0),"")</f>
        <v/>
      </c>
      <c r="AJ905" s="1" t="str">
        <f>IF(AND(Programme_Grunddaten!$A910="Geprüft",Programme_Grunddaten!AR910&lt;&gt;""),IF(Programme_Grunddaten!AR910="Ja",1,0),"")</f>
        <v/>
      </c>
      <c r="AK905" s="1" t="str">
        <f>IF(AND(Programme_Grunddaten!$A910="Geprüft",Programme_Grunddaten!AS910&lt;&gt;""),IF(Programme_Grunddaten!AS910="Ja",1,0),"")</f>
        <v/>
      </c>
      <c r="AL905" s="1" t="str">
        <f>IF(AND(Programme_Grunddaten!$A910="Geprüft",Programme_Grunddaten!AT910&lt;&gt;""),IF(Programme_Grunddaten!AT910="Ja",1,0),"")</f>
        <v/>
      </c>
      <c r="AM905" s="1" t="str">
        <f>IF(AND(Programme_Grunddaten!$A910="Geprüft",Programme_Grunddaten!AU910&lt;&gt;""),IF(Programme_Grunddaten!AU910="Ja",1,0),"")</f>
        <v/>
      </c>
      <c r="AN905" s="1" t="str">
        <f>IF(AND(Programme_Grunddaten!$A910="Geprüft",Programme_Grunddaten!AV910&lt;&gt;""),IF(Programme_Grunddaten!AV910="Ja",1,0),"")</f>
        <v/>
      </c>
    </row>
    <row r="906" spans="1:40" x14ac:dyDescent="0.3">
      <c r="A906" s="1" t="str">
        <f>IF(AND(Programme_Grunddaten!A911="Geprüft",Programme_Grunddaten!B911&lt;&gt;""),Programme_Grunddaten!B911,"")</f>
        <v/>
      </c>
      <c r="B906" s="1" t="str">
        <f>IF(AND(Programme_Grunddaten!$A911="Geprüft",Programme_Grunddaten!I911&lt;&gt;""),IF(Programme_Grunddaten!I911="Ja",1,0),"")</f>
        <v/>
      </c>
      <c r="C906" s="1" t="str">
        <f>IF(AND(Programme_Grunddaten!$A911="Geprüft",Programme_Grunddaten!J911&lt;&gt;""),IF(Programme_Grunddaten!J911="Ja",1,0),"")</f>
        <v/>
      </c>
      <c r="D906" s="1" t="str">
        <f>IF(AND(Programme_Grunddaten!$A911="Geprüft",Programme_Grunddaten!K911&lt;&gt;""),IF(Programme_Grunddaten!K911="Ja",1,0),"")</f>
        <v/>
      </c>
      <c r="E906" s="1" t="str">
        <f>IF(AND(Programme_Grunddaten!$A911="Geprüft",Programme_Grunddaten!L911&lt;&gt;""),IF(Programme_Grunddaten!L911="Abo / befristete Lizenz",1,0),"")</f>
        <v/>
      </c>
      <c r="F906" s="1" t="str">
        <f>IF(AND(Programme_Grunddaten!$A911="Geprüft",Programme_Grunddaten!M911&lt;&gt;""),IF(Programme_Grunddaten!M911="Ja",1,0),"")</f>
        <v/>
      </c>
      <c r="G906" s="1" t="str">
        <f>IF(AND(Programme_Grunddaten!$A911="Geprüft",Programme_Grunddaten!N911&lt;&gt;""),IF(Programme_Grunddaten!N911="Ja",1,0),"")</f>
        <v/>
      </c>
      <c r="H906" s="1" t="str">
        <f>IF(AND(Programme_Grunddaten!$A911="Geprüft",Programme_Grunddaten!O911&lt;&gt;""),IF(Programme_Grunddaten!O911="Deutschland",0,IF(Programme_Grunddaten!O911="EU",1,2)),"")</f>
        <v/>
      </c>
      <c r="I906" s="1" t="str">
        <f>IF(AND(Programme_Grunddaten!$A911="Geprüft",Programme_Grunddaten!P911&lt;&gt;""),IF(Programme_Grunddaten!P911="Ja",1,0),"")</f>
        <v/>
      </c>
      <c r="J906" s="1" t="str">
        <f>IF(AND(Programme_Grunddaten!$A911="Geprüft",Programme_Grunddaten!Q911&lt;&gt;""),IF(Programme_Grunddaten!Q911="geschlossenes System",1,0),"")</f>
        <v/>
      </c>
      <c r="K906" s="1" t="str">
        <f>IF(AND(Programme_Grunddaten!$A911="Geprüft",Programme_Grunddaten!R911&lt;&gt;""),IF(Programme_Grunddaten!R911="Ja",1,0),"")</f>
        <v/>
      </c>
      <c r="L906" s="1" t="str">
        <f>IF(AND(Programme_Grunddaten!$A911="Geprüft",Programme_Grunddaten!T911&lt;&gt;""),IF(Programme_Grunddaten!T911="Ja",1,0),"")</f>
        <v/>
      </c>
      <c r="M906" s="1" t="str">
        <f>IF(AND(Programme_Grunddaten!$A911="Geprüft",Programme_Grunddaten!U911&lt;&gt;""),IF(Programme_Grunddaten!U911="Ja",1,0),"")</f>
        <v/>
      </c>
      <c r="N906" s="1" t="str">
        <f>IF(AND(Programme_Grunddaten!$A911="Geprüft",Programme_Grunddaten!V911&lt;&gt;""),IF(Programme_Grunddaten!V911="Ja",1,0),"")</f>
        <v/>
      </c>
      <c r="O906" s="1" t="str">
        <f>IF(AND(Programme_Grunddaten!$A911="Geprüft",Programme_Grunddaten!W911&lt;&gt;""),IF(Programme_Grunddaten!W911="Ja",1,0),"")</f>
        <v/>
      </c>
      <c r="P906" s="1" t="str">
        <f>IF(AND(Programme_Grunddaten!$A911="Geprüft",Programme_Grunddaten!X911&lt;&gt;""),IF(Programme_Grunddaten!X911="Ja",1,0),"")</f>
        <v/>
      </c>
      <c r="Q906" s="1" t="str">
        <f>IF(AND(Programme_Grunddaten!$A911="Geprüft",Programme_Grunddaten!Y911&lt;&gt;""),IF(Programme_Grunddaten!Y911="Ja",1,0),"")</f>
        <v/>
      </c>
      <c r="R906" s="1" t="str">
        <f>IF(AND(Programme_Grunddaten!$A911="Geprüft",Programme_Grunddaten!Z911&lt;&gt;""),IF(Programme_Grunddaten!Z911="Ja",1,0),"")</f>
        <v/>
      </c>
      <c r="S906" s="1" t="str">
        <f>IF(AND(Programme_Grunddaten!$A911="Geprüft",Programme_Grunddaten!AA911&lt;&gt;""),IF(Programme_Grunddaten!AA911="monolithisch",1,0),"")</f>
        <v/>
      </c>
      <c r="T906" s="1" t="str">
        <f>IF(AND(Programme_Grunddaten!$A911="Geprüft",Programme_Grunddaten!AB911&lt;&gt;""),IF(Programme_Grunddaten!AB911="Ja",1,0),"")</f>
        <v/>
      </c>
      <c r="U906" s="1" t="str">
        <f>IF(AND(Programme_Grunddaten!$A911="Geprüft",Programme_Grunddaten!AC911&lt;&gt;""),IF(Programme_Grunddaten!AC911="Ja",1,0),"")</f>
        <v/>
      </c>
      <c r="V906" s="1" t="str">
        <f>IF(AND(Programme_Grunddaten!$A911="Geprüft",Programme_Grunddaten!AD911&lt;&gt;""),IF(Programme_Grunddaten!AD911="Ja",1,0),"")</f>
        <v/>
      </c>
      <c r="W906" s="1" t="str">
        <f>IF(AND(Programme_Grunddaten!$A911="Geprüft",Programme_Grunddaten!AE911&lt;&gt;""),IF(Programme_Grunddaten!AE911="Ja",1,0),"")</f>
        <v/>
      </c>
      <c r="X906" s="1" t="str">
        <f>IF(AND(Programme_Grunddaten!$A911="Geprüft",Programme_Grunddaten!AF911&lt;&gt;""),IF(Programme_Grunddaten!AF911="Ja",1,0),"")</f>
        <v/>
      </c>
      <c r="Y906" s="1" t="str">
        <f>IF(AND(Programme_Grunddaten!$A911="Geprüft",Programme_Grunddaten!AG911&lt;&gt;""),IF(Programme_Grunddaten!AG911="Ja",1,0),"")</f>
        <v/>
      </c>
      <c r="Z906" s="1" t="str">
        <f>IF(AND(Programme_Grunddaten!$A911="Geprüft",Programme_Grunddaten!AH911&lt;&gt;""),IF(Programme_Grunddaten!AH911="Ja",1,0),"")</f>
        <v/>
      </c>
      <c r="AA906" s="1" t="str">
        <f>IF(AND(Programme_Grunddaten!$A911="Geprüft",Programme_Grunddaten!AI911&lt;&gt;""),IF(Programme_Grunddaten!AI911="Ja",1,0),"")</f>
        <v/>
      </c>
      <c r="AB906" s="1" t="str">
        <f>IF(AND(Programme_Grunddaten!$A911="Geprüft",Programme_Grunddaten!AJ911&lt;&gt;""),IF(Programme_Grunddaten!AJ911="individuell programmierbar",1,0),"")</f>
        <v/>
      </c>
      <c r="AC906" s="1" t="str">
        <f>IF(AND(Programme_Grunddaten!$A911="Geprüft",Programme_Grunddaten!AK911&lt;&gt;""),IF(Programme_Grunddaten!AK911="Deutsch",0,IF(Programme_Grunddaten!AK911="Deutsch und Englisch",1,2)),"")</f>
        <v/>
      </c>
      <c r="AD906" s="1" t="str">
        <f>IF(AND(Programme_Grunddaten!$A911="Geprüft",Programme_Grunddaten!AL911&lt;&gt;""),IF(Programme_Grunddaten!AL911="Ja",1,0),"")</f>
        <v/>
      </c>
      <c r="AE906" s="1" t="str">
        <f>IF(AND(Programme_Grunddaten!$A911="Geprüft",Programme_Grunddaten!AM911&lt;&gt;""),IF(Programme_Grunddaten!AM911="Ja",1,0),"")</f>
        <v/>
      </c>
      <c r="AF906" s="1" t="str">
        <f>IF(AND(Programme_Grunddaten!$A911="Geprüft",Programme_Grunddaten!AN911&lt;&gt;""),IF(Programme_Grunddaten!AN911="Ja",1,0),"")</f>
        <v/>
      </c>
      <c r="AG906" s="1" t="str">
        <f>IF(AND(Programme_Grunddaten!$A911="Geprüft",Programme_Grunddaten!AO911&lt;&gt;""),IF(Programme_Grunddaten!AO911="Ja",1,0),"")</f>
        <v/>
      </c>
      <c r="AH906" s="1" t="str">
        <f>IF(AND(Programme_Grunddaten!$A911="Geprüft",Programme_Grunddaten!AP911&lt;&gt;""),IF(Programme_Grunddaten!AP911="Ja",1,0),"")</f>
        <v/>
      </c>
      <c r="AI906" s="1" t="str">
        <f>IF(AND(Programme_Grunddaten!$A911="Geprüft",Programme_Grunddaten!AQ911&lt;&gt;""),IF(Programme_Grunddaten!AQ911="Ja",1,0),"")</f>
        <v/>
      </c>
      <c r="AJ906" s="1" t="str">
        <f>IF(AND(Programme_Grunddaten!$A911="Geprüft",Programme_Grunddaten!AR911&lt;&gt;""),IF(Programme_Grunddaten!AR911="Ja",1,0),"")</f>
        <v/>
      </c>
      <c r="AK906" s="1" t="str">
        <f>IF(AND(Programme_Grunddaten!$A911="Geprüft",Programme_Grunddaten!AS911&lt;&gt;""),IF(Programme_Grunddaten!AS911="Ja",1,0),"")</f>
        <v/>
      </c>
      <c r="AL906" s="1" t="str">
        <f>IF(AND(Programme_Grunddaten!$A911="Geprüft",Programme_Grunddaten!AT911&lt;&gt;""),IF(Programme_Grunddaten!AT911="Ja",1,0),"")</f>
        <v/>
      </c>
      <c r="AM906" s="1" t="str">
        <f>IF(AND(Programme_Grunddaten!$A911="Geprüft",Programme_Grunddaten!AU911&lt;&gt;""),IF(Programme_Grunddaten!AU911="Ja",1,0),"")</f>
        <v/>
      </c>
      <c r="AN906" s="1" t="str">
        <f>IF(AND(Programme_Grunddaten!$A911="Geprüft",Programme_Grunddaten!AV911&lt;&gt;""),IF(Programme_Grunddaten!AV911="Ja",1,0),"")</f>
        <v/>
      </c>
    </row>
    <row r="907" spans="1:40" x14ac:dyDescent="0.3">
      <c r="A907" s="1" t="str">
        <f>IF(AND(Programme_Grunddaten!A912="Geprüft",Programme_Grunddaten!B912&lt;&gt;""),Programme_Grunddaten!B912,"")</f>
        <v/>
      </c>
      <c r="B907" s="1" t="str">
        <f>IF(AND(Programme_Grunddaten!$A912="Geprüft",Programme_Grunddaten!I912&lt;&gt;""),IF(Programme_Grunddaten!I912="Ja",1,0),"")</f>
        <v/>
      </c>
      <c r="C907" s="1" t="str">
        <f>IF(AND(Programme_Grunddaten!$A912="Geprüft",Programme_Grunddaten!J912&lt;&gt;""),IF(Programme_Grunddaten!J912="Ja",1,0),"")</f>
        <v/>
      </c>
      <c r="D907" s="1" t="str">
        <f>IF(AND(Programme_Grunddaten!$A912="Geprüft",Programme_Grunddaten!K912&lt;&gt;""),IF(Programme_Grunddaten!K912="Ja",1,0),"")</f>
        <v/>
      </c>
      <c r="E907" s="1" t="str">
        <f>IF(AND(Programme_Grunddaten!$A912="Geprüft",Programme_Grunddaten!L912&lt;&gt;""),IF(Programme_Grunddaten!L912="Abo / befristete Lizenz",1,0),"")</f>
        <v/>
      </c>
      <c r="F907" s="1" t="str">
        <f>IF(AND(Programme_Grunddaten!$A912="Geprüft",Programme_Grunddaten!M912&lt;&gt;""),IF(Programme_Grunddaten!M912="Ja",1,0),"")</f>
        <v/>
      </c>
      <c r="G907" s="1" t="str">
        <f>IF(AND(Programme_Grunddaten!$A912="Geprüft",Programme_Grunddaten!N912&lt;&gt;""),IF(Programme_Grunddaten!N912="Ja",1,0),"")</f>
        <v/>
      </c>
      <c r="H907" s="1" t="str">
        <f>IF(AND(Programme_Grunddaten!$A912="Geprüft",Programme_Grunddaten!O912&lt;&gt;""),IF(Programme_Grunddaten!O912="Deutschland",0,IF(Programme_Grunddaten!O912="EU",1,2)),"")</f>
        <v/>
      </c>
      <c r="I907" s="1" t="str">
        <f>IF(AND(Programme_Grunddaten!$A912="Geprüft",Programme_Grunddaten!P912&lt;&gt;""),IF(Programme_Grunddaten!P912="Ja",1,0),"")</f>
        <v/>
      </c>
      <c r="J907" s="1" t="str">
        <f>IF(AND(Programme_Grunddaten!$A912="Geprüft",Programme_Grunddaten!Q912&lt;&gt;""),IF(Programme_Grunddaten!Q912="geschlossenes System",1,0),"")</f>
        <v/>
      </c>
      <c r="K907" s="1" t="str">
        <f>IF(AND(Programme_Grunddaten!$A912="Geprüft",Programme_Grunddaten!R912&lt;&gt;""),IF(Programme_Grunddaten!R912="Ja",1,0),"")</f>
        <v/>
      </c>
      <c r="L907" s="1" t="str">
        <f>IF(AND(Programme_Grunddaten!$A912="Geprüft",Programme_Grunddaten!T912&lt;&gt;""),IF(Programme_Grunddaten!T912="Ja",1,0),"")</f>
        <v/>
      </c>
      <c r="M907" s="1" t="str">
        <f>IF(AND(Programme_Grunddaten!$A912="Geprüft",Programme_Grunddaten!U912&lt;&gt;""),IF(Programme_Grunddaten!U912="Ja",1,0),"")</f>
        <v/>
      </c>
      <c r="N907" s="1" t="str">
        <f>IF(AND(Programme_Grunddaten!$A912="Geprüft",Programme_Grunddaten!V912&lt;&gt;""),IF(Programme_Grunddaten!V912="Ja",1,0),"")</f>
        <v/>
      </c>
      <c r="O907" s="1" t="str">
        <f>IF(AND(Programme_Grunddaten!$A912="Geprüft",Programme_Grunddaten!W912&lt;&gt;""),IF(Programme_Grunddaten!W912="Ja",1,0),"")</f>
        <v/>
      </c>
      <c r="P907" s="1" t="str">
        <f>IF(AND(Programme_Grunddaten!$A912="Geprüft",Programme_Grunddaten!X912&lt;&gt;""),IF(Programme_Grunddaten!X912="Ja",1,0),"")</f>
        <v/>
      </c>
      <c r="Q907" s="1" t="str">
        <f>IF(AND(Programme_Grunddaten!$A912="Geprüft",Programme_Grunddaten!Y912&lt;&gt;""),IF(Programme_Grunddaten!Y912="Ja",1,0),"")</f>
        <v/>
      </c>
      <c r="R907" s="1" t="str">
        <f>IF(AND(Programme_Grunddaten!$A912="Geprüft",Programme_Grunddaten!Z912&lt;&gt;""),IF(Programme_Grunddaten!Z912="Ja",1,0),"")</f>
        <v/>
      </c>
      <c r="S907" s="1" t="str">
        <f>IF(AND(Programme_Grunddaten!$A912="Geprüft",Programme_Grunddaten!AA912&lt;&gt;""),IF(Programme_Grunddaten!AA912="monolithisch",1,0),"")</f>
        <v/>
      </c>
      <c r="T907" s="1" t="str">
        <f>IF(AND(Programme_Grunddaten!$A912="Geprüft",Programme_Grunddaten!AB912&lt;&gt;""),IF(Programme_Grunddaten!AB912="Ja",1,0),"")</f>
        <v/>
      </c>
      <c r="U907" s="1" t="str">
        <f>IF(AND(Programme_Grunddaten!$A912="Geprüft",Programme_Grunddaten!AC912&lt;&gt;""),IF(Programme_Grunddaten!AC912="Ja",1,0),"")</f>
        <v/>
      </c>
      <c r="V907" s="1" t="str">
        <f>IF(AND(Programme_Grunddaten!$A912="Geprüft",Programme_Grunddaten!AD912&lt;&gt;""),IF(Programme_Grunddaten!AD912="Ja",1,0),"")</f>
        <v/>
      </c>
      <c r="W907" s="1" t="str">
        <f>IF(AND(Programme_Grunddaten!$A912="Geprüft",Programme_Grunddaten!AE912&lt;&gt;""),IF(Programme_Grunddaten!AE912="Ja",1,0),"")</f>
        <v/>
      </c>
      <c r="X907" s="1" t="str">
        <f>IF(AND(Programme_Grunddaten!$A912="Geprüft",Programme_Grunddaten!AF912&lt;&gt;""),IF(Programme_Grunddaten!AF912="Ja",1,0),"")</f>
        <v/>
      </c>
      <c r="Y907" s="1" t="str">
        <f>IF(AND(Programme_Grunddaten!$A912="Geprüft",Programme_Grunddaten!AG912&lt;&gt;""),IF(Programme_Grunddaten!AG912="Ja",1,0),"")</f>
        <v/>
      </c>
      <c r="Z907" s="1" t="str">
        <f>IF(AND(Programme_Grunddaten!$A912="Geprüft",Programme_Grunddaten!AH912&lt;&gt;""),IF(Programme_Grunddaten!AH912="Ja",1,0),"")</f>
        <v/>
      </c>
      <c r="AA907" s="1" t="str">
        <f>IF(AND(Programme_Grunddaten!$A912="Geprüft",Programme_Grunddaten!AI912&lt;&gt;""),IF(Programme_Grunddaten!AI912="Ja",1,0),"")</f>
        <v/>
      </c>
      <c r="AB907" s="1" t="str">
        <f>IF(AND(Programme_Grunddaten!$A912="Geprüft",Programme_Grunddaten!AJ912&lt;&gt;""),IF(Programme_Grunddaten!AJ912="individuell programmierbar",1,0),"")</f>
        <v/>
      </c>
      <c r="AC907" s="1" t="str">
        <f>IF(AND(Programme_Grunddaten!$A912="Geprüft",Programme_Grunddaten!AK912&lt;&gt;""),IF(Programme_Grunddaten!AK912="Deutsch",0,IF(Programme_Grunddaten!AK912="Deutsch und Englisch",1,2)),"")</f>
        <v/>
      </c>
      <c r="AD907" s="1" t="str">
        <f>IF(AND(Programme_Grunddaten!$A912="Geprüft",Programme_Grunddaten!AL912&lt;&gt;""),IF(Programme_Grunddaten!AL912="Ja",1,0),"")</f>
        <v/>
      </c>
      <c r="AE907" s="1" t="str">
        <f>IF(AND(Programme_Grunddaten!$A912="Geprüft",Programme_Grunddaten!AM912&lt;&gt;""),IF(Programme_Grunddaten!AM912="Ja",1,0),"")</f>
        <v/>
      </c>
      <c r="AF907" s="1" t="str">
        <f>IF(AND(Programme_Grunddaten!$A912="Geprüft",Programme_Grunddaten!AN912&lt;&gt;""),IF(Programme_Grunddaten!AN912="Ja",1,0),"")</f>
        <v/>
      </c>
      <c r="AG907" s="1" t="str">
        <f>IF(AND(Programme_Grunddaten!$A912="Geprüft",Programme_Grunddaten!AO912&lt;&gt;""),IF(Programme_Grunddaten!AO912="Ja",1,0),"")</f>
        <v/>
      </c>
      <c r="AH907" s="1" t="str">
        <f>IF(AND(Programme_Grunddaten!$A912="Geprüft",Programme_Grunddaten!AP912&lt;&gt;""),IF(Programme_Grunddaten!AP912="Ja",1,0),"")</f>
        <v/>
      </c>
      <c r="AI907" s="1" t="str">
        <f>IF(AND(Programme_Grunddaten!$A912="Geprüft",Programme_Grunddaten!AQ912&lt;&gt;""),IF(Programme_Grunddaten!AQ912="Ja",1,0),"")</f>
        <v/>
      </c>
      <c r="AJ907" s="1" t="str">
        <f>IF(AND(Programme_Grunddaten!$A912="Geprüft",Programme_Grunddaten!AR912&lt;&gt;""),IF(Programme_Grunddaten!AR912="Ja",1,0),"")</f>
        <v/>
      </c>
      <c r="AK907" s="1" t="str">
        <f>IF(AND(Programme_Grunddaten!$A912="Geprüft",Programme_Grunddaten!AS912&lt;&gt;""),IF(Programme_Grunddaten!AS912="Ja",1,0),"")</f>
        <v/>
      </c>
      <c r="AL907" s="1" t="str">
        <f>IF(AND(Programme_Grunddaten!$A912="Geprüft",Programme_Grunddaten!AT912&lt;&gt;""),IF(Programme_Grunddaten!AT912="Ja",1,0),"")</f>
        <v/>
      </c>
      <c r="AM907" s="1" t="str">
        <f>IF(AND(Programme_Grunddaten!$A912="Geprüft",Programme_Grunddaten!AU912&lt;&gt;""),IF(Programme_Grunddaten!AU912="Ja",1,0),"")</f>
        <v/>
      </c>
      <c r="AN907" s="1" t="str">
        <f>IF(AND(Programme_Grunddaten!$A912="Geprüft",Programme_Grunddaten!AV912&lt;&gt;""),IF(Programme_Grunddaten!AV912="Ja",1,0),"")</f>
        <v/>
      </c>
    </row>
    <row r="908" spans="1:40" x14ac:dyDescent="0.3">
      <c r="A908" s="1" t="str">
        <f>IF(AND(Programme_Grunddaten!A913="Geprüft",Programme_Grunddaten!B913&lt;&gt;""),Programme_Grunddaten!B913,"")</f>
        <v/>
      </c>
      <c r="B908" s="1" t="str">
        <f>IF(AND(Programme_Grunddaten!$A913="Geprüft",Programme_Grunddaten!I913&lt;&gt;""),IF(Programme_Grunddaten!I913="Ja",1,0),"")</f>
        <v/>
      </c>
      <c r="C908" s="1" t="str">
        <f>IF(AND(Programme_Grunddaten!$A913="Geprüft",Programme_Grunddaten!J913&lt;&gt;""),IF(Programme_Grunddaten!J913="Ja",1,0),"")</f>
        <v/>
      </c>
      <c r="D908" s="1" t="str">
        <f>IF(AND(Programme_Grunddaten!$A913="Geprüft",Programme_Grunddaten!K913&lt;&gt;""),IF(Programme_Grunddaten!K913="Ja",1,0),"")</f>
        <v/>
      </c>
      <c r="E908" s="1" t="str">
        <f>IF(AND(Programme_Grunddaten!$A913="Geprüft",Programme_Grunddaten!L913&lt;&gt;""),IF(Programme_Grunddaten!L913="Abo / befristete Lizenz",1,0),"")</f>
        <v/>
      </c>
      <c r="F908" s="1" t="str">
        <f>IF(AND(Programme_Grunddaten!$A913="Geprüft",Programme_Grunddaten!M913&lt;&gt;""),IF(Programme_Grunddaten!M913="Ja",1,0),"")</f>
        <v/>
      </c>
      <c r="G908" s="1" t="str">
        <f>IF(AND(Programme_Grunddaten!$A913="Geprüft",Programme_Grunddaten!N913&lt;&gt;""),IF(Programme_Grunddaten!N913="Ja",1,0),"")</f>
        <v/>
      </c>
      <c r="H908" s="1" t="str">
        <f>IF(AND(Programme_Grunddaten!$A913="Geprüft",Programme_Grunddaten!O913&lt;&gt;""),IF(Programme_Grunddaten!O913="Deutschland",0,IF(Programme_Grunddaten!O913="EU",1,2)),"")</f>
        <v/>
      </c>
      <c r="I908" s="1" t="str">
        <f>IF(AND(Programme_Grunddaten!$A913="Geprüft",Programme_Grunddaten!P913&lt;&gt;""),IF(Programme_Grunddaten!P913="Ja",1,0),"")</f>
        <v/>
      </c>
      <c r="J908" s="1" t="str">
        <f>IF(AND(Programme_Grunddaten!$A913="Geprüft",Programme_Grunddaten!Q913&lt;&gt;""),IF(Programme_Grunddaten!Q913="geschlossenes System",1,0),"")</f>
        <v/>
      </c>
      <c r="K908" s="1" t="str">
        <f>IF(AND(Programme_Grunddaten!$A913="Geprüft",Programme_Grunddaten!R913&lt;&gt;""),IF(Programme_Grunddaten!R913="Ja",1,0),"")</f>
        <v/>
      </c>
      <c r="L908" s="1" t="str">
        <f>IF(AND(Programme_Grunddaten!$A913="Geprüft",Programme_Grunddaten!T913&lt;&gt;""),IF(Programme_Grunddaten!T913="Ja",1,0),"")</f>
        <v/>
      </c>
      <c r="M908" s="1" t="str">
        <f>IF(AND(Programme_Grunddaten!$A913="Geprüft",Programme_Grunddaten!U913&lt;&gt;""),IF(Programme_Grunddaten!U913="Ja",1,0),"")</f>
        <v/>
      </c>
      <c r="N908" s="1" t="str">
        <f>IF(AND(Programme_Grunddaten!$A913="Geprüft",Programme_Grunddaten!V913&lt;&gt;""),IF(Programme_Grunddaten!V913="Ja",1,0),"")</f>
        <v/>
      </c>
      <c r="O908" s="1" t="str">
        <f>IF(AND(Programme_Grunddaten!$A913="Geprüft",Programme_Grunddaten!W913&lt;&gt;""),IF(Programme_Grunddaten!W913="Ja",1,0),"")</f>
        <v/>
      </c>
      <c r="P908" s="1" t="str">
        <f>IF(AND(Programme_Grunddaten!$A913="Geprüft",Programme_Grunddaten!X913&lt;&gt;""),IF(Programme_Grunddaten!X913="Ja",1,0),"")</f>
        <v/>
      </c>
      <c r="Q908" s="1" t="str">
        <f>IF(AND(Programme_Grunddaten!$A913="Geprüft",Programme_Grunddaten!Y913&lt;&gt;""),IF(Programme_Grunddaten!Y913="Ja",1,0),"")</f>
        <v/>
      </c>
      <c r="R908" s="1" t="str">
        <f>IF(AND(Programme_Grunddaten!$A913="Geprüft",Programme_Grunddaten!Z913&lt;&gt;""),IF(Programme_Grunddaten!Z913="Ja",1,0),"")</f>
        <v/>
      </c>
      <c r="S908" s="1" t="str">
        <f>IF(AND(Programme_Grunddaten!$A913="Geprüft",Programme_Grunddaten!AA913&lt;&gt;""),IF(Programme_Grunddaten!AA913="monolithisch",1,0),"")</f>
        <v/>
      </c>
      <c r="T908" s="1" t="str">
        <f>IF(AND(Programme_Grunddaten!$A913="Geprüft",Programme_Grunddaten!AB913&lt;&gt;""),IF(Programme_Grunddaten!AB913="Ja",1,0),"")</f>
        <v/>
      </c>
      <c r="U908" s="1" t="str">
        <f>IF(AND(Programme_Grunddaten!$A913="Geprüft",Programme_Grunddaten!AC913&lt;&gt;""),IF(Programme_Grunddaten!AC913="Ja",1,0),"")</f>
        <v/>
      </c>
      <c r="V908" s="1" t="str">
        <f>IF(AND(Programme_Grunddaten!$A913="Geprüft",Programme_Grunddaten!AD913&lt;&gt;""),IF(Programme_Grunddaten!AD913="Ja",1,0),"")</f>
        <v/>
      </c>
      <c r="W908" s="1" t="str">
        <f>IF(AND(Programme_Grunddaten!$A913="Geprüft",Programme_Grunddaten!AE913&lt;&gt;""),IF(Programme_Grunddaten!AE913="Ja",1,0),"")</f>
        <v/>
      </c>
      <c r="X908" s="1" t="str">
        <f>IF(AND(Programme_Grunddaten!$A913="Geprüft",Programme_Grunddaten!AF913&lt;&gt;""),IF(Programme_Grunddaten!AF913="Ja",1,0),"")</f>
        <v/>
      </c>
      <c r="Y908" s="1" t="str">
        <f>IF(AND(Programme_Grunddaten!$A913="Geprüft",Programme_Grunddaten!AG913&lt;&gt;""),IF(Programme_Grunddaten!AG913="Ja",1,0),"")</f>
        <v/>
      </c>
      <c r="Z908" s="1" t="str">
        <f>IF(AND(Programme_Grunddaten!$A913="Geprüft",Programme_Grunddaten!AH913&lt;&gt;""),IF(Programme_Grunddaten!AH913="Ja",1,0),"")</f>
        <v/>
      </c>
      <c r="AA908" s="1" t="str">
        <f>IF(AND(Programme_Grunddaten!$A913="Geprüft",Programme_Grunddaten!AI913&lt;&gt;""),IF(Programme_Grunddaten!AI913="Ja",1,0),"")</f>
        <v/>
      </c>
      <c r="AB908" s="1" t="str">
        <f>IF(AND(Programme_Grunddaten!$A913="Geprüft",Programme_Grunddaten!AJ913&lt;&gt;""),IF(Programme_Grunddaten!AJ913="individuell programmierbar",1,0),"")</f>
        <v/>
      </c>
      <c r="AC908" s="1" t="str">
        <f>IF(AND(Programme_Grunddaten!$A913="Geprüft",Programme_Grunddaten!AK913&lt;&gt;""),IF(Programme_Grunddaten!AK913="Deutsch",0,IF(Programme_Grunddaten!AK913="Deutsch und Englisch",1,2)),"")</f>
        <v/>
      </c>
      <c r="AD908" s="1" t="str">
        <f>IF(AND(Programme_Grunddaten!$A913="Geprüft",Programme_Grunddaten!AL913&lt;&gt;""),IF(Programme_Grunddaten!AL913="Ja",1,0),"")</f>
        <v/>
      </c>
      <c r="AE908" s="1" t="str">
        <f>IF(AND(Programme_Grunddaten!$A913="Geprüft",Programme_Grunddaten!AM913&lt;&gt;""),IF(Programme_Grunddaten!AM913="Ja",1,0),"")</f>
        <v/>
      </c>
      <c r="AF908" s="1" t="str">
        <f>IF(AND(Programme_Grunddaten!$A913="Geprüft",Programme_Grunddaten!AN913&lt;&gt;""),IF(Programme_Grunddaten!AN913="Ja",1,0),"")</f>
        <v/>
      </c>
      <c r="AG908" s="1" t="str">
        <f>IF(AND(Programme_Grunddaten!$A913="Geprüft",Programme_Grunddaten!AO913&lt;&gt;""),IF(Programme_Grunddaten!AO913="Ja",1,0),"")</f>
        <v/>
      </c>
      <c r="AH908" s="1" t="str">
        <f>IF(AND(Programme_Grunddaten!$A913="Geprüft",Programme_Grunddaten!AP913&lt;&gt;""),IF(Programme_Grunddaten!AP913="Ja",1,0),"")</f>
        <v/>
      </c>
      <c r="AI908" s="1" t="str">
        <f>IF(AND(Programme_Grunddaten!$A913="Geprüft",Programme_Grunddaten!AQ913&lt;&gt;""),IF(Programme_Grunddaten!AQ913="Ja",1,0),"")</f>
        <v/>
      </c>
      <c r="AJ908" s="1" t="str">
        <f>IF(AND(Programme_Grunddaten!$A913="Geprüft",Programme_Grunddaten!AR913&lt;&gt;""),IF(Programme_Grunddaten!AR913="Ja",1,0),"")</f>
        <v/>
      </c>
      <c r="AK908" s="1" t="str">
        <f>IF(AND(Programme_Grunddaten!$A913="Geprüft",Programme_Grunddaten!AS913&lt;&gt;""),IF(Programme_Grunddaten!AS913="Ja",1,0),"")</f>
        <v/>
      </c>
      <c r="AL908" s="1" t="str">
        <f>IF(AND(Programme_Grunddaten!$A913="Geprüft",Programme_Grunddaten!AT913&lt;&gt;""),IF(Programme_Grunddaten!AT913="Ja",1,0),"")</f>
        <v/>
      </c>
      <c r="AM908" s="1" t="str">
        <f>IF(AND(Programme_Grunddaten!$A913="Geprüft",Programme_Grunddaten!AU913&lt;&gt;""),IF(Programme_Grunddaten!AU913="Ja",1,0),"")</f>
        <v/>
      </c>
      <c r="AN908" s="1" t="str">
        <f>IF(AND(Programme_Grunddaten!$A913="Geprüft",Programme_Grunddaten!AV913&lt;&gt;""),IF(Programme_Grunddaten!AV913="Ja",1,0),"")</f>
        <v/>
      </c>
    </row>
    <row r="909" spans="1:40" x14ac:dyDescent="0.3">
      <c r="A909" s="1" t="str">
        <f>IF(AND(Programme_Grunddaten!A914="Geprüft",Programme_Grunddaten!B914&lt;&gt;""),Programme_Grunddaten!B914,"")</f>
        <v/>
      </c>
      <c r="B909" s="1" t="str">
        <f>IF(AND(Programme_Grunddaten!$A914="Geprüft",Programme_Grunddaten!I914&lt;&gt;""),IF(Programme_Grunddaten!I914="Ja",1,0),"")</f>
        <v/>
      </c>
      <c r="C909" s="1" t="str">
        <f>IF(AND(Programme_Grunddaten!$A914="Geprüft",Programme_Grunddaten!J914&lt;&gt;""),IF(Programme_Grunddaten!J914="Ja",1,0),"")</f>
        <v/>
      </c>
      <c r="D909" s="1" t="str">
        <f>IF(AND(Programme_Grunddaten!$A914="Geprüft",Programme_Grunddaten!K914&lt;&gt;""),IF(Programme_Grunddaten!K914="Ja",1,0),"")</f>
        <v/>
      </c>
      <c r="E909" s="1" t="str">
        <f>IF(AND(Programme_Grunddaten!$A914="Geprüft",Programme_Grunddaten!L914&lt;&gt;""),IF(Programme_Grunddaten!L914="Abo / befristete Lizenz",1,0),"")</f>
        <v/>
      </c>
      <c r="F909" s="1" t="str">
        <f>IF(AND(Programme_Grunddaten!$A914="Geprüft",Programme_Grunddaten!M914&lt;&gt;""),IF(Programme_Grunddaten!M914="Ja",1,0),"")</f>
        <v/>
      </c>
      <c r="G909" s="1" t="str">
        <f>IF(AND(Programme_Grunddaten!$A914="Geprüft",Programme_Grunddaten!N914&lt;&gt;""),IF(Programme_Grunddaten!N914="Ja",1,0),"")</f>
        <v/>
      </c>
      <c r="H909" s="1" t="str">
        <f>IF(AND(Programme_Grunddaten!$A914="Geprüft",Programme_Grunddaten!O914&lt;&gt;""),IF(Programme_Grunddaten!O914="Deutschland",0,IF(Programme_Grunddaten!O914="EU",1,2)),"")</f>
        <v/>
      </c>
      <c r="I909" s="1" t="str">
        <f>IF(AND(Programme_Grunddaten!$A914="Geprüft",Programme_Grunddaten!P914&lt;&gt;""),IF(Programme_Grunddaten!P914="Ja",1,0),"")</f>
        <v/>
      </c>
      <c r="J909" s="1" t="str">
        <f>IF(AND(Programme_Grunddaten!$A914="Geprüft",Programme_Grunddaten!Q914&lt;&gt;""),IF(Programme_Grunddaten!Q914="geschlossenes System",1,0),"")</f>
        <v/>
      </c>
      <c r="K909" s="1" t="str">
        <f>IF(AND(Programme_Grunddaten!$A914="Geprüft",Programme_Grunddaten!R914&lt;&gt;""),IF(Programme_Grunddaten!R914="Ja",1,0),"")</f>
        <v/>
      </c>
      <c r="L909" s="1" t="str">
        <f>IF(AND(Programme_Grunddaten!$A914="Geprüft",Programme_Grunddaten!T914&lt;&gt;""),IF(Programme_Grunddaten!T914="Ja",1,0),"")</f>
        <v/>
      </c>
      <c r="M909" s="1" t="str">
        <f>IF(AND(Programme_Grunddaten!$A914="Geprüft",Programme_Grunddaten!U914&lt;&gt;""),IF(Programme_Grunddaten!U914="Ja",1,0),"")</f>
        <v/>
      </c>
      <c r="N909" s="1" t="str">
        <f>IF(AND(Programme_Grunddaten!$A914="Geprüft",Programme_Grunddaten!V914&lt;&gt;""),IF(Programme_Grunddaten!V914="Ja",1,0),"")</f>
        <v/>
      </c>
      <c r="O909" s="1" t="str">
        <f>IF(AND(Programme_Grunddaten!$A914="Geprüft",Programme_Grunddaten!W914&lt;&gt;""),IF(Programme_Grunddaten!W914="Ja",1,0),"")</f>
        <v/>
      </c>
      <c r="P909" s="1" t="str">
        <f>IF(AND(Programme_Grunddaten!$A914="Geprüft",Programme_Grunddaten!X914&lt;&gt;""),IF(Programme_Grunddaten!X914="Ja",1,0),"")</f>
        <v/>
      </c>
      <c r="Q909" s="1" t="str">
        <f>IF(AND(Programme_Grunddaten!$A914="Geprüft",Programme_Grunddaten!Y914&lt;&gt;""),IF(Programme_Grunddaten!Y914="Ja",1,0),"")</f>
        <v/>
      </c>
      <c r="R909" s="1" t="str">
        <f>IF(AND(Programme_Grunddaten!$A914="Geprüft",Programme_Grunddaten!Z914&lt;&gt;""),IF(Programme_Grunddaten!Z914="Ja",1,0),"")</f>
        <v/>
      </c>
      <c r="S909" s="1" t="str">
        <f>IF(AND(Programme_Grunddaten!$A914="Geprüft",Programme_Grunddaten!AA914&lt;&gt;""),IF(Programme_Grunddaten!AA914="monolithisch",1,0),"")</f>
        <v/>
      </c>
      <c r="T909" s="1" t="str">
        <f>IF(AND(Programme_Grunddaten!$A914="Geprüft",Programme_Grunddaten!AB914&lt;&gt;""),IF(Programme_Grunddaten!AB914="Ja",1,0),"")</f>
        <v/>
      </c>
      <c r="U909" s="1" t="str">
        <f>IF(AND(Programme_Grunddaten!$A914="Geprüft",Programme_Grunddaten!AC914&lt;&gt;""),IF(Programme_Grunddaten!AC914="Ja",1,0),"")</f>
        <v/>
      </c>
      <c r="V909" s="1" t="str">
        <f>IF(AND(Programme_Grunddaten!$A914="Geprüft",Programme_Grunddaten!AD914&lt;&gt;""),IF(Programme_Grunddaten!AD914="Ja",1,0),"")</f>
        <v/>
      </c>
      <c r="W909" s="1" t="str">
        <f>IF(AND(Programme_Grunddaten!$A914="Geprüft",Programme_Grunddaten!AE914&lt;&gt;""),IF(Programme_Grunddaten!AE914="Ja",1,0),"")</f>
        <v/>
      </c>
      <c r="X909" s="1" t="str">
        <f>IF(AND(Programme_Grunddaten!$A914="Geprüft",Programme_Grunddaten!AF914&lt;&gt;""),IF(Programme_Grunddaten!AF914="Ja",1,0),"")</f>
        <v/>
      </c>
      <c r="Y909" s="1" t="str">
        <f>IF(AND(Programme_Grunddaten!$A914="Geprüft",Programme_Grunddaten!AG914&lt;&gt;""),IF(Programme_Grunddaten!AG914="Ja",1,0),"")</f>
        <v/>
      </c>
      <c r="Z909" s="1" t="str">
        <f>IF(AND(Programme_Grunddaten!$A914="Geprüft",Programme_Grunddaten!AH914&lt;&gt;""),IF(Programme_Grunddaten!AH914="Ja",1,0),"")</f>
        <v/>
      </c>
      <c r="AA909" s="1" t="str">
        <f>IF(AND(Programme_Grunddaten!$A914="Geprüft",Programme_Grunddaten!AI914&lt;&gt;""),IF(Programme_Grunddaten!AI914="Ja",1,0),"")</f>
        <v/>
      </c>
      <c r="AB909" s="1" t="str">
        <f>IF(AND(Programme_Grunddaten!$A914="Geprüft",Programme_Grunddaten!AJ914&lt;&gt;""),IF(Programme_Grunddaten!AJ914="individuell programmierbar",1,0),"")</f>
        <v/>
      </c>
      <c r="AC909" s="1" t="str">
        <f>IF(AND(Programme_Grunddaten!$A914="Geprüft",Programme_Grunddaten!AK914&lt;&gt;""),IF(Programme_Grunddaten!AK914="Deutsch",0,IF(Programme_Grunddaten!AK914="Deutsch und Englisch",1,2)),"")</f>
        <v/>
      </c>
      <c r="AD909" s="1" t="str">
        <f>IF(AND(Programme_Grunddaten!$A914="Geprüft",Programme_Grunddaten!AL914&lt;&gt;""),IF(Programme_Grunddaten!AL914="Ja",1,0),"")</f>
        <v/>
      </c>
      <c r="AE909" s="1" t="str">
        <f>IF(AND(Programme_Grunddaten!$A914="Geprüft",Programme_Grunddaten!AM914&lt;&gt;""),IF(Programme_Grunddaten!AM914="Ja",1,0),"")</f>
        <v/>
      </c>
      <c r="AF909" s="1" t="str">
        <f>IF(AND(Programme_Grunddaten!$A914="Geprüft",Programme_Grunddaten!AN914&lt;&gt;""),IF(Programme_Grunddaten!AN914="Ja",1,0),"")</f>
        <v/>
      </c>
      <c r="AG909" s="1" t="str">
        <f>IF(AND(Programme_Grunddaten!$A914="Geprüft",Programme_Grunddaten!AO914&lt;&gt;""),IF(Programme_Grunddaten!AO914="Ja",1,0),"")</f>
        <v/>
      </c>
      <c r="AH909" s="1" t="str">
        <f>IF(AND(Programme_Grunddaten!$A914="Geprüft",Programme_Grunddaten!AP914&lt;&gt;""),IF(Programme_Grunddaten!AP914="Ja",1,0),"")</f>
        <v/>
      </c>
      <c r="AI909" s="1" t="str">
        <f>IF(AND(Programme_Grunddaten!$A914="Geprüft",Programme_Grunddaten!AQ914&lt;&gt;""),IF(Programme_Grunddaten!AQ914="Ja",1,0),"")</f>
        <v/>
      </c>
      <c r="AJ909" s="1" t="str">
        <f>IF(AND(Programme_Grunddaten!$A914="Geprüft",Programme_Grunddaten!AR914&lt;&gt;""),IF(Programme_Grunddaten!AR914="Ja",1,0),"")</f>
        <v/>
      </c>
      <c r="AK909" s="1" t="str">
        <f>IF(AND(Programme_Grunddaten!$A914="Geprüft",Programme_Grunddaten!AS914&lt;&gt;""),IF(Programme_Grunddaten!AS914="Ja",1,0),"")</f>
        <v/>
      </c>
      <c r="AL909" s="1" t="str">
        <f>IF(AND(Programme_Grunddaten!$A914="Geprüft",Programme_Grunddaten!AT914&lt;&gt;""),IF(Programme_Grunddaten!AT914="Ja",1,0),"")</f>
        <v/>
      </c>
      <c r="AM909" s="1" t="str">
        <f>IF(AND(Programme_Grunddaten!$A914="Geprüft",Programme_Grunddaten!AU914&lt;&gt;""),IF(Programme_Grunddaten!AU914="Ja",1,0),"")</f>
        <v/>
      </c>
      <c r="AN909" s="1" t="str">
        <f>IF(AND(Programme_Grunddaten!$A914="Geprüft",Programme_Grunddaten!AV914&lt;&gt;""),IF(Programme_Grunddaten!AV914="Ja",1,0),"")</f>
        <v/>
      </c>
    </row>
    <row r="910" spans="1:40" x14ac:dyDescent="0.3">
      <c r="A910" s="1" t="str">
        <f>IF(AND(Programme_Grunddaten!A915="Geprüft",Programme_Grunddaten!B915&lt;&gt;""),Programme_Grunddaten!B915,"")</f>
        <v/>
      </c>
      <c r="B910" s="1" t="str">
        <f>IF(AND(Programme_Grunddaten!$A915="Geprüft",Programme_Grunddaten!I915&lt;&gt;""),IF(Programme_Grunddaten!I915="Ja",1,0),"")</f>
        <v/>
      </c>
      <c r="C910" s="1" t="str">
        <f>IF(AND(Programme_Grunddaten!$A915="Geprüft",Programme_Grunddaten!J915&lt;&gt;""),IF(Programme_Grunddaten!J915="Ja",1,0),"")</f>
        <v/>
      </c>
      <c r="D910" s="1" t="str">
        <f>IF(AND(Programme_Grunddaten!$A915="Geprüft",Programme_Grunddaten!K915&lt;&gt;""),IF(Programme_Grunddaten!K915="Ja",1,0),"")</f>
        <v/>
      </c>
      <c r="E910" s="1" t="str">
        <f>IF(AND(Programme_Grunddaten!$A915="Geprüft",Programme_Grunddaten!L915&lt;&gt;""),IF(Programme_Grunddaten!L915="Abo / befristete Lizenz",1,0),"")</f>
        <v/>
      </c>
      <c r="F910" s="1" t="str">
        <f>IF(AND(Programme_Grunddaten!$A915="Geprüft",Programme_Grunddaten!M915&lt;&gt;""),IF(Programme_Grunddaten!M915="Ja",1,0),"")</f>
        <v/>
      </c>
      <c r="G910" s="1" t="str">
        <f>IF(AND(Programme_Grunddaten!$A915="Geprüft",Programme_Grunddaten!N915&lt;&gt;""),IF(Programme_Grunddaten!N915="Ja",1,0),"")</f>
        <v/>
      </c>
      <c r="H910" s="1" t="str">
        <f>IF(AND(Programme_Grunddaten!$A915="Geprüft",Programme_Grunddaten!O915&lt;&gt;""),IF(Programme_Grunddaten!O915="Deutschland",0,IF(Programme_Grunddaten!O915="EU",1,2)),"")</f>
        <v/>
      </c>
      <c r="I910" s="1" t="str">
        <f>IF(AND(Programme_Grunddaten!$A915="Geprüft",Programme_Grunddaten!P915&lt;&gt;""),IF(Programme_Grunddaten!P915="Ja",1,0),"")</f>
        <v/>
      </c>
      <c r="J910" s="1" t="str">
        <f>IF(AND(Programme_Grunddaten!$A915="Geprüft",Programme_Grunddaten!Q915&lt;&gt;""),IF(Programme_Grunddaten!Q915="geschlossenes System",1,0),"")</f>
        <v/>
      </c>
      <c r="K910" s="1" t="str">
        <f>IF(AND(Programme_Grunddaten!$A915="Geprüft",Programme_Grunddaten!R915&lt;&gt;""),IF(Programme_Grunddaten!R915="Ja",1,0),"")</f>
        <v/>
      </c>
      <c r="L910" s="1" t="str">
        <f>IF(AND(Programme_Grunddaten!$A915="Geprüft",Programme_Grunddaten!T915&lt;&gt;""),IF(Programme_Grunddaten!T915="Ja",1,0),"")</f>
        <v/>
      </c>
      <c r="M910" s="1" t="str">
        <f>IF(AND(Programme_Grunddaten!$A915="Geprüft",Programme_Grunddaten!U915&lt;&gt;""),IF(Programme_Grunddaten!U915="Ja",1,0),"")</f>
        <v/>
      </c>
      <c r="N910" s="1" t="str">
        <f>IF(AND(Programme_Grunddaten!$A915="Geprüft",Programme_Grunddaten!V915&lt;&gt;""),IF(Programme_Grunddaten!V915="Ja",1,0),"")</f>
        <v/>
      </c>
      <c r="O910" s="1" t="str">
        <f>IF(AND(Programme_Grunddaten!$A915="Geprüft",Programme_Grunddaten!W915&lt;&gt;""),IF(Programme_Grunddaten!W915="Ja",1,0),"")</f>
        <v/>
      </c>
      <c r="P910" s="1" t="str">
        <f>IF(AND(Programme_Grunddaten!$A915="Geprüft",Programme_Grunddaten!X915&lt;&gt;""),IF(Programme_Grunddaten!X915="Ja",1,0),"")</f>
        <v/>
      </c>
      <c r="Q910" s="1" t="str">
        <f>IF(AND(Programme_Grunddaten!$A915="Geprüft",Programme_Grunddaten!Y915&lt;&gt;""),IF(Programme_Grunddaten!Y915="Ja",1,0),"")</f>
        <v/>
      </c>
      <c r="R910" s="1" t="str">
        <f>IF(AND(Programme_Grunddaten!$A915="Geprüft",Programme_Grunddaten!Z915&lt;&gt;""),IF(Programme_Grunddaten!Z915="Ja",1,0),"")</f>
        <v/>
      </c>
      <c r="S910" s="1" t="str">
        <f>IF(AND(Programme_Grunddaten!$A915="Geprüft",Programme_Grunddaten!AA915&lt;&gt;""),IF(Programme_Grunddaten!AA915="monolithisch",1,0),"")</f>
        <v/>
      </c>
      <c r="T910" s="1" t="str">
        <f>IF(AND(Programme_Grunddaten!$A915="Geprüft",Programme_Grunddaten!AB915&lt;&gt;""),IF(Programme_Grunddaten!AB915="Ja",1,0),"")</f>
        <v/>
      </c>
      <c r="U910" s="1" t="str">
        <f>IF(AND(Programme_Grunddaten!$A915="Geprüft",Programme_Grunddaten!AC915&lt;&gt;""),IF(Programme_Grunddaten!AC915="Ja",1,0),"")</f>
        <v/>
      </c>
      <c r="V910" s="1" t="str">
        <f>IF(AND(Programme_Grunddaten!$A915="Geprüft",Programme_Grunddaten!AD915&lt;&gt;""),IF(Programme_Grunddaten!AD915="Ja",1,0),"")</f>
        <v/>
      </c>
      <c r="W910" s="1" t="str">
        <f>IF(AND(Programme_Grunddaten!$A915="Geprüft",Programme_Grunddaten!AE915&lt;&gt;""),IF(Programme_Grunddaten!AE915="Ja",1,0),"")</f>
        <v/>
      </c>
      <c r="X910" s="1" t="str">
        <f>IF(AND(Programme_Grunddaten!$A915="Geprüft",Programme_Grunddaten!AF915&lt;&gt;""),IF(Programme_Grunddaten!AF915="Ja",1,0),"")</f>
        <v/>
      </c>
      <c r="Y910" s="1" t="str">
        <f>IF(AND(Programme_Grunddaten!$A915="Geprüft",Programme_Grunddaten!AG915&lt;&gt;""),IF(Programme_Grunddaten!AG915="Ja",1,0),"")</f>
        <v/>
      </c>
      <c r="Z910" s="1" t="str">
        <f>IF(AND(Programme_Grunddaten!$A915="Geprüft",Programme_Grunddaten!AH915&lt;&gt;""),IF(Programme_Grunddaten!AH915="Ja",1,0),"")</f>
        <v/>
      </c>
      <c r="AA910" s="1" t="str">
        <f>IF(AND(Programme_Grunddaten!$A915="Geprüft",Programme_Grunddaten!AI915&lt;&gt;""),IF(Programme_Grunddaten!AI915="Ja",1,0),"")</f>
        <v/>
      </c>
      <c r="AB910" s="1" t="str">
        <f>IF(AND(Programme_Grunddaten!$A915="Geprüft",Programme_Grunddaten!AJ915&lt;&gt;""),IF(Programme_Grunddaten!AJ915="individuell programmierbar",1,0),"")</f>
        <v/>
      </c>
      <c r="AC910" s="1" t="str">
        <f>IF(AND(Programme_Grunddaten!$A915="Geprüft",Programme_Grunddaten!AK915&lt;&gt;""),IF(Programme_Grunddaten!AK915="Deutsch",0,IF(Programme_Grunddaten!AK915="Deutsch und Englisch",1,2)),"")</f>
        <v/>
      </c>
      <c r="AD910" s="1" t="str">
        <f>IF(AND(Programme_Grunddaten!$A915="Geprüft",Programme_Grunddaten!AL915&lt;&gt;""),IF(Programme_Grunddaten!AL915="Ja",1,0),"")</f>
        <v/>
      </c>
      <c r="AE910" s="1" t="str">
        <f>IF(AND(Programme_Grunddaten!$A915="Geprüft",Programme_Grunddaten!AM915&lt;&gt;""),IF(Programme_Grunddaten!AM915="Ja",1,0),"")</f>
        <v/>
      </c>
      <c r="AF910" s="1" t="str">
        <f>IF(AND(Programme_Grunddaten!$A915="Geprüft",Programme_Grunddaten!AN915&lt;&gt;""),IF(Programme_Grunddaten!AN915="Ja",1,0),"")</f>
        <v/>
      </c>
      <c r="AG910" s="1" t="str">
        <f>IF(AND(Programme_Grunddaten!$A915="Geprüft",Programme_Grunddaten!AO915&lt;&gt;""),IF(Programme_Grunddaten!AO915="Ja",1,0),"")</f>
        <v/>
      </c>
      <c r="AH910" s="1" t="str">
        <f>IF(AND(Programme_Grunddaten!$A915="Geprüft",Programme_Grunddaten!AP915&lt;&gt;""),IF(Programme_Grunddaten!AP915="Ja",1,0),"")</f>
        <v/>
      </c>
      <c r="AI910" s="1" t="str">
        <f>IF(AND(Programme_Grunddaten!$A915="Geprüft",Programme_Grunddaten!AQ915&lt;&gt;""),IF(Programme_Grunddaten!AQ915="Ja",1,0),"")</f>
        <v/>
      </c>
      <c r="AJ910" s="1" t="str">
        <f>IF(AND(Programme_Grunddaten!$A915="Geprüft",Programme_Grunddaten!AR915&lt;&gt;""),IF(Programme_Grunddaten!AR915="Ja",1,0),"")</f>
        <v/>
      </c>
      <c r="AK910" s="1" t="str">
        <f>IF(AND(Programme_Grunddaten!$A915="Geprüft",Programme_Grunddaten!AS915&lt;&gt;""),IF(Programme_Grunddaten!AS915="Ja",1,0),"")</f>
        <v/>
      </c>
      <c r="AL910" s="1" t="str">
        <f>IF(AND(Programme_Grunddaten!$A915="Geprüft",Programme_Grunddaten!AT915&lt;&gt;""),IF(Programme_Grunddaten!AT915="Ja",1,0),"")</f>
        <v/>
      </c>
      <c r="AM910" s="1" t="str">
        <f>IF(AND(Programme_Grunddaten!$A915="Geprüft",Programme_Grunddaten!AU915&lt;&gt;""),IF(Programme_Grunddaten!AU915="Ja",1,0),"")</f>
        <v/>
      </c>
      <c r="AN910" s="1" t="str">
        <f>IF(AND(Programme_Grunddaten!$A915="Geprüft",Programme_Grunddaten!AV915&lt;&gt;""),IF(Programme_Grunddaten!AV915="Ja",1,0),"")</f>
        <v/>
      </c>
    </row>
    <row r="911" spans="1:40" x14ac:dyDescent="0.3">
      <c r="A911" s="1" t="str">
        <f>IF(AND(Programme_Grunddaten!A916="Geprüft",Programme_Grunddaten!B916&lt;&gt;""),Programme_Grunddaten!B916,"")</f>
        <v/>
      </c>
      <c r="B911" s="1" t="str">
        <f>IF(AND(Programme_Grunddaten!$A916="Geprüft",Programme_Grunddaten!I916&lt;&gt;""),IF(Programme_Grunddaten!I916="Ja",1,0),"")</f>
        <v/>
      </c>
      <c r="C911" s="1" t="str">
        <f>IF(AND(Programme_Grunddaten!$A916="Geprüft",Programme_Grunddaten!J916&lt;&gt;""),IF(Programme_Grunddaten!J916="Ja",1,0),"")</f>
        <v/>
      </c>
      <c r="D911" s="1" t="str">
        <f>IF(AND(Programme_Grunddaten!$A916="Geprüft",Programme_Grunddaten!K916&lt;&gt;""),IF(Programme_Grunddaten!K916="Ja",1,0),"")</f>
        <v/>
      </c>
      <c r="E911" s="1" t="str">
        <f>IF(AND(Programme_Grunddaten!$A916="Geprüft",Programme_Grunddaten!L916&lt;&gt;""),IF(Programme_Grunddaten!L916="Abo / befristete Lizenz",1,0),"")</f>
        <v/>
      </c>
      <c r="F911" s="1" t="str">
        <f>IF(AND(Programme_Grunddaten!$A916="Geprüft",Programme_Grunddaten!M916&lt;&gt;""),IF(Programme_Grunddaten!M916="Ja",1,0),"")</f>
        <v/>
      </c>
      <c r="G911" s="1" t="str">
        <f>IF(AND(Programme_Grunddaten!$A916="Geprüft",Programme_Grunddaten!N916&lt;&gt;""),IF(Programme_Grunddaten!N916="Ja",1,0),"")</f>
        <v/>
      </c>
      <c r="H911" s="1" t="str">
        <f>IF(AND(Programme_Grunddaten!$A916="Geprüft",Programme_Grunddaten!O916&lt;&gt;""),IF(Programme_Grunddaten!O916="Deutschland",0,IF(Programme_Grunddaten!O916="EU",1,2)),"")</f>
        <v/>
      </c>
      <c r="I911" s="1" t="str">
        <f>IF(AND(Programme_Grunddaten!$A916="Geprüft",Programme_Grunddaten!P916&lt;&gt;""),IF(Programme_Grunddaten!P916="Ja",1,0),"")</f>
        <v/>
      </c>
      <c r="J911" s="1" t="str">
        <f>IF(AND(Programme_Grunddaten!$A916="Geprüft",Programme_Grunddaten!Q916&lt;&gt;""),IF(Programme_Grunddaten!Q916="geschlossenes System",1,0),"")</f>
        <v/>
      </c>
      <c r="K911" s="1" t="str">
        <f>IF(AND(Programme_Grunddaten!$A916="Geprüft",Programme_Grunddaten!R916&lt;&gt;""),IF(Programme_Grunddaten!R916="Ja",1,0),"")</f>
        <v/>
      </c>
      <c r="L911" s="1" t="str">
        <f>IF(AND(Programme_Grunddaten!$A916="Geprüft",Programme_Grunddaten!T916&lt;&gt;""),IF(Programme_Grunddaten!T916="Ja",1,0),"")</f>
        <v/>
      </c>
      <c r="M911" s="1" t="str">
        <f>IF(AND(Programme_Grunddaten!$A916="Geprüft",Programme_Grunddaten!U916&lt;&gt;""),IF(Programme_Grunddaten!U916="Ja",1,0),"")</f>
        <v/>
      </c>
      <c r="N911" s="1" t="str">
        <f>IF(AND(Programme_Grunddaten!$A916="Geprüft",Programme_Grunddaten!V916&lt;&gt;""),IF(Programme_Grunddaten!V916="Ja",1,0),"")</f>
        <v/>
      </c>
      <c r="O911" s="1" t="str">
        <f>IF(AND(Programme_Grunddaten!$A916="Geprüft",Programme_Grunddaten!W916&lt;&gt;""),IF(Programme_Grunddaten!W916="Ja",1,0),"")</f>
        <v/>
      </c>
      <c r="P911" s="1" t="str">
        <f>IF(AND(Programme_Grunddaten!$A916="Geprüft",Programme_Grunddaten!X916&lt;&gt;""),IF(Programme_Grunddaten!X916="Ja",1,0),"")</f>
        <v/>
      </c>
      <c r="Q911" s="1" t="str">
        <f>IF(AND(Programme_Grunddaten!$A916="Geprüft",Programme_Grunddaten!Y916&lt;&gt;""),IF(Programme_Grunddaten!Y916="Ja",1,0),"")</f>
        <v/>
      </c>
      <c r="R911" s="1" t="str">
        <f>IF(AND(Programme_Grunddaten!$A916="Geprüft",Programme_Grunddaten!Z916&lt;&gt;""),IF(Programme_Grunddaten!Z916="Ja",1,0),"")</f>
        <v/>
      </c>
      <c r="S911" s="1" t="str">
        <f>IF(AND(Programme_Grunddaten!$A916="Geprüft",Programme_Grunddaten!AA916&lt;&gt;""),IF(Programme_Grunddaten!AA916="monolithisch",1,0),"")</f>
        <v/>
      </c>
      <c r="T911" s="1" t="str">
        <f>IF(AND(Programme_Grunddaten!$A916="Geprüft",Programme_Grunddaten!AB916&lt;&gt;""),IF(Programme_Grunddaten!AB916="Ja",1,0),"")</f>
        <v/>
      </c>
      <c r="U911" s="1" t="str">
        <f>IF(AND(Programme_Grunddaten!$A916="Geprüft",Programme_Grunddaten!AC916&lt;&gt;""),IF(Programme_Grunddaten!AC916="Ja",1,0),"")</f>
        <v/>
      </c>
      <c r="V911" s="1" t="str">
        <f>IF(AND(Programme_Grunddaten!$A916="Geprüft",Programme_Grunddaten!AD916&lt;&gt;""),IF(Programme_Grunddaten!AD916="Ja",1,0),"")</f>
        <v/>
      </c>
      <c r="W911" s="1" t="str">
        <f>IF(AND(Programme_Grunddaten!$A916="Geprüft",Programme_Grunddaten!AE916&lt;&gt;""),IF(Programme_Grunddaten!AE916="Ja",1,0),"")</f>
        <v/>
      </c>
      <c r="X911" s="1" t="str">
        <f>IF(AND(Programme_Grunddaten!$A916="Geprüft",Programme_Grunddaten!AF916&lt;&gt;""),IF(Programme_Grunddaten!AF916="Ja",1,0),"")</f>
        <v/>
      </c>
      <c r="Y911" s="1" t="str">
        <f>IF(AND(Programme_Grunddaten!$A916="Geprüft",Programme_Grunddaten!AG916&lt;&gt;""),IF(Programme_Grunddaten!AG916="Ja",1,0),"")</f>
        <v/>
      </c>
      <c r="Z911" s="1" t="str">
        <f>IF(AND(Programme_Grunddaten!$A916="Geprüft",Programme_Grunddaten!AH916&lt;&gt;""),IF(Programme_Grunddaten!AH916="Ja",1,0),"")</f>
        <v/>
      </c>
      <c r="AA911" s="1" t="str">
        <f>IF(AND(Programme_Grunddaten!$A916="Geprüft",Programme_Grunddaten!AI916&lt;&gt;""),IF(Programme_Grunddaten!AI916="Ja",1,0),"")</f>
        <v/>
      </c>
      <c r="AB911" s="1" t="str">
        <f>IF(AND(Programme_Grunddaten!$A916="Geprüft",Programme_Grunddaten!AJ916&lt;&gt;""),IF(Programme_Grunddaten!AJ916="individuell programmierbar",1,0),"")</f>
        <v/>
      </c>
      <c r="AC911" s="1" t="str">
        <f>IF(AND(Programme_Grunddaten!$A916="Geprüft",Programme_Grunddaten!AK916&lt;&gt;""),IF(Programme_Grunddaten!AK916="Deutsch",0,IF(Programme_Grunddaten!AK916="Deutsch und Englisch",1,2)),"")</f>
        <v/>
      </c>
      <c r="AD911" s="1" t="str">
        <f>IF(AND(Programme_Grunddaten!$A916="Geprüft",Programme_Grunddaten!AL916&lt;&gt;""),IF(Programme_Grunddaten!AL916="Ja",1,0),"")</f>
        <v/>
      </c>
      <c r="AE911" s="1" t="str">
        <f>IF(AND(Programme_Grunddaten!$A916="Geprüft",Programme_Grunddaten!AM916&lt;&gt;""),IF(Programme_Grunddaten!AM916="Ja",1,0),"")</f>
        <v/>
      </c>
      <c r="AF911" s="1" t="str">
        <f>IF(AND(Programme_Grunddaten!$A916="Geprüft",Programme_Grunddaten!AN916&lt;&gt;""),IF(Programme_Grunddaten!AN916="Ja",1,0),"")</f>
        <v/>
      </c>
      <c r="AG911" s="1" t="str">
        <f>IF(AND(Programme_Grunddaten!$A916="Geprüft",Programme_Grunddaten!AO916&lt;&gt;""),IF(Programme_Grunddaten!AO916="Ja",1,0),"")</f>
        <v/>
      </c>
      <c r="AH911" s="1" t="str">
        <f>IF(AND(Programme_Grunddaten!$A916="Geprüft",Programme_Grunddaten!AP916&lt;&gt;""),IF(Programme_Grunddaten!AP916="Ja",1,0),"")</f>
        <v/>
      </c>
      <c r="AI911" s="1" t="str">
        <f>IF(AND(Programme_Grunddaten!$A916="Geprüft",Programme_Grunddaten!AQ916&lt;&gt;""),IF(Programme_Grunddaten!AQ916="Ja",1,0),"")</f>
        <v/>
      </c>
      <c r="AJ911" s="1" t="str">
        <f>IF(AND(Programme_Grunddaten!$A916="Geprüft",Programme_Grunddaten!AR916&lt;&gt;""),IF(Programme_Grunddaten!AR916="Ja",1,0),"")</f>
        <v/>
      </c>
      <c r="AK911" s="1" t="str">
        <f>IF(AND(Programme_Grunddaten!$A916="Geprüft",Programme_Grunddaten!AS916&lt;&gt;""),IF(Programme_Grunddaten!AS916="Ja",1,0),"")</f>
        <v/>
      </c>
      <c r="AL911" s="1" t="str">
        <f>IF(AND(Programme_Grunddaten!$A916="Geprüft",Programme_Grunddaten!AT916&lt;&gt;""),IF(Programme_Grunddaten!AT916="Ja",1,0),"")</f>
        <v/>
      </c>
      <c r="AM911" s="1" t="str">
        <f>IF(AND(Programme_Grunddaten!$A916="Geprüft",Programme_Grunddaten!AU916&lt;&gt;""),IF(Programme_Grunddaten!AU916="Ja",1,0),"")</f>
        <v/>
      </c>
      <c r="AN911" s="1" t="str">
        <f>IF(AND(Programme_Grunddaten!$A916="Geprüft",Programme_Grunddaten!AV916&lt;&gt;""),IF(Programme_Grunddaten!AV916="Ja",1,0),"")</f>
        <v/>
      </c>
    </row>
    <row r="912" spans="1:40" x14ac:dyDescent="0.3">
      <c r="A912" s="1" t="str">
        <f>IF(AND(Programme_Grunddaten!A917="Geprüft",Programme_Grunddaten!B917&lt;&gt;""),Programme_Grunddaten!B917,"")</f>
        <v/>
      </c>
      <c r="B912" s="1" t="str">
        <f>IF(AND(Programme_Grunddaten!$A917="Geprüft",Programme_Grunddaten!I917&lt;&gt;""),IF(Programme_Grunddaten!I917="Ja",1,0),"")</f>
        <v/>
      </c>
      <c r="C912" s="1" t="str">
        <f>IF(AND(Programme_Grunddaten!$A917="Geprüft",Programme_Grunddaten!J917&lt;&gt;""),IF(Programme_Grunddaten!J917="Ja",1,0),"")</f>
        <v/>
      </c>
      <c r="D912" s="1" t="str">
        <f>IF(AND(Programme_Grunddaten!$A917="Geprüft",Programme_Grunddaten!K917&lt;&gt;""),IF(Programme_Grunddaten!K917="Ja",1,0),"")</f>
        <v/>
      </c>
      <c r="E912" s="1" t="str">
        <f>IF(AND(Programme_Grunddaten!$A917="Geprüft",Programme_Grunddaten!L917&lt;&gt;""),IF(Programme_Grunddaten!L917="Abo / befristete Lizenz",1,0),"")</f>
        <v/>
      </c>
      <c r="F912" s="1" t="str">
        <f>IF(AND(Programme_Grunddaten!$A917="Geprüft",Programme_Grunddaten!M917&lt;&gt;""),IF(Programme_Grunddaten!M917="Ja",1,0),"")</f>
        <v/>
      </c>
      <c r="G912" s="1" t="str">
        <f>IF(AND(Programme_Grunddaten!$A917="Geprüft",Programme_Grunddaten!N917&lt;&gt;""),IF(Programme_Grunddaten!N917="Ja",1,0),"")</f>
        <v/>
      </c>
      <c r="H912" s="1" t="str">
        <f>IF(AND(Programme_Grunddaten!$A917="Geprüft",Programme_Grunddaten!O917&lt;&gt;""),IF(Programme_Grunddaten!O917="Deutschland",0,IF(Programme_Grunddaten!O917="EU",1,2)),"")</f>
        <v/>
      </c>
      <c r="I912" s="1" t="str">
        <f>IF(AND(Programme_Grunddaten!$A917="Geprüft",Programme_Grunddaten!P917&lt;&gt;""),IF(Programme_Grunddaten!P917="Ja",1,0),"")</f>
        <v/>
      </c>
      <c r="J912" s="1" t="str">
        <f>IF(AND(Programme_Grunddaten!$A917="Geprüft",Programme_Grunddaten!Q917&lt;&gt;""),IF(Programme_Grunddaten!Q917="geschlossenes System",1,0),"")</f>
        <v/>
      </c>
      <c r="K912" s="1" t="str">
        <f>IF(AND(Programme_Grunddaten!$A917="Geprüft",Programme_Grunddaten!R917&lt;&gt;""),IF(Programme_Grunddaten!R917="Ja",1,0),"")</f>
        <v/>
      </c>
      <c r="L912" s="1" t="str">
        <f>IF(AND(Programme_Grunddaten!$A917="Geprüft",Programme_Grunddaten!T917&lt;&gt;""),IF(Programme_Grunddaten!T917="Ja",1,0),"")</f>
        <v/>
      </c>
      <c r="M912" s="1" t="str">
        <f>IF(AND(Programme_Grunddaten!$A917="Geprüft",Programme_Grunddaten!U917&lt;&gt;""),IF(Programme_Grunddaten!U917="Ja",1,0),"")</f>
        <v/>
      </c>
      <c r="N912" s="1" t="str">
        <f>IF(AND(Programme_Grunddaten!$A917="Geprüft",Programme_Grunddaten!V917&lt;&gt;""),IF(Programme_Grunddaten!V917="Ja",1,0),"")</f>
        <v/>
      </c>
      <c r="O912" s="1" t="str">
        <f>IF(AND(Programme_Grunddaten!$A917="Geprüft",Programme_Grunddaten!W917&lt;&gt;""),IF(Programme_Grunddaten!W917="Ja",1,0),"")</f>
        <v/>
      </c>
      <c r="P912" s="1" t="str">
        <f>IF(AND(Programme_Grunddaten!$A917="Geprüft",Programme_Grunddaten!X917&lt;&gt;""),IF(Programme_Grunddaten!X917="Ja",1,0),"")</f>
        <v/>
      </c>
      <c r="Q912" s="1" t="str">
        <f>IF(AND(Programme_Grunddaten!$A917="Geprüft",Programme_Grunddaten!Y917&lt;&gt;""),IF(Programme_Grunddaten!Y917="Ja",1,0),"")</f>
        <v/>
      </c>
      <c r="R912" s="1" t="str">
        <f>IF(AND(Programme_Grunddaten!$A917="Geprüft",Programme_Grunddaten!Z917&lt;&gt;""),IF(Programme_Grunddaten!Z917="Ja",1,0),"")</f>
        <v/>
      </c>
      <c r="S912" s="1" t="str">
        <f>IF(AND(Programme_Grunddaten!$A917="Geprüft",Programme_Grunddaten!AA917&lt;&gt;""),IF(Programme_Grunddaten!AA917="monolithisch",1,0),"")</f>
        <v/>
      </c>
      <c r="T912" s="1" t="str">
        <f>IF(AND(Programme_Grunddaten!$A917="Geprüft",Programme_Grunddaten!AB917&lt;&gt;""),IF(Programme_Grunddaten!AB917="Ja",1,0),"")</f>
        <v/>
      </c>
      <c r="U912" s="1" t="str">
        <f>IF(AND(Programme_Grunddaten!$A917="Geprüft",Programme_Grunddaten!AC917&lt;&gt;""),IF(Programme_Grunddaten!AC917="Ja",1,0),"")</f>
        <v/>
      </c>
      <c r="V912" s="1" t="str">
        <f>IF(AND(Programme_Grunddaten!$A917="Geprüft",Programme_Grunddaten!AD917&lt;&gt;""),IF(Programme_Grunddaten!AD917="Ja",1,0),"")</f>
        <v/>
      </c>
      <c r="W912" s="1" t="str">
        <f>IF(AND(Programme_Grunddaten!$A917="Geprüft",Programme_Grunddaten!AE917&lt;&gt;""),IF(Programme_Grunddaten!AE917="Ja",1,0),"")</f>
        <v/>
      </c>
      <c r="X912" s="1" t="str">
        <f>IF(AND(Programme_Grunddaten!$A917="Geprüft",Programme_Grunddaten!AF917&lt;&gt;""),IF(Programme_Grunddaten!AF917="Ja",1,0),"")</f>
        <v/>
      </c>
      <c r="Y912" s="1" t="str">
        <f>IF(AND(Programme_Grunddaten!$A917="Geprüft",Programme_Grunddaten!AG917&lt;&gt;""),IF(Programme_Grunddaten!AG917="Ja",1,0),"")</f>
        <v/>
      </c>
      <c r="Z912" s="1" t="str">
        <f>IF(AND(Programme_Grunddaten!$A917="Geprüft",Programme_Grunddaten!AH917&lt;&gt;""),IF(Programme_Grunddaten!AH917="Ja",1,0),"")</f>
        <v/>
      </c>
      <c r="AA912" s="1" t="str">
        <f>IF(AND(Programme_Grunddaten!$A917="Geprüft",Programme_Grunddaten!AI917&lt;&gt;""),IF(Programme_Grunddaten!AI917="Ja",1,0),"")</f>
        <v/>
      </c>
      <c r="AB912" s="1" t="str">
        <f>IF(AND(Programme_Grunddaten!$A917="Geprüft",Programme_Grunddaten!AJ917&lt;&gt;""),IF(Programme_Grunddaten!AJ917="individuell programmierbar",1,0),"")</f>
        <v/>
      </c>
      <c r="AC912" s="1" t="str">
        <f>IF(AND(Programme_Grunddaten!$A917="Geprüft",Programme_Grunddaten!AK917&lt;&gt;""),IF(Programme_Grunddaten!AK917="Deutsch",0,IF(Programme_Grunddaten!AK917="Deutsch und Englisch",1,2)),"")</f>
        <v/>
      </c>
      <c r="AD912" s="1" t="str">
        <f>IF(AND(Programme_Grunddaten!$A917="Geprüft",Programme_Grunddaten!AL917&lt;&gt;""),IF(Programme_Grunddaten!AL917="Ja",1,0),"")</f>
        <v/>
      </c>
      <c r="AE912" s="1" t="str">
        <f>IF(AND(Programme_Grunddaten!$A917="Geprüft",Programme_Grunddaten!AM917&lt;&gt;""),IF(Programme_Grunddaten!AM917="Ja",1,0),"")</f>
        <v/>
      </c>
      <c r="AF912" s="1" t="str">
        <f>IF(AND(Programme_Grunddaten!$A917="Geprüft",Programme_Grunddaten!AN917&lt;&gt;""),IF(Programme_Grunddaten!AN917="Ja",1,0),"")</f>
        <v/>
      </c>
      <c r="AG912" s="1" t="str">
        <f>IF(AND(Programme_Grunddaten!$A917="Geprüft",Programme_Grunddaten!AO917&lt;&gt;""),IF(Programme_Grunddaten!AO917="Ja",1,0),"")</f>
        <v/>
      </c>
      <c r="AH912" s="1" t="str">
        <f>IF(AND(Programme_Grunddaten!$A917="Geprüft",Programme_Grunddaten!AP917&lt;&gt;""),IF(Programme_Grunddaten!AP917="Ja",1,0),"")</f>
        <v/>
      </c>
      <c r="AI912" s="1" t="str">
        <f>IF(AND(Programme_Grunddaten!$A917="Geprüft",Programme_Grunddaten!AQ917&lt;&gt;""),IF(Programme_Grunddaten!AQ917="Ja",1,0),"")</f>
        <v/>
      </c>
      <c r="AJ912" s="1" t="str">
        <f>IF(AND(Programme_Grunddaten!$A917="Geprüft",Programme_Grunddaten!AR917&lt;&gt;""),IF(Programme_Grunddaten!AR917="Ja",1,0),"")</f>
        <v/>
      </c>
      <c r="AK912" s="1" t="str">
        <f>IF(AND(Programme_Grunddaten!$A917="Geprüft",Programme_Grunddaten!AS917&lt;&gt;""),IF(Programme_Grunddaten!AS917="Ja",1,0),"")</f>
        <v/>
      </c>
      <c r="AL912" s="1" t="str">
        <f>IF(AND(Programme_Grunddaten!$A917="Geprüft",Programme_Grunddaten!AT917&lt;&gt;""),IF(Programme_Grunddaten!AT917="Ja",1,0),"")</f>
        <v/>
      </c>
      <c r="AM912" s="1" t="str">
        <f>IF(AND(Programme_Grunddaten!$A917="Geprüft",Programme_Grunddaten!AU917&lt;&gt;""),IF(Programme_Grunddaten!AU917="Ja",1,0),"")</f>
        <v/>
      </c>
      <c r="AN912" s="1" t="str">
        <f>IF(AND(Programme_Grunddaten!$A917="Geprüft",Programme_Grunddaten!AV917&lt;&gt;""),IF(Programme_Grunddaten!AV917="Ja",1,0),"")</f>
        <v/>
      </c>
    </row>
    <row r="913" spans="1:40" x14ac:dyDescent="0.3">
      <c r="A913" s="1" t="str">
        <f>IF(AND(Programme_Grunddaten!A918="Geprüft",Programme_Grunddaten!B918&lt;&gt;""),Programme_Grunddaten!B918,"")</f>
        <v/>
      </c>
      <c r="B913" s="1" t="str">
        <f>IF(AND(Programme_Grunddaten!$A918="Geprüft",Programme_Grunddaten!I918&lt;&gt;""),IF(Programme_Grunddaten!I918="Ja",1,0),"")</f>
        <v/>
      </c>
      <c r="C913" s="1" t="str">
        <f>IF(AND(Programme_Grunddaten!$A918="Geprüft",Programme_Grunddaten!J918&lt;&gt;""),IF(Programme_Grunddaten!J918="Ja",1,0),"")</f>
        <v/>
      </c>
      <c r="D913" s="1" t="str">
        <f>IF(AND(Programme_Grunddaten!$A918="Geprüft",Programme_Grunddaten!K918&lt;&gt;""),IF(Programme_Grunddaten!K918="Ja",1,0),"")</f>
        <v/>
      </c>
      <c r="E913" s="1" t="str">
        <f>IF(AND(Programme_Grunddaten!$A918="Geprüft",Programme_Grunddaten!L918&lt;&gt;""),IF(Programme_Grunddaten!L918="Abo / befristete Lizenz",1,0),"")</f>
        <v/>
      </c>
      <c r="F913" s="1" t="str">
        <f>IF(AND(Programme_Grunddaten!$A918="Geprüft",Programme_Grunddaten!M918&lt;&gt;""),IF(Programme_Grunddaten!M918="Ja",1,0),"")</f>
        <v/>
      </c>
      <c r="G913" s="1" t="str">
        <f>IF(AND(Programme_Grunddaten!$A918="Geprüft",Programme_Grunddaten!N918&lt;&gt;""),IF(Programme_Grunddaten!N918="Ja",1,0),"")</f>
        <v/>
      </c>
      <c r="H913" s="1" t="str">
        <f>IF(AND(Programme_Grunddaten!$A918="Geprüft",Programme_Grunddaten!O918&lt;&gt;""),IF(Programme_Grunddaten!O918="Deutschland",0,IF(Programme_Grunddaten!O918="EU",1,2)),"")</f>
        <v/>
      </c>
      <c r="I913" s="1" t="str">
        <f>IF(AND(Programme_Grunddaten!$A918="Geprüft",Programme_Grunddaten!P918&lt;&gt;""),IF(Programme_Grunddaten!P918="Ja",1,0),"")</f>
        <v/>
      </c>
      <c r="J913" s="1" t="str">
        <f>IF(AND(Programme_Grunddaten!$A918="Geprüft",Programme_Grunddaten!Q918&lt;&gt;""),IF(Programme_Grunddaten!Q918="geschlossenes System",1,0),"")</f>
        <v/>
      </c>
      <c r="K913" s="1" t="str">
        <f>IF(AND(Programme_Grunddaten!$A918="Geprüft",Programme_Grunddaten!R918&lt;&gt;""),IF(Programme_Grunddaten!R918="Ja",1,0),"")</f>
        <v/>
      </c>
      <c r="L913" s="1" t="str">
        <f>IF(AND(Programme_Grunddaten!$A918="Geprüft",Programme_Grunddaten!T918&lt;&gt;""),IF(Programme_Grunddaten!T918="Ja",1,0),"")</f>
        <v/>
      </c>
      <c r="M913" s="1" t="str">
        <f>IF(AND(Programme_Grunddaten!$A918="Geprüft",Programme_Grunddaten!U918&lt;&gt;""),IF(Programme_Grunddaten!U918="Ja",1,0),"")</f>
        <v/>
      </c>
      <c r="N913" s="1" t="str">
        <f>IF(AND(Programme_Grunddaten!$A918="Geprüft",Programme_Grunddaten!V918&lt;&gt;""),IF(Programme_Grunddaten!V918="Ja",1,0),"")</f>
        <v/>
      </c>
      <c r="O913" s="1" t="str">
        <f>IF(AND(Programme_Grunddaten!$A918="Geprüft",Programme_Grunddaten!W918&lt;&gt;""),IF(Programme_Grunddaten!W918="Ja",1,0),"")</f>
        <v/>
      </c>
      <c r="P913" s="1" t="str">
        <f>IF(AND(Programme_Grunddaten!$A918="Geprüft",Programme_Grunddaten!X918&lt;&gt;""),IF(Programme_Grunddaten!X918="Ja",1,0),"")</f>
        <v/>
      </c>
      <c r="Q913" s="1" t="str">
        <f>IF(AND(Programme_Grunddaten!$A918="Geprüft",Programme_Grunddaten!Y918&lt;&gt;""),IF(Programme_Grunddaten!Y918="Ja",1,0),"")</f>
        <v/>
      </c>
      <c r="R913" s="1" t="str">
        <f>IF(AND(Programme_Grunddaten!$A918="Geprüft",Programme_Grunddaten!Z918&lt;&gt;""),IF(Programme_Grunddaten!Z918="Ja",1,0),"")</f>
        <v/>
      </c>
      <c r="S913" s="1" t="str">
        <f>IF(AND(Programme_Grunddaten!$A918="Geprüft",Programme_Grunddaten!AA918&lt;&gt;""),IF(Programme_Grunddaten!AA918="monolithisch",1,0),"")</f>
        <v/>
      </c>
      <c r="T913" s="1" t="str">
        <f>IF(AND(Programme_Grunddaten!$A918="Geprüft",Programme_Grunddaten!AB918&lt;&gt;""),IF(Programme_Grunddaten!AB918="Ja",1,0),"")</f>
        <v/>
      </c>
      <c r="U913" s="1" t="str">
        <f>IF(AND(Programme_Grunddaten!$A918="Geprüft",Programme_Grunddaten!AC918&lt;&gt;""),IF(Programme_Grunddaten!AC918="Ja",1,0),"")</f>
        <v/>
      </c>
      <c r="V913" s="1" t="str">
        <f>IF(AND(Programme_Grunddaten!$A918="Geprüft",Programme_Grunddaten!AD918&lt;&gt;""),IF(Programme_Grunddaten!AD918="Ja",1,0),"")</f>
        <v/>
      </c>
      <c r="W913" s="1" t="str">
        <f>IF(AND(Programme_Grunddaten!$A918="Geprüft",Programme_Grunddaten!AE918&lt;&gt;""),IF(Programme_Grunddaten!AE918="Ja",1,0),"")</f>
        <v/>
      </c>
      <c r="X913" s="1" t="str">
        <f>IF(AND(Programme_Grunddaten!$A918="Geprüft",Programme_Grunddaten!AF918&lt;&gt;""),IF(Programme_Grunddaten!AF918="Ja",1,0),"")</f>
        <v/>
      </c>
      <c r="Y913" s="1" t="str">
        <f>IF(AND(Programme_Grunddaten!$A918="Geprüft",Programme_Grunddaten!AG918&lt;&gt;""),IF(Programme_Grunddaten!AG918="Ja",1,0),"")</f>
        <v/>
      </c>
      <c r="Z913" s="1" t="str">
        <f>IF(AND(Programme_Grunddaten!$A918="Geprüft",Programme_Grunddaten!AH918&lt;&gt;""),IF(Programme_Grunddaten!AH918="Ja",1,0),"")</f>
        <v/>
      </c>
      <c r="AA913" s="1" t="str">
        <f>IF(AND(Programme_Grunddaten!$A918="Geprüft",Programme_Grunddaten!AI918&lt;&gt;""),IF(Programme_Grunddaten!AI918="Ja",1,0),"")</f>
        <v/>
      </c>
      <c r="AB913" s="1" t="str">
        <f>IF(AND(Programme_Grunddaten!$A918="Geprüft",Programme_Grunddaten!AJ918&lt;&gt;""),IF(Programme_Grunddaten!AJ918="individuell programmierbar",1,0),"")</f>
        <v/>
      </c>
      <c r="AC913" s="1" t="str">
        <f>IF(AND(Programme_Grunddaten!$A918="Geprüft",Programme_Grunddaten!AK918&lt;&gt;""),IF(Programme_Grunddaten!AK918="Deutsch",0,IF(Programme_Grunddaten!AK918="Deutsch und Englisch",1,2)),"")</f>
        <v/>
      </c>
      <c r="AD913" s="1" t="str">
        <f>IF(AND(Programme_Grunddaten!$A918="Geprüft",Programme_Grunddaten!AL918&lt;&gt;""),IF(Programme_Grunddaten!AL918="Ja",1,0),"")</f>
        <v/>
      </c>
      <c r="AE913" s="1" t="str">
        <f>IF(AND(Programme_Grunddaten!$A918="Geprüft",Programme_Grunddaten!AM918&lt;&gt;""),IF(Programme_Grunddaten!AM918="Ja",1,0),"")</f>
        <v/>
      </c>
      <c r="AF913" s="1" t="str">
        <f>IF(AND(Programme_Grunddaten!$A918="Geprüft",Programme_Grunddaten!AN918&lt;&gt;""),IF(Programme_Grunddaten!AN918="Ja",1,0),"")</f>
        <v/>
      </c>
      <c r="AG913" s="1" t="str">
        <f>IF(AND(Programme_Grunddaten!$A918="Geprüft",Programme_Grunddaten!AO918&lt;&gt;""),IF(Programme_Grunddaten!AO918="Ja",1,0),"")</f>
        <v/>
      </c>
      <c r="AH913" s="1" t="str">
        <f>IF(AND(Programme_Grunddaten!$A918="Geprüft",Programme_Grunddaten!AP918&lt;&gt;""),IF(Programme_Grunddaten!AP918="Ja",1,0),"")</f>
        <v/>
      </c>
      <c r="AI913" s="1" t="str">
        <f>IF(AND(Programme_Grunddaten!$A918="Geprüft",Programme_Grunddaten!AQ918&lt;&gt;""),IF(Programme_Grunddaten!AQ918="Ja",1,0),"")</f>
        <v/>
      </c>
      <c r="AJ913" s="1" t="str">
        <f>IF(AND(Programme_Grunddaten!$A918="Geprüft",Programme_Grunddaten!AR918&lt;&gt;""),IF(Programme_Grunddaten!AR918="Ja",1,0),"")</f>
        <v/>
      </c>
      <c r="AK913" s="1" t="str">
        <f>IF(AND(Programme_Grunddaten!$A918="Geprüft",Programme_Grunddaten!AS918&lt;&gt;""),IF(Programme_Grunddaten!AS918="Ja",1,0),"")</f>
        <v/>
      </c>
      <c r="AL913" s="1" t="str">
        <f>IF(AND(Programme_Grunddaten!$A918="Geprüft",Programme_Grunddaten!AT918&lt;&gt;""),IF(Programme_Grunddaten!AT918="Ja",1,0),"")</f>
        <v/>
      </c>
      <c r="AM913" s="1" t="str">
        <f>IF(AND(Programme_Grunddaten!$A918="Geprüft",Programme_Grunddaten!AU918&lt;&gt;""),IF(Programme_Grunddaten!AU918="Ja",1,0),"")</f>
        <v/>
      </c>
      <c r="AN913" s="1" t="str">
        <f>IF(AND(Programme_Grunddaten!$A918="Geprüft",Programme_Grunddaten!AV918&lt;&gt;""),IF(Programme_Grunddaten!AV918="Ja",1,0),"")</f>
        <v/>
      </c>
    </row>
    <row r="914" spans="1:40" x14ac:dyDescent="0.3">
      <c r="A914" s="1" t="str">
        <f>IF(AND(Programme_Grunddaten!A919="Geprüft",Programme_Grunddaten!B919&lt;&gt;""),Programme_Grunddaten!B919,"")</f>
        <v/>
      </c>
      <c r="B914" s="1" t="str">
        <f>IF(AND(Programme_Grunddaten!$A919="Geprüft",Programme_Grunddaten!I919&lt;&gt;""),IF(Programme_Grunddaten!I919="Ja",1,0),"")</f>
        <v/>
      </c>
      <c r="C914" s="1" t="str">
        <f>IF(AND(Programme_Grunddaten!$A919="Geprüft",Programme_Grunddaten!J919&lt;&gt;""),IF(Programme_Grunddaten!J919="Ja",1,0),"")</f>
        <v/>
      </c>
      <c r="D914" s="1" t="str">
        <f>IF(AND(Programme_Grunddaten!$A919="Geprüft",Programme_Grunddaten!K919&lt;&gt;""),IF(Programme_Grunddaten!K919="Ja",1,0),"")</f>
        <v/>
      </c>
      <c r="E914" s="1" t="str">
        <f>IF(AND(Programme_Grunddaten!$A919="Geprüft",Programme_Grunddaten!L919&lt;&gt;""),IF(Programme_Grunddaten!L919="Abo / befristete Lizenz",1,0),"")</f>
        <v/>
      </c>
      <c r="F914" s="1" t="str">
        <f>IF(AND(Programme_Grunddaten!$A919="Geprüft",Programme_Grunddaten!M919&lt;&gt;""),IF(Programme_Grunddaten!M919="Ja",1,0),"")</f>
        <v/>
      </c>
      <c r="G914" s="1" t="str">
        <f>IF(AND(Programme_Grunddaten!$A919="Geprüft",Programme_Grunddaten!N919&lt;&gt;""),IF(Programme_Grunddaten!N919="Ja",1,0),"")</f>
        <v/>
      </c>
      <c r="H914" s="1" t="str">
        <f>IF(AND(Programme_Grunddaten!$A919="Geprüft",Programme_Grunddaten!O919&lt;&gt;""),IF(Programme_Grunddaten!O919="Deutschland",0,IF(Programme_Grunddaten!O919="EU",1,2)),"")</f>
        <v/>
      </c>
      <c r="I914" s="1" t="str">
        <f>IF(AND(Programme_Grunddaten!$A919="Geprüft",Programme_Grunddaten!P919&lt;&gt;""),IF(Programme_Grunddaten!P919="Ja",1,0),"")</f>
        <v/>
      </c>
      <c r="J914" s="1" t="str">
        <f>IF(AND(Programme_Grunddaten!$A919="Geprüft",Programme_Grunddaten!Q919&lt;&gt;""),IF(Programme_Grunddaten!Q919="geschlossenes System",1,0),"")</f>
        <v/>
      </c>
      <c r="K914" s="1" t="str">
        <f>IF(AND(Programme_Grunddaten!$A919="Geprüft",Programme_Grunddaten!R919&lt;&gt;""),IF(Programme_Grunddaten!R919="Ja",1,0),"")</f>
        <v/>
      </c>
      <c r="L914" s="1" t="str">
        <f>IF(AND(Programme_Grunddaten!$A919="Geprüft",Programme_Grunddaten!T919&lt;&gt;""),IF(Programme_Grunddaten!T919="Ja",1,0),"")</f>
        <v/>
      </c>
      <c r="M914" s="1" t="str">
        <f>IF(AND(Programme_Grunddaten!$A919="Geprüft",Programme_Grunddaten!U919&lt;&gt;""),IF(Programme_Grunddaten!U919="Ja",1,0),"")</f>
        <v/>
      </c>
      <c r="N914" s="1" t="str">
        <f>IF(AND(Programme_Grunddaten!$A919="Geprüft",Programme_Grunddaten!V919&lt;&gt;""),IF(Programme_Grunddaten!V919="Ja",1,0),"")</f>
        <v/>
      </c>
      <c r="O914" s="1" t="str">
        <f>IF(AND(Programme_Grunddaten!$A919="Geprüft",Programme_Grunddaten!W919&lt;&gt;""),IF(Programme_Grunddaten!W919="Ja",1,0),"")</f>
        <v/>
      </c>
      <c r="P914" s="1" t="str">
        <f>IF(AND(Programme_Grunddaten!$A919="Geprüft",Programme_Grunddaten!X919&lt;&gt;""),IF(Programme_Grunddaten!X919="Ja",1,0),"")</f>
        <v/>
      </c>
      <c r="Q914" s="1" t="str">
        <f>IF(AND(Programme_Grunddaten!$A919="Geprüft",Programme_Grunddaten!Y919&lt;&gt;""),IF(Programme_Grunddaten!Y919="Ja",1,0),"")</f>
        <v/>
      </c>
      <c r="R914" s="1" t="str">
        <f>IF(AND(Programme_Grunddaten!$A919="Geprüft",Programme_Grunddaten!Z919&lt;&gt;""),IF(Programme_Grunddaten!Z919="Ja",1,0),"")</f>
        <v/>
      </c>
      <c r="S914" s="1" t="str">
        <f>IF(AND(Programme_Grunddaten!$A919="Geprüft",Programme_Grunddaten!AA919&lt;&gt;""),IF(Programme_Grunddaten!AA919="monolithisch",1,0),"")</f>
        <v/>
      </c>
      <c r="T914" s="1" t="str">
        <f>IF(AND(Programme_Grunddaten!$A919="Geprüft",Programme_Grunddaten!AB919&lt;&gt;""),IF(Programme_Grunddaten!AB919="Ja",1,0),"")</f>
        <v/>
      </c>
      <c r="U914" s="1" t="str">
        <f>IF(AND(Programme_Grunddaten!$A919="Geprüft",Programme_Grunddaten!AC919&lt;&gt;""),IF(Programme_Grunddaten!AC919="Ja",1,0),"")</f>
        <v/>
      </c>
      <c r="V914" s="1" t="str">
        <f>IF(AND(Programme_Grunddaten!$A919="Geprüft",Programme_Grunddaten!AD919&lt;&gt;""),IF(Programme_Grunddaten!AD919="Ja",1,0),"")</f>
        <v/>
      </c>
      <c r="W914" s="1" t="str">
        <f>IF(AND(Programme_Grunddaten!$A919="Geprüft",Programme_Grunddaten!AE919&lt;&gt;""),IF(Programme_Grunddaten!AE919="Ja",1,0),"")</f>
        <v/>
      </c>
      <c r="X914" s="1" t="str">
        <f>IF(AND(Programme_Grunddaten!$A919="Geprüft",Programme_Grunddaten!AF919&lt;&gt;""),IF(Programme_Grunddaten!AF919="Ja",1,0),"")</f>
        <v/>
      </c>
      <c r="Y914" s="1" t="str">
        <f>IF(AND(Programme_Grunddaten!$A919="Geprüft",Programme_Grunddaten!AG919&lt;&gt;""),IF(Programme_Grunddaten!AG919="Ja",1,0),"")</f>
        <v/>
      </c>
      <c r="Z914" s="1" t="str">
        <f>IF(AND(Programme_Grunddaten!$A919="Geprüft",Programme_Grunddaten!AH919&lt;&gt;""),IF(Programme_Grunddaten!AH919="Ja",1,0),"")</f>
        <v/>
      </c>
      <c r="AA914" s="1" t="str">
        <f>IF(AND(Programme_Grunddaten!$A919="Geprüft",Programme_Grunddaten!AI919&lt;&gt;""),IF(Programme_Grunddaten!AI919="Ja",1,0),"")</f>
        <v/>
      </c>
      <c r="AB914" s="1" t="str">
        <f>IF(AND(Programme_Grunddaten!$A919="Geprüft",Programme_Grunddaten!AJ919&lt;&gt;""),IF(Programme_Grunddaten!AJ919="individuell programmierbar",1,0),"")</f>
        <v/>
      </c>
      <c r="AC914" s="1" t="str">
        <f>IF(AND(Programme_Grunddaten!$A919="Geprüft",Programme_Grunddaten!AK919&lt;&gt;""),IF(Programme_Grunddaten!AK919="Deutsch",0,IF(Programme_Grunddaten!AK919="Deutsch und Englisch",1,2)),"")</f>
        <v/>
      </c>
      <c r="AD914" s="1" t="str">
        <f>IF(AND(Programme_Grunddaten!$A919="Geprüft",Programme_Grunddaten!AL919&lt;&gt;""),IF(Programme_Grunddaten!AL919="Ja",1,0),"")</f>
        <v/>
      </c>
      <c r="AE914" s="1" t="str">
        <f>IF(AND(Programme_Grunddaten!$A919="Geprüft",Programme_Grunddaten!AM919&lt;&gt;""),IF(Programme_Grunddaten!AM919="Ja",1,0),"")</f>
        <v/>
      </c>
      <c r="AF914" s="1" t="str">
        <f>IF(AND(Programme_Grunddaten!$A919="Geprüft",Programme_Grunddaten!AN919&lt;&gt;""),IF(Programme_Grunddaten!AN919="Ja",1,0),"")</f>
        <v/>
      </c>
      <c r="AG914" s="1" t="str">
        <f>IF(AND(Programme_Grunddaten!$A919="Geprüft",Programme_Grunddaten!AO919&lt;&gt;""),IF(Programme_Grunddaten!AO919="Ja",1,0),"")</f>
        <v/>
      </c>
      <c r="AH914" s="1" t="str">
        <f>IF(AND(Programme_Grunddaten!$A919="Geprüft",Programme_Grunddaten!AP919&lt;&gt;""),IF(Programme_Grunddaten!AP919="Ja",1,0),"")</f>
        <v/>
      </c>
      <c r="AI914" s="1" t="str">
        <f>IF(AND(Programme_Grunddaten!$A919="Geprüft",Programme_Grunddaten!AQ919&lt;&gt;""),IF(Programme_Grunddaten!AQ919="Ja",1,0),"")</f>
        <v/>
      </c>
      <c r="AJ914" s="1" t="str">
        <f>IF(AND(Programme_Grunddaten!$A919="Geprüft",Programme_Grunddaten!AR919&lt;&gt;""),IF(Programme_Grunddaten!AR919="Ja",1,0),"")</f>
        <v/>
      </c>
      <c r="AK914" s="1" t="str">
        <f>IF(AND(Programme_Grunddaten!$A919="Geprüft",Programme_Grunddaten!AS919&lt;&gt;""),IF(Programme_Grunddaten!AS919="Ja",1,0),"")</f>
        <v/>
      </c>
      <c r="AL914" s="1" t="str">
        <f>IF(AND(Programme_Grunddaten!$A919="Geprüft",Programme_Grunddaten!AT919&lt;&gt;""),IF(Programme_Grunddaten!AT919="Ja",1,0),"")</f>
        <v/>
      </c>
      <c r="AM914" s="1" t="str">
        <f>IF(AND(Programme_Grunddaten!$A919="Geprüft",Programme_Grunddaten!AU919&lt;&gt;""),IF(Programme_Grunddaten!AU919="Ja",1,0),"")</f>
        <v/>
      </c>
      <c r="AN914" s="1" t="str">
        <f>IF(AND(Programme_Grunddaten!$A919="Geprüft",Programme_Grunddaten!AV919&lt;&gt;""),IF(Programme_Grunddaten!AV919="Ja",1,0),"")</f>
        <v/>
      </c>
    </row>
    <row r="915" spans="1:40" x14ac:dyDescent="0.3">
      <c r="A915" s="1" t="str">
        <f>IF(AND(Programme_Grunddaten!A920="Geprüft",Programme_Grunddaten!B920&lt;&gt;""),Programme_Grunddaten!B920,"")</f>
        <v/>
      </c>
      <c r="B915" s="1" t="str">
        <f>IF(AND(Programme_Grunddaten!$A920="Geprüft",Programme_Grunddaten!I920&lt;&gt;""),IF(Programme_Grunddaten!I920="Ja",1,0),"")</f>
        <v/>
      </c>
      <c r="C915" s="1" t="str">
        <f>IF(AND(Programme_Grunddaten!$A920="Geprüft",Programme_Grunddaten!J920&lt;&gt;""),IF(Programme_Grunddaten!J920="Ja",1,0),"")</f>
        <v/>
      </c>
      <c r="D915" s="1" t="str">
        <f>IF(AND(Programme_Grunddaten!$A920="Geprüft",Programme_Grunddaten!K920&lt;&gt;""),IF(Programme_Grunddaten!K920="Ja",1,0),"")</f>
        <v/>
      </c>
      <c r="E915" s="1" t="str">
        <f>IF(AND(Programme_Grunddaten!$A920="Geprüft",Programme_Grunddaten!L920&lt;&gt;""),IF(Programme_Grunddaten!L920="Abo / befristete Lizenz",1,0),"")</f>
        <v/>
      </c>
      <c r="F915" s="1" t="str">
        <f>IF(AND(Programme_Grunddaten!$A920="Geprüft",Programme_Grunddaten!M920&lt;&gt;""),IF(Programme_Grunddaten!M920="Ja",1,0),"")</f>
        <v/>
      </c>
      <c r="G915" s="1" t="str">
        <f>IF(AND(Programme_Grunddaten!$A920="Geprüft",Programme_Grunddaten!N920&lt;&gt;""),IF(Programme_Grunddaten!N920="Ja",1,0),"")</f>
        <v/>
      </c>
      <c r="H915" s="1" t="str">
        <f>IF(AND(Programme_Grunddaten!$A920="Geprüft",Programme_Grunddaten!O920&lt;&gt;""),IF(Programme_Grunddaten!O920="Deutschland",0,IF(Programme_Grunddaten!O920="EU",1,2)),"")</f>
        <v/>
      </c>
      <c r="I915" s="1" t="str">
        <f>IF(AND(Programme_Grunddaten!$A920="Geprüft",Programme_Grunddaten!P920&lt;&gt;""),IF(Programme_Grunddaten!P920="Ja",1,0),"")</f>
        <v/>
      </c>
      <c r="J915" s="1" t="str">
        <f>IF(AND(Programme_Grunddaten!$A920="Geprüft",Programme_Grunddaten!Q920&lt;&gt;""),IF(Programme_Grunddaten!Q920="geschlossenes System",1,0),"")</f>
        <v/>
      </c>
      <c r="K915" s="1" t="str">
        <f>IF(AND(Programme_Grunddaten!$A920="Geprüft",Programme_Grunddaten!R920&lt;&gt;""),IF(Programme_Grunddaten!R920="Ja",1,0),"")</f>
        <v/>
      </c>
      <c r="L915" s="1" t="str">
        <f>IF(AND(Programme_Grunddaten!$A920="Geprüft",Programme_Grunddaten!T920&lt;&gt;""),IF(Programme_Grunddaten!T920="Ja",1,0),"")</f>
        <v/>
      </c>
      <c r="M915" s="1" t="str">
        <f>IF(AND(Programme_Grunddaten!$A920="Geprüft",Programme_Grunddaten!U920&lt;&gt;""),IF(Programme_Grunddaten!U920="Ja",1,0),"")</f>
        <v/>
      </c>
      <c r="N915" s="1" t="str">
        <f>IF(AND(Programme_Grunddaten!$A920="Geprüft",Programme_Grunddaten!V920&lt;&gt;""),IF(Programme_Grunddaten!V920="Ja",1,0),"")</f>
        <v/>
      </c>
      <c r="O915" s="1" t="str">
        <f>IF(AND(Programme_Grunddaten!$A920="Geprüft",Programme_Grunddaten!W920&lt;&gt;""),IF(Programme_Grunddaten!W920="Ja",1,0),"")</f>
        <v/>
      </c>
      <c r="P915" s="1" t="str">
        <f>IF(AND(Programme_Grunddaten!$A920="Geprüft",Programme_Grunddaten!X920&lt;&gt;""),IF(Programme_Grunddaten!X920="Ja",1,0),"")</f>
        <v/>
      </c>
      <c r="Q915" s="1" t="str">
        <f>IF(AND(Programme_Grunddaten!$A920="Geprüft",Programme_Grunddaten!Y920&lt;&gt;""),IF(Programme_Grunddaten!Y920="Ja",1,0),"")</f>
        <v/>
      </c>
      <c r="R915" s="1" t="str">
        <f>IF(AND(Programme_Grunddaten!$A920="Geprüft",Programme_Grunddaten!Z920&lt;&gt;""),IF(Programme_Grunddaten!Z920="Ja",1,0),"")</f>
        <v/>
      </c>
      <c r="S915" s="1" t="str">
        <f>IF(AND(Programme_Grunddaten!$A920="Geprüft",Programme_Grunddaten!AA920&lt;&gt;""),IF(Programme_Grunddaten!AA920="monolithisch",1,0),"")</f>
        <v/>
      </c>
      <c r="T915" s="1" t="str">
        <f>IF(AND(Programme_Grunddaten!$A920="Geprüft",Programme_Grunddaten!AB920&lt;&gt;""),IF(Programme_Grunddaten!AB920="Ja",1,0),"")</f>
        <v/>
      </c>
      <c r="U915" s="1" t="str">
        <f>IF(AND(Programme_Grunddaten!$A920="Geprüft",Programme_Grunddaten!AC920&lt;&gt;""),IF(Programme_Grunddaten!AC920="Ja",1,0),"")</f>
        <v/>
      </c>
      <c r="V915" s="1" t="str">
        <f>IF(AND(Programme_Grunddaten!$A920="Geprüft",Programme_Grunddaten!AD920&lt;&gt;""),IF(Programme_Grunddaten!AD920="Ja",1,0),"")</f>
        <v/>
      </c>
      <c r="W915" s="1" t="str">
        <f>IF(AND(Programme_Grunddaten!$A920="Geprüft",Programme_Grunddaten!AE920&lt;&gt;""),IF(Programme_Grunddaten!AE920="Ja",1,0),"")</f>
        <v/>
      </c>
      <c r="X915" s="1" t="str">
        <f>IF(AND(Programme_Grunddaten!$A920="Geprüft",Programme_Grunddaten!AF920&lt;&gt;""),IF(Programme_Grunddaten!AF920="Ja",1,0),"")</f>
        <v/>
      </c>
      <c r="Y915" s="1" t="str">
        <f>IF(AND(Programme_Grunddaten!$A920="Geprüft",Programme_Grunddaten!AG920&lt;&gt;""),IF(Programme_Grunddaten!AG920="Ja",1,0),"")</f>
        <v/>
      </c>
      <c r="Z915" s="1" t="str">
        <f>IF(AND(Programme_Grunddaten!$A920="Geprüft",Programme_Grunddaten!AH920&lt;&gt;""),IF(Programme_Grunddaten!AH920="Ja",1,0),"")</f>
        <v/>
      </c>
      <c r="AA915" s="1" t="str">
        <f>IF(AND(Programme_Grunddaten!$A920="Geprüft",Programme_Grunddaten!AI920&lt;&gt;""),IF(Programme_Grunddaten!AI920="Ja",1,0),"")</f>
        <v/>
      </c>
      <c r="AB915" s="1" t="str">
        <f>IF(AND(Programme_Grunddaten!$A920="Geprüft",Programme_Grunddaten!AJ920&lt;&gt;""),IF(Programme_Grunddaten!AJ920="individuell programmierbar",1,0),"")</f>
        <v/>
      </c>
      <c r="AC915" s="1" t="str">
        <f>IF(AND(Programme_Grunddaten!$A920="Geprüft",Programme_Grunddaten!AK920&lt;&gt;""),IF(Programme_Grunddaten!AK920="Deutsch",0,IF(Programme_Grunddaten!AK920="Deutsch und Englisch",1,2)),"")</f>
        <v/>
      </c>
      <c r="AD915" s="1" t="str">
        <f>IF(AND(Programme_Grunddaten!$A920="Geprüft",Programme_Grunddaten!AL920&lt;&gt;""),IF(Programme_Grunddaten!AL920="Ja",1,0),"")</f>
        <v/>
      </c>
      <c r="AE915" s="1" t="str">
        <f>IF(AND(Programme_Grunddaten!$A920="Geprüft",Programme_Grunddaten!AM920&lt;&gt;""),IF(Programme_Grunddaten!AM920="Ja",1,0),"")</f>
        <v/>
      </c>
      <c r="AF915" s="1" t="str">
        <f>IF(AND(Programme_Grunddaten!$A920="Geprüft",Programme_Grunddaten!AN920&lt;&gt;""),IF(Programme_Grunddaten!AN920="Ja",1,0),"")</f>
        <v/>
      </c>
      <c r="AG915" s="1" t="str">
        <f>IF(AND(Programme_Grunddaten!$A920="Geprüft",Programme_Grunddaten!AO920&lt;&gt;""),IF(Programme_Grunddaten!AO920="Ja",1,0),"")</f>
        <v/>
      </c>
      <c r="AH915" s="1" t="str">
        <f>IF(AND(Programme_Grunddaten!$A920="Geprüft",Programme_Grunddaten!AP920&lt;&gt;""),IF(Programme_Grunddaten!AP920="Ja",1,0),"")</f>
        <v/>
      </c>
      <c r="AI915" s="1" t="str">
        <f>IF(AND(Programme_Grunddaten!$A920="Geprüft",Programme_Grunddaten!AQ920&lt;&gt;""),IF(Programme_Grunddaten!AQ920="Ja",1,0),"")</f>
        <v/>
      </c>
      <c r="AJ915" s="1" t="str">
        <f>IF(AND(Programme_Grunddaten!$A920="Geprüft",Programme_Grunddaten!AR920&lt;&gt;""),IF(Programme_Grunddaten!AR920="Ja",1,0),"")</f>
        <v/>
      </c>
      <c r="AK915" s="1" t="str">
        <f>IF(AND(Programme_Grunddaten!$A920="Geprüft",Programme_Grunddaten!AS920&lt;&gt;""),IF(Programme_Grunddaten!AS920="Ja",1,0),"")</f>
        <v/>
      </c>
      <c r="AL915" s="1" t="str">
        <f>IF(AND(Programme_Grunddaten!$A920="Geprüft",Programme_Grunddaten!AT920&lt;&gt;""),IF(Programme_Grunddaten!AT920="Ja",1,0),"")</f>
        <v/>
      </c>
      <c r="AM915" s="1" t="str">
        <f>IF(AND(Programme_Grunddaten!$A920="Geprüft",Programme_Grunddaten!AU920&lt;&gt;""),IF(Programme_Grunddaten!AU920="Ja",1,0),"")</f>
        <v/>
      </c>
      <c r="AN915" s="1" t="str">
        <f>IF(AND(Programme_Grunddaten!$A920="Geprüft",Programme_Grunddaten!AV920&lt;&gt;""),IF(Programme_Grunddaten!AV920="Ja",1,0),"")</f>
        <v/>
      </c>
    </row>
    <row r="916" spans="1:40" x14ac:dyDescent="0.3">
      <c r="A916" s="1" t="str">
        <f>IF(AND(Programme_Grunddaten!A921="Geprüft",Programme_Grunddaten!B921&lt;&gt;""),Programme_Grunddaten!B921,"")</f>
        <v/>
      </c>
      <c r="B916" s="1" t="str">
        <f>IF(AND(Programme_Grunddaten!$A921="Geprüft",Programme_Grunddaten!I921&lt;&gt;""),IF(Programme_Grunddaten!I921="Ja",1,0),"")</f>
        <v/>
      </c>
      <c r="C916" s="1" t="str">
        <f>IF(AND(Programme_Grunddaten!$A921="Geprüft",Programme_Grunddaten!J921&lt;&gt;""),IF(Programme_Grunddaten!J921="Ja",1,0),"")</f>
        <v/>
      </c>
      <c r="D916" s="1" t="str">
        <f>IF(AND(Programme_Grunddaten!$A921="Geprüft",Programme_Grunddaten!K921&lt;&gt;""),IF(Programme_Grunddaten!K921="Ja",1,0),"")</f>
        <v/>
      </c>
      <c r="E916" s="1" t="str">
        <f>IF(AND(Programme_Grunddaten!$A921="Geprüft",Programme_Grunddaten!L921&lt;&gt;""),IF(Programme_Grunddaten!L921="Abo / befristete Lizenz",1,0),"")</f>
        <v/>
      </c>
      <c r="F916" s="1" t="str">
        <f>IF(AND(Programme_Grunddaten!$A921="Geprüft",Programme_Grunddaten!M921&lt;&gt;""),IF(Programme_Grunddaten!M921="Ja",1,0),"")</f>
        <v/>
      </c>
      <c r="G916" s="1" t="str">
        <f>IF(AND(Programme_Grunddaten!$A921="Geprüft",Programme_Grunddaten!N921&lt;&gt;""),IF(Programme_Grunddaten!N921="Ja",1,0),"")</f>
        <v/>
      </c>
      <c r="H916" s="1" t="str">
        <f>IF(AND(Programme_Grunddaten!$A921="Geprüft",Programme_Grunddaten!O921&lt;&gt;""),IF(Programme_Grunddaten!O921="Deutschland",0,IF(Programme_Grunddaten!O921="EU",1,2)),"")</f>
        <v/>
      </c>
      <c r="I916" s="1" t="str">
        <f>IF(AND(Programme_Grunddaten!$A921="Geprüft",Programme_Grunddaten!P921&lt;&gt;""),IF(Programme_Grunddaten!P921="Ja",1,0),"")</f>
        <v/>
      </c>
      <c r="J916" s="1" t="str">
        <f>IF(AND(Programme_Grunddaten!$A921="Geprüft",Programme_Grunddaten!Q921&lt;&gt;""),IF(Programme_Grunddaten!Q921="geschlossenes System",1,0),"")</f>
        <v/>
      </c>
      <c r="K916" s="1" t="str">
        <f>IF(AND(Programme_Grunddaten!$A921="Geprüft",Programme_Grunddaten!R921&lt;&gt;""),IF(Programme_Grunddaten!R921="Ja",1,0),"")</f>
        <v/>
      </c>
      <c r="L916" s="1" t="str">
        <f>IF(AND(Programme_Grunddaten!$A921="Geprüft",Programme_Grunddaten!T921&lt;&gt;""),IF(Programme_Grunddaten!T921="Ja",1,0),"")</f>
        <v/>
      </c>
      <c r="M916" s="1" t="str">
        <f>IF(AND(Programme_Grunddaten!$A921="Geprüft",Programme_Grunddaten!U921&lt;&gt;""),IF(Programme_Grunddaten!U921="Ja",1,0),"")</f>
        <v/>
      </c>
      <c r="N916" s="1" t="str">
        <f>IF(AND(Programme_Grunddaten!$A921="Geprüft",Programme_Grunddaten!V921&lt;&gt;""),IF(Programme_Grunddaten!V921="Ja",1,0),"")</f>
        <v/>
      </c>
      <c r="O916" s="1" t="str">
        <f>IF(AND(Programme_Grunddaten!$A921="Geprüft",Programme_Grunddaten!W921&lt;&gt;""),IF(Programme_Grunddaten!W921="Ja",1,0),"")</f>
        <v/>
      </c>
      <c r="P916" s="1" t="str">
        <f>IF(AND(Programme_Grunddaten!$A921="Geprüft",Programme_Grunddaten!X921&lt;&gt;""),IF(Programme_Grunddaten!X921="Ja",1,0),"")</f>
        <v/>
      </c>
      <c r="Q916" s="1" t="str">
        <f>IF(AND(Programme_Grunddaten!$A921="Geprüft",Programme_Grunddaten!Y921&lt;&gt;""),IF(Programme_Grunddaten!Y921="Ja",1,0),"")</f>
        <v/>
      </c>
      <c r="R916" s="1" t="str">
        <f>IF(AND(Programme_Grunddaten!$A921="Geprüft",Programme_Grunddaten!Z921&lt;&gt;""),IF(Programme_Grunddaten!Z921="Ja",1,0),"")</f>
        <v/>
      </c>
      <c r="S916" s="1" t="str">
        <f>IF(AND(Programme_Grunddaten!$A921="Geprüft",Programme_Grunddaten!AA921&lt;&gt;""),IF(Programme_Grunddaten!AA921="monolithisch",1,0),"")</f>
        <v/>
      </c>
      <c r="T916" s="1" t="str">
        <f>IF(AND(Programme_Grunddaten!$A921="Geprüft",Programme_Grunddaten!AB921&lt;&gt;""),IF(Programme_Grunddaten!AB921="Ja",1,0),"")</f>
        <v/>
      </c>
      <c r="U916" s="1" t="str">
        <f>IF(AND(Programme_Grunddaten!$A921="Geprüft",Programme_Grunddaten!AC921&lt;&gt;""),IF(Programme_Grunddaten!AC921="Ja",1,0),"")</f>
        <v/>
      </c>
      <c r="V916" s="1" t="str">
        <f>IF(AND(Programme_Grunddaten!$A921="Geprüft",Programme_Grunddaten!AD921&lt;&gt;""),IF(Programme_Grunddaten!AD921="Ja",1,0),"")</f>
        <v/>
      </c>
      <c r="W916" s="1" t="str">
        <f>IF(AND(Programme_Grunddaten!$A921="Geprüft",Programme_Grunddaten!AE921&lt;&gt;""),IF(Programme_Grunddaten!AE921="Ja",1,0),"")</f>
        <v/>
      </c>
      <c r="X916" s="1" t="str">
        <f>IF(AND(Programme_Grunddaten!$A921="Geprüft",Programme_Grunddaten!AF921&lt;&gt;""),IF(Programme_Grunddaten!AF921="Ja",1,0),"")</f>
        <v/>
      </c>
      <c r="Y916" s="1" t="str">
        <f>IF(AND(Programme_Grunddaten!$A921="Geprüft",Programme_Grunddaten!AG921&lt;&gt;""),IF(Programme_Grunddaten!AG921="Ja",1,0),"")</f>
        <v/>
      </c>
      <c r="Z916" s="1" t="str">
        <f>IF(AND(Programme_Grunddaten!$A921="Geprüft",Programme_Grunddaten!AH921&lt;&gt;""),IF(Programme_Grunddaten!AH921="Ja",1,0),"")</f>
        <v/>
      </c>
      <c r="AA916" s="1" t="str">
        <f>IF(AND(Programme_Grunddaten!$A921="Geprüft",Programme_Grunddaten!AI921&lt;&gt;""),IF(Programme_Grunddaten!AI921="Ja",1,0),"")</f>
        <v/>
      </c>
      <c r="AB916" s="1" t="str">
        <f>IF(AND(Programme_Grunddaten!$A921="Geprüft",Programme_Grunddaten!AJ921&lt;&gt;""),IF(Programme_Grunddaten!AJ921="individuell programmierbar",1,0),"")</f>
        <v/>
      </c>
      <c r="AC916" s="1" t="str">
        <f>IF(AND(Programme_Grunddaten!$A921="Geprüft",Programme_Grunddaten!AK921&lt;&gt;""),IF(Programme_Grunddaten!AK921="Deutsch",0,IF(Programme_Grunddaten!AK921="Deutsch und Englisch",1,2)),"")</f>
        <v/>
      </c>
      <c r="AD916" s="1" t="str">
        <f>IF(AND(Programme_Grunddaten!$A921="Geprüft",Programme_Grunddaten!AL921&lt;&gt;""),IF(Programme_Grunddaten!AL921="Ja",1,0),"")</f>
        <v/>
      </c>
      <c r="AE916" s="1" t="str">
        <f>IF(AND(Programme_Grunddaten!$A921="Geprüft",Programme_Grunddaten!AM921&lt;&gt;""),IF(Programme_Grunddaten!AM921="Ja",1,0),"")</f>
        <v/>
      </c>
      <c r="AF916" s="1" t="str">
        <f>IF(AND(Programme_Grunddaten!$A921="Geprüft",Programme_Grunddaten!AN921&lt;&gt;""),IF(Programme_Grunddaten!AN921="Ja",1,0),"")</f>
        <v/>
      </c>
      <c r="AG916" s="1" t="str">
        <f>IF(AND(Programme_Grunddaten!$A921="Geprüft",Programme_Grunddaten!AO921&lt;&gt;""),IF(Programme_Grunddaten!AO921="Ja",1,0),"")</f>
        <v/>
      </c>
      <c r="AH916" s="1" t="str">
        <f>IF(AND(Programme_Grunddaten!$A921="Geprüft",Programme_Grunddaten!AP921&lt;&gt;""),IF(Programme_Grunddaten!AP921="Ja",1,0),"")</f>
        <v/>
      </c>
      <c r="AI916" s="1" t="str">
        <f>IF(AND(Programme_Grunddaten!$A921="Geprüft",Programme_Grunddaten!AQ921&lt;&gt;""),IF(Programme_Grunddaten!AQ921="Ja",1,0),"")</f>
        <v/>
      </c>
      <c r="AJ916" s="1" t="str">
        <f>IF(AND(Programme_Grunddaten!$A921="Geprüft",Programme_Grunddaten!AR921&lt;&gt;""),IF(Programme_Grunddaten!AR921="Ja",1,0),"")</f>
        <v/>
      </c>
      <c r="AK916" s="1" t="str">
        <f>IF(AND(Programme_Grunddaten!$A921="Geprüft",Programme_Grunddaten!AS921&lt;&gt;""),IF(Programme_Grunddaten!AS921="Ja",1,0),"")</f>
        <v/>
      </c>
      <c r="AL916" s="1" t="str">
        <f>IF(AND(Programme_Grunddaten!$A921="Geprüft",Programme_Grunddaten!AT921&lt;&gt;""),IF(Programme_Grunddaten!AT921="Ja",1,0),"")</f>
        <v/>
      </c>
      <c r="AM916" s="1" t="str">
        <f>IF(AND(Programme_Grunddaten!$A921="Geprüft",Programme_Grunddaten!AU921&lt;&gt;""),IF(Programme_Grunddaten!AU921="Ja",1,0),"")</f>
        <v/>
      </c>
      <c r="AN916" s="1" t="str">
        <f>IF(AND(Programme_Grunddaten!$A921="Geprüft",Programme_Grunddaten!AV921&lt;&gt;""),IF(Programme_Grunddaten!AV921="Ja",1,0),"")</f>
        <v/>
      </c>
    </row>
    <row r="917" spans="1:40" x14ac:dyDescent="0.3">
      <c r="A917" s="1" t="str">
        <f>IF(AND(Programme_Grunddaten!A922="Geprüft",Programme_Grunddaten!B922&lt;&gt;""),Programme_Grunddaten!B922,"")</f>
        <v/>
      </c>
      <c r="B917" s="1" t="str">
        <f>IF(AND(Programme_Grunddaten!$A922="Geprüft",Programme_Grunddaten!I922&lt;&gt;""),IF(Programme_Grunddaten!I922="Ja",1,0),"")</f>
        <v/>
      </c>
      <c r="C917" s="1" t="str">
        <f>IF(AND(Programme_Grunddaten!$A922="Geprüft",Programme_Grunddaten!J922&lt;&gt;""),IF(Programme_Grunddaten!J922="Ja",1,0),"")</f>
        <v/>
      </c>
      <c r="D917" s="1" t="str">
        <f>IF(AND(Programme_Grunddaten!$A922="Geprüft",Programme_Grunddaten!K922&lt;&gt;""),IF(Programme_Grunddaten!K922="Ja",1,0),"")</f>
        <v/>
      </c>
      <c r="E917" s="1" t="str">
        <f>IF(AND(Programme_Grunddaten!$A922="Geprüft",Programme_Grunddaten!L922&lt;&gt;""),IF(Programme_Grunddaten!L922="Abo / befristete Lizenz",1,0),"")</f>
        <v/>
      </c>
      <c r="F917" s="1" t="str">
        <f>IF(AND(Programme_Grunddaten!$A922="Geprüft",Programme_Grunddaten!M922&lt;&gt;""),IF(Programme_Grunddaten!M922="Ja",1,0),"")</f>
        <v/>
      </c>
      <c r="G917" s="1" t="str">
        <f>IF(AND(Programme_Grunddaten!$A922="Geprüft",Programme_Grunddaten!N922&lt;&gt;""),IF(Programme_Grunddaten!N922="Ja",1,0),"")</f>
        <v/>
      </c>
      <c r="H917" s="1" t="str">
        <f>IF(AND(Programme_Grunddaten!$A922="Geprüft",Programme_Grunddaten!O922&lt;&gt;""),IF(Programme_Grunddaten!O922="Deutschland",0,IF(Programme_Grunddaten!O922="EU",1,2)),"")</f>
        <v/>
      </c>
      <c r="I917" s="1" t="str">
        <f>IF(AND(Programme_Grunddaten!$A922="Geprüft",Programme_Grunddaten!P922&lt;&gt;""),IF(Programme_Grunddaten!P922="Ja",1,0),"")</f>
        <v/>
      </c>
      <c r="J917" s="1" t="str">
        <f>IF(AND(Programme_Grunddaten!$A922="Geprüft",Programme_Grunddaten!Q922&lt;&gt;""),IF(Programme_Grunddaten!Q922="geschlossenes System",1,0),"")</f>
        <v/>
      </c>
      <c r="K917" s="1" t="str">
        <f>IF(AND(Programme_Grunddaten!$A922="Geprüft",Programme_Grunddaten!R922&lt;&gt;""),IF(Programme_Grunddaten!R922="Ja",1,0),"")</f>
        <v/>
      </c>
      <c r="L917" s="1" t="str">
        <f>IF(AND(Programme_Grunddaten!$A922="Geprüft",Programme_Grunddaten!T922&lt;&gt;""),IF(Programme_Grunddaten!T922="Ja",1,0),"")</f>
        <v/>
      </c>
      <c r="M917" s="1" t="str">
        <f>IF(AND(Programme_Grunddaten!$A922="Geprüft",Programme_Grunddaten!U922&lt;&gt;""),IF(Programme_Grunddaten!U922="Ja",1,0),"")</f>
        <v/>
      </c>
      <c r="N917" s="1" t="str">
        <f>IF(AND(Programme_Grunddaten!$A922="Geprüft",Programme_Grunddaten!V922&lt;&gt;""),IF(Programme_Grunddaten!V922="Ja",1,0),"")</f>
        <v/>
      </c>
      <c r="O917" s="1" t="str">
        <f>IF(AND(Programme_Grunddaten!$A922="Geprüft",Programme_Grunddaten!W922&lt;&gt;""),IF(Programme_Grunddaten!W922="Ja",1,0),"")</f>
        <v/>
      </c>
      <c r="P917" s="1" t="str">
        <f>IF(AND(Programme_Grunddaten!$A922="Geprüft",Programme_Grunddaten!X922&lt;&gt;""),IF(Programme_Grunddaten!X922="Ja",1,0),"")</f>
        <v/>
      </c>
      <c r="Q917" s="1" t="str">
        <f>IF(AND(Programme_Grunddaten!$A922="Geprüft",Programme_Grunddaten!Y922&lt;&gt;""),IF(Programme_Grunddaten!Y922="Ja",1,0),"")</f>
        <v/>
      </c>
      <c r="R917" s="1" t="str">
        <f>IF(AND(Programme_Grunddaten!$A922="Geprüft",Programme_Grunddaten!Z922&lt;&gt;""),IF(Programme_Grunddaten!Z922="Ja",1,0),"")</f>
        <v/>
      </c>
      <c r="S917" s="1" t="str">
        <f>IF(AND(Programme_Grunddaten!$A922="Geprüft",Programme_Grunddaten!AA922&lt;&gt;""),IF(Programme_Grunddaten!AA922="monolithisch",1,0),"")</f>
        <v/>
      </c>
      <c r="T917" s="1" t="str">
        <f>IF(AND(Programme_Grunddaten!$A922="Geprüft",Programme_Grunddaten!AB922&lt;&gt;""),IF(Programme_Grunddaten!AB922="Ja",1,0),"")</f>
        <v/>
      </c>
      <c r="U917" s="1" t="str">
        <f>IF(AND(Programme_Grunddaten!$A922="Geprüft",Programme_Grunddaten!AC922&lt;&gt;""),IF(Programme_Grunddaten!AC922="Ja",1,0),"")</f>
        <v/>
      </c>
      <c r="V917" s="1" t="str">
        <f>IF(AND(Programme_Grunddaten!$A922="Geprüft",Programme_Grunddaten!AD922&lt;&gt;""),IF(Programme_Grunddaten!AD922="Ja",1,0),"")</f>
        <v/>
      </c>
      <c r="W917" s="1" t="str">
        <f>IF(AND(Programme_Grunddaten!$A922="Geprüft",Programme_Grunddaten!AE922&lt;&gt;""),IF(Programme_Grunddaten!AE922="Ja",1,0),"")</f>
        <v/>
      </c>
      <c r="X917" s="1" t="str">
        <f>IF(AND(Programme_Grunddaten!$A922="Geprüft",Programme_Grunddaten!AF922&lt;&gt;""),IF(Programme_Grunddaten!AF922="Ja",1,0),"")</f>
        <v/>
      </c>
      <c r="Y917" s="1" t="str">
        <f>IF(AND(Programme_Grunddaten!$A922="Geprüft",Programme_Grunddaten!AG922&lt;&gt;""),IF(Programme_Grunddaten!AG922="Ja",1,0),"")</f>
        <v/>
      </c>
      <c r="Z917" s="1" t="str">
        <f>IF(AND(Programme_Grunddaten!$A922="Geprüft",Programme_Grunddaten!AH922&lt;&gt;""),IF(Programme_Grunddaten!AH922="Ja",1,0),"")</f>
        <v/>
      </c>
      <c r="AA917" s="1" t="str">
        <f>IF(AND(Programme_Grunddaten!$A922="Geprüft",Programme_Grunddaten!AI922&lt;&gt;""),IF(Programme_Grunddaten!AI922="Ja",1,0),"")</f>
        <v/>
      </c>
      <c r="AB917" s="1" t="str">
        <f>IF(AND(Programme_Grunddaten!$A922="Geprüft",Programme_Grunddaten!AJ922&lt;&gt;""),IF(Programme_Grunddaten!AJ922="individuell programmierbar",1,0),"")</f>
        <v/>
      </c>
      <c r="AC917" s="1" t="str">
        <f>IF(AND(Programme_Grunddaten!$A922="Geprüft",Programme_Grunddaten!AK922&lt;&gt;""),IF(Programme_Grunddaten!AK922="Deutsch",0,IF(Programme_Grunddaten!AK922="Deutsch und Englisch",1,2)),"")</f>
        <v/>
      </c>
      <c r="AD917" s="1" t="str">
        <f>IF(AND(Programme_Grunddaten!$A922="Geprüft",Programme_Grunddaten!AL922&lt;&gt;""),IF(Programme_Grunddaten!AL922="Ja",1,0),"")</f>
        <v/>
      </c>
      <c r="AE917" s="1" t="str">
        <f>IF(AND(Programme_Grunddaten!$A922="Geprüft",Programme_Grunddaten!AM922&lt;&gt;""),IF(Programme_Grunddaten!AM922="Ja",1,0),"")</f>
        <v/>
      </c>
      <c r="AF917" s="1" t="str">
        <f>IF(AND(Programme_Grunddaten!$A922="Geprüft",Programme_Grunddaten!AN922&lt;&gt;""),IF(Programme_Grunddaten!AN922="Ja",1,0),"")</f>
        <v/>
      </c>
      <c r="AG917" s="1" t="str">
        <f>IF(AND(Programme_Grunddaten!$A922="Geprüft",Programme_Grunddaten!AO922&lt;&gt;""),IF(Programme_Grunddaten!AO922="Ja",1,0),"")</f>
        <v/>
      </c>
      <c r="AH917" s="1" t="str">
        <f>IF(AND(Programme_Grunddaten!$A922="Geprüft",Programme_Grunddaten!AP922&lt;&gt;""),IF(Programme_Grunddaten!AP922="Ja",1,0),"")</f>
        <v/>
      </c>
      <c r="AI917" s="1" t="str">
        <f>IF(AND(Programme_Grunddaten!$A922="Geprüft",Programme_Grunddaten!AQ922&lt;&gt;""),IF(Programme_Grunddaten!AQ922="Ja",1,0),"")</f>
        <v/>
      </c>
      <c r="AJ917" s="1" t="str">
        <f>IF(AND(Programme_Grunddaten!$A922="Geprüft",Programme_Grunddaten!AR922&lt;&gt;""),IF(Programme_Grunddaten!AR922="Ja",1,0),"")</f>
        <v/>
      </c>
      <c r="AK917" s="1" t="str">
        <f>IF(AND(Programme_Grunddaten!$A922="Geprüft",Programme_Grunddaten!AS922&lt;&gt;""),IF(Programme_Grunddaten!AS922="Ja",1,0),"")</f>
        <v/>
      </c>
      <c r="AL917" s="1" t="str">
        <f>IF(AND(Programme_Grunddaten!$A922="Geprüft",Programme_Grunddaten!AT922&lt;&gt;""),IF(Programme_Grunddaten!AT922="Ja",1,0),"")</f>
        <v/>
      </c>
      <c r="AM917" s="1" t="str">
        <f>IF(AND(Programme_Grunddaten!$A922="Geprüft",Programme_Grunddaten!AU922&lt;&gt;""),IF(Programme_Grunddaten!AU922="Ja",1,0),"")</f>
        <v/>
      </c>
      <c r="AN917" s="1" t="str">
        <f>IF(AND(Programme_Grunddaten!$A922="Geprüft",Programme_Grunddaten!AV922&lt;&gt;""),IF(Programme_Grunddaten!AV922="Ja",1,0),"")</f>
        <v/>
      </c>
    </row>
    <row r="918" spans="1:40" x14ac:dyDescent="0.3">
      <c r="A918" s="1" t="str">
        <f>IF(AND(Programme_Grunddaten!A923="Geprüft",Programme_Grunddaten!B923&lt;&gt;""),Programme_Grunddaten!B923,"")</f>
        <v/>
      </c>
      <c r="B918" s="1" t="str">
        <f>IF(AND(Programme_Grunddaten!$A923="Geprüft",Programme_Grunddaten!I923&lt;&gt;""),IF(Programme_Grunddaten!I923="Ja",1,0),"")</f>
        <v/>
      </c>
      <c r="C918" s="1" t="str">
        <f>IF(AND(Programme_Grunddaten!$A923="Geprüft",Programme_Grunddaten!J923&lt;&gt;""),IF(Programme_Grunddaten!J923="Ja",1,0),"")</f>
        <v/>
      </c>
      <c r="D918" s="1" t="str">
        <f>IF(AND(Programme_Grunddaten!$A923="Geprüft",Programme_Grunddaten!K923&lt;&gt;""),IF(Programme_Grunddaten!K923="Ja",1,0),"")</f>
        <v/>
      </c>
      <c r="E918" s="1" t="str">
        <f>IF(AND(Programme_Grunddaten!$A923="Geprüft",Programme_Grunddaten!L923&lt;&gt;""),IF(Programme_Grunddaten!L923="Abo / befristete Lizenz",1,0),"")</f>
        <v/>
      </c>
      <c r="F918" s="1" t="str">
        <f>IF(AND(Programme_Grunddaten!$A923="Geprüft",Programme_Grunddaten!M923&lt;&gt;""),IF(Programme_Grunddaten!M923="Ja",1,0),"")</f>
        <v/>
      </c>
      <c r="G918" s="1" t="str">
        <f>IF(AND(Programme_Grunddaten!$A923="Geprüft",Programme_Grunddaten!N923&lt;&gt;""),IF(Programme_Grunddaten!N923="Ja",1,0),"")</f>
        <v/>
      </c>
      <c r="H918" s="1" t="str">
        <f>IF(AND(Programme_Grunddaten!$A923="Geprüft",Programme_Grunddaten!O923&lt;&gt;""),IF(Programme_Grunddaten!O923="Deutschland",0,IF(Programme_Grunddaten!O923="EU",1,2)),"")</f>
        <v/>
      </c>
      <c r="I918" s="1" t="str">
        <f>IF(AND(Programme_Grunddaten!$A923="Geprüft",Programme_Grunddaten!P923&lt;&gt;""),IF(Programme_Grunddaten!P923="Ja",1,0),"")</f>
        <v/>
      </c>
      <c r="J918" s="1" t="str">
        <f>IF(AND(Programme_Grunddaten!$A923="Geprüft",Programme_Grunddaten!Q923&lt;&gt;""),IF(Programme_Grunddaten!Q923="geschlossenes System",1,0),"")</f>
        <v/>
      </c>
      <c r="K918" s="1" t="str">
        <f>IF(AND(Programme_Grunddaten!$A923="Geprüft",Programme_Grunddaten!R923&lt;&gt;""),IF(Programme_Grunddaten!R923="Ja",1,0),"")</f>
        <v/>
      </c>
      <c r="L918" s="1" t="str">
        <f>IF(AND(Programme_Grunddaten!$A923="Geprüft",Programme_Grunddaten!T923&lt;&gt;""),IF(Programme_Grunddaten!T923="Ja",1,0),"")</f>
        <v/>
      </c>
      <c r="M918" s="1" t="str">
        <f>IF(AND(Programme_Grunddaten!$A923="Geprüft",Programme_Grunddaten!U923&lt;&gt;""),IF(Programme_Grunddaten!U923="Ja",1,0),"")</f>
        <v/>
      </c>
      <c r="N918" s="1" t="str">
        <f>IF(AND(Programme_Grunddaten!$A923="Geprüft",Programme_Grunddaten!V923&lt;&gt;""),IF(Programme_Grunddaten!V923="Ja",1,0),"")</f>
        <v/>
      </c>
      <c r="O918" s="1" t="str">
        <f>IF(AND(Programme_Grunddaten!$A923="Geprüft",Programme_Grunddaten!W923&lt;&gt;""),IF(Programme_Grunddaten!W923="Ja",1,0),"")</f>
        <v/>
      </c>
      <c r="P918" s="1" t="str">
        <f>IF(AND(Programme_Grunddaten!$A923="Geprüft",Programme_Grunddaten!X923&lt;&gt;""),IF(Programme_Grunddaten!X923="Ja",1,0),"")</f>
        <v/>
      </c>
      <c r="Q918" s="1" t="str">
        <f>IF(AND(Programme_Grunddaten!$A923="Geprüft",Programme_Grunddaten!Y923&lt;&gt;""),IF(Programme_Grunddaten!Y923="Ja",1,0),"")</f>
        <v/>
      </c>
      <c r="R918" s="1" t="str">
        <f>IF(AND(Programme_Grunddaten!$A923="Geprüft",Programme_Grunddaten!Z923&lt;&gt;""),IF(Programme_Grunddaten!Z923="Ja",1,0),"")</f>
        <v/>
      </c>
      <c r="S918" s="1" t="str">
        <f>IF(AND(Programme_Grunddaten!$A923="Geprüft",Programme_Grunddaten!AA923&lt;&gt;""),IF(Programme_Grunddaten!AA923="monolithisch",1,0),"")</f>
        <v/>
      </c>
      <c r="T918" s="1" t="str">
        <f>IF(AND(Programme_Grunddaten!$A923="Geprüft",Programme_Grunddaten!AB923&lt;&gt;""),IF(Programme_Grunddaten!AB923="Ja",1,0),"")</f>
        <v/>
      </c>
      <c r="U918" s="1" t="str">
        <f>IF(AND(Programme_Grunddaten!$A923="Geprüft",Programme_Grunddaten!AC923&lt;&gt;""),IF(Programme_Grunddaten!AC923="Ja",1,0),"")</f>
        <v/>
      </c>
      <c r="V918" s="1" t="str">
        <f>IF(AND(Programme_Grunddaten!$A923="Geprüft",Programme_Grunddaten!AD923&lt;&gt;""),IF(Programme_Grunddaten!AD923="Ja",1,0),"")</f>
        <v/>
      </c>
      <c r="W918" s="1" t="str">
        <f>IF(AND(Programme_Grunddaten!$A923="Geprüft",Programme_Grunddaten!AE923&lt;&gt;""),IF(Programme_Grunddaten!AE923="Ja",1,0),"")</f>
        <v/>
      </c>
      <c r="X918" s="1" t="str">
        <f>IF(AND(Programme_Grunddaten!$A923="Geprüft",Programme_Grunddaten!AF923&lt;&gt;""),IF(Programme_Grunddaten!AF923="Ja",1,0),"")</f>
        <v/>
      </c>
      <c r="Y918" s="1" t="str">
        <f>IF(AND(Programme_Grunddaten!$A923="Geprüft",Programme_Grunddaten!AG923&lt;&gt;""),IF(Programme_Grunddaten!AG923="Ja",1,0),"")</f>
        <v/>
      </c>
      <c r="Z918" s="1" t="str">
        <f>IF(AND(Programme_Grunddaten!$A923="Geprüft",Programme_Grunddaten!AH923&lt;&gt;""),IF(Programme_Grunddaten!AH923="Ja",1,0),"")</f>
        <v/>
      </c>
      <c r="AA918" s="1" t="str">
        <f>IF(AND(Programme_Grunddaten!$A923="Geprüft",Programme_Grunddaten!AI923&lt;&gt;""),IF(Programme_Grunddaten!AI923="Ja",1,0),"")</f>
        <v/>
      </c>
      <c r="AB918" s="1" t="str">
        <f>IF(AND(Programme_Grunddaten!$A923="Geprüft",Programme_Grunddaten!AJ923&lt;&gt;""),IF(Programme_Grunddaten!AJ923="individuell programmierbar",1,0),"")</f>
        <v/>
      </c>
      <c r="AC918" s="1" t="str">
        <f>IF(AND(Programme_Grunddaten!$A923="Geprüft",Programme_Grunddaten!AK923&lt;&gt;""),IF(Programme_Grunddaten!AK923="Deutsch",0,IF(Programme_Grunddaten!AK923="Deutsch und Englisch",1,2)),"")</f>
        <v/>
      </c>
      <c r="AD918" s="1" t="str">
        <f>IF(AND(Programme_Grunddaten!$A923="Geprüft",Programme_Grunddaten!AL923&lt;&gt;""),IF(Programme_Grunddaten!AL923="Ja",1,0),"")</f>
        <v/>
      </c>
      <c r="AE918" s="1" t="str">
        <f>IF(AND(Programme_Grunddaten!$A923="Geprüft",Programme_Grunddaten!AM923&lt;&gt;""),IF(Programme_Grunddaten!AM923="Ja",1,0),"")</f>
        <v/>
      </c>
      <c r="AF918" s="1" t="str">
        <f>IF(AND(Programme_Grunddaten!$A923="Geprüft",Programme_Grunddaten!AN923&lt;&gt;""),IF(Programme_Grunddaten!AN923="Ja",1,0),"")</f>
        <v/>
      </c>
      <c r="AG918" s="1" t="str">
        <f>IF(AND(Programme_Grunddaten!$A923="Geprüft",Programme_Grunddaten!AO923&lt;&gt;""),IF(Programme_Grunddaten!AO923="Ja",1,0),"")</f>
        <v/>
      </c>
      <c r="AH918" s="1" t="str">
        <f>IF(AND(Programme_Grunddaten!$A923="Geprüft",Programme_Grunddaten!AP923&lt;&gt;""),IF(Programme_Grunddaten!AP923="Ja",1,0),"")</f>
        <v/>
      </c>
      <c r="AI918" s="1" t="str">
        <f>IF(AND(Programme_Grunddaten!$A923="Geprüft",Programme_Grunddaten!AQ923&lt;&gt;""),IF(Programme_Grunddaten!AQ923="Ja",1,0),"")</f>
        <v/>
      </c>
      <c r="AJ918" s="1" t="str">
        <f>IF(AND(Programme_Grunddaten!$A923="Geprüft",Programme_Grunddaten!AR923&lt;&gt;""),IF(Programme_Grunddaten!AR923="Ja",1,0),"")</f>
        <v/>
      </c>
      <c r="AK918" s="1" t="str">
        <f>IF(AND(Programme_Grunddaten!$A923="Geprüft",Programme_Grunddaten!AS923&lt;&gt;""),IF(Programme_Grunddaten!AS923="Ja",1,0),"")</f>
        <v/>
      </c>
      <c r="AL918" s="1" t="str">
        <f>IF(AND(Programme_Grunddaten!$A923="Geprüft",Programme_Grunddaten!AT923&lt;&gt;""),IF(Programme_Grunddaten!AT923="Ja",1,0),"")</f>
        <v/>
      </c>
      <c r="AM918" s="1" t="str">
        <f>IF(AND(Programme_Grunddaten!$A923="Geprüft",Programme_Grunddaten!AU923&lt;&gt;""),IF(Programme_Grunddaten!AU923="Ja",1,0),"")</f>
        <v/>
      </c>
      <c r="AN918" s="1" t="str">
        <f>IF(AND(Programme_Grunddaten!$A923="Geprüft",Programme_Grunddaten!AV923&lt;&gt;""),IF(Programme_Grunddaten!AV923="Ja",1,0),"")</f>
        <v/>
      </c>
    </row>
    <row r="919" spans="1:40" x14ac:dyDescent="0.3">
      <c r="A919" s="1" t="str">
        <f>IF(AND(Programme_Grunddaten!A924="Geprüft",Programme_Grunddaten!B924&lt;&gt;""),Programme_Grunddaten!B924,"")</f>
        <v/>
      </c>
      <c r="B919" s="1" t="str">
        <f>IF(AND(Programme_Grunddaten!$A924="Geprüft",Programme_Grunddaten!I924&lt;&gt;""),IF(Programme_Grunddaten!I924="Ja",1,0),"")</f>
        <v/>
      </c>
      <c r="C919" s="1" t="str">
        <f>IF(AND(Programme_Grunddaten!$A924="Geprüft",Programme_Grunddaten!J924&lt;&gt;""),IF(Programme_Grunddaten!J924="Ja",1,0),"")</f>
        <v/>
      </c>
      <c r="D919" s="1" t="str">
        <f>IF(AND(Programme_Grunddaten!$A924="Geprüft",Programme_Grunddaten!K924&lt;&gt;""),IF(Programme_Grunddaten!K924="Ja",1,0),"")</f>
        <v/>
      </c>
      <c r="E919" s="1" t="str">
        <f>IF(AND(Programme_Grunddaten!$A924="Geprüft",Programme_Grunddaten!L924&lt;&gt;""),IF(Programme_Grunddaten!L924="Abo / befristete Lizenz",1,0),"")</f>
        <v/>
      </c>
      <c r="F919" s="1" t="str">
        <f>IF(AND(Programme_Grunddaten!$A924="Geprüft",Programme_Grunddaten!M924&lt;&gt;""),IF(Programme_Grunddaten!M924="Ja",1,0),"")</f>
        <v/>
      </c>
      <c r="G919" s="1" t="str">
        <f>IF(AND(Programme_Grunddaten!$A924="Geprüft",Programme_Grunddaten!N924&lt;&gt;""),IF(Programme_Grunddaten!N924="Ja",1,0),"")</f>
        <v/>
      </c>
      <c r="H919" s="1" t="str">
        <f>IF(AND(Programme_Grunddaten!$A924="Geprüft",Programme_Grunddaten!O924&lt;&gt;""),IF(Programme_Grunddaten!O924="Deutschland",0,IF(Programme_Grunddaten!O924="EU",1,2)),"")</f>
        <v/>
      </c>
      <c r="I919" s="1" t="str">
        <f>IF(AND(Programme_Grunddaten!$A924="Geprüft",Programme_Grunddaten!P924&lt;&gt;""),IF(Programme_Grunddaten!P924="Ja",1,0),"")</f>
        <v/>
      </c>
      <c r="J919" s="1" t="str">
        <f>IF(AND(Programme_Grunddaten!$A924="Geprüft",Programme_Grunddaten!Q924&lt;&gt;""),IF(Programme_Grunddaten!Q924="geschlossenes System",1,0),"")</f>
        <v/>
      </c>
      <c r="K919" s="1" t="str">
        <f>IF(AND(Programme_Grunddaten!$A924="Geprüft",Programme_Grunddaten!R924&lt;&gt;""),IF(Programme_Grunddaten!R924="Ja",1,0),"")</f>
        <v/>
      </c>
      <c r="L919" s="1" t="str">
        <f>IF(AND(Programme_Grunddaten!$A924="Geprüft",Programme_Grunddaten!T924&lt;&gt;""),IF(Programme_Grunddaten!T924="Ja",1,0),"")</f>
        <v/>
      </c>
      <c r="M919" s="1" t="str">
        <f>IF(AND(Programme_Grunddaten!$A924="Geprüft",Programme_Grunddaten!U924&lt;&gt;""),IF(Programme_Grunddaten!U924="Ja",1,0),"")</f>
        <v/>
      </c>
      <c r="N919" s="1" t="str">
        <f>IF(AND(Programme_Grunddaten!$A924="Geprüft",Programme_Grunddaten!V924&lt;&gt;""),IF(Programme_Grunddaten!V924="Ja",1,0),"")</f>
        <v/>
      </c>
      <c r="O919" s="1" t="str">
        <f>IF(AND(Programme_Grunddaten!$A924="Geprüft",Programme_Grunddaten!W924&lt;&gt;""),IF(Programme_Grunddaten!W924="Ja",1,0),"")</f>
        <v/>
      </c>
      <c r="P919" s="1" t="str">
        <f>IF(AND(Programme_Grunddaten!$A924="Geprüft",Programme_Grunddaten!X924&lt;&gt;""),IF(Programme_Grunddaten!X924="Ja",1,0),"")</f>
        <v/>
      </c>
      <c r="Q919" s="1" t="str">
        <f>IF(AND(Programme_Grunddaten!$A924="Geprüft",Programme_Grunddaten!Y924&lt;&gt;""),IF(Programme_Grunddaten!Y924="Ja",1,0),"")</f>
        <v/>
      </c>
      <c r="R919" s="1" t="str">
        <f>IF(AND(Programme_Grunddaten!$A924="Geprüft",Programme_Grunddaten!Z924&lt;&gt;""),IF(Programme_Grunddaten!Z924="Ja",1,0),"")</f>
        <v/>
      </c>
      <c r="S919" s="1" t="str">
        <f>IF(AND(Programme_Grunddaten!$A924="Geprüft",Programme_Grunddaten!AA924&lt;&gt;""),IF(Programme_Grunddaten!AA924="monolithisch",1,0),"")</f>
        <v/>
      </c>
      <c r="T919" s="1" t="str">
        <f>IF(AND(Programme_Grunddaten!$A924="Geprüft",Programme_Grunddaten!AB924&lt;&gt;""),IF(Programme_Grunddaten!AB924="Ja",1,0),"")</f>
        <v/>
      </c>
      <c r="U919" s="1" t="str">
        <f>IF(AND(Programme_Grunddaten!$A924="Geprüft",Programme_Grunddaten!AC924&lt;&gt;""),IF(Programme_Grunddaten!AC924="Ja",1,0),"")</f>
        <v/>
      </c>
      <c r="V919" s="1" t="str">
        <f>IF(AND(Programme_Grunddaten!$A924="Geprüft",Programme_Grunddaten!AD924&lt;&gt;""),IF(Programme_Grunddaten!AD924="Ja",1,0),"")</f>
        <v/>
      </c>
      <c r="W919" s="1" t="str">
        <f>IF(AND(Programme_Grunddaten!$A924="Geprüft",Programme_Grunddaten!AE924&lt;&gt;""),IF(Programme_Grunddaten!AE924="Ja",1,0),"")</f>
        <v/>
      </c>
      <c r="X919" s="1" t="str">
        <f>IF(AND(Programme_Grunddaten!$A924="Geprüft",Programme_Grunddaten!AF924&lt;&gt;""),IF(Programme_Grunddaten!AF924="Ja",1,0),"")</f>
        <v/>
      </c>
      <c r="Y919" s="1" t="str">
        <f>IF(AND(Programme_Grunddaten!$A924="Geprüft",Programme_Grunddaten!AG924&lt;&gt;""),IF(Programme_Grunddaten!AG924="Ja",1,0),"")</f>
        <v/>
      </c>
      <c r="Z919" s="1" t="str">
        <f>IF(AND(Programme_Grunddaten!$A924="Geprüft",Programme_Grunddaten!AH924&lt;&gt;""),IF(Programme_Grunddaten!AH924="Ja",1,0),"")</f>
        <v/>
      </c>
      <c r="AA919" s="1" t="str">
        <f>IF(AND(Programme_Grunddaten!$A924="Geprüft",Programme_Grunddaten!AI924&lt;&gt;""),IF(Programme_Grunddaten!AI924="Ja",1,0),"")</f>
        <v/>
      </c>
      <c r="AB919" s="1" t="str">
        <f>IF(AND(Programme_Grunddaten!$A924="Geprüft",Programme_Grunddaten!AJ924&lt;&gt;""),IF(Programme_Grunddaten!AJ924="individuell programmierbar",1,0),"")</f>
        <v/>
      </c>
      <c r="AC919" s="1" t="str">
        <f>IF(AND(Programme_Grunddaten!$A924="Geprüft",Programme_Grunddaten!AK924&lt;&gt;""),IF(Programme_Grunddaten!AK924="Deutsch",0,IF(Programme_Grunddaten!AK924="Deutsch und Englisch",1,2)),"")</f>
        <v/>
      </c>
      <c r="AD919" s="1" t="str">
        <f>IF(AND(Programme_Grunddaten!$A924="Geprüft",Programme_Grunddaten!AL924&lt;&gt;""),IF(Programme_Grunddaten!AL924="Ja",1,0),"")</f>
        <v/>
      </c>
      <c r="AE919" s="1" t="str">
        <f>IF(AND(Programme_Grunddaten!$A924="Geprüft",Programme_Grunddaten!AM924&lt;&gt;""),IF(Programme_Grunddaten!AM924="Ja",1,0),"")</f>
        <v/>
      </c>
      <c r="AF919" s="1" t="str">
        <f>IF(AND(Programme_Grunddaten!$A924="Geprüft",Programme_Grunddaten!AN924&lt;&gt;""),IF(Programme_Grunddaten!AN924="Ja",1,0),"")</f>
        <v/>
      </c>
      <c r="AG919" s="1" t="str">
        <f>IF(AND(Programme_Grunddaten!$A924="Geprüft",Programme_Grunddaten!AO924&lt;&gt;""),IF(Programme_Grunddaten!AO924="Ja",1,0),"")</f>
        <v/>
      </c>
      <c r="AH919" s="1" t="str">
        <f>IF(AND(Programme_Grunddaten!$A924="Geprüft",Programme_Grunddaten!AP924&lt;&gt;""),IF(Programme_Grunddaten!AP924="Ja",1,0),"")</f>
        <v/>
      </c>
      <c r="AI919" s="1" t="str">
        <f>IF(AND(Programme_Grunddaten!$A924="Geprüft",Programme_Grunddaten!AQ924&lt;&gt;""),IF(Programme_Grunddaten!AQ924="Ja",1,0),"")</f>
        <v/>
      </c>
      <c r="AJ919" s="1" t="str">
        <f>IF(AND(Programme_Grunddaten!$A924="Geprüft",Programme_Grunddaten!AR924&lt;&gt;""),IF(Programme_Grunddaten!AR924="Ja",1,0),"")</f>
        <v/>
      </c>
      <c r="AK919" s="1" t="str">
        <f>IF(AND(Programme_Grunddaten!$A924="Geprüft",Programme_Grunddaten!AS924&lt;&gt;""),IF(Programme_Grunddaten!AS924="Ja",1,0),"")</f>
        <v/>
      </c>
      <c r="AL919" s="1" t="str">
        <f>IF(AND(Programme_Grunddaten!$A924="Geprüft",Programme_Grunddaten!AT924&lt;&gt;""),IF(Programme_Grunddaten!AT924="Ja",1,0),"")</f>
        <v/>
      </c>
      <c r="AM919" s="1" t="str">
        <f>IF(AND(Programme_Grunddaten!$A924="Geprüft",Programme_Grunddaten!AU924&lt;&gt;""),IF(Programme_Grunddaten!AU924="Ja",1,0),"")</f>
        <v/>
      </c>
      <c r="AN919" s="1" t="str">
        <f>IF(AND(Programme_Grunddaten!$A924="Geprüft",Programme_Grunddaten!AV924&lt;&gt;""),IF(Programme_Grunddaten!AV924="Ja",1,0),"")</f>
        <v/>
      </c>
    </row>
    <row r="920" spans="1:40" x14ac:dyDescent="0.3">
      <c r="A920" s="1" t="str">
        <f>IF(AND(Programme_Grunddaten!A925="Geprüft",Programme_Grunddaten!B925&lt;&gt;""),Programme_Grunddaten!B925,"")</f>
        <v/>
      </c>
      <c r="B920" s="1" t="str">
        <f>IF(AND(Programme_Grunddaten!$A925="Geprüft",Programme_Grunddaten!I925&lt;&gt;""),IF(Programme_Grunddaten!I925="Ja",1,0),"")</f>
        <v/>
      </c>
      <c r="C920" s="1" t="str">
        <f>IF(AND(Programme_Grunddaten!$A925="Geprüft",Programme_Grunddaten!J925&lt;&gt;""),IF(Programme_Grunddaten!J925="Ja",1,0),"")</f>
        <v/>
      </c>
      <c r="D920" s="1" t="str">
        <f>IF(AND(Programme_Grunddaten!$A925="Geprüft",Programme_Grunddaten!K925&lt;&gt;""),IF(Programme_Grunddaten!K925="Ja",1,0),"")</f>
        <v/>
      </c>
      <c r="E920" s="1" t="str">
        <f>IF(AND(Programme_Grunddaten!$A925="Geprüft",Programme_Grunddaten!L925&lt;&gt;""),IF(Programme_Grunddaten!L925="Abo / befristete Lizenz",1,0),"")</f>
        <v/>
      </c>
      <c r="F920" s="1" t="str">
        <f>IF(AND(Programme_Grunddaten!$A925="Geprüft",Programme_Grunddaten!M925&lt;&gt;""),IF(Programme_Grunddaten!M925="Ja",1,0),"")</f>
        <v/>
      </c>
      <c r="G920" s="1" t="str">
        <f>IF(AND(Programme_Grunddaten!$A925="Geprüft",Programme_Grunddaten!N925&lt;&gt;""),IF(Programme_Grunddaten!N925="Ja",1,0),"")</f>
        <v/>
      </c>
      <c r="H920" s="1" t="str">
        <f>IF(AND(Programme_Grunddaten!$A925="Geprüft",Programme_Grunddaten!O925&lt;&gt;""),IF(Programme_Grunddaten!O925="Deutschland",0,IF(Programme_Grunddaten!O925="EU",1,2)),"")</f>
        <v/>
      </c>
      <c r="I920" s="1" t="str">
        <f>IF(AND(Programme_Grunddaten!$A925="Geprüft",Programme_Grunddaten!P925&lt;&gt;""),IF(Programme_Grunddaten!P925="Ja",1,0),"")</f>
        <v/>
      </c>
      <c r="J920" s="1" t="str">
        <f>IF(AND(Programme_Grunddaten!$A925="Geprüft",Programme_Grunddaten!Q925&lt;&gt;""),IF(Programme_Grunddaten!Q925="geschlossenes System",1,0),"")</f>
        <v/>
      </c>
      <c r="K920" s="1" t="str">
        <f>IF(AND(Programme_Grunddaten!$A925="Geprüft",Programme_Grunddaten!R925&lt;&gt;""),IF(Programme_Grunddaten!R925="Ja",1,0),"")</f>
        <v/>
      </c>
      <c r="L920" s="1" t="str">
        <f>IF(AND(Programme_Grunddaten!$A925="Geprüft",Programme_Grunddaten!T925&lt;&gt;""),IF(Programme_Grunddaten!T925="Ja",1,0),"")</f>
        <v/>
      </c>
      <c r="M920" s="1" t="str">
        <f>IF(AND(Programme_Grunddaten!$A925="Geprüft",Programme_Grunddaten!U925&lt;&gt;""),IF(Programme_Grunddaten!U925="Ja",1,0),"")</f>
        <v/>
      </c>
      <c r="N920" s="1" t="str">
        <f>IF(AND(Programme_Grunddaten!$A925="Geprüft",Programme_Grunddaten!V925&lt;&gt;""),IF(Programme_Grunddaten!V925="Ja",1,0),"")</f>
        <v/>
      </c>
      <c r="O920" s="1" t="str">
        <f>IF(AND(Programme_Grunddaten!$A925="Geprüft",Programme_Grunddaten!W925&lt;&gt;""),IF(Programme_Grunddaten!W925="Ja",1,0),"")</f>
        <v/>
      </c>
      <c r="P920" s="1" t="str">
        <f>IF(AND(Programme_Grunddaten!$A925="Geprüft",Programme_Grunddaten!X925&lt;&gt;""),IF(Programme_Grunddaten!X925="Ja",1,0),"")</f>
        <v/>
      </c>
      <c r="Q920" s="1" t="str">
        <f>IF(AND(Programme_Grunddaten!$A925="Geprüft",Programme_Grunddaten!Y925&lt;&gt;""),IF(Programme_Grunddaten!Y925="Ja",1,0),"")</f>
        <v/>
      </c>
      <c r="R920" s="1" t="str">
        <f>IF(AND(Programme_Grunddaten!$A925="Geprüft",Programme_Grunddaten!Z925&lt;&gt;""),IF(Programme_Grunddaten!Z925="Ja",1,0),"")</f>
        <v/>
      </c>
      <c r="S920" s="1" t="str">
        <f>IF(AND(Programme_Grunddaten!$A925="Geprüft",Programme_Grunddaten!AA925&lt;&gt;""),IF(Programme_Grunddaten!AA925="monolithisch",1,0),"")</f>
        <v/>
      </c>
      <c r="T920" s="1" t="str">
        <f>IF(AND(Programme_Grunddaten!$A925="Geprüft",Programme_Grunddaten!AB925&lt;&gt;""),IF(Programme_Grunddaten!AB925="Ja",1,0),"")</f>
        <v/>
      </c>
      <c r="U920" s="1" t="str">
        <f>IF(AND(Programme_Grunddaten!$A925="Geprüft",Programme_Grunddaten!AC925&lt;&gt;""),IF(Programme_Grunddaten!AC925="Ja",1,0),"")</f>
        <v/>
      </c>
      <c r="V920" s="1" t="str">
        <f>IF(AND(Programme_Grunddaten!$A925="Geprüft",Programme_Grunddaten!AD925&lt;&gt;""),IF(Programme_Grunddaten!AD925="Ja",1,0),"")</f>
        <v/>
      </c>
      <c r="W920" s="1" t="str">
        <f>IF(AND(Programme_Grunddaten!$A925="Geprüft",Programme_Grunddaten!AE925&lt;&gt;""),IF(Programme_Grunddaten!AE925="Ja",1,0),"")</f>
        <v/>
      </c>
      <c r="X920" s="1" t="str">
        <f>IF(AND(Programme_Grunddaten!$A925="Geprüft",Programme_Grunddaten!AF925&lt;&gt;""),IF(Programme_Grunddaten!AF925="Ja",1,0),"")</f>
        <v/>
      </c>
      <c r="Y920" s="1" t="str">
        <f>IF(AND(Programme_Grunddaten!$A925="Geprüft",Programme_Grunddaten!AG925&lt;&gt;""),IF(Programme_Grunddaten!AG925="Ja",1,0),"")</f>
        <v/>
      </c>
      <c r="Z920" s="1" t="str">
        <f>IF(AND(Programme_Grunddaten!$A925="Geprüft",Programme_Grunddaten!AH925&lt;&gt;""),IF(Programme_Grunddaten!AH925="Ja",1,0),"")</f>
        <v/>
      </c>
      <c r="AA920" s="1" t="str">
        <f>IF(AND(Programme_Grunddaten!$A925="Geprüft",Programme_Grunddaten!AI925&lt;&gt;""),IF(Programme_Grunddaten!AI925="Ja",1,0),"")</f>
        <v/>
      </c>
      <c r="AB920" s="1" t="str">
        <f>IF(AND(Programme_Grunddaten!$A925="Geprüft",Programme_Grunddaten!AJ925&lt;&gt;""),IF(Programme_Grunddaten!AJ925="individuell programmierbar",1,0),"")</f>
        <v/>
      </c>
      <c r="AC920" s="1" t="str">
        <f>IF(AND(Programme_Grunddaten!$A925="Geprüft",Programme_Grunddaten!AK925&lt;&gt;""),IF(Programme_Grunddaten!AK925="Deutsch",0,IF(Programme_Grunddaten!AK925="Deutsch und Englisch",1,2)),"")</f>
        <v/>
      </c>
      <c r="AD920" s="1" t="str">
        <f>IF(AND(Programme_Grunddaten!$A925="Geprüft",Programme_Grunddaten!AL925&lt;&gt;""),IF(Programme_Grunddaten!AL925="Ja",1,0),"")</f>
        <v/>
      </c>
      <c r="AE920" s="1" t="str">
        <f>IF(AND(Programme_Grunddaten!$A925="Geprüft",Programme_Grunddaten!AM925&lt;&gt;""),IF(Programme_Grunddaten!AM925="Ja",1,0),"")</f>
        <v/>
      </c>
      <c r="AF920" s="1" t="str">
        <f>IF(AND(Programme_Grunddaten!$A925="Geprüft",Programme_Grunddaten!AN925&lt;&gt;""),IF(Programme_Grunddaten!AN925="Ja",1,0),"")</f>
        <v/>
      </c>
      <c r="AG920" s="1" t="str">
        <f>IF(AND(Programme_Grunddaten!$A925="Geprüft",Programme_Grunddaten!AO925&lt;&gt;""),IF(Programme_Grunddaten!AO925="Ja",1,0),"")</f>
        <v/>
      </c>
      <c r="AH920" s="1" t="str">
        <f>IF(AND(Programme_Grunddaten!$A925="Geprüft",Programme_Grunddaten!AP925&lt;&gt;""),IF(Programme_Grunddaten!AP925="Ja",1,0),"")</f>
        <v/>
      </c>
      <c r="AI920" s="1" t="str">
        <f>IF(AND(Programme_Grunddaten!$A925="Geprüft",Programme_Grunddaten!AQ925&lt;&gt;""),IF(Programme_Grunddaten!AQ925="Ja",1,0),"")</f>
        <v/>
      </c>
      <c r="AJ920" s="1" t="str">
        <f>IF(AND(Programme_Grunddaten!$A925="Geprüft",Programme_Grunddaten!AR925&lt;&gt;""),IF(Programme_Grunddaten!AR925="Ja",1,0),"")</f>
        <v/>
      </c>
      <c r="AK920" s="1" t="str">
        <f>IF(AND(Programme_Grunddaten!$A925="Geprüft",Programme_Grunddaten!AS925&lt;&gt;""),IF(Programme_Grunddaten!AS925="Ja",1,0),"")</f>
        <v/>
      </c>
      <c r="AL920" s="1" t="str">
        <f>IF(AND(Programme_Grunddaten!$A925="Geprüft",Programme_Grunddaten!AT925&lt;&gt;""),IF(Programme_Grunddaten!AT925="Ja",1,0),"")</f>
        <v/>
      </c>
      <c r="AM920" s="1" t="str">
        <f>IF(AND(Programme_Grunddaten!$A925="Geprüft",Programme_Grunddaten!AU925&lt;&gt;""),IF(Programme_Grunddaten!AU925="Ja",1,0),"")</f>
        <v/>
      </c>
      <c r="AN920" s="1" t="str">
        <f>IF(AND(Programme_Grunddaten!$A925="Geprüft",Programme_Grunddaten!AV925&lt;&gt;""),IF(Programme_Grunddaten!AV925="Ja",1,0),"")</f>
        <v/>
      </c>
    </row>
    <row r="921" spans="1:40" x14ac:dyDescent="0.3">
      <c r="A921" s="1" t="str">
        <f>IF(AND(Programme_Grunddaten!A926="Geprüft",Programme_Grunddaten!B926&lt;&gt;""),Programme_Grunddaten!B926,"")</f>
        <v/>
      </c>
      <c r="B921" s="1" t="str">
        <f>IF(AND(Programme_Grunddaten!$A926="Geprüft",Programme_Grunddaten!I926&lt;&gt;""),IF(Programme_Grunddaten!I926="Ja",1,0),"")</f>
        <v/>
      </c>
      <c r="C921" s="1" t="str">
        <f>IF(AND(Programme_Grunddaten!$A926="Geprüft",Programme_Grunddaten!J926&lt;&gt;""),IF(Programme_Grunddaten!J926="Ja",1,0),"")</f>
        <v/>
      </c>
      <c r="D921" s="1" t="str">
        <f>IF(AND(Programme_Grunddaten!$A926="Geprüft",Programme_Grunddaten!K926&lt;&gt;""),IF(Programme_Grunddaten!K926="Ja",1,0),"")</f>
        <v/>
      </c>
      <c r="E921" s="1" t="str">
        <f>IF(AND(Programme_Grunddaten!$A926="Geprüft",Programme_Grunddaten!L926&lt;&gt;""),IF(Programme_Grunddaten!L926="Abo / befristete Lizenz",1,0),"")</f>
        <v/>
      </c>
      <c r="F921" s="1" t="str">
        <f>IF(AND(Programme_Grunddaten!$A926="Geprüft",Programme_Grunddaten!M926&lt;&gt;""),IF(Programme_Grunddaten!M926="Ja",1,0),"")</f>
        <v/>
      </c>
      <c r="G921" s="1" t="str">
        <f>IF(AND(Programme_Grunddaten!$A926="Geprüft",Programme_Grunddaten!N926&lt;&gt;""),IF(Programme_Grunddaten!N926="Ja",1,0),"")</f>
        <v/>
      </c>
      <c r="H921" s="1" t="str">
        <f>IF(AND(Programme_Grunddaten!$A926="Geprüft",Programme_Grunddaten!O926&lt;&gt;""),IF(Programme_Grunddaten!O926="Deutschland",0,IF(Programme_Grunddaten!O926="EU",1,2)),"")</f>
        <v/>
      </c>
      <c r="I921" s="1" t="str">
        <f>IF(AND(Programme_Grunddaten!$A926="Geprüft",Programme_Grunddaten!P926&lt;&gt;""),IF(Programme_Grunddaten!P926="Ja",1,0),"")</f>
        <v/>
      </c>
      <c r="J921" s="1" t="str">
        <f>IF(AND(Programme_Grunddaten!$A926="Geprüft",Programme_Grunddaten!Q926&lt;&gt;""),IF(Programme_Grunddaten!Q926="geschlossenes System",1,0),"")</f>
        <v/>
      </c>
      <c r="K921" s="1" t="str">
        <f>IF(AND(Programme_Grunddaten!$A926="Geprüft",Programme_Grunddaten!R926&lt;&gt;""),IF(Programme_Grunddaten!R926="Ja",1,0),"")</f>
        <v/>
      </c>
      <c r="L921" s="1" t="str">
        <f>IF(AND(Programme_Grunddaten!$A926="Geprüft",Programme_Grunddaten!T926&lt;&gt;""),IF(Programme_Grunddaten!T926="Ja",1,0),"")</f>
        <v/>
      </c>
      <c r="M921" s="1" t="str">
        <f>IF(AND(Programme_Grunddaten!$A926="Geprüft",Programme_Grunddaten!U926&lt;&gt;""),IF(Programme_Grunddaten!U926="Ja",1,0),"")</f>
        <v/>
      </c>
      <c r="N921" s="1" t="str">
        <f>IF(AND(Programme_Grunddaten!$A926="Geprüft",Programme_Grunddaten!V926&lt;&gt;""),IF(Programme_Grunddaten!V926="Ja",1,0),"")</f>
        <v/>
      </c>
      <c r="O921" s="1" t="str">
        <f>IF(AND(Programme_Grunddaten!$A926="Geprüft",Programme_Grunddaten!W926&lt;&gt;""),IF(Programme_Grunddaten!W926="Ja",1,0),"")</f>
        <v/>
      </c>
      <c r="P921" s="1" t="str">
        <f>IF(AND(Programme_Grunddaten!$A926="Geprüft",Programme_Grunddaten!X926&lt;&gt;""),IF(Programme_Grunddaten!X926="Ja",1,0),"")</f>
        <v/>
      </c>
      <c r="Q921" s="1" t="str">
        <f>IF(AND(Programme_Grunddaten!$A926="Geprüft",Programme_Grunddaten!Y926&lt;&gt;""),IF(Programme_Grunddaten!Y926="Ja",1,0),"")</f>
        <v/>
      </c>
      <c r="R921" s="1" t="str">
        <f>IF(AND(Programme_Grunddaten!$A926="Geprüft",Programme_Grunddaten!Z926&lt;&gt;""),IF(Programme_Grunddaten!Z926="Ja",1,0),"")</f>
        <v/>
      </c>
      <c r="S921" s="1" t="str">
        <f>IF(AND(Programme_Grunddaten!$A926="Geprüft",Programme_Grunddaten!AA926&lt;&gt;""),IF(Programme_Grunddaten!AA926="monolithisch",1,0),"")</f>
        <v/>
      </c>
      <c r="T921" s="1" t="str">
        <f>IF(AND(Programme_Grunddaten!$A926="Geprüft",Programme_Grunddaten!AB926&lt;&gt;""),IF(Programme_Grunddaten!AB926="Ja",1,0),"")</f>
        <v/>
      </c>
      <c r="U921" s="1" t="str">
        <f>IF(AND(Programme_Grunddaten!$A926="Geprüft",Programme_Grunddaten!AC926&lt;&gt;""),IF(Programme_Grunddaten!AC926="Ja",1,0),"")</f>
        <v/>
      </c>
      <c r="V921" s="1" t="str">
        <f>IF(AND(Programme_Grunddaten!$A926="Geprüft",Programme_Grunddaten!AD926&lt;&gt;""),IF(Programme_Grunddaten!AD926="Ja",1,0),"")</f>
        <v/>
      </c>
      <c r="W921" s="1" t="str">
        <f>IF(AND(Programme_Grunddaten!$A926="Geprüft",Programme_Grunddaten!AE926&lt;&gt;""),IF(Programme_Grunddaten!AE926="Ja",1,0),"")</f>
        <v/>
      </c>
      <c r="X921" s="1" t="str">
        <f>IF(AND(Programme_Grunddaten!$A926="Geprüft",Programme_Grunddaten!AF926&lt;&gt;""),IF(Programme_Grunddaten!AF926="Ja",1,0),"")</f>
        <v/>
      </c>
      <c r="Y921" s="1" t="str">
        <f>IF(AND(Programme_Grunddaten!$A926="Geprüft",Programme_Grunddaten!AG926&lt;&gt;""),IF(Programme_Grunddaten!AG926="Ja",1,0),"")</f>
        <v/>
      </c>
      <c r="Z921" s="1" t="str">
        <f>IF(AND(Programme_Grunddaten!$A926="Geprüft",Programme_Grunddaten!AH926&lt;&gt;""),IF(Programme_Grunddaten!AH926="Ja",1,0),"")</f>
        <v/>
      </c>
      <c r="AA921" s="1" t="str">
        <f>IF(AND(Programme_Grunddaten!$A926="Geprüft",Programme_Grunddaten!AI926&lt;&gt;""),IF(Programme_Grunddaten!AI926="Ja",1,0),"")</f>
        <v/>
      </c>
      <c r="AB921" s="1" t="str">
        <f>IF(AND(Programme_Grunddaten!$A926="Geprüft",Programme_Grunddaten!AJ926&lt;&gt;""),IF(Programme_Grunddaten!AJ926="individuell programmierbar",1,0),"")</f>
        <v/>
      </c>
      <c r="AC921" s="1" t="str">
        <f>IF(AND(Programme_Grunddaten!$A926="Geprüft",Programme_Grunddaten!AK926&lt;&gt;""),IF(Programme_Grunddaten!AK926="Deutsch",0,IF(Programme_Grunddaten!AK926="Deutsch und Englisch",1,2)),"")</f>
        <v/>
      </c>
      <c r="AD921" s="1" t="str">
        <f>IF(AND(Programme_Grunddaten!$A926="Geprüft",Programme_Grunddaten!AL926&lt;&gt;""),IF(Programme_Grunddaten!AL926="Ja",1,0),"")</f>
        <v/>
      </c>
      <c r="AE921" s="1" t="str">
        <f>IF(AND(Programme_Grunddaten!$A926="Geprüft",Programme_Grunddaten!AM926&lt;&gt;""),IF(Programme_Grunddaten!AM926="Ja",1,0),"")</f>
        <v/>
      </c>
      <c r="AF921" s="1" t="str">
        <f>IF(AND(Programme_Grunddaten!$A926="Geprüft",Programme_Grunddaten!AN926&lt;&gt;""),IF(Programme_Grunddaten!AN926="Ja",1,0),"")</f>
        <v/>
      </c>
      <c r="AG921" s="1" t="str">
        <f>IF(AND(Programme_Grunddaten!$A926="Geprüft",Programme_Grunddaten!AO926&lt;&gt;""),IF(Programme_Grunddaten!AO926="Ja",1,0),"")</f>
        <v/>
      </c>
      <c r="AH921" s="1" t="str">
        <f>IF(AND(Programme_Grunddaten!$A926="Geprüft",Programme_Grunddaten!AP926&lt;&gt;""),IF(Programme_Grunddaten!AP926="Ja",1,0),"")</f>
        <v/>
      </c>
      <c r="AI921" s="1" t="str">
        <f>IF(AND(Programme_Grunddaten!$A926="Geprüft",Programme_Grunddaten!AQ926&lt;&gt;""),IF(Programme_Grunddaten!AQ926="Ja",1,0),"")</f>
        <v/>
      </c>
      <c r="AJ921" s="1" t="str">
        <f>IF(AND(Programme_Grunddaten!$A926="Geprüft",Programme_Grunddaten!AR926&lt;&gt;""),IF(Programme_Grunddaten!AR926="Ja",1,0),"")</f>
        <v/>
      </c>
      <c r="AK921" s="1" t="str">
        <f>IF(AND(Programme_Grunddaten!$A926="Geprüft",Programme_Grunddaten!AS926&lt;&gt;""),IF(Programme_Grunddaten!AS926="Ja",1,0),"")</f>
        <v/>
      </c>
      <c r="AL921" s="1" t="str">
        <f>IF(AND(Programme_Grunddaten!$A926="Geprüft",Programme_Grunddaten!AT926&lt;&gt;""),IF(Programme_Grunddaten!AT926="Ja",1,0),"")</f>
        <v/>
      </c>
      <c r="AM921" s="1" t="str">
        <f>IF(AND(Programme_Grunddaten!$A926="Geprüft",Programme_Grunddaten!AU926&lt;&gt;""),IF(Programme_Grunddaten!AU926="Ja",1,0),"")</f>
        <v/>
      </c>
      <c r="AN921" s="1" t="str">
        <f>IF(AND(Programme_Grunddaten!$A926="Geprüft",Programme_Grunddaten!AV926&lt;&gt;""),IF(Programme_Grunddaten!AV926="Ja",1,0),"")</f>
        <v/>
      </c>
    </row>
    <row r="922" spans="1:40" x14ac:dyDescent="0.3">
      <c r="A922" s="1" t="str">
        <f>IF(AND(Programme_Grunddaten!A927="Geprüft",Programme_Grunddaten!B927&lt;&gt;""),Programme_Grunddaten!B927,"")</f>
        <v/>
      </c>
      <c r="B922" s="1" t="str">
        <f>IF(AND(Programme_Grunddaten!$A927="Geprüft",Programme_Grunddaten!I927&lt;&gt;""),IF(Programme_Grunddaten!I927="Ja",1,0),"")</f>
        <v/>
      </c>
      <c r="C922" s="1" t="str">
        <f>IF(AND(Programme_Grunddaten!$A927="Geprüft",Programme_Grunddaten!J927&lt;&gt;""),IF(Programme_Grunddaten!J927="Ja",1,0),"")</f>
        <v/>
      </c>
      <c r="D922" s="1" t="str">
        <f>IF(AND(Programme_Grunddaten!$A927="Geprüft",Programme_Grunddaten!K927&lt;&gt;""),IF(Programme_Grunddaten!K927="Ja",1,0),"")</f>
        <v/>
      </c>
      <c r="E922" s="1" t="str">
        <f>IF(AND(Programme_Grunddaten!$A927="Geprüft",Programme_Grunddaten!L927&lt;&gt;""),IF(Programme_Grunddaten!L927="Abo / befristete Lizenz",1,0),"")</f>
        <v/>
      </c>
      <c r="F922" s="1" t="str">
        <f>IF(AND(Programme_Grunddaten!$A927="Geprüft",Programme_Grunddaten!M927&lt;&gt;""),IF(Programme_Grunddaten!M927="Ja",1,0),"")</f>
        <v/>
      </c>
      <c r="G922" s="1" t="str">
        <f>IF(AND(Programme_Grunddaten!$A927="Geprüft",Programme_Grunddaten!N927&lt;&gt;""),IF(Programme_Grunddaten!N927="Ja",1,0),"")</f>
        <v/>
      </c>
      <c r="H922" s="1" t="str">
        <f>IF(AND(Programme_Grunddaten!$A927="Geprüft",Programme_Grunddaten!O927&lt;&gt;""),IF(Programme_Grunddaten!O927="Deutschland",0,IF(Programme_Grunddaten!O927="EU",1,2)),"")</f>
        <v/>
      </c>
      <c r="I922" s="1" t="str">
        <f>IF(AND(Programme_Grunddaten!$A927="Geprüft",Programme_Grunddaten!P927&lt;&gt;""),IF(Programme_Grunddaten!P927="Ja",1,0),"")</f>
        <v/>
      </c>
      <c r="J922" s="1" t="str">
        <f>IF(AND(Programme_Grunddaten!$A927="Geprüft",Programme_Grunddaten!Q927&lt;&gt;""),IF(Programme_Grunddaten!Q927="geschlossenes System",1,0),"")</f>
        <v/>
      </c>
      <c r="K922" s="1" t="str">
        <f>IF(AND(Programme_Grunddaten!$A927="Geprüft",Programme_Grunddaten!R927&lt;&gt;""),IF(Programme_Grunddaten!R927="Ja",1,0),"")</f>
        <v/>
      </c>
      <c r="L922" s="1" t="str">
        <f>IF(AND(Programme_Grunddaten!$A927="Geprüft",Programme_Grunddaten!T927&lt;&gt;""),IF(Programme_Grunddaten!T927="Ja",1,0),"")</f>
        <v/>
      </c>
      <c r="M922" s="1" t="str">
        <f>IF(AND(Programme_Grunddaten!$A927="Geprüft",Programme_Grunddaten!U927&lt;&gt;""),IF(Programme_Grunddaten!U927="Ja",1,0),"")</f>
        <v/>
      </c>
      <c r="N922" s="1" t="str">
        <f>IF(AND(Programme_Grunddaten!$A927="Geprüft",Programme_Grunddaten!V927&lt;&gt;""),IF(Programme_Grunddaten!V927="Ja",1,0),"")</f>
        <v/>
      </c>
      <c r="O922" s="1" t="str">
        <f>IF(AND(Programme_Grunddaten!$A927="Geprüft",Programme_Grunddaten!W927&lt;&gt;""),IF(Programme_Grunddaten!W927="Ja",1,0),"")</f>
        <v/>
      </c>
      <c r="P922" s="1" t="str">
        <f>IF(AND(Programme_Grunddaten!$A927="Geprüft",Programme_Grunddaten!X927&lt;&gt;""),IF(Programme_Grunddaten!X927="Ja",1,0),"")</f>
        <v/>
      </c>
      <c r="Q922" s="1" t="str">
        <f>IF(AND(Programme_Grunddaten!$A927="Geprüft",Programme_Grunddaten!Y927&lt;&gt;""),IF(Programme_Grunddaten!Y927="Ja",1,0),"")</f>
        <v/>
      </c>
      <c r="R922" s="1" t="str">
        <f>IF(AND(Programme_Grunddaten!$A927="Geprüft",Programme_Grunddaten!Z927&lt;&gt;""),IF(Programme_Grunddaten!Z927="Ja",1,0),"")</f>
        <v/>
      </c>
      <c r="S922" s="1" t="str">
        <f>IF(AND(Programme_Grunddaten!$A927="Geprüft",Programme_Grunddaten!AA927&lt;&gt;""),IF(Programme_Grunddaten!AA927="monolithisch",1,0),"")</f>
        <v/>
      </c>
      <c r="T922" s="1" t="str">
        <f>IF(AND(Programme_Grunddaten!$A927="Geprüft",Programme_Grunddaten!AB927&lt;&gt;""),IF(Programme_Grunddaten!AB927="Ja",1,0),"")</f>
        <v/>
      </c>
      <c r="U922" s="1" t="str">
        <f>IF(AND(Programme_Grunddaten!$A927="Geprüft",Programme_Grunddaten!AC927&lt;&gt;""),IF(Programme_Grunddaten!AC927="Ja",1,0),"")</f>
        <v/>
      </c>
      <c r="V922" s="1" t="str">
        <f>IF(AND(Programme_Grunddaten!$A927="Geprüft",Programme_Grunddaten!AD927&lt;&gt;""),IF(Programme_Grunddaten!AD927="Ja",1,0),"")</f>
        <v/>
      </c>
      <c r="W922" s="1" t="str">
        <f>IF(AND(Programme_Grunddaten!$A927="Geprüft",Programme_Grunddaten!AE927&lt;&gt;""),IF(Programme_Grunddaten!AE927="Ja",1,0),"")</f>
        <v/>
      </c>
      <c r="X922" s="1" t="str">
        <f>IF(AND(Programme_Grunddaten!$A927="Geprüft",Programme_Grunddaten!AF927&lt;&gt;""),IF(Programme_Grunddaten!AF927="Ja",1,0),"")</f>
        <v/>
      </c>
      <c r="Y922" s="1" t="str">
        <f>IF(AND(Programme_Grunddaten!$A927="Geprüft",Programme_Grunddaten!AG927&lt;&gt;""),IF(Programme_Grunddaten!AG927="Ja",1,0),"")</f>
        <v/>
      </c>
      <c r="Z922" s="1" t="str">
        <f>IF(AND(Programme_Grunddaten!$A927="Geprüft",Programme_Grunddaten!AH927&lt;&gt;""),IF(Programme_Grunddaten!AH927="Ja",1,0),"")</f>
        <v/>
      </c>
      <c r="AA922" s="1" t="str">
        <f>IF(AND(Programme_Grunddaten!$A927="Geprüft",Programme_Grunddaten!AI927&lt;&gt;""),IF(Programme_Grunddaten!AI927="Ja",1,0),"")</f>
        <v/>
      </c>
      <c r="AB922" s="1" t="str">
        <f>IF(AND(Programme_Grunddaten!$A927="Geprüft",Programme_Grunddaten!AJ927&lt;&gt;""),IF(Programme_Grunddaten!AJ927="individuell programmierbar",1,0),"")</f>
        <v/>
      </c>
      <c r="AC922" s="1" t="str">
        <f>IF(AND(Programme_Grunddaten!$A927="Geprüft",Programme_Grunddaten!AK927&lt;&gt;""),IF(Programme_Grunddaten!AK927="Deutsch",0,IF(Programme_Grunddaten!AK927="Deutsch und Englisch",1,2)),"")</f>
        <v/>
      </c>
      <c r="AD922" s="1" t="str">
        <f>IF(AND(Programme_Grunddaten!$A927="Geprüft",Programme_Grunddaten!AL927&lt;&gt;""),IF(Programme_Grunddaten!AL927="Ja",1,0),"")</f>
        <v/>
      </c>
      <c r="AE922" s="1" t="str">
        <f>IF(AND(Programme_Grunddaten!$A927="Geprüft",Programme_Grunddaten!AM927&lt;&gt;""),IF(Programme_Grunddaten!AM927="Ja",1,0),"")</f>
        <v/>
      </c>
      <c r="AF922" s="1" t="str">
        <f>IF(AND(Programme_Grunddaten!$A927="Geprüft",Programme_Grunddaten!AN927&lt;&gt;""),IF(Programme_Grunddaten!AN927="Ja",1,0),"")</f>
        <v/>
      </c>
      <c r="AG922" s="1" t="str">
        <f>IF(AND(Programme_Grunddaten!$A927="Geprüft",Programme_Grunddaten!AO927&lt;&gt;""),IF(Programme_Grunddaten!AO927="Ja",1,0),"")</f>
        <v/>
      </c>
      <c r="AH922" s="1" t="str">
        <f>IF(AND(Programme_Grunddaten!$A927="Geprüft",Programme_Grunddaten!AP927&lt;&gt;""),IF(Programme_Grunddaten!AP927="Ja",1,0),"")</f>
        <v/>
      </c>
      <c r="AI922" s="1" t="str">
        <f>IF(AND(Programme_Grunddaten!$A927="Geprüft",Programme_Grunddaten!AQ927&lt;&gt;""),IF(Programme_Grunddaten!AQ927="Ja",1,0),"")</f>
        <v/>
      </c>
      <c r="AJ922" s="1" t="str">
        <f>IF(AND(Programme_Grunddaten!$A927="Geprüft",Programme_Grunddaten!AR927&lt;&gt;""),IF(Programme_Grunddaten!AR927="Ja",1,0),"")</f>
        <v/>
      </c>
      <c r="AK922" s="1" t="str">
        <f>IF(AND(Programme_Grunddaten!$A927="Geprüft",Programme_Grunddaten!AS927&lt;&gt;""),IF(Programme_Grunddaten!AS927="Ja",1,0),"")</f>
        <v/>
      </c>
      <c r="AL922" s="1" t="str">
        <f>IF(AND(Programme_Grunddaten!$A927="Geprüft",Programme_Grunddaten!AT927&lt;&gt;""),IF(Programme_Grunddaten!AT927="Ja",1,0),"")</f>
        <v/>
      </c>
      <c r="AM922" s="1" t="str">
        <f>IF(AND(Programme_Grunddaten!$A927="Geprüft",Programme_Grunddaten!AU927&lt;&gt;""),IF(Programme_Grunddaten!AU927="Ja",1,0),"")</f>
        <v/>
      </c>
      <c r="AN922" s="1" t="str">
        <f>IF(AND(Programme_Grunddaten!$A927="Geprüft",Programme_Grunddaten!AV927&lt;&gt;""),IF(Programme_Grunddaten!AV927="Ja",1,0),"")</f>
        <v/>
      </c>
    </row>
    <row r="923" spans="1:40" x14ac:dyDescent="0.3">
      <c r="A923" s="1" t="str">
        <f>IF(AND(Programme_Grunddaten!A928="Geprüft",Programme_Grunddaten!B928&lt;&gt;""),Programme_Grunddaten!B928,"")</f>
        <v/>
      </c>
      <c r="B923" s="1" t="str">
        <f>IF(AND(Programme_Grunddaten!$A928="Geprüft",Programme_Grunddaten!I928&lt;&gt;""),IF(Programme_Grunddaten!I928="Ja",1,0),"")</f>
        <v/>
      </c>
      <c r="C923" s="1" t="str">
        <f>IF(AND(Programme_Grunddaten!$A928="Geprüft",Programme_Grunddaten!J928&lt;&gt;""),IF(Programme_Grunddaten!J928="Ja",1,0),"")</f>
        <v/>
      </c>
      <c r="D923" s="1" t="str">
        <f>IF(AND(Programme_Grunddaten!$A928="Geprüft",Programme_Grunddaten!K928&lt;&gt;""),IF(Programme_Grunddaten!K928="Ja",1,0),"")</f>
        <v/>
      </c>
      <c r="E923" s="1" t="str">
        <f>IF(AND(Programme_Grunddaten!$A928="Geprüft",Programme_Grunddaten!L928&lt;&gt;""),IF(Programme_Grunddaten!L928="Abo / befristete Lizenz",1,0),"")</f>
        <v/>
      </c>
      <c r="F923" s="1" t="str">
        <f>IF(AND(Programme_Grunddaten!$A928="Geprüft",Programme_Grunddaten!M928&lt;&gt;""),IF(Programme_Grunddaten!M928="Ja",1,0),"")</f>
        <v/>
      </c>
      <c r="G923" s="1" t="str">
        <f>IF(AND(Programme_Grunddaten!$A928="Geprüft",Programme_Grunddaten!N928&lt;&gt;""),IF(Programme_Grunddaten!N928="Ja",1,0),"")</f>
        <v/>
      </c>
      <c r="H923" s="1" t="str">
        <f>IF(AND(Programme_Grunddaten!$A928="Geprüft",Programme_Grunddaten!O928&lt;&gt;""),IF(Programme_Grunddaten!O928="Deutschland",0,IF(Programme_Grunddaten!O928="EU",1,2)),"")</f>
        <v/>
      </c>
      <c r="I923" s="1" t="str">
        <f>IF(AND(Programme_Grunddaten!$A928="Geprüft",Programme_Grunddaten!P928&lt;&gt;""),IF(Programme_Grunddaten!P928="Ja",1,0),"")</f>
        <v/>
      </c>
      <c r="J923" s="1" t="str">
        <f>IF(AND(Programme_Grunddaten!$A928="Geprüft",Programme_Grunddaten!Q928&lt;&gt;""),IF(Programme_Grunddaten!Q928="geschlossenes System",1,0),"")</f>
        <v/>
      </c>
      <c r="K923" s="1" t="str">
        <f>IF(AND(Programme_Grunddaten!$A928="Geprüft",Programme_Grunddaten!R928&lt;&gt;""),IF(Programme_Grunddaten!R928="Ja",1,0),"")</f>
        <v/>
      </c>
      <c r="L923" s="1" t="str">
        <f>IF(AND(Programme_Grunddaten!$A928="Geprüft",Programme_Grunddaten!T928&lt;&gt;""),IF(Programme_Grunddaten!T928="Ja",1,0),"")</f>
        <v/>
      </c>
      <c r="M923" s="1" t="str">
        <f>IF(AND(Programme_Grunddaten!$A928="Geprüft",Programme_Grunddaten!U928&lt;&gt;""),IF(Programme_Grunddaten!U928="Ja",1,0),"")</f>
        <v/>
      </c>
      <c r="N923" s="1" t="str">
        <f>IF(AND(Programme_Grunddaten!$A928="Geprüft",Programme_Grunddaten!V928&lt;&gt;""),IF(Programme_Grunddaten!V928="Ja",1,0),"")</f>
        <v/>
      </c>
      <c r="O923" s="1" t="str">
        <f>IF(AND(Programme_Grunddaten!$A928="Geprüft",Programme_Grunddaten!W928&lt;&gt;""),IF(Programme_Grunddaten!W928="Ja",1,0),"")</f>
        <v/>
      </c>
      <c r="P923" s="1" t="str">
        <f>IF(AND(Programme_Grunddaten!$A928="Geprüft",Programme_Grunddaten!X928&lt;&gt;""),IF(Programme_Grunddaten!X928="Ja",1,0),"")</f>
        <v/>
      </c>
      <c r="Q923" s="1" t="str">
        <f>IF(AND(Programme_Grunddaten!$A928="Geprüft",Programme_Grunddaten!Y928&lt;&gt;""),IF(Programme_Grunddaten!Y928="Ja",1,0),"")</f>
        <v/>
      </c>
      <c r="R923" s="1" t="str">
        <f>IF(AND(Programme_Grunddaten!$A928="Geprüft",Programme_Grunddaten!Z928&lt;&gt;""),IF(Programme_Grunddaten!Z928="Ja",1,0),"")</f>
        <v/>
      </c>
      <c r="S923" s="1" t="str">
        <f>IF(AND(Programme_Grunddaten!$A928="Geprüft",Programme_Grunddaten!AA928&lt;&gt;""),IF(Programme_Grunddaten!AA928="monolithisch",1,0),"")</f>
        <v/>
      </c>
      <c r="T923" s="1" t="str">
        <f>IF(AND(Programme_Grunddaten!$A928="Geprüft",Programme_Grunddaten!AB928&lt;&gt;""),IF(Programme_Grunddaten!AB928="Ja",1,0),"")</f>
        <v/>
      </c>
      <c r="U923" s="1" t="str">
        <f>IF(AND(Programme_Grunddaten!$A928="Geprüft",Programme_Grunddaten!AC928&lt;&gt;""),IF(Programme_Grunddaten!AC928="Ja",1,0),"")</f>
        <v/>
      </c>
      <c r="V923" s="1" t="str">
        <f>IF(AND(Programme_Grunddaten!$A928="Geprüft",Programme_Grunddaten!AD928&lt;&gt;""),IF(Programme_Grunddaten!AD928="Ja",1,0),"")</f>
        <v/>
      </c>
      <c r="W923" s="1" t="str">
        <f>IF(AND(Programme_Grunddaten!$A928="Geprüft",Programme_Grunddaten!AE928&lt;&gt;""),IF(Programme_Grunddaten!AE928="Ja",1,0),"")</f>
        <v/>
      </c>
      <c r="X923" s="1" t="str">
        <f>IF(AND(Programme_Grunddaten!$A928="Geprüft",Programme_Grunddaten!AF928&lt;&gt;""),IF(Programme_Grunddaten!AF928="Ja",1,0),"")</f>
        <v/>
      </c>
      <c r="Y923" s="1" t="str">
        <f>IF(AND(Programme_Grunddaten!$A928="Geprüft",Programme_Grunddaten!AG928&lt;&gt;""),IF(Programme_Grunddaten!AG928="Ja",1,0),"")</f>
        <v/>
      </c>
      <c r="Z923" s="1" t="str">
        <f>IF(AND(Programme_Grunddaten!$A928="Geprüft",Programme_Grunddaten!AH928&lt;&gt;""),IF(Programme_Grunddaten!AH928="Ja",1,0),"")</f>
        <v/>
      </c>
      <c r="AA923" s="1" t="str">
        <f>IF(AND(Programme_Grunddaten!$A928="Geprüft",Programme_Grunddaten!AI928&lt;&gt;""),IF(Programme_Grunddaten!AI928="Ja",1,0),"")</f>
        <v/>
      </c>
      <c r="AB923" s="1" t="str">
        <f>IF(AND(Programme_Grunddaten!$A928="Geprüft",Programme_Grunddaten!AJ928&lt;&gt;""),IF(Programme_Grunddaten!AJ928="individuell programmierbar",1,0),"")</f>
        <v/>
      </c>
      <c r="AC923" s="1" t="str">
        <f>IF(AND(Programme_Grunddaten!$A928="Geprüft",Programme_Grunddaten!AK928&lt;&gt;""),IF(Programme_Grunddaten!AK928="Deutsch",0,IF(Programme_Grunddaten!AK928="Deutsch und Englisch",1,2)),"")</f>
        <v/>
      </c>
      <c r="AD923" s="1" t="str">
        <f>IF(AND(Programme_Grunddaten!$A928="Geprüft",Programme_Grunddaten!AL928&lt;&gt;""),IF(Programme_Grunddaten!AL928="Ja",1,0),"")</f>
        <v/>
      </c>
      <c r="AE923" s="1" t="str">
        <f>IF(AND(Programme_Grunddaten!$A928="Geprüft",Programme_Grunddaten!AM928&lt;&gt;""),IF(Programme_Grunddaten!AM928="Ja",1,0),"")</f>
        <v/>
      </c>
      <c r="AF923" s="1" t="str">
        <f>IF(AND(Programme_Grunddaten!$A928="Geprüft",Programme_Grunddaten!AN928&lt;&gt;""),IF(Programme_Grunddaten!AN928="Ja",1,0),"")</f>
        <v/>
      </c>
      <c r="AG923" s="1" t="str">
        <f>IF(AND(Programme_Grunddaten!$A928="Geprüft",Programme_Grunddaten!AO928&lt;&gt;""),IF(Programme_Grunddaten!AO928="Ja",1,0),"")</f>
        <v/>
      </c>
      <c r="AH923" s="1" t="str">
        <f>IF(AND(Programme_Grunddaten!$A928="Geprüft",Programme_Grunddaten!AP928&lt;&gt;""),IF(Programme_Grunddaten!AP928="Ja",1,0),"")</f>
        <v/>
      </c>
      <c r="AI923" s="1" t="str">
        <f>IF(AND(Programme_Grunddaten!$A928="Geprüft",Programme_Grunddaten!AQ928&lt;&gt;""),IF(Programme_Grunddaten!AQ928="Ja",1,0),"")</f>
        <v/>
      </c>
      <c r="AJ923" s="1" t="str">
        <f>IF(AND(Programme_Grunddaten!$A928="Geprüft",Programme_Grunddaten!AR928&lt;&gt;""),IF(Programme_Grunddaten!AR928="Ja",1,0),"")</f>
        <v/>
      </c>
      <c r="AK923" s="1" t="str">
        <f>IF(AND(Programme_Grunddaten!$A928="Geprüft",Programme_Grunddaten!AS928&lt;&gt;""),IF(Programme_Grunddaten!AS928="Ja",1,0),"")</f>
        <v/>
      </c>
      <c r="AL923" s="1" t="str">
        <f>IF(AND(Programme_Grunddaten!$A928="Geprüft",Programme_Grunddaten!AT928&lt;&gt;""),IF(Programme_Grunddaten!AT928="Ja",1,0),"")</f>
        <v/>
      </c>
      <c r="AM923" s="1" t="str">
        <f>IF(AND(Programme_Grunddaten!$A928="Geprüft",Programme_Grunddaten!AU928&lt;&gt;""),IF(Programme_Grunddaten!AU928="Ja",1,0),"")</f>
        <v/>
      </c>
      <c r="AN923" s="1" t="str">
        <f>IF(AND(Programme_Grunddaten!$A928="Geprüft",Programme_Grunddaten!AV928&lt;&gt;""),IF(Programme_Grunddaten!AV928="Ja",1,0),"")</f>
        <v/>
      </c>
    </row>
    <row r="924" spans="1:40" x14ac:dyDescent="0.3">
      <c r="A924" s="1" t="str">
        <f>IF(AND(Programme_Grunddaten!A929="Geprüft",Programme_Grunddaten!B929&lt;&gt;""),Programme_Grunddaten!B929,"")</f>
        <v/>
      </c>
      <c r="B924" s="1" t="str">
        <f>IF(AND(Programme_Grunddaten!$A929="Geprüft",Programme_Grunddaten!I929&lt;&gt;""),IF(Programme_Grunddaten!I929="Ja",1,0),"")</f>
        <v/>
      </c>
      <c r="C924" s="1" t="str">
        <f>IF(AND(Programme_Grunddaten!$A929="Geprüft",Programme_Grunddaten!J929&lt;&gt;""),IF(Programme_Grunddaten!J929="Ja",1,0),"")</f>
        <v/>
      </c>
      <c r="D924" s="1" t="str">
        <f>IF(AND(Programme_Grunddaten!$A929="Geprüft",Programme_Grunddaten!K929&lt;&gt;""),IF(Programme_Grunddaten!K929="Ja",1,0),"")</f>
        <v/>
      </c>
      <c r="E924" s="1" t="str">
        <f>IF(AND(Programme_Grunddaten!$A929="Geprüft",Programme_Grunddaten!L929&lt;&gt;""),IF(Programme_Grunddaten!L929="Abo / befristete Lizenz",1,0),"")</f>
        <v/>
      </c>
      <c r="F924" s="1" t="str">
        <f>IF(AND(Programme_Grunddaten!$A929="Geprüft",Programme_Grunddaten!M929&lt;&gt;""),IF(Programme_Grunddaten!M929="Ja",1,0),"")</f>
        <v/>
      </c>
      <c r="G924" s="1" t="str">
        <f>IF(AND(Programme_Grunddaten!$A929="Geprüft",Programme_Grunddaten!N929&lt;&gt;""),IF(Programme_Grunddaten!N929="Ja",1,0),"")</f>
        <v/>
      </c>
      <c r="H924" s="1" t="str">
        <f>IF(AND(Programme_Grunddaten!$A929="Geprüft",Programme_Grunddaten!O929&lt;&gt;""),IF(Programme_Grunddaten!O929="Deutschland",0,IF(Programme_Grunddaten!O929="EU",1,2)),"")</f>
        <v/>
      </c>
      <c r="I924" s="1" t="str">
        <f>IF(AND(Programme_Grunddaten!$A929="Geprüft",Programme_Grunddaten!P929&lt;&gt;""),IF(Programme_Grunddaten!P929="Ja",1,0),"")</f>
        <v/>
      </c>
      <c r="J924" s="1" t="str">
        <f>IF(AND(Programme_Grunddaten!$A929="Geprüft",Programme_Grunddaten!Q929&lt;&gt;""),IF(Programme_Grunddaten!Q929="geschlossenes System",1,0),"")</f>
        <v/>
      </c>
      <c r="K924" s="1" t="str">
        <f>IF(AND(Programme_Grunddaten!$A929="Geprüft",Programme_Grunddaten!R929&lt;&gt;""),IF(Programme_Grunddaten!R929="Ja",1,0),"")</f>
        <v/>
      </c>
      <c r="L924" s="1" t="str">
        <f>IF(AND(Programme_Grunddaten!$A929="Geprüft",Programme_Grunddaten!T929&lt;&gt;""),IF(Programme_Grunddaten!T929="Ja",1,0),"")</f>
        <v/>
      </c>
      <c r="M924" s="1" t="str">
        <f>IF(AND(Programme_Grunddaten!$A929="Geprüft",Programme_Grunddaten!U929&lt;&gt;""),IF(Programme_Grunddaten!U929="Ja",1,0),"")</f>
        <v/>
      </c>
      <c r="N924" s="1" t="str">
        <f>IF(AND(Programme_Grunddaten!$A929="Geprüft",Programme_Grunddaten!V929&lt;&gt;""),IF(Programme_Grunddaten!V929="Ja",1,0),"")</f>
        <v/>
      </c>
      <c r="O924" s="1" t="str">
        <f>IF(AND(Programme_Grunddaten!$A929="Geprüft",Programme_Grunddaten!W929&lt;&gt;""),IF(Programme_Grunddaten!W929="Ja",1,0),"")</f>
        <v/>
      </c>
      <c r="P924" s="1" t="str">
        <f>IF(AND(Programme_Grunddaten!$A929="Geprüft",Programme_Grunddaten!X929&lt;&gt;""),IF(Programme_Grunddaten!X929="Ja",1,0),"")</f>
        <v/>
      </c>
      <c r="Q924" s="1" t="str">
        <f>IF(AND(Programme_Grunddaten!$A929="Geprüft",Programme_Grunddaten!Y929&lt;&gt;""),IF(Programme_Grunddaten!Y929="Ja",1,0),"")</f>
        <v/>
      </c>
      <c r="R924" s="1" t="str">
        <f>IF(AND(Programme_Grunddaten!$A929="Geprüft",Programme_Grunddaten!Z929&lt;&gt;""),IF(Programme_Grunddaten!Z929="Ja",1,0),"")</f>
        <v/>
      </c>
      <c r="S924" s="1" t="str">
        <f>IF(AND(Programme_Grunddaten!$A929="Geprüft",Programme_Grunddaten!AA929&lt;&gt;""),IF(Programme_Grunddaten!AA929="monolithisch",1,0),"")</f>
        <v/>
      </c>
      <c r="T924" s="1" t="str">
        <f>IF(AND(Programme_Grunddaten!$A929="Geprüft",Programme_Grunddaten!AB929&lt;&gt;""),IF(Programme_Grunddaten!AB929="Ja",1,0),"")</f>
        <v/>
      </c>
      <c r="U924" s="1" t="str">
        <f>IF(AND(Programme_Grunddaten!$A929="Geprüft",Programme_Grunddaten!AC929&lt;&gt;""),IF(Programme_Grunddaten!AC929="Ja",1,0),"")</f>
        <v/>
      </c>
      <c r="V924" s="1" t="str">
        <f>IF(AND(Programme_Grunddaten!$A929="Geprüft",Programme_Grunddaten!AD929&lt;&gt;""),IF(Programme_Grunddaten!AD929="Ja",1,0),"")</f>
        <v/>
      </c>
      <c r="W924" s="1" t="str">
        <f>IF(AND(Programme_Grunddaten!$A929="Geprüft",Programme_Grunddaten!AE929&lt;&gt;""),IF(Programme_Grunddaten!AE929="Ja",1,0),"")</f>
        <v/>
      </c>
      <c r="X924" s="1" t="str">
        <f>IF(AND(Programme_Grunddaten!$A929="Geprüft",Programme_Grunddaten!AF929&lt;&gt;""),IF(Programme_Grunddaten!AF929="Ja",1,0),"")</f>
        <v/>
      </c>
      <c r="Y924" s="1" t="str">
        <f>IF(AND(Programme_Grunddaten!$A929="Geprüft",Programme_Grunddaten!AG929&lt;&gt;""),IF(Programme_Grunddaten!AG929="Ja",1,0),"")</f>
        <v/>
      </c>
      <c r="Z924" s="1" t="str">
        <f>IF(AND(Programme_Grunddaten!$A929="Geprüft",Programme_Grunddaten!AH929&lt;&gt;""),IF(Programme_Grunddaten!AH929="Ja",1,0),"")</f>
        <v/>
      </c>
      <c r="AA924" s="1" t="str">
        <f>IF(AND(Programme_Grunddaten!$A929="Geprüft",Programme_Grunddaten!AI929&lt;&gt;""),IF(Programme_Grunddaten!AI929="Ja",1,0),"")</f>
        <v/>
      </c>
      <c r="AB924" s="1" t="str">
        <f>IF(AND(Programme_Grunddaten!$A929="Geprüft",Programme_Grunddaten!AJ929&lt;&gt;""),IF(Programme_Grunddaten!AJ929="individuell programmierbar",1,0),"")</f>
        <v/>
      </c>
      <c r="AC924" s="1" t="str">
        <f>IF(AND(Programme_Grunddaten!$A929="Geprüft",Programme_Grunddaten!AK929&lt;&gt;""),IF(Programme_Grunddaten!AK929="Deutsch",0,IF(Programme_Grunddaten!AK929="Deutsch und Englisch",1,2)),"")</f>
        <v/>
      </c>
      <c r="AD924" s="1" t="str">
        <f>IF(AND(Programme_Grunddaten!$A929="Geprüft",Programme_Grunddaten!AL929&lt;&gt;""),IF(Programme_Grunddaten!AL929="Ja",1,0),"")</f>
        <v/>
      </c>
      <c r="AE924" s="1" t="str">
        <f>IF(AND(Programme_Grunddaten!$A929="Geprüft",Programme_Grunddaten!AM929&lt;&gt;""),IF(Programme_Grunddaten!AM929="Ja",1,0),"")</f>
        <v/>
      </c>
      <c r="AF924" s="1" t="str">
        <f>IF(AND(Programme_Grunddaten!$A929="Geprüft",Programme_Grunddaten!AN929&lt;&gt;""),IF(Programme_Grunddaten!AN929="Ja",1,0),"")</f>
        <v/>
      </c>
      <c r="AG924" s="1" t="str">
        <f>IF(AND(Programme_Grunddaten!$A929="Geprüft",Programme_Grunddaten!AO929&lt;&gt;""),IF(Programme_Grunddaten!AO929="Ja",1,0),"")</f>
        <v/>
      </c>
      <c r="AH924" s="1" t="str">
        <f>IF(AND(Programme_Grunddaten!$A929="Geprüft",Programme_Grunddaten!AP929&lt;&gt;""),IF(Programme_Grunddaten!AP929="Ja",1,0),"")</f>
        <v/>
      </c>
      <c r="AI924" s="1" t="str">
        <f>IF(AND(Programme_Grunddaten!$A929="Geprüft",Programme_Grunddaten!AQ929&lt;&gt;""),IF(Programme_Grunddaten!AQ929="Ja",1,0),"")</f>
        <v/>
      </c>
      <c r="AJ924" s="1" t="str">
        <f>IF(AND(Programme_Grunddaten!$A929="Geprüft",Programme_Grunddaten!AR929&lt;&gt;""),IF(Programme_Grunddaten!AR929="Ja",1,0),"")</f>
        <v/>
      </c>
      <c r="AK924" s="1" t="str">
        <f>IF(AND(Programme_Grunddaten!$A929="Geprüft",Programme_Grunddaten!AS929&lt;&gt;""),IF(Programme_Grunddaten!AS929="Ja",1,0),"")</f>
        <v/>
      </c>
      <c r="AL924" s="1" t="str">
        <f>IF(AND(Programme_Grunddaten!$A929="Geprüft",Programme_Grunddaten!AT929&lt;&gt;""),IF(Programme_Grunddaten!AT929="Ja",1,0),"")</f>
        <v/>
      </c>
      <c r="AM924" s="1" t="str">
        <f>IF(AND(Programme_Grunddaten!$A929="Geprüft",Programme_Grunddaten!AU929&lt;&gt;""),IF(Programme_Grunddaten!AU929="Ja",1,0),"")</f>
        <v/>
      </c>
      <c r="AN924" s="1" t="str">
        <f>IF(AND(Programme_Grunddaten!$A929="Geprüft",Programme_Grunddaten!AV929&lt;&gt;""),IF(Programme_Grunddaten!AV929="Ja",1,0),"")</f>
        <v/>
      </c>
    </row>
    <row r="925" spans="1:40" x14ac:dyDescent="0.3">
      <c r="A925" s="1" t="str">
        <f>IF(AND(Programme_Grunddaten!A930="Geprüft",Programme_Grunddaten!B930&lt;&gt;""),Programme_Grunddaten!B930,"")</f>
        <v/>
      </c>
      <c r="B925" s="1" t="str">
        <f>IF(AND(Programme_Grunddaten!$A930="Geprüft",Programme_Grunddaten!I930&lt;&gt;""),IF(Programme_Grunddaten!I930="Ja",1,0),"")</f>
        <v/>
      </c>
      <c r="C925" s="1" t="str">
        <f>IF(AND(Programme_Grunddaten!$A930="Geprüft",Programme_Grunddaten!J930&lt;&gt;""),IF(Programme_Grunddaten!J930="Ja",1,0),"")</f>
        <v/>
      </c>
      <c r="D925" s="1" t="str">
        <f>IF(AND(Programme_Grunddaten!$A930="Geprüft",Programme_Grunddaten!K930&lt;&gt;""),IF(Programme_Grunddaten!K930="Ja",1,0),"")</f>
        <v/>
      </c>
      <c r="E925" s="1" t="str">
        <f>IF(AND(Programme_Grunddaten!$A930="Geprüft",Programme_Grunddaten!L930&lt;&gt;""),IF(Programme_Grunddaten!L930="Abo / befristete Lizenz",1,0),"")</f>
        <v/>
      </c>
      <c r="F925" s="1" t="str">
        <f>IF(AND(Programme_Grunddaten!$A930="Geprüft",Programme_Grunddaten!M930&lt;&gt;""),IF(Programme_Grunddaten!M930="Ja",1,0),"")</f>
        <v/>
      </c>
      <c r="G925" s="1" t="str">
        <f>IF(AND(Programme_Grunddaten!$A930="Geprüft",Programme_Grunddaten!N930&lt;&gt;""),IF(Programme_Grunddaten!N930="Ja",1,0),"")</f>
        <v/>
      </c>
      <c r="H925" s="1" t="str">
        <f>IF(AND(Programme_Grunddaten!$A930="Geprüft",Programme_Grunddaten!O930&lt;&gt;""),IF(Programme_Grunddaten!O930="Deutschland",0,IF(Programme_Grunddaten!O930="EU",1,2)),"")</f>
        <v/>
      </c>
      <c r="I925" s="1" t="str">
        <f>IF(AND(Programme_Grunddaten!$A930="Geprüft",Programme_Grunddaten!P930&lt;&gt;""),IF(Programme_Grunddaten!P930="Ja",1,0),"")</f>
        <v/>
      </c>
      <c r="J925" s="1" t="str">
        <f>IF(AND(Programme_Grunddaten!$A930="Geprüft",Programme_Grunddaten!Q930&lt;&gt;""),IF(Programme_Grunddaten!Q930="geschlossenes System",1,0),"")</f>
        <v/>
      </c>
      <c r="K925" s="1" t="str">
        <f>IF(AND(Programme_Grunddaten!$A930="Geprüft",Programme_Grunddaten!R930&lt;&gt;""),IF(Programme_Grunddaten!R930="Ja",1,0),"")</f>
        <v/>
      </c>
      <c r="L925" s="1" t="str">
        <f>IF(AND(Programme_Grunddaten!$A930="Geprüft",Programme_Grunddaten!T930&lt;&gt;""),IF(Programme_Grunddaten!T930="Ja",1,0),"")</f>
        <v/>
      </c>
      <c r="M925" s="1" t="str">
        <f>IF(AND(Programme_Grunddaten!$A930="Geprüft",Programme_Grunddaten!U930&lt;&gt;""),IF(Programme_Grunddaten!U930="Ja",1,0),"")</f>
        <v/>
      </c>
      <c r="N925" s="1" t="str">
        <f>IF(AND(Programme_Grunddaten!$A930="Geprüft",Programme_Grunddaten!V930&lt;&gt;""),IF(Programme_Grunddaten!V930="Ja",1,0),"")</f>
        <v/>
      </c>
      <c r="O925" s="1" t="str">
        <f>IF(AND(Programme_Grunddaten!$A930="Geprüft",Programme_Grunddaten!W930&lt;&gt;""),IF(Programme_Grunddaten!W930="Ja",1,0),"")</f>
        <v/>
      </c>
      <c r="P925" s="1" t="str">
        <f>IF(AND(Programme_Grunddaten!$A930="Geprüft",Programme_Grunddaten!X930&lt;&gt;""),IF(Programme_Grunddaten!X930="Ja",1,0),"")</f>
        <v/>
      </c>
      <c r="Q925" s="1" t="str">
        <f>IF(AND(Programme_Grunddaten!$A930="Geprüft",Programme_Grunddaten!Y930&lt;&gt;""),IF(Programme_Grunddaten!Y930="Ja",1,0),"")</f>
        <v/>
      </c>
      <c r="R925" s="1" t="str">
        <f>IF(AND(Programme_Grunddaten!$A930="Geprüft",Programme_Grunddaten!Z930&lt;&gt;""),IF(Programme_Grunddaten!Z930="Ja",1,0),"")</f>
        <v/>
      </c>
      <c r="S925" s="1" t="str">
        <f>IF(AND(Programme_Grunddaten!$A930="Geprüft",Programme_Grunddaten!AA930&lt;&gt;""),IF(Programme_Grunddaten!AA930="monolithisch",1,0),"")</f>
        <v/>
      </c>
      <c r="T925" s="1" t="str">
        <f>IF(AND(Programme_Grunddaten!$A930="Geprüft",Programme_Grunddaten!AB930&lt;&gt;""),IF(Programme_Grunddaten!AB930="Ja",1,0),"")</f>
        <v/>
      </c>
      <c r="U925" s="1" t="str">
        <f>IF(AND(Programme_Grunddaten!$A930="Geprüft",Programme_Grunddaten!AC930&lt;&gt;""),IF(Programme_Grunddaten!AC930="Ja",1,0),"")</f>
        <v/>
      </c>
      <c r="V925" s="1" t="str">
        <f>IF(AND(Programme_Grunddaten!$A930="Geprüft",Programme_Grunddaten!AD930&lt;&gt;""),IF(Programme_Grunddaten!AD930="Ja",1,0),"")</f>
        <v/>
      </c>
      <c r="W925" s="1" t="str">
        <f>IF(AND(Programme_Grunddaten!$A930="Geprüft",Programme_Grunddaten!AE930&lt;&gt;""),IF(Programme_Grunddaten!AE930="Ja",1,0),"")</f>
        <v/>
      </c>
      <c r="X925" s="1" t="str">
        <f>IF(AND(Programme_Grunddaten!$A930="Geprüft",Programme_Grunddaten!AF930&lt;&gt;""),IF(Programme_Grunddaten!AF930="Ja",1,0),"")</f>
        <v/>
      </c>
      <c r="Y925" s="1" t="str">
        <f>IF(AND(Programme_Grunddaten!$A930="Geprüft",Programme_Grunddaten!AG930&lt;&gt;""),IF(Programme_Grunddaten!AG930="Ja",1,0),"")</f>
        <v/>
      </c>
      <c r="Z925" s="1" t="str">
        <f>IF(AND(Programme_Grunddaten!$A930="Geprüft",Programme_Grunddaten!AH930&lt;&gt;""),IF(Programme_Grunddaten!AH930="Ja",1,0),"")</f>
        <v/>
      </c>
      <c r="AA925" s="1" t="str">
        <f>IF(AND(Programme_Grunddaten!$A930="Geprüft",Programme_Grunddaten!AI930&lt;&gt;""),IF(Programme_Grunddaten!AI930="Ja",1,0),"")</f>
        <v/>
      </c>
      <c r="AB925" s="1" t="str">
        <f>IF(AND(Programme_Grunddaten!$A930="Geprüft",Programme_Grunddaten!AJ930&lt;&gt;""),IF(Programme_Grunddaten!AJ930="individuell programmierbar",1,0),"")</f>
        <v/>
      </c>
      <c r="AC925" s="1" t="str">
        <f>IF(AND(Programme_Grunddaten!$A930="Geprüft",Programme_Grunddaten!AK930&lt;&gt;""),IF(Programme_Grunddaten!AK930="Deutsch",0,IF(Programme_Grunddaten!AK930="Deutsch und Englisch",1,2)),"")</f>
        <v/>
      </c>
      <c r="AD925" s="1" t="str">
        <f>IF(AND(Programme_Grunddaten!$A930="Geprüft",Programme_Grunddaten!AL930&lt;&gt;""),IF(Programme_Grunddaten!AL930="Ja",1,0),"")</f>
        <v/>
      </c>
      <c r="AE925" s="1" t="str">
        <f>IF(AND(Programme_Grunddaten!$A930="Geprüft",Programme_Grunddaten!AM930&lt;&gt;""),IF(Programme_Grunddaten!AM930="Ja",1,0),"")</f>
        <v/>
      </c>
      <c r="AF925" s="1" t="str">
        <f>IF(AND(Programme_Grunddaten!$A930="Geprüft",Programme_Grunddaten!AN930&lt;&gt;""),IF(Programme_Grunddaten!AN930="Ja",1,0),"")</f>
        <v/>
      </c>
      <c r="AG925" s="1" t="str">
        <f>IF(AND(Programme_Grunddaten!$A930="Geprüft",Programme_Grunddaten!AO930&lt;&gt;""),IF(Programme_Grunddaten!AO930="Ja",1,0),"")</f>
        <v/>
      </c>
      <c r="AH925" s="1" t="str">
        <f>IF(AND(Programme_Grunddaten!$A930="Geprüft",Programme_Grunddaten!AP930&lt;&gt;""),IF(Programme_Grunddaten!AP930="Ja",1,0),"")</f>
        <v/>
      </c>
      <c r="AI925" s="1" t="str">
        <f>IF(AND(Programme_Grunddaten!$A930="Geprüft",Programme_Grunddaten!AQ930&lt;&gt;""),IF(Programme_Grunddaten!AQ930="Ja",1,0),"")</f>
        <v/>
      </c>
      <c r="AJ925" s="1" t="str">
        <f>IF(AND(Programme_Grunddaten!$A930="Geprüft",Programme_Grunddaten!AR930&lt;&gt;""),IF(Programme_Grunddaten!AR930="Ja",1,0),"")</f>
        <v/>
      </c>
      <c r="AK925" s="1" t="str">
        <f>IF(AND(Programme_Grunddaten!$A930="Geprüft",Programme_Grunddaten!AS930&lt;&gt;""),IF(Programme_Grunddaten!AS930="Ja",1,0),"")</f>
        <v/>
      </c>
      <c r="AL925" s="1" t="str">
        <f>IF(AND(Programme_Grunddaten!$A930="Geprüft",Programme_Grunddaten!AT930&lt;&gt;""),IF(Programme_Grunddaten!AT930="Ja",1,0),"")</f>
        <v/>
      </c>
      <c r="AM925" s="1" t="str">
        <f>IF(AND(Programme_Grunddaten!$A930="Geprüft",Programme_Grunddaten!AU930&lt;&gt;""),IF(Programme_Grunddaten!AU930="Ja",1,0),"")</f>
        <v/>
      </c>
      <c r="AN925" s="1" t="str">
        <f>IF(AND(Programme_Grunddaten!$A930="Geprüft",Programme_Grunddaten!AV930&lt;&gt;""),IF(Programme_Grunddaten!AV930="Ja",1,0),"")</f>
        <v/>
      </c>
    </row>
    <row r="926" spans="1:40" x14ac:dyDescent="0.3">
      <c r="A926" s="1" t="str">
        <f>IF(AND(Programme_Grunddaten!A931="Geprüft",Programme_Grunddaten!B931&lt;&gt;""),Programme_Grunddaten!B931,"")</f>
        <v/>
      </c>
      <c r="B926" s="1" t="str">
        <f>IF(AND(Programme_Grunddaten!$A931="Geprüft",Programme_Grunddaten!I931&lt;&gt;""),IF(Programme_Grunddaten!I931="Ja",1,0),"")</f>
        <v/>
      </c>
      <c r="C926" s="1" t="str">
        <f>IF(AND(Programme_Grunddaten!$A931="Geprüft",Programme_Grunddaten!J931&lt;&gt;""),IF(Programme_Grunddaten!J931="Ja",1,0),"")</f>
        <v/>
      </c>
      <c r="D926" s="1" t="str">
        <f>IF(AND(Programme_Grunddaten!$A931="Geprüft",Programme_Grunddaten!K931&lt;&gt;""),IF(Programme_Grunddaten!K931="Ja",1,0),"")</f>
        <v/>
      </c>
      <c r="E926" s="1" t="str">
        <f>IF(AND(Programme_Grunddaten!$A931="Geprüft",Programme_Grunddaten!L931&lt;&gt;""),IF(Programme_Grunddaten!L931="Abo / befristete Lizenz",1,0),"")</f>
        <v/>
      </c>
      <c r="F926" s="1" t="str">
        <f>IF(AND(Programme_Grunddaten!$A931="Geprüft",Programme_Grunddaten!M931&lt;&gt;""),IF(Programme_Grunddaten!M931="Ja",1,0),"")</f>
        <v/>
      </c>
      <c r="G926" s="1" t="str">
        <f>IF(AND(Programme_Grunddaten!$A931="Geprüft",Programme_Grunddaten!N931&lt;&gt;""),IF(Programme_Grunddaten!N931="Ja",1,0),"")</f>
        <v/>
      </c>
      <c r="H926" s="1" t="str">
        <f>IF(AND(Programme_Grunddaten!$A931="Geprüft",Programme_Grunddaten!O931&lt;&gt;""),IF(Programme_Grunddaten!O931="Deutschland",0,IF(Programme_Grunddaten!O931="EU",1,2)),"")</f>
        <v/>
      </c>
      <c r="I926" s="1" t="str">
        <f>IF(AND(Programme_Grunddaten!$A931="Geprüft",Programme_Grunddaten!P931&lt;&gt;""),IF(Programme_Grunddaten!P931="Ja",1,0),"")</f>
        <v/>
      </c>
      <c r="J926" s="1" t="str">
        <f>IF(AND(Programme_Grunddaten!$A931="Geprüft",Programme_Grunddaten!Q931&lt;&gt;""),IF(Programme_Grunddaten!Q931="geschlossenes System",1,0),"")</f>
        <v/>
      </c>
      <c r="K926" s="1" t="str">
        <f>IF(AND(Programme_Grunddaten!$A931="Geprüft",Programme_Grunddaten!R931&lt;&gt;""),IF(Programme_Grunddaten!R931="Ja",1,0),"")</f>
        <v/>
      </c>
      <c r="L926" s="1" t="str">
        <f>IF(AND(Programme_Grunddaten!$A931="Geprüft",Programme_Grunddaten!T931&lt;&gt;""),IF(Programme_Grunddaten!T931="Ja",1,0),"")</f>
        <v/>
      </c>
      <c r="M926" s="1" t="str">
        <f>IF(AND(Programme_Grunddaten!$A931="Geprüft",Programme_Grunddaten!U931&lt;&gt;""),IF(Programme_Grunddaten!U931="Ja",1,0),"")</f>
        <v/>
      </c>
      <c r="N926" s="1" t="str">
        <f>IF(AND(Programme_Grunddaten!$A931="Geprüft",Programme_Grunddaten!V931&lt;&gt;""),IF(Programme_Grunddaten!V931="Ja",1,0),"")</f>
        <v/>
      </c>
      <c r="O926" s="1" t="str">
        <f>IF(AND(Programme_Grunddaten!$A931="Geprüft",Programme_Grunddaten!W931&lt;&gt;""),IF(Programme_Grunddaten!W931="Ja",1,0),"")</f>
        <v/>
      </c>
      <c r="P926" s="1" t="str">
        <f>IF(AND(Programme_Grunddaten!$A931="Geprüft",Programme_Grunddaten!X931&lt;&gt;""),IF(Programme_Grunddaten!X931="Ja",1,0),"")</f>
        <v/>
      </c>
      <c r="Q926" s="1" t="str">
        <f>IF(AND(Programme_Grunddaten!$A931="Geprüft",Programme_Grunddaten!Y931&lt;&gt;""),IF(Programme_Grunddaten!Y931="Ja",1,0),"")</f>
        <v/>
      </c>
      <c r="R926" s="1" t="str">
        <f>IF(AND(Programme_Grunddaten!$A931="Geprüft",Programme_Grunddaten!Z931&lt;&gt;""),IF(Programme_Grunddaten!Z931="Ja",1,0),"")</f>
        <v/>
      </c>
      <c r="S926" s="1" t="str">
        <f>IF(AND(Programme_Grunddaten!$A931="Geprüft",Programme_Grunddaten!AA931&lt;&gt;""),IF(Programme_Grunddaten!AA931="monolithisch",1,0),"")</f>
        <v/>
      </c>
      <c r="T926" s="1" t="str">
        <f>IF(AND(Programme_Grunddaten!$A931="Geprüft",Programme_Grunddaten!AB931&lt;&gt;""),IF(Programme_Grunddaten!AB931="Ja",1,0),"")</f>
        <v/>
      </c>
      <c r="U926" s="1" t="str">
        <f>IF(AND(Programme_Grunddaten!$A931="Geprüft",Programme_Grunddaten!AC931&lt;&gt;""),IF(Programme_Grunddaten!AC931="Ja",1,0),"")</f>
        <v/>
      </c>
      <c r="V926" s="1" t="str">
        <f>IF(AND(Programme_Grunddaten!$A931="Geprüft",Programme_Grunddaten!AD931&lt;&gt;""),IF(Programme_Grunddaten!AD931="Ja",1,0),"")</f>
        <v/>
      </c>
      <c r="W926" s="1" t="str">
        <f>IF(AND(Programme_Grunddaten!$A931="Geprüft",Programme_Grunddaten!AE931&lt;&gt;""),IF(Programme_Grunddaten!AE931="Ja",1,0),"")</f>
        <v/>
      </c>
      <c r="X926" s="1" t="str">
        <f>IF(AND(Programme_Grunddaten!$A931="Geprüft",Programme_Grunddaten!AF931&lt;&gt;""),IF(Programme_Grunddaten!AF931="Ja",1,0),"")</f>
        <v/>
      </c>
      <c r="Y926" s="1" t="str">
        <f>IF(AND(Programme_Grunddaten!$A931="Geprüft",Programme_Grunddaten!AG931&lt;&gt;""),IF(Programme_Grunddaten!AG931="Ja",1,0),"")</f>
        <v/>
      </c>
      <c r="Z926" s="1" t="str">
        <f>IF(AND(Programme_Grunddaten!$A931="Geprüft",Programme_Grunddaten!AH931&lt;&gt;""),IF(Programme_Grunddaten!AH931="Ja",1,0),"")</f>
        <v/>
      </c>
      <c r="AA926" s="1" t="str">
        <f>IF(AND(Programme_Grunddaten!$A931="Geprüft",Programme_Grunddaten!AI931&lt;&gt;""),IF(Programme_Grunddaten!AI931="Ja",1,0),"")</f>
        <v/>
      </c>
      <c r="AB926" s="1" t="str">
        <f>IF(AND(Programme_Grunddaten!$A931="Geprüft",Programme_Grunddaten!AJ931&lt;&gt;""),IF(Programme_Grunddaten!AJ931="individuell programmierbar",1,0),"")</f>
        <v/>
      </c>
      <c r="AC926" s="1" t="str">
        <f>IF(AND(Programme_Grunddaten!$A931="Geprüft",Programme_Grunddaten!AK931&lt;&gt;""),IF(Programme_Grunddaten!AK931="Deutsch",0,IF(Programme_Grunddaten!AK931="Deutsch und Englisch",1,2)),"")</f>
        <v/>
      </c>
      <c r="AD926" s="1" t="str">
        <f>IF(AND(Programme_Grunddaten!$A931="Geprüft",Programme_Grunddaten!AL931&lt;&gt;""),IF(Programme_Grunddaten!AL931="Ja",1,0),"")</f>
        <v/>
      </c>
      <c r="AE926" s="1" t="str">
        <f>IF(AND(Programme_Grunddaten!$A931="Geprüft",Programme_Grunddaten!AM931&lt;&gt;""),IF(Programme_Grunddaten!AM931="Ja",1,0),"")</f>
        <v/>
      </c>
      <c r="AF926" s="1" t="str">
        <f>IF(AND(Programme_Grunddaten!$A931="Geprüft",Programme_Grunddaten!AN931&lt;&gt;""),IF(Programme_Grunddaten!AN931="Ja",1,0),"")</f>
        <v/>
      </c>
      <c r="AG926" s="1" t="str">
        <f>IF(AND(Programme_Grunddaten!$A931="Geprüft",Programme_Grunddaten!AO931&lt;&gt;""),IF(Programme_Grunddaten!AO931="Ja",1,0),"")</f>
        <v/>
      </c>
      <c r="AH926" s="1" t="str">
        <f>IF(AND(Programme_Grunddaten!$A931="Geprüft",Programme_Grunddaten!AP931&lt;&gt;""),IF(Programme_Grunddaten!AP931="Ja",1,0),"")</f>
        <v/>
      </c>
      <c r="AI926" s="1" t="str">
        <f>IF(AND(Programme_Grunddaten!$A931="Geprüft",Programme_Grunddaten!AQ931&lt;&gt;""),IF(Programme_Grunddaten!AQ931="Ja",1,0),"")</f>
        <v/>
      </c>
      <c r="AJ926" s="1" t="str">
        <f>IF(AND(Programme_Grunddaten!$A931="Geprüft",Programme_Grunddaten!AR931&lt;&gt;""),IF(Programme_Grunddaten!AR931="Ja",1,0),"")</f>
        <v/>
      </c>
      <c r="AK926" s="1" t="str">
        <f>IF(AND(Programme_Grunddaten!$A931="Geprüft",Programme_Grunddaten!AS931&lt;&gt;""),IF(Programme_Grunddaten!AS931="Ja",1,0),"")</f>
        <v/>
      </c>
      <c r="AL926" s="1" t="str">
        <f>IF(AND(Programme_Grunddaten!$A931="Geprüft",Programme_Grunddaten!AT931&lt;&gt;""),IF(Programme_Grunddaten!AT931="Ja",1,0),"")</f>
        <v/>
      </c>
      <c r="AM926" s="1" t="str">
        <f>IF(AND(Programme_Grunddaten!$A931="Geprüft",Programme_Grunddaten!AU931&lt;&gt;""),IF(Programme_Grunddaten!AU931="Ja",1,0),"")</f>
        <v/>
      </c>
      <c r="AN926" s="1" t="str">
        <f>IF(AND(Programme_Grunddaten!$A931="Geprüft",Programme_Grunddaten!AV931&lt;&gt;""),IF(Programme_Grunddaten!AV931="Ja",1,0),"")</f>
        <v/>
      </c>
    </row>
    <row r="927" spans="1:40" x14ac:dyDescent="0.3">
      <c r="A927" s="1" t="str">
        <f>IF(AND(Programme_Grunddaten!A932="Geprüft",Programme_Grunddaten!B932&lt;&gt;""),Programme_Grunddaten!B932,"")</f>
        <v/>
      </c>
      <c r="B927" s="1" t="str">
        <f>IF(AND(Programme_Grunddaten!$A932="Geprüft",Programme_Grunddaten!I932&lt;&gt;""),IF(Programme_Grunddaten!I932="Ja",1,0),"")</f>
        <v/>
      </c>
      <c r="C927" s="1" t="str">
        <f>IF(AND(Programme_Grunddaten!$A932="Geprüft",Programme_Grunddaten!J932&lt;&gt;""),IF(Programme_Grunddaten!J932="Ja",1,0),"")</f>
        <v/>
      </c>
      <c r="D927" s="1" t="str">
        <f>IF(AND(Programme_Grunddaten!$A932="Geprüft",Programme_Grunddaten!K932&lt;&gt;""),IF(Programme_Grunddaten!K932="Ja",1,0),"")</f>
        <v/>
      </c>
      <c r="E927" s="1" t="str">
        <f>IF(AND(Programme_Grunddaten!$A932="Geprüft",Programme_Grunddaten!L932&lt;&gt;""),IF(Programme_Grunddaten!L932="Abo / befristete Lizenz",1,0),"")</f>
        <v/>
      </c>
      <c r="F927" s="1" t="str">
        <f>IF(AND(Programme_Grunddaten!$A932="Geprüft",Programme_Grunddaten!M932&lt;&gt;""),IF(Programme_Grunddaten!M932="Ja",1,0),"")</f>
        <v/>
      </c>
      <c r="G927" s="1" t="str">
        <f>IF(AND(Programme_Grunddaten!$A932="Geprüft",Programme_Grunddaten!N932&lt;&gt;""),IF(Programme_Grunddaten!N932="Ja",1,0),"")</f>
        <v/>
      </c>
      <c r="H927" s="1" t="str">
        <f>IF(AND(Programme_Grunddaten!$A932="Geprüft",Programme_Grunddaten!O932&lt;&gt;""),IF(Programme_Grunddaten!O932="Deutschland",0,IF(Programme_Grunddaten!O932="EU",1,2)),"")</f>
        <v/>
      </c>
      <c r="I927" s="1" t="str">
        <f>IF(AND(Programme_Grunddaten!$A932="Geprüft",Programme_Grunddaten!P932&lt;&gt;""),IF(Programme_Grunddaten!P932="Ja",1,0),"")</f>
        <v/>
      </c>
      <c r="J927" s="1" t="str">
        <f>IF(AND(Programme_Grunddaten!$A932="Geprüft",Programme_Grunddaten!Q932&lt;&gt;""),IF(Programme_Grunddaten!Q932="geschlossenes System",1,0),"")</f>
        <v/>
      </c>
      <c r="K927" s="1" t="str">
        <f>IF(AND(Programme_Grunddaten!$A932="Geprüft",Programme_Grunddaten!R932&lt;&gt;""),IF(Programme_Grunddaten!R932="Ja",1,0),"")</f>
        <v/>
      </c>
      <c r="L927" s="1" t="str">
        <f>IF(AND(Programme_Grunddaten!$A932="Geprüft",Programme_Grunddaten!T932&lt;&gt;""),IF(Programme_Grunddaten!T932="Ja",1,0),"")</f>
        <v/>
      </c>
      <c r="M927" s="1" t="str">
        <f>IF(AND(Programme_Grunddaten!$A932="Geprüft",Programme_Grunddaten!U932&lt;&gt;""),IF(Programme_Grunddaten!U932="Ja",1,0),"")</f>
        <v/>
      </c>
      <c r="N927" s="1" t="str">
        <f>IF(AND(Programme_Grunddaten!$A932="Geprüft",Programme_Grunddaten!V932&lt;&gt;""),IF(Programme_Grunddaten!V932="Ja",1,0),"")</f>
        <v/>
      </c>
      <c r="O927" s="1" t="str">
        <f>IF(AND(Programme_Grunddaten!$A932="Geprüft",Programme_Grunddaten!W932&lt;&gt;""),IF(Programme_Grunddaten!W932="Ja",1,0),"")</f>
        <v/>
      </c>
      <c r="P927" s="1" t="str">
        <f>IF(AND(Programme_Grunddaten!$A932="Geprüft",Programme_Grunddaten!X932&lt;&gt;""),IF(Programme_Grunddaten!X932="Ja",1,0),"")</f>
        <v/>
      </c>
      <c r="Q927" s="1" t="str">
        <f>IF(AND(Programme_Grunddaten!$A932="Geprüft",Programme_Grunddaten!Y932&lt;&gt;""),IF(Programme_Grunddaten!Y932="Ja",1,0),"")</f>
        <v/>
      </c>
      <c r="R927" s="1" t="str">
        <f>IF(AND(Programme_Grunddaten!$A932="Geprüft",Programme_Grunddaten!Z932&lt;&gt;""),IF(Programme_Grunddaten!Z932="Ja",1,0),"")</f>
        <v/>
      </c>
      <c r="S927" s="1" t="str">
        <f>IF(AND(Programme_Grunddaten!$A932="Geprüft",Programme_Grunddaten!AA932&lt;&gt;""),IF(Programme_Grunddaten!AA932="monolithisch",1,0),"")</f>
        <v/>
      </c>
      <c r="T927" s="1" t="str">
        <f>IF(AND(Programme_Grunddaten!$A932="Geprüft",Programme_Grunddaten!AB932&lt;&gt;""),IF(Programme_Grunddaten!AB932="Ja",1,0),"")</f>
        <v/>
      </c>
      <c r="U927" s="1" t="str">
        <f>IF(AND(Programme_Grunddaten!$A932="Geprüft",Programme_Grunddaten!AC932&lt;&gt;""),IF(Programme_Grunddaten!AC932="Ja",1,0),"")</f>
        <v/>
      </c>
      <c r="V927" s="1" t="str">
        <f>IF(AND(Programme_Grunddaten!$A932="Geprüft",Programme_Grunddaten!AD932&lt;&gt;""),IF(Programme_Grunddaten!AD932="Ja",1,0),"")</f>
        <v/>
      </c>
      <c r="W927" s="1" t="str">
        <f>IF(AND(Programme_Grunddaten!$A932="Geprüft",Programme_Grunddaten!AE932&lt;&gt;""),IF(Programme_Grunddaten!AE932="Ja",1,0),"")</f>
        <v/>
      </c>
      <c r="X927" s="1" t="str">
        <f>IF(AND(Programme_Grunddaten!$A932="Geprüft",Programme_Grunddaten!AF932&lt;&gt;""),IF(Programme_Grunddaten!AF932="Ja",1,0),"")</f>
        <v/>
      </c>
      <c r="Y927" s="1" t="str">
        <f>IF(AND(Programme_Grunddaten!$A932="Geprüft",Programme_Grunddaten!AG932&lt;&gt;""),IF(Programme_Grunddaten!AG932="Ja",1,0),"")</f>
        <v/>
      </c>
      <c r="Z927" s="1" t="str">
        <f>IF(AND(Programme_Grunddaten!$A932="Geprüft",Programme_Grunddaten!AH932&lt;&gt;""),IF(Programme_Grunddaten!AH932="Ja",1,0),"")</f>
        <v/>
      </c>
      <c r="AA927" s="1" t="str">
        <f>IF(AND(Programme_Grunddaten!$A932="Geprüft",Programme_Grunddaten!AI932&lt;&gt;""),IF(Programme_Grunddaten!AI932="Ja",1,0),"")</f>
        <v/>
      </c>
      <c r="AB927" s="1" t="str">
        <f>IF(AND(Programme_Grunddaten!$A932="Geprüft",Programme_Grunddaten!AJ932&lt;&gt;""),IF(Programme_Grunddaten!AJ932="individuell programmierbar",1,0),"")</f>
        <v/>
      </c>
      <c r="AC927" s="1" t="str">
        <f>IF(AND(Programme_Grunddaten!$A932="Geprüft",Programme_Grunddaten!AK932&lt;&gt;""),IF(Programme_Grunddaten!AK932="Deutsch",0,IF(Programme_Grunddaten!AK932="Deutsch und Englisch",1,2)),"")</f>
        <v/>
      </c>
      <c r="AD927" s="1" t="str">
        <f>IF(AND(Programme_Grunddaten!$A932="Geprüft",Programme_Grunddaten!AL932&lt;&gt;""),IF(Programme_Grunddaten!AL932="Ja",1,0),"")</f>
        <v/>
      </c>
      <c r="AE927" s="1" t="str">
        <f>IF(AND(Programme_Grunddaten!$A932="Geprüft",Programme_Grunddaten!AM932&lt;&gt;""),IF(Programme_Grunddaten!AM932="Ja",1,0),"")</f>
        <v/>
      </c>
      <c r="AF927" s="1" t="str">
        <f>IF(AND(Programme_Grunddaten!$A932="Geprüft",Programme_Grunddaten!AN932&lt;&gt;""),IF(Programme_Grunddaten!AN932="Ja",1,0),"")</f>
        <v/>
      </c>
      <c r="AG927" s="1" t="str">
        <f>IF(AND(Programme_Grunddaten!$A932="Geprüft",Programme_Grunddaten!AO932&lt;&gt;""),IF(Programme_Grunddaten!AO932="Ja",1,0),"")</f>
        <v/>
      </c>
      <c r="AH927" s="1" t="str">
        <f>IF(AND(Programme_Grunddaten!$A932="Geprüft",Programme_Grunddaten!AP932&lt;&gt;""),IF(Programme_Grunddaten!AP932="Ja",1,0),"")</f>
        <v/>
      </c>
      <c r="AI927" s="1" t="str">
        <f>IF(AND(Programme_Grunddaten!$A932="Geprüft",Programme_Grunddaten!AQ932&lt;&gt;""),IF(Programme_Grunddaten!AQ932="Ja",1,0),"")</f>
        <v/>
      </c>
      <c r="AJ927" s="1" t="str">
        <f>IF(AND(Programme_Grunddaten!$A932="Geprüft",Programme_Grunddaten!AR932&lt;&gt;""),IF(Programme_Grunddaten!AR932="Ja",1,0),"")</f>
        <v/>
      </c>
      <c r="AK927" s="1" t="str">
        <f>IF(AND(Programme_Grunddaten!$A932="Geprüft",Programme_Grunddaten!AS932&lt;&gt;""),IF(Programme_Grunddaten!AS932="Ja",1,0),"")</f>
        <v/>
      </c>
      <c r="AL927" s="1" t="str">
        <f>IF(AND(Programme_Grunddaten!$A932="Geprüft",Programme_Grunddaten!AT932&lt;&gt;""),IF(Programme_Grunddaten!AT932="Ja",1,0),"")</f>
        <v/>
      </c>
      <c r="AM927" s="1" t="str">
        <f>IF(AND(Programme_Grunddaten!$A932="Geprüft",Programme_Grunddaten!AU932&lt;&gt;""),IF(Programme_Grunddaten!AU932="Ja",1,0),"")</f>
        <v/>
      </c>
      <c r="AN927" s="1" t="str">
        <f>IF(AND(Programme_Grunddaten!$A932="Geprüft",Programme_Grunddaten!AV932&lt;&gt;""),IF(Programme_Grunddaten!AV932="Ja",1,0),"")</f>
        <v/>
      </c>
    </row>
    <row r="928" spans="1:40" x14ac:dyDescent="0.3">
      <c r="A928" s="1" t="str">
        <f>IF(AND(Programme_Grunddaten!A933="Geprüft",Programme_Grunddaten!B933&lt;&gt;""),Programme_Grunddaten!B933,"")</f>
        <v/>
      </c>
      <c r="B928" s="1" t="str">
        <f>IF(AND(Programme_Grunddaten!$A933="Geprüft",Programme_Grunddaten!I933&lt;&gt;""),IF(Programme_Grunddaten!I933="Ja",1,0),"")</f>
        <v/>
      </c>
      <c r="C928" s="1" t="str">
        <f>IF(AND(Programme_Grunddaten!$A933="Geprüft",Programme_Grunddaten!J933&lt;&gt;""),IF(Programme_Grunddaten!J933="Ja",1,0),"")</f>
        <v/>
      </c>
      <c r="D928" s="1" t="str">
        <f>IF(AND(Programme_Grunddaten!$A933="Geprüft",Programme_Grunddaten!K933&lt;&gt;""),IF(Programme_Grunddaten!K933="Ja",1,0),"")</f>
        <v/>
      </c>
      <c r="E928" s="1" t="str">
        <f>IF(AND(Programme_Grunddaten!$A933="Geprüft",Programme_Grunddaten!L933&lt;&gt;""),IF(Programme_Grunddaten!L933="Abo / befristete Lizenz",1,0),"")</f>
        <v/>
      </c>
      <c r="F928" s="1" t="str">
        <f>IF(AND(Programme_Grunddaten!$A933="Geprüft",Programme_Grunddaten!M933&lt;&gt;""),IF(Programme_Grunddaten!M933="Ja",1,0),"")</f>
        <v/>
      </c>
      <c r="G928" s="1" t="str">
        <f>IF(AND(Programme_Grunddaten!$A933="Geprüft",Programme_Grunddaten!N933&lt;&gt;""),IF(Programme_Grunddaten!N933="Ja",1,0),"")</f>
        <v/>
      </c>
      <c r="H928" s="1" t="str">
        <f>IF(AND(Programme_Grunddaten!$A933="Geprüft",Programme_Grunddaten!O933&lt;&gt;""),IF(Programme_Grunddaten!O933="Deutschland",0,IF(Programme_Grunddaten!O933="EU",1,2)),"")</f>
        <v/>
      </c>
      <c r="I928" s="1" t="str">
        <f>IF(AND(Programme_Grunddaten!$A933="Geprüft",Programme_Grunddaten!P933&lt;&gt;""),IF(Programme_Grunddaten!P933="Ja",1,0),"")</f>
        <v/>
      </c>
      <c r="J928" s="1" t="str">
        <f>IF(AND(Programme_Grunddaten!$A933="Geprüft",Programme_Grunddaten!Q933&lt;&gt;""),IF(Programme_Grunddaten!Q933="geschlossenes System",1,0),"")</f>
        <v/>
      </c>
      <c r="K928" s="1" t="str">
        <f>IF(AND(Programme_Grunddaten!$A933="Geprüft",Programme_Grunddaten!R933&lt;&gt;""),IF(Programme_Grunddaten!R933="Ja",1,0),"")</f>
        <v/>
      </c>
      <c r="L928" s="1" t="str">
        <f>IF(AND(Programme_Grunddaten!$A933="Geprüft",Programme_Grunddaten!T933&lt;&gt;""),IF(Programme_Grunddaten!T933="Ja",1,0),"")</f>
        <v/>
      </c>
      <c r="M928" s="1" t="str">
        <f>IF(AND(Programme_Grunddaten!$A933="Geprüft",Programme_Grunddaten!U933&lt;&gt;""),IF(Programme_Grunddaten!U933="Ja",1,0),"")</f>
        <v/>
      </c>
      <c r="N928" s="1" t="str">
        <f>IF(AND(Programme_Grunddaten!$A933="Geprüft",Programme_Grunddaten!V933&lt;&gt;""),IF(Programme_Grunddaten!V933="Ja",1,0),"")</f>
        <v/>
      </c>
      <c r="O928" s="1" t="str">
        <f>IF(AND(Programme_Grunddaten!$A933="Geprüft",Programme_Grunddaten!W933&lt;&gt;""),IF(Programme_Grunddaten!W933="Ja",1,0),"")</f>
        <v/>
      </c>
      <c r="P928" s="1" t="str">
        <f>IF(AND(Programme_Grunddaten!$A933="Geprüft",Programme_Grunddaten!X933&lt;&gt;""),IF(Programme_Grunddaten!X933="Ja",1,0),"")</f>
        <v/>
      </c>
      <c r="Q928" s="1" t="str">
        <f>IF(AND(Programme_Grunddaten!$A933="Geprüft",Programme_Grunddaten!Y933&lt;&gt;""),IF(Programme_Grunddaten!Y933="Ja",1,0),"")</f>
        <v/>
      </c>
      <c r="R928" s="1" t="str">
        <f>IF(AND(Programme_Grunddaten!$A933="Geprüft",Programme_Grunddaten!Z933&lt;&gt;""),IF(Programme_Grunddaten!Z933="Ja",1,0),"")</f>
        <v/>
      </c>
      <c r="S928" s="1" t="str">
        <f>IF(AND(Programme_Grunddaten!$A933="Geprüft",Programme_Grunddaten!AA933&lt;&gt;""),IF(Programme_Grunddaten!AA933="monolithisch",1,0),"")</f>
        <v/>
      </c>
      <c r="T928" s="1" t="str">
        <f>IF(AND(Programme_Grunddaten!$A933="Geprüft",Programme_Grunddaten!AB933&lt;&gt;""),IF(Programme_Grunddaten!AB933="Ja",1,0),"")</f>
        <v/>
      </c>
      <c r="U928" s="1" t="str">
        <f>IF(AND(Programme_Grunddaten!$A933="Geprüft",Programme_Grunddaten!AC933&lt;&gt;""),IF(Programme_Grunddaten!AC933="Ja",1,0),"")</f>
        <v/>
      </c>
      <c r="V928" s="1" t="str">
        <f>IF(AND(Programme_Grunddaten!$A933="Geprüft",Programme_Grunddaten!AD933&lt;&gt;""),IF(Programme_Grunddaten!AD933="Ja",1,0),"")</f>
        <v/>
      </c>
      <c r="W928" s="1" t="str">
        <f>IF(AND(Programme_Grunddaten!$A933="Geprüft",Programme_Grunddaten!AE933&lt;&gt;""),IF(Programme_Grunddaten!AE933="Ja",1,0),"")</f>
        <v/>
      </c>
      <c r="X928" s="1" t="str">
        <f>IF(AND(Programme_Grunddaten!$A933="Geprüft",Programme_Grunddaten!AF933&lt;&gt;""),IF(Programme_Grunddaten!AF933="Ja",1,0),"")</f>
        <v/>
      </c>
      <c r="Y928" s="1" t="str">
        <f>IF(AND(Programme_Grunddaten!$A933="Geprüft",Programme_Grunddaten!AG933&lt;&gt;""),IF(Programme_Grunddaten!AG933="Ja",1,0),"")</f>
        <v/>
      </c>
      <c r="Z928" s="1" t="str">
        <f>IF(AND(Programme_Grunddaten!$A933="Geprüft",Programme_Grunddaten!AH933&lt;&gt;""),IF(Programme_Grunddaten!AH933="Ja",1,0),"")</f>
        <v/>
      </c>
      <c r="AA928" s="1" t="str">
        <f>IF(AND(Programme_Grunddaten!$A933="Geprüft",Programme_Grunddaten!AI933&lt;&gt;""),IF(Programme_Grunddaten!AI933="Ja",1,0),"")</f>
        <v/>
      </c>
      <c r="AB928" s="1" t="str">
        <f>IF(AND(Programme_Grunddaten!$A933="Geprüft",Programme_Grunddaten!AJ933&lt;&gt;""),IF(Programme_Grunddaten!AJ933="individuell programmierbar",1,0),"")</f>
        <v/>
      </c>
      <c r="AC928" s="1" t="str">
        <f>IF(AND(Programme_Grunddaten!$A933="Geprüft",Programme_Grunddaten!AK933&lt;&gt;""),IF(Programme_Grunddaten!AK933="Deutsch",0,IF(Programme_Grunddaten!AK933="Deutsch und Englisch",1,2)),"")</f>
        <v/>
      </c>
      <c r="AD928" s="1" t="str">
        <f>IF(AND(Programme_Grunddaten!$A933="Geprüft",Programme_Grunddaten!AL933&lt;&gt;""),IF(Programme_Grunddaten!AL933="Ja",1,0),"")</f>
        <v/>
      </c>
      <c r="AE928" s="1" t="str">
        <f>IF(AND(Programme_Grunddaten!$A933="Geprüft",Programme_Grunddaten!AM933&lt;&gt;""),IF(Programme_Grunddaten!AM933="Ja",1,0),"")</f>
        <v/>
      </c>
      <c r="AF928" s="1" t="str">
        <f>IF(AND(Programme_Grunddaten!$A933="Geprüft",Programme_Grunddaten!AN933&lt;&gt;""),IF(Programme_Grunddaten!AN933="Ja",1,0),"")</f>
        <v/>
      </c>
      <c r="AG928" s="1" t="str">
        <f>IF(AND(Programme_Grunddaten!$A933="Geprüft",Programme_Grunddaten!AO933&lt;&gt;""),IF(Programme_Grunddaten!AO933="Ja",1,0),"")</f>
        <v/>
      </c>
      <c r="AH928" s="1" t="str">
        <f>IF(AND(Programme_Grunddaten!$A933="Geprüft",Programme_Grunddaten!AP933&lt;&gt;""),IF(Programme_Grunddaten!AP933="Ja",1,0),"")</f>
        <v/>
      </c>
      <c r="AI928" s="1" t="str">
        <f>IF(AND(Programme_Grunddaten!$A933="Geprüft",Programme_Grunddaten!AQ933&lt;&gt;""),IF(Programme_Grunddaten!AQ933="Ja",1,0),"")</f>
        <v/>
      </c>
      <c r="AJ928" s="1" t="str">
        <f>IF(AND(Programme_Grunddaten!$A933="Geprüft",Programme_Grunddaten!AR933&lt;&gt;""),IF(Programme_Grunddaten!AR933="Ja",1,0),"")</f>
        <v/>
      </c>
      <c r="AK928" s="1" t="str">
        <f>IF(AND(Programme_Grunddaten!$A933="Geprüft",Programme_Grunddaten!AS933&lt;&gt;""),IF(Programme_Grunddaten!AS933="Ja",1,0),"")</f>
        <v/>
      </c>
      <c r="AL928" s="1" t="str">
        <f>IF(AND(Programme_Grunddaten!$A933="Geprüft",Programme_Grunddaten!AT933&lt;&gt;""),IF(Programme_Grunddaten!AT933="Ja",1,0),"")</f>
        <v/>
      </c>
      <c r="AM928" s="1" t="str">
        <f>IF(AND(Programme_Grunddaten!$A933="Geprüft",Programme_Grunddaten!AU933&lt;&gt;""),IF(Programme_Grunddaten!AU933="Ja",1,0),"")</f>
        <v/>
      </c>
      <c r="AN928" s="1" t="str">
        <f>IF(AND(Programme_Grunddaten!$A933="Geprüft",Programme_Grunddaten!AV933&lt;&gt;""),IF(Programme_Grunddaten!AV933="Ja",1,0),"")</f>
        <v/>
      </c>
    </row>
    <row r="929" spans="1:40" x14ac:dyDescent="0.3">
      <c r="A929" s="1" t="str">
        <f>IF(AND(Programme_Grunddaten!A934="Geprüft",Programme_Grunddaten!B934&lt;&gt;""),Programme_Grunddaten!B934,"")</f>
        <v/>
      </c>
      <c r="B929" s="1" t="str">
        <f>IF(AND(Programme_Grunddaten!$A934="Geprüft",Programme_Grunddaten!I934&lt;&gt;""),IF(Programme_Grunddaten!I934="Ja",1,0),"")</f>
        <v/>
      </c>
      <c r="C929" s="1" t="str">
        <f>IF(AND(Programme_Grunddaten!$A934="Geprüft",Programme_Grunddaten!J934&lt;&gt;""),IF(Programme_Grunddaten!J934="Ja",1,0),"")</f>
        <v/>
      </c>
      <c r="D929" s="1" t="str">
        <f>IF(AND(Programme_Grunddaten!$A934="Geprüft",Programme_Grunddaten!K934&lt;&gt;""),IF(Programme_Grunddaten!K934="Ja",1,0),"")</f>
        <v/>
      </c>
      <c r="E929" s="1" t="str">
        <f>IF(AND(Programme_Grunddaten!$A934="Geprüft",Programme_Grunddaten!L934&lt;&gt;""),IF(Programme_Grunddaten!L934="Abo / befristete Lizenz",1,0),"")</f>
        <v/>
      </c>
      <c r="F929" s="1" t="str">
        <f>IF(AND(Programme_Grunddaten!$A934="Geprüft",Programme_Grunddaten!M934&lt;&gt;""),IF(Programme_Grunddaten!M934="Ja",1,0),"")</f>
        <v/>
      </c>
      <c r="G929" s="1" t="str">
        <f>IF(AND(Programme_Grunddaten!$A934="Geprüft",Programme_Grunddaten!N934&lt;&gt;""),IF(Programme_Grunddaten!N934="Ja",1,0),"")</f>
        <v/>
      </c>
      <c r="H929" s="1" t="str">
        <f>IF(AND(Programme_Grunddaten!$A934="Geprüft",Programme_Grunddaten!O934&lt;&gt;""),IF(Programme_Grunddaten!O934="Deutschland",0,IF(Programme_Grunddaten!O934="EU",1,2)),"")</f>
        <v/>
      </c>
      <c r="I929" s="1" t="str">
        <f>IF(AND(Programme_Grunddaten!$A934="Geprüft",Programme_Grunddaten!P934&lt;&gt;""),IF(Programme_Grunddaten!P934="Ja",1,0),"")</f>
        <v/>
      </c>
      <c r="J929" s="1" t="str">
        <f>IF(AND(Programme_Grunddaten!$A934="Geprüft",Programme_Grunddaten!Q934&lt;&gt;""),IF(Programme_Grunddaten!Q934="geschlossenes System",1,0),"")</f>
        <v/>
      </c>
      <c r="K929" s="1" t="str">
        <f>IF(AND(Programme_Grunddaten!$A934="Geprüft",Programme_Grunddaten!R934&lt;&gt;""),IF(Programme_Grunddaten!R934="Ja",1,0),"")</f>
        <v/>
      </c>
      <c r="L929" s="1" t="str">
        <f>IF(AND(Programme_Grunddaten!$A934="Geprüft",Programme_Grunddaten!T934&lt;&gt;""),IF(Programme_Grunddaten!T934="Ja",1,0),"")</f>
        <v/>
      </c>
      <c r="M929" s="1" t="str">
        <f>IF(AND(Programme_Grunddaten!$A934="Geprüft",Programme_Grunddaten!U934&lt;&gt;""),IF(Programme_Grunddaten!U934="Ja",1,0),"")</f>
        <v/>
      </c>
      <c r="N929" s="1" t="str">
        <f>IF(AND(Programme_Grunddaten!$A934="Geprüft",Programme_Grunddaten!V934&lt;&gt;""),IF(Programme_Grunddaten!V934="Ja",1,0),"")</f>
        <v/>
      </c>
      <c r="O929" s="1" t="str">
        <f>IF(AND(Programme_Grunddaten!$A934="Geprüft",Programme_Grunddaten!W934&lt;&gt;""),IF(Programme_Grunddaten!W934="Ja",1,0),"")</f>
        <v/>
      </c>
      <c r="P929" s="1" t="str">
        <f>IF(AND(Programme_Grunddaten!$A934="Geprüft",Programme_Grunddaten!X934&lt;&gt;""),IF(Programme_Grunddaten!X934="Ja",1,0),"")</f>
        <v/>
      </c>
      <c r="Q929" s="1" t="str">
        <f>IF(AND(Programme_Grunddaten!$A934="Geprüft",Programme_Grunddaten!Y934&lt;&gt;""),IF(Programme_Grunddaten!Y934="Ja",1,0),"")</f>
        <v/>
      </c>
      <c r="R929" s="1" t="str">
        <f>IF(AND(Programme_Grunddaten!$A934="Geprüft",Programme_Grunddaten!Z934&lt;&gt;""),IF(Programme_Grunddaten!Z934="Ja",1,0),"")</f>
        <v/>
      </c>
      <c r="S929" s="1" t="str">
        <f>IF(AND(Programme_Grunddaten!$A934="Geprüft",Programme_Grunddaten!AA934&lt;&gt;""),IF(Programme_Grunddaten!AA934="monolithisch",1,0),"")</f>
        <v/>
      </c>
      <c r="T929" s="1" t="str">
        <f>IF(AND(Programme_Grunddaten!$A934="Geprüft",Programme_Grunddaten!AB934&lt;&gt;""),IF(Programme_Grunddaten!AB934="Ja",1,0),"")</f>
        <v/>
      </c>
      <c r="U929" s="1" t="str">
        <f>IF(AND(Programme_Grunddaten!$A934="Geprüft",Programme_Grunddaten!AC934&lt;&gt;""),IF(Programme_Grunddaten!AC934="Ja",1,0),"")</f>
        <v/>
      </c>
      <c r="V929" s="1" t="str">
        <f>IF(AND(Programme_Grunddaten!$A934="Geprüft",Programme_Grunddaten!AD934&lt;&gt;""),IF(Programme_Grunddaten!AD934="Ja",1,0),"")</f>
        <v/>
      </c>
      <c r="W929" s="1" t="str">
        <f>IF(AND(Programme_Grunddaten!$A934="Geprüft",Programme_Grunddaten!AE934&lt;&gt;""),IF(Programme_Grunddaten!AE934="Ja",1,0),"")</f>
        <v/>
      </c>
      <c r="X929" s="1" t="str">
        <f>IF(AND(Programme_Grunddaten!$A934="Geprüft",Programme_Grunddaten!AF934&lt;&gt;""),IF(Programme_Grunddaten!AF934="Ja",1,0),"")</f>
        <v/>
      </c>
      <c r="Y929" s="1" t="str">
        <f>IF(AND(Programme_Grunddaten!$A934="Geprüft",Programme_Grunddaten!AG934&lt;&gt;""),IF(Programme_Grunddaten!AG934="Ja",1,0),"")</f>
        <v/>
      </c>
      <c r="Z929" s="1" t="str">
        <f>IF(AND(Programme_Grunddaten!$A934="Geprüft",Programme_Grunddaten!AH934&lt;&gt;""),IF(Programme_Grunddaten!AH934="Ja",1,0),"")</f>
        <v/>
      </c>
      <c r="AA929" s="1" t="str">
        <f>IF(AND(Programme_Grunddaten!$A934="Geprüft",Programme_Grunddaten!AI934&lt;&gt;""),IF(Programme_Grunddaten!AI934="Ja",1,0),"")</f>
        <v/>
      </c>
      <c r="AB929" s="1" t="str">
        <f>IF(AND(Programme_Grunddaten!$A934="Geprüft",Programme_Grunddaten!AJ934&lt;&gt;""),IF(Programme_Grunddaten!AJ934="individuell programmierbar",1,0),"")</f>
        <v/>
      </c>
      <c r="AC929" s="1" t="str">
        <f>IF(AND(Programme_Grunddaten!$A934="Geprüft",Programme_Grunddaten!AK934&lt;&gt;""),IF(Programme_Grunddaten!AK934="Deutsch",0,IF(Programme_Grunddaten!AK934="Deutsch und Englisch",1,2)),"")</f>
        <v/>
      </c>
      <c r="AD929" s="1" t="str">
        <f>IF(AND(Programme_Grunddaten!$A934="Geprüft",Programme_Grunddaten!AL934&lt;&gt;""),IF(Programme_Grunddaten!AL934="Ja",1,0),"")</f>
        <v/>
      </c>
      <c r="AE929" s="1" t="str">
        <f>IF(AND(Programme_Grunddaten!$A934="Geprüft",Programme_Grunddaten!AM934&lt;&gt;""),IF(Programme_Grunddaten!AM934="Ja",1,0),"")</f>
        <v/>
      </c>
      <c r="AF929" s="1" t="str">
        <f>IF(AND(Programme_Grunddaten!$A934="Geprüft",Programme_Grunddaten!AN934&lt;&gt;""),IF(Programme_Grunddaten!AN934="Ja",1,0),"")</f>
        <v/>
      </c>
      <c r="AG929" s="1" t="str">
        <f>IF(AND(Programme_Grunddaten!$A934="Geprüft",Programme_Grunddaten!AO934&lt;&gt;""),IF(Programme_Grunddaten!AO934="Ja",1,0),"")</f>
        <v/>
      </c>
      <c r="AH929" s="1" t="str">
        <f>IF(AND(Programme_Grunddaten!$A934="Geprüft",Programme_Grunddaten!AP934&lt;&gt;""),IF(Programme_Grunddaten!AP934="Ja",1,0),"")</f>
        <v/>
      </c>
      <c r="AI929" s="1" t="str">
        <f>IF(AND(Programme_Grunddaten!$A934="Geprüft",Programme_Grunddaten!AQ934&lt;&gt;""),IF(Programme_Grunddaten!AQ934="Ja",1,0),"")</f>
        <v/>
      </c>
      <c r="AJ929" s="1" t="str">
        <f>IF(AND(Programme_Grunddaten!$A934="Geprüft",Programme_Grunddaten!AR934&lt;&gt;""),IF(Programme_Grunddaten!AR934="Ja",1,0),"")</f>
        <v/>
      </c>
      <c r="AK929" s="1" t="str">
        <f>IF(AND(Programme_Grunddaten!$A934="Geprüft",Programme_Grunddaten!AS934&lt;&gt;""),IF(Programme_Grunddaten!AS934="Ja",1,0),"")</f>
        <v/>
      </c>
      <c r="AL929" s="1" t="str">
        <f>IF(AND(Programme_Grunddaten!$A934="Geprüft",Programme_Grunddaten!AT934&lt;&gt;""),IF(Programme_Grunddaten!AT934="Ja",1,0),"")</f>
        <v/>
      </c>
      <c r="AM929" s="1" t="str">
        <f>IF(AND(Programme_Grunddaten!$A934="Geprüft",Programme_Grunddaten!AU934&lt;&gt;""),IF(Programme_Grunddaten!AU934="Ja",1,0),"")</f>
        <v/>
      </c>
      <c r="AN929" s="1" t="str">
        <f>IF(AND(Programme_Grunddaten!$A934="Geprüft",Programme_Grunddaten!AV934&lt;&gt;""),IF(Programme_Grunddaten!AV934="Ja",1,0),"")</f>
        <v/>
      </c>
    </row>
    <row r="930" spans="1:40" x14ac:dyDescent="0.3">
      <c r="A930" s="1" t="str">
        <f>IF(AND(Programme_Grunddaten!A935="Geprüft",Programme_Grunddaten!B935&lt;&gt;""),Programme_Grunddaten!B935,"")</f>
        <v/>
      </c>
      <c r="B930" s="1" t="str">
        <f>IF(AND(Programme_Grunddaten!$A935="Geprüft",Programme_Grunddaten!I935&lt;&gt;""),IF(Programme_Grunddaten!I935="Ja",1,0),"")</f>
        <v/>
      </c>
      <c r="C930" s="1" t="str">
        <f>IF(AND(Programme_Grunddaten!$A935="Geprüft",Programme_Grunddaten!J935&lt;&gt;""),IF(Programme_Grunddaten!J935="Ja",1,0),"")</f>
        <v/>
      </c>
      <c r="D930" s="1" t="str">
        <f>IF(AND(Programme_Grunddaten!$A935="Geprüft",Programme_Grunddaten!K935&lt;&gt;""),IF(Programme_Grunddaten!K935="Ja",1,0),"")</f>
        <v/>
      </c>
      <c r="E930" s="1" t="str">
        <f>IF(AND(Programme_Grunddaten!$A935="Geprüft",Programme_Grunddaten!L935&lt;&gt;""),IF(Programme_Grunddaten!L935="Abo / befristete Lizenz",1,0),"")</f>
        <v/>
      </c>
      <c r="F930" s="1" t="str">
        <f>IF(AND(Programme_Grunddaten!$A935="Geprüft",Programme_Grunddaten!M935&lt;&gt;""),IF(Programme_Grunddaten!M935="Ja",1,0),"")</f>
        <v/>
      </c>
      <c r="G930" s="1" t="str">
        <f>IF(AND(Programme_Grunddaten!$A935="Geprüft",Programme_Grunddaten!N935&lt;&gt;""),IF(Programme_Grunddaten!N935="Ja",1,0),"")</f>
        <v/>
      </c>
      <c r="H930" s="1" t="str">
        <f>IF(AND(Programme_Grunddaten!$A935="Geprüft",Programme_Grunddaten!O935&lt;&gt;""),IF(Programme_Grunddaten!O935="Deutschland",0,IF(Programme_Grunddaten!O935="EU",1,2)),"")</f>
        <v/>
      </c>
      <c r="I930" s="1" t="str">
        <f>IF(AND(Programme_Grunddaten!$A935="Geprüft",Programme_Grunddaten!P935&lt;&gt;""),IF(Programme_Grunddaten!P935="Ja",1,0),"")</f>
        <v/>
      </c>
      <c r="J930" s="1" t="str">
        <f>IF(AND(Programme_Grunddaten!$A935="Geprüft",Programme_Grunddaten!Q935&lt;&gt;""),IF(Programme_Grunddaten!Q935="geschlossenes System",1,0),"")</f>
        <v/>
      </c>
      <c r="K930" s="1" t="str">
        <f>IF(AND(Programme_Grunddaten!$A935="Geprüft",Programme_Grunddaten!R935&lt;&gt;""),IF(Programme_Grunddaten!R935="Ja",1,0),"")</f>
        <v/>
      </c>
      <c r="L930" s="1" t="str">
        <f>IF(AND(Programme_Grunddaten!$A935="Geprüft",Programme_Grunddaten!T935&lt;&gt;""),IF(Programme_Grunddaten!T935="Ja",1,0),"")</f>
        <v/>
      </c>
      <c r="M930" s="1" t="str">
        <f>IF(AND(Programme_Grunddaten!$A935="Geprüft",Programme_Grunddaten!U935&lt;&gt;""),IF(Programme_Grunddaten!U935="Ja",1,0),"")</f>
        <v/>
      </c>
      <c r="N930" s="1" t="str">
        <f>IF(AND(Programme_Grunddaten!$A935="Geprüft",Programme_Grunddaten!V935&lt;&gt;""),IF(Programme_Grunddaten!V935="Ja",1,0),"")</f>
        <v/>
      </c>
      <c r="O930" s="1" t="str">
        <f>IF(AND(Programme_Grunddaten!$A935="Geprüft",Programme_Grunddaten!W935&lt;&gt;""),IF(Programme_Grunddaten!W935="Ja",1,0),"")</f>
        <v/>
      </c>
      <c r="P930" s="1" t="str">
        <f>IF(AND(Programme_Grunddaten!$A935="Geprüft",Programme_Grunddaten!X935&lt;&gt;""),IF(Programme_Grunddaten!X935="Ja",1,0),"")</f>
        <v/>
      </c>
      <c r="Q930" s="1" t="str">
        <f>IF(AND(Programme_Grunddaten!$A935="Geprüft",Programme_Grunddaten!Y935&lt;&gt;""),IF(Programme_Grunddaten!Y935="Ja",1,0),"")</f>
        <v/>
      </c>
      <c r="R930" s="1" t="str">
        <f>IF(AND(Programme_Grunddaten!$A935="Geprüft",Programme_Grunddaten!Z935&lt;&gt;""),IF(Programme_Grunddaten!Z935="Ja",1,0),"")</f>
        <v/>
      </c>
      <c r="S930" s="1" t="str">
        <f>IF(AND(Programme_Grunddaten!$A935="Geprüft",Programme_Grunddaten!AA935&lt;&gt;""),IF(Programme_Grunddaten!AA935="monolithisch",1,0),"")</f>
        <v/>
      </c>
      <c r="T930" s="1" t="str">
        <f>IF(AND(Programme_Grunddaten!$A935="Geprüft",Programme_Grunddaten!AB935&lt;&gt;""),IF(Programme_Grunddaten!AB935="Ja",1,0),"")</f>
        <v/>
      </c>
      <c r="U930" s="1" t="str">
        <f>IF(AND(Programme_Grunddaten!$A935="Geprüft",Programme_Grunddaten!AC935&lt;&gt;""),IF(Programme_Grunddaten!AC935="Ja",1,0),"")</f>
        <v/>
      </c>
      <c r="V930" s="1" t="str">
        <f>IF(AND(Programme_Grunddaten!$A935="Geprüft",Programme_Grunddaten!AD935&lt;&gt;""),IF(Programme_Grunddaten!AD935="Ja",1,0),"")</f>
        <v/>
      </c>
      <c r="W930" s="1" t="str">
        <f>IF(AND(Programme_Grunddaten!$A935="Geprüft",Programme_Grunddaten!AE935&lt;&gt;""),IF(Programme_Grunddaten!AE935="Ja",1,0),"")</f>
        <v/>
      </c>
      <c r="X930" s="1" t="str">
        <f>IF(AND(Programme_Grunddaten!$A935="Geprüft",Programme_Grunddaten!AF935&lt;&gt;""),IF(Programme_Grunddaten!AF935="Ja",1,0),"")</f>
        <v/>
      </c>
      <c r="Y930" s="1" t="str">
        <f>IF(AND(Programme_Grunddaten!$A935="Geprüft",Programme_Grunddaten!AG935&lt;&gt;""),IF(Programme_Grunddaten!AG935="Ja",1,0),"")</f>
        <v/>
      </c>
      <c r="Z930" s="1" t="str">
        <f>IF(AND(Programme_Grunddaten!$A935="Geprüft",Programme_Grunddaten!AH935&lt;&gt;""),IF(Programme_Grunddaten!AH935="Ja",1,0),"")</f>
        <v/>
      </c>
      <c r="AA930" s="1" t="str">
        <f>IF(AND(Programme_Grunddaten!$A935="Geprüft",Programme_Grunddaten!AI935&lt;&gt;""),IF(Programme_Grunddaten!AI935="Ja",1,0),"")</f>
        <v/>
      </c>
      <c r="AB930" s="1" t="str">
        <f>IF(AND(Programme_Grunddaten!$A935="Geprüft",Programme_Grunddaten!AJ935&lt;&gt;""),IF(Programme_Grunddaten!AJ935="individuell programmierbar",1,0),"")</f>
        <v/>
      </c>
      <c r="AC930" s="1" t="str">
        <f>IF(AND(Programme_Grunddaten!$A935="Geprüft",Programme_Grunddaten!AK935&lt;&gt;""),IF(Programme_Grunddaten!AK935="Deutsch",0,IF(Programme_Grunddaten!AK935="Deutsch und Englisch",1,2)),"")</f>
        <v/>
      </c>
      <c r="AD930" s="1" t="str">
        <f>IF(AND(Programme_Grunddaten!$A935="Geprüft",Programme_Grunddaten!AL935&lt;&gt;""),IF(Programme_Grunddaten!AL935="Ja",1,0),"")</f>
        <v/>
      </c>
      <c r="AE930" s="1" t="str">
        <f>IF(AND(Programme_Grunddaten!$A935="Geprüft",Programme_Grunddaten!AM935&lt;&gt;""),IF(Programme_Grunddaten!AM935="Ja",1,0),"")</f>
        <v/>
      </c>
      <c r="AF930" s="1" t="str">
        <f>IF(AND(Programme_Grunddaten!$A935="Geprüft",Programme_Grunddaten!AN935&lt;&gt;""),IF(Programme_Grunddaten!AN935="Ja",1,0),"")</f>
        <v/>
      </c>
      <c r="AG930" s="1" t="str">
        <f>IF(AND(Programme_Grunddaten!$A935="Geprüft",Programme_Grunddaten!AO935&lt;&gt;""),IF(Programme_Grunddaten!AO935="Ja",1,0),"")</f>
        <v/>
      </c>
      <c r="AH930" s="1" t="str">
        <f>IF(AND(Programme_Grunddaten!$A935="Geprüft",Programme_Grunddaten!AP935&lt;&gt;""),IF(Programme_Grunddaten!AP935="Ja",1,0),"")</f>
        <v/>
      </c>
      <c r="AI930" s="1" t="str">
        <f>IF(AND(Programme_Grunddaten!$A935="Geprüft",Programme_Grunddaten!AQ935&lt;&gt;""),IF(Programme_Grunddaten!AQ935="Ja",1,0),"")</f>
        <v/>
      </c>
      <c r="AJ930" s="1" t="str">
        <f>IF(AND(Programme_Grunddaten!$A935="Geprüft",Programme_Grunddaten!AR935&lt;&gt;""),IF(Programme_Grunddaten!AR935="Ja",1,0),"")</f>
        <v/>
      </c>
      <c r="AK930" s="1" t="str">
        <f>IF(AND(Programme_Grunddaten!$A935="Geprüft",Programme_Grunddaten!AS935&lt;&gt;""),IF(Programme_Grunddaten!AS935="Ja",1,0),"")</f>
        <v/>
      </c>
      <c r="AL930" s="1" t="str">
        <f>IF(AND(Programme_Grunddaten!$A935="Geprüft",Programme_Grunddaten!AT935&lt;&gt;""),IF(Programme_Grunddaten!AT935="Ja",1,0),"")</f>
        <v/>
      </c>
      <c r="AM930" s="1" t="str">
        <f>IF(AND(Programme_Grunddaten!$A935="Geprüft",Programme_Grunddaten!AU935&lt;&gt;""),IF(Programme_Grunddaten!AU935="Ja",1,0),"")</f>
        <v/>
      </c>
      <c r="AN930" s="1" t="str">
        <f>IF(AND(Programme_Grunddaten!$A935="Geprüft",Programme_Grunddaten!AV935&lt;&gt;""),IF(Programme_Grunddaten!AV935="Ja",1,0),"")</f>
        <v/>
      </c>
    </row>
    <row r="931" spans="1:40" x14ac:dyDescent="0.3">
      <c r="A931" s="1" t="str">
        <f>IF(AND(Programme_Grunddaten!A936="Geprüft",Programme_Grunddaten!B936&lt;&gt;""),Programme_Grunddaten!B936,"")</f>
        <v/>
      </c>
      <c r="B931" s="1" t="str">
        <f>IF(AND(Programme_Grunddaten!$A936="Geprüft",Programme_Grunddaten!I936&lt;&gt;""),IF(Programme_Grunddaten!I936="Ja",1,0),"")</f>
        <v/>
      </c>
      <c r="C931" s="1" t="str">
        <f>IF(AND(Programme_Grunddaten!$A936="Geprüft",Programme_Grunddaten!J936&lt;&gt;""),IF(Programme_Grunddaten!J936="Ja",1,0),"")</f>
        <v/>
      </c>
      <c r="D931" s="1" t="str">
        <f>IF(AND(Programme_Grunddaten!$A936="Geprüft",Programme_Grunddaten!K936&lt;&gt;""),IF(Programme_Grunddaten!K936="Ja",1,0),"")</f>
        <v/>
      </c>
      <c r="E931" s="1" t="str">
        <f>IF(AND(Programme_Grunddaten!$A936="Geprüft",Programme_Grunddaten!L936&lt;&gt;""),IF(Programme_Grunddaten!L936="Abo / befristete Lizenz",1,0),"")</f>
        <v/>
      </c>
      <c r="F931" s="1" t="str">
        <f>IF(AND(Programme_Grunddaten!$A936="Geprüft",Programme_Grunddaten!M936&lt;&gt;""),IF(Programme_Grunddaten!M936="Ja",1,0),"")</f>
        <v/>
      </c>
      <c r="G931" s="1" t="str">
        <f>IF(AND(Programme_Grunddaten!$A936="Geprüft",Programme_Grunddaten!N936&lt;&gt;""),IF(Programme_Grunddaten!N936="Ja",1,0),"")</f>
        <v/>
      </c>
      <c r="H931" s="1" t="str">
        <f>IF(AND(Programme_Grunddaten!$A936="Geprüft",Programme_Grunddaten!O936&lt;&gt;""),IF(Programme_Grunddaten!O936="Deutschland",0,IF(Programme_Grunddaten!O936="EU",1,2)),"")</f>
        <v/>
      </c>
      <c r="I931" s="1" t="str">
        <f>IF(AND(Programme_Grunddaten!$A936="Geprüft",Programme_Grunddaten!P936&lt;&gt;""),IF(Programme_Grunddaten!P936="Ja",1,0),"")</f>
        <v/>
      </c>
      <c r="J931" s="1" t="str">
        <f>IF(AND(Programme_Grunddaten!$A936="Geprüft",Programme_Grunddaten!Q936&lt;&gt;""),IF(Programme_Grunddaten!Q936="geschlossenes System",1,0),"")</f>
        <v/>
      </c>
      <c r="K931" s="1" t="str">
        <f>IF(AND(Programme_Grunddaten!$A936="Geprüft",Programme_Grunddaten!R936&lt;&gt;""),IF(Programme_Grunddaten!R936="Ja",1,0),"")</f>
        <v/>
      </c>
      <c r="L931" s="1" t="str">
        <f>IF(AND(Programme_Grunddaten!$A936="Geprüft",Programme_Grunddaten!T936&lt;&gt;""),IF(Programme_Grunddaten!T936="Ja",1,0),"")</f>
        <v/>
      </c>
      <c r="M931" s="1" t="str">
        <f>IF(AND(Programme_Grunddaten!$A936="Geprüft",Programme_Grunddaten!U936&lt;&gt;""),IF(Programme_Grunddaten!U936="Ja",1,0),"")</f>
        <v/>
      </c>
      <c r="N931" s="1" t="str">
        <f>IF(AND(Programme_Grunddaten!$A936="Geprüft",Programme_Grunddaten!V936&lt;&gt;""),IF(Programme_Grunddaten!V936="Ja",1,0),"")</f>
        <v/>
      </c>
      <c r="O931" s="1" t="str">
        <f>IF(AND(Programme_Grunddaten!$A936="Geprüft",Programme_Grunddaten!W936&lt;&gt;""),IF(Programme_Grunddaten!W936="Ja",1,0),"")</f>
        <v/>
      </c>
      <c r="P931" s="1" t="str">
        <f>IF(AND(Programme_Grunddaten!$A936="Geprüft",Programme_Grunddaten!X936&lt;&gt;""),IF(Programme_Grunddaten!X936="Ja",1,0),"")</f>
        <v/>
      </c>
      <c r="Q931" s="1" t="str">
        <f>IF(AND(Programme_Grunddaten!$A936="Geprüft",Programme_Grunddaten!Y936&lt;&gt;""),IF(Programme_Grunddaten!Y936="Ja",1,0),"")</f>
        <v/>
      </c>
      <c r="R931" s="1" t="str">
        <f>IF(AND(Programme_Grunddaten!$A936="Geprüft",Programme_Grunddaten!Z936&lt;&gt;""),IF(Programme_Grunddaten!Z936="Ja",1,0),"")</f>
        <v/>
      </c>
      <c r="S931" s="1" t="str">
        <f>IF(AND(Programme_Grunddaten!$A936="Geprüft",Programme_Grunddaten!AA936&lt;&gt;""),IF(Programme_Grunddaten!AA936="monolithisch",1,0),"")</f>
        <v/>
      </c>
      <c r="T931" s="1" t="str">
        <f>IF(AND(Programme_Grunddaten!$A936="Geprüft",Programme_Grunddaten!AB936&lt;&gt;""),IF(Programme_Grunddaten!AB936="Ja",1,0),"")</f>
        <v/>
      </c>
      <c r="U931" s="1" t="str">
        <f>IF(AND(Programme_Grunddaten!$A936="Geprüft",Programme_Grunddaten!AC936&lt;&gt;""),IF(Programme_Grunddaten!AC936="Ja",1,0),"")</f>
        <v/>
      </c>
      <c r="V931" s="1" t="str">
        <f>IF(AND(Programme_Grunddaten!$A936="Geprüft",Programme_Grunddaten!AD936&lt;&gt;""),IF(Programme_Grunddaten!AD936="Ja",1,0),"")</f>
        <v/>
      </c>
      <c r="W931" s="1" t="str">
        <f>IF(AND(Programme_Grunddaten!$A936="Geprüft",Programme_Grunddaten!AE936&lt;&gt;""),IF(Programme_Grunddaten!AE936="Ja",1,0),"")</f>
        <v/>
      </c>
      <c r="X931" s="1" t="str">
        <f>IF(AND(Programme_Grunddaten!$A936="Geprüft",Programme_Grunddaten!AF936&lt;&gt;""),IF(Programme_Grunddaten!AF936="Ja",1,0),"")</f>
        <v/>
      </c>
      <c r="Y931" s="1" t="str">
        <f>IF(AND(Programme_Grunddaten!$A936="Geprüft",Programme_Grunddaten!AG936&lt;&gt;""),IF(Programme_Grunddaten!AG936="Ja",1,0),"")</f>
        <v/>
      </c>
      <c r="Z931" s="1" t="str">
        <f>IF(AND(Programme_Grunddaten!$A936="Geprüft",Programme_Grunddaten!AH936&lt;&gt;""),IF(Programme_Grunddaten!AH936="Ja",1,0),"")</f>
        <v/>
      </c>
      <c r="AA931" s="1" t="str">
        <f>IF(AND(Programme_Grunddaten!$A936="Geprüft",Programme_Grunddaten!AI936&lt;&gt;""),IF(Programme_Grunddaten!AI936="Ja",1,0),"")</f>
        <v/>
      </c>
      <c r="AB931" s="1" t="str">
        <f>IF(AND(Programme_Grunddaten!$A936="Geprüft",Programme_Grunddaten!AJ936&lt;&gt;""),IF(Programme_Grunddaten!AJ936="individuell programmierbar",1,0),"")</f>
        <v/>
      </c>
      <c r="AC931" s="1" t="str">
        <f>IF(AND(Programme_Grunddaten!$A936="Geprüft",Programme_Grunddaten!AK936&lt;&gt;""),IF(Programme_Grunddaten!AK936="Deutsch",0,IF(Programme_Grunddaten!AK936="Deutsch und Englisch",1,2)),"")</f>
        <v/>
      </c>
      <c r="AD931" s="1" t="str">
        <f>IF(AND(Programme_Grunddaten!$A936="Geprüft",Programme_Grunddaten!AL936&lt;&gt;""),IF(Programme_Grunddaten!AL936="Ja",1,0),"")</f>
        <v/>
      </c>
      <c r="AE931" s="1" t="str">
        <f>IF(AND(Programme_Grunddaten!$A936="Geprüft",Programme_Grunddaten!AM936&lt;&gt;""),IF(Programme_Grunddaten!AM936="Ja",1,0),"")</f>
        <v/>
      </c>
      <c r="AF931" s="1" t="str">
        <f>IF(AND(Programme_Grunddaten!$A936="Geprüft",Programme_Grunddaten!AN936&lt;&gt;""),IF(Programme_Grunddaten!AN936="Ja",1,0),"")</f>
        <v/>
      </c>
      <c r="AG931" s="1" t="str">
        <f>IF(AND(Programme_Grunddaten!$A936="Geprüft",Programme_Grunddaten!AO936&lt;&gt;""),IF(Programme_Grunddaten!AO936="Ja",1,0),"")</f>
        <v/>
      </c>
      <c r="AH931" s="1" t="str">
        <f>IF(AND(Programme_Grunddaten!$A936="Geprüft",Programme_Grunddaten!AP936&lt;&gt;""),IF(Programme_Grunddaten!AP936="Ja",1,0),"")</f>
        <v/>
      </c>
      <c r="AI931" s="1" t="str">
        <f>IF(AND(Programme_Grunddaten!$A936="Geprüft",Programme_Grunddaten!AQ936&lt;&gt;""),IF(Programme_Grunddaten!AQ936="Ja",1,0),"")</f>
        <v/>
      </c>
      <c r="AJ931" s="1" t="str">
        <f>IF(AND(Programme_Grunddaten!$A936="Geprüft",Programme_Grunddaten!AR936&lt;&gt;""),IF(Programme_Grunddaten!AR936="Ja",1,0),"")</f>
        <v/>
      </c>
      <c r="AK931" s="1" t="str">
        <f>IF(AND(Programme_Grunddaten!$A936="Geprüft",Programme_Grunddaten!AS936&lt;&gt;""),IF(Programme_Grunddaten!AS936="Ja",1,0),"")</f>
        <v/>
      </c>
      <c r="AL931" s="1" t="str">
        <f>IF(AND(Programme_Grunddaten!$A936="Geprüft",Programme_Grunddaten!AT936&lt;&gt;""),IF(Programme_Grunddaten!AT936="Ja",1,0),"")</f>
        <v/>
      </c>
      <c r="AM931" s="1" t="str">
        <f>IF(AND(Programme_Grunddaten!$A936="Geprüft",Programme_Grunddaten!AU936&lt;&gt;""),IF(Programme_Grunddaten!AU936="Ja",1,0),"")</f>
        <v/>
      </c>
      <c r="AN931" s="1" t="str">
        <f>IF(AND(Programme_Grunddaten!$A936="Geprüft",Programme_Grunddaten!AV936&lt;&gt;""),IF(Programme_Grunddaten!AV936="Ja",1,0),"")</f>
        <v/>
      </c>
    </row>
    <row r="932" spans="1:40" x14ac:dyDescent="0.3">
      <c r="A932" s="1" t="str">
        <f>IF(AND(Programme_Grunddaten!A937="Geprüft",Programme_Grunddaten!B937&lt;&gt;""),Programme_Grunddaten!B937,"")</f>
        <v/>
      </c>
      <c r="B932" s="1" t="str">
        <f>IF(AND(Programme_Grunddaten!$A937="Geprüft",Programme_Grunddaten!I937&lt;&gt;""),IF(Programme_Grunddaten!I937="Ja",1,0),"")</f>
        <v/>
      </c>
      <c r="C932" s="1" t="str">
        <f>IF(AND(Programme_Grunddaten!$A937="Geprüft",Programme_Grunddaten!J937&lt;&gt;""),IF(Programme_Grunddaten!J937="Ja",1,0),"")</f>
        <v/>
      </c>
      <c r="D932" s="1" t="str">
        <f>IF(AND(Programme_Grunddaten!$A937="Geprüft",Programme_Grunddaten!K937&lt;&gt;""),IF(Programme_Grunddaten!K937="Ja",1,0),"")</f>
        <v/>
      </c>
      <c r="E932" s="1" t="str">
        <f>IF(AND(Programme_Grunddaten!$A937="Geprüft",Programme_Grunddaten!L937&lt;&gt;""),IF(Programme_Grunddaten!L937="Abo / befristete Lizenz",1,0),"")</f>
        <v/>
      </c>
      <c r="F932" s="1" t="str">
        <f>IF(AND(Programme_Grunddaten!$A937="Geprüft",Programme_Grunddaten!M937&lt;&gt;""),IF(Programme_Grunddaten!M937="Ja",1,0),"")</f>
        <v/>
      </c>
      <c r="G932" s="1" t="str">
        <f>IF(AND(Programme_Grunddaten!$A937="Geprüft",Programme_Grunddaten!N937&lt;&gt;""),IF(Programme_Grunddaten!N937="Ja",1,0),"")</f>
        <v/>
      </c>
      <c r="H932" s="1" t="str">
        <f>IF(AND(Programme_Grunddaten!$A937="Geprüft",Programme_Grunddaten!O937&lt;&gt;""),IF(Programme_Grunddaten!O937="Deutschland",0,IF(Programme_Grunddaten!O937="EU",1,2)),"")</f>
        <v/>
      </c>
      <c r="I932" s="1" t="str">
        <f>IF(AND(Programme_Grunddaten!$A937="Geprüft",Programme_Grunddaten!P937&lt;&gt;""),IF(Programme_Grunddaten!P937="Ja",1,0),"")</f>
        <v/>
      </c>
      <c r="J932" s="1" t="str">
        <f>IF(AND(Programme_Grunddaten!$A937="Geprüft",Programme_Grunddaten!Q937&lt;&gt;""),IF(Programme_Grunddaten!Q937="geschlossenes System",1,0),"")</f>
        <v/>
      </c>
      <c r="K932" s="1" t="str">
        <f>IF(AND(Programme_Grunddaten!$A937="Geprüft",Programme_Grunddaten!R937&lt;&gt;""),IF(Programme_Grunddaten!R937="Ja",1,0),"")</f>
        <v/>
      </c>
      <c r="L932" s="1" t="str">
        <f>IF(AND(Programme_Grunddaten!$A937="Geprüft",Programme_Grunddaten!T937&lt;&gt;""),IF(Programme_Grunddaten!T937="Ja",1,0),"")</f>
        <v/>
      </c>
      <c r="M932" s="1" t="str">
        <f>IF(AND(Programme_Grunddaten!$A937="Geprüft",Programme_Grunddaten!U937&lt;&gt;""),IF(Programme_Grunddaten!U937="Ja",1,0),"")</f>
        <v/>
      </c>
      <c r="N932" s="1" t="str">
        <f>IF(AND(Programme_Grunddaten!$A937="Geprüft",Programme_Grunddaten!V937&lt;&gt;""),IF(Programme_Grunddaten!V937="Ja",1,0),"")</f>
        <v/>
      </c>
      <c r="O932" s="1" t="str">
        <f>IF(AND(Programme_Grunddaten!$A937="Geprüft",Programme_Grunddaten!W937&lt;&gt;""),IF(Programme_Grunddaten!W937="Ja",1,0),"")</f>
        <v/>
      </c>
      <c r="P932" s="1" t="str">
        <f>IF(AND(Programme_Grunddaten!$A937="Geprüft",Programme_Grunddaten!X937&lt;&gt;""),IF(Programme_Grunddaten!X937="Ja",1,0),"")</f>
        <v/>
      </c>
      <c r="Q932" s="1" t="str">
        <f>IF(AND(Programme_Grunddaten!$A937="Geprüft",Programme_Grunddaten!Y937&lt;&gt;""),IF(Programme_Grunddaten!Y937="Ja",1,0),"")</f>
        <v/>
      </c>
      <c r="R932" s="1" t="str">
        <f>IF(AND(Programme_Grunddaten!$A937="Geprüft",Programme_Grunddaten!Z937&lt;&gt;""),IF(Programme_Grunddaten!Z937="Ja",1,0),"")</f>
        <v/>
      </c>
      <c r="S932" s="1" t="str">
        <f>IF(AND(Programme_Grunddaten!$A937="Geprüft",Programme_Grunddaten!AA937&lt;&gt;""),IF(Programme_Grunddaten!AA937="monolithisch",1,0),"")</f>
        <v/>
      </c>
      <c r="T932" s="1" t="str">
        <f>IF(AND(Programme_Grunddaten!$A937="Geprüft",Programme_Grunddaten!AB937&lt;&gt;""),IF(Programme_Grunddaten!AB937="Ja",1,0),"")</f>
        <v/>
      </c>
      <c r="U932" s="1" t="str">
        <f>IF(AND(Programme_Grunddaten!$A937="Geprüft",Programme_Grunddaten!AC937&lt;&gt;""),IF(Programme_Grunddaten!AC937="Ja",1,0),"")</f>
        <v/>
      </c>
      <c r="V932" s="1" t="str">
        <f>IF(AND(Programme_Grunddaten!$A937="Geprüft",Programme_Grunddaten!AD937&lt;&gt;""),IF(Programme_Grunddaten!AD937="Ja",1,0),"")</f>
        <v/>
      </c>
      <c r="W932" s="1" t="str">
        <f>IF(AND(Programme_Grunddaten!$A937="Geprüft",Programme_Grunddaten!AE937&lt;&gt;""),IF(Programme_Grunddaten!AE937="Ja",1,0),"")</f>
        <v/>
      </c>
      <c r="X932" s="1" t="str">
        <f>IF(AND(Programme_Grunddaten!$A937="Geprüft",Programme_Grunddaten!AF937&lt;&gt;""),IF(Programme_Grunddaten!AF937="Ja",1,0),"")</f>
        <v/>
      </c>
      <c r="Y932" s="1" t="str">
        <f>IF(AND(Programme_Grunddaten!$A937="Geprüft",Programme_Grunddaten!AG937&lt;&gt;""),IF(Programme_Grunddaten!AG937="Ja",1,0),"")</f>
        <v/>
      </c>
      <c r="Z932" s="1" t="str">
        <f>IF(AND(Programme_Grunddaten!$A937="Geprüft",Programme_Grunddaten!AH937&lt;&gt;""),IF(Programme_Grunddaten!AH937="Ja",1,0),"")</f>
        <v/>
      </c>
      <c r="AA932" s="1" t="str">
        <f>IF(AND(Programme_Grunddaten!$A937="Geprüft",Programme_Grunddaten!AI937&lt;&gt;""),IF(Programme_Grunddaten!AI937="Ja",1,0),"")</f>
        <v/>
      </c>
      <c r="AB932" s="1" t="str">
        <f>IF(AND(Programme_Grunddaten!$A937="Geprüft",Programme_Grunddaten!AJ937&lt;&gt;""),IF(Programme_Grunddaten!AJ937="individuell programmierbar",1,0),"")</f>
        <v/>
      </c>
      <c r="AC932" s="1" t="str">
        <f>IF(AND(Programme_Grunddaten!$A937="Geprüft",Programme_Grunddaten!AK937&lt;&gt;""),IF(Programme_Grunddaten!AK937="Deutsch",0,IF(Programme_Grunddaten!AK937="Deutsch und Englisch",1,2)),"")</f>
        <v/>
      </c>
      <c r="AD932" s="1" t="str">
        <f>IF(AND(Programme_Grunddaten!$A937="Geprüft",Programme_Grunddaten!AL937&lt;&gt;""),IF(Programme_Grunddaten!AL937="Ja",1,0),"")</f>
        <v/>
      </c>
      <c r="AE932" s="1" t="str">
        <f>IF(AND(Programme_Grunddaten!$A937="Geprüft",Programme_Grunddaten!AM937&lt;&gt;""),IF(Programme_Grunddaten!AM937="Ja",1,0),"")</f>
        <v/>
      </c>
      <c r="AF932" s="1" t="str">
        <f>IF(AND(Programme_Grunddaten!$A937="Geprüft",Programme_Grunddaten!AN937&lt;&gt;""),IF(Programme_Grunddaten!AN937="Ja",1,0),"")</f>
        <v/>
      </c>
      <c r="AG932" s="1" t="str">
        <f>IF(AND(Programme_Grunddaten!$A937="Geprüft",Programme_Grunddaten!AO937&lt;&gt;""),IF(Programme_Grunddaten!AO937="Ja",1,0),"")</f>
        <v/>
      </c>
      <c r="AH932" s="1" t="str">
        <f>IF(AND(Programme_Grunddaten!$A937="Geprüft",Programme_Grunddaten!AP937&lt;&gt;""),IF(Programme_Grunddaten!AP937="Ja",1,0),"")</f>
        <v/>
      </c>
      <c r="AI932" s="1" t="str">
        <f>IF(AND(Programme_Grunddaten!$A937="Geprüft",Programme_Grunddaten!AQ937&lt;&gt;""),IF(Programme_Grunddaten!AQ937="Ja",1,0),"")</f>
        <v/>
      </c>
      <c r="AJ932" s="1" t="str">
        <f>IF(AND(Programme_Grunddaten!$A937="Geprüft",Programme_Grunddaten!AR937&lt;&gt;""),IF(Programme_Grunddaten!AR937="Ja",1,0),"")</f>
        <v/>
      </c>
      <c r="AK932" s="1" t="str">
        <f>IF(AND(Programme_Grunddaten!$A937="Geprüft",Programme_Grunddaten!AS937&lt;&gt;""),IF(Programme_Grunddaten!AS937="Ja",1,0),"")</f>
        <v/>
      </c>
      <c r="AL932" s="1" t="str">
        <f>IF(AND(Programme_Grunddaten!$A937="Geprüft",Programme_Grunddaten!AT937&lt;&gt;""),IF(Programme_Grunddaten!AT937="Ja",1,0),"")</f>
        <v/>
      </c>
      <c r="AM932" s="1" t="str">
        <f>IF(AND(Programme_Grunddaten!$A937="Geprüft",Programme_Grunddaten!AU937&lt;&gt;""),IF(Programme_Grunddaten!AU937="Ja",1,0),"")</f>
        <v/>
      </c>
      <c r="AN932" s="1" t="str">
        <f>IF(AND(Programme_Grunddaten!$A937="Geprüft",Programme_Grunddaten!AV937&lt;&gt;""),IF(Programme_Grunddaten!AV937="Ja",1,0),"")</f>
        <v/>
      </c>
    </row>
    <row r="933" spans="1:40" x14ac:dyDescent="0.3">
      <c r="A933" s="1" t="str">
        <f>IF(AND(Programme_Grunddaten!A938="Geprüft",Programme_Grunddaten!B938&lt;&gt;""),Programme_Grunddaten!B938,"")</f>
        <v/>
      </c>
      <c r="B933" s="1" t="str">
        <f>IF(AND(Programme_Grunddaten!$A938="Geprüft",Programme_Grunddaten!I938&lt;&gt;""),IF(Programme_Grunddaten!I938="Ja",1,0),"")</f>
        <v/>
      </c>
      <c r="C933" s="1" t="str">
        <f>IF(AND(Programme_Grunddaten!$A938="Geprüft",Programme_Grunddaten!J938&lt;&gt;""),IF(Programme_Grunddaten!J938="Ja",1,0),"")</f>
        <v/>
      </c>
      <c r="D933" s="1" t="str">
        <f>IF(AND(Programme_Grunddaten!$A938="Geprüft",Programme_Grunddaten!K938&lt;&gt;""),IF(Programme_Grunddaten!K938="Ja",1,0),"")</f>
        <v/>
      </c>
      <c r="E933" s="1" t="str">
        <f>IF(AND(Programme_Grunddaten!$A938="Geprüft",Programme_Grunddaten!L938&lt;&gt;""),IF(Programme_Grunddaten!L938="Abo / befristete Lizenz",1,0),"")</f>
        <v/>
      </c>
      <c r="F933" s="1" t="str">
        <f>IF(AND(Programme_Grunddaten!$A938="Geprüft",Programme_Grunddaten!M938&lt;&gt;""),IF(Programme_Grunddaten!M938="Ja",1,0),"")</f>
        <v/>
      </c>
      <c r="G933" s="1" t="str">
        <f>IF(AND(Programme_Grunddaten!$A938="Geprüft",Programme_Grunddaten!N938&lt;&gt;""),IF(Programme_Grunddaten!N938="Ja",1,0),"")</f>
        <v/>
      </c>
      <c r="H933" s="1" t="str">
        <f>IF(AND(Programme_Grunddaten!$A938="Geprüft",Programme_Grunddaten!O938&lt;&gt;""),IF(Programme_Grunddaten!O938="Deutschland",0,IF(Programme_Grunddaten!O938="EU",1,2)),"")</f>
        <v/>
      </c>
      <c r="I933" s="1" t="str">
        <f>IF(AND(Programme_Grunddaten!$A938="Geprüft",Programme_Grunddaten!P938&lt;&gt;""),IF(Programme_Grunddaten!P938="Ja",1,0),"")</f>
        <v/>
      </c>
      <c r="J933" s="1" t="str">
        <f>IF(AND(Programme_Grunddaten!$A938="Geprüft",Programme_Grunddaten!Q938&lt;&gt;""),IF(Programme_Grunddaten!Q938="geschlossenes System",1,0),"")</f>
        <v/>
      </c>
      <c r="K933" s="1" t="str">
        <f>IF(AND(Programme_Grunddaten!$A938="Geprüft",Programme_Grunddaten!R938&lt;&gt;""),IF(Programme_Grunddaten!R938="Ja",1,0),"")</f>
        <v/>
      </c>
      <c r="L933" s="1" t="str">
        <f>IF(AND(Programme_Grunddaten!$A938="Geprüft",Programme_Grunddaten!T938&lt;&gt;""),IF(Programme_Grunddaten!T938="Ja",1,0),"")</f>
        <v/>
      </c>
      <c r="M933" s="1" t="str">
        <f>IF(AND(Programme_Grunddaten!$A938="Geprüft",Programme_Grunddaten!U938&lt;&gt;""),IF(Programme_Grunddaten!U938="Ja",1,0),"")</f>
        <v/>
      </c>
      <c r="N933" s="1" t="str">
        <f>IF(AND(Programme_Grunddaten!$A938="Geprüft",Programme_Grunddaten!V938&lt;&gt;""),IF(Programme_Grunddaten!V938="Ja",1,0),"")</f>
        <v/>
      </c>
      <c r="O933" s="1" t="str">
        <f>IF(AND(Programme_Grunddaten!$A938="Geprüft",Programme_Grunddaten!W938&lt;&gt;""),IF(Programme_Grunddaten!W938="Ja",1,0),"")</f>
        <v/>
      </c>
      <c r="P933" s="1" t="str">
        <f>IF(AND(Programme_Grunddaten!$A938="Geprüft",Programme_Grunddaten!X938&lt;&gt;""),IF(Programme_Grunddaten!X938="Ja",1,0),"")</f>
        <v/>
      </c>
      <c r="Q933" s="1" t="str">
        <f>IF(AND(Programme_Grunddaten!$A938="Geprüft",Programme_Grunddaten!Y938&lt;&gt;""),IF(Programme_Grunddaten!Y938="Ja",1,0),"")</f>
        <v/>
      </c>
      <c r="R933" s="1" t="str">
        <f>IF(AND(Programme_Grunddaten!$A938="Geprüft",Programme_Grunddaten!Z938&lt;&gt;""),IF(Programme_Grunddaten!Z938="Ja",1,0),"")</f>
        <v/>
      </c>
      <c r="S933" s="1" t="str">
        <f>IF(AND(Programme_Grunddaten!$A938="Geprüft",Programme_Grunddaten!AA938&lt;&gt;""),IF(Programme_Grunddaten!AA938="monolithisch",1,0),"")</f>
        <v/>
      </c>
      <c r="T933" s="1" t="str">
        <f>IF(AND(Programme_Grunddaten!$A938="Geprüft",Programme_Grunddaten!AB938&lt;&gt;""),IF(Programme_Grunddaten!AB938="Ja",1,0),"")</f>
        <v/>
      </c>
      <c r="U933" s="1" t="str">
        <f>IF(AND(Programme_Grunddaten!$A938="Geprüft",Programme_Grunddaten!AC938&lt;&gt;""),IF(Programme_Grunddaten!AC938="Ja",1,0),"")</f>
        <v/>
      </c>
      <c r="V933" s="1" t="str">
        <f>IF(AND(Programme_Grunddaten!$A938="Geprüft",Programme_Grunddaten!AD938&lt;&gt;""),IF(Programme_Grunddaten!AD938="Ja",1,0),"")</f>
        <v/>
      </c>
      <c r="W933" s="1" t="str">
        <f>IF(AND(Programme_Grunddaten!$A938="Geprüft",Programme_Grunddaten!AE938&lt;&gt;""),IF(Programme_Grunddaten!AE938="Ja",1,0),"")</f>
        <v/>
      </c>
      <c r="X933" s="1" t="str">
        <f>IF(AND(Programme_Grunddaten!$A938="Geprüft",Programme_Grunddaten!AF938&lt;&gt;""),IF(Programme_Grunddaten!AF938="Ja",1,0),"")</f>
        <v/>
      </c>
      <c r="Y933" s="1" t="str">
        <f>IF(AND(Programme_Grunddaten!$A938="Geprüft",Programme_Grunddaten!AG938&lt;&gt;""),IF(Programme_Grunddaten!AG938="Ja",1,0),"")</f>
        <v/>
      </c>
      <c r="Z933" s="1" t="str">
        <f>IF(AND(Programme_Grunddaten!$A938="Geprüft",Programme_Grunddaten!AH938&lt;&gt;""),IF(Programme_Grunddaten!AH938="Ja",1,0),"")</f>
        <v/>
      </c>
      <c r="AA933" s="1" t="str">
        <f>IF(AND(Programme_Grunddaten!$A938="Geprüft",Programme_Grunddaten!AI938&lt;&gt;""),IF(Programme_Grunddaten!AI938="Ja",1,0),"")</f>
        <v/>
      </c>
      <c r="AB933" s="1" t="str">
        <f>IF(AND(Programme_Grunddaten!$A938="Geprüft",Programme_Grunddaten!AJ938&lt;&gt;""),IF(Programme_Grunddaten!AJ938="individuell programmierbar",1,0),"")</f>
        <v/>
      </c>
      <c r="AC933" s="1" t="str">
        <f>IF(AND(Programme_Grunddaten!$A938="Geprüft",Programme_Grunddaten!AK938&lt;&gt;""),IF(Programme_Grunddaten!AK938="Deutsch",0,IF(Programme_Grunddaten!AK938="Deutsch und Englisch",1,2)),"")</f>
        <v/>
      </c>
      <c r="AD933" s="1" t="str">
        <f>IF(AND(Programme_Grunddaten!$A938="Geprüft",Programme_Grunddaten!AL938&lt;&gt;""),IF(Programme_Grunddaten!AL938="Ja",1,0),"")</f>
        <v/>
      </c>
      <c r="AE933" s="1" t="str">
        <f>IF(AND(Programme_Grunddaten!$A938="Geprüft",Programme_Grunddaten!AM938&lt;&gt;""),IF(Programme_Grunddaten!AM938="Ja",1,0),"")</f>
        <v/>
      </c>
      <c r="AF933" s="1" t="str">
        <f>IF(AND(Programme_Grunddaten!$A938="Geprüft",Programme_Grunddaten!AN938&lt;&gt;""),IF(Programme_Grunddaten!AN938="Ja",1,0),"")</f>
        <v/>
      </c>
      <c r="AG933" s="1" t="str">
        <f>IF(AND(Programme_Grunddaten!$A938="Geprüft",Programme_Grunddaten!AO938&lt;&gt;""),IF(Programme_Grunddaten!AO938="Ja",1,0),"")</f>
        <v/>
      </c>
      <c r="AH933" s="1" t="str">
        <f>IF(AND(Programme_Grunddaten!$A938="Geprüft",Programme_Grunddaten!AP938&lt;&gt;""),IF(Programme_Grunddaten!AP938="Ja",1,0),"")</f>
        <v/>
      </c>
      <c r="AI933" s="1" t="str">
        <f>IF(AND(Programme_Grunddaten!$A938="Geprüft",Programme_Grunddaten!AQ938&lt;&gt;""),IF(Programme_Grunddaten!AQ938="Ja",1,0),"")</f>
        <v/>
      </c>
      <c r="AJ933" s="1" t="str">
        <f>IF(AND(Programme_Grunddaten!$A938="Geprüft",Programme_Grunddaten!AR938&lt;&gt;""),IF(Programme_Grunddaten!AR938="Ja",1,0),"")</f>
        <v/>
      </c>
      <c r="AK933" s="1" t="str">
        <f>IF(AND(Programme_Grunddaten!$A938="Geprüft",Programme_Grunddaten!AS938&lt;&gt;""),IF(Programme_Grunddaten!AS938="Ja",1,0),"")</f>
        <v/>
      </c>
      <c r="AL933" s="1" t="str">
        <f>IF(AND(Programme_Grunddaten!$A938="Geprüft",Programme_Grunddaten!AT938&lt;&gt;""),IF(Programme_Grunddaten!AT938="Ja",1,0),"")</f>
        <v/>
      </c>
      <c r="AM933" s="1" t="str">
        <f>IF(AND(Programme_Grunddaten!$A938="Geprüft",Programme_Grunddaten!AU938&lt;&gt;""),IF(Programme_Grunddaten!AU938="Ja",1,0),"")</f>
        <v/>
      </c>
      <c r="AN933" s="1" t="str">
        <f>IF(AND(Programme_Grunddaten!$A938="Geprüft",Programme_Grunddaten!AV938&lt;&gt;""),IF(Programme_Grunddaten!AV938="Ja",1,0),"")</f>
        <v/>
      </c>
    </row>
    <row r="934" spans="1:40" x14ac:dyDescent="0.3">
      <c r="A934" s="1" t="str">
        <f>IF(AND(Programme_Grunddaten!A939="Geprüft",Programme_Grunddaten!B939&lt;&gt;""),Programme_Grunddaten!B939,"")</f>
        <v/>
      </c>
      <c r="B934" s="1" t="str">
        <f>IF(AND(Programme_Grunddaten!$A939="Geprüft",Programme_Grunddaten!I939&lt;&gt;""),IF(Programme_Grunddaten!I939="Ja",1,0),"")</f>
        <v/>
      </c>
      <c r="C934" s="1" t="str">
        <f>IF(AND(Programme_Grunddaten!$A939="Geprüft",Programme_Grunddaten!J939&lt;&gt;""),IF(Programme_Grunddaten!J939="Ja",1,0),"")</f>
        <v/>
      </c>
      <c r="D934" s="1" t="str">
        <f>IF(AND(Programme_Grunddaten!$A939="Geprüft",Programme_Grunddaten!K939&lt;&gt;""),IF(Programme_Grunddaten!K939="Ja",1,0),"")</f>
        <v/>
      </c>
      <c r="E934" s="1" t="str">
        <f>IF(AND(Programme_Grunddaten!$A939="Geprüft",Programme_Grunddaten!L939&lt;&gt;""),IF(Programme_Grunddaten!L939="Abo / befristete Lizenz",1,0),"")</f>
        <v/>
      </c>
      <c r="F934" s="1" t="str">
        <f>IF(AND(Programme_Grunddaten!$A939="Geprüft",Programme_Grunddaten!M939&lt;&gt;""),IF(Programme_Grunddaten!M939="Ja",1,0),"")</f>
        <v/>
      </c>
      <c r="G934" s="1" t="str">
        <f>IF(AND(Programme_Grunddaten!$A939="Geprüft",Programme_Grunddaten!N939&lt;&gt;""),IF(Programme_Grunddaten!N939="Ja",1,0),"")</f>
        <v/>
      </c>
      <c r="H934" s="1" t="str">
        <f>IF(AND(Programme_Grunddaten!$A939="Geprüft",Programme_Grunddaten!O939&lt;&gt;""),IF(Programme_Grunddaten!O939="Deutschland",0,IF(Programme_Grunddaten!O939="EU",1,2)),"")</f>
        <v/>
      </c>
      <c r="I934" s="1" t="str">
        <f>IF(AND(Programme_Grunddaten!$A939="Geprüft",Programme_Grunddaten!P939&lt;&gt;""),IF(Programme_Grunddaten!P939="Ja",1,0),"")</f>
        <v/>
      </c>
      <c r="J934" s="1" t="str">
        <f>IF(AND(Programme_Grunddaten!$A939="Geprüft",Programme_Grunddaten!Q939&lt;&gt;""),IF(Programme_Grunddaten!Q939="geschlossenes System",1,0),"")</f>
        <v/>
      </c>
      <c r="K934" s="1" t="str">
        <f>IF(AND(Programme_Grunddaten!$A939="Geprüft",Programme_Grunddaten!R939&lt;&gt;""),IF(Programme_Grunddaten!R939="Ja",1,0),"")</f>
        <v/>
      </c>
      <c r="L934" s="1" t="str">
        <f>IF(AND(Programme_Grunddaten!$A939="Geprüft",Programme_Grunddaten!T939&lt;&gt;""),IF(Programme_Grunddaten!T939="Ja",1,0),"")</f>
        <v/>
      </c>
      <c r="M934" s="1" t="str">
        <f>IF(AND(Programme_Grunddaten!$A939="Geprüft",Programme_Grunddaten!U939&lt;&gt;""),IF(Programme_Grunddaten!U939="Ja",1,0),"")</f>
        <v/>
      </c>
      <c r="N934" s="1" t="str">
        <f>IF(AND(Programme_Grunddaten!$A939="Geprüft",Programme_Grunddaten!V939&lt;&gt;""),IF(Programme_Grunddaten!V939="Ja",1,0),"")</f>
        <v/>
      </c>
      <c r="O934" s="1" t="str">
        <f>IF(AND(Programme_Grunddaten!$A939="Geprüft",Programme_Grunddaten!W939&lt;&gt;""),IF(Programme_Grunddaten!W939="Ja",1,0),"")</f>
        <v/>
      </c>
      <c r="P934" s="1" t="str">
        <f>IF(AND(Programme_Grunddaten!$A939="Geprüft",Programme_Grunddaten!X939&lt;&gt;""),IF(Programme_Grunddaten!X939="Ja",1,0),"")</f>
        <v/>
      </c>
      <c r="Q934" s="1" t="str">
        <f>IF(AND(Programme_Grunddaten!$A939="Geprüft",Programme_Grunddaten!Y939&lt;&gt;""),IF(Programme_Grunddaten!Y939="Ja",1,0),"")</f>
        <v/>
      </c>
      <c r="R934" s="1" t="str">
        <f>IF(AND(Programme_Grunddaten!$A939="Geprüft",Programme_Grunddaten!Z939&lt;&gt;""),IF(Programme_Grunddaten!Z939="Ja",1,0),"")</f>
        <v/>
      </c>
      <c r="S934" s="1" t="str">
        <f>IF(AND(Programme_Grunddaten!$A939="Geprüft",Programme_Grunddaten!AA939&lt;&gt;""),IF(Programme_Grunddaten!AA939="monolithisch",1,0),"")</f>
        <v/>
      </c>
      <c r="T934" s="1" t="str">
        <f>IF(AND(Programme_Grunddaten!$A939="Geprüft",Programme_Grunddaten!AB939&lt;&gt;""),IF(Programme_Grunddaten!AB939="Ja",1,0),"")</f>
        <v/>
      </c>
      <c r="U934" s="1" t="str">
        <f>IF(AND(Programme_Grunddaten!$A939="Geprüft",Programme_Grunddaten!AC939&lt;&gt;""),IF(Programme_Grunddaten!AC939="Ja",1,0),"")</f>
        <v/>
      </c>
      <c r="V934" s="1" t="str">
        <f>IF(AND(Programme_Grunddaten!$A939="Geprüft",Programme_Grunddaten!AD939&lt;&gt;""),IF(Programme_Grunddaten!AD939="Ja",1,0),"")</f>
        <v/>
      </c>
      <c r="W934" s="1" t="str">
        <f>IF(AND(Programme_Grunddaten!$A939="Geprüft",Programme_Grunddaten!AE939&lt;&gt;""),IF(Programme_Grunddaten!AE939="Ja",1,0),"")</f>
        <v/>
      </c>
      <c r="X934" s="1" t="str">
        <f>IF(AND(Programme_Grunddaten!$A939="Geprüft",Programme_Grunddaten!AF939&lt;&gt;""),IF(Programme_Grunddaten!AF939="Ja",1,0),"")</f>
        <v/>
      </c>
      <c r="Y934" s="1" t="str">
        <f>IF(AND(Programme_Grunddaten!$A939="Geprüft",Programme_Grunddaten!AG939&lt;&gt;""),IF(Programme_Grunddaten!AG939="Ja",1,0),"")</f>
        <v/>
      </c>
      <c r="Z934" s="1" t="str">
        <f>IF(AND(Programme_Grunddaten!$A939="Geprüft",Programme_Grunddaten!AH939&lt;&gt;""),IF(Programme_Grunddaten!AH939="Ja",1,0),"")</f>
        <v/>
      </c>
      <c r="AA934" s="1" t="str">
        <f>IF(AND(Programme_Grunddaten!$A939="Geprüft",Programme_Grunddaten!AI939&lt;&gt;""),IF(Programme_Grunddaten!AI939="Ja",1,0),"")</f>
        <v/>
      </c>
      <c r="AB934" s="1" t="str">
        <f>IF(AND(Programme_Grunddaten!$A939="Geprüft",Programme_Grunddaten!AJ939&lt;&gt;""),IF(Programme_Grunddaten!AJ939="individuell programmierbar",1,0),"")</f>
        <v/>
      </c>
      <c r="AC934" s="1" t="str">
        <f>IF(AND(Programme_Grunddaten!$A939="Geprüft",Programme_Grunddaten!AK939&lt;&gt;""),IF(Programme_Grunddaten!AK939="Deutsch",0,IF(Programme_Grunddaten!AK939="Deutsch und Englisch",1,2)),"")</f>
        <v/>
      </c>
      <c r="AD934" s="1" t="str">
        <f>IF(AND(Programme_Grunddaten!$A939="Geprüft",Programme_Grunddaten!AL939&lt;&gt;""),IF(Programme_Grunddaten!AL939="Ja",1,0),"")</f>
        <v/>
      </c>
      <c r="AE934" s="1" t="str">
        <f>IF(AND(Programme_Grunddaten!$A939="Geprüft",Programme_Grunddaten!AM939&lt;&gt;""),IF(Programme_Grunddaten!AM939="Ja",1,0),"")</f>
        <v/>
      </c>
      <c r="AF934" s="1" t="str">
        <f>IF(AND(Programme_Grunddaten!$A939="Geprüft",Programme_Grunddaten!AN939&lt;&gt;""),IF(Programme_Grunddaten!AN939="Ja",1,0),"")</f>
        <v/>
      </c>
      <c r="AG934" s="1" t="str">
        <f>IF(AND(Programme_Grunddaten!$A939="Geprüft",Programme_Grunddaten!AO939&lt;&gt;""),IF(Programme_Grunddaten!AO939="Ja",1,0),"")</f>
        <v/>
      </c>
      <c r="AH934" s="1" t="str">
        <f>IF(AND(Programme_Grunddaten!$A939="Geprüft",Programme_Grunddaten!AP939&lt;&gt;""),IF(Programme_Grunddaten!AP939="Ja",1,0),"")</f>
        <v/>
      </c>
      <c r="AI934" s="1" t="str">
        <f>IF(AND(Programme_Grunddaten!$A939="Geprüft",Programme_Grunddaten!AQ939&lt;&gt;""),IF(Programme_Grunddaten!AQ939="Ja",1,0),"")</f>
        <v/>
      </c>
      <c r="AJ934" s="1" t="str">
        <f>IF(AND(Programme_Grunddaten!$A939="Geprüft",Programme_Grunddaten!AR939&lt;&gt;""),IF(Programme_Grunddaten!AR939="Ja",1,0),"")</f>
        <v/>
      </c>
      <c r="AK934" s="1" t="str">
        <f>IF(AND(Programme_Grunddaten!$A939="Geprüft",Programme_Grunddaten!AS939&lt;&gt;""),IF(Programme_Grunddaten!AS939="Ja",1,0),"")</f>
        <v/>
      </c>
      <c r="AL934" s="1" t="str">
        <f>IF(AND(Programme_Grunddaten!$A939="Geprüft",Programme_Grunddaten!AT939&lt;&gt;""),IF(Programme_Grunddaten!AT939="Ja",1,0),"")</f>
        <v/>
      </c>
      <c r="AM934" s="1" t="str">
        <f>IF(AND(Programme_Grunddaten!$A939="Geprüft",Programme_Grunddaten!AU939&lt;&gt;""),IF(Programme_Grunddaten!AU939="Ja",1,0),"")</f>
        <v/>
      </c>
      <c r="AN934" s="1" t="str">
        <f>IF(AND(Programme_Grunddaten!$A939="Geprüft",Programme_Grunddaten!AV939&lt;&gt;""),IF(Programme_Grunddaten!AV939="Ja",1,0),"")</f>
        <v/>
      </c>
    </row>
    <row r="935" spans="1:40" x14ac:dyDescent="0.3">
      <c r="A935" s="1" t="str">
        <f>IF(AND(Programme_Grunddaten!A940="Geprüft",Programme_Grunddaten!B940&lt;&gt;""),Programme_Grunddaten!B940,"")</f>
        <v/>
      </c>
      <c r="B935" s="1" t="str">
        <f>IF(AND(Programme_Grunddaten!$A940="Geprüft",Programme_Grunddaten!I940&lt;&gt;""),IF(Programme_Grunddaten!I940="Ja",1,0),"")</f>
        <v/>
      </c>
      <c r="C935" s="1" t="str">
        <f>IF(AND(Programme_Grunddaten!$A940="Geprüft",Programme_Grunddaten!J940&lt;&gt;""),IF(Programme_Grunddaten!J940="Ja",1,0),"")</f>
        <v/>
      </c>
      <c r="D935" s="1" t="str">
        <f>IF(AND(Programme_Grunddaten!$A940="Geprüft",Programme_Grunddaten!K940&lt;&gt;""),IF(Programme_Grunddaten!K940="Ja",1,0),"")</f>
        <v/>
      </c>
      <c r="E935" s="1" t="str">
        <f>IF(AND(Programme_Grunddaten!$A940="Geprüft",Programme_Grunddaten!L940&lt;&gt;""),IF(Programme_Grunddaten!L940="Abo / befristete Lizenz",1,0),"")</f>
        <v/>
      </c>
      <c r="F935" s="1" t="str">
        <f>IF(AND(Programme_Grunddaten!$A940="Geprüft",Programme_Grunddaten!M940&lt;&gt;""),IF(Programme_Grunddaten!M940="Ja",1,0),"")</f>
        <v/>
      </c>
      <c r="G935" s="1" t="str">
        <f>IF(AND(Programme_Grunddaten!$A940="Geprüft",Programme_Grunddaten!N940&lt;&gt;""),IF(Programme_Grunddaten!N940="Ja",1,0),"")</f>
        <v/>
      </c>
      <c r="H935" s="1" t="str">
        <f>IF(AND(Programme_Grunddaten!$A940="Geprüft",Programme_Grunddaten!O940&lt;&gt;""),IF(Programme_Grunddaten!O940="Deutschland",0,IF(Programme_Grunddaten!O940="EU",1,2)),"")</f>
        <v/>
      </c>
      <c r="I935" s="1" t="str">
        <f>IF(AND(Programme_Grunddaten!$A940="Geprüft",Programme_Grunddaten!P940&lt;&gt;""),IF(Programme_Grunddaten!P940="Ja",1,0),"")</f>
        <v/>
      </c>
      <c r="J935" s="1" t="str">
        <f>IF(AND(Programme_Grunddaten!$A940="Geprüft",Programme_Grunddaten!Q940&lt;&gt;""),IF(Programme_Grunddaten!Q940="geschlossenes System",1,0),"")</f>
        <v/>
      </c>
      <c r="K935" s="1" t="str">
        <f>IF(AND(Programme_Grunddaten!$A940="Geprüft",Programme_Grunddaten!R940&lt;&gt;""),IF(Programme_Grunddaten!R940="Ja",1,0),"")</f>
        <v/>
      </c>
      <c r="L935" s="1" t="str">
        <f>IF(AND(Programme_Grunddaten!$A940="Geprüft",Programme_Grunddaten!T940&lt;&gt;""),IF(Programme_Grunddaten!T940="Ja",1,0),"")</f>
        <v/>
      </c>
      <c r="M935" s="1" t="str">
        <f>IF(AND(Programme_Grunddaten!$A940="Geprüft",Programme_Grunddaten!U940&lt;&gt;""),IF(Programme_Grunddaten!U940="Ja",1,0),"")</f>
        <v/>
      </c>
      <c r="N935" s="1" t="str">
        <f>IF(AND(Programme_Grunddaten!$A940="Geprüft",Programme_Grunddaten!V940&lt;&gt;""),IF(Programme_Grunddaten!V940="Ja",1,0),"")</f>
        <v/>
      </c>
      <c r="O935" s="1" t="str">
        <f>IF(AND(Programme_Grunddaten!$A940="Geprüft",Programme_Grunddaten!W940&lt;&gt;""),IF(Programme_Grunddaten!W940="Ja",1,0),"")</f>
        <v/>
      </c>
      <c r="P935" s="1" t="str">
        <f>IF(AND(Programme_Grunddaten!$A940="Geprüft",Programme_Grunddaten!X940&lt;&gt;""),IF(Programme_Grunddaten!X940="Ja",1,0),"")</f>
        <v/>
      </c>
      <c r="Q935" s="1" t="str">
        <f>IF(AND(Programme_Grunddaten!$A940="Geprüft",Programme_Grunddaten!Y940&lt;&gt;""),IF(Programme_Grunddaten!Y940="Ja",1,0),"")</f>
        <v/>
      </c>
      <c r="R935" s="1" t="str">
        <f>IF(AND(Programme_Grunddaten!$A940="Geprüft",Programme_Grunddaten!Z940&lt;&gt;""),IF(Programme_Grunddaten!Z940="Ja",1,0),"")</f>
        <v/>
      </c>
      <c r="S935" s="1" t="str">
        <f>IF(AND(Programme_Grunddaten!$A940="Geprüft",Programme_Grunddaten!AA940&lt;&gt;""),IF(Programme_Grunddaten!AA940="monolithisch",1,0),"")</f>
        <v/>
      </c>
      <c r="T935" s="1" t="str">
        <f>IF(AND(Programme_Grunddaten!$A940="Geprüft",Programme_Grunddaten!AB940&lt;&gt;""),IF(Programme_Grunddaten!AB940="Ja",1,0),"")</f>
        <v/>
      </c>
      <c r="U935" s="1" t="str">
        <f>IF(AND(Programme_Grunddaten!$A940="Geprüft",Programme_Grunddaten!AC940&lt;&gt;""),IF(Programme_Grunddaten!AC940="Ja",1,0),"")</f>
        <v/>
      </c>
      <c r="V935" s="1" t="str">
        <f>IF(AND(Programme_Grunddaten!$A940="Geprüft",Programme_Grunddaten!AD940&lt;&gt;""),IF(Programme_Grunddaten!AD940="Ja",1,0),"")</f>
        <v/>
      </c>
      <c r="W935" s="1" t="str">
        <f>IF(AND(Programme_Grunddaten!$A940="Geprüft",Programme_Grunddaten!AE940&lt;&gt;""),IF(Programme_Grunddaten!AE940="Ja",1,0),"")</f>
        <v/>
      </c>
      <c r="X935" s="1" t="str">
        <f>IF(AND(Programme_Grunddaten!$A940="Geprüft",Programme_Grunddaten!AF940&lt;&gt;""),IF(Programme_Grunddaten!AF940="Ja",1,0),"")</f>
        <v/>
      </c>
      <c r="Y935" s="1" t="str">
        <f>IF(AND(Programme_Grunddaten!$A940="Geprüft",Programme_Grunddaten!AG940&lt;&gt;""),IF(Programme_Grunddaten!AG940="Ja",1,0),"")</f>
        <v/>
      </c>
      <c r="Z935" s="1" t="str">
        <f>IF(AND(Programme_Grunddaten!$A940="Geprüft",Programme_Grunddaten!AH940&lt;&gt;""),IF(Programme_Grunddaten!AH940="Ja",1,0),"")</f>
        <v/>
      </c>
      <c r="AA935" s="1" t="str">
        <f>IF(AND(Programme_Grunddaten!$A940="Geprüft",Programme_Grunddaten!AI940&lt;&gt;""),IF(Programme_Grunddaten!AI940="Ja",1,0),"")</f>
        <v/>
      </c>
      <c r="AB935" s="1" t="str">
        <f>IF(AND(Programme_Grunddaten!$A940="Geprüft",Programme_Grunddaten!AJ940&lt;&gt;""),IF(Programme_Grunddaten!AJ940="individuell programmierbar",1,0),"")</f>
        <v/>
      </c>
      <c r="AC935" s="1" t="str">
        <f>IF(AND(Programme_Grunddaten!$A940="Geprüft",Programme_Grunddaten!AK940&lt;&gt;""),IF(Programme_Grunddaten!AK940="Deutsch",0,IF(Programme_Grunddaten!AK940="Deutsch und Englisch",1,2)),"")</f>
        <v/>
      </c>
      <c r="AD935" s="1" t="str">
        <f>IF(AND(Programme_Grunddaten!$A940="Geprüft",Programme_Grunddaten!AL940&lt;&gt;""),IF(Programme_Grunddaten!AL940="Ja",1,0),"")</f>
        <v/>
      </c>
      <c r="AE935" s="1" t="str">
        <f>IF(AND(Programme_Grunddaten!$A940="Geprüft",Programme_Grunddaten!AM940&lt;&gt;""),IF(Programme_Grunddaten!AM940="Ja",1,0),"")</f>
        <v/>
      </c>
      <c r="AF935" s="1" t="str">
        <f>IF(AND(Programme_Grunddaten!$A940="Geprüft",Programme_Grunddaten!AN940&lt;&gt;""),IF(Programme_Grunddaten!AN940="Ja",1,0),"")</f>
        <v/>
      </c>
      <c r="AG935" s="1" t="str">
        <f>IF(AND(Programme_Grunddaten!$A940="Geprüft",Programme_Grunddaten!AO940&lt;&gt;""),IF(Programme_Grunddaten!AO940="Ja",1,0),"")</f>
        <v/>
      </c>
      <c r="AH935" s="1" t="str">
        <f>IF(AND(Programme_Grunddaten!$A940="Geprüft",Programme_Grunddaten!AP940&lt;&gt;""),IF(Programme_Grunddaten!AP940="Ja",1,0),"")</f>
        <v/>
      </c>
      <c r="AI935" s="1" t="str">
        <f>IF(AND(Programme_Grunddaten!$A940="Geprüft",Programme_Grunddaten!AQ940&lt;&gt;""),IF(Programme_Grunddaten!AQ940="Ja",1,0),"")</f>
        <v/>
      </c>
      <c r="AJ935" s="1" t="str">
        <f>IF(AND(Programme_Grunddaten!$A940="Geprüft",Programme_Grunddaten!AR940&lt;&gt;""),IF(Programme_Grunddaten!AR940="Ja",1,0),"")</f>
        <v/>
      </c>
      <c r="AK935" s="1" t="str">
        <f>IF(AND(Programme_Grunddaten!$A940="Geprüft",Programme_Grunddaten!AS940&lt;&gt;""),IF(Programme_Grunddaten!AS940="Ja",1,0),"")</f>
        <v/>
      </c>
      <c r="AL935" s="1" t="str">
        <f>IF(AND(Programme_Grunddaten!$A940="Geprüft",Programme_Grunddaten!AT940&lt;&gt;""),IF(Programme_Grunddaten!AT940="Ja",1,0),"")</f>
        <v/>
      </c>
      <c r="AM935" s="1" t="str">
        <f>IF(AND(Programme_Grunddaten!$A940="Geprüft",Programme_Grunddaten!AU940&lt;&gt;""),IF(Programme_Grunddaten!AU940="Ja",1,0),"")</f>
        <v/>
      </c>
      <c r="AN935" s="1" t="str">
        <f>IF(AND(Programme_Grunddaten!$A940="Geprüft",Programme_Grunddaten!AV940&lt;&gt;""),IF(Programme_Grunddaten!AV940="Ja",1,0),"")</f>
        <v/>
      </c>
    </row>
    <row r="936" spans="1:40" x14ac:dyDescent="0.3">
      <c r="A936" s="1" t="str">
        <f>IF(AND(Programme_Grunddaten!A941="Geprüft",Programme_Grunddaten!B941&lt;&gt;""),Programme_Grunddaten!B941,"")</f>
        <v/>
      </c>
      <c r="B936" s="1" t="str">
        <f>IF(AND(Programme_Grunddaten!$A941="Geprüft",Programme_Grunddaten!I941&lt;&gt;""),IF(Programme_Grunddaten!I941="Ja",1,0),"")</f>
        <v/>
      </c>
      <c r="C936" s="1" t="str">
        <f>IF(AND(Programme_Grunddaten!$A941="Geprüft",Programme_Grunddaten!J941&lt;&gt;""),IF(Programme_Grunddaten!J941="Ja",1,0),"")</f>
        <v/>
      </c>
      <c r="D936" s="1" t="str">
        <f>IF(AND(Programme_Grunddaten!$A941="Geprüft",Programme_Grunddaten!K941&lt;&gt;""),IF(Programme_Grunddaten!K941="Ja",1,0),"")</f>
        <v/>
      </c>
      <c r="E936" s="1" t="str">
        <f>IF(AND(Programme_Grunddaten!$A941="Geprüft",Programme_Grunddaten!L941&lt;&gt;""),IF(Programme_Grunddaten!L941="Abo / befristete Lizenz",1,0),"")</f>
        <v/>
      </c>
      <c r="F936" s="1" t="str">
        <f>IF(AND(Programme_Grunddaten!$A941="Geprüft",Programme_Grunddaten!M941&lt;&gt;""),IF(Programme_Grunddaten!M941="Ja",1,0),"")</f>
        <v/>
      </c>
      <c r="G936" s="1" t="str">
        <f>IF(AND(Programme_Grunddaten!$A941="Geprüft",Programme_Grunddaten!N941&lt;&gt;""),IF(Programme_Grunddaten!N941="Ja",1,0),"")</f>
        <v/>
      </c>
      <c r="H936" s="1" t="str">
        <f>IF(AND(Programme_Grunddaten!$A941="Geprüft",Programme_Grunddaten!O941&lt;&gt;""),IF(Programme_Grunddaten!O941="Deutschland",0,IF(Programme_Grunddaten!O941="EU",1,2)),"")</f>
        <v/>
      </c>
      <c r="I936" s="1" t="str">
        <f>IF(AND(Programme_Grunddaten!$A941="Geprüft",Programme_Grunddaten!P941&lt;&gt;""),IF(Programme_Grunddaten!P941="Ja",1,0),"")</f>
        <v/>
      </c>
      <c r="J936" s="1" t="str">
        <f>IF(AND(Programme_Grunddaten!$A941="Geprüft",Programme_Grunddaten!Q941&lt;&gt;""),IF(Programme_Grunddaten!Q941="geschlossenes System",1,0),"")</f>
        <v/>
      </c>
      <c r="K936" s="1" t="str">
        <f>IF(AND(Programme_Grunddaten!$A941="Geprüft",Programme_Grunddaten!R941&lt;&gt;""),IF(Programme_Grunddaten!R941="Ja",1,0),"")</f>
        <v/>
      </c>
      <c r="L936" s="1" t="str">
        <f>IF(AND(Programme_Grunddaten!$A941="Geprüft",Programme_Grunddaten!T941&lt;&gt;""),IF(Programme_Grunddaten!T941="Ja",1,0),"")</f>
        <v/>
      </c>
      <c r="M936" s="1" t="str">
        <f>IF(AND(Programme_Grunddaten!$A941="Geprüft",Programme_Grunddaten!U941&lt;&gt;""),IF(Programme_Grunddaten!U941="Ja",1,0),"")</f>
        <v/>
      </c>
      <c r="N936" s="1" t="str">
        <f>IF(AND(Programme_Grunddaten!$A941="Geprüft",Programme_Grunddaten!V941&lt;&gt;""),IF(Programme_Grunddaten!V941="Ja",1,0),"")</f>
        <v/>
      </c>
      <c r="O936" s="1" t="str">
        <f>IF(AND(Programme_Grunddaten!$A941="Geprüft",Programme_Grunddaten!W941&lt;&gt;""),IF(Programme_Grunddaten!W941="Ja",1,0),"")</f>
        <v/>
      </c>
      <c r="P936" s="1" t="str">
        <f>IF(AND(Programme_Grunddaten!$A941="Geprüft",Programme_Grunddaten!X941&lt;&gt;""),IF(Programme_Grunddaten!X941="Ja",1,0),"")</f>
        <v/>
      </c>
      <c r="Q936" s="1" t="str">
        <f>IF(AND(Programme_Grunddaten!$A941="Geprüft",Programme_Grunddaten!Y941&lt;&gt;""),IF(Programme_Grunddaten!Y941="Ja",1,0),"")</f>
        <v/>
      </c>
      <c r="R936" s="1" t="str">
        <f>IF(AND(Programme_Grunddaten!$A941="Geprüft",Programme_Grunddaten!Z941&lt;&gt;""),IF(Programme_Grunddaten!Z941="Ja",1,0),"")</f>
        <v/>
      </c>
      <c r="S936" s="1" t="str">
        <f>IF(AND(Programme_Grunddaten!$A941="Geprüft",Programme_Grunddaten!AA941&lt;&gt;""),IF(Programme_Grunddaten!AA941="monolithisch",1,0),"")</f>
        <v/>
      </c>
      <c r="T936" s="1" t="str">
        <f>IF(AND(Programme_Grunddaten!$A941="Geprüft",Programme_Grunddaten!AB941&lt;&gt;""),IF(Programme_Grunddaten!AB941="Ja",1,0),"")</f>
        <v/>
      </c>
      <c r="U936" s="1" t="str">
        <f>IF(AND(Programme_Grunddaten!$A941="Geprüft",Programme_Grunddaten!AC941&lt;&gt;""),IF(Programme_Grunddaten!AC941="Ja",1,0),"")</f>
        <v/>
      </c>
      <c r="V936" s="1" t="str">
        <f>IF(AND(Programme_Grunddaten!$A941="Geprüft",Programme_Grunddaten!AD941&lt;&gt;""),IF(Programme_Grunddaten!AD941="Ja",1,0),"")</f>
        <v/>
      </c>
      <c r="W936" s="1" t="str">
        <f>IF(AND(Programme_Grunddaten!$A941="Geprüft",Programme_Grunddaten!AE941&lt;&gt;""),IF(Programme_Grunddaten!AE941="Ja",1,0),"")</f>
        <v/>
      </c>
      <c r="X936" s="1" t="str">
        <f>IF(AND(Programme_Grunddaten!$A941="Geprüft",Programme_Grunddaten!AF941&lt;&gt;""),IF(Programme_Grunddaten!AF941="Ja",1,0),"")</f>
        <v/>
      </c>
      <c r="Y936" s="1" t="str">
        <f>IF(AND(Programme_Grunddaten!$A941="Geprüft",Programme_Grunddaten!AG941&lt;&gt;""),IF(Programme_Grunddaten!AG941="Ja",1,0),"")</f>
        <v/>
      </c>
      <c r="Z936" s="1" t="str">
        <f>IF(AND(Programme_Grunddaten!$A941="Geprüft",Programme_Grunddaten!AH941&lt;&gt;""),IF(Programme_Grunddaten!AH941="Ja",1,0),"")</f>
        <v/>
      </c>
      <c r="AA936" s="1" t="str">
        <f>IF(AND(Programme_Grunddaten!$A941="Geprüft",Programme_Grunddaten!AI941&lt;&gt;""),IF(Programme_Grunddaten!AI941="Ja",1,0),"")</f>
        <v/>
      </c>
      <c r="AB936" s="1" t="str">
        <f>IF(AND(Programme_Grunddaten!$A941="Geprüft",Programme_Grunddaten!AJ941&lt;&gt;""),IF(Programme_Grunddaten!AJ941="individuell programmierbar",1,0),"")</f>
        <v/>
      </c>
      <c r="AC936" s="1" t="str">
        <f>IF(AND(Programme_Grunddaten!$A941="Geprüft",Programme_Grunddaten!AK941&lt;&gt;""),IF(Programme_Grunddaten!AK941="Deutsch",0,IF(Programme_Grunddaten!AK941="Deutsch und Englisch",1,2)),"")</f>
        <v/>
      </c>
      <c r="AD936" s="1" t="str">
        <f>IF(AND(Programme_Grunddaten!$A941="Geprüft",Programme_Grunddaten!AL941&lt;&gt;""),IF(Programme_Grunddaten!AL941="Ja",1,0),"")</f>
        <v/>
      </c>
      <c r="AE936" s="1" t="str">
        <f>IF(AND(Programme_Grunddaten!$A941="Geprüft",Programme_Grunddaten!AM941&lt;&gt;""),IF(Programme_Grunddaten!AM941="Ja",1,0),"")</f>
        <v/>
      </c>
      <c r="AF936" s="1" t="str">
        <f>IF(AND(Programme_Grunddaten!$A941="Geprüft",Programme_Grunddaten!AN941&lt;&gt;""),IF(Programme_Grunddaten!AN941="Ja",1,0),"")</f>
        <v/>
      </c>
      <c r="AG936" s="1" t="str">
        <f>IF(AND(Programme_Grunddaten!$A941="Geprüft",Programme_Grunddaten!AO941&lt;&gt;""),IF(Programme_Grunddaten!AO941="Ja",1,0),"")</f>
        <v/>
      </c>
      <c r="AH936" s="1" t="str">
        <f>IF(AND(Programme_Grunddaten!$A941="Geprüft",Programme_Grunddaten!AP941&lt;&gt;""),IF(Programme_Grunddaten!AP941="Ja",1,0),"")</f>
        <v/>
      </c>
      <c r="AI936" s="1" t="str">
        <f>IF(AND(Programme_Grunddaten!$A941="Geprüft",Programme_Grunddaten!AQ941&lt;&gt;""),IF(Programme_Grunddaten!AQ941="Ja",1,0),"")</f>
        <v/>
      </c>
      <c r="AJ936" s="1" t="str">
        <f>IF(AND(Programme_Grunddaten!$A941="Geprüft",Programme_Grunddaten!AR941&lt;&gt;""),IF(Programme_Grunddaten!AR941="Ja",1,0),"")</f>
        <v/>
      </c>
      <c r="AK936" s="1" t="str">
        <f>IF(AND(Programme_Grunddaten!$A941="Geprüft",Programme_Grunddaten!AS941&lt;&gt;""),IF(Programme_Grunddaten!AS941="Ja",1,0),"")</f>
        <v/>
      </c>
      <c r="AL936" s="1" t="str">
        <f>IF(AND(Programme_Grunddaten!$A941="Geprüft",Programme_Grunddaten!AT941&lt;&gt;""),IF(Programme_Grunddaten!AT941="Ja",1,0),"")</f>
        <v/>
      </c>
      <c r="AM936" s="1" t="str">
        <f>IF(AND(Programme_Grunddaten!$A941="Geprüft",Programme_Grunddaten!AU941&lt;&gt;""),IF(Programme_Grunddaten!AU941="Ja",1,0),"")</f>
        <v/>
      </c>
      <c r="AN936" s="1" t="str">
        <f>IF(AND(Programme_Grunddaten!$A941="Geprüft",Programme_Grunddaten!AV941&lt;&gt;""),IF(Programme_Grunddaten!AV941="Ja",1,0),"")</f>
        <v/>
      </c>
    </row>
    <row r="937" spans="1:40" x14ac:dyDescent="0.3">
      <c r="A937" s="1" t="str">
        <f>IF(AND(Programme_Grunddaten!A942="Geprüft",Programme_Grunddaten!B942&lt;&gt;""),Programme_Grunddaten!B942,"")</f>
        <v/>
      </c>
      <c r="B937" s="1" t="str">
        <f>IF(AND(Programme_Grunddaten!$A942="Geprüft",Programme_Grunddaten!I942&lt;&gt;""),IF(Programme_Grunddaten!I942="Ja",1,0),"")</f>
        <v/>
      </c>
      <c r="C937" s="1" t="str">
        <f>IF(AND(Programme_Grunddaten!$A942="Geprüft",Programme_Grunddaten!J942&lt;&gt;""),IF(Programme_Grunddaten!J942="Ja",1,0),"")</f>
        <v/>
      </c>
      <c r="D937" s="1" t="str">
        <f>IF(AND(Programme_Grunddaten!$A942="Geprüft",Programme_Grunddaten!K942&lt;&gt;""),IF(Programme_Grunddaten!K942="Ja",1,0),"")</f>
        <v/>
      </c>
      <c r="E937" s="1" t="str">
        <f>IF(AND(Programme_Grunddaten!$A942="Geprüft",Programme_Grunddaten!L942&lt;&gt;""),IF(Programme_Grunddaten!L942="Abo / befristete Lizenz",1,0),"")</f>
        <v/>
      </c>
      <c r="F937" s="1" t="str">
        <f>IF(AND(Programme_Grunddaten!$A942="Geprüft",Programme_Grunddaten!M942&lt;&gt;""),IF(Programme_Grunddaten!M942="Ja",1,0),"")</f>
        <v/>
      </c>
      <c r="G937" s="1" t="str">
        <f>IF(AND(Programme_Grunddaten!$A942="Geprüft",Programme_Grunddaten!N942&lt;&gt;""),IF(Programme_Grunddaten!N942="Ja",1,0),"")</f>
        <v/>
      </c>
      <c r="H937" s="1" t="str">
        <f>IF(AND(Programme_Grunddaten!$A942="Geprüft",Programme_Grunddaten!O942&lt;&gt;""),IF(Programme_Grunddaten!O942="Deutschland",0,IF(Programme_Grunddaten!O942="EU",1,2)),"")</f>
        <v/>
      </c>
      <c r="I937" s="1" t="str">
        <f>IF(AND(Programme_Grunddaten!$A942="Geprüft",Programme_Grunddaten!P942&lt;&gt;""),IF(Programme_Grunddaten!P942="Ja",1,0),"")</f>
        <v/>
      </c>
      <c r="J937" s="1" t="str">
        <f>IF(AND(Programme_Grunddaten!$A942="Geprüft",Programme_Grunddaten!Q942&lt;&gt;""),IF(Programme_Grunddaten!Q942="geschlossenes System",1,0),"")</f>
        <v/>
      </c>
      <c r="K937" s="1" t="str">
        <f>IF(AND(Programme_Grunddaten!$A942="Geprüft",Programme_Grunddaten!R942&lt;&gt;""),IF(Programme_Grunddaten!R942="Ja",1,0),"")</f>
        <v/>
      </c>
      <c r="L937" s="1" t="str">
        <f>IF(AND(Programme_Grunddaten!$A942="Geprüft",Programme_Grunddaten!T942&lt;&gt;""),IF(Programme_Grunddaten!T942="Ja",1,0),"")</f>
        <v/>
      </c>
      <c r="M937" s="1" t="str">
        <f>IF(AND(Programme_Grunddaten!$A942="Geprüft",Programme_Grunddaten!U942&lt;&gt;""),IF(Programme_Grunddaten!U942="Ja",1,0),"")</f>
        <v/>
      </c>
      <c r="N937" s="1" t="str">
        <f>IF(AND(Programme_Grunddaten!$A942="Geprüft",Programme_Grunddaten!V942&lt;&gt;""),IF(Programme_Grunddaten!V942="Ja",1,0),"")</f>
        <v/>
      </c>
      <c r="O937" s="1" t="str">
        <f>IF(AND(Programme_Grunddaten!$A942="Geprüft",Programme_Grunddaten!W942&lt;&gt;""),IF(Programme_Grunddaten!W942="Ja",1,0),"")</f>
        <v/>
      </c>
      <c r="P937" s="1" t="str">
        <f>IF(AND(Programme_Grunddaten!$A942="Geprüft",Programme_Grunddaten!X942&lt;&gt;""),IF(Programme_Grunddaten!X942="Ja",1,0),"")</f>
        <v/>
      </c>
      <c r="Q937" s="1" t="str">
        <f>IF(AND(Programme_Grunddaten!$A942="Geprüft",Programme_Grunddaten!Y942&lt;&gt;""),IF(Programme_Grunddaten!Y942="Ja",1,0),"")</f>
        <v/>
      </c>
      <c r="R937" s="1" t="str">
        <f>IF(AND(Programme_Grunddaten!$A942="Geprüft",Programme_Grunddaten!Z942&lt;&gt;""),IF(Programme_Grunddaten!Z942="Ja",1,0),"")</f>
        <v/>
      </c>
      <c r="S937" s="1" t="str">
        <f>IF(AND(Programme_Grunddaten!$A942="Geprüft",Programme_Grunddaten!AA942&lt;&gt;""),IF(Programme_Grunddaten!AA942="monolithisch",1,0),"")</f>
        <v/>
      </c>
      <c r="T937" s="1" t="str">
        <f>IF(AND(Programme_Grunddaten!$A942="Geprüft",Programme_Grunddaten!AB942&lt;&gt;""),IF(Programme_Grunddaten!AB942="Ja",1,0),"")</f>
        <v/>
      </c>
      <c r="U937" s="1" t="str">
        <f>IF(AND(Programme_Grunddaten!$A942="Geprüft",Programme_Grunddaten!AC942&lt;&gt;""),IF(Programme_Grunddaten!AC942="Ja",1,0),"")</f>
        <v/>
      </c>
      <c r="V937" s="1" t="str">
        <f>IF(AND(Programme_Grunddaten!$A942="Geprüft",Programme_Grunddaten!AD942&lt;&gt;""),IF(Programme_Grunddaten!AD942="Ja",1,0),"")</f>
        <v/>
      </c>
      <c r="W937" s="1" t="str">
        <f>IF(AND(Programme_Grunddaten!$A942="Geprüft",Programme_Grunddaten!AE942&lt;&gt;""),IF(Programme_Grunddaten!AE942="Ja",1,0),"")</f>
        <v/>
      </c>
      <c r="X937" s="1" t="str">
        <f>IF(AND(Programme_Grunddaten!$A942="Geprüft",Programme_Grunddaten!AF942&lt;&gt;""),IF(Programme_Grunddaten!AF942="Ja",1,0),"")</f>
        <v/>
      </c>
      <c r="Y937" s="1" t="str">
        <f>IF(AND(Programme_Grunddaten!$A942="Geprüft",Programme_Grunddaten!AG942&lt;&gt;""),IF(Programme_Grunddaten!AG942="Ja",1,0),"")</f>
        <v/>
      </c>
      <c r="Z937" s="1" t="str">
        <f>IF(AND(Programme_Grunddaten!$A942="Geprüft",Programme_Grunddaten!AH942&lt;&gt;""),IF(Programme_Grunddaten!AH942="Ja",1,0),"")</f>
        <v/>
      </c>
      <c r="AA937" s="1" t="str">
        <f>IF(AND(Programme_Grunddaten!$A942="Geprüft",Programme_Grunddaten!AI942&lt;&gt;""),IF(Programme_Grunddaten!AI942="Ja",1,0),"")</f>
        <v/>
      </c>
      <c r="AB937" s="1" t="str">
        <f>IF(AND(Programme_Grunddaten!$A942="Geprüft",Programme_Grunddaten!AJ942&lt;&gt;""),IF(Programme_Grunddaten!AJ942="individuell programmierbar",1,0),"")</f>
        <v/>
      </c>
      <c r="AC937" s="1" t="str">
        <f>IF(AND(Programme_Grunddaten!$A942="Geprüft",Programme_Grunddaten!AK942&lt;&gt;""),IF(Programme_Grunddaten!AK942="Deutsch",0,IF(Programme_Grunddaten!AK942="Deutsch und Englisch",1,2)),"")</f>
        <v/>
      </c>
      <c r="AD937" s="1" t="str">
        <f>IF(AND(Programme_Grunddaten!$A942="Geprüft",Programme_Grunddaten!AL942&lt;&gt;""),IF(Programme_Grunddaten!AL942="Ja",1,0),"")</f>
        <v/>
      </c>
      <c r="AE937" s="1" t="str">
        <f>IF(AND(Programme_Grunddaten!$A942="Geprüft",Programme_Grunddaten!AM942&lt;&gt;""),IF(Programme_Grunddaten!AM942="Ja",1,0),"")</f>
        <v/>
      </c>
      <c r="AF937" s="1" t="str">
        <f>IF(AND(Programme_Grunddaten!$A942="Geprüft",Programme_Grunddaten!AN942&lt;&gt;""),IF(Programme_Grunddaten!AN942="Ja",1,0),"")</f>
        <v/>
      </c>
      <c r="AG937" s="1" t="str">
        <f>IF(AND(Programme_Grunddaten!$A942="Geprüft",Programme_Grunddaten!AO942&lt;&gt;""),IF(Programme_Grunddaten!AO942="Ja",1,0),"")</f>
        <v/>
      </c>
      <c r="AH937" s="1" t="str">
        <f>IF(AND(Programme_Grunddaten!$A942="Geprüft",Programme_Grunddaten!AP942&lt;&gt;""),IF(Programme_Grunddaten!AP942="Ja",1,0),"")</f>
        <v/>
      </c>
      <c r="AI937" s="1" t="str">
        <f>IF(AND(Programme_Grunddaten!$A942="Geprüft",Programme_Grunddaten!AQ942&lt;&gt;""),IF(Programme_Grunddaten!AQ942="Ja",1,0),"")</f>
        <v/>
      </c>
      <c r="AJ937" s="1" t="str">
        <f>IF(AND(Programme_Grunddaten!$A942="Geprüft",Programme_Grunddaten!AR942&lt;&gt;""),IF(Programme_Grunddaten!AR942="Ja",1,0),"")</f>
        <v/>
      </c>
      <c r="AK937" s="1" t="str">
        <f>IF(AND(Programme_Grunddaten!$A942="Geprüft",Programme_Grunddaten!AS942&lt;&gt;""),IF(Programme_Grunddaten!AS942="Ja",1,0),"")</f>
        <v/>
      </c>
      <c r="AL937" s="1" t="str">
        <f>IF(AND(Programme_Grunddaten!$A942="Geprüft",Programme_Grunddaten!AT942&lt;&gt;""),IF(Programme_Grunddaten!AT942="Ja",1,0),"")</f>
        <v/>
      </c>
      <c r="AM937" s="1" t="str">
        <f>IF(AND(Programme_Grunddaten!$A942="Geprüft",Programme_Grunddaten!AU942&lt;&gt;""),IF(Programme_Grunddaten!AU942="Ja",1,0),"")</f>
        <v/>
      </c>
      <c r="AN937" s="1" t="str">
        <f>IF(AND(Programme_Grunddaten!$A942="Geprüft",Programme_Grunddaten!AV942&lt;&gt;""),IF(Programme_Grunddaten!AV942="Ja",1,0),"")</f>
        <v/>
      </c>
    </row>
    <row r="938" spans="1:40" x14ac:dyDescent="0.3">
      <c r="A938" s="1" t="str">
        <f>IF(AND(Programme_Grunddaten!A943="Geprüft",Programme_Grunddaten!B943&lt;&gt;""),Programme_Grunddaten!B943,"")</f>
        <v/>
      </c>
      <c r="B938" s="1" t="str">
        <f>IF(AND(Programme_Grunddaten!$A943="Geprüft",Programme_Grunddaten!I943&lt;&gt;""),IF(Programme_Grunddaten!I943="Ja",1,0),"")</f>
        <v/>
      </c>
      <c r="C938" s="1" t="str">
        <f>IF(AND(Programme_Grunddaten!$A943="Geprüft",Programme_Grunddaten!J943&lt;&gt;""),IF(Programme_Grunddaten!J943="Ja",1,0),"")</f>
        <v/>
      </c>
      <c r="D938" s="1" t="str">
        <f>IF(AND(Programme_Grunddaten!$A943="Geprüft",Programme_Grunddaten!K943&lt;&gt;""),IF(Programme_Grunddaten!K943="Ja",1,0),"")</f>
        <v/>
      </c>
      <c r="E938" s="1" t="str">
        <f>IF(AND(Programme_Grunddaten!$A943="Geprüft",Programme_Grunddaten!L943&lt;&gt;""),IF(Programme_Grunddaten!L943="Abo / befristete Lizenz",1,0),"")</f>
        <v/>
      </c>
      <c r="F938" s="1" t="str">
        <f>IF(AND(Programme_Grunddaten!$A943="Geprüft",Programme_Grunddaten!M943&lt;&gt;""),IF(Programme_Grunddaten!M943="Ja",1,0),"")</f>
        <v/>
      </c>
      <c r="G938" s="1" t="str">
        <f>IF(AND(Programme_Grunddaten!$A943="Geprüft",Programme_Grunddaten!N943&lt;&gt;""),IF(Programme_Grunddaten!N943="Ja",1,0),"")</f>
        <v/>
      </c>
      <c r="H938" s="1" t="str">
        <f>IF(AND(Programme_Grunddaten!$A943="Geprüft",Programme_Grunddaten!O943&lt;&gt;""),IF(Programme_Grunddaten!O943="Deutschland",0,IF(Programme_Grunddaten!O943="EU",1,2)),"")</f>
        <v/>
      </c>
      <c r="I938" s="1" t="str">
        <f>IF(AND(Programme_Grunddaten!$A943="Geprüft",Programme_Grunddaten!P943&lt;&gt;""),IF(Programme_Grunddaten!P943="Ja",1,0),"")</f>
        <v/>
      </c>
      <c r="J938" s="1" t="str">
        <f>IF(AND(Programme_Grunddaten!$A943="Geprüft",Programme_Grunddaten!Q943&lt;&gt;""),IF(Programme_Grunddaten!Q943="geschlossenes System",1,0),"")</f>
        <v/>
      </c>
      <c r="K938" s="1" t="str">
        <f>IF(AND(Programme_Grunddaten!$A943="Geprüft",Programme_Grunddaten!R943&lt;&gt;""),IF(Programme_Grunddaten!R943="Ja",1,0),"")</f>
        <v/>
      </c>
      <c r="L938" s="1" t="str">
        <f>IF(AND(Programme_Grunddaten!$A943="Geprüft",Programme_Grunddaten!T943&lt;&gt;""),IF(Programme_Grunddaten!T943="Ja",1,0),"")</f>
        <v/>
      </c>
      <c r="M938" s="1" t="str">
        <f>IF(AND(Programme_Grunddaten!$A943="Geprüft",Programme_Grunddaten!U943&lt;&gt;""),IF(Programme_Grunddaten!U943="Ja",1,0),"")</f>
        <v/>
      </c>
      <c r="N938" s="1" t="str">
        <f>IF(AND(Programme_Grunddaten!$A943="Geprüft",Programme_Grunddaten!V943&lt;&gt;""),IF(Programme_Grunddaten!V943="Ja",1,0),"")</f>
        <v/>
      </c>
      <c r="O938" s="1" t="str">
        <f>IF(AND(Programme_Grunddaten!$A943="Geprüft",Programme_Grunddaten!W943&lt;&gt;""),IF(Programme_Grunddaten!W943="Ja",1,0),"")</f>
        <v/>
      </c>
      <c r="P938" s="1" t="str">
        <f>IF(AND(Programme_Grunddaten!$A943="Geprüft",Programme_Grunddaten!X943&lt;&gt;""),IF(Programme_Grunddaten!X943="Ja",1,0),"")</f>
        <v/>
      </c>
      <c r="Q938" s="1" t="str">
        <f>IF(AND(Programme_Grunddaten!$A943="Geprüft",Programme_Grunddaten!Y943&lt;&gt;""),IF(Programme_Grunddaten!Y943="Ja",1,0),"")</f>
        <v/>
      </c>
      <c r="R938" s="1" t="str">
        <f>IF(AND(Programme_Grunddaten!$A943="Geprüft",Programme_Grunddaten!Z943&lt;&gt;""),IF(Programme_Grunddaten!Z943="Ja",1,0),"")</f>
        <v/>
      </c>
      <c r="S938" s="1" t="str">
        <f>IF(AND(Programme_Grunddaten!$A943="Geprüft",Programme_Grunddaten!AA943&lt;&gt;""),IF(Programme_Grunddaten!AA943="monolithisch",1,0),"")</f>
        <v/>
      </c>
      <c r="T938" s="1" t="str">
        <f>IF(AND(Programme_Grunddaten!$A943="Geprüft",Programme_Grunddaten!AB943&lt;&gt;""),IF(Programme_Grunddaten!AB943="Ja",1,0),"")</f>
        <v/>
      </c>
      <c r="U938" s="1" t="str">
        <f>IF(AND(Programme_Grunddaten!$A943="Geprüft",Programme_Grunddaten!AC943&lt;&gt;""),IF(Programme_Grunddaten!AC943="Ja",1,0),"")</f>
        <v/>
      </c>
      <c r="V938" s="1" t="str">
        <f>IF(AND(Programme_Grunddaten!$A943="Geprüft",Programme_Grunddaten!AD943&lt;&gt;""),IF(Programme_Grunddaten!AD943="Ja",1,0),"")</f>
        <v/>
      </c>
      <c r="W938" s="1" t="str">
        <f>IF(AND(Programme_Grunddaten!$A943="Geprüft",Programme_Grunddaten!AE943&lt;&gt;""),IF(Programme_Grunddaten!AE943="Ja",1,0),"")</f>
        <v/>
      </c>
      <c r="X938" s="1" t="str">
        <f>IF(AND(Programme_Grunddaten!$A943="Geprüft",Programme_Grunddaten!AF943&lt;&gt;""),IF(Programme_Grunddaten!AF943="Ja",1,0),"")</f>
        <v/>
      </c>
      <c r="Y938" s="1" t="str">
        <f>IF(AND(Programme_Grunddaten!$A943="Geprüft",Programme_Grunddaten!AG943&lt;&gt;""),IF(Programme_Grunddaten!AG943="Ja",1,0),"")</f>
        <v/>
      </c>
      <c r="Z938" s="1" t="str">
        <f>IF(AND(Programme_Grunddaten!$A943="Geprüft",Programme_Grunddaten!AH943&lt;&gt;""),IF(Programme_Grunddaten!AH943="Ja",1,0),"")</f>
        <v/>
      </c>
      <c r="AA938" s="1" t="str">
        <f>IF(AND(Programme_Grunddaten!$A943="Geprüft",Programme_Grunddaten!AI943&lt;&gt;""),IF(Programme_Grunddaten!AI943="Ja",1,0),"")</f>
        <v/>
      </c>
      <c r="AB938" s="1" t="str">
        <f>IF(AND(Programme_Grunddaten!$A943="Geprüft",Programme_Grunddaten!AJ943&lt;&gt;""),IF(Programme_Grunddaten!AJ943="individuell programmierbar",1,0),"")</f>
        <v/>
      </c>
      <c r="AC938" s="1" t="str">
        <f>IF(AND(Programme_Grunddaten!$A943="Geprüft",Programme_Grunddaten!AK943&lt;&gt;""),IF(Programme_Grunddaten!AK943="Deutsch",0,IF(Programme_Grunddaten!AK943="Deutsch und Englisch",1,2)),"")</f>
        <v/>
      </c>
      <c r="AD938" s="1" t="str">
        <f>IF(AND(Programme_Grunddaten!$A943="Geprüft",Programme_Grunddaten!AL943&lt;&gt;""),IF(Programme_Grunddaten!AL943="Ja",1,0),"")</f>
        <v/>
      </c>
      <c r="AE938" s="1" t="str">
        <f>IF(AND(Programme_Grunddaten!$A943="Geprüft",Programme_Grunddaten!AM943&lt;&gt;""),IF(Programme_Grunddaten!AM943="Ja",1,0),"")</f>
        <v/>
      </c>
      <c r="AF938" s="1" t="str">
        <f>IF(AND(Programme_Grunddaten!$A943="Geprüft",Programme_Grunddaten!AN943&lt;&gt;""),IF(Programme_Grunddaten!AN943="Ja",1,0),"")</f>
        <v/>
      </c>
      <c r="AG938" s="1" t="str">
        <f>IF(AND(Programme_Grunddaten!$A943="Geprüft",Programme_Grunddaten!AO943&lt;&gt;""),IF(Programme_Grunddaten!AO943="Ja",1,0),"")</f>
        <v/>
      </c>
      <c r="AH938" s="1" t="str">
        <f>IF(AND(Programme_Grunddaten!$A943="Geprüft",Programme_Grunddaten!AP943&lt;&gt;""),IF(Programme_Grunddaten!AP943="Ja",1,0),"")</f>
        <v/>
      </c>
      <c r="AI938" s="1" t="str">
        <f>IF(AND(Programme_Grunddaten!$A943="Geprüft",Programme_Grunddaten!AQ943&lt;&gt;""),IF(Programme_Grunddaten!AQ943="Ja",1,0),"")</f>
        <v/>
      </c>
      <c r="AJ938" s="1" t="str">
        <f>IF(AND(Programme_Grunddaten!$A943="Geprüft",Programme_Grunddaten!AR943&lt;&gt;""),IF(Programme_Grunddaten!AR943="Ja",1,0),"")</f>
        <v/>
      </c>
      <c r="AK938" s="1" t="str">
        <f>IF(AND(Programme_Grunddaten!$A943="Geprüft",Programme_Grunddaten!AS943&lt;&gt;""),IF(Programme_Grunddaten!AS943="Ja",1,0),"")</f>
        <v/>
      </c>
      <c r="AL938" s="1" t="str">
        <f>IF(AND(Programme_Grunddaten!$A943="Geprüft",Programme_Grunddaten!AT943&lt;&gt;""),IF(Programme_Grunddaten!AT943="Ja",1,0),"")</f>
        <v/>
      </c>
      <c r="AM938" s="1" t="str">
        <f>IF(AND(Programme_Grunddaten!$A943="Geprüft",Programme_Grunddaten!AU943&lt;&gt;""),IF(Programme_Grunddaten!AU943="Ja",1,0),"")</f>
        <v/>
      </c>
      <c r="AN938" s="1" t="str">
        <f>IF(AND(Programme_Grunddaten!$A943="Geprüft",Programme_Grunddaten!AV943&lt;&gt;""),IF(Programme_Grunddaten!AV943="Ja",1,0),"")</f>
        <v/>
      </c>
    </row>
    <row r="939" spans="1:40" x14ac:dyDescent="0.3">
      <c r="A939" s="1" t="str">
        <f>IF(AND(Programme_Grunddaten!A944="Geprüft",Programme_Grunddaten!B944&lt;&gt;""),Programme_Grunddaten!B944,"")</f>
        <v/>
      </c>
      <c r="B939" s="1" t="str">
        <f>IF(AND(Programme_Grunddaten!$A944="Geprüft",Programme_Grunddaten!I944&lt;&gt;""),IF(Programme_Grunddaten!I944="Ja",1,0),"")</f>
        <v/>
      </c>
      <c r="C939" s="1" t="str">
        <f>IF(AND(Programme_Grunddaten!$A944="Geprüft",Programme_Grunddaten!J944&lt;&gt;""),IF(Programme_Grunddaten!J944="Ja",1,0),"")</f>
        <v/>
      </c>
      <c r="D939" s="1" t="str">
        <f>IF(AND(Programme_Grunddaten!$A944="Geprüft",Programme_Grunddaten!K944&lt;&gt;""),IF(Programme_Grunddaten!K944="Ja",1,0),"")</f>
        <v/>
      </c>
      <c r="E939" s="1" t="str">
        <f>IF(AND(Programme_Grunddaten!$A944="Geprüft",Programme_Grunddaten!L944&lt;&gt;""),IF(Programme_Grunddaten!L944="Abo / befristete Lizenz",1,0),"")</f>
        <v/>
      </c>
      <c r="F939" s="1" t="str">
        <f>IF(AND(Programme_Grunddaten!$A944="Geprüft",Programme_Grunddaten!M944&lt;&gt;""),IF(Programme_Grunddaten!M944="Ja",1,0),"")</f>
        <v/>
      </c>
      <c r="G939" s="1" t="str">
        <f>IF(AND(Programme_Grunddaten!$A944="Geprüft",Programme_Grunddaten!N944&lt;&gt;""),IF(Programme_Grunddaten!N944="Ja",1,0),"")</f>
        <v/>
      </c>
      <c r="H939" s="1" t="str">
        <f>IF(AND(Programme_Grunddaten!$A944="Geprüft",Programme_Grunddaten!O944&lt;&gt;""),IF(Programme_Grunddaten!O944="Deutschland",0,IF(Programme_Grunddaten!O944="EU",1,2)),"")</f>
        <v/>
      </c>
      <c r="I939" s="1" t="str">
        <f>IF(AND(Programme_Grunddaten!$A944="Geprüft",Programme_Grunddaten!P944&lt;&gt;""),IF(Programme_Grunddaten!P944="Ja",1,0),"")</f>
        <v/>
      </c>
      <c r="J939" s="1" t="str">
        <f>IF(AND(Programme_Grunddaten!$A944="Geprüft",Programme_Grunddaten!Q944&lt;&gt;""),IF(Programme_Grunddaten!Q944="geschlossenes System",1,0),"")</f>
        <v/>
      </c>
      <c r="K939" s="1" t="str">
        <f>IF(AND(Programme_Grunddaten!$A944="Geprüft",Programme_Grunddaten!R944&lt;&gt;""),IF(Programme_Grunddaten!R944="Ja",1,0),"")</f>
        <v/>
      </c>
      <c r="L939" s="1" t="str">
        <f>IF(AND(Programme_Grunddaten!$A944="Geprüft",Programme_Grunddaten!T944&lt;&gt;""),IF(Programme_Grunddaten!T944="Ja",1,0),"")</f>
        <v/>
      </c>
      <c r="M939" s="1" t="str">
        <f>IF(AND(Programme_Grunddaten!$A944="Geprüft",Programme_Grunddaten!U944&lt;&gt;""),IF(Programme_Grunddaten!U944="Ja",1,0),"")</f>
        <v/>
      </c>
      <c r="N939" s="1" t="str">
        <f>IF(AND(Programme_Grunddaten!$A944="Geprüft",Programme_Grunddaten!V944&lt;&gt;""),IF(Programme_Grunddaten!V944="Ja",1,0),"")</f>
        <v/>
      </c>
      <c r="O939" s="1" t="str">
        <f>IF(AND(Programme_Grunddaten!$A944="Geprüft",Programme_Grunddaten!W944&lt;&gt;""),IF(Programme_Grunddaten!W944="Ja",1,0),"")</f>
        <v/>
      </c>
      <c r="P939" s="1" t="str">
        <f>IF(AND(Programme_Grunddaten!$A944="Geprüft",Programme_Grunddaten!X944&lt;&gt;""),IF(Programme_Grunddaten!X944="Ja",1,0),"")</f>
        <v/>
      </c>
      <c r="Q939" s="1" t="str">
        <f>IF(AND(Programme_Grunddaten!$A944="Geprüft",Programme_Grunddaten!Y944&lt;&gt;""),IF(Programme_Grunddaten!Y944="Ja",1,0),"")</f>
        <v/>
      </c>
      <c r="R939" s="1" t="str">
        <f>IF(AND(Programme_Grunddaten!$A944="Geprüft",Programme_Grunddaten!Z944&lt;&gt;""),IF(Programme_Grunddaten!Z944="Ja",1,0),"")</f>
        <v/>
      </c>
      <c r="S939" s="1" t="str">
        <f>IF(AND(Programme_Grunddaten!$A944="Geprüft",Programme_Grunddaten!AA944&lt;&gt;""),IF(Programme_Grunddaten!AA944="monolithisch",1,0),"")</f>
        <v/>
      </c>
      <c r="T939" s="1" t="str">
        <f>IF(AND(Programme_Grunddaten!$A944="Geprüft",Programme_Grunddaten!AB944&lt;&gt;""),IF(Programme_Grunddaten!AB944="Ja",1,0),"")</f>
        <v/>
      </c>
      <c r="U939" s="1" t="str">
        <f>IF(AND(Programme_Grunddaten!$A944="Geprüft",Programme_Grunddaten!AC944&lt;&gt;""),IF(Programme_Grunddaten!AC944="Ja",1,0),"")</f>
        <v/>
      </c>
      <c r="V939" s="1" t="str">
        <f>IF(AND(Programme_Grunddaten!$A944="Geprüft",Programme_Grunddaten!AD944&lt;&gt;""),IF(Programme_Grunddaten!AD944="Ja",1,0),"")</f>
        <v/>
      </c>
      <c r="W939" s="1" t="str">
        <f>IF(AND(Programme_Grunddaten!$A944="Geprüft",Programme_Grunddaten!AE944&lt;&gt;""),IF(Programme_Grunddaten!AE944="Ja",1,0),"")</f>
        <v/>
      </c>
      <c r="X939" s="1" t="str">
        <f>IF(AND(Programme_Grunddaten!$A944="Geprüft",Programme_Grunddaten!AF944&lt;&gt;""),IF(Programme_Grunddaten!AF944="Ja",1,0),"")</f>
        <v/>
      </c>
      <c r="Y939" s="1" t="str">
        <f>IF(AND(Programme_Grunddaten!$A944="Geprüft",Programme_Grunddaten!AG944&lt;&gt;""),IF(Programme_Grunddaten!AG944="Ja",1,0),"")</f>
        <v/>
      </c>
      <c r="Z939" s="1" t="str">
        <f>IF(AND(Programme_Grunddaten!$A944="Geprüft",Programme_Grunddaten!AH944&lt;&gt;""),IF(Programme_Grunddaten!AH944="Ja",1,0),"")</f>
        <v/>
      </c>
      <c r="AA939" s="1" t="str">
        <f>IF(AND(Programme_Grunddaten!$A944="Geprüft",Programme_Grunddaten!AI944&lt;&gt;""),IF(Programme_Grunddaten!AI944="Ja",1,0),"")</f>
        <v/>
      </c>
      <c r="AB939" s="1" t="str">
        <f>IF(AND(Programme_Grunddaten!$A944="Geprüft",Programme_Grunddaten!AJ944&lt;&gt;""),IF(Programme_Grunddaten!AJ944="individuell programmierbar",1,0),"")</f>
        <v/>
      </c>
      <c r="AC939" s="1" t="str">
        <f>IF(AND(Programme_Grunddaten!$A944="Geprüft",Programme_Grunddaten!AK944&lt;&gt;""),IF(Programme_Grunddaten!AK944="Deutsch",0,IF(Programme_Grunddaten!AK944="Deutsch und Englisch",1,2)),"")</f>
        <v/>
      </c>
      <c r="AD939" s="1" t="str">
        <f>IF(AND(Programme_Grunddaten!$A944="Geprüft",Programme_Grunddaten!AL944&lt;&gt;""),IF(Programme_Grunddaten!AL944="Ja",1,0),"")</f>
        <v/>
      </c>
      <c r="AE939" s="1" t="str">
        <f>IF(AND(Programme_Grunddaten!$A944="Geprüft",Programme_Grunddaten!AM944&lt;&gt;""),IF(Programme_Grunddaten!AM944="Ja",1,0),"")</f>
        <v/>
      </c>
      <c r="AF939" s="1" t="str">
        <f>IF(AND(Programme_Grunddaten!$A944="Geprüft",Programme_Grunddaten!AN944&lt;&gt;""),IF(Programme_Grunddaten!AN944="Ja",1,0),"")</f>
        <v/>
      </c>
      <c r="AG939" s="1" t="str">
        <f>IF(AND(Programme_Grunddaten!$A944="Geprüft",Programme_Grunddaten!AO944&lt;&gt;""),IF(Programme_Grunddaten!AO944="Ja",1,0),"")</f>
        <v/>
      </c>
      <c r="AH939" s="1" t="str">
        <f>IF(AND(Programme_Grunddaten!$A944="Geprüft",Programme_Grunddaten!AP944&lt;&gt;""),IF(Programme_Grunddaten!AP944="Ja",1,0),"")</f>
        <v/>
      </c>
      <c r="AI939" s="1" t="str">
        <f>IF(AND(Programme_Grunddaten!$A944="Geprüft",Programme_Grunddaten!AQ944&lt;&gt;""),IF(Programme_Grunddaten!AQ944="Ja",1,0),"")</f>
        <v/>
      </c>
      <c r="AJ939" s="1" t="str">
        <f>IF(AND(Programme_Grunddaten!$A944="Geprüft",Programme_Grunddaten!AR944&lt;&gt;""),IF(Programme_Grunddaten!AR944="Ja",1,0),"")</f>
        <v/>
      </c>
      <c r="AK939" s="1" t="str">
        <f>IF(AND(Programme_Grunddaten!$A944="Geprüft",Programme_Grunddaten!AS944&lt;&gt;""),IF(Programme_Grunddaten!AS944="Ja",1,0),"")</f>
        <v/>
      </c>
      <c r="AL939" s="1" t="str">
        <f>IF(AND(Programme_Grunddaten!$A944="Geprüft",Programme_Grunddaten!AT944&lt;&gt;""),IF(Programme_Grunddaten!AT944="Ja",1,0),"")</f>
        <v/>
      </c>
      <c r="AM939" s="1" t="str">
        <f>IF(AND(Programme_Grunddaten!$A944="Geprüft",Programme_Grunddaten!AU944&lt;&gt;""),IF(Programme_Grunddaten!AU944="Ja",1,0),"")</f>
        <v/>
      </c>
      <c r="AN939" s="1" t="str">
        <f>IF(AND(Programme_Grunddaten!$A944="Geprüft",Programme_Grunddaten!AV944&lt;&gt;""),IF(Programme_Grunddaten!AV944="Ja",1,0),"")</f>
        <v/>
      </c>
    </row>
    <row r="940" spans="1:40" x14ac:dyDescent="0.3">
      <c r="A940" s="1" t="str">
        <f>IF(AND(Programme_Grunddaten!A945="Geprüft",Programme_Grunddaten!B945&lt;&gt;""),Programme_Grunddaten!B945,"")</f>
        <v/>
      </c>
      <c r="B940" s="1" t="str">
        <f>IF(AND(Programme_Grunddaten!$A945="Geprüft",Programme_Grunddaten!I945&lt;&gt;""),IF(Programme_Grunddaten!I945="Ja",1,0),"")</f>
        <v/>
      </c>
      <c r="C940" s="1" t="str">
        <f>IF(AND(Programme_Grunddaten!$A945="Geprüft",Programme_Grunddaten!J945&lt;&gt;""),IF(Programme_Grunddaten!J945="Ja",1,0),"")</f>
        <v/>
      </c>
      <c r="D940" s="1" t="str">
        <f>IF(AND(Programme_Grunddaten!$A945="Geprüft",Programme_Grunddaten!K945&lt;&gt;""),IF(Programme_Grunddaten!K945="Ja",1,0),"")</f>
        <v/>
      </c>
      <c r="E940" s="1" t="str">
        <f>IF(AND(Programme_Grunddaten!$A945="Geprüft",Programme_Grunddaten!L945&lt;&gt;""),IF(Programme_Grunddaten!L945="Abo / befristete Lizenz",1,0),"")</f>
        <v/>
      </c>
      <c r="F940" s="1" t="str">
        <f>IF(AND(Programme_Grunddaten!$A945="Geprüft",Programme_Grunddaten!M945&lt;&gt;""),IF(Programme_Grunddaten!M945="Ja",1,0),"")</f>
        <v/>
      </c>
      <c r="G940" s="1" t="str">
        <f>IF(AND(Programme_Grunddaten!$A945="Geprüft",Programme_Grunddaten!N945&lt;&gt;""),IF(Programme_Grunddaten!N945="Ja",1,0),"")</f>
        <v/>
      </c>
      <c r="H940" s="1" t="str">
        <f>IF(AND(Programme_Grunddaten!$A945="Geprüft",Programme_Grunddaten!O945&lt;&gt;""),IF(Programme_Grunddaten!O945="Deutschland",0,IF(Programme_Grunddaten!O945="EU",1,2)),"")</f>
        <v/>
      </c>
      <c r="I940" s="1" t="str">
        <f>IF(AND(Programme_Grunddaten!$A945="Geprüft",Programme_Grunddaten!P945&lt;&gt;""),IF(Programme_Grunddaten!P945="Ja",1,0),"")</f>
        <v/>
      </c>
      <c r="J940" s="1" t="str">
        <f>IF(AND(Programme_Grunddaten!$A945="Geprüft",Programme_Grunddaten!Q945&lt;&gt;""),IF(Programme_Grunddaten!Q945="geschlossenes System",1,0),"")</f>
        <v/>
      </c>
      <c r="K940" s="1" t="str">
        <f>IF(AND(Programme_Grunddaten!$A945="Geprüft",Programme_Grunddaten!R945&lt;&gt;""),IF(Programme_Grunddaten!R945="Ja",1,0),"")</f>
        <v/>
      </c>
      <c r="L940" s="1" t="str">
        <f>IF(AND(Programme_Grunddaten!$A945="Geprüft",Programme_Grunddaten!T945&lt;&gt;""),IF(Programme_Grunddaten!T945="Ja",1,0),"")</f>
        <v/>
      </c>
      <c r="M940" s="1" t="str">
        <f>IF(AND(Programme_Grunddaten!$A945="Geprüft",Programme_Grunddaten!U945&lt;&gt;""),IF(Programme_Grunddaten!U945="Ja",1,0),"")</f>
        <v/>
      </c>
      <c r="N940" s="1" t="str">
        <f>IF(AND(Programme_Grunddaten!$A945="Geprüft",Programme_Grunddaten!V945&lt;&gt;""),IF(Programme_Grunddaten!V945="Ja",1,0),"")</f>
        <v/>
      </c>
      <c r="O940" s="1" t="str">
        <f>IF(AND(Programme_Grunddaten!$A945="Geprüft",Programme_Grunddaten!W945&lt;&gt;""),IF(Programme_Grunddaten!W945="Ja",1,0),"")</f>
        <v/>
      </c>
      <c r="P940" s="1" t="str">
        <f>IF(AND(Programme_Grunddaten!$A945="Geprüft",Programme_Grunddaten!X945&lt;&gt;""),IF(Programme_Grunddaten!X945="Ja",1,0),"")</f>
        <v/>
      </c>
      <c r="Q940" s="1" t="str">
        <f>IF(AND(Programme_Grunddaten!$A945="Geprüft",Programme_Grunddaten!Y945&lt;&gt;""),IF(Programme_Grunddaten!Y945="Ja",1,0),"")</f>
        <v/>
      </c>
      <c r="R940" s="1" t="str">
        <f>IF(AND(Programme_Grunddaten!$A945="Geprüft",Programme_Grunddaten!Z945&lt;&gt;""),IF(Programme_Grunddaten!Z945="Ja",1,0),"")</f>
        <v/>
      </c>
      <c r="S940" s="1" t="str">
        <f>IF(AND(Programme_Grunddaten!$A945="Geprüft",Programme_Grunddaten!AA945&lt;&gt;""),IF(Programme_Grunddaten!AA945="monolithisch",1,0),"")</f>
        <v/>
      </c>
      <c r="T940" s="1" t="str">
        <f>IF(AND(Programme_Grunddaten!$A945="Geprüft",Programme_Grunddaten!AB945&lt;&gt;""),IF(Programme_Grunddaten!AB945="Ja",1,0),"")</f>
        <v/>
      </c>
      <c r="U940" s="1" t="str">
        <f>IF(AND(Programme_Grunddaten!$A945="Geprüft",Programme_Grunddaten!AC945&lt;&gt;""),IF(Programme_Grunddaten!AC945="Ja",1,0),"")</f>
        <v/>
      </c>
      <c r="V940" s="1" t="str">
        <f>IF(AND(Programme_Grunddaten!$A945="Geprüft",Programme_Grunddaten!AD945&lt;&gt;""),IF(Programme_Grunddaten!AD945="Ja",1,0),"")</f>
        <v/>
      </c>
      <c r="W940" s="1" t="str">
        <f>IF(AND(Programme_Grunddaten!$A945="Geprüft",Programme_Grunddaten!AE945&lt;&gt;""),IF(Programme_Grunddaten!AE945="Ja",1,0),"")</f>
        <v/>
      </c>
      <c r="X940" s="1" t="str">
        <f>IF(AND(Programme_Grunddaten!$A945="Geprüft",Programme_Grunddaten!AF945&lt;&gt;""),IF(Programme_Grunddaten!AF945="Ja",1,0),"")</f>
        <v/>
      </c>
      <c r="Y940" s="1" t="str">
        <f>IF(AND(Programme_Grunddaten!$A945="Geprüft",Programme_Grunddaten!AG945&lt;&gt;""),IF(Programme_Grunddaten!AG945="Ja",1,0),"")</f>
        <v/>
      </c>
      <c r="Z940" s="1" t="str">
        <f>IF(AND(Programme_Grunddaten!$A945="Geprüft",Programme_Grunddaten!AH945&lt;&gt;""),IF(Programme_Grunddaten!AH945="Ja",1,0),"")</f>
        <v/>
      </c>
      <c r="AA940" s="1" t="str">
        <f>IF(AND(Programme_Grunddaten!$A945="Geprüft",Programme_Grunddaten!AI945&lt;&gt;""),IF(Programme_Grunddaten!AI945="Ja",1,0),"")</f>
        <v/>
      </c>
      <c r="AB940" s="1" t="str">
        <f>IF(AND(Programme_Grunddaten!$A945="Geprüft",Programme_Grunddaten!AJ945&lt;&gt;""),IF(Programme_Grunddaten!AJ945="individuell programmierbar",1,0),"")</f>
        <v/>
      </c>
      <c r="AC940" s="1" t="str">
        <f>IF(AND(Programme_Grunddaten!$A945="Geprüft",Programme_Grunddaten!AK945&lt;&gt;""),IF(Programme_Grunddaten!AK945="Deutsch",0,IF(Programme_Grunddaten!AK945="Deutsch und Englisch",1,2)),"")</f>
        <v/>
      </c>
      <c r="AD940" s="1" t="str">
        <f>IF(AND(Programme_Grunddaten!$A945="Geprüft",Programme_Grunddaten!AL945&lt;&gt;""),IF(Programme_Grunddaten!AL945="Ja",1,0),"")</f>
        <v/>
      </c>
      <c r="AE940" s="1" t="str">
        <f>IF(AND(Programme_Grunddaten!$A945="Geprüft",Programme_Grunddaten!AM945&lt;&gt;""),IF(Programme_Grunddaten!AM945="Ja",1,0),"")</f>
        <v/>
      </c>
      <c r="AF940" s="1" t="str">
        <f>IF(AND(Programme_Grunddaten!$A945="Geprüft",Programme_Grunddaten!AN945&lt;&gt;""),IF(Programme_Grunddaten!AN945="Ja",1,0),"")</f>
        <v/>
      </c>
      <c r="AG940" s="1" t="str">
        <f>IF(AND(Programme_Grunddaten!$A945="Geprüft",Programme_Grunddaten!AO945&lt;&gt;""),IF(Programme_Grunddaten!AO945="Ja",1,0),"")</f>
        <v/>
      </c>
      <c r="AH940" s="1" t="str">
        <f>IF(AND(Programme_Grunddaten!$A945="Geprüft",Programme_Grunddaten!AP945&lt;&gt;""),IF(Programme_Grunddaten!AP945="Ja",1,0),"")</f>
        <v/>
      </c>
      <c r="AI940" s="1" t="str">
        <f>IF(AND(Programme_Grunddaten!$A945="Geprüft",Programme_Grunddaten!AQ945&lt;&gt;""),IF(Programme_Grunddaten!AQ945="Ja",1,0),"")</f>
        <v/>
      </c>
      <c r="AJ940" s="1" t="str">
        <f>IF(AND(Programme_Grunddaten!$A945="Geprüft",Programme_Grunddaten!AR945&lt;&gt;""),IF(Programme_Grunddaten!AR945="Ja",1,0),"")</f>
        <v/>
      </c>
      <c r="AK940" s="1" t="str">
        <f>IF(AND(Programme_Grunddaten!$A945="Geprüft",Programme_Grunddaten!AS945&lt;&gt;""),IF(Programme_Grunddaten!AS945="Ja",1,0),"")</f>
        <v/>
      </c>
      <c r="AL940" s="1" t="str">
        <f>IF(AND(Programme_Grunddaten!$A945="Geprüft",Programme_Grunddaten!AT945&lt;&gt;""),IF(Programme_Grunddaten!AT945="Ja",1,0),"")</f>
        <v/>
      </c>
      <c r="AM940" s="1" t="str">
        <f>IF(AND(Programme_Grunddaten!$A945="Geprüft",Programme_Grunddaten!AU945&lt;&gt;""),IF(Programme_Grunddaten!AU945="Ja",1,0),"")</f>
        <v/>
      </c>
      <c r="AN940" s="1" t="str">
        <f>IF(AND(Programme_Grunddaten!$A945="Geprüft",Programme_Grunddaten!AV945&lt;&gt;""),IF(Programme_Grunddaten!AV945="Ja",1,0),"")</f>
        <v/>
      </c>
    </row>
    <row r="941" spans="1:40" x14ac:dyDescent="0.3">
      <c r="A941" s="1" t="str">
        <f>IF(AND(Programme_Grunddaten!A946="Geprüft",Programme_Grunddaten!B946&lt;&gt;""),Programme_Grunddaten!B946,"")</f>
        <v/>
      </c>
      <c r="B941" s="1" t="str">
        <f>IF(AND(Programme_Grunddaten!$A946="Geprüft",Programme_Grunddaten!I946&lt;&gt;""),IF(Programme_Grunddaten!I946="Ja",1,0),"")</f>
        <v/>
      </c>
      <c r="C941" s="1" t="str">
        <f>IF(AND(Programme_Grunddaten!$A946="Geprüft",Programme_Grunddaten!J946&lt;&gt;""),IF(Programme_Grunddaten!J946="Ja",1,0),"")</f>
        <v/>
      </c>
      <c r="D941" s="1" t="str">
        <f>IF(AND(Programme_Grunddaten!$A946="Geprüft",Programme_Grunddaten!K946&lt;&gt;""),IF(Programme_Grunddaten!K946="Ja",1,0),"")</f>
        <v/>
      </c>
      <c r="E941" s="1" t="str">
        <f>IF(AND(Programme_Grunddaten!$A946="Geprüft",Programme_Grunddaten!L946&lt;&gt;""),IF(Programme_Grunddaten!L946="Abo / befristete Lizenz",1,0),"")</f>
        <v/>
      </c>
      <c r="F941" s="1" t="str">
        <f>IF(AND(Programme_Grunddaten!$A946="Geprüft",Programme_Grunddaten!M946&lt;&gt;""),IF(Programme_Grunddaten!M946="Ja",1,0),"")</f>
        <v/>
      </c>
      <c r="G941" s="1" t="str">
        <f>IF(AND(Programme_Grunddaten!$A946="Geprüft",Programme_Grunddaten!N946&lt;&gt;""),IF(Programme_Grunddaten!N946="Ja",1,0),"")</f>
        <v/>
      </c>
      <c r="H941" s="1" t="str">
        <f>IF(AND(Programme_Grunddaten!$A946="Geprüft",Programme_Grunddaten!O946&lt;&gt;""),IF(Programme_Grunddaten!O946="Deutschland",0,IF(Programme_Grunddaten!O946="EU",1,2)),"")</f>
        <v/>
      </c>
      <c r="I941" s="1" t="str">
        <f>IF(AND(Programme_Grunddaten!$A946="Geprüft",Programme_Grunddaten!P946&lt;&gt;""),IF(Programme_Grunddaten!P946="Ja",1,0),"")</f>
        <v/>
      </c>
      <c r="J941" s="1" t="str">
        <f>IF(AND(Programme_Grunddaten!$A946="Geprüft",Programme_Grunddaten!Q946&lt;&gt;""),IF(Programme_Grunddaten!Q946="geschlossenes System",1,0),"")</f>
        <v/>
      </c>
      <c r="K941" s="1" t="str">
        <f>IF(AND(Programme_Grunddaten!$A946="Geprüft",Programme_Grunddaten!R946&lt;&gt;""),IF(Programme_Grunddaten!R946="Ja",1,0),"")</f>
        <v/>
      </c>
      <c r="L941" s="1" t="str">
        <f>IF(AND(Programme_Grunddaten!$A946="Geprüft",Programme_Grunddaten!T946&lt;&gt;""),IF(Programme_Grunddaten!T946="Ja",1,0),"")</f>
        <v/>
      </c>
      <c r="M941" s="1" t="str">
        <f>IF(AND(Programme_Grunddaten!$A946="Geprüft",Programme_Grunddaten!U946&lt;&gt;""),IF(Programme_Grunddaten!U946="Ja",1,0),"")</f>
        <v/>
      </c>
      <c r="N941" s="1" t="str">
        <f>IF(AND(Programme_Grunddaten!$A946="Geprüft",Programme_Grunddaten!V946&lt;&gt;""),IF(Programme_Grunddaten!V946="Ja",1,0),"")</f>
        <v/>
      </c>
      <c r="O941" s="1" t="str">
        <f>IF(AND(Programme_Grunddaten!$A946="Geprüft",Programme_Grunddaten!W946&lt;&gt;""),IF(Programme_Grunddaten!W946="Ja",1,0),"")</f>
        <v/>
      </c>
      <c r="P941" s="1" t="str">
        <f>IF(AND(Programme_Grunddaten!$A946="Geprüft",Programme_Grunddaten!X946&lt;&gt;""),IF(Programme_Grunddaten!X946="Ja",1,0),"")</f>
        <v/>
      </c>
      <c r="Q941" s="1" t="str">
        <f>IF(AND(Programme_Grunddaten!$A946="Geprüft",Programme_Grunddaten!Y946&lt;&gt;""),IF(Programme_Grunddaten!Y946="Ja",1,0),"")</f>
        <v/>
      </c>
      <c r="R941" s="1" t="str">
        <f>IF(AND(Programme_Grunddaten!$A946="Geprüft",Programme_Grunddaten!Z946&lt;&gt;""),IF(Programme_Grunddaten!Z946="Ja",1,0),"")</f>
        <v/>
      </c>
      <c r="S941" s="1" t="str">
        <f>IF(AND(Programme_Grunddaten!$A946="Geprüft",Programme_Grunddaten!AA946&lt;&gt;""),IF(Programme_Grunddaten!AA946="monolithisch",1,0),"")</f>
        <v/>
      </c>
      <c r="T941" s="1" t="str">
        <f>IF(AND(Programme_Grunddaten!$A946="Geprüft",Programme_Grunddaten!AB946&lt;&gt;""),IF(Programme_Grunddaten!AB946="Ja",1,0),"")</f>
        <v/>
      </c>
      <c r="U941" s="1" t="str">
        <f>IF(AND(Programme_Grunddaten!$A946="Geprüft",Programme_Grunddaten!AC946&lt;&gt;""),IF(Programme_Grunddaten!AC946="Ja",1,0),"")</f>
        <v/>
      </c>
      <c r="V941" s="1" t="str">
        <f>IF(AND(Programme_Grunddaten!$A946="Geprüft",Programme_Grunddaten!AD946&lt;&gt;""),IF(Programme_Grunddaten!AD946="Ja",1,0),"")</f>
        <v/>
      </c>
      <c r="W941" s="1" t="str">
        <f>IF(AND(Programme_Grunddaten!$A946="Geprüft",Programme_Grunddaten!AE946&lt;&gt;""),IF(Programme_Grunddaten!AE946="Ja",1,0),"")</f>
        <v/>
      </c>
      <c r="X941" s="1" t="str">
        <f>IF(AND(Programme_Grunddaten!$A946="Geprüft",Programme_Grunddaten!AF946&lt;&gt;""),IF(Programme_Grunddaten!AF946="Ja",1,0),"")</f>
        <v/>
      </c>
      <c r="Y941" s="1" t="str">
        <f>IF(AND(Programme_Grunddaten!$A946="Geprüft",Programme_Grunddaten!AG946&lt;&gt;""),IF(Programme_Grunddaten!AG946="Ja",1,0),"")</f>
        <v/>
      </c>
      <c r="Z941" s="1" t="str">
        <f>IF(AND(Programme_Grunddaten!$A946="Geprüft",Programme_Grunddaten!AH946&lt;&gt;""),IF(Programme_Grunddaten!AH946="Ja",1,0),"")</f>
        <v/>
      </c>
      <c r="AA941" s="1" t="str">
        <f>IF(AND(Programme_Grunddaten!$A946="Geprüft",Programme_Grunddaten!AI946&lt;&gt;""),IF(Programme_Grunddaten!AI946="Ja",1,0),"")</f>
        <v/>
      </c>
      <c r="AB941" s="1" t="str">
        <f>IF(AND(Programme_Grunddaten!$A946="Geprüft",Programme_Grunddaten!AJ946&lt;&gt;""),IF(Programme_Grunddaten!AJ946="individuell programmierbar",1,0),"")</f>
        <v/>
      </c>
      <c r="AC941" s="1" t="str">
        <f>IF(AND(Programme_Grunddaten!$A946="Geprüft",Programme_Grunddaten!AK946&lt;&gt;""),IF(Programme_Grunddaten!AK946="Deutsch",0,IF(Programme_Grunddaten!AK946="Deutsch und Englisch",1,2)),"")</f>
        <v/>
      </c>
      <c r="AD941" s="1" t="str">
        <f>IF(AND(Programme_Grunddaten!$A946="Geprüft",Programme_Grunddaten!AL946&lt;&gt;""),IF(Programme_Grunddaten!AL946="Ja",1,0),"")</f>
        <v/>
      </c>
      <c r="AE941" s="1" t="str">
        <f>IF(AND(Programme_Grunddaten!$A946="Geprüft",Programme_Grunddaten!AM946&lt;&gt;""),IF(Programme_Grunddaten!AM946="Ja",1,0),"")</f>
        <v/>
      </c>
      <c r="AF941" s="1" t="str">
        <f>IF(AND(Programme_Grunddaten!$A946="Geprüft",Programme_Grunddaten!AN946&lt;&gt;""),IF(Programme_Grunddaten!AN946="Ja",1,0),"")</f>
        <v/>
      </c>
      <c r="AG941" s="1" t="str">
        <f>IF(AND(Programme_Grunddaten!$A946="Geprüft",Programme_Grunddaten!AO946&lt;&gt;""),IF(Programme_Grunddaten!AO946="Ja",1,0),"")</f>
        <v/>
      </c>
      <c r="AH941" s="1" t="str">
        <f>IF(AND(Programme_Grunddaten!$A946="Geprüft",Programme_Grunddaten!AP946&lt;&gt;""),IF(Programme_Grunddaten!AP946="Ja",1,0),"")</f>
        <v/>
      </c>
      <c r="AI941" s="1" t="str">
        <f>IF(AND(Programme_Grunddaten!$A946="Geprüft",Programme_Grunddaten!AQ946&lt;&gt;""),IF(Programme_Grunddaten!AQ946="Ja",1,0),"")</f>
        <v/>
      </c>
      <c r="AJ941" s="1" t="str">
        <f>IF(AND(Programme_Grunddaten!$A946="Geprüft",Programme_Grunddaten!AR946&lt;&gt;""),IF(Programme_Grunddaten!AR946="Ja",1,0),"")</f>
        <v/>
      </c>
      <c r="AK941" s="1" t="str">
        <f>IF(AND(Programme_Grunddaten!$A946="Geprüft",Programme_Grunddaten!AS946&lt;&gt;""),IF(Programme_Grunddaten!AS946="Ja",1,0),"")</f>
        <v/>
      </c>
      <c r="AL941" s="1" t="str">
        <f>IF(AND(Programme_Grunddaten!$A946="Geprüft",Programme_Grunddaten!AT946&lt;&gt;""),IF(Programme_Grunddaten!AT946="Ja",1,0),"")</f>
        <v/>
      </c>
      <c r="AM941" s="1" t="str">
        <f>IF(AND(Programme_Grunddaten!$A946="Geprüft",Programme_Grunddaten!AU946&lt;&gt;""),IF(Programme_Grunddaten!AU946="Ja",1,0),"")</f>
        <v/>
      </c>
      <c r="AN941" s="1" t="str">
        <f>IF(AND(Programme_Grunddaten!$A946="Geprüft",Programme_Grunddaten!AV946&lt;&gt;""),IF(Programme_Grunddaten!AV946="Ja",1,0),"")</f>
        <v/>
      </c>
    </row>
    <row r="942" spans="1:40" x14ac:dyDescent="0.3">
      <c r="A942" s="1" t="str">
        <f>IF(AND(Programme_Grunddaten!A947="Geprüft",Programme_Grunddaten!B947&lt;&gt;""),Programme_Grunddaten!B947,"")</f>
        <v/>
      </c>
      <c r="B942" s="1" t="str">
        <f>IF(AND(Programme_Grunddaten!$A947="Geprüft",Programme_Grunddaten!I947&lt;&gt;""),IF(Programme_Grunddaten!I947="Ja",1,0),"")</f>
        <v/>
      </c>
      <c r="C942" s="1" t="str">
        <f>IF(AND(Programme_Grunddaten!$A947="Geprüft",Programme_Grunddaten!J947&lt;&gt;""),IF(Programme_Grunddaten!J947="Ja",1,0),"")</f>
        <v/>
      </c>
      <c r="D942" s="1" t="str">
        <f>IF(AND(Programme_Grunddaten!$A947="Geprüft",Programme_Grunddaten!K947&lt;&gt;""),IF(Programme_Grunddaten!K947="Ja",1,0),"")</f>
        <v/>
      </c>
      <c r="E942" s="1" t="str">
        <f>IF(AND(Programme_Grunddaten!$A947="Geprüft",Programme_Grunddaten!L947&lt;&gt;""),IF(Programme_Grunddaten!L947="Abo / befristete Lizenz",1,0),"")</f>
        <v/>
      </c>
      <c r="F942" s="1" t="str">
        <f>IF(AND(Programme_Grunddaten!$A947="Geprüft",Programme_Grunddaten!M947&lt;&gt;""),IF(Programme_Grunddaten!M947="Ja",1,0),"")</f>
        <v/>
      </c>
      <c r="G942" s="1" t="str">
        <f>IF(AND(Programme_Grunddaten!$A947="Geprüft",Programme_Grunddaten!N947&lt;&gt;""),IF(Programme_Grunddaten!N947="Ja",1,0),"")</f>
        <v/>
      </c>
      <c r="H942" s="1" t="str">
        <f>IF(AND(Programme_Grunddaten!$A947="Geprüft",Programme_Grunddaten!O947&lt;&gt;""),IF(Programme_Grunddaten!O947="Deutschland",0,IF(Programme_Grunddaten!O947="EU",1,2)),"")</f>
        <v/>
      </c>
      <c r="I942" s="1" t="str">
        <f>IF(AND(Programme_Grunddaten!$A947="Geprüft",Programme_Grunddaten!P947&lt;&gt;""),IF(Programme_Grunddaten!P947="Ja",1,0),"")</f>
        <v/>
      </c>
      <c r="J942" s="1" t="str">
        <f>IF(AND(Programme_Grunddaten!$A947="Geprüft",Programme_Grunddaten!Q947&lt;&gt;""),IF(Programme_Grunddaten!Q947="geschlossenes System",1,0),"")</f>
        <v/>
      </c>
      <c r="K942" s="1" t="str">
        <f>IF(AND(Programme_Grunddaten!$A947="Geprüft",Programme_Grunddaten!R947&lt;&gt;""),IF(Programme_Grunddaten!R947="Ja",1,0),"")</f>
        <v/>
      </c>
      <c r="L942" s="1" t="str">
        <f>IF(AND(Programme_Grunddaten!$A947="Geprüft",Programme_Grunddaten!T947&lt;&gt;""),IF(Programme_Grunddaten!T947="Ja",1,0),"")</f>
        <v/>
      </c>
      <c r="M942" s="1" t="str">
        <f>IF(AND(Programme_Grunddaten!$A947="Geprüft",Programme_Grunddaten!U947&lt;&gt;""),IF(Programme_Grunddaten!U947="Ja",1,0),"")</f>
        <v/>
      </c>
      <c r="N942" s="1" t="str">
        <f>IF(AND(Programme_Grunddaten!$A947="Geprüft",Programme_Grunddaten!V947&lt;&gt;""),IF(Programme_Grunddaten!V947="Ja",1,0),"")</f>
        <v/>
      </c>
      <c r="O942" s="1" t="str">
        <f>IF(AND(Programme_Grunddaten!$A947="Geprüft",Programme_Grunddaten!W947&lt;&gt;""),IF(Programme_Grunddaten!W947="Ja",1,0),"")</f>
        <v/>
      </c>
      <c r="P942" s="1" t="str">
        <f>IF(AND(Programme_Grunddaten!$A947="Geprüft",Programme_Grunddaten!X947&lt;&gt;""),IF(Programme_Grunddaten!X947="Ja",1,0),"")</f>
        <v/>
      </c>
      <c r="Q942" s="1" t="str">
        <f>IF(AND(Programme_Grunddaten!$A947="Geprüft",Programme_Grunddaten!Y947&lt;&gt;""),IF(Programme_Grunddaten!Y947="Ja",1,0),"")</f>
        <v/>
      </c>
      <c r="R942" s="1" t="str">
        <f>IF(AND(Programme_Grunddaten!$A947="Geprüft",Programme_Grunddaten!Z947&lt;&gt;""),IF(Programme_Grunddaten!Z947="Ja",1,0),"")</f>
        <v/>
      </c>
      <c r="S942" s="1" t="str">
        <f>IF(AND(Programme_Grunddaten!$A947="Geprüft",Programme_Grunddaten!AA947&lt;&gt;""),IF(Programme_Grunddaten!AA947="monolithisch",1,0),"")</f>
        <v/>
      </c>
      <c r="T942" s="1" t="str">
        <f>IF(AND(Programme_Grunddaten!$A947="Geprüft",Programme_Grunddaten!AB947&lt;&gt;""),IF(Programme_Grunddaten!AB947="Ja",1,0),"")</f>
        <v/>
      </c>
      <c r="U942" s="1" t="str">
        <f>IF(AND(Programme_Grunddaten!$A947="Geprüft",Programme_Grunddaten!AC947&lt;&gt;""),IF(Programme_Grunddaten!AC947="Ja",1,0),"")</f>
        <v/>
      </c>
      <c r="V942" s="1" t="str">
        <f>IF(AND(Programme_Grunddaten!$A947="Geprüft",Programme_Grunddaten!AD947&lt;&gt;""),IF(Programme_Grunddaten!AD947="Ja",1,0),"")</f>
        <v/>
      </c>
      <c r="W942" s="1" t="str">
        <f>IF(AND(Programme_Grunddaten!$A947="Geprüft",Programme_Grunddaten!AE947&lt;&gt;""),IF(Programme_Grunddaten!AE947="Ja",1,0),"")</f>
        <v/>
      </c>
      <c r="X942" s="1" t="str">
        <f>IF(AND(Programme_Grunddaten!$A947="Geprüft",Programme_Grunddaten!AF947&lt;&gt;""),IF(Programme_Grunddaten!AF947="Ja",1,0),"")</f>
        <v/>
      </c>
      <c r="Y942" s="1" t="str">
        <f>IF(AND(Programme_Grunddaten!$A947="Geprüft",Programme_Grunddaten!AG947&lt;&gt;""),IF(Programme_Grunddaten!AG947="Ja",1,0),"")</f>
        <v/>
      </c>
      <c r="Z942" s="1" t="str">
        <f>IF(AND(Programme_Grunddaten!$A947="Geprüft",Programme_Grunddaten!AH947&lt;&gt;""),IF(Programme_Grunddaten!AH947="Ja",1,0),"")</f>
        <v/>
      </c>
      <c r="AA942" s="1" t="str">
        <f>IF(AND(Programme_Grunddaten!$A947="Geprüft",Programme_Grunddaten!AI947&lt;&gt;""),IF(Programme_Grunddaten!AI947="Ja",1,0),"")</f>
        <v/>
      </c>
      <c r="AB942" s="1" t="str">
        <f>IF(AND(Programme_Grunddaten!$A947="Geprüft",Programme_Grunddaten!AJ947&lt;&gt;""),IF(Programme_Grunddaten!AJ947="individuell programmierbar",1,0),"")</f>
        <v/>
      </c>
      <c r="AC942" s="1" t="str">
        <f>IF(AND(Programme_Grunddaten!$A947="Geprüft",Programme_Grunddaten!AK947&lt;&gt;""),IF(Programme_Grunddaten!AK947="Deutsch",0,IF(Programme_Grunddaten!AK947="Deutsch und Englisch",1,2)),"")</f>
        <v/>
      </c>
      <c r="AD942" s="1" t="str">
        <f>IF(AND(Programme_Grunddaten!$A947="Geprüft",Programme_Grunddaten!AL947&lt;&gt;""),IF(Programme_Grunddaten!AL947="Ja",1,0),"")</f>
        <v/>
      </c>
      <c r="AE942" s="1" t="str">
        <f>IF(AND(Programme_Grunddaten!$A947="Geprüft",Programme_Grunddaten!AM947&lt;&gt;""),IF(Programme_Grunddaten!AM947="Ja",1,0),"")</f>
        <v/>
      </c>
      <c r="AF942" s="1" t="str">
        <f>IF(AND(Programme_Grunddaten!$A947="Geprüft",Programme_Grunddaten!AN947&lt;&gt;""),IF(Programme_Grunddaten!AN947="Ja",1,0),"")</f>
        <v/>
      </c>
      <c r="AG942" s="1" t="str">
        <f>IF(AND(Programme_Grunddaten!$A947="Geprüft",Programme_Grunddaten!AO947&lt;&gt;""),IF(Programme_Grunddaten!AO947="Ja",1,0),"")</f>
        <v/>
      </c>
      <c r="AH942" s="1" t="str">
        <f>IF(AND(Programme_Grunddaten!$A947="Geprüft",Programme_Grunddaten!AP947&lt;&gt;""),IF(Programme_Grunddaten!AP947="Ja",1,0),"")</f>
        <v/>
      </c>
      <c r="AI942" s="1" t="str">
        <f>IF(AND(Programme_Grunddaten!$A947="Geprüft",Programme_Grunddaten!AQ947&lt;&gt;""),IF(Programme_Grunddaten!AQ947="Ja",1,0),"")</f>
        <v/>
      </c>
      <c r="AJ942" s="1" t="str">
        <f>IF(AND(Programme_Grunddaten!$A947="Geprüft",Programme_Grunddaten!AR947&lt;&gt;""),IF(Programme_Grunddaten!AR947="Ja",1,0),"")</f>
        <v/>
      </c>
      <c r="AK942" s="1" t="str">
        <f>IF(AND(Programme_Grunddaten!$A947="Geprüft",Programme_Grunddaten!AS947&lt;&gt;""),IF(Programme_Grunddaten!AS947="Ja",1,0),"")</f>
        <v/>
      </c>
      <c r="AL942" s="1" t="str">
        <f>IF(AND(Programme_Grunddaten!$A947="Geprüft",Programme_Grunddaten!AT947&lt;&gt;""),IF(Programme_Grunddaten!AT947="Ja",1,0),"")</f>
        <v/>
      </c>
      <c r="AM942" s="1" t="str">
        <f>IF(AND(Programme_Grunddaten!$A947="Geprüft",Programme_Grunddaten!AU947&lt;&gt;""),IF(Programme_Grunddaten!AU947="Ja",1,0),"")</f>
        <v/>
      </c>
      <c r="AN942" s="1" t="str">
        <f>IF(AND(Programme_Grunddaten!$A947="Geprüft",Programme_Grunddaten!AV947&lt;&gt;""),IF(Programme_Grunddaten!AV947="Ja",1,0),"")</f>
        <v/>
      </c>
    </row>
    <row r="943" spans="1:40" x14ac:dyDescent="0.3">
      <c r="A943" s="1" t="str">
        <f>IF(AND(Programme_Grunddaten!A948="Geprüft",Programme_Grunddaten!B948&lt;&gt;""),Programme_Grunddaten!B948,"")</f>
        <v/>
      </c>
      <c r="B943" s="1" t="str">
        <f>IF(AND(Programme_Grunddaten!$A948="Geprüft",Programme_Grunddaten!I948&lt;&gt;""),IF(Programme_Grunddaten!I948="Ja",1,0),"")</f>
        <v/>
      </c>
      <c r="C943" s="1" t="str">
        <f>IF(AND(Programme_Grunddaten!$A948="Geprüft",Programme_Grunddaten!J948&lt;&gt;""),IF(Programme_Grunddaten!J948="Ja",1,0),"")</f>
        <v/>
      </c>
      <c r="D943" s="1" t="str">
        <f>IF(AND(Programme_Grunddaten!$A948="Geprüft",Programme_Grunddaten!K948&lt;&gt;""),IF(Programme_Grunddaten!K948="Ja",1,0),"")</f>
        <v/>
      </c>
      <c r="E943" s="1" t="str">
        <f>IF(AND(Programme_Grunddaten!$A948="Geprüft",Programme_Grunddaten!L948&lt;&gt;""),IF(Programme_Grunddaten!L948="Abo / befristete Lizenz",1,0),"")</f>
        <v/>
      </c>
      <c r="F943" s="1" t="str">
        <f>IF(AND(Programme_Grunddaten!$A948="Geprüft",Programme_Grunddaten!M948&lt;&gt;""),IF(Programme_Grunddaten!M948="Ja",1,0),"")</f>
        <v/>
      </c>
      <c r="G943" s="1" t="str">
        <f>IF(AND(Programme_Grunddaten!$A948="Geprüft",Programme_Grunddaten!N948&lt;&gt;""),IF(Programme_Grunddaten!N948="Ja",1,0),"")</f>
        <v/>
      </c>
      <c r="H943" s="1" t="str">
        <f>IF(AND(Programme_Grunddaten!$A948="Geprüft",Programme_Grunddaten!O948&lt;&gt;""),IF(Programme_Grunddaten!O948="Deutschland",0,IF(Programme_Grunddaten!O948="EU",1,2)),"")</f>
        <v/>
      </c>
      <c r="I943" s="1" t="str">
        <f>IF(AND(Programme_Grunddaten!$A948="Geprüft",Programme_Grunddaten!P948&lt;&gt;""),IF(Programme_Grunddaten!P948="Ja",1,0),"")</f>
        <v/>
      </c>
      <c r="J943" s="1" t="str">
        <f>IF(AND(Programme_Grunddaten!$A948="Geprüft",Programme_Grunddaten!Q948&lt;&gt;""),IF(Programme_Grunddaten!Q948="geschlossenes System",1,0),"")</f>
        <v/>
      </c>
      <c r="K943" s="1" t="str">
        <f>IF(AND(Programme_Grunddaten!$A948="Geprüft",Programme_Grunddaten!R948&lt;&gt;""),IF(Programme_Grunddaten!R948="Ja",1,0),"")</f>
        <v/>
      </c>
      <c r="L943" s="1" t="str">
        <f>IF(AND(Programme_Grunddaten!$A948="Geprüft",Programme_Grunddaten!T948&lt;&gt;""),IF(Programme_Grunddaten!T948="Ja",1,0),"")</f>
        <v/>
      </c>
      <c r="M943" s="1" t="str">
        <f>IF(AND(Programme_Grunddaten!$A948="Geprüft",Programme_Grunddaten!U948&lt;&gt;""),IF(Programme_Grunddaten!U948="Ja",1,0),"")</f>
        <v/>
      </c>
      <c r="N943" s="1" t="str">
        <f>IF(AND(Programme_Grunddaten!$A948="Geprüft",Programme_Grunddaten!V948&lt;&gt;""),IF(Programme_Grunddaten!V948="Ja",1,0),"")</f>
        <v/>
      </c>
      <c r="O943" s="1" t="str">
        <f>IF(AND(Programme_Grunddaten!$A948="Geprüft",Programme_Grunddaten!W948&lt;&gt;""),IF(Programme_Grunddaten!W948="Ja",1,0),"")</f>
        <v/>
      </c>
      <c r="P943" s="1" t="str">
        <f>IF(AND(Programme_Grunddaten!$A948="Geprüft",Programme_Grunddaten!X948&lt;&gt;""),IF(Programme_Grunddaten!X948="Ja",1,0),"")</f>
        <v/>
      </c>
      <c r="Q943" s="1" t="str">
        <f>IF(AND(Programme_Grunddaten!$A948="Geprüft",Programme_Grunddaten!Y948&lt;&gt;""),IF(Programme_Grunddaten!Y948="Ja",1,0),"")</f>
        <v/>
      </c>
      <c r="R943" s="1" t="str">
        <f>IF(AND(Programme_Grunddaten!$A948="Geprüft",Programme_Grunddaten!Z948&lt;&gt;""),IF(Programme_Grunddaten!Z948="Ja",1,0),"")</f>
        <v/>
      </c>
      <c r="S943" s="1" t="str">
        <f>IF(AND(Programme_Grunddaten!$A948="Geprüft",Programme_Grunddaten!AA948&lt;&gt;""),IF(Programme_Grunddaten!AA948="monolithisch",1,0),"")</f>
        <v/>
      </c>
      <c r="T943" s="1" t="str">
        <f>IF(AND(Programme_Grunddaten!$A948="Geprüft",Programme_Grunddaten!AB948&lt;&gt;""),IF(Programme_Grunddaten!AB948="Ja",1,0),"")</f>
        <v/>
      </c>
      <c r="U943" s="1" t="str">
        <f>IF(AND(Programme_Grunddaten!$A948="Geprüft",Programme_Grunddaten!AC948&lt;&gt;""),IF(Programme_Grunddaten!AC948="Ja",1,0),"")</f>
        <v/>
      </c>
      <c r="V943" s="1" t="str">
        <f>IF(AND(Programme_Grunddaten!$A948="Geprüft",Programme_Grunddaten!AD948&lt;&gt;""),IF(Programme_Grunddaten!AD948="Ja",1,0),"")</f>
        <v/>
      </c>
      <c r="W943" s="1" t="str">
        <f>IF(AND(Programme_Grunddaten!$A948="Geprüft",Programme_Grunddaten!AE948&lt;&gt;""),IF(Programme_Grunddaten!AE948="Ja",1,0),"")</f>
        <v/>
      </c>
      <c r="X943" s="1" t="str">
        <f>IF(AND(Programme_Grunddaten!$A948="Geprüft",Programme_Grunddaten!AF948&lt;&gt;""),IF(Programme_Grunddaten!AF948="Ja",1,0),"")</f>
        <v/>
      </c>
      <c r="Y943" s="1" t="str">
        <f>IF(AND(Programme_Grunddaten!$A948="Geprüft",Programme_Grunddaten!AG948&lt;&gt;""),IF(Programme_Grunddaten!AG948="Ja",1,0),"")</f>
        <v/>
      </c>
      <c r="Z943" s="1" t="str">
        <f>IF(AND(Programme_Grunddaten!$A948="Geprüft",Programme_Grunddaten!AH948&lt;&gt;""),IF(Programme_Grunddaten!AH948="Ja",1,0),"")</f>
        <v/>
      </c>
      <c r="AA943" s="1" t="str">
        <f>IF(AND(Programme_Grunddaten!$A948="Geprüft",Programme_Grunddaten!AI948&lt;&gt;""),IF(Programme_Grunddaten!AI948="Ja",1,0),"")</f>
        <v/>
      </c>
      <c r="AB943" s="1" t="str">
        <f>IF(AND(Programme_Grunddaten!$A948="Geprüft",Programme_Grunddaten!AJ948&lt;&gt;""),IF(Programme_Grunddaten!AJ948="individuell programmierbar",1,0),"")</f>
        <v/>
      </c>
      <c r="AC943" s="1" t="str">
        <f>IF(AND(Programme_Grunddaten!$A948="Geprüft",Programme_Grunddaten!AK948&lt;&gt;""),IF(Programme_Grunddaten!AK948="Deutsch",0,IF(Programme_Grunddaten!AK948="Deutsch und Englisch",1,2)),"")</f>
        <v/>
      </c>
      <c r="AD943" s="1" t="str">
        <f>IF(AND(Programme_Grunddaten!$A948="Geprüft",Programme_Grunddaten!AL948&lt;&gt;""),IF(Programme_Grunddaten!AL948="Ja",1,0),"")</f>
        <v/>
      </c>
      <c r="AE943" s="1" t="str">
        <f>IF(AND(Programme_Grunddaten!$A948="Geprüft",Programme_Grunddaten!AM948&lt;&gt;""),IF(Programme_Grunddaten!AM948="Ja",1,0),"")</f>
        <v/>
      </c>
      <c r="AF943" s="1" t="str">
        <f>IF(AND(Programme_Grunddaten!$A948="Geprüft",Programme_Grunddaten!AN948&lt;&gt;""),IF(Programme_Grunddaten!AN948="Ja",1,0),"")</f>
        <v/>
      </c>
      <c r="AG943" s="1" t="str">
        <f>IF(AND(Programme_Grunddaten!$A948="Geprüft",Programme_Grunddaten!AO948&lt;&gt;""),IF(Programme_Grunddaten!AO948="Ja",1,0),"")</f>
        <v/>
      </c>
      <c r="AH943" s="1" t="str">
        <f>IF(AND(Programme_Grunddaten!$A948="Geprüft",Programme_Grunddaten!AP948&lt;&gt;""),IF(Programme_Grunddaten!AP948="Ja",1,0),"")</f>
        <v/>
      </c>
      <c r="AI943" s="1" t="str">
        <f>IF(AND(Programme_Grunddaten!$A948="Geprüft",Programme_Grunddaten!AQ948&lt;&gt;""),IF(Programme_Grunddaten!AQ948="Ja",1,0),"")</f>
        <v/>
      </c>
      <c r="AJ943" s="1" t="str">
        <f>IF(AND(Programme_Grunddaten!$A948="Geprüft",Programme_Grunddaten!AR948&lt;&gt;""),IF(Programme_Grunddaten!AR948="Ja",1,0),"")</f>
        <v/>
      </c>
      <c r="AK943" s="1" t="str">
        <f>IF(AND(Programme_Grunddaten!$A948="Geprüft",Programme_Grunddaten!AS948&lt;&gt;""),IF(Programme_Grunddaten!AS948="Ja",1,0),"")</f>
        <v/>
      </c>
      <c r="AL943" s="1" t="str">
        <f>IF(AND(Programme_Grunddaten!$A948="Geprüft",Programme_Grunddaten!AT948&lt;&gt;""),IF(Programme_Grunddaten!AT948="Ja",1,0),"")</f>
        <v/>
      </c>
      <c r="AM943" s="1" t="str">
        <f>IF(AND(Programme_Grunddaten!$A948="Geprüft",Programme_Grunddaten!AU948&lt;&gt;""),IF(Programme_Grunddaten!AU948="Ja",1,0),"")</f>
        <v/>
      </c>
      <c r="AN943" s="1" t="str">
        <f>IF(AND(Programme_Grunddaten!$A948="Geprüft",Programme_Grunddaten!AV948&lt;&gt;""),IF(Programme_Grunddaten!AV948="Ja",1,0),"")</f>
        <v/>
      </c>
    </row>
    <row r="944" spans="1:40" x14ac:dyDescent="0.3">
      <c r="A944" s="1" t="str">
        <f>IF(AND(Programme_Grunddaten!A949="Geprüft",Programme_Grunddaten!B949&lt;&gt;""),Programme_Grunddaten!B949,"")</f>
        <v/>
      </c>
      <c r="B944" s="1" t="str">
        <f>IF(AND(Programme_Grunddaten!$A949="Geprüft",Programme_Grunddaten!I949&lt;&gt;""),IF(Programme_Grunddaten!I949="Ja",1,0),"")</f>
        <v/>
      </c>
      <c r="C944" s="1" t="str">
        <f>IF(AND(Programme_Grunddaten!$A949="Geprüft",Programme_Grunddaten!J949&lt;&gt;""),IF(Programme_Grunddaten!J949="Ja",1,0),"")</f>
        <v/>
      </c>
      <c r="D944" s="1" t="str">
        <f>IF(AND(Programme_Grunddaten!$A949="Geprüft",Programme_Grunddaten!K949&lt;&gt;""),IF(Programme_Grunddaten!K949="Ja",1,0),"")</f>
        <v/>
      </c>
      <c r="E944" s="1" t="str">
        <f>IF(AND(Programme_Grunddaten!$A949="Geprüft",Programme_Grunddaten!L949&lt;&gt;""),IF(Programme_Grunddaten!L949="Abo / befristete Lizenz",1,0),"")</f>
        <v/>
      </c>
      <c r="F944" s="1" t="str">
        <f>IF(AND(Programme_Grunddaten!$A949="Geprüft",Programme_Grunddaten!M949&lt;&gt;""),IF(Programme_Grunddaten!M949="Ja",1,0),"")</f>
        <v/>
      </c>
      <c r="G944" s="1" t="str">
        <f>IF(AND(Programme_Grunddaten!$A949="Geprüft",Programme_Grunddaten!N949&lt;&gt;""),IF(Programme_Grunddaten!N949="Ja",1,0),"")</f>
        <v/>
      </c>
      <c r="H944" s="1" t="str">
        <f>IF(AND(Programme_Grunddaten!$A949="Geprüft",Programme_Grunddaten!O949&lt;&gt;""),IF(Programme_Grunddaten!O949="Deutschland",0,IF(Programme_Grunddaten!O949="EU",1,2)),"")</f>
        <v/>
      </c>
      <c r="I944" s="1" t="str">
        <f>IF(AND(Programme_Grunddaten!$A949="Geprüft",Programme_Grunddaten!P949&lt;&gt;""),IF(Programme_Grunddaten!P949="Ja",1,0),"")</f>
        <v/>
      </c>
      <c r="J944" s="1" t="str">
        <f>IF(AND(Programme_Grunddaten!$A949="Geprüft",Programme_Grunddaten!Q949&lt;&gt;""),IF(Programme_Grunddaten!Q949="geschlossenes System",1,0),"")</f>
        <v/>
      </c>
      <c r="K944" s="1" t="str">
        <f>IF(AND(Programme_Grunddaten!$A949="Geprüft",Programme_Grunddaten!R949&lt;&gt;""),IF(Programme_Grunddaten!R949="Ja",1,0),"")</f>
        <v/>
      </c>
      <c r="L944" s="1" t="str">
        <f>IF(AND(Programme_Grunddaten!$A949="Geprüft",Programme_Grunddaten!T949&lt;&gt;""),IF(Programme_Grunddaten!T949="Ja",1,0),"")</f>
        <v/>
      </c>
      <c r="M944" s="1" t="str">
        <f>IF(AND(Programme_Grunddaten!$A949="Geprüft",Programme_Grunddaten!U949&lt;&gt;""),IF(Programme_Grunddaten!U949="Ja",1,0),"")</f>
        <v/>
      </c>
      <c r="N944" s="1" t="str">
        <f>IF(AND(Programme_Grunddaten!$A949="Geprüft",Programme_Grunddaten!V949&lt;&gt;""),IF(Programme_Grunddaten!V949="Ja",1,0),"")</f>
        <v/>
      </c>
      <c r="O944" s="1" t="str">
        <f>IF(AND(Programme_Grunddaten!$A949="Geprüft",Programme_Grunddaten!W949&lt;&gt;""),IF(Programme_Grunddaten!W949="Ja",1,0),"")</f>
        <v/>
      </c>
      <c r="P944" s="1" t="str">
        <f>IF(AND(Programme_Grunddaten!$A949="Geprüft",Programme_Grunddaten!X949&lt;&gt;""),IF(Programme_Grunddaten!X949="Ja",1,0),"")</f>
        <v/>
      </c>
      <c r="Q944" s="1" t="str">
        <f>IF(AND(Programme_Grunddaten!$A949="Geprüft",Programme_Grunddaten!Y949&lt;&gt;""),IF(Programme_Grunddaten!Y949="Ja",1,0),"")</f>
        <v/>
      </c>
      <c r="R944" s="1" t="str">
        <f>IF(AND(Programme_Grunddaten!$A949="Geprüft",Programme_Grunddaten!Z949&lt;&gt;""),IF(Programme_Grunddaten!Z949="Ja",1,0),"")</f>
        <v/>
      </c>
      <c r="S944" s="1" t="str">
        <f>IF(AND(Programme_Grunddaten!$A949="Geprüft",Programme_Grunddaten!AA949&lt;&gt;""),IF(Programme_Grunddaten!AA949="monolithisch",1,0),"")</f>
        <v/>
      </c>
      <c r="T944" s="1" t="str">
        <f>IF(AND(Programme_Grunddaten!$A949="Geprüft",Programme_Grunddaten!AB949&lt;&gt;""),IF(Programme_Grunddaten!AB949="Ja",1,0),"")</f>
        <v/>
      </c>
      <c r="U944" s="1" t="str">
        <f>IF(AND(Programme_Grunddaten!$A949="Geprüft",Programme_Grunddaten!AC949&lt;&gt;""),IF(Programme_Grunddaten!AC949="Ja",1,0),"")</f>
        <v/>
      </c>
      <c r="V944" s="1" t="str">
        <f>IF(AND(Programme_Grunddaten!$A949="Geprüft",Programme_Grunddaten!AD949&lt;&gt;""),IF(Programme_Grunddaten!AD949="Ja",1,0),"")</f>
        <v/>
      </c>
      <c r="W944" s="1" t="str">
        <f>IF(AND(Programme_Grunddaten!$A949="Geprüft",Programme_Grunddaten!AE949&lt;&gt;""),IF(Programme_Grunddaten!AE949="Ja",1,0),"")</f>
        <v/>
      </c>
      <c r="X944" s="1" t="str">
        <f>IF(AND(Programme_Grunddaten!$A949="Geprüft",Programme_Grunddaten!AF949&lt;&gt;""),IF(Programme_Grunddaten!AF949="Ja",1,0),"")</f>
        <v/>
      </c>
      <c r="Y944" s="1" t="str">
        <f>IF(AND(Programme_Grunddaten!$A949="Geprüft",Programme_Grunddaten!AG949&lt;&gt;""),IF(Programme_Grunddaten!AG949="Ja",1,0),"")</f>
        <v/>
      </c>
      <c r="Z944" s="1" t="str">
        <f>IF(AND(Programme_Grunddaten!$A949="Geprüft",Programme_Grunddaten!AH949&lt;&gt;""),IF(Programme_Grunddaten!AH949="Ja",1,0),"")</f>
        <v/>
      </c>
      <c r="AA944" s="1" t="str">
        <f>IF(AND(Programme_Grunddaten!$A949="Geprüft",Programme_Grunddaten!AI949&lt;&gt;""),IF(Programme_Grunddaten!AI949="Ja",1,0),"")</f>
        <v/>
      </c>
      <c r="AB944" s="1" t="str">
        <f>IF(AND(Programme_Grunddaten!$A949="Geprüft",Programme_Grunddaten!AJ949&lt;&gt;""),IF(Programme_Grunddaten!AJ949="individuell programmierbar",1,0),"")</f>
        <v/>
      </c>
      <c r="AC944" s="1" t="str">
        <f>IF(AND(Programme_Grunddaten!$A949="Geprüft",Programme_Grunddaten!AK949&lt;&gt;""),IF(Programme_Grunddaten!AK949="Deutsch",0,IF(Programme_Grunddaten!AK949="Deutsch und Englisch",1,2)),"")</f>
        <v/>
      </c>
      <c r="AD944" s="1" t="str">
        <f>IF(AND(Programme_Grunddaten!$A949="Geprüft",Programme_Grunddaten!AL949&lt;&gt;""),IF(Programme_Grunddaten!AL949="Ja",1,0),"")</f>
        <v/>
      </c>
      <c r="AE944" s="1" t="str">
        <f>IF(AND(Programme_Grunddaten!$A949="Geprüft",Programme_Grunddaten!AM949&lt;&gt;""),IF(Programme_Grunddaten!AM949="Ja",1,0),"")</f>
        <v/>
      </c>
      <c r="AF944" s="1" t="str">
        <f>IF(AND(Programme_Grunddaten!$A949="Geprüft",Programme_Grunddaten!AN949&lt;&gt;""),IF(Programme_Grunddaten!AN949="Ja",1,0),"")</f>
        <v/>
      </c>
      <c r="AG944" s="1" t="str">
        <f>IF(AND(Programme_Grunddaten!$A949="Geprüft",Programme_Grunddaten!AO949&lt;&gt;""),IF(Programme_Grunddaten!AO949="Ja",1,0),"")</f>
        <v/>
      </c>
      <c r="AH944" s="1" t="str">
        <f>IF(AND(Programme_Grunddaten!$A949="Geprüft",Programme_Grunddaten!AP949&lt;&gt;""),IF(Programme_Grunddaten!AP949="Ja",1,0),"")</f>
        <v/>
      </c>
      <c r="AI944" s="1" t="str">
        <f>IF(AND(Programme_Grunddaten!$A949="Geprüft",Programme_Grunddaten!AQ949&lt;&gt;""),IF(Programme_Grunddaten!AQ949="Ja",1,0),"")</f>
        <v/>
      </c>
      <c r="AJ944" s="1" t="str">
        <f>IF(AND(Programme_Grunddaten!$A949="Geprüft",Programme_Grunddaten!AR949&lt;&gt;""),IF(Programme_Grunddaten!AR949="Ja",1,0),"")</f>
        <v/>
      </c>
      <c r="AK944" s="1" t="str">
        <f>IF(AND(Programme_Grunddaten!$A949="Geprüft",Programme_Grunddaten!AS949&lt;&gt;""),IF(Programme_Grunddaten!AS949="Ja",1,0),"")</f>
        <v/>
      </c>
      <c r="AL944" s="1" t="str">
        <f>IF(AND(Programme_Grunddaten!$A949="Geprüft",Programme_Grunddaten!AT949&lt;&gt;""),IF(Programme_Grunddaten!AT949="Ja",1,0),"")</f>
        <v/>
      </c>
      <c r="AM944" s="1" t="str">
        <f>IF(AND(Programme_Grunddaten!$A949="Geprüft",Programme_Grunddaten!AU949&lt;&gt;""),IF(Programme_Grunddaten!AU949="Ja",1,0),"")</f>
        <v/>
      </c>
      <c r="AN944" s="1" t="str">
        <f>IF(AND(Programme_Grunddaten!$A949="Geprüft",Programme_Grunddaten!AV949&lt;&gt;""),IF(Programme_Grunddaten!AV949="Ja",1,0),"")</f>
        <v/>
      </c>
    </row>
    <row r="945" spans="1:40" x14ac:dyDescent="0.3">
      <c r="A945" s="1" t="str">
        <f>IF(AND(Programme_Grunddaten!A950="Geprüft",Programme_Grunddaten!B950&lt;&gt;""),Programme_Grunddaten!B950,"")</f>
        <v/>
      </c>
      <c r="B945" s="1" t="str">
        <f>IF(AND(Programme_Grunddaten!$A950="Geprüft",Programme_Grunddaten!I950&lt;&gt;""),IF(Programme_Grunddaten!I950="Ja",1,0),"")</f>
        <v/>
      </c>
      <c r="C945" s="1" t="str">
        <f>IF(AND(Programme_Grunddaten!$A950="Geprüft",Programme_Grunddaten!J950&lt;&gt;""),IF(Programme_Grunddaten!J950="Ja",1,0),"")</f>
        <v/>
      </c>
      <c r="D945" s="1" t="str">
        <f>IF(AND(Programme_Grunddaten!$A950="Geprüft",Programme_Grunddaten!K950&lt;&gt;""),IF(Programme_Grunddaten!K950="Ja",1,0),"")</f>
        <v/>
      </c>
      <c r="E945" s="1" t="str">
        <f>IF(AND(Programme_Grunddaten!$A950="Geprüft",Programme_Grunddaten!L950&lt;&gt;""),IF(Programme_Grunddaten!L950="Abo / befristete Lizenz",1,0),"")</f>
        <v/>
      </c>
      <c r="F945" s="1" t="str">
        <f>IF(AND(Programme_Grunddaten!$A950="Geprüft",Programme_Grunddaten!M950&lt;&gt;""),IF(Programme_Grunddaten!M950="Ja",1,0),"")</f>
        <v/>
      </c>
      <c r="G945" s="1" t="str">
        <f>IF(AND(Programme_Grunddaten!$A950="Geprüft",Programme_Grunddaten!N950&lt;&gt;""),IF(Programme_Grunddaten!N950="Ja",1,0),"")</f>
        <v/>
      </c>
      <c r="H945" s="1" t="str">
        <f>IF(AND(Programme_Grunddaten!$A950="Geprüft",Programme_Grunddaten!O950&lt;&gt;""),IF(Programme_Grunddaten!O950="Deutschland",0,IF(Programme_Grunddaten!O950="EU",1,2)),"")</f>
        <v/>
      </c>
      <c r="I945" s="1" t="str">
        <f>IF(AND(Programme_Grunddaten!$A950="Geprüft",Programme_Grunddaten!P950&lt;&gt;""),IF(Programme_Grunddaten!P950="Ja",1,0),"")</f>
        <v/>
      </c>
      <c r="J945" s="1" t="str">
        <f>IF(AND(Programme_Grunddaten!$A950="Geprüft",Programme_Grunddaten!Q950&lt;&gt;""),IF(Programme_Grunddaten!Q950="geschlossenes System",1,0),"")</f>
        <v/>
      </c>
      <c r="K945" s="1" t="str">
        <f>IF(AND(Programme_Grunddaten!$A950="Geprüft",Programme_Grunddaten!R950&lt;&gt;""),IF(Programme_Grunddaten!R950="Ja",1,0),"")</f>
        <v/>
      </c>
      <c r="L945" s="1" t="str">
        <f>IF(AND(Programme_Grunddaten!$A950="Geprüft",Programme_Grunddaten!T950&lt;&gt;""),IF(Programme_Grunddaten!T950="Ja",1,0),"")</f>
        <v/>
      </c>
      <c r="M945" s="1" t="str">
        <f>IF(AND(Programme_Grunddaten!$A950="Geprüft",Programme_Grunddaten!U950&lt;&gt;""),IF(Programme_Grunddaten!U950="Ja",1,0),"")</f>
        <v/>
      </c>
      <c r="N945" s="1" t="str">
        <f>IF(AND(Programme_Grunddaten!$A950="Geprüft",Programme_Grunddaten!V950&lt;&gt;""),IF(Programme_Grunddaten!V950="Ja",1,0),"")</f>
        <v/>
      </c>
      <c r="O945" s="1" t="str">
        <f>IF(AND(Programme_Grunddaten!$A950="Geprüft",Programme_Grunddaten!W950&lt;&gt;""),IF(Programme_Grunddaten!W950="Ja",1,0),"")</f>
        <v/>
      </c>
      <c r="P945" s="1" t="str">
        <f>IF(AND(Programme_Grunddaten!$A950="Geprüft",Programme_Grunddaten!X950&lt;&gt;""),IF(Programme_Grunddaten!X950="Ja",1,0),"")</f>
        <v/>
      </c>
      <c r="Q945" s="1" t="str">
        <f>IF(AND(Programme_Grunddaten!$A950="Geprüft",Programme_Grunddaten!Y950&lt;&gt;""),IF(Programme_Grunddaten!Y950="Ja",1,0),"")</f>
        <v/>
      </c>
      <c r="R945" s="1" t="str">
        <f>IF(AND(Programme_Grunddaten!$A950="Geprüft",Programme_Grunddaten!Z950&lt;&gt;""),IF(Programme_Grunddaten!Z950="Ja",1,0),"")</f>
        <v/>
      </c>
      <c r="S945" s="1" t="str">
        <f>IF(AND(Programme_Grunddaten!$A950="Geprüft",Programme_Grunddaten!AA950&lt;&gt;""),IF(Programme_Grunddaten!AA950="monolithisch",1,0),"")</f>
        <v/>
      </c>
      <c r="T945" s="1" t="str">
        <f>IF(AND(Programme_Grunddaten!$A950="Geprüft",Programme_Grunddaten!AB950&lt;&gt;""),IF(Programme_Grunddaten!AB950="Ja",1,0),"")</f>
        <v/>
      </c>
      <c r="U945" s="1" t="str">
        <f>IF(AND(Programme_Grunddaten!$A950="Geprüft",Programme_Grunddaten!AC950&lt;&gt;""),IF(Programme_Grunddaten!AC950="Ja",1,0),"")</f>
        <v/>
      </c>
      <c r="V945" s="1" t="str">
        <f>IF(AND(Programme_Grunddaten!$A950="Geprüft",Programme_Grunddaten!AD950&lt;&gt;""),IF(Programme_Grunddaten!AD950="Ja",1,0),"")</f>
        <v/>
      </c>
      <c r="W945" s="1" t="str">
        <f>IF(AND(Programme_Grunddaten!$A950="Geprüft",Programme_Grunddaten!AE950&lt;&gt;""),IF(Programme_Grunddaten!AE950="Ja",1,0),"")</f>
        <v/>
      </c>
      <c r="X945" s="1" t="str">
        <f>IF(AND(Programme_Grunddaten!$A950="Geprüft",Programme_Grunddaten!AF950&lt;&gt;""),IF(Programme_Grunddaten!AF950="Ja",1,0),"")</f>
        <v/>
      </c>
      <c r="Y945" s="1" t="str">
        <f>IF(AND(Programme_Grunddaten!$A950="Geprüft",Programme_Grunddaten!AG950&lt;&gt;""),IF(Programme_Grunddaten!AG950="Ja",1,0),"")</f>
        <v/>
      </c>
      <c r="Z945" s="1" t="str">
        <f>IF(AND(Programme_Grunddaten!$A950="Geprüft",Programme_Grunddaten!AH950&lt;&gt;""),IF(Programme_Grunddaten!AH950="Ja",1,0),"")</f>
        <v/>
      </c>
      <c r="AA945" s="1" t="str">
        <f>IF(AND(Programme_Grunddaten!$A950="Geprüft",Programme_Grunddaten!AI950&lt;&gt;""),IF(Programme_Grunddaten!AI950="Ja",1,0),"")</f>
        <v/>
      </c>
      <c r="AB945" s="1" t="str">
        <f>IF(AND(Programme_Grunddaten!$A950="Geprüft",Programme_Grunddaten!AJ950&lt;&gt;""),IF(Programme_Grunddaten!AJ950="individuell programmierbar",1,0),"")</f>
        <v/>
      </c>
      <c r="AC945" s="1" t="str">
        <f>IF(AND(Programme_Grunddaten!$A950="Geprüft",Programme_Grunddaten!AK950&lt;&gt;""),IF(Programme_Grunddaten!AK950="Deutsch",0,IF(Programme_Grunddaten!AK950="Deutsch und Englisch",1,2)),"")</f>
        <v/>
      </c>
      <c r="AD945" s="1" t="str">
        <f>IF(AND(Programme_Grunddaten!$A950="Geprüft",Programme_Grunddaten!AL950&lt;&gt;""),IF(Programme_Grunddaten!AL950="Ja",1,0),"")</f>
        <v/>
      </c>
      <c r="AE945" s="1" t="str">
        <f>IF(AND(Programme_Grunddaten!$A950="Geprüft",Programme_Grunddaten!AM950&lt;&gt;""),IF(Programme_Grunddaten!AM950="Ja",1,0),"")</f>
        <v/>
      </c>
      <c r="AF945" s="1" t="str">
        <f>IF(AND(Programme_Grunddaten!$A950="Geprüft",Programme_Grunddaten!AN950&lt;&gt;""),IF(Programme_Grunddaten!AN950="Ja",1,0),"")</f>
        <v/>
      </c>
      <c r="AG945" s="1" t="str">
        <f>IF(AND(Programme_Grunddaten!$A950="Geprüft",Programme_Grunddaten!AO950&lt;&gt;""),IF(Programme_Grunddaten!AO950="Ja",1,0),"")</f>
        <v/>
      </c>
      <c r="AH945" s="1" t="str">
        <f>IF(AND(Programme_Grunddaten!$A950="Geprüft",Programme_Grunddaten!AP950&lt;&gt;""),IF(Programme_Grunddaten!AP950="Ja",1,0),"")</f>
        <v/>
      </c>
      <c r="AI945" s="1" t="str">
        <f>IF(AND(Programme_Grunddaten!$A950="Geprüft",Programme_Grunddaten!AQ950&lt;&gt;""),IF(Programme_Grunddaten!AQ950="Ja",1,0),"")</f>
        <v/>
      </c>
      <c r="AJ945" s="1" t="str">
        <f>IF(AND(Programme_Grunddaten!$A950="Geprüft",Programme_Grunddaten!AR950&lt;&gt;""),IF(Programme_Grunddaten!AR950="Ja",1,0),"")</f>
        <v/>
      </c>
      <c r="AK945" s="1" t="str">
        <f>IF(AND(Programme_Grunddaten!$A950="Geprüft",Programme_Grunddaten!AS950&lt;&gt;""),IF(Programme_Grunddaten!AS950="Ja",1,0),"")</f>
        <v/>
      </c>
      <c r="AL945" s="1" t="str">
        <f>IF(AND(Programme_Grunddaten!$A950="Geprüft",Programme_Grunddaten!AT950&lt;&gt;""),IF(Programme_Grunddaten!AT950="Ja",1,0),"")</f>
        <v/>
      </c>
      <c r="AM945" s="1" t="str">
        <f>IF(AND(Programme_Grunddaten!$A950="Geprüft",Programme_Grunddaten!AU950&lt;&gt;""),IF(Programme_Grunddaten!AU950="Ja",1,0),"")</f>
        <v/>
      </c>
      <c r="AN945" s="1" t="str">
        <f>IF(AND(Programme_Grunddaten!$A950="Geprüft",Programme_Grunddaten!AV950&lt;&gt;""),IF(Programme_Grunddaten!AV950="Ja",1,0),"")</f>
        <v/>
      </c>
    </row>
    <row r="946" spans="1:40" x14ac:dyDescent="0.3">
      <c r="A946" s="1" t="str">
        <f>IF(AND(Programme_Grunddaten!A951="Geprüft",Programme_Grunddaten!B951&lt;&gt;""),Programme_Grunddaten!B951,"")</f>
        <v/>
      </c>
      <c r="B946" s="1" t="str">
        <f>IF(AND(Programme_Grunddaten!$A951="Geprüft",Programme_Grunddaten!I951&lt;&gt;""),IF(Programme_Grunddaten!I951="Ja",1,0),"")</f>
        <v/>
      </c>
      <c r="C946" s="1" t="str">
        <f>IF(AND(Programme_Grunddaten!$A951="Geprüft",Programme_Grunddaten!J951&lt;&gt;""),IF(Programme_Grunddaten!J951="Ja",1,0),"")</f>
        <v/>
      </c>
      <c r="D946" s="1" t="str">
        <f>IF(AND(Programme_Grunddaten!$A951="Geprüft",Programme_Grunddaten!K951&lt;&gt;""),IF(Programme_Grunddaten!K951="Ja",1,0),"")</f>
        <v/>
      </c>
      <c r="E946" s="1" t="str">
        <f>IF(AND(Programme_Grunddaten!$A951="Geprüft",Programme_Grunddaten!L951&lt;&gt;""),IF(Programme_Grunddaten!L951="Abo / befristete Lizenz",1,0),"")</f>
        <v/>
      </c>
      <c r="F946" s="1" t="str">
        <f>IF(AND(Programme_Grunddaten!$A951="Geprüft",Programme_Grunddaten!M951&lt;&gt;""),IF(Programme_Grunddaten!M951="Ja",1,0),"")</f>
        <v/>
      </c>
      <c r="G946" s="1" t="str">
        <f>IF(AND(Programme_Grunddaten!$A951="Geprüft",Programme_Grunddaten!N951&lt;&gt;""),IF(Programme_Grunddaten!N951="Ja",1,0),"")</f>
        <v/>
      </c>
      <c r="H946" s="1" t="str">
        <f>IF(AND(Programme_Grunddaten!$A951="Geprüft",Programme_Grunddaten!O951&lt;&gt;""),IF(Programme_Grunddaten!O951="Deutschland",0,IF(Programme_Grunddaten!O951="EU",1,2)),"")</f>
        <v/>
      </c>
      <c r="I946" s="1" t="str">
        <f>IF(AND(Programme_Grunddaten!$A951="Geprüft",Programme_Grunddaten!P951&lt;&gt;""),IF(Programme_Grunddaten!P951="Ja",1,0),"")</f>
        <v/>
      </c>
      <c r="J946" s="1" t="str">
        <f>IF(AND(Programme_Grunddaten!$A951="Geprüft",Programme_Grunddaten!Q951&lt;&gt;""),IF(Programme_Grunddaten!Q951="geschlossenes System",1,0),"")</f>
        <v/>
      </c>
      <c r="K946" s="1" t="str">
        <f>IF(AND(Programme_Grunddaten!$A951="Geprüft",Programme_Grunddaten!R951&lt;&gt;""),IF(Programme_Grunddaten!R951="Ja",1,0),"")</f>
        <v/>
      </c>
      <c r="L946" s="1" t="str">
        <f>IF(AND(Programme_Grunddaten!$A951="Geprüft",Programme_Grunddaten!T951&lt;&gt;""),IF(Programme_Grunddaten!T951="Ja",1,0),"")</f>
        <v/>
      </c>
      <c r="M946" s="1" t="str">
        <f>IF(AND(Programme_Grunddaten!$A951="Geprüft",Programme_Grunddaten!U951&lt;&gt;""),IF(Programme_Grunddaten!U951="Ja",1,0),"")</f>
        <v/>
      </c>
      <c r="N946" s="1" t="str">
        <f>IF(AND(Programme_Grunddaten!$A951="Geprüft",Programme_Grunddaten!V951&lt;&gt;""),IF(Programme_Grunddaten!V951="Ja",1,0),"")</f>
        <v/>
      </c>
      <c r="O946" s="1" t="str">
        <f>IF(AND(Programme_Grunddaten!$A951="Geprüft",Programme_Grunddaten!W951&lt;&gt;""),IF(Programme_Grunddaten!W951="Ja",1,0),"")</f>
        <v/>
      </c>
      <c r="P946" s="1" t="str">
        <f>IF(AND(Programme_Grunddaten!$A951="Geprüft",Programme_Grunddaten!X951&lt;&gt;""),IF(Programme_Grunddaten!X951="Ja",1,0),"")</f>
        <v/>
      </c>
      <c r="Q946" s="1" t="str">
        <f>IF(AND(Programme_Grunddaten!$A951="Geprüft",Programme_Grunddaten!Y951&lt;&gt;""),IF(Programme_Grunddaten!Y951="Ja",1,0),"")</f>
        <v/>
      </c>
      <c r="R946" s="1" t="str">
        <f>IF(AND(Programme_Grunddaten!$A951="Geprüft",Programme_Grunddaten!Z951&lt;&gt;""),IF(Programme_Grunddaten!Z951="Ja",1,0),"")</f>
        <v/>
      </c>
      <c r="S946" s="1" t="str">
        <f>IF(AND(Programme_Grunddaten!$A951="Geprüft",Programme_Grunddaten!AA951&lt;&gt;""),IF(Programme_Grunddaten!AA951="monolithisch",1,0),"")</f>
        <v/>
      </c>
      <c r="T946" s="1" t="str">
        <f>IF(AND(Programme_Grunddaten!$A951="Geprüft",Programme_Grunddaten!AB951&lt;&gt;""),IF(Programme_Grunddaten!AB951="Ja",1,0),"")</f>
        <v/>
      </c>
      <c r="U946" s="1" t="str">
        <f>IF(AND(Programme_Grunddaten!$A951="Geprüft",Programme_Grunddaten!AC951&lt;&gt;""),IF(Programme_Grunddaten!AC951="Ja",1,0),"")</f>
        <v/>
      </c>
      <c r="V946" s="1" t="str">
        <f>IF(AND(Programme_Grunddaten!$A951="Geprüft",Programme_Grunddaten!AD951&lt;&gt;""),IF(Programme_Grunddaten!AD951="Ja",1,0),"")</f>
        <v/>
      </c>
      <c r="W946" s="1" t="str">
        <f>IF(AND(Programme_Grunddaten!$A951="Geprüft",Programme_Grunddaten!AE951&lt;&gt;""),IF(Programme_Grunddaten!AE951="Ja",1,0),"")</f>
        <v/>
      </c>
      <c r="X946" s="1" t="str">
        <f>IF(AND(Programme_Grunddaten!$A951="Geprüft",Programme_Grunddaten!AF951&lt;&gt;""),IF(Programme_Grunddaten!AF951="Ja",1,0),"")</f>
        <v/>
      </c>
      <c r="Y946" s="1" t="str">
        <f>IF(AND(Programme_Grunddaten!$A951="Geprüft",Programme_Grunddaten!AG951&lt;&gt;""),IF(Programme_Grunddaten!AG951="Ja",1,0),"")</f>
        <v/>
      </c>
      <c r="Z946" s="1" t="str">
        <f>IF(AND(Programme_Grunddaten!$A951="Geprüft",Programme_Grunddaten!AH951&lt;&gt;""),IF(Programme_Grunddaten!AH951="Ja",1,0),"")</f>
        <v/>
      </c>
      <c r="AA946" s="1" t="str">
        <f>IF(AND(Programme_Grunddaten!$A951="Geprüft",Programme_Grunddaten!AI951&lt;&gt;""),IF(Programme_Grunddaten!AI951="Ja",1,0),"")</f>
        <v/>
      </c>
      <c r="AB946" s="1" t="str">
        <f>IF(AND(Programme_Grunddaten!$A951="Geprüft",Programme_Grunddaten!AJ951&lt;&gt;""),IF(Programme_Grunddaten!AJ951="individuell programmierbar",1,0),"")</f>
        <v/>
      </c>
      <c r="AC946" s="1" t="str">
        <f>IF(AND(Programme_Grunddaten!$A951="Geprüft",Programme_Grunddaten!AK951&lt;&gt;""),IF(Programme_Grunddaten!AK951="Deutsch",0,IF(Programme_Grunddaten!AK951="Deutsch und Englisch",1,2)),"")</f>
        <v/>
      </c>
      <c r="AD946" s="1" t="str">
        <f>IF(AND(Programme_Grunddaten!$A951="Geprüft",Programme_Grunddaten!AL951&lt;&gt;""),IF(Programme_Grunddaten!AL951="Ja",1,0),"")</f>
        <v/>
      </c>
      <c r="AE946" s="1" t="str">
        <f>IF(AND(Programme_Grunddaten!$A951="Geprüft",Programme_Grunddaten!AM951&lt;&gt;""),IF(Programme_Grunddaten!AM951="Ja",1,0),"")</f>
        <v/>
      </c>
      <c r="AF946" s="1" t="str">
        <f>IF(AND(Programme_Grunddaten!$A951="Geprüft",Programme_Grunddaten!AN951&lt;&gt;""),IF(Programme_Grunddaten!AN951="Ja",1,0),"")</f>
        <v/>
      </c>
      <c r="AG946" s="1" t="str">
        <f>IF(AND(Programme_Grunddaten!$A951="Geprüft",Programme_Grunddaten!AO951&lt;&gt;""),IF(Programme_Grunddaten!AO951="Ja",1,0),"")</f>
        <v/>
      </c>
      <c r="AH946" s="1" t="str">
        <f>IF(AND(Programme_Grunddaten!$A951="Geprüft",Programme_Grunddaten!AP951&lt;&gt;""),IF(Programme_Grunddaten!AP951="Ja",1,0),"")</f>
        <v/>
      </c>
      <c r="AI946" s="1" t="str">
        <f>IF(AND(Programme_Grunddaten!$A951="Geprüft",Programme_Grunddaten!AQ951&lt;&gt;""),IF(Programme_Grunddaten!AQ951="Ja",1,0),"")</f>
        <v/>
      </c>
      <c r="AJ946" s="1" t="str">
        <f>IF(AND(Programme_Grunddaten!$A951="Geprüft",Programme_Grunddaten!AR951&lt;&gt;""),IF(Programme_Grunddaten!AR951="Ja",1,0),"")</f>
        <v/>
      </c>
      <c r="AK946" s="1" t="str">
        <f>IF(AND(Programme_Grunddaten!$A951="Geprüft",Programme_Grunddaten!AS951&lt;&gt;""),IF(Programme_Grunddaten!AS951="Ja",1,0),"")</f>
        <v/>
      </c>
      <c r="AL946" s="1" t="str">
        <f>IF(AND(Programme_Grunddaten!$A951="Geprüft",Programme_Grunddaten!AT951&lt;&gt;""),IF(Programme_Grunddaten!AT951="Ja",1,0),"")</f>
        <v/>
      </c>
      <c r="AM946" s="1" t="str">
        <f>IF(AND(Programme_Grunddaten!$A951="Geprüft",Programme_Grunddaten!AU951&lt;&gt;""),IF(Programme_Grunddaten!AU951="Ja",1,0),"")</f>
        <v/>
      </c>
      <c r="AN946" s="1" t="str">
        <f>IF(AND(Programme_Grunddaten!$A951="Geprüft",Programme_Grunddaten!AV951&lt;&gt;""),IF(Programme_Grunddaten!AV951="Ja",1,0),"")</f>
        <v/>
      </c>
    </row>
    <row r="947" spans="1:40" x14ac:dyDescent="0.3">
      <c r="A947" s="1" t="str">
        <f>IF(AND(Programme_Grunddaten!A952="Geprüft",Programme_Grunddaten!B952&lt;&gt;""),Programme_Grunddaten!B952,"")</f>
        <v/>
      </c>
      <c r="B947" s="1" t="str">
        <f>IF(AND(Programme_Grunddaten!$A952="Geprüft",Programme_Grunddaten!I952&lt;&gt;""),IF(Programme_Grunddaten!I952="Ja",1,0),"")</f>
        <v/>
      </c>
      <c r="C947" s="1" t="str">
        <f>IF(AND(Programme_Grunddaten!$A952="Geprüft",Programme_Grunddaten!J952&lt;&gt;""),IF(Programme_Grunddaten!J952="Ja",1,0),"")</f>
        <v/>
      </c>
      <c r="D947" s="1" t="str">
        <f>IF(AND(Programme_Grunddaten!$A952="Geprüft",Programme_Grunddaten!K952&lt;&gt;""),IF(Programme_Grunddaten!K952="Ja",1,0),"")</f>
        <v/>
      </c>
      <c r="E947" s="1" t="str">
        <f>IF(AND(Programme_Grunddaten!$A952="Geprüft",Programme_Grunddaten!L952&lt;&gt;""),IF(Programme_Grunddaten!L952="Abo / befristete Lizenz",1,0),"")</f>
        <v/>
      </c>
      <c r="F947" s="1" t="str">
        <f>IF(AND(Programme_Grunddaten!$A952="Geprüft",Programme_Grunddaten!M952&lt;&gt;""),IF(Programme_Grunddaten!M952="Ja",1,0),"")</f>
        <v/>
      </c>
      <c r="G947" s="1" t="str">
        <f>IF(AND(Programme_Grunddaten!$A952="Geprüft",Programme_Grunddaten!N952&lt;&gt;""),IF(Programme_Grunddaten!N952="Ja",1,0),"")</f>
        <v/>
      </c>
      <c r="H947" s="1" t="str">
        <f>IF(AND(Programme_Grunddaten!$A952="Geprüft",Programme_Grunddaten!O952&lt;&gt;""),IF(Programme_Grunddaten!O952="Deutschland",0,IF(Programme_Grunddaten!O952="EU",1,2)),"")</f>
        <v/>
      </c>
      <c r="I947" s="1" t="str">
        <f>IF(AND(Programme_Grunddaten!$A952="Geprüft",Programme_Grunddaten!P952&lt;&gt;""),IF(Programme_Grunddaten!P952="Ja",1,0),"")</f>
        <v/>
      </c>
      <c r="J947" s="1" t="str">
        <f>IF(AND(Programme_Grunddaten!$A952="Geprüft",Programme_Grunddaten!Q952&lt;&gt;""),IF(Programme_Grunddaten!Q952="geschlossenes System",1,0),"")</f>
        <v/>
      </c>
      <c r="K947" s="1" t="str">
        <f>IF(AND(Programme_Grunddaten!$A952="Geprüft",Programme_Grunddaten!R952&lt;&gt;""),IF(Programme_Grunddaten!R952="Ja",1,0),"")</f>
        <v/>
      </c>
      <c r="L947" s="1" t="str">
        <f>IF(AND(Programme_Grunddaten!$A952="Geprüft",Programme_Grunddaten!T952&lt;&gt;""),IF(Programme_Grunddaten!T952="Ja",1,0),"")</f>
        <v/>
      </c>
      <c r="M947" s="1" t="str">
        <f>IF(AND(Programme_Grunddaten!$A952="Geprüft",Programme_Grunddaten!U952&lt;&gt;""),IF(Programme_Grunddaten!U952="Ja",1,0),"")</f>
        <v/>
      </c>
      <c r="N947" s="1" t="str">
        <f>IF(AND(Programme_Grunddaten!$A952="Geprüft",Programme_Grunddaten!V952&lt;&gt;""),IF(Programme_Grunddaten!V952="Ja",1,0),"")</f>
        <v/>
      </c>
      <c r="O947" s="1" t="str">
        <f>IF(AND(Programme_Grunddaten!$A952="Geprüft",Programme_Grunddaten!W952&lt;&gt;""),IF(Programme_Grunddaten!W952="Ja",1,0),"")</f>
        <v/>
      </c>
      <c r="P947" s="1" t="str">
        <f>IF(AND(Programme_Grunddaten!$A952="Geprüft",Programme_Grunddaten!X952&lt;&gt;""),IF(Programme_Grunddaten!X952="Ja",1,0),"")</f>
        <v/>
      </c>
      <c r="Q947" s="1" t="str">
        <f>IF(AND(Programme_Grunddaten!$A952="Geprüft",Programme_Grunddaten!Y952&lt;&gt;""),IF(Programme_Grunddaten!Y952="Ja",1,0),"")</f>
        <v/>
      </c>
      <c r="R947" s="1" t="str">
        <f>IF(AND(Programme_Grunddaten!$A952="Geprüft",Programme_Grunddaten!Z952&lt;&gt;""),IF(Programme_Grunddaten!Z952="Ja",1,0),"")</f>
        <v/>
      </c>
      <c r="S947" s="1" t="str">
        <f>IF(AND(Programme_Grunddaten!$A952="Geprüft",Programme_Grunddaten!AA952&lt;&gt;""),IF(Programme_Grunddaten!AA952="monolithisch",1,0),"")</f>
        <v/>
      </c>
      <c r="T947" s="1" t="str">
        <f>IF(AND(Programme_Grunddaten!$A952="Geprüft",Programme_Grunddaten!AB952&lt;&gt;""),IF(Programme_Grunddaten!AB952="Ja",1,0),"")</f>
        <v/>
      </c>
      <c r="U947" s="1" t="str">
        <f>IF(AND(Programme_Grunddaten!$A952="Geprüft",Programme_Grunddaten!AC952&lt;&gt;""),IF(Programme_Grunddaten!AC952="Ja",1,0),"")</f>
        <v/>
      </c>
      <c r="V947" s="1" t="str">
        <f>IF(AND(Programme_Grunddaten!$A952="Geprüft",Programme_Grunddaten!AD952&lt;&gt;""),IF(Programme_Grunddaten!AD952="Ja",1,0),"")</f>
        <v/>
      </c>
      <c r="W947" s="1" t="str">
        <f>IF(AND(Programme_Grunddaten!$A952="Geprüft",Programme_Grunddaten!AE952&lt;&gt;""),IF(Programme_Grunddaten!AE952="Ja",1,0),"")</f>
        <v/>
      </c>
      <c r="X947" s="1" t="str">
        <f>IF(AND(Programme_Grunddaten!$A952="Geprüft",Programme_Grunddaten!AF952&lt;&gt;""),IF(Programme_Grunddaten!AF952="Ja",1,0),"")</f>
        <v/>
      </c>
      <c r="Y947" s="1" t="str">
        <f>IF(AND(Programme_Grunddaten!$A952="Geprüft",Programme_Grunddaten!AG952&lt;&gt;""),IF(Programme_Grunddaten!AG952="Ja",1,0),"")</f>
        <v/>
      </c>
      <c r="Z947" s="1" t="str">
        <f>IF(AND(Programme_Grunddaten!$A952="Geprüft",Programme_Grunddaten!AH952&lt;&gt;""),IF(Programme_Grunddaten!AH952="Ja",1,0),"")</f>
        <v/>
      </c>
      <c r="AA947" s="1" t="str">
        <f>IF(AND(Programme_Grunddaten!$A952="Geprüft",Programme_Grunddaten!AI952&lt;&gt;""),IF(Programme_Grunddaten!AI952="Ja",1,0),"")</f>
        <v/>
      </c>
      <c r="AB947" s="1" t="str">
        <f>IF(AND(Programme_Grunddaten!$A952="Geprüft",Programme_Grunddaten!AJ952&lt;&gt;""),IF(Programme_Grunddaten!AJ952="individuell programmierbar",1,0),"")</f>
        <v/>
      </c>
      <c r="AC947" s="1" t="str">
        <f>IF(AND(Programme_Grunddaten!$A952="Geprüft",Programme_Grunddaten!AK952&lt;&gt;""),IF(Programme_Grunddaten!AK952="Deutsch",0,IF(Programme_Grunddaten!AK952="Deutsch und Englisch",1,2)),"")</f>
        <v/>
      </c>
      <c r="AD947" s="1" t="str">
        <f>IF(AND(Programme_Grunddaten!$A952="Geprüft",Programme_Grunddaten!AL952&lt;&gt;""),IF(Programme_Grunddaten!AL952="Ja",1,0),"")</f>
        <v/>
      </c>
      <c r="AE947" s="1" t="str">
        <f>IF(AND(Programme_Grunddaten!$A952="Geprüft",Programme_Grunddaten!AM952&lt;&gt;""),IF(Programme_Grunddaten!AM952="Ja",1,0),"")</f>
        <v/>
      </c>
      <c r="AF947" s="1" t="str">
        <f>IF(AND(Programme_Grunddaten!$A952="Geprüft",Programme_Grunddaten!AN952&lt;&gt;""),IF(Programme_Grunddaten!AN952="Ja",1,0),"")</f>
        <v/>
      </c>
      <c r="AG947" s="1" t="str">
        <f>IF(AND(Programme_Grunddaten!$A952="Geprüft",Programme_Grunddaten!AO952&lt;&gt;""),IF(Programme_Grunddaten!AO952="Ja",1,0),"")</f>
        <v/>
      </c>
      <c r="AH947" s="1" t="str">
        <f>IF(AND(Programme_Grunddaten!$A952="Geprüft",Programme_Grunddaten!AP952&lt;&gt;""),IF(Programme_Grunddaten!AP952="Ja",1,0),"")</f>
        <v/>
      </c>
      <c r="AI947" s="1" t="str">
        <f>IF(AND(Programme_Grunddaten!$A952="Geprüft",Programme_Grunddaten!AQ952&lt;&gt;""),IF(Programme_Grunddaten!AQ952="Ja",1,0),"")</f>
        <v/>
      </c>
      <c r="AJ947" s="1" t="str">
        <f>IF(AND(Programme_Grunddaten!$A952="Geprüft",Programme_Grunddaten!AR952&lt;&gt;""),IF(Programme_Grunddaten!AR952="Ja",1,0),"")</f>
        <v/>
      </c>
      <c r="AK947" s="1" t="str">
        <f>IF(AND(Programme_Grunddaten!$A952="Geprüft",Programme_Grunddaten!AS952&lt;&gt;""),IF(Programme_Grunddaten!AS952="Ja",1,0),"")</f>
        <v/>
      </c>
      <c r="AL947" s="1" t="str">
        <f>IF(AND(Programme_Grunddaten!$A952="Geprüft",Programme_Grunddaten!AT952&lt;&gt;""),IF(Programme_Grunddaten!AT952="Ja",1,0),"")</f>
        <v/>
      </c>
      <c r="AM947" s="1" t="str">
        <f>IF(AND(Programme_Grunddaten!$A952="Geprüft",Programme_Grunddaten!AU952&lt;&gt;""),IF(Programme_Grunddaten!AU952="Ja",1,0),"")</f>
        <v/>
      </c>
      <c r="AN947" s="1" t="str">
        <f>IF(AND(Programme_Grunddaten!$A952="Geprüft",Programme_Grunddaten!AV952&lt;&gt;""),IF(Programme_Grunddaten!AV952="Ja",1,0),"")</f>
        <v/>
      </c>
    </row>
    <row r="948" spans="1:40" x14ac:dyDescent="0.3">
      <c r="A948" s="1" t="str">
        <f>IF(AND(Programme_Grunddaten!A953="Geprüft",Programme_Grunddaten!B953&lt;&gt;""),Programme_Grunddaten!B953,"")</f>
        <v/>
      </c>
      <c r="B948" s="1" t="str">
        <f>IF(AND(Programme_Grunddaten!$A953="Geprüft",Programme_Grunddaten!I953&lt;&gt;""),IF(Programme_Grunddaten!I953="Ja",1,0),"")</f>
        <v/>
      </c>
      <c r="C948" s="1" t="str">
        <f>IF(AND(Programme_Grunddaten!$A953="Geprüft",Programme_Grunddaten!J953&lt;&gt;""),IF(Programme_Grunddaten!J953="Ja",1,0),"")</f>
        <v/>
      </c>
      <c r="D948" s="1" t="str">
        <f>IF(AND(Programme_Grunddaten!$A953="Geprüft",Programme_Grunddaten!K953&lt;&gt;""),IF(Programme_Grunddaten!K953="Ja",1,0),"")</f>
        <v/>
      </c>
      <c r="E948" s="1" t="str">
        <f>IF(AND(Programme_Grunddaten!$A953="Geprüft",Programme_Grunddaten!L953&lt;&gt;""),IF(Programme_Grunddaten!L953="Abo / befristete Lizenz",1,0),"")</f>
        <v/>
      </c>
      <c r="F948" s="1" t="str">
        <f>IF(AND(Programme_Grunddaten!$A953="Geprüft",Programme_Grunddaten!M953&lt;&gt;""),IF(Programme_Grunddaten!M953="Ja",1,0),"")</f>
        <v/>
      </c>
      <c r="G948" s="1" t="str">
        <f>IF(AND(Programme_Grunddaten!$A953="Geprüft",Programme_Grunddaten!N953&lt;&gt;""),IF(Programme_Grunddaten!N953="Ja",1,0),"")</f>
        <v/>
      </c>
      <c r="H948" s="1" t="str">
        <f>IF(AND(Programme_Grunddaten!$A953="Geprüft",Programme_Grunddaten!O953&lt;&gt;""),IF(Programme_Grunddaten!O953="Deutschland",0,IF(Programme_Grunddaten!O953="EU",1,2)),"")</f>
        <v/>
      </c>
      <c r="I948" s="1" t="str">
        <f>IF(AND(Programme_Grunddaten!$A953="Geprüft",Programme_Grunddaten!P953&lt;&gt;""),IF(Programme_Grunddaten!P953="Ja",1,0),"")</f>
        <v/>
      </c>
      <c r="J948" s="1" t="str">
        <f>IF(AND(Programme_Grunddaten!$A953="Geprüft",Programme_Grunddaten!Q953&lt;&gt;""),IF(Programme_Grunddaten!Q953="geschlossenes System",1,0),"")</f>
        <v/>
      </c>
      <c r="K948" s="1" t="str">
        <f>IF(AND(Programme_Grunddaten!$A953="Geprüft",Programme_Grunddaten!R953&lt;&gt;""),IF(Programme_Grunddaten!R953="Ja",1,0),"")</f>
        <v/>
      </c>
      <c r="L948" s="1" t="str">
        <f>IF(AND(Programme_Grunddaten!$A953="Geprüft",Programme_Grunddaten!T953&lt;&gt;""),IF(Programme_Grunddaten!T953="Ja",1,0),"")</f>
        <v/>
      </c>
      <c r="M948" s="1" t="str">
        <f>IF(AND(Programme_Grunddaten!$A953="Geprüft",Programme_Grunddaten!U953&lt;&gt;""),IF(Programme_Grunddaten!U953="Ja",1,0),"")</f>
        <v/>
      </c>
      <c r="N948" s="1" t="str">
        <f>IF(AND(Programme_Grunddaten!$A953="Geprüft",Programme_Grunddaten!V953&lt;&gt;""),IF(Programme_Grunddaten!V953="Ja",1,0),"")</f>
        <v/>
      </c>
      <c r="O948" s="1" t="str">
        <f>IF(AND(Programme_Grunddaten!$A953="Geprüft",Programme_Grunddaten!W953&lt;&gt;""),IF(Programme_Grunddaten!W953="Ja",1,0),"")</f>
        <v/>
      </c>
      <c r="P948" s="1" t="str">
        <f>IF(AND(Programme_Grunddaten!$A953="Geprüft",Programme_Grunddaten!X953&lt;&gt;""),IF(Programme_Grunddaten!X953="Ja",1,0),"")</f>
        <v/>
      </c>
      <c r="Q948" s="1" t="str">
        <f>IF(AND(Programme_Grunddaten!$A953="Geprüft",Programme_Grunddaten!Y953&lt;&gt;""),IF(Programme_Grunddaten!Y953="Ja",1,0),"")</f>
        <v/>
      </c>
      <c r="R948" s="1" t="str">
        <f>IF(AND(Programme_Grunddaten!$A953="Geprüft",Programme_Grunddaten!Z953&lt;&gt;""),IF(Programme_Grunddaten!Z953="Ja",1,0),"")</f>
        <v/>
      </c>
      <c r="S948" s="1" t="str">
        <f>IF(AND(Programme_Grunddaten!$A953="Geprüft",Programme_Grunddaten!AA953&lt;&gt;""),IF(Programme_Grunddaten!AA953="monolithisch",1,0),"")</f>
        <v/>
      </c>
      <c r="T948" s="1" t="str">
        <f>IF(AND(Programme_Grunddaten!$A953="Geprüft",Programme_Grunddaten!AB953&lt;&gt;""),IF(Programme_Grunddaten!AB953="Ja",1,0),"")</f>
        <v/>
      </c>
      <c r="U948" s="1" t="str">
        <f>IF(AND(Programme_Grunddaten!$A953="Geprüft",Programme_Grunddaten!AC953&lt;&gt;""),IF(Programme_Grunddaten!AC953="Ja",1,0),"")</f>
        <v/>
      </c>
      <c r="V948" s="1" t="str">
        <f>IF(AND(Programme_Grunddaten!$A953="Geprüft",Programme_Grunddaten!AD953&lt;&gt;""),IF(Programme_Grunddaten!AD953="Ja",1,0),"")</f>
        <v/>
      </c>
      <c r="W948" s="1" t="str">
        <f>IF(AND(Programme_Grunddaten!$A953="Geprüft",Programme_Grunddaten!AE953&lt;&gt;""),IF(Programme_Grunddaten!AE953="Ja",1,0),"")</f>
        <v/>
      </c>
      <c r="X948" s="1" t="str">
        <f>IF(AND(Programme_Grunddaten!$A953="Geprüft",Programme_Grunddaten!AF953&lt;&gt;""),IF(Programme_Grunddaten!AF953="Ja",1,0),"")</f>
        <v/>
      </c>
      <c r="Y948" s="1" t="str">
        <f>IF(AND(Programme_Grunddaten!$A953="Geprüft",Programme_Grunddaten!AG953&lt;&gt;""),IF(Programme_Grunddaten!AG953="Ja",1,0),"")</f>
        <v/>
      </c>
      <c r="Z948" s="1" t="str">
        <f>IF(AND(Programme_Grunddaten!$A953="Geprüft",Programme_Grunddaten!AH953&lt;&gt;""),IF(Programme_Grunddaten!AH953="Ja",1,0),"")</f>
        <v/>
      </c>
      <c r="AA948" s="1" t="str">
        <f>IF(AND(Programme_Grunddaten!$A953="Geprüft",Programme_Grunddaten!AI953&lt;&gt;""),IF(Programme_Grunddaten!AI953="Ja",1,0),"")</f>
        <v/>
      </c>
      <c r="AB948" s="1" t="str">
        <f>IF(AND(Programme_Grunddaten!$A953="Geprüft",Programme_Grunddaten!AJ953&lt;&gt;""),IF(Programme_Grunddaten!AJ953="individuell programmierbar",1,0),"")</f>
        <v/>
      </c>
      <c r="AC948" s="1" t="str">
        <f>IF(AND(Programme_Grunddaten!$A953="Geprüft",Programme_Grunddaten!AK953&lt;&gt;""),IF(Programme_Grunddaten!AK953="Deutsch",0,IF(Programme_Grunddaten!AK953="Deutsch und Englisch",1,2)),"")</f>
        <v/>
      </c>
      <c r="AD948" s="1" t="str">
        <f>IF(AND(Programme_Grunddaten!$A953="Geprüft",Programme_Grunddaten!AL953&lt;&gt;""),IF(Programme_Grunddaten!AL953="Ja",1,0),"")</f>
        <v/>
      </c>
      <c r="AE948" s="1" t="str">
        <f>IF(AND(Programme_Grunddaten!$A953="Geprüft",Programme_Grunddaten!AM953&lt;&gt;""),IF(Programme_Grunddaten!AM953="Ja",1,0),"")</f>
        <v/>
      </c>
      <c r="AF948" s="1" t="str">
        <f>IF(AND(Programme_Grunddaten!$A953="Geprüft",Programme_Grunddaten!AN953&lt;&gt;""),IF(Programme_Grunddaten!AN953="Ja",1,0),"")</f>
        <v/>
      </c>
      <c r="AG948" s="1" t="str">
        <f>IF(AND(Programme_Grunddaten!$A953="Geprüft",Programme_Grunddaten!AO953&lt;&gt;""),IF(Programme_Grunddaten!AO953="Ja",1,0),"")</f>
        <v/>
      </c>
      <c r="AH948" s="1" t="str">
        <f>IF(AND(Programme_Grunddaten!$A953="Geprüft",Programme_Grunddaten!AP953&lt;&gt;""),IF(Programme_Grunddaten!AP953="Ja",1,0),"")</f>
        <v/>
      </c>
      <c r="AI948" s="1" t="str">
        <f>IF(AND(Programme_Grunddaten!$A953="Geprüft",Programme_Grunddaten!AQ953&lt;&gt;""),IF(Programme_Grunddaten!AQ953="Ja",1,0),"")</f>
        <v/>
      </c>
      <c r="AJ948" s="1" t="str">
        <f>IF(AND(Programme_Grunddaten!$A953="Geprüft",Programme_Grunddaten!AR953&lt;&gt;""),IF(Programme_Grunddaten!AR953="Ja",1,0),"")</f>
        <v/>
      </c>
      <c r="AK948" s="1" t="str">
        <f>IF(AND(Programme_Grunddaten!$A953="Geprüft",Programme_Grunddaten!AS953&lt;&gt;""),IF(Programme_Grunddaten!AS953="Ja",1,0),"")</f>
        <v/>
      </c>
      <c r="AL948" s="1" t="str">
        <f>IF(AND(Programme_Grunddaten!$A953="Geprüft",Programme_Grunddaten!AT953&lt;&gt;""),IF(Programme_Grunddaten!AT953="Ja",1,0),"")</f>
        <v/>
      </c>
      <c r="AM948" s="1" t="str">
        <f>IF(AND(Programme_Grunddaten!$A953="Geprüft",Programme_Grunddaten!AU953&lt;&gt;""),IF(Programme_Grunddaten!AU953="Ja",1,0),"")</f>
        <v/>
      </c>
      <c r="AN948" s="1" t="str">
        <f>IF(AND(Programme_Grunddaten!$A953="Geprüft",Programme_Grunddaten!AV953&lt;&gt;""),IF(Programme_Grunddaten!AV953="Ja",1,0),"")</f>
        <v/>
      </c>
    </row>
    <row r="949" spans="1:40" x14ac:dyDescent="0.3">
      <c r="A949" s="1" t="str">
        <f>IF(AND(Programme_Grunddaten!A954="Geprüft",Programme_Grunddaten!B954&lt;&gt;""),Programme_Grunddaten!B954,"")</f>
        <v/>
      </c>
      <c r="B949" s="1" t="str">
        <f>IF(AND(Programme_Grunddaten!$A954="Geprüft",Programme_Grunddaten!I954&lt;&gt;""),IF(Programme_Grunddaten!I954="Ja",1,0),"")</f>
        <v/>
      </c>
      <c r="C949" s="1" t="str">
        <f>IF(AND(Programme_Grunddaten!$A954="Geprüft",Programme_Grunddaten!J954&lt;&gt;""),IF(Programme_Grunddaten!J954="Ja",1,0),"")</f>
        <v/>
      </c>
      <c r="D949" s="1" t="str">
        <f>IF(AND(Programme_Grunddaten!$A954="Geprüft",Programme_Grunddaten!K954&lt;&gt;""),IF(Programme_Grunddaten!K954="Ja",1,0),"")</f>
        <v/>
      </c>
      <c r="E949" s="1" t="str">
        <f>IF(AND(Programme_Grunddaten!$A954="Geprüft",Programme_Grunddaten!L954&lt;&gt;""),IF(Programme_Grunddaten!L954="Abo / befristete Lizenz",1,0),"")</f>
        <v/>
      </c>
      <c r="F949" s="1" t="str">
        <f>IF(AND(Programme_Grunddaten!$A954="Geprüft",Programme_Grunddaten!M954&lt;&gt;""),IF(Programme_Grunddaten!M954="Ja",1,0),"")</f>
        <v/>
      </c>
      <c r="G949" s="1" t="str">
        <f>IF(AND(Programme_Grunddaten!$A954="Geprüft",Programme_Grunddaten!N954&lt;&gt;""),IF(Programme_Grunddaten!N954="Ja",1,0),"")</f>
        <v/>
      </c>
      <c r="H949" s="1" t="str">
        <f>IF(AND(Programme_Grunddaten!$A954="Geprüft",Programme_Grunddaten!O954&lt;&gt;""),IF(Programme_Grunddaten!O954="Deutschland",0,IF(Programme_Grunddaten!O954="EU",1,2)),"")</f>
        <v/>
      </c>
      <c r="I949" s="1" t="str">
        <f>IF(AND(Programme_Grunddaten!$A954="Geprüft",Programme_Grunddaten!P954&lt;&gt;""),IF(Programme_Grunddaten!P954="Ja",1,0),"")</f>
        <v/>
      </c>
      <c r="J949" s="1" t="str">
        <f>IF(AND(Programme_Grunddaten!$A954="Geprüft",Programme_Grunddaten!Q954&lt;&gt;""),IF(Programme_Grunddaten!Q954="geschlossenes System",1,0),"")</f>
        <v/>
      </c>
      <c r="K949" s="1" t="str">
        <f>IF(AND(Programme_Grunddaten!$A954="Geprüft",Programme_Grunddaten!R954&lt;&gt;""),IF(Programme_Grunddaten!R954="Ja",1,0),"")</f>
        <v/>
      </c>
      <c r="L949" s="1" t="str">
        <f>IF(AND(Programme_Grunddaten!$A954="Geprüft",Programme_Grunddaten!T954&lt;&gt;""),IF(Programme_Grunddaten!T954="Ja",1,0),"")</f>
        <v/>
      </c>
      <c r="M949" s="1" t="str">
        <f>IF(AND(Programme_Grunddaten!$A954="Geprüft",Programme_Grunddaten!U954&lt;&gt;""),IF(Programme_Grunddaten!U954="Ja",1,0),"")</f>
        <v/>
      </c>
      <c r="N949" s="1" t="str">
        <f>IF(AND(Programme_Grunddaten!$A954="Geprüft",Programme_Grunddaten!V954&lt;&gt;""),IF(Programme_Grunddaten!V954="Ja",1,0),"")</f>
        <v/>
      </c>
      <c r="O949" s="1" t="str">
        <f>IF(AND(Programme_Grunddaten!$A954="Geprüft",Programme_Grunddaten!W954&lt;&gt;""),IF(Programme_Grunddaten!W954="Ja",1,0),"")</f>
        <v/>
      </c>
      <c r="P949" s="1" t="str">
        <f>IF(AND(Programme_Grunddaten!$A954="Geprüft",Programme_Grunddaten!X954&lt;&gt;""),IF(Programme_Grunddaten!X954="Ja",1,0),"")</f>
        <v/>
      </c>
      <c r="Q949" s="1" t="str">
        <f>IF(AND(Programme_Grunddaten!$A954="Geprüft",Programme_Grunddaten!Y954&lt;&gt;""),IF(Programme_Grunddaten!Y954="Ja",1,0),"")</f>
        <v/>
      </c>
      <c r="R949" s="1" t="str">
        <f>IF(AND(Programme_Grunddaten!$A954="Geprüft",Programme_Grunddaten!Z954&lt;&gt;""),IF(Programme_Grunddaten!Z954="Ja",1,0),"")</f>
        <v/>
      </c>
      <c r="S949" s="1" t="str">
        <f>IF(AND(Programme_Grunddaten!$A954="Geprüft",Programme_Grunddaten!AA954&lt;&gt;""),IF(Programme_Grunddaten!AA954="monolithisch",1,0),"")</f>
        <v/>
      </c>
      <c r="T949" s="1" t="str">
        <f>IF(AND(Programme_Grunddaten!$A954="Geprüft",Programme_Grunddaten!AB954&lt;&gt;""),IF(Programme_Grunddaten!AB954="Ja",1,0),"")</f>
        <v/>
      </c>
      <c r="U949" s="1" t="str">
        <f>IF(AND(Programme_Grunddaten!$A954="Geprüft",Programme_Grunddaten!AC954&lt;&gt;""),IF(Programme_Grunddaten!AC954="Ja",1,0),"")</f>
        <v/>
      </c>
      <c r="V949" s="1" t="str">
        <f>IF(AND(Programme_Grunddaten!$A954="Geprüft",Programme_Grunddaten!AD954&lt;&gt;""),IF(Programme_Grunddaten!AD954="Ja",1,0),"")</f>
        <v/>
      </c>
      <c r="W949" s="1" t="str">
        <f>IF(AND(Programme_Grunddaten!$A954="Geprüft",Programme_Grunddaten!AE954&lt;&gt;""),IF(Programme_Grunddaten!AE954="Ja",1,0),"")</f>
        <v/>
      </c>
      <c r="X949" s="1" t="str">
        <f>IF(AND(Programme_Grunddaten!$A954="Geprüft",Programme_Grunddaten!AF954&lt;&gt;""),IF(Programme_Grunddaten!AF954="Ja",1,0),"")</f>
        <v/>
      </c>
      <c r="Y949" s="1" t="str">
        <f>IF(AND(Programme_Grunddaten!$A954="Geprüft",Programme_Grunddaten!AG954&lt;&gt;""),IF(Programme_Grunddaten!AG954="Ja",1,0),"")</f>
        <v/>
      </c>
      <c r="Z949" s="1" t="str">
        <f>IF(AND(Programme_Grunddaten!$A954="Geprüft",Programme_Grunddaten!AH954&lt;&gt;""),IF(Programme_Grunddaten!AH954="Ja",1,0),"")</f>
        <v/>
      </c>
      <c r="AA949" s="1" t="str">
        <f>IF(AND(Programme_Grunddaten!$A954="Geprüft",Programme_Grunddaten!AI954&lt;&gt;""),IF(Programme_Grunddaten!AI954="Ja",1,0),"")</f>
        <v/>
      </c>
      <c r="AB949" s="1" t="str">
        <f>IF(AND(Programme_Grunddaten!$A954="Geprüft",Programme_Grunddaten!AJ954&lt;&gt;""),IF(Programme_Grunddaten!AJ954="individuell programmierbar",1,0),"")</f>
        <v/>
      </c>
      <c r="AC949" s="1" t="str">
        <f>IF(AND(Programme_Grunddaten!$A954="Geprüft",Programme_Grunddaten!AK954&lt;&gt;""),IF(Programme_Grunddaten!AK954="Deutsch",0,IF(Programme_Grunddaten!AK954="Deutsch und Englisch",1,2)),"")</f>
        <v/>
      </c>
      <c r="AD949" s="1" t="str">
        <f>IF(AND(Programme_Grunddaten!$A954="Geprüft",Programme_Grunddaten!AL954&lt;&gt;""),IF(Programme_Grunddaten!AL954="Ja",1,0),"")</f>
        <v/>
      </c>
      <c r="AE949" s="1" t="str">
        <f>IF(AND(Programme_Grunddaten!$A954="Geprüft",Programme_Grunddaten!AM954&lt;&gt;""),IF(Programme_Grunddaten!AM954="Ja",1,0),"")</f>
        <v/>
      </c>
      <c r="AF949" s="1" t="str">
        <f>IF(AND(Programme_Grunddaten!$A954="Geprüft",Programme_Grunddaten!AN954&lt;&gt;""),IF(Programme_Grunddaten!AN954="Ja",1,0),"")</f>
        <v/>
      </c>
      <c r="AG949" s="1" t="str">
        <f>IF(AND(Programme_Grunddaten!$A954="Geprüft",Programme_Grunddaten!AO954&lt;&gt;""),IF(Programme_Grunddaten!AO954="Ja",1,0),"")</f>
        <v/>
      </c>
      <c r="AH949" s="1" t="str">
        <f>IF(AND(Programme_Grunddaten!$A954="Geprüft",Programme_Grunddaten!AP954&lt;&gt;""),IF(Programme_Grunddaten!AP954="Ja",1,0),"")</f>
        <v/>
      </c>
      <c r="AI949" s="1" t="str">
        <f>IF(AND(Programme_Grunddaten!$A954="Geprüft",Programme_Grunddaten!AQ954&lt;&gt;""),IF(Programme_Grunddaten!AQ954="Ja",1,0),"")</f>
        <v/>
      </c>
      <c r="AJ949" s="1" t="str">
        <f>IF(AND(Programme_Grunddaten!$A954="Geprüft",Programme_Grunddaten!AR954&lt;&gt;""),IF(Programme_Grunddaten!AR954="Ja",1,0),"")</f>
        <v/>
      </c>
      <c r="AK949" s="1" t="str">
        <f>IF(AND(Programme_Grunddaten!$A954="Geprüft",Programme_Grunddaten!AS954&lt;&gt;""),IF(Programme_Grunddaten!AS954="Ja",1,0),"")</f>
        <v/>
      </c>
      <c r="AL949" s="1" t="str">
        <f>IF(AND(Programme_Grunddaten!$A954="Geprüft",Programme_Grunddaten!AT954&lt;&gt;""),IF(Programme_Grunddaten!AT954="Ja",1,0),"")</f>
        <v/>
      </c>
      <c r="AM949" s="1" t="str">
        <f>IF(AND(Programme_Grunddaten!$A954="Geprüft",Programme_Grunddaten!AU954&lt;&gt;""),IF(Programme_Grunddaten!AU954="Ja",1,0),"")</f>
        <v/>
      </c>
      <c r="AN949" s="1" t="str">
        <f>IF(AND(Programme_Grunddaten!$A954="Geprüft",Programme_Grunddaten!AV954&lt;&gt;""),IF(Programme_Grunddaten!AV954="Ja",1,0),"")</f>
        <v/>
      </c>
    </row>
    <row r="950" spans="1:40" x14ac:dyDescent="0.3">
      <c r="A950" s="1" t="str">
        <f>IF(AND(Programme_Grunddaten!A955="Geprüft",Programme_Grunddaten!B955&lt;&gt;""),Programme_Grunddaten!B955,"")</f>
        <v/>
      </c>
      <c r="B950" s="1" t="str">
        <f>IF(AND(Programme_Grunddaten!$A955="Geprüft",Programme_Grunddaten!I955&lt;&gt;""),IF(Programme_Grunddaten!I955="Ja",1,0),"")</f>
        <v/>
      </c>
      <c r="C950" s="1" t="str">
        <f>IF(AND(Programme_Grunddaten!$A955="Geprüft",Programme_Grunddaten!J955&lt;&gt;""),IF(Programme_Grunddaten!J955="Ja",1,0),"")</f>
        <v/>
      </c>
      <c r="D950" s="1" t="str">
        <f>IF(AND(Programme_Grunddaten!$A955="Geprüft",Programme_Grunddaten!K955&lt;&gt;""),IF(Programme_Grunddaten!K955="Ja",1,0),"")</f>
        <v/>
      </c>
      <c r="E950" s="1" t="str">
        <f>IF(AND(Programme_Grunddaten!$A955="Geprüft",Programme_Grunddaten!L955&lt;&gt;""),IF(Programme_Grunddaten!L955="Abo / befristete Lizenz",1,0),"")</f>
        <v/>
      </c>
      <c r="F950" s="1" t="str">
        <f>IF(AND(Programme_Grunddaten!$A955="Geprüft",Programme_Grunddaten!M955&lt;&gt;""),IF(Programme_Grunddaten!M955="Ja",1,0),"")</f>
        <v/>
      </c>
      <c r="G950" s="1" t="str">
        <f>IF(AND(Programme_Grunddaten!$A955="Geprüft",Programme_Grunddaten!N955&lt;&gt;""),IF(Programme_Grunddaten!N955="Ja",1,0),"")</f>
        <v/>
      </c>
      <c r="H950" s="1" t="str">
        <f>IF(AND(Programme_Grunddaten!$A955="Geprüft",Programme_Grunddaten!O955&lt;&gt;""),IF(Programme_Grunddaten!O955="Deutschland",0,IF(Programme_Grunddaten!O955="EU",1,2)),"")</f>
        <v/>
      </c>
      <c r="I950" s="1" t="str">
        <f>IF(AND(Programme_Grunddaten!$A955="Geprüft",Programme_Grunddaten!P955&lt;&gt;""),IF(Programme_Grunddaten!P955="Ja",1,0),"")</f>
        <v/>
      </c>
      <c r="J950" s="1" t="str">
        <f>IF(AND(Programme_Grunddaten!$A955="Geprüft",Programme_Grunddaten!Q955&lt;&gt;""),IF(Programme_Grunddaten!Q955="geschlossenes System",1,0),"")</f>
        <v/>
      </c>
      <c r="K950" s="1" t="str">
        <f>IF(AND(Programme_Grunddaten!$A955="Geprüft",Programme_Grunddaten!R955&lt;&gt;""),IF(Programme_Grunddaten!R955="Ja",1,0),"")</f>
        <v/>
      </c>
      <c r="L950" s="1" t="str">
        <f>IF(AND(Programme_Grunddaten!$A955="Geprüft",Programme_Grunddaten!T955&lt;&gt;""),IF(Programme_Grunddaten!T955="Ja",1,0),"")</f>
        <v/>
      </c>
      <c r="M950" s="1" t="str">
        <f>IF(AND(Programme_Grunddaten!$A955="Geprüft",Programme_Grunddaten!U955&lt;&gt;""),IF(Programme_Grunddaten!U955="Ja",1,0),"")</f>
        <v/>
      </c>
      <c r="N950" s="1" t="str">
        <f>IF(AND(Programme_Grunddaten!$A955="Geprüft",Programme_Grunddaten!V955&lt;&gt;""),IF(Programme_Grunddaten!V955="Ja",1,0),"")</f>
        <v/>
      </c>
      <c r="O950" s="1" t="str">
        <f>IF(AND(Programme_Grunddaten!$A955="Geprüft",Programme_Grunddaten!W955&lt;&gt;""),IF(Programme_Grunddaten!W955="Ja",1,0),"")</f>
        <v/>
      </c>
      <c r="P950" s="1" t="str">
        <f>IF(AND(Programme_Grunddaten!$A955="Geprüft",Programme_Grunddaten!X955&lt;&gt;""),IF(Programme_Grunddaten!X955="Ja",1,0),"")</f>
        <v/>
      </c>
      <c r="Q950" s="1" t="str">
        <f>IF(AND(Programme_Grunddaten!$A955="Geprüft",Programme_Grunddaten!Y955&lt;&gt;""),IF(Programme_Grunddaten!Y955="Ja",1,0),"")</f>
        <v/>
      </c>
      <c r="R950" s="1" t="str">
        <f>IF(AND(Programme_Grunddaten!$A955="Geprüft",Programme_Grunddaten!Z955&lt;&gt;""),IF(Programme_Grunddaten!Z955="Ja",1,0),"")</f>
        <v/>
      </c>
      <c r="S950" s="1" t="str">
        <f>IF(AND(Programme_Grunddaten!$A955="Geprüft",Programme_Grunddaten!AA955&lt;&gt;""),IF(Programme_Grunddaten!AA955="monolithisch",1,0),"")</f>
        <v/>
      </c>
      <c r="T950" s="1" t="str">
        <f>IF(AND(Programme_Grunddaten!$A955="Geprüft",Programme_Grunddaten!AB955&lt;&gt;""),IF(Programme_Grunddaten!AB955="Ja",1,0),"")</f>
        <v/>
      </c>
      <c r="U950" s="1" t="str">
        <f>IF(AND(Programme_Grunddaten!$A955="Geprüft",Programme_Grunddaten!AC955&lt;&gt;""),IF(Programme_Grunddaten!AC955="Ja",1,0),"")</f>
        <v/>
      </c>
      <c r="V950" s="1" t="str">
        <f>IF(AND(Programme_Grunddaten!$A955="Geprüft",Programme_Grunddaten!AD955&lt;&gt;""),IF(Programme_Grunddaten!AD955="Ja",1,0),"")</f>
        <v/>
      </c>
      <c r="W950" s="1" t="str">
        <f>IF(AND(Programme_Grunddaten!$A955="Geprüft",Programme_Grunddaten!AE955&lt;&gt;""),IF(Programme_Grunddaten!AE955="Ja",1,0),"")</f>
        <v/>
      </c>
      <c r="X950" s="1" t="str">
        <f>IF(AND(Programme_Grunddaten!$A955="Geprüft",Programme_Grunddaten!AF955&lt;&gt;""),IF(Programme_Grunddaten!AF955="Ja",1,0),"")</f>
        <v/>
      </c>
      <c r="Y950" s="1" t="str">
        <f>IF(AND(Programme_Grunddaten!$A955="Geprüft",Programme_Grunddaten!AG955&lt;&gt;""),IF(Programme_Grunddaten!AG955="Ja",1,0),"")</f>
        <v/>
      </c>
      <c r="Z950" s="1" t="str">
        <f>IF(AND(Programme_Grunddaten!$A955="Geprüft",Programme_Grunddaten!AH955&lt;&gt;""),IF(Programme_Grunddaten!AH955="Ja",1,0),"")</f>
        <v/>
      </c>
      <c r="AA950" s="1" t="str">
        <f>IF(AND(Programme_Grunddaten!$A955="Geprüft",Programme_Grunddaten!AI955&lt;&gt;""),IF(Programme_Grunddaten!AI955="Ja",1,0),"")</f>
        <v/>
      </c>
      <c r="AB950" s="1" t="str">
        <f>IF(AND(Programme_Grunddaten!$A955="Geprüft",Programme_Grunddaten!AJ955&lt;&gt;""),IF(Programme_Grunddaten!AJ955="individuell programmierbar",1,0),"")</f>
        <v/>
      </c>
      <c r="AC950" s="1" t="str">
        <f>IF(AND(Programme_Grunddaten!$A955="Geprüft",Programme_Grunddaten!AK955&lt;&gt;""),IF(Programme_Grunddaten!AK955="Deutsch",0,IF(Programme_Grunddaten!AK955="Deutsch und Englisch",1,2)),"")</f>
        <v/>
      </c>
      <c r="AD950" s="1" t="str">
        <f>IF(AND(Programme_Grunddaten!$A955="Geprüft",Programme_Grunddaten!AL955&lt;&gt;""),IF(Programme_Grunddaten!AL955="Ja",1,0),"")</f>
        <v/>
      </c>
      <c r="AE950" s="1" t="str">
        <f>IF(AND(Programme_Grunddaten!$A955="Geprüft",Programme_Grunddaten!AM955&lt;&gt;""),IF(Programme_Grunddaten!AM955="Ja",1,0),"")</f>
        <v/>
      </c>
      <c r="AF950" s="1" t="str">
        <f>IF(AND(Programme_Grunddaten!$A955="Geprüft",Programme_Grunddaten!AN955&lt;&gt;""),IF(Programme_Grunddaten!AN955="Ja",1,0),"")</f>
        <v/>
      </c>
      <c r="AG950" s="1" t="str">
        <f>IF(AND(Programme_Grunddaten!$A955="Geprüft",Programme_Grunddaten!AO955&lt;&gt;""),IF(Programme_Grunddaten!AO955="Ja",1,0),"")</f>
        <v/>
      </c>
      <c r="AH950" s="1" t="str">
        <f>IF(AND(Programme_Grunddaten!$A955="Geprüft",Programme_Grunddaten!AP955&lt;&gt;""),IF(Programme_Grunddaten!AP955="Ja",1,0),"")</f>
        <v/>
      </c>
      <c r="AI950" s="1" t="str">
        <f>IF(AND(Programme_Grunddaten!$A955="Geprüft",Programme_Grunddaten!AQ955&lt;&gt;""),IF(Programme_Grunddaten!AQ955="Ja",1,0),"")</f>
        <v/>
      </c>
      <c r="AJ950" s="1" t="str">
        <f>IF(AND(Programme_Grunddaten!$A955="Geprüft",Programme_Grunddaten!AR955&lt;&gt;""),IF(Programme_Grunddaten!AR955="Ja",1,0),"")</f>
        <v/>
      </c>
      <c r="AK950" s="1" t="str">
        <f>IF(AND(Programme_Grunddaten!$A955="Geprüft",Programme_Grunddaten!AS955&lt;&gt;""),IF(Programme_Grunddaten!AS955="Ja",1,0),"")</f>
        <v/>
      </c>
      <c r="AL950" s="1" t="str">
        <f>IF(AND(Programme_Grunddaten!$A955="Geprüft",Programme_Grunddaten!AT955&lt;&gt;""),IF(Programme_Grunddaten!AT955="Ja",1,0),"")</f>
        <v/>
      </c>
      <c r="AM950" s="1" t="str">
        <f>IF(AND(Programme_Grunddaten!$A955="Geprüft",Programme_Grunddaten!AU955&lt;&gt;""),IF(Programme_Grunddaten!AU955="Ja",1,0),"")</f>
        <v/>
      </c>
      <c r="AN950" s="1" t="str">
        <f>IF(AND(Programme_Grunddaten!$A955="Geprüft",Programme_Grunddaten!AV955&lt;&gt;""),IF(Programme_Grunddaten!AV955="Ja",1,0),"")</f>
        <v/>
      </c>
    </row>
    <row r="951" spans="1:40" x14ac:dyDescent="0.3">
      <c r="A951" s="1" t="str">
        <f>IF(AND(Programme_Grunddaten!A956="Geprüft",Programme_Grunddaten!B956&lt;&gt;""),Programme_Grunddaten!B956,"")</f>
        <v/>
      </c>
      <c r="B951" s="1" t="str">
        <f>IF(AND(Programme_Grunddaten!$A956="Geprüft",Programme_Grunddaten!I956&lt;&gt;""),IF(Programme_Grunddaten!I956="Ja",1,0),"")</f>
        <v/>
      </c>
      <c r="C951" s="1" t="str">
        <f>IF(AND(Programme_Grunddaten!$A956="Geprüft",Programme_Grunddaten!J956&lt;&gt;""),IF(Programme_Grunddaten!J956="Ja",1,0),"")</f>
        <v/>
      </c>
      <c r="D951" s="1" t="str">
        <f>IF(AND(Programme_Grunddaten!$A956="Geprüft",Programme_Grunddaten!K956&lt;&gt;""),IF(Programme_Grunddaten!K956="Ja",1,0),"")</f>
        <v/>
      </c>
      <c r="E951" s="1" t="str">
        <f>IF(AND(Programme_Grunddaten!$A956="Geprüft",Programme_Grunddaten!L956&lt;&gt;""),IF(Programme_Grunddaten!L956="Abo / befristete Lizenz",1,0),"")</f>
        <v/>
      </c>
      <c r="F951" s="1" t="str">
        <f>IF(AND(Programme_Grunddaten!$A956="Geprüft",Programme_Grunddaten!M956&lt;&gt;""),IF(Programme_Grunddaten!M956="Ja",1,0),"")</f>
        <v/>
      </c>
      <c r="G951" s="1" t="str">
        <f>IF(AND(Programme_Grunddaten!$A956="Geprüft",Programme_Grunddaten!N956&lt;&gt;""),IF(Programme_Grunddaten!N956="Ja",1,0),"")</f>
        <v/>
      </c>
      <c r="H951" s="1" t="str">
        <f>IF(AND(Programme_Grunddaten!$A956="Geprüft",Programme_Grunddaten!O956&lt;&gt;""),IF(Programme_Grunddaten!O956="Deutschland",0,IF(Programme_Grunddaten!O956="EU",1,2)),"")</f>
        <v/>
      </c>
      <c r="I951" s="1" t="str">
        <f>IF(AND(Programme_Grunddaten!$A956="Geprüft",Programme_Grunddaten!P956&lt;&gt;""),IF(Programme_Grunddaten!P956="Ja",1,0),"")</f>
        <v/>
      </c>
      <c r="J951" s="1" t="str">
        <f>IF(AND(Programme_Grunddaten!$A956="Geprüft",Programme_Grunddaten!Q956&lt;&gt;""),IF(Programme_Grunddaten!Q956="geschlossenes System",1,0),"")</f>
        <v/>
      </c>
      <c r="K951" s="1" t="str">
        <f>IF(AND(Programme_Grunddaten!$A956="Geprüft",Programme_Grunddaten!R956&lt;&gt;""),IF(Programme_Grunddaten!R956="Ja",1,0),"")</f>
        <v/>
      </c>
      <c r="L951" s="1" t="str">
        <f>IF(AND(Programme_Grunddaten!$A956="Geprüft",Programme_Grunddaten!T956&lt;&gt;""),IF(Programme_Grunddaten!T956="Ja",1,0),"")</f>
        <v/>
      </c>
      <c r="M951" s="1" t="str">
        <f>IF(AND(Programme_Grunddaten!$A956="Geprüft",Programme_Grunddaten!U956&lt;&gt;""),IF(Programme_Grunddaten!U956="Ja",1,0),"")</f>
        <v/>
      </c>
      <c r="N951" s="1" t="str">
        <f>IF(AND(Programme_Grunddaten!$A956="Geprüft",Programme_Grunddaten!V956&lt;&gt;""),IF(Programme_Grunddaten!V956="Ja",1,0),"")</f>
        <v/>
      </c>
      <c r="O951" s="1" t="str">
        <f>IF(AND(Programme_Grunddaten!$A956="Geprüft",Programme_Grunddaten!W956&lt;&gt;""),IF(Programme_Grunddaten!W956="Ja",1,0),"")</f>
        <v/>
      </c>
      <c r="P951" s="1" t="str">
        <f>IF(AND(Programme_Grunddaten!$A956="Geprüft",Programme_Grunddaten!X956&lt;&gt;""),IF(Programme_Grunddaten!X956="Ja",1,0),"")</f>
        <v/>
      </c>
      <c r="Q951" s="1" t="str">
        <f>IF(AND(Programme_Grunddaten!$A956="Geprüft",Programme_Grunddaten!Y956&lt;&gt;""),IF(Programme_Grunddaten!Y956="Ja",1,0),"")</f>
        <v/>
      </c>
      <c r="R951" s="1" t="str">
        <f>IF(AND(Programme_Grunddaten!$A956="Geprüft",Programme_Grunddaten!Z956&lt;&gt;""),IF(Programme_Grunddaten!Z956="Ja",1,0),"")</f>
        <v/>
      </c>
      <c r="S951" s="1" t="str">
        <f>IF(AND(Programme_Grunddaten!$A956="Geprüft",Programme_Grunddaten!AA956&lt;&gt;""),IF(Programme_Grunddaten!AA956="monolithisch",1,0),"")</f>
        <v/>
      </c>
      <c r="T951" s="1" t="str">
        <f>IF(AND(Programme_Grunddaten!$A956="Geprüft",Programme_Grunddaten!AB956&lt;&gt;""),IF(Programme_Grunddaten!AB956="Ja",1,0),"")</f>
        <v/>
      </c>
      <c r="U951" s="1" t="str">
        <f>IF(AND(Programme_Grunddaten!$A956="Geprüft",Programme_Grunddaten!AC956&lt;&gt;""),IF(Programme_Grunddaten!AC956="Ja",1,0),"")</f>
        <v/>
      </c>
      <c r="V951" s="1" t="str">
        <f>IF(AND(Programme_Grunddaten!$A956="Geprüft",Programme_Grunddaten!AD956&lt;&gt;""),IF(Programme_Grunddaten!AD956="Ja",1,0),"")</f>
        <v/>
      </c>
      <c r="W951" s="1" t="str">
        <f>IF(AND(Programme_Grunddaten!$A956="Geprüft",Programme_Grunddaten!AE956&lt;&gt;""),IF(Programme_Grunddaten!AE956="Ja",1,0),"")</f>
        <v/>
      </c>
      <c r="X951" s="1" t="str">
        <f>IF(AND(Programme_Grunddaten!$A956="Geprüft",Programme_Grunddaten!AF956&lt;&gt;""),IF(Programme_Grunddaten!AF956="Ja",1,0),"")</f>
        <v/>
      </c>
      <c r="Y951" s="1" t="str">
        <f>IF(AND(Programme_Grunddaten!$A956="Geprüft",Programme_Grunddaten!AG956&lt;&gt;""),IF(Programme_Grunddaten!AG956="Ja",1,0),"")</f>
        <v/>
      </c>
      <c r="Z951" s="1" t="str">
        <f>IF(AND(Programme_Grunddaten!$A956="Geprüft",Programme_Grunddaten!AH956&lt;&gt;""),IF(Programme_Grunddaten!AH956="Ja",1,0),"")</f>
        <v/>
      </c>
      <c r="AA951" s="1" t="str">
        <f>IF(AND(Programme_Grunddaten!$A956="Geprüft",Programme_Grunddaten!AI956&lt;&gt;""),IF(Programme_Grunddaten!AI956="Ja",1,0),"")</f>
        <v/>
      </c>
      <c r="AB951" s="1" t="str">
        <f>IF(AND(Programme_Grunddaten!$A956="Geprüft",Programme_Grunddaten!AJ956&lt;&gt;""),IF(Programme_Grunddaten!AJ956="individuell programmierbar",1,0),"")</f>
        <v/>
      </c>
      <c r="AC951" s="1" t="str">
        <f>IF(AND(Programme_Grunddaten!$A956="Geprüft",Programme_Grunddaten!AK956&lt;&gt;""),IF(Programme_Grunddaten!AK956="Deutsch",0,IF(Programme_Grunddaten!AK956="Deutsch und Englisch",1,2)),"")</f>
        <v/>
      </c>
      <c r="AD951" s="1" t="str">
        <f>IF(AND(Programme_Grunddaten!$A956="Geprüft",Programme_Grunddaten!AL956&lt;&gt;""),IF(Programme_Grunddaten!AL956="Ja",1,0),"")</f>
        <v/>
      </c>
      <c r="AE951" s="1" t="str">
        <f>IF(AND(Programme_Grunddaten!$A956="Geprüft",Programme_Grunddaten!AM956&lt;&gt;""),IF(Programme_Grunddaten!AM956="Ja",1,0),"")</f>
        <v/>
      </c>
      <c r="AF951" s="1" t="str">
        <f>IF(AND(Programme_Grunddaten!$A956="Geprüft",Programme_Grunddaten!AN956&lt;&gt;""),IF(Programme_Grunddaten!AN956="Ja",1,0),"")</f>
        <v/>
      </c>
      <c r="AG951" s="1" t="str">
        <f>IF(AND(Programme_Grunddaten!$A956="Geprüft",Programme_Grunddaten!AO956&lt;&gt;""),IF(Programme_Grunddaten!AO956="Ja",1,0),"")</f>
        <v/>
      </c>
      <c r="AH951" s="1" t="str">
        <f>IF(AND(Programme_Grunddaten!$A956="Geprüft",Programme_Grunddaten!AP956&lt;&gt;""),IF(Programme_Grunddaten!AP956="Ja",1,0),"")</f>
        <v/>
      </c>
      <c r="AI951" s="1" t="str">
        <f>IF(AND(Programme_Grunddaten!$A956="Geprüft",Programme_Grunddaten!AQ956&lt;&gt;""),IF(Programme_Grunddaten!AQ956="Ja",1,0),"")</f>
        <v/>
      </c>
      <c r="AJ951" s="1" t="str">
        <f>IF(AND(Programme_Grunddaten!$A956="Geprüft",Programme_Grunddaten!AR956&lt;&gt;""),IF(Programme_Grunddaten!AR956="Ja",1,0),"")</f>
        <v/>
      </c>
      <c r="AK951" s="1" t="str">
        <f>IF(AND(Programme_Grunddaten!$A956="Geprüft",Programme_Grunddaten!AS956&lt;&gt;""),IF(Programme_Grunddaten!AS956="Ja",1,0),"")</f>
        <v/>
      </c>
      <c r="AL951" s="1" t="str">
        <f>IF(AND(Programme_Grunddaten!$A956="Geprüft",Programme_Grunddaten!AT956&lt;&gt;""),IF(Programme_Grunddaten!AT956="Ja",1,0),"")</f>
        <v/>
      </c>
      <c r="AM951" s="1" t="str">
        <f>IF(AND(Programme_Grunddaten!$A956="Geprüft",Programme_Grunddaten!AU956&lt;&gt;""),IF(Programme_Grunddaten!AU956="Ja",1,0),"")</f>
        <v/>
      </c>
      <c r="AN951" s="1" t="str">
        <f>IF(AND(Programme_Grunddaten!$A956="Geprüft",Programme_Grunddaten!AV956&lt;&gt;""),IF(Programme_Grunddaten!AV956="Ja",1,0),"")</f>
        <v/>
      </c>
    </row>
    <row r="952" spans="1:40" x14ac:dyDescent="0.3">
      <c r="A952" s="1" t="str">
        <f>IF(AND(Programme_Grunddaten!A957="Geprüft",Programme_Grunddaten!B957&lt;&gt;""),Programme_Grunddaten!B957,"")</f>
        <v/>
      </c>
      <c r="B952" s="1" t="str">
        <f>IF(AND(Programme_Grunddaten!$A957="Geprüft",Programme_Grunddaten!I957&lt;&gt;""),IF(Programme_Grunddaten!I957="Ja",1,0),"")</f>
        <v/>
      </c>
      <c r="C952" s="1" t="str">
        <f>IF(AND(Programme_Grunddaten!$A957="Geprüft",Programme_Grunddaten!J957&lt;&gt;""),IF(Programme_Grunddaten!J957="Ja",1,0),"")</f>
        <v/>
      </c>
      <c r="D952" s="1" t="str">
        <f>IF(AND(Programme_Grunddaten!$A957="Geprüft",Programme_Grunddaten!K957&lt;&gt;""),IF(Programme_Grunddaten!K957="Ja",1,0),"")</f>
        <v/>
      </c>
      <c r="E952" s="1" t="str">
        <f>IF(AND(Programme_Grunddaten!$A957="Geprüft",Programme_Grunddaten!L957&lt;&gt;""),IF(Programme_Grunddaten!L957="Abo / befristete Lizenz",1,0),"")</f>
        <v/>
      </c>
      <c r="F952" s="1" t="str">
        <f>IF(AND(Programme_Grunddaten!$A957="Geprüft",Programme_Grunddaten!M957&lt;&gt;""),IF(Programme_Grunddaten!M957="Ja",1,0),"")</f>
        <v/>
      </c>
      <c r="G952" s="1" t="str">
        <f>IF(AND(Programme_Grunddaten!$A957="Geprüft",Programme_Grunddaten!N957&lt;&gt;""),IF(Programme_Grunddaten!N957="Ja",1,0),"")</f>
        <v/>
      </c>
      <c r="H952" s="1" t="str">
        <f>IF(AND(Programme_Grunddaten!$A957="Geprüft",Programme_Grunddaten!O957&lt;&gt;""),IF(Programme_Grunddaten!O957="Deutschland",0,IF(Programme_Grunddaten!O957="EU",1,2)),"")</f>
        <v/>
      </c>
      <c r="I952" s="1" t="str">
        <f>IF(AND(Programme_Grunddaten!$A957="Geprüft",Programme_Grunddaten!P957&lt;&gt;""),IF(Programme_Grunddaten!P957="Ja",1,0),"")</f>
        <v/>
      </c>
      <c r="J952" s="1" t="str">
        <f>IF(AND(Programme_Grunddaten!$A957="Geprüft",Programme_Grunddaten!Q957&lt;&gt;""),IF(Programme_Grunddaten!Q957="geschlossenes System",1,0),"")</f>
        <v/>
      </c>
      <c r="K952" s="1" t="str">
        <f>IF(AND(Programme_Grunddaten!$A957="Geprüft",Programme_Grunddaten!R957&lt;&gt;""),IF(Programme_Grunddaten!R957="Ja",1,0),"")</f>
        <v/>
      </c>
      <c r="L952" s="1" t="str">
        <f>IF(AND(Programme_Grunddaten!$A957="Geprüft",Programme_Grunddaten!T957&lt;&gt;""),IF(Programme_Grunddaten!T957="Ja",1,0),"")</f>
        <v/>
      </c>
      <c r="M952" s="1" t="str">
        <f>IF(AND(Programme_Grunddaten!$A957="Geprüft",Programme_Grunddaten!U957&lt;&gt;""),IF(Programme_Grunddaten!U957="Ja",1,0),"")</f>
        <v/>
      </c>
      <c r="N952" s="1" t="str">
        <f>IF(AND(Programme_Grunddaten!$A957="Geprüft",Programme_Grunddaten!V957&lt;&gt;""),IF(Programme_Grunddaten!V957="Ja",1,0),"")</f>
        <v/>
      </c>
      <c r="O952" s="1" t="str">
        <f>IF(AND(Programme_Grunddaten!$A957="Geprüft",Programme_Grunddaten!W957&lt;&gt;""),IF(Programme_Grunddaten!W957="Ja",1,0),"")</f>
        <v/>
      </c>
      <c r="P952" s="1" t="str">
        <f>IF(AND(Programme_Grunddaten!$A957="Geprüft",Programme_Grunddaten!X957&lt;&gt;""),IF(Programme_Grunddaten!X957="Ja",1,0),"")</f>
        <v/>
      </c>
      <c r="Q952" s="1" t="str">
        <f>IF(AND(Programme_Grunddaten!$A957="Geprüft",Programme_Grunddaten!Y957&lt;&gt;""),IF(Programme_Grunddaten!Y957="Ja",1,0),"")</f>
        <v/>
      </c>
      <c r="R952" s="1" t="str">
        <f>IF(AND(Programme_Grunddaten!$A957="Geprüft",Programme_Grunddaten!Z957&lt;&gt;""),IF(Programme_Grunddaten!Z957="Ja",1,0),"")</f>
        <v/>
      </c>
      <c r="S952" s="1" t="str">
        <f>IF(AND(Programme_Grunddaten!$A957="Geprüft",Programme_Grunddaten!AA957&lt;&gt;""),IF(Programme_Grunddaten!AA957="monolithisch",1,0),"")</f>
        <v/>
      </c>
      <c r="T952" s="1" t="str">
        <f>IF(AND(Programme_Grunddaten!$A957="Geprüft",Programme_Grunddaten!AB957&lt;&gt;""),IF(Programme_Grunddaten!AB957="Ja",1,0),"")</f>
        <v/>
      </c>
      <c r="U952" s="1" t="str">
        <f>IF(AND(Programme_Grunddaten!$A957="Geprüft",Programme_Grunddaten!AC957&lt;&gt;""),IF(Programme_Grunddaten!AC957="Ja",1,0),"")</f>
        <v/>
      </c>
      <c r="V952" s="1" t="str">
        <f>IF(AND(Programme_Grunddaten!$A957="Geprüft",Programme_Grunddaten!AD957&lt;&gt;""),IF(Programme_Grunddaten!AD957="Ja",1,0),"")</f>
        <v/>
      </c>
      <c r="W952" s="1" t="str">
        <f>IF(AND(Programme_Grunddaten!$A957="Geprüft",Programme_Grunddaten!AE957&lt;&gt;""),IF(Programme_Grunddaten!AE957="Ja",1,0),"")</f>
        <v/>
      </c>
      <c r="X952" s="1" t="str">
        <f>IF(AND(Programme_Grunddaten!$A957="Geprüft",Programme_Grunddaten!AF957&lt;&gt;""),IF(Programme_Grunddaten!AF957="Ja",1,0),"")</f>
        <v/>
      </c>
      <c r="Y952" s="1" t="str">
        <f>IF(AND(Programme_Grunddaten!$A957="Geprüft",Programme_Grunddaten!AG957&lt;&gt;""),IF(Programme_Grunddaten!AG957="Ja",1,0),"")</f>
        <v/>
      </c>
      <c r="Z952" s="1" t="str">
        <f>IF(AND(Programme_Grunddaten!$A957="Geprüft",Programme_Grunddaten!AH957&lt;&gt;""),IF(Programme_Grunddaten!AH957="Ja",1,0),"")</f>
        <v/>
      </c>
      <c r="AA952" s="1" t="str">
        <f>IF(AND(Programme_Grunddaten!$A957="Geprüft",Programme_Grunddaten!AI957&lt;&gt;""),IF(Programme_Grunddaten!AI957="Ja",1,0),"")</f>
        <v/>
      </c>
      <c r="AB952" s="1" t="str">
        <f>IF(AND(Programme_Grunddaten!$A957="Geprüft",Programme_Grunddaten!AJ957&lt;&gt;""),IF(Programme_Grunddaten!AJ957="individuell programmierbar",1,0),"")</f>
        <v/>
      </c>
      <c r="AC952" s="1" t="str">
        <f>IF(AND(Programme_Grunddaten!$A957="Geprüft",Programme_Grunddaten!AK957&lt;&gt;""),IF(Programme_Grunddaten!AK957="Deutsch",0,IF(Programme_Grunddaten!AK957="Deutsch und Englisch",1,2)),"")</f>
        <v/>
      </c>
      <c r="AD952" s="1" t="str">
        <f>IF(AND(Programme_Grunddaten!$A957="Geprüft",Programme_Grunddaten!AL957&lt;&gt;""),IF(Programme_Grunddaten!AL957="Ja",1,0),"")</f>
        <v/>
      </c>
      <c r="AE952" s="1" t="str">
        <f>IF(AND(Programme_Grunddaten!$A957="Geprüft",Programme_Grunddaten!AM957&lt;&gt;""),IF(Programme_Grunddaten!AM957="Ja",1,0),"")</f>
        <v/>
      </c>
      <c r="AF952" s="1" t="str">
        <f>IF(AND(Programme_Grunddaten!$A957="Geprüft",Programme_Grunddaten!AN957&lt;&gt;""),IF(Programme_Grunddaten!AN957="Ja",1,0),"")</f>
        <v/>
      </c>
      <c r="AG952" s="1" t="str">
        <f>IF(AND(Programme_Grunddaten!$A957="Geprüft",Programme_Grunddaten!AO957&lt;&gt;""),IF(Programme_Grunddaten!AO957="Ja",1,0),"")</f>
        <v/>
      </c>
      <c r="AH952" s="1" t="str">
        <f>IF(AND(Programme_Grunddaten!$A957="Geprüft",Programme_Grunddaten!AP957&lt;&gt;""),IF(Programme_Grunddaten!AP957="Ja",1,0),"")</f>
        <v/>
      </c>
      <c r="AI952" s="1" t="str">
        <f>IF(AND(Programme_Grunddaten!$A957="Geprüft",Programme_Grunddaten!AQ957&lt;&gt;""),IF(Programme_Grunddaten!AQ957="Ja",1,0),"")</f>
        <v/>
      </c>
      <c r="AJ952" s="1" t="str">
        <f>IF(AND(Programme_Grunddaten!$A957="Geprüft",Programme_Grunddaten!AR957&lt;&gt;""),IF(Programme_Grunddaten!AR957="Ja",1,0),"")</f>
        <v/>
      </c>
      <c r="AK952" s="1" t="str">
        <f>IF(AND(Programme_Grunddaten!$A957="Geprüft",Programme_Grunddaten!AS957&lt;&gt;""),IF(Programme_Grunddaten!AS957="Ja",1,0),"")</f>
        <v/>
      </c>
      <c r="AL952" s="1" t="str">
        <f>IF(AND(Programme_Grunddaten!$A957="Geprüft",Programme_Grunddaten!AT957&lt;&gt;""),IF(Programme_Grunddaten!AT957="Ja",1,0),"")</f>
        <v/>
      </c>
      <c r="AM952" s="1" t="str">
        <f>IF(AND(Programme_Grunddaten!$A957="Geprüft",Programme_Grunddaten!AU957&lt;&gt;""),IF(Programme_Grunddaten!AU957="Ja",1,0),"")</f>
        <v/>
      </c>
      <c r="AN952" s="1" t="str">
        <f>IF(AND(Programme_Grunddaten!$A957="Geprüft",Programme_Grunddaten!AV957&lt;&gt;""),IF(Programme_Grunddaten!AV957="Ja",1,0),"")</f>
        <v/>
      </c>
    </row>
    <row r="953" spans="1:40" x14ac:dyDescent="0.3">
      <c r="A953" s="1" t="str">
        <f>IF(AND(Programme_Grunddaten!A958="Geprüft",Programme_Grunddaten!B958&lt;&gt;""),Programme_Grunddaten!B958,"")</f>
        <v/>
      </c>
      <c r="B953" s="1" t="str">
        <f>IF(AND(Programme_Grunddaten!$A958="Geprüft",Programme_Grunddaten!I958&lt;&gt;""),IF(Programme_Grunddaten!I958="Ja",1,0),"")</f>
        <v/>
      </c>
      <c r="C953" s="1" t="str">
        <f>IF(AND(Programme_Grunddaten!$A958="Geprüft",Programme_Grunddaten!J958&lt;&gt;""),IF(Programme_Grunddaten!J958="Ja",1,0),"")</f>
        <v/>
      </c>
      <c r="D953" s="1" t="str">
        <f>IF(AND(Programme_Grunddaten!$A958="Geprüft",Programme_Grunddaten!K958&lt;&gt;""),IF(Programme_Grunddaten!K958="Ja",1,0),"")</f>
        <v/>
      </c>
      <c r="E953" s="1" t="str">
        <f>IF(AND(Programme_Grunddaten!$A958="Geprüft",Programme_Grunddaten!L958&lt;&gt;""),IF(Programme_Grunddaten!L958="Abo / befristete Lizenz",1,0),"")</f>
        <v/>
      </c>
      <c r="F953" s="1" t="str">
        <f>IF(AND(Programme_Grunddaten!$A958="Geprüft",Programme_Grunddaten!M958&lt;&gt;""),IF(Programme_Grunddaten!M958="Ja",1,0),"")</f>
        <v/>
      </c>
      <c r="G953" s="1" t="str">
        <f>IF(AND(Programme_Grunddaten!$A958="Geprüft",Programme_Grunddaten!N958&lt;&gt;""),IF(Programme_Grunddaten!N958="Ja",1,0),"")</f>
        <v/>
      </c>
      <c r="H953" s="1" t="str">
        <f>IF(AND(Programme_Grunddaten!$A958="Geprüft",Programme_Grunddaten!O958&lt;&gt;""),IF(Programme_Grunddaten!O958="Deutschland",0,IF(Programme_Grunddaten!O958="EU",1,2)),"")</f>
        <v/>
      </c>
      <c r="I953" s="1" t="str">
        <f>IF(AND(Programme_Grunddaten!$A958="Geprüft",Programme_Grunddaten!P958&lt;&gt;""),IF(Programme_Grunddaten!P958="Ja",1,0),"")</f>
        <v/>
      </c>
      <c r="J953" s="1" t="str">
        <f>IF(AND(Programme_Grunddaten!$A958="Geprüft",Programme_Grunddaten!Q958&lt;&gt;""),IF(Programme_Grunddaten!Q958="geschlossenes System",1,0),"")</f>
        <v/>
      </c>
      <c r="K953" s="1" t="str">
        <f>IF(AND(Programme_Grunddaten!$A958="Geprüft",Programme_Grunddaten!R958&lt;&gt;""),IF(Programme_Grunddaten!R958="Ja",1,0),"")</f>
        <v/>
      </c>
      <c r="L953" s="1" t="str">
        <f>IF(AND(Programme_Grunddaten!$A958="Geprüft",Programme_Grunddaten!T958&lt;&gt;""),IF(Programme_Grunddaten!T958="Ja",1,0),"")</f>
        <v/>
      </c>
      <c r="M953" s="1" t="str">
        <f>IF(AND(Programme_Grunddaten!$A958="Geprüft",Programme_Grunddaten!U958&lt;&gt;""),IF(Programme_Grunddaten!U958="Ja",1,0),"")</f>
        <v/>
      </c>
      <c r="N953" s="1" t="str">
        <f>IF(AND(Programme_Grunddaten!$A958="Geprüft",Programme_Grunddaten!V958&lt;&gt;""),IF(Programme_Grunddaten!V958="Ja",1,0),"")</f>
        <v/>
      </c>
      <c r="O953" s="1" t="str">
        <f>IF(AND(Programme_Grunddaten!$A958="Geprüft",Programme_Grunddaten!W958&lt;&gt;""),IF(Programme_Grunddaten!W958="Ja",1,0),"")</f>
        <v/>
      </c>
      <c r="P953" s="1" t="str">
        <f>IF(AND(Programme_Grunddaten!$A958="Geprüft",Programme_Grunddaten!X958&lt;&gt;""),IF(Programme_Grunddaten!X958="Ja",1,0),"")</f>
        <v/>
      </c>
      <c r="Q953" s="1" t="str">
        <f>IF(AND(Programme_Grunddaten!$A958="Geprüft",Programme_Grunddaten!Y958&lt;&gt;""),IF(Programme_Grunddaten!Y958="Ja",1,0),"")</f>
        <v/>
      </c>
      <c r="R953" s="1" t="str">
        <f>IF(AND(Programme_Grunddaten!$A958="Geprüft",Programme_Grunddaten!Z958&lt;&gt;""),IF(Programme_Grunddaten!Z958="Ja",1,0),"")</f>
        <v/>
      </c>
      <c r="S953" s="1" t="str">
        <f>IF(AND(Programme_Grunddaten!$A958="Geprüft",Programme_Grunddaten!AA958&lt;&gt;""),IF(Programme_Grunddaten!AA958="monolithisch",1,0),"")</f>
        <v/>
      </c>
      <c r="T953" s="1" t="str">
        <f>IF(AND(Programme_Grunddaten!$A958="Geprüft",Programme_Grunddaten!AB958&lt;&gt;""),IF(Programme_Grunddaten!AB958="Ja",1,0),"")</f>
        <v/>
      </c>
      <c r="U953" s="1" t="str">
        <f>IF(AND(Programme_Grunddaten!$A958="Geprüft",Programme_Grunddaten!AC958&lt;&gt;""),IF(Programme_Grunddaten!AC958="Ja",1,0),"")</f>
        <v/>
      </c>
      <c r="V953" s="1" t="str">
        <f>IF(AND(Programme_Grunddaten!$A958="Geprüft",Programme_Grunddaten!AD958&lt;&gt;""),IF(Programme_Grunddaten!AD958="Ja",1,0),"")</f>
        <v/>
      </c>
      <c r="W953" s="1" t="str">
        <f>IF(AND(Programme_Grunddaten!$A958="Geprüft",Programme_Grunddaten!AE958&lt;&gt;""),IF(Programme_Grunddaten!AE958="Ja",1,0),"")</f>
        <v/>
      </c>
      <c r="X953" s="1" t="str">
        <f>IF(AND(Programme_Grunddaten!$A958="Geprüft",Programme_Grunddaten!AF958&lt;&gt;""),IF(Programme_Grunddaten!AF958="Ja",1,0),"")</f>
        <v/>
      </c>
      <c r="Y953" s="1" t="str">
        <f>IF(AND(Programme_Grunddaten!$A958="Geprüft",Programme_Grunddaten!AG958&lt;&gt;""),IF(Programme_Grunddaten!AG958="Ja",1,0),"")</f>
        <v/>
      </c>
      <c r="Z953" s="1" t="str">
        <f>IF(AND(Programme_Grunddaten!$A958="Geprüft",Programme_Grunddaten!AH958&lt;&gt;""),IF(Programme_Grunddaten!AH958="Ja",1,0),"")</f>
        <v/>
      </c>
      <c r="AA953" s="1" t="str">
        <f>IF(AND(Programme_Grunddaten!$A958="Geprüft",Programme_Grunddaten!AI958&lt;&gt;""),IF(Programme_Grunddaten!AI958="Ja",1,0),"")</f>
        <v/>
      </c>
      <c r="AB953" s="1" t="str">
        <f>IF(AND(Programme_Grunddaten!$A958="Geprüft",Programme_Grunddaten!AJ958&lt;&gt;""),IF(Programme_Grunddaten!AJ958="individuell programmierbar",1,0),"")</f>
        <v/>
      </c>
      <c r="AC953" s="1" t="str">
        <f>IF(AND(Programme_Grunddaten!$A958="Geprüft",Programme_Grunddaten!AK958&lt;&gt;""),IF(Programme_Grunddaten!AK958="Deutsch",0,IF(Programme_Grunddaten!AK958="Deutsch und Englisch",1,2)),"")</f>
        <v/>
      </c>
      <c r="AD953" s="1" t="str">
        <f>IF(AND(Programme_Grunddaten!$A958="Geprüft",Programme_Grunddaten!AL958&lt;&gt;""),IF(Programme_Grunddaten!AL958="Ja",1,0),"")</f>
        <v/>
      </c>
      <c r="AE953" s="1" t="str">
        <f>IF(AND(Programme_Grunddaten!$A958="Geprüft",Programme_Grunddaten!AM958&lt;&gt;""),IF(Programme_Grunddaten!AM958="Ja",1,0),"")</f>
        <v/>
      </c>
      <c r="AF953" s="1" t="str">
        <f>IF(AND(Programme_Grunddaten!$A958="Geprüft",Programme_Grunddaten!AN958&lt;&gt;""),IF(Programme_Grunddaten!AN958="Ja",1,0),"")</f>
        <v/>
      </c>
      <c r="AG953" s="1" t="str">
        <f>IF(AND(Programme_Grunddaten!$A958="Geprüft",Programme_Grunddaten!AO958&lt;&gt;""),IF(Programme_Grunddaten!AO958="Ja",1,0),"")</f>
        <v/>
      </c>
      <c r="AH953" s="1" t="str">
        <f>IF(AND(Programme_Grunddaten!$A958="Geprüft",Programme_Grunddaten!AP958&lt;&gt;""),IF(Programme_Grunddaten!AP958="Ja",1,0),"")</f>
        <v/>
      </c>
      <c r="AI953" s="1" t="str">
        <f>IF(AND(Programme_Grunddaten!$A958="Geprüft",Programme_Grunddaten!AQ958&lt;&gt;""),IF(Programme_Grunddaten!AQ958="Ja",1,0),"")</f>
        <v/>
      </c>
      <c r="AJ953" s="1" t="str">
        <f>IF(AND(Programme_Grunddaten!$A958="Geprüft",Programme_Grunddaten!AR958&lt;&gt;""),IF(Programme_Grunddaten!AR958="Ja",1,0),"")</f>
        <v/>
      </c>
      <c r="AK953" s="1" t="str">
        <f>IF(AND(Programme_Grunddaten!$A958="Geprüft",Programme_Grunddaten!AS958&lt;&gt;""),IF(Programme_Grunddaten!AS958="Ja",1,0),"")</f>
        <v/>
      </c>
      <c r="AL953" s="1" t="str">
        <f>IF(AND(Programme_Grunddaten!$A958="Geprüft",Programme_Grunddaten!AT958&lt;&gt;""),IF(Programme_Grunddaten!AT958="Ja",1,0),"")</f>
        <v/>
      </c>
      <c r="AM953" s="1" t="str">
        <f>IF(AND(Programme_Grunddaten!$A958="Geprüft",Programme_Grunddaten!AU958&lt;&gt;""),IF(Programme_Grunddaten!AU958="Ja",1,0),"")</f>
        <v/>
      </c>
      <c r="AN953" s="1" t="str">
        <f>IF(AND(Programme_Grunddaten!$A958="Geprüft",Programme_Grunddaten!AV958&lt;&gt;""),IF(Programme_Grunddaten!AV958="Ja",1,0),"")</f>
        <v/>
      </c>
    </row>
    <row r="954" spans="1:40" x14ac:dyDescent="0.3">
      <c r="A954" s="1" t="str">
        <f>IF(AND(Programme_Grunddaten!A959="Geprüft",Programme_Grunddaten!B959&lt;&gt;""),Programme_Grunddaten!B959,"")</f>
        <v/>
      </c>
      <c r="B954" s="1" t="str">
        <f>IF(AND(Programme_Grunddaten!$A959="Geprüft",Programme_Grunddaten!I959&lt;&gt;""),IF(Programme_Grunddaten!I959="Ja",1,0),"")</f>
        <v/>
      </c>
      <c r="C954" s="1" t="str">
        <f>IF(AND(Programme_Grunddaten!$A959="Geprüft",Programme_Grunddaten!J959&lt;&gt;""),IF(Programme_Grunddaten!J959="Ja",1,0),"")</f>
        <v/>
      </c>
      <c r="D954" s="1" t="str">
        <f>IF(AND(Programme_Grunddaten!$A959="Geprüft",Programme_Grunddaten!K959&lt;&gt;""),IF(Programme_Grunddaten!K959="Ja",1,0),"")</f>
        <v/>
      </c>
      <c r="E954" s="1" t="str">
        <f>IF(AND(Programme_Grunddaten!$A959="Geprüft",Programme_Grunddaten!L959&lt;&gt;""),IF(Programme_Grunddaten!L959="Abo / befristete Lizenz",1,0),"")</f>
        <v/>
      </c>
      <c r="F954" s="1" t="str">
        <f>IF(AND(Programme_Grunddaten!$A959="Geprüft",Programme_Grunddaten!M959&lt;&gt;""),IF(Programme_Grunddaten!M959="Ja",1,0),"")</f>
        <v/>
      </c>
      <c r="G954" s="1" t="str">
        <f>IF(AND(Programme_Grunddaten!$A959="Geprüft",Programme_Grunddaten!N959&lt;&gt;""),IF(Programme_Grunddaten!N959="Ja",1,0),"")</f>
        <v/>
      </c>
      <c r="H954" s="1" t="str">
        <f>IF(AND(Programme_Grunddaten!$A959="Geprüft",Programme_Grunddaten!O959&lt;&gt;""),IF(Programme_Grunddaten!O959="Deutschland",0,IF(Programme_Grunddaten!O959="EU",1,2)),"")</f>
        <v/>
      </c>
      <c r="I954" s="1" t="str">
        <f>IF(AND(Programme_Grunddaten!$A959="Geprüft",Programme_Grunddaten!P959&lt;&gt;""),IF(Programme_Grunddaten!P959="Ja",1,0),"")</f>
        <v/>
      </c>
      <c r="J954" s="1" t="str">
        <f>IF(AND(Programme_Grunddaten!$A959="Geprüft",Programme_Grunddaten!Q959&lt;&gt;""),IF(Programme_Grunddaten!Q959="geschlossenes System",1,0),"")</f>
        <v/>
      </c>
      <c r="K954" s="1" t="str">
        <f>IF(AND(Programme_Grunddaten!$A959="Geprüft",Programme_Grunddaten!R959&lt;&gt;""),IF(Programme_Grunddaten!R959="Ja",1,0),"")</f>
        <v/>
      </c>
      <c r="L954" s="1" t="str">
        <f>IF(AND(Programme_Grunddaten!$A959="Geprüft",Programme_Grunddaten!T959&lt;&gt;""),IF(Programme_Grunddaten!T959="Ja",1,0),"")</f>
        <v/>
      </c>
      <c r="M954" s="1" t="str">
        <f>IF(AND(Programme_Grunddaten!$A959="Geprüft",Programme_Grunddaten!U959&lt;&gt;""),IF(Programme_Grunddaten!U959="Ja",1,0),"")</f>
        <v/>
      </c>
      <c r="N954" s="1" t="str">
        <f>IF(AND(Programme_Grunddaten!$A959="Geprüft",Programme_Grunddaten!V959&lt;&gt;""),IF(Programme_Grunddaten!V959="Ja",1,0),"")</f>
        <v/>
      </c>
      <c r="O954" s="1" t="str">
        <f>IF(AND(Programme_Grunddaten!$A959="Geprüft",Programme_Grunddaten!W959&lt;&gt;""),IF(Programme_Grunddaten!W959="Ja",1,0),"")</f>
        <v/>
      </c>
      <c r="P954" s="1" t="str">
        <f>IF(AND(Programme_Grunddaten!$A959="Geprüft",Programme_Grunddaten!X959&lt;&gt;""),IF(Programme_Grunddaten!X959="Ja",1,0),"")</f>
        <v/>
      </c>
      <c r="Q954" s="1" t="str">
        <f>IF(AND(Programme_Grunddaten!$A959="Geprüft",Programme_Grunddaten!Y959&lt;&gt;""),IF(Programme_Grunddaten!Y959="Ja",1,0),"")</f>
        <v/>
      </c>
      <c r="R954" s="1" t="str">
        <f>IF(AND(Programme_Grunddaten!$A959="Geprüft",Programme_Grunddaten!Z959&lt;&gt;""),IF(Programme_Grunddaten!Z959="Ja",1,0),"")</f>
        <v/>
      </c>
      <c r="S954" s="1" t="str">
        <f>IF(AND(Programme_Grunddaten!$A959="Geprüft",Programme_Grunddaten!AA959&lt;&gt;""),IF(Programme_Grunddaten!AA959="monolithisch",1,0),"")</f>
        <v/>
      </c>
      <c r="T954" s="1" t="str">
        <f>IF(AND(Programme_Grunddaten!$A959="Geprüft",Programme_Grunddaten!AB959&lt;&gt;""),IF(Programme_Grunddaten!AB959="Ja",1,0),"")</f>
        <v/>
      </c>
      <c r="U954" s="1" t="str">
        <f>IF(AND(Programme_Grunddaten!$A959="Geprüft",Programme_Grunddaten!AC959&lt;&gt;""),IF(Programme_Grunddaten!AC959="Ja",1,0),"")</f>
        <v/>
      </c>
      <c r="V954" s="1" t="str">
        <f>IF(AND(Programme_Grunddaten!$A959="Geprüft",Programme_Grunddaten!AD959&lt;&gt;""),IF(Programme_Grunddaten!AD959="Ja",1,0),"")</f>
        <v/>
      </c>
      <c r="W954" s="1" t="str">
        <f>IF(AND(Programme_Grunddaten!$A959="Geprüft",Programme_Grunddaten!AE959&lt;&gt;""),IF(Programme_Grunddaten!AE959="Ja",1,0),"")</f>
        <v/>
      </c>
      <c r="X954" s="1" t="str">
        <f>IF(AND(Programme_Grunddaten!$A959="Geprüft",Programme_Grunddaten!AF959&lt;&gt;""),IF(Programme_Grunddaten!AF959="Ja",1,0),"")</f>
        <v/>
      </c>
      <c r="Y954" s="1" t="str">
        <f>IF(AND(Programme_Grunddaten!$A959="Geprüft",Programme_Grunddaten!AG959&lt;&gt;""),IF(Programme_Grunddaten!AG959="Ja",1,0),"")</f>
        <v/>
      </c>
      <c r="Z954" s="1" t="str">
        <f>IF(AND(Programme_Grunddaten!$A959="Geprüft",Programme_Grunddaten!AH959&lt;&gt;""),IF(Programme_Grunddaten!AH959="Ja",1,0),"")</f>
        <v/>
      </c>
      <c r="AA954" s="1" t="str">
        <f>IF(AND(Programme_Grunddaten!$A959="Geprüft",Programme_Grunddaten!AI959&lt;&gt;""),IF(Programme_Grunddaten!AI959="Ja",1,0),"")</f>
        <v/>
      </c>
      <c r="AB954" s="1" t="str">
        <f>IF(AND(Programme_Grunddaten!$A959="Geprüft",Programme_Grunddaten!AJ959&lt;&gt;""),IF(Programme_Grunddaten!AJ959="individuell programmierbar",1,0),"")</f>
        <v/>
      </c>
      <c r="AC954" s="1" t="str">
        <f>IF(AND(Programme_Grunddaten!$A959="Geprüft",Programme_Grunddaten!AK959&lt;&gt;""),IF(Programme_Grunddaten!AK959="Deutsch",0,IF(Programme_Grunddaten!AK959="Deutsch und Englisch",1,2)),"")</f>
        <v/>
      </c>
      <c r="AD954" s="1" t="str">
        <f>IF(AND(Programme_Grunddaten!$A959="Geprüft",Programme_Grunddaten!AL959&lt;&gt;""),IF(Programme_Grunddaten!AL959="Ja",1,0),"")</f>
        <v/>
      </c>
      <c r="AE954" s="1" t="str">
        <f>IF(AND(Programme_Grunddaten!$A959="Geprüft",Programme_Grunddaten!AM959&lt;&gt;""),IF(Programme_Grunddaten!AM959="Ja",1,0),"")</f>
        <v/>
      </c>
      <c r="AF954" s="1" t="str">
        <f>IF(AND(Programme_Grunddaten!$A959="Geprüft",Programme_Grunddaten!AN959&lt;&gt;""),IF(Programme_Grunddaten!AN959="Ja",1,0),"")</f>
        <v/>
      </c>
      <c r="AG954" s="1" t="str">
        <f>IF(AND(Programme_Grunddaten!$A959="Geprüft",Programme_Grunddaten!AO959&lt;&gt;""),IF(Programme_Grunddaten!AO959="Ja",1,0),"")</f>
        <v/>
      </c>
      <c r="AH954" s="1" t="str">
        <f>IF(AND(Programme_Grunddaten!$A959="Geprüft",Programme_Grunddaten!AP959&lt;&gt;""),IF(Programme_Grunddaten!AP959="Ja",1,0),"")</f>
        <v/>
      </c>
      <c r="AI954" s="1" t="str">
        <f>IF(AND(Programme_Grunddaten!$A959="Geprüft",Programme_Grunddaten!AQ959&lt;&gt;""),IF(Programme_Grunddaten!AQ959="Ja",1,0),"")</f>
        <v/>
      </c>
      <c r="AJ954" s="1" t="str">
        <f>IF(AND(Programme_Grunddaten!$A959="Geprüft",Programme_Grunddaten!AR959&lt;&gt;""),IF(Programme_Grunddaten!AR959="Ja",1,0),"")</f>
        <v/>
      </c>
      <c r="AK954" s="1" t="str">
        <f>IF(AND(Programme_Grunddaten!$A959="Geprüft",Programme_Grunddaten!AS959&lt;&gt;""),IF(Programme_Grunddaten!AS959="Ja",1,0),"")</f>
        <v/>
      </c>
      <c r="AL954" s="1" t="str">
        <f>IF(AND(Programme_Grunddaten!$A959="Geprüft",Programme_Grunddaten!AT959&lt;&gt;""),IF(Programme_Grunddaten!AT959="Ja",1,0),"")</f>
        <v/>
      </c>
      <c r="AM954" s="1" t="str">
        <f>IF(AND(Programme_Grunddaten!$A959="Geprüft",Programme_Grunddaten!AU959&lt;&gt;""),IF(Programme_Grunddaten!AU959="Ja",1,0),"")</f>
        <v/>
      </c>
      <c r="AN954" s="1" t="str">
        <f>IF(AND(Programme_Grunddaten!$A959="Geprüft",Programme_Grunddaten!AV959&lt;&gt;""),IF(Programme_Grunddaten!AV959="Ja",1,0),"")</f>
        <v/>
      </c>
    </row>
    <row r="955" spans="1:40" x14ac:dyDescent="0.3">
      <c r="A955" s="1" t="str">
        <f>IF(AND(Programme_Grunddaten!A960="Geprüft",Programme_Grunddaten!B960&lt;&gt;""),Programme_Grunddaten!B960,"")</f>
        <v/>
      </c>
      <c r="B955" s="1" t="str">
        <f>IF(AND(Programme_Grunddaten!$A960="Geprüft",Programme_Grunddaten!I960&lt;&gt;""),IF(Programme_Grunddaten!I960="Ja",1,0),"")</f>
        <v/>
      </c>
      <c r="C955" s="1" t="str">
        <f>IF(AND(Programme_Grunddaten!$A960="Geprüft",Programme_Grunddaten!J960&lt;&gt;""),IF(Programme_Grunddaten!J960="Ja",1,0),"")</f>
        <v/>
      </c>
      <c r="D955" s="1" t="str">
        <f>IF(AND(Programme_Grunddaten!$A960="Geprüft",Programme_Grunddaten!K960&lt;&gt;""),IF(Programme_Grunddaten!K960="Ja",1,0),"")</f>
        <v/>
      </c>
      <c r="E955" s="1" t="str">
        <f>IF(AND(Programme_Grunddaten!$A960="Geprüft",Programme_Grunddaten!L960&lt;&gt;""),IF(Programme_Grunddaten!L960="Abo / befristete Lizenz",1,0),"")</f>
        <v/>
      </c>
      <c r="F955" s="1" t="str">
        <f>IF(AND(Programme_Grunddaten!$A960="Geprüft",Programme_Grunddaten!M960&lt;&gt;""),IF(Programme_Grunddaten!M960="Ja",1,0),"")</f>
        <v/>
      </c>
      <c r="G955" s="1" t="str">
        <f>IF(AND(Programme_Grunddaten!$A960="Geprüft",Programme_Grunddaten!N960&lt;&gt;""),IF(Programme_Grunddaten!N960="Ja",1,0),"")</f>
        <v/>
      </c>
      <c r="H955" s="1" t="str">
        <f>IF(AND(Programme_Grunddaten!$A960="Geprüft",Programme_Grunddaten!O960&lt;&gt;""),IF(Programme_Grunddaten!O960="Deutschland",0,IF(Programme_Grunddaten!O960="EU",1,2)),"")</f>
        <v/>
      </c>
      <c r="I955" s="1" t="str">
        <f>IF(AND(Programme_Grunddaten!$A960="Geprüft",Programme_Grunddaten!P960&lt;&gt;""),IF(Programme_Grunddaten!P960="Ja",1,0),"")</f>
        <v/>
      </c>
      <c r="J955" s="1" t="str">
        <f>IF(AND(Programme_Grunddaten!$A960="Geprüft",Programme_Grunddaten!Q960&lt;&gt;""),IF(Programme_Grunddaten!Q960="geschlossenes System",1,0),"")</f>
        <v/>
      </c>
      <c r="K955" s="1" t="str">
        <f>IF(AND(Programme_Grunddaten!$A960="Geprüft",Programme_Grunddaten!R960&lt;&gt;""),IF(Programme_Grunddaten!R960="Ja",1,0),"")</f>
        <v/>
      </c>
      <c r="L955" s="1" t="str">
        <f>IF(AND(Programme_Grunddaten!$A960="Geprüft",Programme_Grunddaten!T960&lt;&gt;""),IF(Programme_Grunddaten!T960="Ja",1,0),"")</f>
        <v/>
      </c>
      <c r="M955" s="1" t="str">
        <f>IF(AND(Programme_Grunddaten!$A960="Geprüft",Programme_Grunddaten!U960&lt;&gt;""),IF(Programme_Grunddaten!U960="Ja",1,0),"")</f>
        <v/>
      </c>
      <c r="N955" s="1" t="str">
        <f>IF(AND(Programme_Grunddaten!$A960="Geprüft",Programme_Grunddaten!V960&lt;&gt;""),IF(Programme_Grunddaten!V960="Ja",1,0),"")</f>
        <v/>
      </c>
      <c r="O955" s="1" t="str">
        <f>IF(AND(Programme_Grunddaten!$A960="Geprüft",Programme_Grunddaten!W960&lt;&gt;""),IF(Programme_Grunddaten!W960="Ja",1,0),"")</f>
        <v/>
      </c>
      <c r="P955" s="1" t="str">
        <f>IF(AND(Programme_Grunddaten!$A960="Geprüft",Programme_Grunddaten!X960&lt;&gt;""),IF(Programme_Grunddaten!X960="Ja",1,0),"")</f>
        <v/>
      </c>
      <c r="Q955" s="1" t="str">
        <f>IF(AND(Programme_Grunddaten!$A960="Geprüft",Programme_Grunddaten!Y960&lt;&gt;""),IF(Programme_Grunddaten!Y960="Ja",1,0),"")</f>
        <v/>
      </c>
      <c r="R955" s="1" t="str">
        <f>IF(AND(Programme_Grunddaten!$A960="Geprüft",Programme_Grunddaten!Z960&lt;&gt;""),IF(Programme_Grunddaten!Z960="Ja",1,0),"")</f>
        <v/>
      </c>
      <c r="S955" s="1" t="str">
        <f>IF(AND(Programme_Grunddaten!$A960="Geprüft",Programme_Grunddaten!AA960&lt;&gt;""),IF(Programme_Grunddaten!AA960="monolithisch",1,0),"")</f>
        <v/>
      </c>
      <c r="T955" s="1" t="str">
        <f>IF(AND(Programme_Grunddaten!$A960="Geprüft",Programme_Grunddaten!AB960&lt;&gt;""),IF(Programme_Grunddaten!AB960="Ja",1,0),"")</f>
        <v/>
      </c>
      <c r="U955" s="1" t="str">
        <f>IF(AND(Programme_Grunddaten!$A960="Geprüft",Programme_Grunddaten!AC960&lt;&gt;""),IF(Programme_Grunddaten!AC960="Ja",1,0),"")</f>
        <v/>
      </c>
      <c r="V955" s="1" t="str">
        <f>IF(AND(Programme_Grunddaten!$A960="Geprüft",Programme_Grunddaten!AD960&lt;&gt;""),IF(Programme_Grunddaten!AD960="Ja",1,0),"")</f>
        <v/>
      </c>
      <c r="W955" s="1" t="str">
        <f>IF(AND(Programme_Grunddaten!$A960="Geprüft",Programme_Grunddaten!AE960&lt;&gt;""),IF(Programme_Grunddaten!AE960="Ja",1,0),"")</f>
        <v/>
      </c>
      <c r="X955" s="1" t="str">
        <f>IF(AND(Programme_Grunddaten!$A960="Geprüft",Programme_Grunddaten!AF960&lt;&gt;""),IF(Programme_Grunddaten!AF960="Ja",1,0),"")</f>
        <v/>
      </c>
      <c r="Y955" s="1" t="str">
        <f>IF(AND(Programme_Grunddaten!$A960="Geprüft",Programme_Grunddaten!AG960&lt;&gt;""),IF(Programme_Grunddaten!AG960="Ja",1,0),"")</f>
        <v/>
      </c>
      <c r="Z955" s="1" t="str">
        <f>IF(AND(Programme_Grunddaten!$A960="Geprüft",Programme_Grunddaten!AH960&lt;&gt;""),IF(Programme_Grunddaten!AH960="Ja",1,0),"")</f>
        <v/>
      </c>
      <c r="AA955" s="1" t="str">
        <f>IF(AND(Programme_Grunddaten!$A960="Geprüft",Programme_Grunddaten!AI960&lt;&gt;""),IF(Programme_Grunddaten!AI960="Ja",1,0),"")</f>
        <v/>
      </c>
      <c r="AB955" s="1" t="str">
        <f>IF(AND(Programme_Grunddaten!$A960="Geprüft",Programme_Grunddaten!AJ960&lt;&gt;""),IF(Programme_Grunddaten!AJ960="individuell programmierbar",1,0),"")</f>
        <v/>
      </c>
      <c r="AC955" s="1" t="str">
        <f>IF(AND(Programme_Grunddaten!$A960="Geprüft",Programme_Grunddaten!AK960&lt;&gt;""),IF(Programme_Grunddaten!AK960="Deutsch",0,IF(Programme_Grunddaten!AK960="Deutsch und Englisch",1,2)),"")</f>
        <v/>
      </c>
      <c r="AD955" s="1" t="str">
        <f>IF(AND(Programme_Grunddaten!$A960="Geprüft",Programme_Grunddaten!AL960&lt;&gt;""),IF(Programme_Grunddaten!AL960="Ja",1,0),"")</f>
        <v/>
      </c>
      <c r="AE955" s="1" t="str">
        <f>IF(AND(Programme_Grunddaten!$A960="Geprüft",Programme_Grunddaten!AM960&lt;&gt;""),IF(Programme_Grunddaten!AM960="Ja",1,0),"")</f>
        <v/>
      </c>
      <c r="AF955" s="1" t="str">
        <f>IF(AND(Programme_Grunddaten!$A960="Geprüft",Programme_Grunddaten!AN960&lt;&gt;""),IF(Programme_Grunddaten!AN960="Ja",1,0),"")</f>
        <v/>
      </c>
      <c r="AG955" s="1" t="str">
        <f>IF(AND(Programme_Grunddaten!$A960="Geprüft",Programme_Grunddaten!AO960&lt;&gt;""),IF(Programme_Grunddaten!AO960="Ja",1,0),"")</f>
        <v/>
      </c>
      <c r="AH955" s="1" t="str">
        <f>IF(AND(Programme_Grunddaten!$A960="Geprüft",Programme_Grunddaten!AP960&lt;&gt;""),IF(Programme_Grunddaten!AP960="Ja",1,0),"")</f>
        <v/>
      </c>
      <c r="AI955" s="1" t="str">
        <f>IF(AND(Programme_Grunddaten!$A960="Geprüft",Programme_Grunddaten!AQ960&lt;&gt;""),IF(Programme_Grunddaten!AQ960="Ja",1,0),"")</f>
        <v/>
      </c>
      <c r="AJ955" s="1" t="str">
        <f>IF(AND(Programme_Grunddaten!$A960="Geprüft",Programme_Grunddaten!AR960&lt;&gt;""),IF(Programme_Grunddaten!AR960="Ja",1,0),"")</f>
        <v/>
      </c>
      <c r="AK955" s="1" t="str">
        <f>IF(AND(Programme_Grunddaten!$A960="Geprüft",Programme_Grunddaten!AS960&lt;&gt;""),IF(Programme_Grunddaten!AS960="Ja",1,0),"")</f>
        <v/>
      </c>
      <c r="AL955" s="1" t="str">
        <f>IF(AND(Programme_Grunddaten!$A960="Geprüft",Programme_Grunddaten!AT960&lt;&gt;""),IF(Programme_Grunddaten!AT960="Ja",1,0),"")</f>
        <v/>
      </c>
      <c r="AM955" s="1" t="str">
        <f>IF(AND(Programme_Grunddaten!$A960="Geprüft",Programme_Grunddaten!AU960&lt;&gt;""),IF(Programme_Grunddaten!AU960="Ja",1,0),"")</f>
        <v/>
      </c>
      <c r="AN955" s="1" t="str">
        <f>IF(AND(Programme_Grunddaten!$A960="Geprüft",Programme_Grunddaten!AV960&lt;&gt;""),IF(Programme_Grunddaten!AV960="Ja",1,0),"")</f>
        <v/>
      </c>
    </row>
    <row r="956" spans="1:40" x14ac:dyDescent="0.3">
      <c r="A956" s="1" t="str">
        <f>IF(AND(Programme_Grunddaten!A961="Geprüft",Programme_Grunddaten!B961&lt;&gt;""),Programme_Grunddaten!B961,"")</f>
        <v/>
      </c>
      <c r="B956" s="1" t="str">
        <f>IF(AND(Programme_Grunddaten!$A961="Geprüft",Programme_Grunddaten!I961&lt;&gt;""),IF(Programme_Grunddaten!I961="Ja",1,0),"")</f>
        <v/>
      </c>
      <c r="C956" s="1" t="str">
        <f>IF(AND(Programme_Grunddaten!$A961="Geprüft",Programme_Grunddaten!J961&lt;&gt;""),IF(Programme_Grunddaten!J961="Ja",1,0),"")</f>
        <v/>
      </c>
      <c r="D956" s="1" t="str">
        <f>IF(AND(Programme_Grunddaten!$A961="Geprüft",Programme_Grunddaten!K961&lt;&gt;""),IF(Programme_Grunddaten!K961="Ja",1,0),"")</f>
        <v/>
      </c>
      <c r="E956" s="1" t="str">
        <f>IF(AND(Programme_Grunddaten!$A961="Geprüft",Programme_Grunddaten!L961&lt;&gt;""),IF(Programme_Grunddaten!L961="Abo / befristete Lizenz",1,0),"")</f>
        <v/>
      </c>
      <c r="F956" s="1" t="str">
        <f>IF(AND(Programme_Grunddaten!$A961="Geprüft",Programme_Grunddaten!M961&lt;&gt;""),IF(Programme_Grunddaten!M961="Ja",1,0),"")</f>
        <v/>
      </c>
      <c r="G956" s="1" t="str">
        <f>IF(AND(Programme_Grunddaten!$A961="Geprüft",Programme_Grunddaten!N961&lt;&gt;""),IF(Programme_Grunddaten!N961="Ja",1,0),"")</f>
        <v/>
      </c>
      <c r="H956" s="1" t="str">
        <f>IF(AND(Programme_Grunddaten!$A961="Geprüft",Programme_Grunddaten!O961&lt;&gt;""),IF(Programme_Grunddaten!O961="Deutschland",0,IF(Programme_Grunddaten!O961="EU",1,2)),"")</f>
        <v/>
      </c>
      <c r="I956" s="1" t="str">
        <f>IF(AND(Programme_Grunddaten!$A961="Geprüft",Programme_Grunddaten!P961&lt;&gt;""),IF(Programme_Grunddaten!P961="Ja",1,0),"")</f>
        <v/>
      </c>
      <c r="J956" s="1" t="str">
        <f>IF(AND(Programme_Grunddaten!$A961="Geprüft",Programme_Grunddaten!Q961&lt;&gt;""),IF(Programme_Grunddaten!Q961="geschlossenes System",1,0),"")</f>
        <v/>
      </c>
      <c r="K956" s="1" t="str">
        <f>IF(AND(Programme_Grunddaten!$A961="Geprüft",Programme_Grunddaten!R961&lt;&gt;""),IF(Programme_Grunddaten!R961="Ja",1,0),"")</f>
        <v/>
      </c>
      <c r="L956" s="1" t="str">
        <f>IF(AND(Programme_Grunddaten!$A961="Geprüft",Programme_Grunddaten!T961&lt;&gt;""),IF(Programme_Grunddaten!T961="Ja",1,0),"")</f>
        <v/>
      </c>
      <c r="M956" s="1" t="str">
        <f>IF(AND(Programme_Grunddaten!$A961="Geprüft",Programme_Grunddaten!U961&lt;&gt;""),IF(Programme_Grunddaten!U961="Ja",1,0),"")</f>
        <v/>
      </c>
      <c r="N956" s="1" t="str">
        <f>IF(AND(Programme_Grunddaten!$A961="Geprüft",Programme_Grunddaten!V961&lt;&gt;""),IF(Programme_Grunddaten!V961="Ja",1,0),"")</f>
        <v/>
      </c>
      <c r="O956" s="1" t="str">
        <f>IF(AND(Programme_Grunddaten!$A961="Geprüft",Programme_Grunddaten!W961&lt;&gt;""),IF(Programme_Grunddaten!W961="Ja",1,0),"")</f>
        <v/>
      </c>
      <c r="P956" s="1" t="str">
        <f>IF(AND(Programme_Grunddaten!$A961="Geprüft",Programme_Grunddaten!X961&lt;&gt;""),IF(Programme_Grunddaten!X961="Ja",1,0),"")</f>
        <v/>
      </c>
      <c r="Q956" s="1" t="str">
        <f>IF(AND(Programme_Grunddaten!$A961="Geprüft",Programme_Grunddaten!Y961&lt;&gt;""),IF(Programme_Grunddaten!Y961="Ja",1,0),"")</f>
        <v/>
      </c>
      <c r="R956" s="1" t="str">
        <f>IF(AND(Programme_Grunddaten!$A961="Geprüft",Programme_Grunddaten!Z961&lt;&gt;""),IF(Programme_Grunddaten!Z961="Ja",1,0),"")</f>
        <v/>
      </c>
      <c r="S956" s="1" t="str">
        <f>IF(AND(Programme_Grunddaten!$A961="Geprüft",Programme_Grunddaten!AA961&lt;&gt;""),IF(Programme_Grunddaten!AA961="monolithisch",1,0),"")</f>
        <v/>
      </c>
      <c r="T956" s="1" t="str">
        <f>IF(AND(Programme_Grunddaten!$A961="Geprüft",Programme_Grunddaten!AB961&lt;&gt;""),IF(Programme_Grunddaten!AB961="Ja",1,0),"")</f>
        <v/>
      </c>
      <c r="U956" s="1" t="str">
        <f>IF(AND(Programme_Grunddaten!$A961="Geprüft",Programme_Grunddaten!AC961&lt;&gt;""),IF(Programme_Grunddaten!AC961="Ja",1,0),"")</f>
        <v/>
      </c>
      <c r="V956" s="1" t="str">
        <f>IF(AND(Programme_Grunddaten!$A961="Geprüft",Programme_Grunddaten!AD961&lt;&gt;""),IF(Programme_Grunddaten!AD961="Ja",1,0),"")</f>
        <v/>
      </c>
      <c r="W956" s="1" t="str">
        <f>IF(AND(Programme_Grunddaten!$A961="Geprüft",Programme_Grunddaten!AE961&lt;&gt;""),IF(Programme_Grunddaten!AE961="Ja",1,0),"")</f>
        <v/>
      </c>
      <c r="X956" s="1" t="str">
        <f>IF(AND(Programme_Grunddaten!$A961="Geprüft",Programme_Grunddaten!AF961&lt;&gt;""),IF(Programme_Grunddaten!AF961="Ja",1,0),"")</f>
        <v/>
      </c>
      <c r="Y956" s="1" t="str">
        <f>IF(AND(Programme_Grunddaten!$A961="Geprüft",Programme_Grunddaten!AG961&lt;&gt;""),IF(Programme_Grunddaten!AG961="Ja",1,0),"")</f>
        <v/>
      </c>
      <c r="Z956" s="1" t="str">
        <f>IF(AND(Programme_Grunddaten!$A961="Geprüft",Programme_Grunddaten!AH961&lt;&gt;""),IF(Programme_Grunddaten!AH961="Ja",1,0),"")</f>
        <v/>
      </c>
      <c r="AA956" s="1" t="str">
        <f>IF(AND(Programme_Grunddaten!$A961="Geprüft",Programme_Grunddaten!AI961&lt;&gt;""),IF(Programme_Grunddaten!AI961="Ja",1,0),"")</f>
        <v/>
      </c>
      <c r="AB956" s="1" t="str">
        <f>IF(AND(Programme_Grunddaten!$A961="Geprüft",Programme_Grunddaten!AJ961&lt;&gt;""),IF(Programme_Grunddaten!AJ961="individuell programmierbar",1,0),"")</f>
        <v/>
      </c>
      <c r="AC956" s="1" t="str">
        <f>IF(AND(Programme_Grunddaten!$A961="Geprüft",Programme_Grunddaten!AK961&lt;&gt;""),IF(Programme_Grunddaten!AK961="Deutsch",0,IF(Programme_Grunddaten!AK961="Deutsch und Englisch",1,2)),"")</f>
        <v/>
      </c>
      <c r="AD956" s="1" t="str">
        <f>IF(AND(Programme_Grunddaten!$A961="Geprüft",Programme_Grunddaten!AL961&lt;&gt;""),IF(Programme_Grunddaten!AL961="Ja",1,0),"")</f>
        <v/>
      </c>
      <c r="AE956" s="1" t="str">
        <f>IF(AND(Programme_Grunddaten!$A961="Geprüft",Programme_Grunddaten!AM961&lt;&gt;""),IF(Programme_Grunddaten!AM961="Ja",1,0),"")</f>
        <v/>
      </c>
      <c r="AF956" s="1" t="str">
        <f>IF(AND(Programme_Grunddaten!$A961="Geprüft",Programme_Grunddaten!AN961&lt;&gt;""),IF(Programme_Grunddaten!AN961="Ja",1,0),"")</f>
        <v/>
      </c>
      <c r="AG956" s="1" t="str">
        <f>IF(AND(Programme_Grunddaten!$A961="Geprüft",Programme_Grunddaten!AO961&lt;&gt;""),IF(Programme_Grunddaten!AO961="Ja",1,0),"")</f>
        <v/>
      </c>
      <c r="AH956" s="1" t="str">
        <f>IF(AND(Programme_Grunddaten!$A961="Geprüft",Programme_Grunddaten!AP961&lt;&gt;""),IF(Programme_Grunddaten!AP961="Ja",1,0),"")</f>
        <v/>
      </c>
      <c r="AI956" s="1" t="str">
        <f>IF(AND(Programme_Grunddaten!$A961="Geprüft",Programme_Grunddaten!AQ961&lt;&gt;""),IF(Programme_Grunddaten!AQ961="Ja",1,0),"")</f>
        <v/>
      </c>
      <c r="AJ956" s="1" t="str">
        <f>IF(AND(Programme_Grunddaten!$A961="Geprüft",Programme_Grunddaten!AR961&lt;&gt;""),IF(Programme_Grunddaten!AR961="Ja",1,0),"")</f>
        <v/>
      </c>
      <c r="AK956" s="1" t="str">
        <f>IF(AND(Programme_Grunddaten!$A961="Geprüft",Programme_Grunddaten!AS961&lt;&gt;""),IF(Programme_Grunddaten!AS961="Ja",1,0),"")</f>
        <v/>
      </c>
      <c r="AL956" s="1" t="str">
        <f>IF(AND(Programme_Grunddaten!$A961="Geprüft",Programme_Grunddaten!AT961&lt;&gt;""),IF(Programme_Grunddaten!AT961="Ja",1,0),"")</f>
        <v/>
      </c>
      <c r="AM956" s="1" t="str">
        <f>IF(AND(Programme_Grunddaten!$A961="Geprüft",Programme_Grunddaten!AU961&lt;&gt;""),IF(Programme_Grunddaten!AU961="Ja",1,0),"")</f>
        <v/>
      </c>
      <c r="AN956" s="1" t="str">
        <f>IF(AND(Programme_Grunddaten!$A961="Geprüft",Programme_Grunddaten!AV961&lt;&gt;""),IF(Programme_Grunddaten!AV961="Ja",1,0),"")</f>
        <v/>
      </c>
    </row>
    <row r="957" spans="1:40" x14ac:dyDescent="0.3">
      <c r="A957" s="1" t="str">
        <f>IF(AND(Programme_Grunddaten!A962="Geprüft",Programme_Grunddaten!B962&lt;&gt;""),Programme_Grunddaten!B962,"")</f>
        <v/>
      </c>
      <c r="B957" s="1" t="str">
        <f>IF(AND(Programme_Grunddaten!$A962="Geprüft",Programme_Grunddaten!I962&lt;&gt;""),IF(Programme_Grunddaten!I962="Ja",1,0),"")</f>
        <v/>
      </c>
      <c r="C957" s="1" t="str">
        <f>IF(AND(Programme_Grunddaten!$A962="Geprüft",Programme_Grunddaten!J962&lt;&gt;""),IF(Programme_Grunddaten!J962="Ja",1,0),"")</f>
        <v/>
      </c>
      <c r="D957" s="1" t="str">
        <f>IF(AND(Programme_Grunddaten!$A962="Geprüft",Programme_Grunddaten!K962&lt;&gt;""),IF(Programme_Grunddaten!K962="Ja",1,0),"")</f>
        <v/>
      </c>
      <c r="E957" s="1" t="str">
        <f>IF(AND(Programme_Grunddaten!$A962="Geprüft",Programme_Grunddaten!L962&lt;&gt;""),IF(Programme_Grunddaten!L962="Abo / befristete Lizenz",1,0),"")</f>
        <v/>
      </c>
      <c r="F957" s="1" t="str">
        <f>IF(AND(Programme_Grunddaten!$A962="Geprüft",Programme_Grunddaten!M962&lt;&gt;""),IF(Programme_Grunddaten!M962="Ja",1,0),"")</f>
        <v/>
      </c>
      <c r="G957" s="1" t="str">
        <f>IF(AND(Programme_Grunddaten!$A962="Geprüft",Programme_Grunddaten!N962&lt;&gt;""),IF(Programme_Grunddaten!N962="Ja",1,0),"")</f>
        <v/>
      </c>
      <c r="H957" s="1" t="str">
        <f>IF(AND(Programme_Grunddaten!$A962="Geprüft",Programme_Grunddaten!O962&lt;&gt;""),IF(Programme_Grunddaten!O962="Deutschland",0,IF(Programme_Grunddaten!O962="EU",1,2)),"")</f>
        <v/>
      </c>
      <c r="I957" s="1" t="str">
        <f>IF(AND(Programme_Grunddaten!$A962="Geprüft",Programme_Grunddaten!P962&lt;&gt;""),IF(Programme_Grunddaten!P962="Ja",1,0),"")</f>
        <v/>
      </c>
      <c r="J957" s="1" t="str">
        <f>IF(AND(Programme_Grunddaten!$A962="Geprüft",Programme_Grunddaten!Q962&lt;&gt;""),IF(Programme_Grunddaten!Q962="geschlossenes System",1,0),"")</f>
        <v/>
      </c>
      <c r="K957" s="1" t="str">
        <f>IF(AND(Programme_Grunddaten!$A962="Geprüft",Programme_Grunddaten!R962&lt;&gt;""),IF(Programme_Grunddaten!R962="Ja",1,0),"")</f>
        <v/>
      </c>
      <c r="L957" s="1" t="str">
        <f>IF(AND(Programme_Grunddaten!$A962="Geprüft",Programme_Grunddaten!T962&lt;&gt;""),IF(Programme_Grunddaten!T962="Ja",1,0),"")</f>
        <v/>
      </c>
      <c r="M957" s="1" t="str">
        <f>IF(AND(Programme_Grunddaten!$A962="Geprüft",Programme_Grunddaten!U962&lt;&gt;""),IF(Programme_Grunddaten!U962="Ja",1,0),"")</f>
        <v/>
      </c>
      <c r="N957" s="1" t="str">
        <f>IF(AND(Programme_Grunddaten!$A962="Geprüft",Programme_Grunddaten!V962&lt;&gt;""),IF(Programme_Grunddaten!V962="Ja",1,0),"")</f>
        <v/>
      </c>
      <c r="O957" s="1" t="str">
        <f>IF(AND(Programme_Grunddaten!$A962="Geprüft",Programme_Grunddaten!W962&lt;&gt;""),IF(Programme_Grunddaten!W962="Ja",1,0),"")</f>
        <v/>
      </c>
      <c r="P957" s="1" t="str">
        <f>IF(AND(Programme_Grunddaten!$A962="Geprüft",Programme_Grunddaten!X962&lt;&gt;""),IF(Programme_Grunddaten!X962="Ja",1,0),"")</f>
        <v/>
      </c>
      <c r="Q957" s="1" t="str">
        <f>IF(AND(Programme_Grunddaten!$A962="Geprüft",Programme_Grunddaten!Y962&lt;&gt;""),IF(Programme_Grunddaten!Y962="Ja",1,0),"")</f>
        <v/>
      </c>
      <c r="R957" s="1" t="str">
        <f>IF(AND(Programme_Grunddaten!$A962="Geprüft",Programme_Grunddaten!Z962&lt;&gt;""),IF(Programme_Grunddaten!Z962="Ja",1,0),"")</f>
        <v/>
      </c>
      <c r="S957" s="1" t="str">
        <f>IF(AND(Programme_Grunddaten!$A962="Geprüft",Programme_Grunddaten!AA962&lt;&gt;""),IF(Programme_Grunddaten!AA962="monolithisch",1,0),"")</f>
        <v/>
      </c>
      <c r="T957" s="1" t="str">
        <f>IF(AND(Programme_Grunddaten!$A962="Geprüft",Programme_Grunddaten!AB962&lt;&gt;""),IF(Programme_Grunddaten!AB962="Ja",1,0),"")</f>
        <v/>
      </c>
      <c r="U957" s="1" t="str">
        <f>IF(AND(Programme_Grunddaten!$A962="Geprüft",Programme_Grunddaten!AC962&lt;&gt;""),IF(Programme_Grunddaten!AC962="Ja",1,0),"")</f>
        <v/>
      </c>
      <c r="V957" s="1" t="str">
        <f>IF(AND(Programme_Grunddaten!$A962="Geprüft",Programme_Grunddaten!AD962&lt;&gt;""),IF(Programme_Grunddaten!AD962="Ja",1,0),"")</f>
        <v/>
      </c>
      <c r="W957" s="1" t="str">
        <f>IF(AND(Programme_Grunddaten!$A962="Geprüft",Programme_Grunddaten!AE962&lt;&gt;""),IF(Programme_Grunddaten!AE962="Ja",1,0),"")</f>
        <v/>
      </c>
      <c r="X957" s="1" t="str">
        <f>IF(AND(Programme_Grunddaten!$A962="Geprüft",Programme_Grunddaten!AF962&lt;&gt;""),IF(Programme_Grunddaten!AF962="Ja",1,0),"")</f>
        <v/>
      </c>
      <c r="Y957" s="1" t="str">
        <f>IF(AND(Programme_Grunddaten!$A962="Geprüft",Programme_Grunddaten!AG962&lt;&gt;""),IF(Programme_Grunddaten!AG962="Ja",1,0),"")</f>
        <v/>
      </c>
      <c r="Z957" s="1" t="str">
        <f>IF(AND(Programme_Grunddaten!$A962="Geprüft",Programme_Grunddaten!AH962&lt;&gt;""),IF(Programme_Grunddaten!AH962="Ja",1,0),"")</f>
        <v/>
      </c>
      <c r="AA957" s="1" t="str">
        <f>IF(AND(Programme_Grunddaten!$A962="Geprüft",Programme_Grunddaten!AI962&lt;&gt;""),IF(Programme_Grunddaten!AI962="Ja",1,0),"")</f>
        <v/>
      </c>
      <c r="AB957" s="1" t="str">
        <f>IF(AND(Programme_Grunddaten!$A962="Geprüft",Programme_Grunddaten!AJ962&lt;&gt;""),IF(Programme_Grunddaten!AJ962="individuell programmierbar",1,0),"")</f>
        <v/>
      </c>
      <c r="AC957" s="1" t="str">
        <f>IF(AND(Programme_Grunddaten!$A962="Geprüft",Programme_Grunddaten!AK962&lt;&gt;""),IF(Programme_Grunddaten!AK962="Deutsch",0,IF(Programme_Grunddaten!AK962="Deutsch und Englisch",1,2)),"")</f>
        <v/>
      </c>
      <c r="AD957" s="1" t="str">
        <f>IF(AND(Programme_Grunddaten!$A962="Geprüft",Programme_Grunddaten!AL962&lt;&gt;""),IF(Programme_Grunddaten!AL962="Ja",1,0),"")</f>
        <v/>
      </c>
      <c r="AE957" s="1" t="str">
        <f>IF(AND(Programme_Grunddaten!$A962="Geprüft",Programme_Grunddaten!AM962&lt;&gt;""),IF(Programme_Grunddaten!AM962="Ja",1,0),"")</f>
        <v/>
      </c>
      <c r="AF957" s="1" t="str">
        <f>IF(AND(Programme_Grunddaten!$A962="Geprüft",Programme_Grunddaten!AN962&lt;&gt;""),IF(Programme_Grunddaten!AN962="Ja",1,0),"")</f>
        <v/>
      </c>
      <c r="AG957" s="1" t="str">
        <f>IF(AND(Programme_Grunddaten!$A962="Geprüft",Programme_Grunddaten!AO962&lt;&gt;""),IF(Programme_Grunddaten!AO962="Ja",1,0),"")</f>
        <v/>
      </c>
      <c r="AH957" s="1" t="str">
        <f>IF(AND(Programme_Grunddaten!$A962="Geprüft",Programme_Grunddaten!AP962&lt;&gt;""),IF(Programme_Grunddaten!AP962="Ja",1,0),"")</f>
        <v/>
      </c>
      <c r="AI957" s="1" t="str">
        <f>IF(AND(Programme_Grunddaten!$A962="Geprüft",Programme_Grunddaten!AQ962&lt;&gt;""),IF(Programme_Grunddaten!AQ962="Ja",1,0),"")</f>
        <v/>
      </c>
      <c r="AJ957" s="1" t="str">
        <f>IF(AND(Programme_Grunddaten!$A962="Geprüft",Programme_Grunddaten!AR962&lt;&gt;""),IF(Programme_Grunddaten!AR962="Ja",1,0),"")</f>
        <v/>
      </c>
      <c r="AK957" s="1" t="str">
        <f>IF(AND(Programme_Grunddaten!$A962="Geprüft",Programme_Grunddaten!AS962&lt;&gt;""),IF(Programme_Grunddaten!AS962="Ja",1,0),"")</f>
        <v/>
      </c>
      <c r="AL957" s="1" t="str">
        <f>IF(AND(Programme_Grunddaten!$A962="Geprüft",Programme_Grunddaten!AT962&lt;&gt;""),IF(Programme_Grunddaten!AT962="Ja",1,0),"")</f>
        <v/>
      </c>
      <c r="AM957" s="1" t="str">
        <f>IF(AND(Programme_Grunddaten!$A962="Geprüft",Programme_Grunddaten!AU962&lt;&gt;""),IF(Programme_Grunddaten!AU962="Ja",1,0),"")</f>
        <v/>
      </c>
      <c r="AN957" s="1" t="str">
        <f>IF(AND(Programme_Grunddaten!$A962="Geprüft",Programme_Grunddaten!AV962&lt;&gt;""),IF(Programme_Grunddaten!AV962="Ja",1,0),"")</f>
        <v/>
      </c>
    </row>
    <row r="958" spans="1:40" x14ac:dyDescent="0.3">
      <c r="A958" s="1" t="str">
        <f>IF(AND(Programme_Grunddaten!A963="Geprüft",Programme_Grunddaten!B963&lt;&gt;""),Programme_Grunddaten!B963,"")</f>
        <v/>
      </c>
      <c r="B958" s="1" t="str">
        <f>IF(AND(Programme_Grunddaten!$A963="Geprüft",Programme_Grunddaten!I963&lt;&gt;""),IF(Programme_Grunddaten!I963="Ja",1,0),"")</f>
        <v/>
      </c>
      <c r="C958" s="1" t="str">
        <f>IF(AND(Programme_Grunddaten!$A963="Geprüft",Programme_Grunddaten!J963&lt;&gt;""),IF(Programme_Grunddaten!J963="Ja",1,0),"")</f>
        <v/>
      </c>
      <c r="D958" s="1" t="str">
        <f>IF(AND(Programme_Grunddaten!$A963="Geprüft",Programme_Grunddaten!K963&lt;&gt;""),IF(Programme_Grunddaten!K963="Ja",1,0),"")</f>
        <v/>
      </c>
      <c r="E958" s="1" t="str">
        <f>IF(AND(Programme_Grunddaten!$A963="Geprüft",Programme_Grunddaten!L963&lt;&gt;""),IF(Programme_Grunddaten!L963="Abo / befristete Lizenz",1,0),"")</f>
        <v/>
      </c>
      <c r="F958" s="1" t="str">
        <f>IF(AND(Programme_Grunddaten!$A963="Geprüft",Programme_Grunddaten!M963&lt;&gt;""),IF(Programme_Grunddaten!M963="Ja",1,0),"")</f>
        <v/>
      </c>
      <c r="G958" s="1" t="str">
        <f>IF(AND(Programme_Grunddaten!$A963="Geprüft",Programme_Grunddaten!N963&lt;&gt;""),IF(Programme_Grunddaten!N963="Ja",1,0),"")</f>
        <v/>
      </c>
      <c r="H958" s="1" t="str">
        <f>IF(AND(Programme_Grunddaten!$A963="Geprüft",Programme_Grunddaten!O963&lt;&gt;""),IF(Programme_Grunddaten!O963="Deutschland",0,IF(Programme_Grunddaten!O963="EU",1,2)),"")</f>
        <v/>
      </c>
      <c r="I958" s="1" t="str">
        <f>IF(AND(Programme_Grunddaten!$A963="Geprüft",Programme_Grunddaten!P963&lt;&gt;""),IF(Programme_Grunddaten!P963="Ja",1,0),"")</f>
        <v/>
      </c>
      <c r="J958" s="1" t="str">
        <f>IF(AND(Programme_Grunddaten!$A963="Geprüft",Programme_Grunddaten!Q963&lt;&gt;""),IF(Programme_Grunddaten!Q963="geschlossenes System",1,0),"")</f>
        <v/>
      </c>
      <c r="K958" s="1" t="str">
        <f>IF(AND(Programme_Grunddaten!$A963="Geprüft",Programme_Grunddaten!R963&lt;&gt;""),IF(Programme_Grunddaten!R963="Ja",1,0),"")</f>
        <v/>
      </c>
      <c r="L958" s="1" t="str">
        <f>IF(AND(Programme_Grunddaten!$A963="Geprüft",Programme_Grunddaten!T963&lt;&gt;""),IF(Programme_Grunddaten!T963="Ja",1,0),"")</f>
        <v/>
      </c>
      <c r="M958" s="1" t="str">
        <f>IF(AND(Programme_Grunddaten!$A963="Geprüft",Programme_Grunddaten!U963&lt;&gt;""),IF(Programme_Grunddaten!U963="Ja",1,0),"")</f>
        <v/>
      </c>
      <c r="N958" s="1" t="str">
        <f>IF(AND(Programme_Grunddaten!$A963="Geprüft",Programme_Grunddaten!V963&lt;&gt;""),IF(Programme_Grunddaten!V963="Ja",1,0),"")</f>
        <v/>
      </c>
      <c r="O958" s="1" t="str">
        <f>IF(AND(Programme_Grunddaten!$A963="Geprüft",Programme_Grunddaten!W963&lt;&gt;""),IF(Programme_Grunddaten!W963="Ja",1,0),"")</f>
        <v/>
      </c>
      <c r="P958" s="1" t="str">
        <f>IF(AND(Programme_Grunddaten!$A963="Geprüft",Programme_Grunddaten!X963&lt;&gt;""),IF(Programme_Grunddaten!X963="Ja",1,0),"")</f>
        <v/>
      </c>
      <c r="Q958" s="1" t="str">
        <f>IF(AND(Programme_Grunddaten!$A963="Geprüft",Programme_Grunddaten!Y963&lt;&gt;""),IF(Programme_Grunddaten!Y963="Ja",1,0),"")</f>
        <v/>
      </c>
      <c r="R958" s="1" t="str">
        <f>IF(AND(Programme_Grunddaten!$A963="Geprüft",Programme_Grunddaten!Z963&lt;&gt;""),IF(Programme_Grunddaten!Z963="Ja",1,0),"")</f>
        <v/>
      </c>
      <c r="S958" s="1" t="str">
        <f>IF(AND(Programme_Grunddaten!$A963="Geprüft",Programme_Grunddaten!AA963&lt;&gt;""),IF(Programme_Grunddaten!AA963="monolithisch",1,0),"")</f>
        <v/>
      </c>
      <c r="T958" s="1" t="str">
        <f>IF(AND(Programme_Grunddaten!$A963="Geprüft",Programme_Grunddaten!AB963&lt;&gt;""),IF(Programme_Grunddaten!AB963="Ja",1,0),"")</f>
        <v/>
      </c>
      <c r="U958" s="1" t="str">
        <f>IF(AND(Programme_Grunddaten!$A963="Geprüft",Programme_Grunddaten!AC963&lt;&gt;""),IF(Programme_Grunddaten!AC963="Ja",1,0),"")</f>
        <v/>
      </c>
      <c r="V958" s="1" t="str">
        <f>IF(AND(Programme_Grunddaten!$A963="Geprüft",Programme_Grunddaten!AD963&lt;&gt;""),IF(Programme_Grunddaten!AD963="Ja",1,0),"")</f>
        <v/>
      </c>
      <c r="W958" s="1" t="str">
        <f>IF(AND(Programme_Grunddaten!$A963="Geprüft",Programme_Grunddaten!AE963&lt;&gt;""),IF(Programme_Grunddaten!AE963="Ja",1,0),"")</f>
        <v/>
      </c>
      <c r="X958" s="1" t="str">
        <f>IF(AND(Programme_Grunddaten!$A963="Geprüft",Programme_Grunddaten!AF963&lt;&gt;""),IF(Programme_Grunddaten!AF963="Ja",1,0),"")</f>
        <v/>
      </c>
      <c r="Y958" s="1" t="str">
        <f>IF(AND(Programme_Grunddaten!$A963="Geprüft",Programme_Grunddaten!AG963&lt;&gt;""),IF(Programme_Grunddaten!AG963="Ja",1,0),"")</f>
        <v/>
      </c>
      <c r="Z958" s="1" t="str">
        <f>IF(AND(Programme_Grunddaten!$A963="Geprüft",Programme_Grunddaten!AH963&lt;&gt;""),IF(Programme_Grunddaten!AH963="Ja",1,0),"")</f>
        <v/>
      </c>
      <c r="AA958" s="1" t="str">
        <f>IF(AND(Programme_Grunddaten!$A963="Geprüft",Programme_Grunddaten!AI963&lt;&gt;""),IF(Programme_Grunddaten!AI963="Ja",1,0),"")</f>
        <v/>
      </c>
      <c r="AB958" s="1" t="str">
        <f>IF(AND(Programme_Grunddaten!$A963="Geprüft",Programme_Grunddaten!AJ963&lt;&gt;""),IF(Programme_Grunddaten!AJ963="individuell programmierbar",1,0),"")</f>
        <v/>
      </c>
      <c r="AC958" s="1" t="str">
        <f>IF(AND(Programme_Grunddaten!$A963="Geprüft",Programme_Grunddaten!AK963&lt;&gt;""),IF(Programme_Grunddaten!AK963="Deutsch",0,IF(Programme_Grunddaten!AK963="Deutsch und Englisch",1,2)),"")</f>
        <v/>
      </c>
      <c r="AD958" s="1" t="str">
        <f>IF(AND(Programme_Grunddaten!$A963="Geprüft",Programme_Grunddaten!AL963&lt;&gt;""),IF(Programme_Grunddaten!AL963="Ja",1,0),"")</f>
        <v/>
      </c>
      <c r="AE958" s="1" t="str">
        <f>IF(AND(Programme_Grunddaten!$A963="Geprüft",Programme_Grunddaten!AM963&lt;&gt;""),IF(Programme_Grunddaten!AM963="Ja",1,0),"")</f>
        <v/>
      </c>
      <c r="AF958" s="1" t="str">
        <f>IF(AND(Programme_Grunddaten!$A963="Geprüft",Programme_Grunddaten!AN963&lt;&gt;""),IF(Programme_Grunddaten!AN963="Ja",1,0),"")</f>
        <v/>
      </c>
      <c r="AG958" s="1" t="str">
        <f>IF(AND(Programme_Grunddaten!$A963="Geprüft",Programme_Grunddaten!AO963&lt;&gt;""),IF(Programme_Grunddaten!AO963="Ja",1,0),"")</f>
        <v/>
      </c>
      <c r="AH958" s="1" t="str">
        <f>IF(AND(Programme_Grunddaten!$A963="Geprüft",Programme_Grunddaten!AP963&lt;&gt;""),IF(Programme_Grunddaten!AP963="Ja",1,0),"")</f>
        <v/>
      </c>
      <c r="AI958" s="1" t="str">
        <f>IF(AND(Programme_Grunddaten!$A963="Geprüft",Programme_Grunddaten!AQ963&lt;&gt;""),IF(Programme_Grunddaten!AQ963="Ja",1,0),"")</f>
        <v/>
      </c>
      <c r="AJ958" s="1" t="str">
        <f>IF(AND(Programme_Grunddaten!$A963="Geprüft",Programme_Grunddaten!AR963&lt;&gt;""),IF(Programme_Grunddaten!AR963="Ja",1,0),"")</f>
        <v/>
      </c>
      <c r="AK958" s="1" t="str">
        <f>IF(AND(Programme_Grunddaten!$A963="Geprüft",Programme_Grunddaten!AS963&lt;&gt;""),IF(Programme_Grunddaten!AS963="Ja",1,0),"")</f>
        <v/>
      </c>
      <c r="AL958" s="1" t="str">
        <f>IF(AND(Programme_Grunddaten!$A963="Geprüft",Programme_Grunddaten!AT963&lt;&gt;""),IF(Programme_Grunddaten!AT963="Ja",1,0),"")</f>
        <v/>
      </c>
      <c r="AM958" s="1" t="str">
        <f>IF(AND(Programme_Grunddaten!$A963="Geprüft",Programme_Grunddaten!AU963&lt;&gt;""),IF(Programme_Grunddaten!AU963="Ja",1,0),"")</f>
        <v/>
      </c>
      <c r="AN958" s="1" t="str">
        <f>IF(AND(Programme_Grunddaten!$A963="Geprüft",Programme_Grunddaten!AV963&lt;&gt;""),IF(Programme_Grunddaten!AV963="Ja",1,0),"")</f>
        <v/>
      </c>
    </row>
    <row r="959" spans="1:40" x14ac:dyDescent="0.3">
      <c r="A959" s="1" t="str">
        <f>IF(AND(Programme_Grunddaten!A964="Geprüft",Programme_Grunddaten!B964&lt;&gt;""),Programme_Grunddaten!B964,"")</f>
        <v/>
      </c>
      <c r="B959" s="1" t="str">
        <f>IF(AND(Programme_Grunddaten!$A964="Geprüft",Programme_Grunddaten!I964&lt;&gt;""),IF(Programme_Grunddaten!I964="Ja",1,0),"")</f>
        <v/>
      </c>
      <c r="C959" s="1" t="str">
        <f>IF(AND(Programme_Grunddaten!$A964="Geprüft",Programme_Grunddaten!J964&lt;&gt;""),IF(Programme_Grunddaten!J964="Ja",1,0),"")</f>
        <v/>
      </c>
      <c r="D959" s="1" t="str">
        <f>IF(AND(Programme_Grunddaten!$A964="Geprüft",Programme_Grunddaten!K964&lt;&gt;""),IF(Programme_Grunddaten!K964="Ja",1,0),"")</f>
        <v/>
      </c>
      <c r="E959" s="1" t="str">
        <f>IF(AND(Programme_Grunddaten!$A964="Geprüft",Programme_Grunddaten!L964&lt;&gt;""),IF(Programme_Grunddaten!L964="Abo / befristete Lizenz",1,0),"")</f>
        <v/>
      </c>
      <c r="F959" s="1" t="str">
        <f>IF(AND(Programme_Grunddaten!$A964="Geprüft",Programme_Grunddaten!M964&lt;&gt;""),IF(Programme_Grunddaten!M964="Ja",1,0),"")</f>
        <v/>
      </c>
      <c r="G959" s="1" t="str">
        <f>IF(AND(Programme_Grunddaten!$A964="Geprüft",Programme_Grunddaten!N964&lt;&gt;""),IF(Programme_Grunddaten!N964="Ja",1,0),"")</f>
        <v/>
      </c>
      <c r="H959" s="1" t="str">
        <f>IF(AND(Programme_Grunddaten!$A964="Geprüft",Programme_Grunddaten!O964&lt;&gt;""),IF(Programme_Grunddaten!O964="Deutschland",0,IF(Programme_Grunddaten!O964="EU",1,2)),"")</f>
        <v/>
      </c>
      <c r="I959" s="1" t="str">
        <f>IF(AND(Programme_Grunddaten!$A964="Geprüft",Programme_Grunddaten!P964&lt;&gt;""),IF(Programme_Grunddaten!P964="Ja",1,0),"")</f>
        <v/>
      </c>
      <c r="J959" s="1" t="str">
        <f>IF(AND(Programme_Grunddaten!$A964="Geprüft",Programme_Grunddaten!Q964&lt;&gt;""),IF(Programme_Grunddaten!Q964="geschlossenes System",1,0),"")</f>
        <v/>
      </c>
      <c r="K959" s="1" t="str">
        <f>IF(AND(Programme_Grunddaten!$A964="Geprüft",Programme_Grunddaten!R964&lt;&gt;""),IF(Programme_Grunddaten!R964="Ja",1,0),"")</f>
        <v/>
      </c>
      <c r="L959" s="1" t="str">
        <f>IF(AND(Programme_Grunddaten!$A964="Geprüft",Programme_Grunddaten!T964&lt;&gt;""),IF(Programme_Grunddaten!T964="Ja",1,0),"")</f>
        <v/>
      </c>
      <c r="M959" s="1" t="str">
        <f>IF(AND(Programme_Grunddaten!$A964="Geprüft",Programme_Grunddaten!U964&lt;&gt;""),IF(Programme_Grunddaten!U964="Ja",1,0),"")</f>
        <v/>
      </c>
      <c r="N959" s="1" t="str">
        <f>IF(AND(Programme_Grunddaten!$A964="Geprüft",Programme_Grunddaten!V964&lt;&gt;""),IF(Programme_Grunddaten!V964="Ja",1,0),"")</f>
        <v/>
      </c>
      <c r="O959" s="1" t="str">
        <f>IF(AND(Programme_Grunddaten!$A964="Geprüft",Programme_Grunddaten!W964&lt;&gt;""),IF(Programme_Grunddaten!W964="Ja",1,0),"")</f>
        <v/>
      </c>
      <c r="P959" s="1" t="str">
        <f>IF(AND(Programme_Grunddaten!$A964="Geprüft",Programme_Grunddaten!X964&lt;&gt;""),IF(Programme_Grunddaten!X964="Ja",1,0),"")</f>
        <v/>
      </c>
      <c r="Q959" s="1" t="str">
        <f>IF(AND(Programme_Grunddaten!$A964="Geprüft",Programme_Grunddaten!Y964&lt;&gt;""),IF(Programme_Grunddaten!Y964="Ja",1,0),"")</f>
        <v/>
      </c>
      <c r="R959" s="1" t="str">
        <f>IF(AND(Programme_Grunddaten!$A964="Geprüft",Programme_Grunddaten!Z964&lt;&gt;""),IF(Programme_Grunddaten!Z964="Ja",1,0),"")</f>
        <v/>
      </c>
      <c r="S959" s="1" t="str">
        <f>IF(AND(Programme_Grunddaten!$A964="Geprüft",Programme_Grunddaten!AA964&lt;&gt;""),IF(Programme_Grunddaten!AA964="monolithisch",1,0),"")</f>
        <v/>
      </c>
      <c r="T959" s="1" t="str">
        <f>IF(AND(Programme_Grunddaten!$A964="Geprüft",Programme_Grunddaten!AB964&lt;&gt;""),IF(Programme_Grunddaten!AB964="Ja",1,0),"")</f>
        <v/>
      </c>
      <c r="U959" s="1" t="str">
        <f>IF(AND(Programme_Grunddaten!$A964="Geprüft",Programme_Grunddaten!AC964&lt;&gt;""),IF(Programme_Grunddaten!AC964="Ja",1,0),"")</f>
        <v/>
      </c>
      <c r="V959" s="1" t="str">
        <f>IF(AND(Programme_Grunddaten!$A964="Geprüft",Programme_Grunddaten!AD964&lt;&gt;""),IF(Programme_Grunddaten!AD964="Ja",1,0),"")</f>
        <v/>
      </c>
      <c r="W959" s="1" t="str">
        <f>IF(AND(Programme_Grunddaten!$A964="Geprüft",Programme_Grunddaten!AE964&lt;&gt;""),IF(Programme_Grunddaten!AE964="Ja",1,0),"")</f>
        <v/>
      </c>
      <c r="X959" s="1" t="str">
        <f>IF(AND(Programme_Grunddaten!$A964="Geprüft",Programme_Grunddaten!AF964&lt;&gt;""),IF(Programme_Grunddaten!AF964="Ja",1,0),"")</f>
        <v/>
      </c>
      <c r="Y959" s="1" t="str">
        <f>IF(AND(Programme_Grunddaten!$A964="Geprüft",Programme_Grunddaten!AG964&lt;&gt;""),IF(Programme_Grunddaten!AG964="Ja",1,0),"")</f>
        <v/>
      </c>
      <c r="Z959" s="1" t="str">
        <f>IF(AND(Programme_Grunddaten!$A964="Geprüft",Programme_Grunddaten!AH964&lt;&gt;""),IF(Programme_Grunddaten!AH964="Ja",1,0),"")</f>
        <v/>
      </c>
      <c r="AA959" s="1" t="str">
        <f>IF(AND(Programme_Grunddaten!$A964="Geprüft",Programme_Grunddaten!AI964&lt;&gt;""),IF(Programme_Grunddaten!AI964="Ja",1,0),"")</f>
        <v/>
      </c>
      <c r="AB959" s="1" t="str">
        <f>IF(AND(Programme_Grunddaten!$A964="Geprüft",Programme_Grunddaten!AJ964&lt;&gt;""),IF(Programme_Grunddaten!AJ964="individuell programmierbar",1,0),"")</f>
        <v/>
      </c>
      <c r="AC959" s="1" t="str">
        <f>IF(AND(Programme_Grunddaten!$A964="Geprüft",Programme_Grunddaten!AK964&lt;&gt;""),IF(Programme_Grunddaten!AK964="Deutsch",0,IF(Programme_Grunddaten!AK964="Deutsch und Englisch",1,2)),"")</f>
        <v/>
      </c>
      <c r="AD959" s="1" t="str">
        <f>IF(AND(Programme_Grunddaten!$A964="Geprüft",Programme_Grunddaten!AL964&lt;&gt;""),IF(Programme_Grunddaten!AL964="Ja",1,0),"")</f>
        <v/>
      </c>
      <c r="AE959" s="1" t="str">
        <f>IF(AND(Programme_Grunddaten!$A964="Geprüft",Programme_Grunddaten!AM964&lt;&gt;""),IF(Programme_Grunddaten!AM964="Ja",1,0),"")</f>
        <v/>
      </c>
      <c r="AF959" s="1" t="str">
        <f>IF(AND(Programme_Grunddaten!$A964="Geprüft",Programme_Grunddaten!AN964&lt;&gt;""),IF(Programme_Grunddaten!AN964="Ja",1,0),"")</f>
        <v/>
      </c>
      <c r="AG959" s="1" t="str">
        <f>IF(AND(Programme_Grunddaten!$A964="Geprüft",Programme_Grunddaten!AO964&lt;&gt;""),IF(Programme_Grunddaten!AO964="Ja",1,0),"")</f>
        <v/>
      </c>
      <c r="AH959" s="1" t="str">
        <f>IF(AND(Programme_Grunddaten!$A964="Geprüft",Programme_Grunddaten!AP964&lt;&gt;""),IF(Programme_Grunddaten!AP964="Ja",1,0),"")</f>
        <v/>
      </c>
      <c r="AI959" s="1" t="str">
        <f>IF(AND(Programme_Grunddaten!$A964="Geprüft",Programme_Grunddaten!AQ964&lt;&gt;""),IF(Programme_Grunddaten!AQ964="Ja",1,0),"")</f>
        <v/>
      </c>
      <c r="AJ959" s="1" t="str">
        <f>IF(AND(Programme_Grunddaten!$A964="Geprüft",Programme_Grunddaten!AR964&lt;&gt;""),IF(Programme_Grunddaten!AR964="Ja",1,0),"")</f>
        <v/>
      </c>
      <c r="AK959" s="1" t="str">
        <f>IF(AND(Programme_Grunddaten!$A964="Geprüft",Programme_Grunddaten!AS964&lt;&gt;""),IF(Programme_Grunddaten!AS964="Ja",1,0),"")</f>
        <v/>
      </c>
      <c r="AL959" s="1" t="str">
        <f>IF(AND(Programme_Grunddaten!$A964="Geprüft",Programme_Grunddaten!AT964&lt;&gt;""),IF(Programme_Grunddaten!AT964="Ja",1,0),"")</f>
        <v/>
      </c>
      <c r="AM959" s="1" t="str">
        <f>IF(AND(Programme_Grunddaten!$A964="Geprüft",Programme_Grunddaten!AU964&lt;&gt;""),IF(Programme_Grunddaten!AU964="Ja",1,0),"")</f>
        <v/>
      </c>
      <c r="AN959" s="1" t="str">
        <f>IF(AND(Programme_Grunddaten!$A964="Geprüft",Programme_Grunddaten!AV964&lt;&gt;""),IF(Programme_Grunddaten!AV964="Ja",1,0),"")</f>
        <v/>
      </c>
    </row>
    <row r="960" spans="1:40" x14ac:dyDescent="0.3">
      <c r="A960" s="1" t="str">
        <f>IF(AND(Programme_Grunddaten!A965="Geprüft",Programme_Grunddaten!B965&lt;&gt;""),Programme_Grunddaten!B965,"")</f>
        <v/>
      </c>
      <c r="B960" s="1" t="str">
        <f>IF(AND(Programme_Grunddaten!$A965="Geprüft",Programme_Grunddaten!I965&lt;&gt;""),IF(Programme_Grunddaten!I965="Ja",1,0),"")</f>
        <v/>
      </c>
      <c r="C960" s="1" t="str">
        <f>IF(AND(Programme_Grunddaten!$A965="Geprüft",Programme_Grunddaten!J965&lt;&gt;""),IF(Programme_Grunddaten!J965="Ja",1,0),"")</f>
        <v/>
      </c>
      <c r="D960" s="1" t="str">
        <f>IF(AND(Programme_Grunddaten!$A965="Geprüft",Programme_Grunddaten!K965&lt;&gt;""),IF(Programme_Grunddaten!K965="Ja",1,0),"")</f>
        <v/>
      </c>
      <c r="E960" s="1" t="str">
        <f>IF(AND(Programme_Grunddaten!$A965="Geprüft",Programme_Grunddaten!L965&lt;&gt;""),IF(Programme_Grunddaten!L965="Abo / befristete Lizenz",1,0),"")</f>
        <v/>
      </c>
      <c r="F960" s="1" t="str">
        <f>IF(AND(Programme_Grunddaten!$A965="Geprüft",Programme_Grunddaten!M965&lt;&gt;""),IF(Programme_Grunddaten!M965="Ja",1,0),"")</f>
        <v/>
      </c>
      <c r="G960" s="1" t="str">
        <f>IF(AND(Programme_Grunddaten!$A965="Geprüft",Programme_Grunddaten!N965&lt;&gt;""),IF(Programme_Grunddaten!N965="Ja",1,0),"")</f>
        <v/>
      </c>
      <c r="H960" s="1" t="str">
        <f>IF(AND(Programme_Grunddaten!$A965="Geprüft",Programme_Grunddaten!O965&lt;&gt;""),IF(Programme_Grunddaten!O965="Deutschland",0,IF(Programme_Grunddaten!O965="EU",1,2)),"")</f>
        <v/>
      </c>
      <c r="I960" s="1" t="str">
        <f>IF(AND(Programme_Grunddaten!$A965="Geprüft",Programme_Grunddaten!P965&lt;&gt;""),IF(Programme_Grunddaten!P965="Ja",1,0),"")</f>
        <v/>
      </c>
      <c r="J960" s="1" t="str">
        <f>IF(AND(Programme_Grunddaten!$A965="Geprüft",Programme_Grunddaten!Q965&lt;&gt;""),IF(Programme_Grunddaten!Q965="geschlossenes System",1,0),"")</f>
        <v/>
      </c>
      <c r="K960" s="1" t="str">
        <f>IF(AND(Programme_Grunddaten!$A965="Geprüft",Programme_Grunddaten!R965&lt;&gt;""),IF(Programme_Grunddaten!R965="Ja",1,0),"")</f>
        <v/>
      </c>
      <c r="L960" s="1" t="str">
        <f>IF(AND(Programme_Grunddaten!$A965="Geprüft",Programme_Grunddaten!T965&lt;&gt;""),IF(Programme_Grunddaten!T965="Ja",1,0),"")</f>
        <v/>
      </c>
      <c r="M960" s="1" t="str">
        <f>IF(AND(Programme_Grunddaten!$A965="Geprüft",Programme_Grunddaten!U965&lt;&gt;""),IF(Programme_Grunddaten!U965="Ja",1,0),"")</f>
        <v/>
      </c>
      <c r="N960" s="1" t="str">
        <f>IF(AND(Programme_Grunddaten!$A965="Geprüft",Programme_Grunddaten!V965&lt;&gt;""),IF(Programme_Grunddaten!V965="Ja",1,0),"")</f>
        <v/>
      </c>
      <c r="O960" s="1" t="str">
        <f>IF(AND(Programme_Grunddaten!$A965="Geprüft",Programme_Grunddaten!W965&lt;&gt;""),IF(Programme_Grunddaten!W965="Ja",1,0),"")</f>
        <v/>
      </c>
      <c r="P960" s="1" t="str">
        <f>IF(AND(Programme_Grunddaten!$A965="Geprüft",Programme_Grunddaten!X965&lt;&gt;""),IF(Programme_Grunddaten!X965="Ja",1,0),"")</f>
        <v/>
      </c>
      <c r="Q960" s="1" t="str">
        <f>IF(AND(Programme_Grunddaten!$A965="Geprüft",Programme_Grunddaten!Y965&lt;&gt;""),IF(Programme_Grunddaten!Y965="Ja",1,0),"")</f>
        <v/>
      </c>
      <c r="R960" s="1" t="str">
        <f>IF(AND(Programme_Grunddaten!$A965="Geprüft",Programme_Grunddaten!Z965&lt;&gt;""),IF(Programme_Grunddaten!Z965="Ja",1,0),"")</f>
        <v/>
      </c>
      <c r="S960" s="1" t="str">
        <f>IF(AND(Programme_Grunddaten!$A965="Geprüft",Programme_Grunddaten!AA965&lt;&gt;""),IF(Programme_Grunddaten!AA965="monolithisch",1,0),"")</f>
        <v/>
      </c>
      <c r="T960" s="1" t="str">
        <f>IF(AND(Programme_Grunddaten!$A965="Geprüft",Programme_Grunddaten!AB965&lt;&gt;""),IF(Programme_Grunddaten!AB965="Ja",1,0),"")</f>
        <v/>
      </c>
      <c r="U960" s="1" t="str">
        <f>IF(AND(Programme_Grunddaten!$A965="Geprüft",Programme_Grunddaten!AC965&lt;&gt;""),IF(Programme_Grunddaten!AC965="Ja",1,0),"")</f>
        <v/>
      </c>
      <c r="V960" s="1" t="str">
        <f>IF(AND(Programme_Grunddaten!$A965="Geprüft",Programme_Grunddaten!AD965&lt;&gt;""),IF(Programme_Grunddaten!AD965="Ja",1,0),"")</f>
        <v/>
      </c>
      <c r="W960" s="1" t="str">
        <f>IF(AND(Programme_Grunddaten!$A965="Geprüft",Programme_Grunddaten!AE965&lt;&gt;""),IF(Programme_Grunddaten!AE965="Ja",1,0),"")</f>
        <v/>
      </c>
      <c r="X960" s="1" t="str">
        <f>IF(AND(Programme_Grunddaten!$A965="Geprüft",Programme_Grunddaten!AF965&lt;&gt;""),IF(Programme_Grunddaten!AF965="Ja",1,0),"")</f>
        <v/>
      </c>
      <c r="Y960" s="1" t="str">
        <f>IF(AND(Programme_Grunddaten!$A965="Geprüft",Programme_Grunddaten!AG965&lt;&gt;""),IF(Programme_Grunddaten!AG965="Ja",1,0),"")</f>
        <v/>
      </c>
      <c r="Z960" s="1" t="str">
        <f>IF(AND(Programme_Grunddaten!$A965="Geprüft",Programme_Grunddaten!AH965&lt;&gt;""),IF(Programme_Grunddaten!AH965="Ja",1,0),"")</f>
        <v/>
      </c>
      <c r="AA960" s="1" t="str">
        <f>IF(AND(Programme_Grunddaten!$A965="Geprüft",Programme_Grunddaten!AI965&lt;&gt;""),IF(Programme_Grunddaten!AI965="Ja",1,0),"")</f>
        <v/>
      </c>
      <c r="AB960" s="1" t="str">
        <f>IF(AND(Programme_Grunddaten!$A965="Geprüft",Programme_Grunddaten!AJ965&lt;&gt;""),IF(Programme_Grunddaten!AJ965="individuell programmierbar",1,0),"")</f>
        <v/>
      </c>
      <c r="AC960" s="1" t="str">
        <f>IF(AND(Programme_Grunddaten!$A965="Geprüft",Programme_Grunddaten!AK965&lt;&gt;""),IF(Programme_Grunddaten!AK965="Deutsch",0,IF(Programme_Grunddaten!AK965="Deutsch und Englisch",1,2)),"")</f>
        <v/>
      </c>
      <c r="AD960" s="1" t="str">
        <f>IF(AND(Programme_Grunddaten!$A965="Geprüft",Programme_Grunddaten!AL965&lt;&gt;""),IF(Programme_Grunddaten!AL965="Ja",1,0),"")</f>
        <v/>
      </c>
      <c r="AE960" s="1" t="str">
        <f>IF(AND(Programme_Grunddaten!$A965="Geprüft",Programme_Grunddaten!AM965&lt;&gt;""),IF(Programme_Grunddaten!AM965="Ja",1,0),"")</f>
        <v/>
      </c>
      <c r="AF960" s="1" t="str">
        <f>IF(AND(Programme_Grunddaten!$A965="Geprüft",Programme_Grunddaten!AN965&lt;&gt;""),IF(Programme_Grunddaten!AN965="Ja",1,0),"")</f>
        <v/>
      </c>
      <c r="AG960" s="1" t="str">
        <f>IF(AND(Programme_Grunddaten!$A965="Geprüft",Programme_Grunddaten!AO965&lt;&gt;""),IF(Programme_Grunddaten!AO965="Ja",1,0),"")</f>
        <v/>
      </c>
      <c r="AH960" s="1" t="str">
        <f>IF(AND(Programme_Grunddaten!$A965="Geprüft",Programme_Grunddaten!AP965&lt;&gt;""),IF(Programme_Grunddaten!AP965="Ja",1,0),"")</f>
        <v/>
      </c>
      <c r="AI960" s="1" t="str">
        <f>IF(AND(Programme_Grunddaten!$A965="Geprüft",Programme_Grunddaten!AQ965&lt;&gt;""),IF(Programme_Grunddaten!AQ965="Ja",1,0),"")</f>
        <v/>
      </c>
      <c r="AJ960" s="1" t="str">
        <f>IF(AND(Programme_Grunddaten!$A965="Geprüft",Programme_Grunddaten!AR965&lt;&gt;""),IF(Programme_Grunddaten!AR965="Ja",1,0),"")</f>
        <v/>
      </c>
      <c r="AK960" s="1" t="str">
        <f>IF(AND(Programme_Grunddaten!$A965="Geprüft",Programme_Grunddaten!AS965&lt;&gt;""),IF(Programme_Grunddaten!AS965="Ja",1,0),"")</f>
        <v/>
      </c>
      <c r="AL960" s="1" t="str">
        <f>IF(AND(Programme_Grunddaten!$A965="Geprüft",Programme_Grunddaten!AT965&lt;&gt;""),IF(Programme_Grunddaten!AT965="Ja",1,0),"")</f>
        <v/>
      </c>
      <c r="AM960" s="1" t="str">
        <f>IF(AND(Programme_Grunddaten!$A965="Geprüft",Programme_Grunddaten!AU965&lt;&gt;""),IF(Programme_Grunddaten!AU965="Ja",1,0),"")</f>
        <v/>
      </c>
      <c r="AN960" s="1" t="str">
        <f>IF(AND(Programme_Grunddaten!$A965="Geprüft",Programme_Grunddaten!AV965&lt;&gt;""),IF(Programme_Grunddaten!AV965="Ja",1,0),"")</f>
        <v/>
      </c>
    </row>
    <row r="961" spans="1:40" x14ac:dyDescent="0.3">
      <c r="A961" s="1" t="str">
        <f>IF(AND(Programme_Grunddaten!A966="Geprüft",Programme_Grunddaten!B966&lt;&gt;""),Programme_Grunddaten!B966,"")</f>
        <v/>
      </c>
      <c r="B961" s="1" t="str">
        <f>IF(AND(Programme_Grunddaten!$A966="Geprüft",Programme_Grunddaten!I966&lt;&gt;""),IF(Programme_Grunddaten!I966="Ja",1,0),"")</f>
        <v/>
      </c>
      <c r="C961" s="1" t="str">
        <f>IF(AND(Programme_Grunddaten!$A966="Geprüft",Programme_Grunddaten!J966&lt;&gt;""),IF(Programme_Grunddaten!J966="Ja",1,0),"")</f>
        <v/>
      </c>
      <c r="D961" s="1" t="str">
        <f>IF(AND(Programme_Grunddaten!$A966="Geprüft",Programme_Grunddaten!K966&lt;&gt;""),IF(Programme_Grunddaten!K966="Ja",1,0),"")</f>
        <v/>
      </c>
      <c r="E961" s="1" t="str">
        <f>IF(AND(Programme_Grunddaten!$A966="Geprüft",Programme_Grunddaten!L966&lt;&gt;""),IF(Programme_Grunddaten!L966="Abo / befristete Lizenz",1,0),"")</f>
        <v/>
      </c>
      <c r="F961" s="1" t="str">
        <f>IF(AND(Programme_Grunddaten!$A966="Geprüft",Programme_Grunddaten!M966&lt;&gt;""),IF(Programme_Grunddaten!M966="Ja",1,0),"")</f>
        <v/>
      </c>
      <c r="G961" s="1" t="str">
        <f>IF(AND(Programme_Grunddaten!$A966="Geprüft",Programme_Grunddaten!N966&lt;&gt;""),IF(Programme_Grunddaten!N966="Ja",1,0),"")</f>
        <v/>
      </c>
      <c r="H961" s="1" t="str">
        <f>IF(AND(Programme_Grunddaten!$A966="Geprüft",Programme_Grunddaten!O966&lt;&gt;""),IF(Programme_Grunddaten!O966="Deutschland",0,IF(Programme_Grunddaten!O966="EU",1,2)),"")</f>
        <v/>
      </c>
      <c r="I961" s="1" t="str">
        <f>IF(AND(Programme_Grunddaten!$A966="Geprüft",Programme_Grunddaten!P966&lt;&gt;""),IF(Programme_Grunddaten!P966="Ja",1,0),"")</f>
        <v/>
      </c>
      <c r="J961" s="1" t="str">
        <f>IF(AND(Programme_Grunddaten!$A966="Geprüft",Programme_Grunddaten!Q966&lt;&gt;""),IF(Programme_Grunddaten!Q966="geschlossenes System",1,0),"")</f>
        <v/>
      </c>
      <c r="K961" s="1" t="str">
        <f>IF(AND(Programme_Grunddaten!$A966="Geprüft",Programme_Grunddaten!R966&lt;&gt;""),IF(Programme_Grunddaten!R966="Ja",1,0),"")</f>
        <v/>
      </c>
      <c r="L961" s="1" t="str">
        <f>IF(AND(Programme_Grunddaten!$A966="Geprüft",Programme_Grunddaten!T966&lt;&gt;""),IF(Programme_Grunddaten!T966="Ja",1,0),"")</f>
        <v/>
      </c>
      <c r="M961" s="1" t="str">
        <f>IF(AND(Programme_Grunddaten!$A966="Geprüft",Programme_Grunddaten!U966&lt;&gt;""),IF(Programme_Grunddaten!U966="Ja",1,0),"")</f>
        <v/>
      </c>
      <c r="N961" s="1" t="str">
        <f>IF(AND(Programme_Grunddaten!$A966="Geprüft",Programme_Grunddaten!V966&lt;&gt;""),IF(Programme_Grunddaten!V966="Ja",1,0),"")</f>
        <v/>
      </c>
      <c r="O961" s="1" t="str">
        <f>IF(AND(Programme_Grunddaten!$A966="Geprüft",Programme_Grunddaten!W966&lt;&gt;""),IF(Programme_Grunddaten!W966="Ja",1,0),"")</f>
        <v/>
      </c>
      <c r="P961" s="1" t="str">
        <f>IF(AND(Programme_Grunddaten!$A966="Geprüft",Programme_Grunddaten!X966&lt;&gt;""),IF(Programme_Grunddaten!X966="Ja",1,0),"")</f>
        <v/>
      </c>
      <c r="Q961" s="1" t="str">
        <f>IF(AND(Programme_Grunddaten!$A966="Geprüft",Programme_Grunddaten!Y966&lt;&gt;""),IF(Programme_Grunddaten!Y966="Ja",1,0),"")</f>
        <v/>
      </c>
      <c r="R961" s="1" t="str">
        <f>IF(AND(Programme_Grunddaten!$A966="Geprüft",Programme_Grunddaten!Z966&lt;&gt;""),IF(Programme_Grunddaten!Z966="Ja",1,0),"")</f>
        <v/>
      </c>
      <c r="S961" s="1" t="str">
        <f>IF(AND(Programme_Grunddaten!$A966="Geprüft",Programme_Grunddaten!AA966&lt;&gt;""),IF(Programme_Grunddaten!AA966="monolithisch",1,0),"")</f>
        <v/>
      </c>
      <c r="T961" s="1" t="str">
        <f>IF(AND(Programme_Grunddaten!$A966="Geprüft",Programme_Grunddaten!AB966&lt;&gt;""),IF(Programme_Grunddaten!AB966="Ja",1,0),"")</f>
        <v/>
      </c>
      <c r="U961" s="1" t="str">
        <f>IF(AND(Programme_Grunddaten!$A966="Geprüft",Programme_Grunddaten!AC966&lt;&gt;""),IF(Programme_Grunddaten!AC966="Ja",1,0),"")</f>
        <v/>
      </c>
      <c r="V961" s="1" t="str">
        <f>IF(AND(Programme_Grunddaten!$A966="Geprüft",Programme_Grunddaten!AD966&lt;&gt;""),IF(Programme_Grunddaten!AD966="Ja",1,0),"")</f>
        <v/>
      </c>
      <c r="W961" s="1" t="str">
        <f>IF(AND(Programme_Grunddaten!$A966="Geprüft",Programme_Grunddaten!AE966&lt;&gt;""),IF(Programme_Grunddaten!AE966="Ja",1,0),"")</f>
        <v/>
      </c>
      <c r="X961" s="1" t="str">
        <f>IF(AND(Programme_Grunddaten!$A966="Geprüft",Programme_Grunddaten!AF966&lt;&gt;""),IF(Programme_Grunddaten!AF966="Ja",1,0),"")</f>
        <v/>
      </c>
      <c r="Y961" s="1" t="str">
        <f>IF(AND(Programme_Grunddaten!$A966="Geprüft",Programme_Grunddaten!AG966&lt;&gt;""),IF(Programme_Grunddaten!AG966="Ja",1,0),"")</f>
        <v/>
      </c>
      <c r="Z961" s="1" t="str">
        <f>IF(AND(Programme_Grunddaten!$A966="Geprüft",Programme_Grunddaten!AH966&lt;&gt;""),IF(Programme_Grunddaten!AH966="Ja",1,0),"")</f>
        <v/>
      </c>
      <c r="AA961" s="1" t="str">
        <f>IF(AND(Programme_Grunddaten!$A966="Geprüft",Programme_Grunddaten!AI966&lt;&gt;""),IF(Programme_Grunddaten!AI966="Ja",1,0),"")</f>
        <v/>
      </c>
      <c r="AB961" s="1" t="str">
        <f>IF(AND(Programme_Grunddaten!$A966="Geprüft",Programme_Grunddaten!AJ966&lt;&gt;""),IF(Programme_Grunddaten!AJ966="individuell programmierbar",1,0),"")</f>
        <v/>
      </c>
      <c r="AC961" s="1" t="str">
        <f>IF(AND(Programme_Grunddaten!$A966="Geprüft",Programme_Grunddaten!AK966&lt;&gt;""),IF(Programme_Grunddaten!AK966="Deutsch",0,IF(Programme_Grunddaten!AK966="Deutsch und Englisch",1,2)),"")</f>
        <v/>
      </c>
      <c r="AD961" s="1" t="str">
        <f>IF(AND(Programme_Grunddaten!$A966="Geprüft",Programme_Grunddaten!AL966&lt;&gt;""),IF(Programme_Grunddaten!AL966="Ja",1,0),"")</f>
        <v/>
      </c>
      <c r="AE961" s="1" t="str">
        <f>IF(AND(Programme_Grunddaten!$A966="Geprüft",Programme_Grunddaten!AM966&lt;&gt;""),IF(Programme_Grunddaten!AM966="Ja",1,0),"")</f>
        <v/>
      </c>
      <c r="AF961" s="1" t="str">
        <f>IF(AND(Programme_Grunddaten!$A966="Geprüft",Programme_Grunddaten!AN966&lt;&gt;""),IF(Programme_Grunddaten!AN966="Ja",1,0),"")</f>
        <v/>
      </c>
      <c r="AG961" s="1" t="str">
        <f>IF(AND(Programme_Grunddaten!$A966="Geprüft",Programme_Grunddaten!AO966&lt;&gt;""),IF(Programme_Grunddaten!AO966="Ja",1,0),"")</f>
        <v/>
      </c>
      <c r="AH961" s="1" t="str">
        <f>IF(AND(Programme_Grunddaten!$A966="Geprüft",Programme_Grunddaten!AP966&lt;&gt;""),IF(Programme_Grunddaten!AP966="Ja",1,0),"")</f>
        <v/>
      </c>
      <c r="AI961" s="1" t="str">
        <f>IF(AND(Programme_Grunddaten!$A966="Geprüft",Programme_Grunddaten!AQ966&lt;&gt;""),IF(Programme_Grunddaten!AQ966="Ja",1,0),"")</f>
        <v/>
      </c>
      <c r="AJ961" s="1" t="str">
        <f>IF(AND(Programme_Grunddaten!$A966="Geprüft",Programme_Grunddaten!AR966&lt;&gt;""),IF(Programme_Grunddaten!AR966="Ja",1,0),"")</f>
        <v/>
      </c>
      <c r="AK961" s="1" t="str">
        <f>IF(AND(Programme_Grunddaten!$A966="Geprüft",Programme_Grunddaten!AS966&lt;&gt;""),IF(Programme_Grunddaten!AS966="Ja",1,0),"")</f>
        <v/>
      </c>
      <c r="AL961" s="1" t="str">
        <f>IF(AND(Programme_Grunddaten!$A966="Geprüft",Programme_Grunddaten!AT966&lt;&gt;""),IF(Programme_Grunddaten!AT966="Ja",1,0),"")</f>
        <v/>
      </c>
      <c r="AM961" s="1" t="str">
        <f>IF(AND(Programme_Grunddaten!$A966="Geprüft",Programme_Grunddaten!AU966&lt;&gt;""),IF(Programme_Grunddaten!AU966="Ja",1,0),"")</f>
        <v/>
      </c>
      <c r="AN961" s="1" t="str">
        <f>IF(AND(Programme_Grunddaten!$A966="Geprüft",Programme_Grunddaten!AV966&lt;&gt;""),IF(Programme_Grunddaten!AV966="Ja",1,0),"")</f>
        <v/>
      </c>
    </row>
    <row r="962" spans="1:40" x14ac:dyDescent="0.3">
      <c r="A962" s="1" t="str">
        <f>IF(AND(Programme_Grunddaten!A967="Geprüft",Programme_Grunddaten!B967&lt;&gt;""),Programme_Grunddaten!B967,"")</f>
        <v/>
      </c>
      <c r="B962" s="1" t="str">
        <f>IF(AND(Programme_Grunddaten!$A967="Geprüft",Programme_Grunddaten!I967&lt;&gt;""),IF(Programme_Grunddaten!I967="Ja",1,0),"")</f>
        <v/>
      </c>
      <c r="C962" s="1" t="str">
        <f>IF(AND(Programme_Grunddaten!$A967="Geprüft",Programme_Grunddaten!J967&lt;&gt;""),IF(Programme_Grunddaten!J967="Ja",1,0),"")</f>
        <v/>
      </c>
      <c r="D962" s="1" t="str">
        <f>IF(AND(Programme_Grunddaten!$A967="Geprüft",Programme_Grunddaten!K967&lt;&gt;""),IF(Programme_Grunddaten!K967="Ja",1,0),"")</f>
        <v/>
      </c>
      <c r="E962" s="1" t="str">
        <f>IF(AND(Programme_Grunddaten!$A967="Geprüft",Programme_Grunddaten!L967&lt;&gt;""),IF(Programme_Grunddaten!L967="Abo / befristete Lizenz",1,0),"")</f>
        <v/>
      </c>
      <c r="F962" s="1" t="str">
        <f>IF(AND(Programme_Grunddaten!$A967="Geprüft",Programme_Grunddaten!M967&lt;&gt;""),IF(Programme_Grunddaten!M967="Ja",1,0),"")</f>
        <v/>
      </c>
      <c r="G962" s="1" t="str">
        <f>IF(AND(Programme_Grunddaten!$A967="Geprüft",Programme_Grunddaten!N967&lt;&gt;""),IF(Programme_Grunddaten!N967="Ja",1,0),"")</f>
        <v/>
      </c>
      <c r="H962" s="1" t="str">
        <f>IF(AND(Programme_Grunddaten!$A967="Geprüft",Programme_Grunddaten!O967&lt;&gt;""),IF(Programme_Grunddaten!O967="Deutschland",0,IF(Programme_Grunddaten!O967="EU",1,2)),"")</f>
        <v/>
      </c>
      <c r="I962" s="1" t="str">
        <f>IF(AND(Programme_Grunddaten!$A967="Geprüft",Programme_Grunddaten!P967&lt;&gt;""),IF(Programme_Grunddaten!P967="Ja",1,0),"")</f>
        <v/>
      </c>
      <c r="J962" s="1" t="str">
        <f>IF(AND(Programme_Grunddaten!$A967="Geprüft",Programme_Grunddaten!Q967&lt;&gt;""),IF(Programme_Grunddaten!Q967="geschlossenes System",1,0),"")</f>
        <v/>
      </c>
      <c r="K962" s="1" t="str">
        <f>IF(AND(Programme_Grunddaten!$A967="Geprüft",Programme_Grunddaten!R967&lt;&gt;""),IF(Programme_Grunddaten!R967="Ja",1,0),"")</f>
        <v/>
      </c>
      <c r="L962" s="1" t="str">
        <f>IF(AND(Programme_Grunddaten!$A967="Geprüft",Programme_Grunddaten!T967&lt;&gt;""),IF(Programme_Grunddaten!T967="Ja",1,0),"")</f>
        <v/>
      </c>
      <c r="M962" s="1" t="str">
        <f>IF(AND(Programme_Grunddaten!$A967="Geprüft",Programme_Grunddaten!U967&lt;&gt;""),IF(Programme_Grunddaten!U967="Ja",1,0),"")</f>
        <v/>
      </c>
      <c r="N962" s="1" t="str">
        <f>IF(AND(Programme_Grunddaten!$A967="Geprüft",Programme_Grunddaten!V967&lt;&gt;""),IF(Programme_Grunddaten!V967="Ja",1,0),"")</f>
        <v/>
      </c>
      <c r="O962" s="1" t="str">
        <f>IF(AND(Programme_Grunddaten!$A967="Geprüft",Programme_Grunddaten!W967&lt;&gt;""),IF(Programme_Grunddaten!W967="Ja",1,0),"")</f>
        <v/>
      </c>
      <c r="P962" s="1" t="str">
        <f>IF(AND(Programme_Grunddaten!$A967="Geprüft",Programme_Grunddaten!X967&lt;&gt;""),IF(Programme_Grunddaten!X967="Ja",1,0),"")</f>
        <v/>
      </c>
      <c r="Q962" s="1" t="str">
        <f>IF(AND(Programme_Grunddaten!$A967="Geprüft",Programme_Grunddaten!Y967&lt;&gt;""),IF(Programme_Grunddaten!Y967="Ja",1,0),"")</f>
        <v/>
      </c>
      <c r="R962" s="1" t="str">
        <f>IF(AND(Programme_Grunddaten!$A967="Geprüft",Programme_Grunddaten!Z967&lt;&gt;""),IF(Programme_Grunddaten!Z967="Ja",1,0),"")</f>
        <v/>
      </c>
      <c r="S962" s="1" t="str">
        <f>IF(AND(Programme_Grunddaten!$A967="Geprüft",Programme_Grunddaten!AA967&lt;&gt;""),IF(Programme_Grunddaten!AA967="monolithisch",1,0),"")</f>
        <v/>
      </c>
      <c r="T962" s="1" t="str">
        <f>IF(AND(Programme_Grunddaten!$A967="Geprüft",Programme_Grunddaten!AB967&lt;&gt;""),IF(Programme_Grunddaten!AB967="Ja",1,0),"")</f>
        <v/>
      </c>
      <c r="U962" s="1" t="str">
        <f>IF(AND(Programme_Grunddaten!$A967="Geprüft",Programme_Grunddaten!AC967&lt;&gt;""),IF(Programme_Grunddaten!AC967="Ja",1,0),"")</f>
        <v/>
      </c>
      <c r="V962" s="1" t="str">
        <f>IF(AND(Programme_Grunddaten!$A967="Geprüft",Programme_Grunddaten!AD967&lt;&gt;""),IF(Programme_Grunddaten!AD967="Ja",1,0),"")</f>
        <v/>
      </c>
      <c r="W962" s="1" t="str">
        <f>IF(AND(Programme_Grunddaten!$A967="Geprüft",Programme_Grunddaten!AE967&lt;&gt;""),IF(Programme_Grunddaten!AE967="Ja",1,0),"")</f>
        <v/>
      </c>
      <c r="X962" s="1" t="str">
        <f>IF(AND(Programme_Grunddaten!$A967="Geprüft",Programme_Grunddaten!AF967&lt;&gt;""),IF(Programme_Grunddaten!AF967="Ja",1,0),"")</f>
        <v/>
      </c>
      <c r="Y962" s="1" t="str">
        <f>IF(AND(Programme_Grunddaten!$A967="Geprüft",Programme_Grunddaten!AG967&lt;&gt;""),IF(Programme_Grunddaten!AG967="Ja",1,0),"")</f>
        <v/>
      </c>
      <c r="Z962" s="1" t="str">
        <f>IF(AND(Programme_Grunddaten!$A967="Geprüft",Programme_Grunddaten!AH967&lt;&gt;""),IF(Programme_Grunddaten!AH967="Ja",1,0),"")</f>
        <v/>
      </c>
      <c r="AA962" s="1" t="str">
        <f>IF(AND(Programme_Grunddaten!$A967="Geprüft",Programme_Grunddaten!AI967&lt;&gt;""),IF(Programme_Grunddaten!AI967="Ja",1,0),"")</f>
        <v/>
      </c>
      <c r="AB962" s="1" t="str">
        <f>IF(AND(Programme_Grunddaten!$A967="Geprüft",Programme_Grunddaten!AJ967&lt;&gt;""),IF(Programme_Grunddaten!AJ967="individuell programmierbar",1,0),"")</f>
        <v/>
      </c>
      <c r="AC962" s="1" t="str">
        <f>IF(AND(Programme_Grunddaten!$A967="Geprüft",Programme_Grunddaten!AK967&lt;&gt;""),IF(Programme_Grunddaten!AK967="Deutsch",0,IF(Programme_Grunddaten!AK967="Deutsch und Englisch",1,2)),"")</f>
        <v/>
      </c>
      <c r="AD962" s="1" t="str">
        <f>IF(AND(Programme_Grunddaten!$A967="Geprüft",Programme_Grunddaten!AL967&lt;&gt;""),IF(Programme_Grunddaten!AL967="Ja",1,0),"")</f>
        <v/>
      </c>
      <c r="AE962" s="1" t="str">
        <f>IF(AND(Programme_Grunddaten!$A967="Geprüft",Programme_Grunddaten!AM967&lt;&gt;""),IF(Programme_Grunddaten!AM967="Ja",1,0),"")</f>
        <v/>
      </c>
      <c r="AF962" s="1" t="str">
        <f>IF(AND(Programme_Grunddaten!$A967="Geprüft",Programme_Grunddaten!AN967&lt;&gt;""),IF(Programme_Grunddaten!AN967="Ja",1,0),"")</f>
        <v/>
      </c>
      <c r="AG962" s="1" t="str">
        <f>IF(AND(Programme_Grunddaten!$A967="Geprüft",Programme_Grunddaten!AO967&lt;&gt;""),IF(Programme_Grunddaten!AO967="Ja",1,0),"")</f>
        <v/>
      </c>
      <c r="AH962" s="1" t="str">
        <f>IF(AND(Programme_Grunddaten!$A967="Geprüft",Programme_Grunddaten!AP967&lt;&gt;""),IF(Programme_Grunddaten!AP967="Ja",1,0),"")</f>
        <v/>
      </c>
      <c r="AI962" s="1" t="str">
        <f>IF(AND(Programme_Grunddaten!$A967="Geprüft",Programme_Grunddaten!AQ967&lt;&gt;""),IF(Programme_Grunddaten!AQ967="Ja",1,0),"")</f>
        <v/>
      </c>
      <c r="AJ962" s="1" t="str">
        <f>IF(AND(Programme_Grunddaten!$A967="Geprüft",Programme_Grunddaten!AR967&lt;&gt;""),IF(Programme_Grunddaten!AR967="Ja",1,0),"")</f>
        <v/>
      </c>
      <c r="AK962" s="1" t="str">
        <f>IF(AND(Programme_Grunddaten!$A967="Geprüft",Programme_Grunddaten!AS967&lt;&gt;""),IF(Programme_Grunddaten!AS967="Ja",1,0),"")</f>
        <v/>
      </c>
      <c r="AL962" s="1" t="str">
        <f>IF(AND(Programme_Grunddaten!$A967="Geprüft",Programme_Grunddaten!AT967&lt;&gt;""),IF(Programme_Grunddaten!AT967="Ja",1,0),"")</f>
        <v/>
      </c>
      <c r="AM962" s="1" t="str">
        <f>IF(AND(Programme_Grunddaten!$A967="Geprüft",Programme_Grunddaten!AU967&lt;&gt;""),IF(Programme_Grunddaten!AU967="Ja",1,0),"")</f>
        <v/>
      </c>
      <c r="AN962" s="1" t="str">
        <f>IF(AND(Programme_Grunddaten!$A967="Geprüft",Programme_Grunddaten!AV967&lt;&gt;""),IF(Programme_Grunddaten!AV967="Ja",1,0),"")</f>
        <v/>
      </c>
    </row>
    <row r="963" spans="1:40" x14ac:dyDescent="0.3">
      <c r="A963" s="1" t="str">
        <f>IF(AND(Programme_Grunddaten!A968="Geprüft",Programme_Grunddaten!B968&lt;&gt;""),Programme_Grunddaten!B968,"")</f>
        <v/>
      </c>
      <c r="B963" s="1" t="str">
        <f>IF(AND(Programme_Grunddaten!$A968="Geprüft",Programme_Grunddaten!I968&lt;&gt;""),IF(Programme_Grunddaten!I968="Ja",1,0),"")</f>
        <v/>
      </c>
      <c r="C963" s="1" t="str">
        <f>IF(AND(Programme_Grunddaten!$A968="Geprüft",Programme_Grunddaten!J968&lt;&gt;""),IF(Programme_Grunddaten!J968="Ja",1,0),"")</f>
        <v/>
      </c>
      <c r="D963" s="1" t="str">
        <f>IF(AND(Programme_Grunddaten!$A968="Geprüft",Programme_Grunddaten!K968&lt;&gt;""),IF(Programme_Grunddaten!K968="Ja",1,0),"")</f>
        <v/>
      </c>
      <c r="E963" s="1" t="str">
        <f>IF(AND(Programme_Grunddaten!$A968="Geprüft",Programme_Grunddaten!L968&lt;&gt;""),IF(Programme_Grunddaten!L968="Abo / befristete Lizenz",1,0),"")</f>
        <v/>
      </c>
      <c r="F963" s="1" t="str">
        <f>IF(AND(Programme_Grunddaten!$A968="Geprüft",Programme_Grunddaten!M968&lt;&gt;""),IF(Programme_Grunddaten!M968="Ja",1,0),"")</f>
        <v/>
      </c>
      <c r="G963" s="1" t="str">
        <f>IF(AND(Programme_Grunddaten!$A968="Geprüft",Programme_Grunddaten!N968&lt;&gt;""),IF(Programme_Grunddaten!N968="Ja",1,0),"")</f>
        <v/>
      </c>
      <c r="H963" s="1" t="str">
        <f>IF(AND(Programme_Grunddaten!$A968="Geprüft",Programme_Grunddaten!O968&lt;&gt;""),IF(Programme_Grunddaten!O968="Deutschland",0,IF(Programme_Grunddaten!O968="EU",1,2)),"")</f>
        <v/>
      </c>
      <c r="I963" s="1" t="str">
        <f>IF(AND(Programme_Grunddaten!$A968="Geprüft",Programme_Grunddaten!P968&lt;&gt;""),IF(Programme_Grunddaten!P968="Ja",1,0),"")</f>
        <v/>
      </c>
      <c r="J963" s="1" t="str">
        <f>IF(AND(Programme_Grunddaten!$A968="Geprüft",Programme_Grunddaten!Q968&lt;&gt;""),IF(Programme_Grunddaten!Q968="geschlossenes System",1,0),"")</f>
        <v/>
      </c>
      <c r="K963" s="1" t="str">
        <f>IF(AND(Programme_Grunddaten!$A968="Geprüft",Programme_Grunddaten!R968&lt;&gt;""),IF(Programme_Grunddaten!R968="Ja",1,0),"")</f>
        <v/>
      </c>
      <c r="L963" s="1" t="str">
        <f>IF(AND(Programme_Grunddaten!$A968="Geprüft",Programme_Grunddaten!T968&lt;&gt;""),IF(Programme_Grunddaten!T968="Ja",1,0),"")</f>
        <v/>
      </c>
      <c r="M963" s="1" t="str">
        <f>IF(AND(Programme_Grunddaten!$A968="Geprüft",Programme_Grunddaten!U968&lt;&gt;""),IF(Programme_Grunddaten!U968="Ja",1,0),"")</f>
        <v/>
      </c>
      <c r="N963" s="1" t="str">
        <f>IF(AND(Programme_Grunddaten!$A968="Geprüft",Programme_Grunddaten!V968&lt;&gt;""),IF(Programme_Grunddaten!V968="Ja",1,0),"")</f>
        <v/>
      </c>
      <c r="O963" s="1" t="str">
        <f>IF(AND(Programme_Grunddaten!$A968="Geprüft",Programme_Grunddaten!W968&lt;&gt;""),IF(Programme_Grunddaten!W968="Ja",1,0),"")</f>
        <v/>
      </c>
      <c r="P963" s="1" t="str">
        <f>IF(AND(Programme_Grunddaten!$A968="Geprüft",Programme_Grunddaten!X968&lt;&gt;""),IF(Programme_Grunddaten!X968="Ja",1,0),"")</f>
        <v/>
      </c>
      <c r="Q963" s="1" t="str">
        <f>IF(AND(Programme_Grunddaten!$A968="Geprüft",Programme_Grunddaten!Y968&lt;&gt;""),IF(Programme_Grunddaten!Y968="Ja",1,0),"")</f>
        <v/>
      </c>
      <c r="R963" s="1" t="str">
        <f>IF(AND(Programme_Grunddaten!$A968="Geprüft",Programme_Grunddaten!Z968&lt;&gt;""),IF(Programme_Grunddaten!Z968="Ja",1,0),"")</f>
        <v/>
      </c>
      <c r="S963" s="1" t="str">
        <f>IF(AND(Programme_Grunddaten!$A968="Geprüft",Programme_Grunddaten!AA968&lt;&gt;""),IF(Programme_Grunddaten!AA968="monolithisch",1,0),"")</f>
        <v/>
      </c>
      <c r="T963" s="1" t="str">
        <f>IF(AND(Programme_Grunddaten!$A968="Geprüft",Programme_Grunddaten!AB968&lt;&gt;""),IF(Programme_Grunddaten!AB968="Ja",1,0),"")</f>
        <v/>
      </c>
      <c r="U963" s="1" t="str">
        <f>IF(AND(Programme_Grunddaten!$A968="Geprüft",Programme_Grunddaten!AC968&lt;&gt;""),IF(Programme_Grunddaten!AC968="Ja",1,0),"")</f>
        <v/>
      </c>
      <c r="V963" s="1" t="str">
        <f>IF(AND(Programme_Grunddaten!$A968="Geprüft",Programme_Grunddaten!AD968&lt;&gt;""),IF(Programme_Grunddaten!AD968="Ja",1,0),"")</f>
        <v/>
      </c>
      <c r="W963" s="1" t="str">
        <f>IF(AND(Programme_Grunddaten!$A968="Geprüft",Programme_Grunddaten!AE968&lt;&gt;""),IF(Programme_Grunddaten!AE968="Ja",1,0),"")</f>
        <v/>
      </c>
      <c r="X963" s="1" t="str">
        <f>IF(AND(Programme_Grunddaten!$A968="Geprüft",Programme_Grunddaten!AF968&lt;&gt;""),IF(Programme_Grunddaten!AF968="Ja",1,0),"")</f>
        <v/>
      </c>
      <c r="Y963" s="1" t="str">
        <f>IF(AND(Programme_Grunddaten!$A968="Geprüft",Programme_Grunddaten!AG968&lt;&gt;""),IF(Programme_Grunddaten!AG968="Ja",1,0),"")</f>
        <v/>
      </c>
      <c r="Z963" s="1" t="str">
        <f>IF(AND(Programme_Grunddaten!$A968="Geprüft",Programme_Grunddaten!AH968&lt;&gt;""),IF(Programme_Grunddaten!AH968="Ja",1,0),"")</f>
        <v/>
      </c>
      <c r="AA963" s="1" t="str">
        <f>IF(AND(Programme_Grunddaten!$A968="Geprüft",Programme_Grunddaten!AI968&lt;&gt;""),IF(Programme_Grunddaten!AI968="Ja",1,0),"")</f>
        <v/>
      </c>
      <c r="AB963" s="1" t="str">
        <f>IF(AND(Programme_Grunddaten!$A968="Geprüft",Programme_Grunddaten!AJ968&lt;&gt;""),IF(Programme_Grunddaten!AJ968="individuell programmierbar",1,0),"")</f>
        <v/>
      </c>
      <c r="AC963" s="1" t="str">
        <f>IF(AND(Programme_Grunddaten!$A968="Geprüft",Programme_Grunddaten!AK968&lt;&gt;""),IF(Programme_Grunddaten!AK968="Deutsch",0,IF(Programme_Grunddaten!AK968="Deutsch und Englisch",1,2)),"")</f>
        <v/>
      </c>
      <c r="AD963" s="1" t="str">
        <f>IF(AND(Programme_Grunddaten!$A968="Geprüft",Programme_Grunddaten!AL968&lt;&gt;""),IF(Programme_Grunddaten!AL968="Ja",1,0),"")</f>
        <v/>
      </c>
      <c r="AE963" s="1" t="str">
        <f>IF(AND(Programme_Grunddaten!$A968="Geprüft",Programme_Grunddaten!AM968&lt;&gt;""),IF(Programme_Grunddaten!AM968="Ja",1,0),"")</f>
        <v/>
      </c>
      <c r="AF963" s="1" t="str">
        <f>IF(AND(Programme_Grunddaten!$A968="Geprüft",Programme_Grunddaten!AN968&lt;&gt;""),IF(Programme_Grunddaten!AN968="Ja",1,0),"")</f>
        <v/>
      </c>
      <c r="AG963" s="1" t="str">
        <f>IF(AND(Programme_Grunddaten!$A968="Geprüft",Programme_Grunddaten!AO968&lt;&gt;""),IF(Programme_Grunddaten!AO968="Ja",1,0),"")</f>
        <v/>
      </c>
      <c r="AH963" s="1" t="str">
        <f>IF(AND(Programme_Grunddaten!$A968="Geprüft",Programme_Grunddaten!AP968&lt;&gt;""),IF(Programme_Grunddaten!AP968="Ja",1,0),"")</f>
        <v/>
      </c>
      <c r="AI963" s="1" t="str">
        <f>IF(AND(Programme_Grunddaten!$A968="Geprüft",Programme_Grunddaten!AQ968&lt;&gt;""),IF(Programme_Grunddaten!AQ968="Ja",1,0),"")</f>
        <v/>
      </c>
      <c r="AJ963" s="1" t="str">
        <f>IF(AND(Programme_Grunddaten!$A968="Geprüft",Programme_Grunddaten!AR968&lt;&gt;""),IF(Programme_Grunddaten!AR968="Ja",1,0),"")</f>
        <v/>
      </c>
      <c r="AK963" s="1" t="str">
        <f>IF(AND(Programme_Grunddaten!$A968="Geprüft",Programme_Grunddaten!AS968&lt;&gt;""),IF(Programme_Grunddaten!AS968="Ja",1,0),"")</f>
        <v/>
      </c>
      <c r="AL963" s="1" t="str">
        <f>IF(AND(Programme_Grunddaten!$A968="Geprüft",Programme_Grunddaten!AT968&lt;&gt;""),IF(Programme_Grunddaten!AT968="Ja",1,0),"")</f>
        <v/>
      </c>
      <c r="AM963" s="1" t="str">
        <f>IF(AND(Programme_Grunddaten!$A968="Geprüft",Programme_Grunddaten!AU968&lt;&gt;""),IF(Programme_Grunddaten!AU968="Ja",1,0),"")</f>
        <v/>
      </c>
      <c r="AN963" s="1" t="str">
        <f>IF(AND(Programme_Grunddaten!$A968="Geprüft",Programme_Grunddaten!AV968&lt;&gt;""),IF(Programme_Grunddaten!AV968="Ja",1,0),"")</f>
        <v/>
      </c>
    </row>
    <row r="964" spans="1:40" x14ac:dyDescent="0.3">
      <c r="A964" s="1" t="str">
        <f>IF(AND(Programme_Grunddaten!A969="Geprüft",Programme_Grunddaten!B969&lt;&gt;""),Programme_Grunddaten!B969,"")</f>
        <v/>
      </c>
      <c r="B964" s="1" t="str">
        <f>IF(AND(Programme_Grunddaten!$A969="Geprüft",Programme_Grunddaten!I969&lt;&gt;""),IF(Programme_Grunddaten!I969="Ja",1,0),"")</f>
        <v/>
      </c>
      <c r="C964" s="1" t="str">
        <f>IF(AND(Programme_Grunddaten!$A969="Geprüft",Programme_Grunddaten!J969&lt;&gt;""),IF(Programme_Grunddaten!J969="Ja",1,0),"")</f>
        <v/>
      </c>
      <c r="D964" s="1" t="str">
        <f>IF(AND(Programme_Grunddaten!$A969="Geprüft",Programme_Grunddaten!K969&lt;&gt;""),IF(Programme_Grunddaten!K969="Ja",1,0),"")</f>
        <v/>
      </c>
      <c r="E964" s="1" t="str">
        <f>IF(AND(Programme_Grunddaten!$A969="Geprüft",Programme_Grunddaten!L969&lt;&gt;""),IF(Programme_Grunddaten!L969="Abo / befristete Lizenz",1,0),"")</f>
        <v/>
      </c>
      <c r="F964" s="1" t="str">
        <f>IF(AND(Programme_Grunddaten!$A969="Geprüft",Programme_Grunddaten!M969&lt;&gt;""),IF(Programme_Grunddaten!M969="Ja",1,0),"")</f>
        <v/>
      </c>
      <c r="G964" s="1" t="str">
        <f>IF(AND(Programme_Grunddaten!$A969="Geprüft",Programme_Grunddaten!N969&lt;&gt;""),IF(Programme_Grunddaten!N969="Ja",1,0),"")</f>
        <v/>
      </c>
      <c r="H964" s="1" t="str">
        <f>IF(AND(Programme_Grunddaten!$A969="Geprüft",Programme_Grunddaten!O969&lt;&gt;""),IF(Programme_Grunddaten!O969="Deutschland",0,IF(Programme_Grunddaten!O969="EU",1,2)),"")</f>
        <v/>
      </c>
      <c r="I964" s="1" t="str">
        <f>IF(AND(Programme_Grunddaten!$A969="Geprüft",Programme_Grunddaten!P969&lt;&gt;""),IF(Programme_Grunddaten!P969="Ja",1,0),"")</f>
        <v/>
      </c>
      <c r="J964" s="1" t="str">
        <f>IF(AND(Programme_Grunddaten!$A969="Geprüft",Programme_Grunddaten!Q969&lt;&gt;""),IF(Programme_Grunddaten!Q969="geschlossenes System",1,0),"")</f>
        <v/>
      </c>
      <c r="K964" s="1" t="str">
        <f>IF(AND(Programme_Grunddaten!$A969="Geprüft",Programme_Grunddaten!R969&lt;&gt;""),IF(Programme_Grunddaten!R969="Ja",1,0),"")</f>
        <v/>
      </c>
      <c r="L964" s="1" t="str">
        <f>IF(AND(Programme_Grunddaten!$A969="Geprüft",Programme_Grunddaten!T969&lt;&gt;""),IF(Programme_Grunddaten!T969="Ja",1,0),"")</f>
        <v/>
      </c>
      <c r="M964" s="1" t="str">
        <f>IF(AND(Programme_Grunddaten!$A969="Geprüft",Programme_Grunddaten!U969&lt;&gt;""),IF(Programme_Grunddaten!U969="Ja",1,0),"")</f>
        <v/>
      </c>
      <c r="N964" s="1" t="str">
        <f>IF(AND(Programme_Grunddaten!$A969="Geprüft",Programme_Grunddaten!V969&lt;&gt;""),IF(Programme_Grunddaten!V969="Ja",1,0),"")</f>
        <v/>
      </c>
      <c r="O964" s="1" t="str">
        <f>IF(AND(Programme_Grunddaten!$A969="Geprüft",Programme_Grunddaten!W969&lt;&gt;""),IF(Programme_Grunddaten!W969="Ja",1,0),"")</f>
        <v/>
      </c>
      <c r="P964" s="1" t="str">
        <f>IF(AND(Programme_Grunddaten!$A969="Geprüft",Programme_Grunddaten!X969&lt;&gt;""),IF(Programme_Grunddaten!X969="Ja",1,0),"")</f>
        <v/>
      </c>
      <c r="Q964" s="1" t="str">
        <f>IF(AND(Programme_Grunddaten!$A969="Geprüft",Programme_Grunddaten!Y969&lt;&gt;""),IF(Programme_Grunddaten!Y969="Ja",1,0),"")</f>
        <v/>
      </c>
      <c r="R964" s="1" t="str">
        <f>IF(AND(Programme_Grunddaten!$A969="Geprüft",Programme_Grunddaten!Z969&lt;&gt;""),IF(Programme_Grunddaten!Z969="Ja",1,0),"")</f>
        <v/>
      </c>
      <c r="S964" s="1" t="str">
        <f>IF(AND(Programme_Grunddaten!$A969="Geprüft",Programme_Grunddaten!AA969&lt;&gt;""),IF(Programme_Grunddaten!AA969="monolithisch",1,0),"")</f>
        <v/>
      </c>
      <c r="T964" s="1" t="str">
        <f>IF(AND(Programme_Grunddaten!$A969="Geprüft",Programme_Grunddaten!AB969&lt;&gt;""),IF(Programme_Grunddaten!AB969="Ja",1,0),"")</f>
        <v/>
      </c>
      <c r="U964" s="1" t="str">
        <f>IF(AND(Programme_Grunddaten!$A969="Geprüft",Programme_Grunddaten!AC969&lt;&gt;""),IF(Programme_Grunddaten!AC969="Ja",1,0),"")</f>
        <v/>
      </c>
      <c r="V964" s="1" t="str">
        <f>IF(AND(Programme_Grunddaten!$A969="Geprüft",Programme_Grunddaten!AD969&lt;&gt;""),IF(Programme_Grunddaten!AD969="Ja",1,0),"")</f>
        <v/>
      </c>
      <c r="W964" s="1" t="str">
        <f>IF(AND(Programme_Grunddaten!$A969="Geprüft",Programme_Grunddaten!AE969&lt;&gt;""),IF(Programme_Grunddaten!AE969="Ja",1,0),"")</f>
        <v/>
      </c>
      <c r="X964" s="1" t="str">
        <f>IF(AND(Programme_Grunddaten!$A969="Geprüft",Programme_Grunddaten!AF969&lt;&gt;""),IF(Programme_Grunddaten!AF969="Ja",1,0),"")</f>
        <v/>
      </c>
      <c r="Y964" s="1" t="str">
        <f>IF(AND(Programme_Grunddaten!$A969="Geprüft",Programme_Grunddaten!AG969&lt;&gt;""),IF(Programme_Grunddaten!AG969="Ja",1,0),"")</f>
        <v/>
      </c>
      <c r="Z964" s="1" t="str">
        <f>IF(AND(Programme_Grunddaten!$A969="Geprüft",Programme_Grunddaten!AH969&lt;&gt;""),IF(Programme_Grunddaten!AH969="Ja",1,0),"")</f>
        <v/>
      </c>
      <c r="AA964" s="1" t="str">
        <f>IF(AND(Programme_Grunddaten!$A969="Geprüft",Programme_Grunddaten!AI969&lt;&gt;""),IF(Programme_Grunddaten!AI969="Ja",1,0),"")</f>
        <v/>
      </c>
      <c r="AB964" s="1" t="str">
        <f>IF(AND(Programme_Grunddaten!$A969="Geprüft",Programme_Grunddaten!AJ969&lt;&gt;""),IF(Programme_Grunddaten!AJ969="individuell programmierbar",1,0),"")</f>
        <v/>
      </c>
      <c r="AC964" s="1" t="str">
        <f>IF(AND(Programme_Grunddaten!$A969="Geprüft",Programme_Grunddaten!AK969&lt;&gt;""),IF(Programme_Grunddaten!AK969="Deutsch",0,IF(Programme_Grunddaten!AK969="Deutsch und Englisch",1,2)),"")</f>
        <v/>
      </c>
      <c r="AD964" s="1" t="str">
        <f>IF(AND(Programme_Grunddaten!$A969="Geprüft",Programme_Grunddaten!AL969&lt;&gt;""),IF(Programme_Grunddaten!AL969="Ja",1,0),"")</f>
        <v/>
      </c>
      <c r="AE964" s="1" t="str">
        <f>IF(AND(Programme_Grunddaten!$A969="Geprüft",Programme_Grunddaten!AM969&lt;&gt;""),IF(Programme_Grunddaten!AM969="Ja",1,0),"")</f>
        <v/>
      </c>
      <c r="AF964" s="1" t="str">
        <f>IF(AND(Programme_Grunddaten!$A969="Geprüft",Programme_Grunddaten!AN969&lt;&gt;""),IF(Programme_Grunddaten!AN969="Ja",1,0),"")</f>
        <v/>
      </c>
      <c r="AG964" s="1" t="str">
        <f>IF(AND(Programme_Grunddaten!$A969="Geprüft",Programme_Grunddaten!AO969&lt;&gt;""),IF(Programme_Grunddaten!AO969="Ja",1,0),"")</f>
        <v/>
      </c>
      <c r="AH964" s="1" t="str">
        <f>IF(AND(Programme_Grunddaten!$A969="Geprüft",Programme_Grunddaten!AP969&lt;&gt;""),IF(Programme_Grunddaten!AP969="Ja",1,0),"")</f>
        <v/>
      </c>
      <c r="AI964" s="1" t="str">
        <f>IF(AND(Programme_Grunddaten!$A969="Geprüft",Programme_Grunddaten!AQ969&lt;&gt;""),IF(Programme_Grunddaten!AQ969="Ja",1,0),"")</f>
        <v/>
      </c>
      <c r="AJ964" s="1" t="str">
        <f>IF(AND(Programme_Grunddaten!$A969="Geprüft",Programme_Grunddaten!AR969&lt;&gt;""),IF(Programme_Grunddaten!AR969="Ja",1,0),"")</f>
        <v/>
      </c>
      <c r="AK964" s="1" t="str">
        <f>IF(AND(Programme_Grunddaten!$A969="Geprüft",Programme_Grunddaten!AS969&lt;&gt;""),IF(Programme_Grunddaten!AS969="Ja",1,0),"")</f>
        <v/>
      </c>
      <c r="AL964" s="1" t="str">
        <f>IF(AND(Programme_Grunddaten!$A969="Geprüft",Programme_Grunddaten!AT969&lt;&gt;""),IF(Programme_Grunddaten!AT969="Ja",1,0),"")</f>
        <v/>
      </c>
      <c r="AM964" s="1" t="str">
        <f>IF(AND(Programme_Grunddaten!$A969="Geprüft",Programme_Grunddaten!AU969&lt;&gt;""),IF(Programme_Grunddaten!AU969="Ja",1,0),"")</f>
        <v/>
      </c>
      <c r="AN964" s="1" t="str">
        <f>IF(AND(Programme_Grunddaten!$A969="Geprüft",Programme_Grunddaten!AV969&lt;&gt;""),IF(Programme_Grunddaten!AV969="Ja",1,0),"")</f>
        <v/>
      </c>
    </row>
    <row r="965" spans="1:40" x14ac:dyDescent="0.3">
      <c r="A965" s="1" t="str">
        <f>IF(AND(Programme_Grunddaten!A970="Geprüft",Programme_Grunddaten!B970&lt;&gt;""),Programme_Grunddaten!B970,"")</f>
        <v/>
      </c>
      <c r="B965" s="1" t="str">
        <f>IF(AND(Programme_Grunddaten!$A970="Geprüft",Programme_Grunddaten!I970&lt;&gt;""),IF(Programme_Grunddaten!I970="Ja",1,0),"")</f>
        <v/>
      </c>
      <c r="C965" s="1" t="str">
        <f>IF(AND(Programme_Grunddaten!$A970="Geprüft",Programme_Grunddaten!J970&lt;&gt;""),IF(Programme_Grunddaten!J970="Ja",1,0),"")</f>
        <v/>
      </c>
      <c r="D965" s="1" t="str">
        <f>IF(AND(Programme_Grunddaten!$A970="Geprüft",Programme_Grunddaten!K970&lt;&gt;""),IF(Programme_Grunddaten!K970="Ja",1,0),"")</f>
        <v/>
      </c>
      <c r="E965" s="1" t="str">
        <f>IF(AND(Programme_Grunddaten!$A970="Geprüft",Programme_Grunddaten!L970&lt;&gt;""),IF(Programme_Grunddaten!L970="Abo / befristete Lizenz",1,0),"")</f>
        <v/>
      </c>
      <c r="F965" s="1" t="str">
        <f>IF(AND(Programme_Grunddaten!$A970="Geprüft",Programme_Grunddaten!M970&lt;&gt;""),IF(Programme_Grunddaten!M970="Ja",1,0),"")</f>
        <v/>
      </c>
      <c r="G965" s="1" t="str">
        <f>IF(AND(Programme_Grunddaten!$A970="Geprüft",Programme_Grunddaten!N970&lt;&gt;""),IF(Programme_Grunddaten!N970="Ja",1,0),"")</f>
        <v/>
      </c>
      <c r="H965" s="1" t="str">
        <f>IF(AND(Programme_Grunddaten!$A970="Geprüft",Programme_Grunddaten!O970&lt;&gt;""),IF(Programme_Grunddaten!O970="Deutschland",0,IF(Programme_Grunddaten!O970="EU",1,2)),"")</f>
        <v/>
      </c>
      <c r="I965" s="1" t="str">
        <f>IF(AND(Programme_Grunddaten!$A970="Geprüft",Programme_Grunddaten!P970&lt;&gt;""),IF(Programme_Grunddaten!P970="Ja",1,0),"")</f>
        <v/>
      </c>
      <c r="J965" s="1" t="str">
        <f>IF(AND(Programme_Grunddaten!$A970="Geprüft",Programme_Grunddaten!Q970&lt;&gt;""),IF(Programme_Grunddaten!Q970="geschlossenes System",1,0),"")</f>
        <v/>
      </c>
      <c r="K965" s="1" t="str">
        <f>IF(AND(Programme_Grunddaten!$A970="Geprüft",Programme_Grunddaten!R970&lt;&gt;""),IF(Programme_Grunddaten!R970="Ja",1,0),"")</f>
        <v/>
      </c>
      <c r="L965" s="1" t="str">
        <f>IF(AND(Programme_Grunddaten!$A970="Geprüft",Programme_Grunddaten!T970&lt;&gt;""),IF(Programme_Grunddaten!T970="Ja",1,0),"")</f>
        <v/>
      </c>
      <c r="M965" s="1" t="str">
        <f>IF(AND(Programme_Grunddaten!$A970="Geprüft",Programme_Grunddaten!U970&lt;&gt;""),IF(Programme_Grunddaten!U970="Ja",1,0),"")</f>
        <v/>
      </c>
      <c r="N965" s="1" t="str">
        <f>IF(AND(Programme_Grunddaten!$A970="Geprüft",Programme_Grunddaten!V970&lt;&gt;""),IF(Programme_Grunddaten!V970="Ja",1,0),"")</f>
        <v/>
      </c>
      <c r="O965" s="1" t="str">
        <f>IF(AND(Programme_Grunddaten!$A970="Geprüft",Programme_Grunddaten!W970&lt;&gt;""),IF(Programme_Grunddaten!W970="Ja",1,0),"")</f>
        <v/>
      </c>
      <c r="P965" s="1" t="str">
        <f>IF(AND(Programme_Grunddaten!$A970="Geprüft",Programme_Grunddaten!X970&lt;&gt;""),IF(Programme_Grunddaten!X970="Ja",1,0),"")</f>
        <v/>
      </c>
      <c r="Q965" s="1" t="str">
        <f>IF(AND(Programme_Grunddaten!$A970="Geprüft",Programme_Grunddaten!Y970&lt;&gt;""),IF(Programme_Grunddaten!Y970="Ja",1,0),"")</f>
        <v/>
      </c>
      <c r="R965" s="1" t="str">
        <f>IF(AND(Programme_Grunddaten!$A970="Geprüft",Programme_Grunddaten!Z970&lt;&gt;""),IF(Programme_Grunddaten!Z970="Ja",1,0),"")</f>
        <v/>
      </c>
      <c r="S965" s="1" t="str">
        <f>IF(AND(Programme_Grunddaten!$A970="Geprüft",Programme_Grunddaten!AA970&lt;&gt;""),IF(Programme_Grunddaten!AA970="monolithisch",1,0),"")</f>
        <v/>
      </c>
      <c r="T965" s="1" t="str">
        <f>IF(AND(Programme_Grunddaten!$A970="Geprüft",Programme_Grunddaten!AB970&lt;&gt;""),IF(Programme_Grunddaten!AB970="Ja",1,0),"")</f>
        <v/>
      </c>
      <c r="U965" s="1" t="str">
        <f>IF(AND(Programme_Grunddaten!$A970="Geprüft",Programme_Grunddaten!AC970&lt;&gt;""),IF(Programme_Grunddaten!AC970="Ja",1,0),"")</f>
        <v/>
      </c>
      <c r="V965" s="1" t="str">
        <f>IF(AND(Programme_Grunddaten!$A970="Geprüft",Programme_Grunddaten!AD970&lt;&gt;""),IF(Programme_Grunddaten!AD970="Ja",1,0),"")</f>
        <v/>
      </c>
      <c r="W965" s="1" t="str">
        <f>IF(AND(Programme_Grunddaten!$A970="Geprüft",Programme_Grunddaten!AE970&lt;&gt;""),IF(Programme_Grunddaten!AE970="Ja",1,0),"")</f>
        <v/>
      </c>
      <c r="X965" s="1" t="str">
        <f>IF(AND(Programme_Grunddaten!$A970="Geprüft",Programme_Grunddaten!AF970&lt;&gt;""),IF(Programme_Grunddaten!AF970="Ja",1,0),"")</f>
        <v/>
      </c>
      <c r="Y965" s="1" t="str">
        <f>IF(AND(Programme_Grunddaten!$A970="Geprüft",Programme_Grunddaten!AG970&lt;&gt;""),IF(Programme_Grunddaten!AG970="Ja",1,0),"")</f>
        <v/>
      </c>
      <c r="Z965" s="1" t="str">
        <f>IF(AND(Programme_Grunddaten!$A970="Geprüft",Programme_Grunddaten!AH970&lt;&gt;""),IF(Programme_Grunddaten!AH970="Ja",1,0),"")</f>
        <v/>
      </c>
      <c r="AA965" s="1" t="str">
        <f>IF(AND(Programme_Grunddaten!$A970="Geprüft",Programme_Grunddaten!AI970&lt;&gt;""),IF(Programme_Grunddaten!AI970="Ja",1,0),"")</f>
        <v/>
      </c>
      <c r="AB965" s="1" t="str">
        <f>IF(AND(Programme_Grunddaten!$A970="Geprüft",Programme_Grunddaten!AJ970&lt;&gt;""),IF(Programme_Grunddaten!AJ970="individuell programmierbar",1,0),"")</f>
        <v/>
      </c>
      <c r="AC965" s="1" t="str">
        <f>IF(AND(Programme_Grunddaten!$A970="Geprüft",Programme_Grunddaten!AK970&lt;&gt;""),IF(Programme_Grunddaten!AK970="Deutsch",0,IF(Programme_Grunddaten!AK970="Deutsch und Englisch",1,2)),"")</f>
        <v/>
      </c>
      <c r="AD965" s="1" t="str">
        <f>IF(AND(Programme_Grunddaten!$A970="Geprüft",Programme_Grunddaten!AL970&lt;&gt;""),IF(Programme_Grunddaten!AL970="Ja",1,0),"")</f>
        <v/>
      </c>
      <c r="AE965" s="1" t="str">
        <f>IF(AND(Programme_Grunddaten!$A970="Geprüft",Programme_Grunddaten!AM970&lt;&gt;""),IF(Programme_Grunddaten!AM970="Ja",1,0),"")</f>
        <v/>
      </c>
      <c r="AF965" s="1" t="str">
        <f>IF(AND(Programme_Grunddaten!$A970="Geprüft",Programme_Grunddaten!AN970&lt;&gt;""),IF(Programme_Grunddaten!AN970="Ja",1,0),"")</f>
        <v/>
      </c>
      <c r="AG965" s="1" t="str">
        <f>IF(AND(Programme_Grunddaten!$A970="Geprüft",Programme_Grunddaten!AO970&lt;&gt;""),IF(Programme_Grunddaten!AO970="Ja",1,0),"")</f>
        <v/>
      </c>
      <c r="AH965" s="1" t="str">
        <f>IF(AND(Programme_Grunddaten!$A970="Geprüft",Programme_Grunddaten!AP970&lt;&gt;""),IF(Programme_Grunddaten!AP970="Ja",1,0),"")</f>
        <v/>
      </c>
      <c r="AI965" s="1" t="str">
        <f>IF(AND(Programme_Grunddaten!$A970="Geprüft",Programme_Grunddaten!AQ970&lt;&gt;""),IF(Programme_Grunddaten!AQ970="Ja",1,0),"")</f>
        <v/>
      </c>
      <c r="AJ965" s="1" t="str">
        <f>IF(AND(Programme_Grunddaten!$A970="Geprüft",Programme_Grunddaten!AR970&lt;&gt;""),IF(Programme_Grunddaten!AR970="Ja",1,0),"")</f>
        <v/>
      </c>
      <c r="AK965" s="1" t="str">
        <f>IF(AND(Programme_Grunddaten!$A970="Geprüft",Programme_Grunddaten!AS970&lt;&gt;""),IF(Programme_Grunddaten!AS970="Ja",1,0),"")</f>
        <v/>
      </c>
      <c r="AL965" s="1" t="str">
        <f>IF(AND(Programme_Grunddaten!$A970="Geprüft",Programme_Grunddaten!AT970&lt;&gt;""),IF(Programme_Grunddaten!AT970="Ja",1,0),"")</f>
        <v/>
      </c>
      <c r="AM965" s="1" t="str">
        <f>IF(AND(Programme_Grunddaten!$A970="Geprüft",Programme_Grunddaten!AU970&lt;&gt;""),IF(Programme_Grunddaten!AU970="Ja",1,0),"")</f>
        <v/>
      </c>
      <c r="AN965" s="1" t="str">
        <f>IF(AND(Programme_Grunddaten!$A970="Geprüft",Programme_Grunddaten!AV970&lt;&gt;""),IF(Programme_Grunddaten!AV970="Ja",1,0),"")</f>
        <v/>
      </c>
    </row>
    <row r="966" spans="1:40" x14ac:dyDescent="0.3">
      <c r="A966" s="1" t="str">
        <f>IF(AND(Programme_Grunddaten!A971="Geprüft",Programme_Grunddaten!B971&lt;&gt;""),Programme_Grunddaten!B971,"")</f>
        <v/>
      </c>
      <c r="B966" s="1" t="str">
        <f>IF(AND(Programme_Grunddaten!$A971="Geprüft",Programme_Grunddaten!I971&lt;&gt;""),IF(Programme_Grunddaten!I971="Ja",1,0),"")</f>
        <v/>
      </c>
      <c r="C966" s="1" t="str">
        <f>IF(AND(Programme_Grunddaten!$A971="Geprüft",Programme_Grunddaten!J971&lt;&gt;""),IF(Programme_Grunddaten!J971="Ja",1,0),"")</f>
        <v/>
      </c>
      <c r="D966" s="1" t="str">
        <f>IF(AND(Programme_Grunddaten!$A971="Geprüft",Programme_Grunddaten!K971&lt;&gt;""),IF(Programme_Grunddaten!K971="Ja",1,0),"")</f>
        <v/>
      </c>
      <c r="E966" s="1" t="str">
        <f>IF(AND(Programme_Grunddaten!$A971="Geprüft",Programme_Grunddaten!L971&lt;&gt;""),IF(Programme_Grunddaten!L971="Abo / befristete Lizenz",1,0),"")</f>
        <v/>
      </c>
      <c r="F966" s="1" t="str">
        <f>IF(AND(Programme_Grunddaten!$A971="Geprüft",Programme_Grunddaten!M971&lt;&gt;""),IF(Programme_Grunddaten!M971="Ja",1,0),"")</f>
        <v/>
      </c>
      <c r="G966" s="1" t="str">
        <f>IF(AND(Programme_Grunddaten!$A971="Geprüft",Programme_Grunddaten!N971&lt;&gt;""),IF(Programme_Grunddaten!N971="Ja",1,0),"")</f>
        <v/>
      </c>
      <c r="H966" s="1" t="str">
        <f>IF(AND(Programme_Grunddaten!$A971="Geprüft",Programme_Grunddaten!O971&lt;&gt;""),IF(Programme_Grunddaten!O971="Deutschland",0,IF(Programme_Grunddaten!O971="EU",1,2)),"")</f>
        <v/>
      </c>
      <c r="I966" s="1" t="str">
        <f>IF(AND(Programme_Grunddaten!$A971="Geprüft",Programme_Grunddaten!P971&lt;&gt;""),IF(Programme_Grunddaten!P971="Ja",1,0),"")</f>
        <v/>
      </c>
      <c r="J966" s="1" t="str">
        <f>IF(AND(Programme_Grunddaten!$A971="Geprüft",Programme_Grunddaten!Q971&lt;&gt;""),IF(Programme_Grunddaten!Q971="geschlossenes System",1,0),"")</f>
        <v/>
      </c>
      <c r="K966" s="1" t="str">
        <f>IF(AND(Programme_Grunddaten!$A971="Geprüft",Programme_Grunddaten!R971&lt;&gt;""),IF(Programme_Grunddaten!R971="Ja",1,0),"")</f>
        <v/>
      </c>
      <c r="L966" s="1" t="str">
        <f>IF(AND(Programme_Grunddaten!$A971="Geprüft",Programme_Grunddaten!T971&lt;&gt;""),IF(Programme_Grunddaten!T971="Ja",1,0),"")</f>
        <v/>
      </c>
      <c r="M966" s="1" t="str">
        <f>IF(AND(Programme_Grunddaten!$A971="Geprüft",Programme_Grunddaten!U971&lt;&gt;""),IF(Programme_Grunddaten!U971="Ja",1,0),"")</f>
        <v/>
      </c>
      <c r="N966" s="1" t="str">
        <f>IF(AND(Programme_Grunddaten!$A971="Geprüft",Programme_Grunddaten!V971&lt;&gt;""),IF(Programme_Grunddaten!V971="Ja",1,0),"")</f>
        <v/>
      </c>
      <c r="O966" s="1" t="str">
        <f>IF(AND(Programme_Grunddaten!$A971="Geprüft",Programme_Grunddaten!W971&lt;&gt;""),IF(Programme_Grunddaten!W971="Ja",1,0),"")</f>
        <v/>
      </c>
      <c r="P966" s="1" t="str">
        <f>IF(AND(Programme_Grunddaten!$A971="Geprüft",Programme_Grunddaten!X971&lt;&gt;""),IF(Programme_Grunddaten!X971="Ja",1,0),"")</f>
        <v/>
      </c>
      <c r="Q966" s="1" t="str">
        <f>IF(AND(Programme_Grunddaten!$A971="Geprüft",Programme_Grunddaten!Y971&lt;&gt;""),IF(Programme_Grunddaten!Y971="Ja",1,0),"")</f>
        <v/>
      </c>
      <c r="R966" s="1" t="str">
        <f>IF(AND(Programme_Grunddaten!$A971="Geprüft",Programme_Grunddaten!Z971&lt;&gt;""),IF(Programme_Grunddaten!Z971="Ja",1,0),"")</f>
        <v/>
      </c>
      <c r="S966" s="1" t="str">
        <f>IF(AND(Programme_Grunddaten!$A971="Geprüft",Programme_Grunddaten!AA971&lt;&gt;""),IF(Programme_Grunddaten!AA971="monolithisch",1,0),"")</f>
        <v/>
      </c>
      <c r="T966" s="1" t="str">
        <f>IF(AND(Programme_Grunddaten!$A971="Geprüft",Programme_Grunddaten!AB971&lt;&gt;""),IF(Programme_Grunddaten!AB971="Ja",1,0),"")</f>
        <v/>
      </c>
      <c r="U966" s="1" t="str">
        <f>IF(AND(Programme_Grunddaten!$A971="Geprüft",Programme_Grunddaten!AC971&lt;&gt;""),IF(Programme_Grunddaten!AC971="Ja",1,0),"")</f>
        <v/>
      </c>
      <c r="V966" s="1" t="str">
        <f>IF(AND(Programme_Grunddaten!$A971="Geprüft",Programme_Grunddaten!AD971&lt;&gt;""),IF(Programme_Grunddaten!AD971="Ja",1,0),"")</f>
        <v/>
      </c>
      <c r="W966" s="1" t="str">
        <f>IF(AND(Programme_Grunddaten!$A971="Geprüft",Programme_Grunddaten!AE971&lt;&gt;""),IF(Programme_Grunddaten!AE971="Ja",1,0),"")</f>
        <v/>
      </c>
      <c r="X966" s="1" t="str">
        <f>IF(AND(Programme_Grunddaten!$A971="Geprüft",Programme_Grunddaten!AF971&lt;&gt;""),IF(Programme_Grunddaten!AF971="Ja",1,0),"")</f>
        <v/>
      </c>
      <c r="Y966" s="1" t="str">
        <f>IF(AND(Programme_Grunddaten!$A971="Geprüft",Programme_Grunddaten!AG971&lt;&gt;""),IF(Programme_Grunddaten!AG971="Ja",1,0),"")</f>
        <v/>
      </c>
      <c r="Z966" s="1" t="str">
        <f>IF(AND(Programme_Grunddaten!$A971="Geprüft",Programme_Grunddaten!AH971&lt;&gt;""),IF(Programme_Grunddaten!AH971="Ja",1,0),"")</f>
        <v/>
      </c>
      <c r="AA966" s="1" t="str">
        <f>IF(AND(Programme_Grunddaten!$A971="Geprüft",Programme_Grunddaten!AI971&lt;&gt;""),IF(Programme_Grunddaten!AI971="Ja",1,0),"")</f>
        <v/>
      </c>
      <c r="AB966" s="1" t="str">
        <f>IF(AND(Programme_Grunddaten!$A971="Geprüft",Programme_Grunddaten!AJ971&lt;&gt;""),IF(Programme_Grunddaten!AJ971="individuell programmierbar",1,0),"")</f>
        <v/>
      </c>
      <c r="AC966" s="1" t="str">
        <f>IF(AND(Programme_Grunddaten!$A971="Geprüft",Programme_Grunddaten!AK971&lt;&gt;""),IF(Programme_Grunddaten!AK971="Deutsch",0,IF(Programme_Grunddaten!AK971="Deutsch und Englisch",1,2)),"")</f>
        <v/>
      </c>
      <c r="AD966" s="1" t="str">
        <f>IF(AND(Programme_Grunddaten!$A971="Geprüft",Programme_Grunddaten!AL971&lt;&gt;""),IF(Programme_Grunddaten!AL971="Ja",1,0),"")</f>
        <v/>
      </c>
      <c r="AE966" s="1" t="str">
        <f>IF(AND(Programme_Grunddaten!$A971="Geprüft",Programme_Grunddaten!AM971&lt;&gt;""),IF(Programme_Grunddaten!AM971="Ja",1,0),"")</f>
        <v/>
      </c>
      <c r="AF966" s="1" t="str">
        <f>IF(AND(Programme_Grunddaten!$A971="Geprüft",Programme_Grunddaten!AN971&lt;&gt;""),IF(Programme_Grunddaten!AN971="Ja",1,0),"")</f>
        <v/>
      </c>
      <c r="AG966" s="1" t="str">
        <f>IF(AND(Programme_Grunddaten!$A971="Geprüft",Programme_Grunddaten!AO971&lt;&gt;""),IF(Programme_Grunddaten!AO971="Ja",1,0),"")</f>
        <v/>
      </c>
      <c r="AH966" s="1" t="str">
        <f>IF(AND(Programme_Grunddaten!$A971="Geprüft",Programme_Grunddaten!AP971&lt;&gt;""),IF(Programme_Grunddaten!AP971="Ja",1,0),"")</f>
        <v/>
      </c>
      <c r="AI966" s="1" t="str">
        <f>IF(AND(Programme_Grunddaten!$A971="Geprüft",Programme_Grunddaten!AQ971&lt;&gt;""),IF(Programme_Grunddaten!AQ971="Ja",1,0),"")</f>
        <v/>
      </c>
      <c r="AJ966" s="1" t="str">
        <f>IF(AND(Programme_Grunddaten!$A971="Geprüft",Programme_Grunddaten!AR971&lt;&gt;""),IF(Programme_Grunddaten!AR971="Ja",1,0),"")</f>
        <v/>
      </c>
      <c r="AK966" s="1" t="str">
        <f>IF(AND(Programme_Grunddaten!$A971="Geprüft",Programme_Grunddaten!AS971&lt;&gt;""),IF(Programme_Grunddaten!AS971="Ja",1,0),"")</f>
        <v/>
      </c>
      <c r="AL966" s="1" t="str">
        <f>IF(AND(Programme_Grunddaten!$A971="Geprüft",Programme_Grunddaten!AT971&lt;&gt;""),IF(Programme_Grunddaten!AT971="Ja",1,0),"")</f>
        <v/>
      </c>
      <c r="AM966" s="1" t="str">
        <f>IF(AND(Programme_Grunddaten!$A971="Geprüft",Programme_Grunddaten!AU971&lt;&gt;""),IF(Programme_Grunddaten!AU971="Ja",1,0),"")</f>
        <v/>
      </c>
      <c r="AN966" s="1" t="str">
        <f>IF(AND(Programme_Grunddaten!$A971="Geprüft",Programme_Grunddaten!AV971&lt;&gt;""),IF(Programme_Grunddaten!AV971="Ja",1,0),"")</f>
        <v/>
      </c>
    </row>
    <row r="967" spans="1:40" x14ac:dyDescent="0.3">
      <c r="A967" s="1" t="str">
        <f>IF(AND(Programme_Grunddaten!A972="Geprüft",Programme_Grunddaten!B972&lt;&gt;""),Programme_Grunddaten!B972,"")</f>
        <v/>
      </c>
      <c r="B967" s="1" t="str">
        <f>IF(AND(Programme_Grunddaten!$A972="Geprüft",Programme_Grunddaten!I972&lt;&gt;""),IF(Programme_Grunddaten!I972="Ja",1,0),"")</f>
        <v/>
      </c>
      <c r="C967" s="1" t="str">
        <f>IF(AND(Programme_Grunddaten!$A972="Geprüft",Programme_Grunddaten!J972&lt;&gt;""),IF(Programme_Grunddaten!J972="Ja",1,0),"")</f>
        <v/>
      </c>
      <c r="D967" s="1" t="str">
        <f>IF(AND(Programme_Grunddaten!$A972="Geprüft",Programme_Grunddaten!K972&lt;&gt;""),IF(Programme_Grunddaten!K972="Ja",1,0),"")</f>
        <v/>
      </c>
      <c r="E967" s="1" t="str">
        <f>IF(AND(Programme_Grunddaten!$A972="Geprüft",Programme_Grunddaten!L972&lt;&gt;""),IF(Programme_Grunddaten!L972="Abo / befristete Lizenz",1,0),"")</f>
        <v/>
      </c>
      <c r="F967" s="1" t="str">
        <f>IF(AND(Programme_Grunddaten!$A972="Geprüft",Programme_Grunddaten!M972&lt;&gt;""),IF(Programme_Grunddaten!M972="Ja",1,0),"")</f>
        <v/>
      </c>
      <c r="G967" s="1" t="str">
        <f>IF(AND(Programme_Grunddaten!$A972="Geprüft",Programme_Grunddaten!N972&lt;&gt;""),IF(Programme_Grunddaten!N972="Ja",1,0),"")</f>
        <v/>
      </c>
      <c r="H967" s="1" t="str">
        <f>IF(AND(Programme_Grunddaten!$A972="Geprüft",Programme_Grunddaten!O972&lt;&gt;""),IF(Programme_Grunddaten!O972="Deutschland",0,IF(Programme_Grunddaten!O972="EU",1,2)),"")</f>
        <v/>
      </c>
      <c r="I967" s="1" t="str">
        <f>IF(AND(Programme_Grunddaten!$A972="Geprüft",Programme_Grunddaten!P972&lt;&gt;""),IF(Programme_Grunddaten!P972="Ja",1,0),"")</f>
        <v/>
      </c>
      <c r="J967" s="1" t="str">
        <f>IF(AND(Programme_Grunddaten!$A972="Geprüft",Programme_Grunddaten!Q972&lt;&gt;""),IF(Programme_Grunddaten!Q972="geschlossenes System",1,0),"")</f>
        <v/>
      </c>
      <c r="K967" s="1" t="str">
        <f>IF(AND(Programme_Grunddaten!$A972="Geprüft",Programme_Grunddaten!R972&lt;&gt;""),IF(Programme_Grunddaten!R972="Ja",1,0),"")</f>
        <v/>
      </c>
      <c r="L967" s="1" t="str">
        <f>IF(AND(Programme_Grunddaten!$A972="Geprüft",Programme_Grunddaten!T972&lt;&gt;""),IF(Programme_Grunddaten!T972="Ja",1,0),"")</f>
        <v/>
      </c>
      <c r="M967" s="1" t="str">
        <f>IF(AND(Programme_Grunddaten!$A972="Geprüft",Programme_Grunddaten!U972&lt;&gt;""),IF(Programme_Grunddaten!U972="Ja",1,0),"")</f>
        <v/>
      </c>
      <c r="N967" s="1" t="str">
        <f>IF(AND(Programme_Grunddaten!$A972="Geprüft",Programme_Grunddaten!V972&lt;&gt;""),IF(Programme_Grunddaten!V972="Ja",1,0),"")</f>
        <v/>
      </c>
      <c r="O967" s="1" t="str">
        <f>IF(AND(Programme_Grunddaten!$A972="Geprüft",Programme_Grunddaten!W972&lt;&gt;""),IF(Programme_Grunddaten!W972="Ja",1,0),"")</f>
        <v/>
      </c>
      <c r="P967" s="1" t="str">
        <f>IF(AND(Programme_Grunddaten!$A972="Geprüft",Programme_Grunddaten!X972&lt;&gt;""),IF(Programme_Grunddaten!X972="Ja",1,0),"")</f>
        <v/>
      </c>
      <c r="Q967" s="1" t="str">
        <f>IF(AND(Programme_Grunddaten!$A972="Geprüft",Programme_Grunddaten!Y972&lt;&gt;""),IF(Programme_Grunddaten!Y972="Ja",1,0),"")</f>
        <v/>
      </c>
      <c r="R967" s="1" t="str">
        <f>IF(AND(Programme_Grunddaten!$A972="Geprüft",Programme_Grunddaten!Z972&lt;&gt;""),IF(Programme_Grunddaten!Z972="Ja",1,0),"")</f>
        <v/>
      </c>
      <c r="S967" s="1" t="str">
        <f>IF(AND(Programme_Grunddaten!$A972="Geprüft",Programme_Grunddaten!AA972&lt;&gt;""),IF(Programme_Grunddaten!AA972="monolithisch",1,0),"")</f>
        <v/>
      </c>
      <c r="T967" s="1" t="str">
        <f>IF(AND(Programme_Grunddaten!$A972="Geprüft",Programme_Grunddaten!AB972&lt;&gt;""),IF(Programme_Grunddaten!AB972="Ja",1,0),"")</f>
        <v/>
      </c>
      <c r="U967" s="1" t="str">
        <f>IF(AND(Programme_Grunddaten!$A972="Geprüft",Programme_Grunddaten!AC972&lt;&gt;""),IF(Programme_Grunddaten!AC972="Ja",1,0),"")</f>
        <v/>
      </c>
      <c r="V967" s="1" t="str">
        <f>IF(AND(Programme_Grunddaten!$A972="Geprüft",Programme_Grunddaten!AD972&lt;&gt;""),IF(Programme_Grunddaten!AD972="Ja",1,0),"")</f>
        <v/>
      </c>
      <c r="W967" s="1" t="str">
        <f>IF(AND(Programme_Grunddaten!$A972="Geprüft",Programme_Grunddaten!AE972&lt;&gt;""),IF(Programme_Grunddaten!AE972="Ja",1,0),"")</f>
        <v/>
      </c>
      <c r="X967" s="1" t="str">
        <f>IF(AND(Programme_Grunddaten!$A972="Geprüft",Programme_Grunddaten!AF972&lt;&gt;""),IF(Programme_Grunddaten!AF972="Ja",1,0),"")</f>
        <v/>
      </c>
      <c r="Y967" s="1" t="str">
        <f>IF(AND(Programme_Grunddaten!$A972="Geprüft",Programme_Grunddaten!AG972&lt;&gt;""),IF(Programme_Grunddaten!AG972="Ja",1,0),"")</f>
        <v/>
      </c>
      <c r="Z967" s="1" t="str">
        <f>IF(AND(Programme_Grunddaten!$A972="Geprüft",Programme_Grunddaten!AH972&lt;&gt;""),IF(Programme_Grunddaten!AH972="Ja",1,0),"")</f>
        <v/>
      </c>
      <c r="AA967" s="1" t="str">
        <f>IF(AND(Programme_Grunddaten!$A972="Geprüft",Programme_Grunddaten!AI972&lt;&gt;""),IF(Programme_Grunddaten!AI972="Ja",1,0),"")</f>
        <v/>
      </c>
      <c r="AB967" s="1" t="str">
        <f>IF(AND(Programme_Grunddaten!$A972="Geprüft",Programme_Grunddaten!AJ972&lt;&gt;""),IF(Programme_Grunddaten!AJ972="individuell programmierbar",1,0),"")</f>
        <v/>
      </c>
      <c r="AC967" s="1" t="str">
        <f>IF(AND(Programme_Grunddaten!$A972="Geprüft",Programme_Grunddaten!AK972&lt;&gt;""),IF(Programme_Grunddaten!AK972="Deutsch",0,IF(Programme_Grunddaten!AK972="Deutsch und Englisch",1,2)),"")</f>
        <v/>
      </c>
      <c r="AD967" s="1" t="str">
        <f>IF(AND(Programme_Grunddaten!$A972="Geprüft",Programme_Grunddaten!AL972&lt;&gt;""),IF(Programme_Grunddaten!AL972="Ja",1,0),"")</f>
        <v/>
      </c>
      <c r="AE967" s="1" t="str">
        <f>IF(AND(Programme_Grunddaten!$A972="Geprüft",Programme_Grunddaten!AM972&lt;&gt;""),IF(Programme_Grunddaten!AM972="Ja",1,0),"")</f>
        <v/>
      </c>
      <c r="AF967" s="1" t="str">
        <f>IF(AND(Programme_Grunddaten!$A972="Geprüft",Programme_Grunddaten!AN972&lt;&gt;""),IF(Programme_Grunddaten!AN972="Ja",1,0),"")</f>
        <v/>
      </c>
      <c r="AG967" s="1" t="str">
        <f>IF(AND(Programme_Grunddaten!$A972="Geprüft",Programme_Grunddaten!AO972&lt;&gt;""),IF(Programme_Grunddaten!AO972="Ja",1,0),"")</f>
        <v/>
      </c>
      <c r="AH967" s="1" t="str">
        <f>IF(AND(Programme_Grunddaten!$A972="Geprüft",Programme_Grunddaten!AP972&lt;&gt;""),IF(Programme_Grunddaten!AP972="Ja",1,0),"")</f>
        <v/>
      </c>
      <c r="AI967" s="1" t="str">
        <f>IF(AND(Programme_Grunddaten!$A972="Geprüft",Programme_Grunddaten!AQ972&lt;&gt;""),IF(Programme_Grunddaten!AQ972="Ja",1,0),"")</f>
        <v/>
      </c>
      <c r="AJ967" s="1" t="str">
        <f>IF(AND(Programme_Grunddaten!$A972="Geprüft",Programme_Grunddaten!AR972&lt;&gt;""),IF(Programme_Grunddaten!AR972="Ja",1,0),"")</f>
        <v/>
      </c>
      <c r="AK967" s="1" t="str">
        <f>IF(AND(Programme_Grunddaten!$A972="Geprüft",Programme_Grunddaten!AS972&lt;&gt;""),IF(Programme_Grunddaten!AS972="Ja",1,0),"")</f>
        <v/>
      </c>
      <c r="AL967" s="1" t="str">
        <f>IF(AND(Programme_Grunddaten!$A972="Geprüft",Programme_Grunddaten!AT972&lt;&gt;""),IF(Programme_Grunddaten!AT972="Ja",1,0),"")</f>
        <v/>
      </c>
      <c r="AM967" s="1" t="str">
        <f>IF(AND(Programme_Grunddaten!$A972="Geprüft",Programme_Grunddaten!AU972&lt;&gt;""),IF(Programme_Grunddaten!AU972="Ja",1,0),"")</f>
        <v/>
      </c>
      <c r="AN967" s="1" t="str">
        <f>IF(AND(Programme_Grunddaten!$A972="Geprüft",Programme_Grunddaten!AV972&lt;&gt;""),IF(Programme_Grunddaten!AV972="Ja",1,0),"")</f>
        <v/>
      </c>
    </row>
    <row r="968" spans="1:40" x14ac:dyDescent="0.3">
      <c r="A968" s="1" t="str">
        <f>IF(AND(Programme_Grunddaten!A973="Geprüft",Programme_Grunddaten!B973&lt;&gt;""),Programme_Grunddaten!B973,"")</f>
        <v/>
      </c>
      <c r="B968" s="1" t="str">
        <f>IF(AND(Programme_Grunddaten!$A973="Geprüft",Programme_Grunddaten!I973&lt;&gt;""),IF(Programme_Grunddaten!I973="Ja",1,0),"")</f>
        <v/>
      </c>
      <c r="C968" s="1" t="str">
        <f>IF(AND(Programme_Grunddaten!$A973="Geprüft",Programme_Grunddaten!J973&lt;&gt;""),IF(Programme_Grunddaten!J973="Ja",1,0),"")</f>
        <v/>
      </c>
      <c r="D968" s="1" t="str">
        <f>IF(AND(Programme_Grunddaten!$A973="Geprüft",Programme_Grunddaten!K973&lt;&gt;""),IF(Programme_Grunddaten!K973="Ja",1,0),"")</f>
        <v/>
      </c>
      <c r="E968" s="1" t="str">
        <f>IF(AND(Programme_Grunddaten!$A973="Geprüft",Programme_Grunddaten!L973&lt;&gt;""),IF(Programme_Grunddaten!L973="Abo / befristete Lizenz",1,0),"")</f>
        <v/>
      </c>
      <c r="F968" s="1" t="str">
        <f>IF(AND(Programme_Grunddaten!$A973="Geprüft",Programme_Grunddaten!M973&lt;&gt;""),IF(Programme_Grunddaten!M973="Ja",1,0),"")</f>
        <v/>
      </c>
      <c r="G968" s="1" t="str">
        <f>IF(AND(Programme_Grunddaten!$A973="Geprüft",Programme_Grunddaten!N973&lt;&gt;""),IF(Programme_Grunddaten!N973="Ja",1,0),"")</f>
        <v/>
      </c>
      <c r="H968" s="1" t="str">
        <f>IF(AND(Programme_Grunddaten!$A973="Geprüft",Programme_Grunddaten!O973&lt;&gt;""),IF(Programme_Grunddaten!O973="Deutschland",0,IF(Programme_Grunddaten!O973="EU",1,2)),"")</f>
        <v/>
      </c>
      <c r="I968" s="1" t="str">
        <f>IF(AND(Programme_Grunddaten!$A973="Geprüft",Programme_Grunddaten!P973&lt;&gt;""),IF(Programme_Grunddaten!P973="Ja",1,0),"")</f>
        <v/>
      </c>
      <c r="J968" s="1" t="str">
        <f>IF(AND(Programme_Grunddaten!$A973="Geprüft",Programme_Grunddaten!Q973&lt;&gt;""),IF(Programme_Grunddaten!Q973="geschlossenes System",1,0),"")</f>
        <v/>
      </c>
      <c r="K968" s="1" t="str">
        <f>IF(AND(Programme_Grunddaten!$A973="Geprüft",Programme_Grunddaten!R973&lt;&gt;""),IF(Programme_Grunddaten!R973="Ja",1,0),"")</f>
        <v/>
      </c>
      <c r="L968" s="1" t="str">
        <f>IF(AND(Programme_Grunddaten!$A973="Geprüft",Programme_Grunddaten!T973&lt;&gt;""),IF(Programme_Grunddaten!T973="Ja",1,0),"")</f>
        <v/>
      </c>
      <c r="M968" s="1" t="str">
        <f>IF(AND(Programme_Grunddaten!$A973="Geprüft",Programme_Grunddaten!U973&lt;&gt;""),IF(Programme_Grunddaten!U973="Ja",1,0),"")</f>
        <v/>
      </c>
      <c r="N968" s="1" t="str">
        <f>IF(AND(Programme_Grunddaten!$A973="Geprüft",Programme_Grunddaten!V973&lt;&gt;""),IF(Programme_Grunddaten!V973="Ja",1,0),"")</f>
        <v/>
      </c>
      <c r="O968" s="1" t="str">
        <f>IF(AND(Programme_Grunddaten!$A973="Geprüft",Programme_Grunddaten!W973&lt;&gt;""),IF(Programme_Grunddaten!W973="Ja",1,0),"")</f>
        <v/>
      </c>
      <c r="P968" s="1" t="str">
        <f>IF(AND(Programme_Grunddaten!$A973="Geprüft",Programme_Grunddaten!X973&lt;&gt;""),IF(Programme_Grunddaten!X973="Ja",1,0),"")</f>
        <v/>
      </c>
      <c r="Q968" s="1" t="str">
        <f>IF(AND(Programme_Grunddaten!$A973="Geprüft",Programme_Grunddaten!Y973&lt;&gt;""),IF(Programme_Grunddaten!Y973="Ja",1,0),"")</f>
        <v/>
      </c>
      <c r="R968" s="1" t="str">
        <f>IF(AND(Programme_Grunddaten!$A973="Geprüft",Programme_Grunddaten!Z973&lt;&gt;""),IF(Programme_Grunddaten!Z973="Ja",1,0),"")</f>
        <v/>
      </c>
      <c r="S968" s="1" t="str">
        <f>IF(AND(Programme_Grunddaten!$A973="Geprüft",Programme_Grunddaten!AA973&lt;&gt;""),IF(Programme_Grunddaten!AA973="monolithisch",1,0),"")</f>
        <v/>
      </c>
      <c r="T968" s="1" t="str">
        <f>IF(AND(Programme_Grunddaten!$A973="Geprüft",Programme_Grunddaten!AB973&lt;&gt;""),IF(Programme_Grunddaten!AB973="Ja",1,0),"")</f>
        <v/>
      </c>
      <c r="U968" s="1" t="str">
        <f>IF(AND(Programme_Grunddaten!$A973="Geprüft",Programme_Grunddaten!AC973&lt;&gt;""),IF(Programme_Grunddaten!AC973="Ja",1,0),"")</f>
        <v/>
      </c>
      <c r="V968" s="1" t="str">
        <f>IF(AND(Programme_Grunddaten!$A973="Geprüft",Programme_Grunddaten!AD973&lt;&gt;""),IF(Programme_Grunddaten!AD973="Ja",1,0),"")</f>
        <v/>
      </c>
      <c r="W968" s="1" t="str">
        <f>IF(AND(Programme_Grunddaten!$A973="Geprüft",Programme_Grunddaten!AE973&lt;&gt;""),IF(Programme_Grunddaten!AE973="Ja",1,0),"")</f>
        <v/>
      </c>
      <c r="X968" s="1" t="str">
        <f>IF(AND(Programme_Grunddaten!$A973="Geprüft",Programme_Grunddaten!AF973&lt;&gt;""),IF(Programme_Grunddaten!AF973="Ja",1,0),"")</f>
        <v/>
      </c>
      <c r="Y968" s="1" t="str">
        <f>IF(AND(Programme_Grunddaten!$A973="Geprüft",Programme_Grunddaten!AG973&lt;&gt;""),IF(Programme_Grunddaten!AG973="Ja",1,0),"")</f>
        <v/>
      </c>
      <c r="Z968" s="1" t="str">
        <f>IF(AND(Programme_Grunddaten!$A973="Geprüft",Programme_Grunddaten!AH973&lt;&gt;""),IF(Programme_Grunddaten!AH973="Ja",1,0),"")</f>
        <v/>
      </c>
      <c r="AA968" s="1" t="str">
        <f>IF(AND(Programme_Grunddaten!$A973="Geprüft",Programme_Grunddaten!AI973&lt;&gt;""),IF(Programme_Grunddaten!AI973="Ja",1,0),"")</f>
        <v/>
      </c>
      <c r="AB968" s="1" t="str">
        <f>IF(AND(Programme_Grunddaten!$A973="Geprüft",Programme_Grunddaten!AJ973&lt;&gt;""),IF(Programme_Grunddaten!AJ973="individuell programmierbar",1,0),"")</f>
        <v/>
      </c>
      <c r="AC968" s="1" t="str">
        <f>IF(AND(Programme_Grunddaten!$A973="Geprüft",Programme_Grunddaten!AK973&lt;&gt;""),IF(Programme_Grunddaten!AK973="Deutsch",0,IF(Programme_Grunddaten!AK973="Deutsch und Englisch",1,2)),"")</f>
        <v/>
      </c>
      <c r="AD968" s="1" t="str">
        <f>IF(AND(Programme_Grunddaten!$A973="Geprüft",Programme_Grunddaten!AL973&lt;&gt;""),IF(Programme_Grunddaten!AL973="Ja",1,0),"")</f>
        <v/>
      </c>
      <c r="AE968" s="1" t="str">
        <f>IF(AND(Programme_Grunddaten!$A973="Geprüft",Programme_Grunddaten!AM973&lt;&gt;""),IF(Programme_Grunddaten!AM973="Ja",1,0),"")</f>
        <v/>
      </c>
      <c r="AF968" s="1" t="str">
        <f>IF(AND(Programme_Grunddaten!$A973="Geprüft",Programme_Grunddaten!AN973&lt;&gt;""),IF(Programme_Grunddaten!AN973="Ja",1,0),"")</f>
        <v/>
      </c>
      <c r="AG968" s="1" t="str">
        <f>IF(AND(Programme_Grunddaten!$A973="Geprüft",Programme_Grunddaten!AO973&lt;&gt;""),IF(Programme_Grunddaten!AO973="Ja",1,0),"")</f>
        <v/>
      </c>
      <c r="AH968" s="1" t="str">
        <f>IF(AND(Programme_Grunddaten!$A973="Geprüft",Programme_Grunddaten!AP973&lt;&gt;""),IF(Programme_Grunddaten!AP973="Ja",1,0),"")</f>
        <v/>
      </c>
      <c r="AI968" s="1" t="str">
        <f>IF(AND(Programme_Grunddaten!$A973="Geprüft",Programme_Grunddaten!AQ973&lt;&gt;""),IF(Programme_Grunddaten!AQ973="Ja",1,0),"")</f>
        <v/>
      </c>
      <c r="AJ968" s="1" t="str">
        <f>IF(AND(Programme_Grunddaten!$A973="Geprüft",Programme_Grunddaten!AR973&lt;&gt;""),IF(Programme_Grunddaten!AR973="Ja",1,0),"")</f>
        <v/>
      </c>
      <c r="AK968" s="1" t="str">
        <f>IF(AND(Programme_Grunddaten!$A973="Geprüft",Programme_Grunddaten!AS973&lt;&gt;""),IF(Programme_Grunddaten!AS973="Ja",1,0),"")</f>
        <v/>
      </c>
      <c r="AL968" s="1" t="str">
        <f>IF(AND(Programme_Grunddaten!$A973="Geprüft",Programme_Grunddaten!AT973&lt;&gt;""),IF(Programme_Grunddaten!AT973="Ja",1,0),"")</f>
        <v/>
      </c>
      <c r="AM968" s="1" t="str">
        <f>IF(AND(Programme_Grunddaten!$A973="Geprüft",Programme_Grunddaten!AU973&lt;&gt;""),IF(Programme_Grunddaten!AU973="Ja",1,0),"")</f>
        <v/>
      </c>
      <c r="AN968" s="1" t="str">
        <f>IF(AND(Programme_Grunddaten!$A973="Geprüft",Programme_Grunddaten!AV973&lt;&gt;""),IF(Programme_Grunddaten!AV973="Ja",1,0),"")</f>
        <v/>
      </c>
    </row>
    <row r="969" spans="1:40" x14ac:dyDescent="0.3">
      <c r="A969" s="1" t="str">
        <f>IF(AND(Programme_Grunddaten!A974="Geprüft",Programme_Grunddaten!B974&lt;&gt;""),Programme_Grunddaten!B974,"")</f>
        <v/>
      </c>
      <c r="B969" s="1" t="str">
        <f>IF(AND(Programme_Grunddaten!$A974="Geprüft",Programme_Grunddaten!I974&lt;&gt;""),IF(Programme_Grunddaten!I974="Ja",1,0),"")</f>
        <v/>
      </c>
      <c r="C969" s="1" t="str">
        <f>IF(AND(Programme_Grunddaten!$A974="Geprüft",Programme_Grunddaten!J974&lt;&gt;""),IF(Programme_Grunddaten!J974="Ja",1,0),"")</f>
        <v/>
      </c>
      <c r="D969" s="1" t="str">
        <f>IF(AND(Programme_Grunddaten!$A974="Geprüft",Programme_Grunddaten!K974&lt;&gt;""),IF(Programme_Grunddaten!K974="Ja",1,0),"")</f>
        <v/>
      </c>
      <c r="E969" s="1" t="str">
        <f>IF(AND(Programme_Grunddaten!$A974="Geprüft",Programme_Grunddaten!L974&lt;&gt;""),IF(Programme_Grunddaten!L974="Abo / befristete Lizenz",1,0),"")</f>
        <v/>
      </c>
      <c r="F969" s="1" t="str">
        <f>IF(AND(Programme_Grunddaten!$A974="Geprüft",Programme_Grunddaten!M974&lt;&gt;""),IF(Programme_Grunddaten!M974="Ja",1,0),"")</f>
        <v/>
      </c>
      <c r="G969" s="1" t="str">
        <f>IF(AND(Programme_Grunddaten!$A974="Geprüft",Programme_Grunddaten!N974&lt;&gt;""),IF(Programme_Grunddaten!N974="Ja",1,0),"")</f>
        <v/>
      </c>
      <c r="H969" s="1" t="str">
        <f>IF(AND(Programme_Grunddaten!$A974="Geprüft",Programme_Grunddaten!O974&lt;&gt;""),IF(Programme_Grunddaten!O974="Deutschland",0,IF(Programme_Grunddaten!O974="EU",1,2)),"")</f>
        <v/>
      </c>
      <c r="I969" s="1" t="str">
        <f>IF(AND(Programme_Grunddaten!$A974="Geprüft",Programme_Grunddaten!P974&lt;&gt;""),IF(Programme_Grunddaten!P974="Ja",1,0),"")</f>
        <v/>
      </c>
      <c r="J969" s="1" t="str">
        <f>IF(AND(Programme_Grunddaten!$A974="Geprüft",Programme_Grunddaten!Q974&lt;&gt;""),IF(Programme_Grunddaten!Q974="geschlossenes System",1,0),"")</f>
        <v/>
      </c>
      <c r="K969" s="1" t="str">
        <f>IF(AND(Programme_Grunddaten!$A974="Geprüft",Programme_Grunddaten!R974&lt;&gt;""),IF(Programme_Grunddaten!R974="Ja",1,0),"")</f>
        <v/>
      </c>
      <c r="L969" s="1" t="str">
        <f>IF(AND(Programme_Grunddaten!$A974="Geprüft",Programme_Grunddaten!T974&lt;&gt;""),IF(Programme_Grunddaten!T974="Ja",1,0),"")</f>
        <v/>
      </c>
      <c r="M969" s="1" t="str">
        <f>IF(AND(Programme_Grunddaten!$A974="Geprüft",Programme_Grunddaten!U974&lt;&gt;""),IF(Programme_Grunddaten!U974="Ja",1,0),"")</f>
        <v/>
      </c>
      <c r="N969" s="1" t="str">
        <f>IF(AND(Programme_Grunddaten!$A974="Geprüft",Programme_Grunddaten!V974&lt;&gt;""),IF(Programme_Grunddaten!V974="Ja",1,0),"")</f>
        <v/>
      </c>
      <c r="O969" s="1" t="str">
        <f>IF(AND(Programme_Grunddaten!$A974="Geprüft",Programme_Grunddaten!W974&lt;&gt;""),IF(Programme_Grunddaten!W974="Ja",1,0),"")</f>
        <v/>
      </c>
      <c r="P969" s="1" t="str">
        <f>IF(AND(Programme_Grunddaten!$A974="Geprüft",Programme_Grunddaten!X974&lt;&gt;""),IF(Programme_Grunddaten!X974="Ja",1,0),"")</f>
        <v/>
      </c>
      <c r="Q969" s="1" t="str">
        <f>IF(AND(Programme_Grunddaten!$A974="Geprüft",Programme_Grunddaten!Y974&lt;&gt;""),IF(Programme_Grunddaten!Y974="Ja",1,0),"")</f>
        <v/>
      </c>
      <c r="R969" s="1" t="str">
        <f>IF(AND(Programme_Grunddaten!$A974="Geprüft",Programme_Grunddaten!Z974&lt;&gt;""),IF(Programme_Grunddaten!Z974="Ja",1,0),"")</f>
        <v/>
      </c>
      <c r="S969" s="1" t="str">
        <f>IF(AND(Programme_Grunddaten!$A974="Geprüft",Programme_Grunddaten!AA974&lt;&gt;""),IF(Programme_Grunddaten!AA974="monolithisch",1,0),"")</f>
        <v/>
      </c>
      <c r="T969" s="1" t="str">
        <f>IF(AND(Programme_Grunddaten!$A974="Geprüft",Programme_Grunddaten!AB974&lt;&gt;""),IF(Programme_Grunddaten!AB974="Ja",1,0),"")</f>
        <v/>
      </c>
      <c r="U969" s="1" t="str">
        <f>IF(AND(Programme_Grunddaten!$A974="Geprüft",Programme_Grunddaten!AC974&lt;&gt;""),IF(Programme_Grunddaten!AC974="Ja",1,0),"")</f>
        <v/>
      </c>
      <c r="V969" s="1" t="str">
        <f>IF(AND(Programme_Grunddaten!$A974="Geprüft",Programme_Grunddaten!AD974&lt;&gt;""),IF(Programme_Grunddaten!AD974="Ja",1,0),"")</f>
        <v/>
      </c>
      <c r="W969" s="1" t="str">
        <f>IF(AND(Programme_Grunddaten!$A974="Geprüft",Programme_Grunddaten!AE974&lt;&gt;""),IF(Programme_Grunddaten!AE974="Ja",1,0),"")</f>
        <v/>
      </c>
      <c r="X969" s="1" t="str">
        <f>IF(AND(Programme_Grunddaten!$A974="Geprüft",Programme_Grunddaten!AF974&lt;&gt;""),IF(Programme_Grunddaten!AF974="Ja",1,0),"")</f>
        <v/>
      </c>
      <c r="Y969" s="1" t="str">
        <f>IF(AND(Programme_Grunddaten!$A974="Geprüft",Programme_Grunddaten!AG974&lt;&gt;""),IF(Programme_Grunddaten!AG974="Ja",1,0),"")</f>
        <v/>
      </c>
      <c r="Z969" s="1" t="str">
        <f>IF(AND(Programme_Grunddaten!$A974="Geprüft",Programme_Grunddaten!AH974&lt;&gt;""),IF(Programme_Grunddaten!AH974="Ja",1,0),"")</f>
        <v/>
      </c>
      <c r="AA969" s="1" t="str">
        <f>IF(AND(Programme_Grunddaten!$A974="Geprüft",Programme_Grunddaten!AI974&lt;&gt;""),IF(Programme_Grunddaten!AI974="Ja",1,0),"")</f>
        <v/>
      </c>
      <c r="AB969" s="1" t="str">
        <f>IF(AND(Programme_Grunddaten!$A974="Geprüft",Programme_Grunddaten!AJ974&lt;&gt;""),IF(Programme_Grunddaten!AJ974="individuell programmierbar",1,0),"")</f>
        <v/>
      </c>
      <c r="AC969" s="1" t="str">
        <f>IF(AND(Programme_Grunddaten!$A974="Geprüft",Programme_Grunddaten!AK974&lt;&gt;""),IF(Programme_Grunddaten!AK974="Deutsch",0,IF(Programme_Grunddaten!AK974="Deutsch und Englisch",1,2)),"")</f>
        <v/>
      </c>
      <c r="AD969" s="1" t="str">
        <f>IF(AND(Programme_Grunddaten!$A974="Geprüft",Programme_Grunddaten!AL974&lt;&gt;""),IF(Programme_Grunddaten!AL974="Ja",1,0),"")</f>
        <v/>
      </c>
      <c r="AE969" s="1" t="str">
        <f>IF(AND(Programme_Grunddaten!$A974="Geprüft",Programme_Grunddaten!AM974&lt;&gt;""),IF(Programme_Grunddaten!AM974="Ja",1,0),"")</f>
        <v/>
      </c>
      <c r="AF969" s="1" t="str">
        <f>IF(AND(Programme_Grunddaten!$A974="Geprüft",Programme_Grunddaten!AN974&lt;&gt;""),IF(Programme_Grunddaten!AN974="Ja",1,0),"")</f>
        <v/>
      </c>
      <c r="AG969" s="1" t="str">
        <f>IF(AND(Programme_Grunddaten!$A974="Geprüft",Programme_Grunddaten!AO974&lt;&gt;""),IF(Programme_Grunddaten!AO974="Ja",1,0),"")</f>
        <v/>
      </c>
      <c r="AH969" s="1" t="str">
        <f>IF(AND(Programme_Grunddaten!$A974="Geprüft",Programme_Grunddaten!AP974&lt;&gt;""),IF(Programme_Grunddaten!AP974="Ja",1,0),"")</f>
        <v/>
      </c>
      <c r="AI969" s="1" t="str">
        <f>IF(AND(Programme_Grunddaten!$A974="Geprüft",Programme_Grunddaten!AQ974&lt;&gt;""),IF(Programme_Grunddaten!AQ974="Ja",1,0),"")</f>
        <v/>
      </c>
      <c r="AJ969" s="1" t="str">
        <f>IF(AND(Programme_Grunddaten!$A974="Geprüft",Programme_Grunddaten!AR974&lt;&gt;""),IF(Programme_Grunddaten!AR974="Ja",1,0),"")</f>
        <v/>
      </c>
      <c r="AK969" s="1" t="str">
        <f>IF(AND(Programme_Grunddaten!$A974="Geprüft",Programme_Grunddaten!AS974&lt;&gt;""),IF(Programme_Grunddaten!AS974="Ja",1,0),"")</f>
        <v/>
      </c>
      <c r="AL969" s="1" t="str">
        <f>IF(AND(Programme_Grunddaten!$A974="Geprüft",Programme_Grunddaten!AT974&lt;&gt;""),IF(Programme_Grunddaten!AT974="Ja",1,0),"")</f>
        <v/>
      </c>
      <c r="AM969" s="1" t="str">
        <f>IF(AND(Programme_Grunddaten!$A974="Geprüft",Programme_Grunddaten!AU974&lt;&gt;""),IF(Programme_Grunddaten!AU974="Ja",1,0),"")</f>
        <v/>
      </c>
      <c r="AN969" s="1" t="str">
        <f>IF(AND(Programme_Grunddaten!$A974="Geprüft",Programme_Grunddaten!AV974&lt;&gt;""),IF(Programme_Grunddaten!AV974="Ja",1,0),"")</f>
        <v/>
      </c>
    </row>
    <row r="970" spans="1:40" x14ac:dyDescent="0.3">
      <c r="A970" s="1" t="str">
        <f>IF(AND(Programme_Grunddaten!A975="Geprüft",Programme_Grunddaten!B975&lt;&gt;""),Programme_Grunddaten!B975,"")</f>
        <v/>
      </c>
      <c r="B970" s="1" t="str">
        <f>IF(AND(Programme_Grunddaten!$A975="Geprüft",Programme_Grunddaten!I975&lt;&gt;""),IF(Programme_Grunddaten!I975="Ja",1,0),"")</f>
        <v/>
      </c>
      <c r="C970" s="1" t="str">
        <f>IF(AND(Programme_Grunddaten!$A975="Geprüft",Programme_Grunddaten!J975&lt;&gt;""),IF(Programme_Grunddaten!J975="Ja",1,0),"")</f>
        <v/>
      </c>
      <c r="D970" s="1" t="str">
        <f>IF(AND(Programme_Grunddaten!$A975="Geprüft",Programme_Grunddaten!K975&lt;&gt;""),IF(Programme_Grunddaten!K975="Ja",1,0),"")</f>
        <v/>
      </c>
      <c r="E970" s="1" t="str">
        <f>IF(AND(Programme_Grunddaten!$A975="Geprüft",Programme_Grunddaten!L975&lt;&gt;""),IF(Programme_Grunddaten!L975="Abo / befristete Lizenz",1,0),"")</f>
        <v/>
      </c>
      <c r="F970" s="1" t="str">
        <f>IF(AND(Programme_Grunddaten!$A975="Geprüft",Programme_Grunddaten!M975&lt;&gt;""),IF(Programme_Grunddaten!M975="Ja",1,0),"")</f>
        <v/>
      </c>
      <c r="G970" s="1" t="str">
        <f>IF(AND(Programme_Grunddaten!$A975="Geprüft",Programme_Grunddaten!N975&lt;&gt;""),IF(Programme_Grunddaten!N975="Ja",1,0),"")</f>
        <v/>
      </c>
      <c r="H970" s="1" t="str">
        <f>IF(AND(Programme_Grunddaten!$A975="Geprüft",Programme_Grunddaten!O975&lt;&gt;""),IF(Programme_Grunddaten!O975="Deutschland",0,IF(Programme_Grunddaten!O975="EU",1,2)),"")</f>
        <v/>
      </c>
      <c r="I970" s="1" t="str">
        <f>IF(AND(Programme_Grunddaten!$A975="Geprüft",Programme_Grunddaten!P975&lt;&gt;""),IF(Programme_Grunddaten!P975="Ja",1,0),"")</f>
        <v/>
      </c>
      <c r="J970" s="1" t="str">
        <f>IF(AND(Programme_Grunddaten!$A975="Geprüft",Programme_Grunddaten!Q975&lt;&gt;""),IF(Programme_Grunddaten!Q975="geschlossenes System",1,0),"")</f>
        <v/>
      </c>
      <c r="K970" s="1" t="str">
        <f>IF(AND(Programme_Grunddaten!$A975="Geprüft",Programme_Grunddaten!R975&lt;&gt;""),IF(Programme_Grunddaten!R975="Ja",1,0),"")</f>
        <v/>
      </c>
      <c r="L970" s="1" t="str">
        <f>IF(AND(Programme_Grunddaten!$A975="Geprüft",Programme_Grunddaten!T975&lt;&gt;""),IF(Programme_Grunddaten!T975="Ja",1,0),"")</f>
        <v/>
      </c>
      <c r="M970" s="1" t="str">
        <f>IF(AND(Programme_Grunddaten!$A975="Geprüft",Programme_Grunddaten!U975&lt;&gt;""),IF(Programme_Grunddaten!U975="Ja",1,0),"")</f>
        <v/>
      </c>
      <c r="N970" s="1" t="str">
        <f>IF(AND(Programme_Grunddaten!$A975="Geprüft",Programme_Grunddaten!V975&lt;&gt;""),IF(Programme_Grunddaten!V975="Ja",1,0),"")</f>
        <v/>
      </c>
      <c r="O970" s="1" t="str">
        <f>IF(AND(Programme_Grunddaten!$A975="Geprüft",Programme_Grunddaten!W975&lt;&gt;""),IF(Programme_Grunddaten!W975="Ja",1,0),"")</f>
        <v/>
      </c>
      <c r="P970" s="1" t="str">
        <f>IF(AND(Programme_Grunddaten!$A975="Geprüft",Programme_Grunddaten!X975&lt;&gt;""),IF(Programme_Grunddaten!X975="Ja",1,0),"")</f>
        <v/>
      </c>
      <c r="Q970" s="1" t="str">
        <f>IF(AND(Programme_Grunddaten!$A975="Geprüft",Programme_Grunddaten!Y975&lt;&gt;""),IF(Programme_Grunddaten!Y975="Ja",1,0),"")</f>
        <v/>
      </c>
      <c r="R970" s="1" t="str">
        <f>IF(AND(Programme_Grunddaten!$A975="Geprüft",Programme_Grunddaten!Z975&lt;&gt;""),IF(Programme_Grunddaten!Z975="Ja",1,0),"")</f>
        <v/>
      </c>
      <c r="S970" s="1" t="str">
        <f>IF(AND(Programme_Grunddaten!$A975="Geprüft",Programme_Grunddaten!AA975&lt;&gt;""),IF(Programme_Grunddaten!AA975="monolithisch",1,0),"")</f>
        <v/>
      </c>
      <c r="T970" s="1" t="str">
        <f>IF(AND(Programme_Grunddaten!$A975="Geprüft",Programme_Grunddaten!AB975&lt;&gt;""),IF(Programme_Grunddaten!AB975="Ja",1,0),"")</f>
        <v/>
      </c>
      <c r="U970" s="1" t="str">
        <f>IF(AND(Programme_Grunddaten!$A975="Geprüft",Programme_Grunddaten!AC975&lt;&gt;""),IF(Programme_Grunddaten!AC975="Ja",1,0),"")</f>
        <v/>
      </c>
      <c r="V970" s="1" t="str">
        <f>IF(AND(Programme_Grunddaten!$A975="Geprüft",Programme_Grunddaten!AD975&lt;&gt;""),IF(Programme_Grunddaten!AD975="Ja",1,0),"")</f>
        <v/>
      </c>
      <c r="W970" s="1" t="str">
        <f>IF(AND(Programme_Grunddaten!$A975="Geprüft",Programme_Grunddaten!AE975&lt;&gt;""),IF(Programme_Grunddaten!AE975="Ja",1,0),"")</f>
        <v/>
      </c>
      <c r="X970" s="1" t="str">
        <f>IF(AND(Programme_Grunddaten!$A975="Geprüft",Programme_Grunddaten!AF975&lt;&gt;""),IF(Programme_Grunddaten!AF975="Ja",1,0),"")</f>
        <v/>
      </c>
      <c r="Y970" s="1" t="str">
        <f>IF(AND(Programme_Grunddaten!$A975="Geprüft",Programme_Grunddaten!AG975&lt;&gt;""),IF(Programme_Grunddaten!AG975="Ja",1,0),"")</f>
        <v/>
      </c>
      <c r="Z970" s="1" t="str">
        <f>IF(AND(Programme_Grunddaten!$A975="Geprüft",Programme_Grunddaten!AH975&lt;&gt;""),IF(Programme_Grunddaten!AH975="Ja",1,0),"")</f>
        <v/>
      </c>
      <c r="AA970" s="1" t="str">
        <f>IF(AND(Programme_Grunddaten!$A975="Geprüft",Programme_Grunddaten!AI975&lt;&gt;""),IF(Programme_Grunddaten!AI975="Ja",1,0),"")</f>
        <v/>
      </c>
      <c r="AB970" s="1" t="str">
        <f>IF(AND(Programme_Grunddaten!$A975="Geprüft",Programme_Grunddaten!AJ975&lt;&gt;""),IF(Programme_Grunddaten!AJ975="individuell programmierbar",1,0),"")</f>
        <v/>
      </c>
      <c r="AC970" s="1" t="str">
        <f>IF(AND(Programme_Grunddaten!$A975="Geprüft",Programme_Grunddaten!AK975&lt;&gt;""),IF(Programme_Grunddaten!AK975="Deutsch",0,IF(Programme_Grunddaten!AK975="Deutsch und Englisch",1,2)),"")</f>
        <v/>
      </c>
      <c r="AD970" s="1" t="str">
        <f>IF(AND(Programme_Grunddaten!$A975="Geprüft",Programme_Grunddaten!AL975&lt;&gt;""),IF(Programme_Grunddaten!AL975="Ja",1,0),"")</f>
        <v/>
      </c>
      <c r="AE970" s="1" t="str">
        <f>IF(AND(Programme_Grunddaten!$A975="Geprüft",Programme_Grunddaten!AM975&lt;&gt;""),IF(Programme_Grunddaten!AM975="Ja",1,0),"")</f>
        <v/>
      </c>
      <c r="AF970" s="1" t="str">
        <f>IF(AND(Programme_Grunddaten!$A975="Geprüft",Programme_Grunddaten!AN975&lt;&gt;""),IF(Programme_Grunddaten!AN975="Ja",1,0),"")</f>
        <v/>
      </c>
      <c r="AG970" s="1" t="str">
        <f>IF(AND(Programme_Grunddaten!$A975="Geprüft",Programme_Grunddaten!AO975&lt;&gt;""),IF(Programme_Grunddaten!AO975="Ja",1,0),"")</f>
        <v/>
      </c>
      <c r="AH970" s="1" t="str">
        <f>IF(AND(Programme_Grunddaten!$A975="Geprüft",Programme_Grunddaten!AP975&lt;&gt;""),IF(Programme_Grunddaten!AP975="Ja",1,0),"")</f>
        <v/>
      </c>
      <c r="AI970" s="1" t="str">
        <f>IF(AND(Programme_Grunddaten!$A975="Geprüft",Programme_Grunddaten!AQ975&lt;&gt;""),IF(Programme_Grunddaten!AQ975="Ja",1,0),"")</f>
        <v/>
      </c>
      <c r="AJ970" s="1" t="str">
        <f>IF(AND(Programme_Grunddaten!$A975="Geprüft",Programme_Grunddaten!AR975&lt;&gt;""),IF(Programme_Grunddaten!AR975="Ja",1,0),"")</f>
        <v/>
      </c>
      <c r="AK970" s="1" t="str">
        <f>IF(AND(Programme_Grunddaten!$A975="Geprüft",Programme_Grunddaten!AS975&lt;&gt;""),IF(Programme_Grunddaten!AS975="Ja",1,0),"")</f>
        <v/>
      </c>
      <c r="AL970" s="1" t="str">
        <f>IF(AND(Programme_Grunddaten!$A975="Geprüft",Programme_Grunddaten!AT975&lt;&gt;""),IF(Programme_Grunddaten!AT975="Ja",1,0),"")</f>
        <v/>
      </c>
      <c r="AM970" s="1" t="str">
        <f>IF(AND(Programme_Grunddaten!$A975="Geprüft",Programme_Grunddaten!AU975&lt;&gt;""),IF(Programme_Grunddaten!AU975="Ja",1,0),"")</f>
        <v/>
      </c>
      <c r="AN970" s="1" t="str">
        <f>IF(AND(Programme_Grunddaten!$A975="Geprüft",Programme_Grunddaten!AV975&lt;&gt;""),IF(Programme_Grunddaten!AV975="Ja",1,0),"")</f>
        <v/>
      </c>
    </row>
    <row r="971" spans="1:40" x14ac:dyDescent="0.3">
      <c r="A971" s="1" t="str">
        <f>IF(AND(Programme_Grunddaten!A976="Geprüft",Programme_Grunddaten!B976&lt;&gt;""),Programme_Grunddaten!B976,"")</f>
        <v/>
      </c>
      <c r="B971" s="1" t="str">
        <f>IF(AND(Programme_Grunddaten!$A976="Geprüft",Programme_Grunddaten!I976&lt;&gt;""),IF(Programme_Grunddaten!I976="Ja",1,0),"")</f>
        <v/>
      </c>
      <c r="C971" s="1" t="str">
        <f>IF(AND(Programme_Grunddaten!$A976="Geprüft",Programme_Grunddaten!J976&lt;&gt;""),IF(Programme_Grunddaten!J976="Ja",1,0),"")</f>
        <v/>
      </c>
      <c r="D971" s="1" t="str">
        <f>IF(AND(Programme_Grunddaten!$A976="Geprüft",Programme_Grunddaten!K976&lt;&gt;""),IF(Programme_Grunddaten!K976="Ja",1,0),"")</f>
        <v/>
      </c>
      <c r="E971" s="1" t="str">
        <f>IF(AND(Programme_Grunddaten!$A976="Geprüft",Programme_Grunddaten!L976&lt;&gt;""),IF(Programme_Grunddaten!L976="Abo / befristete Lizenz",1,0),"")</f>
        <v/>
      </c>
      <c r="F971" s="1" t="str">
        <f>IF(AND(Programme_Grunddaten!$A976="Geprüft",Programme_Grunddaten!M976&lt;&gt;""),IF(Programme_Grunddaten!M976="Ja",1,0),"")</f>
        <v/>
      </c>
      <c r="G971" s="1" t="str">
        <f>IF(AND(Programme_Grunddaten!$A976="Geprüft",Programme_Grunddaten!N976&lt;&gt;""),IF(Programme_Grunddaten!N976="Ja",1,0),"")</f>
        <v/>
      </c>
      <c r="H971" s="1" t="str">
        <f>IF(AND(Programme_Grunddaten!$A976="Geprüft",Programme_Grunddaten!O976&lt;&gt;""),IF(Programme_Grunddaten!O976="Deutschland",0,IF(Programme_Grunddaten!O976="EU",1,2)),"")</f>
        <v/>
      </c>
      <c r="I971" s="1" t="str">
        <f>IF(AND(Programme_Grunddaten!$A976="Geprüft",Programme_Grunddaten!P976&lt;&gt;""),IF(Programme_Grunddaten!P976="Ja",1,0),"")</f>
        <v/>
      </c>
      <c r="J971" s="1" t="str">
        <f>IF(AND(Programme_Grunddaten!$A976="Geprüft",Programme_Grunddaten!Q976&lt;&gt;""),IF(Programme_Grunddaten!Q976="geschlossenes System",1,0),"")</f>
        <v/>
      </c>
      <c r="K971" s="1" t="str">
        <f>IF(AND(Programme_Grunddaten!$A976="Geprüft",Programme_Grunddaten!R976&lt;&gt;""),IF(Programme_Grunddaten!R976="Ja",1,0),"")</f>
        <v/>
      </c>
      <c r="L971" s="1" t="str">
        <f>IF(AND(Programme_Grunddaten!$A976="Geprüft",Programme_Grunddaten!T976&lt;&gt;""),IF(Programme_Grunddaten!T976="Ja",1,0),"")</f>
        <v/>
      </c>
      <c r="M971" s="1" t="str">
        <f>IF(AND(Programme_Grunddaten!$A976="Geprüft",Programme_Grunddaten!U976&lt;&gt;""),IF(Programme_Grunddaten!U976="Ja",1,0),"")</f>
        <v/>
      </c>
      <c r="N971" s="1" t="str">
        <f>IF(AND(Programme_Grunddaten!$A976="Geprüft",Programme_Grunddaten!V976&lt;&gt;""),IF(Programme_Grunddaten!V976="Ja",1,0),"")</f>
        <v/>
      </c>
      <c r="O971" s="1" t="str">
        <f>IF(AND(Programme_Grunddaten!$A976="Geprüft",Programme_Grunddaten!W976&lt;&gt;""),IF(Programme_Grunddaten!W976="Ja",1,0),"")</f>
        <v/>
      </c>
      <c r="P971" s="1" t="str">
        <f>IF(AND(Programme_Grunddaten!$A976="Geprüft",Programme_Grunddaten!X976&lt;&gt;""),IF(Programme_Grunddaten!X976="Ja",1,0),"")</f>
        <v/>
      </c>
      <c r="Q971" s="1" t="str">
        <f>IF(AND(Programme_Grunddaten!$A976="Geprüft",Programme_Grunddaten!Y976&lt;&gt;""),IF(Programme_Grunddaten!Y976="Ja",1,0),"")</f>
        <v/>
      </c>
      <c r="R971" s="1" t="str">
        <f>IF(AND(Programme_Grunddaten!$A976="Geprüft",Programme_Grunddaten!Z976&lt;&gt;""),IF(Programme_Grunddaten!Z976="Ja",1,0),"")</f>
        <v/>
      </c>
      <c r="S971" s="1" t="str">
        <f>IF(AND(Programme_Grunddaten!$A976="Geprüft",Programme_Grunddaten!AA976&lt;&gt;""),IF(Programme_Grunddaten!AA976="monolithisch",1,0),"")</f>
        <v/>
      </c>
      <c r="T971" s="1" t="str">
        <f>IF(AND(Programme_Grunddaten!$A976="Geprüft",Programme_Grunddaten!AB976&lt;&gt;""),IF(Programme_Grunddaten!AB976="Ja",1,0),"")</f>
        <v/>
      </c>
      <c r="U971" s="1" t="str">
        <f>IF(AND(Programme_Grunddaten!$A976="Geprüft",Programme_Grunddaten!AC976&lt;&gt;""),IF(Programme_Grunddaten!AC976="Ja",1,0),"")</f>
        <v/>
      </c>
      <c r="V971" s="1" t="str">
        <f>IF(AND(Programme_Grunddaten!$A976="Geprüft",Programme_Grunddaten!AD976&lt;&gt;""),IF(Programme_Grunddaten!AD976="Ja",1,0),"")</f>
        <v/>
      </c>
      <c r="W971" s="1" t="str">
        <f>IF(AND(Programme_Grunddaten!$A976="Geprüft",Programme_Grunddaten!AE976&lt;&gt;""),IF(Programme_Grunddaten!AE976="Ja",1,0),"")</f>
        <v/>
      </c>
      <c r="X971" s="1" t="str">
        <f>IF(AND(Programme_Grunddaten!$A976="Geprüft",Programme_Grunddaten!AF976&lt;&gt;""),IF(Programme_Grunddaten!AF976="Ja",1,0),"")</f>
        <v/>
      </c>
      <c r="Y971" s="1" t="str">
        <f>IF(AND(Programme_Grunddaten!$A976="Geprüft",Programme_Grunddaten!AG976&lt;&gt;""),IF(Programme_Grunddaten!AG976="Ja",1,0),"")</f>
        <v/>
      </c>
      <c r="Z971" s="1" t="str">
        <f>IF(AND(Programme_Grunddaten!$A976="Geprüft",Programme_Grunddaten!AH976&lt;&gt;""),IF(Programme_Grunddaten!AH976="Ja",1,0),"")</f>
        <v/>
      </c>
      <c r="AA971" s="1" t="str">
        <f>IF(AND(Programme_Grunddaten!$A976="Geprüft",Programme_Grunddaten!AI976&lt;&gt;""),IF(Programme_Grunddaten!AI976="Ja",1,0),"")</f>
        <v/>
      </c>
      <c r="AB971" s="1" t="str">
        <f>IF(AND(Programme_Grunddaten!$A976="Geprüft",Programme_Grunddaten!AJ976&lt;&gt;""),IF(Programme_Grunddaten!AJ976="individuell programmierbar",1,0),"")</f>
        <v/>
      </c>
      <c r="AC971" s="1" t="str">
        <f>IF(AND(Programme_Grunddaten!$A976="Geprüft",Programme_Grunddaten!AK976&lt;&gt;""),IF(Programme_Grunddaten!AK976="Deutsch",0,IF(Programme_Grunddaten!AK976="Deutsch und Englisch",1,2)),"")</f>
        <v/>
      </c>
      <c r="AD971" s="1" t="str">
        <f>IF(AND(Programme_Grunddaten!$A976="Geprüft",Programme_Grunddaten!AL976&lt;&gt;""),IF(Programme_Grunddaten!AL976="Ja",1,0),"")</f>
        <v/>
      </c>
      <c r="AE971" s="1" t="str">
        <f>IF(AND(Programme_Grunddaten!$A976="Geprüft",Programme_Grunddaten!AM976&lt;&gt;""),IF(Programme_Grunddaten!AM976="Ja",1,0),"")</f>
        <v/>
      </c>
      <c r="AF971" s="1" t="str">
        <f>IF(AND(Programme_Grunddaten!$A976="Geprüft",Programme_Grunddaten!AN976&lt;&gt;""),IF(Programme_Grunddaten!AN976="Ja",1,0),"")</f>
        <v/>
      </c>
      <c r="AG971" s="1" t="str">
        <f>IF(AND(Programme_Grunddaten!$A976="Geprüft",Programme_Grunddaten!AO976&lt;&gt;""),IF(Programme_Grunddaten!AO976="Ja",1,0),"")</f>
        <v/>
      </c>
      <c r="AH971" s="1" t="str">
        <f>IF(AND(Programme_Grunddaten!$A976="Geprüft",Programme_Grunddaten!AP976&lt;&gt;""),IF(Programme_Grunddaten!AP976="Ja",1,0),"")</f>
        <v/>
      </c>
      <c r="AI971" s="1" t="str">
        <f>IF(AND(Programme_Grunddaten!$A976="Geprüft",Programme_Grunddaten!AQ976&lt;&gt;""),IF(Programme_Grunddaten!AQ976="Ja",1,0),"")</f>
        <v/>
      </c>
      <c r="AJ971" s="1" t="str">
        <f>IF(AND(Programme_Grunddaten!$A976="Geprüft",Programme_Grunddaten!AR976&lt;&gt;""),IF(Programme_Grunddaten!AR976="Ja",1,0),"")</f>
        <v/>
      </c>
      <c r="AK971" s="1" t="str">
        <f>IF(AND(Programme_Grunddaten!$A976="Geprüft",Programme_Grunddaten!AS976&lt;&gt;""),IF(Programme_Grunddaten!AS976="Ja",1,0),"")</f>
        <v/>
      </c>
      <c r="AL971" s="1" t="str">
        <f>IF(AND(Programme_Grunddaten!$A976="Geprüft",Programme_Grunddaten!AT976&lt;&gt;""),IF(Programme_Grunddaten!AT976="Ja",1,0),"")</f>
        <v/>
      </c>
      <c r="AM971" s="1" t="str">
        <f>IF(AND(Programme_Grunddaten!$A976="Geprüft",Programme_Grunddaten!AU976&lt;&gt;""),IF(Programme_Grunddaten!AU976="Ja",1,0),"")</f>
        <v/>
      </c>
      <c r="AN971" s="1" t="str">
        <f>IF(AND(Programme_Grunddaten!$A976="Geprüft",Programme_Grunddaten!AV976&lt;&gt;""),IF(Programme_Grunddaten!AV976="Ja",1,0),"")</f>
        <v/>
      </c>
    </row>
    <row r="972" spans="1:40" x14ac:dyDescent="0.3">
      <c r="A972" s="1" t="str">
        <f>IF(AND(Programme_Grunddaten!A977="Geprüft",Programme_Grunddaten!B977&lt;&gt;""),Programme_Grunddaten!B977,"")</f>
        <v/>
      </c>
      <c r="B972" s="1" t="str">
        <f>IF(AND(Programme_Grunddaten!$A977="Geprüft",Programme_Grunddaten!I977&lt;&gt;""),IF(Programme_Grunddaten!I977="Ja",1,0),"")</f>
        <v/>
      </c>
      <c r="C972" s="1" t="str">
        <f>IF(AND(Programme_Grunddaten!$A977="Geprüft",Programme_Grunddaten!J977&lt;&gt;""),IF(Programme_Grunddaten!J977="Ja",1,0),"")</f>
        <v/>
      </c>
      <c r="D972" s="1" t="str">
        <f>IF(AND(Programme_Grunddaten!$A977="Geprüft",Programme_Grunddaten!K977&lt;&gt;""),IF(Programme_Grunddaten!K977="Ja",1,0),"")</f>
        <v/>
      </c>
      <c r="E972" s="1" t="str">
        <f>IF(AND(Programme_Grunddaten!$A977="Geprüft",Programme_Grunddaten!L977&lt;&gt;""),IF(Programme_Grunddaten!L977="Abo / befristete Lizenz",1,0),"")</f>
        <v/>
      </c>
      <c r="F972" s="1" t="str">
        <f>IF(AND(Programme_Grunddaten!$A977="Geprüft",Programme_Grunddaten!M977&lt;&gt;""),IF(Programme_Grunddaten!M977="Ja",1,0),"")</f>
        <v/>
      </c>
      <c r="G972" s="1" t="str">
        <f>IF(AND(Programme_Grunddaten!$A977="Geprüft",Programme_Grunddaten!N977&lt;&gt;""),IF(Programme_Grunddaten!N977="Ja",1,0),"")</f>
        <v/>
      </c>
      <c r="H972" s="1" t="str">
        <f>IF(AND(Programme_Grunddaten!$A977="Geprüft",Programme_Grunddaten!O977&lt;&gt;""),IF(Programme_Grunddaten!O977="Deutschland",0,IF(Programme_Grunddaten!O977="EU",1,2)),"")</f>
        <v/>
      </c>
      <c r="I972" s="1" t="str">
        <f>IF(AND(Programme_Grunddaten!$A977="Geprüft",Programme_Grunddaten!P977&lt;&gt;""),IF(Programme_Grunddaten!P977="Ja",1,0),"")</f>
        <v/>
      </c>
      <c r="J972" s="1" t="str">
        <f>IF(AND(Programme_Grunddaten!$A977="Geprüft",Programme_Grunddaten!Q977&lt;&gt;""),IF(Programme_Grunddaten!Q977="geschlossenes System",1,0),"")</f>
        <v/>
      </c>
      <c r="K972" s="1" t="str">
        <f>IF(AND(Programme_Grunddaten!$A977="Geprüft",Programme_Grunddaten!R977&lt;&gt;""),IF(Programme_Grunddaten!R977="Ja",1,0),"")</f>
        <v/>
      </c>
      <c r="L972" s="1" t="str">
        <f>IF(AND(Programme_Grunddaten!$A977="Geprüft",Programme_Grunddaten!T977&lt;&gt;""),IF(Programme_Grunddaten!T977="Ja",1,0),"")</f>
        <v/>
      </c>
      <c r="M972" s="1" t="str">
        <f>IF(AND(Programme_Grunddaten!$A977="Geprüft",Programme_Grunddaten!U977&lt;&gt;""),IF(Programme_Grunddaten!U977="Ja",1,0),"")</f>
        <v/>
      </c>
      <c r="N972" s="1" t="str">
        <f>IF(AND(Programme_Grunddaten!$A977="Geprüft",Programme_Grunddaten!V977&lt;&gt;""),IF(Programme_Grunddaten!V977="Ja",1,0),"")</f>
        <v/>
      </c>
      <c r="O972" s="1" t="str">
        <f>IF(AND(Programme_Grunddaten!$A977="Geprüft",Programme_Grunddaten!W977&lt;&gt;""),IF(Programme_Grunddaten!W977="Ja",1,0),"")</f>
        <v/>
      </c>
      <c r="P972" s="1" t="str">
        <f>IF(AND(Programme_Grunddaten!$A977="Geprüft",Programme_Grunddaten!X977&lt;&gt;""),IF(Programme_Grunddaten!X977="Ja",1,0),"")</f>
        <v/>
      </c>
      <c r="Q972" s="1" t="str">
        <f>IF(AND(Programme_Grunddaten!$A977="Geprüft",Programme_Grunddaten!Y977&lt;&gt;""),IF(Programme_Grunddaten!Y977="Ja",1,0),"")</f>
        <v/>
      </c>
      <c r="R972" s="1" t="str">
        <f>IF(AND(Programme_Grunddaten!$A977="Geprüft",Programme_Grunddaten!Z977&lt;&gt;""),IF(Programme_Grunddaten!Z977="Ja",1,0),"")</f>
        <v/>
      </c>
      <c r="S972" s="1" t="str">
        <f>IF(AND(Programme_Grunddaten!$A977="Geprüft",Programme_Grunddaten!AA977&lt;&gt;""),IF(Programme_Grunddaten!AA977="monolithisch",1,0),"")</f>
        <v/>
      </c>
      <c r="T972" s="1" t="str">
        <f>IF(AND(Programme_Grunddaten!$A977="Geprüft",Programme_Grunddaten!AB977&lt;&gt;""),IF(Programme_Grunddaten!AB977="Ja",1,0),"")</f>
        <v/>
      </c>
      <c r="U972" s="1" t="str">
        <f>IF(AND(Programme_Grunddaten!$A977="Geprüft",Programme_Grunddaten!AC977&lt;&gt;""),IF(Programme_Grunddaten!AC977="Ja",1,0),"")</f>
        <v/>
      </c>
      <c r="V972" s="1" t="str">
        <f>IF(AND(Programme_Grunddaten!$A977="Geprüft",Programme_Grunddaten!AD977&lt;&gt;""),IF(Programme_Grunddaten!AD977="Ja",1,0),"")</f>
        <v/>
      </c>
      <c r="W972" s="1" t="str">
        <f>IF(AND(Programme_Grunddaten!$A977="Geprüft",Programme_Grunddaten!AE977&lt;&gt;""),IF(Programme_Grunddaten!AE977="Ja",1,0),"")</f>
        <v/>
      </c>
      <c r="X972" s="1" t="str">
        <f>IF(AND(Programme_Grunddaten!$A977="Geprüft",Programme_Grunddaten!AF977&lt;&gt;""),IF(Programme_Grunddaten!AF977="Ja",1,0),"")</f>
        <v/>
      </c>
      <c r="Y972" s="1" t="str">
        <f>IF(AND(Programme_Grunddaten!$A977="Geprüft",Programme_Grunddaten!AG977&lt;&gt;""),IF(Programme_Grunddaten!AG977="Ja",1,0),"")</f>
        <v/>
      </c>
      <c r="Z972" s="1" t="str">
        <f>IF(AND(Programme_Grunddaten!$A977="Geprüft",Programme_Grunddaten!AH977&lt;&gt;""),IF(Programme_Grunddaten!AH977="Ja",1,0),"")</f>
        <v/>
      </c>
      <c r="AA972" s="1" t="str">
        <f>IF(AND(Programme_Grunddaten!$A977="Geprüft",Programme_Grunddaten!AI977&lt;&gt;""),IF(Programme_Grunddaten!AI977="Ja",1,0),"")</f>
        <v/>
      </c>
      <c r="AB972" s="1" t="str">
        <f>IF(AND(Programme_Grunddaten!$A977="Geprüft",Programme_Grunddaten!AJ977&lt;&gt;""),IF(Programme_Grunddaten!AJ977="individuell programmierbar",1,0),"")</f>
        <v/>
      </c>
      <c r="AC972" s="1" t="str">
        <f>IF(AND(Programme_Grunddaten!$A977="Geprüft",Programme_Grunddaten!AK977&lt;&gt;""),IF(Programme_Grunddaten!AK977="Deutsch",0,IF(Programme_Grunddaten!AK977="Deutsch und Englisch",1,2)),"")</f>
        <v/>
      </c>
      <c r="AD972" s="1" t="str">
        <f>IF(AND(Programme_Grunddaten!$A977="Geprüft",Programme_Grunddaten!AL977&lt;&gt;""),IF(Programme_Grunddaten!AL977="Ja",1,0),"")</f>
        <v/>
      </c>
      <c r="AE972" s="1" t="str">
        <f>IF(AND(Programme_Grunddaten!$A977="Geprüft",Programme_Grunddaten!AM977&lt;&gt;""),IF(Programme_Grunddaten!AM977="Ja",1,0),"")</f>
        <v/>
      </c>
      <c r="AF972" s="1" t="str">
        <f>IF(AND(Programme_Grunddaten!$A977="Geprüft",Programme_Grunddaten!AN977&lt;&gt;""),IF(Programme_Grunddaten!AN977="Ja",1,0),"")</f>
        <v/>
      </c>
      <c r="AG972" s="1" t="str">
        <f>IF(AND(Programme_Grunddaten!$A977="Geprüft",Programme_Grunddaten!AO977&lt;&gt;""),IF(Programme_Grunddaten!AO977="Ja",1,0),"")</f>
        <v/>
      </c>
      <c r="AH972" s="1" t="str">
        <f>IF(AND(Programme_Grunddaten!$A977="Geprüft",Programme_Grunddaten!AP977&lt;&gt;""),IF(Programme_Grunddaten!AP977="Ja",1,0),"")</f>
        <v/>
      </c>
      <c r="AI972" s="1" t="str">
        <f>IF(AND(Programme_Grunddaten!$A977="Geprüft",Programme_Grunddaten!AQ977&lt;&gt;""),IF(Programme_Grunddaten!AQ977="Ja",1,0),"")</f>
        <v/>
      </c>
      <c r="AJ972" s="1" t="str">
        <f>IF(AND(Programme_Grunddaten!$A977="Geprüft",Programme_Grunddaten!AR977&lt;&gt;""),IF(Programme_Grunddaten!AR977="Ja",1,0),"")</f>
        <v/>
      </c>
      <c r="AK972" s="1" t="str">
        <f>IF(AND(Programme_Grunddaten!$A977="Geprüft",Programme_Grunddaten!AS977&lt;&gt;""),IF(Programme_Grunddaten!AS977="Ja",1,0),"")</f>
        <v/>
      </c>
      <c r="AL972" s="1" t="str">
        <f>IF(AND(Programme_Grunddaten!$A977="Geprüft",Programme_Grunddaten!AT977&lt;&gt;""),IF(Programme_Grunddaten!AT977="Ja",1,0),"")</f>
        <v/>
      </c>
      <c r="AM972" s="1" t="str">
        <f>IF(AND(Programme_Grunddaten!$A977="Geprüft",Programme_Grunddaten!AU977&lt;&gt;""),IF(Programme_Grunddaten!AU977="Ja",1,0),"")</f>
        <v/>
      </c>
      <c r="AN972" s="1" t="str">
        <f>IF(AND(Programme_Grunddaten!$A977="Geprüft",Programme_Grunddaten!AV977&lt;&gt;""),IF(Programme_Grunddaten!AV977="Ja",1,0),"")</f>
        <v/>
      </c>
    </row>
    <row r="973" spans="1:40" x14ac:dyDescent="0.3">
      <c r="A973" s="1" t="str">
        <f>IF(AND(Programme_Grunddaten!A978="Geprüft",Programme_Grunddaten!B978&lt;&gt;""),Programme_Grunddaten!B978,"")</f>
        <v/>
      </c>
      <c r="B973" s="1" t="str">
        <f>IF(AND(Programme_Grunddaten!$A978="Geprüft",Programme_Grunddaten!I978&lt;&gt;""),IF(Programme_Grunddaten!I978="Ja",1,0),"")</f>
        <v/>
      </c>
      <c r="C973" s="1" t="str">
        <f>IF(AND(Programme_Grunddaten!$A978="Geprüft",Programme_Grunddaten!J978&lt;&gt;""),IF(Programme_Grunddaten!J978="Ja",1,0),"")</f>
        <v/>
      </c>
      <c r="D973" s="1" t="str">
        <f>IF(AND(Programme_Grunddaten!$A978="Geprüft",Programme_Grunddaten!K978&lt;&gt;""),IF(Programme_Grunddaten!K978="Ja",1,0),"")</f>
        <v/>
      </c>
      <c r="E973" s="1" t="str">
        <f>IF(AND(Programme_Grunddaten!$A978="Geprüft",Programme_Grunddaten!L978&lt;&gt;""),IF(Programme_Grunddaten!L978="Abo / befristete Lizenz",1,0),"")</f>
        <v/>
      </c>
      <c r="F973" s="1" t="str">
        <f>IF(AND(Programme_Grunddaten!$A978="Geprüft",Programme_Grunddaten!M978&lt;&gt;""),IF(Programme_Grunddaten!M978="Ja",1,0),"")</f>
        <v/>
      </c>
      <c r="G973" s="1" t="str">
        <f>IF(AND(Programme_Grunddaten!$A978="Geprüft",Programme_Grunddaten!N978&lt;&gt;""),IF(Programme_Grunddaten!N978="Ja",1,0),"")</f>
        <v/>
      </c>
      <c r="H973" s="1" t="str">
        <f>IF(AND(Programme_Grunddaten!$A978="Geprüft",Programme_Grunddaten!O978&lt;&gt;""),IF(Programme_Grunddaten!O978="Deutschland",0,IF(Programme_Grunddaten!O978="EU",1,2)),"")</f>
        <v/>
      </c>
      <c r="I973" s="1" t="str">
        <f>IF(AND(Programme_Grunddaten!$A978="Geprüft",Programme_Grunddaten!P978&lt;&gt;""),IF(Programme_Grunddaten!P978="Ja",1,0),"")</f>
        <v/>
      </c>
      <c r="J973" s="1" t="str">
        <f>IF(AND(Programme_Grunddaten!$A978="Geprüft",Programme_Grunddaten!Q978&lt;&gt;""),IF(Programme_Grunddaten!Q978="geschlossenes System",1,0),"")</f>
        <v/>
      </c>
      <c r="K973" s="1" t="str">
        <f>IF(AND(Programme_Grunddaten!$A978="Geprüft",Programme_Grunddaten!R978&lt;&gt;""),IF(Programme_Grunddaten!R978="Ja",1,0),"")</f>
        <v/>
      </c>
      <c r="L973" s="1" t="str">
        <f>IF(AND(Programme_Grunddaten!$A978="Geprüft",Programme_Grunddaten!T978&lt;&gt;""),IF(Programme_Grunddaten!T978="Ja",1,0),"")</f>
        <v/>
      </c>
      <c r="M973" s="1" t="str">
        <f>IF(AND(Programme_Grunddaten!$A978="Geprüft",Programme_Grunddaten!U978&lt;&gt;""),IF(Programme_Grunddaten!U978="Ja",1,0),"")</f>
        <v/>
      </c>
      <c r="N973" s="1" t="str">
        <f>IF(AND(Programme_Grunddaten!$A978="Geprüft",Programme_Grunddaten!V978&lt;&gt;""),IF(Programme_Grunddaten!V978="Ja",1,0),"")</f>
        <v/>
      </c>
      <c r="O973" s="1" t="str">
        <f>IF(AND(Programme_Grunddaten!$A978="Geprüft",Programme_Grunddaten!W978&lt;&gt;""),IF(Programme_Grunddaten!W978="Ja",1,0),"")</f>
        <v/>
      </c>
      <c r="P973" s="1" t="str">
        <f>IF(AND(Programme_Grunddaten!$A978="Geprüft",Programme_Grunddaten!X978&lt;&gt;""),IF(Programme_Grunddaten!X978="Ja",1,0),"")</f>
        <v/>
      </c>
      <c r="Q973" s="1" t="str">
        <f>IF(AND(Programme_Grunddaten!$A978="Geprüft",Programme_Grunddaten!Y978&lt;&gt;""),IF(Programme_Grunddaten!Y978="Ja",1,0),"")</f>
        <v/>
      </c>
      <c r="R973" s="1" t="str">
        <f>IF(AND(Programme_Grunddaten!$A978="Geprüft",Programme_Grunddaten!Z978&lt;&gt;""),IF(Programme_Grunddaten!Z978="Ja",1,0),"")</f>
        <v/>
      </c>
      <c r="S973" s="1" t="str">
        <f>IF(AND(Programme_Grunddaten!$A978="Geprüft",Programme_Grunddaten!AA978&lt;&gt;""),IF(Programme_Grunddaten!AA978="monolithisch",1,0),"")</f>
        <v/>
      </c>
      <c r="T973" s="1" t="str">
        <f>IF(AND(Programme_Grunddaten!$A978="Geprüft",Programme_Grunddaten!AB978&lt;&gt;""),IF(Programme_Grunddaten!AB978="Ja",1,0),"")</f>
        <v/>
      </c>
      <c r="U973" s="1" t="str">
        <f>IF(AND(Programme_Grunddaten!$A978="Geprüft",Programme_Grunddaten!AC978&lt;&gt;""),IF(Programme_Grunddaten!AC978="Ja",1,0),"")</f>
        <v/>
      </c>
      <c r="V973" s="1" t="str">
        <f>IF(AND(Programme_Grunddaten!$A978="Geprüft",Programme_Grunddaten!AD978&lt;&gt;""),IF(Programme_Grunddaten!AD978="Ja",1,0),"")</f>
        <v/>
      </c>
      <c r="W973" s="1" t="str">
        <f>IF(AND(Programme_Grunddaten!$A978="Geprüft",Programme_Grunddaten!AE978&lt;&gt;""),IF(Programme_Grunddaten!AE978="Ja",1,0),"")</f>
        <v/>
      </c>
      <c r="X973" s="1" t="str">
        <f>IF(AND(Programme_Grunddaten!$A978="Geprüft",Programme_Grunddaten!AF978&lt;&gt;""),IF(Programme_Grunddaten!AF978="Ja",1,0),"")</f>
        <v/>
      </c>
      <c r="Y973" s="1" t="str">
        <f>IF(AND(Programme_Grunddaten!$A978="Geprüft",Programme_Grunddaten!AG978&lt;&gt;""),IF(Programme_Grunddaten!AG978="Ja",1,0),"")</f>
        <v/>
      </c>
      <c r="Z973" s="1" t="str">
        <f>IF(AND(Programme_Grunddaten!$A978="Geprüft",Programme_Grunddaten!AH978&lt;&gt;""),IF(Programme_Grunddaten!AH978="Ja",1,0),"")</f>
        <v/>
      </c>
      <c r="AA973" s="1" t="str">
        <f>IF(AND(Programme_Grunddaten!$A978="Geprüft",Programme_Grunddaten!AI978&lt;&gt;""),IF(Programme_Grunddaten!AI978="Ja",1,0),"")</f>
        <v/>
      </c>
      <c r="AB973" s="1" t="str">
        <f>IF(AND(Programme_Grunddaten!$A978="Geprüft",Programme_Grunddaten!AJ978&lt;&gt;""),IF(Programme_Grunddaten!AJ978="individuell programmierbar",1,0),"")</f>
        <v/>
      </c>
      <c r="AC973" s="1" t="str">
        <f>IF(AND(Programme_Grunddaten!$A978="Geprüft",Programme_Grunddaten!AK978&lt;&gt;""),IF(Programme_Grunddaten!AK978="Deutsch",0,IF(Programme_Grunddaten!AK978="Deutsch und Englisch",1,2)),"")</f>
        <v/>
      </c>
      <c r="AD973" s="1" t="str">
        <f>IF(AND(Programme_Grunddaten!$A978="Geprüft",Programme_Grunddaten!AL978&lt;&gt;""),IF(Programme_Grunddaten!AL978="Ja",1,0),"")</f>
        <v/>
      </c>
      <c r="AE973" s="1" t="str">
        <f>IF(AND(Programme_Grunddaten!$A978="Geprüft",Programme_Grunddaten!AM978&lt;&gt;""),IF(Programme_Grunddaten!AM978="Ja",1,0),"")</f>
        <v/>
      </c>
      <c r="AF973" s="1" t="str">
        <f>IF(AND(Programme_Grunddaten!$A978="Geprüft",Programme_Grunddaten!AN978&lt;&gt;""),IF(Programme_Grunddaten!AN978="Ja",1,0),"")</f>
        <v/>
      </c>
      <c r="AG973" s="1" t="str">
        <f>IF(AND(Programme_Grunddaten!$A978="Geprüft",Programme_Grunddaten!AO978&lt;&gt;""),IF(Programme_Grunddaten!AO978="Ja",1,0),"")</f>
        <v/>
      </c>
      <c r="AH973" s="1" t="str">
        <f>IF(AND(Programme_Grunddaten!$A978="Geprüft",Programme_Grunddaten!AP978&lt;&gt;""),IF(Programme_Grunddaten!AP978="Ja",1,0),"")</f>
        <v/>
      </c>
      <c r="AI973" s="1" t="str">
        <f>IF(AND(Programme_Grunddaten!$A978="Geprüft",Programme_Grunddaten!AQ978&lt;&gt;""),IF(Programme_Grunddaten!AQ978="Ja",1,0),"")</f>
        <v/>
      </c>
      <c r="AJ973" s="1" t="str">
        <f>IF(AND(Programme_Grunddaten!$A978="Geprüft",Programme_Grunddaten!AR978&lt;&gt;""),IF(Programme_Grunddaten!AR978="Ja",1,0),"")</f>
        <v/>
      </c>
      <c r="AK973" s="1" t="str">
        <f>IF(AND(Programme_Grunddaten!$A978="Geprüft",Programme_Grunddaten!AS978&lt;&gt;""),IF(Programme_Grunddaten!AS978="Ja",1,0),"")</f>
        <v/>
      </c>
      <c r="AL973" s="1" t="str">
        <f>IF(AND(Programme_Grunddaten!$A978="Geprüft",Programme_Grunddaten!AT978&lt;&gt;""),IF(Programme_Grunddaten!AT978="Ja",1,0),"")</f>
        <v/>
      </c>
      <c r="AM973" s="1" t="str">
        <f>IF(AND(Programme_Grunddaten!$A978="Geprüft",Programme_Grunddaten!AU978&lt;&gt;""),IF(Programme_Grunddaten!AU978="Ja",1,0),"")</f>
        <v/>
      </c>
      <c r="AN973" s="1" t="str">
        <f>IF(AND(Programme_Grunddaten!$A978="Geprüft",Programme_Grunddaten!AV978&lt;&gt;""),IF(Programme_Grunddaten!AV978="Ja",1,0),"")</f>
        <v/>
      </c>
    </row>
    <row r="974" spans="1:40" x14ac:dyDescent="0.3">
      <c r="A974" s="1" t="str">
        <f>IF(AND(Programme_Grunddaten!A979="Geprüft",Programme_Grunddaten!B979&lt;&gt;""),Programme_Grunddaten!B979,"")</f>
        <v/>
      </c>
      <c r="B974" s="1" t="str">
        <f>IF(AND(Programme_Grunddaten!$A979="Geprüft",Programme_Grunddaten!I979&lt;&gt;""),IF(Programme_Grunddaten!I979="Ja",1,0),"")</f>
        <v/>
      </c>
      <c r="C974" s="1" t="str">
        <f>IF(AND(Programme_Grunddaten!$A979="Geprüft",Programme_Grunddaten!J979&lt;&gt;""),IF(Programme_Grunddaten!J979="Ja",1,0),"")</f>
        <v/>
      </c>
      <c r="D974" s="1" t="str">
        <f>IF(AND(Programme_Grunddaten!$A979="Geprüft",Programme_Grunddaten!K979&lt;&gt;""),IF(Programme_Grunddaten!K979="Ja",1,0),"")</f>
        <v/>
      </c>
      <c r="E974" s="1" t="str">
        <f>IF(AND(Programme_Grunddaten!$A979="Geprüft",Programme_Grunddaten!L979&lt;&gt;""),IF(Programme_Grunddaten!L979="Abo / befristete Lizenz",1,0),"")</f>
        <v/>
      </c>
      <c r="F974" s="1" t="str">
        <f>IF(AND(Programme_Grunddaten!$A979="Geprüft",Programme_Grunddaten!M979&lt;&gt;""),IF(Programme_Grunddaten!M979="Ja",1,0),"")</f>
        <v/>
      </c>
      <c r="G974" s="1" t="str">
        <f>IF(AND(Programme_Grunddaten!$A979="Geprüft",Programme_Grunddaten!N979&lt;&gt;""),IF(Programme_Grunddaten!N979="Ja",1,0),"")</f>
        <v/>
      </c>
      <c r="H974" s="1" t="str">
        <f>IF(AND(Programme_Grunddaten!$A979="Geprüft",Programme_Grunddaten!O979&lt;&gt;""),IF(Programme_Grunddaten!O979="Deutschland",0,IF(Programme_Grunddaten!O979="EU",1,2)),"")</f>
        <v/>
      </c>
      <c r="I974" s="1" t="str">
        <f>IF(AND(Programme_Grunddaten!$A979="Geprüft",Programme_Grunddaten!P979&lt;&gt;""),IF(Programme_Grunddaten!P979="Ja",1,0),"")</f>
        <v/>
      </c>
      <c r="J974" s="1" t="str">
        <f>IF(AND(Programme_Grunddaten!$A979="Geprüft",Programme_Grunddaten!Q979&lt;&gt;""),IF(Programme_Grunddaten!Q979="geschlossenes System",1,0),"")</f>
        <v/>
      </c>
      <c r="K974" s="1" t="str">
        <f>IF(AND(Programme_Grunddaten!$A979="Geprüft",Programme_Grunddaten!R979&lt;&gt;""),IF(Programme_Grunddaten!R979="Ja",1,0),"")</f>
        <v/>
      </c>
      <c r="L974" s="1" t="str">
        <f>IF(AND(Programme_Grunddaten!$A979="Geprüft",Programme_Grunddaten!T979&lt;&gt;""),IF(Programme_Grunddaten!T979="Ja",1,0),"")</f>
        <v/>
      </c>
      <c r="M974" s="1" t="str">
        <f>IF(AND(Programme_Grunddaten!$A979="Geprüft",Programme_Grunddaten!U979&lt;&gt;""),IF(Programme_Grunddaten!U979="Ja",1,0),"")</f>
        <v/>
      </c>
      <c r="N974" s="1" t="str">
        <f>IF(AND(Programme_Grunddaten!$A979="Geprüft",Programme_Grunddaten!V979&lt;&gt;""),IF(Programme_Grunddaten!V979="Ja",1,0),"")</f>
        <v/>
      </c>
      <c r="O974" s="1" t="str">
        <f>IF(AND(Programme_Grunddaten!$A979="Geprüft",Programme_Grunddaten!W979&lt;&gt;""),IF(Programme_Grunddaten!W979="Ja",1,0),"")</f>
        <v/>
      </c>
      <c r="P974" s="1" t="str">
        <f>IF(AND(Programme_Grunddaten!$A979="Geprüft",Programme_Grunddaten!X979&lt;&gt;""),IF(Programme_Grunddaten!X979="Ja",1,0),"")</f>
        <v/>
      </c>
      <c r="Q974" s="1" t="str">
        <f>IF(AND(Programme_Grunddaten!$A979="Geprüft",Programme_Grunddaten!Y979&lt;&gt;""),IF(Programme_Grunddaten!Y979="Ja",1,0),"")</f>
        <v/>
      </c>
      <c r="R974" s="1" t="str">
        <f>IF(AND(Programme_Grunddaten!$A979="Geprüft",Programme_Grunddaten!Z979&lt;&gt;""),IF(Programme_Grunddaten!Z979="Ja",1,0),"")</f>
        <v/>
      </c>
      <c r="S974" s="1" t="str">
        <f>IF(AND(Programme_Grunddaten!$A979="Geprüft",Programme_Grunddaten!AA979&lt;&gt;""),IF(Programme_Grunddaten!AA979="monolithisch",1,0),"")</f>
        <v/>
      </c>
      <c r="T974" s="1" t="str">
        <f>IF(AND(Programme_Grunddaten!$A979="Geprüft",Programme_Grunddaten!AB979&lt;&gt;""),IF(Programme_Grunddaten!AB979="Ja",1,0),"")</f>
        <v/>
      </c>
      <c r="U974" s="1" t="str">
        <f>IF(AND(Programme_Grunddaten!$A979="Geprüft",Programme_Grunddaten!AC979&lt;&gt;""),IF(Programme_Grunddaten!AC979="Ja",1,0),"")</f>
        <v/>
      </c>
      <c r="V974" s="1" t="str">
        <f>IF(AND(Programme_Grunddaten!$A979="Geprüft",Programme_Grunddaten!AD979&lt;&gt;""),IF(Programme_Grunddaten!AD979="Ja",1,0),"")</f>
        <v/>
      </c>
      <c r="W974" s="1" t="str">
        <f>IF(AND(Programme_Grunddaten!$A979="Geprüft",Programme_Grunddaten!AE979&lt;&gt;""),IF(Programme_Grunddaten!AE979="Ja",1,0),"")</f>
        <v/>
      </c>
      <c r="X974" s="1" t="str">
        <f>IF(AND(Programme_Grunddaten!$A979="Geprüft",Programme_Grunddaten!AF979&lt;&gt;""),IF(Programme_Grunddaten!AF979="Ja",1,0),"")</f>
        <v/>
      </c>
      <c r="Y974" s="1" t="str">
        <f>IF(AND(Programme_Grunddaten!$A979="Geprüft",Programme_Grunddaten!AG979&lt;&gt;""),IF(Programme_Grunddaten!AG979="Ja",1,0),"")</f>
        <v/>
      </c>
      <c r="Z974" s="1" t="str">
        <f>IF(AND(Programme_Grunddaten!$A979="Geprüft",Programme_Grunddaten!AH979&lt;&gt;""),IF(Programme_Grunddaten!AH979="Ja",1,0),"")</f>
        <v/>
      </c>
      <c r="AA974" s="1" t="str">
        <f>IF(AND(Programme_Grunddaten!$A979="Geprüft",Programme_Grunddaten!AI979&lt;&gt;""),IF(Programme_Grunddaten!AI979="Ja",1,0),"")</f>
        <v/>
      </c>
      <c r="AB974" s="1" t="str">
        <f>IF(AND(Programme_Grunddaten!$A979="Geprüft",Programme_Grunddaten!AJ979&lt;&gt;""),IF(Programme_Grunddaten!AJ979="individuell programmierbar",1,0),"")</f>
        <v/>
      </c>
      <c r="AC974" s="1" t="str">
        <f>IF(AND(Programme_Grunddaten!$A979="Geprüft",Programme_Grunddaten!AK979&lt;&gt;""),IF(Programme_Grunddaten!AK979="Deutsch",0,IF(Programme_Grunddaten!AK979="Deutsch und Englisch",1,2)),"")</f>
        <v/>
      </c>
      <c r="AD974" s="1" t="str">
        <f>IF(AND(Programme_Grunddaten!$A979="Geprüft",Programme_Grunddaten!AL979&lt;&gt;""),IF(Programme_Grunddaten!AL979="Ja",1,0),"")</f>
        <v/>
      </c>
      <c r="AE974" s="1" t="str">
        <f>IF(AND(Programme_Grunddaten!$A979="Geprüft",Programme_Grunddaten!AM979&lt;&gt;""),IF(Programme_Grunddaten!AM979="Ja",1,0),"")</f>
        <v/>
      </c>
      <c r="AF974" s="1" t="str">
        <f>IF(AND(Programme_Grunddaten!$A979="Geprüft",Programme_Grunddaten!AN979&lt;&gt;""),IF(Programme_Grunddaten!AN979="Ja",1,0),"")</f>
        <v/>
      </c>
      <c r="AG974" s="1" t="str">
        <f>IF(AND(Programme_Grunddaten!$A979="Geprüft",Programme_Grunddaten!AO979&lt;&gt;""),IF(Programme_Grunddaten!AO979="Ja",1,0),"")</f>
        <v/>
      </c>
      <c r="AH974" s="1" t="str">
        <f>IF(AND(Programme_Grunddaten!$A979="Geprüft",Programme_Grunddaten!AP979&lt;&gt;""),IF(Programme_Grunddaten!AP979="Ja",1,0),"")</f>
        <v/>
      </c>
      <c r="AI974" s="1" t="str">
        <f>IF(AND(Programme_Grunddaten!$A979="Geprüft",Programme_Grunddaten!AQ979&lt;&gt;""),IF(Programme_Grunddaten!AQ979="Ja",1,0),"")</f>
        <v/>
      </c>
      <c r="AJ974" s="1" t="str">
        <f>IF(AND(Programme_Grunddaten!$A979="Geprüft",Programme_Grunddaten!AR979&lt;&gt;""),IF(Programme_Grunddaten!AR979="Ja",1,0),"")</f>
        <v/>
      </c>
      <c r="AK974" s="1" t="str">
        <f>IF(AND(Programme_Grunddaten!$A979="Geprüft",Programme_Grunddaten!AS979&lt;&gt;""),IF(Programme_Grunddaten!AS979="Ja",1,0),"")</f>
        <v/>
      </c>
      <c r="AL974" s="1" t="str">
        <f>IF(AND(Programme_Grunddaten!$A979="Geprüft",Programme_Grunddaten!AT979&lt;&gt;""),IF(Programme_Grunddaten!AT979="Ja",1,0),"")</f>
        <v/>
      </c>
      <c r="AM974" s="1" t="str">
        <f>IF(AND(Programme_Grunddaten!$A979="Geprüft",Programme_Grunddaten!AU979&lt;&gt;""),IF(Programme_Grunddaten!AU979="Ja",1,0),"")</f>
        <v/>
      </c>
      <c r="AN974" s="1" t="str">
        <f>IF(AND(Programme_Grunddaten!$A979="Geprüft",Programme_Grunddaten!AV979&lt;&gt;""),IF(Programme_Grunddaten!AV979="Ja",1,0),"")</f>
        <v/>
      </c>
    </row>
    <row r="975" spans="1:40" x14ac:dyDescent="0.3">
      <c r="A975" s="1" t="str">
        <f>IF(AND(Programme_Grunddaten!A980="Geprüft",Programme_Grunddaten!B980&lt;&gt;""),Programme_Grunddaten!B980,"")</f>
        <v/>
      </c>
      <c r="B975" s="1" t="str">
        <f>IF(AND(Programme_Grunddaten!$A980="Geprüft",Programme_Grunddaten!I980&lt;&gt;""),IF(Programme_Grunddaten!I980="Ja",1,0),"")</f>
        <v/>
      </c>
      <c r="C975" s="1" t="str">
        <f>IF(AND(Programme_Grunddaten!$A980="Geprüft",Programme_Grunddaten!J980&lt;&gt;""),IF(Programme_Grunddaten!J980="Ja",1,0),"")</f>
        <v/>
      </c>
      <c r="D975" s="1" t="str">
        <f>IF(AND(Programme_Grunddaten!$A980="Geprüft",Programme_Grunddaten!K980&lt;&gt;""),IF(Programme_Grunddaten!K980="Ja",1,0),"")</f>
        <v/>
      </c>
      <c r="E975" s="1" t="str">
        <f>IF(AND(Programme_Grunddaten!$A980="Geprüft",Programme_Grunddaten!L980&lt;&gt;""),IF(Programme_Grunddaten!L980="Abo / befristete Lizenz",1,0),"")</f>
        <v/>
      </c>
      <c r="F975" s="1" t="str">
        <f>IF(AND(Programme_Grunddaten!$A980="Geprüft",Programme_Grunddaten!M980&lt;&gt;""),IF(Programme_Grunddaten!M980="Ja",1,0),"")</f>
        <v/>
      </c>
      <c r="G975" s="1" t="str">
        <f>IF(AND(Programme_Grunddaten!$A980="Geprüft",Programme_Grunddaten!N980&lt;&gt;""),IF(Programme_Grunddaten!N980="Ja",1,0),"")</f>
        <v/>
      </c>
      <c r="H975" s="1" t="str">
        <f>IF(AND(Programme_Grunddaten!$A980="Geprüft",Programme_Grunddaten!O980&lt;&gt;""),IF(Programme_Grunddaten!O980="Deutschland",0,IF(Programme_Grunddaten!O980="EU",1,2)),"")</f>
        <v/>
      </c>
      <c r="I975" s="1" t="str">
        <f>IF(AND(Programme_Grunddaten!$A980="Geprüft",Programme_Grunddaten!P980&lt;&gt;""),IF(Programme_Grunddaten!P980="Ja",1,0),"")</f>
        <v/>
      </c>
      <c r="J975" s="1" t="str">
        <f>IF(AND(Programme_Grunddaten!$A980="Geprüft",Programme_Grunddaten!Q980&lt;&gt;""),IF(Programme_Grunddaten!Q980="geschlossenes System",1,0),"")</f>
        <v/>
      </c>
      <c r="K975" s="1" t="str">
        <f>IF(AND(Programme_Grunddaten!$A980="Geprüft",Programme_Grunddaten!R980&lt;&gt;""),IF(Programme_Grunddaten!R980="Ja",1,0),"")</f>
        <v/>
      </c>
      <c r="L975" s="1" t="str">
        <f>IF(AND(Programme_Grunddaten!$A980="Geprüft",Programme_Grunddaten!T980&lt;&gt;""),IF(Programme_Grunddaten!T980="Ja",1,0),"")</f>
        <v/>
      </c>
      <c r="M975" s="1" t="str">
        <f>IF(AND(Programme_Grunddaten!$A980="Geprüft",Programme_Grunddaten!U980&lt;&gt;""),IF(Programme_Grunddaten!U980="Ja",1,0),"")</f>
        <v/>
      </c>
      <c r="N975" s="1" t="str">
        <f>IF(AND(Programme_Grunddaten!$A980="Geprüft",Programme_Grunddaten!V980&lt;&gt;""),IF(Programme_Grunddaten!V980="Ja",1,0),"")</f>
        <v/>
      </c>
      <c r="O975" s="1" t="str">
        <f>IF(AND(Programme_Grunddaten!$A980="Geprüft",Programme_Grunddaten!W980&lt;&gt;""),IF(Programme_Grunddaten!W980="Ja",1,0),"")</f>
        <v/>
      </c>
      <c r="P975" s="1" t="str">
        <f>IF(AND(Programme_Grunddaten!$A980="Geprüft",Programme_Grunddaten!X980&lt;&gt;""),IF(Programme_Grunddaten!X980="Ja",1,0),"")</f>
        <v/>
      </c>
      <c r="Q975" s="1" t="str">
        <f>IF(AND(Programme_Grunddaten!$A980="Geprüft",Programme_Grunddaten!Y980&lt;&gt;""),IF(Programme_Grunddaten!Y980="Ja",1,0),"")</f>
        <v/>
      </c>
      <c r="R975" s="1" t="str">
        <f>IF(AND(Programme_Grunddaten!$A980="Geprüft",Programme_Grunddaten!Z980&lt;&gt;""),IF(Programme_Grunddaten!Z980="Ja",1,0),"")</f>
        <v/>
      </c>
      <c r="S975" s="1" t="str">
        <f>IF(AND(Programme_Grunddaten!$A980="Geprüft",Programme_Grunddaten!AA980&lt;&gt;""),IF(Programme_Grunddaten!AA980="monolithisch",1,0),"")</f>
        <v/>
      </c>
      <c r="T975" s="1" t="str">
        <f>IF(AND(Programme_Grunddaten!$A980="Geprüft",Programme_Grunddaten!AB980&lt;&gt;""),IF(Programme_Grunddaten!AB980="Ja",1,0),"")</f>
        <v/>
      </c>
      <c r="U975" s="1" t="str">
        <f>IF(AND(Programme_Grunddaten!$A980="Geprüft",Programme_Grunddaten!AC980&lt;&gt;""),IF(Programme_Grunddaten!AC980="Ja",1,0),"")</f>
        <v/>
      </c>
      <c r="V975" s="1" t="str">
        <f>IF(AND(Programme_Grunddaten!$A980="Geprüft",Programme_Grunddaten!AD980&lt;&gt;""),IF(Programme_Grunddaten!AD980="Ja",1,0),"")</f>
        <v/>
      </c>
      <c r="W975" s="1" t="str">
        <f>IF(AND(Programme_Grunddaten!$A980="Geprüft",Programme_Grunddaten!AE980&lt;&gt;""),IF(Programme_Grunddaten!AE980="Ja",1,0),"")</f>
        <v/>
      </c>
      <c r="X975" s="1" t="str">
        <f>IF(AND(Programme_Grunddaten!$A980="Geprüft",Programme_Grunddaten!AF980&lt;&gt;""),IF(Programme_Grunddaten!AF980="Ja",1,0),"")</f>
        <v/>
      </c>
      <c r="Y975" s="1" t="str">
        <f>IF(AND(Programme_Grunddaten!$A980="Geprüft",Programme_Grunddaten!AG980&lt;&gt;""),IF(Programme_Grunddaten!AG980="Ja",1,0),"")</f>
        <v/>
      </c>
      <c r="Z975" s="1" t="str">
        <f>IF(AND(Programme_Grunddaten!$A980="Geprüft",Programme_Grunddaten!AH980&lt;&gt;""),IF(Programme_Grunddaten!AH980="Ja",1,0),"")</f>
        <v/>
      </c>
      <c r="AA975" s="1" t="str">
        <f>IF(AND(Programme_Grunddaten!$A980="Geprüft",Programme_Grunddaten!AI980&lt;&gt;""),IF(Programme_Grunddaten!AI980="Ja",1,0),"")</f>
        <v/>
      </c>
      <c r="AB975" s="1" t="str">
        <f>IF(AND(Programme_Grunddaten!$A980="Geprüft",Programme_Grunddaten!AJ980&lt;&gt;""),IF(Programme_Grunddaten!AJ980="individuell programmierbar",1,0),"")</f>
        <v/>
      </c>
      <c r="AC975" s="1" t="str">
        <f>IF(AND(Programme_Grunddaten!$A980="Geprüft",Programme_Grunddaten!AK980&lt;&gt;""),IF(Programme_Grunddaten!AK980="Deutsch",0,IF(Programme_Grunddaten!AK980="Deutsch und Englisch",1,2)),"")</f>
        <v/>
      </c>
      <c r="AD975" s="1" t="str">
        <f>IF(AND(Programme_Grunddaten!$A980="Geprüft",Programme_Grunddaten!AL980&lt;&gt;""),IF(Programme_Grunddaten!AL980="Ja",1,0),"")</f>
        <v/>
      </c>
      <c r="AE975" s="1" t="str">
        <f>IF(AND(Programme_Grunddaten!$A980="Geprüft",Programme_Grunddaten!AM980&lt;&gt;""),IF(Programme_Grunddaten!AM980="Ja",1,0),"")</f>
        <v/>
      </c>
      <c r="AF975" s="1" t="str">
        <f>IF(AND(Programme_Grunddaten!$A980="Geprüft",Programme_Grunddaten!AN980&lt;&gt;""),IF(Programme_Grunddaten!AN980="Ja",1,0),"")</f>
        <v/>
      </c>
      <c r="AG975" s="1" t="str">
        <f>IF(AND(Programme_Grunddaten!$A980="Geprüft",Programme_Grunddaten!AO980&lt;&gt;""),IF(Programme_Grunddaten!AO980="Ja",1,0),"")</f>
        <v/>
      </c>
      <c r="AH975" s="1" t="str">
        <f>IF(AND(Programme_Grunddaten!$A980="Geprüft",Programme_Grunddaten!AP980&lt;&gt;""),IF(Programme_Grunddaten!AP980="Ja",1,0),"")</f>
        <v/>
      </c>
      <c r="AI975" s="1" t="str">
        <f>IF(AND(Programme_Grunddaten!$A980="Geprüft",Programme_Grunddaten!AQ980&lt;&gt;""),IF(Programme_Grunddaten!AQ980="Ja",1,0),"")</f>
        <v/>
      </c>
      <c r="AJ975" s="1" t="str">
        <f>IF(AND(Programme_Grunddaten!$A980="Geprüft",Programme_Grunddaten!AR980&lt;&gt;""),IF(Programme_Grunddaten!AR980="Ja",1,0),"")</f>
        <v/>
      </c>
      <c r="AK975" s="1" t="str">
        <f>IF(AND(Programme_Grunddaten!$A980="Geprüft",Programme_Grunddaten!AS980&lt;&gt;""),IF(Programme_Grunddaten!AS980="Ja",1,0),"")</f>
        <v/>
      </c>
      <c r="AL975" s="1" t="str">
        <f>IF(AND(Programme_Grunddaten!$A980="Geprüft",Programme_Grunddaten!AT980&lt;&gt;""),IF(Programme_Grunddaten!AT980="Ja",1,0),"")</f>
        <v/>
      </c>
      <c r="AM975" s="1" t="str">
        <f>IF(AND(Programme_Grunddaten!$A980="Geprüft",Programme_Grunddaten!AU980&lt;&gt;""),IF(Programme_Grunddaten!AU980="Ja",1,0),"")</f>
        <v/>
      </c>
      <c r="AN975" s="1" t="str">
        <f>IF(AND(Programme_Grunddaten!$A980="Geprüft",Programme_Grunddaten!AV980&lt;&gt;""),IF(Programme_Grunddaten!AV980="Ja",1,0),"")</f>
        <v/>
      </c>
    </row>
    <row r="976" spans="1:40" x14ac:dyDescent="0.3">
      <c r="A976" s="1" t="str">
        <f>IF(AND(Programme_Grunddaten!A981="Geprüft",Programme_Grunddaten!B981&lt;&gt;""),Programme_Grunddaten!B981,"")</f>
        <v/>
      </c>
      <c r="B976" s="1" t="str">
        <f>IF(AND(Programme_Grunddaten!$A981="Geprüft",Programme_Grunddaten!I981&lt;&gt;""),IF(Programme_Grunddaten!I981="Ja",1,0),"")</f>
        <v/>
      </c>
      <c r="C976" s="1" t="str">
        <f>IF(AND(Programme_Grunddaten!$A981="Geprüft",Programme_Grunddaten!J981&lt;&gt;""),IF(Programme_Grunddaten!J981="Ja",1,0),"")</f>
        <v/>
      </c>
      <c r="D976" s="1" t="str">
        <f>IF(AND(Programme_Grunddaten!$A981="Geprüft",Programme_Grunddaten!K981&lt;&gt;""),IF(Programme_Grunddaten!K981="Ja",1,0),"")</f>
        <v/>
      </c>
      <c r="E976" s="1" t="str">
        <f>IF(AND(Programme_Grunddaten!$A981="Geprüft",Programme_Grunddaten!L981&lt;&gt;""),IF(Programme_Grunddaten!L981="Abo / befristete Lizenz",1,0),"")</f>
        <v/>
      </c>
      <c r="F976" s="1" t="str">
        <f>IF(AND(Programme_Grunddaten!$A981="Geprüft",Programme_Grunddaten!M981&lt;&gt;""),IF(Programme_Grunddaten!M981="Ja",1,0),"")</f>
        <v/>
      </c>
      <c r="G976" s="1" t="str">
        <f>IF(AND(Programme_Grunddaten!$A981="Geprüft",Programme_Grunddaten!N981&lt;&gt;""),IF(Programme_Grunddaten!N981="Ja",1,0),"")</f>
        <v/>
      </c>
      <c r="H976" s="1" t="str">
        <f>IF(AND(Programme_Grunddaten!$A981="Geprüft",Programme_Grunddaten!O981&lt;&gt;""),IF(Programme_Grunddaten!O981="Deutschland",0,IF(Programme_Grunddaten!O981="EU",1,2)),"")</f>
        <v/>
      </c>
      <c r="I976" s="1" t="str">
        <f>IF(AND(Programme_Grunddaten!$A981="Geprüft",Programme_Grunddaten!P981&lt;&gt;""),IF(Programme_Grunddaten!P981="Ja",1,0),"")</f>
        <v/>
      </c>
      <c r="J976" s="1" t="str">
        <f>IF(AND(Programme_Grunddaten!$A981="Geprüft",Programme_Grunddaten!Q981&lt;&gt;""),IF(Programme_Grunddaten!Q981="geschlossenes System",1,0),"")</f>
        <v/>
      </c>
      <c r="K976" s="1" t="str">
        <f>IF(AND(Programme_Grunddaten!$A981="Geprüft",Programme_Grunddaten!R981&lt;&gt;""),IF(Programme_Grunddaten!R981="Ja",1,0),"")</f>
        <v/>
      </c>
      <c r="L976" s="1" t="str">
        <f>IF(AND(Programme_Grunddaten!$A981="Geprüft",Programme_Grunddaten!T981&lt;&gt;""),IF(Programme_Grunddaten!T981="Ja",1,0),"")</f>
        <v/>
      </c>
      <c r="M976" s="1" t="str">
        <f>IF(AND(Programme_Grunddaten!$A981="Geprüft",Programme_Grunddaten!U981&lt;&gt;""),IF(Programme_Grunddaten!U981="Ja",1,0),"")</f>
        <v/>
      </c>
      <c r="N976" s="1" t="str">
        <f>IF(AND(Programme_Grunddaten!$A981="Geprüft",Programme_Grunddaten!V981&lt;&gt;""),IF(Programme_Grunddaten!V981="Ja",1,0),"")</f>
        <v/>
      </c>
      <c r="O976" s="1" t="str">
        <f>IF(AND(Programme_Grunddaten!$A981="Geprüft",Programme_Grunddaten!W981&lt;&gt;""),IF(Programme_Grunddaten!W981="Ja",1,0),"")</f>
        <v/>
      </c>
      <c r="P976" s="1" t="str">
        <f>IF(AND(Programme_Grunddaten!$A981="Geprüft",Programme_Grunddaten!X981&lt;&gt;""),IF(Programme_Grunddaten!X981="Ja",1,0),"")</f>
        <v/>
      </c>
      <c r="Q976" s="1" t="str">
        <f>IF(AND(Programme_Grunddaten!$A981="Geprüft",Programme_Grunddaten!Y981&lt;&gt;""),IF(Programme_Grunddaten!Y981="Ja",1,0),"")</f>
        <v/>
      </c>
      <c r="R976" s="1" t="str">
        <f>IF(AND(Programme_Grunddaten!$A981="Geprüft",Programme_Grunddaten!Z981&lt;&gt;""),IF(Programme_Grunddaten!Z981="Ja",1,0),"")</f>
        <v/>
      </c>
      <c r="S976" s="1" t="str">
        <f>IF(AND(Programme_Grunddaten!$A981="Geprüft",Programme_Grunddaten!AA981&lt;&gt;""),IF(Programme_Grunddaten!AA981="monolithisch",1,0),"")</f>
        <v/>
      </c>
      <c r="T976" s="1" t="str">
        <f>IF(AND(Programme_Grunddaten!$A981="Geprüft",Programme_Grunddaten!AB981&lt;&gt;""),IF(Programme_Grunddaten!AB981="Ja",1,0),"")</f>
        <v/>
      </c>
      <c r="U976" s="1" t="str">
        <f>IF(AND(Programme_Grunddaten!$A981="Geprüft",Programme_Grunddaten!AC981&lt;&gt;""),IF(Programme_Grunddaten!AC981="Ja",1,0),"")</f>
        <v/>
      </c>
      <c r="V976" s="1" t="str">
        <f>IF(AND(Programme_Grunddaten!$A981="Geprüft",Programme_Grunddaten!AD981&lt;&gt;""),IF(Programme_Grunddaten!AD981="Ja",1,0),"")</f>
        <v/>
      </c>
      <c r="W976" s="1" t="str">
        <f>IF(AND(Programme_Grunddaten!$A981="Geprüft",Programme_Grunddaten!AE981&lt;&gt;""),IF(Programme_Grunddaten!AE981="Ja",1,0),"")</f>
        <v/>
      </c>
      <c r="X976" s="1" t="str">
        <f>IF(AND(Programme_Grunddaten!$A981="Geprüft",Programme_Grunddaten!AF981&lt;&gt;""),IF(Programme_Grunddaten!AF981="Ja",1,0),"")</f>
        <v/>
      </c>
      <c r="Y976" s="1" t="str">
        <f>IF(AND(Programme_Grunddaten!$A981="Geprüft",Programme_Grunddaten!AG981&lt;&gt;""),IF(Programme_Grunddaten!AG981="Ja",1,0),"")</f>
        <v/>
      </c>
      <c r="Z976" s="1" t="str">
        <f>IF(AND(Programme_Grunddaten!$A981="Geprüft",Programme_Grunddaten!AH981&lt;&gt;""),IF(Programme_Grunddaten!AH981="Ja",1,0),"")</f>
        <v/>
      </c>
      <c r="AA976" s="1" t="str">
        <f>IF(AND(Programme_Grunddaten!$A981="Geprüft",Programme_Grunddaten!AI981&lt;&gt;""),IF(Programme_Grunddaten!AI981="Ja",1,0),"")</f>
        <v/>
      </c>
      <c r="AB976" s="1" t="str">
        <f>IF(AND(Programme_Grunddaten!$A981="Geprüft",Programme_Grunddaten!AJ981&lt;&gt;""),IF(Programme_Grunddaten!AJ981="individuell programmierbar",1,0),"")</f>
        <v/>
      </c>
      <c r="AC976" s="1" t="str">
        <f>IF(AND(Programme_Grunddaten!$A981="Geprüft",Programme_Grunddaten!AK981&lt;&gt;""),IF(Programme_Grunddaten!AK981="Deutsch",0,IF(Programme_Grunddaten!AK981="Deutsch und Englisch",1,2)),"")</f>
        <v/>
      </c>
      <c r="AD976" s="1" t="str">
        <f>IF(AND(Programme_Grunddaten!$A981="Geprüft",Programme_Grunddaten!AL981&lt;&gt;""),IF(Programme_Grunddaten!AL981="Ja",1,0),"")</f>
        <v/>
      </c>
      <c r="AE976" s="1" t="str">
        <f>IF(AND(Programme_Grunddaten!$A981="Geprüft",Programme_Grunddaten!AM981&lt;&gt;""),IF(Programme_Grunddaten!AM981="Ja",1,0),"")</f>
        <v/>
      </c>
      <c r="AF976" s="1" t="str">
        <f>IF(AND(Programme_Grunddaten!$A981="Geprüft",Programme_Grunddaten!AN981&lt;&gt;""),IF(Programme_Grunddaten!AN981="Ja",1,0),"")</f>
        <v/>
      </c>
      <c r="AG976" s="1" t="str">
        <f>IF(AND(Programme_Grunddaten!$A981="Geprüft",Programme_Grunddaten!AO981&lt;&gt;""),IF(Programme_Grunddaten!AO981="Ja",1,0),"")</f>
        <v/>
      </c>
      <c r="AH976" s="1" t="str">
        <f>IF(AND(Programme_Grunddaten!$A981="Geprüft",Programme_Grunddaten!AP981&lt;&gt;""),IF(Programme_Grunddaten!AP981="Ja",1,0),"")</f>
        <v/>
      </c>
      <c r="AI976" s="1" t="str">
        <f>IF(AND(Programme_Grunddaten!$A981="Geprüft",Programme_Grunddaten!AQ981&lt;&gt;""),IF(Programme_Grunddaten!AQ981="Ja",1,0),"")</f>
        <v/>
      </c>
      <c r="AJ976" s="1" t="str">
        <f>IF(AND(Programme_Grunddaten!$A981="Geprüft",Programme_Grunddaten!AR981&lt;&gt;""),IF(Programme_Grunddaten!AR981="Ja",1,0),"")</f>
        <v/>
      </c>
      <c r="AK976" s="1" t="str">
        <f>IF(AND(Programme_Grunddaten!$A981="Geprüft",Programme_Grunddaten!AS981&lt;&gt;""),IF(Programme_Grunddaten!AS981="Ja",1,0),"")</f>
        <v/>
      </c>
      <c r="AL976" s="1" t="str">
        <f>IF(AND(Programme_Grunddaten!$A981="Geprüft",Programme_Grunddaten!AT981&lt;&gt;""),IF(Programme_Grunddaten!AT981="Ja",1,0),"")</f>
        <v/>
      </c>
      <c r="AM976" s="1" t="str">
        <f>IF(AND(Programme_Grunddaten!$A981="Geprüft",Programme_Grunddaten!AU981&lt;&gt;""),IF(Programme_Grunddaten!AU981="Ja",1,0),"")</f>
        <v/>
      </c>
      <c r="AN976" s="1" t="str">
        <f>IF(AND(Programme_Grunddaten!$A981="Geprüft",Programme_Grunddaten!AV981&lt;&gt;""),IF(Programme_Grunddaten!AV981="Ja",1,0),"")</f>
        <v/>
      </c>
    </row>
    <row r="977" spans="1:40" x14ac:dyDescent="0.3">
      <c r="A977" s="1" t="str">
        <f>IF(AND(Programme_Grunddaten!A982="Geprüft",Programme_Grunddaten!B982&lt;&gt;""),Programme_Grunddaten!B982,"")</f>
        <v/>
      </c>
      <c r="B977" s="1" t="str">
        <f>IF(AND(Programme_Grunddaten!$A982="Geprüft",Programme_Grunddaten!I982&lt;&gt;""),IF(Programme_Grunddaten!I982="Ja",1,0),"")</f>
        <v/>
      </c>
      <c r="C977" s="1" t="str">
        <f>IF(AND(Programme_Grunddaten!$A982="Geprüft",Programme_Grunddaten!J982&lt;&gt;""),IF(Programme_Grunddaten!J982="Ja",1,0),"")</f>
        <v/>
      </c>
      <c r="D977" s="1" t="str">
        <f>IF(AND(Programme_Grunddaten!$A982="Geprüft",Programme_Grunddaten!K982&lt;&gt;""),IF(Programme_Grunddaten!K982="Ja",1,0),"")</f>
        <v/>
      </c>
      <c r="E977" s="1" t="str">
        <f>IF(AND(Programme_Grunddaten!$A982="Geprüft",Programme_Grunddaten!L982&lt;&gt;""),IF(Programme_Grunddaten!L982="Abo / befristete Lizenz",1,0),"")</f>
        <v/>
      </c>
      <c r="F977" s="1" t="str">
        <f>IF(AND(Programme_Grunddaten!$A982="Geprüft",Programme_Grunddaten!M982&lt;&gt;""),IF(Programme_Grunddaten!M982="Ja",1,0),"")</f>
        <v/>
      </c>
      <c r="G977" s="1" t="str">
        <f>IF(AND(Programme_Grunddaten!$A982="Geprüft",Programme_Grunddaten!N982&lt;&gt;""),IF(Programme_Grunddaten!N982="Ja",1,0),"")</f>
        <v/>
      </c>
      <c r="H977" s="1" t="str">
        <f>IF(AND(Programme_Grunddaten!$A982="Geprüft",Programme_Grunddaten!O982&lt;&gt;""),IF(Programme_Grunddaten!O982="Deutschland",0,IF(Programme_Grunddaten!O982="EU",1,2)),"")</f>
        <v/>
      </c>
      <c r="I977" s="1" t="str">
        <f>IF(AND(Programme_Grunddaten!$A982="Geprüft",Programme_Grunddaten!P982&lt;&gt;""),IF(Programme_Grunddaten!P982="Ja",1,0),"")</f>
        <v/>
      </c>
      <c r="J977" s="1" t="str">
        <f>IF(AND(Programme_Grunddaten!$A982="Geprüft",Programme_Grunddaten!Q982&lt;&gt;""),IF(Programme_Grunddaten!Q982="geschlossenes System",1,0),"")</f>
        <v/>
      </c>
      <c r="K977" s="1" t="str">
        <f>IF(AND(Programme_Grunddaten!$A982="Geprüft",Programme_Grunddaten!R982&lt;&gt;""),IF(Programme_Grunddaten!R982="Ja",1,0),"")</f>
        <v/>
      </c>
      <c r="L977" s="1" t="str">
        <f>IF(AND(Programme_Grunddaten!$A982="Geprüft",Programme_Grunddaten!T982&lt;&gt;""),IF(Programme_Grunddaten!T982="Ja",1,0),"")</f>
        <v/>
      </c>
      <c r="M977" s="1" t="str">
        <f>IF(AND(Programme_Grunddaten!$A982="Geprüft",Programme_Grunddaten!U982&lt;&gt;""),IF(Programme_Grunddaten!U982="Ja",1,0),"")</f>
        <v/>
      </c>
      <c r="N977" s="1" t="str">
        <f>IF(AND(Programme_Grunddaten!$A982="Geprüft",Programme_Grunddaten!V982&lt;&gt;""),IF(Programme_Grunddaten!V982="Ja",1,0),"")</f>
        <v/>
      </c>
      <c r="O977" s="1" t="str">
        <f>IF(AND(Programme_Grunddaten!$A982="Geprüft",Programme_Grunddaten!W982&lt;&gt;""),IF(Programme_Grunddaten!W982="Ja",1,0),"")</f>
        <v/>
      </c>
      <c r="P977" s="1" t="str">
        <f>IF(AND(Programme_Grunddaten!$A982="Geprüft",Programme_Grunddaten!X982&lt;&gt;""),IF(Programme_Grunddaten!X982="Ja",1,0),"")</f>
        <v/>
      </c>
      <c r="Q977" s="1" t="str">
        <f>IF(AND(Programme_Grunddaten!$A982="Geprüft",Programme_Grunddaten!Y982&lt;&gt;""),IF(Programme_Grunddaten!Y982="Ja",1,0),"")</f>
        <v/>
      </c>
      <c r="R977" s="1" t="str">
        <f>IF(AND(Programme_Grunddaten!$A982="Geprüft",Programme_Grunddaten!Z982&lt;&gt;""),IF(Programme_Grunddaten!Z982="Ja",1,0),"")</f>
        <v/>
      </c>
      <c r="S977" s="1" t="str">
        <f>IF(AND(Programme_Grunddaten!$A982="Geprüft",Programme_Grunddaten!AA982&lt;&gt;""),IF(Programme_Grunddaten!AA982="monolithisch",1,0),"")</f>
        <v/>
      </c>
      <c r="T977" s="1" t="str">
        <f>IF(AND(Programme_Grunddaten!$A982="Geprüft",Programme_Grunddaten!AB982&lt;&gt;""),IF(Programme_Grunddaten!AB982="Ja",1,0),"")</f>
        <v/>
      </c>
      <c r="U977" s="1" t="str">
        <f>IF(AND(Programme_Grunddaten!$A982="Geprüft",Programme_Grunddaten!AC982&lt;&gt;""),IF(Programme_Grunddaten!AC982="Ja",1,0),"")</f>
        <v/>
      </c>
      <c r="V977" s="1" t="str">
        <f>IF(AND(Programme_Grunddaten!$A982="Geprüft",Programme_Grunddaten!AD982&lt;&gt;""),IF(Programme_Grunddaten!AD982="Ja",1,0),"")</f>
        <v/>
      </c>
      <c r="W977" s="1" t="str">
        <f>IF(AND(Programme_Grunddaten!$A982="Geprüft",Programme_Grunddaten!AE982&lt;&gt;""),IF(Programme_Grunddaten!AE982="Ja",1,0),"")</f>
        <v/>
      </c>
      <c r="X977" s="1" t="str">
        <f>IF(AND(Programme_Grunddaten!$A982="Geprüft",Programme_Grunddaten!AF982&lt;&gt;""),IF(Programme_Grunddaten!AF982="Ja",1,0),"")</f>
        <v/>
      </c>
      <c r="Y977" s="1" t="str">
        <f>IF(AND(Programme_Grunddaten!$A982="Geprüft",Programme_Grunddaten!AG982&lt;&gt;""),IF(Programme_Grunddaten!AG982="Ja",1,0),"")</f>
        <v/>
      </c>
      <c r="Z977" s="1" t="str">
        <f>IF(AND(Programme_Grunddaten!$A982="Geprüft",Programme_Grunddaten!AH982&lt;&gt;""),IF(Programme_Grunddaten!AH982="Ja",1,0),"")</f>
        <v/>
      </c>
      <c r="AA977" s="1" t="str">
        <f>IF(AND(Programme_Grunddaten!$A982="Geprüft",Programme_Grunddaten!AI982&lt;&gt;""),IF(Programme_Grunddaten!AI982="Ja",1,0),"")</f>
        <v/>
      </c>
      <c r="AB977" s="1" t="str">
        <f>IF(AND(Programme_Grunddaten!$A982="Geprüft",Programme_Grunddaten!AJ982&lt;&gt;""),IF(Programme_Grunddaten!AJ982="individuell programmierbar",1,0),"")</f>
        <v/>
      </c>
      <c r="AC977" s="1" t="str">
        <f>IF(AND(Programme_Grunddaten!$A982="Geprüft",Programme_Grunddaten!AK982&lt;&gt;""),IF(Programme_Grunddaten!AK982="Deutsch",0,IF(Programme_Grunddaten!AK982="Deutsch und Englisch",1,2)),"")</f>
        <v/>
      </c>
      <c r="AD977" s="1" t="str">
        <f>IF(AND(Programme_Grunddaten!$A982="Geprüft",Programme_Grunddaten!AL982&lt;&gt;""),IF(Programme_Grunddaten!AL982="Ja",1,0),"")</f>
        <v/>
      </c>
      <c r="AE977" s="1" t="str">
        <f>IF(AND(Programme_Grunddaten!$A982="Geprüft",Programme_Grunddaten!AM982&lt;&gt;""),IF(Programme_Grunddaten!AM982="Ja",1,0),"")</f>
        <v/>
      </c>
      <c r="AF977" s="1" t="str">
        <f>IF(AND(Programme_Grunddaten!$A982="Geprüft",Programme_Grunddaten!AN982&lt;&gt;""),IF(Programme_Grunddaten!AN982="Ja",1,0),"")</f>
        <v/>
      </c>
      <c r="AG977" s="1" t="str">
        <f>IF(AND(Programme_Grunddaten!$A982="Geprüft",Programme_Grunddaten!AO982&lt;&gt;""),IF(Programme_Grunddaten!AO982="Ja",1,0),"")</f>
        <v/>
      </c>
      <c r="AH977" s="1" t="str">
        <f>IF(AND(Programme_Grunddaten!$A982="Geprüft",Programme_Grunddaten!AP982&lt;&gt;""),IF(Programme_Grunddaten!AP982="Ja",1,0),"")</f>
        <v/>
      </c>
      <c r="AI977" s="1" t="str">
        <f>IF(AND(Programme_Grunddaten!$A982="Geprüft",Programme_Grunddaten!AQ982&lt;&gt;""),IF(Programme_Grunddaten!AQ982="Ja",1,0),"")</f>
        <v/>
      </c>
      <c r="AJ977" s="1" t="str">
        <f>IF(AND(Programme_Grunddaten!$A982="Geprüft",Programme_Grunddaten!AR982&lt;&gt;""),IF(Programme_Grunddaten!AR982="Ja",1,0),"")</f>
        <v/>
      </c>
      <c r="AK977" s="1" t="str">
        <f>IF(AND(Programme_Grunddaten!$A982="Geprüft",Programme_Grunddaten!AS982&lt;&gt;""),IF(Programme_Grunddaten!AS982="Ja",1,0),"")</f>
        <v/>
      </c>
      <c r="AL977" s="1" t="str">
        <f>IF(AND(Programme_Grunddaten!$A982="Geprüft",Programme_Grunddaten!AT982&lt;&gt;""),IF(Programme_Grunddaten!AT982="Ja",1,0),"")</f>
        <v/>
      </c>
      <c r="AM977" s="1" t="str">
        <f>IF(AND(Programme_Grunddaten!$A982="Geprüft",Programme_Grunddaten!AU982&lt;&gt;""),IF(Programme_Grunddaten!AU982="Ja",1,0),"")</f>
        <v/>
      </c>
      <c r="AN977" s="1" t="str">
        <f>IF(AND(Programme_Grunddaten!$A982="Geprüft",Programme_Grunddaten!AV982&lt;&gt;""),IF(Programme_Grunddaten!AV982="Ja",1,0),"")</f>
        <v/>
      </c>
    </row>
    <row r="978" spans="1:40" x14ac:dyDescent="0.3">
      <c r="A978" s="1" t="str">
        <f>IF(AND(Programme_Grunddaten!A983="Geprüft",Programme_Grunddaten!B983&lt;&gt;""),Programme_Grunddaten!B983,"")</f>
        <v/>
      </c>
      <c r="B978" s="1" t="str">
        <f>IF(AND(Programme_Grunddaten!$A983="Geprüft",Programme_Grunddaten!I983&lt;&gt;""),IF(Programme_Grunddaten!I983="Ja",1,0),"")</f>
        <v/>
      </c>
      <c r="C978" s="1" t="str">
        <f>IF(AND(Programme_Grunddaten!$A983="Geprüft",Programme_Grunddaten!J983&lt;&gt;""),IF(Programme_Grunddaten!J983="Ja",1,0),"")</f>
        <v/>
      </c>
      <c r="D978" s="1" t="str">
        <f>IF(AND(Programme_Grunddaten!$A983="Geprüft",Programme_Grunddaten!K983&lt;&gt;""),IF(Programme_Grunddaten!K983="Ja",1,0),"")</f>
        <v/>
      </c>
      <c r="E978" s="1" t="str">
        <f>IF(AND(Programme_Grunddaten!$A983="Geprüft",Programme_Grunddaten!L983&lt;&gt;""),IF(Programme_Grunddaten!L983="Abo / befristete Lizenz",1,0),"")</f>
        <v/>
      </c>
      <c r="F978" s="1" t="str">
        <f>IF(AND(Programme_Grunddaten!$A983="Geprüft",Programme_Grunddaten!M983&lt;&gt;""),IF(Programme_Grunddaten!M983="Ja",1,0),"")</f>
        <v/>
      </c>
      <c r="G978" s="1" t="str">
        <f>IF(AND(Programme_Grunddaten!$A983="Geprüft",Programme_Grunddaten!N983&lt;&gt;""),IF(Programme_Grunddaten!N983="Ja",1,0),"")</f>
        <v/>
      </c>
      <c r="H978" s="1" t="str">
        <f>IF(AND(Programme_Grunddaten!$A983="Geprüft",Programme_Grunddaten!O983&lt;&gt;""),IF(Programme_Grunddaten!O983="Deutschland",0,IF(Programme_Grunddaten!O983="EU",1,2)),"")</f>
        <v/>
      </c>
      <c r="I978" s="1" t="str">
        <f>IF(AND(Programme_Grunddaten!$A983="Geprüft",Programme_Grunddaten!P983&lt;&gt;""),IF(Programme_Grunddaten!P983="Ja",1,0),"")</f>
        <v/>
      </c>
      <c r="J978" s="1" t="str">
        <f>IF(AND(Programme_Grunddaten!$A983="Geprüft",Programme_Grunddaten!Q983&lt;&gt;""),IF(Programme_Grunddaten!Q983="geschlossenes System",1,0),"")</f>
        <v/>
      </c>
      <c r="K978" s="1" t="str">
        <f>IF(AND(Programme_Grunddaten!$A983="Geprüft",Programme_Grunddaten!R983&lt;&gt;""),IF(Programme_Grunddaten!R983="Ja",1,0),"")</f>
        <v/>
      </c>
      <c r="L978" s="1" t="str">
        <f>IF(AND(Programme_Grunddaten!$A983="Geprüft",Programme_Grunddaten!T983&lt;&gt;""),IF(Programme_Grunddaten!T983="Ja",1,0),"")</f>
        <v/>
      </c>
      <c r="M978" s="1" t="str">
        <f>IF(AND(Programme_Grunddaten!$A983="Geprüft",Programme_Grunddaten!U983&lt;&gt;""),IF(Programme_Grunddaten!U983="Ja",1,0),"")</f>
        <v/>
      </c>
      <c r="N978" s="1" t="str">
        <f>IF(AND(Programme_Grunddaten!$A983="Geprüft",Programme_Grunddaten!V983&lt;&gt;""),IF(Programme_Grunddaten!V983="Ja",1,0),"")</f>
        <v/>
      </c>
      <c r="O978" s="1" t="str">
        <f>IF(AND(Programme_Grunddaten!$A983="Geprüft",Programme_Grunddaten!W983&lt;&gt;""),IF(Programme_Grunddaten!W983="Ja",1,0),"")</f>
        <v/>
      </c>
      <c r="P978" s="1" t="str">
        <f>IF(AND(Programme_Grunddaten!$A983="Geprüft",Programme_Grunddaten!X983&lt;&gt;""),IF(Programme_Grunddaten!X983="Ja",1,0),"")</f>
        <v/>
      </c>
      <c r="Q978" s="1" t="str">
        <f>IF(AND(Programme_Grunddaten!$A983="Geprüft",Programme_Grunddaten!Y983&lt;&gt;""),IF(Programme_Grunddaten!Y983="Ja",1,0),"")</f>
        <v/>
      </c>
      <c r="R978" s="1" t="str">
        <f>IF(AND(Programme_Grunddaten!$A983="Geprüft",Programme_Grunddaten!Z983&lt;&gt;""),IF(Programme_Grunddaten!Z983="Ja",1,0),"")</f>
        <v/>
      </c>
      <c r="S978" s="1" t="str">
        <f>IF(AND(Programme_Grunddaten!$A983="Geprüft",Programme_Grunddaten!AA983&lt;&gt;""),IF(Programme_Grunddaten!AA983="monolithisch",1,0),"")</f>
        <v/>
      </c>
      <c r="T978" s="1" t="str">
        <f>IF(AND(Programme_Grunddaten!$A983="Geprüft",Programme_Grunddaten!AB983&lt;&gt;""),IF(Programme_Grunddaten!AB983="Ja",1,0),"")</f>
        <v/>
      </c>
      <c r="U978" s="1" t="str">
        <f>IF(AND(Programme_Grunddaten!$A983="Geprüft",Programme_Grunddaten!AC983&lt;&gt;""),IF(Programme_Grunddaten!AC983="Ja",1,0),"")</f>
        <v/>
      </c>
      <c r="V978" s="1" t="str">
        <f>IF(AND(Programme_Grunddaten!$A983="Geprüft",Programme_Grunddaten!AD983&lt;&gt;""),IF(Programme_Grunddaten!AD983="Ja",1,0),"")</f>
        <v/>
      </c>
      <c r="W978" s="1" t="str">
        <f>IF(AND(Programme_Grunddaten!$A983="Geprüft",Programme_Grunddaten!AE983&lt;&gt;""),IF(Programme_Grunddaten!AE983="Ja",1,0),"")</f>
        <v/>
      </c>
      <c r="X978" s="1" t="str">
        <f>IF(AND(Programme_Grunddaten!$A983="Geprüft",Programme_Grunddaten!AF983&lt;&gt;""),IF(Programme_Grunddaten!AF983="Ja",1,0),"")</f>
        <v/>
      </c>
      <c r="Y978" s="1" t="str">
        <f>IF(AND(Programme_Grunddaten!$A983="Geprüft",Programme_Grunddaten!AG983&lt;&gt;""),IF(Programme_Grunddaten!AG983="Ja",1,0),"")</f>
        <v/>
      </c>
      <c r="Z978" s="1" t="str">
        <f>IF(AND(Programme_Grunddaten!$A983="Geprüft",Programme_Grunddaten!AH983&lt;&gt;""),IF(Programme_Grunddaten!AH983="Ja",1,0),"")</f>
        <v/>
      </c>
      <c r="AA978" s="1" t="str">
        <f>IF(AND(Programme_Grunddaten!$A983="Geprüft",Programme_Grunddaten!AI983&lt;&gt;""),IF(Programme_Grunddaten!AI983="Ja",1,0),"")</f>
        <v/>
      </c>
      <c r="AB978" s="1" t="str">
        <f>IF(AND(Programme_Grunddaten!$A983="Geprüft",Programme_Grunddaten!AJ983&lt;&gt;""),IF(Programme_Grunddaten!AJ983="individuell programmierbar",1,0),"")</f>
        <v/>
      </c>
      <c r="AC978" s="1" t="str">
        <f>IF(AND(Programme_Grunddaten!$A983="Geprüft",Programme_Grunddaten!AK983&lt;&gt;""),IF(Programme_Grunddaten!AK983="Deutsch",0,IF(Programme_Grunddaten!AK983="Deutsch und Englisch",1,2)),"")</f>
        <v/>
      </c>
      <c r="AD978" s="1" t="str">
        <f>IF(AND(Programme_Grunddaten!$A983="Geprüft",Programme_Grunddaten!AL983&lt;&gt;""),IF(Programme_Grunddaten!AL983="Ja",1,0),"")</f>
        <v/>
      </c>
      <c r="AE978" s="1" t="str">
        <f>IF(AND(Programme_Grunddaten!$A983="Geprüft",Programme_Grunddaten!AM983&lt;&gt;""),IF(Programme_Grunddaten!AM983="Ja",1,0),"")</f>
        <v/>
      </c>
      <c r="AF978" s="1" t="str">
        <f>IF(AND(Programme_Grunddaten!$A983="Geprüft",Programme_Grunddaten!AN983&lt;&gt;""),IF(Programme_Grunddaten!AN983="Ja",1,0),"")</f>
        <v/>
      </c>
      <c r="AG978" s="1" t="str">
        <f>IF(AND(Programme_Grunddaten!$A983="Geprüft",Programme_Grunddaten!AO983&lt;&gt;""),IF(Programme_Grunddaten!AO983="Ja",1,0),"")</f>
        <v/>
      </c>
      <c r="AH978" s="1" t="str">
        <f>IF(AND(Programme_Grunddaten!$A983="Geprüft",Programme_Grunddaten!AP983&lt;&gt;""),IF(Programme_Grunddaten!AP983="Ja",1,0),"")</f>
        <v/>
      </c>
      <c r="AI978" s="1" t="str">
        <f>IF(AND(Programme_Grunddaten!$A983="Geprüft",Programme_Grunddaten!AQ983&lt;&gt;""),IF(Programme_Grunddaten!AQ983="Ja",1,0),"")</f>
        <v/>
      </c>
      <c r="AJ978" s="1" t="str">
        <f>IF(AND(Programme_Grunddaten!$A983="Geprüft",Programme_Grunddaten!AR983&lt;&gt;""),IF(Programme_Grunddaten!AR983="Ja",1,0),"")</f>
        <v/>
      </c>
      <c r="AK978" s="1" t="str">
        <f>IF(AND(Programme_Grunddaten!$A983="Geprüft",Programme_Grunddaten!AS983&lt;&gt;""),IF(Programme_Grunddaten!AS983="Ja",1,0),"")</f>
        <v/>
      </c>
      <c r="AL978" s="1" t="str">
        <f>IF(AND(Programme_Grunddaten!$A983="Geprüft",Programme_Grunddaten!AT983&lt;&gt;""),IF(Programme_Grunddaten!AT983="Ja",1,0),"")</f>
        <v/>
      </c>
      <c r="AM978" s="1" t="str">
        <f>IF(AND(Programme_Grunddaten!$A983="Geprüft",Programme_Grunddaten!AU983&lt;&gt;""),IF(Programme_Grunddaten!AU983="Ja",1,0),"")</f>
        <v/>
      </c>
      <c r="AN978" s="1" t="str">
        <f>IF(AND(Programme_Grunddaten!$A983="Geprüft",Programme_Grunddaten!AV983&lt;&gt;""),IF(Programme_Grunddaten!AV983="Ja",1,0),"")</f>
        <v/>
      </c>
    </row>
    <row r="979" spans="1:40" x14ac:dyDescent="0.3">
      <c r="A979" s="1" t="str">
        <f>IF(AND(Programme_Grunddaten!A984="Geprüft",Programme_Grunddaten!B984&lt;&gt;""),Programme_Grunddaten!B984,"")</f>
        <v/>
      </c>
      <c r="B979" s="1" t="str">
        <f>IF(AND(Programme_Grunddaten!$A984="Geprüft",Programme_Grunddaten!I984&lt;&gt;""),IF(Programme_Grunddaten!I984="Ja",1,0),"")</f>
        <v/>
      </c>
      <c r="C979" s="1" t="str">
        <f>IF(AND(Programme_Grunddaten!$A984="Geprüft",Programme_Grunddaten!J984&lt;&gt;""),IF(Programme_Grunddaten!J984="Ja",1,0),"")</f>
        <v/>
      </c>
      <c r="D979" s="1" t="str">
        <f>IF(AND(Programme_Grunddaten!$A984="Geprüft",Programme_Grunddaten!K984&lt;&gt;""),IF(Programme_Grunddaten!K984="Ja",1,0),"")</f>
        <v/>
      </c>
      <c r="E979" s="1" t="str">
        <f>IF(AND(Programme_Grunddaten!$A984="Geprüft",Programme_Grunddaten!L984&lt;&gt;""),IF(Programme_Grunddaten!L984="Abo / befristete Lizenz",1,0),"")</f>
        <v/>
      </c>
      <c r="F979" s="1" t="str">
        <f>IF(AND(Programme_Grunddaten!$A984="Geprüft",Programme_Grunddaten!M984&lt;&gt;""),IF(Programme_Grunddaten!M984="Ja",1,0),"")</f>
        <v/>
      </c>
      <c r="G979" s="1" t="str">
        <f>IF(AND(Programme_Grunddaten!$A984="Geprüft",Programme_Grunddaten!N984&lt;&gt;""),IF(Programme_Grunddaten!N984="Ja",1,0),"")</f>
        <v/>
      </c>
      <c r="H979" s="1" t="str">
        <f>IF(AND(Programme_Grunddaten!$A984="Geprüft",Programme_Grunddaten!O984&lt;&gt;""),IF(Programme_Grunddaten!O984="Deutschland",0,IF(Programme_Grunddaten!O984="EU",1,2)),"")</f>
        <v/>
      </c>
      <c r="I979" s="1" t="str">
        <f>IF(AND(Programme_Grunddaten!$A984="Geprüft",Programme_Grunddaten!P984&lt;&gt;""),IF(Programme_Grunddaten!P984="Ja",1,0),"")</f>
        <v/>
      </c>
      <c r="J979" s="1" t="str">
        <f>IF(AND(Programme_Grunddaten!$A984="Geprüft",Programme_Grunddaten!Q984&lt;&gt;""),IF(Programme_Grunddaten!Q984="geschlossenes System",1,0),"")</f>
        <v/>
      </c>
      <c r="K979" s="1" t="str">
        <f>IF(AND(Programme_Grunddaten!$A984="Geprüft",Programme_Grunddaten!R984&lt;&gt;""),IF(Programme_Grunddaten!R984="Ja",1,0),"")</f>
        <v/>
      </c>
      <c r="L979" s="1" t="str">
        <f>IF(AND(Programme_Grunddaten!$A984="Geprüft",Programme_Grunddaten!T984&lt;&gt;""),IF(Programme_Grunddaten!T984="Ja",1,0),"")</f>
        <v/>
      </c>
      <c r="M979" s="1" t="str">
        <f>IF(AND(Programme_Grunddaten!$A984="Geprüft",Programme_Grunddaten!U984&lt;&gt;""),IF(Programme_Grunddaten!U984="Ja",1,0),"")</f>
        <v/>
      </c>
      <c r="N979" s="1" t="str">
        <f>IF(AND(Programme_Grunddaten!$A984="Geprüft",Programme_Grunddaten!V984&lt;&gt;""),IF(Programme_Grunddaten!V984="Ja",1,0),"")</f>
        <v/>
      </c>
      <c r="O979" s="1" t="str">
        <f>IF(AND(Programme_Grunddaten!$A984="Geprüft",Programme_Grunddaten!W984&lt;&gt;""),IF(Programme_Grunddaten!W984="Ja",1,0),"")</f>
        <v/>
      </c>
      <c r="P979" s="1" t="str">
        <f>IF(AND(Programme_Grunddaten!$A984="Geprüft",Programme_Grunddaten!X984&lt;&gt;""),IF(Programme_Grunddaten!X984="Ja",1,0),"")</f>
        <v/>
      </c>
      <c r="Q979" s="1" t="str">
        <f>IF(AND(Programme_Grunddaten!$A984="Geprüft",Programme_Grunddaten!Y984&lt;&gt;""),IF(Programme_Grunddaten!Y984="Ja",1,0),"")</f>
        <v/>
      </c>
      <c r="R979" s="1" t="str">
        <f>IF(AND(Programme_Grunddaten!$A984="Geprüft",Programme_Grunddaten!Z984&lt;&gt;""),IF(Programme_Grunddaten!Z984="Ja",1,0),"")</f>
        <v/>
      </c>
      <c r="S979" s="1" t="str">
        <f>IF(AND(Programme_Grunddaten!$A984="Geprüft",Programme_Grunddaten!AA984&lt;&gt;""),IF(Programme_Grunddaten!AA984="monolithisch",1,0),"")</f>
        <v/>
      </c>
      <c r="T979" s="1" t="str">
        <f>IF(AND(Programme_Grunddaten!$A984="Geprüft",Programme_Grunddaten!AB984&lt;&gt;""),IF(Programme_Grunddaten!AB984="Ja",1,0),"")</f>
        <v/>
      </c>
      <c r="U979" s="1" t="str">
        <f>IF(AND(Programme_Grunddaten!$A984="Geprüft",Programme_Grunddaten!AC984&lt;&gt;""),IF(Programme_Grunddaten!AC984="Ja",1,0),"")</f>
        <v/>
      </c>
      <c r="V979" s="1" t="str">
        <f>IF(AND(Programme_Grunddaten!$A984="Geprüft",Programme_Grunddaten!AD984&lt;&gt;""),IF(Programme_Grunddaten!AD984="Ja",1,0),"")</f>
        <v/>
      </c>
      <c r="W979" s="1" t="str">
        <f>IF(AND(Programme_Grunddaten!$A984="Geprüft",Programme_Grunddaten!AE984&lt;&gt;""),IF(Programme_Grunddaten!AE984="Ja",1,0),"")</f>
        <v/>
      </c>
      <c r="X979" s="1" t="str">
        <f>IF(AND(Programme_Grunddaten!$A984="Geprüft",Programme_Grunddaten!AF984&lt;&gt;""),IF(Programme_Grunddaten!AF984="Ja",1,0),"")</f>
        <v/>
      </c>
      <c r="Y979" s="1" t="str">
        <f>IF(AND(Programme_Grunddaten!$A984="Geprüft",Programme_Grunddaten!AG984&lt;&gt;""),IF(Programme_Grunddaten!AG984="Ja",1,0),"")</f>
        <v/>
      </c>
      <c r="Z979" s="1" t="str">
        <f>IF(AND(Programme_Grunddaten!$A984="Geprüft",Programme_Grunddaten!AH984&lt;&gt;""),IF(Programme_Grunddaten!AH984="Ja",1,0),"")</f>
        <v/>
      </c>
      <c r="AA979" s="1" t="str">
        <f>IF(AND(Programme_Grunddaten!$A984="Geprüft",Programme_Grunddaten!AI984&lt;&gt;""),IF(Programme_Grunddaten!AI984="Ja",1,0),"")</f>
        <v/>
      </c>
      <c r="AB979" s="1" t="str">
        <f>IF(AND(Programme_Grunddaten!$A984="Geprüft",Programme_Grunddaten!AJ984&lt;&gt;""),IF(Programme_Grunddaten!AJ984="individuell programmierbar",1,0),"")</f>
        <v/>
      </c>
      <c r="AC979" s="1" t="str">
        <f>IF(AND(Programme_Grunddaten!$A984="Geprüft",Programme_Grunddaten!AK984&lt;&gt;""),IF(Programme_Grunddaten!AK984="Deutsch",0,IF(Programme_Grunddaten!AK984="Deutsch und Englisch",1,2)),"")</f>
        <v/>
      </c>
      <c r="AD979" s="1" t="str">
        <f>IF(AND(Programme_Grunddaten!$A984="Geprüft",Programme_Grunddaten!AL984&lt;&gt;""),IF(Programme_Grunddaten!AL984="Ja",1,0),"")</f>
        <v/>
      </c>
      <c r="AE979" s="1" t="str">
        <f>IF(AND(Programme_Grunddaten!$A984="Geprüft",Programme_Grunddaten!AM984&lt;&gt;""),IF(Programme_Grunddaten!AM984="Ja",1,0),"")</f>
        <v/>
      </c>
      <c r="AF979" s="1" t="str">
        <f>IF(AND(Programme_Grunddaten!$A984="Geprüft",Programme_Grunddaten!AN984&lt;&gt;""),IF(Programme_Grunddaten!AN984="Ja",1,0),"")</f>
        <v/>
      </c>
      <c r="AG979" s="1" t="str">
        <f>IF(AND(Programme_Grunddaten!$A984="Geprüft",Programme_Grunddaten!AO984&lt;&gt;""),IF(Programme_Grunddaten!AO984="Ja",1,0),"")</f>
        <v/>
      </c>
      <c r="AH979" s="1" t="str">
        <f>IF(AND(Programme_Grunddaten!$A984="Geprüft",Programme_Grunddaten!AP984&lt;&gt;""),IF(Programme_Grunddaten!AP984="Ja",1,0),"")</f>
        <v/>
      </c>
      <c r="AI979" s="1" t="str">
        <f>IF(AND(Programme_Grunddaten!$A984="Geprüft",Programme_Grunddaten!AQ984&lt;&gt;""),IF(Programme_Grunddaten!AQ984="Ja",1,0),"")</f>
        <v/>
      </c>
      <c r="AJ979" s="1" t="str">
        <f>IF(AND(Programme_Grunddaten!$A984="Geprüft",Programme_Grunddaten!AR984&lt;&gt;""),IF(Programme_Grunddaten!AR984="Ja",1,0),"")</f>
        <v/>
      </c>
      <c r="AK979" s="1" t="str">
        <f>IF(AND(Programme_Grunddaten!$A984="Geprüft",Programme_Grunddaten!AS984&lt;&gt;""),IF(Programme_Grunddaten!AS984="Ja",1,0),"")</f>
        <v/>
      </c>
      <c r="AL979" s="1" t="str">
        <f>IF(AND(Programme_Grunddaten!$A984="Geprüft",Programme_Grunddaten!AT984&lt;&gt;""),IF(Programme_Grunddaten!AT984="Ja",1,0),"")</f>
        <v/>
      </c>
      <c r="AM979" s="1" t="str">
        <f>IF(AND(Programme_Grunddaten!$A984="Geprüft",Programme_Grunddaten!AU984&lt;&gt;""),IF(Programme_Grunddaten!AU984="Ja",1,0),"")</f>
        <v/>
      </c>
      <c r="AN979" s="1" t="str">
        <f>IF(AND(Programme_Grunddaten!$A984="Geprüft",Programme_Grunddaten!AV984&lt;&gt;""),IF(Programme_Grunddaten!AV984="Ja",1,0),"")</f>
        <v/>
      </c>
    </row>
    <row r="980" spans="1:40" x14ac:dyDescent="0.3">
      <c r="A980" s="1" t="str">
        <f>IF(AND(Programme_Grunddaten!A985="Geprüft",Programme_Grunddaten!B985&lt;&gt;""),Programme_Grunddaten!B985,"")</f>
        <v/>
      </c>
      <c r="B980" s="1" t="str">
        <f>IF(AND(Programme_Grunddaten!$A985="Geprüft",Programme_Grunddaten!I985&lt;&gt;""),IF(Programme_Grunddaten!I985="Ja",1,0),"")</f>
        <v/>
      </c>
      <c r="C980" s="1" t="str">
        <f>IF(AND(Programme_Grunddaten!$A985="Geprüft",Programme_Grunddaten!J985&lt;&gt;""),IF(Programme_Grunddaten!J985="Ja",1,0),"")</f>
        <v/>
      </c>
      <c r="D980" s="1" t="str">
        <f>IF(AND(Programme_Grunddaten!$A985="Geprüft",Programme_Grunddaten!K985&lt;&gt;""),IF(Programme_Grunddaten!K985="Ja",1,0),"")</f>
        <v/>
      </c>
      <c r="E980" s="1" t="str">
        <f>IF(AND(Programme_Grunddaten!$A985="Geprüft",Programme_Grunddaten!L985&lt;&gt;""),IF(Programme_Grunddaten!L985="Abo / befristete Lizenz",1,0),"")</f>
        <v/>
      </c>
      <c r="F980" s="1" t="str">
        <f>IF(AND(Programme_Grunddaten!$A985="Geprüft",Programme_Grunddaten!M985&lt;&gt;""),IF(Programme_Grunddaten!M985="Ja",1,0),"")</f>
        <v/>
      </c>
      <c r="G980" s="1" t="str">
        <f>IF(AND(Programme_Grunddaten!$A985="Geprüft",Programme_Grunddaten!N985&lt;&gt;""),IF(Programme_Grunddaten!N985="Ja",1,0),"")</f>
        <v/>
      </c>
      <c r="H980" s="1" t="str">
        <f>IF(AND(Programme_Grunddaten!$A985="Geprüft",Programme_Grunddaten!O985&lt;&gt;""),IF(Programme_Grunddaten!O985="Deutschland",0,IF(Programme_Grunddaten!O985="EU",1,2)),"")</f>
        <v/>
      </c>
      <c r="I980" s="1" t="str">
        <f>IF(AND(Programme_Grunddaten!$A985="Geprüft",Programme_Grunddaten!P985&lt;&gt;""),IF(Programme_Grunddaten!P985="Ja",1,0),"")</f>
        <v/>
      </c>
      <c r="J980" s="1" t="str">
        <f>IF(AND(Programme_Grunddaten!$A985="Geprüft",Programme_Grunddaten!Q985&lt;&gt;""),IF(Programme_Grunddaten!Q985="geschlossenes System",1,0),"")</f>
        <v/>
      </c>
      <c r="K980" s="1" t="str">
        <f>IF(AND(Programme_Grunddaten!$A985="Geprüft",Programme_Grunddaten!R985&lt;&gt;""),IF(Programme_Grunddaten!R985="Ja",1,0),"")</f>
        <v/>
      </c>
      <c r="L980" s="1" t="str">
        <f>IF(AND(Programme_Grunddaten!$A985="Geprüft",Programme_Grunddaten!T985&lt;&gt;""),IF(Programme_Grunddaten!T985="Ja",1,0),"")</f>
        <v/>
      </c>
      <c r="M980" s="1" t="str">
        <f>IF(AND(Programme_Grunddaten!$A985="Geprüft",Programme_Grunddaten!U985&lt;&gt;""),IF(Programme_Grunddaten!U985="Ja",1,0),"")</f>
        <v/>
      </c>
      <c r="N980" s="1" t="str">
        <f>IF(AND(Programme_Grunddaten!$A985="Geprüft",Programme_Grunddaten!V985&lt;&gt;""),IF(Programme_Grunddaten!V985="Ja",1,0),"")</f>
        <v/>
      </c>
      <c r="O980" s="1" t="str">
        <f>IF(AND(Programme_Grunddaten!$A985="Geprüft",Programme_Grunddaten!W985&lt;&gt;""),IF(Programme_Grunddaten!W985="Ja",1,0),"")</f>
        <v/>
      </c>
      <c r="P980" s="1" t="str">
        <f>IF(AND(Programme_Grunddaten!$A985="Geprüft",Programme_Grunddaten!X985&lt;&gt;""),IF(Programme_Grunddaten!X985="Ja",1,0),"")</f>
        <v/>
      </c>
      <c r="Q980" s="1" t="str">
        <f>IF(AND(Programme_Grunddaten!$A985="Geprüft",Programme_Grunddaten!Y985&lt;&gt;""),IF(Programme_Grunddaten!Y985="Ja",1,0),"")</f>
        <v/>
      </c>
      <c r="R980" s="1" t="str">
        <f>IF(AND(Programme_Grunddaten!$A985="Geprüft",Programme_Grunddaten!Z985&lt;&gt;""),IF(Programme_Grunddaten!Z985="Ja",1,0),"")</f>
        <v/>
      </c>
      <c r="S980" s="1" t="str">
        <f>IF(AND(Programme_Grunddaten!$A985="Geprüft",Programme_Grunddaten!AA985&lt;&gt;""),IF(Programme_Grunddaten!AA985="monolithisch",1,0),"")</f>
        <v/>
      </c>
      <c r="T980" s="1" t="str">
        <f>IF(AND(Programme_Grunddaten!$A985="Geprüft",Programme_Grunddaten!AB985&lt;&gt;""),IF(Programme_Grunddaten!AB985="Ja",1,0),"")</f>
        <v/>
      </c>
      <c r="U980" s="1" t="str">
        <f>IF(AND(Programme_Grunddaten!$A985="Geprüft",Programme_Grunddaten!AC985&lt;&gt;""),IF(Programme_Grunddaten!AC985="Ja",1,0),"")</f>
        <v/>
      </c>
      <c r="V980" s="1" t="str">
        <f>IF(AND(Programme_Grunddaten!$A985="Geprüft",Programme_Grunddaten!AD985&lt;&gt;""),IF(Programme_Grunddaten!AD985="Ja",1,0),"")</f>
        <v/>
      </c>
      <c r="W980" s="1" t="str">
        <f>IF(AND(Programme_Grunddaten!$A985="Geprüft",Programme_Grunddaten!AE985&lt;&gt;""),IF(Programme_Grunddaten!AE985="Ja",1,0),"")</f>
        <v/>
      </c>
      <c r="X980" s="1" t="str">
        <f>IF(AND(Programme_Grunddaten!$A985="Geprüft",Programme_Grunddaten!AF985&lt;&gt;""),IF(Programme_Grunddaten!AF985="Ja",1,0),"")</f>
        <v/>
      </c>
      <c r="Y980" s="1" t="str">
        <f>IF(AND(Programme_Grunddaten!$A985="Geprüft",Programme_Grunddaten!AG985&lt;&gt;""),IF(Programme_Grunddaten!AG985="Ja",1,0),"")</f>
        <v/>
      </c>
      <c r="Z980" s="1" t="str">
        <f>IF(AND(Programme_Grunddaten!$A985="Geprüft",Programme_Grunddaten!AH985&lt;&gt;""),IF(Programme_Grunddaten!AH985="Ja",1,0),"")</f>
        <v/>
      </c>
      <c r="AA980" s="1" t="str">
        <f>IF(AND(Programme_Grunddaten!$A985="Geprüft",Programme_Grunddaten!AI985&lt;&gt;""),IF(Programme_Grunddaten!AI985="Ja",1,0),"")</f>
        <v/>
      </c>
      <c r="AB980" s="1" t="str">
        <f>IF(AND(Programme_Grunddaten!$A985="Geprüft",Programme_Grunddaten!AJ985&lt;&gt;""),IF(Programme_Grunddaten!AJ985="individuell programmierbar",1,0),"")</f>
        <v/>
      </c>
      <c r="AC980" s="1" t="str">
        <f>IF(AND(Programme_Grunddaten!$A985="Geprüft",Programme_Grunddaten!AK985&lt;&gt;""),IF(Programme_Grunddaten!AK985="Deutsch",0,IF(Programme_Grunddaten!AK985="Deutsch und Englisch",1,2)),"")</f>
        <v/>
      </c>
      <c r="AD980" s="1" t="str">
        <f>IF(AND(Programme_Grunddaten!$A985="Geprüft",Programme_Grunddaten!AL985&lt;&gt;""),IF(Programme_Grunddaten!AL985="Ja",1,0),"")</f>
        <v/>
      </c>
      <c r="AE980" s="1" t="str">
        <f>IF(AND(Programme_Grunddaten!$A985="Geprüft",Programme_Grunddaten!AM985&lt;&gt;""),IF(Programme_Grunddaten!AM985="Ja",1,0),"")</f>
        <v/>
      </c>
      <c r="AF980" s="1" t="str">
        <f>IF(AND(Programme_Grunddaten!$A985="Geprüft",Programme_Grunddaten!AN985&lt;&gt;""),IF(Programme_Grunddaten!AN985="Ja",1,0),"")</f>
        <v/>
      </c>
      <c r="AG980" s="1" t="str">
        <f>IF(AND(Programme_Grunddaten!$A985="Geprüft",Programme_Grunddaten!AO985&lt;&gt;""),IF(Programme_Grunddaten!AO985="Ja",1,0),"")</f>
        <v/>
      </c>
      <c r="AH980" s="1" t="str">
        <f>IF(AND(Programme_Grunddaten!$A985="Geprüft",Programme_Grunddaten!AP985&lt;&gt;""),IF(Programme_Grunddaten!AP985="Ja",1,0),"")</f>
        <v/>
      </c>
      <c r="AI980" s="1" t="str">
        <f>IF(AND(Programme_Grunddaten!$A985="Geprüft",Programme_Grunddaten!AQ985&lt;&gt;""),IF(Programme_Grunddaten!AQ985="Ja",1,0),"")</f>
        <v/>
      </c>
      <c r="AJ980" s="1" t="str">
        <f>IF(AND(Programme_Grunddaten!$A985="Geprüft",Programme_Grunddaten!AR985&lt;&gt;""),IF(Programme_Grunddaten!AR985="Ja",1,0),"")</f>
        <v/>
      </c>
      <c r="AK980" s="1" t="str">
        <f>IF(AND(Programme_Grunddaten!$A985="Geprüft",Programme_Grunddaten!AS985&lt;&gt;""),IF(Programme_Grunddaten!AS985="Ja",1,0),"")</f>
        <v/>
      </c>
      <c r="AL980" s="1" t="str">
        <f>IF(AND(Programme_Grunddaten!$A985="Geprüft",Programme_Grunddaten!AT985&lt;&gt;""),IF(Programme_Grunddaten!AT985="Ja",1,0),"")</f>
        <v/>
      </c>
      <c r="AM980" s="1" t="str">
        <f>IF(AND(Programme_Grunddaten!$A985="Geprüft",Programme_Grunddaten!AU985&lt;&gt;""),IF(Programme_Grunddaten!AU985="Ja",1,0),"")</f>
        <v/>
      </c>
      <c r="AN980" s="1" t="str">
        <f>IF(AND(Programme_Grunddaten!$A985="Geprüft",Programme_Grunddaten!AV985&lt;&gt;""),IF(Programme_Grunddaten!AV985="Ja",1,0),"")</f>
        <v/>
      </c>
    </row>
    <row r="981" spans="1:40" x14ac:dyDescent="0.3">
      <c r="A981" s="1" t="str">
        <f>IF(AND(Programme_Grunddaten!A986="Geprüft",Programme_Grunddaten!B986&lt;&gt;""),Programme_Grunddaten!B986,"")</f>
        <v/>
      </c>
      <c r="B981" s="1" t="str">
        <f>IF(AND(Programme_Grunddaten!$A986="Geprüft",Programme_Grunddaten!I986&lt;&gt;""),IF(Programme_Grunddaten!I986="Ja",1,0),"")</f>
        <v/>
      </c>
      <c r="C981" s="1" t="str">
        <f>IF(AND(Programme_Grunddaten!$A986="Geprüft",Programme_Grunddaten!J986&lt;&gt;""),IF(Programme_Grunddaten!J986="Ja",1,0),"")</f>
        <v/>
      </c>
      <c r="D981" s="1" t="str">
        <f>IF(AND(Programme_Grunddaten!$A986="Geprüft",Programme_Grunddaten!K986&lt;&gt;""),IF(Programme_Grunddaten!K986="Ja",1,0),"")</f>
        <v/>
      </c>
      <c r="E981" s="1" t="str">
        <f>IF(AND(Programme_Grunddaten!$A986="Geprüft",Programme_Grunddaten!L986&lt;&gt;""),IF(Programme_Grunddaten!L986="Abo / befristete Lizenz",1,0),"")</f>
        <v/>
      </c>
      <c r="F981" s="1" t="str">
        <f>IF(AND(Programme_Grunddaten!$A986="Geprüft",Programme_Grunddaten!M986&lt;&gt;""),IF(Programme_Grunddaten!M986="Ja",1,0),"")</f>
        <v/>
      </c>
      <c r="G981" s="1" t="str">
        <f>IF(AND(Programme_Grunddaten!$A986="Geprüft",Programme_Grunddaten!N986&lt;&gt;""),IF(Programme_Grunddaten!N986="Ja",1,0),"")</f>
        <v/>
      </c>
      <c r="H981" s="1" t="str">
        <f>IF(AND(Programme_Grunddaten!$A986="Geprüft",Programme_Grunddaten!O986&lt;&gt;""),IF(Programme_Grunddaten!O986="Deutschland",0,IF(Programme_Grunddaten!O986="EU",1,2)),"")</f>
        <v/>
      </c>
      <c r="I981" s="1" t="str">
        <f>IF(AND(Programme_Grunddaten!$A986="Geprüft",Programme_Grunddaten!P986&lt;&gt;""),IF(Programme_Grunddaten!P986="Ja",1,0),"")</f>
        <v/>
      </c>
      <c r="J981" s="1" t="str">
        <f>IF(AND(Programme_Grunddaten!$A986="Geprüft",Programme_Grunddaten!Q986&lt;&gt;""),IF(Programme_Grunddaten!Q986="geschlossenes System",1,0),"")</f>
        <v/>
      </c>
      <c r="K981" s="1" t="str">
        <f>IF(AND(Programme_Grunddaten!$A986="Geprüft",Programme_Grunddaten!R986&lt;&gt;""),IF(Programme_Grunddaten!R986="Ja",1,0),"")</f>
        <v/>
      </c>
      <c r="L981" s="1" t="str">
        <f>IF(AND(Programme_Grunddaten!$A986="Geprüft",Programme_Grunddaten!T986&lt;&gt;""),IF(Programme_Grunddaten!T986="Ja",1,0),"")</f>
        <v/>
      </c>
      <c r="M981" s="1" t="str">
        <f>IF(AND(Programme_Grunddaten!$A986="Geprüft",Programme_Grunddaten!U986&lt;&gt;""),IF(Programme_Grunddaten!U986="Ja",1,0),"")</f>
        <v/>
      </c>
      <c r="N981" s="1" t="str">
        <f>IF(AND(Programme_Grunddaten!$A986="Geprüft",Programme_Grunddaten!V986&lt;&gt;""),IF(Programme_Grunddaten!V986="Ja",1,0),"")</f>
        <v/>
      </c>
      <c r="O981" s="1" t="str">
        <f>IF(AND(Programme_Grunddaten!$A986="Geprüft",Programme_Grunddaten!W986&lt;&gt;""),IF(Programme_Grunddaten!W986="Ja",1,0),"")</f>
        <v/>
      </c>
      <c r="P981" s="1" t="str">
        <f>IF(AND(Programme_Grunddaten!$A986="Geprüft",Programme_Grunddaten!X986&lt;&gt;""),IF(Programme_Grunddaten!X986="Ja",1,0),"")</f>
        <v/>
      </c>
      <c r="Q981" s="1" t="str">
        <f>IF(AND(Programme_Grunddaten!$A986="Geprüft",Programme_Grunddaten!Y986&lt;&gt;""),IF(Programme_Grunddaten!Y986="Ja",1,0),"")</f>
        <v/>
      </c>
      <c r="R981" s="1" t="str">
        <f>IF(AND(Programme_Grunddaten!$A986="Geprüft",Programme_Grunddaten!Z986&lt;&gt;""),IF(Programme_Grunddaten!Z986="Ja",1,0),"")</f>
        <v/>
      </c>
      <c r="S981" s="1" t="str">
        <f>IF(AND(Programme_Grunddaten!$A986="Geprüft",Programme_Grunddaten!AA986&lt;&gt;""),IF(Programme_Grunddaten!AA986="monolithisch",1,0),"")</f>
        <v/>
      </c>
      <c r="T981" s="1" t="str">
        <f>IF(AND(Programme_Grunddaten!$A986="Geprüft",Programme_Grunddaten!AB986&lt;&gt;""),IF(Programme_Grunddaten!AB986="Ja",1,0),"")</f>
        <v/>
      </c>
      <c r="U981" s="1" t="str">
        <f>IF(AND(Programme_Grunddaten!$A986="Geprüft",Programme_Grunddaten!AC986&lt;&gt;""),IF(Programme_Grunddaten!AC986="Ja",1,0),"")</f>
        <v/>
      </c>
      <c r="V981" s="1" t="str">
        <f>IF(AND(Programme_Grunddaten!$A986="Geprüft",Programme_Grunddaten!AD986&lt;&gt;""),IF(Programme_Grunddaten!AD986="Ja",1,0),"")</f>
        <v/>
      </c>
      <c r="W981" s="1" t="str">
        <f>IF(AND(Programme_Grunddaten!$A986="Geprüft",Programme_Grunddaten!AE986&lt;&gt;""),IF(Programme_Grunddaten!AE986="Ja",1,0),"")</f>
        <v/>
      </c>
      <c r="X981" s="1" t="str">
        <f>IF(AND(Programme_Grunddaten!$A986="Geprüft",Programme_Grunddaten!AF986&lt;&gt;""),IF(Programme_Grunddaten!AF986="Ja",1,0),"")</f>
        <v/>
      </c>
      <c r="Y981" s="1" t="str">
        <f>IF(AND(Programme_Grunddaten!$A986="Geprüft",Programme_Grunddaten!AG986&lt;&gt;""),IF(Programme_Grunddaten!AG986="Ja",1,0),"")</f>
        <v/>
      </c>
      <c r="Z981" s="1" t="str">
        <f>IF(AND(Programme_Grunddaten!$A986="Geprüft",Programme_Grunddaten!AH986&lt;&gt;""),IF(Programme_Grunddaten!AH986="Ja",1,0),"")</f>
        <v/>
      </c>
      <c r="AA981" s="1" t="str">
        <f>IF(AND(Programme_Grunddaten!$A986="Geprüft",Programme_Grunddaten!AI986&lt;&gt;""),IF(Programme_Grunddaten!AI986="Ja",1,0),"")</f>
        <v/>
      </c>
      <c r="AB981" s="1" t="str">
        <f>IF(AND(Programme_Grunddaten!$A986="Geprüft",Programme_Grunddaten!AJ986&lt;&gt;""),IF(Programme_Grunddaten!AJ986="individuell programmierbar",1,0),"")</f>
        <v/>
      </c>
      <c r="AC981" s="1" t="str">
        <f>IF(AND(Programme_Grunddaten!$A986="Geprüft",Programme_Grunddaten!AK986&lt;&gt;""),IF(Programme_Grunddaten!AK986="Deutsch",0,IF(Programme_Grunddaten!AK986="Deutsch und Englisch",1,2)),"")</f>
        <v/>
      </c>
      <c r="AD981" s="1" t="str">
        <f>IF(AND(Programme_Grunddaten!$A986="Geprüft",Programme_Grunddaten!AL986&lt;&gt;""),IF(Programme_Grunddaten!AL986="Ja",1,0),"")</f>
        <v/>
      </c>
      <c r="AE981" s="1" t="str">
        <f>IF(AND(Programme_Grunddaten!$A986="Geprüft",Programme_Grunddaten!AM986&lt;&gt;""),IF(Programme_Grunddaten!AM986="Ja",1,0),"")</f>
        <v/>
      </c>
      <c r="AF981" s="1" t="str">
        <f>IF(AND(Programme_Grunddaten!$A986="Geprüft",Programme_Grunddaten!AN986&lt;&gt;""),IF(Programme_Grunddaten!AN986="Ja",1,0),"")</f>
        <v/>
      </c>
      <c r="AG981" s="1" t="str">
        <f>IF(AND(Programme_Grunddaten!$A986="Geprüft",Programme_Grunddaten!AO986&lt;&gt;""),IF(Programme_Grunddaten!AO986="Ja",1,0),"")</f>
        <v/>
      </c>
      <c r="AH981" s="1" t="str">
        <f>IF(AND(Programme_Grunddaten!$A986="Geprüft",Programme_Grunddaten!AP986&lt;&gt;""),IF(Programme_Grunddaten!AP986="Ja",1,0),"")</f>
        <v/>
      </c>
      <c r="AI981" s="1" t="str">
        <f>IF(AND(Programme_Grunddaten!$A986="Geprüft",Programme_Grunddaten!AQ986&lt;&gt;""),IF(Programme_Grunddaten!AQ986="Ja",1,0),"")</f>
        <v/>
      </c>
      <c r="AJ981" s="1" t="str">
        <f>IF(AND(Programme_Grunddaten!$A986="Geprüft",Programme_Grunddaten!AR986&lt;&gt;""),IF(Programme_Grunddaten!AR986="Ja",1,0),"")</f>
        <v/>
      </c>
      <c r="AK981" s="1" t="str">
        <f>IF(AND(Programme_Grunddaten!$A986="Geprüft",Programme_Grunddaten!AS986&lt;&gt;""),IF(Programme_Grunddaten!AS986="Ja",1,0),"")</f>
        <v/>
      </c>
      <c r="AL981" s="1" t="str">
        <f>IF(AND(Programme_Grunddaten!$A986="Geprüft",Programme_Grunddaten!AT986&lt;&gt;""),IF(Programme_Grunddaten!AT986="Ja",1,0),"")</f>
        <v/>
      </c>
      <c r="AM981" s="1" t="str">
        <f>IF(AND(Programme_Grunddaten!$A986="Geprüft",Programme_Grunddaten!AU986&lt;&gt;""),IF(Programme_Grunddaten!AU986="Ja",1,0),"")</f>
        <v/>
      </c>
      <c r="AN981" s="1" t="str">
        <f>IF(AND(Programme_Grunddaten!$A986="Geprüft",Programme_Grunddaten!AV986&lt;&gt;""),IF(Programme_Grunddaten!AV986="Ja",1,0),"")</f>
        <v/>
      </c>
    </row>
    <row r="982" spans="1:40" x14ac:dyDescent="0.3">
      <c r="A982" s="1" t="str">
        <f>IF(AND(Programme_Grunddaten!A987="Geprüft",Programme_Grunddaten!B987&lt;&gt;""),Programme_Grunddaten!B987,"")</f>
        <v/>
      </c>
      <c r="B982" s="1" t="str">
        <f>IF(AND(Programme_Grunddaten!$A987="Geprüft",Programme_Grunddaten!I987&lt;&gt;""),IF(Programme_Grunddaten!I987="Ja",1,0),"")</f>
        <v/>
      </c>
      <c r="C982" s="1" t="str">
        <f>IF(AND(Programme_Grunddaten!$A987="Geprüft",Programme_Grunddaten!J987&lt;&gt;""),IF(Programme_Grunddaten!J987="Ja",1,0),"")</f>
        <v/>
      </c>
      <c r="D982" s="1" t="str">
        <f>IF(AND(Programme_Grunddaten!$A987="Geprüft",Programme_Grunddaten!K987&lt;&gt;""),IF(Programme_Grunddaten!K987="Ja",1,0),"")</f>
        <v/>
      </c>
      <c r="E982" s="1" t="str">
        <f>IF(AND(Programme_Grunddaten!$A987="Geprüft",Programme_Grunddaten!L987&lt;&gt;""),IF(Programme_Grunddaten!L987="Abo / befristete Lizenz",1,0),"")</f>
        <v/>
      </c>
      <c r="F982" s="1" t="str">
        <f>IF(AND(Programme_Grunddaten!$A987="Geprüft",Programme_Grunddaten!M987&lt;&gt;""),IF(Programme_Grunddaten!M987="Ja",1,0),"")</f>
        <v/>
      </c>
      <c r="G982" s="1" t="str">
        <f>IF(AND(Programme_Grunddaten!$A987="Geprüft",Programme_Grunddaten!N987&lt;&gt;""),IF(Programme_Grunddaten!N987="Ja",1,0),"")</f>
        <v/>
      </c>
      <c r="H982" s="1" t="str">
        <f>IF(AND(Programme_Grunddaten!$A987="Geprüft",Programme_Grunddaten!O987&lt;&gt;""),IF(Programme_Grunddaten!O987="Deutschland",0,IF(Programme_Grunddaten!O987="EU",1,2)),"")</f>
        <v/>
      </c>
      <c r="I982" s="1" t="str">
        <f>IF(AND(Programme_Grunddaten!$A987="Geprüft",Programme_Grunddaten!P987&lt;&gt;""),IF(Programme_Grunddaten!P987="Ja",1,0),"")</f>
        <v/>
      </c>
      <c r="J982" s="1" t="str">
        <f>IF(AND(Programme_Grunddaten!$A987="Geprüft",Programme_Grunddaten!Q987&lt;&gt;""),IF(Programme_Grunddaten!Q987="geschlossenes System",1,0),"")</f>
        <v/>
      </c>
      <c r="K982" s="1" t="str">
        <f>IF(AND(Programme_Grunddaten!$A987="Geprüft",Programme_Grunddaten!R987&lt;&gt;""),IF(Programme_Grunddaten!R987="Ja",1,0),"")</f>
        <v/>
      </c>
      <c r="L982" s="1" t="str">
        <f>IF(AND(Programme_Grunddaten!$A987="Geprüft",Programme_Grunddaten!T987&lt;&gt;""),IF(Programme_Grunddaten!T987="Ja",1,0),"")</f>
        <v/>
      </c>
      <c r="M982" s="1" t="str">
        <f>IF(AND(Programme_Grunddaten!$A987="Geprüft",Programme_Grunddaten!U987&lt;&gt;""),IF(Programme_Grunddaten!U987="Ja",1,0),"")</f>
        <v/>
      </c>
      <c r="N982" s="1" t="str">
        <f>IF(AND(Programme_Grunddaten!$A987="Geprüft",Programme_Grunddaten!V987&lt;&gt;""),IF(Programme_Grunddaten!V987="Ja",1,0),"")</f>
        <v/>
      </c>
      <c r="O982" s="1" t="str">
        <f>IF(AND(Programme_Grunddaten!$A987="Geprüft",Programme_Grunddaten!W987&lt;&gt;""),IF(Programme_Grunddaten!W987="Ja",1,0),"")</f>
        <v/>
      </c>
      <c r="P982" s="1" t="str">
        <f>IF(AND(Programme_Grunddaten!$A987="Geprüft",Programme_Grunddaten!X987&lt;&gt;""),IF(Programme_Grunddaten!X987="Ja",1,0),"")</f>
        <v/>
      </c>
      <c r="Q982" s="1" t="str">
        <f>IF(AND(Programme_Grunddaten!$A987="Geprüft",Programme_Grunddaten!Y987&lt;&gt;""),IF(Programme_Grunddaten!Y987="Ja",1,0),"")</f>
        <v/>
      </c>
      <c r="R982" s="1" t="str">
        <f>IF(AND(Programme_Grunddaten!$A987="Geprüft",Programme_Grunddaten!Z987&lt;&gt;""),IF(Programme_Grunddaten!Z987="Ja",1,0),"")</f>
        <v/>
      </c>
      <c r="S982" s="1" t="str">
        <f>IF(AND(Programme_Grunddaten!$A987="Geprüft",Programme_Grunddaten!AA987&lt;&gt;""),IF(Programme_Grunddaten!AA987="monolithisch",1,0),"")</f>
        <v/>
      </c>
      <c r="T982" s="1" t="str">
        <f>IF(AND(Programme_Grunddaten!$A987="Geprüft",Programme_Grunddaten!AB987&lt;&gt;""),IF(Programme_Grunddaten!AB987="Ja",1,0),"")</f>
        <v/>
      </c>
      <c r="U982" s="1" t="str">
        <f>IF(AND(Programme_Grunddaten!$A987="Geprüft",Programme_Grunddaten!AC987&lt;&gt;""),IF(Programme_Grunddaten!AC987="Ja",1,0),"")</f>
        <v/>
      </c>
      <c r="V982" s="1" t="str">
        <f>IF(AND(Programme_Grunddaten!$A987="Geprüft",Programme_Grunddaten!AD987&lt;&gt;""),IF(Programme_Grunddaten!AD987="Ja",1,0),"")</f>
        <v/>
      </c>
      <c r="W982" s="1" t="str">
        <f>IF(AND(Programme_Grunddaten!$A987="Geprüft",Programme_Grunddaten!AE987&lt;&gt;""),IF(Programme_Grunddaten!AE987="Ja",1,0),"")</f>
        <v/>
      </c>
      <c r="X982" s="1" t="str">
        <f>IF(AND(Programme_Grunddaten!$A987="Geprüft",Programme_Grunddaten!AF987&lt;&gt;""),IF(Programme_Grunddaten!AF987="Ja",1,0),"")</f>
        <v/>
      </c>
      <c r="Y982" s="1" t="str">
        <f>IF(AND(Programme_Grunddaten!$A987="Geprüft",Programme_Grunddaten!AG987&lt;&gt;""),IF(Programme_Grunddaten!AG987="Ja",1,0),"")</f>
        <v/>
      </c>
      <c r="Z982" s="1" t="str">
        <f>IF(AND(Programme_Grunddaten!$A987="Geprüft",Programme_Grunddaten!AH987&lt;&gt;""),IF(Programme_Grunddaten!AH987="Ja",1,0),"")</f>
        <v/>
      </c>
      <c r="AA982" s="1" t="str">
        <f>IF(AND(Programme_Grunddaten!$A987="Geprüft",Programme_Grunddaten!AI987&lt;&gt;""),IF(Programme_Grunddaten!AI987="Ja",1,0),"")</f>
        <v/>
      </c>
      <c r="AB982" s="1" t="str">
        <f>IF(AND(Programme_Grunddaten!$A987="Geprüft",Programme_Grunddaten!AJ987&lt;&gt;""),IF(Programme_Grunddaten!AJ987="individuell programmierbar",1,0),"")</f>
        <v/>
      </c>
      <c r="AC982" s="1" t="str">
        <f>IF(AND(Programme_Grunddaten!$A987="Geprüft",Programme_Grunddaten!AK987&lt;&gt;""),IF(Programme_Grunddaten!AK987="Deutsch",0,IF(Programme_Grunddaten!AK987="Deutsch und Englisch",1,2)),"")</f>
        <v/>
      </c>
      <c r="AD982" s="1" t="str">
        <f>IF(AND(Programme_Grunddaten!$A987="Geprüft",Programme_Grunddaten!AL987&lt;&gt;""),IF(Programme_Grunddaten!AL987="Ja",1,0),"")</f>
        <v/>
      </c>
      <c r="AE982" s="1" t="str">
        <f>IF(AND(Programme_Grunddaten!$A987="Geprüft",Programme_Grunddaten!AM987&lt;&gt;""),IF(Programme_Grunddaten!AM987="Ja",1,0),"")</f>
        <v/>
      </c>
      <c r="AF982" s="1" t="str">
        <f>IF(AND(Programme_Grunddaten!$A987="Geprüft",Programme_Grunddaten!AN987&lt;&gt;""),IF(Programme_Grunddaten!AN987="Ja",1,0),"")</f>
        <v/>
      </c>
      <c r="AG982" s="1" t="str">
        <f>IF(AND(Programme_Grunddaten!$A987="Geprüft",Programme_Grunddaten!AO987&lt;&gt;""),IF(Programme_Grunddaten!AO987="Ja",1,0),"")</f>
        <v/>
      </c>
      <c r="AH982" s="1" t="str">
        <f>IF(AND(Programme_Grunddaten!$A987="Geprüft",Programme_Grunddaten!AP987&lt;&gt;""),IF(Programme_Grunddaten!AP987="Ja",1,0),"")</f>
        <v/>
      </c>
      <c r="AI982" s="1" t="str">
        <f>IF(AND(Programme_Grunddaten!$A987="Geprüft",Programme_Grunddaten!AQ987&lt;&gt;""),IF(Programme_Grunddaten!AQ987="Ja",1,0),"")</f>
        <v/>
      </c>
      <c r="AJ982" s="1" t="str">
        <f>IF(AND(Programme_Grunddaten!$A987="Geprüft",Programme_Grunddaten!AR987&lt;&gt;""),IF(Programme_Grunddaten!AR987="Ja",1,0),"")</f>
        <v/>
      </c>
      <c r="AK982" s="1" t="str">
        <f>IF(AND(Programme_Grunddaten!$A987="Geprüft",Programme_Grunddaten!AS987&lt;&gt;""),IF(Programme_Grunddaten!AS987="Ja",1,0),"")</f>
        <v/>
      </c>
      <c r="AL982" s="1" t="str">
        <f>IF(AND(Programme_Grunddaten!$A987="Geprüft",Programme_Grunddaten!AT987&lt;&gt;""),IF(Programme_Grunddaten!AT987="Ja",1,0),"")</f>
        <v/>
      </c>
      <c r="AM982" s="1" t="str">
        <f>IF(AND(Programme_Grunddaten!$A987="Geprüft",Programme_Grunddaten!AU987&lt;&gt;""),IF(Programme_Grunddaten!AU987="Ja",1,0),"")</f>
        <v/>
      </c>
      <c r="AN982" s="1" t="str">
        <f>IF(AND(Programme_Grunddaten!$A987="Geprüft",Programme_Grunddaten!AV987&lt;&gt;""),IF(Programme_Grunddaten!AV987="Ja",1,0),"")</f>
        <v/>
      </c>
    </row>
    <row r="983" spans="1:40" x14ac:dyDescent="0.3">
      <c r="A983" s="1" t="str">
        <f>IF(AND(Programme_Grunddaten!A988="Geprüft",Programme_Grunddaten!B988&lt;&gt;""),Programme_Grunddaten!B988,"")</f>
        <v/>
      </c>
      <c r="B983" s="1" t="str">
        <f>IF(AND(Programme_Grunddaten!$A988="Geprüft",Programme_Grunddaten!I988&lt;&gt;""),IF(Programme_Grunddaten!I988="Ja",1,0),"")</f>
        <v/>
      </c>
      <c r="C983" s="1" t="str">
        <f>IF(AND(Programme_Grunddaten!$A988="Geprüft",Programme_Grunddaten!J988&lt;&gt;""),IF(Programme_Grunddaten!J988="Ja",1,0),"")</f>
        <v/>
      </c>
      <c r="D983" s="1" t="str">
        <f>IF(AND(Programme_Grunddaten!$A988="Geprüft",Programme_Grunddaten!K988&lt;&gt;""),IF(Programme_Grunddaten!K988="Ja",1,0),"")</f>
        <v/>
      </c>
      <c r="E983" s="1" t="str">
        <f>IF(AND(Programme_Grunddaten!$A988="Geprüft",Programme_Grunddaten!L988&lt;&gt;""),IF(Programme_Grunddaten!L988="Abo / befristete Lizenz",1,0),"")</f>
        <v/>
      </c>
      <c r="F983" s="1" t="str">
        <f>IF(AND(Programme_Grunddaten!$A988="Geprüft",Programme_Grunddaten!M988&lt;&gt;""),IF(Programme_Grunddaten!M988="Ja",1,0),"")</f>
        <v/>
      </c>
      <c r="G983" s="1" t="str">
        <f>IF(AND(Programme_Grunddaten!$A988="Geprüft",Programme_Grunddaten!N988&lt;&gt;""),IF(Programme_Grunddaten!N988="Ja",1,0),"")</f>
        <v/>
      </c>
      <c r="H983" s="1" t="str">
        <f>IF(AND(Programme_Grunddaten!$A988="Geprüft",Programme_Grunddaten!O988&lt;&gt;""),IF(Programme_Grunddaten!O988="Deutschland",0,IF(Programme_Grunddaten!O988="EU",1,2)),"")</f>
        <v/>
      </c>
      <c r="I983" s="1" t="str">
        <f>IF(AND(Programme_Grunddaten!$A988="Geprüft",Programme_Grunddaten!P988&lt;&gt;""),IF(Programme_Grunddaten!P988="Ja",1,0),"")</f>
        <v/>
      </c>
      <c r="J983" s="1" t="str">
        <f>IF(AND(Programme_Grunddaten!$A988="Geprüft",Programme_Grunddaten!Q988&lt;&gt;""),IF(Programme_Grunddaten!Q988="geschlossenes System",1,0),"")</f>
        <v/>
      </c>
      <c r="K983" s="1" t="str">
        <f>IF(AND(Programme_Grunddaten!$A988="Geprüft",Programme_Grunddaten!R988&lt;&gt;""),IF(Programme_Grunddaten!R988="Ja",1,0),"")</f>
        <v/>
      </c>
      <c r="L983" s="1" t="str">
        <f>IF(AND(Programme_Grunddaten!$A988="Geprüft",Programme_Grunddaten!T988&lt;&gt;""),IF(Programme_Grunddaten!T988="Ja",1,0),"")</f>
        <v/>
      </c>
      <c r="M983" s="1" t="str">
        <f>IF(AND(Programme_Grunddaten!$A988="Geprüft",Programme_Grunddaten!U988&lt;&gt;""),IF(Programme_Grunddaten!U988="Ja",1,0),"")</f>
        <v/>
      </c>
      <c r="N983" s="1" t="str">
        <f>IF(AND(Programme_Grunddaten!$A988="Geprüft",Programme_Grunddaten!V988&lt;&gt;""),IF(Programme_Grunddaten!V988="Ja",1,0),"")</f>
        <v/>
      </c>
      <c r="O983" s="1" t="str">
        <f>IF(AND(Programme_Grunddaten!$A988="Geprüft",Programme_Grunddaten!W988&lt;&gt;""),IF(Programme_Grunddaten!W988="Ja",1,0),"")</f>
        <v/>
      </c>
      <c r="P983" s="1" t="str">
        <f>IF(AND(Programme_Grunddaten!$A988="Geprüft",Programme_Grunddaten!X988&lt;&gt;""),IF(Programme_Grunddaten!X988="Ja",1,0),"")</f>
        <v/>
      </c>
      <c r="Q983" s="1" t="str">
        <f>IF(AND(Programme_Grunddaten!$A988="Geprüft",Programme_Grunddaten!Y988&lt;&gt;""),IF(Programme_Grunddaten!Y988="Ja",1,0),"")</f>
        <v/>
      </c>
      <c r="R983" s="1" t="str">
        <f>IF(AND(Programme_Grunddaten!$A988="Geprüft",Programme_Grunddaten!Z988&lt;&gt;""),IF(Programme_Grunddaten!Z988="Ja",1,0),"")</f>
        <v/>
      </c>
      <c r="S983" s="1" t="str">
        <f>IF(AND(Programme_Grunddaten!$A988="Geprüft",Programme_Grunddaten!AA988&lt;&gt;""),IF(Programme_Grunddaten!AA988="monolithisch",1,0),"")</f>
        <v/>
      </c>
      <c r="T983" s="1" t="str">
        <f>IF(AND(Programme_Grunddaten!$A988="Geprüft",Programme_Grunddaten!AB988&lt;&gt;""),IF(Programme_Grunddaten!AB988="Ja",1,0),"")</f>
        <v/>
      </c>
      <c r="U983" s="1" t="str">
        <f>IF(AND(Programme_Grunddaten!$A988="Geprüft",Programme_Grunddaten!AC988&lt;&gt;""),IF(Programme_Grunddaten!AC988="Ja",1,0),"")</f>
        <v/>
      </c>
      <c r="V983" s="1" t="str">
        <f>IF(AND(Programme_Grunddaten!$A988="Geprüft",Programme_Grunddaten!AD988&lt;&gt;""),IF(Programme_Grunddaten!AD988="Ja",1,0),"")</f>
        <v/>
      </c>
      <c r="W983" s="1" t="str">
        <f>IF(AND(Programme_Grunddaten!$A988="Geprüft",Programme_Grunddaten!AE988&lt;&gt;""),IF(Programme_Grunddaten!AE988="Ja",1,0),"")</f>
        <v/>
      </c>
      <c r="X983" s="1" t="str">
        <f>IF(AND(Programme_Grunddaten!$A988="Geprüft",Programme_Grunddaten!AF988&lt;&gt;""),IF(Programme_Grunddaten!AF988="Ja",1,0),"")</f>
        <v/>
      </c>
      <c r="Y983" s="1" t="str">
        <f>IF(AND(Programme_Grunddaten!$A988="Geprüft",Programme_Grunddaten!AG988&lt;&gt;""),IF(Programme_Grunddaten!AG988="Ja",1,0),"")</f>
        <v/>
      </c>
      <c r="Z983" s="1" t="str">
        <f>IF(AND(Programme_Grunddaten!$A988="Geprüft",Programme_Grunddaten!AH988&lt;&gt;""),IF(Programme_Grunddaten!AH988="Ja",1,0),"")</f>
        <v/>
      </c>
      <c r="AA983" s="1" t="str">
        <f>IF(AND(Programme_Grunddaten!$A988="Geprüft",Programme_Grunddaten!AI988&lt;&gt;""),IF(Programme_Grunddaten!AI988="Ja",1,0),"")</f>
        <v/>
      </c>
      <c r="AB983" s="1" t="str">
        <f>IF(AND(Programme_Grunddaten!$A988="Geprüft",Programme_Grunddaten!AJ988&lt;&gt;""),IF(Programme_Grunddaten!AJ988="individuell programmierbar",1,0),"")</f>
        <v/>
      </c>
      <c r="AC983" s="1" t="str">
        <f>IF(AND(Programme_Grunddaten!$A988="Geprüft",Programme_Grunddaten!AK988&lt;&gt;""),IF(Programme_Grunddaten!AK988="Deutsch",0,IF(Programme_Grunddaten!AK988="Deutsch und Englisch",1,2)),"")</f>
        <v/>
      </c>
      <c r="AD983" s="1" t="str">
        <f>IF(AND(Programme_Grunddaten!$A988="Geprüft",Programme_Grunddaten!AL988&lt;&gt;""),IF(Programme_Grunddaten!AL988="Ja",1,0),"")</f>
        <v/>
      </c>
      <c r="AE983" s="1" t="str">
        <f>IF(AND(Programme_Grunddaten!$A988="Geprüft",Programme_Grunddaten!AM988&lt;&gt;""),IF(Programme_Grunddaten!AM988="Ja",1,0),"")</f>
        <v/>
      </c>
      <c r="AF983" s="1" t="str">
        <f>IF(AND(Programme_Grunddaten!$A988="Geprüft",Programme_Grunddaten!AN988&lt;&gt;""),IF(Programme_Grunddaten!AN988="Ja",1,0),"")</f>
        <v/>
      </c>
      <c r="AG983" s="1" t="str">
        <f>IF(AND(Programme_Grunddaten!$A988="Geprüft",Programme_Grunddaten!AO988&lt;&gt;""),IF(Programme_Grunddaten!AO988="Ja",1,0),"")</f>
        <v/>
      </c>
      <c r="AH983" s="1" t="str">
        <f>IF(AND(Programme_Grunddaten!$A988="Geprüft",Programme_Grunddaten!AP988&lt;&gt;""),IF(Programme_Grunddaten!AP988="Ja",1,0),"")</f>
        <v/>
      </c>
      <c r="AI983" s="1" t="str">
        <f>IF(AND(Programme_Grunddaten!$A988="Geprüft",Programme_Grunddaten!AQ988&lt;&gt;""),IF(Programme_Grunddaten!AQ988="Ja",1,0),"")</f>
        <v/>
      </c>
      <c r="AJ983" s="1" t="str">
        <f>IF(AND(Programme_Grunddaten!$A988="Geprüft",Programme_Grunddaten!AR988&lt;&gt;""),IF(Programme_Grunddaten!AR988="Ja",1,0),"")</f>
        <v/>
      </c>
      <c r="AK983" s="1" t="str">
        <f>IF(AND(Programme_Grunddaten!$A988="Geprüft",Programme_Grunddaten!AS988&lt;&gt;""),IF(Programme_Grunddaten!AS988="Ja",1,0),"")</f>
        <v/>
      </c>
      <c r="AL983" s="1" t="str">
        <f>IF(AND(Programme_Grunddaten!$A988="Geprüft",Programme_Grunddaten!AT988&lt;&gt;""),IF(Programme_Grunddaten!AT988="Ja",1,0),"")</f>
        <v/>
      </c>
      <c r="AM983" s="1" t="str">
        <f>IF(AND(Programme_Grunddaten!$A988="Geprüft",Programme_Grunddaten!AU988&lt;&gt;""),IF(Programme_Grunddaten!AU988="Ja",1,0),"")</f>
        <v/>
      </c>
      <c r="AN983" s="1" t="str">
        <f>IF(AND(Programme_Grunddaten!$A988="Geprüft",Programme_Grunddaten!AV988&lt;&gt;""),IF(Programme_Grunddaten!AV988="Ja",1,0),"")</f>
        <v/>
      </c>
    </row>
    <row r="984" spans="1:40" x14ac:dyDescent="0.3">
      <c r="A984" s="1" t="str">
        <f>IF(AND(Programme_Grunddaten!A989="Geprüft",Programme_Grunddaten!B989&lt;&gt;""),Programme_Grunddaten!B989,"")</f>
        <v/>
      </c>
      <c r="B984" s="1" t="str">
        <f>IF(AND(Programme_Grunddaten!$A989="Geprüft",Programme_Grunddaten!I989&lt;&gt;""),IF(Programme_Grunddaten!I989="Ja",1,0),"")</f>
        <v/>
      </c>
      <c r="C984" s="1" t="str">
        <f>IF(AND(Programme_Grunddaten!$A989="Geprüft",Programme_Grunddaten!J989&lt;&gt;""),IF(Programme_Grunddaten!J989="Ja",1,0),"")</f>
        <v/>
      </c>
      <c r="D984" s="1" t="str">
        <f>IF(AND(Programme_Grunddaten!$A989="Geprüft",Programme_Grunddaten!K989&lt;&gt;""),IF(Programme_Grunddaten!K989="Ja",1,0),"")</f>
        <v/>
      </c>
      <c r="E984" s="1" t="str">
        <f>IF(AND(Programme_Grunddaten!$A989="Geprüft",Programme_Grunddaten!L989&lt;&gt;""),IF(Programme_Grunddaten!L989="Abo / befristete Lizenz",1,0),"")</f>
        <v/>
      </c>
      <c r="F984" s="1" t="str">
        <f>IF(AND(Programme_Grunddaten!$A989="Geprüft",Programme_Grunddaten!M989&lt;&gt;""),IF(Programme_Grunddaten!M989="Ja",1,0),"")</f>
        <v/>
      </c>
      <c r="G984" s="1" t="str">
        <f>IF(AND(Programme_Grunddaten!$A989="Geprüft",Programme_Grunddaten!N989&lt;&gt;""),IF(Programme_Grunddaten!N989="Ja",1,0),"")</f>
        <v/>
      </c>
      <c r="H984" s="1" t="str">
        <f>IF(AND(Programme_Grunddaten!$A989="Geprüft",Programme_Grunddaten!O989&lt;&gt;""),IF(Programme_Grunddaten!O989="Deutschland",0,IF(Programme_Grunddaten!O989="EU",1,2)),"")</f>
        <v/>
      </c>
      <c r="I984" s="1" t="str">
        <f>IF(AND(Programme_Grunddaten!$A989="Geprüft",Programme_Grunddaten!P989&lt;&gt;""),IF(Programme_Grunddaten!P989="Ja",1,0),"")</f>
        <v/>
      </c>
      <c r="J984" s="1" t="str">
        <f>IF(AND(Programme_Grunddaten!$A989="Geprüft",Programme_Grunddaten!Q989&lt;&gt;""),IF(Programme_Grunddaten!Q989="geschlossenes System",1,0),"")</f>
        <v/>
      </c>
      <c r="K984" s="1" t="str">
        <f>IF(AND(Programme_Grunddaten!$A989="Geprüft",Programme_Grunddaten!R989&lt;&gt;""),IF(Programme_Grunddaten!R989="Ja",1,0),"")</f>
        <v/>
      </c>
      <c r="L984" s="1" t="str">
        <f>IF(AND(Programme_Grunddaten!$A989="Geprüft",Programme_Grunddaten!T989&lt;&gt;""),IF(Programme_Grunddaten!T989="Ja",1,0),"")</f>
        <v/>
      </c>
      <c r="M984" s="1" t="str">
        <f>IF(AND(Programme_Grunddaten!$A989="Geprüft",Programme_Grunddaten!U989&lt;&gt;""),IF(Programme_Grunddaten!U989="Ja",1,0),"")</f>
        <v/>
      </c>
      <c r="N984" s="1" t="str">
        <f>IF(AND(Programme_Grunddaten!$A989="Geprüft",Programme_Grunddaten!V989&lt;&gt;""),IF(Programme_Grunddaten!V989="Ja",1,0),"")</f>
        <v/>
      </c>
      <c r="O984" s="1" t="str">
        <f>IF(AND(Programme_Grunddaten!$A989="Geprüft",Programme_Grunddaten!W989&lt;&gt;""),IF(Programme_Grunddaten!W989="Ja",1,0),"")</f>
        <v/>
      </c>
      <c r="P984" s="1" t="str">
        <f>IF(AND(Programme_Grunddaten!$A989="Geprüft",Programme_Grunddaten!X989&lt;&gt;""),IF(Programme_Grunddaten!X989="Ja",1,0),"")</f>
        <v/>
      </c>
      <c r="Q984" s="1" t="str">
        <f>IF(AND(Programme_Grunddaten!$A989="Geprüft",Programme_Grunddaten!Y989&lt;&gt;""),IF(Programme_Grunddaten!Y989="Ja",1,0),"")</f>
        <v/>
      </c>
      <c r="R984" s="1" t="str">
        <f>IF(AND(Programme_Grunddaten!$A989="Geprüft",Programme_Grunddaten!Z989&lt;&gt;""),IF(Programme_Grunddaten!Z989="Ja",1,0),"")</f>
        <v/>
      </c>
      <c r="S984" s="1" t="str">
        <f>IF(AND(Programme_Grunddaten!$A989="Geprüft",Programme_Grunddaten!AA989&lt;&gt;""),IF(Programme_Grunddaten!AA989="monolithisch",1,0),"")</f>
        <v/>
      </c>
      <c r="T984" s="1" t="str">
        <f>IF(AND(Programme_Grunddaten!$A989="Geprüft",Programme_Grunddaten!AB989&lt;&gt;""),IF(Programme_Grunddaten!AB989="Ja",1,0),"")</f>
        <v/>
      </c>
      <c r="U984" s="1" t="str">
        <f>IF(AND(Programme_Grunddaten!$A989="Geprüft",Programme_Grunddaten!AC989&lt;&gt;""),IF(Programme_Grunddaten!AC989="Ja",1,0),"")</f>
        <v/>
      </c>
      <c r="V984" s="1" t="str">
        <f>IF(AND(Programme_Grunddaten!$A989="Geprüft",Programme_Grunddaten!AD989&lt;&gt;""),IF(Programme_Grunddaten!AD989="Ja",1,0),"")</f>
        <v/>
      </c>
      <c r="W984" s="1" t="str">
        <f>IF(AND(Programme_Grunddaten!$A989="Geprüft",Programme_Grunddaten!AE989&lt;&gt;""),IF(Programme_Grunddaten!AE989="Ja",1,0),"")</f>
        <v/>
      </c>
      <c r="X984" s="1" t="str">
        <f>IF(AND(Programme_Grunddaten!$A989="Geprüft",Programme_Grunddaten!AF989&lt;&gt;""),IF(Programme_Grunddaten!AF989="Ja",1,0),"")</f>
        <v/>
      </c>
      <c r="Y984" s="1" t="str">
        <f>IF(AND(Programme_Grunddaten!$A989="Geprüft",Programme_Grunddaten!AG989&lt;&gt;""),IF(Programme_Grunddaten!AG989="Ja",1,0),"")</f>
        <v/>
      </c>
      <c r="Z984" s="1" t="str">
        <f>IF(AND(Programme_Grunddaten!$A989="Geprüft",Programme_Grunddaten!AH989&lt;&gt;""),IF(Programme_Grunddaten!AH989="Ja",1,0),"")</f>
        <v/>
      </c>
      <c r="AA984" s="1" t="str">
        <f>IF(AND(Programme_Grunddaten!$A989="Geprüft",Programme_Grunddaten!AI989&lt;&gt;""),IF(Programme_Grunddaten!AI989="Ja",1,0),"")</f>
        <v/>
      </c>
      <c r="AB984" s="1" t="str">
        <f>IF(AND(Programme_Grunddaten!$A989="Geprüft",Programme_Grunddaten!AJ989&lt;&gt;""),IF(Programme_Grunddaten!AJ989="individuell programmierbar",1,0),"")</f>
        <v/>
      </c>
      <c r="AC984" s="1" t="str">
        <f>IF(AND(Programme_Grunddaten!$A989="Geprüft",Programme_Grunddaten!AK989&lt;&gt;""),IF(Programme_Grunddaten!AK989="Deutsch",0,IF(Programme_Grunddaten!AK989="Deutsch und Englisch",1,2)),"")</f>
        <v/>
      </c>
      <c r="AD984" s="1" t="str">
        <f>IF(AND(Programme_Grunddaten!$A989="Geprüft",Programme_Grunddaten!AL989&lt;&gt;""),IF(Programme_Grunddaten!AL989="Ja",1,0),"")</f>
        <v/>
      </c>
      <c r="AE984" s="1" t="str">
        <f>IF(AND(Programme_Grunddaten!$A989="Geprüft",Programme_Grunddaten!AM989&lt;&gt;""),IF(Programme_Grunddaten!AM989="Ja",1,0),"")</f>
        <v/>
      </c>
      <c r="AF984" s="1" t="str">
        <f>IF(AND(Programme_Grunddaten!$A989="Geprüft",Programme_Grunddaten!AN989&lt;&gt;""),IF(Programme_Grunddaten!AN989="Ja",1,0),"")</f>
        <v/>
      </c>
      <c r="AG984" s="1" t="str">
        <f>IF(AND(Programme_Grunddaten!$A989="Geprüft",Programme_Grunddaten!AO989&lt;&gt;""),IF(Programme_Grunddaten!AO989="Ja",1,0),"")</f>
        <v/>
      </c>
      <c r="AH984" s="1" t="str">
        <f>IF(AND(Programme_Grunddaten!$A989="Geprüft",Programme_Grunddaten!AP989&lt;&gt;""),IF(Programme_Grunddaten!AP989="Ja",1,0),"")</f>
        <v/>
      </c>
      <c r="AI984" s="1" t="str">
        <f>IF(AND(Programme_Grunddaten!$A989="Geprüft",Programme_Grunddaten!AQ989&lt;&gt;""),IF(Programme_Grunddaten!AQ989="Ja",1,0),"")</f>
        <v/>
      </c>
      <c r="AJ984" s="1" t="str">
        <f>IF(AND(Programme_Grunddaten!$A989="Geprüft",Programme_Grunddaten!AR989&lt;&gt;""),IF(Programme_Grunddaten!AR989="Ja",1,0),"")</f>
        <v/>
      </c>
      <c r="AK984" s="1" t="str">
        <f>IF(AND(Programme_Grunddaten!$A989="Geprüft",Programme_Grunddaten!AS989&lt;&gt;""),IF(Programme_Grunddaten!AS989="Ja",1,0),"")</f>
        <v/>
      </c>
      <c r="AL984" s="1" t="str">
        <f>IF(AND(Programme_Grunddaten!$A989="Geprüft",Programme_Grunddaten!AT989&lt;&gt;""),IF(Programme_Grunddaten!AT989="Ja",1,0),"")</f>
        <v/>
      </c>
      <c r="AM984" s="1" t="str">
        <f>IF(AND(Programme_Grunddaten!$A989="Geprüft",Programme_Grunddaten!AU989&lt;&gt;""),IF(Programme_Grunddaten!AU989="Ja",1,0),"")</f>
        <v/>
      </c>
      <c r="AN984" s="1" t="str">
        <f>IF(AND(Programme_Grunddaten!$A989="Geprüft",Programme_Grunddaten!AV989&lt;&gt;""),IF(Programme_Grunddaten!AV989="Ja",1,0),"")</f>
        <v/>
      </c>
    </row>
    <row r="985" spans="1:40" x14ac:dyDescent="0.3">
      <c r="A985" s="1" t="str">
        <f>IF(AND(Programme_Grunddaten!A990="Geprüft",Programme_Grunddaten!B990&lt;&gt;""),Programme_Grunddaten!B990,"")</f>
        <v/>
      </c>
      <c r="B985" s="1" t="str">
        <f>IF(AND(Programme_Grunddaten!$A990="Geprüft",Programme_Grunddaten!I990&lt;&gt;""),IF(Programme_Grunddaten!I990="Ja",1,0),"")</f>
        <v/>
      </c>
      <c r="C985" s="1" t="str">
        <f>IF(AND(Programme_Grunddaten!$A990="Geprüft",Programme_Grunddaten!J990&lt;&gt;""),IF(Programme_Grunddaten!J990="Ja",1,0),"")</f>
        <v/>
      </c>
      <c r="D985" s="1" t="str">
        <f>IF(AND(Programme_Grunddaten!$A990="Geprüft",Programme_Grunddaten!K990&lt;&gt;""),IF(Programme_Grunddaten!K990="Ja",1,0),"")</f>
        <v/>
      </c>
      <c r="E985" s="1" t="str">
        <f>IF(AND(Programme_Grunddaten!$A990="Geprüft",Programme_Grunddaten!L990&lt;&gt;""),IF(Programme_Grunddaten!L990="Abo / befristete Lizenz",1,0),"")</f>
        <v/>
      </c>
      <c r="F985" s="1" t="str">
        <f>IF(AND(Programme_Grunddaten!$A990="Geprüft",Programme_Grunddaten!M990&lt;&gt;""),IF(Programme_Grunddaten!M990="Ja",1,0),"")</f>
        <v/>
      </c>
      <c r="G985" s="1" t="str">
        <f>IF(AND(Programme_Grunddaten!$A990="Geprüft",Programme_Grunddaten!N990&lt;&gt;""),IF(Programme_Grunddaten!N990="Ja",1,0),"")</f>
        <v/>
      </c>
      <c r="H985" s="1" t="str">
        <f>IF(AND(Programme_Grunddaten!$A990="Geprüft",Programme_Grunddaten!O990&lt;&gt;""),IF(Programme_Grunddaten!O990="Deutschland",0,IF(Programme_Grunddaten!O990="EU",1,2)),"")</f>
        <v/>
      </c>
      <c r="I985" s="1" t="str">
        <f>IF(AND(Programme_Grunddaten!$A990="Geprüft",Programme_Grunddaten!P990&lt;&gt;""),IF(Programme_Grunddaten!P990="Ja",1,0),"")</f>
        <v/>
      </c>
      <c r="J985" s="1" t="str">
        <f>IF(AND(Programme_Grunddaten!$A990="Geprüft",Programme_Grunddaten!Q990&lt;&gt;""),IF(Programme_Grunddaten!Q990="geschlossenes System",1,0),"")</f>
        <v/>
      </c>
      <c r="K985" s="1" t="str">
        <f>IF(AND(Programme_Grunddaten!$A990="Geprüft",Programme_Grunddaten!R990&lt;&gt;""),IF(Programme_Grunddaten!R990="Ja",1,0),"")</f>
        <v/>
      </c>
      <c r="L985" s="1" t="str">
        <f>IF(AND(Programme_Grunddaten!$A990="Geprüft",Programme_Grunddaten!T990&lt;&gt;""),IF(Programme_Grunddaten!T990="Ja",1,0),"")</f>
        <v/>
      </c>
      <c r="M985" s="1" t="str">
        <f>IF(AND(Programme_Grunddaten!$A990="Geprüft",Programme_Grunddaten!U990&lt;&gt;""),IF(Programme_Grunddaten!U990="Ja",1,0),"")</f>
        <v/>
      </c>
      <c r="N985" s="1" t="str">
        <f>IF(AND(Programme_Grunddaten!$A990="Geprüft",Programme_Grunddaten!V990&lt;&gt;""),IF(Programme_Grunddaten!V990="Ja",1,0),"")</f>
        <v/>
      </c>
      <c r="O985" s="1" t="str">
        <f>IF(AND(Programme_Grunddaten!$A990="Geprüft",Programme_Grunddaten!W990&lt;&gt;""),IF(Programme_Grunddaten!W990="Ja",1,0),"")</f>
        <v/>
      </c>
      <c r="P985" s="1" t="str">
        <f>IF(AND(Programme_Grunddaten!$A990="Geprüft",Programme_Grunddaten!X990&lt;&gt;""),IF(Programme_Grunddaten!X990="Ja",1,0),"")</f>
        <v/>
      </c>
      <c r="Q985" s="1" t="str">
        <f>IF(AND(Programme_Grunddaten!$A990="Geprüft",Programme_Grunddaten!Y990&lt;&gt;""),IF(Programme_Grunddaten!Y990="Ja",1,0),"")</f>
        <v/>
      </c>
      <c r="R985" s="1" t="str">
        <f>IF(AND(Programme_Grunddaten!$A990="Geprüft",Programme_Grunddaten!Z990&lt;&gt;""),IF(Programme_Grunddaten!Z990="Ja",1,0),"")</f>
        <v/>
      </c>
      <c r="S985" s="1" t="str">
        <f>IF(AND(Programme_Grunddaten!$A990="Geprüft",Programme_Grunddaten!AA990&lt;&gt;""),IF(Programme_Grunddaten!AA990="monolithisch",1,0),"")</f>
        <v/>
      </c>
      <c r="T985" s="1" t="str">
        <f>IF(AND(Programme_Grunddaten!$A990="Geprüft",Programme_Grunddaten!AB990&lt;&gt;""),IF(Programme_Grunddaten!AB990="Ja",1,0),"")</f>
        <v/>
      </c>
      <c r="U985" s="1" t="str">
        <f>IF(AND(Programme_Grunddaten!$A990="Geprüft",Programme_Grunddaten!AC990&lt;&gt;""),IF(Programme_Grunddaten!AC990="Ja",1,0),"")</f>
        <v/>
      </c>
      <c r="V985" s="1" t="str">
        <f>IF(AND(Programme_Grunddaten!$A990="Geprüft",Programme_Grunddaten!AD990&lt;&gt;""),IF(Programme_Grunddaten!AD990="Ja",1,0),"")</f>
        <v/>
      </c>
      <c r="W985" s="1" t="str">
        <f>IF(AND(Programme_Grunddaten!$A990="Geprüft",Programme_Grunddaten!AE990&lt;&gt;""),IF(Programme_Grunddaten!AE990="Ja",1,0),"")</f>
        <v/>
      </c>
      <c r="X985" s="1" t="str">
        <f>IF(AND(Programme_Grunddaten!$A990="Geprüft",Programme_Grunddaten!AF990&lt;&gt;""),IF(Programme_Grunddaten!AF990="Ja",1,0),"")</f>
        <v/>
      </c>
      <c r="Y985" s="1" t="str">
        <f>IF(AND(Programme_Grunddaten!$A990="Geprüft",Programme_Grunddaten!AG990&lt;&gt;""),IF(Programme_Grunddaten!AG990="Ja",1,0),"")</f>
        <v/>
      </c>
      <c r="Z985" s="1" t="str">
        <f>IF(AND(Programme_Grunddaten!$A990="Geprüft",Programme_Grunddaten!AH990&lt;&gt;""),IF(Programme_Grunddaten!AH990="Ja",1,0),"")</f>
        <v/>
      </c>
      <c r="AA985" s="1" t="str">
        <f>IF(AND(Programme_Grunddaten!$A990="Geprüft",Programme_Grunddaten!AI990&lt;&gt;""),IF(Programme_Grunddaten!AI990="Ja",1,0),"")</f>
        <v/>
      </c>
      <c r="AB985" s="1" t="str">
        <f>IF(AND(Programme_Grunddaten!$A990="Geprüft",Programme_Grunddaten!AJ990&lt;&gt;""),IF(Programme_Grunddaten!AJ990="individuell programmierbar",1,0),"")</f>
        <v/>
      </c>
      <c r="AC985" s="1" t="str">
        <f>IF(AND(Programme_Grunddaten!$A990="Geprüft",Programme_Grunddaten!AK990&lt;&gt;""),IF(Programme_Grunddaten!AK990="Deutsch",0,IF(Programme_Grunddaten!AK990="Deutsch und Englisch",1,2)),"")</f>
        <v/>
      </c>
      <c r="AD985" s="1" t="str">
        <f>IF(AND(Programme_Grunddaten!$A990="Geprüft",Programme_Grunddaten!AL990&lt;&gt;""),IF(Programme_Grunddaten!AL990="Ja",1,0),"")</f>
        <v/>
      </c>
      <c r="AE985" s="1" t="str">
        <f>IF(AND(Programme_Grunddaten!$A990="Geprüft",Programme_Grunddaten!AM990&lt;&gt;""),IF(Programme_Grunddaten!AM990="Ja",1,0),"")</f>
        <v/>
      </c>
      <c r="AF985" s="1" t="str">
        <f>IF(AND(Programme_Grunddaten!$A990="Geprüft",Programme_Grunddaten!AN990&lt;&gt;""),IF(Programme_Grunddaten!AN990="Ja",1,0),"")</f>
        <v/>
      </c>
      <c r="AG985" s="1" t="str">
        <f>IF(AND(Programme_Grunddaten!$A990="Geprüft",Programme_Grunddaten!AO990&lt;&gt;""),IF(Programme_Grunddaten!AO990="Ja",1,0),"")</f>
        <v/>
      </c>
      <c r="AH985" s="1" t="str">
        <f>IF(AND(Programme_Grunddaten!$A990="Geprüft",Programme_Grunddaten!AP990&lt;&gt;""),IF(Programme_Grunddaten!AP990="Ja",1,0),"")</f>
        <v/>
      </c>
      <c r="AI985" s="1" t="str">
        <f>IF(AND(Programme_Grunddaten!$A990="Geprüft",Programme_Grunddaten!AQ990&lt;&gt;""),IF(Programme_Grunddaten!AQ990="Ja",1,0),"")</f>
        <v/>
      </c>
      <c r="AJ985" s="1" t="str">
        <f>IF(AND(Programme_Grunddaten!$A990="Geprüft",Programme_Grunddaten!AR990&lt;&gt;""),IF(Programme_Grunddaten!AR990="Ja",1,0),"")</f>
        <v/>
      </c>
      <c r="AK985" s="1" t="str">
        <f>IF(AND(Programme_Grunddaten!$A990="Geprüft",Programme_Grunddaten!AS990&lt;&gt;""),IF(Programme_Grunddaten!AS990="Ja",1,0),"")</f>
        <v/>
      </c>
      <c r="AL985" s="1" t="str">
        <f>IF(AND(Programme_Grunddaten!$A990="Geprüft",Programme_Grunddaten!AT990&lt;&gt;""),IF(Programme_Grunddaten!AT990="Ja",1,0),"")</f>
        <v/>
      </c>
      <c r="AM985" s="1" t="str">
        <f>IF(AND(Programme_Grunddaten!$A990="Geprüft",Programme_Grunddaten!AU990&lt;&gt;""),IF(Programme_Grunddaten!AU990="Ja",1,0),"")</f>
        <v/>
      </c>
      <c r="AN985" s="1" t="str">
        <f>IF(AND(Programme_Grunddaten!$A990="Geprüft",Programme_Grunddaten!AV990&lt;&gt;""),IF(Programme_Grunddaten!AV990="Ja",1,0),"")</f>
        <v/>
      </c>
    </row>
    <row r="986" spans="1:40" x14ac:dyDescent="0.3">
      <c r="A986" s="1" t="str">
        <f>IF(AND(Programme_Grunddaten!A991="Geprüft",Programme_Grunddaten!B991&lt;&gt;""),Programme_Grunddaten!B991,"")</f>
        <v/>
      </c>
      <c r="B986" s="1" t="str">
        <f>IF(AND(Programme_Grunddaten!$A991="Geprüft",Programme_Grunddaten!I991&lt;&gt;""),IF(Programme_Grunddaten!I991="Ja",1,0),"")</f>
        <v/>
      </c>
      <c r="C986" s="1" t="str">
        <f>IF(AND(Programme_Grunddaten!$A991="Geprüft",Programme_Grunddaten!J991&lt;&gt;""),IF(Programme_Grunddaten!J991="Ja",1,0),"")</f>
        <v/>
      </c>
      <c r="D986" s="1" t="str">
        <f>IF(AND(Programme_Grunddaten!$A991="Geprüft",Programme_Grunddaten!K991&lt;&gt;""),IF(Programme_Grunddaten!K991="Ja",1,0),"")</f>
        <v/>
      </c>
      <c r="E986" s="1" t="str">
        <f>IF(AND(Programme_Grunddaten!$A991="Geprüft",Programme_Grunddaten!L991&lt;&gt;""),IF(Programme_Grunddaten!L991="Abo / befristete Lizenz",1,0),"")</f>
        <v/>
      </c>
      <c r="F986" s="1" t="str">
        <f>IF(AND(Programme_Grunddaten!$A991="Geprüft",Programme_Grunddaten!M991&lt;&gt;""),IF(Programme_Grunddaten!M991="Ja",1,0),"")</f>
        <v/>
      </c>
      <c r="G986" s="1" t="str">
        <f>IF(AND(Programme_Grunddaten!$A991="Geprüft",Programme_Grunddaten!N991&lt;&gt;""),IF(Programme_Grunddaten!N991="Ja",1,0),"")</f>
        <v/>
      </c>
      <c r="H986" s="1" t="str">
        <f>IF(AND(Programme_Grunddaten!$A991="Geprüft",Programme_Grunddaten!O991&lt;&gt;""),IF(Programme_Grunddaten!O991="Deutschland",0,IF(Programme_Grunddaten!O991="EU",1,2)),"")</f>
        <v/>
      </c>
      <c r="I986" s="1" t="str">
        <f>IF(AND(Programme_Grunddaten!$A991="Geprüft",Programme_Grunddaten!P991&lt;&gt;""),IF(Programme_Grunddaten!P991="Ja",1,0),"")</f>
        <v/>
      </c>
      <c r="J986" s="1" t="str">
        <f>IF(AND(Programme_Grunddaten!$A991="Geprüft",Programme_Grunddaten!Q991&lt;&gt;""),IF(Programme_Grunddaten!Q991="geschlossenes System",1,0),"")</f>
        <v/>
      </c>
      <c r="K986" s="1" t="str">
        <f>IF(AND(Programme_Grunddaten!$A991="Geprüft",Programme_Grunddaten!R991&lt;&gt;""),IF(Programme_Grunddaten!R991="Ja",1,0),"")</f>
        <v/>
      </c>
      <c r="L986" s="1" t="str">
        <f>IF(AND(Programme_Grunddaten!$A991="Geprüft",Programme_Grunddaten!T991&lt;&gt;""),IF(Programme_Grunddaten!T991="Ja",1,0),"")</f>
        <v/>
      </c>
      <c r="M986" s="1" t="str">
        <f>IF(AND(Programme_Grunddaten!$A991="Geprüft",Programme_Grunddaten!U991&lt;&gt;""),IF(Programme_Grunddaten!U991="Ja",1,0),"")</f>
        <v/>
      </c>
      <c r="N986" s="1" t="str">
        <f>IF(AND(Programme_Grunddaten!$A991="Geprüft",Programme_Grunddaten!V991&lt;&gt;""),IF(Programme_Grunddaten!V991="Ja",1,0),"")</f>
        <v/>
      </c>
      <c r="O986" s="1" t="str">
        <f>IF(AND(Programme_Grunddaten!$A991="Geprüft",Programme_Grunddaten!W991&lt;&gt;""),IF(Programme_Grunddaten!W991="Ja",1,0),"")</f>
        <v/>
      </c>
      <c r="P986" s="1" t="str">
        <f>IF(AND(Programme_Grunddaten!$A991="Geprüft",Programme_Grunddaten!X991&lt;&gt;""),IF(Programme_Grunddaten!X991="Ja",1,0),"")</f>
        <v/>
      </c>
      <c r="Q986" s="1" t="str">
        <f>IF(AND(Programme_Grunddaten!$A991="Geprüft",Programme_Grunddaten!Y991&lt;&gt;""),IF(Programme_Grunddaten!Y991="Ja",1,0),"")</f>
        <v/>
      </c>
      <c r="R986" s="1" t="str">
        <f>IF(AND(Programme_Grunddaten!$A991="Geprüft",Programme_Grunddaten!Z991&lt;&gt;""),IF(Programme_Grunddaten!Z991="Ja",1,0),"")</f>
        <v/>
      </c>
      <c r="S986" s="1" t="str">
        <f>IF(AND(Programme_Grunddaten!$A991="Geprüft",Programme_Grunddaten!AA991&lt;&gt;""),IF(Programme_Grunddaten!AA991="monolithisch",1,0),"")</f>
        <v/>
      </c>
      <c r="T986" s="1" t="str">
        <f>IF(AND(Programme_Grunddaten!$A991="Geprüft",Programme_Grunddaten!AB991&lt;&gt;""),IF(Programme_Grunddaten!AB991="Ja",1,0),"")</f>
        <v/>
      </c>
      <c r="U986" s="1" t="str">
        <f>IF(AND(Programme_Grunddaten!$A991="Geprüft",Programme_Grunddaten!AC991&lt;&gt;""),IF(Programme_Grunddaten!AC991="Ja",1,0),"")</f>
        <v/>
      </c>
      <c r="V986" s="1" t="str">
        <f>IF(AND(Programme_Grunddaten!$A991="Geprüft",Programme_Grunddaten!AD991&lt;&gt;""),IF(Programme_Grunddaten!AD991="Ja",1,0),"")</f>
        <v/>
      </c>
      <c r="W986" s="1" t="str">
        <f>IF(AND(Programme_Grunddaten!$A991="Geprüft",Programme_Grunddaten!AE991&lt;&gt;""),IF(Programme_Grunddaten!AE991="Ja",1,0),"")</f>
        <v/>
      </c>
      <c r="X986" s="1" t="str">
        <f>IF(AND(Programme_Grunddaten!$A991="Geprüft",Programme_Grunddaten!AF991&lt;&gt;""),IF(Programme_Grunddaten!AF991="Ja",1,0),"")</f>
        <v/>
      </c>
      <c r="Y986" s="1" t="str">
        <f>IF(AND(Programme_Grunddaten!$A991="Geprüft",Programme_Grunddaten!AG991&lt;&gt;""),IF(Programme_Grunddaten!AG991="Ja",1,0),"")</f>
        <v/>
      </c>
      <c r="Z986" s="1" t="str">
        <f>IF(AND(Programme_Grunddaten!$A991="Geprüft",Programme_Grunddaten!AH991&lt;&gt;""),IF(Programme_Grunddaten!AH991="Ja",1,0),"")</f>
        <v/>
      </c>
      <c r="AA986" s="1" t="str">
        <f>IF(AND(Programme_Grunddaten!$A991="Geprüft",Programme_Grunddaten!AI991&lt;&gt;""),IF(Programme_Grunddaten!AI991="Ja",1,0),"")</f>
        <v/>
      </c>
      <c r="AB986" s="1" t="str">
        <f>IF(AND(Programme_Grunddaten!$A991="Geprüft",Programme_Grunddaten!AJ991&lt;&gt;""),IF(Programme_Grunddaten!AJ991="individuell programmierbar",1,0),"")</f>
        <v/>
      </c>
      <c r="AC986" s="1" t="str">
        <f>IF(AND(Programme_Grunddaten!$A991="Geprüft",Programme_Grunddaten!AK991&lt;&gt;""),IF(Programme_Grunddaten!AK991="Deutsch",0,IF(Programme_Grunddaten!AK991="Deutsch und Englisch",1,2)),"")</f>
        <v/>
      </c>
      <c r="AD986" s="1" t="str">
        <f>IF(AND(Programme_Grunddaten!$A991="Geprüft",Programme_Grunddaten!AL991&lt;&gt;""),IF(Programme_Grunddaten!AL991="Ja",1,0),"")</f>
        <v/>
      </c>
      <c r="AE986" s="1" t="str">
        <f>IF(AND(Programme_Grunddaten!$A991="Geprüft",Programme_Grunddaten!AM991&lt;&gt;""),IF(Programme_Grunddaten!AM991="Ja",1,0),"")</f>
        <v/>
      </c>
      <c r="AF986" s="1" t="str">
        <f>IF(AND(Programme_Grunddaten!$A991="Geprüft",Programme_Grunddaten!AN991&lt;&gt;""),IF(Programme_Grunddaten!AN991="Ja",1,0),"")</f>
        <v/>
      </c>
      <c r="AG986" s="1" t="str">
        <f>IF(AND(Programme_Grunddaten!$A991="Geprüft",Programme_Grunddaten!AO991&lt;&gt;""),IF(Programme_Grunddaten!AO991="Ja",1,0),"")</f>
        <v/>
      </c>
      <c r="AH986" s="1" t="str">
        <f>IF(AND(Programme_Grunddaten!$A991="Geprüft",Programme_Grunddaten!AP991&lt;&gt;""),IF(Programme_Grunddaten!AP991="Ja",1,0),"")</f>
        <v/>
      </c>
      <c r="AI986" s="1" t="str">
        <f>IF(AND(Programme_Grunddaten!$A991="Geprüft",Programme_Grunddaten!AQ991&lt;&gt;""),IF(Programme_Grunddaten!AQ991="Ja",1,0),"")</f>
        <v/>
      </c>
      <c r="AJ986" s="1" t="str">
        <f>IF(AND(Programme_Grunddaten!$A991="Geprüft",Programme_Grunddaten!AR991&lt;&gt;""),IF(Programme_Grunddaten!AR991="Ja",1,0),"")</f>
        <v/>
      </c>
      <c r="AK986" s="1" t="str">
        <f>IF(AND(Programme_Grunddaten!$A991="Geprüft",Programme_Grunddaten!AS991&lt;&gt;""),IF(Programme_Grunddaten!AS991="Ja",1,0),"")</f>
        <v/>
      </c>
      <c r="AL986" s="1" t="str">
        <f>IF(AND(Programme_Grunddaten!$A991="Geprüft",Programme_Grunddaten!AT991&lt;&gt;""),IF(Programme_Grunddaten!AT991="Ja",1,0),"")</f>
        <v/>
      </c>
      <c r="AM986" s="1" t="str">
        <f>IF(AND(Programme_Grunddaten!$A991="Geprüft",Programme_Grunddaten!AU991&lt;&gt;""),IF(Programme_Grunddaten!AU991="Ja",1,0),"")</f>
        <v/>
      </c>
      <c r="AN986" s="1" t="str">
        <f>IF(AND(Programme_Grunddaten!$A991="Geprüft",Programme_Grunddaten!AV991&lt;&gt;""),IF(Programme_Grunddaten!AV991="Ja",1,0),"")</f>
        <v/>
      </c>
    </row>
    <row r="987" spans="1:40" x14ac:dyDescent="0.3">
      <c r="A987" s="1" t="str">
        <f>IF(AND(Programme_Grunddaten!A992="Geprüft",Programme_Grunddaten!B992&lt;&gt;""),Programme_Grunddaten!B992,"")</f>
        <v/>
      </c>
      <c r="B987" s="1" t="str">
        <f>IF(AND(Programme_Grunddaten!$A992="Geprüft",Programme_Grunddaten!I992&lt;&gt;""),IF(Programme_Grunddaten!I992="Ja",1,0),"")</f>
        <v/>
      </c>
      <c r="C987" s="1" t="str">
        <f>IF(AND(Programme_Grunddaten!$A992="Geprüft",Programme_Grunddaten!J992&lt;&gt;""),IF(Programme_Grunddaten!J992="Ja",1,0),"")</f>
        <v/>
      </c>
      <c r="D987" s="1" t="str">
        <f>IF(AND(Programme_Grunddaten!$A992="Geprüft",Programme_Grunddaten!K992&lt;&gt;""),IF(Programme_Grunddaten!K992="Ja",1,0),"")</f>
        <v/>
      </c>
      <c r="E987" s="1" t="str">
        <f>IF(AND(Programme_Grunddaten!$A992="Geprüft",Programme_Grunddaten!L992&lt;&gt;""),IF(Programme_Grunddaten!L992="Abo / befristete Lizenz",1,0),"")</f>
        <v/>
      </c>
      <c r="F987" s="1" t="str">
        <f>IF(AND(Programme_Grunddaten!$A992="Geprüft",Programme_Grunddaten!M992&lt;&gt;""),IF(Programme_Grunddaten!M992="Ja",1,0),"")</f>
        <v/>
      </c>
      <c r="G987" s="1" t="str">
        <f>IF(AND(Programme_Grunddaten!$A992="Geprüft",Programme_Grunddaten!N992&lt;&gt;""),IF(Programme_Grunddaten!N992="Ja",1,0),"")</f>
        <v/>
      </c>
      <c r="H987" s="1" t="str">
        <f>IF(AND(Programme_Grunddaten!$A992="Geprüft",Programme_Grunddaten!O992&lt;&gt;""),IF(Programme_Grunddaten!O992="Deutschland",0,IF(Programme_Grunddaten!O992="EU",1,2)),"")</f>
        <v/>
      </c>
      <c r="I987" s="1" t="str">
        <f>IF(AND(Programme_Grunddaten!$A992="Geprüft",Programme_Grunddaten!P992&lt;&gt;""),IF(Programme_Grunddaten!P992="Ja",1,0),"")</f>
        <v/>
      </c>
      <c r="J987" s="1" t="str">
        <f>IF(AND(Programme_Grunddaten!$A992="Geprüft",Programme_Grunddaten!Q992&lt;&gt;""),IF(Programme_Grunddaten!Q992="geschlossenes System",1,0),"")</f>
        <v/>
      </c>
      <c r="K987" s="1" t="str">
        <f>IF(AND(Programme_Grunddaten!$A992="Geprüft",Programme_Grunddaten!R992&lt;&gt;""),IF(Programme_Grunddaten!R992="Ja",1,0),"")</f>
        <v/>
      </c>
      <c r="L987" s="1" t="str">
        <f>IF(AND(Programme_Grunddaten!$A992="Geprüft",Programme_Grunddaten!T992&lt;&gt;""),IF(Programme_Grunddaten!T992="Ja",1,0),"")</f>
        <v/>
      </c>
      <c r="M987" s="1" t="str">
        <f>IF(AND(Programme_Grunddaten!$A992="Geprüft",Programme_Grunddaten!U992&lt;&gt;""),IF(Programme_Grunddaten!U992="Ja",1,0),"")</f>
        <v/>
      </c>
      <c r="N987" s="1" t="str">
        <f>IF(AND(Programme_Grunddaten!$A992="Geprüft",Programme_Grunddaten!V992&lt;&gt;""),IF(Programme_Grunddaten!V992="Ja",1,0),"")</f>
        <v/>
      </c>
      <c r="O987" s="1" t="str">
        <f>IF(AND(Programme_Grunddaten!$A992="Geprüft",Programme_Grunddaten!W992&lt;&gt;""),IF(Programme_Grunddaten!W992="Ja",1,0),"")</f>
        <v/>
      </c>
      <c r="P987" s="1" t="str">
        <f>IF(AND(Programme_Grunddaten!$A992="Geprüft",Programme_Grunddaten!X992&lt;&gt;""),IF(Programme_Grunddaten!X992="Ja",1,0),"")</f>
        <v/>
      </c>
      <c r="Q987" s="1" t="str">
        <f>IF(AND(Programme_Grunddaten!$A992="Geprüft",Programme_Grunddaten!Y992&lt;&gt;""),IF(Programme_Grunddaten!Y992="Ja",1,0),"")</f>
        <v/>
      </c>
      <c r="R987" s="1" t="str">
        <f>IF(AND(Programme_Grunddaten!$A992="Geprüft",Programme_Grunddaten!Z992&lt;&gt;""),IF(Programme_Grunddaten!Z992="Ja",1,0),"")</f>
        <v/>
      </c>
      <c r="S987" s="1" t="str">
        <f>IF(AND(Programme_Grunddaten!$A992="Geprüft",Programme_Grunddaten!AA992&lt;&gt;""),IF(Programme_Grunddaten!AA992="monolithisch",1,0),"")</f>
        <v/>
      </c>
      <c r="T987" s="1" t="str">
        <f>IF(AND(Programme_Grunddaten!$A992="Geprüft",Programme_Grunddaten!AB992&lt;&gt;""),IF(Programme_Grunddaten!AB992="Ja",1,0),"")</f>
        <v/>
      </c>
      <c r="U987" s="1" t="str">
        <f>IF(AND(Programme_Grunddaten!$A992="Geprüft",Programme_Grunddaten!AC992&lt;&gt;""),IF(Programme_Grunddaten!AC992="Ja",1,0),"")</f>
        <v/>
      </c>
      <c r="V987" s="1" t="str">
        <f>IF(AND(Programme_Grunddaten!$A992="Geprüft",Programme_Grunddaten!AD992&lt;&gt;""),IF(Programme_Grunddaten!AD992="Ja",1,0),"")</f>
        <v/>
      </c>
      <c r="W987" s="1" t="str">
        <f>IF(AND(Programme_Grunddaten!$A992="Geprüft",Programme_Grunddaten!AE992&lt;&gt;""),IF(Programme_Grunddaten!AE992="Ja",1,0),"")</f>
        <v/>
      </c>
      <c r="X987" s="1" t="str">
        <f>IF(AND(Programme_Grunddaten!$A992="Geprüft",Programme_Grunddaten!AF992&lt;&gt;""),IF(Programme_Grunddaten!AF992="Ja",1,0),"")</f>
        <v/>
      </c>
      <c r="Y987" s="1" t="str">
        <f>IF(AND(Programme_Grunddaten!$A992="Geprüft",Programme_Grunddaten!AG992&lt;&gt;""),IF(Programme_Grunddaten!AG992="Ja",1,0),"")</f>
        <v/>
      </c>
      <c r="Z987" s="1" t="str">
        <f>IF(AND(Programme_Grunddaten!$A992="Geprüft",Programme_Grunddaten!AH992&lt;&gt;""),IF(Programme_Grunddaten!AH992="Ja",1,0),"")</f>
        <v/>
      </c>
      <c r="AA987" s="1" t="str">
        <f>IF(AND(Programme_Grunddaten!$A992="Geprüft",Programme_Grunddaten!AI992&lt;&gt;""),IF(Programme_Grunddaten!AI992="Ja",1,0),"")</f>
        <v/>
      </c>
      <c r="AB987" s="1" t="str">
        <f>IF(AND(Programme_Grunddaten!$A992="Geprüft",Programme_Grunddaten!AJ992&lt;&gt;""),IF(Programme_Grunddaten!AJ992="individuell programmierbar",1,0),"")</f>
        <v/>
      </c>
      <c r="AC987" s="1" t="str">
        <f>IF(AND(Programme_Grunddaten!$A992="Geprüft",Programme_Grunddaten!AK992&lt;&gt;""),IF(Programme_Grunddaten!AK992="Deutsch",0,IF(Programme_Grunddaten!AK992="Deutsch und Englisch",1,2)),"")</f>
        <v/>
      </c>
      <c r="AD987" s="1" t="str">
        <f>IF(AND(Programme_Grunddaten!$A992="Geprüft",Programme_Grunddaten!AL992&lt;&gt;""),IF(Programme_Grunddaten!AL992="Ja",1,0),"")</f>
        <v/>
      </c>
      <c r="AE987" s="1" t="str">
        <f>IF(AND(Programme_Grunddaten!$A992="Geprüft",Programme_Grunddaten!AM992&lt;&gt;""),IF(Programme_Grunddaten!AM992="Ja",1,0),"")</f>
        <v/>
      </c>
      <c r="AF987" s="1" t="str">
        <f>IF(AND(Programme_Grunddaten!$A992="Geprüft",Programme_Grunddaten!AN992&lt;&gt;""),IF(Programme_Grunddaten!AN992="Ja",1,0),"")</f>
        <v/>
      </c>
      <c r="AG987" s="1" t="str">
        <f>IF(AND(Programme_Grunddaten!$A992="Geprüft",Programme_Grunddaten!AO992&lt;&gt;""),IF(Programme_Grunddaten!AO992="Ja",1,0),"")</f>
        <v/>
      </c>
      <c r="AH987" s="1" t="str">
        <f>IF(AND(Programme_Grunddaten!$A992="Geprüft",Programme_Grunddaten!AP992&lt;&gt;""),IF(Programme_Grunddaten!AP992="Ja",1,0),"")</f>
        <v/>
      </c>
      <c r="AI987" s="1" t="str">
        <f>IF(AND(Programme_Grunddaten!$A992="Geprüft",Programme_Grunddaten!AQ992&lt;&gt;""),IF(Programme_Grunddaten!AQ992="Ja",1,0),"")</f>
        <v/>
      </c>
      <c r="AJ987" s="1" t="str">
        <f>IF(AND(Programme_Grunddaten!$A992="Geprüft",Programme_Grunddaten!AR992&lt;&gt;""),IF(Programme_Grunddaten!AR992="Ja",1,0),"")</f>
        <v/>
      </c>
      <c r="AK987" s="1" t="str">
        <f>IF(AND(Programme_Grunddaten!$A992="Geprüft",Programme_Grunddaten!AS992&lt;&gt;""),IF(Programme_Grunddaten!AS992="Ja",1,0),"")</f>
        <v/>
      </c>
      <c r="AL987" s="1" t="str">
        <f>IF(AND(Programme_Grunddaten!$A992="Geprüft",Programme_Grunddaten!AT992&lt;&gt;""),IF(Programme_Grunddaten!AT992="Ja",1,0),"")</f>
        <v/>
      </c>
      <c r="AM987" s="1" t="str">
        <f>IF(AND(Programme_Grunddaten!$A992="Geprüft",Programme_Grunddaten!AU992&lt;&gt;""),IF(Programme_Grunddaten!AU992="Ja",1,0),"")</f>
        <v/>
      </c>
      <c r="AN987" s="1" t="str">
        <f>IF(AND(Programme_Grunddaten!$A992="Geprüft",Programme_Grunddaten!AV992&lt;&gt;""),IF(Programme_Grunddaten!AV992="Ja",1,0),"")</f>
        <v/>
      </c>
    </row>
    <row r="988" spans="1:40" x14ac:dyDescent="0.3">
      <c r="A988" s="1" t="str">
        <f>IF(AND(Programme_Grunddaten!A993="Geprüft",Programme_Grunddaten!B993&lt;&gt;""),Programme_Grunddaten!B993,"")</f>
        <v/>
      </c>
      <c r="B988" s="1" t="str">
        <f>IF(AND(Programme_Grunddaten!$A993="Geprüft",Programme_Grunddaten!I993&lt;&gt;""),IF(Programme_Grunddaten!I993="Ja",1,0),"")</f>
        <v/>
      </c>
      <c r="C988" s="1" t="str">
        <f>IF(AND(Programme_Grunddaten!$A993="Geprüft",Programme_Grunddaten!J993&lt;&gt;""),IF(Programme_Grunddaten!J993="Ja",1,0),"")</f>
        <v/>
      </c>
      <c r="D988" s="1" t="str">
        <f>IF(AND(Programme_Grunddaten!$A993="Geprüft",Programme_Grunddaten!K993&lt;&gt;""),IF(Programme_Grunddaten!K993="Ja",1,0),"")</f>
        <v/>
      </c>
      <c r="E988" s="1" t="str">
        <f>IF(AND(Programme_Grunddaten!$A993="Geprüft",Programme_Grunddaten!L993&lt;&gt;""),IF(Programme_Grunddaten!L993="Abo / befristete Lizenz",1,0),"")</f>
        <v/>
      </c>
      <c r="F988" s="1" t="str">
        <f>IF(AND(Programme_Grunddaten!$A993="Geprüft",Programme_Grunddaten!M993&lt;&gt;""),IF(Programme_Grunddaten!M993="Ja",1,0),"")</f>
        <v/>
      </c>
      <c r="G988" s="1" t="str">
        <f>IF(AND(Programme_Grunddaten!$A993="Geprüft",Programme_Grunddaten!N993&lt;&gt;""),IF(Programme_Grunddaten!N993="Ja",1,0),"")</f>
        <v/>
      </c>
      <c r="H988" s="1" t="str">
        <f>IF(AND(Programme_Grunddaten!$A993="Geprüft",Programme_Grunddaten!O993&lt;&gt;""),IF(Programme_Grunddaten!O993="Deutschland",0,IF(Programme_Grunddaten!O993="EU",1,2)),"")</f>
        <v/>
      </c>
      <c r="I988" s="1" t="str">
        <f>IF(AND(Programme_Grunddaten!$A993="Geprüft",Programme_Grunddaten!P993&lt;&gt;""),IF(Programme_Grunddaten!P993="Ja",1,0),"")</f>
        <v/>
      </c>
      <c r="J988" s="1" t="str">
        <f>IF(AND(Programme_Grunddaten!$A993="Geprüft",Programme_Grunddaten!Q993&lt;&gt;""),IF(Programme_Grunddaten!Q993="geschlossenes System",1,0),"")</f>
        <v/>
      </c>
      <c r="K988" s="1" t="str">
        <f>IF(AND(Programme_Grunddaten!$A993="Geprüft",Programme_Grunddaten!R993&lt;&gt;""),IF(Programme_Grunddaten!R993="Ja",1,0),"")</f>
        <v/>
      </c>
      <c r="L988" s="1" t="str">
        <f>IF(AND(Programme_Grunddaten!$A993="Geprüft",Programme_Grunddaten!T993&lt;&gt;""),IF(Programme_Grunddaten!T993="Ja",1,0),"")</f>
        <v/>
      </c>
      <c r="M988" s="1" t="str">
        <f>IF(AND(Programme_Grunddaten!$A993="Geprüft",Programme_Grunddaten!U993&lt;&gt;""),IF(Programme_Grunddaten!U993="Ja",1,0),"")</f>
        <v/>
      </c>
      <c r="N988" s="1" t="str">
        <f>IF(AND(Programme_Grunddaten!$A993="Geprüft",Programme_Grunddaten!V993&lt;&gt;""),IF(Programme_Grunddaten!V993="Ja",1,0),"")</f>
        <v/>
      </c>
      <c r="O988" s="1" t="str">
        <f>IF(AND(Programme_Grunddaten!$A993="Geprüft",Programme_Grunddaten!W993&lt;&gt;""),IF(Programme_Grunddaten!W993="Ja",1,0),"")</f>
        <v/>
      </c>
      <c r="P988" s="1" t="str">
        <f>IF(AND(Programme_Grunddaten!$A993="Geprüft",Programme_Grunddaten!X993&lt;&gt;""),IF(Programme_Grunddaten!X993="Ja",1,0),"")</f>
        <v/>
      </c>
      <c r="Q988" s="1" t="str">
        <f>IF(AND(Programme_Grunddaten!$A993="Geprüft",Programme_Grunddaten!Y993&lt;&gt;""),IF(Programme_Grunddaten!Y993="Ja",1,0),"")</f>
        <v/>
      </c>
      <c r="R988" s="1" t="str">
        <f>IF(AND(Programme_Grunddaten!$A993="Geprüft",Programme_Grunddaten!Z993&lt;&gt;""),IF(Programme_Grunddaten!Z993="Ja",1,0),"")</f>
        <v/>
      </c>
      <c r="S988" s="1" t="str">
        <f>IF(AND(Programme_Grunddaten!$A993="Geprüft",Programme_Grunddaten!AA993&lt;&gt;""),IF(Programme_Grunddaten!AA993="monolithisch",1,0),"")</f>
        <v/>
      </c>
      <c r="T988" s="1" t="str">
        <f>IF(AND(Programme_Grunddaten!$A993="Geprüft",Programme_Grunddaten!AB993&lt;&gt;""),IF(Programme_Grunddaten!AB993="Ja",1,0),"")</f>
        <v/>
      </c>
      <c r="U988" s="1" t="str">
        <f>IF(AND(Programme_Grunddaten!$A993="Geprüft",Programme_Grunddaten!AC993&lt;&gt;""),IF(Programme_Grunddaten!AC993="Ja",1,0),"")</f>
        <v/>
      </c>
      <c r="V988" s="1" t="str">
        <f>IF(AND(Programme_Grunddaten!$A993="Geprüft",Programme_Grunddaten!AD993&lt;&gt;""),IF(Programme_Grunddaten!AD993="Ja",1,0),"")</f>
        <v/>
      </c>
      <c r="W988" s="1" t="str">
        <f>IF(AND(Programme_Grunddaten!$A993="Geprüft",Programme_Grunddaten!AE993&lt;&gt;""),IF(Programme_Grunddaten!AE993="Ja",1,0),"")</f>
        <v/>
      </c>
      <c r="X988" s="1" t="str">
        <f>IF(AND(Programme_Grunddaten!$A993="Geprüft",Programme_Grunddaten!AF993&lt;&gt;""),IF(Programme_Grunddaten!AF993="Ja",1,0),"")</f>
        <v/>
      </c>
      <c r="Y988" s="1" t="str">
        <f>IF(AND(Programme_Grunddaten!$A993="Geprüft",Programme_Grunddaten!AG993&lt;&gt;""),IF(Programme_Grunddaten!AG993="Ja",1,0),"")</f>
        <v/>
      </c>
      <c r="Z988" s="1" t="str">
        <f>IF(AND(Programme_Grunddaten!$A993="Geprüft",Programme_Grunddaten!AH993&lt;&gt;""),IF(Programme_Grunddaten!AH993="Ja",1,0),"")</f>
        <v/>
      </c>
      <c r="AA988" s="1" t="str">
        <f>IF(AND(Programme_Grunddaten!$A993="Geprüft",Programme_Grunddaten!AI993&lt;&gt;""),IF(Programme_Grunddaten!AI993="Ja",1,0),"")</f>
        <v/>
      </c>
      <c r="AB988" s="1" t="str">
        <f>IF(AND(Programme_Grunddaten!$A993="Geprüft",Programme_Grunddaten!AJ993&lt;&gt;""),IF(Programme_Grunddaten!AJ993="individuell programmierbar",1,0),"")</f>
        <v/>
      </c>
      <c r="AC988" s="1" t="str">
        <f>IF(AND(Programme_Grunddaten!$A993="Geprüft",Programme_Grunddaten!AK993&lt;&gt;""),IF(Programme_Grunddaten!AK993="Deutsch",0,IF(Programme_Grunddaten!AK993="Deutsch und Englisch",1,2)),"")</f>
        <v/>
      </c>
      <c r="AD988" s="1" t="str">
        <f>IF(AND(Programme_Grunddaten!$A993="Geprüft",Programme_Grunddaten!AL993&lt;&gt;""),IF(Programme_Grunddaten!AL993="Ja",1,0),"")</f>
        <v/>
      </c>
      <c r="AE988" s="1" t="str">
        <f>IF(AND(Programme_Grunddaten!$A993="Geprüft",Programme_Grunddaten!AM993&lt;&gt;""),IF(Programme_Grunddaten!AM993="Ja",1,0),"")</f>
        <v/>
      </c>
      <c r="AF988" s="1" t="str">
        <f>IF(AND(Programme_Grunddaten!$A993="Geprüft",Programme_Grunddaten!AN993&lt;&gt;""),IF(Programme_Grunddaten!AN993="Ja",1,0),"")</f>
        <v/>
      </c>
      <c r="AG988" s="1" t="str">
        <f>IF(AND(Programme_Grunddaten!$A993="Geprüft",Programme_Grunddaten!AO993&lt;&gt;""),IF(Programme_Grunddaten!AO993="Ja",1,0),"")</f>
        <v/>
      </c>
      <c r="AH988" s="1" t="str">
        <f>IF(AND(Programme_Grunddaten!$A993="Geprüft",Programme_Grunddaten!AP993&lt;&gt;""),IF(Programme_Grunddaten!AP993="Ja",1,0),"")</f>
        <v/>
      </c>
      <c r="AI988" s="1" t="str">
        <f>IF(AND(Programme_Grunddaten!$A993="Geprüft",Programme_Grunddaten!AQ993&lt;&gt;""),IF(Programme_Grunddaten!AQ993="Ja",1,0),"")</f>
        <v/>
      </c>
      <c r="AJ988" s="1" t="str">
        <f>IF(AND(Programme_Grunddaten!$A993="Geprüft",Programme_Grunddaten!AR993&lt;&gt;""),IF(Programme_Grunddaten!AR993="Ja",1,0),"")</f>
        <v/>
      </c>
      <c r="AK988" s="1" t="str">
        <f>IF(AND(Programme_Grunddaten!$A993="Geprüft",Programme_Grunddaten!AS993&lt;&gt;""),IF(Programme_Grunddaten!AS993="Ja",1,0),"")</f>
        <v/>
      </c>
      <c r="AL988" s="1" t="str">
        <f>IF(AND(Programme_Grunddaten!$A993="Geprüft",Programme_Grunddaten!AT993&lt;&gt;""),IF(Programme_Grunddaten!AT993="Ja",1,0),"")</f>
        <v/>
      </c>
      <c r="AM988" s="1" t="str">
        <f>IF(AND(Programme_Grunddaten!$A993="Geprüft",Programme_Grunddaten!AU993&lt;&gt;""),IF(Programme_Grunddaten!AU993="Ja",1,0),"")</f>
        <v/>
      </c>
      <c r="AN988" s="1" t="str">
        <f>IF(AND(Programme_Grunddaten!$A993="Geprüft",Programme_Grunddaten!AV993&lt;&gt;""),IF(Programme_Grunddaten!AV993="Ja",1,0),"")</f>
        <v/>
      </c>
    </row>
    <row r="989" spans="1:40" x14ac:dyDescent="0.3">
      <c r="A989" s="1" t="str">
        <f>IF(AND(Programme_Grunddaten!A994="Geprüft",Programme_Grunddaten!B994&lt;&gt;""),Programme_Grunddaten!B994,"")</f>
        <v/>
      </c>
      <c r="B989" s="1" t="str">
        <f>IF(AND(Programme_Grunddaten!$A994="Geprüft",Programme_Grunddaten!I994&lt;&gt;""),IF(Programme_Grunddaten!I994="Ja",1,0),"")</f>
        <v/>
      </c>
      <c r="C989" s="1" t="str">
        <f>IF(AND(Programme_Grunddaten!$A994="Geprüft",Programme_Grunddaten!J994&lt;&gt;""),IF(Programme_Grunddaten!J994="Ja",1,0),"")</f>
        <v/>
      </c>
      <c r="D989" s="1" t="str">
        <f>IF(AND(Programme_Grunddaten!$A994="Geprüft",Programme_Grunddaten!K994&lt;&gt;""),IF(Programme_Grunddaten!K994="Ja",1,0),"")</f>
        <v/>
      </c>
      <c r="E989" s="1" t="str">
        <f>IF(AND(Programme_Grunddaten!$A994="Geprüft",Programme_Grunddaten!L994&lt;&gt;""),IF(Programme_Grunddaten!L994="Abo / befristete Lizenz",1,0),"")</f>
        <v/>
      </c>
      <c r="F989" s="1" t="str">
        <f>IF(AND(Programme_Grunddaten!$A994="Geprüft",Programme_Grunddaten!M994&lt;&gt;""),IF(Programme_Grunddaten!M994="Ja",1,0),"")</f>
        <v/>
      </c>
      <c r="G989" s="1" t="str">
        <f>IF(AND(Programme_Grunddaten!$A994="Geprüft",Programme_Grunddaten!N994&lt;&gt;""),IF(Programme_Grunddaten!N994="Ja",1,0),"")</f>
        <v/>
      </c>
      <c r="H989" s="1" t="str">
        <f>IF(AND(Programme_Grunddaten!$A994="Geprüft",Programme_Grunddaten!O994&lt;&gt;""),IF(Programme_Grunddaten!O994="Deutschland",0,IF(Programme_Grunddaten!O994="EU",1,2)),"")</f>
        <v/>
      </c>
      <c r="I989" s="1" t="str">
        <f>IF(AND(Programme_Grunddaten!$A994="Geprüft",Programme_Grunddaten!P994&lt;&gt;""),IF(Programme_Grunddaten!P994="Ja",1,0),"")</f>
        <v/>
      </c>
      <c r="J989" s="1" t="str">
        <f>IF(AND(Programme_Grunddaten!$A994="Geprüft",Programme_Grunddaten!Q994&lt;&gt;""),IF(Programme_Grunddaten!Q994="geschlossenes System",1,0),"")</f>
        <v/>
      </c>
      <c r="K989" s="1" t="str">
        <f>IF(AND(Programme_Grunddaten!$A994="Geprüft",Programme_Grunddaten!R994&lt;&gt;""),IF(Programme_Grunddaten!R994="Ja",1,0),"")</f>
        <v/>
      </c>
      <c r="L989" s="1" t="str">
        <f>IF(AND(Programme_Grunddaten!$A994="Geprüft",Programme_Grunddaten!T994&lt;&gt;""),IF(Programme_Grunddaten!T994="Ja",1,0),"")</f>
        <v/>
      </c>
      <c r="M989" s="1" t="str">
        <f>IF(AND(Programme_Grunddaten!$A994="Geprüft",Programme_Grunddaten!U994&lt;&gt;""),IF(Programme_Grunddaten!U994="Ja",1,0),"")</f>
        <v/>
      </c>
      <c r="N989" s="1" t="str">
        <f>IF(AND(Programme_Grunddaten!$A994="Geprüft",Programme_Grunddaten!V994&lt;&gt;""),IF(Programme_Grunddaten!V994="Ja",1,0),"")</f>
        <v/>
      </c>
      <c r="O989" s="1" t="str">
        <f>IF(AND(Programme_Grunddaten!$A994="Geprüft",Programme_Grunddaten!W994&lt;&gt;""),IF(Programme_Grunddaten!W994="Ja",1,0),"")</f>
        <v/>
      </c>
      <c r="P989" s="1" t="str">
        <f>IF(AND(Programme_Grunddaten!$A994="Geprüft",Programme_Grunddaten!X994&lt;&gt;""),IF(Programme_Grunddaten!X994="Ja",1,0),"")</f>
        <v/>
      </c>
      <c r="Q989" s="1" t="str">
        <f>IF(AND(Programme_Grunddaten!$A994="Geprüft",Programme_Grunddaten!Y994&lt;&gt;""),IF(Programme_Grunddaten!Y994="Ja",1,0),"")</f>
        <v/>
      </c>
      <c r="R989" s="1" t="str">
        <f>IF(AND(Programme_Grunddaten!$A994="Geprüft",Programme_Grunddaten!Z994&lt;&gt;""),IF(Programme_Grunddaten!Z994="Ja",1,0),"")</f>
        <v/>
      </c>
      <c r="S989" s="1" t="str">
        <f>IF(AND(Programme_Grunddaten!$A994="Geprüft",Programme_Grunddaten!AA994&lt;&gt;""),IF(Programme_Grunddaten!AA994="monolithisch",1,0),"")</f>
        <v/>
      </c>
      <c r="T989" s="1" t="str">
        <f>IF(AND(Programme_Grunddaten!$A994="Geprüft",Programme_Grunddaten!AB994&lt;&gt;""),IF(Programme_Grunddaten!AB994="Ja",1,0),"")</f>
        <v/>
      </c>
      <c r="U989" s="1" t="str">
        <f>IF(AND(Programme_Grunddaten!$A994="Geprüft",Programme_Grunddaten!AC994&lt;&gt;""),IF(Programme_Grunddaten!AC994="Ja",1,0),"")</f>
        <v/>
      </c>
      <c r="V989" s="1" t="str">
        <f>IF(AND(Programme_Grunddaten!$A994="Geprüft",Programme_Grunddaten!AD994&lt;&gt;""),IF(Programme_Grunddaten!AD994="Ja",1,0),"")</f>
        <v/>
      </c>
      <c r="W989" s="1" t="str">
        <f>IF(AND(Programme_Grunddaten!$A994="Geprüft",Programme_Grunddaten!AE994&lt;&gt;""),IF(Programme_Grunddaten!AE994="Ja",1,0),"")</f>
        <v/>
      </c>
      <c r="X989" s="1" t="str">
        <f>IF(AND(Programme_Grunddaten!$A994="Geprüft",Programme_Grunddaten!AF994&lt;&gt;""),IF(Programme_Grunddaten!AF994="Ja",1,0),"")</f>
        <v/>
      </c>
      <c r="Y989" s="1" t="str">
        <f>IF(AND(Programme_Grunddaten!$A994="Geprüft",Programme_Grunddaten!AG994&lt;&gt;""),IF(Programme_Grunddaten!AG994="Ja",1,0),"")</f>
        <v/>
      </c>
      <c r="Z989" s="1" t="str">
        <f>IF(AND(Programme_Grunddaten!$A994="Geprüft",Programme_Grunddaten!AH994&lt;&gt;""),IF(Programme_Grunddaten!AH994="Ja",1,0),"")</f>
        <v/>
      </c>
      <c r="AA989" s="1" t="str">
        <f>IF(AND(Programme_Grunddaten!$A994="Geprüft",Programme_Grunddaten!AI994&lt;&gt;""),IF(Programme_Grunddaten!AI994="Ja",1,0),"")</f>
        <v/>
      </c>
      <c r="AB989" s="1" t="str">
        <f>IF(AND(Programme_Grunddaten!$A994="Geprüft",Programme_Grunddaten!AJ994&lt;&gt;""),IF(Programme_Grunddaten!AJ994="individuell programmierbar",1,0),"")</f>
        <v/>
      </c>
      <c r="AC989" s="1" t="str">
        <f>IF(AND(Programme_Grunddaten!$A994="Geprüft",Programme_Grunddaten!AK994&lt;&gt;""),IF(Programme_Grunddaten!AK994="Deutsch",0,IF(Programme_Grunddaten!AK994="Deutsch und Englisch",1,2)),"")</f>
        <v/>
      </c>
      <c r="AD989" s="1" t="str">
        <f>IF(AND(Programme_Grunddaten!$A994="Geprüft",Programme_Grunddaten!AL994&lt;&gt;""),IF(Programme_Grunddaten!AL994="Ja",1,0),"")</f>
        <v/>
      </c>
      <c r="AE989" s="1" t="str">
        <f>IF(AND(Programme_Grunddaten!$A994="Geprüft",Programme_Grunddaten!AM994&lt;&gt;""),IF(Programme_Grunddaten!AM994="Ja",1,0),"")</f>
        <v/>
      </c>
      <c r="AF989" s="1" t="str">
        <f>IF(AND(Programme_Grunddaten!$A994="Geprüft",Programme_Grunddaten!AN994&lt;&gt;""),IF(Programme_Grunddaten!AN994="Ja",1,0),"")</f>
        <v/>
      </c>
      <c r="AG989" s="1" t="str">
        <f>IF(AND(Programme_Grunddaten!$A994="Geprüft",Programme_Grunddaten!AO994&lt;&gt;""),IF(Programme_Grunddaten!AO994="Ja",1,0),"")</f>
        <v/>
      </c>
      <c r="AH989" s="1" t="str">
        <f>IF(AND(Programme_Grunddaten!$A994="Geprüft",Programme_Grunddaten!AP994&lt;&gt;""),IF(Programme_Grunddaten!AP994="Ja",1,0),"")</f>
        <v/>
      </c>
      <c r="AI989" s="1" t="str">
        <f>IF(AND(Programme_Grunddaten!$A994="Geprüft",Programme_Grunddaten!AQ994&lt;&gt;""),IF(Programme_Grunddaten!AQ994="Ja",1,0),"")</f>
        <v/>
      </c>
      <c r="AJ989" s="1" t="str">
        <f>IF(AND(Programme_Grunddaten!$A994="Geprüft",Programme_Grunddaten!AR994&lt;&gt;""),IF(Programme_Grunddaten!AR994="Ja",1,0),"")</f>
        <v/>
      </c>
      <c r="AK989" s="1" t="str">
        <f>IF(AND(Programme_Grunddaten!$A994="Geprüft",Programme_Grunddaten!AS994&lt;&gt;""),IF(Programme_Grunddaten!AS994="Ja",1,0),"")</f>
        <v/>
      </c>
      <c r="AL989" s="1" t="str">
        <f>IF(AND(Programme_Grunddaten!$A994="Geprüft",Programme_Grunddaten!AT994&lt;&gt;""),IF(Programme_Grunddaten!AT994="Ja",1,0),"")</f>
        <v/>
      </c>
      <c r="AM989" s="1" t="str">
        <f>IF(AND(Programme_Grunddaten!$A994="Geprüft",Programme_Grunddaten!AU994&lt;&gt;""),IF(Programme_Grunddaten!AU994="Ja",1,0),"")</f>
        <v/>
      </c>
      <c r="AN989" s="1" t="str">
        <f>IF(AND(Programme_Grunddaten!$A994="Geprüft",Programme_Grunddaten!AV994&lt;&gt;""),IF(Programme_Grunddaten!AV994="Ja",1,0),"")</f>
        <v/>
      </c>
    </row>
    <row r="990" spans="1:40" x14ac:dyDescent="0.3">
      <c r="A990" s="1" t="str">
        <f>IF(AND(Programme_Grunddaten!A995="Geprüft",Programme_Grunddaten!B995&lt;&gt;""),Programme_Grunddaten!B995,"")</f>
        <v/>
      </c>
      <c r="B990" s="1" t="str">
        <f>IF(AND(Programme_Grunddaten!$A995="Geprüft",Programme_Grunddaten!I995&lt;&gt;""),IF(Programme_Grunddaten!I995="Ja",1,0),"")</f>
        <v/>
      </c>
      <c r="C990" s="1" t="str">
        <f>IF(AND(Programme_Grunddaten!$A995="Geprüft",Programme_Grunddaten!J995&lt;&gt;""),IF(Programme_Grunddaten!J995="Ja",1,0),"")</f>
        <v/>
      </c>
      <c r="D990" s="1" t="str">
        <f>IF(AND(Programme_Grunddaten!$A995="Geprüft",Programme_Grunddaten!K995&lt;&gt;""),IF(Programme_Grunddaten!K995="Ja",1,0),"")</f>
        <v/>
      </c>
      <c r="E990" s="1" t="str">
        <f>IF(AND(Programme_Grunddaten!$A995="Geprüft",Programme_Grunddaten!L995&lt;&gt;""),IF(Programme_Grunddaten!L995="Abo / befristete Lizenz",1,0),"")</f>
        <v/>
      </c>
      <c r="F990" s="1" t="str">
        <f>IF(AND(Programme_Grunddaten!$A995="Geprüft",Programme_Grunddaten!M995&lt;&gt;""),IF(Programme_Grunddaten!M995="Ja",1,0),"")</f>
        <v/>
      </c>
      <c r="G990" s="1" t="str">
        <f>IF(AND(Programme_Grunddaten!$A995="Geprüft",Programme_Grunddaten!N995&lt;&gt;""),IF(Programme_Grunddaten!N995="Ja",1,0),"")</f>
        <v/>
      </c>
      <c r="H990" s="1" t="str">
        <f>IF(AND(Programme_Grunddaten!$A995="Geprüft",Programme_Grunddaten!O995&lt;&gt;""),IF(Programme_Grunddaten!O995="Deutschland",0,IF(Programme_Grunddaten!O995="EU",1,2)),"")</f>
        <v/>
      </c>
      <c r="I990" s="1" t="str">
        <f>IF(AND(Programme_Grunddaten!$A995="Geprüft",Programme_Grunddaten!P995&lt;&gt;""),IF(Programme_Grunddaten!P995="Ja",1,0),"")</f>
        <v/>
      </c>
      <c r="J990" s="1" t="str">
        <f>IF(AND(Programme_Grunddaten!$A995="Geprüft",Programme_Grunddaten!Q995&lt;&gt;""),IF(Programme_Grunddaten!Q995="geschlossenes System",1,0),"")</f>
        <v/>
      </c>
      <c r="K990" s="1" t="str">
        <f>IF(AND(Programme_Grunddaten!$A995="Geprüft",Programme_Grunddaten!R995&lt;&gt;""),IF(Programme_Grunddaten!R995="Ja",1,0),"")</f>
        <v/>
      </c>
      <c r="L990" s="1" t="str">
        <f>IF(AND(Programme_Grunddaten!$A995="Geprüft",Programme_Grunddaten!T995&lt;&gt;""),IF(Programme_Grunddaten!T995="Ja",1,0),"")</f>
        <v/>
      </c>
      <c r="M990" s="1" t="str">
        <f>IF(AND(Programme_Grunddaten!$A995="Geprüft",Programme_Grunddaten!U995&lt;&gt;""),IF(Programme_Grunddaten!U995="Ja",1,0),"")</f>
        <v/>
      </c>
      <c r="N990" s="1" t="str">
        <f>IF(AND(Programme_Grunddaten!$A995="Geprüft",Programme_Grunddaten!V995&lt;&gt;""),IF(Programme_Grunddaten!V995="Ja",1,0),"")</f>
        <v/>
      </c>
      <c r="O990" s="1" t="str">
        <f>IF(AND(Programme_Grunddaten!$A995="Geprüft",Programme_Grunddaten!W995&lt;&gt;""),IF(Programme_Grunddaten!W995="Ja",1,0),"")</f>
        <v/>
      </c>
      <c r="P990" s="1" t="str">
        <f>IF(AND(Programme_Grunddaten!$A995="Geprüft",Programme_Grunddaten!X995&lt;&gt;""),IF(Programme_Grunddaten!X995="Ja",1,0),"")</f>
        <v/>
      </c>
      <c r="Q990" s="1" t="str">
        <f>IF(AND(Programme_Grunddaten!$A995="Geprüft",Programme_Grunddaten!Y995&lt;&gt;""),IF(Programme_Grunddaten!Y995="Ja",1,0),"")</f>
        <v/>
      </c>
      <c r="R990" s="1" t="str">
        <f>IF(AND(Programme_Grunddaten!$A995="Geprüft",Programme_Grunddaten!Z995&lt;&gt;""),IF(Programme_Grunddaten!Z995="Ja",1,0),"")</f>
        <v/>
      </c>
      <c r="S990" s="1" t="str">
        <f>IF(AND(Programme_Grunddaten!$A995="Geprüft",Programme_Grunddaten!AA995&lt;&gt;""),IF(Programme_Grunddaten!AA995="monolithisch",1,0),"")</f>
        <v/>
      </c>
      <c r="T990" s="1" t="str">
        <f>IF(AND(Programme_Grunddaten!$A995="Geprüft",Programme_Grunddaten!AB995&lt;&gt;""),IF(Programme_Grunddaten!AB995="Ja",1,0),"")</f>
        <v/>
      </c>
      <c r="U990" s="1" t="str">
        <f>IF(AND(Programme_Grunddaten!$A995="Geprüft",Programme_Grunddaten!AC995&lt;&gt;""),IF(Programme_Grunddaten!AC995="Ja",1,0),"")</f>
        <v/>
      </c>
      <c r="V990" s="1" t="str">
        <f>IF(AND(Programme_Grunddaten!$A995="Geprüft",Programme_Grunddaten!AD995&lt;&gt;""),IF(Programme_Grunddaten!AD995="Ja",1,0),"")</f>
        <v/>
      </c>
      <c r="W990" s="1" t="str">
        <f>IF(AND(Programme_Grunddaten!$A995="Geprüft",Programme_Grunddaten!AE995&lt;&gt;""),IF(Programme_Grunddaten!AE995="Ja",1,0),"")</f>
        <v/>
      </c>
      <c r="X990" s="1" t="str">
        <f>IF(AND(Programme_Grunddaten!$A995="Geprüft",Programme_Grunddaten!AF995&lt;&gt;""),IF(Programme_Grunddaten!AF995="Ja",1,0),"")</f>
        <v/>
      </c>
      <c r="Y990" s="1" t="str">
        <f>IF(AND(Programme_Grunddaten!$A995="Geprüft",Programme_Grunddaten!AG995&lt;&gt;""),IF(Programme_Grunddaten!AG995="Ja",1,0),"")</f>
        <v/>
      </c>
      <c r="Z990" s="1" t="str">
        <f>IF(AND(Programme_Grunddaten!$A995="Geprüft",Programme_Grunddaten!AH995&lt;&gt;""),IF(Programme_Grunddaten!AH995="Ja",1,0),"")</f>
        <v/>
      </c>
      <c r="AA990" s="1" t="str">
        <f>IF(AND(Programme_Grunddaten!$A995="Geprüft",Programme_Grunddaten!AI995&lt;&gt;""),IF(Programme_Grunddaten!AI995="Ja",1,0),"")</f>
        <v/>
      </c>
      <c r="AB990" s="1" t="str">
        <f>IF(AND(Programme_Grunddaten!$A995="Geprüft",Programme_Grunddaten!AJ995&lt;&gt;""),IF(Programme_Grunddaten!AJ995="individuell programmierbar",1,0),"")</f>
        <v/>
      </c>
      <c r="AC990" s="1" t="str">
        <f>IF(AND(Programme_Grunddaten!$A995="Geprüft",Programme_Grunddaten!AK995&lt;&gt;""),IF(Programme_Grunddaten!AK995="Deutsch",0,IF(Programme_Grunddaten!AK995="Deutsch und Englisch",1,2)),"")</f>
        <v/>
      </c>
      <c r="AD990" s="1" t="str">
        <f>IF(AND(Programme_Grunddaten!$A995="Geprüft",Programme_Grunddaten!AL995&lt;&gt;""),IF(Programme_Grunddaten!AL995="Ja",1,0),"")</f>
        <v/>
      </c>
      <c r="AE990" s="1" t="str">
        <f>IF(AND(Programme_Grunddaten!$A995="Geprüft",Programme_Grunddaten!AM995&lt;&gt;""),IF(Programme_Grunddaten!AM995="Ja",1,0),"")</f>
        <v/>
      </c>
      <c r="AF990" s="1" t="str">
        <f>IF(AND(Programme_Grunddaten!$A995="Geprüft",Programme_Grunddaten!AN995&lt;&gt;""),IF(Programme_Grunddaten!AN995="Ja",1,0),"")</f>
        <v/>
      </c>
      <c r="AG990" s="1" t="str">
        <f>IF(AND(Programme_Grunddaten!$A995="Geprüft",Programme_Grunddaten!AO995&lt;&gt;""),IF(Programme_Grunddaten!AO995="Ja",1,0),"")</f>
        <v/>
      </c>
      <c r="AH990" s="1" t="str">
        <f>IF(AND(Programme_Grunddaten!$A995="Geprüft",Programme_Grunddaten!AP995&lt;&gt;""),IF(Programme_Grunddaten!AP995="Ja",1,0),"")</f>
        <v/>
      </c>
      <c r="AI990" s="1" t="str">
        <f>IF(AND(Programme_Grunddaten!$A995="Geprüft",Programme_Grunddaten!AQ995&lt;&gt;""),IF(Programme_Grunddaten!AQ995="Ja",1,0),"")</f>
        <v/>
      </c>
      <c r="AJ990" s="1" t="str">
        <f>IF(AND(Programme_Grunddaten!$A995="Geprüft",Programme_Grunddaten!AR995&lt;&gt;""),IF(Programme_Grunddaten!AR995="Ja",1,0),"")</f>
        <v/>
      </c>
      <c r="AK990" s="1" t="str">
        <f>IF(AND(Programme_Grunddaten!$A995="Geprüft",Programme_Grunddaten!AS995&lt;&gt;""),IF(Programme_Grunddaten!AS995="Ja",1,0),"")</f>
        <v/>
      </c>
      <c r="AL990" s="1" t="str">
        <f>IF(AND(Programme_Grunddaten!$A995="Geprüft",Programme_Grunddaten!AT995&lt;&gt;""),IF(Programme_Grunddaten!AT995="Ja",1,0),"")</f>
        <v/>
      </c>
      <c r="AM990" s="1" t="str">
        <f>IF(AND(Programme_Grunddaten!$A995="Geprüft",Programme_Grunddaten!AU995&lt;&gt;""),IF(Programme_Grunddaten!AU995="Ja",1,0),"")</f>
        <v/>
      </c>
      <c r="AN990" s="1" t="str">
        <f>IF(AND(Programme_Grunddaten!$A995="Geprüft",Programme_Grunddaten!AV995&lt;&gt;""),IF(Programme_Grunddaten!AV995="Ja",1,0),"")</f>
        <v/>
      </c>
    </row>
    <row r="991" spans="1:40" x14ac:dyDescent="0.3">
      <c r="A991" s="1" t="str">
        <f>IF(AND(Programme_Grunddaten!A996="Geprüft",Programme_Grunddaten!B996&lt;&gt;""),Programme_Grunddaten!B996,"")</f>
        <v/>
      </c>
      <c r="B991" s="1" t="str">
        <f>IF(AND(Programme_Grunddaten!$A996="Geprüft",Programme_Grunddaten!I996&lt;&gt;""),IF(Programme_Grunddaten!I996="Ja",1,0),"")</f>
        <v/>
      </c>
      <c r="C991" s="1" t="str">
        <f>IF(AND(Programme_Grunddaten!$A996="Geprüft",Programme_Grunddaten!J996&lt;&gt;""),IF(Programme_Grunddaten!J996="Ja",1,0),"")</f>
        <v/>
      </c>
      <c r="D991" s="1" t="str">
        <f>IF(AND(Programme_Grunddaten!$A996="Geprüft",Programme_Grunddaten!K996&lt;&gt;""),IF(Programme_Grunddaten!K996="Ja",1,0),"")</f>
        <v/>
      </c>
      <c r="E991" s="1" t="str">
        <f>IF(AND(Programme_Grunddaten!$A996="Geprüft",Programme_Grunddaten!L996&lt;&gt;""),IF(Programme_Grunddaten!L996="Abo / befristete Lizenz",1,0),"")</f>
        <v/>
      </c>
      <c r="F991" s="1" t="str">
        <f>IF(AND(Programme_Grunddaten!$A996="Geprüft",Programme_Grunddaten!M996&lt;&gt;""),IF(Programme_Grunddaten!M996="Ja",1,0),"")</f>
        <v/>
      </c>
      <c r="G991" s="1" t="str">
        <f>IF(AND(Programme_Grunddaten!$A996="Geprüft",Programme_Grunddaten!N996&lt;&gt;""),IF(Programme_Grunddaten!N996="Ja",1,0),"")</f>
        <v/>
      </c>
      <c r="H991" s="1" t="str">
        <f>IF(AND(Programme_Grunddaten!$A996="Geprüft",Programme_Grunddaten!O996&lt;&gt;""),IF(Programme_Grunddaten!O996="Deutschland",0,IF(Programme_Grunddaten!O996="EU",1,2)),"")</f>
        <v/>
      </c>
      <c r="I991" s="1" t="str">
        <f>IF(AND(Programme_Grunddaten!$A996="Geprüft",Programme_Grunddaten!P996&lt;&gt;""),IF(Programme_Grunddaten!P996="Ja",1,0),"")</f>
        <v/>
      </c>
      <c r="J991" s="1" t="str">
        <f>IF(AND(Programme_Grunddaten!$A996="Geprüft",Programme_Grunddaten!Q996&lt;&gt;""),IF(Programme_Grunddaten!Q996="geschlossenes System",1,0),"")</f>
        <v/>
      </c>
      <c r="K991" s="1" t="str">
        <f>IF(AND(Programme_Grunddaten!$A996="Geprüft",Programme_Grunddaten!R996&lt;&gt;""),IF(Programme_Grunddaten!R996="Ja",1,0),"")</f>
        <v/>
      </c>
      <c r="L991" s="1" t="str">
        <f>IF(AND(Programme_Grunddaten!$A996="Geprüft",Programme_Grunddaten!T996&lt;&gt;""),IF(Programme_Grunddaten!T996="Ja",1,0),"")</f>
        <v/>
      </c>
      <c r="M991" s="1" t="str">
        <f>IF(AND(Programme_Grunddaten!$A996="Geprüft",Programme_Grunddaten!U996&lt;&gt;""),IF(Programme_Grunddaten!U996="Ja",1,0),"")</f>
        <v/>
      </c>
      <c r="N991" s="1" t="str">
        <f>IF(AND(Programme_Grunddaten!$A996="Geprüft",Programme_Grunddaten!V996&lt;&gt;""),IF(Programme_Grunddaten!V996="Ja",1,0),"")</f>
        <v/>
      </c>
      <c r="O991" s="1" t="str">
        <f>IF(AND(Programme_Grunddaten!$A996="Geprüft",Programme_Grunddaten!W996&lt;&gt;""),IF(Programme_Grunddaten!W996="Ja",1,0),"")</f>
        <v/>
      </c>
      <c r="P991" s="1" t="str">
        <f>IF(AND(Programme_Grunddaten!$A996="Geprüft",Programme_Grunddaten!X996&lt;&gt;""),IF(Programme_Grunddaten!X996="Ja",1,0),"")</f>
        <v/>
      </c>
      <c r="Q991" s="1" t="str">
        <f>IF(AND(Programme_Grunddaten!$A996="Geprüft",Programme_Grunddaten!Y996&lt;&gt;""),IF(Programme_Grunddaten!Y996="Ja",1,0),"")</f>
        <v/>
      </c>
      <c r="R991" s="1" t="str">
        <f>IF(AND(Programme_Grunddaten!$A996="Geprüft",Programme_Grunddaten!Z996&lt;&gt;""),IF(Programme_Grunddaten!Z996="Ja",1,0),"")</f>
        <v/>
      </c>
      <c r="S991" s="1" t="str">
        <f>IF(AND(Programme_Grunddaten!$A996="Geprüft",Programme_Grunddaten!AA996&lt;&gt;""),IF(Programme_Grunddaten!AA996="monolithisch",1,0),"")</f>
        <v/>
      </c>
      <c r="T991" s="1" t="str">
        <f>IF(AND(Programme_Grunddaten!$A996="Geprüft",Programme_Grunddaten!AB996&lt;&gt;""),IF(Programme_Grunddaten!AB996="Ja",1,0),"")</f>
        <v/>
      </c>
      <c r="U991" s="1" t="str">
        <f>IF(AND(Programme_Grunddaten!$A996="Geprüft",Programme_Grunddaten!AC996&lt;&gt;""),IF(Programme_Grunddaten!AC996="Ja",1,0),"")</f>
        <v/>
      </c>
      <c r="V991" s="1" t="str">
        <f>IF(AND(Programme_Grunddaten!$A996="Geprüft",Programme_Grunddaten!AD996&lt;&gt;""),IF(Programme_Grunddaten!AD996="Ja",1,0),"")</f>
        <v/>
      </c>
      <c r="W991" s="1" t="str">
        <f>IF(AND(Programme_Grunddaten!$A996="Geprüft",Programme_Grunddaten!AE996&lt;&gt;""),IF(Programme_Grunddaten!AE996="Ja",1,0),"")</f>
        <v/>
      </c>
      <c r="X991" s="1" t="str">
        <f>IF(AND(Programme_Grunddaten!$A996="Geprüft",Programme_Grunddaten!AF996&lt;&gt;""),IF(Programme_Grunddaten!AF996="Ja",1,0),"")</f>
        <v/>
      </c>
      <c r="Y991" s="1" t="str">
        <f>IF(AND(Programme_Grunddaten!$A996="Geprüft",Programme_Grunddaten!AG996&lt;&gt;""),IF(Programme_Grunddaten!AG996="Ja",1,0),"")</f>
        <v/>
      </c>
      <c r="Z991" s="1" t="str">
        <f>IF(AND(Programme_Grunddaten!$A996="Geprüft",Programme_Grunddaten!AH996&lt;&gt;""),IF(Programme_Grunddaten!AH996="Ja",1,0),"")</f>
        <v/>
      </c>
      <c r="AA991" s="1" t="str">
        <f>IF(AND(Programme_Grunddaten!$A996="Geprüft",Programme_Grunddaten!AI996&lt;&gt;""),IF(Programme_Grunddaten!AI996="Ja",1,0),"")</f>
        <v/>
      </c>
      <c r="AB991" s="1" t="str">
        <f>IF(AND(Programme_Grunddaten!$A996="Geprüft",Programme_Grunddaten!AJ996&lt;&gt;""),IF(Programme_Grunddaten!AJ996="individuell programmierbar",1,0),"")</f>
        <v/>
      </c>
      <c r="AC991" s="1" t="str">
        <f>IF(AND(Programme_Grunddaten!$A996="Geprüft",Programme_Grunddaten!AK996&lt;&gt;""),IF(Programme_Grunddaten!AK996="Deutsch",0,IF(Programme_Grunddaten!AK996="Deutsch und Englisch",1,2)),"")</f>
        <v/>
      </c>
      <c r="AD991" s="1" t="str">
        <f>IF(AND(Programme_Grunddaten!$A996="Geprüft",Programme_Grunddaten!AL996&lt;&gt;""),IF(Programme_Grunddaten!AL996="Ja",1,0),"")</f>
        <v/>
      </c>
      <c r="AE991" s="1" t="str">
        <f>IF(AND(Programme_Grunddaten!$A996="Geprüft",Programme_Grunddaten!AM996&lt;&gt;""),IF(Programme_Grunddaten!AM996="Ja",1,0),"")</f>
        <v/>
      </c>
      <c r="AF991" s="1" t="str">
        <f>IF(AND(Programme_Grunddaten!$A996="Geprüft",Programme_Grunddaten!AN996&lt;&gt;""),IF(Programme_Grunddaten!AN996="Ja",1,0),"")</f>
        <v/>
      </c>
      <c r="AG991" s="1" t="str">
        <f>IF(AND(Programme_Grunddaten!$A996="Geprüft",Programme_Grunddaten!AO996&lt;&gt;""),IF(Programme_Grunddaten!AO996="Ja",1,0),"")</f>
        <v/>
      </c>
      <c r="AH991" s="1" t="str">
        <f>IF(AND(Programme_Grunddaten!$A996="Geprüft",Programme_Grunddaten!AP996&lt;&gt;""),IF(Programme_Grunddaten!AP996="Ja",1,0),"")</f>
        <v/>
      </c>
      <c r="AI991" s="1" t="str">
        <f>IF(AND(Programme_Grunddaten!$A996="Geprüft",Programme_Grunddaten!AQ996&lt;&gt;""),IF(Programme_Grunddaten!AQ996="Ja",1,0),"")</f>
        <v/>
      </c>
      <c r="AJ991" s="1" t="str">
        <f>IF(AND(Programme_Grunddaten!$A996="Geprüft",Programme_Grunddaten!AR996&lt;&gt;""),IF(Programme_Grunddaten!AR996="Ja",1,0),"")</f>
        <v/>
      </c>
      <c r="AK991" s="1" t="str">
        <f>IF(AND(Programme_Grunddaten!$A996="Geprüft",Programme_Grunddaten!AS996&lt;&gt;""),IF(Programme_Grunddaten!AS996="Ja",1,0),"")</f>
        <v/>
      </c>
      <c r="AL991" s="1" t="str">
        <f>IF(AND(Programme_Grunddaten!$A996="Geprüft",Programme_Grunddaten!AT996&lt;&gt;""),IF(Programme_Grunddaten!AT996="Ja",1,0),"")</f>
        <v/>
      </c>
      <c r="AM991" s="1" t="str">
        <f>IF(AND(Programme_Grunddaten!$A996="Geprüft",Programme_Grunddaten!AU996&lt;&gt;""),IF(Programme_Grunddaten!AU996="Ja",1,0),"")</f>
        <v/>
      </c>
      <c r="AN991" s="1" t="str">
        <f>IF(AND(Programme_Grunddaten!$A996="Geprüft",Programme_Grunddaten!AV996&lt;&gt;""),IF(Programme_Grunddaten!AV996="Ja",1,0),"")</f>
        <v/>
      </c>
    </row>
    <row r="992" spans="1:40" x14ac:dyDescent="0.3">
      <c r="A992" s="1" t="str">
        <f>IF(AND(Programme_Grunddaten!A997="Geprüft",Programme_Grunddaten!B997&lt;&gt;""),Programme_Grunddaten!B997,"")</f>
        <v/>
      </c>
      <c r="B992" s="1" t="str">
        <f>IF(AND(Programme_Grunddaten!$A997="Geprüft",Programme_Grunddaten!I997&lt;&gt;""),IF(Programme_Grunddaten!I997="Ja",1,0),"")</f>
        <v/>
      </c>
      <c r="C992" s="1" t="str">
        <f>IF(AND(Programme_Grunddaten!$A997="Geprüft",Programme_Grunddaten!J997&lt;&gt;""),IF(Programme_Grunddaten!J997="Ja",1,0),"")</f>
        <v/>
      </c>
      <c r="D992" s="1" t="str">
        <f>IF(AND(Programme_Grunddaten!$A997="Geprüft",Programme_Grunddaten!K997&lt;&gt;""),IF(Programme_Grunddaten!K997="Ja",1,0),"")</f>
        <v/>
      </c>
      <c r="E992" s="1" t="str">
        <f>IF(AND(Programme_Grunddaten!$A997="Geprüft",Programme_Grunddaten!L997&lt;&gt;""),IF(Programme_Grunddaten!L997="Abo / befristete Lizenz",1,0),"")</f>
        <v/>
      </c>
      <c r="F992" s="1" t="str">
        <f>IF(AND(Programme_Grunddaten!$A997="Geprüft",Programme_Grunddaten!M997&lt;&gt;""),IF(Programme_Grunddaten!M997="Ja",1,0),"")</f>
        <v/>
      </c>
      <c r="G992" s="1" t="str">
        <f>IF(AND(Programme_Grunddaten!$A997="Geprüft",Programme_Grunddaten!N997&lt;&gt;""),IF(Programme_Grunddaten!N997="Ja",1,0),"")</f>
        <v/>
      </c>
      <c r="H992" s="1" t="str">
        <f>IF(AND(Programme_Grunddaten!$A997="Geprüft",Programme_Grunddaten!O997&lt;&gt;""),IF(Programme_Grunddaten!O997="Deutschland",0,IF(Programme_Grunddaten!O997="EU",1,2)),"")</f>
        <v/>
      </c>
      <c r="I992" s="1" t="str">
        <f>IF(AND(Programme_Grunddaten!$A997="Geprüft",Programme_Grunddaten!P997&lt;&gt;""),IF(Programme_Grunddaten!P997="Ja",1,0),"")</f>
        <v/>
      </c>
      <c r="J992" s="1" t="str">
        <f>IF(AND(Programme_Grunddaten!$A997="Geprüft",Programme_Grunddaten!Q997&lt;&gt;""),IF(Programme_Grunddaten!Q997="geschlossenes System",1,0),"")</f>
        <v/>
      </c>
      <c r="K992" s="1" t="str">
        <f>IF(AND(Programme_Grunddaten!$A997="Geprüft",Programme_Grunddaten!R997&lt;&gt;""),IF(Programme_Grunddaten!R997="Ja",1,0),"")</f>
        <v/>
      </c>
      <c r="L992" s="1" t="str">
        <f>IF(AND(Programme_Grunddaten!$A997="Geprüft",Programme_Grunddaten!T997&lt;&gt;""),IF(Programme_Grunddaten!T997="Ja",1,0),"")</f>
        <v/>
      </c>
      <c r="M992" s="1" t="str">
        <f>IF(AND(Programme_Grunddaten!$A997="Geprüft",Programme_Grunddaten!U997&lt;&gt;""),IF(Programme_Grunddaten!U997="Ja",1,0),"")</f>
        <v/>
      </c>
      <c r="N992" s="1" t="str">
        <f>IF(AND(Programme_Grunddaten!$A997="Geprüft",Programme_Grunddaten!V997&lt;&gt;""),IF(Programme_Grunddaten!V997="Ja",1,0),"")</f>
        <v/>
      </c>
      <c r="O992" s="1" t="str">
        <f>IF(AND(Programme_Grunddaten!$A997="Geprüft",Programme_Grunddaten!W997&lt;&gt;""),IF(Programme_Grunddaten!W997="Ja",1,0),"")</f>
        <v/>
      </c>
      <c r="P992" s="1" t="str">
        <f>IF(AND(Programme_Grunddaten!$A997="Geprüft",Programme_Grunddaten!X997&lt;&gt;""),IF(Programme_Grunddaten!X997="Ja",1,0),"")</f>
        <v/>
      </c>
      <c r="Q992" s="1" t="str">
        <f>IF(AND(Programme_Grunddaten!$A997="Geprüft",Programme_Grunddaten!Y997&lt;&gt;""),IF(Programme_Grunddaten!Y997="Ja",1,0),"")</f>
        <v/>
      </c>
      <c r="R992" s="1" t="str">
        <f>IF(AND(Programme_Grunddaten!$A997="Geprüft",Programme_Grunddaten!Z997&lt;&gt;""),IF(Programme_Grunddaten!Z997="Ja",1,0),"")</f>
        <v/>
      </c>
      <c r="S992" s="1" t="str">
        <f>IF(AND(Programme_Grunddaten!$A997="Geprüft",Programme_Grunddaten!AA997&lt;&gt;""),IF(Programme_Grunddaten!AA997="monolithisch",1,0),"")</f>
        <v/>
      </c>
      <c r="T992" s="1" t="str">
        <f>IF(AND(Programme_Grunddaten!$A997="Geprüft",Programme_Grunddaten!AB997&lt;&gt;""),IF(Programme_Grunddaten!AB997="Ja",1,0),"")</f>
        <v/>
      </c>
      <c r="U992" s="1" t="str">
        <f>IF(AND(Programme_Grunddaten!$A997="Geprüft",Programme_Grunddaten!AC997&lt;&gt;""),IF(Programme_Grunddaten!AC997="Ja",1,0),"")</f>
        <v/>
      </c>
      <c r="V992" s="1" t="str">
        <f>IF(AND(Programme_Grunddaten!$A997="Geprüft",Programme_Grunddaten!AD997&lt;&gt;""),IF(Programme_Grunddaten!AD997="Ja",1,0),"")</f>
        <v/>
      </c>
      <c r="W992" s="1" t="str">
        <f>IF(AND(Programme_Grunddaten!$A997="Geprüft",Programme_Grunddaten!AE997&lt;&gt;""),IF(Programme_Grunddaten!AE997="Ja",1,0),"")</f>
        <v/>
      </c>
      <c r="X992" s="1" t="str">
        <f>IF(AND(Programme_Grunddaten!$A997="Geprüft",Programme_Grunddaten!AF997&lt;&gt;""),IF(Programme_Grunddaten!AF997="Ja",1,0),"")</f>
        <v/>
      </c>
      <c r="Y992" s="1" t="str">
        <f>IF(AND(Programme_Grunddaten!$A997="Geprüft",Programme_Grunddaten!AG997&lt;&gt;""),IF(Programme_Grunddaten!AG997="Ja",1,0),"")</f>
        <v/>
      </c>
      <c r="Z992" s="1" t="str">
        <f>IF(AND(Programme_Grunddaten!$A997="Geprüft",Programme_Grunddaten!AH997&lt;&gt;""),IF(Programme_Grunddaten!AH997="Ja",1,0),"")</f>
        <v/>
      </c>
      <c r="AA992" s="1" t="str">
        <f>IF(AND(Programme_Grunddaten!$A997="Geprüft",Programme_Grunddaten!AI997&lt;&gt;""),IF(Programme_Grunddaten!AI997="Ja",1,0),"")</f>
        <v/>
      </c>
      <c r="AB992" s="1" t="str">
        <f>IF(AND(Programme_Grunddaten!$A997="Geprüft",Programme_Grunddaten!AJ997&lt;&gt;""),IF(Programme_Grunddaten!AJ997="individuell programmierbar",1,0),"")</f>
        <v/>
      </c>
      <c r="AC992" s="1" t="str">
        <f>IF(AND(Programme_Grunddaten!$A997="Geprüft",Programme_Grunddaten!AK997&lt;&gt;""),IF(Programme_Grunddaten!AK997="Deutsch",0,IF(Programme_Grunddaten!AK997="Deutsch und Englisch",1,2)),"")</f>
        <v/>
      </c>
      <c r="AD992" s="1" t="str">
        <f>IF(AND(Programme_Grunddaten!$A997="Geprüft",Programme_Grunddaten!AL997&lt;&gt;""),IF(Programme_Grunddaten!AL997="Ja",1,0),"")</f>
        <v/>
      </c>
      <c r="AE992" s="1" t="str">
        <f>IF(AND(Programme_Grunddaten!$A997="Geprüft",Programme_Grunddaten!AM997&lt;&gt;""),IF(Programme_Grunddaten!AM997="Ja",1,0),"")</f>
        <v/>
      </c>
      <c r="AF992" s="1" t="str">
        <f>IF(AND(Programme_Grunddaten!$A997="Geprüft",Programme_Grunddaten!AN997&lt;&gt;""),IF(Programme_Grunddaten!AN997="Ja",1,0),"")</f>
        <v/>
      </c>
      <c r="AG992" s="1" t="str">
        <f>IF(AND(Programme_Grunddaten!$A997="Geprüft",Programme_Grunddaten!AO997&lt;&gt;""),IF(Programme_Grunddaten!AO997="Ja",1,0),"")</f>
        <v/>
      </c>
      <c r="AH992" s="1" t="str">
        <f>IF(AND(Programme_Grunddaten!$A997="Geprüft",Programme_Grunddaten!AP997&lt;&gt;""),IF(Programme_Grunddaten!AP997="Ja",1,0),"")</f>
        <v/>
      </c>
      <c r="AI992" s="1" t="str">
        <f>IF(AND(Programme_Grunddaten!$A997="Geprüft",Programme_Grunddaten!AQ997&lt;&gt;""),IF(Programme_Grunddaten!AQ997="Ja",1,0),"")</f>
        <v/>
      </c>
      <c r="AJ992" s="1" t="str">
        <f>IF(AND(Programme_Grunddaten!$A997="Geprüft",Programme_Grunddaten!AR997&lt;&gt;""),IF(Programme_Grunddaten!AR997="Ja",1,0),"")</f>
        <v/>
      </c>
      <c r="AK992" s="1" t="str">
        <f>IF(AND(Programme_Grunddaten!$A997="Geprüft",Programme_Grunddaten!AS997&lt;&gt;""),IF(Programme_Grunddaten!AS997="Ja",1,0),"")</f>
        <v/>
      </c>
      <c r="AL992" s="1" t="str">
        <f>IF(AND(Programme_Grunddaten!$A997="Geprüft",Programme_Grunddaten!AT997&lt;&gt;""),IF(Programme_Grunddaten!AT997="Ja",1,0),"")</f>
        <v/>
      </c>
      <c r="AM992" s="1" t="str">
        <f>IF(AND(Programme_Grunddaten!$A997="Geprüft",Programme_Grunddaten!AU997&lt;&gt;""),IF(Programme_Grunddaten!AU997="Ja",1,0),"")</f>
        <v/>
      </c>
      <c r="AN992" s="1" t="str">
        <f>IF(AND(Programme_Grunddaten!$A997="Geprüft",Programme_Grunddaten!AV997&lt;&gt;""),IF(Programme_Grunddaten!AV997="Ja",1,0),"")</f>
        <v/>
      </c>
    </row>
    <row r="993" spans="1:40" x14ac:dyDescent="0.3">
      <c r="A993" s="1" t="str">
        <f>IF(AND(Programme_Grunddaten!A998="Geprüft",Programme_Grunddaten!B998&lt;&gt;""),Programme_Grunddaten!B998,"")</f>
        <v/>
      </c>
      <c r="B993" s="1" t="str">
        <f>IF(AND(Programme_Grunddaten!$A998="Geprüft",Programme_Grunddaten!I998&lt;&gt;""),IF(Programme_Grunddaten!I998="Ja",1,0),"")</f>
        <v/>
      </c>
      <c r="C993" s="1" t="str">
        <f>IF(AND(Programme_Grunddaten!$A998="Geprüft",Programme_Grunddaten!J998&lt;&gt;""),IF(Programme_Grunddaten!J998="Ja",1,0),"")</f>
        <v/>
      </c>
      <c r="D993" s="1" t="str">
        <f>IF(AND(Programme_Grunddaten!$A998="Geprüft",Programme_Grunddaten!K998&lt;&gt;""),IF(Programme_Grunddaten!K998="Ja",1,0),"")</f>
        <v/>
      </c>
      <c r="E993" s="1" t="str">
        <f>IF(AND(Programme_Grunddaten!$A998="Geprüft",Programme_Grunddaten!L998&lt;&gt;""),IF(Programme_Grunddaten!L998="Abo / befristete Lizenz",1,0),"")</f>
        <v/>
      </c>
      <c r="F993" s="1" t="str">
        <f>IF(AND(Programme_Grunddaten!$A998="Geprüft",Programme_Grunddaten!M998&lt;&gt;""),IF(Programme_Grunddaten!M998="Ja",1,0),"")</f>
        <v/>
      </c>
      <c r="G993" s="1" t="str">
        <f>IF(AND(Programme_Grunddaten!$A998="Geprüft",Programme_Grunddaten!N998&lt;&gt;""),IF(Programme_Grunddaten!N998="Ja",1,0),"")</f>
        <v/>
      </c>
      <c r="H993" s="1" t="str">
        <f>IF(AND(Programme_Grunddaten!$A998="Geprüft",Programme_Grunddaten!O998&lt;&gt;""),IF(Programme_Grunddaten!O998="Deutschland",0,IF(Programme_Grunddaten!O998="EU",1,2)),"")</f>
        <v/>
      </c>
      <c r="I993" s="1" t="str">
        <f>IF(AND(Programme_Grunddaten!$A998="Geprüft",Programme_Grunddaten!P998&lt;&gt;""),IF(Programme_Grunddaten!P998="Ja",1,0),"")</f>
        <v/>
      </c>
      <c r="J993" s="1" t="str">
        <f>IF(AND(Programme_Grunddaten!$A998="Geprüft",Programme_Grunddaten!Q998&lt;&gt;""),IF(Programme_Grunddaten!Q998="geschlossenes System",1,0),"")</f>
        <v/>
      </c>
      <c r="K993" s="1" t="str">
        <f>IF(AND(Programme_Grunddaten!$A998="Geprüft",Programme_Grunddaten!R998&lt;&gt;""),IF(Programme_Grunddaten!R998="Ja",1,0),"")</f>
        <v/>
      </c>
      <c r="L993" s="1" t="str">
        <f>IF(AND(Programme_Grunddaten!$A998="Geprüft",Programme_Grunddaten!T998&lt;&gt;""),IF(Programme_Grunddaten!T998="Ja",1,0),"")</f>
        <v/>
      </c>
      <c r="M993" s="1" t="str">
        <f>IF(AND(Programme_Grunddaten!$A998="Geprüft",Programme_Grunddaten!U998&lt;&gt;""),IF(Programme_Grunddaten!U998="Ja",1,0),"")</f>
        <v/>
      </c>
      <c r="N993" s="1" t="str">
        <f>IF(AND(Programme_Grunddaten!$A998="Geprüft",Programme_Grunddaten!V998&lt;&gt;""),IF(Programme_Grunddaten!V998="Ja",1,0),"")</f>
        <v/>
      </c>
      <c r="O993" s="1" t="str">
        <f>IF(AND(Programme_Grunddaten!$A998="Geprüft",Programme_Grunddaten!W998&lt;&gt;""),IF(Programme_Grunddaten!W998="Ja",1,0),"")</f>
        <v/>
      </c>
      <c r="P993" s="1" t="str">
        <f>IF(AND(Programme_Grunddaten!$A998="Geprüft",Programme_Grunddaten!X998&lt;&gt;""),IF(Programme_Grunddaten!X998="Ja",1,0),"")</f>
        <v/>
      </c>
      <c r="Q993" s="1" t="str">
        <f>IF(AND(Programme_Grunddaten!$A998="Geprüft",Programme_Grunddaten!Y998&lt;&gt;""),IF(Programme_Grunddaten!Y998="Ja",1,0),"")</f>
        <v/>
      </c>
      <c r="R993" s="1" t="str">
        <f>IF(AND(Programme_Grunddaten!$A998="Geprüft",Programme_Grunddaten!Z998&lt;&gt;""),IF(Programme_Grunddaten!Z998="Ja",1,0),"")</f>
        <v/>
      </c>
      <c r="S993" s="1" t="str">
        <f>IF(AND(Programme_Grunddaten!$A998="Geprüft",Programme_Grunddaten!AA998&lt;&gt;""),IF(Programme_Grunddaten!AA998="monolithisch",1,0),"")</f>
        <v/>
      </c>
      <c r="T993" s="1" t="str">
        <f>IF(AND(Programme_Grunddaten!$A998="Geprüft",Programme_Grunddaten!AB998&lt;&gt;""),IF(Programme_Grunddaten!AB998="Ja",1,0),"")</f>
        <v/>
      </c>
      <c r="U993" s="1" t="str">
        <f>IF(AND(Programme_Grunddaten!$A998="Geprüft",Programme_Grunddaten!AC998&lt;&gt;""),IF(Programme_Grunddaten!AC998="Ja",1,0),"")</f>
        <v/>
      </c>
      <c r="V993" s="1" t="str">
        <f>IF(AND(Programme_Grunddaten!$A998="Geprüft",Programme_Grunddaten!AD998&lt;&gt;""),IF(Programme_Grunddaten!AD998="Ja",1,0),"")</f>
        <v/>
      </c>
      <c r="W993" s="1" t="str">
        <f>IF(AND(Programme_Grunddaten!$A998="Geprüft",Programme_Grunddaten!AE998&lt;&gt;""),IF(Programme_Grunddaten!AE998="Ja",1,0),"")</f>
        <v/>
      </c>
      <c r="X993" s="1" t="str">
        <f>IF(AND(Programme_Grunddaten!$A998="Geprüft",Programme_Grunddaten!AF998&lt;&gt;""),IF(Programme_Grunddaten!AF998="Ja",1,0),"")</f>
        <v/>
      </c>
      <c r="Y993" s="1" t="str">
        <f>IF(AND(Programme_Grunddaten!$A998="Geprüft",Programme_Grunddaten!AG998&lt;&gt;""),IF(Programme_Grunddaten!AG998="Ja",1,0),"")</f>
        <v/>
      </c>
      <c r="Z993" s="1" t="str">
        <f>IF(AND(Programme_Grunddaten!$A998="Geprüft",Programme_Grunddaten!AH998&lt;&gt;""),IF(Programme_Grunddaten!AH998="Ja",1,0),"")</f>
        <v/>
      </c>
      <c r="AA993" s="1" t="str">
        <f>IF(AND(Programme_Grunddaten!$A998="Geprüft",Programme_Grunddaten!AI998&lt;&gt;""),IF(Programme_Grunddaten!AI998="Ja",1,0),"")</f>
        <v/>
      </c>
      <c r="AB993" s="1" t="str">
        <f>IF(AND(Programme_Grunddaten!$A998="Geprüft",Programme_Grunddaten!AJ998&lt;&gt;""),IF(Programme_Grunddaten!AJ998="individuell programmierbar",1,0),"")</f>
        <v/>
      </c>
      <c r="AC993" s="1" t="str">
        <f>IF(AND(Programme_Grunddaten!$A998="Geprüft",Programme_Grunddaten!AK998&lt;&gt;""),IF(Programme_Grunddaten!AK998="Deutsch",0,IF(Programme_Grunddaten!AK998="Deutsch und Englisch",1,2)),"")</f>
        <v/>
      </c>
      <c r="AD993" s="1" t="str">
        <f>IF(AND(Programme_Grunddaten!$A998="Geprüft",Programme_Grunddaten!AL998&lt;&gt;""),IF(Programme_Grunddaten!AL998="Ja",1,0),"")</f>
        <v/>
      </c>
      <c r="AE993" s="1" t="str">
        <f>IF(AND(Programme_Grunddaten!$A998="Geprüft",Programme_Grunddaten!AM998&lt;&gt;""),IF(Programme_Grunddaten!AM998="Ja",1,0),"")</f>
        <v/>
      </c>
      <c r="AF993" s="1" t="str">
        <f>IF(AND(Programme_Grunddaten!$A998="Geprüft",Programme_Grunddaten!AN998&lt;&gt;""),IF(Programme_Grunddaten!AN998="Ja",1,0),"")</f>
        <v/>
      </c>
      <c r="AG993" s="1" t="str">
        <f>IF(AND(Programme_Grunddaten!$A998="Geprüft",Programme_Grunddaten!AO998&lt;&gt;""),IF(Programme_Grunddaten!AO998="Ja",1,0),"")</f>
        <v/>
      </c>
      <c r="AH993" s="1" t="str">
        <f>IF(AND(Programme_Grunddaten!$A998="Geprüft",Programme_Grunddaten!AP998&lt;&gt;""),IF(Programme_Grunddaten!AP998="Ja",1,0),"")</f>
        <v/>
      </c>
      <c r="AI993" s="1" t="str">
        <f>IF(AND(Programme_Grunddaten!$A998="Geprüft",Programme_Grunddaten!AQ998&lt;&gt;""),IF(Programme_Grunddaten!AQ998="Ja",1,0),"")</f>
        <v/>
      </c>
      <c r="AJ993" s="1" t="str">
        <f>IF(AND(Programme_Grunddaten!$A998="Geprüft",Programme_Grunddaten!AR998&lt;&gt;""),IF(Programme_Grunddaten!AR998="Ja",1,0),"")</f>
        <v/>
      </c>
      <c r="AK993" s="1" t="str">
        <f>IF(AND(Programme_Grunddaten!$A998="Geprüft",Programme_Grunddaten!AS998&lt;&gt;""),IF(Programme_Grunddaten!AS998="Ja",1,0),"")</f>
        <v/>
      </c>
      <c r="AL993" s="1" t="str">
        <f>IF(AND(Programme_Grunddaten!$A998="Geprüft",Programme_Grunddaten!AT998&lt;&gt;""),IF(Programme_Grunddaten!AT998="Ja",1,0),"")</f>
        <v/>
      </c>
      <c r="AM993" s="1" t="str">
        <f>IF(AND(Programme_Grunddaten!$A998="Geprüft",Programme_Grunddaten!AU998&lt;&gt;""),IF(Programme_Grunddaten!AU998="Ja",1,0),"")</f>
        <v/>
      </c>
      <c r="AN993" s="1" t="str">
        <f>IF(AND(Programme_Grunddaten!$A998="Geprüft",Programme_Grunddaten!AV998&lt;&gt;""),IF(Programme_Grunddaten!AV998="Ja",1,0),"")</f>
        <v/>
      </c>
    </row>
    <row r="994" spans="1:40" x14ac:dyDescent="0.3">
      <c r="A994" s="1" t="str">
        <f>IF(AND(Programme_Grunddaten!A999="Geprüft",Programme_Grunddaten!B999&lt;&gt;""),Programme_Grunddaten!B999,"")</f>
        <v/>
      </c>
      <c r="B994" s="1" t="str">
        <f>IF(AND(Programme_Grunddaten!$A999="Geprüft",Programme_Grunddaten!I999&lt;&gt;""),IF(Programme_Grunddaten!I999="Ja",1,0),"")</f>
        <v/>
      </c>
      <c r="C994" s="1" t="str">
        <f>IF(AND(Programme_Grunddaten!$A999="Geprüft",Programme_Grunddaten!J999&lt;&gt;""),IF(Programme_Grunddaten!J999="Ja",1,0),"")</f>
        <v/>
      </c>
      <c r="D994" s="1" t="str">
        <f>IF(AND(Programme_Grunddaten!$A999="Geprüft",Programme_Grunddaten!K999&lt;&gt;""),IF(Programme_Grunddaten!K999="Ja",1,0),"")</f>
        <v/>
      </c>
      <c r="E994" s="1" t="str">
        <f>IF(AND(Programme_Grunddaten!$A999="Geprüft",Programme_Grunddaten!L999&lt;&gt;""),IF(Programme_Grunddaten!L999="Abo / befristete Lizenz",1,0),"")</f>
        <v/>
      </c>
      <c r="F994" s="1" t="str">
        <f>IF(AND(Programme_Grunddaten!$A999="Geprüft",Programme_Grunddaten!M999&lt;&gt;""),IF(Programme_Grunddaten!M999="Ja",1,0),"")</f>
        <v/>
      </c>
      <c r="G994" s="1" t="str">
        <f>IF(AND(Programme_Grunddaten!$A999="Geprüft",Programme_Grunddaten!N999&lt;&gt;""),IF(Programme_Grunddaten!N999="Ja",1,0),"")</f>
        <v/>
      </c>
      <c r="H994" s="1" t="str">
        <f>IF(AND(Programme_Grunddaten!$A999="Geprüft",Programme_Grunddaten!O999&lt;&gt;""),IF(Programme_Grunddaten!O999="Deutschland",0,IF(Programme_Grunddaten!O999="EU",1,2)),"")</f>
        <v/>
      </c>
      <c r="I994" s="1" t="str">
        <f>IF(AND(Programme_Grunddaten!$A999="Geprüft",Programme_Grunddaten!P999&lt;&gt;""),IF(Programme_Grunddaten!P999="Ja",1,0),"")</f>
        <v/>
      </c>
      <c r="J994" s="1" t="str">
        <f>IF(AND(Programme_Grunddaten!$A999="Geprüft",Programme_Grunddaten!Q999&lt;&gt;""),IF(Programme_Grunddaten!Q999="geschlossenes System",1,0),"")</f>
        <v/>
      </c>
      <c r="K994" s="1" t="str">
        <f>IF(AND(Programme_Grunddaten!$A999="Geprüft",Programme_Grunddaten!R999&lt;&gt;""),IF(Programme_Grunddaten!R999="Ja",1,0),"")</f>
        <v/>
      </c>
      <c r="L994" s="1" t="str">
        <f>IF(AND(Programme_Grunddaten!$A999="Geprüft",Programme_Grunddaten!T999&lt;&gt;""),IF(Programme_Grunddaten!T999="Ja",1,0),"")</f>
        <v/>
      </c>
      <c r="M994" s="1" t="str">
        <f>IF(AND(Programme_Grunddaten!$A999="Geprüft",Programme_Grunddaten!U999&lt;&gt;""),IF(Programme_Grunddaten!U999="Ja",1,0),"")</f>
        <v/>
      </c>
      <c r="N994" s="1" t="str">
        <f>IF(AND(Programme_Grunddaten!$A999="Geprüft",Programme_Grunddaten!V999&lt;&gt;""),IF(Programme_Grunddaten!V999="Ja",1,0),"")</f>
        <v/>
      </c>
      <c r="O994" s="1" t="str">
        <f>IF(AND(Programme_Grunddaten!$A999="Geprüft",Programme_Grunddaten!W999&lt;&gt;""),IF(Programme_Grunddaten!W999="Ja",1,0),"")</f>
        <v/>
      </c>
      <c r="P994" s="1" t="str">
        <f>IF(AND(Programme_Grunddaten!$A999="Geprüft",Programme_Grunddaten!X999&lt;&gt;""),IF(Programme_Grunddaten!X999="Ja",1,0),"")</f>
        <v/>
      </c>
      <c r="Q994" s="1" t="str">
        <f>IF(AND(Programme_Grunddaten!$A999="Geprüft",Programme_Grunddaten!Y999&lt;&gt;""),IF(Programme_Grunddaten!Y999="Ja",1,0),"")</f>
        <v/>
      </c>
      <c r="R994" s="1" t="str">
        <f>IF(AND(Programme_Grunddaten!$A999="Geprüft",Programme_Grunddaten!Z999&lt;&gt;""),IF(Programme_Grunddaten!Z999="Ja",1,0),"")</f>
        <v/>
      </c>
      <c r="S994" s="1" t="str">
        <f>IF(AND(Programme_Grunddaten!$A999="Geprüft",Programme_Grunddaten!AA999&lt;&gt;""),IF(Programme_Grunddaten!AA999="monolithisch",1,0),"")</f>
        <v/>
      </c>
      <c r="T994" s="1" t="str">
        <f>IF(AND(Programme_Grunddaten!$A999="Geprüft",Programme_Grunddaten!AB999&lt;&gt;""),IF(Programme_Grunddaten!AB999="Ja",1,0),"")</f>
        <v/>
      </c>
      <c r="U994" s="1" t="str">
        <f>IF(AND(Programme_Grunddaten!$A999="Geprüft",Programme_Grunddaten!AC999&lt;&gt;""),IF(Programme_Grunddaten!AC999="Ja",1,0),"")</f>
        <v/>
      </c>
      <c r="V994" s="1" t="str">
        <f>IF(AND(Programme_Grunddaten!$A999="Geprüft",Programme_Grunddaten!AD999&lt;&gt;""),IF(Programme_Grunddaten!AD999="Ja",1,0),"")</f>
        <v/>
      </c>
      <c r="W994" s="1" t="str">
        <f>IF(AND(Programme_Grunddaten!$A999="Geprüft",Programme_Grunddaten!AE999&lt;&gt;""),IF(Programme_Grunddaten!AE999="Ja",1,0),"")</f>
        <v/>
      </c>
      <c r="X994" s="1" t="str">
        <f>IF(AND(Programme_Grunddaten!$A999="Geprüft",Programme_Grunddaten!AF999&lt;&gt;""),IF(Programme_Grunddaten!AF999="Ja",1,0),"")</f>
        <v/>
      </c>
      <c r="Y994" s="1" t="str">
        <f>IF(AND(Programme_Grunddaten!$A999="Geprüft",Programme_Grunddaten!AG999&lt;&gt;""),IF(Programme_Grunddaten!AG999="Ja",1,0),"")</f>
        <v/>
      </c>
      <c r="Z994" s="1" t="str">
        <f>IF(AND(Programme_Grunddaten!$A999="Geprüft",Programme_Grunddaten!AH999&lt;&gt;""),IF(Programme_Grunddaten!AH999="Ja",1,0),"")</f>
        <v/>
      </c>
      <c r="AA994" s="1" t="str">
        <f>IF(AND(Programme_Grunddaten!$A999="Geprüft",Programme_Grunddaten!AI999&lt;&gt;""),IF(Programme_Grunddaten!AI999="Ja",1,0),"")</f>
        <v/>
      </c>
      <c r="AB994" s="1" t="str">
        <f>IF(AND(Programme_Grunddaten!$A999="Geprüft",Programme_Grunddaten!AJ999&lt;&gt;""),IF(Programme_Grunddaten!AJ999="individuell programmierbar",1,0),"")</f>
        <v/>
      </c>
      <c r="AC994" s="1" t="str">
        <f>IF(AND(Programme_Grunddaten!$A999="Geprüft",Programme_Grunddaten!AK999&lt;&gt;""),IF(Programme_Grunddaten!AK999="Deutsch",0,IF(Programme_Grunddaten!AK999="Deutsch und Englisch",1,2)),"")</f>
        <v/>
      </c>
      <c r="AD994" s="1" t="str">
        <f>IF(AND(Programme_Grunddaten!$A999="Geprüft",Programme_Grunddaten!AL999&lt;&gt;""),IF(Programme_Grunddaten!AL999="Ja",1,0),"")</f>
        <v/>
      </c>
      <c r="AE994" s="1" t="str">
        <f>IF(AND(Programme_Grunddaten!$A999="Geprüft",Programme_Grunddaten!AM999&lt;&gt;""),IF(Programme_Grunddaten!AM999="Ja",1,0),"")</f>
        <v/>
      </c>
      <c r="AF994" s="1" t="str">
        <f>IF(AND(Programme_Grunddaten!$A999="Geprüft",Programme_Grunddaten!AN999&lt;&gt;""),IF(Programme_Grunddaten!AN999="Ja",1,0),"")</f>
        <v/>
      </c>
      <c r="AG994" s="1" t="str">
        <f>IF(AND(Programme_Grunddaten!$A999="Geprüft",Programme_Grunddaten!AO999&lt;&gt;""),IF(Programme_Grunddaten!AO999="Ja",1,0),"")</f>
        <v/>
      </c>
      <c r="AH994" s="1" t="str">
        <f>IF(AND(Programme_Grunddaten!$A999="Geprüft",Programme_Grunddaten!AP999&lt;&gt;""),IF(Programme_Grunddaten!AP999="Ja",1,0),"")</f>
        <v/>
      </c>
      <c r="AI994" s="1" t="str">
        <f>IF(AND(Programme_Grunddaten!$A999="Geprüft",Programme_Grunddaten!AQ999&lt;&gt;""),IF(Programme_Grunddaten!AQ999="Ja",1,0),"")</f>
        <v/>
      </c>
      <c r="AJ994" s="1" t="str">
        <f>IF(AND(Programme_Grunddaten!$A999="Geprüft",Programme_Grunddaten!AR999&lt;&gt;""),IF(Programme_Grunddaten!AR999="Ja",1,0),"")</f>
        <v/>
      </c>
      <c r="AK994" s="1" t="str">
        <f>IF(AND(Programme_Grunddaten!$A999="Geprüft",Programme_Grunddaten!AS999&lt;&gt;""),IF(Programme_Grunddaten!AS999="Ja",1,0),"")</f>
        <v/>
      </c>
      <c r="AL994" s="1" t="str">
        <f>IF(AND(Programme_Grunddaten!$A999="Geprüft",Programme_Grunddaten!AT999&lt;&gt;""),IF(Programme_Grunddaten!AT999="Ja",1,0),"")</f>
        <v/>
      </c>
      <c r="AM994" s="1" t="str">
        <f>IF(AND(Programme_Grunddaten!$A999="Geprüft",Programme_Grunddaten!AU999&lt;&gt;""),IF(Programme_Grunddaten!AU999="Ja",1,0),"")</f>
        <v/>
      </c>
      <c r="AN994" s="1" t="str">
        <f>IF(AND(Programme_Grunddaten!$A999="Geprüft",Programme_Grunddaten!AV999&lt;&gt;""),IF(Programme_Grunddaten!AV999="Ja",1,0),"")</f>
        <v/>
      </c>
    </row>
    <row r="995" spans="1:40" x14ac:dyDescent="0.3">
      <c r="A995" s="1" t="str">
        <f>IF(AND(Programme_Grunddaten!A1000="Geprüft",Programme_Grunddaten!B1000&lt;&gt;""),Programme_Grunddaten!B1000,"")</f>
        <v/>
      </c>
      <c r="B995" s="1" t="str">
        <f>IF(AND(Programme_Grunddaten!$A1000="Geprüft",Programme_Grunddaten!I1000&lt;&gt;""),IF(Programme_Grunddaten!I1000="Ja",1,0),"")</f>
        <v/>
      </c>
      <c r="C995" s="1" t="str">
        <f>IF(AND(Programme_Grunddaten!$A1000="Geprüft",Programme_Grunddaten!J1000&lt;&gt;""),IF(Programme_Grunddaten!J1000="Ja",1,0),"")</f>
        <v/>
      </c>
      <c r="D995" s="1" t="str">
        <f>IF(AND(Programme_Grunddaten!$A1000="Geprüft",Programme_Grunddaten!K1000&lt;&gt;""),IF(Programme_Grunddaten!K1000="Ja",1,0),"")</f>
        <v/>
      </c>
      <c r="E995" s="1" t="str">
        <f>IF(AND(Programme_Grunddaten!$A1000="Geprüft",Programme_Grunddaten!L1000&lt;&gt;""),IF(Programme_Grunddaten!L1000="Abo / befristete Lizenz",1,0),"")</f>
        <v/>
      </c>
      <c r="F995" s="1" t="str">
        <f>IF(AND(Programme_Grunddaten!$A1000="Geprüft",Programme_Grunddaten!M1000&lt;&gt;""),IF(Programme_Grunddaten!M1000="Ja",1,0),"")</f>
        <v/>
      </c>
      <c r="G995" s="1" t="str">
        <f>IF(AND(Programme_Grunddaten!$A1000="Geprüft",Programme_Grunddaten!N1000&lt;&gt;""),IF(Programme_Grunddaten!N1000="Ja",1,0),"")</f>
        <v/>
      </c>
      <c r="H995" s="1" t="str">
        <f>IF(AND(Programme_Grunddaten!$A1000="Geprüft",Programme_Grunddaten!O1000&lt;&gt;""),IF(Programme_Grunddaten!O1000="Deutschland",0,IF(Programme_Grunddaten!O1000="EU",1,2)),"")</f>
        <v/>
      </c>
      <c r="I995" s="1" t="str">
        <f>IF(AND(Programme_Grunddaten!$A1000="Geprüft",Programme_Grunddaten!P1000&lt;&gt;""),IF(Programme_Grunddaten!P1000="Ja",1,0),"")</f>
        <v/>
      </c>
      <c r="J995" s="1" t="str">
        <f>IF(AND(Programme_Grunddaten!$A1000="Geprüft",Programme_Grunddaten!Q1000&lt;&gt;""),IF(Programme_Grunddaten!Q1000="geschlossenes System",1,0),"")</f>
        <v/>
      </c>
      <c r="K995" s="1" t="str">
        <f>IF(AND(Programme_Grunddaten!$A1000="Geprüft",Programme_Grunddaten!R1000&lt;&gt;""),IF(Programme_Grunddaten!R1000="Ja",1,0),"")</f>
        <v/>
      </c>
      <c r="L995" s="1" t="str">
        <f>IF(AND(Programme_Grunddaten!$A1000="Geprüft",Programme_Grunddaten!T1000&lt;&gt;""),IF(Programme_Grunddaten!T1000="Ja",1,0),"")</f>
        <v/>
      </c>
      <c r="M995" s="1" t="str">
        <f>IF(AND(Programme_Grunddaten!$A1000="Geprüft",Programme_Grunddaten!U1000&lt;&gt;""),IF(Programme_Grunddaten!U1000="Ja",1,0),"")</f>
        <v/>
      </c>
      <c r="N995" s="1" t="str">
        <f>IF(AND(Programme_Grunddaten!$A1000="Geprüft",Programme_Grunddaten!V1000&lt;&gt;""),IF(Programme_Grunddaten!V1000="Ja",1,0),"")</f>
        <v/>
      </c>
      <c r="O995" s="1" t="str">
        <f>IF(AND(Programme_Grunddaten!$A1000="Geprüft",Programme_Grunddaten!W1000&lt;&gt;""),IF(Programme_Grunddaten!W1000="Ja",1,0),"")</f>
        <v/>
      </c>
      <c r="P995" s="1" t="str">
        <f>IF(AND(Programme_Grunddaten!$A1000="Geprüft",Programme_Grunddaten!X1000&lt;&gt;""),IF(Programme_Grunddaten!X1000="Ja",1,0),"")</f>
        <v/>
      </c>
      <c r="Q995" s="1" t="str">
        <f>IF(AND(Programme_Grunddaten!$A1000="Geprüft",Programme_Grunddaten!Y1000&lt;&gt;""),IF(Programme_Grunddaten!Y1000="Ja",1,0),"")</f>
        <v/>
      </c>
      <c r="R995" s="1" t="str">
        <f>IF(AND(Programme_Grunddaten!$A1000="Geprüft",Programme_Grunddaten!Z1000&lt;&gt;""),IF(Programme_Grunddaten!Z1000="Ja",1,0),"")</f>
        <v/>
      </c>
      <c r="S995" s="1" t="str">
        <f>IF(AND(Programme_Grunddaten!$A1000="Geprüft",Programme_Grunddaten!AA1000&lt;&gt;""),IF(Programme_Grunddaten!AA1000="monolithisch",1,0),"")</f>
        <v/>
      </c>
      <c r="T995" s="1" t="str">
        <f>IF(AND(Programme_Grunddaten!$A1000="Geprüft",Programme_Grunddaten!AB1000&lt;&gt;""),IF(Programme_Grunddaten!AB1000="Ja",1,0),"")</f>
        <v/>
      </c>
      <c r="U995" s="1" t="str">
        <f>IF(AND(Programme_Grunddaten!$A1000="Geprüft",Programme_Grunddaten!AC1000&lt;&gt;""),IF(Programme_Grunddaten!AC1000="Ja",1,0),"")</f>
        <v/>
      </c>
      <c r="V995" s="1" t="str">
        <f>IF(AND(Programme_Grunddaten!$A1000="Geprüft",Programme_Grunddaten!AD1000&lt;&gt;""),IF(Programme_Grunddaten!AD1000="Ja",1,0),"")</f>
        <v/>
      </c>
      <c r="W995" s="1" t="str">
        <f>IF(AND(Programme_Grunddaten!$A1000="Geprüft",Programme_Grunddaten!AE1000&lt;&gt;""),IF(Programme_Grunddaten!AE1000="Ja",1,0),"")</f>
        <v/>
      </c>
      <c r="X995" s="1" t="str">
        <f>IF(AND(Programme_Grunddaten!$A1000="Geprüft",Programme_Grunddaten!AF1000&lt;&gt;""),IF(Programme_Grunddaten!AF1000="Ja",1,0),"")</f>
        <v/>
      </c>
      <c r="Y995" s="1" t="str">
        <f>IF(AND(Programme_Grunddaten!$A1000="Geprüft",Programme_Grunddaten!AG1000&lt;&gt;""),IF(Programme_Grunddaten!AG1000="Ja",1,0),"")</f>
        <v/>
      </c>
      <c r="Z995" s="1" t="str">
        <f>IF(AND(Programme_Grunddaten!$A1000="Geprüft",Programme_Grunddaten!AH1000&lt;&gt;""),IF(Programme_Grunddaten!AH1000="Ja",1,0),"")</f>
        <v/>
      </c>
      <c r="AA995" s="1" t="str">
        <f>IF(AND(Programme_Grunddaten!$A1000="Geprüft",Programme_Grunddaten!AI1000&lt;&gt;""),IF(Programme_Grunddaten!AI1000="Ja",1,0),"")</f>
        <v/>
      </c>
      <c r="AB995" s="1" t="str">
        <f>IF(AND(Programme_Grunddaten!$A1000="Geprüft",Programme_Grunddaten!AJ1000&lt;&gt;""),IF(Programme_Grunddaten!AJ1000="individuell programmierbar",1,0),"")</f>
        <v/>
      </c>
      <c r="AC995" s="1" t="str">
        <f>IF(AND(Programme_Grunddaten!$A1000="Geprüft",Programme_Grunddaten!AK1000&lt;&gt;""),IF(Programme_Grunddaten!AK1000="Deutsch",0,IF(Programme_Grunddaten!AK1000="Deutsch und Englisch",1,2)),"")</f>
        <v/>
      </c>
      <c r="AD995" s="1" t="str">
        <f>IF(AND(Programme_Grunddaten!$A1000="Geprüft",Programme_Grunddaten!AL1000&lt;&gt;""),IF(Programme_Grunddaten!AL1000="Ja",1,0),"")</f>
        <v/>
      </c>
      <c r="AE995" s="1" t="str">
        <f>IF(AND(Programme_Grunddaten!$A1000="Geprüft",Programme_Grunddaten!AM1000&lt;&gt;""),IF(Programme_Grunddaten!AM1000="Ja",1,0),"")</f>
        <v/>
      </c>
      <c r="AF995" s="1" t="str">
        <f>IF(AND(Programme_Grunddaten!$A1000="Geprüft",Programme_Grunddaten!AN1000&lt;&gt;""),IF(Programme_Grunddaten!AN1000="Ja",1,0),"")</f>
        <v/>
      </c>
      <c r="AG995" s="1" t="str">
        <f>IF(AND(Programme_Grunddaten!$A1000="Geprüft",Programme_Grunddaten!AO1000&lt;&gt;""),IF(Programme_Grunddaten!AO1000="Ja",1,0),"")</f>
        <v/>
      </c>
      <c r="AH995" s="1" t="str">
        <f>IF(AND(Programme_Grunddaten!$A1000="Geprüft",Programme_Grunddaten!AP1000&lt;&gt;""),IF(Programme_Grunddaten!AP1000="Ja",1,0),"")</f>
        <v/>
      </c>
      <c r="AI995" s="1" t="str">
        <f>IF(AND(Programme_Grunddaten!$A1000="Geprüft",Programme_Grunddaten!AQ1000&lt;&gt;""),IF(Programme_Grunddaten!AQ1000="Ja",1,0),"")</f>
        <v/>
      </c>
      <c r="AJ995" s="1" t="str">
        <f>IF(AND(Programme_Grunddaten!$A1000="Geprüft",Programme_Grunddaten!AR1000&lt;&gt;""),IF(Programme_Grunddaten!AR1000="Ja",1,0),"")</f>
        <v/>
      </c>
      <c r="AK995" s="1" t="str">
        <f>IF(AND(Programme_Grunddaten!$A1000="Geprüft",Programme_Grunddaten!AS1000&lt;&gt;""),IF(Programme_Grunddaten!AS1000="Ja",1,0),"")</f>
        <v/>
      </c>
      <c r="AL995" s="1" t="str">
        <f>IF(AND(Programme_Grunddaten!$A1000="Geprüft",Programme_Grunddaten!AT1000&lt;&gt;""),IF(Programme_Grunddaten!AT1000="Ja",1,0),"")</f>
        <v/>
      </c>
      <c r="AM995" s="1" t="str">
        <f>IF(AND(Programme_Grunddaten!$A1000="Geprüft",Programme_Grunddaten!AU1000&lt;&gt;""),IF(Programme_Grunddaten!AU1000="Ja",1,0),"")</f>
        <v/>
      </c>
      <c r="AN995" s="1" t="str">
        <f>IF(AND(Programme_Grunddaten!$A1000="Geprüft",Programme_Grunddaten!AV1000&lt;&gt;""),IF(Programme_Grunddaten!AV1000="Ja",1,0),"")</f>
        <v/>
      </c>
    </row>
    <row r="996" spans="1:40" x14ac:dyDescent="0.3">
      <c r="A996" s="1" t="str">
        <f>IF(AND(Programme_Grunddaten!A1001="Geprüft",Programme_Grunddaten!B1001&lt;&gt;""),Programme_Grunddaten!B1001,"")</f>
        <v/>
      </c>
      <c r="B996" s="1" t="str">
        <f>IF(AND(Programme_Grunddaten!$A1001="Geprüft",Programme_Grunddaten!I1001&lt;&gt;""),IF(Programme_Grunddaten!I1001="Ja",1,0),"")</f>
        <v/>
      </c>
      <c r="C996" s="1" t="str">
        <f>IF(AND(Programme_Grunddaten!$A1001="Geprüft",Programme_Grunddaten!J1001&lt;&gt;""),IF(Programme_Grunddaten!J1001="Ja",1,0),"")</f>
        <v/>
      </c>
      <c r="D996" s="1" t="str">
        <f>IF(AND(Programme_Grunddaten!$A1001="Geprüft",Programme_Grunddaten!K1001&lt;&gt;""),IF(Programme_Grunddaten!K1001="Ja",1,0),"")</f>
        <v/>
      </c>
      <c r="E996" s="1" t="str">
        <f>IF(AND(Programme_Grunddaten!$A1001="Geprüft",Programme_Grunddaten!L1001&lt;&gt;""),IF(Programme_Grunddaten!L1001="Abo / befristete Lizenz",1,0),"")</f>
        <v/>
      </c>
      <c r="F996" s="1" t="str">
        <f>IF(AND(Programme_Grunddaten!$A1001="Geprüft",Programme_Grunddaten!M1001&lt;&gt;""),IF(Programme_Grunddaten!M1001="Ja",1,0),"")</f>
        <v/>
      </c>
      <c r="G996" s="1" t="str">
        <f>IF(AND(Programme_Grunddaten!$A1001="Geprüft",Programme_Grunddaten!N1001&lt;&gt;""),IF(Programme_Grunddaten!N1001="Ja",1,0),"")</f>
        <v/>
      </c>
      <c r="H996" s="1" t="str">
        <f>IF(AND(Programme_Grunddaten!$A1001="Geprüft",Programme_Grunddaten!O1001&lt;&gt;""),IF(Programme_Grunddaten!O1001="Deutschland",0,IF(Programme_Grunddaten!O1001="EU",1,2)),"")</f>
        <v/>
      </c>
      <c r="I996" s="1" t="str">
        <f>IF(AND(Programme_Grunddaten!$A1001="Geprüft",Programme_Grunddaten!P1001&lt;&gt;""),IF(Programme_Grunddaten!P1001="Ja",1,0),"")</f>
        <v/>
      </c>
      <c r="J996" s="1" t="str">
        <f>IF(AND(Programme_Grunddaten!$A1001="Geprüft",Programme_Grunddaten!Q1001&lt;&gt;""),IF(Programme_Grunddaten!Q1001="geschlossenes System",1,0),"")</f>
        <v/>
      </c>
      <c r="K996" s="1" t="str">
        <f>IF(AND(Programme_Grunddaten!$A1001="Geprüft",Programme_Grunddaten!R1001&lt;&gt;""),IF(Programme_Grunddaten!R1001="Ja",1,0),"")</f>
        <v/>
      </c>
      <c r="L996" s="1" t="str">
        <f>IF(AND(Programme_Grunddaten!$A1001="Geprüft",Programme_Grunddaten!T1001&lt;&gt;""),IF(Programme_Grunddaten!T1001="Ja",1,0),"")</f>
        <v/>
      </c>
      <c r="M996" s="1" t="str">
        <f>IF(AND(Programme_Grunddaten!$A1001="Geprüft",Programme_Grunddaten!U1001&lt;&gt;""),IF(Programme_Grunddaten!U1001="Ja",1,0),"")</f>
        <v/>
      </c>
      <c r="N996" s="1" t="str">
        <f>IF(AND(Programme_Grunddaten!$A1001="Geprüft",Programme_Grunddaten!V1001&lt;&gt;""),IF(Programme_Grunddaten!V1001="Ja",1,0),"")</f>
        <v/>
      </c>
      <c r="O996" s="1" t="str">
        <f>IF(AND(Programme_Grunddaten!$A1001="Geprüft",Programme_Grunddaten!W1001&lt;&gt;""),IF(Programme_Grunddaten!W1001="Ja",1,0),"")</f>
        <v/>
      </c>
      <c r="P996" s="1" t="str">
        <f>IF(AND(Programme_Grunddaten!$A1001="Geprüft",Programme_Grunddaten!X1001&lt;&gt;""),IF(Programme_Grunddaten!X1001="Ja",1,0),"")</f>
        <v/>
      </c>
      <c r="Q996" s="1" t="str">
        <f>IF(AND(Programme_Grunddaten!$A1001="Geprüft",Programme_Grunddaten!Y1001&lt;&gt;""),IF(Programme_Grunddaten!Y1001="Ja",1,0),"")</f>
        <v/>
      </c>
      <c r="R996" s="1" t="str">
        <f>IF(AND(Programme_Grunddaten!$A1001="Geprüft",Programme_Grunddaten!Z1001&lt;&gt;""),IF(Programme_Grunddaten!Z1001="Ja",1,0),"")</f>
        <v/>
      </c>
      <c r="S996" s="1" t="str">
        <f>IF(AND(Programme_Grunddaten!$A1001="Geprüft",Programme_Grunddaten!AA1001&lt;&gt;""),IF(Programme_Grunddaten!AA1001="monolithisch",1,0),"")</f>
        <v/>
      </c>
      <c r="T996" s="1" t="str">
        <f>IF(AND(Programme_Grunddaten!$A1001="Geprüft",Programme_Grunddaten!AB1001&lt;&gt;""),IF(Programme_Grunddaten!AB1001="Ja",1,0),"")</f>
        <v/>
      </c>
      <c r="U996" s="1" t="str">
        <f>IF(AND(Programme_Grunddaten!$A1001="Geprüft",Programme_Grunddaten!AC1001&lt;&gt;""),IF(Programme_Grunddaten!AC1001="Ja",1,0),"")</f>
        <v/>
      </c>
      <c r="V996" s="1" t="str">
        <f>IF(AND(Programme_Grunddaten!$A1001="Geprüft",Programme_Grunddaten!AD1001&lt;&gt;""),IF(Programme_Grunddaten!AD1001="Ja",1,0),"")</f>
        <v/>
      </c>
      <c r="W996" s="1" t="str">
        <f>IF(AND(Programme_Grunddaten!$A1001="Geprüft",Programme_Grunddaten!AE1001&lt;&gt;""),IF(Programme_Grunddaten!AE1001="Ja",1,0),"")</f>
        <v/>
      </c>
      <c r="X996" s="1" t="str">
        <f>IF(AND(Programme_Grunddaten!$A1001="Geprüft",Programme_Grunddaten!AF1001&lt;&gt;""),IF(Programme_Grunddaten!AF1001="Ja",1,0),"")</f>
        <v/>
      </c>
      <c r="Y996" s="1" t="str">
        <f>IF(AND(Programme_Grunddaten!$A1001="Geprüft",Programme_Grunddaten!AG1001&lt;&gt;""),IF(Programme_Grunddaten!AG1001="Ja",1,0),"")</f>
        <v/>
      </c>
      <c r="Z996" s="1" t="str">
        <f>IF(AND(Programme_Grunddaten!$A1001="Geprüft",Programme_Grunddaten!AH1001&lt;&gt;""),IF(Programme_Grunddaten!AH1001="Ja",1,0),"")</f>
        <v/>
      </c>
      <c r="AA996" s="1" t="str">
        <f>IF(AND(Programme_Grunddaten!$A1001="Geprüft",Programme_Grunddaten!AI1001&lt;&gt;""),IF(Programme_Grunddaten!AI1001="Ja",1,0),"")</f>
        <v/>
      </c>
      <c r="AB996" s="1" t="str">
        <f>IF(AND(Programme_Grunddaten!$A1001="Geprüft",Programme_Grunddaten!AJ1001&lt;&gt;""),IF(Programme_Grunddaten!AJ1001="individuell programmierbar",1,0),"")</f>
        <v/>
      </c>
      <c r="AC996" s="1" t="str">
        <f>IF(AND(Programme_Grunddaten!$A1001="Geprüft",Programme_Grunddaten!AK1001&lt;&gt;""),IF(Programme_Grunddaten!AK1001="Deutsch",0,IF(Programme_Grunddaten!AK1001="Deutsch und Englisch",1,2)),"")</f>
        <v/>
      </c>
      <c r="AD996" s="1" t="str">
        <f>IF(AND(Programme_Grunddaten!$A1001="Geprüft",Programme_Grunddaten!AL1001&lt;&gt;""),IF(Programme_Grunddaten!AL1001="Ja",1,0),"")</f>
        <v/>
      </c>
      <c r="AE996" s="1" t="str">
        <f>IF(AND(Programme_Grunddaten!$A1001="Geprüft",Programme_Grunddaten!AM1001&lt;&gt;""),IF(Programme_Grunddaten!AM1001="Ja",1,0),"")</f>
        <v/>
      </c>
      <c r="AF996" s="1" t="str">
        <f>IF(AND(Programme_Grunddaten!$A1001="Geprüft",Programme_Grunddaten!AN1001&lt;&gt;""),IF(Programme_Grunddaten!AN1001="Ja",1,0),"")</f>
        <v/>
      </c>
      <c r="AG996" s="1" t="str">
        <f>IF(AND(Programme_Grunddaten!$A1001="Geprüft",Programme_Grunddaten!AO1001&lt;&gt;""),IF(Programme_Grunddaten!AO1001="Ja",1,0),"")</f>
        <v/>
      </c>
      <c r="AH996" s="1" t="str">
        <f>IF(AND(Programme_Grunddaten!$A1001="Geprüft",Programme_Grunddaten!AP1001&lt;&gt;""),IF(Programme_Grunddaten!AP1001="Ja",1,0),"")</f>
        <v/>
      </c>
      <c r="AI996" s="1" t="str">
        <f>IF(AND(Programme_Grunddaten!$A1001="Geprüft",Programme_Grunddaten!AQ1001&lt;&gt;""),IF(Programme_Grunddaten!AQ1001="Ja",1,0),"")</f>
        <v/>
      </c>
      <c r="AJ996" s="1" t="str">
        <f>IF(AND(Programme_Grunddaten!$A1001="Geprüft",Programme_Grunddaten!AR1001&lt;&gt;""),IF(Programme_Grunddaten!AR1001="Ja",1,0),"")</f>
        <v/>
      </c>
      <c r="AK996" s="1" t="str">
        <f>IF(AND(Programme_Grunddaten!$A1001="Geprüft",Programme_Grunddaten!AS1001&lt;&gt;""),IF(Programme_Grunddaten!AS1001="Ja",1,0),"")</f>
        <v/>
      </c>
      <c r="AL996" s="1" t="str">
        <f>IF(AND(Programme_Grunddaten!$A1001="Geprüft",Programme_Grunddaten!AT1001&lt;&gt;""),IF(Programme_Grunddaten!AT1001="Ja",1,0),"")</f>
        <v/>
      </c>
      <c r="AM996" s="1" t="str">
        <f>IF(AND(Programme_Grunddaten!$A1001="Geprüft",Programme_Grunddaten!AU1001&lt;&gt;""),IF(Programme_Grunddaten!AU1001="Ja",1,0),"")</f>
        <v/>
      </c>
      <c r="AN996" s="1" t="str">
        <f>IF(AND(Programme_Grunddaten!$A1001="Geprüft",Programme_Grunddaten!AV1001&lt;&gt;""),IF(Programme_Grunddaten!AV1001="Ja",1,0),"")</f>
        <v/>
      </c>
    </row>
    <row r="997" spans="1:40" x14ac:dyDescent="0.3">
      <c r="A997" s="1" t="str">
        <f>IF(AND(Programme_Grunddaten!A1002="Geprüft",Programme_Grunddaten!B1002&lt;&gt;""),Programme_Grunddaten!B1002,"")</f>
        <v/>
      </c>
      <c r="B997" s="1" t="str">
        <f>IF(AND(Programme_Grunddaten!$A1002="Geprüft",Programme_Grunddaten!I1002&lt;&gt;""),IF(Programme_Grunddaten!I1002="Ja",1,0),"")</f>
        <v/>
      </c>
      <c r="C997" s="1" t="str">
        <f>IF(AND(Programme_Grunddaten!$A1002="Geprüft",Programme_Grunddaten!J1002&lt;&gt;""),IF(Programme_Grunddaten!J1002="Ja",1,0),"")</f>
        <v/>
      </c>
      <c r="D997" s="1" t="str">
        <f>IF(AND(Programme_Grunddaten!$A1002="Geprüft",Programme_Grunddaten!K1002&lt;&gt;""),IF(Programme_Grunddaten!K1002="Ja",1,0),"")</f>
        <v/>
      </c>
      <c r="E997" s="1" t="str">
        <f>IF(AND(Programme_Grunddaten!$A1002="Geprüft",Programme_Grunddaten!L1002&lt;&gt;""),IF(Programme_Grunddaten!L1002="Abo / befristete Lizenz",1,0),"")</f>
        <v/>
      </c>
      <c r="F997" s="1" t="str">
        <f>IF(AND(Programme_Grunddaten!$A1002="Geprüft",Programme_Grunddaten!M1002&lt;&gt;""),IF(Programme_Grunddaten!M1002="Ja",1,0),"")</f>
        <v/>
      </c>
      <c r="G997" s="1" t="str">
        <f>IF(AND(Programme_Grunddaten!$A1002="Geprüft",Programme_Grunddaten!N1002&lt;&gt;""),IF(Programme_Grunddaten!N1002="Ja",1,0),"")</f>
        <v/>
      </c>
      <c r="H997" s="1" t="str">
        <f>IF(AND(Programme_Grunddaten!$A1002="Geprüft",Programme_Grunddaten!O1002&lt;&gt;""),IF(Programme_Grunddaten!O1002="Deutschland",0,IF(Programme_Grunddaten!O1002="EU",1,2)),"")</f>
        <v/>
      </c>
      <c r="I997" s="1" t="str">
        <f>IF(AND(Programme_Grunddaten!$A1002="Geprüft",Programme_Grunddaten!P1002&lt;&gt;""),IF(Programme_Grunddaten!P1002="Ja",1,0),"")</f>
        <v/>
      </c>
      <c r="J997" s="1" t="str">
        <f>IF(AND(Programme_Grunddaten!$A1002="Geprüft",Programme_Grunddaten!Q1002&lt;&gt;""),IF(Programme_Grunddaten!Q1002="geschlossenes System",1,0),"")</f>
        <v/>
      </c>
      <c r="K997" s="1" t="str">
        <f>IF(AND(Programme_Grunddaten!$A1002="Geprüft",Programme_Grunddaten!R1002&lt;&gt;""),IF(Programme_Grunddaten!R1002="Ja",1,0),"")</f>
        <v/>
      </c>
      <c r="L997" s="1" t="str">
        <f>IF(AND(Programme_Grunddaten!$A1002="Geprüft",Programme_Grunddaten!T1002&lt;&gt;""),IF(Programme_Grunddaten!T1002="Ja",1,0),"")</f>
        <v/>
      </c>
      <c r="M997" s="1" t="str">
        <f>IF(AND(Programme_Grunddaten!$A1002="Geprüft",Programme_Grunddaten!U1002&lt;&gt;""),IF(Programme_Grunddaten!U1002="Ja",1,0),"")</f>
        <v/>
      </c>
      <c r="N997" s="1" t="str">
        <f>IF(AND(Programme_Grunddaten!$A1002="Geprüft",Programme_Grunddaten!V1002&lt;&gt;""),IF(Programme_Grunddaten!V1002="Ja",1,0),"")</f>
        <v/>
      </c>
      <c r="O997" s="1" t="str">
        <f>IF(AND(Programme_Grunddaten!$A1002="Geprüft",Programme_Grunddaten!W1002&lt;&gt;""),IF(Programme_Grunddaten!W1002="Ja",1,0),"")</f>
        <v/>
      </c>
      <c r="P997" s="1" t="str">
        <f>IF(AND(Programme_Grunddaten!$A1002="Geprüft",Programme_Grunddaten!X1002&lt;&gt;""),IF(Programme_Grunddaten!X1002="Ja",1,0),"")</f>
        <v/>
      </c>
      <c r="Q997" s="1" t="str">
        <f>IF(AND(Programme_Grunddaten!$A1002="Geprüft",Programme_Grunddaten!Y1002&lt;&gt;""),IF(Programme_Grunddaten!Y1002="Ja",1,0),"")</f>
        <v/>
      </c>
      <c r="R997" s="1" t="str">
        <f>IF(AND(Programme_Grunddaten!$A1002="Geprüft",Programme_Grunddaten!Z1002&lt;&gt;""),IF(Programme_Grunddaten!Z1002="Ja",1,0),"")</f>
        <v/>
      </c>
      <c r="S997" s="1" t="str">
        <f>IF(AND(Programme_Grunddaten!$A1002="Geprüft",Programme_Grunddaten!AA1002&lt;&gt;""),IF(Programme_Grunddaten!AA1002="monolithisch",1,0),"")</f>
        <v/>
      </c>
      <c r="T997" s="1" t="str">
        <f>IF(AND(Programme_Grunddaten!$A1002="Geprüft",Programme_Grunddaten!AB1002&lt;&gt;""),IF(Programme_Grunddaten!AB1002="Ja",1,0),"")</f>
        <v/>
      </c>
      <c r="U997" s="1" t="str">
        <f>IF(AND(Programme_Grunddaten!$A1002="Geprüft",Programme_Grunddaten!AC1002&lt;&gt;""),IF(Programme_Grunddaten!AC1002="Ja",1,0),"")</f>
        <v/>
      </c>
      <c r="V997" s="1" t="str">
        <f>IF(AND(Programme_Grunddaten!$A1002="Geprüft",Programme_Grunddaten!AD1002&lt;&gt;""),IF(Programme_Grunddaten!AD1002="Ja",1,0),"")</f>
        <v/>
      </c>
      <c r="W997" s="1" t="str">
        <f>IF(AND(Programme_Grunddaten!$A1002="Geprüft",Programme_Grunddaten!AE1002&lt;&gt;""),IF(Programme_Grunddaten!AE1002="Ja",1,0),"")</f>
        <v/>
      </c>
      <c r="X997" s="1" t="str">
        <f>IF(AND(Programme_Grunddaten!$A1002="Geprüft",Programme_Grunddaten!AF1002&lt;&gt;""),IF(Programme_Grunddaten!AF1002="Ja",1,0),"")</f>
        <v/>
      </c>
      <c r="Y997" s="1" t="str">
        <f>IF(AND(Programme_Grunddaten!$A1002="Geprüft",Programme_Grunddaten!AG1002&lt;&gt;""),IF(Programme_Grunddaten!AG1002="Ja",1,0),"")</f>
        <v/>
      </c>
      <c r="Z997" s="1" t="str">
        <f>IF(AND(Programme_Grunddaten!$A1002="Geprüft",Programme_Grunddaten!AH1002&lt;&gt;""),IF(Programme_Grunddaten!AH1002="Ja",1,0),"")</f>
        <v/>
      </c>
      <c r="AA997" s="1" t="str">
        <f>IF(AND(Programme_Grunddaten!$A1002="Geprüft",Programme_Grunddaten!AI1002&lt;&gt;""),IF(Programme_Grunddaten!AI1002="Ja",1,0),"")</f>
        <v/>
      </c>
      <c r="AB997" s="1" t="str">
        <f>IF(AND(Programme_Grunddaten!$A1002="Geprüft",Programme_Grunddaten!AJ1002&lt;&gt;""),IF(Programme_Grunddaten!AJ1002="individuell programmierbar",1,0),"")</f>
        <v/>
      </c>
      <c r="AC997" s="1" t="str">
        <f>IF(AND(Programme_Grunddaten!$A1002="Geprüft",Programme_Grunddaten!AK1002&lt;&gt;""),IF(Programme_Grunddaten!AK1002="Deutsch",0,IF(Programme_Grunddaten!AK1002="Deutsch und Englisch",1,2)),"")</f>
        <v/>
      </c>
      <c r="AD997" s="1" t="str">
        <f>IF(AND(Programme_Grunddaten!$A1002="Geprüft",Programme_Grunddaten!AL1002&lt;&gt;""),IF(Programme_Grunddaten!AL1002="Ja",1,0),"")</f>
        <v/>
      </c>
      <c r="AE997" s="1" t="str">
        <f>IF(AND(Programme_Grunddaten!$A1002="Geprüft",Programme_Grunddaten!AM1002&lt;&gt;""),IF(Programme_Grunddaten!AM1002="Ja",1,0),"")</f>
        <v/>
      </c>
      <c r="AF997" s="1" t="str">
        <f>IF(AND(Programme_Grunddaten!$A1002="Geprüft",Programme_Grunddaten!AN1002&lt;&gt;""),IF(Programme_Grunddaten!AN1002="Ja",1,0),"")</f>
        <v/>
      </c>
      <c r="AG997" s="1" t="str">
        <f>IF(AND(Programme_Grunddaten!$A1002="Geprüft",Programme_Grunddaten!AO1002&lt;&gt;""),IF(Programme_Grunddaten!AO1002="Ja",1,0),"")</f>
        <v/>
      </c>
      <c r="AH997" s="1" t="str">
        <f>IF(AND(Programme_Grunddaten!$A1002="Geprüft",Programme_Grunddaten!AP1002&lt;&gt;""),IF(Programme_Grunddaten!AP1002="Ja",1,0),"")</f>
        <v/>
      </c>
      <c r="AI997" s="1" t="str">
        <f>IF(AND(Programme_Grunddaten!$A1002="Geprüft",Programme_Grunddaten!AQ1002&lt;&gt;""),IF(Programme_Grunddaten!AQ1002="Ja",1,0),"")</f>
        <v/>
      </c>
      <c r="AJ997" s="1" t="str">
        <f>IF(AND(Programme_Grunddaten!$A1002="Geprüft",Programme_Grunddaten!AR1002&lt;&gt;""),IF(Programme_Grunddaten!AR1002="Ja",1,0),"")</f>
        <v/>
      </c>
      <c r="AK997" s="1" t="str">
        <f>IF(AND(Programme_Grunddaten!$A1002="Geprüft",Programme_Grunddaten!AS1002&lt;&gt;""),IF(Programme_Grunddaten!AS1002="Ja",1,0),"")</f>
        <v/>
      </c>
      <c r="AL997" s="1" t="str">
        <f>IF(AND(Programme_Grunddaten!$A1002="Geprüft",Programme_Grunddaten!AT1002&lt;&gt;""),IF(Programme_Grunddaten!AT1002="Ja",1,0),"")</f>
        <v/>
      </c>
      <c r="AM997" s="1" t="str">
        <f>IF(AND(Programme_Grunddaten!$A1002="Geprüft",Programme_Grunddaten!AU1002&lt;&gt;""),IF(Programme_Grunddaten!AU1002="Ja",1,0),"")</f>
        <v/>
      </c>
      <c r="AN997" s="1" t="str">
        <f>IF(AND(Programme_Grunddaten!$A1002="Geprüft",Programme_Grunddaten!AV1002&lt;&gt;""),IF(Programme_Grunddaten!AV1002="Ja",1,0),"")</f>
        <v/>
      </c>
    </row>
    <row r="998" spans="1:40" x14ac:dyDescent="0.3">
      <c r="A998" s="1" t="str">
        <f>IF(AND(Programme_Grunddaten!A1003="Geprüft",Programme_Grunddaten!B1003&lt;&gt;""),Programme_Grunddaten!B1003,"")</f>
        <v/>
      </c>
      <c r="B998" s="1" t="str">
        <f>IF(AND(Programme_Grunddaten!$A1003="Geprüft",Programme_Grunddaten!I1003&lt;&gt;""),IF(Programme_Grunddaten!I1003="Ja",1,0),"")</f>
        <v/>
      </c>
      <c r="C998" s="1" t="str">
        <f>IF(AND(Programme_Grunddaten!$A1003="Geprüft",Programme_Grunddaten!J1003&lt;&gt;""),IF(Programme_Grunddaten!J1003="Ja",1,0),"")</f>
        <v/>
      </c>
      <c r="D998" s="1" t="str">
        <f>IF(AND(Programme_Grunddaten!$A1003="Geprüft",Programme_Grunddaten!K1003&lt;&gt;""),IF(Programme_Grunddaten!K1003="Ja",1,0),"")</f>
        <v/>
      </c>
      <c r="E998" s="1" t="str">
        <f>IF(AND(Programme_Grunddaten!$A1003="Geprüft",Programme_Grunddaten!L1003&lt;&gt;""),IF(Programme_Grunddaten!L1003="Abo / befristete Lizenz",1,0),"")</f>
        <v/>
      </c>
      <c r="F998" s="1" t="str">
        <f>IF(AND(Programme_Grunddaten!$A1003="Geprüft",Programme_Grunddaten!M1003&lt;&gt;""),IF(Programme_Grunddaten!M1003="Ja",1,0),"")</f>
        <v/>
      </c>
      <c r="G998" s="1" t="str">
        <f>IF(AND(Programme_Grunddaten!$A1003="Geprüft",Programme_Grunddaten!N1003&lt;&gt;""),IF(Programme_Grunddaten!N1003="Ja",1,0),"")</f>
        <v/>
      </c>
      <c r="H998" s="1" t="str">
        <f>IF(AND(Programme_Grunddaten!$A1003="Geprüft",Programme_Grunddaten!O1003&lt;&gt;""),IF(Programme_Grunddaten!O1003="Deutschland",0,IF(Programme_Grunddaten!O1003="EU",1,2)),"")</f>
        <v/>
      </c>
      <c r="I998" s="1" t="str">
        <f>IF(AND(Programme_Grunddaten!$A1003="Geprüft",Programme_Grunddaten!P1003&lt;&gt;""),IF(Programme_Grunddaten!P1003="Ja",1,0),"")</f>
        <v/>
      </c>
      <c r="J998" s="1" t="str">
        <f>IF(AND(Programme_Grunddaten!$A1003="Geprüft",Programme_Grunddaten!Q1003&lt;&gt;""),IF(Programme_Grunddaten!Q1003="geschlossenes System",1,0),"")</f>
        <v/>
      </c>
      <c r="K998" s="1" t="str">
        <f>IF(AND(Programme_Grunddaten!$A1003="Geprüft",Programme_Grunddaten!R1003&lt;&gt;""),IF(Programme_Grunddaten!R1003="Ja",1,0),"")</f>
        <v/>
      </c>
      <c r="L998" s="1" t="str">
        <f>IF(AND(Programme_Grunddaten!$A1003="Geprüft",Programme_Grunddaten!T1003&lt;&gt;""),IF(Programme_Grunddaten!T1003="Ja",1,0),"")</f>
        <v/>
      </c>
      <c r="M998" s="1" t="str">
        <f>IF(AND(Programme_Grunddaten!$A1003="Geprüft",Programme_Grunddaten!U1003&lt;&gt;""),IF(Programme_Grunddaten!U1003="Ja",1,0),"")</f>
        <v/>
      </c>
      <c r="N998" s="1" t="str">
        <f>IF(AND(Programme_Grunddaten!$A1003="Geprüft",Programme_Grunddaten!V1003&lt;&gt;""),IF(Programme_Grunddaten!V1003="Ja",1,0),"")</f>
        <v/>
      </c>
      <c r="O998" s="1" t="str">
        <f>IF(AND(Programme_Grunddaten!$A1003="Geprüft",Programme_Grunddaten!W1003&lt;&gt;""),IF(Programme_Grunddaten!W1003="Ja",1,0),"")</f>
        <v/>
      </c>
      <c r="P998" s="1" t="str">
        <f>IF(AND(Programme_Grunddaten!$A1003="Geprüft",Programme_Grunddaten!X1003&lt;&gt;""),IF(Programme_Grunddaten!X1003="Ja",1,0),"")</f>
        <v/>
      </c>
      <c r="Q998" s="1" t="str">
        <f>IF(AND(Programme_Grunddaten!$A1003="Geprüft",Programme_Grunddaten!Y1003&lt;&gt;""),IF(Programme_Grunddaten!Y1003="Ja",1,0),"")</f>
        <v/>
      </c>
      <c r="R998" s="1" t="str">
        <f>IF(AND(Programme_Grunddaten!$A1003="Geprüft",Programme_Grunddaten!Z1003&lt;&gt;""),IF(Programme_Grunddaten!Z1003="Ja",1,0),"")</f>
        <v/>
      </c>
      <c r="S998" s="1" t="str">
        <f>IF(AND(Programme_Grunddaten!$A1003="Geprüft",Programme_Grunddaten!AA1003&lt;&gt;""),IF(Programme_Grunddaten!AA1003="monolithisch",1,0),"")</f>
        <v/>
      </c>
      <c r="T998" s="1" t="str">
        <f>IF(AND(Programme_Grunddaten!$A1003="Geprüft",Programme_Grunddaten!AB1003&lt;&gt;""),IF(Programme_Grunddaten!AB1003="Ja",1,0),"")</f>
        <v/>
      </c>
      <c r="U998" s="1" t="str">
        <f>IF(AND(Programme_Grunddaten!$A1003="Geprüft",Programme_Grunddaten!AC1003&lt;&gt;""),IF(Programme_Grunddaten!AC1003="Ja",1,0),"")</f>
        <v/>
      </c>
      <c r="V998" s="1" t="str">
        <f>IF(AND(Programme_Grunddaten!$A1003="Geprüft",Programme_Grunddaten!AD1003&lt;&gt;""),IF(Programme_Grunddaten!AD1003="Ja",1,0),"")</f>
        <v/>
      </c>
      <c r="W998" s="1" t="str">
        <f>IF(AND(Programme_Grunddaten!$A1003="Geprüft",Programme_Grunddaten!AE1003&lt;&gt;""),IF(Programme_Grunddaten!AE1003="Ja",1,0),"")</f>
        <v/>
      </c>
      <c r="X998" s="1" t="str">
        <f>IF(AND(Programme_Grunddaten!$A1003="Geprüft",Programme_Grunddaten!AF1003&lt;&gt;""),IF(Programme_Grunddaten!AF1003="Ja",1,0),"")</f>
        <v/>
      </c>
      <c r="Y998" s="1" t="str">
        <f>IF(AND(Programme_Grunddaten!$A1003="Geprüft",Programme_Grunddaten!AG1003&lt;&gt;""),IF(Programme_Grunddaten!AG1003="Ja",1,0),"")</f>
        <v/>
      </c>
      <c r="Z998" s="1" t="str">
        <f>IF(AND(Programme_Grunddaten!$A1003="Geprüft",Programme_Grunddaten!AH1003&lt;&gt;""),IF(Programme_Grunddaten!AH1003="Ja",1,0),"")</f>
        <v/>
      </c>
      <c r="AA998" s="1" t="str">
        <f>IF(AND(Programme_Grunddaten!$A1003="Geprüft",Programme_Grunddaten!AI1003&lt;&gt;""),IF(Programme_Grunddaten!AI1003="Ja",1,0),"")</f>
        <v/>
      </c>
      <c r="AB998" s="1" t="str">
        <f>IF(AND(Programme_Grunddaten!$A1003="Geprüft",Programme_Grunddaten!AJ1003&lt;&gt;""),IF(Programme_Grunddaten!AJ1003="individuell programmierbar",1,0),"")</f>
        <v/>
      </c>
      <c r="AC998" s="1" t="str">
        <f>IF(AND(Programme_Grunddaten!$A1003="Geprüft",Programme_Grunddaten!AK1003&lt;&gt;""),IF(Programme_Grunddaten!AK1003="Deutsch",0,IF(Programme_Grunddaten!AK1003="Deutsch und Englisch",1,2)),"")</f>
        <v/>
      </c>
      <c r="AD998" s="1" t="str">
        <f>IF(AND(Programme_Grunddaten!$A1003="Geprüft",Programme_Grunddaten!AL1003&lt;&gt;""),IF(Programme_Grunddaten!AL1003="Ja",1,0),"")</f>
        <v/>
      </c>
      <c r="AE998" s="1" t="str">
        <f>IF(AND(Programme_Grunddaten!$A1003="Geprüft",Programme_Grunddaten!AM1003&lt;&gt;""),IF(Programme_Grunddaten!AM1003="Ja",1,0),"")</f>
        <v/>
      </c>
      <c r="AF998" s="1" t="str">
        <f>IF(AND(Programme_Grunddaten!$A1003="Geprüft",Programme_Grunddaten!AN1003&lt;&gt;""),IF(Programme_Grunddaten!AN1003="Ja",1,0),"")</f>
        <v/>
      </c>
      <c r="AG998" s="1" t="str">
        <f>IF(AND(Programme_Grunddaten!$A1003="Geprüft",Programme_Grunddaten!AO1003&lt;&gt;""),IF(Programme_Grunddaten!AO1003="Ja",1,0),"")</f>
        <v/>
      </c>
      <c r="AH998" s="1" t="str">
        <f>IF(AND(Programme_Grunddaten!$A1003="Geprüft",Programme_Grunddaten!AP1003&lt;&gt;""),IF(Programme_Grunddaten!AP1003="Ja",1,0),"")</f>
        <v/>
      </c>
      <c r="AI998" s="1" t="str">
        <f>IF(AND(Programme_Grunddaten!$A1003="Geprüft",Programme_Grunddaten!AQ1003&lt;&gt;""),IF(Programme_Grunddaten!AQ1003="Ja",1,0),"")</f>
        <v/>
      </c>
      <c r="AJ998" s="1" t="str">
        <f>IF(AND(Programme_Grunddaten!$A1003="Geprüft",Programme_Grunddaten!AR1003&lt;&gt;""),IF(Programme_Grunddaten!AR1003="Ja",1,0),"")</f>
        <v/>
      </c>
      <c r="AK998" s="1" t="str">
        <f>IF(AND(Programme_Grunddaten!$A1003="Geprüft",Programme_Grunddaten!AS1003&lt;&gt;""),IF(Programme_Grunddaten!AS1003="Ja",1,0),"")</f>
        <v/>
      </c>
      <c r="AL998" s="1" t="str">
        <f>IF(AND(Programme_Grunddaten!$A1003="Geprüft",Programme_Grunddaten!AT1003&lt;&gt;""),IF(Programme_Grunddaten!AT1003="Ja",1,0),"")</f>
        <v/>
      </c>
      <c r="AM998" s="1" t="str">
        <f>IF(AND(Programme_Grunddaten!$A1003="Geprüft",Programme_Grunddaten!AU1003&lt;&gt;""),IF(Programme_Grunddaten!AU1003="Ja",1,0),"")</f>
        <v/>
      </c>
      <c r="AN998" s="1" t="str">
        <f>IF(AND(Programme_Grunddaten!$A1003="Geprüft",Programme_Grunddaten!AV1003&lt;&gt;""),IF(Programme_Grunddaten!AV1003="Ja",1,0),"")</f>
        <v/>
      </c>
    </row>
    <row r="999" spans="1:40" x14ac:dyDescent="0.3">
      <c r="A999" s="1" t="str">
        <f>IF(AND(Programme_Grunddaten!A1004="Geprüft",Programme_Grunddaten!B1004&lt;&gt;""),Programme_Grunddaten!B1004,"")</f>
        <v/>
      </c>
      <c r="B999" s="1" t="str">
        <f>IF(AND(Programme_Grunddaten!$A1004="Geprüft",Programme_Grunddaten!I1004&lt;&gt;""),IF(Programme_Grunddaten!I1004="Ja",1,0),"")</f>
        <v/>
      </c>
      <c r="C999" s="1" t="str">
        <f>IF(AND(Programme_Grunddaten!$A1004="Geprüft",Programme_Grunddaten!J1004&lt;&gt;""),IF(Programme_Grunddaten!J1004="Ja",1,0),"")</f>
        <v/>
      </c>
      <c r="D999" s="1" t="str">
        <f>IF(AND(Programme_Grunddaten!$A1004="Geprüft",Programme_Grunddaten!K1004&lt;&gt;""),IF(Programme_Grunddaten!K1004="Ja",1,0),"")</f>
        <v/>
      </c>
      <c r="E999" s="1" t="str">
        <f>IF(AND(Programme_Grunddaten!$A1004="Geprüft",Programme_Grunddaten!L1004&lt;&gt;""),IF(Programme_Grunddaten!L1004="Abo / befristete Lizenz",1,0),"")</f>
        <v/>
      </c>
      <c r="F999" s="1" t="str">
        <f>IF(AND(Programme_Grunddaten!$A1004="Geprüft",Programme_Grunddaten!M1004&lt;&gt;""),IF(Programme_Grunddaten!M1004="Ja",1,0),"")</f>
        <v/>
      </c>
      <c r="G999" s="1" t="str">
        <f>IF(AND(Programme_Grunddaten!$A1004="Geprüft",Programme_Grunddaten!N1004&lt;&gt;""),IF(Programme_Grunddaten!N1004="Ja",1,0),"")</f>
        <v/>
      </c>
      <c r="H999" s="1" t="str">
        <f>IF(AND(Programme_Grunddaten!$A1004="Geprüft",Programme_Grunddaten!O1004&lt;&gt;""),IF(Programme_Grunddaten!O1004="Deutschland",0,IF(Programme_Grunddaten!O1004="EU",1,2)),"")</f>
        <v/>
      </c>
      <c r="I999" s="1" t="str">
        <f>IF(AND(Programme_Grunddaten!$A1004="Geprüft",Programme_Grunddaten!P1004&lt;&gt;""),IF(Programme_Grunddaten!P1004="Ja",1,0),"")</f>
        <v/>
      </c>
      <c r="J999" s="1" t="str">
        <f>IF(AND(Programme_Grunddaten!$A1004="Geprüft",Programme_Grunddaten!Q1004&lt;&gt;""),IF(Programme_Grunddaten!Q1004="geschlossenes System",1,0),"")</f>
        <v/>
      </c>
      <c r="K999" s="1" t="str">
        <f>IF(AND(Programme_Grunddaten!$A1004="Geprüft",Programme_Grunddaten!R1004&lt;&gt;""),IF(Programme_Grunddaten!R1004="Ja",1,0),"")</f>
        <v/>
      </c>
      <c r="L999" s="1" t="str">
        <f>IF(AND(Programme_Grunddaten!$A1004="Geprüft",Programme_Grunddaten!T1004&lt;&gt;""),IF(Programme_Grunddaten!T1004="Ja",1,0),"")</f>
        <v/>
      </c>
      <c r="M999" s="1" t="str">
        <f>IF(AND(Programme_Grunddaten!$A1004="Geprüft",Programme_Grunddaten!U1004&lt;&gt;""),IF(Programme_Grunddaten!U1004="Ja",1,0),"")</f>
        <v/>
      </c>
      <c r="N999" s="1" t="str">
        <f>IF(AND(Programme_Grunddaten!$A1004="Geprüft",Programme_Grunddaten!V1004&lt;&gt;""),IF(Programme_Grunddaten!V1004="Ja",1,0),"")</f>
        <v/>
      </c>
      <c r="O999" s="1" t="str">
        <f>IF(AND(Programme_Grunddaten!$A1004="Geprüft",Programme_Grunddaten!W1004&lt;&gt;""),IF(Programme_Grunddaten!W1004="Ja",1,0),"")</f>
        <v/>
      </c>
      <c r="P999" s="1" t="str">
        <f>IF(AND(Programme_Grunddaten!$A1004="Geprüft",Programme_Grunddaten!X1004&lt;&gt;""),IF(Programme_Grunddaten!X1004="Ja",1,0),"")</f>
        <v/>
      </c>
      <c r="Q999" s="1" t="str">
        <f>IF(AND(Programme_Grunddaten!$A1004="Geprüft",Programme_Grunddaten!Y1004&lt;&gt;""),IF(Programme_Grunddaten!Y1004="Ja",1,0),"")</f>
        <v/>
      </c>
      <c r="R999" s="1" t="str">
        <f>IF(AND(Programme_Grunddaten!$A1004="Geprüft",Programme_Grunddaten!Z1004&lt;&gt;""),IF(Programme_Grunddaten!Z1004="Ja",1,0),"")</f>
        <v/>
      </c>
      <c r="S999" s="1" t="str">
        <f>IF(AND(Programme_Grunddaten!$A1004="Geprüft",Programme_Grunddaten!AA1004&lt;&gt;""),IF(Programme_Grunddaten!AA1004="monolithisch",1,0),"")</f>
        <v/>
      </c>
      <c r="T999" s="1" t="str">
        <f>IF(AND(Programme_Grunddaten!$A1004="Geprüft",Programme_Grunddaten!AB1004&lt;&gt;""),IF(Programme_Grunddaten!AB1004="Ja",1,0),"")</f>
        <v/>
      </c>
      <c r="U999" s="1" t="str">
        <f>IF(AND(Programme_Grunddaten!$A1004="Geprüft",Programme_Grunddaten!AC1004&lt;&gt;""),IF(Programme_Grunddaten!AC1004="Ja",1,0),"")</f>
        <v/>
      </c>
      <c r="V999" s="1" t="str">
        <f>IF(AND(Programme_Grunddaten!$A1004="Geprüft",Programme_Grunddaten!AD1004&lt;&gt;""),IF(Programme_Grunddaten!AD1004="Ja",1,0),"")</f>
        <v/>
      </c>
      <c r="W999" s="1" t="str">
        <f>IF(AND(Programme_Grunddaten!$A1004="Geprüft",Programme_Grunddaten!AE1004&lt;&gt;""),IF(Programme_Grunddaten!AE1004="Ja",1,0),"")</f>
        <v/>
      </c>
      <c r="X999" s="1" t="str">
        <f>IF(AND(Programme_Grunddaten!$A1004="Geprüft",Programme_Grunddaten!AF1004&lt;&gt;""),IF(Programme_Grunddaten!AF1004="Ja",1,0),"")</f>
        <v/>
      </c>
      <c r="Y999" s="1" t="str">
        <f>IF(AND(Programme_Grunddaten!$A1004="Geprüft",Programme_Grunddaten!AG1004&lt;&gt;""),IF(Programme_Grunddaten!AG1004="Ja",1,0),"")</f>
        <v/>
      </c>
      <c r="Z999" s="1" t="str">
        <f>IF(AND(Programme_Grunddaten!$A1004="Geprüft",Programme_Grunddaten!AH1004&lt;&gt;""),IF(Programme_Grunddaten!AH1004="Ja",1,0),"")</f>
        <v/>
      </c>
      <c r="AA999" s="1" t="str">
        <f>IF(AND(Programme_Grunddaten!$A1004="Geprüft",Programme_Grunddaten!AI1004&lt;&gt;""),IF(Programme_Grunddaten!AI1004="Ja",1,0),"")</f>
        <v/>
      </c>
      <c r="AB999" s="1" t="str">
        <f>IF(AND(Programme_Grunddaten!$A1004="Geprüft",Programme_Grunddaten!AJ1004&lt;&gt;""),IF(Programme_Grunddaten!AJ1004="individuell programmierbar",1,0),"")</f>
        <v/>
      </c>
      <c r="AC999" s="1" t="str">
        <f>IF(AND(Programme_Grunddaten!$A1004="Geprüft",Programme_Grunddaten!AK1004&lt;&gt;""),IF(Programme_Grunddaten!AK1004="Deutsch",0,IF(Programme_Grunddaten!AK1004="Deutsch und Englisch",1,2)),"")</f>
        <v/>
      </c>
      <c r="AD999" s="1" t="str">
        <f>IF(AND(Programme_Grunddaten!$A1004="Geprüft",Programme_Grunddaten!AL1004&lt;&gt;""),IF(Programme_Grunddaten!AL1004="Ja",1,0),"")</f>
        <v/>
      </c>
      <c r="AE999" s="1" t="str">
        <f>IF(AND(Programme_Grunddaten!$A1004="Geprüft",Programme_Grunddaten!AM1004&lt;&gt;""),IF(Programme_Grunddaten!AM1004="Ja",1,0),"")</f>
        <v/>
      </c>
      <c r="AF999" s="1" t="str">
        <f>IF(AND(Programme_Grunddaten!$A1004="Geprüft",Programme_Grunddaten!AN1004&lt;&gt;""),IF(Programme_Grunddaten!AN1004="Ja",1,0),"")</f>
        <v/>
      </c>
      <c r="AG999" s="1" t="str">
        <f>IF(AND(Programme_Grunddaten!$A1004="Geprüft",Programme_Grunddaten!AO1004&lt;&gt;""),IF(Programme_Grunddaten!AO1004="Ja",1,0),"")</f>
        <v/>
      </c>
      <c r="AH999" s="1" t="str">
        <f>IF(AND(Programme_Grunddaten!$A1004="Geprüft",Programme_Grunddaten!AP1004&lt;&gt;""),IF(Programme_Grunddaten!AP1004="Ja",1,0),"")</f>
        <v/>
      </c>
      <c r="AI999" s="1" t="str">
        <f>IF(AND(Programme_Grunddaten!$A1004="Geprüft",Programme_Grunddaten!AQ1004&lt;&gt;""),IF(Programme_Grunddaten!AQ1004="Ja",1,0),"")</f>
        <v/>
      </c>
      <c r="AJ999" s="1" t="str">
        <f>IF(AND(Programme_Grunddaten!$A1004="Geprüft",Programme_Grunddaten!AR1004&lt;&gt;""),IF(Programme_Grunddaten!AR1004="Ja",1,0),"")</f>
        <v/>
      </c>
      <c r="AK999" s="1" t="str">
        <f>IF(AND(Programme_Grunddaten!$A1004="Geprüft",Programme_Grunddaten!AS1004&lt;&gt;""),IF(Programme_Grunddaten!AS1004="Ja",1,0),"")</f>
        <v/>
      </c>
      <c r="AL999" s="1" t="str">
        <f>IF(AND(Programme_Grunddaten!$A1004="Geprüft",Programme_Grunddaten!AT1004&lt;&gt;""),IF(Programme_Grunddaten!AT1004="Ja",1,0),"")</f>
        <v/>
      </c>
      <c r="AM999" s="1" t="str">
        <f>IF(AND(Programme_Grunddaten!$A1004="Geprüft",Programme_Grunddaten!AU1004&lt;&gt;""),IF(Programme_Grunddaten!AU1004="Ja",1,0),"")</f>
        <v/>
      </c>
      <c r="AN999" s="1" t="str">
        <f>IF(AND(Programme_Grunddaten!$A1004="Geprüft",Programme_Grunddaten!AV1004&lt;&gt;""),IF(Programme_Grunddaten!AV1004="Ja",1,0),"")</f>
        <v/>
      </c>
    </row>
    <row r="1000" spans="1:40" x14ac:dyDescent="0.3">
      <c r="A1000" s="1" t="str">
        <f>IF(AND(Programme_Grunddaten!A1001="Geprüft",Programme_Grunddaten!B1001&lt;&gt;""),Programme_Grunddaten!B1001,"")</f>
        <v/>
      </c>
      <c r="B1000" s="1" t="str">
        <f>IF(AND(Programme_Grunddaten!$A1001="Geprüft",Programme_Grunddaten!I1001&lt;&gt;""),IF(Programme_Grunddaten!I1001="Ja",1,0),"")</f>
        <v/>
      </c>
      <c r="C1000" s="1" t="str">
        <f>IF(AND(Programme_Grunddaten!$A1001="Geprüft",Programme_Grunddaten!J1001&lt;&gt;""),IF(Programme_Grunddaten!J1001="Ja",1,0),"")</f>
        <v/>
      </c>
      <c r="D1000" s="1" t="str">
        <f>IF(AND(Programme_Grunddaten!$A1001="Geprüft",Programme_Grunddaten!K1001&lt;&gt;""),IF(Programme_Grunddaten!K1001="Ja",1,0),"")</f>
        <v/>
      </c>
      <c r="E1000" s="1" t="str">
        <f>IF(AND(Programme_Grunddaten!$A1001="Geprüft",Programme_Grunddaten!L1001&lt;&gt;""),IF(Programme_Grunddaten!L1001="Abo / befristete Lizenz",1,0),"")</f>
        <v/>
      </c>
      <c r="F1000" s="1" t="str">
        <f>IF(AND(Programme_Grunddaten!$A1001="Geprüft",Programme_Grunddaten!M1001&lt;&gt;""),IF(Programme_Grunddaten!M1001="Ja",1,0),"")</f>
        <v/>
      </c>
      <c r="G1000" s="1" t="str">
        <f>IF(AND(Programme_Grunddaten!$A1001="Geprüft",Programme_Grunddaten!N1001&lt;&gt;""),IF(Programme_Grunddaten!N1001="Ja",1,0),"")</f>
        <v/>
      </c>
      <c r="H1000" s="1" t="str">
        <f>IF(AND(Programme_Grunddaten!$A1001="Geprüft",Programme_Grunddaten!O1001&lt;&gt;""),IF(Programme_Grunddaten!O1001="Deutschland",0,IF(Programme_Grunddaten!O1001="EU",1,2)),"")</f>
        <v/>
      </c>
      <c r="I1000" s="1" t="str">
        <f>IF(AND(Programme_Grunddaten!$A1001="Geprüft",Programme_Grunddaten!P1001&lt;&gt;""),IF(Programme_Grunddaten!P1001="Ja",1,0),"")</f>
        <v/>
      </c>
      <c r="J1000" s="1" t="str">
        <f>IF(AND(Programme_Grunddaten!$A1001="Geprüft",Programme_Grunddaten!Q1001&lt;&gt;""),IF(Programme_Grunddaten!Q1001="geschlossenes System",1,0),"")</f>
        <v/>
      </c>
      <c r="K1000" s="1" t="str">
        <f>IF(AND(Programme_Grunddaten!$A1001="Geprüft",Programme_Grunddaten!R1001&lt;&gt;""),IF(Programme_Grunddaten!R1001="Ja",1,0),"")</f>
        <v/>
      </c>
      <c r="L1000" s="1" t="str">
        <f>IF(AND(Programme_Grunddaten!$A1001="Geprüft",Programme_Grunddaten!T1001&lt;&gt;""),IF(Programme_Grunddaten!T1001="Ja",1,0),"")</f>
        <v/>
      </c>
      <c r="M1000" s="1" t="str">
        <f>IF(AND(Programme_Grunddaten!$A1001="Geprüft",Programme_Grunddaten!U1001&lt;&gt;""),IF(Programme_Grunddaten!U1001="Ja",1,0),"")</f>
        <v/>
      </c>
      <c r="N1000" s="1" t="str">
        <f>IF(AND(Programme_Grunddaten!$A1001="Geprüft",Programme_Grunddaten!V1001&lt;&gt;""),IF(Programme_Grunddaten!V1001="Ja",1,0),"")</f>
        <v/>
      </c>
      <c r="O1000" s="1" t="str">
        <f>IF(AND(Programme_Grunddaten!$A1001="Geprüft",Programme_Grunddaten!W1001&lt;&gt;""),IF(Programme_Grunddaten!W1001="Ja",1,0),"")</f>
        <v/>
      </c>
      <c r="P1000" s="1" t="str">
        <f>IF(AND(Programme_Grunddaten!$A1001="Geprüft",Programme_Grunddaten!X1001&lt;&gt;""),IF(Programme_Grunddaten!X1001="Ja",1,0),"")</f>
        <v/>
      </c>
      <c r="Q1000" s="1" t="str">
        <f>IF(AND(Programme_Grunddaten!$A1001="Geprüft",Programme_Grunddaten!Y1001&lt;&gt;""),IF(Programme_Grunddaten!Y1001="Ja",1,0),"")</f>
        <v/>
      </c>
      <c r="R1000" s="1" t="str">
        <f>IF(AND(Programme_Grunddaten!$A1001="Geprüft",Programme_Grunddaten!Z1001&lt;&gt;""),IF(Programme_Grunddaten!Z1001="Ja",1,0),"")</f>
        <v/>
      </c>
      <c r="S1000" s="1" t="str">
        <f>IF(AND(Programme_Grunddaten!$A1001="Geprüft",Programme_Grunddaten!AA1001&lt;&gt;""),IF(Programme_Grunddaten!AA1001="monolithisch",1,0),"")</f>
        <v/>
      </c>
      <c r="T1000" s="1" t="str">
        <f>IF(AND(Programme_Grunddaten!$A1001="Geprüft",Programme_Grunddaten!AB1001&lt;&gt;""),IF(Programme_Grunddaten!AB1001="Ja",1,0),"")</f>
        <v/>
      </c>
      <c r="U1000" s="1" t="str">
        <f>IF(AND(Programme_Grunddaten!$A1001="Geprüft",Programme_Grunddaten!AC1001&lt;&gt;""),IF(Programme_Grunddaten!AC1001="Ja",1,0),"")</f>
        <v/>
      </c>
      <c r="V1000" s="1" t="str">
        <f>IF(AND(Programme_Grunddaten!$A1001="Geprüft",Programme_Grunddaten!AD1001&lt;&gt;""),IF(Programme_Grunddaten!AD1001="Ja",1,0),"")</f>
        <v/>
      </c>
      <c r="W1000" s="1" t="str">
        <f>IF(AND(Programme_Grunddaten!$A1001="Geprüft",Programme_Grunddaten!AE1001&lt;&gt;""),IF(Programme_Grunddaten!AE1001="Ja",1,0),"")</f>
        <v/>
      </c>
      <c r="X1000" s="1" t="str">
        <f>IF(AND(Programme_Grunddaten!$A1001="Geprüft",Programme_Grunddaten!AF1001&lt;&gt;""),IF(Programme_Grunddaten!AF1001="Ja",1,0),"")</f>
        <v/>
      </c>
      <c r="Y1000" s="1" t="str">
        <f>IF(AND(Programme_Grunddaten!$A1001="Geprüft",Programme_Grunddaten!AG1001&lt;&gt;""),IF(Programme_Grunddaten!AG1001="Ja",1,0),"")</f>
        <v/>
      </c>
      <c r="Z1000" s="1" t="str">
        <f>IF(AND(Programme_Grunddaten!$A1001="Geprüft",Programme_Grunddaten!AH1001&lt;&gt;""),IF(Programme_Grunddaten!AH1001="Ja",1,0),"")</f>
        <v/>
      </c>
      <c r="AA1000" s="1" t="str">
        <f>IF(AND(Programme_Grunddaten!$A1001="Geprüft",Programme_Grunddaten!AI1001&lt;&gt;""),IF(Programme_Grunddaten!AI1001="Ja",1,0),"")</f>
        <v/>
      </c>
      <c r="AB1000" s="1" t="str">
        <f>IF(AND(Programme_Grunddaten!$A1001="Geprüft",Programme_Grunddaten!AJ1001&lt;&gt;""),IF(Programme_Grunddaten!AJ1001="individuell programmierbar",1,0),"")</f>
        <v/>
      </c>
      <c r="AC1000" s="1" t="str">
        <f>IF(AND(Programme_Grunddaten!$A1001="Geprüft",Programme_Grunddaten!AK1001&lt;&gt;""),IF(Programme_Grunddaten!AK1001="Deutsch",0,IF(Programme_Grunddaten!AK1001="Deutsch und Englisch",1,2)),"")</f>
        <v/>
      </c>
      <c r="AD1000" s="1" t="str">
        <f>IF(AND(Programme_Grunddaten!$A1001="Geprüft",Programme_Grunddaten!AL1001&lt;&gt;""),IF(Programme_Grunddaten!AL1001="Ja",1,0),"")</f>
        <v/>
      </c>
      <c r="AE1000" s="1" t="str">
        <f>IF(AND(Programme_Grunddaten!$A1001="Geprüft",Programme_Grunddaten!AM1001&lt;&gt;""),IF(Programme_Grunddaten!AM1001="Ja",1,0),"")</f>
        <v/>
      </c>
      <c r="AG1000" s="1" t="str">
        <f>IF(AND(Programme_Grunddaten!$A1001="Geprüft",Programme_Grunddaten!AO1001&lt;&gt;""),IF(Programme_Grunddaten!AO1001="Einzelzugang",1,0),"")</f>
        <v/>
      </c>
      <c r="AH1000" s="1" t="str">
        <f>IF(AND(Programme_Grunddaten!$A1001="Geprüft",Programme_Grunddaten!AP1001&lt;&gt;""),IF(Programme_Grunddaten!AP1001="Ja",1,0),"")</f>
        <v/>
      </c>
      <c r="AI1000" s="1" t="str">
        <f>IF(AND(Programme_Grunddaten!$A1001="Geprüft",Programme_Grunddaten!AQ1001&lt;&gt;""),IF(Programme_Grunddaten!AQ1001="Ja",1,0),"")</f>
        <v/>
      </c>
      <c r="AJ1000" s="1" t="str">
        <f>IF(AND(Programme_Grunddaten!$A1001="Geprüft",Programme_Grunddaten!AR1001&lt;&gt;""),IF(Programme_Grunddaten!AR1001="Ja",1,0),"")</f>
        <v/>
      </c>
      <c r="AK1000" s="1" t="str">
        <f>IF(AND(Programme_Grunddaten!$A1001="Geprüft",Programme_Grunddaten!AS1001&lt;&gt;""),IF(Programme_Grunddaten!AS1001="Ja",1,0),"")</f>
        <v/>
      </c>
      <c r="AL1000" s="1" t="str">
        <f>IF(AND(Programme_Grunddaten!$A1001="Geprüft",Programme_Grunddaten!AT1001&lt;&gt;""),IF(Programme_Grunddaten!AT1001="Ja",1,0),"")</f>
        <v/>
      </c>
      <c r="AM1000" s="1" t="str">
        <f>IF(AND(Programme_Grunddaten!$A1001="Geprüft",Programme_Grunddaten!AU1001&lt;&gt;""),IF(Programme_Grunddaten!AU1001="Ja",1,0),"")</f>
        <v/>
      </c>
      <c r="AN1000" s="1" t="str">
        <f>IF(AND(Programme_Grunddaten!$A1001="Geprüft",Programme_Grunddaten!AV1001&lt;&gt;""),IF(Programme_Grunddaten!AV1001="Einfache Speicherung",1,0),"")</f>
        <v/>
      </c>
    </row>
  </sheetData>
  <phoneticPr fontId="1" type="noConversion"/>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275C-C779-4E99-95F2-41A4A18E96BE}">
  <dimension ref="A1:K46"/>
  <sheetViews>
    <sheetView workbookViewId="0">
      <selection activeCell="E21" sqref="E21"/>
    </sheetView>
  </sheetViews>
  <sheetFormatPr baseColWidth="10" defaultRowHeight="15.05" x14ac:dyDescent="0.3"/>
  <cols>
    <col min="1" max="1" width="11.5546875" style="6"/>
    <col min="2" max="2" width="16.5546875" style="6" customWidth="1"/>
    <col min="3" max="3" width="28.5546875" style="6" customWidth="1"/>
    <col min="4" max="4" width="19.21875" style="10" customWidth="1"/>
    <col min="5" max="5" width="18.5546875" style="1" customWidth="1"/>
    <col min="6" max="8" width="11.5546875" style="1"/>
    <col min="9" max="9" width="11.109375" style="1" customWidth="1"/>
    <col min="10" max="10" width="11.5546875" style="1"/>
    <col min="11" max="11" width="11.21875" style="1" customWidth="1"/>
    <col min="12" max="12" width="12.109375" style="1" customWidth="1"/>
    <col min="13" max="16384" width="11.5546875" style="1"/>
  </cols>
  <sheetData>
    <row r="1" spans="1:11" x14ac:dyDescent="0.3">
      <c r="A1" s="6" t="s">
        <v>535</v>
      </c>
      <c r="B1" s="6" t="s">
        <v>557</v>
      </c>
      <c r="C1" s="6" t="s">
        <v>536</v>
      </c>
      <c r="D1" s="10" t="s">
        <v>1607</v>
      </c>
      <c r="E1" s="1" t="s">
        <v>539</v>
      </c>
    </row>
    <row r="2" spans="1:11" x14ac:dyDescent="0.3">
      <c r="A2" s="6" t="s">
        <v>386</v>
      </c>
      <c r="B2" s="6">
        <v>1</v>
      </c>
      <c r="C2" s="6" t="s">
        <v>1643</v>
      </c>
      <c r="D2" s="6" t="s">
        <v>1608</v>
      </c>
      <c r="E2" s="1">
        <v>1</v>
      </c>
      <c r="I2" s="6"/>
      <c r="K2" s="6"/>
    </row>
    <row r="3" spans="1:11" ht="30.05" x14ac:dyDescent="0.3">
      <c r="A3" s="6" t="s">
        <v>387</v>
      </c>
      <c r="B3" s="6">
        <v>1</v>
      </c>
      <c r="C3" s="6" t="s">
        <v>1642</v>
      </c>
      <c r="D3" s="8" t="s">
        <v>1611</v>
      </c>
      <c r="E3" s="1">
        <v>1</v>
      </c>
      <c r="I3" s="6"/>
      <c r="K3" s="6"/>
    </row>
    <row r="4" spans="1:11" x14ac:dyDescent="0.3">
      <c r="A4" s="6" t="s">
        <v>504</v>
      </c>
      <c r="B4" s="6">
        <v>1</v>
      </c>
      <c r="C4" s="6" t="s">
        <v>1701</v>
      </c>
      <c r="D4" s="6" t="s">
        <v>1608</v>
      </c>
      <c r="E4" s="1">
        <v>1</v>
      </c>
      <c r="I4" s="6"/>
      <c r="K4" s="6"/>
    </row>
    <row r="5" spans="1:11" x14ac:dyDescent="0.3">
      <c r="A5" s="6" t="s">
        <v>519</v>
      </c>
      <c r="B5" s="6">
        <v>1</v>
      </c>
      <c r="C5" s="6" t="s">
        <v>1641</v>
      </c>
      <c r="D5" s="6" t="s">
        <v>1610</v>
      </c>
      <c r="E5" s="1">
        <v>1</v>
      </c>
      <c r="I5" s="6"/>
      <c r="K5" s="6"/>
    </row>
    <row r="6" spans="1:11" ht="30.05" x14ac:dyDescent="0.3">
      <c r="A6" s="6" t="s">
        <v>388</v>
      </c>
      <c r="B6" s="6">
        <v>1</v>
      </c>
      <c r="C6" s="6" t="s">
        <v>1640</v>
      </c>
      <c r="D6" s="6" t="s">
        <v>1608</v>
      </c>
      <c r="E6" s="1">
        <v>1</v>
      </c>
      <c r="I6" s="6"/>
      <c r="K6" s="6"/>
    </row>
    <row r="7" spans="1:11" x14ac:dyDescent="0.3">
      <c r="A7" s="6" t="s">
        <v>389</v>
      </c>
      <c r="B7" s="6">
        <v>1</v>
      </c>
      <c r="C7" s="6" t="s">
        <v>1639</v>
      </c>
      <c r="D7" s="8" t="s">
        <v>1611</v>
      </c>
      <c r="E7" s="1">
        <v>1</v>
      </c>
      <c r="I7" s="6"/>
      <c r="K7" s="6"/>
    </row>
    <row r="8" spans="1:11" x14ac:dyDescent="0.3">
      <c r="A8" s="6" t="s">
        <v>505</v>
      </c>
      <c r="B8" s="6">
        <v>1</v>
      </c>
      <c r="C8" s="6" t="s">
        <v>1616</v>
      </c>
      <c r="D8" s="6" t="s">
        <v>1610</v>
      </c>
      <c r="E8" s="1">
        <v>1</v>
      </c>
      <c r="I8" s="6"/>
      <c r="K8" s="6"/>
    </row>
    <row r="9" spans="1:11" x14ac:dyDescent="0.3">
      <c r="A9" s="6" t="s">
        <v>506</v>
      </c>
      <c r="B9" s="6">
        <v>1</v>
      </c>
      <c r="C9" s="6" t="s">
        <v>1638</v>
      </c>
      <c r="D9" s="6" t="s">
        <v>1608</v>
      </c>
      <c r="E9" s="1">
        <v>1</v>
      </c>
      <c r="I9" s="6"/>
      <c r="K9" s="6"/>
    </row>
    <row r="10" spans="1:11" x14ac:dyDescent="0.3">
      <c r="A10" s="6" t="s">
        <v>390</v>
      </c>
      <c r="B10" s="6">
        <v>1</v>
      </c>
      <c r="C10" s="6" t="s">
        <v>1637</v>
      </c>
      <c r="D10" s="6" t="s">
        <v>1609</v>
      </c>
      <c r="E10" s="1">
        <v>1</v>
      </c>
      <c r="I10" s="6"/>
      <c r="K10" s="6"/>
    </row>
    <row r="11" spans="1:11" x14ac:dyDescent="0.3">
      <c r="A11" s="6" t="s">
        <v>520</v>
      </c>
      <c r="B11" s="6">
        <v>1</v>
      </c>
      <c r="C11" s="6" t="s">
        <v>1617</v>
      </c>
      <c r="D11" s="6" t="s">
        <v>1608</v>
      </c>
      <c r="E11" s="1">
        <v>1</v>
      </c>
      <c r="I11" s="6"/>
      <c r="K11" s="6"/>
    </row>
    <row r="12" spans="1:11" x14ac:dyDescent="0.3">
      <c r="A12" s="6" t="s">
        <v>391</v>
      </c>
      <c r="B12" s="6">
        <v>0</v>
      </c>
      <c r="C12" s="6" t="s">
        <v>656</v>
      </c>
      <c r="D12" s="5" t="s">
        <v>1612</v>
      </c>
      <c r="I12" s="6"/>
      <c r="K12" s="6"/>
    </row>
    <row r="13" spans="1:11" x14ac:dyDescent="0.3">
      <c r="A13" s="6" t="s">
        <v>507</v>
      </c>
      <c r="B13" s="6">
        <v>1</v>
      </c>
      <c r="C13" s="6" t="s">
        <v>264</v>
      </c>
      <c r="D13" s="6" t="s">
        <v>1608</v>
      </c>
      <c r="E13" s="1">
        <v>1</v>
      </c>
      <c r="I13" s="6"/>
      <c r="K13" s="6"/>
    </row>
    <row r="14" spans="1:11" ht="30.05" x14ac:dyDescent="0.3">
      <c r="A14" s="6" t="s">
        <v>508</v>
      </c>
      <c r="B14" s="6">
        <v>1</v>
      </c>
      <c r="C14" s="6" t="s">
        <v>476</v>
      </c>
      <c r="D14" s="6" t="s">
        <v>1608</v>
      </c>
      <c r="E14" s="1">
        <v>1</v>
      </c>
      <c r="I14" s="6"/>
      <c r="K14" s="6"/>
    </row>
    <row r="15" spans="1:11" x14ac:dyDescent="0.3">
      <c r="A15" s="6" t="s">
        <v>521</v>
      </c>
      <c r="B15" s="6">
        <v>1</v>
      </c>
      <c r="C15" s="6" t="s">
        <v>411</v>
      </c>
      <c r="D15" s="6" t="s">
        <v>1608</v>
      </c>
      <c r="E15" s="1">
        <v>1</v>
      </c>
      <c r="I15" s="6"/>
      <c r="K15" s="6"/>
    </row>
    <row r="16" spans="1:11" x14ac:dyDescent="0.3">
      <c r="A16" s="6" t="s">
        <v>392</v>
      </c>
      <c r="B16" s="6">
        <v>1</v>
      </c>
      <c r="C16" s="6" t="s">
        <v>1636</v>
      </c>
      <c r="D16" s="6" t="s">
        <v>1608</v>
      </c>
      <c r="E16" s="1">
        <v>1</v>
      </c>
      <c r="I16" s="6"/>
      <c r="K16" s="6"/>
    </row>
    <row r="17" spans="1:11" x14ac:dyDescent="0.3">
      <c r="A17" s="6" t="s">
        <v>393</v>
      </c>
      <c r="B17" s="6">
        <v>1</v>
      </c>
      <c r="C17" s="6" t="s">
        <v>1635</v>
      </c>
      <c r="D17" s="8" t="s">
        <v>1611</v>
      </c>
      <c r="E17" s="1">
        <v>1</v>
      </c>
      <c r="I17" s="6"/>
      <c r="K17" s="6"/>
    </row>
    <row r="18" spans="1:11" ht="30.05" x14ac:dyDescent="0.3">
      <c r="A18" s="6" t="s">
        <v>509</v>
      </c>
      <c r="B18" s="6">
        <v>1</v>
      </c>
      <c r="C18" s="6" t="s">
        <v>1634</v>
      </c>
      <c r="D18" s="6" t="s">
        <v>1608</v>
      </c>
      <c r="E18" s="1">
        <v>1</v>
      </c>
      <c r="I18" s="6"/>
      <c r="K18" s="6"/>
    </row>
    <row r="19" spans="1:11" ht="30.05" x14ac:dyDescent="0.3">
      <c r="A19" s="6" t="s">
        <v>510</v>
      </c>
      <c r="B19" s="6">
        <v>1</v>
      </c>
      <c r="C19" s="6" t="s">
        <v>1633</v>
      </c>
      <c r="D19" s="6" t="s">
        <v>1608</v>
      </c>
      <c r="E19" s="1">
        <v>1</v>
      </c>
      <c r="I19" s="6"/>
    </row>
    <row r="20" spans="1:11" x14ac:dyDescent="0.3">
      <c r="A20" s="6" t="s">
        <v>394</v>
      </c>
      <c r="B20" s="6">
        <v>1</v>
      </c>
      <c r="C20" s="6" t="s">
        <v>1632</v>
      </c>
      <c r="D20" s="6" t="s">
        <v>1609</v>
      </c>
      <c r="E20" s="1">
        <v>1</v>
      </c>
      <c r="I20" s="6"/>
      <c r="K20" s="6"/>
    </row>
    <row r="21" spans="1:11" x14ac:dyDescent="0.3">
      <c r="A21" s="6" t="s">
        <v>395</v>
      </c>
      <c r="B21" s="6">
        <v>1</v>
      </c>
      <c r="C21" s="6" t="s">
        <v>1631</v>
      </c>
      <c r="D21" s="6" t="s">
        <v>1608</v>
      </c>
      <c r="E21" s="1">
        <v>1</v>
      </c>
      <c r="I21" s="6"/>
      <c r="K21" s="6"/>
    </row>
    <row r="22" spans="1:11" x14ac:dyDescent="0.3">
      <c r="A22" s="6" t="s">
        <v>528</v>
      </c>
      <c r="B22" s="6">
        <v>1</v>
      </c>
      <c r="C22" s="6" t="s">
        <v>417</v>
      </c>
      <c r="D22" s="6" t="s">
        <v>1608</v>
      </c>
      <c r="E22" s="1">
        <v>1</v>
      </c>
      <c r="I22" s="6"/>
      <c r="K22" s="6"/>
    </row>
    <row r="23" spans="1:11" x14ac:dyDescent="0.3">
      <c r="A23" s="6" t="s">
        <v>527</v>
      </c>
      <c r="B23" s="6">
        <v>1</v>
      </c>
      <c r="C23" s="6" t="s">
        <v>418</v>
      </c>
      <c r="D23" s="6" t="s">
        <v>1608</v>
      </c>
      <c r="E23" s="1">
        <v>1</v>
      </c>
      <c r="I23" s="6"/>
      <c r="K23" s="6"/>
    </row>
    <row r="24" spans="1:11" x14ac:dyDescent="0.3">
      <c r="A24" s="6" t="s">
        <v>526</v>
      </c>
      <c r="B24" s="6">
        <v>1</v>
      </c>
      <c r="C24" s="6" t="s">
        <v>419</v>
      </c>
      <c r="D24" s="6" t="s">
        <v>1608</v>
      </c>
      <c r="E24" s="1">
        <v>1</v>
      </c>
      <c r="I24" s="6"/>
      <c r="K24" s="6"/>
    </row>
    <row r="25" spans="1:11" x14ac:dyDescent="0.3">
      <c r="A25" s="6" t="s">
        <v>525</v>
      </c>
      <c r="B25" s="6">
        <v>1</v>
      </c>
      <c r="C25" s="6" t="s">
        <v>420</v>
      </c>
      <c r="D25" s="6" t="s">
        <v>1608</v>
      </c>
      <c r="E25" s="1">
        <v>1</v>
      </c>
      <c r="I25" s="6"/>
      <c r="K25" s="6"/>
    </row>
    <row r="26" spans="1:11" x14ac:dyDescent="0.3">
      <c r="A26" s="6" t="s">
        <v>524</v>
      </c>
      <c r="B26" s="6">
        <v>1</v>
      </c>
      <c r="C26" s="6" t="s">
        <v>1630</v>
      </c>
      <c r="D26" s="6" t="s">
        <v>1608</v>
      </c>
      <c r="E26" s="1">
        <v>1</v>
      </c>
      <c r="I26" s="6"/>
      <c r="K26" s="6"/>
    </row>
    <row r="27" spans="1:11" x14ac:dyDescent="0.3">
      <c r="A27" s="6" t="s">
        <v>523</v>
      </c>
      <c r="B27" s="6">
        <v>1</v>
      </c>
      <c r="C27" s="6" t="s">
        <v>422</v>
      </c>
      <c r="D27" s="6" t="s">
        <v>1608</v>
      </c>
      <c r="E27" s="1">
        <v>1</v>
      </c>
      <c r="I27" s="6"/>
      <c r="K27" s="6"/>
    </row>
    <row r="28" spans="1:11" x14ac:dyDescent="0.3">
      <c r="A28" s="6" t="s">
        <v>522</v>
      </c>
      <c r="B28" s="6">
        <v>1</v>
      </c>
      <c r="C28" s="6" t="s">
        <v>423</v>
      </c>
      <c r="D28" s="6" t="s">
        <v>1608</v>
      </c>
      <c r="E28" s="1">
        <v>1</v>
      </c>
      <c r="I28" s="6"/>
      <c r="K28" s="6"/>
    </row>
    <row r="29" spans="1:11" x14ac:dyDescent="0.3">
      <c r="A29" s="6" t="s">
        <v>396</v>
      </c>
      <c r="B29" s="6">
        <v>1</v>
      </c>
      <c r="C29" s="6" t="s">
        <v>1629</v>
      </c>
      <c r="D29" s="6" t="s">
        <v>1610</v>
      </c>
      <c r="E29" s="1">
        <v>1</v>
      </c>
      <c r="I29" s="6"/>
      <c r="K29" s="6"/>
    </row>
    <row r="30" spans="1:11" x14ac:dyDescent="0.3">
      <c r="A30" s="6" t="s">
        <v>397</v>
      </c>
      <c r="B30" s="6">
        <v>1</v>
      </c>
      <c r="C30" s="6" t="s">
        <v>1628</v>
      </c>
      <c r="D30" s="6" t="s">
        <v>1610</v>
      </c>
      <c r="E30" s="1">
        <v>1</v>
      </c>
      <c r="I30" s="6"/>
      <c r="K30" s="6"/>
    </row>
    <row r="31" spans="1:11" x14ac:dyDescent="0.3">
      <c r="A31" s="6" t="s">
        <v>398</v>
      </c>
      <c r="B31" s="6">
        <v>1</v>
      </c>
      <c r="C31" s="6" t="s">
        <v>1626</v>
      </c>
      <c r="D31" s="6" t="s">
        <v>1608</v>
      </c>
      <c r="E31" s="1">
        <v>1</v>
      </c>
      <c r="I31" s="6"/>
      <c r="K31" s="6"/>
    </row>
    <row r="32" spans="1:11" x14ac:dyDescent="0.3">
      <c r="A32" s="6" t="s">
        <v>399</v>
      </c>
      <c r="B32" s="6">
        <v>1</v>
      </c>
      <c r="C32" s="6" t="s">
        <v>1627</v>
      </c>
      <c r="D32" s="8" t="s">
        <v>1611</v>
      </c>
      <c r="E32" s="1">
        <v>1</v>
      </c>
      <c r="I32" s="6"/>
      <c r="K32" s="6"/>
    </row>
    <row r="33" spans="1:11" x14ac:dyDescent="0.3">
      <c r="A33" s="6" t="s">
        <v>400</v>
      </c>
      <c r="B33" s="6">
        <v>1</v>
      </c>
      <c r="C33" s="6" t="s">
        <v>1672</v>
      </c>
      <c r="D33" s="6" t="s">
        <v>1608</v>
      </c>
      <c r="E33" s="1">
        <v>1</v>
      </c>
      <c r="I33" s="6"/>
      <c r="K33" s="6"/>
    </row>
    <row r="34" spans="1:11" x14ac:dyDescent="0.3">
      <c r="A34" s="6" t="s">
        <v>401</v>
      </c>
      <c r="B34" s="6">
        <v>1</v>
      </c>
      <c r="C34" s="6" t="s">
        <v>1625</v>
      </c>
      <c r="D34" s="6" t="s">
        <v>1610</v>
      </c>
      <c r="E34" s="1">
        <v>1</v>
      </c>
      <c r="I34" s="6"/>
      <c r="K34" s="6"/>
    </row>
    <row r="35" spans="1:11" x14ac:dyDescent="0.3">
      <c r="A35" s="6" t="s">
        <v>402</v>
      </c>
      <c r="B35" s="6">
        <v>1</v>
      </c>
      <c r="C35" s="6" t="s">
        <v>472</v>
      </c>
      <c r="D35" s="6" t="s">
        <v>1608</v>
      </c>
      <c r="E35" s="1">
        <v>1</v>
      </c>
      <c r="I35" s="6"/>
      <c r="K35" s="6"/>
    </row>
    <row r="36" spans="1:11" x14ac:dyDescent="0.3">
      <c r="A36" s="6" t="s">
        <v>403</v>
      </c>
      <c r="B36" s="6">
        <v>1</v>
      </c>
      <c r="C36" s="6" t="s">
        <v>1624</v>
      </c>
      <c r="D36" s="6" t="s">
        <v>1608</v>
      </c>
      <c r="E36" s="1">
        <v>1</v>
      </c>
      <c r="I36" s="6"/>
      <c r="K36" s="6"/>
    </row>
    <row r="37" spans="1:11" x14ac:dyDescent="0.3">
      <c r="A37" s="6" t="s">
        <v>404</v>
      </c>
      <c r="B37" s="6">
        <v>1</v>
      </c>
      <c r="C37" s="6" t="s">
        <v>428</v>
      </c>
      <c r="D37" s="6" t="s">
        <v>1608</v>
      </c>
      <c r="E37" s="1">
        <v>1</v>
      </c>
      <c r="I37" s="6"/>
      <c r="K37" s="6"/>
    </row>
    <row r="38" spans="1:11" ht="30.05" x14ac:dyDescent="0.3">
      <c r="A38" s="6" t="s">
        <v>405</v>
      </c>
      <c r="B38" s="6">
        <v>1</v>
      </c>
      <c r="C38" s="6" t="s">
        <v>1623</v>
      </c>
      <c r="D38" s="6" t="s">
        <v>1608</v>
      </c>
      <c r="E38" s="1">
        <v>1</v>
      </c>
      <c r="I38" s="6"/>
      <c r="K38" s="6"/>
    </row>
    <row r="39" spans="1:11" x14ac:dyDescent="0.3">
      <c r="A39" s="6" t="s">
        <v>406</v>
      </c>
      <c r="B39" s="6">
        <v>1</v>
      </c>
      <c r="C39" s="6" t="s">
        <v>1622</v>
      </c>
      <c r="D39" s="6" t="s">
        <v>1608</v>
      </c>
      <c r="E39" s="1">
        <v>1</v>
      </c>
      <c r="I39" s="6"/>
      <c r="K39" s="6"/>
    </row>
    <row r="40" spans="1:11" x14ac:dyDescent="0.3">
      <c r="A40" s="6" t="s">
        <v>407</v>
      </c>
      <c r="B40" s="6">
        <v>1</v>
      </c>
      <c r="C40" s="6" t="s">
        <v>1621</v>
      </c>
      <c r="D40" s="6" t="s">
        <v>1608</v>
      </c>
      <c r="E40" s="1">
        <v>1</v>
      </c>
      <c r="I40" s="6"/>
      <c r="K40" s="6"/>
    </row>
    <row r="41" spans="1:11" x14ac:dyDescent="0.3">
      <c r="A41" s="6" t="s">
        <v>1704</v>
      </c>
      <c r="B41" s="6">
        <v>1</v>
      </c>
      <c r="C41" s="6" t="s">
        <v>432</v>
      </c>
      <c r="D41" s="6" t="s">
        <v>1610</v>
      </c>
      <c r="E41" s="1">
        <v>1</v>
      </c>
      <c r="I41" s="6"/>
      <c r="K41" s="6"/>
    </row>
    <row r="42" spans="1:11" x14ac:dyDescent="0.3">
      <c r="A42" s="6" t="s">
        <v>1717</v>
      </c>
      <c r="B42" s="6">
        <v>0</v>
      </c>
      <c r="C42" s="6" t="s">
        <v>516</v>
      </c>
      <c r="D42" s="6"/>
      <c r="I42" s="6"/>
      <c r="K42" s="6"/>
    </row>
    <row r="43" spans="1:11" x14ac:dyDescent="0.3">
      <c r="A43" s="6" t="s">
        <v>1718</v>
      </c>
      <c r="B43" s="6">
        <v>0</v>
      </c>
      <c r="C43" s="6" t="s">
        <v>1651</v>
      </c>
      <c r="I43" s="6"/>
      <c r="K43" s="6"/>
    </row>
    <row r="44" spans="1:11" x14ac:dyDescent="0.3">
      <c r="I44" s="6"/>
      <c r="K44" s="6"/>
    </row>
    <row r="45" spans="1:11" x14ac:dyDescent="0.3">
      <c r="I45" s="6"/>
      <c r="K45" s="6"/>
    </row>
    <row r="46" spans="1:11" x14ac:dyDescent="0.3">
      <c r="I46" s="6"/>
      <c r="K46" s="6"/>
    </row>
  </sheetData>
  <phoneticPr fontId="1" type="noConversion"/>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AA6D-7E80-46AC-A478-744F1F6F1F01}">
  <dimension ref="A1:N35"/>
  <sheetViews>
    <sheetView zoomScale="75" zoomScaleNormal="75" workbookViewId="0">
      <selection activeCell="F29" sqref="F29"/>
    </sheetView>
  </sheetViews>
  <sheetFormatPr baseColWidth="10" defaultRowHeight="15.05" x14ac:dyDescent="0.3"/>
  <cols>
    <col min="1" max="1" width="11.5546875" style="1"/>
    <col min="2" max="2" width="22.88671875" style="1" customWidth="1"/>
    <col min="3" max="3" width="22" style="1" customWidth="1"/>
    <col min="4" max="4" width="11.33203125" style="6" customWidth="1"/>
    <col min="5" max="7" width="76.5546875" style="6" customWidth="1"/>
    <col min="8" max="8" width="23.77734375" style="10" customWidth="1"/>
    <col min="9" max="9" width="34.88671875" style="6" customWidth="1"/>
    <col min="10" max="10" width="29.109375" style="6" customWidth="1"/>
    <col min="11" max="11" width="24.21875" style="6" customWidth="1"/>
    <col min="12" max="12" width="23.33203125" style="1" customWidth="1"/>
    <col min="13" max="13" width="11.5546875" style="1"/>
    <col min="14" max="14" width="11.5546875" style="8"/>
    <col min="15" max="16384" width="11.5546875" style="1"/>
  </cols>
  <sheetData>
    <row r="1" spans="1:12" ht="30.05" x14ac:dyDescent="0.3">
      <c r="A1" s="6" t="s">
        <v>535</v>
      </c>
      <c r="B1" s="6" t="s">
        <v>1603</v>
      </c>
      <c r="C1" s="6" t="s">
        <v>1604</v>
      </c>
      <c r="D1" s="6" t="s">
        <v>551</v>
      </c>
      <c r="E1" s="6" t="s">
        <v>540</v>
      </c>
      <c r="F1" s="6" t="s">
        <v>1736</v>
      </c>
      <c r="G1" s="6" t="s">
        <v>1705</v>
      </c>
      <c r="H1" s="10" t="s">
        <v>538</v>
      </c>
      <c r="I1" s="6" t="s">
        <v>541</v>
      </c>
      <c r="J1" s="6" t="s">
        <v>542</v>
      </c>
      <c r="K1" s="6" t="s">
        <v>543</v>
      </c>
      <c r="L1" s="6" t="s">
        <v>544</v>
      </c>
    </row>
    <row r="2" spans="1:12" ht="60.1" x14ac:dyDescent="0.3">
      <c r="A2" s="6" t="s">
        <v>387</v>
      </c>
      <c r="B2" s="6"/>
      <c r="C2" s="6"/>
      <c r="D2" s="7" t="s">
        <v>552</v>
      </c>
      <c r="E2" s="7" t="s">
        <v>547</v>
      </c>
      <c r="F2" s="4" t="s">
        <v>1737</v>
      </c>
      <c r="G2" s="7"/>
      <c r="H2" s="10" t="s">
        <v>1605</v>
      </c>
      <c r="I2" s="6" t="s">
        <v>548</v>
      </c>
      <c r="J2" s="6" t="s">
        <v>1645</v>
      </c>
      <c r="L2" t="s">
        <v>1618</v>
      </c>
    </row>
    <row r="3" spans="1:12" ht="45.1" x14ac:dyDescent="0.3">
      <c r="A3" s="6" t="s">
        <v>504</v>
      </c>
      <c r="B3" s="6" t="s">
        <v>387</v>
      </c>
      <c r="C3" s="6" t="s">
        <v>1645</v>
      </c>
      <c r="D3" s="6" t="s">
        <v>504</v>
      </c>
      <c r="E3" s="6" t="s">
        <v>433</v>
      </c>
      <c r="F3" s="4" t="s">
        <v>1738</v>
      </c>
      <c r="H3" s="10" t="s">
        <v>1605</v>
      </c>
      <c r="I3" s="6" t="s">
        <v>1613</v>
      </c>
      <c r="J3" s="6" t="s">
        <v>1644</v>
      </c>
      <c r="L3" t="s">
        <v>1618</v>
      </c>
    </row>
    <row r="4" spans="1:12" ht="45.1" x14ac:dyDescent="0.3">
      <c r="A4" s="6" t="s">
        <v>519</v>
      </c>
      <c r="B4" s="6" t="s">
        <v>504</v>
      </c>
      <c r="C4" s="6" t="s">
        <v>1644</v>
      </c>
      <c r="D4" s="6" t="s">
        <v>519</v>
      </c>
      <c r="E4" s="6" t="s">
        <v>434</v>
      </c>
      <c r="F4" s="4" t="s">
        <v>1739</v>
      </c>
      <c r="H4" s="10" t="s">
        <v>1605</v>
      </c>
      <c r="I4" s="6" t="s">
        <v>511</v>
      </c>
      <c r="J4" s="6" t="s">
        <v>482</v>
      </c>
      <c r="L4" t="s">
        <v>1618</v>
      </c>
    </row>
    <row r="5" spans="1:12" ht="45.1" x14ac:dyDescent="0.3">
      <c r="A5" s="6" t="s">
        <v>389</v>
      </c>
      <c r="B5" s="6"/>
      <c r="C5" s="6"/>
      <c r="D5" s="6" t="s">
        <v>553</v>
      </c>
      <c r="E5" s="6" t="s">
        <v>435</v>
      </c>
      <c r="F5" s="4" t="s">
        <v>1740</v>
      </c>
      <c r="H5" s="10" t="s">
        <v>1605</v>
      </c>
      <c r="I5" s="6" t="s">
        <v>453</v>
      </c>
      <c r="J5" s="6" t="s">
        <v>454</v>
      </c>
      <c r="L5" t="s">
        <v>1618</v>
      </c>
    </row>
    <row r="6" spans="1:12" ht="45.1" x14ac:dyDescent="0.3">
      <c r="A6" s="6" t="s">
        <v>505</v>
      </c>
      <c r="B6" s="6" t="s">
        <v>389</v>
      </c>
      <c r="C6" s="6" t="s">
        <v>453</v>
      </c>
      <c r="D6" s="6" t="s">
        <v>505</v>
      </c>
      <c r="E6" s="6" t="s">
        <v>436</v>
      </c>
      <c r="F6" s="4" t="s">
        <v>1741</v>
      </c>
      <c r="H6" s="10" t="s">
        <v>1605</v>
      </c>
      <c r="I6" s="6" t="s">
        <v>455</v>
      </c>
      <c r="J6" s="6" t="s">
        <v>456</v>
      </c>
      <c r="K6" s="6" t="s">
        <v>457</v>
      </c>
      <c r="L6" t="s">
        <v>1618</v>
      </c>
    </row>
    <row r="7" spans="1:12" ht="45.1" x14ac:dyDescent="0.3">
      <c r="A7" s="6" t="s">
        <v>505</v>
      </c>
      <c r="B7" s="6" t="s">
        <v>389</v>
      </c>
      <c r="C7" t="s">
        <v>1618</v>
      </c>
      <c r="D7" s="6" t="s">
        <v>505</v>
      </c>
      <c r="E7" s="6" t="s">
        <v>436</v>
      </c>
      <c r="F7" s="4" t="s">
        <v>1741</v>
      </c>
      <c r="H7" s="10" t="s">
        <v>1605</v>
      </c>
      <c r="I7" s="6" t="s">
        <v>455</v>
      </c>
      <c r="J7" s="6" t="s">
        <v>456</v>
      </c>
      <c r="K7" s="6" t="s">
        <v>457</v>
      </c>
      <c r="L7" t="s">
        <v>1618</v>
      </c>
    </row>
    <row r="8" spans="1:12" ht="45.1" x14ac:dyDescent="0.3">
      <c r="A8" s="6" t="s">
        <v>506</v>
      </c>
      <c r="B8" s="6" t="s">
        <v>389</v>
      </c>
      <c r="C8" s="6" t="s">
        <v>453</v>
      </c>
      <c r="D8" s="6" t="s">
        <v>506</v>
      </c>
      <c r="E8" s="6" t="s">
        <v>458</v>
      </c>
      <c r="F8" s="4" t="s">
        <v>1742</v>
      </c>
      <c r="H8" s="10" t="s">
        <v>1605</v>
      </c>
      <c r="I8" s="6" t="s">
        <v>451</v>
      </c>
      <c r="J8" s="6" t="s">
        <v>452</v>
      </c>
      <c r="L8" t="s">
        <v>1618</v>
      </c>
    </row>
    <row r="9" spans="1:12" ht="45.1" x14ac:dyDescent="0.3">
      <c r="A9" s="6" t="s">
        <v>506</v>
      </c>
      <c r="B9" s="6" t="s">
        <v>389</v>
      </c>
      <c r="C9" t="s">
        <v>1618</v>
      </c>
      <c r="D9" s="6" t="s">
        <v>506</v>
      </c>
      <c r="E9" s="6" t="s">
        <v>458</v>
      </c>
      <c r="F9" s="4" t="s">
        <v>1742</v>
      </c>
      <c r="H9" s="10" t="s">
        <v>1605</v>
      </c>
      <c r="I9" s="6" t="s">
        <v>451</v>
      </c>
      <c r="J9" s="6" t="s">
        <v>452</v>
      </c>
      <c r="L9" t="s">
        <v>1618</v>
      </c>
    </row>
    <row r="10" spans="1:12" ht="30.05" x14ac:dyDescent="0.3">
      <c r="A10" s="6" t="s">
        <v>390</v>
      </c>
      <c r="B10" s="6"/>
      <c r="C10" s="6"/>
      <c r="D10" s="6" t="s">
        <v>390</v>
      </c>
      <c r="E10" s="6" t="s">
        <v>1707</v>
      </c>
      <c r="F10" s="4" t="s">
        <v>1743</v>
      </c>
      <c r="G10" s="6" t="s">
        <v>1706</v>
      </c>
      <c r="H10" s="10" t="s">
        <v>1605</v>
      </c>
      <c r="I10" s="6" t="s">
        <v>451</v>
      </c>
      <c r="J10" s="6" t="s">
        <v>459</v>
      </c>
      <c r="L10" t="s">
        <v>1618</v>
      </c>
    </row>
    <row r="11" spans="1:12" ht="30.05" x14ac:dyDescent="0.3">
      <c r="A11" s="6" t="s">
        <v>520</v>
      </c>
      <c r="B11" s="6" t="s">
        <v>390</v>
      </c>
      <c r="C11" s="6" t="s">
        <v>451</v>
      </c>
      <c r="D11" s="6" t="s">
        <v>520</v>
      </c>
      <c r="E11" s="6" t="s">
        <v>437</v>
      </c>
      <c r="F11" s="4" t="s">
        <v>1744</v>
      </c>
      <c r="H11" s="10" t="s">
        <v>1605</v>
      </c>
      <c r="I11" s="6" t="s">
        <v>451</v>
      </c>
      <c r="J11" s="6" t="s">
        <v>452</v>
      </c>
      <c r="L11" t="s">
        <v>1618</v>
      </c>
    </row>
    <row r="12" spans="1:12" ht="31.3" customHeight="1" x14ac:dyDescent="0.3">
      <c r="A12" s="6" t="s">
        <v>391</v>
      </c>
      <c r="B12" s="6"/>
      <c r="C12" s="6"/>
      <c r="D12" s="6" t="s">
        <v>555</v>
      </c>
      <c r="E12" s="6" t="s">
        <v>1710</v>
      </c>
      <c r="F12" s="4" t="s">
        <v>1745</v>
      </c>
      <c r="G12" s="6" t="s">
        <v>1708</v>
      </c>
      <c r="H12" s="5" t="s">
        <v>550</v>
      </c>
      <c r="I12" s="6" t="s">
        <v>475</v>
      </c>
      <c r="J12" s="6" t="s">
        <v>474</v>
      </c>
      <c r="K12" s="6" t="s">
        <v>473</v>
      </c>
      <c r="L12"/>
    </row>
    <row r="13" spans="1:12" ht="75.150000000000006" x14ac:dyDescent="0.3">
      <c r="A13" s="6" t="s">
        <v>392</v>
      </c>
      <c r="B13" s="6"/>
      <c r="C13" s="6"/>
      <c r="D13" s="6" t="s">
        <v>392</v>
      </c>
      <c r="E13" s="6" t="s">
        <v>1716</v>
      </c>
      <c r="F13" s="4" t="s">
        <v>1768</v>
      </c>
      <c r="G13" s="6" t="s">
        <v>1767</v>
      </c>
      <c r="H13" s="10" t="s">
        <v>1605</v>
      </c>
      <c r="I13" s="6" t="s">
        <v>451</v>
      </c>
      <c r="J13" s="6" t="s">
        <v>452</v>
      </c>
      <c r="L13" t="s">
        <v>1618</v>
      </c>
    </row>
    <row r="14" spans="1:12" ht="105.2" x14ac:dyDescent="0.3">
      <c r="A14" s="6" t="s">
        <v>393</v>
      </c>
      <c r="B14" s="6"/>
      <c r="C14" s="6"/>
      <c r="D14" s="6" t="s">
        <v>556</v>
      </c>
      <c r="E14" s="4" t="s">
        <v>1809</v>
      </c>
      <c r="F14" s="37" t="s">
        <v>1810</v>
      </c>
      <c r="H14" s="10" t="s">
        <v>1605</v>
      </c>
      <c r="I14" s="6" t="s">
        <v>484</v>
      </c>
      <c r="J14" s="6" t="s">
        <v>483</v>
      </c>
      <c r="L14" t="s">
        <v>1618</v>
      </c>
    </row>
    <row r="15" spans="1:12" ht="45.1" x14ac:dyDescent="0.3">
      <c r="A15" s="6" t="s">
        <v>394</v>
      </c>
      <c r="B15" s="6"/>
      <c r="C15" s="6"/>
      <c r="D15" s="6" t="s">
        <v>394</v>
      </c>
      <c r="E15" s="6" t="s">
        <v>438</v>
      </c>
      <c r="F15" s="4" t="s">
        <v>1746</v>
      </c>
      <c r="H15" s="10" t="s">
        <v>1605</v>
      </c>
      <c r="I15" s="6" t="s">
        <v>451</v>
      </c>
      <c r="J15" s="6" t="s">
        <v>452</v>
      </c>
      <c r="L15" t="s">
        <v>1618</v>
      </c>
    </row>
    <row r="16" spans="1:12" ht="45.1" x14ac:dyDescent="0.3">
      <c r="A16" s="6" t="s">
        <v>395</v>
      </c>
      <c r="B16" s="6"/>
      <c r="C16" s="6"/>
      <c r="D16" s="6" t="s">
        <v>395</v>
      </c>
      <c r="E16" s="6" t="s">
        <v>1711</v>
      </c>
      <c r="F16" s="4" t="s">
        <v>1747</v>
      </c>
      <c r="G16" s="6" t="s">
        <v>1709</v>
      </c>
      <c r="H16" s="10" t="s">
        <v>1605</v>
      </c>
      <c r="I16" s="6" t="s">
        <v>451</v>
      </c>
      <c r="J16" s="6" t="s">
        <v>452</v>
      </c>
      <c r="L16" t="s">
        <v>1618</v>
      </c>
    </row>
    <row r="17" spans="1:12" ht="45.1" x14ac:dyDescent="0.3">
      <c r="A17" s="6" t="s">
        <v>528</v>
      </c>
      <c r="B17" s="6" t="s">
        <v>395</v>
      </c>
      <c r="C17" s="6" t="s">
        <v>451</v>
      </c>
      <c r="D17" s="6" t="s">
        <v>528</v>
      </c>
      <c r="E17" s="6" t="s">
        <v>439</v>
      </c>
      <c r="F17" s="36" t="s">
        <v>1748</v>
      </c>
      <c r="H17" s="10" t="s">
        <v>1605</v>
      </c>
      <c r="I17" s="6" t="s">
        <v>451</v>
      </c>
      <c r="J17" s="6" t="s">
        <v>452</v>
      </c>
      <c r="L17" t="s">
        <v>1618</v>
      </c>
    </row>
    <row r="18" spans="1:12" ht="45.1" x14ac:dyDescent="0.3">
      <c r="A18" s="6" t="s">
        <v>527</v>
      </c>
      <c r="B18" s="6" t="s">
        <v>395</v>
      </c>
      <c r="C18" s="6" t="s">
        <v>451</v>
      </c>
      <c r="D18" s="6" t="s">
        <v>527</v>
      </c>
      <c r="E18" s="6" t="s">
        <v>440</v>
      </c>
      <c r="F18" s="36" t="s">
        <v>1749</v>
      </c>
      <c r="H18" s="10" t="s">
        <v>1605</v>
      </c>
      <c r="I18" s="6" t="s">
        <v>451</v>
      </c>
      <c r="J18" s="6" t="s">
        <v>452</v>
      </c>
      <c r="L18" t="s">
        <v>1618</v>
      </c>
    </row>
    <row r="19" spans="1:12" ht="45.1" x14ac:dyDescent="0.3">
      <c r="A19" s="6" t="s">
        <v>526</v>
      </c>
      <c r="B19" s="6" t="s">
        <v>395</v>
      </c>
      <c r="C19" s="6" t="s">
        <v>451</v>
      </c>
      <c r="D19" s="6" t="s">
        <v>526</v>
      </c>
      <c r="E19" s="6" t="s">
        <v>441</v>
      </c>
      <c r="F19" s="4" t="s">
        <v>1750</v>
      </c>
      <c r="H19" s="10" t="s">
        <v>1605</v>
      </c>
      <c r="I19" s="6" t="s">
        <v>451</v>
      </c>
      <c r="J19" s="6" t="s">
        <v>452</v>
      </c>
      <c r="L19" t="s">
        <v>1618</v>
      </c>
    </row>
    <row r="20" spans="1:12" ht="45.1" x14ac:dyDescent="0.3">
      <c r="A20" s="6" t="s">
        <v>525</v>
      </c>
      <c r="B20" s="6" t="s">
        <v>395</v>
      </c>
      <c r="C20" s="6" t="s">
        <v>451</v>
      </c>
      <c r="D20" s="6" t="s">
        <v>525</v>
      </c>
      <c r="E20" s="6" t="s">
        <v>442</v>
      </c>
      <c r="F20" s="36" t="s">
        <v>1751</v>
      </c>
      <c r="H20" s="10" t="s">
        <v>1605</v>
      </c>
      <c r="I20" s="6" t="s">
        <v>451</v>
      </c>
      <c r="J20" s="6" t="s">
        <v>452</v>
      </c>
      <c r="L20" t="s">
        <v>1618</v>
      </c>
    </row>
    <row r="21" spans="1:12" ht="45.1" x14ac:dyDescent="0.3">
      <c r="A21" s="6" t="s">
        <v>524</v>
      </c>
      <c r="B21" s="6" t="s">
        <v>395</v>
      </c>
      <c r="C21" s="6" t="s">
        <v>451</v>
      </c>
      <c r="D21" s="6" t="s">
        <v>524</v>
      </c>
      <c r="E21" s="6" t="s">
        <v>443</v>
      </c>
      <c r="F21" s="4" t="s">
        <v>1752</v>
      </c>
      <c r="H21" s="10" t="s">
        <v>1605</v>
      </c>
      <c r="I21" s="6" t="s">
        <v>451</v>
      </c>
      <c r="J21" s="6" t="s">
        <v>452</v>
      </c>
      <c r="L21" t="s">
        <v>1618</v>
      </c>
    </row>
    <row r="22" spans="1:12" ht="45.1" x14ac:dyDescent="0.3">
      <c r="A22" s="6" t="s">
        <v>523</v>
      </c>
      <c r="B22" s="6" t="s">
        <v>395</v>
      </c>
      <c r="C22" s="6" t="s">
        <v>451</v>
      </c>
      <c r="D22" s="6" t="s">
        <v>523</v>
      </c>
      <c r="E22" s="6" t="s">
        <v>479</v>
      </c>
      <c r="F22" s="36" t="s">
        <v>1753</v>
      </c>
      <c r="H22" s="10" t="s">
        <v>1605</v>
      </c>
      <c r="I22" s="6" t="s">
        <v>451</v>
      </c>
      <c r="J22" s="6" t="s">
        <v>452</v>
      </c>
      <c r="L22" t="s">
        <v>1618</v>
      </c>
    </row>
    <row r="23" spans="1:12" ht="45.1" x14ac:dyDescent="0.3">
      <c r="A23" s="6" t="s">
        <v>522</v>
      </c>
      <c r="B23" s="6" t="s">
        <v>395</v>
      </c>
      <c r="C23" s="6" t="s">
        <v>451</v>
      </c>
      <c r="D23" s="6" t="s">
        <v>522</v>
      </c>
      <c r="E23" s="6" t="s">
        <v>444</v>
      </c>
      <c r="F23" s="4" t="s">
        <v>1754</v>
      </c>
      <c r="H23" s="10" t="s">
        <v>1605</v>
      </c>
      <c r="I23" s="6" t="s">
        <v>451</v>
      </c>
      <c r="J23" s="6" t="s">
        <v>452</v>
      </c>
      <c r="L23" t="s">
        <v>1618</v>
      </c>
    </row>
    <row r="24" spans="1:12" ht="45.1" x14ac:dyDescent="0.3">
      <c r="A24" s="6" t="s">
        <v>396</v>
      </c>
      <c r="B24" s="6"/>
      <c r="C24" s="6"/>
      <c r="D24" s="6" t="s">
        <v>396</v>
      </c>
      <c r="E24" s="6" t="s">
        <v>445</v>
      </c>
      <c r="F24" s="4" t="s">
        <v>1755</v>
      </c>
      <c r="H24" s="10" t="s">
        <v>1605</v>
      </c>
      <c r="I24" s="6" t="s">
        <v>460</v>
      </c>
      <c r="J24" s="6" t="s">
        <v>461</v>
      </c>
      <c r="L24" t="s">
        <v>1618</v>
      </c>
    </row>
    <row r="25" spans="1:12" ht="45.1" x14ac:dyDescent="0.3">
      <c r="A25" s="6" t="s">
        <v>397</v>
      </c>
      <c r="B25" s="6"/>
      <c r="C25" s="6"/>
      <c r="D25" s="6" t="s">
        <v>397</v>
      </c>
      <c r="E25" s="6" t="s">
        <v>446</v>
      </c>
      <c r="F25" s="36" t="s">
        <v>1756</v>
      </c>
      <c r="H25" s="10" t="s">
        <v>1605</v>
      </c>
      <c r="I25" s="6" t="s">
        <v>462</v>
      </c>
      <c r="J25" s="6" t="s">
        <v>463</v>
      </c>
      <c r="K25" s="6" t="s">
        <v>464</v>
      </c>
      <c r="L25" t="s">
        <v>1618</v>
      </c>
    </row>
    <row r="26" spans="1:12" ht="45.1" x14ac:dyDescent="0.3">
      <c r="A26" s="6" t="s">
        <v>399</v>
      </c>
      <c r="B26" s="6"/>
      <c r="C26" s="6"/>
      <c r="D26" s="6" t="s">
        <v>554</v>
      </c>
      <c r="E26" s="6" t="s">
        <v>478</v>
      </c>
      <c r="F26" s="4" t="s">
        <v>1765</v>
      </c>
      <c r="H26" s="10" t="s">
        <v>1605</v>
      </c>
      <c r="I26" s="6" t="s">
        <v>465</v>
      </c>
      <c r="J26" s="6" t="s">
        <v>466</v>
      </c>
      <c r="L26" t="s">
        <v>1618</v>
      </c>
    </row>
    <row r="27" spans="1:12" ht="45.1" x14ac:dyDescent="0.3">
      <c r="A27" s="6" t="s">
        <v>400</v>
      </c>
      <c r="B27" s="6"/>
      <c r="C27" s="6"/>
      <c r="D27" s="6" t="s">
        <v>400</v>
      </c>
      <c r="E27" s="6" t="s">
        <v>1712</v>
      </c>
      <c r="F27" s="4" t="s">
        <v>1757</v>
      </c>
      <c r="G27" s="6" t="s">
        <v>1713</v>
      </c>
      <c r="H27" s="10" t="s">
        <v>1605</v>
      </c>
      <c r="I27" s="6" t="s">
        <v>451</v>
      </c>
      <c r="J27" s="6" t="s">
        <v>452</v>
      </c>
      <c r="L27" t="s">
        <v>1618</v>
      </c>
    </row>
    <row r="28" spans="1:12" ht="45.1" x14ac:dyDescent="0.3">
      <c r="A28" s="6" t="s">
        <v>401</v>
      </c>
      <c r="B28" s="6"/>
      <c r="C28" s="6"/>
      <c r="D28" s="6" t="s">
        <v>401</v>
      </c>
      <c r="E28" s="6" t="s">
        <v>447</v>
      </c>
      <c r="F28" s="36" t="s">
        <v>1758</v>
      </c>
      <c r="H28" s="10" t="s">
        <v>1605</v>
      </c>
      <c r="I28" s="6" t="s">
        <v>1700</v>
      </c>
      <c r="J28" s="6" t="s">
        <v>468</v>
      </c>
      <c r="L28" t="s">
        <v>1618</v>
      </c>
    </row>
    <row r="29" spans="1:12" ht="45.1" x14ac:dyDescent="0.3">
      <c r="A29" s="6" t="s">
        <v>402</v>
      </c>
      <c r="B29" s="6"/>
      <c r="C29" s="6"/>
      <c r="D29" s="6" t="s">
        <v>402</v>
      </c>
      <c r="E29" s="6" t="s">
        <v>471</v>
      </c>
      <c r="F29" s="4" t="s">
        <v>1759</v>
      </c>
      <c r="H29" s="10" t="s">
        <v>1605</v>
      </c>
      <c r="I29" s="6" t="s">
        <v>451</v>
      </c>
      <c r="J29" s="6" t="s">
        <v>452</v>
      </c>
      <c r="L29" t="s">
        <v>1618</v>
      </c>
    </row>
    <row r="30" spans="1:12" ht="30.05" x14ac:dyDescent="0.3">
      <c r="A30" s="6" t="s">
        <v>403</v>
      </c>
      <c r="B30" s="6"/>
      <c r="C30" s="6"/>
      <c r="D30" s="6" t="s">
        <v>403</v>
      </c>
      <c r="E30" s="6" t="s">
        <v>1714</v>
      </c>
      <c r="F30" s="36" t="s">
        <v>1760</v>
      </c>
      <c r="G30" s="6" t="s">
        <v>1715</v>
      </c>
      <c r="H30" s="10" t="s">
        <v>1605</v>
      </c>
      <c r="I30" s="6" t="s">
        <v>451</v>
      </c>
      <c r="J30" s="6" t="s">
        <v>452</v>
      </c>
      <c r="L30" t="s">
        <v>1618</v>
      </c>
    </row>
    <row r="31" spans="1:12" ht="30.05" x14ac:dyDescent="0.3">
      <c r="A31" s="6" t="s">
        <v>404</v>
      </c>
      <c r="B31" s="6"/>
      <c r="C31" s="6"/>
      <c r="D31" s="6" t="s">
        <v>404</v>
      </c>
      <c r="E31" s="6" t="s">
        <v>448</v>
      </c>
      <c r="F31" s="4" t="s">
        <v>1761</v>
      </c>
      <c r="H31" s="10" t="s">
        <v>1605</v>
      </c>
      <c r="I31" s="6" t="s">
        <v>451</v>
      </c>
      <c r="J31" s="6" t="s">
        <v>452</v>
      </c>
      <c r="L31" t="s">
        <v>1618</v>
      </c>
    </row>
    <row r="32" spans="1:12" ht="30.05" x14ac:dyDescent="0.3">
      <c r="A32" s="6" t="s">
        <v>405</v>
      </c>
      <c r="B32" s="6"/>
      <c r="C32" s="6"/>
      <c r="D32" s="6" t="s">
        <v>405</v>
      </c>
      <c r="E32" s="6" t="s">
        <v>449</v>
      </c>
      <c r="F32" s="4" t="s">
        <v>1762</v>
      </c>
      <c r="H32" s="10" t="s">
        <v>1605</v>
      </c>
      <c r="I32" s="6" t="s">
        <v>451</v>
      </c>
      <c r="J32" s="6" t="s">
        <v>452</v>
      </c>
      <c r="L32" t="s">
        <v>1618</v>
      </c>
    </row>
    <row r="33" spans="1:12" ht="45.1" x14ac:dyDescent="0.3">
      <c r="A33" s="6" t="s">
        <v>406</v>
      </c>
      <c r="B33" s="6"/>
      <c r="C33" s="6"/>
      <c r="D33" s="6" t="s">
        <v>406</v>
      </c>
      <c r="E33" s="6" t="s">
        <v>1806</v>
      </c>
      <c r="F33" s="36" t="s">
        <v>1763</v>
      </c>
      <c r="H33" s="10" t="s">
        <v>1605</v>
      </c>
      <c r="I33" s="6" t="s">
        <v>451</v>
      </c>
      <c r="J33" s="6" t="s">
        <v>452</v>
      </c>
      <c r="L33" t="s">
        <v>1618</v>
      </c>
    </row>
    <row r="34" spans="1:12" ht="30.05" x14ac:dyDescent="0.3">
      <c r="A34" s="6" t="s">
        <v>407</v>
      </c>
      <c r="B34" s="6"/>
      <c r="C34" s="6"/>
      <c r="D34" s="6" t="s">
        <v>407</v>
      </c>
      <c r="E34" s="6" t="s">
        <v>1807</v>
      </c>
      <c r="F34" s="4" t="s">
        <v>1764</v>
      </c>
      <c r="H34" s="10" t="s">
        <v>1605</v>
      </c>
      <c r="I34" s="6" t="s">
        <v>451</v>
      </c>
      <c r="J34" s="6" t="s">
        <v>452</v>
      </c>
      <c r="L34" t="s">
        <v>1618</v>
      </c>
    </row>
    <row r="35" spans="1:12" ht="45.1" x14ac:dyDescent="0.3">
      <c r="A35" s="6" t="s">
        <v>1704</v>
      </c>
      <c r="B35" s="6"/>
      <c r="C35" s="6"/>
      <c r="D35" s="6" t="s">
        <v>1704</v>
      </c>
      <c r="E35" s="6" t="s">
        <v>450</v>
      </c>
      <c r="F35" s="4" t="s">
        <v>1766</v>
      </c>
      <c r="H35" s="10" t="s">
        <v>1605</v>
      </c>
      <c r="I35" s="6" t="s">
        <v>469</v>
      </c>
      <c r="J35" s="6" t="s">
        <v>470</v>
      </c>
      <c r="L35" t="s">
        <v>1618</v>
      </c>
    </row>
  </sheetData>
  <phoneticPr fontId="1" type="noConversion"/>
  <pageMargins left="0.7" right="0.7" top="0.78740157499999996" bottom="0.78740157499999996"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56176-67EE-4539-A240-8D5B14F8D15A}">
  <dimension ref="A1:F153"/>
  <sheetViews>
    <sheetView workbookViewId="0">
      <selection activeCell="F35" sqref="F35"/>
    </sheetView>
  </sheetViews>
  <sheetFormatPr baseColWidth="10" defaultRowHeight="15.05" x14ac:dyDescent="0.3"/>
  <cols>
    <col min="1" max="1" width="11.5546875" style="8"/>
    <col min="2" max="2" width="35.21875" style="8" customWidth="1"/>
    <col min="3" max="3" width="12.88671875" style="8" customWidth="1"/>
    <col min="4" max="4" width="14.6640625" style="6" customWidth="1"/>
    <col min="5" max="5" width="11.5546875" style="8"/>
    <col min="6" max="7" width="11.44140625" style="8" customWidth="1"/>
    <col min="8" max="16384" width="11.5546875" style="8"/>
  </cols>
  <sheetData>
    <row r="1" spans="1:4" x14ac:dyDescent="0.3">
      <c r="A1" s="8" t="s">
        <v>535</v>
      </c>
      <c r="B1" s="8" t="s">
        <v>545</v>
      </c>
      <c r="C1" s="8" t="s">
        <v>546</v>
      </c>
      <c r="D1" s="6" t="s">
        <v>1606</v>
      </c>
    </row>
    <row r="2" spans="1:4" ht="60.1" x14ac:dyDescent="0.3">
      <c r="A2" s="6" t="s">
        <v>387</v>
      </c>
      <c r="B2" s="6" t="s">
        <v>548</v>
      </c>
      <c r="C2" s="8">
        <v>1</v>
      </c>
      <c r="D2" s="7" t="s">
        <v>386</v>
      </c>
    </row>
    <row r="3" spans="1:4" ht="60.1" x14ac:dyDescent="0.3">
      <c r="A3" s="6" t="s">
        <v>387</v>
      </c>
      <c r="B3" s="6" t="s">
        <v>548</v>
      </c>
      <c r="C3" s="8">
        <v>0</v>
      </c>
      <c r="D3" s="7" t="s">
        <v>387</v>
      </c>
    </row>
    <row r="4" spans="1:4" ht="30.05" x14ac:dyDescent="0.3">
      <c r="A4" s="6" t="s">
        <v>387</v>
      </c>
      <c r="B4" s="6" t="s">
        <v>549</v>
      </c>
      <c r="C4" s="8">
        <v>0</v>
      </c>
      <c r="D4" s="7" t="s">
        <v>386</v>
      </c>
    </row>
    <row r="5" spans="1:4" ht="30.05" x14ac:dyDescent="0.3">
      <c r="A5" s="6" t="s">
        <v>387</v>
      </c>
      <c r="B5" s="6" t="s">
        <v>549</v>
      </c>
      <c r="C5" s="8">
        <v>1</v>
      </c>
      <c r="D5" s="7" t="s">
        <v>387</v>
      </c>
    </row>
    <row r="6" spans="1:4" x14ac:dyDescent="0.3">
      <c r="A6" s="6" t="s">
        <v>387</v>
      </c>
      <c r="B6" s="8" t="s">
        <v>1619</v>
      </c>
      <c r="C6" s="8">
        <v>-1</v>
      </c>
      <c r="D6" s="7" t="s">
        <v>386</v>
      </c>
    </row>
    <row r="7" spans="1:4" x14ac:dyDescent="0.3">
      <c r="A7" s="6" t="s">
        <v>387</v>
      </c>
      <c r="B7" s="8" t="s">
        <v>1619</v>
      </c>
      <c r="C7" s="8">
        <v>-1</v>
      </c>
      <c r="D7" s="7" t="s">
        <v>387</v>
      </c>
    </row>
    <row r="8" spans="1:4" x14ac:dyDescent="0.3">
      <c r="A8" s="6" t="s">
        <v>387</v>
      </c>
      <c r="B8" s="8" t="s">
        <v>1618</v>
      </c>
      <c r="C8" s="8">
        <v>0.5</v>
      </c>
      <c r="D8" s="7" t="s">
        <v>386</v>
      </c>
    </row>
    <row r="9" spans="1:4" x14ac:dyDescent="0.3">
      <c r="A9" s="6" t="s">
        <v>387</v>
      </c>
      <c r="B9" s="8" t="s">
        <v>1618</v>
      </c>
      <c r="C9" s="8">
        <v>0.5</v>
      </c>
      <c r="D9" s="7" t="s">
        <v>387</v>
      </c>
    </row>
    <row r="10" spans="1:4" x14ac:dyDescent="0.3">
      <c r="A10" s="6" t="s">
        <v>504</v>
      </c>
      <c r="B10" s="8" t="s">
        <v>1613</v>
      </c>
      <c r="C10" s="8">
        <v>1</v>
      </c>
      <c r="D10" s="6" t="s">
        <v>504</v>
      </c>
    </row>
    <row r="11" spans="1:4" x14ac:dyDescent="0.3">
      <c r="A11" s="6" t="s">
        <v>504</v>
      </c>
      <c r="B11" s="8" t="s">
        <v>452</v>
      </c>
      <c r="C11" s="8">
        <v>0</v>
      </c>
      <c r="D11" s="6" t="s">
        <v>504</v>
      </c>
    </row>
    <row r="12" spans="1:4" x14ac:dyDescent="0.3">
      <c r="A12" s="6" t="s">
        <v>504</v>
      </c>
      <c r="B12" s="8" t="s">
        <v>1619</v>
      </c>
      <c r="C12" s="8">
        <v>-1</v>
      </c>
      <c r="D12" s="6" t="s">
        <v>504</v>
      </c>
    </row>
    <row r="13" spans="1:4" x14ac:dyDescent="0.3">
      <c r="A13" s="6" t="s">
        <v>504</v>
      </c>
      <c r="B13" s="8" t="s">
        <v>1618</v>
      </c>
      <c r="C13" s="8">
        <v>0.5</v>
      </c>
      <c r="D13" s="6" t="s">
        <v>504</v>
      </c>
    </row>
    <row r="14" spans="1:4" ht="30.05" x14ac:dyDescent="0.3">
      <c r="A14" s="6" t="s">
        <v>519</v>
      </c>
      <c r="B14" s="5" t="s">
        <v>511</v>
      </c>
      <c r="C14" s="8">
        <v>0</v>
      </c>
      <c r="D14" s="6" t="s">
        <v>519</v>
      </c>
    </row>
    <row r="15" spans="1:4" x14ac:dyDescent="0.3">
      <c r="A15" s="6" t="s">
        <v>519</v>
      </c>
      <c r="B15" s="5" t="s">
        <v>482</v>
      </c>
      <c r="C15" s="8">
        <v>1</v>
      </c>
      <c r="D15" s="6" t="s">
        <v>519</v>
      </c>
    </row>
    <row r="16" spans="1:4" x14ac:dyDescent="0.3">
      <c r="A16" s="6" t="s">
        <v>519</v>
      </c>
      <c r="B16" s="8" t="s">
        <v>1619</v>
      </c>
      <c r="C16" s="8">
        <v>-1</v>
      </c>
      <c r="D16" s="6" t="s">
        <v>519</v>
      </c>
    </row>
    <row r="17" spans="1:4" x14ac:dyDescent="0.3">
      <c r="A17" s="6" t="s">
        <v>519</v>
      </c>
      <c r="B17" s="8" t="s">
        <v>1618</v>
      </c>
      <c r="C17" s="8">
        <v>0.5</v>
      </c>
      <c r="D17" s="6" t="s">
        <v>519</v>
      </c>
    </row>
    <row r="18" spans="1:4" x14ac:dyDescent="0.3">
      <c r="A18" s="6" t="s">
        <v>389</v>
      </c>
      <c r="B18" s="6" t="s">
        <v>453</v>
      </c>
      <c r="C18" s="8">
        <v>0</v>
      </c>
      <c r="D18" s="6" t="s">
        <v>388</v>
      </c>
    </row>
    <row r="19" spans="1:4" x14ac:dyDescent="0.3">
      <c r="A19" s="6" t="s">
        <v>389</v>
      </c>
      <c r="B19" s="6" t="s">
        <v>453</v>
      </c>
      <c r="C19" s="8">
        <v>0</v>
      </c>
      <c r="D19" s="6" t="s">
        <v>389</v>
      </c>
    </row>
    <row r="20" spans="1:4" x14ac:dyDescent="0.3">
      <c r="A20" s="6" t="s">
        <v>389</v>
      </c>
      <c r="B20" s="6" t="s">
        <v>454</v>
      </c>
      <c r="C20" s="8">
        <v>1</v>
      </c>
      <c r="D20" s="6" t="s">
        <v>388</v>
      </c>
    </row>
    <row r="21" spans="1:4" x14ac:dyDescent="0.3">
      <c r="A21" s="6" t="s">
        <v>389</v>
      </c>
      <c r="B21" s="6" t="s">
        <v>454</v>
      </c>
      <c r="C21" s="8">
        <v>1</v>
      </c>
      <c r="D21" s="6" t="s">
        <v>389</v>
      </c>
    </row>
    <row r="22" spans="1:4" x14ac:dyDescent="0.3">
      <c r="A22" s="6" t="s">
        <v>389</v>
      </c>
      <c r="B22" s="8" t="s">
        <v>1619</v>
      </c>
      <c r="C22" s="8">
        <v>-1</v>
      </c>
      <c r="D22" s="6" t="s">
        <v>388</v>
      </c>
    </row>
    <row r="23" spans="1:4" x14ac:dyDescent="0.3">
      <c r="A23" s="6" t="s">
        <v>389</v>
      </c>
      <c r="B23" s="8" t="s">
        <v>1619</v>
      </c>
      <c r="C23" s="8">
        <v>-1</v>
      </c>
      <c r="D23" s="6" t="s">
        <v>389</v>
      </c>
    </row>
    <row r="24" spans="1:4" x14ac:dyDescent="0.3">
      <c r="A24" s="6" t="s">
        <v>389</v>
      </c>
      <c r="B24" s="8" t="s">
        <v>1618</v>
      </c>
      <c r="C24" s="8">
        <v>0.5</v>
      </c>
      <c r="D24" s="6" t="s">
        <v>388</v>
      </c>
    </row>
    <row r="25" spans="1:4" x14ac:dyDescent="0.3">
      <c r="A25" s="6" t="s">
        <v>389</v>
      </c>
      <c r="B25" s="8" t="s">
        <v>1618</v>
      </c>
      <c r="C25" s="8">
        <v>0.5</v>
      </c>
      <c r="D25" s="6" t="s">
        <v>389</v>
      </c>
    </row>
    <row r="26" spans="1:4" ht="30.05" x14ac:dyDescent="0.3">
      <c r="A26" s="6" t="s">
        <v>505</v>
      </c>
      <c r="B26" s="5" t="s">
        <v>455</v>
      </c>
      <c r="C26" s="8">
        <v>0</v>
      </c>
      <c r="D26" s="6" t="s">
        <v>505</v>
      </c>
    </row>
    <row r="27" spans="1:4" x14ac:dyDescent="0.3">
      <c r="A27" s="6" t="s">
        <v>505</v>
      </c>
      <c r="B27" s="5" t="s">
        <v>456</v>
      </c>
      <c r="C27" s="8">
        <v>1</v>
      </c>
      <c r="D27" s="6" t="s">
        <v>505</v>
      </c>
    </row>
    <row r="28" spans="1:4" x14ac:dyDescent="0.3">
      <c r="A28" s="6" t="s">
        <v>505</v>
      </c>
      <c r="B28" s="5" t="s">
        <v>457</v>
      </c>
      <c r="C28" s="8">
        <v>2</v>
      </c>
      <c r="D28" s="6" t="s">
        <v>505</v>
      </c>
    </row>
    <row r="29" spans="1:4" x14ac:dyDescent="0.3">
      <c r="A29" s="6" t="s">
        <v>505</v>
      </c>
      <c r="B29" s="8" t="s">
        <v>1619</v>
      </c>
      <c r="C29" s="8">
        <v>-1</v>
      </c>
      <c r="D29" s="6" t="s">
        <v>505</v>
      </c>
    </row>
    <row r="30" spans="1:4" x14ac:dyDescent="0.3">
      <c r="A30" s="6" t="s">
        <v>505</v>
      </c>
      <c r="B30" s="8" t="s">
        <v>1618</v>
      </c>
      <c r="C30" s="8">
        <v>0.5</v>
      </c>
      <c r="D30" s="6" t="s">
        <v>505</v>
      </c>
    </row>
    <row r="31" spans="1:4" x14ac:dyDescent="0.3">
      <c r="A31" s="6" t="s">
        <v>506</v>
      </c>
      <c r="B31" s="5" t="s">
        <v>451</v>
      </c>
      <c r="C31" s="8">
        <v>1</v>
      </c>
      <c r="D31" s="6" t="s">
        <v>506</v>
      </c>
    </row>
    <row r="32" spans="1:4" x14ac:dyDescent="0.3">
      <c r="A32" s="6" t="s">
        <v>506</v>
      </c>
      <c r="B32" s="5" t="s">
        <v>452</v>
      </c>
      <c r="C32" s="8">
        <v>0</v>
      </c>
      <c r="D32" s="6" t="s">
        <v>506</v>
      </c>
    </row>
    <row r="33" spans="1:4" x14ac:dyDescent="0.3">
      <c r="A33" s="6" t="s">
        <v>506</v>
      </c>
      <c r="B33" s="8" t="s">
        <v>1619</v>
      </c>
      <c r="C33" s="8">
        <v>-1</v>
      </c>
      <c r="D33" s="6" t="s">
        <v>506</v>
      </c>
    </row>
    <row r="34" spans="1:4" x14ac:dyDescent="0.3">
      <c r="A34" s="6" t="s">
        <v>506</v>
      </c>
      <c r="B34" s="8" t="s">
        <v>1618</v>
      </c>
      <c r="C34" s="8">
        <v>0.5</v>
      </c>
      <c r="D34" s="6" t="s">
        <v>506</v>
      </c>
    </row>
    <row r="35" spans="1:4" x14ac:dyDescent="0.3">
      <c r="A35" s="6" t="s">
        <v>390</v>
      </c>
      <c r="B35" s="5" t="s">
        <v>451</v>
      </c>
      <c r="C35" s="8">
        <v>0</v>
      </c>
      <c r="D35" s="6" t="s">
        <v>390</v>
      </c>
    </row>
    <row r="36" spans="1:4" x14ac:dyDescent="0.3">
      <c r="A36" s="6" t="s">
        <v>390</v>
      </c>
      <c r="B36" s="5" t="s">
        <v>459</v>
      </c>
      <c r="C36" s="8">
        <v>1</v>
      </c>
      <c r="D36" s="6" t="s">
        <v>390</v>
      </c>
    </row>
    <row r="37" spans="1:4" x14ac:dyDescent="0.3">
      <c r="A37" s="6" t="s">
        <v>390</v>
      </c>
      <c r="B37" s="8" t="s">
        <v>1619</v>
      </c>
      <c r="C37" s="8">
        <v>-1</v>
      </c>
      <c r="D37" s="6" t="s">
        <v>390</v>
      </c>
    </row>
    <row r="38" spans="1:4" x14ac:dyDescent="0.3">
      <c r="A38" s="6" t="s">
        <v>390</v>
      </c>
      <c r="B38" s="8" t="s">
        <v>1618</v>
      </c>
      <c r="C38" s="8">
        <v>0.5</v>
      </c>
      <c r="D38" s="6" t="s">
        <v>390</v>
      </c>
    </row>
    <row r="39" spans="1:4" x14ac:dyDescent="0.3">
      <c r="A39" s="6" t="s">
        <v>520</v>
      </c>
      <c r="B39" s="5" t="s">
        <v>451</v>
      </c>
      <c r="C39" s="8">
        <v>1</v>
      </c>
      <c r="D39" s="6" t="s">
        <v>520</v>
      </c>
    </row>
    <row r="40" spans="1:4" x14ac:dyDescent="0.3">
      <c r="A40" s="6" t="s">
        <v>520</v>
      </c>
      <c r="B40" s="5" t="s">
        <v>452</v>
      </c>
      <c r="C40" s="8">
        <v>0</v>
      </c>
      <c r="D40" s="6" t="s">
        <v>520</v>
      </c>
    </row>
    <row r="41" spans="1:4" x14ac:dyDescent="0.3">
      <c r="A41" s="6" t="s">
        <v>520</v>
      </c>
      <c r="B41" s="8" t="s">
        <v>1619</v>
      </c>
      <c r="C41" s="8">
        <v>-1</v>
      </c>
      <c r="D41" s="6" t="s">
        <v>520</v>
      </c>
    </row>
    <row r="42" spans="1:4" x14ac:dyDescent="0.3">
      <c r="A42" s="6" t="s">
        <v>520</v>
      </c>
      <c r="B42" s="8" t="s">
        <v>1618</v>
      </c>
      <c r="C42" s="8">
        <v>0.5</v>
      </c>
      <c r="D42" s="6" t="s">
        <v>520</v>
      </c>
    </row>
    <row r="43" spans="1:4" x14ac:dyDescent="0.3">
      <c r="A43" s="6" t="s">
        <v>391</v>
      </c>
      <c r="B43" s="6" t="s">
        <v>475</v>
      </c>
      <c r="C43" s="8">
        <v>1</v>
      </c>
      <c r="D43" s="6" t="s">
        <v>507</v>
      </c>
    </row>
    <row r="44" spans="1:4" x14ac:dyDescent="0.3">
      <c r="A44" s="6" t="s">
        <v>391</v>
      </c>
      <c r="B44" s="6" t="s">
        <v>474</v>
      </c>
      <c r="C44" s="8">
        <v>1</v>
      </c>
      <c r="D44" s="6" t="s">
        <v>508</v>
      </c>
    </row>
    <row r="45" spans="1:4" x14ac:dyDescent="0.3">
      <c r="A45" s="6" t="s">
        <v>391</v>
      </c>
      <c r="B45" s="6" t="s">
        <v>473</v>
      </c>
      <c r="C45" s="8">
        <v>1</v>
      </c>
      <c r="D45" s="6" t="s">
        <v>521</v>
      </c>
    </row>
    <row r="46" spans="1:4" x14ac:dyDescent="0.3">
      <c r="A46" s="6" t="s">
        <v>391</v>
      </c>
      <c r="B46" s="8" t="s">
        <v>1619</v>
      </c>
      <c r="C46" s="8">
        <v>-1</v>
      </c>
      <c r="D46" s="6" t="s">
        <v>507</v>
      </c>
    </row>
    <row r="47" spans="1:4" x14ac:dyDescent="0.3">
      <c r="A47" s="6" t="s">
        <v>391</v>
      </c>
      <c r="B47" s="8" t="s">
        <v>1619</v>
      </c>
      <c r="C47" s="8">
        <v>-1</v>
      </c>
      <c r="D47" s="6" t="s">
        <v>508</v>
      </c>
    </row>
    <row r="48" spans="1:4" x14ac:dyDescent="0.3">
      <c r="A48" s="6" t="s">
        <v>391</v>
      </c>
      <c r="B48" s="8" t="s">
        <v>1619</v>
      </c>
      <c r="C48" s="8">
        <v>-1</v>
      </c>
      <c r="D48" s="6" t="s">
        <v>521</v>
      </c>
    </row>
    <row r="49" spans="1:4" x14ac:dyDescent="0.3">
      <c r="A49" s="6" t="s">
        <v>392</v>
      </c>
      <c r="B49" s="5" t="s">
        <v>451</v>
      </c>
      <c r="C49" s="8">
        <v>1</v>
      </c>
      <c r="D49" s="6" t="s">
        <v>392</v>
      </c>
    </row>
    <row r="50" spans="1:4" x14ac:dyDescent="0.3">
      <c r="A50" s="6" t="s">
        <v>392</v>
      </c>
      <c r="B50" s="5" t="s">
        <v>452</v>
      </c>
      <c r="C50" s="8">
        <v>0</v>
      </c>
      <c r="D50" s="6" t="s">
        <v>392</v>
      </c>
    </row>
    <row r="51" spans="1:4" x14ac:dyDescent="0.3">
      <c r="A51" s="6" t="s">
        <v>392</v>
      </c>
      <c r="B51" s="8" t="s">
        <v>1619</v>
      </c>
      <c r="C51" s="8">
        <v>-1</v>
      </c>
      <c r="D51" s="6" t="s">
        <v>392</v>
      </c>
    </row>
    <row r="52" spans="1:4" x14ac:dyDescent="0.3">
      <c r="A52" s="6" t="s">
        <v>392</v>
      </c>
      <c r="B52" s="8" t="s">
        <v>1618</v>
      </c>
      <c r="C52" s="8">
        <v>0.5</v>
      </c>
      <c r="D52" s="6" t="s">
        <v>392</v>
      </c>
    </row>
    <row r="53" spans="1:4" x14ac:dyDescent="0.3">
      <c r="A53" s="6" t="s">
        <v>393</v>
      </c>
      <c r="B53" s="5" t="s">
        <v>484</v>
      </c>
      <c r="C53" s="8">
        <v>1</v>
      </c>
      <c r="D53" s="6" t="s">
        <v>393</v>
      </c>
    </row>
    <row r="54" spans="1:4" x14ac:dyDescent="0.3">
      <c r="A54" s="6" t="s">
        <v>393</v>
      </c>
      <c r="B54" s="5" t="s">
        <v>484</v>
      </c>
      <c r="C54" s="8">
        <v>0</v>
      </c>
      <c r="D54" s="6" t="s">
        <v>509</v>
      </c>
    </row>
    <row r="55" spans="1:4" x14ac:dyDescent="0.3">
      <c r="A55" s="6" t="s">
        <v>393</v>
      </c>
      <c r="B55" s="5" t="s">
        <v>484</v>
      </c>
      <c r="C55" s="8">
        <v>0</v>
      </c>
      <c r="D55" s="6" t="s">
        <v>510</v>
      </c>
    </row>
    <row r="56" spans="1:4" ht="30.05" x14ac:dyDescent="0.3">
      <c r="A56" s="6" t="s">
        <v>393</v>
      </c>
      <c r="B56" s="5" t="s">
        <v>483</v>
      </c>
      <c r="C56" s="8">
        <v>0</v>
      </c>
      <c r="D56" s="6" t="s">
        <v>393</v>
      </c>
    </row>
    <row r="57" spans="1:4" ht="30.05" x14ac:dyDescent="0.3">
      <c r="A57" s="6" t="s">
        <v>393</v>
      </c>
      <c r="B57" s="5" t="s">
        <v>483</v>
      </c>
      <c r="C57" s="8">
        <v>1</v>
      </c>
      <c r="D57" s="6" t="s">
        <v>509</v>
      </c>
    </row>
    <row r="58" spans="1:4" ht="30.05" x14ac:dyDescent="0.3">
      <c r="A58" s="6" t="s">
        <v>393</v>
      </c>
      <c r="B58" s="5" t="s">
        <v>483</v>
      </c>
      <c r="C58" s="8">
        <v>1</v>
      </c>
      <c r="D58" s="6" t="s">
        <v>510</v>
      </c>
    </row>
    <row r="59" spans="1:4" x14ac:dyDescent="0.3">
      <c r="A59" s="6" t="s">
        <v>393</v>
      </c>
      <c r="B59" s="8" t="s">
        <v>1619</v>
      </c>
      <c r="C59" s="8">
        <v>-1</v>
      </c>
      <c r="D59" s="6" t="s">
        <v>393</v>
      </c>
    </row>
    <row r="60" spans="1:4" x14ac:dyDescent="0.3">
      <c r="A60" s="6" t="s">
        <v>393</v>
      </c>
      <c r="B60" s="8" t="s">
        <v>1619</v>
      </c>
      <c r="C60" s="8">
        <v>-1</v>
      </c>
      <c r="D60" s="6" t="s">
        <v>509</v>
      </c>
    </row>
    <row r="61" spans="1:4" x14ac:dyDescent="0.3">
      <c r="A61" s="6" t="s">
        <v>393</v>
      </c>
      <c r="B61" s="8" t="s">
        <v>1619</v>
      </c>
      <c r="C61" s="8">
        <v>-1</v>
      </c>
      <c r="D61" s="6" t="s">
        <v>510</v>
      </c>
    </row>
    <row r="62" spans="1:4" x14ac:dyDescent="0.3">
      <c r="A62" s="6" t="s">
        <v>393</v>
      </c>
      <c r="B62" s="8" t="s">
        <v>1618</v>
      </c>
      <c r="C62" s="8">
        <v>0.5</v>
      </c>
      <c r="D62" s="6" t="s">
        <v>393</v>
      </c>
    </row>
    <row r="63" spans="1:4" x14ac:dyDescent="0.3">
      <c r="A63" s="6" t="s">
        <v>393</v>
      </c>
      <c r="B63" s="8" t="s">
        <v>1618</v>
      </c>
      <c r="C63" s="8">
        <v>0.5</v>
      </c>
      <c r="D63" s="6" t="s">
        <v>509</v>
      </c>
    </row>
    <row r="64" spans="1:4" x14ac:dyDescent="0.3">
      <c r="A64" s="6" t="s">
        <v>393</v>
      </c>
      <c r="B64" s="8" t="s">
        <v>1618</v>
      </c>
      <c r="C64" s="8">
        <v>0.5</v>
      </c>
      <c r="D64" s="6" t="s">
        <v>510</v>
      </c>
    </row>
    <row r="65" spans="1:4" x14ac:dyDescent="0.3">
      <c r="A65" s="6" t="s">
        <v>394</v>
      </c>
      <c r="B65" s="5" t="s">
        <v>451</v>
      </c>
      <c r="C65" s="8">
        <v>0</v>
      </c>
      <c r="D65" s="6" t="s">
        <v>394</v>
      </c>
    </row>
    <row r="66" spans="1:4" x14ac:dyDescent="0.3">
      <c r="A66" s="6" t="s">
        <v>394</v>
      </c>
      <c r="B66" s="5" t="s">
        <v>452</v>
      </c>
      <c r="C66" s="8">
        <v>1</v>
      </c>
      <c r="D66" s="6" t="s">
        <v>394</v>
      </c>
    </row>
    <row r="67" spans="1:4" x14ac:dyDescent="0.3">
      <c r="A67" s="6" t="s">
        <v>394</v>
      </c>
      <c r="B67" s="8" t="s">
        <v>1619</v>
      </c>
      <c r="C67" s="8">
        <v>-1</v>
      </c>
      <c r="D67" s="6" t="s">
        <v>394</v>
      </c>
    </row>
    <row r="68" spans="1:4" x14ac:dyDescent="0.3">
      <c r="A68" s="6" t="s">
        <v>394</v>
      </c>
      <c r="B68" s="8" t="s">
        <v>1618</v>
      </c>
      <c r="C68" s="8">
        <v>0.5</v>
      </c>
      <c r="D68" s="6" t="s">
        <v>394</v>
      </c>
    </row>
    <row r="69" spans="1:4" x14ac:dyDescent="0.3">
      <c r="A69" s="6" t="s">
        <v>395</v>
      </c>
      <c r="B69" s="5" t="s">
        <v>451</v>
      </c>
      <c r="C69" s="8">
        <v>1</v>
      </c>
      <c r="D69" s="6" t="s">
        <v>395</v>
      </c>
    </row>
    <row r="70" spans="1:4" x14ac:dyDescent="0.3">
      <c r="A70" s="6" t="s">
        <v>395</v>
      </c>
      <c r="B70" s="5" t="s">
        <v>452</v>
      </c>
      <c r="C70" s="8">
        <v>0</v>
      </c>
      <c r="D70" s="6" t="s">
        <v>395</v>
      </c>
    </row>
    <row r="71" spans="1:4" x14ac:dyDescent="0.3">
      <c r="A71" s="6" t="s">
        <v>395</v>
      </c>
      <c r="B71" s="8" t="s">
        <v>1619</v>
      </c>
      <c r="C71" s="8">
        <v>-1</v>
      </c>
      <c r="D71" s="6" t="s">
        <v>395</v>
      </c>
    </row>
    <row r="72" spans="1:4" x14ac:dyDescent="0.3">
      <c r="A72" s="6" t="s">
        <v>395</v>
      </c>
      <c r="B72" s="8" t="s">
        <v>1618</v>
      </c>
      <c r="C72" s="8">
        <v>0.5</v>
      </c>
      <c r="D72" s="6" t="s">
        <v>395</v>
      </c>
    </row>
    <row r="73" spans="1:4" x14ac:dyDescent="0.3">
      <c r="A73" s="6" t="s">
        <v>528</v>
      </c>
      <c r="B73" s="5" t="s">
        <v>451</v>
      </c>
      <c r="C73" s="8">
        <v>1</v>
      </c>
      <c r="D73" s="6" t="s">
        <v>528</v>
      </c>
    </row>
    <row r="74" spans="1:4" x14ac:dyDescent="0.3">
      <c r="A74" s="6" t="s">
        <v>528</v>
      </c>
      <c r="B74" s="5" t="s">
        <v>452</v>
      </c>
      <c r="C74" s="8">
        <v>0</v>
      </c>
      <c r="D74" s="6" t="s">
        <v>528</v>
      </c>
    </row>
    <row r="75" spans="1:4" x14ac:dyDescent="0.3">
      <c r="A75" s="6" t="s">
        <v>528</v>
      </c>
      <c r="B75" s="8" t="s">
        <v>1619</v>
      </c>
      <c r="C75" s="8">
        <v>-1</v>
      </c>
      <c r="D75" s="6" t="s">
        <v>528</v>
      </c>
    </row>
    <row r="76" spans="1:4" x14ac:dyDescent="0.3">
      <c r="A76" s="6" t="s">
        <v>528</v>
      </c>
      <c r="B76" s="8" t="s">
        <v>1618</v>
      </c>
      <c r="C76" s="8">
        <v>0.5</v>
      </c>
      <c r="D76" s="6" t="s">
        <v>528</v>
      </c>
    </row>
    <row r="77" spans="1:4" x14ac:dyDescent="0.3">
      <c r="A77" s="6" t="s">
        <v>527</v>
      </c>
      <c r="B77" s="5" t="s">
        <v>451</v>
      </c>
      <c r="C77" s="8">
        <v>1</v>
      </c>
      <c r="D77" s="6" t="s">
        <v>527</v>
      </c>
    </row>
    <row r="78" spans="1:4" x14ac:dyDescent="0.3">
      <c r="A78" s="6" t="s">
        <v>527</v>
      </c>
      <c r="B78" s="5" t="s">
        <v>452</v>
      </c>
      <c r="C78" s="8">
        <v>0</v>
      </c>
      <c r="D78" s="6" t="s">
        <v>527</v>
      </c>
    </row>
    <row r="79" spans="1:4" x14ac:dyDescent="0.3">
      <c r="A79" s="6" t="s">
        <v>527</v>
      </c>
      <c r="B79" s="8" t="s">
        <v>1619</v>
      </c>
      <c r="C79" s="8">
        <v>-1</v>
      </c>
      <c r="D79" s="6" t="s">
        <v>527</v>
      </c>
    </row>
    <row r="80" spans="1:4" x14ac:dyDescent="0.3">
      <c r="A80" s="6" t="s">
        <v>527</v>
      </c>
      <c r="B80" s="8" t="s">
        <v>1618</v>
      </c>
      <c r="C80" s="8">
        <v>0.5</v>
      </c>
      <c r="D80" s="6" t="s">
        <v>527</v>
      </c>
    </row>
    <row r="81" spans="1:4" x14ac:dyDescent="0.3">
      <c r="A81" s="6" t="s">
        <v>526</v>
      </c>
      <c r="B81" s="5" t="s">
        <v>451</v>
      </c>
      <c r="C81" s="8">
        <v>1</v>
      </c>
      <c r="D81" s="6" t="s">
        <v>526</v>
      </c>
    </row>
    <row r="82" spans="1:4" x14ac:dyDescent="0.3">
      <c r="A82" s="6" t="s">
        <v>526</v>
      </c>
      <c r="B82" s="5" t="s">
        <v>452</v>
      </c>
      <c r="C82" s="8">
        <v>0</v>
      </c>
      <c r="D82" s="6" t="s">
        <v>526</v>
      </c>
    </row>
    <row r="83" spans="1:4" x14ac:dyDescent="0.3">
      <c r="A83" s="6" t="s">
        <v>526</v>
      </c>
      <c r="B83" s="8" t="s">
        <v>1619</v>
      </c>
      <c r="C83" s="8">
        <v>-1</v>
      </c>
      <c r="D83" s="6" t="s">
        <v>526</v>
      </c>
    </row>
    <row r="84" spans="1:4" x14ac:dyDescent="0.3">
      <c r="A84" s="6" t="s">
        <v>526</v>
      </c>
      <c r="B84" s="8" t="s">
        <v>1618</v>
      </c>
      <c r="C84" s="8">
        <v>0.5</v>
      </c>
      <c r="D84" s="6" t="s">
        <v>526</v>
      </c>
    </row>
    <row r="85" spans="1:4" x14ac:dyDescent="0.3">
      <c r="A85" s="6" t="s">
        <v>525</v>
      </c>
      <c r="B85" s="5" t="s">
        <v>451</v>
      </c>
      <c r="C85" s="8">
        <v>1</v>
      </c>
      <c r="D85" s="6" t="s">
        <v>525</v>
      </c>
    </row>
    <row r="86" spans="1:4" x14ac:dyDescent="0.3">
      <c r="A86" s="6" t="s">
        <v>525</v>
      </c>
      <c r="B86" s="5" t="s">
        <v>452</v>
      </c>
      <c r="C86" s="8">
        <v>0</v>
      </c>
      <c r="D86" s="6" t="s">
        <v>525</v>
      </c>
    </row>
    <row r="87" spans="1:4" x14ac:dyDescent="0.3">
      <c r="A87" s="6" t="s">
        <v>525</v>
      </c>
      <c r="B87" s="8" t="s">
        <v>1619</v>
      </c>
      <c r="C87" s="8">
        <v>-1</v>
      </c>
      <c r="D87" s="6" t="s">
        <v>525</v>
      </c>
    </row>
    <row r="88" spans="1:4" x14ac:dyDescent="0.3">
      <c r="A88" s="6" t="s">
        <v>525</v>
      </c>
      <c r="B88" s="8" t="s">
        <v>1618</v>
      </c>
      <c r="C88" s="8">
        <v>0.5</v>
      </c>
      <c r="D88" s="6" t="s">
        <v>525</v>
      </c>
    </row>
    <row r="89" spans="1:4" x14ac:dyDescent="0.3">
      <c r="A89" s="6" t="s">
        <v>524</v>
      </c>
      <c r="B89" s="5" t="s">
        <v>451</v>
      </c>
      <c r="C89" s="8">
        <v>1</v>
      </c>
      <c r="D89" s="6" t="s">
        <v>524</v>
      </c>
    </row>
    <row r="90" spans="1:4" x14ac:dyDescent="0.3">
      <c r="A90" s="6" t="s">
        <v>524</v>
      </c>
      <c r="B90" s="5" t="s">
        <v>452</v>
      </c>
      <c r="C90" s="8">
        <v>0</v>
      </c>
      <c r="D90" s="6" t="s">
        <v>524</v>
      </c>
    </row>
    <row r="91" spans="1:4" x14ac:dyDescent="0.3">
      <c r="A91" s="6" t="s">
        <v>524</v>
      </c>
      <c r="B91" s="8" t="s">
        <v>1619</v>
      </c>
      <c r="C91" s="8">
        <v>-1</v>
      </c>
      <c r="D91" s="6" t="s">
        <v>524</v>
      </c>
    </row>
    <row r="92" spans="1:4" x14ac:dyDescent="0.3">
      <c r="A92" s="6" t="s">
        <v>524</v>
      </c>
      <c r="B92" s="8" t="s">
        <v>1618</v>
      </c>
      <c r="C92" s="8">
        <v>0.5</v>
      </c>
      <c r="D92" s="6" t="s">
        <v>524</v>
      </c>
    </row>
    <row r="93" spans="1:4" x14ac:dyDescent="0.3">
      <c r="A93" s="6" t="s">
        <v>523</v>
      </c>
      <c r="B93" s="5" t="s">
        <v>451</v>
      </c>
      <c r="C93" s="8">
        <v>1</v>
      </c>
      <c r="D93" s="6" t="s">
        <v>523</v>
      </c>
    </row>
    <row r="94" spans="1:4" x14ac:dyDescent="0.3">
      <c r="A94" s="6" t="s">
        <v>523</v>
      </c>
      <c r="B94" s="5" t="s">
        <v>452</v>
      </c>
      <c r="C94" s="8">
        <v>0</v>
      </c>
      <c r="D94" s="6" t="s">
        <v>523</v>
      </c>
    </row>
    <row r="95" spans="1:4" x14ac:dyDescent="0.3">
      <c r="A95" s="6" t="s">
        <v>523</v>
      </c>
      <c r="B95" s="8" t="s">
        <v>1619</v>
      </c>
      <c r="C95" s="8">
        <v>-1</v>
      </c>
      <c r="D95" s="6" t="s">
        <v>523</v>
      </c>
    </row>
    <row r="96" spans="1:4" x14ac:dyDescent="0.3">
      <c r="A96" s="6" t="s">
        <v>523</v>
      </c>
      <c r="B96" s="8" t="s">
        <v>1618</v>
      </c>
      <c r="C96" s="8">
        <v>0.5</v>
      </c>
      <c r="D96" s="6" t="s">
        <v>523</v>
      </c>
    </row>
    <row r="97" spans="1:4" x14ac:dyDescent="0.3">
      <c r="A97" s="6" t="s">
        <v>522</v>
      </c>
      <c r="B97" s="5" t="s">
        <v>451</v>
      </c>
      <c r="C97" s="8">
        <v>1</v>
      </c>
      <c r="D97" s="6" t="s">
        <v>522</v>
      </c>
    </row>
    <row r="98" spans="1:4" x14ac:dyDescent="0.3">
      <c r="A98" s="6" t="s">
        <v>522</v>
      </c>
      <c r="B98" s="5" t="s">
        <v>452</v>
      </c>
      <c r="C98" s="8">
        <v>0</v>
      </c>
      <c r="D98" s="6" t="s">
        <v>522</v>
      </c>
    </row>
    <row r="99" spans="1:4" x14ac:dyDescent="0.3">
      <c r="A99" s="6" t="s">
        <v>522</v>
      </c>
      <c r="B99" s="8" t="s">
        <v>1619</v>
      </c>
      <c r="C99" s="8">
        <v>-1</v>
      </c>
      <c r="D99" s="6" t="s">
        <v>522</v>
      </c>
    </row>
    <row r="100" spans="1:4" x14ac:dyDescent="0.3">
      <c r="A100" s="6" t="s">
        <v>522</v>
      </c>
      <c r="B100" s="8" t="s">
        <v>1618</v>
      </c>
      <c r="C100" s="8">
        <v>0.5</v>
      </c>
      <c r="D100" s="6" t="s">
        <v>522</v>
      </c>
    </row>
    <row r="101" spans="1:4" x14ac:dyDescent="0.3">
      <c r="A101" s="6" t="s">
        <v>396</v>
      </c>
      <c r="B101" s="5" t="s">
        <v>460</v>
      </c>
      <c r="C101" s="8">
        <v>0</v>
      </c>
      <c r="D101" s="6" t="s">
        <v>396</v>
      </c>
    </row>
    <row r="102" spans="1:4" x14ac:dyDescent="0.3">
      <c r="A102" s="6" t="s">
        <v>396</v>
      </c>
      <c r="B102" s="5" t="s">
        <v>461</v>
      </c>
      <c r="C102" s="8">
        <v>1</v>
      </c>
      <c r="D102" s="6" t="s">
        <v>396</v>
      </c>
    </row>
    <row r="103" spans="1:4" x14ac:dyDescent="0.3">
      <c r="A103" s="6" t="s">
        <v>396</v>
      </c>
      <c r="B103" s="8" t="s">
        <v>1619</v>
      </c>
      <c r="C103" s="8">
        <v>-1</v>
      </c>
      <c r="D103" s="6" t="s">
        <v>396</v>
      </c>
    </row>
    <row r="104" spans="1:4" x14ac:dyDescent="0.3">
      <c r="A104" s="6" t="s">
        <v>396</v>
      </c>
      <c r="B104" s="8" t="s">
        <v>1618</v>
      </c>
      <c r="C104" s="8">
        <v>0.5</v>
      </c>
      <c r="D104" s="6" t="s">
        <v>396</v>
      </c>
    </row>
    <row r="105" spans="1:4" x14ac:dyDescent="0.3">
      <c r="A105" s="6" t="s">
        <v>397</v>
      </c>
      <c r="B105" s="5" t="s">
        <v>462</v>
      </c>
      <c r="C105" s="8">
        <v>0</v>
      </c>
      <c r="D105" s="6" t="s">
        <v>397</v>
      </c>
    </row>
    <row r="106" spans="1:4" x14ac:dyDescent="0.3">
      <c r="A106" s="6" t="s">
        <v>397</v>
      </c>
      <c r="B106" s="5" t="s">
        <v>463</v>
      </c>
      <c r="C106" s="8">
        <v>1</v>
      </c>
      <c r="D106" s="6" t="s">
        <v>397</v>
      </c>
    </row>
    <row r="107" spans="1:4" x14ac:dyDescent="0.3">
      <c r="A107" s="6" t="s">
        <v>397</v>
      </c>
      <c r="B107" s="5" t="s">
        <v>464</v>
      </c>
      <c r="C107" s="8">
        <v>2</v>
      </c>
      <c r="D107" s="6" t="s">
        <v>397</v>
      </c>
    </row>
    <row r="108" spans="1:4" x14ac:dyDescent="0.3">
      <c r="A108" s="6" t="s">
        <v>397</v>
      </c>
      <c r="B108" s="8" t="s">
        <v>1619</v>
      </c>
      <c r="C108" s="8">
        <v>-1</v>
      </c>
      <c r="D108" s="6" t="s">
        <v>397</v>
      </c>
    </row>
    <row r="109" spans="1:4" x14ac:dyDescent="0.3">
      <c r="A109" s="6" t="s">
        <v>397</v>
      </c>
      <c r="B109" s="8" t="s">
        <v>1618</v>
      </c>
      <c r="C109" s="8">
        <v>0.5</v>
      </c>
      <c r="D109" s="6" t="s">
        <v>397</v>
      </c>
    </row>
    <row r="110" spans="1:4" x14ac:dyDescent="0.3">
      <c r="A110" s="6" t="s">
        <v>399</v>
      </c>
      <c r="B110" s="6" t="s">
        <v>465</v>
      </c>
      <c r="C110" s="8">
        <v>0</v>
      </c>
      <c r="D110" s="6" t="s">
        <v>398</v>
      </c>
    </row>
    <row r="111" spans="1:4" x14ac:dyDescent="0.3">
      <c r="A111" s="6" t="s">
        <v>399</v>
      </c>
      <c r="B111" s="6" t="s">
        <v>465</v>
      </c>
      <c r="C111" s="8">
        <v>0</v>
      </c>
      <c r="D111" s="6" t="s">
        <v>399</v>
      </c>
    </row>
    <row r="112" spans="1:4" x14ac:dyDescent="0.3">
      <c r="A112" s="6" t="s">
        <v>399</v>
      </c>
      <c r="B112" s="6" t="s">
        <v>466</v>
      </c>
      <c r="C112" s="8">
        <v>1</v>
      </c>
      <c r="D112" s="6" t="s">
        <v>398</v>
      </c>
    </row>
    <row r="113" spans="1:4" x14ac:dyDescent="0.3">
      <c r="A113" s="6" t="s">
        <v>399</v>
      </c>
      <c r="B113" s="6" t="s">
        <v>466</v>
      </c>
      <c r="C113" s="8">
        <v>1</v>
      </c>
      <c r="D113" s="6" t="s">
        <v>399</v>
      </c>
    </row>
    <row r="114" spans="1:4" x14ac:dyDescent="0.3">
      <c r="A114" s="6" t="s">
        <v>399</v>
      </c>
      <c r="B114" s="8" t="s">
        <v>1619</v>
      </c>
      <c r="C114" s="8">
        <v>-1</v>
      </c>
      <c r="D114" s="6" t="s">
        <v>398</v>
      </c>
    </row>
    <row r="115" spans="1:4" x14ac:dyDescent="0.3">
      <c r="A115" s="6" t="s">
        <v>399</v>
      </c>
      <c r="B115" s="8" t="s">
        <v>1619</v>
      </c>
      <c r="C115" s="8">
        <v>-1</v>
      </c>
      <c r="D115" s="6" t="s">
        <v>399</v>
      </c>
    </row>
    <row r="116" spans="1:4" x14ac:dyDescent="0.3">
      <c r="A116" s="6" t="s">
        <v>399</v>
      </c>
      <c r="B116" s="8" t="s">
        <v>1618</v>
      </c>
      <c r="C116" s="8">
        <v>0.5</v>
      </c>
      <c r="D116" s="6" t="s">
        <v>398</v>
      </c>
    </row>
    <row r="117" spans="1:4" x14ac:dyDescent="0.3">
      <c r="A117" s="6" t="s">
        <v>399</v>
      </c>
      <c r="B117" s="8" t="s">
        <v>1618</v>
      </c>
      <c r="C117" s="8">
        <v>0.5</v>
      </c>
      <c r="D117" s="6" t="s">
        <v>399</v>
      </c>
    </row>
    <row r="118" spans="1:4" x14ac:dyDescent="0.3">
      <c r="A118" s="6" t="s">
        <v>400</v>
      </c>
      <c r="B118" s="5" t="s">
        <v>451</v>
      </c>
      <c r="C118" s="8">
        <v>0</v>
      </c>
      <c r="D118" s="6" t="s">
        <v>400</v>
      </c>
    </row>
    <row r="119" spans="1:4" x14ac:dyDescent="0.3">
      <c r="A119" s="6" t="s">
        <v>400</v>
      </c>
      <c r="B119" s="5" t="s">
        <v>452</v>
      </c>
      <c r="C119" s="8">
        <v>1</v>
      </c>
      <c r="D119" s="6" t="s">
        <v>400</v>
      </c>
    </row>
    <row r="120" spans="1:4" x14ac:dyDescent="0.3">
      <c r="A120" s="6" t="s">
        <v>400</v>
      </c>
      <c r="B120" s="8" t="s">
        <v>1619</v>
      </c>
      <c r="C120" s="8">
        <v>-1</v>
      </c>
      <c r="D120" s="6" t="s">
        <v>400</v>
      </c>
    </row>
    <row r="121" spans="1:4" x14ac:dyDescent="0.3">
      <c r="A121" s="6" t="s">
        <v>400</v>
      </c>
      <c r="B121" s="8" t="s">
        <v>1618</v>
      </c>
      <c r="C121" s="8">
        <v>0.5</v>
      </c>
      <c r="D121" s="6" t="s">
        <v>400</v>
      </c>
    </row>
    <row r="122" spans="1:4" x14ac:dyDescent="0.3">
      <c r="A122" s="6" t="s">
        <v>401</v>
      </c>
      <c r="B122" s="6" t="s">
        <v>467</v>
      </c>
      <c r="C122" s="8">
        <v>0</v>
      </c>
      <c r="D122" s="6" t="s">
        <v>401</v>
      </c>
    </row>
    <row r="123" spans="1:4" x14ac:dyDescent="0.3">
      <c r="A123" s="6" t="s">
        <v>401</v>
      </c>
      <c r="B123" s="6" t="s">
        <v>468</v>
      </c>
      <c r="C123" s="8">
        <v>1</v>
      </c>
      <c r="D123" s="6" t="s">
        <v>401</v>
      </c>
    </row>
    <row r="124" spans="1:4" x14ac:dyDescent="0.3">
      <c r="A124" s="6" t="s">
        <v>401</v>
      </c>
      <c r="B124" s="8" t="s">
        <v>1619</v>
      </c>
      <c r="C124" s="8">
        <v>-1</v>
      </c>
      <c r="D124" s="6" t="s">
        <v>401</v>
      </c>
    </row>
    <row r="125" spans="1:4" x14ac:dyDescent="0.3">
      <c r="A125" s="6" t="s">
        <v>401</v>
      </c>
      <c r="B125" s="8" t="s">
        <v>1618</v>
      </c>
      <c r="C125" s="8">
        <v>0.5</v>
      </c>
      <c r="D125" s="6" t="s">
        <v>401</v>
      </c>
    </row>
    <row r="126" spans="1:4" x14ac:dyDescent="0.3">
      <c r="A126" s="6" t="s">
        <v>402</v>
      </c>
      <c r="B126" s="5" t="s">
        <v>451</v>
      </c>
      <c r="C126" s="8">
        <v>1</v>
      </c>
      <c r="D126" s="6" t="s">
        <v>402</v>
      </c>
    </row>
    <row r="127" spans="1:4" x14ac:dyDescent="0.3">
      <c r="A127" s="6" t="s">
        <v>402</v>
      </c>
      <c r="B127" s="5" t="s">
        <v>452</v>
      </c>
      <c r="C127" s="8">
        <v>0</v>
      </c>
      <c r="D127" s="6" t="s">
        <v>402</v>
      </c>
    </row>
    <row r="128" spans="1:4" x14ac:dyDescent="0.3">
      <c r="A128" s="6" t="s">
        <v>402</v>
      </c>
      <c r="B128" s="8" t="s">
        <v>1619</v>
      </c>
      <c r="C128" s="8">
        <v>-1</v>
      </c>
      <c r="D128" s="6" t="s">
        <v>402</v>
      </c>
    </row>
    <row r="129" spans="1:6" x14ac:dyDescent="0.3">
      <c r="A129" s="6" t="s">
        <v>402</v>
      </c>
      <c r="B129" s="8" t="s">
        <v>1618</v>
      </c>
      <c r="C129" s="8">
        <v>0.5</v>
      </c>
      <c r="D129" s="6" t="s">
        <v>402</v>
      </c>
    </row>
    <row r="130" spans="1:6" ht="16.3" customHeight="1" x14ac:dyDescent="0.3">
      <c r="A130" s="6" t="s">
        <v>403</v>
      </c>
      <c r="B130" s="5" t="s">
        <v>451</v>
      </c>
      <c r="C130" s="8">
        <v>1</v>
      </c>
      <c r="D130" s="6" t="s">
        <v>403</v>
      </c>
      <c r="F130" s="5"/>
    </row>
    <row r="131" spans="1:6" x14ac:dyDescent="0.3">
      <c r="A131" s="6" t="s">
        <v>403</v>
      </c>
      <c r="B131" s="5" t="s">
        <v>452</v>
      </c>
      <c r="C131" s="8">
        <v>0</v>
      </c>
      <c r="D131" s="6" t="s">
        <v>403</v>
      </c>
    </row>
    <row r="132" spans="1:6" x14ac:dyDescent="0.3">
      <c r="A132" s="6" t="s">
        <v>403</v>
      </c>
      <c r="B132" s="8" t="s">
        <v>1619</v>
      </c>
      <c r="C132" s="8">
        <v>-1</v>
      </c>
      <c r="D132" s="6" t="s">
        <v>403</v>
      </c>
    </row>
    <row r="133" spans="1:6" x14ac:dyDescent="0.3">
      <c r="A133" s="6" t="s">
        <v>403</v>
      </c>
      <c r="B133" s="8" t="s">
        <v>1618</v>
      </c>
      <c r="C133" s="8">
        <v>0.5</v>
      </c>
      <c r="D133" s="6" t="s">
        <v>403</v>
      </c>
    </row>
    <row r="134" spans="1:6" x14ac:dyDescent="0.3">
      <c r="A134" s="6" t="s">
        <v>404</v>
      </c>
      <c r="B134" s="5" t="s">
        <v>451</v>
      </c>
      <c r="C134" s="8">
        <v>1</v>
      </c>
      <c r="D134" s="6" t="s">
        <v>404</v>
      </c>
    </row>
    <row r="135" spans="1:6" x14ac:dyDescent="0.3">
      <c r="A135" s="6" t="s">
        <v>404</v>
      </c>
      <c r="B135" s="5" t="s">
        <v>452</v>
      </c>
      <c r="C135" s="8">
        <v>0</v>
      </c>
      <c r="D135" s="6" t="s">
        <v>404</v>
      </c>
    </row>
    <row r="136" spans="1:6" x14ac:dyDescent="0.3">
      <c r="A136" s="6" t="s">
        <v>404</v>
      </c>
      <c r="B136" s="8" t="s">
        <v>1619</v>
      </c>
      <c r="C136" s="8">
        <v>-1</v>
      </c>
      <c r="D136" s="6" t="s">
        <v>404</v>
      </c>
    </row>
    <row r="137" spans="1:6" x14ac:dyDescent="0.3">
      <c r="A137" s="6" t="s">
        <v>404</v>
      </c>
      <c r="B137" s="8" t="s">
        <v>1618</v>
      </c>
      <c r="C137" s="8">
        <v>0.5</v>
      </c>
      <c r="D137" s="6" t="s">
        <v>404</v>
      </c>
    </row>
    <row r="138" spans="1:6" x14ac:dyDescent="0.3">
      <c r="A138" s="6" t="s">
        <v>405</v>
      </c>
      <c r="B138" s="5" t="s">
        <v>451</v>
      </c>
      <c r="C138" s="8">
        <v>1</v>
      </c>
      <c r="D138" s="6" t="s">
        <v>405</v>
      </c>
    </row>
    <row r="139" spans="1:6" x14ac:dyDescent="0.3">
      <c r="A139" s="6" t="s">
        <v>405</v>
      </c>
      <c r="B139" s="5" t="s">
        <v>452</v>
      </c>
      <c r="C139" s="8">
        <v>0</v>
      </c>
      <c r="D139" s="6" t="s">
        <v>405</v>
      </c>
    </row>
    <row r="140" spans="1:6" x14ac:dyDescent="0.3">
      <c r="A140" s="6" t="s">
        <v>405</v>
      </c>
      <c r="B140" s="8" t="s">
        <v>1619</v>
      </c>
      <c r="C140" s="8">
        <v>-1</v>
      </c>
      <c r="D140" s="6" t="s">
        <v>405</v>
      </c>
    </row>
    <row r="141" spans="1:6" x14ac:dyDescent="0.3">
      <c r="A141" s="6" t="s">
        <v>405</v>
      </c>
      <c r="B141" s="8" t="s">
        <v>1618</v>
      </c>
      <c r="C141" s="8">
        <v>0.5</v>
      </c>
      <c r="D141" s="6" t="s">
        <v>405</v>
      </c>
    </row>
    <row r="142" spans="1:6" x14ac:dyDescent="0.3">
      <c r="A142" s="6" t="s">
        <v>406</v>
      </c>
      <c r="B142" s="5" t="s">
        <v>451</v>
      </c>
      <c r="C142" s="8">
        <v>1</v>
      </c>
      <c r="D142" s="6" t="s">
        <v>406</v>
      </c>
    </row>
    <row r="143" spans="1:6" x14ac:dyDescent="0.3">
      <c r="A143" s="6" t="s">
        <v>406</v>
      </c>
      <c r="B143" s="5" t="s">
        <v>452</v>
      </c>
      <c r="C143" s="8">
        <v>0</v>
      </c>
      <c r="D143" s="6" t="s">
        <v>406</v>
      </c>
    </row>
    <row r="144" spans="1:6" x14ac:dyDescent="0.3">
      <c r="A144" s="6" t="s">
        <v>406</v>
      </c>
      <c r="B144" s="8" t="s">
        <v>1619</v>
      </c>
      <c r="C144" s="8">
        <v>-1</v>
      </c>
      <c r="D144" s="6" t="s">
        <v>406</v>
      </c>
    </row>
    <row r="145" spans="1:4" x14ac:dyDescent="0.3">
      <c r="A145" s="6" t="s">
        <v>406</v>
      </c>
      <c r="B145" s="8" t="s">
        <v>1618</v>
      </c>
      <c r="C145" s="8">
        <v>0.5</v>
      </c>
      <c r="D145" s="6" t="s">
        <v>406</v>
      </c>
    </row>
    <row r="146" spans="1:4" x14ac:dyDescent="0.3">
      <c r="A146" s="6" t="s">
        <v>407</v>
      </c>
      <c r="B146" s="5" t="s">
        <v>451</v>
      </c>
      <c r="C146" s="8">
        <v>1</v>
      </c>
      <c r="D146" s="6" t="s">
        <v>407</v>
      </c>
    </row>
    <row r="147" spans="1:4" x14ac:dyDescent="0.3">
      <c r="A147" s="6" t="s">
        <v>407</v>
      </c>
      <c r="B147" s="5" t="s">
        <v>452</v>
      </c>
      <c r="C147" s="8">
        <v>0</v>
      </c>
      <c r="D147" s="6" t="s">
        <v>407</v>
      </c>
    </row>
    <row r="148" spans="1:4" x14ac:dyDescent="0.3">
      <c r="A148" s="6" t="s">
        <v>407</v>
      </c>
      <c r="B148" s="8" t="s">
        <v>1619</v>
      </c>
      <c r="C148" s="8">
        <v>-1</v>
      </c>
      <c r="D148" s="6" t="s">
        <v>407</v>
      </c>
    </row>
    <row r="149" spans="1:4" x14ac:dyDescent="0.3">
      <c r="A149" s="6" t="s">
        <v>407</v>
      </c>
      <c r="B149" s="8" t="s">
        <v>1618</v>
      </c>
      <c r="C149" s="8">
        <v>0.5</v>
      </c>
      <c r="D149" s="6" t="s">
        <v>407</v>
      </c>
    </row>
    <row r="150" spans="1:4" x14ac:dyDescent="0.3">
      <c r="A150" s="6" t="s">
        <v>1704</v>
      </c>
      <c r="B150" s="5" t="s">
        <v>469</v>
      </c>
      <c r="C150" s="8">
        <v>0</v>
      </c>
      <c r="D150" s="6" t="s">
        <v>1704</v>
      </c>
    </row>
    <row r="151" spans="1:4" x14ac:dyDescent="0.3">
      <c r="A151" s="6" t="s">
        <v>1704</v>
      </c>
      <c r="B151" s="5" t="s">
        <v>470</v>
      </c>
      <c r="C151" s="8">
        <v>1</v>
      </c>
      <c r="D151" s="6" t="s">
        <v>1704</v>
      </c>
    </row>
    <row r="152" spans="1:4" x14ac:dyDescent="0.3">
      <c r="A152" s="6" t="s">
        <v>1704</v>
      </c>
      <c r="B152" s="8" t="s">
        <v>1619</v>
      </c>
      <c r="C152" s="8">
        <v>-1</v>
      </c>
      <c r="D152" s="6" t="s">
        <v>1704</v>
      </c>
    </row>
    <row r="153" spans="1:4" x14ac:dyDescent="0.3">
      <c r="A153" s="6" t="s">
        <v>1704</v>
      </c>
      <c r="B153" s="8" t="s">
        <v>1618</v>
      </c>
      <c r="C153" s="8">
        <v>0.5</v>
      </c>
      <c r="D153" s="6" t="s">
        <v>1704</v>
      </c>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Programme_Grunddaten</vt:lpstr>
      <vt:lpstr>programme_info</vt:lpstr>
      <vt:lpstr>bewertungen</vt:lpstr>
      <vt:lpstr>kriterien</vt:lpstr>
      <vt:lpstr>fragen</vt:lpstr>
      <vt:lpstr>antwortmapping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Bäuerlein</dc:creator>
  <cp:lastModifiedBy>Claudia Bäuerlein</cp:lastModifiedBy>
  <dcterms:created xsi:type="dcterms:W3CDTF">2026-04-22T06:20:39Z</dcterms:created>
  <dcterms:modified xsi:type="dcterms:W3CDTF">2026-07-01T14:59:35Z</dcterms:modified>
</cp:coreProperties>
</file>